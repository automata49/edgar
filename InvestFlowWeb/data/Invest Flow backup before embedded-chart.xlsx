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worksheets/sheet11.xml" ContentType="application/vnd.openxmlformats-officedocument.spreadsheetml.worksheet+xml"/>
  <Override PartName="/xl/drawings/drawing7.xml" ContentType="application/vnd.openxmlformats-officedocument.drawing+xml"/>
  <Override PartName="/xl/worksheets/sheet12.xml" ContentType="application/vnd.openxmlformats-officedocument.spreadsheetml.worksheet+xml"/>
  <Override PartName="/xl/drawings/drawing8.xml" ContentType="application/vnd.openxmlformats-officedocument.drawing+xml"/>
  <Override PartName="/xl/worksheets/sheet13.xml" ContentType="application/vnd.openxmlformats-officedocument.spreadsheetml.worksheet+xml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drawings/drawing10.xml" ContentType="application/vnd.openxmlformats-officedocument.drawing+xml"/>
  <Override PartName="/xl/worksheets/sheet15.xml" ContentType="application/vnd.openxmlformats-officedocument.spreadsheetml.worksheet+xml"/>
  <Override PartName="/xl/drawings/drawing11.xml" ContentType="application/vnd.openxmlformats-officedocument.drawing+xml"/>
  <Override PartName="/xl/worksheets/sheet16.xml" ContentType="application/vnd.openxmlformats-officedocument.spreadsheetml.worksheet+xml"/>
  <Override PartName="/xl/drawings/drawing12.xml" ContentType="application/vnd.openxmlformats-officedocument.drawing+xml"/>
  <Override PartName="/xl/worksheets/sheet17.xml" ContentType="application/vnd.openxmlformats-officedocument.spreadsheetml.worksheet+xml"/>
  <Override PartName="/xl/drawings/drawing13.xml" ContentType="application/vnd.openxmlformats-officedocument.drawing+xml"/>
  <Override PartName="/xl/worksheets/sheet18.xml" ContentType="application/vnd.openxmlformats-officedocument.spreadsheetml.worksheet+xml"/>
  <Override PartName="/xl/drawings/drawing14.xml" ContentType="application/vnd.openxmlformats-officedocument.drawing+xml"/>
  <Override PartName="/xl/worksheets/sheet19.xml" ContentType="application/vnd.openxmlformats-officedocument.spreadsheetml.worksheet+xml"/>
  <Override PartName="/xl/drawings/drawing15.xml" ContentType="application/vnd.openxmlformats-officedocument.drawing+xml"/>
  <Override PartName="/xl/worksheets/sheet20.xml" ContentType="application/vnd.openxmlformats-officedocument.spreadsheetml.worksheet+xml"/>
  <Override PartName="/xl/drawings/drawing16.xml" ContentType="application/vnd.openxmlformats-officedocument.drawing+xml"/>
  <Override PartName="/xl/worksheets/sheet21.xml" ContentType="application/vnd.openxmlformats-officedocument.spreadsheetml.worksheet+xml"/>
  <Override PartName="/xl/drawings/drawing17.xml" ContentType="application/vnd.openxmlformats-officedocument.drawing+xml"/>
  <Override PartName="/xl/worksheets/sheet22.xml" ContentType="application/vnd.openxmlformats-officedocument.spreadsheetml.worksheet+xml"/>
  <Override PartName="/xl/drawings/drawing18.xml" ContentType="application/vnd.openxmlformats-officedocument.drawing+xml"/>
  <Override PartName="/xl/worksheets/sheet23.xml" ContentType="application/vnd.openxmlformats-officedocument.spreadsheetml.worksheet+xml"/>
  <Override PartName="/xl/drawings/drawing19.xml" ContentType="application/vnd.openxmlformats-officedocument.drawing+xml"/>
  <Override PartName="/xl/worksheets/sheet24.xml" ContentType="application/vnd.openxmlformats-officedocument.spreadsheetml.worksheet+xml"/>
  <Override PartName="/xl/drawings/drawing20.xml" ContentType="application/vnd.openxmlformats-officedocument.drawing+xml"/>
  <Override PartName="/xl/worksheets/sheet25.xml" ContentType="application/vnd.openxmlformats-officedocument.spreadsheetml.worksheet+xml"/>
  <Override PartName="/xl/drawings/drawing21.xml" ContentType="application/vnd.openxmlformats-officedocument.drawing+xml"/>
  <Override PartName="/xl/worksheets/sheet26.xml" ContentType="application/vnd.openxmlformats-officedocument.spreadsheetml.worksheet+xml"/>
  <Override PartName="/xl/drawings/drawing22.xml" ContentType="application/vnd.openxmlformats-officedocument.drawing+xml"/>
  <Override PartName="/xl/worksheets/sheet27.xml" ContentType="application/vnd.openxmlformats-officedocument.spreadsheetml.worksheet+xml"/>
  <Override PartName="/xl/drawings/drawing23.xml" ContentType="application/vnd.openxmlformats-officedocument.drawing+xml"/>
  <Override PartName="/xl/worksheets/sheet28.xml" ContentType="application/vnd.openxmlformats-officedocument.spreadsheetml.worksheet+xml"/>
  <Override PartName="/xl/drawings/drawing24.xml" ContentType="application/vnd.openxmlformats-officedocument.drawing+xml"/>
  <Override PartName="/xl/worksheets/sheet2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0380" yWindow="1845" windowWidth="23670" windowHeight="12945" tabRatio="600" firstSheet="0" activeTab="2" autoFilterDateGrouping="1"/>
  </bookViews>
  <sheets>
    <sheet name="뱅샐현황" sheetId="1" state="visible" r:id="rId1"/>
    <sheet name="대시보드" sheetId="2" state="visible" r:id="rId2"/>
    <sheet name="관심종목" sheetId="3" state="visible" r:id="rId3"/>
    <sheet name="이벤트 관리" sheetId="4" state="visible" r:id="rId4"/>
    <sheet name="BD" sheetId="5" state="visible" r:id="rId5"/>
    <sheet name="SPY" sheetId="6" state="visible" r:id="rId6"/>
    <sheet name="VNQ" sheetId="7" state="visible" r:id="rId7"/>
    <sheet name="VEA" sheetId="8" state="visible" r:id="rId8"/>
    <sheet name="EWJ" sheetId="9" state="visible" r:id="rId9"/>
    <sheet name="IWM" sheetId="10" state="visible" r:id="rId10"/>
    <sheet name="VGK" sheetId="11" state="visible" r:id="rId11"/>
    <sheet name="QQQ" sheetId="12" state="visible" r:id="rId12"/>
    <sheet name="DBC" sheetId="13" state="visible" r:id="rId13"/>
    <sheet name="BND" sheetId="14" state="visible" r:id="rId14"/>
    <sheet name="VWO" sheetId="15" state="visible" r:id="rId15"/>
    <sheet name="EMB" sheetId="16" state="visible" r:id="rId16"/>
    <sheet name="BWX" sheetId="17" state="visible" r:id="rId17"/>
    <sheet name="HYG" sheetId="18" state="visible" r:id="rId18"/>
    <sheet name="TIP" sheetId="19" state="visible" r:id="rId19"/>
    <sheet name="EFA" sheetId="20" state="visible" r:id="rId20"/>
    <sheet name="EEM" sheetId="21" state="visible" r:id="rId21"/>
    <sheet name="AGG" sheetId="22" state="visible" r:id="rId22"/>
    <sheet name="LQD" sheetId="23" state="visible" r:id="rId23"/>
    <sheet name="IEF" sheetId="24" state="visible" r:id="rId24"/>
    <sheet name="SHY" sheetId="25" state="visible" r:id="rId25"/>
    <sheet name="TLT" sheetId="26" state="visible" r:id="rId26"/>
    <sheet name="GLD" sheetId="27" state="visible" r:id="rId27"/>
    <sheet name="BIL" sheetId="28" state="visible" r:id="rId28"/>
    <sheet name="시트4" sheetId="29" state="visible" r:id="rId29"/>
  </sheets>
  <definedNames>
    <definedName name="_xlnm._FilterDatabase" localSheetId="3" hidden="1">'이벤트 관리'!$A$1:$K$104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mmmm&quot; &quot;d&quot;, &quot;yyyy"/>
    <numFmt numFmtId="165" formatCode="#,##0.00;\-#,##0.00;\-"/>
    <numFmt numFmtId="166" formatCode="\+0.00;\-0.00;&quot;-&quot;"/>
    <numFmt numFmtId="167" formatCode="\+0.00%;\-0.00%;\-"/>
    <numFmt numFmtId="168" formatCode="#,##0.00;#\-##0.00;\-"/>
    <numFmt numFmtId="169" formatCode="[$₩]#,##0"/>
    <numFmt numFmtId="170" formatCode="\+#,##0.00;#\-##0.00;#,\-"/>
    <numFmt numFmtId="171" formatCode="#,##0,,&quot;M&quot;"/>
    <numFmt numFmtId="172" formatCode="mmm&quot; &quot;d&quot;, &quot;yyyy"/>
    <numFmt numFmtId="173" formatCode="0.000"/>
    <numFmt numFmtId="174" formatCode="0.0000"/>
    <numFmt numFmtId="175" formatCode="yyyy\-mm\-dd"/>
    <numFmt numFmtId="176" formatCode="#,##0.00\ &quot;%&quot;\ "/>
    <numFmt numFmtId="177" formatCode="yyyy-mm-dd"/>
    <numFmt numFmtId="178" formatCode="hh:mm"/>
  </numFmts>
  <fonts count="72">
    <font>
      <name val="Arial"/>
      <color rgb="FF000000"/>
      <sz val="10"/>
      <scheme val="minor"/>
    </font>
    <font>
      <name val="Arial"/>
      <color theme="1"/>
      <sz val="10"/>
    </font>
    <font>
      <name val="Roboto"/>
      <color rgb="FF000000"/>
      <sz val="10"/>
    </font>
    <font>
      <name val="Roboto"/>
      <b val="1"/>
      <i val="1"/>
      <color rgb="FFFFFFFF"/>
      <sz val="10"/>
    </font>
    <font>
      <name val="Arial"/>
      <color rgb="FF000000"/>
      <sz val="10"/>
      <scheme val="minor"/>
    </font>
    <font>
      <name val="Roboto"/>
      <b val="1"/>
      <color rgb="FFFFFFFF"/>
      <sz val="8"/>
    </font>
    <font>
      <name val="Roboto"/>
      <color rgb="FFFFFFFF"/>
      <sz val="10"/>
      <u val="single"/>
    </font>
    <font>
      <name val="Roboto"/>
      <color theme="1"/>
      <sz val="18"/>
    </font>
    <font>
      <name val="Roboto"/>
      <color rgb="FF666666"/>
      <sz val="9"/>
    </font>
    <font>
      <name val="Roboto"/>
      <color theme="1"/>
      <sz val="10"/>
    </font>
    <font>
      <name val="Roboto"/>
      <color theme="1"/>
      <sz val="24"/>
    </font>
    <font>
      <name val="Roboto"/>
      <b val="1"/>
      <color theme="1"/>
      <sz val="10"/>
    </font>
    <font>
      <name val="Roboto"/>
      <b val="1"/>
      <color rgb="FF999999"/>
      <sz val="10"/>
    </font>
    <font>
      <name val="Roboto"/>
      <color theme="1"/>
      <sz val="10"/>
    </font>
    <font>
      <name val="Arial"/>
      <color rgb="FFFFFFFF"/>
      <sz val="10"/>
      <scheme val="minor"/>
    </font>
    <font>
      <name val="Inconsolata"/>
      <color rgb="FF7E3794"/>
      <sz val="11"/>
    </font>
    <font>
      <name val="Arial"/>
      <sz val="10"/>
    </font>
    <font>
      <name val="Roboto"/>
      <color rgb="FFFFFFFF"/>
      <sz val="10"/>
    </font>
    <font>
      <name val="Arial"/>
      <color rgb="FFFFFFFF"/>
      <sz val="10"/>
      <scheme val="minor"/>
    </font>
    <font>
      <name val="Arial"/>
      <color theme="1"/>
      <sz val="10"/>
      <scheme val="minor"/>
    </font>
    <font>
      <name val="Inconsolata"/>
      <color rgb="FFFFFFFF"/>
      <sz val="8"/>
    </font>
    <font>
      <name val="Arial"/>
      <color rgb="FFB7B7B7"/>
      <sz val="10"/>
      <scheme val="minor"/>
    </font>
    <font>
      <name val="Roboto"/>
      <color rgb="FFFFFFFF"/>
      <sz val="10"/>
      <u val="single"/>
    </font>
    <font>
      <name val="Inconsolata"/>
      <color rgb="FF000000"/>
      <sz val="11"/>
    </font>
    <font>
      <name val="Roboto"/>
      <color rgb="FFB7B7B7"/>
      <sz val="10"/>
    </font>
    <font>
      <name val="Roboto"/>
      <color theme="1"/>
      <sz val="36"/>
    </font>
    <font>
      <name val="Roboto"/>
      <color theme="1"/>
      <sz val="14"/>
    </font>
    <font>
      <name val="Inconsolata"/>
      <color rgb="FF11A9CC"/>
      <sz val="11"/>
    </font>
    <font>
      <name val="Inconsolata"/>
      <b val="1"/>
      <i val="1"/>
      <color rgb="FF000000"/>
      <sz val="11"/>
      <u val="single"/>
    </font>
    <font>
      <name val="Inconsolata"/>
      <color rgb="FF000000"/>
      <sz val="10"/>
    </font>
    <font>
      <name val="Inconsolata"/>
      <b val="1"/>
      <i val="1"/>
      <color rgb="FF000000"/>
      <sz val="11"/>
      <u val="single"/>
    </font>
    <font>
      <name val="Inconsolata"/>
      <b val="1"/>
      <i val="1"/>
      <color rgb="FF000000"/>
      <sz val="11"/>
      <u val="single"/>
    </font>
    <font>
      <name val="Inconsolata"/>
      <b val="1"/>
      <i val="1"/>
      <color rgb="FF000000"/>
      <sz val="11"/>
      <u val="single"/>
    </font>
    <font>
      <name val="Arial"/>
      <color rgb="FF666666"/>
      <sz val="10"/>
      <scheme val="minor"/>
    </font>
    <font>
      <name val="Roboto"/>
      <color theme="1"/>
      <sz val="12"/>
    </font>
    <font>
      <name val="Roboto"/>
      <color rgb="FFFFFFFF"/>
      <sz val="10"/>
    </font>
    <font>
      <name val="Roboto"/>
      <b val="1"/>
      <color theme="1"/>
      <sz val="10"/>
    </font>
    <font>
      <name val="Inconsolata"/>
      <b val="1"/>
      <i val="1"/>
      <color rgb="FF000000"/>
      <sz val="11"/>
      <u val="single"/>
    </font>
    <font>
      <name val="Arial"/>
      <color rgb="FF999999"/>
      <sz val="10"/>
      <scheme val="minor"/>
    </font>
    <font>
      <name val="Roboto"/>
      <b val="1"/>
      <i val="1"/>
      <color rgb="FF000000"/>
      <sz val="10"/>
      <u val="single"/>
    </font>
    <font>
      <name val="Inconsolata"/>
      <b val="1"/>
      <i val="1"/>
      <color rgb="FF000000"/>
      <sz val="11"/>
      <u val="single"/>
    </font>
    <font>
      <name val="Inconsolata"/>
      <color rgb="FF666666"/>
      <sz val="9"/>
    </font>
    <font>
      <name val="Inconsolata"/>
      <color rgb="FF000000"/>
      <sz val="9"/>
    </font>
    <font>
      <name val="Inconsolata"/>
      <color rgb="FF7E3794"/>
      <sz val="10"/>
    </font>
    <font>
      <name val="Roboto"/>
      <color rgb="FFFFFFFF"/>
      <sz val="7"/>
    </font>
    <font>
      <name val="Roboto"/>
      <color rgb="FF000000"/>
      <sz val="10"/>
    </font>
    <font>
      <name val="Inconsolata"/>
      <color rgb="FFFFFFFF"/>
      <sz val="11"/>
    </font>
    <font>
      <name val="Inconsolata"/>
      <color rgb="FFF7981D"/>
      <sz val="11"/>
    </font>
    <font>
      <name val="Roboto"/>
      <color rgb="FF11A9CC"/>
      <sz val="10"/>
    </font>
    <font>
      <name val="Roboto"/>
      <b val="1"/>
      <i val="1"/>
      <color rgb="FF000000"/>
      <sz val="10"/>
      <u val="single"/>
    </font>
    <font>
      <name val="Roboto"/>
      <b val="1"/>
      <i val="1"/>
      <color rgb="FF000000"/>
      <sz val="10"/>
      <u val="single"/>
    </font>
    <font>
      <name val="Roboto"/>
      <color rgb="FF666666"/>
      <sz val="10"/>
    </font>
    <font>
      <name val="Inconsolata"/>
      <color rgb="FF434343"/>
      <sz val="9"/>
    </font>
    <font>
      <name val="Arial"/>
      <color rgb="FF434343"/>
      <sz val="9"/>
    </font>
    <font>
      <name val="Inconsolata"/>
      <color rgb="FF666666"/>
      <sz val="10"/>
    </font>
    <font>
      <name val="Roboto"/>
      <color rgb="FFFFFFFF"/>
      <sz val="8"/>
    </font>
    <font>
      <name val="Roboto"/>
      <color rgb="FF666666"/>
      <sz val="10"/>
    </font>
    <font>
      <name val="Inconsolata"/>
      <color rgb="FF666666"/>
      <sz val="11"/>
    </font>
    <font>
      <name val="Inconsolata"/>
      <color rgb="FF999999"/>
      <sz val="11"/>
    </font>
    <font>
      <name val="Arial"/>
      <b val="1"/>
      <color rgb="FFF5773D"/>
      <sz val="11"/>
      <scheme val="minor"/>
    </font>
    <font>
      <name val="Arial"/>
      <color rgb="FF000000"/>
      <sz val="11"/>
      <scheme val="minor"/>
    </font>
    <font>
      <name val="Roboto"/>
      <b val="1"/>
      <color rgb="FFF5773D"/>
      <sz val="10"/>
    </font>
    <font>
      <name val="Roboto"/>
      <b val="1"/>
      <i val="1"/>
      <color rgb="FF000000"/>
      <sz val="11"/>
      <u val="single"/>
    </font>
    <font>
      <name val="Roboto"/>
      <b val="1"/>
      <i val="1"/>
      <color rgb="FF666666"/>
      <sz val="10"/>
      <u val="single"/>
    </font>
    <font>
      <name val="Roboto"/>
      <b val="1"/>
      <color rgb="FF000000"/>
      <sz val="10"/>
    </font>
    <font>
      <name val="Arial"/>
      <family val="2"/>
      <color theme="1"/>
      <sz val="11"/>
      <scheme val="minor"/>
    </font>
    <font>
      <name val="Arial"/>
      <family val="2"/>
      <b val="1"/>
      <color theme="1"/>
      <sz val="14"/>
      <scheme val="minor"/>
    </font>
    <font>
      <name val="Arial"/>
      <charset val="129"/>
      <family val="3"/>
      <sz val="8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rgb="FFFFFFFF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23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4285F4"/>
        <bgColor rgb="FF4285F4"/>
      </patternFill>
    </fill>
    <fill>
      <patternFill patternType="solid">
        <fgColor rgb="FFE8F0FE"/>
        <bgColor rgb="FFE8F0FE"/>
      </patternFill>
    </fill>
    <fill>
      <patternFill patternType="solid">
        <fgColor rgb="FFF3F3F3"/>
        <bgColor rgb="FFF3F3F3"/>
      </patternFill>
    </fill>
    <fill>
      <patternFill patternType="solid">
        <fgColor rgb="FFF5773D"/>
        <bgColor rgb="FFF5773D"/>
      </patternFill>
    </fill>
    <fill>
      <patternFill patternType="solid">
        <fgColor rgb="FFB7B7B7"/>
        <bgColor rgb="FFB7B7B7"/>
      </patternFill>
    </fill>
    <fill>
      <patternFill patternType="solid">
        <fgColor rgb="FFFCFCBF"/>
        <bgColor rgb="FFFCFCBF"/>
      </patternFill>
    </fill>
    <fill>
      <patternFill patternType="solid">
        <fgColor rgb="FFD9D9D9"/>
        <bgColor rgb="FFD9D9D9"/>
      </patternFill>
    </fill>
    <fill>
      <patternFill patternType="solid">
        <fgColor rgb="FFCADEB9"/>
        <bgColor indexed="64"/>
      </patternFill>
    </fill>
    <fill>
      <patternFill patternType="solid">
        <fgColor rgb="FFB0CD96"/>
        <bgColor indexed="64"/>
      </patternFill>
    </fill>
    <fill>
      <patternFill patternType="solid">
        <fgColor rgb="FF7EAB55"/>
        <bgColor indexed="64"/>
      </patternFill>
    </fill>
    <fill>
      <patternFill patternType="solid">
        <fgColor rgb="FFE4EEDD"/>
        <bgColor indexed="64"/>
      </patternFill>
    </fill>
    <fill>
      <patternFill patternType="solid">
        <fgColor rgb="FF5E813F"/>
        <bgColor indexed="64"/>
      </patternFill>
    </fill>
    <fill>
      <patternFill patternType="solid">
        <fgColor rgb="FFCADEBA"/>
        <bgColor indexed="64"/>
      </patternFill>
    </fill>
    <fill>
      <patternFill patternType="solid">
        <fgColor rgb="FFCBDEB9"/>
        <bgColor indexed="64"/>
      </patternFill>
    </fill>
    <fill>
      <patternFill patternType="solid">
        <fgColor rgb="FF5E8140"/>
        <bgColor indexed="64"/>
      </patternFill>
    </fill>
    <fill>
      <patternFill patternType="solid">
        <fgColor rgb="FF5E8040"/>
        <bgColor indexed="64"/>
      </patternFill>
    </fill>
    <fill>
      <patternFill patternType="solid">
        <fgColor rgb="004472C4"/>
      </patternFill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4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D9D9D9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dotted">
        <color rgb="FFD9D9D9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ck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ck">
        <color rgb="FFCCCCCC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/>
      <right/>
      <top/>
      <bottom style="thin">
        <color rgb="FF000000"/>
      </bottom>
      <diagonal/>
    </border>
    <border>
      <left style="thick">
        <color rgb="FFCCCCCC"/>
      </left>
      <right/>
      <top style="thin">
        <color rgb="FFFFFFFF"/>
      </top>
      <bottom/>
      <diagonal/>
    </border>
    <border>
      <left/>
      <right style="thin">
        <color rgb="FFF3F3F3"/>
      </right>
      <top/>
      <bottom style="thin">
        <color rgb="FFF3F3F3"/>
      </bottom>
      <diagonal/>
    </border>
    <border>
      <left style="thin">
        <color rgb="FFF3F3F3"/>
      </left>
      <right style="thin">
        <color rgb="FFF3F3F3"/>
      </right>
      <top/>
      <bottom style="thin">
        <color rgb="FFF3F3F3"/>
      </bottom>
      <diagonal/>
    </border>
    <border>
      <left style="thick">
        <color rgb="FFCCCCCC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 style="thin">
        <color rgb="FFEFEFEF"/>
      </right>
      <top style="thin">
        <color rgb="FFFFFFFF"/>
      </top>
      <bottom style="thin">
        <color rgb="FFEFEFEF"/>
      </bottom>
      <diagonal/>
    </border>
    <border>
      <left style="thin">
        <color rgb="FFEFEFEF"/>
      </left>
      <right/>
      <top style="thin">
        <color rgb="FFFFFFFF"/>
      </top>
      <bottom style="thin">
        <color rgb="FFEFEFEF"/>
      </bottom>
      <diagonal/>
    </border>
    <border>
      <left style="thin">
        <color rgb="FFF3F3F3"/>
      </left>
      <right/>
      <top/>
      <bottom style="thin">
        <color rgb="FFF3F3F3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EFEFEF"/>
      </left>
      <right style="thin">
        <color rgb="FFEFEFEF"/>
      </right>
      <top/>
      <bottom style="thin">
        <color rgb="FFEFEFEF"/>
      </bottom>
      <diagonal/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  <diagonal/>
    </border>
    <border>
      <left style="thin">
        <color rgb="FFFFFFF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ck">
        <color rgb="FFCCCCCC"/>
      </left>
      <right style="thin">
        <color rgb="FFFFFFFF"/>
      </right>
      <top style="thin">
        <color rgb="FFFFFFFF"/>
      </top>
      <bottom style="medium">
        <color rgb="FFF5773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F5773D"/>
      </bottom>
      <diagonal/>
    </border>
    <border>
      <left style="thin">
        <color rgb="FFFFFFFF"/>
      </left>
      <right style="thin">
        <color rgb="FFEFEFEF"/>
      </right>
      <top style="thin">
        <color rgb="FFEFEFEF"/>
      </top>
      <bottom style="medium">
        <color rgb="FFF5773D"/>
      </bottom>
      <diagonal/>
    </border>
    <border>
      <left style="thin">
        <color rgb="FFEFEFEF"/>
      </left>
      <right/>
      <top style="thin">
        <color rgb="FFFFFFFF"/>
      </top>
      <bottom style="medium">
        <color rgb="FFF5773D"/>
      </bottom>
      <diagonal/>
    </border>
    <border>
      <left/>
      <right style="thin">
        <color rgb="FFF3F3F3"/>
      </right>
      <top style="thin">
        <color rgb="FFF3F3F3"/>
      </top>
      <bottom style="thin">
        <color rgb="FFF3F3F3"/>
      </bottom>
      <diagonal/>
    </border>
    <border>
      <left style="thick">
        <color rgb="FFCCCCCC"/>
      </left>
      <right style="thin">
        <color rgb="FFFFFFFF"/>
      </right>
      <top/>
      <bottom style="thin">
        <color rgb="FFFFFFFF"/>
      </bottom>
      <diagonal/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  <diagonal/>
    </border>
    <border>
      <left style="thick">
        <color rgb="FFFFFFFF"/>
      </left>
      <right/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ck">
        <color rgb="FFCCCCCC"/>
      </left>
      <right/>
      <top/>
      <bottom/>
      <diagonal/>
    </border>
    <border>
      <left style="hair">
        <color rgb="FFFDA780"/>
      </left>
      <right/>
      <top style="hair">
        <color rgb="FFFDA780"/>
      </top>
      <bottom/>
      <diagonal/>
    </border>
    <border>
      <left/>
      <right/>
      <top style="hair">
        <color rgb="FFFDA780"/>
      </top>
      <bottom/>
      <diagonal/>
    </border>
    <border>
      <left/>
      <right style="hair">
        <color rgb="FFFDA780"/>
      </right>
      <top style="hair">
        <color rgb="FFFDA780"/>
      </top>
      <bottom/>
      <diagonal/>
    </border>
    <border>
      <left style="hair">
        <color rgb="FFFDA780"/>
      </left>
      <right/>
      <top/>
      <bottom style="hair">
        <color rgb="FFFDA780"/>
      </bottom>
      <diagonal/>
    </border>
    <border>
      <left/>
      <right/>
      <top/>
      <bottom style="hair">
        <color rgb="FFFDA780"/>
      </bottom>
      <diagonal/>
    </border>
    <border>
      <left/>
      <right style="hair">
        <color rgb="FFFDA780"/>
      </right>
      <top/>
      <bottom style="hair">
        <color rgb="FFFDA780"/>
      </bottom>
      <diagonal/>
    </border>
    <border>
      <left style="thick">
        <color rgb="FFCCCCCC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FDA780"/>
      </left>
      <right/>
      <top style="hair">
        <color rgb="FFFDA780"/>
      </top>
      <bottom style="hair">
        <color rgb="FFFDA780"/>
      </bottom>
      <diagonal/>
    </border>
    <border>
      <left/>
      <right/>
      <top style="hair">
        <color rgb="FFFDA780"/>
      </top>
      <bottom style="hair">
        <color rgb="FFFDA780"/>
      </bottom>
      <diagonal/>
    </border>
    <border>
      <left/>
      <right style="hair">
        <color rgb="FFFDA780"/>
      </right>
      <top style="hair">
        <color rgb="FFFDA780"/>
      </top>
      <bottom style="hair">
        <color rgb="FFFDA780"/>
      </bottom>
      <diagonal/>
    </border>
    <border>
      <left style="thin">
        <color rgb="FFF3F3F3"/>
      </left>
      <right/>
      <top style="thin">
        <color rgb="FFF3F3F3"/>
      </top>
      <bottom style="thin">
        <color rgb="FFF3F3F3"/>
      </bottom>
      <diagonal/>
    </border>
    <border>
      <left style="thick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hair">
        <color rgb="FFFFFFFF"/>
      </right>
      <top/>
      <bottom style="thin">
        <color rgb="FFFFFFFF"/>
      </bottom>
      <diagonal/>
    </border>
    <border>
      <left style="thick">
        <color rgb="FFCCCCCC"/>
      </left>
      <right style="thin">
        <color rgb="FFEFEFEF"/>
      </right>
      <top style="thin">
        <color rgb="FFFFFFFF"/>
      </top>
      <bottom style="thin">
        <color rgb="FFEFEFEF"/>
      </bottom>
      <diagonal/>
    </border>
    <border>
      <left style="thin">
        <color rgb="FFEFEFEF"/>
      </left>
      <right style="thin">
        <color rgb="FFFFFFFF"/>
      </right>
      <top style="thin">
        <color rgb="FFFFFFFF"/>
      </top>
      <bottom style="thin">
        <color rgb="FFEFEFEF"/>
      </bottom>
      <diagonal/>
    </border>
    <border>
      <left style="thick">
        <color rgb="FFFFFFFF"/>
      </left>
      <right style="thin">
        <color rgb="FFEFEFEF"/>
      </right>
      <top style="thin">
        <color rgb="FFFFFFFF"/>
      </top>
      <bottom style="thin">
        <color rgb="FFEFEFEF"/>
      </bottom>
      <diagonal/>
    </border>
    <border>
      <left style="thin">
        <color rgb="FFEFEFEF"/>
      </left>
      <right style="thin">
        <color rgb="FFEFEFEF"/>
      </right>
      <top style="thin">
        <color rgb="FFFFFFFF"/>
      </top>
      <bottom style="thin">
        <color rgb="FFEFEFEF"/>
      </bottom>
      <diagonal/>
    </border>
    <border>
      <left style="thin">
        <color rgb="FFEFEFEF"/>
      </left>
      <right style="thin">
        <color rgb="FFFFFFFF"/>
      </right>
      <top/>
      <bottom style="thin">
        <color rgb="FFEFEFEF"/>
      </bottom>
      <diagonal/>
    </border>
    <border>
      <left style="thick">
        <color rgb="FFCCCCCC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EFEFEF"/>
      </left>
      <right style="thin">
        <color rgb="FFFFFFFF"/>
      </right>
      <top style="thin">
        <color rgb="FFEFEFEF"/>
      </top>
      <bottom style="thin">
        <color rgb="FFEFEFEF"/>
      </bottom>
      <diagonal/>
    </border>
    <border>
      <left style="thick">
        <color rgb="FFFFFFF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ck">
        <color rgb="FFFFFFFF"/>
      </left>
      <right style="thin">
        <color rgb="FFEFEFEF"/>
      </right>
      <top style="thin">
        <color rgb="FFEFEFEF"/>
      </top>
      <bottom style="medium">
        <color rgb="FFF5773D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medium">
        <color rgb="FFF5773D"/>
      </bottom>
      <diagonal/>
    </border>
    <border>
      <left style="thin">
        <color rgb="FFEFEFEF"/>
      </left>
      <right style="thin">
        <color rgb="FFFFFFFF"/>
      </right>
      <top style="thin">
        <color rgb="FFEFEFEF"/>
      </top>
      <bottom style="medium">
        <color rgb="FFF5773D"/>
      </bottom>
      <diagonal/>
    </border>
    <border>
      <left style="thick">
        <color rgb="FFCCCCCC"/>
      </left>
      <right style="thin">
        <color rgb="FFEFEFEF"/>
      </right>
      <top style="thin">
        <color rgb="FFEFEFEF"/>
      </top>
      <bottom style="medium">
        <color rgb="FFF5773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hair">
        <color rgb="FFFDA780"/>
      </left>
      <right style="thin">
        <color rgb="FFFFFFFF"/>
      </right>
      <top style="hair">
        <color rgb="FFFDA780"/>
      </top>
      <bottom style="hair">
        <color rgb="FFFDA780"/>
      </bottom>
      <diagonal/>
    </border>
    <border>
      <left style="thin">
        <color rgb="FFFFFFFF"/>
      </left>
      <right style="hair">
        <color rgb="FFFFFFFF"/>
      </right>
      <top style="hair">
        <color rgb="FFFDA780"/>
      </top>
      <bottom style="hair">
        <color rgb="FFFDA780"/>
      </bottom>
      <diagonal/>
    </border>
    <border>
      <left style="hair">
        <color rgb="FFFFFFFF"/>
      </left>
      <right style="hair">
        <color rgb="FFFDA780"/>
      </right>
      <top style="hair">
        <color rgb="FFFDA780"/>
      </top>
      <bottom style="hair">
        <color rgb="FFFDA780"/>
      </bottom>
      <diagonal/>
    </border>
    <border>
      <left style="hair">
        <color rgb="FFFFFFFF"/>
      </left>
      <right/>
      <top style="hair">
        <color rgb="FFFDA780"/>
      </top>
      <bottom style="hair">
        <color rgb="FFFDA780"/>
      </bottom>
      <diagonal/>
    </border>
    <border>
      <left style="medium">
        <color rgb="FFFFFFFF"/>
      </left>
      <right/>
      <top style="thin">
        <color rgb="FFFFFFFF"/>
      </top>
      <bottom style="thin">
        <color rgb="FFFFFFFF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 style="thin">
        <color rgb="FFEFEFEF"/>
      </left>
      <right style="thick">
        <color rgb="FFFFFFFF"/>
      </right>
      <top style="thin">
        <color rgb="FFFFFFFF"/>
      </top>
      <bottom style="thin">
        <color rgb="FFEFEFEF"/>
      </bottom>
      <diagonal/>
    </border>
    <border>
      <left/>
      <right style="thin">
        <color rgb="FFEFEFEF"/>
      </right>
      <top style="thin">
        <color rgb="FFFFFFFF"/>
      </top>
      <bottom style="thin">
        <color rgb="FFEFEFEF"/>
      </bottom>
      <diagonal/>
    </border>
    <border>
      <left style="thin">
        <color rgb="FFEFEFEF"/>
      </left>
      <right style="thick">
        <color rgb="FFFFFFFF"/>
      </right>
      <top style="thin">
        <color rgb="FFEFEFEF"/>
      </top>
      <bottom style="thin">
        <color rgb="FFEFEFEF"/>
      </bottom>
      <diagonal/>
    </border>
    <border>
      <left/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EFEFEF"/>
      </left>
      <right/>
      <top style="thin">
        <color rgb="FFEFEFEF"/>
      </top>
      <bottom style="thin">
        <color rgb="FFEFEFEF"/>
      </bottom>
      <diagonal/>
    </border>
    <border>
      <left/>
      <right style="thin">
        <color rgb="FFEFEFEF"/>
      </right>
      <top style="thin">
        <color rgb="FFEFEFEF"/>
      </top>
      <bottom style="medium">
        <color rgb="FFF5773D"/>
      </bottom>
      <diagonal/>
    </border>
    <border>
      <left style="thin">
        <color rgb="FFEFEFEF"/>
      </left>
      <right/>
      <top style="thin">
        <color rgb="FFEFEFEF"/>
      </top>
      <bottom style="medium">
        <color rgb="FFF5773D"/>
      </bottom>
      <diagonal/>
    </border>
    <border>
      <left style="thin">
        <color rgb="FFEFEFEF"/>
      </left>
      <right style="thick">
        <color rgb="FFFFFFFF"/>
      </right>
      <top style="thin">
        <color rgb="FFEFEFEF"/>
      </top>
      <bottom style="medium">
        <color rgb="FFF5773D"/>
      </bottom>
      <diagonal/>
    </border>
    <border>
      <left/>
      <right style="thin">
        <color rgb="FFF3F3F3"/>
      </right>
      <top style="thin">
        <color rgb="FFF3F3F3"/>
      </top>
      <bottom style="medium">
        <color rgb="FFF5773D"/>
      </bottom>
      <diagonal/>
    </border>
    <border>
      <left style="thin">
        <color rgb="FFF3F3F3"/>
      </left>
      <right style="thin">
        <color rgb="FFF3F3F3"/>
      </right>
      <top style="thin">
        <color rgb="FFF3F3F3"/>
      </top>
      <bottom style="medium">
        <color rgb="FFF5773D"/>
      </bottom>
      <diagonal/>
    </border>
    <border>
      <left style="thin">
        <color rgb="FFF3F3F3"/>
      </left>
      <right/>
      <top style="thin">
        <color rgb="FFF3F3F3"/>
      </top>
      <bottom style="medium">
        <color rgb="FFF5773D"/>
      </bottom>
      <diagonal/>
    </border>
    <border>
      <left/>
      <right/>
      <top/>
      <bottom style="medium">
        <color rgb="FFF5773D"/>
      </bottom>
      <diagonal/>
    </border>
    <border>
      <left/>
      <right style="thin">
        <color rgb="FFEFEFEF"/>
      </right>
      <top/>
      <bottom style="thin">
        <color rgb="FFEFEFEF"/>
      </bottom>
      <diagonal/>
    </border>
    <border>
      <left style="thin">
        <color rgb="FFEFEFEF"/>
      </left>
      <right/>
      <top/>
      <bottom style="thin">
        <color rgb="FFEFEFEF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rgb="FFFDA780"/>
      </left>
      <right style="hair">
        <color rgb="FFFDA780"/>
      </right>
      <top style="hair">
        <color rgb="FFFDA780"/>
      </top>
      <bottom style="hair">
        <color rgb="FFFDA780"/>
      </bottom>
      <diagonal/>
    </border>
    <border>
      <left style="hair">
        <color rgb="FFFDA780"/>
      </left>
      <right/>
      <top/>
      <bottom/>
      <diagonal/>
    </border>
    <border>
      <left/>
      <right style="hair">
        <color rgb="FFFDA780"/>
      </right>
      <top/>
      <bottom/>
      <diagonal/>
    </border>
    <border>
      <left style="thick">
        <color rgb="FFCCCCCC"/>
      </left>
      <right/>
      <top style="thin">
        <color rgb="FFFFFFFF"/>
      </top>
      <bottom style="thin">
        <color rgb="FFFFFFFF"/>
      </bottom>
      <diagonal/>
    </border>
    <border>
      <left style="thick">
        <color rgb="FFFFFFFF"/>
      </left>
      <right style="thin">
        <color rgb="FFFFFFFF"/>
      </right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bottom style="thin">
        <color rgb="00D9E2F3"/>
      </bottom>
    </border>
    <border>
      <bottom style="hair">
        <color rgb="00E7E6E6"/>
      </bottom>
    </border>
  </borders>
  <cellStyleXfs count="3">
    <xf numFmtId="0" fontId="4" fillId="0" borderId="14"/>
    <xf numFmtId="0" fontId="65" fillId="0" borderId="14"/>
    <xf numFmtId="0" fontId="71" fillId="0" borderId="14"/>
  </cellStyleXfs>
  <cellXfs count="50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2" fontId="1" fillId="0" borderId="0" pivotButton="0" quotePrefix="0" xfId="0"/>
    <xf numFmtId="10" fontId="1" fillId="0" borderId="0" pivotButton="0" quotePrefix="0" xfId="0"/>
    <xf numFmtId="164" fontId="4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top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4" fontId="10" fillId="0" borderId="0" applyAlignment="1" pivotButton="0" quotePrefix="0" xfId="0">
      <alignment horizontal="left"/>
    </xf>
    <xf numFmtId="4" fontId="10" fillId="0" borderId="0" applyAlignment="1" pivotButton="0" quotePrefix="0" xfId="0">
      <alignment horizontal="left"/>
    </xf>
    <xf numFmtId="2" fontId="9" fillId="0" borderId="0" pivotButton="0" quotePrefix="0" xfId="0"/>
    <xf numFmtId="10" fontId="9" fillId="0" borderId="0" pivotButton="0" quotePrefix="0" xfId="0"/>
    <xf numFmtId="0" fontId="11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 wrapText="1"/>
    </xf>
    <xf numFmtId="0" fontId="11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right" vertical="center"/>
    </xf>
    <xf numFmtId="2" fontId="11" fillId="0" borderId="0" applyAlignment="1" pivotButton="0" quotePrefix="0" xfId="0">
      <alignment horizontal="right" wrapText="1"/>
    </xf>
    <xf numFmtId="10" fontId="12" fillId="0" borderId="0" applyAlignment="1" pivotButton="0" quotePrefix="0" xfId="0">
      <alignment horizontal="right" wrapText="1"/>
    </xf>
    <xf numFmtId="0" fontId="12" fillId="0" borderId="0" applyAlignment="1" pivotButton="0" quotePrefix="0" xfId="0">
      <alignment horizontal="right" wrapText="1"/>
    </xf>
    <xf numFmtId="0" fontId="13" fillId="0" borderId="0" pivotButton="0" quotePrefix="0" xfId="0"/>
    <xf numFmtId="0" fontId="13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165" fontId="13" fillId="0" borderId="0" applyAlignment="1" pivotButton="0" quotePrefix="0" xfId="0">
      <alignment horizontal="right"/>
    </xf>
    <xf numFmtId="166" fontId="13" fillId="0" borderId="0" applyAlignment="1" pivotButton="0" quotePrefix="0" xfId="0">
      <alignment horizontal="right"/>
    </xf>
    <xf numFmtId="167" fontId="13" fillId="0" borderId="0" applyAlignment="1" pivotButton="0" quotePrefix="0" xfId="0">
      <alignment horizontal="right"/>
    </xf>
    <xf numFmtId="168" fontId="13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right"/>
    </xf>
    <xf numFmtId="2" fontId="13" fillId="0" borderId="0" applyAlignment="1" pivotButton="0" quotePrefix="0" xfId="0">
      <alignment horizontal="right"/>
    </xf>
    <xf numFmtId="10" fontId="13" fillId="0" borderId="0" applyAlignment="1" pivotButton="0" quotePrefix="0" xfId="0">
      <alignment horizontal="right"/>
    </xf>
    <xf numFmtId="9" fontId="13" fillId="0" borderId="0" applyAlignment="1" pivotButton="0" quotePrefix="0" xfId="0">
      <alignment horizontal="center" vertical="center"/>
    </xf>
    <xf numFmtId="0" fontId="13" fillId="0" borderId="2" pivotButton="0" quotePrefix="0" xfId="0"/>
    <xf numFmtId="0" fontId="13" fillId="0" borderId="2" pivotButton="0" quotePrefix="0" xfId="0"/>
    <xf numFmtId="165" fontId="13" fillId="0" borderId="2" applyAlignment="1" pivotButton="0" quotePrefix="0" xfId="0">
      <alignment horizontal="right"/>
    </xf>
    <xf numFmtId="165" fontId="13" fillId="0" borderId="2" applyAlignment="1" pivotButton="0" quotePrefix="0" xfId="0">
      <alignment horizontal="right"/>
    </xf>
    <xf numFmtId="166" fontId="13" fillId="0" borderId="2" applyAlignment="1" pivotButton="0" quotePrefix="0" xfId="0">
      <alignment horizontal="right"/>
    </xf>
    <xf numFmtId="167" fontId="13" fillId="0" borderId="2" applyAlignment="1" pivotButton="0" quotePrefix="0" xfId="0">
      <alignment horizontal="right"/>
    </xf>
    <xf numFmtId="168" fontId="13" fillId="0" borderId="3" applyAlignment="1" pivotButton="0" quotePrefix="0" xfId="0">
      <alignment horizontal="right"/>
    </xf>
    <xf numFmtId="0" fontId="13" fillId="0" borderId="0" applyAlignment="1" pivotButton="0" quotePrefix="0" xfId="0">
      <alignment horizontal="center" vertical="center"/>
    </xf>
    <xf numFmtId="10" fontId="15" fillId="0" borderId="0" pivotButton="0" quotePrefix="0" xfId="0"/>
    <xf numFmtId="165" fontId="13" fillId="0" borderId="0" applyAlignment="1" pivotButton="0" quotePrefix="0" xfId="0">
      <alignment horizontal="right"/>
    </xf>
    <xf numFmtId="168" fontId="13" fillId="0" borderId="5" applyAlignment="1" pivotButton="0" quotePrefix="0" xfId="0">
      <alignment horizontal="right"/>
    </xf>
    <xf numFmtId="0" fontId="17" fillId="2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164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center" vertical="center" wrapText="1"/>
    </xf>
    <xf numFmtId="0" fontId="13" fillId="2" borderId="6" pivotButton="0" quotePrefix="0" xfId="0"/>
    <xf numFmtId="0" fontId="18" fillId="3" borderId="7" applyAlignment="1" pivotButton="0" quotePrefix="0" xfId="0">
      <alignment horizontal="left" vertical="center"/>
    </xf>
    <xf numFmtId="169" fontId="18" fillId="3" borderId="7" applyAlignment="1" pivotButton="0" quotePrefix="0" xfId="0">
      <alignment horizontal="right" vertical="center"/>
    </xf>
    <xf numFmtId="169" fontId="18" fillId="2" borderId="8" applyAlignment="1" pivotButton="0" quotePrefix="0" xfId="0">
      <alignment horizontal="right" vertical="center"/>
    </xf>
    <xf numFmtId="0" fontId="13" fillId="0" borderId="8" applyAlignment="1" pivotButton="0" quotePrefix="0" xfId="0">
      <alignment vertical="center"/>
    </xf>
    <xf numFmtId="0" fontId="13" fillId="0" borderId="7" applyAlignment="1" pivotButton="0" quotePrefix="0" xfId="0">
      <alignment vertical="center"/>
    </xf>
    <xf numFmtId="0" fontId="17" fillId="3" borderId="7" applyAlignment="1" pivotButton="0" quotePrefix="0" xfId="0">
      <alignment horizontal="left" vertical="center"/>
    </xf>
    <xf numFmtId="169" fontId="17" fillId="3" borderId="7" pivotButton="0" quotePrefix="0" xfId="0"/>
    <xf numFmtId="0" fontId="13" fillId="0" borderId="6" pivotButton="0" quotePrefix="0" xfId="0"/>
    <xf numFmtId="0" fontId="13" fillId="0" borderId="9" pivotButton="0" quotePrefix="0" xfId="0"/>
    <xf numFmtId="0" fontId="13" fillId="0" borderId="7" pivotButton="0" quotePrefix="0" xfId="0"/>
    <xf numFmtId="0" fontId="19" fillId="0" borderId="10" pivotButton="0" quotePrefix="0" xfId="0"/>
    <xf numFmtId="0" fontId="19" fillId="0" borderId="11" pivotButton="0" quotePrefix="0" xfId="0"/>
    <xf numFmtId="0" fontId="19" fillId="0" borderId="12" pivotButton="0" quotePrefix="0" xfId="0"/>
    <xf numFmtId="0" fontId="19" fillId="0" borderId="7" pivotButton="0" quotePrefix="0" xfId="0"/>
    <xf numFmtId="0" fontId="20" fillId="3" borderId="7" applyAlignment="1" pivotButton="0" quotePrefix="0" xfId="0">
      <alignment horizontal="left" vertical="center"/>
    </xf>
    <xf numFmtId="0" fontId="1" fillId="4" borderId="0" pivotButton="0" quotePrefix="0" xfId="0"/>
    <xf numFmtId="169" fontId="17" fillId="3" borderId="7" applyAlignment="1" pivotButton="0" quotePrefix="0" xfId="0">
      <alignment horizontal="right" vertical="center"/>
    </xf>
    <xf numFmtId="0" fontId="19" fillId="2" borderId="8" pivotButton="0" quotePrefix="0" xfId="0"/>
    <xf numFmtId="0" fontId="5" fillId="4" borderId="0" pivotButton="0" quotePrefix="0" xfId="0"/>
    <xf numFmtId="0" fontId="13" fillId="0" borderId="7" pivotButton="0" quotePrefix="0" xfId="0"/>
    <xf numFmtId="0" fontId="19" fillId="0" borderId="8" pivotButton="0" quotePrefix="0" xfId="0"/>
    <xf numFmtId="0" fontId="19" fillId="0" borderId="6" pivotButton="0" quotePrefix="0" xfId="0"/>
    <xf numFmtId="0" fontId="21" fillId="0" borderId="13" applyAlignment="1" pivotButton="0" quotePrefix="0" xfId="0">
      <alignment horizontal="left" vertical="center" wrapText="1"/>
    </xf>
    <xf numFmtId="0" fontId="22" fillId="4" borderId="0" applyAlignment="1" pivotButton="0" quotePrefix="0" xfId="0">
      <alignment vertical="top"/>
    </xf>
    <xf numFmtId="0" fontId="23" fillId="2" borderId="0" applyAlignment="1" pivotButton="0" quotePrefix="0" xfId="0">
      <alignment horizontal="left"/>
    </xf>
    <xf numFmtId="169" fontId="17" fillId="2" borderId="8" applyAlignment="1" pivotButton="0" quotePrefix="0" xfId="0">
      <alignment horizontal="right" vertical="center"/>
    </xf>
    <xf numFmtId="0" fontId="9" fillId="5" borderId="0" applyAlignment="1" pivotButton="0" quotePrefix="0" xfId="0">
      <alignment horizontal="center"/>
    </xf>
    <xf numFmtId="0" fontId="24" fillId="0" borderId="14" pivotButton="0" quotePrefix="0" xfId="0"/>
    <xf numFmtId="0" fontId="1" fillId="6" borderId="0" pivotButton="0" quotePrefix="0" xfId="0"/>
    <xf numFmtId="0" fontId="19" fillId="0" borderId="15" pivotButton="0" quotePrefix="0" xfId="0"/>
    <xf numFmtId="0" fontId="19" fillId="0" borderId="16" pivotButton="0" quotePrefix="0" xfId="0"/>
    <xf numFmtId="0" fontId="1" fillId="0" borderId="14" pivotButton="0" quotePrefix="0" xfId="0"/>
    <xf numFmtId="0" fontId="13" fillId="2" borderId="7" pivotButton="0" quotePrefix="0" xfId="0"/>
    <xf numFmtId="0" fontId="17" fillId="2" borderId="7" pivotButton="0" quotePrefix="0" xfId="0"/>
    <xf numFmtId="0" fontId="13" fillId="0" borderId="7" applyAlignment="1" pivotButton="0" quotePrefix="0" xfId="0">
      <alignment vertical="center"/>
    </xf>
    <xf numFmtId="0" fontId="13" fillId="0" borderId="18" pivotButton="0" quotePrefix="0" xfId="0"/>
    <xf numFmtId="0" fontId="8" fillId="0" borderId="0" pivotButton="0" quotePrefix="0" xfId="0"/>
    <xf numFmtId="0" fontId="2" fillId="2" borderId="7" applyAlignment="1" pivotButton="0" quotePrefix="0" xfId="0">
      <alignment horizontal="left"/>
    </xf>
    <xf numFmtId="0" fontId="13" fillId="0" borderId="18" pivotButton="0" quotePrefix="0" xfId="0"/>
    <xf numFmtId="0" fontId="13" fillId="0" borderId="6" applyAlignment="1" pivotButton="0" quotePrefix="0" xfId="0">
      <alignment vertical="center"/>
    </xf>
    <xf numFmtId="165" fontId="13" fillId="0" borderId="18" applyAlignment="1" pivotButton="0" quotePrefix="0" xfId="0">
      <alignment horizontal="right"/>
    </xf>
    <xf numFmtId="0" fontId="13" fillId="0" borderId="19" applyAlignment="1" pivotButton="0" quotePrefix="0" xfId="0">
      <alignment vertical="center"/>
    </xf>
    <xf numFmtId="165" fontId="13" fillId="0" borderId="18" applyAlignment="1" pivotButton="0" quotePrefix="0" xfId="0">
      <alignment horizontal="right"/>
    </xf>
    <xf numFmtId="0" fontId="2" fillId="2" borderId="20" applyAlignment="1" pivotButton="0" quotePrefix="0" xfId="0">
      <alignment horizontal="left"/>
    </xf>
    <xf numFmtId="166" fontId="13" fillId="0" borderId="18" applyAlignment="1" pivotButton="0" quotePrefix="0" xfId="0">
      <alignment horizontal="right"/>
    </xf>
    <xf numFmtId="167" fontId="13" fillId="0" borderId="18" applyAlignment="1" pivotButton="0" quotePrefix="0" xfId="0">
      <alignment horizontal="right"/>
    </xf>
    <xf numFmtId="170" fontId="26" fillId="0" borderId="0" applyAlignment="1" pivotButton="0" quotePrefix="0" xfId="0">
      <alignment horizontal="left" vertical="center"/>
    </xf>
    <xf numFmtId="168" fontId="13" fillId="0" borderId="21" applyAlignment="1" pivotButton="0" quotePrefix="0" xfId="0">
      <alignment horizontal="right"/>
    </xf>
    <xf numFmtId="10" fontId="23" fillId="0" borderId="0" applyAlignment="1" pivotButton="0" quotePrefix="0" xfId="0">
      <alignment horizontal="right"/>
    </xf>
    <xf numFmtId="167" fontId="26" fillId="0" borderId="0" applyAlignment="1" pivotButton="0" quotePrefix="0" xfId="0">
      <alignment horizontal="left" vertical="center"/>
    </xf>
    <xf numFmtId="10" fontId="27" fillId="0" borderId="0" applyAlignment="1" pivotButton="0" quotePrefix="0" xfId="0">
      <alignment horizontal="right"/>
    </xf>
    <xf numFmtId="0" fontId="29" fillId="0" borderId="0" applyAlignment="1" pivotButton="0" quotePrefix="0" xfId="0">
      <alignment horizontal="left" vertical="center" wrapText="1"/>
    </xf>
    <xf numFmtId="0" fontId="9" fillId="0" borderId="23" pivotButton="0" quotePrefix="0" xfId="0"/>
    <xf numFmtId="0" fontId="31" fillId="2" borderId="7" applyAlignment="1" pivotButton="0" quotePrefix="0" xfId="0">
      <alignment horizontal="left"/>
    </xf>
    <xf numFmtId="0" fontId="2" fillId="2" borderId="7" applyAlignment="1" pivotButton="0" quotePrefix="0" xfId="0">
      <alignment horizontal="left"/>
    </xf>
    <xf numFmtId="0" fontId="17" fillId="2" borderId="7" applyAlignment="1" pivotButton="0" quotePrefix="0" xfId="0">
      <alignment horizontal="center"/>
    </xf>
    <xf numFmtId="0" fontId="17" fillId="7" borderId="25" applyAlignment="1" pivotButton="0" quotePrefix="0" xfId="0">
      <alignment horizontal="center" vertical="center" wrapText="1"/>
    </xf>
    <xf numFmtId="0" fontId="32" fillId="2" borderId="10" applyAlignment="1" pivotButton="0" quotePrefix="0" xfId="0">
      <alignment horizontal="left" vertical="top" wrapText="1"/>
    </xf>
    <xf numFmtId="0" fontId="33" fillId="7" borderId="26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left" vertical="center"/>
    </xf>
    <xf numFmtId="171" fontId="34" fillId="0" borderId="0" applyAlignment="1" pivotButton="0" quotePrefix="0" xfId="0">
      <alignment horizontal="left" vertical="center"/>
    </xf>
    <xf numFmtId="4" fontId="34" fillId="0" borderId="0" applyAlignment="1" pivotButton="0" quotePrefix="0" xfId="0">
      <alignment horizontal="left" vertical="center"/>
    </xf>
    <xf numFmtId="0" fontId="17" fillId="7" borderId="29" applyAlignment="1" pivotButton="0" quotePrefix="0" xfId="0">
      <alignment horizontal="center" wrapText="1"/>
    </xf>
    <xf numFmtId="0" fontId="14" fillId="7" borderId="26" applyAlignment="1" pivotButton="0" quotePrefix="0" xfId="0">
      <alignment horizontal="center" vertical="center" wrapText="1"/>
    </xf>
    <xf numFmtId="0" fontId="17" fillId="7" borderId="30" applyAlignment="1" pivotButton="0" quotePrefix="0" xfId="0">
      <alignment horizontal="center" vertical="center"/>
    </xf>
    <xf numFmtId="0" fontId="14" fillId="7" borderId="31" applyAlignment="1" pivotButton="0" quotePrefix="0" xfId="0">
      <alignment horizontal="center" vertical="center" wrapText="1"/>
    </xf>
    <xf numFmtId="0" fontId="14" fillId="7" borderId="32" applyAlignment="1" pivotButton="0" quotePrefix="0" xfId="0">
      <alignment horizontal="center" wrapText="1"/>
    </xf>
    <xf numFmtId="0" fontId="33" fillId="7" borderId="33" applyAlignment="1" pivotButton="0" quotePrefix="0" xfId="0">
      <alignment horizontal="center" vertical="center" wrapText="1"/>
    </xf>
    <xf numFmtId="0" fontId="17" fillId="2" borderId="7" applyAlignment="1" pivotButton="0" quotePrefix="0" xfId="0">
      <alignment horizontal="center" vertical="center"/>
    </xf>
    <xf numFmtId="0" fontId="9" fillId="0" borderId="34" pivotButton="0" quotePrefix="0" xfId="0"/>
    <xf numFmtId="0" fontId="14" fillId="7" borderId="33" applyAlignment="1" pivotButton="0" quotePrefix="0" xfId="0">
      <alignment horizontal="center" wrapText="1"/>
    </xf>
    <xf numFmtId="0" fontId="13" fillId="8" borderId="35" applyAlignment="1" pivotButton="0" quotePrefix="0" xfId="0">
      <alignment horizontal="center" vertical="center"/>
    </xf>
    <xf numFmtId="2" fontId="2" fillId="2" borderId="30" applyAlignment="1" pivotButton="0" quotePrefix="0" xfId="0">
      <alignment horizontal="center" vertical="center"/>
    </xf>
    <xf numFmtId="0" fontId="35" fillId="0" borderId="0" pivotButton="0" quotePrefix="0" xfId="0"/>
    <xf numFmtId="0" fontId="17" fillId="7" borderId="20" applyAlignment="1" pivotButton="0" quotePrefix="0" xfId="0">
      <alignment horizontal="left"/>
    </xf>
    <xf numFmtId="10" fontId="2" fillId="0" borderId="0" applyAlignment="1" pivotButton="0" quotePrefix="0" xfId="0">
      <alignment horizontal="right" vertical="center"/>
    </xf>
    <xf numFmtId="0" fontId="17" fillId="7" borderId="7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/>
    </xf>
    <xf numFmtId="0" fontId="2" fillId="8" borderId="20" applyAlignment="1" pivotButton="0" quotePrefix="0" xfId="0">
      <alignment horizontal="center"/>
    </xf>
    <xf numFmtId="0" fontId="36" fillId="0" borderId="0" pivotButton="0" quotePrefix="0" xfId="0"/>
    <xf numFmtId="10" fontId="13" fillId="0" borderId="7" applyAlignment="1" pivotButton="0" quotePrefix="0" xfId="0">
      <alignment horizontal="center"/>
    </xf>
    <xf numFmtId="0" fontId="37" fillId="2" borderId="36" applyAlignment="1" pivotButton="0" quotePrefix="0" xfId="0">
      <alignment horizontal="left"/>
    </xf>
    <xf numFmtId="0" fontId="36" fillId="0" borderId="18" pivotButton="0" quotePrefix="0" xfId="0"/>
    <xf numFmtId="0" fontId="36" fillId="0" borderId="18" applyAlignment="1" pivotButton="0" quotePrefix="0" xfId="0">
      <alignment horizontal="right"/>
    </xf>
    <xf numFmtId="0" fontId="2" fillId="8" borderId="37" applyAlignment="1" pivotButton="0" quotePrefix="0" xfId="0">
      <alignment horizontal="center"/>
    </xf>
    <xf numFmtId="172" fontId="13" fillId="0" borderId="0" applyAlignment="1" pivotButton="0" quotePrefix="0" xfId="0">
      <alignment horizontal="left"/>
    </xf>
    <xf numFmtId="10" fontId="13" fillId="0" borderId="38" applyAlignment="1" pivotButton="0" quotePrefix="0" xfId="0">
      <alignment horizontal="center"/>
    </xf>
    <xf numFmtId="4" fontId="13" fillId="0" borderId="0" pivotButton="0" quotePrefix="0" xfId="0"/>
    <xf numFmtId="0" fontId="13" fillId="8" borderId="39" applyAlignment="1" pivotButton="0" quotePrefix="0" xfId="0">
      <alignment horizontal="center" vertical="center"/>
    </xf>
    <xf numFmtId="3" fontId="13" fillId="0" borderId="0" pivotButton="0" quotePrefix="0" xfId="0"/>
    <xf numFmtId="2" fontId="2" fillId="2" borderId="40" applyAlignment="1" pivotButton="0" quotePrefix="0" xfId="0">
      <alignment horizontal="center" vertical="center"/>
    </xf>
    <xf numFmtId="0" fontId="2" fillId="3" borderId="41" applyAlignment="1" pivotButton="0" quotePrefix="0" xfId="0">
      <alignment horizontal="center" vertical="center" wrapText="1"/>
    </xf>
    <xf numFmtId="0" fontId="19" fillId="0" borderId="42" pivotButton="0" quotePrefix="0" xfId="0"/>
    <xf numFmtId="165" fontId="38" fillId="0" borderId="43" applyAlignment="1" pivotButton="0" quotePrefix="0" xfId="0">
      <alignment horizontal="right" vertical="center" wrapText="1"/>
    </xf>
    <xf numFmtId="4" fontId="38" fillId="0" borderId="43" pivotButton="0" quotePrefix="0" xfId="0"/>
    <xf numFmtId="0" fontId="19" fillId="0" borderId="45" pivotButton="0" quotePrefix="0" xfId="0"/>
    <xf numFmtId="0" fontId="40" fillId="2" borderId="7" applyAlignment="1" pivotButton="0" quotePrefix="0" xfId="0">
      <alignment horizontal="left" vertical="top"/>
    </xf>
    <xf numFmtId="0" fontId="2" fillId="2" borderId="6" applyAlignment="1" pivotButton="0" quotePrefix="0" xfId="0">
      <alignment horizontal="left"/>
    </xf>
    <xf numFmtId="0" fontId="29" fillId="2" borderId="53" applyAlignment="1" pivotButton="0" quotePrefix="0" xfId="0">
      <alignment vertical="top"/>
    </xf>
    <xf numFmtId="10" fontId="15" fillId="0" borderId="0" applyAlignment="1" pivotButton="0" quotePrefix="0" xfId="0">
      <alignment horizontal="right" vertical="center"/>
    </xf>
    <xf numFmtId="169" fontId="29" fillId="2" borderId="54" applyAlignment="1" pivotButton="0" quotePrefix="0" xfId="0">
      <alignment vertical="top" wrapText="1"/>
    </xf>
    <xf numFmtId="0" fontId="13" fillId="0" borderId="8" pivotButton="0" quotePrefix="0" xfId="0"/>
    <xf numFmtId="0" fontId="19" fillId="0" borderId="36" pivotButton="0" quotePrefix="0" xfId="0"/>
    <xf numFmtId="0" fontId="42" fillId="2" borderId="55" applyAlignment="1" pivotButton="0" quotePrefix="0" xfId="0">
      <alignment horizontal="left" vertical="center"/>
    </xf>
    <xf numFmtId="0" fontId="43" fillId="0" borderId="0" pivotButton="0" quotePrefix="0" xfId="0"/>
    <xf numFmtId="173" fontId="15" fillId="0" borderId="0" pivotButton="0" quotePrefix="0" xfId="0"/>
    <xf numFmtId="0" fontId="29" fillId="0" borderId="0" applyAlignment="1" pivotButton="0" quotePrefix="0" xfId="0">
      <alignment vertical="center" wrapText="1"/>
    </xf>
    <xf numFmtId="0" fontId="2" fillId="2" borderId="42" applyAlignment="1" pivotButton="0" quotePrefix="0" xfId="0">
      <alignment horizontal="left"/>
    </xf>
    <xf numFmtId="0" fontId="13" fillId="0" borderId="12" pivotButton="0" quotePrefix="0" xfId="0"/>
    <xf numFmtId="2" fontId="4" fillId="0" borderId="43" applyAlignment="1" pivotButton="0" quotePrefix="0" xfId="0">
      <alignment horizontal="right" vertical="center" wrapText="1"/>
    </xf>
    <xf numFmtId="0" fontId="19" fillId="0" borderId="8" pivotButton="0" quotePrefix="0" xfId="0"/>
    <xf numFmtId="2" fontId="4" fillId="0" borderId="58" applyAlignment="1" pivotButton="0" quotePrefix="0" xfId="0">
      <alignment horizontal="right" vertical="center" wrapText="1"/>
    </xf>
    <xf numFmtId="0" fontId="2" fillId="2" borderId="59" applyAlignment="1" pivotButton="0" quotePrefix="0" xfId="0">
      <alignment horizontal="left"/>
    </xf>
    <xf numFmtId="0" fontId="13" fillId="0" borderId="60" pivotButton="0" quotePrefix="0" xfId="0"/>
    <xf numFmtId="10" fontId="38" fillId="0" borderId="0" applyAlignment="1" pivotButton="0" quotePrefix="0" xfId="0">
      <alignment horizontal="right" vertical="center" wrapText="1"/>
    </xf>
    <xf numFmtId="0" fontId="43" fillId="0" borderId="0" pivotButton="0" quotePrefix="0" xfId="0"/>
    <xf numFmtId="0" fontId="17" fillId="7" borderId="61" applyAlignment="1" pivotButton="0" quotePrefix="0" xfId="0">
      <alignment horizontal="center"/>
    </xf>
    <xf numFmtId="0" fontId="17" fillId="7" borderId="62" applyAlignment="1" pivotButton="0" quotePrefix="0" xfId="0">
      <alignment horizontal="center" vertical="center"/>
    </xf>
    <xf numFmtId="0" fontId="17" fillId="7" borderId="63" applyAlignment="1" pivotButton="0" quotePrefix="0" xfId="0">
      <alignment horizontal="center" vertical="center" wrapText="1"/>
    </xf>
    <xf numFmtId="0" fontId="44" fillId="7" borderId="64" applyAlignment="1" pivotButton="0" quotePrefix="0" xfId="0">
      <alignment horizontal="center" vertical="center" wrapText="1"/>
    </xf>
    <xf numFmtId="174" fontId="38" fillId="0" borderId="0" applyAlignment="1" pivotButton="0" quotePrefix="0" xfId="0">
      <alignment horizontal="right" vertical="center" wrapText="1"/>
    </xf>
    <xf numFmtId="0" fontId="17" fillId="7" borderId="64" applyAlignment="1" pivotButton="0" quotePrefix="0" xfId="0">
      <alignment horizontal="center" vertical="center"/>
    </xf>
    <xf numFmtId="0" fontId="17" fillId="7" borderId="65" applyAlignment="1" pivotButton="0" quotePrefix="0" xfId="0">
      <alignment horizontal="center" vertical="center" wrapText="1"/>
    </xf>
    <xf numFmtId="0" fontId="13" fillId="8" borderId="66" applyAlignment="1" pivotButton="0" quotePrefix="0" xfId="0">
      <alignment horizontal="center"/>
    </xf>
    <xf numFmtId="10" fontId="2" fillId="2" borderId="67" applyAlignment="1" pivotButton="0" quotePrefix="0" xfId="0">
      <alignment horizontal="center" vertical="center"/>
    </xf>
    <xf numFmtId="0" fontId="2" fillId="2" borderId="7" applyAlignment="1" pivotButton="0" quotePrefix="0" xfId="0">
      <alignment horizontal="left" vertical="center"/>
    </xf>
    <xf numFmtId="2" fontId="4" fillId="0" borderId="0" applyAlignment="1" pivotButton="0" quotePrefix="0" xfId="0">
      <alignment horizontal="right" vertical="center" wrapText="1"/>
    </xf>
    <xf numFmtId="0" fontId="13" fillId="8" borderId="68" applyAlignment="1" pivotButton="0" quotePrefix="0" xfId="0">
      <alignment horizontal="center" vertical="center"/>
    </xf>
    <xf numFmtId="2" fontId="13" fillId="0" borderId="32" applyAlignment="1" pivotButton="0" quotePrefix="0" xfId="0">
      <alignment horizontal="center" vertical="center"/>
    </xf>
    <xf numFmtId="165" fontId="8" fillId="2" borderId="32" applyAlignment="1" pivotButton="0" quotePrefix="0" xfId="0">
      <alignment horizontal="center" vertical="center"/>
    </xf>
    <xf numFmtId="2" fontId="8" fillId="0" borderId="67" applyAlignment="1" pivotButton="0" quotePrefix="0" xfId="0">
      <alignment horizontal="center" vertical="center"/>
    </xf>
    <xf numFmtId="0" fontId="45" fillId="2" borderId="7" applyAlignment="1" pivotButton="0" quotePrefix="0" xfId="0">
      <alignment horizontal="left" vertical="center"/>
    </xf>
    <xf numFmtId="0" fontId="29" fillId="2" borderId="7" applyAlignment="1" pivotButton="0" quotePrefix="0" xfId="0">
      <alignment horizontal="left" vertical="top"/>
    </xf>
    <xf numFmtId="10" fontId="46" fillId="0" borderId="0" pivotButton="0" quotePrefix="0" xfId="0"/>
    <xf numFmtId="0" fontId="47" fillId="0" borderId="0" pivotButton="0" quotePrefix="0" xfId="0"/>
    <xf numFmtId="0" fontId="13" fillId="0" borderId="0" applyAlignment="1" pivotButton="0" quotePrefix="0" xfId="0">
      <alignment horizontal="center" vertical="center"/>
    </xf>
    <xf numFmtId="165" fontId="8" fillId="0" borderId="32" applyAlignment="1" pivotButton="0" quotePrefix="0" xfId="0">
      <alignment horizontal="center" vertical="center"/>
    </xf>
    <xf numFmtId="0" fontId="13" fillId="8" borderId="69" applyAlignment="1" pivotButton="0" quotePrefix="0" xfId="0">
      <alignment horizontal="center" vertical="center"/>
    </xf>
    <xf numFmtId="2" fontId="13" fillId="0" borderId="70" applyAlignment="1" pivotButton="0" quotePrefix="0" xfId="0">
      <alignment horizontal="center" vertical="center"/>
    </xf>
    <xf numFmtId="165" fontId="8" fillId="0" borderId="70" applyAlignment="1" pivotButton="0" quotePrefix="0" xfId="0">
      <alignment horizontal="center" vertical="center"/>
    </xf>
    <xf numFmtId="10" fontId="46" fillId="0" borderId="0" applyAlignment="1" pivotButton="0" quotePrefix="0" xfId="0">
      <alignment horizontal="right"/>
    </xf>
    <xf numFmtId="2" fontId="8" fillId="0" borderId="71" applyAlignment="1" pivotButton="0" quotePrefix="0" xfId="0">
      <alignment horizontal="center" vertical="center"/>
    </xf>
    <xf numFmtId="0" fontId="13" fillId="8" borderId="72" applyAlignment="1" pivotButton="0" quotePrefix="0" xfId="0">
      <alignment horizontal="center"/>
    </xf>
    <xf numFmtId="10" fontId="2" fillId="2" borderId="71" applyAlignment="1" pivotButton="0" quotePrefix="0" xfId="0">
      <alignment horizontal="center" vertical="center"/>
    </xf>
    <xf numFmtId="10" fontId="48" fillId="0" borderId="0" applyAlignment="1" pivotButton="0" quotePrefix="0" xfId="0">
      <alignment horizontal="right" vertical="center"/>
    </xf>
    <xf numFmtId="0" fontId="19" fillId="0" borderId="73" pivotButton="0" quotePrefix="0" xfId="0"/>
    <xf numFmtId="0" fontId="13" fillId="0" borderId="0" applyAlignment="1" pivotButton="0" quotePrefix="0" xfId="0">
      <alignment vertical="center" wrapText="1"/>
    </xf>
    <xf numFmtId="0" fontId="19" fillId="0" borderId="74" pivotButton="0" quotePrefix="0" xfId="0"/>
    <xf numFmtId="0" fontId="19" fillId="0" borderId="20" pivotButton="0" quotePrefix="0" xfId="0"/>
    <xf numFmtId="2" fontId="51" fillId="0" borderId="7" applyAlignment="1" pivotButton="0" quotePrefix="0" xfId="0">
      <alignment horizontal="center" vertical="center"/>
    </xf>
    <xf numFmtId="0" fontId="42" fillId="2" borderId="75" applyAlignment="1" pivotButton="0" quotePrefix="0" xfId="0">
      <alignment horizontal="left" vertical="center"/>
    </xf>
    <xf numFmtId="169" fontId="29" fillId="2" borderId="76" applyAlignment="1" pivotButton="0" quotePrefix="0" xfId="0">
      <alignment horizontal="left" vertical="center" wrapText="1"/>
    </xf>
    <xf numFmtId="0" fontId="54" fillId="2" borderId="77" applyAlignment="1" pivotButton="0" quotePrefix="0" xfId="0">
      <alignment vertical="center" wrapText="1"/>
    </xf>
    <xf numFmtId="0" fontId="19" fillId="0" borderId="78" pivotButton="0" quotePrefix="0" xfId="0"/>
    <xf numFmtId="0" fontId="2" fillId="2" borderId="79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17" fillId="2" borderId="12" applyAlignment="1" pivotButton="0" quotePrefix="0" xfId="0">
      <alignment horizontal="center"/>
    </xf>
    <xf numFmtId="0" fontId="17" fillId="2" borderId="11" applyAlignment="1" pivotButton="0" quotePrefix="0" xfId="0">
      <alignment horizontal="center"/>
    </xf>
    <xf numFmtId="0" fontId="13" fillId="0" borderId="80" pivotButton="0" quotePrefix="0" xfId="0"/>
    <xf numFmtId="0" fontId="13" fillId="0" borderId="11" pivotButton="0" quotePrefix="0" xfId="0"/>
    <xf numFmtId="0" fontId="2" fillId="2" borderId="36" applyAlignment="1" pivotButton="0" quotePrefix="0" xfId="0">
      <alignment horizontal="left"/>
    </xf>
    <xf numFmtId="0" fontId="17" fillId="7" borderId="29" applyAlignment="1" pivotButton="0" quotePrefix="0" xfId="0">
      <alignment horizontal="center" vertical="center"/>
    </xf>
    <xf numFmtId="0" fontId="17" fillId="7" borderId="64" applyAlignment="1" pivotButton="0" quotePrefix="0" xfId="0">
      <alignment horizontal="center" vertical="center" wrapText="1"/>
    </xf>
    <xf numFmtId="0" fontId="44" fillId="7" borderId="81" applyAlignment="1" pivotButton="0" quotePrefix="0" xfId="0">
      <alignment horizontal="center" vertical="center" wrapText="1"/>
    </xf>
    <xf numFmtId="0" fontId="17" fillId="7" borderId="82" applyAlignment="1" pivotButton="0" quotePrefix="0" xfId="0">
      <alignment horizontal="center" vertical="center" wrapText="1"/>
    </xf>
    <xf numFmtId="0" fontId="17" fillId="7" borderId="64" applyAlignment="1" pivotButton="0" quotePrefix="0" xfId="0">
      <alignment horizontal="center" vertical="center"/>
    </xf>
    <xf numFmtId="0" fontId="55" fillId="7" borderId="30" applyAlignment="1" pivotButton="0" quotePrefix="0" xfId="0">
      <alignment horizontal="center" vertical="center"/>
    </xf>
    <xf numFmtId="0" fontId="2" fillId="8" borderId="35" applyAlignment="1" pivotButton="0" quotePrefix="0" xfId="0">
      <alignment horizontal="center"/>
    </xf>
    <xf numFmtId="2" fontId="2" fillId="9" borderId="32" applyAlignment="1" pivotButton="0" quotePrefix="0" xfId="0">
      <alignment horizontal="center" vertical="center" wrapText="1"/>
    </xf>
    <xf numFmtId="2" fontId="2" fillId="2" borderId="83" applyAlignment="1" pivotButton="0" quotePrefix="0" xfId="0">
      <alignment horizontal="center" vertical="center" wrapText="1"/>
    </xf>
    <xf numFmtId="0" fontId="2" fillId="10" borderId="84" applyAlignment="1" pivotButton="0" quotePrefix="0" xfId="0">
      <alignment horizontal="center" vertical="center" wrapText="1"/>
    </xf>
    <xf numFmtId="2" fontId="2" fillId="0" borderId="32" applyAlignment="1" pivotButton="0" quotePrefix="0" xfId="0">
      <alignment horizontal="center" vertical="center" wrapText="1"/>
    </xf>
    <xf numFmtId="2" fontId="2" fillId="0" borderId="85" applyAlignment="1" pivotButton="0" quotePrefix="0" xfId="0">
      <alignment horizontal="center"/>
    </xf>
    <xf numFmtId="2" fontId="2" fillId="2" borderId="32" applyAlignment="1" pivotButton="0" quotePrefix="0" xfId="0">
      <alignment horizontal="center" vertical="center" wrapText="1"/>
    </xf>
    <xf numFmtId="0" fontId="2" fillId="10" borderId="86" applyAlignment="1" pivotButton="0" quotePrefix="0" xfId="0">
      <alignment horizontal="center" vertical="center" wrapText="1"/>
    </xf>
    <xf numFmtId="2" fontId="2" fillId="0" borderId="70" applyAlignment="1" pivotButton="0" quotePrefix="0" xfId="0">
      <alignment horizontal="center" vertical="center" wrapText="1"/>
    </xf>
    <xf numFmtId="2" fontId="2" fillId="0" borderId="87" applyAlignment="1" pivotButton="0" quotePrefix="0" xfId="0">
      <alignment horizontal="center"/>
    </xf>
    <xf numFmtId="0" fontId="2" fillId="2" borderId="8" applyAlignment="1" pivotButton="0" quotePrefix="0" xfId="0">
      <alignment horizontal="left"/>
    </xf>
    <xf numFmtId="0" fontId="2" fillId="2" borderId="10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8" borderId="39" applyAlignment="1" pivotButton="0" quotePrefix="0" xfId="0">
      <alignment horizontal="center"/>
    </xf>
    <xf numFmtId="2" fontId="2" fillId="2" borderId="70" applyAlignment="1" pivotButton="0" quotePrefix="0" xfId="0">
      <alignment horizontal="center" vertical="center" wrapText="1"/>
    </xf>
    <xf numFmtId="2" fontId="2" fillId="2" borderId="88" applyAlignment="1" pivotButton="0" quotePrefix="0" xfId="0">
      <alignment horizontal="center" vertical="center" wrapText="1"/>
    </xf>
    <xf numFmtId="0" fontId="2" fillId="2" borderId="15" applyAlignment="1" pivotButton="0" quotePrefix="0" xfId="0">
      <alignment horizontal="left"/>
    </xf>
    <xf numFmtId="2" fontId="51" fillId="0" borderId="45" applyAlignment="1" pivotButton="0" quotePrefix="0" xfId="0">
      <alignment horizontal="center" vertical="center"/>
    </xf>
    <xf numFmtId="0" fontId="13" fillId="0" borderId="45" pivotButton="0" quotePrefix="0" xfId="0"/>
    <xf numFmtId="0" fontId="38" fillId="0" borderId="43" pivotButton="0" quotePrefix="0" xfId="0"/>
    <xf numFmtId="0" fontId="2" fillId="3" borderId="89" applyAlignment="1" pivotButton="0" quotePrefix="0" xfId="0">
      <alignment horizontal="center" vertical="center" wrapText="1"/>
    </xf>
    <xf numFmtId="165" fontId="38" fillId="0" borderId="90" applyAlignment="1" pivotButton="0" quotePrefix="0" xfId="0">
      <alignment horizontal="right" vertical="center" wrapText="1"/>
    </xf>
    <xf numFmtId="4" fontId="38" fillId="0" borderId="90" pivotButton="0" quotePrefix="0" xfId="0"/>
    <xf numFmtId="2" fontId="4" fillId="0" borderId="90" applyAlignment="1" pivotButton="0" quotePrefix="0" xfId="0">
      <alignment horizontal="right" vertical="center" wrapText="1"/>
    </xf>
    <xf numFmtId="2" fontId="4" fillId="0" borderId="91" applyAlignment="1" pivotButton="0" quotePrefix="0" xfId="0">
      <alignment horizontal="right" vertical="center" wrapText="1"/>
    </xf>
    <xf numFmtId="10" fontId="38" fillId="0" borderId="92" applyAlignment="1" pivotButton="0" quotePrefix="0" xfId="0">
      <alignment horizontal="right" vertical="center" wrapText="1"/>
    </xf>
    <xf numFmtId="174" fontId="38" fillId="0" borderId="92" applyAlignment="1" pivotButton="0" quotePrefix="0" xfId="0">
      <alignment horizontal="right" vertical="center" wrapText="1"/>
    </xf>
    <xf numFmtId="2" fontId="4" fillId="0" borderId="92" applyAlignment="1" pivotButton="0" quotePrefix="0" xfId="0">
      <alignment horizontal="right" vertical="center" wrapText="1"/>
    </xf>
    <xf numFmtId="0" fontId="19" fillId="0" borderId="0" applyAlignment="1" pivotButton="0" quotePrefix="0" xfId="0">
      <alignment horizontal="left" vertical="center" wrapText="1"/>
    </xf>
    <xf numFmtId="10" fontId="4" fillId="0" borderId="0" applyAlignment="1" pivotButton="0" quotePrefix="0" xfId="0">
      <alignment horizontal="right" vertical="center" wrapText="1"/>
    </xf>
    <xf numFmtId="174" fontId="4" fillId="0" borderId="0" applyAlignment="1" pivotButton="0" quotePrefix="0" xfId="0">
      <alignment horizontal="right" vertical="center" wrapText="1"/>
    </xf>
    <xf numFmtId="0" fontId="19" fillId="0" borderId="0" applyAlignment="1" pivotButton="0" quotePrefix="0" xfId="0">
      <alignment horizontal="left" vertical="center" wrapText="1"/>
    </xf>
    <xf numFmtId="0" fontId="17" fillId="7" borderId="93" applyAlignment="1" pivotButton="0" quotePrefix="0" xfId="0">
      <alignment horizontal="center" vertical="center" wrapText="1"/>
    </xf>
    <xf numFmtId="0" fontId="14" fillId="7" borderId="33" applyAlignment="1" pivotButton="0" quotePrefix="0" xfId="0">
      <alignment horizontal="center" vertical="center" wrapText="1"/>
    </xf>
    <xf numFmtId="0" fontId="14" fillId="7" borderId="94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3" fillId="8" borderId="84" applyAlignment="1" pivotButton="0" quotePrefix="0" xfId="0">
      <alignment horizontal="center"/>
    </xf>
    <xf numFmtId="165" fontId="33" fillId="0" borderId="32" pivotButton="0" quotePrefix="0" xfId="0"/>
    <xf numFmtId="4" fontId="33" fillId="0" borderId="32" pivotButton="0" quotePrefix="0" xfId="0"/>
    <xf numFmtId="2" fontId="19" fillId="0" borderId="32" pivotButton="0" quotePrefix="0" xfId="0"/>
    <xf numFmtId="2" fontId="19" fillId="0" borderId="85" pivotButton="0" quotePrefix="0" xfId="0"/>
    <xf numFmtId="0" fontId="13" fillId="8" borderId="86" applyAlignment="1" pivotButton="0" quotePrefix="0" xfId="0">
      <alignment horizontal="center"/>
    </xf>
    <xf numFmtId="165" fontId="33" fillId="0" borderId="70" pivotButton="0" quotePrefix="0" xfId="0"/>
    <xf numFmtId="4" fontId="33" fillId="0" borderId="70" pivotButton="0" quotePrefix="0" xfId="0"/>
    <xf numFmtId="2" fontId="19" fillId="0" borderId="70" pivotButton="0" quotePrefix="0" xfId="0"/>
    <xf numFmtId="2" fontId="19" fillId="0" borderId="87" pivotButton="0" quotePrefix="0" xfId="0"/>
    <xf numFmtId="0" fontId="19" fillId="0" borderId="0" applyAlignment="1" pivotButton="0" quotePrefix="0" xfId="0">
      <alignment horizontal="center"/>
    </xf>
    <xf numFmtId="0" fontId="19" fillId="0" borderId="0" pivotButton="0" quotePrefix="0" xfId="0"/>
    <xf numFmtId="0" fontId="14" fillId="7" borderId="32" applyAlignment="1" pivotButton="0" quotePrefix="0" xfId="0">
      <alignment horizontal="center" wrapText="1"/>
    </xf>
    <xf numFmtId="0" fontId="33" fillId="7" borderId="32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wrapText="1"/>
    </xf>
    <xf numFmtId="0" fontId="9" fillId="8" borderId="32" applyAlignment="1" pivotButton="0" quotePrefix="0" xfId="0">
      <alignment horizontal="center"/>
    </xf>
    <xf numFmtId="165" fontId="56" fillId="2" borderId="32" applyAlignment="1" pivotButton="0" quotePrefix="0" xfId="0">
      <alignment horizontal="right"/>
    </xf>
    <xf numFmtId="4" fontId="57" fillId="0" borderId="32" pivotButton="0" quotePrefix="0" xfId="0"/>
    <xf numFmtId="10" fontId="38" fillId="0" borderId="32" applyAlignment="1" pivotButton="0" quotePrefix="0" xfId="0">
      <alignment horizontal="right" vertical="center" wrapText="1"/>
    </xf>
    <xf numFmtId="174" fontId="38" fillId="0" borderId="32" applyAlignment="1" pivotButton="0" quotePrefix="0" xfId="0">
      <alignment horizontal="right" vertical="center" wrapText="1"/>
    </xf>
    <xf numFmtId="2" fontId="4" fillId="0" borderId="85" applyAlignment="1" pivotButton="0" quotePrefix="0" xfId="0">
      <alignment horizontal="right" vertical="center" wrapText="1"/>
    </xf>
    <xf numFmtId="0" fontId="9" fillId="8" borderId="70" applyAlignment="1" pivotButton="0" quotePrefix="0" xfId="0">
      <alignment horizontal="center"/>
    </xf>
    <xf numFmtId="165" fontId="56" fillId="2" borderId="70" applyAlignment="1" pivotButton="0" quotePrefix="0" xfId="0">
      <alignment horizontal="right"/>
    </xf>
    <xf numFmtId="4" fontId="57" fillId="0" borderId="70" pivotButton="0" quotePrefix="0" xfId="0"/>
    <xf numFmtId="10" fontId="38" fillId="0" borderId="70" applyAlignment="1" pivotButton="0" quotePrefix="0" xfId="0">
      <alignment horizontal="right" vertical="center" wrapText="1"/>
    </xf>
    <xf numFmtId="174" fontId="38" fillId="0" borderId="70" applyAlignment="1" pivotButton="0" quotePrefix="0" xfId="0">
      <alignment horizontal="right" vertical="center" wrapText="1"/>
    </xf>
    <xf numFmtId="2" fontId="4" fillId="0" borderId="87" applyAlignment="1" pivotButton="0" quotePrefix="0" xfId="0">
      <alignment horizontal="right" vertical="center" wrapText="1"/>
    </xf>
    <xf numFmtId="10" fontId="19" fillId="0" borderId="0" pivotButton="0" quotePrefix="0" xfId="0"/>
    <xf numFmtId="0" fontId="14" fillId="7" borderId="0" applyAlignment="1" pivotButton="0" quotePrefix="0" xfId="0">
      <alignment horizontal="center" vertical="center" wrapText="1"/>
    </xf>
    <xf numFmtId="10" fontId="4" fillId="2" borderId="0" applyAlignment="1" pivotButton="0" quotePrefix="0" xfId="0">
      <alignment horizontal="center" vertical="center" wrapText="1"/>
    </xf>
    <xf numFmtId="0" fontId="9" fillId="8" borderId="70" applyAlignment="1" pivotButton="0" quotePrefix="0" xfId="0">
      <alignment horizontal="center"/>
    </xf>
    <xf numFmtId="10" fontId="4" fillId="2" borderId="92" applyAlignment="1" pivotButton="0" quotePrefix="0" xfId="0">
      <alignment horizontal="center" vertical="center" wrapText="1"/>
    </xf>
    <xf numFmtId="0" fontId="19" fillId="8" borderId="84" applyAlignment="1" pivotButton="0" quotePrefix="0" xfId="0">
      <alignment horizontal="center"/>
    </xf>
    <xf numFmtId="165" fontId="38" fillId="0" borderId="32" pivotButton="0" quotePrefix="0" xfId="0"/>
    <xf numFmtId="4" fontId="58" fillId="0" borderId="32" pivotButton="0" quotePrefix="0" xfId="0"/>
    <xf numFmtId="2" fontId="23" fillId="0" borderId="32" pivotButton="0" quotePrefix="0" xfId="0"/>
    <xf numFmtId="2" fontId="4" fillId="0" borderId="32" pivotButton="0" quotePrefix="0" xfId="0"/>
    <xf numFmtId="10" fontId="58" fillId="0" borderId="32" pivotButton="0" quotePrefix="0" xfId="0"/>
    <xf numFmtId="2" fontId="38" fillId="0" borderId="32" pivotButton="0" quotePrefix="0" xfId="0"/>
    <xf numFmtId="2" fontId="4" fillId="0" borderId="85" pivotButton="0" quotePrefix="0" xfId="0"/>
    <xf numFmtId="0" fontId="19" fillId="8" borderId="86" applyAlignment="1" pivotButton="0" quotePrefix="0" xfId="0">
      <alignment horizontal="center"/>
    </xf>
    <xf numFmtId="165" fontId="38" fillId="0" borderId="70" pivotButton="0" quotePrefix="0" xfId="0"/>
    <xf numFmtId="4" fontId="58" fillId="0" borderId="70" pivotButton="0" quotePrefix="0" xfId="0"/>
    <xf numFmtId="2" fontId="23" fillId="0" borderId="70" pivotButton="0" quotePrefix="0" xfId="0"/>
    <xf numFmtId="2" fontId="4" fillId="0" borderId="70" pivotButton="0" quotePrefix="0" xfId="0"/>
    <xf numFmtId="10" fontId="58" fillId="0" borderId="70" pivotButton="0" quotePrefix="0" xfId="0"/>
    <xf numFmtId="2" fontId="38" fillId="0" borderId="70" pivotButton="0" quotePrefix="0" xfId="0"/>
    <xf numFmtId="2" fontId="4" fillId="0" borderId="87" pivotButton="0" quotePrefix="0" xfId="0"/>
    <xf numFmtId="0" fontId="23" fillId="2" borderId="0" pivotButton="0" quotePrefix="0" xfId="0"/>
    <xf numFmtId="0" fontId="49" fillId="2" borderId="16" applyAlignment="1" pivotButton="0" quotePrefix="0" xfId="0">
      <alignment horizontal="left" vertical="top"/>
    </xf>
    <xf numFmtId="0" fontId="16" fillId="0" borderId="22" pivotButton="0" quotePrefix="0" xfId="0"/>
    <xf numFmtId="0" fontId="16" fillId="0" borderId="15" pivotButton="0" quotePrefix="0" xfId="0"/>
    <xf numFmtId="0" fontId="52" fillId="2" borderId="47" applyAlignment="1" pivotButton="0" quotePrefix="0" xfId="0">
      <alignment vertical="top" wrapText="1"/>
    </xf>
    <xf numFmtId="0" fontId="16" fillId="0" borderId="48" pivotButton="0" quotePrefix="0" xfId="0"/>
    <xf numFmtId="0" fontId="16" fillId="0" borderId="49" pivotButton="0" quotePrefix="0" xfId="0"/>
    <xf numFmtId="0" fontId="16" fillId="0" borderId="50" pivotButton="0" quotePrefix="0" xfId="0"/>
    <xf numFmtId="0" fontId="16" fillId="0" borderId="51" pivotButton="0" quotePrefix="0" xfId="0"/>
    <xf numFmtId="0" fontId="16" fillId="0" borderId="52" pivotButton="0" quotePrefix="0" xfId="0"/>
    <xf numFmtId="0" fontId="53" fillId="2" borderId="47" applyAlignment="1" pivotButton="0" quotePrefix="0" xfId="0">
      <alignment horizontal="left" vertical="top" wrapText="1"/>
    </xf>
    <xf numFmtId="0" fontId="28" fillId="2" borderId="16" applyAlignment="1" pivotButton="0" quotePrefix="0" xfId="0">
      <alignment horizontal="left" vertical="top" wrapText="1"/>
    </xf>
    <xf numFmtId="0" fontId="30" fillId="2" borderId="24" applyAlignment="1" pivotButton="0" quotePrefix="0" xfId="0">
      <alignment horizontal="left" vertical="top"/>
    </xf>
    <xf numFmtId="0" fontId="16" fillId="0" borderId="27" pivotButton="0" quotePrefix="0" xfId="0"/>
    <xf numFmtId="0" fontId="16" fillId="0" borderId="28" pivotButton="0" quotePrefix="0" xfId="0"/>
    <xf numFmtId="0" fontId="16" fillId="0" borderId="10" pivotButton="0" quotePrefix="0" xfId="0"/>
    <xf numFmtId="0" fontId="16" fillId="0" borderId="46" pivotButton="0" quotePrefix="0" xfId="0"/>
    <xf numFmtId="0" fontId="0" fillId="0" borderId="0" pivotButton="0" quotePrefix="0" xfId="0"/>
    <xf numFmtId="0" fontId="39" fillId="2" borderId="44" applyAlignment="1" pivotButton="0" quotePrefix="0" xfId="0">
      <alignment horizontal="left" vertical="top" wrapText="1"/>
    </xf>
    <xf numFmtId="0" fontId="41" fillId="2" borderId="47" applyAlignment="1" pivotButton="0" quotePrefix="0" xfId="0">
      <alignment vertical="center" wrapText="1"/>
    </xf>
    <xf numFmtId="169" fontId="29" fillId="2" borderId="55" applyAlignment="1" pivotButton="0" quotePrefix="0" xfId="0">
      <alignment horizontal="left" vertical="center" wrapText="1"/>
    </xf>
    <xf numFmtId="0" fontId="16" fillId="0" borderId="56" pivotButton="0" quotePrefix="0" xfId="0"/>
    <xf numFmtId="0" fontId="16" fillId="0" borderId="57" pivotButton="0" quotePrefix="0" xfId="0"/>
    <xf numFmtId="0" fontId="50" fillId="2" borderId="22" applyAlignment="1" pivotButton="0" quotePrefix="0" xfId="0">
      <alignment horizontal="left" vertical="top"/>
    </xf>
    <xf numFmtId="0" fontId="13" fillId="0" borderId="4" applyAlignment="1" pivotButton="0" quotePrefix="0" xfId="0">
      <alignment horizontal="center" vertical="center"/>
    </xf>
    <xf numFmtId="0" fontId="16" fillId="0" borderId="4" pivotButton="0" quotePrefix="0" xfId="0"/>
    <xf numFmtId="0" fontId="16" fillId="0" borderId="17" pivotButton="0" quotePrefix="0" xfId="0"/>
    <xf numFmtId="0" fontId="13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9" fontId="13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wrapText="1"/>
    </xf>
    <xf numFmtId="0" fontId="29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/>
    </xf>
    <xf numFmtId="0" fontId="25" fillId="0" borderId="0" applyAlignment="1" pivotButton="0" quotePrefix="0" xfId="0">
      <alignment wrapText="1"/>
    </xf>
    <xf numFmtId="4" fontId="10" fillId="0" borderId="0" applyAlignment="1" pivotButton="0" quotePrefix="0" xfId="0">
      <alignment horizontal="left" vertical="center"/>
    </xf>
    <xf numFmtId="0" fontId="66" fillId="0" borderId="14" applyAlignment="1" pivotButton="0" quotePrefix="0" xfId="1">
      <alignment horizontal="center" vertical="center"/>
    </xf>
    <xf numFmtId="0" fontId="65" fillId="0" borderId="14" pivotButton="0" quotePrefix="0" xfId="1"/>
    <xf numFmtId="0" fontId="68" fillId="11" borderId="95" applyAlignment="1" pivotButton="0" quotePrefix="0" xfId="1">
      <alignment horizontal="center" vertical="center"/>
    </xf>
    <xf numFmtId="0" fontId="68" fillId="11" borderId="96" applyAlignment="1" pivotButton="0" quotePrefix="0" xfId="1">
      <alignment horizontal="center" vertical="center"/>
    </xf>
    <xf numFmtId="0" fontId="68" fillId="11" borderId="96" applyAlignment="1" pivotButton="0" quotePrefix="0" xfId="1">
      <alignment horizontal="center" vertical="center"/>
    </xf>
    <xf numFmtId="0" fontId="65" fillId="0" borderId="97" applyAlignment="1" pivotButton="0" quotePrefix="0" xfId="1">
      <alignment horizontal="center" vertical="center"/>
    </xf>
    <xf numFmtId="0" fontId="65" fillId="0" borderId="98" applyAlignment="1" pivotButton="0" quotePrefix="0" xfId="1">
      <alignment horizontal="center" vertical="center"/>
    </xf>
    <xf numFmtId="0" fontId="65" fillId="0" borderId="98" applyAlignment="1" pivotButton="0" quotePrefix="0" xfId="1">
      <alignment horizontal="center" vertical="center"/>
    </xf>
    <xf numFmtId="0" fontId="68" fillId="12" borderId="95" applyAlignment="1" pivotButton="0" quotePrefix="0" xfId="1">
      <alignment horizontal="center" vertical="center"/>
    </xf>
    <xf numFmtId="0" fontId="68" fillId="13" borderId="99" applyAlignment="1" pivotButton="0" quotePrefix="0" xfId="1">
      <alignment horizontal="center" vertical="center"/>
    </xf>
    <xf numFmtId="0" fontId="68" fillId="12" borderId="96" applyAlignment="1" pivotButton="0" quotePrefix="0" xfId="1">
      <alignment horizontal="center" vertical="center"/>
    </xf>
    <xf numFmtId="0" fontId="68" fillId="14" borderId="100" applyAlignment="1" pivotButton="0" quotePrefix="0" xfId="1">
      <alignment horizontal="center" vertical="center"/>
    </xf>
    <xf numFmtId="3" fontId="65" fillId="0" borderId="101" pivotButton="0" quotePrefix="0" xfId="1"/>
    <xf numFmtId="0" fontId="68" fillId="13" borderId="97" applyAlignment="1" pivotButton="0" quotePrefix="0" xfId="1">
      <alignment horizontal="center" vertical="center"/>
    </xf>
    <xf numFmtId="3" fontId="68" fillId="14" borderId="98" pivotButton="0" quotePrefix="0" xfId="1"/>
    <xf numFmtId="0" fontId="69" fillId="15" borderId="102" applyAlignment="1" pivotButton="0" quotePrefix="0" xfId="1">
      <alignment horizontal="center" vertical="center"/>
    </xf>
    <xf numFmtId="3" fontId="68" fillId="16" borderId="103" pivotButton="0" quotePrefix="0" xfId="1"/>
    <xf numFmtId="0" fontId="68" fillId="13" borderId="95" applyAlignment="1" pivotButton="0" quotePrefix="0" xfId="1">
      <alignment horizontal="center" vertical="center"/>
    </xf>
    <xf numFmtId="0" fontId="68" fillId="13" borderId="104" applyAlignment="1" pivotButton="0" quotePrefix="0" xfId="1">
      <alignment horizontal="center" vertical="center"/>
    </xf>
    <xf numFmtId="0" fontId="68" fillId="12" borderId="105" applyAlignment="1" pivotButton="0" quotePrefix="0" xfId="1">
      <alignment horizontal="center" vertical="center"/>
    </xf>
    <xf numFmtId="0" fontId="68" fillId="12" borderId="101" applyAlignment="1" pivotButton="0" quotePrefix="0" xfId="1">
      <alignment horizontal="center" vertical="center"/>
    </xf>
    <xf numFmtId="0" fontId="68" fillId="12" borderId="101" applyAlignment="1" pivotButton="0" quotePrefix="0" xfId="1">
      <alignment horizontal="center" vertical="center"/>
    </xf>
    <xf numFmtId="0" fontId="68" fillId="0" borderId="106" applyAlignment="1" pivotButton="0" quotePrefix="0" xfId="1">
      <alignment horizontal="center" vertical="center"/>
    </xf>
    <xf numFmtId="0" fontId="65" fillId="0" borderId="107" pivotButton="0" quotePrefix="0" xfId="1"/>
    <xf numFmtId="3" fontId="65" fillId="0" borderId="107" pivotButton="0" quotePrefix="0" xfId="1"/>
    <xf numFmtId="0" fontId="68" fillId="0" borderId="107" applyAlignment="1" pivotButton="0" quotePrefix="0" xfId="1">
      <alignment horizontal="center" vertical="center"/>
    </xf>
    <xf numFmtId="3" fontId="65" fillId="0" borderId="108" pivotButton="0" quotePrefix="0" xfId="1"/>
    <xf numFmtId="0" fontId="65" fillId="0" borderId="107" pivotButton="0" quotePrefix="0" xfId="1"/>
    <xf numFmtId="0" fontId="65" fillId="0" borderId="108" pivotButton="0" quotePrefix="0" xfId="1"/>
    <xf numFmtId="0" fontId="68" fillId="0" borderId="106" applyAlignment="1" pivotButton="0" quotePrefix="0" xfId="1">
      <alignment horizontal="center" vertical="center"/>
    </xf>
    <xf numFmtId="0" fontId="68" fillId="13" borderId="106" applyAlignment="1" pivotButton="0" quotePrefix="0" xfId="1">
      <alignment horizontal="center" vertical="center"/>
    </xf>
    <xf numFmtId="3" fontId="68" fillId="17" borderId="107" pivotButton="0" quotePrefix="0" xfId="1"/>
    <xf numFmtId="0" fontId="68" fillId="13" borderId="107" applyAlignment="1" pivotButton="0" quotePrefix="0" xfId="1">
      <alignment horizontal="center" vertical="center"/>
    </xf>
    <xf numFmtId="3" fontId="68" fillId="17" borderId="108" pivotButton="0" quotePrefix="0" xfId="1"/>
    <xf numFmtId="0" fontId="69" fillId="18" borderId="109" applyAlignment="1" pivotButton="0" quotePrefix="0" xfId="1">
      <alignment horizontal="center" vertical="center"/>
    </xf>
    <xf numFmtId="3" fontId="68" fillId="17" borderId="110" applyAlignment="1" pivotButton="0" quotePrefix="0" xfId="1">
      <alignment horizontal="center" vertical="center"/>
    </xf>
    <xf numFmtId="0" fontId="69" fillId="19" borderId="111" applyAlignment="1" pivotButton="0" quotePrefix="0" xfId="1">
      <alignment horizontal="center" vertical="center"/>
    </xf>
    <xf numFmtId="0" fontId="69" fillId="19" borderId="112" applyAlignment="1" pivotButton="0" quotePrefix="0" xfId="1">
      <alignment horizontal="center" vertical="center"/>
    </xf>
    <xf numFmtId="0" fontId="69" fillId="19" borderId="112" applyAlignment="1" pivotButton="0" quotePrefix="0" xfId="1">
      <alignment horizontal="center" vertical="center"/>
    </xf>
    <xf numFmtId="0" fontId="65" fillId="0" borderId="105" pivotButton="0" quotePrefix="0" xfId="1"/>
    <xf numFmtId="0" fontId="65" fillId="0" borderId="101" pivotButton="0" quotePrefix="0" xfId="1"/>
    <xf numFmtId="0" fontId="65" fillId="0" borderId="101" applyAlignment="1" pivotButton="0" quotePrefix="0" xfId="1">
      <alignment horizontal="center" vertical="center"/>
    </xf>
    <xf numFmtId="3" fontId="65" fillId="0" borderId="113" pivotButton="0" quotePrefix="0" xfId="1"/>
    <xf numFmtId="175" fontId="65" fillId="0" borderId="101" pivotButton="0" quotePrefix="0" xfId="1"/>
    <xf numFmtId="3" fontId="69" fillId="15" borderId="102" applyAlignment="1" pivotButton="0" quotePrefix="0" xfId="1">
      <alignment horizontal="center" vertical="center"/>
    </xf>
    <xf numFmtId="0" fontId="68" fillId="16" borderId="114" applyAlignment="1" pivotButton="0" quotePrefix="0" xfId="1">
      <alignment horizontal="center" vertical="center"/>
    </xf>
    <xf numFmtId="0" fontId="68" fillId="16" borderId="114" applyAlignment="1" pivotButton="0" quotePrefix="0" xfId="1">
      <alignment horizontal="center" vertical="center"/>
    </xf>
    <xf numFmtId="0" fontId="68" fillId="16" borderId="115" applyAlignment="1" pivotButton="0" quotePrefix="0" xfId="1">
      <alignment horizontal="center" vertical="center"/>
    </xf>
    <xf numFmtId="0" fontId="68" fillId="16" borderId="116" applyAlignment="1" pivotButton="0" quotePrefix="0" xfId="1">
      <alignment horizontal="center" vertical="center"/>
    </xf>
    <xf numFmtId="0" fontId="68" fillId="16" borderId="116" applyAlignment="1" pivotButton="0" quotePrefix="0" xfId="1">
      <alignment horizontal="center" vertical="center"/>
    </xf>
    <xf numFmtId="3" fontId="68" fillId="16" borderId="116" applyAlignment="1" pivotButton="0" quotePrefix="0" xfId="1">
      <alignment horizontal="center" vertical="center"/>
    </xf>
    <xf numFmtId="0" fontId="68" fillId="16" borderId="117" applyAlignment="1" pivotButton="0" quotePrefix="0" xfId="1">
      <alignment horizontal="center" vertical="center"/>
    </xf>
    <xf numFmtId="0" fontId="65" fillId="0" borderId="101" pivotButton="0" quotePrefix="0" xfId="1"/>
    <xf numFmtId="4" fontId="65" fillId="0" borderId="113" pivotButton="0" quotePrefix="0" xfId="1"/>
    <xf numFmtId="3" fontId="69" fillId="18" borderId="102" applyAlignment="1" pivotButton="0" quotePrefix="0" xfId="1">
      <alignment horizontal="center" vertical="center"/>
    </xf>
    <xf numFmtId="176" fontId="68" fillId="16" borderId="116" applyAlignment="1" pivotButton="0" quotePrefix="0" xfId="1">
      <alignment horizontal="center" vertical="center"/>
    </xf>
    <xf numFmtId="0" fontId="69" fillId="18" borderId="111" applyAlignment="1" pivotButton="0" quotePrefix="0" xfId="1">
      <alignment horizontal="center" vertical="center"/>
    </xf>
    <xf numFmtId="0" fontId="69" fillId="18" borderId="112" applyAlignment="1" pivotButton="0" quotePrefix="0" xfId="1">
      <alignment horizontal="center" vertical="center"/>
    </xf>
    <xf numFmtId="0" fontId="69" fillId="18" borderId="112" applyAlignment="1" pivotButton="0" quotePrefix="0" xfId="1">
      <alignment horizontal="center" vertical="center"/>
    </xf>
    <xf numFmtId="3" fontId="68" fillId="16" borderId="116" applyAlignment="1" pivotButton="0" quotePrefix="0" xfId="1">
      <alignment horizontal="center" vertical="center"/>
    </xf>
    <xf numFmtId="0" fontId="0" fillId="0" borderId="104" pivotButton="0" quotePrefix="0" xfId="0"/>
    <xf numFmtId="0" fontId="0" fillId="0" borderId="132" pivotButton="0" quotePrefix="0" xfId="0"/>
    <xf numFmtId="0" fontId="0" fillId="0" borderId="136" pivotButton="0" quotePrefix="0" xfId="0"/>
    <xf numFmtId="0" fontId="0" fillId="0" borderId="137" pivotButton="0" quotePrefix="0" xfId="0"/>
    <xf numFmtId="0" fontId="0" fillId="0" borderId="119" pivotButton="0" quotePrefix="0" xfId="0"/>
    <xf numFmtId="0" fontId="0" fillId="0" borderId="128" pivotButton="0" quotePrefix="0" xfId="0"/>
    <xf numFmtId="0" fontId="0" fillId="0" borderId="133" pivotButton="0" quotePrefix="0" xfId="0"/>
    <xf numFmtId="0" fontId="0" fillId="0" borderId="114" pivotButton="0" quotePrefix="0" xfId="0"/>
    <xf numFmtId="0" fontId="0" fillId="0" borderId="113" pivotButton="0" quotePrefix="0" xfId="0"/>
    <xf numFmtId="0" fontId="0" fillId="0" borderId="105" pivotButton="0" quotePrefix="0" xfId="0"/>
    <xf numFmtId="0" fontId="0" fillId="0" borderId="127" pivotButton="0" quotePrefix="0" xfId="0"/>
    <xf numFmtId="0" fontId="0" fillId="0" borderId="130" pivotButton="0" quotePrefix="0" xfId="0"/>
    <xf numFmtId="0" fontId="0" fillId="0" borderId="131" pivotButton="0" quotePrefix="0" xfId="0"/>
    <xf numFmtId="0" fontId="0" fillId="0" borderId="124" pivotButton="0" quotePrefix="0" xfId="0"/>
    <xf numFmtId="175" fontId="65" fillId="0" borderId="101" pivotButton="0" quotePrefix="0" xfId="1"/>
    <xf numFmtId="0" fontId="0" fillId="0" borderId="121" pivotButton="0" quotePrefix="0" xfId="0"/>
    <xf numFmtId="0" fontId="0" fillId="0" borderId="102" pivotButton="0" quotePrefix="0" xfId="0"/>
    <xf numFmtId="0" fontId="0" fillId="0" borderId="122" pivotButton="0" quotePrefix="0" xfId="0"/>
    <xf numFmtId="176" fontId="68" fillId="16" borderId="116" applyAlignment="1" pivotButton="0" quotePrefix="0" xfId="1">
      <alignment horizontal="center" vertical="center"/>
    </xf>
    <xf numFmtId="169" fontId="18" fillId="3" borderId="7" applyAlignment="1" pivotButton="0" quotePrefix="0" xfId="0">
      <alignment horizontal="right" vertical="center"/>
    </xf>
    <xf numFmtId="169" fontId="18" fillId="2" borderId="8" applyAlignment="1" pivotButton="0" quotePrefix="0" xfId="0">
      <alignment horizontal="right" vertical="center"/>
    </xf>
    <xf numFmtId="169" fontId="17" fillId="3" borderId="7" pivotButton="0" quotePrefix="0" xfId="0"/>
    <xf numFmtId="169" fontId="17" fillId="3" borderId="7" applyAlignment="1" pivotButton="0" quotePrefix="0" xfId="0">
      <alignment horizontal="right" vertical="center"/>
    </xf>
    <xf numFmtId="169" fontId="17" fillId="2" borderId="8" applyAlignment="1" pivotButton="0" quotePrefix="0" xfId="0">
      <alignment horizontal="right" vertical="center"/>
    </xf>
    <xf numFmtId="0" fontId="0" fillId="0" borderId="22" pivotButton="0" quotePrefix="0" xfId="0"/>
    <xf numFmtId="0" fontId="30" fillId="2" borderId="20" applyAlignment="1" pivotButton="0" quotePrefix="0" xfId="0">
      <alignment horizontal="left" vertical="top"/>
    </xf>
    <xf numFmtId="0" fontId="0" fillId="0" borderId="15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10" pivotButton="0" quotePrefix="0" xfId="0"/>
    <xf numFmtId="0" fontId="30" fillId="2" borderId="141" applyAlignment="1" pivotButton="0" quotePrefix="0" xfId="0">
      <alignment horizontal="left" vertical="top"/>
    </xf>
    <xf numFmtId="0" fontId="39" fillId="2" borderId="142" applyAlignment="1" pivotButton="0" quotePrefix="0" xfId="0">
      <alignment horizontal="left" vertical="top" wrapText="1"/>
    </xf>
    <xf numFmtId="0" fontId="0" fillId="0" borderId="46" pivotButton="0" quotePrefix="0" xfId="0"/>
    <xf numFmtId="0" fontId="41" fillId="2" borderId="138" applyAlignment="1" pivotButton="0" quotePrefix="0" xfId="0">
      <alignment vertical="center" wrapText="1"/>
    </xf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169" fontId="29" fillId="2" borderId="54" applyAlignment="1" pivotButton="0" quotePrefix="0" xfId="0">
      <alignment vertical="top" wrapText="1"/>
    </xf>
    <xf numFmtId="169" fontId="29" fillId="2" borderId="138" applyAlignment="1" pivotButton="0" quotePrefix="0" xfId="0">
      <alignment horizontal="left" vertical="center" wrapText="1"/>
    </xf>
    <xf numFmtId="0" fontId="0" fillId="0" borderId="56" pivotButton="0" quotePrefix="0" xfId="0"/>
    <xf numFmtId="0" fontId="0" fillId="0" borderId="57" pivotButton="0" quotePrefix="0" xfId="0"/>
    <xf numFmtId="165" fontId="8" fillId="2" borderId="32" applyAlignment="1" pivotButton="0" quotePrefix="0" xfId="0">
      <alignment horizontal="center" vertical="center"/>
    </xf>
    <xf numFmtId="165" fontId="8" fillId="0" borderId="32" applyAlignment="1" pivotButton="0" quotePrefix="0" xfId="0">
      <alignment horizontal="center" vertical="center"/>
    </xf>
    <xf numFmtId="165" fontId="8" fillId="0" borderId="70" applyAlignment="1" pivotButton="0" quotePrefix="0" xfId="0">
      <alignment horizontal="center" vertical="center"/>
    </xf>
    <xf numFmtId="0" fontId="49" fillId="2" borderId="45" applyAlignment="1" pivotButton="0" quotePrefix="0" xfId="0">
      <alignment horizontal="left" vertical="top"/>
    </xf>
    <xf numFmtId="0" fontId="50" fillId="2" borderId="15" applyAlignment="1" pivotButton="0" quotePrefix="0" xfId="0">
      <alignment horizontal="left" vertical="top"/>
    </xf>
    <xf numFmtId="0" fontId="52" fillId="2" borderId="138" applyAlignment="1" pivotButton="0" quotePrefix="0" xfId="0">
      <alignment vertical="top" wrapText="1"/>
    </xf>
    <xf numFmtId="0" fontId="53" fillId="2" borderId="138" applyAlignment="1" pivotButton="0" quotePrefix="0" xfId="0">
      <alignment horizontal="left" vertical="top" wrapText="1"/>
    </xf>
    <xf numFmtId="169" fontId="29" fillId="2" borderId="76" applyAlignment="1" pivotButton="0" quotePrefix="0" xfId="0">
      <alignment horizontal="left" vertical="center" wrapText="1"/>
    </xf>
    <xf numFmtId="10" fontId="70" fillId="20" borderId="0" applyAlignment="1" pivotButton="0" quotePrefix="0" xfId="0">
      <alignment vertical="center" wrapText="1"/>
    </xf>
    <xf numFmtId="10" fontId="1" fillId="0" borderId="0" applyAlignment="1" pivotButton="0" quotePrefix="0" xfId="0">
      <alignment vertical="center" wrapText="1"/>
    </xf>
    <xf numFmtId="0" fontId="71" fillId="0" borderId="14" pivotButton="0" quotePrefix="0" xfId="2"/>
    <xf numFmtId="165" fontId="13" fillId="0" borderId="0" applyAlignment="1" pivotButton="0" quotePrefix="0" xfId="0">
      <alignment horizontal="right"/>
    </xf>
    <xf numFmtId="166" fontId="13" fillId="0" borderId="0" applyAlignment="1" pivotButton="0" quotePrefix="0" xfId="0">
      <alignment horizontal="right"/>
    </xf>
    <xf numFmtId="167" fontId="13" fillId="0" borderId="0" applyAlignment="1" pivotButton="0" quotePrefix="0" xfId="0">
      <alignment horizontal="right"/>
    </xf>
    <xf numFmtId="168" fontId="13" fillId="0" borderId="0" applyAlignment="1" pivotButton="0" quotePrefix="0" xfId="0">
      <alignment horizontal="right"/>
    </xf>
    <xf numFmtId="0" fontId="13" fillId="0" borderId="14" applyAlignment="1" pivotButton="0" quotePrefix="0" xfId="0">
      <alignment horizontal="center" vertical="center" wrapText="1"/>
    </xf>
    <xf numFmtId="9" fontId="13" fillId="0" borderId="14" applyAlignment="1" pivotButton="0" quotePrefix="0" xfId="0">
      <alignment horizontal="center" vertical="center"/>
    </xf>
    <xf numFmtId="0" fontId="13" fillId="0" borderId="143" applyAlignment="1" pivotButton="0" quotePrefix="0" xfId="0">
      <alignment horizontal="center" vertical="center" wrapText="1"/>
    </xf>
    <xf numFmtId="165" fontId="13" fillId="0" borderId="2" applyAlignment="1" pivotButton="0" quotePrefix="0" xfId="0">
      <alignment horizontal="right"/>
    </xf>
    <xf numFmtId="166" fontId="13" fillId="0" borderId="2" applyAlignment="1" pivotButton="0" quotePrefix="0" xfId="0">
      <alignment horizontal="right"/>
    </xf>
    <xf numFmtId="167" fontId="13" fillId="0" borderId="2" applyAlignment="1" pivotButton="0" quotePrefix="0" xfId="0">
      <alignment horizontal="right"/>
    </xf>
    <xf numFmtId="168" fontId="13" fillId="0" borderId="3" applyAlignment="1" pivotButton="0" quotePrefix="0" xfId="0">
      <alignment horizontal="right"/>
    </xf>
    <xf numFmtId="0" fontId="13" fillId="0" borderId="14" applyAlignment="1" pivotButton="0" quotePrefix="0" xfId="0">
      <alignment horizontal="center" vertical="center"/>
    </xf>
    <xf numFmtId="0" fontId="0" fillId="0" borderId="4" pivotButton="0" quotePrefix="0" xfId="0"/>
    <xf numFmtId="168" fontId="13" fillId="0" borderId="5" applyAlignment="1" pivotButton="0" quotePrefix="0" xfId="0">
      <alignment horizontal="right"/>
    </xf>
    <xf numFmtId="0" fontId="0" fillId="0" borderId="17" pivotButton="0" quotePrefix="0" xfId="0"/>
    <xf numFmtId="165" fontId="13" fillId="0" borderId="18" applyAlignment="1" pivotButton="0" quotePrefix="0" xfId="0">
      <alignment horizontal="right"/>
    </xf>
    <xf numFmtId="166" fontId="13" fillId="0" borderId="18" applyAlignment="1" pivotButton="0" quotePrefix="0" xfId="0">
      <alignment horizontal="right"/>
    </xf>
    <xf numFmtId="167" fontId="13" fillId="0" borderId="18" applyAlignment="1" pivotButton="0" quotePrefix="0" xfId="0">
      <alignment horizontal="right"/>
    </xf>
    <xf numFmtId="168" fontId="13" fillId="0" borderId="21" applyAlignment="1" pivotButton="0" quotePrefix="0" xfId="0">
      <alignment horizontal="right"/>
    </xf>
    <xf numFmtId="0" fontId="13" fillId="0" borderId="17" applyAlignment="1" pivotButton="0" quotePrefix="0" xfId="0">
      <alignment horizontal="center" vertical="center"/>
    </xf>
    <xf numFmtId="0" fontId="29" fillId="0" borderId="14" applyAlignment="1" pivotButton="0" quotePrefix="0" xfId="0">
      <alignment horizontal="left" vertical="center" wrapText="1"/>
    </xf>
    <xf numFmtId="0" fontId="13" fillId="0" borderId="143" applyAlignment="1" pivotButton="0" quotePrefix="0" xfId="0">
      <alignment horizontal="center" vertical="center"/>
    </xf>
    <xf numFmtId="173" fontId="15" fillId="0" borderId="0" pivotButton="0" quotePrefix="0" xfId="0"/>
    <xf numFmtId="0" fontId="29" fillId="0" borderId="14" applyAlignment="1" pivotButton="0" quotePrefix="0" xfId="0">
      <alignment vertical="center" wrapText="1"/>
    </xf>
    <xf numFmtId="0" fontId="70" fillId="21" borderId="144" applyAlignment="1" pivotButton="0" quotePrefix="0" xfId="0">
      <alignment horizontal="center" vertical="center" wrapText="1"/>
    </xf>
    <xf numFmtId="0" fontId="70" fillId="22" borderId="0" applyAlignment="1" pivotButton="0" quotePrefix="0" xfId="0">
      <alignment wrapText="1"/>
    </xf>
    <xf numFmtId="0" fontId="0" fillId="0" borderId="145" applyAlignment="1" pivotButton="0" quotePrefix="0" xfId="0">
      <alignment vertical="top" wrapText="1"/>
    </xf>
    <xf numFmtId="177" fontId="0" fillId="0" borderId="145" applyAlignment="1" pivotButton="0" quotePrefix="0" xfId="0">
      <alignment vertical="top" wrapText="1"/>
    </xf>
    <xf numFmtId="178" fontId="0" fillId="0" borderId="145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164" fontId="4" fillId="0" borderId="0" applyAlignment="1" pivotButton="0" quotePrefix="0" xfId="0">
      <alignment horizontal="left" vertical="center" wrapText="1"/>
    </xf>
    <xf numFmtId="164" fontId="14" fillId="0" borderId="0" applyAlignment="1" pivotButton="0" quotePrefix="0" xfId="0">
      <alignment horizontal="left" vertical="center" wrapText="1"/>
    </xf>
    <xf numFmtId="165" fontId="38" fillId="0" borderId="43" applyAlignment="1" pivotButton="0" quotePrefix="0" xfId="0">
      <alignment horizontal="right" vertical="center" wrapText="1"/>
    </xf>
    <xf numFmtId="174" fontId="38" fillId="0" borderId="0" applyAlignment="1" pivotButton="0" quotePrefix="0" xfId="0">
      <alignment horizontal="right" vertical="center" wrapText="1"/>
    </xf>
    <xf numFmtId="165" fontId="38" fillId="0" borderId="90" applyAlignment="1" pivotButton="0" quotePrefix="0" xfId="0">
      <alignment horizontal="right" vertical="center" wrapText="1"/>
    </xf>
    <xf numFmtId="174" fontId="38" fillId="0" borderId="92" applyAlignment="1" pivotButton="0" quotePrefix="0" xfId="0">
      <alignment horizontal="right" vertical="center" wrapText="1"/>
    </xf>
    <xf numFmtId="174" fontId="4" fillId="0" borderId="0" applyAlignment="1" pivotButton="0" quotePrefix="0" xfId="0">
      <alignment horizontal="right" vertical="center" wrapText="1"/>
    </xf>
    <xf numFmtId="165" fontId="33" fillId="0" borderId="32" pivotButton="0" quotePrefix="0" xfId="0"/>
    <xf numFmtId="165" fontId="33" fillId="0" borderId="70" pivotButton="0" quotePrefix="0" xfId="0"/>
    <xf numFmtId="165" fontId="56" fillId="2" borderId="32" applyAlignment="1" pivotButton="0" quotePrefix="0" xfId="0">
      <alignment horizontal="right"/>
    </xf>
    <xf numFmtId="174" fontId="38" fillId="0" borderId="32" applyAlignment="1" pivotButton="0" quotePrefix="0" xfId="0">
      <alignment horizontal="right" vertical="center" wrapText="1"/>
    </xf>
    <xf numFmtId="165" fontId="56" fillId="2" borderId="70" applyAlignment="1" pivotButton="0" quotePrefix="0" xfId="0">
      <alignment horizontal="right"/>
    </xf>
    <xf numFmtId="174" fontId="38" fillId="0" borderId="70" applyAlignment="1" pivotButton="0" quotePrefix="0" xfId="0">
      <alignment horizontal="right" vertical="center" wrapText="1"/>
    </xf>
    <xf numFmtId="165" fontId="38" fillId="0" borderId="32" pivotButton="0" quotePrefix="0" xfId="0"/>
    <xf numFmtId="165" fontId="38" fillId="0" borderId="70" pivotButton="0" quotePrefix="0" xfId="0"/>
    <xf numFmtId="0" fontId="25" fillId="0" borderId="14" applyAlignment="1" pivotButton="0" quotePrefix="0" xfId="0">
      <alignment wrapText="1"/>
    </xf>
    <xf numFmtId="4" fontId="10" fillId="0" borderId="14" applyAlignment="1" pivotButton="0" quotePrefix="0" xfId="0">
      <alignment horizontal="left" vertical="center"/>
    </xf>
    <xf numFmtId="170" fontId="26" fillId="0" borderId="0" applyAlignment="1" pivotButton="0" quotePrefix="0" xfId="0">
      <alignment horizontal="left" vertical="center"/>
    </xf>
    <xf numFmtId="167" fontId="26" fillId="0" borderId="0" applyAlignment="1" pivotButton="0" quotePrefix="0" xfId="0">
      <alignment horizontal="left" vertical="center"/>
    </xf>
    <xf numFmtId="171" fontId="34" fillId="0" borderId="0" applyAlignment="1" pivotButton="0" quotePrefix="0" xfId="0">
      <alignment horizontal="left" vertical="center"/>
    </xf>
    <xf numFmtId="172" fontId="13" fillId="0" borderId="0" applyAlignment="1" pivotButton="0" quotePrefix="0" xfId="0">
      <alignment horizontal="left"/>
    </xf>
  </cellXfs>
  <cellStyles count="3">
    <cellStyle name="표준" xfId="0" builtinId="0"/>
    <cellStyle name="표준 2" xfId="1"/>
    <cellStyle name="Hyperlink" xfId="2" builtinId="8" hidden="0"/>
  </cellStyles>
  <dxfs count="140"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CC0000"/>
      </font>
      <fill>
        <patternFill patternType="solid">
          <fgColor rgb="FFFCE8E6"/>
          <bgColor rgb="FFFCE8E6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ko-KR" altLang="en-US" b="0">
                <a:solidFill>
                  <a:srgbClr val="757575"/>
                </a:solidFill>
                <a:latin typeface="+mn-lt"/>
              </a:rPr>
              <a:t>동적자산배분 투자비중</a:t>
            </a:r>
          </a:p>
        </rich>
      </tx>
      <overlay val="0"/>
    </title>
    <plotArea>
      <layout/>
      <pie3D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F8EEE0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FCFCBF"/>
              </a:solidFill>
              <a:ln>
                <a:prstDash val="solid"/>
              </a:ln>
            </spPr>
          </dPt>
          <dPt>
            <idx val="2"/>
            <bubble3D val="0"/>
            <spPr>
              <a:solidFill>
                <a:srgbClr val="E7FCBF"/>
              </a:solidFill>
              <a:ln>
                <a:prstDash val="solid"/>
              </a:ln>
            </spPr>
          </dPt>
          <cat>
            <strRef>
              <f>대시보드!$G$1:$G$3</f>
              <strCache>
                <ptCount val="3"/>
                <pt idx="0">
                  <v>채권</v>
                </pt>
                <pt idx="1">
                  <v>변형 듀얼모멘텀</v>
                </pt>
                <pt idx="2">
                  <v>BAA</v>
                </pt>
              </strCache>
            </strRef>
          </cat>
          <val>
            <numRef>
              <f>대시보드!$H$1:$H$3</f>
              <numCache>
                <formatCode>[$₩]#,##0</formatCode>
                <ptCount val="3"/>
                <pt idx="0">
                  <v>2222222.133333333</v>
                </pt>
                <pt idx="1">
                  <v>2222222.133333333</v>
                </pt>
                <pt idx="2">
                  <v>2222222.133333333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</pie3DChart>
    </plotArea>
    <legend>
      <legendPos val="r"/>
      <overlay val="0"/>
      <txPr>
        <a:bodyPr/>
        <a:lstStyle/>
        <a:p>
          <a:pPr lvl="0">
            <a:defRPr sz="1000" b="0">
              <a:solidFill>
                <a:srgbClr val="1A1A1A"/>
              </a:solidFill>
              <a:latin typeface="+mn-lt"/>
            </a:defRPr>
          </a:pPr>
          <a:r>
            <a:t/>
          </a:r>
          <a:endParaRPr lang="ko-KR"/>
        </a:p>
      </txPr>
    </legend>
    <plotVisOnly val="1"/>
    <dispBlanksAs val="zero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lang="ko-KR" altLang="en-US" b="0">
                <a:solidFill>
                  <a:srgbClr val="757575"/>
                </a:solidFill>
                <a:latin typeface="Arial"/>
              </a:rPr>
              <a:t>전체 투자비중</a:t>
            </a:r>
          </a:p>
        </rich>
      </tx>
      <overlay val="0"/>
    </title>
    <plotArea>
      <layout/>
      <pie3D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674EA7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F9F773"/>
              </a:solidFill>
              <a:ln>
                <a:prstDash val="solid"/>
              </a:ln>
            </spPr>
          </dPt>
          <cat>
            <strRef>
              <f>대시보드!$B$2:$B$3</f>
              <strCache>
                <ptCount val="2"/>
                <pt idx="0">
                  <v>한국 개별주 퀀트</v>
                </pt>
                <pt idx="1">
                  <v>동적자산배분</v>
                </pt>
              </strCache>
            </strRef>
          </cat>
          <val>
            <numRef>
              <f>대시보드!$C$2:$C$3</f>
              <numCache>
                <formatCode>[$₩]#,##0</formatCode>
                <ptCount val="2"/>
                <pt idx="0">
                  <v>9999999.6</v>
                </pt>
                <pt idx="1">
                  <v>6666666.4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</pie3DChart>
    </plotArea>
    <legend>
      <legendPos val="r"/>
      <overlay val="0"/>
      <txPr>
        <a:bodyPr/>
        <a:lstStyle/>
        <a:p>
          <a:pPr lvl="0">
            <a:defRPr sz="1000" b="0">
              <a:solidFill>
                <a:srgbClr val="1A1A1A"/>
              </a:solidFill>
              <a:latin typeface="+mn-lt"/>
            </a:defRPr>
          </a:pPr>
          <a:r>
            <a:t/>
          </a:r>
          <a:endParaRPr lang="ko-KR"/>
        </a:p>
      </txPr>
    </legend>
    <plotVisOnly val="1"/>
    <dispBlanksAs val="zero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ayout/>
      <areaChart>
        <grouping val="standard"/>
        <varyColors val="1"/>
        <ser>
          <idx val="0"/>
          <order val="0"/>
          <tx>
            <strRef>
              <f>SPY!$F$27</f>
              <strCache>
                <ptCount val="1"/>
                <pt idx="0">
                  <v>Close</v>
                </pt>
              </strCache>
            </strRef>
          </tx>
          <spPr>
            <a:solidFill>
              <a:srgbClr val="4285F4"/>
            </a:solidFill>
            <a:ln cmpd="sng">
              <a:solidFill>
                <a:srgbClr val="4285F4"/>
              </a:solidFill>
              <a:prstDash val="solid"/>
            </a:ln>
          </spPr>
          <cat>
            <numRef>
              <f>SPY!$B$28:$B$1000</f>
              <numCache>
                <formatCode>mmm" "d", "yyyy</formatCode>
                <ptCount val="973"/>
                <pt idx="0">
                  <v>45868.6666666666</v>
                </pt>
                <pt idx="1">
                  <v>45869.6666666666</v>
                </pt>
                <pt idx="2">
                  <v>45870.6666666666</v>
                </pt>
                <pt idx="3">
                  <v>45873.6666666666</v>
                </pt>
                <pt idx="4">
                  <v>45874.6666666666</v>
                </pt>
                <pt idx="5">
                  <v>45875.6666666666</v>
                </pt>
                <pt idx="6">
                  <v>45876.6666666666</v>
                </pt>
                <pt idx="7">
                  <v>45877.6666666666</v>
                </pt>
                <pt idx="8">
                  <v>45880.6666666666</v>
                </pt>
                <pt idx="9">
                  <v>45881.6666666666</v>
                </pt>
                <pt idx="10">
                  <v>45882.6666666666</v>
                </pt>
                <pt idx="11">
                  <v>45883.6666666666</v>
                </pt>
                <pt idx="12">
                  <v>45884.6666666666</v>
                </pt>
                <pt idx="13">
                  <v>45887.6666666666</v>
                </pt>
                <pt idx="14">
                  <v>45888.6666666666</v>
                </pt>
                <pt idx="15">
                  <v>45889.6666666666</v>
                </pt>
                <pt idx="16">
                  <v>45890.6666666666</v>
                </pt>
                <pt idx="17">
                  <v>45891.6666666666</v>
                </pt>
                <pt idx="18">
                  <v>45894.6666666666</v>
                </pt>
                <pt idx="19">
                  <v>45895.6666666666</v>
                </pt>
                <pt idx="20">
                  <v>45896.6666666666</v>
                </pt>
                <pt idx="21">
                  <v>45897.6666666666</v>
                </pt>
                <pt idx="22">
                  <v>45898.6666666666</v>
                </pt>
                <pt idx="23">
                  <v>45902.6666666666</v>
                </pt>
                <pt idx="24">
                  <v>45903.6666666666</v>
                </pt>
                <pt idx="25">
                  <v>45904.6666666666</v>
                </pt>
                <pt idx="26">
                  <v>45905.6666666666</v>
                </pt>
                <pt idx="27">
                  <v>45908.6666666666</v>
                </pt>
                <pt idx="28">
                  <v>45909.6666666666</v>
                </pt>
                <pt idx="29">
                  <v>45910.6666666666</v>
                </pt>
                <pt idx="30">
                  <v>45911.6666666666</v>
                </pt>
                <pt idx="31">
                  <v>45912.6666666666</v>
                </pt>
                <pt idx="32">
                  <v>45915.6666666666</v>
                </pt>
                <pt idx="33">
                  <v>45916.6666666666</v>
                </pt>
                <pt idx="34">
                  <v>45917.6666666666</v>
                </pt>
                <pt idx="35">
                  <v>45918.6666666666</v>
                </pt>
                <pt idx="36">
                  <v>45919.6666666666</v>
                </pt>
                <pt idx="37">
                  <v>45922.6666666666</v>
                </pt>
                <pt idx="38">
                  <v>45923.6666666666</v>
                </pt>
                <pt idx="39">
                  <v>45924.6666666666</v>
                </pt>
                <pt idx="40">
                  <v>45925.6666666666</v>
                </pt>
                <pt idx="41">
                  <v>45926.6666666666</v>
                </pt>
                <pt idx="42">
                  <v>45929.6666666666</v>
                </pt>
                <pt idx="43">
                  <v>45930.6666666666</v>
                </pt>
                <pt idx="44">
                  <v>45931.6666666666</v>
                </pt>
                <pt idx="45">
                  <v>45932.6666666666</v>
                </pt>
                <pt idx="46">
                  <v>45933.6666666666</v>
                </pt>
                <pt idx="47">
                  <v>45936.6666666666</v>
                </pt>
                <pt idx="48">
                  <v>45937.6666666666</v>
                </pt>
                <pt idx="49">
                  <v>45938.6666666666</v>
                </pt>
                <pt idx="50">
                  <v>45939.6666666666</v>
                </pt>
                <pt idx="51">
                  <v>45940.6666666666</v>
                </pt>
                <pt idx="52">
                  <v>45943.6666666666</v>
                </pt>
                <pt idx="53">
                  <v>45944.6666666666</v>
                </pt>
                <pt idx="54">
                  <v>45945.6666666666</v>
                </pt>
                <pt idx="55">
                  <v>45946.6666666666</v>
                </pt>
                <pt idx="56">
                  <v>45947.6666666666</v>
                </pt>
                <pt idx="57">
                  <v>45950.6666666666</v>
                </pt>
                <pt idx="58">
                  <v>45951.6666666666</v>
                </pt>
                <pt idx="59">
                  <v>45952.6666666666</v>
                </pt>
                <pt idx="60">
                  <v>45953.6666666666</v>
                </pt>
                <pt idx="61">
                  <v>45954.6666666666</v>
                </pt>
                <pt idx="62">
                  <v>45957.6666666666</v>
                </pt>
                <pt idx="63">
                  <v>45958.6666666666</v>
                </pt>
                <pt idx="64">
                  <v>45959.6666666666</v>
                </pt>
                <pt idx="65">
                  <v>45960.6666666666</v>
                </pt>
                <pt idx="66">
                  <v>45961.6666666666</v>
                </pt>
                <pt idx="67">
                  <v>45964.6666666666</v>
                </pt>
                <pt idx="68">
                  <v>45965.6666666666</v>
                </pt>
                <pt idx="69">
                  <v>45966.6666666666</v>
                </pt>
                <pt idx="70">
                  <v>45967.6666666666</v>
                </pt>
                <pt idx="71">
                  <v>45968.6666666666</v>
                </pt>
                <pt idx="72">
                  <v>45971.6666666666</v>
                </pt>
                <pt idx="73">
                  <v>45972.6666666666</v>
                </pt>
                <pt idx="74">
                  <v>45973.6666666666</v>
                </pt>
                <pt idx="75">
                  <v>45974.6666666666</v>
                </pt>
                <pt idx="76">
                  <v>45975.6666666666</v>
                </pt>
                <pt idx="77">
                  <v>45978.6666666666</v>
                </pt>
                <pt idx="78">
                  <v>45979.6666666666</v>
                </pt>
                <pt idx="79">
                  <v>45980.6666666666</v>
                </pt>
                <pt idx="80">
                  <v>45981.6666666666</v>
                </pt>
                <pt idx="81">
                  <v>45982.6666666666</v>
                </pt>
                <pt idx="82">
                  <v>45985.6666666666</v>
                </pt>
                <pt idx="83">
                  <v>45986.6666666666</v>
                </pt>
                <pt idx="84">
                  <v>45987.6666666666</v>
                </pt>
                <pt idx="85">
                  <v>45989.5520833333</v>
                </pt>
                <pt idx="86">
                  <v>45992.6666666666</v>
                </pt>
                <pt idx="87">
                  <v>45993.6666666666</v>
                </pt>
                <pt idx="88">
                  <v>45994.6666666666</v>
                </pt>
                <pt idx="89">
                  <v>45995.6666666666</v>
                </pt>
                <pt idx="90">
                  <v>45996.6666666666</v>
                </pt>
                <pt idx="91">
                  <v>45999.6666666666</v>
                </pt>
                <pt idx="92">
                  <v>46000.6666666666</v>
                </pt>
                <pt idx="93">
                  <v>46001.6666666666</v>
                </pt>
                <pt idx="94">
                  <v>46002.6666666666</v>
                </pt>
                <pt idx="95">
                  <v>46003.6666666666</v>
                </pt>
                <pt idx="96">
                  <v>46006.6666666666</v>
                </pt>
                <pt idx="97">
                  <v>46007.6666666666</v>
                </pt>
                <pt idx="98">
                  <v>46008.6666666666</v>
                </pt>
                <pt idx="99">
                  <v>46009.6666666666</v>
                </pt>
                <pt idx="100">
                  <v>46010.6666666666</v>
                </pt>
                <pt idx="101">
                  <v>46013.6666666666</v>
                </pt>
                <pt idx="102">
                  <v>46014.6666666666</v>
                </pt>
                <pt idx="103">
                  <v>46015.5416666666</v>
                </pt>
                <pt idx="104">
                  <v>46017.6666666666</v>
                </pt>
                <pt idx="105">
                  <v>46020.6666666666</v>
                </pt>
                <pt idx="106">
                  <v>46021.6666666666</v>
                </pt>
                <pt idx="107">
                  <v>46022.6666666666</v>
                </pt>
                <pt idx="108">
                  <v>46024.6666666666</v>
                </pt>
                <pt idx="109">
                  <v>46027.6666666666</v>
                </pt>
                <pt idx="110">
                  <v>46028.6666666666</v>
                </pt>
                <pt idx="111">
                  <v>46029.6666666666</v>
                </pt>
                <pt idx="112">
                  <v>46030.6666666666</v>
                </pt>
                <pt idx="113">
                  <v>46031.6666666666</v>
                </pt>
                <pt idx="114">
                  <v>46034.6666666666</v>
                </pt>
                <pt idx="115">
                  <v>46035.6666666666</v>
                </pt>
                <pt idx="116">
                  <v>46036.6666666666</v>
                </pt>
                <pt idx="117">
                  <v>46037.6666666666</v>
                </pt>
                <pt idx="118">
                  <v>46038.6666666666</v>
                </pt>
                <pt idx="119">
                  <v>46042.6666666666</v>
                </pt>
                <pt idx="120">
                  <v>46043.6666666666</v>
                </pt>
                <pt idx="121">
                  <v>46044.6666666666</v>
                </pt>
                <pt idx="122">
                  <v>46045.6666666666</v>
                </pt>
                <pt idx="123">
                  <v>46048.6666666666</v>
                </pt>
                <pt idx="124">
                  <v>46049.6666666666</v>
                </pt>
                <pt idx="125">
                  <v>46050.6666666666</v>
                </pt>
                <pt idx="126">
                  <v>46051.6666666666</v>
                </pt>
                <pt idx="127">
                  <v>46052.6666666666</v>
                </pt>
                <pt idx="128">
                  <v>46055.6666666666</v>
                </pt>
                <pt idx="129">
                  <v>46056.6666666666</v>
                </pt>
                <pt idx="130">
                  <v>46057.6666666666</v>
                </pt>
                <pt idx="131">
                  <v>46058.6666666666</v>
                </pt>
                <pt idx="132">
                  <v>46059.6666666666</v>
                </pt>
                <pt idx="133">
                  <v>46062.6666666666</v>
                </pt>
                <pt idx="134">
                  <v>46063.6666666666</v>
                </pt>
                <pt idx="135">
                  <v>46064.6666666666</v>
                </pt>
                <pt idx="136">
                  <v>46065.6666666666</v>
                </pt>
                <pt idx="137">
                  <v>46066.6666666666</v>
                </pt>
                <pt idx="138">
                  <v>46070.6666666666</v>
                </pt>
                <pt idx="139">
                  <v>46071.6666666666</v>
                </pt>
                <pt idx="140">
                  <v>46072.6666666666</v>
                </pt>
                <pt idx="141">
                  <v>46073.6666666666</v>
                </pt>
                <pt idx="142">
                  <v>46076.6666666666</v>
                </pt>
                <pt idx="143">
                  <v>46077.6666666666</v>
                </pt>
                <pt idx="144">
                  <v>46078.6666666666</v>
                </pt>
                <pt idx="145">
                  <v>46079.6666666666</v>
                </pt>
                <pt idx="146">
                  <v>46080.6666666666</v>
                </pt>
                <pt idx="147">
                  <v>46083.6666666666</v>
                </pt>
                <pt idx="148">
                  <v>46084.6666666666</v>
                </pt>
                <pt idx="149">
                  <v>46085.6666666666</v>
                </pt>
                <pt idx="150">
                  <v>46086.6666666666</v>
                </pt>
                <pt idx="151">
                  <v>46087.6666666666</v>
                </pt>
                <pt idx="152">
                  <v>46090.6666666666</v>
                </pt>
                <pt idx="153">
                  <v>46091.6666666666</v>
                </pt>
                <pt idx="154">
                  <v>46092.6666666666</v>
                </pt>
                <pt idx="155">
                  <v>46093.6666666666</v>
                </pt>
                <pt idx="156">
                  <v>46094.6666666666</v>
                </pt>
                <pt idx="157">
                  <v>46097.6666666666</v>
                </pt>
                <pt idx="158">
                  <v>46098.6666666666</v>
                </pt>
                <pt idx="159">
                  <v>46099.6666666666</v>
                </pt>
                <pt idx="160">
                  <v>46100.6666666666</v>
                </pt>
                <pt idx="161">
                  <v>46101.6666666666</v>
                </pt>
                <pt idx="162">
                  <v>46104.6666666666</v>
                </pt>
                <pt idx="163">
                  <v>46105.6666666666</v>
                </pt>
                <pt idx="164">
                  <v>46106.6666666666</v>
                </pt>
                <pt idx="165">
                  <v>46107.6666666666</v>
                </pt>
                <pt idx="166">
                  <v>46108.6666666666</v>
                </pt>
                <pt idx="167">
                  <v>46111.6666666666</v>
                </pt>
                <pt idx="168">
                  <v>46112.6666666666</v>
                </pt>
                <pt idx="169">
                  <v>46113.6666666666</v>
                </pt>
                <pt idx="170">
                  <v>46114.6666666666</v>
                </pt>
                <pt idx="171">
                  <v>46118.6666666666</v>
                </pt>
                <pt idx="172">
                  <v>46119.6666666666</v>
                </pt>
                <pt idx="173">
                  <v>46120.6666666666</v>
                </pt>
                <pt idx="174">
                  <v>46121.6666666666</v>
                </pt>
                <pt idx="175">
                  <v>46122.6666666666</v>
                </pt>
                <pt idx="176">
                  <v>46125.6666666666</v>
                </pt>
                <pt idx="177">
                  <v>46126.6666666666</v>
                </pt>
                <pt idx="178">
                  <v>46127.6666666666</v>
                </pt>
                <pt idx="179">
                  <v>46128.6666666666</v>
                </pt>
                <pt idx="180">
                  <v>46129.6666666666</v>
                </pt>
                <pt idx="181">
                  <v>46132.6666666666</v>
                </pt>
                <pt idx="182">
                  <v>46133.6666666666</v>
                </pt>
                <pt idx="183">
                  <v>46134.6666666666</v>
                </pt>
                <pt idx="184">
                  <v>46135.6666666666</v>
                </pt>
                <pt idx="185">
                  <v>46136.6666666666</v>
                </pt>
                <pt idx="186">
                  <v>46139.6666666666</v>
                </pt>
                <pt idx="187">
                  <v>46140.6666666666</v>
                </pt>
                <pt idx="188">
                  <v>46141.6666666666</v>
                </pt>
                <pt idx="189">
                  <v>46142.6666666666</v>
                </pt>
                <pt idx="190">
                  <v>46143.6666666666</v>
                </pt>
                <pt idx="191">
                  <v>46146.6666666666</v>
                </pt>
                <pt idx="192">
                  <v>46147.6666666666</v>
                </pt>
                <pt idx="193">
                  <v>46148.6666666666</v>
                </pt>
                <pt idx="194">
                  <v>46149.6666666666</v>
                </pt>
                <pt idx="195">
                  <v>46150.6666666666</v>
                </pt>
                <pt idx="196">
                  <v>46153.6666666666</v>
                </pt>
                <pt idx="197">
                  <v>46154.6666666666</v>
                </pt>
                <pt idx="198">
                  <v>46155.6666666666</v>
                </pt>
                <pt idx="199">
                  <v>46156.6666666666</v>
                </pt>
                <pt idx="200">
                  <v>46157.6666666666</v>
                </pt>
                <pt idx="201">
                  <v>46160.6666666666</v>
                </pt>
                <pt idx="202">
                  <v>46161.6666666666</v>
                </pt>
                <pt idx="203">
                  <v>46162.6666666666</v>
                </pt>
                <pt idx="204">
                  <v>46163.6666666666</v>
                </pt>
                <pt idx="205">
                  <v>46164.6666666666</v>
                </pt>
                <pt idx="206">
                  <v>46168.6666666666</v>
                </pt>
                <pt idx="207">
                  <v>46169.6666666666</v>
                </pt>
                <pt idx="208">
                  <v>46170.6666666666</v>
                </pt>
                <pt idx="209">
                  <v>46171.6666666666</v>
                </pt>
                <pt idx="210">
                  <v>46174.6666666666</v>
                </pt>
                <pt idx="211">
                  <v>46175.6666666666</v>
                </pt>
                <pt idx="212">
                  <v>46176.6666666666</v>
                </pt>
                <pt idx="213">
                  <v>46177.6666666666</v>
                </pt>
                <pt idx="214">
                  <v>46178.6666666666</v>
                </pt>
                <pt idx="215">
                  <v>46181.6666666666</v>
                </pt>
                <pt idx="216">
                  <v>46182.6666666666</v>
                </pt>
                <pt idx="217">
                  <v>46183.6666666666</v>
                </pt>
                <pt idx="218">
                  <v>46184.6666666666</v>
                </pt>
                <pt idx="219">
                  <v>46185.6666666666</v>
                </pt>
                <pt idx="220">
                  <v>46188.6666666666</v>
                </pt>
                <pt idx="221">
                  <v>46189.6666666666</v>
                </pt>
                <pt idx="222">
                  <v>46190.6666666666</v>
                </pt>
                <pt idx="223">
                  <v>46191.6666666666</v>
                </pt>
                <pt idx="224">
                  <v>46195.6666666666</v>
                </pt>
                <pt idx="225">
                  <v>46196.6666666666</v>
                </pt>
                <pt idx="226">
                  <v>46197.6666666666</v>
                </pt>
                <pt idx="227">
                  <v>46198.6666666666</v>
                </pt>
                <pt idx="228">
                  <v>46199.6666666666</v>
                </pt>
                <pt idx="229">
                  <v>46202.6666666666</v>
                </pt>
                <pt idx="230">
                  <v>46203.6666666666</v>
                </pt>
                <pt idx="231">
                  <v>46204.6666666666</v>
                </pt>
                <pt idx="232">
                  <v>46205.6666666666</v>
                </pt>
                <pt idx="233">
                  <v>46209.6666666666</v>
                </pt>
                <pt idx="234">
                  <v>46210.6666666666</v>
                </pt>
                <pt idx="235">
                  <v>46211.6666666666</v>
                </pt>
                <pt idx="236">
                  <v>46212.6666666666</v>
                </pt>
                <pt idx="237">
                  <v>46213.6666666666</v>
                </pt>
                <pt idx="238">
                  <v>46216.6666666666</v>
                </pt>
                <pt idx="239">
                  <v>46217.6666666666</v>
                </pt>
                <pt idx="240">
                  <v>46218.6666666666</v>
                </pt>
                <pt idx="241">
                  <v>46219.6666666666</v>
                </pt>
                <pt idx="242">
                  <v>46220.6666666666</v>
                </pt>
                <pt idx="243">
                  <v>46223.6666666666</v>
                </pt>
                <pt idx="244">
                  <v>46224.6666666666</v>
                </pt>
                <pt idx="245">
                  <v>46225.6666666666</v>
                </pt>
                <pt idx="246">
                  <v>46226.6666666666</v>
                </pt>
                <pt idx="247">
                  <v>46227.6666666666</v>
                </pt>
                <pt idx="248">
                  <v>46230.6666666666</v>
                </pt>
                <pt idx="249">
                  <v>46231.6666666666</v>
                </pt>
                <pt idx="250">
                  <v>46232.6666666666</v>
                </pt>
              </numCache>
            </numRef>
          </cat>
          <val>
            <numRef>
              <f>SPY!$F$28:$F$1000</f>
              <numCache>
                <formatCode>#,##0.00</formatCode>
                <ptCount val="973"/>
                <pt idx="0">
                  <v>634.46</v>
                </pt>
                <pt idx="1">
                  <v>632.08</v>
                </pt>
                <pt idx="2">
                  <v>621.72</v>
                </pt>
                <pt idx="3">
                  <v>631.17</v>
                </pt>
                <pt idx="4">
                  <v>627.97</v>
                </pt>
                <pt idx="5">
                  <v>632.78</v>
                </pt>
                <pt idx="6">
                  <v>632.25</v>
                </pt>
                <pt idx="7">
                  <v>637.1799999999999</v>
                </pt>
                <pt idx="8">
                  <v>635.92</v>
                </pt>
                <pt idx="9">
                  <v>642.6900000000001</v>
                </pt>
                <pt idx="10">
                  <v>644.89</v>
                </pt>
                <pt idx="11">
                  <v>644.95</v>
                </pt>
                <pt idx="12">
                  <v>643.4400000000001</v>
                </pt>
                <pt idx="13">
                  <v>643.3</v>
                </pt>
                <pt idx="14">
                  <v>639.8099999999999</v>
                </pt>
                <pt idx="15">
                  <v>638.11</v>
                </pt>
                <pt idx="16">
                  <v>635.55</v>
                </pt>
                <pt idx="17">
                  <v>645.3099999999999</v>
                </pt>
                <pt idx="18">
                  <v>642.47</v>
                </pt>
                <pt idx="19">
                  <v>645.16</v>
                </pt>
                <pt idx="20">
                  <v>646.63</v>
                </pt>
                <pt idx="21">
                  <v>648.92</v>
                </pt>
                <pt idx="22">
                  <v>645.05</v>
                </pt>
                <pt idx="23">
                  <v>640.27</v>
                </pt>
                <pt idx="24">
                  <v>643.74</v>
                </pt>
                <pt idx="25">
                  <v>649.12</v>
                </pt>
                <pt idx="26">
                  <v>647.24</v>
                </pt>
                <pt idx="27">
                  <v>648.83</v>
                </pt>
                <pt idx="28">
                  <v>650.33</v>
                </pt>
                <pt idx="29">
                  <v>652.21</v>
                </pt>
                <pt idx="30">
                  <v>657.63</v>
                </pt>
                <pt idx="31">
                  <v>657.41</v>
                </pt>
                <pt idx="32">
                  <v>660.91</v>
                </pt>
                <pt idx="33">
                  <v>660</v>
                </pt>
                <pt idx="34">
                  <v>659.1799999999999</v>
                </pt>
                <pt idx="35">
                  <v>662.26</v>
                </pt>
                <pt idx="36">
                  <v>663.7</v>
                </pt>
                <pt idx="37">
                  <v>666.84</v>
                </pt>
                <pt idx="38">
                  <v>663.21</v>
                </pt>
                <pt idx="39">
                  <v>661.1</v>
                </pt>
                <pt idx="40">
                  <v>658.05</v>
                </pt>
                <pt idx="41">
                  <v>661.8200000000001</v>
                </pt>
                <pt idx="42">
                  <v>663.6799999999999</v>
                </pt>
                <pt idx="43">
                  <v>666.1799999999999</v>
                </pt>
                <pt idx="44">
                  <v>668.45</v>
                </pt>
                <pt idx="45">
                  <v>669.22</v>
                </pt>
                <pt idx="46">
                  <v>669.21</v>
                </pt>
                <pt idx="47">
                  <v>671.61</v>
                </pt>
                <pt idx="48">
                  <v>669.12</v>
                </pt>
                <pt idx="49">
                  <v>673.11</v>
                </pt>
                <pt idx="50">
                  <v>671.16</v>
                </pt>
                <pt idx="51">
                  <v>653.02</v>
                </pt>
                <pt idx="52">
                  <v>663.04</v>
                </pt>
                <pt idx="53">
                  <v>662.23</v>
                </pt>
                <pt idx="54">
                  <v>665.17</v>
                </pt>
                <pt idx="55">
                  <v>660.64</v>
                </pt>
                <pt idx="56">
                  <v>664.39</v>
                </pt>
                <pt idx="57">
                  <v>671.3</v>
                </pt>
                <pt idx="58">
                  <v>671.29</v>
                </pt>
                <pt idx="59">
                  <v>667.8</v>
                </pt>
                <pt idx="60">
                  <v>671.76</v>
                </pt>
                <pt idx="61">
                  <v>677.25</v>
                </pt>
                <pt idx="62">
                  <v>685.24</v>
                </pt>
                <pt idx="63">
                  <v>687.0599999999999</v>
                </pt>
                <pt idx="64">
                  <v>687.39</v>
                </pt>
                <pt idx="65">
                  <v>679.83</v>
                </pt>
                <pt idx="66">
                  <v>682.0599999999999</v>
                </pt>
                <pt idx="67">
                  <v>683.34</v>
                </pt>
                <pt idx="68">
                  <v>675.24</v>
                </pt>
                <pt idx="69">
                  <v>677.58</v>
                </pt>
                <pt idx="70">
                  <v>670.3099999999999</v>
                </pt>
                <pt idx="71">
                  <v>670.97</v>
                </pt>
                <pt idx="72">
                  <v>681.4400000000001</v>
                </pt>
                <pt idx="73">
                  <v>683</v>
                </pt>
                <pt idx="74">
                  <v>683.38</v>
                </pt>
                <pt idx="75">
                  <v>672.04</v>
                </pt>
                <pt idx="76">
                  <v>671.9299999999999</v>
                </pt>
                <pt idx="77">
                  <v>665.67</v>
                </pt>
                <pt idx="78">
                  <v>660.08</v>
                </pt>
                <pt idx="79">
                  <v>662.63</v>
                </pt>
                <pt idx="80">
                  <v>652.53</v>
                </pt>
                <pt idx="81">
                  <v>659.03</v>
                </pt>
                <pt idx="82">
                  <v>668.73</v>
                </pt>
                <pt idx="83">
                  <v>675.02</v>
                </pt>
                <pt idx="84">
                  <v>679.6799999999999</v>
                </pt>
                <pt idx="85">
                  <v>683.39</v>
                </pt>
                <pt idx="86">
                  <v>680.27</v>
                </pt>
                <pt idx="87">
                  <v>681.53</v>
                </pt>
                <pt idx="88">
                  <v>683.89</v>
                </pt>
                <pt idx="89">
                  <v>684.39</v>
                </pt>
                <pt idx="90">
                  <v>685.6900000000001</v>
                </pt>
                <pt idx="91">
                  <v>683.63</v>
                </pt>
                <pt idx="92">
                  <v>683.04</v>
                </pt>
                <pt idx="93">
                  <v>687.5700000000001</v>
                </pt>
                <pt idx="94">
                  <v>689.17</v>
                </pt>
                <pt idx="95">
                  <v>681.76</v>
                </pt>
                <pt idx="96">
                  <v>680.73</v>
                </pt>
                <pt idx="97">
                  <v>678.87</v>
                </pt>
                <pt idx="98">
                  <v>671.4</v>
                </pt>
                <pt idx="99">
                  <v>676.47</v>
                </pt>
                <pt idx="100">
                  <v>680.59</v>
                </pt>
                <pt idx="101">
                  <v>684.83</v>
                </pt>
                <pt idx="102">
                  <v>687.96</v>
                </pt>
                <pt idx="103">
                  <v>690.38</v>
                </pt>
                <pt idx="104">
                  <v>690.3099999999999</v>
                </pt>
                <pt idx="105">
                  <v>687.85</v>
                </pt>
                <pt idx="106">
                  <v>687.01</v>
                </pt>
                <pt idx="107">
                  <v>681.92</v>
                </pt>
                <pt idx="108">
                  <v>683.17</v>
                </pt>
                <pt idx="109">
                  <v>687.72</v>
                </pt>
                <pt idx="110">
                  <v>691.8099999999999</v>
                </pt>
                <pt idx="111">
                  <v>689.58</v>
                </pt>
                <pt idx="112">
                  <v>689.51</v>
                </pt>
                <pt idx="113">
                  <v>694.0700000000001</v>
                </pt>
                <pt idx="114">
                  <v>695.16</v>
                </pt>
                <pt idx="115">
                  <v>693.77</v>
                </pt>
                <pt idx="116">
                  <v>690.36</v>
                </pt>
                <pt idx="117">
                  <v>692.24</v>
                </pt>
                <pt idx="118">
                  <v>691.66</v>
                </pt>
                <pt idx="119">
                  <v>677.58</v>
                </pt>
                <pt idx="120">
                  <v>685.4</v>
                </pt>
                <pt idx="121">
                  <v>688.98</v>
                </pt>
                <pt idx="122">
                  <v>689.23</v>
                </pt>
                <pt idx="123">
                  <v>692.73</v>
                </pt>
                <pt idx="124">
                  <v>695.49</v>
                </pt>
                <pt idx="125">
                  <v>695.42</v>
                </pt>
                <pt idx="126">
                  <v>694.04</v>
                </pt>
                <pt idx="127">
                  <v>691.97</v>
                </pt>
                <pt idx="128">
                  <v>695.41</v>
                </pt>
                <pt idx="129">
                  <v>689.53</v>
                </pt>
                <pt idx="130">
                  <v>686.1900000000001</v>
                </pt>
                <pt idx="131">
                  <v>677.62</v>
                </pt>
                <pt idx="132">
                  <v>690.62</v>
                </pt>
                <pt idx="133">
                  <v>693.95</v>
                </pt>
                <pt idx="134">
                  <v>692.12</v>
                </pt>
                <pt idx="135">
                  <v>691.96</v>
                </pt>
                <pt idx="136">
                  <v>681.27</v>
                </pt>
                <pt idx="137">
                  <v>681.75</v>
                </pt>
                <pt idx="138">
                  <v>682.85</v>
                </pt>
                <pt idx="139">
                  <v>686.29</v>
                </pt>
                <pt idx="140">
                  <v>684.48</v>
                </pt>
                <pt idx="141">
                  <v>689.4299999999999</v>
                </pt>
                <pt idx="142">
                  <v>682.39</v>
                </pt>
                <pt idx="143">
                  <v>687.35</v>
                </pt>
                <pt idx="144">
                  <v>693.15</v>
                </pt>
                <pt idx="145">
                  <v>689.3</v>
                </pt>
                <pt idx="146">
                  <v>685.99</v>
                </pt>
                <pt idx="147">
                  <v>686.38</v>
                </pt>
                <pt idx="148">
                  <v>680.33</v>
                </pt>
                <pt idx="149">
                  <v>685.13</v>
                </pt>
                <pt idx="150">
                  <v>681.3099999999999</v>
                </pt>
                <pt idx="151">
                  <v>672.38</v>
                </pt>
                <pt idx="152">
                  <v>678.27</v>
                </pt>
                <pt idx="153">
                  <v>677.1799999999999</v>
                </pt>
                <pt idx="154">
                  <v>676.33</v>
                </pt>
                <pt idx="155">
                  <v>666.0599999999999</v>
                </pt>
                <pt idx="156">
                  <v>662.29</v>
                </pt>
                <pt idx="157">
                  <v>669.03</v>
                </pt>
                <pt idx="158">
                  <v>670.79</v>
                </pt>
                <pt idx="159">
                  <v>661.4299999999999</v>
                </pt>
                <pt idx="160">
                  <v>659.8</v>
                </pt>
                <pt idx="161">
                  <v>648.5700000000001</v>
                </pt>
                <pt idx="162">
                  <v>655.38</v>
                </pt>
                <pt idx="163">
                  <v>653.1799999999999</v>
                </pt>
                <pt idx="164">
                  <v>656.8200000000001</v>
                </pt>
                <pt idx="165">
                  <v>645.09</v>
                </pt>
                <pt idx="166">
                  <v>634.09</v>
                </pt>
                <pt idx="167">
                  <v>631.97</v>
                </pt>
                <pt idx="168">
                  <v>650.34</v>
                </pt>
                <pt idx="169">
                  <v>655.24</v>
                </pt>
                <pt idx="170">
                  <v>655.83</v>
                </pt>
                <pt idx="171">
                  <v>658.9299999999999</v>
                </pt>
                <pt idx="172">
                  <v>659.22</v>
                </pt>
                <pt idx="173">
                  <v>676.01</v>
                </pt>
                <pt idx="174">
                  <v>679.91</v>
                </pt>
                <pt idx="175">
                  <v>679.46</v>
                </pt>
                <pt idx="176">
                  <v>686.1</v>
                </pt>
                <pt idx="177">
                  <v>694.46</v>
                </pt>
                <pt idx="178">
                  <v>699.9400000000001</v>
                </pt>
                <pt idx="179">
                  <v>701.66</v>
                </pt>
                <pt idx="180">
                  <v>710.14</v>
                </pt>
                <pt idx="181">
                  <v>708.72</v>
                </pt>
                <pt idx="182">
                  <v>704.08</v>
                </pt>
                <pt idx="183">
                  <v>711.21</v>
                </pt>
                <pt idx="184">
                  <v>708.45</v>
                </pt>
                <pt idx="185">
                  <v>713.9400000000001</v>
                </pt>
                <pt idx="186">
                  <v>715.17</v>
                </pt>
                <pt idx="187">
                  <v>711.6900000000001</v>
                </pt>
                <pt idx="188">
                  <v>711.58</v>
                </pt>
                <pt idx="189">
                  <v>718.66</v>
                </pt>
                <pt idx="190">
                  <v>720.65</v>
                </pt>
                <pt idx="191">
                  <v>718.01</v>
                </pt>
                <pt idx="192">
                  <v>723.77</v>
                </pt>
                <pt idx="193">
                  <v>733.83</v>
                </pt>
                <pt idx="194">
                  <v>731.58</v>
                </pt>
                <pt idx="195">
                  <v>737.62</v>
                </pt>
                <pt idx="196">
                  <v>739.3</v>
                </pt>
                <pt idx="197">
                  <v>738.1799999999999</v>
                </pt>
                <pt idx="198">
                  <v>742.3099999999999</v>
                </pt>
                <pt idx="199">
                  <v>748.17</v>
                </pt>
                <pt idx="200">
                  <v>739.17</v>
                </pt>
                <pt idx="201">
                  <v>738.65</v>
                </pt>
                <pt idx="202">
                  <v>733.73</v>
                </pt>
                <pt idx="203">
                  <v>741.25</v>
                </pt>
                <pt idx="204">
                  <v>742.72</v>
                </pt>
                <pt idx="205">
                  <v>745.64</v>
                </pt>
                <pt idx="206">
                  <v>750.59</v>
                </pt>
                <pt idx="207">
                  <v>750.46</v>
                </pt>
                <pt idx="208">
                  <v>754.6</v>
                </pt>
                <pt idx="209">
                  <v>756.48</v>
                </pt>
                <pt idx="210">
                  <v>758.54</v>
                </pt>
                <pt idx="211">
                  <v>759.5700000000001</v>
                </pt>
                <pt idx="212">
                  <v>754.24</v>
                </pt>
                <pt idx="213">
                  <v>757.09</v>
                </pt>
                <pt idx="214">
                  <v>737.55</v>
                </pt>
                <pt idx="215">
                  <v>739.22</v>
                </pt>
                <pt idx="216">
                  <v>737.05</v>
                </pt>
                <pt idx="217">
                  <v>725.4299999999999</v>
                </pt>
                <pt idx="218">
                  <v>737.76</v>
                </pt>
                <pt idx="219">
                  <v>741.75</v>
                </pt>
                <pt idx="220">
                  <v>754.83</v>
                </pt>
                <pt idx="221">
                  <v>750.33</v>
                </pt>
                <pt idx="222">
                  <v>740.96</v>
                </pt>
                <pt idx="223">
                  <v>746.74</v>
                </pt>
                <pt idx="224">
                  <v>744.39</v>
                </pt>
                <pt idx="225">
                  <v>733.58</v>
                </pt>
                <pt idx="226">
                  <v>733.24</v>
                </pt>
                <pt idx="227">
                  <v>734.3</v>
                </pt>
                <pt idx="228">
                  <v>728.99</v>
                </pt>
                <pt idx="229">
                  <v>741</v>
                </pt>
                <pt idx="230">
                  <v>746.77</v>
                </pt>
                <pt idx="231">
                  <v>745.76</v>
                </pt>
                <pt idx="232">
                  <v>744.78</v>
                </pt>
                <pt idx="233">
                  <v>751.28</v>
                </pt>
                <pt idx="234">
                  <v>747.71</v>
                </pt>
                <pt idx="235">
                  <v>745.4</v>
                </pt>
                <pt idx="236">
                  <v>751.71</v>
                </pt>
                <pt idx="237">
                  <v>754.95</v>
                </pt>
                <pt idx="238">
                  <v>749.17</v>
                </pt>
                <pt idx="239">
                  <v>751.83</v>
                </pt>
                <pt idx="240">
                  <v>754.8099999999999</v>
                </pt>
                <pt idx="241">
                  <v>750.72</v>
                </pt>
                <pt idx="242">
                  <v>743.29</v>
                </pt>
                <pt idx="243">
                  <v>742.09</v>
                </pt>
                <pt idx="244">
                  <v>748.28</v>
                </pt>
                <pt idx="245">
                  <v>747.41</v>
                </pt>
                <pt idx="246">
                  <v>738.1799999999999</v>
                </pt>
                <pt idx="247">
                  <v>738.9299999999999</v>
                </pt>
                <pt idx="248">
                  <v>739.09</v>
                </pt>
                <pt idx="249">
                  <v>740.86</v>
                </pt>
                <pt idx="250">
                  <v>729.46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ko-KR"/>
        </a:p>
      </txPr>
    </legend>
    <plotVisOnly val="1"/>
    <dispBlanksAs val="zero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ayout/>
      <areaChart>
        <grouping val="standard"/>
        <varyColors val="1"/>
        <ser>
          <idx val="0"/>
          <order val="0"/>
          <tx>
            <strRef>
              <f>VNQ!$F$27</f>
              <strCache>
                <ptCount val="1"/>
                <pt idx="0">
                  <v>Close</v>
                </pt>
              </strCache>
            </strRef>
          </tx>
          <spPr>
            <a:solidFill>
              <a:srgbClr val="4285F4"/>
            </a:solidFill>
            <a:ln cmpd="sng">
              <a:solidFill>
                <a:srgbClr val="4285F4"/>
              </a:solidFill>
              <a:prstDash val="solid"/>
            </a:ln>
          </spPr>
          <cat>
            <numRef>
              <f>VNQ!$B$28:$B$1000</f>
              <numCache>
                <formatCode>mmm" "d", "yyyy</formatCode>
                <ptCount val="973"/>
                <pt idx="0">
                  <v>45868.6666666666</v>
                </pt>
                <pt idx="1">
                  <v>45869.6666666666</v>
                </pt>
                <pt idx="2">
                  <v>45870.6666666666</v>
                </pt>
                <pt idx="3">
                  <v>45873.6666666666</v>
                </pt>
                <pt idx="4">
                  <v>45874.6666666666</v>
                </pt>
                <pt idx="5">
                  <v>45875.6666666666</v>
                </pt>
                <pt idx="6">
                  <v>45876.6666666666</v>
                </pt>
                <pt idx="7">
                  <v>45877.6666666666</v>
                </pt>
                <pt idx="8">
                  <v>45880.6666666666</v>
                </pt>
                <pt idx="9">
                  <v>45881.6666666666</v>
                </pt>
                <pt idx="10">
                  <v>45882.6666666666</v>
                </pt>
                <pt idx="11">
                  <v>45883.6666666666</v>
                </pt>
                <pt idx="12">
                  <v>45884.6666666666</v>
                </pt>
                <pt idx="13">
                  <v>45887.6666666666</v>
                </pt>
                <pt idx="14">
                  <v>45888.6666666666</v>
                </pt>
                <pt idx="15">
                  <v>45889.6666666666</v>
                </pt>
                <pt idx="16">
                  <v>45890.6666666666</v>
                </pt>
                <pt idx="17">
                  <v>45891.6666666666</v>
                </pt>
                <pt idx="18">
                  <v>45894.6666666666</v>
                </pt>
                <pt idx="19">
                  <v>45895.6666666666</v>
                </pt>
                <pt idx="20">
                  <v>45896.6666666666</v>
                </pt>
                <pt idx="21">
                  <v>45897.6666666666</v>
                </pt>
                <pt idx="22">
                  <v>45898.6666666666</v>
                </pt>
                <pt idx="23">
                  <v>45902.6666666666</v>
                </pt>
                <pt idx="24">
                  <v>45903.6666666666</v>
                </pt>
                <pt idx="25">
                  <v>45904.6666666666</v>
                </pt>
                <pt idx="26">
                  <v>45905.6666666666</v>
                </pt>
                <pt idx="27">
                  <v>45908.6666666666</v>
                </pt>
                <pt idx="28">
                  <v>45909.6666666666</v>
                </pt>
                <pt idx="29">
                  <v>45910.6666666666</v>
                </pt>
                <pt idx="30">
                  <v>45911.6666666666</v>
                </pt>
                <pt idx="31">
                  <v>45912.6666666666</v>
                </pt>
                <pt idx="32">
                  <v>45915.6666666666</v>
                </pt>
                <pt idx="33">
                  <v>45916.6666666666</v>
                </pt>
                <pt idx="34">
                  <v>45917.6666666666</v>
                </pt>
                <pt idx="35">
                  <v>45918.6666666666</v>
                </pt>
                <pt idx="36">
                  <v>45919.6666666666</v>
                </pt>
                <pt idx="37">
                  <v>45922.6666666666</v>
                </pt>
                <pt idx="38">
                  <v>45923.6666666666</v>
                </pt>
                <pt idx="39">
                  <v>45924.6666666666</v>
                </pt>
                <pt idx="40">
                  <v>45925.6666666666</v>
                </pt>
                <pt idx="41">
                  <v>45926.6666666666</v>
                </pt>
                <pt idx="42">
                  <v>45929.6666666666</v>
                </pt>
                <pt idx="43">
                  <v>45930.6666666666</v>
                </pt>
                <pt idx="44">
                  <v>45931.6666666666</v>
                </pt>
                <pt idx="45">
                  <v>45932.6666666666</v>
                </pt>
                <pt idx="46">
                  <v>45933.6666666666</v>
                </pt>
                <pt idx="47">
                  <v>45936.6666666666</v>
                </pt>
                <pt idx="48">
                  <v>45937.6666666666</v>
                </pt>
                <pt idx="49">
                  <v>45938.6666666666</v>
                </pt>
                <pt idx="50">
                  <v>45939.6666666666</v>
                </pt>
                <pt idx="51">
                  <v>45940.6666666666</v>
                </pt>
                <pt idx="52">
                  <v>45943.6666666666</v>
                </pt>
                <pt idx="53">
                  <v>45944.6666666666</v>
                </pt>
                <pt idx="54">
                  <v>45945.6666666666</v>
                </pt>
                <pt idx="55">
                  <v>45946.6666666666</v>
                </pt>
                <pt idx="56">
                  <v>45947.6666666666</v>
                </pt>
                <pt idx="57">
                  <v>45950.6666666666</v>
                </pt>
                <pt idx="58">
                  <v>45951.6666666666</v>
                </pt>
                <pt idx="59">
                  <v>45952.6666666666</v>
                </pt>
                <pt idx="60">
                  <v>45953.6666666666</v>
                </pt>
                <pt idx="61">
                  <v>45954.6666666666</v>
                </pt>
                <pt idx="62">
                  <v>45957.6666666666</v>
                </pt>
                <pt idx="63">
                  <v>45958.6666666666</v>
                </pt>
                <pt idx="64">
                  <v>45959.6666666666</v>
                </pt>
                <pt idx="65">
                  <v>45960.6666666666</v>
                </pt>
                <pt idx="66">
                  <v>45961.6666666666</v>
                </pt>
                <pt idx="67">
                  <v>45964.6666666666</v>
                </pt>
                <pt idx="68">
                  <v>45965.6666666666</v>
                </pt>
                <pt idx="69">
                  <v>45966.6666666666</v>
                </pt>
                <pt idx="70">
                  <v>45967.6666666666</v>
                </pt>
                <pt idx="71">
                  <v>45968.6666666666</v>
                </pt>
                <pt idx="72">
                  <v>45971.6666666666</v>
                </pt>
                <pt idx="73">
                  <v>45972.6666666666</v>
                </pt>
                <pt idx="74">
                  <v>45973.6666666666</v>
                </pt>
                <pt idx="75">
                  <v>45974.6666666666</v>
                </pt>
                <pt idx="76">
                  <v>45975.6666666666</v>
                </pt>
                <pt idx="77">
                  <v>45978.6666666666</v>
                </pt>
                <pt idx="78">
                  <v>45979.6666666666</v>
                </pt>
                <pt idx="79">
                  <v>45980.6666666666</v>
                </pt>
                <pt idx="80">
                  <v>45981.6666666666</v>
                </pt>
                <pt idx="81">
                  <v>45982.6666666666</v>
                </pt>
                <pt idx="82">
                  <v>45985.6666666666</v>
                </pt>
                <pt idx="83">
                  <v>45986.6666666666</v>
                </pt>
                <pt idx="84">
                  <v>45987.6666666666</v>
                </pt>
                <pt idx="85">
                  <v>45989.5520833333</v>
                </pt>
                <pt idx="86">
                  <v>45992.6666666666</v>
                </pt>
                <pt idx="87">
                  <v>45993.6666666666</v>
                </pt>
                <pt idx="88">
                  <v>45994.6666666666</v>
                </pt>
                <pt idx="89">
                  <v>45995.6666666666</v>
                </pt>
                <pt idx="90">
                  <v>45996.6666666666</v>
                </pt>
                <pt idx="91">
                  <v>45999.6666666666</v>
                </pt>
                <pt idx="92">
                  <v>46000.6666666666</v>
                </pt>
                <pt idx="93">
                  <v>46001.6666666666</v>
                </pt>
                <pt idx="94">
                  <v>46002.6666666666</v>
                </pt>
                <pt idx="95">
                  <v>46003.6666666666</v>
                </pt>
                <pt idx="96">
                  <v>46006.6666666666</v>
                </pt>
                <pt idx="97">
                  <v>46007.6666666666</v>
                </pt>
                <pt idx="98">
                  <v>46008.6666666666</v>
                </pt>
                <pt idx="99">
                  <v>46009.6666666666</v>
                </pt>
                <pt idx="100">
                  <v>46010.6666666666</v>
                </pt>
                <pt idx="101">
                  <v>46013.6666666666</v>
                </pt>
                <pt idx="102">
                  <v>46014.6666666666</v>
                </pt>
                <pt idx="103">
                  <v>46015.5416666666</v>
                </pt>
                <pt idx="104">
                  <v>46017.6666666666</v>
                </pt>
                <pt idx="105">
                  <v>46020.6666666666</v>
                </pt>
                <pt idx="106">
                  <v>46021.6666666666</v>
                </pt>
                <pt idx="107">
                  <v>46022.6666666666</v>
                </pt>
                <pt idx="108">
                  <v>46024.6666666666</v>
                </pt>
                <pt idx="109">
                  <v>46027.6666666666</v>
                </pt>
                <pt idx="110">
                  <v>46028.6666666666</v>
                </pt>
                <pt idx="111">
                  <v>46029.6666666666</v>
                </pt>
                <pt idx="112">
                  <v>46030.6666666666</v>
                </pt>
                <pt idx="113">
                  <v>46031.6666666666</v>
                </pt>
                <pt idx="114">
                  <v>46034.6666666666</v>
                </pt>
                <pt idx="115">
                  <v>46035.6666666666</v>
                </pt>
                <pt idx="116">
                  <v>46036.6666666666</v>
                </pt>
                <pt idx="117">
                  <v>46037.6666666666</v>
                </pt>
                <pt idx="118">
                  <v>46038.6666666666</v>
                </pt>
                <pt idx="119">
                  <v>46042.6666666666</v>
                </pt>
                <pt idx="120">
                  <v>46043.6666666666</v>
                </pt>
                <pt idx="121">
                  <v>46044.6666666666</v>
                </pt>
                <pt idx="122">
                  <v>46045.6666666666</v>
                </pt>
                <pt idx="123">
                  <v>46048.6666666666</v>
                </pt>
                <pt idx="124">
                  <v>46049.6666666666</v>
                </pt>
                <pt idx="125">
                  <v>46050.6666666666</v>
                </pt>
                <pt idx="126">
                  <v>46051.6666666666</v>
                </pt>
                <pt idx="127">
                  <v>46052.6666666666</v>
                </pt>
                <pt idx="128">
                  <v>46055.6666666666</v>
                </pt>
                <pt idx="129">
                  <v>46056.6666666666</v>
                </pt>
                <pt idx="130">
                  <v>46057.6666666666</v>
                </pt>
                <pt idx="131">
                  <v>46058.6666666666</v>
                </pt>
                <pt idx="132">
                  <v>46059.6666666666</v>
                </pt>
                <pt idx="133">
                  <v>46062.6666666666</v>
                </pt>
                <pt idx="134">
                  <v>46063.6666666666</v>
                </pt>
                <pt idx="135">
                  <v>46064.6666666666</v>
                </pt>
                <pt idx="136">
                  <v>46065.6666666666</v>
                </pt>
                <pt idx="137">
                  <v>46066.6666666666</v>
                </pt>
                <pt idx="138">
                  <v>46070.6666666666</v>
                </pt>
                <pt idx="139">
                  <v>46071.6666666666</v>
                </pt>
                <pt idx="140">
                  <v>46072.6666666666</v>
                </pt>
                <pt idx="141">
                  <v>46073.6666666666</v>
                </pt>
                <pt idx="142">
                  <v>46076.6666666666</v>
                </pt>
                <pt idx="143">
                  <v>46077.6666666666</v>
                </pt>
                <pt idx="144">
                  <v>46078.6666666666</v>
                </pt>
                <pt idx="145">
                  <v>46079.6666666666</v>
                </pt>
                <pt idx="146">
                  <v>46080.6666666666</v>
                </pt>
                <pt idx="147">
                  <v>46083.6666666666</v>
                </pt>
                <pt idx="148">
                  <v>46084.6666666666</v>
                </pt>
                <pt idx="149">
                  <v>46085.6666666666</v>
                </pt>
                <pt idx="150">
                  <v>46086.6666666666</v>
                </pt>
                <pt idx="151">
                  <v>46087.6666666666</v>
                </pt>
                <pt idx="152">
                  <v>46090.6666666666</v>
                </pt>
                <pt idx="153">
                  <v>46091.6666666666</v>
                </pt>
                <pt idx="154">
                  <v>46092.6666666666</v>
                </pt>
                <pt idx="155">
                  <v>46093.6666666666</v>
                </pt>
                <pt idx="156">
                  <v>46094.6666666666</v>
                </pt>
                <pt idx="157">
                  <v>46097.6666666666</v>
                </pt>
                <pt idx="158">
                  <v>46098.6666666666</v>
                </pt>
                <pt idx="159">
                  <v>46099.6666666666</v>
                </pt>
                <pt idx="160">
                  <v>46100.6666666666</v>
                </pt>
                <pt idx="161">
                  <v>46101.6666666666</v>
                </pt>
                <pt idx="162">
                  <v>46104.6666666666</v>
                </pt>
                <pt idx="163">
                  <v>46105.6666666666</v>
                </pt>
                <pt idx="164">
                  <v>46106.6666666666</v>
                </pt>
                <pt idx="165">
                  <v>46107.6666666666</v>
                </pt>
                <pt idx="166">
                  <v>46108.6666666666</v>
                </pt>
                <pt idx="167">
                  <v>46111.6666666666</v>
                </pt>
                <pt idx="168">
                  <v>46112.6666666666</v>
                </pt>
                <pt idx="169">
                  <v>46113.6666666666</v>
                </pt>
                <pt idx="170">
                  <v>46114.6666666666</v>
                </pt>
                <pt idx="171">
                  <v>46118.6666666666</v>
                </pt>
                <pt idx="172">
                  <v>46119.6666666666</v>
                </pt>
                <pt idx="173">
                  <v>46120.6666666666</v>
                </pt>
                <pt idx="174">
                  <v>46121.6666666666</v>
                </pt>
                <pt idx="175">
                  <v>46122.6666666666</v>
                </pt>
                <pt idx="176">
                  <v>46125.6666666666</v>
                </pt>
                <pt idx="177">
                  <v>46126.6666666666</v>
                </pt>
                <pt idx="178">
                  <v>46127.6666666666</v>
                </pt>
                <pt idx="179">
                  <v>46128.6666666666</v>
                </pt>
                <pt idx="180">
                  <v>46129.6666666666</v>
                </pt>
                <pt idx="181">
                  <v>46132.6666666666</v>
                </pt>
                <pt idx="182">
                  <v>46133.6666666666</v>
                </pt>
                <pt idx="183">
                  <v>46134.6666666666</v>
                </pt>
                <pt idx="184">
                  <v>46135.6666666666</v>
                </pt>
                <pt idx="185">
                  <v>46136.6666666666</v>
                </pt>
                <pt idx="186">
                  <v>46139.6666666666</v>
                </pt>
                <pt idx="187">
                  <v>46140.6666666666</v>
                </pt>
                <pt idx="188">
                  <v>46141.6666666666</v>
                </pt>
                <pt idx="189">
                  <v>46142.6666666666</v>
                </pt>
                <pt idx="190">
                  <v>46143.6666666666</v>
                </pt>
                <pt idx="191">
                  <v>46146.6666666666</v>
                </pt>
                <pt idx="192">
                  <v>46147.6666666666</v>
                </pt>
                <pt idx="193">
                  <v>46148.6666666666</v>
                </pt>
                <pt idx="194">
                  <v>46149.6666666666</v>
                </pt>
                <pt idx="195">
                  <v>46150.6666666666</v>
                </pt>
                <pt idx="196">
                  <v>46153.6666666666</v>
                </pt>
                <pt idx="197">
                  <v>46154.6666666666</v>
                </pt>
                <pt idx="198">
                  <v>46155.6666666666</v>
                </pt>
                <pt idx="199">
                  <v>46156.6666666666</v>
                </pt>
                <pt idx="200">
                  <v>46157.6666666666</v>
                </pt>
                <pt idx="201">
                  <v>46160.6666666666</v>
                </pt>
                <pt idx="202">
                  <v>46161.6666666666</v>
                </pt>
                <pt idx="203">
                  <v>46162.6666666666</v>
                </pt>
                <pt idx="204">
                  <v>46163.6666666666</v>
                </pt>
                <pt idx="205">
                  <v>46164.6666666666</v>
                </pt>
                <pt idx="206">
                  <v>46168.6666666666</v>
                </pt>
                <pt idx="207">
                  <v>46169.6666666666</v>
                </pt>
                <pt idx="208">
                  <v>46170.6666666666</v>
                </pt>
                <pt idx="209">
                  <v>46171.6666666666</v>
                </pt>
                <pt idx="210">
                  <v>46174.6666666666</v>
                </pt>
                <pt idx="211">
                  <v>46175.6666666666</v>
                </pt>
                <pt idx="212">
                  <v>46176.6666666666</v>
                </pt>
                <pt idx="213">
                  <v>46177.6666666666</v>
                </pt>
                <pt idx="214">
                  <v>46178.6666666666</v>
                </pt>
                <pt idx="215">
                  <v>46181.6666666666</v>
                </pt>
                <pt idx="216">
                  <v>46182.6666666666</v>
                </pt>
                <pt idx="217">
                  <v>46183.6666666666</v>
                </pt>
                <pt idx="218">
                  <v>46184.6666666666</v>
                </pt>
                <pt idx="219">
                  <v>46185.6666666666</v>
                </pt>
                <pt idx="220">
                  <v>46188.6666666666</v>
                </pt>
                <pt idx="221">
                  <v>46189.6666666666</v>
                </pt>
                <pt idx="222">
                  <v>46190.6666666666</v>
                </pt>
                <pt idx="223">
                  <v>46191.6666666666</v>
                </pt>
                <pt idx="224">
                  <v>46195.6666666666</v>
                </pt>
                <pt idx="225">
                  <v>46196.6666666666</v>
                </pt>
                <pt idx="226">
                  <v>46197.6666666666</v>
                </pt>
                <pt idx="227">
                  <v>46198.6666666666</v>
                </pt>
                <pt idx="228">
                  <v>46199.6666666666</v>
                </pt>
                <pt idx="229">
                  <v>46202.6666666666</v>
                </pt>
                <pt idx="230">
                  <v>46203.6666666666</v>
                </pt>
                <pt idx="231">
                  <v>46204.6666666666</v>
                </pt>
                <pt idx="232">
                  <v>46205.6666666666</v>
                </pt>
                <pt idx="233">
                  <v>46209.6666666666</v>
                </pt>
                <pt idx="234">
                  <v>46210.6666666666</v>
                </pt>
                <pt idx="235">
                  <v>46211.6666666666</v>
                </pt>
                <pt idx="236">
                  <v>46212.6666666666</v>
                </pt>
                <pt idx="237">
                  <v>46213.6666666666</v>
                </pt>
                <pt idx="238">
                  <v>46216.6666666666</v>
                </pt>
                <pt idx="239">
                  <v>46217.6666666666</v>
                </pt>
                <pt idx="240">
                  <v>46218.6666666666</v>
                </pt>
                <pt idx="241">
                  <v>46219.6666666666</v>
                </pt>
                <pt idx="242">
                  <v>46220.6666666666</v>
                </pt>
                <pt idx="243">
                  <v>46223.6666666666</v>
                </pt>
                <pt idx="244">
                  <v>46224.6666666666</v>
                </pt>
                <pt idx="245">
                  <v>46225.6666666666</v>
                </pt>
                <pt idx="246">
                  <v>46226.6666666666</v>
                </pt>
                <pt idx="247">
                  <v>46227.6666666666</v>
                </pt>
                <pt idx="248">
                  <v>46230.6666666666</v>
                </pt>
                <pt idx="249">
                  <v>46231.6666666666</v>
                </pt>
                <pt idx="250">
                  <v>46232.6666666666</v>
                </pt>
              </numCache>
            </numRef>
          </cat>
          <val>
            <numRef>
              <f>VNQ!$F$28:$F$1000</f>
              <numCache>
                <formatCode>#,##0.00</formatCode>
                <ptCount val="973"/>
                <pt idx="0">
                  <v>90.41</v>
                </pt>
                <pt idx="1">
                  <v>89.14</v>
                </pt>
                <pt idx="2">
                  <v>88.92</v>
                </pt>
                <pt idx="3">
                  <v>89.83</v>
                </pt>
                <pt idx="4">
                  <v>90.23999999999999</v>
                </pt>
                <pt idx="5">
                  <v>89.54000000000001</v>
                </pt>
                <pt idx="6">
                  <v>89.8</v>
                </pt>
                <pt idx="7">
                  <v>89.06</v>
                </pt>
                <pt idx="8">
                  <v>88.47</v>
                </pt>
                <pt idx="9">
                  <v>88.97</v>
                </pt>
                <pt idx="10">
                  <v>89.8</v>
                </pt>
                <pt idx="11">
                  <v>89.16</v>
                </pt>
                <pt idx="12">
                  <v>89.67</v>
                </pt>
                <pt idx="13">
                  <v>88.91</v>
                </pt>
                <pt idx="14">
                  <v>90.44</v>
                </pt>
                <pt idx="15">
                  <v>90.7</v>
                </pt>
                <pt idx="16">
                  <v>90.43000000000001</v>
                </pt>
                <pt idx="17">
                  <v>92.18000000000001</v>
                </pt>
                <pt idx="18">
                  <v>91.65000000000001</v>
                </pt>
                <pt idx="19">
                  <v>91.41</v>
                </pt>
                <pt idx="20">
                  <v>91.98</v>
                </pt>
                <pt idx="21">
                  <v>91.73999999999999</v>
                </pt>
                <pt idx="22">
                  <v>92.23999999999999</v>
                </pt>
                <pt idx="23">
                  <v>90.70999999999999</v>
                </pt>
                <pt idx="24">
                  <v>90.76000000000001</v>
                </pt>
                <pt idx="25">
                  <v>91.44</v>
                </pt>
                <pt idx="26">
                  <v>92.47</v>
                </pt>
                <pt idx="27">
                  <v>91.93000000000001</v>
                </pt>
                <pt idx="28">
                  <v>91.72</v>
                </pt>
                <pt idx="29">
                  <v>91.56999999999999</v>
                </pt>
                <pt idx="30">
                  <v>93.23999999999999</v>
                </pt>
                <pt idx="31">
                  <v>92.81</v>
                </pt>
                <pt idx="32">
                  <v>92.66</v>
                </pt>
                <pt idx="33">
                  <v>92.17</v>
                </pt>
                <pt idx="34">
                  <v>92.05</v>
                </pt>
                <pt idx="35">
                  <v>92.25</v>
                </pt>
                <pt idx="36">
                  <v>91.65000000000001</v>
                </pt>
                <pt idx="37">
                  <v>91.67</v>
                </pt>
                <pt idx="38">
                  <v>92.17</v>
                </pt>
                <pt idx="39">
                  <v>90.40000000000001</v>
                </pt>
                <pt idx="40">
                  <v>90.13</v>
                </pt>
                <pt idx="41">
                  <v>91.02</v>
                </pt>
                <pt idx="42">
                  <v>91.05</v>
                </pt>
                <pt idx="43">
                  <v>91.42</v>
                </pt>
                <pt idx="44">
                  <v>91.56</v>
                </pt>
                <pt idx="45">
                  <v>91.08</v>
                </pt>
                <pt idx="46">
                  <v>91.42</v>
                </pt>
                <pt idx="47">
                  <v>90.56</v>
                </pt>
                <pt idx="48">
                  <v>90.23</v>
                </pt>
                <pt idx="49">
                  <v>89.76000000000001</v>
                </pt>
                <pt idx="50">
                  <v>89.27</v>
                </pt>
                <pt idx="51">
                  <v>88.13</v>
                </pt>
                <pt idx="52">
                  <v>88.69</v>
                </pt>
                <pt idx="53">
                  <v>89.59999999999999</v>
                </pt>
                <pt idx="54">
                  <v>90.90000000000001</v>
                </pt>
                <pt idx="55">
                  <v>90.58</v>
                </pt>
                <pt idx="56">
                  <v>91.17</v>
                </pt>
                <pt idx="57">
                  <v>92.09</v>
                </pt>
                <pt idx="58">
                  <v>91.83</v>
                </pt>
                <pt idx="59">
                  <v>92.22</v>
                </pt>
                <pt idx="60">
                  <v>92.16</v>
                </pt>
                <pt idx="61">
                  <v>92.43000000000001</v>
                </pt>
                <pt idx="62">
                  <v>92.69</v>
                </pt>
                <pt idx="63">
                  <v>90.87</v>
                </pt>
                <pt idx="64">
                  <v>88.53</v>
                </pt>
                <pt idx="65">
                  <v>88.95</v>
                </pt>
                <pt idx="66">
                  <v>89.18000000000001</v>
                </pt>
                <pt idx="67">
                  <v>89.05</v>
                </pt>
                <pt idx="68">
                  <v>89.2</v>
                </pt>
                <pt idx="69">
                  <v>89.28</v>
                </pt>
                <pt idx="70">
                  <v>88.84999999999999</v>
                </pt>
                <pt idx="71">
                  <v>90.23</v>
                </pt>
                <pt idx="72">
                  <v>90.18000000000001</v>
                </pt>
                <pt idx="73">
                  <v>91.19</v>
                </pt>
                <pt idx="74">
                  <v>90.51000000000001</v>
                </pt>
                <pt idx="75">
                  <v>89.40000000000001</v>
                </pt>
                <pt idx="76">
                  <v>89.59</v>
                </pt>
                <pt idx="77">
                  <v>88.84999999999999</v>
                </pt>
                <pt idx="78">
                  <v>89.20999999999999</v>
                </pt>
                <pt idx="79">
                  <v>88.51000000000001</v>
                </pt>
                <pt idx="80">
                  <v>88.14</v>
                </pt>
                <pt idx="81">
                  <v>89.56999999999999</v>
                </pt>
                <pt idx="82">
                  <v>89.81</v>
                </pt>
                <pt idx="83">
                  <v>90.64</v>
                </pt>
                <pt idx="84">
                  <v>91.04000000000001</v>
                </pt>
                <pt idx="85">
                  <v>91.34</v>
                </pt>
                <pt idx="86">
                  <v>90.29000000000001</v>
                </pt>
                <pt idx="87">
                  <v>89.97</v>
                </pt>
                <pt idx="88">
                  <v>90.2</v>
                </pt>
                <pt idx="89">
                  <v>89.98</v>
                </pt>
                <pt idx="90">
                  <v>89.88</v>
                </pt>
                <pt idx="91">
                  <v>89.19</v>
                </pt>
                <pt idx="92">
                  <v>88.84999999999999</v>
                </pt>
                <pt idx="93">
                  <v>89.17</v>
                </pt>
                <pt idx="94">
                  <v>89.56</v>
                </pt>
                <pt idx="95">
                  <v>89.45</v>
                </pt>
                <pt idx="96">
                  <v>89.73</v>
                </pt>
                <pt idx="97">
                  <v>89.06999999999999</v>
                </pt>
                <pt idx="98">
                  <v>89.40000000000001</v>
                </pt>
                <pt idx="99">
                  <v>88.93000000000001</v>
                </pt>
                <pt idx="100">
                  <v>88.59</v>
                </pt>
                <pt idx="101">
                  <v>88.23999999999999</v>
                </pt>
                <pt idx="102">
                  <v>88.18000000000001</v>
                </pt>
                <pt idx="103">
                  <v>88.76000000000001</v>
                </pt>
                <pt idx="104">
                  <v>88.86</v>
                </pt>
                <pt idx="105">
                  <v>89.04000000000001</v>
                </pt>
                <pt idx="106">
                  <v>89.22</v>
                </pt>
                <pt idx="107">
                  <v>88.48999999999999</v>
                </pt>
                <pt idx="108">
                  <v>88.52</v>
                </pt>
                <pt idx="109">
                  <v>88.72</v>
                </pt>
                <pt idx="110">
                  <v>89.37</v>
                </pt>
                <pt idx="111">
                  <v>88.5</v>
                </pt>
                <pt idx="112">
                  <v>89.29000000000001</v>
                </pt>
                <pt idx="113">
                  <v>89.47</v>
                </pt>
                <pt idx="114">
                  <v>89.59</v>
                </pt>
                <pt idx="115">
                  <v>90.09</v>
                </pt>
                <pt idx="116">
                  <v>90.87</v>
                </pt>
                <pt idx="117">
                  <v>91.5</v>
                </pt>
                <pt idx="118">
                  <v>92.62</v>
                </pt>
                <pt idx="119">
                  <v>90.90000000000001</v>
                </pt>
                <pt idx="120">
                  <v>91.26000000000001</v>
                </pt>
                <pt idx="121">
                  <v>90.36</v>
                </pt>
                <pt idx="122">
                  <v>90.54000000000001</v>
                </pt>
                <pt idx="123">
                  <v>90.42</v>
                </pt>
                <pt idx="124">
                  <v>90.39</v>
                </pt>
                <pt idx="125">
                  <v>89.45999999999999</v>
                </pt>
                <pt idx="126">
                  <v>90.70999999999999</v>
                </pt>
                <pt idx="127">
                  <v>90.8</v>
                </pt>
                <pt idx="128">
                  <v>89.86</v>
                </pt>
                <pt idx="129">
                  <v>89.66</v>
                </pt>
                <pt idx="130">
                  <v>90.95</v>
                </pt>
                <pt idx="131">
                  <v>90.81999999999999</v>
                </pt>
                <pt idx="132">
                  <v>92.25</v>
                </pt>
                <pt idx="133">
                  <v>92.64</v>
                </pt>
                <pt idx="134">
                  <v>93.88</v>
                </pt>
                <pt idx="135">
                  <v>93.36</v>
                </pt>
                <pt idx="136">
                  <v>93.25</v>
                </pt>
                <pt idx="137">
                  <v>94.59</v>
                </pt>
                <pt idx="138">
                  <v>95.48999999999999</v>
                </pt>
                <pt idx="139">
                  <v>94.37</v>
                </pt>
                <pt idx="140">
                  <v>94.17</v>
                </pt>
                <pt idx="141">
                  <v>94.88</v>
                </pt>
                <pt idx="142">
                  <v>94.89</v>
                </pt>
                <pt idx="143">
                  <v>95.13</v>
                </pt>
                <pt idx="144">
                  <v>94.87</v>
                </pt>
                <pt idx="145">
                  <v>95.52</v>
                </pt>
                <pt idx="146">
                  <v>95.69</v>
                </pt>
                <pt idx="147">
                  <v>95.93000000000001</v>
                </pt>
                <pt idx="148">
                  <v>95.42</v>
                </pt>
                <pt idx="149">
                  <v>95.54000000000001</v>
                </pt>
                <pt idx="150">
                  <v>94.58</v>
                </pt>
                <pt idx="151">
                  <v>93.55</v>
                </pt>
                <pt idx="152">
                  <v>93.76000000000001</v>
                </pt>
                <pt idx="153">
                  <v>93.62</v>
                </pt>
                <pt idx="154">
                  <v>92.65000000000001</v>
                </pt>
                <pt idx="155">
                  <v>92.01000000000001</v>
                </pt>
                <pt idx="156">
                  <v>92.16</v>
                </pt>
                <pt idx="157">
                  <v>92.93000000000001</v>
                </pt>
                <pt idx="158">
                  <v>93.34</v>
                </pt>
                <pt idx="159">
                  <v>91.95999999999999</v>
                </pt>
                <pt idx="160">
                  <v>91.59</v>
                </pt>
                <pt idx="161">
                  <v>88.75</v>
                </pt>
                <pt idx="162">
                  <v>89.44</v>
                </pt>
                <pt idx="163">
                  <v>87.91</v>
                </pt>
                <pt idx="164">
                  <v>87.84</v>
                </pt>
                <pt idx="165">
                  <v>87.72</v>
                </pt>
                <pt idx="166">
                  <v>87</v>
                </pt>
                <pt idx="167">
                  <v>87.33</v>
                </pt>
                <pt idx="168">
                  <v>88.7</v>
                </pt>
                <pt idx="169">
                  <v>89.02</v>
                </pt>
                <pt idx="170">
                  <v>90.23</v>
                </pt>
                <pt idx="171">
                  <v>90.36</v>
                </pt>
                <pt idx="172">
                  <v>90.48999999999999</v>
                </pt>
                <pt idx="173">
                  <v>92.12</v>
                </pt>
                <pt idx="174">
                  <v>92.78</v>
                </pt>
                <pt idx="175">
                  <v>92.98</v>
                </pt>
                <pt idx="176">
                  <v>93.33</v>
                </pt>
                <pt idx="177">
                  <v>94.22</v>
                </pt>
                <pt idx="178">
                  <v>94.29000000000001</v>
                </pt>
                <pt idx="179">
                  <v>95.16</v>
                </pt>
                <pt idx="180">
                  <v>96.68000000000001</v>
                </pt>
                <pt idx="181">
                  <v>97.03</v>
                </pt>
                <pt idx="182">
                  <v>95.31</v>
                </pt>
                <pt idx="183">
                  <v>94.52</v>
                </pt>
                <pt idx="184">
                  <v>95.48999999999999</v>
                </pt>
                <pt idx="185">
                  <v>95.3</v>
                </pt>
                <pt idx="186">
                  <v>94.78</v>
                </pt>
                <pt idx="187">
                  <v>95.65000000000001</v>
                </pt>
                <pt idx="188">
                  <v>94.90000000000001</v>
                </pt>
                <pt idx="189">
                  <v>96.33</v>
                </pt>
                <pt idx="190">
                  <v>96.06</v>
                </pt>
                <pt idx="191">
                  <v>95.45999999999999</v>
                </pt>
                <pt idx="192">
                  <v>95.76000000000001</v>
                </pt>
                <pt idx="193">
                  <v>97.09</v>
                </pt>
                <pt idx="194">
                  <v>96.39</v>
                </pt>
                <pt idx="195">
                  <v>96.62</v>
                </pt>
                <pt idx="196">
                  <v>96.69</v>
                </pt>
                <pt idx="197">
                  <v>96.69</v>
                </pt>
                <pt idx="198">
                  <v>95.89</v>
                </pt>
                <pt idx="199">
                  <v>95.31999999999999</v>
                </pt>
                <pt idx="200">
                  <v>93.91</v>
                </pt>
                <pt idx="201">
                  <v>95.01000000000001</v>
                </pt>
                <pt idx="202">
                  <v>95.28</v>
                </pt>
                <pt idx="203">
                  <v>96.48999999999999</v>
                </pt>
                <pt idx="204">
                  <v>96.67</v>
                </pt>
                <pt idx="205">
                  <v>96.77</v>
                </pt>
                <pt idx="206">
                  <v>97.22</v>
                </pt>
                <pt idx="207">
                  <v>96.92</v>
                </pt>
                <pt idx="208">
                  <v>96.55</v>
                </pt>
                <pt idx="209">
                  <v>95.7</v>
                </pt>
                <pt idx="210">
                  <v>94.09</v>
                </pt>
                <pt idx="211">
                  <v>94.52</v>
                </pt>
                <pt idx="212">
                  <v>94.41</v>
                </pt>
                <pt idx="213">
                  <v>96.09999999999999</v>
                </pt>
                <pt idx="214">
                  <v>96.79000000000001</v>
                </pt>
                <pt idx="215">
                  <v>95.47</v>
                </pt>
                <pt idx="216">
                  <v>97.67</v>
                </pt>
                <pt idx="217">
                  <v>97.68000000000001</v>
                </pt>
                <pt idx="218">
                  <v>97.61</v>
                </pt>
                <pt idx="219">
                  <v>98.51000000000001</v>
                </pt>
                <pt idx="220">
                  <v>97.81999999999999</v>
                </pt>
                <pt idx="221">
                  <v>98.06</v>
                </pt>
                <pt idx="222">
                  <v>95.61</v>
                </pt>
                <pt idx="223">
                  <v>95.56</v>
                </pt>
                <pt idx="224">
                  <v>96.59</v>
                </pt>
                <pt idx="225">
                  <v>97.86</v>
                </pt>
                <pt idx="226">
                  <v>97.01000000000001</v>
                </pt>
                <pt idx="227">
                  <v>97.19</v>
                </pt>
                <pt idx="228">
                  <v>98.67</v>
                </pt>
                <pt idx="229">
                  <v>98.15000000000001</v>
                </pt>
                <pt idx="230">
                  <v>96.43000000000001</v>
                </pt>
                <pt idx="231">
                  <v>96.81999999999999</v>
                </pt>
                <pt idx="232">
                  <v>98.02</v>
                </pt>
                <pt idx="233">
                  <v>97.23999999999999</v>
                </pt>
                <pt idx="234">
                  <v>98.40000000000001</v>
                </pt>
                <pt idx="235">
                  <v>96.8</v>
                </pt>
                <pt idx="236">
                  <v>97.09</v>
                </pt>
                <pt idx="237">
                  <v>97.31999999999999</v>
                </pt>
                <pt idx="238">
                  <v>97.83</v>
                </pt>
                <pt idx="239">
                  <v>97.56999999999999</v>
                </pt>
                <pt idx="240">
                  <v>97.86</v>
                </pt>
                <pt idx="241">
                  <v>100.07</v>
                </pt>
                <pt idx="242">
                  <v>100.02</v>
                </pt>
                <pt idx="243">
                  <v>99.48</v>
                </pt>
                <pt idx="244">
                  <v>99.52</v>
                </pt>
                <pt idx="245">
                  <v>99.02</v>
                </pt>
                <pt idx="246">
                  <v>98.69</v>
                </pt>
                <pt idx="247">
                  <v>100.81</v>
                </pt>
                <pt idx="248">
                  <v>100.54</v>
                </pt>
                <pt idx="249">
                  <v>100.95</v>
                </pt>
                <pt idx="250">
                  <v>100.66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ko-KR"/>
        </a:p>
      </txPr>
    </legend>
    <plotVisOnly val="1"/>
    <dispBlanksAs val="zero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layout/>
      <areaChart>
        <grouping val="standard"/>
        <varyColors val="1"/>
        <ser>
          <idx val="0"/>
          <order val="0"/>
          <tx>
            <strRef>
              <f>VEA!$F$27</f>
              <strCache>
                <ptCount val="1"/>
                <pt idx="0">
                  <v>Close</v>
                </pt>
              </strCache>
            </strRef>
          </tx>
          <spPr>
            <a:solidFill>
              <a:srgbClr val="4285F4"/>
            </a:solidFill>
            <a:ln cmpd="sng">
              <a:solidFill>
                <a:srgbClr val="4285F4"/>
              </a:solidFill>
              <a:prstDash val="solid"/>
            </a:ln>
          </spPr>
          <cat>
            <numRef>
              <f>VEA!$B$28:$B$1000</f>
              <numCache>
                <formatCode>mmm" "d", "yyyy</formatCode>
                <ptCount val="973"/>
                <pt idx="0">
                  <v>46052.6666666666</v>
                </pt>
                <pt idx="1">
                  <v>46055.6666666666</v>
                </pt>
                <pt idx="2">
                  <v>46056.6666666666</v>
                </pt>
                <pt idx="3">
                  <v>46057.6666666666</v>
                </pt>
                <pt idx="4">
                  <v>46058.6666666666</v>
                </pt>
                <pt idx="5">
                  <v>46059.6666666666</v>
                </pt>
                <pt idx="6">
                  <v>46062.6666666666</v>
                </pt>
                <pt idx="7">
                  <v>46063.6666666666</v>
                </pt>
                <pt idx="8">
                  <v>46064.6666666666</v>
                </pt>
                <pt idx="9">
                  <v>46065.6666666666</v>
                </pt>
                <pt idx="10">
                  <v>46066.6666666666</v>
                </pt>
                <pt idx="11">
                  <v>46070.6666666666</v>
                </pt>
                <pt idx="12">
                  <v>46071.6666666666</v>
                </pt>
                <pt idx="13">
                  <v>46072.6666666666</v>
                </pt>
                <pt idx="14">
                  <v>46073.6666666666</v>
                </pt>
                <pt idx="15">
                  <v>46076.6666666666</v>
                </pt>
                <pt idx="16">
                  <v>46077.6666666666</v>
                </pt>
                <pt idx="17">
                  <v>46078.6666666666</v>
                </pt>
                <pt idx="18">
                  <v>46079.6666666666</v>
                </pt>
                <pt idx="19">
                  <v>46080.6666666666</v>
                </pt>
                <pt idx="20">
                  <v>46083.6666666666</v>
                </pt>
                <pt idx="21">
                  <v>46084.6666666666</v>
                </pt>
                <pt idx="22">
                  <v>46085.6666666666</v>
                </pt>
                <pt idx="23">
                  <v>46086.6666666666</v>
                </pt>
                <pt idx="24">
                  <v>46087.6666666666</v>
                </pt>
                <pt idx="25">
                  <v>46090.6666666666</v>
                </pt>
                <pt idx="26">
                  <v>46091.6666666666</v>
                </pt>
                <pt idx="27">
                  <v>46092.6666666666</v>
                </pt>
                <pt idx="28">
                  <v>46093.6666666666</v>
                </pt>
                <pt idx="29">
                  <v>46094.6666666666</v>
                </pt>
                <pt idx="30">
                  <v>46097.6666666666</v>
                </pt>
                <pt idx="31">
                  <v>46098.6666666666</v>
                </pt>
                <pt idx="32">
                  <v>46099.6666666666</v>
                </pt>
                <pt idx="33">
                  <v>46100.6666666666</v>
                </pt>
                <pt idx="34">
                  <v>46101.6666666666</v>
                </pt>
                <pt idx="35">
                  <v>46104.6666666666</v>
                </pt>
                <pt idx="36">
                  <v>46105.6666666666</v>
                </pt>
                <pt idx="37">
                  <v>46106.6666666666</v>
                </pt>
                <pt idx="38">
                  <v>46107.6666666666</v>
                </pt>
                <pt idx="39">
                  <v>46108.6666666666</v>
                </pt>
                <pt idx="40">
                  <v>46111.6666666666</v>
                </pt>
                <pt idx="41">
                  <v>46112.6666666666</v>
                </pt>
                <pt idx="42">
                  <v>46113.6666666666</v>
                </pt>
                <pt idx="43">
                  <v>46114.6666666666</v>
                </pt>
                <pt idx="44">
                  <v>46118.6666666666</v>
                </pt>
                <pt idx="45">
                  <v>46119.6666666666</v>
                </pt>
                <pt idx="46">
                  <v>46120.6666666666</v>
                </pt>
                <pt idx="47">
                  <v>46121.6666666666</v>
                </pt>
                <pt idx="48">
                  <v>46122.6666666666</v>
                </pt>
                <pt idx="49">
                  <v>46125.6666666666</v>
                </pt>
                <pt idx="50">
                  <v>46126.6666666666</v>
                </pt>
                <pt idx="51">
                  <v>46127.6666666666</v>
                </pt>
                <pt idx="52">
                  <v>46128.6666666666</v>
                </pt>
                <pt idx="53">
                  <v>46129.6666666666</v>
                </pt>
                <pt idx="54">
                  <v>46132.6666666666</v>
                </pt>
                <pt idx="55">
                  <v>46133.6666666666</v>
                </pt>
                <pt idx="56">
                  <v>46134.6666666666</v>
                </pt>
                <pt idx="57">
                  <v>46135.6666666666</v>
                </pt>
                <pt idx="58">
                  <v>46136.6666666666</v>
                </pt>
                <pt idx="59">
                  <v>46139.6666666666</v>
                </pt>
                <pt idx="60">
                  <v>46140.6666666666</v>
                </pt>
                <pt idx="61">
                  <v>46141.6666666666</v>
                </pt>
                <pt idx="62">
                  <v>46142.6666666666</v>
                </pt>
                <pt idx="63">
                  <v>46143.6666666666</v>
                </pt>
                <pt idx="64">
                  <v>46146.6666666666</v>
                </pt>
                <pt idx="65">
                  <v>46147.6666666666</v>
                </pt>
                <pt idx="66">
                  <v>46148.6666666666</v>
                </pt>
                <pt idx="67">
                  <v>46149.6666666666</v>
                </pt>
                <pt idx="68">
                  <v>46150.6666666666</v>
                </pt>
                <pt idx="69">
                  <v>46153.6666666666</v>
                </pt>
                <pt idx="70">
                  <v>46154.6666666666</v>
                </pt>
                <pt idx="71">
                  <v>46155.6666666666</v>
                </pt>
                <pt idx="72">
                  <v>46156.6666666666</v>
                </pt>
                <pt idx="73">
                  <v>46157.6666666666</v>
                </pt>
                <pt idx="74">
                  <v>46160.6666666666</v>
                </pt>
                <pt idx="75">
                  <v>46161.6666666666</v>
                </pt>
                <pt idx="76">
                  <v>46162.6666666666</v>
                </pt>
                <pt idx="77">
                  <v>46163.6666666666</v>
                </pt>
                <pt idx="78">
                  <v>46164.6666666666</v>
                </pt>
                <pt idx="79">
                  <v>46168.6666666666</v>
                </pt>
                <pt idx="80">
                  <v>46169.6666666666</v>
                </pt>
                <pt idx="81">
                  <v>46170.6666666666</v>
                </pt>
                <pt idx="82">
                  <v>46171.6666666666</v>
                </pt>
                <pt idx="83">
                  <v>46174.6666666666</v>
                </pt>
                <pt idx="84">
                  <v>46175.6666666666</v>
                </pt>
                <pt idx="85">
                  <v>46176.6666666666</v>
                </pt>
                <pt idx="86">
                  <v>46177.6666666666</v>
                </pt>
                <pt idx="87">
                  <v>46178.6666666666</v>
                </pt>
                <pt idx="88">
                  <v>46181.6666666666</v>
                </pt>
                <pt idx="89">
                  <v>46182.6666666666</v>
                </pt>
                <pt idx="90">
                  <v>46183.6666666666</v>
                </pt>
                <pt idx="91">
                  <v>46184.6666666666</v>
                </pt>
                <pt idx="92">
                  <v>46185.6666666666</v>
                </pt>
                <pt idx="93">
                  <v>46188.6666666666</v>
                </pt>
                <pt idx="94">
                  <v>46189.6666666666</v>
                </pt>
                <pt idx="95">
                  <v>46190.6666666666</v>
                </pt>
                <pt idx="96">
                  <v>46191.6666666666</v>
                </pt>
                <pt idx="97">
                  <v>46195.6666666666</v>
                </pt>
                <pt idx="98">
                  <v>46196.6666666666</v>
                </pt>
                <pt idx="99">
                  <v>46197.6666666666</v>
                </pt>
                <pt idx="100">
                  <v>46198.6666666666</v>
                </pt>
                <pt idx="101">
                  <v>46199.6666666666</v>
                </pt>
                <pt idx="102">
                  <v>46202.6666666666</v>
                </pt>
                <pt idx="103">
                  <v>46203.6666666666</v>
                </pt>
                <pt idx="104">
                  <v>46204.6666666666</v>
                </pt>
                <pt idx="105">
                  <v>46205.6666666666</v>
                </pt>
                <pt idx="106">
                  <v>46209.6666666666</v>
                </pt>
                <pt idx="107">
                  <v>46210.6666666666</v>
                </pt>
                <pt idx="108">
                  <v>46211.6666666666</v>
                </pt>
                <pt idx="109">
                  <v>46212.6666666666</v>
                </pt>
                <pt idx="110">
                  <v>46213.6666666666</v>
                </pt>
                <pt idx="111">
                  <v>46216.6666666666</v>
                </pt>
                <pt idx="112">
                  <v>46217.6666666666</v>
                </pt>
                <pt idx="113">
                  <v>46218.6666666666</v>
                </pt>
                <pt idx="114">
                  <v>46219.6666666666</v>
                </pt>
                <pt idx="115">
                  <v>46220.6666666666</v>
                </pt>
                <pt idx="116">
                  <v>46223.6666666666</v>
                </pt>
                <pt idx="117">
                  <v>46224.6666666666</v>
                </pt>
                <pt idx="118">
                  <v>46225.6666666666</v>
                </pt>
                <pt idx="119">
                  <v>46226.6666666666</v>
                </pt>
                <pt idx="120">
                  <v>46227.6666666666</v>
                </pt>
                <pt idx="121">
                  <v>46230.6666666666</v>
                </pt>
                <pt idx="122">
                  <v>46231.6666666666</v>
                </pt>
                <pt idx="123">
                  <v>46232.6666666666</v>
                </pt>
              </numCache>
            </numRef>
          </cat>
          <val>
            <numRef>
              <f>VEA!$F$28:$F$1000</f>
              <numCache>
                <formatCode>#,##0.00</formatCode>
                <ptCount val="973"/>
                <pt idx="0">
                  <v>66.2</v>
                </pt>
                <pt idx="1">
                  <v>66.45999999999999</v>
                </pt>
                <pt idx="2">
                  <v>66.72</v>
                </pt>
                <pt idx="3">
                  <v>66.8</v>
                </pt>
                <pt idx="4">
                  <v>65.90000000000001</v>
                </pt>
                <pt idx="5">
                  <v>67.37</v>
                </pt>
                <pt idx="6">
                  <v>68.37</v>
                </pt>
                <pt idx="7">
                  <v>68.54000000000001</v>
                </pt>
                <pt idx="8">
                  <v>69.05</v>
                </pt>
                <pt idx="9">
                  <v>68.5</v>
                </pt>
                <pt idx="10">
                  <v>68.76000000000001</v>
                </pt>
                <pt idx="11">
                  <v>68.58</v>
                </pt>
                <pt idx="12">
                  <v>68.81</v>
                </pt>
                <pt idx="13">
                  <v>68.79000000000001</v>
                </pt>
                <pt idx="14">
                  <v>69.52</v>
                </pt>
                <pt idx="15">
                  <v>69.18000000000001</v>
                </pt>
                <pt idx="16">
                  <v>69.45999999999999</v>
                </pt>
                <pt idx="17">
                  <v>70.26000000000001</v>
                </pt>
                <pt idx="18">
                  <v>70.31</v>
                </pt>
                <pt idx="19">
                  <v>70.23999999999999</v>
                </pt>
                <pt idx="20">
                  <v>69.01000000000001</v>
                </pt>
                <pt idx="21">
                  <v>66.61</v>
                </pt>
                <pt idx="22">
                  <v>67.38</v>
                </pt>
                <pt idx="23">
                  <v>65.79000000000001</v>
                </pt>
                <pt idx="24">
                  <v>65.28</v>
                </pt>
                <pt idx="25">
                  <v>65.91</v>
                </pt>
                <pt idx="26">
                  <v>65.97</v>
                </pt>
                <pt idx="27">
                  <v>65.86</v>
                </pt>
                <pt idx="28">
                  <v>64.56999999999999</v>
                </pt>
                <pt idx="29">
                  <v>63.82</v>
                </pt>
                <pt idx="30">
                  <v>65.19</v>
                </pt>
                <pt idx="31">
                  <v>65.41</v>
                </pt>
                <pt idx="32">
                  <v>64.28</v>
                </pt>
                <pt idx="33">
                  <v>64.16</v>
                </pt>
                <pt idx="34">
                  <v>62.04</v>
                </pt>
                <pt idx="35">
                  <v>63.66</v>
                </pt>
                <pt idx="36">
                  <v>63.15</v>
                </pt>
                <pt idx="37">
                  <v>63.97</v>
                </pt>
                <pt idx="38">
                  <v>62.48</v>
                </pt>
                <pt idx="39">
                  <v>62.05</v>
                </pt>
                <pt idx="40">
                  <v>62.03</v>
                </pt>
                <pt idx="41">
                  <v>64.08</v>
                </pt>
                <pt idx="42">
                  <v>65.14</v>
                </pt>
                <pt idx="43">
                  <v>64.64</v>
                </pt>
                <pt idx="44">
                  <v>65.12</v>
                </pt>
                <pt idx="45">
                  <v>65.09</v>
                </pt>
                <pt idx="46">
                  <v>67.81999999999999</v>
                </pt>
                <pt idx="47">
                  <v>67.55</v>
                </pt>
                <pt idx="48">
                  <v>67.73999999999999</v>
                </pt>
                <pt idx="49">
                  <v>68.20999999999999</v>
                </pt>
                <pt idx="50">
                  <v>68.89</v>
                </pt>
                <pt idx="51">
                  <v>68.7</v>
                </pt>
                <pt idx="52">
                  <v>68.63</v>
                </pt>
                <pt idx="53">
                  <v>69.63</v>
                </pt>
                <pt idx="54">
                  <v>69.33</v>
                </pt>
                <pt idx="55">
                  <v>67.81999999999999</v>
                </pt>
                <pt idx="56">
                  <v>68.34999999999999</v>
                </pt>
                <pt idx="57">
                  <v>67.69</v>
                </pt>
                <pt idx="58">
                  <v>68.14</v>
                </pt>
                <pt idx="59">
                  <v>68.06999999999999</v>
                </pt>
                <pt idx="60">
                  <v>67.73</v>
                </pt>
                <pt idx="61">
                  <v>67.08</v>
                </pt>
                <pt idx="62">
                  <v>68.8</v>
                </pt>
                <pt idx="63">
                  <v>68.72</v>
                </pt>
                <pt idx="64">
                  <v>67.91</v>
                </pt>
                <pt idx="65">
                  <v>68.98</v>
                </pt>
                <pt idx="66">
                  <v>70.87</v>
                </pt>
                <pt idx="67">
                  <v>69.67</v>
                </pt>
                <pt idx="68">
                  <v>70.83</v>
                </pt>
                <pt idx="69">
                  <v>70.81999999999999</v>
                </pt>
                <pt idx="70">
                  <v>69.97</v>
                </pt>
                <pt idx="71">
                  <v>70.63</v>
                </pt>
                <pt idx="72">
                  <v>70.56</v>
                </pt>
                <pt idx="73">
                  <v>69.08</v>
                </pt>
                <pt idx="74">
                  <v>69.52</v>
                </pt>
                <pt idx="75">
                  <v>68.98999999999999</v>
                </pt>
                <pt idx="76">
                  <v>70.2</v>
                </pt>
                <pt idx="77">
                  <v>70.69</v>
                </pt>
                <pt idx="78">
                  <v>70.45999999999999</v>
                </pt>
                <pt idx="79">
                  <v>71.78</v>
                </pt>
                <pt idx="80">
                  <v>71.41</v>
                </pt>
                <pt idx="81">
                  <v>71.66</v>
                </pt>
                <pt idx="82">
                  <v>71.77</v>
                </pt>
                <pt idx="83">
                  <v>71.87</v>
                </pt>
                <pt idx="84">
                  <v>72.31999999999999</v>
                </pt>
                <pt idx="85">
                  <v>71.67</v>
                </pt>
                <pt idx="86">
                  <v>71.84</v>
                </pt>
                <pt idx="87">
                  <v>69.17</v>
                </pt>
                <pt idx="88">
                  <v>69.86</v>
                </pt>
                <pt idx="89">
                  <v>69.84</v>
                </pt>
                <pt idx="90">
                  <v>68.81</v>
                </pt>
                <pt idx="91">
                  <v>71.31</v>
                </pt>
                <pt idx="92">
                  <v>71.55</v>
                </pt>
                <pt idx="93">
                  <v>72.39</v>
                </pt>
                <pt idx="94">
                  <v>72.31999999999999</v>
                </pt>
                <pt idx="95">
                  <v>72</v>
                </pt>
                <pt idx="96">
                  <v>72.31</v>
                </pt>
                <pt idx="97">
                  <v>72.39</v>
                </pt>
                <pt idx="98">
                  <v>70.17</v>
                </pt>
                <pt idx="99">
                  <v>70.28</v>
                </pt>
                <pt idx="100">
                  <v>71.16</v>
                </pt>
                <pt idx="101">
                  <v>70.56</v>
                </pt>
                <pt idx="102">
                  <v>70.92</v>
                </pt>
                <pt idx="103">
                  <v>71.25</v>
                </pt>
                <pt idx="104">
                  <v>70.36</v>
                </pt>
                <pt idx="105">
                  <v>70.81</v>
                </pt>
                <pt idx="106">
                  <v>71.89</v>
                </pt>
                <pt idx="107">
                  <v>70.78</v>
                </pt>
                <pt idx="108">
                  <v>70.34</v>
                </pt>
                <pt idx="109">
                  <v>70.73</v>
                </pt>
                <pt idx="110">
                  <v>70.98999999999999</v>
                </pt>
                <pt idx="111">
                  <v>69.76000000000001</v>
                </pt>
                <pt idx="112">
                  <v>70.59999999999999</v>
                </pt>
                <pt idx="113">
                  <v>70.81999999999999</v>
                </pt>
                <pt idx="114">
                  <v>70.03</v>
                </pt>
                <pt idx="115">
                  <v>69.7</v>
                </pt>
                <pt idx="116">
                  <v>69.23</v>
                </pt>
                <pt idx="117">
                  <v>70.47</v>
                </pt>
                <pt idx="118">
                  <v>70.48999999999999</v>
                </pt>
                <pt idx="119">
                  <v>69.78</v>
                </pt>
                <pt idx="120">
                  <v>69.70999999999999</v>
                </pt>
                <pt idx="121">
                  <v>70</v>
                </pt>
                <pt idx="122">
                  <v>69.59999999999999</v>
                </pt>
                <pt idx="123">
                  <v>68.95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ko-KR"/>
        </a:p>
      </txPr>
    </legend>
    <plotVisOnly val="1"/>
    <dispBlanksAs val="zero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layout/>
      <areaChart>
        <grouping val="standard"/>
        <varyColors val="1"/>
        <ser>
          <idx val="0"/>
          <order val="0"/>
          <tx>
            <strRef>
              <f>EWJ!$F$27</f>
              <strCache>
                <ptCount val="1"/>
                <pt idx="0">
                  <v>Close</v>
                </pt>
              </strCache>
            </strRef>
          </tx>
          <spPr>
            <a:solidFill>
              <a:srgbClr val="4285F4"/>
            </a:solidFill>
            <a:ln cmpd="sng">
              <a:solidFill>
                <a:srgbClr val="4285F4"/>
              </a:solidFill>
              <a:prstDash val="solid"/>
            </a:ln>
          </spPr>
          <cat>
            <numRef>
              <f>EWJ!$B$28:$B$1000</f>
              <numCache>
                <formatCode>mmm" "d", "yyyy</formatCode>
                <ptCount val="973"/>
                <pt idx="0">
                  <v>45868.6666666666</v>
                </pt>
                <pt idx="1">
                  <v>45869.6666666666</v>
                </pt>
                <pt idx="2">
                  <v>45870.6666666666</v>
                </pt>
                <pt idx="3">
                  <v>45873.6666666666</v>
                </pt>
                <pt idx="4">
                  <v>45874.6666666666</v>
                </pt>
                <pt idx="5">
                  <v>45875.6666666666</v>
                </pt>
                <pt idx="6">
                  <v>45876.6666666666</v>
                </pt>
                <pt idx="7">
                  <v>45877.6666666666</v>
                </pt>
                <pt idx="8">
                  <v>45880.6666666666</v>
                </pt>
                <pt idx="9">
                  <v>45881.6666666666</v>
                </pt>
                <pt idx="10">
                  <v>45882.6666666666</v>
                </pt>
                <pt idx="11">
                  <v>45883.6666666666</v>
                </pt>
                <pt idx="12">
                  <v>45884.6666666666</v>
                </pt>
                <pt idx="13">
                  <v>45887.6666666666</v>
                </pt>
                <pt idx="14">
                  <v>45888.6666666666</v>
                </pt>
                <pt idx="15">
                  <v>45889.6666666666</v>
                </pt>
                <pt idx="16">
                  <v>45890.6666666666</v>
                </pt>
                <pt idx="17">
                  <v>45891.6666666666</v>
                </pt>
                <pt idx="18">
                  <v>45894.6666666666</v>
                </pt>
                <pt idx="19">
                  <v>45895.6666666666</v>
                </pt>
                <pt idx="20">
                  <v>45896.6666666666</v>
                </pt>
                <pt idx="21">
                  <v>45897.6666666666</v>
                </pt>
                <pt idx="22">
                  <v>45898.6666666666</v>
                </pt>
                <pt idx="23">
                  <v>45902.6666666666</v>
                </pt>
                <pt idx="24">
                  <v>45903.6666666666</v>
                </pt>
                <pt idx="25">
                  <v>45904.6666666666</v>
                </pt>
                <pt idx="26">
                  <v>45905.6666666666</v>
                </pt>
                <pt idx="27">
                  <v>45908.6666666666</v>
                </pt>
                <pt idx="28">
                  <v>45909.6666666666</v>
                </pt>
                <pt idx="29">
                  <v>45910.6666666666</v>
                </pt>
                <pt idx="30">
                  <v>45911.6666666666</v>
                </pt>
                <pt idx="31">
                  <v>45912.6666666666</v>
                </pt>
                <pt idx="32">
                  <v>45915.6666666666</v>
                </pt>
                <pt idx="33">
                  <v>45916.6666666666</v>
                </pt>
                <pt idx="34">
                  <v>45917.6666666666</v>
                </pt>
                <pt idx="35">
                  <v>45918.6666666666</v>
                </pt>
                <pt idx="36">
                  <v>45919.6666666666</v>
                </pt>
                <pt idx="37">
                  <v>45922.6666666666</v>
                </pt>
                <pt idx="38">
                  <v>45923.6666666666</v>
                </pt>
                <pt idx="39">
                  <v>45924.6666666666</v>
                </pt>
                <pt idx="40">
                  <v>45925.6666666666</v>
                </pt>
                <pt idx="41">
                  <v>45926.6666666666</v>
                </pt>
                <pt idx="42">
                  <v>45929.6666666666</v>
                </pt>
                <pt idx="43">
                  <v>45930.6666666666</v>
                </pt>
                <pt idx="44">
                  <v>45931.6666666666</v>
                </pt>
                <pt idx="45">
                  <v>45932.6666666666</v>
                </pt>
                <pt idx="46">
                  <v>45933.6666666666</v>
                </pt>
                <pt idx="47">
                  <v>45936.6666666666</v>
                </pt>
                <pt idx="48">
                  <v>45937.6666666666</v>
                </pt>
                <pt idx="49">
                  <v>45938.6666666666</v>
                </pt>
                <pt idx="50">
                  <v>45939.6666666666</v>
                </pt>
                <pt idx="51">
                  <v>45940.6666666666</v>
                </pt>
                <pt idx="52">
                  <v>45943.6666666666</v>
                </pt>
                <pt idx="53">
                  <v>45944.6666666666</v>
                </pt>
                <pt idx="54">
                  <v>45945.6666666666</v>
                </pt>
                <pt idx="55">
                  <v>45946.6666666666</v>
                </pt>
                <pt idx="56">
                  <v>45947.6666666666</v>
                </pt>
                <pt idx="57">
                  <v>45950.6666666666</v>
                </pt>
                <pt idx="58">
                  <v>45951.6666666666</v>
                </pt>
                <pt idx="59">
                  <v>45952.6666666666</v>
                </pt>
                <pt idx="60">
                  <v>45953.6666666666</v>
                </pt>
                <pt idx="61">
                  <v>45954.6666666666</v>
                </pt>
                <pt idx="62">
                  <v>45957.6666666666</v>
                </pt>
                <pt idx="63">
                  <v>45958.6666666666</v>
                </pt>
                <pt idx="64">
                  <v>45959.6666666666</v>
                </pt>
                <pt idx="65">
                  <v>45960.6666666666</v>
                </pt>
                <pt idx="66">
                  <v>45961.6666666666</v>
                </pt>
                <pt idx="67">
                  <v>45964.6666666666</v>
                </pt>
                <pt idx="68">
                  <v>45965.6666666666</v>
                </pt>
                <pt idx="69">
                  <v>45966.6666666666</v>
                </pt>
                <pt idx="70">
                  <v>45967.6666666666</v>
                </pt>
                <pt idx="71">
                  <v>45968.6666666666</v>
                </pt>
                <pt idx="72">
                  <v>45971.6666666666</v>
                </pt>
                <pt idx="73">
                  <v>45972.6666666666</v>
                </pt>
                <pt idx="74">
                  <v>45973.6666666666</v>
                </pt>
                <pt idx="75">
                  <v>45974.6666666666</v>
                </pt>
                <pt idx="76">
                  <v>45975.6666666666</v>
                </pt>
                <pt idx="77">
                  <v>45978.6666666666</v>
                </pt>
                <pt idx="78">
                  <v>45979.6666666666</v>
                </pt>
                <pt idx="79">
                  <v>45980.6666666666</v>
                </pt>
                <pt idx="80">
                  <v>45981.6666666666</v>
                </pt>
                <pt idx="81">
                  <v>45982.6666666666</v>
                </pt>
                <pt idx="82">
                  <v>45985.6666666666</v>
                </pt>
                <pt idx="83">
                  <v>45986.6666666666</v>
                </pt>
                <pt idx="84">
                  <v>45987.6666666666</v>
                </pt>
                <pt idx="85">
                  <v>45989.5520833333</v>
                </pt>
                <pt idx="86">
                  <v>45992.6666666666</v>
                </pt>
                <pt idx="87">
                  <v>45993.6666666666</v>
                </pt>
                <pt idx="88">
                  <v>45994.6666666666</v>
                </pt>
                <pt idx="89">
                  <v>45995.6666666666</v>
                </pt>
                <pt idx="90">
                  <v>45996.6666666666</v>
                </pt>
                <pt idx="91">
                  <v>45999.6666666666</v>
                </pt>
                <pt idx="92">
                  <v>46000.6666666666</v>
                </pt>
                <pt idx="93">
                  <v>46001.6666666666</v>
                </pt>
                <pt idx="94">
                  <v>46002.6666666666</v>
                </pt>
                <pt idx="95">
                  <v>46003.6666666666</v>
                </pt>
                <pt idx="96">
                  <v>46006.6666666666</v>
                </pt>
                <pt idx="97">
                  <v>46007.6666666666</v>
                </pt>
                <pt idx="98">
                  <v>46008.6666666666</v>
                </pt>
                <pt idx="99">
                  <v>46009.6666666666</v>
                </pt>
                <pt idx="100">
                  <v>46010.6666666666</v>
                </pt>
                <pt idx="101">
                  <v>46013.6666666666</v>
                </pt>
                <pt idx="102">
                  <v>46014.6666666666</v>
                </pt>
                <pt idx="103">
                  <v>46015.5416666666</v>
                </pt>
                <pt idx="104">
                  <v>46017.6666666666</v>
                </pt>
                <pt idx="105">
                  <v>46020.6666666666</v>
                </pt>
                <pt idx="106">
                  <v>46021.6666666666</v>
                </pt>
                <pt idx="107">
                  <v>46022.6666666666</v>
                </pt>
                <pt idx="108">
                  <v>46024.6666666666</v>
                </pt>
                <pt idx="109">
                  <v>46027.6666666666</v>
                </pt>
                <pt idx="110">
                  <v>46028.6666666666</v>
                </pt>
                <pt idx="111">
                  <v>46029.6666666666</v>
                </pt>
                <pt idx="112">
                  <v>46030.6666666666</v>
                </pt>
                <pt idx="113">
                  <v>46031.6666666666</v>
                </pt>
                <pt idx="114">
                  <v>46034.6666666666</v>
                </pt>
                <pt idx="115">
                  <v>46035.6666666666</v>
                </pt>
                <pt idx="116">
                  <v>46036.6666666666</v>
                </pt>
                <pt idx="117">
                  <v>46037.6666666666</v>
                </pt>
                <pt idx="118">
                  <v>46038.6666666666</v>
                </pt>
                <pt idx="119">
                  <v>46042.6666666666</v>
                </pt>
                <pt idx="120">
                  <v>46043.6666666666</v>
                </pt>
                <pt idx="121">
                  <v>46044.6666666666</v>
                </pt>
                <pt idx="122">
                  <v>46045.6666666666</v>
                </pt>
                <pt idx="123">
                  <v>46048.6666666666</v>
                </pt>
                <pt idx="124">
                  <v>46049.6666666666</v>
                </pt>
                <pt idx="125">
                  <v>46050.6666666666</v>
                </pt>
                <pt idx="126">
                  <v>46051.6666666666</v>
                </pt>
                <pt idx="127">
                  <v>46052.6666666666</v>
                </pt>
                <pt idx="128">
                  <v>46055.6666666666</v>
                </pt>
                <pt idx="129">
                  <v>46056.6666666666</v>
                </pt>
                <pt idx="130">
                  <v>46057.6666666666</v>
                </pt>
                <pt idx="131">
                  <v>46058.6666666666</v>
                </pt>
                <pt idx="132">
                  <v>46059.6666666666</v>
                </pt>
                <pt idx="133">
                  <v>46062.6666666666</v>
                </pt>
                <pt idx="134">
                  <v>46063.6666666666</v>
                </pt>
                <pt idx="135">
                  <v>46064.6666666666</v>
                </pt>
                <pt idx="136">
                  <v>46065.6666666666</v>
                </pt>
                <pt idx="137">
                  <v>46066.6666666666</v>
                </pt>
                <pt idx="138">
                  <v>46070.6666666666</v>
                </pt>
                <pt idx="139">
                  <v>46071.6666666666</v>
                </pt>
                <pt idx="140">
                  <v>46072.6666666666</v>
                </pt>
                <pt idx="141">
                  <v>46073.6666666666</v>
                </pt>
                <pt idx="142">
                  <v>46076.6666666666</v>
                </pt>
                <pt idx="143">
                  <v>46077.6666666666</v>
                </pt>
                <pt idx="144">
                  <v>46078.6666666666</v>
                </pt>
                <pt idx="145">
                  <v>46079.6666666666</v>
                </pt>
                <pt idx="146">
                  <v>46080.6666666666</v>
                </pt>
                <pt idx="147">
                  <v>46083.6666666666</v>
                </pt>
                <pt idx="148">
                  <v>46084.6666666666</v>
                </pt>
                <pt idx="149">
                  <v>46085.6666666666</v>
                </pt>
                <pt idx="150">
                  <v>46086.6666666666</v>
                </pt>
                <pt idx="151">
                  <v>46087.6666666666</v>
                </pt>
                <pt idx="152">
                  <v>46090.6666666666</v>
                </pt>
                <pt idx="153">
                  <v>46091.6666666666</v>
                </pt>
                <pt idx="154">
                  <v>46092.6666666666</v>
                </pt>
                <pt idx="155">
                  <v>46093.6666666666</v>
                </pt>
                <pt idx="156">
                  <v>46094.6666666666</v>
                </pt>
                <pt idx="157">
                  <v>46097.6666666666</v>
                </pt>
                <pt idx="158">
                  <v>46098.6666666666</v>
                </pt>
                <pt idx="159">
                  <v>46099.6666666666</v>
                </pt>
                <pt idx="160">
                  <v>46100.6666666666</v>
                </pt>
                <pt idx="161">
                  <v>46101.6666666666</v>
                </pt>
                <pt idx="162">
                  <v>46104.6666666666</v>
                </pt>
                <pt idx="163">
                  <v>46105.6666666666</v>
                </pt>
                <pt idx="164">
                  <v>46106.6666666666</v>
                </pt>
                <pt idx="165">
                  <v>46107.6666666666</v>
                </pt>
                <pt idx="166">
                  <v>46108.6666666666</v>
                </pt>
                <pt idx="167">
                  <v>46111.6666666666</v>
                </pt>
                <pt idx="168">
                  <v>46112.6666666666</v>
                </pt>
                <pt idx="169">
                  <v>46113.6666666666</v>
                </pt>
                <pt idx="170">
                  <v>46114.6666666666</v>
                </pt>
                <pt idx="171">
                  <v>46118.6666666666</v>
                </pt>
                <pt idx="172">
                  <v>46119.6666666666</v>
                </pt>
                <pt idx="173">
                  <v>46120.6666666666</v>
                </pt>
                <pt idx="174">
                  <v>46121.6666666666</v>
                </pt>
                <pt idx="175">
                  <v>46122.6666666666</v>
                </pt>
                <pt idx="176">
                  <v>46125.6666666666</v>
                </pt>
                <pt idx="177">
                  <v>46126.6666666666</v>
                </pt>
                <pt idx="178">
                  <v>46127.6666666666</v>
                </pt>
                <pt idx="179">
                  <v>46128.6666666666</v>
                </pt>
                <pt idx="180">
                  <v>46129.6666666666</v>
                </pt>
                <pt idx="181">
                  <v>46132.6666666666</v>
                </pt>
                <pt idx="182">
                  <v>46133.6666666666</v>
                </pt>
                <pt idx="183">
                  <v>46134.6666666666</v>
                </pt>
                <pt idx="184">
                  <v>46135.6666666666</v>
                </pt>
                <pt idx="185">
                  <v>46136.6666666666</v>
                </pt>
                <pt idx="186">
                  <v>46139.6666666666</v>
                </pt>
                <pt idx="187">
                  <v>46140.6666666666</v>
                </pt>
                <pt idx="188">
                  <v>46141.6666666666</v>
                </pt>
                <pt idx="189">
                  <v>46142.6666666666</v>
                </pt>
                <pt idx="190">
                  <v>46143.6666666666</v>
                </pt>
                <pt idx="191">
                  <v>46146.6666666666</v>
                </pt>
                <pt idx="192">
                  <v>46147.6666666666</v>
                </pt>
                <pt idx="193">
                  <v>46148.6666666666</v>
                </pt>
                <pt idx="194">
                  <v>46149.6666666666</v>
                </pt>
                <pt idx="195">
                  <v>46150.6666666666</v>
                </pt>
                <pt idx="196">
                  <v>46153.6666666666</v>
                </pt>
                <pt idx="197">
                  <v>46154.6666666666</v>
                </pt>
                <pt idx="198">
                  <v>46155.6666666666</v>
                </pt>
                <pt idx="199">
                  <v>46156.6666666666</v>
                </pt>
                <pt idx="200">
                  <v>46157.6666666666</v>
                </pt>
                <pt idx="201">
                  <v>46160.6666666666</v>
                </pt>
                <pt idx="202">
                  <v>46161.6666666666</v>
                </pt>
                <pt idx="203">
                  <v>46162.6666666666</v>
                </pt>
                <pt idx="204">
                  <v>46163.6666666666</v>
                </pt>
                <pt idx="205">
                  <v>46164.6666666666</v>
                </pt>
                <pt idx="206">
                  <v>46168.6666666666</v>
                </pt>
                <pt idx="207">
                  <v>46169.6666666666</v>
                </pt>
                <pt idx="208">
                  <v>46170.6666666666</v>
                </pt>
                <pt idx="209">
                  <v>46171.6666666666</v>
                </pt>
                <pt idx="210">
                  <v>46174.6666666666</v>
                </pt>
                <pt idx="211">
                  <v>46175.6666666666</v>
                </pt>
                <pt idx="212">
                  <v>46176.6666666666</v>
                </pt>
                <pt idx="213">
                  <v>46177.6666666666</v>
                </pt>
                <pt idx="214">
                  <v>46178.6666666666</v>
                </pt>
                <pt idx="215">
                  <v>46181.6666666666</v>
                </pt>
                <pt idx="216">
                  <v>46182.6666666666</v>
                </pt>
                <pt idx="217">
                  <v>46183.6666666666</v>
                </pt>
                <pt idx="218">
                  <v>46184.6666666666</v>
                </pt>
                <pt idx="219">
                  <v>46185.6666666666</v>
                </pt>
                <pt idx="220">
                  <v>46188.6666666666</v>
                </pt>
                <pt idx="221">
                  <v>46189.6666666666</v>
                </pt>
                <pt idx="222">
                  <v>46190.6666666666</v>
                </pt>
                <pt idx="223">
                  <v>46191.6666666666</v>
                </pt>
                <pt idx="224">
                  <v>46195.6666666666</v>
                </pt>
                <pt idx="225">
                  <v>46196.6666666666</v>
                </pt>
                <pt idx="226">
                  <v>46197.6666666666</v>
                </pt>
                <pt idx="227">
                  <v>46198.6666666666</v>
                </pt>
                <pt idx="228">
                  <v>46199.6666666666</v>
                </pt>
                <pt idx="229">
                  <v>46202.6666666666</v>
                </pt>
                <pt idx="230">
                  <v>46203.6666666666</v>
                </pt>
                <pt idx="231">
                  <v>46204.6666666666</v>
                </pt>
                <pt idx="232">
                  <v>46205.6666666666</v>
                </pt>
                <pt idx="233">
                  <v>46209.6666666666</v>
                </pt>
                <pt idx="234">
                  <v>46210.6666666666</v>
                </pt>
                <pt idx="235">
                  <v>46211.6666666666</v>
                </pt>
                <pt idx="236">
                  <v>46212.6666666666</v>
                </pt>
                <pt idx="237">
                  <v>46213.6666666666</v>
                </pt>
                <pt idx="238">
                  <v>46216.6666666666</v>
                </pt>
                <pt idx="239">
                  <v>46217.6666666666</v>
                </pt>
                <pt idx="240">
                  <v>46218.6666666666</v>
                </pt>
                <pt idx="241">
                  <v>46219.6666666666</v>
                </pt>
                <pt idx="242">
                  <v>46220.6666666666</v>
                </pt>
                <pt idx="243">
                  <v>46223.6666666666</v>
                </pt>
                <pt idx="244">
                  <v>46224.6666666666</v>
                </pt>
                <pt idx="245">
                  <v>46225.6666666666</v>
                </pt>
                <pt idx="246">
                  <v>46226.6666666666</v>
                </pt>
                <pt idx="247">
                  <v>46227.6666666666</v>
                </pt>
                <pt idx="248">
                  <v>46230.6666666666</v>
                </pt>
                <pt idx="249">
                  <v>46231.6666666666</v>
                </pt>
                <pt idx="250">
                  <v>46232.6666666666</v>
                </pt>
              </numCache>
            </numRef>
          </cat>
          <val>
            <numRef>
              <f>EWJ!$F$28:$F$1000</f>
              <numCache>
                <formatCode>#,##0.00</formatCode>
                <ptCount val="973"/>
                <pt idx="0">
                  <v>73.98</v>
                </pt>
                <pt idx="1">
                  <v>73.62</v>
                </pt>
                <pt idx="2">
                  <v>74.06999999999999</v>
                </pt>
                <pt idx="3">
                  <v>75.29000000000001</v>
                </pt>
                <pt idx="4">
                  <v>75.03</v>
                </pt>
                <pt idx="5">
                  <v>76.03</v>
                </pt>
                <pt idx="6">
                  <v>76.62</v>
                </pt>
                <pt idx="7">
                  <v>77.93000000000001</v>
                </pt>
                <pt idx="8">
                  <v>77.79000000000001</v>
                </pt>
                <pt idx="9">
                  <v>79.23</v>
                </pt>
                <pt idx="10">
                  <v>79.27</v>
                </pt>
                <pt idx="11">
                  <v>78.8</v>
                </pt>
                <pt idx="12">
                  <v>80.15000000000001</v>
                </pt>
                <pt idx="13">
                  <v>80.3</v>
                </pt>
                <pt idx="14">
                  <v>80.02</v>
                </pt>
                <pt idx="15">
                  <v>79.64</v>
                </pt>
                <pt idx="16">
                  <v>78.7</v>
                </pt>
                <pt idx="17">
                  <v>80.02</v>
                </pt>
                <pt idx="18">
                  <v>79.05</v>
                </pt>
                <pt idx="19">
                  <v>78.92</v>
                </pt>
                <pt idx="20">
                  <v>78.63</v>
                </pt>
                <pt idx="21">
                  <v>79.29000000000001</v>
                </pt>
                <pt idx="22">
                  <v>78.28</v>
                </pt>
                <pt idx="23">
                  <v>78.15000000000001</v>
                </pt>
                <pt idx="24">
                  <v>77.93000000000001</v>
                </pt>
                <pt idx="25">
                  <v>78.73</v>
                </pt>
                <pt idx="26">
                  <v>79.18000000000001</v>
                </pt>
                <pt idx="27">
                  <v>80.95999999999999</v>
                </pt>
                <pt idx="28">
                  <v>80.06</v>
                </pt>
                <pt idx="29">
                  <v>80.36</v>
                </pt>
                <pt idx="30">
                  <v>81.31999999999999</v>
                </pt>
                <pt idx="31">
                  <v>80.76000000000001</v>
                </pt>
                <pt idx="32">
                  <v>81.34999999999999</v>
                </pt>
                <pt idx="33">
                  <v>81.34999999999999</v>
                </pt>
                <pt idx="34">
                  <v>81.17</v>
                </pt>
                <pt idx="35">
                  <v>81.48999999999999</v>
                </pt>
                <pt idx="36">
                  <v>80.79000000000001</v>
                </pt>
                <pt idx="37">
                  <v>81.25</v>
                </pt>
                <pt idx="38">
                  <v>81.09</v>
                </pt>
                <pt idx="39">
                  <v>81.09</v>
                </pt>
                <pt idx="40">
                  <v>80.45999999999999</v>
                </pt>
                <pt idx="41">
                  <v>80.44</v>
                </pt>
                <pt idx="42">
                  <v>80.51000000000001</v>
                </pt>
                <pt idx="43">
                  <v>80.20999999999999</v>
                </pt>
                <pt idx="44">
                  <v>80.20999999999999</v>
                </pt>
                <pt idx="45">
                  <v>80.15000000000001</v>
                </pt>
                <pt idx="46">
                  <v>81.78</v>
                </pt>
                <pt idx="47">
                  <v>83.27</v>
                </pt>
                <pt idx="48">
                  <v>81.95999999999999</v>
                </pt>
                <pt idx="49">
                  <v>81.75</v>
                </pt>
                <pt idx="50">
                  <v>81.55</v>
                </pt>
                <pt idx="51">
                  <v>78.36</v>
                </pt>
                <pt idx="52">
                  <v>79.29000000000001</v>
                </pt>
                <pt idx="53">
                  <v>80.04000000000001</v>
                </pt>
                <pt idx="54">
                  <v>81.29000000000001</v>
                </pt>
                <pt idx="55">
                  <v>81.55</v>
                </pt>
                <pt idx="56">
                  <v>82</v>
                </pt>
                <pt idx="57">
                  <v>83.54000000000001</v>
                </pt>
                <pt idx="58">
                  <v>82.56999999999999</v>
                </pt>
                <pt idx="59">
                  <v>82.18000000000001</v>
                </pt>
                <pt idx="60">
                  <v>82.22</v>
                </pt>
                <pt idx="61">
                  <v>82.5</v>
                </pt>
                <pt idx="62">
                  <v>83.53</v>
                </pt>
                <pt idx="63">
                  <v>83.93000000000001</v>
                </pt>
                <pt idx="64">
                  <v>83.23</v>
                </pt>
                <pt idx="65">
                  <v>83.20999999999999</v>
                </pt>
                <pt idx="66">
                  <v>83.45</v>
                </pt>
                <pt idx="67">
                  <v>83.64</v>
                </pt>
                <pt idx="68">
                  <v>82.83</v>
                </pt>
                <pt idx="69">
                  <v>82.8</v>
                </pt>
                <pt idx="70">
                  <v>82.95999999999999</v>
                </pt>
                <pt idx="71">
                  <v>83.29000000000001</v>
                </pt>
                <pt idx="72">
                  <v>83.68000000000001</v>
                </pt>
                <pt idx="73">
                  <v>83.75</v>
                </pt>
                <pt idx="74">
                  <v>84.34</v>
                </pt>
                <pt idx="75">
                  <v>83.01000000000001</v>
                </pt>
                <pt idx="76">
                  <v>83.98</v>
                </pt>
                <pt idx="77">
                  <v>82.47</v>
                </pt>
                <pt idx="78">
                  <v>80.78</v>
                </pt>
                <pt idx="79">
                  <v>80.68000000000001</v>
                </pt>
                <pt idx="80">
                  <v>79.48999999999999</v>
                </pt>
                <pt idx="81">
                  <v>81.19</v>
                </pt>
                <pt idx="82">
                  <v>81.73999999999999</v>
                </pt>
                <pt idx="83">
                  <v>81.92</v>
                </pt>
                <pt idx="84">
                  <v>83.26000000000001</v>
                </pt>
                <pt idx="85">
                  <v>83.01000000000001</v>
                </pt>
                <pt idx="86">
                  <v>82.53</v>
                </pt>
                <pt idx="87">
                  <v>82.47</v>
                </pt>
                <pt idx="88">
                  <v>82.61</v>
                </pt>
                <pt idx="89">
                  <v>83.62</v>
                </pt>
                <pt idx="90">
                  <v>83.7</v>
                </pt>
                <pt idx="91">
                  <v>83.19</v>
                </pt>
                <pt idx="92">
                  <v>83.31</v>
                </pt>
                <pt idx="93">
                  <v>83.91</v>
                </pt>
                <pt idx="94">
                  <v>84.22</v>
                </pt>
                <pt idx="95">
                  <v>84</v>
                </pt>
                <pt idx="96">
                  <v>84.87</v>
                </pt>
                <pt idx="97">
                  <v>80.84999999999999</v>
                </pt>
                <pt idx="98">
                  <v>79.73999999999999</v>
                </pt>
                <pt idx="99">
                  <v>79.97</v>
                </pt>
                <pt idx="100">
                  <v>80.58</v>
                </pt>
                <pt idx="101">
                  <v>80.45999999999999</v>
                </pt>
                <pt idx="102">
                  <v>81.14</v>
                </pt>
                <pt idx="103">
                  <v>81</v>
                </pt>
                <pt idx="104">
                  <v>80.97</v>
                </pt>
                <pt idx="105">
                  <v>81.09</v>
                </pt>
                <pt idx="106">
                  <v>80.98</v>
                </pt>
                <pt idx="107">
                  <v>80.73999999999999</v>
                </pt>
                <pt idx="108">
                  <v>81.33</v>
                </pt>
                <pt idx="109">
                  <v>83.13</v>
                </pt>
                <pt idx="110">
                  <v>83.06999999999999</v>
                </pt>
                <pt idx="111">
                  <v>82.92</v>
                </pt>
                <pt idx="112">
                  <v>82.86</v>
                </pt>
                <pt idx="113">
                  <v>84.61</v>
                </pt>
                <pt idx="114">
                  <v>85.29000000000001</v>
                </pt>
                <pt idx="115">
                  <v>84.45</v>
                </pt>
                <pt idx="116">
                  <v>85.04000000000001</v>
                </pt>
                <pt idx="117">
                  <v>85.42</v>
                </pt>
                <pt idx="118">
                  <v>85.48</v>
                </pt>
                <pt idx="119">
                  <v>83.72</v>
                </pt>
                <pt idx="120">
                  <v>84.78</v>
                </pt>
                <pt idx="121">
                  <v>84.86</v>
                </pt>
                <pt idx="122">
                  <v>84.56</v>
                </pt>
                <pt idx="123">
                  <v>84.63</v>
                </pt>
                <pt idx="124">
                  <v>85.84</v>
                </pt>
                <pt idx="125">
                  <v>85.20999999999999</v>
                </pt>
                <pt idx="126">
                  <v>86.09</v>
                </pt>
                <pt idx="127">
                  <v>85.72</v>
                </pt>
                <pt idx="128">
                  <v>85.89</v>
                </pt>
                <pt idx="129">
                  <v>86.68000000000001</v>
                </pt>
                <pt idx="130">
                  <v>87.48999999999999</v>
                </pt>
                <pt idx="131">
                  <v>86.09999999999999</v>
                </pt>
                <pt idx="132">
                  <v>89.40000000000001</v>
                </pt>
                <pt idx="133">
                  <v>91.29000000000001</v>
                </pt>
                <pt idx="134">
                  <v>93.09999999999999</v>
                </pt>
                <pt idx="135">
                  <v>93.97</v>
                </pt>
                <pt idx="136">
                  <v>93.37</v>
                </pt>
                <pt idx="137">
                  <v>93.84999999999999</v>
                </pt>
                <pt idx="138">
                  <v>91.87</v>
                </pt>
                <pt idx="139">
                  <v>91.38</v>
                </pt>
                <pt idx="140">
                  <v>91.2</v>
                </pt>
                <pt idx="141">
                  <v>91.47</v>
                </pt>
                <pt idx="142">
                  <v>91.39</v>
                </pt>
                <pt idx="143">
                  <v>91.23</v>
                </pt>
                <pt idx="144">
                  <v>92.44</v>
                </pt>
                <pt idx="145">
                  <v>92.48</v>
                </pt>
                <pt idx="146">
                  <v>92.37</v>
                </pt>
                <pt idx="147">
                  <v>90.2</v>
                </pt>
                <pt idx="148">
                  <v>86.83</v>
                </pt>
                <pt idx="149">
                  <v>88.59</v>
                </pt>
                <pt idx="150">
                  <v>85.89</v>
                </pt>
                <pt idx="151">
                  <v>84.77</v>
                </pt>
                <pt idx="152">
                  <v>85.64</v>
                </pt>
                <pt idx="153">
                  <v>86.45999999999999</v>
                </pt>
                <pt idx="154">
                  <v>85.73</v>
                </pt>
                <pt idx="155">
                  <v>84.19</v>
                </pt>
                <pt idx="156">
                  <v>83.36</v>
                </pt>
                <pt idx="157">
                  <v>85.06999999999999</v>
                </pt>
                <pt idx="158">
                  <v>85.08</v>
                </pt>
                <pt idx="159">
                  <v>84.15000000000001</v>
                </pt>
                <pt idx="160">
                  <v>84.08</v>
                </pt>
                <pt idx="161">
                  <v>81.2</v>
                </pt>
                <pt idx="162">
                  <v>83.55</v>
                </pt>
                <pt idx="163">
                  <v>83.28</v>
                </pt>
                <pt idx="164">
                  <v>84.75</v>
                </pt>
                <pt idx="165">
                  <v>82.70999999999999</v>
                </pt>
                <pt idx="166">
                  <v>81.43000000000001</v>
                </pt>
                <pt idx="167">
                  <v>81.52</v>
                </pt>
                <pt idx="168">
                  <v>84.44</v>
                </pt>
                <pt idx="169">
                  <v>86.48</v>
                </pt>
                <pt idx="170">
                  <v>85.29000000000001</v>
                </pt>
                <pt idx="171">
                  <v>85.56999999999999</v>
                </pt>
                <pt idx="172">
                  <v>85.51000000000001</v>
                </pt>
                <pt idx="173">
                  <v>89.41</v>
                </pt>
                <pt idx="174">
                  <v>88.22</v>
                </pt>
                <pt idx="175">
                  <v>88.13</v>
                </pt>
                <pt idx="176">
                  <v>88.34999999999999</v>
                </pt>
                <pt idx="177">
                  <v>89.41</v>
                </pt>
                <pt idx="178">
                  <v>89.06999999999999</v>
                </pt>
                <pt idx="179">
                  <v>89.41</v>
                </pt>
                <pt idx="180">
                  <v>90.19</v>
                </pt>
                <pt idx="181">
                  <v>89.33</v>
                </pt>
                <pt idx="182">
                  <v>87.14</v>
                </pt>
                <pt idx="183">
                  <v>87.76000000000001</v>
                </pt>
                <pt idx="184">
                  <v>87.06999999999999</v>
                </pt>
                <pt idx="185">
                  <v>87.31999999999999</v>
                </pt>
                <pt idx="186">
                  <v>87.68000000000001</v>
                </pt>
                <pt idx="187">
                  <v>87.56</v>
                </pt>
                <pt idx="188">
                  <v>86.81</v>
                </pt>
                <pt idx="189">
                  <v>89.09999999999999</v>
                </pt>
                <pt idx="190">
                  <v>88.3</v>
                </pt>
                <pt idx="191">
                  <v>88.12</v>
                </pt>
                <pt idx="192">
                  <v>89.26000000000001</v>
                </pt>
                <pt idx="193">
                  <v>91.68000000000001</v>
                </pt>
                <pt idx="194">
                  <v>90.98999999999999</v>
                </pt>
                <pt idx="195">
                  <v>92.22</v>
                </pt>
                <pt idx="196">
                  <v>92.26000000000001</v>
                </pt>
                <pt idx="197">
                  <v>92.06</v>
                </pt>
                <pt idx="198">
                  <v>93.09</v>
                </pt>
                <pt idx="199">
                  <v>92.06</v>
                </pt>
                <pt idx="200">
                  <v>91.06999999999999</v>
                </pt>
                <pt idx="201">
                  <v>90.92</v>
                </pt>
                <pt idx="202">
                  <v>90.29000000000001</v>
                </pt>
                <pt idx="203">
                  <v>91.20999999999999</v>
                </pt>
                <pt idx="204">
                  <v>91.37</v>
                </pt>
                <pt idx="205">
                  <v>91.61</v>
                </pt>
                <pt idx="206">
                  <v>92.90000000000001</v>
                </pt>
                <pt idx="207">
                  <v>92.29000000000001</v>
                </pt>
                <pt idx="208">
                  <v>92.7</v>
                </pt>
                <pt idx="209">
                  <v>92.95999999999999</v>
                </pt>
                <pt idx="210">
                  <v>92.93000000000001</v>
                </pt>
                <pt idx="211">
                  <v>93.58</v>
                </pt>
                <pt idx="212">
                  <v>93.94</v>
                </pt>
                <pt idx="213">
                  <v>94.13</v>
                </pt>
                <pt idx="214">
                  <v>90.72</v>
                </pt>
                <pt idx="215">
                  <v>91.95</v>
                </pt>
                <pt idx="216">
                  <v>90.95</v>
                </pt>
                <pt idx="217">
                  <v>89.29000000000001</v>
                </pt>
                <pt idx="218">
                  <v>92.18000000000001</v>
                </pt>
                <pt idx="219">
                  <v>92.70999999999999</v>
                </pt>
                <pt idx="220">
                  <v>94.06</v>
                </pt>
                <pt idx="221">
                  <v>94.12</v>
                </pt>
                <pt idx="222">
                  <v>94.45</v>
                </pt>
                <pt idx="223">
                  <v>96.26000000000001</v>
                </pt>
                <pt idx="224">
                  <v>96.97</v>
                </pt>
                <pt idx="225">
                  <v>92.75</v>
                </pt>
                <pt idx="226">
                  <v>92.61</v>
                </pt>
                <pt idx="227">
                  <v>93.39</v>
                </pt>
                <pt idx="228">
                  <v>92.8</v>
                </pt>
                <pt idx="229">
                  <v>93.20999999999999</v>
                </pt>
                <pt idx="230">
                  <v>93.27</v>
                </pt>
                <pt idx="231">
                  <v>93.05</v>
                </pt>
                <pt idx="232">
                  <v>93.14</v>
                </pt>
                <pt idx="233">
                  <v>95.27</v>
                </pt>
                <pt idx="234">
                  <v>93.06999999999999</v>
                </pt>
                <pt idx="235">
                  <v>92.54000000000001</v>
                </pt>
                <pt idx="236">
                  <v>93.52</v>
                </pt>
                <pt idx="237">
                  <v>94.55</v>
                </pt>
                <pt idx="238">
                  <v>92.72</v>
                </pt>
                <pt idx="239">
                  <v>93.89</v>
                </pt>
                <pt idx="240">
                  <v>93.5</v>
                </pt>
                <pt idx="241">
                  <v>91.91</v>
                </pt>
                <pt idx="242">
                  <v>90.48999999999999</v>
                </pt>
                <pt idx="243">
                  <v>90.43000000000001</v>
                </pt>
                <pt idx="244">
                  <v>92.73999999999999</v>
                </pt>
                <pt idx="245">
                  <v>92.19</v>
                </pt>
                <pt idx="246">
                  <v>91.09999999999999</v>
                </pt>
                <pt idx="247">
                  <v>91.20999999999999</v>
                </pt>
                <pt idx="248">
                  <v>91.51000000000001</v>
                </pt>
                <pt idx="249">
                  <v>89.83</v>
                </pt>
                <pt idx="250">
                  <v>89.34999999999999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ko-KR"/>
        </a:p>
      </txPr>
    </legend>
    <plotVisOnly val="1"/>
    <dispBlanksAs val="zero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layout/>
      <areaChart>
        <grouping val="standard"/>
        <varyColors val="1"/>
        <ser>
          <idx val="0"/>
          <order val="0"/>
          <tx>
            <strRef>
              <f>IWM!$F$27</f>
              <strCache>
                <ptCount val="1"/>
                <pt idx="0">
                  <v>Close</v>
                </pt>
              </strCache>
            </strRef>
          </tx>
          <spPr>
            <a:solidFill>
              <a:srgbClr val="4285F4"/>
            </a:solidFill>
            <a:ln cmpd="sng">
              <a:solidFill>
                <a:srgbClr val="4285F4"/>
              </a:solidFill>
              <a:prstDash val="solid"/>
            </a:ln>
          </spPr>
          <cat>
            <numRef>
              <f>IWM!$B$28:$B$1000</f>
              <numCache>
                <formatCode>mmm" "d", "yyyy</formatCode>
                <ptCount val="973"/>
                <pt idx="0">
                  <v>45868.6666666666</v>
                </pt>
                <pt idx="1">
                  <v>45869.6666666666</v>
                </pt>
                <pt idx="2">
                  <v>45870.6666666666</v>
                </pt>
                <pt idx="3">
                  <v>45873.6666666666</v>
                </pt>
                <pt idx="4">
                  <v>45874.6666666666</v>
                </pt>
                <pt idx="5">
                  <v>45875.6666666666</v>
                </pt>
                <pt idx="6">
                  <v>45876.6666666666</v>
                </pt>
                <pt idx="7">
                  <v>45877.6666666666</v>
                </pt>
                <pt idx="8">
                  <v>45880.6666666666</v>
                </pt>
                <pt idx="9">
                  <v>45881.6666666666</v>
                </pt>
                <pt idx="10">
                  <v>45882.6666666666</v>
                </pt>
                <pt idx="11">
                  <v>45883.6666666666</v>
                </pt>
                <pt idx="12">
                  <v>45884.6666666666</v>
                </pt>
                <pt idx="13">
                  <v>45887.6666666666</v>
                </pt>
                <pt idx="14">
                  <v>45888.6666666666</v>
                </pt>
                <pt idx="15">
                  <v>45889.6666666666</v>
                </pt>
                <pt idx="16">
                  <v>45890.6666666666</v>
                </pt>
                <pt idx="17">
                  <v>45891.6666666666</v>
                </pt>
                <pt idx="18">
                  <v>45894.6666666666</v>
                </pt>
                <pt idx="19">
                  <v>45895.6666666666</v>
                </pt>
                <pt idx="20">
                  <v>45896.6666666666</v>
                </pt>
                <pt idx="21">
                  <v>45897.6666666666</v>
                </pt>
                <pt idx="22">
                  <v>45898.6666666666</v>
                </pt>
                <pt idx="23">
                  <v>45902.6666666666</v>
                </pt>
                <pt idx="24">
                  <v>45903.6666666666</v>
                </pt>
                <pt idx="25">
                  <v>45904.6666666666</v>
                </pt>
                <pt idx="26">
                  <v>45905.6666666666</v>
                </pt>
                <pt idx="27">
                  <v>45908.6666666666</v>
                </pt>
                <pt idx="28">
                  <v>45909.6666666666</v>
                </pt>
                <pt idx="29">
                  <v>45910.6666666666</v>
                </pt>
                <pt idx="30">
                  <v>45911.6666666666</v>
                </pt>
                <pt idx="31">
                  <v>45912.6666666666</v>
                </pt>
                <pt idx="32">
                  <v>45915.6666666666</v>
                </pt>
                <pt idx="33">
                  <v>45916.6666666666</v>
                </pt>
                <pt idx="34">
                  <v>45917.6666666666</v>
                </pt>
                <pt idx="35">
                  <v>45918.6666666666</v>
                </pt>
                <pt idx="36">
                  <v>45919.6666666666</v>
                </pt>
                <pt idx="37">
                  <v>45922.6666666666</v>
                </pt>
                <pt idx="38">
                  <v>45923.6666666666</v>
                </pt>
                <pt idx="39">
                  <v>45924.6666666666</v>
                </pt>
                <pt idx="40">
                  <v>45925.6666666666</v>
                </pt>
                <pt idx="41">
                  <v>45926.6666666666</v>
                </pt>
                <pt idx="42">
                  <v>45929.6666666666</v>
                </pt>
                <pt idx="43">
                  <v>45930.6666666666</v>
                </pt>
                <pt idx="44">
                  <v>45931.6666666666</v>
                </pt>
                <pt idx="45">
                  <v>45932.6666666666</v>
                </pt>
                <pt idx="46">
                  <v>45933.6666666666</v>
                </pt>
                <pt idx="47">
                  <v>45936.6666666666</v>
                </pt>
                <pt idx="48">
                  <v>45937.6666666666</v>
                </pt>
                <pt idx="49">
                  <v>45938.6666666666</v>
                </pt>
                <pt idx="50">
                  <v>45939.6666666666</v>
                </pt>
                <pt idx="51">
                  <v>45940.6666666666</v>
                </pt>
                <pt idx="52">
                  <v>45943.6666666666</v>
                </pt>
                <pt idx="53">
                  <v>45944.6666666666</v>
                </pt>
                <pt idx="54">
                  <v>45945.6666666666</v>
                </pt>
                <pt idx="55">
                  <v>45946.6666666666</v>
                </pt>
                <pt idx="56">
                  <v>45947.6666666666</v>
                </pt>
                <pt idx="57">
                  <v>45950.6666666666</v>
                </pt>
                <pt idx="58">
                  <v>45951.6666666666</v>
                </pt>
                <pt idx="59">
                  <v>45952.6666666666</v>
                </pt>
                <pt idx="60">
                  <v>45953.6666666666</v>
                </pt>
                <pt idx="61">
                  <v>45954.6666666666</v>
                </pt>
                <pt idx="62">
                  <v>45957.6666666666</v>
                </pt>
                <pt idx="63">
                  <v>45958.6666666666</v>
                </pt>
                <pt idx="64">
                  <v>45959.6666666666</v>
                </pt>
                <pt idx="65">
                  <v>45960.6666666666</v>
                </pt>
                <pt idx="66">
                  <v>45961.6666666666</v>
                </pt>
                <pt idx="67">
                  <v>45964.6666666666</v>
                </pt>
                <pt idx="68">
                  <v>45965.6666666666</v>
                </pt>
                <pt idx="69">
                  <v>45966.6666666666</v>
                </pt>
                <pt idx="70">
                  <v>45967.6666666666</v>
                </pt>
                <pt idx="71">
                  <v>45968.6666666666</v>
                </pt>
                <pt idx="72">
                  <v>45971.6666666666</v>
                </pt>
                <pt idx="73">
                  <v>45972.6666666666</v>
                </pt>
                <pt idx="74">
                  <v>45973.6666666666</v>
                </pt>
                <pt idx="75">
                  <v>45974.6666666666</v>
                </pt>
                <pt idx="76">
                  <v>45975.6666666666</v>
                </pt>
                <pt idx="77">
                  <v>45978.6666666666</v>
                </pt>
                <pt idx="78">
                  <v>45979.6666666666</v>
                </pt>
                <pt idx="79">
                  <v>45980.6666666666</v>
                </pt>
                <pt idx="80">
                  <v>45981.6666666666</v>
                </pt>
                <pt idx="81">
                  <v>45982.6666666666</v>
                </pt>
                <pt idx="82">
                  <v>45985.6666666666</v>
                </pt>
                <pt idx="83">
                  <v>45986.6666666666</v>
                </pt>
                <pt idx="84">
                  <v>45987.6666666666</v>
                </pt>
                <pt idx="85">
                  <v>45989.5520833333</v>
                </pt>
                <pt idx="86">
                  <v>45992.6666666666</v>
                </pt>
                <pt idx="87">
                  <v>45993.6666666666</v>
                </pt>
                <pt idx="88">
                  <v>45994.6666666666</v>
                </pt>
                <pt idx="89">
                  <v>45995.6666666666</v>
                </pt>
                <pt idx="90">
                  <v>45996.6666666666</v>
                </pt>
                <pt idx="91">
                  <v>45999.6666666666</v>
                </pt>
                <pt idx="92">
                  <v>46000.6666666666</v>
                </pt>
                <pt idx="93">
                  <v>46001.6666666666</v>
                </pt>
                <pt idx="94">
                  <v>46002.6666666666</v>
                </pt>
                <pt idx="95">
                  <v>46003.6666666666</v>
                </pt>
                <pt idx="96">
                  <v>46006.6666666666</v>
                </pt>
                <pt idx="97">
                  <v>46007.6666666666</v>
                </pt>
                <pt idx="98">
                  <v>46008.6666666666</v>
                </pt>
                <pt idx="99">
                  <v>46009.6666666666</v>
                </pt>
                <pt idx="100">
                  <v>46010.6666666666</v>
                </pt>
                <pt idx="101">
                  <v>46013.6666666666</v>
                </pt>
                <pt idx="102">
                  <v>46014.6666666666</v>
                </pt>
                <pt idx="103">
                  <v>46015.5416666666</v>
                </pt>
                <pt idx="104">
                  <v>46017.6666666666</v>
                </pt>
                <pt idx="105">
                  <v>46020.6666666666</v>
                </pt>
                <pt idx="106">
                  <v>46021.6666666666</v>
                </pt>
                <pt idx="107">
                  <v>46022.6666666666</v>
                </pt>
                <pt idx="108">
                  <v>46024.6666666666</v>
                </pt>
                <pt idx="109">
                  <v>46027.6666666666</v>
                </pt>
                <pt idx="110">
                  <v>46028.6666666666</v>
                </pt>
                <pt idx="111">
                  <v>46029.6666666666</v>
                </pt>
                <pt idx="112">
                  <v>46030.6666666666</v>
                </pt>
                <pt idx="113">
                  <v>46031.6666666666</v>
                </pt>
                <pt idx="114">
                  <v>46034.6666666666</v>
                </pt>
                <pt idx="115">
                  <v>46035.6666666666</v>
                </pt>
                <pt idx="116">
                  <v>46036.6666666666</v>
                </pt>
                <pt idx="117">
                  <v>46037.6666666666</v>
                </pt>
                <pt idx="118">
                  <v>46038.6666666666</v>
                </pt>
                <pt idx="119">
                  <v>46042.6666666666</v>
                </pt>
                <pt idx="120">
                  <v>46043.6666666666</v>
                </pt>
                <pt idx="121">
                  <v>46044.6666666666</v>
                </pt>
                <pt idx="122">
                  <v>46045.6666666666</v>
                </pt>
                <pt idx="123">
                  <v>46048.6666666666</v>
                </pt>
                <pt idx="124">
                  <v>46049.6666666666</v>
                </pt>
                <pt idx="125">
                  <v>46050.6666666666</v>
                </pt>
                <pt idx="126">
                  <v>46051.6666666666</v>
                </pt>
                <pt idx="127">
                  <v>46052.6666666666</v>
                </pt>
                <pt idx="128">
                  <v>46055.6666666666</v>
                </pt>
                <pt idx="129">
                  <v>46056.6666666666</v>
                </pt>
                <pt idx="130">
                  <v>46057.6666666666</v>
                </pt>
                <pt idx="131">
                  <v>46058.6666666666</v>
                </pt>
                <pt idx="132">
                  <v>46059.6666666666</v>
                </pt>
                <pt idx="133">
                  <v>46062.6666666666</v>
                </pt>
                <pt idx="134">
                  <v>46063.6666666666</v>
                </pt>
                <pt idx="135">
                  <v>46064.6666666666</v>
                </pt>
                <pt idx="136">
                  <v>46065.6666666666</v>
                </pt>
                <pt idx="137">
                  <v>46066.6666666666</v>
                </pt>
                <pt idx="138">
                  <v>46070.6666666666</v>
                </pt>
                <pt idx="139">
                  <v>46071.6666666666</v>
                </pt>
                <pt idx="140">
                  <v>46072.6666666666</v>
                </pt>
                <pt idx="141">
                  <v>46073.6666666666</v>
                </pt>
                <pt idx="142">
                  <v>46076.6666666666</v>
                </pt>
                <pt idx="143">
                  <v>46077.6666666666</v>
                </pt>
                <pt idx="144">
                  <v>46078.6666666666</v>
                </pt>
                <pt idx="145">
                  <v>46079.6666666666</v>
                </pt>
                <pt idx="146">
                  <v>46080.6666666666</v>
                </pt>
                <pt idx="147">
                  <v>46083.6666666666</v>
                </pt>
                <pt idx="148">
                  <v>46084.6666666666</v>
                </pt>
                <pt idx="149">
                  <v>46085.6666666666</v>
                </pt>
                <pt idx="150">
                  <v>46086.6666666666</v>
                </pt>
                <pt idx="151">
                  <v>46087.6666666666</v>
                </pt>
                <pt idx="152">
                  <v>46090.6666666666</v>
                </pt>
                <pt idx="153">
                  <v>46091.6666666666</v>
                </pt>
                <pt idx="154">
                  <v>46092.6666666666</v>
                </pt>
                <pt idx="155">
                  <v>46093.6666666666</v>
                </pt>
                <pt idx="156">
                  <v>46094.6666666666</v>
                </pt>
                <pt idx="157">
                  <v>46097.6666666666</v>
                </pt>
                <pt idx="158">
                  <v>46098.6666666666</v>
                </pt>
                <pt idx="159">
                  <v>46099.6666666666</v>
                </pt>
                <pt idx="160">
                  <v>46100.6666666666</v>
                </pt>
                <pt idx="161">
                  <v>46101.6666666666</v>
                </pt>
                <pt idx="162">
                  <v>46104.6666666666</v>
                </pt>
                <pt idx="163">
                  <v>46105.6666666666</v>
                </pt>
                <pt idx="164">
                  <v>46106.6666666666</v>
                </pt>
                <pt idx="165">
                  <v>46107.6666666666</v>
                </pt>
                <pt idx="166">
                  <v>46108.6666666666</v>
                </pt>
                <pt idx="167">
                  <v>46111.6666666666</v>
                </pt>
                <pt idx="168">
                  <v>46112.6666666666</v>
                </pt>
                <pt idx="169">
                  <v>46113.6666666666</v>
                </pt>
                <pt idx="170">
                  <v>46114.6666666666</v>
                </pt>
                <pt idx="171">
                  <v>46118.6666666666</v>
                </pt>
                <pt idx="172">
                  <v>46119.6666666666</v>
                </pt>
                <pt idx="173">
                  <v>46120.6666666666</v>
                </pt>
                <pt idx="174">
                  <v>46121.6666666666</v>
                </pt>
                <pt idx="175">
                  <v>46122.6666666666</v>
                </pt>
                <pt idx="176">
                  <v>46125.6666666666</v>
                </pt>
                <pt idx="177">
                  <v>46126.6666666666</v>
                </pt>
                <pt idx="178">
                  <v>46127.6666666666</v>
                </pt>
                <pt idx="179">
                  <v>46128.6666666666</v>
                </pt>
                <pt idx="180">
                  <v>46129.6666666666</v>
                </pt>
                <pt idx="181">
                  <v>46132.6666666666</v>
                </pt>
                <pt idx="182">
                  <v>46133.6666666666</v>
                </pt>
                <pt idx="183">
                  <v>46134.6666666666</v>
                </pt>
                <pt idx="184">
                  <v>46135.6666666666</v>
                </pt>
                <pt idx="185">
                  <v>46136.6666666666</v>
                </pt>
                <pt idx="186">
                  <v>46139.6666666666</v>
                </pt>
                <pt idx="187">
                  <v>46140.6666666666</v>
                </pt>
                <pt idx="188">
                  <v>46141.6666666666</v>
                </pt>
                <pt idx="189">
                  <v>46142.6666666666</v>
                </pt>
                <pt idx="190">
                  <v>46143.6666666666</v>
                </pt>
                <pt idx="191">
                  <v>46146.6666666666</v>
                </pt>
                <pt idx="192">
                  <v>46147.6666666666</v>
                </pt>
                <pt idx="193">
                  <v>46148.6666666666</v>
                </pt>
                <pt idx="194">
                  <v>46149.6666666666</v>
                </pt>
                <pt idx="195">
                  <v>46150.6666666666</v>
                </pt>
                <pt idx="196">
                  <v>46153.6666666666</v>
                </pt>
                <pt idx="197">
                  <v>46154.6666666666</v>
                </pt>
                <pt idx="198">
                  <v>46155.6666666666</v>
                </pt>
                <pt idx="199">
                  <v>46156.6666666666</v>
                </pt>
                <pt idx="200">
                  <v>46157.6666666666</v>
                </pt>
                <pt idx="201">
                  <v>46160.6666666666</v>
                </pt>
                <pt idx="202">
                  <v>46161.6666666666</v>
                </pt>
                <pt idx="203">
                  <v>46162.6666666666</v>
                </pt>
                <pt idx="204">
                  <v>46163.6666666666</v>
                </pt>
                <pt idx="205">
                  <v>46164.6666666666</v>
                </pt>
                <pt idx="206">
                  <v>46168.6666666666</v>
                </pt>
                <pt idx="207">
                  <v>46169.6666666666</v>
                </pt>
                <pt idx="208">
                  <v>46170.6666666666</v>
                </pt>
                <pt idx="209">
                  <v>46171.6666666666</v>
                </pt>
                <pt idx="210">
                  <v>46174.6666666666</v>
                </pt>
                <pt idx="211">
                  <v>46175.6666666666</v>
                </pt>
                <pt idx="212">
                  <v>46176.6666666666</v>
                </pt>
                <pt idx="213">
                  <v>46177.6666666666</v>
                </pt>
                <pt idx="214">
                  <v>46178.6666666666</v>
                </pt>
                <pt idx="215">
                  <v>46181.6666666666</v>
                </pt>
                <pt idx="216">
                  <v>46182.6666666666</v>
                </pt>
                <pt idx="217">
                  <v>46183.6666666666</v>
                </pt>
                <pt idx="218">
                  <v>46184.6666666666</v>
                </pt>
                <pt idx="219">
                  <v>46185.6666666666</v>
                </pt>
                <pt idx="220">
                  <v>46188.6666666666</v>
                </pt>
                <pt idx="221">
                  <v>46189.6666666666</v>
                </pt>
                <pt idx="222">
                  <v>46190.6666666666</v>
                </pt>
                <pt idx="223">
                  <v>46191.6666666666</v>
                </pt>
                <pt idx="224">
                  <v>46195.6666666666</v>
                </pt>
                <pt idx="225">
                  <v>46196.6666666666</v>
                </pt>
                <pt idx="226">
                  <v>46197.6666666666</v>
                </pt>
                <pt idx="227">
                  <v>46198.6666666666</v>
                </pt>
                <pt idx="228">
                  <v>46199.6666666666</v>
                </pt>
                <pt idx="229">
                  <v>46202.6666666666</v>
                </pt>
                <pt idx="230">
                  <v>46203.6666666666</v>
                </pt>
                <pt idx="231">
                  <v>46204.6666666666</v>
                </pt>
                <pt idx="232">
                  <v>46205.6666666666</v>
                </pt>
                <pt idx="233">
                  <v>46209.6666666666</v>
                </pt>
                <pt idx="234">
                  <v>46210.6666666666</v>
                </pt>
                <pt idx="235">
                  <v>46211.6666666666</v>
                </pt>
                <pt idx="236">
                  <v>46212.6666666666</v>
                </pt>
                <pt idx="237">
                  <v>46213.6666666666</v>
                </pt>
                <pt idx="238">
                  <v>46216.6666666666</v>
                </pt>
                <pt idx="239">
                  <v>46217.6666666666</v>
                </pt>
                <pt idx="240">
                  <v>46218.6666666666</v>
                </pt>
                <pt idx="241">
                  <v>46219.6666666666</v>
                </pt>
                <pt idx="242">
                  <v>46220.6666666666</v>
                </pt>
                <pt idx="243">
                  <v>46223.6666666666</v>
                </pt>
                <pt idx="244">
                  <v>46224.6666666666</v>
                </pt>
                <pt idx="245">
                  <v>46225.6666666666</v>
                </pt>
                <pt idx="246">
                  <v>46226.6666666666</v>
                </pt>
                <pt idx="247">
                  <v>46227.6666666666</v>
                </pt>
                <pt idx="248">
                  <v>46230.6666666666</v>
                </pt>
                <pt idx="249">
                  <v>46231.6666666666</v>
                </pt>
                <pt idx="250">
                  <v>46232.6666666666</v>
                </pt>
              </numCache>
            </numRef>
          </cat>
          <val>
            <numRef>
              <f>IWM!$F$28:$F$1000</f>
              <numCache>
                <formatCode>#,##0.00</formatCode>
                <ptCount val="973"/>
                <pt idx="0">
                  <v>221.56</v>
                </pt>
                <pt idx="1">
                  <v>219.39</v>
                </pt>
                <pt idx="2">
                  <v>214.92</v>
                </pt>
                <pt idx="3">
                  <v>219.73</v>
                </pt>
                <pt idx="4">
                  <v>220.85</v>
                </pt>
                <pt idx="5">
                  <v>220.56</v>
                </pt>
                <pt idx="6">
                  <v>219.84</v>
                </pt>
                <pt idx="7">
                  <v>220.32</v>
                </pt>
                <pt idx="8">
                  <v>220.27</v>
                </pt>
                <pt idx="9">
                  <v>226.81</v>
                </pt>
                <pt idx="10">
                  <v>231.22</v>
                </pt>
                <pt idx="11">
                  <v>228.24</v>
                </pt>
                <pt idx="12">
                  <v>227.13</v>
                </pt>
                <pt idx="13">
                  <v>227.96</v>
                </pt>
                <pt idx="14">
                  <v>226.21</v>
                </pt>
                <pt idx="15">
                  <v>225.41</v>
                </pt>
                <pt idx="16">
                  <v>225.97</v>
                </pt>
                <pt idx="17">
                  <v>234.83</v>
                </pt>
                <pt idx="18">
                  <v>232.36</v>
                </pt>
                <pt idx="19">
                  <v>234.28</v>
                </pt>
                <pt idx="20">
                  <v>235.94</v>
                </pt>
                <pt idx="21">
                  <v>236.22</v>
                </pt>
                <pt idx="22">
                  <v>235.17</v>
                </pt>
                <pt idx="23">
                  <v>233.9</v>
                </pt>
                <pt idx="24">
                  <v>233.67</v>
                </pt>
                <pt idx="25">
                  <v>236.59</v>
                </pt>
                <pt idx="26">
                  <v>237.77</v>
                </pt>
                <pt idx="27">
                  <v>238.25</v>
                </pt>
                <pt idx="28">
                  <v>236.85</v>
                </pt>
                <pt idx="29">
                  <v>236.43</v>
                </pt>
                <pt idx="30">
                  <v>240.8</v>
                </pt>
                <pt idx="31">
                  <v>238.34</v>
                </pt>
                <pt idx="32">
                  <v>239.35</v>
                </pt>
                <pt idx="33">
                  <v>238.28</v>
                </pt>
                <pt idx="34">
                  <v>238.89</v>
                </pt>
                <pt idx="35">
                  <v>244.84</v>
                </pt>
                <pt idx="36">
                  <v>242.98</v>
                </pt>
                <pt idx="37">
                  <v>244.39</v>
                </pt>
                <pt idx="38">
                  <v>243.84</v>
                </pt>
                <pt idx="39">
                  <v>241.6</v>
                </pt>
                <pt idx="40">
                  <v>239.29</v>
                </pt>
                <pt idx="41">
                  <v>241.34</v>
                </pt>
                <pt idx="42">
                  <v>241.62</v>
                </pt>
                <pt idx="43">
                  <v>241.96</v>
                </pt>
                <pt idx="44">
                  <v>242.49</v>
                </pt>
                <pt idx="45">
                  <v>244.02</v>
                </pt>
                <pt idx="46">
                  <v>245.83</v>
                </pt>
                <pt idx="47">
                  <v>246.81</v>
                </pt>
                <pt idx="48">
                  <v>244.16</v>
                </pt>
                <pt idx="49">
                  <v>246.72</v>
                </pt>
                <pt idx="50">
                  <v>245.13</v>
                </pt>
                <pt idx="51">
                  <v>237.79</v>
                </pt>
                <pt idx="52">
                  <v>244.41</v>
                </pt>
                <pt idx="53">
                  <v>247.9</v>
                </pt>
                <pt idx="54">
                  <v>250.33</v>
                </pt>
                <pt idx="55">
                  <v>245.06</v>
                </pt>
                <pt idx="56">
                  <v>243.41</v>
                </pt>
                <pt idx="57">
                  <v>248.16</v>
                </pt>
                <pt idx="58">
                  <v>246.99</v>
                </pt>
                <pt idx="59">
                  <v>243.34</v>
                </pt>
                <pt idx="60">
                  <v>246.42</v>
                </pt>
                <pt idx="61">
                  <v>249.43</v>
                </pt>
                <pt idx="62">
                  <v>250.3</v>
                </pt>
                <pt idx="63">
                  <v>248.96</v>
                </pt>
                <pt idx="64">
                  <v>246.84</v>
                </pt>
                <pt idx="65">
                  <v>244.85</v>
                </pt>
                <pt idx="66">
                  <v>246.23</v>
                </pt>
                <pt idx="67">
                  <v>245.44</v>
                </pt>
                <pt idx="68">
                  <v>241.2</v>
                </pt>
                <pt idx="69">
                  <v>244.68</v>
                </pt>
                <pt idx="70">
                  <v>240.35</v>
                </pt>
                <pt idx="71">
                  <v>241.61</v>
                </pt>
                <pt idx="72">
                  <v>244.03</v>
                </pt>
                <pt idx="73">
                  <v>244.24</v>
                </pt>
                <pt idx="74">
                  <v>243.64</v>
                </pt>
                <pt idx="75">
                  <v>236.79</v>
                </pt>
                <pt idx="76">
                  <v>237.48</v>
                </pt>
                <pt idx="77">
                  <v>232.76</v>
                </pt>
                <pt idx="78">
                  <v>233.47</v>
                </pt>
                <pt idx="79">
                  <v>233.43</v>
                </pt>
                <pt idx="80">
                  <v>229.11</v>
                </pt>
                <pt idx="81">
                  <v>235.6</v>
                </pt>
                <pt idx="82">
                  <v>239.9</v>
                </pt>
                <pt idx="83">
                  <v>245.13</v>
                </pt>
                <pt idx="84">
                  <v>247.3</v>
                </pt>
                <pt idx="85">
                  <v>248.75</v>
                </pt>
                <pt idx="86">
                  <v>245.62</v>
                </pt>
                <pt idx="87">
                  <v>245.17</v>
                </pt>
                <pt idx="88">
                  <v>249.63</v>
                </pt>
                <pt idx="89">
                  <v>251.82</v>
                </pt>
                <pt idx="90">
                  <v>250.77</v>
                </pt>
                <pt idx="91">
                  <v>250.87</v>
                </pt>
                <pt idx="92">
                  <v>251.39</v>
                </pt>
                <pt idx="93">
                  <v>254.81</v>
                </pt>
                <pt idx="94">
                  <v>257.8</v>
                </pt>
                <pt idx="95">
                  <v>253.85</v>
                </pt>
                <pt idx="96">
                  <v>251.93</v>
                </pt>
                <pt idx="97">
                  <v>249.9</v>
                </pt>
                <pt idx="98">
                  <v>247.24</v>
                </pt>
                <pt idx="99">
                  <v>248.71</v>
                </pt>
                <pt idx="100">
                  <v>250.79</v>
                </pt>
                <pt idx="101">
                  <v>253.58</v>
                </pt>
                <pt idx="102">
                  <v>252.08</v>
                </pt>
                <pt idx="103">
                  <v>252.71</v>
                </pt>
                <pt idx="104">
                  <v>251.42</v>
                </pt>
                <pt idx="105">
                  <v>249.88</v>
                </pt>
                <pt idx="106">
                  <v>248.03</v>
                </pt>
                <pt idx="107">
                  <v>246.16</v>
                </pt>
                <pt idx="108">
                  <v>248.78</v>
                </pt>
                <pt idx="109">
                  <v>252.73</v>
                </pt>
                <pt idx="110">
                  <v>256.08</v>
                </pt>
                <pt idx="111">
                  <v>255.48</v>
                </pt>
                <pt idx="112">
                  <v>258.27</v>
                </pt>
                <pt idx="113">
                  <v>260.23</v>
                </pt>
                <pt idx="114">
                  <v>261.5</v>
                </pt>
                <pt idx="115">
                  <v>261.35</v>
                </pt>
                <pt idx="116">
                  <v>263.19</v>
                </pt>
                <pt idx="117">
                  <v>265.51</v>
                </pt>
                <pt idx="118">
                  <v>265.76</v>
                </pt>
                <pt idx="119">
                  <v>262.58</v>
                </pt>
                <pt idx="120">
                  <v>267.79</v>
                </pt>
                <pt idx="121">
                  <v>269.79</v>
                </pt>
                <pt idx="122">
                  <v>264.81</v>
                </pt>
                <pt idx="123">
                  <v>263.98</v>
                </pt>
                <pt idx="124">
                  <v>264.73</v>
                </pt>
                <pt idx="125">
                  <v>263.3</v>
                </pt>
                <pt idx="126">
                  <v>263.37</v>
                </pt>
                <pt idx="127">
                  <v>259.65</v>
                </pt>
                <pt idx="128">
                  <v>262.18</v>
                </pt>
                <pt idx="129">
                  <v>262.78</v>
                </pt>
                <pt idx="130">
                  <v>260.52</v>
                </pt>
                <pt idx="131">
                  <v>255.83</v>
                </pt>
                <pt idx="132">
                  <v>265.02</v>
                </pt>
                <pt idx="133">
                  <v>266.88</v>
                </pt>
                <pt idx="134">
                  <v>266.16</v>
                </pt>
                <pt idx="135">
                  <v>264.95</v>
                </pt>
                <pt idx="136">
                  <v>259.54</v>
                </pt>
                <pt idx="137">
                  <v>262.96</v>
                </pt>
                <pt idx="138">
                  <v>263.04</v>
                </pt>
                <pt idx="139">
                  <v>263.99</v>
                </pt>
                <pt idx="140">
                  <v>264.6</v>
                </pt>
                <pt idx="141">
                  <v>264.61</v>
                </pt>
                <pt idx="142">
                  <v>260.49</v>
                </pt>
                <pt idx="143">
                  <v>263.33</v>
                </pt>
                <pt idx="144">
                  <v>264.58</v>
                </pt>
                <pt idx="145">
                  <v>265.99</v>
                </pt>
                <pt idx="146">
                  <v>261.41</v>
                </pt>
                <pt idx="147">
                  <v>263.81</v>
                </pt>
                <pt idx="148">
                  <v>259.24</v>
                </pt>
                <pt idx="149">
                  <v>261.76</v>
                </pt>
                <pt idx="150">
                  <v>256.76</v>
                </pt>
                <pt idx="151">
                  <v>250.89</v>
                </pt>
                <pt idx="152">
                  <v>253.62</v>
                </pt>
                <pt idx="153">
                  <v>253.36</v>
                </pt>
                <pt idx="154">
                  <v>252.85</v>
                </pt>
                <pt idx="155">
                  <v>247.41</v>
                </pt>
                <pt idx="156">
                  <v>246.59</v>
                </pt>
                <pt idx="157">
                  <v>248.92</v>
                </pt>
                <pt idx="158">
                  <v>250.05</v>
                </pt>
                <pt idx="159">
                  <v>246.02</v>
                </pt>
                <pt idx="160">
                  <v>247.63</v>
                </pt>
                <pt idx="161">
                  <v>242.22</v>
                </pt>
                <pt idx="162">
                  <v>247.45</v>
                </pt>
                <pt idx="163">
                  <v>248.78</v>
                </pt>
                <pt idx="164">
                  <v>251.82</v>
                </pt>
                <pt idx="165">
                  <v>247.44</v>
                </pt>
                <pt idx="166">
                  <v>243.1</v>
                </pt>
                <pt idx="167">
                  <v>239.61</v>
                </pt>
                <pt idx="168">
                  <v>248</v>
                </pt>
                <pt idx="169">
                  <v>249.56</v>
                </pt>
                <pt idx="170">
                  <v>251.29</v>
                </pt>
                <pt idx="171">
                  <v>252.36</v>
                </pt>
                <pt idx="172">
                  <v>252.91</v>
                </pt>
                <pt idx="173">
                  <v>260.47</v>
                </pt>
                <pt idx="174">
                  <v>261.96</v>
                </pt>
                <pt idx="175">
                  <v>261.3</v>
                </pt>
                <pt idx="176">
                  <v>265.07</v>
                </pt>
                <pt idx="177">
                  <v>268.72</v>
                </pt>
                <pt idx="178">
                  <v>269.39</v>
                </pt>
                <pt idx="179">
                  <v>269.95</v>
                </pt>
                <pt idx="180">
                  <v>275.78</v>
                </pt>
                <pt idx="181">
                  <v>277.35</v>
                </pt>
                <pt idx="182">
                  <v>274.51</v>
                </pt>
                <pt idx="183">
                  <v>276.48</v>
                </pt>
                <pt idx="184">
                  <v>275.52</v>
                </pt>
                <pt idx="185">
                  <v>276.65</v>
                </pt>
                <pt idx="186">
                  <v>277.14</v>
                </pt>
                <pt idx="187">
                  <v>273.91</v>
                </pt>
                <pt idx="188">
                  <v>272.08</v>
                </pt>
                <pt idx="189">
                  <v>277.97</v>
                </pt>
                <pt idx="190">
                  <v>279.28</v>
                </pt>
                <pt idx="191">
                  <v>277.88</v>
                </pt>
                <pt idx="192">
                  <v>282.56</v>
                </pt>
                <pt idx="193">
                  <v>286.8</v>
                </pt>
                <pt idx="194">
                  <v>282.26</v>
                </pt>
                <pt idx="195">
                  <v>284.17</v>
                </pt>
                <pt idx="196">
                  <v>285.33</v>
                </pt>
                <pt idx="197">
                  <v>282.57</v>
                </pt>
                <pt idx="198">
                  <v>282.67</v>
                </pt>
                <pt idx="199">
                  <v>284.45</v>
                </pt>
                <pt idx="200">
                  <v>277.6</v>
                </pt>
                <pt idx="201">
                  <v>275.97</v>
                </pt>
                <pt idx="202">
                  <v>273</v>
                </pt>
                <pt idx="203">
                  <v>279.87</v>
                </pt>
                <pt idx="204">
                  <v>282.49</v>
                </pt>
                <pt idx="205">
                  <v>285.12</v>
                </pt>
                <pt idx="206">
                  <v>290.51</v>
                </pt>
                <pt idx="207">
                  <v>290.37</v>
                </pt>
                <pt idx="208">
                  <v>292.03</v>
                </pt>
                <pt idx="209">
                  <v>290.43</v>
                </pt>
                <pt idx="210">
                  <v>288.98</v>
                </pt>
                <pt idx="211">
                  <v>291.66</v>
                </pt>
                <pt idx="212">
                  <v>287.67</v>
                </pt>
                <pt idx="213">
                  <v>292.01</v>
                </pt>
                <pt idx="214">
                  <v>281.65</v>
                </pt>
                <pt idx="215">
                  <v>284.11</v>
                </pt>
                <pt idx="216">
                  <v>285.02</v>
                </pt>
                <pt idx="217">
                  <v>282.05</v>
                </pt>
                <pt idx="218">
                  <v>290.41</v>
                </pt>
                <pt idx="219">
                  <v>292.95</v>
                </pt>
                <pt idx="220">
                  <v>294.64</v>
                </pt>
                <pt idx="221">
                  <v>292.08</v>
                </pt>
                <pt idx="222">
                  <v>289.88</v>
                </pt>
                <pt idx="223">
                  <v>295.59</v>
                </pt>
                <pt idx="224">
                  <v>298.18</v>
                </pt>
                <pt idx="225">
                  <v>295.32</v>
                </pt>
                <pt idx="226">
                  <v>296.69</v>
                </pt>
                <pt idx="227">
                  <v>298.91</v>
                </pt>
                <pt idx="228">
                  <v>299.83</v>
                </pt>
                <pt idx="229">
                  <v>298.97</v>
                </pt>
                <pt idx="230">
                  <v>300.45</v>
                </pt>
                <pt idx="231">
                  <v>299.32</v>
                </pt>
                <pt idx="232">
                  <v>297.58</v>
                </pt>
                <pt idx="233">
                  <v>298.9</v>
                </pt>
                <pt idx="234">
                  <v>296.19</v>
                </pt>
                <pt idx="235">
                  <v>293.48</v>
                </pt>
                <pt idx="236">
                  <v>297.24</v>
                </pt>
                <pt idx="237">
                  <v>295.99</v>
                </pt>
                <pt idx="238">
                  <v>293.48</v>
                </pt>
                <pt idx="239">
                  <v>294.51</v>
                </pt>
                <pt idx="240">
                  <v>295.77</v>
                </pt>
                <pt idx="241">
                  <v>295.59</v>
                </pt>
                <pt idx="242">
                  <v>294.04</v>
                </pt>
                <pt idx="243">
                  <v>292.31</v>
                </pt>
                <pt idx="244">
                  <v>296.54</v>
                </pt>
                <pt idx="245">
                  <v>293.79</v>
                </pt>
                <pt idx="246">
                  <v>292.09</v>
                </pt>
                <pt idx="247">
                  <v>291.17</v>
                </pt>
                <pt idx="248">
                  <v>292.91</v>
                </pt>
                <pt idx="249">
                  <v>293.37</v>
                </pt>
                <pt idx="250">
                  <v>288.57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ko-KR"/>
        </a:p>
      </txPr>
    </legend>
    <plotVisOnly val="1"/>
    <dispBlanksAs val="zero"/>
  </chart>
</chartSpace>
</file>

<file path=xl/charts/chart8.xml><?xml version="1.0" encoding="utf-8"?>
<chartSpace xmlns:a="http://schemas.openxmlformats.org/drawingml/2006/main" xmlns="http://schemas.openxmlformats.org/drawingml/2006/chart">
  <chart>
    <plotArea>
      <layout/>
      <areaChart>
        <grouping val="standard"/>
        <varyColors val="1"/>
        <ser>
          <idx val="0"/>
          <order val="0"/>
          <tx>
            <strRef>
              <f>VGK!$F$27</f>
              <strCache>
                <ptCount val="1"/>
                <pt idx="0">
                  <v>Close</v>
                </pt>
              </strCache>
            </strRef>
          </tx>
          <spPr>
            <a:solidFill>
              <a:srgbClr val="4285F4"/>
            </a:solidFill>
            <a:ln cmpd="sng">
              <a:solidFill>
                <a:srgbClr val="4285F4"/>
              </a:solidFill>
              <a:prstDash val="solid"/>
            </a:ln>
          </spPr>
          <cat>
            <numRef>
              <f>VGK!$B$28:$B$1000</f>
              <numCache>
                <formatCode>mmm" "d", "yyyy</formatCode>
                <ptCount val="973"/>
                <pt idx="0">
                  <v>45868.6666666666</v>
                </pt>
                <pt idx="1">
                  <v>45869.6666666666</v>
                </pt>
                <pt idx="2">
                  <v>45870.6666666666</v>
                </pt>
                <pt idx="3">
                  <v>45873.6666666666</v>
                </pt>
                <pt idx="4">
                  <v>45874.6666666666</v>
                </pt>
                <pt idx="5">
                  <v>45875.6666666666</v>
                </pt>
                <pt idx="6">
                  <v>45876.6666666666</v>
                </pt>
                <pt idx="7">
                  <v>45877.6666666666</v>
                </pt>
                <pt idx="8">
                  <v>45880.6666666666</v>
                </pt>
                <pt idx="9">
                  <v>45881.6666666666</v>
                </pt>
                <pt idx="10">
                  <v>45882.6666666666</v>
                </pt>
                <pt idx="11">
                  <v>45883.6666666666</v>
                </pt>
                <pt idx="12">
                  <v>45884.6666666666</v>
                </pt>
                <pt idx="13">
                  <v>45887.6666666666</v>
                </pt>
                <pt idx="14">
                  <v>45888.6666666666</v>
                </pt>
                <pt idx="15">
                  <v>45889.6666666666</v>
                </pt>
                <pt idx="16">
                  <v>45890.6666666666</v>
                </pt>
                <pt idx="17">
                  <v>45891.6666666666</v>
                </pt>
                <pt idx="18">
                  <v>45894.6666666666</v>
                </pt>
                <pt idx="19">
                  <v>45895.6666666666</v>
                </pt>
                <pt idx="20">
                  <v>45896.6666666666</v>
                </pt>
                <pt idx="21">
                  <v>45897.6666666666</v>
                </pt>
                <pt idx="22">
                  <v>45898.6666666666</v>
                </pt>
                <pt idx="23">
                  <v>45902.6666666666</v>
                </pt>
                <pt idx="24">
                  <v>45903.6666666666</v>
                </pt>
                <pt idx="25">
                  <v>45904.6666666666</v>
                </pt>
                <pt idx="26">
                  <v>45905.6666666666</v>
                </pt>
                <pt idx="27">
                  <v>45908.6666666666</v>
                </pt>
                <pt idx="28">
                  <v>45909.6666666666</v>
                </pt>
                <pt idx="29">
                  <v>45910.6666666666</v>
                </pt>
                <pt idx="30">
                  <v>45911.6666666666</v>
                </pt>
                <pt idx="31">
                  <v>45912.6666666666</v>
                </pt>
                <pt idx="32">
                  <v>45915.6666666666</v>
                </pt>
                <pt idx="33">
                  <v>45916.6666666666</v>
                </pt>
                <pt idx="34">
                  <v>45917.6666666666</v>
                </pt>
                <pt idx="35">
                  <v>45918.6666666666</v>
                </pt>
                <pt idx="36">
                  <v>45919.6666666666</v>
                </pt>
                <pt idx="37">
                  <v>45922.6666666666</v>
                </pt>
                <pt idx="38">
                  <v>45923.6666666666</v>
                </pt>
                <pt idx="39">
                  <v>45924.6666666666</v>
                </pt>
                <pt idx="40">
                  <v>45925.6666666666</v>
                </pt>
                <pt idx="41">
                  <v>45926.6666666666</v>
                </pt>
                <pt idx="42">
                  <v>45929.6666666666</v>
                </pt>
                <pt idx="43">
                  <v>45930.6666666666</v>
                </pt>
                <pt idx="44">
                  <v>45931.6666666666</v>
                </pt>
                <pt idx="45">
                  <v>45932.6666666666</v>
                </pt>
                <pt idx="46">
                  <v>45933.6666666666</v>
                </pt>
                <pt idx="47">
                  <v>45936.6666666666</v>
                </pt>
                <pt idx="48">
                  <v>45937.6666666666</v>
                </pt>
                <pt idx="49">
                  <v>45938.6666666666</v>
                </pt>
                <pt idx="50">
                  <v>45939.6666666666</v>
                </pt>
                <pt idx="51">
                  <v>45940.6666666666</v>
                </pt>
                <pt idx="52">
                  <v>45943.6666666666</v>
                </pt>
                <pt idx="53">
                  <v>45944.6666666666</v>
                </pt>
                <pt idx="54">
                  <v>45945.6666666666</v>
                </pt>
                <pt idx="55">
                  <v>45946.6666666666</v>
                </pt>
                <pt idx="56">
                  <v>45947.6666666666</v>
                </pt>
                <pt idx="57">
                  <v>45950.6666666666</v>
                </pt>
                <pt idx="58">
                  <v>45951.6666666666</v>
                </pt>
                <pt idx="59">
                  <v>45952.6666666666</v>
                </pt>
                <pt idx="60">
                  <v>45953.6666666666</v>
                </pt>
                <pt idx="61">
                  <v>45954.6666666666</v>
                </pt>
                <pt idx="62">
                  <v>45957.6666666666</v>
                </pt>
                <pt idx="63">
                  <v>45958.6666666666</v>
                </pt>
                <pt idx="64">
                  <v>45959.6666666666</v>
                </pt>
                <pt idx="65">
                  <v>45960.6666666666</v>
                </pt>
                <pt idx="66">
                  <v>45961.6666666666</v>
                </pt>
                <pt idx="67">
                  <v>45964.6666666666</v>
                </pt>
                <pt idx="68">
                  <v>45965.6666666666</v>
                </pt>
                <pt idx="69">
                  <v>45966.6666666666</v>
                </pt>
                <pt idx="70">
                  <v>45967.6666666666</v>
                </pt>
                <pt idx="71">
                  <v>45968.6666666666</v>
                </pt>
                <pt idx="72">
                  <v>45971.6666666666</v>
                </pt>
                <pt idx="73">
                  <v>45972.6666666666</v>
                </pt>
                <pt idx="74">
                  <v>45973.6666666666</v>
                </pt>
                <pt idx="75">
                  <v>45974.6666666666</v>
                </pt>
                <pt idx="76">
                  <v>45975.6666666666</v>
                </pt>
                <pt idx="77">
                  <v>45978.6666666666</v>
                </pt>
                <pt idx="78">
                  <v>45979.6666666666</v>
                </pt>
                <pt idx="79">
                  <v>45980.6666666666</v>
                </pt>
                <pt idx="80">
                  <v>45981.6666666666</v>
                </pt>
                <pt idx="81">
                  <v>45982.6666666666</v>
                </pt>
                <pt idx="82">
                  <v>45985.6666666666</v>
                </pt>
                <pt idx="83">
                  <v>45986.6666666666</v>
                </pt>
                <pt idx="84">
                  <v>45987.6666666666</v>
                </pt>
                <pt idx="85">
                  <v>45989.5520833333</v>
                </pt>
                <pt idx="86">
                  <v>45992.6666666666</v>
                </pt>
                <pt idx="87">
                  <v>45993.6666666666</v>
                </pt>
                <pt idx="88">
                  <v>45994.6666666666</v>
                </pt>
                <pt idx="89">
                  <v>45995.6666666666</v>
                </pt>
                <pt idx="90">
                  <v>45996.6666666666</v>
                </pt>
                <pt idx="91">
                  <v>45999.6666666666</v>
                </pt>
                <pt idx="92">
                  <v>46000.6666666666</v>
                </pt>
                <pt idx="93">
                  <v>46001.6666666666</v>
                </pt>
                <pt idx="94">
                  <v>46002.6666666666</v>
                </pt>
                <pt idx="95">
                  <v>46003.6666666666</v>
                </pt>
                <pt idx="96">
                  <v>46006.6666666666</v>
                </pt>
                <pt idx="97">
                  <v>46007.6666666666</v>
                </pt>
                <pt idx="98">
                  <v>46008.6666666666</v>
                </pt>
                <pt idx="99">
                  <v>46009.6666666666</v>
                </pt>
                <pt idx="100">
                  <v>46010.6666666666</v>
                </pt>
                <pt idx="101">
                  <v>46013.6666666666</v>
                </pt>
                <pt idx="102">
                  <v>46014.6666666666</v>
                </pt>
                <pt idx="103">
                  <v>46015.5416666666</v>
                </pt>
                <pt idx="104">
                  <v>46017.6666666666</v>
                </pt>
                <pt idx="105">
                  <v>46020.6666666666</v>
                </pt>
                <pt idx="106">
                  <v>46021.6666666666</v>
                </pt>
                <pt idx="107">
                  <v>46022.6666666666</v>
                </pt>
                <pt idx="108">
                  <v>46024.6666666666</v>
                </pt>
                <pt idx="109">
                  <v>46027.6666666666</v>
                </pt>
                <pt idx="110">
                  <v>46028.6666666666</v>
                </pt>
                <pt idx="111">
                  <v>46029.6666666666</v>
                </pt>
                <pt idx="112">
                  <v>46030.6666666666</v>
                </pt>
                <pt idx="113">
                  <v>46031.6666666666</v>
                </pt>
                <pt idx="114">
                  <v>46034.6666666666</v>
                </pt>
                <pt idx="115">
                  <v>46035.6666666666</v>
                </pt>
                <pt idx="116">
                  <v>46036.6666666666</v>
                </pt>
                <pt idx="117">
                  <v>46037.6666666666</v>
                </pt>
                <pt idx="118">
                  <v>46038.6666666666</v>
                </pt>
                <pt idx="119">
                  <v>46042.6666666666</v>
                </pt>
                <pt idx="120">
                  <v>46043.6666666666</v>
                </pt>
                <pt idx="121">
                  <v>46044.6666666666</v>
                </pt>
                <pt idx="122">
                  <v>46045.6666666666</v>
                </pt>
                <pt idx="123">
                  <v>46048.6666666666</v>
                </pt>
                <pt idx="124">
                  <v>46049.6666666666</v>
                </pt>
                <pt idx="125">
                  <v>46050.6666666666</v>
                </pt>
                <pt idx="126">
                  <v>46051.6666666666</v>
                </pt>
                <pt idx="127">
                  <v>46052.6666666666</v>
                </pt>
                <pt idx="128">
                  <v>46055.6666666666</v>
                </pt>
                <pt idx="129">
                  <v>46056.6666666666</v>
                </pt>
                <pt idx="130">
                  <v>46057.6666666666</v>
                </pt>
                <pt idx="131">
                  <v>46058.6666666666</v>
                </pt>
                <pt idx="132">
                  <v>46059.6666666666</v>
                </pt>
                <pt idx="133">
                  <v>46062.6666666666</v>
                </pt>
                <pt idx="134">
                  <v>46063.6666666666</v>
                </pt>
                <pt idx="135">
                  <v>46064.6666666666</v>
                </pt>
                <pt idx="136">
                  <v>46065.6666666666</v>
                </pt>
                <pt idx="137">
                  <v>46066.6666666666</v>
                </pt>
                <pt idx="138">
                  <v>46070.6666666666</v>
                </pt>
                <pt idx="139">
                  <v>46071.6666666666</v>
                </pt>
                <pt idx="140">
                  <v>46072.6666666666</v>
                </pt>
                <pt idx="141">
                  <v>46073.6666666666</v>
                </pt>
                <pt idx="142">
                  <v>46076.6666666666</v>
                </pt>
                <pt idx="143">
                  <v>46077.6666666666</v>
                </pt>
                <pt idx="144">
                  <v>46078.6666666666</v>
                </pt>
                <pt idx="145">
                  <v>46079.6666666666</v>
                </pt>
                <pt idx="146">
                  <v>46080.6666666666</v>
                </pt>
                <pt idx="147">
                  <v>46083.6666666666</v>
                </pt>
                <pt idx="148">
                  <v>46084.6666666666</v>
                </pt>
                <pt idx="149">
                  <v>46085.6666666666</v>
                </pt>
                <pt idx="150">
                  <v>46086.6666666666</v>
                </pt>
                <pt idx="151">
                  <v>46087.6666666666</v>
                </pt>
                <pt idx="152">
                  <v>46090.6666666666</v>
                </pt>
                <pt idx="153">
                  <v>46091.6666666666</v>
                </pt>
                <pt idx="154">
                  <v>46092.6666666666</v>
                </pt>
                <pt idx="155">
                  <v>46093.6666666666</v>
                </pt>
                <pt idx="156">
                  <v>46094.6666666666</v>
                </pt>
                <pt idx="157">
                  <v>46097.6666666666</v>
                </pt>
                <pt idx="158">
                  <v>46098.6666666666</v>
                </pt>
                <pt idx="159">
                  <v>46099.6666666666</v>
                </pt>
                <pt idx="160">
                  <v>46100.6666666666</v>
                </pt>
                <pt idx="161">
                  <v>46101.6666666666</v>
                </pt>
                <pt idx="162">
                  <v>46104.6666666666</v>
                </pt>
                <pt idx="163">
                  <v>46105.6666666666</v>
                </pt>
                <pt idx="164">
                  <v>46106.6666666666</v>
                </pt>
                <pt idx="165">
                  <v>46107.6666666666</v>
                </pt>
                <pt idx="166">
                  <v>46108.6666666666</v>
                </pt>
                <pt idx="167">
                  <v>46111.6666666666</v>
                </pt>
                <pt idx="168">
                  <v>46112.6666666666</v>
                </pt>
                <pt idx="169">
                  <v>46113.6666666666</v>
                </pt>
                <pt idx="170">
                  <v>46114.6666666666</v>
                </pt>
                <pt idx="171">
                  <v>46118.6666666666</v>
                </pt>
                <pt idx="172">
                  <v>46119.6666666666</v>
                </pt>
                <pt idx="173">
                  <v>46120.6666666666</v>
                </pt>
                <pt idx="174">
                  <v>46121.6666666666</v>
                </pt>
                <pt idx="175">
                  <v>46122.6666666666</v>
                </pt>
                <pt idx="176">
                  <v>46125.6666666666</v>
                </pt>
                <pt idx="177">
                  <v>46126.6666666666</v>
                </pt>
                <pt idx="178">
                  <v>46127.6666666666</v>
                </pt>
                <pt idx="179">
                  <v>46128.6666666666</v>
                </pt>
                <pt idx="180">
                  <v>46129.6666666666</v>
                </pt>
                <pt idx="181">
                  <v>46132.6666666666</v>
                </pt>
                <pt idx="182">
                  <v>46133.6666666666</v>
                </pt>
                <pt idx="183">
                  <v>46134.6666666666</v>
                </pt>
                <pt idx="184">
                  <v>46135.6666666666</v>
                </pt>
                <pt idx="185">
                  <v>46136.6666666666</v>
                </pt>
                <pt idx="186">
                  <v>46139.6666666666</v>
                </pt>
                <pt idx="187">
                  <v>46140.6666666666</v>
                </pt>
                <pt idx="188">
                  <v>46141.6666666666</v>
                </pt>
                <pt idx="189">
                  <v>46142.6666666666</v>
                </pt>
                <pt idx="190">
                  <v>46143.6666666666</v>
                </pt>
                <pt idx="191">
                  <v>46146.6666666666</v>
                </pt>
                <pt idx="192">
                  <v>46147.6666666666</v>
                </pt>
                <pt idx="193">
                  <v>46148.6666666666</v>
                </pt>
                <pt idx="194">
                  <v>46149.6666666666</v>
                </pt>
                <pt idx="195">
                  <v>46150.6666666666</v>
                </pt>
                <pt idx="196">
                  <v>46153.6666666666</v>
                </pt>
                <pt idx="197">
                  <v>46154.6666666666</v>
                </pt>
                <pt idx="198">
                  <v>46155.6666666666</v>
                </pt>
                <pt idx="199">
                  <v>46156.6666666666</v>
                </pt>
                <pt idx="200">
                  <v>46157.6666666666</v>
                </pt>
                <pt idx="201">
                  <v>46160.6666666666</v>
                </pt>
                <pt idx="202">
                  <v>46161.6666666666</v>
                </pt>
                <pt idx="203">
                  <v>46162.6666666666</v>
                </pt>
                <pt idx="204">
                  <v>46163.6666666666</v>
                </pt>
                <pt idx="205">
                  <v>46164.6666666666</v>
                </pt>
                <pt idx="206">
                  <v>46168.6666666666</v>
                </pt>
                <pt idx="207">
                  <v>46169.6666666666</v>
                </pt>
                <pt idx="208">
                  <v>46170.6666666666</v>
                </pt>
                <pt idx="209">
                  <v>46171.6666666666</v>
                </pt>
                <pt idx="210">
                  <v>46174.6666666666</v>
                </pt>
                <pt idx="211">
                  <v>46175.6666666666</v>
                </pt>
                <pt idx="212">
                  <v>46176.6666666666</v>
                </pt>
                <pt idx="213">
                  <v>46177.6666666666</v>
                </pt>
                <pt idx="214">
                  <v>46178.6666666666</v>
                </pt>
                <pt idx="215">
                  <v>46181.6666666666</v>
                </pt>
                <pt idx="216">
                  <v>46182.6666666666</v>
                </pt>
                <pt idx="217">
                  <v>46183.6666666666</v>
                </pt>
                <pt idx="218">
                  <v>46184.6666666666</v>
                </pt>
                <pt idx="219">
                  <v>46185.6666666666</v>
                </pt>
                <pt idx="220">
                  <v>46188.6666666666</v>
                </pt>
                <pt idx="221">
                  <v>46189.6666666666</v>
                </pt>
                <pt idx="222">
                  <v>46190.6666666666</v>
                </pt>
                <pt idx="223">
                  <v>46191.6666666666</v>
                </pt>
                <pt idx="224">
                  <v>46195.6666666666</v>
                </pt>
                <pt idx="225">
                  <v>46196.6666666666</v>
                </pt>
                <pt idx="226">
                  <v>46197.6666666666</v>
                </pt>
                <pt idx="227">
                  <v>46198.6666666666</v>
                </pt>
                <pt idx="228">
                  <v>46199.6666666666</v>
                </pt>
                <pt idx="229">
                  <v>46202.6666666666</v>
                </pt>
                <pt idx="230">
                  <v>46203.6666666666</v>
                </pt>
                <pt idx="231">
                  <v>46204.6666666666</v>
                </pt>
                <pt idx="232">
                  <v>46205.6666666666</v>
                </pt>
                <pt idx="233">
                  <v>46209.6666666666</v>
                </pt>
                <pt idx="234">
                  <v>46210.6666666666</v>
                </pt>
                <pt idx="235">
                  <v>46211.6666666666</v>
                </pt>
                <pt idx="236">
                  <v>46212.6666666666</v>
                </pt>
                <pt idx="237">
                  <v>46213.6666666666</v>
                </pt>
                <pt idx="238">
                  <v>46216.6666666666</v>
                </pt>
                <pt idx="239">
                  <v>46217.6666666666</v>
                </pt>
                <pt idx="240">
                  <v>46218.6666666666</v>
                </pt>
                <pt idx="241">
                  <v>46219.6666666666</v>
                </pt>
                <pt idx="242">
                  <v>46220.6666666666</v>
                </pt>
                <pt idx="243">
                  <v>46223.6666666666</v>
                </pt>
                <pt idx="244">
                  <v>46224.6666666666</v>
                </pt>
                <pt idx="245">
                  <v>46225.6666666666</v>
                </pt>
                <pt idx="246">
                  <v>46226.6666666666</v>
                </pt>
                <pt idx="247">
                  <v>46227.6666666666</v>
                </pt>
                <pt idx="248">
                  <v>46230.6666666666</v>
                </pt>
                <pt idx="249">
                  <v>46231.6666666666</v>
                </pt>
                <pt idx="250">
                  <v>46232.6666666666</v>
                </pt>
              </numCache>
            </numRef>
          </cat>
          <val>
            <numRef>
              <f>VGK!$F$28:$F$1000</f>
              <numCache>
                <formatCode>#,##0.00</formatCode>
                <ptCount val="973"/>
                <pt idx="0">
                  <v>76.5</v>
                </pt>
                <pt idx="1">
                  <v>75.65000000000001</v>
                </pt>
                <pt idx="2">
                  <v>75.26000000000001</v>
                </pt>
                <pt idx="3">
                  <v>76.13</v>
                </pt>
                <pt idx="4">
                  <v>76.20999999999999</v>
                </pt>
                <pt idx="5">
                  <v>76.56999999999999</v>
                </pt>
                <pt idx="6">
                  <v>77.38</v>
                </pt>
                <pt idx="7">
                  <v>77.63</v>
                </pt>
                <pt idx="8">
                  <v>77.23</v>
                </pt>
                <pt idx="9">
                  <v>78.02</v>
                </pt>
                <pt idx="10">
                  <v>78.59</v>
                </pt>
                <pt idx="11">
                  <v>78.73999999999999</v>
                </pt>
                <pt idx="12">
                  <v>78.95</v>
                </pt>
                <pt idx="13">
                  <v>78.8</v>
                </pt>
                <pt idx="14">
                  <v>78.97</v>
                </pt>
                <pt idx="15">
                  <v>79.40000000000001</v>
                </pt>
                <pt idx="16">
                  <v>78.92</v>
                </pt>
                <pt idx="17">
                  <v>80.19</v>
                </pt>
                <pt idx="18">
                  <v>79</v>
                </pt>
                <pt idx="19">
                  <v>78.88</v>
                </pt>
                <pt idx="20">
                  <v>78.66</v>
                </pt>
                <pt idx="21">
                  <v>78.84999999999999</v>
                </pt>
                <pt idx="22">
                  <v>78.5</v>
                </pt>
                <pt idx="23">
                  <v>77.41</v>
                </pt>
                <pt idx="24">
                  <v>77.73</v>
                </pt>
                <pt idx="25">
                  <v>78.19</v>
                </pt>
                <pt idx="26">
                  <v>78.56999999999999</v>
                </pt>
                <pt idx="27">
                  <v>79.13</v>
                </pt>
                <pt idx="28">
                  <v>78.98999999999999</v>
                </pt>
                <pt idx="29">
                  <v>78.78</v>
                </pt>
                <pt idx="30">
                  <v>79.63</v>
                </pt>
                <pt idx="31">
                  <v>79.36</v>
                </pt>
                <pt idx="32">
                  <v>79.95</v>
                </pt>
                <pt idx="33">
                  <v>79.7</v>
                </pt>
                <pt idx="34">
                  <v>79.39</v>
                </pt>
                <pt idx="35">
                  <v>79.70999999999999</v>
                </pt>
                <pt idx="36">
                  <v>79.13</v>
                </pt>
                <pt idx="37">
                  <v>79.45999999999999</v>
                </pt>
                <pt idx="38">
                  <v>79.41</v>
                </pt>
                <pt idx="39">
                  <v>78.89</v>
                </pt>
                <pt idx="40">
                  <v>78.14</v>
                </pt>
                <pt idx="41">
                  <v>78.95999999999999</v>
                </pt>
                <pt idx="42">
                  <v>79.20999999999999</v>
                </pt>
                <pt idx="43">
                  <v>79.8</v>
                </pt>
                <pt idx="44">
                  <v>80.72</v>
                </pt>
                <pt idx="45">
                  <v>80.91</v>
                </pt>
                <pt idx="46">
                  <v>81.34999999999999</v>
                </pt>
                <pt idx="47">
                  <v>81.09999999999999</v>
                </pt>
                <pt idx="48">
                  <v>80.48999999999999</v>
                </pt>
                <pt idx="49">
                  <v>80.95999999999999</v>
                </pt>
                <pt idx="50">
                  <v>80.09999999999999</v>
                </pt>
                <pt idx="51">
                  <v>79.18000000000001</v>
                </pt>
                <pt idx="52">
                  <v>79.73</v>
                </pt>
                <pt idx="53">
                  <v>80.04000000000001</v>
                </pt>
                <pt idx="54">
                  <v>80.22</v>
                </pt>
                <pt idx="55">
                  <v>80.78</v>
                </pt>
                <pt idx="56">
                  <v>80.8</v>
                </pt>
                <pt idx="57">
                  <v>81.15000000000001</v>
                </pt>
                <pt idx="58">
                  <v>80.67</v>
                </pt>
                <pt idx="59">
                  <v>80.7</v>
                </pt>
                <pt idx="60">
                  <v>81.17</v>
                </pt>
                <pt idx="61">
                  <v>81.29000000000001</v>
                </pt>
                <pt idx="62">
                  <v>81.69</v>
                </pt>
                <pt idx="63">
                  <v>81.48</v>
                </pt>
                <pt idx="64">
                  <v>81.04000000000001</v>
                </pt>
                <pt idx="65">
                  <v>80.66</v>
                </pt>
                <pt idx="66">
                  <v>80.3</v>
                </pt>
                <pt idx="67">
                  <v>80.17</v>
                </pt>
                <pt idx="68">
                  <v>79.31</v>
                </pt>
                <pt idx="69">
                  <v>79.97</v>
                </pt>
                <pt idx="70">
                  <v>79.59</v>
                </pt>
                <pt idx="71">
                  <v>79.98</v>
                </pt>
                <pt idx="72">
                  <v>80.93000000000001</v>
                </pt>
                <pt idx="73">
                  <v>81.79000000000001</v>
                </pt>
                <pt idx="74">
                  <v>82.27</v>
                </pt>
                <pt idx="75">
                  <v>81.68000000000001</v>
                </pt>
                <pt idx="76">
                  <v>81.06</v>
                </pt>
                <pt idx="77">
                  <v>80.06999999999999</v>
                </pt>
                <pt idx="78">
                  <v>79.29000000000001</v>
                </pt>
                <pt idx="79">
                  <v>78.98</v>
                </pt>
                <pt idx="80">
                  <v>77.90000000000001</v>
                </pt>
                <pt idx="81">
                  <v>79.09</v>
                </pt>
                <pt idx="82">
                  <v>78.89</v>
                </pt>
                <pt idx="83">
                  <v>80.23999999999999</v>
                </pt>
                <pt idx="84">
                  <v>81</v>
                </pt>
                <pt idx="85">
                  <v>81.53</v>
                </pt>
                <pt idx="86">
                  <v>81.12</v>
                </pt>
                <pt idx="87">
                  <v>81.48999999999999</v>
                </pt>
                <pt idx="88">
                  <v>82.04000000000001</v>
                </pt>
                <pt idx="89">
                  <v>81.98999999999999</v>
                </pt>
                <pt idx="90">
                  <v>82.02</v>
                </pt>
                <pt idx="91">
                  <v>81.83</v>
                </pt>
                <pt idx="92">
                  <v>81.61</v>
                </pt>
                <pt idx="93">
                  <v>82.61</v>
                </pt>
                <pt idx="94">
                  <v>83.23</v>
                </pt>
                <pt idx="95">
                  <v>82.69</v>
                </pt>
                <pt idx="96">
                  <v>83.23</v>
                </pt>
                <pt idx="97">
                  <v>83.05</v>
                </pt>
                <pt idx="98">
                  <v>82.59999999999999</v>
                </pt>
                <pt idx="99">
                  <v>83.19</v>
                </pt>
                <pt idx="100">
                  <v>82.79000000000001</v>
                </pt>
                <pt idx="101">
                  <v>83.23</v>
                </pt>
                <pt idx="102">
                  <v>83.61</v>
                </pt>
                <pt idx="103">
                  <v>83.73</v>
                </pt>
                <pt idx="104">
                  <v>83.97</v>
                </pt>
                <pt idx="105">
                  <v>83.67</v>
                </pt>
                <pt idx="106">
                  <v>83.95</v>
                </pt>
                <pt idx="107">
                  <v>83.61</v>
                </pt>
                <pt idx="108">
                  <v>84.56</v>
                </pt>
                <pt idx="109">
                  <v>85.23</v>
                </pt>
                <pt idx="110">
                  <v>85.44</v>
                </pt>
                <pt idx="111">
                  <v>85.19</v>
                </pt>
                <pt idx="112">
                  <v>85.18000000000001</v>
                </pt>
                <pt idx="113">
                  <v>85.77</v>
                </pt>
                <pt idx="114">
                  <v>86.23999999999999</v>
                </pt>
                <pt idx="115">
                  <v>85.79000000000001</v>
                </pt>
                <pt idx="116">
                  <v>86.12</v>
                </pt>
                <pt idx="117">
                  <v>85.91</v>
                </pt>
                <pt idx="118">
                  <v>86.17</v>
                </pt>
                <pt idx="119">
                  <v>84.95999999999999</v>
                </pt>
                <pt idx="120">
                  <v>85.81</v>
                </pt>
                <pt idx="121">
                  <v>86.31999999999999</v>
                </pt>
                <pt idx="122">
                  <v>86.93000000000001</v>
                </pt>
                <pt idx="123">
                  <v>87.51000000000001</v>
                </pt>
                <pt idx="124">
                  <v>88.91</v>
                </pt>
                <pt idx="125">
                  <v>87.84999999999999</v>
                </pt>
                <pt idx="126">
                  <v>88.31999999999999</v>
                </pt>
                <pt idx="127">
                  <v>87.5</v>
                </pt>
                <pt idx="128">
                  <v>88.2</v>
                </pt>
                <pt idx="129">
                  <v>87.87</v>
                </pt>
                <pt idx="130">
                  <v>87.98999999999999</v>
                </pt>
                <pt idx="131">
                  <v>86.77</v>
                </pt>
                <pt idx="132">
                  <v>88.48999999999999</v>
                </pt>
                <pt idx="133">
                  <v>89.47</v>
                </pt>
                <pt idx="134">
                  <v>89.22</v>
                </pt>
                <pt idx="135">
                  <v>89.45</v>
                </pt>
                <pt idx="136">
                  <v>88.75</v>
                </pt>
                <pt idx="137">
                  <v>88.7</v>
                </pt>
                <pt idx="138">
                  <v>89.23</v>
                </pt>
                <pt idx="139">
                  <v>89.53</v>
                </pt>
                <pt idx="140">
                  <v>89.14</v>
                </pt>
                <pt idx="141">
                  <v>90.01000000000001</v>
                </pt>
                <pt idx="142">
                  <v>89.48999999999999</v>
                </pt>
                <pt idx="143">
                  <v>89.73</v>
                </pt>
                <pt idx="144">
                  <v>90.48999999999999</v>
                </pt>
                <pt idx="145">
                  <v>90.43000000000001</v>
                </pt>
                <pt idx="146">
                  <v>90.17</v>
                </pt>
                <pt idx="147">
                  <v>88.27</v>
                </pt>
                <pt idx="148">
                  <v>85.61</v>
                </pt>
                <pt idx="149">
                  <v>86.59</v>
                </pt>
                <pt idx="150">
                  <v>84.84999999999999</v>
                </pt>
                <pt idx="151">
                  <v>84.25</v>
                </pt>
                <pt idx="152">
                  <v>84.64</v>
                </pt>
                <pt idx="153">
                  <v>84.67</v>
                </pt>
                <pt idx="154">
                  <v>84.53</v>
                </pt>
                <pt idx="155">
                  <v>83.3</v>
                </pt>
                <pt idx="156">
                  <v>82.16</v>
                </pt>
                <pt idx="157">
                  <v>83.53</v>
                </pt>
                <pt idx="158">
                  <v>83.90000000000001</v>
                </pt>
                <pt idx="159">
                  <v>82.26000000000001</v>
                </pt>
                <pt idx="160">
                  <v>82.03</v>
                </pt>
                <pt idx="161">
                  <v>79.18000000000001</v>
                </pt>
                <pt idx="162">
                  <v>81.04000000000001</v>
                </pt>
                <pt idx="163">
                  <v>80.58</v>
                </pt>
                <pt idx="164">
                  <v>81.76000000000001</v>
                </pt>
                <pt idx="165">
                  <v>80.16</v>
                </pt>
                <pt idx="166">
                  <v>79.45</v>
                </pt>
                <pt idx="167">
                  <v>79.87</v>
                </pt>
                <pt idx="168">
                  <v>82.43000000000001</v>
                </pt>
                <pt idx="169">
                  <v>83.62</v>
                </pt>
                <pt idx="170">
                  <v>83.22</v>
                </pt>
                <pt idx="171">
                  <v>83.78</v>
                </pt>
                <pt idx="172">
                  <v>83.53</v>
                </pt>
                <pt idx="173">
                  <v>86.73999999999999</v>
                </pt>
                <pt idx="174">
                  <v>86.76000000000001</v>
                </pt>
                <pt idx="175">
                  <v>87.06</v>
                </pt>
                <pt idx="176">
                  <v>87.64</v>
                </pt>
                <pt idx="177">
                  <v>88.37</v>
                </pt>
                <pt idx="178">
                  <v>88.03</v>
                </pt>
                <pt idx="179">
                  <v>87.70999999999999</v>
                </pt>
                <pt idx="180">
                  <v>89.06999999999999</v>
                </pt>
                <pt idx="181">
                  <v>88.84</v>
                </pt>
                <pt idx="182">
                  <v>86.90000000000001</v>
                </pt>
                <pt idx="183">
                  <v>87.14</v>
                </pt>
                <pt idx="184">
                  <v>86.47</v>
                </pt>
                <pt idx="185">
                  <v>87.05</v>
                </pt>
                <pt idx="186">
                  <v>86.55</v>
                </pt>
                <pt idx="187">
                  <v>86.16</v>
                </pt>
                <pt idx="188">
                  <v>85.14</v>
                </pt>
                <pt idx="189">
                  <v>87.14</v>
                </pt>
                <pt idx="190">
                  <v>87.15000000000001</v>
                </pt>
                <pt idx="191">
                  <v>85.51000000000001</v>
                </pt>
                <pt idx="192">
                  <v>86.87</v>
                </pt>
                <pt idx="193">
                  <v>89.23</v>
                </pt>
                <pt idx="194">
                  <v>87.28</v>
                </pt>
                <pt idx="195">
                  <v>88.12</v>
                </pt>
                <pt idx="196">
                  <v>87.81999999999999</v>
                </pt>
                <pt idx="197">
                  <v>87.11</v>
                </pt>
                <pt idx="198">
                  <v>87.59999999999999</v>
                </pt>
                <pt idx="199">
                  <v>87.47</v>
                </pt>
                <pt idx="200">
                  <v>85.79000000000001</v>
                </pt>
                <pt idx="201">
                  <v>87.11</v>
                </pt>
                <pt idx="202">
                  <v>86.41</v>
                </pt>
                <pt idx="203">
                  <v>88.23999999999999</v>
                </pt>
                <pt idx="204">
                  <v>88.76000000000001</v>
                </pt>
                <pt idx="205">
                  <v>88.45999999999999</v>
                </pt>
                <pt idx="206">
                  <v>89.48</v>
                </pt>
                <pt idx="207">
                  <v>89.31999999999999</v>
                </pt>
                <pt idx="208">
                  <v>89.03</v>
                </pt>
                <pt idx="209">
                  <v>89.01000000000001</v>
                </pt>
                <pt idx="210">
                  <v>88.52</v>
                </pt>
                <pt idx="211">
                  <v>88.95999999999999</v>
                </pt>
                <pt idx="212">
                  <v>87.90000000000001</v>
                </pt>
                <pt idx="213">
                  <v>88.89</v>
                </pt>
                <pt idx="214">
                  <v>87.13</v>
                </pt>
                <pt idx="215">
                  <v>87.52</v>
                </pt>
                <pt idx="216">
                  <v>87.88</v>
                </pt>
                <pt idx="217">
                  <v>86.69</v>
                </pt>
                <pt idx="218">
                  <v>89.45999999999999</v>
                </pt>
                <pt idx="219">
                  <v>89.62</v>
                </pt>
                <pt idx="220">
                  <v>89.87</v>
                </pt>
                <pt idx="221">
                  <v>90.01000000000001</v>
                </pt>
                <pt idx="222">
                  <v>89.23</v>
                </pt>
                <pt idx="223">
                  <v>88.27</v>
                </pt>
                <pt idx="224">
                  <v>88.25</v>
                </pt>
                <pt idx="225">
                  <v>87.16</v>
                </pt>
                <pt idx="226">
                  <v>86.95</v>
                </pt>
                <pt idx="227">
                  <v>87.83</v>
                </pt>
                <pt idx="228">
                  <v>87.13</v>
                </pt>
                <pt idx="229">
                  <v>88.06999999999999</v>
                </pt>
                <pt idx="230">
                  <v>88.54000000000001</v>
                </pt>
                <pt idx="231">
                  <v>87.77</v>
                </pt>
                <pt idx="232">
                  <v>89.34999999999999</v>
                </pt>
                <pt idx="233">
                  <v>89.97</v>
                </pt>
                <pt idx="234">
                  <v>89.04000000000001</v>
                </pt>
                <pt idx="235">
                  <v>88.18000000000001</v>
                </pt>
                <pt idx="236">
                  <v>88.41</v>
                </pt>
                <pt idx="237">
                  <v>88.56999999999999</v>
                </pt>
                <pt idx="238">
                  <v>87.86</v>
                </pt>
                <pt idx="239">
                  <v>88.3</v>
                </pt>
                <pt idx="240">
                  <v>89.12</v>
                </pt>
                <pt idx="241">
                  <v>88.79000000000001</v>
                </pt>
                <pt idx="242">
                  <v>88.59</v>
                </pt>
                <pt idx="243">
                  <v>87.69</v>
                </pt>
                <pt idx="244">
                  <v>88.76000000000001</v>
                </pt>
                <pt idx="245">
                  <v>89.09</v>
                </pt>
                <pt idx="246">
                  <v>87.83</v>
                </pt>
                <pt idx="247">
                  <v>88.41</v>
                </pt>
                <pt idx="248">
                  <v>88.84</v>
                </pt>
                <pt idx="249">
                  <v>89.23</v>
                </pt>
                <pt idx="250">
                  <v>88.86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ko-KR"/>
        </a:p>
      </txPr>
    </legend>
    <plotVisOnly val="1"/>
    <dispBlanksAs val="zero"/>
  </chart>
</chartSpace>
</file>

<file path=xl/charts/chart9.xml><?xml version="1.0" encoding="utf-8"?>
<chartSpace xmlns:a="http://schemas.openxmlformats.org/drawingml/2006/main" xmlns="http://schemas.openxmlformats.org/drawingml/2006/chart">
  <chart>
    <plotArea>
      <layout/>
      <areaChart>
        <grouping val="standard"/>
        <varyColors val="1"/>
        <ser>
          <idx val="0"/>
          <order val="0"/>
          <tx>
            <strRef>
              <f>QQQ!$F$27</f>
              <strCache>
                <ptCount val="1"/>
                <pt idx="0">
                  <v>Close</v>
                </pt>
              </strCache>
            </strRef>
          </tx>
          <spPr>
            <a:solidFill>
              <a:srgbClr val="4285F4"/>
            </a:solidFill>
            <a:ln cmpd="sng">
              <a:solidFill>
                <a:srgbClr val="4285F4"/>
              </a:solidFill>
              <a:prstDash val="solid"/>
            </a:ln>
          </spPr>
          <cat>
            <numRef>
              <f>QQQ!$B$28:$B$1000</f>
              <numCache>
                <formatCode>mmm" "d", "yyyy</formatCode>
                <ptCount val="973"/>
                <pt idx="0">
                  <v>45138.6666666666</v>
                </pt>
                <pt idx="1">
                  <v>45139.6666666666</v>
                </pt>
                <pt idx="2">
                  <v>45140.6666666666</v>
                </pt>
                <pt idx="3">
                  <v>45141.6666666666</v>
                </pt>
                <pt idx="4">
                  <v>45142.6666666666</v>
                </pt>
                <pt idx="5">
                  <v>45145.6666666666</v>
                </pt>
                <pt idx="6">
                  <v>45146.6666666666</v>
                </pt>
                <pt idx="7">
                  <v>45147.6666666666</v>
                </pt>
                <pt idx="8">
                  <v>45148.6666666666</v>
                </pt>
                <pt idx="9">
                  <v>45149.6666666666</v>
                </pt>
                <pt idx="10">
                  <v>45152.6666666666</v>
                </pt>
                <pt idx="11">
                  <v>45153.6666666666</v>
                </pt>
                <pt idx="12">
                  <v>45154.6666666666</v>
                </pt>
                <pt idx="13">
                  <v>45155.6666666666</v>
                </pt>
                <pt idx="14">
                  <v>45156.6666666666</v>
                </pt>
                <pt idx="15">
                  <v>45159.6666666666</v>
                </pt>
                <pt idx="16">
                  <v>45160.6666666666</v>
                </pt>
                <pt idx="17">
                  <v>45161.6666666666</v>
                </pt>
                <pt idx="18">
                  <v>45162.6666666666</v>
                </pt>
                <pt idx="19">
                  <v>45163.6666666666</v>
                </pt>
                <pt idx="20">
                  <v>45166.6666666666</v>
                </pt>
                <pt idx="21">
                  <v>45167.6666666666</v>
                </pt>
                <pt idx="22">
                  <v>45168.6666666666</v>
                </pt>
                <pt idx="23">
                  <v>45169.6666666666</v>
                </pt>
                <pt idx="24">
                  <v>45170.6666666666</v>
                </pt>
                <pt idx="25">
                  <v>45174.6666666666</v>
                </pt>
                <pt idx="26">
                  <v>45175.6666666666</v>
                </pt>
                <pt idx="27">
                  <v>45176.6666666666</v>
                </pt>
                <pt idx="28">
                  <v>45177.6666666666</v>
                </pt>
                <pt idx="29">
                  <v>45180.6666666666</v>
                </pt>
                <pt idx="30">
                  <v>45181.6666666666</v>
                </pt>
                <pt idx="31">
                  <v>45182.6666666666</v>
                </pt>
                <pt idx="32">
                  <v>45183.6666666666</v>
                </pt>
                <pt idx="33">
                  <v>45184.6666666666</v>
                </pt>
                <pt idx="34">
                  <v>45187.6666666666</v>
                </pt>
                <pt idx="35">
                  <v>45188.6666666666</v>
                </pt>
                <pt idx="36">
                  <v>45189.6666666666</v>
                </pt>
                <pt idx="37">
                  <v>45190.6666666666</v>
                </pt>
                <pt idx="38">
                  <v>45191.6666666666</v>
                </pt>
                <pt idx="39">
                  <v>45194.6666666666</v>
                </pt>
                <pt idx="40">
                  <v>45195.6666666666</v>
                </pt>
                <pt idx="41">
                  <v>45196.6666666666</v>
                </pt>
                <pt idx="42">
                  <v>45197.6666666666</v>
                </pt>
                <pt idx="43">
                  <v>45198.6666666666</v>
                </pt>
                <pt idx="44">
                  <v>45201.6666666666</v>
                </pt>
                <pt idx="45">
                  <v>45202.6666666666</v>
                </pt>
                <pt idx="46">
                  <v>45203.6666666666</v>
                </pt>
                <pt idx="47">
                  <v>45204.6666666666</v>
                </pt>
                <pt idx="48">
                  <v>45205.6666666666</v>
                </pt>
                <pt idx="49">
                  <v>45208.6666666666</v>
                </pt>
                <pt idx="50">
                  <v>45209.6666666666</v>
                </pt>
                <pt idx="51">
                  <v>45210.6666666666</v>
                </pt>
                <pt idx="52">
                  <v>45211.6666666666</v>
                </pt>
                <pt idx="53">
                  <v>45212.6666666666</v>
                </pt>
                <pt idx="54">
                  <v>45215.6666666666</v>
                </pt>
                <pt idx="55">
                  <v>45216.6666666666</v>
                </pt>
                <pt idx="56">
                  <v>45217.6666666666</v>
                </pt>
                <pt idx="57">
                  <v>45218.6666666666</v>
                </pt>
                <pt idx="58">
                  <v>45219.6666666666</v>
                </pt>
                <pt idx="59">
                  <v>45222.6666666666</v>
                </pt>
                <pt idx="60">
                  <v>45223.6666666666</v>
                </pt>
                <pt idx="61">
                  <v>45224.6666666666</v>
                </pt>
                <pt idx="62">
                  <v>45225.6666666666</v>
                </pt>
                <pt idx="63">
                  <v>45226.6666666666</v>
                </pt>
                <pt idx="64">
                  <v>45229.6666666666</v>
                </pt>
                <pt idx="65">
                  <v>45230.6666666666</v>
                </pt>
                <pt idx="66">
                  <v>45231.6666666666</v>
                </pt>
                <pt idx="67">
                  <v>45232.6666666666</v>
                </pt>
                <pt idx="68">
                  <v>45233.6666666666</v>
                </pt>
                <pt idx="69">
                  <v>45236.6666666666</v>
                </pt>
                <pt idx="70">
                  <v>45237.6666666666</v>
                </pt>
                <pt idx="71">
                  <v>45238.6666666666</v>
                </pt>
                <pt idx="72">
                  <v>45239.6666666666</v>
                </pt>
                <pt idx="73">
                  <v>45240.6666666666</v>
                </pt>
                <pt idx="74">
                  <v>45243.6666666666</v>
                </pt>
                <pt idx="75">
                  <v>45244.6666666666</v>
                </pt>
                <pt idx="76">
                  <v>45245.6666666666</v>
                </pt>
                <pt idx="77">
                  <v>45246.6666666666</v>
                </pt>
                <pt idx="78">
                  <v>45247.6666666666</v>
                </pt>
                <pt idx="79">
                  <v>45250.6666666666</v>
                </pt>
                <pt idx="80">
                  <v>45251.6666666666</v>
                </pt>
                <pt idx="81">
                  <v>45252.6666666666</v>
                </pt>
                <pt idx="82">
                  <v>45254.5451388888</v>
                </pt>
                <pt idx="83">
                  <v>45257.6666666666</v>
                </pt>
                <pt idx="84">
                  <v>45258.6666666666</v>
                </pt>
                <pt idx="85">
                  <v>45259.6666666666</v>
                </pt>
                <pt idx="86">
                  <v>45260.6666666666</v>
                </pt>
                <pt idx="87">
                  <v>45261.6666666666</v>
                </pt>
                <pt idx="88">
                  <v>45264.6666666666</v>
                </pt>
                <pt idx="89">
                  <v>45265.6666666666</v>
                </pt>
                <pt idx="90">
                  <v>45266.6666666666</v>
                </pt>
                <pt idx="91">
                  <v>45267.6666666666</v>
                </pt>
                <pt idx="92">
                  <v>45268.6666666666</v>
                </pt>
                <pt idx="93">
                  <v>45271.6666666666</v>
                </pt>
                <pt idx="94">
                  <v>45272.6666666666</v>
                </pt>
                <pt idx="95">
                  <v>45273.6666666666</v>
                </pt>
                <pt idx="96">
                  <v>45274.6666666666</v>
                </pt>
                <pt idx="97">
                  <v>45275.6666666666</v>
                </pt>
                <pt idx="98">
                  <v>45278.6666666666</v>
                </pt>
                <pt idx="99">
                  <v>45279.6666666666</v>
                </pt>
                <pt idx="100">
                  <v>45280.6666666666</v>
                </pt>
                <pt idx="101">
                  <v>45281.6666666666</v>
                </pt>
                <pt idx="102">
                  <v>45282.6666666666</v>
                </pt>
                <pt idx="103">
                  <v>45286.6666666666</v>
                </pt>
                <pt idx="104">
                  <v>45287.6666666666</v>
                </pt>
                <pt idx="105">
                  <v>45288.6666666666</v>
                </pt>
                <pt idx="106">
                  <v>45289.6666666666</v>
                </pt>
                <pt idx="107">
                  <v>45293.6666666666</v>
                </pt>
                <pt idx="108">
                  <v>45294.6666666666</v>
                </pt>
                <pt idx="109">
                  <v>45295.6666666666</v>
                </pt>
                <pt idx="110">
                  <v>45296.6666666666</v>
                </pt>
                <pt idx="111">
                  <v>45299.6666666666</v>
                </pt>
                <pt idx="112">
                  <v>45300.6666666666</v>
                </pt>
                <pt idx="113">
                  <v>45301.6666666666</v>
                </pt>
                <pt idx="114">
                  <v>45302.6666666666</v>
                </pt>
                <pt idx="115">
                  <v>45303.6666666666</v>
                </pt>
                <pt idx="116">
                  <v>45307.6666666666</v>
                </pt>
                <pt idx="117">
                  <v>45308.6666666666</v>
                </pt>
                <pt idx="118">
                  <v>45309.6666666666</v>
                </pt>
                <pt idx="119">
                  <v>45310.6666666666</v>
                </pt>
                <pt idx="120">
                  <v>45313.6666666666</v>
                </pt>
                <pt idx="121">
                  <v>45314.6666666666</v>
                </pt>
                <pt idx="122">
                  <v>45315.6666666666</v>
                </pt>
                <pt idx="123">
                  <v>45316.6666666666</v>
                </pt>
                <pt idx="124">
                  <v>45317.6666666666</v>
                </pt>
                <pt idx="125">
                  <v>45320.6666666666</v>
                </pt>
                <pt idx="126">
                  <v>45321.6666666666</v>
                </pt>
                <pt idx="127">
                  <v>45322.6666666666</v>
                </pt>
                <pt idx="128">
                  <v>45323.6666666666</v>
                </pt>
                <pt idx="129">
                  <v>45324.6666666666</v>
                </pt>
                <pt idx="130">
                  <v>45327.6666666666</v>
                </pt>
                <pt idx="131">
                  <v>45328.6666666666</v>
                </pt>
                <pt idx="132">
                  <v>45329.6666666666</v>
                </pt>
                <pt idx="133">
                  <v>45330.6666666666</v>
                </pt>
                <pt idx="134">
                  <v>45331.6666666666</v>
                </pt>
                <pt idx="135">
                  <v>45334.6666666666</v>
                </pt>
                <pt idx="136">
                  <v>45335.6666666666</v>
                </pt>
                <pt idx="137">
                  <v>45336.6666666666</v>
                </pt>
                <pt idx="138">
                  <v>45337.6666666666</v>
                </pt>
                <pt idx="139">
                  <v>45338.6666666666</v>
                </pt>
                <pt idx="140">
                  <v>45342.6666666666</v>
                </pt>
                <pt idx="141">
                  <v>45343.6666666666</v>
                </pt>
                <pt idx="142">
                  <v>45344.6666666666</v>
                </pt>
                <pt idx="143">
                  <v>45345.6666666666</v>
                </pt>
                <pt idx="144">
                  <v>45348.6666666666</v>
                </pt>
                <pt idx="145">
                  <v>45349.6666666666</v>
                </pt>
                <pt idx="146">
                  <v>45350.6666666666</v>
                </pt>
                <pt idx="147">
                  <v>45351.6666666666</v>
                </pt>
                <pt idx="148">
                  <v>45352.6666666666</v>
                </pt>
                <pt idx="149">
                  <v>45355.6666666666</v>
                </pt>
                <pt idx="150">
                  <v>45356.6666666666</v>
                </pt>
                <pt idx="151">
                  <v>45357.6666666666</v>
                </pt>
                <pt idx="152">
                  <v>45358.6666666666</v>
                </pt>
                <pt idx="153">
                  <v>45359.6666666666</v>
                </pt>
                <pt idx="154">
                  <v>45362.6666666666</v>
                </pt>
                <pt idx="155">
                  <v>45363.6666666666</v>
                </pt>
                <pt idx="156">
                  <v>45364.6666666666</v>
                </pt>
                <pt idx="157">
                  <v>45365.6666666666</v>
                </pt>
                <pt idx="158">
                  <v>45366.6666666666</v>
                </pt>
                <pt idx="159">
                  <v>45369.6666666666</v>
                </pt>
                <pt idx="160">
                  <v>45370.6666666666</v>
                </pt>
                <pt idx="161">
                  <v>45371.6666666666</v>
                </pt>
                <pt idx="162">
                  <v>45372.6666666666</v>
                </pt>
                <pt idx="163">
                  <v>45373.6666666666</v>
                </pt>
                <pt idx="164">
                  <v>45376.6666666666</v>
                </pt>
                <pt idx="165">
                  <v>45377.6666666666</v>
                </pt>
                <pt idx="166">
                  <v>45378.6666666666</v>
                </pt>
                <pt idx="167">
                  <v>45379.6666666666</v>
                </pt>
                <pt idx="168">
                  <v>45383.6666666666</v>
                </pt>
                <pt idx="169">
                  <v>45384.6666666666</v>
                </pt>
                <pt idx="170">
                  <v>45385.6666666666</v>
                </pt>
                <pt idx="171">
                  <v>45386.6666666666</v>
                </pt>
                <pt idx="172">
                  <v>45387.6666666666</v>
                </pt>
                <pt idx="173">
                  <v>45390.6666666666</v>
                </pt>
                <pt idx="174">
                  <v>45391.6666666666</v>
                </pt>
                <pt idx="175">
                  <v>45392.6666666666</v>
                </pt>
                <pt idx="176">
                  <v>45393.6666666666</v>
                </pt>
                <pt idx="177">
                  <v>45394.6666666666</v>
                </pt>
                <pt idx="178">
                  <v>45397.6666666666</v>
                </pt>
                <pt idx="179">
                  <v>45398.6666666666</v>
                </pt>
                <pt idx="180">
                  <v>45399.6666666666</v>
                </pt>
                <pt idx="181">
                  <v>45400.6666666666</v>
                </pt>
                <pt idx="182">
                  <v>45401.6666666666</v>
                </pt>
                <pt idx="183">
                  <v>45404.6666666666</v>
                </pt>
                <pt idx="184">
                  <v>45405.6666666666</v>
                </pt>
                <pt idx="185">
                  <v>45406.6666666666</v>
                </pt>
                <pt idx="186">
                  <v>45407.6666666666</v>
                </pt>
                <pt idx="187">
                  <v>45408.6666666666</v>
                </pt>
                <pt idx="188">
                  <v>45411.6666666666</v>
                </pt>
                <pt idx="189">
                  <v>45412.6666666666</v>
                </pt>
                <pt idx="190">
                  <v>45413.6666666666</v>
                </pt>
                <pt idx="191">
                  <v>45414.6666666666</v>
                </pt>
                <pt idx="192">
                  <v>45415.6666666666</v>
                </pt>
                <pt idx="193">
                  <v>45418.6666666666</v>
                </pt>
                <pt idx="194">
                  <v>45419.6666666666</v>
                </pt>
                <pt idx="195">
                  <v>45420.6666666666</v>
                </pt>
                <pt idx="196">
                  <v>45421.6666666666</v>
                </pt>
                <pt idx="197">
                  <v>45422.6666666666</v>
                </pt>
                <pt idx="198">
                  <v>45425.6666666666</v>
                </pt>
                <pt idx="199">
                  <v>45426.6666666666</v>
                </pt>
                <pt idx="200">
                  <v>45427.6666666666</v>
                </pt>
                <pt idx="201">
                  <v>45428.6666666666</v>
                </pt>
                <pt idx="202">
                  <v>45429.6666666666</v>
                </pt>
                <pt idx="203">
                  <v>45432.6666666666</v>
                </pt>
                <pt idx="204">
                  <v>45433.6666666666</v>
                </pt>
                <pt idx="205">
                  <v>45434.6666666666</v>
                </pt>
                <pt idx="206">
                  <v>45435.6666666666</v>
                </pt>
                <pt idx="207">
                  <v>45436.6666666666</v>
                </pt>
                <pt idx="208">
                  <v>45440.6666666666</v>
                </pt>
                <pt idx="209">
                  <v>45441.6666666666</v>
                </pt>
                <pt idx="210">
                  <v>45442.6666666666</v>
                </pt>
                <pt idx="211">
                  <v>45443.6666666666</v>
                </pt>
                <pt idx="212">
                  <v>45446.6666666666</v>
                </pt>
                <pt idx="213">
                  <v>45447.6666666666</v>
                </pt>
                <pt idx="214">
                  <v>45448.6666666666</v>
                </pt>
                <pt idx="215">
                  <v>45449.6666666666</v>
                </pt>
                <pt idx="216">
                  <v>45450.6666666666</v>
                </pt>
                <pt idx="217">
                  <v>45453.6666666666</v>
                </pt>
                <pt idx="218">
                  <v>45454.6666666666</v>
                </pt>
                <pt idx="219">
                  <v>45455.6666666666</v>
                </pt>
                <pt idx="220">
                  <v>45456.6666666666</v>
                </pt>
                <pt idx="221">
                  <v>45457.6666666666</v>
                </pt>
                <pt idx="222">
                  <v>45460.6666666666</v>
                </pt>
                <pt idx="223">
                  <v>45461.6666666666</v>
                </pt>
                <pt idx="224">
                  <v>45463.6666666666</v>
                </pt>
                <pt idx="225">
                  <v>45464.6666666666</v>
                </pt>
                <pt idx="226">
                  <v>45467.6666666666</v>
                </pt>
                <pt idx="227">
                  <v>45468.6666666666</v>
                </pt>
                <pt idx="228">
                  <v>45469.6666666666</v>
                </pt>
                <pt idx="229">
                  <v>45470.6666666666</v>
                </pt>
                <pt idx="230">
                  <v>45471.6666666666</v>
                </pt>
                <pt idx="231">
                  <v>45474.6666666666</v>
                </pt>
                <pt idx="232">
                  <v>45475.6666666666</v>
                </pt>
                <pt idx="233">
                  <v>45476.5451388888</v>
                </pt>
                <pt idx="234">
                  <v>45478.6666666666</v>
                </pt>
                <pt idx="235">
                  <v>45481.6666666666</v>
                </pt>
                <pt idx="236">
                  <v>45482.6666666666</v>
                </pt>
                <pt idx="237">
                  <v>45483.6666666666</v>
                </pt>
                <pt idx="238">
                  <v>45484.6666666666</v>
                </pt>
                <pt idx="239">
                  <v>45485.6666666666</v>
                </pt>
                <pt idx="240">
                  <v>45488.6666666666</v>
                </pt>
                <pt idx="241">
                  <v>45489.6666666666</v>
                </pt>
                <pt idx="242">
                  <v>45490.6666666666</v>
                </pt>
                <pt idx="243">
                  <v>45491.6666666666</v>
                </pt>
                <pt idx="244">
                  <v>45492.6666666666</v>
                </pt>
                <pt idx="245">
                  <v>45495.6666666666</v>
                </pt>
                <pt idx="246">
                  <v>45496.6666666666</v>
                </pt>
                <pt idx="247">
                  <v>45497.6666666666</v>
                </pt>
                <pt idx="248">
                  <v>45498.6666666666</v>
                </pt>
                <pt idx="249">
                  <v>45499.6666666666</v>
                </pt>
                <pt idx="250">
                  <v>45502.6666666666</v>
                </pt>
                <pt idx="251">
                  <v>45503.6666666666</v>
                </pt>
                <pt idx="252">
                  <v>45504.6666666666</v>
                </pt>
                <pt idx="253">
                  <v>45505.6666666666</v>
                </pt>
                <pt idx="254">
                  <v>45506.6666666666</v>
                </pt>
                <pt idx="255">
                  <v>45509.6666666666</v>
                </pt>
                <pt idx="256">
                  <v>45510.6666666666</v>
                </pt>
                <pt idx="257">
                  <v>45511.6666666666</v>
                </pt>
                <pt idx="258">
                  <v>45512.6666666666</v>
                </pt>
                <pt idx="259">
                  <v>45513.6666666666</v>
                </pt>
                <pt idx="260">
                  <v>45516.6666666666</v>
                </pt>
                <pt idx="261">
                  <v>45517.6666666666</v>
                </pt>
                <pt idx="262">
                  <v>45518.6666666666</v>
                </pt>
                <pt idx="263">
                  <v>45519.6666666666</v>
                </pt>
                <pt idx="264">
                  <v>45520.6666666666</v>
                </pt>
                <pt idx="265">
                  <v>45523.6666666666</v>
                </pt>
                <pt idx="266">
                  <v>45524.6666666666</v>
                </pt>
                <pt idx="267">
                  <v>45525.6666666666</v>
                </pt>
                <pt idx="268">
                  <v>45526.6666666666</v>
                </pt>
                <pt idx="269">
                  <v>45527.6666666666</v>
                </pt>
                <pt idx="270">
                  <v>45530.6666666666</v>
                </pt>
                <pt idx="271">
                  <v>45531.6666666666</v>
                </pt>
                <pt idx="272">
                  <v>45532.6666666666</v>
                </pt>
                <pt idx="273">
                  <v>45533.6666666666</v>
                </pt>
                <pt idx="274">
                  <v>45534.6666666666</v>
                </pt>
                <pt idx="275">
                  <v>45538.6666666666</v>
                </pt>
                <pt idx="276">
                  <v>45539.6666666666</v>
                </pt>
                <pt idx="277">
                  <v>45540.6666666666</v>
                </pt>
                <pt idx="278">
                  <v>45541.6666666666</v>
                </pt>
                <pt idx="279">
                  <v>45544.6666666666</v>
                </pt>
                <pt idx="280">
                  <v>45545.6666666666</v>
                </pt>
                <pt idx="281">
                  <v>45546.6666666666</v>
                </pt>
                <pt idx="282">
                  <v>45547.6666666666</v>
                </pt>
                <pt idx="283">
                  <v>45548.6666666666</v>
                </pt>
                <pt idx="284">
                  <v>45551.6666666666</v>
                </pt>
                <pt idx="285">
                  <v>45552.6666666666</v>
                </pt>
                <pt idx="286">
                  <v>45553.6666666666</v>
                </pt>
                <pt idx="287">
                  <v>45554.6666666666</v>
                </pt>
                <pt idx="288">
                  <v>45555.6666666666</v>
                </pt>
                <pt idx="289">
                  <v>45558.6666666666</v>
                </pt>
                <pt idx="290">
                  <v>45559.6666666666</v>
                </pt>
                <pt idx="291">
                  <v>45560.6666666666</v>
                </pt>
                <pt idx="292">
                  <v>45561.6666666666</v>
                </pt>
                <pt idx="293">
                  <v>45562.6666666666</v>
                </pt>
                <pt idx="294">
                  <v>45565.6666666666</v>
                </pt>
                <pt idx="295">
                  <v>45566.6666666666</v>
                </pt>
                <pt idx="296">
                  <v>45567.6666666666</v>
                </pt>
                <pt idx="297">
                  <v>45568.6666666666</v>
                </pt>
                <pt idx="298">
                  <v>45569.6666666666</v>
                </pt>
                <pt idx="299">
                  <v>45572.6666666666</v>
                </pt>
                <pt idx="300">
                  <v>45573.6666666666</v>
                </pt>
                <pt idx="301">
                  <v>45574.6666666666</v>
                </pt>
                <pt idx="302">
                  <v>45575.6666666666</v>
                </pt>
                <pt idx="303">
                  <v>45576.6666666666</v>
                </pt>
                <pt idx="304">
                  <v>45579.6666666666</v>
                </pt>
                <pt idx="305">
                  <v>45580.6666666666</v>
                </pt>
                <pt idx="306">
                  <v>45581.6666666666</v>
                </pt>
                <pt idx="307">
                  <v>45582.6666666666</v>
                </pt>
                <pt idx="308">
                  <v>45583.6666666666</v>
                </pt>
                <pt idx="309">
                  <v>45586.6666666666</v>
                </pt>
                <pt idx="310">
                  <v>45587.6666666666</v>
                </pt>
                <pt idx="311">
                  <v>45588.6666666666</v>
                </pt>
                <pt idx="312">
                  <v>45589.6666666666</v>
                </pt>
                <pt idx="313">
                  <v>45590.6666666666</v>
                </pt>
                <pt idx="314">
                  <v>45593.6666666666</v>
                </pt>
                <pt idx="315">
                  <v>45594.6666666666</v>
                </pt>
                <pt idx="316">
                  <v>45595.6666666666</v>
                </pt>
                <pt idx="317">
                  <v>45596.6666666666</v>
                </pt>
                <pt idx="318">
                  <v>45597.6666666666</v>
                </pt>
                <pt idx="319">
                  <v>45600.6666666666</v>
                </pt>
                <pt idx="320">
                  <v>45601.6666666666</v>
                </pt>
                <pt idx="321">
                  <v>45602.6666666666</v>
                </pt>
                <pt idx="322">
                  <v>45603.6666666666</v>
                </pt>
                <pt idx="323">
                  <v>45604.6666666666</v>
                </pt>
                <pt idx="324">
                  <v>45607.6666666666</v>
                </pt>
                <pt idx="325">
                  <v>45608.6666666666</v>
                </pt>
                <pt idx="326">
                  <v>45609.6666666666</v>
                </pt>
                <pt idx="327">
                  <v>45610.6666666666</v>
                </pt>
                <pt idx="328">
                  <v>45611.6666666666</v>
                </pt>
                <pt idx="329">
                  <v>45614.6666666666</v>
                </pt>
                <pt idx="330">
                  <v>45615.6666666666</v>
                </pt>
                <pt idx="331">
                  <v>45616.6666666666</v>
                </pt>
                <pt idx="332">
                  <v>45617.6666666666</v>
                </pt>
                <pt idx="333">
                  <v>45618.6666666666</v>
                </pt>
                <pt idx="334">
                  <v>45621.6666666666</v>
                </pt>
                <pt idx="335">
                  <v>45622.6666666666</v>
                </pt>
                <pt idx="336">
                  <v>45623.6666666666</v>
                </pt>
                <pt idx="337">
                  <v>45625.5451388888</v>
                </pt>
                <pt idx="338">
                  <v>45628.6666666666</v>
                </pt>
                <pt idx="339">
                  <v>45629.6666666666</v>
                </pt>
                <pt idx="340">
                  <v>45630.6666666666</v>
                </pt>
                <pt idx="341">
                  <v>45631.6666666666</v>
                </pt>
                <pt idx="342">
                  <v>45632.6666666666</v>
                </pt>
                <pt idx="343">
                  <v>45635.6666666666</v>
                </pt>
                <pt idx="344">
                  <v>45636.6666666666</v>
                </pt>
                <pt idx="345">
                  <v>45637.6666666666</v>
                </pt>
                <pt idx="346">
                  <v>45638.6666666666</v>
                </pt>
                <pt idx="347">
                  <v>45639.6666666666</v>
                </pt>
                <pt idx="348">
                  <v>45642.6666666666</v>
                </pt>
                <pt idx="349">
                  <v>45643.6666666666</v>
                </pt>
                <pt idx="350">
                  <v>45644.6666666666</v>
                </pt>
                <pt idx="351">
                  <v>45645.6666666666</v>
                </pt>
                <pt idx="352">
                  <v>45646.6666666666</v>
                </pt>
                <pt idx="353">
                  <v>45649.6666666666</v>
                </pt>
                <pt idx="354">
                  <v>45650.5451388888</v>
                </pt>
                <pt idx="355">
                  <v>45652.6666666666</v>
                </pt>
                <pt idx="356">
                  <v>45653.6666666666</v>
                </pt>
                <pt idx="357">
                  <v>45656.6666666666</v>
                </pt>
                <pt idx="358">
                  <v>45657.6666666666</v>
                </pt>
                <pt idx="359">
                  <v>45659.6666666666</v>
                </pt>
                <pt idx="360">
                  <v>45660.6666666666</v>
                </pt>
                <pt idx="361">
                  <v>45663.6666666666</v>
                </pt>
                <pt idx="362">
                  <v>45664.6666666666</v>
                </pt>
                <pt idx="363">
                  <v>45665.6666666666</v>
                </pt>
                <pt idx="364">
                  <v>45667.6666666666</v>
                </pt>
                <pt idx="365">
                  <v>45670.6666666666</v>
                </pt>
                <pt idx="366">
                  <v>45671.6666666666</v>
                </pt>
                <pt idx="367">
                  <v>45672.6666666666</v>
                </pt>
                <pt idx="368">
                  <v>45673.6666666666</v>
                </pt>
                <pt idx="369">
                  <v>45674.6666666666</v>
                </pt>
                <pt idx="370">
                  <v>45678.6666666666</v>
                </pt>
                <pt idx="371">
                  <v>45679.6666666666</v>
                </pt>
                <pt idx="372">
                  <v>45680.6666666666</v>
                </pt>
                <pt idx="373">
                  <v>45681.6666666666</v>
                </pt>
                <pt idx="374">
                  <v>45684.6666666666</v>
                </pt>
                <pt idx="375">
                  <v>45685.6666666666</v>
                </pt>
                <pt idx="376">
                  <v>45686.6666666666</v>
                </pt>
                <pt idx="377">
                  <v>45687.6666666666</v>
                </pt>
                <pt idx="378">
                  <v>45688.6666666666</v>
                </pt>
                <pt idx="379">
                  <v>45691.6666666666</v>
                </pt>
                <pt idx="380">
                  <v>45692.6666666666</v>
                </pt>
                <pt idx="381">
                  <v>45693.6666666666</v>
                </pt>
                <pt idx="382">
                  <v>45694.6666666666</v>
                </pt>
                <pt idx="383">
                  <v>45695.6666666666</v>
                </pt>
                <pt idx="384">
                  <v>45698.6666666666</v>
                </pt>
                <pt idx="385">
                  <v>45699.6666666666</v>
                </pt>
                <pt idx="386">
                  <v>45700.6666666666</v>
                </pt>
                <pt idx="387">
                  <v>45701.6666666666</v>
                </pt>
                <pt idx="388">
                  <v>45702.6666666666</v>
                </pt>
                <pt idx="389">
                  <v>45706.6666666666</v>
                </pt>
                <pt idx="390">
                  <v>45707.6666666666</v>
                </pt>
                <pt idx="391">
                  <v>45708.6666666666</v>
                </pt>
                <pt idx="392">
                  <v>45709.6666666666</v>
                </pt>
                <pt idx="393">
                  <v>45712.6666666666</v>
                </pt>
                <pt idx="394">
                  <v>45713.6666666666</v>
                </pt>
                <pt idx="395">
                  <v>45714.6666666666</v>
                </pt>
                <pt idx="396">
                  <v>45715.6666666666</v>
                </pt>
                <pt idx="397">
                  <v>45716.6666666666</v>
                </pt>
                <pt idx="398">
                  <v>45719.6666666666</v>
                </pt>
                <pt idx="399">
                  <v>45720.6666666666</v>
                </pt>
                <pt idx="400">
                  <v>45721.6666666666</v>
                </pt>
                <pt idx="401">
                  <v>45722.6666666666</v>
                </pt>
                <pt idx="402">
                  <v>45723.6666666666</v>
                </pt>
                <pt idx="403">
                  <v>45726.6666666666</v>
                </pt>
                <pt idx="404">
                  <v>45727.6666666666</v>
                </pt>
                <pt idx="405">
                  <v>45728.6666666666</v>
                </pt>
                <pt idx="406">
                  <v>45729.6666666666</v>
                </pt>
                <pt idx="407">
                  <v>45730.6666666666</v>
                </pt>
                <pt idx="408">
                  <v>45733.6666666666</v>
                </pt>
                <pt idx="409">
                  <v>45734.6666666666</v>
                </pt>
                <pt idx="410">
                  <v>45735.6666666666</v>
                </pt>
                <pt idx="411">
                  <v>45736.6666666666</v>
                </pt>
                <pt idx="412">
                  <v>45737.6666666666</v>
                </pt>
                <pt idx="413">
                  <v>45740.6666666666</v>
                </pt>
                <pt idx="414">
                  <v>45741.6666666666</v>
                </pt>
                <pt idx="415">
                  <v>45742.6666666666</v>
                </pt>
                <pt idx="416">
                  <v>45743.6666666666</v>
                </pt>
                <pt idx="417">
                  <v>45744.6666666666</v>
                </pt>
                <pt idx="418">
                  <v>45747.6666666666</v>
                </pt>
                <pt idx="419">
                  <v>45748.6666666666</v>
                </pt>
                <pt idx="420">
                  <v>45749.6666666666</v>
                </pt>
                <pt idx="421">
                  <v>45750.6666666666</v>
                </pt>
                <pt idx="422">
                  <v>45751.6666666666</v>
                </pt>
                <pt idx="423">
                  <v>45754.6666666666</v>
                </pt>
                <pt idx="424">
                  <v>45755.6666666666</v>
                </pt>
                <pt idx="425">
                  <v>45756.6666666666</v>
                </pt>
                <pt idx="426">
                  <v>45757.6666666666</v>
                </pt>
                <pt idx="427">
                  <v>45758.6666666666</v>
                </pt>
                <pt idx="428">
                  <v>45761.6666666666</v>
                </pt>
                <pt idx="429">
                  <v>45762.6666666666</v>
                </pt>
                <pt idx="430">
                  <v>45763.6666666666</v>
                </pt>
                <pt idx="431">
                  <v>45764.6666666666</v>
                </pt>
                <pt idx="432">
                  <v>45768.6666666666</v>
                </pt>
                <pt idx="433">
                  <v>45769.6666666666</v>
                </pt>
                <pt idx="434">
                  <v>45770.6666666666</v>
                </pt>
                <pt idx="435">
                  <v>45771.6666666666</v>
                </pt>
                <pt idx="436">
                  <v>45772.6666666666</v>
                </pt>
                <pt idx="437">
                  <v>45775.6666666666</v>
                </pt>
                <pt idx="438">
                  <v>45776.6666666666</v>
                </pt>
                <pt idx="439">
                  <v>45777.6666666666</v>
                </pt>
                <pt idx="440">
                  <v>45778.6666666666</v>
                </pt>
                <pt idx="441">
                  <v>45779.6666666666</v>
                </pt>
                <pt idx="442">
                  <v>45782.6666666666</v>
                </pt>
                <pt idx="443">
                  <v>45783.6666666666</v>
                </pt>
                <pt idx="444">
                  <v>45784.6666666666</v>
                </pt>
                <pt idx="445">
                  <v>45785.6666666666</v>
                </pt>
                <pt idx="446">
                  <v>45786.6666666666</v>
                </pt>
                <pt idx="447">
                  <v>45789.6666666666</v>
                </pt>
                <pt idx="448">
                  <v>45790.6666666666</v>
                </pt>
                <pt idx="449">
                  <v>45791.6666666666</v>
                </pt>
                <pt idx="450">
                  <v>45792.6666666666</v>
                </pt>
                <pt idx="451">
                  <v>45793.6666666666</v>
                </pt>
                <pt idx="452">
                  <v>45796.6666666666</v>
                </pt>
                <pt idx="453">
                  <v>45797.6666666666</v>
                </pt>
                <pt idx="454">
                  <v>45798.6666666666</v>
                </pt>
                <pt idx="455">
                  <v>45799.6666666666</v>
                </pt>
                <pt idx="456">
                  <v>45800.6666666666</v>
                </pt>
                <pt idx="457">
                  <v>45804.6666666666</v>
                </pt>
                <pt idx="458">
                  <v>45805.6666666666</v>
                </pt>
                <pt idx="459">
                  <v>45806.6666666666</v>
                </pt>
                <pt idx="460">
                  <v>45807.6666666666</v>
                </pt>
                <pt idx="461">
                  <v>45810.6666666666</v>
                </pt>
                <pt idx="462">
                  <v>45811.6666666666</v>
                </pt>
                <pt idx="463">
                  <v>45812.6666666666</v>
                </pt>
                <pt idx="464">
                  <v>45813.6666666666</v>
                </pt>
                <pt idx="465">
                  <v>45814.6666666666</v>
                </pt>
                <pt idx="466">
                  <v>45817.6666666666</v>
                </pt>
                <pt idx="467">
                  <v>45818.6666666666</v>
                </pt>
                <pt idx="468">
                  <v>45819.6666666666</v>
                </pt>
                <pt idx="469">
                  <v>45820.6666666666</v>
                </pt>
                <pt idx="470">
                  <v>45821.6666666666</v>
                </pt>
                <pt idx="471">
                  <v>45824.6666666666</v>
                </pt>
                <pt idx="472">
                  <v>45825.6666666666</v>
                </pt>
                <pt idx="473">
                  <v>45826.6666666666</v>
                </pt>
                <pt idx="474">
                  <v>45828.6666666666</v>
                </pt>
                <pt idx="475">
                  <v>45831.6666666666</v>
                </pt>
                <pt idx="476">
                  <v>45832.6666666666</v>
                </pt>
                <pt idx="477">
                  <v>45833.6666666666</v>
                </pt>
                <pt idx="478">
                  <v>45834.6666666666</v>
                </pt>
                <pt idx="479">
                  <v>45835.6666666666</v>
                </pt>
                <pt idx="480">
                  <v>45838.6666666666</v>
                </pt>
                <pt idx="481">
                  <v>45839.6666666666</v>
                </pt>
                <pt idx="482">
                  <v>45840.6666666666</v>
                </pt>
                <pt idx="483">
                  <v>45841.5451388888</v>
                </pt>
                <pt idx="484">
                  <v>45845.6666666666</v>
                </pt>
                <pt idx="485">
                  <v>45846.6666666666</v>
                </pt>
                <pt idx="486">
                  <v>45847.6666666666</v>
                </pt>
                <pt idx="487">
                  <v>45848.6666666666</v>
                </pt>
                <pt idx="488">
                  <v>45849.6666666666</v>
                </pt>
                <pt idx="489">
                  <v>45852.6666666666</v>
                </pt>
                <pt idx="490">
                  <v>45853.6666666666</v>
                </pt>
                <pt idx="491">
                  <v>45854.6666666666</v>
                </pt>
                <pt idx="492">
                  <v>45855.6666666666</v>
                </pt>
                <pt idx="493">
                  <v>45856.6666666666</v>
                </pt>
                <pt idx="494">
                  <v>45859.6666666666</v>
                </pt>
                <pt idx="495">
                  <v>45860.6666666666</v>
                </pt>
                <pt idx="496">
                  <v>45861.6666666666</v>
                </pt>
                <pt idx="497">
                  <v>45862.6666666666</v>
                </pt>
                <pt idx="498">
                  <v>45863.6666666666</v>
                </pt>
                <pt idx="499">
                  <v>45866.6666666666</v>
                </pt>
                <pt idx="500">
                  <v>45867.6666666666</v>
                </pt>
                <pt idx="501">
                  <v>45868.6666666666</v>
                </pt>
                <pt idx="502">
                  <v>45869.6666666666</v>
                </pt>
                <pt idx="503">
                  <v>45870.6666666666</v>
                </pt>
                <pt idx="504">
                  <v>45873.6666666666</v>
                </pt>
                <pt idx="505">
                  <v>45874.6666666666</v>
                </pt>
                <pt idx="506">
                  <v>45875.6666666666</v>
                </pt>
                <pt idx="507">
                  <v>45876.6666666666</v>
                </pt>
                <pt idx="508">
                  <v>45877.6666666666</v>
                </pt>
                <pt idx="509">
                  <v>45880.6666666666</v>
                </pt>
                <pt idx="510">
                  <v>45881.6666666666</v>
                </pt>
                <pt idx="511">
                  <v>45882.6666666666</v>
                </pt>
                <pt idx="512">
                  <v>45883.6666666666</v>
                </pt>
                <pt idx="513">
                  <v>45884.6666666666</v>
                </pt>
                <pt idx="514">
                  <v>45887.6666666666</v>
                </pt>
                <pt idx="515">
                  <v>45888.6666666666</v>
                </pt>
                <pt idx="516">
                  <v>45889.6666666666</v>
                </pt>
                <pt idx="517">
                  <v>45890.6666666666</v>
                </pt>
                <pt idx="518">
                  <v>45891.6666666666</v>
                </pt>
                <pt idx="519">
                  <v>45894.6666666666</v>
                </pt>
                <pt idx="520">
                  <v>45895.6666666666</v>
                </pt>
                <pt idx="521">
                  <v>45896.6666666666</v>
                </pt>
                <pt idx="522">
                  <v>45897.6666666666</v>
                </pt>
                <pt idx="523">
                  <v>45898.6666666666</v>
                </pt>
                <pt idx="524">
                  <v>45902.6666666666</v>
                </pt>
                <pt idx="525">
                  <v>45903.6666666666</v>
                </pt>
                <pt idx="526">
                  <v>45904.6666666666</v>
                </pt>
                <pt idx="527">
                  <v>45905.6666666666</v>
                </pt>
                <pt idx="528">
                  <v>45908.6666666666</v>
                </pt>
                <pt idx="529">
                  <v>45909.6666666666</v>
                </pt>
                <pt idx="530">
                  <v>45910.6666666666</v>
                </pt>
                <pt idx="531">
                  <v>45911.6666666666</v>
                </pt>
                <pt idx="532">
                  <v>45912.6666666666</v>
                </pt>
                <pt idx="533">
                  <v>45915.6666666666</v>
                </pt>
                <pt idx="534">
                  <v>45916.6666666666</v>
                </pt>
                <pt idx="535">
                  <v>45917.6666666666</v>
                </pt>
                <pt idx="536">
                  <v>45918.6666666666</v>
                </pt>
                <pt idx="537">
                  <v>45919.6666666666</v>
                </pt>
                <pt idx="538">
                  <v>45922.6666666666</v>
                </pt>
                <pt idx="539">
                  <v>45923.6666666666</v>
                </pt>
                <pt idx="540">
                  <v>45924.6666666666</v>
                </pt>
                <pt idx="541">
                  <v>45925.6666666666</v>
                </pt>
                <pt idx="542">
                  <v>45926.6666666666</v>
                </pt>
                <pt idx="543">
                  <v>45929.6666666666</v>
                </pt>
                <pt idx="544">
                  <v>45930.6666666666</v>
                </pt>
                <pt idx="545">
                  <v>45931.6666666666</v>
                </pt>
                <pt idx="546">
                  <v>45932.6666666666</v>
                </pt>
                <pt idx="547">
                  <v>45933.6666666666</v>
                </pt>
                <pt idx="548">
                  <v>45936.6666666666</v>
                </pt>
                <pt idx="549">
                  <v>45937.6666666666</v>
                </pt>
                <pt idx="550">
                  <v>45938.6666666666</v>
                </pt>
                <pt idx="551">
                  <v>45939.6666666666</v>
                </pt>
                <pt idx="552">
                  <v>45940.6666666666</v>
                </pt>
                <pt idx="553">
                  <v>45943.6666666666</v>
                </pt>
                <pt idx="554">
                  <v>45944.6666666666</v>
                </pt>
                <pt idx="555">
                  <v>45945.6666666666</v>
                </pt>
                <pt idx="556">
                  <v>45946.6666666666</v>
                </pt>
                <pt idx="557">
                  <v>45947.6666666666</v>
                </pt>
                <pt idx="558">
                  <v>45950.6666666666</v>
                </pt>
                <pt idx="559">
                  <v>45951.6666666666</v>
                </pt>
                <pt idx="560">
                  <v>45952.6666666666</v>
                </pt>
                <pt idx="561">
                  <v>45953.6666666666</v>
                </pt>
                <pt idx="562">
                  <v>45954.6666666666</v>
                </pt>
                <pt idx="563">
                  <v>45957.6666666666</v>
                </pt>
                <pt idx="564">
                  <v>45958.6666666666</v>
                </pt>
                <pt idx="565">
                  <v>45959.6666666666</v>
                </pt>
                <pt idx="566">
                  <v>45960.6666666666</v>
                </pt>
                <pt idx="567">
                  <v>45961.6666666666</v>
                </pt>
                <pt idx="568">
                  <v>45964.6666666666</v>
                </pt>
                <pt idx="569">
                  <v>45965.6666666666</v>
                </pt>
                <pt idx="570">
                  <v>45966.6666666666</v>
                </pt>
                <pt idx="571">
                  <v>45967.6666666666</v>
                </pt>
                <pt idx="572">
                  <v>45968.6666666666</v>
                </pt>
                <pt idx="573">
                  <v>45971.6666666666</v>
                </pt>
                <pt idx="574">
                  <v>45972.6666666666</v>
                </pt>
                <pt idx="575">
                  <v>45973.6666666666</v>
                </pt>
                <pt idx="576">
                  <v>45974.6666666666</v>
                </pt>
                <pt idx="577">
                  <v>45975.6666666666</v>
                </pt>
                <pt idx="578">
                  <v>45978.6666666666</v>
                </pt>
                <pt idx="579">
                  <v>45979.6666666666</v>
                </pt>
                <pt idx="580">
                  <v>45980.6666666666</v>
                </pt>
                <pt idx="581">
                  <v>45981.6666666666</v>
                </pt>
                <pt idx="582">
                  <v>45982.6666666666</v>
                </pt>
                <pt idx="583">
                  <v>45985.6666666666</v>
                </pt>
                <pt idx="584">
                  <v>45986.6666666666</v>
                </pt>
                <pt idx="585">
                  <v>45987.6666666666</v>
                </pt>
                <pt idx="586">
                  <v>45989.5451388888</v>
                </pt>
                <pt idx="587">
                  <v>45992.6666666666</v>
                </pt>
                <pt idx="588">
                  <v>45993.6666666666</v>
                </pt>
                <pt idx="589">
                  <v>45994.6666666666</v>
                </pt>
                <pt idx="590">
                  <v>45995.6666666666</v>
                </pt>
                <pt idx="591">
                  <v>45996.6666666666</v>
                </pt>
                <pt idx="592">
                  <v>45999.6666666666</v>
                </pt>
                <pt idx="593">
                  <v>46000.6666666666</v>
                </pt>
                <pt idx="594">
                  <v>46001.6666666666</v>
                </pt>
                <pt idx="595">
                  <v>46002.6666666666</v>
                </pt>
                <pt idx="596">
                  <v>46003.6666666666</v>
                </pt>
                <pt idx="597">
                  <v>46006.6666666666</v>
                </pt>
                <pt idx="598">
                  <v>46007.6666666666</v>
                </pt>
                <pt idx="599">
                  <v>46008.6666666666</v>
                </pt>
                <pt idx="600">
                  <v>46009.6666666666</v>
                </pt>
                <pt idx="601">
                  <v>46010.6666666666</v>
                </pt>
                <pt idx="602">
                  <v>46013.6666666666</v>
                </pt>
                <pt idx="603">
                  <v>46014.6666666666</v>
                </pt>
                <pt idx="604">
                  <v>46015.5451388888</v>
                </pt>
                <pt idx="605">
                  <v>46017.6666666666</v>
                </pt>
                <pt idx="606">
                  <v>46020.6666666666</v>
                </pt>
                <pt idx="607">
                  <v>46021.6666666666</v>
                </pt>
                <pt idx="608">
                  <v>46022.6666666666</v>
                </pt>
                <pt idx="609">
                  <v>46024.6666666666</v>
                </pt>
                <pt idx="610">
                  <v>46027.6666666666</v>
                </pt>
                <pt idx="611">
                  <v>46028.6666666666</v>
                </pt>
                <pt idx="612">
                  <v>46029.6666666666</v>
                </pt>
                <pt idx="613">
                  <v>46030.6666666666</v>
                </pt>
                <pt idx="614">
                  <v>46031.6666666666</v>
                </pt>
                <pt idx="615">
                  <v>46034.6666666666</v>
                </pt>
                <pt idx="616">
                  <v>46035.6666666666</v>
                </pt>
                <pt idx="617">
                  <v>46036.6666666666</v>
                </pt>
                <pt idx="618">
                  <v>46037.6666666666</v>
                </pt>
                <pt idx="619">
                  <v>46038.6666666666</v>
                </pt>
                <pt idx="620">
                  <v>46042.6666666666</v>
                </pt>
                <pt idx="621">
                  <v>46043.6666666666</v>
                </pt>
                <pt idx="622">
                  <v>46044.6666666666</v>
                </pt>
                <pt idx="623">
                  <v>46045.6666666666</v>
                </pt>
                <pt idx="624">
                  <v>46048.6666666666</v>
                </pt>
                <pt idx="625">
                  <v>46049.6666666666</v>
                </pt>
                <pt idx="626">
                  <v>46050.6666666666</v>
                </pt>
                <pt idx="627">
                  <v>46051.6666666666</v>
                </pt>
                <pt idx="628">
                  <v>46052.6666666666</v>
                </pt>
                <pt idx="629">
                  <v>46055.6666666666</v>
                </pt>
                <pt idx="630">
                  <v>46056.6666666666</v>
                </pt>
                <pt idx="631">
                  <v>46057.6666666666</v>
                </pt>
                <pt idx="632">
                  <v>46058.6666666666</v>
                </pt>
                <pt idx="633">
                  <v>46059.6666666666</v>
                </pt>
                <pt idx="634">
                  <v>46062.6666666666</v>
                </pt>
                <pt idx="635">
                  <v>46063.6666666666</v>
                </pt>
                <pt idx="636">
                  <v>46064.6666666666</v>
                </pt>
                <pt idx="637">
                  <v>46065.6666666666</v>
                </pt>
                <pt idx="638">
                  <v>46066.6666666666</v>
                </pt>
                <pt idx="639">
                  <v>46070.6666666666</v>
                </pt>
                <pt idx="640">
                  <v>46071.6666666666</v>
                </pt>
                <pt idx="641">
                  <v>46072.6666666666</v>
                </pt>
                <pt idx="642">
                  <v>46073.6666666666</v>
                </pt>
                <pt idx="643">
                  <v>46076.6666666666</v>
                </pt>
                <pt idx="644">
                  <v>46077.6666666666</v>
                </pt>
                <pt idx="645">
                  <v>46078.6666666666</v>
                </pt>
                <pt idx="646">
                  <v>46079.6666666666</v>
                </pt>
                <pt idx="647">
                  <v>46080.6666666666</v>
                </pt>
                <pt idx="648">
                  <v>46083.6666666666</v>
                </pt>
                <pt idx="649">
                  <v>46084.6666666666</v>
                </pt>
                <pt idx="650">
                  <v>46085.6666666666</v>
                </pt>
                <pt idx="651">
                  <v>46086.6666666666</v>
                </pt>
                <pt idx="652">
                  <v>46087.6666666666</v>
                </pt>
                <pt idx="653">
                  <v>46090.6666666666</v>
                </pt>
                <pt idx="654">
                  <v>46091.6666666666</v>
                </pt>
                <pt idx="655">
                  <v>46092.6666666666</v>
                </pt>
                <pt idx="656">
                  <v>46093.6666666666</v>
                </pt>
                <pt idx="657">
                  <v>46094.6666666666</v>
                </pt>
                <pt idx="658">
                  <v>46097.6666666666</v>
                </pt>
                <pt idx="659">
                  <v>46098.6666666666</v>
                </pt>
                <pt idx="660">
                  <v>46099.6666666666</v>
                </pt>
                <pt idx="661">
                  <v>46100.6666666666</v>
                </pt>
                <pt idx="662">
                  <v>46101.6666666666</v>
                </pt>
                <pt idx="663">
                  <v>46104.6666666666</v>
                </pt>
                <pt idx="664">
                  <v>46105.6666666666</v>
                </pt>
                <pt idx="665">
                  <v>46106.6666666666</v>
                </pt>
                <pt idx="666">
                  <v>46107.6666666666</v>
                </pt>
                <pt idx="667">
                  <v>46108.6666666666</v>
                </pt>
                <pt idx="668">
                  <v>46111.6666666666</v>
                </pt>
                <pt idx="669">
                  <v>46112.6666666666</v>
                </pt>
                <pt idx="670">
                  <v>46113.6666666666</v>
                </pt>
                <pt idx="671">
                  <v>46114.6666666666</v>
                </pt>
                <pt idx="672">
                  <v>46118.6666666666</v>
                </pt>
                <pt idx="673">
                  <v>46119.6666666666</v>
                </pt>
                <pt idx="674">
                  <v>46120.6666666666</v>
                </pt>
                <pt idx="675">
                  <v>46121.6666666666</v>
                </pt>
                <pt idx="676">
                  <v>46122.6666666666</v>
                </pt>
                <pt idx="677">
                  <v>46125.6666666666</v>
                </pt>
                <pt idx="678">
                  <v>46126.6666666666</v>
                </pt>
                <pt idx="679">
                  <v>46127.6666666666</v>
                </pt>
                <pt idx="680">
                  <v>46128.6666666666</v>
                </pt>
                <pt idx="681">
                  <v>46129.6666666666</v>
                </pt>
                <pt idx="682">
                  <v>46132.6666666666</v>
                </pt>
                <pt idx="683">
                  <v>46133.6666666666</v>
                </pt>
                <pt idx="684">
                  <v>46134.6666666666</v>
                </pt>
                <pt idx="685">
                  <v>46135.6666666666</v>
                </pt>
                <pt idx="686">
                  <v>46136.6666666666</v>
                </pt>
                <pt idx="687">
                  <v>46139.6666666666</v>
                </pt>
                <pt idx="688">
                  <v>46140.6666666666</v>
                </pt>
                <pt idx="689">
                  <v>46141.6666666666</v>
                </pt>
                <pt idx="690">
                  <v>46142.6666666666</v>
                </pt>
                <pt idx="691">
                  <v>46143.6666666666</v>
                </pt>
                <pt idx="692">
                  <v>46146.6666666666</v>
                </pt>
                <pt idx="693">
                  <v>46147.6666666666</v>
                </pt>
                <pt idx="694">
                  <v>46148.6666666666</v>
                </pt>
                <pt idx="695">
                  <v>46149.6666666666</v>
                </pt>
                <pt idx="696">
                  <v>46150.6666666666</v>
                </pt>
                <pt idx="697">
                  <v>46153.6666666666</v>
                </pt>
                <pt idx="698">
                  <v>46154.6666666666</v>
                </pt>
                <pt idx="699">
                  <v>46155.6666666666</v>
                </pt>
                <pt idx="700">
                  <v>46156.6666666666</v>
                </pt>
                <pt idx="701">
                  <v>46157.6666666666</v>
                </pt>
                <pt idx="702">
                  <v>46160.6666666666</v>
                </pt>
                <pt idx="703">
                  <v>46161.6666666666</v>
                </pt>
                <pt idx="704">
                  <v>46162.6666666666</v>
                </pt>
                <pt idx="705">
                  <v>46163.6666666666</v>
                </pt>
                <pt idx="706">
                  <v>46164.6666666666</v>
                </pt>
                <pt idx="707">
                  <v>46168.6666666666</v>
                </pt>
                <pt idx="708">
                  <v>46169.6666666666</v>
                </pt>
                <pt idx="709">
                  <v>46170.6666666666</v>
                </pt>
                <pt idx="710">
                  <v>46171.6666666666</v>
                </pt>
                <pt idx="711">
                  <v>46174.6666666666</v>
                </pt>
                <pt idx="712">
                  <v>46175.6666666666</v>
                </pt>
                <pt idx="713">
                  <v>46176.6666666666</v>
                </pt>
                <pt idx="714">
                  <v>46177.6666666666</v>
                </pt>
                <pt idx="715">
                  <v>46178.6666666666</v>
                </pt>
                <pt idx="716">
                  <v>46181.6666666666</v>
                </pt>
                <pt idx="717">
                  <v>46182.6666666666</v>
                </pt>
                <pt idx="718">
                  <v>46183.6666666666</v>
                </pt>
                <pt idx="719">
                  <v>46184.6666666666</v>
                </pt>
                <pt idx="720">
                  <v>46185.6666666666</v>
                </pt>
                <pt idx="721">
                  <v>46188.6666666666</v>
                </pt>
                <pt idx="722">
                  <v>46189.6666666666</v>
                </pt>
                <pt idx="723">
                  <v>46190.6666666666</v>
                </pt>
                <pt idx="724">
                  <v>46191.6666666666</v>
                </pt>
                <pt idx="725">
                  <v>46195.6666666666</v>
                </pt>
                <pt idx="726">
                  <v>46196.6666666666</v>
                </pt>
                <pt idx="727">
                  <v>46197.6666666666</v>
                </pt>
                <pt idx="728">
                  <v>46198.6666666666</v>
                </pt>
                <pt idx="729">
                  <v>46199.6666666666</v>
                </pt>
                <pt idx="730">
                  <v>46202.6666666666</v>
                </pt>
                <pt idx="731">
                  <v>46203.6666666666</v>
                </pt>
                <pt idx="732">
                  <v>46204.6666666666</v>
                </pt>
                <pt idx="733">
                  <v>46205.6666666666</v>
                </pt>
                <pt idx="734">
                  <v>46209.6666666666</v>
                </pt>
                <pt idx="735">
                  <v>46210.6666666666</v>
                </pt>
                <pt idx="736">
                  <v>46211.6666666666</v>
                </pt>
                <pt idx="737">
                  <v>46212.6666666666</v>
                </pt>
                <pt idx="738">
                  <v>46213.6666666666</v>
                </pt>
                <pt idx="739">
                  <v>46216.6666666666</v>
                </pt>
                <pt idx="740">
                  <v>46217.6666666666</v>
                </pt>
                <pt idx="741">
                  <v>46218.6666666666</v>
                </pt>
                <pt idx="742">
                  <v>46219.6666666666</v>
                </pt>
                <pt idx="743">
                  <v>46220.6666666666</v>
                </pt>
                <pt idx="744">
                  <v>46223.6666666666</v>
                </pt>
                <pt idx="745">
                  <v>46224.6666666666</v>
                </pt>
                <pt idx="746">
                  <v>46225.6666666666</v>
                </pt>
                <pt idx="747">
                  <v>46226.6666666666</v>
                </pt>
                <pt idx="748">
                  <v>46227.6666666666</v>
                </pt>
                <pt idx="749">
                  <v>46230.6666666666</v>
                </pt>
                <pt idx="750">
                  <v>46231.6666666666</v>
                </pt>
                <pt idx="751">
                  <v>46232.6666666666</v>
                </pt>
              </numCache>
            </numRef>
          </cat>
          <val>
            <numRef>
              <f>QQQ!$F$28:$F$1000</f>
              <numCache>
                <formatCode>#,##0.00</formatCode>
                <ptCount val="973"/>
                <pt idx="0">
                  <v>196.45</v>
                </pt>
                <pt idx="1">
                  <v>195.61</v>
                </pt>
                <pt idx="2">
                  <v>192.58</v>
                </pt>
                <pt idx="3">
                  <v>191.17</v>
                </pt>
                <pt idx="4">
                  <v>181.99</v>
                </pt>
                <pt idx="5">
                  <v>178.85</v>
                </pt>
                <pt idx="6">
                  <v>179.8</v>
                </pt>
                <pt idx="7">
                  <v>178.19</v>
                </pt>
                <pt idx="8">
                  <v>177.97</v>
                </pt>
                <pt idx="9">
                  <v>177.79</v>
                </pt>
                <pt idx="10">
                  <v>179.46</v>
                </pt>
                <pt idx="11">
                  <v>177.45</v>
                </pt>
                <pt idx="12">
                  <v>176.57</v>
                </pt>
                <pt idx="13">
                  <v>174</v>
                </pt>
                <pt idx="14">
                  <v>174.49</v>
                </pt>
                <pt idx="15">
                  <v>175.84</v>
                </pt>
                <pt idx="16">
                  <v>177.23</v>
                </pt>
                <pt idx="17">
                  <v>181.12</v>
                </pt>
                <pt idx="18">
                  <v>176.38</v>
                </pt>
                <pt idx="19">
                  <v>178.61</v>
                </pt>
                <pt idx="20">
                  <v>180.19</v>
                </pt>
                <pt idx="21">
                  <v>184.12</v>
                </pt>
                <pt idx="22">
                  <v>187.65</v>
                </pt>
                <pt idx="23">
                  <v>187.87</v>
                </pt>
                <pt idx="24">
                  <v>189.46</v>
                </pt>
                <pt idx="25">
                  <v>189.7</v>
                </pt>
                <pt idx="26">
                  <v>182.91</v>
                </pt>
                <pt idx="27">
                  <v>177.56</v>
                </pt>
                <pt idx="28">
                  <v>178.18</v>
                </pt>
                <pt idx="29">
                  <v>179.36</v>
                </pt>
                <pt idx="30">
                  <v>176.3</v>
                </pt>
                <pt idx="31">
                  <v>174.21</v>
                </pt>
                <pt idx="32">
                  <v>175.74</v>
                </pt>
                <pt idx="33">
                  <v>175.01</v>
                </pt>
                <pt idx="34">
                  <v>177.97</v>
                </pt>
                <pt idx="35">
                  <v>179.07</v>
                </pt>
                <pt idx="36">
                  <v>175.49</v>
                </pt>
                <pt idx="37">
                  <v>173.93</v>
                </pt>
                <pt idx="38">
                  <v>174.79</v>
                </pt>
                <pt idx="39">
                  <v>176.08</v>
                </pt>
                <pt idx="40">
                  <v>171.96</v>
                </pt>
                <pt idx="41">
                  <v>170.43</v>
                </pt>
                <pt idx="42">
                  <v>170.69</v>
                </pt>
                <pt idx="43">
                  <v>171.21</v>
                </pt>
                <pt idx="44">
                  <v>173.75</v>
                </pt>
                <pt idx="45">
                  <v>172.4</v>
                </pt>
                <pt idx="46">
                  <v>173.66</v>
                </pt>
                <pt idx="47">
                  <v>174.91</v>
                </pt>
                <pt idx="48">
                  <v>177.49</v>
                </pt>
                <pt idx="49">
                  <v>178.99</v>
                </pt>
                <pt idx="50">
                  <v>178.39</v>
                </pt>
                <pt idx="51">
                  <v>179.8</v>
                </pt>
                <pt idx="52">
                  <v>180.71</v>
                </pt>
                <pt idx="53">
                  <v>178.85</v>
                </pt>
                <pt idx="54">
                  <v>178.72</v>
                </pt>
                <pt idx="55">
                  <v>177.15</v>
                </pt>
                <pt idx="56">
                  <v>175.84</v>
                </pt>
                <pt idx="57">
                  <v>175.46</v>
                </pt>
                <pt idx="58">
                  <v>172.88</v>
                </pt>
                <pt idx="59">
                  <v>173</v>
                </pt>
                <pt idx="60">
                  <v>173.44</v>
                </pt>
                <pt idx="61">
                  <v>171.1</v>
                </pt>
                <pt idx="62">
                  <v>166.89</v>
                </pt>
                <pt idx="63">
                  <v>168.22</v>
                </pt>
                <pt idx="64">
                  <v>170.29</v>
                </pt>
                <pt idx="65">
                  <v>170.77</v>
                </pt>
                <pt idx="66">
                  <v>173.97</v>
                </pt>
                <pt idx="67">
                  <v>177.57</v>
                </pt>
                <pt idx="68">
                  <v>176.65</v>
                </pt>
                <pt idx="69">
                  <v>179.23</v>
                </pt>
                <pt idx="70">
                  <v>181.82</v>
                </pt>
                <pt idx="71">
                  <v>182.89</v>
                </pt>
                <pt idx="72">
                  <v>182.41</v>
                </pt>
                <pt idx="73">
                  <v>186.4</v>
                </pt>
                <pt idx="74">
                  <v>184.8</v>
                </pt>
                <pt idx="75">
                  <v>187.44</v>
                </pt>
                <pt idx="76">
                  <v>188.01</v>
                </pt>
                <pt idx="77">
                  <v>189.71</v>
                </pt>
                <pt idx="78">
                  <v>189.69</v>
                </pt>
                <pt idx="79">
                  <v>191.45</v>
                </pt>
                <pt idx="80">
                  <v>190.64</v>
                </pt>
                <pt idx="81">
                  <v>191.31</v>
                </pt>
                <pt idx="82">
                  <v>189.97</v>
                </pt>
                <pt idx="83">
                  <v>189.79</v>
                </pt>
                <pt idx="84">
                  <v>190.4</v>
                </pt>
                <pt idx="85">
                  <v>189.37</v>
                </pt>
                <pt idx="86">
                  <v>189.95</v>
                </pt>
                <pt idx="87">
                  <v>191.24</v>
                </pt>
                <pt idx="88">
                  <v>189.43</v>
                </pt>
                <pt idx="89">
                  <v>193.42</v>
                </pt>
                <pt idx="90">
                  <v>192.32</v>
                </pt>
                <pt idx="91">
                  <v>194.27</v>
                </pt>
                <pt idx="92">
                  <v>195.71</v>
                </pt>
                <pt idx="93">
                  <v>193.18</v>
                </pt>
                <pt idx="94">
                  <v>194.71</v>
                </pt>
                <pt idx="95">
                  <v>197.96</v>
                </pt>
                <pt idx="96">
                  <v>198.11</v>
                </pt>
                <pt idx="97">
                  <v>197.57</v>
                </pt>
                <pt idx="98">
                  <v>195.89</v>
                </pt>
                <pt idx="99">
                  <v>196.94</v>
                </pt>
                <pt idx="100">
                  <v>194.83</v>
                </pt>
                <pt idx="101">
                  <v>194.68</v>
                </pt>
                <pt idx="102">
                  <v>193.6</v>
                </pt>
                <pt idx="103">
                  <v>193.05</v>
                </pt>
                <pt idx="104">
                  <v>193.15</v>
                </pt>
                <pt idx="105">
                  <v>193.58</v>
                </pt>
                <pt idx="106">
                  <v>192.53</v>
                </pt>
                <pt idx="107">
                  <v>185.64</v>
                </pt>
                <pt idx="108">
                  <v>184.25</v>
                </pt>
                <pt idx="109">
                  <v>181.91</v>
                </pt>
                <pt idx="110">
                  <v>181.18</v>
                </pt>
                <pt idx="111">
                  <v>185.56</v>
                </pt>
                <pt idx="112">
                  <v>185.14</v>
                </pt>
                <pt idx="113">
                  <v>186.19</v>
                </pt>
                <pt idx="114">
                  <v>185.59</v>
                </pt>
                <pt idx="115">
                  <v>185.92</v>
                </pt>
                <pt idx="116">
                  <v>183.63</v>
                </pt>
                <pt idx="117">
                  <v>182.68</v>
                </pt>
                <pt idx="118">
                  <v>188.63</v>
                </pt>
                <pt idx="119">
                  <v>191.56</v>
                </pt>
                <pt idx="120">
                  <v>193.89</v>
                </pt>
                <pt idx="121">
                  <v>195.18</v>
                </pt>
                <pt idx="122">
                  <v>194.5</v>
                </pt>
                <pt idx="123">
                  <v>194.17</v>
                </pt>
                <pt idx="124">
                  <v>192.42</v>
                </pt>
                <pt idx="125">
                  <v>191.73</v>
                </pt>
                <pt idx="126">
                  <v>188.04</v>
                </pt>
                <pt idx="127">
                  <v>184.4</v>
                </pt>
                <pt idx="128">
                  <v>186.86</v>
                </pt>
                <pt idx="129">
                  <v>185.85</v>
                </pt>
                <pt idx="130">
                  <v>187.68</v>
                </pt>
                <pt idx="131">
                  <v>189.3</v>
                </pt>
                <pt idx="132">
                  <v>189.41</v>
                </pt>
                <pt idx="133">
                  <v>188.32</v>
                </pt>
                <pt idx="134">
                  <v>188.85</v>
                </pt>
                <pt idx="135">
                  <v>187.15</v>
                </pt>
                <pt idx="136">
                  <v>185.04</v>
                </pt>
                <pt idx="137">
                  <v>184.15</v>
                </pt>
                <pt idx="138">
                  <v>183.86</v>
                </pt>
                <pt idx="139">
                  <v>182.31</v>
                </pt>
                <pt idx="140">
                  <v>181.56</v>
                </pt>
                <pt idx="141">
                  <v>182.32</v>
                </pt>
                <pt idx="142">
                  <v>184.37</v>
                </pt>
                <pt idx="143">
                  <v>182.52</v>
                </pt>
                <pt idx="144">
                  <v>181.16</v>
                </pt>
                <pt idx="145">
                  <v>182.63</v>
                </pt>
                <pt idx="146">
                  <v>181.42</v>
                </pt>
                <pt idx="147">
                  <v>180.75</v>
                </pt>
                <pt idx="148">
                  <v>179.66</v>
                </pt>
                <pt idx="149">
                  <v>175.1</v>
                </pt>
                <pt idx="150">
                  <v>170.12</v>
                </pt>
                <pt idx="151">
                  <v>169.12</v>
                </pt>
                <pt idx="152">
                  <v>169</v>
                </pt>
                <pt idx="153">
                  <v>170.73</v>
                </pt>
                <pt idx="154">
                  <v>172.75</v>
                </pt>
                <pt idx="155">
                  <v>173.23</v>
                </pt>
                <pt idx="156">
                  <v>171.13</v>
                </pt>
                <pt idx="157">
                  <v>173</v>
                </pt>
                <pt idx="158">
                  <v>172.62</v>
                </pt>
                <pt idx="159">
                  <v>173.72</v>
                </pt>
                <pt idx="160">
                  <v>176.08</v>
                </pt>
                <pt idx="161">
                  <v>178.67</v>
                </pt>
                <pt idx="162">
                  <v>171.37</v>
                </pt>
                <pt idx="163">
                  <v>172.28</v>
                </pt>
                <pt idx="164">
                  <v>170.85</v>
                </pt>
                <pt idx="165">
                  <v>169.71</v>
                </pt>
                <pt idx="166">
                  <v>173.31</v>
                </pt>
                <pt idx="167">
                  <v>171.48</v>
                </pt>
                <pt idx="168">
                  <v>170.03</v>
                </pt>
                <pt idx="169">
                  <v>168.84</v>
                </pt>
                <pt idx="170">
                  <v>169.65</v>
                </pt>
                <pt idx="171">
                  <v>168.82</v>
                </pt>
                <pt idx="172">
                  <v>169.58</v>
                </pt>
                <pt idx="173">
                  <v>168.45</v>
                </pt>
                <pt idx="174">
                  <v>169.67</v>
                </pt>
                <pt idx="175">
                  <v>167.78</v>
                </pt>
                <pt idx="176">
                  <v>175.04</v>
                </pt>
                <pt idx="177">
                  <v>176.55</v>
                </pt>
                <pt idx="178">
                  <v>172.69</v>
                </pt>
                <pt idx="179">
                  <v>169.38</v>
                </pt>
                <pt idx="180">
                  <v>168</v>
                </pt>
                <pt idx="181">
                  <v>167.04</v>
                </pt>
                <pt idx="182">
                  <v>165</v>
                </pt>
                <pt idx="183">
                  <v>165.84</v>
                </pt>
                <pt idx="184">
                  <v>166.9</v>
                </pt>
                <pt idx="185">
                  <v>169.02</v>
                </pt>
                <pt idx="186">
                  <v>169.89</v>
                </pt>
                <pt idx="187">
                  <v>169.3</v>
                </pt>
                <pt idx="188">
                  <v>173.5</v>
                </pt>
                <pt idx="189">
                  <v>170.33</v>
                </pt>
                <pt idx="190">
                  <v>169.3</v>
                </pt>
                <pt idx="191">
                  <v>173.03</v>
                </pt>
                <pt idx="192">
                  <v>183.38</v>
                </pt>
                <pt idx="193">
                  <v>181.71</v>
                </pt>
                <pt idx="194">
                  <v>182.4</v>
                </pt>
                <pt idx="195">
                  <v>182.74</v>
                </pt>
                <pt idx="196">
                  <v>184.57</v>
                </pt>
                <pt idx="197">
                  <v>183.05</v>
                </pt>
                <pt idx="198">
                  <v>186.28</v>
                </pt>
                <pt idx="199">
                  <v>187.43</v>
                </pt>
                <pt idx="200">
                  <v>189.72</v>
                </pt>
                <pt idx="201">
                  <v>189.84</v>
                </pt>
                <pt idx="202">
                  <v>189.87</v>
                </pt>
                <pt idx="203">
                  <v>191.04</v>
                </pt>
                <pt idx="204">
                  <v>192.35</v>
                </pt>
                <pt idx="205">
                  <v>190.9</v>
                </pt>
                <pt idx="206">
                  <v>186.88</v>
                </pt>
                <pt idx="207">
                  <v>189.98</v>
                </pt>
                <pt idx="208">
                  <v>189.99</v>
                </pt>
                <pt idx="209">
                  <v>190.29</v>
                </pt>
                <pt idx="210">
                  <v>191.29</v>
                </pt>
                <pt idx="211">
                  <v>192.25</v>
                </pt>
                <pt idx="212">
                  <v>194.03</v>
                </pt>
                <pt idx="213">
                  <v>194.35</v>
                </pt>
                <pt idx="214">
                  <v>195.87</v>
                </pt>
                <pt idx="215">
                  <v>194.48</v>
                </pt>
                <pt idx="216">
                  <v>196.89</v>
                </pt>
                <pt idx="217">
                  <v>193.12</v>
                </pt>
                <pt idx="218">
                  <v>207.15</v>
                </pt>
                <pt idx="219">
                  <v>213.07</v>
                </pt>
                <pt idx="220">
                  <v>214.24</v>
                </pt>
                <pt idx="221">
                  <v>212.49</v>
                </pt>
                <pt idx="222">
                  <v>216.67</v>
                </pt>
                <pt idx="223">
                  <v>214.29</v>
                </pt>
                <pt idx="224">
                  <v>209.68</v>
                </pt>
                <pt idx="225">
                  <v>207.49</v>
                </pt>
                <pt idx="226">
                  <v>208.14</v>
                </pt>
                <pt idx="227">
                  <v>209.07</v>
                </pt>
                <pt idx="228">
                  <v>213.25</v>
                </pt>
                <pt idx="229">
                  <v>214.1</v>
                </pt>
                <pt idx="230">
                  <v>210.62</v>
                </pt>
                <pt idx="231">
                  <v>216.75</v>
                </pt>
                <pt idx="232">
                  <v>220.27</v>
                </pt>
                <pt idx="233">
                  <v>221.55</v>
                </pt>
                <pt idx="234">
                  <v>226.34</v>
                </pt>
                <pt idx="235">
                  <v>227.82</v>
                </pt>
                <pt idx="236">
                  <v>228.68</v>
                </pt>
                <pt idx="237">
                  <v>232.98</v>
                </pt>
                <pt idx="238">
                  <v>227.57</v>
                </pt>
                <pt idx="239">
                  <v>230.54</v>
                </pt>
                <pt idx="240">
                  <v>234.4</v>
                </pt>
                <pt idx="241">
                  <v>234.82</v>
                </pt>
                <pt idx="242">
                  <v>228.88</v>
                </pt>
                <pt idx="243">
                  <v>224.18</v>
                </pt>
                <pt idx="244">
                  <v>224.31</v>
                </pt>
                <pt idx="245">
                  <v>223.96</v>
                </pt>
                <pt idx="246">
                  <v>225.01</v>
                </pt>
                <pt idx="247">
                  <v>218.54</v>
                </pt>
                <pt idx="248">
                  <v>217.49</v>
                </pt>
                <pt idx="249">
                  <v>217.96</v>
                </pt>
                <pt idx="250">
                  <v>218.24</v>
                </pt>
                <pt idx="251">
                  <v>218.8</v>
                </pt>
                <pt idx="252">
                  <v>222.08</v>
                </pt>
                <pt idx="253">
                  <v>218.36</v>
                </pt>
                <pt idx="254">
                  <v>219.86</v>
                </pt>
                <pt idx="255">
                  <v>209.27</v>
                </pt>
                <pt idx="256">
                  <v>207.23</v>
                </pt>
                <pt idx="257">
                  <v>209.82</v>
                </pt>
                <pt idx="258">
                  <v>213.31</v>
                </pt>
                <pt idx="259">
                  <v>216.24</v>
                </pt>
                <pt idx="260">
                  <v>217.53</v>
                </pt>
                <pt idx="261">
                  <v>221.27</v>
                </pt>
                <pt idx="262">
                  <v>221.72</v>
                </pt>
                <pt idx="263">
                  <v>224.72</v>
                </pt>
                <pt idx="264">
                  <v>226.05</v>
                </pt>
                <pt idx="265">
                  <v>225.89</v>
                </pt>
                <pt idx="266">
                  <v>226.51</v>
                </pt>
                <pt idx="267">
                  <v>226.4</v>
                </pt>
                <pt idx="268">
                  <v>224.53</v>
                </pt>
                <pt idx="269">
                  <v>226.84</v>
                </pt>
                <pt idx="270">
                  <v>227.18</v>
                </pt>
                <pt idx="271">
                  <v>228.03</v>
                </pt>
                <pt idx="272">
                  <v>226.49</v>
                </pt>
                <pt idx="273">
                  <v>229.79</v>
                </pt>
                <pt idx="274">
                  <v>229</v>
                </pt>
                <pt idx="275">
                  <v>222.77</v>
                </pt>
                <pt idx="276">
                  <v>220.85</v>
                </pt>
                <pt idx="277">
                  <v>222.38</v>
                </pt>
                <pt idx="278">
                  <v>220.82</v>
                </pt>
                <pt idx="279">
                  <v>220.91</v>
                </pt>
                <pt idx="280">
                  <v>220.11</v>
                </pt>
                <pt idx="281">
                  <v>222.66</v>
                </pt>
                <pt idx="282">
                  <v>222.77</v>
                </pt>
                <pt idx="283">
                  <v>222.5</v>
                </pt>
                <pt idx="284">
                  <v>216.32</v>
                </pt>
                <pt idx="285">
                  <v>216.79</v>
                </pt>
                <pt idx="286">
                  <v>220.69</v>
                </pt>
                <pt idx="287">
                  <v>228.87</v>
                </pt>
                <pt idx="288">
                  <v>228.2</v>
                </pt>
                <pt idx="289">
                  <v>226.47</v>
                </pt>
                <pt idx="290">
                  <v>227.37</v>
                </pt>
                <pt idx="291">
                  <v>226.37</v>
                </pt>
                <pt idx="292">
                  <v>227.52</v>
                </pt>
                <pt idx="293">
                  <v>227.79</v>
                </pt>
                <pt idx="294">
                  <v>233</v>
                </pt>
                <pt idx="295">
                  <v>226.21</v>
                </pt>
                <pt idx="296">
                  <v>226.78</v>
                </pt>
                <pt idx="297">
                  <v>225.67</v>
                </pt>
                <pt idx="298">
                  <v>226.8</v>
                </pt>
                <pt idx="299">
                  <v>221.69</v>
                </pt>
                <pt idx="300">
                  <v>225.77</v>
                </pt>
                <pt idx="301">
                  <v>229.54</v>
                </pt>
                <pt idx="302">
                  <v>229.04</v>
                </pt>
                <pt idx="303">
                  <v>227.55</v>
                </pt>
                <pt idx="304">
                  <v>231.3</v>
                </pt>
                <pt idx="305">
                  <v>233.85</v>
                </pt>
                <pt idx="306">
                  <v>231.78</v>
                </pt>
                <pt idx="307">
                  <v>232.15</v>
                </pt>
                <pt idx="308">
                  <v>235</v>
                </pt>
                <pt idx="309">
                  <v>236.48</v>
                </pt>
                <pt idx="310">
                  <v>235.86</v>
                </pt>
                <pt idx="311">
                  <v>230.76</v>
                </pt>
                <pt idx="312">
                  <v>230.57</v>
                </pt>
                <pt idx="313">
                  <v>231.41</v>
                </pt>
                <pt idx="314">
                  <v>233.4</v>
                </pt>
                <pt idx="315">
                  <v>233.67</v>
                </pt>
                <pt idx="316">
                  <v>230.1</v>
                </pt>
                <pt idx="317">
                  <v>225.91</v>
                </pt>
                <pt idx="318">
                  <v>222.91</v>
                </pt>
                <pt idx="319">
                  <v>222.01</v>
                </pt>
                <pt idx="320">
                  <v>223.45</v>
                </pt>
                <pt idx="321">
                  <v>222.72</v>
                </pt>
                <pt idx="322">
                  <v>227.48</v>
                </pt>
                <pt idx="323">
                  <v>226.96</v>
                </pt>
                <pt idx="324">
                  <v>224.23</v>
                </pt>
                <pt idx="325">
                  <v>224.23</v>
                </pt>
                <pt idx="326">
                  <v>225.12</v>
                </pt>
                <pt idx="327">
                  <v>228.22</v>
                </pt>
                <pt idx="328">
                  <v>225</v>
                </pt>
                <pt idx="329">
                  <v>228.02</v>
                </pt>
                <pt idx="330">
                  <v>228.28</v>
                </pt>
                <pt idx="331">
                  <v>229</v>
                </pt>
                <pt idx="332">
                  <v>228.52</v>
                </pt>
                <pt idx="333">
                  <v>229.87</v>
                </pt>
                <pt idx="334">
                  <v>232.87</v>
                </pt>
                <pt idx="335">
                  <v>235.06</v>
                </pt>
                <pt idx="336">
                  <v>234.93</v>
                </pt>
                <pt idx="337">
                  <v>237.33</v>
                </pt>
                <pt idx="338">
                  <v>239.59</v>
                </pt>
                <pt idx="339">
                  <v>242.65</v>
                </pt>
                <pt idx="340">
                  <v>243.01</v>
                </pt>
                <pt idx="341">
                  <v>243.04</v>
                </pt>
                <pt idx="342">
                  <v>242.84</v>
                </pt>
                <pt idx="343">
                  <v>246.75</v>
                </pt>
                <pt idx="344">
                  <v>247.77</v>
                </pt>
                <pt idx="345">
                  <v>246.49</v>
                </pt>
                <pt idx="346">
                  <v>247.96</v>
                </pt>
                <pt idx="347">
                  <v>248.13</v>
                </pt>
                <pt idx="348">
                  <v>251.04</v>
                </pt>
                <pt idx="349">
                  <v>253.48</v>
                </pt>
                <pt idx="350">
                  <v>248.05</v>
                </pt>
                <pt idx="351">
                  <v>249.79</v>
                </pt>
                <pt idx="352">
                  <v>254.49</v>
                </pt>
                <pt idx="353">
                  <v>255.27</v>
                </pt>
                <pt idx="354">
                  <v>258.2</v>
                </pt>
                <pt idx="355">
                  <v>259.02</v>
                </pt>
                <pt idx="356">
                  <v>255.59</v>
                </pt>
                <pt idx="357">
                  <v>252.2</v>
                </pt>
                <pt idx="358">
                  <v>250.42</v>
                </pt>
                <pt idx="359">
                  <v>243.85</v>
                </pt>
                <pt idx="360">
                  <v>243.36</v>
                </pt>
                <pt idx="361">
                  <v>245</v>
                </pt>
                <pt idx="362">
                  <v>242.21</v>
                </pt>
                <pt idx="363">
                  <v>242.7</v>
                </pt>
                <pt idx="364">
                  <v>236.85</v>
                </pt>
                <pt idx="365">
                  <v>234.4</v>
                </pt>
                <pt idx="366">
                  <v>233.28</v>
                </pt>
                <pt idx="367">
                  <v>237.87</v>
                </pt>
                <pt idx="368">
                  <v>228.26</v>
                </pt>
                <pt idx="369">
                  <v>229.98</v>
                </pt>
                <pt idx="370">
                  <v>222.64</v>
                </pt>
                <pt idx="371">
                  <v>223.83</v>
                </pt>
                <pt idx="372">
                  <v>223.66</v>
                </pt>
                <pt idx="373">
                  <v>222.78</v>
                </pt>
                <pt idx="374">
                  <v>229.86</v>
                </pt>
                <pt idx="375">
                  <v>238.26</v>
                </pt>
                <pt idx="376">
                  <v>239.36</v>
                </pt>
                <pt idx="377">
                  <v>237.59</v>
                </pt>
                <pt idx="378">
                  <v>236</v>
                </pt>
                <pt idx="379">
                  <v>228.01</v>
                </pt>
                <pt idx="380">
                  <v>232.8</v>
                </pt>
                <pt idx="381">
                  <v>232.47</v>
                </pt>
                <pt idx="382">
                  <v>233.22</v>
                </pt>
                <pt idx="383">
                  <v>227.63</v>
                </pt>
                <pt idx="384">
                  <v>227.65</v>
                </pt>
                <pt idx="385">
                  <v>232.62</v>
                </pt>
                <pt idx="386">
                  <v>236.87</v>
                </pt>
                <pt idx="387">
                  <v>241.53</v>
                </pt>
                <pt idx="388">
                  <v>244.6</v>
                </pt>
                <pt idx="389">
                  <v>244.47</v>
                </pt>
                <pt idx="390">
                  <v>244.87</v>
                </pt>
                <pt idx="391">
                  <v>245.83</v>
                </pt>
                <pt idx="392">
                  <v>245.55</v>
                </pt>
                <pt idx="393">
                  <v>247.1</v>
                </pt>
                <pt idx="394">
                  <v>247.04</v>
                </pt>
                <pt idx="395">
                  <v>240.36</v>
                </pt>
                <pt idx="396">
                  <v>237.3</v>
                </pt>
                <pt idx="397">
                  <v>241.84</v>
                </pt>
                <pt idx="398">
                  <v>238.03</v>
                </pt>
                <pt idx="399">
                  <v>235.93</v>
                </pt>
                <pt idx="400">
                  <v>235.74</v>
                </pt>
                <pt idx="401">
                  <v>235.33</v>
                </pt>
                <pt idx="402">
                  <v>239.07</v>
                </pt>
                <pt idx="403">
                  <v>227.48</v>
                </pt>
                <pt idx="404">
                  <v>220.84</v>
                </pt>
                <pt idx="405">
                  <v>216.98</v>
                </pt>
                <pt idx="406">
                  <v>209.68</v>
                </pt>
                <pt idx="407">
                  <v>213.49</v>
                </pt>
                <pt idx="408">
                  <v>214</v>
                </pt>
                <pt idx="409">
                  <v>212.69</v>
                </pt>
                <pt idx="410">
                  <v>215.24</v>
                </pt>
                <pt idx="411">
                  <v>214.1</v>
                </pt>
                <pt idx="412">
                  <v>218.27</v>
                </pt>
                <pt idx="413">
                  <v>220.73</v>
                </pt>
                <pt idx="414">
                  <v>223.75</v>
                </pt>
                <pt idx="415">
                  <v>221.53</v>
                </pt>
                <pt idx="416">
                  <v>223.85</v>
                </pt>
                <pt idx="417">
                  <v>217.9</v>
                </pt>
                <pt idx="418">
                  <v>222.13</v>
                </pt>
                <pt idx="419">
                  <v>223.19</v>
                </pt>
                <pt idx="420">
                  <v>223.89</v>
                </pt>
                <pt idx="421">
                  <v>203.19</v>
                </pt>
                <pt idx="422">
                  <v>188.38</v>
                </pt>
                <pt idx="423">
                  <v>181.46</v>
                </pt>
                <pt idx="424">
                  <v>172.42</v>
                </pt>
                <pt idx="425">
                  <v>198.85</v>
                </pt>
                <pt idx="426">
                  <v>190.42</v>
                </pt>
                <pt idx="427">
                  <v>198.15</v>
                </pt>
                <pt idx="428">
                  <v>202.52</v>
                </pt>
                <pt idx="429">
                  <v>202.14</v>
                </pt>
                <pt idx="430">
                  <v>194.27</v>
                </pt>
                <pt idx="431">
                  <v>196.98</v>
                </pt>
                <pt idx="432">
                  <v>193.16</v>
                </pt>
                <pt idx="433">
                  <v>199.74</v>
                </pt>
                <pt idx="434">
                  <v>204.6</v>
                </pt>
                <pt idx="435">
                  <v>208.37</v>
                </pt>
                <pt idx="436">
                  <v>209.28</v>
                </pt>
                <pt idx="437">
                  <v>210.14</v>
                </pt>
                <pt idx="438">
                  <v>211.21</v>
                </pt>
                <pt idx="439">
                  <v>212.5</v>
                </pt>
                <pt idx="440">
                  <v>213.32</v>
                </pt>
                <pt idx="441">
                  <v>205.35</v>
                </pt>
                <pt idx="442">
                  <v>198.89</v>
                </pt>
                <pt idx="443">
                  <v>198.51</v>
                </pt>
                <pt idx="444">
                  <v>196.25</v>
                </pt>
                <pt idx="445">
                  <v>197.49</v>
                </pt>
                <pt idx="446">
                  <v>198.53</v>
                </pt>
                <pt idx="447">
                  <v>210.79</v>
                </pt>
                <pt idx="448">
                  <v>212.93</v>
                </pt>
                <pt idx="449">
                  <v>212.33</v>
                </pt>
                <pt idx="450">
                  <v>211.45</v>
                </pt>
                <pt idx="451">
                  <v>211.26</v>
                </pt>
                <pt idx="452">
                  <v>208.78</v>
                </pt>
                <pt idx="453">
                  <v>206.86</v>
                </pt>
                <pt idx="454">
                  <v>202.09</v>
                </pt>
                <pt idx="455">
                  <v>202.09</v>
                </pt>
                <pt idx="456">
                  <v>195.27</v>
                </pt>
                <pt idx="457">
                  <v>200.21</v>
                </pt>
                <pt idx="458">
                  <v>200.42</v>
                </pt>
                <pt idx="459">
                  <v>199.95</v>
                </pt>
                <pt idx="460">
                  <v>200.85</v>
                </pt>
                <pt idx="461">
                  <v>201.7</v>
                </pt>
                <pt idx="462">
                  <v>203.27</v>
                </pt>
                <pt idx="463">
                  <v>202.82</v>
                </pt>
                <pt idx="464">
                  <v>200.63</v>
                </pt>
                <pt idx="465">
                  <v>203.92</v>
                </pt>
                <pt idx="466">
                  <v>201.45</v>
                </pt>
                <pt idx="467">
                  <v>202.67</v>
                </pt>
                <pt idx="468">
                  <v>198.78</v>
                </pt>
                <pt idx="469">
                  <v>199.2</v>
                </pt>
                <pt idx="470">
                  <v>196.45</v>
                </pt>
                <pt idx="471">
                  <v>198.42</v>
                </pt>
                <pt idx="472">
                  <v>195.64</v>
                </pt>
                <pt idx="473">
                  <v>196.58</v>
                </pt>
                <pt idx="474">
                  <v>201</v>
                </pt>
                <pt idx="475">
                  <v>201.5</v>
                </pt>
                <pt idx="476">
                  <v>200.3</v>
                </pt>
                <pt idx="477">
                  <v>201.56</v>
                </pt>
                <pt idx="478">
                  <v>201</v>
                </pt>
                <pt idx="479">
                  <v>201.08</v>
                </pt>
                <pt idx="480">
                  <v>205.17</v>
                </pt>
                <pt idx="481">
                  <v>207.82</v>
                </pt>
                <pt idx="482">
                  <v>212.44</v>
                </pt>
                <pt idx="483">
                  <v>213.55</v>
                </pt>
                <pt idx="484">
                  <v>209.95</v>
                </pt>
                <pt idx="485">
                  <v>210.01</v>
                </pt>
                <pt idx="486">
                  <v>211.14</v>
                </pt>
                <pt idx="487">
                  <v>212.41</v>
                </pt>
                <pt idx="488">
                  <v>211.16</v>
                </pt>
                <pt idx="489">
                  <v>208.62</v>
                </pt>
                <pt idx="490">
                  <v>209.11</v>
                </pt>
                <pt idx="491">
                  <v>210.16</v>
                </pt>
                <pt idx="492">
                  <v>210.02</v>
                </pt>
                <pt idx="493">
                  <v>211.18</v>
                </pt>
                <pt idx="494">
                  <v>212.48</v>
                </pt>
                <pt idx="495">
                  <v>214.4</v>
                </pt>
                <pt idx="496">
                  <v>214.15</v>
                </pt>
                <pt idx="497">
                  <v>213.76</v>
                </pt>
                <pt idx="498">
                  <v>213.88</v>
                </pt>
                <pt idx="499">
                  <v>214.05</v>
                </pt>
                <pt idx="500">
                  <v>211.27</v>
                </pt>
                <pt idx="501">
                  <v>209.05</v>
                </pt>
                <pt idx="502">
                  <v>207.57</v>
                </pt>
                <pt idx="503">
                  <v>202.38</v>
                </pt>
                <pt idx="504">
                  <v>203.35</v>
                </pt>
                <pt idx="505">
                  <v>202.92</v>
                </pt>
                <pt idx="506">
                  <v>213.25</v>
                </pt>
                <pt idx="507">
                  <v>220.03</v>
                </pt>
                <pt idx="508">
                  <v>229.35</v>
                </pt>
                <pt idx="509">
                  <v>227.18</v>
                </pt>
                <pt idx="510">
                  <v>229.65</v>
                </pt>
                <pt idx="511">
                  <v>233.33</v>
                </pt>
                <pt idx="512">
                  <v>232.78</v>
                </pt>
                <pt idx="513">
                  <v>231.59</v>
                </pt>
                <pt idx="514">
                  <v>230.89</v>
                </pt>
                <pt idx="515">
                  <v>230.56</v>
                </pt>
                <pt idx="516">
                  <v>226.01</v>
                </pt>
                <pt idx="517">
                  <v>224.9</v>
                </pt>
                <pt idx="518">
                  <v>227.76</v>
                </pt>
                <pt idx="519">
                  <v>227.16</v>
                </pt>
                <pt idx="520">
                  <v>229.31</v>
                </pt>
                <pt idx="521">
                  <v>230.49</v>
                </pt>
                <pt idx="522">
                  <v>232.56</v>
                </pt>
                <pt idx="523">
                  <v>232.14</v>
                </pt>
                <pt idx="524">
                  <v>229.72</v>
                </pt>
                <pt idx="525">
                  <v>238.47</v>
                </pt>
                <pt idx="526">
                  <v>239.78</v>
                </pt>
                <pt idx="527">
                  <v>239.69</v>
                </pt>
                <pt idx="528">
                  <v>237.88</v>
                </pt>
                <pt idx="529">
                  <v>234.35</v>
                </pt>
                <pt idx="530">
                  <v>226.79</v>
                </pt>
                <pt idx="531">
                  <v>230.03</v>
                </pt>
                <pt idx="532">
                  <v>234.07</v>
                </pt>
                <pt idx="533">
                  <v>236.7</v>
                </pt>
                <pt idx="534">
                  <v>238.15</v>
                </pt>
                <pt idx="535">
                  <v>238.99</v>
                </pt>
                <pt idx="536">
                  <v>237.88</v>
                </pt>
                <pt idx="537">
                  <v>245.5</v>
                </pt>
                <pt idx="538">
                  <v>256.08</v>
                </pt>
                <pt idx="539">
                  <v>254.43</v>
                </pt>
                <pt idx="540">
                  <v>252.31</v>
                </pt>
                <pt idx="541">
                  <v>256.87</v>
                </pt>
                <pt idx="542">
                  <v>255.46</v>
                </pt>
                <pt idx="543">
                  <v>254.43</v>
                </pt>
                <pt idx="544">
                  <v>254.63</v>
                </pt>
                <pt idx="545">
                  <v>255.45</v>
                </pt>
                <pt idx="546">
                  <v>257.13</v>
                </pt>
                <pt idx="547">
                  <v>258.02</v>
                </pt>
                <pt idx="548">
                  <v>256.69</v>
                </pt>
                <pt idx="549">
                  <v>256.48</v>
                </pt>
                <pt idx="550">
                  <v>258.06</v>
                </pt>
                <pt idx="551">
                  <v>254.04</v>
                </pt>
                <pt idx="552">
                  <v>245.27</v>
                </pt>
                <pt idx="553">
                  <v>247.66</v>
                </pt>
                <pt idx="554">
                  <v>247.77</v>
                </pt>
                <pt idx="555">
                  <v>249.34</v>
                </pt>
                <pt idx="556">
                  <v>247.45</v>
                </pt>
                <pt idx="557">
                  <v>252.29</v>
                </pt>
                <pt idx="558">
                  <v>262.24</v>
                </pt>
                <pt idx="559">
                  <v>262.77</v>
                </pt>
                <pt idx="560">
                  <v>258.45</v>
                </pt>
                <pt idx="561">
                  <v>259.58</v>
                </pt>
                <pt idx="562">
                  <v>262.82</v>
                </pt>
                <pt idx="563">
                  <v>268.81</v>
                </pt>
                <pt idx="564">
                  <v>269</v>
                </pt>
                <pt idx="565">
                  <v>269.7</v>
                </pt>
                <pt idx="566">
                  <v>271.4</v>
                </pt>
                <pt idx="567">
                  <v>270.37</v>
                </pt>
                <pt idx="568">
                  <v>269.05</v>
                </pt>
                <pt idx="569">
                  <v>270.04</v>
                </pt>
                <pt idx="570">
                  <v>270.14</v>
                </pt>
                <pt idx="571">
                  <v>269.77</v>
                </pt>
                <pt idx="572">
                  <v>268.47</v>
                </pt>
                <pt idx="573">
                  <v>269.43</v>
                </pt>
                <pt idx="574">
                  <v>275.25</v>
                </pt>
                <pt idx="575">
                  <v>273.47</v>
                </pt>
                <pt idx="576">
                  <v>272.95</v>
                </pt>
                <pt idx="577">
                  <v>272.41</v>
                </pt>
                <pt idx="578">
                  <v>267.46</v>
                </pt>
                <pt idx="579">
                  <v>267.44</v>
                </pt>
                <pt idx="580">
                  <v>268.56</v>
                </pt>
                <pt idx="581">
                  <v>266.25</v>
                </pt>
                <pt idx="582">
                  <v>271.49</v>
                </pt>
                <pt idx="583">
                  <v>275.92</v>
                </pt>
                <pt idx="584">
                  <v>276.97</v>
                </pt>
                <pt idx="585">
                  <v>277.55</v>
                </pt>
                <pt idx="586">
                  <v>278.85</v>
                </pt>
                <pt idx="587">
                  <v>283.1</v>
                </pt>
                <pt idx="588">
                  <v>286.19</v>
                </pt>
                <pt idx="589">
                  <v>284.15</v>
                </pt>
                <pt idx="590">
                  <v>280.7</v>
                </pt>
                <pt idx="591">
                  <v>278.78</v>
                </pt>
                <pt idx="592">
                  <v>277.89</v>
                </pt>
                <pt idx="593">
                  <v>277.18</v>
                </pt>
                <pt idx="594">
                  <v>278.78</v>
                </pt>
                <pt idx="595">
                  <v>278.03</v>
                </pt>
                <pt idx="596">
                  <v>278.28</v>
                </pt>
                <pt idx="597">
                  <v>274.11</v>
                </pt>
                <pt idx="598">
                  <v>274.61</v>
                </pt>
                <pt idx="599">
                  <v>271.84</v>
                </pt>
                <pt idx="600">
                  <v>272.19</v>
                </pt>
                <pt idx="601">
                  <v>273.67</v>
                </pt>
                <pt idx="602">
                  <v>270.97</v>
                </pt>
                <pt idx="603">
                  <v>272.36</v>
                </pt>
                <pt idx="604">
                  <v>273.81</v>
                </pt>
                <pt idx="605">
                  <v>273.4</v>
                </pt>
                <pt idx="606">
                  <v>273.76</v>
                </pt>
                <pt idx="607">
                  <v>273.08</v>
                </pt>
                <pt idx="608">
                  <v>271.86</v>
                </pt>
                <pt idx="609">
                  <v>271.01</v>
                </pt>
                <pt idx="610">
                  <v>267.26</v>
                </pt>
                <pt idx="611">
                  <v>262.36</v>
                </pt>
                <pt idx="612">
                  <v>260.33</v>
                </pt>
                <pt idx="613">
                  <v>259.04</v>
                </pt>
                <pt idx="614">
                  <v>259.37</v>
                </pt>
                <pt idx="615">
                  <v>260.25</v>
                </pt>
                <pt idx="616">
                  <v>261.05</v>
                </pt>
                <pt idx="617">
                  <v>259.96</v>
                </pt>
                <pt idx="618">
                  <v>258.21</v>
                </pt>
                <pt idx="619">
                  <v>255.53</v>
                </pt>
                <pt idx="620">
                  <v>246.7</v>
                </pt>
                <pt idx="621">
                  <v>247.65</v>
                </pt>
                <pt idx="622">
                  <v>248.35</v>
                </pt>
                <pt idx="623">
                  <v>248.04</v>
                </pt>
                <pt idx="624">
                  <v>255.41</v>
                </pt>
                <pt idx="625">
                  <v>258.27</v>
                </pt>
                <pt idx="626">
                  <v>256.44</v>
                </pt>
                <pt idx="627">
                  <v>258.28</v>
                </pt>
                <pt idx="628">
                  <v>259.48</v>
                </pt>
                <pt idx="629">
                  <v>270.01</v>
                </pt>
                <pt idx="630">
                  <v>269.48</v>
                </pt>
                <pt idx="631">
                  <v>276.49</v>
                </pt>
                <pt idx="632">
                  <v>275.91</v>
                </pt>
                <pt idx="633">
                  <v>278.12</v>
                </pt>
                <pt idx="634">
                  <v>274.62</v>
                </pt>
                <pt idx="635">
                  <v>273.68</v>
                </pt>
                <pt idx="636">
                  <v>275.5</v>
                </pt>
                <pt idx="637">
                  <v>261.73</v>
                </pt>
                <pt idx="638">
                  <v>255.78</v>
                </pt>
                <pt idx="639">
                  <v>263.88</v>
                </pt>
                <pt idx="640">
                  <v>264.35</v>
                </pt>
                <pt idx="641">
                  <v>260.58</v>
                </pt>
                <pt idx="642">
                  <v>264.58</v>
                </pt>
                <pt idx="643">
                  <v>266.18</v>
                </pt>
                <pt idx="644">
                  <v>272.14</v>
                </pt>
                <pt idx="645">
                  <v>274.23</v>
                </pt>
                <pt idx="646">
                  <v>272.95</v>
                </pt>
                <pt idx="647">
                  <v>264.18</v>
                </pt>
                <pt idx="648">
                  <v>264.72</v>
                </pt>
                <pt idx="649">
                  <v>263.75</v>
                </pt>
                <pt idx="650">
                  <v>262.52</v>
                </pt>
                <pt idx="651">
                  <v>260.29</v>
                </pt>
                <pt idx="652">
                  <v>257.46</v>
                </pt>
                <pt idx="653">
                  <v>259.88</v>
                </pt>
                <pt idx="654">
                  <v>260.83</v>
                </pt>
                <pt idx="655">
                  <v>260.81</v>
                </pt>
                <pt idx="656">
                  <v>255.76</v>
                </pt>
                <pt idx="657">
                  <v>250.12</v>
                </pt>
                <pt idx="658">
                  <v>252.82</v>
                </pt>
                <pt idx="659">
                  <v>254.23</v>
                </pt>
                <pt idx="660">
                  <v>249.94</v>
                </pt>
                <pt idx="661">
                  <v>248.96</v>
                </pt>
                <pt idx="662">
                  <v>247.99</v>
                </pt>
                <pt idx="663">
                  <v>251.49</v>
                </pt>
                <pt idx="664">
                  <v>251.64</v>
                </pt>
                <pt idx="665">
                  <v>252.62</v>
                </pt>
                <pt idx="666">
                  <v>252.89</v>
                </pt>
                <pt idx="667">
                  <v>248.8</v>
                </pt>
                <pt idx="668">
                  <v>246.63</v>
                </pt>
                <pt idx="669">
                  <v>253.79</v>
                </pt>
                <pt idx="670">
                  <v>255.63</v>
                </pt>
                <pt idx="671">
                  <v>255.92</v>
                </pt>
                <pt idx="672">
                  <v>258.86</v>
                </pt>
                <pt idx="673">
                  <v>253.5</v>
                </pt>
                <pt idx="674">
                  <v>258.9</v>
                </pt>
                <pt idx="675">
                  <v>260.49</v>
                </pt>
                <pt idx="676">
                  <v>260.48</v>
                </pt>
                <pt idx="677">
                  <v>259.2</v>
                </pt>
                <pt idx="678">
                  <v>258.83</v>
                </pt>
                <pt idx="679">
                  <v>266.43</v>
                </pt>
                <pt idx="680">
                  <v>263.4</v>
                </pt>
                <pt idx="681">
                  <v>270.23</v>
                </pt>
                <pt idx="682">
                  <v>273.05</v>
                </pt>
                <pt idx="683">
                  <v>266.17</v>
                </pt>
                <pt idx="684">
                  <v>273.17</v>
                </pt>
                <pt idx="685">
                  <v>273.43</v>
                </pt>
                <pt idx="686">
                  <v>271.06</v>
                </pt>
                <pt idx="687">
                  <v>267.61</v>
                </pt>
                <pt idx="688">
                  <v>270.71</v>
                </pt>
                <pt idx="689">
                  <v>270.17</v>
                </pt>
                <pt idx="690">
                  <v>271.35</v>
                </pt>
                <pt idx="691">
                  <v>280.14</v>
                </pt>
                <pt idx="692">
                  <v>276.83</v>
                </pt>
                <pt idx="693">
                  <v>284.18</v>
                </pt>
                <pt idx="694">
                  <v>287.51</v>
                </pt>
                <pt idx="695">
                  <v>287.44</v>
                </pt>
                <pt idx="696">
                  <v>293.32</v>
                </pt>
                <pt idx="697">
                  <v>292.68</v>
                </pt>
                <pt idx="698">
                  <v>294.8</v>
                </pt>
                <pt idx="699">
                  <v>298.87</v>
                </pt>
                <pt idx="700">
                  <v>298.21</v>
                </pt>
                <pt idx="701">
                  <v>300.23</v>
                </pt>
                <pt idx="702">
                  <v>297.84</v>
                </pt>
                <pt idx="703">
                  <v>298.97</v>
                </pt>
                <pt idx="704">
                  <v>302.25</v>
                </pt>
                <pt idx="705">
                  <v>304.99</v>
                </pt>
                <pt idx="706">
                  <v>308.82</v>
                </pt>
                <pt idx="707">
                  <v>308.33</v>
                </pt>
                <pt idx="708">
                  <v>310.85</v>
                </pt>
                <pt idx="709">
                  <v>312.51</v>
                </pt>
                <pt idx="710">
                  <v>312.06</v>
                </pt>
                <pt idx="711">
                  <v>306.31</v>
                </pt>
                <pt idx="712">
                  <v>315.2</v>
                </pt>
                <pt idx="713">
                  <v>310.26</v>
                </pt>
                <pt idx="714">
                  <v>311.23</v>
                </pt>
                <pt idx="715">
                  <v>307.34</v>
                </pt>
                <pt idx="716">
                  <v>301.54</v>
                </pt>
                <pt idx="717">
                  <v>290.55</v>
                </pt>
                <pt idx="718">
                  <v>291.58</v>
                </pt>
                <pt idx="719">
                  <v>295.63</v>
                </pt>
                <pt idx="720">
                  <v>291.13</v>
                </pt>
                <pt idx="721">
                  <v>296.42</v>
                </pt>
                <pt idx="722">
                  <v>299.24</v>
                </pt>
                <pt idx="723">
                  <v>295.95</v>
                </pt>
                <pt idx="724">
                  <v>298.01</v>
                </pt>
                <pt idx="725">
                  <v>297.01</v>
                </pt>
                <pt idx="726">
                  <v>294.3</v>
                </pt>
                <pt idx="727">
                  <v>293.08</v>
                </pt>
                <pt idx="728">
                  <v>275.15</v>
                </pt>
                <pt idx="729">
                  <v>283.78</v>
                </pt>
                <pt idx="730">
                  <v>281.74</v>
                </pt>
                <pt idx="731">
                  <v>289.36</v>
                </pt>
                <pt idx="732">
                  <v>294.38</v>
                </pt>
                <pt idx="733">
                  <v>308.63</v>
                </pt>
                <pt idx="734">
                  <v>312.66</v>
                </pt>
                <pt idx="735">
                  <v>310.66</v>
                </pt>
                <pt idx="736">
                  <v>313.39</v>
                </pt>
                <pt idx="737">
                  <v>316.22</v>
                </pt>
                <pt idx="738">
                  <v>315.32</v>
                </pt>
                <pt idx="739">
                  <v>317.31</v>
                </pt>
                <pt idx="740">
                  <v>314.86</v>
                </pt>
                <pt idx="741">
                  <v>327.5</v>
                </pt>
                <pt idx="742">
                  <v>333.26</v>
                </pt>
                <pt idx="743">
                  <v>333.74</v>
                </pt>
                <pt idx="744">
                  <v>326.59</v>
                </pt>
                <pt idx="745">
                  <v>327.74</v>
                </pt>
                <pt idx="746">
                  <v>325.89</v>
                </pt>
                <pt idx="747">
                  <v>321.66</v>
                </pt>
                <pt idx="748">
                  <v>333.02</v>
                </pt>
                <pt idx="749">
                  <v>336.91</v>
                </pt>
                <pt idx="750">
                  <v>340.08</v>
                </pt>
                <pt idx="751">
                  <v>338.19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ko-KR"/>
        </a:p>
      </txPr>
    </legend>
    <plotVisOnly val="1"/>
    <dispBlanksAs val="zero"/>
  </chart>
</chartSpace>
</file>

<file path=xl/charts/chart10.xml><?xml version="1.0" encoding="utf-8"?>
<chartSpace xmlns:a="http://schemas.openxmlformats.org/drawingml/2006/main" xmlns="http://schemas.openxmlformats.org/drawingml/2006/chart">
  <chart>
    <plotArea>
      <layout/>
      <areaChart>
        <grouping val="standard"/>
        <varyColors val="1"/>
        <ser>
          <idx val="0"/>
          <order val="0"/>
          <tx>
            <strRef>
              <f>DBC!$F$27</f>
              <strCache>
                <ptCount val="1"/>
                <pt idx="0">
                  <v>Close</v>
                </pt>
              </strCache>
            </strRef>
          </tx>
          <spPr>
            <a:solidFill>
              <a:srgbClr val="4285F4"/>
            </a:solidFill>
            <a:ln cmpd="sng">
              <a:solidFill>
                <a:srgbClr val="4285F4"/>
              </a:solidFill>
              <a:prstDash val="solid"/>
            </a:ln>
          </spPr>
          <cat>
            <numRef>
              <f>DBC!$B$28:$B$1000</f>
              <numCache>
                <formatCode>mmm" "d", "yyyy</formatCode>
                <ptCount val="973"/>
                <pt idx="0">
                  <v>45868.6666666666</v>
                </pt>
                <pt idx="1">
                  <v>45869.6666666666</v>
                </pt>
                <pt idx="2">
                  <v>45870.6666666666</v>
                </pt>
                <pt idx="3">
                  <v>45873.6666666666</v>
                </pt>
                <pt idx="4">
                  <v>45874.6666666666</v>
                </pt>
                <pt idx="5">
                  <v>45875.6666666666</v>
                </pt>
                <pt idx="6">
                  <v>45876.6666666666</v>
                </pt>
                <pt idx="7">
                  <v>45877.6666666666</v>
                </pt>
                <pt idx="8">
                  <v>45880.6666666666</v>
                </pt>
                <pt idx="9">
                  <v>45881.6666666666</v>
                </pt>
                <pt idx="10">
                  <v>45882.6666666666</v>
                </pt>
                <pt idx="11">
                  <v>45883.6666666666</v>
                </pt>
                <pt idx="12">
                  <v>45884.6666666666</v>
                </pt>
                <pt idx="13">
                  <v>45887.6666666666</v>
                </pt>
                <pt idx="14">
                  <v>45888.6666666666</v>
                </pt>
                <pt idx="15">
                  <v>45889.6666666666</v>
                </pt>
                <pt idx="16">
                  <v>45890.6666666666</v>
                </pt>
                <pt idx="17">
                  <v>45891.6666666666</v>
                </pt>
                <pt idx="18">
                  <v>45894.6666666666</v>
                </pt>
                <pt idx="19">
                  <v>45895.6666666666</v>
                </pt>
                <pt idx="20">
                  <v>45896.6666666666</v>
                </pt>
                <pt idx="21">
                  <v>45897.6666666666</v>
                </pt>
                <pt idx="22">
                  <v>45898.6666666666</v>
                </pt>
                <pt idx="23">
                  <v>45902.6666666666</v>
                </pt>
                <pt idx="24">
                  <v>45903.6666666666</v>
                </pt>
                <pt idx="25">
                  <v>45904.6666666666</v>
                </pt>
                <pt idx="26">
                  <v>45905.6666666666</v>
                </pt>
                <pt idx="27">
                  <v>45908.6666666666</v>
                </pt>
                <pt idx="28">
                  <v>45909.6666666666</v>
                </pt>
                <pt idx="29">
                  <v>45910.6666666666</v>
                </pt>
                <pt idx="30">
                  <v>45911.6666666666</v>
                </pt>
                <pt idx="31">
                  <v>45912.6666666666</v>
                </pt>
                <pt idx="32">
                  <v>45915.6666666666</v>
                </pt>
                <pt idx="33">
                  <v>45916.6666666666</v>
                </pt>
                <pt idx="34">
                  <v>45917.6666666666</v>
                </pt>
                <pt idx="35">
                  <v>45918.6666666666</v>
                </pt>
                <pt idx="36">
                  <v>45919.6666666666</v>
                </pt>
                <pt idx="37">
                  <v>45922.6666666666</v>
                </pt>
                <pt idx="38">
                  <v>45923.6666666666</v>
                </pt>
                <pt idx="39">
                  <v>45924.6666666666</v>
                </pt>
                <pt idx="40">
                  <v>45925.6666666666</v>
                </pt>
                <pt idx="41">
                  <v>45926.6666666666</v>
                </pt>
                <pt idx="42">
                  <v>45929.6666666666</v>
                </pt>
                <pt idx="43">
                  <v>45930.6666666666</v>
                </pt>
                <pt idx="44">
                  <v>45931.6666666666</v>
                </pt>
                <pt idx="45">
                  <v>45932.6666666666</v>
                </pt>
                <pt idx="46">
                  <v>45933.6666666666</v>
                </pt>
                <pt idx="47">
                  <v>45936.6666666666</v>
                </pt>
                <pt idx="48">
                  <v>45937.6666666666</v>
                </pt>
                <pt idx="49">
                  <v>45938.6666666666</v>
                </pt>
                <pt idx="50">
                  <v>45939.6666666666</v>
                </pt>
                <pt idx="51">
                  <v>45940.6666666666</v>
                </pt>
                <pt idx="52">
                  <v>45943.6666666666</v>
                </pt>
                <pt idx="53">
                  <v>45944.6666666666</v>
                </pt>
                <pt idx="54">
                  <v>45945.6666666666</v>
                </pt>
                <pt idx="55">
                  <v>45946.6666666666</v>
                </pt>
                <pt idx="56">
                  <v>45947.6666666666</v>
                </pt>
                <pt idx="57">
                  <v>45950.6666666666</v>
                </pt>
                <pt idx="58">
                  <v>45951.6666666666</v>
                </pt>
                <pt idx="59">
                  <v>45952.6666666666</v>
                </pt>
                <pt idx="60">
                  <v>45953.6666666666</v>
                </pt>
                <pt idx="61">
                  <v>45954.6666666666</v>
                </pt>
                <pt idx="62">
                  <v>45957.6666666666</v>
                </pt>
                <pt idx="63">
                  <v>45958.6666666666</v>
                </pt>
                <pt idx="64">
                  <v>45959.6666666666</v>
                </pt>
                <pt idx="65">
                  <v>45960.6666666666</v>
                </pt>
                <pt idx="66">
                  <v>45961.6666666666</v>
                </pt>
                <pt idx="67">
                  <v>45964.6666666666</v>
                </pt>
                <pt idx="68">
                  <v>45965.6666666666</v>
                </pt>
                <pt idx="69">
                  <v>45966.6666666666</v>
                </pt>
                <pt idx="70">
                  <v>45967.6666666666</v>
                </pt>
                <pt idx="71">
                  <v>45968.6666666666</v>
                </pt>
                <pt idx="72">
                  <v>45971.6666666666</v>
                </pt>
                <pt idx="73">
                  <v>45972.6666666666</v>
                </pt>
                <pt idx="74">
                  <v>45973.6666666666</v>
                </pt>
                <pt idx="75">
                  <v>45974.6666666666</v>
                </pt>
                <pt idx="76">
                  <v>45975.6666666666</v>
                </pt>
                <pt idx="77">
                  <v>45978.6666666666</v>
                </pt>
                <pt idx="78">
                  <v>45979.6666666666</v>
                </pt>
                <pt idx="79">
                  <v>45980.6666666666</v>
                </pt>
                <pt idx="80">
                  <v>45981.6666666666</v>
                </pt>
                <pt idx="81">
                  <v>45982.6666666666</v>
                </pt>
                <pt idx="82">
                  <v>45985.6666666666</v>
                </pt>
                <pt idx="83">
                  <v>45986.6666666666</v>
                </pt>
                <pt idx="84">
                  <v>45987.6666666666</v>
                </pt>
                <pt idx="85">
                  <v>45989.5520833333</v>
                </pt>
                <pt idx="86">
                  <v>45992.6666666666</v>
                </pt>
                <pt idx="87">
                  <v>45993.6666666666</v>
                </pt>
                <pt idx="88">
                  <v>45994.6666666666</v>
                </pt>
                <pt idx="89">
                  <v>45995.6666666666</v>
                </pt>
                <pt idx="90">
                  <v>45996.6666666666</v>
                </pt>
                <pt idx="91">
                  <v>45999.6666666666</v>
                </pt>
                <pt idx="92">
                  <v>46000.6666666666</v>
                </pt>
                <pt idx="93">
                  <v>46001.6666666666</v>
                </pt>
                <pt idx="94">
                  <v>46002.6666666666</v>
                </pt>
                <pt idx="95">
                  <v>46003.6666666666</v>
                </pt>
                <pt idx="96">
                  <v>46006.6666666666</v>
                </pt>
                <pt idx="97">
                  <v>46007.6666666666</v>
                </pt>
                <pt idx="98">
                  <v>46008.6666666666</v>
                </pt>
                <pt idx="99">
                  <v>46009.6666666666</v>
                </pt>
                <pt idx="100">
                  <v>46010.6666666666</v>
                </pt>
                <pt idx="101">
                  <v>46013.6666666666</v>
                </pt>
                <pt idx="102">
                  <v>46014.6666666666</v>
                </pt>
                <pt idx="103">
                  <v>46015.5416666666</v>
                </pt>
                <pt idx="104">
                  <v>46017.6666666666</v>
                </pt>
                <pt idx="105">
                  <v>46020.6666666666</v>
                </pt>
                <pt idx="106">
                  <v>46021.6666666666</v>
                </pt>
                <pt idx="107">
                  <v>46022.6666666666</v>
                </pt>
                <pt idx="108">
                  <v>46024.6666666666</v>
                </pt>
                <pt idx="109">
                  <v>46027.6666666666</v>
                </pt>
                <pt idx="110">
                  <v>46028.6666666666</v>
                </pt>
                <pt idx="111">
                  <v>46029.6666666666</v>
                </pt>
                <pt idx="112">
                  <v>46030.6666666666</v>
                </pt>
                <pt idx="113">
                  <v>46031.6666666666</v>
                </pt>
                <pt idx="114">
                  <v>46034.6666666666</v>
                </pt>
                <pt idx="115">
                  <v>46035.6666666666</v>
                </pt>
                <pt idx="116">
                  <v>46036.6666666666</v>
                </pt>
                <pt idx="117">
                  <v>46037.6666666666</v>
                </pt>
                <pt idx="118">
                  <v>46038.6666666666</v>
                </pt>
                <pt idx="119">
                  <v>46042.6666666666</v>
                </pt>
                <pt idx="120">
                  <v>46043.6666666666</v>
                </pt>
                <pt idx="121">
                  <v>46044.6666666666</v>
                </pt>
                <pt idx="122">
                  <v>46045.6666666666</v>
                </pt>
                <pt idx="123">
                  <v>46048.6666666666</v>
                </pt>
                <pt idx="124">
                  <v>46049.6666666666</v>
                </pt>
                <pt idx="125">
                  <v>46050.6666666666</v>
                </pt>
                <pt idx="126">
                  <v>46051.6666666666</v>
                </pt>
                <pt idx="127">
                  <v>46052.6666666666</v>
                </pt>
                <pt idx="128">
                  <v>46055.6666666666</v>
                </pt>
                <pt idx="129">
                  <v>46056.6666666666</v>
                </pt>
                <pt idx="130">
                  <v>46057.6666666666</v>
                </pt>
                <pt idx="131">
                  <v>46058.6666666666</v>
                </pt>
                <pt idx="132">
                  <v>46059.6666666666</v>
                </pt>
                <pt idx="133">
                  <v>46062.6666666666</v>
                </pt>
                <pt idx="134">
                  <v>46063.6666666666</v>
                </pt>
                <pt idx="135">
                  <v>46064.6666666666</v>
                </pt>
                <pt idx="136">
                  <v>46065.6666666666</v>
                </pt>
                <pt idx="137">
                  <v>46066.6666666666</v>
                </pt>
                <pt idx="138">
                  <v>46070.6666666666</v>
                </pt>
                <pt idx="139">
                  <v>46071.6666666666</v>
                </pt>
                <pt idx="140">
                  <v>46072.6666666666</v>
                </pt>
                <pt idx="141">
                  <v>46073.6666666666</v>
                </pt>
                <pt idx="142">
                  <v>46076.6666666666</v>
                </pt>
                <pt idx="143">
                  <v>46077.6666666666</v>
                </pt>
                <pt idx="144">
                  <v>46078.6666666666</v>
                </pt>
                <pt idx="145">
                  <v>46079.6666666666</v>
                </pt>
                <pt idx="146">
                  <v>46080.6666666666</v>
                </pt>
                <pt idx="147">
                  <v>46083.6666666666</v>
                </pt>
                <pt idx="148">
                  <v>46084.6666666666</v>
                </pt>
                <pt idx="149">
                  <v>46085.6666666666</v>
                </pt>
                <pt idx="150">
                  <v>46086.6666666666</v>
                </pt>
                <pt idx="151">
                  <v>46087.6666666666</v>
                </pt>
                <pt idx="152">
                  <v>46090.6666666666</v>
                </pt>
                <pt idx="153">
                  <v>46091.6666666666</v>
                </pt>
                <pt idx="154">
                  <v>46092.6666666666</v>
                </pt>
                <pt idx="155">
                  <v>46093.6666666666</v>
                </pt>
                <pt idx="156">
                  <v>46094.6666666666</v>
                </pt>
                <pt idx="157">
                  <v>46097.6666666666</v>
                </pt>
                <pt idx="158">
                  <v>46098.6666666666</v>
                </pt>
                <pt idx="159">
                  <v>46099.6666666666</v>
                </pt>
                <pt idx="160">
                  <v>46100.6666666666</v>
                </pt>
                <pt idx="161">
                  <v>46101.6666666666</v>
                </pt>
                <pt idx="162">
                  <v>46104.6666666666</v>
                </pt>
                <pt idx="163">
                  <v>46105.6666666666</v>
                </pt>
                <pt idx="164">
                  <v>46106.6666666666</v>
                </pt>
                <pt idx="165">
                  <v>46107.6666666666</v>
                </pt>
                <pt idx="166">
                  <v>46108.6666666666</v>
                </pt>
                <pt idx="167">
                  <v>46111.6666666666</v>
                </pt>
                <pt idx="168">
                  <v>46112.6666666666</v>
                </pt>
                <pt idx="169">
                  <v>46113.6666666666</v>
                </pt>
                <pt idx="170">
                  <v>46114.6666666666</v>
                </pt>
                <pt idx="171">
                  <v>46118.6666666666</v>
                </pt>
                <pt idx="172">
                  <v>46119.6666666666</v>
                </pt>
                <pt idx="173">
                  <v>46120.6666666666</v>
                </pt>
                <pt idx="174">
                  <v>46121.6666666666</v>
                </pt>
                <pt idx="175">
                  <v>46122.6666666666</v>
                </pt>
                <pt idx="176">
                  <v>46125.6666666666</v>
                </pt>
                <pt idx="177">
                  <v>46126.6666666666</v>
                </pt>
                <pt idx="178">
                  <v>46127.6666666666</v>
                </pt>
                <pt idx="179">
                  <v>46128.6666666666</v>
                </pt>
                <pt idx="180">
                  <v>46129.6666666666</v>
                </pt>
                <pt idx="181">
                  <v>46132.6666666666</v>
                </pt>
                <pt idx="182">
                  <v>46133.6666666666</v>
                </pt>
                <pt idx="183">
                  <v>46134.6666666666</v>
                </pt>
                <pt idx="184">
                  <v>46135.6666666666</v>
                </pt>
                <pt idx="185">
                  <v>46136.6666666666</v>
                </pt>
                <pt idx="186">
                  <v>46139.6666666666</v>
                </pt>
                <pt idx="187">
                  <v>46140.6666666666</v>
                </pt>
                <pt idx="188">
                  <v>46141.6666666666</v>
                </pt>
                <pt idx="189">
                  <v>46142.6666666666</v>
                </pt>
                <pt idx="190">
                  <v>46143.6666666666</v>
                </pt>
                <pt idx="191">
                  <v>46146.6666666666</v>
                </pt>
                <pt idx="192">
                  <v>46147.6666666666</v>
                </pt>
                <pt idx="193">
                  <v>46148.6666666666</v>
                </pt>
                <pt idx="194">
                  <v>46149.6666666666</v>
                </pt>
                <pt idx="195">
                  <v>46150.6666666666</v>
                </pt>
                <pt idx="196">
                  <v>46153.6666666666</v>
                </pt>
                <pt idx="197">
                  <v>46154.6666666666</v>
                </pt>
                <pt idx="198">
                  <v>46155.6666666666</v>
                </pt>
                <pt idx="199">
                  <v>46156.6666666666</v>
                </pt>
                <pt idx="200">
                  <v>46157.6666666666</v>
                </pt>
                <pt idx="201">
                  <v>46160.6666666666</v>
                </pt>
                <pt idx="202">
                  <v>46161.6666666666</v>
                </pt>
                <pt idx="203">
                  <v>46162.6666666666</v>
                </pt>
                <pt idx="204">
                  <v>46163.6666666666</v>
                </pt>
                <pt idx="205">
                  <v>46164.6666666666</v>
                </pt>
                <pt idx="206">
                  <v>46168.6666666666</v>
                </pt>
                <pt idx="207">
                  <v>46169.6666666666</v>
                </pt>
                <pt idx="208">
                  <v>46170.6666666666</v>
                </pt>
                <pt idx="209">
                  <v>46171.6666666666</v>
                </pt>
                <pt idx="210">
                  <v>46174.6666666666</v>
                </pt>
                <pt idx="211">
                  <v>46175.6666666666</v>
                </pt>
                <pt idx="212">
                  <v>46176.6666666666</v>
                </pt>
                <pt idx="213">
                  <v>46177.6666666666</v>
                </pt>
                <pt idx="214">
                  <v>46178.6666666666</v>
                </pt>
                <pt idx="215">
                  <v>46181.6666666666</v>
                </pt>
                <pt idx="216">
                  <v>46182.6666666666</v>
                </pt>
                <pt idx="217">
                  <v>46183.6666666666</v>
                </pt>
                <pt idx="218">
                  <v>46184.6666666666</v>
                </pt>
                <pt idx="219">
                  <v>46185.6666666666</v>
                </pt>
                <pt idx="220">
                  <v>46188.6666666666</v>
                </pt>
                <pt idx="221">
                  <v>46189.6666666666</v>
                </pt>
                <pt idx="222">
                  <v>46190.6666666666</v>
                </pt>
                <pt idx="223">
                  <v>46191.6666666666</v>
                </pt>
                <pt idx="224">
                  <v>46195.6666666666</v>
                </pt>
                <pt idx="225">
                  <v>46196.6666666666</v>
                </pt>
                <pt idx="226">
                  <v>46197.6666666666</v>
                </pt>
                <pt idx="227">
                  <v>46198.6666666666</v>
                </pt>
                <pt idx="228">
                  <v>46199.6666666666</v>
                </pt>
                <pt idx="229">
                  <v>46202.6666666666</v>
                </pt>
                <pt idx="230">
                  <v>46203.6666666666</v>
                </pt>
                <pt idx="231">
                  <v>46204.6666666666</v>
                </pt>
                <pt idx="232">
                  <v>46205.6666666666</v>
                </pt>
                <pt idx="233">
                  <v>46209.6666666666</v>
                </pt>
                <pt idx="234">
                  <v>46210.6666666666</v>
                </pt>
                <pt idx="235">
                  <v>46211.6666666666</v>
                </pt>
                <pt idx="236">
                  <v>46212.6666666666</v>
                </pt>
                <pt idx="237">
                  <v>46213.6666666666</v>
                </pt>
                <pt idx="238">
                  <v>46216.6666666666</v>
                </pt>
                <pt idx="239">
                  <v>46217.6666666666</v>
                </pt>
                <pt idx="240">
                  <v>46218.6666666666</v>
                </pt>
                <pt idx="241">
                  <v>46219.6666666666</v>
                </pt>
                <pt idx="242">
                  <v>46220.6666666666</v>
                </pt>
                <pt idx="243">
                  <v>46223.6666666666</v>
                </pt>
                <pt idx="244">
                  <v>46224.6666666666</v>
                </pt>
                <pt idx="245">
                  <v>46225.6666666666</v>
                </pt>
                <pt idx="246">
                  <v>46226.6666666666</v>
                </pt>
                <pt idx="247">
                  <v>46227.6666666666</v>
                </pt>
                <pt idx="248">
                  <v>46230.6666666666</v>
                </pt>
                <pt idx="249">
                  <v>46231.6666666666</v>
                </pt>
                <pt idx="250">
                  <v>46232.6666666666</v>
                </pt>
              </numCache>
            </numRef>
          </cat>
          <val>
            <numRef>
              <f>DBC!$F$28:$F$1000</f>
              <numCache>
                <formatCode>#,##0.00</formatCode>
                <ptCount val="973"/>
                <pt idx="0">
                  <v>22.64</v>
                </pt>
                <pt idx="1">
                  <v>22.45</v>
                </pt>
                <pt idx="2">
                  <v>22.09</v>
                </pt>
                <pt idx="3">
                  <v>22.01</v>
                </pt>
                <pt idx="4">
                  <v>21.82</v>
                </pt>
                <pt idx="5">
                  <v>21.77</v>
                </pt>
                <pt idx="6">
                  <v>21.84</v>
                </pt>
                <pt idx="7">
                  <v>21.84</v>
                </pt>
                <pt idx="8">
                  <v>21.87</v>
                </pt>
                <pt idx="9">
                  <v>21.78</v>
                </pt>
                <pt idx="10">
                  <v>21.75</v>
                </pt>
                <pt idx="11">
                  <v>21.84</v>
                </pt>
                <pt idx="12">
                  <v>21.77</v>
                </pt>
                <pt idx="13">
                  <v>21.79</v>
                </pt>
                <pt idx="14">
                  <v>21.62</v>
                </pt>
                <pt idx="15">
                  <v>21.86</v>
                </pt>
                <pt idx="16">
                  <v>21.99</v>
                </pt>
                <pt idx="17">
                  <v>22.08</v>
                </pt>
                <pt idx="18">
                  <v>22.19</v>
                </pt>
                <pt idx="19">
                  <v>22.02</v>
                </pt>
                <pt idx="20">
                  <v>22.04</v>
                </pt>
                <pt idx="21">
                  <v>22.18</v>
                </pt>
                <pt idx="22">
                  <v>22.21</v>
                </pt>
                <pt idx="23">
                  <v>22.57</v>
                </pt>
                <pt idx="24">
                  <v>22.37</v>
                </pt>
                <pt idx="25">
                  <v>22.21</v>
                </pt>
                <pt idx="26">
                  <v>22.03</v>
                </pt>
                <pt idx="27">
                  <v>22.18</v>
                </pt>
                <pt idx="28">
                  <v>22.24</v>
                </pt>
                <pt idx="29">
                  <v>22.39</v>
                </pt>
                <pt idx="30">
                  <v>22.22</v>
                </pt>
                <pt idx="31">
                  <v>22.35</v>
                </pt>
                <pt idx="32">
                  <v>22.55</v>
                </pt>
                <pt idx="33">
                  <v>22.78</v>
                </pt>
                <pt idx="34">
                  <v>22.54</v>
                </pt>
                <pt idx="35">
                  <v>22.44</v>
                </pt>
                <pt idx="36">
                  <v>22.26</v>
                </pt>
                <pt idx="37">
                  <v>22.26</v>
                </pt>
                <pt idx="38">
                  <v>22.49</v>
                </pt>
                <pt idx="39">
                  <v>22.64</v>
                </pt>
                <pt idx="40">
                  <v>22.8</v>
                </pt>
                <pt idx="41">
                  <v>22.81</v>
                </pt>
                <pt idx="42">
                  <v>22.62</v>
                </pt>
                <pt idx="43">
                  <v>22.53</v>
                </pt>
                <pt idx="44">
                  <v>22.49</v>
                </pt>
                <pt idx="45">
                  <v>22.34</v>
                </pt>
                <pt idx="46">
                  <v>22.41</v>
                </pt>
                <pt idx="47">
                  <v>22.64</v>
                </pt>
                <pt idx="48">
                  <v>22.73</v>
                </pt>
                <pt idx="49">
                  <v>22.76</v>
                </pt>
                <pt idx="50">
                  <v>22.55</v>
                </pt>
                <pt idx="51">
                  <v>22.07</v>
                </pt>
                <pt idx="52">
                  <v>22.35</v>
                </pt>
                <pt idx="53">
                  <v>22.1</v>
                </pt>
                <pt idx="54">
                  <v>22.18</v>
                </pt>
                <pt idx="55">
                  <v>22.14</v>
                </pt>
                <pt idx="56">
                  <v>22.12</v>
                </pt>
                <pt idx="57">
                  <v>22.34</v>
                </pt>
                <pt idx="58">
                  <v>22.11</v>
                </pt>
                <pt idx="59">
                  <v>22.46</v>
                </pt>
                <pt idx="60">
                  <v>22.84</v>
                </pt>
                <pt idx="61">
                  <v>22.85</v>
                </pt>
                <pt idx="62">
                  <v>22.8</v>
                </pt>
                <pt idx="63">
                  <v>22.59</v>
                </pt>
                <pt idx="64">
                  <v>22.71</v>
                </pt>
                <pt idx="65">
                  <v>22.72</v>
                </pt>
                <pt idx="66">
                  <v>22.88</v>
                </pt>
                <pt idx="67">
                  <v>23.05</v>
                </pt>
                <pt idx="68">
                  <v>22.89</v>
                </pt>
                <pt idx="69">
                  <v>22.82</v>
                </pt>
                <pt idx="70">
                  <v>22.85</v>
                </pt>
                <pt idx="71">
                  <v>22.9</v>
                </pt>
                <pt idx="72">
                  <v>23.15</v>
                </pt>
                <pt idx="73">
                  <v>23.3</v>
                </pt>
                <pt idx="74">
                  <v>23.04</v>
                </pt>
                <pt idx="75">
                  <v>22.92</v>
                </pt>
                <pt idx="76">
                  <v>22.97</v>
                </pt>
                <pt idx="77">
                  <v>22.94</v>
                </pt>
                <pt idx="78">
                  <v>23.13</v>
                </pt>
                <pt idx="79">
                  <v>22.9</v>
                </pt>
                <pt idx="80">
                  <v>22.68</v>
                </pt>
                <pt idx="81">
                  <v>22.53</v>
                </pt>
                <pt idx="82">
                  <v>22.64</v>
                </pt>
                <pt idx="83">
                  <v>22.52</v>
                </pt>
                <pt idx="84">
                  <v>22.76</v>
                </pt>
                <pt idx="85">
                  <v>23.06</v>
                </pt>
                <pt idx="86">
                  <v>23.12</v>
                </pt>
                <pt idx="87">
                  <v>23.02</v>
                </pt>
                <pt idx="88">
                  <v>23.13</v>
                </pt>
                <pt idx="89">
                  <v>23.19</v>
                </pt>
                <pt idx="90">
                  <v>23.33</v>
                </pt>
                <pt idx="91">
                  <v>23.04</v>
                </pt>
                <pt idx="92">
                  <v>22.99</v>
                </pt>
                <pt idx="93">
                  <v>23.13</v>
                </pt>
                <pt idx="94">
                  <v>23.11</v>
                </pt>
                <pt idx="95">
                  <v>22.92</v>
                </pt>
                <pt idx="96">
                  <v>22.81</v>
                </pt>
                <pt idx="97">
                  <v>22.58</v>
                </pt>
                <pt idx="98">
                  <v>22.85</v>
                </pt>
                <pt idx="99">
                  <v>22.69</v>
                </pt>
                <pt idx="100">
                  <v>22.85</v>
                </pt>
                <pt idx="101">
                  <v>22.39</v>
                </pt>
                <pt idx="102">
                  <v>22.64</v>
                </pt>
                <pt idx="103">
                  <v>22.63</v>
                </pt>
                <pt idx="104">
                  <v>22.7</v>
                </pt>
                <pt idx="105">
                  <v>22.49</v>
                </pt>
                <pt idx="106">
                  <v>22.64</v>
                </pt>
                <pt idx="107">
                  <v>22.36</v>
                </pt>
                <pt idx="108">
                  <v>22.39</v>
                </pt>
                <pt idx="109">
                  <v>22.81</v>
                </pt>
                <pt idx="110">
                  <v>22.8</v>
                </pt>
                <pt idx="111">
                  <v>22.59</v>
                </pt>
                <pt idx="112">
                  <v>22.88</v>
                </pt>
                <pt idx="113">
                  <v>22.9</v>
                </pt>
                <pt idx="114">
                  <v>23.19</v>
                </pt>
                <pt idx="115">
                  <v>23.37</v>
                </pt>
                <pt idx="116">
                  <v>23.39</v>
                </pt>
                <pt idx="117">
                  <v>23.2</v>
                </pt>
                <pt idx="118">
                  <v>23.16</v>
                </pt>
                <pt idx="119">
                  <v>23.48</v>
                </pt>
                <pt idx="120">
                  <v>23.75</v>
                </pt>
                <pt idx="121">
                  <v>23.74</v>
                </pt>
                <pt idx="122">
                  <v>24.18</v>
                </pt>
                <pt idx="123">
                  <v>24.29</v>
                </pt>
                <pt idx="124">
                  <v>24.62</v>
                </pt>
                <pt idx="125">
                  <v>24.94</v>
                </pt>
                <pt idx="126">
                  <v>25.3</v>
                </pt>
                <pt idx="127">
                  <v>24.43</v>
                </pt>
                <pt idx="128">
                  <v>23.54</v>
                </pt>
                <pt idx="129">
                  <v>24.15</v>
                </pt>
                <pt idx="130">
                  <v>24.19</v>
                </pt>
                <pt idx="131">
                  <v>23.76</v>
                </pt>
                <pt idx="132">
                  <v>24.01</v>
                </pt>
                <pt idx="133">
                  <v>24.25</v>
                </pt>
                <pt idx="134">
                  <v>24.14</v>
                </pt>
                <pt idx="135">
                  <v>24.37</v>
                </pt>
                <pt idx="136">
                  <v>23.8</v>
                </pt>
                <pt idx="137">
                  <v>23.88</v>
                </pt>
                <pt idx="138">
                  <v>23.59</v>
                </pt>
                <pt idx="139">
                  <v>24.21</v>
                </pt>
                <pt idx="140">
                  <v>24.43</v>
                </pt>
                <pt idx="141">
                  <v>24.6</v>
                </pt>
                <pt idx="142">
                  <v>24.75</v>
                </pt>
                <pt idx="143">
                  <v>24.72</v>
                </pt>
                <pt idx="144">
                  <v>24.75</v>
                </pt>
                <pt idx="145">
                  <v>24.76</v>
                </pt>
                <pt idx="146">
                  <v>25.1</v>
                </pt>
                <pt idx="147">
                  <v>25.81</v>
                </pt>
                <pt idx="148">
                  <v>25.91</v>
                </pt>
                <pt idx="149">
                  <v>26.14</v>
                </pt>
                <pt idx="150">
                  <v>26.52</v>
                </pt>
                <pt idx="151">
                  <v>27.51</v>
                </pt>
                <pt idx="152">
                  <v>27.14</v>
                </pt>
                <pt idx="153">
                  <v>27.6</v>
                </pt>
                <pt idx="154">
                  <v>28.13</v>
                </pt>
                <pt idx="155">
                  <v>28.86</v>
                </pt>
                <pt idx="156">
                  <v>28.71</v>
                </pt>
                <pt idx="157">
                  <v>28.31</v>
                </pt>
                <pt idx="158">
                  <v>28.76</v>
                </pt>
                <pt idx="159">
                  <v>29.27</v>
                </pt>
                <pt idx="160">
                  <v>28.84</v>
                </pt>
                <pt idx="161">
                  <v>28.94</v>
                </pt>
                <pt idx="162">
                  <v>27.75</v>
                </pt>
                <pt idx="163">
                  <v>28.24</v>
                </pt>
                <pt idx="164">
                  <v>28.17</v>
                </pt>
                <pt idx="165">
                  <v>28.44</v>
                </pt>
                <pt idx="166">
                  <v>29.1</v>
                </pt>
                <pt idx="167">
                  <v>29.26</v>
                </pt>
                <pt idx="168">
                  <v>28.95</v>
                </pt>
                <pt idx="169">
                  <v>28.68</v>
                </pt>
                <pt idx="170">
                  <v>29.33</v>
                </pt>
                <pt idx="171">
                  <v>29.48</v>
                </pt>
                <pt idx="172">
                  <v>29.37</v>
                </pt>
                <pt idx="173">
                  <v>28.56</v>
                </pt>
                <pt idx="174">
                  <v>28.71</v>
                </pt>
                <pt idx="175">
                  <v>28.5</v>
                </pt>
                <pt idx="176">
                  <v>28.96</v>
                </pt>
                <pt idx="177">
                  <v>28.84</v>
                </pt>
                <pt idx="178">
                  <v>28.89</v>
                </pt>
                <pt idx="179">
                  <v>29.11</v>
                </pt>
                <pt idx="180">
                  <v>28.29</v>
                </pt>
                <pt idx="181">
                  <v>28.67</v>
                </pt>
                <pt idx="182">
                  <v>29.21</v>
                </pt>
                <pt idx="183">
                  <v>29.51</v>
                </pt>
                <pt idx="184">
                  <v>29.89</v>
                </pt>
                <pt idx="185">
                  <v>29.86</v>
                </pt>
                <pt idx="186">
                  <v>30.09</v>
                </pt>
                <pt idx="187">
                  <v>30.34</v>
                </pt>
                <pt idx="188">
                  <v>31.08</v>
                </pt>
                <pt idx="189">
                  <v>31.1</v>
                </pt>
                <pt idx="190">
                  <v>30.81</v>
                </pt>
                <pt idx="191">
                  <v>31.33</v>
                </pt>
                <pt idx="192">
                  <v>31.2</v>
                </pt>
                <pt idx="193">
                  <v>30.21</v>
                </pt>
                <pt idx="194">
                  <v>30.25</v>
                </pt>
                <pt idx="195">
                  <v>30.3</v>
                </pt>
                <pt idx="196">
                  <v>31.06</v>
                </pt>
                <pt idx="197">
                  <v>31.69</v>
                </pt>
                <pt idx="198">
                  <v>31.37</v>
                </pt>
                <pt idx="199">
                  <v>31.15</v>
                </pt>
                <pt idx="200">
                  <v>31.19</v>
                </pt>
                <pt idx="201">
                  <v>31.38</v>
                </pt>
                <pt idx="202">
                  <v>31.61</v>
                </pt>
                <pt idx="203">
                  <v>30.88</v>
                </pt>
                <pt idx="204">
                  <v>30.7</v>
                </pt>
                <pt idx="205">
                  <v>30.54</v>
                </pt>
                <pt idx="206">
                  <v>30.03</v>
                </pt>
                <pt idx="207">
                  <v>29.49</v>
                </pt>
                <pt idx="208">
                  <v>29.72</v>
                </pt>
                <pt idx="209">
                  <v>29.48</v>
                </pt>
                <pt idx="210">
                  <v>29.99</v>
                </pt>
                <pt idx="211">
                  <v>30.12</v>
                </pt>
                <pt idx="212">
                  <v>30.29</v>
                </pt>
                <pt idx="213">
                  <v>29.88</v>
                </pt>
                <pt idx="214">
                  <v>29.23</v>
                </pt>
                <pt idx="215">
                  <v>29.47</v>
                </pt>
                <pt idx="216">
                  <v>29.07</v>
                </pt>
                <pt idx="217">
                  <v>29.17</v>
                </pt>
                <pt idx="218">
                  <v>28.85</v>
                </pt>
                <pt idx="219">
                  <v>28.55</v>
                </pt>
                <pt idx="220">
                  <v>28.22</v>
                </pt>
                <pt idx="221">
                  <v>27.9</v>
                </pt>
                <pt idx="222">
                  <v>27.71</v>
                </pt>
                <pt idx="223">
                  <v>27.63</v>
                </pt>
                <pt idx="224">
                  <v>27.41</v>
                </pt>
                <pt idx="225">
                  <v>27.12</v>
                </pt>
                <pt idx="226">
                  <v>26.45</v>
                </pt>
                <pt idx="227">
                  <v>26.93</v>
                </pt>
                <pt idx="228">
                  <v>26.57</v>
                </pt>
                <pt idx="229">
                  <v>26.56</v>
                </pt>
                <pt idx="230">
                  <v>26.66</v>
                </pt>
                <pt idx="231">
                  <v>26.45</v>
                </pt>
                <pt idx="232">
                  <v>26.57</v>
                </pt>
                <pt idx="233">
                  <v>27</v>
                </pt>
                <pt idx="234">
                  <v>27.35</v>
                </pt>
                <pt idx="235">
                  <v>27.8</v>
                </pt>
                <pt idx="236">
                  <v>27.58</v>
                </pt>
                <pt idx="237">
                  <v>27.52</v>
                </pt>
                <pt idx="238">
                  <v>28.33</v>
                </pt>
                <pt idx="239">
                  <v>28.63</v>
                </pt>
                <pt idx="240">
                  <v>28.79</v>
                </pt>
                <pt idx="241">
                  <v>28.46</v>
                </pt>
                <pt idx="242">
                  <v>28.98</v>
                </pt>
                <pt idx="243">
                  <v>29.14</v>
                </pt>
                <pt idx="244">
                  <v>29.57</v>
                </pt>
                <pt idx="245">
                  <v>29.86</v>
                </pt>
                <pt idx="246">
                  <v>30.31</v>
                </pt>
                <pt idx="247">
                  <v>30.1</v>
                </pt>
                <pt idx="248">
                  <v>29.01</v>
                </pt>
                <pt idx="249">
                  <v>28.6</v>
                </pt>
                <pt idx="250">
                  <v>29.42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ko-KR"/>
        </a:p>
      </txPr>
    </legend>
    <plotVisOnly val="1"/>
    <dispBlanksAs val="zero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ayout/>
      <areaChart>
        <grouping val="standard"/>
        <varyColors val="1"/>
        <ser>
          <idx val="0"/>
          <order val="0"/>
          <tx>
            <strRef>
              <f>BND!$F$27</f>
              <strCache>
                <ptCount val="1"/>
                <pt idx="0">
                  <v>Close</v>
                </pt>
              </strCache>
            </strRef>
          </tx>
          <spPr>
            <a:solidFill>
              <a:srgbClr val="4285F4"/>
            </a:solidFill>
            <a:ln cmpd="sng">
              <a:solidFill>
                <a:srgbClr val="4285F4"/>
              </a:solidFill>
              <a:prstDash val="solid"/>
            </a:ln>
          </spPr>
          <cat>
            <numRef>
              <f>BND!$B$28:$B$1000</f>
              <numCache>
                <formatCode>mmm" "d", "yyyy</formatCode>
                <ptCount val="973"/>
                <pt idx="0">
                  <v>45868.6666666666</v>
                </pt>
                <pt idx="1">
                  <v>45869.6666666666</v>
                </pt>
                <pt idx="2">
                  <v>45870.6666666666</v>
                </pt>
                <pt idx="3">
                  <v>45873.6666666666</v>
                </pt>
                <pt idx="4">
                  <v>45874.6666666666</v>
                </pt>
                <pt idx="5">
                  <v>45875.6666666666</v>
                </pt>
                <pt idx="6">
                  <v>45876.6666666666</v>
                </pt>
                <pt idx="7">
                  <v>45877.6666666666</v>
                </pt>
                <pt idx="8">
                  <v>45880.6666666666</v>
                </pt>
                <pt idx="9">
                  <v>45881.6666666666</v>
                </pt>
                <pt idx="10">
                  <v>45882.6666666666</v>
                </pt>
                <pt idx="11">
                  <v>45883.6666666666</v>
                </pt>
                <pt idx="12">
                  <v>45884.6666666666</v>
                </pt>
                <pt idx="13">
                  <v>45887.6666666666</v>
                </pt>
                <pt idx="14">
                  <v>45888.6666666666</v>
                </pt>
                <pt idx="15">
                  <v>45889.6666666666</v>
                </pt>
                <pt idx="16">
                  <v>45890.6666666666</v>
                </pt>
                <pt idx="17">
                  <v>45891.6666666666</v>
                </pt>
                <pt idx="18">
                  <v>45894.6666666666</v>
                </pt>
                <pt idx="19">
                  <v>45895.6666666666</v>
                </pt>
                <pt idx="20">
                  <v>45896.6666666666</v>
                </pt>
                <pt idx="21">
                  <v>45897.6666666666</v>
                </pt>
                <pt idx="22">
                  <v>45898.6666666666</v>
                </pt>
                <pt idx="23">
                  <v>45902.6666666666</v>
                </pt>
                <pt idx="24">
                  <v>45903.6666666666</v>
                </pt>
                <pt idx="25">
                  <v>45904.6666666666</v>
                </pt>
                <pt idx="26">
                  <v>45905.6666666666</v>
                </pt>
                <pt idx="27">
                  <v>45908.6666666666</v>
                </pt>
                <pt idx="28">
                  <v>45909.6666666666</v>
                </pt>
                <pt idx="29">
                  <v>45910.6666666666</v>
                </pt>
                <pt idx="30">
                  <v>45911.6666666666</v>
                </pt>
                <pt idx="31">
                  <v>45912.6666666666</v>
                </pt>
                <pt idx="32">
                  <v>45915.6666666666</v>
                </pt>
                <pt idx="33">
                  <v>45916.6666666666</v>
                </pt>
                <pt idx="34">
                  <v>45917.6666666666</v>
                </pt>
                <pt idx="35">
                  <v>45918.6666666666</v>
                </pt>
                <pt idx="36">
                  <v>45919.6666666666</v>
                </pt>
                <pt idx="37">
                  <v>45922.6666666666</v>
                </pt>
                <pt idx="38">
                  <v>45923.6666666666</v>
                </pt>
                <pt idx="39">
                  <v>45924.6666666666</v>
                </pt>
                <pt idx="40">
                  <v>45925.6666666666</v>
                </pt>
                <pt idx="41">
                  <v>45926.6666666666</v>
                </pt>
                <pt idx="42">
                  <v>45929.6666666666</v>
                </pt>
                <pt idx="43">
                  <v>45930.6666666666</v>
                </pt>
                <pt idx="44">
                  <v>45931.6666666666</v>
                </pt>
                <pt idx="45">
                  <v>45932.6666666666</v>
                </pt>
                <pt idx="46">
                  <v>45933.6666666666</v>
                </pt>
                <pt idx="47">
                  <v>45936.6666666666</v>
                </pt>
                <pt idx="48">
                  <v>45937.6666666666</v>
                </pt>
                <pt idx="49">
                  <v>45938.6666666666</v>
                </pt>
                <pt idx="50">
                  <v>45939.6666666666</v>
                </pt>
                <pt idx="51">
                  <v>45940.6666666666</v>
                </pt>
                <pt idx="52">
                  <v>45943.6666666666</v>
                </pt>
                <pt idx="53">
                  <v>45944.6666666666</v>
                </pt>
                <pt idx="54">
                  <v>45945.6666666666</v>
                </pt>
                <pt idx="55">
                  <v>45946.6666666666</v>
                </pt>
                <pt idx="56">
                  <v>45947.6666666666</v>
                </pt>
                <pt idx="57">
                  <v>45950.6666666666</v>
                </pt>
                <pt idx="58">
                  <v>45951.6666666666</v>
                </pt>
                <pt idx="59">
                  <v>45952.6666666666</v>
                </pt>
                <pt idx="60">
                  <v>45953.6666666666</v>
                </pt>
                <pt idx="61">
                  <v>45954.6666666666</v>
                </pt>
                <pt idx="62">
                  <v>45957.6666666666</v>
                </pt>
                <pt idx="63">
                  <v>45958.6666666666</v>
                </pt>
                <pt idx="64">
                  <v>45959.6666666666</v>
                </pt>
                <pt idx="65">
                  <v>45960.6666666666</v>
                </pt>
                <pt idx="66">
                  <v>45961.6666666666</v>
                </pt>
                <pt idx="67">
                  <v>45964.6666666666</v>
                </pt>
                <pt idx="68">
                  <v>45965.6666666666</v>
                </pt>
                <pt idx="69">
                  <v>45966.6666666666</v>
                </pt>
                <pt idx="70">
                  <v>45967.6666666666</v>
                </pt>
                <pt idx="71">
                  <v>45968.6666666666</v>
                </pt>
                <pt idx="72">
                  <v>45971.6666666666</v>
                </pt>
                <pt idx="73">
                  <v>45972.6666666666</v>
                </pt>
                <pt idx="74">
                  <v>45973.6666666666</v>
                </pt>
                <pt idx="75">
                  <v>45974.6666666666</v>
                </pt>
                <pt idx="76">
                  <v>45975.6666666666</v>
                </pt>
                <pt idx="77">
                  <v>45978.6666666666</v>
                </pt>
                <pt idx="78">
                  <v>45979.6666666666</v>
                </pt>
                <pt idx="79">
                  <v>45980.6666666666</v>
                </pt>
                <pt idx="80">
                  <v>45981.6666666666</v>
                </pt>
                <pt idx="81">
                  <v>45982.6666666666</v>
                </pt>
                <pt idx="82">
                  <v>45985.6666666666</v>
                </pt>
                <pt idx="83">
                  <v>45986.6666666666</v>
                </pt>
                <pt idx="84">
                  <v>45987.6666666666</v>
                </pt>
                <pt idx="85">
                  <v>45989.5451388888</v>
                </pt>
                <pt idx="86">
                  <v>45992.6666666666</v>
                </pt>
                <pt idx="87">
                  <v>45993.6666666666</v>
                </pt>
                <pt idx="88">
                  <v>45994.6666666666</v>
                </pt>
                <pt idx="89">
                  <v>45995.6666666666</v>
                </pt>
                <pt idx="90">
                  <v>45996.6666666666</v>
                </pt>
                <pt idx="91">
                  <v>45999.6666666666</v>
                </pt>
                <pt idx="92">
                  <v>46000.6666666666</v>
                </pt>
                <pt idx="93">
                  <v>46001.6666666666</v>
                </pt>
                <pt idx="94">
                  <v>46002.6666666666</v>
                </pt>
                <pt idx="95">
                  <v>46003.6666666666</v>
                </pt>
                <pt idx="96">
                  <v>46006.6666666666</v>
                </pt>
                <pt idx="97">
                  <v>46007.6666666666</v>
                </pt>
                <pt idx="98">
                  <v>46008.6666666666</v>
                </pt>
                <pt idx="99">
                  <v>46009.6666666666</v>
                </pt>
                <pt idx="100">
                  <v>46010.6666666666</v>
                </pt>
                <pt idx="101">
                  <v>46013.6666666666</v>
                </pt>
                <pt idx="102">
                  <v>46014.6666666666</v>
                </pt>
                <pt idx="103">
                  <v>46015.5451388888</v>
                </pt>
                <pt idx="104">
                  <v>46017.6666666666</v>
                </pt>
                <pt idx="105">
                  <v>46020.6666666666</v>
                </pt>
                <pt idx="106">
                  <v>46021.6666666666</v>
                </pt>
                <pt idx="107">
                  <v>46022.6666666666</v>
                </pt>
                <pt idx="108">
                  <v>46024.6666666666</v>
                </pt>
                <pt idx="109">
                  <v>46027.6666666666</v>
                </pt>
                <pt idx="110">
                  <v>46028.6666666666</v>
                </pt>
                <pt idx="111">
                  <v>46029.6666666666</v>
                </pt>
                <pt idx="112">
                  <v>46030.6666666666</v>
                </pt>
                <pt idx="113">
                  <v>46031.6666666666</v>
                </pt>
                <pt idx="114">
                  <v>46034.6666666666</v>
                </pt>
                <pt idx="115">
                  <v>46035.6666666666</v>
                </pt>
                <pt idx="116">
                  <v>46036.6666666666</v>
                </pt>
                <pt idx="117">
                  <v>46037.6666666666</v>
                </pt>
                <pt idx="118">
                  <v>46038.6666666666</v>
                </pt>
                <pt idx="119">
                  <v>46042.6666666666</v>
                </pt>
                <pt idx="120">
                  <v>46043.6666666666</v>
                </pt>
                <pt idx="121">
                  <v>46044.6666666666</v>
                </pt>
                <pt idx="122">
                  <v>46045.6666666666</v>
                </pt>
                <pt idx="123">
                  <v>46048.6666666666</v>
                </pt>
                <pt idx="124">
                  <v>46049.6666666666</v>
                </pt>
                <pt idx="125">
                  <v>46050.6666666666</v>
                </pt>
                <pt idx="126">
                  <v>46051.6666666666</v>
                </pt>
                <pt idx="127">
                  <v>46052.6666666666</v>
                </pt>
                <pt idx="128">
                  <v>46055.6666666666</v>
                </pt>
                <pt idx="129">
                  <v>46056.6666666666</v>
                </pt>
                <pt idx="130">
                  <v>46057.6666666666</v>
                </pt>
                <pt idx="131">
                  <v>46058.6666666666</v>
                </pt>
                <pt idx="132">
                  <v>46059.6666666666</v>
                </pt>
                <pt idx="133">
                  <v>46062.6666666666</v>
                </pt>
                <pt idx="134">
                  <v>46063.6666666666</v>
                </pt>
                <pt idx="135">
                  <v>46064.6666666666</v>
                </pt>
                <pt idx="136">
                  <v>46065.6666666666</v>
                </pt>
                <pt idx="137">
                  <v>46066.6666666666</v>
                </pt>
                <pt idx="138">
                  <v>46070.6666666666</v>
                </pt>
                <pt idx="139">
                  <v>46071.6666666666</v>
                </pt>
                <pt idx="140">
                  <v>46072.6666666666</v>
                </pt>
                <pt idx="141">
                  <v>46073.6666666666</v>
                </pt>
                <pt idx="142">
                  <v>46076.6666666666</v>
                </pt>
                <pt idx="143">
                  <v>46077.6666666666</v>
                </pt>
                <pt idx="144">
                  <v>46078.6666666666</v>
                </pt>
                <pt idx="145">
                  <v>46079.6666666666</v>
                </pt>
                <pt idx="146">
                  <v>46080.6666666666</v>
                </pt>
                <pt idx="147">
                  <v>46083.6666666666</v>
                </pt>
                <pt idx="148">
                  <v>46084.6666666666</v>
                </pt>
                <pt idx="149">
                  <v>46085.6666666666</v>
                </pt>
                <pt idx="150">
                  <v>46086.6666666666</v>
                </pt>
                <pt idx="151">
                  <v>46087.6666666666</v>
                </pt>
                <pt idx="152">
                  <v>46090.6666666666</v>
                </pt>
                <pt idx="153">
                  <v>46091.6666666666</v>
                </pt>
                <pt idx="154">
                  <v>46092.6666666666</v>
                </pt>
                <pt idx="155">
                  <v>46093.6666666666</v>
                </pt>
                <pt idx="156">
                  <v>46094.6666666666</v>
                </pt>
                <pt idx="157">
                  <v>46097.6666666666</v>
                </pt>
                <pt idx="158">
                  <v>46098.6666666666</v>
                </pt>
                <pt idx="159">
                  <v>46099.6666666666</v>
                </pt>
                <pt idx="160">
                  <v>46100.6666666666</v>
                </pt>
                <pt idx="161">
                  <v>46101.6666666666</v>
                </pt>
                <pt idx="162">
                  <v>46104.6666666666</v>
                </pt>
                <pt idx="163">
                  <v>46105.6666666666</v>
                </pt>
                <pt idx="164">
                  <v>46106.6666666666</v>
                </pt>
                <pt idx="165">
                  <v>46107.6666666666</v>
                </pt>
                <pt idx="166">
                  <v>46108.6666666666</v>
                </pt>
                <pt idx="167">
                  <v>46111.6666666666</v>
                </pt>
                <pt idx="168">
                  <v>46112.6666666666</v>
                </pt>
                <pt idx="169">
                  <v>46113.6666666666</v>
                </pt>
                <pt idx="170">
                  <v>46114.6666666666</v>
                </pt>
                <pt idx="171">
                  <v>46118.6666666666</v>
                </pt>
                <pt idx="172">
                  <v>46119.6666666666</v>
                </pt>
                <pt idx="173">
                  <v>46120.6666666666</v>
                </pt>
                <pt idx="174">
                  <v>46121.6666666666</v>
                </pt>
                <pt idx="175">
                  <v>46122.6666666666</v>
                </pt>
                <pt idx="176">
                  <v>46125.6666666666</v>
                </pt>
                <pt idx="177">
                  <v>46126.6666666666</v>
                </pt>
                <pt idx="178">
                  <v>46127.6666666666</v>
                </pt>
                <pt idx="179">
                  <v>46128.6666666666</v>
                </pt>
                <pt idx="180">
                  <v>46129.6666666666</v>
                </pt>
                <pt idx="181">
                  <v>46132.6666666666</v>
                </pt>
                <pt idx="182">
                  <v>46133.6666666666</v>
                </pt>
                <pt idx="183">
                  <v>46134.6666666666</v>
                </pt>
                <pt idx="184">
                  <v>46135.6666666666</v>
                </pt>
                <pt idx="185">
                  <v>46136.6666666666</v>
                </pt>
                <pt idx="186">
                  <v>46139.6666666666</v>
                </pt>
                <pt idx="187">
                  <v>46140.6666666666</v>
                </pt>
                <pt idx="188">
                  <v>46141.6666666666</v>
                </pt>
                <pt idx="189">
                  <v>46142.6666666666</v>
                </pt>
                <pt idx="190">
                  <v>46143.6666666666</v>
                </pt>
                <pt idx="191">
                  <v>46146.6666666666</v>
                </pt>
                <pt idx="192">
                  <v>46147.6666666666</v>
                </pt>
                <pt idx="193">
                  <v>46148.6666666666</v>
                </pt>
                <pt idx="194">
                  <v>46149.6666666666</v>
                </pt>
                <pt idx="195">
                  <v>46150.6666666666</v>
                </pt>
                <pt idx="196">
                  <v>46153.6666666666</v>
                </pt>
                <pt idx="197">
                  <v>46154.6666666666</v>
                </pt>
                <pt idx="198">
                  <v>46155.6666666666</v>
                </pt>
                <pt idx="199">
                  <v>46156.6666666666</v>
                </pt>
                <pt idx="200">
                  <v>46157.6666666666</v>
                </pt>
                <pt idx="201">
                  <v>46160.6666666666</v>
                </pt>
                <pt idx="202">
                  <v>46161.6666666666</v>
                </pt>
                <pt idx="203">
                  <v>46162.6666666666</v>
                </pt>
                <pt idx="204">
                  <v>46163.6666666666</v>
                </pt>
                <pt idx="205">
                  <v>46164.6666666666</v>
                </pt>
                <pt idx="206">
                  <v>46168.6666666666</v>
                </pt>
                <pt idx="207">
                  <v>46169.6666666666</v>
                </pt>
                <pt idx="208">
                  <v>46170.6666666666</v>
                </pt>
                <pt idx="209">
                  <v>46171.6666666666</v>
                </pt>
                <pt idx="210">
                  <v>46174.6666666666</v>
                </pt>
                <pt idx="211">
                  <v>46175.6666666666</v>
                </pt>
                <pt idx="212">
                  <v>46176.6666666666</v>
                </pt>
                <pt idx="213">
                  <v>46177.6666666666</v>
                </pt>
                <pt idx="214">
                  <v>46178.6666666666</v>
                </pt>
                <pt idx="215">
                  <v>46181.6666666666</v>
                </pt>
                <pt idx="216">
                  <v>46182.6666666666</v>
                </pt>
                <pt idx="217">
                  <v>46183.6666666666</v>
                </pt>
                <pt idx="218">
                  <v>46184.6666666666</v>
                </pt>
                <pt idx="219">
                  <v>46185.6666666666</v>
                </pt>
                <pt idx="220">
                  <v>46188.6666666666</v>
                </pt>
                <pt idx="221">
                  <v>46189.6666666666</v>
                </pt>
                <pt idx="222">
                  <v>46190.6666666666</v>
                </pt>
                <pt idx="223">
                  <v>46191.6666666666</v>
                </pt>
                <pt idx="224">
                  <v>46195.6666666666</v>
                </pt>
                <pt idx="225">
                  <v>46196.6666666666</v>
                </pt>
                <pt idx="226">
                  <v>46197.6666666666</v>
                </pt>
                <pt idx="227">
                  <v>46198.6666666666</v>
                </pt>
                <pt idx="228">
                  <v>46199.6666666666</v>
                </pt>
                <pt idx="229">
                  <v>46202.6666666666</v>
                </pt>
                <pt idx="230">
                  <v>46203.6666666666</v>
                </pt>
                <pt idx="231">
                  <v>46204.6666666666</v>
                </pt>
                <pt idx="232">
                  <v>46205.6666666666</v>
                </pt>
                <pt idx="233">
                  <v>46209.6666666666</v>
                </pt>
                <pt idx="234">
                  <v>46210.6666666666</v>
                </pt>
                <pt idx="235">
                  <v>46211.6666666666</v>
                </pt>
                <pt idx="236">
                  <v>46212.6666666666</v>
                </pt>
                <pt idx="237">
                  <v>46213.6666666666</v>
                </pt>
                <pt idx="238">
                  <v>46216.6666666666</v>
                </pt>
                <pt idx="239">
                  <v>46217.6666666666</v>
                </pt>
                <pt idx="240">
                  <v>46218.6666666666</v>
                </pt>
                <pt idx="241">
                  <v>46219.6666666666</v>
                </pt>
                <pt idx="242">
                  <v>46220.6666666666</v>
                </pt>
                <pt idx="243">
                  <v>46223.6666666666</v>
                </pt>
                <pt idx="244">
                  <v>46224.6666666666</v>
                </pt>
                <pt idx="245">
                  <v>46225.6666666666</v>
                </pt>
                <pt idx="246">
                  <v>46226.6666666666</v>
                </pt>
                <pt idx="247">
                  <v>46227.6666666666</v>
                </pt>
                <pt idx="248">
                  <v>46230.6666666666</v>
                </pt>
                <pt idx="249">
                  <v>46231.6666666666</v>
                </pt>
                <pt idx="250">
                  <v>46232.6666666666</v>
                </pt>
              </numCache>
            </numRef>
          </cat>
          <val>
            <numRef>
              <f>BND!$F$28:$F$1000</f>
              <numCache>
                <formatCode>#,##0.00</formatCode>
                <ptCount val="973"/>
                <pt idx="0">
                  <v>73.19</v>
                </pt>
                <pt idx="1">
                  <v>73.2</v>
                </pt>
                <pt idx="2">
                  <v>73.59</v>
                </pt>
                <pt idx="3">
                  <v>73.64</v>
                </pt>
                <pt idx="4">
                  <v>73.67</v>
                </pt>
                <pt idx="5">
                  <v>73.61</v>
                </pt>
                <pt idx="6">
                  <v>73.58</v>
                </pt>
                <pt idx="7">
                  <v>73.42</v>
                </pt>
                <pt idx="8">
                  <v>73.47</v>
                </pt>
                <pt idx="9">
                  <v>73.48</v>
                </pt>
                <pt idx="10">
                  <v>73.75</v>
                </pt>
                <pt idx="11">
                  <v>73.54000000000001</v>
                </pt>
                <pt idx="12">
                  <v>73.44</v>
                </pt>
                <pt idx="13">
                  <v>73.36</v>
                </pt>
                <pt idx="14">
                  <v>73.5</v>
                </pt>
                <pt idx="15">
                  <v>73.55</v>
                </pt>
                <pt idx="16">
                  <v>73.37</v>
                </pt>
                <pt idx="17">
                  <v>73.73999999999999</v>
                </pt>
                <pt idx="18">
                  <v>73.64</v>
                </pt>
                <pt idx="19">
                  <v>73.73</v>
                </pt>
                <pt idx="20">
                  <v>73.8</v>
                </pt>
                <pt idx="21">
                  <v>73.89</v>
                </pt>
                <pt idx="22">
                  <v>73.8</v>
                </pt>
                <pt idx="23">
                  <v>73.40000000000001</v>
                </pt>
                <pt idx="24">
                  <v>73.64</v>
                </pt>
                <pt idx="25">
                  <v>73.92</v>
                </pt>
                <pt idx="26">
                  <v>74.27</v>
                </pt>
                <pt idx="27">
                  <v>74.51000000000001</v>
                </pt>
                <pt idx="28">
                  <v>74.37</v>
                </pt>
                <pt idx="29">
                  <v>74.5</v>
                </pt>
                <pt idx="30">
                  <v>74.66</v>
                </pt>
                <pt idx="31">
                  <v>74.56999999999999</v>
                </pt>
                <pt idx="32">
                  <v>74.70999999999999</v>
                </pt>
                <pt idx="33">
                  <v>74.72</v>
                </pt>
                <pt idx="34">
                  <v>74.59</v>
                </pt>
                <pt idx="35">
                  <v>74.40000000000001</v>
                </pt>
                <pt idx="36">
                  <v>74.43000000000001</v>
                </pt>
                <pt idx="37">
                  <v>74.29000000000001</v>
                </pt>
                <pt idx="38">
                  <v>74.44</v>
                </pt>
                <pt idx="39">
                  <v>74.29000000000001</v>
                </pt>
                <pt idx="40">
                  <v>74.20999999999999</v>
                </pt>
                <pt idx="41">
                  <v>74.20999999999999</v>
                </pt>
                <pt idx="42">
                  <v>74.40000000000001</v>
                </pt>
                <pt idx="43">
                  <v>74.37</v>
                </pt>
                <pt idx="44">
                  <v>74.31999999999999</v>
                </pt>
                <pt idx="45">
                  <v>74.40000000000001</v>
                </pt>
                <pt idx="46">
                  <v>74.31</v>
                </pt>
                <pt idx="47">
                  <v>74.14</v>
                </pt>
                <pt idx="48">
                  <v>74.28</v>
                </pt>
                <pt idx="49">
                  <v>74.28</v>
                </pt>
                <pt idx="50">
                  <v>74.23</v>
                </pt>
                <pt idx="51">
                  <v>74.52</v>
                </pt>
                <pt idx="52">
                  <v>74.64</v>
                </pt>
                <pt idx="53">
                  <v>74.75</v>
                </pt>
                <pt idx="54">
                  <v>74.7</v>
                </pt>
                <pt idx="55">
                  <v>74.98</v>
                </pt>
                <pt idx="56">
                  <v>74.88</v>
                </pt>
                <pt idx="57">
                  <v>74.98</v>
                </pt>
                <pt idx="58">
                  <v>75.06999999999999</v>
                </pt>
                <pt idx="59">
                  <v>75.06999999999999</v>
                </pt>
                <pt idx="60">
                  <v>74.92</v>
                </pt>
                <pt idx="61">
                  <v>75.02</v>
                </pt>
                <pt idx="62">
                  <v>75.06</v>
                </pt>
                <pt idx="63">
                  <v>75.09999999999999</v>
                </pt>
                <pt idx="64">
                  <v>74.73</v>
                </pt>
                <pt idx="65">
                  <v>74.59999999999999</v>
                </pt>
                <pt idx="66">
                  <v>74.58</v>
                </pt>
                <pt idx="67">
                  <v>74.25</v>
                </pt>
                <pt idx="68">
                  <v>74.29000000000001</v>
                </pt>
                <pt idx="69">
                  <v>74.08</v>
                </pt>
                <pt idx="70">
                  <v>74.37</v>
                </pt>
                <pt idx="71">
                  <v>74.33</v>
                </pt>
                <pt idx="72">
                  <v>74.31</v>
                </pt>
                <pt idx="73">
                  <v>74.52</v>
                </pt>
                <pt idx="74">
                  <v>74.48999999999999</v>
                </pt>
                <pt idx="75">
                  <v>74.27</v>
                </pt>
                <pt idx="76">
                  <v>74.16</v>
                </pt>
                <pt idx="77">
                  <v>74.2</v>
                </pt>
                <pt idx="78">
                  <v>74.26000000000001</v>
                </pt>
                <pt idx="79">
                  <v>74.23</v>
                </pt>
                <pt idx="80">
                  <v>74.34</v>
                </pt>
                <pt idx="81">
                  <v>74.52</v>
                </pt>
                <pt idx="82">
                  <v>74.65000000000001</v>
                </pt>
                <pt idx="83">
                  <v>74.81999999999999</v>
                </pt>
                <pt idx="84">
                  <v>74.90000000000001</v>
                </pt>
                <pt idx="85">
                  <v>74.78</v>
                </pt>
                <pt idx="86">
                  <v>74.25</v>
                </pt>
                <pt idx="87">
                  <v>74.31999999999999</v>
                </pt>
                <pt idx="88">
                  <v>74.43000000000001</v>
                </pt>
                <pt idx="89">
                  <v>74.29000000000001</v>
                </pt>
                <pt idx="90">
                  <v>74.2</v>
                </pt>
                <pt idx="91">
                  <v>74.09</v>
                </pt>
                <pt idx="92">
                  <v>74.04000000000001</v>
                </pt>
                <pt idx="93">
                  <v>74.26000000000001</v>
                </pt>
                <pt idx="94">
                  <v>74.26000000000001</v>
                </pt>
                <pt idx="95">
                  <v>74.03</v>
                </pt>
                <pt idx="96">
                  <v>74.12</v>
                </pt>
                <pt idx="97">
                  <v>74.26000000000001</v>
                </pt>
                <pt idx="98">
                  <v>74.23999999999999</v>
                </pt>
                <pt idx="99">
                  <v>74.15000000000001</v>
                </pt>
                <pt idx="100">
                  <v>74.04000000000001</v>
                </pt>
                <pt idx="101">
                  <v>74.02</v>
                </pt>
                <pt idx="102">
                  <v>74.01000000000001</v>
                </pt>
                <pt idx="103">
                  <v>74.19</v>
                </pt>
                <pt idx="104">
                  <v>74.19</v>
                </pt>
                <pt idx="105">
                  <v>74.3</v>
                </pt>
                <pt idx="106">
                  <v>74.27</v>
                </pt>
                <pt idx="107">
                  <v>74.06999999999999</v>
                </pt>
                <pt idx="108">
                  <v>74.04000000000001</v>
                </pt>
                <pt idx="109">
                  <v>74.18000000000001</v>
                </pt>
                <pt idx="110">
                  <v>74.18000000000001</v>
                </pt>
                <pt idx="111">
                  <v>74.26000000000001</v>
                </pt>
                <pt idx="112">
                  <v>74.13</v>
                </pt>
                <pt idx="113">
                  <v>74.29000000000001</v>
                </pt>
                <pt idx="114">
                  <v>74.22</v>
                </pt>
                <pt idx="115">
                  <v>74.28</v>
                </pt>
                <pt idx="116">
                  <v>74.43000000000001</v>
                </pt>
                <pt idx="117">
                  <v>74.31999999999999</v>
                </pt>
                <pt idx="118">
                  <v>74.2</v>
                </pt>
                <pt idx="119">
                  <v>73.93000000000001</v>
                </pt>
                <pt idx="120">
                  <v>74.14</v>
                </pt>
                <pt idx="121">
                  <v>74.17</v>
                </pt>
                <pt idx="122">
                  <v>74.25</v>
                </pt>
                <pt idx="123">
                  <v>74.34</v>
                </pt>
                <pt idx="124">
                  <v>74.28</v>
                </pt>
                <pt idx="125">
                  <v>74.25</v>
                </pt>
                <pt idx="126">
                  <v>74.26000000000001</v>
                </pt>
                <pt idx="127">
                  <v>74.23</v>
                </pt>
                <pt idx="128">
                  <v>73.91</v>
                </pt>
                <pt idx="129">
                  <v>73.93000000000001</v>
                </pt>
                <pt idx="130">
                  <v>73.90000000000001</v>
                </pt>
                <pt idx="131">
                  <v>74.22</v>
                </pt>
                <pt idx="132">
                  <v>74.23</v>
                </pt>
                <pt idx="133">
                  <v>74.25</v>
                </pt>
                <pt idx="134">
                  <v>74.47</v>
                </pt>
                <pt idx="135">
                  <v>74.31999999999999</v>
                </pt>
                <pt idx="136">
                  <v>74.66</v>
                </pt>
                <pt idx="137">
                  <v>74.88</v>
                </pt>
                <pt idx="138">
                  <v>74.87</v>
                </pt>
                <pt idx="139">
                  <v>74.79000000000001</v>
                </pt>
                <pt idx="140">
                  <v>74.81999999999999</v>
                </pt>
                <pt idx="141">
                  <v>74.81</v>
                </pt>
                <pt idx="142">
                  <v>74.97</v>
                </pt>
                <pt idx="143">
                  <v>74.93000000000001</v>
                </pt>
                <pt idx="144">
                  <v>74.91</v>
                </pt>
                <pt idx="145">
                  <v>75.02</v>
                </pt>
                <pt idx="146">
                  <v>75.17</v>
                </pt>
                <pt idx="147">
                  <v>74.64</v>
                </pt>
                <pt idx="148">
                  <v>74.56</v>
                </pt>
                <pt idx="149">
                  <v>74.51000000000001</v>
                </pt>
                <pt idx="150">
                  <v>74.34</v>
                </pt>
                <pt idx="151">
                  <v>74.23999999999999</v>
                </pt>
                <pt idx="152">
                  <v>74.45</v>
                </pt>
                <pt idx="153">
                  <v>74.22</v>
                </pt>
                <pt idx="154">
                  <v>73.89</v>
                </pt>
                <pt idx="155">
                  <v>73.62</v>
                </pt>
                <pt idx="156">
                  <v>73.55</v>
                </pt>
                <pt idx="157">
                  <v>73.83</v>
                </pt>
                <pt idx="158">
                  <v>73.98</v>
                </pt>
                <pt idx="159">
                  <v>73.68000000000001</v>
                </pt>
                <pt idx="160">
                  <v>73.76000000000001</v>
                </pt>
                <pt idx="161">
                  <v>73.17</v>
                </pt>
                <pt idx="162">
                  <v>73.45</v>
                </pt>
                <pt idx="163">
                  <v>73.26000000000001</v>
                </pt>
                <pt idx="164">
                  <v>73.54000000000001</v>
                </pt>
                <pt idx="165">
                  <v>73.11</v>
                </pt>
                <pt idx="166">
                  <v>73.11</v>
                </pt>
                <pt idx="167">
                  <v>73.48</v>
                </pt>
                <pt idx="168">
                  <v>73.64</v>
                </pt>
                <pt idx="169">
                  <v>73.42</v>
                </pt>
                <pt idx="170">
                  <v>73.58</v>
                </pt>
                <pt idx="171">
                  <v>73.47</v>
                </pt>
                <pt idx="172">
                  <v>73.58</v>
                </pt>
                <pt idx="173">
                  <v>73.72</v>
                </pt>
                <pt idx="174">
                  <v>73.75</v>
                </pt>
                <pt idx="175">
                  <v>73.64</v>
                </pt>
                <pt idx="176">
                  <v>73.8</v>
                </pt>
                <pt idx="177">
                  <v>73.98</v>
                </pt>
                <pt idx="178">
                  <v>73.88</v>
                </pt>
                <pt idx="179">
                  <v>73.77</v>
                </pt>
                <pt idx="180">
                  <v>74.06</v>
                </pt>
                <pt idx="181">
                  <v>74.01000000000001</v>
                </pt>
                <pt idx="182">
                  <v>73.78</v>
                </pt>
                <pt idx="183">
                  <v>73.86</v>
                </pt>
                <pt idx="184">
                  <v>73.73</v>
                </pt>
                <pt idx="185">
                  <v>73.86</v>
                </pt>
                <pt idx="186">
                  <v>73.73999999999999</v>
                </pt>
                <pt idx="187">
                  <v>73.72</v>
                </pt>
                <pt idx="188">
                  <v>73.39</v>
                </pt>
                <pt idx="189">
                  <v>73.5</v>
                </pt>
                <pt idx="190">
                  <v>73.36</v>
                </pt>
                <pt idx="191">
                  <v>73.11</v>
                </pt>
                <pt idx="192">
                  <v>73.23999999999999</v>
                </pt>
                <pt idx="193">
                  <v>73.55</v>
                </pt>
                <pt idx="194">
                  <v>73.36</v>
                </pt>
                <pt idx="195">
                  <v>73.55</v>
                </pt>
                <pt idx="196">
                  <v>73.37</v>
                </pt>
                <pt idx="197">
                  <v>73.15000000000001</v>
                </pt>
                <pt idx="198">
                  <v>73.18000000000001</v>
                </pt>
                <pt idx="199">
                  <v>73.16</v>
                </pt>
                <pt idx="200">
                  <v>72.73999999999999</v>
                </pt>
                <pt idx="201">
                  <v>72.69</v>
                </pt>
                <pt idx="202">
                  <v>72.45</v>
                </pt>
                <pt idx="203">
                  <v>72.84999999999999</v>
                </pt>
                <pt idx="204">
                  <v>72.93000000000001</v>
                </pt>
                <pt idx="205">
                  <v>73</v>
                </pt>
                <pt idx="206">
                  <v>73.20999999999999</v>
                </pt>
                <pt idx="207">
                  <v>73.28</v>
                </pt>
                <pt idx="208">
                  <v>73.42</v>
                </pt>
                <pt idx="209">
                  <v>73.45999999999999</v>
                </pt>
                <pt idx="210">
                  <v>73.18000000000001</v>
                </pt>
                <pt idx="211">
                  <v>73.2</v>
                </pt>
                <pt idx="212">
                  <v>73.06</v>
                </pt>
                <pt idx="213">
                  <v>73.16</v>
                </pt>
                <pt idx="214">
                  <v>72.83</v>
                </pt>
                <pt idx="215">
                  <v>72.81</v>
                </pt>
                <pt idx="216">
                  <v>72.97</v>
                </pt>
                <pt idx="217">
                  <v>72.91</v>
                </pt>
                <pt idx="218">
                  <v>73.33</v>
                </pt>
                <pt idx="219">
                  <v>73.23999999999999</v>
                </pt>
                <pt idx="220">
                  <v>73.3</v>
                </pt>
                <pt idx="221">
                  <v>73.41</v>
                </pt>
                <pt idx="222">
                  <v>73.14</v>
                </pt>
                <pt idx="223">
                  <v>73.34</v>
                </pt>
                <pt idx="224">
                  <v>73.14</v>
                </pt>
                <pt idx="225">
                  <v>73.22</v>
                </pt>
                <pt idx="226">
                  <v>73.55</v>
                </pt>
                <pt idx="227">
                  <v>73.59999999999999</v>
                </pt>
                <pt idx="228">
                  <v>73.67</v>
                </pt>
                <pt idx="229">
                  <v>73.70999999999999</v>
                </pt>
                <pt idx="230">
                  <v>73.41</v>
                </pt>
                <pt idx="231">
                  <v>73.06</v>
                </pt>
                <pt idx="232">
                  <v>73.11</v>
                </pt>
                <pt idx="233">
                  <v>73.14</v>
                </pt>
                <pt idx="234">
                  <v>72.84999999999999</v>
                </pt>
                <pt idx="235">
                  <v>72.7</v>
                </pt>
                <pt idx="236">
                  <v>72.83</v>
                </pt>
                <pt idx="237">
                  <v>72.77</v>
                </pt>
                <pt idx="238">
                  <v>72.5</v>
                </pt>
                <pt idx="239">
                  <v>72.7</v>
                </pt>
                <pt idx="240">
                  <v>72.81999999999999</v>
                </pt>
                <pt idx="241">
                  <v>72.81</v>
                </pt>
                <pt idx="242">
                  <v>72.86</v>
                </pt>
                <pt idx="243">
                  <v>72.68000000000001</v>
                </pt>
                <pt idx="244">
                  <v>72.52</v>
                </pt>
                <pt idx="245">
                  <v>72.40000000000001</v>
                </pt>
                <pt idx="246">
                  <v>72.25</v>
                </pt>
                <pt idx="247">
                  <v>72.31</v>
                </pt>
                <pt idx="248">
                  <v>72.45999999999999</v>
                </pt>
                <pt idx="249">
                  <v>72.64</v>
                </pt>
                <pt idx="250">
                  <v>72.38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ko-KR"/>
        </a:p>
      </txPr>
    </legend>
    <plotVisOnly val="1"/>
    <dispBlanksAs val="zero"/>
  </chart>
</chartSpace>
</file>

<file path=xl/charts/chart12.xml><?xml version="1.0" encoding="utf-8"?>
<chartSpace xmlns:a="http://schemas.openxmlformats.org/drawingml/2006/main" xmlns="http://schemas.openxmlformats.org/drawingml/2006/chart">
  <chart>
    <plotArea>
      <layout/>
      <areaChart>
        <grouping val="standard"/>
        <varyColors val="1"/>
        <ser>
          <idx val="0"/>
          <order val="0"/>
          <tx>
            <strRef>
              <f>VWO!$F$27</f>
              <strCache>
                <ptCount val="1"/>
                <pt idx="0">
                  <v>Close</v>
                </pt>
              </strCache>
            </strRef>
          </tx>
          <spPr>
            <a:solidFill>
              <a:srgbClr val="4285F4"/>
            </a:solidFill>
            <a:ln cmpd="sng">
              <a:solidFill>
                <a:srgbClr val="4285F4"/>
              </a:solidFill>
              <a:prstDash val="solid"/>
            </a:ln>
          </spPr>
          <cat>
            <numRef>
              <f>VWO!$B$28:$B$1000</f>
              <numCache>
                <formatCode>mmm" "d", "yyyy</formatCode>
                <ptCount val="973"/>
                <pt idx="0">
                  <v>45868.6666666666</v>
                </pt>
                <pt idx="1">
                  <v>45869.6666666666</v>
                </pt>
                <pt idx="2">
                  <v>45870.6666666666</v>
                </pt>
                <pt idx="3">
                  <v>45873.6666666666</v>
                </pt>
                <pt idx="4">
                  <v>45874.6666666666</v>
                </pt>
                <pt idx="5">
                  <v>45875.6666666666</v>
                </pt>
                <pt idx="6">
                  <v>45876.6666666666</v>
                </pt>
                <pt idx="7">
                  <v>45877.6666666666</v>
                </pt>
                <pt idx="8">
                  <v>45880.6666666666</v>
                </pt>
                <pt idx="9">
                  <v>45881.6666666666</v>
                </pt>
                <pt idx="10">
                  <v>45882.6666666666</v>
                </pt>
                <pt idx="11">
                  <v>45883.6666666666</v>
                </pt>
                <pt idx="12">
                  <v>45884.6666666666</v>
                </pt>
                <pt idx="13">
                  <v>45887.6666666666</v>
                </pt>
                <pt idx="14">
                  <v>45888.6666666666</v>
                </pt>
                <pt idx="15">
                  <v>45889.6666666666</v>
                </pt>
                <pt idx="16">
                  <v>45890.6666666666</v>
                </pt>
                <pt idx="17">
                  <v>45891.6666666666</v>
                </pt>
                <pt idx="18">
                  <v>45894.6666666666</v>
                </pt>
                <pt idx="19">
                  <v>45895.6666666666</v>
                </pt>
                <pt idx="20">
                  <v>45896.6666666666</v>
                </pt>
                <pt idx="21">
                  <v>45897.6666666666</v>
                </pt>
                <pt idx="22">
                  <v>45898.6666666666</v>
                </pt>
                <pt idx="23">
                  <v>45902.6666666666</v>
                </pt>
                <pt idx="24">
                  <v>45903.6666666666</v>
                </pt>
                <pt idx="25">
                  <v>45904.6666666666</v>
                </pt>
                <pt idx="26">
                  <v>45905.6666666666</v>
                </pt>
                <pt idx="27">
                  <v>45908.6666666666</v>
                </pt>
                <pt idx="28">
                  <v>45909.6666666666</v>
                </pt>
                <pt idx="29">
                  <v>45910.6666666666</v>
                </pt>
                <pt idx="30">
                  <v>45911.6666666666</v>
                </pt>
                <pt idx="31">
                  <v>45912.6666666666</v>
                </pt>
                <pt idx="32">
                  <v>45915.6666666666</v>
                </pt>
                <pt idx="33">
                  <v>45916.6666666666</v>
                </pt>
                <pt idx="34">
                  <v>45917.6666666666</v>
                </pt>
                <pt idx="35">
                  <v>45918.6666666666</v>
                </pt>
                <pt idx="36">
                  <v>45919.6666666666</v>
                </pt>
                <pt idx="37">
                  <v>45922.6666666666</v>
                </pt>
                <pt idx="38">
                  <v>45923.6666666666</v>
                </pt>
                <pt idx="39">
                  <v>45924.6666666666</v>
                </pt>
                <pt idx="40">
                  <v>45925.6666666666</v>
                </pt>
                <pt idx="41">
                  <v>45926.6666666666</v>
                </pt>
                <pt idx="42">
                  <v>45929.6666666666</v>
                </pt>
                <pt idx="43">
                  <v>45930.6666666666</v>
                </pt>
                <pt idx="44">
                  <v>45931.6666666666</v>
                </pt>
                <pt idx="45">
                  <v>45932.6666666666</v>
                </pt>
                <pt idx="46">
                  <v>45933.6666666666</v>
                </pt>
                <pt idx="47">
                  <v>45936.6666666666</v>
                </pt>
                <pt idx="48">
                  <v>45937.6666666666</v>
                </pt>
                <pt idx="49">
                  <v>45938.6666666666</v>
                </pt>
                <pt idx="50">
                  <v>45939.6666666666</v>
                </pt>
                <pt idx="51">
                  <v>45940.6666666666</v>
                </pt>
                <pt idx="52">
                  <v>45943.6666666666</v>
                </pt>
                <pt idx="53">
                  <v>45944.6666666666</v>
                </pt>
                <pt idx="54">
                  <v>45945.6666666666</v>
                </pt>
                <pt idx="55">
                  <v>45946.6666666666</v>
                </pt>
                <pt idx="56">
                  <v>45947.6666666666</v>
                </pt>
                <pt idx="57">
                  <v>45950.6666666666</v>
                </pt>
                <pt idx="58">
                  <v>45951.6666666666</v>
                </pt>
                <pt idx="59">
                  <v>45952.6666666666</v>
                </pt>
                <pt idx="60">
                  <v>45953.6666666666</v>
                </pt>
                <pt idx="61">
                  <v>45954.6666666666</v>
                </pt>
                <pt idx="62">
                  <v>45957.6666666666</v>
                </pt>
                <pt idx="63">
                  <v>45958.6666666666</v>
                </pt>
                <pt idx="64">
                  <v>45959.6666666666</v>
                </pt>
                <pt idx="65">
                  <v>45960.6666666666</v>
                </pt>
                <pt idx="66">
                  <v>45961.6666666666</v>
                </pt>
                <pt idx="67">
                  <v>45964.6666666666</v>
                </pt>
                <pt idx="68">
                  <v>45965.6666666666</v>
                </pt>
                <pt idx="69">
                  <v>45966.6666666666</v>
                </pt>
                <pt idx="70">
                  <v>45967.6666666666</v>
                </pt>
                <pt idx="71">
                  <v>45968.6666666666</v>
                </pt>
                <pt idx="72">
                  <v>45971.6666666666</v>
                </pt>
                <pt idx="73">
                  <v>45972.6666666666</v>
                </pt>
                <pt idx="74">
                  <v>45973.6666666666</v>
                </pt>
                <pt idx="75">
                  <v>45974.6666666666</v>
                </pt>
                <pt idx="76">
                  <v>45975.6666666666</v>
                </pt>
                <pt idx="77">
                  <v>45978.6666666666</v>
                </pt>
                <pt idx="78">
                  <v>45979.6666666666</v>
                </pt>
                <pt idx="79">
                  <v>45980.6666666666</v>
                </pt>
                <pt idx="80">
                  <v>45981.6666666666</v>
                </pt>
                <pt idx="81">
                  <v>45982.6666666666</v>
                </pt>
                <pt idx="82">
                  <v>45985.6666666666</v>
                </pt>
                <pt idx="83">
                  <v>45986.6666666666</v>
                </pt>
                <pt idx="84">
                  <v>45987.6666666666</v>
                </pt>
                <pt idx="85">
                  <v>45989.5520833333</v>
                </pt>
                <pt idx="86">
                  <v>45992.6666666666</v>
                </pt>
                <pt idx="87">
                  <v>45993.6666666666</v>
                </pt>
                <pt idx="88">
                  <v>45994.6666666666</v>
                </pt>
                <pt idx="89">
                  <v>45995.6666666666</v>
                </pt>
                <pt idx="90">
                  <v>45996.6666666666</v>
                </pt>
                <pt idx="91">
                  <v>45999.6666666666</v>
                </pt>
                <pt idx="92">
                  <v>46000.6666666666</v>
                </pt>
                <pt idx="93">
                  <v>46001.6666666666</v>
                </pt>
                <pt idx="94">
                  <v>46002.6666666666</v>
                </pt>
                <pt idx="95">
                  <v>46003.6666666666</v>
                </pt>
                <pt idx="96">
                  <v>46006.6666666666</v>
                </pt>
                <pt idx="97">
                  <v>46007.6666666666</v>
                </pt>
                <pt idx="98">
                  <v>46008.6666666666</v>
                </pt>
                <pt idx="99">
                  <v>46009.6666666666</v>
                </pt>
                <pt idx="100">
                  <v>46010.6666666666</v>
                </pt>
                <pt idx="101">
                  <v>46013.6666666666</v>
                </pt>
                <pt idx="102">
                  <v>46014.6666666666</v>
                </pt>
                <pt idx="103">
                  <v>46015.5416666666</v>
                </pt>
                <pt idx="104">
                  <v>46017.6666666666</v>
                </pt>
                <pt idx="105">
                  <v>46020.6666666666</v>
                </pt>
                <pt idx="106">
                  <v>46021.6666666666</v>
                </pt>
                <pt idx="107">
                  <v>46022.6666666666</v>
                </pt>
                <pt idx="108">
                  <v>46024.6666666666</v>
                </pt>
                <pt idx="109">
                  <v>46027.6666666666</v>
                </pt>
                <pt idx="110">
                  <v>46028.6666666666</v>
                </pt>
                <pt idx="111">
                  <v>46029.6666666666</v>
                </pt>
                <pt idx="112">
                  <v>46030.6666666666</v>
                </pt>
                <pt idx="113">
                  <v>46031.6666666666</v>
                </pt>
                <pt idx="114">
                  <v>46034.6666666666</v>
                </pt>
                <pt idx="115">
                  <v>46035.6666666666</v>
                </pt>
                <pt idx="116">
                  <v>46036.6666666666</v>
                </pt>
                <pt idx="117">
                  <v>46037.6666666666</v>
                </pt>
                <pt idx="118">
                  <v>46038.6666666666</v>
                </pt>
                <pt idx="119">
                  <v>46042.6666666666</v>
                </pt>
                <pt idx="120">
                  <v>46043.6666666666</v>
                </pt>
                <pt idx="121">
                  <v>46044.6666666666</v>
                </pt>
                <pt idx="122">
                  <v>46045.6666666666</v>
                </pt>
                <pt idx="123">
                  <v>46048.6666666666</v>
                </pt>
                <pt idx="124">
                  <v>46049.6666666666</v>
                </pt>
                <pt idx="125">
                  <v>46050.6666666666</v>
                </pt>
                <pt idx="126">
                  <v>46051.6666666666</v>
                </pt>
                <pt idx="127">
                  <v>46052.6666666666</v>
                </pt>
                <pt idx="128">
                  <v>46055.6666666666</v>
                </pt>
                <pt idx="129">
                  <v>46056.6666666666</v>
                </pt>
                <pt idx="130">
                  <v>46057.6666666666</v>
                </pt>
                <pt idx="131">
                  <v>46058.6666666666</v>
                </pt>
                <pt idx="132">
                  <v>46059.6666666666</v>
                </pt>
                <pt idx="133">
                  <v>46062.6666666666</v>
                </pt>
                <pt idx="134">
                  <v>46063.6666666666</v>
                </pt>
                <pt idx="135">
                  <v>46064.6666666666</v>
                </pt>
                <pt idx="136">
                  <v>46065.6666666666</v>
                </pt>
                <pt idx="137">
                  <v>46066.6666666666</v>
                </pt>
                <pt idx="138">
                  <v>46070.6666666666</v>
                </pt>
                <pt idx="139">
                  <v>46071.6666666666</v>
                </pt>
                <pt idx="140">
                  <v>46072.6666666666</v>
                </pt>
                <pt idx="141">
                  <v>46073.6666666666</v>
                </pt>
                <pt idx="142">
                  <v>46076.6666666666</v>
                </pt>
                <pt idx="143">
                  <v>46077.6666666666</v>
                </pt>
                <pt idx="144">
                  <v>46078.6666666666</v>
                </pt>
                <pt idx="145">
                  <v>46079.6666666666</v>
                </pt>
                <pt idx="146">
                  <v>46080.6666666666</v>
                </pt>
                <pt idx="147">
                  <v>46083.6666666666</v>
                </pt>
                <pt idx="148">
                  <v>46084.6666666666</v>
                </pt>
                <pt idx="149">
                  <v>46085.6666666666</v>
                </pt>
                <pt idx="150">
                  <v>46086.6666666666</v>
                </pt>
                <pt idx="151">
                  <v>46087.6666666666</v>
                </pt>
                <pt idx="152">
                  <v>46090.6666666666</v>
                </pt>
                <pt idx="153">
                  <v>46091.6666666666</v>
                </pt>
                <pt idx="154">
                  <v>46092.6666666666</v>
                </pt>
                <pt idx="155">
                  <v>46093.6666666666</v>
                </pt>
                <pt idx="156">
                  <v>46094.6666666666</v>
                </pt>
                <pt idx="157">
                  <v>46097.6666666666</v>
                </pt>
                <pt idx="158">
                  <v>46098.6666666666</v>
                </pt>
                <pt idx="159">
                  <v>46099.6666666666</v>
                </pt>
                <pt idx="160">
                  <v>46100.6666666666</v>
                </pt>
                <pt idx="161">
                  <v>46101.6666666666</v>
                </pt>
                <pt idx="162">
                  <v>46104.6666666666</v>
                </pt>
                <pt idx="163">
                  <v>46105.6666666666</v>
                </pt>
                <pt idx="164">
                  <v>46106.6666666666</v>
                </pt>
                <pt idx="165">
                  <v>46107.6666666666</v>
                </pt>
                <pt idx="166">
                  <v>46108.6666666666</v>
                </pt>
                <pt idx="167">
                  <v>46111.6666666666</v>
                </pt>
                <pt idx="168">
                  <v>46112.6666666666</v>
                </pt>
                <pt idx="169">
                  <v>46113.6666666666</v>
                </pt>
                <pt idx="170">
                  <v>46114.6666666666</v>
                </pt>
                <pt idx="171">
                  <v>46118.6666666666</v>
                </pt>
                <pt idx="172">
                  <v>46119.6666666666</v>
                </pt>
                <pt idx="173">
                  <v>46120.6666666666</v>
                </pt>
                <pt idx="174">
                  <v>46121.6666666666</v>
                </pt>
                <pt idx="175">
                  <v>46122.6666666666</v>
                </pt>
                <pt idx="176">
                  <v>46125.6666666666</v>
                </pt>
                <pt idx="177">
                  <v>46126.6666666666</v>
                </pt>
                <pt idx="178">
                  <v>46127.6666666666</v>
                </pt>
                <pt idx="179">
                  <v>46128.6666666666</v>
                </pt>
                <pt idx="180">
                  <v>46129.6666666666</v>
                </pt>
                <pt idx="181">
                  <v>46132.6666666666</v>
                </pt>
                <pt idx="182">
                  <v>46133.6666666666</v>
                </pt>
                <pt idx="183">
                  <v>46134.6666666666</v>
                </pt>
                <pt idx="184">
                  <v>46135.6666666666</v>
                </pt>
                <pt idx="185">
                  <v>46136.6666666666</v>
                </pt>
                <pt idx="186">
                  <v>46139.6666666666</v>
                </pt>
                <pt idx="187">
                  <v>46140.6666666666</v>
                </pt>
                <pt idx="188">
                  <v>46141.6666666666</v>
                </pt>
                <pt idx="189">
                  <v>46142.6666666666</v>
                </pt>
                <pt idx="190">
                  <v>46143.6666666666</v>
                </pt>
                <pt idx="191">
                  <v>46146.6666666666</v>
                </pt>
                <pt idx="192">
                  <v>46147.6666666666</v>
                </pt>
                <pt idx="193">
                  <v>46148.6666666666</v>
                </pt>
                <pt idx="194">
                  <v>46149.6666666666</v>
                </pt>
                <pt idx="195">
                  <v>46150.6666666666</v>
                </pt>
                <pt idx="196">
                  <v>46153.6666666666</v>
                </pt>
                <pt idx="197">
                  <v>46154.6666666666</v>
                </pt>
                <pt idx="198">
                  <v>46155.6666666666</v>
                </pt>
                <pt idx="199">
                  <v>46156.6666666666</v>
                </pt>
                <pt idx="200">
                  <v>46157.6666666666</v>
                </pt>
                <pt idx="201">
                  <v>46160.6666666666</v>
                </pt>
                <pt idx="202">
                  <v>46161.6666666666</v>
                </pt>
                <pt idx="203">
                  <v>46162.6666666666</v>
                </pt>
                <pt idx="204">
                  <v>46163.6666666666</v>
                </pt>
                <pt idx="205">
                  <v>46164.6666666666</v>
                </pt>
                <pt idx="206">
                  <v>46168.6666666666</v>
                </pt>
                <pt idx="207">
                  <v>46169.6666666666</v>
                </pt>
                <pt idx="208">
                  <v>46170.6666666666</v>
                </pt>
                <pt idx="209">
                  <v>46171.6666666666</v>
                </pt>
                <pt idx="210">
                  <v>46174.6666666666</v>
                </pt>
                <pt idx="211">
                  <v>46175.6666666666</v>
                </pt>
                <pt idx="212">
                  <v>46176.6666666666</v>
                </pt>
                <pt idx="213">
                  <v>46177.6666666666</v>
                </pt>
                <pt idx="214">
                  <v>46178.6666666666</v>
                </pt>
                <pt idx="215">
                  <v>46181.6666666666</v>
                </pt>
                <pt idx="216">
                  <v>46182.6666666666</v>
                </pt>
                <pt idx="217">
                  <v>46183.6666666666</v>
                </pt>
                <pt idx="218">
                  <v>46184.6666666666</v>
                </pt>
                <pt idx="219">
                  <v>46185.6666666666</v>
                </pt>
                <pt idx="220">
                  <v>46188.6666666666</v>
                </pt>
                <pt idx="221">
                  <v>46189.6666666666</v>
                </pt>
                <pt idx="222">
                  <v>46190.6666666666</v>
                </pt>
                <pt idx="223">
                  <v>46191.6666666666</v>
                </pt>
                <pt idx="224">
                  <v>46195.6666666666</v>
                </pt>
                <pt idx="225">
                  <v>46196.6666666666</v>
                </pt>
                <pt idx="226">
                  <v>46197.6666666666</v>
                </pt>
                <pt idx="227">
                  <v>46198.6666666666</v>
                </pt>
                <pt idx="228">
                  <v>46199.6666666666</v>
                </pt>
                <pt idx="229">
                  <v>46202.6666666666</v>
                </pt>
                <pt idx="230">
                  <v>46203.6666666666</v>
                </pt>
                <pt idx="231">
                  <v>46204.6666666666</v>
                </pt>
                <pt idx="232">
                  <v>46205.6666666666</v>
                </pt>
                <pt idx="233">
                  <v>46209.6666666666</v>
                </pt>
                <pt idx="234">
                  <v>46210.6666666666</v>
                </pt>
                <pt idx="235">
                  <v>46211.6666666666</v>
                </pt>
                <pt idx="236">
                  <v>46212.6666666666</v>
                </pt>
                <pt idx="237">
                  <v>46213.6666666666</v>
                </pt>
                <pt idx="238">
                  <v>46216.6666666666</v>
                </pt>
                <pt idx="239">
                  <v>46217.6666666666</v>
                </pt>
                <pt idx="240">
                  <v>46218.6666666666</v>
                </pt>
                <pt idx="241">
                  <v>46219.6666666666</v>
                </pt>
                <pt idx="242">
                  <v>46220.6666666666</v>
                </pt>
                <pt idx="243">
                  <v>46223.6666666666</v>
                </pt>
                <pt idx="244">
                  <v>46224.6666666666</v>
                </pt>
                <pt idx="245">
                  <v>46225.6666666666</v>
                </pt>
                <pt idx="246">
                  <v>46226.6666666666</v>
                </pt>
                <pt idx="247">
                  <v>46227.6666666666</v>
                </pt>
                <pt idx="248">
                  <v>46230.6666666666</v>
                </pt>
                <pt idx="249">
                  <v>46231.6666666666</v>
                </pt>
                <pt idx="250">
                  <v>46232.6666666666</v>
                </pt>
              </numCache>
            </numRef>
          </cat>
          <val>
            <numRef>
              <f>VWO!$F$28:$F$1000</f>
              <numCache>
                <formatCode>#,##0.00</formatCode>
                <ptCount val="973"/>
                <pt idx="0">
                  <v>50.06</v>
                </pt>
                <pt idx="1">
                  <v>49.8</v>
                </pt>
                <pt idx="2">
                  <v>49.54</v>
                </pt>
                <pt idx="3">
                  <v>50</v>
                </pt>
                <pt idx="4">
                  <v>50.16</v>
                </pt>
                <pt idx="5">
                  <v>50.38</v>
                </pt>
                <pt idx="6">
                  <v>50.75</v>
                </pt>
                <pt idx="7">
                  <v>50.69</v>
                </pt>
                <pt idx="8">
                  <v>50.63</v>
                </pt>
                <pt idx="9">
                  <v>51.21</v>
                </pt>
                <pt idx="10">
                  <v>51.79</v>
                </pt>
                <pt idx="11">
                  <v>51.21</v>
                </pt>
                <pt idx="12">
                  <v>51.36</v>
                </pt>
                <pt idx="13">
                  <v>51.75</v>
                </pt>
                <pt idx="14">
                  <v>51.38</v>
                </pt>
                <pt idx="15">
                  <v>51.36</v>
                </pt>
                <pt idx="16">
                  <v>51.27</v>
                </pt>
                <pt idx="17">
                  <v>52.17</v>
                </pt>
                <pt idx="18">
                  <v>51.95</v>
                </pt>
                <pt idx="19">
                  <v>51.84</v>
                </pt>
                <pt idx="20">
                  <v>51.49</v>
                </pt>
                <pt idx="21">
                  <v>51.68</v>
                </pt>
                <pt idx="22">
                  <v>51.53</v>
                </pt>
                <pt idx="23">
                  <v>51.46</v>
                </pt>
                <pt idx="24">
                  <v>51.6</v>
                </pt>
                <pt idx="25">
                  <v>51.38</v>
                </pt>
                <pt idx="26">
                  <v>51.97</v>
                </pt>
                <pt idx="27">
                  <v>52.48</v>
                </pt>
                <pt idx="28">
                  <v>52.68</v>
                </pt>
                <pt idx="29">
                  <v>52.92</v>
                </pt>
                <pt idx="30">
                  <v>53.58</v>
                </pt>
                <pt idx="31">
                  <v>53.48</v>
                </pt>
                <pt idx="32">
                  <v>53.84</v>
                </pt>
                <pt idx="33">
                  <v>54.18</v>
                </pt>
                <pt idx="34">
                  <v>54.52</v>
                </pt>
                <pt idx="35">
                  <v>54.27</v>
                </pt>
                <pt idx="36">
                  <v>53.92</v>
                </pt>
                <pt idx="37">
                  <v>54.07</v>
                </pt>
                <pt idx="38">
                  <v>54.06</v>
                </pt>
                <pt idx="39">
                  <v>53.96</v>
                </pt>
                <pt idx="40">
                  <v>53.65</v>
                </pt>
                <pt idx="41">
                  <v>53.55</v>
                </pt>
                <pt idx="42">
                  <v>53.94</v>
                </pt>
                <pt idx="43">
                  <v>54.18</v>
                </pt>
                <pt idx="44">
                  <v>54.52</v>
                </pt>
                <pt idx="45">
                  <v>54.67</v>
                </pt>
                <pt idx="46">
                  <v>54.79</v>
                </pt>
                <pt idx="47">
                  <v>54.98</v>
                </pt>
                <pt idx="48">
                  <v>54.68</v>
                </pt>
                <pt idx="49">
                  <v>54.99</v>
                </pt>
                <pt idx="50">
                  <v>54.51</v>
                </pt>
                <pt idx="51">
                  <v>52.54</v>
                </pt>
                <pt idx="52">
                  <v>54</v>
                </pt>
                <pt idx="53">
                  <v>53.52</v>
                </pt>
                <pt idx="54">
                  <v>54.33</v>
                </pt>
                <pt idx="55">
                  <v>54.51</v>
                </pt>
                <pt idx="56">
                  <v>54.38</v>
                </pt>
                <pt idx="57">
                  <v>55.03</v>
                </pt>
                <pt idx="58">
                  <v>54.54</v>
                </pt>
                <pt idx="59">
                  <v>54.51</v>
                </pt>
                <pt idx="60">
                  <v>54.92</v>
                </pt>
                <pt idx="61">
                  <v>55.18</v>
                </pt>
                <pt idx="62">
                  <v>55.64</v>
                </pt>
                <pt idx="63">
                  <v>55.61</v>
                </pt>
                <pt idx="64">
                  <v>55.77</v>
                </pt>
                <pt idx="65">
                  <v>55.19</v>
                </pt>
                <pt idx="66">
                  <v>54.97</v>
                </pt>
                <pt idx="67">
                  <v>55.09</v>
                </pt>
                <pt idx="68">
                  <v>54.32</v>
                </pt>
                <pt idx="69">
                  <v>54.8</v>
                </pt>
                <pt idx="70">
                  <v>54.59</v>
                </pt>
                <pt idx="71">
                  <v>54.54</v>
                </pt>
                <pt idx="72">
                  <v>55.27</v>
                </pt>
                <pt idx="73">
                  <v>55.33</v>
                </pt>
                <pt idx="74">
                  <v>55.32</v>
                </pt>
                <pt idx="75">
                  <v>54.83</v>
                </pt>
                <pt idx="76">
                  <v>54.85</v>
                </pt>
                <pt idx="77">
                  <v>54.22</v>
                </pt>
                <pt idx="78">
                  <v>54.04</v>
                </pt>
                <pt idx="79">
                  <v>53.92</v>
                </pt>
                <pt idx="80">
                  <v>53.28</v>
                </pt>
                <pt idx="81">
                  <v>53.07</v>
                </pt>
                <pt idx="82">
                  <v>53.61</v>
                </pt>
                <pt idx="83">
                  <v>53.85</v>
                </pt>
                <pt idx="84">
                  <v>54.11</v>
                </pt>
                <pt idx="85">
                  <v>54.3</v>
                </pt>
                <pt idx="86">
                  <v>54.25</v>
                </pt>
                <pt idx="87">
                  <v>54.13</v>
                </pt>
                <pt idx="88">
                  <v>54.06</v>
                </pt>
                <pt idx="89">
                  <v>54.18</v>
                </pt>
                <pt idx="90">
                  <v>54.4</v>
                </pt>
                <pt idx="91">
                  <v>54.2</v>
                </pt>
                <pt idx="92">
                  <v>54.11</v>
                </pt>
                <pt idx="93">
                  <v>54.56</v>
                </pt>
                <pt idx="94">
                  <v>54.44</v>
                </pt>
                <pt idx="95">
                  <v>53.94</v>
                </pt>
                <pt idx="96">
                  <v>53.78</v>
                </pt>
                <pt idx="97">
                  <v>53.48</v>
                </pt>
                <pt idx="98">
                  <v>53.13</v>
                </pt>
                <pt idx="99">
                  <v>53.58</v>
                </pt>
                <pt idx="100">
                  <v>53.11</v>
                </pt>
                <pt idx="101">
                  <v>53.45</v>
                </pt>
                <pt idx="102">
                  <v>53.7</v>
                </pt>
                <pt idx="103">
                  <v>53.68</v>
                </pt>
                <pt idx="104">
                  <v>54.02</v>
                </pt>
                <pt idx="105">
                  <v>53.61</v>
                </pt>
                <pt idx="106">
                  <v>53.81</v>
                </pt>
                <pt idx="107">
                  <v>53.76</v>
                </pt>
                <pt idx="108">
                  <v>54.93</v>
                </pt>
                <pt idx="109">
                  <v>55.29</v>
                </pt>
                <pt idx="110">
                  <v>55.59</v>
                </pt>
                <pt idx="111">
                  <v>55.25</v>
                </pt>
                <pt idx="112">
                  <v>55.31</v>
                </pt>
                <pt idx="113">
                  <v>55.43</v>
                </pt>
                <pt idx="114">
                  <v>56.29</v>
                </pt>
                <pt idx="115">
                  <v>55.96</v>
                </pt>
                <pt idx="116">
                  <v>56.08</v>
                </pt>
                <pt idx="117">
                  <v>56.34</v>
                </pt>
                <pt idx="118">
                  <v>56</v>
                </pt>
                <pt idx="119">
                  <v>55.54</v>
                </pt>
                <pt idx="120">
                  <v>56.11</v>
                </pt>
                <pt idx="121">
                  <v>56.55</v>
                </pt>
                <pt idx="122">
                  <v>56.77</v>
                </pt>
                <pt idx="123">
                  <v>56.93</v>
                </pt>
                <pt idx="124">
                  <v>57.64</v>
                </pt>
                <pt idx="125">
                  <v>57.86</v>
                </pt>
                <pt idx="126">
                  <v>57.64</v>
                </pt>
                <pt idx="127">
                  <v>56.47</v>
                </pt>
                <pt idx="128">
                  <v>56.78</v>
                </pt>
                <pt idx="129">
                  <v>56.75</v>
                </pt>
                <pt idx="130">
                  <v>56.41</v>
                </pt>
                <pt idx="131">
                  <v>56.04</v>
                </pt>
                <pt idx="132">
                  <v>57.26</v>
                </pt>
                <pt idx="133">
                  <v>57.75</v>
                </pt>
                <pt idx="134">
                  <v>58.01</v>
                </pt>
                <pt idx="135">
                  <v>58.51</v>
                </pt>
                <pt idx="136">
                  <v>57.76</v>
                </pt>
                <pt idx="137">
                  <v>57.75</v>
                </pt>
                <pt idx="138">
                  <v>57.79</v>
                </pt>
                <pt idx="139">
                  <v>57.95</v>
                </pt>
                <pt idx="140">
                  <v>57.59</v>
                </pt>
                <pt idx="141">
                  <v>58.53</v>
                </pt>
                <pt idx="142">
                  <v>58.06</v>
                </pt>
                <pt idx="143">
                  <v>58.68</v>
                </pt>
                <pt idx="144">
                  <v>59.01</v>
                </pt>
                <pt idx="145">
                  <v>58.27</v>
                </pt>
                <pt idx="146">
                  <v>58.1</v>
                </pt>
                <pt idx="147">
                  <v>57.24</v>
                </pt>
                <pt idx="148">
                  <v>55.23</v>
                </pt>
                <pt idx="149">
                  <v>55.58</v>
                </pt>
                <pt idx="150">
                  <v>54.85</v>
                </pt>
                <pt idx="151">
                  <v>54.47</v>
                </pt>
                <pt idx="152">
                  <v>55.13</v>
                </pt>
                <pt idx="153">
                  <v>55.51</v>
                </pt>
                <pt idx="154">
                  <v>55.56</v>
                </pt>
                <pt idx="155">
                  <v>54.31</v>
                </pt>
                <pt idx="156">
                  <v>54.02</v>
                </pt>
                <pt idx="157">
                  <v>55.02</v>
                </pt>
                <pt idx="158">
                  <v>55.26</v>
                </pt>
                <pt idx="159">
                  <v>54.21</v>
                </pt>
                <pt idx="160">
                  <v>54.01</v>
                </pt>
                <pt idx="161">
                  <v>52.56</v>
                </pt>
                <pt idx="162">
                  <v>53.8</v>
                </pt>
                <pt idx="163">
                  <v>53.31</v>
                </pt>
                <pt idx="164">
                  <v>54.34</v>
                </pt>
                <pt idx="165">
                  <v>52.85</v>
                </pt>
                <pt idx="166">
                  <v>52.49</v>
                </pt>
                <pt idx="167">
                  <v>52.42</v>
                </pt>
                <pt idx="168">
                  <v>54.05</v>
                </pt>
                <pt idx="169">
                  <v>54.21</v>
                </pt>
                <pt idx="170">
                  <v>53.82</v>
                </pt>
                <pt idx="171">
                  <v>54.01</v>
                </pt>
                <pt idx="172">
                  <v>54.09</v>
                </pt>
                <pt idx="173">
                  <v>56.5</v>
                </pt>
                <pt idx="174">
                  <v>56.44</v>
                </pt>
                <pt idx="175">
                  <v>56.75</v>
                </pt>
                <pt idx="176">
                  <v>57.18</v>
                </pt>
                <pt idx="177">
                  <v>57.98</v>
                </pt>
                <pt idx="178">
                  <v>58.09</v>
                </pt>
                <pt idx="179">
                  <v>58.21</v>
                </pt>
                <pt idx="180">
                  <v>59.18</v>
                </pt>
                <pt idx="181">
                  <v>58.91</v>
                </pt>
                <pt idx="182">
                  <v>58.2</v>
                </pt>
                <pt idx="183">
                  <v>58.76</v>
                </pt>
                <pt idx="184">
                  <v>57.92</v>
                </pt>
                <pt idx="185">
                  <v>59.02</v>
                </pt>
                <pt idx="186">
                  <v>58.73</v>
                </pt>
                <pt idx="187">
                  <v>58.32</v>
                </pt>
                <pt idx="188">
                  <v>58.08</v>
                </pt>
                <pt idx="189">
                  <v>58.93</v>
                </pt>
                <pt idx="190">
                  <v>58.99</v>
                </pt>
                <pt idx="191">
                  <v>58.73</v>
                </pt>
                <pt idx="192">
                  <v>59.36</v>
                </pt>
                <pt idx="193">
                  <v>60.75</v>
                </pt>
                <pt idx="194">
                  <v>60.21</v>
                </pt>
                <pt idx="195">
                  <v>60.54</v>
                </pt>
                <pt idx="196">
                  <v>60.39</v>
                </pt>
                <pt idx="197">
                  <v>59.39</v>
                </pt>
                <pt idx="198">
                  <v>59.94</v>
                </pt>
                <pt idx="199">
                  <v>59.96</v>
                </pt>
                <pt idx="200">
                  <v>58.44</v>
                </pt>
                <pt idx="201">
                  <v>58.48</v>
                </pt>
                <pt idx="202">
                  <v>57.87</v>
                </pt>
                <pt idx="203">
                  <v>58.67</v>
                </pt>
                <pt idx="204">
                  <v>58.7</v>
                </pt>
                <pt idx="205">
                  <v>58.98</v>
                </pt>
                <pt idx="206">
                  <v>60.23</v>
                </pt>
                <pt idx="207">
                  <v>60.29</v>
                </pt>
                <pt idx="208">
                  <v>59.9</v>
                </pt>
                <pt idx="209">
                  <v>59.88</v>
                </pt>
                <pt idx="210">
                  <v>60.42</v>
                </pt>
                <pt idx="211">
                  <v>61.19</v>
                </pt>
                <pt idx="212">
                  <v>60.33</v>
                </pt>
                <pt idx="213">
                  <v>60.31</v>
                </pt>
                <pt idx="214">
                  <v>58.03</v>
                </pt>
                <pt idx="215">
                  <v>58.33</v>
                </pt>
                <pt idx="216">
                  <v>58.45</v>
                </pt>
                <pt idx="217">
                  <v>57.72</v>
                </pt>
                <pt idx="218">
                  <v>59.1</v>
                </pt>
                <pt idx="219">
                  <v>59.55</v>
                </pt>
                <pt idx="220">
                  <v>60.84</v>
                </pt>
                <pt idx="221">
                  <v>60.16</v>
                </pt>
                <pt idx="222">
                  <v>59.81</v>
                </pt>
                <pt idx="223">
                  <v>60.77</v>
                </pt>
                <pt idx="224">
                  <v>61.24</v>
                </pt>
                <pt idx="225">
                  <v>59.36</v>
                </pt>
                <pt idx="226">
                  <v>58.97</v>
                </pt>
                <pt idx="227">
                  <v>58.8</v>
                </pt>
                <pt idx="228">
                  <v>58.58</v>
                </pt>
                <pt idx="229">
                  <v>59.18</v>
                </pt>
                <pt idx="230">
                  <v>59.69</v>
                </pt>
                <pt idx="231">
                  <v>59.22</v>
                </pt>
                <pt idx="232">
                  <v>59.04</v>
                </pt>
                <pt idx="233">
                  <v>60.07</v>
                </pt>
                <pt idx="234">
                  <v>58.88</v>
                </pt>
                <pt idx="235">
                  <v>59.17</v>
                </pt>
                <pt idx="236">
                  <v>59.49</v>
                </pt>
                <pt idx="237">
                  <v>59.89</v>
                </pt>
                <pt idx="238">
                  <v>58.79</v>
                </pt>
                <pt idx="239">
                  <v>59.08</v>
                </pt>
                <pt idx="240">
                  <v>59.48</v>
                </pt>
                <pt idx="241">
                  <v>58.84</v>
                </pt>
                <pt idx="242">
                  <v>57.84</v>
                </pt>
                <pt idx="243">
                  <v>57.93</v>
                </pt>
                <pt idx="244">
                  <v>58.86</v>
                </pt>
                <pt idx="245">
                  <v>58.81</v>
                </pt>
                <pt idx="246">
                  <v>58.1</v>
                </pt>
                <pt idx="247">
                  <v>57.8</v>
                </pt>
                <pt idx="248">
                  <v>58.23</v>
                </pt>
                <pt idx="249">
                  <v>57.74</v>
                </pt>
                <pt idx="250">
                  <v>56.92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ko-KR"/>
        </a:p>
      </txPr>
    </legend>
    <plotVisOnly val="1"/>
    <dispBlanksAs val="zero"/>
  </chart>
</chartSpace>
</file>

<file path=xl/charts/chart13.xml><?xml version="1.0" encoding="utf-8"?>
<chartSpace xmlns:a="http://schemas.openxmlformats.org/drawingml/2006/main" xmlns="http://schemas.openxmlformats.org/drawingml/2006/chart">
  <chart>
    <plotArea>
      <layout/>
      <areaChart>
        <grouping val="standard"/>
        <varyColors val="1"/>
        <ser>
          <idx val="0"/>
          <order val="0"/>
          <tx>
            <strRef>
              <f>EMB!$F$27</f>
              <strCache>
                <ptCount val="1"/>
                <pt idx="0">
                  <v>Close</v>
                </pt>
              </strCache>
            </strRef>
          </tx>
          <spPr>
            <a:solidFill>
              <a:srgbClr val="4285F4"/>
            </a:solidFill>
            <a:ln cmpd="sng">
              <a:solidFill>
                <a:srgbClr val="4285F4"/>
              </a:solidFill>
              <a:prstDash val="solid"/>
            </a:ln>
          </spPr>
          <cat>
            <numRef>
              <f>EMB!$B$28:$B$1000</f>
              <numCache>
                <formatCode>mmm" "d", "yyyy</formatCode>
                <ptCount val="973"/>
                <pt idx="0">
                  <v>45868.6666666666</v>
                </pt>
                <pt idx="1">
                  <v>45869.6666666666</v>
                </pt>
                <pt idx="2">
                  <v>45870.6666666666</v>
                </pt>
                <pt idx="3">
                  <v>45873.6666666666</v>
                </pt>
                <pt idx="4">
                  <v>45874.6666666666</v>
                </pt>
                <pt idx="5">
                  <v>45875.6666666666</v>
                </pt>
                <pt idx="6">
                  <v>45876.6666666666</v>
                </pt>
                <pt idx="7">
                  <v>45877.6666666666</v>
                </pt>
                <pt idx="8">
                  <v>45880.6666666666</v>
                </pt>
                <pt idx="9">
                  <v>45881.6666666666</v>
                </pt>
                <pt idx="10">
                  <v>45882.6666666666</v>
                </pt>
                <pt idx="11">
                  <v>45883.6666666666</v>
                </pt>
                <pt idx="12">
                  <v>45884.6666666666</v>
                </pt>
                <pt idx="13">
                  <v>45887.6666666666</v>
                </pt>
                <pt idx="14">
                  <v>45888.6666666666</v>
                </pt>
                <pt idx="15">
                  <v>45889.6666666666</v>
                </pt>
                <pt idx="16">
                  <v>45890.6666666666</v>
                </pt>
                <pt idx="17">
                  <v>45891.6666666666</v>
                </pt>
                <pt idx="18">
                  <v>45894.6666666666</v>
                </pt>
                <pt idx="19">
                  <v>45895.6666666666</v>
                </pt>
                <pt idx="20">
                  <v>45896.6666666666</v>
                </pt>
                <pt idx="21">
                  <v>45897.6666666666</v>
                </pt>
                <pt idx="22">
                  <v>45898.6666666666</v>
                </pt>
                <pt idx="23">
                  <v>45902.6666666666</v>
                </pt>
                <pt idx="24">
                  <v>45903.6666666666</v>
                </pt>
                <pt idx="25">
                  <v>45904.6666666666</v>
                </pt>
                <pt idx="26">
                  <v>45905.6666666666</v>
                </pt>
                <pt idx="27">
                  <v>45908.6666666666</v>
                </pt>
                <pt idx="28">
                  <v>45909.6666666666</v>
                </pt>
                <pt idx="29">
                  <v>45910.6666666666</v>
                </pt>
                <pt idx="30">
                  <v>45911.6666666666</v>
                </pt>
                <pt idx="31">
                  <v>45912.6666666666</v>
                </pt>
                <pt idx="32">
                  <v>45915.6666666666</v>
                </pt>
                <pt idx="33">
                  <v>45916.6666666666</v>
                </pt>
                <pt idx="34">
                  <v>45917.6666666666</v>
                </pt>
                <pt idx="35">
                  <v>45918.6666666666</v>
                </pt>
                <pt idx="36">
                  <v>45919.6666666666</v>
                </pt>
                <pt idx="37">
                  <v>45922.6666666666</v>
                </pt>
                <pt idx="38">
                  <v>45923.6666666666</v>
                </pt>
                <pt idx="39">
                  <v>45924.6666666666</v>
                </pt>
                <pt idx="40">
                  <v>45925.6666666666</v>
                </pt>
                <pt idx="41">
                  <v>45926.6666666666</v>
                </pt>
                <pt idx="42">
                  <v>45929.6666666666</v>
                </pt>
                <pt idx="43">
                  <v>45930.6666666666</v>
                </pt>
                <pt idx="44">
                  <v>45931.6666666666</v>
                </pt>
                <pt idx="45">
                  <v>45932.6666666666</v>
                </pt>
                <pt idx="46">
                  <v>45933.6666666666</v>
                </pt>
                <pt idx="47">
                  <v>45936.6666666666</v>
                </pt>
                <pt idx="48">
                  <v>45937.6666666666</v>
                </pt>
                <pt idx="49">
                  <v>45938.6666666666</v>
                </pt>
                <pt idx="50">
                  <v>45939.6666666666</v>
                </pt>
                <pt idx="51">
                  <v>45940.6666666666</v>
                </pt>
                <pt idx="52">
                  <v>45943.6666666666</v>
                </pt>
                <pt idx="53">
                  <v>45944.6666666666</v>
                </pt>
                <pt idx="54">
                  <v>45945.6666666666</v>
                </pt>
                <pt idx="55">
                  <v>45946.6666666666</v>
                </pt>
                <pt idx="56">
                  <v>45947.6666666666</v>
                </pt>
                <pt idx="57">
                  <v>45950.6666666666</v>
                </pt>
                <pt idx="58">
                  <v>45951.6666666666</v>
                </pt>
                <pt idx="59">
                  <v>45952.6666666666</v>
                </pt>
                <pt idx="60">
                  <v>45953.6666666666</v>
                </pt>
                <pt idx="61">
                  <v>45954.6666666666</v>
                </pt>
                <pt idx="62">
                  <v>45957.6666666666</v>
                </pt>
                <pt idx="63">
                  <v>45958.6666666666</v>
                </pt>
                <pt idx="64">
                  <v>45959.6666666666</v>
                </pt>
                <pt idx="65">
                  <v>45960.6666666666</v>
                </pt>
                <pt idx="66">
                  <v>45961.6666666666</v>
                </pt>
                <pt idx="67">
                  <v>45964.6666666666</v>
                </pt>
                <pt idx="68">
                  <v>45965.6666666666</v>
                </pt>
                <pt idx="69">
                  <v>45966.6666666666</v>
                </pt>
                <pt idx="70">
                  <v>45967.6666666666</v>
                </pt>
                <pt idx="71">
                  <v>45968.6666666666</v>
                </pt>
                <pt idx="72">
                  <v>45971.6666666666</v>
                </pt>
                <pt idx="73">
                  <v>45972.6666666666</v>
                </pt>
                <pt idx="74">
                  <v>45973.6666666666</v>
                </pt>
                <pt idx="75">
                  <v>45974.6666666666</v>
                </pt>
                <pt idx="76">
                  <v>45975.6666666666</v>
                </pt>
                <pt idx="77">
                  <v>45978.6666666666</v>
                </pt>
                <pt idx="78">
                  <v>45979.6666666666</v>
                </pt>
                <pt idx="79">
                  <v>45980.6666666666</v>
                </pt>
                <pt idx="80">
                  <v>45981.6666666666</v>
                </pt>
                <pt idx="81">
                  <v>45982.6666666666</v>
                </pt>
                <pt idx="82">
                  <v>45985.6666666666</v>
                </pt>
                <pt idx="83">
                  <v>45986.6666666666</v>
                </pt>
                <pt idx="84">
                  <v>45987.6666666666</v>
                </pt>
                <pt idx="85">
                  <v>45989.5451388888</v>
                </pt>
                <pt idx="86">
                  <v>45992.6666666666</v>
                </pt>
                <pt idx="87">
                  <v>45993.6666666666</v>
                </pt>
                <pt idx="88">
                  <v>45994.6666666666</v>
                </pt>
                <pt idx="89">
                  <v>45995.6666666666</v>
                </pt>
                <pt idx="90">
                  <v>45996.6666666666</v>
                </pt>
                <pt idx="91">
                  <v>45999.6666666666</v>
                </pt>
                <pt idx="92">
                  <v>46000.6666666666</v>
                </pt>
                <pt idx="93">
                  <v>46001.6666666666</v>
                </pt>
                <pt idx="94">
                  <v>46002.6666666666</v>
                </pt>
                <pt idx="95">
                  <v>46003.6666666666</v>
                </pt>
                <pt idx="96">
                  <v>46006.6666666666</v>
                </pt>
                <pt idx="97">
                  <v>46007.6666666666</v>
                </pt>
                <pt idx="98">
                  <v>46008.6666666666</v>
                </pt>
                <pt idx="99">
                  <v>46009.6666666666</v>
                </pt>
                <pt idx="100">
                  <v>46010.6666666666</v>
                </pt>
                <pt idx="101">
                  <v>46013.6666666666</v>
                </pt>
                <pt idx="102">
                  <v>46014.6666666666</v>
                </pt>
                <pt idx="103">
                  <v>46015.5451388888</v>
                </pt>
                <pt idx="104">
                  <v>46017.6666666666</v>
                </pt>
                <pt idx="105">
                  <v>46020.6666666666</v>
                </pt>
                <pt idx="106">
                  <v>46021.6666666666</v>
                </pt>
                <pt idx="107">
                  <v>46022.6666666666</v>
                </pt>
                <pt idx="108">
                  <v>46024.6666666666</v>
                </pt>
                <pt idx="109">
                  <v>46027.6666666666</v>
                </pt>
                <pt idx="110">
                  <v>46028.6666666666</v>
                </pt>
                <pt idx="111">
                  <v>46029.6666666666</v>
                </pt>
                <pt idx="112">
                  <v>46030.6666666666</v>
                </pt>
                <pt idx="113">
                  <v>46031.6666666666</v>
                </pt>
                <pt idx="114">
                  <v>46034.6666666666</v>
                </pt>
                <pt idx="115">
                  <v>46035.6666666666</v>
                </pt>
                <pt idx="116">
                  <v>46036.6666666666</v>
                </pt>
                <pt idx="117">
                  <v>46037.6666666666</v>
                </pt>
                <pt idx="118">
                  <v>46038.6666666666</v>
                </pt>
                <pt idx="119">
                  <v>46042.6666666666</v>
                </pt>
                <pt idx="120">
                  <v>46043.6666666666</v>
                </pt>
                <pt idx="121">
                  <v>46044.6666666666</v>
                </pt>
                <pt idx="122">
                  <v>46045.6666666666</v>
                </pt>
                <pt idx="123">
                  <v>46048.6666666666</v>
                </pt>
                <pt idx="124">
                  <v>46049.6666666666</v>
                </pt>
                <pt idx="125">
                  <v>46050.6666666666</v>
                </pt>
                <pt idx="126">
                  <v>46051.6666666666</v>
                </pt>
                <pt idx="127">
                  <v>46052.6666666666</v>
                </pt>
                <pt idx="128">
                  <v>46055.6666666666</v>
                </pt>
                <pt idx="129">
                  <v>46056.6666666666</v>
                </pt>
                <pt idx="130">
                  <v>46057.6666666666</v>
                </pt>
                <pt idx="131">
                  <v>46058.6666666666</v>
                </pt>
                <pt idx="132">
                  <v>46059.6666666666</v>
                </pt>
                <pt idx="133">
                  <v>46062.6666666666</v>
                </pt>
                <pt idx="134">
                  <v>46063.6666666666</v>
                </pt>
                <pt idx="135">
                  <v>46064.6666666666</v>
                </pt>
                <pt idx="136">
                  <v>46065.6666666666</v>
                </pt>
                <pt idx="137">
                  <v>46066.6666666666</v>
                </pt>
                <pt idx="138">
                  <v>46070.6666666666</v>
                </pt>
                <pt idx="139">
                  <v>46071.6666666666</v>
                </pt>
                <pt idx="140">
                  <v>46072.6666666666</v>
                </pt>
                <pt idx="141">
                  <v>46073.6666666666</v>
                </pt>
                <pt idx="142">
                  <v>46076.6666666666</v>
                </pt>
                <pt idx="143">
                  <v>46077.6666666666</v>
                </pt>
                <pt idx="144">
                  <v>46078.6666666666</v>
                </pt>
                <pt idx="145">
                  <v>46079.6666666666</v>
                </pt>
                <pt idx="146">
                  <v>46080.6666666666</v>
                </pt>
                <pt idx="147">
                  <v>46083.6666666666</v>
                </pt>
                <pt idx="148">
                  <v>46084.6666666666</v>
                </pt>
                <pt idx="149">
                  <v>46085.6666666666</v>
                </pt>
                <pt idx="150">
                  <v>46086.6666666666</v>
                </pt>
                <pt idx="151">
                  <v>46087.6666666666</v>
                </pt>
                <pt idx="152">
                  <v>46090.6666666666</v>
                </pt>
                <pt idx="153">
                  <v>46091.6666666666</v>
                </pt>
                <pt idx="154">
                  <v>46092.6666666666</v>
                </pt>
                <pt idx="155">
                  <v>46093.6666666666</v>
                </pt>
                <pt idx="156">
                  <v>46094.6666666666</v>
                </pt>
                <pt idx="157">
                  <v>46097.6666666666</v>
                </pt>
                <pt idx="158">
                  <v>46098.6666666666</v>
                </pt>
                <pt idx="159">
                  <v>46099.6666666666</v>
                </pt>
                <pt idx="160">
                  <v>46100.6666666666</v>
                </pt>
                <pt idx="161">
                  <v>46101.6666666666</v>
                </pt>
                <pt idx="162">
                  <v>46104.6666666666</v>
                </pt>
                <pt idx="163">
                  <v>46105.6666666666</v>
                </pt>
                <pt idx="164">
                  <v>46106.6666666666</v>
                </pt>
                <pt idx="165">
                  <v>46107.6666666666</v>
                </pt>
                <pt idx="166">
                  <v>46108.6666666666</v>
                </pt>
                <pt idx="167">
                  <v>46111.6666666666</v>
                </pt>
                <pt idx="168">
                  <v>46112.6666666666</v>
                </pt>
                <pt idx="169">
                  <v>46113.6666666666</v>
                </pt>
                <pt idx="170">
                  <v>46114.6666666666</v>
                </pt>
                <pt idx="171">
                  <v>46118.6666666666</v>
                </pt>
                <pt idx="172">
                  <v>46119.6666666666</v>
                </pt>
                <pt idx="173">
                  <v>46120.6666666666</v>
                </pt>
                <pt idx="174">
                  <v>46121.6666666666</v>
                </pt>
                <pt idx="175">
                  <v>46122.6666666666</v>
                </pt>
                <pt idx="176">
                  <v>46125.6666666666</v>
                </pt>
                <pt idx="177">
                  <v>46126.6666666666</v>
                </pt>
                <pt idx="178">
                  <v>46127.6666666666</v>
                </pt>
                <pt idx="179">
                  <v>46128.6666666666</v>
                </pt>
                <pt idx="180">
                  <v>46129.6666666666</v>
                </pt>
                <pt idx="181">
                  <v>46132.6666666666</v>
                </pt>
                <pt idx="182">
                  <v>46133.6666666666</v>
                </pt>
                <pt idx="183">
                  <v>46134.6666666666</v>
                </pt>
                <pt idx="184">
                  <v>46135.6666666666</v>
                </pt>
                <pt idx="185">
                  <v>46136.6666666666</v>
                </pt>
                <pt idx="186">
                  <v>46139.6666666666</v>
                </pt>
                <pt idx="187">
                  <v>46140.6666666666</v>
                </pt>
                <pt idx="188">
                  <v>46141.6666666666</v>
                </pt>
                <pt idx="189">
                  <v>46142.6666666666</v>
                </pt>
                <pt idx="190">
                  <v>46143.6666666666</v>
                </pt>
                <pt idx="191">
                  <v>46146.6666666666</v>
                </pt>
                <pt idx="192">
                  <v>46147.6666666666</v>
                </pt>
                <pt idx="193">
                  <v>46148.6666666666</v>
                </pt>
                <pt idx="194">
                  <v>46149.6666666666</v>
                </pt>
                <pt idx="195">
                  <v>46150.6666666666</v>
                </pt>
                <pt idx="196">
                  <v>46153.6666666666</v>
                </pt>
                <pt idx="197">
                  <v>46154.6666666666</v>
                </pt>
                <pt idx="198">
                  <v>46155.6666666666</v>
                </pt>
                <pt idx="199">
                  <v>46156.6666666666</v>
                </pt>
                <pt idx="200">
                  <v>46157.6666666666</v>
                </pt>
                <pt idx="201">
                  <v>46160.6666666666</v>
                </pt>
                <pt idx="202">
                  <v>46161.6666666666</v>
                </pt>
                <pt idx="203">
                  <v>46162.6666666666</v>
                </pt>
                <pt idx="204">
                  <v>46163.6666666666</v>
                </pt>
                <pt idx="205">
                  <v>46164.6666666666</v>
                </pt>
                <pt idx="206">
                  <v>46168.6666666666</v>
                </pt>
                <pt idx="207">
                  <v>46169.6666666666</v>
                </pt>
                <pt idx="208">
                  <v>46170.6666666666</v>
                </pt>
                <pt idx="209">
                  <v>46171.6666666666</v>
                </pt>
                <pt idx="210">
                  <v>46174.6666666666</v>
                </pt>
                <pt idx="211">
                  <v>46175.6666666666</v>
                </pt>
                <pt idx="212">
                  <v>46176.6666666666</v>
                </pt>
                <pt idx="213">
                  <v>46177.6666666666</v>
                </pt>
                <pt idx="214">
                  <v>46178.6666666666</v>
                </pt>
                <pt idx="215">
                  <v>46181.6666666666</v>
                </pt>
                <pt idx="216">
                  <v>46182.6666666666</v>
                </pt>
                <pt idx="217">
                  <v>46183.6666666666</v>
                </pt>
                <pt idx="218">
                  <v>46184.6666666666</v>
                </pt>
                <pt idx="219">
                  <v>46185.6666666666</v>
                </pt>
                <pt idx="220">
                  <v>46188.6666666666</v>
                </pt>
                <pt idx="221">
                  <v>46189.6666666666</v>
                </pt>
                <pt idx="222">
                  <v>46190.6666666666</v>
                </pt>
                <pt idx="223">
                  <v>46191.6666666666</v>
                </pt>
                <pt idx="224">
                  <v>46195.6666666666</v>
                </pt>
                <pt idx="225">
                  <v>46196.6666666666</v>
                </pt>
                <pt idx="226">
                  <v>46197.6666666666</v>
                </pt>
                <pt idx="227">
                  <v>46198.6666666666</v>
                </pt>
                <pt idx="228">
                  <v>46199.6666666666</v>
                </pt>
                <pt idx="229">
                  <v>46202.6666666666</v>
                </pt>
                <pt idx="230">
                  <v>46203.6666666666</v>
                </pt>
                <pt idx="231">
                  <v>46204.6666666666</v>
                </pt>
                <pt idx="232">
                  <v>46205.6666666666</v>
                </pt>
                <pt idx="233">
                  <v>46209.6666666666</v>
                </pt>
                <pt idx="234">
                  <v>46210.6666666666</v>
                </pt>
                <pt idx="235">
                  <v>46211.6666666666</v>
                </pt>
                <pt idx="236">
                  <v>46212.6666666666</v>
                </pt>
                <pt idx="237">
                  <v>46213.6666666666</v>
                </pt>
                <pt idx="238">
                  <v>46216.6666666666</v>
                </pt>
                <pt idx="239">
                  <v>46217.6666666666</v>
                </pt>
                <pt idx="240">
                  <v>46218.6666666666</v>
                </pt>
                <pt idx="241">
                  <v>46219.6666666666</v>
                </pt>
                <pt idx="242">
                  <v>46220.6666666666</v>
                </pt>
                <pt idx="243">
                  <v>46223.6666666666</v>
                </pt>
                <pt idx="244">
                  <v>46224.6666666666</v>
                </pt>
                <pt idx="245">
                  <v>46225.6666666666</v>
                </pt>
                <pt idx="246">
                  <v>46226.6666666666</v>
                </pt>
                <pt idx="247">
                  <v>46227.6666666666</v>
                </pt>
                <pt idx="248">
                  <v>46230.6666666666</v>
                </pt>
                <pt idx="249">
                  <v>46231.6666666666</v>
                </pt>
                <pt idx="250">
                  <v>46232.6666666666</v>
                </pt>
              </numCache>
            </numRef>
          </cat>
          <val>
            <numRef>
              <f>EMB!$F$28:$F$1000</f>
              <numCache>
                <formatCode>#,##0.00</formatCode>
                <ptCount val="973"/>
                <pt idx="0">
                  <v>92.84999999999999</v>
                </pt>
                <pt idx="1">
                  <v>92.87</v>
                </pt>
                <pt idx="2">
                  <v>92.72</v>
                </pt>
                <pt idx="3">
                  <v>93.18000000000001</v>
                </pt>
                <pt idx="4">
                  <v>93.18000000000001</v>
                </pt>
                <pt idx="5">
                  <v>93.23999999999999</v>
                </pt>
                <pt idx="6">
                  <v>93.38</v>
                </pt>
                <pt idx="7">
                  <v>93.38</v>
                </pt>
                <pt idx="8">
                  <v>93.5</v>
                </pt>
                <pt idx="9">
                  <v>93.68000000000001</v>
                </pt>
                <pt idx="10">
                  <v>94.14</v>
                </pt>
                <pt idx="11">
                  <v>93.93000000000001</v>
                </pt>
                <pt idx="12">
                  <v>93.84999999999999</v>
                </pt>
                <pt idx="13">
                  <v>93.94</v>
                </pt>
                <pt idx="14">
                  <v>93.98</v>
                </pt>
                <pt idx="15">
                  <v>93.83</v>
                </pt>
                <pt idx="16">
                  <v>93.53</v>
                </pt>
                <pt idx="17">
                  <v>94.20999999999999</v>
                </pt>
                <pt idx="18">
                  <v>93.84</v>
                </pt>
                <pt idx="19">
                  <v>93.81999999999999</v>
                </pt>
                <pt idx="20">
                  <v>93.70999999999999</v>
                </pt>
                <pt idx="21">
                  <v>94.26000000000001</v>
                </pt>
                <pt idx="22">
                  <v>94.12</v>
                </pt>
                <pt idx="23">
                  <v>93.36</v>
                </pt>
                <pt idx="24">
                  <v>93.76000000000001</v>
                </pt>
                <pt idx="25">
                  <v>94.13</v>
                </pt>
                <pt idx="26">
                  <v>94.76000000000001</v>
                </pt>
                <pt idx="27">
                  <v>94.75</v>
                </pt>
                <pt idx="28">
                  <v>94.66</v>
                </pt>
                <pt idx="29">
                  <v>95.18000000000001</v>
                </pt>
                <pt idx="30">
                  <v>95.53</v>
                </pt>
                <pt idx="31">
                  <v>95.25</v>
                </pt>
                <pt idx="32">
                  <v>95.59</v>
                </pt>
                <pt idx="33">
                  <v>95.53</v>
                </pt>
                <pt idx="34">
                  <v>95.48</v>
                </pt>
                <pt idx="35">
                  <v>95.08</v>
                </pt>
                <pt idx="36">
                  <v>94.98</v>
                </pt>
                <pt idx="37">
                  <v>95.19</v>
                </pt>
                <pt idx="38">
                  <v>95.56</v>
                </pt>
                <pt idx="39">
                  <v>95.5</v>
                </pt>
                <pt idx="40">
                  <v>95.26000000000001</v>
                </pt>
                <pt idx="41">
                  <v>95.23</v>
                </pt>
                <pt idx="42">
                  <v>95.39</v>
                </pt>
                <pt idx="43">
                  <v>95.19</v>
                </pt>
                <pt idx="44">
                  <v>95.12</v>
                </pt>
                <pt idx="45">
                  <v>95.17</v>
                </pt>
                <pt idx="46">
                  <v>95.20999999999999</v>
                </pt>
                <pt idx="47">
                  <v>95.09</v>
                </pt>
                <pt idx="48">
                  <v>95.05</v>
                </pt>
                <pt idx="49">
                  <v>95.09999999999999</v>
                </pt>
                <pt idx="50">
                  <v>95.05</v>
                </pt>
                <pt idx="51">
                  <v>94.63</v>
                </pt>
                <pt idx="52">
                  <v>95.28</v>
                </pt>
                <pt idx="53">
                  <v>95.23999999999999</v>
                </pt>
                <pt idx="54">
                  <v>95.56999999999999</v>
                </pt>
                <pt idx="55">
                  <v>95.70999999999999</v>
                </pt>
                <pt idx="56">
                  <v>95.73999999999999</v>
                </pt>
                <pt idx="57">
                  <v>96.16</v>
                </pt>
                <pt idx="58">
                  <v>96.28</v>
                </pt>
                <pt idx="59">
                  <v>96.08</v>
                </pt>
                <pt idx="60">
                  <v>96.01000000000001</v>
                </pt>
                <pt idx="61">
                  <v>96.29000000000001</v>
                </pt>
                <pt idx="62">
                  <v>97.03</v>
                </pt>
                <pt idx="63">
                  <v>97.03</v>
                </pt>
                <pt idx="64">
                  <v>96.59999999999999</v>
                </pt>
                <pt idx="65">
                  <v>96.48999999999999</v>
                </pt>
                <pt idx="66">
                  <v>96.67</v>
                </pt>
                <pt idx="67">
                  <v>95.97</v>
                </pt>
                <pt idx="68">
                  <v>95.86</v>
                </pt>
                <pt idx="69">
                  <v>95.65000000000001</v>
                </pt>
                <pt idx="70">
                  <v>95.97</v>
                </pt>
                <pt idx="71">
                  <v>96.02</v>
                </pt>
                <pt idx="72">
                  <v>96.23999999999999</v>
                </pt>
                <pt idx="73">
                  <v>96.45999999999999</v>
                </pt>
                <pt idx="74">
                  <v>96.5</v>
                </pt>
                <pt idx="75">
                  <v>96.03</v>
                </pt>
                <pt idx="76">
                  <v>95.97</v>
                </pt>
                <pt idx="77">
                  <v>95.98999999999999</v>
                </pt>
                <pt idx="78">
                  <v>95.95999999999999</v>
                </pt>
                <pt idx="79">
                  <v>96.12</v>
                </pt>
                <pt idx="80">
                  <v>95.89</v>
                </pt>
                <pt idx="81">
                  <v>96.15000000000001</v>
                </pt>
                <pt idx="82">
                  <v>96.34999999999999</v>
                </pt>
                <pt idx="83">
                  <v>96.59999999999999</v>
                </pt>
                <pt idx="84">
                  <v>96.7</v>
                </pt>
                <pt idx="85">
                  <v>96.73</v>
                </pt>
                <pt idx="86">
                  <v>96.02</v>
                </pt>
                <pt idx="87">
                  <v>96.42</v>
                </pt>
                <pt idx="88">
                  <v>96.54000000000001</v>
                </pt>
                <pt idx="89">
                  <v>96.45999999999999</v>
                </pt>
                <pt idx="90">
                  <v>96.33</v>
                </pt>
                <pt idx="91">
                  <v>95.93000000000001</v>
                </pt>
                <pt idx="92">
                  <v>95.84999999999999</v>
                </pt>
                <pt idx="93">
                  <v>96.23999999999999</v>
                </pt>
                <pt idx="94">
                  <v>96.31</v>
                </pt>
                <pt idx="95">
                  <v>96.26000000000001</v>
                </pt>
                <pt idx="96">
                  <v>96.39</v>
                </pt>
                <pt idx="97">
                  <v>96.65000000000001</v>
                </pt>
                <pt idx="98">
                  <v>96.28</v>
                </pt>
                <pt idx="99">
                  <v>96.7</v>
                </pt>
                <pt idx="100">
                  <v>96.27</v>
                </pt>
                <pt idx="101">
                  <v>96.31</v>
                </pt>
                <pt idx="102">
                  <v>96.26000000000001</v>
                </pt>
                <pt idx="103">
                  <v>96.55</v>
                </pt>
                <pt idx="104">
                  <v>96.54000000000001</v>
                </pt>
                <pt idx="105">
                  <v>96.59</v>
                </pt>
                <pt idx="106">
                  <v>96.47</v>
                </pt>
                <pt idx="107">
                  <v>96.28</v>
                </pt>
                <pt idx="108">
                  <v>96.3</v>
                </pt>
                <pt idx="109">
                  <v>96.45</v>
                </pt>
                <pt idx="110">
                  <v>96.34999999999999</v>
                </pt>
                <pt idx="111">
                  <v>96.16</v>
                </pt>
                <pt idx="112">
                  <v>96.01000000000001</v>
                </pt>
                <pt idx="113">
                  <v>96.36</v>
                </pt>
                <pt idx="114">
                  <v>96.28</v>
                </pt>
                <pt idx="115">
                  <v>96.16</v>
                </pt>
                <pt idx="116">
                  <v>96.36</v>
                </pt>
                <pt idx="117">
                  <v>96.40000000000001</v>
                </pt>
                <pt idx="118">
                  <v>96.20999999999999</v>
                </pt>
                <pt idx="119">
                  <v>95.73</v>
                </pt>
                <pt idx="120">
                  <v>96.5</v>
                </pt>
                <pt idx="121">
                  <v>96.48</v>
                </pt>
                <pt idx="122">
                  <v>96.72</v>
                </pt>
                <pt idx="123">
                  <v>96.81999999999999</v>
                </pt>
                <pt idx="124">
                  <v>96.78</v>
                </pt>
                <pt idx="125">
                  <v>96.66</v>
                </pt>
                <pt idx="126">
                  <v>96.67</v>
                </pt>
                <pt idx="127">
                  <v>96.58</v>
                </pt>
                <pt idx="128">
                  <v>96.14</v>
                </pt>
                <pt idx="129">
                  <v>96.16</v>
                </pt>
                <pt idx="130">
                  <v>96.2</v>
                </pt>
                <pt idx="131">
                  <v>96.44</v>
                </pt>
                <pt idx="132">
                  <v>96.69</v>
                </pt>
                <pt idx="133">
                  <v>96.72</v>
                </pt>
                <pt idx="134">
                  <v>96.97</v>
                </pt>
                <pt idx="135">
                  <v>96.98</v>
                </pt>
                <pt idx="136">
                  <v>97.25</v>
                </pt>
                <pt idx="137">
                  <v>97.42</v>
                </pt>
                <pt idx="138">
                  <v>97.62</v>
                </pt>
                <pt idx="139">
                  <v>97.66</v>
                </pt>
                <pt idx="140">
                  <v>97.55</v>
                </pt>
                <pt idx="141">
                  <v>97.65000000000001</v>
                </pt>
                <pt idx="142">
                  <v>97.70999999999999</v>
                </pt>
                <pt idx="143">
                  <v>97.65000000000001</v>
                </pt>
                <pt idx="144">
                  <v>97.73999999999999</v>
                </pt>
                <pt idx="145">
                  <v>97.68000000000001</v>
                </pt>
                <pt idx="146">
                  <v>97.73</v>
                </pt>
                <pt idx="147">
                  <v>96.98999999999999</v>
                </pt>
                <pt idx="148">
                  <v>96.55</v>
                </pt>
                <pt idx="149">
                  <v>96.87</v>
                </pt>
                <pt idx="150">
                  <v>96.38</v>
                </pt>
                <pt idx="151">
                  <v>95.75</v>
                </pt>
                <pt idx="152">
                  <v>95.95999999999999</v>
                </pt>
                <pt idx="153">
                  <v>95.95</v>
                </pt>
                <pt idx="154">
                  <v>95.64</v>
                </pt>
                <pt idx="155">
                  <v>94.84</v>
                </pt>
                <pt idx="156">
                  <v>94.38</v>
                </pt>
                <pt idx="157">
                  <v>94.75</v>
                </pt>
                <pt idx="158">
                  <v>95.09999999999999</v>
                </pt>
                <pt idx="159">
                  <v>94.36</v>
                </pt>
                <pt idx="160">
                  <v>94.63</v>
                </pt>
                <pt idx="161">
                  <v>93.15000000000001</v>
                </pt>
                <pt idx="162">
                  <v>94.06</v>
                </pt>
                <pt idx="163">
                  <v>93.58</v>
                </pt>
                <pt idx="164">
                  <v>94.43000000000001</v>
                </pt>
                <pt idx="165">
                  <v>93.45999999999999</v>
                </pt>
                <pt idx="166">
                  <v>92.95</v>
                </pt>
                <pt idx="167">
                  <v>93.11</v>
                </pt>
                <pt idx="168">
                  <v>93.93000000000001</v>
                </pt>
                <pt idx="169">
                  <v>93.86</v>
                </pt>
                <pt idx="170">
                  <v>93.97</v>
                </pt>
                <pt idx="171">
                  <v>93.94</v>
                </pt>
                <pt idx="172">
                  <v>93.98999999999999</v>
                </pt>
                <pt idx="173">
                  <v>95.11</v>
                </pt>
                <pt idx="174">
                  <v>95.51000000000001</v>
                </pt>
                <pt idx="175">
                  <v>95.5</v>
                </pt>
                <pt idx="176">
                  <v>96.03</v>
                </pt>
                <pt idx="177">
                  <v>96.45999999999999</v>
                </pt>
                <pt idx="178">
                  <v>96.25</v>
                </pt>
                <pt idx="179">
                  <v>95.95</v>
                </pt>
                <pt idx="180">
                  <v>96.67</v>
                </pt>
                <pt idx="181">
                  <v>96.59</v>
                </pt>
                <pt idx="182">
                  <v>96.13</v>
                </pt>
                <pt idx="183">
                  <v>96.38</v>
                </pt>
                <pt idx="184">
                  <v>95.93000000000001</v>
                </pt>
                <pt idx="185">
                  <v>96.2</v>
                </pt>
                <pt idx="186">
                  <v>96.03</v>
                </pt>
                <pt idx="187">
                  <v>95.95</v>
                </pt>
                <pt idx="188">
                  <v>95.5</v>
                </pt>
                <pt idx="189">
                  <v>95.8</v>
                </pt>
                <pt idx="190">
                  <v>95.56999999999999</v>
                </pt>
                <pt idx="191">
                  <v>95.08</v>
                </pt>
                <pt idx="192">
                  <v>95.52</v>
                </pt>
                <pt idx="193">
                  <v>96.27</v>
                </pt>
                <pt idx="194">
                  <v>95.90000000000001</v>
                </pt>
                <pt idx="195">
                  <v>96.15000000000001</v>
                </pt>
                <pt idx="196">
                  <v>95.97</v>
                </pt>
                <pt idx="197">
                  <v>95.72</v>
                </pt>
                <pt idx="198">
                  <v>95.54000000000001</v>
                </pt>
                <pt idx="199">
                  <v>95.54000000000001</v>
                </pt>
                <pt idx="200">
                  <v>94.70999999999999</v>
                </pt>
                <pt idx="201">
                  <v>94.62</v>
                </pt>
                <pt idx="202">
                  <v>94.25</v>
                </pt>
                <pt idx="203">
                  <v>94.92</v>
                </pt>
                <pt idx="204">
                  <v>94.98999999999999</v>
                </pt>
                <pt idx="205">
                  <v>95.17</v>
                </pt>
                <pt idx="206">
                  <v>95.64</v>
                </pt>
                <pt idx="207">
                  <v>95.98</v>
                </pt>
                <pt idx="208">
                  <v>96.23</v>
                </pt>
                <pt idx="209">
                  <v>96.43000000000001</v>
                </pt>
                <pt idx="210">
                  <v>96.01000000000001</v>
                </pt>
                <pt idx="211">
                  <v>96.26000000000001</v>
                </pt>
                <pt idx="212">
                  <v>95.90000000000001</v>
                </pt>
                <pt idx="213">
                  <v>96.09999999999999</v>
                </pt>
                <pt idx="214">
                  <v>95.40000000000001</v>
                </pt>
                <pt idx="215">
                  <v>95.28</v>
                </pt>
                <pt idx="216">
                  <v>95.67</v>
                </pt>
                <pt idx="217">
                  <v>95.34999999999999</v>
                </pt>
                <pt idx="218">
                  <v>96.27</v>
                </pt>
                <pt idx="219">
                  <v>96.36</v>
                </pt>
                <pt idx="220">
                  <v>96.70999999999999</v>
                </pt>
                <pt idx="221">
                  <v>96.67</v>
                </pt>
                <pt idx="222">
                  <v>96.28</v>
                </pt>
                <pt idx="223">
                  <v>96.73</v>
                </pt>
                <pt idx="224">
                  <v>96.40000000000001</v>
                </pt>
                <pt idx="225">
                  <v>96.26000000000001</v>
                </pt>
                <pt idx="226">
                  <v>96.56999999999999</v>
                </pt>
                <pt idx="227">
                  <v>96.56</v>
                </pt>
                <pt idx="228">
                  <v>96.54000000000001</v>
                </pt>
                <pt idx="229">
                  <v>96.81999999999999</v>
                </pt>
                <pt idx="230">
                  <v>96.44</v>
                </pt>
                <pt idx="231">
                  <v>96.02</v>
                </pt>
                <pt idx="232">
                  <v>96.2</v>
                </pt>
                <pt idx="233">
                  <v>96.34999999999999</v>
                </pt>
                <pt idx="234">
                  <v>95.94</v>
                </pt>
                <pt idx="235">
                  <v>95.79000000000001</v>
                </pt>
                <pt idx="236">
                  <v>95.95999999999999</v>
                </pt>
                <pt idx="237">
                  <v>95.98999999999999</v>
                </pt>
                <pt idx="238">
                  <v>95.38</v>
                </pt>
                <pt idx="239">
                  <v>95.56999999999999</v>
                </pt>
                <pt idx="240">
                  <v>95.73</v>
                </pt>
                <pt idx="241">
                  <v>95.59</v>
                </pt>
                <pt idx="242">
                  <v>95.53</v>
                </pt>
                <pt idx="243">
                  <v>95.37</v>
                </pt>
                <pt idx="244">
                  <v>95.38</v>
                </pt>
                <pt idx="245">
                  <v>95.09</v>
                </pt>
                <pt idx="246">
                  <v>94.53</v>
                </pt>
                <pt idx="247">
                  <v>94.64</v>
                </pt>
                <pt idx="248">
                  <v>94.95999999999999</v>
                </pt>
                <pt idx="249">
                  <v>95.19</v>
                </pt>
                <pt idx="250">
                  <v>94.56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ko-KR"/>
        </a:p>
      </txPr>
    </legend>
    <plotVisOnly val="1"/>
    <dispBlanksAs val="zero"/>
  </chart>
</chartSpace>
</file>

<file path=xl/charts/chart14.xml><?xml version="1.0" encoding="utf-8"?>
<chartSpace xmlns:a="http://schemas.openxmlformats.org/drawingml/2006/main" xmlns="http://schemas.openxmlformats.org/drawingml/2006/chart">
  <chart>
    <plotArea>
      <layout/>
      <areaChart>
        <grouping val="standard"/>
        <varyColors val="1"/>
        <ser>
          <idx val="0"/>
          <order val="0"/>
          <tx>
            <strRef>
              <f>BWX!$F$27</f>
              <strCache>
                <ptCount val="1"/>
                <pt idx="0">
                  <v>Close</v>
                </pt>
              </strCache>
            </strRef>
          </tx>
          <spPr>
            <a:solidFill>
              <a:srgbClr val="4285F4"/>
            </a:solidFill>
            <a:ln cmpd="sng">
              <a:solidFill>
                <a:srgbClr val="4285F4"/>
              </a:solidFill>
              <a:prstDash val="solid"/>
            </a:ln>
          </spPr>
          <cat>
            <numRef>
              <f>BWX!$B$28:$B$1000</f>
              <numCache>
                <formatCode>mmm" "d", "yyyy</formatCode>
                <ptCount val="973"/>
                <pt idx="0">
                  <v>45868.6666666666</v>
                </pt>
                <pt idx="1">
                  <v>45869.6666666666</v>
                </pt>
                <pt idx="2">
                  <v>45870.6666666666</v>
                </pt>
                <pt idx="3">
                  <v>45873.6666666666</v>
                </pt>
                <pt idx="4">
                  <v>45874.6666666666</v>
                </pt>
                <pt idx="5">
                  <v>45875.6666666666</v>
                </pt>
                <pt idx="6">
                  <v>45876.6666666666</v>
                </pt>
                <pt idx="7">
                  <v>45877.6666666666</v>
                </pt>
                <pt idx="8">
                  <v>45880.6666666666</v>
                </pt>
                <pt idx="9">
                  <v>45881.6666666666</v>
                </pt>
                <pt idx="10">
                  <v>45882.6666666666</v>
                </pt>
                <pt idx="11">
                  <v>45883.6666666666</v>
                </pt>
                <pt idx="12">
                  <v>45884.6666666666</v>
                </pt>
                <pt idx="13">
                  <v>45887.6666666666</v>
                </pt>
                <pt idx="14">
                  <v>45888.6666666666</v>
                </pt>
                <pt idx="15">
                  <v>45889.6666666666</v>
                </pt>
                <pt idx="16">
                  <v>45890.6666666666</v>
                </pt>
                <pt idx="17">
                  <v>45891.6666666666</v>
                </pt>
                <pt idx="18">
                  <v>45894.6666666666</v>
                </pt>
                <pt idx="19">
                  <v>45895.6666666666</v>
                </pt>
                <pt idx="20">
                  <v>45896.6666666666</v>
                </pt>
                <pt idx="21">
                  <v>45897.6666666666</v>
                </pt>
                <pt idx="22">
                  <v>45898.6666666666</v>
                </pt>
                <pt idx="23">
                  <v>45902.6666666666</v>
                </pt>
                <pt idx="24">
                  <v>45903.6666666666</v>
                </pt>
                <pt idx="25">
                  <v>45904.6666666666</v>
                </pt>
                <pt idx="26">
                  <v>45905.6666666666</v>
                </pt>
                <pt idx="27">
                  <v>45908.6666666666</v>
                </pt>
                <pt idx="28">
                  <v>45909.6666666666</v>
                </pt>
                <pt idx="29">
                  <v>45910.6666666666</v>
                </pt>
                <pt idx="30">
                  <v>45911.6666666666</v>
                </pt>
                <pt idx="31">
                  <v>45912.6666666666</v>
                </pt>
                <pt idx="32">
                  <v>45915.6666666666</v>
                </pt>
                <pt idx="33">
                  <v>45916.6666666666</v>
                </pt>
                <pt idx="34">
                  <v>45917.6666666666</v>
                </pt>
                <pt idx="35">
                  <v>45918.6666666666</v>
                </pt>
                <pt idx="36">
                  <v>45919.6666666666</v>
                </pt>
                <pt idx="37">
                  <v>45922.6666666666</v>
                </pt>
                <pt idx="38">
                  <v>45923.6666666666</v>
                </pt>
                <pt idx="39">
                  <v>45924.6666666666</v>
                </pt>
                <pt idx="40">
                  <v>45925.6666666666</v>
                </pt>
                <pt idx="41">
                  <v>45926.6666666666</v>
                </pt>
                <pt idx="42">
                  <v>45929.6666666666</v>
                </pt>
                <pt idx="43">
                  <v>45930.6666666666</v>
                </pt>
                <pt idx="44">
                  <v>45931.6666666666</v>
                </pt>
                <pt idx="45">
                  <v>45932.6666666666</v>
                </pt>
                <pt idx="46">
                  <v>45933.6666666666</v>
                </pt>
                <pt idx="47">
                  <v>45936.6666666666</v>
                </pt>
                <pt idx="48">
                  <v>45937.6666666666</v>
                </pt>
                <pt idx="49">
                  <v>45938.6666666666</v>
                </pt>
                <pt idx="50">
                  <v>45939.6666666666</v>
                </pt>
                <pt idx="51">
                  <v>45940.6666666666</v>
                </pt>
                <pt idx="52">
                  <v>45943.6666666666</v>
                </pt>
                <pt idx="53">
                  <v>45944.6666666666</v>
                </pt>
                <pt idx="54">
                  <v>45945.6666666666</v>
                </pt>
                <pt idx="55">
                  <v>45946.6666666666</v>
                </pt>
                <pt idx="56">
                  <v>45947.6666666666</v>
                </pt>
                <pt idx="57">
                  <v>45950.6666666666</v>
                </pt>
                <pt idx="58">
                  <v>45951.6666666666</v>
                </pt>
                <pt idx="59">
                  <v>45952.6666666666</v>
                </pt>
                <pt idx="60">
                  <v>45953.6666666666</v>
                </pt>
                <pt idx="61">
                  <v>45954.6666666666</v>
                </pt>
                <pt idx="62">
                  <v>45957.6666666666</v>
                </pt>
                <pt idx="63">
                  <v>45958.6666666666</v>
                </pt>
                <pt idx="64">
                  <v>45959.6666666666</v>
                </pt>
                <pt idx="65">
                  <v>45960.6666666666</v>
                </pt>
                <pt idx="66">
                  <v>45961.6666666666</v>
                </pt>
                <pt idx="67">
                  <v>45964.6666666666</v>
                </pt>
                <pt idx="68">
                  <v>45965.6666666666</v>
                </pt>
                <pt idx="69">
                  <v>45966.6666666666</v>
                </pt>
                <pt idx="70">
                  <v>45967.6666666666</v>
                </pt>
                <pt idx="71">
                  <v>45968.6666666666</v>
                </pt>
                <pt idx="72">
                  <v>45971.6666666666</v>
                </pt>
                <pt idx="73">
                  <v>45972.6666666666</v>
                </pt>
                <pt idx="74">
                  <v>45973.6666666666</v>
                </pt>
                <pt idx="75">
                  <v>45974.6666666666</v>
                </pt>
                <pt idx="76">
                  <v>45975.6666666666</v>
                </pt>
                <pt idx="77">
                  <v>45978.6666666666</v>
                </pt>
                <pt idx="78">
                  <v>45979.6666666666</v>
                </pt>
                <pt idx="79">
                  <v>45980.6666666666</v>
                </pt>
                <pt idx="80">
                  <v>45981.6666666666</v>
                </pt>
                <pt idx="81">
                  <v>45982.6666666666</v>
                </pt>
                <pt idx="82">
                  <v>45985.6666666666</v>
                </pt>
                <pt idx="83">
                  <v>45986.6666666666</v>
                </pt>
                <pt idx="84">
                  <v>45987.6666666666</v>
                </pt>
                <pt idx="85">
                  <v>45989.5520833333</v>
                </pt>
                <pt idx="86">
                  <v>45992.6666666666</v>
                </pt>
                <pt idx="87">
                  <v>45993.6666666666</v>
                </pt>
                <pt idx="88">
                  <v>45994.6666666666</v>
                </pt>
                <pt idx="89">
                  <v>45995.6666666666</v>
                </pt>
                <pt idx="90">
                  <v>45996.6666666666</v>
                </pt>
                <pt idx="91">
                  <v>45999.6666666666</v>
                </pt>
                <pt idx="92">
                  <v>46000.6666666666</v>
                </pt>
                <pt idx="93">
                  <v>46001.6666666666</v>
                </pt>
                <pt idx="94">
                  <v>46002.6666666666</v>
                </pt>
                <pt idx="95">
                  <v>46003.6666666666</v>
                </pt>
                <pt idx="96">
                  <v>46006.6666666666</v>
                </pt>
                <pt idx="97">
                  <v>46007.6666666666</v>
                </pt>
                <pt idx="98">
                  <v>46008.6666666666</v>
                </pt>
                <pt idx="99">
                  <v>46009.6666666666</v>
                </pt>
                <pt idx="100">
                  <v>46010.6666666666</v>
                </pt>
                <pt idx="101">
                  <v>46013.6666666666</v>
                </pt>
                <pt idx="102">
                  <v>46014.6666666666</v>
                </pt>
                <pt idx="103">
                  <v>46015.5416666666</v>
                </pt>
                <pt idx="104">
                  <v>46017.6666666666</v>
                </pt>
                <pt idx="105">
                  <v>46020.6666666666</v>
                </pt>
                <pt idx="106">
                  <v>46021.6666666666</v>
                </pt>
                <pt idx="107">
                  <v>46022.6666666666</v>
                </pt>
                <pt idx="108">
                  <v>46024.6666666666</v>
                </pt>
                <pt idx="109">
                  <v>46027.6666666666</v>
                </pt>
                <pt idx="110">
                  <v>46028.6666666666</v>
                </pt>
                <pt idx="111">
                  <v>46029.6666666666</v>
                </pt>
                <pt idx="112">
                  <v>46030.6666666666</v>
                </pt>
                <pt idx="113">
                  <v>46031.6666666666</v>
                </pt>
                <pt idx="114">
                  <v>46034.6666666666</v>
                </pt>
                <pt idx="115">
                  <v>46035.6666666666</v>
                </pt>
                <pt idx="116">
                  <v>46036.6666666666</v>
                </pt>
                <pt idx="117">
                  <v>46037.6666666666</v>
                </pt>
                <pt idx="118">
                  <v>46038.6666666666</v>
                </pt>
                <pt idx="119">
                  <v>46042.6666666666</v>
                </pt>
                <pt idx="120">
                  <v>46043.6666666666</v>
                </pt>
                <pt idx="121">
                  <v>46044.6666666666</v>
                </pt>
                <pt idx="122">
                  <v>46045.6666666666</v>
                </pt>
                <pt idx="123">
                  <v>46048.6666666666</v>
                </pt>
                <pt idx="124">
                  <v>46049.6666666666</v>
                </pt>
                <pt idx="125">
                  <v>46050.6666666666</v>
                </pt>
                <pt idx="126">
                  <v>46051.6666666666</v>
                </pt>
                <pt idx="127">
                  <v>46052.6666666666</v>
                </pt>
                <pt idx="128">
                  <v>46055.6666666666</v>
                </pt>
                <pt idx="129">
                  <v>46056.6666666666</v>
                </pt>
                <pt idx="130">
                  <v>46057.6666666666</v>
                </pt>
                <pt idx="131">
                  <v>46058.6666666666</v>
                </pt>
                <pt idx="132">
                  <v>46059.6666666666</v>
                </pt>
                <pt idx="133">
                  <v>46062.6666666666</v>
                </pt>
                <pt idx="134">
                  <v>46063.6666666666</v>
                </pt>
                <pt idx="135">
                  <v>46064.6666666666</v>
                </pt>
                <pt idx="136">
                  <v>46065.6666666666</v>
                </pt>
                <pt idx="137">
                  <v>46066.6666666666</v>
                </pt>
                <pt idx="138">
                  <v>46070.6666666666</v>
                </pt>
                <pt idx="139">
                  <v>46071.6666666666</v>
                </pt>
                <pt idx="140">
                  <v>46072.6666666666</v>
                </pt>
                <pt idx="141">
                  <v>46073.6666666666</v>
                </pt>
                <pt idx="142">
                  <v>46076.6666666666</v>
                </pt>
                <pt idx="143">
                  <v>46077.6666666666</v>
                </pt>
                <pt idx="144">
                  <v>46078.6666666666</v>
                </pt>
                <pt idx="145">
                  <v>46079.6666666666</v>
                </pt>
                <pt idx="146">
                  <v>46080.6666666666</v>
                </pt>
                <pt idx="147">
                  <v>46083.6666666666</v>
                </pt>
                <pt idx="148">
                  <v>46084.6666666666</v>
                </pt>
                <pt idx="149">
                  <v>46085.6666666666</v>
                </pt>
                <pt idx="150">
                  <v>46086.6666666666</v>
                </pt>
                <pt idx="151">
                  <v>46087.6666666666</v>
                </pt>
                <pt idx="152">
                  <v>46090.6666666666</v>
                </pt>
                <pt idx="153">
                  <v>46091.6666666666</v>
                </pt>
                <pt idx="154">
                  <v>46092.6666666666</v>
                </pt>
                <pt idx="155">
                  <v>46093.6666666666</v>
                </pt>
                <pt idx="156">
                  <v>46094.6666666666</v>
                </pt>
                <pt idx="157">
                  <v>46097.6666666666</v>
                </pt>
                <pt idx="158">
                  <v>46098.6666666666</v>
                </pt>
                <pt idx="159">
                  <v>46099.6666666666</v>
                </pt>
                <pt idx="160">
                  <v>46100.6666666666</v>
                </pt>
                <pt idx="161">
                  <v>46101.6666666666</v>
                </pt>
                <pt idx="162">
                  <v>46104.6666666666</v>
                </pt>
                <pt idx="163">
                  <v>46105.6666666666</v>
                </pt>
                <pt idx="164">
                  <v>46106.6666666666</v>
                </pt>
                <pt idx="165">
                  <v>46107.6666666666</v>
                </pt>
                <pt idx="166">
                  <v>46108.6666666666</v>
                </pt>
                <pt idx="167">
                  <v>46111.6666666666</v>
                </pt>
                <pt idx="168">
                  <v>46112.6666666666</v>
                </pt>
                <pt idx="169">
                  <v>46113.6666666666</v>
                </pt>
                <pt idx="170">
                  <v>46114.6666666666</v>
                </pt>
                <pt idx="171">
                  <v>46118.6666666666</v>
                </pt>
                <pt idx="172">
                  <v>46119.6666666666</v>
                </pt>
                <pt idx="173">
                  <v>46120.6666666666</v>
                </pt>
                <pt idx="174">
                  <v>46121.6666666666</v>
                </pt>
                <pt idx="175">
                  <v>46122.6666666666</v>
                </pt>
                <pt idx="176">
                  <v>46125.6666666666</v>
                </pt>
                <pt idx="177">
                  <v>46126.6666666666</v>
                </pt>
                <pt idx="178">
                  <v>46127.6666666666</v>
                </pt>
                <pt idx="179">
                  <v>46128.6666666666</v>
                </pt>
                <pt idx="180">
                  <v>46129.6666666666</v>
                </pt>
                <pt idx="181">
                  <v>46132.6666666666</v>
                </pt>
                <pt idx="182">
                  <v>46133.6666666666</v>
                </pt>
                <pt idx="183">
                  <v>46134.6666666666</v>
                </pt>
                <pt idx="184">
                  <v>46135.6666666666</v>
                </pt>
                <pt idx="185">
                  <v>46136.6666666666</v>
                </pt>
                <pt idx="186">
                  <v>46139.6666666666</v>
                </pt>
                <pt idx="187">
                  <v>46140.6666666666</v>
                </pt>
                <pt idx="188">
                  <v>46141.6666666666</v>
                </pt>
                <pt idx="189">
                  <v>46142.6666666666</v>
                </pt>
                <pt idx="190">
                  <v>46143.6666666666</v>
                </pt>
                <pt idx="191">
                  <v>46146.6666666666</v>
                </pt>
                <pt idx="192">
                  <v>46147.6666666666</v>
                </pt>
                <pt idx="193">
                  <v>46148.6666666666</v>
                </pt>
                <pt idx="194">
                  <v>46149.6666666666</v>
                </pt>
                <pt idx="195">
                  <v>46150.6666666666</v>
                </pt>
                <pt idx="196">
                  <v>46153.6666666666</v>
                </pt>
                <pt idx="197">
                  <v>46154.6666666666</v>
                </pt>
                <pt idx="198">
                  <v>46155.6666666666</v>
                </pt>
                <pt idx="199">
                  <v>46156.6666666666</v>
                </pt>
                <pt idx="200">
                  <v>46157.6666666666</v>
                </pt>
                <pt idx="201">
                  <v>46160.6666666666</v>
                </pt>
                <pt idx="202">
                  <v>46161.6666666666</v>
                </pt>
                <pt idx="203">
                  <v>46162.6666666666</v>
                </pt>
                <pt idx="204">
                  <v>46163.6666666666</v>
                </pt>
                <pt idx="205">
                  <v>46164.6666666666</v>
                </pt>
                <pt idx="206">
                  <v>46168.6666666666</v>
                </pt>
                <pt idx="207">
                  <v>46169.6666666666</v>
                </pt>
                <pt idx="208">
                  <v>46170.6666666666</v>
                </pt>
                <pt idx="209">
                  <v>46171.6666666666</v>
                </pt>
                <pt idx="210">
                  <v>46174.6666666666</v>
                </pt>
                <pt idx="211">
                  <v>46175.6666666666</v>
                </pt>
                <pt idx="212">
                  <v>46176.6666666666</v>
                </pt>
                <pt idx="213">
                  <v>46177.6666666666</v>
                </pt>
                <pt idx="214">
                  <v>46178.6666666666</v>
                </pt>
                <pt idx="215">
                  <v>46181.6666666666</v>
                </pt>
                <pt idx="216">
                  <v>46182.6666666666</v>
                </pt>
                <pt idx="217">
                  <v>46183.6666666666</v>
                </pt>
                <pt idx="218">
                  <v>46184.6666666666</v>
                </pt>
                <pt idx="219">
                  <v>46185.6666666666</v>
                </pt>
                <pt idx="220">
                  <v>46188.6666666666</v>
                </pt>
                <pt idx="221">
                  <v>46189.6666666666</v>
                </pt>
                <pt idx="222">
                  <v>46190.6666666666</v>
                </pt>
                <pt idx="223">
                  <v>46191.6666666666</v>
                </pt>
                <pt idx="224">
                  <v>46195.6666666666</v>
                </pt>
                <pt idx="225">
                  <v>46196.6666666666</v>
                </pt>
                <pt idx="226">
                  <v>46197.6666666666</v>
                </pt>
                <pt idx="227">
                  <v>46198.6666666666</v>
                </pt>
                <pt idx="228">
                  <v>46199.6666666666</v>
                </pt>
                <pt idx="229">
                  <v>46202.6666666666</v>
                </pt>
                <pt idx="230">
                  <v>46203.6666666666</v>
                </pt>
                <pt idx="231">
                  <v>46204.6666666666</v>
                </pt>
                <pt idx="232">
                  <v>46205.6666666666</v>
                </pt>
                <pt idx="233">
                  <v>46209.6666666666</v>
                </pt>
                <pt idx="234">
                  <v>46210.6666666666</v>
                </pt>
                <pt idx="235">
                  <v>46211.6666666666</v>
                </pt>
                <pt idx="236">
                  <v>46212.6666666666</v>
                </pt>
                <pt idx="237">
                  <v>46213.6666666666</v>
                </pt>
                <pt idx="238">
                  <v>46216.6666666666</v>
                </pt>
                <pt idx="239">
                  <v>46217.6666666666</v>
                </pt>
                <pt idx="240">
                  <v>46218.6666666666</v>
                </pt>
                <pt idx="241">
                  <v>46219.6666666666</v>
                </pt>
                <pt idx="242">
                  <v>46220.6666666666</v>
                </pt>
                <pt idx="243">
                  <v>46223.6666666666</v>
                </pt>
                <pt idx="244">
                  <v>46224.6666666666</v>
                </pt>
                <pt idx="245">
                  <v>46225.6666666666</v>
                </pt>
                <pt idx="246">
                  <v>46226.6666666666</v>
                </pt>
                <pt idx="247">
                  <v>46227.6666666666</v>
                </pt>
                <pt idx="248">
                  <v>46230.6666666666</v>
                </pt>
                <pt idx="249">
                  <v>46231.6666666666</v>
                </pt>
                <pt idx="250">
                  <v>46232.6666666666</v>
                </pt>
              </numCache>
            </numRef>
          </cat>
          <val>
            <numRef>
              <f>BWX!$F$28:$F$1000</f>
              <numCache>
                <formatCode>#,##0.00</formatCode>
                <ptCount val="973"/>
                <pt idx="0">
                  <v>22.62</v>
                </pt>
                <pt idx="1">
                  <v>22.58</v>
                </pt>
                <pt idx="2">
                  <v>22.9</v>
                </pt>
                <pt idx="3">
                  <v>22.96</v>
                </pt>
                <pt idx="4">
                  <v>22.93</v>
                </pt>
                <pt idx="5">
                  <v>23.03</v>
                </pt>
                <pt idx="6">
                  <v>23.05</v>
                </pt>
                <pt idx="7">
                  <v>22.98</v>
                </pt>
                <pt idx="8">
                  <v>22.91</v>
                </pt>
                <pt idx="9">
                  <v>22.97</v>
                </pt>
                <pt idx="10">
                  <v>23.09</v>
                </pt>
                <pt idx="11">
                  <v>22.94</v>
                </pt>
                <pt idx="12">
                  <v>22.94</v>
                </pt>
                <pt idx="13">
                  <v>22.89</v>
                </pt>
                <pt idx="14">
                  <v>22.87</v>
                </pt>
                <pt idx="15">
                  <v>22.9</v>
                </pt>
                <pt idx="16">
                  <v>22.76</v>
                </pt>
                <pt idx="17">
                  <v>23</v>
                </pt>
                <pt idx="18">
                  <v>22.82</v>
                </pt>
                <pt idx="19">
                  <v>22.91</v>
                </pt>
                <pt idx="20">
                  <v>22.92</v>
                </pt>
                <pt idx="21">
                  <v>23</v>
                </pt>
                <pt idx="22">
                  <v>23</v>
                </pt>
                <pt idx="23">
                  <v>22.76</v>
                </pt>
                <pt idx="24">
                  <v>22.82</v>
                </pt>
                <pt idx="25">
                  <v>22.86</v>
                </pt>
                <pt idx="26">
                  <v>23.06</v>
                </pt>
                <pt idx="27">
                  <v>23.11</v>
                </pt>
                <pt idx="28">
                  <v>23.06</v>
                </pt>
                <pt idx="29">
                  <v>23.06</v>
                </pt>
                <pt idx="30">
                  <v>23.14</v>
                </pt>
                <pt idx="31">
                  <v>23.06</v>
                </pt>
                <pt idx="32">
                  <v>23.16</v>
                </pt>
                <pt idx="33">
                  <v>23.27</v>
                </pt>
                <pt idx="34">
                  <v>23.22</v>
                </pt>
                <pt idx="35">
                  <v>23.08</v>
                </pt>
                <pt idx="36">
                  <v>23.04</v>
                </pt>
                <pt idx="37">
                  <v>23.09</v>
                </pt>
                <pt idx="38">
                  <v>23.11</v>
                </pt>
                <pt idx="39">
                  <v>22.93</v>
                </pt>
                <pt idx="40">
                  <v>22.79</v>
                </pt>
                <pt idx="41">
                  <v>22.85</v>
                </pt>
                <pt idx="42">
                  <v>22.97</v>
                </pt>
                <pt idx="43">
                  <v>23</v>
                </pt>
                <pt idx="44">
                  <v>22.99</v>
                </pt>
                <pt idx="45">
                  <v>22.97</v>
                </pt>
                <pt idx="46">
                  <v>22.96</v>
                </pt>
                <pt idx="47">
                  <v>22.8</v>
                </pt>
                <pt idx="48">
                  <v>22.7</v>
                </pt>
                <pt idx="49">
                  <v>22.69</v>
                </pt>
                <pt idx="50">
                  <v>22.58</v>
                </pt>
                <pt idx="51">
                  <v>22.73</v>
                </pt>
                <pt idx="52">
                  <v>22.71</v>
                </pt>
                <pt idx="53">
                  <v>22.78</v>
                </pt>
                <pt idx="54">
                  <v>22.86</v>
                </pt>
                <pt idx="55">
                  <v>23.03</v>
                </pt>
                <pt idx="56">
                  <v>22.97</v>
                </pt>
                <pt idx="57">
                  <v>23</v>
                </pt>
                <pt idx="58">
                  <v>22.9</v>
                </pt>
                <pt idx="59">
                  <v>22.91</v>
                </pt>
                <pt idx="60">
                  <v>22.85</v>
                </pt>
                <pt idx="61">
                  <v>22.83</v>
                </pt>
                <pt idx="62">
                  <v>22.9</v>
                </pt>
                <pt idx="63">
                  <v>22.94</v>
                </pt>
                <pt idx="64">
                  <v>22.7</v>
                </pt>
                <pt idx="65">
                  <v>22.73</v>
                </pt>
                <pt idx="66">
                  <v>22.73</v>
                </pt>
                <pt idx="67">
                  <v>22.58</v>
                </pt>
                <pt idx="68">
                  <v>22.56</v>
                </pt>
                <pt idx="69">
                  <v>22.52</v>
                </pt>
                <pt idx="70">
                  <v>22.64</v>
                </pt>
                <pt idx="71">
                  <v>22.64</v>
                </pt>
                <pt idx="72">
                  <v>22.64</v>
                </pt>
                <pt idx="73">
                  <v>22.68</v>
                </pt>
                <pt idx="74">
                  <v>22.65</v>
                </pt>
                <pt idx="75">
                  <v>22.71</v>
                </pt>
                <pt idx="76">
                  <v>22.6</v>
                </pt>
                <pt idx="77">
                  <v>22.58</v>
                </pt>
                <pt idx="78">
                  <v>22.5</v>
                </pt>
                <pt idx="79">
                  <v>22.37</v>
                </pt>
                <pt idx="80">
                  <v>22.32</v>
                </pt>
                <pt idx="81">
                  <v>22.37</v>
                </pt>
                <pt idx="82">
                  <v>22.4</v>
                </pt>
                <pt idx="83">
                  <v>22.52</v>
                </pt>
                <pt idx="84">
                  <v>22.53</v>
                </pt>
                <pt idx="85">
                  <v>22.56</v>
                </pt>
                <pt idx="86">
                  <v>22.44</v>
                </pt>
                <pt idx="87">
                  <v>22.46</v>
                </pt>
                <pt idx="88">
                  <v>22.55</v>
                </pt>
                <pt idx="89">
                  <v>22.48</v>
                </pt>
                <pt idx="90">
                  <v>22.51</v>
                </pt>
                <pt idx="91">
                  <v>22.44</v>
                </pt>
                <pt idx="92">
                  <v>22.41</v>
                </pt>
                <pt idx="93">
                  <v>22.51</v>
                </pt>
                <pt idx="94">
                  <v>22.53</v>
                </pt>
                <pt idx="95">
                  <v>22.51</v>
                </pt>
                <pt idx="96">
                  <v>22.59</v>
                </pt>
                <pt idx="97">
                  <v>22.62</v>
                </pt>
                <pt idx="98">
                  <v>22.51</v>
                </pt>
                <pt idx="99">
                  <v>22.47</v>
                </pt>
                <pt idx="100">
                  <v>22.35</v>
                </pt>
                <pt idx="101">
                  <v>22.42</v>
                </pt>
                <pt idx="102">
                  <v>22.54</v>
                </pt>
                <pt idx="103">
                  <v>22.62</v>
                </pt>
                <pt idx="104">
                  <v>22.6</v>
                </pt>
                <pt idx="105">
                  <v>22.59</v>
                </pt>
                <pt idx="106">
                  <v>22.56</v>
                </pt>
                <pt idx="107">
                  <v>22.53</v>
                </pt>
                <pt idx="108">
                  <v>22.48</v>
                </pt>
                <pt idx="109">
                  <v>22.52</v>
                </pt>
                <pt idx="110">
                  <v>22.48</v>
                </pt>
                <pt idx="111">
                  <v>22.49</v>
                </pt>
                <pt idx="112">
                  <v>22.45</v>
                </pt>
                <pt idx="113">
                  <v>22.39</v>
                </pt>
                <pt idx="114">
                  <v>22.44</v>
                </pt>
                <pt idx="115">
                  <v>22.33</v>
                </pt>
                <pt idx="116">
                  <v>22.4</v>
                </pt>
                <pt idx="117">
                  <v>22.32</v>
                </pt>
                <pt idx="118">
                  <v>22.34</v>
                </pt>
                <pt idx="119">
                  <v>22.33</v>
                </pt>
                <pt idx="120">
                  <v>22.32</v>
                </pt>
                <pt idx="121">
                  <v>22.46</v>
                </pt>
                <pt idx="122">
                  <v>22.64</v>
                </pt>
                <pt idx="123">
                  <v>22.81</v>
                </pt>
                <pt idx="124">
                  <v>23.04</v>
                </pt>
                <pt idx="125">
                  <v>22.99</v>
                </pt>
                <pt idx="126">
                  <v>22.99</v>
                </pt>
                <pt idx="127">
                  <v>22.84</v>
                </pt>
                <pt idx="128">
                  <v>22.69</v>
                </pt>
                <pt idx="129">
                  <v>22.7</v>
                </pt>
                <pt idx="130">
                  <v>22.64</v>
                </pt>
                <pt idx="131">
                  <v>22.64</v>
                </pt>
                <pt idx="132">
                  <v>22.68</v>
                </pt>
                <pt idx="133">
                  <v>22.83</v>
                </pt>
                <pt idx="134">
                  <v>22.93</v>
                </pt>
                <pt idx="135">
                  <v>22.97</v>
                </pt>
                <pt idx="136">
                  <v>23.04</v>
                </pt>
                <pt idx="137">
                  <v>23.08</v>
                </pt>
                <pt idx="138">
                  <v>23.07</v>
                </pt>
                <pt idx="139">
                  <v>22.93</v>
                </pt>
                <pt idx="140">
                  <v>22.92</v>
                </pt>
                <pt idx="141">
                  <v>22.93</v>
                </pt>
                <pt idx="142">
                  <v>23.05</v>
                </pt>
                <pt idx="143">
                  <v>22.99</v>
                </pt>
                <pt idx="144">
                  <v>22.98</v>
                </pt>
                <pt idx="145">
                  <v>23.03</v>
                </pt>
                <pt idx="146">
                  <v>23.03</v>
                </pt>
                <pt idx="147">
                  <v>22.72</v>
                </pt>
                <pt idx="148">
                  <v>22.49</v>
                </pt>
                <pt idx="149">
                  <v>22.57</v>
                </pt>
                <pt idx="150">
                  <v>22.4</v>
                </pt>
                <pt idx="151">
                  <v>22.36</v>
                </pt>
                <pt idx="152">
                  <v>22.41</v>
                </pt>
                <pt idx="153">
                  <v>22.39</v>
                </pt>
                <pt idx="154">
                  <v>22.28</v>
                </pt>
                <pt idx="155">
                  <v>22.07</v>
                </pt>
                <pt idx="156">
                  <v>21.9</v>
                </pt>
                <pt idx="157">
                  <v>22.09</v>
                </pt>
                <pt idx="158">
                  <v>22.16</v>
                </pt>
                <pt idx="159">
                  <v>21.97</v>
                </pt>
                <pt idx="160">
                  <v>22.19</v>
                </pt>
                <pt idx="161">
                  <v>21.92</v>
                </pt>
                <pt idx="162">
                  <v>22.12</v>
                </pt>
                <pt idx="163">
                  <v>21.98</v>
                </pt>
                <pt idx="164">
                  <v>22.04</v>
                </pt>
                <pt idx="165">
                  <v>21.8</v>
                </pt>
                <pt idx="166">
                  <v>21.73</v>
                </pt>
                <pt idx="167">
                  <v>21.72</v>
                </pt>
                <pt idx="168">
                  <v>21.95</v>
                </pt>
                <pt idx="169">
                  <v>21.96</v>
                </pt>
                <pt idx="170">
                  <v>21.88</v>
                </pt>
                <pt idx="171">
                  <v>21.86</v>
                </pt>
                <pt idx="172">
                  <v>21.93</v>
                </pt>
                <pt idx="173">
                  <v>22.25</v>
                </pt>
                <pt idx="174">
                  <v>22.22</v>
                </pt>
                <pt idx="175">
                  <v>22.17</v>
                </pt>
                <pt idx="176">
                  <v>22.21</v>
                </pt>
                <pt idx="177">
                  <v>22.38</v>
                </pt>
                <pt idx="178">
                  <v>22.34</v>
                </pt>
                <pt idx="179">
                  <v>22.27</v>
                </pt>
                <pt idx="180">
                  <v>22.42</v>
                </pt>
                <pt idx="181">
                  <v>22.45</v>
                </pt>
                <pt idx="182">
                  <v>22.24</v>
                </pt>
                <pt idx="183">
                  <v>22.25</v>
                </pt>
                <pt idx="184">
                  <v>22.17</v>
                </pt>
                <pt idx="185">
                  <v>22.25</v>
                </pt>
                <pt idx="186">
                  <v>22.19</v>
                </pt>
                <pt idx="187">
                  <v>22.13</v>
                </pt>
                <pt idx="188">
                  <v>21.98</v>
                </pt>
                <pt idx="189">
                  <v>22.27</v>
                </pt>
                <pt idx="190">
                  <v>22.23</v>
                </pt>
                <pt idx="191">
                  <v>22.13</v>
                </pt>
                <pt idx="192">
                  <v>22.13</v>
                </pt>
                <pt idx="193">
                  <v>22.34</v>
                </pt>
                <pt idx="194">
                  <v>22.31</v>
                </pt>
                <pt idx="195">
                  <v>22.39</v>
                </pt>
                <pt idx="196">
                  <v>22.29</v>
                </pt>
                <pt idx="197">
                  <v>22.14</v>
                </pt>
                <pt idx="198">
                  <v>22.11</v>
                </pt>
                <pt idx="199">
                  <v>22.05</v>
                </pt>
                <pt idx="200">
                  <v>21.81</v>
                </pt>
                <pt idx="201">
                  <v>21.9</v>
                </pt>
                <pt idx="202">
                  <v>21.74</v>
                </pt>
                <pt idx="203">
                  <v>21.95</v>
                </pt>
                <pt idx="204">
                  <v>21.94</v>
                </pt>
                <pt idx="205">
                  <v>21.93</v>
                </pt>
                <pt idx="206">
                  <v>22.04</v>
                </pt>
                <pt idx="207">
                  <v>22.04</v>
                </pt>
                <pt idx="208">
                  <v>22.11</v>
                </pt>
                <pt idx="209">
                  <v>22.17</v>
                </pt>
                <pt idx="210">
                  <v>22.03</v>
                </pt>
                <pt idx="211">
                  <v>22.02</v>
                </pt>
                <pt idx="212">
                  <v>21.89</v>
                </pt>
                <pt idx="213">
                  <v>21.93</v>
                </pt>
                <pt idx="214">
                  <v>21.74</v>
                </pt>
                <pt idx="215">
                  <v>21.7</v>
                </pt>
                <pt idx="216">
                  <v>21.78</v>
                </pt>
                <pt idx="217">
                  <v>21.72</v>
                </pt>
                <pt idx="218">
                  <v>21.94</v>
                </pt>
                <pt idx="219">
                  <v>21.94</v>
                </pt>
                <pt idx="220">
                  <v>22</v>
                </pt>
                <pt idx="221">
                  <v>22.06</v>
                </pt>
                <pt idx="222">
                  <v>21.87</v>
                </pt>
                <pt idx="223">
                  <v>21.82</v>
                </pt>
                <pt idx="224">
                  <v>21.72</v>
                </pt>
                <pt idx="225">
                  <v>21.67</v>
                </pt>
                <pt idx="226">
                  <v>21.66</v>
                </pt>
                <pt idx="227">
                  <v>21.68</v>
                </pt>
                <pt idx="228">
                  <v>21.73</v>
                </pt>
                <pt idx="229">
                  <v>21.75</v>
                </pt>
                <pt idx="230">
                  <v>21.68</v>
                </pt>
                <pt idx="231">
                  <v>21.59</v>
                </pt>
                <pt idx="232">
                  <v>21.68</v>
                </pt>
                <pt idx="233">
                  <v>21.67</v>
                </pt>
                <pt idx="234">
                  <v>21.55</v>
                </pt>
                <pt idx="235">
                  <v>21.5</v>
                </pt>
                <pt idx="236">
                  <v>21.52</v>
                </pt>
                <pt idx="237">
                  <v>21.59</v>
                </pt>
                <pt idx="238">
                  <v>21.45</v>
                </pt>
                <pt idx="239">
                  <v>21.59</v>
                </pt>
                <pt idx="240">
                  <v>21.66</v>
                </pt>
                <pt idx="241">
                  <v>21.59</v>
                </pt>
                <pt idx="242">
                  <v>21.56</v>
                </pt>
                <pt idx="243">
                  <v>21.51</v>
                </pt>
                <pt idx="244">
                  <v>21.46</v>
                </pt>
                <pt idx="245">
                  <v>21.46</v>
                </pt>
                <pt idx="246">
                  <v>21.36</v>
                </pt>
                <pt idx="247">
                  <v>21.4</v>
                </pt>
                <pt idx="248">
                  <v>21.44</v>
                </pt>
                <pt idx="249">
                  <v>21.47</v>
                </pt>
                <pt idx="250">
                  <v>21.5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ko-KR"/>
        </a:p>
      </txPr>
    </legend>
    <plotVisOnly val="1"/>
    <dispBlanksAs val="zero"/>
  </chart>
</chartSpace>
</file>

<file path=xl/charts/chart15.xml><?xml version="1.0" encoding="utf-8"?>
<chartSpace xmlns:a="http://schemas.openxmlformats.org/drawingml/2006/main" xmlns="http://schemas.openxmlformats.org/drawingml/2006/chart">
  <chart>
    <plotArea>
      <layout/>
      <areaChart>
        <grouping val="standard"/>
        <varyColors val="1"/>
        <ser>
          <idx val="0"/>
          <order val="0"/>
          <tx>
            <strRef>
              <f>HYG!$F$27</f>
              <strCache>
                <ptCount val="1"/>
                <pt idx="0">
                  <v>Close</v>
                </pt>
              </strCache>
            </strRef>
          </tx>
          <spPr>
            <a:solidFill>
              <a:srgbClr val="4285F4"/>
            </a:solidFill>
            <a:ln cmpd="sng">
              <a:solidFill>
                <a:srgbClr val="4285F4"/>
              </a:solidFill>
              <a:prstDash val="solid"/>
            </a:ln>
          </spPr>
          <cat>
            <numRef>
              <f>HYG!$B$28:$B$1000</f>
              <numCache>
                <formatCode>mmm" "d", "yyyy</formatCode>
                <ptCount val="973"/>
                <pt idx="0">
                  <v>45868.6666666666</v>
                </pt>
                <pt idx="1">
                  <v>45869.6666666666</v>
                </pt>
                <pt idx="2">
                  <v>45870.6666666666</v>
                </pt>
                <pt idx="3">
                  <v>45873.6666666666</v>
                </pt>
                <pt idx="4">
                  <v>45874.6666666666</v>
                </pt>
                <pt idx="5">
                  <v>45875.6666666666</v>
                </pt>
                <pt idx="6">
                  <v>45876.6666666666</v>
                </pt>
                <pt idx="7">
                  <v>45877.6666666666</v>
                </pt>
                <pt idx="8">
                  <v>45880.6666666666</v>
                </pt>
                <pt idx="9">
                  <v>45881.6666666666</v>
                </pt>
                <pt idx="10">
                  <v>45882.6666666666</v>
                </pt>
                <pt idx="11">
                  <v>45883.6666666666</v>
                </pt>
                <pt idx="12">
                  <v>45884.6666666666</v>
                </pt>
                <pt idx="13">
                  <v>45887.6666666666</v>
                </pt>
                <pt idx="14">
                  <v>45888.6666666666</v>
                </pt>
                <pt idx="15">
                  <v>45889.6666666666</v>
                </pt>
                <pt idx="16">
                  <v>45890.6666666666</v>
                </pt>
                <pt idx="17">
                  <v>45891.6666666666</v>
                </pt>
                <pt idx="18">
                  <v>45894.6666666666</v>
                </pt>
                <pt idx="19">
                  <v>45895.6666666666</v>
                </pt>
                <pt idx="20">
                  <v>45896.6666666666</v>
                </pt>
                <pt idx="21">
                  <v>45897.6666666666</v>
                </pt>
                <pt idx="22">
                  <v>45898.6666666666</v>
                </pt>
                <pt idx="23">
                  <v>45902.6666666666</v>
                </pt>
                <pt idx="24">
                  <v>45903.6666666666</v>
                </pt>
                <pt idx="25">
                  <v>45904.6666666666</v>
                </pt>
                <pt idx="26">
                  <v>45905.6666666666</v>
                </pt>
                <pt idx="27">
                  <v>45908.6666666666</v>
                </pt>
                <pt idx="28">
                  <v>45909.6666666666</v>
                </pt>
                <pt idx="29">
                  <v>45910.6666666666</v>
                </pt>
                <pt idx="30">
                  <v>45911.6666666666</v>
                </pt>
                <pt idx="31">
                  <v>45912.6666666666</v>
                </pt>
                <pt idx="32">
                  <v>45915.6666666666</v>
                </pt>
                <pt idx="33">
                  <v>45916.6666666666</v>
                </pt>
                <pt idx="34">
                  <v>45917.6666666666</v>
                </pt>
                <pt idx="35">
                  <v>45918.6666666666</v>
                </pt>
                <pt idx="36">
                  <v>45919.6666666666</v>
                </pt>
                <pt idx="37">
                  <v>45922.6666666666</v>
                </pt>
                <pt idx="38">
                  <v>45923.6666666666</v>
                </pt>
                <pt idx="39">
                  <v>45924.6666666666</v>
                </pt>
                <pt idx="40">
                  <v>45925.6666666666</v>
                </pt>
                <pt idx="41">
                  <v>45926.6666666666</v>
                </pt>
                <pt idx="42">
                  <v>45929.6666666666</v>
                </pt>
                <pt idx="43">
                  <v>45930.6666666666</v>
                </pt>
                <pt idx="44">
                  <v>45931.6666666666</v>
                </pt>
                <pt idx="45">
                  <v>45932.6666666666</v>
                </pt>
                <pt idx="46">
                  <v>45933.6666666666</v>
                </pt>
                <pt idx="47">
                  <v>45936.6666666666</v>
                </pt>
                <pt idx="48">
                  <v>45937.6666666666</v>
                </pt>
                <pt idx="49">
                  <v>45938.6666666666</v>
                </pt>
                <pt idx="50">
                  <v>45939.6666666666</v>
                </pt>
                <pt idx="51">
                  <v>45940.6666666666</v>
                </pt>
                <pt idx="52">
                  <v>45943.6666666666</v>
                </pt>
                <pt idx="53">
                  <v>45944.6666666666</v>
                </pt>
                <pt idx="54">
                  <v>45945.6666666666</v>
                </pt>
                <pt idx="55">
                  <v>45946.6666666666</v>
                </pt>
                <pt idx="56">
                  <v>45947.6666666666</v>
                </pt>
                <pt idx="57">
                  <v>45950.6666666666</v>
                </pt>
                <pt idx="58">
                  <v>45951.6666666666</v>
                </pt>
                <pt idx="59">
                  <v>45952.6666666666</v>
                </pt>
                <pt idx="60">
                  <v>45953.6666666666</v>
                </pt>
                <pt idx="61">
                  <v>45954.6666666666</v>
                </pt>
                <pt idx="62">
                  <v>45957.6666666666</v>
                </pt>
                <pt idx="63">
                  <v>45958.6666666666</v>
                </pt>
                <pt idx="64">
                  <v>45959.6666666666</v>
                </pt>
                <pt idx="65">
                  <v>45960.6666666666</v>
                </pt>
                <pt idx="66">
                  <v>45961.6666666666</v>
                </pt>
                <pt idx="67">
                  <v>45964.6666666666</v>
                </pt>
                <pt idx="68">
                  <v>45965.6666666666</v>
                </pt>
                <pt idx="69">
                  <v>45966.6666666666</v>
                </pt>
                <pt idx="70">
                  <v>45967.6666666666</v>
                </pt>
                <pt idx="71">
                  <v>45968.6666666666</v>
                </pt>
                <pt idx="72">
                  <v>45971.6666666666</v>
                </pt>
                <pt idx="73">
                  <v>45972.6666666666</v>
                </pt>
                <pt idx="74">
                  <v>45973.6666666666</v>
                </pt>
                <pt idx="75">
                  <v>45974.6666666666</v>
                </pt>
                <pt idx="76">
                  <v>45975.6666666666</v>
                </pt>
                <pt idx="77">
                  <v>45978.6666666666</v>
                </pt>
                <pt idx="78">
                  <v>45979.6666666666</v>
                </pt>
                <pt idx="79">
                  <v>45980.6666666666</v>
                </pt>
                <pt idx="80">
                  <v>45981.6666666666</v>
                </pt>
                <pt idx="81">
                  <v>45982.6666666666</v>
                </pt>
                <pt idx="82">
                  <v>45985.6666666666</v>
                </pt>
                <pt idx="83">
                  <v>45986.6666666666</v>
                </pt>
                <pt idx="84">
                  <v>45987.6666666666</v>
                </pt>
                <pt idx="85">
                  <v>45989.5520833333</v>
                </pt>
                <pt idx="86">
                  <v>45992.6666666666</v>
                </pt>
                <pt idx="87">
                  <v>45993.6666666666</v>
                </pt>
                <pt idx="88">
                  <v>45994.6666666666</v>
                </pt>
                <pt idx="89">
                  <v>45995.6666666666</v>
                </pt>
                <pt idx="90">
                  <v>45996.6666666666</v>
                </pt>
                <pt idx="91">
                  <v>45999.6666666666</v>
                </pt>
                <pt idx="92">
                  <v>46000.6666666666</v>
                </pt>
                <pt idx="93">
                  <v>46001.6666666666</v>
                </pt>
                <pt idx="94">
                  <v>46002.6666666666</v>
                </pt>
                <pt idx="95">
                  <v>46003.6666666666</v>
                </pt>
                <pt idx="96">
                  <v>46006.6666666666</v>
                </pt>
                <pt idx="97">
                  <v>46007.6666666666</v>
                </pt>
                <pt idx="98">
                  <v>46008.6666666666</v>
                </pt>
                <pt idx="99">
                  <v>46009.6666666666</v>
                </pt>
                <pt idx="100">
                  <v>46010.6666666666</v>
                </pt>
                <pt idx="101">
                  <v>46013.6666666666</v>
                </pt>
                <pt idx="102">
                  <v>46014.6666666666</v>
                </pt>
                <pt idx="103">
                  <v>46015.5416666666</v>
                </pt>
                <pt idx="104">
                  <v>46017.6666666666</v>
                </pt>
                <pt idx="105">
                  <v>46020.6666666666</v>
                </pt>
                <pt idx="106">
                  <v>46021.6666666666</v>
                </pt>
                <pt idx="107">
                  <v>46022.6666666666</v>
                </pt>
                <pt idx="108">
                  <v>46024.6666666666</v>
                </pt>
                <pt idx="109">
                  <v>46027.6666666666</v>
                </pt>
                <pt idx="110">
                  <v>46028.6666666666</v>
                </pt>
                <pt idx="111">
                  <v>46029.6666666666</v>
                </pt>
                <pt idx="112">
                  <v>46030.6666666666</v>
                </pt>
                <pt idx="113">
                  <v>46031.6666666666</v>
                </pt>
                <pt idx="114">
                  <v>46034.6666666666</v>
                </pt>
                <pt idx="115">
                  <v>46035.6666666666</v>
                </pt>
                <pt idx="116">
                  <v>46036.6666666666</v>
                </pt>
                <pt idx="117">
                  <v>46037.6666666666</v>
                </pt>
                <pt idx="118">
                  <v>46038.6666666666</v>
                </pt>
                <pt idx="119">
                  <v>46042.6666666666</v>
                </pt>
                <pt idx="120">
                  <v>46043.6666666666</v>
                </pt>
                <pt idx="121">
                  <v>46044.6666666666</v>
                </pt>
                <pt idx="122">
                  <v>46045.6666666666</v>
                </pt>
                <pt idx="123">
                  <v>46048.6666666666</v>
                </pt>
                <pt idx="124">
                  <v>46049.6666666666</v>
                </pt>
                <pt idx="125">
                  <v>46050.6666666666</v>
                </pt>
                <pt idx="126">
                  <v>46051.6666666666</v>
                </pt>
                <pt idx="127">
                  <v>46052.6666666666</v>
                </pt>
                <pt idx="128">
                  <v>46055.6666666666</v>
                </pt>
                <pt idx="129">
                  <v>46056.6666666666</v>
                </pt>
                <pt idx="130">
                  <v>46057.6666666666</v>
                </pt>
                <pt idx="131">
                  <v>46058.6666666666</v>
                </pt>
                <pt idx="132">
                  <v>46059.6666666666</v>
                </pt>
                <pt idx="133">
                  <v>46062.6666666666</v>
                </pt>
                <pt idx="134">
                  <v>46063.6666666666</v>
                </pt>
                <pt idx="135">
                  <v>46064.6666666666</v>
                </pt>
                <pt idx="136">
                  <v>46065.6666666666</v>
                </pt>
                <pt idx="137">
                  <v>46066.6666666666</v>
                </pt>
                <pt idx="138">
                  <v>46070.6666666666</v>
                </pt>
                <pt idx="139">
                  <v>46071.6666666666</v>
                </pt>
                <pt idx="140">
                  <v>46072.6666666666</v>
                </pt>
                <pt idx="141">
                  <v>46073.6666666666</v>
                </pt>
                <pt idx="142">
                  <v>46076.6666666666</v>
                </pt>
                <pt idx="143">
                  <v>46077.6666666666</v>
                </pt>
                <pt idx="144">
                  <v>46078.6666666666</v>
                </pt>
                <pt idx="145">
                  <v>46079.6666666666</v>
                </pt>
                <pt idx="146">
                  <v>46080.6666666666</v>
                </pt>
                <pt idx="147">
                  <v>46083.6666666666</v>
                </pt>
                <pt idx="148">
                  <v>46084.6666666666</v>
                </pt>
                <pt idx="149">
                  <v>46085.6666666666</v>
                </pt>
                <pt idx="150">
                  <v>46086.6666666666</v>
                </pt>
                <pt idx="151">
                  <v>46087.6666666666</v>
                </pt>
                <pt idx="152">
                  <v>46090.6666666666</v>
                </pt>
                <pt idx="153">
                  <v>46091.6666666666</v>
                </pt>
                <pt idx="154">
                  <v>46092.6666666666</v>
                </pt>
                <pt idx="155">
                  <v>46093.6666666666</v>
                </pt>
                <pt idx="156">
                  <v>46094.6666666666</v>
                </pt>
                <pt idx="157">
                  <v>46097.6666666666</v>
                </pt>
                <pt idx="158">
                  <v>46098.6666666666</v>
                </pt>
                <pt idx="159">
                  <v>46099.6666666666</v>
                </pt>
                <pt idx="160">
                  <v>46100.6666666666</v>
                </pt>
                <pt idx="161">
                  <v>46101.6666666666</v>
                </pt>
                <pt idx="162">
                  <v>46104.6666666666</v>
                </pt>
                <pt idx="163">
                  <v>46105.6666666666</v>
                </pt>
                <pt idx="164">
                  <v>46106.6666666666</v>
                </pt>
                <pt idx="165">
                  <v>46107.6666666666</v>
                </pt>
                <pt idx="166">
                  <v>46108.6666666666</v>
                </pt>
                <pt idx="167">
                  <v>46111.6666666666</v>
                </pt>
                <pt idx="168">
                  <v>46112.6666666666</v>
                </pt>
                <pt idx="169">
                  <v>46113.6666666666</v>
                </pt>
                <pt idx="170">
                  <v>46114.6666666666</v>
                </pt>
                <pt idx="171">
                  <v>46118.6666666666</v>
                </pt>
                <pt idx="172">
                  <v>46119.6666666666</v>
                </pt>
                <pt idx="173">
                  <v>46120.6666666666</v>
                </pt>
                <pt idx="174">
                  <v>46121.6666666666</v>
                </pt>
                <pt idx="175">
                  <v>46122.6666666666</v>
                </pt>
                <pt idx="176">
                  <v>46125.6666666666</v>
                </pt>
                <pt idx="177">
                  <v>46126.6666666666</v>
                </pt>
                <pt idx="178">
                  <v>46127.6666666666</v>
                </pt>
                <pt idx="179">
                  <v>46128.6666666666</v>
                </pt>
                <pt idx="180">
                  <v>46129.6666666666</v>
                </pt>
                <pt idx="181">
                  <v>46132.6666666666</v>
                </pt>
                <pt idx="182">
                  <v>46133.6666666666</v>
                </pt>
                <pt idx="183">
                  <v>46134.6666666666</v>
                </pt>
                <pt idx="184">
                  <v>46135.6666666666</v>
                </pt>
                <pt idx="185">
                  <v>46136.6666666666</v>
                </pt>
                <pt idx="186">
                  <v>46139.6666666666</v>
                </pt>
                <pt idx="187">
                  <v>46140.6666666666</v>
                </pt>
                <pt idx="188">
                  <v>46141.6666666666</v>
                </pt>
                <pt idx="189">
                  <v>46142.6666666666</v>
                </pt>
                <pt idx="190">
                  <v>46143.6666666666</v>
                </pt>
                <pt idx="191">
                  <v>46146.6666666666</v>
                </pt>
                <pt idx="192">
                  <v>46147.6666666666</v>
                </pt>
                <pt idx="193">
                  <v>46148.6666666666</v>
                </pt>
                <pt idx="194">
                  <v>46149.6666666666</v>
                </pt>
                <pt idx="195">
                  <v>46150.6666666666</v>
                </pt>
                <pt idx="196">
                  <v>46153.6666666666</v>
                </pt>
                <pt idx="197">
                  <v>46154.6666666666</v>
                </pt>
                <pt idx="198">
                  <v>46155.6666666666</v>
                </pt>
                <pt idx="199">
                  <v>46156.6666666666</v>
                </pt>
                <pt idx="200">
                  <v>46157.6666666666</v>
                </pt>
                <pt idx="201">
                  <v>46160.6666666666</v>
                </pt>
                <pt idx="202">
                  <v>46161.6666666666</v>
                </pt>
                <pt idx="203">
                  <v>46162.6666666666</v>
                </pt>
                <pt idx="204">
                  <v>46163.6666666666</v>
                </pt>
                <pt idx="205">
                  <v>46164.6666666666</v>
                </pt>
                <pt idx="206">
                  <v>46168.6666666666</v>
                </pt>
                <pt idx="207">
                  <v>46169.6666666666</v>
                </pt>
                <pt idx="208">
                  <v>46170.6666666666</v>
                </pt>
                <pt idx="209">
                  <v>46171.6666666666</v>
                </pt>
                <pt idx="210">
                  <v>46174.6666666666</v>
                </pt>
                <pt idx="211">
                  <v>46175.6666666666</v>
                </pt>
                <pt idx="212">
                  <v>46176.6666666666</v>
                </pt>
                <pt idx="213">
                  <v>46177.6666666666</v>
                </pt>
                <pt idx="214">
                  <v>46178.6666666666</v>
                </pt>
                <pt idx="215">
                  <v>46181.6666666666</v>
                </pt>
                <pt idx="216">
                  <v>46182.6666666666</v>
                </pt>
                <pt idx="217">
                  <v>46183.6666666666</v>
                </pt>
                <pt idx="218">
                  <v>46184.6666666666</v>
                </pt>
                <pt idx="219">
                  <v>46185.6666666666</v>
                </pt>
                <pt idx="220">
                  <v>46188.6666666666</v>
                </pt>
                <pt idx="221">
                  <v>46189.6666666666</v>
                </pt>
                <pt idx="222">
                  <v>46190.6666666666</v>
                </pt>
                <pt idx="223">
                  <v>46191.6666666666</v>
                </pt>
                <pt idx="224">
                  <v>46195.6666666666</v>
                </pt>
                <pt idx="225">
                  <v>46196.6666666666</v>
                </pt>
                <pt idx="226">
                  <v>46197.6666666666</v>
                </pt>
                <pt idx="227">
                  <v>46198.6666666666</v>
                </pt>
                <pt idx="228">
                  <v>46199.6666666666</v>
                </pt>
                <pt idx="229">
                  <v>46202.6666666666</v>
                </pt>
                <pt idx="230">
                  <v>46203.6666666666</v>
                </pt>
                <pt idx="231">
                  <v>46204.6666666666</v>
                </pt>
                <pt idx="232">
                  <v>46205.6666666666</v>
                </pt>
                <pt idx="233">
                  <v>46209.6666666666</v>
                </pt>
                <pt idx="234">
                  <v>46210.6666666666</v>
                </pt>
                <pt idx="235">
                  <v>46211.6666666666</v>
                </pt>
                <pt idx="236">
                  <v>46212.6666666666</v>
                </pt>
                <pt idx="237">
                  <v>46213.6666666666</v>
                </pt>
                <pt idx="238">
                  <v>46216.6666666666</v>
                </pt>
                <pt idx="239">
                  <v>46217.6666666666</v>
                </pt>
                <pt idx="240">
                  <v>46218.6666666666</v>
                </pt>
                <pt idx="241">
                  <v>46219.6666666666</v>
                </pt>
                <pt idx="242">
                  <v>46220.6666666666</v>
                </pt>
                <pt idx="243">
                  <v>46223.6666666666</v>
                </pt>
                <pt idx="244">
                  <v>46224.6666666666</v>
                </pt>
                <pt idx="245">
                  <v>46225.6666666666</v>
                </pt>
                <pt idx="246">
                  <v>46226.6666666666</v>
                </pt>
                <pt idx="247">
                  <v>46227.6666666666</v>
                </pt>
                <pt idx="248">
                  <v>46230.6666666666</v>
                </pt>
                <pt idx="249">
                  <v>46231.6666666666</v>
                </pt>
                <pt idx="250">
                  <v>46232.6666666666</v>
                </pt>
              </numCache>
            </numRef>
          </cat>
          <val>
            <numRef>
              <f>HYG!$F$28:$F$1000</f>
              <numCache>
                <formatCode>#,##0.00</formatCode>
                <ptCount val="973"/>
                <pt idx="0">
                  <v>80.33</v>
                </pt>
                <pt idx="1">
                  <v>80.38</v>
                </pt>
                <pt idx="2">
                  <v>79.98</v>
                </pt>
                <pt idx="3">
                  <v>80.25</v>
                </pt>
                <pt idx="4">
                  <v>80.20999999999999</v>
                </pt>
                <pt idx="5">
                  <v>80.29000000000001</v>
                </pt>
                <pt idx="6">
                  <v>80.20999999999999</v>
                </pt>
                <pt idx="7">
                  <v>80.22</v>
                </pt>
                <pt idx="8">
                  <v>80.22</v>
                </pt>
                <pt idx="9">
                  <v>80.40000000000001</v>
                </pt>
                <pt idx="10">
                  <v>80.61</v>
                </pt>
                <pt idx="11">
                  <v>80.40000000000001</v>
                </pt>
                <pt idx="12">
                  <v>80.45999999999999</v>
                </pt>
                <pt idx="13">
                  <v>80.40000000000001</v>
                </pt>
                <pt idx="14">
                  <v>80.38</v>
                </pt>
                <pt idx="15">
                  <v>80.34999999999999</v>
                </pt>
                <pt idx="16">
                  <v>80.2</v>
                </pt>
                <pt idx="17">
                  <v>80.84999999999999</v>
                </pt>
                <pt idx="18">
                  <v>80.69</v>
                </pt>
                <pt idx="19">
                  <v>80.87</v>
                </pt>
                <pt idx="20">
                  <v>80.97</v>
                </pt>
                <pt idx="21">
                  <v>81.01000000000001</v>
                </pt>
                <pt idx="22">
                  <v>80.86</v>
                </pt>
                <pt idx="23">
                  <v>80.39</v>
                </pt>
                <pt idx="24">
                  <v>80.61</v>
                </pt>
                <pt idx="25">
                  <v>80.83</v>
                </pt>
                <pt idx="26">
                  <v>80.87</v>
                </pt>
                <pt idx="27">
                  <v>80.87</v>
                </pt>
                <pt idx="28">
                  <v>80.78</v>
                </pt>
                <pt idx="29">
                  <v>80.84</v>
                </pt>
                <pt idx="30">
                  <v>81.04000000000001</v>
                </pt>
                <pt idx="31">
                  <v>80.95999999999999</v>
                </pt>
                <pt idx="32">
                  <v>81.19</v>
                </pt>
                <pt idx="33">
                  <v>81.13</v>
                </pt>
                <pt idx="34">
                  <v>81.05</v>
                </pt>
                <pt idx="35">
                  <v>81.23</v>
                </pt>
                <pt idx="36">
                  <v>81.26000000000001</v>
                </pt>
                <pt idx="37">
                  <v>81.31999999999999</v>
                </pt>
                <pt idx="38">
                  <v>81.26000000000001</v>
                </pt>
                <pt idx="39">
                  <v>81.15000000000001</v>
                </pt>
                <pt idx="40">
                  <v>80.92</v>
                </pt>
                <pt idx="41">
                  <v>81.08</v>
                </pt>
                <pt idx="42">
                  <v>81.22</v>
                </pt>
                <pt idx="43">
                  <v>81.19</v>
                </pt>
                <pt idx="44">
                  <v>80.95999999999999</v>
                </pt>
                <pt idx="45">
                  <v>80.93000000000001</v>
                </pt>
                <pt idx="46">
                  <v>80.84</v>
                </pt>
                <pt idx="47">
                  <v>80.86</v>
                </pt>
                <pt idx="48">
                  <v>80.77</v>
                </pt>
                <pt idx="49">
                  <v>80.65000000000001</v>
                </pt>
                <pt idx="50">
                  <v>80.42</v>
                </pt>
                <pt idx="51">
                  <v>79.95</v>
                </pt>
                <pt idx="52">
                  <v>80.45</v>
                </pt>
                <pt idx="53">
                  <v>80.54000000000001</v>
                </pt>
                <pt idx="54">
                  <v>80.8</v>
                </pt>
                <pt idx="55">
                  <v>80.51000000000001</v>
                </pt>
                <pt idx="56">
                  <v>80.72</v>
                </pt>
                <pt idx="57">
                  <v>80.88</v>
                </pt>
                <pt idx="58">
                  <v>80.76000000000001</v>
                </pt>
                <pt idx="59">
                  <v>80.68000000000001</v>
                </pt>
                <pt idx="60">
                  <v>80.86</v>
                </pt>
                <pt idx="61">
                  <v>81.08</v>
                </pt>
                <pt idx="62">
                  <v>81.28</v>
                </pt>
                <pt idx="63">
                  <v>81.2</v>
                </pt>
                <pt idx="64">
                  <v>80.95</v>
                </pt>
                <pt idx="65">
                  <v>80.8</v>
                </pt>
                <pt idx="66">
                  <v>80.8</v>
                </pt>
                <pt idx="67">
                  <v>80.14</v>
                </pt>
                <pt idx="68">
                  <v>80.15000000000001</v>
                </pt>
                <pt idx="69">
                  <v>80.23</v>
                </pt>
                <pt idx="70">
                  <v>80.26000000000001</v>
                </pt>
                <pt idx="71">
                  <v>80.33</v>
                </pt>
                <pt idx="72">
                  <v>80.59999999999999</v>
                </pt>
                <pt idx="73">
                  <v>80.69</v>
                </pt>
                <pt idx="74">
                  <v>80.53</v>
                </pt>
                <pt idx="75">
                  <v>80.2</v>
                </pt>
                <pt idx="76">
                  <v>80.22</v>
                </pt>
                <pt idx="77">
                  <v>80.09</v>
                </pt>
                <pt idx="78">
                  <v>80.11</v>
                </pt>
                <pt idx="79">
                  <v>80.15000000000001</v>
                </pt>
                <pt idx="80">
                  <v>80.09999999999999</v>
                </pt>
                <pt idx="81">
                  <v>80.37</v>
                </pt>
                <pt idx="82">
                  <v>80.59</v>
                </pt>
                <pt idx="83">
                  <v>80.87</v>
                </pt>
                <pt idx="84">
                  <v>80.95</v>
                </pt>
                <pt idx="85">
                  <v>80.98999999999999</v>
                </pt>
                <pt idx="86">
                  <v>80.47</v>
                </pt>
                <pt idx="87">
                  <v>80.62</v>
                </pt>
                <pt idx="88">
                  <v>80.69</v>
                </pt>
                <pt idx="89">
                  <v>80.75</v>
                </pt>
                <pt idx="90">
                  <v>80.75</v>
                </pt>
                <pt idx="91">
                  <v>80.55</v>
                </pt>
                <pt idx="92">
                  <v>80.45999999999999</v>
                </pt>
                <pt idx="93">
                  <v>80.73</v>
                </pt>
                <pt idx="94">
                  <v>80.72</v>
                </pt>
                <pt idx="95">
                  <v>80.56999999999999</v>
                </pt>
                <pt idx="96">
                  <v>80.61</v>
                </pt>
                <pt idx="97">
                  <v>80.66</v>
                </pt>
                <pt idx="98">
                  <v>80.56</v>
                </pt>
                <pt idx="99">
                  <v>80.78</v>
                </pt>
                <pt idx="100">
                  <v>80.36</v>
                </pt>
                <pt idx="101">
                  <v>80.43000000000001</v>
                </pt>
                <pt idx="102">
                  <v>80.48999999999999</v>
                </pt>
                <pt idx="103">
                  <v>80.64</v>
                </pt>
                <pt idx="104">
                  <v>80.59999999999999</v>
                </pt>
                <pt idx="105">
                  <v>80.63</v>
                </pt>
                <pt idx="106">
                  <v>80.70999999999999</v>
                </pt>
                <pt idx="107">
                  <v>80.63</v>
                </pt>
                <pt idx="108">
                  <v>80.67</v>
                </pt>
                <pt idx="109">
                  <v>80.88</v>
                </pt>
                <pt idx="110">
                  <v>80.90000000000001</v>
                </pt>
                <pt idx="111">
                  <v>80.88</v>
                </pt>
                <pt idx="112">
                  <v>80.94</v>
                </pt>
                <pt idx="113">
                  <v>81</v>
                </pt>
                <pt idx="114">
                  <v>81.04000000000001</v>
                </pt>
                <pt idx="115">
                  <v>81.04000000000001</v>
                </pt>
                <pt idx="116">
                  <v>81.04000000000001</v>
                </pt>
                <pt idx="117">
                  <v>81.04000000000001</v>
                </pt>
                <pt idx="118">
                  <v>81.09</v>
                </pt>
                <pt idx="119">
                  <v>80.88</v>
                </pt>
                <pt idx="120">
                  <v>81.12</v>
                </pt>
                <pt idx="121">
                  <v>81.18000000000001</v>
                </pt>
                <pt idx="122">
                  <v>81.14</v>
                </pt>
                <pt idx="123">
                  <v>81.18000000000001</v>
                </pt>
                <pt idx="124">
                  <v>81.17</v>
                </pt>
                <pt idx="125">
                  <v>81.04000000000001</v>
                </pt>
                <pt idx="126">
                  <v>81.03</v>
                </pt>
                <pt idx="127">
                  <v>81.12</v>
                </pt>
                <pt idx="128">
                  <v>80.77</v>
                </pt>
                <pt idx="129">
                  <v>80.72</v>
                </pt>
                <pt idx="130">
                  <v>80.62</v>
                </pt>
                <pt idx="131">
                  <v>80.53</v>
                </pt>
                <pt idx="132">
                  <v>80.81</v>
                </pt>
                <pt idx="133">
                  <v>80.92</v>
                </pt>
                <pt idx="134">
                  <v>80.84</v>
                </pt>
                <pt idx="135">
                  <v>80.83</v>
                </pt>
                <pt idx="136">
                  <v>80.79000000000001</v>
                </pt>
                <pt idx="137">
                  <v>80.84999999999999</v>
                </pt>
                <pt idx="138">
                  <v>80.81</v>
                </pt>
                <pt idx="139">
                  <v>80.91</v>
                </pt>
                <pt idx="140">
                  <v>80.94</v>
                </pt>
                <pt idx="141">
                  <v>81</v>
                </pt>
                <pt idx="142">
                  <v>80.87</v>
                </pt>
                <pt idx="143">
                  <v>80.81</v>
                </pt>
                <pt idx="144">
                  <v>80.92</v>
                </pt>
                <pt idx="145">
                  <v>80.84999999999999</v>
                </pt>
                <pt idx="146">
                  <v>80.72</v>
                </pt>
                <pt idx="147">
                  <v>80.28</v>
                </pt>
                <pt idx="148">
                  <v>80.12</v>
                </pt>
                <pt idx="149">
                  <v>80.40000000000001</v>
                </pt>
                <pt idx="150">
                  <v>80.08</v>
                </pt>
                <pt idx="151">
                  <v>79.69</v>
                </pt>
                <pt idx="152">
                  <v>80.17</v>
                </pt>
                <pt idx="153">
                  <v>80.04000000000001</v>
                </pt>
                <pt idx="154">
                  <v>79.86</v>
                </pt>
                <pt idx="155">
                  <v>79.34999999999999</v>
                </pt>
                <pt idx="156">
                  <v>79.2</v>
                </pt>
                <pt idx="157">
                  <v>79.45</v>
                </pt>
                <pt idx="158">
                  <v>79.81</v>
                </pt>
                <pt idx="159">
                  <v>79.40000000000001</v>
                </pt>
                <pt idx="160">
                  <v>79.66</v>
                </pt>
                <pt idx="161">
                  <v>78.92</v>
                </pt>
                <pt idx="162">
                  <v>79.44</v>
                </pt>
                <pt idx="163">
                  <v>79.17</v>
                </pt>
                <pt idx="164">
                  <v>79.42</v>
                </pt>
                <pt idx="165">
                  <v>78.92</v>
                </pt>
                <pt idx="166">
                  <v>78.72</v>
                </pt>
                <pt idx="167">
                  <v>78.81</v>
                </pt>
                <pt idx="168">
                  <v>79.56</v>
                </pt>
                <pt idx="169">
                  <v>79.37</v>
                </pt>
                <pt idx="170">
                  <v>79.56</v>
                </pt>
                <pt idx="171">
                  <v>79.7</v>
                </pt>
                <pt idx="172">
                  <v>79.72</v>
                </pt>
                <pt idx="173">
                  <v>80.19</v>
                </pt>
                <pt idx="174">
                  <v>80.28</v>
                </pt>
                <pt idx="175">
                  <v>79.95999999999999</v>
                </pt>
                <pt idx="176">
                  <v>80.26000000000001</v>
                </pt>
                <pt idx="177">
                  <v>80.5</v>
                </pt>
                <pt idx="178">
                  <v>80.45999999999999</v>
                </pt>
                <pt idx="179">
                  <v>80.34999999999999</v>
                </pt>
                <pt idx="180">
                  <v>80.65000000000001</v>
                </pt>
                <pt idx="181">
                  <v>80.58</v>
                </pt>
                <pt idx="182">
                  <v>80.37</v>
                </pt>
                <pt idx="183">
                  <v>80.5</v>
                </pt>
                <pt idx="184">
                  <v>80.37</v>
                </pt>
                <pt idx="185">
                  <v>80.48</v>
                </pt>
                <pt idx="186">
                  <v>80.51000000000001</v>
                </pt>
                <pt idx="187">
                  <v>80.40000000000001</v>
                </pt>
                <pt idx="188">
                  <v>80.13</v>
                </pt>
                <pt idx="189">
                  <v>80.38</v>
                </pt>
                <pt idx="190">
                  <v>80.06</v>
                </pt>
                <pt idx="191">
                  <v>79.8</v>
                </pt>
                <pt idx="192">
                  <v>79.92</v>
                </pt>
                <pt idx="193">
                  <v>80.16</v>
                </pt>
                <pt idx="194">
                  <v>79.86</v>
                </pt>
                <pt idx="195">
                  <v>80.14</v>
                </pt>
                <pt idx="196">
                  <v>79.98</v>
                </pt>
                <pt idx="197">
                  <v>79.87</v>
                </pt>
                <pt idx="198">
                  <v>79.91</v>
                </pt>
                <pt idx="199">
                  <v>79.84999999999999</v>
                </pt>
                <pt idx="200">
                  <v>79.45999999999999</v>
                </pt>
                <pt idx="201">
                  <v>79.54000000000001</v>
                </pt>
                <pt idx="202">
                  <v>79.34999999999999</v>
                </pt>
                <pt idx="203">
                  <v>79.86</v>
                </pt>
                <pt idx="204">
                  <v>79.90000000000001</v>
                </pt>
                <pt idx="205">
                  <v>79.91</v>
                </pt>
                <pt idx="206">
                  <v>80.18000000000001</v>
                </pt>
                <pt idx="207">
                  <v>80.13</v>
                </pt>
                <pt idx="208">
                  <v>80.23</v>
                </pt>
                <pt idx="209">
                  <v>80.31</v>
                </pt>
                <pt idx="210">
                  <v>79.84</v>
                </pt>
                <pt idx="211">
                  <v>79.90000000000001</v>
                </pt>
                <pt idx="212">
                  <v>79.68000000000001</v>
                </pt>
                <pt idx="213">
                  <v>79.83</v>
                </pt>
                <pt idx="214">
                  <v>79.43000000000001</v>
                </pt>
                <pt idx="215">
                  <v>79.54000000000001</v>
                </pt>
                <pt idx="216">
                  <v>79.62</v>
                </pt>
                <pt idx="217">
                  <v>79.47</v>
                </pt>
                <pt idx="218">
                  <v>79.94</v>
                </pt>
                <pt idx="219">
                  <v>79.94</v>
                </pt>
                <pt idx="220">
                  <v>80.04000000000001</v>
                </pt>
                <pt idx="221">
                  <v>80.03</v>
                </pt>
                <pt idx="222">
                  <v>79.73</v>
                </pt>
                <pt idx="223">
                  <v>80.01000000000001</v>
                </pt>
                <pt idx="224">
                  <v>79.94</v>
                </pt>
                <pt idx="225">
                  <v>79.87</v>
                </pt>
                <pt idx="226">
                  <v>79.84999999999999</v>
                </pt>
                <pt idx="227">
                  <v>79.88</v>
                </pt>
                <pt idx="228">
                  <v>79.83</v>
                </pt>
                <pt idx="229">
                  <v>80.01000000000001</v>
                </pt>
                <pt idx="230">
                  <v>79.97</v>
                </pt>
                <pt idx="231">
                  <v>79.59</v>
                </pt>
                <pt idx="232">
                  <v>79.70999999999999</v>
                </pt>
                <pt idx="233">
                  <v>79.87</v>
                </pt>
                <pt idx="234">
                  <v>79.76000000000001</v>
                </pt>
                <pt idx="235">
                  <v>79.66</v>
                </pt>
                <pt idx="236">
                  <v>79.75</v>
                </pt>
                <pt idx="237">
                  <v>79.70999999999999</v>
                </pt>
                <pt idx="238">
                  <v>79.52</v>
                </pt>
                <pt idx="239">
                  <v>79.68000000000001</v>
                </pt>
                <pt idx="240">
                  <v>79.81</v>
                </pt>
                <pt idx="241">
                  <v>79.8</v>
                </pt>
                <pt idx="242">
                  <v>79.65000000000001</v>
                </pt>
                <pt idx="243">
                  <v>79.68000000000001</v>
                </pt>
                <pt idx="244">
                  <v>79.65000000000001</v>
                </pt>
                <pt idx="245">
                  <v>79.52</v>
                </pt>
                <pt idx="246">
                  <v>79.23</v>
                </pt>
                <pt idx="247">
                  <v>79.23</v>
                </pt>
                <pt idx="248">
                  <v>79.27</v>
                </pt>
                <pt idx="249">
                  <v>79.42</v>
                </pt>
                <pt idx="250">
                  <v>79.23999999999999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ko-KR"/>
        </a:p>
      </txPr>
    </legend>
    <plotVisOnly val="1"/>
    <dispBlanksAs val="zero"/>
  </chart>
</chartSpace>
</file>

<file path=xl/charts/chart16.xml><?xml version="1.0" encoding="utf-8"?>
<chartSpace xmlns:a="http://schemas.openxmlformats.org/drawingml/2006/main" xmlns="http://schemas.openxmlformats.org/drawingml/2006/chart">
  <chart>
    <plotArea>
      <layout/>
      <areaChart>
        <grouping val="standard"/>
        <varyColors val="1"/>
        <ser>
          <idx val="0"/>
          <order val="0"/>
          <tx>
            <strRef>
              <f>TIP!$F$27</f>
              <strCache>
                <ptCount val="1"/>
                <pt idx="0">
                  <v>Close</v>
                </pt>
              </strCache>
            </strRef>
          </tx>
          <spPr>
            <a:solidFill>
              <a:srgbClr val="4285F4"/>
            </a:solidFill>
            <a:ln cmpd="sng">
              <a:solidFill>
                <a:srgbClr val="4285F4"/>
              </a:solidFill>
              <a:prstDash val="solid"/>
            </a:ln>
          </spPr>
          <cat>
            <numRef>
              <f>TIP!$B$28:$B$1000</f>
              <numCache>
                <formatCode>mmm" "d", "yyyy</formatCode>
                <ptCount val="973"/>
                <pt idx="0">
                  <v>45868.6666666666</v>
                </pt>
                <pt idx="1">
                  <v>45869.6666666666</v>
                </pt>
                <pt idx="2">
                  <v>45870.6666666666</v>
                </pt>
                <pt idx="3">
                  <v>45873.6666666666</v>
                </pt>
                <pt idx="4">
                  <v>45874.6666666666</v>
                </pt>
                <pt idx="5">
                  <v>45875.6666666666</v>
                </pt>
                <pt idx="6">
                  <v>45876.6666666666</v>
                </pt>
                <pt idx="7">
                  <v>45877.6666666666</v>
                </pt>
                <pt idx="8">
                  <v>45880.6666666666</v>
                </pt>
                <pt idx="9">
                  <v>45881.6666666666</v>
                </pt>
                <pt idx="10">
                  <v>45882.6666666666</v>
                </pt>
                <pt idx="11">
                  <v>45883.6666666666</v>
                </pt>
                <pt idx="12">
                  <v>45884.6666666666</v>
                </pt>
                <pt idx="13">
                  <v>45887.6666666666</v>
                </pt>
                <pt idx="14">
                  <v>45888.6666666666</v>
                </pt>
                <pt idx="15">
                  <v>45889.6666666666</v>
                </pt>
                <pt idx="16">
                  <v>45890.6666666666</v>
                </pt>
                <pt idx="17">
                  <v>45891.6666666666</v>
                </pt>
                <pt idx="18">
                  <v>45894.6666666666</v>
                </pt>
                <pt idx="19">
                  <v>45895.6666666666</v>
                </pt>
                <pt idx="20">
                  <v>45896.6666666666</v>
                </pt>
                <pt idx="21">
                  <v>45897.6666666666</v>
                </pt>
                <pt idx="22">
                  <v>45898.6666666666</v>
                </pt>
                <pt idx="23">
                  <v>45902.6666666666</v>
                </pt>
                <pt idx="24">
                  <v>45903.6666666666</v>
                </pt>
                <pt idx="25">
                  <v>45904.6666666666</v>
                </pt>
                <pt idx="26">
                  <v>45905.6666666666</v>
                </pt>
                <pt idx="27">
                  <v>45908.6666666666</v>
                </pt>
                <pt idx="28">
                  <v>45909.6666666666</v>
                </pt>
                <pt idx="29">
                  <v>45910.6666666666</v>
                </pt>
                <pt idx="30">
                  <v>45911.6666666666</v>
                </pt>
                <pt idx="31">
                  <v>45912.6666666666</v>
                </pt>
                <pt idx="32">
                  <v>45915.6666666666</v>
                </pt>
                <pt idx="33">
                  <v>45916.6666666666</v>
                </pt>
                <pt idx="34">
                  <v>45917.6666666666</v>
                </pt>
                <pt idx="35">
                  <v>45918.6666666666</v>
                </pt>
                <pt idx="36">
                  <v>45919.6666666666</v>
                </pt>
                <pt idx="37">
                  <v>45922.6666666666</v>
                </pt>
                <pt idx="38">
                  <v>45923.6666666666</v>
                </pt>
                <pt idx="39">
                  <v>45924.6666666666</v>
                </pt>
                <pt idx="40">
                  <v>45925.6666666666</v>
                </pt>
                <pt idx="41">
                  <v>45926.6666666666</v>
                </pt>
                <pt idx="42">
                  <v>45929.6666666666</v>
                </pt>
                <pt idx="43">
                  <v>45930.6666666666</v>
                </pt>
                <pt idx="44">
                  <v>45931.6666666666</v>
                </pt>
                <pt idx="45">
                  <v>45932.6666666666</v>
                </pt>
                <pt idx="46">
                  <v>45933.6666666666</v>
                </pt>
                <pt idx="47">
                  <v>45936.6666666666</v>
                </pt>
                <pt idx="48">
                  <v>45937.6666666666</v>
                </pt>
                <pt idx="49">
                  <v>45938.6666666666</v>
                </pt>
                <pt idx="50">
                  <v>45939.6666666666</v>
                </pt>
                <pt idx="51">
                  <v>45940.6666666666</v>
                </pt>
                <pt idx="52">
                  <v>45943.6666666666</v>
                </pt>
                <pt idx="53">
                  <v>45944.6666666666</v>
                </pt>
                <pt idx="54">
                  <v>45945.6666666666</v>
                </pt>
                <pt idx="55">
                  <v>45946.6666666666</v>
                </pt>
                <pt idx="56">
                  <v>45947.6666666666</v>
                </pt>
                <pt idx="57">
                  <v>45950.6666666666</v>
                </pt>
                <pt idx="58">
                  <v>45951.6666666666</v>
                </pt>
                <pt idx="59">
                  <v>45952.6666666666</v>
                </pt>
                <pt idx="60">
                  <v>45953.6666666666</v>
                </pt>
                <pt idx="61">
                  <v>45954.6666666666</v>
                </pt>
                <pt idx="62">
                  <v>45957.6666666666</v>
                </pt>
                <pt idx="63">
                  <v>45958.6666666666</v>
                </pt>
                <pt idx="64">
                  <v>45959.6666666666</v>
                </pt>
                <pt idx="65">
                  <v>45960.6666666666</v>
                </pt>
                <pt idx="66">
                  <v>45961.6666666666</v>
                </pt>
                <pt idx="67">
                  <v>45964.6666666666</v>
                </pt>
                <pt idx="68">
                  <v>45965.6666666666</v>
                </pt>
                <pt idx="69">
                  <v>45966.6666666666</v>
                </pt>
                <pt idx="70">
                  <v>45967.6666666666</v>
                </pt>
                <pt idx="71">
                  <v>45968.6666666666</v>
                </pt>
                <pt idx="72">
                  <v>45971.6666666666</v>
                </pt>
                <pt idx="73">
                  <v>45972.6666666666</v>
                </pt>
                <pt idx="74">
                  <v>45973.6666666666</v>
                </pt>
                <pt idx="75">
                  <v>45974.6666666666</v>
                </pt>
                <pt idx="76">
                  <v>45975.6666666666</v>
                </pt>
                <pt idx="77">
                  <v>45978.6666666666</v>
                </pt>
                <pt idx="78">
                  <v>45979.6666666666</v>
                </pt>
                <pt idx="79">
                  <v>45980.6666666666</v>
                </pt>
                <pt idx="80">
                  <v>45981.6666666666</v>
                </pt>
                <pt idx="81">
                  <v>45982.6666666666</v>
                </pt>
                <pt idx="82">
                  <v>45985.6666666666</v>
                </pt>
                <pt idx="83">
                  <v>45986.6666666666</v>
                </pt>
                <pt idx="84">
                  <v>45987.6666666666</v>
                </pt>
                <pt idx="85">
                  <v>45989.5520833333</v>
                </pt>
                <pt idx="86">
                  <v>45992.6666666666</v>
                </pt>
                <pt idx="87">
                  <v>45993.6666666666</v>
                </pt>
                <pt idx="88">
                  <v>45994.6666666666</v>
                </pt>
                <pt idx="89">
                  <v>45995.6666666666</v>
                </pt>
                <pt idx="90">
                  <v>45996.6666666666</v>
                </pt>
                <pt idx="91">
                  <v>45999.6666666666</v>
                </pt>
                <pt idx="92">
                  <v>46000.6666666666</v>
                </pt>
                <pt idx="93">
                  <v>46001.6666666666</v>
                </pt>
                <pt idx="94">
                  <v>46002.6666666666</v>
                </pt>
                <pt idx="95">
                  <v>46003.6666666666</v>
                </pt>
                <pt idx="96">
                  <v>46006.6666666666</v>
                </pt>
                <pt idx="97">
                  <v>46007.6666666666</v>
                </pt>
                <pt idx="98">
                  <v>46008.6666666666</v>
                </pt>
                <pt idx="99">
                  <v>46009.6666666666</v>
                </pt>
                <pt idx="100">
                  <v>46010.6666666666</v>
                </pt>
                <pt idx="101">
                  <v>46013.6666666666</v>
                </pt>
                <pt idx="102">
                  <v>46014.6666666666</v>
                </pt>
                <pt idx="103">
                  <v>46015.5416666666</v>
                </pt>
                <pt idx="104">
                  <v>46017.6666666666</v>
                </pt>
                <pt idx="105">
                  <v>46020.6666666666</v>
                </pt>
                <pt idx="106">
                  <v>46021.6666666666</v>
                </pt>
                <pt idx="107">
                  <v>46022.6666666666</v>
                </pt>
                <pt idx="108">
                  <v>46024.6666666666</v>
                </pt>
                <pt idx="109">
                  <v>46027.6666666666</v>
                </pt>
                <pt idx="110">
                  <v>46028.6666666666</v>
                </pt>
                <pt idx="111">
                  <v>46029.6666666666</v>
                </pt>
                <pt idx="112">
                  <v>46030.6666666666</v>
                </pt>
                <pt idx="113">
                  <v>46031.6666666666</v>
                </pt>
                <pt idx="114">
                  <v>46034.6666666666</v>
                </pt>
                <pt idx="115">
                  <v>46035.6666666666</v>
                </pt>
                <pt idx="116">
                  <v>46036.6666666666</v>
                </pt>
                <pt idx="117">
                  <v>46037.6666666666</v>
                </pt>
                <pt idx="118">
                  <v>46038.6666666666</v>
                </pt>
                <pt idx="119">
                  <v>46042.6666666666</v>
                </pt>
                <pt idx="120">
                  <v>46043.6666666666</v>
                </pt>
                <pt idx="121">
                  <v>46044.6666666666</v>
                </pt>
                <pt idx="122">
                  <v>46045.6666666666</v>
                </pt>
                <pt idx="123">
                  <v>46048.6666666666</v>
                </pt>
                <pt idx="124">
                  <v>46049.6666666666</v>
                </pt>
                <pt idx="125">
                  <v>46050.6666666666</v>
                </pt>
                <pt idx="126">
                  <v>46051.6666666666</v>
                </pt>
                <pt idx="127">
                  <v>46052.6666666666</v>
                </pt>
                <pt idx="128">
                  <v>46055.6666666666</v>
                </pt>
                <pt idx="129">
                  <v>46056.6666666666</v>
                </pt>
                <pt idx="130">
                  <v>46057.6666666666</v>
                </pt>
                <pt idx="131">
                  <v>46058.6666666666</v>
                </pt>
                <pt idx="132">
                  <v>46059.6666666666</v>
                </pt>
                <pt idx="133">
                  <v>46062.6666666666</v>
                </pt>
                <pt idx="134">
                  <v>46063.6666666666</v>
                </pt>
                <pt idx="135">
                  <v>46064.6666666666</v>
                </pt>
                <pt idx="136">
                  <v>46065.6666666666</v>
                </pt>
                <pt idx="137">
                  <v>46066.6666666666</v>
                </pt>
                <pt idx="138">
                  <v>46070.6666666666</v>
                </pt>
                <pt idx="139">
                  <v>46071.6666666666</v>
                </pt>
                <pt idx="140">
                  <v>46072.6666666666</v>
                </pt>
                <pt idx="141">
                  <v>46073.6666666666</v>
                </pt>
                <pt idx="142">
                  <v>46076.6666666666</v>
                </pt>
                <pt idx="143">
                  <v>46077.6666666666</v>
                </pt>
                <pt idx="144">
                  <v>46078.6666666666</v>
                </pt>
                <pt idx="145">
                  <v>46079.6666666666</v>
                </pt>
                <pt idx="146">
                  <v>46080.6666666666</v>
                </pt>
                <pt idx="147">
                  <v>46083.6666666666</v>
                </pt>
                <pt idx="148">
                  <v>46084.6666666666</v>
                </pt>
                <pt idx="149">
                  <v>46085.6666666666</v>
                </pt>
                <pt idx="150">
                  <v>46086.6666666666</v>
                </pt>
                <pt idx="151">
                  <v>46087.6666666666</v>
                </pt>
                <pt idx="152">
                  <v>46090.6666666666</v>
                </pt>
                <pt idx="153">
                  <v>46091.6666666666</v>
                </pt>
                <pt idx="154">
                  <v>46092.6666666666</v>
                </pt>
                <pt idx="155">
                  <v>46093.6666666666</v>
                </pt>
                <pt idx="156">
                  <v>46094.6666666666</v>
                </pt>
                <pt idx="157">
                  <v>46097.6666666666</v>
                </pt>
                <pt idx="158">
                  <v>46098.6666666666</v>
                </pt>
                <pt idx="159">
                  <v>46099.6666666666</v>
                </pt>
                <pt idx="160">
                  <v>46100.6666666666</v>
                </pt>
                <pt idx="161">
                  <v>46101.6666666666</v>
                </pt>
                <pt idx="162">
                  <v>46104.6666666666</v>
                </pt>
                <pt idx="163">
                  <v>46105.6666666666</v>
                </pt>
                <pt idx="164">
                  <v>46106.6666666666</v>
                </pt>
                <pt idx="165">
                  <v>46107.6666666666</v>
                </pt>
                <pt idx="166">
                  <v>46108.6666666666</v>
                </pt>
                <pt idx="167">
                  <v>46111.6666666666</v>
                </pt>
                <pt idx="168">
                  <v>46112.6666666666</v>
                </pt>
                <pt idx="169">
                  <v>46113.6666666666</v>
                </pt>
                <pt idx="170">
                  <v>46114.6666666666</v>
                </pt>
                <pt idx="171">
                  <v>46118.6666666666</v>
                </pt>
                <pt idx="172">
                  <v>46119.6666666666</v>
                </pt>
                <pt idx="173">
                  <v>46120.6666666666</v>
                </pt>
                <pt idx="174">
                  <v>46121.6666666666</v>
                </pt>
                <pt idx="175">
                  <v>46122.6666666666</v>
                </pt>
                <pt idx="176">
                  <v>46125.6666666666</v>
                </pt>
                <pt idx="177">
                  <v>46126.6666666666</v>
                </pt>
                <pt idx="178">
                  <v>46127.6666666666</v>
                </pt>
                <pt idx="179">
                  <v>46128.6666666666</v>
                </pt>
                <pt idx="180">
                  <v>46129.6666666666</v>
                </pt>
                <pt idx="181">
                  <v>46132.6666666666</v>
                </pt>
                <pt idx="182">
                  <v>46133.6666666666</v>
                </pt>
                <pt idx="183">
                  <v>46134.6666666666</v>
                </pt>
                <pt idx="184">
                  <v>46135.6666666666</v>
                </pt>
                <pt idx="185">
                  <v>46136.6666666666</v>
                </pt>
                <pt idx="186">
                  <v>46139.6666666666</v>
                </pt>
                <pt idx="187">
                  <v>46140.6666666666</v>
                </pt>
                <pt idx="188">
                  <v>46141.6666666666</v>
                </pt>
                <pt idx="189">
                  <v>46142.6666666666</v>
                </pt>
                <pt idx="190">
                  <v>46143.6666666666</v>
                </pt>
                <pt idx="191">
                  <v>46146.6666666666</v>
                </pt>
                <pt idx="192">
                  <v>46147.6666666666</v>
                </pt>
                <pt idx="193">
                  <v>46148.6666666666</v>
                </pt>
                <pt idx="194">
                  <v>46149.6666666666</v>
                </pt>
                <pt idx="195">
                  <v>46150.6666666666</v>
                </pt>
                <pt idx="196">
                  <v>46153.6666666666</v>
                </pt>
                <pt idx="197">
                  <v>46154.6666666666</v>
                </pt>
                <pt idx="198">
                  <v>46155.6666666666</v>
                </pt>
                <pt idx="199">
                  <v>46156.6666666666</v>
                </pt>
                <pt idx="200">
                  <v>46157.6666666666</v>
                </pt>
                <pt idx="201">
                  <v>46160.6666666666</v>
                </pt>
                <pt idx="202">
                  <v>46161.6666666666</v>
                </pt>
                <pt idx="203">
                  <v>46162.6666666666</v>
                </pt>
                <pt idx="204">
                  <v>46163.6666666666</v>
                </pt>
                <pt idx="205">
                  <v>46164.6666666666</v>
                </pt>
                <pt idx="206">
                  <v>46168.6666666666</v>
                </pt>
                <pt idx="207">
                  <v>46169.6666666666</v>
                </pt>
                <pt idx="208">
                  <v>46170.6666666666</v>
                </pt>
                <pt idx="209">
                  <v>46171.6666666666</v>
                </pt>
                <pt idx="210">
                  <v>46174.6666666666</v>
                </pt>
                <pt idx="211">
                  <v>46175.6666666666</v>
                </pt>
                <pt idx="212">
                  <v>46176.6666666666</v>
                </pt>
                <pt idx="213">
                  <v>46177.6666666666</v>
                </pt>
                <pt idx="214">
                  <v>46178.6666666666</v>
                </pt>
                <pt idx="215">
                  <v>46181.6666666666</v>
                </pt>
                <pt idx="216">
                  <v>46182.6666666666</v>
                </pt>
                <pt idx="217">
                  <v>46183.6666666666</v>
                </pt>
                <pt idx="218">
                  <v>46184.6666666666</v>
                </pt>
                <pt idx="219">
                  <v>46185.6666666666</v>
                </pt>
                <pt idx="220">
                  <v>46188.6666666666</v>
                </pt>
                <pt idx="221">
                  <v>46189.6666666666</v>
                </pt>
                <pt idx="222">
                  <v>46190.6666666666</v>
                </pt>
                <pt idx="223">
                  <v>46191.6666666666</v>
                </pt>
                <pt idx="224">
                  <v>46195.6666666666</v>
                </pt>
                <pt idx="225">
                  <v>46196.6666666666</v>
                </pt>
                <pt idx="226">
                  <v>46197.6666666666</v>
                </pt>
                <pt idx="227">
                  <v>46198.6666666666</v>
                </pt>
                <pt idx="228">
                  <v>46199.6666666666</v>
                </pt>
                <pt idx="229">
                  <v>46202.6666666666</v>
                </pt>
                <pt idx="230">
                  <v>46203.6666666666</v>
                </pt>
                <pt idx="231">
                  <v>46204.6666666666</v>
                </pt>
                <pt idx="232">
                  <v>46205.6666666666</v>
                </pt>
                <pt idx="233">
                  <v>46209.6666666666</v>
                </pt>
                <pt idx="234">
                  <v>46210.6666666666</v>
                </pt>
                <pt idx="235">
                  <v>46211.6666666666</v>
                </pt>
                <pt idx="236">
                  <v>46212.6666666666</v>
                </pt>
                <pt idx="237">
                  <v>46213.6666666666</v>
                </pt>
                <pt idx="238">
                  <v>46216.6666666666</v>
                </pt>
                <pt idx="239">
                  <v>46217.6666666666</v>
                </pt>
                <pt idx="240">
                  <v>46218.6666666666</v>
                </pt>
                <pt idx="241">
                  <v>46219.6666666666</v>
                </pt>
                <pt idx="242">
                  <v>46220.6666666666</v>
                </pt>
                <pt idx="243">
                  <v>46223.6666666666</v>
                </pt>
                <pt idx="244">
                  <v>46224.6666666666</v>
                </pt>
                <pt idx="245">
                  <v>46225.6666666666</v>
                </pt>
                <pt idx="246">
                  <v>46226.6666666666</v>
                </pt>
                <pt idx="247">
                  <v>46227.6666666666</v>
                </pt>
                <pt idx="248">
                  <v>46230.6666666666</v>
                </pt>
                <pt idx="249">
                  <v>46231.6666666666</v>
                </pt>
                <pt idx="250">
                  <v>46232.6666666666</v>
                </pt>
              </numCache>
            </numRef>
          </cat>
          <val>
            <numRef>
              <f>TIP!$F$28:$F$1000</f>
              <numCache>
                <formatCode>#,##0.00</formatCode>
                <ptCount val="973"/>
                <pt idx="0">
                  <v>109.85</v>
                </pt>
                <pt idx="1">
                  <v>109.67</v>
                </pt>
                <pt idx="2">
                  <v>110.17</v>
                </pt>
                <pt idx="3">
                  <v>110.49</v>
                </pt>
                <pt idx="4">
                  <v>110.39</v>
                </pt>
                <pt idx="5">
                  <v>110.3</v>
                </pt>
                <pt idx="6">
                  <v>110.42</v>
                </pt>
                <pt idx="7">
                  <v>110.35</v>
                </pt>
                <pt idx="8">
                  <v>110.35</v>
                </pt>
                <pt idx="9">
                  <v>110.16</v>
                </pt>
                <pt idx="10">
                  <v>110.58</v>
                </pt>
                <pt idx="11">
                  <v>110.25</v>
                </pt>
                <pt idx="12">
                  <v>110.04</v>
                </pt>
                <pt idx="13">
                  <v>109.92</v>
                </pt>
                <pt idx="14">
                  <v>110.03</v>
                </pt>
                <pt idx="15">
                  <v>110.15</v>
                </pt>
                <pt idx="16">
                  <v>110.17</v>
                </pt>
                <pt idx="17">
                  <v>110.92</v>
                </pt>
                <pt idx="18">
                  <v>110.71</v>
                </pt>
                <pt idx="19">
                  <v>110.97</v>
                </pt>
                <pt idx="20">
                  <v>111.22</v>
                </pt>
                <pt idx="21">
                  <v>111.29</v>
                </pt>
                <pt idx="22">
                  <v>111.17</v>
                </pt>
                <pt idx="23">
                  <v>110.55</v>
                </pt>
                <pt idx="24">
                  <v>110.8</v>
                </pt>
                <pt idx="25">
                  <v>110.97</v>
                </pt>
                <pt idx="26">
                  <v>111.46</v>
                </pt>
                <pt idx="27">
                  <v>111.69</v>
                </pt>
                <pt idx="28">
                  <v>111.47</v>
                </pt>
                <pt idx="29">
                  <v>111.64</v>
                </pt>
                <pt idx="30">
                  <v>111.82</v>
                </pt>
                <pt idx="31">
                  <v>111.67</v>
                </pt>
                <pt idx="32">
                  <v>111.78</v>
                </pt>
                <pt idx="33">
                  <v>111.88</v>
                </pt>
                <pt idx="34">
                  <v>111.81</v>
                </pt>
                <pt idx="35">
                  <v>111.5</v>
                </pt>
                <pt idx="36">
                  <v>111.44</v>
                </pt>
                <pt idx="37">
                  <v>111.17</v>
                </pt>
                <pt idx="38">
                  <v>111.47</v>
                </pt>
                <pt idx="39">
                  <v>111.27</v>
                </pt>
                <pt idx="40">
                  <v>111.09</v>
                </pt>
                <pt idx="41">
                  <v>111.11</v>
                </pt>
                <pt idx="42">
                  <v>111.25</v>
                </pt>
                <pt idx="43">
                  <v>111.22</v>
                </pt>
                <pt idx="44">
                  <v>111.22</v>
                </pt>
                <pt idx="45">
                  <v>111.17</v>
                </pt>
                <pt idx="46">
                  <v>111.05</v>
                </pt>
                <pt idx="47">
                  <v>110.86</v>
                </pt>
                <pt idx="48">
                  <v>111.17</v>
                </pt>
                <pt idx="49">
                  <v>111.25</v>
                </pt>
                <pt idx="50">
                  <v>111.12</v>
                </pt>
                <pt idx="51">
                  <v>111.51</v>
                </pt>
                <pt idx="52">
                  <v>111.79</v>
                </pt>
                <pt idx="53">
                  <v>111.67</v>
                </pt>
                <pt idx="54">
                  <v>111.64</v>
                </pt>
                <pt idx="55">
                  <v>111.9</v>
                </pt>
                <pt idx="56">
                  <v>111.68</v>
                </pt>
                <pt idx="57">
                  <v>111.78</v>
                </pt>
                <pt idx="58">
                  <v>112.02</v>
                </pt>
                <pt idx="59">
                  <v>112.2</v>
                </pt>
                <pt idx="60">
                  <v>111.98</v>
                </pt>
                <pt idx="61">
                  <v>111.97</v>
                </pt>
                <pt idx="62">
                  <v>111.94</v>
                </pt>
                <pt idx="63">
                  <v>112.03</v>
                </pt>
                <pt idx="64">
                  <v>111.44</v>
                </pt>
                <pt idx="65">
                  <v>111.2</v>
                </pt>
                <pt idx="66">
                  <v>111.38</v>
                </pt>
                <pt idx="67">
                  <v>110.94</v>
                </pt>
                <pt idx="68">
                  <v>110.99</v>
                </pt>
                <pt idx="69">
                  <v>110.58</v>
                </pt>
                <pt idx="70">
                  <v>110.88</v>
                </pt>
                <pt idx="71">
                  <v>110.9</v>
                </pt>
                <pt idx="72">
                  <v>110.92</v>
                </pt>
                <pt idx="73">
                  <v>111.37</v>
                </pt>
                <pt idx="74">
                  <v>111.13</v>
                </pt>
                <pt idx="75">
                  <v>110.88</v>
                </pt>
                <pt idx="76">
                  <v>110.75</v>
                </pt>
                <pt idx="77">
                  <v>110.77</v>
                </pt>
                <pt idx="78">
                  <v>110.85</v>
                </pt>
                <pt idx="79">
                  <v>110.71</v>
                </pt>
                <pt idx="80">
                  <v>110.76</v>
                </pt>
                <pt idx="81">
                  <v>111.02</v>
                </pt>
                <pt idx="82">
                  <v>111.07</v>
                </pt>
                <pt idx="83">
                  <v>111.27</v>
                </pt>
                <pt idx="84">
                  <v>111.51</v>
                </pt>
                <pt idx="85">
                  <v>111.26</v>
                </pt>
                <pt idx="86">
                  <v>110.5</v>
                </pt>
                <pt idx="87">
                  <v>110.53</v>
                </pt>
                <pt idx="88">
                  <v>110.78</v>
                </pt>
                <pt idx="89">
                  <v>110.63</v>
                </pt>
                <pt idx="90">
                  <v>110.45</v>
                </pt>
                <pt idx="91">
                  <v>110.23</v>
                </pt>
                <pt idx="92">
                  <v>110.09</v>
                </pt>
                <pt idx="93">
                  <v>110.45</v>
                </pt>
                <pt idx="94">
                  <v>110.4</v>
                </pt>
                <pt idx="95">
                  <v>110.23</v>
                </pt>
                <pt idx="96">
                  <v>110.15</v>
                </pt>
                <pt idx="97">
                  <v>110.17</v>
                </pt>
                <pt idx="98">
                  <v>110.29</v>
                </pt>
                <pt idx="99">
                  <v>110.5</v>
                </pt>
                <pt idx="100">
                  <v>109.94</v>
                </pt>
                <pt idx="101">
                  <v>109.78</v>
                </pt>
                <pt idx="102">
                  <v>109.83</v>
                </pt>
                <pt idx="103">
                  <v>110.06</v>
                </pt>
                <pt idx="104">
                  <v>110.05</v>
                </pt>
                <pt idx="105">
                  <v>110.15</v>
                </pt>
                <pt idx="106">
                  <v>110.13</v>
                </pt>
                <pt idx="107">
                  <v>109.91</v>
                </pt>
                <pt idx="108">
                  <v>109.86</v>
                </pt>
                <pt idx="109">
                  <v>110.16</v>
                </pt>
                <pt idx="110">
                  <v>110.08</v>
                </pt>
                <pt idx="111">
                  <v>110.25</v>
                </pt>
                <pt idx="112">
                  <v>110.03</v>
                </pt>
                <pt idx="113">
                  <v>110.18</v>
                </pt>
                <pt idx="114">
                  <v>110.18</v>
                </pt>
                <pt idx="115">
                  <v>110.28</v>
                </pt>
                <pt idx="116">
                  <v>110.4</v>
                </pt>
                <pt idx="117">
                  <v>110.23</v>
                </pt>
                <pt idx="118">
                  <v>110.02</v>
                </pt>
                <pt idx="119">
                  <v>109.69</v>
                </pt>
                <pt idx="120">
                  <v>110.12</v>
                </pt>
                <pt idx="121">
                  <v>110.01</v>
                </pt>
                <pt idx="122">
                  <v>110.23</v>
                </pt>
                <pt idx="123">
                  <v>110.38</v>
                </pt>
                <pt idx="124">
                  <v>110.39</v>
                </pt>
                <pt idx="125">
                  <v>110.44</v>
                </pt>
                <pt idx="126">
                  <v>110.52</v>
                </pt>
                <pt idx="127">
                  <v>110.48</v>
                </pt>
                <pt idx="128">
                  <v>110.19</v>
                </pt>
                <pt idx="129">
                  <v>110.37</v>
                </pt>
                <pt idx="130">
                  <v>110.25</v>
                </pt>
                <pt idx="131">
                  <v>110.56</v>
                </pt>
                <pt idx="132">
                  <v>110.67</v>
                </pt>
                <pt idx="133">
                  <v>110.76</v>
                </pt>
                <pt idx="134">
                  <v>110.99</v>
                </pt>
                <pt idx="135">
                  <v>110.81</v>
                </pt>
                <pt idx="136">
                  <v>111.25</v>
                </pt>
                <pt idx="137">
                  <v>111.39</v>
                </pt>
                <pt idx="138">
                  <v>111.23</v>
                </pt>
                <pt idx="139">
                  <v>111.16</v>
                </pt>
                <pt idx="140">
                  <v>111.25</v>
                </pt>
                <pt idx="141">
                  <v>111.19</v>
                </pt>
                <pt idx="142">
                  <v>111.29</v>
                </pt>
                <pt idx="143">
                  <v>111.31</v>
                </pt>
                <pt idx="144">
                  <v>111.41</v>
                </pt>
                <pt idx="145">
                  <v>111.71</v>
                </pt>
                <pt idx="146">
                  <v>111.88</v>
                </pt>
                <pt idx="147">
                  <v>111.57</v>
                </pt>
                <pt idx="148">
                  <v>111.5</v>
                </pt>
                <pt idx="149">
                  <v>111.25</v>
                </pt>
                <pt idx="150">
                  <v>111.22</v>
                </pt>
                <pt idx="151">
                  <v>111.43</v>
                </pt>
                <pt idx="152">
                  <v>111.61</v>
                </pt>
                <pt idx="153">
                  <v>111.24</v>
                </pt>
                <pt idx="154">
                  <v>111.07</v>
                </pt>
                <pt idx="155">
                  <v>110.93</v>
                </pt>
                <pt idx="156">
                  <v>110.71</v>
                </pt>
                <pt idx="157">
                  <v>111.06</v>
                </pt>
                <pt idx="158">
                  <v>111.45</v>
                </pt>
                <pt idx="159">
                  <v>111.24</v>
                </pt>
                <pt idx="160">
                  <v>111.11</v>
                </pt>
                <pt idx="161">
                  <v>110.22</v>
                </pt>
                <pt idx="162">
                  <v>110.19</v>
                </pt>
                <pt idx="163">
                  <v>109.83</v>
                </pt>
                <pt idx="164">
                  <v>110.16</v>
                </pt>
                <pt idx="165">
                  <v>109.76</v>
                </pt>
                <pt idx="166">
                  <v>109.67</v>
                </pt>
                <pt idx="167">
                  <v>110.35</v>
                </pt>
                <pt idx="168">
                  <v>110.36</v>
                </pt>
                <pt idx="169">
                  <v>110.36</v>
                </pt>
                <pt idx="170">
                  <v>110.81</v>
                </pt>
                <pt idx="171">
                  <v>110.76</v>
                </pt>
                <pt idx="172">
                  <v>110.89</v>
                </pt>
                <pt idx="173">
                  <v>110.91</v>
                </pt>
                <pt idx="174">
                  <v>110.96</v>
                </pt>
                <pt idx="175">
                  <v>111.02</v>
                </pt>
                <pt idx="176">
                  <v>111.28</v>
                </pt>
                <pt idx="177">
                  <v>111.53</v>
                </pt>
                <pt idx="178">
                  <v>111.43</v>
                </pt>
                <pt idx="179">
                  <v>111.19</v>
                </pt>
                <pt idx="180">
                  <v>111.48</v>
                </pt>
                <pt idx="181">
                  <v>111.41</v>
                </pt>
                <pt idx="182">
                  <v>111.22</v>
                </pt>
                <pt idx="183">
                  <v>111.39</v>
                </pt>
                <pt idx="184">
                  <v>111.57</v>
                </pt>
                <pt idx="185">
                  <v>111.8</v>
                </pt>
                <pt idx="186">
                  <v>111.77</v>
                </pt>
                <pt idx="187">
                  <v>111.73</v>
                </pt>
                <pt idx="188">
                  <v>111.39</v>
                </pt>
                <pt idx="189">
                  <v>111.56</v>
                </pt>
                <pt idx="190">
                  <v>111.35</v>
                </pt>
                <pt idx="191">
                  <v>111.15</v>
                </pt>
                <pt idx="192">
                  <v>111.07</v>
                </pt>
                <pt idx="193">
                  <v>111.15</v>
                </pt>
                <pt idx="194">
                  <v>111.03</v>
                </pt>
                <pt idx="195">
                  <v>111.4</v>
                </pt>
                <pt idx="196">
                  <v>111.31</v>
                </pt>
                <pt idx="197">
                  <v>111.12</v>
                </pt>
                <pt idx="198">
                  <v>111.12</v>
                </pt>
                <pt idx="199">
                  <v>111.01</v>
                </pt>
                <pt idx="200">
                  <v>110.61</v>
                </pt>
                <pt idx="201">
                  <v>110.48</v>
                </pt>
                <pt idx="202">
                  <v>110.11</v>
                </pt>
                <pt idx="203">
                  <v>110.37</v>
                </pt>
                <pt idx="204">
                  <v>110.37</v>
                </pt>
                <pt idx="205">
                  <v>110.38</v>
                </pt>
                <pt idx="206">
                  <v>110.82</v>
                </pt>
                <pt idx="207">
                  <v>110.88</v>
                </pt>
                <pt idx="208">
                  <v>111.18</v>
                </pt>
                <pt idx="209">
                  <v>111.21</v>
                </pt>
                <pt idx="210">
                  <v>109.98</v>
                </pt>
                <pt idx="211">
                  <v>109.97</v>
                </pt>
                <pt idx="212">
                  <v>109.77</v>
                </pt>
                <pt idx="213">
                  <v>109.78</v>
                </pt>
                <pt idx="214">
                  <v>109.25</v>
                </pt>
                <pt idx="215">
                  <v>109.13</v>
                </pt>
                <pt idx="216">
                  <v>109.32</v>
                </pt>
                <pt idx="217">
                  <v>109.21</v>
                </pt>
                <pt idx="218">
                  <v>109.6</v>
                </pt>
                <pt idx="219">
                  <v>109.61</v>
                </pt>
                <pt idx="220">
                  <v>109.76</v>
                </pt>
                <pt idx="221">
                  <v>109.76</v>
                </pt>
                <pt idx="222">
                  <v>109.03</v>
                </pt>
                <pt idx="223">
                  <v>109.39</v>
                </pt>
                <pt idx="224">
                  <v>108.94</v>
                </pt>
                <pt idx="225">
                  <v>108.9</v>
                </pt>
                <pt idx="226">
                  <v>109.32</v>
                </pt>
                <pt idx="227">
                  <v>109.5</v>
                </pt>
                <pt idx="228">
                  <v>109.7</v>
                </pt>
                <pt idx="229">
                  <v>109.9</v>
                </pt>
                <pt idx="230">
                  <v>109.43</v>
                </pt>
                <pt idx="231">
                  <v>108.17</v>
                </pt>
                <pt idx="232">
                  <v>108.33</v>
                </pt>
                <pt idx="233">
                  <v>108.49</v>
                </pt>
                <pt idx="234">
                  <v>108.17</v>
                </pt>
                <pt idx="235">
                  <v>108.05</v>
                </pt>
                <pt idx="236">
                  <v>108.12</v>
                </pt>
                <pt idx="237">
                  <v>108.13</v>
                </pt>
                <pt idx="238">
                  <v>107.91</v>
                </pt>
                <pt idx="239">
                  <v>108.01</v>
                </pt>
                <pt idx="240">
                  <v>108.07</v>
                </pt>
                <pt idx="241">
                  <v>107.97</v>
                </pt>
                <pt idx="242">
                  <v>108.27</v>
                </pt>
                <pt idx="243">
                  <v>108.05</v>
                </pt>
                <pt idx="244">
                  <v>107.88</v>
                </pt>
                <pt idx="245">
                  <v>107.77</v>
                </pt>
                <pt idx="246">
                  <v>107.49</v>
                </pt>
                <pt idx="247">
                  <v>107.5</v>
                </pt>
                <pt idx="248">
                  <v>107.39</v>
                </pt>
                <pt idx="249">
                  <v>107.66</v>
                </pt>
                <pt idx="250">
                  <v>107.77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ko-KR"/>
        </a:p>
      </txPr>
    </legend>
    <plotVisOnly val="1"/>
    <dispBlanksAs val="zero"/>
  </chart>
</chartSpace>
</file>

<file path=xl/charts/chart17.xml><?xml version="1.0" encoding="utf-8"?>
<chartSpace xmlns:a="http://schemas.openxmlformats.org/drawingml/2006/main" xmlns="http://schemas.openxmlformats.org/drawingml/2006/chart">
  <chart>
    <plotArea>
      <layout/>
      <areaChart>
        <grouping val="standard"/>
        <varyColors val="1"/>
        <ser>
          <idx val="0"/>
          <order val="0"/>
          <tx>
            <strRef>
              <f>EFA!$F$27</f>
              <strCache>
                <ptCount val="1"/>
                <pt idx="0">
                  <v>Close</v>
                </pt>
              </strCache>
            </strRef>
          </tx>
          <spPr>
            <a:solidFill>
              <a:srgbClr val="4285F4"/>
            </a:solidFill>
            <a:ln cmpd="sng">
              <a:solidFill>
                <a:srgbClr val="4285F4"/>
              </a:solidFill>
              <a:prstDash val="solid"/>
            </a:ln>
          </spPr>
          <cat>
            <numRef>
              <f>EFA!$B$28:$B$1000</f>
              <numCache>
                <formatCode>mmm" "d", "yyyy</formatCode>
                <ptCount val="973"/>
                <pt idx="0">
                  <v>45868.6666666666</v>
                </pt>
                <pt idx="1">
                  <v>45869.6666666666</v>
                </pt>
                <pt idx="2">
                  <v>45870.6666666666</v>
                </pt>
                <pt idx="3">
                  <v>45873.6666666666</v>
                </pt>
                <pt idx="4">
                  <v>45874.6666666666</v>
                </pt>
                <pt idx="5">
                  <v>45875.6666666666</v>
                </pt>
                <pt idx="6">
                  <v>45876.6666666666</v>
                </pt>
                <pt idx="7">
                  <v>45877.6666666666</v>
                </pt>
                <pt idx="8">
                  <v>45880.6666666666</v>
                </pt>
                <pt idx="9">
                  <v>45881.6666666666</v>
                </pt>
                <pt idx="10">
                  <v>45882.6666666666</v>
                </pt>
                <pt idx="11">
                  <v>45883.6666666666</v>
                </pt>
                <pt idx="12">
                  <v>45884.6666666666</v>
                </pt>
                <pt idx="13">
                  <v>45887.6666666666</v>
                </pt>
                <pt idx="14">
                  <v>45888.6666666666</v>
                </pt>
                <pt idx="15">
                  <v>45889.6666666666</v>
                </pt>
                <pt idx="16">
                  <v>45890.6666666666</v>
                </pt>
                <pt idx="17">
                  <v>45891.6666666666</v>
                </pt>
                <pt idx="18">
                  <v>45894.6666666666</v>
                </pt>
                <pt idx="19">
                  <v>45895.6666666666</v>
                </pt>
                <pt idx="20">
                  <v>45896.6666666666</v>
                </pt>
                <pt idx="21">
                  <v>45897.6666666666</v>
                </pt>
                <pt idx="22">
                  <v>45898.6666666666</v>
                </pt>
                <pt idx="23">
                  <v>45902.6666666666</v>
                </pt>
                <pt idx="24">
                  <v>45903.6666666666</v>
                </pt>
                <pt idx="25">
                  <v>45904.6666666666</v>
                </pt>
                <pt idx="26">
                  <v>45905.6666666666</v>
                </pt>
                <pt idx="27">
                  <v>45908.6666666666</v>
                </pt>
                <pt idx="28">
                  <v>45909.6666666666</v>
                </pt>
                <pt idx="29">
                  <v>45910.6666666666</v>
                </pt>
                <pt idx="30">
                  <v>45911.6666666666</v>
                </pt>
                <pt idx="31">
                  <v>45912.6666666666</v>
                </pt>
                <pt idx="32">
                  <v>45915.6666666666</v>
                </pt>
                <pt idx="33">
                  <v>45916.6666666666</v>
                </pt>
                <pt idx="34">
                  <v>45917.6666666666</v>
                </pt>
                <pt idx="35">
                  <v>45918.6666666666</v>
                </pt>
                <pt idx="36">
                  <v>45919.6666666666</v>
                </pt>
                <pt idx="37">
                  <v>45922.6666666666</v>
                </pt>
                <pt idx="38">
                  <v>45923.6666666666</v>
                </pt>
                <pt idx="39">
                  <v>45924.6666666666</v>
                </pt>
                <pt idx="40">
                  <v>45925.6666666666</v>
                </pt>
                <pt idx="41">
                  <v>45926.6666666666</v>
                </pt>
                <pt idx="42">
                  <v>45929.6666666666</v>
                </pt>
                <pt idx="43">
                  <v>45930.6666666666</v>
                </pt>
                <pt idx="44">
                  <v>45931.6666666666</v>
                </pt>
                <pt idx="45">
                  <v>45932.6666666666</v>
                </pt>
                <pt idx="46">
                  <v>45933.6666666666</v>
                </pt>
                <pt idx="47">
                  <v>45936.6666666666</v>
                </pt>
                <pt idx="48">
                  <v>45937.6666666666</v>
                </pt>
                <pt idx="49">
                  <v>45938.6666666666</v>
                </pt>
                <pt idx="50">
                  <v>45939.6666666666</v>
                </pt>
                <pt idx="51">
                  <v>45940.6666666666</v>
                </pt>
                <pt idx="52">
                  <v>45943.6666666666</v>
                </pt>
                <pt idx="53">
                  <v>45944.6666666666</v>
                </pt>
                <pt idx="54">
                  <v>45945.6666666666</v>
                </pt>
                <pt idx="55">
                  <v>45946.6666666666</v>
                </pt>
                <pt idx="56">
                  <v>45947.6666666666</v>
                </pt>
                <pt idx="57">
                  <v>45950.6666666666</v>
                </pt>
                <pt idx="58">
                  <v>45951.6666666666</v>
                </pt>
                <pt idx="59">
                  <v>45952.6666666666</v>
                </pt>
                <pt idx="60">
                  <v>45953.6666666666</v>
                </pt>
                <pt idx="61">
                  <v>45954.6666666666</v>
                </pt>
                <pt idx="62">
                  <v>45957.6666666666</v>
                </pt>
                <pt idx="63">
                  <v>45958.6666666666</v>
                </pt>
                <pt idx="64">
                  <v>45959.6666666666</v>
                </pt>
                <pt idx="65">
                  <v>45960.6666666666</v>
                </pt>
                <pt idx="66">
                  <v>45961.6666666666</v>
                </pt>
                <pt idx="67">
                  <v>45964.6666666666</v>
                </pt>
                <pt idx="68">
                  <v>45965.6666666666</v>
                </pt>
                <pt idx="69">
                  <v>45966.6666666666</v>
                </pt>
                <pt idx="70">
                  <v>45967.6666666666</v>
                </pt>
                <pt idx="71">
                  <v>45968.6666666666</v>
                </pt>
                <pt idx="72">
                  <v>45971.6666666666</v>
                </pt>
                <pt idx="73">
                  <v>45972.6666666666</v>
                </pt>
                <pt idx="74">
                  <v>45973.6666666666</v>
                </pt>
                <pt idx="75">
                  <v>45974.6666666666</v>
                </pt>
                <pt idx="76">
                  <v>45975.6666666666</v>
                </pt>
                <pt idx="77">
                  <v>45978.6666666666</v>
                </pt>
                <pt idx="78">
                  <v>45979.6666666666</v>
                </pt>
                <pt idx="79">
                  <v>45980.6666666666</v>
                </pt>
                <pt idx="80">
                  <v>45981.6666666666</v>
                </pt>
                <pt idx="81">
                  <v>45982.6666666666</v>
                </pt>
                <pt idx="82">
                  <v>45985.6666666666</v>
                </pt>
                <pt idx="83">
                  <v>45986.6666666666</v>
                </pt>
                <pt idx="84">
                  <v>45987.6666666666</v>
                </pt>
                <pt idx="85">
                  <v>45989.5520833333</v>
                </pt>
                <pt idx="86">
                  <v>45992.6666666666</v>
                </pt>
                <pt idx="87">
                  <v>45993.6666666666</v>
                </pt>
                <pt idx="88">
                  <v>45994.6666666666</v>
                </pt>
                <pt idx="89">
                  <v>45995.6666666666</v>
                </pt>
                <pt idx="90">
                  <v>45996.6666666666</v>
                </pt>
                <pt idx="91">
                  <v>45999.6666666666</v>
                </pt>
                <pt idx="92">
                  <v>46000.6666666666</v>
                </pt>
                <pt idx="93">
                  <v>46001.6666666666</v>
                </pt>
                <pt idx="94">
                  <v>46002.6666666666</v>
                </pt>
                <pt idx="95">
                  <v>46003.6666666666</v>
                </pt>
                <pt idx="96">
                  <v>46006.6666666666</v>
                </pt>
                <pt idx="97">
                  <v>46007.6666666666</v>
                </pt>
                <pt idx="98">
                  <v>46008.6666666666</v>
                </pt>
                <pt idx="99">
                  <v>46009.6666666666</v>
                </pt>
                <pt idx="100">
                  <v>46010.6666666666</v>
                </pt>
                <pt idx="101">
                  <v>46013.6666666666</v>
                </pt>
                <pt idx="102">
                  <v>46014.6666666666</v>
                </pt>
                <pt idx="103">
                  <v>46015.5416666666</v>
                </pt>
                <pt idx="104">
                  <v>46017.6666666666</v>
                </pt>
                <pt idx="105">
                  <v>46020.6666666666</v>
                </pt>
                <pt idx="106">
                  <v>46021.6666666666</v>
                </pt>
                <pt idx="107">
                  <v>46022.6666666666</v>
                </pt>
                <pt idx="108">
                  <v>46024.6666666666</v>
                </pt>
                <pt idx="109">
                  <v>46027.6666666666</v>
                </pt>
                <pt idx="110">
                  <v>46028.6666666666</v>
                </pt>
                <pt idx="111">
                  <v>46029.6666666666</v>
                </pt>
                <pt idx="112">
                  <v>46030.6666666666</v>
                </pt>
                <pt idx="113">
                  <v>46031.6666666666</v>
                </pt>
                <pt idx="114">
                  <v>46034.6666666666</v>
                </pt>
                <pt idx="115">
                  <v>46035.6666666666</v>
                </pt>
                <pt idx="116">
                  <v>46036.6666666666</v>
                </pt>
                <pt idx="117">
                  <v>46037.6666666666</v>
                </pt>
                <pt idx="118">
                  <v>46038.6666666666</v>
                </pt>
                <pt idx="119">
                  <v>46042.6666666666</v>
                </pt>
                <pt idx="120">
                  <v>46043.6666666666</v>
                </pt>
                <pt idx="121">
                  <v>46044.6666666666</v>
                </pt>
                <pt idx="122">
                  <v>46045.6666666666</v>
                </pt>
                <pt idx="123">
                  <v>46048.6666666666</v>
                </pt>
                <pt idx="124">
                  <v>46049.6666666666</v>
                </pt>
                <pt idx="125">
                  <v>46050.6666666666</v>
                </pt>
                <pt idx="126">
                  <v>46051.6666666666</v>
                </pt>
                <pt idx="127">
                  <v>46052.6666666666</v>
                </pt>
                <pt idx="128">
                  <v>46055.6666666666</v>
                </pt>
                <pt idx="129">
                  <v>46056.6666666666</v>
                </pt>
                <pt idx="130">
                  <v>46057.6666666666</v>
                </pt>
                <pt idx="131">
                  <v>46058.6666666666</v>
                </pt>
                <pt idx="132">
                  <v>46059.6666666666</v>
                </pt>
                <pt idx="133">
                  <v>46062.6666666666</v>
                </pt>
                <pt idx="134">
                  <v>46063.6666666666</v>
                </pt>
                <pt idx="135">
                  <v>46064.6666666666</v>
                </pt>
                <pt idx="136">
                  <v>46065.6666666666</v>
                </pt>
                <pt idx="137">
                  <v>46066.6666666666</v>
                </pt>
                <pt idx="138">
                  <v>46070.6666666666</v>
                </pt>
                <pt idx="139">
                  <v>46071.6666666666</v>
                </pt>
                <pt idx="140">
                  <v>46072.6666666666</v>
                </pt>
                <pt idx="141">
                  <v>46073.6666666666</v>
                </pt>
                <pt idx="142">
                  <v>46076.6666666666</v>
                </pt>
                <pt idx="143">
                  <v>46077.6666666666</v>
                </pt>
                <pt idx="144">
                  <v>46078.6666666666</v>
                </pt>
                <pt idx="145">
                  <v>46079.6666666666</v>
                </pt>
                <pt idx="146">
                  <v>46080.6666666666</v>
                </pt>
                <pt idx="147">
                  <v>46083.6666666666</v>
                </pt>
                <pt idx="148">
                  <v>46084.6666666666</v>
                </pt>
                <pt idx="149">
                  <v>46085.6666666666</v>
                </pt>
                <pt idx="150">
                  <v>46086.6666666666</v>
                </pt>
                <pt idx="151">
                  <v>46087.6666666666</v>
                </pt>
                <pt idx="152">
                  <v>46090.6666666666</v>
                </pt>
                <pt idx="153">
                  <v>46091.6666666666</v>
                </pt>
                <pt idx="154">
                  <v>46092.6666666666</v>
                </pt>
                <pt idx="155">
                  <v>46093.6666666666</v>
                </pt>
                <pt idx="156">
                  <v>46094.6666666666</v>
                </pt>
                <pt idx="157">
                  <v>46097.6666666666</v>
                </pt>
                <pt idx="158">
                  <v>46098.6666666666</v>
                </pt>
                <pt idx="159">
                  <v>46099.6666666666</v>
                </pt>
                <pt idx="160">
                  <v>46100.6666666666</v>
                </pt>
                <pt idx="161">
                  <v>46101.6666666666</v>
                </pt>
                <pt idx="162">
                  <v>46104.6666666666</v>
                </pt>
                <pt idx="163">
                  <v>46105.6666666666</v>
                </pt>
                <pt idx="164">
                  <v>46106.6666666666</v>
                </pt>
                <pt idx="165">
                  <v>46107.6666666666</v>
                </pt>
                <pt idx="166">
                  <v>46108.6666666666</v>
                </pt>
                <pt idx="167">
                  <v>46111.6666666666</v>
                </pt>
                <pt idx="168">
                  <v>46112.6666666666</v>
                </pt>
                <pt idx="169">
                  <v>46113.6666666666</v>
                </pt>
                <pt idx="170">
                  <v>46114.6666666666</v>
                </pt>
                <pt idx="171">
                  <v>46118.6666666666</v>
                </pt>
                <pt idx="172">
                  <v>46119.6666666666</v>
                </pt>
                <pt idx="173">
                  <v>46120.6666666666</v>
                </pt>
                <pt idx="174">
                  <v>46121.6666666666</v>
                </pt>
                <pt idx="175">
                  <v>46122.6666666666</v>
                </pt>
                <pt idx="176">
                  <v>46125.6666666666</v>
                </pt>
                <pt idx="177">
                  <v>46126.6666666666</v>
                </pt>
                <pt idx="178">
                  <v>46127.6666666666</v>
                </pt>
                <pt idx="179">
                  <v>46128.6666666666</v>
                </pt>
                <pt idx="180">
                  <v>46129.6666666666</v>
                </pt>
                <pt idx="181">
                  <v>46132.6666666666</v>
                </pt>
                <pt idx="182">
                  <v>46133.6666666666</v>
                </pt>
                <pt idx="183">
                  <v>46134.6666666666</v>
                </pt>
                <pt idx="184">
                  <v>46135.6666666666</v>
                </pt>
                <pt idx="185">
                  <v>46136.6666666666</v>
                </pt>
                <pt idx="186">
                  <v>46139.6666666666</v>
                </pt>
                <pt idx="187">
                  <v>46140.6666666666</v>
                </pt>
                <pt idx="188">
                  <v>46141.6666666666</v>
                </pt>
                <pt idx="189">
                  <v>46142.6666666666</v>
                </pt>
                <pt idx="190">
                  <v>46143.6666666666</v>
                </pt>
                <pt idx="191">
                  <v>46146.6666666666</v>
                </pt>
                <pt idx="192">
                  <v>46147.6666666666</v>
                </pt>
                <pt idx="193">
                  <v>46148.6666666666</v>
                </pt>
                <pt idx="194">
                  <v>46149.6666666666</v>
                </pt>
                <pt idx="195">
                  <v>46150.6666666666</v>
                </pt>
                <pt idx="196">
                  <v>46153.6666666666</v>
                </pt>
                <pt idx="197">
                  <v>46154.6666666666</v>
                </pt>
                <pt idx="198">
                  <v>46155.6666666666</v>
                </pt>
                <pt idx="199">
                  <v>46156.6666666666</v>
                </pt>
                <pt idx="200">
                  <v>46157.6666666666</v>
                </pt>
                <pt idx="201">
                  <v>46160.6666666666</v>
                </pt>
                <pt idx="202">
                  <v>46161.6666666666</v>
                </pt>
                <pt idx="203">
                  <v>46162.6666666666</v>
                </pt>
                <pt idx="204">
                  <v>46163.6666666666</v>
                </pt>
                <pt idx="205">
                  <v>46164.6666666666</v>
                </pt>
                <pt idx="206">
                  <v>46168.6666666666</v>
                </pt>
                <pt idx="207">
                  <v>46169.6666666666</v>
                </pt>
                <pt idx="208">
                  <v>46170.6666666666</v>
                </pt>
                <pt idx="209">
                  <v>46171.6666666666</v>
                </pt>
                <pt idx="210">
                  <v>46174.6666666666</v>
                </pt>
                <pt idx="211">
                  <v>46175.6666666666</v>
                </pt>
                <pt idx="212">
                  <v>46176.6666666666</v>
                </pt>
                <pt idx="213">
                  <v>46177.6666666666</v>
                </pt>
                <pt idx="214">
                  <v>46178.6666666666</v>
                </pt>
                <pt idx="215">
                  <v>46181.6666666666</v>
                </pt>
                <pt idx="216">
                  <v>46182.6666666666</v>
                </pt>
                <pt idx="217">
                  <v>46183.6666666666</v>
                </pt>
                <pt idx="218">
                  <v>46184.6666666666</v>
                </pt>
                <pt idx="219">
                  <v>46185.6666666666</v>
                </pt>
                <pt idx="220">
                  <v>46188.6666666666</v>
                </pt>
                <pt idx="221">
                  <v>46189.6666666666</v>
                </pt>
                <pt idx="222">
                  <v>46190.6666666666</v>
                </pt>
                <pt idx="223">
                  <v>46191.6666666666</v>
                </pt>
                <pt idx="224">
                  <v>46195.6666666666</v>
                </pt>
                <pt idx="225">
                  <v>46196.6666666666</v>
                </pt>
                <pt idx="226">
                  <v>46197.6666666666</v>
                </pt>
                <pt idx="227">
                  <v>46198.6666666666</v>
                </pt>
                <pt idx="228">
                  <v>46199.6666666666</v>
                </pt>
                <pt idx="229">
                  <v>46202.6666666666</v>
                </pt>
                <pt idx="230">
                  <v>46203.6666666666</v>
                </pt>
                <pt idx="231">
                  <v>46204.6666666666</v>
                </pt>
                <pt idx="232">
                  <v>46205.6666666666</v>
                </pt>
                <pt idx="233">
                  <v>46209.6666666666</v>
                </pt>
                <pt idx="234">
                  <v>46210.6666666666</v>
                </pt>
                <pt idx="235">
                  <v>46211.6666666666</v>
                </pt>
                <pt idx="236">
                  <v>46212.6666666666</v>
                </pt>
                <pt idx="237">
                  <v>46213.6666666666</v>
                </pt>
                <pt idx="238">
                  <v>46216.6666666666</v>
                </pt>
                <pt idx="239">
                  <v>46217.6666666666</v>
                </pt>
                <pt idx="240">
                  <v>46218.6666666666</v>
                </pt>
                <pt idx="241">
                  <v>46219.6666666666</v>
                </pt>
                <pt idx="242">
                  <v>46220.6666666666</v>
                </pt>
                <pt idx="243">
                  <v>46223.6666666666</v>
                </pt>
                <pt idx="244">
                  <v>46224.6666666666</v>
                </pt>
                <pt idx="245">
                  <v>46225.6666666666</v>
                </pt>
                <pt idx="246">
                  <v>46226.6666666666</v>
                </pt>
                <pt idx="247">
                  <v>46227.6666666666</v>
                </pt>
                <pt idx="248">
                  <v>46230.6666666666</v>
                </pt>
                <pt idx="249">
                  <v>46231.6666666666</v>
                </pt>
                <pt idx="250">
                  <v>46232.6666666666</v>
                </pt>
              </numCache>
            </numRef>
          </cat>
          <val>
            <numRef>
              <f>EFA!$F$28:$F$1000</f>
              <numCache>
                <formatCode>#,##0.00</formatCode>
                <ptCount val="973"/>
                <pt idx="0">
                  <v>88.47</v>
                </pt>
                <pt idx="1">
                  <v>87.52</v>
                </pt>
                <pt idx="2">
                  <v>87.29000000000001</v>
                </pt>
                <pt idx="3">
                  <v>88.45</v>
                </pt>
                <pt idx="4">
                  <v>88.44</v>
                </pt>
                <pt idx="5">
                  <v>89.02</v>
                </pt>
                <pt idx="6">
                  <v>89.81999999999999</v>
                </pt>
                <pt idx="7">
                  <v>90.37</v>
                </pt>
                <pt idx="8">
                  <v>89.98999999999999</v>
                </pt>
                <pt idx="9">
                  <v>91.09</v>
                </pt>
                <pt idx="10">
                  <v>91.64</v>
                </pt>
                <pt idx="11">
                  <v>91.65000000000001</v>
                </pt>
                <pt idx="12">
                  <v>92.19</v>
                </pt>
                <pt idx="13">
                  <v>92.09</v>
                </pt>
                <pt idx="14">
                  <v>92.09999999999999</v>
                </pt>
                <pt idx="15">
                  <v>92.43000000000001</v>
                </pt>
                <pt idx="16">
                  <v>91.84999999999999</v>
                </pt>
                <pt idx="17">
                  <v>93.23</v>
                </pt>
                <pt idx="18">
                  <v>92</v>
                </pt>
                <pt idx="19">
                  <v>91.90000000000001</v>
                </pt>
                <pt idx="20">
                  <v>91.68000000000001</v>
                </pt>
                <pt idx="21">
                  <v>92.02</v>
                </pt>
                <pt idx="22">
                  <v>91.48</v>
                </pt>
                <pt idx="23">
                  <v>90.58</v>
                </pt>
                <pt idx="24">
                  <v>90.72</v>
                </pt>
                <pt idx="25">
                  <v>91.38</v>
                </pt>
                <pt idx="26">
                  <v>91.79000000000001</v>
                </pt>
                <pt idx="27">
                  <v>92.70999999999999</v>
                </pt>
                <pt idx="28">
                  <v>92.40000000000001</v>
                </pt>
                <pt idx="29">
                  <v>92.38</v>
                </pt>
                <pt idx="30">
                  <v>93.36</v>
                </pt>
                <pt idx="31">
                  <v>92.98999999999999</v>
                </pt>
                <pt idx="32">
                  <v>93.61</v>
                </pt>
                <pt idx="33">
                  <v>93.34999999999999</v>
                </pt>
                <pt idx="34">
                  <v>93</v>
                </pt>
                <pt idx="35">
                  <v>93.36</v>
                </pt>
                <pt idx="36">
                  <v>93</v>
                </pt>
                <pt idx="37">
                  <v>93.3</v>
                </pt>
                <pt idx="38">
                  <v>93.12</v>
                </pt>
                <pt idx="39">
                  <v>92.58</v>
                </pt>
                <pt idx="40">
                  <v>91.92</v>
                </pt>
                <pt idx="41">
                  <v>92.63</v>
                </pt>
                <pt idx="42">
                  <v>92.98999999999999</v>
                </pt>
                <pt idx="43">
                  <v>93.37</v>
                </pt>
                <pt idx="44">
                  <v>94.14</v>
                </pt>
                <pt idx="45">
                  <v>94.29000000000001</v>
                </pt>
                <pt idx="46">
                  <v>95.08</v>
                </pt>
                <pt idx="47">
                  <v>95.3</v>
                </pt>
                <pt idx="48">
                  <v>94.47</v>
                </pt>
                <pt idx="49">
                  <v>94.75</v>
                </pt>
                <pt idx="50">
                  <v>93.97</v>
                </pt>
                <pt idx="51">
                  <v>92.23999999999999</v>
                </pt>
                <pt idx="52">
                  <v>92.98</v>
                </pt>
                <pt idx="53">
                  <v>93.40000000000001</v>
                </pt>
                <pt idx="54">
                  <v>93.84999999999999</v>
                </pt>
                <pt idx="55">
                  <v>94.34</v>
                </pt>
                <pt idx="56">
                  <v>94.51000000000001</v>
                </pt>
                <pt idx="57">
                  <v>95.29000000000001</v>
                </pt>
                <pt idx="58">
                  <v>94.59</v>
                </pt>
                <pt idx="59">
                  <v>94.45</v>
                </pt>
                <pt idx="60">
                  <v>94.89</v>
                </pt>
                <pt idx="61">
                  <v>95.04000000000001</v>
                </pt>
                <pt idx="62">
                  <v>95.7</v>
                </pt>
                <pt idx="63">
                  <v>95.66</v>
                </pt>
                <pt idx="64">
                  <v>95.12</v>
                </pt>
                <pt idx="65">
                  <v>94.7</v>
                </pt>
                <pt idx="66">
                  <v>94.48999999999999</v>
                </pt>
                <pt idx="67">
                  <v>94.53</v>
                </pt>
                <pt idx="68">
                  <v>93.56</v>
                </pt>
                <pt idx="69">
                  <v>94.16</v>
                </pt>
                <pt idx="70">
                  <v>93.95</v>
                </pt>
                <pt idx="71">
                  <v>94.3</v>
                </pt>
                <pt idx="72">
                  <v>95.29000000000001</v>
                </pt>
                <pt idx="73">
                  <v>95.98999999999999</v>
                </pt>
                <pt idx="74">
                  <v>96.56</v>
                </pt>
                <pt idx="75">
                  <v>95.53</v>
                </pt>
                <pt idx="76">
                  <v>95.26000000000001</v>
                </pt>
                <pt idx="77">
                  <v>94.02</v>
                </pt>
                <pt idx="78">
                  <v>92.8</v>
                </pt>
                <pt idx="79">
                  <v>92.52</v>
                </pt>
                <pt idx="80">
                  <v>91.23999999999999</v>
                </pt>
                <pt idx="81">
                  <v>92.65000000000001</v>
                </pt>
                <pt idx="82">
                  <v>92.73</v>
                </pt>
                <pt idx="83">
                  <v>93.84</v>
                </pt>
                <pt idx="84">
                  <v>94.87</v>
                </pt>
                <pt idx="85">
                  <v>95.19</v>
                </pt>
                <pt idx="86">
                  <v>94.72</v>
                </pt>
                <pt idx="87">
                  <v>95.04000000000001</v>
                </pt>
                <pt idx="88">
                  <v>95.55</v>
                </pt>
                <pt idx="89">
                  <v>95.81</v>
                </pt>
                <pt idx="90">
                  <v>95.81</v>
                </pt>
                <pt idx="91">
                  <v>95.51000000000001</v>
                </pt>
                <pt idx="92">
                  <v>95.38</v>
                </pt>
                <pt idx="93">
                  <v>96.44</v>
                </pt>
                <pt idx="94">
                  <v>97.01000000000001</v>
                </pt>
                <pt idx="95">
                  <v>96.5</v>
                </pt>
                <pt idx="96">
                  <v>97.09</v>
                </pt>
                <pt idx="97">
                  <v>94.92</v>
                </pt>
                <pt idx="98">
                  <v>94.15000000000001</v>
                </pt>
                <pt idx="99">
                  <v>94.81999999999999</v>
                </pt>
                <pt idx="100">
                  <v>95.45999999999999</v>
                </pt>
                <pt idx="101">
                  <v>95.7</v>
                </pt>
                <pt idx="102">
                  <v>96.29000000000001</v>
                </pt>
                <pt idx="103">
                  <v>96.41</v>
                </pt>
                <pt idx="104">
                  <v>96.56999999999999</v>
                </pt>
                <pt idx="105">
                  <v>96.28</v>
                </pt>
                <pt idx="106">
                  <v>96.44</v>
                </pt>
                <pt idx="107">
                  <v>96.03</v>
                </pt>
                <pt idx="108">
                  <v>97.04000000000001</v>
                </pt>
                <pt idx="109">
                  <v>98.15000000000001</v>
                </pt>
                <pt idx="110">
                  <v>98.3</v>
                </pt>
                <pt idx="111">
                  <v>97.93000000000001</v>
                </pt>
                <pt idx="112">
                  <v>97.94</v>
                </pt>
                <pt idx="113">
                  <v>98.81</v>
                </pt>
                <pt idx="114">
                  <v>99.41</v>
                </pt>
                <pt idx="115">
                  <v>98.84</v>
                </pt>
                <pt idx="116">
                  <v>99.3</v>
                </pt>
                <pt idx="117">
                  <v>99.26000000000001</v>
                </pt>
                <pt idx="118">
                  <v>99.53</v>
                </pt>
                <pt idx="119">
                  <v>98.02</v>
                </pt>
                <pt idx="120">
                  <v>99.03</v>
                </pt>
                <pt idx="121">
                  <v>99.42</v>
                </pt>
                <pt idx="122">
                  <v>99.97</v>
                </pt>
                <pt idx="123">
                  <v>100.47</v>
                </pt>
                <pt idx="124">
                  <v>102.09</v>
                </pt>
                <pt idx="125">
                  <v>101.01</v>
                </pt>
                <pt idx="126">
                  <v>101.69</v>
                </pt>
                <pt idx="127">
                  <v>100.74</v>
                </pt>
                <pt idx="128">
                  <v>101.4</v>
                </pt>
                <pt idx="129">
                  <v>101.45</v>
                </pt>
                <pt idx="130">
                  <v>101.78</v>
                </pt>
                <pt idx="131">
                  <v>100.33</v>
                </pt>
                <pt idx="132">
                  <v>102.61</v>
                </pt>
                <pt idx="133">
                  <v>103.99</v>
                </pt>
                <pt idx="134">
                  <v>104.24</v>
                </pt>
                <pt idx="135">
                  <v>104.94</v>
                </pt>
                <pt idx="136">
                  <v>104.15</v>
                </pt>
                <pt idx="137">
                  <v>104.24</v>
                </pt>
                <pt idx="138">
                  <v>104.22</v>
                </pt>
                <pt idx="139">
                  <v>104.34</v>
                </pt>
                <pt idx="140">
                  <v>104.05</v>
                </pt>
                <pt idx="141">
                  <v>104.9</v>
                </pt>
                <pt idx="142">
                  <v>104.47</v>
                </pt>
                <pt idx="143">
                  <v>104.66</v>
                </pt>
                <pt idx="144">
                  <v>105.66</v>
                </pt>
                <pt idx="145">
                  <v>105.57</v>
                </pt>
                <pt idx="146">
                  <v>105.38</v>
                </pt>
                <pt idx="147">
                  <v>103.3</v>
                </pt>
                <pt idx="148">
                  <v>100.09</v>
                </pt>
                <pt idx="149">
                  <v>101.38</v>
                </pt>
                <pt idx="150">
                  <v>99.16</v>
                </pt>
                <pt idx="151">
                  <v>98.28</v>
                </pt>
                <pt idx="152">
                  <v>98.98999999999999</v>
                </pt>
                <pt idx="153">
                  <v>99.22</v>
                </pt>
                <pt idx="154">
                  <v>99.01000000000001</v>
                </pt>
                <pt idx="155">
                  <v>97.45999999999999</v>
                </pt>
                <pt idx="156">
                  <v>96.3</v>
                </pt>
                <pt idx="157">
                  <v>98.09999999999999</v>
                </pt>
                <pt idx="158">
                  <v>98.37</v>
                </pt>
                <pt idx="159">
                  <v>96.69</v>
                </pt>
                <pt idx="160">
                  <v>96.52</v>
                </pt>
                <pt idx="161">
                  <v>93.59</v>
                </pt>
                <pt idx="162">
                  <v>95.84</v>
                </pt>
                <pt idx="163">
                  <v>95.27</v>
                </pt>
                <pt idx="164">
                  <v>96.66</v>
                </pt>
                <pt idx="165">
                  <v>94.66</v>
                </pt>
                <pt idx="166">
                  <v>93.8</v>
                </pt>
                <pt idx="167">
                  <v>94.06999999999999</v>
                </pt>
                <pt idx="168">
                  <v>97.13</v>
                </pt>
                <pt idx="169">
                  <v>98.61</v>
                </pt>
                <pt idx="170">
                  <v>98</v>
                </pt>
                <pt idx="171">
                  <v>98.48999999999999</v>
                </pt>
                <pt idx="172">
                  <v>98.34999999999999</v>
                </pt>
                <pt idx="173">
                  <v>102.19</v>
                </pt>
                <pt idx="174">
                  <v>101.95</v>
                </pt>
                <pt idx="175">
                  <v>102.18</v>
                </pt>
                <pt idx="176">
                  <v>102.81</v>
                </pt>
                <pt idx="177">
                  <v>103.64</v>
                </pt>
                <pt idx="178">
                  <v>103.31</v>
                </pt>
                <pt idx="179">
                  <v>103.01</v>
                </pt>
                <pt idx="180">
                  <v>104.32</v>
                </pt>
                <pt idx="181">
                  <v>103.91</v>
                </pt>
                <pt idx="182">
                  <v>101.63</v>
                </pt>
                <pt idx="183">
                  <v>101.97</v>
                </pt>
                <pt idx="184">
                  <v>101.24</v>
                </pt>
                <pt idx="185">
                  <v>101.77</v>
                </pt>
                <pt idx="186">
                  <v>101.38</v>
                </pt>
                <pt idx="187">
                  <v>100.96</v>
                </pt>
                <pt idx="188">
                  <v>99.93000000000001</v>
                </pt>
                <pt idx="189">
                  <v>102.32</v>
                </pt>
                <pt idx="190">
                  <v>102.1</v>
                </pt>
                <pt idx="191">
                  <v>100.7</v>
                </pt>
                <pt idx="192">
                  <v>102.04</v>
                </pt>
                <pt idx="193">
                  <v>104.81</v>
                </pt>
                <pt idx="194">
                  <v>102.89</v>
                </pt>
                <pt idx="195">
                  <v>103.96</v>
                </pt>
                <pt idx="196">
                  <v>103.74</v>
                </pt>
                <pt idx="197">
                  <v>103.14</v>
                </pt>
                <pt idx="198">
                  <v>103.83</v>
                </pt>
                <pt idx="199">
                  <v>103.46</v>
                </pt>
                <pt idx="200">
                  <v>101.72</v>
                </pt>
                <pt idx="201">
                  <v>102.66</v>
                </pt>
                <pt idx="202">
                  <v>101.92</v>
                </pt>
                <pt idx="203">
                  <v>103.62</v>
                </pt>
                <pt idx="204">
                  <v>104.19</v>
                </pt>
                <pt idx="205">
                  <v>103.98</v>
                </pt>
                <pt idx="206">
                  <v>105.13</v>
                </pt>
                <pt idx="207">
                  <v>104.77</v>
                </pt>
                <pt idx="208">
                  <v>104.69</v>
                </pt>
                <pt idx="209">
                  <v>104.8</v>
                </pt>
                <pt idx="210">
                  <v>104.44</v>
                </pt>
                <pt idx="211">
                  <v>105.02</v>
                </pt>
                <pt idx="212">
                  <v>104.12</v>
                </pt>
                <pt idx="213">
                  <v>104.95</v>
                </pt>
                <pt idx="214">
                  <v>102.26</v>
                </pt>
                <pt idx="215">
                  <v>102.88</v>
                </pt>
                <pt idx="216">
                  <v>102.9</v>
                </pt>
                <pt idx="217">
                  <v>101.57</v>
                </pt>
                <pt idx="218">
                  <v>104.73</v>
                </pt>
                <pt idx="219">
                  <v>105.02</v>
                </pt>
                <pt idx="220">
                  <v>104.08</v>
                </pt>
                <pt idx="221">
                  <v>104.31</v>
                </pt>
                <pt idx="222">
                  <v>103.78</v>
                </pt>
                <pt idx="223">
                  <v>104.41</v>
                </pt>
                <pt idx="224">
                  <v>104.58</v>
                </pt>
                <pt idx="225">
                  <v>102.46</v>
                </pt>
                <pt idx="226">
                  <v>102.26</v>
                </pt>
                <pt idx="227">
                  <v>103.15</v>
                </pt>
                <pt idx="228">
                  <v>102.54</v>
                </pt>
                <pt idx="229">
                  <v>103.45</v>
                </pt>
                <pt idx="230">
                  <v>103.88</v>
                </pt>
                <pt idx="231">
                  <v>103.02</v>
                </pt>
                <pt idx="232">
                  <v>104.37</v>
                </pt>
                <pt idx="233">
                  <v>105.46</v>
                </pt>
                <pt idx="234">
                  <v>104.16</v>
                </pt>
                <pt idx="235">
                  <v>103.36</v>
                </pt>
                <pt idx="236">
                  <v>103.92</v>
                </pt>
                <pt idx="237">
                  <v>104.33</v>
                </pt>
                <pt idx="238">
                  <v>103.24</v>
                </pt>
                <pt idx="239">
                  <v>103.96</v>
                </pt>
                <pt idx="240">
                  <v>104.65</v>
                </pt>
                <pt idx="241">
                  <v>103.81</v>
                </pt>
                <pt idx="242">
                  <v>103.33</v>
                </pt>
                <pt idx="243">
                  <v>102.57</v>
                </pt>
                <pt idx="244">
                  <v>104.06</v>
                </pt>
                <pt idx="245">
                  <v>104.25</v>
                </pt>
                <pt idx="246">
                  <v>102.9</v>
                </pt>
                <pt idx="247">
                  <v>103.41</v>
                </pt>
                <pt idx="248">
                  <v>103.91</v>
                </pt>
                <pt idx="249">
                  <v>103.89</v>
                </pt>
                <pt idx="250">
                  <v>103.37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ko-KR"/>
        </a:p>
      </txPr>
    </legend>
    <plotVisOnly val="1"/>
    <dispBlanksAs val="zero"/>
  </chart>
</chartSpace>
</file>

<file path=xl/charts/chart18.xml><?xml version="1.0" encoding="utf-8"?>
<chartSpace xmlns:a="http://schemas.openxmlformats.org/drawingml/2006/main" xmlns="http://schemas.openxmlformats.org/drawingml/2006/chart">
  <chart>
    <plotArea>
      <layout/>
      <areaChart>
        <grouping val="standard"/>
        <varyColors val="1"/>
        <ser>
          <idx val="0"/>
          <order val="0"/>
          <tx>
            <strRef>
              <f>EEM!$F$27</f>
              <strCache>
                <ptCount val="1"/>
                <pt idx="0">
                  <v>Close</v>
                </pt>
              </strCache>
            </strRef>
          </tx>
          <spPr>
            <a:solidFill>
              <a:srgbClr val="4285F4"/>
            </a:solidFill>
            <a:ln cmpd="sng">
              <a:solidFill>
                <a:srgbClr val="4285F4"/>
              </a:solidFill>
              <a:prstDash val="solid"/>
            </a:ln>
          </spPr>
          <cat>
            <numRef>
              <f>EEM!$B$28:$B$1000</f>
              <numCache>
                <formatCode>mmm" "d", "yyyy</formatCode>
                <ptCount val="973"/>
                <pt idx="0">
                  <v>45868.6666666666</v>
                </pt>
                <pt idx="1">
                  <v>45869.6666666666</v>
                </pt>
                <pt idx="2">
                  <v>45870.6666666666</v>
                </pt>
                <pt idx="3">
                  <v>45873.6666666666</v>
                </pt>
                <pt idx="4">
                  <v>45874.6666666666</v>
                </pt>
                <pt idx="5">
                  <v>45875.6666666666</v>
                </pt>
                <pt idx="6">
                  <v>45876.6666666666</v>
                </pt>
                <pt idx="7">
                  <v>45877.6666666666</v>
                </pt>
                <pt idx="8">
                  <v>45880.6666666666</v>
                </pt>
                <pt idx="9">
                  <v>45881.6666666666</v>
                </pt>
                <pt idx="10">
                  <v>45882.6666666666</v>
                </pt>
                <pt idx="11">
                  <v>45883.6666666666</v>
                </pt>
                <pt idx="12">
                  <v>45884.6666666666</v>
                </pt>
                <pt idx="13">
                  <v>45887.6666666666</v>
                </pt>
                <pt idx="14">
                  <v>45888.6666666666</v>
                </pt>
                <pt idx="15">
                  <v>45889.6666666666</v>
                </pt>
                <pt idx="16">
                  <v>45890.6666666666</v>
                </pt>
                <pt idx="17">
                  <v>45891.6666666666</v>
                </pt>
                <pt idx="18">
                  <v>45894.6666666666</v>
                </pt>
                <pt idx="19">
                  <v>45895.6666666666</v>
                </pt>
                <pt idx="20">
                  <v>45896.6666666666</v>
                </pt>
                <pt idx="21">
                  <v>45897.6666666666</v>
                </pt>
                <pt idx="22">
                  <v>45898.6666666666</v>
                </pt>
                <pt idx="23">
                  <v>45902.6666666666</v>
                </pt>
                <pt idx="24">
                  <v>45903.6666666666</v>
                </pt>
                <pt idx="25">
                  <v>45904.6666666666</v>
                </pt>
                <pt idx="26">
                  <v>45905.6666666666</v>
                </pt>
                <pt idx="27">
                  <v>45908.6666666666</v>
                </pt>
                <pt idx="28">
                  <v>45909.6666666666</v>
                </pt>
                <pt idx="29">
                  <v>45910.6666666666</v>
                </pt>
                <pt idx="30">
                  <v>45911.6666666666</v>
                </pt>
                <pt idx="31">
                  <v>45912.6666666666</v>
                </pt>
                <pt idx="32">
                  <v>45915.6666666666</v>
                </pt>
                <pt idx="33">
                  <v>45916.6666666666</v>
                </pt>
                <pt idx="34">
                  <v>45917.6666666666</v>
                </pt>
                <pt idx="35">
                  <v>45918.6666666666</v>
                </pt>
                <pt idx="36">
                  <v>45919.6666666666</v>
                </pt>
                <pt idx="37">
                  <v>45922.6666666666</v>
                </pt>
                <pt idx="38">
                  <v>45923.6666666666</v>
                </pt>
                <pt idx="39">
                  <v>45924.6666666666</v>
                </pt>
                <pt idx="40">
                  <v>45925.6666666666</v>
                </pt>
                <pt idx="41">
                  <v>45926.6666666666</v>
                </pt>
                <pt idx="42">
                  <v>45929.6666666666</v>
                </pt>
                <pt idx="43">
                  <v>45930.6666666666</v>
                </pt>
                <pt idx="44">
                  <v>45931.6666666666</v>
                </pt>
                <pt idx="45">
                  <v>45932.6666666666</v>
                </pt>
                <pt idx="46">
                  <v>45933.6666666666</v>
                </pt>
                <pt idx="47">
                  <v>45936.6666666666</v>
                </pt>
                <pt idx="48">
                  <v>45937.6666666666</v>
                </pt>
                <pt idx="49">
                  <v>45938.6666666666</v>
                </pt>
                <pt idx="50">
                  <v>45939.6666666666</v>
                </pt>
                <pt idx="51">
                  <v>45940.6666666666</v>
                </pt>
                <pt idx="52">
                  <v>45943.6666666666</v>
                </pt>
                <pt idx="53">
                  <v>45944.6666666666</v>
                </pt>
                <pt idx="54">
                  <v>45945.6666666666</v>
                </pt>
                <pt idx="55">
                  <v>45946.6666666666</v>
                </pt>
                <pt idx="56">
                  <v>45947.6666666666</v>
                </pt>
                <pt idx="57">
                  <v>45950.6666666666</v>
                </pt>
                <pt idx="58">
                  <v>45951.6666666666</v>
                </pt>
                <pt idx="59">
                  <v>45952.6666666666</v>
                </pt>
                <pt idx="60">
                  <v>45953.6666666666</v>
                </pt>
                <pt idx="61">
                  <v>45954.6666666666</v>
                </pt>
                <pt idx="62">
                  <v>45957.6666666666</v>
                </pt>
                <pt idx="63">
                  <v>45958.6666666666</v>
                </pt>
                <pt idx="64">
                  <v>45959.6666666666</v>
                </pt>
                <pt idx="65">
                  <v>45960.6666666666</v>
                </pt>
                <pt idx="66">
                  <v>45961.6666666666</v>
                </pt>
                <pt idx="67">
                  <v>45964.6666666666</v>
                </pt>
                <pt idx="68">
                  <v>45965.6666666666</v>
                </pt>
                <pt idx="69">
                  <v>45966.6666666666</v>
                </pt>
                <pt idx="70">
                  <v>45967.6666666666</v>
                </pt>
                <pt idx="71">
                  <v>45968.6666666666</v>
                </pt>
                <pt idx="72">
                  <v>45971.6666666666</v>
                </pt>
                <pt idx="73">
                  <v>45972.6666666666</v>
                </pt>
                <pt idx="74">
                  <v>45973.6666666666</v>
                </pt>
                <pt idx="75">
                  <v>45974.6666666666</v>
                </pt>
                <pt idx="76">
                  <v>45975.6666666666</v>
                </pt>
                <pt idx="77">
                  <v>45978.6666666666</v>
                </pt>
                <pt idx="78">
                  <v>45979.6666666666</v>
                </pt>
                <pt idx="79">
                  <v>45980.6666666666</v>
                </pt>
                <pt idx="80">
                  <v>45981.6666666666</v>
                </pt>
                <pt idx="81">
                  <v>45982.6666666666</v>
                </pt>
                <pt idx="82">
                  <v>45985.6666666666</v>
                </pt>
                <pt idx="83">
                  <v>45986.6666666666</v>
                </pt>
                <pt idx="84">
                  <v>45987.6666666666</v>
                </pt>
                <pt idx="85">
                  <v>45989.5520833333</v>
                </pt>
                <pt idx="86">
                  <v>45992.6666666666</v>
                </pt>
                <pt idx="87">
                  <v>45993.6666666666</v>
                </pt>
                <pt idx="88">
                  <v>45994.6666666666</v>
                </pt>
                <pt idx="89">
                  <v>45995.6666666666</v>
                </pt>
                <pt idx="90">
                  <v>45996.6666666666</v>
                </pt>
                <pt idx="91">
                  <v>45999.6666666666</v>
                </pt>
                <pt idx="92">
                  <v>46000.6666666666</v>
                </pt>
                <pt idx="93">
                  <v>46001.6666666666</v>
                </pt>
                <pt idx="94">
                  <v>46002.6666666666</v>
                </pt>
                <pt idx="95">
                  <v>46003.6666666666</v>
                </pt>
                <pt idx="96">
                  <v>46006.6666666666</v>
                </pt>
                <pt idx="97">
                  <v>46007.6666666666</v>
                </pt>
                <pt idx="98">
                  <v>46008.6666666666</v>
                </pt>
                <pt idx="99">
                  <v>46009.6666666666</v>
                </pt>
                <pt idx="100">
                  <v>46010.6666666666</v>
                </pt>
                <pt idx="101">
                  <v>46013.6666666666</v>
                </pt>
                <pt idx="102">
                  <v>46014.6666666666</v>
                </pt>
                <pt idx="103">
                  <v>46015.5416666666</v>
                </pt>
                <pt idx="104">
                  <v>46017.6666666666</v>
                </pt>
                <pt idx="105">
                  <v>46020.6666666666</v>
                </pt>
                <pt idx="106">
                  <v>46021.6666666666</v>
                </pt>
                <pt idx="107">
                  <v>46022.6666666666</v>
                </pt>
                <pt idx="108">
                  <v>46024.6666666666</v>
                </pt>
                <pt idx="109">
                  <v>46027.6666666666</v>
                </pt>
                <pt idx="110">
                  <v>46028.6666666666</v>
                </pt>
                <pt idx="111">
                  <v>46029.6666666666</v>
                </pt>
                <pt idx="112">
                  <v>46030.6666666666</v>
                </pt>
                <pt idx="113">
                  <v>46031.6666666666</v>
                </pt>
                <pt idx="114">
                  <v>46034.6666666666</v>
                </pt>
                <pt idx="115">
                  <v>46035.6666666666</v>
                </pt>
                <pt idx="116">
                  <v>46036.6666666666</v>
                </pt>
                <pt idx="117">
                  <v>46037.6666666666</v>
                </pt>
                <pt idx="118">
                  <v>46038.6666666666</v>
                </pt>
                <pt idx="119">
                  <v>46042.6666666666</v>
                </pt>
                <pt idx="120">
                  <v>46043.6666666666</v>
                </pt>
                <pt idx="121">
                  <v>46044.6666666666</v>
                </pt>
                <pt idx="122">
                  <v>46045.6666666666</v>
                </pt>
                <pt idx="123">
                  <v>46048.6666666666</v>
                </pt>
                <pt idx="124">
                  <v>46049.6666666666</v>
                </pt>
                <pt idx="125">
                  <v>46050.6666666666</v>
                </pt>
                <pt idx="126">
                  <v>46051.6666666666</v>
                </pt>
                <pt idx="127">
                  <v>46052.6666666666</v>
                </pt>
                <pt idx="128">
                  <v>46055.6666666666</v>
                </pt>
                <pt idx="129">
                  <v>46056.6666666666</v>
                </pt>
                <pt idx="130">
                  <v>46057.6666666666</v>
                </pt>
                <pt idx="131">
                  <v>46058.6666666666</v>
                </pt>
                <pt idx="132">
                  <v>46059.6666666666</v>
                </pt>
                <pt idx="133">
                  <v>46062.6666666666</v>
                </pt>
                <pt idx="134">
                  <v>46063.6666666666</v>
                </pt>
                <pt idx="135">
                  <v>46064.6666666666</v>
                </pt>
                <pt idx="136">
                  <v>46065.6666666666</v>
                </pt>
                <pt idx="137">
                  <v>46066.6666666666</v>
                </pt>
                <pt idx="138">
                  <v>46070.6666666666</v>
                </pt>
                <pt idx="139">
                  <v>46071.6666666666</v>
                </pt>
                <pt idx="140">
                  <v>46072.6666666666</v>
                </pt>
                <pt idx="141">
                  <v>46073.6666666666</v>
                </pt>
                <pt idx="142">
                  <v>46076.6666666666</v>
                </pt>
                <pt idx="143">
                  <v>46077.6666666666</v>
                </pt>
                <pt idx="144">
                  <v>46078.6666666666</v>
                </pt>
                <pt idx="145">
                  <v>46079.6666666666</v>
                </pt>
                <pt idx="146">
                  <v>46080.6666666666</v>
                </pt>
                <pt idx="147">
                  <v>46083.6666666666</v>
                </pt>
                <pt idx="148">
                  <v>46084.6666666666</v>
                </pt>
                <pt idx="149">
                  <v>46085.6666666666</v>
                </pt>
                <pt idx="150">
                  <v>46086.6666666666</v>
                </pt>
                <pt idx="151">
                  <v>46087.6666666666</v>
                </pt>
                <pt idx="152">
                  <v>46090.6666666666</v>
                </pt>
                <pt idx="153">
                  <v>46091.6666666666</v>
                </pt>
                <pt idx="154">
                  <v>46092.6666666666</v>
                </pt>
                <pt idx="155">
                  <v>46093.6666666666</v>
                </pt>
                <pt idx="156">
                  <v>46094.6666666666</v>
                </pt>
                <pt idx="157">
                  <v>46097.6666666666</v>
                </pt>
                <pt idx="158">
                  <v>46098.6666666666</v>
                </pt>
                <pt idx="159">
                  <v>46099.6666666666</v>
                </pt>
                <pt idx="160">
                  <v>46100.6666666666</v>
                </pt>
                <pt idx="161">
                  <v>46101.6666666666</v>
                </pt>
                <pt idx="162">
                  <v>46104.6666666666</v>
                </pt>
                <pt idx="163">
                  <v>46105.6666666666</v>
                </pt>
                <pt idx="164">
                  <v>46106.6666666666</v>
                </pt>
                <pt idx="165">
                  <v>46107.6666666666</v>
                </pt>
                <pt idx="166">
                  <v>46108.6666666666</v>
                </pt>
                <pt idx="167">
                  <v>46111.6666666666</v>
                </pt>
                <pt idx="168">
                  <v>46112.6666666666</v>
                </pt>
                <pt idx="169">
                  <v>46113.6666666666</v>
                </pt>
                <pt idx="170">
                  <v>46114.6666666666</v>
                </pt>
                <pt idx="171">
                  <v>46118.6666666666</v>
                </pt>
                <pt idx="172">
                  <v>46119.6666666666</v>
                </pt>
                <pt idx="173">
                  <v>46120.6666666666</v>
                </pt>
                <pt idx="174">
                  <v>46121.6666666666</v>
                </pt>
                <pt idx="175">
                  <v>46122.6666666666</v>
                </pt>
                <pt idx="176">
                  <v>46125.6666666666</v>
                </pt>
                <pt idx="177">
                  <v>46126.6666666666</v>
                </pt>
                <pt idx="178">
                  <v>46127.6666666666</v>
                </pt>
                <pt idx="179">
                  <v>46128.6666666666</v>
                </pt>
                <pt idx="180">
                  <v>46129.6666666666</v>
                </pt>
                <pt idx="181">
                  <v>46132.6666666666</v>
                </pt>
                <pt idx="182">
                  <v>46133.6666666666</v>
                </pt>
                <pt idx="183">
                  <v>46134.6666666666</v>
                </pt>
                <pt idx="184">
                  <v>46135.6666666666</v>
                </pt>
                <pt idx="185">
                  <v>46136.6666666666</v>
                </pt>
                <pt idx="186">
                  <v>46139.6666666666</v>
                </pt>
                <pt idx="187">
                  <v>46140.6666666666</v>
                </pt>
                <pt idx="188">
                  <v>46141.6666666666</v>
                </pt>
                <pt idx="189">
                  <v>46142.6666666666</v>
                </pt>
                <pt idx="190">
                  <v>46143.6666666666</v>
                </pt>
                <pt idx="191">
                  <v>46146.6666666666</v>
                </pt>
                <pt idx="192">
                  <v>46147.6666666666</v>
                </pt>
                <pt idx="193">
                  <v>46148.6666666666</v>
                </pt>
                <pt idx="194">
                  <v>46149.6666666666</v>
                </pt>
                <pt idx="195">
                  <v>46150.6666666666</v>
                </pt>
                <pt idx="196">
                  <v>46153.6666666666</v>
                </pt>
                <pt idx="197">
                  <v>46154.6666666666</v>
                </pt>
                <pt idx="198">
                  <v>46155.6666666666</v>
                </pt>
                <pt idx="199">
                  <v>46156.6666666666</v>
                </pt>
                <pt idx="200">
                  <v>46157.6666666666</v>
                </pt>
                <pt idx="201">
                  <v>46160.6666666666</v>
                </pt>
                <pt idx="202">
                  <v>46161.6666666666</v>
                </pt>
                <pt idx="203">
                  <v>46162.6666666666</v>
                </pt>
                <pt idx="204">
                  <v>46163.6666666666</v>
                </pt>
                <pt idx="205">
                  <v>46164.6666666666</v>
                </pt>
                <pt idx="206">
                  <v>46168.6666666666</v>
                </pt>
                <pt idx="207">
                  <v>46169.6666666666</v>
                </pt>
                <pt idx="208">
                  <v>46170.6666666666</v>
                </pt>
                <pt idx="209">
                  <v>46171.6666666666</v>
                </pt>
                <pt idx="210">
                  <v>46174.6666666666</v>
                </pt>
                <pt idx="211">
                  <v>46175.6666666666</v>
                </pt>
                <pt idx="212">
                  <v>46176.6666666666</v>
                </pt>
                <pt idx="213">
                  <v>46177.6666666666</v>
                </pt>
                <pt idx="214">
                  <v>46178.6666666666</v>
                </pt>
                <pt idx="215">
                  <v>46181.6666666666</v>
                </pt>
                <pt idx="216">
                  <v>46182.6666666666</v>
                </pt>
                <pt idx="217">
                  <v>46183.6666666666</v>
                </pt>
                <pt idx="218">
                  <v>46184.6666666666</v>
                </pt>
                <pt idx="219">
                  <v>46185.6666666666</v>
                </pt>
                <pt idx="220">
                  <v>46188.6666666666</v>
                </pt>
                <pt idx="221">
                  <v>46189.6666666666</v>
                </pt>
                <pt idx="222">
                  <v>46190.6666666666</v>
                </pt>
                <pt idx="223">
                  <v>46191.6666666666</v>
                </pt>
                <pt idx="224">
                  <v>46195.6666666666</v>
                </pt>
                <pt idx="225">
                  <v>46196.6666666666</v>
                </pt>
                <pt idx="226">
                  <v>46197.6666666666</v>
                </pt>
                <pt idx="227">
                  <v>46198.6666666666</v>
                </pt>
                <pt idx="228">
                  <v>46199.6666666666</v>
                </pt>
                <pt idx="229">
                  <v>46202.6666666666</v>
                </pt>
                <pt idx="230">
                  <v>46203.6666666666</v>
                </pt>
                <pt idx="231">
                  <v>46204.6666666666</v>
                </pt>
                <pt idx="232">
                  <v>46205.6666666666</v>
                </pt>
                <pt idx="233">
                  <v>46209.6666666666</v>
                </pt>
                <pt idx="234">
                  <v>46210.6666666666</v>
                </pt>
                <pt idx="235">
                  <v>46211.6666666666</v>
                </pt>
                <pt idx="236">
                  <v>46212.6666666666</v>
                </pt>
                <pt idx="237">
                  <v>46213.6666666666</v>
                </pt>
                <pt idx="238">
                  <v>46216.6666666666</v>
                </pt>
                <pt idx="239">
                  <v>46217.6666666666</v>
                </pt>
                <pt idx="240">
                  <v>46218.6666666666</v>
                </pt>
                <pt idx="241">
                  <v>46219.6666666666</v>
                </pt>
                <pt idx="242">
                  <v>46220.6666666666</v>
                </pt>
                <pt idx="243">
                  <v>46223.6666666666</v>
                </pt>
                <pt idx="244">
                  <v>46224.6666666666</v>
                </pt>
                <pt idx="245">
                  <v>46225.6666666666</v>
                </pt>
                <pt idx="246">
                  <v>46226.6666666666</v>
                </pt>
                <pt idx="247">
                  <v>46227.6666666666</v>
                </pt>
                <pt idx="248">
                  <v>46230.6666666666</v>
                </pt>
                <pt idx="249">
                  <v>46231.6666666666</v>
                </pt>
                <pt idx="250">
                  <v>46232.6666666666</v>
                </pt>
              </numCache>
            </numRef>
          </cat>
          <val>
            <numRef>
              <f>EEM!$F$28:$F$1000</f>
              <numCache>
                <formatCode>#,##0.00</formatCode>
                <ptCount val="973"/>
                <pt idx="0">
                  <v>48.84</v>
                </pt>
                <pt idx="1">
                  <v>48.56</v>
                </pt>
                <pt idx="2">
                  <v>48.2</v>
                </pt>
                <pt idx="3">
                  <v>48.7</v>
                </pt>
                <pt idx="4">
                  <v>48.84</v>
                </pt>
                <pt idx="5">
                  <v>49.07</v>
                </pt>
                <pt idx="6">
                  <v>49.48</v>
                </pt>
                <pt idx="7">
                  <v>49.44</v>
                </pt>
                <pt idx="8">
                  <v>49.3</v>
                </pt>
                <pt idx="9">
                  <v>49.9</v>
                </pt>
                <pt idx="10">
                  <v>50.5</v>
                </pt>
                <pt idx="11">
                  <v>49.88</v>
                </pt>
                <pt idx="12">
                  <v>49.94</v>
                </pt>
                <pt idx="13">
                  <v>50.23</v>
                </pt>
                <pt idx="14">
                  <v>49.82</v>
                </pt>
                <pt idx="15">
                  <v>49.75</v>
                </pt>
                <pt idx="16">
                  <v>49.64</v>
                </pt>
                <pt idx="17">
                  <v>50.63</v>
                </pt>
                <pt idx="18">
                  <v>50.34</v>
                </pt>
                <pt idx="19">
                  <v>50.21</v>
                </pt>
                <pt idx="20">
                  <v>49.91</v>
                </pt>
                <pt idx="21">
                  <v>50.1</v>
                </pt>
                <pt idx="22">
                  <v>49.86</v>
                </pt>
                <pt idx="23">
                  <v>49.82</v>
                </pt>
                <pt idx="24">
                  <v>50.01</v>
                </pt>
                <pt idx="25">
                  <v>49.85</v>
                </pt>
                <pt idx="26">
                  <v>50.45</v>
                </pt>
                <pt idx="27">
                  <v>50.91</v>
                </pt>
                <pt idx="28">
                  <v>51.19</v>
                </pt>
                <pt idx="29">
                  <v>51.54</v>
                </pt>
                <pt idx="30">
                  <v>52.29</v>
                </pt>
                <pt idx="31">
                  <v>52.26</v>
                </pt>
                <pt idx="32">
                  <v>52.64</v>
                </pt>
                <pt idx="33">
                  <v>53.03</v>
                </pt>
                <pt idx="34">
                  <v>53.26</v>
                </pt>
                <pt idx="35">
                  <v>53.13</v>
                </pt>
                <pt idx="36">
                  <v>53.01</v>
                </pt>
                <pt idx="37">
                  <v>53.27</v>
                </pt>
                <pt idx="38">
                  <v>53.3</v>
                </pt>
                <pt idx="39">
                  <v>53.12</v>
                </pt>
                <pt idx="40">
                  <v>52.81</v>
                </pt>
                <pt idx="41">
                  <v>52.71</v>
                </pt>
                <pt idx="42">
                  <v>53.19</v>
                </pt>
                <pt idx="43">
                  <v>53.4</v>
                </pt>
                <pt idx="44">
                  <v>53.82</v>
                </pt>
                <pt idx="45">
                  <v>54.07</v>
                </pt>
                <pt idx="46">
                  <v>54.23</v>
                </pt>
                <pt idx="47">
                  <v>54.48</v>
                </pt>
                <pt idx="48">
                  <v>54.06</v>
                </pt>
                <pt idx="49">
                  <v>54.49</v>
                </pt>
                <pt idx="50">
                  <v>53.93</v>
                </pt>
                <pt idx="51">
                  <v>51.94</v>
                </pt>
                <pt idx="52">
                  <v>53.45</v>
                </pt>
                <pt idx="53">
                  <v>52.97</v>
                </pt>
                <pt idx="54">
                  <v>53.84</v>
                </pt>
                <pt idx="55">
                  <v>54.19</v>
                </pt>
                <pt idx="56">
                  <v>54.18</v>
                </pt>
                <pt idx="57">
                  <v>54.92</v>
                </pt>
                <pt idx="58">
                  <v>54.31</v>
                </pt>
                <pt idx="59">
                  <v>54.26</v>
                </pt>
                <pt idx="60">
                  <v>54.74</v>
                </pt>
                <pt idx="61">
                  <v>55.1</v>
                </pt>
                <pt idx="62">
                  <v>55.71</v>
                </pt>
                <pt idx="63">
                  <v>55.69</v>
                </pt>
                <pt idx="64">
                  <v>56.01</v>
                </pt>
                <pt idx="65">
                  <v>55.43</v>
                </pt>
                <pt idx="66">
                  <v>55.3</v>
                </pt>
                <pt idx="67">
                  <v>55.65</v>
                </pt>
                <pt idx="68">
                  <v>54.63</v>
                </pt>
                <pt idx="69">
                  <v>55.12</v>
                </pt>
                <pt idx="70">
                  <v>54.71</v>
                </pt>
                <pt idx="71">
                  <v>54.55</v>
                </pt>
                <pt idx="72">
                  <v>55.51</v>
                </pt>
                <pt idx="73">
                  <v>55.57</v>
                </pt>
                <pt idx="74">
                  <v>55.58</v>
                </pt>
                <pt idx="75">
                  <v>54.93</v>
                </pt>
                <pt idx="76">
                  <v>54.96</v>
                </pt>
                <pt idx="77">
                  <v>54.31</v>
                </pt>
                <pt idx="78">
                  <v>54.04</v>
                </pt>
                <pt idx="79">
                  <v>53.85</v>
                </pt>
                <pt idx="80">
                  <v>53.11</v>
                </pt>
                <pt idx="81">
                  <v>53.1</v>
                </pt>
                <pt idx="82">
                  <v>53.66</v>
                </pt>
                <pt idx="83">
                  <v>53.85</v>
                </pt>
                <pt idx="84">
                  <v>54.24</v>
                </pt>
                <pt idx="85">
                  <v>54.32</v>
                </pt>
                <pt idx="86">
                  <v>54.28</v>
                </pt>
                <pt idx="87">
                  <v>54.3</v>
                </pt>
                <pt idx="88">
                  <v>54.34</v>
                </pt>
                <pt idx="89">
                  <v>54.33</v>
                </pt>
                <pt idx="90">
                  <v>54.74</v>
                </pt>
                <pt idx="91">
                  <v>54.62</v>
                </pt>
                <pt idx="92">
                  <v>54.53</v>
                </pt>
                <pt idx="93">
                  <v>55.14</v>
                </pt>
                <pt idx="94">
                  <v>54.88</v>
                </pt>
                <pt idx="95">
                  <v>54.24</v>
                </pt>
                <pt idx="96">
                  <v>54.08</v>
                </pt>
                <pt idx="97">
                  <v>52.98</v>
                </pt>
                <pt idx="98">
                  <v>52.6</v>
                </pt>
                <pt idx="99">
                  <v>53.2</v>
                </pt>
                <pt idx="100">
                  <v>53.72</v>
                </pt>
                <pt idx="101">
                  <v>54.01</v>
                </pt>
                <pt idx="102">
                  <v>54.31</v>
                </pt>
                <pt idx="103">
                  <v>54.42</v>
                </pt>
                <pt idx="104">
                  <v>54.8</v>
                </pt>
                <pt idx="105">
                  <v>54.66</v>
                </pt>
                <pt idx="106">
                  <v>54.88</v>
                </pt>
                <pt idx="107">
                  <v>54.71</v>
                </pt>
                <pt idx="108">
                  <v>56.24</v>
                </pt>
                <pt idx="109">
                  <v>56.86</v>
                </pt>
                <pt idx="110">
                  <v>57.28</v>
                </pt>
                <pt idx="111">
                  <v>56.85</v>
                </pt>
                <pt idx="112">
                  <v>56.87</v>
                </pt>
                <pt idx="113">
                  <v>57.14</v>
                </pt>
                <pt idx="114">
                  <v>57.94</v>
                </pt>
                <pt idx="115">
                  <v>57.51</v>
                </pt>
                <pt idx="116">
                  <v>57.75</v>
                </pt>
                <pt idx="117">
                  <v>58.09</v>
                </pt>
                <pt idx="118">
                  <v>57.87</v>
                </pt>
                <pt idx="119">
                  <v>57.31</v>
                </pt>
                <pt idx="120">
                  <v>58.26</v>
                </pt>
                <pt idx="121">
                  <v>58.7</v>
                </pt>
                <pt idx="122">
                  <v>59.07</v>
                </pt>
                <pt idx="123">
                  <v>59.17</v>
                </pt>
                <pt idx="124">
                  <v>60.34</v>
                </pt>
                <pt idx="125">
                  <v>60.75</v>
                </pt>
                <pt idx="126">
                  <v>60.44</v>
                </pt>
                <pt idx="127">
                  <v>59.1</v>
                </pt>
                <pt idx="128">
                  <v>59.28</v>
                </pt>
                <pt idx="129">
                  <v>59.6</v>
                </pt>
                <pt idx="130">
                  <v>58.8</v>
                </pt>
                <pt idx="131">
                  <v>58.53</v>
                </pt>
                <pt idx="132">
                  <v>60.07</v>
                </pt>
                <pt idx="133">
                  <v>60.51</v>
                </pt>
                <pt idx="134">
                  <v>60.6</v>
                </pt>
                <pt idx="135">
                  <v>61.56</v>
                </pt>
                <pt idx="136">
                  <v>60.86</v>
                </pt>
                <pt idx="137">
                  <v>61.12</v>
                </pt>
                <pt idx="138">
                  <v>60.87</v>
                </pt>
                <pt idx="139">
                  <v>61.19</v>
                </pt>
                <pt idx="140">
                  <v>61.04</v>
                </pt>
                <pt idx="141">
                  <v>62.34</v>
                </pt>
                <pt idx="142">
                  <v>61.65</v>
                </pt>
                <pt idx="143">
                  <v>62.62</v>
                </pt>
                <pt idx="144">
                  <v>63.31</v>
                </pt>
                <pt idx="145">
                  <v>62.71</v>
                </pt>
                <pt idx="146">
                  <v>62.58</v>
                </pt>
                <pt idx="147">
                  <v>61.5</v>
                </pt>
                <pt idx="148">
                  <v>58.42</v>
                </pt>
                <pt idx="149">
                  <v>59.05</v>
                </pt>
                <pt idx="150">
                  <v>57.63</v>
                </pt>
                <pt idx="151">
                  <v>57.32</v>
                </pt>
                <pt idx="152">
                  <v>58.45</v>
                </pt>
                <pt idx="153">
                  <v>58.68</v>
                </pt>
                <pt idx="154">
                  <v>58.83</v>
                </pt>
                <pt idx="155">
                  <v>56.95</v>
                </pt>
                <pt idx="156">
                  <v>56.8</v>
                </pt>
                <pt idx="157">
                  <v>58.38</v>
                </pt>
                <pt idx="158">
                  <v>58.75</v>
                </pt>
                <pt idx="159">
                  <v>57.56</v>
                </pt>
                <pt idx="160">
                  <v>57.62</v>
                </pt>
                <pt idx="161">
                  <v>55.64</v>
                </pt>
                <pt idx="162">
                  <v>57.31</v>
                </pt>
                <pt idx="163">
                  <v>56.52</v>
                </pt>
                <pt idx="164">
                  <v>57.42</v>
                </pt>
                <pt idx="165">
                  <v>55.47</v>
                </pt>
                <pt idx="166">
                  <v>55.2</v>
                </pt>
                <pt idx="167">
                  <v>54.75</v>
                </pt>
                <pt idx="168">
                  <v>56.79</v>
                </pt>
                <pt idx="169">
                  <v>57.23</v>
                </pt>
                <pt idx="170">
                  <v>56.59</v>
                </pt>
                <pt idx="171">
                  <v>57.11</v>
                </pt>
                <pt idx="172">
                  <v>57.31</v>
                </pt>
                <pt idx="173">
                  <v>60.44</v>
                </pt>
                <pt idx="174">
                  <v>60.28</v>
                </pt>
                <pt idx="175">
                  <v>60.56</v>
                </pt>
                <pt idx="176">
                  <v>61.07</v>
                </pt>
                <pt idx="177">
                  <v>62.24</v>
                </pt>
                <pt idx="178">
                  <v>62.2</v>
                </pt>
                <pt idx="179">
                  <v>62.45</v>
                </pt>
                <pt idx="180">
                  <v>63.64</v>
                </pt>
                <pt idx="181">
                  <v>63.18</v>
                </pt>
                <pt idx="182">
                  <v>62.25</v>
                </pt>
                <pt idx="183">
                  <v>63.38</v>
                </pt>
                <pt idx="184">
                  <v>62.35</v>
                </pt>
                <pt idx="185">
                  <v>63.74</v>
                </pt>
                <pt idx="186">
                  <v>63.64</v>
                </pt>
                <pt idx="187">
                  <v>62.99</v>
                </pt>
                <pt idx="188">
                  <v>62.69</v>
                </pt>
                <pt idx="189">
                  <v>63.99</v>
                </pt>
                <pt idx="190">
                  <v>64.13</v>
                </pt>
                <pt idx="191">
                  <v>64.09999999999999</v>
                </pt>
                <pt idx="192">
                  <v>65.40000000000001</v>
                </pt>
                <pt idx="193">
                  <v>67.48999999999999</v>
                </pt>
                <pt idx="194">
                  <v>66.59</v>
                </pt>
                <pt idx="195">
                  <v>67.94</v>
                </pt>
                <pt idx="196">
                  <v>67.89</v>
                </pt>
                <pt idx="197">
                  <v>65.81999999999999</v>
                </pt>
                <pt idx="198">
                  <v>67.20999999999999</v>
                </pt>
                <pt idx="199">
                  <v>67.38</v>
                </pt>
                <pt idx="200">
                  <v>65.06999999999999</v>
                </pt>
                <pt idx="201">
                  <v>64.97</v>
                </pt>
                <pt idx="202">
                  <v>64.26000000000001</v>
                </pt>
                <pt idx="203">
                  <v>65.45999999999999</v>
                </pt>
                <pt idx="204">
                  <v>66.03</v>
                </pt>
                <pt idx="205">
                  <v>65.88</v>
                </pt>
                <pt idx="206">
                  <v>68.40000000000001</v>
                </pt>
                <pt idx="207">
                  <v>68.39</v>
                </pt>
                <pt idx="208">
                  <v>68.61</v>
                </pt>
                <pt idx="209">
                  <v>68.59999999999999</v>
                </pt>
                <pt idx="210">
                  <v>70.08</v>
                </pt>
                <pt idx="211">
                  <v>70.8</v>
                </pt>
                <pt idx="212">
                  <v>69.92</v>
                </pt>
                <pt idx="213">
                  <v>69.09999999999999</v>
                </pt>
                <pt idx="214">
                  <v>64.59</v>
                </pt>
                <pt idx="215">
                  <v>65.75</v>
                </pt>
                <pt idx="216">
                  <v>65.81999999999999</v>
                </pt>
                <pt idx="217">
                  <v>64.66</v>
                </pt>
                <pt idx="218">
                  <v>67.5</v>
                </pt>
                <pt idx="219">
                  <v>67.88</v>
                </pt>
                <pt idx="220">
                  <v>69.75</v>
                </pt>
                <pt idx="221">
                  <v>68.64</v>
                </pt>
                <pt idx="222">
                  <v>68.56</v>
                </pt>
                <pt idx="223">
                  <v>70.79000000000001</v>
                </pt>
                <pt idx="224">
                  <v>71.20999999999999</v>
                </pt>
                <pt idx="225">
                  <v>67.17</v>
                </pt>
                <pt idx="226">
                  <v>67.25</v>
                </pt>
                <pt idx="227">
                  <v>67.95999999999999</v>
                </pt>
                <pt idx="228">
                  <v>67.19</v>
                </pt>
                <pt idx="229">
                  <v>67.43000000000001</v>
                </pt>
                <pt idx="230">
                  <v>68.41</v>
                </pt>
                <pt idx="231">
                  <v>66.48</v>
                </pt>
                <pt idx="232">
                  <v>65.7</v>
                </pt>
                <pt idx="233">
                  <v>67.56999999999999</v>
                </pt>
                <pt idx="234">
                  <v>65.72</v>
                </pt>
                <pt idx="235">
                  <v>66.23</v>
                </pt>
                <pt idx="236">
                  <v>66.78</v>
                </pt>
                <pt idx="237">
                  <v>66.90000000000001</v>
                </pt>
                <pt idx="238">
                  <v>64.5</v>
                </pt>
                <pt idx="239">
                  <v>65.67</v>
                </pt>
                <pt idx="240">
                  <v>65.56999999999999</v>
                </pt>
                <pt idx="241">
                  <v>64.19</v>
                </pt>
                <pt idx="242">
                  <v>63.29</v>
                </pt>
                <pt idx="243">
                  <v>63.56</v>
                </pt>
                <pt idx="244">
                  <v>65.34</v>
                </pt>
                <pt idx="245">
                  <v>64.98999999999999</v>
                </pt>
                <pt idx="246">
                  <v>64.59999999999999</v>
                </pt>
                <pt idx="247">
                  <v>63.33</v>
                </pt>
                <pt idx="248">
                  <v>63.62</v>
                </pt>
                <pt idx="249">
                  <v>62.36</v>
                </pt>
                <pt idx="250">
                  <v>61.07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ko-KR"/>
        </a:p>
      </txPr>
    </legend>
    <plotVisOnly val="1"/>
    <dispBlanksAs val="zero"/>
  </chart>
</chartSpace>
</file>

<file path=xl/charts/chart19.xml><?xml version="1.0" encoding="utf-8"?>
<chartSpace xmlns:a="http://schemas.openxmlformats.org/drawingml/2006/main" xmlns="http://schemas.openxmlformats.org/drawingml/2006/chart">
  <chart>
    <plotArea>
      <layout/>
      <areaChart>
        <grouping val="standard"/>
        <varyColors val="1"/>
        <ser>
          <idx val="0"/>
          <order val="0"/>
          <tx>
            <strRef>
              <f>AGG!$F$27</f>
              <strCache>
                <ptCount val="1"/>
                <pt idx="0">
                  <v>Close</v>
                </pt>
              </strCache>
            </strRef>
          </tx>
          <spPr>
            <a:solidFill>
              <a:srgbClr val="4285F4"/>
            </a:solidFill>
            <a:ln cmpd="sng">
              <a:solidFill>
                <a:srgbClr val="4285F4"/>
              </a:solidFill>
              <a:prstDash val="solid"/>
            </a:ln>
          </spPr>
          <cat>
            <numRef>
              <f>AGG!$B$28:$B$1000</f>
              <numCache>
                <formatCode>mmm" "d", "yyyy</formatCode>
                <ptCount val="973"/>
                <pt idx="0">
                  <v>45868.6666666666</v>
                </pt>
                <pt idx="1">
                  <v>45869.6666666666</v>
                </pt>
                <pt idx="2">
                  <v>45870.6666666666</v>
                </pt>
                <pt idx="3">
                  <v>45873.6666666666</v>
                </pt>
                <pt idx="4">
                  <v>45874.6666666666</v>
                </pt>
                <pt idx="5">
                  <v>45875.6666666666</v>
                </pt>
                <pt idx="6">
                  <v>45876.6666666666</v>
                </pt>
                <pt idx="7">
                  <v>45877.6666666666</v>
                </pt>
                <pt idx="8">
                  <v>45880.6666666666</v>
                </pt>
                <pt idx="9">
                  <v>45881.6666666666</v>
                </pt>
                <pt idx="10">
                  <v>45882.6666666666</v>
                </pt>
                <pt idx="11">
                  <v>45883.6666666666</v>
                </pt>
                <pt idx="12">
                  <v>45884.6666666666</v>
                </pt>
                <pt idx="13">
                  <v>45887.6666666666</v>
                </pt>
                <pt idx="14">
                  <v>45888.6666666666</v>
                </pt>
                <pt idx="15">
                  <v>45889.6666666666</v>
                </pt>
                <pt idx="16">
                  <v>45890.6666666666</v>
                </pt>
                <pt idx="17">
                  <v>45891.6666666666</v>
                </pt>
                <pt idx="18">
                  <v>45894.6666666666</v>
                </pt>
                <pt idx="19">
                  <v>45895.6666666666</v>
                </pt>
                <pt idx="20">
                  <v>45896.6666666666</v>
                </pt>
                <pt idx="21">
                  <v>45897.6666666666</v>
                </pt>
                <pt idx="22">
                  <v>45898.6666666666</v>
                </pt>
                <pt idx="23">
                  <v>45902.6666666666</v>
                </pt>
                <pt idx="24">
                  <v>45903.6666666666</v>
                </pt>
                <pt idx="25">
                  <v>45904.6666666666</v>
                </pt>
                <pt idx="26">
                  <v>45905.6666666666</v>
                </pt>
                <pt idx="27">
                  <v>45908.6666666666</v>
                </pt>
                <pt idx="28">
                  <v>45909.6666666666</v>
                </pt>
                <pt idx="29">
                  <v>45910.6666666666</v>
                </pt>
                <pt idx="30">
                  <v>45911.6666666666</v>
                </pt>
                <pt idx="31">
                  <v>45912.6666666666</v>
                </pt>
                <pt idx="32">
                  <v>45915.6666666666</v>
                </pt>
                <pt idx="33">
                  <v>45916.6666666666</v>
                </pt>
                <pt idx="34">
                  <v>45917.6666666666</v>
                </pt>
                <pt idx="35">
                  <v>45918.6666666666</v>
                </pt>
                <pt idx="36">
                  <v>45919.6666666666</v>
                </pt>
                <pt idx="37">
                  <v>45922.6666666666</v>
                </pt>
                <pt idx="38">
                  <v>45923.6666666666</v>
                </pt>
                <pt idx="39">
                  <v>45924.6666666666</v>
                </pt>
                <pt idx="40">
                  <v>45925.6666666666</v>
                </pt>
                <pt idx="41">
                  <v>45926.6666666666</v>
                </pt>
                <pt idx="42">
                  <v>45929.6666666666</v>
                </pt>
                <pt idx="43">
                  <v>45930.6666666666</v>
                </pt>
                <pt idx="44">
                  <v>45931.6666666666</v>
                </pt>
                <pt idx="45">
                  <v>45932.6666666666</v>
                </pt>
                <pt idx="46">
                  <v>45933.6666666666</v>
                </pt>
                <pt idx="47">
                  <v>45936.6666666666</v>
                </pt>
                <pt idx="48">
                  <v>45937.6666666666</v>
                </pt>
                <pt idx="49">
                  <v>45938.6666666666</v>
                </pt>
                <pt idx="50">
                  <v>45939.6666666666</v>
                </pt>
                <pt idx="51">
                  <v>45940.6666666666</v>
                </pt>
                <pt idx="52">
                  <v>45943.6666666666</v>
                </pt>
                <pt idx="53">
                  <v>45944.6666666666</v>
                </pt>
                <pt idx="54">
                  <v>45945.6666666666</v>
                </pt>
                <pt idx="55">
                  <v>45946.6666666666</v>
                </pt>
                <pt idx="56">
                  <v>45947.6666666666</v>
                </pt>
                <pt idx="57">
                  <v>45950.6666666666</v>
                </pt>
                <pt idx="58">
                  <v>45951.6666666666</v>
                </pt>
                <pt idx="59">
                  <v>45952.6666666666</v>
                </pt>
                <pt idx="60">
                  <v>45953.6666666666</v>
                </pt>
                <pt idx="61">
                  <v>45954.6666666666</v>
                </pt>
                <pt idx="62">
                  <v>45957.6666666666</v>
                </pt>
                <pt idx="63">
                  <v>45958.6666666666</v>
                </pt>
                <pt idx="64">
                  <v>45959.6666666666</v>
                </pt>
                <pt idx="65">
                  <v>45960.6666666666</v>
                </pt>
                <pt idx="66">
                  <v>45961.6666666666</v>
                </pt>
                <pt idx="67">
                  <v>45964.6666666666</v>
                </pt>
                <pt idx="68">
                  <v>45965.6666666666</v>
                </pt>
                <pt idx="69">
                  <v>45966.6666666666</v>
                </pt>
                <pt idx="70">
                  <v>45967.6666666666</v>
                </pt>
                <pt idx="71">
                  <v>45968.6666666666</v>
                </pt>
                <pt idx="72">
                  <v>45971.6666666666</v>
                </pt>
                <pt idx="73">
                  <v>45972.6666666666</v>
                </pt>
                <pt idx="74">
                  <v>45973.6666666666</v>
                </pt>
                <pt idx="75">
                  <v>45974.6666666666</v>
                </pt>
                <pt idx="76">
                  <v>45975.6666666666</v>
                </pt>
                <pt idx="77">
                  <v>45978.6666666666</v>
                </pt>
                <pt idx="78">
                  <v>45979.6666666666</v>
                </pt>
                <pt idx="79">
                  <v>45980.6666666666</v>
                </pt>
                <pt idx="80">
                  <v>45981.6666666666</v>
                </pt>
                <pt idx="81">
                  <v>45982.6666666666</v>
                </pt>
                <pt idx="82">
                  <v>45985.6666666666</v>
                </pt>
                <pt idx="83">
                  <v>45986.6666666666</v>
                </pt>
                <pt idx="84">
                  <v>45987.6666666666</v>
                </pt>
                <pt idx="85">
                  <v>45989.5520833333</v>
                </pt>
                <pt idx="86">
                  <v>45992.6666666666</v>
                </pt>
                <pt idx="87">
                  <v>45993.6666666666</v>
                </pt>
                <pt idx="88">
                  <v>45994.6666666666</v>
                </pt>
                <pt idx="89">
                  <v>45995.6666666666</v>
                </pt>
                <pt idx="90">
                  <v>45996.6666666666</v>
                </pt>
                <pt idx="91">
                  <v>45999.6666666666</v>
                </pt>
                <pt idx="92">
                  <v>46000.6666666666</v>
                </pt>
                <pt idx="93">
                  <v>46001.6666666666</v>
                </pt>
                <pt idx="94">
                  <v>46002.6666666666</v>
                </pt>
                <pt idx="95">
                  <v>46003.6666666666</v>
                </pt>
                <pt idx="96">
                  <v>46006.6666666666</v>
                </pt>
                <pt idx="97">
                  <v>46007.6666666666</v>
                </pt>
                <pt idx="98">
                  <v>46008.6666666666</v>
                </pt>
                <pt idx="99">
                  <v>46009.6666666666</v>
                </pt>
                <pt idx="100">
                  <v>46010.6666666666</v>
                </pt>
                <pt idx="101">
                  <v>46013.6666666666</v>
                </pt>
                <pt idx="102">
                  <v>46014.6666666666</v>
                </pt>
                <pt idx="103">
                  <v>46015.5416666666</v>
                </pt>
                <pt idx="104">
                  <v>46017.6666666666</v>
                </pt>
                <pt idx="105">
                  <v>46020.6666666666</v>
                </pt>
                <pt idx="106">
                  <v>46021.6666666666</v>
                </pt>
                <pt idx="107">
                  <v>46022.6666666666</v>
                </pt>
                <pt idx="108">
                  <v>46024.6666666666</v>
                </pt>
                <pt idx="109">
                  <v>46027.6666666666</v>
                </pt>
                <pt idx="110">
                  <v>46028.6666666666</v>
                </pt>
                <pt idx="111">
                  <v>46029.6666666666</v>
                </pt>
                <pt idx="112">
                  <v>46030.6666666666</v>
                </pt>
                <pt idx="113">
                  <v>46031.6666666666</v>
                </pt>
                <pt idx="114">
                  <v>46034.6666666666</v>
                </pt>
                <pt idx="115">
                  <v>46035.6666666666</v>
                </pt>
                <pt idx="116">
                  <v>46036.6666666666</v>
                </pt>
                <pt idx="117">
                  <v>46037.6666666666</v>
                </pt>
                <pt idx="118">
                  <v>46038.6666666666</v>
                </pt>
                <pt idx="119">
                  <v>46042.6666666666</v>
                </pt>
                <pt idx="120">
                  <v>46043.6666666666</v>
                </pt>
                <pt idx="121">
                  <v>46044.6666666666</v>
                </pt>
                <pt idx="122">
                  <v>46045.6666666666</v>
                </pt>
                <pt idx="123">
                  <v>46048.6666666666</v>
                </pt>
                <pt idx="124">
                  <v>46049.6666666666</v>
                </pt>
                <pt idx="125">
                  <v>46050.6666666666</v>
                </pt>
                <pt idx="126">
                  <v>46051.6666666666</v>
                </pt>
                <pt idx="127">
                  <v>46052.6666666666</v>
                </pt>
                <pt idx="128">
                  <v>46055.6666666666</v>
                </pt>
                <pt idx="129">
                  <v>46056.6666666666</v>
                </pt>
                <pt idx="130">
                  <v>46057.6666666666</v>
                </pt>
                <pt idx="131">
                  <v>46058.6666666666</v>
                </pt>
                <pt idx="132">
                  <v>46059.6666666666</v>
                </pt>
                <pt idx="133">
                  <v>46062.6666666666</v>
                </pt>
                <pt idx="134">
                  <v>46063.6666666666</v>
                </pt>
                <pt idx="135">
                  <v>46064.6666666666</v>
                </pt>
                <pt idx="136">
                  <v>46065.6666666666</v>
                </pt>
                <pt idx="137">
                  <v>46066.6666666666</v>
                </pt>
                <pt idx="138">
                  <v>46070.6666666666</v>
                </pt>
                <pt idx="139">
                  <v>46071.6666666666</v>
                </pt>
                <pt idx="140">
                  <v>46072.6666666666</v>
                </pt>
                <pt idx="141">
                  <v>46073.6666666666</v>
                </pt>
                <pt idx="142">
                  <v>46076.6666666666</v>
                </pt>
                <pt idx="143">
                  <v>46077.6666666666</v>
                </pt>
                <pt idx="144">
                  <v>46078.6666666666</v>
                </pt>
                <pt idx="145">
                  <v>46079.6666666666</v>
                </pt>
                <pt idx="146">
                  <v>46080.6666666666</v>
                </pt>
                <pt idx="147">
                  <v>46083.6666666666</v>
                </pt>
                <pt idx="148">
                  <v>46084.6666666666</v>
                </pt>
                <pt idx="149">
                  <v>46085.6666666666</v>
                </pt>
                <pt idx="150">
                  <v>46086.6666666666</v>
                </pt>
                <pt idx="151">
                  <v>46087.6666666666</v>
                </pt>
                <pt idx="152">
                  <v>46090.6666666666</v>
                </pt>
                <pt idx="153">
                  <v>46091.6666666666</v>
                </pt>
                <pt idx="154">
                  <v>46092.6666666666</v>
                </pt>
                <pt idx="155">
                  <v>46093.6666666666</v>
                </pt>
                <pt idx="156">
                  <v>46094.6666666666</v>
                </pt>
                <pt idx="157">
                  <v>46097.6666666666</v>
                </pt>
                <pt idx="158">
                  <v>46098.6666666666</v>
                </pt>
                <pt idx="159">
                  <v>46099.6666666666</v>
                </pt>
                <pt idx="160">
                  <v>46100.6666666666</v>
                </pt>
                <pt idx="161">
                  <v>46101.6666666666</v>
                </pt>
                <pt idx="162">
                  <v>46104.6666666666</v>
                </pt>
                <pt idx="163">
                  <v>46105.6666666666</v>
                </pt>
                <pt idx="164">
                  <v>46106.6666666666</v>
                </pt>
                <pt idx="165">
                  <v>46107.6666666666</v>
                </pt>
                <pt idx="166">
                  <v>46108.6666666666</v>
                </pt>
                <pt idx="167">
                  <v>46111.6666666666</v>
                </pt>
                <pt idx="168">
                  <v>46112.6666666666</v>
                </pt>
                <pt idx="169">
                  <v>46113.6666666666</v>
                </pt>
                <pt idx="170">
                  <v>46114.6666666666</v>
                </pt>
                <pt idx="171">
                  <v>46118.6666666666</v>
                </pt>
                <pt idx="172">
                  <v>46119.6666666666</v>
                </pt>
                <pt idx="173">
                  <v>46120.6666666666</v>
                </pt>
                <pt idx="174">
                  <v>46121.6666666666</v>
                </pt>
                <pt idx="175">
                  <v>46122.6666666666</v>
                </pt>
                <pt idx="176">
                  <v>46125.6666666666</v>
                </pt>
                <pt idx="177">
                  <v>46126.6666666666</v>
                </pt>
                <pt idx="178">
                  <v>46127.6666666666</v>
                </pt>
                <pt idx="179">
                  <v>46128.6666666666</v>
                </pt>
                <pt idx="180">
                  <v>46129.6666666666</v>
                </pt>
                <pt idx="181">
                  <v>46132.6666666666</v>
                </pt>
                <pt idx="182">
                  <v>46133.6666666666</v>
                </pt>
                <pt idx="183">
                  <v>46134.6666666666</v>
                </pt>
                <pt idx="184">
                  <v>46135.6666666666</v>
                </pt>
                <pt idx="185">
                  <v>46136.6666666666</v>
                </pt>
                <pt idx="186">
                  <v>46139.6666666666</v>
                </pt>
                <pt idx="187">
                  <v>46140.6666666666</v>
                </pt>
                <pt idx="188">
                  <v>46141.6666666666</v>
                </pt>
                <pt idx="189">
                  <v>46142.6666666666</v>
                </pt>
                <pt idx="190">
                  <v>46143.6666666666</v>
                </pt>
                <pt idx="191">
                  <v>46146.6666666666</v>
                </pt>
                <pt idx="192">
                  <v>46147.6666666666</v>
                </pt>
                <pt idx="193">
                  <v>46148.6666666666</v>
                </pt>
                <pt idx="194">
                  <v>46149.6666666666</v>
                </pt>
                <pt idx="195">
                  <v>46150.6666666666</v>
                </pt>
                <pt idx="196">
                  <v>46153.6666666666</v>
                </pt>
                <pt idx="197">
                  <v>46154.6666666666</v>
                </pt>
                <pt idx="198">
                  <v>46155.6666666666</v>
                </pt>
                <pt idx="199">
                  <v>46156.6666666666</v>
                </pt>
                <pt idx="200">
                  <v>46157.6666666666</v>
                </pt>
                <pt idx="201">
                  <v>46160.6666666666</v>
                </pt>
                <pt idx="202">
                  <v>46161.6666666666</v>
                </pt>
                <pt idx="203">
                  <v>46162.6666666666</v>
                </pt>
                <pt idx="204">
                  <v>46163.6666666666</v>
                </pt>
                <pt idx="205">
                  <v>46164.6666666666</v>
                </pt>
                <pt idx="206">
                  <v>46168.6666666666</v>
                </pt>
                <pt idx="207">
                  <v>46169.6666666666</v>
                </pt>
                <pt idx="208">
                  <v>46170.6666666666</v>
                </pt>
                <pt idx="209">
                  <v>46171.6666666666</v>
                </pt>
                <pt idx="210">
                  <v>46174.6666666666</v>
                </pt>
                <pt idx="211">
                  <v>46175.6666666666</v>
                </pt>
                <pt idx="212">
                  <v>46176.6666666666</v>
                </pt>
                <pt idx="213">
                  <v>46177.6666666666</v>
                </pt>
                <pt idx="214">
                  <v>46178.6666666666</v>
                </pt>
                <pt idx="215">
                  <v>46181.6666666666</v>
                </pt>
                <pt idx="216">
                  <v>46182.6666666666</v>
                </pt>
                <pt idx="217">
                  <v>46183.6666666666</v>
                </pt>
                <pt idx="218">
                  <v>46184.6666666666</v>
                </pt>
                <pt idx="219">
                  <v>46185.6666666666</v>
                </pt>
                <pt idx="220">
                  <v>46188.6666666666</v>
                </pt>
                <pt idx="221">
                  <v>46189.6666666666</v>
                </pt>
                <pt idx="222">
                  <v>46190.6666666666</v>
                </pt>
                <pt idx="223">
                  <v>46191.6666666666</v>
                </pt>
                <pt idx="224">
                  <v>46195.6666666666</v>
                </pt>
                <pt idx="225">
                  <v>46196.6666666666</v>
                </pt>
                <pt idx="226">
                  <v>46197.6666666666</v>
                </pt>
                <pt idx="227">
                  <v>46198.6666666666</v>
                </pt>
                <pt idx="228">
                  <v>46199.6666666666</v>
                </pt>
                <pt idx="229">
                  <v>46202.6666666666</v>
                </pt>
                <pt idx="230">
                  <v>46203.6666666666</v>
                </pt>
                <pt idx="231">
                  <v>46204.6666666666</v>
                </pt>
                <pt idx="232">
                  <v>46205.6666666666</v>
                </pt>
                <pt idx="233">
                  <v>46209.6666666666</v>
                </pt>
                <pt idx="234">
                  <v>46210.6666666666</v>
                </pt>
                <pt idx="235">
                  <v>46211.6666666666</v>
                </pt>
                <pt idx="236">
                  <v>46212.6666666666</v>
                </pt>
                <pt idx="237">
                  <v>46213.6666666666</v>
                </pt>
                <pt idx="238">
                  <v>46216.6666666666</v>
                </pt>
                <pt idx="239">
                  <v>46217.6666666666</v>
                </pt>
                <pt idx="240">
                  <v>46218.6666666666</v>
                </pt>
                <pt idx="241">
                  <v>46219.6666666666</v>
                </pt>
                <pt idx="242">
                  <v>46220.6666666666</v>
                </pt>
                <pt idx="243">
                  <v>46223.6666666666</v>
                </pt>
                <pt idx="244">
                  <v>46224.6666666666</v>
                </pt>
                <pt idx="245">
                  <v>46225.6666666666</v>
                </pt>
                <pt idx="246">
                  <v>46226.6666666666</v>
                </pt>
                <pt idx="247">
                  <v>46227.6666666666</v>
                </pt>
                <pt idx="248">
                  <v>46230.6666666666</v>
                </pt>
                <pt idx="249">
                  <v>46231.6666666666</v>
                </pt>
                <pt idx="250">
                  <v>46232.6666666666</v>
                </pt>
              </numCache>
            </numRef>
          </cat>
          <val>
            <numRef>
              <f>AGG!$F$28:$F$1000</f>
              <numCache>
                <formatCode>#,##0.00</formatCode>
                <ptCount val="973"/>
                <pt idx="0">
                  <v>98.56999999999999</v>
                </pt>
                <pt idx="1">
                  <v>98.62</v>
                </pt>
                <pt idx="2">
                  <v>99.14</v>
                </pt>
                <pt idx="3">
                  <v>99.22</v>
                </pt>
                <pt idx="4">
                  <v>99.25</v>
                </pt>
                <pt idx="5">
                  <v>99.20999999999999</v>
                </pt>
                <pt idx="6">
                  <v>99.13</v>
                </pt>
                <pt idx="7">
                  <v>98.94</v>
                </pt>
                <pt idx="8">
                  <v>99.01000000000001</v>
                </pt>
                <pt idx="9">
                  <v>99.01000000000001</v>
                </pt>
                <pt idx="10">
                  <v>99.37</v>
                </pt>
                <pt idx="11">
                  <v>99.09</v>
                </pt>
                <pt idx="12">
                  <v>98.94</v>
                </pt>
                <pt idx="13">
                  <v>98.83</v>
                </pt>
                <pt idx="14">
                  <v>99.02</v>
                </pt>
                <pt idx="15">
                  <v>99.08</v>
                </pt>
                <pt idx="16">
                  <v>98.84999999999999</v>
                </pt>
                <pt idx="17">
                  <v>99.40000000000001</v>
                </pt>
                <pt idx="18">
                  <v>99.25</v>
                </pt>
                <pt idx="19">
                  <v>99.37</v>
                </pt>
                <pt idx="20">
                  <v>99.47</v>
                </pt>
                <pt idx="21">
                  <v>99.59</v>
                </pt>
                <pt idx="22">
                  <v>99.45999999999999</v>
                </pt>
                <pt idx="23">
                  <v>98.87</v>
                </pt>
                <pt idx="24">
                  <v>99.23</v>
                </pt>
                <pt idx="25">
                  <v>99.63</v>
                </pt>
                <pt idx="26">
                  <v>100.1</v>
                </pt>
                <pt idx="27">
                  <v>100.44</v>
                </pt>
                <pt idx="28">
                  <v>100.24</v>
                </pt>
                <pt idx="29">
                  <v>100.44</v>
                </pt>
                <pt idx="30">
                  <v>100.63</v>
                </pt>
                <pt idx="31">
                  <v>100.54</v>
                </pt>
                <pt idx="32">
                  <v>100.71</v>
                </pt>
                <pt idx="33">
                  <v>100.75</v>
                </pt>
                <pt idx="34">
                  <v>100.57</v>
                </pt>
                <pt idx="35">
                  <v>100.29</v>
                </pt>
                <pt idx="36">
                  <v>100.29</v>
                </pt>
                <pt idx="37">
                  <v>100.17</v>
                </pt>
                <pt idx="38">
                  <v>100.33</v>
                </pt>
                <pt idx="39">
                  <v>100.33</v>
                </pt>
                <pt idx="40">
                  <v>100</v>
                </pt>
                <pt idx="41">
                  <v>100.07</v>
                </pt>
                <pt idx="42">
                  <v>100.26</v>
                </pt>
                <pt idx="43">
                  <v>100.25</v>
                </pt>
                <pt idx="44">
                  <v>100.18</v>
                </pt>
                <pt idx="45">
                  <v>100.29</v>
                </pt>
                <pt idx="46">
                  <v>100.18</v>
                </pt>
                <pt idx="47">
                  <v>99.95999999999999</v>
                </pt>
                <pt idx="48">
                  <v>100.13</v>
                </pt>
                <pt idx="49">
                  <v>100.14</v>
                </pt>
                <pt idx="50">
                  <v>100.02</v>
                </pt>
                <pt idx="51">
                  <v>100.43</v>
                </pt>
                <pt idx="52">
                  <v>100.62</v>
                </pt>
                <pt idx="53">
                  <v>100.78</v>
                </pt>
                <pt idx="54">
                  <v>100.74</v>
                </pt>
                <pt idx="55">
                  <v>101.1</v>
                </pt>
                <pt idx="56">
                  <v>100.96</v>
                </pt>
                <pt idx="57">
                  <v>101.13</v>
                </pt>
                <pt idx="58">
                  <v>101.23</v>
                </pt>
                <pt idx="59">
                  <v>101.22</v>
                </pt>
                <pt idx="60">
                  <v>101.04</v>
                </pt>
                <pt idx="61">
                  <v>101.14</v>
                </pt>
                <pt idx="62">
                  <v>101.21</v>
                </pt>
                <pt idx="63">
                  <v>101.27</v>
                </pt>
                <pt idx="64">
                  <v>100.79</v>
                </pt>
                <pt idx="65">
                  <v>100.6</v>
                </pt>
                <pt idx="66">
                  <v>100.54</v>
                </pt>
                <pt idx="67">
                  <v>100.09</v>
                </pt>
                <pt idx="68">
                  <v>100.14</v>
                </pt>
                <pt idx="69">
                  <v>99.87</v>
                </pt>
                <pt idx="70">
                  <v>100.24</v>
                </pt>
                <pt idx="71">
                  <v>100.2</v>
                </pt>
                <pt idx="72">
                  <v>100.16</v>
                </pt>
                <pt idx="73">
                  <v>100.46</v>
                </pt>
                <pt idx="74">
                  <v>100.42</v>
                </pt>
                <pt idx="75">
                  <v>100.12</v>
                </pt>
                <pt idx="76">
                  <v>100</v>
                </pt>
                <pt idx="77">
                  <v>100.02</v>
                </pt>
                <pt idx="78">
                  <v>100.08</v>
                </pt>
                <pt idx="79">
                  <v>100.08</v>
                </pt>
                <pt idx="80">
                  <v>100.2</v>
                </pt>
                <pt idx="81">
                  <v>100.44</v>
                </pt>
                <pt idx="82">
                  <v>100.64</v>
                </pt>
                <pt idx="83">
                  <v>100.8</v>
                </pt>
                <pt idx="84">
                  <v>100.96</v>
                </pt>
                <pt idx="85">
                  <v>100.82</v>
                </pt>
                <pt idx="86">
                  <v>100.06</v>
                </pt>
                <pt idx="87">
                  <v>100.19</v>
                </pt>
                <pt idx="88">
                  <v>100.38</v>
                </pt>
                <pt idx="89">
                  <v>100.14</v>
                </pt>
                <pt idx="90">
                  <v>100.03</v>
                </pt>
                <pt idx="91">
                  <v>99.87</v>
                </pt>
                <pt idx="92">
                  <v>99.78</v>
                </pt>
                <pt idx="93">
                  <v>100.1</v>
                </pt>
                <pt idx="94">
                  <v>100.12</v>
                </pt>
                <pt idx="95">
                  <v>99.81</v>
                </pt>
                <pt idx="96">
                  <v>99.91</v>
                </pt>
                <pt idx="97">
                  <v>100.1</v>
                </pt>
                <pt idx="98">
                  <v>100.07</v>
                </pt>
                <pt idx="99">
                  <v>100.32</v>
                </pt>
                <pt idx="100">
                  <v>99.84</v>
                </pt>
                <pt idx="101">
                  <v>99.8</v>
                </pt>
                <pt idx="102">
                  <v>99.8</v>
                </pt>
                <pt idx="103">
                  <v>100.02</v>
                </pt>
                <pt idx="104">
                  <v>100.04</v>
                </pt>
                <pt idx="105">
                  <v>100.16</v>
                </pt>
                <pt idx="106">
                  <v>100.12</v>
                </pt>
                <pt idx="107">
                  <v>99.88</v>
                </pt>
                <pt idx="108">
                  <v>99.84999999999999</v>
                </pt>
                <pt idx="109">
                  <v>100.04</v>
                </pt>
                <pt idx="110">
                  <v>100.02</v>
                </pt>
                <pt idx="111">
                  <v>100.12</v>
                </pt>
                <pt idx="112">
                  <v>99.94</v>
                </pt>
                <pt idx="113">
                  <v>100.16</v>
                </pt>
                <pt idx="114">
                  <v>100.11</v>
                </pt>
                <pt idx="115">
                  <v>100.2</v>
                </pt>
                <pt idx="116">
                  <v>100.35</v>
                </pt>
                <pt idx="117">
                  <v>100.22</v>
                </pt>
                <pt idx="118">
                  <v>100.05</v>
                </pt>
                <pt idx="119">
                  <v>99.67</v>
                </pt>
                <pt idx="120">
                  <v>100</v>
                </pt>
                <pt idx="121">
                  <v>100.02</v>
                </pt>
                <pt idx="122">
                  <v>100.11</v>
                </pt>
                <pt idx="123">
                  <v>100.26</v>
                </pt>
                <pt idx="124">
                  <v>100.19</v>
                </pt>
                <pt idx="125">
                  <v>100.15</v>
                </pt>
                <pt idx="126">
                  <v>100.15</v>
                </pt>
                <pt idx="127">
                  <v>100.13</v>
                </pt>
                <pt idx="128">
                  <v>99.69</v>
                </pt>
                <pt idx="129">
                  <v>99.7</v>
                </pt>
                <pt idx="130">
                  <v>99.64</v>
                </pt>
                <pt idx="131">
                  <v>100.07</v>
                </pt>
                <pt idx="132">
                  <v>100.13</v>
                </pt>
                <pt idx="133">
                  <v>100.16</v>
                </pt>
                <pt idx="134">
                  <v>100.45</v>
                </pt>
                <pt idx="135">
                  <v>100.22</v>
                </pt>
                <pt idx="136">
                  <v>100.67</v>
                </pt>
                <pt idx="137">
                  <v>100.99</v>
                </pt>
                <pt idx="138">
                  <v>101</v>
                </pt>
                <pt idx="139">
                  <v>100.86</v>
                </pt>
                <pt idx="140">
                  <v>100.88</v>
                </pt>
                <pt idx="141">
                  <v>100.9</v>
                </pt>
                <pt idx="142">
                  <v>101.1</v>
                </pt>
                <pt idx="143">
                  <v>101.09</v>
                </pt>
                <pt idx="144">
                  <v>101.04</v>
                </pt>
                <pt idx="145">
                  <v>101.2</v>
                </pt>
                <pt idx="146">
                  <v>101.4</v>
                </pt>
                <pt idx="147">
                  <v>100.68</v>
                </pt>
                <pt idx="148">
                  <v>100.57</v>
                </pt>
                <pt idx="149">
                  <v>100.53</v>
                </pt>
                <pt idx="150">
                  <v>100.24</v>
                </pt>
                <pt idx="151">
                  <v>100.12</v>
                </pt>
                <pt idx="152">
                  <v>100.44</v>
                </pt>
                <pt idx="153">
                  <v>100.11</v>
                </pt>
                <pt idx="154">
                  <v>99.66</v>
                </pt>
                <pt idx="155">
                  <v>99.29000000000001</v>
                </pt>
                <pt idx="156">
                  <v>99.20999999999999</v>
                </pt>
                <pt idx="157">
                  <v>99.59999999999999</v>
                </pt>
                <pt idx="158">
                  <v>99.8</v>
                </pt>
                <pt idx="159">
                  <v>99.38</v>
                </pt>
                <pt idx="160">
                  <v>99.48999999999999</v>
                </pt>
                <pt idx="161">
                  <v>98.66</v>
                </pt>
                <pt idx="162">
                  <v>99.03</v>
                </pt>
                <pt idx="163">
                  <v>98.76000000000001</v>
                </pt>
                <pt idx="164">
                  <v>99.11</v>
                </pt>
                <pt idx="165">
                  <v>98.55</v>
                </pt>
                <pt idx="166">
                  <v>98.54000000000001</v>
                </pt>
                <pt idx="167">
                  <v>99.04000000000001</v>
                </pt>
                <pt idx="168">
                  <v>99.27</v>
                </pt>
                <pt idx="169">
                  <v>99</v>
                </pt>
                <pt idx="170">
                  <v>99.23</v>
                </pt>
                <pt idx="171">
                  <v>99.05</v>
                </pt>
                <pt idx="172">
                  <v>99.17</v>
                </pt>
                <pt idx="173">
                  <v>99.43000000000001</v>
                </pt>
                <pt idx="174">
                  <v>99.48999999999999</v>
                </pt>
                <pt idx="175">
                  <v>99.31999999999999</v>
                </pt>
                <pt idx="176">
                  <v>99.52</v>
                </pt>
                <pt idx="177">
                  <v>99.78</v>
                </pt>
                <pt idx="178">
                  <v>99.62</v>
                </pt>
                <pt idx="179">
                  <v>99.48</v>
                </pt>
                <pt idx="180">
                  <v>99.84999999999999</v>
                </pt>
                <pt idx="181">
                  <v>99.84</v>
                </pt>
                <pt idx="182">
                  <v>99.47</v>
                </pt>
                <pt idx="183">
                  <v>99.61</v>
                </pt>
                <pt idx="184">
                  <v>99.45</v>
                </pt>
                <pt idx="185">
                  <v>99.59</v>
                </pt>
                <pt idx="186">
                  <v>99.44</v>
                </pt>
                <pt idx="187">
                  <v>99.40000000000001</v>
                </pt>
                <pt idx="188">
                  <v>98.95999999999999</v>
                </pt>
                <pt idx="189">
                  <v>99.09999999999999</v>
                </pt>
                <pt idx="190">
                  <v>98.90000000000001</v>
                </pt>
                <pt idx="191">
                  <v>98.59</v>
                </pt>
                <pt idx="192">
                  <v>98.77</v>
                </pt>
                <pt idx="193">
                  <v>99.19</v>
                </pt>
                <pt idx="194">
                  <v>98.95</v>
                </pt>
                <pt idx="195">
                  <v>99.18000000000001</v>
                </pt>
                <pt idx="196">
                  <v>98.92</v>
                </pt>
                <pt idx="197">
                  <v>98.63</v>
                </pt>
                <pt idx="198">
                  <v>98.67</v>
                </pt>
                <pt idx="199">
                  <v>98.64</v>
                </pt>
                <pt idx="200">
                  <v>98.02</v>
                </pt>
                <pt idx="201">
                  <v>98.01000000000001</v>
                </pt>
                <pt idx="202">
                  <v>97.63</v>
                </pt>
                <pt idx="203">
                  <v>98.22</v>
                </pt>
                <pt idx="204">
                  <v>98.34</v>
                </pt>
                <pt idx="205">
                  <v>98.44</v>
                </pt>
                <pt idx="206">
                  <v>98.72</v>
                </pt>
                <pt idx="207">
                  <v>98.8</v>
                </pt>
                <pt idx="208">
                  <v>99</v>
                </pt>
                <pt idx="209">
                  <v>99.06</v>
                </pt>
                <pt idx="210">
                  <v>98.68000000000001</v>
                </pt>
                <pt idx="211">
                  <v>98.70999999999999</v>
                </pt>
                <pt idx="212">
                  <v>98.5</v>
                </pt>
                <pt idx="213">
                  <v>98.66</v>
                </pt>
                <pt idx="214">
                  <v>98.17</v>
                </pt>
                <pt idx="215">
                  <v>98.17</v>
                </pt>
                <pt idx="216">
                  <v>98.37</v>
                </pt>
                <pt idx="217">
                  <v>98.31</v>
                </pt>
                <pt idx="218">
                  <v>98.88</v>
                </pt>
                <pt idx="219">
                  <v>98.76000000000001</v>
                </pt>
                <pt idx="220">
                  <v>98.84999999999999</v>
                </pt>
                <pt idx="221">
                  <v>98.97</v>
                </pt>
                <pt idx="222">
                  <v>98.61</v>
                </pt>
                <pt idx="223">
                  <v>98.90000000000001</v>
                </pt>
                <pt idx="224">
                  <v>98.63</v>
                </pt>
                <pt idx="225">
                  <v>98.70999999999999</v>
                </pt>
                <pt idx="226">
                  <v>99.19</v>
                </pt>
                <pt idx="227">
                  <v>99.25</v>
                </pt>
                <pt idx="228">
                  <v>99.34</v>
                </pt>
                <pt idx="229">
                  <v>99.37</v>
                </pt>
                <pt idx="230">
                  <v>98.98</v>
                </pt>
                <pt idx="231">
                  <v>98.5</v>
                </pt>
                <pt idx="232">
                  <v>98.61</v>
                </pt>
                <pt idx="233">
                  <v>98.66</v>
                </pt>
                <pt idx="234">
                  <v>98.20999999999999</v>
                </pt>
                <pt idx="235">
                  <v>98.04000000000001</v>
                </pt>
                <pt idx="236">
                  <v>98.18000000000001</v>
                </pt>
                <pt idx="237">
                  <v>98.08</v>
                </pt>
                <pt idx="238">
                  <v>97.70999999999999</v>
                </pt>
                <pt idx="239">
                  <v>98</v>
                </pt>
                <pt idx="240">
                  <v>98.14</v>
                </pt>
                <pt idx="241">
                  <v>98.13</v>
                </pt>
                <pt idx="242">
                  <v>98.2</v>
                </pt>
                <pt idx="243">
                  <v>97.95</v>
                </pt>
                <pt idx="244">
                  <v>97.73999999999999</v>
                </pt>
                <pt idx="245">
                  <v>97.58</v>
                </pt>
                <pt idx="246">
                  <v>97.34</v>
                </pt>
                <pt idx="247">
                  <v>97.45999999999999</v>
                </pt>
                <pt idx="248">
                  <v>97.69</v>
                </pt>
                <pt idx="249">
                  <v>97.92</v>
                </pt>
                <pt idx="250">
                  <v>97.55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ko-KR"/>
        </a:p>
      </txPr>
    </legend>
    <plotVisOnly val="1"/>
    <dispBlanksAs val="zero"/>
  </chart>
</chartSpace>
</file>

<file path=xl/charts/chart20.xml><?xml version="1.0" encoding="utf-8"?>
<chartSpace xmlns:a="http://schemas.openxmlformats.org/drawingml/2006/main" xmlns="http://schemas.openxmlformats.org/drawingml/2006/chart">
  <chart>
    <plotArea>
      <layout/>
      <areaChart>
        <grouping val="standard"/>
        <varyColors val="1"/>
        <ser>
          <idx val="0"/>
          <order val="0"/>
          <tx>
            <strRef>
              <f>LQD!$F$27</f>
              <strCache>
                <ptCount val="1"/>
                <pt idx="0">
                  <v>Close</v>
                </pt>
              </strCache>
            </strRef>
          </tx>
          <spPr>
            <a:solidFill>
              <a:srgbClr val="4285F4"/>
            </a:solidFill>
            <a:ln cmpd="sng">
              <a:solidFill>
                <a:srgbClr val="4285F4"/>
              </a:solidFill>
              <a:prstDash val="solid"/>
            </a:ln>
          </spPr>
          <cat>
            <numRef>
              <f>LQD!$B$28:$B$1000</f>
              <numCache>
                <formatCode>mmm" "d", "yyyy</formatCode>
                <ptCount val="973"/>
                <pt idx="0">
                  <v>45868.6666666666</v>
                </pt>
                <pt idx="1">
                  <v>45869.6666666666</v>
                </pt>
                <pt idx="2">
                  <v>45870.6666666666</v>
                </pt>
                <pt idx="3">
                  <v>45873.6666666666</v>
                </pt>
                <pt idx="4">
                  <v>45874.6666666666</v>
                </pt>
                <pt idx="5">
                  <v>45875.6666666666</v>
                </pt>
                <pt idx="6">
                  <v>45876.6666666666</v>
                </pt>
                <pt idx="7">
                  <v>45877.6666666666</v>
                </pt>
                <pt idx="8">
                  <v>45880.6666666666</v>
                </pt>
                <pt idx="9">
                  <v>45881.6666666666</v>
                </pt>
                <pt idx="10">
                  <v>45882.6666666666</v>
                </pt>
                <pt idx="11">
                  <v>45883.6666666666</v>
                </pt>
                <pt idx="12">
                  <v>45884.6666666666</v>
                </pt>
                <pt idx="13">
                  <v>45887.6666666666</v>
                </pt>
                <pt idx="14">
                  <v>45888.6666666666</v>
                </pt>
                <pt idx="15">
                  <v>45889.6666666666</v>
                </pt>
                <pt idx="16">
                  <v>45890.6666666666</v>
                </pt>
                <pt idx="17">
                  <v>45891.6666666666</v>
                </pt>
                <pt idx="18">
                  <v>45894.6666666666</v>
                </pt>
                <pt idx="19">
                  <v>45895.6666666666</v>
                </pt>
                <pt idx="20">
                  <v>45896.6666666666</v>
                </pt>
                <pt idx="21">
                  <v>45897.6666666666</v>
                </pt>
                <pt idx="22">
                  <v>45898.6666666666</v>
                </pt>
                <pt idx="23">
                  <v>45902.6666666666</v>
                </pt>
                <pt idx="24">
                  <v>45903.6666666666</v>
                </pt>
                <pt idx="25">
                  <v>45904.6666666666</v>
                </pt>
                <pt idx="26">
                  <v>45905.6666666666</v>
                </pt>
                <pt idx="27">
                  <v>45908.6666666666</v>
                </pt>
                <pt idx="28">
                  <v>45909.6666666666</v>
                </pt>
                <pt idx="29">
                  <v>45910.6666666666</v>
                </pt>
                <pt idx="30">
                  <v>45911.6666666666</v>
                </pt>
                <pt idx="31">
                  <v>45912.6666666666</v>
                </pt>
                <pt idx="32">
                  <v>45915.6666666666</v>
                </pt>
                <pt idx="33">
                  <v>45916.6666666666</v>
                </pt>
                <pt idx="34">
                  <v>45917.6666666666</v>
                </pt>
                <pt idx="35">
                  <v>45918.6666666666</v>
                </pt>
                <pt idx="36">
                  <v>45919.6666666666</v>
                </pt>
                <pt idx="37">
                  <v>45922.6666666666</v>
                </pt>
                <pt idx="38">
                  <v>45923.6666666666</v>
                </pt>
                <pt idx="39">
                  <v>45924.6666666666</v>
                </pt>
                <pt idx="40">
                  <v>45925.6666666666</v>
                </pt>
                <pt idx="41">
                  <v>45926.6666666666</v>
                </pt>
                <pt idx="42">
                  <v>45929.6666666666</v>
                </pt>
                <pt idx="43">
                  <v>45930.6666666666</v>
                </pt>
                <pt idx="44">
                  <v>45931.6666666666</v>
                </pt>
                <pt idx="45">
                  <v>45932.6666666666</v>
                </pt>
                <pt idx="46">
                  <v>45933.6666666666</v>
                </pt>
                <pt idx="47">
                  <v>45936.6666666666</v>
                </pt>
                <pt idx="48">
                  <v>45937.6666666666</v>
                </pt>
                <pt idx="49">
                  <v>45938.6666666666</v>
                </pt>
                <pt idx="50">
                  <v>45939.6666666666</v>
                </pt>
                <pt idx="51">
                  <v>45940.6666666666</v>
                </pt>
                <pt idx="52">
                  <v>45943.6666666666</v>
                </pt>
                <pt idx="53">
                  <v>45944.6666666666</v>
                </pt>
                <pt idx="54">
                  <v>45945.6666666666</v>
                </pt>
                <pt idx="55">
                  <v>45946.6666666666</v>
                </pt>
                <pt idx="56">
                  <v>45947.6666666666</v>
                </pt>
                <pt idx="57">
                  <v>45950.6666666666</v>
                </pt>
                <pt idx="58">
                  <v>45951.6666666666</v>
                </pt>
                <pt idx="59">
                  <v>45952.6666666666</v>
                </pt>
                <pt idx="60">
                  <v>45953.6666666666</v>
                </pt>
                <pt idx="61">
                  <v>45954.6666666666</v>
                </pt>
                <pt idx="62">
                  <v>45957.6666666666</v>
                </pt>
                <pt idx="63">
                  <v>45958.6666666666</v>
                </pt>
                <pt idx="64">
                  <v>45959.6666666666</v>
                </pt>
                <pt idx="65">
                  <v>45960.6666666666</v>
                </pt>
                <pt idx="66">
                  <v>45961.6666666666</v>
                </pt>
                <pt idx="67">
                  <v>45964.6666666666</v>
                </pt>
                <pt idx="68">
                  <v>45965.6666666666</v>
                </pt>
                <pt idx="69">
                  <v>45966.6666666666</v>
                </pt>
                <pt idx="70">
                  <v>45967.6666666666</v>
                </pt>
                <pt idx="71">
                  <v>45968.6666666666</v>
                </pt>
                <pt idx="72">
                  <v>45971.6666666666</v>
                </pt>
                <pt idx="73">
                  <v>45972.6666666666</v>
                </pt>
                <pt idx="74">
                  <v>45973.6666666666</v>
                </pt>
                <pt idx="75">
                  <v>45974.6666666666</v>
                </pt>
                <pt idx="76">
                  <v>45975.6666666666</v>
                </pt>
                <pt idx="77">
                  <v>45978.6666666666</v>
                </pt>
                <pt idx="78">
                  <v>45979.6666666666</v>
                </pt>
                <pt idx="79">
                  <v>45980.6666666666</v>
                </pt>
                <pt idx="80">
                  <v>45981.6666666666</v>
                </pt>
                <pt idx="81">
                  <v>45982.6666666666</v>
                </pt>
                <pt idx="82">
                  <v>45985.6666666666</v>
                </pt>
                <pt idx="83">
                  <v>45986.6666666666</v>
                </pt>
                <pt idx="84">
                  <v>45987.6666666666</v>
                </pt>
                <pt idx="85">
                  <v>45989.5520833333</v>
                </pt>
                <pt idx="86">
                  <v>45992.6666666666</v>
                </pt>
                <pt idx="87">
                  <v>45993.6666666666</v>
                </pt>
                <pt idx="88">
                  <v>45994.6666666666</v>
                </pt>
                <pt idx="89">
                  <v>45995.6666666666</v>
                </pt>
                <pt idx="90">
                  <v>45996.6666666666</v>
                </pt>
                <pt idx="91">
                  <v>45999.6666666666</v>
                </pt>
                <pt idx="92">
                  <v>46000.6666666666</v>
                </pt>
                <pt idx="93">
                  <v>46001.6666666666</v>
                </pt>
                <pt idx="94">
                  <v>46002.6666666666</v>
                </pt>
                <pt idx="95">
                  <v>46003.6666666666</v>
                </pt>
                <pt idx="96">
                  <v>46006.6666666666</v>
                </pt>
                <pt idx="97">
                  <v>46007.6666666666</v>
                </pt>
                <pt idx="98">
                  <v>46008.6666666666</v>
                </pt>
                <pt idx="99">
                  <v>46009.6666666666</v>
                </pt>
                <pt idx="100">
                  <v>46010.6666666666</v>
                </pt>
                <pt idx="101">
                  <v>46013.6666666666</v>
                </pt>
                <pt idx="102">
                  <v>46014.6666666666</v>
                </pt>
                <pt idx="103">
                  <v>46015.5416666666</v>
                </pt>
                <pt idx="104">
                  <v>46017.6666666666</v>
                </pt>
                <pt idx="105">
                  <v>46020.6666666666</v>
                </pt>
                <pt idx="106">
                  <v>46021.6666666666</v>
                </pt>
                <pt idx="107">
                  <v>46022.6666666666</v>
                </pt>
                <pt idx="108">
                  <v>46024.6666666666</v>
                </pt>
                <pt idx="109">
                  <v>46027.6666666666</v>
                </pt>
                <pt idx="110">
                  <v>46028.6666666666</v>
                </pt>
                <pt idx="111">
                  <v>46029.6666666666</v>
                </pt>
                <pt idx="112">
                  <v>46030.6666666666</v>
                </pt>
                <pt idx="113">
                  <v>46031.6666666666</v>
                </pt>
                <pt idx="114">
                  <v>46034.6666666666</v>
                </pt>
                <pt idx="115">
                  <v>46035.6666666666</v>
                </pt>
                <pt idx="116">
                  <v>46036.6666666666</v>
                </pt>
                <pt idx="117">
                  <v>46037.6666666666</v>
                </pt>
                <pt idx="118">
                  <v>46038.6666666666</v>
                </pt>
                <pt idx="119">
                  <v>46042.6666666666</v>
                </pt>
                <pt idx="120">
                  <v>46043.6666666666</v>
                </pt>
                <pt idx="121">
                  <v>46044.6666666666</v>
                </pt>
                <pt idx="122">
                  <v>46045.6666666666</v>
                </pt>
                <pt idx="123">
                  <v>46048.6666666666</v>
                </pt>
                <pt idx="124">
                  <v>46049.6666666666</v>
                </pt>
                <pt idx="125">
                  <v>46050.6666666666</v>
                </pt>
                <pt idx="126">
                  <v>46051.6666666666</v>
                </pt>
                <pt idx="127">
                  <v>46052.6666666666</v>
                </pt>
                <pt idx="128">
                  <v>46055.6666666666</v>
                </pt>
                <pt idx="129">
                  <v>46056.6666666666</v>
                </pt>
                <pt idx="130">
                  <v>46057.6666666666</v>
                </pt>
                <pt idx="131">
                  <v>46058.6666666666</v>
                </pt>
                <pt idx="132">
                  <v>46059.6666666666</v>
                </pt>
                <pt idx="133">
                  <v>46062.6666666666</v>
                </pt>
                <pt idx="134">
                  <v>46063.6666666666</v>
                </pt>
                <pt idx="135">
                  <v>46064.6666666666</v>
                </pt>
                <pt idx="136">
                  <v>46065.6666666666</v>
                </pt>
                <pt idx="137">
                  <v>46066.6666666666</v>
                </pt>
                <pt idx="138">
                  <v>46070.6666666666</v>
                </pt>
                <pt idx="139">
                  <v>46071.6666666666</v>
                </pt>
                <pt idx="140">
                  <v>46072.6666666666</v>
                </pt>
                <pt idx="141">
                  <v>46073.6666666666</v>
                </pt>
                <pt idx="142">
                  <v>46076.6666666666</v>
                </pt>
                <pt idx="143">
                  <v>46077.6666666666</v>
                </pt>
                <pt idx="144">
                  <v>46078.6666666666</v>
                </pt>
                <pt idx="145">
                  <v>46079.6666666666</v>
                </pt>
                <pt idx="146">
                  <v>46080.6666666666</v>
                </pt>
                <pt idx="147">
                  <v>46083.6666666666</v>
                </pt>
                <pt idx="148">
                  <v>46084.6666666666</v>
                </pt>
                <pt idx="149">
                  <v>46085.6666666666</v>
                </pt>
                <pt idx="150">
                  <v>46086.6666666666</v>
                </pt>
                <pt idx="151">
                  <v>46087.6666666666</v>
                </pt>
                <pt idx="152">
                  <v>46090.6666666666</v>
                </pt>
                <pt idx="153">
                  <v>46091.6666666666</v>
                </pt>
                <pt idx="154">
                  <v>46092.6666666666</v>
                </pt>
                <pt idx="155">
                  <v>46093.6666666666</v>
                </pt>
                <pt idx="156">
                  <v>46094.6666666666</v>
                </pt>
                <pt idx="157">
                  <v>46097.6666666666</v>
                </pt>
                <pt idx="158">
                  <v>46098.6666666666</v>
                </pt>
                <pt idx="159">
                  <v>46099.6666666666</v>
                </pt>
                <pt idx="160">
                  <v>46100.6666666666</v>
                </pt>
                <pt idx="161">
                  <v>46101.6666666666</v>
                </pt>
                <pt idx="162">
                  <v>46104.6666666666</v>
                </pt>
                <pt idx="163">
                  <v>46105.6666666666</v>
                </pt>
                <pt idx="164">
                  <v>46106.6666666666</v>
                </pt>
                <pt idx="165">
                  <v>46107.6666666666</v>
                </pt>
                <pt idx="166">
                  <v>46108.6666666666</v>
                </pt>
                <pt idx="167">
                  <v>46111.6666666666</v>
                </pt>
                <pt idx="168">
                  <v>46112.6666666666</v>
                </pt>
                <pt idx="169">
                  <v>46113.6666666666</v>
                </pt>
                <pt idx="170">
                  <v>46114.6666666666</v>
                </pt>
                <pt idx="171">
                  <v>46118.6666666666</v>
                </pt>
                <pt idx="172">
                  <v>46119.6666666666</v>
                </pt>
                <pt idx="173">
                  <v>46120.6666666666</v>
                </pt>
                <pt idx="174">
                  <v>46121.6666666666</v>
                </pt>
                <pt idx="175">
                  <v>46122.6666666666</v>
                </pt>
                <pt idx="176">
                  <v>46125.6666666666</v>
                </pt>
                <pt idx="177">
                  <v>46126.6666666666</v>
                </pt>
                <pt idx="178">
                  <v>46127.6666666666</v>
                </pt>
                <pt idx="179">
                  <v>46128.6666666666</v>
                </pt>
                <pt idx="180">
                  <v>46129.6666666666</v>
                </pt>
                <pt idx="181">
                  <v>46132.6666666666</v>
                </pt>
                <pt idx="182">
                  <v>46133.6666666666</v>
                </pt>
                <pt idx="183">
                  <v>46134.6666666666</v>
                </pt>
                <pt idx="184">
                  <v>46135.6666666666</v>
                </pt>
                <pt idx="185">
                  <v>46136.6666666666</v>
                </pt>
                <pt idx="186">
                  <v>46139.6666666666</v>
                </pt>
                <pt idx="187">
                  <v>46140.6666666666</v>
                </pt>
                <pt idx="188">
                  <v>46141.6666666666</v>
                </pt>
                <pt idx="189">
                  <v>46142.6666666666</v>
                </pt>
                <pt idx="190">
                  <v>46143.6666666666</v>
                </pt>
                <pt idx="191">
                  <v>46146.6666666666</v>
                </pt>
                <pt idx="192">
                  <v>46147.6666666666</v>
                </pt>
                <pt idx="193">
                  <v>46148.6666666666</v>
                </pt>
                <pt idx="194">
                  <v>46149.6666666666</v>
                </pt>
                <pt idx="195">
                  <v>46150.6666666666</v>
                </pt>
                <pt idx="196">
                  <v>46153.6666666666</v>
                </pt>
                <pt idx="197">
                  <v>46154.6666666666</v>
                </pt>
                <pt idx="198">
                  <v>46155.6666666666</v>
                </pt>
                <pt idx="199">
                  <v>46156.6666666666</v>
                </pt>
                <pt idx="200">
                  <v>46157.6666666666</v>
                </pt>
                <pt idx="201">
                  <v>46160.6666666666</v>
                </pt>
                <pt idx="202">
                  <v>46161.6666666666</v>
                </pt>
                <pt idx="203">
                  <v>46162.6666666666</v>
                </pt>
                <pt idx="204">
                  <v>46163.6666666666</v>
                </pt>
                <pt idx="205">
                  <v>46164.6666666666</v>
                </pt>
                <pt idx="206">
                  <v>46168.6666666666</v>
                </pt>
                <pt idx="207">
                  <v>46169.6666666666</v>
                </pt>
                <pt idx="208">
                  <v>46170.6666666666</v>
                </pt>
                <pt idx="209">
                  <v>46171.6666666666</v>
                </pt>
                <pt idx="210">
                  <v>46174.6666666666</v>
                </pt>
                <pt idx="211">
                  <v>46175.6666666666</v>
                </pt>
                <pt idx="212">
                  <v>46176.6666666666</v>
                </pt>
                <pt idx="213">
                  <v>46177.6666666666</v>
                </pt>
                <pt idx="214">
                  <v>46178.6666666666</v>
                </pt>
                <pt idx="215">
                  <v>46181.6666666666</v>
                </pt>
                <pt idx="216">
                  <v>46182.6666666666</v>
                </pt>
                <pt idx="217">
                  <v>46183.6666666666</v>
                </pt>
                <pt idx="218">
                  <v>46184.6666666666</v>
                </pt>
                <pt idx="219">
                  <v>46185.6666666666</v>
                </pt>
                <pt idx="220">
                  <v>46188.6666666666</v>
                </pt>
                <pt idx="221">
                  <v>46189.6666666666</v>
                </pt>
                <pt idx="222">
                  <v>46190.6666666666</v>
                </pt>
                <pt idx="223">
                  <v>46191.6666666666</v>
                </pt>
                <pt idx="224">
                  <v>46195.6666666666</v>
                </pt>
                <pt idx="225">
                  <v>46196.6666666666</v>
                </pt>
                <pt idx="226">
                  <v>46197.6666666666</v>
                </pt>
                <pt idx="227">
                  <v>46198.6666666666</v>
                </pt>
                <pt idx="228">
                  <v>46199.6666666666</v>
                </pt>
                <pt idx="229">
                  <v>46202.6666666666</v>
                </pt>
                <pt idx="230">
                  <v>46203.6666666666</v>
                </pt>
                <pt idx="231">
                  <v>46204.6666666666</v>
                </pt>
                <pt idx="232">
                  <v>46205.6666666666</v>
                </pt>
                <pt idx="233">
                  <v>46209.6666666666</v>
                </pt>
                <pt idx="234">
                  <v>46210.6666666666</v>
                </pt>
                <pt idx="235">
                  <v>46211.6666666666</v>
                </pt>
                <pt idx="236">
                  <v>46212.6666666666</v>
                </pt>
                <pt idx="237">
                  <v>46213.6666666666</v>
                </pt>
                <pt idx="238">
                  <v>46216.6666666666</v>
                </pt>
                <pt idx="239">
                  <v>46217.6666666666</v>
                </pt>
                <pt idx="240">
                  <v>46218.6666666666</v>
                </pt>
                <pt idx="241">
                  <v>46219.6666666666</v>
                </pt>
                <pt idx="242">
                  <v>46220.6666666666</v>
                </pt>
                <pt idx="243">
                  <v>46223.6666666666</v>
                </pt>
                <pt idx="244">
                  <v>46224.6666666666</v>
                </pt>
                <pt idx="245">
                  <v>46225.6666666666</v>
                </pt>
                <pt idx="246">
                  <v>46226.6666666666</v>
                </pt>
                <pt idx="247">
                  <v>46227.6666666666</v>
                </pt>
                <pt idx="248">
                  <v>46230.6666666666</v>
                </pt>
                <pt idx="249">
                  <v>46231.6666666666</v>
                </pt>
                <pt idx="250">
                  <v>46232.6666666666</v>
                </pt>
              </numCache>
            </numRef>
          </cat>
          <val>
            <numRef>
              <f>LQD!$F$28:$F$1000</f>
              <numCache>
                <formatCode>#,##0.00</formatCode>
                <ptCount val="973"/>
                <pt idx="0">
                  <v>109.08</v>
                </pt>
                <pt idx="1">
                  <v>109.11</v>
                </pt>
                <pt idx="2">
                  <v>109.63</v>
                </pt>
                <pt idx="3">
                  <v>109.82</v>
                </pt>
                <pt idx="4">
                  <v>109.9</v>
                </pt>
                <pt idx="5">
                  <v>109.87</v>
                </pt>
                <pt idx="6">
                  <v>109.76</v>
                </pt>
                <pt idx="7">
                  <v>109.41</v>
                </pt>
                <pt idx="8">
                  <v>109.58</v>
                </pt>
                <pt idx="9">
                  <v>109.68</v>
                </pt>
                <pt idx="10">
                  <v>110.26</v>
                </pt>
                <pt idx="11">
                  <v>109.88</v>
                </pt>
                <pt idx="12">
                  <v>109.74</v>
                </pt>
                <pt idx="13">
                  <v>109.54</v>
                </pt>
                <pt idx="14">
                  <v>109.71</v>
                </pt>
                <pt idx="15">
                  <v>109.76</v>
                </pt>
                <pt idx="16">
                  <v>109.34</v>
                </pt>
                <pt idx="17">
                  <v>110.2</v>
                </pt>
                <pt idx="18">
                  <v>109.91</v>
                </pt>
                <pt idx="19">
                  <v>109.99</v>
                </pt>
                <pt idx="20">
                  <v>110.03</v>
                </pt>
                <pt idx="21">
                  <v>110.2</v>
                </pt>
                <pt idx="22">
                  <v>109.8</v>
                </pt>
                <pt idx="23">
                  <v>109.05</v>
                </pt>
                <pt idx="24">
                  <v>109.7</v>
                </pt>
                <pt idx="25">
                  <v>110.45</v>
                </pt>
                <pt idx="26">
                  <v>111.17</v>
                </pt>
                <pt idx="27">
                  <v>111.56</v>
                </pt>
                <pt idx="28">
                  <v>111.36</v>
                </pt>
                <pt idx="29">
                  <v>111.69</v>
                </pt>
                <pt idx="30">
                  <v>112.21</v>
                </pt>
                <pt idx="31">
                  <v>112.01</v>
                </pt>
                <pt idx="32">
                  <v>112.36</v>
                </pt>
                <pt idx="33">
                  <v>112.26</v>
                </pt>
                <pt idx="34">
                  <v>112.06</v>
                </pt>
                <pt idx="35">
                  <v>111.83</v>
                </pt>
                <pt idx="36">
                  <v>111.74</v>
                </pt>
                <pt idx="37">
                  <v>111.49</v>
                </pt>
                <pt idx="38">
                  <v>111.71</v>
                </pt>
                <pt idx="39">
                  <v>111.26</v>
                </pt>
                <pt idx="40">
                  <v>111.06</v>
                </pt>
                <pt idx="41">
                  <v>111.21</v>
                </pt>
                <pt idx="42">
                  <v>111.58</v>
                </pt>
                <pt idx="43">
                  <v>111.47</v>
                </pt>
                <pt idx="44">
                  <v>111.51</v>
                </pt>
                <pt idx="45">
                  <v>111.69</v>
                </pt>
                <pt idx="46">
                  <v>111.55</v>
                </pt>
                <pt idx="47">
                  <v>111.19</v>
                </pt>
                <pt idx="48">
                  <v>111.4</v>
                </pt>
                <pt idx="49">
                  <v>111.26</v>
                </pt>
                <pt idx="50">
                  <v>111.04</v>
                </pt>
                <pt idx="51">
                  <v>111.35</v>
                </pt>
                <pt idx="52">
                  <v>111.73</v>
                </pt>
                <pt idx="53">
                  <v>112.1</v>
                </pt>
                <pt idx="54">
                  <v>112.1</v>
                </pt>
                <pt idx="55">
                  <v>112.42</v>
                </pt>
                <pt idx="56">
                  <v>112.2</v>
                </pt>
                <pt idx="57">
                  <v>112.54</v>
                </pt>
                <pt idx="58">
                  <v>112.56</v>
                </pt>
                <pt idx="59">
                  <v>112.67</v>
                </pt>
                <pt idx="60">
                  <v>112.53</v>
                </pt>
                <pt idx="61">
                  <v>112.72</v>
                </pt>
                <pt idx="62">
                  <v>112.91</v>
                </pt>
                <pt idx="63">
                  <v>112.92</v>
                </pt>
                <pt idx="64">
                  <v>112.28</v>
                </pt>
                <pt idx="65">
                  <v>111.68</v>
                </pt>
                <pt idx="66">
                  <v>111.23</v>
                </pt>
                <pt idx="67">
                  <v>110.53</v>
                </pt>
                <pt idx="68">
                  <v>110.68</v>
                </pt>
                <pt idx="69">
                  <v>110.35</v>
                </pt>
                <pt idx="70">
                  <v>110.93</v>
                </pt>
                <pt idx="71">
                  <v>110.71</v>
                </pt>
                <pt idx="72">
                  <v>110.77</v>
                </pt>
                <pt idx="73">
                  <v>111.21</v>
                </pt>
                <pt idx="74">
                  <v>111.1</v>
                </pt>
                <pt idx="75">
                  <v>110.55</v>
                </pt>
                <pt idx="76">
                  <v>110.25</v>
                </pt>
                <pt idx="77">
                  <v>110.32</v>
                </pt>
                <pt idx="78">
                  <v>110.37</v>
                </pt>
                <pt idx="79">
                  <v>110.38</v>
                </pt>
                <pt idx="80">
                  <v>110.53</v>
                </pt>
                <pt idx="81">
                  <v>110.92</v>
                </pt>
                <pt idx="82">
                  <v>111.36</v>
                </pt>
                <pt idx="83">
                  <v>111.67</v>
                </pt>
                <pt idx="84">
                  <v>112.05</v>
                </pt>
                <pt idx="85">
                  <v>111.86</v>
                </pt>
                <pt idx="86">
                  <v>110.85</v>
                </pt>
                <pt idx="87">
                  <v>110.92</v>
                </pt>
                <pt idx="88">
                  <v>111.17</v>
                </pt>
                <pt idx="89">
                  <v>110.97</v>
                </pt>
                <pt idx="90">
                  <v>110.86</v>
                </pt>
                <pt idx="91">
                  <v>110.63</v>
                </pt>
                <pt idx="92">
                  <v>110.49</v>
                </pt>
                <pt idx="93">
                  <v>111</v>
                </pt>
                <pt idx="94">
                  <v>110.84</v>
                </pt>
                <pt idx="95">
                  <v>110.17</v>
                </pt>
                <pt idx="96">
                  <v>110.3</v>
                </pt>
                <pt idx="97">
                  <v>110.55</v>
                </pt>
                <pt idx="98">
                  <v>110.43</v>
                </pt>
                <pt idx="99">
                  <v>110.85</v>
                </pt>
                <pt idx="100">
                  <v>110.13</v>
                </pt>
                <pt idx="101">
                  <v>110.11</v>
                </pt>
                <pt idx="102">
                  <v>110.22</v>
                </pt>
                <pt idx="103">
                  <v>110.65</v>
                </pt>
                <pt idx="104">
                  <v>110.64</v>
                </pt>
                <pt idx="105">
                  <v>110.79</v>
                </pt>
                <pt idx="106">
                  <v>110.66</v>
                </pt>
                <pt idx="107">
                  <v>110.19</v>
                </pt>
                <pt idx="108">
                  <v>110.16</v>
                </pt>
                <pt idx="109">
                  <v>110.47</v>
                </pt>
                <pt idx="110">
                  <v>110.47</v>
                </pt>
                <pt idx="111">
                  <v>110.55</v>
                </pt>
                <pt idx="112">
                  <v>110.24</v>
                </pt>
                <pt idx="113">
                  <v>110.64</v>
                </pt>
                <pt idx="114">
                  <v>110.51</v>
                </pt>
                <pt idx="115">
                  <v>110.75</v>
                </pt>
                <pt idx="116">
                  <v>111.03</v>
                </pt>
                <pt idx="117">
                  <v>110.89</v>
                </pt>
                <pt idx="118">
                  <v>110.57</v>
                </pt>
                <pt idx="119">
                  <v>109.9</v>
                </pt>
                <pt idx="120">
                  <v>110.56</v>
                </pt>
                <pt idx="121">
                  <v>110.77</v>
                </pt>
                <pt idx="122">
                  <v>110.84</v>
                </pt>
                <pt idx="123">
                  <v>110.93</v>
                </pt>
                <pt idx="124">
                  <v>110.81</v>
                </pt>
                <pt idx="125">
                  <v>110.65</v>
                </pt>
                <pt idx="126">
                  <v>110.68</v>
                </pt>
                <pt idx="127">
                  <v>110.57</v>
                </pt>
                <pt idx="128">
                  <v>110.06</v>
                </pt>
                <pt idx="129">
                  <v>110.11</v>
                </pt>
                <pt idx="130">
                  <v>109.97</v>
                </pt>
                <pt idx="131">
                  <v>110.5</v>
                </pt>
                <pt idx="132">
                  <v>110.56</v>
                </pt>
                <pt idx="133">
                  <v>110.56</v>
                </pt>
                <pt idx="134">
                  <v>110.82</v>
                </pt>
                <pt idx="135">
                  <v>110.7</v>
                </pt>
                <pt idx="136">
                  <v>111.22</v>
                </pt>
                <pt idx="137">
                  <v>111.59</v>
                </pt>
                <pt idx="138">
                  <v>111.7</v>
                </pt>
                <pt idx="139">
                  <v>111.59</v>
                </pt>
                <pt idx="140">
                  <v>111.68</v>
                </pt>
                <pt idx="141">
                  <v>111.59</v>
                </pt>
                <pt idx="142">
                  <v>111.71</v>
                </pt>
                <pt idx="143">
                  <v>111.68</v>
                </pt>
                <pt idx="144">
                  <v>111.65</v>
                </pt>
                <pt idx="145">
                  <v>111.72</v>
                </pt>
                <pt idx="146">
                  <v>111.68</v>
                </pt>
                <pt idx="147">
                  <v>110.92</v>
                </pt>
                <pt idx="148">
                  <v>110.87</v>
                </pt>
                <pt idx="149">
                  <v>110.97</v>
                </pt>
                <pt idx="150">
                  <v>110.53</v>
                </pt>
                <pt idx="151">
                  <v>110.16</v>
                </pt>
                <pt idx="152">
                  <v>110.82</v>
                </pt>
                <pt idx="153">
                  <v>110.06</v>
                </pt>
                <pt idx="154">
                  <v>109.16</v>
                </pt>
                <pt idx="155">
                  <v>108.57</v>
                </pt>
                <pt idx="156">
                  <v>108.17</v>
                </pt>
                <pt idx="157">
                  <v>108.69</v>
                </pt>
                <pt idx="158">
                  <v>109.3</v>
                </pt>
                <pt idx="159">
                  <v>108.71</v>
                </pt>
                <pt idx="160">
                  <v>109.19</v>
                </pt>
                <pt idx="161">
                  <v>107.85</v>
                </pt>
                <pt idx="162">
                  <v>108.56</v>
                </pt>
                <pt idx="163">
                  <v>108.34</v>
                </pt>
                <pt idx="164">
                  <v>108.73</v>
                </pt>
                <pt idx="165">
                  <v>107.88</v>
                </pt>
                <pt idx="166">
                  <v>107.62</v>
                </pt>
                <pt idx="167">
                  <v>108.31</v>
                </pt>
                <pt idx="168">
                  <v>108.99</v>
                </pt>
                <pt idx="169">
                  <v>108.66</v>
                </pt>
                <pt idx="170">
                  <v>109.12</v>
                </pt>
                <pt idx="171">
                  <v>108.95</v>
                </pt>
                <pt idx="172">
                  <v>109.07</v>
                </pt>
                <pt idx="173">
                  <v>109.49</v>
                </pt>
                <pt idx="174">
                  <v>109.49</v>
                </pt>
                <pt idx="175">
                  <v>109.2</v>
                </pt>
                <pt idx="176">
                  <v>109.62</v>
                </pt>
                <pt idx="177">
                  <v>109.98</v>
                </pt>
                <pt idx="178">
                  <v>109.94</v>
                </pt>
                <pt idx="179">
                  <v>109.43</v>
                </pt>
                <pt idx="180">
                  <v>110.04</v>
                </pt>
                <pt idx="181">
                  <v>110.03</v>
                </pt>
                <pt idx="182">
                  <v>109.61</v>
                </pt>
                <pt idx="183">
                  <v>109.82</v>
                </pt>
                <pt idx="184">
                  <v>109.52</v>
                </pt>
                <pt idx="185">
                  <v>109.6</v>
                </pt>
                <pt idx="186">
                  <v>109.29</v>
                </pt>
                <pt idx="187">
                  <v>109.34</v>
                </pt>
                <pt idx="188">
                  <v>108.73</v>
                </pt>
                <pt idx="189">
                  <v>108.85</v>
                </pt>
                <pt idx="190">
                  <v>108.6</v>
                </pt>
                <pt idx="191">
                  <v>108.25</v>
                </pt>
                <pt idx="192">
                  <v>108.65</v>
                </pt>
                <pt idx="193">
                  <v>109.19</v>
                </pt>
                <pt idx="194">
                  <v>108.74</v>
                </pt>
                <pt idx="195">
                  <v>109.2</v>
                </pt>
                <pt idx="196">
                  <v>108.93</v>
                </pt>
                <pt idx="197">
                  <v>108.56</v>
                </pt>
                <pt idx="198">
                  <v>108.62</v>
                </pt>
                <pt idx="199">
                  <v>108.55</v>
                </pt>
                <pt idx="200">
                  <v>107.86</v>
                </pt>
                <pt idx="201">
                  <v>107.66</v>
                </pt>
                <pt idx="202">
                  <v>107.12</v>
                </pt>
                <pt idx="203">
                  <v>107.95</v>
                </pt>
                <pt idx="204">
                  <v>108.17</v>
                </pt>
                <pt idx="205">
                  <v>108.37</v>
                </pt>
                <pt idx="206">
                  <v>108.78</v>
                </pt>
                <pt idx="207">
                  <v>108.93</v>
                </pt>
                <pt idx="208">
                  <v>109.26</v>
                </pt>
                <pt idx="209">
                  <v>109.36</v>
                </pt>
                <pt idx="210">
                  <v>108.93</v>
                </pt>
                <pt idx="211">
                  <v>108.92</v>
                </pt>
                <pt idx="212">
                  <v>108.62</v>
                </pt>
                <pt idx="213">
                  <v>108.85</v>
                </pt>
                <pt idx="214">
                  <v>108.17</v>
                </pt>
                <pt idx="215">
                  <v>108.06</v>
                </pt>
                <pt idx="216">
                  <v>108.41</v>
                </pt>
                <pt idx="217">
                  <v>108.16</v>
                </pt>
                <pt idx="218">
                  <v>109.08</v>
                </pt>
                <pt idx="219">
                  <v>109.01</v>
                </pt>
                <pt idx="220">
                  <v>108.99</v>
                </pt>
                <pt idx="221">
                  <v>109.12</v>
                </pt>
                <pt idx="222">
                  <v>108.77</v>
                </pt>
                <pt idx="223">
                  <v>109.07</v>
                </pt>
                <pt idx="224">
                  <v>108.78</v>
                </pt>
                <pt idx="225">
                  <v>108.91</v>
                </pt>
                <pt idx="226">
                  <v>109.41</v>
                </pt>
                <pt idx="227">
                  <v>109.5</v>
                </pt>
                <pt idx="228">
                  <v>109.5</v>
                </pt>
                <pt idx="229">
                  <v>109.7</v>
                </pt>
                <pt idx="230">
                  <v>109.07</v>
                </pt>
                <pt idx="231">
                  <v>108.46</v>
                </pt>
                <pt idx="232">
                  <v>108.64</v>
                </pt>
                <pt idx="233">
                  <v>108.67</v>
                </pt>
                <pt idx="234">
                  <v>107.88</v>
                </pt>
                <pt idx="235">
                  <v>107.67</v>
                </pt>
                <pt idx="236">
                  <v>107.71</v>
                </pt>
                <pt idx="237">
                  <v>107.46</v>
                </pt>
                <pt idx="238">
                  <v>106.96</v>
                </pt>
                <pt idx="239">
                  <v>107.21</v>
                </pt>
                <pt idx="240">
                  <v>107.58</v>
                </pt>
                <pt idx="241">
                  <v>107.5</v>
                </pt>
                <pt idx="242">
                  <v>107.56</v>
                </pt>
                <pt idx="243">
                  <v>107.15</v>
                </pt>
                <pt idx="244">
                  <v>106.85</v>
                </pt>
                <pt idx="245">
                  <v>106.67</v>
                </pt>
                <pt idx="246">
                  <v>106.26</v>
                </pt>
                <pt idx="247">
                  <v>106.23</v>
                </pt>
                <pt idx="248">
                  <v>106.51</v>
                </pt>
                <pt idx="249">
                  <v>106.83</v>
                </pt>
                <pt idx="250">
                  <v>106.22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ko-KR"/>
        </a:p>
      </txPr>
    </legend>
    <plotVisOnly val="1"/>
    <dispBlanksAs val="zero"/>
  </chart>
</chartSpace>
</file>

<file path=xl/charts/chart21.xml><?xml version="1.0" encoding="utf-8"?>
<chartSpace xmlns:a="http://schemas.openxmlformats.org/drawingml/2006/main" xmlns="http://schemas.openxmlformats.org/drawingml/2006/chart">
  <chart>
    <plotArea>
      <layout/>
      <areaChart>
        <grouping val="standard"/>
        <varyColors val="1"/>
        <ser>
          <idx val="0"/>
          <order val="0"/>
          <tx>
            <strRef>
              <f>IEF!$F$27</f>
              <strCache>
                <ptCount val="1"/>
                <pt idx="0">
                  <v>Close</v>
                </pt>
              </strCache>
            </strRef>
          </tx>
          <spPr>
            <a:solidFill>
              <a:srgbClr val="4285F4"/>
            </a:solidFill>
            <a:ln cmpd="sng">
              <a:solidFill>
                <a:srgbClr val="4285F4"/>
              </a:solidFill>
              <a:prstDash val="solid"/>
            </a:ln>
          </spPr>
          <cat>
            <numRef>
              <f>IEF!$B$28:$B$1000</f>
              <numCache>
                <formatCode>mmm" "d", "yyyy</formatCode>
                <ptCount val="973"/>
                <pt idx="0">
                  <v>45868.6666666666</v>
                </pt>
                <pt idx="1">
                  <v>45869.6666666666</v>
                </pt>
                <pt idx="2">
                  <v>45870.6666666666</v>
                </pt>
                <pt idx="3">
                  <v>45873.6666666666</v>
                </pt>
                <pt idx="4">
                  <v>45874.6666666666</v>
                </pt>
                <pt idx="5">
                  <v>45875.6666666666</v>
                </pt>
                <pt idx="6">
                  <v>45876.6666666666</v>
                </pt>
                <pt idx="7">
                  <v>45877.6666666666</v>
                </pt>
                <pt idx="8">
                  <v>45880.6666666666</v>
                </pt>
                <pt idx="9">
                  <v>45881.6666666666</v>
                </pt>
                <pt idx="10">
                  <v>45882.6666666666</v>
                </pt>
                <pt idx="11">
                  <v>45883.6666666666</v>
                </pt>
                <pt idx="12">
                  <v>45884.6666666666</v>
                </pt>
                <pt idx="13">
                  <v>45887.6666666666</v>
                </pt>
                <pt idx="14">
                  <v>45888.6666666666</v>
                </pt>
                <pt idx="15">
                  <v>45889.6666666666</v>
                </pt>
                <pt idx="16">
                  <v>45890.6666666666</v>
                </pt>
                <pt idx="17">
                  <v>45891.6666666666</v>
                </pt>
                <pt idx="18">
                  <v>45894.6666666666</v>
                </pt>
                <pt idx="19">
                  <v>45895.6666666666</v>
                </pt>
                <pt idx="20">
                  <v>45896.6666666666</v>
                </pt>
                <pt idx="21">
                  <v>45897.6666666666</v>
                </pt>
                <pt idx="22">
                  <v>45898.6666666666</v>
                </pt>
                <pt idx="23">
                  <v>45902.6666666666</v>
                </pt>
                <pt idx="24">
                  <v>45903.6666666666</v>
                </pt>
                <pt idx="25">
                  <v>45904.6666666666</v>
                </pt>
                <pt idx="26">
                  <v>45905.6666666666</v>
                </pt>
                <pt idx="27">
                  <v>45908.6666666666</v>
                </pt>
                <pt idx="28">
                  <v>45909.6666666666</v>
                </pt>
                <pt idx="29">
                  <v>45910.6666666666</v>
                </pt>
                <pt idx="30">
                  <v>45911.6666666666</v>
                </pt>
                <pt idx="31">
                  <v>45912.6666666666</v>
                </pt>
                <pt idx="32">
                  <v>45915.6666666666</v>
                </pt>
                <pt idx="33">
                  <v>45916.6666666666</v>
                </pt>
                <pt idx="34">
                  <v>45917.6666666666</v>
                </pt>
                <pt idx="35">
                  <v>45918.6666666666</v>
                </pt>
                <pt idx="36">
                  <v>45919.6666666666</v>
                </pt>
                <pt idx="37">
                  <v>45922.6666666666</v>
                </pt>
                <pt idx="38">
                  <v>45923.6666666666</v>
                </pt>
                <pt idx="39">
                  <v>45924.6666666666</v>
                </pt>
                <pt idx="40">
                  <v>45925.6666666666</v>
                </pt>
                <pt idx="41">
                  <v>45926.6666666666</v>
                </pt>
                <pt idx="42">
                  <v>45929.6666666666</v>
                </pt>
                <pt idx="43">
                  <v>45930.6666666666</v>
                </pt>
                <pt idx="44">
                  <v>45931.6666666666</v>
                </pt>
                <pt idx="45">
                  <v>45932.6666666666</v>
                </pt>
                <pt idx="46">
                  <v>45933.6666666666</v>
                </pt>
                <pt idx="47">
                  <v>45936.6666666666</v>
                </pt>
                <pt idx="48">
                  <v>45937.6666666666</v>
                </pt>
                <pt idx="49">
                  <v>45938.6666666666</v>
                </pt>
                <pt idx="50">
                  <v>45939.6666666666</v>
                </pt>
                <pt idx="51">
                  <v>45940.6666666666</v>
                </pt>
                <pt idx="52">
                  <v>45943.6666666666</v>
                </pt>
                <pt idx="53">
                  <v>45944.6666666666</v>
                </pt>
                <pt idx="54">
                  <v>45945.6666666666</v>
                </pt>
                <pt idx="55">
                  <v>45946.6666666666</v>
                </pt>
                <pt idx="56">
                  <v>45947.6666666666</v>
                </pt>
                <pt idx="57">
                  <v>45950.6666666666</v>
                </pt>
                <pt idx="58">
                  <v>45951.6666666666</v>
                </pt>
                <pt idx="59">
                  <v>45952.6666666666</v>
                </pt>
                <pt idx="60">
                  <v>45953.6666666666</v>
                </pt>
                <pt idx="61">
                  <v>45954.6666666666</v>
                </pt>
                <pt idx="62">
                  <v>45957.6666666666</v>
                </pt>
                <pt idx="63">
                  <v>45958.6666666666</v>
                </pt>
                <pt idx="64">
                  <v>45959.6666666666</v>
                </pt>
                <pt idx="65">
                  <v>45960.6666666666</v>
                </pt>
                <pt idx="66">
                  <v>45961.6666666666</v>
                </pt>
                <pt idx="67">
                  <v>45964.6666666666</v>
                </pt>
                <pt idx="68">
                  <v>45965.6666666666</v>
                </pt>
                <pt idx="69">
                  <v>45966.6666666666</v>
                </pt>
                <pt idx="70">
                  <v>45967.6666666666</v>
                </pt>
                <pt idx="71">
                  <v>45968.6666666666</v>
                </pt>
                <pt idx="72">
                  <v>45971.6666666666</v>
                </pt>
                <pt idx="73">
                  <v>45972.6666666666</v>
                </pt>
                <pt idx="74">
                  <v>45973.6666666666</v>
                </pt>
                <pt idx="75">
                  <v>45974.6666666666</v>
                </pt>
                <pt idx="76">
                  <v>45975.6666666666</v>
                </pt>
                <pt idx="77">
                  <v>45978.6666666666</v>
                </pt>
                <pt idx="78">
                  <v>45979.6666666666</v>
                </pt>
                <pt idx="79">
                  <v>45980.6666666666</v>
                </pt>
                <pt idx="80">
                  <v>45981.6666666666</v>
                </pt>
                <pt idx="81">
                  <v>45982.6666666666</v>
                </pt>
                <pt idx="82">
                  <v>45985.6666666666</v>
                </pt>
                <pt idx="83">
                  <v>45986.6666666666</v>
                </pt>
                <pt idx="84">
                  <v>45987.6666666666</v>
                </pt>
                <pt idx="85">
                  <v>45989.5451388888</v>
                </pt>
                <pt idx="86">
                  <v>45992.6666666666</v>
                </pt>
                <pt idx="87">
                  <v>45993.6666666666</v>
                </pt>
                <pt idx="88">
                  <v>45994.6666666666</v>
                </pt>
                <pt idx="89">
                  <v>45995.6666666666</v>
                </pt>
                <pt idx="90">
                  <v>45996.6666666666</v>
                </pt>
                <pt idx="91">
                  <v>45999.6666666666</v>
                </pt>
                <pt idx="92">
                  <v>46000.6666666666</v>
                </pt>
                <pt idx="93">
                  <v>46001.6666666666</v>
                </pt>
                <pt idx="94">
                  <v>46002.6666666666</v>
                </pt>
                <pt idx="95">
                  <v>46003.6666666666</v>
                </pt>
                <pt idx="96">
                  <v>46006.6666666666</v>
                </pt>
                <pt idx="97">
                  <v>46007.6666666666</v>
                </pt>
                <pt idx="98">
                  <v>46008.6666666666</v>
                </pt>
                <pt idx="99">
                  <v>46009.6666666666</v>
                </pt>
                <pt idx="100">
                  <v>46010.6666666666</v>
                </pt>
                <pt idx="101">
                  <v>46013.6666666666</v>
                </pt>
                <pt idx="102">
                  <v>46014.6666666666</v>
                </pt>
                <pt idx="103">
                  <v>46015.5451388888</v>
                </pt>
                <pt idx="104">
                  <v>46017.6666666666</v>
                </pt>
                <pt idx="105">
                  <v>46020.6666666666</v>
                </pt>
                <pt idx="106">
                  <v>46021.6666666666</v>
                </pt>
                <pt idx="107">
                  <v>46022.6666666666</v>
                </pt>
                <pt idx="108">
                  <v>46024.6666666666</v>
                </pt>
                <pt idx="109">
                  <v>46027.6666666666</v>
                </pt>
                <pt idx="110">
                  <v>46028.6666666666</v>
                </pt>
                <pt idx="111">
                  <v>46029.6666666666</v>
                </pt>
                <pt idx="112">
                  <v>46030.6666666666</v>
                </pt>
                <pt idx="113">
                  <v>46031.6666666666</v>
                </pt>
                <pt idx="114">
                  <v>46034.6666666666</v>
                </pt>
                <pt idx="115">
                  <v>46035.6666666666</v>
                </pt>
                <pt idx="116">
                  <v>46036.6666666666</v>
                </pt>
                <pt idx="117">
                  <v>46037.6666666666</v>
                </pt>
                <pt idx="118">
                  <v>46038.6666666666</v>
                </pt>
                <pt idx="119">
                  <v>46042.6666666666</v>
                </pt>
                <pt idx="120">
                  <v>46043.6666666666</v>
                </pt>
                <pt idx="121">
                  <v>46044.6666666666</v>
                </pt>
                <pt idx="122">
                  <v>46045.6666666666</v>
                </pt>
                <pt idx="123">
                  <v>46048.6666666666</v>
                </pt>
                <pt idx="124">
                  <v>46049.6666666666</v>
                </pt>
                <pt idx="125">
                  <v>46050.6666666666</v>
                </pt>
                <pt idx="126">
                  <v>46051.6666666666</v>
                </pt>
                <pt idx="127">
                  <v>46052.6666666666</v>
                </pt>
                <pt idx="128">
                  <v>46055.6666666666</v>
                </pt>
                <pt idx="129">
                  <v>46056.6666666666</v>
                </pt>
                <pt idx="130">
                  <v>46057.6666666666</v>
                </pt>
                <pt idx="131">
                  <v>46058.6666666666</v>
                </pt>
                <pt idx="132">
                  <v>46059.6666666666</v>
                </pt>
                <pt idx="133">
                  <v>46062.6666666666</v>
                </pt>
                <pt idx="134">
                  <v>46063.6666666666</v>
                </pt>
                <pt idx="135">
                  <v>46064.6666666666</v>
                </pt>
                <pt idx="136">
                  <v>46065.6666666666</v>
                </pt>
                <pt idx="137">
                  <v>46066.6666666666</v>
                </pt>
                <pt idx="138">
                  <v>46070.6666666666</v>
                </pt>
                <pt idx="139">
                  <v>46071.6666666666</v>
                </pt>
                <pt idx="140">
                  <v>46072.6666666666</v>
                </pt>
                <pt idx="141">
                  <v>46073.6666666666</v>
                </pt>
                <pt idx="142">
                  <v>46076.6666666666</v>
                </pt>
                <pt idx="143">
                  <v>46077.6666666666</v>
                </pt>
                <pt idx="144">
                  <v>46078.6666666666</v>
                </pt>
                <pt idx="145">
                  <v>46079.6666666666</v>
                </pt>
                <pt idx="146">
                  <v>46080.6666666666</v>
                </pt>
                <pt idx="147">
                  <v>46083.6666666666</v>
                </pt>
                <pt idx="148">
                  <v>46084.6666666666</v>
                </pt>
                <pt idx="149">
                  <v>46085.6666666666</v>
                </pt>
                <pt idx="150">
                  <v>46086.6666666666</v>
                </pt>
                <pt idx="151">
                  <v>46087.6666666666</v>
                </pt>
                <pt idx="152">
                  <v>46090.6666666666</v>
                </pt>
                <pt idx="153">
                  <v>46091.6666666666</v>
                </pt>
                <pt idx="154">
                  <v>46092.6666666666</v>
                </pt>
                <pt idx="155">
                  <v>46093.6666666666</v>
                </pt>
                <pt idx="156">
                  <v>46094.6666666666</v>
                </pt>
                <pt idx="157">
                  <v>46097.6666666666</v>
                </pt>
                <pt idx="158">
                  <v>46098.6666666666</v>
                </pt>
                <pt idx="159">
                  <v>46099.6666666666</v>
                </pt>
                <pt idx="160">
                  <v>46100.6666666666</v>
                </pt>
                <pt idx="161">
                  <v>46101.6666666666</v>
                </pt>
                <pt idx="162">
                  <v>46104.6666666666</v>
                </pt>
                <pt idx="163">
                  <v>46105.6666666666</v>
                </pt>
                <pt idx="164">
                  <v>46106.6666666666</v>
                </pt>
                <pt idx="165">
                  <v>46107.6666666666</v>
                </pt>
                <pt idx="166">
                  <v>46108.6666666666</v>
                </pt>
                <pt idx="167">
                  <v>46111.6666666666</v>
                </pt>
                <pt idx="168">
                  <v>46112.6666666666</v>
                </pt>
                <pt idx="169">
                  <v>46113.6666666666</v>
                </pt>
                <pt idx="170">
                  <v>46114.6666666666</v>
                </pt>
                <pt idx="171">
                  <v>46118.6666666666</v>
                </pt>
                <pt idx="172">
                  <v>46119.6666666666</v>
                </pt>
                <pt idx="173">
                  <v>46120.6666666666</v>
                </pt>
                <pt idx="174">
                  <v>46121.6666666666</v>
                </pt>
                <pt idx="175">
                  <v>46122.6666666666</v>
                </pt>
                <pt idx="176">
                  <v>46125.6666666666</v>
                </pt>
                <pt idx="177">
                  <v>46126.6666666666</v>
                </pt>
                <pt idx="178">
                  <v>46127.6666666666</v>
                </pt>
                <pt idx="179">
                  <v>46128.6666666666</v>
                </pt>
                <pt idx="180">
                  <v>46129.6666666666</v>
                </pt>
                <pt idx="181">
                  <v>46132.6666666666</v>
                </pt>
                <pt idx="182">
                  <v>46133.6666666666</v>
                </pt>
                <pt idx="183">
                  <v>46134.6666666666</v>
                </pt>
                <pt idx="184">
                  <v>46135.6666666666</v>
                </pt>
                <pt idx="185">
                  <v>46136.6666666666</v>
                </pt>
                <pt idx="186">
                  <v>46139.6666666666</v>
                </pt>
                <pt idx="187">
                  <v>46140.6666666666</v>
                </pt>
                <pt idx="188">
                  <v>46141.6666666666</v>
                </pt>
                <pt idx="189">
                  <v>46142.6666666666</v>
                </pt>
                <pt idx="190">
                  <v>46143.6666666666</v>
                </pt>
                <pt idx="191">
                  <v>46146.6666666666</v>
                </pt>
                <pt idx="192">
                  <v>46147.6666666666</v>
                </pt>
                <pt idx="193">
                  <v>46148.6666666666</v>
                </pt>
                <pt idx="194">
                  <v>46149.6666666666</v>
                </pt>
                <pt idx="195">
                  <v>46150.6666666666</v>
                </pt>
                <pt idx="196">
                  <v>46153.6666666666</v>
                </pt>
                <pt idx="197">
                  <v>46154.6666666666</v>
                </pt>
                <pt idx="198">
                  <v>46155.6666666666</v>
                </pt>
                <pt idx="199">
                  <v>46156.6666666666</v>
                </pt>
                <pt idx="200">
                  <v>46157.6666666666</v>
                </pt>
                <pt idx="201">
                  <v>46160.6666666666</v>
                </pt>
                <pt idx="202">
                  <v>46161.6666666666</v>
                </pt>
                <pt idx="203">
                  <v>46162.6666666666</v>
                </pt>
                <pt idx="204">
                  <v>46163.6666666666</v>
                </pt>
                <pt idx="205">
                  <v>46164.6666666666</v>
                </pt>
                <pt idx="206">
                  <v>46168.6666666666</v>
                </pt>
                <pt idx="207">
                  <v>46169.6666666666</v>
                </pt>
                <pt idx="208">
                  <v>46170.6666666666</v>
                </pt>
                <pt idx="209">
                  <v>46171.6666666666</v>
                </pt>
                <pt idx="210">
                  <v>46174.6666666666</v>
                </pt>
                <pt idx="211">
                  <v>46175.6666666666</v>
                </pt>
                <pt idx="212">
                  <v>46176.6666666666</v>
                </pt>
                <pt idx="213">
                  <v>46177.6666666666</v>
                </pt>
                <pt idx="214">
                  <v>46178.6666666666</v>
                </pt>
                <pt idx="215">
                  <v>46181.6666666666</v>
                </pt>
                <pt idx="216">
                  <v>46182.6666666666</v>
                </pt>
                <pt idx="217">
                  <v>46183.6666666666</v>
                </pt>
                <pt idx="218">
                  <v>46184.6666666666</v>
                </pt>
                <pt idx="219">
                  <v>46185.6666666666</v>
                </pt>
                <pt idx="220">
                  <v>46188.6666666666</v>
                </pt>
                <pt idx="221">
                  <v>46189.6666666666</v>
                </pt>
                <pt idx="222">
                  <v>46190.6666666666</v>
                </pt>
                <pt idx="223">
                  <v>46191.6666666666</v>
                </pt>
                <pt idx="224">
                  <v>46195.6666666666</v>
                </pt>
                <pt idx="225">
                  <v>46196.6666666666</v>
                </pt>
                <pt idx="226">
                  <v>46197.6666666666</v>
                </pt>
                <pt idx="227">
                  <v>46198.6666666666</v>
                </pt>
                <pt idx="228">
                  <v>46199.6666666666</v>
                </pt>
                <pt idx="229">
                  <v>46202.6666666666</v>
                </pt>
                <pt idx="230">
                  <v>46203.6666666666</v>
                </pt>
                <pt idx="231">
                  <v>46204.6666666666</v>
                </pt>
                <pt idx="232">
                  <v>46205.6666666666</v>
                </pt>
                <pt idx="233">
                  <v>46209.6666666666</v>
                </pt>
                <pt idx="234">
                  <v>46210.6666666666</v>
                </pt>
                <pt idx="235">
                  <v>46211.6666666666</v>
                </pt>
                <pt idx="236">
                  <v>46212.6666666666</v>
                </pt>
                <pt idx="237">
                  <v>46213.6666666666</v>
                </pt>
                <pt idx="238">
                  <v>46216.6666666666</v>
                </pt>
                <pt idx="239">
                  <v>46217.6666666666</v>
                </pt>
                <pt idx="240">
                  <v>46218.6666666666</v>
                </pt>
                <pt idx="241">
                  <v>46219.6666666666</v>
                </pt>
                <pt idx="242">
                  <v>46220.6666666666</v>
                </pt>
                <pt idx="243">
                  <v>46223.6666666666</v>
                </pt>
                <pt idx="244">
                  <v>46224.6666666666</v>
                </pt>
                <pt idx="245">
                  <v>46225.6666666666</v>
                </pt>
                <pt idx="246">
                  <v>46226.6666666666</v>
                </pt>
                <pt idx="247">
                  <v>46227.6666666666</v>
                </pt>
                <pt idx="248">
                  <v>46230.6666666666</v>
                </pt>
                <pt idx="249">
                  <v>46231.6666666666</v>
                </pt>
                <pt idx="250">
                  <v>46232.6666666666</v>
                </pt>
              </numCache>
            </numRef>
          </cat>
          <val>
            <numRef>
              <f>IEF!$F$28:$F$1000</f>
              <numCache>
                <formatCode>#,##0.00</formatCode>
                <ptCount val="973"/>
                <pt idx="0">
                  <v>94.81999999999999</v>
                </pt>
                <pt idx="1">
                  <v>94.90000000000001</v>
                </pt>
                <pt idx="2">
                  <v>95.68000000000001</v>
                </pt>
                <pt idx="3">
                  <v>95.81</v>
                </pt>
                <pt idx="4">
                  <v>95.73999999999999</v>
                </pt>
                <pt idx="5">
                  <v>95.67</v>
                </pt>
                <pt idx="6">
                  <v>95.59999999999999</v>
                </pt>
                <pt idx="7">
                  <v>95.38</v>
                </pt>
                <pt idx="8">
                  <v>95.41</v>
                </pt>
                <pt idx="9">
                  <v>95.39</v>
                </pt>
                <pt idx="10">
                  <v>95.73</v>
                </pt>
                <pt idx="11">
                  <v>95.42</v>
                </pt>
                <pt idx="12">
                  <v>95.23</v>
                </pt>
                <pt idx="13">
                  <v>95.14</v>
                </pt>
                <pt idx="14">
                  <v>95.38</v>
                </pt>
                <pt idx="15">
                  <v>95.52</v>
                </pt>
                <pt idx="16">
                  <v>95.23999999999999</v>
                </pt>
                <pt idx="17">
                  <v>95.77</v>
                </pt>
                <pt idx="18">
                  <v>95.58</v>
                </pt>
                <pt idx="19">
                  <v>95.83</v>
                </pt>
                <pt idx="20">
                  <v>96.01000000000001</v>
                </pt>
                <pt idx="21">
                  <v>96.23</v>
                </pt>
                <pt idx="22">
                  <v>96.15000000000001</v>
                </pt>
                <pt idx="23">
                  <v>95.55</v>
                </pt>
                <pt idx="24">
                  <v>95.88</v>
                </pt>
                <pt idx="25">
                  <v>96.31</v>
                </pt>
                <pt idx="26">
                  <v>96.78</v>
                </pt>
                <pt idx="27">
                  <v>97.08</v>
                </pt>
                <pt idx="28">
                  <v>96.84999999999999</v>
                </pt>
                <pt idx="29">
                  <v>97.11</v>
                </pt>
                <pt idx="30">
                  <v>97.26000000000001</v>
                </pt>
                <pt idx="31">
                  <v>96.98</v>
                </pt>
                <pt idx="32">
                  <v>97.14</v>
                </pt>
                <pt idx="33">
                  <v>97.2</v>
                </pt>
                <pt idx="34">
                  <v>96.98999999999999</v>
                </pt>
                <pt idx="35">
                  <v>96.67</v>
                </pt>
                <pt idx="36">
                  <v>96.63</v>
                </pt>
                <pt idx="37">
                  <v>96.47</v>
                </pt>
                <pt idx="38">
                  <v>96.73999999999999</v>
                </pt>
                <pt idx="39">
                  <v>96.48</v>
                </pt>
                <pt idx="40">
                  <v>96.27</v>
                </pt>
                <pt idx="41">
                  <v>96.22</v>
                </pt>
                <pt idx="42">
                  <v>96.5</v>
                </pt>
                <pt idx="43">
                  <v>96.45999999999999</v>
                </pt>
                <pt idx="44">
                  <v>96.48999999999999</v>
                </pt>
                <pt idx="45">
                  <v>96.59</v>
                </pt>
                <pt idx="46">
                  <v>96.40000000000001</v>
                </pt>
                <pt idx="47">
                  <v>96.12</v>
                </pt>
                <pt idx="48">
                  <v>96.36</v>
                </pt>
                <pt idx="49">
                  <v>96.38</v>
                </pt>
                <pt idx="50">
                  <v>96.31</v>
                </pt>
                <pt idx="51">
                  <v>96.91</v>
                </pt>
                <pt idx="52">
                  <v>96.95999999999999</v>
                </pt>
                <pt idx="53">
                  <v>97.20999999999999</v>
                </pt>
                <pt idx="54">
                  <v>97.09999999999999</v>
                </pt>
                <pt idx="55">
                  <v>97.55</v>
                </pt>
                <pt idx="56">
                  <v>97.39</v>
                </pt>
                <pt idx="57">
                  <v>97.52</v>
                </pt>
                <pt idx="58">
                  <v>97.7</v>
                </pt>
                <pt idx="59">
                  <v>97.72</v>
                </pt>
                <pt idx="60">
                  <v>97.40000000000001</v>
                </pt>
                <pt idx="61">
                  <v>97.48999999999999</v>
                </pt>
                <pt idx="62">
                  <v>97.48999999999999</v>
                </pt>
                <pt idx="63">
                  <v>97.58</v>
                </pt>
                <pt idx="64">
                  <v>96.95</v>
                </pt>
                <pt idx="65">
                  <v>96.81</v>
                </pt>
                <pt idx="66">
                  <v>96.84999999999999</v>
                </pt>
                <pt idx="67">
                  <v>96.5</v>
                </pt>
                <pt idx="68">
                  <v>96.62</v>
                </pt>
                <pt idx="69">
                  <v>96.16</v>
                </pt>
                <pt idx="70">
                  <v>96.65000000000001</v>
                </pt>
                <pt idx="71">
                  <v>96.69</v>
                </pt>
                <pt idx="72">
                  <v>96.56</v>
                </pt>
                <pt idx="73">
                  <v>96.86</v>
                </pt>
                <pt idx="74">
                  <v>96.88</v>
                </pt>
                <pt idx="75">
                  <v>96.59999999999999</v>
                </pt>
                <pt idx="76">
                  <v>96.44</v>
                </pt>
                <pt idx="77">
                  <v>96.55</v>
                </pt>
                <pt idx="78">
                  <v>96.70999999999999</v>
                </pt>
                <pt idx="79">
                  <v>96.64</v>
                </pt>
                <pt idx="80">
                  <v>96.87</v>
                </pt>
                <pt idx="81">
                  <v>97.19</v>
                </pt>
                <pt idx="82">
                  <v>97.34</v>
                </pt>
                <pt idx="83">
                  <v>97.59</v>
                </pt>
                <pt idx="84">
                  <v>97.67</v>
                </pt>
                <pt idx="85">
                  <v>97.5</v>
                </pt>
                <pt idx="86">
                  <v>96.69</v>
                </pt>
                <pt idx="87">
                  <v>96.77</v>
                </pt>
                <pt idx="88">
                  <v>96.97</v>
                </pt>
                <pt idx="89">
                  <v>96.67</v>
                </pt>
                <pt idx="90">
                  <v>96.47</v>
                </pt>
                <pt idx="91">
                  <v>96.27</v>
                </pt>
                <pt idx="92">
                  <v>96.13</v>
                </pt>
                <pt idx="93">
                  <v>96.44</v>
                </pt>
                <pt idx="94">
                  <v>96.45</v>
                </pt>
                <pt idx="95">
                  <v>96.19</v>
                </pt>
                <pt idx="96">
                  <v>96.27</v>
                </pt>
                <pt idx="97">
                  <v>96.54000000000001</v>
                </pt>
                <pt idx="98">
                  <v>96.52</v>
                </pt>
                <pt idx="99">
                  <v>96.77</v>
                </pt>
                <pt idx="100">
                  <v>96.23999999999999</v>
                </pt>
                <pt idx="101">
                  <v>96.14</v>
                </pt>
                <pt idx="102">
                  <v>96.09999999999999</v>
                </pt>
                <pt idx="103">
                  <v>96.34999999999999</v>
                </pt>
                <pt idx="104">
                  <v>96.44</v>
                </pt>
                <pt idx="105">
                  <v>96.58</v>
                </pt>
                <pt idx="106">
                  <v>96.48</v>
                </pt>
                <pt idx="107">
                  <v>96.16</v>
                </pt>
                <pt idx="108">
                  <v>96.08</v>
                </pt>
                <pt idx="109">
                  <v>96.37</v>
                </pt>
                <pt idx="110">
                  <v>96.3</v>
                </pt>
                <pt idx="111">
                  <v>96.48</v>
                </pt>
                <pt idx="112">
                  <v>96.19</v>
                </pt>
                <pt idx="113">
                  <v>96.3</v>
                </pt>
                <pt idx="114">
                  <v>96.18000000000001</v>
                </pt>
                <pt idx="115">
                  <v>96.3</v>
                </pt>
                <pt idx="116">
                  <v>96.5</v>
                </pt>
                <pt idx="117">
                  <v>96.3</v>
                </pt>
                <pt idx="118">
                  <v>95.93000000000001</v>
                </pt>
                <pt idx="119">
                  <v>95.55</v>
                </pt>
                <pt idx="120">
                  <v>95.8</v>
                </pt>
                <pt idx="121">
                  <v>95.79000000000001</v>
                </pt>
                <pt idx="122">
                  <v>95.95</v>
                </pt>
                <pt idx="123">
                  <v>96.09</v>
                </pt>
                <pt idx="124">
                  <v>95.98</v>
                </pt>
                <pt idx="125">
                  <v>95.90000000000001</v>
                </pt>
                <pt idx="126">
                  <v>96</v>
                </pt>
                <pt idx="127">
                  <v>95.94</v>
                </pt>
                <pt idx="128">
                  <v>95.44</v>
                </pt>
                <pt idx="129">
                  <v>95.53</v>
                </pt>
                <pt idx="130">
                  <v>95.51000000000001</v>
                </pt>
                <pt idx="131">
                  <v>96.06999999999999</v>
                </pt>
                <pt idx="132">
                  <v>96.06999999999999</v>
                </pt>
                <pt idx="133">
                  <v>96.09</v>
                </pt>
                <pt idx="134">
                  <v>96.51000000000001</v>
                </pt>
                <pt idx="135">
                  <v>96.23999999999999</v>
                </pt>
                <pt idx="136">
                  <v>96.83</v>
                </pt>
                <pt idx="137">
                  <v>97.20999999999999</v>
                </pt>
                <pt idx="138">
                  <v>97.2</v>
                </pt>
                <pt idx="139">
                  <v>97</v>
                </pt>
                <pt idx="140">
                  <v>97.09</v>
                </pt>
                <pt idx="141">
                  <v>97.09</v>
                </pt>
                <pt idx="142">
                  <v>97.44</v>
                </pt>
                <pt idx="143">
                  <v>97.42</v>
                </pt>
                <pt idx="144">
                  <v>97.34</v>
                </pt>
                <pt idx="145">
                  <v>97.59999999999999</v>
                </pt>
                <pt idx="146">
                  <v>97.98999999999999</v>
                </pt>
                <pt idx="147">
                  <v>97.12</v>
                </pt>
                <pt idx="148">
                  <v>97.01000000000001</v>
                </pt>
                <pt idx="149">
                  <v>96.81</v>
                </pt>
                <pt idx="150">
                  <v>96.51000000000001</v>
                </pt>
                <pt idx="151">
                  <v>96.45</v>
                </pt>
                <pt idx="152">
                  <v>96.75</v>
                </pt>
                <pt idx="153">
                  <v>96.44</v>
                </pt>
                <pt idx="154">
                  <v>96</v>
                </pt>
                <pt idx="155">
                  <v>95.69</v>
                </pt>
                <pt idx="156">
                  <v>95.59</v>
                </pt>
                <pt idx="157">
                  <v>96.02</v>
                </pt>
                <pt idx="158">
                  <v>96.19</v>
                </pt>
                <pt idx="159">
                  <v>95.75</v>
                </pt>
                <pt idx="160">
                  <v>95.73999999999999</v>
                </pt>
                <pt idx="161">
                  <v>94.88</v>
                </pt>
                <pt idx="162">
                  <v>95.18000000000001</v>
                </pt>
                <pt idx="163">
                  <v>94.86</v>
                </pt>
                <pt idx="164">
                  <v>95.36</v>
                </pt>
                <pt idx="165">
                  <v>94.59</v>
                </pt>
                <pt idx="166">
                  <v>94.59999999999999</v>
                </pt>
                <pt idx="167">
                  <v>95.27</v>
                </pt>
                <pt idx="168">
                  <v>95.44</v>
                </pt>
                <pt idx="169">
                  <v>95.04000000000001</v>
                </pt>
                <pt idx="170">
                  <v>95.26000000000001</v>
                </pt>
                <pt idx="171">
                  <v>95.01000000000001</v>
                </pt>
                <pt idx="172">
                  <v>95.25</v>
                </pt>
                <pt idx="173">
                  <v>95.45999999999999</v>
                </pt>
                <pt idx="174">
                  <v>95.43000000000001</v>
                </pt>
                <pt idx="175">
                  <v>95.27</v>
                </pt>
                <pt idx="176">
                  <v>95.48</v>
                </pt>
                <pt idx="177">
                  <v>95.79000000000001</v>
                </pt>
                <pt idx="178">
                  <v>95.58</v>
                </pt>
                <pt idx="179">
                  <v>95.41</v>
                </pt>
                <pt idx="180">
                  <v>95.93000000000001</v>
                </pt>
                <pt idx="181">
                  <v>95.84</v>
                </pt>
                <pt idx="182">
                  <v>95.42</v>
                </pt>
                <pt idx="183">
                  <v>95.52</v>
                </pt>
                <pt idx="184">
                  <v>95.37</v>
                </pt>
                <pt idx="185">
                  <v>95.56</v>
                </pt>
                <pt idx="186">
                  <v>95.34</v>
                </pt>
                <pt idx="187">
                  <v>95.25</v>
                </pt>
                <pt idx="188">
                  <v>94.8</v>
                </pt>
                <pt idx="189">
                  <v>94.98</v>
                </pt>
                <pt idx="190">
                  <v>94.73999999999999</v>
                </pt>
                <pt idx="191">
                  <v>94.39</v>
                </pt>
                <pt idx="192">
                  <v>94.53</v>
                </pt>
                <pt idx="193">
                  <v>95</v>
                </pt>
                <pt idx="194">
                  <v>94.70999999999999</v>
                </pt>
                <pt idx="195">
                  <v>94.95999999999999</v>
                </pt>
                <pt idx="196">
                  <v>94.64</v>
                </pt>
                <pt idx="197">
                  <v>94.31999999999999</v>
                </pt>
                <pt idx="198">
                  <v>94.31999999999999</v>
                </pt>
                <pt idx="199">
                  <v>94.26000000000001</v>
                </pt>
                <pt idx="200">
                  <v>93.51000000000001</v>
                </pt>
                <pt idx="201">
                  <v>93.47</v>
                </pt>
                <pt idx="202">
                  <v>93.11</v>
                </pt>
                <pt idx="203">
                  <v>93.73999999999999</v>
                </pt>
                <pt idx="204">
                  <v>93.8</v>
                </pt>
                <pt idx="205">
                  <v>93.88</v>
                </pt>
                <pt idx="206">
                  <v>94.28</v>
                </pt>
                <pt idx="207">
                  <v>94.31999999999999</v>
                </pt>
                <pt idx="208">
                  <v>94.54000000000001</v>
                </pt>
                <pt idx="209">
                  <v>94.65000000000001</v>
                </pt>
                <pt idx="210">
                  <v>94.17</v>
                </pt>
                <pt idx="211">
                  <v>94.23999999999999</v>
                </pt>
                <pt idx="212">
                  <v>94</v>
                </pt>
                <pt idx="213">
                  <v>94.12</v>
                </pt>
                <pt idx="214">
                  <v>93.62</v>
                </pt>
                <pt idx="215">
                  <v>93.52</v>
                </pt>
                <pt idx="216">
                  <v>93.78</v>
                </pt>
                <pt idx="217">
                  <v>93.69</v>
                </pt>
                <pt idx="218">
                  <v>94.34</v>
                </pt>
                <pt idx="219">
                  <v>94.18000000000001</v>
                </pt>
                <pt idx="220">
                  <v>94.28</v>
                </pt>
                <pt idx="221">
                  <v>94.52</v>
                </pt>
                <pt idx="222">
                  <v>94.02</v>
                </pt>
                <pt idx="223">
                  <v>94.36</v>
                </pt>
                <pt idx="224">
                  <v>94</v>
                </pt>
                <pt idx="225">
                  <v>94.12</v>
                </pt>
                <pt idx="226">
                  <v>94.73</v>
                </pt>
                <pt idx="227">
                  <v>94.79000000000001</v>
                </pt>
                <pt idx="228">
                  <v>95.03</v>
                </pt>
                <pt idx="229">
                  <v>95.06</v>
                </pt>
                <pt idx="230">
                  <v>94.56999999999999</v>
                </pt>
                <pt idx="231">
                  <v>94.03</v>
                </pt>
                <pt idx="232">
                  <v>94.12</v>
                </pt>
                <pt idx="233">
                  <v>94.18000000000001</v>
                </pt>
                <pt idx="234">
                  <v>93.7</v>
                </pt>
                <pt idx="235">
                  <v>93.51000000000001</v>
                </pt>
                <pt idx="236">
                  <v>93.70999999999999</v>
                </pt>
                <pt idx="237">
                  <v>93.63</v>
                </pt>
                <pt idx="238">
                  <v>93.29000000000001</v>
                </pt>
                <pt idx="239">
                  <v>93.55</v>
                </pt>
                <pt idx="240">
                  <v>93.78</v>
                </pt>
                <pt idx="241">
                  <v>93.72</v>
                </pt>
                <pt idx="242">
                  <v>93.84</v>
                </pt>
                <pt idx="243">
                  <v>93.54000000000001</v>
                </pt>
                <pt idx="244">
                  <v>93.31</v>
                </pt>
                <pt idx="245">
                  <v>93.09999999999999</v>
                </pt>
                <pt idx="246">
                  <v>92.84999999999999</v>
                </pt>
                <pt idx="247">
                  <v>93.03</v>
                </pt>
                <pt idx="248">
                  <v>93.28</v>
                </pt>
                <pt idx="249">
                  <v>93.56</v>
                </pt>
                <pt idx="250">
                  <v>93.17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ko-KR"/>
        </a:p>
      </txPr>
    </legend>
    <plotVisOnly val="1"/>
    <dispBlanksAs val="zero"/>
  </chart>
</chartSpace>
</file>

<file path=xl/charts/chart22.xml><?xml version="1.0" encoding="utf-8"?>
<chartSpace xmlns:a="http://schemas.openxmlformats.org/drawingml/2006/main" xmlns="http://schemas.openxmlformats.org/drawingml/2006/chart">
  <chart>
    <plotArea>
      <layout/>
      <areaChart>
        <grouping val="standard"/>
        <varyColors val="1"/>
        <ser>
          <idx val="0"/>
          <order val="0"/>
          <tx>
            <strRef>
              <f>SHY!$F$27</f>
              <strCache>
                <ptCount val="1"/>
                <pt idx="0">
                  <v>Close</v>
                </pt>
              </strCache>
            </strRef>
          </tx>
          <spPr>
            <a:solidFill>
              <a:srgbClr val="4285F4"/>
            </a:solidFill>
            <a:ln cmpd="sng">
              <a:solidFill>
                <a:srgbClr val="4285F4"/>
              </a:solidFill>
              <a:prstDash val="solid"/>
            </a:ln>
          </spPr>
          <cat>
            <numRef>
              <f>SHY!$B$28:$B$1000</f>
              <numCache>
                <formatCode>mmm" "d", "yyyy</formatCode>
                <ptCount val="973"/>
                <pt idx="0">
                  <v>45868.6666666666</v>
                </pt>
                <pt idx="1">
                  <v>45869.6666666666</v>
                </pt>
                <pt idx="2">
                  <v>45870.6666666666</v>
                </pt>
                <pt idx="3">
                  <v>45873.6666666666</v>
                </pt>
                <pt idx="4">
                  <v>45874.6666666666</v>
                </pt>
                <pt idx="5">
                  <v>45875.6666666666</v>
                </pt>
                <pt idx="6">
                  <v>45876.6666666666</v>
                </pt>
                <pt idx="7">
                  <v>45877.6666666666</v>
                </pt>
                <pt idx="8">
                  <v>45880.6666666666</v>
                </pt>
                <pt idx="9">
                  <v>45881.6666666666</v>
                </pt>
                <pt idx="10">
                  <v>45882.6666666666</v>
                </pt>
                <pt idx="11">
                  <v>45883.6666666666</v>
                </pt>
                <pt idx="12">
                  <v>45884.6666666666</v>
                </pt>
                <pt idx="13">
                  <v>45887.6666666666</v>
                </pt>
                <pt idx="14">
                  <v>45888.6666666666</v>
                </pt>
                <pt idx="15">
                  <v>45889.6666666666</v>
                </pt>
                <pt idx="16">
                  <v>45890.6666666666</v>
                </pt>
                <pt idx="17">
                  <v>45891.6666666666</v>
                </pt>
                <pt idx="18">
                  <v>45894.6666666666</v>
                </pt>
                <pt idx="19">
                  <v>45895.6666666666</v>
                </pt>
                <pt idx="20">
                  <v>45896.6666666666</v>
                </pt>
                <pt idx="21">
                  <v>45897.6666666666</v>
                </pt>
                <pt idx="22">
                  <v>45898.6666666666</v>
                </pt>
                <pt idx="23">
                  <v>45902.6666666666</v>
                </pt>
                <pt idx="24">
                  <v>45903.6666666666</v>
                </pt>
                <pt idx="25">
                  <v>45904.6666666666</v>
                </pt>
                <pt idx="26">
                  <v>45905.6666666666</v>
                </pt>
                <pt idx="27">
                  <v>45908.6666666666</v>
                </pt>
                <pt idx="28">
                  <v>45909.6666666666</v>
                </pt>
                <pt idx="29">
                  <v>45910.6666666666</v>
                </pt>
                <pt idx="30">
                  <v>45911.6666666666</v>
                </pt>
                <pt idx="31">
                  <v>45912.6666666666</v>
                </pt>
                <pt idx="32">
                  <v>45915.6666666666</v>
                </pt>
                <pt idx="33">
                  <v>45916.6666666666</v>
                </pt>
                <pt idx="34">
                  <v>45917.6666666666</v>
                </pt>
                <pt idx="35">
                  <v>45918.6666666666</v>
                </pt>
                <pt idx="36">
                  <v>45919.6666666666</v>
                </pt>
                <pt idx="37">
                  <v>45922.6666666666</v>
                </pt>
                <pt idx="38">
                  <v>45923.6666666666</v>
                </pt>
                <pt idx="39">
                  <v>45924.6666666666</v>
                </pt>
                <pt idx="40">
                  <v>45925.6666666666</v>
                </pt>
                <pt idx="41">
                  <v>45926.6666666666</v>
                </pt>
                <pt idx="42">
                  <v>45929.6666666666</v>
                </pt>
                <pt idx="43">
                  <v>45930.6666666666</v>
                </pt>
                <pt idx="44">
                  <v>45931.6666666666</v>
                </pt>
                <pt idx="45">
                  <v>45932.6666666666</v>
                </pt>
                <pt idx="46">
                  <v>45933.6666666666</v>
                </pt>
                <pt idx="47">
                  <v>45936.6666666666</v>
                </pt>
                <pt idx="48">
                  <v>45937.6666666666</v>
                </pt>
                <pt idx="49">
                  <v>45938.6666666666</v>
                </pt>
                <pt idx="50">
                  <v>45939.6666666666</v>
                </pt>
                <pt idx="51">
                  <v>45940.6666666666</v>
                </pt>
                <pt idx="52">
                  <v>45943.6666666666</v>
                </pt>
                <pt idx="53">
                  <v>45944.6666666666</v>
                </pt>
                <pt idx="54">
                  <v>45945.6666666666</v>
                </pt>
                <pt idx="55">
                  <v>45946.6666666666</v>
                </pt>
                <pt idx="56">
                  <v>45947.6666666666</v>
                </pt>
                <pt idx="57">
                  <v>45950.6666666666</v>
                </pt>
                <pt idx="58">
                  <v>45951.6666666666</v>
                </pt>
                <pt idx="59">
                  <v>45952.6666666666</v>
                </pt>
                <pt idx="60">
                  <v>45953.6666666666</v>
                </pt>
                <pt idx="61">
                  <v>45954.6666666666</v>
                </pt>
                <pt idx="62">
                  <v>45957.6666666666</v>
                </pt>
                <pt idx="63">
                  <v>45958.6666666666</v>
                </pt>
                <pt idx="64">
                  <v>45959.6666666666</v>
                </pt>
                <pt idx="65">
                  <v>45960.6666666666</v>
                </pt>
                <pt idx="66">
                  <v>45961.6666666666</v>
                </pt>
                <pt idx="67">
                  <v>45964.6666666666</v>
                </pt>
                <pt idx="68">
                  <v>45965.6666666666</v>
                </pt>
                <pt idx="69">
                  <v>45966.6666666666</v>
                </pt>
                <pt idx="70">
                  <v>45967.6666666666</v>
                </pt>
                <pt idx="71">
                  <v>45968.6666666666</v>
                </pt>
                <pt idx="72">
                  <v>45971.6666666666</v>
                </pt>
                <pt idx="73">
                  <v>45972.6666666666</v>
                </pt>
                <pt idx="74">
                  <v>45973.6666666666</v>
                </pt>
                <pt idx="75">
                  <v>45974.6666666666</v>
                </pt>
                <pt idx="76">
                  <v>45975.6666666666</v>
                </pt>
                <pt idx="77">
                  <v>45978.6666666666</v>
                </pt>
                <pt idx="78">
                  <v>45979.6666666666</v>
                </pt>
                <pt idx="79">
                  <v>45980.6666666666</v>
                </pt>
                <pt idx="80">
                  <v>45981.6666666666</v>
                </pt>
                <pt idx="81">
                  <v>45982.6666666666</v>
                </pt>
                <pt idx="82">
                  <v>45985.6666666666</v>
                </pt>
                <pt idx="83">
                  <v>45986.6666666666</v>
                </pt>
                <pt idx="84">
                  <v>45987.6666666666</v>
                </pt>
                <pt idx="85">
                  <v>45989.5451388888</v>
                </pt>
                <pt idx="86">
                  <v>45992.6666666666</v>
                </pt>
                <pt idx="87">
                  <v>45993.6666666666</v>
                </pt>
                <pt idx="88">
                  <v>45994.6666666666</v>
                </pt>
                <pt idx="89">
                  <v>45995.6666666666</v>
                </pt>
                <pt idx="90">
                  <v>45996.6666666666</v>
                </pt>
                <pt idx="91">
                  <v>45999.6666666666</v>
                </pt>
                <pt idx="92">
                  <v>46000.6666666666</v>
                </pt>
                <pt idx="93">
                  <v>46001.6666666666</v>
                </pt>
                <pt idx="94">
                  <v>46002.6666666666</v>
                </pt>
                <pt idx="95">
                  <v>46003.6666666666</v>
                </pt>
                <pt idx="96">
                  <v>46006.6666666666</v>
                </pt>
                <pt idx="97">
                  <v>46007.6666666666</v>
                </pt>
                <pt idx="98">
                  <v>46008.6666666666</v>
                </pt>
                <pt idx="99">
                  <v>46009.6666666666</v>
                </pt>
                <pt idx="100">
                  <v>46010.6666666666</v>
                </pt>
                <pt idx="101">
                  <v>46013.6666666666</v>
                </pt>
                <pt idx="102">
                  <v>46014.6666666666</v>
                </pt>
                <pt idx="103">
                  <v>46015.5451388888</v>
                </pt>
                <pt idx="104">
                  <v>46017.6666666666</v>
                </pt>
                <pt idx="105">
                  <v>46020.6666666666</v>
                </pt>
                <pt idx="106">
                  <v>46021.6666666666</v>
                </pt>
                <pt idx="107">
                  <v>46022.6666666666</v>
                </pt>
                <pt idx="108">
                  <v>46024.6666666666</v>
                </pt>
                <pt idx="109">
                  <v>46027.6666666666</v>
                </pt>
                <pt idx="110">
                  <v>46028.6666666666</v>
                </pt>
                <pt idx="111">
                  <v>46029.6666666666</v>
                </pt>
                <pt idx="112">
                  <v>46030.6666666666</v>
                </pt>
                <pt idx="113">
                  <v>46031.6666666666</v>
                </pt>
                <pt idx="114">
                  <v>46034.6666666666</v>
                </pt>
                <pt idx="115">
                  <v>46035.6666666666</v>
                </pt>
                <pt idx="116">
                  <v>46036.6666666666</v>
                </pt>
                <pt idx="117">
                  <v>46037.6666666666</v>
                </pt>
                <pt idx="118">
                  <v>46038.6666666666</v>
                </pt>
                <pt idx="119">
                  <v>46042.6666666666</v>
                </pt>
                <pt idx="120">
                  <v>46043.6666666666</v>
                </pt>
                <pt idx="121">
                  <v>46044.6666666666</v>
                </pt>
                <pt idx="122">
                  <v>46045.6666666666</v>
                </pt>
                <pt idx="123">
                  <v>46048.6666666666</v>
                </pt>
                <pt idx="124">
                  <v>46049.6666666666</v>
                </pt>
                <pt idx="125">
                  <v>46050.6666666666</v>
                </pt>
                <pt idx="126">
                  <v>46051.6666666666</v>
                </pt>
                <pt idx="127">
                  <v>46052.6666666666</v>
                </pt>
                <pt idx="128">
                  <v>46055.6666666666</v>
                </pt>
                <pt idx="129">
                  <v>46056.6666666666</v>
                </pt>
                <pt idx="130">
                  <v>46057.6666666666</v>
                </pt>
                <pt idx="131">
                  <v>46058.6666666666</v>
                </pt>
                <pt idx="132">
                  <v>46059.6666666666</v>
                </pt>
                <pt idx="133">
                  <v>46062.6666666666</v>
                </pt>
                <pt idx="134">
                  <v>46063.6666666666</v>
                </pt>
                <pt idx="135">
                  <v>46064.6666666666</v>
                </pt>
                <pt idx="136">
                  <v>46065.6666666666</v>
                </pt>
                <pt idx="137">
                  <v>46066.6666666666</v>
                </pt>
                <pt idx="138">
                  <v>46070.6666666666</v>
                </pt>
                <pt idx="139">
                  <v>46071.6666666666</v>
                </pt>
                <pt idx="140">
                  <v>46072.6666666666</v>
                </pt>
                <pt idx="141">
                  <v>46073.6666666666</v>
                </pt>
                <pt idx="142">
                  <v>46076.6666666666</v>
                </pt>
                <pt idx="143">
                  <v>46077.6666666666</v>
                </pt>
                <pt idx="144">
                  <v>46078.6666666666</v>
                </pt>
                <pt idx="145">
                  <v>46079.6666666666</v>
                </pt>
                <pt idx="146">
                  <v>46080.6666666666</v>
                </pt>
                <pt idx="147">
                  <v>46083.6666666666</v>
                </pt>
                <pt idx="148">
                  <v>46084.6666666666</v>
                </pt>
                <pt idx="149">
                  <v>46085.6666666666</v>
                </pt>
                <pt idx="150">
                  <v>46086.6666666666</v>
                </pt>
                <pt idx="151">
                  <v>46087.6666666666</v>
                </pt>
                <pt idx="152">
                  <v>46090.6666666666</v>
                </pt>
                <pt idx="153">
                  <v>46091.6666666666</v>
                </pt>
                <pt idx="154">
                  <v>46092.6666666666</v>
                </pt>
                <pt idx="155">
                  <v>46093.6666666666</v>
                </pt>
                <pt idx="156">
                  <v>46094.6666666666</v>
                </pt>
                <pt idx="157">
                  <v>46097.6666666666</v>
                </pt>
                <pt idx="158">
                  <v>46098.6666666666</v>
                </pt>
                <pt idx="159">
                  <v>46099.6666666666</v>
                </pt>
                <pt idx="160">
                  <v>46100.6666666666</v>
                </pt>
                <pt idx="161">
                  <v>46101.6666666666</v>
                </pt>
                <pt idx="162">
                  <v>46104.6666666666</v>
                </pt>
                <pt idx="163">
                  <v>46105.6666666666</v>
                </pt>
                <pt idx="164">
                  <v>46106.6666666666</v>
                </pt>
                <pt idx="165">
                  <v>46107.6666666666</v>
                </pt>
                <pt idx="166">
                  <v>46108.6666666666</v>
                </pt>
                <pt idx="167">
                  <v>46111.6666666666</v>
                </pt>
                <pt idx="168">
                  <v>46112.6666666666</v>
                </pt>
                <pt idx="169">
                  <v>46113.6666666666</v>
                </pt>
                <pt idx="170">
                  <v>46114.6666666666</v>
                </pt>
                <pt idx="171">
                  <v>46118.6666666666</v>
                </pt>
                <pt idx="172">
                  <v>46119.6666666666</v>
                </pt>
                <pt idx="173">
                  <v>46120.6666666666</v>
                </pt>
                <pt idx="174">
                  <v>46121.6666666666</v>
                </pt>
                <pt idx="175">
                  <v>46122.6666666666</v>
                </pt>
                <pt idx="176">
                  <v>46125.6666666666</v>
                </pt>
                <pt idx="177">
                  <v>46126.6666666666</v>
                </pt>
                <pt idx="178">
                  <v>46127.6666666666</v>
                </pt>
                <pt idx="179">
                  <v>46128.6666666666</v>
                </pt>
                <pt idx="180">
                  <v>46129.6666666666</v>
                </pt>
                <pt idx="181">
                  <v>46132.6666666666</v>
                </pt>
                <pt idx="182">
                  <v>46133.6666666666</v>
                </pt>
                <pt idx="183">
                  <v>46134.6666666666</v>
                </pt>
                <pt idx="184">
                  <v>46135.6666666666</v>
                </pt>
                <pt idx="185">
                  <v>46136.6666666666</v>
                </pt>
                <pt idx="186">
                  <v>46139.6666666666</v>
                </pt>
                <pt idx="187">
                  <v>46140.6666666666</v>
                </pt>
                <pt idx="188">
                  <v>46141.6666666666</v>
                </pt>
                <pt idx="189">
                  <v>46142.6666666666</v>
                </pt>
                <pt idx="190">
                  <v>46143.6666666666</v>
                </pt>
                <pt idx="191">
                  <v>46146.6666666666</v>
                </pt>
                <pt idx="192">
                  <v>46147.6666666666</v>
                </pt>
                <pt idx="193">
                  <v>46148.6666666666</v>
                </pt>
                <pt idx="194">
                  <v>46149.6666666666</v>
                </pt>
                <pt idx="195">
                  <v>46150.6666666666</v>
                </pt>
                <pt idx="196">
                  <v>46153.6666666666</v>
                </pt>
                <pt idx="197">
                  <v>46154.6666666666</v>
                </pt>
                <pt idx="198">
                  <v>46155.6666666666</v>
                </pt>
                <pt idx="199">
                  <v>46156.6666666666</v>
                </pt>
                <pt idx="200">
                  <v>46157.6666666666</v>
                </pt>
                <pt idx="201">
                  <v>46160.6666666666</v>
                </pt>
                <pt idx="202">
                  <v>46161.6666666666</v>
                </pt>
                <pt idx="203">
                  <v>46162.6666666666</v>
                </pt>
                <pt idx="204">
                  <v>46163.6666666666</v>
                </pt>
                <pt idx="205">
                  <v>46164.6666666666</v>
                </pt>
                <pt idx="206">
                  <v>46168.6666666666</v>
                </pt>
                <pt idx="207">
                  <v>46169.6666666666</v>
                </pt>
                <pt idx="208">
                  <v>46170.6666666666</v>
                </pt>
                <pt idx="209">
                  <v>46171.6666666666</v>
                </pt>
                <pt idx="210">
                  <v>46174.6666666666</v>
                </pt>
                <pt idx="211">
                  <v>46175.6666666666</v>
                </pt>
                <pt idx="212">
                  <v>46176.6666666666</v>
                </pt>
                <pt idx="213">
                  <v>46177.6666666666</v>
                </pt>
                <pt idx="214">
                  <v>46178.6666666666</v>
                </pt>
                <pt idx="215">
                  <v>46181.6666666666</v>
                </pt>
                <pt idx="216">
                  <v>46182.6666666666</v>
                </pt>
                <pt idx="217">
                  <v>46183.6666666666</v>
                </pt>
                <pt idx="218">
                  <v>46184.6666666666</v>
                </pt>
                <pt idx="219">
                  <v>46185.6666666666</v>
                </pt>
                <pt idx="220">
                  <v>46188.6666666666</v>
                </pt>
                <pt idx="221">
                  <v>46189.6666666666</v>
                </pt>
                <pt idx="222">
                  <v>46190.6666666666</v>
                </pt>
                <pt idx="223">
                  <v>46191.6666666666</v>
                </pt>
                <pt idx="224">
                  <v>46195.6666666666</v>
                </pt>
                <pt idx="225">
                  <v>46196.6666666666</v>
                </pt>
                <pt idx="226">
                  <v>46197.6666666666</v>
                </pt>
                <pt idx="227">
                  <v>46198.6666666666</v>
                </pt>
                <pt idx="228">
                  <v>46199.6666666666</v>
                </pt>
                <pt idx="229">
                  <v>46202.6666666666</v>
                </pt>
                <pt idx="230">
                  <v>46203.6666666666</v>
                </pt>
                <pt idx="231">
                  <v>46204.6666666666</v>
                </pt>
                <pt idx="232">
                  <v>46205.6666666666</v>
                </pt>
                <pt idx="233">
                  <v>46209.6666666666</v>
                </pt>
                <pt idx="234">
                  <v>46210.6666666666</v>
                </pt>
                <pt idx="235">
                  <v>46211.6666666666</v>
                </pt>
                <pt idx="236">
                  <v>46212.6666666666</v>
                </pt>
                <pt idx="237">
                  <v>46213.6666666666</v>
                </pt>
                <pt idx="238">
                  <v>46216.6666666666</v>
                </pt>
                <pt idx="239">
                  <v>46217.6666666666</v>
                </pt>
                <pt idx="240">
                  <v>46218.6666666666</v>
                </pt>
                <pt idx="241">
                  <v>46219.6666666666</v>
                </pt>
                <pt idx="242">
                  <v>46220.6666666666</v>
                </pt>
                <pt idx="243">
                  <v>46223.6666666666</v>
                </pt>
                <pt idx="244">
                  <v>46224.6666666666</v>
                </pt>
                <pt idx="245">
                  <v>46225.6666666666</v>
                </pt>
                <pt idx="246">
                  <v>46226.6666666666</v>
                </pt>
                <pt idx="247">
                  <v>46227.6666666666</v>
                </pt>
                <pt idx="248">
                  <v>46230.6666666666</v>
                </pt>
                <pt idx="249">
                  <v>46231.6666666666</v>
                </pt>
                <pt idx="250">
                  <v>46232.6666666666</v>
                </pt>
              </numCache>
            </numRef>
          </cat>
          <val>
            <numRef>
              <f>SHY!$F$28:$F$1000</f>
              <numCache>
                <formatCode>#,##0.00</formatCode>
                <ptCount val="973"/>
                <pt idx="0">
                  <v>82.52</v>
                </pt>
                <pt idx="1">
                  <v>82.52</v>
                </pt>
                <pt idx="2">
                  <v>82.66</v>
                </pt>
                <pt idx="3">
                  <v>82.68000000000001</v>
                </pt>
                <pt idx="4">
                  <v>82.65000000000001</v>
                </pt>
                <pt idx="5">
                  <v>82.68000000000001</v>
                </pt>
                <pt idx="6">
                  <v>82.64</v>
                </pt>
                <pt idx="7">
                  <v>82.62</v>
                </pt>
                <pt idx="8">
                  <v>82.62</v>
                </pt>
                <pt idx="9">
                  <v>82.68000000000001</v>
                </pt>
                <pt idx="10">
                  <v>82.79000000000001</v>
                </pt>
                <pt idx="11">
                  <v>82.7</v>
                </pt>
                <pt idx="12">
                  <v>82.67</v>
                </pt>
                <pt idx="13">
                  <v>82.67</v>
                </pt>
                <pt idx="14">
                  <v>82.70999999999999</v>
                </pt>
                <pt idx="15">
                  <v>82.73999999999999</v>
                </pt>
                <pt idx="16">
                  <v>82.67</v>
                </pt>
                <pt idx="17">
                  <v>82.84999999999999</v>
                </pt>
                <pt idx="18">
                  <v>82.81</v>
                </pt>
                <pt idx="19">
                  <v>82.88</v>
                </pt>
                <pt idx="20">
                  <v>82.94</v>
                </pt>
                <pt idx="21">
                  <v>82.91</v>
                </pt>
                <pt idx="22">
                  <v>82.98</v>
                </pt>
                <pt idx="23">
                  <v>82.68000000000001</v>
                </pt>
                <pt idx="24">
                  <v>82.73999999999999</v>
                </pt>
                <pt idx="25">
                  <v>82.8</v>
                </pt>
                <pt idx="26">
                  <v>82.92</v>
                </pt>
                <pt idx="27">
                  <v>82.97</v>
                </pt>
                <pt idx="28">
                  <v>82.90000000000001</v>
                </pt>
                <pt idx="29">
                  <v>82.91</v>
                </pt>
                <pt idx="30">
                  <v>82.94</v>
                </pt>
                <pt idx="31">
                  <v>82.93000000000001</v>
                </pt>
                <pt idx="32">
                  <v>82.95999999999999</v>
                </pt>
                <pt idx="33">
                  <v>83</v>
                </pt>
                <pt idx="34">
                  <v>82.95999999999999</v>
                </pt>
                <pt idx="35">
                  <v>82.93000000000001</v>
                </pt>
                <pt idx="36">
                  <v>82.95999999999999</v>
                </pt>
                <pt idx="37">
                  <v>82.92</v>
                </pt>
                <pt idx="38">
                  <v>82.95</v>
                </pt>
                <pt idx="39">
                  <v>82.91</v>
                </pt>
                <pt idx="40">
                  <v>82.84</v>
                </pt>
                <pt idx="41">
                  <v>82.89</v>
                </pt>
                <pt idx="42">
                  <v>82.92</v>
                </pt>
                <pt idx="43">
                  <v>82.95999999999999</v>
                </pt>
                <pt idx="44">
                  <v>82.8</v>
                </pt>
                <pt idx="45">
                  <v>82.81999999999999</v>
                </pt>
                <pt idx="46">
                  <v>82.79000000000001</v>
                </pt>
                <pt idx="47">
                  <v>82.77</v>
                </pt>
                <pt idx="48">
                  <v>82.81</v>
                </pt>
                <pt idx="49">
                  <v>82.8</v>
                </pt>
                <pt idx="50">
                  <v>82.79000000000001</v>
                </pt>
                <pt idx="51">
                  <v>82.93000000000001</v>
                </pt>
                <pt idx="52">
                  <v>83.09</v>
                </pt>
                <pt idx="53">
                  <v>83.03</v>
                </pt>
                <pt idx="54">
                  <v>82.98999999999999</v>
                </pt>
                <pt idx="55">
                  <v>83.09999999999999</v>
                </pt>
                <pt idx="56">
                  <v>83.09</v>
                </pt>
                <pt idx="57">
                  <v>83.09999999999999</v>
                </pt>
                <pt idx="58">
                  <v>83.12</v>
                </pt>
                <pt idx="59">
                  <v>83.12</v>
                </pt>
                <pt idx="60">
                  <v>83.06</v>
                </pt>
                <pt idx="61">
                  <v>83.11</v>
                </pt>
                <pt idx="62">
                  <v>83.09</v>
                </pt>
                <pt idx="63">
                  <v>83.09999999999999</v>
                </pt>
                <pt idx="64">
                  <v>82.94</v>
                </pt>
                <pt idx="65">
                  <v>82.95</v>
                </pt>
                <pt idx="66">
                  <v>82.98</v>
                </pt>
                <pt idx="67">
                  <v>82.72</v>
                </pt>
                <pt idx="68">
                  <v>82.75</v>
                </pt>
                <pt idx="69">
                  <v>82.69</v>
                </pt>
                <pt idx="70">
                  <v>82.79000000000001</v>
                </pt>
                <pt idx="71">
                  <v>82.83</v>
                </pt>
                <pt idx="72">
                  <v>82.81</v>
                </pt>
                <pt idx="73">
                  <v>82.88</v>
                </pt>
                <pt idx="74">
                  <v>82.84999999999999</v>
                </pt>
                <pt idx="75">
                  <v>82.8</v>
                </pt>
                <pt idx="76">
                  <v>82.83</v>
                </pt>
                <pt idx="77">
                  <v>82.81999999999999</v>
                </pt>
                <pt idx="78">
                  <v>82.87</v>
                </pt>
                <pt idx="79">
                  <v>82.86</v>
                </pt>
                <pt idx="80">
                  <v>82.93000000000001</v>
                </pt>
                <pt idx="81">
                  <v>83.03</v>
                </pt>
                <pt idx="82">
                  <v>83.04000000000001</v>
                </pt>
                <pt idx="83">
                  <v>83.09</v>
                </pt>
                <pt idx="84">
                  <v>83.08</v>
                </pt>
                <pt idx="85">
                  <v>83.08</v>
                </pt>
                <pt idx="86">
                  <v>82.76000000000001</v>
                </pt>
                <pt idx="87">
                  <v>82.81</v>
                </pt>
                <pt idx="88">
                  <v>82.86</v>
                </pt>
                <pt idx="89">
                  <v>82.8</v>
                </pt>
                <pt idx="90">
                  <v>82.77</v>
                </pt>
                <pt idx="91">
                  <v>82.75</v>
                </pt>
                <pt idx="92">
                  <v>82.70999999999999</v>
                </pt>
                <pt idx="93">
                  <v>82.84999999999999</v>
                </pt>
                <pt idx="94">
                  <v>82.86</v>
                </pt>
                <pt idx="95">
                  <v>82.87</v>
                </pt>
                <pt idx="96">
                  <v>82.92</v>
                </pt>
                <pt idx="97">
                  <v>82.95999999999999</v>
                </pt>
                <pt idx="98">
                  <v>82.97</v>
                </pt>
                <pt idx="99">
                  <v>83.03</v>
                </pt>
                <pt idx="100">
                  <v>82.76000000000001</v>
                </pt>
                <pt idx="101">
                  <v>82.72</v>
                </pt>
                <pt idx="102">
                  <v>82.68000000000001</v>
                </pt>
                <pt idx="103">
                  <v>82.73</v>
                </pt>
                <pt idx="104">
                  <v>82.79000000000001</v>
                </pt>
                <pt idx="105">
                  <v>82.83</v>
                </pt>
                <pt idx="106">
                  <v>82.84999999999999</v>
                </pt>
                <pt idx="107">
                  <v>82.81999999999999</v>
                </pt>
                <pt idx="108">
                  <v>82.86</v>
                </pt>
                <pt idx="109">
                  <v>82.89</v>
                </pt>
                <pt idx="110">
                  <v>82.90000000000001</v>
                </pt>
                <pt idx="111">
                  <v>82.89</v>
                </pt>
                <pt idx="112">
                  <v>82.86</v>
                </pt>
                <pt idx="113">
                  <v>82.83</v>
                </pt>
                <pt idx="114">
                  <v>82.83</v>
                </pt>
                <pt idx="115">
                  <v>82.84999999999999</v>
                </pt>
                <pt idx="116">
                  <v>82.87</v>
                </pt>
                <pt idx="117">
                  <v>82.81</v>
                </pt>
                <pt idx="118">
                  <v>82.79000000000001</v>
                </pt>
                <pt idx="119">
                  <v>82.8</v>
                </pt>
                <pt idx="120">
                  <v>82.84</v>
                </pt>
                <pt idx="121">
                  <v>82.81</v>
                </pt>
                <pt idx="122">
                  <v>82.84</v>
                </pt>
                <pt idx="123">
                  <v>82.87</v>
                </pt>
                <pt idx="124">
                  <v>82.89</v>
                </pt>
                <pt idx="125">
                  <v>82.89</v>
                </pt>
                <pt idx="126">
                  <v>82.92</v>
                </pt>
                <pt idx="127">
                  <v>82.98999999999999</v>
                </pt>
                <pt idx="128">
                  <v>82.7</v>
                </pt>
                <pt idx="129">
                  <v>82.69</v>
                </pt>
                <pt idx="130">
                  <v>82.73</v>
                </pt>
                <pt idx="131">
                  <v>82.86</v>
                </pt>
                <pt idx="132">
                  <v>82.86</v>
                </pt>
                <pt idx="133">
                  <v>82.88</v>
                </pt>
                <pt idx="134">
                  <v>82.93000000000001</v>
                </pt>
                <pt idx="135">
                  <v>82.84999999999999</v>
                </pt>
                <pt idx="136">
                  <v>82.93000000000001</v>
                </pt>
                <pt idx="137">
                  <v>83.06</v>
                </pt>
                <pt idx="138">
                  <v>83.03</v>
                </pt>
                <pt idx="139">
                  <v>82.98</v>
                </pt>
                <pt idx="140">
                  <v>82.98</v>
                </pt>
                <pt idx="141">
                  <v>82.98999999999999</v>
                </pt>
                <pt idx="142">
                  <v>83.06</v>
                </pt>
                <pt idx="143">
                  <v>83.06</v>
                </pt>
                <pt idx="144">
                  <v>83.04000000000001</v>
                </pt>
                <pt idx="145">
                  <v>83.06999999999999</v>
                </pt>
                <pt idx="146">
                  <v>83.18000000000001</v>
                </pt>
                <pt idx="147">
                  <v>82.81</v>
                </pt>
                <pt idx="148">
                  <v>82.8</v>
                </pt>
                <pt idx="149">
                  <v>82.75</v>
                </pt>
                <pt idx="150">
                  <v>82.69</v>
                </pt>
                <pt idx="151">
                  <v>82.73</v>
                </pt>
                <pt idx="152">
                  <v>82.77</v>
                </pt>
                <pt idx="153">
                  <v>82.72</v>
                </pt>
                <pt idx="154">
                  <v>82.64</v>
                </pt>
                <pt idx="155">
                  <v>82.5</v>
                </pt>
                <pt idx="156">
                  <v>82.55</v>
                </pt>
                <pt idx="157">
                  <v>82.65000000000001</v>
                </pt>
                <pt idx="158">
                  <v>82.66</v>
                </pt>
                <pt idx="159">
                  <v>82.51000000000001</v>
                </pt>
                <pt idx="160">
                  <v>82.48999999999999</v>
                </pt>
                <pt idx="161">
                  <v>82.31</v>
                </pt>
                <pt idx="162">
                  <v>82.43000000000001</v>
                </pt>
                <pt idx="163">
                  <v>82.31</v>
                </pt>
                <pt idx="164">
                  <v>82.40000000000001</v>
                </pt>
                <pt idx="165">
                  <v>82.22</v>
                </pt>
                <pt idx="166">
                  <v>82.39</v>
                </pt>
                <pt idx="167">
                  <v>82.5</v>
                </pt>
                <pt idx="168">
                  <v>82.56999999999999</v>
                </pt>
                <pt idx="169">
                  <v>82.31999999999999</v>
                </pt>
                <pt idx="170">
                  <v>82.36</v>
                </pt>
                <pt idx="171">
                  <v>82.28</v>
                </pt>
                <pt idx="172">
                  <v>82.34</v>
                </pt>
                <pt idx="173">
                  <v>82.42</v>
                </pt>
                <pt idx="174">
                  <v>82.44</v>
                </pt>
                <pt idx="175">
                  <v>82.41</v>
                </pt>
                <pt idx="176">
                  <v>82.47</v>
                </pt>
                <pt idx="177">
                  <v>82.53</v>
                </pt>
                <pt idx="178">
                  <v>82.51000000000001</v>
                </pt>
                <pt idx="179">
                  <v>82.48</v>
                </pt>
                <pt idx="180">
                  <v>82.64</v>
                </pt>
                <pt idx="181">
                  <v>82.59999999999999</v>
                </pt>
                <pt idx="182">
                  <v>82.48</v>
                </pt>
                <pt idx="183">
                  <v>82.52</v>
                </pt>
                <pt idx="184">
                  <v>82.48</v>
                </pt>
                <pt idx="185">
                  <v>82.56999999999999</v>
                </pt>
                <pt idx="186">
                  <v>82.55</v>
                </pt>
                <pt idx="187">
                  <v>82.5</v>
                </pt>
                <pt idx="188">
                  <v>82.39</v>
                </pt>
                <pt idx="189">
                  <v>82.48</v>
                </pt>
                <pt idx="190">
                  <v>82.25</v>
                </pt>
                <pt idx="191">
                  <v>82.15000000000001</v>
                </pt>
                <pt idx="192">
                  <v>82.19</v>
                </pt>
                <pt idx="193">
                  <v>82.3</v>
                </pt>
                <pt idx="194">
                  <v>82.23</v>
                </pt>
                <pt idx="195">
                  <v>82.3</v>
                </pt>
                <pt idx="196">
                  <v>82.22</v>
                </pt>
                <pt idx="197">
                  <v>82.16</v>
                </pt>
                <pt idx="198">
                  <v>82.19</v>
                </pt>
                <pt idx="199">
                  <v>82.16</v>
                </pt>
                <pt idx="200">
                  <v>82.06</v>
                </pt>
                <pt idx="201">
                  <v>82.09999999999999</v>
                </pt>
                <pt idx="202">
                  <v>82.04000000000001</v>
                </pt>
                <pt idx="203">
                  <v>82.15000000000001</v>
                </pt>
                <pt idx="204">
                  <v>82.14</v>
                </pt>
                <pt idx="205">
                  <v>82.12</v>
                </pt>
                <pt idx="206">
                  <v>82.20999999999999</v>
                </pt>
                <pt idx="207">
                  <v>82.22</v>
                </pt>
                <pt idx="208">
                  <v>82.26000000000001</v>
                </pt>
                <pt idx="209">
                  <v>82.3</v>
                </pt>
                <pt idx="210">
                  <v>82.01000000000001</v>
                </pt>
                <pt idx="211">
                  <v>82.01000000000001</v>
                </pt>
                <pt idx="212">
                  <v>81.97</v>
                </pt>
                <pt idx="213">
                  <v>82.03</v>
                </pt>
                <pt idx="214">
                  <v>81.86</v>
                </pt>
                <pt idx="215">
                  <v>81.90000000000001</v>
                </pt>
                <pt idx="216">
                  <v>81.94</v>
                </pt>
                <pt idx="217">
                  <v>81.94</v>
                </pt>
                <pt idx="218">
                  <v>82.09</v>
                </pt>
                <pt idx="219">
                  <v>82.06999999999999</v>
                </pt>
                <pt idx="220">
                  <v>82.11</v>
                </pt>
                <pt idx="221">
                  <v>82.13</v>
                </pt>
                <pt idx="222">
                  <v>81.88</v>
                </pt>
                <pt idx="223">
                  <v>81.98999999999999</v>
                </pt>
                <pt idx="224">
                  <v>81.91</v>
                </pt>
                <pt idx="225">
                  <v>81.97</v>
                </pt>
                <pt idx="226">
                  <v>82.06999999999999</v>
                </pt>
                <pt idx="227">
                  <v>82.09</v>
                </pt>
                <pt idx="228">
                  <v>82.19</v>
                </pt>
                <pt idx="229">
                  <v>82.17</v>
                </pt>
                <pt idx="230">
                  <v>82.11</v>
                </pt>
                <pt idx="231">
                  <v>81.84</v>
                </pt>
                <pt idx="232">
                  <v>81.94</v>
                </pt>
                <pt idx="233">
                  <v>81.98</v>
                </pt>
                <pt idx="234">
                  <v>81.86</v>
                </pt>
                <pt idx="235">
                  <v>81.84</v>
                </pt>
                <pt idx="236">
                  <v>81.91</v>
                </pt>
                <pt idx="237">
                  <v>81.88</v>
                </pt>
                <pt idx="238">
                  <v>81.79000000000001</v>
                </pt>
                <pt idx="239">
                  <v>81.93000000000001</v>
                </pt>
                <pt idx="240">
                  <v>82</v>
                </pt>
                <pt idx="241">
                  <v>82</v>
                </pt>
                <pt idx="242">
                  <v>81.98999999999999</v>
                </pt>
                <pt idx="243">
                  <v>81.95999999999999</v>
                </pt>
                <pt idx="244">
                  <v>81.89</v>
                </pt>
                <pt idx="245">
                  <v>81.83</v>
                </pt>
                <pt idx="246">
                  <v>81.77</v>
                </pt>
                <pt idx="247">
                  <v>81.84999999999999</v>
                </pt>
                <pt idx="248">
                  <v>81.87</v>
                </pt>
                <pt idx="249">
                  <v>81.94</v>
                </pt>
                <pt idx="250">
                  <v>81.98999999999999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ko-KR"/>
        </a:p>
      </txPr>
    </legend>
    <plotVisOnly val="1"/>
    <dispBlanksAs val="zero"/>
  </chart>
</chartSpace>
</file>

<file path=xl/charts/chart23.xml><?xml version="1.0" encoding="utf-8"?>
<chartSpace xmlns:a="http://schemas.openxmlformats.org/drawingml/2006/main" xmlns="http://schemas.openxmlformats.org/drawingml/2006/chart">
  <chart>
    <plotArea>
      <layout/>
      <areaChart>
        <grouping val="standard"/>
        <varyColors val="1"/>
        <ser>
          <idx val="0"/>
          <order val="0"/>
          <tx>
            <strRef>
              <f>TLT!$F$27</f>
              <strCache>
                <ptCount val="1"/>
                <pt idx="0">
                  <v>Close</v>
                </pt>
              </strCache>
            </strRef>
          </tx>
          <spPr>
            <a:solidFill>
              <a:srgbClr val="4285F4"/>
            </a:solidFill>
            <a:ln cmpd="sng">
              <a:solidFill>
                <a:srgbClr val="4285F4"/>
              </a:solidFill>
              <a:prstDash val="solid"/>
            </a:ln>
          </spPr>
          <cat>
            <numRef>
              <f>TLT!$B$28:$B$1000</f>
              <numCache>
                <formatCode>mmm" "d", "yyyy</formatCode>
                <ptCount val="973"/>
                <pt idx="0">
                  <v>45868.6666666666</v>
                </pt>
                <pt idx="1">
                  <v>45869.6666666666</v>
                </pt>
                <pt idx="2">
                  <v>45870.6666666666</v>
                </pt>
                <pt idx="3">
                  <v>45873.6666666666</v>
                </pt>
                <pt idx="4">
                  <v>45874.6666666666</v>
                </pt>
                <pt idx="5">
                  <v>45875.6666666666</v>
                </pt>
                <pt idx="6">
                  <v>45876.6666666666</v>
                </pt>
                <pt idx="7">
                  <v>45877.6666666666</v>
                </pt>
                <pt idx="8">
                  <v>45880.6666666666</v>
                </pt>
                <pt idx="9">
                  <v>45881.6666666666</v>
                </pt>
                <pt idx="10">
                  <v>45882.6666666666</v>
                </pt>
                <pt idx="11">
                  <v>45883.6666666666</v>
                </pt>
                <pt idx="12">
                  <v>45884.6666666666</v>
                </pt>
                <pt idx="13">
                  <v>45887.6666666666</v>
                </pt>
                <pt idx="14">
                  <v>45888.6666666666</v>
                </pt>
                <pt idx="15">
                  <v>45889.6666666666</v>
                </pt>
                <pt idx="16">
                  <v>45890.6666666666</v>
                </pt>
                <pt idx="17">
                  <v>45891.6666666666</v>
                </pt>
                <pt idx="18">
                  <v>45894.6666666666</v>
                </pt>
                <pt idx="19">
                  <v>45895.6666666666</v>
                </pt>
                <pt idx="20">
                  <v>45896.6666666666</v>
                </pt>
                <pt idx="21">
                  <v>45897.6666666666</v>
                </pt>
                <pt idx="22">
                  <v>45898.6666666666</v>
                </pt>
                <pt idx="23">
                  <v>45902.6666666666</v>
                </pt>
                <pt idx="24">
                  <v>45903.6666666666</v>
                </pt>
                <pt idx="25">
                  <v>45904.6666666666</v>
                </pt>
                <pt idx="26">
                  <v>45905.6666666666</v>
                </pt>
                <pt idx="27">
                  <v>45908.6666666666</v>
                </pt>
                <pt idx="28">
                  <v>45909.6666666666</v>
                </pt>
                <pt idx="29">
                  <v>45910.6666666666</v>
                </pt>
                <pt idx="30">
                  <v>45911.6666666666</v>
                </pt>
                <pt idx="31">
                  <v>45912.6666666666</v>
                </pt>
                <pt idx="32">
                  <v>45915.6666666666</v>
                </pt>
                <pt idx="33">
                  <v>45916.6666666666</v>
                </pt>
                <pt idx="34">
                  <v>45917.6666666666</v>
                </pt>
                <pt idx="35">
                  <v>45918.6666666666</v>
                </pt>
                <pt idx="36">
                  <v>45919.6666666666</v>
                </pt>
                <pt idx="37">
                  <v>45922.6666666666</v>
                </pt>
                <pt idx="38">
                  <v>45923.6666666666</v>
                </pt>
                <pt idx="39">
                  <v>45924.6666666666</v>
                </pt>
                <pt idx="40">
                  <v>45925.6666666666</v>
                </pt>
                <pt idx="41">
                  <v>45926.6666666666</v>
                </pt>
                <pt idx="42">
                  <v>45929.6666666666</v>
                </pt>
                <pt idx="43">
                  <v>45930.6666666666</v>
                </pt>
                <pt idx="44">
                  <v>45931.6666666666</v>
                </pt>
                <pt idx="45">
                  <v>45932.6666666666</v>
                </pt>
                <pt idx="46">
                  <v>45933.6666666666</v>
                </pt>
                <pt idx="47">
                  <v>45936.6666666666</v>
                </pt>
                <pt idx="48">
                  <v>45937.6666666666</v>
                </pt>
                <pt idx="49">
                  <v>45938.6666666666</v>
                </pt>
                <pt idx="50">
                  <v>45939.6666666666</v>
                </pt>
                <pt idx="51">
                  <v>45940.6666666666</v>
                </pt>
                <pt idx="52">
                  <v>45943.6666666666</v>
                </pt>
                <pt idx="53">
                  <v>45944.6666666666</v>
                </pt>
                <pt idx="54">
                  <v>45945.6666666666</v>
                </pt>
                <pt idx="55">
                  <v>45946.6666666666</v>
                </pt>
                <pt idx="56">
                  <v>45947.6666666666</v>
                </pt>
                <pt idx="57">
                  <v>45950.6666666666</v>
                </pt>
                <pt idx="58">
                  <v>45951.6666666666</v>
                </pt>
                <pt idx="59">
                  <v>45952.6666666666</v>
                </pt>
                <pt idx="60">
                  <v>45953.6666666666</v>
                </pt>
                <pt idx="61">
                  <v>45954.6666666666</v>
                </pt>
                <pt idx="62">
                  <v>45957.6666666666</v>
                </pt>
                <pt idx="63">
                  <v>45958.6666666666</v>
                </pt>
                <pt idx="64">
                  <v>45959.6666666666</v>
                </pt>
                <pt idx="65">
                  <v>45960.6666666666</v>
                </pt>
                <pt idx="66">
                  <v>45961.6666666666</v>
                </pt>
                <pt idx="67">
                  <v>45964.6666666666</v>
                </pt>
                <pt idx="68">
                  <v>45965.6666666666</v>
                </pt>
                <pt idx="69">
                  <v>45966.6666666666</v>
                </pt>
                <pt idx="70">
                  <v>45967.6666666666</v>
                </pt>
                <pt idx="71">
                  <v>45968.6666666666</v>
                </pt>
                <pt idx="72">
                  <v>45971.6666666666</v>
                </pt>
                <pt idx="73">
                  <v>45972.6666666666</v>
                </pt>
                <pt idx="74">
                  <v>45973.6666666666</v>
                </pt>
                <pt idx="75">
                  <v>45974.6666666666</v>
                </pt>
                <pt idx="76">
                  <v>45975.6666666666</v>
                </pt>
                <pt idx="77">
                  <v>45978.6666666666</v>
                </pt>
                <pt idx="78">
                  <v>45979.6666666666</v>
                </pt>
                <pt idx="79">
                  <v>45980.6666666666</v>
                </pt>
                <pt idx="80">
                  <v>45981.6666666666</v>
                </pt>
                <pt idx="81">
                  <v>45982.6666666666</v>
                </pt>
                <pt idx="82">
                  <v>45985.6666666666</v>
                </pt>
                <pt idx="83">
                  <v>45986.6666666666</v>
                </pt>
                <pt idx="84">
                  <v>45987.6666666666</v>
                </pt>
                <pt idx="85">
                  <v>45989.5451388888</v>
                </pt>
                <pt idx="86">
                  <v>45992.6666666666</v>
                </pt>
                <pt idx="87">
                  <v>45993.6666666666</v>
                </pt>
                <pt idx="88">
                  <v>45994.6666666666</v>
                </pt>
                <pt idx="89">
                  <v>45995.6666666666</v>
                </pt>
                <pt idx="90">
                  <v>45996.6666666666</v>
                </pt>
                <pt idx="91">
                  <v>45999.6666666666</v>
                </pt>
                <pt idx="92">
                  <v>46000.6666666666</v>
                </pt>
                <pt idx="93">
                  <v>46001.6666666666</v>
                </pt>
                <pt idx="94">
                  <v>46002.6666666666</v>
                </pt>
                <pt idx="95">
                  <v>46003.6666666666</v>
                </pt>
                <pt idx="96">
                  <v>46006.6666666666</v>
                </pt>
                <pt idx="97">
                  <v>46007.6666666666</v>
                </pt>
                <pt idx="98">
                  <v>46008.6666666666</v>
                </pt>
                <pt idx="99">
                  <v>46009.6666666666</v>
                </pt>
                <pt idx="100">
                  <v>46010.6666666666</v>
                </pt>
                <pt idx="101">
                  <v>46013.6666666666</v>
                </pt>
                <pt idx="102">
                  <v>46014.6666666666</v>
                </pt>
                <pt idx="103">
                  <v>46015.5451388888</v>
                </pt>
                <pt idx="104">
                  <v>46017.6666666666</v>
                </pt>
                <pt idx="105">
                  <v>46020.6666666666</v>
                </pt>
                <pt idx="106">
                  <v>46021.6666666666</v>
                </pt>
                <pt idx="107">
                  <v>46022.6666666666</v>
                </pt>
                <pt idx="108">
                  <v>46024.6666666666</v>
                </pt>
                <pt idx="109">
                  <v>46027.6666666666</v>
                </pt>
                <pt idx="110">
                  <v>46028.6666666666</v>
                </pt>
                <pt idx="111">
                  <v>46029.6666666666</v>
                </pt>
                <pt idx="112">
                  <v>46030.6666666666</v>
                </pt>
                <pt idx="113">
                  <v>46031.6666666666</v>
                </pt>
                <pt idx="114">
                  <v>46034.6666666666</v>
                </pt>
                <pt idx="115">
                  <v>46035.6666666666</v>
                </pt>
                <pt idx="116">
                  <v>46036.6666666666</v>
                </pt>
                <pt idx="117">
                  <v>46037.6666666666</v>
                </pt>
                <pt idx="118">
                  <v>46038.6666666666</v>
                </pt>
                <pt idx="119">
                  <v>46042.6666666666</v>
                </pt>
                <pt idx="120">
                  <v>46043.6666666666</v>
                </pt>
                <pt idx="121">
                  <v>46044.6666666666</v>
                </pt>
                <pt idx="122">
                  <v>46045.6666666666</v>
                </pt>
                <pt idx="123">
                  <v>46048.6666666666</v>
                </pt>
                <pt idx="124">
                  <v>46049.6666666666</v>
                </pt>
                <pt idx="125">
                  <v>46050.6666666666</v>
                </pt>
                <pt idx="126">
                  <v>46051.6666666666</v>
                </pt>
                <pt idx="127">
                  <v>46052.6666666666</v>
                </pt>
                <pt idx="128">
                  <v>46055.6666666666</v>
                </pt>
                <pt idx="129">
                  <v>46056.6666666666</v>
                </pt>
                <pt idx="130">
                  <v>46057.6666666666</v>
                </pt>
                <pt idx="131">
                  <v>46058.6666666666</v>
                </pt>
                <pt idx="132">
                  <v>46059.6666666666</v>
                </pt>
                <pt idx="133">
                  <v>46062.6666666666</v>
                </pt>
                <pt idx="134">
                  <v>46063.6666666666</v>
                </pt>
                <pt idx="135">
                  <v>46064.6666666666</v>
                </pt>
                <pt idx="136">
                  <v>46065.6666666666</v>
                </pt>
                <pt idx="137">
                  <v>46066.6666666666</v>
                </pt>
                <pt idx="138">
                  <v>46070.6666666666</v>
                </pt>
                <pt idx="139">
                  <v>46071.6666666666</v>
                </pt>
                <pt idx="140">
                  <v>46072.6666666666</v>
                </pt>
                <pt idx="141">
                  <v>46073.6666666666</v>
                </pt>
                <pt idx="142">
                  <v>46076.6666666666</v>
                </pt>
                <pt idx="143">
                  <v>46077.6666666666</v>
                </pt>
                <pt idx="144">
                  <v>46078.6666666666</v>
                </pt>
                <pt idx="145">
                  <v>46079.6666666666</v>
                </pt>
                <pt idx="146">
                  <v>46080.6666666666</v>
                </pt>
                <pt idx="147">
                  <v>46083.6666666666</v>
                </pt>
                <pt idx="148">
                  <v>46084.6666666666</v>
                </pt>
                <pt idx="149">
                  <v>46085.6666666666</v>
                </pt>
                <pt idx="150">
                  <v>46086.6666666666</v>
                </pt>
                <pt idx="151">
                  <v>46087.6666666666</v>
                </pt>
                <pt idx="152">
                  <v>46090.6666666666</v>
                </pt>
                <pt idx="153">
                  <v>46091.6666666666</v>
                </pt>
                <pt idx="154">
                  <v>46092.6666666666</v>
                </pt>
                <pt idx="155">
                  <v>46093.6666666666</v>
                </pt>
                <pt idx="156">
                  <v>46094.6666666666</v>
                </pt>
                <pt idx="157">
                  <v>46097.6666666666</v>
                </pt>
                <pt idx="158">
                  <v>46098.6666666666</v>
                </pt>
                <pt idx="159">
                  <v>46099.6666666666</v>
                </pt>
                <pt idx="160">
                  <v>46100.6666666666</v>
                </pt>
                <pt idx="161">
                  <v>46101.6666666666</v>
                </pt>
                <pt idx="162">
                  <v>46104.6666666666</v>
                </pt>
                <pt idx="163">
                  <v>46105.6666666666</v>
                </pt>
                <pt idx="164">
                  <v>46106.6666666666</v>
                </pt>
                <pt idx="165">
                  <v>46107.6666666666</v>
                </pt>
                <pt idx="166">
                  <v>46108.6666666666</v>
                </pt>
                <pt idx="167">
                  <v>46111.6666666666</v>
                </pt>
                <pt idx="168">
                  <v>46112.6666666666</v>
                </pt>
                <pt idx="169">
                  <v>46113.6666666666</v>
                </pt>
                <pt idx="170">
                  <v>46114.6666666666</v>
                </pt>
                <pt idx="171">
                  <v>46118.6666666666</v>
                </pt>
                <pt idx="172">
                  <v>46119.6666666666</v>
                </pt>
                <pt idx="173">
                  <v>46120.6666666666</v>
                </pt>
                <pt idx="174">
                  <v>46121.6666666666</v>
                </pt>
                <pt idx="175">
                  <v>46122.6666666666</v>
                </pt>
                <pt idx="176">
                  <v>46125.6666666666</v>
                </pt>
                <pt idx="177">
                  <v>46126.6666666666</v>
                </pt>
                <pt idx="178">
                  <v>46127.6666666666</v>
                </pt>
                <pt idx="179">
                  <v>46128.6666666666</v>
                </pt>
                <pt idx="180">
                  <v>46129.6666666666</v>
                </pt>
                <pt idx="181">
                  <v>46132.6666666666</v>
                </pt>
                <pt idx="182">
                  <v>46133.6666666666</v>
                </pt>
                <pt idx="183">
                  <v>46134.6666666666</v>
                </pt>
                <pt idx="184">
                  <v>46135.6666666666</v>
                </pt>
                <pt idx="185">
                  <v>46136.6666666666</v>
                </pt>
                <pt idx="186">
                  <v>46139.6666666666</v>
                </pt>
                <pt idx="187">
                  <v>46140.6666666666</v>
                </pt>
                <pt idx="188">
                  <v>46141.6666666666</v>
                </pt>
                <pt idx="189">
                  <v>46142.6666666666</v>
                </pt>
                <pt idx="190">
                  <v>46143.6666666666</v>
                </pt>
                <pt idx="191">
                  <v>46146.6666666666</v>
                </pt>
                <pt idx="192">
                  <v>46147.6666666666</v>
                </pt>
                <pt idx="193">
                  <v>46148.6666666666</v>
                </pt>
                <pt idx="194">
                  <v>46149.6666666666</v>
                </pt>
                <pt idx="195">
                  <v>46150.6666666666</v>
                </pt>
                <pt idx="196">
                  <v>46153.6666666666</v>
                </pt>
                <pt idx="197">
                  <v>46154.6666666666</v>
                </pt>
                <pt idx="198">
                  <v>46155.6666666666</v>
                </pt>
                <pt idx="199">
                  <v>46156.6666666666</v>
                </pt>
                <pt idx="200">
                  <v>46157.6666666666</v>
                </pt>
                <pt idx="201">
                  <v>46160.6666666666</v>
                </pt>
                <pt idx="202">
                  <v>46161.6666666666</v>
                </pt>
                <pt idx="203">
                  <v>46162.6666666666</v>
                </pt>
                <pt idx="204">
                  <v>46163.6666666666</v>
                </pt>
                <pt idx="205">
                  <v>46164.6666666666</v>
                </pt>
                <pt idx="206">
                  <v>46168.6666666666</v>
                </pt>
                <pt idx="207">
                  <v>46169.6666666666</v>
                </pt>
                <pt idx="208">
                  <v>46170.6666666666</v>
                </pt>
                <pt idx="209">
                  <v>46171.6666666666</v>
                </pt>
                <pt idx="210">
                  <v>46174.6666666666</v>
                </pt>
                <pt idx="211">
                  <v>46175.6666666666</v>
                </pt>
                <pt idx="212">
                  <v>46176.6666666666</v>
                </pt>
                <pt idx="213">
                  <v>46177.6666666666</v>
                </pt>
                <pt idx="214">
                  <v>46178.6666666666</v>
                </pt>
                <pt idx="215">
                  <v>46181.6666666666</v>
                </pt>
                <pt idx="216">
                  <v>46182.6666666666</v>
                </pt>
                <pt idx="217">
                  <v>46183.6666666666</v>
                </pt>
                <pt idx="218">
                  <v>46184.6666666666</v>
                </pt>
                <pt idx="219">
                  <v>46185.6666666666</v>
                </pt>
                <pt idx="220">
                  <v>46188.6666666666</v>
                </pt>
                <pt idx="221">
                  <v>46189.6666666666</v>
                </pt>
                <pt idx="222">
                  <v>46190.6666666666</v>
                </pt>
                <pt idx="223">
                  <v>46191.6666666666</v>
                </pt>
                <pt idx="224">
                  <v>46195.6666666666</v>
                </pt>
                <pt idx="225">
                  <v>46196.6666666666</v>
                </pt>
                <pt idx="226">
                  <v>46197.6666666666</v>
                </pt>
                <pt idx="227">
                  <v>46198.6666666666</v>
                </pt>
                <pt idx="228">
                  <v>46199.6666666666</v>
                </pt>
                <pt idx="229">
                  <v>46202.6666666666</v>
                </pt>
                <pt idx="230">
                  <v>46203.6666666666</v>
                </pt>
                <pt idx="231">
                  <v>46204.6666666666</v>
                </pt>
                <pt idx="232">
                  <v>46205.6666666666</v>
                </pt>
                <pt idx="233">
                  <v>46209.6666666666</v>
                </pt>
                <pt idx="234">
                  <v>46210.6666666666</v>
                </pt>
                <pt idx="235">
                  <v>46211.6666666666</v>
                </pt>
                <pt idx="236">
                  <v>46212.6666666666</v>
                </pt>
                <pt idx="237">
                  <v>46213.6666666666</v>
                </pt>
                <pt idx="238">
                  <v>46216.6666666666</v>
                </pt>
                <pt idx="239">
                  <v>46217.6666666666</v>
                </pt>
                <pt idx="240">
                  <v>46218.6666666666</v>
                </pt>
                <pt idx="241">
                  <v>46219.6666666666</v>
                </pt>
                <pt idx="242">
                  <v>46220.6666666666</v>
                </pt>
                <pt idx="243">
                  <v>46223.6666666666</v>
                </pt>
                <pt idx="244">
                  <v>46224.6666666666</v>
                </pt>
                <pt idx="245">
                  <v>46225.6666666666</v>
                </pt>
                <pt idx="246">
                  <v>46226.6666666666</v>
                </pt>
                <pt idx="247">
                  <v>46227.6666666666</v>
                </pt>
                <pt idx="248">
                  <v>46230.6666666666</v>
                </pt>
                <pt idx="249">
                  <v>46231.6666666666</v>
                </pt>
                <pt idx="250">
                  <v>46232.6666666666</v>
                </pt>
              </numCache>
            </numRef>
          </cat>
          <val>
            <numRef>
              <f>TLT!$F$28:$F$1000</f>
              <numCache>
                <formatCode>#,##0.00</formatCode>
                <ptCount val="973"/>
                <pt idx="0">
                  <v>86.87</v>
                </pt>
                <pt idx="1">
                  <v>86.92</v>
                </pt>
                <pt idx="2">
                  <v>87.81999999999999</v>
                </pt>
                <pt idx="3">
                  <v>88.06</v>
                </pt>
                <pt idx="4">
                  <v>88.33</v>
                </pt>
                <pt idx="5">
                  <v>87.81999999999999</v>
                </pt>
                <pt idx="6">
                  <v>87.67</v>
                </pt>
                <pt idx="7">
                  <v>87.29000000000001</v>
                </pt>
                <pt idx="8">
                  <v>87.39</v>
                </pt>
                <pt idx="9">
                  <v>86.95</v>
                </pt>
                <pt idx="10">
                  <v>87.67</v>
                </pt>
                <pt idx="11">
                  <v>87.02</v>
                </pt>
                <pt idx="12">
                  <v>86.40000000000001</v>
                </pt>
                <pt idx="13">
                  <v>86.15000000000001</v>
                </pt>
                <pt idx="14">
                  <v>86.65000000000001</v>
                </pt>
                <pt idx="15">
                  <v>86.84</v>
                </pt>
                <pt idx="16">
                  <v>86.41</v>
                </pt>
                <pt idx="17">
                  <v>87.05</v>
                </pt>
                <pt idx="18">
                  <v>86.8</v>
                </pt>
                <pt idx="19">
                  <v>86.75</v>
                </pt>
                <pt idx="20">
                  <v>86.65000000000001</v>
                </pt>
                <pt idx="21">
                  <v>87.22</v>
                </pt>
                <pt idx="22">
                  <v>86.59999999999999</v>
                </pt>
                <pt idx="23">
                  <v>85.63</v>
                </pt>
                <pt idx="24">
                  <v>86.56999999999999</v>
                </pt>
                <pt idx="25">
                  <v>87.23</v>
                </pt>
                <pt idx="26">
                  <v>88.56</v>
                </pt>
                <pt idx="27">
                  <v>89.73999999999999</v>
                </pt>
                <pt idx="28">
                  <v>89.23</v>
                </pt>
                <pt idx="29">
                  <v>89.73999999999999</v>
                </pt>
                <pt idx="30">
                  <v>90.34</v>
                </pt>
                <pt idx="31">
                  <v>89.95</v>
                </pt>
                <pt idx="32">
                  <v>90.16</v>
                </pt>
                <pt idx="33">
                  <v>90.34999999999999</v>
                </pt>
                <pt idx="34">
                  <v>90.12</v>
                </pt>
                <pt idx="35">
                  <v>89.19</v>
                </pt>
                <pt idx="36">
                  <v>89.02</v>
                </pt>
                <pt idx="37">
                  <v>88.7</v>
                </pt>
                <pt idx="38">
                  <v>89.31999999999999</v>
                </pt>
                <pt idx="39">
                  <v>88.98</v>
                </pt>
                <pt idx="40">
                  <v>88.98</v>
                </pt>
                <pt idx="41">
                  <v>88.90000000000001</v>
                </pt>
                <pt idx="42">
                  <v>89.63</v>
                </pt>
                <pt idx="43">
                  <v>89.37</v>
                </pt>
                <pt idx="44">
                  <v>89.29000000000001</v>
                </pt>
                <pt idx="45">
                  <v>89.55</v>
                </pt>
                <pt idx="46">
                  <v>89.38</v>
                </pt>
                <pt idx="47">
                  <v>88.67</v>
                </pt>
                <pt idx="48">
                  <v>89.18000000000001</v>
                </pt>
                <pt idx="49">
                  <v>89.25</v>
                </pt>
                <pt idx="50">
                  <v>89.18000000000001</v>
                </pt>
                <pt idx="51">
                  <v>90.62</v>
                </pt>
                <pt idx="52">
                  <v>90.56999999999999</v>
                </pt>
                <pt idx="53">
                  <v>90.86</v>
                </pt>
                <pt idx="54">
                  <v>90.66</v>
                </pt>
                <pt idx="55">
                  <v>91.34</v>
                </pt>
                <pt idx="56">
                  <v>91.2</v>
                </pt>
                <pt idx="57">
                  <v>91.55</v>
                </pt>
                <pt idx="58">
                  <v>92</v>
                </pt>
                <pt idx="59">
                  <v>92.06</v>
                </pt>
                <pt idx="60">
                  <v>91.43000000000001</v>
                </pt>
                <pt idx="61">
                  <v>91.47</v>
                </pt>
                <pt idx="62">
                  <v>91.78</v>
                </pt>
                <pt idx="63">
                  <v>92.02</v>
                </pt>
                <pt idx="64">
                  <v>91.09</v>
                </pt>
                <pt idx="65">
                  <v>90.56</v>
                </pt>
                <pt idx="66">
                  <v>90.29000000000001</v>
                </pt>
                <pt idx="67">
                  <v>89.73999999999999</v>
                </pt>
                <pt idx="68">
                  <v>89.94</v>
                </pt>
                <pt idx="69">
                  <v>88.95999999999999</v>
                </pt>
                <pt idx="70">
                  <v>89.76000000000001</v>
                </pt>
                <pt idx="71">
                  <v>89.56999999999999</v>
                </pt>
                <pt idx="72">
                  <v>89.55</v>
                </pt>
                <pt idx="73">
                  <v>89.95999999999999</v>
                </pt>
                <pt idx="74">
                  <v>90.12</v>
                </pt>
                <pt idx="75">
                  <v>89.38</v>
                </pt>
                <pt idx="76">
                  <v>88.87</v>
                </pt>
                <pt idx="77">
                  <v>89.09</v>
                </pt>
                <pt idx="78">
                  <v>89.06</v>
                </pt>
                <pt idx="79">
                  <v>88.88</v>
                </pt>
                <pt idx="80">
                  <v>89.23</v>
                </pt>
                <pt idx="81">
                  <v>89.5</v>
                </pt>
                <pt idx="82">
                  <v>90.01000000000001</v>
                </pt>
                <pt idx="83">
                  <v>90.23999999999999</v>
                </pt>
                <pt idx="84">
                  <v>90.64</v>
                </pt>
                <pt idx="85">
                  <v>90.20999999999999</v>
                </pt>
                <pt idx="86">
                  <v>88.77</v>
                </pt>
                <pt idx="87">
                  <v>88.81</v>
                </pt>
                <pt idx="88">
                  <v>89.06</v>
                </pt>
                <pt idx="89">
                  <v>88.58</v>
                </pt>
                <pt idx="90">
                  <v>88.17</v>
                </pt>
                <pt idx="91">
                  <v>87.88</v>
                </pt>
                <pt idx="92">
                  <v>87.97</v>
                </pt>
                <pt idx="93">
                  <v>88.31</v>
                </pt>
                <pt idx="94">
                  <v>88.19</v>
                </pt>
                <pt idx="95">
                  <v>87.34</v>
                </pt>
                <pt idx="96">
                  <v>87.40000000000001</v>
                </pt>
                <pt idx="97">
                  <v>87.88</v>
                </pt>
                <pt idx="98">
                  <v>87.8</v>
                </pt>
                <pt idx="99">
                  <v>88.22</v>
                </pt>
                <pt idx="100">
                  <v>87.55</v>
                </pt>
                <pt idx="101">
                  <v>87.36</v>
                </pt>
                <pt idx="102">
                  <v>87.5</v>
                </pt>
                <pt idx="103">
                  <v>88.03</v>
                </pt>
                <pt idx="104">
                  <v>87.73999999999999</v>
                </pt>
                <pt idx="105">
                  <v>88.06999999999999</v>
                </pt>
                <pt idx="106">
                  <v>87.86</v>
                </pt>
                <pt idx="107">
                  <v>87.16</v>
                </pt>
                <pt idx="108">
                  <v>87.03</v>
                </pt>
                <pt idx="109">
                  <v>87.45999999999999</v>
                </pt>
                <pt idx="110">
                  <v>87.28</v>
                </pt>
                <pt idx="111">
                  <v>87.79000000000001</v>
                </pt>
                <pt idx="112">
                  <v>87.34999999999999</v>
                </pt>
                <pt idx="113">
                  <v>87.93000000000001</v>
                </pt>
                <pt idx="114">
                  <v>87.67</v>
                </pt>
                <pt idx="115">
                  <v>87.81999999999999</v>
                </pt>
                <pt idx="116">
                  <v>88.33</v>
                </pt>
                <pt idx="117">
                  <v>88.31</v>
                </pt>
                <pt idx="118">
                  <v>87.8</v>
                </pt>
                <pt idx="119">
                  <v>86.65000000000001</v>
                </pt>
                <pt idx="120">
                  <v>87.31</v>
                </pt>
                <pt idx="121">
                  <v>87.69</v>
                </pt>
                <pt idx="122">
                  <v>87.93000000000001</v>
                </pt>
                <pt idx="123">
                  <v>88.34999999999999</v>
                </pt>
                <pt idx="124">
                  <v>87.8</v>
                </pt>
                <pt idx="125">
                  <v>87.59999999999999</v>
                </pt>
                <pt idx="126">
                  <v>87.62</v>
                </pt>
                <pt idx="127">
                  <v>87.13</v>
                </pt>
                <pt idx="128">
                  <v>86.55</v>
                </pt>
                <pt idx="129">
                  <v>86.76000000000001</v>
                </pt>
                <pt idx="130">
                  <v>86.54000000000001</v>
                </pt>
                <pt idx="131">
                  <v>87.48</v>
                </pt>
                <pt idx="132">
                  <v>87.54000000000001</v>
                </pt>
                <pt idx="133">
                  <v>87.52</v>
                </pt>
                <pt idx="134">
                  <v>88.53</v>
                </pt>
                <pt idx="135">
                  <v>88.06</v>
                </pt>
                <pt idx="136">
                  <v>89.23</v>
                </pt>
                <pt idx="137">
                  <v>89.72</v>
                </pt>
                <pt idx="138">
                  <v>89.87</v>
                </pt>
                <pt idx="139">
                  <v>89.53</v>
                </pt>
                <pt idx="140">
                  <v>89.62</v>
                </pt>
                <pt idx="141">
                  <v>89.41</v>
                </pt>
                <pt idx="142">
                  <v>89.73999999999999</v>
                </pt>
                <pt idx="143">
                  <v>89.90000000000001</v>
                </pt>
                <pt idx="144">
                  <v>89.91</v>
                </pt>
                <pt idx="145">
                  <v>90.27</v>
                </pt>
                <pt idx="146">
                  <v>90.81999999999999</v>
                </pt>
                <pt idx="147">
                  <v>89.61</v>
                </pt>
                <pt idx="148">
                  <v>89.43000000000001</v>
                </pt>
                <pt idx="149">
                  <v>89.15000000000001</v>
                </pt>
                <pt idx="150">
                  <v>88.79000000000001</v>
                </pt>
                <pt idx="151">
                  <v>88.45999999999999</v>
                </pt>
                <pt idx="152">
                  <v>89.23</v>
                </pt>
                <pt idx="153">
                  <v>88.28</v>
                </pt>
                <pt idx="154">
                  <v>87.14</v>
                </pt>
                <pt idx="155">
                  <v>86.97</v>
                </pt>
                <pt idx="156">
                  <v>86.54000000000001</v>
                </pt>
                <pt idx="157">
                  <v>87.20999999999999</v>
                </pt>
                <pt idx="158">
                  <v>87.45</v>
                </pt>
                <pt idx="159">
                  <v>86.95999999999999</v>
                </pt>
                <pt idx="160">
                  <v>87.48999999999999</v>
                </pt>
                <pt idx="161">
                  <v>85.83</v>
                </pt>
                <pt idx="162">
                  <v>86.39</v>
                </pt>
                <pt idx="163">
                  <v>86.01000000000001</v>
                </pt>
                <pt idx="164">
                  <v>86.84</v>
                </pt>
                <pt idx="165">
                  <v>86.11</v>
                </pt>
                <pt idx="166">
                  <v>85.64</v>
                </pt>
                <pt idx="167">
                  <v>86.78</v>
                </pt>
                <pt idx="168">
                  <v>86.69</v>
                </pt>
                <pt idx="169">
                  <v>86.26000000000001</v>
                </pt>
                <pt idx="170">
                  <v>86.79000000000001</v>
                </pt>
                <pt idx="171">
                  <v>86.65000000000001</v>
                </pt>
                <pt idx="172">
                  <v>86.64</v>
                </pt>
                <pt idx="173">
                  <v>86.92</v>
                </pt>
                <pt idx="174">
                  <v>86.7</v>
                </pt>
                <pt idx="175">
                  <v>86.48999999999999</v>
                </pt>
                <pt idx="176">
                  <v>86.75</v>
                </pt>
                <pt idx="177">
                  <v>87.20999999999999</v>
                </pt>
                <pt idx="178">
                  <v>86.83</v>
                </pt>
                <pt idx="179">
                  <v>86.28</v>
                </pt>
                <pt idx="180">
                  <v>87.06999999999999</v>
                </pt>
                <pt idx="181">
                  <v>87.05</v>
                </pt>
                <pt idx="182">
                  <v>86.56999999999999</v>
                </pt>
                <pt idx="183">
                  <v>86.73999999999999</v>
                </pt>
                <pt idx="184">
                  <v>86.55</v>
                </pt>
                <pt idx="185">
                  <v>86.70999999999999</v>
                </pt>
                <pt idx="186">
                  <v>86.28</v>
                </pt>
                <pt idx="187">
                  <v>86.37</v>
                </pt>
                <pt idx="188">
                  <v>85.7</v>
                </pt>
                <pt idx="189">
                  <v>85.62</v>
                </pt>
                <pt idx="190">
                  <v>85.61</v>
                </pt>
                <pt idx="191">
                  <v>84.95999999999999</v>
                </pt>
                <pt idx="192">
                  <v>85.43000000000001</v>
                </pt>
                <pt idx="193">
                  <v>86.08</v>
                </pt>
                <pt idx="194">
                  <v>85.65000000000001</v>
                </pt>
                <pt idx="195">
                  <v>86.08</v>
                </pt>
                <pt idx="196">
                  <v>85.56</v>
                </pt>
                <pt idx="197">
                  <v>84.98999999999999</v>
                </pt>
                <pt idx="198">
                  <v>84.8</v>
                </pt>
                <pt idx="199">
                  <v>84.92</v>
                </pt>
                <pt idx="200">
                  <v>83.66</v>
                </pt>
                <pt idx="201">
                  <v>83.56</v>
                </pt>
                <pt idx="202">
                  <v>83.02</v>
                </pt>
                <pt idx="203">
                  <v>83.91</v>
                </pt>
                <pt idx="204">
                  <v>84.22</v>
                </pt>
                <pt idx="205">
                  <v>84.68000000000001</v>
                </pt>
                <pt idx="206">
                  <v>85.09999999999999</v>
                </pt>
                <pt idx="207">
                  <v>85.3</v>
                </pt>
                <pt idx="208">
                  <v>85.73999999999999</v>
                </pt>
                <pt idx="209">
                  <v>85.76000000000001</v>
                </pt>
                <pt idx="210">
                  <v>85.47</v>
                </pt>
                <pt idx="211">
                  <v>85.65000000000001</v>
                </pt>
                <pt idx="212">
                  <v>85.31</v>
                </pt>
                <pt idx="213">
                  <v>85.5</v>
                </pt>
                <pt idx="214">
                  <v>85.06</v>
                </pt>
                <pt idx="215">
                  <v>84.62</v>
                </pt>
                <pt idx="216">
                  <v>85.12</v>
                </pt>
                <pt idx="217">
                  <v>84.88</v>
                </pt>
                <pt idx="218">
                  <v>85.98</v>
                </pt>
                <pt idx="219">
                  <v>85.77</v>
                </pt>
                <pt idx="220">
                  <v>85.72</v>
                </pt>
                <pt idx="221">
                  <v>86.19</v>
                </pt>
                <pt idx="222">
                  <v>86.33</v>
                </pt>
                <pt idx="223">
                  <v>86.75</v>
                </pt>
                <pt idx="224">
                  <v>86.09</v>
                </pt>
                <pt idx="225">
                  <v>86.2</v>
                </pt>
                <pt idx="226">
                  <v>87.38</v>
                </pt>
                <pt idx="227">
                  <v>87.34999999999999</v>
                </pt>
                <pt idx="228">
                  <v>87.36</v>
                </pt>
                <pt idx="229">
                  <v>87.45</v>
                </pt>
                <pt idx="230">
                  <v>86.42</v>
                </pt>
                <pt idx="231">
                  <v>85.52</v>
                </pt>
                <pt idx="232">
                  <v>85.51000000000001</v>
                </pt>
                <pt idx="233">
                  <v>85.45</v>
                </pt>
                <pt idx="234">
                  <v>84.55</v>
                </pt>
                <pt idx="235">
                  <v>84.36</v>
                </pt>
                <pt idx="236">
                  <v>84.48999999999999</v>
                </pt>
                <pt idx="237">
                  <v>84.47</v>
                </pt>
                <pt idx="238">
                  <v>83.97</v>
                </pt>
                <pt idx="239">
                  <v>84.08</v>
                </pt>
                <pt idx="240">
                  <v>84.23999999999999</v>
                </pt>
                <pt idx="241">
                  <v>84.20999999999999</v>
                </pt>
                <pt idx="242">
                  <v>84.52</v>
                </pt>
                <pt idx="243">
                  <v>83.89</v>
                </pt>
                <pt idx="244">
                  <v>83.66</v>
                </pt>
                <pt idx="245">
                  <v>83.44</v>
                </pt>
                <pt idx="246">
                  <v>83.17</v>
                </pt>
                <pt idx="247">
                  <v>83.25</v>
                </pt>
                <pt idx="248">
                  <v>83.75</v>
                </pt>
                <pt idx="249">
                  <v>84.23999999999999</v>
                </pt>
                <pt idx="250">
                  <v>82.84999999999999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ko-KR"/>
        </a:p>
      </txPr>
    </legend>
    <plotVisOnly val="1"/>
    <dispBlanksAs val="zero"/>
  </chart>
</chartSpace>
</file>

<file path=xl/charts/chart24.xml><?xml version="1.0" encoding="utf-8"?>
<chartSpace xmlns:a="http://schemas.openxmlformats.org/drawingml/2006/main" xmlns="http://schemas.openxmlformats.org/drawingml/2006/chart">
  <chart>
    <plotArea>
      <layout/>
      <areaChart>
        <grouping val="standard"/>
        <varyColors val="1"/>
        <ser>
          <idx val="0"/>
          <order val="0"/>
          <tx>
            <strRef>
              <f>GLD!$F$27</f>
              <strCache>
                <ptCount val="1"/>
                <pt idx="0">
                  <v>Close</v>
                </pt>
              </strCache>
            </strRef>
          </tx>
          <spPr>
            <a:solidFill>
              <a:srgbClr val="4285F4"/>
            </a:solidFill>
            <a:ln cmpd="sng">
              <a:solidFill>
                <a:srgbClr val="4285F4"/>
              </a:solidFill>
              <a:prstDash val="solid"/>
            </a:ln>
          </spPr>
          <cat>
            <numRef>
              <f>GLD!$B$28:$B$1000</f>
              <numCache>
                <formatCode>mmm" "d", "yyyy</formatCode>
                <ptCount val="973"/>
                <pt idx="0">
                  <v>45868.6666666666</v>
                </pt>
                <pt idx="1">
                  <v>45869.6666666666</v>
                </pt>
                <pt idx="2">
                  <v>45870.6666666666</v>
                </pt>
                <pt idx="3">
                  <v>45873.6666666666</v>
                </pt>
                <pt idx="4">
                  <v>45874.6666666666</v>
                </pt>
                <pt idx="5">
                  <v>45875.6666666666</v>
                </pt>
                <pt idx="6">
                  <v>45876.6666666666</v>
                </pt>
                <pt idx="7">
                  <v>45877.6666666666</v>
                </pt>
                <pt idx="8">
                  <v>45880.6666666666</v>
                </pt>
                <pt idx="9">
                  <v>45881.6666666666</v>
                </pt>
                <pt idx="10">
                  <v>45882.6666666666</v>
                </pt>
                <pt idx="11">
                  <v>45883.6666666666</v>
                </pt>
                <pt idx="12">
                  <v>45884.6666666666</v>
                </pt>
                <pt idx="13">
                  <v>45887.6666666666</v>
                </pt>
                <pt idx="14">
                  <v>45888.6666666666</v>
                </pt>
                <pt idx="15">
                  <v>45889.6666666666</v>
                </pt>
                <pt idx="16">
                  <v>45890.6666666666</v>
                </pt>
                <pt idx="17">
                  <v>45891.6666666666</v>
                </pt>
                <pt idx="18">
                  <v>45894.6666666666</v>
                </pt>
                <pt idx="19">
                  <v>45895.6666666666</v>
                </pt>
                <pt idx="20">
                  <v>45896.6666666666</v>
                </pt>
                <pt idx="21">
                  <v>45897.6666666666</v>
                </pt>
                <pt idx="22">
                  <v>45898.6666666666</v>
                </pt>
                <pt idx="23">
                  <v>45902.6666666666</v>
                </pt>
                <pt idx="24">
                  <v>45903.6666666666</v>
                </pt>
                <pt idx="25">
                  <v>45904.6666666666</v>
                </pt>
                <pt idx="26">
                  <v>45905.6666666666</v>
                </pt>
                <pt idx="27">
                  <v>45908.6666666666</v>
                </pt>
                <pt idx="28">
                  <v>45909.6666666666</v>
                </pt>
                <pt idx="29">
                  <v>45910.6666666666</v>
                </pt>
                <pt idx="30">
                  <v>45911.6666666666</v>
                </pt>
                <pt idx="31">
                  <v>45912.6666666666</v>
                </pt>
                <pt idx="32">
                  <v>45915.6666666666</v>
                </pt>
                <pt idx="33">
                  <v>45916.6666666666</v>
                </pt>
                <pt idx="34">
                  <v>45917.6666666666</v>
                </pt>
                <pt idx="35">
                  <v>45918.6666666666</v>
                </pt>
                <pt idx="36">
                  <v>45919.6666666666</v>
                </pt>
                <pt idx="37">
                  <v>45922.6666666666</v>
                </pt>
                <pt idx="38">
                  <v>45923.6666666666</v>
                </pt>
                <pt idx="39">
                  <v>45924.6666666666</v>
                </pt>
                <pt idx="40">
                  <v>45925.6666666666</v>
                </pt>
                <pt idx="41">
                  <v>45926.6666666666</v>
                </pt>
                <pt idx="42">
                  <v>45929.6666666666</v>
                </pt>
                <pt idx="43">
                  <v>45930.6666666666</v>
                </pt>
                <pt idx="44">
                  <v>45931.6666666666</v>
                </pt>
                <pt idx="45">
                  <v>45932.6666666666</v>
                </pt>
                <pt idx="46">
                  <v>45933.6666666666</v>
                </pt>
                <pt idx="47">
                  <v>45936.6666666666</v>
                </pt>
                <pt idx="48">
                  <v>45937.6666666666</v>
                </pt>
                <pt idx="49">
                  <v>45938.6666666666</v>
                </pt>
                <pt idx="50">
                  <v>45939.6666666666</v>
                </pt>
                <pt idx="51">
                  <v>45940.6666666666</v>
                </pt>
                <pt idx="52">
                  <v>45943.6666666666</v>
                </pt>
                <pt idx="53">
                  <v>45944.6666666666</v>
                </pt>
                <pt idx="54">
                  <v>45945.6666666666</v>
                </pt>
                <pt idx="55">
                  <v>45946.6666666666</v>
                </pt>
                <pt idx="56">
                  <v>45947.6666666666</v>
                </pt>
                <pt idx="57">
                  <v>45950.6666666666</v>
                </pt>
                <pt idx="58">
                  <v>45951.6666666666</v>
                </pt>
                <pt idx="59">
                  <v>45952.6666666666</v>
                </pt>
                <pt idx="60">
                  <v>45953.6666666666</v>
                </pt>
                <pt idx="61">
                  <v>45954.6666666666</v>
                </pt>
                <pt idx="62">
                  <v>45957.6666666666</v>
                </pt>
                <pt idx="63">
                  <v>45958.6666666666</v>
                </pt>
                <pt idx="64">
                  <v>45959.6666666666</v>
                </pt>
                <pt idx="65">
                  <v>45960.6666666666</v>
                </pt>
                <pt idx="66">
                  <v>45961.6666666666</v>
                </pt>
                <pt idx="67">
                  <v>45964.6666666666</v>
                </pt>
                <pt idx="68">
                  <v>45965.6666666666</v>
                </pt>
                <pt idx="69">
                  <v>45966.6666666666</v>
                </pt>
                <pt idx="70">
                  <v>45967.6666666666</v>
                </pt>
                <pt idx="71">
                  <v>45968.6666666666</v>
                </pt>
                <pt idx="72">
                  <v>45971.6666666666</v>
                </pt>
                <pt idx="73">
                  <v>45972.6666666666</v>
                </pt>
                <pt idx="74">
                  <v>45973.6666666666</v>
                </pt>
                <pt idx="75">
                  <v>45974.6666666666</v>
                </pt>
                <pt idx="76">
                  <v>45975.6666666666</v>
                </pt>
                <pt idx="77">
                  <v>45978.6666666666</v>
                </pt>
                <pt idx="78">
                  <v>45979.6666666666</v>
                </pt>
                <pt idx="79">
                  <v>45980.6666666666</v>
                </pt>
                <pt idx="80">
                  <v>45981.6666666666</v>
                </pt>
                <pt idx="81">
                  <v>45982.6666666666</v>
                </pt>
                <pt idx="82">
                  <v>45985.6666666666</v>
                </pt>
                <pt idx="83">
                  <v>45986.6666666666</v>
                </pt>
                <pt idx="84">
                  <v>45987.6666666666</v>
                </pt>
                <pt idx="85">
                  <v>45989.5520833333</v>
                </pt>
                <pt idx="86">
                  <v>45992.6666666666</v>
                </pt>
                <pt idx="87">
                  <v>45993.6666666666</v>
                </pt>
                <pt idx="88">
                  <v>45994.6666666666</v>
                </pt>
                <pt idx="89">
                  <v>45995.6666666666</v>
                </pt>
                <pt idx="90">
                  <v>45996.6666666666</v>
                </pt>
                <pt idx="91">
                  <v>45999.6666666666</v>
                </pt>
                <pt idx="92">
                  <v>46000.6666666666</v>
                </pt>
                <pt idx="93">
                  <v>46001.6666666666</v>
                </pt>
                <pt idx="94">
                  <v>46002.6666666666</v>
                </pt>
                <pt idx="95">
                  <v>46003.6666666666</v>
                </pt>
                <pt idx="96">
                  <v>46006.6666666666</v>
                </pt>
                <pt idx="97">
                  <v>46007.6666666666</v>
                </pt>
                <pt idx="98">
                  <v>46008.6666666666</v>
                </pt>
                <pt idx="99">
                  <v>46009.6666666666</v>
                </pt>
                <pt idx="100">
                  <v>46010.6666666666</v>
                </pt>
                <pt idx="101">
                  <v>46013.6666666666</v>
                </pt>
                <pt idx="102">
                  <v>46014.6666666666</v>
                </pt>
                <pt idx="103">
                  <v>46015.5416666666</v>
                </pt>
                <pt idx="104">
                  <v>46017.6666666666</v>
                </pt>
                <pt idx="105">
                  <v>46020.6666666666</v>
                </pt>
                <pt idx="106">
                  <v>46021.6666666666</v>
                </pt>
                <pt idx="107">
                  <v>46022.6666666666</v>
                </pt>
                <pt idx="108">
                  <v>46024.6666666666</v>
                </pt>
                <pt idx="109">
                  <v>46027.6666666666</v>
                </pt>
                <pt idx="110">
                  <v>46028.6666666666</v>
                </pt>
                <pt idx="111">
                  <v>46029.6666666666</v>
                </pt>
                <pt idx="112">
                  <v>46030.6666666666</v>
                </pt>
                <pt idx="113">
                  <v>46031.6666666666</v>
                </pt>
                <pt idx="114">
                  <v>46034.6666666666</v>
                </pt>
                <pt idx="115">
                  <v>46035.6666666666</v>
                </pt>
                <pt idx="116">
                  <v>46036.6666666666</v>
                </pt>
                <pt idx="117">
                  <v>46037.6666666666</v>
                </pt>
                <pt idx="118">
                  <v>46038.6666666666</v>
                </pt>
                <pt idx="119">
                  <v>46042.6666666666</v>
                </pt>
                <pt idx="120">
                  <v>46043.6666666666</v>
                </pt>
                <pt idx="121">
                  <v>46044.6666666666</v>
                </pt>
                <pt idx="122">
                  <v>46045.6666666666</v>
                </pt>
                <pt idx="123">
                  <v>46048.6666666666</v>
                </pt>
                <pt idx="124">
                  <v>46049.6666666666</v>
                </pt>
                <pt idx="125">
                  <v>46050.6666666666</v>
                </pt>
                <pt idx="126">
                  <v>46051.6666666666</v>
                </pt>
                <pt idx="127">
                  <v>46052.6666666666</v>
                </pt>
                <pt idx="128">
                  <v>46055.6666666666</v>
                </pt>
                <pt idx="129">
                  <v>46056.6666666666</v>
                </pt>
                <pt idx="130">
                  <v>46057.6666666666</v>
                </pt>
                <pt idx="131">
                  <v>46058.6666666666</v>
                </pt>
                <pt idx="132">
                  <v>46059.6666666666</v>
                </pt>
                <pt idx="133">
                  <v>46062.6666666666</v>
                </pt>
                <pt idx="134">
                  <v>46063.6666666666</v>
                </pt>
                <pt idx="135">
                  <v>46064.6666666666</v>
                </pt>
                <pt idx="136">
                  <v>46065.6666666666</v>
                </pt>
                <pt idx="137">
                  <v>46066.6666666666</v>
                </pt>
                <pt idx="138">
                  <v>46070.6666666666</v>
                </pt>
                <pt idx="139">
                  <v>46071.6666666666</v>
                </pt>
                <pt idx="140">
                  <v>46072.6666666666</v>
                </pt>
                <pt idx="141">
                  <v>46073.6666666666</v>
                </pt>
                <pt idx="142">
                  <v>46076.6666666666</v>
                </pt>
                <pt idx="143">
                  <v>46077.6666666666</v>
                </pt>
                <pt idx="144">
                  <v>46078.6666666666</v>
                </pt>
                <pt idx="145">
                  <v>46079.6666666666</v>
                </pt>
                <pt idx="146">
                  <v>46080.6666666666</v>
                </pt>
                <pt idx="147">
                  <v>46083.6666666666</v>
                </pt>
                <pt idx="148">
                  <v>46084.6666666666</v>
                </pt>
                <pt idx="149">
                  <v>46085.6666666666</v>
                </pt>
                <pt idx="150">
                  <v>46086.6666666666</v>
                </pt>
                <pt idx="151">
                  <v>46087.6666666666</v>
                </pt>
                <pt idx="152">
                  <v>46090.6666666666</v>
                </pt>
                <pt idx="153">
                  <v>46091.6666666666</v>
                </pt>
                <pt idx="154">
                  <v>46092.6666666666</v>
                </pt>
                <pt idx="155">
                  <v>46093.6666666666</v>
                </pt>
                <pt idx="156">
                  <v>46094.6666666666</v>
                </pt>
                <pt idx="157">
                  <v>46097.6666666666</v>
                </pt>
                <pt idx="158">
                  <v>46098.6666666666</v>
                </pt>
                <pt idx="159">
                  <v>46099.6666666666</v>
                </pt>
                <pt idx="160">
                  <v>46100.6666666666</v>
                </pt>
                <pt idx="161">
                  <v>46101.6666666666</v>
                </pt>
                <pt idx="162">
                  <v>46104.6666666666</v>
                </pt>
                <pt idx="163">
                  <v>46105.6666666666</v>
                </pt>
                <pt idx="164">
                  <v>46106.6666666666</v>
                </pt>
                <pt idx="165">
                  <v>46107.6666666666</v>
                </pt>
                <pt idx="166">
                  <v>46108.6666666666</v>
                </pt>
                <pt idx="167">
                  <v>46111.6666666666</v>
                </pt>
                <pt idx="168">
                  <v>46112.6666666666</v>
                </pt>
                <pt idx="169">
                  <v>46113.6666666666</v>
                </pt>
                <pt idx="170">
                  <v>46114.6666666666</v>
                </pt>
                <pt idx="171">
                  <v>46118.6666666666</v>
                </pt>
                <pt idx="172">
                  <v>46119.6666666666</v>
                </pt>
                <pt idx="173">
                  <v>46120.6666666666</v>
                </pt>
                <pt idx="174">
                  <v>46121.6666666666</v>
                </pt>
                <pt idx="175">
                  <v>46122.6666666666</v>
                </pt>
                <pt idx="176">
                  <v>46125.6666666666</v>
                </pt>
                <pt idx="177">
                  <v>46126.6666666666</v>
                </pt>
                <pt idx="178">
                  <v>46127.6666666666</v>
                </pt>
                <pt idx="179">
                  <v>46128.6666666666</v>
                </pt>
                <pt idx="180">
                  <v>46129.6666666666</v>
                </pt>
                <pt idx="181">
                  <v>46132.6666666666</v>
                </pt>
                <pt idx="182">
                  <v>46133.6666666666</v>
                </pt>
                <pt idx="183">
                  <v>46134.6666666666</v>
                </pt>
                <pt idx="184">
                  <v>46135.6666666666</v>
                </pt>
                <pt idx="185">
                  <v>46136.6666666666</v>
                </pt>
                <pt idx="186">
                  <v>46139.6666666666</v>
                </pt>
                <pt idx="187">
                  <v>46140.6666666666</v>
                </pt>
                <pt idx="188">
                  <v>46141.6666666666</v>
                </pt>
                <pt idx="189">
                  <v>46142.6666666666</v>
                </pt>
                <pt idx="190">
                  <v>46143.6666666666</v>
                </pt>
                <pt idx="191">
                  <v>46146.6666666666</v>
                </pt>
                <pt idx="192">
                  <v>46147.6666666666</v>
                </pt>
                <pt idx="193">
                  <v>46148.6666666666</v>
                </pt>
                <pt idx="194">
                  <v>46149.6666666666</v>
                </pt>
                <pt idx="195">
                  <v>46150.6666666666</v>
                </pt>
                <pt idx="196">
                  <v>46153.6666666666</v>
                </pt>
                <pt idx="197">
                  <v>46154.6666666666</v>
                </pt>
                <pt idx="198">
                  <v>46155.6666666666</v>
                </pt>
                <pt idx="199">
                  <v>46156.6666666666</v>
                </pt>
                <pt idx="200">
                  <v>46157.6666666666</v>
                </pt>
                <pt idx="201">
                  <v>46160.6666666666</v>
                </pt>
                <pt idx="202">
                  <v>46161.6666666666</v>
                </pt>
                <pt idx="203">
                  <v>46162.6666666666</v>
                </pt>
                <pt idx="204">
                  <v>46163.6666666666</v>
                </pt>
                <pt idx="205">
                  <v>46164.6666666666</v>
                </pt>
                <pt idx="206">
                  <v>46168.6666666666</v>
                </pt>
                <pt idx="207">
                  <v>46169.6666666666</v>
                </pt>
                <pt idx="208">
                  <v>46170.6666666666</v>
                </pt>
                <pt idx="209">
                  <v>46171.6666666666</v>
                </pt>
                <pt idx="210">
                  <v>46174.6666666666</v>
                </pt>
                <pt idx="211">
                  <v>46175.6666666666</v>
                </pt>
                <pt idx="212">
                  <v>46176.6666666666</v>
                </pt>
                <pt idx="213">
                  <v>46177.6666666666</v>
                </pt>
                <pt idx="214">
                  <v>46178.6666666666</v>
                </pt>
                <pt idx="215">
                  <v>46181.6666666666</v>
                </pt>
                <pt idx="216">
                  <v>46182.6666666666</v>
                </pt>
                <pt idx="217">
                  <v>46183.6666666666</v>
                </pt>
                <pt idx="218">
                  <v>46184.6666666666</v>
                </pt>
                <pt idx="219">
                  <v>46185.6666666666</v>
                </pt>
                <pt idx="220">
                  <v>46188.6666666666</v>
                </pt>
                <pt idx="221">
                  <v>46189.6666666666</v>
                </pt>
                <pt idx="222">
                  <v>46190.6666666666</v>
                </pt>
                <pt idx="223">
                  <v>46191.6666666666</v>
                </pt>
                <pt idx="224">
                  <v>46195.6666666666</v>
                </pt>
                <pt idx="225">
                  <v>46196.6666666666</v>
                </pt>
                <pt idx="226">
                  <v>46197.6666666666</v>
                </pt>
                <pt idx="227">
                  <v>46198.6666666666</v>
                </pt>
                <pt idx="228">
                  <v>46199.6666666666</v>
                </pt>
                <pt idx="229">
                  <v>46202.6666666666</v>
                </pt>
                <pt idx="230">
                  <v>46203.6666666666</v>
                </pt>
                <pt idx="231">
                  <v>46204.6666666666</v>
                </pt>
                <pt idx="232">
                  <v>46205.6666666666</v>
                </pt>
                <pt idx="233">
                  <v>46209.6666666666</v>
                </pt>
                <pt idx="234">
                  <v>46210.6666666666</v>
                </pt>
                <pt idx="235">
                  <v>46211.6666666666</v>
                </pt>
                <pt idx="236">
                  <v>46212.6666666666</v>
                </pt>
                <pt idx="237">
                  <v>46213.6666666666</v>
                </pt>
                <pt idx="238">
                  <v>46216.6666666666</v>
                </pt>
                <pt idx="239">
                  <v>46217.6666666666</v>
                </pt>
                <pt idx="240">
                  <v>46218.6666666666</v>
                </pt>
                <pt idx="241">
                  <v>46219.6666666666</v>
                </pt>
                <pt idx="242">
                  <v>46220.6666666666</v>
                </pt>
                <pt idx="243">
                  <v>46223.6666666666</v>
                </pt>
                <pt idx="244">
                  <v>46224.6666666666</v>
                </pt>
                <pt idx="245">
                  <v>46225.6666666666</v>
                </pt>
                <pt idx="246">
                  <v>46226.6666666666</v>
                </pt>
                <pt idx="247">
                  <v>46227.6666666666</v>
                </pt>
                <pt idx="248">
                  <v>46230.6666666666</v>
                </pt>
                <pt idx="249">
                  <v>46231.6666666666</v>
                </pt>
                <pt idx="250">
                  <v>46232.6666666666</v>
                </pt>
              </numCache>
            </numRef>
          </cat>
          <val>
            <numRef>
              <f>GLD!$F$28:$F$1000</f>
              <numCache>
                <formatCode>#,##0.00</formatCode>
                <ptCount val="973"/>
                <pt idx="0">
                  <v>300.96</v>
                </pt>
                <pt idx="1">
                  <v>302.96</v>
                </pt>
                <pt idx="2">
                  <v>309.11</v>
                </pt>
                <pt idx="3">
                  <v>310.91</v>
                </pt>
                <pt idx="4">
                  <v>311.16</v>
                </pt>
                <pt idx="5">
                  <v>310.5</v>
                </pt>
                <pt idx="6">
                  <v>313.12</v>
                </pt>
                <pt idx="7">
                  <v>313.05</v>
                </pt>
                <pt idx="8">
                  <v>308.55</v>
                </pt>
                <pt idx="9">
                  <v>308.27</v>
                </pt>
                <pt idx="10">
                  <v>309.21</v>
                </pt>
                <pt idx="11">
                  <v>307.25</v>
                </pt>
                <pt idx="12">
                  <v>307.43</v>
                </pt>
                <pt idx="13">
                  <v>306.95</v>
                </pt>
                <pt idx="14">
                  <v>305.27</v>
                </pt>
                <pt idx="15">
                  <v>308.36</v>
                </pt>
                <pt idx="16">
                  <v>307.29</v>
                </pt>
                <pt idx="17">
                  <v>310.58</v>
                </pt>
                <pt idx="18">
                  <v>309.83</v>
                </pt>
                <pt idx="19">
                  <v>312.08</v>
                </pt>
                <pt idx="20">
                  <v>312.71</v>
                </pt>
                <pt idx="21">
                  <v>315.03</v>
                </pt>
                <pt idx="22">
                  <v>318.07</v>
                </pt>
                <pt idx="23">
                  <v>325.59</v>
                </pt>
                <pt idx="24">
                  <v>328.14</v>
                </pt>
                <pt idx="25">
                  <v>326.69</v>
                </pt>
                <pt idx="26">
                  <v>331.05</v>
                </pt>
                <pt idx="27">
                  <v>334.82</v>
                </pt>
                <pt idx="28">
                  <v>334.06</v>
                </pt>
                <pt idx="29">
                  <v>335.26</v>
                </pt>
                <pt idx="30">
                  <v>334.76</v>
                </pt>
                <pt idx="31">
                  <v>335.42</v>
                </pt>
                <pt idx="32">
                  <v>338.91</v>
                </pt>
                <pt idx="33">
                  <v>339.59</v>
                </pt>
                <pt idx="34">
                  <v>336.97</v>
                </pt>
                <pt idx="35">
                  <v>335.62</v>
                </pt>
                <pt idx="36">
                  <v>339.18</v>
                </pt>
                <pt idx="37">
                  <v>345.05</v>
                </pt>
                <pt idx="38">
                  <v>346.46</v>
                </pt>
                <pt idx="39">
                  <v>343.32</v>
                </pt>
                <pt idx="40">
                  <v>344.75</v>
                </pt>
                <pt idx="41">
                  <v>346.74</v>
                </pt>
                <pt idx="42">
                  <v>352.46</v>
                </pt>
                <pt idx="43">
                  <v>355.47</v>
                </pt>
                <pt idx="44">
                  <v>356.03</v>
                </pt>
                <pt idx="45">
                  <v>354.79</v>
                </pt>
                <pt idx="46">
                  <v>357.64</v>
                </pt>
                <pt idx="47">
                  <v>364.38</v>
                </pt>
                <pt idx="48">
                  <v>366.26</v>
                </pt>
                <pt idx="49">
                  <v>372.3</v>
                </pt>
                <pt idx="50">
                  <v>365.43</v>
                </pt>
                <pt idx="51">
                  <v>369.12</v>
                </pt>
                <pt idx="52">
                  <v>378.09</v>
                </pt>
                <pt idx="53">
                  <v>380.79</v>
                </pt>
                <pt idx="54">
                  <v>387.39</v>
                </pt>
                <pt idx="55">
                  <v>396.45</v>
                </pt>
                <pt idx="56">
                  <v>388.99</v>
                </pt>
                <pt idx="57">
                  <v>403.15</v>
                </pt>
                <pt idx="58">
                  <v>377.24</v>
                </pt>
                <pt idx="59">
                  <v>377.28</v>
                </pt>
                <pt idx="60">
                  <v>378.79</v>
                </pt>
                <pt idx="61">
                  <v>377.52</v>
                </pt>
                <pt idx="62">
                  <v>367.01</v>
                </pt>
                <pt idx="63">
                  <v>364.38</v>
                </pt>
                <pt idx="64">
                  <v>363</v>
                </pt>
                <pt idx="65">
                  <v>370.13</v>
                </pt>
                <pt idx="66">
                  <v>368.12</v>
                </pt>
                <pt idx="67">
                  <v>368.78</v>
                </pt>
                <pt idx="68">
                  <v>362.32</v>
                </pt>
                <pt idx="69">
                  <v>366.51</v>
                </pt>
                <pt idx="70">
                  <v>366.07</v>
                </pt>
                <pt idx="71">
                  <v>368.31</v>
                </pt>
                <pt idx="72">
                  <v>378.38</v>
                </pt>
                <pt idx="73">
                  <v>379.87</v>
                </pt>
                <pt idx="74">
                  <v>385.99</v>
                </pt>
                <pt idx="75">
                  <v>382.87</v>
                </pt>
                <pt idx="76">
                  <v>375.96</v>
                </pt>
                <pt idx="77">
                  <v>371.65</v>
                </pt>
                <pt idx="78">
                  <v>374.35</v>
                </pt>
                <pt idx="79">
                  <v>374.96</v>
                </pt>
                <pt idx="80">
                  <v>374.85</v>
                </pt>
                <pt idx="81">
                  <v>374.27</v>
                </pt>
                <pt idx="82">
                  <v>380.2</v>
                </pt>
                <pt idx="83">
                  <v>380.08</v>
                </pt>
                <pt idx="84">
                  <v>383.12</v>
                </pt>
                <pt idx="85">
                  <v>387.88</v>
                </pt>
                <pt idx="86">
                  <v>389.75</v>
                </pt>
                <pt idx="87">
                  <v>387.24</v>
                </pt>
                <pt idx="88">
                  <v>386.88</v>
                </pt>
                <pt idx="89">
                  <v>387.13</v>
                </pt>
                <pt idx="90">
                  <v>386.44</v>
                </pt>
                <pt idx="91">
                  <v>385.42</v>
                </pt>
                <pt idx="92">
                  <v>387.4</v>
                </pt>
                <pt idx="93">
                  <v>389.05</v>
                </pt>
                <pt idx="94">
                  <v>393.24</v>
                </pt>
                <pt idx="95">
                  <v>395.44</v>
                </pt>
                <pt idx="96">
                  <v>395.8</v>
                </pt>
                <pt idx="97">
                  <v>395.89</v>
                </pt>
                <pt idx="98">
                  <v>399.29</v>
                </pt>
                <pt idx="99">
                  <v>398.57</v>
                </pt>
                <pt idx="100">
                  <v>399.02</v>
                </pt>
                <pt idx="101">
                  <v>408.23</v>
                </pt>
                <pt idx="102">
                  <v>413.64</v>
                </pt>
                <pt idx="103">
                  <v>411.93</v>
                </pt>
                <pt idx="104">
                  <v>416.74</v>
                </pt>
                <pt idx="105">
                  <v>398.6</v>
                </pt>
                <pt idx="106">
                  <v>398.89</v>
                </pt>
                <pt idx="107">
                  <v>396.31</v>
                </pt>
                <pt idx="108">
                  <v>398.28</v>
                </pt>
                <pt idx="109">
                  <v>408.76</v>
                </pt>
                <pt idx="110">
                  <v>413.18</v>
                </pt>
                <pt idx="111">
                  <v>409.23</v>
                </pt>
                <pt idx="112">
                  <v>411.49</v>
                </pt>
                <pt idx="113">
                  <v>414.47</v>
                </pt>
                <pt idx="114">
                  <v>422.23</v>
                </pt>
                <pt idx="115">
                  <v>421.63</v>
                </pt>
                <pt idx="116">
                  <v>425.94</v>
                </pt>
                <pt idx="117">
                  <v>423.33</v>
                </pt>
                <pt idx="118">
                  <v>421.29</v>
                </pt>
                <pt idx="119">
                  <v>437.23</v>
                </pt>
                <pt idx="120">
                  <v>443.6</v>
                </pt>
                <pt idx="121">
                  <v>451.79</v>
                </pt>
                <pt idx="122">
                  <v>458</v>
                </pt>
                <pt idx="123">
                  <v>464.7</v>
                </pt>
                <pt idx="124">
                  <v>476.1</v>
                </pt>
                <pt idx="125">
                  <v>494.56</v>
                </pt>
                <pt idx="126">
                  <v>495.9</v>
                </pt>
                <pt idx="127">
                  <v>444.95</v>
                </pt>
                <pt idx="128">
                  <v>427.13</v>
                </pt>
                <pt idx="129">
                  <v>454.29</v>
                </pt>
                <pt idx="130">
                  <v>453.97</v>
                </pt>
                <pt idx="131">
                  <v>441.88</v>
                </pt>
                <pt idx="132">
                  <v>455.46</v>
                </pt>
                <pt idx="133">
                  <v>467.03</v>
                </pt>
                <pt idx="134">
                  <v>462.4</v>
                </pt>
                <pt idx="135">
                  <v>467.63</v>
                </pt>
                <pt idx="136">
                  <v>451.39</v>
                </pt>
                <pt idx="137">
                  <v>462.62</v>
                </pt>
                <pt idx="138">
                  <v>448.2</v>
                </pt>
                <pt idx="139">
                  <v>458.28</v>
                </pt>
                <pt idx="140">
                  <v>459.56</v>
                </pt>
                <pt idx="141">
                  <v>468.62</v>
                </pt>
                <pt idx="142">
                  <v>481.28</v>
                </pt>
                <pt idx="143">
                  <v>474.61</v>
                </pt>
                <pt idx="144">
                  <v>473.42</v>
                </pt>
                <pt idx="145">
                  <v>477.48</v>
                </pt>
                <pt idx="146">
                  <v>483.75</v>
                </pt>
                <pt idx="147">
                  <v>490</v>
                </pt>
                <pt idx="148">
                  <v>468.14</v>
                </pt>
                <pt idx="149">
                  <v>471.8</v>
                </pt>
                <pt idx="150">
                  <v>466.13</v>
                </pt>
                <pt idx="151">
                  <v>473.51</v>
                </pt>
                <pt idx="152">
                  <v>472.53</v>
                </pt>
                <pt idx="153">
                  <v>477.86</v>
                </pt>
                <pt idx="154">
                  <v>476.24</v>
                </pt>
                <pt idx="155">
                  <v>466.88</v>
                </pt>
                <pt idx="156">
                  <v>460.84</v>
                </pt>
                <pt idx="157">
                  <v>460.43</v>
                </pt>
                <pt idx="158">
                  <v>459.27</v>
                </pt>
                <pt idx="159">
                  <v>444.74</v>
                </pt>
                <pt idx="160">
                  <v>426.41</v>
                </pt>
                <pt idx="161">
                  <v>413.38</v>
                </pt>
                <pt idx="162">
                  <v>404.04</v>
                </pt>
                <pt idx="163">
                  <v>404.13</v>
                </pt>
                <pt idx="164">
                  <v>416.29</v>
                </pt>
                <pt idx="165">
                  <v>400.64</v>
                </pt>
                <pt idx="166">
                  <v>414.7</v>
                </pt>
                <pt idx="167">
                  <v>414.58</v>
                </pt>
                <pt idx="168">
                  <v>430.29</v>
                </pt>
                <pt idx="169">
                  <v>437.82</v>
                </pt>
                <pt idx="170">
                  <v>429.41</v>
                </pt>
                <pt idx="171">
                  <v>427.65</v>
                </pt>
                <pt idx="172">
                  <v>431.81</v>
                </pt>
                <pt idx="173">
                  <v>434.53</v>
                </pt>
                <pt idx="174">
                  <v>437.91</v>
                </pt>
                <pt idx="175">
                  <v>437.13</v>
                </pt>
                <pt idx="176">
                  <v>435.36</v>
                </pt>
                <pt idx="177">
                  <v>445.09</v>
                </pt>
                <pt idx="178">
                  <v>440.46</v>
                </pt>
                <pt idx="179">
                  <v>440.08</v>
                </pt>
                <pt idx="180">
                  <v>445.93</v>
                </pt>
                <pt idx="181">
                  <v>442.09</v>
                </pt>
                <pt idx="182">
                  <v>429.57</v>
                </pt>
                <pt idx="183">
                  <v>435.26</v>
                </pt>
                <pt idx="184">
                  <v>431.04</v>
                </pt>
                <pt idx="185">
                  <v>433.25</v>
                </pt>
                <pt idx="186">
                  <v>429.89</v>
                </pt>
                <pt idx="187">
                  <v>421.91</v>
                </pt>
                <pt idx="188">
                  <v>417.41</v>
                </pt>
                <pt idx="189">
                  <v>423.66</v>
                </pt>
                <pt idx="190">
                  <v>423.18</v>
                </pt>
                <pt idx="191">
                  <v>414.71</v>
                </pt>
                <pt idx="192">
                  <v>418.27</v>
                </pt>
                <pt idx="193">
                  <v>430.96</v>
                </pt>
                <pt idx="194">
                  <v>431.68</v>
                </pt>
                <pt idx="195">
                  <v>433.77</v>
                </pt>
                <pt idx="196">
                  <v>434.65</v>
                </pt>
                <pt idx="197">
                  <v>432.93</v>
                </pt>
                <pt idx="198">
                  <v>430.5</v>
                </pt>
                <pt idx="199">
                  <v>427.21</v>
                </pt>
                <pt idx="200">
                  <v>417.29</v>
                </pt>
                <pt idx="201">
                  <v>418.43</v>
                </pt>
                <pt idx="202">
                  <v>411.5</v>
                </pt>
                <pt idx="203">
                  <v>417.4</v>
                </pt>
                <pt idx="204">
                  <v>416.99</v>
                </pt>
                <pt idx="205">
                  <v>413.82</v>
                </pt>
                <pt idx="206">
                  <v>414</v>
                </pt>
                <pt idx="207">
                  <v>408.49</v>
                </pt>
                <pt idx="208">
                  <v>412.77</v>
                </pt>
                <pt idx="209">
                  <v>417.12</v>
                </pt>
                <pt idx="210">
                  <v>411.26</v>
                </pt>
                <pt idx="211">
                  <v>411.95</v>
                </pt>
                <pt idx="212">
                  <v>407.87</v>
                </pt>
                <pt idx="213">
                  <v>411.27</v>
                </pt>
                <pt idx="214">
                  <v>396.24</v>
                </pt>
                <pt idx="215">
                  <v>397.27</v>
                </pt>
                <pt idx="216">
                  <v>390.78</v>
                </pt>
                <pt idx="217">
                  <v>374.58</v>
                </pt>
                <pt idx="218">
                  <v>386.32</v>
                </pt>
                <pt idx="219">
                  <v>386.54</v>
                </pt>
                <pt idx="220">
                  <v>396.55</v>
                </pt>
                <pt idx="221">
                  <v>397.63</v>
                </pt>
                <pt idx="222">
                  <v>388.6</v>
                </pt>
                <pt idx="223">
                  <v>387.12</v>
                </pt>
                <pt idx="224">
                  <v>384.59</v>
                </pt>
                <pt idx="225">
                  <v>377.32</v>
                </pt>
                <pt idx="226">
                  <v>365.92</v>
                </pt>
                <pt idx="227">
                  <v>369.46</v>
                </pt>
                <pt idx="228">
                  <v>373.63</v>
                </pt>
                <pt idx="229">
                  <v>368.58</v>
                </pt>
                <pt idx="230">
                  <v>368.38</v>
                </pt>
                <pt idx="231">
                  <v>370.6</v>
                </pt>
                <pt idx="232">
                  <v>378.13</v>
                </pt>
                <pt idx="233">
                  <v>382.13</v>
                </pt>
                <pt idx="234">
                  <v>377.49</v>
                </pt>
                <pt idx="235">
                  <v>374.45</v>
                </pt>
                <pt idx="236">
                  <v>378.18</v>
                </pt>
                <pt idx="237">
                  <v>377.01</v>
                </pt>
                <pt idx="238">
                  <v>367.13</v>
                </pt>
                <pt idx="239">
                  <v>372.15</v>
                </pt>
                <pt idx="240">
                  <v>372.35</v>
                </pt>
                <pt idx="241">
                  <v>364.96</v>
                </pt>
                <pt idx="242">
                  <v>368.41</v>
                </pt>
                <pt idx="243">
                  <v>367.6</v>
                </pt>
                <pt idx="244">
                  <v>374.81</v>
                </pt>
                <pt idx="245">
                  <v>379.12</v>
                </pt>
                <pt idx="246">
                  <v>371.52</v>
                </pt>
                <pt idx="247">
                  <v>371.9</v>
                </pt>
                <pt idx="248">
                  <v>374.63</v>
                </pt>
                <pt idx="249">
                  <v>369.37</v>
                </pt>
                <pt idx="250">
                  <v>371.08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ko-KR"/>
        </a:p>
      </txPr>
    </legend>
    <plotVisOnly val="1"/>
    <dispBlanksAs val="zero"/>
  </chart>
</chartSpace>
</file>

<file path=xl/charts/chart25.xml><?xml version="1.0" encoding="utf-8"?>
<chartSpace xmlns:a="http://schemas.openxmlformats.org/drawingml/2006/main" xmlns="http://schemas.openxmlformats.org/drawingml/2006/chart">
  <chart>
    <plotArea>
      <layout/>
      <areaChart>
        <grouping val="standard"/>
        <varyColors val="1"/>
        <ser>
          <idx val="0"/>
          <order val="0"/>
          <tx>
            <strRef>
              <f>BIL!$F$27</f>
              <strCache>
                <ptCount val="1"/>
                <pt idx="0">
                  <v>Close</v>
                </pt>
              </strCache>
            </strRef>
          </tx>
          <spPr>
            <a:solidFill>
              <a:srgbClr val="4285F4"/>
            </a:solidFill>
            <a:ln cmpd="sng">
              <a:solidFill>
                <a:srgbClr val="4285F4"/>
              </a:solidFill>
              <a:prstDash val="solid"/>
            </a:ln>
          </spPr>
          <cat>
            <numRef>
              <f>BIL!$B$28:$B$1000</f>
              <numCache>
                <formatCode>mmm" "d", "yyyy</formatCode>
                <ptCount val="973"/>
                <pt idx="0">
                  <v>45868.6666666666</v>
                </pt>
                <pt idx="1">
                  <v>45869.6666666666</v>
                </pt>
                <pt idx="2">
                  <v>45870.6666666666</v>
                </pt>
                <pt idx="3">
                  <v>45873.6666666666</v>
                </pt>
                <pt idx="4">
                  <v>45874.6666666666</v>
                </pt>
                <pt idx="5">
                  <v>45875.6666666666</v>
                </pt>
                <pt idx="6">
                  <v>45876.6666666666</v>
                </pt>
                <pt idx="7">
                  <v>45877.6666666666</v>
                </pt>
                <pt idx="8">
                  <v>45880.6666666666</v>
                </pt>
                <pt idx="9">
                  <v>45881.6666666666</v>
                </pt>
                <pt idx="10">
                  <v>45882.6666666666</v>
                </pt>
                <pt idx="11">
                  <v>45883.6666666666</v>
                </pt>
                <pt idx="12">
                  <v>45884.6666666666</v>
                </pt>
                <pt idx="13">
                  <v>45887.6666666666</v>
                </pt>
                <pt idx="14">
                  <v>45888.6666666666</v>
                </pt>
                <pt idx="15">
                  <v>45889.6666666666</v>
                </pt>
                <pt idx="16">
                  <v>45890.6666666666</v>
                </pt>
                <pt idx="17">
                  <v>45891.6666666666</v>
                </pt>
                <pt idx="18">
                  <v>45894.6666666666</v>
                </pt>
                <pt idx="19">
                  <v>45895.6666666666</v>
                </pt>
                <pt idx="20">
                  <v>45896.6666666666</v>
                </pt>
                <pt idx="21">
                  <v>45897.6666666666</v>
                </pt>
                <pt idx="22">
                  <v>45898.6666666666</v>
                </pt>
                <pt idx="23">
                  <v>45902.6666666666</v>
                </pt>
                <pt idx="24">
                  <v>45903.6666666666</v>
                </pt>
                <pt idx="25">
                  <v>45904.6666666666</v>
                </pt>
                <pt idx="26">
                  <v>45905.6666666666</v>
                </pt>
                <pt idx="27">
                  <v>45908.6666666666</v>
                </pt>
                <pt idx="28">
                  <v>45909.6666666666</v>
                </pt>
                <pt idx="29">
                  <v>45910.6666666666</v>
                </pt>
                <pt idx="30">
                  <v>45911.6666666666</v>
                </pt>
                <pt idx="31">
                  <v>45912.6666666666</v>
                </pt>
                <pt idx="32">
                  <v>45915.6666666666</v>
                </pt>
                <pt idx="33">
                  <v>45916.6666666666</v>
                </pt>
                <pt idx="34">
                  <v>45917.6666666666</v>
                </pt>
                <pt idx="35">
                  <v>45918.6666666666</v>
                </pt>
                <pt idx="36">
                  <v>45919.6666666666</v>
                </pt>
                <pt idx="37">
                  <v>45922.6666666666</v>
                </pt>
                <pt idx="38">
                  <v>45923.6666666666</v>
                </pt>
                <pt idx="39">
                  <v>45924.6666666666</v>
                </pt>
                <pt idx="40">
                  <v>45925.6666666666</v>
                </pt>
                <pt idx="41">
                  <v>45926.6666666666</v>
                </pt>
                <pt idx="42">
                  <v>45929.6666666666</v>
                </pt>
                <pt idx="43">
                  <v>45930.6666666666</v>
                </pt>
                <pt idx="44">
                  <v>45931.6666666666</v>
                </pt>
                <pt idx="45">
                  <v>45932.6666666666</v>
                </pt>
                <pt idx="46">
                  <v>45933.6666666666</v>
                </pt>
                <pt idx="47">
                  <v>45936.6666666666</v>
                </pt>
                <pt idx="48">
                  <v>45937.6666666666</v>
                </pt>
                <pt idx="49">
                  <v>45938.6666666666</v>
                </pt>
                <pt idx="50">
                  <v>45939.6666666666</v>
                </pt>
                <pt idx="51">
                  <v>45940.6666666666</v>
                </pt>
                <pt idx="52">
                  <v>45943.6666666666</v>
                </pt>
                <pt idx="53">
                  <v>45944.6666666666</v>
                </pt>
                <pt idx="54">
                  <v>45945.6666666666</v>
                </pt>
                <pt idx="55">
                  <v>45946.6666666666</v>
                </pt>
                <pt idx="56">
                  <v>45947.6666666666</v>
                </pt>
                <pt idx="57">
                  <v>45950.6666666666</v>
                </pt>
                <pt idx="58">
                  <v>45951.6666666666</v>
                </pt>
                <pt idx="59">
                  <v>45952.6666666666</v>
                </pt>
                <pt idx="60">
                  <v>45953.6666666666</v>
                </pt>
                <pt idx="61">
                  <v>45954.6666666666</v>
                </pt>
                <pt idx="62">
                  <v>45957.6666666666</v>
                </pt>
                <pt idx="63">
                  <v>45958.6666666666</v>
                </pt>
                <pt idx="64">
                  <v>45959.6666666666</v>
                </pt>
                <pt idx="65">
                  <v>45960.6666666666</v>
                </pt>
                <pt idx="66">
                  <v>45961.6666666666</v>
                </pt>
                <pt idx="67">
                  <v>45964.6666666666</v>
                </pt>
                <pt idx="68">
                  <v>45965.6666666666</v>
                </pt>
                <pt idx="69">
                  <v>45966.6666666666</v>
                </pt>
                <pt idx="70">
                  <v>45967.6666666666</v>
                </pt>
                <pt idx="71">
                  <v>45968.6666666666</v>
                </pt>
                <pt idx="72">
                  <v>45971.6666666666</v>
                </pt>
                <pt idx="73">
                  <v>45972.6666666666</v>
                </pt>
                <pt idx="74">
                  <v>45973.6666666666</v>
                </pt>
                <pt idx="75">
                  <v>45974.6666666666</v>
                </pt>
                <pt idx="76">
                  <v>45975.6666666666</v>
                </pt>
                <pt idx="77">
                  <v>45978.6666666666</v>
                </pt>
                <pt idx="78">
                  <v>45979.6666666666</v>
                </pt>
                <pt idx="79">
                  <v>45980.6666666666</v>
                </pt>
                <pt idx="80">
                  <v>45981.6666666666</v>
                </pt>
                <pt idx="81">
                  <v>45982.6666666666</v>
                </pt>
                <pt idx="82">
                  <v>45985.6666666666</v>
                </pt>
                <pt idx="83">
                  <v>45986.6666666666</v>
                </pt>
                <pt idx="84">
                  <v>45987.6666666666</v>
                </pt>
                <pt idx="85">
                  <v>45989.5520833333</v>
                </pt>
                <pt idx="86">
                  <v>45992.6666666666</v>
                </pt>
                <pt idx="87">
                  <v>45993.6666666666</v>
                </pt>
                <pt idx="88">
                  <v>45994.6666666666</v>
                </pt>
                <pt idx="89">
                  <v>45995.6666666666</v>
                </pt>
                <pt idx="90">
                  <v>45996.6666666666</v>
                </pt>
                <pt idx="91">
                  <v>45999.6666666666</v>
                </pt>
                <pt idx="92">
                  <v>46000.6666666666</v>
                </pt>
                <pt idx="93">
                  <v>46001.6666666666</v>
                </pt>
                <pt idx="94">
                  <v>46002.6666666666</v>
                </pt>
                <pt idx="95">
                  <v>46003.6666666666</v>
                </pt>
                <pt idx="96">
                  <v>46006.6666666666</v>
                </pt>
                <pt idx="97">
                  <v>46007.6666666666</v>
                </pt>
                <pt idx="98">
                  <v>46008.6666666666</v>
                </pt>
                <pt idx="99">
                  <v>46009.6666666666</v>
                </pt>
                <pt idx="100">
                  <v>46010.6666666666</v>
                </pt>
                <pt idx="101">
                  <v>46013.6666666666</v>
                </pt>
                <pt idx="102">
                  <v>46014.6666666666</v>
                </pt>
                <pt idx="103">
                  <v>46015.5416666666</v>
                </pt>
                <pt idx="104">
                  <v>46017.6666666666</v>
                </pt>
                <pt idx="105">
                  <v>46020.6666666666</v>
                </pt>
                <pt idx="106">
                  <v>46021.6666666666</v>
                </pt>
                <pt idx="107">
                  <v>46022.6666666666</v>
                </pt>
                <pt idx="108">
                  <v>46024.6666666666</v>
                </pt>
                <pt idx="109">
                  <v>46027.6666666666</v>
                </pt>
                <pt idx="110">
                  <v>46028.6666666666</v>
                </pt>
                <pt idx="111">
                  <v>46029.6666666666</v>
                </pt>
                <pt idx="112">
                  <v>46030.6666666666</v>
                </pt>
                <pt idx="113">
                  <v>46031.6666666666</v>
                </pt>
                <pt idx="114">
                  <v>46034.6666666666</v>
                </pt>
                <pt idx="115">
                  <v>46035.6666666666</v>
                </pt>
                <pt idx="116">
                  <v>46036.6666666666</v>
                </pt>
                <pt idx="117">
                  <v>46037.6666666666</v>
                </pt>
                <pt idx="118">
                  <v>46038.6666666666</v>
                </pt>
                <pt idx="119">
                  <v>46042.6666666666</v>
                </pt>
                <pt idx="120">
                  <v>46043.6666666666</v>
                </pt>
                <pt idx="121">
                  <v>46044.6666666666</v>
                </pt>
                <pt idx="122">
                  <v>46045.6666666666</v>
                </pt>
                <pt idx="123">
                  <v>46048.6666666666</v>
                </pt>
                <pt idx="124">
                  <v>46049.6666666666</v>
                </pt>
                <pt idx="125">
                  <v>46050.6666666666</v>
                </pt>
                <pt idx="126">
                  <v>46051.6666666666</v>
                </pt>
                <pt idx="127">
                  <v>46052.6666666666</v>
                </pt>
                <pt idx="128">
                  <v>46055.6666666666</v>
                </pt>
                <pt idx="129">
                  <v>46056.6666666666</v>
                </pt>
                <pt idx="130">
                  <v>46057.6666666666</v>
                </pt>
                <pt idx="131">
                  <v>46058.6666666666</v>
                </pt>
                <pt idx="132">
                  <v>46059.6666666666</v>
                </pt>
                <pt idx="133">
                  <v>46062.6666666666</v>
                </pt>
                <pt idx="134">
                  <v>46063.6666666666</v>
                </pt>
                <pt idx="135">
                  <v>46064.6666666666</v>
                </pt>
                <pt idx="136">
                  <v>46065.6666666666</v>
                </pt>
                <pt idx="137">
                  <v>46066.6666666666</v>
                </pt>
                <pt idx="138">
                  <v>46070.6666666666</v>
                </pt>
                <pt idx="139">
                  <v>46071.6666666666</v>
                </pt>
                <pt idx="140">
                  <v>46072.6666666666</v>
                </pt>
                <pt idx="141">
                  <v>46073.6666666666</v>
                </pt>
                <pt idx="142">
                  <v>46076.6666666666</v>
                </pt>
                <pt idx="143">
                  <v>46077.6666666666</v>
                </pt>
                <pt idx="144">
                  <v>46078.6666666666</v>
                </pt>
                <pt idx="145">
                  <v>46079.6666666666</v>
                </pt>
                <pt idx="146">
                  <v>46080.6666666666</v>
                </pt>
                <pt idx="147">
                  <v>46083.6666666666</v>
                </pt>
                <pt idx="148">
                  <v>46084.6666666666</v>
                </pt>
                <pt idx="149">
                  <v>46085.6666666666</v>
                </pt>
                <pt idx="150">
                  <v>46086.6666666666</v>
                </pt>
                <pt idx="151">
                  <v>46087.6666666666</v>
                </pt>
                <pt idx="152">
                  <v>46090.6666666666</v>
                </pt>
                <pt idx="153">
                  <v>46091.6666666666</v>
                </pt>
                <pt idx="154">
                  <v>46092.6666666666</v>
                </pt>
                <pt idx="155">
                  <v>46093.6666666666</v>
                </pt>
                <pt idx="156">
                  <v>46094.6666666666</v>
                </pt>
                <pt idx="157">
                  <v>46097.6666666666</v>
                </pt>
                <pt idx="158">
                  <v>46098.6666666666</v>
                </pt>
                <pt idx="159">
                  <v>46099.6666666666</v>
                </pt>
                <pt idx="160">
                  <v>46100.6666666666</v>
                </pt>
                <pt idx="161">
                  <v>46101.6666666666</v>
                </pt>
                <pt idx="162">
                  <v>46104.6666666666</v>
                </pt>
                <pt idx="163">
                  <v>46105.6666666666</v>
                </pt>
                <pt idx="164">
                  <v>46106.6666666666</v>
                </pt>
                <pt idx="165">
                  <v>46107.6666666666</v>
                </pt>
                <pt idx="166">
                  <v>46108.6666666666</v>
                </pt>
                <pt idx="167">
                  <v>46111.6666666666</v>
                </pt>
                <pt idx="168">
                  <v>46112.6666666666</v>
                </pt>
                <pt idx="169">
                  <v>46113.6666666666</v>
                </pt>
                <pt idx="170">
                  <v>46114.6666666666</v>
                </pt>
                <pt idx="171">
                  <v>46118.6666666666</v>
                </pt>
                <pt idx="172">
                  <v>46119.6666666666</v>
                </pt>
                <pt idx="173">
                  <v>46120.6666666666</v>
                </pt>
                <pt idx="174">
                  <v>46121.6666666666</v>
                </pt>
                <pt idx="175">
                  <v>46122.6666666666</v>
                </pt>
                <pt idx="176">
                  <v>46125.6666666666</v>
                </pt>
                <pt idx="177">
                  <v>46126.6666666666</v>
                </pt>
                <pt idx="178">
                  <v>46127.6666666666</v>
                </pt>
                <pt idx="179">
                  <v>46128.6666666666</v>
                </pt>
                <pt idx="180">
                  <v>46129.6666666666</v>
                </pt>
                <pt idx="181">
                  <v>46132.6666666666</v>
                </pt>
                <pt idx="182">
                  <v>46133.6666666666</v>
                </pt>
                <pt idx="183">
                  <v>46134.6666666666</v>
                </pt>
                <pt idx="184">
                  <v>46135.6666666666</v>
                </pt>
                <pt idx="185">
                  <v>46136.6666666666</v>
                </pt>
                <pt idx="186">
                  <v>46139.6666666666</v>
                </pt>
                <pt idx="187">
                  <v>46140.6666666666</v>
                </pt>
                <pt idx="188">
                  <v>46141.6666666666</v>
                </pt>
                <pt idx="189">
                  <v>46142.6666666666</v>
                </pt>
                <pt idx="190">
                  <v>46143.6666666666</v>
                </pt>
                <pt idx="191">
                  <v>46146.6666666666</v>
                </pt>
                <pt idx="192">
                  <v>46147.6666666666</v>
                </pt>
                <pt idx="193">
                  <v>46148.6666666666</v>
                </pt>
                <pt idx="194">
                  <v>46149.6666666666</v>
                </pt>
                <pt idx="195">
                  <v>46150.6666666666</v>
                </pt>
                <pt idx="196">
                  <v>46153.6666666666</v>
                </pt>
                <pt idx="197">
                  <v>46154.6666666666</v>
                </pt>
                <pt idx="198">
                  <v>46155.6666666666</v>
                </pt>
                <pt idx="199">
                  <v>46156.6666666666</v>
                </pt>
                <pt idx="200">
                  <v>46157.6666666666</v>
                </pt>
                <pt idx="201">
                  <v>46160.6666666666</v>
                </pt>
                <pt idx="202">
                  <v>46161.6666666666</v>
                </pt>
                <pt idx="203">
                  <v>46162.6666666666</v>
                </pt>
                <pt idx="204">
                  <v>46163.6666666666</v>
                </pt>
                <pt idx="205">
                  <v>46164.6666666666</v>
                </pt>
                <pt idx="206">
                  <v>46168.6666666666</v>
                </pt>
                <pt idx="207">
                  <v>46169.6666666666</v>
                </pt>
                <pt idx="208">
                  <v>46170.6666666666</v>
                </pt>
                <pt idx="209">
                  <v>46171.6666666666</v>
                </pt>
                <pt idx="210">
                  <v>46174.6666666666</v>
                </pt>
                <pt idx="211">
                  <v>46175.6666666666</v>
                </pt>
                <pt idx="212">
                  <v>46176.6666666666</v>
                </pt>
                <pt idx="213">
                  <v>46177.6666666666</v>
                </pt>
                <pt idx="214">
                  <v>46178.6666666666</v>
                </pt>
                <pt idx="215">
                  <v>46181.6666666666</v>
                </pt>
                <pt idx="216">
                  <v>46182.6666666666</v>
                </pt>
                <pt idx="217">
                  <v>46183.6666666666</v>
                </pt>
                <pt idx="218">
                  <v>46184.6666666666</v>
                </pt>
                <pt idx="219">
                  <v>46185.6666666666</v>
                </pt>
                <pt idx="220">
                  <v>46188.6666666666</v>
                </pt>
                <pt idx="221">
                  <v>46189.6666666666</v>
                </pt>
                <pt idx="222">
                  <v>46190.6666666666</v>
                </pt>
                <pt idx="223">
                  <v>46191.6666666666</v>
                </pt>
                <pt idx="224">
                  <v>46195.6666666666</v>
                </pt>
                <pt idx="225">
                  <v>46196.6666666666</v>
                </pt>
                <pt idx="226">
                  <v>46197.6666666666</v>
                </pt>
                <pt idx="227">
                  <v>46198.6666666666</v>
                </pt>
                <pt idx="228">
                  <v>46199.6666666666</v>
                </pt>
                <pt idx="229">
                  <v>46202.6666666666</v>
                </pt>
                <pt idx="230">
                  <v>46203.6666666666</v>
                </pt>
                <pt idx="231">
                  <v>46204.6666666666</v>
                </pt>
                <pt idx="232">
                  <v>46205.6666666666</v>
                </pt>
                <pt idx="233">
                  <v>46209.6666666666</v>
                </pt>
                <pt idx="234">
                  <v>46210.6666666666</v>
                </pt>
                <pt idx="235">
                  <v>46211.6666666666</v>
                </pt>
                <pt idx="236">
                  <v>46212.6666666666</v>
                </pt>
                <pt idx="237">
                  <v>46213.6666666666</v>
                </pt>
                <pt idx="238">
                  <v>46216.6666666666</v>
                </pt>
                <pt idx="239">
                  <v>46217.6666666666</v>
                </pt>
                <pt idx="240">
                  <v>46218.6666666666</v>
                </pt>
                <pt idx="241">
                  <v>46219.6666666666</v>
                </pt>
                <pt idx="242">
                  <v>46220.6666666666</v>
                </pt>
                <pt idx="243">
                  <v>46223.6666666666</v>
                </pt>
                <pt idx="244">
                  <v>46224.6666666666</v>
                </pt>
                <pt idx="245">
                  <v>46225.6666666666</v>
                </pt>
                <pt idx="246">
                  <v>46226.6666666666</v>
                </pt>
                <pt idx="247">
                  <v>46227.6666666666</v>
                </pt>
                <pt idx="248">
                  <v>46230.6666666666</v>
                </pt>
                <pt idx="249">
                  <v>46231.6666666666</v>
                </pt>
                <pt idx="250">
                  <v>46232.6666666666</v>
                </pt>
              </numCache>
            </numRef>
          </cat>
          <val>
            <numRef>
              <f>BIL!$F$28:$F$1000</f>
              <numCache>
                <formatCode>#,##0.00</formatCode>
                <ptCount val="973"/>
                <pt idx="0">
                  <v>91.73999999999999</v>
                </pt>
                <pt idx="1">
                  <v>91.75</v>
                </pt>
                <pt idx="2">
                  <v>91.47</v>
                </pt>
                <pt idx="3">
                  <v>91.48</v>
                </pt>
                <pt idx="4">
                  <v>91.48</v>
                </pt>
                <pt idx="5">
                  <v>91.51000000000001</v>
                </pt>
                <pt idx="6">
                  <v>91.51000000000001</v>
                </pt>
                <pt idx="7">
                  <v>91.54000000000001</v>
                </pt>
                <pt idx="8">
                  <v>91.55</v>
                </pt>
                <pt idx="9">
                  <v>91.56</v>
                </pt>
                <pt idx="10">
                  <v>91.56999999999999</v>
                </pt>
                <pt idx="11">
                  <v>91.58</v>
                </pt>
                <pt idx="12">
                  <v>91.62</v>
                </pt>
                <pt idx="13">
                  <v>91.62</v>
                </pt>
                <pt idx="14">
                  <v>91.64</v>
                </pt>
                <pt idx="15">
                  <v>91.66</v>
                </pt>
                <pt idx="16">
                  <v>91.66</v>
                </pt>
                <pt idx="17">
                  <v>91.69</v>
                </pt>
                <pt idx="18">
                  <v>91.7</v>
                </pt>
                <pt idx="19">
                  <v>91.70999999999999</v>
                </pt>
                <pt idx="20">
                  <v>91.72</v>
                </pt>
                <pt idx="21">
                  <v>91.73</v>
                </pt>
                <pt idx="22">
                  <v>91.77</v>
                </pt>
                <pt idx="23">
                  <v>91.47</v>
                </pt>
                <pt idx="24">
                  <v>91.48</v>
                </pt>
                <pt idx="25">
                  <v>91.5</v>
                </pt>
                <pt idx="26">
                  <v>91.53</v>
                </pt>
                <pt idx="27">
                  <v>91.54000000000001</v>
                </pt>
                <pt idx="28">
                  <v>91.55</v>
                </pt>
                <pt idx="29">
                  <v>91.56</v>
                </pt>
                <pt idx="30">
                  <v>91.56999999999999</v>
                </pt>
                <pt idx="31">
                  <v>91.59999999999999</v>
                </pt>
                <pt idx="32">
                  <v>91.61</v>
                </pt>
                <pt idx="33">
                  <v>91.62</v>
                </pt>
                <pt idx="34">
                  <v>91.63</v>
                </pt>
                <pt idx="35">
                  <v>91.64</v>
                </pt>
                <pt idx="36">
                  <v>91.68000000000001</v>
                </pt>
                <pt idx="37">
                  <v>91.69</v>
                </pt>
                <pt idx="38">
                  <v>91.69</v>
                </pt>
                <pt idx="39">
                  <v>91.70999999999999</v>
                </pt>
                <pt idx="40">
                  <v>91.70999999999999</v>
                </pt>
                <pt idx="41">
                  <v>91.73999999999999</v>
                </pt>
                <pt idx="42">
                  <v>91.75</v>
                </pt>
                <pt idx="43">
                  <v>91.75</v>
                </pt>
                <pt idx="44">
                  <v>91.45999999999999</v>
                </pt>
                <pt idx="45">
                  <v>91.47</v>
                </pt>
                <pt idx="46">
                  <v>91.48999999999999</v>
                </pt>
                <pt idx="47">
                  <v>91.51000000000001</v>
                </pt>
                <pt idx="48">
                  <v>91.51000000000001</v>
                </pt>
                <pt idx="49">
                  <v>91.53</v>
                </pt>
                <pt idx="50">
                  <v>91.53</v>
                </pt>
                <pt idx="51">
                  <v>91.56999999999999</v>
                </pt>
                <pt idx="52">
                  <v>91.58</v>
                </pt>
                <pt idx="53">
                  <v>91.58</v>
                </pt>
                <pt idx="54">
                  <v>91.59</v>
                </pt>
                <pt idx="55">
                  <v>91.59999999999999</v>
                </pt>
                <pt idx="56">
                  <v>91.62</v>
                </pt>
                <pt idx="57">
                  <v>91.64</v>
                </pt>
                <pt idx="58">
                  <v>91.64</v>
                </pt>
                <pt idx="59">
                  <v>91.66</v>
                </pt>
                <pt idx="60">
                  <v>91.67</v>
                </pt>
                <pt idx="61">
                  <v>91.7</v>
                </pt>
                <pt idx="62">
                  <v>91.7</v>
                </pt>
                <pt idx="63">
                  <v>91.70999999999999</v>
                </pt>
                <pt idx="64">
                  <v>91.73999999999999</v>
                </pt>
                <pt idx="65">
                  <v>91.73999999999999</v>
                </pt>
                <pt idx="66">
                  <v>91.76000000000001</v>
                </pt>
                <pt idx="67">
                  <v>91.47</v>
                </pt>
                <pt idx="68">
                  <v>91.48</v>
                </pt>
                <pt idx="69">
                  <v>91.48999999999999</v>
                </pt>
                <pt idx="70">
                  <v>91.5</v>
                </pt>
                <pt idx="71">
                  <v>91.53</v>
                </pt>
                <pt idx="72">
                  <v>91.55</v>
                </pt>
                <pt idx="73">
                  <v>91.54000000000001</v>
                </pt>
                <pt idx="74">
                  <v>91.55</v>
                </pt>
                <pt idx="75">
                  <v>91.56</v>
                </pt>
                <pt idx="76">
                  <v>91.59999999999999</v>
                </pt>
                <pt idx="77">
                  <v>91.59999999999999</v>
                </pt>
                <pt idx="78">
                  <v>91.62</v>
                </pt>
                <pt idx="79">
                  <v>91.62</v>
                </pt>
                <pt idx="80">
                  <v>91.64</v>
                </pt>
                <pt idx="81">
                  <v>91.66</v>
                </pt>
                <pt idx="82">
                  <v>91.66</v>
                </pt>
                <pt idx="83">
                  <v>91.68000000000001</v>
                </pt>
                <pt idx="84">
                  <v>91.69</v>
                </pt>
                <pt idx="85">
                  <v>91.72</v>
                </pt>
                <pt idx="86">
                  <v>91.45</v>
                </pt>
                <pt idx="87">
                  <v>91.48</v>
                </pt>
                <pt idx="88">
                  <v>91.48999999999999</v>
                </pt>
                <pt idx="89">
                  <v>91.5</v>
                </pt>
                <pt idx="90">
                  <v>91.52</v>
                </pt>
                <pt idx="91">
                  <v>91.53</v>
                </pt>
                <pt idx="92">
                  <v>91.55</v>
                </pt>
                <pt idx="93">
                  <v>91.55</v>
                </pt>
                <pt idx="94">
                  <v>91.56</v>
                </pt>
                <pt idx="95">
                  <v>91.59999999999999</v>
                </pt>
                <pt idx="96">
                  <v>91.59999999999999</v>
                </pt>
                <pt idx="97">
                  <v>91.61</v>
                </pt>
                <pt idx="98">
                  <v>91.62</v>
                </pt>
                <pt idx="99">
                  <v>91.27</v>
                </pt>
                <pt idx="100">
                  <v>91.3</v>
                </pt>
                <pt idx="101">
                  <v>91.3</v>
                </pt>
                <pt idx="102">
                  <v>91.3</v>
                </pt>
                <pt idx="103">
                  <v>91.33</v>
                </pt>
                <pt idx="104">
                  <v>91.36</v>
                </pt>
                <pt idx="105">
                  <v>91.36</v>
                </pt>
                <pt idx="106">
                  <v>91.37</v>
                </pt>
                <pt idx="107">
                  <v>91.38</v>
                </pt>
                <pt idx="108">
                  <v>91.42</v>
                </pt>
                <pt idx="109">
                  <v>91.42</v>
                </pt>
                <pt idx="110">
                  <v>91.43000000000001</v>
                </pt>
                <pt idx="111">
                  <v>91.45</v>
                </pt>
                <pt idx="112">
                  <v>91.45</v>
                </pt>
                <pt idx="113">
                  <v>91.47</v>
                </pt>
                <pt idx="114">
                  <v>91.48</v>
                </pt>
                <pt idx="115">
                  <v>91.48999999999999</v>
                </pt>
                <pt idx="116">
                  <v>91.5</v>
                </pt>
                <pt idx="117">
                  <v>91.5</v>
                </pt>
                <pt idx="118">
                  <v>91.54000000000001</v>
                </pt>
                <pt idx="119">
                  <v>91.54000000000001</v>
                </pt>
                <pt idx="120">
                  <v>91.55</v>
                </pt>
                <pt idx="121">
                  <v>91.56</v>
                </pt>
                <pt idx="122">
                  <v>91.59</v>
                </pt>
                <pt idx="123">
                  <v>91.59</v>
                </pt>
                <pt idx="124">
                  <v>91.59999999999999</v>
                </pt>
                <pt idx="125">
                  <v>91.61</v>
                </pt>
                <pt idx="126">
                  <v>91.63</v>
                </pt>
                <pt idx="127">
                  <v>91.65000000000001</v>
                </pt>
                <pt idx="128">
                  <v>91.39</v>
                </pt>
                <pt idx="129">
                  <v>91.39</v>
                </pt>
                <pt idx="130">
                  <v>91.41</v>
                </pt>
                <pt idx="131">
                  <v>91.41</v>
                </pt>
                <pt idx="132">
                  <v>91.44</v>
                </pt>
                <pt idx="133">
                  <v>91.44</v>
                </pt>
                <pt idx="134">
                  <v>91.45</v>
                </pt>
                <pt idx="135">
                  <v>91.47</v>
                </pt>
                <pt idx="136">
                  <v>91.47</v>
                </pt>
                <pt idx="137">
                  <v>91.51000000000001</v>
                </pt>
                <pt idx="138">
                  <v>91.52</v>
                </pt>
                <pt idx="139">
                  <v>91.53</v>
                </pt>
                <pt idx="140">
                  <v>91.53</v>
                </pt>
                <pt idx="141">
                  <v>91.56</v>
                </pt>
                <pt idx="142">
                  <v>91.56</v>
                </pt>
                <pt idx="143">
                  <v>91.58</v>
                </pt>
                <pt idx="144">
                  <v>91.59</v>
                </pt>
                <pt idx="145">
                  <v>91.59999999999999</v>
                </pt>
                <pt idx="146">
                  <v>91.62</v>
                </pt>
                <pt idx="147">
                  <v>91.39</v>
                </pt>
                <pt idx="148">
                  <v>91.40000000000001</v>
                </pt>
                <pt idx="149">
                  <v>91.41</v>
                </pt>
                <pt idx="150">
                  <v>91.42</v>
                </pt>
                <pt idx="151">
                  <v>91.44</v>
                </pt>
                <pt idx="152">
                  <v>91.45</v>
                </pt>
                <pt idx="153">
                  <v>91.45999999999999</v>
                </pt>
                <pt idx="154">
                  <v>91.45999999999999</v>
                </pt>
                <pt idx="155">
                  <v>91.48</v>
                </pt>
                <pt idx="156">
                  <v>91.51000000000001</v>
                </pt>
                <pt idx="157">
                  <v>91.51000000000001</v>
                </pt>
                <pt idx="158">
                  <v>91.52</v>
                </pt>
                <pt idx="159">
                  <v>91.54000000000001</v>
                </pt>
                <pt idx="160">
                  <v>91.54000000000001</v>
                </pt>
                <pt idx="161">
                  <v>91.56999999999999</v>
                </pt>
                <pt idx="162">
                  <v>91.58</v>
                </pt>
                <pt idx="163">
                  <v>91.59</v>
                </pt>
                <pt idx="164">
                  <v>91.58</v>
                </pt>
                <pt idx="165">
                  <v>91.59999999999999</v>
                </pt>
                <pt idx="166">
                  <v>91.63</v>
                </pt>
                <pt idx="167">
                  <v>91.64</v>
                </pt>
                <pt idx="168">
                  <v>91.64</v>
                </pt>
                <pt idx="169">
                  <v>91.40000000000001</v>
                </pt>
                <pt idx="170">
                  <v>91.42</v>
                </pt>
                <pt idx="171">
                  <v>91.44</v>
                </pt>
                <pt idx="172">
                  <v>91.45</v>
                </pt>
                <pt idx="173">
                  <v>91.45</v>
                </pt>
                <pt idx="174">
                  <v>91.45999999999999</v>
                </pt>
                <pt idx="175">
                  <v>91.48999999999999</v>
                </pt>
                <pt idx="176">
                  <v>91.48999999999999</v>
                </pt>
                <pt idx="177">
                  <v>91.5</v>
                </pt>
                <pt idx="178">
                  <v>91.51000000000001</v>
                </pt>
                <pt idx="179">
                  <v>91.52</v>
                </pt>
                <pt idx="180">
                  <v>91.55</v>
                </pt>
                <pt idx="181">
                  <v>91.56</v>
                </pt>
                <pt idx="182">
                  <v>91.56999999999999</v>
                </pt>
                <pt idx="183">
                  <v>91.56999999999999</v>
                </pt>
                <pt idx="184">
                  <v>91.59</v>
                </pt>
                <pt idx="185">
                  <v>91.61</v>
                </pt>
                <pt idx="186">
                  <v>91.62</v>
                </pt>
                <pt idx="187">
                  <v>91.63</v>
                </pt>
                <pt idx="188">
                  <v>91.63</v>
                </pt>
                <pt idx="189">
                  <v>91.64</v>
                </pt>
                <pt idx="190">
                  <v>91.40000000000001</v>
                </pt>
                <pt idx="191">
                  <v>91.42</v>
                </pt>
                <pt idx="192">
                  <v>91.43000000000001</v>
                </pt>
                <pt idx="193">
                  <v>91.42</v>
                </pt>
                <pt idx="194">
                  <v>91.44</v>
                </pt>
                <pt idx="195">
                  <v>91.45999999999999</v>
                </pt>
                <pt idx="196">
                  <v>91.48</v>
                </pt>
                <pt idx="197">
                  <v>91.48999999999999</v>
                </pt>
                <pt idx="198">
                  <v>91.48999999999999</v>
                </pt>
                <pt idx="199">
                  <v>91.51000000000001</v>
                </pt>
                <pt idx="200">
                  <v>91.53</v>
                </pt>
                <pt idx="201">
                  <v>91.53</v>
                </pt>
                <pt idx="202">
                  <v>91.55</v>
                </pt>
                <pt idx="203">
                  <v>91.56999999999999</v>
                </pt>
                <pt idx="204">
                  <v>91.56999999999999</v>
                </pt>
                <pt idx="205">
                  <v>91.59</v>
                </pt>
                <pt idx="206">
                  <v>91.61</v>
                </pt>
                <pt idx="207">
                  <v>91.62</v>
                </pt>
                <pt idx="208">
                  <v>91.63</v>
                </pt>
                <pt idx="209">
                  <v>91.66</v>
                </pt>
                <pt idx="210">
                  <v>91.40000000000001</v>
                </pt>
                <pt idx="211">
                  <v>91.39</v>
                </pt>
                <pt idx="212">
                  <v>91.41</v>
                </pt>
                <pt idx="213">
                  <v>91.41</v>
                </pt>
                <pt idx="214">
                  <v>91.45</v>
                </pt>
                <pt idx="215">
                  <v>91.45999999999999</v>
                </pt>
                <pt idx="216">
                  <v>91.45999999999999</v>
                </pt>
                <pt idx="217">
                  <v>91.47</v>
                </pt>
                <pt idx="218">
                  <v>91.48</v>
                </pt>
                <pt idx="219">
                  <v>91.51000000000001</v>
                </pt>
                <pt idx="220">
                  <v>91.51000000000001</v>
                </pt>
                <pt idx="221">
                  <v>91.52</v>
                </pt>
                <pt idx="222">
                  <v>91.53</v>
                </pt>
                <pt idx="223">
                  <v>91.56999999999999</v>
                </pt>
                <pt idx="224">
                  <v>91.56999999999999</v>
                </pt>
                <pt idx="225">
                  <v>91.58</v>
                </pt>
                <pt idx="226">
                  <v>91.59</v>
                </pt>
                <pt idx="227">
                  <v>91.59999999999999</v>
                </pt>
                <pt idx="228">
                  <v>91.63</v>
                </pt>
                <pt idx="229">
                  <v>91.64</v>
                </pt>
                <pt idx="230">
                  <v>91.64</v>
                </pt>
                <pt idx="231">
                  <v>91.40000000000001</v>
                </pt>
                <pt idx="232">
                  <v>91.44</v>
                </pt>
                <pt idx="233">
                  <v>91.43000000000001</v>
                </pt>
                <pt idx="234">
                  <v>91.45</v>
                </pt>
                <pt idx="235">
                  <v>91.45</v>
                </pt>
                <pt idx="236">
                  <v>91.45999999999999</v>
                </pt>
                <pt idx="237">
                  <v>91.5</v>
                </pt>
                <pt idx="238">
                  <v>91.5</v>
                </pt>
                <pt idx="239">
                  <v>91.51000000000001</v>
                </pt>
                <pt idx="240">
                  <v>91.52</v>
                </pt>
                <pt idx="241">
                  <v>91.53</v>
                </pt>
                <pt idx="242">
                  <v>91.55</v>
                </pt>
                <pt idx="243">
                  <v>91.56</v>
                </pt>
                <pt idx="244">
                  <v>91.56</v>
                </pt>
                <pt idx="245">
                  <v>91.58</v>
                </pt>
                <pt idx="246">
                  <v>91.58</v>
                </pt>
                <pt idx="247">
                  <v>91.61</v>
                </pt>
                <pt idx="248">
                  <v>91.62</v>
                </pt>
                <pt idx="249">
                  <v>91.63</v>
                </pt>
                <pt idx="250">
                  <v>91.64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ko-KR"/>
        </a:p>
      </txPr>
    </legend>
    <plotVisOnly val="1"/>
    <dispBlanksAs val="zero"/>
  </chart>
</chartSpace>
</file>

<file path=xl/comments/comment1.xml><?xml version="1.0" encoding="utf-8"?>
<comments xmlns="http://schemas.openxmlformats.org/spreadsheetml/2006/main">
  <authors>
    <author>None</author>
  </authors>
  <commentList>
    <comment ref="F30" authorId="0" shapeId="0">
      <text>
        <t>20년 이상 국채 만기 채권</t>
      </text>
    </comment>
    <comment ref="F33" authorId="0" shapeId="0">
      <text>
        <t>주식과 채권이 둘다 무너질때는 원자재가 빛나는 경우가 있다</t>
      </text>
    </comment>
    <comment ref="F41" authorId="0" shapeId="0">
      <text>
        <t xml:space="preserve">받는 이자와 연금이 인플레이션과 연동되는 채권
</t>
      </text>
    </comment>
    <comment ref="F43" authorId="0" shapeId="0">
      <text>
        <t>신용이 높은 회사채권</t>
      </text>
    </comment>
    <comment ref="F44" authorId="0" shapeId="0">
      <text>
        <t xml:space="preserve">신용이 낮은 회사채권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742950</colOff>
      <row>0</row>
      <rowOff>0</rowOff>
    </from>
    <ext cx="2257425" cy="81915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3</col>
      <colOff>114300</colOff>
      <row>0</row>
      <rowOff>9525</rowOff>
    </from>
    <ext cx="2257425" cy="81915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6000750" cy="21812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6000750" cy="21812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6000750" cy="21812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6000750" cy="21812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6000750" cy="21812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6000750" cy="21812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6000750" cy="21812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6000750" cy="21812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6000750" cy="21812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6000750" cy="21812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6000750" cy="21812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6000750" cy="21812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6000750" cy="21812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6000750" cy="21812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6000750" cy="21812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6000750" cy="21812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6000750" cy="21812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6000750" cy="21812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6000750" cy="21812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6000750" cy="21812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6000750" cy="21812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6000750" cy="21812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6000750" cy="21812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tables/table1.xml><?xml version="1.0" encoding="utf-8"?>
<table xmlns="http://schemas.openxmlformats.org/spreadsheetml/2006/main" id="1" name="EventManager" displayName="EventManager" ref="A1:K104" headerRowCount="1">
  <autoFilter ref="A1:K104"/>
  <tableColumns count="11">
    <tableColumn id="1" name="구분"/>
    <tableColumn id="2" name="주기"/>
    <tableColumn id="3" name="날짜"/>
    <tableColumn id="4" name="시간"/>
    <tableColumn id="5" name="시장/국가"/>
    <tableColumn id="6" name="관련 Ticker"/>
    <tableColumn id="7" name="이벤트명"/>
    <tableColumn id="8" name="중요도"/>
    <tableColumn id="9" name="상태"/>
    <tableColumn id="10" name="메모"/>
    <tableColumn id="11" name="자료 링크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://www.google.com/finance" TargetMode="External" Id="rId1" /><Relationship Type="http://schemas.openxmlformats.org/officeDocument/2006/relationships/hyperlink" Target="#'&#51060;&#48292;&#53944; &#44288;&#47532;'!A1" TargetMode="External" Id="rId2" /><Relationship Type="http://schemas.openxmlformats.org/officeDocument/2006/relationships/hyperlink" Target="#'SPY'!B16" TargetMode="External" Id="rId3" /><Relationship Type="http://schemas.openxmlformats.org/officeDocument/2006/relationships/hyperlink" Target="#'QQQ'!B16" TargetMode="External" Id="rId4" /><Relationship Type="http://schemas.openxmlformats.org/officeDocument/2006/relationships/hyperlink" Target="#'IWM'!B16" TargetMode="External" Id="rId5" /><Relationship Type="http://schemas.openxmlformats.org/officeDocument/2006/relationships/hyperlink" Target="#'VGK'!B16" TargetMode="External" Id="rId6" /><Relationship Type="http://schemas.openxmlformats.org/officeDocument/2006/relationships/hyperlink" Target="#'EWJ'!B16" TargetMode="External" Id="rId7" /><Relationship Type="http://schemas.openxmlformats.org/officeDocument/2006/relationships/hyperlink" Target="#'VWO'!B16" TargetMode="External" Id="rId8" /><Relationship Type="http://schemas.openxmlformats.org/officeDocument/2006/relationships/hyperlink" Target="#'VEA'!B16" TargetMode="External" Id="rId9" /><Relationship Type="http://schemas.openxmlformats.org/officeDocument/2006/relationships/hyperlink" Target="#'VNQ'!B16" TargetMode="External" Id="rId10" /><Relationship Type="http://schemas.openxmlformats.org/officeDocument/2006/relationships/hyperlink" Target="#'DBC'!B16" TargetMode="External" Id="rId11" /><Relationship Type="http://schemas.openxmlformats.org/officeDocument/2006/relationships/hyperlink" Target="#'GLD'!B16" TargetMode="External" Id="rId12" /><Relationship Type="http://schemas.openxmlformats.org/officeDocument/2006/relationships/hyperlink" Target="#'LQD'!B16" TargetMode="External" Id="rId13" /><Relationship Type="http://schemas.openxmlformats.org/officeDocument/2006/relationships/hyperlink" Target="#'HYG'!B16" TargetMode="External" Id="rId14" /><Relationship Type="http://schemas.openxmlformats.org/officeDocument/2006/relationships/hyperlink" Target="#'SPY'!B16" TargetMode="External" Id="rId15" /><Relationship Type="http://schemas.openxmlformats.org/officeDocument/2006/relationships/hyperlink" Target="#'EFA'!B16" TargetMode="External" Id="rId16" /><Relationship Type="http://schemas.openxmlformats.org/officeDocument/2006/relationships/hyperlink" Target="#'EEM'!B16" TargetMode="External" Id="rId17" /><Relationship Type="http://schemas.openxmlformats.org/officeDocument/2006/relationships/hyperlink" Target="#'AGG'!B16" TargetMode="External" Id="rId18" /><Relationship Type="http://schemas.openxmlformats.org/officeDocument/2006/relationships/hyperlink" Target="#'QQQ'!B16" TargetMode="External" Id="rId19" /><Relationship Type="http://schemas.openxmlformats.org/officeDocument/2006/relationships/hyperlink" Target="#'LQD'!B16" TargetMode="External" Id="rId20" /><Relationship Type="http://schemas.openxmlformats.org/officeDocument/2006/relationships/hyperlink" Target="#'IEF'!B16" TargetMode="External" Id="rId21" /><Relationship Type="http://schemas.openxmlformats.org/officeDocument/2006/relationships/hyperlink" Target="#'BIL'!B16" TargetMode="External" Id="rId22" /><Relationship Type="http://schemas.openxmlformats.org/officeDocument/2006/relationships/hyperlink" Target="#'TLT'!B16" TargetMode="External" Id="rId23" /><Relationship Type="http://schemas.openxmlformats.org/officeDocument/2006/relationships/hyperlink" Target="#'TIP'!B16" TargetMode="External" Id="rId24" /><Relationship Type="http://schemas.openxmlformats.org/officeDocument/2006/relationships/hyperlink" Target="#'BND'!B16" TargetMode="External" Id="rId25" /><Relationship Type="http://schemas.openxmlformats.org/officeDocument/2006/relationships/hyperlink" Target="#'DBC'!B16" TargetMode="External" Id="rId26" /><Relationship Type="http://schemas.openxmlformats.org/officeDocument/2006/relationships/hyperlink" Target="#'SPY'!B16" TargetMode="External" Id="rId27" /><Relationship Type="http://schemas.openxmlformats.org/officeDocument/2006/relationships/hyperlink" Target="#'EFA'!B16" TargetMode="External" Id="rId28" /><Relationship Type="http://schemas.openxmlformats.org/officeDocument/2006/relationships/hyperlink" Target="#'SHY'!B16" TargetMode="External" Id="rId29" /><Relationship Type="http://schemas.openxmlformats.org/officeDocument/2006/relationships/hyperlink" Target="#'IEF'!B16" TargetMode="External" Id="rId30" /><Relationship Type="http://schemas.openxmlformats.org/officeDocument/2006/relationships/hyperlink" Target="#'TLT'!B16" TargetMode="External" Id="rId31" /><Relationship Type="http://schemas.openxmlformats.org/officeDocument/2006/relationships/hyperlink" Target="#'TIP'!B16" TargetMode="External" Id="rId32" /><Relationship Type="http://schemas.openxmlformats.org/officeDocument/2006/relationships/hyperlink" Target="#'LQD'!B16" TargetMode="External" Id="rId33" /><Relationship Type="http://schemas.openxmlformats.org/officeDocument/2006/relationships/hyperlink" Target="#'HYG'!B16" TargetMode="External" Id="rId34" /><Relationship Type="http://schemas.openxmlformats.org/officeDocument/2006/relationships/hyperlink" Target="#'BWX'!B16" TargetMode="External" Id="rId35" /><Relationship Type="http://schemas.openxmlformats.org/officeDocument/2006/relationships/hyperlink" Target="#'EMB'!B16" TargetMode="External" Id="rId36" /><Relationship Type="http://schemas.openxmlformats.org/officeDocument/2006/relationships/hyperlink" Target="#'SPY'!B16" TargetMode="External" Id="rId37" /><Relationship Type="http://schemas.openxmlformats.org/officeDocument/2006/relationships/hyperlink" Target="#'VWO'!B16" TargetMode="External" Id="rId38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'&#44288;&#49900;&#51333;&#47785;'!D8" TargetMode="External" Id="rId1" /><Relationship Type="http://schemas.openxmlformats.org/officeDocument/2006/relationships/hyperlink" Target="http://www.google.com/finance" TargetMode="External" Id="rId2" /><Relationship Type="http://schemas.openxmlformats.org/officeDocument/2006/relationships/drawing" Target="/xl/drawings/drawing2.xml" Id="rId3" /></Relationships>
</file>

<file path=xl/worksheets/_rels/sheet7.xml.rels><Relationships xmlns="http://schemas.openxmlformats.org/package/2006/relationships"><Relationship Type="http://schemas.openxmlformats.org/officeDocument/2006/relationships/hyperlink" Target="#'&#44288;&#49900;&#51333;&#47785;'!D8" TargetMode="External" Id="rId1" /><Relationship Type="http://schemas.openxmlformats.org/officeDocument/2006/relationships/hyperlink" Target="http://www.google.com/finance" TargetMode="External" Id="rId2" /><Relationship Type="http://schemas.openxmlformats.org/officeDocument/2006/relationships/drawing" Target="/xl/drawings/drawing3.xml" Id="rId3" /></Relationships>
</file>

<file path=xl/worksheets/_rels/sheet8.xml.rels><Relationships xmlns="http://schemas.openxmlformats.org/package/2006/relationships"><Relationship Type="http://schemas.openxmlformats.org/officeDocument/2006/relationships/hyperlink" Target="#'&#44288;&#49900;&#51333;&#47785;'!D8" TargetMode="External" Id="rId1" /><Relationship Type="http://schemas.openxmlformats.org/officeDocument/2006/relationships/hyperlink" Target="http://www.google.com/finance" TargetMode="External" Id="rId2" /><Relationship Type="http://schemas.openxmlformats.org/officeDocument/2006/relationships/drawing" Target="/xl/drawings/drawing4.xml" Id="rId3" /></Relationships>
</file>

<file path=xl/worksheets/_rels/sheet9.xml.rels><Relationships xmlns="http://schemas.openxmlformats.org/package/2006/relationships"><Relationship Type="http://schemas.openxmlformats.org/officeDocument/2006/relationships/hyperlink" Target="#'&#44288;&#49900;&#51333;&#47785;'!D8" TargetMode="External" Id="rId1" /><Relationship Type="http://schemas.openxmlformats.org/officeDocument/2006/relationships/hyperlink" Target="http://www.google.com/finance" TargetMode="External" Id="rId2" /><Relationship Type="http://schemas.openxmlformats.org/officeDocument/2006/relationships/drawing" Target="/xl/drawings/drawing5.xml" Id="rId3" /></Relationships>
</file>

<file path=xl/worksheets/_rels/sheet10.xml.rels><Relationships xmlns="http://schemas.openxmlformats.org/package/2006/relationships"><Relationship Type="http://schemas.openxmlformats.org/officeDocument/2006/relationships/hyperlink" Target="#'&#44288;&#49900;&#51333;&#47785;'!D8" TargetMode="External" Id="rId1" /><Relationship Type="http://schemas.openxmlformats.org/officeDocument/2006/relationships/hyperlink" Target="http://www.google.com/finance" TargetMode="External" Id="rId2" /><Relationship Type="http://schemas.openxmlformats.org/officeDocument/2006/relationships/drawing" Target="/xl/drawings/drawing6.xml" Id="rId3" /></Relationships>
</file>

<file path=xl/worksheets/_rels/sheet11.xml.rels><Relationships xmlns="http://schemas.openxmlformats.org/package/2006/relationships"><Relationship Type="http://schemas.openxmlformats.org/officeDocument/2006/relationships/hyperlink" Target="#'&#44288;&#49900;&#51333;&#47785;'!D8" TargetMode="External" Id="rId1" /><Relationship Type="http://schemas.openxmlformats.org/officeDocument/2006/relationships/hyperlink" Target="http://www.google.com/finance" TargetMode="External" Id="rId2" /><Relationship Type="http://schemas.openxmlformats.org/officeDocument/2006/relationships/drawing" Target="/xl/drawings/drawing7.xml" Id="rId3" /></Relationships>
</file>

<file path=xl/worksheets/_rels/sheet12.xml.rels><Relationships xmlns="http://schemas.openxmlformats.org/package/2006/relationships"><Relationship Type="http://schemas.openxmlformats.org/officeDocument/2006/relationships/hyperlink" Target="#'&#44288;&#49900;&#51333;&#47785;'!D8" TargetMode="External" Id="rId1" /><Relationship Type="http://schemas.openxmlformats.org/officeDocument/2006/relationships/hyperlink" Target="http://www.google.com/finance" TargetMode="External" Id="rId2" /><Relationship Type="http://schemas.openxmlformats.org/officeDocument/2006/relationships/drawing" Target="/xl/drawings/drawing8.xml" Id="rId3" /></Relationships>
</file>

<file path=xl/worksheets/_rels/sheet13.xml.rels><Relationships xmlns="http://schemas.openxmlformats.org/package/2006/relationships"><Relationship Type="http://schemas.openxmlformats.org/officeDocument/2006/relationships/hyperlink" Target="#'&#44288;&#49900;&#51333;&#47785;'!D8" TargetMode="External" Id="rId1" /><Relationship Type="http://schemas.openxmlformats.org/officeDocument/2006/relationships/hyperlink" Target="http://www.google.com/finance" TargetMode="External" Id="rId2" /><Relationship Type="http://schemas.openxmlformats.org/officeDocument/2006/relationships/drawing" Target="/xl/drawings/drawing9.xml" Id="rId3" /></Relationships>
</file>

<file path=xl/worksheets/_rels/sheet14.xml.rels><Relationships xmlns="http://schemas.openxmlformats.org/package/2006/relationships"><Relationship Type="http://schemas.openxmlformats.org/officeDocument/2006/relationships/hyperlink" Target="#'&#44288;&#49900;&#51333;&#47785;'!D8" TargetMode="External" Id="rId1" /><Relationship Type="http://schemas.openxmlformats.org/officeDocument/2006/relationships/hyperlink" Target="http://www.google.com/finance" TargetMode="External" Id="rId2" /><Relationship Type="http://schemas.openxmlformats.org/officeDocument/2006/relationships/drawing" Target="/xl/drawings/drawing10.xml" Id="rId3" /></Relationships>
</file>

<file path=xl/worksheets/_rels/sheet15.xml.rels><Relationships xmlns="http://schemas.openxmlformats.org/package/2006/relationships"><Relationship Type="http://schemas.openxmlformats.org/officeDocument/2006/relationships/hyperlink" Target="#'&#44288;&#49900;&#51333;&#47785;'!D8" TargetMode="External" Id="rId1" /><Relationship Type="http://schemas.openxmlformats.org/officeDocument/2006/relationships/hyperlink" Target="http://www.google.com/finance" TargetMode="External" Id="rId2" /><Relationship Type="http://schemas.openxmlformats.org/officeDocument/2006/relationships/drawing" Target="/xl/drawings/drawing11.xml" Id="rId3" /></Relationships>
</file>

<file path=xl/worksheets/_rels/sheet16.xml.rels><Relationships xmlns="http://schemas.openxmlformats.org/package/2006/relationships"><Relationship Type="http://schemas.openxmlformats.org/officeDocument/2006/relationships/hyperlink" Target="#'&#44288;&#49900;&#51333;&#47785;'!D8" TargetMode="External" Id="rId1" /><Relationship Type="http://schemas.openxmlformats.org/officeDocument/2006/relationships/hyperlink" Target="http://www.google.com/finance" TargetMode="External" Id="rId2" /><Relationship Type="http://schemas.openxmlformats.org/officeDocument/2006/relationships/drawing" Target="/xl/drawings/drawing12.xml" Id="rId3" /></Relationships>
</file>

<file path=xl/worksheets/_rels/sheet17.xml.rels><Relationships xmlns="http://schemas.openxmlformats.org/package/2006/relationships"><Relationship Type="http://schemas.openxmlformats.org/officeDocument/2006/relationships/hyperlink" Target="#'&#44288;&#49900;&#51333;&#47785;'!D8" TargetMode="External" Id="rId1" /><Relationship Type="http://schemas.openxmlformats.org/officeDocument/2006/relationships/hyperlink" Target="http://www.google.com/finance" TargetMode="External" Id="rId2" /><Relationship Type="http://schemas.openxmlformats.org/officeDocument/2006/relationships/drawing" Target="/xl/drawings/drawing13.xml" Id="rId3" /></Relationships>
</file>

<file path=xl/worksheets/_rels/sheet18.xml.rels><Relationships xmlns="http://schemas.openxmlformats.org/package/2006/relationships"><Relationship Type="http://schemas.openxmlformats.org/officeDocument/2006/relationships/hyperlink" Target="#'&#44288;&#49900;&#51333;&#47785;'!D8" TargetMode="External" Id="rId1" /><Relationship Type="http://schemas.openxmlformats.org/officeDocument/2006/relationships/hyperlink" Target="http://www.google.com/finance" TargetMode="External" Id="rId2" /><Relationship Type="http://schemas.openxmlformats.org/officeDocument/2006/relationships/drawing" Target="/xl/drawings/drawing14.xml" Id="rId3" /></Relationships>
</file>

<file path=xl/worksheets/_rels/sheet19.xml.rels><Relationships xmlns="http://schemas.openxmlformats.org/package/2006/relationships"><Relationship Type="http://schemas.openxmlformats.org/officeDocument/2006/relationships/hyperlink" Target="#'&#44288;&#49900;&#51333;&#47785;'!D8" TargetMode="External" Id="rId1" /><Relationship Type="http://schemas.openxmlformats.org/officeDocument/2006/relationships/hyperlink" Target="http://www.google.com/finance" TargetMode="External" Id="rId2" /><Relationship Type="http://schemas.openxmlformats.org/officeDocument/2006/relationships/drawing" Target="/xl/drawings/drawing15.xml" Id="rId3" /></Relationships>
</file>

<file path=xl/worksheets/_rels/sheet20.xml.rels><Relationships xmlns="http://schemas.openxmlformats.org/package/2006/relationships"><Relationship Type="http://schemas.openxmlformats.org/officeDocument/2006/relationships/hyperlink" Target="#'&#44288;&#49900;&#51333;&#47785;'!D8" TargetMode="External" Id="rId1" /><Relationship Type="http://schemas.openxmlformats.org/officeDocument/2006/relationships/hyperlink" Target="http://www.google.com/finance" TargetMode="External" Id="rId2" /><Relationship Type="http://schemas.openxmlformats.org/officeDocument/2006/relationships/drawing" Target="/xl/drawings/drawing16.xml" Id="rId3" /></Relationships>
</file>

<file path=xl/worksheets/_rels/sheet21.xml.rels><Relationships xmlns="http://schemas.openxmlformats.org/package/2006/relationships"><Relationship Type="http://schemas.openxmlformats.org/officeDocument/2006/relationships/hyperlink" Target="#'&#44288;&#49900;&#51333;&#47785;'!D8" TargetMode="External" Id="rId1" /><Relationship Type="http://schemas.openxmlformats.org/officeDocument/2006/relationships/hyperlink" Target="http://www.google.com/finance" TargetMode="External" Id="rId2" /><Relationship Type="http://schemas.openxmlformats.org/officeDocument/2006/relationships/drawing" Target="/xl/drawings/drawing17.xml" Id="rId3" /></Relationships>
</file>

<file path=xl/worksheets/_rels/sheet22.xml.rels><Relationships xmlns="http://schemas.openxmlformats.org/package/2006/relationships"><Relationship Type="http://schemas.openxmlformats.org/officeDocument/2006/relationships/hyperlink" Target="#'&#44288;&#49900;&#51333;&#47785;'!D8" TargetMode="External" Id="rId1" /><Relationship Type="http://schemas.openxmlformats.org/officeDocument/2006/relationships/hyperlink" Target="http://www.google.com/finance" TargetMode="External" Id="rId2" /><Relationship Type="http://schemas.openxmlformats.org/officeDocument/2006/relationships/drawing" Target="/xl/drawings/drawing18.xml" Id="rId3" /></Relationships>
</file>

<file path=xl/worksheets/_rels/sheet23.xml.rels><Relationships xmlns="http://schemas.openxmlformats.org/package/2006/relationships"><Relationship Type="http://schemas.openxmlformats.org/officeDocument/2006/relationships/hyperlink" Target="#'&#44288;&#49900;&#51333;&#47785;'!D8" TargetMode="External" Id="rId1" /><Relationship Type="http://schemas.openxmlformats.org/officeDocument/2006/relationships/hyperlink" Target="http://www.google.com/finance" TargetMode="External" Id="rId2" /><Relationship Type="http://schemas.openxmlformats.org/officeDocument/2006/relationships/drawing" Target="/xl/drawings/drawing19.xml" Id="rId3" /></Relationships>
</file>

<file path=xl/worksheets/_rels/sheet24.xml.rels><Relationships xmlns="http://schemas.openxmlformats.org/package/2006/relationships"><Relationship Type="http://schemas.openxmlformats.org/officeDocument/2006/relationships/hyperlink" Target="#'&#44288;&#49900;&#51333;&#47785;'!D8" TargetMode="External" Id="rId1" /><Relationship Type="http://schemas.openxmlformats.org/officeDocument/2006/relationships/hyperlink" Target="http://www.google.com/finance" TargetMode="External" Id="rId2" /><Relationship Type="http://schemas.openxmlformats.org/officeDocument/2006/relationships/drawing" Target="/xl/drawings/drawing20.xml" Id="rId3" /></Relationships>
</file>

<file path=xl/worksheets/_rels/sheet25.xml.rels><Relationships xmlns="http://schemas.openxmlformats.org/package/2006/relationships"><Relationship Type="http://schemas.openxmlformats.org/officeDocument/2006/relationships/hyperlink" Target="#'&#44288;&#49900;&#51333;&#47785;'!D8" TargetMode="External" Id="rId1" /><Relationship Type="http://schemas.openxmlformats.org/officeDocument/2006/relationships/hyperlink" Target="http://www.google.com/finance" TargetMode="External" Id="rId2" /><Relationship Type="http://schemas.openxmlformats.org/officeDocument/2006/relationships/drawing" Target="/xl/drawings/drawing21.xml" Id="rId3" /></Relationships>
</file>

<file path=xl/worksheets/_rels/sheet26.xml.rels><Relationships xmlns="http://schemas.openxmlformats.org/package/2006/relationships"><Relationship Type="http://schemas.openxmlformats.org/officeDocument/2006/relationships/hyperlink" Target="#'&#44288;&#49900;&#51333;&#47785;'!D8" TargetMode="External" Id="rId1" /><Relationship Type="http://schemas.openxmlformats.org/officeDocument/2006/relationships/hyperlink" Target="http://www.google.com/finance" TargetMode="External" Id="rId2" /><Relationship Type="http://schemas.openxmlformats.org/officeDocument/2006/relationships/drawing" Target="/xl/drawings/drawing22.xml" Id="rId3" /></Relationships>
</file>

<file path=xl/worksheets/_rels/sheet27.xml.rels><Relationships xmlns="http://schemas.openxmlformats.org/package/2006/relationships"><Relationship Type="http://schemas.openxmlformats.org/officeDocument/2006/relationships/hyperlink" Target="#'&#44288;&#49900;&#51333;&#47785;'!D8" TargetMode="External" Id="rId1" /><Relationship Type="http://schemas.openxmlformats.org/officeDocument/2006/relationships/hyperlink" Target="http://www.google.com/finance" TargetMode="External" Id="rId2" /><Relationship Type="http://schemas.openxmlformats.org/officeDocument/2006/relationships/drawing" Target="/xl/drawings/drawing23.xml" Id="rId3" /></Relationships>
</file>

<file path=xl/worksheets/_rels/sheet28.xml.rels><Relationships xmlns="http://schemas.openxmlformats.org/package/2006/relationships"><Relationship Type="http://schemas.openxmlformats.org/officeDocument/2006/relationships/hyperlink" Target="#'&#44288;&#49900;&#51333;&#47785;'!D8" TargetMode="External" Id="rId1" /><Relationship Type="http://schemas.openxmlformats.org/officeDocument/2006/relationships/hyperlink" Target="http://www.google.com/finance" TargetMode="External" Id="rId2" /><Relationship Type="http://schemas.openxmlformats.org/officeDocument/2006/relationships/drawing" Target="/xl/drawings/drawing24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Q149"/>
  <sheetViews>
    <sheetView tabSelected="1" zoomScale="70" zoomScaleNormal="70" workbookViewId="0">
      <selection activeCell="C29" sqref="C29"/>
    </sheetView>
  </sheetViews>
  <sheetFormatPr baseColWidth="8" defaultRowHeight="14.25"/>
  <cols>
    <col width="7.28515625" customWidth="1" style="343" min="1" max="1"/>
    <col width="19.140625" customWidth="1" style="343" min="2" max="18"/>
    <col width="9.140625" customWidth="1" style="343" min="19" max="16384"/>
  </cols>
  <sheetData>
    <row r="3" ht="18" customHeight="1" s="322">
      <c r="B3" s="342" t="inlineStr">
        <is>
          <t>1.고객정보</t>
        </is>
      </c>
    </row>
    <row r="4" ht="15" customHeight="1" s="322" thickBot="1">
      <c r="B4" s="343" t="inlineStr">
        <is>
          <t>사용자의 기본 정보에 해당하는 항목입니다.</t>
        </is>
      </c>
    </row>
    <row r="5" ht="15" customHeight="1" s="322">
      <c r="B5" s="344" t="inlineStr">
        <is>
          <t>이름</t>
        </is>
      </c>
      <c r="C5" s="346" t="inlineStr">
        <is>
          <t>성별</t>
        </is>
      </c>
      <c r="D5" s="346" t="inlineStr">
        <is>
          <t>연령
(만 나이)</t>
        </is>
      </c>
      <c r="E5" s="346" t="inlineStr">
        <is>
          <t>신용점수
(KCB)</t>
        </is>
      </c>
      <c r="F5" s="346" t="inlineStr">
        <is>
          <t>이메일</t>
        </is>
      </c>
      <c r="G5" s="402" t="n"/>
    </row>
    <row r="6" ht="15" customHeight="1" s="322" thickBot="1">
      <c r="B6" s="347" t="inlineStr">
        <is>
          <t>김용</t>
        </is>
      </c>
      <c r="C6" s="349" t="inlineStr">
        <is>
          <t>남</t>
        </is>
      </c>
      <c r="D6" s="349" t="n">
        <v>46</v>
      </c>
      <c r="E6" s="349" t="n">
        <v>1000</v>
      </c>
      <c r="F6" s="349" t="inlineStr">
        <is>
          <t>-</t>
        </is>
      </c>
      <c r="G6" s="403" t="n"/>
    </row>
    <row r="9" ht="18" customHeight="1" s="322">
      <c r="B9" s="342" t="inlineStr">
        <is>
          <t>2.현금흐름현황</t>
        </is>
      </c>
    </row>
    <row r="10" ht="15" customHeight="1" s="322" thickBot="1">
      <c r="B10" s="343" t="inlineStr">
        <is>
          <t>최근 1년 동안의 현금흐름을 분석합니다.</t>
        </is>
      </c>
    </row>
    <row r="11" ht="15" customHeight="1" s="322">
      <c r="B11" s="350" t="inlineStr">
        <is>
          <t>항목</t>
        </is>
      </c>
      <c r="C11" s="351" t="inlineStr">
        <is>
          <t>총계</t>
        </is>
      </c>
      <c r="D11" s="351" t="inlineStr">
        <is>
          <t>월평균</t>
        </is>
      </c>
      <c r="E11" s="352" t="inlineStr">
        <is>
          <t>2025-07</t>
        </is>
      </c>
      <c r="F11" s="352" t="inlineStr">
        <is>
          <t>2025-08</t>
        </is>
      </c>
      <c r="G11" s="352" t="inlineStr">
        <is>
          <t>2025-09</t>
        </is>
      </c>
      <c r="H11" s="352" t="inlineStr">
        <is>
          <t>2025-10</t>
        </is>
      </c>
      <c r="I11" s="352" t="inlineStr">
        <is>
          <t>2025-11</t>
        </is>
      </c>
      <c r="J11" s="352" t="inlineStr">
        <is>
          <t>2025-12</t>
        </is>
      </c>
      <c r="K11" s="352" t="inlineStr">
        <is>
          <t>2026-01</t>
        </is>
      </c>
      <c r="L11" s="352" t="inlineStr">
        <is>
          <t>2026-02</t>
        </is>
      </c>
      <c r="M11" s="352" t="inlineStr">
        <is>
          <t>2026-03</t>
        </is>
      </c>
      <c r="N11" s="352" t="inlineStr">
        <is>
          <t>2026-04</t>
        </is>
      </c>
      <c r="O11" s="352" t="inlineStr">
        <is>
          <t>2026-05</t>
        </is>
      </c>
      <c r="P11" s="352" t="inlineStr">
        <is>
          <t>2026-06</t>
        </is>
      </c>
      <c r="Q11" s="352" t="inlineStr">
        <is>
          <t>2026-07</t>
        </is>
      </c>
    </row>
    <row r="12" ht="15" customHeight="1" s="322">
      <c r="B12" s="353" t="inlineStr">
        <is>
          <t>금융수입</t>
        </is>
      </c>
      <c r="C12" s="354">
        <f>SUM(E12:Q12)</f>
        <v/>
      </c>
      <c r="D12" s="354">
        <f>C12/13</f>
        <v/>
      </c>
      <c r="E12" s="354" t="n">
        <v>0</v>
      </c>
      <c r="F12" s="354" t="n">
        <v>0</v>
      </c>
      <c r="G12" s="354" t="n">
        <v>80000</v>
      </c>
      <c r="H12" s="354" t="n">
        <v>1</v>
      </c>
      <c r="I12" s="354" t="n">
        <v>0</v>
      </c>
      <c r="J12" s="354" t="n">
        <v>20000</v>
      </c>
      <c r="K12" s="354" t="n">
        <v>0</v>
      </c>
      <c r="L12" s="354" t="n">
        <v>0</v>
      </c>
      <c r="M12" s="354" t="n">
        <v>4</v>
      </c>
      <c r="N12" s="354" t="n">
        <v>0</v>
      </c>
      <c r="O12" s="354" t="n">
        <v>1</v>
      </c>
      <c r="P12" s="354" t="n">
        <v>0</v>
      </c>
      <c r="Q12" s="354" t="n">
        <v>0</v>
      </c>
    </row>
    <row r="13" ht="15" customHeight="1" s="322">
      <c r="B13" s="353" t="inlineStr">
        <is>
          <t>급여</t>
        </is>
      </c>
      <c r="C13" s="354">
        <f>SUM(E13:Q13)</f>
        <v/>
      </c>
      <c r="D13" s="354">
        <f>C13/13</f>
        <v/>
      </c>
      <c r="E13" s="354" t="n">
        <v>0</v>
      </c>
      <c r="F13" s="354" t="n">
        <v>5107809</v>
      </c>
      <c r="G13" s="354" t="n">
        <v>5863980</v>
      </c>
      <c r="H13" s="354" t="n">
        <v>10584640</v>
      </c>
      <c r="I13" s="354" t="n">
        <v>5897358</v>
      </c>
      <c r="J13" s="354" t="n">
        <v>9609713</v>
      </c>
      <c r="K13" s="354" t="n">
        <v>5869380</v>
      </c>
      <c r="L13" s="354" t="n">
        <v>12652275</v>
      </c>
      <c r="M13" s="354" t="n">
        <v>6055700</v>
      </c>
      <c r="N13" s="354" t="n">
        <v>6132550</v>
      </c>
      <c r="O13" s="354" t="n">
        <v>6052268</v>
      </c>
      <c r="P13" s="354" t="n">
        <v>6022650</v>
      </c>
      <c r="Q13" s="354" t="n">
        <v>6065877</v>
      </c>
    </row>
    <row r="14" ht="15" customHeight="1" s="322">
      <c r="B14" s="353" t="inlineStr">
        <is>
          <t>기타수입</t>
        </is>
      </c>
      <c r="C14" s="354">
        <f>SUM(E14:Q14)</f>
        <v/>
      </c>
      <c r="D14" s="354">
        <f>C14/13</f>
        <v/>
      </c>
      <c r="E14" s="354" t="n">
        <v>0</v>
      </c>
      <c r="F14" s="354" t="n">
        <v>0</v>
      </c>
      <c r="G14" s="354" t="n">
        <v>0</v>
      </c>
      <c r="H14" s="354" t="n">
        <v>0</v>
      </c>
      <c r="I14" s="354" t="n">
        <v>0</v>
      </c>
      <c r="J14" s="354" t="n">
        <v>0</v>
      </c>
      <c r="K14" s="354" t="n">
        <v>0</v>
      </c>
      <c r="L14" s="354" t="n">
        <v>0</v>
      </c>
      <c r="M14" s="354" t="n">
        <v>0</v>
      </c>
      <c r="N14" s="354" t="n">
        <v>0</v>
      </c>
      <c r="O14" s="354" t="n">
        <v>0</v>
      </c>
      <c r="P14" s="354" t="n">
        <v>10430</v>
      </c>
      <c r="Q14" s="354" t="n">
        <v>0</v>
      </c>
    </row>
    <row r="15" ht="15" customHeight="1" s="322">
      <c r="B15" s="353" t="inlineStr">
        <is>
          <t>사업수입</t>
        </is>
      </c>
      <c r="C15" s="354">
        <f>SUM(E15:Q15)</f>
        <v/>
      </c>
      <c r="D15" s="354">
        <f>C15/13</f>
        <v/>
      </c>
      <c r="E15" s="354" t="n">
        <v>0</v>
      </c>
      <c r="F15" s="354" t="n">
        <v>0</v>
      </c>
      <c r="G15" s="354" t="n">
        <v>0</v>
      </c>
      <c r="H15" s="354" t="n">
        <v>0</v>
      </c>
      <c r="I15" s="354" t="n">
        <v>0</v>
      </c>
      <c r="J15" s="354" t="n">
        <v>0</v>
      </c>
      <c r="K15" s="354" t="n">
        <v>0</v>
      </c>
      <c r="L15" s="354" t="n">
        <v>0</v>
      </c>
      <c r="M15" s="354" t="n">
        <v>0</v>
      </c>
      <c r="N15" s="354" t="n">
        <v>1064432</v>
      </c>
      <c r="O15" s="354" t="n">
        <v>0</v>
      </c>
      <c r="P15" s="354" t="n">
        <v>0</v>
      </c>
      <c r="Q15" s="354" t="n">
        <v>0</v>
      </c>
    </row>
    <row r="16" ht="15" customHeight="1" s="322">
      <c r="B16" s="353" t="inlineStr">
        <is>
          <t>상여금</t>
        </is>
      </c>
      <c r="C16" s="354">
        <f>SUM(E16:Q16)</f>
        <v/>
      </c>
      <c r="D16" s="354">
        <f>C16/13</f>
        <v/>
      </c>
      <c r="E16" s="354" t="n">
        <v>0</v>
      </c>
      <c r="F16" s="354" t="n">
        <v>0</v>
      </c>
      <c r="G16" s="354" t="n">
        <v>0</v>
      </c>
      <c r="H16" s="354" t="n">
        <v>0</v>
      </c>
      <c r="I16" s="354" t="n">
        <v>0</v>
      </c>
      <c r="J16" s="354" t="n">
        <v>0</v>
      </c>
      <c r="K16" s="354" t="n">
        <v>0</v>
      </c>
      <c r="L16" s="354" t="n">
        <v>0</v>
      </c>
      <c r="M16" s="354" t="n">
        <v>0</v>
      </c>
      <c r="N16" s="354" t="n">
        <v>0</v>
      </c>
      <c r="O16" s="354" t="n">
        <v>0</v>
      </c>
      <c r="P16" s="354" t="n">
        <v>2378785</v>
      </c>
      <c r="Q16" s="354" t="n">
        <v>0</v>
      </c>
    </row>
    <row r="17" ht="15" customHeight="1" s="322">
      <c r="B17" s="353" t="inlineStr">
        <is>
          <t>미분류</t>
        </is>
      </c>
      <c r="C17" s="354">
        <f>SUM(E17:Q17)</f>
        <v/>
      </c>
      <c r="D17" s="354">
        <f>C17/13</f>
        <v/>
      </c>
      <c r="E17" s="354" t="n">
        <v>0</v>
      </c>
      <c r="F17" s="354" t="n">
        <v>0</v>
      </c>
      <c r="G17" s="354" t="n">
        <v>0</v>
      </c>
      <c r="H17" s="354" t="n">
        <v>0</v>
      </c>
      <c r="I17" s="354" t="n">
        <v>0</v>
      </c>
      <c r="J17" s="354" t="n">
        <v>0</v>
      </c>
      <c r="K17" s="354" t="n">
        <v>0</v>
      </c>
      <c r="L17" s="354" t="n">
        <v>0</v>
      </c>
      <c r="M17" s="354" t="n">
        <v>0</v>
      </c>
      <c r="N17" s="354" t="n">
        <v>0</v>
      </c>
      <c r="O17" s="354" t="n">
        <v>0</v>
      </c>
      <c r="P17" s="354" t="n">
        <v>0</v>
      </c>
      <c r="Q17" s="354" t="n">
        <v>2279856</v>
      </c>
    </row>
    <row r="18" ht="15.75" customHeight="1" s="322" thickBot="1">
      <c r="B18" s="355" t="inlineStr">
        <is>
          <t>월수입 총계</t>
        </is>
      </c>
      <c r="C18" s="356">
        <f>SUM(E18:Q18)</f>
        <v/>
      </c>
      <c r="D18" s="356">
        <f>C18/13</f>
        <v/>
      </c>
      <c r="E18" s="356">
        <f>SUM(E12:E17)</f>
        <v/>
      </c>
      <c r="F18" s="356">
        <f>SUM(F12:F17)</f>
        <v/>
      </c>
      <c r="G18" s="356">
        <f>SUM(G12:G17)</f>
        <v/>
      </c>
      <c r="H18" s="356">
        <f>SUM(H12:H17)</f>
        <v/>
      </c>
      <c r="I18" s="356">
        <f>SUM(I12:I17)</f>
        <v/>
      </c>
      <c r="J18" s="356">
        <f>SUM(J12:J17)</f>
        <v/>
      </c>
      <c r="K18" s="356">
        <f>SUM(K12:K17)</f>
        <v/>
      </c>
      <c r="L18" s="356">
        <f>SUM(L12:L17)</f>
        <v/>
      </c>
      <c r="M18" s="356">
        <f>SUM(M12:M17)</f>
        <v/>
      </c>
      <c r="N18" s="356">
        <f>SUM(N12:N17)</f>
        <v/>
      </c>
      <c r="O18" s="356">
        <f>SUM(O12:O17)</f>
        <v/>
      </c>
      <c r="P18" s="356">
        <f>SUM(P12:P17)</f>
        <v/>
      </c>
      <c r="Q18" s="356">
        <f>SUM(Q12:Q17)</f>
        <v/>
      </c>
    </row>
    <row r="19" ht="15" customHeight="1" s="322">
      <c r="A19" s="343" t="inlineStr">
        <is>
          <t>필수</t>
        </is>
      </c>
      <c r="B19" s="353" t="inlineStr">
        <is>
          <t>경조/선물</t>
        </is>
      </c>
      <c r="C19" s="354">
        <f>SUM(E19:Q19)</f>
        <v/>
      </c>
      <c r="D19" s="354">
        <f>C19/13</f>
        <v/>
      </c>
      <c r="E19" s="354" t="n">
        <v>700000</v>
      </c>
      <c r="F19" s="354" t="n">
        <v>730000</v>
      </c>
      <c r="G19" s="354" t="n">
        <v>700000</v>
      </c>
      <c r="H19" s="354" t="n">
        <v>930000</v>
      </c>
      <c r="I19" s="354" t="n">
        <v>750000</v>
      </c>
      <c r="J19" s="354" t="n">
        <v>750000</v>
      </c>
      <c r="K19" s="354" t="n">
        <v>750000</v>
      </c>
      <c r="L19" s="354" t="n">
        <v>760336</v>
      </c>
      <c r="M19" s="354" t="n">
        <v>721000</v>
      </c>
      <c r="N19" s="354" t="n">
        <v>750000</v>
      </c>
      <c r="O19" s="354" t="n">
        <v>750000</v>
      </c>
      <c r="P19" s="354" t="n">
        <v>750000</v>
      </c>
      <c r="Q19" s="354" t="n">
        <v>50000</v>
      </c>
    </row>
    <row r="20" ht="15" customHeight="1" s="322">
      <c r="A20" s="343" t="inlineStr">
        <is>
          <t>선택</t>
        </is>
      </c>
      <c r="B20" s="353" t="inlineStr">
        <is>
          <t>교육/학습</t>
        </is>
      </c>
      <c r="C20" s="354">
        <f>SUM(E20:Q20)</f>
        <v/>
      </c>
      <c r="D20" s="354">
        <f>C20/13</f>
        <v/>
      </c>
      <c r="E20" s="354" t="n">
        <v>0</v>
      </c>
      <c r="F20" s="354" t="n">
        <v>0</v>
      </c>
      <c r="G20" s="354" t="n">
        <v>10200</v>
      </c>
      <c r="H20" s="354" t="n">
        <v>0</v>
      </c>
      <c r="I20" s="354" t="n">
        <v>0</v>
      </c>
      <c r="J20" s="354" t="n">
        <v>12000</v>
      </c>
      <c r="K20" s="354" t="n">
        <v>85700</v>
      </c>
      <c r="L20" s="354" t="n">
        <v>92190</v>
      </c>
      <c r="M20" s="354" t="n">
        <v>0</v>
      </c>
      <c r="N20" s="354" t="n">
        <v>6000</v>
      </c>
      <c r="O20" s="354" t="n">
        <v>0</v>
      </c>
      <c r="P20" s="354" t="n">
        <v>0</v>
      </c>
      <c r="Q20" s="354" t="n">
        <v>0</v>
      </c>
    </row>
    <row r="21" ht="15" customHeight="1" s="322">
      <c r="A21" s="343" t="inlineStr">
        <is>
          <t>필수</t>
        </is>
      </c>
      <c r="B21" s="353" t="inlineStr">
        <is>
          <t>교통</t>
        </is>
      </c>
      <c r="C21" s="354">
        <f>SUM(E21:Q21)</f>
        <v/>
      </c>
      <c r="D21" s="354">
        <f>C21/13</f>
        <v/>
      </c>
      <c r="E21" s="354" t="n">
        <v>0</v>
      </c>
      <c r="F21" s="354" t="n">
        <v>2900</v>
      </c>
      <c r="G21" s="354" t="n">
        <v>30000</v>
      </c>
      <c r="H21" s="354" t="n">
        <v>30000</v>
      </c>
      <c r="I21" s="354" t="n">
        <v>60750</v>
      </c>
      <c r="J21" s="354" t="n">
        <v>50000</v>
      </c>
      <c r="K21" s="354" t="n">
        <v>63200</v>
      </c>
      <c r="L21" s="354" t="n">
        <v>75300</v>
      </c>
      <c r="M21" s="354" t="n">
        <v>60000</v>
      </c>
      <c r="N21" s="354" t="n">
        <v>53200</v>
      </c>
      <c r="O21" s="354" t="n">
        <v>60000</v>
      </c>
      <c r="P21" s="354" t="n">
        <v>63400</v>
      </c>
      <c r="Q21" s="354" t="n">
        <v>71500</v>
      </c>
    </row>
    <row r="22" ht="15" customHeight="1" s="322">
      <c r="A22" s="343" t="inlineStr">
        <is>
          <t>필수</t>
        </is>
      </c>
      <c r="B22" s="353" t="inlineStr">
        <is>
          <t>금융</t>
        </is>
      </c>
      <c r="C22" s="354">
        <f>SUM(E22:Q22)</f>
        <v/>
      </c>
      <c r="D22" s="354">
        <f>C22/13</f>
        <v/>
      </c>
      <c r="E22" s="354" t="n">
        <v>60380</v>
      </c>
      <c r="F22" s="354" t="n">
        <v>1313802</v>
      </c>
      <c r="G22" s="354" t="n">
        <v>121577701</v>
      </c>
      <c r="H22" s="354" t="n">
        <v>1659562</v>
      </c>
      <c r="I22" s="354" t="n">
        <v>1384699</v>
      </c>
      <c r="J22" s="354" t="n">
        <v>1498194</v>
      </c>
      <c r="K22" s="354" t="n">
        <v>2075322</v>
      </c>
      <c r="L22" s="354" t="n">
        <v>1863655</v>
      </c>
      <c r="M22" s="354" t="n">
        <v>2015670</v>
      </c>
      <c r="N22" s="354" t="n">
        <v>1818208</v>
      </c>
      <c r="O22" s="354" t="n">
        <v>2053519</v>
      </c>
      <c r="P22" s="354" t="n">
        <v>2005859</v>
      </c>
      <c r="Q22" s="354" t="n">
        <v>1995597</v>
      </c>
    </row>
    <row r="23" ht="15" customHeight="1" s="322">
      <c r="A23" s="343" t="inlineStr">
        <is>
          <t>선택</t>
        </is>
      </c>
      <c r="B23" s="353" t="inlineStr">
        <is>
          <t>문화/여가</t>
        </is>
      </c>
      <c r="C23" s="354">
        <f>SUM(E23:Q23)</f>
        <v/>
      </c>
      <c r="D23" s="354">
        <f>C23/13</f>
        <v/>
      </c>
      <c r="E23" s="354" t="n">
        <v>0</v>
      </c>
      <c r="F23" s="354" t="n">
        <v>21900</v>
      </c>
      <c r="G23" s="354" t="n">
        <v>9270</v>
      </c>
      <c r="H23" s="354" t="n">
        <v>0</v>
      </c>
      <c r="I23" s="354" t="n">
        <v>7000</v>
      </c>
      <c r="J23" s="354" t="n">
        <v>18000</v>
      </c>
      <c r="K23" s="354" t="n">
        <v>71490</v>
      </c>
      <c r="L23" s="354" t="n">
        <v>34900</v>
      </c>
      <c r="M23" s="354" t="n">
        <v>54490</v>
      </c>
      <c r="N23" s="354" t="n">
        <v>37900</v>
      </c>
      <c r="O23" s="354" t="n">
        <v>4000</v>
      </c>
      <c r="P23" s="354" t="n">
        <v>48700</v>
      </c>
      <c r="Q23" s="354" t="n">
        <v>11000</v>
      </c>
    </row>
    <row r="24" ht="15" customHeight="1" s="322">
      <c r="A24" s="343" t="inlineStr">
        <is>
          <t>선택</t>
        </is>
      </c>
      <c r="B24" s="353" t="inlineStr">
        <is>
          <t>반려동물</t>
        </is>
      </c>
      <c r="C24" s="354">
        <f>SUM(E24:Q24)</f>
        <v/>
      </c>
      <c r="D24" s="354">
        <f>C24/13</f>
        <v/>
      </c>
      <c r="E24" s="354" t="n">
        <v>0</v>
      </c>
      <c r="F24" s="354" t="n">
        <v>0</v>
      </c>
      <c r="G24" s="354" t="n">
        <v>0</v>
      </c>
      <c r="H24" s="354" t="n">
        <v>0</v>
      </c>
      <c r="I24" s="354" t="n">
        <v>0</v>
      </c>
      <c r="J24" s="354" t="n">
        <v>0</v>
      </c>
      <c r="K24" s="354" t="n">
        <v>0</v>
      </c>
      <c r="L24" s="354" t="n">
        <v>0</v>
      </c>
      <c r="M24" s="354" t="n">
        <v>0</v>
      </c>
      <c r="N24" s="354" t="n">
        <v>0</v>
      </c>
      <c r="O24" s="354" t="n">
        <v>0</v>
      </c>
      <c r="P24" s="354" t="n">
        <v>32500</v>
      </c>
      <c r="Q24" s="354" t="n">
        <v>0</v>
      </c>
    </row>
    <row r="25" ht="15" customHeight="1" s="322">
      <c r="A25" s="343" t="inlineStr">
        <is>
          <t>선택</t>
        </is>
      </c>
      <c r="B25" s="353" t="inlineStr">
        <is>
          <t>뷰티/미용</t>
        </is>
      </c>
      <c r="C25" s="354">
        <f>SUM(E25:Q25)</f>
        <v/>
      </c>
      <c r="D25" s="354">
        <f>C25/13</f>
        <v/>
      </c>
      <c r="E25" s="354" t="n">
        <v>0</v>
      </c>
      <c r="F25" s="354" t="n">
        <v>52400</v>
      </c>
      <c r="G25" s="354" t="n">
        <v>81670</v>
      </c>
      <c r="H25" s="354" t="n">
        <v>41200</v>
      </c>
      <c r="I25" s="354" t="n">
        <v>102433</v>
      </c>
      <c r="J25" s="354" t="n">
        <v>83333</v>
      </c>
      <c r="K25" s="354" t="n">
        <v>150833</v>
      </c>
      <c r="L25" s="354" t="n">
        <v>83333</v>
      </c>
      <c r="M25" s="354" t="n">
        <v>101933</v>
      </c>
      <c r="N25" s="354" t="n">
        <v>83333</v>
      </c>
      <c r="O25" s="354" t="n">
        <v>43610</v>
      </c>
      <c r="P25" s="354" t="n">
        <v>37660</v>
      </c>
      <c r="Q25" s="354" t="n">
        <v>88170</v>
      </c>
    </row>
    <row r="26" ht="15" customHeight="1" s="322">
      <c r="A26" s="343" t="inlineStr">
        <is>
          <t>선택</t>
        </is>
      </c>
      <c r="B26" s="353" t="inlineStr">
        <is>
          <t>생활</t>
        </is>
      </c>
      <c r="C26" s="354">
        <f>SUM(E26:Q26)</f>
        <v/>
      </c>
      <c r="D26" s="354">
        <f>C26/13</f>
        <v/>
      </c>
      <c r="E26" s="354" t="n">
        <v>0</v>
      </c>
      <c r="F26" s="354" t="n">
        <v>517390</v>
      </c>
      <c r="G26" s="354" t="n">
        <v>562764</v>
      </c>
      <c r="H26" s="354" t="n">
        <v>384580</v>
      </c>
      <c r="I26" s="354" t="n">
        <v>657570</v>
      </c>
      <c r="J26" s="354" t="n">
        <v>562880</v>
      </c>
      <c r="K26" s="354" t="n">
        <v>406777</v>
      </c>
      <c r="L26" s="354" t="n">
        <v>664860</v>
      </c>
      <c r="M26" s="354" t="n">
        <v>238890</v>
      </c>
      <c r="N26" s="354" t="n">
        <v>248160</v>
      </c>
      <c r="O26" s="354" t="n">
        <v>611080</v>
      </c>
      <c r="P26" s="354" t="n">
        <v>180400</v>
      </c>
      <c r="Q26" s="354" t="n">
        <v>231160</v>
      </c>
    </row>
    <row r="27" ht="15" customHeight="1" s="322">
      <c r="A27" s="343" t="inlineStr">
        <is>
          <t>선택</t>
        </is>
      </c>
      <c r="B27" s="353" t="inlineStr">
        <is>
          <t>술/유흥</t>
        </is>
      </c>
      <c r="C27" s="354">
        <f>SUM(E27:Q27)</f>
        <v/>
      </c>
      <c r="D27" s="354">
        <f>C27/13</f>
        <v/>
      </c>
      <c r="E27" s="354" t="n">
        <v>0</v>
      </c>
      <c r="F27" s="354" t="n">
        <v>0</v>
      </c>
      <c r="G27" s="354" t="n">
        <v>0</v>
      </c>
      <c r="H27" s="354" t="n">
        <v>0</v>
      </c>
      <c r="I27" s="354" t="n">
        <v>28500</v>
      </c>
      <c r="J27" s="354" t="n">
        <v>0</v>
      </c>
      <c r="K27" s="354" t="n">
        <v>0</v>
      </c>
      <c r="L27" s="354" t="n">
        <v>0</v>
      </c>
      <c r="M27" s="354" t="n">
        <v>0</v>
      </c>
      <c r="N27" s="354" t="n">
        <v>121400</v>
      </c>
      <c r="O27" s="354" t="n">
        <v>0</v>
      </c>
      <c r="P27" s="354" t="n">
        <v>0</v>
      </c>
      <c r="Q27" s="354" t="n">
        <v>0</v>
      </c>
    </row>
    <row r="28" ht="15" customHeight="1" s="322">
      <c r="A28" s="343" t="inlineStr">
        <is>
          <t>선택</t>
        </is>
      </c>
      <c r="B28" s="353" t="inlineStr">
        <is>
          <t>식비</t>
        </is>
      </c>
      <c r="C28" s="354">
        <f>SUM(E28:Q28)</f>
        <v/>
      </c>
      <c r="D28" s="354">
        <f>C28/13</f>
        <v/>
      </c>
      <c r="E28" s="354" t="n">
        <v>198963</v>
      </c>
      <c r="F28" s="354" t="n">
        <v>1064704</v>
      </c>
      <c r="G28" s="354" t="n">
        <v>534182</v>
      </c>
      <c r="H28" s="354" t="n">
        <v>619454</v>
      </c>
      <c r="I28" s="354" t="n">
        <v>814865</v>
      </c>
      <c r="J28" s="354" t="n">
        <v>586715</v>
      </c>
      <c r="K28" s="354" t="n">
        <v>951826</v>
      </c>
      <c r="L28" s="354" t="n">
        <v>1051308</v>
      </c>
      <c r="M28" s="354" t="n">
        <v>1223049</v>
      </c>
      <c r="N28" s="354" t="n">
        <v>824610</v>
      </c>
      <c r="O28" s="354" t="n">
        <v>1109662</v>
      </c>
      <c r="P28" s="354" t="n">
        <v>717950</v>
      </c>
      <c r="Q28" s="354" t="n">
        <v>1162035</v>
      </c>
    </row>
    <row r="29" ht="15" customHeight="1" s="322">
      <c r="A29" s="343" t="inlineStr">
        <is>
          <t>선택</t>
        </is>
      </c>
      <c r="B29" s="353" t="inlineStr">
        <is>
          <t>여행/숙박</t>
        </is>
      </c>
      <c r="C29" s="354">
        <f>SUM(E29:Q29)</f>
        <v/>
      </c>
      <c r="D29" s="354">
        <f>C29/13</f>
        <v/>
      </c>
      <c r="E29" s="354" t="n">
        <v>0</v>
      </c>
      <c r="F29" s="354" t="n">
        <v>0</v>
      </c>
      <c r="G29" s="354" t="n">
        <v>0</v>
      </c>
      <c r="H29" s="354" t="n">
        <v>42000</v>
      </c>
      <c r="I29" s="354" t="n">
        <v>0</v>
      </c>
      <c r="J29" s="354" t="n">
        <v>0</v>
      </c>
      <c r="K29" s="354" t="n">
        <v>28500</v>
      </c>
      <c r="L29" s="354" t="n">
        <v>126254</v>
      </c>
      <c r="M29" s="354" t="n">
        <v>3000</v>
      </c>
      <c r="N29" s="354" t="n">
        <v>61400</v>
      </c>
      <c r="O29" s="354" t="n">
        <v>10000</v>
      </c>
      <c r="P29" s="354" t="n">
        <v>220900</v>
      </c>
      <c r="Q29" s="354" t="n">
        <v>0</v>
      </c>
    </row>
    <row r="30" ht="15" customHeight="1" s="322">
      <c r="A30" s="343" t="inlineStr">
        <is>
          <t>선택</t>
        </is>
      </c>
      <c r="B30" s="353" t="inlineStr">
        <is>
          <t>온라인쇼핑</t>
        </is>
      </c>
      <c r="C30" s="354">
        <f>SUM(E30:Q30)</f>
        <v/>
      </c>
      <c r="D30" s="354">
        <f>C30/13</f>
        <v/>
      </c>
      <c r="E30" s="354" t="n">
        <v>95160</v>
      </c>
      <c r="F30" s="354" t="n">
        <v>796617</v>
      </c>
      <c r="G30" s="354" t="n">
        <v>5908354</v>
      </c>
      <c r="H30" s="354" t="n">
        <v>478950</v>
      </c>
      <c r="I30" s="354" t="n">
        <v>1478034</v>
      </c>
      <c r="J30" s="354" t="n">
        <v>251792</v>
      </c>
      <c r="K30" s="354" t="n">
        <v>894758</v>
      </c>
      <c r="L30" s="354" t="n">
        <v>253822</v>
      </c>
      <c r="M30" s="354" t="n">
        <v>505824</v>
      </c>
      <c r="N30" s="354" t="n">
        <v>365333</v>
      </c>
      <c r="O30" s="354" t="n">
        <v>286309</v>
      </c>
      <c r="P30" s="354" t="n">
        <v>688755</v>
      </c>
      <c r="Q30" s="354" t="n">
        <v>188672</v>
      </c>
    </row>
    <row r="31" ht="15" customHeight="1" s="322">
      <c r="A31" s="343" t="inlineStr">
        <is>
          <t>선택</t>
        </is>
      </c>
      <c r="B31" s="353" t="inlineStr">
        <is>
          <t>의료/건강</t>
        </is>
      </c>
      <c r="C31" s="354">
        <f>SUM(E31:Q31)</f>
        <v/>
      </c>
      <c r="D31" s="354">
        <f>C31/13</f>
        <v/>
      </c>
      <c r="E31" s="354" t="n">
        <v>0</v>
      </c>
      <c r="F31" s="354" t="n">
        <v>111520</v>
      </c>
      <c r="G31" s="354" t="n">
        <v>268350</v>
      </c>
      <c r="H31" s="354" t="n">
        <v>132420</v>
      </c>
      <c r="I31" s="354" t="n">
        <v>434750</v>
      </c>
      <c r="J31" s="354" t="n">
        <v>116200</v>
      </c>
      <c r="K31" s="354" t="n">
        <v>57370</v>
      </c>
      <c r="L31" s="354" t="n">
        <v>105720</v>
      </c>
      <c r="M31" s="354" t="n">
        <v>110470</v>
      </c>
      <c r="N31" s="354" t="n">
        <v>30200</v>
      </c>
      <c r="O31" s="354" t="n">
        <v>265200</v>
      </c>
      <c r="P31" s="354" t="n">
        <v>235960</v>
      </c>
      <c r="Q31" s="354" t="n">
        <v>45000</v>
      </c>
    </row>
    <row r="32" ht="15" customHeight="1" s="322">
      <c r="A32" s="343" t="inlineStr">
        <is>
          <t>선택</t>
        </is>
      </c>
      <c r="B32" s="353" t="inlineStr">
        <is>
          <t>자녀/육아</t>
        </is>
      </c>
      <c r="C32" s="354">
        <f>SUM(E32:Q32)</f>
        <v/>
      </c>
      <c r="D32" s="354">
        <f>C32/13</f>
        <v/>
      </c>
      <c r="E32" s="354" t="n">
        <v>0</v>
      </c>
      <c r="F32" s="354" t="n">
        <v>311950</v>
      </c>
      <c r="G32" s="354" t="n">
        <v>273200</v>
      </c>
      <c r="H32" s="354" t="n">
        <v>72300</v>
      </c>
      <c r="I32" s="354" t="n">
        <v>0</v>
      </c>
      <c r="J32" s="354" t="n">
        <v>137370</v>
      </c>
      <c r="K32" s="354" t="n">
        <v>101620</v>
      </c>
      <c r="L32" s="354" t="n">
        <v>112900</v>
      </c>
      <c r="M32" s="354" t="n">
        <v>0</v>
      </c>
      <c r="N32" s="354" t="n">
        <v>29380</v>
      </c>
      <c r="O32" s="354" t="n">
        <v>22620</v>
      </c>
      <c r="P32" s="354" t="n">
        <v>36600</v>
      </c>
      <c r="Q32" s="354" t="n">
        <v>0</v>
      </c>
    </row>
    <row r="33" ht="15" customHeight="1" s="322">
      <c r="A33" s="343" t="inlineStr">
        <is>
          <t>필수</t>
        </is>
      </c>
      <c r="B33" s="353" t="inlineStr">
        <is>
          <t>자동차</t>
        </is>
      </c>
      <c r="C33" s="354">
        <f>SUM(E33:Q33)</f>
        <v/>
      </c>
      <c r="D33" s="354">
        <f>C33/13</f>
        <v/>
      </c>
      <c r="E33" s="354" t="n">
        <v>0</v>
      </c>
      <c r="F33" s="354" t="n">
        <v>21800</v>
      </c>
      <c r="G33" s="354" t="n">
        <v>78100</v>
      </c>
      <c r="H33" s="354" t="n">
        <v>162859</v>
      </c>
      <c r="I33" s="354" t="n">
        <v>63700</v>
      </c>
      <c r="J33" s="354" t="n">
        <v>180307</v>
      </c>
      <c r="K33" s="354" t="n">
        <v>217000</v>
      </c>
      <c r="L33" s="354" t="n">
        <v>57700</v>
      </c>
      <c r="M33" s="354" t="n">
        <v>176212</v>
      </c>
      <c r="N33" s="354" t="n">
        <v>87300</v>
      </c>
      <c r="O33" s="354" t="n">
        <v>145800</v>
      </c>
      <c r="P33" s="354" t="n">
        <v>247613</v>
      </c>
      <c r="Q33" s="354" t="n">
        <v>113323</v>
      </c>
    </row>
    <row r="34" ht="15" customHeight="1" s="322">
      <c r="A34" s="343" t="inlineStr">
        <is>
          <t>필수</t>
        </is>
      </c>
      <c r="B34" s="353" t="inlineStr">
        <is>
          <t>주거/통신</t>
        </is>
      </c>
      <c r="C34" s="354">
        <f>SUM(E34:Q34)</f>
        <v/>
      </c>
      <c r="D34" s="354">
        <f>C34/13</f>
        <v/>
      </c>
      <c r="E34" s="354" t="n">
        <v>0</v>
      </c>
      <c r="F34" s="354" t="n">
        <v>0</v>
      </c>
      <c r="G34" s="354" t="n">
        <v>0</v>
      </c>
      <c r="H34" s="354" t="n">
        <v>356320</v>
      </c>
      <c r="I34" s="354" t="n">
        <v>429500</v>
      </c>
      <c r="J34" s="354" t="n">
        <v>575080</v>
      </c>
      <c r="K34" s="354" t="n">
        <v>652050</v>
      </c>
      <c r="L34" s="354" t="n">
        <v>651140</v>
      </c>
      <c r="M34" s="354" t="n">
        <v>569840</v>
      </c>
      <c r="N34" s="354" t="n">
        <v>445220</v>
      </c>
      <c r="O34" s="354" t="n">
        <v>343940</v>
      </c>
      <c r="P34" s="354" t="n">
        <v>376890</v>
      </c>
      <c r="Q34" s="354" t="n">
        <v>426980</v>
      </c>
    </row>
    <row r="35" ht="15" customHeight="1" s="322">
      <c r="A35" s="343" t="inlineStr">
        <is>
          <t>선택</t>
        </is>
      </c>
      <c r="B35" s="353" t="inlineStr">
        <is>
          <t>카페/간식</t>
        </is>
      </c>
      <c r="C35" s="354">
        <f>SUM(E35:Q35)</f>
        <v/>
      </c>
      <c r="D35" s="354">
        <f>C35/13</f>
        <v/>
      </c>
      <c r="E35" s="354" t="n">
        <v>0</v>
      </c>
      <c r="F35" s="354" t="n">
        <v>60800</v>
      </c>
      <c r="G35" s="354" t="n">
        <v>113145</v>
      </c>
      <c r="H35" s="354" t="n">
        <v>300660</v>
      </c>
      <c r="I35" s="354" t="n">
        <v>125000</v>
      </c>
      <c r="J35" s="354" t="n">
        <v>59850</v>
      </c>
      <c r="K35" s="354" t="n">
        <v>125066</v>
      </c>
      <c r="L35" s="354" t="n">
        <v>365366</v>
      </c>
      <c r="M35" s="354" t="n">
        <v>153136</v>
      </c>
      <c r="N35" s="354" t="n">
        <v>126000</v>
      </c>
      <c r="O35" s="354" t="n">
        <v>185200</v>
      </c>
      <c r="P35" s="354" t="n">
        <v>111350</v>
      </c>
      <c r="Q35" s="354" t="n">
        <v>151430</v>
      </c>
    </row>
    <row r="36" ht="15" customHeight="1" s="322">
      <c r="A36" s="343" t="inlineStr">
        <is>
          <t>선택</t>
        </is>
      </c>
      <c r="B36" s="353" t="inlineStr">
        <is>
          <t>패션/쇼핑</t>
        </is>
      </c>
      <c r="C36" s="354">
        <f>SUM(E36:Q36)</f>
        <v/>
      </c>
      <c r="D36" s="354">
        <f>C36/13</f>
        <v/>
      </c>
      <c r="E36" s="354" t="n">
        <v>29500</v>
      </c>
      <c r="F36" s="354" t="n">
        <v>96740</v>
      </c>
      <c r="G36" s="354" t="n">
        <v>168500</v>
      </c>
      <c r="H36" s="354" t="n">
        <v>727450</v>
      </c>
      <c r="I36" s="354" t="n">
        <v>60270</v>
      </c>
      <c r="J36" s="354" t="n">
        <v>0</v>
      </c>
      <c r="K36" s="354" t="n">
        <v>64500</v>
      </c>
      <c r="L36" s="354" t="n">
        <v>38500</v>
      </c>
      <c r="M36" s="354" t="n">
        <v>171510</v>
      </c>
      <c r="N36" s="354" t="n">
        <v>246565</v>
      </c>
      <c r="O36" s="354" t="n">
        <v>140000</v>
      </c>
      <c r="P36" s="354" t="n">
        <v>0</v>
      </c>
      <c r="Q36" s="354" t="n">
        <v>109300</v>
      </c>
    </row>
    <row r="37" ht="15" customHeight="1" s="322">
      <c r="A37" s="343" t="inlineStr">
        <is>
          <t>선택</t>
        </is>
      </c>
      <c r="B37" s="353" t="inlineStr">
        <is>
          <t>미분류</t>
        </is>
      </c>
      <c r="C37" s="354">
        <f>SUM(E37:Q37)</f>
        <v/>
      </c>
      <c r="D37" s="354">
        <f>C37/13</f>
        <v/>
      </c>
      <c r="E37" s="354" t="n">
        <v>0</v>
      </c>
      <c r="F37" s="354" t="n">
        <v>0</v>
      </c>
      <c r="G37" s="354" t="n">
        <v>0</v>
      </c>
      <c r="H37" s="354" t="n">
        <v>0</v>
      </c>
      <c r="I37" s="354" t="n">
        <v>0</v>
      </c>
      <c r="J37" s="354" t="n">
        <v>0</v>
      </c>
      <c r="K37" s="354" t="n">
        <v>0</v>
      </c>
      <c r="L37" s="354" t="n">
        <v>0</v>
      </c>
      <c r="M37" s="354" t="n">
        <v>0</v>
      </c>
      <c r="N37" s="354" t="n">
        <v>0</v>
      </c>
      <c r="O37" s="354" t="n">
        <v>0</v>
      </c>
      <c r="P37" s="354" t="n">
        <v>0</v>
      </c>
      <c r="Q37" s="354" t="n">
        <v>0</v>
      </c>
    </row>
    <row r="38" ht="15.75" customHeight="1" s="322" thickBot="1">
      <c r="B38" s="355" t="inlineStr">
        <is>
          <t>월지출 총계</t>
        </is>
      </c>
      <c r="C38" s="356">
        <f>SUM(E38:Q38)</f>
        <v/>
      </c>
      <c r="D38" s="356">
        <f>C38/13</f>
        <v/>
      </c>
      <c r="E38" s="356">
        <f>SUM(E19:E37)</f>
        <v/>
      </c>
      <c r="F38" s="356">
        <f>SUM(F19:F37)</f>
        <v/>
      </c>
      <c r="G38" s="356">
        <f>SUM(G19:G37)</f>
        <v/>
      </c>
      <c r="H38" s="356">
        <f>SUM(H19:H37)</f>
        <v/>
      </c>
      <c r="I38" s="356">
        <f>SUM(I19:I37)</f>
        <v/>
      </c>
      <c r="J38" s="356">
        <f>SUM(J19:J37)</f>
        <v/>
      </c>
      <c r="K38" s="356">
        <f>SUM(K19:K37)</f>
        <v/>
      </c>
      <c r="L38" s="356">
        <f>SUM(L19:L37)</f>
        <v/>
      </c>
      <c r="M38" s="356">
        <f>SUM(M19:M37)</f>
        <v/>
      </c>
      <c r="N38" s="356">
        <f>SUM(N19:N37)</f>
        <v/>
      </c>
      <c r="O38" s="356">
        <f>SUM(O19:O37)</f>
        <v/>
      </c>
      <c r="P38" s="356">
        <f>SUM(P19:P37)</f>
        <v/>
      </c>
      <c r="Q38" s="356">
        <f>SUM(Q19:Q37)</f>
        <v/>
      </c>
    </row>
    <row r="39" ht="15.75" customHeight="1" s="322" thickBot="1">
      <c r="B39" s="357" t="inlineStr">
        <is>
          <t>순수입 총계</t>
        </is>
      </c>
      <c r="C39" s="358">
        <f>SUM(E39:Q39)</f>
        <v/>
      </c>
      <c r="D39" s="358">
        <f>C39/13</f>
        <v/>
      </c>
      <c r="E39" s="358">
        <f>E18-E38</f>
        <v/>
      </c>
      <c r="F39" s="358">
        <f>F18-F38</f>
        <v/>
      </c>
      <c r="G39" s="358">
        <f>G18-G38</f>
        <v/>
      </c>
      <c r="H39" s="358">
        <f>H18-H38</f>
        <v/>
      </c>
      <c r="I39" s="358">
        <f>I18-I38</f>
        <v/>
      </c>
      <c r="J39" s="358">
        <f>J18-J38</f>
        <v/>
      </c>
      <c r="K39" s="358">
        <f>K18-K38</f>
        <v/>
      </c>
      <c r="L39" s="358">
        <f>L18-L38</f>
        <v/>
      </c>
      <c r="M39" s="358">
        <f>M18-M38</f>
        <v/>
      </c>
      <c r="N39" s="358">
        <f>N18-N38</f>
        <v/>
      </c>
      <c r="O39" s="358">
        <f>O18-O38</f>
        <v/>
      </c>
      <c r="P39" s="358">
        <f>P18-P38</f>
        <v/>
      </c>
      <c r="Q39" s="358">
        <f>Q18-Q38</f>
        <v/>
      </c>
    </row>
    <row r="42" ht="18" customHeight="1" s="322">
      <c r="B42" s="342" t="inlineStr">
        <is>
          <t>3.재무현황</t>
        </is>
      </c>
    </row>
    <row r="43" ht="15" customHeight="1" s="322" thickBot="1">
      <c r="B43" s="343" t="inlineStr">
        <is>
          <t>데이터를 내보낸 시점의 자산과 부채 상태를 분석합니다.</t>
        </is>
      </c>
    </row>
    <row r="44" ht="15" customHeight="1" s="322">
      <c r="B44" s="359" t="inlineStr">
        <is>
          <t>자산</t>
        </is>
      </c>
      <c r="C44" s="404" t="n"/>
      <c r="D44" s="404" t="n"/>
      <c r="E44" s="405" t="n"/>
      <c r="F44" s="360" t="inlineStr">
        <is>
          <t>부채</t>
        </is>
      </c>
      <c r="G44" s="404" t="n"/>
      <c r="H44" s="404" t="n"/>
      <c r="I44" s="402" t="n"/>
    </row>
    <row r="45" ht="15" customHeight="1" s="322">
      <c r="B45" s="361" t="inlineStr">
        <is>
          <t>항목</t>
        </is>
      </c>
      <c r="C45" s="363" t="inlineStr">
        <is>
          <t>상품명</t>
        </is>
      </c>
      <c r="D45" s="406" t="n"/>
      <c r="E45" s="363" t="inlineStr">
        <is>
          <t>금액</t>
        </is>
      </c>
      <c r="F45" s="363" t="inlineStr">
        <is>
          <t>항목</t>
        </is>
      </c>
      <c r="G45" s="363" t="inlineStr">
        <is>
          <t>상품명</t>
        </is>
      </c>
      <c r="H45" s="406" t="n"/>
      <c r="I45" s="363" t="inlineStr">
        <is>
          <t>금액</t>
        </is>
      </c>
    </row>
    <row r="46">
      <c r="B46" s="371" t="inlineStr">
        <is>
          <t>자유입출금 자산</t>
        </is>
      </c>
      <c r="C46" s="369" t="inlineStr">
        <is>
          <t>AMA+급여 MMDA</t>
        </is>
      </c>
      <c r="D46" s="407" t="n"/>
      <c r="E46" s="366" t="n">
        <v>0</v>
      </c>
      <c r="F46" s="367" t="inlineStr">
        <is>
          <t>장기대출</t>
        </is>
      </c>
      <c r="G46" s="369" t="inlineStr">
        <is>
          <t>하나은행 마이너스 통장</t>
        </is>
      </c>
      <c r="H46" s="407" t="n"/>
      <c r="I46" s="368" t="n">
        <v>121685737</v>
      </c>
    </row>
    <row r="47">
      <c r="B47" s="408" t="n"/>
      <c r="C47" s="369" t="inlineStr">
        <is>
          <t>AMA+급여 저축예금</t>
        </is>
      </c>
      <c r="D47" s="407" t="n"/>
      <c r="E47" s="366" t="n">
        <v>0</v>
      </c>
      <c r="F47" s="409" t="n"/>
      <c r="G47" s="369" t="inlineStr">
        <is>
          <t>가계일반자금대출(분할상환)-하나 아파트론(혼합금리형)</t>
        </is>
      </c>
      <c r="H47" s="407" t="n"/>
      <c r="I47" s="368" t="n">
        <v>207103001</v>
      </c>
    </row>
    <row r="48">
      <c r="B48" s="408" t="n"/>
      <c r="C48" s="369" t="inlineStr">
        <is>
          <t>MY 입출금통장</t>
        </is>
      </c>
      <c r="D48" s="407" t="n"/>
      <c r="E48" s="366" t="n">
        <v>1</v>
      </c>
      <c r="F48" s="409" t="n"/>
      <c r="G48" s="369" t="inlineStr">
        <is>
          <t>하나은행 마이너스 통장</t>
        </is>
      </c>
      <c r="H48" s="407" t="n"/>
      <c r="I48" s="368" t="n">
        <v>1726305</v>
      </c>
    </row>
    <row r="49">
      <c r="B49" s="408" t="n"/>
      <c r="C49" s="369" t="inlineStr">
        <is>
          <t>NH주거래우대통장(비대면실명확인)</t>
        </is>
      </c>
      <c r="D49" s="407" t="n"/>
      <c r="E49" s="366" t="n">
        <v>0</v>
      </c>
      <c r="F49" s="409" t="n"/>
      <c r="G49" s="369" t="inlineStr">
        <is>
          <t>2020년 2학기 일반상환학자금_등록금</t>
        </is>
      </c>
      <c r="H49" s="407" t="n"/>
      <c r="I49" s="368" t="n">
        <v>5448520</v>
      </c>
    </row>
    <row r="50">
      <c r="B50" s="408" t="n"/>
      <c r="C50" s="369" t="inlineStr">
        <is>
          <t>넘버엔 통장</t>
        </is>
      </c>
      <c r="D50" s="407" t="n"/>
      <c r="E50" s="366" t="n">
        <v>-121685737</v>
      </c>
      <c r="F50" s="409" t="n"/>
      <c r="G50" s="369" t="inlineStr">
        <is>
          <t>2021년 2학기 일반상환학자금_등록금</t>
        </is>
      </c>
      <c r="H50" s="407" t="n"/>
      <c r="I50" s="368" t="n">
        <v>5441312</v>
      </c>
    </row>
    <row r="51">
      <c r="B51" s="408" t="n"/>
      <c r="C51" s="369" t="inlineStr">
        <is>
          <t>달달 하나 통장</t>
        </is>
      </c>
      <c r="D51" s="407" t="n"/>
      <c r="E51" s="366" t="n">
        <v>-1726305</v>
      </c>
      <c r="F51" s="409" t="n"/>
      <c r="G51" s="369" t="inlineStr">
        <is>
          <t>2020년 1학기 일반상환학자금_등록금</t>
        </is>
      </c>
      <c r="H51" s="407" t="n"/>
      <c r="I51" s="368" t="n">
        <v>5198750</v>
      </c>
    </row>
    <row r="52">
      <c r="B52" s="408" t="n"/>
      <c r="C52" s="369" t="inlineStr">
        <is>
          <t>샐러리맨리치예금(스페셜플러스예금)</t>
        </is>
      </c>
      <c r="D52" s="407" t="n"/>
      <c r="E52" s="366" t="n">
        <v>86</v>
      </c>
      <c r="F52" s="410" t="n"/>
      <c r="G52" s="369" t="inlineStr">
        <is>
          <t>2021년 1학기 일반상환학자금_등록금</t>
        </is>
      </c>
      <c r="H52" s="407" t="n"/>
      <c r="I52" s="368" t="n">
        <v>5129730</v>
      </c>
    </row>
    <row r="53">
      <c r="B53" s="408" t="n"/>
      <c r="C53" s="369" t="inlineStr">
        <is>
          <t>입출금통장</t>
        </is>
      </c>
      <c r="D53" s="407" t="n"/>
      <c r="E53" s="366" t="n">
        <v>0</v>
      </c>
      <c r="F53" s="369" t="n"/>
      <c r="G53" s="369" t="n"/>
      <c r="H53" s="407" t="n"/>
      <c r="I53" s="370" t="n"/>
    </row>
    <row r="54">
      <c r="B54" s="408" t="n"/>
      <c r="C54" s="369" t="inlineStr">
        <is>
          <t>저축예금</t>
        </is>
      </c>
      <c r="D54" s="407" t="n"/>
      <c r="E54" s="366" t="n">
        <v>558</v>
      </c>
      <c r="F54" s="369" t="n"/>
      <c r="G54" s="369" t="n"/>
      <c r="H54" s="407" t="n"/>
      <c r="I54" s="370" t="n"/>
    </row>
    <row r="55">
      <c r="B55" s="408" t="n"/>
      <c r="C55" s="369" t="inlineStr">
        <is>
          <t>저축예금</t>
        </is>
      </c>
      <c r="D55" s="407" t="n"/>
      <c r="E55" s="366" t="n">
        <v>270000</v>
      </c>
      <c r="F55" s="369" t="n"/>
      <c r="G55" s="369" t="n"/>
      <c r="H55" s="407" t="n"/>
      <c r="I55" s="370" t="n"/>
    </row>
    <row r="56">
      <c r="B56" s="411" t="n"/>
      <c r="C56" s="369" t="inlineStr">
        <is>
          <t>저축예금(iM스마트통장)</t>
        </is>
      </c>
      <c r="D56" s="407" t="n"/>
      <c r="E56" s="366" t="n">
        <v>0</v>
      </c>
      <c r="F56" s="369" t="n"/>
      <c r="G56" s="369" t="n"/>
      <c r="H56" s="407" t="n"/>
      <c r="I56" s="370" t="n"/>
    </row>
    <row r="57" ht="15" customHeight="1" s="322">
      <c r="B57" s="371" t="inlineStr">
        <is>
          <t>신탁 자산</t>
        </is>
      </c>
      <c r="C57" s="369" t="n"/>
      <c r="D57" s="407" t="n"/>
      <c r="E57" s="366" t="n"/>
      <c r="F57" s="369" t="n"/>
      <c r="G57" s="369" t="n"/>
      <c r="H57" s="407" t="n"/>
      <c r="I57" s="370" t="n"/>
    </row>
    <row r="58" ht="15" customHeight="1" s="322">
      <c r="B58" s="371" t="inlineStr">
        <is>
          <t>현금 자산</t>
        </is>
      </c>
      <c r="C58" s="369" t="inlineStr">
        <is>
          <t>현금</t>
        </is>
      </c>
      <c r="D58" s="407" t="n"/>
      <c r="E58" s="366" t="n">
        <v>0</v>
      </c>
      <c r="F58" s="369" t="n"/>
      <c r="G58" s="369" t="n"/>
      <c r="H58" s="407" t="n"/>
      <c r="I58" s="370" t="n"/>
    </row>
    <row r="59" ht="15" customHeight="1" s="322">
      <c r="B59" s="371" t="inlineStr">
        <is>
          <t>저축성 자산</t>
        </is>
      </c>
      <c r="C59" s="369" t="n"/>
      <c r="D59" s="407" t="n"/>
      <c r="E59" s="366" t="n"/>
      <c r="F59" s="369" t="n"/>
      <c r="G59" s="369" t="n"/>
      <c r="H59" s="407" t="n"/>
      <c r="I59" s="370" t="n"/>
    </row>
    <row r="60">
      <c r="B60" s="371" t="inlineStr">
        <is>
          <t>전자금융 자산</t>
        </is>
      </c>
      <c r="C60" s="369" t="inlineStr">
        <is>
          <t>네이버페이 머니 - here****</t>
        </is>
      </c>
      <c r="D60" s="407" t="n"/>
      <c r="E60" s="366" t="n">
        <v>8920</v>
      </c>
      <c r="F60" s="369" t="n"/>
      <c r="G60" s="369" t="n"/>
      <c r="H60" s="407" t="n"/>
      <c r="I60" s="370" t="n"/>
    </row>
    <row r="61">
      <c r="B61" s="408" t="n"/>
      <c r="C61" s="369" t="inlineStr">
        <is>
          <t>카카오페이 머니 - 010*****399</t>
        </is>
      </c>
      <c r="D61" s="407" t="n"/>
      <c r="E61" s="366" t="n">
        <v>0</v>
      </c>
      <c r="F61" s="369" t="n"/>
      <c r="G61" s="369" t="n"/>
      <c r="H61" s="407" t="n"/>
      <c r="I61" s="370" t="n"/>
    </row>
    <row r="62">
      <c r="B62" s="411" t="n"/>
      <c r="C62" s="369" t="inlineStr">
        <is>
          <t>토스머니</t>
        </is>
      </c>
      <c r="D62" s="407" t="n"/>
      <c r="E62" s="366" t="n">
        <v>135</v>
      </c>
      <c r="F62" s="369" t="n"/>
      <c r="G62" s="369" t="n"/>
      <c r="H62" s="407" t="n"/>
      <c r="I62" s="370" t="n"/>
    </row>
    <row r="63">
      <c r="B63" s="371" t="inlineStr">
        <is>
          <t>투자성 자산</t>
        </is>
      </c>
      <c r="C63" s="369" t="inlineStr">
        <is>
          <t>키움똑똑한4차산업혁명ETF분할매수증권투자신탁[혼합-재간접형] Ce</t>
        </is>
      </c>
      <c r="D63" s="407" t="n"/>
      <c r="E63" s="366" t="n">
        <v>1277</v>
      </c>
      <c r="F63" s="369" t="n"/>
      <c r="G63" s="369" t="n"/>
      <c r="H63" s="407" t="n"/>
      <c r="I63" s="370" t="n"/>
    </row>
    <row r="64">
      <c r="B64" s="408" t="n"/>
      <c r="C64" s="369" t="inlineStr">
        <is>
          <t>퀄컴</t>
        </is>
      </c>
      <c r="D64" s="407" t="n"/>
      <c r="E64" s="366" t="n">
        <v>237088.128</v>
      </c>
      <c r="F64" s="369" t="n"/>
      <c r="G64" s="369" t="n"/>
      <c r="H64" s="407" t="n"/>
      <c r="I64" s="370" t="n"/>
    </row>
    <row r="65">
      <c r="B65" s="408" t="n"/>
      <c r="C65" s="369" t="inlineStr">
        <is>
          <t>케이뱅크</t>
        </is>
      </c>
      <c r="D65" s="407" t="n"/>
      <c r="E65" s="366" t="n">
        <v>5600</v>
      </c>
      <c r="F65" s="369" t="n"/>
      <c r="G65" s="369" t="n"/>
      <c r="H65" s="407" t="n"/>
      <c r="I65" s="370" t="n"/>
    </row>
    <row r="66">
      <c r="B66" s="408" t="n"/>
      <c r="C66" s="369" t="inlineStr">
        <is>
          <t>TIGER 200</t>
        </is>
      </c>
      <c r="D66" s="407" t="n"/>
      <c r="E66" s="366" t="n">
        <v>656005</v>
      </c>
      <c r="F66" s="369" t="n"/>
      <c r="G66" s="369" t="n"/>
      <c r="H66" s="407" t="n"/>
      <c r="I66" s="370" t="n"/>
    </row>
    <row r="67">
      <c r="B67" s="408" t="n"/>
      <c r="C67" s="369" t="inlineStr">
        <is>
          <t>ACE AI반도체TOP3+</t>
        </is>
      </c>
      <c r="D67" s="407" t="n"/>
      <c r="E67" s="366" t="n">
        <v>463900</v>
      </c>
      <c r="F67" s="369" t="n"/>
      <c r="G67" s="369" t="n"/>
      <c r="H67" s="407" t="n"/>
      <c r="I67" s="370" t="n"/>
    </row>
    <row r="68">
      <c r="B68" s="408" t="n"/>
      <c r="C68" s="369" t="inlineStr">
        <is>
          <t>TIGER 소프트웨어</t>
        </is>
      </c>
      <c r="D68" s="407" t="n"/>
      <c r="E68" s="366" t="n">
        <v>82650</v>
      </c>
      <c r="F68" s="369" t="n"/>
      <c r="G68" s="369" t="n"/>
      <c r="H68" s="407" t="n"/>
      <c r="I68" s="370" t="n"/>
    </row>
    <row r="69">
      <c r="B69" s="408" t="n"/>
      <c r="C69" s="369" t="inlineStr">
        <is>
          <t>비트마인 이머전 테크놀로지스</t>
        </is>
      </c>
      <c r="D69" s="407" t="n"/>
      <c r="E69" s="366" t="n">
        <v>17211902.316</v>
      </c>
      <c r="F69" s="369" t="n"/>
      <c r="G69" s="369" t="n"/>
      <c r="H69" s="407" t="n"/>
      <c r="I69" s="370" t="n"/>
    </row>
    <row r="70">
      <c r="B70" s="408" t="n"/>
      <c r="C70" s="369" t="inlineStr">
        <is>
          <t>비트마인 이머전 테크놀로지스</t>
        </is>
      </c>
      <c r="D70" s="407" t="n"/>
      <c r="E70" s="366" t="n">
        <v>10690304.856</v>
      </c>
      <c r="F70" s="369" t="n"/>
      <c r="G70" s="369" t="n"/>
      <c r="H70" s="407" t="n"/>
      <c r="I70" s="370" t="n"/>
    </row>
    <row r="71">
      <c r="B71" s="408" t="n"/>
      <c r="C71" s="369" t="inlineStr">
        <is>
          <t>스트래티지</t>
        </is>
      </c>
      <c r="D71" s="407" t="n"/>
      <c r="E71" s="366" t="n">
        <v>8398229.76</v>
      </c>
      <c r="F71" s="369" t="n"/>
      <c r="G71" s="369" t="n"/>
      <c r="H71" s="407" t="n"/>
      <c r="I71" s="370" t="n"/>
    </row>
    <row r="72">
      <c r="B72" s="408" t="n"/>
      <c r="C72" s="369" t="inlineStr">
        <is>
          <t>이더리움 2배 ETF</t>
        </is>
      </c>
      <c r="D72" s="407" t="n"/>
      <c r="E72" s="366" t="n">
        <v>6118643</v>
      </c>
      <c r="F72" s="369" t="n"/>
      <c r="G72" s="369" t="n"/>
      <c r="H72" s="407" t="n"/>
      <c r="I72" s="370" t="n"/>
    </row>
    <row r="73">
      <c r="B73" s="408" t="n"/>
      <c r="C73" s="369" t="inlineStr">
        <is>
          <t>메타 플랫폼스(페이스북)</t>
        </is>
      </c>
      <c r="D73" s="407" t="n"/>
      <c r="E73" s="366" t="n">
        <v>3455070.384</v>
      </c>
      <c r="F73" s="369" t="n"/>
      <c r="G73" s="369" t="n"/>
      <c r="H73" s="407" t="n"/>
      <c r="I73" s="370" t="n"/>
    </row>
    <row r="74">
      <c r="B74" s="408" t="n"/>
      <c r="C74" s="369" t="inlineStr">
        <is>
          <t>SK하이닉스</t>
        </is>
      </c>
      <c r="D74" s="407" t="n"/>
      <c r="E74" s="366" t="n">
        <v>2954000</v>
      </c>
      <c r="F74" s="369" t="n"/>
      <c r="G74" s="369" t="n"/>
      <c r="H74" s="407" t="n"/>
      <c r="I74" s="370" t="n"/>
    </row>
    <row r="75">
      <c r="B75" s="408" t="n"/>
      <c r="C75" s="369" t="inlineStr">
        <is>
          <t>삼성전자</t>
        </is>
      </c>
      <c r="D75" s="407" t="n"/>
      <c r="E75" s="366" t="n">
        <v>1326000</v>
      </c>
      <c r="F75" s="369" t="n"/>
      <c r="G75" s="369" t="n"/>
      <c r="H75" s="407" t="n"/>
      <c r="I75" s="370" t="n"/>
    </row>
    <row r="76">
      <c r="B76" s="408" t="n"/>
      <c r="C76" s="369" t="inlineStr">
        <is>
          <t>이더리움 2배 ETF</t>
        </is>
      </c>
      <c r="D76" s="407" t="n"/>
      <c r="E76" s="366" t="n">
        <v>478019</v>
      </c>
      <c r="F76" s="369" t="n"/>
      <c r="G76" s="369" t="n"/>
      <c r="H76" s="407" t="n"/>
      <c r="I76" s="370" t="n"/>
    </row>
    <row r="77">
      <c r="B77" s="408" t="n"/>
      <c r="C77" s="369" t="inlineStr">
        <is>
          <t>팔란티어 테크</t>
        </is>
      </c>
      <c r="D77" s="407" t="n"/>
      <c r="E77" s="366" t="n">
        <v>431.5446432</v>
      </c>
      <c r="F77" s="369" t="n"/>
      <c r="G77" s="369" t="n"/>
      <c r="H77" s="407" t="n"/>
      <c r="I77" s="370" t="n"/>
    </row>
    <row r="78">
      <c r="B78" s="408" t="n"/>
      <c r="C78" s="369" t="inlineStr">
        <is>
          <t>CMA</t>
        </is>
      </c>
      <c r="D78" s="407" t="n"/>
      <c r="E78" s="366" t="n">
        <v>0</v>
      </c>
      <c r="F78" s="369" t="n"/>
      <c r="G78" s="369" t="n"/>
      <c r="H78" s="407" t="n"/>
      <c r="I78" s="370" t="n"/>
    </row>
    <row r="79">
      <c r="B79" s="408" t="n"/>
      <c r="C79" s="369" t="inlineStr">
        <is>
          <t>CMA-MMW</t>
        </is>
      </c>
      <c r="D79" s="407" t="n"/>
      <c r="E79" s="366" t="n">
        <v>0</v>
      </c>
      <c r="F79" s="369" t="n"/>
      <c r="G79" s="369" t="n"/>
      <c r="H79" s="407" t="n"/>
      <c r="I79" s="370" t="n"/>
    </row>
    <row r="80">
      <c r="B80" s="408" t="n"/>
      <c r="C80" s="369" t="inlineStr">
        <is>
          <t>CMA-MMW</t>
        </is>
      </c>
      <c r="D80" s="407" t="n"/>
      <c r="E80" s="366" t="n">
        <v>950</v>
      </c>
      <c r="F80" s="369" t="n"/>
      <c r="G80" s="369" t="n"/>
      <c r="H80" s="407" t="n"/>
      <c r="I80" s="370" t="n"/>
    </row>
    <row r="81">
      <c r="B81" s="408" t="n"/>
      <c r="C81" s="369" t="inlineStr">
        <is>
          <t>CMA-MMW</t>
        </is>
      </c>
      <c r="D81" s="407" t="n"/>
      <c r="E81" s="366" t="n">
        <v>1</v>
      </c>
      <c r="F81" s="369" t="n"/>
      <c r="G81" s="369" t="n"/>
      <c r="H81" s="407" t="n"/>
      <c r="I81" s="370" t="n"/>
    </row>
    <row r="82">
      <c r="B82" s="408" t="n"/>
      <c r="C82" s="369" t="inlineStr">
        <is>
          <t>CMA계좌</t>
        </is>
      </c>
      <c r="D82" s="407" t="n"/>
      <c r="E82" s="366" t="n">
        <v>0</v>
      </c>
      <c r="F82" s="369" t="n"/>
      <c r="G82" s="369" t="n"/>
      <c r="H82" s="407" t="n"/>
      <c r="I82" s="370" t="n"/>
    </row>
    <row r="83">
      <c r="B83" s="408" t="n"/>
      <c r="C83" s="369" t="inlineStr">
        <is>
          <t>종합매매</t>
        </is>
      </c>
      <c r="D83" s="407" t="n"/>
      <c r="E83" s="366" t="n">
        <v>1</v>
      </c>
      <c r="F83" s="369" t="n"/>
      <c r="G83" s="369" t="n"/>
      <c r="H83" s="407" t="n"/>
      <c r="I83" s="370" t="n"/>
    </row>
    <row r="84">
      <c r="B84" s="408" t="n"/>
      <c r="C84" s="369" t="inlineStr">
        <is>
          <t>통합증거금</t>
        </is>
      </c>
      <c r="D84" s="407" t="n"/>
      <c r="E84" s="366" t="n">
        <v>7657.456</v>
      </c>
      <c r="F84" s="369" t="n"/>
      <c r="G84" s="369" t="n"/>
      <c r="H84" s="407" t="n"/>
      <c r="I84" s="370" t="n"/>
    </row>
    <row r="85">
      <c r="B85" s="408" t="n"/>
      <c r="C85" s="369" t="inlineStr">
        <is>
          <t>미니금고</t>
        </is>
      </c>
      <c r="D85" s="407" t="n"/>
      <c r="E85" s="366" t="n">
        <v>0</v>
      </c>
      <c r="F85" s="369" t="n"/>
      <c r="G85" s="369" t="n"/>
      <c r="H85" s="407" t="n"/>
      <c r="I85" s="370" t="n"/>
    </row>
    <row r="86">
      <c r="B86" s="408" t="n"/>
      <c r="C86" s="369" t="inlineStr">
        <is>
          <t>위탁계좌</t>
        </is>
      </c>
      <c r="D86" s="407" t="n"/>
      <c r="E86" s="366" t="n">
        <v>1</v>
      </c>
      <c r="F86" s="369" t="n"/>
      <c r="G86" s="369" t="n"/>
      <c r="H86" s="407" t="n"/>
      <c r="I86" s="370" t="n"/>
    </row>
    <row r="87">
      <c r="B87" s="408" t="n"/>
      <c r="C87" s="369" t="inlineStr">
        <is>
          <t>종합</t>
        </is>
      </c>
      <c r="D87" s="407" t="n"/>
      <c r="E87" s="366" t="n">
        <v>1</v>
      </c>
      <c r="F87" s="369" t="n"/>
      <c r="G87" s="369" t="n"/>
      <c r="H87" s="407" t="n"/>
      <c r="I87" s="370" t="n"/>
    </row>
    <row r="88">
      <c r="B88" s="408" t="n"/>
      <c r="C88" s="369" t="inlineStr">
        <is>
          <t>종합계좌</t>
        </is>
      </c>
      <c r="D88" s="407" t="n"/>
      <c r="E88" s="366" t="n">
        <v>0</v>
      </c>
      <c r="F88" s="369" t="n"/>
      <c r="G88" s="369" t="n"/>
      <c r="H88" s="407" t="n"/>
      <c r="I88" s="370" t="n"/>
    </row>
    <row r="89">
      <c r="B89" s="408" t="n"/>
      <c r="C89" s="369" t="inlineStr">
        <is>
          <t>종합매매</t>
        </is>
      </c>
      <c r="D89" s="407" t="n"/>
      <c r="E89" s="366" t="n">
        <v>1</v>
      </c>
      <c r="F89" s="369" t="n"/>
      <c r="G89" s="369" t="n"/>
      <c r="H89" s="407" t="n"/>
      <c r="I89" s="370" t="n"/>
    </row>
    <row r="90">
      <c r="B90" s="408" t="n"/>
      <c r="C90" s="369" t="inlineStr">
        <is>
          <t>종합위탁</t>
        </is>
      </c>
      <c r="D90" s="407" t="n"/>
      <c r="E90" s="366" t="n">
        <v>21215</v>
      </c>
      <c r="F90" s="369" t="n"/>
      <c r="G90" s="369" t="n"/>
      <c r="H90" s="407" t="n"/>
      <c r="I90" s="370" t="n"/>
    </row>
    <row r="91">
      <c r="B91" s="408" t="n"/>
      <c r="C91" s="369" t="inlineStr">
        <is>
          <t>중개형ISA</t>
        </is>
      </c>
      <c r="D91" s="407" t="n"/>
      <c r="E91" s="366" t="n">
        <v>1</v>
      </c>
      <c r="F91" s="369" t="n"/>
      <c r="G91" s="369" t="n"/>
      <c r="H91" s="407" t="n"/>
      <c r="I91" s="370" t="n"/>
    </row>
    <row r="92">
      <c r="B92" s="408" t="n"/>
      <c r="C92" s="369" t="inlineStr">
        <is>
          <t>100세연금저축펀드</t>
        </is>
      </c>
      <c r="D92" s="407" t="n"/>
      <c r="E92" s="366" t="n">
        <v>45498</v>
      </c>
      <c r="F92" s="369" t="n"/>
      <c r="G92" s="369" t="n"/>
      <c r="H92" s="407" t="n"/>
      <c r="I92" s="370" t="n"/>
    </row>
    <row r="93">
      <c r="B93" s="408" t="n"/>
      <c r="C93" s="369" t="inlineStr">
        <is>
          <t>CMA_NOTE</t>
        </is>
      </c>
      <c r="D93" s="407" t="n"/>
      <c r="E93" s="366" t="n">
        <v>0</v>
      </c>
      <c r="F93" s="369" t="n"/>
      <c r="G93" s="369" t="n"/>
      <c r="H93" s="407" t="n"/>
      <c r="I93" s="370" t="n"/>
    </row>
    <row r="94">
      <c r="B94" s="408" t="n"/>
      <c r="C94" s="369" t="inlineStr">
        <is>
          <t>기본계좌</t>
        </is>
      </c>
      <c r="D94" s="407" t="n"/>
      <c r="E94" s="366" t="n">
        <v>3000</v>
      </c>
      <c r="F94" s="369" t="n"/>
      <c r="G94" s="369" t="n"/>
      <c r="H94" s="407" t="n"/>
      <c r="I94" s="370" t="n"/>
    </row>
    <row r="95">
      <c r="B95" s="408" t="n"/>
      <c r="C95" s="369" t="inlineStr">
        <is>
          <t>위탁종합</t>
        </is>
      </c>
      <c r="D95" s="407" t="n"/>
      <c r="E95" s="366" t="n">
        <v>539046.92</v>
      </c>
      <c r="F95" s="369" t="n"/>
      <c r="G95" s="369" t="n"/>
      <c r="H95" s="407" t="n"/>
      <c r="I95" s="370" t="n"/>
    </row>
    <row r="96">
      <c r="B96" s="408" t="n"/>
      <c r="C96" s="369" t="inlineStr">
        <is>
          <t>위탁종합</t>
        </is>
      </c>
      <c r="D96" s="407" t="n"/>
      <c r="E96" s="366" t="n">
        <v>21702.996</v>
      </c>
      <c r="F96" s="369" t="n"/>
      <c r="G96" s="369" t="n"/>
      <c r="H96" s="407" t="n"/>
      <c r="I96" s="370" t="n"/>
    </row>
    <row r="97">
      <c r="B97" s="411" t="n"/>
      <c r="C97" s="369" t="inlineStr">
        <is>
          <t>통합증거금</t>
        </is>
      </c>
      <c r="D97" s="407" t="n"/>
      <c r="E97" s="366" t="n">
        <v>12</v>
      </c>
      <c r="F97" s="369" t="n"/>
      <c r="G97" s="369" t="n"/>
      <c r="H97" s="407" t="n"/>
      <c r="I97" s="370" t="n"/>
    </row>
    <row r="98" ht="15" customHeight="1" s="322">
      <c r="B98" s="371" t="inlineStr">
        <is>
          <t>부동산</t>
        </is>
      </c>
      <c r="C98" s="369" t="inlineStr">
        <is>
          <t>김포집</t>
        </is>
      </c>
      <c r="D98" s="407" t="n"/>
      <c r="E98" s="366" t="n">
        <v>770000000</v>
      </c>
      <c r="F98" s="369" t="n"/>
      <c r="G98" s="369" t="n"/>
      <c r="H98" s="407" t="n"/>
      <c r="I98" s="370" t="n"/>
    </row>
    <row r="99" ht="15" customHeight="1" s="322">
      <c r="B99" s="371" t="inlineStr">
        <is>
          <t>동산</t>
        </is>
      </c>
      <c r="C99" s="369" t="inlineStr">
        <is>
          <t>BMW 3시리즈(6세대)</t>
        </is>
      </c>
      <c r="D99" s="407" t="n"/>
      <c r="E99" s="366" t="n">
        <v>10350000</v>
      </c>
      <c r="F99" s="369" t="n"/>
      <c r="G99" s="369" t="n"/>
      <c r="H99" s="407" t="n"/>
      <c r="I99" s="370" t="n"/>
    </row>
    <row r="100" ht="15" customHeight="1" s="322">
      <c r="B100" s="371" t="inlineStr">
        <is>
          <t>기타 실물 자산</t>
        </is>
      </c>
      <c r="C100" s="369" t="n"/>
      <c r="D100" s="407" t="n"/>
      <c r="E100" s="366" t="n"/>
      <c r="F100" s="369" t="n"/>
      <c r="G100" s="369" t="n"/>
      <c r="H100" s="407" t="n"/>
      <c r="I100" s="370" t="n"/>
    </row>
    <row r="101">
      <c r="B101" s="371" t="inlineStr">
        <is>
          <t>보험 자산</t>
        </is>
      </c>
      <c r="C101" s="369" t="inlineStr">
        <is>
          <t>무배당퍼펙트스타종합보험(Hi1204)기본플랜</t>
        </is>
      </c>
      <c r="D101" s="407" t="n"/>
      <c r="E101" s="366" t="n">
        <v>0</v>
      </c>
      <c r="F101" s="369" t="n"/>
      <c r="G101" s="369" t="n"/>
      <c r="H101" s="407" t="n"/>
      <c r="I101" s="370" t="n"/>
    </row>
    <row r="102">
      <c r="B102" s="411" t="n"/>
      <c r="C102" s="369" t="inlineStr">
        <is>
          <t>캐롯자동차보험 개인용</t>
        </is>
      </c>
      <c r="D102" s="407" t="n"/>
      <c r="E102" s="366" t="n">
        <v>0</v>
      </c>
      <c r="F102" s="369" t="n"/>
      <c r="G102" s="369" t="n"/>
      <c r="H102" s="407" t="n"/>
      <c r="I102" s="370" t="n"/>
    </row>
    <row r="103" ht="15" customHeight="1" s="322">
      <c r="B103" s="371" t="inlineStr">
        <is>
          <t>연금 자산</t>
        </is>
      </c>
      <c r="C103" s="369" t="inlineStr">
        <is>
          <t>(주)엘지에너지솔루션_DC</t>
        </is>
      </c>
      <c r="D103" s="407" t="n"/>
      <c r="E103" s="366" t="n">
        <v>33759638</v>
      </c>
      <c r="F103" s="369" t="n"/>
      <c r="G103" s="369" t="n"/>
      <c r="H103" s="407" t="n"/>
      <c r="I103" s="370" t="n"/>
    </row>
    <row r="104" ht="15" customHeight="1" s="322">
      <c r="B104" s="372" t="inlineStr">
        <is>
          <t>총자산</t>
        </is>
      </c>
      <c r="C104" s="412" t="n"/>
      <c r="D104" s="407" t="n"/>
      <c r="E104" s="373">
        <f>SUM(E46:E103)</f>
        <v/>
      </c>
      <c r="F104" s="374" t="inlineStr">
        <is>
          <t>총부채</t>
        </is>
      </c>
      <c r="G104" s="412" t="n"/>
      <c r="H104" s="407" t="n"/>
      <c r="I104" s="375">
        <f>SUM(I46:I103)</f>
        <v/>
      </c>
    </row>
    <row r="105" ht="15" customHeight="1" s="322">
      <c r="B105" s="376" t="inlineStr">
        <is>
          <t>순자산</t>
        </is>
      </c>
      <c r="C105" s="412" t="n"/>
      <c r="D105" s="412" t="n"/>
      <c r="E105" s="412" t="n"/>
      <c r="F105" s="412" t="n"/>
      <c r="G105" s="412" t="n"/>
      <c r="H105" s="412" t="n"/>
      <c r="I105" s="413" t="n"/>
    </row>
    <row r="106" ht="15.75" customHeight="1" s="322" thickBot="1">
      <c r="B106" s="377">
        <f>E104-I104</f>
        <v/>
      </c>
      <c r="C106" s="414" t="n"/>
      <c r="D106" s="414" t="n"/>
      <c r="E106" s="414" t="n"/>
      <c r="F106" s="414" t="n"/>
      <c r="G106" s="414" t="n"/>
      <c r="H106" s="414" t="n"/>
      <c r="I106" s="403" t="n"/>
    </row>
    <row r="109" ht="18" customHeight="1" s="322">
      <c r="B109" s="342" t="inlineStr">
        <is>
          <t>4.보험현황</t>
        </is>
      </c>
    </row>
    <row r="110" ht="15" customHeight="1" s="322" thickBot="1">
      <c r="B110" s="343" t="inlineStr">
        <is>
          <t>사용자가 보유한 보험상품 현황을 분석합니다.</t>
        </is>
      </c>
    </row>
    <row r="111" ht="15" customHeight="1" s="322">
      <c r="B111" s="378" t="inlineStr">
        <is>
          <t>금융사</t>
        </is>
      </c>
      <c r="C111" s="380" t="inlineStr">
        <is>
          <t>보험명</t>
        </is>
      </c>
      <c r="D111" s="415" t="n"/>
      <c r="E111" s="380" t="inlineStr">
        <is>
          <t>계약상태</t>
        </is>
      </c>
      <c r="F111" s="380" t="inlineStr">
        <is>
          <t>총납입금</t>
        </is>
      </c>
      <c r="G111" s="380" t="inlineStr">
        <is>
          <t>계약일자</t>
        </is>
      </c>
      <c r="H111" s="380" t="inlineStr">
        <is>
          <t>만기일자</t>
        </is>
      </c>
    </row>
    <row r="112">
      <c r="B112" s="381" t="inlineStr">
        <is>
          <t>현대해상</t>
        </is>
      </c>
      <c r="C112" s="394" t="inlineStr">
        <is>
          <t>무배당퍼펙트스타종합보험(Hi1204)기본플랜</t>
        </is>
      </c>
      <c r="D112" s="406" t="n"/>
      <c r="E112" s="383" t="inlineStr">
        <is>
          <t>정상</t>
        </is>
      </c>
      <c r="F112" s="384" t="n">
        <v>476490000</v>
      </c>
      <c r="G112" s="416" t="n">
        <v>41284</v>
      </c>
      <c r="H112" s="416" t="n">
        <v>65755</v>
      </c>
    </row>
    <row r="113">
      <c r="B113" s="381" t="inlineStr">
        <is>
          <t>한화손보(구 캐롯손보)</t>
        </is>
      </c>
      <c r="C113" s="394" t="inlineStr">
        <is>
          <t>캐롯자동차보험 개인용</t>
        </is>
      </c>
      <c r="D113" s="406" t="n"/>
      <c r="E113" s="383" t="inlineStr">
        <is>
          <t>정상</t>
        </is>
      </c>
      <c r="F113" s="384" t="n">
        <v>851390</v>
      </c>
      <c r="G113" s="416" t="n">
        <v>45985</v>
      </c>
      <c r="H113" s="416" t="n">
        <v>46350</v>
      </c>
    </row>
    <row r="114" ht="15.75" customHeight="1" s="322" thickBot="1">
      <c r="B114" s="386" t="inlineStr">
        <is>
          <t>총계</t>
        </is>
      </c>
      <c r="C114" s="388" t="inlineStr">
        <is>
          <t>보유계약건수</t>
        </is>
      </c>
      <c r="D114" s="417" t="n"/>
      <c r="E114" s="388" t="inlineStr">
        <is>
          <t>정상 2건</t>
        </is>
      </c>
      <c r="F114" s="388" t="inlineStr">
        <is>
          <t>총 납입금</t>
        </is>
      </c>
      <c r="G114" s="388" t="n"/>
      <c r="H114" s="389" t="n"/>
    </row>
    <row r="115" ht="15.75" customHeight="1" s="322" thickBot="1">
      <c r="B115" s="418" t="n"/>
      <c r="C115" s="391" t="inlineStr">
        <is>
          <t>총 2건</t>
        </is>
      </c>
      <c r="D115" s="419" t="n"/>
      <c r="E115" s="391" t="inlineStr">
        <is>
          <t>만기/휴면 0건</t>
        </is>
      </c>
      <c r="F115" s="401">
        <f>SUM(F112:F113)</f>
        <v/>
      </c>
      <c r="G115" s="391" t="n"/>
      <c r="H115" s="393" t="n"/>
    </row>
    <row r="117" ht="18" customHeight="1" s="322">
      <c r="B117" s="342" t="inlineStr">
        <is>
          <t>5.투자현황</t>
        </is>
      </c>
    </row>
    <row r="118" ht="15" customHeight="1" s="322" thickBot="1">
      <c r="B118" s="343" t="inlineStr">
        <is>
          <t>사용자가 보유한 투자상품 현황을 분석합니다.</t>
        </is>
      </c>
    </row>
    <row r="119" ht="15" customHeight="1" s="322">
      <c r="B119" s="378" t="inlineStr">
        <is>
          <t>투자상품종류</t>
        </is>
      </c>
      <c r="C119" s="380" t="inlineStr">
        <is>
          <t>금융사</t>
        </is>
      </c>
      <c r="D119" s="380" t="inlineStr">
        <is>
          <t>상품명</t>
        </is>
      </c>
      <c r="E119" s="415" t="n"/>
      <c r="F119" s="380" t="inlineStr">
        <is>
          <t>투자원금</t>
        </is>
      </c>
      <c r="G119" s="380" t="inlineStr">
        <is>
          <t>평가금액</t>
        </is>
      </c>
      <c r="H119" s="380" t="inlineStr">
        <is>
          <t>수익률</t>
        </is>
      </c>
      <c r="I119" s="380" t="inlineStr">
        <is>
          <t>가입일자</t>
        </is>
      </c>
      <c r="J119" s="380" t="inlineStr">
        <is>
          <t>만기일자</t>
        </is>
      </c>
    </row>
    <row r="120">
      <c r="B120" s="381" t="inlineStr">
        <is>
          <t>펀드</t>
        </is>
      </c>
      <c r="C120" s="394" t="inlineStr">
        <is>
          <t>카카오페이 증권</t>
        </is>
      </c>
      <c r="D120" s="394" t="inlineStr">
        <is>
          <t>키움똑똑한4차산업혁명ETF분할매수증권투자신탁[혼합-재간접형] Ce</t>
        </is>
      </c>
      <c r="E120" s="406" t="n"/>
      <c r="F120" s="384" t="n">
        <v>1058</v>
      </c>
      <c r="G120" s="384" t="n">
        <v>1277</v>
      </c>
      <c r="H120" s="395" t="n">
        <v>20.69943289224953</v>
      </c>
      <c r="I120" s="416" t="n"/>
      <c r="J120" s="416" t="n"/>
    </row>
    <row r="121">
      <c r="B121" s="381" t="inlineStr">
        <is>
          <t>주식</t>
        </is>
      </c>
      <c r="C121" s="394" t="inlineStr">
        <is>
          <t>NH투자증권</t>
        </is>
      </c>
      <c r="D121" s="394" t="inlineStr">
        <is>
          <t>퀄컴</t>
        </is>
      </c>
      <c r="E121" s="406" t="n"/>
      <c r="F121" s="384" t="n">
        <v>294708</v>
      </c>
      <c r="G121" s="384" t="n">
        <v>237088.128</v>
      </c>
      <c r="H121" s="395" t="n">
        <v>-19.55151268374119</v>
      </c>
      <c r="I121" s="416" t="n"/>
      <c r="J121" s="416" t="n"/>
    </row>
    <row r="122">
      <c r="B122" s="381" t="inlineStr">
        <is>
          <t>주식</t>
        </is>
      </c>
      <c r="C122" s="394" t="inlineStr">
        <is>
          <t>NH투자증권</t>
        </is>
      </c>
      <c r="D122" s="394" t="inlineStr">
        <is>
          <t>케이뱅크</t>
        </is>
      </c>
      <c r="E122" s="406" t="n"/>
      <c r="F122" s="384" t="n">
        <v>5000</v>
      </c>
      <c r="G122" s="384" t="n">
        <v>5600</v>
      </c>
      <c r="H122" s="395" t="n">
        <v>12</v>
      </c>
      <c r="I122" s="416" t="n"/>
      <c r="J122" s="416" t="n"/>
    </row>
    <row r="123">
      <c r="B123" s="381" t="inlineStr">
        <is>
          <t>주식</t>
        </is>
      </c>
      <c r="C123" s="394" t="inlineStr">
        <is>
          <t>NH투자증권</t>
        </is>
      </c>
      <c r="D123" s="394" t="inlineStr">
        <is>
          <t>TIGER 200</t>
        </is>
      </c>
      <c r="E123" s="406" t="n"/>
      <c r="F123" s="384" t="n">
        <v>957499</v>
      </c>
      <c r="G123" s="384" t="n">
        <v>656005</v>
      </c>
      <c r="H123" s="395" t="n">
        <v>-31.48765690616909</v>
      </c>
      <c r="I123" s="416" t="n"/>
      <c r="J123" s="416" t="n"/>
    </row>
    <row r="124">
      <c r="B124" s="381" t="inlineStr">
        <is>
          <t>주식</t>
        </is>
      </c>
      <c r="C124" s="394" t="inlineStr">
        <is>
          <t>NH투자증권</t>
        </is>
      </c>
      <c r="D124" s="394" t="inlineStr">
        <is>
          <t>ACE AI반도체TOP3+</t>
        </is>
      </c>
      <c r="E124" s="406" t="n"/>
      <c r="F124" s="384" t="n">
        <v>489315</v>
      </c>
      <c r="G124" s="384" t="n">
        <v>463900</v>
      </c>
      <c r="H124" s="395" t="n">
        <v>-5.19399568784934</v>
      </c>
      <c r="I124" s="416" t="n"/>
      <c r="J124" s="416" t="n"/>
    </row>
    <row r="125">
      <c r="B125" s="381" t="inlineStr">
        <is>
          <t>주식</t>
        </is>
      </c>
      <c r="C125" s="394" t="inlineStr">
        <is>
          <t>NH투자증권</t>
        </is>
      </c>
      <c r="D125" s="394" t="inlineStr">
        <is>
          <t>TIGER 소프트웨어</t>
        </is>
      </c>
      <c r="E125" s="406" t="n"/>
      <c r="F125" s="384" t="n">
        <v>104335</v>
      </c>
      <c r="G125" s="384" t="n">
        <v>82650</v>
      </c>
      <c r="H125" s="395" t="n">
        <v>-20.78401303493554</v>
      </c>
      <c r="I125" s="416" t="n"/>
      <c r="J125" s="416" t="n"/>
    </row>
    <row r="126">
      <c r="B126" s="381" t="inlineStr">
        <is>
          <t>주식</t>
        </is>
      </c>
      <c r="C126" s="394" t="inlineStr">
        <is>
          <t>키움증권</t>
        </is>
      </c>
      <c r="D126" s="394" t="inlineStr">
        <is>
          <t>비트마인 이머전 테크놀로지스</t>
        </is>
      </c>
      <c r="E126" s="406" t="n"/>
      <c r="F126" s="384" t="n">
        <v>48476436</v>
      </c>
      <c r="G126" s="384" t="n">
        <v>17211902.316</v>
      </c>
      <c r="H126" s="395" t="n">
        <v>-64.49429096643986</v>
      </c>
      <c r="I126" s="416" t="n"/>
      <c r="J126" s="416" t="n"/>
    </row>
    <row r="127">
      <c r="B127" s="381" t="inlineStr">
        <is>
          <t>주식</t>
        </is>
      </c>
      <c r="C127" s="394" t="inlineStr">
        <is>
          <t>키움증권</t>
        </is>
      </c>
      <c r="D127" s="394" t="inlineStr">
        <is>
          <t>비트마인 이머전 테크놀로지스</t>
        </is>
      </c>
      <c r="E127" s="406" t="n"/>
      <c r="F127" s="384" t="n">
        <v>30287574</v>
      </c>
      <c r="G127" s="384" t="n">
        <v>10690304.856</v>
      </c>
      <c r="H127" s="395" t="n">
        <v>-64.70399096342283</v>
      </c>
      <c r="I127" s="416" t="n"/>
      <c r="J127" s="416" t="n"/>
    </row>
    <row r="128">
      <c r="B128" s="381" t="inlineStr">
        <is>
          <t>주식</t>
        </is>
      </c>
      <c r="C128" s="394" t="inlineStr">
        <is>
          <t>키움증권</t>
        </is>
      </c>
      <c r="D128" s="394" t="inlineStr">
        <is>
          <t>스트래티지</t>
        </is>
      </c>
      <c r="E128" s="406" t="n"/>
      <c r="F128" s="384" t="n">
        <v>29400354</v>
      </c>
      <c r="G128" s="384" t="n">
        <v>8398229.76</v>
      </c>
      <c r="H128" s="395" t="n">
        <v>-71.434936599743</v>
      </c>
      <c r="I128" s="416" t="n"/>
      <c r="J128" s="416" t="n"/>
    </row>
    <row r="129">
      <c r="B129" s="381" t="inlineStr">
        <is>
          <t>주식</t>
        </is>
      </c>
      <c r="C129" s="394" t="inlineStr">
        <is>
          <t>키움증권</t>
        </is>
      </c>
      <c r="D129" s="394" t="inlineStr">
        <is>
          <t>이더리움 2배 ETF</t>
        </is>
      </c>
      <c r="E129" s="406" t="n"/>
      <c r="F129" s="384" t="n">
        <v>55466138</v>
      </c>
      <c r="G129" s="384" t="n">
        <v>6118643</v>
      </c>
      <c r="H129" s="395" t="n">
        <v>-88.96868752607222</v>
      </c>
      <c r="I129" s="416" t="n"/>
      <c r="J129" s="416" t="n"/>
    </row>
    <row r="130">
      <c r="B130" s="381" t="inlineStr">
        <is>
          <t>주식</t>
        </is>
      </c>
      <c r="C130" s="394" t="inlineStr">
        <is>
          <t>키움증권</t>
        </is>
      </c>
      <c r="D130" s="394" t="inlineStr">
        <is>
          <t>메타 플랫폼스(페이스북)</t>
        </is>
      </c>
      <c r="E130" s="406" t="n"/>
      <c r="F130" s="384" t="n">
        <v>3966900</v>
      </c>
      <c r="G130" s="384" t="n">
        <v>3455070.384</v>
      </c>
      <c r="H130" s="395" t="n">
        <v>-12.9025086591545</v>
      </c>
      <c r="I130" s="416" t="n"/>
      <c r="J130" s="416" t="n"/>
    </row>
    <row r="131">
      <c r="B131" s="381" t="inlineStr">
        <is>
          <t>주식</t>
        </is>
      </c>
      <c r="C131" s="394" t="inlineStr">
        <is>
          <t>키움증권</t>
        </is>
      </c>
      <c r="D131" s="394" t="inlineStr">
        <is>
          <t>SK하이닉스</t>
        </is>
      </c>
      <c r="E131" s="406" t="n"/>
      <c r="F131" s="384" t="n">
        <v>3458000</v>
      </c>
      <c r="G131" s="384" t="n">
        <v>2954000</v>
      </c>
      <c r="H131" s="395" t="n">
        <v>-14.5748987854251</v>
      </c>
      <c r="I131" s="416" t="n"/>
      <c r="J131" s="416" t="n"/>
    </row>
    <row r="132">
      <c r="B132" s="381" t="inlineStr">
        <is>
          <t>주식</t>
        </is>
      </c>
      <c r="C132" s="394" t="inlineStr">
        <is>
          <t>키움증권</t>
        </is>
      </c>
      <c r="D132" s="394" t="inlineStr">
        <is>
          <t>삼성전자</t>
        </is>
      </c>
      <c r="E132" s="406" t="n"/>
      <c r="F132" s="384" t="n">
        <v>1370499</v>
      </c>
      <c r="G132" s="384" t="n">
        <v>1326000</v>
      </c>
      <c r="H132" s="395" t="n">
        <v>-3.246919552659287</v>
      </c>
      <c r="I132" s="416" t="n"/>
      <c r="J132" s="416" t="n"/>
    </row>
    <row r="133">
      <c r="B133" s="381" t="inlineStr">
        <is>
          <t>주식</t>
        </is>
      </c>
      <c r="C133" s="394" t="inlineStr">
        <is>
          <t>키움증권</t>
        </is>
      </c>
      <c r="D133" s="394" t="inlineStr">
        <is>
          <t>이더리움 2배 ETF</t>
        </is>
      </c>
      <c r="E133" s="406" t="n"/>
      <c r="F133" s="384" t="n">
        <v>3787471</v>
      </c>
      <c r="G133" s="384" t="n">
        <v>478019</v>
      </c>
      <c r="H133" s="395" t="n">
        <v>-87.3789396671288</v>
      </c>
      <c r="I133" s="416" t="n"/>
      <c r="J133" s="416" t="n"/>
    </row>
    <row r="134">
      <c r="B134" s="381" t="inlineStr">
        <is>
          <t>주식</t>
        </is>
      </c>
      <c r="C134" s="394" t="inlineStr">
        <is>
          <t>키움증권</t>
        </is>
      </c>
      <c r="D134" s="394" t="inlineStr">
        <is>
          <t>팔란티어 테크</t>
        </is>
      </c>
      <c r="E134" s="406" t="n"/>
      <c r="F134" s="384" t="n">
        <v>579</v>
      </c>
      <c r="G134" s="384" t="n">
        <v>431.5446432</v>
      </c>
      <c r="H134" s="395" t="n">
        <v>-25.46724642487047</v>
      </c>
      <c r="I134" s="416" t="n"/>
      <c r="J134" s="416" t="n"/>
    </row>
    <row r="135" ht="15.75" customHeight="1" s="322" thickBot="1">
      <c r="B135" s="396" t="inlineStr">
        <is>
          <t>총계</t>
        </is>
      </c>
      <c r="C135" s="388" t="n"/>
      <c r="D135" s="388" t="inlineStr">
        <is>
          <t>보유상품개수</t>
        </is>
      </c>
      <c r="E135" s="417" t="n"/>
      <c r="F135" s="388" t="inlineStr">
        <is>
          <t>총 투자 원금</t>
        </is>
      </c>
      <c r="G135" s="388" t="inlineStr">
        <is>
          <t>총 평가 금액</t>
        </is>
      </c>
      <c r="H135" s="388" t="inlineStr">
        <is>
          <t>총 수익률</t>
        </is>
      </c>
      <c r="I135" s="388" t="n"/>
      <c r="J135" s="389" t="n"/>
    </row>
    <row r="136" ht="15.75" customHeight="1" s="322" thickBot="1">
      <c r="B136" s="418" t="n"/>
      <c r="C136" s="391" t="n"/>
      <c r="D136" s="391" t="inlineStr">
        <is>
          <t>총 15개</t>
        </is>
      </c>
      <c r="E136" s="419" t="n"/>
      <c r="F136" s="401">
        <f>SUM(F120:F134)</f>
        <v/>
      </c>
      <c r="G136" s="401">
        <f>SUM(G120:G134)</f>
        <v/>
      </c>
      <c r="H136" s="420">
        <f>(SUM(G120:G134) - SUM(F120:F134)) * 100 / IF(SUM(F120:F134), SUM(F120:F134), 1)</f>
        <v/>
      </c>
      <c r="I136" s="391" t="n"/>
      <c r="J136" s="393" t="n"/>
    </row>
    <row r="138" ht="18" customHeight="1" s="322">
      <c r="B138" s="342" t="inlineStr">
        <is>
          <t>6.대출현황</t>
        </is>
      </c>
    </row>
    <row r="139" ht="15" customHeight="1" s="322" thickBot="1">
      <c r="B139" s="343" t="inlineStr">
        <is>
          <t>사용자가 보유한 대출상품 현황을 분석합니다.</t>
        </is>
      </c>
    </row>
    <row r="140" ht="15" customHeight="1" s="322">
      <c r="B140" s="398" t="inlineStr">
        <is>
          <t>대출종류</t>
        </is>
      </c>
      <c r="C140" s="400" t="inlineStr">
        <is>
          <t>금융사</t>
        </is>
      </c>
      <c r="D140" s="400" t="inlineStr">
        <is>
          <t>상품명</t>
        </is>
      </c>
      <c r="E140" s="415" t="n"/>
      <c r="F140" s="400" t="inlineStr">
        <is>
          <t>대출원금</t>
        </is>
      </c>
      <c r="G140" s="400" t="inlineStr">
        <is>
          <t>대출잔액</t>
        </is>
      </c>
      <c r="H140" s="400" t="inlineStr">
        <is>
          <t>대출금리</t>
        </is>
      </c>
      <c r="I140" s="400" t="inlineStr">
        <is>
          <t>대출신규일</t>
        </is>
      </c>
      <c r="J140" s="400" t="inlineStr">
        <is>
          <t>대출만기일</t>
        </is>
      </c>
    </row>
    <row r="141">
      <c r="B141" s="381" t="inlineStr">
        <is>
          <t>은행 대출</t>
        </is>
      </c>
      <c r="C141" s="394" t="inlineStr">
        <is>
          <t>하나은행</t>
        </is>
      </c>
      <c r="D141" s="394" t="inlineStr">
        <is>
          <t>하나은행 마이너스 통장</t>
        </is>
      </c>
      <c r="E141" s="406" t="n"/>
      <c r="F141" s="384" t="n">
        <v>130000000</v>
      </c>
      <c r="G141" s="384" t="n">
        <v>121685737</v>
      </c>
      <c r="H141" s="394" t="n">
        <v>4.64</v>
      </c>
      <c r="I141" s="416" t="n">
        <v>45817</v>
      </c>
      <c r="J141" s="416" t="n">
        <v>46547</v>
      </c>
    </row>
    <row r="142">
      <c r="B142" s="381" t="inlineStr">
        <is>
          <t>은행 대출</t>
        </is>
      </c>
      <c r="C142" s="394" t="inlineStr">
        <is>
          <t>하나은행</t>
        </is>
      </c>
      <c r="D142" s="394" t="inlineStr">
        <is>
          <t>가계일반자금대출(분할상환)-하나 아파트론(혼합금리형)</t>
        </is>
      </c>
      <c r="E142" s="406" t="n"/>
      <c r="F142" s="384" t="n">
        <v>210000000</v>
      </c>
      <c r="G142" s="384" t="n">
        <v>207103001</v>
      </c>
      <c r="H142" s="394" t="n">
        <v>4.32</v>
      </c>
      <c r="I142" s="416" t="n">
        <v>45910</v>
      </c>
      <c r="J142" s="416" t="n">
        <v>56867</v>
      </c>
    </row>
    <row r="143">
      <c r="B143" s="381" t="inlineStr">
        <is>
          <t>은행 대출</t>
        </is>
      </c>
      <c r="C143" s="394" t="inlineStr">
        <is>
          <t>하나은행</t>
        </is>
      </c>
      <c r="D143" s="394" t="inlineStr">
        <is>
          <t>하나은행 마이너스 통장</t>
        </is>
      </c>
      <c r="E143" s="406" t="n"/>
      <c r="F143" s="384" t="n">
        <v>3000000</v>
      </c>
      <c r="G143" s="384" t="n">
        <v>1726305</v>
      </c>
      <c r="H143" s="394" t="n">
        <v>4.54</v>
      </c>
      <c r="I143" s="416" t="n">
        <v>45964</v>
      </c>
      <c r="J143" s="416" t="n">
        <v>46329</v>
      </c>
    </row>
    <row r="144">
      <c r="B144" s="381" t="inlineStr">
        <is>
          <t>은행 대출</t>
        </is>
      </c>
      <c r="C144" s="394" t="inlineStr">
        <is>
          <t>한국장학재단</t>
        </is>
      </c>
      <c r="D144" s="394" t="inlineStr">
        <is>
          <t>2020년 2학기 일반상환학자금_등록금</t>
        </is>
      </c>
      <c r="E144" s="406" t="n"/>
      <c r="F144" s="384" t="n">
        <v>6563000</v>
      </c>
      <c r="G144" s="384" t="n">
        <v>5448520</v>
      </c>
      <c r="H144" s="394" t="n">
        <v>1.85</v>
      </c>
      <c r="I144" s="416" t="n">
        <v>44088</v>
      </c>
      <c r="J144" s="416" t="n">
        <v>49201</v>
      </c>
    </row>
    <row r="145">
      <c r="B145" s="381" t="inlineStr">
        <is>
          <t>은행 대출</t>
        </is>
      </c>
      <c r="C145" s="394" t="inlineStr">
        <is>
          <t>한국장학재단</t>
        </is>
      </c>
      <c r="D145" s="394" t="inlineStr">
        <is>
          <t>2021년 2학기 일반상환학자금_등록금</t>
        </is>
      </c>
      <c r="E145" s="406" t="n"/>
      <c r="F145" s="384" t="n">
        <v>6563000</v>
      </c>
      <c r="G145" s="384" t="n">
        <v>5441312</v>
      </c>
      <c r="H145" s="394" t="n">
        <v>1.7</v>
      </c>
      <c r="I145" s="416" t="n">
        <v>44454</v>
      </c>
      <c r="J145" s="416" t="n">
        <v>49202</v>
      </c>
    </row>
    <row r="146">
      <c r="B146" s="381" t="inlineStr">
        <is>
          <t>은행 대출</t>
        </is>
      </c>
      <c r="C146" s="394" t="inlineStr">
        <is>
          <t>한국장학재단</t>
        </is>
      </c>
      <c r="D146" s="394" t="inlineStr">
        <is>
          <t>2020년 1학기 일반상환학자금_등록금</t>
        </is>
      </c>
      <c r="E146" s="406" t="n"/>
      <c r="F146" s="384" t="n">
        <v>6563000</v>
      </c>
      <c r="G146" s="384" t="n">
        <v>5198750</v>
      </c>
      <c r="H146" s="394" t="n">
        <v>2</v>
      </c>
      <c r="I146" s="416" t="n">
        <v>43920</v>
      </c>
      <c r="J146" s="416" t="n">
        <v>49033</v>
      </c>
    </row>
    <row r="147">
      <c r="B147" s="381" t="inlineStr">
        <is>
          <t>은행 대출</t>
        </is>
      </c>
      <c r="C147" s="394" t="inlineStr">
        <is>
          <t>한국장학재단</t>
        </is>
      </c>
      <c r="D147" s="394" t="inlineStr">
        <is>
          <t>2021년 1학기 일반상환학자금_등록금</t>
        </is>
      </c>
      <c r="E147" s="406" t="n"/>
      <c r="F147" s="384" t="n">
        <v>6563000</v>
      </c>
      <c r="G147" s="384" t="n">
        <v>5129730</v>
      </c>
      <c r="H147" s="394" t="n">
        <v>1.7</v>
      </c>
      <c r="I147" s="416" t="n">
        <v>44270</v>
      </c>
      <c r="J147" s="416" t="n">
        <v>49018</v>
      </c>
    </row>
    <row r="148" ht="15.75" customHeight="1" s="322" thickBot="1">
      <c r="B148" s="396" t="inlineStr">
        <is>
          <t>총계</t>
        </is>
      </c>
      <c r="C148" s="388" t="n"/>
      <c r="D148" s="388" t="inlineStr">
        <is>
          <t>보유 대출 상품</t>
        </is>
      </c>
      <c r="E148" s="417" t="n"/>
      <c r="F148" s="388" t="inlineStr">
        <is>
          <t>총 대출 원금</t>
        </is>
      </c>
      <c r="G148" s="388" t="inlineStr">
        <is>
          <t>총 대출 잔액</t>
        </is>
      </c>
      <c r="H148" s="388" t="n"/>
      <c r="I148" s="388" t="n"/>
      <c r="J148" s="389" t="n"/>
    </row>
    <row r="149" ht="15.75" customHeight="1" s="322" thickBot="1">
      <c r="B149" s="418" t="n"/>
      <c r="C149" s="391" t="n"/>
      <c r="D149" s="401">
        <f>SUM(7)</f>
        <v/>
      </c>
      <c r="E149" s="419" t="n"/>
      <c r="F149" s="401">
        <f>SUM(F141:F147)</f>
        <v/>
      </c>
      <c r="G149" s="401">
        <f>SUM(G141:G147)</f>
        <v/>
      </c>
      <c r="H149" s="391" t="n"/>
      <c r="I149" s="391" t="n"/>
      <c r="J149" s="393" t="n"/>
    </row>
  </sheetData>
  <mergeCells count="167">
    <mergeCell ref="G81:H81"/>
    <mergeCell ref="C62:D62"/>
    <mergeCell ref="C98:D98"/>
    <mergeCell ref="G71:H71"/>
    <mergeCell ref="C89:D89"/>
    <mergeCell ref="D149:E149"/>
    <mergeCell ref="C64:D64"/>
    <mergeCell ref="G97:H97"/>
    <mergeCell ref="C79:D79"/>
    <mergeCell ref="B101:B102"/>
    <mergeCell ref="C73:D73"/>
    <mergeCell ref="B105:I105"/>
    <mergeCell ref="C54:D54"/>
    <mergeCell ref="C63:D63"/>
    <mergeCell ref="C93:D93"/>
    <mergeCell ref="G57:H57"/>
    <mergeCell ref="C50:D50"/>
    <mergeCell ref="G66:H66"/>
    <mergeCell ref="D141:E141"/>
    <mergeCell ref="D135:E135"/>
    <mergeCell ref="C56:D56"/>
    <mergeCell ref="D125:E125"/>
    <mergeCell ref="G68:H68"/>
    <mergeCell ref="D134:E134"/>
    <mergeCell ref="C76:D76"/>
    <mergeCell ref="G58:H58"/>
    <mergeCell ref="D127:E127"/>
    <mergeCell ref="B114:B115"/>
    <mergeCell ref="G91:H91"/>
    <mergeCell ref="G85:H85"/>
    <mergeCell ref="G100:H100"/>
    <mergeCell ref="C67:D67"/>
    <mergeCell ref="G94:H94"/>
    <mergeCell ref="C111:D111"/>
    <mergeCell ref="G84:H84"/>
    <mergeCell ref="G75:H75"/>
    <mergeCell ref="D148:E148"/>
    <mergeCell ref="C69:D69"/>
    <mergeCell ref="G102:H102"/>
    <mergeCell ref="C83:D83"/>
    <mergeCell ref="G59:H59"/>
    <mergeCell ref="C92:D92"/>
    <mergeCell ref="G77:H77"/>
    <mergeCell ref="G86:H86"/>
    <mergeCell ref="G67:H67"/>
    <mergeCell ref="B148:B149"/>
    <mergeCell ref="F6:G6"/>
    <mergeCell ref="C97:D97"/>
    <mergeCell ref="G61:H61"/>
    <mergeCell ref="D131:E131"/>
    <mergeCell ref="C45:D45"/>
    <mergeCell ref="G70:H70"/>
    <mergeCell ref="D140:E140"/>
    <mergeCell ref="G48:H48"/>
    <mergeCell ref="C47:D47"/>
    <mergeCell ref="D124:E124"/>
    <mergeCell ref="F5:G5"/>
    <mergeCell ref="F44:I44"/>
    <mergeCell ref="G62:H62"/>
    <mergeCell ref="D126:E126"/>
    <mergeCell ref="G49:H49"/>
    <mergeCell ref="C90:D90"/>
    <mergeCell ref="C60:D60"/>
    <mergeCell ref="C71:D71"/>
    <mergeCell ref="G65:H65"/>
    <mergeCell ref="G88:H88"/>
    <mergeCell ref="C91:D91"/>
    <mergeCell ref="C82:D82"/>
    <mergeCell ref="G76:H76"/>
    <mergeCell ref="D142:E142"/>
    <mergeCell ref="G90:H90"/>
    <mergeCell ref="C57:D57"/>
    <mergeCell ref="D129:E129"/>
    <mergeCell ref="G99:H99"/>
    <mergeCell ref="C66:D66"/>
    <mergeCell ref="G60:H60"/>
    <mergeCell ref="C102:D102"/>
    <mergeCell ref="C53:D53"/>
    <mergeCell ref="D144:E144"/>
    <mergeCell ref="C77:D77"/>
    <mergeCell ref="F104:H104"/>
    <mergeCell ref="C86:D86"/>
    <mergeCell ref="C68:D68"/>
    <mergeCell ref="D128:E128"/>
    <mergeCell ref="C58:D58"/>
    <mergeCell ref="C113:D113"/>
    <mergeCell ref="C85:D85"/>
    <mergeCell ref="C100:D100"/>
    <mergeCell ref="C112:D112"/>
    <mergeCell ref="G101:H101"/>
    <mergeCell ref="C94:D94"/>
    <mergeCell ref="C65:D65"/>
    <mergeCell ref="D120:E120"/>
    <mergeCell ref="G103:H103"/>
    <mergeCell ref="C84:D84"/>
    <mergeCell ref="C75:D75"/>
    <mergeCell ref="G69:H69"/>
    <mergeCell ref="C80:D80"/>
    <mergeCell ref="C114:D114"/>
    <mergeCell ref="G78:H78"/>
    <mergeCell ref="C59:D59"/>
    <mergeCell ref="G87:H87"/>
    <mergeCell ref="C46:D46"/>
    <mergeCell ref="C95:D95"/>
    <mergeCell ref="C51:D51"/>
    <mergeCell ref="G80:H80"/>
    <mergeCell ref="D146:E146"/>
    <mergeCell ref="G95:H95"/>
    <mergeCell ref="C61:D61"/>
    <mergeCell ref="G89:H89"/>
    <mergeCell ref="C70:D70"/>
    <mergeCell ref="C48:D48"/>
    <mergeCell ref="G64:H64"/>
    <mergeCell ref="G79:H79"/>
    <mergeCell ref="G73:H73"/>
    <mergeCell ref="B63:B97"/>
    <mergeCell ref="D143:E143"/>
    <mergeCell ref="G51:H51"/>
    <mergeCell ref="G54:H54"/>
    <mergeCell ref="B135:B136"/>
    <mergeCell ref="G63:H63"/>
    <mergeCell ref="B44:E44"/>
    <mergeCell ref="D133:E133"/>
    <mergeCell ref="G50:H50"/>
    <mergeCell ref="G96:H96"/>
    <mergeCell ref="G56:H56"/>
    <mergeCell ref="C49:D49"/>
    <mergeCell ref="C101:D101"/>
    <mergeCell ref="B106:I106"/>
    <mergeCell ref="G52:H52"/>
    <mergeCell ref="D119:E119"/>
    <mergeCell ref="G98:H98"/>
    <mergeCell ref="C74:D74"/>
    <mergeCell ref="C88:D88"/>
    <mergeCell ref="G82:H82"/>
    <mergeCell ref="C103:D103"/>
    <mergeCell ref="D136:E136"/>
    <mergeCell ref="C99:D99"/>
    <mergeCell ref="C55:D55"/>
    <mergeCell ref="D145:E145"/>
    <mergeCell ref="G53:H53"/>
    <mergeCell ref="G93:H93"/>
    <mergeCell ref="F46:F52"/>
    <mergeCell ref="C96:D96"/>
    <mergeCell ref="G74:H74"/>
    <mergeCell ref="B104:D104"/>
    <mergeCell ref="G83:H83"/>
    <mergeCell ref="G92:H92"/>
    <mergeCell ref="D147:E147"/>
    <mergeCell ref="C115:D115"/>
    <mergeCell ref="D122:E122"/>
    <mergeCell ref="G45:H45"/>
    <mergeCell ref="C52:D52"/>
    <mergeCell ref="G55:H55"/>
    <mergeCell ref="D121:E121"/>
    <mergeCell ref="D130:E130"/>
    <mergeCell ref="C72:D72"/>
    <mergeCell ref="G47:H47"/>
    <mergeCell ref="C81:D81"/>
    <mergeCell ref="B60:B62"/>
    <mergeCell ref="D123:E123"/>
    <mergeCell ref="B46:B56"/>
    <mergeCell ref="G46:H46"/>
    <mergeCell ref="D132:E132"/>
    <mergeCell ref="C78:D78"/>
    <mergeCell ref="C87:D87"/>
    <mergeCell ref="G72:H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S46"/>
  <sheetViews>
    <sheetView workbookViewId="0">
      <selection activeCell="F11" sqref="F11"/>
    </sheetView>
  </sheetViews>
  <sheetFormatPr baseColWidth="8" defaultColWidth="12.5703125" defaultRowHeight="15.75" customHeight="1"/>
  <cols>
    <col width="4.42578125" customWidth="1" style="322" min="1" max="1"/>
    <col width="9.85546875" customWidth="1" style="322" min="2" max="2"/>
    <col width="14.85546875" customWidth="1" style="322" min="3" max="3"/>
    <col width="14.7109375" customWidth="1" style="322" min="4" max="6"/>
    <col width="9.85546875" customWidth="1" style="322" min="7" max="19"/>
  </cols>
  <sheetData>
    <row r="1" ht="22.5" customHeight="1" s="322">
      <c r="A1" s="53" t="n"/>
      <c r="B1" s="54" t="inlineStr">
        <is>
          <t>전체 투자금</t>
        </is>
      </c>
      <c r="C1" s="421" t="n">
        <v>16666666</v>
      </c>
      <c r="D1" s="422" t="n"/>
      <c r="E1" s="57" t="n"/>
      <c r="F1" s="88" t="n"/>
      <c r="G1" s="59" t="inlineStr">
        <is>
          <t>채권</t>
        </is>
      </c>
      <c r="H1" s="423">
        <f>C3/3</f>
        <v/>
      </c>
      <c r="I1" s="61" t="n"/>
      <c r="J1" s="62" t="n"/>
      <c r="K1" s="73" t="n"/>
      <c r="L1" s="64" t="n"/>
      <c r="M1" s="65" t="n"/>
      <c r="N1" s="73" t="n"/>
      <c r="O1" s="73" t="n"/>
      <c r="P1" s="66" t="n"/>
      <c r="Q1" s="66" t="n"/>
      <c r="R1" s="66" t="n"/>
      <c r="S1" s="67" t="n"/>
    </row>
    <row r="2" ht="22.5" customHeight="1" s="322">
      <c r="A2" s="53" t="n"/>
      <c r="B2" s="68" t="inlineStr">
        <is>
          <t>한국 개별주 퀀트</t>
        </is>
      </c>
      <c r="C2" s="424">
        <f>C1*60%</f>
        <v/>
      </c>
      <c r="D2" s="71" t="n"/>
      <c r="E2" s="57" t="n"/>
      <c r="F2" s="88" t="n"/>
      <c r="G2" s="59" t="inlineStr">
        <is>
          <t>변형 듀얼모멘텀</t>
        </is>
      </c>
      <c r="H2" s="423">
        <f>C3/3</f>
        <v/>
      </c>
      <c r="I2" s="73" t="n"/>
      <c r="J2" s="73" t="n"/>
      <c r="K2" s="73" t="n"/>
      <c r="L2" s="164" t="n"/>
      <c r="M2" s="75" t="n"/>
      <c r="N2" s="73" t="n"/>
      <c r="O2" s="73" t="n"/>
      <c r="P2" s="67" t="n"/>
      <c r="Q2" s="67" t="n"/>
      <c r="R2" s="67" t="n"/>
      <c r="S2" s="76" t="n"/>
    </row>
    <row r="3" ht="22.5" customHeight="1" s="322">
      <c r="A3" s="53" t="n"/>
      <c r="B3" s="59" t="inlineStr">
        <is>
          <t>동적자산배분</t>
        </is>
      </c>
      <c r="C3" s="424">
        <f>C1*40%</f>
        <v/>
      </c>
      <c r="D3" s="425" t="n"/>
      <c r="E3" s="57" t="n"/>
      <c r="F3" s="88" t="n"/>
      <c r="G3" s="59" t="inlineStr">
        <is>
          <t>BAA</t>
        </is>
      </c>
      <c r="H3" s="423">
        <f>C3/3</f>
        <v/>
      </c>
      <c r="I3" s="73" t="n"/>
      <c r="J3" s="73" t="n"/>
      <c r="K3" s="73" t="n"/>
      <c r="L3" s="83" t="n"/>
      <c r="M3" s="84" t="n"/>
      <c r="N3" s="73" t="n"/>
      <c r="O3" s="73" t="n"/>
      <c r="P3" s="67" t="n"/>
      <c r="Q3" s="67" t="n"/>
      <c r="R3" s="67" t="n"/>
      <c r="S3" s="76" t="n"/>
    </row>
    <row r="4" ht="12.75" customHeight="1" s="322">
      <c r="A4" s="86" t="n"/>
      <c r="B4" s="67" t="n"/>
      <c r="C4" s="67" t="n"/>
      <c r="D4" s="87" t="n"/>
      <c r="E4" s="88" t="n"/>
      <c r="F4" s="88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67" t="n"/>
      <c r="Q4" s="67" t="n"/>
      <c r="R4" s="67" t="n"/>
      <c r="S4" s="76" t="n"/>
    </row>
    <row r="5" ht="12.75" customHeight="1" s="322">
      <c r="A5" s="86" t="n"/>
      <c r="B5" s="108" t="inlineStr">
        <is>
          <t>ㅣBAA</t>
        </is>
      </c>
      <c r="C5" s="88" t="n"/>
      <c r="D5" s="93" t="n"/>
      <c r="E5" s="95" t="n"/>
      <c r="F5" s="88" t="n"/>
      <c r="G5" s="61" t="n"/>
      <c r="H5" s="97" t="inlineStr">
        <is>
          <t>ㅣ변형 듀얼모멘텀</t>
        </is>
      </c>
      <c r="I5" s="73" t="n"/>
      <c r="J5" s="73" t="n"/>
      <c r="L5" s="67" t="n"/>
      <c r="M5" s="73" t="n"/>
      <c r="N5" s="108" t="n"/>
      <c r="O5" s="108" t="inlineStr">
        <is>
          <t>ㅣ채권 동적자산배분</t>
        </is>
      </c>
      <c r="P5" s="67" t="n"/>
      <c r="Q5" s="67" t="n"/>
      <c r="R5" s="67" t="n"/>
      <c r="S5" s="73" t="n"/>
    </row>
    <row r="6" ht="16.5" customHeight="1" s="322">
      <c r="A6" s="86" t="n"/>
      <c r="B6" s="316" t="inlineStr">
        <is>
          <t xml:space="preserve">Q. 카나리아 자산 중 "0"이하인 모멘텀 스코어가 있나요?
</t>
        </is>
      </c>
      <c r="C6" s="426" t="n"/>
      <c r="D6" s="426" t="n"/>
      <c r="E6" s="426" t="n"/>
      <c r="F6" s="426" t="n"/>
      <c r="G6" s="75" t="n"/>
      <c r="H6" s="427" t="inlineStr">
        <is>
          <t xml:space="preserve">Step1. 공격자산 수익률이 모두 "0"이상인 경우,
수익률이 높은 자산에 100%투자합니다
</t>
        </is>
      </c>
      <c r="I6" s="426" t="n"/>
      <c r="J6" s="426" t="n"/>
      <c r="K6" s="428" t="n"/>
      <c r="L6" s="67" t="n"/>
      <c r="M6" s="107" t="n"/>
      <c r="N6" s="107" t="n"/>
      <c r="O6" s="107" t="n"/>
      <c r="P6" s="67" t="n"/>
      <c r="Q6" s="67" t="n"/>
      <c r="R6" s="67" t="n"/>
      <c r="S6" s="75" t="n"/>
    </row>
    <row r="7" ht="16.5" customHeight="1" s="322">
      <c r="A7" s="86" t="n"/>
      <c r="B7" s="108" t="inlineStr">
        <is>
          <t>ㅣBAA중도형_카나리아 자산</t>
        </is>
      </c>
      <c r="C7" s="109" t="n"/>
      <c r="D7" s="111" t="n"/>
      <c r="E7" s="67" t="n"/>
      <c r="F7" s="67" t="n"/>
      <c r="G7" s="75" t="n"/>
      <c r="H7" s="429" t="n"/>
      <c r="I7" s="430" t="n"/>
      <c r="J7" s="430" t="n"/>
      <c r="K7" s="431" t="n"/>
      <c r="L7" s="67" t="n"/>
      <c r="M7" s="67" t="n"/>
      <c r="N7" s="67" t="n"/>
      <c r="O7" s="67" t="n"/>
      <c r="P7" s="67" t="n"/>
      <c r="Q7" s="67" t="n"/>
      <c r="R7" s="67" t="n"/>
      <c r="S7" s="75" t="n"/>
    </row>
    <row r="8" ht="16.5" customHeight="1" s="322">
      <c r="A8" s="86" t="n"/>
      <c r="B8" s="116" t="n"/>
      <c r="C8" s="118">
        <f>BD!Z28</f>
        <v/>
      </c>
      <c r="D8" s="109" t="n"/>
      <c r="E8" s="67" t="n"/>
      <c r="F8" s="67" t="n"/>
      <c r="G8" s="75" t="n"/>
      <c r="H8" s="97" t="inlineStr">
        <is>
          <t>ㅣ변형 듀얼모멘텀_공격자산</t>
        </is>
      </c>
      <c r="I8" s="73" t="n"/>
      <c r="J8" s="73" t="n"/>
      <c r="K8" s="122" t="n"/>
      <c r="L8" s="67" t="n"/>
      <c r="M8" s="67" t="n"/>
      <c r="N8" s="67" t="n"/>
      <c r="O8" s="67" t="n"/>
      <c r="P8" s="67" t="n"/>
      <c r="Q8" s="67" t="n"/>
      <c r="R8" s="67" t="n"/>
      <c r="S8" s="75" t="n"/>
    </row>
    <row r="9" ht="16.5" customHeight="1" s="322">
      <c r="A9" s="86" t="n"/>
      <c r="B9" s="125" t="inlineStr">
        <is>
          <t>SPY</t>
        </is>
      </c>
      <c r="C9" s="126">
        <f>BD!Z29</f>
        <v/>
      </c>
      <c r="D9" s="122" t="n"/>
      <c r="E9" s="67" t="n"/>
      <c r="F9" s="67" t="n"/>
      <c r="G9" s="75" t="n"/>
      <c r="H9" s="128">
        <f>BD!A36</f>
        <v/>
      </c>
      <c r="I9" s="130">
        <f>BD!B36</f>
        <v/>
      </c>
      <c r="J9" s="73" t="n"/>
      <c r="K9" s="131" t="n"/>
      <c r="L9" s="67" t="n"/>
      <c r="M9" s="67" t="n"/>
      <c r="N9" s="67" t="n"/>
      <c r="O9" s="67" t="n"/>
      <c r="P9" s="67" t="n"/>
      <c r="Q9" s="67" t="n"/>
      <c r="R9" s="67" t="n"/>
      <c r="S9" s="75" t="n"/>
    </row>
    <row r="10" ht="16.5" customHeight="1" s="322">
      <c r="A10" s="86" t="n"/>
      <c r="B10" s="125" t="inlineStr">
        <is>
          <t>EFA</t>
        </is>
      </c>
      <c r="C10" s="126">
        <f>BD!Z30</f>
        <v/>
      </c>
      <c r="D10" s="131" t="n"/>
      <c r="E10" s="67" t="n"/>
      <c r="F10" s="67" t="n"/>
      <c r="G10" s="75" t="n"/>
      <c r="H10" s="132">
        <f>BD!A37</f>
        <v/>
      </c>
      <c r="I10" s="134">
        <f>BD!B37</f>
        <v/>
      </c>
      <c r="J10" s="135" t="n"/>
      <c r="K10" s="131" t="n"/>
      <c r="L10" s="67" t="n"/>
      <c r="M10" s="67" t="n"/>
      <c r="N10" s="67" t="n"/>
      <c r="O10" s="67" t="n"/>
      <c r="P10" s="67" t="n"/>
      <c r="Q10" s="67" t="n"/>
      <c r="R10" s="67" t="n"/>
      <c r="S10" s="75" t="n"/>
    </row>
    <row r="11" ht="16.5" customHeight="1" s="322">
      <c r="A11" s="86" t="n"/>
      <c r="B11" s="125" t="inlineStr">
        <is>
          <t>EEM</t>
        </is>
      </c>
      <c r="C11" s="126">
        <f>BD!Z31</f>
        <v/>
      </c>
      <c r="D11" s="131" t="n"/>
      <c r="E11" s="67" t="n"/>
      <c r="F11" s="67" t="n"/>
      <c r="G11" s="75" t="n"/>
      <c r="H11" s="138">
        <f>BD!A38</f>
        <v/>
      </c>
      <c r="I11" s="140">
        <f>BD!B38</f>
        <v/>
      </c>
      <c r="J11" s="135" t="n"/>
      <c r="K11" s="131" t="n"/>
      <c r="L11" s="67" t="n"/>
      <c r="M11" s="67" t="n"/>
      <c r="N11" s="67" t="n"/>
      <c r="O11" s="67" t="n"/>
      <c r="P11" s="67" t="n"/>
      <c r="Q11" s="67" t="n"/>
      <c r="R11" s="67" t="n"/>
      <c r="S11" s="75" t="n"/>
    </row>
    <row r="12" ht="16.5" customHeight="1" s="322">
      <c r="A12" s="86" t="n"/>
      <c r="B12" s="142" t="inlineStr">
        <is>
          <t>AGG</t>
        </is>
      </c>
      <c r="C12" s="144">
        <f>BD!Z32</f>
        <v/>
      </c>
      <c r="D12" s="131" t="n"/>
      <c r="E12" s="67" t="n"/>
      <c r="F12" s="67" t="n"/>
      <c r="G12" s="75" t="n"/>
      <c r="H12" s="146" t="n"/>
      <c r="I12" s="66" t="n"/>
      <c r="J12" s="73" t="n"/>
      <c r="K12" s="131" t="n"/>
      <c r="L12" s="67" t="n"/>
      <c r="M12" s="67" t="n"/>
      <c r="N12" s="67" t="n"/>
      <c r="O12" s="67" t="n"/>
      <c r="P12" s="67" t="n"/>
      <c r="Q12" s="67" t="n"/>
      <c r="R12" s="67" t="n"/>
      <c r="S12" s="75" t="n"/>
    </row>
    <row r="13" ht="16.5" customHeight="1" s="322">
      <c r="A13" s="108" t="n"/>
      <c r="D13" s="131" t="n"/>
      <c r="E13" s="67" t="n"/>
      <c r="F13" s="67" t="n"/>
      <c r="G13" s="75" t="n"/>
      <c r="H13" s="432" t="inlineStr">
        <is>
          <t xml:space="preserve">Step2. SPY의 수익률이 "0"이하인 경우, 
안전자산 중 수익률 높은 채권 3개를 매수합니다
But, 수익률이 "0" 이하인 자산은 현금보유
</t>
        </is>
      </c>
      <c r="I13" s="426" t="n"/>
      <c r="J13" s="426" t="n"/>
      <c r="K13" s="426" t="n"/>
      <c r="L13" s="67" t="n"/>
      <c r="M13" s="67" t="n"/>
      <c r="N13" s="67" t="n"/>
      <c r="O13" s="67" t="n"/>
      <c r="P13" s="67" t="n"/>
      <c r="Q13" s="67" t="n"/>
      <c r="R13" s="67" t="n"/>
      <c r="S13" s="75" t="n"/>
    </row>
    <row r="14" ht="16.5" customHeight="1" s="322">
      <c r="A14" s="108" t="n"/>
      <c r="B14" s="433" t="inlineStr">
        <is>
          <t xml:space="preserve">  A-1. 네, "0" 이하가 있어요
 </t>
        </is>
      </c>
      <c r="C14" s="426" t="n"/>
      <c r="D14" s="428" t="n"/>
      <c r="E14" s="83" t="n"/>
      <c r="F14" s="149" t="n"/>
      <c r="G14" s="84" t="n"/>
      <c r="H14" s="434" t="n"/>
      <c r="L14" s="67" t="n"/>
      <c r="M14" s="150" t="n"/>
      <c r="N14" s="67" t="n"/>
      <c r="O14" s="67" t="n"/>
      <c r="P14" s="67" t="n"/>
      <c r="Q14" s="67" t="n"/>
      <c r="R14" s="67" t="n"/>
      <c r="S14" s="75" t="n"/>
    </row>
    <row r="15" ht="16.5" customHeight="1" s="322">
      <c r="A15" s="151" t="n"/>
      <c r="B15" s="435" t="inlineStr">
        <is>
          <t>공격자산 투자중단! ↓아래있는 안전자산의 최근수익률이 높은 3개 자산에 투자합니다
But,(현재가격&lt;12개월 이동평균)이면 현금으로 보유</t>
        </is>
      </c>
      <c r="C15" s="436" t="n"/>
      <c r="D15" s="436" t="n"/>
      <c r="E15" s="436" t="n"/>
      <c r="F15" s="436" t="n"/>
      <c r="G15" s="437" t="n"/>
      <c r="H15" s="429" t="n"/>
      <c r="I15" s="430" t="n"/>
      <c r="J15" s="430" t="n"/>
      <c r="K15" s="430" t="n"/>
      <c r="L15" s="67" t="n"/>
      <c r="M15" s="150" t="n"/>
      <c r="N15" s="164" t="n"/>
      <c r="O15" s="67" t="n"/>
      <c r="P15" s="67" t="n"/>
      <c r="Q15" s="67" t="n"/>
      <c r="R15" s="67" t="n"/>
      <c r="S15" s="75" t="n"/>
    </row>
    <row r="16" ht="16.5" customHeight="1" s="322">
      <c r="A16" s="151" t="n"/>
      <c r="B16" s="438" t="n"/>
      <c r="C16" s="439" t="n"/>
      <c r="D16" s="439" t="n"/>
      <c r="E16" s="439" t="n"/>
      <c r="F16" s="439" t="n"/>
      <c r="G16" s="440" t="n"/>
      <c r="H16" s="152" t="inlineStr">
        <is>
          <t>종목당 투자금액</t>
        </is>
      </c>
      <c r="I16" s="441">
        <f>H2/3</f>
        <v/>
      </c>
      <c r="J16" s="155" t="n"/>
      <c r="K16" s="66" t="n"/>
      <c r="L16" s="156" t="n"/>
      <c r="M16" s="150" t="n"/>
      <c r="N16" s="164" t="n"/>
      <c r="O16" s="67" t="n"/>
      <c r="P16" s="67" t="n"/>
      <c r="Q16" s="67" t="n"/>
      <c r="R16" s="67" t="n"/>
      <c r="S16" s="75" t="n"/>
    </row>
    <row r="17" ht="16.5" customHeight="1" s="322">
      <c r="A17" s="151" t="n"/>
      <c r="B17" s="157" t="inlineStr">
        <is>
          <t>종목당 투자액</t>
        </is>
      </c>
      <c r="C17" s="442">
        <f>H3/3</f>
        <v/>
      </c>
      <c r="D17" s="443" t="n"/>
      <c r="E17" s="443" t="n"/>
      <c r="F17" s="443" t="n"/>
      <c r="G17" s="444" t="n"/>
      <c r="H17" s="161" t="inlineStr">
        <is>
          <t>ㅣ변형 듀얼모멘텀_안전자산</t>
        </is>
      </c>
      <c r="I17" s="162" t="n"/>
      <c r="J17" s="107" t="n"/>
      <c r="K17" s="67" t="n"/>
      <c r="L17" s="156" t="n"/>
      <c r="M17" s="73" t="n"/>
      <c r="N17" s="164" t="n"/>
      <c r="O17" s="67" t="n"/>
      <c r="P17" s="67" t="n"/>
      <c r="Q17" s="67" t="n"/>
      <c r="R17" s="67" t="n"/>
      <c r="S17" s="75" t="n"/>
    </row>
    <row r="18" ht="16.5" customHeight="1" s="322">
      <c r="A18" s="108" t="n"/>
      <c r="B18" s="166" t="inlineStr">
        <is>
          <t>ㅣBAA 안전자산</t>
        </is>
      </c>
      <c r="C18" s="162" t="n"/>
      <c r="D18" s="162" t="n"/>
      <c r="E18" s="167" t="n"/>
      <c r="F18" s="64" t="n"/>
      <c r="G18" s="65" t="n"/>
      <c r="H18" s="170">
        <f>BD!A41</f>
        <v/>
      </c>
      <c r="I18" s="171">
        <f>BD!T41</f>
        <v/>
      </c>
      <c r="J18" s="107" t="n"/>
      <c r="K18" s="67" t="n"/>
      <c r="L18" s="156" t="n"/>
      <c r="M18" s="107" t="n"/>
      <c r="N18" s="164" t="inlineStr">
        <is>
          <t>216 9002</t>
        </is>
      </c>
      <c r="O18" s="67" t="n"/>
      <c r="P18" s="67" t="n"/>
      <c r="Q18" s="67" t="n"/>
      <c r="R18" s="67" t="n"/>
      <c r="S18" s="75" t="n"/>
    </row>
    <row r="19" ht="16.5" customHeight="1" s="322">
      <c r="A19" s="108" t="n"/>
      <c r="B19" s="172" t="n"/>
      <c r="C19" s="173" t="inlineStr">
        <is>
          <t>현재/12개월이평</t>
        </is>
      </c>
      <c r="D19" s="219">
        <f>BD!B18</f>
        <v/>
      </c>
      <c r="E19" s="176">
        <f>BD!P18</f>
        <v/>
      </c>
      <c r="F19" s="164" t="n"/>
      <c r="G19" s="75" t="n"/>
      <c r="H19" s="177">
        <f>BD!A42</f>
        <v/>
      </c>
      <c r="I19" s="178">
        <f>BD!T42</f>
        <v/>
      </c>
      <c r="J19" s="179" t="n"/>
      <c r="K19" s="67" t="n"/>
      <c r="L19" s="156" t="n"/>
      <c r="M19" s="107" t="n"/>
      <c r="N19" s="164" t="n"/>
      <c r="O19" s="67" t="n"/>
      <c r="P19" s="67" t="n"/>
      <c r="Q19" s="67" t="n"/>
      <c r="R19" s="67" t="n"/>
      <c r="S19" s="75" t="n"/>
    </row>
    <row r="20" ht="16.5" customHeight="1" s="322">
      <c r="A20" s="108" t="n"/>
      <c r="B20" s="181">
        <f>BD!A19</f>
        <v/>
      </c>
      <c r="C20" s="182">
        <f>BD!Q19</f>
        <v/>
      </c>
      <c r="D20" s="445">
        <f>BD!B19</f>
        <v/>
      </c>
      <c r="E20" s="184">
        <f>BD!P19</f>
        <v/>
      </c>
      <c r="F20" s="164" t="n"/>
      <c r="G20" s="75" t="n"/>
      <c r="H20" s="177">
        <f>BD!A43</f>
        <v/>
      </c>
      <c r="I20" s="178">
        <f>BD!T43</f>
        <v/>
      </c>
      <c r="J20" s="185" t="n"/>
      <c r="K20" s="67" t="n"/>
      <c r="L20" s="156" t="n"/>
      <c r="M20" s="179" t="n"/>
      <c r="N20" s="164" t="n"/>
      <c r="O20" s="67" t="n"/>
      <c r="P20" s="67" t="n"/>
      <c r="Q20" s="67" t="n"/>
      <c r="R20" s="67" t="n"/>
      <c r="S20" s="75" t="n"/>
    </row>
    <row r="21" ht="16.5" customHeight="1" s="322">
      <c r="A21" s="151" t="n"/>
      <c r="B21" s="181">
        <f>BD!A20</f>
        <v/>
      </c>
      <c r="C21" s="182">
        <f>BD!Q20</f>
        <v/>
      </c>
      <c r="D21" s="445">
        <f>BD!B20</f>
        <v/>
      </c>
      <c r="E21" s="184">
        <f>BD!P20</f>
        <v/>
      </c>
      <c r="F21" s="164" t="n"/>
      <c r="G21" s="75" t="n"/>
      <c r="H21" s="177">
        <f>BD!A44</f>
        <v/>
      </c>
      <c r="I21" s="178">
        <f>BD!T44</f>
        <v/>
      </c>
      <c r="J21" s="185" t="n"/>
      <c r="K21" s="67" t="n"/>
      <c r="L21" s="156" t="n"/>
      <c r="M21" s="185" t="n"/>
      <c r="N21" s="164" t="n"/>
      <c r="O21" s="67" t="n"/>
      <c r="P21" s="67" t="n"/>
      <c r="Q21" s="67" t="n"/>
      <c r="R21" s="67" t="n"/>
      <c r="S21" s="75" t="n"/>
    </row>
    <row r="22" ht="16.5" customHeight="1" s="322">
      <c r="A22" s="151" t="n"/>
      <c r="B22" s="181">
        <f>BD!A21</f>
        <v/>
      </c>
      <c r="C22" s="182">
        <f>BD!Q21</f>
        <v/>
      </c>
      <c r="D22" s="445">
        <f>BD!B21</f>
        <v/>
      </c>
      <c r="E22" s="184">
        <f>BD!P21</f>
        <v/>
      </c>
      <c r="F22" s="164" t="n"/>
      <c r="G22" s="75" t="n"/>
      <c r="H22" s="177">
        <f>BD!A45</f>
        <v/>
      </c>
      <c r="I22" s="178">
        <f>BD!T45</f>
        <v/>
      </c>
      <c r="J22" s="185" t="n"/>
      <c r="K22" s="67" t="n"/>
      <c r="L22" s="156" t="n"/>
      <c r="M22" s="185" t="n"/>
      <c r="N22" s="164" t="n"/>
      <c r="O22" s="67" t="n"/>
      <c r="P22" s="67" t="n"/>
      <c r="Q22" s="67" t="n"/>
      <c r="R22" s="67" t="n"/>
      <c r="S22" s="75" t="n"/>
    </row>
    <row r="23" ht="16.5" customHeight="1" s="322">
      <c r="A23" s="151" t="n"/>
      <c r="B23" s="181">
        <f>BD!A22</f>
        <v/>
      </c>
      <c r="C23" s="182">
        <f>BD!Q22</f>
        <v/>
      </c>
      <c r="D23" s="445">
        <f>BD!B22</f>
        <v/>
      </c>
      <c r="E23" s="184">
        <f>BD!P22</f>
        <v/>
      </c>
      <c r="F23" s="164" t="n"/>
      <c r="G23" s="75" t="n"/>
      <c r="H23" s="177">
        <f>BD!A46</f>
        <v/>
      </c>
      <c r="I23" s="178">
        <f>BD!T46</f>
        <v/>
      </c>
      <c r="J23" s="186" t="n"/>
      <c r="K23" s="67" t="n"/>
      <c r="L23" s="156" t="n"/>
      <c r="M23" s="185" t="n"/>
      <c r="N23" s="164" t="n"/>
      <c r="O23" s="67" t="n"/>
      <c r="P23" s="67" t="n"/>
      <c r="Q23" s="67" t="n"/>
      <c r="R23" s="67" t="n"/>
      <c r="S23" s="75" t="n"/>
    </row>
    <row r="24" ht="16.5" customHeight="1" s="322">
      <c r="A24" s="108" t="n"/>
      <c r="B24" s="181">
        <f>BD!A23</f>
        <v/>
      </c>
      <c r="C24" s="182">
        <f>BD!Q23</f>
        <v/>
      </c>
      <c r="D24" s="445">
        <f>BD!B23</f>
        <v/>
      </c>
      <c r="E24" s="184">
        <f>BD!P23</f>
        <v/>
      </c>
      <c r="F24" s="164" t="n"/>
      <c r="G24" s="75" t="n"/>
      <c r="H24" s="177">
        <f>BD!A47</f>
        <v/>
      </c>
      <c r="I24" s="178">
        <f>BD!T47</f>
        <v/>
      </c>
      <c r="J24" s="186" t="n"/>
      <c r="K24" s="67" t="n"/>
      <c r="L24" s="156" t="n"/>
      <c r="M24" s="73" t="n"/>
      <c r="N24" s="164" t="n"/>
      <c r="O24" s="67" t="n"/>
      <c r="P24" s="67" t="n"/>
      <c r="Q24" s="67" t="n"/>
      <c r="R24" s="67" t="n"/>
      <c r="S24" s="75" t="n"/>
    </row>
    <row r="25" ht="16.5" customHeight="1" s="322">
      <c r="A25" s="108" t="n"/>
      <c r="B25" s="181">
        <f>BD!A24</f>
        <v/>
      </c>
      <c r="C25" s="182">
        <f>BD!Q24</f>
        <v/>
      </c>
      <c r="D25" s="446">
        <f>BD!B24</f>
        <v/>
      </c>
      <c r="E25" s="184">
        <f>BD!P24</f>
        <v/>
      </c>
      <c r="F25" s="164" t="n"/>
      <c r="G25" s="75" t="n"/>
      <c r="H25" s="177">
        <f>BD!A48</f>
        <v/>
      </c>
      <c r="I25" s="178">
        <f>BD!T48</f>
        <v/>
      </c>
      <c r="J25" s="186" t="n"/>
      <c r="K25" s="67" t="n"/>
      <c r="L25" s="156" t="n"/>
      <c r="M25" s="73" t="n"/>
      <c r="N25" s="164" t="n"/>
      <c r="O25" s="67" t="n"/>
      <c r="P25" s="67" t="n"/>
      <c r="Q25" s="67" t="n"/>
      <c r="R25" s="67" t="n"/>
      <c r="S25" s="75" t="n"/>
    </row>
    <row r="26" ht="16.5" customHeight="1" s="322">
      <c r="A26" s="108" t="n"/>
      <c r="B26" s="191">
        <f>BD!A25</f>
        <v/>
      </c>
      <c r="C26" s="192">
        <f>BD!Q25</f>
        <v/>
      </c>
      <c r="D26" s="447">
        <f>BD!B25</f>
        <v/>
      </c>
      <c r="E26" s="195">
        <f>BD!P25</f>
        <v/>
      </c>
      <c r="F26" s="164" t="n"/>
      <c r="G26" s="75" t="n"/>
      <c r="H26" s="196">
        <f>BD!A49</f>
        <v/>
      </c>
      <c r="I26" s="197">
        <f>BD!T49</f>
        <v/>
      </c>
      <c r="J26" s="67" t="n"/>
      <c r="K26" s="67" t="n"/>
      <c r="L26" s="156" t="n"/>
      <c r="M26" s="73" t="n"/>
      <c r="N26" s="164" t="n"/>
      <c r="O26" s="67" t="n"/>
      <c r="P26" s="67" t="n"/>
      <c r="Q26" s="67" t="n"/>
      <c r="R26" s="67" t="n"/>
      <c r="S26" s="75" t="n"/>
    </row>
    <row r="27" ht="16.5" customHeight="1" s="322">
      <c r="A27" s="108" t="n"/>
      <c r="B27" s="199" t="n"/>
      <c r="C27" s="201" t="n"/>
      <c r="D27" s="201" t="n"/>
      <c r="E27" s="201" t="n"/>
      <c r="F27" s="149" t="n"/>
      <c r="G27" s="84" t="n"/>
      <c r="H27" s="202" t="n"/>
      <c r="I27" s="67" t="n"/>
      <c r="J27" s="67" t="n"/>
      <c r="K27" s="73" t="n"/>
      <c r="L27" s="67" t="n"/>
      <c r="M27" s="73" t="n"/>
      <c r="N27" s="67" t="n"/>
      <c r="O27" s="67" t="n"/>
      <c r="P27" s="67" t="n"/>
      <c r="Q27" s="67" t="n"/>
      <c r="R27" s="67" t="n"/>
      <c r="S27" s="75" t="n"/>
    </row>
    <row r="28" ht="16.5" customHeight="1" s="322">
      <c r="A28" s="108" t="n"/>
      <c r="B28" s="448" t="inlineStr">
        <is>
          <t xml:space="preserve">  A-2. 모두  "0" 보다 커요(BAA중도형)
</t>
        </is>
      </c>
      <c r="C28" s="426" t="n"/>
      <c r="D28" s="428" t="n"/>
      <c r="E28" s="449" t="inlineStr">
        <is>
          <t xml:space="preserve">  A-2. 모두  "0" 보다 커요(BAA공격형)
</t>
        </is>
      </c>
      <c r="F28" s="426" t="n"/>
      <c r="G28" s="428" t="n"/>
      <c r="H28" s="202" t="n"/>
      <c r="I28" s="203" t="n"/>
      <c r="J28" s="67" t="n"/>
      <c r="K28" s="67" t="n"/>
      <c r="L28" s="67" t="n"/>
      <c r="M28" s="73" t="n"/>
      <c r="N28" s="67" t="n"/>
      <c r="O28" s="67" t="n"/>
      <c r="P28" s="67" t="n"/>
      <c r="Q28" s="67" t="n"/>
      <c r="R28" s="73" t="n"/>
      <c r="S28" s="75" t="n"/>
    </row>
    <row r="29" ht="16.5" customHeight="1" s="322">
      <c r="A29" s="151" t="n"/>
      <c r="B29" s="450" t="inlineStr">
        <is>
          <t>↓아래있는 [BAA중도형_공격자산 12종목] 또는 [BAA공격형]중 모멘텀 스코어가 높은 6개 자산에 투자합니다</t>
        </is>
      </c>
      <c r="C29" s="436" t="n"/>
      <c r="D29" s="437" t="n"/>
      <c r="E29" s="451" t="inlineStr">
        <is>
          <t>BAA 공격형 투자는 최근수익률이 높은 1개 자산에 몰빵! 합니다</t>
        </is>
      </c>
      <c r="F29" s="436" t="n"/>
      <c r="G29" s="437" t="n"/>
      <c r="H29" s="202" t="n"/>
      <c r="I29" s="203" t="n"/>
      <c r="J29" s="67" t="n"/>
      <c r="K29" s="67" t="n"/>
      <c r="L29" s="67" t="n"/>
      <c r="M29" s="73" t="n"/>
      <c r="N29" s="67" t="n"/>
      <c r="O29" s="67" t="n"/>
      <c r="P29" s="67" t="n"/>
      <c r="Q29" s="67" t="n"/>
      <c r="R29" s="73" t="n"/>
      <c r="S29" s="75" t="n"/>
    </row>
    <row r="30" ht="16.5" customHeight="1" s="322">
      <c r="A30" s="151" t="n"/>
      <c r="B30" s="438" t="n"/>
      <c r="C30" s="439" t="n"/>
      <c r="D30" s="440" t="n"/>
      <c r="E30" s="438" t="n"/>
      <c r="F30" s="439" t="n"/>
      <c r="G30" s="440" t="n"/>
      <c r="H30" s="202" t="n"/>
      <c r="I30" s="203" t="n"/>
      <c r="J30" s="67" t="n"/>
      <c r="K30" s="67" t="n"/>
      <c r="L30" s="67" t="n"/>
      <c r="M30" s="73" t="n"/>
      <c r="N30" s="67" t="n"/>
      <c r="O30" s="67" t="n"/>
      <c r="P30" s="67" t="n"/>
      <c r="Q30" s="73" t="n"/>
      <c r="R30" s="73" t="n"/>
      <c r="S30" s="75" t="n"/>
    </row>
    <row r="31" ht="16.5" customHeight="1" s="322">
      <c r="A31" s="151" t="n"/>
      <c r="B31" s="204" t="inlineStr">
        <is>
          <t>종목당 투자액</t>
        </is>
      </c>
      <c r="C31" s="452">
        <f>H3/6</f>
        <v/>
      </c>
      <c r="D31" s="206" t="n"/>
      <c r="E31" s="204" t="inlineStr">
        <is>
          <t>종목당 투자액</t>
        </is>
      </c>
      <c r="F31" s="452">
        <f>H3</f>
        <v/>
      </c>
      <c r="G31" s="207" t="n"/>
      <c r="H31" s="202" t="n"/>
      <c r="I31" s="203" t="n"/>
      <c r="J31" s="67" t="n"/>
      <c r="K31" s="67" t="n"/>
      <c r="L31" s="67" t="n"/>
      <c r="M31" s="73" t="n"/>
      <c r="N31" s="67" t="n"/>
      <c r="O31" s="67" t="n"/>
      <c r="P31" s="73" t="n"/>
      <c r="Q31" s="73" t="n"/>
      <c r="R31" s="73" t="n"/>
      <c r="S31" s="75" t="n"/>
    </row>
    <row r="32" ht="16.5" customHeight="1" s="322">
      <c r="A32" s="208" t="n"/>
      <c r="B32" s="209" t="inlineStr">
        <is>
          <t>ㅣBAA 중도형_공격자산 12종목</t>
        </is>
      </c>
      <c r="C32" s="210" t="n"/>
      <c r="D32" s="211" t="n"/>
      <c r="E32" s="166" t="inlineStr">
        <is>
          <t>ㅣBAA공격형(수익↑, MDD↑)</t>
        </is>
      </c>
      <c r="F32" s="212" t="n"/>
      <c r="G32" s="213" t="n"/>
      <c r="H32" s="202" t="n"/>
      <c r="I32" s="203" t="n"/>
      <c r="J32" s="67" t="n"/>
      <c r="K32" s="67" t="n"/>
      <c r="L32" s="67" t="n"/>
      <c r="M32" s="73" t="n"/>
      <c r="N32" s="67" t="n"/>
      <c r="O32" s="67" t="n"/>
      <c r="P32" s="73" t="n"/>
      <c r="Q32" s="73" t="n"/>
      <c r="R32" s="73" t="n"/>
      <c r="S32" s="75" t="n"/>
    </row>
    <row r="33" ht="16.5" customHeight="1" s="322">
      <c r="A33" s="214" t="n"/>
      <c r="B33" s="215" t="n"/>
      <c r="C33" s="216">
        <f>BD!Z4</f>
        <v/>
      </c>
      <c r="D33" s="217" t="inlineStr">
        <is>
          <t>현재/12개월이평</t>
        </is>
      </c>
      <c r="E33" s="218" t="n"/>
      <c r="F33" s="219" t="inlineStr">
        <is>
          <t>모멘텀 스코어</t>
        </is>
      </c>
      <c r="G33" s="220" t="inlineStr">
        <is>
          <t>현재/12개월이평</t>
        </is>
      </c>
      <c r="H33" s="202" t="n"/>
      <c r="I33" s="203" t="n"/>
      <c r="J33" s="73" t="n"/>
      <c r="K33" s="73" t="n"/>
      <c r="L33" s="73" t="n"/>
      <c r="M33" s="73" t="n"/>
      <c r="N33" s="67" t="n"/>
      <c r="O33" s="67" t="n"/>
      <c r="P33" s="67" t="n"/>
      <c r="Q33" s="67" t="n"/>
      <c r="R33" s="67" t="n"/>
      <c r="S33" s="75" t="n"/>
    </row>
    <row r="34" ht="16.5" customHeight="1" s="322">
      <c r="A34" s="214" t="n"/>
      <c r="B34" s="221">
        <f>BD!A5</f>
        <v/>
      </c>
      <c r="C34" s="222">
        <f>BD!Z5</f>
        <v/>
      </c>
      <c r="D34" s="223">
        <f>BD!Q5</f>
        <v/>
      </c>
      <c r="E34" s="224">
        <f>관심종목!D26</f>
        <v/>
      </c>
      <c r="F34" s="225">
        <f>BD!Z33</f>
        <v/>
      </c>
      <c r="G34" s="226">
        <f>BD!Q29</f>
        <v/>
      </c>
      <c r="H34" s="202" t="n"/>
      <c r="I34" s="203" t="n"/>
      <c r="J34" s="73" t="n"/>
      <c r="K34" s="73" t="n"/>
      <c r="L34" s="73" t="n"/>
      <c r="M34" s="73" t="n"/>
      <c r="N34" s="67" t="n"/>
      <c r="O34" s="67" t="n"/>
      <c r="P34" s="67" t="n"/>
      <c r="Q34" s="67" t="n"/>
      <c r="R34" s="67" t="n"/>
      <c r="S34" s="75" t="n"/>
    </row>
    <row r="35" ht="16.5" customHeight="1" s="322">
      <c r="A35" s="214" t="n"/>
      <c r="B35" s="221">
        <f>BD!A6</f>
        <v/>
      </c>
      <c r="C35" s="227">
        <f>BD!Z6</f>
        <v/>
      </c>
      <c r="D35" s="223">
        <f>BD!Q6</f>
        <v/>
      </c>
      <c r="E35" s="224">
        <f>관심종목!D23</f>
        <v/>
      </c>
      <c r="F35" s="222">
        <f>BD!Z30</f>
        <v/>
      </c>
      <c r="G35" s="226">
        <f>BD!Q30</f>
        <v/>
      </c>
      <c r="H35" s="202" t="n"/>
      <c r="I35" s="203" t="n"/>
      <c r="J35" s="73" t="n"/>
      <c r="K35" s="73" t="n"/>
      <c r="L35" s="73" t="n"/>
      <c r="M35" s="73" t="n"/>
      <c r="N35" s="67" t="n"/>
      <c r="O35" s="67" t="n"/>
      <c r="P35" s="67" t="n"/>
      <c r="Q35" s="67" t="n"/>
      <c r="R35" s="67" t="n"/>
      <c r="S35" s="75" t="n"/>
    </row>
    <row r="36" ht="16.5" customHeight="1" s="322">
      <c r="A36" s="214" t="n"/>
      <c r="B36" s="221">
        <f>BD!A7</f>
        <v/>
      </c>
      <c r="C36" s="227">
        <f>BD!Z7</f>
        <v/>
      </c>
      <c r="D36" s="223">
        <f>BD!Q7</f>
        <v/>
      </c>
      <c r="E36" s="224">
        <f>관심종목!D24</f>
        <v/>
      </c>
      <c r="F36" s="225">
        <f>BD!Z31</f>
        <v/>
      </c>
      <c r="G36" s="226">
        <f>BD!Q31</f>
        <v/>
      </c>
      <c r="H36" s="202" t="n"/>
      <c r="I36" s="203" t="n"/>
      <c r="J36" s="73" t="n"/>
      <c r="K36" s="73" t="n"/>
      <c r="L36" s="73" t="n"/>
      <c r="M36" s="73" t="n"/>
      <c r="N36" s="67" t="n"/>
      <c r="O36" s="67" t="n"/>
      <c r="P36" s="67" t="n"/>
      <c r="Q36" s="67" t="n"/>
      <c r="R36" s="67" t="n"/>
      <c r="S36" s="75" t="n"/>
    </row>
    <row r="37" ht="16.5" customHeight="1" s="322">
      <c r="A37" s="214" t="n"/>
      <c r="B37" s="221">
        <f>BD!A8</f>
        <v/>
      </c>
      <c r="C37" s="222">
        <f>BD!Z8</f>
        <v/>
      </c>
      <c r="D37" s="223">
        <f>BD!Q8</f>
        <v/>
      </c>
      <c r="E37" s="228">
        <f>관심종목!D25</f>
        <v/>
      </c>
      <c r="F37" s="229">
        <f>BD!Z32</f>
        <v/>
      </c>
      <c r="G37" s="230">
        <f>BD!Q32</f>
        <v/>
      </c>
      <c r="H37" s="202" t="n"/>
      <c r="I37" s="203" t="n"/>
      <c r="J37" s="73" t="n"/>
      <c r="K37" s="73" t="n"/>
      <c r="L37" s="73" t="n"/>
      <c r="M37" s="73" t="n"/>
      <c r="N37" s="67" t="n"/>
      <c r="O37" s="67" t="n"/>
      <c r="P37" s="67" t="n"/>
      <c r="Q37" s="67" t="n"/>
      <c r="R37" s="67" t="n"/>
      <c r="S37" s="75" t="n"/>
    </row>
    <row r="38" ht="16.5" customHeight="1" s="322">
      <c r="A38" s="231" t="n"/>
      <c r="B38" s="221">
        <f>BD!A9</f>
        <v/>
      </c>
      <c r="C38" s="222">
        <f>BD!Z9</f>
        <v/>
      </c>
      <c r="D38" s="223">
        <f>BD!Q9</f>
        <v/>
      </c>
      <c r="E38" s="232" t="n"/>
      <c r="F38" s="162" t="n"/>
      <c r="G38" s="213" t="n"/>
      <c r="H38" s="202" t="n"/>
      <c r="I38" s="203" t="n"/>
      <c r="J38" s="73" t="n"/>
      <c r="K38" s="73" t="n"/>
      <c r="L38" s="73" t="n"/>
      <c r="M38" s="73" t="n"/>
      <c r="N38" s="67" t="n"/>
      <c r="O38" s="67" t="n"/>
      <c r="P38" s="67" t="n"/>
      <c r="Q38" s="67" t="n"/>
      <c r="R38" s="67" t="n"/>
      <c r="S38" s="75" t="n"/>
    </row>
    <row r="39" ht="16.5" customHeight="1" s="322">
      <c r="A39" s="231" t="n"/>
      <c r="B39" s="221">
        <f>BD!A10</f>
        <v/>
      </c>
      <c r="C39" s="222">
        <f>BD!Z10</f>
        <v/>
      </c>
      <c r="D39" s="223">
        <f>BD!Q10</f>
        <v/>
      </c>
      <c r="E39" s="233" t="n"/>
      <c r="F39" s="73" t="n"/>
      <c r="G39" s="61" t="n"/>
      <c r="H39" s="202" t="n"/>
      <c r="I39" s="203" t="n"/>
      <c r="J39" s="73" t="n"/>
      <c r="K39" s="73" t="n"/>
      <c r="L39" s="73" t="n"/>
      <c r="M39" s="73" t="n"/>
      <c r="N39" s="67" t="n"/>
      <c r="O39" s="67" t="n"/>
      <c r="P39" s="67" t="n"/>
      <c r="Q39" s="67" t="n"/>
      <c r="R39" s="67" t="n"/>
      <c r="S39" s="75" t="n"/>
    </row>
    <row r="40" ht="16.5" customHeight="1" s="322">
      <c r="A40" s="231" t="n"/>
      <c r="B40" s="221">
        <f>BD!A11</f>
        <v/>
      </c>
      <c r="C40" s="222">
        <f>BD!Z11</f>
        <v/>
      </c>
      <c r="D40" s="223">
        <f>BD!Q11</f>
        <v/>
      </c>
      <c r="E40" s="64" t="n"/>
      <c r="F40" s="66" t="n"/>
      <c r="G40" s="75" t="n"/>
      <c r="H40" s="202" t="n"/>
      <c r="I40" s="203" t="n"/>
      <c r="J40" s="73" t="n"/>
      <c r="K40" s="73" t="n"/>
      <c r="L40" s="73" t="n"/>
      <c r="M40" s="73" t="n"/>
      <c r="N40" s="67" t="n"/>
      <c r="O40" s="67" t="n"/>
      <c r="P40" s="67" t="n"/>
      <c r="Q40" s="67" t="n"/>
      <c r="R40" s="67" t="n"/>
      <c r="S40" s="75" t="n"/>
    </row>
    <row r="41" ht="16.5" customHeight="1" s="322">
      <c r="A41" s="231" t="n"/>
      <c r="B41" s="221">
        <f>BD!A12</f>
        <v/>
      </c>
      <c r="C41" s="227">
        <f>BD!Z12</f>
        <v/>
      </c>
      <c r="D41" s="223">
        <f>BD!Q12</f>
        <v/>
      </c>
      <c r="E41" s="164" t="n"/>
      <c r="F41" s="67" t="n"/>
      <c r="G41" s="75" t="n"/>
      <c r="H41" s="202" t="n"/>
      <c r="I41" s="203" t="n"/>
      <c r="J41" s="73" t="n"/>
      <c r="K41" s="73" t="n"/>
      <c r="L41" s="73" t="n"/>
      <c r="M41" s="73" t="n"/>
      <c r="N41" s="67" t="n"/>
      <c r="O41" s="67" t="n"/>
      <c r="P41" s="67" t="n"/>
      <c r="Q41" s="67" t="n"/>
      <c r="R41" s="67" t="n"/>
      <c r="S41" s="75" t="n"/>
    </row>
    <row r="42" ht="16.5" customHeight="1" s="322">
      <c r="A42" s="231" t="n"/>
      <c r="B42" s="221">
        <f>BD!A13</f>
        <v/>
      </c>
      <c r="C42" s="227">
        <f>BD!Z13</f>
        <v/>
      </c>
      <c r="D42" s="223">
        <f>BD!Q13</f>
        <v/>
      </c>
      <c r="E42" s="164" t="n"/>
      <c r="F42" s="67" t="n"/>
      <c r="G42" s="75" t="n"/>
      <c r="H42" s="202" t="n"/>
      <c r="I42" s="203" t="n"/>
      <c r="J42" s="73" t="n"/>
      <c r="K42" s="73" t="n"/>
      <c r="L42" s="73" t="n"/>
      <c r="M42" s="73" t="n"/>
      <c r="N42" s="67" t="n"/>
      <c r="O42" s="67" t="n"/>
      <c r="P42" s="67" t="n"/>
      <c r="Q42" s="67" t="n"/>
      <c r="R42" s="67" t="n"/>
      <c r="S42" s="75" t="n"/>
    </row>
    <row r="43" ht="16.5" customHeight="1" s="322">
      <c r="A43" s="231" t="n"/>
      <c r="B43" s="221">
        <f>BD!A14</f>
        <v/>
      </c>
      <c r="C43" s="222">
        <f>BD!Z14</f>
        <v/>
      </c>
      <c r="D43" s="223">
        <f>BD!Q14</f>
        <v/>
      </c>
      <c r="E43" s="164" t="n"/>
      <c r="F43" s="67" t="n"/>
      <c r="G43" s="75" t="n"/>
      <c r="H43" s="202" t="n"/>
      <c r="I43" s="203" t="n"/>
      <c r="J43" s="73" t="n"/>
      <c r="K43" s="73" t="n"/>
      <c r="L43" s="73" t="n"/>
      <c r="M43" s="73" t="n"/>
      <c r="N43" s="67" t="n"/>
      <c r="O43" s="67" t="n"/>
      <c r="P43" s="67" t="n"/>
      <c r="Q43" s="67" t="n"/>
      <c r="R43" s="67" t="n"/>
      <c r="S43" s="75" t="n"/>
    </row>
    <row r="44" ht="16.5" customHeight="1" s="322">
      <c r="A44" s="231" t="n"/>
      <c r="B44" s="221">
        <f>BD!A15</f>
        <v/>
      </c>
      <c r="C44" s="227">
        <f>BD!Z15</f>
        <v/>
      </c>
      <c r="D44" s="223">
        <f>BD!Q15</f>
        <v/>
      </c>
      <c r="E44" s="164" t="n"/>
      <c r="F44" s="67" t="n"/>
      <c r="G44" s="75" t="n"/>
      <c r="H44" s="202" t="n"/>
      <c r="I44" s="203" t="n"/>
      <c r="J44" s="73" t="n"/>
      <c r="K44" s="73" t="n"/>
      <c r="L44" s="73" t="n"/>
      <c r="M44" s="73" t="n"/>
      <c r="N44" s="67" t="n"/>
      <c r="O44" s="67" t="n"/>
      <c r="P44" s="67" t="n"/>
      <c r="Q44" s="67" t="n"/>
      <c r="R44" s="67" t="n"/>
      <c r="S44" s="75" t="n"/>
    </row>
    <row r="45" ht="16.5" customHeight="1" s="322">
      <c r="A45" s="231" t="n"/>
      <c r="B45" s="234">
        <f>BD!A16</f>
        <v/>
      </c>
      <c r="C45" s="235">
        <f>BD!Z16</f>
        <v/>
      </c>
      <c r="D45" s="236">
        <f>BD!Q16</f>
        <v/>
      </c>
      <c r="E45" s="164" t="n"/>
      <c r="F45" s="67" t="n"/>
      <c r="G45" s="75" t="n"/>
      <c r="H45" s="202" t="n"/>
      <c r="I45" s="203" t="n"/>
      <c r="J45" s="73" t="n"/>
      <c r="K45" s="73" t="n"/>
      <c r="L45" s="73" t="n"/>
      <c r="M45" s="73" t="n"/>
      <c r="N45" s="67" t="n"/>
      <c r="O45" s="67" t="n"/>
      <c r="P45" s="67" t="n"/>
      <c r="Q45" s="67" t="n"/>
      <c r="R45" s="67" t="n"/>
      <c r="S45" s="75" t="n"/>
    </row>
    <row r="46" ht="16.5" customHeight="1" s="322">
      <c r="A46" s="237" t="n"/>
      <c r="B46" s="64" t="n"/>
      <c r="C46" s="66" t="n"/>
      <c r="D46" s="66" t="n"/>
      <c r="E46" s="66" t="n"/>
      <c r="F46" s="66" t="n"/>
      <c r="G46" s="65" t="n"/>
      <c r="H46" s="202" t="n"/>
      <c r="I46" s="238" t="n"/>
      <c r="J46" s="239" t="n"/>
      <c r="K46" s="239" t="n"/>
      <c r="L46" s="239" t="n"/>
      <c r="M46" s="239" t="n"/>
      <c r="N46" s="149" t="n"/>
      <c r="O46" s="149" t="n"/>
      <c r="P46" s="149" t="n"/>
      <c r="Q46" s="149" t="n"/>
      <c r="R46" s="149" t="n"/>
      <c r="S46" s="84" t="n"/>
    </row>
  </sheetData>
  <mergeCells count="10">
    <mergeCell ref="B28:D28"/>
    <mergeCell ref="E28:G28"/>
    <mergeCell ref="B14:D14"/>
    <mergeCell ref="B6:F6"/>
    <mergeCell ref="B29:D30"/>
    <mergeCell ref="B15:G16"/>
    <mergeCell ref="H6:K7"/>
    <mergeCell ref="H13:K15"/>
    <mergeCell ref="E29:G30"/>
    <mergeCell ref="C17:G17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V55"/>
  <sheetViews>
    <sheetView showGridLines="0" workbookViewId="0">
      <pane xSplit="4" topLeftCell="E1" activePane="topRight" state="frozen"/>
      <selection pane="topRight" activeCell="F2" sqref="F2"/>
    </sheetView>
  </sheetViews>
  <sheetFormatPr baseColWidth="8" defaultColWidth="12.5703125" defaultRowHeight="15.75" customHeight="1"/>
  <cols>
    <col width="10.42578125" customWidth="1" style="322" min="1" max="1"/>
    <col width="4.7109375" customWidth="1" style="322" min="2" max="2"/>
    <col width="8.42578125" customWidth="1" style="322" min="3" max="3"/>
    <col width="7" customWidth="1" style="322" min="4" max="4"/>
    <col width="10.28515625" customWidth="1" style="322" min="5" max="5"/>
    <col width="28.42578125" customWidth="1" style="322" min="6" max="6"/>
    <col width="11.7109375" customWidth="1" style="322" min="7" max="7"/>
    <col width="8.42578125" customWidth="1" style="322" min="8" max="8"/>
    <col width="8.85546875" customWidth="1" style="322" min="9" max="9"/>
    <col width="8.7109375" customWidth="1" style="322" min="10" max="10"/>
    <col width="4" customWidth="1" style="322" min="11" max="11"/>
    <col width="9.42578125" customWidth="1" style="322" min="12" max="12"/>
    <col width="8.42578125" customWidth="1" style="322" min="13" max="14"/>
    <col width="6.5703125" customWidth="1" style="322" min="15" max="15"/>
    <col width="28" customWidth="1" style="322" min="16" max="18"/>
    <col width="10" customWidth="1" style="322" min="19" max="19"/>
    <col width="7.85546875" customWidth="1" style="322" min="20" max="20"/>
    <col width="12.5703125" customWidth="1" style="322" min="21" max="21"/>
    <col width="31.42578125" customWidth="1" style="322" min="22" max="22"/>
  </cols>
  <sheetData>
    <row r="1" ht="22.5" customHeight="1" s="322">
      <c r="A1" s="1" t="n"/>
      <c r="B1" s="1" t="n"/>
      <c r="C1" s="1" t="n"/>
      <c r="D1" s="3" t="inlineStr">
        <is>
          <t>안내
B열에 추적할 주식의 종목코드를 입력합니다.
H열에 평가금액을 추적할 주식의 수량을 입력합니다.</t>
        </is>
      </c>
      <c r="E1" s="3" t="n"/>
      <c r="F1" s="3" t="n"/>
      <c r="G1" s="3" t="n"/>
      <c r="H1" s="3" t="n"/>
      <c r="I1" s="3" t="n"/>
      <c r="J1" s="3" t="n"/>
      <c r="K1" s="3" t="n"/>
      <c r="L1" s="5" t="inlineStr">
        <is>
          <t>제공:</t>
        </is>
      </c>
      <c r="M1" s="1" t="n"/>
      <c r="N1" s="1" t="n"/>
      <c r="O1" s="6" t="n"/>
      <c r="P1" s="453" t="inlineStr">
        <is>
          <t>차트 보기 안내</t>
        </is>
      </c>
      <c r="Q1" s="7" t="n"/>
      <c r="R1" s="7" t="n"/>
      <c r="S1" s="7" t="n"/>
      <c r="T1" s="7" t="n"/>
      <c r="U1" s="7" t="n"/>
      <c r="V1" s="7" t="n"/>
    </row>
    <row r="2" ht="22.5" customHeight="1" s="322">
      <c r="A2" s="1" t="n"/>
      <c r="B2" s="1" t="n"/>
      <c r="C2" s="1" t="n"/>
      <c r="D2" s="3" t="n"/>
      <c r="E2" s="3" t="n"/>
      <c r="F2" s="3" t="n"/>
      <c r="G2" s="3" t="n"/>
      <c r="H2" s="3" t="n"/>
      <c r="I2" s="3" t="n"/>
      <c r="J2" s="3" t="n"/>
      <c r="K2" s="3" t="n"/>
      <c r="L2" s="9" t="inlineStr">
        <is>
          <t>Google Finance</t>
        </is>
      </c>
      <c r="M2" s="1" t="n"/>
      <c r="N2" s="1" t="n"/>
      <c r="O2" s="6" t="n"/>
      <c r="P2" s="454" t="inlineStr">
        <is>
          <t>D열 Ticker를 클릭하면 해당 종목 차트 시트로 이동합니다.</t>
        </is>
      </c>
      <c r="Q2" s="7" t="n"/>
      <c r="R2" s="7" t="n"/>
      <c r="S2" s="7" t="n"/>
      <c r="T2" s="7" t="n"/>
      <c r="U2" s="7" t="n"/>
      <c r="V2" s="7" t="n"/>
    </row>
    <row r="3" ht="12.75" customHeight="1" s="32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6" t="n"/>
      <c r="P3" s="454" t="inlineStr">
        <is>
          <t>각 차트 시트의 B1 링크로 관심종목으로 돌아올 수 있습니다.</t>
        </is>
      </c>
      <c r="Q3" s="7" t="n"/>
      <c r="R3" s="7" t="n"/>
      <c r="S3" s="7" t="n"/>
      <c r="T3" s="7" t="n"/>
      <c r="U3" s="7" t="n"/>
      <c r="V3" s="7" t="n"/>
    </row>
    <row r="4" ht="23.25" customHeight="1" s="322">
      <c r="A4" s="1" t="n"/>
      <c r="B4" s="1" t="n"/>
      <c r="C4" s="1" t="n"/>
      <c r="E4" s="1" t="n"/>
      <c r="F4" s="10" t="inlineStr">
        <is>
          <t>관심종목</t>
        </is>
      </c>
      <c r="G4" s="1" t="n"/>
      <c r="H4" s="1" t="n"/>
      <c r="I4" s="1" t="n"/>
      <c r="J4" s="1" t="n"/>
      <c r="K4" s="1" t="n"/>
      <c r="L4" s="1" t="n"/>
      <c r="M4" s="1" t="n"/>
      <c r="N4" s="1" t="n"/>
      <c r="O4" s="6" t="n"/>
      <c r="P4" s="7" t="n"/>
      <c r="Q4" s="7" t="n"/>
      <c r="R4" s="7" t="n"/>
      <c r="S4" s="7" t="n"/>
      <c r="T4" s="7" t="n"/>
      <c r="U4" s="7" t="n"/>
      <c r="V4" s="7" t="n"/>
    </row>
    <row r="5" ht="16.5" customHeight="1" s="322">
      <c r="A5" s="1" t="n"/>
      <c r="B5" s="1" t="n"/>
      <c r="C5" s="1" t="n"/>
      <c r="D5" s="90" t="n"/>
      <c r="E5" s="1" t="n"/>
      <c r="F5" s="90" t="inlineStr">
        <is>
          <t>평가금액</t>
        </is>
      </c>
      <c r="G5" s="1" t="n"/>
      <c r="H5" s="1" t="n"/>
      <c r="I5" s="1" t="n"/>
      <c r="J5" s="1" t="n"/>
      <c r="K5" s="1" t="n"/>
      <c r="L5" s="1" t="n"/>
      <c r="M5" s="1" t="n"/>
      <c r="N5" s="1" t="n"/>
      <c r="O5" s="6" t="n"/>
      <c r="P5" s="455" t="inlineStr">
        <is>
          <t>이벤트 관리로 이동</t>
        </is>
      </c>
      <c r="Q5" s="7" t="n"/>
      <c r="R5" s="7" t="n"/>
      <c r="S5" s="7" t="n"/>
      <c r="T5" s="7" t="n"/>
      <c r="U5" s="7" t="n"/>
      <c r="V5" s="7" t="n"/>
    </row>
    <row r="6" ht="31.5" customHeight="1" s="322">
      <c r="A6" s="12" t="n"/>
      <c r="B6" s="12" t="n"/>
      <c r="C6" s="12" t="n"/>
      <c r="D6" s="14" t="n"/>
      <c r="E6" s="14" t="n"/>
      <c r="F6" s="14">
        <f>SUM(N9:N55)</f>
        <v/>
      </c>
      <c r="G6" s="12" t="n"/>
      <c r="H6" s="12" t="n"/>
      <c r="I6" s="12" t="n"/>
      <c r="J6" s="12" t="n"/>
      <c r="K6" s="12" t="n"/>
      <c r="L6" s="12" t="n"/>
      <c r="M6" s="12" t="n"/>
      <c r="N6" s="12" t="n"/>
      <c r="O6" s="15" t="n"/>
      <c r="P6" s="16" t="n"/>
      <c r="Q6" s="16" t="n"/>
      <c r="R6" s="16" t="n"/>
      <c r="S6" s="16" t="n"/>
      <c r="T6" s="16" t="n"/>
      <c r="U6" s="16" t="n"/>
      <c r="V6" s="16" t="n"/>
    </row>
    <row r="7" ht="11.25" customHeight="1" s="322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5" t="n"/>
      <c r="P7" s="16" t="n"/>
      <c r="Q7" s="16" t="n"/>
      <c r="R7" s="16" t="n"/>
      <c r="S7" s="16" t="n"/>
      <c r="T7" s="16" t="n"/>
      <c r="U7" s="16" t="n"/>
      <c r="V7" s="16" t="n"/>
    </row>
    <row r="8" ht="31.5" customHeight="1" s="322">
      <c r="A8" s="19" t="inlineStr">
        <is>
          <t>전략 명</t>
        </is>
      </c>
      <c r="B8" s="18" t="inlineStr">
        <is>
          <t>투자비율</t>
        </is>
      </c>
      <c r="C8" s="18" t="inlineStr">
        <is>
          <t>포트폴리오 명</t>
        </is>
      </c>
      <c r="D8" s="19" t="inlineStr">
        <is>
          <t>종목코드</t>
        </is>
      </c>
      <c r="E8" s="19" t="inlineStr">
        <is>
          <t>거래소
(선택사항)</t>
        </is>
      </c>
      <c r="F8" s="19" t="inlineStr">
        <is>
          <t>종목명</t>
        </is>
      </c>
      <c r="G8" s="21" t="n"/>
      <c r="H8" s="21" t="inlineStr">
        <is>
          <t>현재가</t>
        </is>
      </c>
      <c r="I8" s="21" t="inlineStr">
        <is>
          <t>전일대비</t>
        </is>
      </c>
      <c r="J8" s="21" t="inlineStr">
        <is>
          <t>등락률(%)</t>
        </is>
      </c>
      <c r="K8" s="21" t="inlineStr">
        <is>
          <t>주식수</t>
        </is>
      </c>
      <c r="L8" s="21" t="inlineStr">
        <is>
          <t>평가금액</t>
        </is>
      </c>
      <c r="M8" s="21" t="inlineStr">
        <is>
          <t>종목 합계</t>
        </is>
      </c>
      <c r="N8" s="22" t="n"/>
      <c r="O8" s="23" t="inlineStr">
        <is>
          <t>모멘텀스코어</t>
        </is>
      </c>
      <c r="P8" s="24" t="inlineStr">
        <is>
          <t>1개월수익률</t>
        </is>
      </c>
      <c r="Q8" s="24" t="inlineStr">
        <is>
          <t>3개월수익률</t>
        </is>
      </c>
      <c r="R8" s="24" t="inlineStr">
        <is>
          <t>6개월수익률</t>
        </is>
      </c>
      <c r="S8" s="24" t="inlineStr">
        <is>
          <t>12개월수익률</t>
        </is>
      </c>
      <c r="T8" s="25" t="inlineStr">
        <is>
          <t>12개월 이동평균</t>
        </is>
      </c>
      <c r="U8" s="25" t="inlineStr">
        <is>
          <t>현재가격/
12개월이동평균</t>
        </is>
      </c>
      <c r="V8" s="24" t="n"/>
    </row>
    <row r="9" ht="17.25" customHeight="1" s="322">
      <c r="A9" s="27" t="n"/>
      <c r="B9" s="27" t="n"/>
      <c r="C9" s="27" t="n"/>
      <c r="D9" s="27" t="n"/>
      <c r="E9" s="27" t="inlineStr">
        <is>
          <t>NASDAQ</t>
        </is>
      </c>
      <c r="F9" s="27">
        <f>IFERROR(__xludf.DUMMYFUNCTION("IF(ISBLANK(D9), ""-"", GOOGLEFINANCE(IF(ISBLANK(E9), D9, E9&amp;"":""&amp;D9), ""name""))"),"-")</f>
        <v/>
      </c>
      <c r="G9" s="456" t="n"/>
      <c r="H9" s="456">
        <f>IFERROR(__xludf.DUMMYFUNCTION("IF(ISBLANK(D9), 0, GOOGLEFINANCE(IF(ISBLANK(E9), D9, E9&amp;"":""&amp;D9), ""price""))"),0)</f>
        <v/>
      </c>
      <c r="I9" s="457">
        <f>IFERROR(__xludf.DUMMYFUNCTION("IF(ISBLANK(D9), 0, GOOGLEFINANCE(IF(ISBLANK(E9), D9, E9&amp;"":""&amp;D9), ""change""))"),0)</f>
        <v/>
      </c>
      <c r="J9" s="458">
        <f>IFERROR(__xludf.DUMMYFUNCTION("IF(ISBLANK(D9), 0, GOOGLEFINANCE(IF(ISBLANK(E9), D9, E9&amp;"":""&amp;D9), ""changepct"")/100)"),0)</f>
        <v/>
      </c>
      <c r="K9" s="27" t="n">
        <v>0</v>
      </c>
      <c r="L9" s="459">
        <f>K9 * H9</f>
        <v/>
      </c>
      <c r="M9" s="34" t="n"/>
      <c r="N9" s="34" t="n"/>
      <c r="O9" s="35">
        <f>(P9*12)+(Q9*4)+(R9*2)+(S9*1)</f>
        <v/>
      </c>
      <c r="P9" s="36" t="n"/>
      <c r="Q9" s="36" t="n"/>
      <c r="R9" s="36" t="n"/>
      <c r="S9" s="36" t="n"/>
      <c r="T9" s="36" t="n"/>
      <c r="U9" s="36" t="n"/>
      <c r="V9" s="36" t="n"/>
    </row>
    <row r="10" ht="17.25" customHeight="1" s="322">
      <c r="A10" s="460" t="n"/>
      <c r="B10" s="461" t="n"/>
      <c r="C10" s="462" t="inlineStr">
        <is>
          <t>BAA
공격자산</t>
        </is>
      </c>
      <c r="D10" s="455" t="inlineStr">
        <is>
          <t>SPY</t>
        </is>
      </c>
      <c r="E10" s="39" t="n"/>
      <c r="F10" s="39">
        <f>IFERROR(__xludf.DUMMYFUNCTION("IF(ISBLANK(D10), ""-"", GOOGLEFINANCE(IF(ISBLANK(E10), D10, E10&amp;"":""&amp;D10), ""name""))"),"State Street SPDR S&amp;P 500 ETF Trust")</f>
        <v/>
      </c>
      <c r="G10" s="463" t="n"/>
      <c r="H10" s="463">
        <f>IFERROR(__xludf.DUMMYFUNCTION("IF(ISBLANK(D10), 0, GOOGLEFINANCE(IF(ISBLANK(E10), D10, E10&amp;"":""&amp;D10), ""price""))"),729.46)</f>
        <v/>
      </c>
      <c r="I10" s="464">
        <f>IFERROR(__xludf.DUMMYFUNCTION("IF(ISBLANK(D10), 0, GOOGLEFINANCE(IF(ISBLANK(E10), D10, E10&amp;"":""&amp;D10), ""change""))"),-11.4)</f>
        <v/>
      </c>
      <c r="J10" s="465">
        <f>IFERROR(__xludf.DUMMYFUNCTION("IF(ISBLANK(D10), 0, GOOGLEFINANCE(IF(ISBLANK(E10), D10, E10&amp;"":""&amp;D10), ""changepct"")/100)"),-0.0154)</f>
        <v/>
      </c>
      <c r="K10" s="39" t="n">
        <v>1</v>
      </c>
      <c r="L10" s="466">
        <f>K10 * H10</f>
        <v/>
      </c>
      <c r="M10" s="467" t="n"/>
      <c r="N10" s="467" t="n"/>
      <c r="O10" s="35">
        <f>(P10*12)+(Q10*4)+(R10*2)+(S10*1)</f>
        <v/>
      </c>
      <c r="P10" s="46">
        <f>(SPY!F278-SPY!F256)/SPY!F256</f>
        <v/>
      </c>
      <c r="Q10" s="46">
        <f>(SPY!F278-SPY!F214)/SPY!F214</f>
        <v/>
      </c>
      <c r="R10" s="46">
        <f>(SPY!F278-SPY!F151)/SPY!F151</f>
        <v/>
      </c>
      <c r="S10" s="46">
        <f>(SPY!F278-SPY!F28)/SPY!F28</f>
        <v/>
      </c>
      <c r="T10" s="46" t="n"/>
      <c r="U10" s="46" t="n"/>
      <c r="V10" s="46" t="n"/>
    </row>
    <row r="11" ht="17.25" customHeight="1" s="322">
      <c r="C11" s="468" t="n"/>
      <c r="D11" s="455" t="inlineStr">
        <is>
          <t>QQQ</t>
        </is>
      </c>
      <c r="E11" s="27" t="n"/>
      <c r="F11" s="27">
        <f>IFERROR(__xludf.DUMMYFUNCTION("IF(ISBLANK(D11), ""-"", GOOGLEFINANCE(IF(ISBLANK(E11), D11, E11&amp;"":""&amp;D11), ""name""))"),"Invesco QQQ Trust, Series 1")</f>
        <v/>
      </c>
      <c r="G11" s="456" t="n"/>
      <c r="H11" s="456">
        <f>IFERROR(__xludf.DUMMYFUNCTION("IF(ISBLANK(D11), 0, GOOGLEFINANCE(IF(ISBLANK(E11), D11, E11&amp;"":""&amp;D11), ""price""))"),661.73)</f>
        <v/>
      </c>
      <c r="I11" s="457">
        <f>IFERROR(__xludf.DUMMYFUNCTION("IF(ISBLANK(D11), 0, GOOGLEFINANCE(IF(ISBLANK(E11), D11, E11&amp;"":""&amp;D11), ""change""))"),-13.76)</f>
        <v/>
      </c>
      <c r="J11" s="458">
        <f>IFERROR(__xludf.DUMMYFUNCTION("IF(ISBLANK(D11), 0, GOOGLEFINANCE(IF(ISBLANK(E11), D11, E11&amp;"":""&amp;D11), ""changepct"")/100)"),-0.0204)</f>
        <v/>
      </c>
      <c r="K11" s="27" t="n">
        <v>1</v>
      </c>
      <c r="L11" s="469">
        <f>K11 * H11</f>
        <v/>
      </c>
      <c r="O11" s="35">
        <f>(P11*12)+(Q11*4)+(R11*2)+(S11*1)</f>
        <v/>
      </c>
      <c r="P11" s="46">
        <f>(TLT!$F$278-TLT!$F$256)/TLT!$F$256</f>
        <v/>
      </c>
      <c r="Q11" s="46">
        <f>(TLT!$F$278-TLT!$F$214)/TLT!$F$214</f>
        <v/>
      </c>
      <c r="R11" s="46">
        <f>(TLT!$F$278-TLT!$F$151)/TLT!$F$151</f>
        <v/>
      </c>
      <c r="S11" s="46">
        <f>(TLT!$F$278-TLT!$F$28)/TLT!$F$28</f>
        <v/>
      </c>
      <c r="T11" s="46" t="n"/>
      <c r="U11" s="46" t="n"/>
      <c r="V11" s="46" t="n"/>
    </row>
    <row r="12" ht="17.25" customHeight="1" s="322">
      <c r="C12" s="468" t="n"/>
      <c r="D12" s="455" t="inlineStr">
        <is>
          <t>IWM</t>
        </is>
      </c>
      <c r="E12" s="27" t="n"/>
      <c r="F12" s="27">
        <f>IFERROR(__xludf.DUMMYFUNCTION("IF(ISBLANK(D12), ""-"", GOOGLEFINANCE(IF(ISBLANK(E12), D12, E12&amp;"":""&amp;D12), ""name""))"),"iShares Russell 2000 ETF")</f>
        <v/>
      </c>
      <c r="G12" s="456" t="n"/>
      <c r="H12" s="456">
        <f>IFERROR(__xludf.DUMMYFUNCTION("IF(ISBLANK(D12), 0, GOOGLEFINANCE(IF(ISBLANK(E12), D12, E12&amp;"":""&amp;D12), ""price""))"),288.57)</f>
        <v/>
      </c>
      <c r="I12" s="457">
        <f>IFERROR(__xludf.DUMMYFUNCTION("IF(ISBLANK(D12), 0, GOOGLEFINANCE(IF(ISBLANK(E12), D12, E12&amp;"":""&amp;D12), ""change""))"),-4.8)</f>
        <v/>
      </c>
      <c r="J12" s="458">
        <f>IFERROR(__xludf.DUMMYFUNCTION("IF(ISBLANK(D12), 0, GOOGLEFINANCE(IF(ISBLANK(E12), D12, E12&amp;"":""&amp;D12), ""changepct"")/100)"),-0.0163999999999999)</f>
        <v/>
      </c>
      <c r="K12" s="27" t="n">
        <v>1</v>
      </c>
      <c r="L12" s="469">
        <f>K12 * H12</f>
        <v/>
      </c>
      <c r="O12" s="35">
        <f>(P12*12)+(Q12*4)+(R12*2)+(S12*1)</f>
        <v/>
      </c>
      <c r="P12" s="46">
        <f>(GLD!F278-GLD!F256)/GLD!F256</f>
        <v/>
      </c>
      <c r="Q12" s="46">
        <f>(GLD!F278-GLD!F214)/GLD!F214</f>
        <v/>
      </c>
      <c r="R12" s="46">
        <f>(GLD!F278-GLD!F151)/GLD!F151</f>
        <v/>
      </c>
      <c r="S12" s="46">
        <f>(GLD!F278-GLD!F28)/GLD!F28</f>
        <v/>
      </c>
      <c r="T12" s="46" t="n"/>
      <c r="U12" s="46" t="n"/>
      <c r="V12" s="46" t="n"/>
    </row>
    <row r="13" ht="17.25" customHeight="1" s="322">
      <c r="C13" s="468" t="n"/>
      <c r="D13" s="455" t="inlineStr">
        <is>
          <t>VGK</t>
        </is>
      </c>
      <c r="E13" s="27" t="n"/>
      <c r="F13" s="27">
        <f>IFERROR(__xludf.DUMMYFUNCTION("IF(ISBLANK(D13), ""-"", GOOGLEFINANCE(IF(ISBLANK(E13), D13, E13&amp;"":""&amp;D13), ""name""))"),"Vanguard European Stock Index Fund ETF")</f>
        <v/>
      </c>
      <c r="G13" s="456" t="n"/>
      <c r="H13" s="456">
        <f>IFERROR(__xludf.DUMMYFUNCTION("IF(ISBLANK(D13), 0, GOOGLEFINANCE(IF(ISBLANK(E13), D13, E13&amp;"":""&amp;D13), ""price""))"),88.86)</f>
        <v/>
      </c>
      <c r="I13" s="457">
        <f>IFERROR(__xludf.DUMMYFUNCTION("IF(ISBLANK(D13), 0, GOOGLEFINANCE(IF(ISBLANK(E13), D13, E13&amp;"":""&amp;D13), ""change""))"),-0.37)</f>
        <v/>
      </c>
      <c r="J13" s="458">
        <f>IFERROR(__xludf.DUMMYFUNCTION("IF(ISBLANK(D13), 0, GOOGLEFINANCE(IF(ISBLANK(E13), D13, E13&amp;"":""&amp;D13), ""changepct"")/100)"),-0.00409999999999999)</f>
        <v/>
      </c>
      <c r="K13" s="27" t="n">
        <v>1</v>
      </c>
      <c r="L13" s="469">
        <f>K13 * H13</f>
        <v/>
      </c>
      <c r="O13" s="35">
        <f>(P13*12)+(Q13*4)+(R13*2)+(S13*1)</f>
        <v/>
      </c>
      <c r="P13" s="46">
        <f>(BIL!$F$278-BIL!$F$256)/BIL!$F$256</f>
        <v/>
      </c>
      <c r="Q13" s="46">
        <f>(BIL!$F$278-BIL!$F$214)/BIL!$F$214</f>
        <v/>
      </c>
      <c r="R13" s="46">
        <f>(BIL!$F$278-BIL!$F$151)/BIL!$F$151</f>
        <v/>
      </c>
      <c r="S13" s="46">
        <f>(BIL!$F$278-BIL!$F$28)/BIL!$F$28</f>
        <v/>
      </c>
      <c r="T13" s="46" t="n"/>
      <c r="U13" s="46" t="n"/>
      <c r="V13" s="46" t="n"/>
    </row>
    <row r="14" ht="18.75" customHeight="1" s="322">
      <c r="B14" s="334" t="n"/>
      <c r="C14" s="468" t="n"/>
      <c r="D14" s="455" t="inlineStr">
        <is>
          <t>EWJ</t>
        </is>
      </c>
      <c r="E14" s="27" t="n"/>
      <c r="F14" s="27">
        <f>IFERROR(__xludf.DUMMYFUNCTION("IF(ISBLANK(D14), ""-"", GOOGLEFINANCE(IF(ISBLANK(E14), D14, E14&amp;"":""&amp;D14), ""name""))"),"iShares MSCI Japan ETF")</f>
        <v/>
      </c>
      <c r="G14" s="456" t="n"/>
      <c r="H14" s="456">
        <f>IFERROR(__xludf.DUMMYFUNCTION("IF(ISBLANK(D14), 0, GOOGLEFINANCE(IF(ISBLANK(E14), D14, E14&amp;"":""&amp;D14), ""price""))"),89.35)</f>
        <v/>
      </c>
      <c r="I14" s="457">
        <f>IFERROR(__xludf.DUMMYFUNCTION("IF(ISBLANK(D14), 0, GOOGLEFINANCE(IF(ISBLANK(E14), D14, E14&amp;"":""&amp;D14), ""change""))"),-0.48)</f>
        <v/>
      </c>
      <c r="J14" s="458">
        <f>IFERROR(__xludf.DUMMYFUNCTION("IF(ISBLANK(D14), 0, GOOGLEFINANCE(IF(ISBLANK(E14), D14, E14&amp;"":""&amp;D14), ""changepct"")/100)"),-0.0053)</f>
        <v/>
      </c>
      <c r="K14" s="27" t="n">
        <v>1</v>
      </c>
      <c r="L14" s="469">
        <f>K14 * H14</f>
        <v/>
      </c>
      <c r="M14" s="333" t="n"/>
      <c r="N14" s="333" t="n"/>
      <c r="O14" s="35" t="n"/>
      <c r="P14" s="46" t="n"/>
      <c r="Q14" s="46" t="n"/>
      <c r="R14" s="46" t="n"/>
      <c r="S14" s="46" t="n"/>
      <c r="T14" s="46" t="n"/>
      <c r="U14" s="46" t="n"/>
      <c r="V14" s="46" t="n"/>
    </row>
    <row r="15" ht="17.25" customHeight="1" s="322">
      <c r="B15" s="334" t="n"/>
      <c r="C15" s="468" t="n"/>
      <c r="D15" s="455" t="inlineStr">
        <is>
          <t>VWO</t>
        </is>
      </c>
      <c r="E15" s="27" t="n"/>
      <c r="F15" s="27">
        <f>IFERROR(__xludf.DUMMYFUNCTION("IF(ISBLANK(D15), ""-"", GOOGLEFINANCE(IF(ISBLANK(E15), D15, E15&amp;"":""&amp;D15), ""name""))"),"Vanguard Emerging Markets Stock Index Fund ETF")</f>
        <v/>
      </c>
      <c r="G15" s="456" t="n"/>
      <c r="H15" s="456">
        <f>IFERROR(__xludf.DUMMYFUNCTION("IF(ISBLANK(D15), 0, GOOGLEFINANCE(IF(ISBLANK(E15), D15, E15&amp;"":""&amp;D15), ""price""))"),56.92)</f>
        <v/>
      </c>
      <c r="I15" s="457">
        <f>IFERROR(__xludf.DUMMYFUNCTION("IF(ISBLANK(D15), 0, GOOGLEFINANCE(IF(ISBLANK(E15), D15, E15&amp;"":""&amp;D15), ""change""))"),-0.82)</f>
        <v/>
      </c>
      <c r="J15" s="458">
        <f>IFERROR(__xludf.DUMMYFUNCTION("IF(ISBLANK(D15), 0, GOOGLEFINANCE(IF(ISBLANK(E15), D15, E15&amp;"":""&amp;D15), ""changepct"")/100)"),-0.0141999999999999)</f>
        <v/>
      </c>
      <c r="K15" s="27" t="n">
        <v>1</v>
      </c>
      <c r="L15" s="469">
        <f>K15 * H15</f>
        <v/>
      </c>
      <c r="M15" s="333" t="n"/>
      <c r="N15" s="333" t="n"/>
      <c r="O15" s="35" t="n"/>
      <c r="P15" s="46" t="n"/>
      <c r="Q15" s="46" t="n"/>
      <c r="R15" s="46" t="n"/>
      <c r="S15" s="46" t="n"/>
      <c r="T15" s="46" t="n"/>
      <c r="U15" s="46" t="n"/>
      <c r="V15" s="46" t="n"/>
    </row>
    <row r="16" ht="17.25" customHeight="1" s="322">
      <c r="B16" s="334" t="n"/>
      <c r="C16" s="468" t="n"/>
      <c r="D16" s="455" t="inlineStr">
        <is>
          <t>VEA</t>
        </is>
      </c>
      <c r="E16" s="27" t="n"/>
      <c r="F16" s="27">
        <f>IFERROR(__xludf.DUMMYFUNCTION("IF(ISBLANK(D16), ""-"", GOOGLEFINANCE(IF(ISBLANK(E16), D16, E16&amp;"":""&amp;D16), ""name""))"),"Vanguard Tax Managed Fund FTSE Developed Markets ETF")</f>
        <v/>
      </c>
      <c r="G16" s="456" t="n"/>
      <c r="H16" s="456">
        <f>IFERROR(__xludf.DUMMYFUNCTION("IF(ISBLANK(D16), 0, GOOGLEFINANCE(IF(ISBLANK(E16), D16, E16&amp;"":""&amp;D16), ""price""))"),68.95)</f>
        <v/>
      </c>
      <c r="I16" s="457">
        <f>IFERROR(__xludf.DUMMYFUNCTION("IF(ISBLANK(D16), 0, GOOGLEFINANCE(IF(ISBLANK(E16), D16, E16&amp;"":""&amp;D16), ""change""))"),-0.65)</f>
        <v/>
      </c>
      <c r="J16" s="458">
        <f>IFERROR(__xludf.DUMMYFUNCTION("IF(ISBLANK(D16), 0, GOOGLEFINANCE(IF(ISBLANK(E16), D16, E16&amp;"":""&amp;D16), ""changepct"")/100)"),-0.0093)</f>
        <v/>
      </c>
      <c r="K16" s="27" t="n">
        <v>1</v>
      </c>
      <c r="L16" s="469">
        <f>K16 * H16</f>
        <v/>
      </c>
      <c r="M16" s="333" t="n"/>
      <c r="N16" s="333" t="n"/>
      <c r="O16" s="35" t="n"/>
      <c r="P16" s="46" t="n"/>
      <c r="Q16" s="46" t="n"/>
      <c r="R16" s="46" t="n"/>
      <c r="S16" s="46" t="n"/>
      <c r="T16" s="46" t="n"/>
      <c r="U16" s="46" t="n"/>
      <c r="V16" s="46" t="n"/>
    </row>
    <row r="17" ht="17.25" customHeight="1" s="322">
      <c r="B17" s="334" t="n"/>
      <c r="C17" s="468" t="n"/>
      <c r="D17" s="455" t="inlineStr">
        <is>
          <t>VNQ</t>
        </is>
      </c>
      <c r="E17" s="27" t="n"/>
      <c r="F17" s="27">
        <f>IFERROR(__xludf.DUMMYFUNCTION("IF(ISBLANK(D17), ""-"", GOOGLEFINANCE(IF(ISBLANK(E17), D17, E17&amp;"":""&amp;D17), ""name""))"),"Vanguard Real Estate Index Fund ETF")</f>
        <v/>
      </c>
      <c r="G17" s="456" t="n"/>
      <c r="H17" s="456">
        <f>IFERROR(__xludf.DUMMYFUNCTION("IF(ISBLANK(D17), 0, GOOGLEFINANCE(IF(ISBLANK(E17), D17, E17&amp;"":""&amp;D17), ""price""))"),100.66)</f>
        <v/>
      </c>
      <c r="I17" s="457">
        <f>IFERROR(__xludf.DUMMYFUNCTION("IF(ISBLANK(D17), 0, GOOGLEFINANCE(IF(ISBLANK(E17), D17, E17&amp;"":""&amp;D17), ""change""))"),-0.29)</f>
        <v/>
      </c>
      <c r="J17" s="458">
        <f>IFERROR(__xludf.DUMMYFUNCTION("IF(ISBLANK(D17), 0, GOOGLEFINANCE(IF(ISBLANK(E17), D17, E17&amp;"":""&amp;D17), ""changepct"")/100)"),-0.0029)</f>
        <v/>
      </c>
      <c r="K17" s="27" t="n">
        <v>1</v>
      </c>
      <c r="L17" s="469">
        <f>K17 * H17</f>
        <v/>
      </c>
      <c r="M17" s="333" t="n"/>
      <c r="N17" s="333" t="n"/>
      <c r="O17" s="35" t="n"/>
      <c r="P17" s="46" t="n"/>
      <c r="Q17" s="46" t="n"/>
      <c r="R17" s="46" t="n"/>
      <c r="S17" s="46" t="n"/>
      <c r="T17" s="46" t="n"/>
      <c r="U17" s="46" t="n"/>
      <c r="V17" s="46" t="n"/>
    </row>
    <row r="18" ht="17.25" customHeight="1" s="322">
      <c r="B18" s="334" t="n"/>
      <c r="C18" s="468" t="n"/>
      <c r="D18" s="455" t="inlineStr">
        <is>
          <t>DBC</t>
        </is>
      </c>
      <c r="E18" s="27" t="n"/>
      <c r="F18" s="27">
        <f>IFERROR(__xludf.DUMMYFUNCTION("IF(ISBLANK(D18), ""-"", GOOGLEFINANCE(IF(ISBLANK(E18), D18, E18&amp;"":""&amp;D18), ""name""))"),"Invesco DB Commodity Index Tracking Fund")</f>
        <v/>
      </c>
      <c r="G18" s="456" t="n"/>
      <c r="H18" s="456">
        <f>IFERROR(__xludf.DUMMYFUNCTION("IF(ISBLANK(D18), 0, GOOGLEFINANCE(IF(ISBLANK(E18), D18, E18&amp;"":""&amp;D18), ""price""))"),29.42)</f>
        <v/>
      </c>
      <c r="I18" s="457">
        <f>IFERROR(__xludf.DUMMYFUNCTION("IF(ISBLANK(D18), 0, GOOGLEFINANCE(IF(ISBLANK(E18), D18, E18&amp;"":""&amp;D18), ""change""))"),0.82)</f>
        <v/>
      </c>
      <c r="J18" s="458">
        <f>IFERROR(__xludf.DUMMYFUNCTION("IF(ISBLANK(D18), 0, GOOGLEFINANCE(IF(ISBLANK(E18), D18, E18&amp;"":""&amp;D18), ""changepct"")/100)"),0.0287)</f>
        <v/>
      </c>
      <c r="K18" s="27" t="n">
        <v>1</v>
      </c>
      <c r="L18" s="469">
        <f>K18 * H18</f>
        <v/>
      </c>
      <c r="M18" s="333" t="n"/>
      <c r="N18" s="333" t="n"/>
      <c r="O18" s="35" t="n"/>
      <c r="P18" s="46" t="n"/>
      <c r="Q18" s="46" t="n"/>
      <c r="R18" s="46" t="n"/>
      <c r="S18" s="46" t="n"/>
      <c r="T18" s="46" t="n"/>
      <c r="U18" s="46" t="n"/>
      <c r="V18" s="46" t="n"/>
    </row>
    <row r="19" ht="17.25" customHeight="1" s="322">
      <c r="B19" s="334" t="n"/>
      <c r="C19" s="468" t="n"/>
      <c r="D19" s="455" t="inlineStr">
        <is>
          <t>GLD</t>
        </is>
      </c>
      <c r="E19" s="27" t="n"/>
      <c r="F19" s="27">
        <f>IFERROR(__xludf.DUMMYFUNCTION("IF(ISBLANK(D19), ""-"", GOOGLEFINANCE(IF(ISBLANK(E19), D19, E19&amp;"":""&amp;D19), ""name""))"),"SPDR Gold Trust")</f>
        <v/>
      </c>
      <c r="G19" s="456" t="n"/>
      <c r="H19" s="456">
        <f>IFERROR(__xludf.DUMMYFUNCTION("IF(ISBLANK(D19), 0, GOOGLEFINANCE(IF(ISBLANK(E19), D19, E19&amp;"":""&amp;D19), ""price""))"),371.08)</f>
        <v/>
      </c>
      <c r="I19" s="457">
        <f>IFERROR(__xludf.DUMMYFUNCTION("IF(ISBLANK(D19), 0, GOOGLEFINANCE(IF(ISBLANK(E19), D19, E19&amp;"":""&amp;D19), ""change""))"),1.71)</f>
        <v/>
      </c>
      <c r="J19" s="458">
        <f>IFERROR(__xludf.DUMMYFUNCTION("IF(ISBLANK(D19), 0, GOOGLEFINANCE(IF(ISBLANK(E19), D19, E19&amp;"":""&amp;D19), ""changepct"")/100)"),0.0046)</f>
        <v/>
      </c>
      <c r="K19" s="27" t="n">
        <v>1</v>
      </c>
      <c r="L19" s="469">
        <f>K19 * H19</f>
        <v/>
      </c>
      <c r="M19" s="333" t="n"/>
      <c r="N19" s="333" t="n"/>
      <c r="O19" s="35" t="n"/>
      <c r="P19" s="46" t="n"/>
      <c r="Q19" s="46" t="n"/>
      <c r="R19" s="46" t="n"/>
      <c r="S19" s="46" t="n"/>
      <c r="T19" s="46" t="n"/>
      <c r="U19" s="46" t="n"/>
      <c r="V19" s="46" t="n"/>
    </row>
    <row r="20" ht="17.25" customHeight="1" s="322">
      <c r="B20" s="334" t="n"/>
      <c r="C20" s="468" t="n"/>
      <c r="D20" s="455" t="inlineStr">
        <is>
          <t>LQD</t>
        </is>
      </c>
      <c r="E20" s="27" t="n"/>
      <c r="F20" s="27">
        <f>IFERROR(__xludf.DUMMYFUNCTION("IF(ISBLANK(D20), ""-"", GOOGLEFINANCE(IF(ISBLANK(E20), D20, E20&amp;"":""&amp;D20), ""name""))"),"iShares iBoxx $ Inv Grade Corporate Bond ETF")</f>
        <v/>
      </c>
      <c r="G20" s="456" t="n"/>
      <c r="H20" s="456">
        <f>IFERROR(__xludf.DUMMYFUNCTION("IF(ISBLANK(D20), 0, GOOGLEFINANCE(IF(ISBLANK(E20), D20, E20&amp;"":""&amp;D20), ""price""))"),106.22)</f>
        <v/>
      </c>
      <c r="I20" s="457">
        <f>IFERROR(__xludf.DUMMYFUNCTION("IF(ISBLANK(D20), 0, GOOGLEFINANCE(IF(ISBLANK(E20), D20, E20&amp;"":""&amp;D20), ""change""))"),-0.61)</f>
        <v/>
      </c>
      <c r="J20" s="458">
        <f>IFERROR(__xludf.DUMMYFUNCTION("IF(ISBLANK(D20), 0, GOOGLEFINANCE(IF(ISBLANK(E20), D20, E20&amp;"":""&amp;D20), ""changepct"")/100)"),-0.00569999999999999)</f>
        <v/>
      </c>
      <c r="K20" s="27" t="n">
        <v>1</v>
      </c>
      <c r="L20" s="469">
        <f>K20 * H20</f>
        <v/>
      </c>
      <c r="M20" s="333" t="n"/>
      <c r="N20" s="333" t="n"/>
      <c r="O20" s="35" t="n"/>
      <c r="P20" s="46" t="n"/>
      <c r="Q20" s="46" t="n"/>
      <c r="R20" s="46" t="n"/>
      <c r="S20" s="46" t="n"/>
      <c r="T20" s="46" t="n"/>
      <c r="U20" s="46" t="n"/>
      <c r="V20" s="46" t="n"/>
    </row>
    <row r="21" ht="17.25" customHeight="1" s="322">
      <c r="B21" s="334" t="n"/>
      <c r="C21" s="470" t="n"/>
      <c r="D21" s="455" t="inlineStr">
        <is>
          <t>HYG</t>
        </is>
      </c>
      <c r="E21" s="92" t="n"/>
      <c r="F21" s="92">
        <f>IFERROR(__xludf.DUMMYFUNCTION("IF(ISBLANK(D21), ""-"", GOOGLEFINANCE(IF(ISBLANK(E21), D21, E21&amp;"":""&amp;D21), ""name""))"),"iShares iBoxx $ High Yield Corporate Bond ETF")</f>
        <v/>
      </c>
      <c r="G21" s="471" t="n"/>
      <c r="H21" s="471">
        <f>IFERROR(__xludf.DUMMYFUNCTION("IF(ISBLANK(D21), 0, GOOGLEFINANCE(IF(ISBLANK(E21), D21, E21&amp;"":""&amp;D21), ""price""))"),79.24)</f>
        <v/>
      </c>
      <c r="I21" s="472">
        <f>IFERROR(__xludf.DUMMYFUNCTION("IF(ISBLANK(D21), 0, GOOGLEFINANCE(IF(ISBLANK(E21), D21, E21&amp;"":""&amp;D21), ""change""))"),-0.18)</f>
        <v/>
      </c>
      <c r="J21" s="473">
        <f>IFERROR(__xludf.DUMMYFUNCTION("IF(ISBLANK(D21), 0, GOOGLEFINANCE(IF(ISBLANK(E21), D21, E21&amp;"":""&amp;D21), ""changepct"")/100)"),-0.0023)</f>
        <v/>
      </c>
      <c r="K21" s="92" t="n">
        <v>1</v>
      </c>
      <c r="L21" s="474">
        <f>K21 * H21</f>
        <v/>
      </c>
      <c r="M21" s="333" t="n"/>
      <c r="N21" s="333" t="n"/>
      <c r="O21" s="35" t="n"/>
      <c r="P21" s="102" t="n"/>
      <c r="Q21" s="102" t="n"/>
      <c r="R21" s="102" t="n"/>
      <c r="S21" s="102" t="n"/>
      <c r="T21" s="104" t="n"/>
      <c r="U21" s="104" t="n"/>
      <c r="V21" s="335" t="n"/>
    </row>
    <row r="22" ht="17.25" customHeight="1" s="322">
      <c r="B22" s="461" t="n"/>
      <c r="C22" s="475" t="inlineStr">
        <is>
          <t>BAA
카나리아</t>
        </is>
      </c>
      <c r="D22" s="455" t="inlineStr">
        <is>
          <t>SPY</t>
        </is>
      </c>
      <c r="E22" s="27" t="n"/>
      <c r="F22" s="27">
        <f>IFERROR(__xludf.DUMMYFUNCTION("IF(ISBLANK(D22), ""-"", GOOGLEFINANCE(IF(ISBLANK(E22), D22, E22&amp;"":""&amp;D22), ""name""))"),"State Street SPDR S&amp;P 500 ETF Trust")</f>
        <v/>
      </c>
      <c r="G22" s="456" t="inlineStr">
        <is>
          <t>미국 주식</t>
        </is>
      </c>
      <c r="H22" s="456">
        <f>IFERROR(__xludf.DUMMYFUNCTION("IF(ISBLANK(D22), 0, GOOGLEFINANCE(IF(ISBLANK(E22), D22, E22&amp;"":""&amp;D22), ""price""))"),729.46)</f>
        <v/>
      </c>
      <c r="I22" s="457">
        <f>IFERROR(__xludf.DUMMYFUNCTION("IF(ISBLANK(D22), 0, GOOGLEFINANCE(IF(ISBLANK(E22), D22, E22&amp;"":""&amp;D22), ""change""))"),-11.4)</f>
        <v/>
      </c>
      <c r="J22" s="458">
        <f>IFERROR(__xludf.DUMMYFUNCTION("IF(ISBLANK(D22), 0, GOOGLEFINANCE(IF(ISBLANK(E22), D22, E22&amp;"":""&amp;D22), ""changepct"")/100)"),-0.0154)</f>
        <v/>
      </c>
      <c r="K22" s="27" t="n">
        <v>1</v>
      </c>
      <c r="L22" s="469">
        <f>K22 * H22</f>
        <v/>
      </c>
      <c r="M22" s="333" t="n"/>
      <c r="N22" s="333" t="n"/>
      <c r="O22" s="35">
        <f>(P22*12)+(Q22*4)+(R22*2)+(S22*1)</f>
        <v/>
      </c>
      <c r="P22" s="102">
        <f>(SPY!$F$278-SPY!$F$256)/SPY!$F$256</f>
        <v/>
      </c>
      <c r="Q22" s="102">
        <f>(SPY!$F$278-SPY!$F$214)/SPY!$F$214</f>
        <v/>
      </c>
      <c r="R22" s="102">
        <f>(SPY!$F$278-SPY!$F$151)/SPY!$F$151</f>
        <v/>
      </c>
      <c r="S22" s="102">
        <f>(SPY!$F$278-SPY!$F$28)/SPY!$F$28</f>
        <v/>
      </c>
      <c r="T22" s="104" t="n"/>
      <c r="U22" s="104" t="n"/>
      <c r="V22" s="476" t="inlineStr">
        <is>
          <t xml:space="preserve">모멘텀 스코어가 0이하인 ETF가 하나라도 있으면 공격자산 투자중단-&gt;안전자산으로 이동 </t>
        </is>
      </c>
    </row>
    <row r="23" ht="17.25" customHeight="1" s="322">
      <c r="C23" s="468" t="n"/>
      <c r="D23" s="455" t="inlineStr">
        <is>
          <t>EFA</t>
        </is>
      </c>
      <c r="E23" s="27" t="n"/>
      <c r="F23" s="27">
        <f>IFERROR(__xludf.DUMMYFUNCTION("IF(ISBLANK(D23), ""-"", GOOGLEFINANCE(IF(ISBLANK(E23), D23, E23&amp;"":""&amp;D23), ""name""))"),"iShares MSCI EAFE ETF")</f>
        <v/>
      </c>
      <c r="G23" s="456" t="inlineStr">
        <is>
          <t>선진국 주식</t>
        </is>
      </c>
      <c r="H23" s="456">
        <f>IFERROR(__xludf.DUMMYFUNCTION("IF(ISBLANK(D23), 0, GOOGLEFINANCE(IF(ISBLANK(E23), D23, E23&amp;"":""&amp;D23), ""price""))"),103.37)</f>
        <v/>
      </c>
      <c r="I23" s="457">
        <f>IFERROR(__xludf.DUMMYFUNCTION("IF(ISBLANK(D23), 0, GOOGLEFINANCE(IF(ISBLANK(E23), D23, E23&amp;"":""&amp;D23), ""change""))"),-0.52)</f>
        <v/>
      </c>
      <c r="J23" s="458">
        <f>IFERROR(__xludf.DUMMYFUNCTION("IF(ISBLANK(D23), 0, GOOGLEFINANCE(IF(ISBLANK(E23), D23, E23&amp;"":""&amp;D23), ""changepct"")/100)"),-0.005)</f>
        <v/>
      </c>
      <c r="K23" s="27" t="n">
        <v>1</v>
      </c>
      <c r="L23" s="469">
        <f>K23 * H23</f>
        <v/>
      </c>
      <c r="M23" s="333" t="n"/>
      <c r="N23" s="333" t="n"/>
      <c r="O23" s="35">
        <f>(P23*12)+(Q23*4)+(R23*2)+(S23*1)</f>
        <v/>
      </c>
      <c r="P23" s="102">
        <f>(EFA!$F$278-EFA!$F$256)/EFA!$F$256</f>
        <v/>
      </c>
      <c r="Q23" s="129">
        <f>(EFA!$F$278-EFA!$F$214)/EFA!$F$214</f>
        <v/>
      </c>
      <c r="R23" s="102">
        <f>(EFA!$F$278-EFA!$F$151)/EFA!$F$151</f>
        <v/>
      </c>
      <c r="S23" s="102">
        <f>(EFA!$F$278-EFA!$F$28)/EFA!$F$28</f>
        <v/>
      </c>
      <c r="T23" s="104" t="n"/>
      <c r="U23" s="104" t="n"/>
    </row>
    <row r="24" ht="17.25" customHeight="1" s="322">
      <c r="C24" s="468" t="n"/>
      <c r="D24" s="455" t="inlineStr">
        <is>
          <t>EEM</t>
        </is>
      </c>
      <c r="E24" s="27" t="n"/>
      <c r="F24" s="27">
        <f>IFERROR(__xludf.DUMMYFUNCTION("IF(ISBLANK(D24), ""-"", GOOGLEFINANCE(IF(ISBLANK(E24), D24, E24&amp;"":""&amp;D24), ""name""))"),"iShares MSCI Emerging Markets ETF")</f>
        <v/>
      </c>
      <c r="G24" s="456" t="inlineStr">
        <is>
          <t>개발도상국</t>
        </is>
      </c>
      <c r="H24" s="456">
        <f>IFERROR(__xludf.DUMMYFUNCTION("IF(ISBLANK(D24), 0, GOOGLEFINANCE(IF(ISBLANK(E24), D24, E24&amp;"":""&amp;D24), ""price""))"),61.07)</f>
        <v/>
      </c>
      <c r="I24" s="457">
        <f>IFERROR(__xludf.DUMMYFUNCTION("IF(ISBLANK(D24), 0, GOOGLEFINANCE(IF(ISBLANK(E24), D24, E24&amp;"":""&amp;D24), ""change""))"),-1.29)</f>
        <v/>
      </c>
      <c r="J24" s="458">
        <f>IFERROR(__xludf.DUMMYFUNCTION("IF(ISBLANK(D24), 0, GOOGLEFINANCE(IF(ISBLANK(E24), D24, E24&amp;"":""&amp;D24), ""changepct"")/100)"),-0.0207)</f>
        <v/>
      </c>
      <c r="K24" s="27" t="n">
        <v>1</v>
      </c>
      <c r="L24" s="469">
        <f>K24 * H24</f>
        <v/>
      </c>
      <c r="M24" s="333" t="n"/>
      <c r="N24" s="333" t="n"/>
      <c r="O24" s="35">
        <f>(P24*12)+(Q24*4)+(R24*2)+(S24*1)</f>
        <v/>
      </c>
      <c r="P24" s="102">
        <f>(EEM!F278-EEM!F256)/EEM!F256</f>
        <v/>
      </c>
      <c r="Q24" s="102">
        <f>(EEM!F278-EEM!F214)/EEM!F214</f>
        <v/>
      </c>
      <c r="R24" s="102">
        <f>(EEM!F278-EEM!F151)/EEM!F151</f>
        <v/>
      </c>
      <c r="S24" s="102">
        <f>(EEM!F278-EEM!F28)/EEM!F28</f>
        <v/>
      </c>
      <c r="T24" s="104" t="n"/>
      <c r="U24" s="104" t="n"/>
    </row>
    <row r="25" ht="17.25" customHeight="1" s="322">
      <c r="C25" s="468" t="n"/>
      <c r="D25" s="455" t="inlineStr">
        <is>
          <t>AGG</t>
        </is>
      </c>
      <c r="E25" s="27" t="n"/>
      <c r="F25" s="27">
        <f>IFERROR(__xludf.DUMMYFUNCTION("IF(ISBLANK(D25), ""-"", GOOGLEFINANCE(IF(ISBLANK(E25), D25, E25&amp;"":""&amp;D25), ""name""))"),"iShares Core US Aggregate Bond ETF")</f>
        <v/>
      </c>
      <c r="G25" s="456" t="inlineStr">
        <is>
          <t>혼합채권</t>
        </is>
      </c>
      <c r="H25" s="456">
        <f>IFERROR(__xludf.DUMMYFUNCTION("IF(ISBLANK(D25), 0, GOOGLEFINANCE(IF(ISBLANK(E25), D25, E25&amp;"":""&amp;D25), ""price""))"),97.55)</f>
        <v/>
      </c>
      <c r="I25" s="457">
        <f>IFERROR(__xludf.DUMMYFUNCTION("IF(ISBLANK(D25), 0, GOOGLEFINANCE(IF(ISBLANK(E25), D25, E25&amp;"":""&amp;D25), ""change""))"),-0.37)</f>
        <v/>
      </c>
      <c r="J25" s="458">
        <f>IFERROR(__xludf.DUMMYFUNCTION("IF(ISBLANK(D25), 0, GOOGLEFINANCE(IF(ISBLANK(E25), D25, E25&amp;"":""&amp;D25), ""changepct"")/100)"),-0.0038)</f>
        <v/>
      </c>
      <c r="K25" s="27" t="n">
        <v>1</v>
      </c>
      <c r="L25" s="469">
        <f>K25 * H25</f>
        <v/>
      </c>
      <c r="M25" s="333" t="n"/>
      <c r="N25" s="333" t="n"/>
      <c r="O25" s="35">
        <f>(P25*12)+(Q25*4)+(R25*2)+(S25*1)</f>
        <v/>
      </c>
      <c r="P25" s="102">
        <f>(AGG!F278-AGG!F256)/AGG!F256</f>
        <v/>
      </c>
      <c r="Q25" s="102">
        <f>(AGG!F278-AGG!F214)/AGG!F214</f>
        <v/>
      </c>
      <c r="R25" s="102">
        <f>(AGG!F278-AGG!F151)/AGG!F151</f>
        <v/>
      </c>
      <c r="S25" s="102">
        <f>(AGG!F278-AGG!F28)/AGG!F28</f>
        <v/>
      </c>
      <c r="T25" s="104" t="n"/>
      <c r="U25" s="104" t="n"/>
    </row>
    <row r="26" ht="17.25" customHeight="1" s="322">
      <c r="C26" s="470" t="n"/>
      <c r="D26" s="455" t="inlineStr">
        <is>
          <t>QQQ</t>
        </is>
      </c>
      <c r="E26" s="92" t="n"/>
      <c r="F26" s="92">
        <f>IFERROR(__xludf.DUMMYFUNCTION("IF(ISBLANK(D26), ""-"", GOOGLEFINANCE(IF(ISBLANK(E26), D26, E26&amp;"":""&amp;D26), ""name""))"),"Invesco QQQ Trust, Series 1")</f>
        <v/>
      </c>
      <c r="G26" s="471" t="inlineStr">
        <is>
          <t>미국 주식</t>
        </is>
      </c>
      <c r="H26" s="471">
        <f>IFERROR(__xludf.DUMMYFUNCTION("IF(ISBLANK(D26), 0, GOOGLEFINANCE(IF(ISBLANK(E26), D26, E26&amp;"":""&amp;D26), ""price""))"),661.73)</f>
        <v/>
      </c>
      <c r="I26" s="472">
        <f>IFERROR(__xludf.DUMMYFUNCTION("IF(ISBLANK(D26), 0, GOOGLEFINANCE(IF(ISBLANK(E26), D26, E26&amp;"":""&amp;D26), ""change""))"),-13.76)</f>
        <v/>
      </c>
      <c r="J26" s="473">
        <f>IFERROR(__xludf.DUMMYFUNCTION("IF(ISBLANK(D26), 0, GOOGLEFINANCE(IF(ISBLANK(E26), D26, E26&amp;"":""&amp;D26), ""changepct"")/100)"),-0.0204)</f>
        <v/>
      </c>
      <c r="K26" s="92" t="n">
        <v>1</v>
      </c>
      <c r="L26" s="474">
        <f>K26 * H26</f>
        <v/>
      </c>
      <c r="M26" s="333" t="n"/>
      <c r="N26" s="333" t="n"/>
      <c r="O26" s="35" t="n"/>
      <c r="P26" s="102" t="n"/>
      <c r="Q26" s="102" t="n"/>
      <c r="R26" s="102" t="n"/>
      <c r="S26" s="102" t="n"/>
      <c r="T26" s="104" t="n"/>
      <c r="U26" s="104" t="n"/>
      <c r="V26" s="335" t="n"/>
    </row>
    <row r="27" ht="17.25" customHeight="1" s="322">
      <c r="C27" s="477" t="inlineStr">
        <is>
          <t>BAA
안전자산</t>
        </is>
      </c>
      <c r="D27" s="455" t="inlineStr">
        <is>
          <t>LQD</t>
        </is>
      </c>
      <c r="E27" s="39" t="n"/>
      <c r="F27" s="39">
        <f>IFERROR(__xludf.DUMMYFUNCTION("IF(ISBLANK(D27), ""-"", GOOGLEFINANCE(IF(ISBLANK(E27), D27, E27&amp;"":""&amp;D27), ""name""))"),"iShares iBoxx $ Inv Grade Corporate Bond ETF")</f>
        <v/>
      </c>
      <c r="G27" s="463" t="inlineStr">
        <is>
          <t>미국회사채</t>
        </is>
      </c>
      <c r="H27" s="463">
        <f>IFERROR(__xludf.DUMMYFUNCTION("IF(ISBLANK(D27), 0, GOOGLEFINANCE(IF(ISBLANK(E27), D27, E27&amp;"":""&amp;D27), ""price""))"),106.22)</f>
        <v/>
      </c>
      <c r="I27" s="464">
        <f>IFERROR(__xludf.DUMMYFUNCTION("IF(ISBLANK(D27), 0, GOOGLEFINANCE(IF(ISBLANK(E27), D27, E27&amp;"":""&amp;D27), ""change""))"),-0.61)</f>
        <v/>
      </c>
      <c r="J27" s="465">
        <f>IFERROR(__xludf.DUMMYFUNCTION("IF(ISBLANK(D27), 0, GOOGLEFINANCE(IF(ISBLANK(E27), D27, E27&amp;"":""&amp;D27), ""changepct"")/100)"),-0.00569999999999999)</f>
        <v/>
      </c>
      <c r="K27" s="39" t="n">
        <v>1</v>
      </c>
      <c r="L27" s="466">
        <f>K27 * H27</f>
        <v/>
      </c>
      <c r="M27" s="467" t="n"/>
      <c r="N27" s="333" t="n"/>
      <c r="O27" s="35">
        <f>(P27*12)+(Q27*4)+(R27*2)+(S27*1)</f>
        <v/>
      </c>
      <c r="P27" s="153">
        <f>(LQD!F278-LQD!F256)/LQD!F256</f>
        <v/>
      </c>
      <c r="Q27" s="46">
        <f>(LQD!F278-LQD!F214)/LQD!F214</f>
        <v/>
      </c>
      <c r="R27" s="46">
        <f>(LQD!F278-LQD!F151)/LQD!F151</f>
        <v/>
      </c>
      <c r="S27" s="46">
        <f>(LQD!F278-LQD!F28)/LQD!F28</f>
        <v/>
      </c>
      <c r="T27" s="169" t="n"/>
      <c r="U27" s="478" t="n"/>
      <c r="V27" s="479" t="inlineStr">
        <is>
          <t>현재가격/12개월 이동평균이 높은 3개에 투자
But,현재가격이 이동평균보다 낮으면 현금으로 보유</t>
        </is>
      </c>
    </row>
    <row r="28" ht="17.25" customHeight="1" s="322">
      <c r="C28" s="468" t="n"/>
      <c r="D28" s="455" t="inlineStr">
        <is>
          <t>IEF</t>
        </is>
      </c>
      <c r="E28" s="27" t="n"/>
      <c r="F28" s="27">
        <f>IFERROR(__xludf.DUMMYFUNCTION("IF(ISBLANK(D28), ""-"", GOOGLEFINANCE(IF(ISBLANK(E28), D28, E28&amp;"":""&amp;D28), ""name""))"),"iShares 7-10 Year Treasury Bond ETF")</f>
        <v/>
      </c>
      <c r="G28" s="456" t="inlineStr">
        <is>
          <t>미국중기국채</t>
        </is>
      </c>
      <c r="H28" s="456">
        <f>IFERROR(__xludf.DUMMYFUNCTION("IF(ISBLANK(D28), 0, GOOGLEFINANCE(IF(ISBLANK(E28), D28, E28&amp;"":""&amp;D28), ""price""))"),93.17)</f>
        <v/>
      </c>
      <c r="I28" s="457">
        <f>IFERROR(__xludf.DUMMYFUNCTION("IF(ISBLANK(D28), 0, GOOGLEFINANCE(IF(ISBLANK(E28), D28, E28&amp;"":""&amp;D28), ""change""))"),-0.39)</f>
        <v/>
      </c>
      <c r="J28" s="458">
        <f>IFERROR(__xludf.DUMMYFUNCTION("IF(ISBLANK(D28), 0, GOOGLEFINANCE(IF(ISBLANK(E28), D28, E28&amp;"":""&amp;D28), ""changepct"")/100)"),-0.0042)</f>
        <v/>
      </c>
      <c r="K28" s="27" t="n">
        <v>1</v>
      </c>
      <c r="L28" s="469">
        <f>K28 * H28</f>
        <v/>
      </c>
      <c r="N28" s="333" t="n"/>
      <c r="O28" s="35">
        <f>(P28*12)+(Q28*4)+(R28*2)+(S28*1)</f>
        <v/>
      </c>
      <c r="P28" s="46">
        <f>(IEF!F278-IEF!F256)/IEF!F256</f>
        <v/>
      </c>
      <c r="Q28" s="46">
        <f>(IEF!F278-IEF!F214)/IEF!F214</f>
        <v/>
      </c>
      <c r="R28" s="46">
        <f>(IEF!F278-IEF!F151)/IEF!F151</f>
        <v/>
      </c>
      <c r="S28" s="46">
        <f>(IEF!F278-IEF!F28)/IEF!F28</f>
        <v/>
      </c>
      <c r="T28" s="169" t="n"/>
      <c r="U28" s="478" t="n"/>
    </row>
    <row r="29" ht="17.25" customHeight="1" s="322">
      <c r="C29" s="468" t="n"/>
      <c r="D29" s="455" t="inlineStr">
        <is>
          <t>BIL</t>
        </is>
      </c>
      <c r="E29" s="27" t="n"/>
      <c r="F29" s="27">
        <f>IFERROR(__xludf.DUMMYFUNCTION("IF(ISBLANK(D29), ""-"", GOOGLEFINANCE(IF(ISBLANK(E29), D29, E29&amp;"":""&amp;D29), ""name""))"),"State Street SPDR Bloomberg 1-3 Month T-Bill ETF")</f>
        <v/>
      </c>
      <c r="G29" s="456" t="inlineStr">
        <is>
          <t>미국초단기채권</t>
        </is>
      </c>
      <c r="H29" s="456">
        <f>IFERROR(__xludf.DUMMYFUNCTION("IF(ISBLANK(D29), 0, GOOGLEFINANCE(IF(ISBLANK(E29), D29, E29&amp;"":""&amp;D29), ""price""))"),91.64)</f>
        <v/>
      </c>
      <c r="I29" s="457">
        <f>IFERROR(__xludf.DUMMYFUNCTION("IF(ISBLANK(D29), 0, GOOGLEFINANCE(IF(ISBLANK(E29), D29, E29&amp;"":""&amp;D29), ""change""))"),0.01)</f>
        <v/>
      </c>
      <c r="J29" s="458">
        <f>IFERROR(__xludf.DUMMYFUNCTION("IF(ISBLANK(D29), 0, GOOGLEFINANCE(IF(ISBLANK(E29), D29, E29&amp;"":""&amp;D29), ""changepct"")/100)"),0.0001)</f>
        <v/>
      </c>
      <c r="K29" s="27" t="n">
        <v>1</v>
      </c>
      <c r="L29" s="469">
        <f>K29 * H29</f>
        <v/>
      </c>
      <c r="O29" s="35">
        <f>(P29*12)+(Q29*4)+(R29*2)+(S29*1)</f>
        <v/>
      </c>
      <c r="P29" s="46">
        <f>(BIL!$F$278-BIL!$F$256)/BIL!$F$256</f>
        <v/>
      </c>
      <c r="Q29" s="46">
        <f>(BIL!$F$278-BIL!$F$214)/BIL!$F$214</f>
        <v/>
      </c>
      <c r="R29" s="46">
        <f>(BIL!$F$278-BIL!$F$151)/BIL!$F$151</f>
        <v/>
      </c>
      <c r="S29" s="46">
        <f>(BIL!$F$278-BIL!$F$28)/BIL!$F$28</f>
        <v/>
      </c>
      <c r="T29" s="169" t="n"/>
      <c r="U29" s="478" t="n"/>
    </row>
    <row r="30" ht="17.25" customHeight="1" s="322">
      <c r="C30" s="468" t="n"/>
      <c r="D30" s="455" t="inlineStr">
        <is>
          <t>TLT</t>
        </is>
      </c>
      <c r="E30" s="27" t="n"/>
      <c r="F30" s="27">
        <f>IFERROR(__xludf.DUMMYFUNCTION("IF(ISBLANK(D30), ""-"", GOOGLEFINANCE(IF(ISBLANK(E30), D30, E30&amp;"":""&amp;D30), ""name""))"),"iShares 20+ Year Treasury Bond ETF")</f>
        <v/>
      </c>
      <c r="G30" s="456" t="inlineStr">
        <is>
          <t>미국장기국채</t>
        </is>
      </c>
      <c r="H30" s="456">
        <f>IFERROR(__xludf.DUMMYFUNCTION("IF(ISBLANK(D30), 0, GOOGLEFINANCE(IF(ISBLANK(E30), D30, E30&amp;"":""&amp;D30), ""price""))"),82.85)</f>
        <v/>
      </c>
      <c r="I30" s="457">
        <f>IFERROR(__xludf.DUMMYFUNCTION("IF(ISBLANK(D30), 0, GOOGLEFINANCE(IF(ISBLANK(E30), D30, E30&amp;"":""&amp;D30), ""change""))"),-1.39)</f>
        <v/>
      </c>
      <c r="J30" s="458">
        <f>IFERROR(__xludf.DUMMYFUNCTION("IF(ISBLANK(D30), 0, GOOGLEFINANCE(IF(ISBLANK(E30), D30, E30&amp;"":""&amp;D30), ""changepct"")/100)"),-0.0165)</f>
        <v/>
      </c>
      <c r="K30" s="27" t="n">
        <v>1</v>
      </c>
      <c r="L30" s="469">
        <f>K30 * H30</f>
        <v/>
      </c>
      <c r="O30" s="35">
        <f>(P30*12)+(Q30*4)+(R30*2)+(S30*1)</f>
        <v/>
      </c>
      <c r="P30" s="46">
        <f>(TLT!$F$278-TLT!$F$256)/TLT!$F$256</f>
        <v/>
      </c>
      <c r="Q30" s="46">
        <f>(TLT!$F$278-TLT!$F$214)/TLT!$F$214</f>
        <v/>
      </c>
      <c r="R30" s="46">
        <f>(TLT!$F$278-TLT!$F$151)/TLT!$F$151</f>
        <v/>
      </c>
      <c r="S30" s="46">
        <f>(TLT!$F$278-TLT!$F$28)/TLT!$F$28</f>
        <v/>
      </c>
      <c r="T30" s="169" t="n"/>
      <c r="U30" s="478" t="n"/>
    </row>
    <row r="31" ht="17.25" customHeight="1" s="322">
      <c r="B31" s="27" t="n"/>
      <c r="C31" s="468" t="n"/>
      <c r="D31" s="455" t="inlineStr">
        <is>
          <t>TIP</t>
        </is>
      </c>
      <c r="E31" s="27" t="n"/>
      <c r="F31" s="27">
        <f>IFERROR(__xludf.DUMMYFUNCTION("IF(ISBLANK(D31), ""-"", GOOGLEFINANCE(IF(ISBLANK(E31), D31, E31&amp;"":""&amp;D31), ""name""))"),"iShares TIPS Bond ETF")</f>
        <v/>
      </c>
      <c r="G31" s="456" t="inlineStr">
        <is>
          <t>미국물가연동채</t>
        </is>
      </c>
      <c r="H31" s="456">
        <f>IFERROR(__xludf.DUMMYFUNCTION("IF(ISBLANK(D31), 0, GOOGLEFINANCE(IF(ISBLANK(E31), D31, E31&amp;"":""&amp;D31), ""price""))"),107.77)</f>
        <v/>
      </c>
      <c r="I31" s="457">
        <f>IFERROR(__xludf.DUMMYFUNCTION("IF(ISBLANK(D31), 0, GOOGLEFINANCE(IF(ISBLANK(E31), D31, E31&amp;"":""&amp;D31), ""change""))"),0.11)</f>
        <v/>
      </c>
      <c r="J31" s="458">
        <f>IFERROR(__xludf.DUMMYFUNCTION("IF(ISBLANK(D31), 0, GOOGLEFINANCE(IF(ISBLANK(E31), D31, E31&amp;"":""&amp;D31), ""changepct"")/100)"),0.001)</f>
        <v/>
      </c>
      <c r="K31" s="27" t="n">
        <v>1</v>
      </c>
      <c r="L31" s="469">
        <f>K31 * H31</f>
        <v/>
      </c>
      <c r="M31" s="34" t="n"/>
      <c r="N31" s="34" t="n"/>
      <c r="O31" s="35">
        <f>(P31*12)+(Q31*4)+(R31*2)+(S31*1)</f>
        <v/>
      </c>
      <c r="P31" s="46">
        <f>(TIP!$F$278-TIP!$F$256)/TIP!$F$256</f>
        <v/>
      </c>
      <c r="Q31" s="46">
        <f>(TIP!$F$278-TIP!$F$214)/TIP!$F$214</f>
        <v/>
      </c>
      <c r="R31" s="46">
        <f>(TIP!$F$278-TIP!$F$151)/TIP!$F$151</f>
        <v/>
      </c>
      <c r="S31" s="46">
        <f>(TIP!$F$278-TIP!$F$28)/TIP!$F$28</f>
        <v/>
      </c>
      <c r="T31" s="169" t="n"/>
      <c r="U31" s="478" t="n"/>
    </row>
    <row r="32" ht="17.25" customHeight="1" s="322">
      <c r="B32" s="27" t="n"/>
      <c r="C32" s="468" t="n"/>
      <c r="D32" s="455" t="inlineStr">
        <is>
          <t>BND</t>
        </is>
      </c>
      <c r="E32" s="27" t="n"/>
      <c r="F32" s="27">
        <f>IFERROR(__xludf.DUMMYFUNCTION("IF(ISBLANK(D32), ""-"", GOOGLEFINANCE(IF(ISBLANK(E32), D32, E32&amp;"":""&amp;D32), ""name""))"),"Vanguard Total Bond Market Index Fund ETF")</f>
        <v/>
      </c>
      <c r="G32" s="456" t="inlineStr">
        <is>
          <t>미국잡채권</t>
        </is>
      </c>
      <c r="H32" s="456">
        <f>IFERROR(__xludf.DUMMYFUNCTION("IF(ISBLANK(D32), 0, GOOGLEFINANCE(IF(ISBLANK(E32), D32, E32&amp;"":""&amp;D32), ""price""))"),72.38)</f>
        <v/>
      </c>
      <c r="I32" s="457">
        <f>IFERROR(__xludf.DUMMYFUNCTION("IF(ISBLANK(D32), 0, GOOGLEFINANCE(IF(ISBLANK(E32), D32, E32&amp;"":""&amp;D32), ""change""))"),-0.26)</f>
        <v/>
      </c>
      <c r="J32" s="458">
        <f>IFERROR(__xludf.DUMMYFUNCTION("IF(ISBLANK(D32), 0, GOOGLEFINANCE(IF(ISBLANK(E32), D32, E32&amp;"":""&amp;D32), ""changepct"")/100)"),-0.0036)</f>
        <v/>
      </c>
      <c r="K32" s="27" t="n">
        <v>1</v>
      </c>
      <c r="L32" s="469">
        <f>K32 * H32</f>
        <v/>
      </c>
      <c r="M32" s="34" t="n"/>
      <c r="N32" s="34" t="n"/>
      <c r="O32" s="35">
        <f>(P32*12)+(Q32*4)+(R32*2)+(S32*1)</f>
        <v/>
      </c>
      <c r="P32" s="46">
        <f>(BND!$F$278-BND!$F$256)/BND!$F$256</f>
        <v/>
      </c>
      <c r="Q32" s="46">
        <f>(BND!$F$278-BND!$F$214)/BND!$F$214</f>
        <v/>
      </c>
      <c r="R32" s="46">
        <f>(BND!$F$278-BND!$F$151)/BND!$F$151</f>
        <v/>
      </c>
      <c r="S32" s="46">
        <f>(BND!$F$278-BND!$F$28)/BND!$F$28</f>
        <v/>
      </c>
      <c r="T32" s="169" t="n"/>
      <c r="U32" s="478" t="n"/>
    </row>
    <row r="33" ht="17.25" customHeight="1" s="322">
      <c r="B33" s="27" t="n"/>
      <c r="C33" s="470" t="n"/>
      <c r="D33" s="455" t="inlineStr">
        <is>
          <t>DBC</t>
        </is>
      </c>
      <c r="E33" s="92" t="n"/>
      <c r="F33" s="92">
        <f>IFERROR(__xludf.DUMMYFUNCTION("IF(ISBLANK(D33), ""-"", GOOGLEFINANCE(IF(ISBLANK(E33), D33, E33&amp;"":""&amp;D33), ""name""))"),"Invesco DB Commodity Index Tracking Fund")</f>
        <v/>
      </c>
      <c r="G33" s="471" t="inlineStr">
        <is>
          <t>원자재</t>
        </is>
      </c>
      <c r="H33" s="471">
        <f>IFERROR(__xludf.DUMMYFUNCTION("IF(ISBLANK(D33), 0, GOOGLEFINANCE(IF(ISBLANK(E33), D33, E33&amp;"":""&amp;D33), ""price""))"),29.42)</f>
        <v/>
      </c>
      <c r="I33" s="472">
        <f>IFERROR(__xludf.DUMMYFUNCTION("IF(ISBLANK(D33), 0, GOOGLEFINANCE(IF(ISBLANK(E33), D33, E33&amp;"":""&amp;D33), ""change""))"),0.82)</f>
        <v/>
      </c>
      <c r="J33" s="473">
        <f>IFERROR(__xludf.DUMMYFUNCTION("IF(ISBLANK(D33), 0, GOOGLEFINANCE(IF(ISBLANK(E33), D33, E33&amp;"":""&amp;D33), ""changepct"")/100)"),0.0287)</f>
        <v/>
      </c>
      <c r="K33" s="92" t="n">
        <v>1</v>
      </c>
      <c r="L33" s="474">
        <f>K33 * H33</f>
        <v/>
      </c>
      <c r="M33" s="34" t="n"/>
      <c r="N33" s="34" t="n"/>
      <c r="O33" s="35">
        <f>(P33*12)+(Q33*4)+(R33*2)+(S33*1)</f>
        <v/>
      </c>
      <c r="P33" s="46">
        <f>(DBC!$F$278-DBC!$F$256)/DBC!$F$256</f>
        <v/>
      </c>
      <c r="Q33" s="46">
        <f>(DBC!$F$278-DBC!$F$214)/DBC!$F$214</f>
        <v/>
      </c>
      <c r="R33" s="46">
        <f>(DBC!$F$278-DBC!$F$151)/DBC!$F$151</f>
        <v/>
      </c>
      <c r="S33" s="46">
        <f>(DBC!$F$278-DBC!$F$28)/DBC!$F$28</f>
        <v/>
      </c>
      <c r="T33" s="169" t="n"/>
      <c r="U33" s="478" t="n"/>
    </row>
    <row r="34" ht="17.25" customHeight="1" s="322">
      <c r="B34" s="27" t="n"/>
      <c r="D34" s="27" t="n"/>
      <c r="E34" s="27" t="n"/>
      <c r="F34" s="27" t="n"/>
      <c r="G34" s="456" t="n"/>
      <c r="H34" s="456" t="n"/>
      <c r="I34" s="457" t="n"/>
      <c r="J34" s="458" t="n"/>
      <c r="K34" s="27" t="n"/>
      <c r="L34" s="459" t="n"/>
      <c r="M34" s="34" t="n"/>
      <c r="N34" s="34" t="n"/>
      <c r="O34" s="35" t="n"/>
      <c r="P34" s="46" t="n"/>
      <c r="Q34" s="46" t="n"/>
      <c r="R34" s="187" t="n"/>
      <c r="S34" s="46" t="n"/>
      <c r="T34" s="188" t="n"/>
    </row>
    <row r="35" ht="17.25" customHeight="1" s="322">
      <c r="B35" s="27" t="n"/>
      <c r="D35" s="27" t="n"/>
      <c r="E35" s="27" t="n"/>
      <c r="F35" s="27" t="n"/>
      <c r="G35" s="456" t="n"/>
      <c r="H35" s="456" t="n"/>
      <c r="I35" s="457" t="n"/>
      <c r="J35" s="458" t="n"/>
      <c r="K35" s="27" t="n"/>
      <c r="L35" s="459" t="n"/>
      <c r="M35" s="34" t="n"/>
      <c r="N35" s="34" t="n"/>
      <c r="O35" s="35" t="n"/>
      <c r="P35" s="46" t="n"/>
      <c r="Q35" s="46" t="n"/>
      <c r="R35" s="187" t="n"/>
      <c r="S35" s="46" t="n"/>
    </row>
    <row r="36" ht="17.25" customHeight="1" s="322">
      <c r="A36" s="467" t="inlineStr">
        <is>
          <t>변형듀얼모멘텀</t>
        </is>
      </c>
      <c r="B36" s="461" t="n"/>
      <c r="C36" s="333" t="inlineStr">
        <is>
          <t>공격자산</t>
        </is>
      </c>
      <c r="D36" s="455" t="inlineStr">
        <is>
          <t>SPY</t>
        </is>
      </c>
      <c r="E36" s="27" t="n"/>
      <c r="F36" s="27">
        <f>IFERROR(__xludf.DUMMYFUNCTION("IF(ISBLANK(D36), ""-"", GOOGLEFINANCE(IF(ISBLANK(E36), D36, E36&amp;"":""&amp;D36), ""name""))"),"State Street SPDR S&amp;P 500 ETF Trust")</f>
        <v/>
      </c>
      <c r="G36" s="456" t="inlineStr">
        <is>
          <t>미국 주식</t>
        </is>
      </c>
      <c r="H36" s="456">
        <f>IFERROR(__xludf.DUMMYFUNCTION("IF(ISBLANK(D36), 0, GOOGLEFINANCE(IF(ISBLANK(E36), D36, E36&amp;"":""&amp;D36), ""price""))"),729.46)</f>
        <v/>
      </c>
      <c r="I36" s="457">
        <f>IFERROR(__xludf.DUMMYFUNCTION("IF(ISBLANK(D36), 0, GOOGLEFINANCE(IF(ISBLANK(E36), D36, E36&amp;"":""&amp;D36), ""change""))"),-11.4)</f>
        <v/>
      </c>
      <c r="J36" s="458">
        <f>IFERROR(__xludf.DUMMYFUNCTION("IF(ISBLANK(D36), 0, GOOGLEFINANCE(IF(ISBLANK(E36), D36, E36&amp;"":""&amp;D36), ""changepct"")/100)"),-0.0154)</f>
        <v/>
      </c>
      <c r="K36" s="27" t="n">
        <v>1</v>
      </c>
      <c r="L36" s="459">
        <f>K36 * H36</f>
        <v/>
      </c>
      <c r="M36" s="333" t="n"/>
      <c r="N36" s="333" t="n"/>
      <c r="O36" s="35">
        <f>(P36*12)+(Q36*4)+(R36*2)+(S36*1)</f>
        <v/>
      </c>
      <c r="P36" s="104">
        <f>(SPY!$F$278-SPY!$F$256)/SPY!$F$256</f>
        <v/>
      </c>
      <c r="Q36" s="104">
        <f>(SPY!$F$278-SPY!$F$214)/SPY!$F$214</f>
        <v/>
      </c>
      <c r="R36" s="104">
        <f>(SPY!$F$278-SPY!$F$151)/SPY!$F$151</f>
        <v/>
      </c>
      <c r="S36" s="194">
        <f>(SPY!$F$278-SPY!$F$28)/SPY!$F$28</f>
        <v/>
      </c>
      <c r="T36" s="335" t="n"/>
      <c r="U36" s="335" t="n"/>
      <c r="V36" s="476" t="inlineStr">
        <is>
          <t xml:space="preserve">둘중 높은자산에 투자
But, 1년 수익이 0 이하면 </t>
        </is>
      </c>
    </row>
    <row r="37" ht="17.25" customHeight="1" s="322">
      <c r="C37" s="333" t="n"/>
      <c r="D37" s="455" t="inlineStr">
        <is>
          <t>EFA</t>
        </is>
      </c>
      <c r="E37" s="27" t="n"/>
      <c r="F37" s="27">
        <f>IFERROR(__xludf.DUMMYFUNCTION("IF(ISBLANK(D37), ""-"", GOOGLEFINANCE(IF(ISBLANK(E37), D37, E37&amp;"":""&amp;D37), ""name""))"),"iShares MSCI EAFE ETF")</f>
        <v/>
      </c>
      <c r="G37" s="456" t="n"/>
      <c r="H37" s="456">
        <f>IFERROR(__xludf.DUMMYFUNCTION("IF(ISBLANK(D37), 0, GOOGLEFINANCE(IF(ISBLANK(E37), D37, E37&amp;"":""&amp;D37), ""price""))"),103.37)</f>
        <v/>
      </c>
      <c r="I37" s="457">
        <f>IFERROR(__xludf.DUMMYFUNCTION("IF(ISBLANK(D37), 0, GOOGLEFINANCE(IF(ISBLANK(E37), D37, E37&amp;"":""&amp;D37), ""change""))"),-0.52)</f>
        <v/>
      </c>
      <c r="J37" s="458">
        <f>IFERROR(__xludf.DUMMYFUNCTION("IF(ISBLANK(D37), 0, GOOGLEFINANCE(IF(ISBLANK(E37), D37, E37&amp;"":""&amp;D37), ""changepct"")/100)"),-0.005)</f>
        <v/>
      </c>
      <c r="K37" s="27" t="n">
        <v>1</v>
      </c>
      <c r="L37" s="459">
        <f>K37 * H37</f>
        <v/>
      </c>
      <c r="M37" s="34" t="n"/>
      <c r="N37" s="34" t="n"/>
      <c r="O37" s="35">
        <f>(P37*12)+(Q37*4)+(R37*2)+(S37*1)</f>
        <v/>
      </c>
      <c r="P37" s="104">
        <f>(EFA!$F$278-EFA!$F$256)/EFA!$F$256</f>
        <v/>
      </c>
      <c r="Q37" s="198">
        <f>(EFA!$F$278-EFA!$F$214)/EFA!$F$214</f>
        <v/>
      </c>
      <c r="R37" s="104">
        <f>(EFA!$F$278-EFA!$F$151)/EFA!$F$151</f>
        <v/>
      </c>
      <c r="S37" s="194">
        <f>(EFA!$F$278-EFA!$F$28)/EFA!$F$28</f>
        <v/>
      </c>
      <c r="T37" s="335" t="n"/>
      <c r="U37" s="335" t="n"/>
    </row>
    <row r="38" ht="17.25" customHeight="1" s="322">
      <c r="B38" s="27" t="n"/>
      <c r="C38" s="200" t="n"/>
      <c r="D38" s="27" t="n"/>
      <c r="E38" s="27" t="n"/>
      <c r="F38" s="27">
        <f>IFERROR(__xludf.DUMMYFUNCTION("IF(ISBLANK(D38), ""-"", GOOGLEFINANCE(IF(ISBLANK(E38), D38, E38&amp;"":""&amp;D38), ""name""))"),"-")</f>
        <v/>
      </c>
      <c r="G38" s="456" t="n"/>
      <c r="H38" s="456">
        <f>IFERROR(__xludf.DUMMYFUNCTION("IF(ISBLANK(D38), 0, GOOGLEFINANCE(IF(ISBLANK(E38), D38, E38&amp;"":""&amp;D38), ""price""))"),0)</f>
        <v/>
      </c>
      <c r="I38" s="457">
        <f>IFERROR(__xludf.DUMMYFUNCTION("IF(ISBLANK(D38), 0, GOOGLEFINANCE(IF(ISBLANK(E38), D38, E38&amp;"":""&amp;D38), ""change""))"),0)</f>
        <v/>
      </c>
      <c r="J38" s="458">
        <f>IFERROR(__xludf.DUMMYFUNCTION("IF(ISBLANK(D38), 0, GOOGLEFINANCE(IF(ISBLANK(E38), D38, E38&amp;"":""&amp;D38), ""changepct"")/100)"),0)</f>
        <v/>
      </c>
      <c r="K38" s="27" t="n"/>
      <c r="L38" s="459">
        <f>K38 * H38</f>
        <v/>
      </c>
      <c r="M38" s="34" t="n"/>
      <c r="N38" s="34" t="n"/>
      <c r="O38" s="35">
        <f>(P38*12)+(Q38*4)+(R38*2)+(S38*1)</f>
        <v/>
      </c>
      <c r="P38" s="46">
        <f>(BIL!$F$278-BIL!$F$256)/BIL!$F$256</f>
        <v/>
      </c>
      <c r="Q38" s="46">
        <f>(BIL!$F$278-BIL!$F$214)/BIL!$F$214</f>
        <v/>
      </c>
      <c r="R38" s="46">
        <f>(BIL!$F$278-BIL!$F$151)/BIL!$F$151</f>
        <v/>
      </c>
      <c r="S38" s="46">
        <f>(BIL!$F$278-BIL!$F$28)/BIL!$F$28</f>
        <v/>
      </c>
      <c r="T38" s="187" t="n"/>
      <c r="U38" s="187" t="n"/>
      <c r="V38" s="187" t="n"/>
    </row>
    <row r="39" ht="17.25" customHeight="1" s="322">
      <c r="B39" s="27" t="n"/>
      <c r="C39" s="467" t="inlineStr">
        <is>
          <t>안전자산
8개 채권</t>
        </is>
      </c>
      <c r="D39" s="455" t="inlineStr">
        <is>
          <t>SHY</t>
        </is>
      </c>
      <c r="E39" s="27" t="n"/>
      <c r="F39" s="27">
        <f>IFERROR(__xludf.DUMMYFUNCTION("IF(ISBLANK(D39), ""-"", GOOGLEFINANCE(IF(ISBLANK(E39), D39, E39&amp;"":""&amp;D39), ""name""))"),"iShares 1-3 Year Treasury Bond ETF")</f>
        <v/>
      </c>
      <c r="G39" s="456" t="inlineStr">
        <is>
          <t>미국단기국채</t>
        </is>
      </c>
      <c r="H39" s="456">
        <f>IFERROR(__xludf.DUMMYFUNCTION("IF(ISBLANK(D39), 0, GOOGLEFINANCE(IF(ISBLANK(E39), D39, E39&amp;"":""&amp;D39), ""price""))"),81.99)</f>
        <v/>
      </c>
      <c r="I39" s="457">
        <f>IFERROR(__xludf.DUMMYFUNCTION("IF(ISBLANK(D39), 0, GOOGLEFINANCE(IF(ISBLANK(E39), D39, E39&amp;"":""&amp;D39), ""change""))"),0.05)</f>
        <v/>
      </c>
      <c r="J39" s="458">
        <f>IFERROR(__xludf.DUMMYFUNCTION("IF(ISBLANK(D39), 0, GOOGLEFINANCE(IF(ISBLANK(E39), D39, E39&amp;"":""&amp;D39), ""changepct"")/100)"),0.0006)</f>
        <v/>
      </c>
      <c r="K39" s="27" t="n">
        <v>1</v>
      </c>
      <c r="L39" s="459">
        <f>K39 * H39</f>
        <v/>
      </c>
      <c r="M39" s="34" t="n"/>
      <c r="N39" s="34" t="n"/>
      <c r="O39" s="35">
        <f>(P39*12)+(Q39*4)+(R39*2)+(S39*1)</f>
        <v/>
      </c>
      <c r="P39" s="46">
        <f>(SHY!F$278-SHY!F$256)/SHY!F$256</f>
        <v/>
      </c>
      <c r="Q39" s="46">
        <f>(SHY!F$278-SHY!F$214)/SHY!F$214</f>
        <v/>
      </c>
      <c r="R39" s="187">
        <f>(SHY!F$278-SHY!F$151)/SHY!F$151</f>
        <v/>
      </c>
      <c r="S39" s="46">
        <f>(SHY!F$278-SHY!F$28)/SHY!F$28</f>
        <v/>
      </c>
      <c r="T39" s="336" t="n"/>
      <c r="U39" s="336" t="n"/>
      <c r="V39" s="479" t="inlineStr">
        <is>
          <t>6개월 최고수익 3개 채권매수
But, 3개 채권중 0이하인 자산은 현금으로 보유</t>
        </is>
      </c>
    </row>
    <row r="40" ht="17.25" customHeight="1" s="322">
      <c r="B40" s="27" t="n"/>
      <c r="D40" s="455" t="inlineStr">
        <is>
          <t>IEF</t>
        </is>
      </c>
      <c r="E40" s="27" t="n"/>
      <c r="F40" s="27">
        <f>IFERROR(__xludf.DUMMYFUNCTION("IF(ISBLANK(D40), ""-"", GOOGLEFINANCE(IF(ISBLANK(E40), D40, E40&amp;"":""&amp;D40), ""name""))"),"iShares 7-10 Year Treasury Bond ETF")</f>
        <v/>
      </c>
      <c r="G40" s="456" t="inlineStr">
        <is>
          <t>미국중기국채</t>
        </is>
      </c>
      <c r="H40" s="456">
        <f>IFERROR(__xludf.DUMMYFUNCTION("IF(ISBLANK(D40), 0, GOOGLEFINANCE(IF(ISBLANK(E40), D40, E40&amp;"":""&amp;D40), ""price""))"),93.17)</f>
        <v/>
      </c>
      <c r="I40" s="457">
        <f>IFERROR(__xludf.DUMMYFUNCTION("IF(ISBLANK(D40), 0, GOOGLEFINANCE(IF(ISBLANK(E40), D40, E40&amp;"":""&amp;D40), ""change""))"),-0.39)</f>
        <v/>
      </c>
      <c r="J40" s="458">
        <f>IFERROR(__xludf.DUMMYFUNCTION("IF(ISBLANK(D40), 0, GOOGLEFINANCE(IF(ISBLANK(E40), D40, E40&amp;"":""&amp;D40), ""changepct"")/100)"),-0.0042)</f>
        <v/>
      </c>
      <c r="K40" s="27" t="n">
        <v>1</v>
      </c>
      <c r="L40" s="459">
        <f>K40 * H40</f>
        <v/>
      </c>
      <c r="M40" s="34" t="n"/>
      <c r="N40" s="34" t="n"/>
      <c r="O40" s="35">
        <f>(P40*12)+(Q40*4)+(R40*2)+(S40*1)</f>
        <v/>
      </c>
      <c r="P40" s="46">
        <f>(IEF!F$278-IEF!F$256)/IEF!F$256</f>
        <v/>
      </c>
      <c r="Q40" s="46">
        <f>(IEF!F$278-IEF!F$214)/IEF!F$214</f>
        <v/>
      </c>
      <c r="R40" s="187">
        <f>(IEF!F$278-IEF!F$151)/IEF!F$151</f>
        <v/>
      </c>
      <c r="S40" s="46">
        <f>(IEF!F$278-IEF!F$28)/IEF!F$28</f>
        <v/>
      </c>
      <c r="T40" s="336" t="n"/>
      <c r="U40" s="336" t="n"/>
    </row>
    <row r="41" ht="17.25" customHeight="1" s="322">
      <c r="B41" s="27" t="n"/>
      <c r="D41" s="455" t="inlineStr">
        <is>
          <t>TLT</t>
        </is>
      </c>
      <c r="E41" s="27" t="n"/>
      <c r="F41" s="27">
        <f>IFERROR(__xludf.DUMMYFUNCTION("IF(ISBLANK(D41), ""-"", GOOGLEFINANCE(IF(ISBLANK(E41), D41, E41&amp;"":""&amp;D41), ""name""))"),"iShares 20+ Year Treasury Bond ETF")</f>
        <v/>
      </c>
      <c r="G41" s="456" t="inlineStr">
        <is>
          <t>미국장기국채</t>
        </is>
      </c>
      <c r="H41" s="456">
        <f>IFERROR(__xludf.DUMMYFUNCTION("IF(ISBLANK(D41), 0, GOOGLEFINANCE(IF(ISBLANK(E41), D41, E41&amp;"":""&amp;D41), ""price""))"),82.85)</f>
        <v/>
      </c>
      <c r="I41" s="457">
        <f>IFERROR(__xludf.DUMMYFUNCTION("IF(ISBLANK(D41), 0, GOOGLEFINANCE(IF(ISBLANK(E41), D41, E41&amp;"":""&amp;D41), ""change""))"),-1.39)</f>
        <v/>
      </c>
      <c r="J41" s="458">
        <f>IFERROR(__xludf.DUMMYFUNCTION("IF(ISBLANK(D41), 0, GOOGLEFINANCE(IF(ISBLANK(E41), D41, E41&amp;"":""&amp;D41), ""changepct"")/100)"),-0.0165)</f>
        <v/>
      </c>
      <c r="K41" s="27" t="n">
        <v>1</v>
      </c>
      <c r="L41" s="459">
        <f>K41 * H41</f>
        <v/>
      </c>
      <c r="M41" s="34" t="n"/>
      <c r="N41" s="34" t="n"/>
      <c r="O41" s="35">
        <f>(P41*12)+(Q41*4)+(R41*2)+(S41*1)</f>
        <v/>
      </c>
      <c r="P41" s="46">
        <f>(TLT!F$278-TLT!F$256)/TLT!F$256</f>
        <v/>
      </c>
      <c r="Q41" s="46">
        <f>(TLT!F$278-TLT!F$214)/TLT!F$214</f>
        <v/>
      </c>
      <c r="R41" s="187">
        <f>(TLT!F$278-TLT!F$151)/TLT!F$151</f>
        <v/>
      </c>
      <c r="S41" s="46">
        <f>(TLT!F$278-TLT!F$28)/TLT!F$28</f>
        <v/>
      </c>
      <c r="T41" s="336" t="n"/>
      <c r="U41" s="336" t="n"/>
    </row>
    <row r="42" ht="17.25" customHeight="1" s="322">
      <c r="B42" s="27" t="n"/>
      <c r="D42" s="455" t="inlineStr">
        <is>
          <t>TIP</t>
        </is>
      </c>
      <c r="E42" s="27" t="n"/>
      <c r="F42" s="27">
        <f>IFERROR(__xludf.DUMMYFUNCTION("IF(ISBLANK(D42), ""-"", GOOGLEFINANCE(IF(ISBLANK(E42), D42, E42&amp;"":""&amp;D42), ""name""))"),"iShares TIPS Bond ETF")</f>
        <v/>
      </c>
      <c r="G42" s="456" t="inlineStr">
        <is>
          <t>미국물가연동채</t>
        </is>
      </c>
      <c r="H42" s="456">
        <f>IFERROR(__xludf.DUMMYFUNCTION("IF(ISBLANK(D42), 0, GOOGLEFINANCE(IF(ISBLANK(E42), D42, E42&amp;"":""&amp;D42), ""price""))"),107.77)</f>
        <v/>
      </c>
      <c r="I42" s="457">
        <f>IFERROR(__xludf.DUMMYFUNCTION("IF(ISBLANK(D42), 0, GOOGLEFINANCE(IF(ISBLANK(E42), D42, E42&amp;"":""&amp;D42), ""change""))"),0.11)</f>
        <v/>
      </c>
      <c r="J42" s="458">
        <f>IFERROR(__xludf.DUMMYFUNCTION("IF(ISBLANK(D42), 0, GOOGLEFINANCE(IF(ISBLANK(E42), D42, E42&amp;"":""&amp;D42), ""changepct"")/100)"),0.001)</f>
        <v/>
      </c>
      <c r="K42" s="27" t="n">
        <v>1</v>
      </c>
      <c r="L42" s="459">
        <f>K42 * H42</f>
        <v/>
      </c>
      <c r="M42" s="34" t="n"/>
      <c r="N42" s="34" t="n"/>
      <c r="O42" s="35">
        <f>(P42*12)+(Q42*4)+(R42*2)+(S42*1)</f>
        <v/>
      </c>
      <c r="P42" s="46">
        <f>(TIP!$F$278-TIP!$F$256)/TIP!$F$256</f>
        <v/>
      </c>
      <c r="Q42" s="46">
        <f>(TIP!$F$278-TIP!$F$214)/TIP!$F$214</f>
        <v/>
      </c>
      <c r="R42" s="187">
        <f>(TIP!$F$278-TIP!$F$151)/TIP!$F$151</f>
        <v/>
      </c>
      <c r="S42" s="46">
        <f>(TIP!$F$278-TIP!$F$28)/TIP!$F$28</f>
        <v/>
      </c>
      <c r="T42" s="336" t="n"/>
      <c r="U42" s="336" t="n"/>
    </row>
    <row r="43" ht="17.25" customHeight="1" s="322">
      <c r="B43" s="27" t="n"/>
      <c r="D43" s="455" t="inlineStr">
        <is>
          <t>LQD</t>
        </is>
      </c>
      <c r="E43" s="27" t="n"/>
      <c r="F43" s="27">
        <f>IFERROR(__xludf.DUMMYFUNCTION("IF(ISBLANK(D43), ""-"", GOOGLEFINANCE(IF(ISBLANK(E43), D43, E43&amp;"":""&amp;D43), ""name""))"),"iShares iBoxx $ Inv Grade Corporate Bond ETF")</f>
        <v/>
      </c>
      <c r="G43" s="456" t="inlineStr">
        <is>
          <t>미국회사채</t>
        </is>
      </c>
      <c r="H43" s="456">
        <f>IFERROR(__xludf.DUMMYFUNCTION("IF(ISBLANK(D43), 0, GOOGLEFINANCE(IF(ISBLANK(E43), D43, E43&amp;"":""&amp;D43), ""price""))"),106.22)</f>
        <v/>
      </c>
      <c r="I43" s="457">
        <f>IFERROR(__xludf.DUMMYFUNCTION("IF(ISBLANK(D43), 0, GOOGLEFINANCE(IF(ISBLANK(E43), D43, E43&amp;"":""&amp;D43), ""change""))"),-0.61)</f>
        <v/>
      </c>
      <c r="J43" s="458">
        <f>IFERROR(__xludf.DUMMYFUNCTION("IF(ISBLANK(D43), 0, GOOGLEFINANCE(IF(ISBLANK(E43), D43, E43&amp;"":""&amp;D43), ""changepct"")/100)"),-0.00569999999999999)</f>
        <v/>
      </c>
      <c r="K43" s="27" t="n">
        <v>1</v>
      </c>
      <c r="L43" s="459">
        <f>K43 * H43</f>
        <v/>
      </c>
      <c r="M43" s="34" t="n"/>
      <c r="N43" s="34" t="n"/>
      <c r="O43" s="35">
        <f>(P43*12)+(Q43*4)+(R43*2)+(S43*1)</f>
        <v/>
      </c>
      <c r="P43" s="153">
        <f>(LQD!F278-LQD!F256)/LQD!F256</f>
        <v/>
      </c>
      <c r="Q43" s="46">
        <f>(LQD!F$278-LQD!F$214)/LQD!F$214</f>
        <v/>
      </c>
      <c r="R43" s="187">
        <f>(LQD!F$278-LQD!F$151)/LQD!F$151</f>
        <v/>
      </c>
      <c r="S43" s="46">
        <f>(LQD!F$278-LQD!F$28)/LQD!F$28</f>
        <v/>
      </c>
      <c r="T43" s="336" t="n"/>
      <c r="U43" s="336" t="n"/>
    </row>
    <row r="44" ht="17.25" customHeight="1" s="322">
      <c r="B44" s="27" t="n"/>
      <c r="D44" s="455" t="inlineStr">
        <is>
          <t>HYG</t>
        </is>
      </c>
      <c r="E44" s="27" t="n"/>
      <c r="F44" s="27">
        <f>IFERROR(__xludf.DUMMYFUNCTION("IF(ISBLANK(D44), ""-"", GOOGLEFINANCE(IF(ISBLANK(E44), D44, E44&amp;"":""&amp;D44), ""name""))"),"iShares iBoxx $ High Yield Corporate Bond ETF")</f>
        <v/>
      </c>
      <c r="G44" s="456" t="inlineStr">
        <is>
          <t>미국하이일드</t>
        </is>
      </c>
      <c r="H44" s="456">
        <f>IFERROR(__xludf.DUMMYFUNCTION("IF(ISBLANK(D44), 0, GOOGLEFINANCE(IF(ISBLANK(E44), D44, E44&amp;"":""&amp;D44), ""price""))"),79.24)</f>
        <v/>
      </c>
      <c r="I44" s="457">
        <f>IFERROR(__xludf.DUMMYFUNCTION("IF(ISBLANK(D44), 0, GOOGLEFINANCE(IF(ISBLANK(E44), D44, E44&amp;"":""&amp;D44), ""change""))"),-0.18)</f>
        <v/>
      </c>
      <c r="J44" s="458">
        <f>IFERROR(__xludf.DUMMYFUNCTION("IF(ISBLANK(D44), 0, GOOGLEFINANCE(IF(ISBLANK(E44), D44, E44&amp;"":""&amp;D44), ""changepct"")/100)"),-0.0023)</f>
        <v/>
      </c>
      <c r="K44" s="27" t="n">
        <v>1</v>
      </c>
      <c r="L44" s="459">
        <f>K44 * H44</f>
        <v/>
      </c>
      <c r="M44" s="34" t="n"/>
      <c r="N44" s="34" t="n"/>
      <c r="O44" s="35">
        <f>(P44*12)+(Q44*4)+(R44*2)+(S44*1)</f>
        <v/>
      </c>
      <c r="P44" s="46">
        <f>(HYG!F$278-HYG!F$256)/HYG!F$256</f>
        <v/>
      </c>
      <c r="Q44" s="46">
        <f>(HYG!F$278-HYG!F$214)/HYG!F$214</f>
        <v/>
      </c>
      <c r="R44" s="187">
        <f>(HYG!F$278-HYG!F$151)/HYG!F$151</f>
        <v/>
      </c>
      <c r="S44" s="46">
        <f>(HYG!F$278-HYG!F$28)/HYG!F$28</f>
        <v/>
      </c>
      <c r="T44" s="336" t="n"/>
      <c r="U44" s="336" t="n"/>
    </row>
    <row r="45" ht="17.25" customHeight="1" s="322">
      <c r="B45" s="27" t="n"/>
      <c r="D45" s="455" t="inlineStr">
        <is>
          <t>BWX</t>
        </is>
      </c>
      <c r="E45" s="27" t="n"/>
      <c r="F45" s="27">
        <f>IFERROR(__xludf.DUMMYFUNCTION("IF(ISBLANK(D45), ""-"", GOOGLEFINANCE(IF(ISBLANK(E45), D45, E45&amp;"":""&amp;D45), ""name""))"),"State Street SPDR Bloomberg Intl TB ETF")</f>
        <v/>
      </c>
      <c r="G45" s="456" t="inlineStr">
        <is>
          <t>국제채권</t>
        </is>
      </c>
      <c r="H45" s="456">
        <f>IFERROR(__xludf.DUMMYFUNCTION("IF(ISBLANK(D45), 0, GOOGLEFINANCE(IF(ISBLANK(E45), D45, E45&amp;"":""&amp;D45), ""price""))"),21.5)</f>
        <v/>
      </c>
      <c r="I45" s="457">
        <f>IFERROR(__xludf.DUMMYFUNCTION("IF(ISBLANK(D45), 0, GOOGLEFINANCE(IF(ISBLANK(E45), D45, E45&amp;"":""&amp;D45), ""change""))"),0.03)</f>
        <v/>
      </c>
      <c r="J45" s="458">
        <f>IFERROR(__xludf.DUMMYFUNCTION("IF(ISBLANK(D45), 0, GOOGLEFINANCE(IF(ISBLANK(E45), D45, E45&amp;"":""&amp;D45), ""changepct"")/100)"),0.0014)</f>
        <v/>
      </c>
      <c r="K45" s="27" t="n">
        <v>1</v>
      </c>
      <c r="L45" s="459">
        <f>K45 * H45</f>
        <v/>
      </c>
      <c r="M45" s="34" t="n"/>
      <c r="N45" s="34" t="n"/>
      <c r="O45" s="35">
        <f>(P45*12)+(Q45*4)+(R45*2)+(S45*1)</f>
        <v/>
      </c>
      <c r="P45" s="46">
        <f>(BWX!F$278-BWX!F$256)/BWX!F$256</f>
        <v/>
      </c>
      <c r="Q45" s="46">
        <f>(BWX!F$278-BWX!F$214)/BWX!F$214</f>
        <v/>
      </c>
      <c r="R45" s="187">
        <f>(BWX!F$278-BWX!F$151)/BWX!F$151</f>
        <v/>
      </c>
      <c r="S45" s="46">
        <f>(BWX!F$278-BWX!F$28)/BWX!F$28</f>
        <v/>
      </c>
      <c r="T45" s="336" t="n"/>
      <c r="U45" s="336" t="n"/>
    </row>
    <row r="46" ht="17.25" customHeight="1" s="322">
      <c r="B46" s="27" t="n"/>
      <c r="D46" s="455" t="inlineStr">
        <is>
          <t>EMB</t>
        </is>
      </c>
      <c r="E46" s="27" t="n"/>
      <c r="F46" s="27">
        <f>IFERROR(__xludf.DUMMYFUNCTION("IF(ISBLANK(D46), ""-"", GOOGLEFINANCE(IF(ISBLANK(E46), D46, E46&amp;"":""&amp;D46), ""name""))"),"iShares JPMorgan USD Emerging Markets Bond ETF")</f>
        <v/>
      </c>
      <c r="G46" s="456" t="inlineStr">
        <is>
          <t>개도국채권</t>
        </is>
      </c>
      <c r="H46" s="456">
        <f>IFERROR(__xludf.DUMMYFUNCTION("IF(ISBLANK(D46), 0, GOOGLEFINANCE(IF(ISBLANK(E46), D46, E46&amp;"":""&amp;D46), ""price""))"),94.56)</f>
        <v/>
      </c>
      <c r="I46" s="457">
        <f>IFERROR(__xludf.DUMMYFUNCTION("IF(ISBLANK(D46), 0, GOOGLEFINANCE(IF(ISBLANK(E46), D46, E46&amp;"":""&amp;D46), ""change""))"),-0.63)</f>
        <v/>
      </c>
      <c r="J46" s="458">
        <f>IFERROR(__xludf.DUMMYFUNCTION("IF(ISBLANK(D46), 0, GOOGLEFINANCE(IF(ISBLANK(E46), D46, E46&amp;"":""&amp;D46), ""changepct"")/100)"),-0.0066)</f>
        <v/>
      </c>
      <c r="K46" s="27" t="n">
        <v>1</v>
      </c>
      <c r="L46" s="459">
        <f>K46 * H46</f>
        <v/>
      </c>
      <c r="M46" s="34" t="n"/>
      <c r="N46" s="34" t="n"/>
      <c r="O46" s="35">
        <f>(P46*12)+(Q46*4)+(R46*2)+(S46*1)</f>
        <v/>
      </c>
      <c r="P46" s="46">
        <f>(EMB!F$278-EMB!F$256)/EMB!F$256</f>
        <v/>
      </c>
      <c r="Q46" s="46">
        <f>(EMB!F$278-EMB!F$214)/EMB!F$214</f>
        <v/>
      </c>
      <c r="R46" s="187">
        <f>(EMB!F$278-EMB!F$151)/EMB!F$151</f>
        <v/>
      </c>
      <c r="S46" s="46">
        <f>(EMB!F$278-EMB!F$28)/EMB!F$28</f>
        <v/>
      </c>
      <c r="T46" s="336" t="n"/>
      <c r="U46" s="336" t="n"/>
    </row>
    <row r="47" ht="17.25" customHeight="1" s="322">
      <c r="A47" s="333" t="n"/>
      <c r="B47" s="27" t="n"/>
      <c r="C47" s="200" t="n"/>
      <c r="D47" s="27" t="n"/>
      <c r="E47" s="27" t="n"/>
      <c r="F47" s="27" t="n"/>
      <c r="G47" s="456" t="n"/>
      <c r="H47" s="456" t="n"/>
      <c r="I47" s="457" t="n"/>
      <c r="J47" s="458" t="n"/>
      <c r="K47" s="27" t="n"/>
      <c r="L47" s="459" t="n"/>
      <c r="M47" s="34" t="n"/>
      <c r="N47" s="34" t="n"/>
      <c r="O47" s="35" t="n"/>
      <c r="P47" s="104" t="n"/>
      <c r="Q47" s="104" t="n"/>
      <c r="R47" s="104" t="n"/>
      <c r="S47" s="194" t="n"/>
      <c r="T47" s="194" t="n"/>
      <c r="U47" s="194" t="n"/>
      <c r="V47" s="194" t="n"/>
    </row>
    <row r="48" ht="17.25" customHeight="1" s="322">
      <c r="A48" s="27" t="n"/>
      <c r="B48" s="27" t="n"/>
      <c r="C48" s="27" t="n"/>
      <c r="D48" s="455" t="inlineStr">
        <is>
          <t>SPY</t>
        </is>
      </c>
      <c r="E48" s="27" t="n"/>
      <c r="F48" s="27">
        <f>IFERROR(__xludf.DUMMYFUNCTION("IF(ISBLANK(D48), ""-"", GOOGLEFINANCE(IF(ISBLANK(E48), D48, E48&amp;"":""&amp;D48), ""name""))"),"State Street SPDR S&amp;P 500 ETF Trust")</f>
        <v/>
      </c>
      <c r="G48" s="456" t="n"/>
      <c r="H48" s="456">
        <f>IFERROR(__xludf.DUMMYFUNCTION("IF(ISBLANK(D48), 0, GOOGLEFINANCE(IF(ISBLANK(E48), D48, E48&amp;"":""&amp;D48), ""price""))"),729.46)</f>
        <v/>
      </c>
      <c r="I48" s="457">
        <f>IFERROR(__xludf.DUMMYFUNCTION("IF(ISBLANK(D48), 0, GOOGLEFINANCE(IF(ISBLANK(E48), D48, E48&amp;"":""&amp;D48), ""change""))"),-11.4)</f>
        <v/>
      </c>
      <c r="J48" s="458">
        <f>IFERROR(__xludf.DUMMYFUNCTION("IF(ISBLANK(D48), 0, GOOGLEFINANCE(IF(ISBLANK(E48), D48, E48&amp;"":""&amp;D48), ""changepct"")/100)"),-0.0154)</f>
        <v/>
      </c>
      <c r="K48" s="27" t="n"/>
      <c r="L48" s="459">
        <f>K48 * H48</f>
        <v/>
      </c>
      <c r="M48" s="34" t="n"/>
      <c r="N48" s="34" t="n"/>
      <c r="O48" s="35" t="n"/>
      <c r="P48" s="36" t="n"/>
      <c r="Q48" s="36" t="n"/>
      <c r="R48" s="36" t="n"/>
      <c r="S48" s="36" t="n"/>
      <c r="T48" s="36" t="n"/>
      <c r="U48" s="36" t="n"/>
      <c r="V48" s="36" t="n"/>
    </row>
    <row r="49" ht="17.25" customHeight="1" s="322">
      <c r="A49" s="27" t="n"/>
      <c r="B49" s="27" t="n"/>
      <c r="C49" s="27" t="n"/>
      <c r="D49" s="455" t="inlineStr">
        <is>
          <t>VWO</t>
        </is>
      </c>
      <c r="E49" s="27" t="n"/>
      <c r="F49" s="27">
        <f>IFERROR(__xludf.DUMMYFUNCTION("IF(ISBLANK(D49), ""-"", GOOGLEFINANCE(IF(ISBLANK(E49), D49, E49&amp;"":""&amp;D49), ""name""))"),"Vanguard Emerging Markets Stock Index Fund ETF")</f>
        <v/>
      </c>
      <c r="G49" s="456" t="n"/>
      <c r="H49" s="456">
        <f>IFERROR(__xludf.DUMMYFUNCTION("IF(ISBLANK(D49), 0, GOOGLEFINANCE(IF(ISBLANK(E49), D49, E49&amp;"":""&amp;D49), ""price""))"),56.92)</f>
        <v/>
      </c>
      <c r="I49" s="457">
        <f>IFERROR(__xludf.DUMMYFUNCTION("IF(ISBLANK(D49), 0, GOOGLEFINANCE(IF(ISBLANK(E49), D49, E49&amp;"":""&amp;D49), ""change""))"),-0.82)</f>
        <v/>
      </c>
      <c r="J49" s="458">
        <f>IFERROR(__xludf.DUMMYFUNCTION("IF(ISBLANK(D49), 0, GOOGLEFINANCE(IF(ISBLANK(E49), D49, E49&amp;"":""&amp;D49), ""changepct"")/100)"),-0.0141999999999999)</f>
        <v/>
      </c>
      <c r="K49" s="27" t="n"/>
      <c r="L49" s="459">
        <f>K49 * H49</f>
        <v/>
      </c>
      <c r="M49" s="34" t="n"/>
      <c r="N49" s="34" t="n"/>
      <c r="O49" s="35" t="n"/>
      <c r="P49" s="36" t="n"/>
      <c r="Q49" s="36" t="n"/>
      <c r="R49" s="36" t="n"/>
      <c r="S49" s="36" t="n"/>
      <c r="T49" s="36" t="n"/>
      <c r="U49" s="36" t="n"/>
      <c r="V49" s="36" t="n"/>
    </row>
    <row r="50" ht="17.25" customHeight="1" s="322">
      <c r="A50" s="27" t="n"/>
      <c r="B50" s="27" t="n"/>
      <c r="C50" s="27" t="n"/>
      <c r="D50" s="27" t="n"/>
      <c r="E50" s="27" t="n"/>
      <c r="F50" s="27">
        <f>IFERROR(__xludf.DUMMYFUNCTION("IF(ISBLANK(D50), ""-"", GOOGLEFINANCE(IF(ISBLANK(E50), D50, E50&amp;"":""&amp;D50), ""name""))"),"-")</f>
        <v/>
      </c>
      <c r="G50" s="456" t="n"/>
      <c r="H50" s="456">
        <f>IFERROR(__xludf.DUMMYFUNCTION("IF(ISBLANK(D50), 0, GOOGLEFINANCE(IF(ISBLANK(E50), D50, E50&amp;"":""&amp;D50), ""price""))"),0)</f>
        <v/>
      </c>
      <c r="I50" s="457">
        <f>IFERROR(__xludf.DUMMYFUNCTION("IF(ISBLANK(D50), 0, GOOGLEFINANCE(IF(ISBLANK(E50), D50, E50&amp;"":""&amp;D50), ""change""))"),0)</f>
        <v/>
      </c>
      <c r="J50" s="458">
        <f>IFERROR(__xludf.DUMMYFUNCTION("IF(ISBLANK(D50), 0, GOOGLEFINANCE(IF(ISBLANK(E50), D50, E50&amp;"":""&amp;D50), ""changepct"")/100)"),0)</f>
        <v/>
      </c>
      <c r="K50" s="27" t="n"/>
      <c r="L50" s="459">
        <f>K50 * H50</f>
        <v/>
      </c>
      <c r="M50" s="34" t="n"/>
      <c r="N50" s="34" t="n"/>
      <c r="O50" s="35" t="n"/>
      <c r="P50" s="36" t="n"/>
      <c r="Q50" s="36" t="n"/>
      <c r="R50" s="36" t="n"/>
      <c r="S50" s="36" t="n"/>
      <c r="T50" s="36" t="n"/>
      <c r="U50" s="36" t="n"/>
      <c r="V50" s="36" t="n"/>
    </row>
    <row r="51" ht="17.25" customHeight="1" s="322">
      <c r="A51" s="27" t="n"/>
      <c r="B51" s="27" t="n"/>
      <c r="C51" s="27" t="n"/>
      <c r="D51" s="27" t="n"/>
      <c r="E51" s="27" t="n"/>
      <c r="F51" s="27">
        <f>IFERROR(__xludf.DUMMYFUNCTION("IF(ISBLANK(D51), ""-"", GOOGLEFINANCE(IF(ISBLANK(E51), D51, E51&amp;"":""&amp;D51), ""name""))"),"-")</f>
        <v/>
      </c>
      <c r="G51" s="456" t="n"/>
      <c r="H51" s="456">
        <f>IFERROR(__xludf.DUMMYFUNCTION("IF(ISBLANK(D51), 0, GOOGLEFINANCE(IF(ISBLANK(E51), D51, E51&amp;"":""&amp;D51), ""price""))"),0)</f>
        <v/>
      </c>
      <c r="I51" s="457">
        <f>IFERROR(__xludf.DUMMYFUNCTION("IF(ISBLANK(D51), 0, GOOGLEFINANCE(IF(ISBLANK(E51), D51, E51&amp;"":""&amp;D51), ""change""))"),0)</f>
        <v/>
      </c>
      <c r="J51" s="458">
        <f>IFERROR(__xludf.DUMMYFUNCTION("IF(ISBLANK(D51), 0, GOOGLEFINANCE(IF(ISBLANK(E51), D51, E51&amp;"":""&amp;D51), ""changepct"")/100)"),0)</f>
        <v/>
      </c>
      <c r="K51" s="27" t="n"/>
      <c r="L51" s="459">
        <f>K51 * H51</f>
        <v/>
      </c>
      <c r="M51" s="34" t="n"/>
      <c r="N51" s="34" t="n"/>
      <c r="O51" s="35" t="n"/>
      <c r="P51" s="36" t="n"/>
      <c r="Q51" s="36" t="n"/>
      <c r="R51" s="36" t="n"/>
      <c r="S51" s="36" t="n"/>
      <c r="T51" s="36" t="n"/>
      <c r="U51" s="36" t="n"/>
      <c r="V51" s="36" t="n"/>
    </row>
    <row r="52" ht="17.25" customHeight="1" s="322">
      <c r="A52" s="27" t="n"/>
      <c r="B52" s="27" t="n"/>
      <c r="C52" s="27" t="n"/>
      <c r="D52" s="27" t="n"/>
      <c r="E52" s="27" t="n"/>
      <c r="F52" s="27">
        <f>IFERROR(__xludf.DUMMYFUNCTION("IF(ISBLANK(D52), ""-"", GOOGLEFINANCE(IF(ISBLANK(E52), D52, E52&amp;"":""&amp;D52), ""name""))"),"-")</f>
        <v/>
      </c>
      <c r="G52" s="456" t="n"/>
      <c r="H52" s="456">
        <f>IFERROR(__xludf.DUMMYFUNCTION("IF(ISBLANK(D52), 0, GOOGLEFINANCE(IF(ISBLANK(E52), D52, E52&amp;"":""&amp;D52), ""price""))"),0)</f>
        <v/>
      </c>
      <c r="I52" s="457">
        <f>IFERROR(__xludf.DUMMYFUNCTION("IF(ISBLANK(D52), 0, GOOGLEFINANCE(IF(ISBLANK(E52), D52, E52&amp;"":""&amp;D52), ""change""))"),0)</f>
        <v/>
      </c>
      <c r="J52" s="458">
        <f>IFERROR(__xludf.DUMMYFUNCTION("IF(ISBLANK(D52), 0, GOOGLEFINANCE(IF(ISBLANK(E52), D52, E52&amp;"":""&amp;D52), ""changepct"")/100)"),0)</f>
        <v/>
      </c>
      <c r="K52" s="27" t="n"/>
      <c r="L52" s="459">
        <f>K52 * H52</f>
        <v/>
      </c>
      <c r="M52" s="34" t="n"/>
      <c r="N52" s="34" t="n"/>
      <c r="O52" s="35" t="n"/>
      <c r="P52" s="36" t="n"/>
      <c r="Q52" s="36" t="n"/>
      <c r="R52" s="36" t="n"/>
      <c r="S52" s="36" t="n"/>
      <c r="T52" s="36" t="n"/>
      <c r="U52" s="36" t="n"/>
      <c r="V52" s="36" t="n"/>
    </row>
    <row r="53" ht="17.25" customHeight="1" s="322">
      <c r="A53" s="27" t="n"/>
      <c r="B53" s="27" t="n"/>
      <c r="C53" s="27" t="n"/>
      <c r="D53" s="27" t="n"/>
      <c r="E53" s="27" t="n"/>
      <c r="F53" s="27">
        <f>IFERROR(__xludf.DUMMYFUNCTION("IF(ISBLANK(D53), ""-"", GOOGLEFINANCE(IF(ISBLANK(E53), D53, E53&amp;"":""&amp;D53), ""name""))"),"-")</f>
        <v/>
      </c>
      <c r="G53" s="456" t="n"/>
      <c r="H53" s="456">
        <f>IFERROR(__xludf.DUMMYFUNCTION("IF(ISBLANK(D53), 0, GOOGLEFINANCE(IF(ISBLANK(E53), D53, E53&amp;"":""&amp;D53), ""price""))"),0)</f>
        <v/>
      </c>
      <c r="I53" s="457">
        <f>IFERROR(__xludf.DUMMYFUNCTION("IF(ISBLANK(D53), 0, GOOGLEFINANCE(IF(ISBLANK(E53), D53, E53&amp;"":""&amp;D53), ""change""))"),0)</f>
        <v/>
      </c>
      <c r="J53" s="458">
        <f>IFERROR(__xludf.DUMMYFUNCTION("IF(ISBLANK(D53), 0, GOOGLEFINANCE(IF(ISBLANK(E53), D53, E53&amp;"":""&amp;D53), ""changepct"")/100)"),0)</f>
        <v/>
      </c>
      <c r="K53" s="27" t="n"/>
      <c r="L53" s="459">
        <f>K53 * H53</f>
        <v/>
      </c>
      <c r="M53" s="34" t="n"/>
      <c r="N53" s="34" t="n"/>
      <c r="O53" s="35" t="n"/>
      <c r="P53" s="36" t="n"/>
      <c r="Q53" s="36" t="n"/>
      <c r="R53" s="36" t="n"/>
      <c r="S53" s="36" t="n"/>
      <c r="T53" s="36" t="n"/>
      <c r="U53" s="36" t="n"/>
      <c r="V53" s="36" t="n"/>
    </row>
    <row r="54" ht="17.25" customHeight="1" s="322">
      <c r="A54" s="27" t="n"/>
      <c r="B54" s="27" t="n"/>
      <c r="C54" s="27" t="n"/>
      <c r="D54" s="27" t="n"/>
      <c r="E54" s="27" t="n"/>
      <c r="F54" s="27">
        <f>IFERROR(__xludf.DUMMYFUNCTION("IF(ISBLANK(D54), ""-"", GOOGLEFINANCE(IF(ISBLANK(E54), D54, E54&amp;"":""&amp;D54), ""name""))"),"-")</f>
        <v/>
      </c>
      <c r="G54" s="456" t="n"/>
      <c r="H54" s="456">
        <f>IFERROR(__xludf.DUMMYFUNCTION("IF(ISBLANK(D54), 0, GOOGLEFINANCE(IF(ISBLANK(E54), D54, E54&amp;"":""&amp;D54), ""price""))"),0)</f>
        <v/>
      </c>
      <c r="I54" s="457">
        <f>IFERROR(__xludf.DUMMYFUNCTION("IF(ISBLANK(D54), 0, GOOGLEFINANCE(IF(ISBLANK(E54), D54, E54&amp;"":""&amp;D54), ""change""))"),0)</f>
        <v/>
      </c>
      <c r="J54" s="458">
        <f>IFERROR(__xludf.DUMMYFUNCTION("IF(ISBLANK(D54), 0, GOOGLEFINANCE(IF(ISBLANK(E54), D54, E54&amp;"":""&amp;D54), ""changepct"")/100)"),0)</f>
        <v/>
      </c>
      <c r="K54" s="27" t="n"/>
      <c r="L54" s="459">
        <f>K54 * H54</f>
        <v/>
      </c>
      <c r="M54" s="34" t="n"/>
      <c r="N54" s="34" t="n"/>
      <c r="O54" s="35" t="n"/>
      <c r="P54" s="36" t="n"/>
      <c r="Q54" s="36" t="n"/>
      <c r="R54" s="36" t="n"/>
      <c r="S54" s="36" t="n"/>
      <c r="T54" s="36" t="n"/>
      <c r="U54" s="36" t="n"/>
      <c r="V54" s="36" t="n"/>
    </row>
    <row r="55" ht="17.25" customHeight="1" s="322">
      <c r="A55" s="27" t="n"/>
      <c r="B55" s="27" t="n"/>
      <c r="C55" s="27" t="n"/>
      <c r="D55" s="27" t="n"/>
      <c r="E55" s="27" t="n"/>
      <c r="F55" s="27">
        <f>IFERROR(__xludf.DUMMYFUNCTION("IF(ISBLANK(D55), ""-"", GOOGLEFINANCE(IF(ISBLANK(E55), D55, E55&amp;"":""&amp;D55), ""name""))"),"-")</f>
        <v/>
      </c>
      <c r="G55" s="456" t="n"/>
      <c r="H55" s="456">
        <f>IFERROR(__xludf.DUMMYFUNCTION("IF(ISBLANK(D55), 0, GOOGLEFINANCE(IF(ISBLANK(E55), D55, E55&amp;"":""&amp;D55), ""price""))"),0)</f>
        <v/>
      </c>
      <c r="I55" s="457">
        <f>IFERROR(__xludf.DUMMYFUNCTION("IF(ISBLANK(D55), 0, GOOGLEFINANCE(IF(ISBLANK(E55), D55, E55&amp;"":""&amp;D55), ""change""))"),0)</f>
        <v/>
      </c>
      <c r="J55" s="458">
        <f>IFERROR(__xludf.DUMMYFUNCTION("IF(ISBLANK(D55), 0, GOOGLEFINANCE(IF(ISBLANK(E55), D55, E55&amp;"":""&amp;D55), ""changepct"")/100)"),0)</f>
        <v/>
      </c>
      <c r="K55" s="27" t="n"/>
      <c r="L55" s="459">
        <f>K55 * H55</f>
        <v/>
      </c>
      <c r="M55" s="34" t="n"/>
      <c r="N55" s="34" t="n"/>
      <c r="O55" s="35" t="n"/>
      <c r="P55" s="36" t="n"/>
      <c r="Q55" s="36" t="n"/>
      <c r="R55" s="36" t="n"/>
      <c r="S55" s="36" t="n"/>
      <c r="T55" s="36" t="n"/>
      <c r="U55" s="36" t="n"/>
      <c r="V55" s="36" t="n"/>
    </row>
  </sheetData>
  <mergeCells count="16">
    <mergeCell ref="V22:V25"/>
    <mergeCell ref="A36:A46"/>
    <mergeCell ref="C39:C46"/>
    <mergeCell ref="B22:B28"/>
    <mergeCell ref="V39:V46"/>
    <mergeCell ref="B36:B37"/>
    <mergeCell ref="V27:V33"/>
    <mergeCell ref="V36:V37"/>
    <mergeCell ref="C10:C21"/>
    <mergeCell ref="N10:N13"/>
    <mergeCell ref="C22:C26"/>
    <mergeCell ref="M10:M13"/>
    <mergeCell ref="A10:A28"/>
    <mergeCell ref="C27:C33"/>
    <mergeCell ref="B10:B13"/>
    <mergeCell ref="M27:M28"/>
  </mergeCells>
  <conditionalFormatting sqref="I9:J55">
    <cfRule type="cellIs" priority="1" operator="greaterThan" dxfId="1">
      <formula>0</formula>
    </cfRule>
    <cfRule type="cellIs" priority="2" operator="lessThan" dxfId="138">
      <formula>0</formula>
    </cfRule>
  </conditionalFormatting>
  <hyperlinks>
    <hyperlink xmlns:r="http://schemas.openxmlformats.org/officeDocument/2006/relationships" ref="L2" r:id="rId1"/>
    <hyperlink xmlns:r="http://schemas.openxmlformats.org/officeDocument/2006/relationships" ref="P5" r:id="rId2"/>
    <hyperlink xmlns:r="http://schemas.openxmlformats.org/officeDocument/2006/relationships" ref="D10" r:id="rId3"/>
    <hyperlink xmlns:r="http://schemas.openxmlformats.org/officeDocument/2006/relationships" ref="D11" r:id="rId4"/>
    <hyperlink xmlns:r="http://schemas.openxmlformats.org/officeDocument/2006/relationships" ref="D12" r:id="rId5"/>
    <hyperlink xmlns:r="http://schemas.openxmlformats.org/officeDocument/2006/relationships" ref="D13" r:id="rId6"/>
    <hyperlink xmlns:r="http://schemas.openxmlformats.org/officeDocument/2006/relationships" ref="D14" r:id="rId7"/>
    <hyperlink xmlns:r="http://schemas.openxmlformats.org/officeDocument/2006/relationships" ref="D15" r:id="rId8"/>
    <hyperlink xmlns:r="http://schemas.openxmlformats.org/officeDocument/2006/relationships" ref="D16" r:id="rId9"/>
    <hyperlink xmlns:r="http://schemas.openxmlformats.org/officeDocument/2006/relationships" ref="D17" r:id="rId10"/>
    <hyperlink xmlns:r="http://schemas.openxmlformats.org/officeDocument/2006/relationships" ref="D18" r:id="rId11"/>
    <hyperlink xmlns:r="http://schemas.openxmlformats.org/officeDocument/2006/relationships" ref="D19" r:id="rId12"/>
    <hyperlink xmlns:r="http://schemas.openxmlformats.org/officeDocument/2006/relationships" ref="D20" r:id="rId13"/>
    <hyperlink xmlns:r="http://schemas.openxmlformats.org/officeDocument/2006/relationships" ref="D21" r:id="rId14"/>
    <hyperlink xmlns:r="http://schemas.openxmlformats.org/officeDocument/2006/relationships" ref="D22" r:id="rId15"/>
    <hyperlink xmlns:r="http://schemas.openxmlformats.org/officeDocument/2006/relationships" ref="D23" r:id="rId16"/>
    <hyperlink xmlns:r="http://schemas.openxmlformats.org/officeDocument/2006/relationships" ref="D24" r:id="rId17"/>
    <hyperlink xmlns:r="http://schemas.openxmlformats.org/officeDocument/2006/relationships" ref="D25" r:id="rId18"/>
    <hyperlink xmlns:r="http://schemas.openxmlformats.org/officeDocument/2006/relationships" ref="D26" r:id="rId19"/>
    <hyperlink xmlns:r="http://schemas.openxmlformats.org/officeDocument/2006/relationships" ref="D27" r:id="rId20"/>
    <hyperlink xmlns:r="http://schemas.openxmlformats.org/officeDocument/2006/relationships" ref="D28" r:id="rId21"/>
    <hyperlink xmlns:r="http://schemas.openxmlformats.org/officeDocument/2006/relationships" ref="D29" r:id="rId22"/>
    <hyperlink xmlns:r="http://schemas.openxmlformats.org/officeDocument/2006/relationships" ref="D30" r:id="rId23"/>
    <hyperlink xmlns:r="http://schemas.openxmlformats.org/officeDocument/2006/relationships" ref="D31" r:id="rId24"/>
    <hyperlink xmlns:r="http://schemas.openxmlformats.org/officeDocument/2006/relationships" ref="D32" r:id="rId25"/>
    <hyperlink xmlns:r="http://schemas.openxmlformats.org/officeDocument/2006/relationships" ref="D33" r:id="rId26"/>
    <hyperlink xmlns:r="http://schemas.openxmlformats.org/officeDocument/2006/relationships" ref="D36" r:id="rId27"/>
    <hyperlink xmlns:r="http://schemas.openxmlformats.org/officeDocument/2006/relationships" ref="D37" r:id="rId28"/>
    <hyperlink xmlns:r="http://schemas.openxmlformats.org/officeDocument/2006/relationships" ref="D39" r:id="rId29"/>
    <hyperlink xmlns:r="http://schemas.openxmlformats.org/officeDocument/2006/relationships" ref="D40" r:id="rId30"/>
    <hyperlink xmlns:r="http://schemas.openxmlformats.org/officeDocument/2006/relationships" ref="D41" r:id="rId31"/>
    <hyperlink xmlns:r="http://schemas.openxmlformats.org/officeDocument/2006/relationships" ref="D42" r:id="rId32"/>
    <hyperlink xmlns:r="http://schemas.openxmlformats.org/officeDocument/2006/relationships" ref="D43" r:id="rId33"/>
    <hyperlink xmlns:r="http://schemas.openxmlformats.org/officeDocument/2006/relationships" ref="D44" r:id="rId34"/>
    <hyperlink xmlns:r="http://schemas.openxmlformats.org/officeDocument/2006/relationships" ref="D45" r:id="rId35"/>
    <hyperlink xmlns:r="http://schemas.openxmlformats.org/officeDocument/2006/relationships" ref="D46" r:id="rId36"/>
    <hyperlink xmlns:r="http://schemas.openxmlformats.org/officeDocument/2006/relationships" ref="D48" r:id="rId37"/>
    <hyperlink xmlns:r="http://schemas.openxmlformats.org/officeDocument/2006/relationships" ref="D49" r:id="rId38"/>
  </hyperlink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322" min="1" max="1"/>
    <col width="12" customWidth="1" style="322" min="2" max="2"/>
    <col width="14" customWidth="1" style="322" min="3" max="3"/>
    <col width="10" customWidth="1" style="322" min="4" max="4"/>
    <col width="14" customWidth="1" style="322" min="5" max="5"/>
    <col width="14" customWidth="1" style="322" min="6" max="6"/>
    <col width="28" customWidth="1" style="322" min="7" max="7"/>
    <col width="10" customWidth="1" style="322" min="8" max="8"/>
    <col width="10" customWidth="1" style="322" min="9" max="9"/>
    <col width="36" customWidth="1" style="322" min="10" max="10"/>
    <col width="24" customWidth="1" style="322" min="11" max="11"/>
    <col width="42" customWidth="1" style="322" min="13" max="13"/>
  </cols>
  <sheetData>
    <row r="1">
      <c r="A1" s="480" t="inlineStr">
        <is>
          <t>구분</t>
        </is>
      </c>
      <c r="B1" s="480" t="inlineStr">
        <is>
          <t>주기</t>
        </is>
      </c>
      <c r="C1" s="480" t="inlineStr">
        <is>
          <t>날짜</t>
        </is>
      </c>
      <c r="D1" s="480" t="inlineStr">
        <is>
          <t>시간</t>
        </is>
      </c>
      <c r="E1" s="480" t="inlineStr">
        <is>
          <t>시장/국가</t>
        </is>
      </c>
      <c r="F1" s="480" t="inlineStr">
        <is>
          <t>관련 Ticker</t>
        </is>
      </c>
      <c r="G1" s="480" t="inlineStr">
        <is>
          <t>이벤트명</t>
        </is>
      </c>
      <c r="H1" s="480" t="inlineStr">
        <is>
          <t>중요도</t>
        </is>
      </c>
      <c r="I1" s="480" t="inlineStr">
        <is>
          <t>상태</t>
        </is>
      </c>
      <c r="J1" s="480" t="inlineStr">
        <is>
          <t>메모</t>
        </is>
      </c>
      <c r="K1" s="480" t="inlineStr">
        <is>
          <t>자료 링크</t>
        </is>
      </c>
      <c r="M1" s="481" t="inlineStr">
        <is>
          <t>사용 방법</t>
        </is>
      </c>
    </row>
    <row r="2">
      <c r="A2" s="482" t="inlineStr">
        <is>
          <t>시장</t>
        </is>
      </c>
      <c r="B2" s="482" t="inlineStr">
        <is>
          <t>Weekly</t>
        </is>
      </c>
      <c r="C2" s="483">
        <f>TODAY()-WEEKDAY(TODAY(),2)+1</f>
        <v/>
      </c>
      <c r="D2" s="484" t="inlineStr">
        <is>
          <t>09:00</t>
        </is>
      </c>
      <c r="E2" s="482" t="inlineStr">
        <is>
          <t>US</t>
        </is>
      </c>
      <c r="F2" s="482" t="inlineStr">
        <is>
          <t>SPY</t>
        </is>
      </c>
      <c r="G2" s="482" t="inlineStr">
        <is>
          <t>주간 시장 점검</t>
        </is>
      </c>
      <c r="H2" s="482" t="inlineStr">
        <is>
          <t>중간</t>
        </is>
      </c>
      <c r="I2" s="482" t="inlineStr">
        <is>
          <t>예정</t>
        </is>
      </c>
      <c r="J2" s="482" t="inlineStr">
        <is>
          <t>주요 지수/금리/환율 확인</t>
        </is>
      </c>
      <c r="K2" s="482" t="inlineStr"/>
      <c r="M2" s="485" t="inlineStr">
        <is>
          <t>주기: Weekly 또는 Monthly로 입력</t>
        </is>
      </c>
    </row>
    <row r="3">
      <c r="A3" s="482" t="inlineStr">
        <is>
          <t>실적</t>
        </is>
      </c>
      <c r="B3" s="482" t="inlineStr">
        <is>
          <t>Weekly</t>
        </is>
      </c>
      <c r="C3" s="483">
        <f>TODAY()-WEEKDAY(TODAY(),2)+4</f>
        <v/>
      </c>
      <c r="D3" s="484" t="inlineStr"/>
      <c r="E3" s="482" t="inlineStr">
        <is>
          <t>US</t>
        </is>
      </c>
      <c r="F3" s="482" t="inlineStr">
        <is>
          <t>QQQ</t>
        </is>
      </c>
      <c r="G3" s="482" t="inlineStr">
        <is>
          <t>주요 기술주 실적 체크</t>
        </is>
      </c>
      <c r="H3" s="482" t="inlineStr">
        <is>
          <t>높음</t>
        </is>
      </c>
      <c r="I3" s="482" t="inlineStr">
        <is>
          <t>예정</t>
        </is>
      </c>
      <c r="J3" s="482" t="inlineStr">
        <is>
          <t>보유/관심 종목 중심</t>
        </is>
      </c>
      <c r="K3" s="482" t="inlineStr"/>
      <c r="M3" s="485" t="inlineStr">
        <is>
          <t>관련 Ticker: 관심종목 D열 코드와 맞추면 추적이 쉽습니다.</t>
        </is>
      </c>
    </row>
    <row r="4">
      <c r="A4" s="482" t="inlineStr">
        <is>
          <t>매크로</t>
        </is>
      </c>
      <c r="B4" s="482" t="inlineStr">
        <is>
          <t>Monthly</t>
        </is>
      </c>
      <c r="C4" s="483">
        <f>EOMONTH(TODAY(),-1)+1</f>
        <v/>
      </c>
      <c r="D4" s="484" t="inlineStr"/>
      <c r="E4" s="482" t="inlineStr">
        <is>
          <t>US</t>
        </is>
      </c>
      <c r="F4" s="482" t="inlineStr"/>
      <c r="G4" s="482" t="inlineStr">
        <is>
          <t>월간 경제지표 캘린더 업데이트</t>
        </is>
      </c>
      <c r="H4" s="482" t="inlineStr">
        <is>
          <t>높음</t>
        </is>
      </c>
      <c r="I4" s="482" t="inlineStr">
        <is>
          <t>예정</t>
        </is>
      </c>
      <c r="J4" s="482" t="inlineStr">
        <is>
          <t>CPI/FOMC/고용/PMI 일정 관리</t>
        </is>
      </c>
      <c r="K4" s="482" t="inlineStr"/>
      <c r="M4" s="485" t="inlineStr">
        <is>
          <t>상태: 예정/완료/보류 등으로 관리</t>
        </is>
      </c>
    </row>
    <row r="5">
      <c r="A5" s="482" t="inlineStr">
        <is>
          <t>포트폴리오</t>
        </is>
      </c>
      <c r="B5" s="482" t="inlineStr">
        <is>
          <t>Monthly</t>
        </is>
      </c>
      <c r="C5" s="483">
        <f>EOMONTH(TODAY(),0)</f>
        <v/>
      </c>
      <c r="D5" s="484" t="inlineStr"/>
      <c r="E5" s="482" t="inlineStr">
        <is>
          <t>Global</t>
        </is>
      </c>
      <c r="F5" s="482" t="inlineStr"/>
      <c r="G5" s="482" t="inlineStr">
        <is>
          <t>월말 리밸런싱 검토</t>
        </is>
      </c>
      <c r="H5" s="482" t="inlineStr">
        <is>
          <t>높음</t>
        </is>
      </c>
      <c r="I5" s="482" t="inlineStr">
        <is>
          <t>예정</t>
        </is>
      </c>
      <c r="J5" s="482" t="inlineStr">
        <is>
          <t>목표비중/모멘텀/현금비중 확인</t>
        </is>
      </c>
      <c r="K5" s="482" t="inlineStr"/>
    </row>
    <row r="6">
      <c r="A6" s="482" t="inlineStr"/>
      <c r="B6" s="482" t="inlineStr"/>
      <c r="C6" s="483" t="inlineStr"/>
      <c r="D6" s="484" t="inlineStr"/>
      <c r="E6" s="482" t="inlineStr"/>
      <c r="F6" s="482" t="inlineStr"/>
      <c r="G6" s="482" t="inlineStr"/>
      <c r="H6" s="482" t="inlineStr"/>
      <c r="I6" s="482" t="inlineStr"/>
      <c r="J6" s="482" t="inlineStr"/>
      <c r="K6" s="482" t="inlineStr"/>
    </row>
    <row r="7">
      <c r="A7" s="482" t="inlineStr"/>
      <c r="B7" s="482" t="inlineStr"/>
      <c r="C7" s="483" t="inlineStr"/>
      <c r="D7" s="484" t="inlineStr"/>
      <c r="E7" s="482" t="inlineStr"/>
      <c r="F7" s="482" t="inlineStr"/>
      <c r="G7" s="482" t="inlineStr"/>
      <c r="H7" s="482" t="inlineStr"/>
      <c r="I7" s="482" t="inlineStr"/>
      <c r="J7" s="482" t="inlineStr"/>
      <c r="K7" s="482" t="inlineStr"/>
    </row>
    <row r="8">
      <c r="A8" s="482" t="inlineStr"/>
      <c r="B8" s="482" t="inlineStr"/>
      <c r="C8" s="483" t="inlineStr"/>
      <c r="D8" s="484" t="inlineStr"/>
      <c r="E8" s="482" t="inlineStr"/>
      <c r="F8" s="482" t="inlineStr"/>
      <c r="G8" s="482" t="inlineStr"/>
      <c r="H8" s="482" t="inlineStr"/>
      <c r="I8" s="482" t="inlineStr"/>
      <c r="J8" s="482" t="inlineStr"/>
      <c r="K8" s="482" t="inlineStr"/>
    </row>
    <row r="9">
      <c r="A9" s="482" t="inlineStr"/>
      <c r="B9" s="482" t="inlineStr"/>
      <c r="C9" s="483" t="inlineStr"/>
      <c r="D9" s="484" t="inlineStr"/>
      <c r="E9" s="482" t="inlineStr"/>
      <c r="F9" s="482" t="inlineStr"/>
      <c r="G9" s="482" t="inlineStr"/>
      <c r="H9" s="482" t="inlineStr"/>
      <c r="I9" s="482" t="inlineStr"/>
      <c r="J9" s="482" t="inlineStr"/>
      <c r="K9" s="482" t="inlineStr"/>
    </row>
    <row r="10">
      <c r="A10" s="482" t="inlineStr"/>
      <c r="B10" s="482" t="inlineStr"/>
      <c r="C10" s="483" t="inlineStr"/>
      <c r="D10" s="484" t="inlineStr"/>
      <c r="E10" s="482" t="inlineStr"/>
      <c r="F10" s="482" t="inlineStr"/>
      <c r="G10" s="482" t="inlineStr"/>
      <c r="H10" s="482" t="inlineStr"/>
      <c r="I10" s="482" t="inlineStr"/>
      <c r="J10" s="482" t="inlineStr"/>
      <c r="K10" s="482" t="inlineStr"/>
    </row>
    <row r="11">
      <c r="A11" s="482" t="inlineStr"/>
      <c r="B11" s="482" t="inlineStr"/>
      <c r="C11" s="483" t="inlineStr"/>
      <c r="D11" s="484" t="inlineStr"/>
      <c r="E11" s="482" t="inlineStr"/>
      <c r="F11" s="482" t="inlineStr"/>
      <c r="G11" s="482" t="inlineStr"/>
      <c r="H11" s="482" t="inlineStr"/>
      <c r="I11" s="482" t="inlineStr"/>
      <c r="J11" s="482" t="inlineStr"/>
      <c r="K11" s="482" t="inlineStr"/>
    </row>
    <row r="12">
      <c r="A12" s="482" t="inlineStr"/>
      <c r="B12" s="482" t="inlineStr"/>
      <c r="C12" s="483" t="inlineStr"/>
      <c r="D12" s="484" t="inlineStr"/>
      <c r="E12" s="482" t="inlineStr"/>
      <c r="F12" s="482" t="inlineStr"/>
      <c r="G12" s="482" t="inlineStr"/>
      <c r="H12" s="482" t="inlineStr"/>
      <c r="I12" s="482" t="inlineStr"/>
      <c r="J12" s="482" t="inlineStr"/>
      <c r="K12" s="482" t="inlineStr"/>
    </row>
    <row r="13">
      <c r="A13" s="482" t="inlineStr"/>
      <c r="B13" s="482" t="inlineStr"/>
      <c r="C13" s="483" t="inlineStr"/>
      <c r="D13" s="484" t="inlineStr"/>
      <c r="E13" s="482" t="inlineStr"/>
      <c r="F13" s="482" t="inlineStr"/>
      <c r="G13" s="482" t="inlineStr"/>
      <c r="H13" s="482" t="inlineStr"/>
      <c r="I13" s="482" t="inlineStr"/>
      <c r="J13" s="482" t="inlineStr"/>
      <c r="K13" s="482" t="inlineStr"/>
    </row>
    <row r="14">
      <c r="A14" s="482" t="inlineStr"/>
      <c r="B14" s="482" t="inlineStr"/>
      <c r="C14" s="483" t="inlineStr"/>
      <c r="D14" s="484" t="inlineStr"/>
      <c r="E14" s="482" t="inlineStr"/>
      <c r="F14" s="482" t="inlineStr"/>
      <c r="G14" s="482" t="inlineStr"/>
      <c r="H14" s="482" t="inlineStr"/>
      <c r="I14" s="482" t="inlineStr"/>
      <c r="J14" s="482" t="inlineStr"/>
      <c r="K14" s="482" t="inlineStr"/>
    </row>
    <row r="15">
      <c r="A15" s="482" t="inlineStr"/>
      <c r="B15" s="482" t="inlineStr"/>
      <c r="C15" s="483" t="inlineStr"/>
      <c r="D15" s="484" t="inlineStr"/>
      <c r="E15" s="482" t="inlineStr"/>
      <c r="F15" s="482" t="inlineStr"/>
      <c r="G15" s="482" t="inlineStr"/>
      <c r="H15" s="482" t="inlineStr"/>
      <c r="I15" s="482" t="inlineStr"/>
      <c r="J15" s="482" t="inlineStr"/>
      <c r="K15" s="482" t="inlineStr"/>
    </row>
    <row r="16">
      <c r="A16" s="482" t="inlineStr"/>
      <c r="B16" s="482" t="inlineStr"/>
      <c r="C16" s="483" t="inlineStr"/>
      <c r="D16" s="484" t="inlineStr"/>
      <c r="E16" s="482" t="inlineStr"/>
      <c r="F16" s="482" t="inlineStr"/>
      <c r="G16" s="482" t="inlineStr"/>
      <c r="H16" s="482" t="inlineStr"/>
      <c r="I16" s="482" t="inlineStr"/>
      <c r="J16" s="482" t="inlineStr"/>
      <c r="K16" s="482" t="inlineStr"/>
    </row>
    <row r="17">
      <c r="A17" s="482" t="inlineStr"/>
      <c r="B17" s="482" t="inlineStr"/>
      <c r="C17" s="483" t="inlineStr"/>
      <c r="D17" s="484" t="inlineStr"/>
      <c r="E17" s="482" t="inlineStr"/>
      <c r="F17" s="482" t="inlineStr"/>
      <c r="G17" s="482" t="inlineStr"/>
      <c r="H17" s="482" t="inlineStr"/>
      <c r="I17" s="482" t="inlineStr"/>
      <c r="J17" s="482" t="inlineStr"/>
      <c r="K17" s="482" t="inlineStr"/>
    </row>
    <row r="18">
      <c r="A18" s="482" t="inlineStr"/>
      <c r="B18" s="482" t="inlineStr"/>
      <c r="C18" s="483" t="inlineStr"/>
      <c r="D18" s="484" t="inlineStr"/>
      <c r="E18" s="482" t="inlineStr"/>
      <c r="F18" s="482" t="inlineStr"/>
      <c r="G18" s="482" t="inlineStr"/>
      <c r="H18" s="482" t="inlineStr"/>
      <c r="I18" s="482" t="inlineStr"/>
      <c r="J18" s="482" t="inlineStr"/>
      <c r="K18" s="482" t="inlineStr"/>
    </row>
    <row r="19">
      <c r="A19" s="482" t="inlineStr"/>
      <c r="B19" s="482" t="inlineStr"/>
      <c r="C19" s="483" t="inlineStr"/>
      <c r="D19" s="484" t="inlineStr"/>
      <c r="E19" s="482" t="inlineStr"/>
      <c r="F19" s="482" t="inlineStr"/>
      <c r="G19" s="482" t="inlineStr"/>
      <c r="H19" s="482" t="inlineStr"/>
      <c r="I19" s="482" t="inlineStr"/>
      <c r="J19" s="482" t="inlineStr"/>
      <c r="K19" s="482" t="inlineStr"/>
    </row>
    <row r="20">
      <c r="A20" s="482" t="inlineStr"/>
      <c r="B20" s="482" t="inlineStr"/>
      <c r="C20" s="483" t="inlineStr"/>
      <c r="D20" s="484" t="inlineStr"/>
      <c r="E20" s="482" t="inlineStr"/>
      <c r="F20" s="482" t="inlineStr"/>
      <c r="G20" s="482" t="inlineStr"/>
      <c r="H20" s="482" t="inlineStr"/>
      <c r="I20" s="482" t="inlineStr"/>
      <c r="J20" s="482" t="inlineStr"/>
      <c r="K20" s="482" t="inlineStr"/>
    </row>
    <row r="21">
      <c r="A21" s="482" t="inlineStr"/>
      <c r="B21" s="482" t="inlineStr"/>
      <c r="C21" s="483" t="inlineStr"/>
      <c r="D21" s="484" t="inlineStr"/>
      <c r="E21" s="482" t="inlineStr"/>
      <c r="F21" s="482" t="inlineStr"/>
      <c r="G21" s="482" t="inlineStr"/>
      <c r="H21" s="482" t="inlineStr"/>
      <c r="I21" s="482" t="inlineStr"/>
      <c r="J21" s="482" t="inlineStr"/>
      <c r="K21" s="482" t="inlineStr"/>
    </row>
    <row r="22">
      <c r="A22" s="482" t="inlineStr"/>
      <c r="B22" s="482" t="inlineStr"/>
      <c r="C22" s="483" t="inlineStr"/>
      <c r="D22" s="484" t="inlineStr"/>
      <c r="E22" s="482" t="inlineStr"/>
      <c r="F22" s="482" t="inlineStr"/>
      <c r="G22" s="482" t="inlineStr"/>
      <c r="H22" s="482" t="inlineStr"/>
      <c r="I22" s="482" t="inlineStr"/>
      <c r="J22" s="482" t="inlineStr"/>
      <c r="K22" s="482" t="inlineStr"/>
    </row>
    <row r="23">
      <c r="A23" s="482" t="inlineStr"/>
      <c r="B23" s="482" t="inlineStr"/>
      <c r="C23" s="483" t="inlineStr"/>
      <c r="D23" s="484" t="inlineStr"/>
      <c r="E23" s="482" t="inlineStr"/>
      <c r="F23" s="482" t="inlineStr"/>
      <c r="G23" s="482" t="inlineStr"/>
      <c r="H23" s="482" t="inlineStr"/>
      <c r="I23" s="482" t="inlineStr"/>
      <c r="J23" s="482" t="inlineStr"/>
      <c r="K23" s="482" t="inlineStr"/>
    </row>
    <row r="24">
      <c r="A24" s="482" t="inlineStr"/>
      <c r="B24" s="482" t="inlineStr"/>
      <c r="C24" s="483" t="inlineStr"/>
      <c r="D24" s="484" t="inlineStr"/>
      <c r="E24" s="482" t="inlineStr"/>
      <c r="F24" s="482" t="inlineStr"/>
      <c r="G24" s="482" t="inlineStr"/>
      <c r="H24" s="482" t="inlineStr"/>
      <c r="I24" s="482" t="inlineStr"/>
      <c r="J24" s="482" t="inlineStr"/>
      <c r="K24" s="482" t="inlineStr"/>
    </row>
    <row r="25">
      <c r="A25" s="482" t="inlineStr"/>
      <c r="B25" s="482" t="inlineStr"/>
      <c r="C25" s="483" t="inlineStr"/>
      <c r="D25" s="484" t="inlineStr"/>
      <c r="E25" s="482" t="inlineStr"/>
      <c r="F25" s="482" t="inlineStr"/>
      <c r="G25" s="482" t="inlineStr"/>
      <c r="H25" s="482" t="inlineStr"/>
      <c r="I25" s="482" t="inlineStr"/>
      <c r="J25" s="482" t="inlineStr"/>
      <c r="K25" s="482" t="inlineStr"/>
    </row>
    <row r="26">
      <c r="A26" s="482" t="inlineStr"/>
      <c r="B26" s="482" t="inlineStr"/>
      <c r="C26" s="483" t="inlineStr"/>
      <c r="D26" s="484" t="inlineStr"/>
      <c r="E26" s="482" t="inlineStr"/>
      <c r="F26" s="482" t="inlineStr"/>
      <c r="G26" s="482" t="inlineStr"/>
      <c r="H26" s="482" t="inlineStr"/>
      <c r="I26" s="482" t="inlineStr"/>
      <c r="J26" s="482" t="inlineStr"/>
      <c r="K26" s="482" t="inlineStr"/>
    </row>
    <row r="27">
      <c r="A27" s="482" t="inlineStr"/>
      <c r="B27" s="482" t="inlineStr"/>
      <c r="C27" s="483" t="inlineStr"/>
      <c r="D27" s="484" t="inlineStr"/>
      <c r="E27" s="482" t="inlineStr"/>
      <c r="F27" s="482" t="inlineStr"/>
      <c r="G27" s="482" t="inlineStr"/>
      <c r="H27" s="482" t="inlineStr"/>
      <c r="I27" s="482" t="inlineStr"/>
      <c r="J27" s="482" t="inlineStr"/>
      <c r="K27" s="482" t="inlineStr"/>
    </row>
    <row r="28">
      <c r="A28" s="482" t="inlineStr"/>
      <c r="B28" s="482" t="inlineStr"/>
      <c r="C28" s="483" t="inlineStr"/>
      <c r="D28" s="484" t="inlineStr"/>
      <c r="E28" s="482" t="inlineStr"/>
      <c r="F28" s="482" t="inlineStr"/>
      <c r="G28" s="482" t="inlineStr"/>
      <c r="H28" s="482" t="inlineStr"/>
      <c r="I28" s="482" t="inlineStr"/>
      <c r="J28" s="482" t="inlineStr"/>
      <c r="K28" s="482" t="inlineStr"/>
    </row>
    <row r="29">
      <c r="A29" s="482" t="inlineStr"/>
      <c r="B29" s="482" t="inlineStr"/>
      <c r="C29" s="483" t="inlineStr"/>
      <c r="D29" s="484" t="inlineStr"/>
      <c r="E29" s="482" t="inlineStr"/>
      <c r="F29" s="482" t="inlineStr"/>
      <c r="G29" s="482" t="inlineStr"/>
      <c r="H29" s="482" t="inlineStr"/>
      <c r="I29" s="482" t="inlineStr"/>
      <c r="J29" s="482" t="inlineStr"/>
      <c r="K29" s="482" t="inlineStr"/>
    </row>
    <row r="30">
      <c r="A30" s="482" t="inlineStr"/>
      <c r="B30" s="482" t="inlineStr"/>
      <c r="C30" s="483" t="inlineStr"/>
      <c r="D30" s="484" t="inlineStr"/>
      <c r="E30" s="482" t="inlineStr"/>
      <c r="F30" s="482" t="inlineStr"/>
      <c r="G30" s="482" t="inlineStr"/>
      <c r="H30" s="482" t="inlineStr"/>
      <c r="I30" s="482" t="inlineStr"/>
      <c r="J30" s="482" t="inlineStr"/>
      <c r="K30" s="482" t="inlineStr"/>
    </row>
    <row r="31">
      <c r="A31" s="482" t="inlineStr"/>
      <c r="B31" s="482" t="inlineStr"/>
      <c r="C31" s="483" t="inlineStr"/>
      <c r="D31" s="484" t="inlineStr"/>
      <c r="E31" s="482" t="inlineStr"/>
      <c r="F31" s="482" t="inlineStr"/>
      <c r="G31" s="482" t="inlineStr"/>
      <c r="H31" s="482" t="inlineStr"/>
      <c r="I31" s="482" t="inlineStr"/>
      <c r="J31" s="482" t="inlineStr"/>
      <c r="K31" s="482" t="inlineStr"/>
    </row>
    <row r="32">
      <c r="A32" s="482" t="inlineStr"/>
      <c r="B32" s="482" t="inlineStr"/>
      <c r="C32" s="483" t="inlineStr"/>
      <c r="D32" s="484" t="inlineStr"/>
      <c r="E32" s="482" t="inlineStr"/>
      <c r="F32" s="482" t="inlineStr"/>
      <c r="G32" s="482" t="inlineStr"/>
      <c r="H32" s="482" t="inlineStr"/>
      <c r="I32" s="482" t="inlineStr"/>
      <c r="J32" s="482" t="inlineStr"/>
      <c r="K32" s="482" t="inlineStr"/>
    </row>
    <row r="33">
      <c r="A33" s="482" t="inlineStr"/>
      <c r="B33" s="482" t="inlineStr"/>
      <c r="C33" s="483" t="inlineStr"/>
      <c r="D33" s="484" t="inlineStr"/>
      <c r="E33" s="482" t="inlineStr"/>
      <c r="F33" s="482" t="inlineStr"/>
      <c r="G33" s="482" t="inlineStr"/>
      <c r="H33" s="482" t="inlineStr"/>
      <c r="I33" s="482" t="inlineStr"/>
      <c r="J33" s="482" t="inlineStr"/>
      <c r="K33" s="482" t="inlineStr"/>
    </row>
    <row r="34">
      <c r="A34" s="482" t="inlineStr"/>
      <c r="B34" s="482" t="inlineStr"/>
      <c r="C34" s="483" t="inlineStr"/>
      <c r="D34" s="484" t="inlineStr"/>
      <c r="E34" s="482" t="inlineStr"/>
      <c r="F34" s="482" t="inlineStr"/>
      <c r="G34" s="482" t="inlineStr"/>
      <c r="H34" s="482" t="inlineStr"/>
      <c r="I34" s="482" t="inlineStr"/>
      <c r="J34" s="482" t="inlineStr"/>
      <c r="K34" s="482" t="inlineStr"/>
    </row>
    <row r="35">
      <c r="A35" s="482" t="inlineStr"/>
      <c r="B35" s="482" t="inlineStr"/>
      <c r="C35" s="483" t="inlineStr"/>
      <c r="D35" s="484" t="inlineStr"/>
      <c r="E35" s="482" t="inlineStr"/>
      <c r="F35" s="482" t="inlineStr"/>
      <c r="G35" s="482" t="inlineStr"/>
      <c r="H35" s="482" t="inlineStr"/>
      <c r="I35" s="482" t="inlineStr"/>
      <c r="J35" s="482" t="inlineStr"/>
      <c r="K35" s="482" t="inlineStr"/>
    </row>
    <row r="36">
      <c r="A36" s="482" t="inlineStr"/>
      <c r="B36" s="482" t="inlineStr"/>
      <c r="C36" s="483" t="inlineStr"/>
      <c r="D36" s="484" t="inlineStr"/>
      <c r="E36" s="482" t="inlineStr"/>
      <c r="F36" s="482" t="inlineStr"/>
      <c r="G36" s="482" t="inlineStr"/>
      <c r="H36" s="482" t="inlineStr"/>
      <c r="I36" s="482" t="inlineStr"/>
      <c r="J36" s="482" t="inlineStr"/>
      <c r="K36" s="482" t="inlineStr"/>
    </row>
    <row r="37">
      <c r="A37" s="482" t="inlineStr"/>
      <c r="B37" s="482" t="inlineStr"/>
      <c r="C37" s="483" t="inlineStr"/>
      <c r="D37" s="484" t="inlineStr"/>
      <c r="E37" s="482" t="inlineStr"/>
      <c r="F37" s="482" t="inlineStr"/>
      <c r="G37" s="482" t="inlineStr"/>
      <c r="H37" s="482" t="inlineStr"/>
      <c r="I37" s="482" t="inlineStr"/>
      <c r="J37" s="482" t="inlineStr"/>
      <c r="K37" s="482" t="inlineStr"/>
    </row>
    <row r="38">
      <c r="A38" s="482" t="inlineStr"/>
      <c r="B38" s="482" t="inlineStr"/>
      <c r="C38" s="483" t="inlineStr"/>
      <c r="D38" s="484" t="inlineStr"/>
      <c r="E38" s="482" t="inlineStr"/>
      <c r="F38" s="482" t="inlineStr"/>
      <c r="G38" s="482" t="inlineStr"/>
      <c r="H38" s="482" t="inlineStr"/>
      <c r="I38" s="482" t="inlineStr"/>
      <c r="J38" s="482" t="inlineStr"/>
      <c r="K38" s="482" t="inlineStr"/>
    </row>
    <row r="39">
      <c r="A39" s="482" t="inlineStr"/>
      <c r="B39" s="482" t="inlineStr"/>
      <c r="C39" s="483" t="inlineStr"/>
      <c r="D39" s="484" t="inlineStr"/>
      <c r="E39" s="482" t="inlineStr"/>
      <c r="F39" s="482" t="inlineStr"/>
      <c r="G39" s="482" t="inlineStr"/>
      <c r="H39" s="482" t="inlineStr"/>
      <c r="I39" s="482" t="inlineStr"/>
      <c r="J39" s="482" t="inlineStr"/>
      <c r="K39" s="482" t="inlineStr"/>
    </row>
    <row r="40">
      <c r="A40" s="482" t="inlineStr"/>
      <c r="B40" s="482" t="inlineStr"/>
      <c r="C40" s="483" t="inlineStr"/>
      <c r="D40" s="484" t="inlineStr"/>
      <c r="E40" s="482" t="inlineStr"/>
      <c r="F40" s="482" t="inlineStr"/>
      <c r="G40" s="482" t="inlineStr"/>
      <c r="H40" s="482" t="inlineStr"/>
      <c r="I40" s="482" t="inlineStr"/>
      <c r="J40" s="482" t="inlineStr"/>
      <c r="K40" s="482" t="inlineStr"/>
    </row>
    <row r="41">
      <c r="A41" s="482" t="inlineStr"/>
      <c r="B41" s="482" t="inlineStr"/>
      <c r="C41" s="483" t="inlineStr"/>
      <c r="D41" s="484" t="inlineStr"/>
      <c r="E41" s="482" t="inlineStr"/>
      <c r="F41" s="482" t="inlineStr"/>
      <c r="G41" s="482" t="inlineStr"/>
      <c r="H41" s="482" t="inlineStr"/>
      <c r="I41" s="482" t="inlineStr"/>
      <c r="J41" s="482" t="inlineStr"/>
      <c r="K41" s="482" t="inlineStr"/>
    </row>
    <row r="42">
      <c r="A42" s="482" t="inlineStr"/>
      <c r="B42" s="482" t="inlineStr"/>
      <c r="C42" s="483" t="inlineStr"/>
      <c r="D42" s="484" t="inlineStr"/>
      <c r="E42" s="482" t="inlineStr"/>
      <c r="F42" s="482" t="inlineStr"/>
      <c r="G42" s="482" t="inlineStr"/>
      <c r="H42" s="482" t="inlineStr"/>
      <c r="I42" s="482" t="inlineStr"/>
      <c r="J42" s="482" t="inlineStr"/>
      <c r="K42" s="482" t="inlineStr"/>
    </row>
    <row r="43">
      <c r="A43" s="482" t="inlineStr"/>
      <c r="B43" s="482" t="inlineStr"/>
      <c r="C43" s="483" t="inlineStr"/>
      <c r="D43" s="484" t="inlineStr"/>
      <c r="E43" s="482" t="inlineStr"/>
      <c r="F43" s="482" t="inlineStr"/>
      <c r="G43" s="482" t="inlineStr"/>
      <c r="H43" s="482" t="inlineStr"/>
      <c r="I43" s="482" t="inlineStr"/>
      <c r="J43" s="482" t="inlineStr"/>
      <c r="K43" s="482" t="inlineStr"/>
    </row>
    <row r="44">
      <c r="A44" s="482" t="inlineStr"/>
      <c r="B44" s="482" t="inlineStr"/>
      <c r="C44" s="483" t="inlineStr"/>
      <c r="D44" s="484" t="inlineStr"/>
      <c r="E44" s="482" t="inlineStr"/>
      <c r="F44" s="482" t="inlineStr"/>
      <c r="G44" s="482" t="inlineStr"/>
      <c r="H44" s="482" t="inlineStr"/>
      <c r="I44" s="482" t="inlineStr"/>
      <c r="J44" s="482" t="inlineStr"/>
      <c r="K44" s="482" t="inlineStr"/>
    </row>
    <row r="45">
      <c r="A45" s="482" t="inlineStr"/>
      <c r="B45" s="482" t="inlineStr"/>
      <c r="C45" s="483" t="inlineStr"/>
      <c r="D45" s="484" t="inlineStr"/>
      <c r="E45" s="482" t="inlineStr"/>
      <c r="F45" s="482" t="inlineStr"/>
      <c r="G45" s="482" t="inlineStr"/>
      <c r="H45" s="482" t="inlineStr"/>
      <c r="I45" s="482" t="inlineStr"/>
      <c r="J45" s="482" t="inlineStr"/>
      <c r="K45" s="482" t="inlineStr"/>
    </row>
    <row r="46">
      <c r="A46" s="482" t="inlineStr"/>
      <c r="B46" s="482" t="inlineStr"/>
      <c r="C46" s="483" t="inlineStr"/>
      <c r="D46" s="484" t="inlineStr"/>
      <c r="E46" s="482" t="inlineStr"/>
      <c r="F46" s="482" t="inlineStr"/>
      <c r="G46" s="482" t="inlineStr"/>
      <c r="H46" s="482" t="inlineStr"/>
      <c r="I46" s="482" t="inlineStr"/>
      <c r="J46" s="482" t="inlineStr"/>
      <c r="K46" s="482" t="inlineStr"/>
    </row>
    <row r="47">
      <c r="A47" s="482" t="inlineStr"/>
      <c r="B47" s="482" t="inlineStr"/>
      <c r="C47" s="483" t="inlineStr"/>
      <c r="D47" s="484" t="inlineStr"/>
      <c r="E47" s="482" t="inlineStr"/>
      <c r="F47" s="482" t="inlineStr"/>
      <c r="G47" s="482" t="inlineStr"/>
      <c r="H47" s="482" t="inlineStr"/>
      <c r="I47" s="482" t="inlineStr"/>
      <c r="J47" s="482" t="inlineStr"/>
      <c r="K47" s="482" t="inlineStr"/>
    </row>
    <row r="48">
      <c r="A48" s="482" t="inlineStr"/>
      <c r="B48" s="482" t="inlineStr"/>
      <c r="C48" s="483" t="inlineStr"/>
      <c r="D48" s="484" t="inlineStr"/>
      <c r="E48" s="482" t="inlineStr"/>
      <c r="F48" s="482" t="inlineStr"/>
      <c r="G48" s="482" t="inlineStr"/>
      <c r="H48" s="482" t="inlineStr"/>
      <c r="I48" s="482" t="inlineStr"/>
      <c r="J48" s="482" t="inlineStr"/>
      <c r="K48" s="482" t="inlineStr"/>
    </row>
    <row r="49">
      <c r="A49" s="482" t="inlineStr"/>
      <c r="B49" s="482" t="inlineStr"/>
      <c r="C49" s="483" t="inlineStr"/>
      <c r="D49" s="484" t="inlineStr"/>
      <c r="E49" s="482" t="inlineStr"/>
      <c r="F49" s="482" t="inlineStr"/>
      <c r="G49" s="482" t="inlineStr"/>
      <c r="H49" s="482" t="inlineStr"/>
      <c r="I49" s="482" t="inlineStr"/>
      <c r="J49" s="482" t="inlineStr"/>
      <c r="K49" s="482" t="inlineStr"/>
    </row>
    <row r="50">
      <c r="A50" s="482" t="inlineStr"/>
      <c r="B50" s="482" t="inlineStr"/>
      <c r="C50" s="483" t="inlineStr"/>
      <c r="D50" s="484" t="inlineStr"/>
      <c r="E50" s="482" t="inlineStr"/>
      <c r="F50" s="482" t="inlineStr"/>
      <c r="G50" s="482" t="inlineStr"/>
      <c r="H50" s="482" t="inlineStr"/>
      <c r="I50" s="482" t="inlineStr"/>
      <c r="J50" s="482" t="inlineStr"/>
      <c r="K50" s="482" t="inlineStr"/>
    </row>
    <row r="51">
      <c r="A51" s="482" t="inlineStr"/>
      <c r="B51" s="482" t="inlineStr"/>
      <c r="C51" s="483" t="inlineStr"/>
      <c r="D51" s="484" t="inlineStr"/>
      <c r="E51" s="482" t="inlineStr"/>
      <c r="F51" s="482" t="inlineStr"/>
      <c r="G51" s="482" t="inlineStr"/>
      <c r="H51" s="482" t="inlineStr"/>
      <c r="I51" s="482" t="inlineStr"/>
      <c r="J51" s="482" t="inlineStr"/>
      <c r="K51" s="482" t="inlineStr"/>
    </row>
    <row r="52">
      <c r="A52" s="482" t="inlineStr"/>
      <c r="B52" s="482" t="inlineStr"/>
      <c r="C52" s="483" t="inlineStr"/>
      <c r="D52" s="484" t="inlineStr"/>
      <c r="E52" s="482" t="inlineStr"/>
      <c r="F52" s="482" t="inlineStr"/>
      <c r="G52" s="482" t="inlineStr"/>
      <c r="H52" s="482" t="inlineStr"/>
      <c r="I52" s="482" t="inlineStr"/>
      <c r="J52" s="482" t="inlineStr"/>
      <c r="K52" s="482" t="inlineStr"/>
    </row>
    <row r="53">
      <c r="A53" s="482" t="inlineStr"/>
      <c r="B53" s="482" t="inlineStr"/>
      <c r="C53" s="483" t="inlineStr"/>
      <c r="D53" s="484" t="inlineStr"/>
      <c r="E53" s="482" t="inlineStr"/>
      <c r="F53" s="482" t="inlineStr"/>
      <c r="G53" s="482" t="inlineStr"/>
      <c r="H53" s="482" t="inlineStr"/>
      <c r="I53" s="482" t="inlineStr"/>
      <c r="J53" s="482" t="inlineStr"/>
      <c r="K53" s="482" t="inlineStr"/>
    </row>
    <row r="54">
      <c r="A54" s="482" t="inlineStr"/>
      <c r="B54" s="482" t="inlineStr"/>
      <c r="C54" s="483" t="inlineStr"/>
      <c r="D54" s="484" t="inlineStr"/>
      <c r="E54" s="482" t="inlineStr"/>
      <c r="F54" s="482" t="inlineStr"/>
      <c r="G54" s="482" t="inlineStr"/>
      <c r="H54" s="482" t="inlineStr"/>
      <c r="I54" s="482" t="inlineStr"/>
      <c r="J54" s="482" t="inlineStr"/>
      <c r="K54" s="482" t="inlineStr"/>
    </row>
    <row r="55">
      <c r="A55" s="482" t="inlineStr"/>
      <c r="B55" s="482" t="inlineStr"/>
      <c r="C55" s="483" t="inlineStr"/>
      <c r="D55" s="484" t="inlineStr"/>
      <c r="E55" s="482" t="inlineStr"/>
      <c r="F55" s="482" t="inlineStr"/>
      <c r="G55" s="482" t="inlineStr"/>
      <c r="H55" s="482" t="inlineStr"/>
      <c r="I55" s="482" t="inlineStr"/>
      <c r="J55" s="482" t="inlineStr"/>
      <c r="K55" s="482" t="inlineStr"/>
    </row>
    <row r="56">
      <c r="A56" s="482" t="inlineStr"/>
      <c r="B56" s="482" t="inlineStr"/>
      <c r="C56" s="483" t="inlineStr"/>
      <c r="D56" s="484" t="inlineStr"/>
      <c r="E56" s="482" t="inlineStr"/>
      <c r="F56" s="482" t="inlineStr"/>
      <c r="G56" s="482" t="inlineStr"/>
      <c r="H56" s="482" t="inlineStr"/>
      <c r="I56" s="482" t="inlineStr"/>
      <c r="J56" s="482" t="inlineStr"/>
      <c r="K56" s="482" t="inlineStr"/>
    </row>
    <row r="57">
      <c r="A57" s="482" t="inlineStr"/>
      <c r="B57" s="482" t="inlineStr"/>
      <c r="C57" s="483" t="inlineStr"/>
      <c r="D57" s="484" t="inlineStr"/>
      <c r="E57" s="482" t="inlineStr"/>
      <c r="F57" s="482" t="inlineStr"/>
      <c r="G57" s="482" t="inlineStr"/>
      <c r="H57" s="482" t="inlineStr"/>
      <c r="I57" s="482" t="inlineStr"/>
      <c r="J57" s="482" t="inlineStr"/>
      <c r="K57" s="482" t="inlineStr"/>
    </row>
    <row r="58">
      <c r="A58" s="482" t="inlineStr"/>
      <c r="B58" s="482" t="inlineStr"/>
      <c r="C58" s="483" t="inlineStr"/>
      <c r="D58" s="484" t="inlineStr"/>
      <c r="E58" s="482" t="inlineStr"/>
      <c r="F58" s="482" t="inlineStr"/>
      <c r="G58" s="482" t="inlineStr"/>
      <c r="H58" s="482" t="inlineStr"/>
      <c r="I58" s="482" t="inlineStr"/>
      <c r="J58" s="482" t="inlineStr"/>
      <c r="K58" s="482" t="inlineStr"/>
    </row>
    <row r="59">
      <c r="A59" s="482" t="inlineStr"/>
      <c r="B59" s="482" t="inlineStr"/>
      <c r="C59" s="483" t="inlineStr"/>
      <c r="D59" s="484" t="inlineStr"/>
      <c r="E59" s="482" t="inlineStr"/>
      <c r="F59" s="482" t="inlineStr"/>
      <c r="G59" s="482" t="inlineStr"/>
      <c r="H59" s="482" t="inlineStr"/>
      <c r="I59" s="482" t="inlineStr"/>
      <c r="J59" s="482" t="inlineStr"/>
      <c r="K59" s="482" t="inlineStr"/>
    </row>
    <row r="60">
      <c r="A60" s="482" t="inlineStr"/>
      <c r="B60" s="482" t="inlineStr"/>
      <c r="C60" s="483" t="inlineStr"/>
      <c r="D60" s="484" t="inlineStr"/>
      <c r="E60" s="482" t="inlineStr"/>
      <c r="F60" s="482" t="inlineStr"/>
      <c r="G60" s="482" t="inlineStr"/>
      <c r="H60" s="482" t="inlineStr"/>
      <c r="I60" s="482" t="inlineStr"/>
      <c r="J60" s="482" t="inlineStr"/>
      <c r="K60" s="482" t="inlineStr"/>
    </row>
    <row r="61">
      <c r="A61" s="482" t="inlineStr"/>
      <c r="B61" s="482" t="inlineStr"/>
      <c r="C61" s="483" t="inlineStr"/>
      <c r="D61" s="484" t="inlineStr"/>
      <c r="E61" s="482" t="inlineStr"/>
      <c r="F61" s="482" t="inlineStr"/>
      <c r="G61" s="482" t="inlineStr"/>
      <c r="H61" s="482" t="inlineStr"/>
      <c r="I61" s="482" t="inlineStr"/>
      <c r="J61" s="482" t="inlineStr"/>
      <c r="K61" s="482" t="inlineStr"/>
    </row>
    <row r="62">
      <c r="A62" s="482" t="inlineStr"/>
      <c r="B62" s="482" t="inlineStr"/>
      <c r="C62" s="483" t="inlineStr"/>
      <c r="D62" s="484" t="inlineStr"/>
      <c r="E62" s="482" t="inlineStr"/>
      <c r="F62" s="482" t="inlineStr"/>
      <c r="G62" s="482" t="inlineStr"/>
      <c r="H62" s="482" t="inlineStr"/>
      <c r="I62" s="482" t="inlineStr"/>
      <c r="J62" s="482" t="inlineStr"/>
      <c r="K62" s="482" t="inlineStr"/>
    </row>
    <row r="63">
      <c r="A63" s="482" t="inlineStr"/>
      <c r="B63" s="482" t="inlineStr"/>
      <c r="C63" s="483" t="inlineStr"/>
      <c r="D63" s="484" t="inlineStr"/>
      <c r="E63" s="482" t="inlineStr"/>
      <c r="F63" s="482" t="inlineStr"/>
      <c r="G63" s="482" t="inlineStr"/>
      <c r="H63" s="482" t="inlineStr"/>
      <c r="I63" s="482" t="inlineStr"/>
      <c r="J63" s="482" t="inlineStr"/>
      <c r="K63" s="482" t="inlineStr"/>
    </row>
    <row r="64">
      <c r="A64" s="482" t="inlineStr"/>
      <c r="B64" s="482" t="inlineStr"/>
      <c r="C64" s="483" t="inlineStr"/>
      <c r="D64" s="484" t="inlineStr"/>
      <c r="E64" s="482" t="inlineStr"/>
      <c r="F64" s="482" t="inlineStr"/>
      <c r="G64" s="482" t="inlineStr"/>
      <c r="H64" s="482" t="inlineStr"/>
      <c r="I64" s="482" t="inlineStr"/>
      <c r="J64" s="482" t="inlineStr"/>
      <c r="K64" s="482" t="inlineStr"/>
    </row>
    <row r="65">
      <c r="A65" s="482" t="inlineStr"/>
      <c r="B65" s="482" t="inlineStr"/>
      <c r="C65" s="483" t="inlineStr"/>
      <c r="D65" s="484" t="inlineStr"/>
      <c r="E65" s="482" t="inlineStr"/>
      <c r="F65" s="482" t="inlineStr"/>
      <c r="G65" s="482" t="inlineStr"/>
      <c r="H65" s="482" t="inlineStr"/>
      <c r="I65" s="482" t="inlineStr"/>
      <c r="J65" s="482" t="inlineStr"/>
      <c r="K65" s="482" t="inlineStr"/>
    </row>
    <row r="66">
      <c r="A66" s="482" t="inlineStr"/>
      <c r="B66" s="482" t="inlineStr"/>
      <c r="C66" s="483" t="inlineStr"/>
      <c r="D66" s="484" t="inlineStr"/>
      <c r="E66" s="482" t="inlineStr"/>
      <c r="F66" s="482" t="inlineStr"/>
      <c r="G66" s="482" t="inlineStr"/>
      <c r="H66" s="482" t="inlineStr"/>
      <c r="I66" s="482" t="inlineStr"/>
      <c r="J66" s="482" t="inlineStr"/>
      <c r="K66" s="482" t="inlineStr"/>
    </row>
    <row r="67">
      <c r="A67" s="482" t="inlineStr"/>
      <c r="B67" s="482" t="inlineStr"/>
      <c r="C67" s="483" t="inlineStr"/>
      <c r="D67" s="484" t="inlineStr"/>
      <c r="E67" s="482" t="inlineStr"/>
      <c r="F67" s="482" t="inlineStr"/>
      <c r="G67" s="482" t="inlineStr"/>
      <c r="H67" s="482" t="inlineStr"/>
      <c r="I67" s="482" t="inlineStr"/>
      <c r="J67" s="482" t="inlineStr"/>
      <c r="K67" s="482" t="inlineStr"/>
    </row>
    <row r="68">
      <c r="A68" s="482" t="inlineStr"/>
      <c r="B68" s="482" t="inlineStr"/>
      <c r="C68" s="483" t="inlineStr"/>
      <c r="D68" s="484" t="inlineStr"/>
      <c r="E68" s="482" t="inlineStr"/>
      <c r="F68" s="482" t="inlineStr"/>
      <c r="G68" s="482" t="inlineStr"/>
      <c r="H68" s="482" t="inlineStr"/>
      <c r="I68" s="482" t="inlineStr"/>
      <c r="J68" s="482" t="inlineStr"/>
      <c r="K68" s="482" t="inlineStr"/>
    </row>
    <row r="69">
      <c r="A69" s="482" t="inlineStr"/>
      <c r="B69" s="482" t="inlineStr"/>
      <c r="C69" s="483" t="inlineStr"/>
      <c r="D69" s="484" t="inlineStr"/>
      <c r="E69" s="482" t="inlineStr"/>
      <c r="F69" s="482" t="inlineStr"/>
      <c r="G69" s="482" t="inlineStr"/>
      <c r="H69" s="482" t="inlineStr"/>
      <c r="I69" s="482" t="inlineStr"/>
      <c r="J69" s="482" t="inlineStr"/>
      <c r="K69" s="482" t="inlineStr"/>
    </row>
    <row r="70">
      <c r="A70" s="482" t="inlineStr"/>
      <c r="B70" s="482" t="inlineStr"/>
      <c r="C70" s="483" t="inlineStr"/>
      <c r="D70" s="484" t="inlineStr"/>
      <c r="E70" s="482" t="inlineStr"/>
      <c r="F70" s="482" t="inlineStr"/>
      <c r="G70" s="482" t="inlineStr"/>
      <c r="H70" s="482" t="inlineStr"/>
      <c r="I70" s="482" t="inlineStr"/>
      <c r="J70" s="482" t="inlineStr"/>
      <c r="K70" s="482" t="inlineStr"/>
    </row>
    <row r="71">
      <c r="A71" s="482" t="inlineStr"/>
      <c r="B71" s="482" t="inlineStr"/>
      <c r="C71" s="483" t="inlineStr"/>
      <c r="D71" s="484" t="inlineStr"/>
      <c r="E71" s="482" t="inlineStr"/>
      <c r="F71" s="482" t="inlineStr"/>
      <c r="G71" s="482" t="inlineStr"/>
      <c r="H71" s="482" t="inlineStr"/>
      <c r="I71" s="482" t="inlineStr"/>
      <c r="J71" s="482" t="inlineStr"/>
      <c r="K71" s="482" t="inlineStr"/>
    </row>
    <row r="72">
      <c r="A72" s="482" t="inlineStr"/>
      <c r="B72" s="482" t="inlineStr"/>
      <c r="C72" s="483" t="inlineStr"/>
      <c r="D72" s="484" t="inlineStr"/>
      <c r="E72" s="482" t="inlineStr"/>
      <c r="F72" s="482" t="inlineStr"/>
      <c r="G72" s="482" t="inlineStr"/>
      <c r="H72" s="482" t="inlineStr"/>
      <c r="I72" s="482" t="inlineStr"/>
      <c r="J72" s="482" t="inlineStr"/>
      <c r="K72" s="482" t="inlineStr"/>
    </row>
    <row r="73">
      <c r="A73" s="482" t="inlineStr"/>
      <c r="B73" s="482" t="inlineStr"/>
      <c r="C73" s="483" t="inlineStr"/>
      <c r="D73" s="484" t="inlineStr"/>
      <c r="E73" s="482" t="inlineStr"/>
      <c r="F73" s="482" t="inlineStr"/>
      <c r="G73" s="482" t="inlineStr"/>
      <c r="H73" s="482" t="inlineStr"/>
      <c r="I73" s="482" t="inlineStr"/>
      <c r="J73" s="482" t="inlineStr"/>
      <c r="K73" s="482" t="inlineStr"/>
    </row>
    <row r="74">
      <c r="A74" s="482" t="inlineStr"/>
      <c r="B74" s="482" t="inlineStr"/>
      <c r="C74" s="483" t="inlineStr"/>
      <c r="D74" s="484" t="inlineStr"/>
      <c r="E74" s="482" t="inlineStr"/>
      <c r="F74" s="482" t="inlineStr"/>
      <c r="G74" s="482" t="inlineStr"/>
      <c r="H74" s="482" t="inlineStr"/>
      <c r="I74" s="482" t="inlineStr"/>
      <c r="J74" s="482" t="inlineStr"/>
      <c r="K74" s="482" t="inlineStr"/>
    </row>
    <row r="75">
      <c r="A75" s="482" t="inlineStr"/>
      <c r="B75" s="482" t="inlineStr"/>
      <c r="C75" s="483" t="inlineStr"/>
      <c r="D75" s="484" t="inlineStr"/>
      <c r="E75" s="482" t="inlineStr"/>
      <c r="F75" s="482" t="inlineStr"/>
      <c r="G75" s="482" t="inlineStr"/>
      <c r="H75" s="482" t="inlineStr"/>
      <c r="I75" s="482" t="inlineStr"/>
      <c r="J75" s="482" t="inlineStr"/>
      <c r="K75" s="482" t="inlineStr"/>
    </row>
    <row r="76">
      <c r="A76" s="482" t="inlineStr"/>
      <c r="B76" s="482" t="inlineStr"/>
      <c r="C76" s="483" t="inlineStr"/>
      <c r="D76" s="484" t="inlineStr"/>
      <c r="E76" s="482" t="inlineStr"/>
      <c r="F76" s="482" t="inlineStr"/>
      <c r="G76" s="482" t="inlineStr"/>
      <c r="H76" s="482" t="inlineStr"/>
      <c r="I76" s="482" t="inlineStr"/>
      <c r="J76" s="482" t="inlineStr"/>
      <c r="K76" s="482" t="inlineStr"/>
    </row>
    <row r="77">
      <c r="A77" s="482" t="inlineStr"/>
      <c r="B77" s="482" t="inlineStr"/>
      <c r="C77" s="483" t="inlineStr"/>
      <c r="D77" s="484" t="inlineStr"/>
      <c r="E77" s="482" t="inlineStr"/>
      <c r="F77" s="482" t="inlineStr"/>
      <c r="G77" s="482" t="inlineStr"/>
      <c r="H77" s="482" t="inlineStr"/>
      <c r="I77" s="482" t="inlineStr"/>
      <c r="J77" s="482" t="inlineStr"/>
      <c r="K77" s="482" t="inlineStr"/>
    </row>
    <row r="78">
      <c r="A78" s="482" t="inlineStr"/>
      <c r="B78" s="482" t="inlineStr"/>
      <c r="C78" s="483" t="inlineStr"/>
      <c r="D78" s="484" t="inlineStr"/>
      <c r="E78" s="482" t="inlineStr"/>
      <c r="F78" s="482" t="inlineStr"/>
      <c r="G78" s="482" t="inlineStr"/>
      <c r="H78" s="482" t="inlineStr"/>
      <c r="I78" s="482" t="inlineStr"/>
      <c r="J78" s="482" t="inlineStr"/>
      <c r="K78" s="482" t="inlineStr"/>
    </row>
    <row r="79">
      <c r="A79" s="482" t="inlineStr"/>
      <c r="B79" s="482" t="inlineStr"/>
      <c r="C79" s="483" t="inlineStr"/>
      <c r="D79" s="484" t="inlineStr"/>
      <c r="E79" s="482" t="inlineStr"/>
      <c r="F79" s="482" t="inlineStr"/>
      <c r="G79" s="482" t="inlineStr"/>
      <c r="H79" s="482" t="inlineStr"/>
      <c r="I79" s="482" t="inlineStr"/>
      <c r="J79" s="482" t="inlineStr"/>
      <c r="K79" s="482" t="inlineStr"/>
    </row>
    <row r="80">
      <c r="A80" s="482" t="inlineStr"/>
      <c r="B80" s="482" t="inlineStr"/>
      <c r="C80" s="483" t="inlineStr"/>
      <c r="D80" s="484" t="inlineStr"/>
      <c r="E80" s="482" t="inlineStr"/>
      <c r="F80" s="482" t="inlineStr"/>
      <c r="G80" s="482" t="inlineStr"/>
      <c r="H80" s="482" t="inlineStr"/>
      <c r="I80" s="482" t="inlineStr"/>
      <c r="J80" s="482" t="inlineStr"/>
      <c r="K80" s="482" t="inlineStr"/>
    </row>
    <row r="81">
      <c r="A81" s="482" t="inlineStr"/>
      <c r="B81" s="482" t="inlineStr"/>
      <c r="C81" s="483" t="inlineStr"/>
      <c r="D81" s="484" t="inlineStr"/>
      <c r="E81" s="482" t="inlineStr"/>
      <c r="F81" s="482" t="inlineStr"/>
      <c r="G81" s="482" t="inlineStr"/>
      <c r="H81" s="482" t="inlineStr"/>
      <c r="I81" s="482" t="inlineStr"/>
      <c r="J81" s="482" t="inlineStr"/>
      <c r="K81" s="482" t="inlineStr"/>
    </row>
    <row r="82">
      <c r="A82" s="482" t="inlineStr"/>
      <c r="B82" s="482" t="inlineStr"/>
      <c r="C82" s="483" t="inlineStr"/>
      <c r="D82" s="484" t="inlineStr"/>
      <c r="E82" s="482" t="inlineStr"/>
      <c r="F82" s="482" t="inlineStr"/>
      <c r="G82" s="482" t="inlineStr"/>
      <c r="H82" s="482" t="inlineStr"/>
      <c r="I82" s="482" t="inlineStr"/>
      <c r="J82" s="482" t="inlineStr"/>
      <c r="K82" s="482" t="inlineStr"/>
    </row>
    <row r="83">
      <c r="A83" s="482" t="inlineStr"/>
      <c r="B83" s="482" t="inlineStr"/>
      <c r="C83" s="483" t="inlineStr"/>
      <c r="D83" s="484" t="inlineStr"/>
      <c r="E83" s="482" t="inlineStr"/>
      <c r="F83" s="482" t="inlineStr"/>
      <c r="G83" s="482" t="inlineStr"/>
      <c r="H83" s="482" t="inlineStr"/>
      <c r="I83" s="482" t="inlineStr"/>
      <c r="J83" s="482" t="inlineStr"/>
      <c r="K83" s="482" t="inlineStr"/>
    </row>
    <row r="84">
      <c r="A84" s="482" t="inlineStr"/>
      <c r="B84" s="482" t="inlineStr"/>
      <c r="C84" s="483" t="inlineStr"/>
      <c r="D84" s="484" t="inlineStr"/>
      <c r="E84" s="482" t="inlineStr"/>
      <c r="F84" s="482" t="inlineStr"/>
      <c r="G84" s="482" t="inlineStr"/>
      <c r="H84" s="482" t="inlineStr"/>
      <c r="I84" s="482" t="inlineStr"/>
      <c r="J84" s="482" t="inlineStr"/>
      <c r="K84" s="482" t="inlineStr"/>
    </row>
    <row r="85">
      <c r="A85" s="482" t="inlineStr"/>
      <c r="B85" s="482" t="inlineStr"/>
      <c r="C85" s="483" t="inlineStr"/>
      <c r="D85" s="484" t="inlineStr"/>
      <c r="E85" s="482" t="inlineStr"/>
      <c r="F85" s="482" t="inlineStr"/>
      <c r="G85" s="482" t="inlineStr"/>
      <c r="H85" s="482" t="inlineStr"/>
      <c r="I85" s="482" t="inlineStr"/>
      <c r="J85" s="482" t="inlineStr"/>
      <c r="K85" s="482" t="inlineStr"/>
    </row>
    <row r="86">
      <c r="A86" s="482" t="inlineStr"/>
      <c r="B86" s="482" t="inlineStr"/>
      <c r="C86" s="483" t="inlineStr"/>
      <c r="D86" s="484" t="inlineStr"/>
      <c r="E86" s="482" t="inlineStr"/>
      <c r="F86" s="482" t="inlineStr"/>
      <c r="G86" s="482" t="inlineStr"/>
      <c r="H86" s="482" t="inlineStr"/>
      <c r="I86" s="482" t="inlineStr"/>
      <c r="J86" s="482" t="inlineStr"/>
      <c r="K86" s="482" t="inlineStr"/>
    </row>
    <row r="87">
      <c r="A87" s="482" t="inlineStr"/>
      <c r="B87" s="482" t="inlineStr"/>
      <c r="C87" s="483" t="inlineStr"/>
      <c r="D87" s="484" t="inlineStr"/>
      <c r="E87" s="482" t="inlineStr"/>
      <c r="F87" s="482" t="inlineStr"/>
      <c r="G87" s="482" t="inlineStr"/>
      <c r="H87" s="482" t="inlineStr"/>
      <c r="I87" s="482" t="inlineStr"/>
      <c r="J87" s="482" t="inlineStr"/>
      <c r="K87" s="482" t="inlineStr"/>
    </row>
    <row r="88">
      <c r="A88" s="482" t="inlineStr"/>
      <c r="B88" s="482" t="inlineStr"/>
      <c r="C88" s="483" t="inlineStr"/>
      <c r="D88" s="484" t="inlineStr"/>
      <c r="E88" s="482" t="inlineStr"/>
      <c r="F88" s="482" t="inlineStr"/>
      <c r="G88" s="482" t="inlineStr"/>
      <c r="H88" s="482" t="inlineStr"/>
      <c r="I88" s="482" t="inlineStr"/>
      <c r="J88" s="482" t="inlineStr"/>
      <c r="K88" s="482" t="inlineStr"/>
    </row>
    <row r="89">
      <c r="A89" s="482" t="inlineStr"/>
      <c r="B89" s="482" t="inlineStr"/>
      <c r="C89" s="483" t="inlineStr"/>
      <c r="D89" s="484" t="inlineStr"/>
      <c r="E89" s="482" t="inlineStr"/>
      <c r="F89" s="482" t="inlineStr"/>
      <c r="G89" s="482" t="inlineStr"/>
      <c r="H89" s="482" t="inlineStr"/>
      <c r="I89" s="482" t="inlineStr"/>
      <c r="J89" s="482" t="inlineStr"/>
      <c r="K89" s="482" t="inlineStr"/>
    </row>
    <row r="90">
      <c r="A90" s="482" t="inlineStr"/>
      <c r="B90" s="482" t="inlineStr"/>
      <c r="C90" s="483" t="inlineStr"/>
      <c r="D90" s="484" t="inlineStr"/>
      <c r="E90" s="482" t="inlineStr"/>
      <c r="F90" s="482" t="inlineStr"/>
      <c r="G90" s="482" t="inlineStr"/>
      <c r="H90" s="482" t="inlineStr"/>
      <c r="I90" s="482" t="inlineStr"/>
      <c r="J90" s="482" t="inlineStr"/>
      <c r="K90" s="482" t="inlineStr"/>
    </row>
    <row r="91">
      <c r="A91" s="482" t="inlineStr"/>
      <c r="B91" s="482" t="inlineStr"/>
      <c r="C91" s="483" t="inlineStr"/>
      <c r="D91" s="484" t="inlineStr"/>
      <c r="E91" s="482" t="inlineStr"/>
      <c r="F91" s="482" t="inlineStr"/>
      <c r="G91" s="482" t="inlineStr"/>
      <c r="H91" s="482" t="inlineStr"/>
      <c r="I91" s="482" t="inlineStr"/>
      <c r="J91" s="482" t="inlineStr"/>
      <c r="K91" s="482" t="inlineStr"/>
    </row>
    <row r="92">
      <c r="A92" s="482" t="inlineStr"/>
      <c r="B92" s="482" t="inlineStr"/>
      <c r="C92" s="483" t="inlineStr"/>
      <c r="D92" s="484" t="inlineStr"/>
      <c r="E92" s="482" t="inlineStr"/>
      <c r="F92" s="482" t="inlineStr"/>
      <c r="G92" s="482" t="inlineStr"/>
      <c r="H92" s="482" t="inlineStr"/>
      <c r="I92" s="482" t="inlineStr"/>
      <c r="J92" s="482" t="inlineStr"/>
      <c r="K92" s="482" t="inlineStr"/>
    </row>
    <row r="93">
      <c r="A93" s="482" t="inlineStr"/>
      <c r="B93" s="482" t="inlineStr"/>
      <c r="C93" s="483" t="inlineStr"/>
      <c r="D93" s="484" t="inlineStr"/>
      <c r="E93" s="482" t="inlineStr"/>
      <c r="F93" s="482" t="inlineStr"/>
      <c r="G93" s="482" t="inlineStr"/>
      <c r="H93" s="482" t="inlineStr"/>
      <c r="I93" s="482" t="inlineStr"/>
      <c r="J93" s="482" t="inlineStr"/>
      <c r="K93" s="482" t="inlineStr"/>
    </row>
    <row r="94">
      <c r="A94" s="482" t="inlineStr"/>
      <c r="B94" s="482" t="inlineStr"/>
      <c r="C94" s="483" t="inlineStr"/>
      <c r="D94" s="484" t="inlineStr"/>
      <c r="E94" s="482" t="inlineStr"/>
      <c r="F94" s="482" t="inlineStr"/>
      <c r="G94" s="482" t="inlineStr"/>
      <c r="H94" s="482" t="inlineStr"/>
      <c r="I94" s="482" t="inlineStr"/>
      <c r="J94" s="482" t="inlineStr"/>
      <c r="K94" s="482" t="inlineStr"/>
    </row>
    <row r="95">
      <c r="A95" s="482" t="inlineStr"/>
      <c r="B95" s="482" t="inlineStr"/>
      <c r="C95" s="483" t="inlineStr"/>
      <c r="D95" s="484" t="inlineStr"/>
      <c r="E95" s="482" t="inlineStr"/>
      <c r="F95" s="482" t="inlineStr"/>
      <c r="G95" s="482" t="inlineStr"/>
      <c r="H95" s="482" t="inlineStr"/>
      <c r="I95" s="482" t="inlineStr"/>
      <c r="J95" s="482" t="inlineStr"/>
      <c r="K95" s="482" t="inlineStr"/>
    </row>
    <row r="96">
      <c r="A96" s="482" t="inlineStr"/>
      <c r="B96" s="482" t="inlineStr"/>
      <c r="C96" s="483" t="inlineStr"/>
      <c r="D96" s="484" t="inlineStr"/>
      <c r="E96" s="482" t="inlineStr"/>
      <c r="F96" s="482" t="inlineStr"/>
      <c r="G96" s="482" t="inlineStr"/>
      <c r="H96" s="482" t="inlineStr"/>
      <c r="I96" s="482" t="inlineStr"/>
      <c r="J96" s="482" t="inlineStr"/>
      <c r="K96" s="482" t="inlineStr"/>
    </row>
    <row r="97">
      <c r="A97" s="482" t="inlineStr"/>
      <c r="B97" s="482" t="inlineStr"/>
      <c r="C97" s="483" t="inlineStr"/>
      <c r="D97" s="484" t="inlineStr"/>
      <c r="E97" s="482" t="inlineStr"/>
      <c r="F97" s="482" t="inlineStr"/>
      <c r="G97" s="482" t="inlineStr"/>
      <c r="H97" s="482" t="inlineStr"/>
      <c r="I97" s="482" t="inlineStr"/>
      <c r="J97" s="482" t="inlineStr"/>
      <c r="K97" s="482" t="inlineStr"/>
    </row>
    <row r="98">
      <c r="A98" s="482" t="inlineStr"/>
      <c r="B98" s="482" t="inlineStr"/>
      <c r="C98" s="483" t="inlineStr"/>
      <c r="D98" s="484" t="inlineStr"/>
      <c r="E98" s="482" t="inlineStr"/>
      <c r="F98" s="482" t="inlineStr"/>
      <c r="G98" s="482" t="inlineStr"/>
      <c r="H98" s="482" t="inlineStr"/>
      <c r="I98" s="482" t="inlineStr"/>
      <c r="J98" s="482" t="inlineStr"/>
      <c r="K98" s="482" t="inlineStr"/>
    </row>
    <row r="99">
      <c r="A99" s="482" t="inlineStr"/>
      <c r="B99" s="482" t="inlineStr"/>
      <c r="C99" s="483" t="inlineStr"/>
      <c r="D99" s="484" t="inlineStr"/>
      <c r="E99" s="482" t="inlineStr"/>
      <c r="F99" s="482" t="inlineStr"/>
      <c r="G99" s="482" t="inlineStr"/>
      <c r="H99" s="482" t="inlineStr"/>
      <c r="I99" s="482" t="inlineStr"/>
      <c r="J99" s="482" t="inlineStr"/>
      <c r="K99" s="482" t="inlineStr"/>
    </row>
    <row r="100">
      <c r="A100" s="482" t="inlineStr"/>
      <c r="B100" s="482" t="inlineStr"/>
      <c r="C100" s="483" t="inlineStr"/>
      <c r="D100" s="484" t="inlineStr"/>
      <c r="E100" s="482" t="inlineStr"/>
      <c r="F100" s="482" t="inlineStr"/>
      <c r="G100" s="482" t="inlineStr"/>
      <c r="H100" s="482" t="inlineStr"/>
      <c r="I100" s="482" t="inlineStr"/>
      <c r="J100" s="482" t="inlineStr"/>
      <c r="K100" s="482" t="inlineStr"/>
    </row>
    <row r="101">
      <c r="A101" s="482" t="inlineStr"/>
      <c r="B101" s="482" t="inlineStr"/>
      <c r="C101" s="483" t="inlineStr"/>
      <c r="D101" s="484" t="inlineStr"/>
      <c r="E101" s="482" t="inlineStr"/>
      <c r="F101" s="482" t="inlineStr"/>
      <c r="G101" s="482" t="inlineStr"/>
      <c r="H101" s="482" t="inlineStr"/>
      <c r="I101" s="482" t="inlineStr"/>
      <c r="J101" s="482" t="inlineStr"/>
      <c r="K101" s="482" t="inlineStr"/>
    </row>
    <row r="102">
      <c r="A102" s="482" t="inlineStr"/>
      <c r="B102" s="482" t="inlineStr"/>
      <c r="C102" s="483" t="inlineStr"/>
      <c r="D102" s="484" t="inlineStr"/>
      <c r="E102" s="482" t="inlineStr"/>
      <c r="F102" s="482" t="inlineStr"/>
      <c r="G102" s="482" t="inlineStr"/>
      <c r="H102" s="482" t="inlineStr"/>
      <c r="I102" s="482" t="inlineStr"/>
      <c r="J102" s="482" t="inlineStr"/>
      <c r="K102" s="482" t="inlineStr"/>
    </row>
    <row r="103">
      <c r="A103" s="482" t="inlineStr"/>
      <c r="B103" s="482" t="inlineStr"/>
      <c r="C103" s="483" t="inlineStr"/>
      <c r="D103" s="484" t="inlineStr"/>
      <c r="E103" s="482" t="inlineStr"/>
      <c r="F103" s="482" t="inlineStr"/>
      <c r="G103" s="482" t="inlineStr"/>
      <c r="H103" s="482" t="inlineStr"/>
      <c r="I103" s="482" t="inlineStr"/>
      <c r="J103" s="482" t="inlineStr"/>
      <c r="K103" s="482" t="inlineStr"/>
    </row>
    <row r="104">
      <c r="A104" s="482" t="inlineStr"/>
      <c r="B104" s="482" t="inlineStr"/>
      <c r="C104" s="483" t="inlineStr"/>
      <c r="D104" s="484" t="inlineStr"/>
      <c r="E104" s="482" t="inlineStr"/>
      <c r="F104" s="482" t="inlineStr"/>
      <c r="G104" s="482" t="inlineStr"/>
      <c r="H104" s="482" t="inlineStr"/>
      <c r="I104" s="482" t="inlineStr"/>
      <c r="J104" s="482" t="inlineStr"/>
      <c r="K104" s="482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</sheetData>
  <autoFilter ref="A1:K10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IQ1014"/>
  <sheetViews>
    <sheetView showGridLines="0" workbookViewId="0">
      <selection activeCell="A1" sqref="A1"/>
    </sheetView>
  </sheetViews>
  <sheetFormatPr baseColWidth="8" defaultColWidth="12.5703125" defaultRowHeight="15.75" customHeight="1"/>
  <cols>
    <col width="8.85546875" customWidth="1" style="322" min="1" max="1"/>
    <col width="7.85546875" customWidth="1" style="322" min="2" max="2"/>
    <col width="7.42578125" customWidth="1" style="322" min="3" max="15"/>
    <col width="10.7109375" customWidth="1" style="322" min="16" max="17"/>
    <col width="9.140625" customWidth="1" style="322" min="18" max="18"/>
    <col width="8.85546875" customWidth="1" style="322" min="19" max="21"/>
    <col width="7.85546875" customWidth="1" style="322" min="22" max="26"/>
  </cols>
  <sheetData>
    <row r="1" ht="13.5" customHeight="1" s="322">
      <c r="A1" s="2" t="n"/>
      <c r="B1" s="4" t="inlineStr">
        <is>
          <t>현재가</t>
        </is>
      </c>
      <c r="C1" s="486">
        <f>TODAY()-1</f>
        <v/>
      </c>
      <c r="D1" s="486">
        <f>EDATE($C$1,-1)</f>
        <v/>
      </c>
      <c r="E1" s="486">
        <f>EDATE($C$1,-2)</f>
        <v/>
      </c>
      <c r="F1" s="486">
        <f>EDATE($C$1,-3)</f>
        <v/>
      </c>
      <c r="G1" s="486">
        <f>EDATE($C$1,-4)</f>
        <v/>
      </c>
      <c r="H1" s="486">
        <f>EDATE($C$1,-5)</f>
        <v/>
      </c>
      <c r="I1" s="486">
        <f>EDATE($C$1,-6)</f>
        <v/>
      </c>
      <c r="J1" s="486">
        <f>EDATE($C$1,-7)</f>
        <v/>
      </c>
      <c r="K1" s="486">
        <f>EDATE($C$1,-8)</f>
        <v/>
      </c>
      <c r="L1" s="486">
        <f>EDATE($C$1,-9)</f>
        <v/>
      </c>
      <c r="M1" s="486">
        <f>EDATE($C$1,-10)</f>
        <v/>
      </c>
      <c r="N1" s="486">
        <f>EDATE($C$1,-11)</f>
        <v/>
      </c>
      <c r="O1" s="486">
        <f>TODAY()-362</f>
        <v/>
      </c>
      <c r="P1" s="28" t="n"/>
      <c r="Q1" s="28" t="n"/>
      <c r="R1" s="50" t="n"/>
      <c r="S1" s="50" t="n"/>
      <c r="T1" s="50" t="n"/>
      <c r="U1" s="50" t="n"/>
      <c r="V1" s="50" t="n"/>
      <c r="W1" s="50" t="n"/>
      <c r="X1" s="50" t="n"/>
      <c r="Y1" s="50" t="n"/>
      <c r="Z1" s="50" t="n"/>
      <c r="AA1" s="50" t="n"/>
      <c r="AB1" s="50" t="n"/>
      <c r="AC1" s="50" t="n"/>
      <c r="AD1" s="50" t="n"/>
      <c r="AE1" s="50" t="n"/>
      <c r="AF1" s="50" t="n"/>
      <c r="AG1" s="50" t="n"/>
      <c r="AH1" s="50" t="n"/>
      <c r="AI1" s="50" t="n"/>
      <c r="AJ1" s="50" t="n"/>
      <c r="AK1" s="50" t="n"/>
      <c r="AL1" s="50" t="n"/>
      <c r="AM1" s="50" t="n"/>
      <c r="AN1" s="50" t="n"/>
      <c r="AO1" s="50" t="n"/>
      <c r="AP1" s="50" t="n"/>
      <c r="AQ1" s="50" t="n"/>
      <c r="AR1" s="50" t="n"/>
      <c r="AS1" s="50" t="n"/>
      <c r="AT1" s="50" t="n"/>
      <c r="AU1" s="50" t="n"/>
      <c r="AV1" s="50" t="n"/>
      <c r="AW1" s="50" t="n"/>
      <c r="AX1" s="50" t="n"/>
      <c r="AY1" s="50" t="n"/>
      <c r="AZ1" s="50" t="n"/>
      <c r="BA1" s="50" t="n"/>
      <c r="BB1" s="50" t="n"/>
      <c r="BC1" s="50" t="n"/>
      <c r="BD1" s="50" t="n"/>
      <c r="BE1" s="50" t="n"/>
      <c r="BF1" s="50" t="n"/>
      <c r="BG1" s="50" t="n"/>
      <c r="BH1" s="50" t="n"/>
      <c r="BI1" s="50" t="n"/>
      <c r="BJ1" s="50" t="n"/>
      <c r="BK1" s="50" t="n"/>
      <c r="BL1" s="50" t="n"/>
      <c r="BM1" s="50" t="n"/>
      <c r="BN1" s="50" t="n"/>
      <c r="BO1" s="50" t="n"/>
      <c r="BP1" s="50" t="n"/>
      <c r="BQ1" s="50" t="n"/>
      <c r="BR1" s="50" t="n"/>
      <c r="BS1" s="50" t="n"/>
      <c r="BT1" s="50" t="n"/>
      <c r="BU1" s="50" t="n"/>
      <c r="BV1" s="50" t="n"/>
      <c r="BW1" s="50" t="n"/>
      <c r="BX1" s="50" t="n"/>
      <c r="BY1" s="50" t="n"/>
      <c r="BZ1" s="50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  <c r="CO1" s="50" t="n"/>
      <c r="CP1" s="50" t="n"/>
      <c r="CQ1" s="50" t="n"/>
      <c r="CR1" s="50" t="n"/>
      <c r="CS1" s="50" t="n"/>
      <c r="CT1" s="50" t="n"/>
      <c r="CU1" s="50" t="n"/>
      <c r="CV1" s="50" t="n"/>
      <c r="CW1" s="50" t="n"/>
      <c r="CX1" s="50" t="n"/>
      <c r="CY1" s="50" t="n"/>
      <c r="CZ1" s="50" t="n"/>
      <c r="DA1" s="50" t="n"/>
      <c r="DB1" s="50" t="n"/>
      <c r="DC1" s="50" t="n"/>
      <c r="DD1" s="50" t="n"/>
      <c r="DE1" s="50" t="n"/>
      <c r="DF1" s="50" t="n"/>
      <c r="DG1" s="50" t="n"/>
      <c r="DH1" s="50" t="n"/>
      <c r="DI1" s="50" t="n"/>
      <c r="DJ1" s="50" t="n"/>
      <c r="DK1" s="50" t="n"/>
      <c r="DL1" s="50" t="n"/>
      <c r="DM1" s="50" t="n"/>
      <c r="DN1" s="50" t="n"/>
      <c r="DO1" s="50" t="n"/>
      <c r="DP1" s="50" t="n"/>
      <c r="DQ1" s="50" t="n"/>
      <c r="DR1" s="50" t="n"/>
      <c r="DS1" s="50" t="n"/>
      <c r="DT1" s="50" t="n"/>
      <c r="DU1" s="50" t="n"/>
      <c r="DV1" s="50" t="n"/>
      <c r="DW1" s="50" t="n"/>
      <c r="DX1" s="50" t="n"/>
      <c r="DY1" s="50" t="n"/>
      <c r="DZ1" s="50" t="n"/>
      <c r="EA1" s="50" t="n"/>
      <c r="EB1" s="50" t="n"/>
      <c r="EC1" s="50" t="n"/>
      <c r="ED1" s="50" t="n"/>
      <c r="EE1" s="50" t="n"/>
      <c r="EF1" s="50" t="n"/>
      <c r="EG1" s="50" t="n"/>
      <c r="EH1" s="50" t="n"/>
      <c r="EI1" s="50" t="n"/>
      <c r="EJ1" s="50" t="n"/>
      <c r="EK1" s="50" t="n"/>
      <c r="EL1" s="50" t="n"/>
      <c r="EM1" s="50" t="n"/>
      <c r="EN1" s="50" t="n"/>
      <c r="EO1" s="50" t="n"/>
      <c r="EP1" s="50" t="n"/>
      <c r="EQ1" s="50" t="n"/>
      <c r="ER1" s="50" t="n"/>
      <c r="ES1" s="50" t="n"/>
      <c r="ET1" s="50" t="n"/>
      <c r="EU1" s="50" t="n"/>
      <c r="EV1" s="50" t="n"/>
      <c r="EW1" s="50" t="n"/>
      <c r="EX1" s="50" t="n"/>
      <c r="EY1" s="50" t="n"/>
      <c r="EZ1" s="50" t="n"/>
      <c r="FA1" s="50" t="n"/>
      <c r="FB1" s="50" t="n"/>
      <c r="FC1" s="50" t="n"/>
      <c r="FD1" s="50" t="n"/>
      <c r="FE1" s="50" t="n"/>
      <c r="FF1" s="50" t="n"/>
      <c r="FG1" s="50" t="n"/>
      <c r="FH1" s="50" t="n"/>
      <c r="FI1" s="50" t="n"/>
      <c r="FJ1" s="50" t="n"/>
      <c r="FK1" s="50" t="n"/>
      <c r="FL1" s="50" t="n"/>
      <c r="FM1" s="50" t="n"/>
      <c r="FN1" s="50" t="n"/>
      <c r="FO1" s="50" t="n"/>
      <c r="FP1" s="50" t="n"/>
      <c r="FQ1" s="50" t="n"/>
      <c r="FR1" s="50" t="n"/>
      <c r="FS1" s="50" t="n"/>
      <c r="FT1" s="50" t="n"/>
      <c r="FU1" s="50" t="n"/>
      <c r="FV1" s="50" t="n"/>
      <c r="FW1" s="50" t="n"/>
      <c r="FX1" s="50" t="n"/>
      <c r="FY1" s="50" t="n"/>
      <c r="FZ1" s="50" t="n"/>
      <c r="GA1" s="50" t="n"/>
      <c r="GB1" s="50" t="n"/>
      <c r="GC1" s="50" t="n"/>
      <c r="GD1" s="50" t="n"/>
      <c r="GE1" s="50" t="n"/>
      <c r="GF1" s="50" t="n"/>
      <c r="GG1" s="50" t="n"/>
      <c r="GH1" s="50" t="n"/>
      <c r="GI1" s="50" t="n"/>
      <c r="GJ1" s="50" t="n"/>
      <c r="GK1" s="50" t="n"/>
      <c r="GL1" s="50" t="n"/>
      <c r="GM1" s="50" t="n"/>
      <c r="GN1" s="50" t="n"/>
      <c r="GO1" s="50" t="n"/>
      <c r="GP1" s="50" t="n"/>
      <c r="GQ1" s="50" t="n"/>
      <c r="GR1" s="50" t="n"/>
      <c r="GS1" s="50" t="n"/>
      <c r="GT1" s="50" t="n"/>
      <c r="GU1" s="50" t="n"/>
      <c r="GV1" s="50" t="n"/>
      <c r="GW1" s="50" t="n"/>
      <c r="GX1" s="50" t="n"/>
      <c r="GY1" s="50" t="n"/>
      <c r="GZ1" s="50" t="n"/>
      <c r="HA1" s="50" t="n"/>
      <c r="HB1" s="50" t="n"/>
      <c r="HC1" s="50" t="n"/>
      <c r="HD1" s="50" t="n"/>
      <c r="HE1" s="50" t="n"/>
      <c r="HF1" s="50" t="n"/>
      <c r="HG1" s="50" t="n"/>
      <c r="HH1" s="50" t="n"/>
      <c r="HI1" s="50" t="n"/>
      <c r="HJ1" s="50" t="n"/>
      <c r="HK1" s="50" t="n"/>
      <c r="HL1" s="50" t="n"/>
      <c r="HM1" s="50" t="n"/>
      <c r="HN1" s="50" t="n"/>
      <c r="HO1" s="50" t="n"/>
      <c r="HP1" s="50" t="n"/>
      <c r="HQ1" s="50" t="n"/>
      <c r="HR1" s="50" t="n"/>
      <c r="HS1" s="50" t="n"/>
      <c r="HT1" s="50" t="n"/>
      <c r="HU1" s="50" t="n"/>
      <c r="HV1" s="50" t="n"/>
      <c r="HW1" s="50" t="n"/>
      <c r="HX1" s="50" t="n"/>
      <c r="HY1" s="50" t="n"/>
      <c r="HZ1" s="50" t="n"/>
      <c r="IA1" s="50" t="n"/>
      <c r="IB1" s="50" t="n"/>
      <c r="IC1" s="50" t="n"/>
      <c r="ID1" s="50" t="n"/>
      <c r="IE1" s="50" t="n"/>
      <c r="IF1" s="50" t="n"/>
      <c r="IG1" s="50" t="n"/>
      <c r="IH1" s="50" t="n"/>
      <c r="II1" s="50" t="n"/>
      <c r="IJ1" s="50" t="n"/>
      <c r="IK1" s="50" t="n"/>
      <c r="IL1" s="50" t="n"/>
      <c r="IM1" s="50" t="n"/>
      <c r="IN1" s="50" t="n"/>
      <c r="IO1" s="50" t="n"/>
      <c r="IP1" s="50" t="n"/>
      <c r="IQ1" s="50" t="n"/>
    </row>
    <row r="2" ht="13.5" customHeight="1" s="322">
      <c r="A2" s="49" t="n"/>
      <c r="B2" s="50" t="n"/>
      <c r="C2" s="487" t="n"/>
      <c r="D2" s="487" t="n"/>
      <c r="E2" s="487" t="n"/>
      <c r="F2" s="487" t="n"/>
      <c r="G2" s="487" t="n"/>
      <c r="H2" s="487" t="n"/>
      <c r="I2" s="487" t="n"/>
      <c r="J2" s="487" t="n"/>
      <c r="K2" s="487" t="n"/>
      <c r="L2" s="487" t="n"/>
      <c r="M2" s="487" t="n"/>
      <c r="N2" s="487" t="n"/>
      <c r="O2" s="487" t="n"/>
      <c r="P2" s="52" t="n"/>
      <c r="Q2" s="52" t="n"/>
      <c r="R2" s="50" t="n"/>
      <c r="S2" s="50" t="n"/>
      <c r="T2" s="50" t="n"/>
      <c r="U2" s="50" t="n"/>
      <c r="V2" s="50" t="n"/>
      <c r="W2" s="50" t="n"/>
      <c r="X2" s="50" t="n"/>
      <c r="Y2" s="50" t="n"/>
      <c r="Z2" s="50" t="n"/>
      <c r="AA2" s="50" t="n"/>
      <c r="AB2" s="50" t="n"/>
      <c r="AC2" s="50" t="n"/>
      <c r="AD2" s="50" t="n"/>
      <c r="AE2" s="50" t="n"/>
      <c r="AF2" s="50" t="n"/>
      <c r="AG2" s="50" t="n"/>
      <c r="AH2" s="50" t="n"/>
      <c r="AI2" s="50" t="n"/>
      <c r="AJ2" s="50" t="n"/>
      <c r="AK2" s="50" t="n"/>
      <c r="AL2" s="50" t="n"/>
      <c r="AM2" s="50" t="n"/>
      <c r="AN2" s="50" t="n"/>
      <c r="AO2" s="50" t="n"/>
      <c r="AP2" s="50" t="n"/>
      <c r="AQ2" s="50" t="n"/>
      <c r="AR2" s="50" t="n"/>
      <c r="AS2" s="50" t="n"/>
      <c r="AT2" s="50" t="n"/>
      <c r="AU2" s="50" t="n"/>
      <c r="AV2" s="50" t="n"/>
      <c r="AW2" s="50" t="n"/>
      <c r="AX2" s="50" t="n"/>
      <c r="AY2" s="50" t="n"/>
      <c r="AZ2" s="50" t="n"/>
      <c r="BA2" s="50" t="n"/>
      <c r="BB2" s="50" t="n"/>
      <c r="BC2" s="50" t="n"/>
      <c r="BD2" s="50" t="n"/>
      <c r="BE2" s="50" t="n"/>
      <c r="BF2" s="50" t="n"/>
      <c r="BG2" s="50" t="n"/>
      <c r="BH2" s="50" t="n"/>
      <c r="BI2" s="50" t="n"/>
      <c r="BJ2" s="50" t="n"/>
      <c r="BK2" s="50" t="n"/>
      <c r="BL2" s="50" t="n"/>
      <c r="BM2" s="50" t="n"/>
      <c r="BN2" s="50" t="n"/>
      <c r="BO2" s="50" t="n"/>
      <c r="BP2" s="50" t="n"/>
      <c r="BQ2" s="50" t="n"/>
      <c r="BR2" s="50" t="n"/>
      <c r="BS2" s="50" t="n"/>
      <c r="BT2" s="50" t="n"/>
      <c r="BU2" s="50" t="n"/>
      <c r="BV2" s="50" t="n"/>
      <c r="BW2" s="50" t="n"/>
      <c r="BX2" s="50" t="n"/>
      <c r="BY2" s="50" t="n"/>
      <c r="BZ2" s="50" t="n"/>
      <c r="CA2" s="50" t="n"/>
      <c r="CB2" s="50" t="n"/>
      <c r="CC2" s="50" t="n"/>
      <c r="CD2" s="50" t="n"/>
      <c r="CE2" s="50" t="n"/>
      <c r="CF2" s="50" t="n"/>
      <c r="CG2" s="50" t="n"/>
      <c r="CH2" s="50" t="n"/>
      <c r="CI2" s="50" t="n"/>
      <c r="CJ2" s="50" t="n"/>
      <c r="CK2" s="50" t="n"/>
      <c r="CL2" s="50" t="n"/>
      <c r="CM2" s="50" t="n"/>
      <c r="CN2" s="50" t="n"/>
      <c r="CO2" s="50" t="n"/>
      <c r="CP2" s="50" t="n"/>
      <c r="CQ2" s="50" t="n"/>
      <c r="CR2" s="50" t="n"/>
      <c r="CS2" s="50" t="n"/>
      <c r="CT2" s="50" t="n"/>
      <c r="CU2" s="50" t="n"/>
      <c r="CV2" s="50" t="n"/>
      <c r="CW2" s="50" t="n"/>
      <c r="CX2" s="50" t="n"/>
      <c r="CY2" s="50" t="n"/>
      <c r="CZ2" s="50" t="n"/>
      <c r="DA2" s="50" t="n"/>
      <c r="DB2" s="50" t="n"/>
      <c r="DC2" s="50" t="n"/>
      <c r="DD2" s="50" t="n"/>
      <c r="DE2" s="50" t="n"/>
      <c r="DF2" s="50" t="n"/>
      <c r="DG2" s="50" t="n"/>
      <c r="DH2" s="50" t="n"/>
      <c r="DI2" s="50" t="n"/>
      <c r="DJ2" s="50" t="n"/>
      <c r="DK2" s="50" t="n"/>
      <c r="DL2" s="50" t="n"/>
      <c r="DM2" s="50" t="n"/>
      <c r="DN2" s="50" t="n"/>
      <c r="DO2" s="50" t="n"/>
      <c r="DP2" s="50" t="n"/>
      <c r="DQ2" s="50" t="n"/>
      <c r="DR2" s="50" t="n"/>
      <c r="DS2" s="50" t="n"/>
      <c r="DT2" s="50" t="n"/>
      <c r="DU2" s="50" t="n"/>
      <c r="DV2" s="50" t="n"/>
      <c r="DW2" s="50" t="n"/>
      <c r="DX2" s="50" t="n"/>
      <c r="DY2" s="50" t="n"/>
      <c r="DZ2" s="50" t="n"/>
      <c r="EA2" s="50" t="n"/>
      <c r="EB2" s="50" t="n"/>
      <c r="EC2" s="50" t="n"/>
      <c r="ED2" s="50" t="n"/>
      <c r="EE2" s="50" t="n"/>
      <c r="EF2" s="50" t="n"/>
      <c r="EG2" s="50" t="n"/>
      <c r="EH2" s="50" t="n"/>
      <c r="EI2" s="50" t="n"/>
      <c r="EJ2" s="50" t="n"/>
      <c r="EK2" s="50" t="n"/>
      <c r="EL2" s="50" t="n"/>
      <c r="EM2" s="50" t="n"/>
      <c r="EN2" s="50" t="n"/>
      <c r="EO2" s="50" t="n"/>
      <c r="EP2" s="50" t="n"/>
      <c r="EQ2" s="50" t="n"/>
      <c r="ER2" s="50" t="n"/>
      <c r="ES2" s="50" t="n"/>
      <c r="ET2" s="50" t="n"/>
      <c r="EU2" s="50" t="n"/>
      <c r="EV2" s="50" t="n"/>
      <c r="EW2" s="50" t="n"/>
      <c r="EX2" s="50" t="n"/>
      <c r="EY2" s="50" t="n"/>
      <c r="EZ2" s="50" t="n"/>
      <c r="FA2" s="50" t="n"/>
      <c r="FB2" s="50" t="n"/>
      <c r="FC2" s="50" t="n"/>
      <c r="FD2" s="50" t="n"/>
      <c r="FE2" s="50" t="n"/>
      <c r="FF2" s="50" t="n"/>
      <c r="FG2" s="50" t="n"/>
      <c r="FH2" s="50" t="n"/>
      <c r="FI2" s="50" t="n"/>
      <c r="FJ2" s="50" t="n"/>
      <c r="FK2" s="50" t="n"/>
      <c r="FL2" s="50" t="n"/>
      <c r="FM2" s="50" t="n"/>
      <c r="FN2" s="50" t="n"/>
      <c r="FO2" s="50" t="n"/>
      <c r="FP2" s="50" t="n"/>
      <c r="FQ2" s="50" t="n"/>
      <c r="FR2" s="50" t="n"/>
      <c r="FS2" s="50" t="n"/>
      <c r="FT2" s="50" t="n"/>
      <c r="FU2" s="50" t="n"/>
      <c r="FV2" s="50" t="n"/>
      <c r="FW2" s="50" t="n"/>
      <c r="FX2" s="50" t="n"/>
      <c r="FY2" s="50" t="n"/>
      <c r="FZ2" s="50" t="n"/>
      <c r="GA2" s="50" t="n"/>
      <c r="GB2" s="50" t="n"/>
      <c r="GC2" s="50" t="n"/>
      <c r="GD2" s="50" t="n"/>
      <c r="GE2" s="50" t="n"/>
      <c r="GF2" s="50" t="n"/>
      <c r="GG2" s="50" t="n"/>
      <c r="GH2" s="50" t="n"/>
      <c r="GI2" s="50" t="n"/>
      <c r="GJ2" s="50" t="n"/>
      <c r="GK2" s="50" t="n"/>
      <c r="GL2" s="50" t="n"/>
      <c r="GM2" s="50" t="n"/>
      <c r="GN2" s="50" t="n"/>
      <c r="GO2" s="50" t="n"/>
      <c r="GP2" s="50" t="n"/>
      <c r="GQ2" s="50" t="n"/>
      <c r="GR2" s="50" t="n"/>
      <c r="GS2" s="50" t="n"/>
      <c r="GT2" s="50" t="n"/>
      <c r="GU2" s="50" t="n"/>
      <c r="GV2" s="50" t="n"/>
      <c r="GW2" s="50" t="n"/>
      <c r="GX2" s="50" t="n"/>
      <c r="GY2" s="50" t="n"/>
      <c r="GZ2" s="50" t="n"/>
      <c r="HA2" s="50" t="n"/>
      <c r="HB2" s="50" t="n"/>
      <c r="HC2" s="50" t="n"/>
      <c r="HD2" s="50" t="n"/>
      <c r="HE2" s="50" t="n"/>
      <c r="HF2" s="50" t="n"/>
      <c r="HG2" s="50" t="n"/>
      <c r="HH2" s="50" t="n"/>
      <c r="HI2" s="50" t="n"/>
      <c r="HJ2" s="50" t="n"/>
      <c r="HK2" s="50" t="n"/>
      <c r="HL2" s="50" t="n"/>
      <c r="HM2" s="50" t="n"/>
      <c r="HN2" s="50" t="n"/>
      <c r="HO2" s="50" t="n"/>
      <c r="HP2" s="50" t="n"/>
      <c r="HQ2" s="50" t="n"/>
      <c r="HR2" s="50" t="n"/>
      <c r="HS2" s="50" t="n"/>
      <c r="HT2" s="50" t="n"/>
      <c r="HU2" s="50" t="n"/>
      <c r="HV2" s="50" t="n"/>
      <c r="HW2" s="50" t="n"/>
      <c r="HX2" s="50" t="n"/>
      <c r="HY2" s="50" t="n"/>
      <c r="HZ2" s="50" t="n"/>
      <c r="IA2" s="50" t="n"/>
      <c r="IB2" s="50" t="n"/>
      <c r="IC2" s="50" t="n"/>
      <c r="ID2" s="50" t="n"/>
      <c r="IE2" s="50" t="n"/>
      <c r="IF2" s="50" t="n"/>
      <c r="IG2" s="50" t="n"/>
      <c r="IH2" s="50" t="n"/>
      <c r="II2" s="50" t="n"/>
      <c r="IJ2" s="50" t="n"/>
      <c r="IK2" s="50" t="n"/>
      <c r="IL2" s="50" t="n"/>
      <c r="IM2" s="50" t="n"/>
      <c r="IN2" s="50" t="n"/>
      <c r="IO2" s="50" t="n"/>
      <c r="IP2" s="50" t="n"/>
      <c r="IQ2" s="50" t="n"/>
    </row>
    <row r="3" ht="18" customHeight="1" s="322">
      <c r="A3" s="78" t="inlineStr">
        <is>
          <t>ㅣBAA중도형_공격자산 12종목</t>
        </is>
      </c>
      <c r="B3" s="4" t="n"/>
      <c r="C3" s="486" t="n"/>
      <c r="D3" s="486" t="n"/>
      <c r="E3" s="486" t="n"/>
      <c r="F3" s="486" t="n"/>
      <c r="G3" s="486" t="n"/>
      <c r="H3" s="486" t="n"/>
      <c r="I3" s="486" t="n"/>
      <c r="J3" s="486" t="n"/>
      <c r="K3" s="486" t="n"/>
      <c r="L3" s="486" t="n"/>
      <c r="M3" s="486" t="n"/>
      <c r="N3" s="486" t="n"/>
      <c r="O3" s="486" t="n"/>
      <c r="P3" s="28" t="n"/>
      <c r="Q3" s="52" t="n"/>
      <c r="R3" s="50" t="n"/>
      <c r="S3" s="50" t="n"/>
      <c r="T3" s="50" t="n"/>
      <c r="U3" s="50" t="n"/>
      <c r="V3" s="50" t="n"/>
      <c r="W3" s="50" t="n"/>
      <c r="X3" s="50" t="n"/>
      <c r="Y3" s="50" t="n"/>
      <c r="Z3" s="50" t="n"/>
      <c r="AA3" s="50" t="n"/>
      <c r="AB3" s="50" t="n"/>
      <c r="AC3" s="50" t="n"/>
      <c r="AD3" s="50" t="n"/>
      <c r="AE3" s="50" t="n"/>
      <c r="AF3" s="50" t="n"/>
      <c r="AG3" s="50" t="n"/>
      <c r="AH3" s="50" t="n"/>
      <c r="AI3" s="50" t="n"/>
      <c r="AJ3" s="50" t="n"/>
      <c r="AK3" s="50" t="n"/>
      <c r="AL3" s="50" t="n"/>
      <c r="AM3" s="50" t="n"/>
      <c r="AN3" s="50" t="n"/>
      <c r="AO3" s="50" t="n"/>
      <c r="AP3" s="50" t="n"/>
      <c r="AQ3" s="50" t="n"/>
      <c r="AR3" s="50" t="n"/>
      <c r="AS3" s="50" t="n"/>
      <c r="AT3" s="50" t="n"/>
      <c r="AU3" s="50" t="n"/>
      <c r="AV3" s="50" t="n"/>
      <c r="AW3" s="50" t="n"/>
      <c r="AX3" s="50" t="n"/>
      <c r="AY3" s="50" t="n"/>
      <c r="AZ3" s="50" t="n"/>
      <c r="BA3" s="50" t="n"/>
      <c r="BB3" s="50" t="n"/>
      <c r="BC3" s="50" t="n"/>
      <c r="BD3" s="50" t="n"/>
      <c r="BE3" s="50" t="n"/>
      <c r="BF3" s="50" t="n"/>
      <c r="BG3" s="50" t="n"/>
      <c r="BH3" s="50" t="n"/>
      <c r="BI3" s="50" t="n"/>
      <c r="BJ3" s="50" t="n"/>
      <c r="BK3" s="50" t="n"/>
      <c r="BL3" s="50" t="n"/>
      <c r="BM3" s="50" t="n"/>
      <c r="BN3" s="50" t="n"/>
      <c r="BO3" s="50" t="n"/>
      <c r="BP3" s="50" t="n"/>
      <c r="BQ3" s="50" t="n"/>
      <c r="BR3" s="50" t="n"/>
      <c r="BS3" s="50" t="n"/>
      <c r="BT3" s="50" t="n"/>
      <c r="BU3" s="50" t="n"/>
      <c r="BV3" s="50" t="n"/>
      <c r="BW3" s="50" t="n"/>
      <c r="BX3" s="50" t="n"/>
      <c r="BY3" s="50" t="n"/>
      <c r="BZ3" s="50" t="n"/>
      <c r="CA3" s="50" t="n"/>
      <c r="CB3" s="50" t="n"/>
      <c r="CC3" s="50" t="n"/>
      <c r="CD3" s="50" t="n"/>
      <c r="CE3" s="50" t="n"/>
      <c r="CF3" s="50" t="n"/>
      <c r="CG3" s="50" t="n"/>
      <c r="CH3" s="50" t="n"/>
      <c r="CI3" s="50" t="n"/>
      <c r="CJ3" s="50" t="n"/>
      <c r="CK3" s="50" t="n"/>
      <c r="CL3" s="50" t="n"/>
      <c r="CM3" s="50" t="n"/>
      <c r="CN3" s="50" t="n"/>
      <c r="CO3" s="50" t="n"/>
      <c r="CP3" s="50" t="n"/>
      <c r="CQ3" s="50" t="n"/>
      <c r="CR3" s="50" t="n"/>
      <c r="CS3" s="50" t="n"/>
      <c r="CT3" s="50" t="n"/>
      <c r="CU3" s="50" t="n"/>
      <c r="CV3" s="50" t="n"/>
      <c r="CW3" s="50" t="n"/>
      <c r="CX3" s="50" t="n"/>
      <c r="CY3" s="50" t="n"/>
      <c r="CZ3" s="50" t="n"/>
      <c r="DA3" s="50" t="n"/>
      <c r="DB3" s="50" t="n"/>
      <c r="DC3" s="50" t="n"/>
      <c r="DD3" s="50" t="n"/>
      <c r="DE3" s="50" t="n"/>
      <c r="DF3" s="50" t="n"/>
      <c r="DG3" s="50" t="n"/>
      <c r="DH3" s="50" t="n"/>
      <c r="DI3" s="50" t="n"/>
      <c r="DJ3" s="50" t="n"/>
      <c r="DK3" s="50" t="n"/>
      <c r="DL3" s="50" t="n"/>
      <c r="DM3" s="50" t="n"/>
      <c r="DN3" s="50" t="n"/>
      <c r="DO3" s="50" t="n"/>
      <c r="DP3" s="50" t="n"/>
      <c r="DQ3" s="50" t="n"/>
      <c r="DR3" s="50" t="n"/>
      <c r="DS3" s="50" t="n"/>
      <c r="DT3" s="50" t="n"/>
      <c r="DU3" s="50" t="n"/>
      <c r="DV3" s="50" t="n"/>
      <c r="DW3" s="50" t="n"/>
      <c r="DX3" s="50" t="n"/>
      <c r="DY3" s="50" t="n"/>
      <c r="DZ3" s="50" t="n"/>
      <c r="EA3" s="50" t="n"/>
      <c r="EB3" s="50" t="n"/>
      <c r="EC3" s="50" t="n"/>
      <c r="ED3" s="50" t="n"/>
      <c r="EE3" s="50" t="n"/>
      <c r="EF3" s="50" t="n"/>
      <c r="EG3" s="50" t="n"/>
      <c r="EH3" s="50" t="n"/>
      <c r="EI3" s="50" t="n"/>
      <c r="EJ3" s="50" t="n"/>
      <c r="EK3" s="50" t="n"/>
      <c r="EL3" s="50" t="n"/>
      <c r="EM3" s="50" t="n"/>
      <c r="EN3" s="50" t="n"/>
      <c r="EO3" s="50" t="n"/>
      <c r="EP3" s="50" t="n"/>
      <c r="EQ3" s="50" t="n"/>
      <c r="ER3" s="50" t="n"/>
      <c r="ES3" s="50" t="n"/>
      <c r="ET3" s="50" t="n"/>
      <c r="EU3" s="50" t="n"/>
      <c r="EV3" s="50" t="n"/>
      <c r="EW3" s="50" t="n"/>
      <c r="EX3" s="50" t="n"/>
      <c r="EY3" s="50" t="n"/>
      <c r="EZ3" s="50" t="n"/>
      <c r="FA3" s="50" t="n"/>
      <c r="FB3" s="50" t="n"/>
      <c r="FC3" s="50" t="n"/>
      <c r="FD3" s="50" t="n"/>
      <c r="FE3" s="50" t="n"/>
      <c r="FF3" s="50" t="n"/>
      <c r="FG3" s="50" t="n"/>
      <c r="FH3" s="50" t="n"/>
      <c r="FI3" s="50" t="n"/>
      <c r="FJ3" s="50" t="n"/>
      <c r="FK3" s="50" t="n"/>
      <c r="FL3" s="50" t="n"/>
      <c r="FM3" s="50" t="n"/>
      <c r="FN3" s="50" t="n"/>
      <c r="FO3" s="50" t="n"/>
      <c r="FP3" s="50" t="n"/>
      <c r="FQ3" s="50" t="n"/>
      <c r="FR3" s="50" t="n"/>
      <c r="FS3" s="50" t="n"/>
      <c r="FT3" s="50" t="n"/>
      <c r="FU3" s="50" t="n"/>
      <c r="FV3" s="50" t="n"/>
      <c r="FW3" s="50" t="n"/>
      <c r="FX3" s="50" t="n"/>
      <c r="FY3" s="50" t="n"/>
      <c r="FZ3" s="50" t="n"/>
      <c r="GA3" s="50" t="n"/>
      <c r="GB3" s="50" t="n"/>
      <c r="GC3" s="50" t="n"/>
      <c r="GD3" s="50" t="n"/>
      <c r="GE3" s="50" t="n"/>
      <c r="GF3" s="50" t="n"/>
      <c r="GG3" s="50" t="n"/>
      <c r="GH3" s="50" t="n"/>
      <c r="GI3" s="50" t="n"/>
      <c r="GJ3" s="50" t="n"/>
      <c r="GK3" s="50" t="n"/>
      <c r="GL3" s="50" t="n"/>
      <c r="GM3" s="50" t="n"/>
      <c r="GN3" s="50" t="n"/>
      <c r="GO3" s="50" t="n"/>
      <c r="GP3" s="50" t="n"/>
      <c r="GQ3" s="50" t="n"/>
      <c r="GR3" s="50" t="n"/>
      <c r="GS3" s="50" t="n"/>
      <c r="GT3" s="50" t="n"/>
      <c r="GU3" s="50" t="n"/>
      <c r="GV3" s="50" t="n"/>
      <c r="GW3" s="50" t="n"/>
      <c r="GX3" s="50" t="n"/>
      <c r="GY3" s="50" t="n"/>
      <c r="GZ3" s="50" t="n"/>
      <c r="HA3" s="50" t="n"/>
      <c r="HB3" s="50" t="n"/>
      <c r="HC3" s="50" t="n"/>
      <c r="HD3" s="50" t="n"/>
      <c r="HE3" s="50" t="n"/>
      <c r="HF3" s="50" t="n"/>
      <c r="HG3" s="50" t="n"/>
      <c r="HH3" s="50" t="n"/>
      <c r="HI3" s="50" t="n"/>
      <c r="HJ3" s="50" t="n"/>
      <c r="HK3" s="50" t="n"/>
      <c r="HL3" s="50" t="n"/>
      <c r="HM3" s="50" t="n"/>
      <c r="HN3" s="50" t="n"/>
      <c r="HO3" s="50" t="n"/>
      <c r="HP3" s="50" t="n"/>
      <c r="HQ3" s="50" t="n"/>
      <c r="HR3" s="50" t="n"/>
      <c r="HS3" s="50" t="n"/>
      <c r="HT3" s="50" t="n"/>
      <c r="HU3" s="50" t="n"/>
      <c r="HV3" s="50" t="n"/>
      <c r="HW3" s="50" t="n"/>
      <c r="HX3" s="50" t="n"/>
      <c r="HY3" s="50" t="n"/>
      <c r="HZ3" s="50" t="n"/>
      <c r="IA3" s="50" t="n"/>
      <c r="IB3" s="50" t="n"/>
      <c r="IC3" s="50" t="n"/>
      <c r="ID3" s="50" t="n"/>
      <c r="IE3" s="50" t="n"/>
      <c r="IF3" s="50" t="n"/>
      <c r="IG3" s="50" t="n"/>
      <c r="IH3" s="50" t="n"/>
      <c r="II3" s="50" t="n"/>
      <c r="IJ3" s="50" t="n"/>
      <c r="IK3" s="50" t="n"/>
      <c r="IL3" s="50" t="n"/>
      <c r="IM3" s="50" t="n"/>
      <c r="IN3" s="50" t="n"/>
      <c r="IO3" s="50" t="n"/>
      <c r="IP3" s="50" t="n"/>
      <c r="IQ3" s="50" t="n"/>
    </row>
    <row r="4" ht="29.25" customHeight="1" s="322">
      <c r="A4" s="110" t="inlineStr">
        <is>
          <t>구간</t>
        </is>
      </c>
      <c r="B4" s="112" t="inlineStr">
        <is>
          <t>현재</t>
        </is>
      </c>
      <c r="C4" s="112" t="inlineStr">
        <is>
          <t>전 날</t>
        </is>
      </c>
      <c r="D4" s="112" t="inlineStr">
        <is>
          <t>1개월 전</t>
        </is>
      </c>
      <c r="E4" s="112" t="inlineStr">
        <is>
          <t>2개월 전</t>
        </is>
      </c>
      <c r="F4" s="112" t="inlineStr">
        <is>
          <t>3개월 전</t>
        </is>
      </c>
      <c r="G4" s="112" t="inlineStr">
        <is>
          <t>4개월 전</t>
        </is>
      </c>
      <c r="H4" s="112" t="inlineStr">
        <is>
          <t>5개월 전</t>
        </is>
      </c>
      <c r="I4" s="112" t="inlineStr">
        <is>
          <t>6개월 전</t>
        </is>
      </c>
      <c r="J4" s="112" t="inlineStr">
        <is>
          <t>7개월 전</t>
        </is>
      </c>
      <c r="K4" s="112" t="inlineStr">
        <is>
          <t>8개월 전</t>
        </is>
      </c>
      <c r="L4" s="112" t="inlineStr">
        <is>
          <t>9개월 전</t>
        </is>
      </c>
      <c r="M4" s="112" t="inlineStr">
        <is>
          <t>10개월 전</t>
        </is>
      </c>
      <c r="N4" s="112" t="inlineStr">
        <is>
          <t>11개월 전</t>
        </is>
      </c>
      <c r="O4" s="112" t="inlineStr">
        <is>
          <t>12개월 전</t>
        </is>
      </c>
      <c r="P4" s="117" t="inlineStr">
        <is>
          <t>12개월 이동평균</t>
        </is>
      </c>
      <c r="Q4" s="119" t="inlineStr">
        <is>
          <t>현재가격/12개월 이동평균</t>
        </is>
      </c>
      <c r="R4" s="269" t="inlineStr">
        <is>
          <t>1개월 수익률</t>
        </is>
      </c>
      <c r="S4" s="269" t="inlineStr">
        <is>
          <t>3개월 수익률</t>
        </is>
      </c>
      <c r="T4" s="269" t="inlineStr">
        <is>
          <t>6개월 수익률</t>
        </is>
      </c>
      <c r="U4" s="269" t="inlineStr">
        <is>
          <t>최근 1년 수익률</t>
        </is>
      </c>
      <c r="V4" s="121" t="inlineStr">
        <is>
          <t>1개월 수익률*12</t>
        </is>
      </c>
      <c r="W4" s="121" t="inlineStr">
        <is>
          <t>3개월 수익률*4</t>
        </is>
      </c>
      <c r="X4" s="121" t="inlineStr">
        <is>
          <t>6개월 수익률*2</t>
        </is>
      </c>
      <c r="Y4" s="121" t="inlineStr">
        <is>
          <t>12개월 수익률*1</t>
        </is>
      </c>
      <c r="Z4" s="124" t="inlineStr">
        <is>
          <t>모멘텀 스코어</t>
        </is>
      </c>
      <c r="AA4" s="50" t="n"/>
      <c r="AB4" s="50" t="n"/>
      <c r="AC4" s="50" t="n"/>
      <c r="AD4" s="50" t="n"/>
      <c r="AE4" s="50" t="n"/>
      <c r="AF4" s="50" t="n"/>
      <c r="AG4" s="50" t="n"/>
      <c r="AH4" s="50" t="n"/>
      <c r="AI4" s="50" t="n"/>
      <c r="AJ4" s="50" t="n"/>
      <c r="AK4" s="50" t="n"/>
      <c r="AL4" s="50" t="n"/>
      <c r="AM4" s="50" t="n"/>
      <c r="AN4" s="50" t="n"/>
      <c r="AO4" s="50" t="n"/>
      <c r="AP4" s="50" t="n"/>
      <c r="AQ4" s="50" t="n"/>
      <c r="AR4" s="50" t="n"/>
      <c r="AS4" s="50" t="n"/>
      <c r="AT4" s="50" t="n"/>
      <c r="AU4" s="50" t="n"/>
      <c r="AV4" s="50" t="n"/>
      <c r="AW4" s="50" t="n"/>
      <c r="AX4" s="50" t="n"/>
      <c r="AY4" s="50" t="n"/>
      <c r="AZ4" s="50" t="n"/>
      <c r="BA4" s="50" t="n"/>
      <c r="BB4" s="50" t="n"/>
      <c r="BC4" s="50" t="n"/>
      <c r="BD4" s="50" t="n"/>
      <c r="BE4" s="50" t="n"/>
      <c r="BF4" s="50" t="n"/>
      <c r="BG4" s="50" t="n"/>
      <c r="BH4" s="50" t="n"/>
      <c r="BI4" s="50" t="n"/>
      <c r="BJ4" s="50" t="n"/>
      <c r="BK4" s="50" t="n"/>
      <c r="BL4" s="50" t="n"/>
      <c r="BM4" s="50" t="n"/>
      <c r="BN4" s="50" t="n"/>
      <c r="BO4" s="50" t="n"/>
      <c r="BP4" s="50" t="n"/>
      <c r="BQ4" s="50" t="n"/>
      <c r="BR4" s="50" t="n"/>
      <c r="BS4" s="50" t="n"/>
      <c r="BT4" s="50" t="n"/>
      <c r="BU4" s="50" t="n"/>
      <c r="BV4" s="50" t="n"/>
      <c r="BW4" s="50" t="n"/>
      <c r="BX4" s="50" t="n"/>
      <c r="BY4" s="50" t="n"/>
      <c r="BZ4" s="50" t="n"/>
      <c r="CA4" s="50" t="n"/>
      <c r="CB4" s="50" t="n"/>
      <c r="CC4" s="50" t="n"/>
      <c r="CD4" s="50" t="n"/>
      <c r="CE4" s="50" t="n"/>
      <c r="CF4" s="50" t="n"/>
      <c r="CG4" s="50" t="n"/>
      <c r="CH4" s="50" t="n"/>
      <c r="CI4" s="50" t="n"/>
      <c r="CJ4" s="50" t="n"/>
      <c r="CK4" s="50" t="n"/>
      <c r="CL4" s="50" t="n"/>
      <c r="CM4" s="50" t="n"/>
      <c r="CN4" s="50" t="n"/>
      <c r="CO4" s="50" t="n"/>
      <c r="CP4" s="50" t="n"/>
      <c r="CQ4" s="50" t="n"/>
      <c r="CR4" s="50" t="n"/>
      <c r="CS4" s="50" t="n"/>
      <c r="CT4" s="50" t="n"/>
      <c r="CU4" s="50" t="n"/>
      <c r="CV4" s="50" t="n"/>
      <c r="CW4" s="50" t="n"/>
      <c r="CX4" s="50" t="n"/>
      <c r="CY4" s="50" t="n"/>
      <c r="CZ4" s="50" t="n"/>
      <c r="DA4" s="50" t="n"/>
      <c r="DB4" s="50" t="n"/>
      <c r="DC4" s="50" t="n"/>
      <c r="DD4" s="50" t="n"/>
      <c r="DE4" s="50" t="n"/>
      <c r="DF4" s="50" t="n"/>
      <c r="DG4" s="50" t="n"/>
      <c r="DH4" s="50" t="n"/>
      <c r="DI4" s="50" t="n"/>
      <c r="DJ4" s="50" t="n"/>
      <c r="DK4" s="50" t="n"/>
      <c r="DL4" s="50" t="n"/>
      <c r="DM4" s="50" t="n"/>
      <c r="DN4" s="50" t="n"/>
      <c r="DO4" s="50" t="n"/>
      <c r="DP4" s="50" t="n"/>
      <c r="DQ4" s="50" t="n"/>
      <c r="DR4" s="50" t="n"/>
      <c r="DS4" s="50" t="n"/>
      <c r="DT4" s="50" t="n"/>
      <c r="DU4" s="50" t="n"/>
      <c r="DV4" s="50" t="n"/>
      <c r="DW4" s="50" t="n"/>
      <c r="DX4" s="50" t="n"/>
      <c r="DY4" s="50" t="n"/>
      <c r="DZ4" s="50" t="n"/>
      <c r="EA4" s="50" t="n"/>
      <c r="EB4" s="50" t="n"/>
      <c r="EC4" s="50" t="n"/>
      <c r="ED4" s="50" t="n"/>
      <c r="EE4" s="50" t="n"/>
      <c r="EF4" s="50" t="n"/>
      <c r="EG4" s="50" t="n"/>
      <c r="EH4" s="50" t="n"/>
      <c r="EI4" s="50" t="n"/>
      <c r="EJ4" s="50" t="n"/>
      <c r="EK4" s="50" t="n"/>
      <c r="EL4" s="50" t="n"/>
      <c r="EM4" s="50" t="n"/>
      <c r="EN4" s="50" t="n"/>
      <c r="EO4" s="50" t="n"/>
      <c r="EP4" s="50" t="n"/>
      <c r="EQ4" s="50" t="n"/>
      <c r="ER4" s="50" t="n"/>
      <c r="ES4" s="50" t="n"/>
      <c r="ET4" s="50" t="n"/>
      <c r="EU4" s="50" t="n"/>
      <c r="EV4" s="50" t="n"/>
      <c r="EW4" s="50" t="n"/>
      <c r="EX4" s="50" t="n"/>
      <c r="EY4" s="50" t="n"/>
      <c r="EZ4" s="50" t="n"/>
      <c r="FA4" s="50" t="n"/>
      <c r="FB4" s="50" t="n"/>
      <c r="FC4" s="50" t="n"/>
      <c r="FD4" s="50" t="n"/>
      <c r="FE4" s="50" t="n"/>
      <c r="FF4" s="50" t="n"/>
      <c r="FG4" s="50" t="n"/>
      <c r="FH4" s="50" t="n"/>
      <c r="FI4" s="50" t="n"/>
      <c r="FJ4" s="50" t="n"/>
      <c r="FK4" s="50" t="n"/>
      <c r="FL4" s="50" t="n"/>
      <c r="FM4" s="50" t="n"/>
      <c r="FN4" s="50" t="n"/>
      <c r="FO4" s="50" t="n"/>
      <c r="FP4" s="50" t="n"/>
      <c r="FQ4" s="50" t="n"/>
      <c r="FR4" s="50" t="n"/>
      <c r="FS4" s="50" t="n"/>
      <c r="FT4" s="50" t="n"/>
      <c r="FU4" s="50" t="n"/>
      <c r="FV4" s="50" t="n"/>
      <c r="FW4" s="50" t="n"/>
      <c r="FX4" s="50" t="n"/>
      <c r="FY4" s="50" t="n"/>
      <c r="FZ4" s="50" t="n"/>
      <c r="GA4" s="50" t="n"/>
      <c r="GB4" s="50" t="n"/>
      <c r="GC4" s="50" t="n"/>
      <c r="GD4" s="50" t="n"/>
      <c r="GE4" s="50" t="n"/>
      <c r="GF4" s="50" t="n"/>
      <c r="GG4" s="50" t="n"/>
      <c r="GH4" s="50" t="n"/>
      <c r="GI4" s="50" t="n"/>
      <c r="GJ4" s="50" t="n"/>
      <c r="GK4" s="50" t="n"/>
      <c r="GL4" s="50" t="n"/>
      <c r="GM4" s="50" t="n"/>
      <c r="GN4" s="50" t="n"/>
      <c r="GO4" s="50" t="n"/>
      <c r="GP4" s="50" t="n"/>
      <c r="GQ4" s="50" t="n"/>
      <c r="GR4" s="50" t="n"/>
      <c r="GS4" s="50" t="n"/>
      <c r="GT4" s="50" t="n"/>
      <c r="GU4" s="50" t="n"/>
      <c r="GV4" s="50" t="n"/>
      <c r="GW4" s="50" t="n"/>
      <c r="GX4" s="50" t="n"/>
      <c r="GY4" s="50" t="n"/>
      <c r="GZ4" s="50" t="n"/>
      <c r="HA4" s="50" t="n"/>
      <c r="HB4" s="50" t="n"/>
      <c r="HC4" s="50" t="n"/>
      <c r="HD4" s="50" t="n"/>
      <c r="HE4" s="50" t="n"/>
      <c r="HF4" s="50" t="n"/>
      <c r="HG4" s="50" t="n"/>
      <c r="HH4" s="50" t="n"/>
      <c r="HI4" s="50" t="n"/>
      <c r="HJ4" s="50" t="n"/>
      <c r="HK4" s="50" t="n"/>
      <c r="HL4" s="50" t="n"/>
      <c r="HM4" s="50" t="n"/>
      <c r="HN4" s="50" t="n"/>
      <c r="HO4" s="50" t="n"/>
      <c r="HP4" s="50" t="n"/>
      <c r="HQ4" s="50" t="n"/>
      <c r="HR4" s="50" t="n"/>
      <c r="HS4" s="50" t="n"/>
      <c r="HT4" s="50" t="n"/>
      <c r="HU4" s="50" t="n"/>
      <c r="HV4" s="50" t="n"/>
      <c r="HW4" s="50" t="n"/>
      <c r="HX4" s="50" t="n"/>
      <c r="HY4" s="50" t="n"/>
      <c r="HZ4" s="50" t="n"/>
      <c r="IA4" s="50" t="n"/>
      <c r="IB4" s="50" t="n"/>
      <c r="IC4" s="50" t="n"/>
      <c r="ID4" s="50" t="n"/>
      <c r="IE4" s="50" t="n"/>
      <c r="IF4" s="50" t="n"/>
      <c r="IG4" s="50" t="n"/>
      <c r="IH4" s="50" t="n"/>
      <c r="II4" s="50" t="n"/>
      <c r="IJ4" s="50" t="n"/>
      <c r="IK4" s="50" t="n"/>
      <c r="IL4" s="50" t="n"/>
      <c r="IM4" s="50" t="n"/>
      <c r="IN4" s="50" t="n"/>
      <c r="IO4" s="50" t="n"/>
      <c r="IP4" s="50" t="n"/>
      <c r="IQ4" s="50" t="n"/>
    </row>
    <row r="5" ht="13.5" customHeight="1" s="322">
      <c r="A5" s="145">
        <f>관심종목!D10</f>
        <v/>
      </c>
      <c r="B5" s="488">
        <f>관심종목!H10</f>
        <v/>
      </c>
      <c r="C5" s="148">
        <f>VLOOKUP(C1,SPY!$B$27:$G$278,5,1)</f>
        <v/>
      </c>
      <c r="D5" s="148">
        <f>VLOOKUP(D1,SPY!$B$27:$G$278,5,1)</f>
        <v/>
      </c>
      <c r="E5" s="148">
        <f>VLOOKUP(E1,SPY!$B$27:$G$278,5,1)</f>
        <v/>
      </c>
      <c r="F5" s="148">
        <f>VLOOKUP(F1,SPY!$B$27:$G$278,5,1)</f>
        <v/>
      </c>
      <c r="G5" s="148">
        <f>VLOOKUP(G1,SPY!$B$27:$G$278,5,1)</f>
        <v/>
      </c>
      <c r="H5" s="148">
        <f>VLOOKUP(H1,SPY!$B$27:$G$278,5,1)</f>
        <v/>
      </c>
      <c r="I5" s="148">
        <f>VLOOKUP(I1,SPY!$B$27:$G$278,5,1)</f>
        <v/>
      </c>
      <c r="J5" s="148">
        <f>VLOOKUP(J1,SPY!$B$27:$G$278,5,1)</f>
        <v/>
      </c>
      <c r="K5" s="148">
        <f>VLOOKUP(K1,SPY!$B$27:$G$278,5,1)</f>
        <v/>
      </c>
      <c r="L5" s="148">
        <f>VLOOKUP(L1,SPY!$B$27:$G$278,5,1)</f>
        <v/>
      </c>
      <c r="M5" s="148">
        <f>VLOOKUP(M1,SPY!$B$27:$G$278,5,1)</f>
        <v/>
      </c>
      <c r="N5" s="148">
        <f>VLOOKUP(N1,SPY!$B$27:$G$278,5,1)</f>
        <v/>
      </c>
      <c r="O5" s="148">
        <f>VLOOKUP(O1,SPY!$B$27:$G$278,5,1)</f>
        <v/>
      </c>
      <c r="P5" s="163">
        <f>AVERAGE(D5:O5)</f>
        <v/>
      </c>
      <c r="Q5" s="165">
        <f>B5/P5</f>
        <v/>
      </c>
      <c r="R5" s="168">
        <f>(B5/D5)-1</f>
        <v/>
      </c>
      <c r="S5" s="168">
        <f>(B5/F5)-1</f>
        <v/>
      </c>
      <c r="T5" s="168">
        <f>(B5/I5)-1</f>
        <v/>
      </c>
      <c r="U5" s="168">
        <f>(B5/O5)-1</f>
        <v/>
      </c>
      <c r="V5" s="489">
        <f>R5*12</f>
        <v/>
      </c>
      <c r="W5" s="489">
        <f>S5*4</f>
        <v/>
      </c>
      <c r="X5" s="489">
        <f>T5*2</f>
        <v/>
      </c>
      <c r="Y5" s="489">
        <f>U5*1</f>
        <v/>
      </c>
      <c r="Z5" s="180">
        <f>SUM(V5:Y5)</f>
        <v/>
      </c>
      <c r="AA5" s="50" t="n"/>
      <c r="AB5" s="50" t="n"/>
      <c r="AC5" s="50" t="n"/>
      <c r="AD5" s="50" t="n"/>
      <c r="AE5" s="50" t="n"/>
      <c r="AF5" s="50" t="n"/>
      <c r="AG5" s="50" t="n"/>
      <c r="AH5" s="50" t="n"/>
      <c r="AI5" s="50" t="n"/>
      <c r="AJ5" s="50" t="n"/>
      <c r="AK5" s="50" t="n"/>
      <c r="AL5" s="50" t="n"/>
      <c r="AM5" s="50" t="n"/>
      <c r="AN5" s="50" t="n"/>
      <c r="AO5" s="50" t="n"/>
      <c r="AP5" s="50" t="n"/>
      <c r="AQ5" s="50" t="n"/>
      <c r="AR5" s="50" t="n"/>
      <c r="AS5" s="50" t="n"/>
      <c r="AT5" s="50" t="n"/>
      <c r="AU5" s="50" t="n"/>
      <c r="AV5" s="50" t="n"/>
      <c r="AW5" s="50" t="n"/>
      <c r="AX5" s="50" t="n"/>
      <c r="AY5" s="50" t="n"/>
      <c r="AZ5" s="50" t="n"/>
      <c r="BA5" s="50" t="n"/>
      <c r="BB5" s="50" t="n"/>
      <c r="BC5" s="50" t="n"/>
      <c r="BD5" s="50" t="n"/>
      <c r="BE5" s="50" t="n"/>
      <c r="BF5" s="50" t="n"/>
      <c r="BG5" s="50" t="n"/>
      <c r="BH5" s="50" t="n"/>
      <c r="BI5" s="50" t="n"/>
      <c r="BJ5" s="50" t="n"/>
      <c r="BK5" s="50" t="n"/>
      <c r="BL5" s="50" t="n"/>
      <c r="BM5" s="50" t="n"/>
      <c r="BN5" s="50" t="n"/>
      <c r="BO5" s="50" t="n"/>
      <c r="BP5" s="50" t="n"/>
      <c r="BQ5" s="50" t="n"/>
      <c r="BR5" s="50" t="n"/>
      <c r="BS5" s="50" t="n"/>
      <c r="BT5" s="50" t="n"/>
      <c r="BU5" s="50" t="n"/>
      <c r="BV5" s="50" t="n"/>
      <c r="BW5" s="50" t="n"/>
      <c r="BX5" s="50" t="n"/>
      <c r="BY5" s="50" t="n"/>
      <c r="BZ5" s="50" t="n"/>
      <c r="CA5" s="50" t="n"/>
      <c r="CB5" s="50" t="n"/>
      <c r="CC5" s="50" t="n"/>
      <c r="CD5" s="50" t="n"/>
      <c r="CE5" s="50" t="n"/>
      <c r="CF5" s="50" t="n"/>
      <c r="CG5" s="50" t="n"/>
      <c r="CH5" s="50" t="n"/>
      <c r="CI5" s="50" t="n"/>
      <c r="CJ5" s="50" t="n"/>
      <c r="CK5" s="50" t="n"/>
      <c r="CL5" s="50" t="n"/>
      <c r="CM5" s="50" t="n"/>
      <c r="CN5" s="50" t="n"/>
      <c r="CO5" s="50" t="n"/>
      <c r="CP5" s="50" t="n"/>
      <c r="CQ5" s="50" t="n"/>
      <c r="CR5" s="50" t="n"/>
      <c r="CS5" s="50" t="n"/>
      <c r="CT5" s="50" t="n"/>
      <c r="CU5" s="50" t="n"/>
      <c r="CV5" s="50" t="n"/>
      <c r="CW5" s="50" t="n"/>
      <c r="CX5" s="50" t="n"/>
      <c r="CY5" s="50" t="n"/>
      <c r="CZ5" s="50" t="n"/>
      <c r="DA5" s="50" t="n"/>
      <c r="DB5" s="50" t="n"/>
      <c r="DC5" s="50" t="n"/>
      <c r="DD5" s="50" t="n"/>
      <c r="DE5" s="50" t="n"/>
      <c r="DF5" s="50" t="n"/>
      <c r="DG5" s="50" t="n"/>
      <c r="DH5" s="50" t="n"/>
      <c r="DI5" s="50" t="n"/>
      <c r="DJ5" s="50" t="n"/>
      <c r="DK5" s="50" t="n"/>
      <c r="DL5" s="50" t="n"/>
      <c r="DM5" s="50" t="n"/>
      <c r="DN5" s="50" t="n"/>
      <c r="DO5" s="50" t="n"/>
      <c r="DP5" s="50" t="n"/>
      <c r="DQ5" s="50" t="n"/>
      <c r="DR5" s="50" t="n"/>
      <c r="DS5" s="50" t="n"/>
      <c r="DT5" s="50" t="n"/>
      <c r="DU5" s="50" t="n"/>
      <c r="DV5" s="50" t="n"/>
      <c r="DW5" s="50" t="n"/>
      <c r="DX5" s="50" t="n"/>
      <c r="DY5" s="50" t="n"/>
      <c r="DZ5" s="50" t="n"/>
      <c r="EA5" s="50" t="n"/>
      <c r="EB5" s="50" t="n"/>
      <c r="EC5" s="50" t="n"/>
      <c r="ED5" s="50" t="n"/>
      <c r="EE5" s="50" t="n"/>
      <c r="EF5" s="50" t="n"/>
      <c r="EG5" s="50" t="n"/>
      <c r="EH5" s="50" t="n"/>
      <c r="EI5" s="50" t="n"/>
      <c r="EJ5" s="50" t="n"/>
      <c r="EK5" s="50" t="n"/>
      <c r="EL5" s="50" t="n"/>
      <c r="EM5" s="50" t="n"/>
      <c r="EN5" s="50" t="n"/>
      <c r="EO5" s="50" t="n"/>
      <c r="EP5" s="50" t="n"/>
      <c r="EQ5" s="50" t="n"/>
      <c r="ER5" s="50" t="n"/>
      <c r="ES5" s="50" t="n"/>
      <c r="ET5" s="50" t="n"/>
      <c r="EU5" s="50" t="n"/>
      <c r="EV5" s="50" t="n"/>
      <c r="EW5" s="50" t="n"/>
      <c r="EX5" s="50" t="n"/>
      <c r="EY5" s="50" t="n"/>
      <c r="EZ5" s="50" t="n"/>
      <c r="FA5" s="50" t="n"/>
      <c r="FB5" s="50" t="n"/>
      <c r="FC5" s="50" t="n"/>
      <c r="FD5" s="50" t="n"/>
      <c r="FE5" s="50" t="n"/>
      <c r="FF5" s="50" t="n"/>
      <c r="FG5" s="50" t="n"/>
      <c r="FH5" s="50" t="n"/>
      <c r="FI5" s="50" t="n"/>
      <c r="FJ5" s="50" t="n"/>
      <c r="FK5" s="50" t="n"/>
      <c r="FL5" s="50" t="n"/>
      <c r="FM5" s="50" t="n"/>
      <c r="FN5" s="50" t="n"/>
      <c r="FO5" s="50" t="n"/>
      <c r="FP5" s="50" t="n"/>
      <c r="FQ5" s="50" t="n"/>
      <c r="FR5" s="50" t="n"/>
      <c r="FS5" s="50" t="n"/>
      <c r="FT5" s="50" t="n"/>
      <c r="FU5" s="50" t="n"/>
      <c r="FV5" s="50" t="n"/>
      <c r="FW5" s="50" t="n"/>
      <c r="FX5" s="50" t="n"/>
      <c r="FY5" s="50" t="n"/>
      <c r="FZ5" s="50" t="n"/>
      <c r="GA5" s="50" t="n"/>
      <c r="GB5" s="50" t="n"/>
      <c r="GC5" s="50" t="n"/>
      <c r="GD5" s="50" t="n"/>
      <c r="GE5" s="50" t="n"/>
      <c r="GF5" s="50" t="n"/>
      <c r="GG5" s="50" t="n"/>
      <c r="GH5" s="50" t="n"/>
      <c r="GI5" s="50" t="n"/>
      <c r="GJ5" s="50" t="n"/>
      <c r="GK5" s="50" t="n"/>
      <c r="GL5" s="50" t="n"/>
      <c r="GM5" s="50" t="n"/>
      <c r="GN5" s="50" t="n"/>
      <c r="GO5" s="50" t="n"/>
      <c r="GP5" s="50" t="n"/>
      <c r="GQ5" s="50" t="n"/>
      <c r="GR5" s="50" t="n"/>
      <c r="GS5" s="50" t="n"/>
      <c r="GT5" s="50" t="n"/>
      <c r="GU5" s="50" t="n"/>
      <c r="GV5" s="50" t="n"/>
      <c r="GW5" s="50" t="n"/>
      <c r="GX5" s="50" t="n"/>
      <c r="GY5" s="50" t="n"/>
      <c r="GZ5" s="50" t="n"/>
      <c r="HA5" s="50" t="n"/>
      <c r="HB5" s="50" t="n"/>
      <c r="HC5" s="50" t="n"/>
      <c r="HD5" s="50" t="n"/>
      <c r="HE5" s="50" t="n"/>
      <c r="HF5" s="50" t="n"/>
      <c r="HG5" s="50" t="n"/>
      <c r="HH5" s="50" t="n"/>
      <c r="HI5" s="50" t="n"/>
      <c r="HJ5" s="50" t="n"/>
      <c r="HK5" s="50" t="n"/>
      <c r="HL5" s="50" t="n"/>
      <c r="HM5" s="50" t="n"/>
      <c r="HN5" s="50" t="n"/>
      <c r="HO5" s="50" t="n"/>
      <c r="HP5" s="50" t="n"/>
      <c r="HQ5" s="50" t="n"/>
      <c r="HR5" s="50" t="n"/>
      <c r="HS5" s="50" t="n"/>
      <c r="HT5" s="50" t="n"/>
      <c r="HU5" s="50" t="n"/>
      <c r="HV5" s="50" t="n"/>
      <c r="HW5" s="50" t="n"/>
      <c r="HX5" s="50" t="n"/>
      <c r="HY5" s="50" t="n"/>
      <c r="HZ5" s="50" t="n"/>
      <c r="IA5" s="50" t="n"/>
      <c r="IB5" s="50" t="n"/>
      <c r="IC5" s="50" t="n"/>
      <c r="ID5" s="50" t="n"/>
      <c r="IE5" s="50" t="n"/>
      <c r="IF5" s="50" t="n"/>
      <c r="IG5" s="50" t="n"/>
      <c r="IH5" s="50" t="n"/>
      <c r="II5" s="50" t="n"/>
      <c r="IJ5" s="50" t="n"/>
      <c r="IK5" s="50" t="n"/>
      <c r="IL5" s="50" t="n"/>
      <c r="IM5" s="50" t="n"/>
      <c r="IN5" s="50" t="n"/>
      <c r="IO5" s="50" t="n"/>
      <c r="IP5" s="50" t="n"/>
      <c r="IQ5" s="50" t="n"/>
    </row>
    <row r="6" ht="13.5" customHeight="1" s="322">
      <c r="A6" s="145">
        <f>관심종목!D11</f>
        <v/>
      </c>
      <c r="B6" s="488">
        <f>관심종목!H11</f>
        <v/>
      </c>
      <c r="C6" s="148">
        <f>VLOOKUP(C1,QQQ!$B$27:$G$278,5,1)</f>
        <v/>
      </c>
      <c r="D6" s="148">
        <f>VLOOKUP(D1,QQQ!$B$27:$G$278,5,1)</f>
        <v/>
      </c>
      <c r="E6" s="148">
        <f>VLOOKUP(E1,QQQ!$B$27:$G$278,5,1)</f>
        <v/>
      </c>
      <c r="F6" s="148">
        <f>VLOOKUP(F1,QQQ!$B$27:$G$278,5,1)</f>
        <v/>
      </c>
      <c r="G6" s="148">
        <f>VLOOKUP(G1,QQQ!$B$27:$G$278,5,1)</f>
        <v/>
      </c>
      <c r="H6" s="148">
        <f>VLOOKUP(H1,QQQ!$B$27:$G$278,5,1)</f>
        <v/>
      </c>
      <c r="I6" s="148">
        <f>VLOOKUP(I1,QQQ!$B$27:$G$278,5,1)</f>
        <v/>
      </c>
      <c r="J6" s="148">
        <f>VLOOKUP(J1,QQQ!$B$27:$G$278,5,1)</f>
        <v/>
      </c>
      <c r="K6" s="148">
        <f>VLOOKUP(K1,QQQ!$B$27:$G$278,5,1)</f>
        <v/>
      </c>
      <c r="L6" s="148">
        <f>VLOOKUP(L1,QQQ!$B$27:$G$278,5,1)</f>
        <v/>
      </c>
      <c r="M6" s="148">
        <f>VLOOKUP(M1,QQQ!$B$27:$G$278,5,1)</f>
        <v/>
      </c>
      <c r="N6" s="148">
        <f>VLOOKUP(N1,QQQ!$B$27:$G$278,5,1)</f>
        <v/>
      </c>
      <c r="O6" s="148">
        <f>VLOOKUP(O1,QQQ!$B$27:$G$278,5,1)</f>
        <v/>
      </c>
      <c r="P6" s="163">
        <f>AVERAGE(D6:O6)</f>
        <v/>
      </c>
      <c r="Q6" s="165">
        <f>B6/P6</f>
        <v/>
      </c>
      <c r="R6" s="168">
        <f>(B6/D6)-1</f>
        <v/>
      </c>
      <c r="S6" s="168">
        <f>(B6/F6)-1</f>
        <v/>
      </c>
      <c r="T6" s="168">
        <f>(B6/I6)-1</f>
        <v/>
      </c>
      <c r="U6" s="168">
        <f>(B6/O6)-1</f>
        <v/>
      </c>
      <c r="V6" s="489">
        <f>R6*12</f>
        <v/>
      </c>
      <c r="W6" s="489">
        <f>S6*4</f>
        <v/>
      </c>
      <c r="X6" s="489">
        <f>T6*2</f>
        <v/>
      </c>
      <c r="Y6" s="489">
        <f>U6*1</f>
        <v/>
      </c>
      <c r="Z6" s="180">
        <f>SUM(V6:Y6)</f>
        <v/>
      </c>
      <c r="AA6" s="50" t="n"/>
      <c r="AB6" s="50" t="n"/>
      <c r="AC6" s="50" t="n"/>
      <c r="AD6" s="50" t="n"/>
      <c r="AE6" s="50" t="n"/>
      <c r="AF6" s="50" t="n"/>
      <c r="AG6" s="50" t="n"/>
      <c r="AH6" s="50" t="n"/>
      <c r="AI6" s="50" t="n"/>
      <c r="AJ6" s="50" t="n"/>
      <c r="AK6" s="50" t="n"/>
      <c r="AL6" s="50" t="n"/>
      <c r="AM6" s="50" t="n"/>
      <c r="AN6" s="50" t="n"/>
      <c r="AO6" s="50" t="n"/>
      <c r="AP6" s="50" t="n"/>
      <c r="AQ6" s="50" t="n"/>
      <c r="AR6" s="50" t="n"/>
      <c r="AS6" s="50" t="n"/>
      <c r="AT6" s="50" t="n"/>
      <c r="AU6" s="50" t="n"/>
      <c r="AV6" s="50" t="n"/>
      <c r="AW6" s="50" t="n"/>
      <c r="AX6" s="50" t="n"/>
      <c r="AY6" s="50" t="n"/>
      <c r="AZ6" s="50" t="n"/>
      <c r="BA6" s="50" t="n"/>
      <c r="BB6" s="50" t="n"/>
      <c r="BC6" s="50" t="n"/>
      <c r="BD6" s="50" t="n"/>
      <c r="BE6" s="50" t="n"/>
      <c r="BF6" s="50" t="n"/>
      <c r="BG6" s="50" t="n"/>
      <c r="BH6" s="50" t="n"/>
      <c r="BI6" s="50" t="n"/>
      <c r="BJ6" s="50" t="n"/>
      <c r="BK6" s="50" t="n"/>
      <c r="BL6" s="50" t="n"/>
      <c r="BM6" s="50" t="n"/>
      <c r="BN6" s="50" t="n"/>
      <c r="BO6" s="50" t="n"/>
      <c r="BP6" s="50" t="n"/>
      <c r="BQ6" s="50" t="n"/>
      <c r="BR6" s="50" t="n"/>
      <c r="BS6" s="50" t="n"/>
      <c r="BT6" s="50" t="n"/>
      <c r="BU6" s="50" t="n"/>
      <c r="BV6" s="50" t="n"/>
      <c r="BW6" s="50" t="n"/>
      <c r="BX6" s="50" t="n"/>
      <c r="BY6" s="50" t="n"/>
      <c r="BZ6" s="50" t="n"/>
      <c r="CA6" s="50" t="n"/>
      <c r="CB6" s="50" t="n"/>
      <c r="CC6" s="50" t="n"/>
      <c r="CD6" s="50" t="n"/>
      <c r="CE6" s="50" t="n"/>
      <c r="CF6" s="50" t="n"/>
      <c r="CG6" s="50" t="n"/>
      <c r="CH6" s="50" t="n"/>
      <c r="CI6" s="50" t="n"/>
      <c r="CJ6" s="50" t="n"/>
      <c r="CK6" s="50" t="n"/>
      <c r="CL6" s="50" t="n"/>
      <c r="CM6" s="50" t="n"/>
      <c r="CN6" s="50" t="n"/>
      <c r="CO6" s="50" t="n"/>
      <c r="CP6" s="50" t="n"/>
      <c r="CQ6" s="50" t="n"/>
      <c r="CR6" s="50" t="n"/>
      <c r="CS6" s="50" t="n"/>
      <c r="CT6" s="50" t="n"/>
      <c r="CU6" s="50" t="n"/>
      <c r="CV6" s="50" t="n"/>
      <c r="CW6" s="50" t="n"/>
      <c r="CX6" s="50" t="n"/>
      <c r="CY6" s="50" t="n"/>
      <c r="CZ6" s="50" t="n"/>
      <c r="DA6" s="50" t="n"/>
      <c r="DB6" s="50" t="n"/>
      <c r="DC6" s="50" t="n"/>
      <c r="DD6" s="50" t="n"/>
      <c r="DE6" s="50" t="n"/>
      <c r="DF6" s="50" t="n"/>
      <c r="DG6" s="50" t="n"/>
      <c r="DH6" s="50" t="n"/>
      <c r="DI6" s="50" t="n"/>
      <c r="DJ6" s="50" t="n"/>
      <c r="DK6" s="50" t="n"/>
      <c r="DL6" s="50" t="n"/>
      <c r="DM6" s="50" t="n"/>
      <c r="DN6" s="50" t="n"/>
      <c r="DO6" s="50" t="n"/>
      <c r="DP6" s="50" t="n"/>
      <c r="DQ6" s="50" t="n"/>
      <c r="DR6" s="50" t="n"/>
      <c r="DS6" s="50" t="n"/>
      <c r="DT6" s="50" t="n"/>
      <c r="DU6" s="50" t="n"/>
      <c r="DV6" s="50" t="n"/>
      <c r="DW6" s="50" t="n"/>
      <c r="DX6" s="50" t="n"/>
      <c r="DY6" s="50" t="n"/>
      <c r="DZ6" s="50" t="n"/>
      <c r="EA6" s="50" t="n"/>
      <c r="EB6" s="50" t="n"/>
      <c r="EC6" s="50" t="n"/>
      <c r="ED6" s="50" t="n"/>
      <c r="EE6" s="50" t="n"/>
      <c r="EF6" s="50" t="n"/>
      <c r="EG6" s="50" t="n"/>
      <c r="EH6" s="50" t="n"/>
      <c r="EI6" s="50" t="n"/>
      <c r="EJ6" s="50" t="n"/>
      <c r="EK6" s="50" t="n"/>
      <c r="EL6" s="50" t="n"/>
      <c r="EM6" s="50" t="n"/>
      <c r="EN6" s="50" t="n"/>
      <c r="EO6" s="50" t="n"/>
      <c r="EP6" s="50" t="n"/>
      <c r="EQ6" s="50" t="n"/>
      <c r="ER6" s="50" t="n"/>
      <c r="ES6" s="50" t="n"/>
      <c r="ET6" s="50" t="n"/>
      <c r="EU6" s="50" t="n"/>
      <c r="EV6" s="50" t="n"/>
      <c r="EW6" s="50" t="n"/>
      <c r="EX6" s="50" t="n"/>
      <c r="EY6" s="50" t="n"/>
      <c r="EZ6" s="50" t="n"/>
      <c r="FA6" s="50" t="n"/>
      <c r="FB6" s="50" t="n"/>
      <c r="FC6" s="50" t="n"/>
      <c r="FD6" s="50" t="n"/>
      <c r="FE6" s="50" t="n"/>
      <c r="FF6" s="50" t="n"/>
      <c r="FG6" s="50" t="n"/>
      <c r="FH6" s="50" t="n"/>
      <c r="FI6" s="50" t="n"/>
      <c r="FJ6" s="50" t="n"/>
      <c r="FK6" s="50" t="n"/>
      <c r="FL6" s="50" t="n"/>
      <c r="FM6" s="50" t="n"/>
      <c r="FN6" s="50" t="n"/>
      <c r="FO6" s="50" t="n"/>
      <c r="FP6" s="50" t="n"/>
      <c r="FQ6" s="50" t="n"/>
      <c r="FR6" s="50" t="n"/>
      <c r="FS6" s="50" t="n"/>
      <c r="FT6" s="50" t="n"/>
      <c r="FU6" s="50" t="n"/>
      <c r="FV6" s="50" t="n"/>
      <c r="FW6" s="50" t="n"/>
      <c r="FX6" s="50" t="n"/>
      <c r="FY6" s="50" t="n"/>
      <c r="FZ6" s="50" t="n"/>
      <c r="GA6" s="50" t="n"/>
      <c r="GB6" s="50" t="n"/>
      <c r="GC6" s="50" t="n"/>
      <c r="GD6" s="50" t="n"/>
      <c r="GE6" s="50" t="n"/>
      <c r="GF6" s="50" t="n"/>
      <c r="GG6" s="50" t="n"/>
      <c r="GH6" s="50" t="n"/>
      <c r="GI6" s="50" t="n"/>
      <c r="GJ6" s="50" t="n"/>
      <c r="GK6" s="50" t="n"/>
      <c r="GL6" s="50" t="n"/>
      <c r="GM6" s="50" t="n"/>
      <c r="GN6" s="50" t="n"/>
      <c r="GO6" s="50" t="n"/>
      <c r="GP6" s="50" t="n"/>
      <c r="GQ6" s="50" t="n"/>
      <c r="GR6" s="50" t="n"/>
      <c r="GS6" s="50" t="n"/>
      <c r="GT6" s="50" t="n"/>
      <c r="GU6" s="50" t="n"/>
      <c r="GV6" s="50" t="n"/>
      <c r="GW6" s="50" t="n"/>
      <c r="GX6" s="50" t="n"/>
      <c r="GY6" s="50" t="n"/>
      <c r="GZ6" s="50" t="n"/>
      <c r="HA6" s="50" t="n"/>
      <c r="HB6" s="50" t="n"/>
      <c r="HC6" s="50" t="n"/>
      <c r="HD6" s="50" t="n"/>
      <c r="HE6" s="50" t="n"/>
      <c r="HF6" s="50" t="n"/>
      <c r="HG6" s="50" t="n"/>
      <c r="HH6" s="50" t="n"/>
      <c r="HI6" s="50" t="n"/>
      <c r="HJ6" s="50" t="n"/>
      <c r="HK6" s="50" t="n"/>
      <c r="HL6" s="50" t="n"/>
      <c r="HM6" s="50" t="n"/>
      <c r="HN6" s="50" t="n"/>
      <c r="HO6" s="50" t="n"/>
      <c r="HP6" s="50" t="n"/>
      <c r="HQ6" s="50" t="n"/>
      <c r="HR6" s="50" t="n"/>
      <c r="HS6" s="50" t="n"/>
      <c r="HT6" s="50" t="n"/>
      <c r="HU6" s="50" t="n"/>
      <c r="HV6" s="50" t="n"/>
      <c r="HW6" s="50" t="n"/>
      <c r="HX6" s="50" t="n"/>
      <c r="HY6" s="50" t="n"/>
      <c r="HZ6" s="50" t="n"/>
      <c r="IA6" s="50" t="n"/>
      <c r="IB6" s="50" t="n"/>
      <c r="IC6" s="50" t="n"/>
      <c r="ID6" s="50" t="n"/>
      <c r="IE6" s="50" t="n"/>
      <c r="IF6" s="50" t="n"/>
      <c r="IG6" s="50" t="n"/>
      <c r="IH6" s="50" t="n"/>
      <c r="II6" s="50" t="n"/>
      <c r="IJ6" s="50" t="n"/>
      <c r="IK6" s="50" t="n"/>
      <c r="IL6" s="50" t="n"/>
      <c r="IM6" s="50" t="n"/>
      <c r="IN6" s="50" t="n"/>
      <c r="IO6" s="50" t="n"/>
      <c r="IP6" s="50" t="n"/>
      <c r="IQ6" s="50" t="n"/>
    </row>
    <row r="7" ht="13.5" customHeight="1" s="322">
      <c r="A7" s="145">
        <f>관심종목!D12</f>
        <v/>
      </c>
      <c r="B7" s="488">
        <f>관심종목!H12</f>
        <v/>
      </c>
      <c r="C7" s="148">
        <f>VLOOKUP(C1,IWM!$B$27:$G$278,5,1)</f>
        <v/>
      </c>
      <c r="D7" s="148">
        <f>VLOOKUP(D1,IWM!$B$27:$G$278,5,1)</f>
        <v/>
      </c>
      <c r="E7" s="148">
        <f>VLOOKUP(E1,IWM!$B$27:$G$278,5,1)</f>
        <v/>
      </c>
      <c r="F7" s="148">
        <f>VLOOKUP(F1,IWM!$B$27:$G$278,5,1)</f>
        <v/>
      </c>
      <c r="G7" s="148">
        <f>VLOOKUP(G1,IWM!$B$27:$G$278,5,1)</f>
        <v/>
      </c>
      <c r="H7" s="148">
        <f>VLOOKUP(H1,IWM!$B$27:$G$278,5,1)</f>
        <v/>
      </c>
      <c r="I7" s="148">
        <f>VLOOKUP(I1,IWM!$B$27:$G$278,5,1)</f>
        <v/>
      </c>
      <c r="J7" s="148">
        <f>VLOOKUP(J1,IWM!$B$27:$G$278,5,1)</f>
        <v/>
      </c>
      <c r="K7" s="148">
        <f>VLOOKUP(K1,IWM!$B$27:$G$278,5,1)</f>
        <v/>
      </c>
      <c r="L7" s="148">
        <f>VLOOKUP(L1,IWM!$B$27:$G$278,5,1)</f>
        <v/>
      </c>
      <c r="M7" s="148">
        <f>VLOOKUP(M1,IWM!$B$27:$G$278,5,1)</f>
        <v/>
      </c>
      <c r="N7" s="148">
        <f>VLOOKUP(N1,IWM!$B$27:$G$278,5,1)</f>
        <v/>
      </c>
      <c r="O7" s="148">
        <f>VLOOKUP(O1,IWM!$B$27:$G$278,5,1)</f>
        <v/>
      </c>
      <c r="P7" s="163">
        <f>AVERAGE(D7:O7)</f>
        <v/>
      </c>
      <c r="Q7" s="165">
        <f>B7/P7</f>
        <v/>
      </c>
      <c r="R7" s="168">
        <f>(B7/D7)-1</f>
        <v/>
      </c>
      <c r="S7" s="168">
        <f>(B7/F7)-1</f>
        <v/>
      </c>
      <c r="T7" s="168">
        <f>(B7/I7)-1</f>
        <v/>
      </c>
      <c r="U7" s="168">
        <f>(B7/O7)-1</f>
        <v/>
      </c>
      <c r="V7" s="489">
        <f>R7*12</f>
        <v/>
      </c>
      <c r="W7" s="489">
        <f>S7*4</f>
        <v/>
      </c>
      <c r="X7" s="489">
        <f>T7*2</f>
        <v/>
      </c>
      <c r="Y7" s="489">
        <f>U7*1</f>
        <v/>
      </c>
      <c r="Z7" s="180">
        <f>SUM(V7:Y7)</f>
        <v/>
      </c>
      <c r="AA7" s="50" t="n"/>
      <c r="AB7" s="50" t="n"/>
      <c r="AC7" s="50" t="n"/>
      <c r="AD7" s="50" t="n"/>
      <c r="AE7" s="50" t="n"/>
      <c r="AF7" s="50" t="n"/>
      <c r="AG7" s="50" t="n"/>
      <c r="AH7" s="50" t="n"/>
      <c r="AI7" s="50" t="n"/>
      <c r="AJ7" s="50" t="n"/>
      <c r="AK7" s="50" t="n"/>
      <c r="AL7" s="50" t="n"/>
      <c r="AM7" s="50" t="n"/>
      <c r="AN7" s="50" t="n"/>
      <c r="AO7" s="50" t="n"/>
      <c r="AP7" s="50" t="n"/>
      <c r="AQ7" s="50" t="n"/>
      <c r="AR7" s="50" t="n"/>
      <c r="AS7" s="50" t="n"/>
      <c r="AT7" s="50" t="n"/>
      <c r="AU7" s="50" t="n"/>
      <c r="AV7" s="50" t="n"/>
      <c r="AW7" s="50" t="n"/>
      <c r="AX7" s="50" t="n"/>
      <c r="AY7" s="50" t="n"/>
      <c r="AZ7" s="50" t="n"/>
      <c r="BA7" s="50" t="n"/>
      <c r="BB7" s="50" t="n"/>
      <c r="BC7" s="50" t="n"/>
      <c r="BD7" s="50" t="n"/>
      <c r="BE7" s="50" t="n"/>
      <c r="BF7" s="50" t="n"/>
      <c r="BG7" s="50" t="n"/>
      <c r="BH7" s="50" t="n"/>
      <c r="BI7" s="50" t="n"/>
      <c r="BJ7" s="50" t="n"/>
      <c r="BK7" s="50" t="n"/>
      <c r="BL7" s="50" t="n"/>
      <c r="BM7" s="50" t="n"/>
      <c r="BN7" s="50" t="n"/>
      <c r="BO7" s="50" t="n"/>
      <c r="BP7" s="50" t="n"/>
      <c r="BQ7" s="50" t="n"/>
      <c r="BR7" s="50" t="n"/>
      <c r="BS7" s="50" t="n"/>
      <c r="BT7" s="50" t="n"/>
      <c r="BU7" s="50" t="n"/>
      <c r="BV7" s="50" t="n"/>
      <c r="BW7" s="50" t="n"/>
      <c r="BX7" s="50" t="n"/>
      <c r="BY7" s="50" t="n"/>
      <c r="BZ7" s="50" t="n"/>
      <c r="CA7" s="50" t="n"/>
      <c r="CB7" s="50" t="n"/>
      <c r="CC7" s="50" t="n"/>
      <c r="CD7" s="50" t="n"/>
      <c r="CE7" s="50" t="n"/>
      <c r="CF7" s="50" t="n"/>
      <c r="CG7" s="50" t="n"/>
      <c r="CH7" s="50" t="n"/>
      <c r="CI7" s="50" t="n"/>
      <c r="CJ7" s="50" t="n"/>
      <c r="CK7" s="50" t="n"/>
      <c r="CL7" s="50" t="n"/>
      <c r="CM7" s="50" t="n"/>
      <c r="CN7" s="50" t="n"/>
      <c r="CO7" s="50" t="n"/>
      <c r="CP7" s="50" t="n"/>
      <c r="CQ7" s="50" t="n"/>
      <c r="CR7" s="50" t="n"/>
      <c r="CS7" s="50" t="n"/>
      <c r="CT7" s="50" t="n"/>
      <c r="CU7" s="50" t="n"/>
      <c r="CV7" s="50" t="n"/>
      <c r="CW7" s="50" t="n"/>
      <c r="CX7" s="50" t="n"/>
      <c r="CY7" s="50" t="n"/>
      <c r="CZ7" s="50" t="n"/>
      <c r="DA7" s="50" t="n"/>
      <c r="DB7" s="50" t="n"/>
      <c r="DC7" s="50" t="n"/>
      <c r="DD7" s="50" t="n"/>
      <c r="DE7" s="50" t="n"/>
      <c r="DF7" s="50" t="n"/>
      <c r="DG7" s="50" t="n"/>
      <c r="DH7" s="50" t="n"/>
      <c r="DI7" s="50" t="n"/>
      <c r="DJ7" s="50" t="n"/>
      <c r="DK7" s="50" t="n"/>
      <c r="DL7" s="50" t="n"/>
      <c r="DM7" s="50" t="n"/>
      <c r="DN7" s="50" t="n"/>
      <c r="DO7" s="50" t="n"/>
      <c r="DP7" s="50" t="n"/>
      <c r="DQ7" s="50" t="n"/>
      <c r="DR7" s="50" t="n"/>
      <c r="DS7" s="50" t="n"/>
      <c r="DT7" s="50" t="n"/>
      <c r="DU7" s="50" t="n"/>
      <c r="DV7" s="50" t="n"/>
      <c r="DW7" s="50" t="n"/>
      <c r="DX7" s="50" t="n"/>
      <c r="DY7" s="50" t="n"/>
      <c r="DZ7" s="50" t="n"/>
      <c r="EA7" s="50" t="n"/>
      <c r="EB7" s="50" t="n"/>
      <c r="EC7" s="50" t="n"/>
      <c r="ED7" s="50" t="n"/>
      <c r="EE7" s="50" t="n"/>
      <c r="EF7" s="50" t="n"/>
      <c r="EG7" s="50" t="n"/>
      <c r="EH7" s="50" t="n"/>
      <c r="EI7" s="50" t="n"/>
      <c r="EJ7" s="50" t="n"/>
      <c r="EK7" s="50" t="n"/>
      <c r="EL7" s="50" t="n"/>
      <c r="EM7" s="50" t="n"/>
      <c r="EN7" s="50" t="n"/>
      <c r="EO7" s="50" t="n"/>
      <c r="EP7" s="50" t="n"/>
      <c r="EQ7" s="50" t="n"/>
      <c r="ER7" s="50" t="n"/>
      <c r="ES7" s="50" t="n"/>
      <c r="ET7" s="50" t="n"/>
      <c r="EU7" s="50" t="n"/>
      <c r="EV7" s="50" t="n"/>
      <c r="EW7" s="50" t="n"/>
      <c r="EX7" s="50" t="n"/>
      <c r="EY7" s="50" t="n"/>
      <c r="EZ7" s="50" t="n"/>
      <c r="FA7" s="50" t="n"/>
      <c r="FB7" s="50" t="n"/>
      <c r="FC7" s="50" t="n"/>
      <c r="FD7" s="50" t="n"/>
      <c r="FE7" s="50" t="n"/>
      <c r="FF7" s="50" t="n"/>
      <c r="FG7" s="50" t="n"/>
      <c r="FH7" s="50" t="n"/>
      <c r="FI7" s="50" t="n"/>
      <c r="FJ7" s="50" t="n"/>
      <c r="FK7" s="50" t="n"/>
      <c r="FL7" s="50" t="n"/>
      <c r="FM7" s="50" t="n"/>
      <c r="FN7" s="50" t="n"/>
      <c r="FO7" s="50" t="n"/>
      <c r="FP7" s="50" t="n"/>
      <c r="FQ7" s="50" t="n"/>
      <c r="FR7" s="50" t="n"/>
      <c r="FS7" s="50" t="n"/>
      <c r="FT7" s="50" t="n"/>
      <c r="FU7" s="50" t="n"/>
      <c r="FV7" s="50" t="n"/>
      <c r="FW7" s="50" t="n"/>
      <c r="FX7" s="50" t="n"/>
      <c r="FY7" s="50" t="n"/>
      <c r="FZ7" s="50" t="n"/>
      <c r="GA7" s="50" t="n"/>
      <c r="GB7" s="50" t="n"/>
      <c r="GC7" s="50" t="n"/>
      <c r="GD7" s="50" t="n"/>
      <c r="GE7" s="50" t="n"/>
      <c r="GF7" s="50" t="n"/>
      <c r="GG7" s="50" t="n"/>
      <c r="GH7" s="50" t="n"/>
      <c r="GI7" s="50" t="n"/>
      <c r="GJ7" s="50" t="n"/>
      <c r="GK7" s="50" t="n"/>
      <c r="GL7" s="50" t="n"/>
      <c r="GM7" s="50" t="n"/>
      <c r="GN7" s="50" t="n"/>
      <c r="GO7" s="50" t="n"/>
      <c r="GP7" s="50" t="n"/>
      <c r="GQ7" s="50" t="n"/>
      <c r="GR7" s="50" t="n"/>
      <c r="GS7" s="50" t="n"/>
      <c r="GT7" s="50" t="n"/>
      <c r="GU7" s="50" t="n"/>
      <c r="GV7" s="50" t="n"/>
      <c r="GW7" s="50" t="n"/>
      <c r="GX7" s="50" t="n"/>
      <c r="GY7" s="50" t="n"/>
      <c r="GZ7" s="50" t="n"/>
      <c r="HA7" s="50" t="n"/>
      <c r="HB7" s="50" t="n"/>
      <c r="HC7" s="50" t="n"/>
      <c r="HD7" s="50" t="n"/>
      <c r="HE7" s="50" t="n"/>
      <c r="HF7" s="50" t="n"/>
      <c r="HG7" s="50" t="n"/>
      <c r="HH7" s="50" t="n"/>
      <c r="HI7" s="50" t="n"/>
      <c r="HJ7" s="50" t="n"/>
      <c r="HK7" s="50" t="n"/>
      <c r="HL7" s="50" t="n"/>
      <c r="HM7" s="50" t="n"/>
      <c r="HN7" s="50" t="n"/>
      <c r="HO7" s="50" t="n"/>
      <c r="HP7" s="50" t="n"/>
      <c r="HQ7" s="50" t="n"/>
      <c r="HR7" s="50" t="n"/>
      <c r="HS7" s="50" t="n"/>
      <c r="HT7" s="50" t="n"/>
      <c r="HU7" s="50" t="n"/>
      <c r="HV7" s="50" t="n"/>
      <c r="HW7" s="50" t="n"/>
      <c r="HX7" s="50" t="n"/>
      <c r="HY7" s="50" t="n"/>
      <c r="HZ7" s="50" t="n"/>
      <c r="IA7" s="50" t="n"/>
      <c r="IB7" s="50" t="n"/>
      <c r="IC7" s="50" t="n"/>
      <c r="ID7" s="50" t="n"/>
      <c r="IE7" s="50" t="n"/>
      <c r="IF7" s="50" t="n"/>
      <c r="IG7" s="50" t="n"/>
      <c r="IH7" s="50" t="n"/>
      <c r="II7" s="50" t="n"/>
      <c r="IJ7" s="50" t="n"/>
      <c r="IK7" s="50" t="n"/>
      <c r="IL7" s="50" t="n"/>
      <c r="IM7" s="50" t="n"/>
      <c r="IN7" s="50" t="n"/>
      <c r="IO7" s="50" t="n"/>
      <c r="IP7" s="50" t="n"/>
      <c r="IQ7" s="50" t="n"/>
    </row>
    <row r="8" ht="13.5" customHeight="1" s="322">
      <c r="A8" s="145">
        <f>관심종목!D13</f>
        <v/>
      </c>
      <c r="B8" s="488">
        <f>관심종목!H13</f>
        <v/>
      </c>
      <c r="C8" s="148">
        <f>VLOOKUP(C1,VGK!$B$27:$G$278,5,1)</f>
        <v/>
      </c>
      <c r="D8" s="148">
        <f>VLOOKUP(D1,VGK!$B$27:$G$278,5,1)</f>
        <v/>
      </c>
      <c r="E8" s="148">
        <f>VLOOKUP(E1,VGK!$B$27:$G$278,5,1)</f>
        <v/>
      </c>
      <c r="F8" s="148">
        <f>VLOOKUP(F1,VGK!$B$27:$G$278,5,1)</f>
        <v/>
      </c>
      <c r="G8" s="148">
        <f>VLOOKUP(G1,VGK!$B$27:$G$278,5,1)</f>
        <v/>
      </c>
      <c r="H8" s="148">
        <f>VLOOKUP(H1,VGK!$B$27:$G$278,5,1)</f>
        <v/>
      </c>
      <c r="I8" s="148">
        <f>VLOOKUP(I1,VGK!$B$27:$G$278,5,1)</f>
        <v/>
      </c>
      <c r="J8" s="148">
        <f>VLOOKUP(J1,VGK!$B$27:$G$278,5,1)</f>
        <v/>
      </c>
      <c r="K8" s="148">
        <f>VLOOKUP(K1,VGK!$B$27:$G$278,5,1)</f>
        <v/>
      </c>
      <c r="L8" s="148">
        <f>VLOOKUP(L1,VGK!$B$27:$G$278,5,1)</f>
        <v/>
      </c>
      <c r="M8" s="148">
        <f>VLOOKUP(M1,VGK!$B$27:$G$278,5,1)</f>
        <v/>
      </c>
      <c r="N8" s="148">
        <f>VLOOKUP(N1,VGK!$B$27:$G$278,5,1)</f>
        <v/>
      </c>
      <c r="O8" s="148">
        <f>VLOOKUP(O1,VGK!$B$27:$G$278,5,1)</f>
        <v/>
      </c>
      <c r="P8" s="163">
        <f>AVERAGE(D8:O8)</f>
        <v/>
      </c>
      <c r="Q8" s="165">
        <f>B8/P8</f>
        <v/>
      </c>
      <c r="R8" s="168">
        <f>(B8/D8)-1</f>
        <v/>
      </c>
      <c r="S8" s="168">
        <f>(B8/F8)-1</f>
        <v/>
      </c>
      <c r="T8" s="168">
        <f>(B8/I8)-1</f>
        <v/>
      </c>
      <c r="U8" s="168">
        <f>(B8/O8)-1</f>
        <v/>
      </c>
      <c r="V8" s="489">
        <f>R8*12</f>
        <v/>
      </c>
      <c r="W8" s="489">
        <f>S8*4</f>
        <v/>
      </c>
      <c r="X8" s="489">
        <f>T8*2</f>
        <v/>
      </c>
      <c r="Y8" s="489">
        <f>U8*1</f>
        <v/>
      </c>
      <c r="Z8" s="180">
        <f>SUM(V8:Y8)</f>
        <v/>
      </c>
      <c r="AA8" s="50" t="n"/>
      <c r="AB8" s="50" t="n"/>
      <c r="AC8" s="50" t="n"/>
      <c r="AD8" s="50" t="n"/>
      <c r="AE8" s="50" t="n"/>
      <c r="AF8" s="50" t="n"/>
      <c r="AG8" s="50" t="n"/>
      <c r="AH8" s="50" t="n"/>
      <c r="AI8" s="50" t="n"/>
      <c r="AJ8" s="50" t="n"/>
      <c r="AK8" s="50" t="n"/>
      <c r="AL8" s="50" t="n"/>
      <c r="AM8" s="50" t="n"/>
      <c r="AN8" s="50" t="n"/>
      <c r="AO8" s="50" t="n"/>
      <c r="AP8" s="50" t="n"/>
      <c r="AQ8" s="50" t="n"/>
      <c r="AR8" s="50" t="n"/>
      <c r="AS8" s="50" t="n"/>
      <c r="AT8" s="50" t="n"/>
      <c r="AU8" s="50" t="n"/>
      <c r="AV8" s="50" t="n"/>
      <c r="AW8" s="50" t="n"/>
      <c r="AX8" s="50" t="n"/>
      <c r="AY8" s="50" t="n"/>
      <c r="AZ8" s="50" t="n"/>
      <c r="BA8" s="50" t="n"/>
      <c r="BB8" s="50" t="n"/>
      <c r="BC8" s="50" t="n"/>
      <c r="BD8" s="50" t="n"/>
      <c r="BE8" s="50" t="n"/>
      <c r="BF8" s="50" t="n"/>
      <c r="BG8" s="50" t="n"/>
      <c r="BH8" s="50" t="n"/>
      <c r="BI8" s="50" t="n"/>
      <c r="BJ8" s="50" t="n"/>
      <c r="BK8" s="50" t="n"/>
      <c r="BL8" s="50" t="n"/>
      <c r="BM8" s="50" t="n"/>
      <c r="BN8" s="50" t="n"/>
      <c r="BO8" s="50" t="n"/>
      <c r="BP8" s="50" t="n"/>
      <c r="BQ8" s="50" t="n"/>
      <c r="BR8" s="50" t="n"/>
      <c r="BS8" s="50" t="n"/>
      <c r="BT8" s="50" t="n"/>
      <c r="BU8" s="50" t="n"/>
      <c r="BV8" s="50" t="n"/>
      <c r="BW8" s="50" t="n"/>
      <c r="BX8" s="50" t="n"/>
      <c r="BY8" s="50" t="n"/>
      <c r="BZ8" s="50" t="n"/>
      <c r="CA8" s="50" t="n"/>
      <c r="CB8" s="50" t="n"/>
      <c r="CC8" s="50" t="n"/>
      <c r="CD8" s="50" t="n"/>
      <c r="CE8" s="50" t="n"/>
      <c r="CF8" s="50" t="n"/>
      <c r="CG8" s="50" t="n"/>
      <c r="CH8" s="50" t="n"/>
      <c r="CI8" s="50" t="n"/>
      <c r="CJ8" s="50" t="n"/>
      <c r="CK8" s="50" t="n"/>
      <c r="CL8" s="50" t="n"/>
      <c r="CM8" s="50" t="n"/>
      <c r="CN8" s="50" t="n"/>
      <c r="CO8" s="50" t="n"/>
      <c r="CP8" s="50" t="n"/>
      <c r="CQ8" s="50" t="n"/>
      <c r="CR8" s="50" t="n"/>
      <c r="CS8" s="50" t="n"/>
      <c r="CT8" s="50" t="n"/>
      <c r="CU8" s="50" t="n"/>
      <c r="CV8" s="50" t="n"/>
      <c r="CW8" s="50" t="n"/>
      <c r="CX8" s="50" t="n"/>
      <c r="CY8" s="50" t="n"/>
      <c r="CZ8" s="50" t="n"/>
      <c r="DA8" s="50" t="n"/>
      <c r="DB8" s="50" t="n"/>
      <c r="DC8" s="50" t="n"/>
      <c r="DD8" s="50" t="n"/>
      <c r="DE8" s="50" t="n"/>
      <c r="DF8" s="50" t="n"/>
      <c r="DG8" s="50" t="n"/>
      <c r="DH8" s="50" t="n"/>
      <c r="DI8" s="50" t="n"/>
      <c r="DJ8" s="50" t="n"/>
      <c r="DK8" s="50" t="n"/>
      <c r="DL8" s="50" t="n"/>
      <c r="DM8" s="50" t="n"/>
      <c r="DN8" s="50" t="n"/>
      <c r="DO8" s="50" t="n"/>
      <c r="DP8" s="50" t="n"/>
      <c r="DQ8" s="50" t="n"/>
      <c r="DR8" s="50" t="n"/>
      <c r="DS8" s="50" t="n"/>
      <c r="DT8" s="50" t="n"/>
      <c r="DU8" s="50" t="n"/>
      <c r="DV8" s="50" t="n"/>
      <c r="DW8" s="50" t="n"/>
      <c r="DX8" s="50" t="n"/>
      <c r="DY8" s="50" t="n"/>
      <c r="DZ8" s="50" t="n"/>
      <c r="EA8" s="50" t="n"/>
      <c r="EB8" s="50" t="n"/>
      <c r="EC8" s="50" t="n"/>
      <c r="ED8" s="50" t="n"/>
      <c r="EE8" s="50" t="n"/>
      <c r="EF8" s="50" t="n"/>
      <c r="EG8" s="50" t="n"/>
      <c r="EH8" s="50" t="n"/>
      <c r="EI8" s="50" t="n"/>
      <c r="EJ8" s="50" t="n"/>
      <c r="EK8" s="50" t="n"/>
      <c r="EL8" s="50" t="n"/>
      <c r="EM8" s="50" t="n"/>
      <c r="EN8" s="50" t="n"/>
      <c r="EO8" s="50" t="n"/>
      <c r="EP8" s="50" t="n"/>
      <c r="EQ8" s="50" t="n"/>
      <c r="ER8" s="50" t="n"/>
      <c r="ES8" s="50" t="n"/>
      <c r="ET8" s="50" t="n"/>
      <c r="EU8" s="50" t="n"/>
      <c r="EV8" s="50" t="n"/>
      <c r="EW8" s="50" t="n"/>
      <c r="EX8" s="50" t="n"/>
      <c r="EY8" s="50" t="n"/>
      <c r="EZ8" s="50" t="n"/>
      <c r="FA8" s="50" t="n"/>
      <c r="FB8" s="50" t="n"/>
      <c r="FC8" s="50" t="n"/>
      <c r="FD8" s="50" t="n"/>
      <c r="FE8" s="50" t="n"/>
      <c r="FF8" s="50" t="n"/>
      <c r="FG8" s="50" t="n"/>
      <c r="FH8" s="50" t="n"/>
      <c r="FI8" s="50" t="n"/>
      <c r="FJ8" s="50" t="n"/>
      <c r="FK8" s="50" t="n"/>
      <c r="FL8" s="50" t="n"/>
      <c r="FM8" s="50" t="n"/>
      <c r="FN8" s="50" t="n"/>
      <c r="FO8" s="50" t="n"/>
      <c r="FP8" s="50" t="n"/>
      <c r="FQ8" s="50" t="n"/>
      <c r="FR8" s="50" t="n"/>
      <c r="FS8" s="50" t="n"/>
      <c r="FT8" s="50" t="n"/>
      <c r="FU8" s="50" t="n"/>
      <c r="FV8" s="50" t="n"/>
      <c r="FW8" s="50" t="n"/>
      <c r="FX8" s="50" t="n"/>
      <c r="FY8" s="50" t="n"/>
      <c r="FZ8" s="50" t="n"/>
      <c r="GA8" s="50" t="n"/>
      <c r="GB8" s="50" t="n"/>
      <c r="GC8" s="50" t="n"/>
      <c r="GD8" s="50" t="n"/>
      <c r="GE8" s="50" t="n"/>
      <c r="GF8" s="50" t="n"/>
      <c r="GG8" s="50" t="n"/>
      <c r="GH8" s="50" t="n"/>
      <c r="GI8" s="50" t="n"/>
      <c r="GJ8" s="50" t="n"/>
      <c r="GK8" s="50" t="n"/>
      <c r="GL8" s="50" t="n"/>
      <c r="GM8" s="50" t="n"/>
      <c r="GN8" s="50" t="n"/>
      <c r="GO8" s="50" t="n"/>
      <c r="GP8" s="50" t="n"/>
      <c r="GQ8" s="50" t="n"/>
      <c r="GR8" s="50" t="n"/>
      <c r="GS8" s="50" t="n"/>
      <c r="GT8" s="50" t="n"/>
      <c r="GU8" s="50" t="n"/>
      <c r="GV8" s="50" t="n"/>
      <c r="GW8" s="50" t="n"/>
      <c r="GX8" s="50" t="n"/>
      <c r="GY8" s="50" t="n"/>
      <c r="GZ8" s="50" t="n"/>
      <c r="HA8" s="50" t="n"/>
      <c r="HB8" s="50" t="n"/>
      <c r="HC8" s="50" t="n"/>
      <c r="HD8" s="50" t="n"/>
      <c r="HE8" s="50" t="n"/>
      <c r="HF8" s="50" t="n"/>
      <c r="HG8" s="50" t="n"/>
      <c r="HH8" s="50" t="n"/>
      <c r="HI8" s="50" t="n"/>
      <c r="HJ8" s="50" t="n"/>
      <c r="HK8" s="50" t="n"/>
      <c r="HL8" s="50" t="n"/>
      <c r="HM8" s="50" t="n"/>
      <c r="HN8" s="50" t="n"/>
      <c r="HO8" s="50" t="n"/>
      <c r="HP8" s="50" t="n"/>
      <c r="HQ8" s="50" t="n"/>
      <c r="HR8" s="50" t="n"/>
      <c r="HS8" s="50" t="n"/>
      <c r="HT8" s="50" t="n"/>
      <c r="HU8" s="50" t="n"/>
      <c r="HV8" s="50" t="n"/>
      <c r="HW8" s="50" t="n"/>
      <c r="HX8" s="50" t="n"/>
      <c r="HY8" s="50" t="n"/>
      <c r="HZ8" s="50" t="n"/>
      <c r="IA8" s="50" t="n"/>
      <c r="IB8" s="50" t="n"/>
      <c r="IC8" s="50" t="n"/>
      <c r="ID8" s="50" t="n"/>
      <c r="IE8" s="50" t="n"/>
      <c r="IF8" s="50" t="n"/>
      <c r="IG8" s="50" t="n"/>
      <c r="IH8" s="50" t="n"/>
      <c r="II8" s="50" t="n"/>
      <c r="IJ8" s="50" t="n"/>
      <c r="IK8" s="50" t="n"/>
      <c r="IL8" s="50" t="n"/>
      <c r="IM8" s="50" t="n"/>
      <c r="IN8" s="50" t="n"/>
      <c r="IO8" s="50" t="n"/>
      <c r="IP8" s="50" t="n"/>
      <c r="IQ8" s="50" t="n"/>
    </row>
    <row r="9" ht="13.5" customHeight="1" s="322">
      <c r="A9" s="145">
        <f>관심종목!D14</f>
        <v/>
      </c>
      <c r="B9" s="488">
        <f>관심종목!H14</f>
        <v/>
      </c>
      <c r="C9" s="148">
        <f>VLOOKUP(C1,EWJ!$B$27:$G$278,5,1)</f>
        <v/>
      </c>
      <c r="D9" s="148">
        <f>VLOOKUP(D1,EWJ!$B$27:$G$278,5,1)</f>
        <v/>
      </c>
      <c r="E9" s="148">
        <f>VLOOKUP(E1,EWJ!$B$27:$G$278,5,1)</f>
        <v/>
      </c>
      <c r="F9" s="148">
        <f>VLOOKUP(F1,EWJ!$B$27:$G$278,5,1)</f>
        <v/>
      </c>
      <c r="G9" s="148">
        <f>VLOOKUP(G1,EWJ!$B$27:$G$278,5,1)</f>
        <v/>
      </c>
      <c r="H9" s="148">
        <f>VLOOKUP(H1,EWJ!$B$27:$G$278,5,1)</f>
        <v/>
      </c>
      <c r="I9" s="148">
        <f>VLOOKUP(I1,EWJ!$B$27:$G$278,5,1)</f>
        <v/>
      </c>
      <c r="J9" s="148">
        <f>VLOOKUP(J1,EWJ!$B$27:$G$278,5,1)</f>
        <v/>
      </c>
      <c r="K9" s="148">
        <f>VLOOKUP(K1,EWJ!$B$27:$G$278,5,1)</f>
        <v/>
      </c>
      <c r="L9" s="148">
        <f>VLOOKUP(L1,EWJ!$B$27:$G$278,5,1)</f>
        <v/>
      </c>
      <c r="M9" s="148">
        <f>VLOOKUP(M1,EWJ!$B$27:$G$278,5,1)</f>
        <v/>
      </c>
      <c r="N9" s="148">
        <f>VLOOKUP(N1,EWJ!$B$27:$G$278,5,1)</f>
        <v/>
      </c>
      <c r="O9" s="148">
        <f>VLOOKUP(O1,EWJ!$B$27:$G$278,5,1)</f>
        <v/>
      </c>
      <c r="P9" s="163">
        <f>AVERAGE(D9:O9)</f>
        <v/>
      </c>
      <c r="Q9" s="165">
        <f>B9/P9</f>
        <v/>
      </c>
      <c r="R9" s="168">
        <f>(B9/D9)-1</f>
        <v/>
      </c>
      <c r="S9" s="168">
        <f>(B9/F9)-1</f>
        <v/>
      </c>
      <c r="T9" s="168">
        <f>(B9/I9)-1</f>
        <v/>
      </c>
      <c r="U9" s="168">
        <f>(B9/O9)-1</f>
        <v/>
      </c>
      <c r="V9" s="489">
        <f>R9*12</f>
        <v/>
      </c>
      <c r="W9" s="489">
        <f>S9*4</f>
        <v/>
      </c>
      <c r="X9" s="489">
        <f>T9*2</f>
        <v/>
      </c>
      <c r="Y9" s="489">
        <f>U9*1</f>
        <v/>
      </c>
      <c r="Z9" s="180">
        <f>SUM(V9:Y9)</f>
        <v/>
      </c>
      <c r="AA9" s="50" t="n"/>
      <c r="AB9" s="50" t="n"/>
      <c r="AC9" s="50" t="n"/>
      <c r="AD9" s="50" t="n"/>
      <c r="AE9" s="50" t="n"/>
      <c r="AF9" s="50" t="n"/>
      <c r="AG9" s="50" t="n"/>
      <c r="AH9" s="50" t="n"/>
      <c r="AI9" s="50" t="n"/>
      <c r="AJ9" s="50" t="n"/>
      <c r="AK9" s="50" t="n"/>
      <c r="AL9" s="50" t="n"/>
      <c r="AM9" s="50" t="n"/>
      <c r="AN9" s="50" t="n"/>
      <c r="AO9" s="50" t="n"/>
      <c r="AP9" s="50" t="n"/>
      <c r="AQ9" s="50" t="n"/>
      <c r="AR9" s="50" t="n"/>
      <c r="AS9" s="50" t="n"/>
      <c r="AT9" s="50" t="n"/>
      <c r="AU9" s="50" t="n"/>
      <c r="AV9" s="50" t="n"/>
      <c r="AW9" s="50" t="n"/>
      <c r="AX9" s="50" t="n"/>
      <c r="AY9" s="50" t="n"/>
      <c r="AZ9" s="50" t="n"/>
      <c r="BA9" s="50" t="n"/>
      <c r="BB9" s="50" t="n"/>
      <c r="BC9" s="50" t="n"/>
      <c r="BD9" s="50" t="n"/>
      <c r="BE9" s="50" t="n"/>
      <c r="BF9" s="50" t="n"/>
      <c r="BG9" s="50" t="n"/>
      <c r="BH9" s="50" t="n"/>
      <c r="BI9" s="50" t="n"/>
      <c r="BJ9" s="50" t="n"/>
      <c r="BK9" s="50" t="n"/>
      <c r="BL9" s="50" t="n"/>
      <c r="BM9" s="50" t="n"/>
      <c r="BN9" s="50" t="n"/>
      <c r="BO9" s="50" t="n"/>
      <c r="BP9" s="50" t="n"/>
      <c r="BQ9" s="50" t="n"/>
      <c r="BR9" s="50" t="n"/>
      <c r="BS9" s="50" t="n"/>
      <c r="BT9" s="50" t="n"/>
      <c r="BU9" s="50" t="n"/>
      <c r="BV9" s="50" t="n"/>
      <c r="BW9" s="50" t="n"/>
      <c r="BX9" s="50" t="n"/>
      <c r="BY9" s="50" t="n"/>
      <c r="BZ9" s="50" t="n"/>
      <c r="CA9" s="50" t="n"/>
      <c r="CB9" s="50" t="n"/>
      <c r="CC9" s="50" t="n"/>
      <c r="CD9" s="50" t="n"/>
      <c r="CE9" s="50" t="n"/>
      <c r="CF9" s="50" t="n"/>
      <c r="CG9" s="50" t="n"/>
      <c r="CH9" s="50" t="n"/>
      <c r="CI9" s="50" t="n"/>
      <c r="CJ9" s="50" t="n"/>
      <c r="CK9" s="50" t="n"/>
      <c r="CL9" s="50" t="n"/>
      <c r="CM9" s="50" t="n"/>
      <c r="CN9" s="50" t="n"/>
      <c r="CO9" s="50" t="n"/>
      <c r="CP9" s="50" t="n"/>
      <c r="CQ9" s="50" t="n"/>
      <c r="CR9" s="50" t="n"/>
      <c r="CS9" s="50" t="n"/>
      <c r="CT9" s="50" t="n"/>
      <c r="CU9" s="50" t="n"/>
      <c r="CV9" s="50" t="n"/>
      <c r="CW9" s="50" t="n"/>
      <c r="CX9" s="50" t="n"/>
      <c r="CY9" s="50" t="n"/>
      <c r="CZ9" s="50" t="n"/>
      <c r="DA9" s="50" t="n"/>
      <c r="DB9" s="50" t="n"/>
      <c r="DC9" s="50" t="n"/>
      <c r="DD9" s="50" t="n"/>
      <c r="DE9" s="50" t="n"/>
      <c r="DF9" s="50" t="n"/>
      <c r="DG9" s="50" t="n"/>
      <c r="DH9" s="50" t="n"/>
      <c r="DI9" s="50" t="n"/>
      <c r="DJ9" s="50" t="n"/>
      <c r="DK9" s="50" t="n"/>
      <c r="DL9" s="50" t="n"/>
      <c r="DM9" s="50" t="n"/>
      <c r="DN9" s="50" t="n"/>
      <c r="DO9" s="50" t="n"/>
      <c r="DP9" s="50" t="n"/>
      <c r="DQ9" s="50" t="n"/>
      <c r="DR9" s="50" t="n"/>
      <c r="DS9" s="50" t="n"/>
      <c r="DT9" s="50" t="n"/>
      <c r="DU9" s="50" t="n"/>
      <c r="DV9" s="50" t="n"/>
      <c r="DW9" s="50" t="n"/>
      <c r="DX9" s="50" t="n"/>
      <c r="DY9" s="50" t="n"/>
      <c r="DZ9" s="50" t="n"/>
      <c r="EA9" s="50" t="n"/>
      <c r="EB9" s="50" t="n"/>
      <c r="EC9" s="50" t="n"/>
      <c r="ED9" s="50" t="n"/>
      <c r="EE9" s="50" t="n"/>
      <c r="EF9" s="50" t="n"/>
      <c r="EG9" s="50" t="n"/>
      <c r="EH9" s="50" t="n"/>
      <c r="EI9" s="50" t="n"/>
      <c r="EJ9" s="50" t="n"/>
      <c r="EK9" s="50" t="n"/>
      <c r="EL9" s="50" t="n"/>
      <c r="EM9" s="50" t="n"/>
      <c r="EN9" s="50" t="n"/>
      <c r="EO9" s="50" t="n"/>
      <c r="EP9" s="50" t="n"/>
      <c r="EQ9" s="50" t="n"/>
      <c r="ER9" s="50" t="n"/>
      <c r="ES9" s="50" t="n"/>
      <c r="ET9" s="50" t="n"/>
      <c r="EU9" s="50" t="n"/>
      <c r="EV9" s="50" t="n"/>
      <c r="EW9" s="50" t="n"/>
      <c r="EX9" s="50" t="n"/>
      <c r="EY9" s="50" t="n"/>
      <c r="EZ9" s="50" t="n"/>
      <c r="FA9" s="50" t="n"/>
      <c r="FB9" s="50" t="n"/>
      <c r="FC9" s="50" t="n"/>
      <c r="FD9" s="50" t="n"/>
      <c r="FE9" s="50" t="n"/>
      <c r="FF9" s="50" t="n"/>
      <c r="FG9" s="50" t="n"/>
      <c r="FH9" s="50" t="n"/>
      <c r="FI9" s="50" t="n"/>
      <c r="FJ9" s="50" t="n"/>
      <c r="FK9" s="50" t="n"/>
      <c r="FL9" s="50" t="n"/>
      <c r="FM9" s="50" t="n"/>
      <c r="FN9" s="50" t="n"/>
      <c r="FO9" s="50" t="n"/>
      <c r="FP9" s="50" t="n"/>
      <c r="FQ9" s="50" t="n"/>
      <c r="FR9" s="50" t="n"/>
      <c r="FS9" s="50" t="n"/>
      <c r="FT9" s="50" t="n"/>
      <c r="FU9" s="50" t="n"/>
      <c r="FV9" s="50" t="n"/>
      <c r="FW9" s="50" t="n"/>
      <c r="FX9" s="50" t="n"/>
      <c r="FY9" s="50" t="n"/>
      <c r="FZ9" s="50" t="n"/>
      <c r="GA9" s="50" t="n"/>
      <c r="GB9" s="50" t="n"/>
      <c r="GC9" s="50" t="n"/>
      <c r="GD9" s="50" t="n"/>
      <c r="GE9" s="50" t="n"/>
      <c r="GF9" s="50" t="n"/>
      <c r="GG9" s="50" t="n"/>
      <c r="GH9" s="50" t="n"/>
      <c r="GI9" s="50" t="n"/>
      <c r="GJ9" s="50" t="n"/>
      <c r="GK9" s="50" t="n"/>
      <c r="GL9" s="50" t="n"/>
      <c r="GM9" s="50" t="n"/>
      <c r="GN9" s="50" t="n"/>
      <c r="GO9" s="50" t="n"/>
      <c r="GP9" s="50" t="n"/>
      <c r="GQ9" s="50" t="n"/>
      <c r="GR9" s="50" t="n"/>
      <c r="GS9" s="50" t="n"/>
      <c r="GT9" s="50" t="n"/>
      <c r="GU9" s="50" t="n"/>
      <c r="GV9" s="50" t="n"/>
      <c r="GW9" s="50" t="n"/>
      <c r="GX9" s="50" t="n"/>
      <c r="GY9" s="50" t="n"/>
      <c r="GZ9" s="50" t="n"/>
      <c r="HA9" s="50" t="n"/>
      <c r="HB9" s="50" t="n"/>
      <c r="HC9" s="50" t="n"/>
      <c r="HD9" s="50" t="n"/>
      <c r="HE9" s="50" t="n"/>
      <c r="HF9" s="50" t="n"/>
      <c r="HG9" s="50" t="n"/>
      <c r="HH9" s="50" t="n"/>
      <c r="HI9" s="50" t="n"/>
      <c r="HJ9" s="50" t="n"/>
      <c r="HK9" s="50" t="n"/>
      <c r="HL9" s="50" t="n"/>
      <c r="HM9" s="50" t="n"/>
      <c r="HN9" s="50" t="n"/>
      <c r="HO9" s="50" t="n"/>
      <c r="HP9" s="50" t="n"/>
      <c r="HQ9" s="50" t="n"/>
      <c r="HR9" s="50" t="n"/>
      <c r="HS9" s="50" t="n"/>
      <c r="HT9" s="50" t="n"/>
      <c r="HU9" s="50" t="n"/>
      <c r="HV9" s="50" t="n"/>
      <c r="HW9" s="50" t="n"/>
      <c r="HX9" s="50" t="n"/>
      <c r="HY9" s="50" t="n"/>
      <c r="HZ9" s="50" t="n"/>
      <c r="IA9" s="50" t="n"/>
      <c r="IB9" s="50" t="n"/>
      <c r="IC9" s="50" t="n"/>
      <c r="ID9" s="50" t="n"/>
      <c r="IE9" s="50" t="n"/>
      <c r="IF9" s="50" t="n"/>
      <c r="IG9" s="50" t="n"/>
      <c r="IH9" s="50" t="n"/>
      <c r="II9" s="50" t="n"/>
      <c r="IJ9" s="50" t="n"/>
      <c r="IK9" s="50" t="n"/>
      <c r="IL9" s="50" t="n"/>
      <c r="IM9" s="50" t="n"/>
      <c r="IN9" s="50" t="n"/>
      <c r="IO9" s="50" t="n"/>
      <c r="IP9" s="50" t="n"/>
      <c r="IQ9" s="50" t="n"/>
    </row>
    <row r="10" ht="13.5" customHeight="1" s="322">
      <c r="A10" s="145">
        <f>관심종목!D15</f>
        <v/>
      </c>
      <c r="B10" s="488">
        <f>관심종목!H15</f>
        <v/>
      </c>
      <c r="C10" s="148">
        <f>VLOOKUP(C1,VWO!$B$27:$G$278,5,1)</f>
        <v/>
      </c>
      <c r="D10" s="148">
        <f>VLOOKUP(D1,VWO!$B$27:$G$278,5,1)</f>
        <v/>
      </c>
      <c r="E10" s="148">
        <f>VLOOKUP(E1,VWO!$B$27:$G$278,5,1)</f>
        <v/>
      </c>
      <c r="F10" s="148">
        <f>VLOOKUP(F1,VWO!$B$27:$G$278,5,1)</f>
        <v/>
      </c>
      <c r="G10" s="148">
        <f>VLOOKUP(G1,VWO!$B$27:$G$278,5,1)</f>
        <v/>
      </c>
      <c r="H10" s="148">
        <f>VLOOKUP(H1,VWO!$B$27:$G$278,5,1)</f>
        <v/>
      </c>
      <c r="I10" s="148">
        <f>VLOOKUP(I1,VWO!$B$27:$G$278,5,1)</f>
        <v/>
      </c>
      <c r="J10" s="148">
        <f>VLOOKUP(J1,VWO!$B$27:$G$278,5,1)</f>
        <v/>
      </c>
      <c r="K10" s="148">
        <f>VLOOKUP(K1,VWO!$B$27:$G$278,5,1)</f>
        <v/>
      </c>
      <c r="L10" s="148">
        <f>VLOOKUP(L1,VWO!$B$27:$G$278,5,1)</f>
        <v/>
      </c>
      <c r="M10" s="148">
        <f>VLOOKUP(M1,VWO!$B$27:$G$278,5,1)</f>
        <v/>
      </c>
      <c r="N10" s="148">
        <f>VLOOKUP(N1,VWO!$B$27:$G$278,5,1)</f>
        <v/>
      </c>
      <c r="O10" s="148">
        <f>VLOOKUP(O1,VWO!$B$27:$G$278,5,1)</f>
        <v/>
      </c>
      <c r="P10" s="163">
        <f>AVERAGE(D10:O10)</f>
        <v/>
      </c>
      <c r="Q10" s="165">
        <f>B10/P10</f>
        <v/>
      </c>
      <c r="R10" s="168">
        <f>(B10/D10)-1</f>
        <v/>
      </c>
      <c r="S10" s="168">
        <f>(B10/F10)-1</f>
        <v/>
      </c>
      <c r="T10" s="168">
        <f>(B10/I10)-1</f>
        <v/>
      </c>
      <c r="U10" s="168">
        <f>(B10/O10)-1</f>
        <v/>
      </c>
      <c r="V10" s="489">
        <f>R10*12</f>
        <v/>
      </c>
      <c r="W10" s="489">
        <f>S10*4</f>
        <v/>
      </c>
      <c r="X10" s="489">
        <f>T10*2</f>
        <v/>
      </c>
      <c r="Y10" s="489">
        <f>U10*1</f>
        <v/>
      </c>
      <c r="Z10" s="180">
        <f>SUM(V10:Y10)</f>
        <v/>
      </c>
      <c r="AA10" s="50" t="n"/>
      <c r="AB10" s="50" t="n"/>
      <c r="AC10" s="50" t="n"/>
      <c r="AD10" s="50" t="n"/>
      <c r="AE10" s="50" t="n"/>
      <c r="AF10" s="50" t="n"/>
      <c r="AG10" s="50" t="n"/>
      <c r="AH10" s="50" t="n"/>
      <c r="AI10" s="50" t="n"/>
      <c r="AJ10" s="50" t="n"/>
      <c r="AK10" s="50" t="n"/>
      <c r="AL10" s="50" t="n"/>
      <c r="AM10" s="50" t="n"/>
      <c r="AN10" s="50" t="n"/>
      <c r="AO10" s="50" t="n"/>
      <c r="AP10" s="50" t="n"/>
      <c r="AQ10" s="50" t="n"/>
      <c r="AR10" s="50" t="n"/>
      <c r="AS10" s="50" t="n"/>
      <c r="AT10" s="50" t="n"/>
      <c r="AU10" s="50" t="n"/>
      <c r="AV10" s="50" t="n"/>
      <c r="AW10" s="50" t="n"/>
      <c r="AX10" s="50" t="n"/>
      <c r="AY10" s="50" t="n"/>
      <c r="AZ10" s="50" t="n"/>
      <c r="BA10" s="50" t="n"/>
      <c r="BB10" s="50" t="n"/>
      <c r="BC10" s="50" t="n"/>
      <c r="BD10" s="50" t="n"/>
      <c r="BE10" s="50" t="n"/>
      <c r="BF10" s="50" t="n"/>
      <c r="BG10" s="50" t="n"/>
      <c r="BH10" s="50" t="n"/>
      <c r="BI10" s="50" t="n"/>
      <c r="BJ10" s="50" t="n"/>
      <c r="BK10" s="50" t="n"/>
      <c r="BL10" s="50" t="n"/>
      <c r="BM10" s="50" t="n"/>
      <c r="BN10" s="50" t="n"/>
      <c r="BO10" s="50" t="n"/>
      <c r="BP10" s="50" t="n"/>
      <c r="BQ10" s="50" t="n"/>
      <c r="BR10" s="50" t="n"/>
      <c r="BS10" s="50" t="n"/>
      <c r="BT10" s="50" t="n"/>
      <c r="BU10" s="50" t="n"/>
      <c r="BV10" s="50" t="n"/>
      <c r="BW10" s="50" t="n"/>
      <c r="BX10" s="50" t="n"/>
      <c r="BY10" s="50" t="n"/>
      <c r="BZ10" s="50" t="n"/>
      <c r="CA10" s="50" t="n"/>
      <c r="CB10" s="50" t="n"/>
      <c r="CC10" s="50" t="n"/>
      <c r="CD10" s="50" t="n"/>
      <c r="CE10" s="50" t="n"/>
      <c r="CF10" s="50" t="n"/>
      <c r="CG10" s="50" t="n"/>
      <c r="CH10" s="50" t="n"/>
      <c r="CI10" s="50" t="n"/>
      <c r="CJ10" s="50" t="n"/>
      <c r="CK10" s="50" t="n"/>
      <c r="CL10" s="50" t="n"/>
      <c r="CM10" s="50" t="n"/>
      <c r="CN10" s="50" t="n"/>
      <c r="CO10" s="50" t="n"/>
      <c r="CP10" s="50" t="n"/>
      <c r="CQ10" s="50" t="n"/>
      <c r="CR10" s="50" t="n"/>
      <c r="CS10" s="50" t="n"/>
      <c r="CT10" s="50" t="n"/>
      <c r="CU10" s="50" t="n"/>
      <c r="CV10" s="50" t="n"/>
      <c r="CW10" s="50" t="n"/>
      <c r="CX10" s="50" t="n"/>
      <c r="CY10" s="50" t="n"/>
      <c r="CZ10" s="50" t="n"/>
      <c r="DA10" s="50" t="n"/>
      <c r="DB10" s="50" t="n"/>
      <c r="DC10" s="50" t="n"/>
      <c r="DD10" s="50" t="n"/>
      <c r="DE10" s="50" t="n"/>
      <c r="DF10" s="50" t="n"/>
      <c r="DG10" s="50" t="n"/>
      <c r="DH10" s="50" t="n"/>
      <c r="DI10" s="50" t="n"/>
      <c r="DJ10" s="50" t="n"/>
      <c r="DK10" s="50" t="n"/>
      <c r="DL10" s="50" t="n"/>
      <c r="DM10" s="50" t="n"/>
      <c r="DN10" s="50" t="n"/>
      <c r="DO10" s="50" t="n"/>
      <c r="DP10" s="50" t="n"/>
      <c r="DQ10" s="50" t="n"/>
      <c r="DR10" s="50" t="n"/>
      <c r="DS10" s="50" t="n"/>
      <c r="DT10" s="50" t="n"/>
      <c r="DU10" s="50" t="n"/>
      <c r="DV10" s="50" t="n"/>
      <c r="DW10" s="50" t="n"/>
      <c r="DX10" s="50" t="n"/>
      <c r="DY10" s="50" t="n"/>
      <c r="DZ10" s="50" t="n"/>
      <c r="EA10" s="50" t="n"/>
      <c r="EB10" s="50" t="n"/>
      <c r="EC10" s="50" t="n"/>
      <c r="ED10" s="50" t="n"/>
      <c r="EE10" s="50" t="n"/>
      <c r="EF10" s="50" t="n"/>
      <c r="EG10" s="50" t="n"/>
      <c r="EH10" s="50" t="n"/>
      <c r="EI10" s="50" t="n"/>
      <c r="EJ10" s="50" t="n"/>
      <c r="EK10" s="50" t="n"/>
      <c r="EL10" s="50" t="n"/>
      <c r="EM10" s="50" t="n"/>
      <c r="EN10" s="50" t="n"/>
      <c r="EO10" s="50" t="n"/>
      <c r="EP10" s="50" t="n"/>
      <c r="EQ10" s="50" t="n"/>
      <c r="ER10" s="50" t="n"/>
      <c r="ES10" s="50" t="n"/>
      <c r="ET10" s="50" t="n"/>
      <c r="EU10" s="50" t="n"/>
      <c r="EV10" s="50" t="n"/>
      <c r="EW10" s="50" t="n"/>
      <c r="EX10" s="50" t="n"/>
      <c r="EY10" s="50" t="n"/>
      <c r="EZ10" s="50" t="n"/>
      <c r="FA10" s="50" t="n"/>
      <c r="FB10" s="50" t="n"/>
      <c r="FC10" s="50" t="n"/>
      <c r="FD10" s="50" t="n"/>
      <c r="FE10" s="50" t="n"/>
      <c r="FF10" s="50" t="n"/>
      <c r="FG10" s="50" t="n"/>
      <c r="FH10" s="50" t="n"/>
      <c r="FI10" s="50" t="n"/>
      <c r="FJ10" s="50" t="n"/>
      <c r="FK10" s="50" t="n"/>
      <c r="FL10" s="50" t="n"/>
      <c r="FM10" s="50" t="n"/>
      <c r="FN10" s="50" t="n"/>
      <c r="FO10" s="50" t="n"/>
      <c r="FP10" s="50" t="n"/>
      <c r="FQ10" s="50" t="n"/>
      <c r="FR10" s="50" t="n"/>
      <c r="FS10" s="50" t="n"/>
      <c r="FT10" s="50" t="n"/>
      <c r="FU10" s="50" t="n"/>
      <c r="FV10" s="50" t="n"/>
      <c r="FW10" s="50" t="n"/>
      <c r="FX10" s="50" t="n"/>
      <c r="FY10" s="50" t="n"/>
      <c r="FZ10" s="50" t="n"/>
      <c r="GA10" s="50" t="n"/>
      <c r="GB10" s="50" t="n"/>
      <c r="GC10" s="50" t="n"/>
      <c r="GD10" s="50" t="n"/>
      <c r="GE10" s="50" t="n"/>
      <c r="GF10" s="50" t="n"/>
      <c r="GG10" s="50" t="n"/>
      <c r="GH10" s="50" t="n"/>
      <c r="GI10" s="50" t="n"/>
      <c r="GJ10" s="50" t="n"/>
      <c r="GK10" s="50" t="n"/>
      <c r="GL10" s="50" t="n"/>
      <c r="GM10" s="50" t="n"/>
      <c r="GN10" s="50" t="n"/>
      <c r="GO10" s="50" t="n"/>
      <c r="GP10" s="50" t="n"/>
      <c r="GQ10" s="50" t="n"/>
      <c r="GR10" s="50" t="n"/>
      <c r="GS10" s="50" t="n"/>
      <c r="GT10" s="50" t="n"/>
      <c r="GU10" s="50" t="n"/>
      <c r="GV10" s="50" t="n"/>
      <c r="GW10" s="50" t="n"/>
      <c r="GX10" s="50" t="n"/>
      <c r="GY10" s="50" t="n"/>
      <c r="GZ10" s="50" t="n"/>
      <c r="HA10" s="50" t="n"/>
      <c r="HB10" s="50" t="n"/>
      <c r="HC10" s="50" t="n"/>
      <c r="HD10" s="50" t="n"/>
      <c r="HE10" s="50" t="n"/>
      <c r="HF10" s="50" t="n"/>
      <c r="HG10" s="50" t="n"/>
      <c r="HH10" s="50" t="n"/>
      <c r="HI10" s="50" t="n"/>
      <c r="HJ10" s="50" t="n"/>
      <c r="HK10" s="50" t="n"/>
      <c r="HL10" s="50" t="n"/>
      <c r="HM10" s="50" t="n"/>
      <c r="HN10" s="50" t="n"/>
      <c r="HO10" s="50" t="n"/>
      <c r="HP10" s="50" t="n"/>
      <c r="HQ10" s="50" t="n"/>
      <c r="HR10" s="50" t="n"/>
      <c r="HS10" s="50" t="n"/>
      <c r="HT10" s="50" t="n"/>
      <c r="HU10" s="50" t="n"/>
      <c r="HV10" s="50" t="n"/>
      <c r="HW10" s="50" t="n"/>
      <c r="HX10" s="50" t="n"/>
      <c r="HY10" s="50" t="n"/>
      <c r="HZ10" s="50" t="n"/>
      <c r="IA10" s="50" t="n"/>
      <c r="IB10" s="50" t="n"/>
      <c r="IC10" s="50" t="n"/>
      <c r="ID10" s="50" t="n"/>
      <c r="IE10" s="50" t="n"/>
      <c r="IF10" s="50" t="n"/>
      <c r="IG10" s="50" t="n"/>
      <c r="IH10" s="50" t="n"/>
      <c r="II10" s="50" t="n"/>
      <c r="IJ10" s="50" t="n"/>
      <c r="IK10" s="50" t="n"/>
      <c r="IL10" s="50" t="n"/>
      <c r="IM10" s="50" t="n"/>
      <c r="IN10" s="50" t="n"/>
      <c r="IO10" s="50" t="n"/>
      <c r="IP10" s="50" t="n"/>
      <c r="IQ10" s="50" t="n"/>
    </row>
    <row r="11" ht="13.5" customHeight="1" s="322">
      <c r="A11" s="145">
        <f>관심종목!D16</f>
        <v/>
      </c>
      <c r="B11" s="488">
        <f>관심종목!H16</f>
        <v/>
      </c>
      <c r="C11" s="148">
        <f>VLOOKUP(C1,VEA!$B$27:$G$278,5,1)</f>
        <v/>
      </c>
      <c r="D11" s="148">
        <f>VLOOKUP(D1,VEA!$B$27:$G$278,5,1)</f>
        <v/>
      </c>
      <c r="E11" s="148">
        <f>VLOOKUP(E1,VEA!$B$27:$G$278,5,1)</f>
        <v/>
      </c>
      <c r="F11" s="148">
        <f>VLOOKUP(F1,VEA!$B$27:$G$278,5,1)</f>
        <v/>
      </c>
      <c r="G11" s="148">
        <f>VLOOKUP(G1,VEA!$B$27:$G$278,5,1)</f>
        <v/>
      </c>
      <c r="H11" s="148">
        <f>VLOOKUP(H1,VEA!$B$27:$G$278,5,1)</f>
        <v/>
      </c>
      <c r="I11" s="240">
        <f>VLOOKUP(I1,VEA!$B$27:$G$278,5,1)</f>
        <v/>
      </c>
      <c r="J11" s="240">
        <f>VLOOKUP(J1,VEA!$B$27:$G$278,5,1)</f>
        <v/>
      </c>
      <c r="K11" s="240">
        <f>VLOOKUP(K1,VEA!$B$27:$G$278,5,1)</f>
        <v/>
      </c>
      <c r="L11" s="240">
        <f>VLOOKUP(L1,VEA!$B$27:$G$278,5,1)</f>
        <v/>
      </c>
      <c r="M11" s="240">
        <f>VLOOKUP(M1,VEA!$B$27:$G$278,5,1)</f>
        <v/>
      </c>
      <c r="N11" s="240">
        <f>VLOOKUP(N1,VEA!$B$27:$G$278,5,1)</f>
        <v/>
      </c>
      <c r="O11" s="240">
        <f>VLOOKUP(O1,VEA!$B$27:$G$278,5,1)</f>
        <v/>
      </c>
      <c r="P11" s="163">
        <f>AVERAGE(D11:O11)</f>
        <v/>
      </c>
      <c r="Q11" s="165">
        <f>B11/P11</f>
        <v/>
      </c>
      <c r="R11" s="168">
        <f>(B11/D11)-1</f>
        <v/>
      </c>
      <c r="S11" s="168">
        <f>(B11/F11)-1</f>
        <v/>
      </c>
      <c r="T11" s="168">
        <f>(B11/I11)-1</f>
        <v/>
      </c>
      <c r="U11" s="168">
        <f>(B11/O11)-1</f>
        <v/>
      </c>
      <c r="V11" s="489">
        <f>R11*12</f>
        <v/>
      </c>
      <c r="W11" s="489">
        <f>S11*4</f>
        <v/>
      </c>
      <c r="X11" s="489">
        <f>T11*2</f>
        <v/>
      </c>
      <c r="Y11" s="489">
        <f>U11*1</f>
        <v/>
      </c>
      <c r="Z11" s="180">
        <f>SUM(V11:Y11)</f>
        <v/>
      </c>
      <c r="AA11" s="50" t="n"/>
      <c r="AB11" s="50" t="n"/>
      <c r="AC11" s="50" t="n"/>
      <c r="AD11" s="50" t="n"/>
      <c r="AE11" s="50" t="n"/>
      <c r="AF11" s="50" t="n"/>
      <c r="AG11" s="50" t="n"/>
      <c r="AH11" s="50" t="n"/>
      <c r="AI11" s="50" t="n"/>
      <c r="AJ11" s="50" t="n"/>
      <c r="AK11" s="50" t="n"/>
      <c r="AL11" s="50" t="n"/>
      <c r="AM11" s="50" t="n"/>
      <c r="AN11" s="50" t="n"/>
      <c r="AO11" s="50" t="n"/>
      <c r="AP11" s="50" t="n"/>
      <c r="AQ11" s="50" t="n"/>
      <c r="AR11" s="50" t="n"/>
      <c r="AS11" s="50" t="n"/>
      <c r="AT11" s="50" t="n"/>
      <c r="AU11" s="50" t="n"/>
      <c r="AV11" s="50" t="n"/>
      <c r="AW11" s="50" t="n"/>
      <c r="AX11" s="50" t="n"/>
      <c r="AY11" s="50" t="n"/>
      <c r="AZ11" s="50" t="n"/>
      <c r="BA11" s="50" t="n"/>
      <c r="BB11" s="50" t="n"/>
      <c r="BC11" s="50" t="n"/>
      <c r="BD11" s="50" t="n"/>
      <c r="BE11" s="50" t="n"/>
      <c r="BF11" s="50" t="n"/>
      <c r="BG11" s="50" t="n"/>
      <c r="BH11" s="50" t="n"/>
      <c r="BI11" s="50" t="n"/>
      <c r="BJ11" s="50" t="n"/>
      <c r="BK11" s="50" t="n"/>
      <c r="BL11" s="50" t="n"/>
      <c r="BM11" s="50" t="n"/>
      <c r="BN11" s="50" t="n"/>
      <c r="BO11" s="50" t="n"/>
      <c r="BP11" s="50" t="n"/>
      <c r="BQ11" s="50" t="n"/>
      <c r="BR11" s="50" t="n"/>
      <c r="BS11" s="50" t="n"/>
      <c r="BT11" s="50" t="n"/>
      <c r="BU11" s="50" t="n"/>
      <c r="BV11" s="50" t="n"/>
      <c r="BW11" s="50" t="n"/>
      <c r="BX11" s="50" t="n"/>
      <c r="BY11" s="50" t="n"/>
      <c r="BZ11" s="50" t="n"/>
      <c r="CA11" s="50" t="n"/>
      <c r="CB11" s="50" t="n"/>
      <c r="CC11" s="50" t="n"/>
      <c r="CD11" s="50" t="n"/>
      <c r="CE11" s="50" t="n"/>
      <c r="CF11" s="50" t="n"/>
      <c r="CG11" s="50" t="n"/>
      <c r="CH11" s="50" t="n"/>
      <c r="CI11" s="50" t="n"/>
      <c r="CJ11" s="50" t="n"/>
      <c r="CK11" s="50" t="n"/>
      <c r="CL11" s="50" t="n"/>
      <c r="CM11" s="50" t="n"/>
      <c r="CN11" s="50" t="n"/>
      <c r="CO11" s="50" t="n"/>
      <c r="CP11" s="50" t="n"/>
      <c r="CQ11" s="50" t="n"/>
      <c r="CR11" s="50" t="n"/>
      <c r="CS11" s="50" t="n"/>
      <c r="CT11" s="50" t="n"/>
      <c r="CU11" s="50" t="n"/>
      <c r="CV11" s="50" t="n"/>
      <c r="CW11" s="50" t="n"/>
      <c r="CX11" s="50" t="n"/>
      <c r="CY11" s="50" t="n"/>
      <c r="CZ11" s="50" t="n"/>
      <c r="DA11" s="50" t="n"/>
      <c r="DB11" s="50" t="n"/>
      <c r="DC11" s="50" t="n"/>
      <c r="DD11" s="50" t="n"/>
      <c r="DE11" s="50" t="n"/>
      <c r="DF11" s="50" t="n"/>
      <c r="DG11" s="50" t="n"/>
      <c r="DH11" s="50" t="n"/>
      <c r="DI11" s="50" t="n"/>
      <c r="DJ11" s="50" t="n"/>
      <c r="DK11" s="50" t="n"/>
      <c r="DL11" s="50" t="n"/>
      <c r="DM11" s="50" t="n"/>
      <c r="DN11" s="50" t="n"/>
      <c r="DO11" s="50" t="n"/>
      <c r="DP11" s="50" t="n"/>
      <c r="DQ11" s="50" t="n"/>
      <c r="DR11" s="50" t="n"/>
      <c r="DS11" s="50" t="n"/>
      <c r="DT11" s="50" t="n"/>
      <c r="DU11" s="50" t="n"/>
      <c r="DV11" s="50" t="n"/>
      <c r="DW11" s="50" t="n"/>
      <c r="DX11" s="50" t="n"/>
      <c r="DY11" s="50" t="n"/>
      <c r="DZ11" s="50" t="n"/>
      <c r="EA11" s="50" t="n"/>
      <c r="EB11" s="50" t="n"/>
      <c r="EC11" s="50" t="n"/>
      <c r="ED11" s="50" t="n"/>
      <c r="EE11" s="50" t="n"/>
      <c r="EF11" s="50" t="n"/>
      <c r="EG11" s="50" t="n"/>
      <c r="EH11" s="50" t="n"/>
      <c r="EI11" s="50" t="n"/>
      <c r="EJ11" s="50" t="n"/>
      <c r="EK11" s="50" t="n"/>
      <c r="EL11" s="50" t="n"/>
      <c r="EM11" s="50" t="n"/>
      <c r="EN11" s="50" t="n"/>
      <c r="EO11" s="50" t="n"/>
      <c r="EP11" s="50" t="n"/>
      <c r="EQ11" s="50" t="n"/>
      <c r="ER11" s="50" t="n"/>
      <c r="ES11" s="50" t="n"/>
      <c r="ET11" s="50" t="n"/>
      <c r="EU11" s="50" t="n"/>
      <c r="EV11" s="50" t="n"/>
      <c r="EW11" s="50" t="n"/>
      <c r="EX11" s="50" t="n"/>
      <c r="EY11" s="50" t="n"/>
      <c r="EZ11" s="50" t="n"/>
      <c r="FA11" s="50" t="n"/>
      <c r="FB11" s="50" t="n"/>
      <c r="FC11" s="50" t="n"/>
      <c r="FD11" s="50" t="n"/>
      <c r="FE11" s="50" t="n"/>
      <c r="FF11" s="50" t="n"/>
      <c r="FG11" s="50" t="n"/>
      <c r="FH11" s="50" t="n"/>
      <c r="FI11" s="50" t="n"/>
      <c r="FJ11" s="50" t="n"/>
      <c r="FK11" s="50" t="n"/>
      <c r="FL11" s="50" t="n"/>
      <c r="FM11" s="50" t="n"/>
      <c r="FN11" s="50" t="n"/>
      <c r="FO11" s="50" t="n"/>
      <c r="FP11" s="50" t="n"/>
      <c r="FQ11" s="50" t="n"/>
      <c r="FR11" s="50" t="n"/>
      <c r="FS11" s="50" t="n"/>
      <c r="FT11" s="50" t="n"/>
      <c r="FU11" s="50" t="n"/>
      <c r="FV11" s="50" t="n"/>
      <c r="FW11" s="50" t="n"/>
      <c r="FX11" s="50" t="n"/>
      <c r="FY11" s="50" t="n"/>
      <c r="FZ11" s="50" t="n"/>
      <c r="GA11" s="50" t="n"/>
      <c r="GB11" s="50" t="n"/>
      <c r="GC11" s="50" t="n"/>
      <c r="GD11" s="50" t="n"/>
      <c r="GE11" s="50" t="n"/>
      <c r="GF11" s="50" t="n"/>
      <c r="GG11" s="50" t="n"/>
      <c r="GH11" s="50" t="n"/>
      <c r="GI11" s="50" t="n"/>
      <c r="GJ11" s="50" t="n"/>
      <c r="GK11" s="50" t="n"/>
      <c r="GL11" s="50" t="n"/>
      <c r="GM11" s="50" t="n"/>
      <c r="GN11" s="50" t="n"/>
      <c r="GO11" s="50" t="n"/>
      <c r="GP11" s="50" t="n"/>
      <c r="GQ11" s="50" t="n"/>
      <c r="GR11" s="50" t="n"/>
      <c r="GS11" s="50" t="n"/>
      <c r="GT11" s="50" t="n"/>
      <c r="GU11" s="50" t="n"/>
      <c r="GV11" s="50" t="n"/>
      <c r="GW11" s="50" t="n"/>
      <c r="GX11" s="50" t="n"/>
      <c r="GY11" s="50" t="n"/>
      <c r="GZ11" s="50" t="n"/>
      <c r="HA11" s="50" t="n"/>
      <c r="HB11" s="50" t="n"/>
      <c r="HC11" s="50" t="n"/>
      <c r="HD11" s="50" t="n"/>
      <c r="HE11" s="50" t="n"/>
      <c r="HF11" s="50" t="n"/>
      <c r="HG11" s="50" t="n"/>
      <c r="HH11" s="50" t="n"/>
      <c r="HI11" s="50" t="n"/>
      <c r="HJ11" s="50" t="n"/>
      <c r="HK11" s="50" t="n"/>
      <c r="HL11" s="50" t="n"/>
      <c r="HM11" s="50" t="n"/>
      <c r="HN11" s="50" t="n"/>
      <c r="HO11" s="50" t="n"/>
      <c r="HP11" s="50" t="n"/>
      <c r="HQ11" s="50" t="n"/>
      <c r="HR11" s="50" t="n"/>
      <c r="HS11" s="50" t="n"/>
      <c r="HT11" s="50" t="n"/>
      <c r="HU11" s="50" t="n"/>
      <c r="HV11" s="50" t="n"/>
      <c r="HW11" s="50" t="n"/>
      <c r="HX11" s="50" t="n"/>
      <c r="HY11" s="50" t="n"/>
      <c r="HZ11" s="50" t="n"/>
      <c r="IA11" s="50" t="n"/>
      <c r="IB11" s="50" t="n"/>
      <c r="IC11" s="50" t="n"/>
      <c r="ID11" s="50" t="n"/>
      <c r="IE11" s="50" t="n"/>
      <c r="IF11" s="50" t="n"/>
      <c r="IG11" s="50" t="n"/>
      <c r="IH11" s="50" t="n"/>
      <c r="II11" s="50" t="n"/>
      <c r="IJ11" s="50" t="n"/>
      <c r="IK11" s="50" t="n"/>
      <c r="IL11" s="50" t="n"/>
      <c r="IM11" s="50" t="n"/>
      <c r="IN11" s="50" t="n"/>
      <c r="IO11" s="50" t="n"/>
      <c r="IP11" s="50" t="n"/>
      <c r="IQ11" s="50" t="n"/>
    </row>
    <row r="12" ht="13.5" customHeight="1" s="322">
      <c r="A12" s="145">
        <f>관심종목!D17</f>
        <v/>
      </c>
      <c r="B12" s="488">
        <f>관심종목!H17</f>
        <v/>
      </c>
      <c r="C12" s="148">
        <f>VLOOKUP(C1,VNQ!$B$27:$G$278,5,1)</f>
        <v/>
      </c>
      <c r="D12" s="148">
        <f>VLOOKUP(D1,VNQ!$B$27:$G$278,5,1)</f>
        <v/>
      </c>
      <c r="E12" s="148">
        <f>VLOOKUP(E1,VNQ!$B$27:$G$278,5,1)</f>
        <v/>
      </c>
      <c r="F12" s="148">
        <f>VLOOKUP(F1,VNQ!$B$27:$G$278,5,1)</f>
        <v/>
      </c>
      <c r="G12" s="148">
        <f>VLOOKUP(G1,VNQ!$B$27:$G$278,5,1)</f>
        <v/>
      </c>
      <c r="H12" s="148">
        <f>VLOOKUP(H1,VNQ!$B$27:$G$278,5,1)</f>
        <v/>
      </c>
      <c r="I12" s="148">
        <f>VLOOKUP(I1,VNQ!$B$27:$G$278,5,1)</f>
        <v/>
      </c>
      <c r="J12" s="148">
        <f>VLOOKUP(J1,VNQ!$B$27:$G$278,5,1)</f>
        <v/>
      </c>
      <c r="K12" s="148">
        <f>VLOOKUP(K1,VNQ!$B$27:$G$278,5,1)</f>
        <v/>
      </c>
      <c r="L12" s="148">
        <f>VLOOKUP(L1,VNQ!$B$27:$G$278,5,1)</f>
        <v/>
      </c>
      <c r="M12" s="148">
        <f>VLOOKUP(M1,VNQ!$B$27:$G$278,5,1)</f>
        <v/>
      </c>
      <c r="N12" s="148">
        <f>VLOOKUP(N1,VNQ!$B$27:$G$278,5,1)</f>
        <v/>
      </c>
      <c r="O12" s="148">
        <f>VLOOKUP(O1,VNQ!$B$27:$G$278,5,1)</f>
        <v/>
      </c>
      <c r="P12" s="163">
        <f>AVERAGE(D12:O12)</f>
        <v/>
      </c>
      <c r="Q12" s="165">
        <f>B12/P12</f>
        <v/>
      </c>
      <c r="R12" s="168">
        <f>(B12/D12)-1</f>
        <v/>
      </c>
      <c r="S12" s="168">
        <f>(B12/F12)-1</f>
        <v/>
      </c>
      <c r="T12" s="168">
        <f>(B12/I12)-1</f>
        <v/>
      </c>
      <c r="U12" s="168">
        <f>(B12/O12)-1</f>
        <v/>
      </c>
      <c r="V12" s="489">
        <f>R12*12</f>
        <v/>
      </c>
      <c r="W12" s="489">
        <f>S12*4</f>
        <v/>
      </c>
      <c r="X12" s="489">
        <f>T12*2</f>
        <v/>
      </c>
      <c r="Y12" s="489">
        <f>U12*1</f>
        <v/>
      </c>
      <c r="Z12" s="180">
        <f>SUM(V12:Y12)</f>
        <v/>
      </c>
      <c r="AA12" s="50" t="n"/>
      <c r="AB12" s="50" t="n"/>
      <c r="AC12" s="50" t="n"/>
      <c r="AD12" s="50" t="n"/>
      <c r="AE12" s="50" t="n"/>
      <c r="AF12" s="50" t="n"/>
      <c r="AG12" s="50" t="n"/>
      <c r="AH12" s="50" t="n"/>
      <c r="AI12" s="50" t="n"/>
      <c r="AJ12" s="50" t="n"/>
      <c r="AK12" s="50" t="n"/>
      <c r="AL12" s="50" t="n"/>
      <c r="AM12" s="50" t="n"/>
      <c r="AN12" s="50" t="n"/>
      <c r="AO12" s="50" t="n"/>
      <c r="AP12" s="50" t="n"/>
      <c r="AQ12" s="50" t="n"/>
      <c r="AR12" s="50" t="n"/>
      <c r="AS12" s="50" t="n"/>
      <c r="AT12" s="50" t="n"/>
      <c r="AU12" s="50" t="n"/>
      <c r="AV12" s="50" t="n"/>
      <c r="AW12" s="50" t="n"/>
      <c r="AX12" s="50" t="n"/>
      <c r="AY12" s="50" t="n"/>
      <c r="AZ12" s="50" t="n"/>
      <c r="BA12" s="50" t="n"/>
      <c r="BB12" s="50" t="n"/>
      <c r="BC12" s="50" t="n"/>
      <c r="BD12" s="50" t="n"/>
      <c r="BE12" s="50" t="n"/>
      <c r="BF12" s="50" t="n"/>
      <c r="BG12" s="50" t="n"/>
      <c r="BH12" s="50" t="n"/>
      <c r="BI12" s="50" t="n"/>
      <c r="BJ12" s="50" t="n"/>
      <c r="BK12" s="50" t="n"/>
      <c r="BL12" s="50" t="n"/>
      <c r="BM12" s="50" t="n"/>
      <c r="BN12" s="50" t="n"/>
      <c r="BO12" s="50" t="n"/>
      <c r="BP12" s="50" t="n"/>
      <c r="BQ12" s="50" t="n"/>
      <c r="BR12" s="50" t="n"/>
      <c r="BS12" s="50" t="n"/>
      <c r="BT12" s="50" t="n"/>
      <c r="BU12" s="50" t="n"/>
      <c r="BV12" s="50" t="n"/>
      <c r="BW12" s="50" t="n"/>
      <c r="BX12" s="50" t="n"/>
      <c r="BY12" s="50" t="n"/>
      <c r="BZ12" s="50" t="n"/>
      <c r="CA12" s="50" t="n"/>
      <c r="CB12" s="50" t="n"/>
      <c r="CC12" s="50" t="n"/>
      <c r="CD12" s="50" t="n"/>
      <c r="CE12" s="50" t="n"/>
      <c r="CF12" s="50" t="n"/>
      <c r="CG12" s="50" t="n"/>
      <c r="CH12" s="50" t="n"/>
      <c r="CI12" s="50" t="n"/>
      <c r="CJ12" s="50" t="n"/>
      <c r="CK12" s="50" t="n"/>
      <c r="CL12" s="50" t="n"/>
      <c r="CM12" s="50" t="n"/>
      <c r="CN12" s="50" t="n"/>
      <c r="CO12" s="50" t="n"/>
      <c r="CP12" s="50" t="n"/>
      <c r="CQ12" s="50" t="n"/>
      <c r="CR12" s="50" t="n"/>
      <c r="CS12" s="50" t="n"/>
      <c r="CT12" s="50" t="n"/>
      <c r="CU12" s="50" t="n"/>
      <c r="CV12" s="50" t="n"/>
      <c r="CW12" s="50" t="n"/>
      <c r="CX12" s="50" t="n"/>
      <c r="CY12" s="50" t="n"/>
      <c r="CZ12" s="50" t="n"/>
      <c r="DA12" s="50" t="n"/>
      <c r="DB12" s="50" t="n"/>
      <c r="DC12" s="50" t="n"/>
      <c r="DD12" s="50" t="n"/>
      <c r="DE12" s="50" t="n"/>
      <c r="DF12" s="50" t="n"/>
      <c r="DG12" s="50" t="n"/>
      <c r="DH12" s="50" t="n"/>
      <c r="DI12" s="50" t="n"/>
      <c r="DJ12" s="50" t="n"/>
      <c r="DK12" s="50" t="n"/>
      <c r="DL12" s="50" t="n"/>
      <c r="DM12" s="50" t="n"/>
      <c r="DN12" s="50" t="n"/>
      <c r="DO12" s="50" t="n"/>
      <c r="DP12" s="50" t="n"/>
      <c r="DQ12" s="50" t="n"/>
      <c r="DR12" s="50" t="n"/>
      <c r="DS12" s="50" t="n"/>
      <c r="DT12" s="50" t="n"/>
      <c r="DU12" s="50" t="n"/>
      <c r="DV12" s="50" t="n"/>
      <c r="DW12" s="50" t="n"/>
      <c r="DX12" s="50" t="n"/>
      <c r="DY12" s="50" t="n"/>
      <c r="DZ12" s="50" t="n"/>
      <c r="EA12" s="50" t="n"/>
      <c r="EB12" s="50" t="n"/>
      <c r="EC12" s="50" t="n"/>
      <c r="ED12" s="50" t="n"/>
      <c r="EE12" s="50" t="n"/>
      <c r="EF12" s="50" t="n"/>
      <c r="EG12" s="50" t="n"/>
      <c r="EH12" s="50" t="n"/>
      <c r="EI12" s="50" t="n"/>
      <c r="EJ12" s="50" t="n"/>
      <c r="EK12" s="50" t="n"/>
      <c r="EL12" s="50" t="n"/>
      <c r="EM12" s="50" t="n"/>
      <c r="EN12" s="50" t="n"/>
      <c r="EO12" s="50" t="n"/>
      <c r="EP12" s="50" t="n"/>
      <c r="EQ12" s="50" t="n"/>
      <c r="ER12" s="50" t="n"/>
      <c r="ES12" s="50" t="n"/>
      <c r="ET12" s="50" t="n"/>
      <c r="EU12" s="50" t="n"/>
      <c r="EV12" s="50" t="n"/>
      <c r="EW12" s="50" t="n"/>
      <c r="EX12" s="50" t="n"/>
      <c r="EY12" s="50" t="n"/>
      <c r="EZ12" s="50" t="n"/>
      <c r="FA12" s="50" t="n"/>
      <c r="FB12" s="50" t="n"/>
      <c r="FC12" s="50" t="n"/>
      <c r="FD12" s="50" t="n"/>
      <c r="FE12" s="50" t="n"/>
      <c r="FF12" s="50" t="n"/>
      <c r="FG12" s="50" t="n"/>
      <c r="FH12" s="50" t="n"/>
      <c r="FI12" s="50" t="n"/>
      <c r="FJ12" s="50" t="n"/>
      <c r="FK12" s="50" t="n"/>
      <c r="FL12" s="50" t="n"/>
      <c r="FM12" s="50" t="n"/>
      <c r="FN12" s="50" t="n"/>
      <c r="FO12" s="50" t="n"/>
      <c r="FP12" s="50" t="n"/>
      <c r="FQ12" s="50" t="n"/>
      <c r="FR12" s="50" t="n"/>
      <c r="FS12" s="50" t="n"/>
      <c r="FT12" s="50" t="n"/>
      <c r="FU12" s="50" t="n"/>
      <c r="FV12" s="50" t="n"/>
      <c r="FW12" s="50" t="n"/>
      <c r="FX12" s="50" t="n"/>
      <c r="FY12" s="50" t="n"/>
      <c r="FZ12" s="50" t="n"/>
      <c r="GA12" s="50" t="n"/>
      <c r="GB12" s="50" t="n"/>
      <c r="GC12" s="50" t="n"/>
      <c r="GD12" s="50" t="n"/>
      <c r="GE12" s="50" t="n"/>
      <c r="GF12" s="50" t="n"/>
      <c r="GG12" s="50" t="n"/>
      <c r="GH12" s="50" t="n"/>
      <c r="GI12" s="50" t="n"/>
      <c r="GJ12" s="50" t="n"/>
      <c r="GK12" s="50" t="n"/>
      <c r="GL12" s="50" t="n"/>
      <c r="GM12" s="50" t="n"/>
      <c r="GN12" s="50" t="n"/>
      <c r="GO12" s="50" t="n"/>
      <c r="GP12" s="50" t="n"/>
      <c r="GQ12" s="50" t="n"/>
      <c r="GR12" s="50" t="n"/>
      <c r="GS12" s="50" t="n"/>
      <c r="GT12" s="50" t="n"/>
      <c r="GU12" s="50" t="n"/>
      <c r="GV12" s="50" t="n"/>
      <c r="GW12" s="50" t="n"/>
      <c r="GX12" s="50" t="n"/>
      <c r="GY12" s="50" t="n"/>
      <c r="GZ12" s="50" t="n"/>
      <c r="HA12" s="50" t="n"/>
      <c r="HB12" s="50" t="n"/>
      <c r="HC12" s="50" t="n"/>
      <c r="HD12" s="50" t="n"/>
      <c r="HE12" s="50" t="n"/>
      <c r="HF12" s="50" t="n"/>
      <c r="HG12" s="50" t="n"/>
      <c r="HH12" s="50" t="n"/>
      <c r="HI12" s="50" t="n"/>
      <c r="HJ12" s="50" t="n"/>
      <c r="HK12" s="50" t="n"/>
      <c r="HL12" s="50" t="n"/>
      <c r="HM12" s="50" t="n"/>
      <c r="HN12" s="50" t="n"/>
      <c r="HO12" s="50" t="n"/>
      <c r="HP12" s="50" t="n"/>
      <c r="HQ12" s="50" t="n"/>
      <c r="HR12" s="50" t="n"/>
      <c r="HS12" s="50" t="n"/>
      <c r="HT12" s="50" t="n"/>
      <c r="HU12" s="50" t="n"/>
      <c r="HV12" s="50" t="n"/>
      <c r="HW12" s="50" t="n"/>
      <c r="HX12" s="50" t="n"/>
      <c r="HY12" s="50" t="n"/>
      <c r="HZ12" s="50" t="n"/>
      <c r="IA12" s="50" t="n"/>
      <c r="IB12" s="50" t="n"/>
      <c r="IC12" s="50" t="n"/>
      <c r="ID12" s="50" t="n"/>
      <c r="IE12" s="50" t="n"/>
      <c r="IF12" s="50" t="n"/>
      <c r="IG12" s="50" t="n"/>
      <c r="IH12" s="50" t="n"/>
      <c r="II12" s="50" t="n"/>
      <c r="IJ12" s="50" t="n"/>
      <c r="IK12" s="50" t="n"/>
      <c r="IL12" s="50" t="n"/>
      <c r="IM12" s="50" t="n"/>
      <c r="IN12" s="50" t="n"/>
      <c r="IO12" s="50" t="n"/>
      <c r="IP12" s="50" t="n"/>
      <c r="IQ12" s="50" t="n"/>
    </row>
    <row r="13" ht="13.5" customHeight="1" s="322">
      <c r="A13" s="145">
        <f>관심종목!D18</f>
        <v/>
      </c>
      <c r="B13" s="488">
        <f>관심종목!H18</f>
        <v/>
      </c>
      <c r="C13" s="148">
        <f>VLOOKUP(C1,DBC!$B$27:$G$278,5,1)</f>
        <v/>
      </c>
      <c r="D13" s="148">
        <f>VLOOKUP(D1,DBC!$B$27:$G$278,5,1)</f>
        <v/>
      </c>
      <c r="E13" s="148">
        <f>VLOOKUP(E1,DBC!$B$27:$G$278,5,1)</f>
        <v/>
      </c>
      <c r="F13" s="148">
        <f>VLOOKUP(F1,DBC!$B$27:$G$278,5,1)</f>
        <v/>
      </c>
      <c r="G13" s="148">
        <f>VLOOKUP(G1,DBC!$B$27:$G$278,5,1)</f>
        <v/>
      </c>
      <c r="H13" s="148">
        <f>VLOOKUP(H1,DBC!$B$27:$G$278,5,1)</f>
        <v/>
      </c>
      <c r="I13" s="148">
        <f>VLOOKUP(I1,DBC!$B$27:$G$278,5,1)</f>
        <v/>
      </c>
      <c r="J13" s="148">
        <f>VLOOKUP(J1,DBC!$B$27:$G$278,5,1)</f>
        <v/>
      </c>
      <c r="K13" s="148">
        <f>VLOOKUP(K1,DBC!$B$27:$G$278,5,1)</f>
        <v/>
      </c>
      <c r="L13" s="148">
        <f>VLOOKUP(L1,DBC!$B$27:$G$278,5,1)</f>
        <v/>
      </c>
      <c r="M13" s="148">
        <f>VLOOKUP(M1,DBC!$B$27:$G$278,5,1)</f>
        <v/>
      </c>
      <c r="N13" s="148">
        <f>VLOOKUP(N1,DBC!$B$27:$G$278,5,1)</f>
        <v/>
      </c>
      <c r="O13" s="148">
        <f>VLOOKUP(O1,DBC!$B$27:$G$278,5,1)</f>
        <v/>
      </c>
      <c r="P13" s="163">
        <f>AVERAGE(D13:O13)</f>
        <v/>
      </c>
      <c r="Q13" s="165">
        <f>B13/P13</f>
        <v/>
      </c>
      <c r="R13" s="168">
        <f>(B13/D13)-1</f>
        <v/>
      </c>
      <c r="S13" s="168">
        <f>(B13/F13)-1</f>
        <v/>
      </c>
      <c r="T13" s="168">
        <f>(B13/I13)-1</f>
        <v/>
      </c>
      <c r="U13" s="168">
        <f>(B13/O13)-1</f>
        <v/>
      </c>
      <c r="V13" s="489">
        <f>R13*12</f>
        <v/>
      </c>
      <c r="W13" s="489">
        <f>S13*4</f>
        <v/>
      </c>
      <c r="X13" s="489">
        <f>T13*2</f>
        <v/>
      </c>
      <c r="Y13" s="489">
        <f>U13*1</f>
        <v/>
      </c>
      <c r="Z13" s="180">
        <f>SUM(V13:Y13)</f>
        <v/>
      </c>
      <c r="AA13" s="50" t="n"/>
      <c r="AB13" s="50" t="n"/>
      <c r="AC13" s="50" t="n"/>
      <c r="AD13" s="50" t="n"/>
      <c r="AE13" s="50" t="n"/>
      <c r="AF13" s="50" t="n"/>
      <c r="AG13" s="50" t="n"/>
      <c r="AH13" s="50" t="n"/>
      <c r="AI13" s="50" t="n"/>
      <c r="AJ13" s="50" t="n"/>
      <c r="AK13" s="50" t="n"/>
      <c r="AL13" s="50" t="n"/>
      <c r="AM13" s="50" t="n"/>
      <c r="AN13" s="50" t="n"/>
      <c r="AO13" s="50" t="n"/>
      <c r="AP13" s="50" t="n"/>
      <c r="AQ13" s="50" t="n"/>
      <c r="AR13" s="50" t="n"/>
      <c r="AS13" s="50" t="n"/>
      <c r="AT13" s="50" t="n"/>
      <c r="AU13" s="50" t="n"/>
      <c r="AV13" s="50" t="n"/>
      <c r="AW13" s="50" t="n"/>
      <c r="AX13" s="50" t="n"/>
      <c r="AY13" s="50" t="n"/>
      <c r="AZ13" s="50" t="n"/>
      <c r="BA13" s="50" t="n"/>
      <c r="BB13" s="50" t="n"/>
      <c r="BC13" s="50" t="n"/>
      <c r="BD13" s="50" t="n"/>
      <c r="BE13" s="50" t="n"/>
      <c r="BF13" s="50" t="n"/>
      <c r="BG13" s="50" t="n"/>
      <c r="BH13" s="50" t="n"/>
      <c r="BI13" s="50" t="n"/>
      <c r="BJ13" s="50" t="n"/>
      <c r="BK13" s="50" t="n"/>
      <c r="BL13" s="50" t="n"/>
      <c r="BM13" s="50" t="n"/>
      <c r="BN13" s="50" t="n"/>
      <c r="BO13" s="50" t="n"/>
      <c r="BP13" s="50" t="n"/>
      <c r="BQ13" s="50" t="n"/>
      <c r="BR13" s="50" t="n"/>
      <c r="BS13" s="50" t="n"/>
      <c r="BT13" s="50" t="n"/>
      <c r="BU13" s="50" t="n"/>
      <c r="BV13" s="50" t="n"/>
      <c r="BW13" s="50" t="n"/>
      <c r="BX13" s="50" t="n"/>
      <c r="BY13" s="50" t="n"/>
      <c r="BZ13" s="50" t="n"/>
      <c r="CA13" s="50" t="n"/>
      <c r="CB13" s="50" t="n"/>
      <c r="CC13" s="50" t="n"/>
      <c r="CD13" s="50" t="n"/>
      <c r="CE13" s="50" t="n"/>
      <c r="CF13" s="50" t="n"/>
      <c r="CG13" s="50" t="n"/>
      <c r="CH13" s="50" t="n"/>
      <c r="CI13" s="50" t="n"/>
      <c r="CJ13" s="50" t="n"/>
      <c r="CK13" s="50" t="n"/>
      <c r="CL13" s="50" t="n"/>
      <c r="CM13" s="50" t="n"/>
      <c r="CN13" s="50" t="n"/>
      <c r="CO13" s="50" t="n"/>
      <c r="CP13" s="50" t="n"/>
      <c r="CQ13" s="50" t="n"/>
      <c r="CR13" s="50" t="n"/>
      <c r="CS13" s="50" t="n"/>
      <c r="CT13" s="50" t="n"/>
      <c r="CU13" s="50" t="n"/>
      <c r="CV13" s="50" t="n"/>
      <c r="CW13" s="50" t="n"/>
      <c r="CX13" s="50" t="n"/>
      <c r="CY13" s="50" t="n"/>
      <c r="CZ13" s="50" t="n"/>
      <c r="DA13" s="50" t="n"/>
      <c r="DB13" s="50" t="n"/>
      <c r="DC13" s="50" t="n"/>
      <c r="DD13" s="50" t="n"/>
      <c r="DE13" s="50" t="n"/>
      <c r="DF13" s="50" t="n"/>
      <c r="DG13" s="50" t="n"/>
      <c r="DH13" s="50" t="n"/>
      <c r="DI13" s="50" t="n"/>
      <c r="DJ13" s="50" t="n"/>
      <c r="DK13" s="50" t="n"/>
      <c r="DL13" s="50" t="n"/>
      <c r="DM13" s="50" t="n"/>
      <c r="DN13" s="50" t="n"/>
      <c r="DO13" s="50" t="n"/>
      <c r="DP13" s="50" t="n"/>
      <c r="DQ13" s="50" t="n"/>
      <c r="DR13" s="50" t="n"/>
      <c r="DS13" s="50" t="n"/>
      <c r="DT13" s="50" t="n"/>
      <c r="DU13" s="50" t="n"/>
      <c r="DV13" s="50" t="n"/>
      <c r="DW13" s="50" t="n"/>
      <c r="DX13" s="50" t="n"/>
      <c r="DY13" s="50" t="n"/>
      <c r="DZ13" s="50" t="n"/>
      <c r="EA13" s="50" t="n"/>
      <c r="EB13" s="50" t="n"/>
      <c r="EC13" s="50" t="n"/>
      <c r="ED13" s="50" t="n"/>
      <c r="EE13" s="50" t="n"/>
      <c r="EF13" s="50" t="n"/>
      <c r="EG13" s="50" t="n"/>
      <c r="EH13" s="50" t="n"/>
      <c r="EI13" s="50" t="n"/>
      <c r="EJ13" s="50" t="n"/>
      <c r="EK13" s="50" t="n"/>
      <c r="EL13" s="50" t="n"/>
      <c r="EM13" s="50" t="n"/>
      <c r="EN13" s="50" t="n"/>
      <c r="EO13" s="50" t="n"/>
      <c r="EP13" s="50" t="n"/>
      <c r="EQ13" s="50" t="n"/>
      <c r="ER13" s="50" t="n"/>
      <c r="ES13" s="50" t="n"/>
      <c r="ET13" s="50" t="n"/>
      <c r="EU13" s="50" t="n"/>
      <c r="EV13" s="50" t="n"/>
      <c r="EW13" s="50" t="n"/>
      <c r="EX13" s="50" t="n"/>
      <c r="EY13" s="50" t="n"/>
      <c r="EZ13" s="50" t="n"/>
      <c r="FA13" s="50" t="n"/>
      <c r="FB13" s="50" t="n"/>
      <c r="FC13" s="50" t="n"/>
      <c r="FD13" s="50" t="n"/>
      <c r="FE13" s="50" t="n"/>
      <c r="FF13" s="50" t="n"/>
      <c r="FG13" s="50" t="n"/>
      <c r="FH13" s="50" t="n"/>
      <c r="FI13" s="50" t="n"/>
      <c r="FJ13" s="50" t="n"/>
      <c r="FK13" s="50" t="n"/>
      <c r="FL13" s="50" t="n"/>
      <c r="FM13" s="50" t="n"/>
      <c r="FN13" s="50" t="n"/>
      <c r="FO13" s="50" t="n"/>
      <c r="FP13" s="50" t="n"/>
      <c r="FQ13" s="50" t="n"/>
      <c r="FR13" s="50" t="n"/>
      <c r="FS13" s="50" t="n"/>
      <c r="FT13" s="50" t="n"/>
      <c r="FU13" s="50" t="n"/>
      <c r="FV13" s="50" t="n"/>
      <c r="FW13" s="50" t="n"/>
      <c r="FX13" s="50" t="n"/>
      <c r="FY13" s="50" t="n"/>
      <c r="FZ13" s="50" t="n"/>
      <c r="GA13" s="50" t="n"/>
      <c r="GB13" s="50" t="n"/>
      <c r="GC13" s="50" t="n"/>
      <c r="GD13" s="50" t="n"/>
      <c r="GE13" s="50" t="n"/>
      <c r="GF13" s="50" t="n"/>
      <c r="GG13" s="50" t="n"/>
      <c r="GH13" s="50" t="n"/>
      <c r="GI13" s="50" t="n"/>
      <c r="GJ13" s="50" t="n"/>
      <c r="GK13" s="50" t="n"/>
      <c r="GL13" s="50" t="n"/>
      <c r="GM13" s="50" t="n"/>
      <c r="GN13" s="50" t="n"/>
      <c r="GO13" s="50" t="n"/>
      <c r="GP13" s="50" t="n"/>
      <c r="GQ13" s="50" t="n"/>
      <c r="GR13" s="50" t="n"/>
      <c r="GS13" s="50" t="n"/>
      <c r="GT13" s="50" t="n"/>
      <c r="GU13" s="50" t="n"/>
      <c r="GV13" s="50" t="n"/>
      <c r="GW13" s="50" t="n"/>
      <c r="GX13" s="50" t="n"/>
      <c r="GY13" s="50" t="n"/>
      <c r="GZ13" s="50" t="n"/>
      <c r="HA13" s="50" t="n"/>
      <c r="HB13" s="50" t="n"/>
      <c r="HC13" s="50" t="n"/>
      <c r="HD13" s="50" t="n"/>
      <c r="HE13" s="50" t="n"/>
      <c r="HF13" s="50" t="n"/>
      <c r="HG13" s="50" t="n"/>
      <c r="HH13" s="50" t="n"/>
      <c r="HI13" s="50" t="n"/>
      <c r="HJ13" s="50" t="n"/>
      <c r="HK13" s="50" t="n"/>
      <c r="HL13" s="50" t="n"/>
      <c r="HM13" s="50" t="n"/>
      <c r="HN13" s="50" t="n"/>
      <c r="HO13" s="50" t="n"/>
      <c r="HP13" s="50" t="n"/>
      <c r="HQ13" s="50" t="n"/>
      <c r="HR13" s="50" t="n"/>
      <c r="HS13" s="50" t="n"/>
      <c r="HT13" s="50" t="n"/>
      <c r="HU13" s="50" t="n"/>
      <c r="HV13" s="50" t="n"/>
      <c r="HW13" s="50" t="n"/>
      <c r="HX13" s="50" t="n"/>
      <c r="HY13" s="50" t="n"/>
      <c r="HZ13" s="50" t="n"/>
      <c r="IA13" s="50" t="n"/>
      <c r="IB13" s="50" t="n"/>
      <c r="IC13" s="50" t="n"/>
      <c r="ID13" s="50" t="n"/>
      <c r="IE13" s="50" t="n"/>
      <c r="IF13" s="50" t="n"/>
      <c r="IG13" s="50" t="n"/>
      <c r="IH13" s="50" t="n"/>
      <c r="II13" s="50" t="n"/>
      <c r="IJ13" s="50" t="n"/>
      <c r="IK13" s="50" t="n"/>
      <c r="IL13" s="50" t="n"/>
      <c r="IM13" s="50" t="n"/>
      <c r="IN13" s="50" t="n"/>
      <c r="IO13" s="50" t="n"/>
      <c r="IP13" s="50" t="n"/>
      <c r="IQ13" s="50" t="n"/>
    </row>
    <row r="14" ht="13.5" customHeight="1" s="322">
      <c r="A14" s="145">
        <f>관심종목!D19</f>
        <v/>
      </c>
      <c r="B14" s="488">
        <f>관심종목!H19</f>
        <v/>
      </c>
      <c r="C14" s="148">
        <f>VLOOKUP(C1,GLD!$B$27:$G$278,5,1)</f>
        <v/>
      </c>
      <c r="D14" s="148">
        <f>VLOOKUP(D1,GLD!$B$27:$G$278,5,1)</f>
        <v/>
      </c>
      <c r="E14" s="148">
        <f>VLOOKUP(E1,GLD!$B$27:$G$278,5,1)</f>
        <v/>
      </c>
      <c r="F14" s="148">
        <f>VLOOKUP(F1,GLD!$B$27:$G$278,5,1)</f>
        <v/>
      </c>
      <c r="G14" s="148">
        <f>VLOOKUP(G1,GLD!$B$27:$G$278,5,1)</f>
        <v/>
      </c>
      <c r="H14" s="148">
        <f>VLOOKUP(H1,GLD!$B$27:$G$278,5,1)</f>
        <v/>
      </c>
      <c r="I14" s="148">
        <f>VLOOKUP(I1,GLD!$B$27:$G$278,5,1)</f>
        <v/>
      </c>
      <c r="J14" s="148">
        <f>VLOOKUP(J1,GLD!$B$27:$G$278,5,1)</f>
        <v/>
      </c>
      <c r="K14" s="148">
        <f>VLOOKUP(K1,GLD!$B$27:$G$278,5,1)</f>
        <v/>
      </c>
      <c r="L14" s="148">
        <f>VLOOKUP(L1,GLD!$B$27:$G$278,5,1)</f>
        <v/>
      </c>
      <c r="M14" s="148">
        <f>VLOOKUP(M1,GLD!$B$27:$G$278,5,1)</f>
        <v/>
      </c>
      <c r="N14" s="148">
        <f>VLOOKUP(N1,GLD!$B$27:$G$278,5,1)</f>
        <v/>
      </c>
      <c r="O14" s="148">
        <f>VLOOKUP(O1,GLD!$B$27:$G$278,5,1)</f>
        <v/>
      </c>
      <c r="P14" s="163">
        <f>AVERAGE(D14:O14)</f>
        <v/>
      </c>
      <c r="Q14" s="165">
        <f>B14/P14</f>
        <v/>
      </c>
      <c r="R14" s="168">
        <f>(B14/D14)-1</f>
        <v/>
      </c>
      <c r="S14" s="168">
        <f>(B14/F14)-1</f>
        <v/>
      </c>
      <c r="T14" s="168">
        <f>(B14/I14)-1</f>
        <v/>
      </c>
      <c r="U14" s="168">
        <f>(B14/O14)-1</f>
        <v/>
      </c>
      <c r="V14" s="489">
        <f>R14*12</f>
        <v/>
      </c>
      <c r="W14" s="489">
        <f>S14*4</f>
        <v/>
      </c>
      <c r="X14" s="489">
        <f>T14*2</f>
        <v/>
      </c>
      <c r="Y14" s="489">
        <f>U14*1</f>
        <v/>
      </c>
      <c r="Z14" s="180">
        <f>SUM(V14:Y14)</f>
        <v/>
      </c>
      <c r="AA14" s="50" t="n"/>
      <c r="AB14" s="50" t="n"/>
      <c r="AC14" s="50" t="n"/>
      <c r="AD14" s="50" t="n"/>
      <c r="AE14" s="50" t="n"/>
      <c r="AF14" s="50" t="n"/>
      <c r="AG14" s="50" t="n"/>
      <c r="AH14" s="50" t="n"/>
      <c r="AI14" s="50" t="n"/>
      <c r="AJ14" s="50" t="n"/>
      <c r="AK14" s="50" t="n"/>
      <c r="AL14" s="50" t="n"/>
      <c r="AM14" s="50" t="n"/>
      <c r="AN14" s="50" t="n"/>
      <c r="AO14" s="50" t="n"/>
      <c r="AP14" s="50" t="n"/>
      <c r="AQ14" s="50" t="n"/>
      <c r="AR14" s="50" t="n"/>
      <c r="AS14" s="50" t="n"/>
      <c r="AT14" s="50" t="n"/>
      <c r="AU14" s="50" t="n"/>
      <c r="AV14" s="50" t="n"/>
      <c r="AW14" s="50" t="n"/>
      <c r="AX14" s="50" t="n"/>
      <c r="AY14" s="50" t="n"/>
      <c r="AZ14" s="50" t="n"/>
      <c r="BA14" s="50" t="n"/>
      <c r="BB14" s="50" t="n"/>
      <c r="BC14" s="50" t="n"/>
      <c r="BD14" s="50" t="n"/>
      <c r="BE14" s="50" t="n"/>
      <c r="BF14" s="50" t="n"/>
      <c r="BG14" s="50" t="n"/>
      <c r="BH14" s="50" t="n"/>
      <c r="BI14" s="50" t="n"/>
      <c r="BJ14" s="50" t="n"/>
      <c r="BK14" s="50" t="n"/>
      <c r="BL14" s="50" t="n"/>
      <c r="BM14" s="50" t="n"/>
      <c r="BN14" s="50" t="n"/>
      <c r="BO14" s="50" t="n"/>
      <c r="BP14" s="50" t="n"/>
      <c r="BQ14" s="50" t="n"/>
      <c r="BR14" s="50" t="n"/>
      <c r="BS14" s="50" t="n"/>
      <c r="BT14" s="50" t="n"/>
      <c r="BU14" s="50" t="n"/>
      <c r="BV14" s="50" t="n"/>
      <c r="BW14" s="50" t="n"/>
      <c r="BX14" s="50" t="n"/>
      <c r="BY14" s="50" t="n"/>
      <c r="BZ14" s="50" t="n"/>
      <c r="CA14" s="50" t="n"/>
      <c r="CB14" s="50" t="n"/>
      <c r="CC14" s="50" t="n"/>
      <c r="CD14" s="50" t="n"/>
      <c r="CE14" s="50" t="n"/>
      <c r="CF14" s="50" t="n"/>
      <c r="CG14" s="50" t="n"/>
      <c r="CH14" s="50" t="n"/>
      <c r="CI14" s="50" t="n"/>
      <c r="CJ14" s="50" t="n"/>
      <c r="CK14" s="50" t="n"/>
      <c r="CL14" s="50" t="n"/>
      <c r="CM14" s="50" t="n"/>
      <c r="CN14" s="50" t="n"/>
      <c r="CO14" s="50" t="n"/>
      <c r="CP14" s="50" t="n"/>
      <c r="CQ14" s="50" t="n"/>
      <c r="CR14" s="50" t="n"/>
      <c r="CS14" s="50" t="n"/>
      <c r="CT14" s="50" t="n"/>
      <c r="CU14" s="50" t="n"/>
      <c r="CV14" s="50" t="n"/>
      <c r="CW14" s="50" t="n"/>
      <c r="CX14" s="50" t="n"/>
      <c r="CY14" s="50" t="n"/>
      <c r="CZ14" s="50" t="n"/>
      <c r="DA14" s="50" t="n"/>
      <c r="DB14" s="50" t="n"/>
      <c r="DC14" s="50" t="n"/>
      <c r="DD14" s="50" t="n"/>
      <c r="DE14" s="50" t="n"/>
      <c r="DF14" s="50" t="n"/>
      <c r="DG14" s="50" t="n"/>
      <c r="DH14" s="50" t="n"/>
      <c r="DI14" s="50" t="n"/>
      <c r="DJ14" s="50" t="n"/>
      <c r="DK14" s="50" t="n"/>
      <c r="DL14" s="50" t="n"/>
      <c r="DM14" s="50" t="n"/>
      <c r="DN14" s="50" t="n"/>
      <c r="DO14" s="50" t="n"/>
      <c r="DP14" s="50" t="n"/>
      <c r="DQ14" s="50" t="n"/>
      <c r="DR14" s="50" t="n"/>
      <c r="DS14" s="50" t="n"/>
      <c r="DT14" s="50" t="n"/>
      <c r="DU14" s="50" t="n"/>
      <c r="DV14" s="50" t="n"/>
      <c r="DW14" s="50" t="n"/>
      <c r="DX14" s="50" t="n"/>
      <c r="DY14" s="50" t="n"/>
      <c r="DZ14" s="50" t="n"/>
      <c r="EA14" s="50" t="n"/>
      <c r="EB14" s="50" t="n"/>
      <c r="EC14" s="50" t="n"/>
      <c r="ED14" s="50" t="n"/>
      <c r="EE14" s="50" t="n"/>
      <c r="EF14" s="50" t="n"/>
      <c r="EG14" s="50" t="n"/>
      <c r="EH14" s="50" t="n"/>
      <c r="EI14" s="50" t="n"/>
      <c r="EJ14" s="50" t="n"/>
      <c r="EK14" s="50" t="n"/>
      <c r="EL14" s="50" t="n"/>
      <c r="EM14" s="50" t="n"/>
      <c r="EN14" s="50" t="n"/>
      <c r="EO14" s="50" t="n"/>
      <c r="EP14" s="50" t="n"/>
      <c r="EQ14" s="50" t="n"/>
      <c r="ER14" s="50" t="n"/>
      <c r="ES14" s="50" t="n"/>
      <c r="ET14" s="50" t="n"/>
      <c r="EU14" s="50" t="n"/>
      <c r="EV14" s="50" t="n"/>
      <c r="EW14" s="50" t="n"/>
      <c r="EX14" s="50" t="n"/>
      <c r="EY14" s="50" t="n"/>
      <c r="EZ14" s="50" t="n"/>
      <c r="FA14" s="50" t="n"/>
      <c r="FB14" s="50" t="n"/>
      <c r="FC14" s="50" t="n"/>
      <c r="FD14" s="50" t="n"/>
      <c r="FE14" s="50" t="n"/>
      <c r="FF14" s="50" t="n"/>
      <c r="FG14" s="50" t="n"/>
      <c r="FH14" s="50" t="n"/>
      <c r="FI14" s="50" t="n"/>
      <c r="FJ14" s="50" t="n"/>
      <c r="FK14" s="50" t="n"/>
      <c r="FL14" s="50" t="n"/>
      <c r="FM14" s="50" t="n"/>
      <c r="FN14" s="50" t="n"/>
      <c r="FO14" s="50" t="n"/>
      <c r="FP14" s="50" t="n"/>
      <c r="FQ14" s="50" t="n"/>
      <c r="FR14" s="50" t="n"/>
      <c r="FS14" s="50" t="n"/>
      <c r="FT14" s="50" t="n"/>
      <c r="FU14" s="50" t="n"/>
      <c r="FV14" s="50" t="n"/>
      <c r="FW14" s="50" t="n"/>
      <c r="FX14" s="50" t="n"/>
      <c r="FY14" s="50" t="n"/>
      <c r="FZ14" s="50" t="n"/>
      <c r="GA14" s="50" t="n"/>
      <c r="GB14" s="50" t="n"/>
      <c r="GC14" s="50" t="n"/>
      <c r="GD14" s="50" t="n"/>
      <c r="GE14" s="50" t="n"/>
      <c r="GF14" s="50" t="n"/>
      <c r="GG14" s="50" t="n"/>
      <c r="GH14" s="50" t="n"/>
      <c r="GI14" s="50" t="n"/>
      <c r="GJ14" s="50" t="n"/>
      <c r="GK14" s="50" t="n"/>
      <c r="GL14" s="50" t="n"/>
      <c r="GM14" s="50" t="n"/>
      <c r="GN14" s="50" t="n"/>
      <c r="GO14" s="50" t="n"/>
      <c r="GP14" s="50" t="n"/>
      <c r="GQ14" s="50" t="n"/>
      <c r="GR14" s="50" t="n"/>
      <c r="GS14" s="50" t="n"/>
      <c r="GT14" s="50" t="n"/>
      <c r="GU14" s="50" t="n"/>
      <c r="GV14" s="50" t="n"/>
      <c r="GW14" s="50" t="n"/>
      <c r="GX14" s="50" t="n"/>
      <c r="GY14" s="50" t="n"/>
      <c r="GZ14" s="50" t="n"/>
      <c r="HA14" s="50" t="n"/>
      <c r="HB14" s="50" t="n"/>
      <c r="HC14" s="50" t="n"/>
      <c r="HD14" s="50" t="n"/>
      <c r="HE14" s="50" t="n"/>
      <c r="HF14" s="50" t="n"/>
      <c r="HG14" s="50" t="n"/>
      <c r="HH14" s="50" t="n"/>
      <c r="HI14" s="50" t="n"/>
      <c r="HJ14" s="50" t="n"/>
      <c r="HK14" s="50" t="n"/>
      <c r="HL14" s="50" t="n"/>
      <c r="HM14" s="50" t="n"/>
      <c r="HN14" s="50" t="n"/>
      <c r="HO14" s="50" t="n"/>
      <c r="HP14" s="50" t="n"/>
      <c r="HQ14" s="50" t="n"/>
      <c r="HR14" s="50" t="n"/>
      <c r="HS14" s="50" t="n"/>
      <c r="HT14" s="50" t="n"/>
      <c r="HU14" s="50" t="n"/>
      <c r="HV14" s="50" t="n"/>
      <c r="HW14" s="50" t="n"/>
      <c r="HX14" s="50" t="n"/>
      <c r="HY14" s="50" t="n"/>
      <c r="HZ14" s="50" t="n"/>
      <c r="IA14" s="50" t="n"/>
      <c r="IB14" s="50" t="n"/>
      <c r="IC14" s="50" t="n"/>
      <c r="ID14" s="50" t="n"/>
      <c r="IE14" s="50" t="n"/>
      <c r="IF14" s="50" t="n"/>
      <c r="IG14" s="50" t="n"/>
      <c r="IH14" s="50" t="n"/>
      <c r="II14" s="50" t="n"/>
      <c r="IJ14" s="50" t="n"/>
      <c r="IK14" s="50" t="n"/>
      <c r="IL14" s="50" t="n"/>
      <c r="IM14" s="50" t="n"/>
      <c r="IN14" s="50" t="n"/>
      <c r="IO14" s="50" t="n"/>
      <c r="IP14" s="50" t="n"/>
      <c r="IQ14" s="50" t="n"/>
    </row>
    <row r="15" ht="13.5" customHeight="1" s="322">
      <c r="A15" s="145">
        <f>관심종목!D20</f>
        <v/>
      </c>
      <c r="B15" s="488">
        <f>관심종목!H20</f>
        <v/>
      </c>
      <c r="C15" s="148">
        <f>VLOOKUP(C1,LQD!$B$27:$G$278,5,1)</f>
        <v/>
      </c>
      <c r="D15" s="148">
        <f>VLOOKUP(D1,LQD!$B$27:$G$278,5,1)</f>
        <v/>
      </c>
      <c r="E15" s="148">
        <f>VLOOKUP(E1,LQD!$B$27:$G$278,5,1)</f>
        <v/>
      </c>
      <c r="F15" s="148">
        <f>VLOOKUP(F1,LQD!$B$27:$G$278,5,1)</f>
        <v/>
      </c>
      <c r="G15" s="148">
        <f>VLOOKUP(G1,LQD!$B$27:$G$278,5,1)</f>
        <v/>
      </c>
      <c r="H15" s="148">
        <f>VLOOKUP(H1,LQD!$B$27:$G$278,5,1)</f>
        <v/>
      </c>
      <c r="I15" s="148">
        <f>VLOOKUP(I1,LQD!$B$27:$G$278,5,1)</f>
        <v/>
      </c>
      <c r="J15" s="148">
        <f>VLOOKUP(J1,LQD!$B$27:$G$278,5,1)</f>
        <v/>
      </c>
      <c r="K15" s="148">
        <f>VLOOKUP(K1,LQD!$B$27:$G$278,5,1)</f>
        <v/>
      </c>
      <c r="L15" s="148">
        <f>VLOOKUP(L1,LQD!$B$27:$G$278,5,1)</f>
        <v/>
      </c>
      <c r="M15" s="148">
        <f>VLOOKUP(M1,LQD!$B$27:$G$278,5,1)</f>
        <v/>
      </c>
      <c r="N15" s="148">
        <f>VLOOKUP(N1,LQD!$B$27:$G$278,5,1)</f>
        <v/>
      </c>
      <c r="O15" s="148">
        <f>VLOOKUP(O1,LQD!$B$27:$G$278,5,1)</f>
        <v/>
      </c>
      <c r="P15" s="163">
        <f>AVERAGE(D15:O15)</f>
        <v/>
      </c>
      <c r="Q15" s="165">
        <f>B15/P15</f>
        <v/>
      </c>
      <c r="R15" s="168">
        <f>(B15/D15)-1</f>
        <v/>
      </c>
      <c r="S15" s="168">
        <f>(B15/F15)-1</f>
        <v/>
      </c>
      <c r="T15" s="168">
        <f>(B15/I15)-1</f>
        <v/>
      </c>
      <c r="U15" s="168">
        <f>(B15/O15)-1</f>
        <v/>
      </c>
      <c r="V15" s="489">
        <f>R15*12</f>
        <v/>
      </c>
      <c r="W15" s="489">
        <f>S15*4</f>
        <v/>
      </c>
      <c r="X15" s="489">
        <f>T15*2</f>
        <v/>
      </c>
      <c r="Y15" s="489">
        <f>U15*1</f>
        <v/>
      </c>
      <c r="Z15" s="180">
        <f>SUM(V15:Y15)</f>
        <v/>
      </c>
      <c r="AA15" s="50" t="n"/>
      <c r="AB15" s="50" t="n"/>
      <c r="AC15" s="50" t="n"/>
      <c r="AD15" s="50" t="n"/>
      <c r="AE15" s="50" t="n"/>
      <c r="AF15" s="50" t="n"/>
      <c r="AG15" s="50" t="n"/>
      <c r="AH15" s="50" t="n"/>
      <c r="AI15" s="50" t="n"/>
      <c r="AJ15" s="50" t="n"/>
      <c r="AK15" s="50" t="n"/>
      <c r="AL15" s="50" t="n"/>
      <c r="AM15" s="50" t="n"/>
      <c r="AN15" s="50" t="n"/>
      <c r="AO15" s="50" t="n"/>
      <c r="AP15" s="50" t="n"/>
      <c r="AQ15" s="50" t="n"/>
      <c r="AR15" s="50" t="n"/>
      <c r="AS15" s="50" t="n"/>
      <c r="AT15" s="50" t="n"/>
      <c r="AU15" s="50" t="n"/>
      <c r="AV15" s="50" t="n"/>
      <c r="AW15" s="50" t="n"/>
      <c r="AX15" s="50" t="n"/>
      <c r="AY15" s="50" t="n"/>
      <c r="AZ15" s="50" t="n"/>
      <c r="BA15" s="50" t="n"/>
      <c r="BB15" s="50" t="n"/>
      <c r="BC15" s="50" t="n"/>
      <c r="BD15" s="50" t="n"/>
      <c r="BE15" s="50" t="n"/>
      <c r="BF15" s="50" t="n"/>
      <c r="BG15" s="50" t="n"/>
      <c r="BH15" s="50" t="n"/>
      <c r="BI15" s="50" t="n"/>
      <c r="BJ15" s="50" t="n"/>
      <c r="BK15" s="50" t="n"/>
      <c r="BL15" s="50" t="n"/>
      <c r="BM15" s="50" t="n"/>
      <c r="BN15" s="50" t="n"/>
      <c r="BO15" s="50" t="n"/>
      <c r="BP15" s="50" t="n"/>
      <c r="BQ15" s="50" t="n"/>
      <c r="BR15" s="50" t="n"/>
      <c r="BS15" s="50" t="n"/>
      <c r="BT15" s="50" t="n"/>
      <c r="BU15" s="50" t="n"/>
      <c r="BV15" s="50" t="n"/>
      <c r="BW15" s="50" t="n"/>
      <c r="BX15" s="50" t="n"/>
      <c r="BY15" s="50" t="n"/>
      <c r="BZ15" s="50" t="n"/>
      <c r="CA15" s="50" t="n"/>
      <c r="CB15" s="50" t="n"/>
      <c r="CC15" s="50" t="n"/>
      <c r="CD15" s="50" t="n"/>
      <c r="CE15" s="50" t="n"/>
      <c r="CF15" s="50" t="n"/>
      <c r="CG15" s="50" t="n"/>
      <c r="CH15" s="50" t="n"/>
      <c r="CI15" s="50" t="n"/>
      <c r="CJ15" s="50" t="n"/>
      <c r="CK15" s="50" t="n"/>
      <c r="CL15" s="50" t="n"/>
      <c r="CM15" s="50" t="n"/>
      <c r="CN15" s="50" t="n"/>
      <c r="CO15" s="50" t="n"/>
      <c r="CP15" s="50" t="n"/>
      <c r="CQ15" s="50" t="n"/>
      <c r="CR15" s="50" t="n"/>
      <c r="CS15" s="50" t="n"/>
      <c r="CT15" s="50" t="n"/>
      <c r="CU15" s="50" t="n"/>
      <c r="CV15" s="50" t="n"/>
      <c r="CW15" s="50" t="n"/>
      <c r="CX15" s="50" t="n"/>
      <c r="CY15" s="50" t="n"/>
      <c r="CZ15" s="50" t="n"/>
      <c r="DA15" s="50" t="n"/>
      <c r="DB15" s="50" t="n"/>
      <c r="DC15" s="50" t="n"/>
      <c r="DD15" s="50" t="n"/>
      <c r="DE15" s="50" t="n"/>
      <c r="DF15" s="50" t="n"/>
      <c r="DG15" s="50" t="n"/>
      <c r="DH15" s="50" t="n"/>
      <c r="DI15" s="50" t="n"/>
      <c r="DJ15" s="50" t="n"/>
      <c r="DK15" s="50" t="n"/>
      <c r="DL15" s="50" t="n"/>
      <c r="DM15" s="50" t="n"/>
      <c r="DN15" s="50" t="n"/>
      <c r="DO15" s="50" t="n"/>
      <c r="DP15" s="50" t="n"/>
      <c r="DQ15" s="50" t="n"/>
      <c r="DR15" s="50" t="n"/>
      <c r="DS15" s="50" t="n"/>
      <c r="DT15" s="50" t="n"/>
      <c r="DU15" s="50" t="n"/>
      <c r="DV15" s="50" t="n"/>
      <c r="DW15" s="50" t="n"/>
      <c r="DX15" s="50" t="n"/>
      <c r="DY15" s="50" t="n"/>
      <c r="DZ15" s="50" t="n"/>
      <c r="EA15" s="50" t="n"/>
      <c r="EB15" s="50" t="n"/>
      <c r="EC15" s="50" t="n"/>
      <c r="ED15" s="50" t="n"/>
      <c r="EE15" s="50" t="n"/>
      <c r="EF15" s="50" t="n"/>
      <c r="EG15" s="50" t="n"/>
      <c r="EH15" s="50" t="n"/>
      <c r="EI15" s="50" t="n"/>
      <c r="EJ15" s="50" t="n"/>
      <c r="EK15" s="50" t="n"/>
      <c r="EL15" s="50" t="n"/>
      <c r="EM15" s="50" t="n"/>
      <c r="EN15" s="50" t="n"/>
      <c r="EO15" s="50" t="n"/>
      <c r="EP15" s="50" t="n"/>
      <c r="EQ15" s="50" t="n"/>
      <c r="ER15" s="50" t="n"/>
      <c r="ES15" s="50" t="n"/>
      <c r="ET15" s="50" t="n"/>
      <c r="EU15" s="50" t="n"/>
      <c r="EV15" s="50" t="n"/>
      <c r="EW15" s="50" t="n"/>
      <c r="EX15" s="50" t="n"/>
      <c r="EY15" s="50" t="n"/>
      <c r="EZ15" s="50" t="n"/>
      <c r="FA15" s="50" t="n"/>
      <c r="FB15" s="50" t="n"/>
      <c r="FC15" s="50" t="n"/>
      <c r="FD15" s="50" t="n"/>
      <c r="FE15" s="50" t="n"/>
      <c r="FF15" s="50" t="n"/>
      <c r="FG15" s="50" t="n"/>
      <c r="FH15" s="50" t="n"/>
      <c r="FI15" s="50" t="n"/>
      <c r="FJ15" s="50" t="n"/>
      <c r="FK15" s="50" t="n"/>
      <c r="FL15" s="50" t="n"/>
      <c r="FM15" s="50" t="n"/>
      <c r="FN15" s="50" t="n"/>
      <c r="FO15" s="50" t="n"/>
      <c r="FP15" s="50" t="n"/>
      <c r="FQ15" s="50" t="n"/>
      <c r="FR15" s="50" t="n"/>
      <c r="FS15" s="50" t="n"/>
      <c r="FT15" s="50" t="n"/>
      <c r="FU15" s="50" t="n"/>
      <c r="FV15" s="50" t="n"/>
      <c r="FW15" s="50" t="n"/>
      <c r="FX15" s="50" t="n"/>
      <c r="FY15" s="50" t="n"/>
      <c r="FZ15" s="50" t="n"/>
      <c r="GA15" s="50" t="n"/>
      <c r="GB15" s="50" t="n"/>
      <c r="GC15" s="50" t="n"/>
      <c r="GD15" s="50" t="n"/>
      <c r="GE15" s="50" t="n"/>
      <c r="GF15" s="50" t="n"/>
      <c r="GG15" s="50" t="n"/>
      <c r="GH15" s="50" t="n"/>
      <c r="GI15" s="50" t="n"/>
      <c r="GJ15" s="50" t="n"/>
      <c r="GK15" s="50" t="n"/>
      <c r="GL15" s="50" t="n"/>
      <c r="GM15" s="50" t="n"/>
      <c r="GN15" s="50" t="n"/>
      <c r="GO15" s="50" t="n"/>
      <c r="GP15" s="50" t="n"/>
      <c r="GQ15" s="50" t="n"/>
      <c r="GR15" s="50" t="n"/>
      <c r="GS15" s="50" t="n"/>
      <c r="GT15" s="50" t="n"/>
      <c r="GU15" s="50" t="n"/>
      <c r="GV15" s="50" t="n"/>
      <c r="GW15" s="50" t="n"/>
      <c r="GX15" s="50" t="n"/>
      <c r="GY15" s="50" t="n"/>
      <c r="GZ15" s="50" t="n"/>
      <c r="HA15" s="50" t="n"/>
      <c r="HB15" s="50" t="n"/>
      <c r="HC15" s="50" t="n"/>
      <c r="HD15" s="50" t="n"/>
      <c r="HE15" s="50" t="n"/>
      <c r="HF15" s="50" t="n"/>
      <c r="HG15" s="50" t="n"/>
      <c r="HH15" s="50" t="n"/>
      <c r="HI15" s="50" t="n"/>
      <c r="HJ15" s="50" t="n"/>
      <c r="HK15" s="50" t="n"/>
      <c r="HL15" s="50" t="n"/>
      <c r="HM15" s="50" t="n"/>
      <c r="HN15" s="50" t="n"/>
      <c r="HO15" s="50" t="n"/>
      <c r="HP15" s="50" t="n"/>
      <c r="HQ15" s="50" t="n"/>
      <c r="HR15" s="50" t="n"/>
      <c r="HS15" s="50" t="n"/>
      <c r="HT15" s="50" t="n"/>
      <c r="HU15" s="50" t="n"/>
      <c r="HV15" s="50" t="n"/>
      <c r="HW15" s="50" t="n"/>
      <c r="HX15" s="50" t="n"/>
      <c r="HY15" s="50" t="n"/>
      <c r="HZ15" s="50" t="n"/>
      <c r="IA15" s="50" t="n"/>
      <c r="IB15" s="50" t="n"/>
      <c r="IC15" s="50" t="n"/>
      <c r="ID15" s="50" t="n"/>
      <c r="IE15" s="50" t="n"/>
      <c r="IF15" s="50" t="n"/>
      <c r="IG15" s="50" t="n"/>
      <c r="IH15" s="50" t="n"/>
      <c r="II15" s="50" t="n"/>
      <c r="IJ15" s="50" t="n"/>
      <c r="IK15" s="50" t="n"/>
      <c r="IL15" s="50" t="n"/>
      <c r="IM15" s="50" t="n"/>
      <c r="IN15" s="50" t="n"/>
      <c r="IO15" s="50" t="n"/>
      <c r="IP15" s="50" t="n"/>
      <c r="IQ15" s="50" t="n"/>
    </row>
    <row r="16" ht="13.5" customHeight="1" s="322">
      <c r="A16" s="241">
        <f>관심종목!D21</f>
        <v/>
      </c>
      <c r="B16" s="490">
        <f>관심종목!H21</f>
        <v/>
      </c>
      <c r="C16" s="243">
        <f>VLOOKUP(C1,HYG!$B$27:$G$278,5,1)</f>
        <v/>
      </c>
      <c r="D16" s="243">
        <f>VLOOKUP(D1,HYG!$B$27:$G$278,5,1)</f>
        <v/>
      </c>
      <c r="E16" s="243">
        <f>VLOOKUP(E1,HYG!$B$27:$G$278,5,1)</f>
        <v/>
      </c>
      <c r="F16" s="243">
        <f>VLOOKUP(F1,HYG!$B$27:$G$278,5,1)</f>
        <v/>
      </c>
      <c r="G16" s="243">
        <f>VLOOKUP(G1,HYG!$B$27:$G$278,5,1)</f>
        <v/>
      </c>
      <c r="H16" s="243">
        <f>VLOOKUP(H1,HYG!$B$27:$G$278,5,1)</f>
        <v/>
      </c>
      <c r="I16" s="243">
        <f>VLOOKUP(I1,HYG!$B$27:$G$278,5,1)</f>
        <v/>
      </c>
      <c r="J16" s="243">
        <f>VLOOKUP(J1,HYG!$B$27:$G$278,5,1)</f>
        <v/>
      </c>
      <c r="K16" s="243">
        <f>VLOOKUP(K1,HYG!$B$27:$G$278,5,1)</f>
        <v/>
      </c>
      <c r="L16" s="243">
        <f>VLOOKUP(L1,HYG!$B$27:$G$278,5,1)</f>
        <v/>
      </c>
      <c r="M16" s="243">
        <f>VLOOKUP(M1,HYG!$B$27:$G$278,5,1)</f>
        <v/>
      </c>
      <c r="N16" s="243">
        <f>VLOOKUP(N1,HYG!$B$27:$G$278,5,1)</f>
        <v/>
      </c>
      <c r="O16" s="243">
        <f>VLOOKUP(O1,HYG!$B$27:$G$278,5,1)</f>
        <v/>
      </c>
      <c r="P16" s="244">
        <f>AVERAGE(D16:O16)</f>
        <v/>
      </c>
      <c r="Q16" s="245">
        <f>B16/P16</f>
        <v/>
      </c>
      <c r="R16" s="246">
        <f>(B16/D16)-1</f>
        <v/>
      </c>
      <c r="S16" s="246">
        <f>(B16/F16)-1</f>
        <v/>
      </c>
      <c r="T16" s="246">
        <f>(B16/I16)-1</f>
        <v/>
      </c>
      <c r="U16" s="246">
        <f>(B16/O16)-1</f>
        <v/>
      </c>
      <c r="V16" s="491">
        <f>R16*12</f>
        <v/>
      </c>
      <c r="W16" s="491">
        <f>S16*4</f>
        <v/>
      </c>
      <c r="X16" s="491">
        <f>T16*2</f>
        <v/>
      </c>
      <c r="Y16" s="491">
        <f>U16*1</f>
        <v/>
      </c>
      <c r="Z16" s="248">
        <f>SUM(V16:Y16)</f>
        <v/>
      </c>
      <c r="AA16" s="50" t="n"/>
      <c r="AB16" s="50" t="n"/>
      <c r="AC16" s="50" t="n"/>
      <c r="AD16" s="50" t="n"/>
      <c r="AE16" s="50" t="n"/>
      <c r="AF16" s="50" t="n"/>
      <c r="AG16" s="50" t="n"/>
      <c r="AH16" s="50" t="n"/>
      <c r="AI16" s="50" t="n"/>
      <c r="AJ16" s="50" t="n"/>
      <c r="AK16" s="50" t="n"/>
      <c r="AL16" s="50" t="n"/>
      <c r="AM16" s="50" t="n"/>
      <c r="AN16" s="50" t="n"/>
      <c r="AO16" s="50" t="n"/>
      <c r="AP16" s="50" t="n"/>
      <c r="AQ16" s="50" t="n"/>
      <c r="AR16" s="50" t="n"/>
      <c r="AS16" s="50" t="n"/>
      <c r="AT16" s="50" t="n"/>
      <c r="AU16" s="50" t="n"/>
      <c r="AV16" s="50" t="n"/>
      <c r="AW16" s="50" t="n"/>
      <c r="AX16" s="50" t="n"/>
      <c r="AY16" s="50" t="n"/>
      <c r="AZ16" s="50" t="n"/>
      <c r="BA16" s="50" t="n"/>
      <c r="BB16" s="50" t="n"/>
      <c r="BC16" s="50" t="n"/>
      <c r="BD16" s="50" t="n"/>
      <c r="BE16" s="50" t="n"/>
      <c r="BF16" s="50" t="n"/>
      <c r="BG16" s="50" t="n"/>
      <c r="BH16" s="50" t="n"/>
      <c r="BI16" s="50" t="n"/>
      <c r="BJ16" s="50" t="n"/>
      <c r="BK16" s="50" t="n"/>
      <c r="BL16" s="50" t="n"/>
      <c r="BM16" s="50" t="n"/>
      <c r="BN16" s="50" t="n"/>
      <c r="BO16" s="50" t="n"/>
      <c r="BP16" s="50" t="n"/>
      <c r="BQ16" s="50" t="n"/>
      <c r="BR16" s="50" t="n"/>
      <c r="BS16" s="50" t="n"/>
      <c r="BT16" s="50" t="n"/>
      <c r="BU16" s="50" t="n"/>
      <c r="BV16" s="50" t="n"/>
      <c r="BW16" s="50" t="n"/>
      <c r="BX16" s="50" t="n"/>
      <c r="BY16" s="50" t="n"/>
      <c r="BZ16" s="50" t="n"/>
      <c r="CA16" s="50" t="n"/>
      <c r="CB16" s="50" t="n"/>
      <c r="CC16" s="50" t="n"/>
      <c r="CD16" s="50" t="n"/>
      <c r="CE16" s="50" t="n"/>
      <c r="CF16" s="50" t="n"/>
      <c r="CG16" s="50" t="n"/>
      <c r="CH16" s="50" t="n"/>
      <c r="CI16" s="50" t="n"/>
      <c r="CJ16" s="50" t="n"/>
      <c r="CK16" s="50" t="n"/>
      <c r="CL16" s="50" t="n"/>
      <c r="CM16" s="50" t="n"/>
      <c r="CN16" s="50" t="n"/>
      <c r="CO16" s="50" t="n"/>
      <c r="CP16" s="50" t="n"/>
      <c r="CQ16" s="50" t="n"/>
      <c r="CR16" s="50" t="n"/>
      <c r="CS16" s="50" t="n"/>
      <c r="CT16" s="50" t="n"/>
      <c r="CU16" s="50" t="n"/>
      <c r="CV16" s="50" t="n"/>
      <c r="CW16" s="50" t="n"/>
      <c r="CX16" s="50" t="n"/>
      <c r="CY16" s="50" t="n"/>
      <c r="CZ16" s="50" t="n"/>
      <c r="DA16" s="50" t="n"/>
      <c r="DB16" s="50" t="n"/>
      <c r="DC16" s="50" t="n"/>
      <c r="DD16" s="50" t="n"/>
      <c r="DE16" s="50" t="n"/>
      <c r="DF16" s="50" t="n"/>
      <c r="DG16" s="50" t="n"/>
      <c r="DH16" s="50" t="n"/>
      <c r="DI16" s="50" t="n"/>
      <c r="DJ16" s="50" t="n"/>
      <c r="DK16" s="50" t="n"/>
      <c r="DL16" s="50" t="n"/>
      <c r="DM16" s="50" t="n"/>
      <c r="DN16" s="50" t="n"/>
      <c r="DO16" s="50" t="n"/>
      <c r="DP16" s="50" t="n"/>
      <c r="DQ16" s="50" t="n"/>
      <c r="DR16" s="50" t="n"/>
      <c r="DS16" s="50" t="n"/>
      <c r="DT16" s="50" t="n"/>
      <c r="DU16" s="50" t="n"/>
      <c r="DV16" s="50" t="n"/>
      <c r="DW16" s="50" t="n"/>
      <c r="DX16" s="50" t="n"/>
      <c r="DY16" s="50" t="n"/>
      <c r="DZ16" s="50" t="n"/>
      <c r="EA16" s="50" t="n"/>
      <c r="EB16" s="50" t="n"/>
      <c r="EC16" s="50" t="n"/>
      <c r="ED16" s="50" t="n"/>
      <c r="EE16" s="50" t="n"/>
      <c r="EF16" s="50" t="n"/>
      <c r="EG16" s="50" t="n"/>
      <c r="EH16" s="50" t="n"/>
      <c r="EI16" s="50" t="n"/>
      <c r="EJ16" s="50" t="n"/>
      <c r="EK16" s="50" t="n"/>
      <c r="EL16" s="50" t="n"/>
      <c r="EM16" s="50" t="n"/>
      <c r="EN16" s="50" t="n"/>
      <c r="EO16" s="50" t="n"/>
      <c r="EP16" s="50" t="n"/>
      <c r="EQ16" s="50" t="n"/>
      <c r="ER16" s="50" t="n"/>
      <c r="ES16" s="50" t="n"/>
      <c r="ET16" s="50" t="n"/>
      <c r="EU16" s="50" t="n"/>
      <c r="EV16" s="50" t="n"/>
      <c r="EW16" s="50" t="n"/>
      <c r="EX16" s="50" t="n"/>
      <c r="EY16" s="50" t="n"/>
      <c r="EZ16" s="50" t="n"/>
      <c r="FA16" s="50" t="n"/>
      <c r="FB16" s="50" t="n"/>
      <c r="FC16" s="50" t="n"/>
      <c r="FD16" s="50" t="n"/>
      <c r="FE16" s="50" t="n"/>
      <c r="FF16" s="50" t="n"/>
      <c r="FG16" s="50" t="n"/>
      <c r="FH16" s="50" t="n"/>
      <c r="FI16" s="50" t="n"/>
      <c r="FJ16" s="50" t="n"/>
      <c r="FK16" s="50" t="n"/>
      <c r="FL16" s="50" t="n"/>
      <c r="FM16" s="50" t="n"/>
      <c r="FN16" s="50" t="n"/>
      <c r="FO16" s="50" t="n"/>
      <c r="FP16" s="50" t="n"/>
      <c r="FQ16" s="50" t="n"/>
      <c r="FR16" s="50" t="n"/>
      <c r="FS16" s="50" t="n"/>
      <c r="FT16" s="50" t="n"/>
      <c r="FU16" s="50" t="n"/>
      <c r="FV16" s="50" t="n"/>
      <c r="FW16" s="50" t="n"/>
      <c r="FX16" s="50" t="n"/>
      <c r="FY16" s="50" t="n"/>
      <c r="FZ16" s="50" t="n"/>
      <c r="GA16" s="50" t="n"/>
      <c r="GB16" s="50" t="n"/>
      <c r="GC16" s="50" t="n"/>
      <c r="GD16" s="50" t="n"/>
      <c r="GE16" s="50" t="n"/>
      <c r="GF16" s="50" t="n"/>
      <c r="GG16" s="50" t="n"/>
      <c r="GH16" s="50" t="n"/>
      <c r="GI16" s="50" t="n"/>
      <c r="GJ16" s="50" t="n"/>
      <c r="GK16" s="50" t="n"/>
      <c r="GL16" s="50" t="n"/>
      <c r="GM16" s="50" t="n"/>
      <c r="GN16" s="50" t="n"/>
      <c r="GO16" s="50" t="n"/>
      <c r="GP16" s="50" t="n"/>
      <c r="GQ16" s="50" t="n"/>
      <c r="GR16" s="50" t="n"/>
      <c r="GS16" s="50" t="n"/>
      <c r="GT16" s="50" t="n"/>
      <c r="GU16" s="50" t="n"/>
      <c r="GV16" s="50" t="n"/>
      <c r="GW16" s="50" t="n"/>
      <c r="GX16" s="50" t="n"/>
      <c r="GY16" s="50" t="n"/>
      <c r="GZ16" s="50" t="n"/>
      <c r="HA16" s="50" t="n"/>
      <c r="HB16" s="50" t="n"/>
      <c r="HC16" s="50" t="n"/>
      <c r="HD16" s="50" t="n"/>
      <c r="HE16" s="50" t="n"/>
      <c r="HF16" s="50" t="n"/>
      <c r="HG16" s="50" t="n"/>
      <c r="HH16" s="50" t="n"/>
      <c r="HI16" s="50" t="n"/>
      <c r="HJ16" s="50" t="n"/>
      <c r="HK16" s="50" t="n"/>
      <c r="HL16" s="50" t="n"/>
      <c r="HM16" s="50" t="n"/>
      <c r="HN16" s="50" t="n"/>
      <c r="HO16" s="50" t="n"/>
      <c r="HP16" s="50" t="n"/>
      <c r="HQ16" s="50" t="n"/>
      <c r="HR16" s="50" t="n"/>
      <c r="HS16" s="50" t="n"/>
      <c r="HT16" s="50" t="n"/>
      <c r="HU16" s="50" t="n"/>
      <c r="HV16" s="50" t="n"/>
      <c r="HW16" s="50" t="n"/>
      <c r="HX16" s="50" t="n"/>
      <c r="HY16" s="50" t="n"/>
      <c r="HZ16" s="50" t="n"/>
      <c r="IA16" s="50" t="n"/>
      <c r="IB16" s="50" t="n"/>
      <c r="IC16" s="50" t="n"/>
      <c r="ID16" s="50" t="n"/>
      <c r="IE16" s="50" t="n"/>
      <c r="IF16" s="50" t="n"/>
      <c r="IG16" s="50" t="n"/>
      <c r="IH16" s="50" t="n"/>
      <c r="II16" s="50" t="n"/>
      <c r="IJ16" s="50" t="n"/>
      <c r="IK16" s="50" t="n"/>
      <c r="IL16" s="50" t="n"/>
      <c r="IM16" s="50" t="n"/>
      <c r="IN16" s="50" t="n"/>
      <c r="IO16" s="50" t="n"/>
      <c r="IP16" s="50" t="n"/>
      <c r="IQ16" s="50" t="n"/>
    </row>
    <row r="17" ht="27" customHeight="1" s="322">
      <c r="A17" s="78" t="inlineStr">
        <is>
          <t>ㅣBAA중도형_안전자산</t>
        </is>
      </c>
      <c r="B17" s="252" t="n"/>
      <c r="C17" s="252" t="n"/>
      <c r="D17" s="252" t="n"/>
      <c r="E17" s="252" t="n"/>
      <c r="F17" s="252" t="n"/>
      <c r="G17" s="252" t="n"/>
      <c r="H17" s="252" t="n"/>
      <c r="I17" s="252" t="n"/>
      <c r="J17" s="252" t="n"/>
      <c r="K17" s="252" t="n"/>
      <c r="L17" s="252" t="n"/>
      <c r="M17" s="252" t="n"/>
      <c r="N17" s="252" t="n"/>
      <c r="O17" s="252" t="n"/>
      <c r="P17" s="252" t="n"/>
      <c r="Q17" s="252" t="n"/>
      <c r="R17" s="250" t="n"/>
      <c r="S17" s="250" t="n"/>
      <c r="T17" s="250" t="n"/>
      <c r="U17" s="250" t="n"/>
      <c r="V17" s="492" t="n"/>
      <c r="W17" s="492" t="n"/>
      <c r="X17" s="492" t="n"/>
      <c r="Y17" s="492" t="n"/>
      <c r="Z17" s="180" t="n"/>
      <c r="AA17" s="252" t="n"/>
      <c r="AB17" s="252" t="n"/>
      <c r="AC17" s="252" t="n"/>
      <c r="AD17" s="252" t="n"/>
      <c r="AE17" s="252" t="n"/>
      <c r="AF17" s="252" t="n"/>
      <c r="AG17" s="252" t="n"/>
      <c r="AH17" s="252" t="n"/>
      <c r="AI17" s="252" t="n"/>
      <c r="AJ17" s="252" t="n"/>
      <c r="AK17" s="252" t="n"/>
      <c r="AL17" s="252" t="n"/>
      <c r="AM17" s="252" t="n"/>
      <c r="AN17" s="252" t="n"/>
      <c r="AO17" s="252" t="n"/>
      <c r="AP17" s="252" t="n"/>
      <c r="AQ17" s="252" t="n"/>
      <c r="AR17" s="252" t="n"/>
      <c r="AS17" s="252" t="n"/>
      <c r="AT17" s="252" t="n"/>
      <c r="AU17" s="252" t="n"/>
      <c r="AV17" s="252" t="n"/>
      <c r="AW17" s="252" t="n"/>
      <c r="AX17" s="252" t="n"/>
      <c r="AY17" s="252" t="n"/>
      <c r="AZ17" s="252" t="n"/>
      <c r="BA17" s="252" t="n"/>
      <c r="BB17" s="252" t="n"/>
      <c r="BC17" s="252" t="n"/>
      <c r="BD17" s="252" t="n"/>
      <c r="BE17" s="252" t="n"/>
      <c r="BF17" s="252" t="n"/>
      <c r="BG17" s="252" t="n"/>
      <c r="BH17" s="252" t="n"/>
      <c r="BI17" s="252" t="n"/>
      <c r="BJ17" s="252" t="n"/>
      <c r="BK17" s="252" t="n"/>
      <c r="BL17" s="252" t="n"/>
      <c r="BM17" s="252" t="n"/>
      <c r="BN17" s="252" t="n"/>
      <c r="BO17" s="252" t="n"/>
      <c r="BP17" s="252" t="n"/>
      <c r="BQ17" s="252" t="n"/>
      <c r="BR17" s="252" t="n"/>
      <c r="BS17" s="252" t="n"/>
      <c r="BT17" s="252" t="n"/>
      <c r="BU17" s="252" t="n"/>
      <c r="BV17" s="252" t="n"/>
      <c r="BW17" s="252" t="n"/>
      <c r="BX17" s="252" t="n"/>
      <c r="BY17" s="252" t="n"/>
      <c r="BZ17" s="252" t="n"/>
      <c r="CA17" s="252" t="n"/>
      <c r="CB17" s="252" t="n"/>
      <c r="CC17" s="252" t="n"/>
      <c r="CD17" s="252" t="n"/>
      <c r="CE17" s="252" t="n"/>
      <c r="CF17" s="252" t="n"/>
      <c r="CG17" s="252" t="n"/>
      <c r="CH17" s="252" t="n"/>
      <c r="CI17" s="252" t="n"/>
      <c r="CJ17" s="252" t="n"/>
      <c r="CK17" s="252" t="n"/>
      <c r="CL17" s="252" t="n"/>
      <c r="CM17" s="252" t="n"/>
      <c r="CN17" s="252" t="n"/>
      <c r="CO17" s="252" t="n"/>
      <c r="CP17" s="252" t="n"/>
      <c r="CQ17" s="252" t="n"/>
      <c r="CR17" s="252" t="n"/>
      <c r="CS17" s="252" t="n"/>
      <c r="CT17" s="252" t="n"/>
      <c r="CU17" s="252" t="n"/>
      <c r="CV17" s="252" t="n"/>
      <c r="CW17" s="252" t="n"/>
      <c r="CX17" s="252" t="n"/>
      <c r="CY17" s="252" t="n"/>
      <c r="CZ17" s="252" t="n"/>
      <c r="DA17" s="252" t="n"/>
      <c r="DB17" s="252" t="n"/>
      <c r="DC17" s="252" t="n"/>
      <c r="DD17" s="252" t="n"/>
      <c r="DE17" s="252" t="n"/>
      <c r="DF17" s="252" t="n"/>
      <c r="DG17" s="252" t="n"/>
      <c r="DH17" s="252" t="n"/>
      <c r="DI17" s="252" t="n"/>
      <c r="DJ17" s="252" t="n"/>
      <c r="DK17" s="252" t="n"/>
      <c r="DL17" s="252" t="n"/>
      <c r="DM17" s="252" t="n"/>
      <c r="DN17" s="252" t="n"/>
      <c r="DO17" s="252" t="n"/>
      <c r="DP17" s="252" t="n"/>
      <c r="DQ17" s="252" t="n"/>
      <c r="DR17" s="252" t="n"/>
      <c r="DS17" s="252" t="n"/>
      <c r="DT17" s="252" t="n"/>
      <c r="DU17" s="252" t="n"/>
      <c r="DV17" s="252" t="n"/>
      <c r="DW17" s="252" t="n"/>
      <c r="DX17" s="252" t="n"/>
      <c r="DY17" s="252" t="n"/>
      <c r="DZ17" s="252" t="n"/>
      <c r="EA17" s="252" t="n"/>
      <c r="EB17" s="252" t="n"/>
      <c r="EC17" s="252" t="n"/>
      <c r="ED17" s="252" t="n"/>
      <c r="EE17" s="252" t="n"/>
      <c r="EF17" s="252" t="n"/>
      <c r="EG17" s="252" t="n"/>
      <c r="EH17" s="252" t="n"/>
      <c r="EI17" s="252" t="n"/>
      <c r="EJ17" s="252" t="n"/>
      <c r="EK17" s="252" t="n"/>
      <c r="EL17" s="252" t="n"/>
      <c r="EM17" s="252" t="n"/>
      <c r="EN17" s="252" t="n"/>
      <c r="EO17" s="252" t="n"/>
      <c r="EP17" s="252" t="n"/>
      <c r="EQ17" s="252" t="n"/>
      <c r="ER17" s="252" t="n"/>
      <c r="ES17" s="252" t="n"/>
      <c r="ET17" s="252" t="n"/>
      <c r="EU17" s="252" t="n"/>
      <c r="EV17" s="252" t="n"/>
      <c r="EW17" s="252" t="n"/>
      <c r="EX17" s="252" t="n"/>
      <c r="EY17" s="252" t="n"/>
      <c r="EZ17" s="252" t="n"/>
      <c r="FA17" s="252" t="n"/>
      <c r="FB17" s="252" t="n"/>
      <c r="FC17" s="252" t="n"/>
      <c r="FD17" s="252" t="n"/>
      <c r="FE17" s="252" t="n"/>
      <c r="FF17" s="252" t="n"/>
      <c r="FG17" s="252" t="n"/>
      <c r="FH17" s="252" t="n"/>
      <c r="FI17" s="252" t="n"/>
      <c r="FJ17" s="252" t="n"/>
      <c r="FK17" s="252" t="n"/>
      <c r="FL17" s="252" t="n"/>
      <c r="FM17" s="252" t="n"/>
      <c r="FN17" s="252" t="n"/>
      <c r="FO17" s="252" t="n"/>
      <c r="FP17" s="252" t="n"/>
      <c r="FQ17" s="252" t="n"/>
      <c r="FR17" s="252" t="n"/>
      <c r="FS17" s="252" t="n"/>
      <c r="FT17" s="252" t="n"/>
      <c r="FU17" s="252" t="n"/>
      <c r="FV17" s="252" t="n"/>
      <c r="FW17" s="252" t="n"/>
      <c r="FX17" s="252" t="n"/>
      <c r="FY17" s="252" t="n"/>
      <c r="FZ17" s="252" t="n"/>
      <c r="GA17" s="252" t="n"/>
      <c r="GB17" s="252" t="n"/>
      <c r="GC17" s="252" t="n"/>
      <c r="GD17" s="252" t="n"/>
      <c r="GE17" s="252" t="n"/>
      <c r="GF17" s="252" t="n"/>
      <c r="GG17" s="252" t="n"/>
      <c r="GH17" s="252" t="n"/>
      <c r="GI17" s="252" t="n"/>
      <c r="GJ17" s="252" t="n"/>
      <c r="GK17" s="252" t="n"/>
      <c r="GL17" s="252" t="n"/>
      <c r="GM17" s="252" t="n"/>
      <c r="GN17" s="252" t="n"/>
      <c r="GO17" s="252" t="n"/>
      <c r="GP17" s="252" t="n"/>
      <c r="GQ17" s="252" t="n"/>
      <c r="GR17" s="252" t="n"/>
      <c r="GS17" s="252" t="n"/>
      <c r="GT17" s="252" t="n"/>
      <c r="GU17" s="252" t="n"/>
      <c r="GV17" s="252" t="n"/>
      <c r="GW17" s="252" t="n"/>
      <c r="GX17" s="252" t="n"/>
      <c r="GY17" s="252" t="n"/>
      <c r="GZ17" s="252" t="n"/>
      <c r="HA17" s="252" t="n"/>
      <c r="HB17" s="252" t="n"/>
      <c r="HC17" s="252" t="n"/>
      <c r="HD17" s="252" t="n"/>
      <c r="HE17" s="252" t="n"/>
      <c r="HF17" s="252" t="n"/>
      <c r="HG17" s="252" t="n"/>
      <c r="HH17" s="252" t="n"/>
      <c r="HI17" s="252" t="n"/>
      <c r="HJ17" s="252" t="n"/>
      <c r="HK17" s="252" t="n"/>
      <c r="HL17" s="252" t="n"/>
      <c r="HM17" s="252" t="n"/>
      <c r="HN17" s="252" t="n"/>
      <c r="HO17" s="252" t="n"/>
      <c r="HP17" s="252" t="n"/>
      <c r="HQ17" s="252" t="n"/>
      <c r="HR17" s="252" t="n"/>
      <c r="HS17" s="252" t="n"/>
      <c r="HT17" s="252" t="n"/>
      <c r="HU17" s="252" t="n"/>
      <c r="HV17" s="252" t="n"/>
      <c r="HW17" s="252" t="n"/>
      <c r="HX17" s="252" t="n"/>
      <c r="HY17" s="252" t="n"/>
      <c r="HZ17" s="252" t="n"/>
      <c r="IA17" s="252" t="n"/>
      <c r="IB17" s="252" t="n"/>
      <c r="IC17" s="252" t="n"/>
      <c r="ID17" s="252" t="n"/>
      <c r="IE17" s="252" t="n"/>
      <c r="IF17" s="252" t="n"/>
      <c r="IG17" s="252" t="n"/>
      <c r="IH17" s="252" t="n"/>
      <c r="II17" s="252" t="n"/>
      <c r="IJ17" s="252" t="n"/>
      <c r="IK17" s="252" t="n"/>
      <c r="IL17" s="252" t="n"/>
      <c r="IM17" s="252" t="n"/>
      <c r="IN17" s="252" t="n"/>
      <c r="IO17" s="252" t="n"/>
      <c r="IP17" s="252" t="n"/>
      <c r="IQ17" s="252" t="n"/>
    </row>
    <row r="18" ht="27" customHeight="1" s="322">
      <c r="A18" s="253" t="inlineStr">
        <is>
          <t>구간</t>
        </is>
      </c>
      <c r="B18" s="121" t="inlineStr">
        <is>
          <t>현재</t>
        </is>
      </c>
      <c r="C18" s="121" t="inlineStr">
        <is>
          <t>전 날</t>
        </is>
      </c>
      <c r="D18" s="121" t="inlineStr">
        <is>
          <t>1개월 전</t>
        </is>
      </c>
      <c r="E18" s="121" t="inlineStr">
        <is>
          <t>2개월 전</t>
        </is>
      </c>
      <c r="F18" s="121" t="inlineStr">
        <is>
          <t>3개월 전</t>
        </is>
      </c>
      <c r="G18" s="121" t="inlineStr">
        <is>
          <t>4개월 전</t>
        </is>
      </c>
      <c r="H18" s="121" t="inlineStr">
        <is>
          <t>5개월 전</t>
        </is>
      </c>
      <c r="I18" s="121" t="inlineStr">
        <is>
          <t>6개월 전</t>
        </is>
      </c>
      <c r="J18" s="121" t="inlineStr">
        <is>
          <t>7개월 전</t>
        </is>
      </c>
      <c r="K18" s="121" t="inlineStr">
        <is>
          <t>8개월 전</t>
        </is>
      </c>
      <c r="L18" s="121" t="inlineStr">
        <is>
          <t>9개월 전</t>
        </is>
      </c>
      <c r="M18" s="121" t="inlineStr">
        <is>
          <t>10개월 전</t>
        </is>
      </c>
      <c r="N18" s="121" t="inlineStr">
        <is>
          <t>11개월 전</t>
        </is>
      </c>
      <c r="O18" s="121" t="inlineStr">
        <is>
          <t>12개월 전</t>
        </is>
      </c>
      <c r="P18" s="254" t="inlineStr">
        <is>
          <t>12개월 이동평균</t>
        </is>
      </c>
      <c r="Q18" s="255" t="inlineStr">
        <is>
          <t>현재가격/12개월 이동평균</t>
        </is>
      </c>
      <c r="R18" s="269" t="inlineStr">
        <is>
          <t>1개월 수익률</t>
        </is>
      </c>
      <c r="S18" s="269" t="inlineStr">
        <is>
          <t>3개월 수익률</t>
        </is>
      </c>
      <c r="T18" s="269" t="inlineStr">
        <is>
          <t>6개월 수익률</t>
        </is>
      </c>
      <c r="U18" s="269" t="inlineStr">
        <is>
          <t>최근 1년 수익률</t>
        </is>
      </c>
      <c r="V18" s="121" t="inlineStr">
        <is>
          <t>1개월 수익률*12</t>
        </is>
      </c>
      <c r="W18" s="121" t="inlineStr">
        <is>
          <t>3개월 수익률*4</t>
        </is>
      </c>
      <c r="X18" s="121" t="inlineStr">
        <is>
          <t>6개월 수익률*2</t>
        </is>
      </c>
      <c r="Y18" s="121" t="inlineStr">
        <is>
          <t>12개월 수익률*1</t>
        </is>
      </c>
      <c r="Z18" s="124" t="inlineStr">
        <is>
          <t>모멘텀 스코어</t>
        </is>
      </c>
      <c r="AA18" s="256" t="n"/>
      <c r="AB18" s="256" t="n"/>
      <c r="AC18" s="256" t="n"/>
      <c r="AD18" s="256" t="n"/>
      <c r="AE18" s="256" t="n"/>
      <c r="AF18" s="256" t="n"/>
      <c r="AG18" s="256" t="n"/>
      <c r="AH18" s="256" t="n"/>
      <c r="AI18" s="256" t="n"/>
      <c r="AJ18" s="256" t="n"/>
      <c r="AK18" s="256" t="n"/>
      <c r="AL18" s="256" t="n"/>
      <c r="AM18" s="256" t="n"/>
      <c r="AN18" s="256" t="n"/>
      <c r="AO18" s="256" t="n"/>
      <c r="AP18" s="256" t="n"/>
      <c r="AQ18" s="256" t="n"/>
      <c r="AR18" s="256" t="n"/>
      <c r="AS18" s="256" t="n"/>
      <c r="AT18" s="256" t="n"/>
      <c r="AU18" s="256" t="n"/>
      <c r="AV18" s="256" t="n"/>
      <c r="AW18" s="256" t="n"/>
      <c r="AX18" s="256" t="n"/>
      <c r="AY18" s="256" t="n"/>
      <c r="AZ18" s="256" t="n"/>
      <c r="BA18" s="256" t="n"/>
      <c r="BB18" s="256" t="n"/>
      <c r="BC18" s="256" t="n"/>
      <c r="BD18" s="256" t="n"/>
      <c r="BE18" s="256" t="n"/>
      <c r="BF18" s="256" t="n"/>
      <c r="BG18" s="256" t="n"/>
      <c r="BH18" s="256" t="n"/>
      <c r="BI18" s="256" t="n"/>
      <c r="BJ18" s="256" t="n"/>
      <c r="BK18" s="256" t="n"/>
      <c r="BL18" s="256" t="n"/>
      <c r="BM18" s="256" t="n"/>
      <c r="BN18" s="256" t="n"/>
      <c r="BO18" s="256" t="n"/>
      <c r="BP18" s="256" t="n"/>
      <c r="BQ18" s="256" t="n"/>
      <c r="BR18" s="256" t="n"/>
      <c r="BS18" s="256" t="n"/>
      <c r="BT18" s="256" t="n"/>
      <c r="BU18" s="256" t="n"/>
      <c r="BV18" s="256" t="n"/>
      <c r="BW18" s="256" t="n"/>
      <c r="BX18" s="256" t="n"/>
      <c r="BY18" s="256" t="n"/>
      <c r="BZ18" s="256" t="n"/>
      <c r="CA18" s="256" t="n"/>
      <c r="CB18" s="256" t="n"/>
      <c r="CC18" s="256" t="n"/>
      <c r="CD18" s="256" t="n"/>
      <c r="CE18" s="256" t="n"/>
      <c r="CF18" s="256" t="n"/>
      <c r="CG18" s="256" t="n"/>
      <c r="CH18" s="256" t="n"/>
      <c r="CI18" s="256" t="n"/>
      <c r="CJ18" s="256" t="n"/>
      <c r="CK18" s="256" t="n"/>
      <c r="CL18" s="256" t="n"/>
      <c r="CM18" s="256" t="n"/>
      <c r="CN18" s="256" t="n"/>
      <c r="CO18" s="256" t="n"/>
      <c r="CP18" s="256" t="n"/>
      <c r="CQ18" s="256" t="n"/>
      <c r="CR18" s="256" t="n"/>
      <c r="CS18" s="256" t="n"/>
      <c r="CT18" s="256" t="n"/>
      <c r="CU18" s="256" t="n"/>
      <c r="CV18" s="256" t="n"/>
      <c r="CW18" s="256" t="n"/>
      <c r="CX18" s="256" t="n"/>
      <c r="CY18" s="256" t="n"/>
      <c r="CZ18" s="256" t="n"/>
      <c r="DA18" s="256" t="n"/>
      <c r="DB18" s="256" t="n"/>
      <c r="DC18" s="256" t="n"/>
      <c r="DD18" s="256" t="n"/>
      <c r="DE18" s="256" t="n"/>
      <c r="DF18" s="256" t="n"/>
      <c r="DG18" s="256" t="n"/>
      <c r="DH18" s="256" t="n"/>
      <c r="DI18" s="256" t="n"/>
      <c r="DJ18" s="256" t="n"/>
      <c r="DK18" s="256" t="n"/>
      <c r="DL18" s="256" t="n"/>
      <c r="DM18" s="256" t="n"/>
      <c r="DN18" s="256" t="n"/>
      <c r="DO18" s="256" t="n"/>
      <c r="DP18" s="256" t="n"/>
      <c r="DQ18" s="256" t="n"/>
      <c r="DR18" s="256" t="n"/>
      <c r="DS18" s="256" t="n"/>
      <c r="DT18" s="256" t="n"/>
      <c r="DU18" s="256" t="n"/>
      <c r="DV18" s="256" t="n"/>
      <c r="DW18" s="256" t="n"/>
      <c r="DX18" s="256" t="n"/>
      <c r="DY18" s="256" t="n"/>
      <c r="DZ18" s="256" t="n"/>
      <c r="EA18" s="256" t="n"/>
      <c r="EB18" s="256" t="n"/>
      <c r="EC18" s="256" t="n"/>
      <c r="ED18" s="256" t="n"/>
      <c r="EE18" s="256" t="n"/>
      <c r="EF18" s="256" t="n"/>
      <c r="EG18" s="256" t="n"/>
      <c r="EH18" s="256" t="n"/>
      <c r="EI18" s="256" t="n"/>
      <c r="EJ18" s="256" t="n"/>
      <c r="EK18" s="256" t="n"/>
      <c r="EL18" s="256" t="n"/>
      <c r="EM18" s="256" t="n"/>
      <c r="EN18" s="256" t="n"/>
      <c r="EO18" s="256" t="n"/>
      <c r="EP18" s="256" t="n"/>
      <c r="EQ18" s="256" t="n"/>
      <c r="ER18" s="256" t="n"/>
      <c r="ES18" s="256" t="n"/>
      <c r="ET18" s="256" t="n"/>
      <c r="EU18" s="256" t="n"/>
      <c r="EV18" s="256" t="n"/>
      <c r="EW18" s="256" t="n"/>
      <c r="EX18" s="256" t="n"/>
      <c r="EY18" s="256" t="n"/>
      <c r="EZ18" s="256" t="n"/>
      <c r="FA18" s="256" t="n"/>
      <c r="FB18" s="256" t="n"/>
      <c r="FC18" s="256" t="n"/>
      <c r="FD18" s="256" t="n"/>
      <c r="FE18" s="256" t="n"/>
      <c r="FF18" s="256" t="n"/>
      <c r="FG18" s="256" t="n"/>
      <c r="FH18" s="256" t="n"/>
      <c r="FI18" s="256" t="n"/>
      <c r="FJ18" s="256" t="n"/>
      <c r="FK18" s="256" t="n"/>
      <c r="FL18" s="256" t="n"/>
      <c r="FM18" s="256" t="n"/>
      <c r="FN18" s="256" t="n"/>
      <c r="FO18" s="256" t="n"/>
      <c r="FP18" s="256" t="n"/>
      <c r="FQ18" s="256" t="n"/>
      <c r="FR18" s="256" t="n"/>
      <c r="FS18" s="256" t="n"/>
      <c r="FT18" s="256" t="n"/>
      <c r="FU18" s="256" t="n"/>
      <c r="FV18" s="256" t="n"/>
      <c r="FW18" s="256" t="n"/>
      <c r="FX18" s="256" t="n"/>
      <c r="FY18" s="256" t="n"/>
      <c r="FZ18" s="256" t="n"/>
      <c r="GA18" s="256" t="n"/>
      <c r="GB18" s="256" t="n"/>
      <c r="GC18" s="256" t="n"/>
      <c r="GD18" s="256" t="n"/>
      <c r="GE18" s="256" t="n"/>
      <c r="GF18" s="256" t="n"/>
      <c r="GG18" s="256" t="n"/>
      <c r="GH18" s="256" t="n"/>
      <c r="GI18" s="256" t="n"/>
      <c r="GJ18" s="256" t="n"/>
      <c r="GK18" s="256" t="n"/>
      <c r="GL18" s="256" t="n"/>
      <c r="GM18" s="256" t="n"/>
      <c r="GN18" s="256" t="n"/>
      <c r="GO18" s="256" t="n"/>
      <c r="GP18" s="256" t="n"/>
      <c r="GQ18" s="256" t="n"/>
      <c r="GR18" s="256" t="n"/>
      <c r="GS18" s="256" t="n"/>
      <c r="GT18" s="256" t="n"/>
      <c r="GU18" s="256" t="n"/>
      <c r="GV18" s="256" t="n"/>
      <c r="GW18" s="256" t="n"/>
      <c r="GX18" s="256" t="n"/>
      <c r="GY18" s="256" t="n"/>
      <c r="GZ18" s="256" t="n"/>
      <c r="HA18" s="256" t="n"/>
      <c r="HB18" s="256" t="n"/>
      <c r="HC18" s="256" t="n"/>
      <c r="HD18" s="256" t="n"/>
      <c r="HE18" s="256" t="n"/>
      <c r="HF18" s="256" t="n"/>
      <c r="HG18" s="256" t="n"/>
      <c r="HH18" s="256" t="n"/>
      <c r="HI18" s="256" t="n"/>
      <c r="HJ18" s="256" t="n"/>
      <c r="HK18" s="256" t="n"/>
      <c r="HL18" s="256" t="n"/>
      <c r="HM18" s="256" t="n"/>
      <c r="HN18" s="256" t="n"/>
      <c r="HO18" s="256" t="n"/>
      <c r="HP18" s="256" t="n"/>
      <c r="HQ18" s="256" t="n"/>
      <c r="HR18" s="256" t="n"/>
      <c r="HS18" s="256" t="n"/>
      <c r="HT18" s="256" t="n"/>
      <c r="HU18" s="256" t="n"/>
      <c r="HV18" s="256" t="n"/>
      <c r="HW18" s="256" t="n"/>
      <c r="HX18" s="256" t="n"/>
      <c r="HY18" s="256" t="n"/>
      <c r="HZ18" s="256" t="n"/>
      <c r="IA18" s="256" t="n"/>
      <c r="IB18" s="256" t="n"/>
      <c r="IC18" s="256" t="n"/>
      <c r="ID18" s="256" t="n"/>
      <c r="IE18" s="256" t="n"/>
      <c r="IF18" s="256" t="n"/>
      <c r="IG18" s="256" t="n"/>
      <c r="IH18" s="256" t="n"/>
      <c r="II18" s="256" t="n"/>
      <c r="IJ18" s="256" t="n"/>
      <c r="IK18" s="256" t="n"/>
      <c r="IL18" s="256" t="n"/>
      <c r="IM18" s="256" t="n"/>
      <c r="IN18" s="256" t="n"/>
      <c r="IO18" s="256" t="n"/>
      <c r="IP18" s="256" t="n"/>
      <c r="IQ18" s="256" t="n"/>
    </row>
    <row r="19" ht="13.5" customHeight="1" s="322">
      <c r="A19" s="257">
        <f>관심종목!D27</f>
        <v/>
      </c>
      <c r="B19" s="493">
        <f>관심종목!H27</f>
        <v/>
      </c>
      <c r="C19" s="259">
        <f>VLOOKUP(C1,LQD!$B$27:$G$278,5,1)</f>
        <v/>
      </c>
      <c r="D19" s="259">
        <f>VLOOKUP($D$1,LQD!$B$27:$G$278,5,1)</f>
        <v/>
      </c>
      <c r="E19" s="259">
        <f>VLOOKUP(E1,LQD!$B$27:$G$278,5,1)</f>
        <v/>
      </c>
      <c r="F19" s="259">
        <f>VLOOKUP(F1,LQD!$B$27:$G$278,5,1)</f>
        <v/>
      </c>
      <c r="G19" s="259">
        <f>VLOOKUP(G1,LQD!$B$27:$G$278,5,1)</f>
        <v/>
      </c>
      <c r="H19" s="259">
        <f>VLOOKUP(H1,LQD!$B$27:$G$278,5,1)</f>
        <v/>
      </c>
      <c r="I19" s="259">
        <f>VLOOKUP(I1,LQD!$B$27:$G$278,5,1)</f>
        <v/>
      </c>
      <c r="J19" s="259">
        <f>VLOOKUP(J1,LQD!$B$27:$G$278,5,1)</f>
        <v/>
      </c>
      <c r="K19" s="259">
        <f>VLOOKUP(K1,LQD!$B$27:$G$278,5,1)</f>
        <v/>
      </c>
      <c r="L19" s="259">
        <f>VLOOKUP(L1,LQD!$B$27:$G$278,5,1)</f>
        <v/>
      </c>
      <c r="M19" s="259">
        <f>VLOOKUP(M1,LQD!$B$27:$G$278,5,1)</f>
        <v/>
      </c>
      <c r="N19" s="259">
        <f>VLOOKUP(N1,LQD!$B$27:$G$278,5,1)</f>
        <v/>
      </c>
      <c r="O19" s="259">
        <f>VLOOKUP(O1,LQD!$B$27:$G$278,5,1)</f>
        <v/>
      </c>
      <c r="P19" s="260">
        <f>AVERAGE(D19:O19)</f>
        <v/>
      </c>
      <c r="Q19" s="261">
        <f>B19/P19</f>
        <v/>
      </c>
      <c r="R19" s="168">
        <f>(B19/D19)-1</f>
        <v/>
      </c>
      <c r="S19" s="168">
        <f>(B19/F19)-1</f>
        <v/>
      </c>
      <c r="T19" s="168">
        <f>(B19/I19)-1</f>
        <v/>
      </c>
      <c r="U19" s="168">
        <f>(B19/O19)-1</f>
        <v/>
      </c>
      <c r="V19" s="489">
        <f>R19*12</f>
        <v/>
      </c>
      <c r="W19" s="489">
        <f>S19*12</f>
        <v/>
      </c>
      <c r="X19" s="489">
        <f>T19*2</f>
        <v/>
      </c>
      <c r="Y19" s="489">
        <f>U19*1</f>
        <v/>
      </c>
      <c r="Z19" s="180">
        <f>SUM(V19:Y19)</f>
        <v/>
      </c>
    </row>
    <row r="20" ht="13.5" customHeight="1" s="322">
      <c r="A20" s="257">
        <f>관심종목!D28</f>
        <v/>
      </c>
      <c r="B20" s="493">
        <f>관심종목!H28</f>
        <v/>
      </c>
      <c r="C20" s="259">
        <f>VLOOKUP(C1,IEF!$B$27:$G$278,5,1)</f>
        <v/>
      </c>
      <c r="D20" s="259">
        <f>VLOOKUP(D1,IEF!$B$27:$G$278,5,1)</f>
        <v/>
      </c>
      <c r="E20" s="259">
        <f>VLOOKUP(E1,IEF!$B$27:$G$278,5,1)</f>
        <v/>
      </c>
      <c r="F20" s="259">
        <f>VLOOKUP(F1,IEF!$B$27:$G$278,5,1)</f>
        <v/>
      </c>
      <c r="G20" s="259">
        <f>VLOOKUP(G1,IEF!$B$27:$G$278,5,1)</f>
        <v/>
      </c>
      <c r="H20" s="259">
        <f>VLOOKUP(H1,IEF!$B$27:$G$278,5,1)</f>
        <v/>
      </c>
      <c r="I20" s="259">
        <f>VLOOKUP(I1,IEF!$B$27:$G$278,5,1)</f>
        <v/>
      </c>
      <c r="J20" s="259">
        <f>VLOOKUP(J1,IEF!$B$27:$G$278,5,1)</f>
        <v/>
      </c>
      <c r="K20" s="259">
        <f>VLOOKUP(K1,IEF!$B$27:$G$278,5,1)</f>
        <v/>
      </c>
      <c r="L20" s="259">
        <f>VLOOKUP(L1,IEF!$B$27:$G$278,5,1)</f>
        <v/>
      </c>
      <c r="M20" s="259">
        <f>VLOOKUP(M1,IEF!$B$27:$G$278,5,1)</f>
        <v/>
      </c>
      <c r="N20" s="259">
        <f>VLOOKUP(N1,IEF!$B$27:$G$278,5,1)</f>
        <v/>
      </c>
      <c r="O20" s="259">
        <f>VLOOKUP(O1,IEF!$B$27:$G$278,5,1)</f>
        <v/>
      </c>
      <c r="P20" s="260">
        <f>AVERAGE(A20:N20)</f>
        <v/>
      </c>
      <c r="Q20" s="261">
        <f>B20/P20</f>
        <v/>
      </c>
      <c r="R20" s="168">
        <f>(B20/D20)-1</f>
        <v/>
      </c>
      <c r="S20" s="168">
        <f>(B20/F20)-1</f>
        <v/>
      </c>
      <c r="T20" s="168">
        <f>(B20/I20)-1</f>
        <v/>
      </c>
      <c r="U20" s="168">
        <f>(B20/O20)-1</f>
        <v/>
      </c>
      <c r="V20" s="489">
        <f>R20*12</f>
        <v/>
      </c>
      <c r="W20" s="489">
        <f>S20*4</f>
        <v/>
      </c>
      <c r="X20" s="489">
        <f>T20*2</f>
        <v/>
      </c>
      <c r="Y20" s="489">
        <f>U20*1</f>
        <v/>
      </c>
      <c r="Z20" s="180">
        <f>SUM(V20:Y20)</f>
        <v/>
      </c>
    </row>
    <row r="21" ht="13.5" customHeight="1" s="322">
      <c r="A21" s="257">
        <f>관심종목!D29</f>
        <v/>
      </c>
      <c r="B21" s="493">
        <f>관심종목!H29</f>
        <v/>
      </c>
      <c r="C21" s="259">
        <f>VLOOKUP(C1,BIL!$B$27:$G$278,5,1)</f>
        <v/>
      </c>
      <c r="D21" s="259">
        <f>VLOOKUP(D1,BIL!$B$27:$G$278,5,1)</f>
        <v/>
      </c>
      <c r="E21" s="259">
        <f>VLOOKUP(E1,BIL!$B$27:$G$278,5,1)</f>
        <v/>
      </c>
      <c r="F21" s="259">
        <f>VLOOKUP(F1,BIL!$B$27:$G$278,5,1)</f>
        <v/>
      </c>
      <c r="G21" s="259">
        <f>VLOOKUP(G1,BIL!$B$27:$G$278,5,1)</f>
        <v/>
      </c>
      <c r="H21" s="259">
        <f>VLOOKUP(H1,BIL!$B$27:$G$278,5,1)</f>
        <v/>
      </c>
      <c r="I21" s="259">
        <f>VLOOKUP(I1,BIL!$B$27:$G$278,5,1)</f>
        <v/>
      </c>
      <c r="J21" s="259">
        <f>VLOOKUP(J1,BIL!$B$27:$G$278,5,1)</f>
        <v/>
      </c>
      <c r="K21" s="259">
        <f>VLOOKUP(K1,BIL!$B$27:$G$278,5,1)</f>
        <v/>
      </c>
      <c r="L21" s="259">
        <f>VLOOKUP(L1,BIL!$B$27:$G$278,5,1)</f>
        <v/>
      </c>
      <c r="M21" s="259">
        <f>VLOOKUP(M1,BIL!$B$27:$G$278,5,1)</f>
        <v/>
      </c>
      <c r="N21" s="259">
        <f>VLOOKUP(N1,BIL!$B$27:$G$278,5,1)</f>
        <v/>
      </c>
      <c r="O21" s="259">
        <f>VLOOKUP(O1,BIL!$B$27:$G$278,5,1)</f>
        <v/>
      </c>
      <c r="P21" s="260">
        <f>AVERAGE(A21:N21)</f>
        <v/>
      </c>
      <c r="Q21" s="261">
        <f>B21/P21</f>
        <v/>
      </c>
      <c r="R21" s="168">
        <f>(B21/D21)-1</f>
        <v/>
      </c>
      <c r="S21" s="168">
        <f>(B21/F21)-1</f>
        <v/>
      </c>
      <c r="T21" s="168">
        <f>(B21/I21)-1</f>
        <v/>
      </c>
      <c r="U21" s="168">
        <f>(B21/O21)-1</f>
        <v/>
      </c>
      <c r="V21" s="489">
        <f>R21*12</f>
        <v/>
      </c>
      <c r="W21" s="489">
        <f>S21*4</f>
        <v/>
      </c>
      <c r="X21" s="489">
        <f>T21*2</f>
        <v/>
      </c>
      <c r="Y21" s="489">
        <f>U21*1</f>
        <v/>
      </c>
      <c r="Z21" s="180">
        <f>SUM(V21:Y21)</f>
        <v/>
      </c>
    </row>
    <row r="22" ht="13.5" customHeight="1" s="322">
      <c r="A22" s="257">
        <f>관심종목!D30</f>
        <v/>
      </c>
      <c r="B22" s="493">
        <f>관심종목!H30</f>
        <v/>
      </c>
      <c r="C22" s="259">
        <f>VLOOKUP(C1,TLT!$B$27:$G$278,5,1)</f>
        <v/>
      </c>
      <c r="D22" s="259">
        <f>VLOOKUP(D1,TLT!$B$27:$G$278,5,1)</f>
        <v/>
      </c>
      <c r="E22" s="259">
        <f>VLOOKUP(E1,TLT!$B$27:$G$278,5,1)</f>
        <v/>
      </c>
      <c r="F22" s="259">
        <f>VLOOKUP(F1,TLT!$B$27:$G$278,5,1)</f>
        <v/>
      </c>
      <c r="G22" s="259">
        <f>VLOOKUP(G1,TLT!$B$27:$G$278,5,1)</f>
        <v/>
      </c>
      <c r="H22" s="259">
        <f>VLOOKUP(H1,TLT!$B$27:$G$278,5,1)</f>
        <v/>
      </c>
      <c r="I22" s="259">
        <f>VLOOKUP(I1,TLT!$B$27:$G$278,5,1)</f>
        <v/>
      </c>
      <c r="J22" s="259">
        <f>VLOOKUP(J1,TLT!$B$27:$G$278,5,1)</f>
        <v/>
      </c>
      <c r="K22" s="259">
        <f>VLOOKUP(K1,TLT!$B$27:$G$278,5,1)</f>
        <v/>
      </c>
      <c r="L22" s="259">
        <f>VLOOKUP(L1,TLT!$B$27:$G$278,5,1)</f>
        <v/>
      </c>
      <c r="M22" s="259">
        <f>VLOOKUP(M1,TLT!$B$27:$G$278,5,1)</f>
        <v/>
      </c>
      <c r="N22" s="259">
        <f>VLOOKUP(N1,TLT!$B$27:$G$278,5,1)</f>
        <v/>
      </c>
      <c r="O22" s="259">
        <f>VLOOKUP(O1,TLT!$B$27:$G$278,5,1)</f>
        <v/>
      </c>
      <c r="P22" s="260">
        <f>AVERAGE(A22:N22)</f>
        <v/>
      </c>
      <c r="Q22" s="261">
        <f>B22/P22</f>
        <v/>
      </c>
      <c r="R22" s="168">
        <f>(B22/D22)-1</f>
        <v/>
      </c>
      <c r="S22" s="168">
        <f>(B22/F22)-1</f>
        <v/>
      </c>
      <c r="T22" s="168">
        <f>(B22/I22)-1</f>
        <v/>
      </c>
      <c r="U22" s="168">
        <f>(B22/O22)-1</f>
        <v/>
      </c>
      <c r="V22" s="489">
        <f>R22*12</f>
        <v/>
      </c>
      <c r="W22" s="489">
        <f>S22*4</f>
        <v/>
      </c>
      <c r="X22" s="489">
        <f>T22*2</f>
        <v/>
      </c>
      <c r="Y22" s="489">
        <f>U22*1</f>
        <v/>
      </c>
      <c r="Z22" s="180">
        <f>SUM(V22:Y22)</f>
        <v/>
      </c>
    </row>
    <row r="23" ht="13.5" customHeight="1" s="322">
      <c r="A23" s="257">
        <f>관심종목!D31</f>
        <v/>
      </c>
      <c r="B23" s="493">
        <f>관심종목!H31</f>
        <v/>
      </c>
      <c r="C23" s="259">
        <f>VLOOKUP(C1,TIP!$B$27:$G$278,5,1)</f>
        <v/>
      </c>
      <c r="D23" s="259">
        <f>VLOOKUP(D1,TIP!$B$27:$G$278,5,1)</f>
        <v/>
      </c>
      <c r="E23" s="259">
        <f>VLOOKUP(E1,TIP!$B$27:$G$278,5,1)</f>
        <v/>
      </c>
      <c r="F23" s="259">
        <f>VLOOKUP(F1,TIP!$B$27:$G$278,5,1)</f>
        <v/>
      </c>
      <c r="G23" s="259">
        <f>VLOOKUP(G1,TIP!$B$27:$G$278,5,1)</f>
        <v/>
      </c>
      <c r="H23" s="259">
        <f>VLOOKUP(H1,TIP!$B$27:$G$278,5,1)</f>
        <v/>
      </c>
      <c r="I23" s="259">
        <f>VLOOKUP(I1,TIP!$B$27:$G$278,5,1)</f>
        <v/>
      </c>
      <c r="J23" s="259">
        <f>VLOOKUP(J1,TIP!$B$27:$G$278,5,1)</f>
        <v/>
      </c>
      <c r="K23" s="259">
        <f>VLOOKUP(K1,TIP!$B$27:$G$278,5,1)</f>
        <v/>
      </c>
      <c r="L23" s="259">
        <f>VLOOKUP(L1,TIP!$B$27:$G$278,5,1)</f>
        <v/>
      </c>
      <c r="M23" s="259">
        <f>VLOOKUP(M1,TIP!$B$27:$G$278,5,1)</f>
        <v/>
      </c>
      <c r="N23" s="259">
        <f>VLOOKUP(N1,TIP!$B$27:$G$278,5,1)</f>
        <v/>
      </c>
      <c r="O23" s="259">
        <f>VLOOKUP(O1,TIP!$B$27:$G$278,5,1)</f>
        <v/>
      </c>
      <c r="P23" s="260">
        <f>AVERAGE(A23:N23)</f>
        <v/>
      </c>
      <c r="Q23" s="261">
        <f>B23/P23</f>
        <v/>
      </c>
      <c r="R23" s="168">
        <f>(B23/D23)-1</f>
        <v/>
      </c>
      <c r="S23" s="168">
        <f>(B23/F23)-1</f>
        <v/>
      </c>
      <c r="T23" s="168">
        <f>(B23/I23)-1</f>
        <v/>
      </c>
      <c r="U23" s="168">
        <f>(B23/O23)-1</f>
        <v/>
      </c>
      <c r="V23" s="489">
        <f>R23*12</f>
        <v/>
      </c>
      <c r="W23" s="489">
        <f>S23*4</f>
        <v/>
      </c>
      <c r="X23" s="489">
        <f>T23*2</f>
        <v/>
      </c>
      <c r="Y23" s="489">
        <f>U23*1</f>
        <v/>
      </c>
      <c r="Z23" s="180">
        <f>SUM(V23:Y23)</f>
        <v/>
      </c>
    </row>
    <row r="24" ht="13.5" customHeight="1" s="322">
      <c r="A24" s="257">
        <f>관심종목!D32</f>
        <v/>
      </c>
      <c r="B24" s="493">
        <f>관심종목!H32</f>
        <v/>
      </c>
      <c r="C24" s="259">
        <f>VLOOKUP(C1,BND!$B$27:$G$278,5,1)</f>
        <v/>
      </c>
      <c r="D24" s="259">
        <f>VLOOKUP(D1,BND!$B$27:$G$278,5,1)</f>
        <v/>
      </c>
      <c r="E24" s="259">
        <f>VLOOKUP(E1,BND!$B$27:$G$278,5,1)</f>
        <v/>
      </c>
      <c r="F24" s="259">
        <f>VLOOKUP(F1,BND!$B$27:$G$278,5,1)</f>
        <v/>
      </c>
      <c r="G24" s="259">
        <f>VLOOKUP(G1,BND!$B$27:$G$278,5,1)</f>
        <v/>
      </c>
      <c r="H24" s="259">
        <f>VLOOKUP(H1,BND!$B$27:$G$278,5,1)</f>
        <v/>
      </c>
      <c r="I24" s="259">
        <f>VLOOKUP(I1,BND!$B$27:$G$278,5,1)</f>
        <v/>
      </c>
      <c r="J24" s="259">
        <f>VLOOKUP(J1,BND!$B$27:$G$278,5,1)</f>
        <v/>
      </c>
      <c r="K24" s="259">
        <f>VLOOKUP(K1,BND!$B$27:$G$278,5,1)</f>
        <v/>
      </c>
      <c r="L24" s="259">
        <f>VLOOKUP(L1,BND!$B$27:$G$278,5,1)</f>
        <v/>
      </c>
      <c r="M24" s="259">
        <f>VLOOKUP(M1,BND!$B$27:$G$278,5,1)</f>
        <v/>
      </c>
      <c r="N24" s="259">
        <f>VLOOKUP(N1,BND!$B$27:$G$278,5,1)</f>
        <v/>
      </c>
      <c r="O24" s="259">
        <f>VLOOKUP(O1,BND!$B$27:$G$278,5,1)</f>
        <v/>
      </c>
      <c r="P24" s="260">
        <f>AVERAGE(A24:N24)</f>
        <v/>
      </c>
      <c r="Q24" s="261">
        <f>B24/P24</f>
        <v/>
      </c>
      <c r="R24" s="168">
        <f>(B24/D24)-1</f>
        <v/>
      </c>
      <c r="S24" s="168">
        <f>(B24/F24)-1</f>
        <v/>
      </c>
      <c r="T24" s="168">
        <f>(B24/I24)-1</f>
        <v/>
      </c>
      <c r="U24" s="168">
        <f>(B24/O24)-1</f>
        <v/>
      </c>
      <c r="V24" s="489">
        <f>R24*12</f>
        <v/>
      </c>
      <c r="W24" s="489">
        <f>S24*4</f>
        <v/>
      </c>
      <c r="X24" s="489">
        <f>T24*2</f>
        <v/>
      </c>
      <c r="Y24" s="489">
        <f>U24*1</f>
        <v/>
      </c>
      <c r="Z24" s="180">
        <f>SUM(V24:Y24)</f>
        <v/>
      </c>
    </row>
    <row r="25" ht="13.5" customHeight="1" s="322">
      <c r="A25" s="262">
        <f>관심종목!D33</f>
        <v/>
      </c>
      <c r="B25" s="494">
        <f>관심종목!H33</f>
        <v/>
      </c>
      <c r="C25" s="264">
        <f>VLOOKUP(C1,DBC!$B$27:$G$278,5,1)</f>
        <v/>
      </c>
      <c r="D25" s="264">
        <f>VLOOKUP(D1,DBC!$B$27:$G$278,5,1)</f>
        <v/>
      </c>
      <c r="E25" s="264">
        <f>VLOOKUP(E1,DBC!$B$27:$G$278,5,1)</f>
        <v/>
      </c>
      <c r="F25" s="264">
        <f>VLOOKUP(F1,DBC!$B$27:$G$278,5,1)</f>
        <v/>
      </c>
      <c r="G25" s="264">
        <f>VLOOKUP(G1,DBC!$B$27:$G$278,5,1)</f>
        <v/>
      </c>
      <c r="H25" s="264">
        <f>VLOOKUP(H1,DBC!$B$27:$G$278,5,1)</f>
        <v/>
      </c>
      <c r="I25" s="264">
        <f>VLOOKUP(I1,DBC!$B$27:$G$278,5,1)</f>
        <v/>
      </c>
      <c r="J25" s="264">
        <f>VLOOKUP(J1,DBC!$B$27:$G$278,5,1)</f>
        <v/>
      </c>
      <c r="K25" s="264">
        <f>VLOOKUP(K1,DBC!$B$27:$G$278,5,1)</f>
        <v/>
      </c>
      <c r="L25" s="264">
        <f>VLOOKUP(L1,DBC!$B$27:$G$278,5,1)</f>
        <v/>
      </c>
      <c r="M25" s="264">
        <f>VLOOKUP(M1,DBC!$B$27:$G$278,5,1)</f>
        <v/>
      </c>
      <c r="N25" s="264">
        <f>VLOOKUP(N1,DBC!$B$27:$G$278,5,1)</f>
        <v/>
      </c>
      <c r="O25" s="264">
        <f>VLOOKUP(O1,DBC!$B$27:$G$278,5,1)</f>
        <v/>
      </c>
      <c r="P25" s="265">
        <f>AVERAGE(A25:N25)</f>
        <v/>
      </c>
      <c r="Q25" s="266">
        <f>B25/P25</f>
        <v/>
      </c>
      <c r="R25" s="246">
        <f>(B25/D25)-1</f>
        <v/>
      </c>
      <c r="S25" s="246">
        <f>(B25/F25)-1</f>
        <v/>
      </c>
      <c r="T25" s="246">
        <f>(B25/I25)-1</f>
        <v/>
      </c>
      <c r="U25" s="246">
        <f>(B25/O25)-1</f>
        <v/>
      </c>
      <c r="V25" s="491">
        <f>R25*12</f>
        <v/>
      </c>
      <c r="W25" s="491">
        <f>S25*4</f>
        <v/>
      </c>
      <c r="X25" s="491">
        <f>T25*2</f>
        <v/>
      </c>
      <c r="Y25" s="491">
        <f>U25*1</f>
        <v/>
      </c>
      <c r="Z25" s="248">
        <f>SUM(V25:Y25)</f>
        <v/>
      </c>
    </row>
    <row r="26" ht="18.75" customHeight="1" s="322">
      <c r="A26" s="267" t="n"/>
    </row>
    <row r="27" ht="15" customHeight="1" s="322">
      <c r="A27" s="78" t="inlineStr">
        <is>
          <t>ㅣ카나리아 자산군</t>
        </is>
      </c>
      <c r="P27" s="268" t="n"/>
      <c r="Q27" s="268" t="n"/>
      <c r="R27" s="268" t="n"/>
      <c r="S27" s="268" t="n"/>
    </row>
    <row r="28" ht="24.75" customHeight="1" s="322">
      <c r="A28" s="269" t="n"/>
      <c r="B28" s="270" t="inlineStr">
        <is>
          <t>현재</t>
        </is>
      </c>
      <c r="C28" s="121" t="inlineStr">
        <is>
          <t>전 날</t>
        </is>
      </c>
      <c r="D28" s="121" t="inlineStr">
        <is>
          <t>1개월 전</t>
        </is>
      </c>
      <c r="E28" s="121" t="inlineStr">
        <is>
          <t>2개월 전</t>
        </is>
      </c>
      <c r="F28" s="121" t="inlineStr">
        <is>
          <t>3개월 전</t>
        </is>
      </c>
      <c r="G28" s="121" t="inlineStr">
        <is>
          <t>4개월 전</t>
        </is>
      </c>
      <c r="H28" s="121" t="inlineStr">
        <is>
          <t>5개월 전</t>
        </is>
      </c>
      <c r="I28" s="121" t="inlineStr">
        <is>
          <t>6개월 전</t>
        </is>
      </c>
      <c r="J28" s="121" t="inlineStr">
        <is>
          <t>7개월 전</t>
        </is>
      </c>
      <c r="K28" s="121" t="inlineStr">
        <is>
          <t>8개월 전</t>
        </is>
      </c>
      <c r="L28" s="121" t="inlineStr">
        <is>
          <t>9개월 전</t>
        </is>
      </c>
      <c r="M28" s="121" t="inlineStr">
        <is>
          <t>10개월 전</t>
        </is>
      </c>
      <c r="N28" s="121" t="inlineStr">
        <is>
          <t>11개월 전</t>
        </is>
      </c>
      <c r="O28" s="121" t="inlineStr">
        <is>
          <t>12개월 전</t>
        </is>
      </c>
      <c r="P28" s="254" t="inlineStr">
        <is>
          <t>12개월 이동평균</t>
        </is>
      </c>
      <c r="Q28" s="254" t="inlineStr">
        <is>
          <t>현재가격/12개월 이동평균</t>
        </is>
      </c>
      <c r="R28" s="269" t="inlineStr">
        <is>
          <t>1개월 수익률</t>
        </is>
      </c>
      <c r="S28" s="269" t="inlineStr">
        <is>
          <t>3개월 수익률</t>
        </is>
      </c>
      <c r="T28" s="269" t="inlineStr">
        <is>
          <t>6개월 수익률</t>
        </is>
      </c>
      <c r="U28" s="269" t="inlineStr">
        <is>
          <t>최근 1년 수익률</t>
        </is>
      </c>
      <c r="V28" s="121" t="inlineStr">
        <is>
          <t>1개월 수익률*12</t>
        </is>
      </c>
      <c r="W28" s="121" t="inlineStr">
        <is>
          <t>3개월 수익률*4</t>
        </is>
      </c>
      <c r="X28" s="121" t="inlineStr">
        <is>
          <t>6개월 수익률*2</t>
        </is>
      </c>
      <c r="Y28" s="121" t="inlineStr">
        <is>
          <t>12개월 수익률*1</t>
        </is>
      </c>
      <c r="Z28" s="124" t="inlineStr">
        <is>
          <t>모멘텀 스코어</t>
        </is>
      </c>
      <c r="AA28" s="271" t="n"/>
      <c r="AB28" s="271" t="n"/>
      <c r="AC28" s="271" t="n"/>
      <c r="AD28" s="271" t="n"/>
      <c r="AE28" s="271" t="n"/>
      <c r="AF28" s="271" t="n"/>
      <c r="AG28" s="271" t="n"/>
      <c r="AH28" s="271" t="n"/>
      <c r="AI28" s="271" t="n"/>
      <c r="AJ28" s="271" t="n"/>
      <c r="AK28" s="271" t="n"/>
      <c r="AL28" s="271" t="n"/>
      <c r="AM28" s="271" t="n"/>
      <c r="AN28" s="271" t="n"/>
      <c r="AO28" s="271" t="n"/>
      <c r="AP28" s="271" t="n"/>
      <c r="AQ28" s="271" t="n"/>
      <c r="AR28" s="271" t="n"/>
      <c r="AS28" s="271" t="n"/>
      <c r="AT28" s="271" t="n"/>
      <c r="AU28" s="271" t="n"/>
      <c r="AV28" s="271" t="n"/>
      <c r="AW28" s="271" t="n"/>
      <c r="AX28" s="271" t="n"/>
      <c r="AY28" s="271" t="n"/>
      <c r="AZ28" s="271" t="n"/>
      <c r="BA28" s="271" t="n"/>
      <c r="BB28" s="271" t="n"/>
      <c r="BC28" s="271" t="n"/>
      <c r="BD28" s="271" t="n"/>
      <c r="BE28" s="271" t="n"/>
      <c r="BF28" s="271" t="n"/>
      <c r="BG28" s="271" t="n"/>
      <c r="BH28" s="271" t="n"/>
      <c r="BI28" s="271" t="n"/>
      <c r="BJ28" s="271" t="n"/>
      <c r="BK28" s="271" t="n"/>
      <c r="BL28" s="271" t="n"/>
      <c r="BM28" s="271" t="n"/>
      <c r="BN28" s="271" t="n"/>
      <c r="BO28" s="271" t="n"/>
      <c r="BP28" s="271" t="n"/>
      <c r="BQ28" s="271" t="n"/>
      <c r="BR28" s="271" t="n"/>
      <c r="BS28" s="271" t="n"/>
      <c r="BT28" s="271" t="n"/>
      <c r="BU28" s="271" t="n"/>
      <c r="BV28" s="271" t="n"/>
      <c r="BW28" s="271" t="n"/>
      <c r="BX28" s="271" t="n"/>
      <c r="BY28" s="271" t="n"/>
      <c r="BZ28" s="271" t="n"/>
      <c r="CA28" s="271" t="n"/>
      <c r="CB28" s="271" t="n"/>
      <c r="CC28" s="271" t="n"/>
      <c r="CD28" s="271" t="n"/>
      <c r="CE28" s="271" t="n"/>
      <c r="CF28" s="271" t="n"/>
      <c r="CG28" s="271" t="n"/>
      <c r="CH28" s="271" t="n"/>
      <c r="CI28" s="271" t="n"/>
      <c r="CJ28" s="271" t="n"/>
      <c r="CK28" s="271" t="n"/>
      <c r="CL28" s="271" t="n"/>
      <c r="CM28" s="271" t="n"/>
      <c r="CN28" s="271" t="n"/>
      <c r="CO28" s="271" t="n"/>
      <c r="CP28" s="271" t="n"/>
      <c r="CQ28" s="271" t="n"/>
      <c r="CR28" s="271" t="n"/>
      <c r="CS28" s="271" t="n"/>
      <c r="CT28" s="271" t="n"/>
      <c r="CU28" s="271" t="n"/>
      <c r="CV28" s="271" t="n"/>
      <c r="CW28" s="271" t="n"/>
      <c r="CX28" s="271" t="n"/>
      <c r="CY28" s="271" t="n"/>
      <c r="CZ28" s="271" t="n"/>
      <c r="DA28" s="271" t="n"/>
      <c r="DB28" s="271" t="n"/>
      <c r="DC28" s="271" t="n"/>
      <c r="DD28" s="271" t="n"/>
      <c r="DE28" s="271" t="n"/>
      <c r="DF28" s="271" t="n"/>
      <c r="DG28" s="271" t="n"/>
      <c r="DH28" s="271" t="n"/>
      <c r="DI28" s="271" t="n"/>
      <c r="DJ28" s="271" t="n"/>
      <c r="DK28" s="271" t="n"/>
      <c r="DL28" s="271" t="n"/>
      <c r="DM28" s="271" t="n"/>
      <c r="DN28" s="271" t="n"/>
      <c r="DO28" s="271" t="n"/>
      <c r="DP28" s="271" t="n"/>
      <c r="DQ28" s="271" t="n"/>
      <c r="DR28" s="271" t="n"/>
      <c r="DS28" s="271" t="n"/>
      <c r="DT28" s="271" t="n"/>
      <c r="DU28" s="271" t="n"/>
      <c r="DV28" s="271" t="n"/>
      <c r="DW28" s="271" t="n"/>
      <c r="DX28" s="271" t="n"/>
      <c r="DY28" s="271" t="n"/>
      <c r="DZ28" s="271" t="n"/>
      <c r="EA28" s="271" t="n"/>
      <c r="EB28" s="271" t="n"/>
      <c r="EC28" s="271" t="n"/>
      <c r="ED28" s="271" t="n"/>
      <c r="EE28" s="271" t="n"/>
      <c r="EF28" s="271" t="n"/>
      <c r="EG28" s="271" t="n"/>
      <c r="EH28" s="271" t="n"/>
      <c r="EI28" s="271" t="n"/>
      <c r="EJ28" s="271" t="n"/>
      <c r="EK28" s="271" t="n"/>
      <c r="EL28" s="271" t="n"/>
      <c r="EM28" s="271" t="n"/>
      <c r="EN28" s="271" t="n"/>
      <c r="EO28" s="271" t="n"/>
      <c r="EP28" s="271" t="n"/>
      <c r="EQ28" s="271" t="n"/>
      <c r="ER28" s="271" t="n"/>
      <c r="ES28" s="271" t="n"/>
      <c r="ET28" s="271" t="n"/>
      <c r="EU28" s="271" t="n"/>
      <c r="EV28" s="271" t="n"/>
      <c r="EW28" s="271" t="n"/>
      <c r="EX28" s="271" t="n"/>
      <c r="EY28" s="271" t="n"/>
      <c r="EZ28" s="271" t="n"/>
      <c r="FA28" s="271" t="n"/>
      <c r="FB28" s="271" t="n"/>
      <c r="FC28" s="271" t="n"/>
      <c r="FD28" s="271" t="n"/>
      <c r="FE28" s="271" t="n"/>
      <c r="FF28" s="271" t="n"/>
      <c r="FG28" s="271" t="n"/>
      <c r="FH28" s="271" t="n"/>
      <c r="FI28" s="271" t="n"/>
      <c r="FJ28" s="271" t="n"/>
      <c r="FK28" s="271" t="n"/>
      <c r="FL28" s="271" t="n"/>
      <c r="FM28" s="271" t="n"/>
      <c r="FN28" s="271" t="n"/>
      <c r="FO28" s="271" t="n"/>
      <c r="FP28" s="271" t="n"/>
      <c r="FQ28" s="271" t="n"/>
      <c r="FR28" s="271" t="n"/>
      <c r="FS28" s="271" t="n"/>
      <c r="FT28" s="271" t="n"/>
      <c r="FU28" s="271" t="n"/>
      <c r="FV28" s="271" t="n"/>
      <c r="FW28" s="271" t="n"/>
      <c r="FX28" s="271" t="n"/>
      <c r="FY28" s="271" t="n"/>
      <c r="FZ28" s="271" t="n"/>
      <c r="GA28" s="271" t="n"/>
      <c r="GB28" s="271" t="n"/>
      <c r="GC28" s="271" t="n"/>
      <c r="GD28" s="271" t="n"/>
      <c r="GE28" s="271" t="n"/>
      <c r="GF28" s="271" t="n"/>
      <c r="GG28" s="271" t="n"/>
      <c r="GH28" s="271" t="n"/>
      <c r="GI28" s="271" t="n"/>
      <c r="GJ28" s="271" t="n"/>
      <c r="GK28" s="271" t="n"/>
      <c r="GL28" s="271" t="n"/>
      <c r="GM28" s="271" t="n"/>
      <c r="GN28" s="271" t="n"/>
      <c r="GO28" s="271" t="n"/>
      <c r="GP28" s="271" t="n"/>
      <c r="GQ28" s="271" t="n"/>
      <c r="GR28" s="271" t="n"/>
      <c r="GS28" s="271" t="n"/>
      <c r="GT28" s="271" t="n"/>
      <c r="GU28" s="271" t="n"/>
      <c r="GV28" s="271" t="n"/>
      <c r="GW28" s="271" t="n"/>
      <c r="GX28" s="271" t="n"/>
      <c r="GY28" s="271" t="n"/>
      <c r="GZ28" s="271" t="n"/>
      <c r="HA28" s="271" t="n"/>
      <c r="HB28" s="271" t="n"/>
      <c r="HC28" s="271" t="n"/>
      <c r="HD28" s="271" t="n"/>
      <c r="HE28" s="271" t="n"/>
      <c r="HF28" s="271" t="n"/>
      <c r="HG28" s="271" t="n"/>
      <c r="HH28" s="271" t="n"/>
      <c r="HI28" s="271" t="n"/>
      <c r="HJ28" s="271" t="n"/>
      <c r="HK28" s="271" t="n"/>
      <c r="HL28" s="271" t="n"/>
      <c r="HM28" s="271" t="n"/>
      <c r="HN28" s="271" t="n"/>
      <c r="HO28" s="271" t="n"/>
      <c r="HP28" s="271" t="n"/>
      <c r="HQ28" s="271" t="n"/>
      <c r="HR28" s="271" t="n"/>
      <c r="HS28" s="271" t="n"/>
      <c r="HT28" s="271" t="n"/>
      <c r="HU28" s="271" t="n"/>
      <c r="HV28" s="271" t="n"/>
      <c r="HW28" s="271" t="n"/>
      <c r="HX28" s="271" t="n"/>
      <c r="HY28" s="271" t="n"/>
      <c r="HZ28" s="271" t="n"/>
      <c r="IA28" s="271" t="n"/>
      <c r="IB28" s="271" t="n"/>
      <c r="IC28" s="271" t="n"/>
      <c r="ID28" s="271" t="n"/>
      <c r="IE28" s="271" t="n"/>
      <c r="IF28" s="271" t="n"/>
      <c r="IG28" s="271" t="n"/>
      <c r="IH28" s="271" t="n"/>
      <c r="II28" s="271" t="n"/>
      <c r="IJ28" s="271" t="n"/>
      <c r="IK28" s="271" t="n"/>
      <c r="IL28" s="271" t="n"/>
      <c r="IM28" s="271" t="n"/>
      <c r="IN28" s="271" t="n"/>
      <c r="IO28" s="271" t="n"/>
      <c r="IP28" s="271" t="n"/>
      <c r="IQ28" s="271" t="n"/>
    </row>
    <row r="29" ht="14.25" customHeight="1" s="322">
      <c r="A29" s="272" t="inlineStr">
        <is>
          <t>SPY</t>
        </is>
      </c>
      <c r="B29" s="495">
        <f>관심종목!H22</f>
        <v/>
      </c>
      <c r="C29" s="274">
        <f>VLOOKUP(C1,SPY!$B$27:$G$278,5,1)</f>
        <v/>
      </c>
      <c r="D29" s="274">
        <f>VLOOKUP(D1,SPY!$B$27:$G$278,5,1)</f>
        <v/>
      </c>
      <c r="E29" s="274">
        <f>VLOOKUP(E1,SPY!$B$27:$G$278,5,1)</f>
        <v/>
      </c>
      <c r="F29" s="274">
        <f>VLOOKUP(F1,SPY!$B$27:$G$278,5,1)</f>
        <v/>
      </c>
      <c r="G29" s="274">
        <f>VLOOKUP(G1,SPY!$B$27:$G$278,5,1)</f>
        <v/>
      </c>
      <c r="H29" s="274">
        <f>VLOOKUP(H1,SPY!$B$27:$G$278,5,1)</f>
        <v/>
      </c>
      <c r="I29" s="274">
        <f>VLOOKUP(I1,SPY!$B$27:$G$278,5,1)</f>
        <v/>
      </c>
      <c r="J29" s="274">
        <f>VLOOKUP(J1,SPY!$B$27:$G$278,5,1)</f>
        <v/>
      </c>
      <c r="K29" s="274">
        <f>VLOOKUP(K1,SPY!$B$27:$G$278,5,1)</f>
        <v/>
      </c>
      <c r="L29" s="274">
        <f>VLOOKUP(L1,SPY!$B$27:$G$278,5,1)</f>
        <v/>
      </c>
      <c r="M29" s="274">
        <f>VLOOKUP(M1,SPY!$B$27:$G$278,5,1)</f>
        <v/>
      </c>
      <c r="N29" s="274">
        <f>VLOOKUP(N1,SPY!$B$27:$G$278,5,1)</f>
        <v/>
      </c>
      <c r="O29" s="274">
        <f>VLOOKUP(O1,SPY!$B$27:$G$278,5,1)</f>
        <v/>
      </c>
      <c r="P29" s="260">
        <f>AVERAGE(D29:O29)</f>
        <v/>
      </c>
      <c r="Q29" s="260">
        <f>B29/P29</f>
        <v/>
      </c>
      <c r="R29" s="275">
        <f>(B29/D29)-1</f>
        <v/>
      </c>
      <c r="S29" s="275">
        <f>(B29/F29)-1</f>
        <v/>
      </c>
      <c r="T29" s="275">
        <f>(B29/I29)-1</f>
        <v/>
      </c>
      <c r="U29" s="275">
        <f>(B29/O29)-1</f>
        <v/>
      </c>
      <c r="V29" s="496">
        <f>R29*12</f>
        <v/>
      </c>
      <c r="W29" s="496">
        <f>S29*12</f>
        <v/>
      </c>
      <c r="X29" s="496">
        <f>T29*2</f>
        <v/>
      </c>
      <c r="Y29" s="496">
        <f>U29*1</f>
        <v/>
      </c>
      <c r="Z29" s="277">
        <f>SUM(V29:Y29)</f>
        <v/>
      </c>
    </row>
    <row r="30" ht="14.25" customHeight="1" s="322">
      <c r="A30" s="272" t="inlineStr">
        <is>
          <t>EFA</t>
        </is>
      </c>
      <c r="B30" s="495">
        <f>관심종목!H23</f>
        <v/>
      </c>
      <c r="C30" s="274">
        <f>VLOOKUP(C1,EFA!$B$27:$G$278,5,1)</f>
        <v/>
      </c>
      <c r="D30" s="274">
        <f>VLOOKUP(D1,EFA!$B$27:$G$278,5,1)</f>
        <v/>
      </c>
      <c r="E30" s="274">
        <f>VLOOKUP(E1,EFA!$B$27:$G$278,5,1)</f>
        <v/>
      </c>
      <c r="F30" s="274">
        <f>VLOOKUP(F1,EFA!$B$27:$G$278,5,1)</f>
        <v/>
      </c>
      <c r="G30" s="274">
        <f>VLOOKUP(G1,EFA!$B$27:$G$278,5,1)</f>
        <v/>
      </c>
      <c r="H30" s="274">
        <f>VLOOKUP(H1,EFA!$B$27:$G$278,5,1)</f>
        <v/>
      </c>
      <c r="I30" s="274">
        <f>VLOOKUP(I1,EFA!$B$27:$G$278,5,1)</f>
        <v/>
      </c>
      <c r="J30" s="274">
        <f>VLOOKUP(J1,EFA!$B$27:$G$278,5,1)</f>
        <v/>
      </c>
      <c r="K30" s="274">
        <f>VLOOKUP(K1,EFA!$B$27:$G$278,5,1)</f>
        <v/>
      </c>
      <c r="L30" s="274">
        <f>VLOOKUP(L1,EFA!$B$27:$G$278,5,1)</f>
        <v/>
      </c>
      <c r="M30" s="274">
        <f>VLOOKUP(M1,EFA!$B$27:$G$278,5,1)</f>
        <v/>
      </c>
      <c r="N30" s="274">
        <f>VLOOKUP(N1,EFA!$B$27:$G$278,5,1)</f>
        <v/>
      </c>
      <c r="O30" s="274">
        <f>VLOOKUP(O1,EFA!$B$27:$G$278,5,1)</f>
        <v/>
      </c>
      <c r="P30" s="260">
        <f>AVERAGE(D30:O30)</f>
        <v/>
      </c>
      <c r="Q30" s="260">
        <f>B30/P30</f>
        <v/>
      </c>
      <c r="R30" s="275">
        <f>(B30/D30)-1</f>
        <v/>
      </c>
      <c r="S30" s="275">
        <f>(B30/F30)-1</f>
        <v/>
      </c>
      <c r="T30" s="275">
        <f>(B30/I30)-1</f>
        <v/>
      </c>
      <c r="U30" s="275">
        <f>(B30/O30)-1</f>
        <v/>
      </c>
      <c r="V30" s="496">
        <f>R30*12</f>
        <v/>
      </c>
      <c r="W30" s="496">
        <f>S30*12</f>
        <v/>
      </c>
      <c r="X30" s="496">
        <f>T30*2</f>
        <v/>
      </c>
      <c r="Y30" s="496">
        <f>U30*1</f>
        <v/>
      </c>
      <c r="Z30" s="277">
        <f>SUM(V30:Y30)</f>
        <v/>
      </c>
    </row>
    <row r="31" ht="14.25" customHeight="1" s="322">
      <c r="A31" s="272" t="inlineStr">
        <is>
          <t>EEM</t>
        </is>
      </c>
      <c r="B31" s="495">
        <f>관심종목!H24</f>
        <v/>
      </c>
      <c r="C31" s="274">
        <f>VLOOKUP(C1,EEM!$B$27:$G$278,5,1)</f>
        <v/>
      </c>
      <c r="D31" s="274">
        <f>VLOOKUP(D1,EEM!$B$27:$G$278,5,1)</f>
        <v/>
      </c>
      <c r="E31" s="274">
        <f>VLOOKUP(E1,EEM!$B$27:$G$278,5,1)</f>
        <v/>
      </c>
      <c r="F31" s="274">
        <f>VLOOKUP(F1,EEM!$B$27:$G$278,5,1)</f>
        <v/>
      </c>
      <c r="G31" s="274">
        <f>VLOOKUP(G1,EEM!$B$27:$G$278,5,1)</f>
        <v/>
      </c>
      <c r="H31" s="274">
        <f>VLOOKUP(H1,EEM!$B$27:$G$278,5,1)</f>
        <v/>
      </c>
      <c r="I31" s="274">
        <f>VLOOKUP(I1,EEM!$B$27:$G$278,5,1)</f>
        <v/>
      </c>
      <c r="J31" s="274">
        <f>VLOOKUP(J1,EEM!$B$27:$G$278,5,1)</f>
        <v/>
      </c>
      <c r="K31" s="274">
        <f>VLOOKUP(K1,EEM!$B$27:$G$278,5,1)</f>
        <v/>
      </c>
      <c r="L31" s="274">
        <f>VLOOKUP(L1,EEM!$B$27:$G$278,5,1)</f>
        <v/>
      </c>
      <c r="M31" s="274">
        <f>VLOOKUP(M1,EEM!$B$27:$G$278,5,1)</f>
        <v/>
      </c>
      <c r="N31" s="274">
        <f>VLOOKUP(N1,EEM!$B$27:$G$278,5,1)</f>
        <v/>
      </c>
      <c r="O31" s="274">
        <f>VLOOKUP(O1,EEM!$B$27:$G$278,5,1)</f>
        <v/>
      </c>
      <c r="P31" s="260">
        <f>AVERAGE(D31:O31)</f>
        <v/>
      </c>
      <c r="Q31" s="260">
        <f>B31/P31</f>
        <v/>
      </c>
      <c r="R31" s="275">
        <f>(B31/D31)-1</f>
        <v/>
      </c>
      <c r="S31" s="275">
        <f>(B31/F31)-1</f>
        <v/>
      </c>
      <c r="T31" s="275">
        <f>(B31/I31)-1</f>
        <v/>
      </c>
      <c r="U31" s="275">
        <f>(B31/O31)-1</f>
        <v/>
      </c>
      <c r="V31" s="496">
        <f>R31*12</f>
        <v/>
      </c>
      <c r="W31" s="496">
        <f>S31*12</f>
        <v/>
      </c>
      <c r="X31" s="496">
        <f>T31*2</f>
        <v/>
      </c>
      <c r="Y31" s="496">
        <f>U31*1</f>
        <v/>
      </c>
      <c r="Z31" s="277">
        <f>SUM(V31:Y31)</f>
        <v/>
      </c>
    </row>
    <row r="32" ht="14.25" customHeight="1" s="322">
      <c r="A32" s="272" t="inlineStr">
        <is>
          <t>AGG</t>
        </is>
      </c>
      <c r="B32" s="495">
        <f>관심종목!H25</f>
        <v/>
      </c>
      <c r="C32" s="274">
        <f>VLOOKUP(C1,AGG!$B$27:$G$278,5,1)</f>
        <v/>
      </c>
      <c r="D32" s="274">
        <f>VLOOKUP(D1,AGG!$B$27:$G$278,5,1)</f>
        <v/>
      </c>
      <c r="E32" s="274">
        <f>VLOOKUP(E1,AGG!$B$27:$G$278,5,1)</f>
        <v/>
      </c>
      <c r="F32" s="274">
        <f>VLOOKUP(F1,AGG!$B$27:$G$278,5,1)</f>
        <v/>
      </c>
      <c r="G32" s="274">
        <f>VLOOKUP(G1,AGG!$B$27:$G$278,5,1)</f>
        <v/>
      </c>
      <c r="H32" s="274">
        <f>VLOOKUP(H1,AGG!$B$27:$G$278,5,1)</f>
        <v/>
      </c>
      <c r="I32" s="274">
        <f>VLOOKUP(I1,AGG!$B$27:$G$278,5,1)</f>
        <v/>
      </c>
      <c r="J32" s="274">
        <f>VLOOKUP(J1,AGG!$B$27:$G$278,5,1)</f>
        <v/>
      </c>
      <c r="K32" s="274">
        <f>VLOOKUP(K1,AGG!$B$27:$G$278,5,1)</f>
        <v/>
      </c>
      <c r="L32" s="274">
        <f>VLOOKUP(L1,AGG!$B$27:$G$278,5,1)</f>
        <v/>
      </c>
      <c r="M32" s="274">
        <f>VLOOKUP(M1,AGG!$B$27:$G$278,5,1)</f>
        <v/>
      </c>
      <c r="N32" s="274">
        <f>VLOOKUP(N1,AGG!$B$27:$G$278,5,1)</f>
        <v/>
      </c>
      <c r="O32" s="274">
        <f>VLOOKUP(O1,AGG!$B$27:$G$278,5,1)</f>
        <v/>
      </c>
      <c r="P32" s="260">
        <f>AVERAGE(D32:O32)</f>
        <v/>
      </c>
      <c r="Q32" s="260">
        <f>B32/P32</f>
        <v/>
      </c>
      <c r="R32" s="275">
        <f>(B32/D32)-1</f>
        <v/>
      </c>
      <c r="S32" s="275">
        <f>(B32/F32)-1</f>
        <v/>
      </c>
      <c r="T32" s="275">
        <f>(B32/I32)-1</f>
        <v/>
      </c>
      <c r="U32" s="275">
        <f>(B32/O32)-1</f>
        <v/>
      </c>
      <c r="V32" s="496">
        <f>R32*12</f>
        <v/>
      </c>
      <c r="W32" s="496">
        <f>S32*12</f>
        <v/>
      </c>
      <c r="X32" s="496">
        <f>T32*2</f>
        <v/>
      </c>
      <c r="Y32" s="496">
        <f>U32*1</f>
        <v/>
      </c>
      <c r="Z32" s="277">
        <f>SUM(V32:Y32)</f>
        <v/>
      </c>
    </row>
    <row r="33" ht="14.25" customHeight="1" s="322">
      <c r="A33" s="287" t="inlineStr">
        <is>
          <t>QQQ</t>
        </is>
      </c>
      <c r="B33" s="497">
        <f>관심종목!H26</f>
        <v/>
      </c>
      <c r="C33" s="280">
        <f>VLOOKUP(C1,QQQ!$B$27:$G$278,5,1)</f>
        <v/>
      </c>
      <c r="D33" s="280">
        <f>VLOOKUP(D1,QQQ!$B$27:$G$278,5,1)</f>
        <v/>
      </c>
      <c r="E33" s="280">
        <f>VLOOKUP(E1,QQQ!$B$27:$G$278,5,1)</f>
        <v/>
      </c>
      <c r="F33" s="280">
        <f>VLOOKUP(F1,QQQ!$B$27:$G$278,5,1)</f>
        <v/>
      </c>
      <c r="G33" s="280">
        <f>VLOOKUP(G1,QQQ!$B$27:$G$278,5,1)</f>
        <v/>
      </c>
      <c r="H33" s="280">
        <f>VLOOKUP(H1,QQQ!$B$27:$G$278,5,1)</f>
        <v/>
      </c>
      <c r="I33" s="280">
        <f>VLOOKUP(I1,QQQ!$B$27:$G$278,5,1)</f>
        <v/>
      </c>
      <c r="J33" s="280">
        <f>VLOOKUP(J1,QQQ!$B$27:$G$278,5,1)</f>
        <v/>
      </c>
      <c r="K33" s="280">
        <f>VLOOKUP(K1,QQQ!$B$27:$G$278,5,1)</f>
        <v/>
      </c>
      <c r="L33" s="280">
        <f>VLOOKUP(L1,QQQ!$B$27:$G$278,5,1)</f>
        <v/>
      </c>
      <c r="M33" s="280">
        <f>VLOOKUP(M1,QQQ!$B$27:$G$278,5,1)</f>
        <v/>
      </c>
      <c r="N33" s="280">
        <f>VLOOKUP(N1,QQQ!$B$27:$G$278,5,1)</f>
        <v/>
      </c>
      <c r="O33" s="280">
        <f>VLOOKUP(O1,QQQ!$B$27:$G$278,5,1)</f>
        <v/>
      </c>
      <c r="P33" s="265">
        <f>AVERAGE(D33:O33)</f>
        <v/>
      </c>
      <c r="Q33" s="265">
        <f>B33/P33</f>
        <v/>
      </c>
      <c r="R33" s="281">
        <f>(B33/D33)-1</f>
        <v/>
      </c>
      <c r="S33" s="281">
        <f>(B33/F33)-1</f>
        <v/>
      </c>
      <c r="T33" s="281">
        <f>(B33/I33)-1</f>
        <v/>
      </c>
      <c r="U33" s="281">
        <f>(B33/O33)-1</f>
        <v/>
      </c>
      <c r="V33" s="498">
        <f>R33*12</f>
        <v/>
      </c>
      <c r="W33" s="498">
        <f>S33*4</f>
        <v/>
      </c>
      <c r="X33" s="498">
        <f>T33*2</f>
        <v/>
      </c>
      <c r="Y33" s="498">
        <f>U33*1</f>
        <v/>
      </c>
      <c r="Z33" s="283">
        <f>SUM(V33:Y33)</f>
        <v/>
      </c>
    </row>
    <row r="34" ht="20.25" customHeight="1" s="322">
      <c r="A34" s="267" t="n"/>
      <c r="P34" s="284" t="n"/>
      <c r="T34" s="168" t="n"/>
    </row>
    <row r="35" ht="12.75" customHeight="1" s="322">
      <c r="A35" s="231" t="inlineStr">
        <is>
          <t>ㅣ변형듀얼모멘텀_공격자산</t>
        </is>
      </c>
    </row>
    <row r="36" ht="24.75" customHeight="1" s="322">
      <c r="A36" s="269" t="n"/>
      <c r="B36" s="285">
        <f>U28</f>
        <v/>
      </c>
      <c r="E36" s="284" t="n"/>
    </row>
    <row r="37" ht="12.75" customHeight="1" s="322">
      <c r="A37" s="272" t="inlineStr">
        <is>
          <t>SPY</t>
        </is>
      </c>
      <c r="B37" s="286">
        <f>U29</f>
        <v/>
      </c>
    </row>
    <row r="38" ht="12.75" customHeight="1" s="322">
      <c r="A38" s="287" t="inlineStr">
        <is>
          <t>EFA</t>
        </is>
      </c>
      <c r="B38" s="288">
        <f>U30</f>
        <v/>
      </c>
    </row>
    <row r="39" ht="12.75" customHeight="1" s="322">
      <c r="A39" s="267" t="n"/>
    </row>
    <row r="40" ht="12.75" customHeight="1" s="322">
      <c r="A40" s="231" t="inlineStr">
        <is>
          <t>ㅣ변형듀얼모멘텀_안전자산</t>
        </is>
      </c>
    </row>
    <row r="41" ht="38.25" customHeight="1" s="322">
      <c r="A41" s="253" t="n"/>
      <c r="B41" s="121" t="inlineStr">
        <is>
          <t>현재</t>
        </is>
      </c>
      <c r="C41" s="121" t="inlineStr">
        <is>
          <t>전 날</t>
        </is>
      </c>
      <c r="D41" s="121" t="inlineStr">
        <is>
          <t>1개월 전</t>
        </is>
      </c>
      <c r="E41" s="121" t="inlineStr">
        <is>
          <t>2개월 전</t>
        </is>
      </c>
      <c r="F41" s="121" t="inlineStr">
        <is>
          <t>3개월 전</t>
        </is>
      </c>
      <c r="G41" s="121" t="inlineStr">
        <is>
          <t>4개월 전</t>
        </is>
      </c>
      <c r="H41" s="121" t="inlineStr">
        <is>
          <t>5개월 전</t>
        </is>
      </c>
      <c r="I41" s="121" t="inlineStr">
        <is>
          <t>6개월 전</t>
        </is>
      </c>
      <c r="J41" s="121" t="inlineStr">
        <is>
          <t>7개월 전</t>
        </is>
      </c>
      <c r="K41" s="121" t="inlineStr">
        <is>
          <t>8개월 전</t>
        </is>
      </c>
      <c r="L41" s="121" t="inlineStr">
        <is>
          <t>9개월 전</t>
        </is>
      </c>
      <c r="M41" s="121" t="inlineStr">
        <is>
          <t>10개월 전</t>
        </is>
      </c>
      <c r="N41" s="121" t="inlineStr">
        <is>
          <t>11개월 전</t>
        </is>
      </c>
      <c r="O41" s="121" t="inlineStr">
        <is>
          <t>12개월 전</t>
        </is>
      </c>
      <c r="P41" s="254" t="inlineStr">
        <is>
          <t>12개월 이동평균</t>
        </is>
      </c>
      <c r="Q41" s="254" t="inlineStr">
        <is>
          <t>현재가격/12개월 이동평균</t>
        </is>
      </c>
      <c r="R41" s="269" t="inlineStr">
        <is>
          <t>1개월 수익률</t>
        </is>
      </c>
      <c r="S41" s="269" t="inlineStr">
        <is>
          <t>3개월 수익률</t>
        </is>
      </c>
      <c r="T41" s="269" t="inlineStr">
        <is>
          <t>6개월 수익률</t>
        </is>
      </c>
      <c r="U41" s="269" t="inlineStr">
        <is>
          <t>최근 1년 수익률</t>
        </is>
      </c>
      <c r="V41" s="121" t="inlineStr">
        <is>
          <t>1개월 수익률*12</t>
        </is>
      </c>
      <c r="W41" s="121" t="inlineStr">
        <is>
          <t>3개월 수익률*4</t>
        </is>
      </c>
      <c r="X41" s="121" t="inlineStr">
        <is>
          <t>6개월 수익률*2</t>
        </is>
      </c>
      <c r="Y41" s="121" t="inlineStr">
        <is>
          <t>12개월 수익률*1</t>
        </is>
      </c>
      <c r="Z41" s="124" t="inlineStr">
        <is>
          <t>모멘텀 스코어</t>
        </is>
      </c>
    </row>
    <row r="42" ht="15" customHeight="1" s="322">
      <c r="A42" s="289">
        <f>관심종목!D39</f>
        <v/>
      </c>
      <c r="B42" s="499">
        <f>관심종목!H39</f>
        <v/>
      </c>
      <c r="C42" s="291">
        <f>VLOOKUP(C1,SHY!$B$27:$G$278,5,1)</f>
        <v/>
      </c>
      <c r="D42" s="291">
        <f>VLOOKUP(D1,SHY!$B$27:$G$278,5,1)</f>
        <v/>
      </c>
      <c r="E42" s="291">
        <f>VLOOKUP(E1,SHY!$B$27:$G$278,5,1)</f>
        <v/>
      </c>
      <c r="F42" s="291">
        <f>VLOOKUP(F1,SHY!$B$27:$G$278,5,1)</f>
        <v/>
      </c>
      <c r="G42" s="291">
        <f>VLOOKUP(G1,SHY!$B$27:$G$278,5,1)</f>
        <v/>
      </c>
      <c r="H42" s="291">
        <f>VLOOKUP(H1,SHY!$B$27:$G$278,5,1)</f>
        <v/>
      </c>
      <c r="I42" s="291">
        <f>VLOOKUP(I1,SHY!$B$27:$G$278,5,1)</f>
        <v/>
      </c>
      <c r="J42" s="291">
        <f>VLOOKUP(J1,SHY!$B$27:$G$278,5,1)</f>
        <v/>
      </c>
      <c r="K42" s="291">
        <f>VLOOKUP(K1,SHY!$B$27:$G$278,5,1)</f>
        <v/>
      </c>
      <c r="L42" s="291">
        <f>VLOOKUP(L1,SHY!$B$27:$G$278,5,1)</f>
        <v/>
      </c>
      <c r="M42" s="291">
        <f>VLOOKUP(M1,SHY!$B$27:$G$278,5,1)</f>
        <v/>
      </c>
      <c r="N42" s="291">
        <f>VLOOKUP(N1,SHY!$B$27:$G$278,5,1)</f>
        <v/>
      </c>
      <c r="O42" s="291">
        <f>VLOOKUP(O1,SHY!$B$27:$G$278,5,1)</f>
        <v/>
      </c>
      <c r="P42" s="292">
        <f>AVERAGE(D42:O42)</f>
        <v/>
      </c>
      <c r="Q42" s="293">
        <f>B42/P42</f>
        <v/>
      </c>
      <c r="R42" s="294">
        <f>(B42/D42)-1</f>
        <v/>
      </c>
      <c r="S42" s="294">
        <f>(B42/F42)-1</f>
        <v/>
      </c>
      <c r="T42" s="294">
        <f>(B42/I42)-1</f>
        <v/>
      </c>
      <c r="U42" s="294">
        <f>(B42/O42)-1</f>
        <v/>
      </c>
      <c r="V42" s="295">
        <f>R42*12</f>
        <v/>
      </c>
      <c r="W42" s="295">
        <f>S42*4</f>
        <v/>
      </c>
      <c r="X42" s="295">
        <f>T42*2</f>
        <v/>
      </c>
      <c r="Y42" s="295">
        <f>U42*1</f>
        <v/>
      </c>
      <c r="Z42" s="296">
        <f>SUM(V42:Y42)</f>
        <v/>
      </c>
    </row>
    <row r="43" ht="15" customHeight="1" s="322">
      <c r="A43" s="289">
        <f>관심종목!D40</f>
        <v/>
      </c>
      <c r="B43" s="499">
        <f>관심종목!H40</f>
        <v/>
      </c>
      <c r="C43" s="291">
        <f>VLOOKUP(C1,IEF!$B$27:$G$278,5,1)</f>
        <v/>
      </c>
      <c r="D43" s="291">
        <f>VLOOKUP(D1,IEF!$B$27:$G$278,5,1)</f>
        <v/>
      </c>
      <c r="E43" s="291">
        <f>VLOOKUP(E1,IEF!$B$27:$G$278,5,1)</f>
        <v/>
      </c>
      <c r="F43" s="291">
        <f>VLOOKUP(F1,IEF!$B$27:$G$278,5,1)</f>
        <v/>
      </c>
      <c r="G43" s="291">
        <f>VLOOKUP(G1,IEF!$B$27:$G$278,5,1)</f>
        <v/>
      </c>
      <c r="H43" s="291">
        <f>VLOOKUP(H1,IEF!$B$27:$G$278,5,1)</f>
        <v/>
      </c>
      <c r="I43" s="291">
        <f>VLOOKUP(I1,IEF!$B$27:$G$278,5,1)</f>
        <v/>
      </c>
      <c r="J43" s="291">
        <f>VLOOKUP(J1,IEF!$B$27:$G$278,5,1)</f>
        <v/>
      </c>
      <c r="K43" s="291">
        <f>VLOOKUP(K1,IEF!$B$27:$G$278,5,1)</f>
        <v/>
      </c>
      <c r="L43" s="291">
        <f>VLOOKUP(L1,IEF!$B$27:$G$278,5,1)</f>
        <v/>
      </c>
      <c r="M43" s="291">
        <f>VLOOKUP(M1,IEF!$B$27:$G$278,5,1)</f>
        <v/>
      </c>
      <c r="N43" s="291">
        <f>VLOOKUP(N1,IEF!$B$27:$G$278,5,1)</f>
        <v/>
      </c>
      <c r="O43" s="291">
        <f>VLOOKUP(O1,IEF!$B$27:$G$278,5,1)</f>
        <v/>
      </c>
      <c r="P43" s="292">
        <f>AVERAGE(D43:O43)</f>
        <v/>
      </c>
      <c r="Q43" s="293">
        <f>B43/P43</f>
        <v/>
      </c>
      <c r="R43" s="294">
        <f>(B43/D43)-1</f>
        <v/>
      </c>
      <c r="S43" s="294">
        <f>(C43/F43)-1</f>
        <v/>
      </c>
      <c r="T43" s="294">
        <f>(B43/I43)-1</f>
        <v/>
      </c>
      <c r="U43" s="294">
        <f>(B43/O43)-1</f>
        <v/>
      </c>
      <c r="V43" s="295">
        <f>R43*12</f>
        <v/>
      </c>
      <c r="W43" s="295">
        <f>S43*4</f>
        <v/>
      </c>
      <c r="X43" s="295">
        <f>T43*2</f>
        <v/>
      </c>
      <c r="Y43" s="295">
        <f>U43*1</f>
        <v/>
      </c>
      <c r="Z43" s="296">
        <f>SUM(V43:Y43)</f>
        <v/>
      </c>
    </row>
    <row r="44" ht="15" customHeight="1" s="322">
      <c r="A44" s="289">
        <f>관심종목!D41</f>
        <v/>
      </c>
      <c r="B44" s="499">
        <f>관심종목!H41</f>
        <v/>
      </c>
      <c r="C44" s="291">
        <f>VLOOKUP(C1,TLT!$B$27:$G$278,5,1)</f>
        <v/>
      </c>
      <c r="D44" s="291">
        <f>VLOOKUP(D1,TLT!$B$27:$G$278,5,1)</f>
        <v/>
      </c>
      <c r="E44" s="291">
        <f>VLOOKUP(E1,TLT!$B$27:$G$278,5,1)</f>
        <v/>
      </c>
      <c r="F44" s="291">
        <f>VLOOKUP(F1,TLT!$B$27:$G$278,5,1)</f>
        <v/>
      </c>
      <c r="G44" s="291">
        <f>VLOOKUP(G1,TLT!$B$27:$G$278,5,1)</f>
        <v/>
      </c>
      <c r="H44" s="291">
        <f>VLOOKUP(H1,TLT!$B$27:$G$278,5,1)</f>
        <v/>
      </c>
      <c r="I44" s="291">
        <f>VLOOKUP(I1,TLT!$B$27:$G$278,5,1)</f>
        <v/>
      </c>
      <c r="J44" s="291">
        <f>VLOOKUP(J1,TLT!$B$27:$G$278,5,1)</f>
        <v/>
      </c>
      <c r="K44" s="291">
        <f>VLOOKUP(K1,TLT!$B$27:$G$278,5,1)</f>
        <v/>
      </c>
      <c r="L44" s="291">
        <f>VLOOKUP(L1,TLT!$B$27:$G$278,5,1)</f>
        <v/>
      </c>
      <c r="M44" s="291">
        <f>VLOOKUP(M1,TLT!$B$27:$G$278,5,1)</f>
        <v/>
      </c>
      <c r="N44" s="291">
        <f>VLOOKUP(N1,TLT!$B$27:$G$278,5,1)</f>
        <v/>
      </c>
      <c r="O44" s="291">
        <f>VLOOKUP(O1,TLT!$B$27:$G$278,5,1)</f>
        <v/>
      </c>
      <c r="P44" s="292">
        <f>AVERAGE(D44:O44)</f>
        <v/>
      </c>
      <c r="Q44" s="293">
        <f>B44/P44</f>
        <v/>
      </c>
      <c r="R44" s="294">
        <f>(B44/D44)-1</f>
        <v/>
      </c>
      <c r="S44" s="294">
        <f>(C44/F44)-1</f>
        <v/>
      </c>
      <c r="T44" s="294">
        <f>(B44/I44)-1</f>
        <v/>
      </c>
      <c r="U44" s="294">
        <f>(B44/O44)-1</f>
        <v/>
      </c>
      <c r="V44" s="295">
        <f>R44*12</f>
        <v/>
      </c>
      <c r="W44" s="295">
        <f>S44*4</f>
        <v/>
      </c>
      <c r="X44" s="295">
        <f>T44*2</f>
        <v/>
      </c>
      <c r="Y44" s="295">
        <f>U44*1</f>
        <v/>
      </c>
      <c r="Z44" s="296">
        <f>SUM(V44:Y44)</f>
        <v/>
      </c>
    </row>
    <row r="45" ht="15" customHeight="1" s="322">
      <c r="A45" s="289">
        <f>관심종목!D42</f>
        <v/>
      </c>
      <c r="B45" s="499">
        <f>관심종목!H42</f>
        <v/>
      </c>
      <c r="C45" s="291">
        <f>VLOOKUP(C1,TIP!$B$27:$G$278,5,1)</f>
        <v/>
      </c>
      <c r="D45" s="291">
        <f>VLOOKUP(D1,TIP!$B$27:$G$278,5,1)</f>
        <v/>
      </c>
      <c r="E45" s="291">
        <f>VLOOKUP(E1,TIP!$B$27:$G$278,5,1)</f>
        <v/>
      </c>
      <c r="F45" s="291">
        <f>VLOOKUP(F1,TIP!$B$27:$G$278,5,1)</f>
        <v/>
      </c>
      <c r="G45" s="291">
        <f>VLOOKUP(G1,TIP!$B$27:$G$278,5,1)</f>
        <v/>
      </c>
      <c r="H45" s="291">
        <f>VLOOKUP(H1,TIP!$B$27:$G$278,5,1)</f>
        <v/>
      </c>
      <c r="I45" s="291">
        <f>VLOOKUP(I1,TIP!$B$27:$G$278,5,1)</f>
        <v/>
      </c>
      <c r="J45" s="291">
        <f>VLOOKUP(J1,TIP!$B$27:$G$278,5,1)</f>
        <v/>
      </c>
      <c r="K45" s="291">
        <f>VLOOKUP(K1,TIP!$B$27:$G$278,5,1)</f>
        <v/>
      </c>
      <c r="L45" s="291">
        <f>VLOOKUP(L1,TIP!$B$27:$G$278,5,1)</f>
        <v/>
      </c>
      <c r="M45" s="291">
        <f>VLOOKUP(M1,TIP!$B$27:$G$278,5,1)</f>
        <v/>
      </c>
      <c r="N45" s="291">
        <f>VLOOKUP(N1,TIP!$B$27:$G$278,5,1)</f>
        <v/>
      </c>
      <c r="O45" s="291">
        <f>VLOOKUP(O1,TIP!$B$27:$G$278,5,1)</f>
        <v/>
      </c>
      <c r="P45" s="292">
        <f>AVERAGE(D45:O45)</f>
        <v/>
      </c>
      <c r="Q45" s="293">
        <f>B45/P45</f>
        <v/>
      </c>
      <c r="R45" s="294">
        <f>(B45/D45)-1</f>
        <v/>
      </c>
      <c r="S45" s="294">
        <f>(C45/F45)-1</f>
        <v/>
      </c>
      <c r="T45" s="294">
        <f>(B45/I45)-1</f>
        <v/>
      </c>
      <c r="U45" s="294">
        <f>(B45/O45)-1</f>
        <v/>
      </c>
      <c r="V45" s="295">
        <f>R45*12</f>
        <v/>
      </c>
      <c r="W45" s="295">
        <f>S45*4</f>
        <v/>
      </c>
      <c r="X45" s="295">
        <f>T45*2</f>
        <v/>
      </c>
      <c r="Y45" s="295">
        <f>U45*1</f>
        <v/>
      </c>
      <c r="Z45" s="296">
        <f>SUM(V45:Y45)</f>
        <v/>
      </c>
    </row>
    <row r="46" ht="15" customHeight="1" s="322">
      <c r="A46" s="289">
        <f>관심종목!D43</f>
        <v/>
      </c>
      <c r="B46" s="499">
        <f>관심종목!H43</f>
        <v/>
      </c>
      <c r="C46" s="291">
        <f>VLOOKUP(C1,LQD!$B$27:$G$278,5,1)</f>
        <v/>
      </c>
      <c r="D46" s="291">
        <f>VLOOKUP(D1,LQD!$B$27:$G$278,5,1)</f>
        <v/>
      </c>
      <c r="E46" s="291">
        <f>VLOOKUP(E1,LQD!$B$27:$G$278,5,1)</f>
        <v/>
      </c>
      <c r="F46" s="291">
        <f>VLOOKUP(F1,LQD!$B$27:$G$278,5,1)</f>
        <v/>
      </c>
      <c r="G46" s="291">
        <f>VLOOKUP(G1,LQD!$B$27:$G$278,5,1)</f>
        <v/>
      </c>
      <c r="H46" s="291">
        <f>VLOOKUP(H1,LQD!$B$27:$G$278,5,1)</f>
        <v/>
      </c>
      <c r="I46" s="291">
        <f>VLOOKUP(I1,LQD!$B$27:$G$278,5,1)</f>
        <v/>
      </c>
      <c r="J46" s="291">
        <f>VLOOKUP(J1,LQD!$B$27:$G$278,5,1)</f>
        <v/>
      </c>
      <c r="K46" s="291">
        <f>VLOOKUP(K1,LQD!$B$27:$G$278,5,1)</f>
        <v/>
      </c>
      <c r="L46" s="291">
        <f>VLOOKUP(L1,LQD!$B$27:$G$278,5,1)</f>
        <v/>
      </c>
      <c r="M46" s="291">
        <f>VLOOKUP(M1,LQD!$B$27:$G$278,5,1)</f>
        <v/>
      </c>
      <c r="N46" s="291">
        <f>VLOOKUP(N1,LQD!$B$27:$G$278,5,1)</f>
        <v/>
      </c>
      <c r="O46" s="291">
        <f>VLOOKUP(O1,LQD!$B$27:$G$278,5,1)</f>
        <v/>
      </c>
      <c r="P46" s="292">
        <f>AVERAGE(D46:O46)</f>
        <v/>
      </c>
      <c r="Q46" s="293">
        <f>B46/P46</f>
        <v/>
      </c>
      <c r="R46" s="294">
        <f>(B46/D46)-1</f>
        <v/>
      </c>
      <c r="S46" s="294">
        <f>(C46/F46)-1</f>
        <v/>
      </c>
      <c r="T46" s="294">
        <f>(B46/I46)-1</f>
        <v/>
      </c>
      <c r="U46" s="294">
        <f>(B46/O46)-1</f>
        <v/>
      </c>
      <c r="V46" s="295">
        <f>R46*12</f>
        <v/>
      </c>
      <c r="W46" s="295">
        <f>S46*4</f>
        <v/>
      </c>
      <c r="X46" s="295">
        <f>T46*2</f>
        <v/>
      </c>
      <c r="Y46" s="295">
        <f>U46*1</f>
        <v/>
      </c>
      <c r="Z46" s="296">
        <f>SUM(V46:Y46)</f>
        <v/>
      </c>
    </row>
    <row r="47" ht="15" customHeight="1" s="322">
      <c r="A47" s="289">
        <f>관심종목!D44</f>
        <v/>
      </c>
      <c r="B47" s="499">
        <f>관심종목!H44</f>
        <v/>
      </c>
      <c r="C47" s="291">
        <f>VLOOKUP(C1,HYG!$B$27:$G$278,5,1)</f>
        <v/>
      </c>
      <c r="D47" s="291">
        <f>VLOOKUP(D1,HYG!$B$27:$G$278,5,1)</f>
        <v/>
      </c>
      <c r="E47" s="291">
        <f>VLOOKUP(E1,HYG!$B$27:$G$278,5,1)</f>
        <v/>
      </c>
      <c r="F47" s="291">
        <f>VLOOKUP(F1,HYG!$B$27:$G$278,5,1)</f>
        <v/>
      </c>
      <c r="G47" s="291">
        <f>VLOOKUP(G1,HYG!$B$27:$G$278,5,1)</f>
        <v/>
      </c>
      <c r="H47" s="291">
        <f>VLOOKUP(H1,HYG!$B$27:$G$278,5,1)</f>
        <v/>
      </c>
      <c r="I47" s="291">
        <f>VLOOKUP(I1,HYG!$B$27:$G$278,5,1)</f>
        <v/>
      </c>
      <c r="J47" s="291">
        <f>VLOOKUP(J1,HYG!$B$27:$G$278,5,1)</f>
        <v/>
      </c>
      <c r="K47" s="291">
        <f>VLOOKUP(K1,HYG!$B$27:$G$278,5,1)</f>
        <v/>
      </c>
      <c r="L47" s="291">
        <f>VLOOKUP(L1,HYG!$B$27:$G$278,5,1)</f>
        <v/>
      </c>
      <c r="M47" s="291">
        <f>VLOOKUP(M1,HYG!$B$27:$G$278,5,1)</f>
        <v/>
      </c>
      <c r="N47" s="291">
        <f>VLOOKUP(N1,HYG!$B$27:$G$278,5,1)</f>
        <v/>
      </c>
      <c r="O47" s="291">
        <f>VLOOKUP(O1,HYG!$B$27:$G$278,5,1)</f>
        <v/>
      </c>
      <c r="P47" s="292">
        <f>AVERAGE(D47:O47)</f>
        <v/>
      </c>
      <c r="Q47" s="293">
        <f>B47/P47</f>
        <v/>
      </c>
      <c r="R47" s="294">
        <f>(B47/D47)-1</f>
        <v/>
      </c>
      <c r="S47" s="294">
        <f>(C47/F47)-1</f>
        <v/>
      </c>
      <c r="T47" s="294">
        <f>(B47/I47)-1</f>
        <v/>
      </c>
      <c r="U47" s="294">
        <f>(B47/O47)-1</f>
        <v/>
      </c>
      <c r="V47" s="295">
        <f>R47*12</f>
        <v/>
      </c>
      <c r="W47" s="295">
        <f>S47*4</f>
        <v/>
      </c>
      <c r="X47" s="295">
        <f>T47*2</f>
        <v/>
      </c>
      <c r="Y47" s="295">
        <f>U47*1</f>
        <v/>
      </c>
      <c r="Z47" s="296">
        <f>SUM(V47:Y47)</f>
        <v/>
      </c>
    </row>
    <row r="48" ht="15" customHeight="1" s="322">
      <c r="A48" s="289">
        <f>관심종목!D45</f>
        <v/>
      </c>
      <c r="B48" s="499">
        <f>관심종목!H45</f>
        <v/>
      </c>
      <c r="C48" s="291">
        <f>VLOOKUP(C1,BWX!$B$27:$G$278,5,1)</f>
        <v/>
      </c>
      <c r="D48" s="291">
        <f>VLOOKUP(D1,BWX!$B$27:$G$278,5,1)</f>
        <v/>
      </c>
      <c r="E48" s="291">
        <f>VLOOKUP(E1,BWX!$B$27:$G$278,5,1)</f>
        <v/>
      </c>
      <c r="F48" s="291">
        <f>VLOOKUP(F1,BWX!$B$27:$G$278,5,1)</f>
        <v/>
      </c>
      <c r="G48" s="291">
        <f>VLOOKUP(G1,BWX!$B$27:$G$278,5,1)</f>
        <v/>
      </c>
      <c r="H48" s="291">
        <f>VLOOKUP(H1,BWX!$B$27:$G$278,5,1)</f>
        <v/>
      </c>
      <c r="I48" s="291">
        <f>VLOOKUP(I1,BWX!$B$27:$G$278,5,1)</f>
        <v/>
      </c>
      <c r="J48" s="291">
        <f>VLOOKUP(J1,BWX!$B$27:$G$278,5,1)</f>
        <v/>
      </c>
      <c r="K48" s="291">
        <f>VLOOKUP(K1,BWX!$B$27:$G$278,5,1)</f>
        <v/>
      </c>
      <c r="L48" s="291">
        <f>VLOOKUP(L1,BWX!$B$27:$G$278,5,1)</f>
        <v/>
      </c>
      <c r="M48" s="291">
        <f>VLOOKUP(M1,BWX!$B$27:$G$278,5,1)</f>
        <v/>
      </c>
      <c r="N48" s="291">
        <f>VLOOKUP(N1,BWX!$B$27:$G$278,5,1)</f>
        <v/>
      </c>
      <c r="O48" s="291">
        <f>VLOOKUP(O1,BWX!$B$27:$G$278,5,1)</f>
        <v/>
      </c>
      <c r="P48" s="292">
        <f>AVERAGE(D48:O48)</f>
        <v/>
      </c>
      <c r="Q48" s="293">
        <f>B48/P48</f>
        <v/>
      </c>
      <c r="R48" s="294">
        <f>(B48/D48)-1</f>
        <v/>
      </c>
      <c r="S48" s="294">
        <f>(C48/F48)-1</f>
        <v/>
      </c>
      <c r="T48" s="294">
        <f>(B48/I48)-1</f>
        <v/>
      </c>
      <c r="U48" s="294">
        <f>(B48/O48)-1</f>
        <v/>
      </c>
      <c r="V48" s="295">
        <f>R48*12</f>
        <v/>
      </c>
      <c r="W48" s="295">
        <f>S48*4</f>
        <v/>
      </c>
      <c r="X48" s="295">
        <f>T48*2</f>
        <v/>
      </c>
      <c r="Y48" s="295">
        <f>U48*1</f>
        <v/>
      </c>
      <c r="Z48" s="296">
        <f>SUM(V48:Y48)</f>
        <v/>
      </c>
    </row>
    <row r="49" ht="15" customHeight="1" s="322">
      <c r="A49" s="297">
        <f>관심종목!D46</f>
        <v/>
      </c>
      <c r="B49" s="500">
        <f>관심종목!H46</f>
        <v/>
      </c>
      <c r="C49" s="299">
        <f>VLOOKUP(C1,EMB!$B$27:$G$278,5,1)</f>
        <v/>
      </c>
      <c r="D49" s="299">
        <f>VLOOKUP(D1,EMB!$B$27:$G$278,5,1)</f>
        <v/>
      </c>
      <c r="E49" s="299">
        <f>VLOOKUP(E1,EMB!$B$27:$G$278,5,1)</f>
        <v/>
      </c>
      <c r="F49" s="299">
        <f>VLOOKUP(F1,EMB!$B$27:$G$278,5,1)</f>
        <v/>
      </c>
      <c r="G49" s="299">
        <f>VLOOKUP(G1,EMB!$B$27:$G$278,5,1)</f>
        <v/>
      </c>
      <c r="H49" s="299">
        <f>VLOOKUP(H1,EMB!$B$27:$G$278,5,1)</f>
        <v/>
      </c>
      <c r="I49" s="299">
        <f>VLOOKUP(I1,EMB!$B$27:$G$278,5,1)</f>
        <v/>
      </c>
      <c r="J49" s="299">
        <f>VLOOKUP(J1,EMB!$B$27:$G$278,5,1)</f>
        <v/>
      </c>
      <c r="K49" s="299">
        <f>VLOOKUP(K1,EMB!$B$27:$G$278,5,1)</f>
        <v/>
      </c>
      <c r="L49" s="299">
        <f>VLOOKUP(L1,EMB!$B$27:$G$278,5,1)</f>
        <v/>
      </c>
      <c r="M49" s="299">
        <f>VLOOKUP(M1,EMB!$B$27:$G$278,5,1)</f>
        <v/>
      </c>
      <c r="N49" s="299">
        <f>VLOOKUP(N1,EMB!$B$27:$G$278,5,1)</f>
        <v/>
      </c>
      <c r="O49" s="299">
        <f>VLOOKUP(O1,EMB!$B$27:$G$278,5,1)</f>
        <v/>
      </c>
      <c r="P49" s="300">
        <f>AVERAGE(D49:O49)</f>
        <v/>
      </c>
      <c r="Q49" s="301">
        <f>B49/P49</f>
        <v/>
      </c>
      <c r="R49" s="302">
        <f>(B49/D49)-1</f>
        <v/>
      </c>
      <c r="S49" s="302">
        <f>(C49/F49)-1</f>
        <v/>
      </c>
      <c r="T49" s="302">
        <f>(B49/I49)-1</f>
        <v/>
      </c>
      <c r="U49" s="302">
        <f>(B49/O49)-1</f>
        <v/>
      </c>
      <c r="V49" s="303">
        <f>R49*12</f>
        <v/>
      </c>
      <c r="W49" s="303">
        <f>S49*4</f>
        <v/>
      </c>
      <c r="X49" s="303">
        <f>T49*2</f>
        <v/>
      </c>
      <c r="Y49" s="303">
        <f>U49*1</f>
        <v/>
      </c>
      <c r="Z49" s="304">
        <f>SUM(V49:Y49)</f>
        <v/>
      </c>
    </row>
    <row r="50" ht="12.75" customHeight="1" s="322">
      <c r="A50" s="267" t="n"/>
    </row>
    <row r="51" ht="12.75" customHeight="1" s="322">
      <c r="A51" s="267" t="n"/>
    </row>
    <row r="52" ht="12.75" customHeight="1" s="322">
      <c r="A52" s="267" t="n"/>
    </row>
    <row r="53" ht="12.75" customHeight="1" s="322">
      <c r="A53" s="267" t="n"/>
    </row>
    <row r="54" ht="12.75" customHeight="1" s="322">
      <c r="A54" s="267">
        <f>관심종목!D51</f>
        <v/>
      </c>
    </row>
    <row r="55" ht="12.75" customHeight="1" s="322">
      <c r="A55" s="267">
        <f>관심종목!D52</f>
        <v/>
      </c>
    </row>
    <row r="56" ht="12.75" customHeight="1" s="322">
      <c r="A56" s="267">
        <f>관심종목!D53</f>
        <v/>
      </c>
    </row>
    <row r="57" ht="12.75" customHeight="1" s="322">
      <c r="A57" s="267">
        <f>관심종목!D54</f>
        <v/>
      </c>
    </row>
    <row r="58" ht="12.75" customHeight="1" s="322">
      <c r="A58" s="267" t="n"/>
    </row>
    <row r="59" ht="12.75" customHeight="1" s="322">
      <c r="A59" s="267" t="n"/>
    </row>
    <row r="60" ht="12.75" customHeight="1" s="322">
      <c r="A60" s="267" t="n"/>
    </row>
    <row r="61" ht="12.75" customHeight="1" s="322">
      <c r="A61" s="267" t="n"/>
    </row>
    <row r="62" ht="12.75" customHeight="1" s="322">
      <c r="A62" s="267" t="n"/>
    </row>
    <row r="63" ht="12.75" customHeight="1" s="322">
      <c r="A63" s="267" t="n"/>
    </row>
    <row r="64" ht="12.75" customHeight="1" s="322">
      <c r="A64" s="267" t="n"/>
    </row>
    <row r="65" ht="12.75" customHeight="1" s="322">
      <c r="A65" s="267" t="n"/>
    </row>
    <row r="66" ht="12.75" customHeight="1" s="322">
      <c r="A66" s="267" t="n"/>
    </row>
    <row r="67" ht="12.75" customHeight="1" s="322">
      <c r="A67" s="267" t="n"/>
    </row>
    <row r="68" ht="12.75" customHeight="1" s="322">
      <c r="A68" s="267" t="n"/>
    </row>
    <row r="69" ht="12.75" customHeight="1" s="322">
      <c r="A69" s="267" t="n"/>
    </row>
    <row r="70" ht="12.75" customHeight="1" s="322">
      <c r="A70" s="267" t="n"/>
    </row>
    <row r="71" ht="12.75" customHeight="1" s="322">
      <c r="A71" s="267" t="n"/>
    </row>
    <row r="72" ht="12.75" customHeight="1" s="322">
      <c r="A72" s="267" t="n"/>
    </row>
    <row r="73" ht="12.75" customHeight="1" s="322">
      <c r="A73" s="267" t="n"/>
    </row>
    <row r="74" ht="12.75" customHeight="1" s="322">
      <c r="A74" s="267" t="n"/>
    </row>
    <row r="75" ht="12.75" customHeight="1" s="322">
      <c r="A75" s="267" t="n"/>
    </row>
    <row r="76" ht="12.75" customHeight="1" s="322">
      <c r="A76" s="267" t="n"/>
    </row>
    <row r="77" ht="12.75" customHeight="1" s="322">
      <c r="A77" s="267" t="n"/>
    </row>
    <row r="78" ht="12.75" customHeight="1" s="322">
      <c r="A78" s="267" t="n"/>
    </row>
    <row r="79" ht="12.75" customHeight="1" s="322">
      <c r="A79" s="267" t="n"/>
    </row>
    <row r="80" ht="12.75" customHeight="1" s="322">
      <c r="A80" s="267" t="n"/>
    </row>
    <row r="81" ht="12.75" customHeight="1" s="322">
      <c r="A81" s="267" t="n"/>
    </row>
    <row r="82" ht="12.75" customHeight="1" s="322">
      <c r="A82" s="267" t="n"/>
    </row>
    <row r="83" ht="12.75" customHeight="1" s="322">
      <c r="A83" s="267" t="n"/>
    </row>
    <row r="84" ht="12.75" customHeight="1" s="322">
      <c r="A84" s="267" t="n"/>
    </row>
    <row r="85" ht="12.75" customHeight="1" s="322">
      <c r="A85" s="267" t="n"/>
    </row>
    <row r="86" ht="12.75" customHeight="1" s="322">
      <c r="A86" s="267" t="n"/>
    </row>
    <row r="87" ht="12.75" customHeight="1" s="322">
      <c r="A87" s="267" t="n"/>
    </row>
    <row r="88" ht="12.75" customHeight="1" s="322">
      <c r="A88" s="267" t="n"/>
    </row>
    <row r="89" ht="12.75" customHeight="1" s="322">
      <c r="A89" s="267" t="n"/>
    </row>
    <row r="90" ht="12.75" customHeight="1" s="322">
      <c r="A90" s="267" t="n"/>
    </row>
    <row r="91" ht="12.75" customHeight="1" s="322">
      <c r="A91" s="267" t="n"/>
    </row>
    <row r="92" ht="12.75" customHeight="1" s="322">
      <c r="A92" s="267" t="n"/>
    </row>
    <row r="93" ht="12.75" customHeight="1" s="322">
      <c r="A93" s="267" t="n"/>
    </row>
    <row r="94" ht="12.75" customHeight="1" s="322">
      <c r="A94" s="267" t="n"/>
    </row>
    <row r="95" ht="12.75" customHeight="1" s="322">
      <c r="A95" s="267" t="n"/>
    </row>
    <row r="96" ht="12.75" customHeight="1" s="322">
      <c r="A96" s="267" t="n"/>
    </row>
    <row r="97" ht="12.75" customHeight="1" s="322">
      <c r="A97" s="267" t="n"/>
    </row>
    <row r="98" ht="12.75" customHeight="1" s="322">
      <c r="A98" s="267" t="n"/>
    </row>
    <row r="99" ht="12.75" customHeight="1" s="322">
      <c r="A99" s="267" t="n"/>
    </row>
    <row r="100" ht="12.75" customHeight="1" s="322">
      <c r="A100" s="267" t="n"/>
    </row>
    <row r="101" ht="12.75" customHeight="1" s="322">
      <c r="A101" s="267" t="n"/>
    </row>
    <row r="102" ht="12.75" customHeight="1" s="322">
      <c r="A102" s="267" t="n"/>
    </row>
    <row r="103" ht="12.75" customHeight="1" s="322">
      <c r="A103" s="267" t="n"/>
    </row>
    <row r="104" ht="12.75" customHeight="1" s="322">
      <c r="A104" s="267" t="n"/>
    </row>
    <row r="105" ht="12.75" customHeight="1" s="322">
      <c r="A105" s="267" t="n"/>
    </row>
    <row r="106" ht="12.75" customHeight="1" s="322">
      <c r="A106" s="267" t="n"/>
    </row>
    <row r="107" ht="12.75" customHeight="1" s="322">
      <c r="A107" s="267" t="n"/>
    </row>
    <row r="108" ht="12.75" customHeight="1" s="322">
      <c r="A108" s="267" t="n"/>
    </row>
    <row r="109" ht="12.75" customHeight="1" s="322">
      <c r="A109" s="267" t="n"/>
    </row>
    <row r="110" ht="12.75" customHeight="1" s="322">
      <c r="A110" s="267" t="n"/>
    </row>
    <row r="111" ht="12.75" customHeight="1" s="322">
      <c r="A111" s="267" t="n"/>
    </row>
    <row r="112" ht="12.75" customHeight="1" s="322">
      <c r="A112" s="267" t="n"/>
    </row>
    <row r="113" ht="12.75" customHeight="1" s="322">
      <c r="A113" s="267" t="n"/>
    </row>
    <row r="114" ht="12.75" customHeight="1" s="322">
      <c r="A114" s="267" t="n"/>
    </row>
    <row r="115" ht="12.75" customHeight="1" s="322">
      <c r="A115" s="267" t="n"/>
    </row>
    <row r="116" ht="12.75" customHeight="1" s="322">
      <c r="A116" s="267" t="n"/>
    </row>
    <row r="117" ht="12.75" customHeight="1" s="322">
      <c r="A117" s="267" t="n"/>
    </row>
    <row r="118" ht="12.75" customHeight="1" s="322">
      <c r="A118" s="267" t="n"/>
    </row>
    <row r="119" ht="12.75" customHeight="1" s="322">
      <c r="A119" s="267" t="n"/>
    </row>
    <row r="120" ht="12.75" customHeight="1" s="322">
      <c r="A120" s="267" t="n"/>
    </row>
    <row r="121" ht="12.75" customHeight="1" s="322">
      <c r="A121" s="267" t="n"/>
    </row>
    <row r="122" ht="12.75" customHeight="1" s="322">
      <c r="A122" s="267" t="n"/>
    </row>
    <row r="123" ht="12.75" customHeight="1" s="322">
      <c r="A123" s="267" t="n"/>
    </row>
    <row r="124" ht="12.75" customHeight="1" s="322">
      <c r="A124" s="267" t="n"/>
    </row>
    <row r="125" ht="12.75" customHeight="1" s="322">
      <c r="A125" s="267" t="n"/>
    </row>
    <row r="126" ht="12.75" customHeight="1" s="322">
      <c r="A126" s="267" t="n"/>
    </row>
    <row r="127" ht="12.75" customHeight="1" s="322">
      <c r="A127" s="267" t="n"/>
    </row>
    <row r="128" ht="12.75" customHeight="1" s="322">
      <c r="A128" s="267" t="n"/>
    </row>
    <row r="129" ht="12.75" customHeight="1" s="322">
      <c r="A129" s="267" t="n"/>
    </row>
    <row r="130" ht="12.75" customHeight="1" s="322">
      <c r="A130" s="267" t="n"/>
    </row>
    <row r="131" ht="12.75" customHeight="1" s="322">
      <c r="A131" s="267" t="n"/>
    </row>
    <row r="132" ht="12.75" customHeight="1" s="322">
      <c r="A132" s="267" t="n"/>
    </row>
    <row r="133" ht="12.75" customHeight="1" s="322">
      <c r="A133" s="267" t="n"/>
    </row>
    <row r="134" ht="12.75" customHeight="1" s="322">
      <c r="A134" s="267" t="n"/>
    </row>
    <row r="135" ht="12.75" customHeight="1" s="322">
      <c r="A135" s="267" t="n"/>
    </row>
    <row r="136" ht="12.75" customHeight="1" s="322">
      <c r="A136" s="267" t="n"/>
    </row>
    <row r="137" ht="12.75" customHeight="1" s="322">
      <c r="A137" s="267" t="n"/>
    </row>
    <row r="138" ht="12.75" customHeight="1" s="322">
      <c r="A138" s="267" t="n"/>
    </row>
    <row r="139" ht="12.75" customHeight="1" s="322">
      <c r="A139" s="267" t="n"/>
    </row>
    <row r="140" ht="12.75" customHeight="1" s="322">
      <c r="A140" s="267" t="n"/>
    </row>
    <row r="141" ht="12.75" customHeight="1" s="322">
      <c r="A141" s="267" t="n"/>
    </row>
    <row r="142" ht="12.75" customHeight="1" s="322">
      <c r="A142" s="267" t="n"/>
    </row>
    <row r="143" ht="12.75" customHeight="1" s="322">
      <c r="A143" s="267" t="n"/>
    </row>
    <row r="144" ht="12.75" customHeight="1" s="322">
      <c r="A144" s="267" t="n"/>
    </row>
    <row r="145" ht="12.75" customHeight="1" s="322">
      <c r="A145" s="267" t="n"/>
    </row>
    <row r="146" ht="12.75" customHeight="1" s="322">
      <c r="A146" s="267" t="n"/>
    </row>
    <row r="147" ht="12.75" customHeight="1" s="322">
      <c r="A147" s="267" t="n"/>
    </row>
    <row r="148" ht="12.75" customHeight="1" s="322">
      <c r="A148" s="267" t="n"/>
    </row>
    <row r="149" ht="12.75" customHeight="1" s="322">
      <c r="A149" s="267" t="n"/>
    </row>
    <row r="150" ht="12.75" customHeight="1" s="322">
      <c r="A150" s="267" t="n"/>
    </row>
    <row r="151" ht="12.75" customHeight="1" s="322">
      <c r="A151" s="267" t="n"/>
    </row>
    <row r="152" ht="12.75" customHeight="1" s="322">
      <c r="A152" s="267" t="n"/>
    </row>
    <row r="153" ht="12.75" customHeight="1" s="322">
      <c r="A153" s="267" t="n"/>
    </row>
    <row r="154" ht="12.75" customHeight="1" s="322">
      <c r="A154" s="267" t="n"/>
    </row>
    <row r="155" ht="12.75" customHeight="1" s="322">
      <c r="A155" s="267" t="n"/>
    </row>
    <row r="156" ht="12.75" customHeight="1" s="322">
      <c r="A156" s="267" t="n"/>
    </row>
    <row r="157" ht="12.75" customHeight="1" s="322">
      <c r="A157" s="267" t="n"/>
    </row>
    <row r="158" ht="12.75" customHeight="1" s="322">
      <c r="A158" s="267" t="n"/>
    </row>
    <row r="159" ht="12.75" customHeight="1" s="322">
      <c r="A159" s="267" t="n"/>
    </row>
    <row r="160" ht="12.75" customHeight="1" s="322">
      <c r="A160" s="267" t="n"/>
    </row>
    <row r="161" ht="12.75" customHeight="1" s="322">
      <c r="A161" s="267" t="n"/>
    </row>
    <row r="162" ht="12.75" customHeight="1" s="322">
      <c r="A162" s="267" t="n"/>
    </row>
    <row r="163" ht="12.75" customHeight="1" s="322">
      <c r="A163" s="267" t="n"/>
    </row>
    <row r="164" ht="12.75" customHeight="1" s="322">
      <c r="A164" s="267" t="n"/>
    </row>
    <row r="165" ht="12.75" customHeight="1" s="322">
      <c r="A165" s="267" t="n"/>
    </row>
    <row r="166" ht="12.75" customHeight="1" s="322">
      <c r="A166" s="267" t="n"/>
    </row>
    <row r="167" ht="12.75" customHeight="1" s="322">
      <c r="A167" s="267" t="n"/>
    </row>
    <row r="168" ht="12.75" customHeight="1" s="322">
      <c r="A168" s="267" t="n"/>
    </row>
    <row r="169" ht="12.75" customHeight="1" s="322">
      <c r="A169" s="267" t="n"/>
    </row>
    <row r="170" ht="12.75" customHeight="1" s="322">
      <c r="A170" s="267" t="n"/>
    </row>
    <row r="171" ht="12.75" customHeight="1" s="322">
      <c r="A171" s="267" t="n"/>
    </row>
    <row r="172" ht="12.75" customHeight="1" s="322">
      <c r="A172" s="267" t="n"/>
    </row>
    <row r="173" ht="12.75" customHeight="1" s="322">
      <c r="A173" s="267" t="n"/>
    </row>
    <row r="174" ht="12.75" customHeight="1" s="322">
      <c r="A174" s="267" t="n"/>
    </row>
    <row r="175" ht="12.75" customHeight="1" s="322">
      <c r="A175" s="267" t="n"/>
    </row>
    <row r="176" ht="12.75" customHeight="1" s="322">
      <c r="A176" s="267" t="n"/>
    </row>
    <row r="177" ht="12.75" customHeight="1" s="322">
      <c r="A177" s="267" t="n"/>
    </row>
    <row r="178" ht="12.75" customHeight="1" s="322">
      <c r="A178" s="267" t="n"/>
    </row>
    <row r="179" ht="12.75" customHeight="1" s="322">
      <c r="A179" s="267" t="n"/>
    </row>
    <row r="180" ht="12.75" customHeight="1" s="322">
      <c r="A180" s="267" t="n"/>
    </row>
    <row r="181" ht="12.75" customHeight="1" s="322">
      <c r="A181" s="267" t="n"/>
    </row>
    <row r="182" ht="12.75" customHeight="1" s="322">
      <c r="A182" s="267" t="n"/>
    </row>
    <row r="183" ht="12.75" customHeight="1" s="322">
      <c r="A183" s="267" t="n"/>
    </row>
    <row r="184" ht="12.75" customHeight="1" s="322">
      <c r="A184" s="267" t="n"/>
    </row>
    <row r="185" ht="12.75" customHeight="1" s="322">
      <c r="A185" s="267" t="n"/>
    </row>
    <row r="186" ht="12.75" customHeight="1" s="322">
      <c r="A186" s="267" t="n"/>
    </row>
    <row r="187" ht="12.75" customHeight="1" s="322">
      <c r="A187" s="267" t="n"/>
    </row>
    <row r="188" ht="12.75" customHeight="1" s="322">
      <c r="A188" s="267" t="n"/>
    </row>
    <row r="189" ht="12.75" customHeight="1" s="322">
      <c r="A189" s="267" t="n"/>
    </row>
    <row r="190" ht="12.75" customHeight="1" s="322">
      <c r="A190" s="267" t="n"/>
    </row>
    <row r="191" ht="12.75" customHeight="1" s="322">
      <c r="A191" s="267" t="n"/>
    </row>
    <row r="192" ht="12.75" customHeight="1" s="322">
      <c r="A192" s="267" t="n"/>
    </row>
    <row r="193" ht="12.75" customHeight="1" s="322">
      <c r="A193" s="267" t="n"/>
    </row>
    <row r="194" ht="12.75" customHeight="1" s="322">
      <c r="A194" s="267" t="n"/>
    </row>
    <row r="195" ht="12.75" customHeight="1" s="322">
      <c r="A195" s="267" t="n"/>
    </row>
    <row r="196" ht="12.75" customHeight="1" s="322">
      <c r="A196" s="267" t="n"/>
    </row>
    <row r="197" ht="12.75" customHeight="1" s="322">
      <c r="A197" s="267" t="n"/>
    </row>
    <row r="198" ht="12.75" customHeight="1" s="322">
      <c r="A198" s="267" t="n"/>
    </row>
    <row r="199" ht="12.75" customHeight="1" s="322">
      <c r="A199" s="267" t="n"/>
    </row>
    <row r="200" ht="12.75" customHeight="1" s="322">
      <c r="A200" s="267" t="n"/>
    </row>
    <row r="201" ht="12.75" customHeight="1" s="322">
      <c r="A201" s="267" t="n"/>
    </row>
    <row r="202" ht="12.75" customHeight="1" s="322">
      <c r="A202" s="267" t="n"/>
    </row>
    <row r="203" ht="12.75" customHeight="1" s="322">
      <c r="A203" s="267" t="n"/>
    </row>
    <row r="204" ht="12.75" customHeight="1" s="322">
      <c r="A204" s="267" t="n"/>
    </row>
    <row r="205" ht="12.75" customHeight="1" s="322">
      <c r="A205" s="267" t="n"/>
    </row>
    <row r="206" ht="12.75" customHeight="1" s="322">
      <c r="A206" s="267" t="n"/>
    </row>
    <row r="207" ht="12.75" customHeight="1" s="322">
      <c r="A207" s="267" t="n"/>
    </row>
    <row r="208" ht="12.75" customHeight="1" s="322">
      <c r="A208" s="267" t="n"/>
    </row>
    <row r="209" ht="12.75" customHeight="1" s="322">
      <c r="A209" s="267" t="n"/>
    </row>
    <row r="210" ht="12.75" customHeight="1" s="322">
      <c r="A210" s="267" t="n"/>
    </row>
    <row r="211" ht="12.75" customHeight="1" s="322">
      <c r="A211" s="267" t="n"/>
    </row>
    <row r="212" ht="12.75" customHeight="1" s="322">
      <c r="A212" s="267" t="n"/>
    </row>
    <row r="213" ht="12.75" customHeight="1" s="322">
      <c r="A213" s="267" t="n"/>
    </row>
    <row r="214" ht="12.75" customHeight="1" s="322">
      <c r="A214" s="267" t="n"/>
    </row>
    <row r="215" ht="12.75" customHeight="1" s="322">
      <c r="A215" s="267" t="n"/>
    </row>
    <row r="216" ht="12.75" customHeight="1" s="322">
      <c r="A216" s="267" t="n"/>
    </row>
    <row r="217" ht="12.75" customHeight="1" s="322">
      <c r="A217" s="267" t="n"/>
    </row>
    <row r="218" ht="12.75" customHeight="1" s="322">
      <c r="A218" s="267" t="n"/>
    </row>
    <row r="219" ht="12.75" customHeight="1" s="322">
      <c r="A219" s="267" t="n"/>
    </row>
    <row r="220" ht="12.75" customHeight="1" s="322">
      <c r="A220" s="267" t="n"/>
    </row>
    <row r="221" ht="12.75" customHeight="1" s="322">
      <c r="A221" s="267" t="n"/>
    </row>
    <row r="222" ht="12.75" customHeight="1" s="322">
      <c r="A222" s="267" t="n"/>
    </row>
    <row r="223" ht="12.75" customHeight="1" s="322">
      <c r="A223" s="267" t="n"/>
    </row>
    <row r="224" ht="12.75" customHeight="1" s="322">
      <c r="A224" s="267" t="n"/>
    </row>
    <row r="225" ht="12.75" customHeight="1" s="322">
      <c r="A225" s="267" t="n"/>
    </row>
    <row r="226" ht="12.75" customHeight="1" s="322">
      <c r="A226" s="267" t="n"/>
    </row>
    <row r="227" ht="12.75" customHeight="1" s="322">
      <c r="A227" s="267" t="n"/>
    </row>
    <row r="228" ht="12.75" customHeight="1" s="322">
      <c r="A228" s="267" t="n"/>
    </row>
    <row r="229" ht="12.75" customHeight="1" s="322">
      <c r="A229" s="267" t="n"/>
    </row>
    <row r="230" ht="12.75" customHeight="1" s="322">
      <c r="A230" s="267" t="n"/>
    </row>
    <row r="231" ht="12.75" customHeight="1" s="322">
      <c r="A231" s="267" t="n"/>
    </row>
    <row r="232" ht="12.75" customHeight="1" s="322">
      <c r="A232" s="267" t="n"/>
    </row>
    <row r="233" ht="12.75" customHeight="1" s="322">
      <c r="A233" s="267" t="n"/>
    </row>
    <row r="234" ht="12.75" customHeight="1" s="322">
      <c r="A234" s="267" t="n"/>
    </row>
    <row r="235" ht="12.75" customHeight="1" s="322">
      <c r="A235" s="267" t="n"/>
    </row>
    <row r="236" ht="12.75" customHeight="1" s="322">
      <c r="A236" s="267" t="n"/>
    </row>
    <row r="237" ht="12.75" customHeight="1" s="322">
      <c r="A237" s="267" t="n"/>
    </row>
    <row r="238" ht="12.75" customHeight="1" s="322">
      <c r="A238" s="267" t="n"/>
    </row>
    <row r="239" ht="12.75" customHeight="1" s="322">
      <c r="A239" s="267" t="n"/>
    </row>
    <row r="240" ht="12.75" customHeight="1" s="322">
      <c r="A240" s="267" t="n"/>
    </row>
    <row r="241" ht="12.75" customHeight="1" s="322">
      <c r="A241" s="267" t="n"/>
    </row>
    <row r="242" ht="12.75" customHeight="1" s="322">
      <c r="A242" s="267" t="n"/>
    </row>
    <row r="243" ht="12.75" customHeight="1" s="322">
      <c r="A243" s="267" t="n"/>
    </row>
    <row r="244" ht="12.75" customHeight="1" s="322">
      <c r="A244" s="267" t="n"/>
    </row>
    <row r="245" ht="12.75" customHeight="1" s="322">
      <c r="A245" s="267" t="n"/>
    </row>
    <row r="246" ht="12.75" customHeight="1" s="322">
      <c r="A246" s="267" t="n"/>
    </row>
    <row r="247" ht="12.75" customHeight="1" s="322">
      <c r="A247" s="267" t="n"/>
    </row>
    <row r="248" ht="12.75" customHeight="1" s="322">
      <c r="A248" s="267" t="n"/>
    </row>
    <row r="249" ht="12.75" customHeight="1" s="322">
      <c r="A249" s="267" t="n"/>
    </row>
    <row r="250" ht="12.75" customHeight="1" s="322">
      <c r="A250" s="267" t="n"/>
    </row>
    <row r="251" ht="12.75" customHeight="1" s="322">
      <c r="A251" s="267" t="n"/>
    </row>
    <row r="252" ht="12.75" customHeight="1" s="322">
      <c r="A252" s="267" t="n"/>
    </row>
    <row r="253" ht="12.75" customHeight="1" s="322">
      <c r="A253" s="267" t="n"/>
    </row>
    <row r="254" ht="12.75" customHeight="1" s="322">
      <c r="A254" s="267" t="n"/>
    </row>
    <row r="255" ht="12.75" customHeight="1" s="322">
      <c r="A255" s="267" t="n"/>
    </row>
    <row r="256" ht="12.75" customHeight="1" s="322">
      <c r="A256" s="267" t="n"/>
    </row>
    <row r="257" ht="12.75" customHeight="1" s="322">
      <c r="A257" s="267" t="n"/>
    </row>
    <row r="258" ht="12.75" customHeight="1" s="322">
      <c r="A258" s="267" t="n"/>
    </row>
    <row r="259" ht="12.75" customHeight="1" s="322">
      <c r="A259" s="267" t="n"/>
    </row>
    <row r="260" ht="12.75" customHeight="1" s="322">
      <c r="A260" s="267" t="n"/>
    </row>
    <row r="261" ht="12.75" customHeight="1" s="322">
      <c r="A261" s="267" t="n"/>
    </row>
    <row r="262" ht="12.75" customHeight="1" s="322">
      <c r="A262" s="267" t="n"/>
    </row>
    <row r="263" ht="12.75" customHeight="1" s="322">
      <c r="A263" s="267" t="n"/>
    </row>
    <row r="264" ht="12.75" customHeight="1" s="322">
      <c r="A264" s="267" t="n"/>
    </row>
    <row r="265" ht="12.75" customHeight="1" s="322">
      <c r="A265" s="267" t="n"/>
    </row>
    <row r="266" ht="12.75" customHeight="1" s="322">
      <c r="A266" s="267" t="n"/>
    </row>
    <row r="267" ht="12.75" customHeight="1" s="322">
      <c r="A267" s="267" t="n"/>
    </row>
    <row r="268" ht="12.75" customHeight="1" s="322">
      <c r="A268" s="267" t="n"/>
    </row>
    <row r="269" ht="12.75" customHeight="1" s="322">
      <c r="A269" s="267" t="n"/>
    </row>
    <row r="270" ht="12.75" customHeight="1" s="322">
      <c r="A270" s="267" t="n"/>
    </row>
    <row r="271" ht="12.75" customHeight="1" s="322">
      <c r="A271" s="267" t="n"/>
    </row>
    <row r="272" ht="12.75" customHeight="1" s="322">
      <c r="A272" s="267" t="n"/>
    </row>
    <row r="273" ht="12.75" customHeight="1" s="322">
      <c r="A273" s="267" t="n"/>
    </row>
    <row r="274" ht="12.75" customHeight="1" s="322">
      <c r="A274" s="267" t="n"/>
    </row>
    <row r="275" ht="12.75" customHeight="1" s="322">
      <c r="A275" s="267" t="n"/>
    </row>
    <row r="276" ht="12.75" customHeight="1" s="322">
      <c r="A276" s="267" t="n"/>
    </row>
    <row r="277" ht="12.75" customHeight="1" s="322">
      <c r="A277" s="267" t="n"/>
    </row>
    <row r="278" ht="12.75" customHeight="1" s="322">
      <c r="A278" s="267" t="n"/>
    </row>
    <row r="279" ht="12.75" customHeight="1" s="322">
      <c r="A279" s="267" t="n"/>
    </row>
    <row r="280" ht="12.75" customHeight="1" s="322">
      <c r="A280" s="267" t="n"/>
    </row>
    <row r="281" ht="12.75" customHeight="1" s="322">
      <c r="A281" s="267" t="n"/>
    </row>
    <row r="282" ht="12.75" customHeight="1" s="322">
      <c r="A282" s="267" t="n"/>
    </row>
    <row r="283" ht="12.75" customHeight="1" s="322">
      <c r="A283" s="267" t="n"/>
    </row>
    <row r="284" ht="12.75" customHeight="1" s="322">
      <c r="A284" s="267" t="n"/>
    </row>
    <row r="285" ht="12.75" customHeight="1" s="322">
      <c r="A285" s="267" t="n"/>
    </row>
    <row r="286" ht="12.75" customHeight="1" s="322">
      <c r="A286" s="267" t="n"/>
    </row>
    <row r="287" ht="12.75" customHeight="1" s="322">
      <c r="A287" s="267" t="n"/>
    </row>
    <row r="288" ht="12.75" customHeight="1" s="322">
      <c r="A288" s="267" t="n"/>
    </row>
    <row r="289" ht="12.75" customHeight="1" s="322">
      <c r="A289" s="267" t="n"/>
    </row>
    <row r="290" ht="12.75" customHeight="1" s="322">
      <c r="A290" s="267" t="n"/>
    </row>
    <row r="291" ht="12.75" customHeight="1" s="322">
      <c r="A291" s="267" t="n"/>
    </row>
    <row r="292" ht="12.75" customHeight="1" s="322">
      <c r="A292" s="267" t="n"/>
    </row>
    <row r="293" ht="12.75" customHeight="1" s="322">
      <c r="A293" s="267" t="n"/>
    </row>
    <row r="294" ht="12.75" customHeight="1" s="322">
      <c r="A294" s="267" t="n"/>
    </row>
    <row r="295" ht="12.75" customHeight="1" s="322">
      <c r="A295" s="267" t="n"/>
    </row>
    <row r="296" ht="12.75" customHeight="1" s="322">
      <c r="A296" s="267" t="n"/>
    </row>
    <row r="297" ht="12.75" customHeight="1" s="322">
      <c r="A297" s="267" t="n"/>
    </row>
    <row r="298" ht="12.75" customHeight="1" s="322">
      <c r="A298" s="267" t="n"/>
    </row>
    <row r="299" ht="12.75" customHeight="1" s="322">
      <c r="A299" s="267" t="n"/>
    </row>
    <row r="300" ht="12.75" customHeight="1" s="322">
      <c r="A300" s="267" t="n"/>
    </row>
    <row r="301" ht="12.75" customHeight="1" s="322">
      <c r="A301" s="267" t="n"/>
    </row>
    <row r="302" ht="12.75" customHeight="1" s="322">
      <c r="A302" s="267" t="n"/>
    </row>
    <row r="303" ht="12.75" customHeight="1" s="322">
      <c r="A303" s="267" t="n"/>
    </row>
    <row r="304" ht="12.75" customHeight="1" s="322">
      <c r="A304" s="267" t="n"/>
    </row>
    <row r="305" ht="12.75" customHeight="1" s="322">
      <c r="A305" s="267" t="n"/>
    </row>
    <row r="306" ht="12.75" customHeight="1" s="322">
      <c r="A306" s="267" t="n"/>
    </row>
    <row r="307" ht="12.75" customHeight="1" s="322">
      <c r="A307" s="267" t="n"/>
    </row>
    <row r="308" ht="12.75" customHeight="1" s="322">
      <c r="A308" s="267" t="n"/>
    </row>
    <row r="309" ht="12.75" customHeight="1" s="322">
      <c r="A309" s="267" t="n"/>
    </row>
    <row r="310" ht="12.75" customHeight="1" s="322">
      <c r="A310" s="267" t="n"/>
    </row>
    <row r="311" ht="12.75" customHeight="1" s="322">
      <c r="A311" s="267" t="n"/>
    </row>
    <row r="312" ht="12.75" customHeight="1" s="322">
      <c r="A312" s="267" t="n"/>
    </row>
    <row r="313" ht="12.75" customHeight="1" s="322">
      <c r="A313" s="267" t="n"/>
    </row>
    <row r="314" ht="12.75" customHeight="1" s="322">
      <c r="A314" s="267" t="n"/>
    </row>
    <row r="315" ht="12.75" customHeight="1" s="322">
      <c r="A315" s="267" t="n"/>
    </row>
    <row r="316" ht="12.75" customHeight="1" s="322">
      <c r="A316" s="267" t="n"/>
    </row>
    <row r="317" ht="12.75" customHeight="1" s="322">
      <c r="A317" s="267" t="n"/>
    </row>
    <row r="318" ht="12.75" customHeight="1" s="322">
      <c r="A318" s="267" t="n"/>
    </row>
    <row r="319" ht="12.75" customHeight="1" s="322">
      <c r="A319" s="267" t="n"/>
    </row>
    <row r="320" ht="12.75" customHeight="1" s="322">
      <c r="A320" s="267" t="n"/>
    </row>
    <row r="321" ht="12.75" customHeight="1" s="322">
      <c r="A321" s="267" t="n"/>
    </row>
    <row r="322" ht="12.75" customHeight="1" s="322">
      <c r="A322" s="267" t="n"/>
    </row>
    <row r="323" ht="12.75" customHeight="1" s="322">
      <c r="A323" s="267" t="n"/>
    </row>
    <row r="324" ht="12.75" customHeight="1" s="322">
      <c r="A324" s="267" t="n"/>
    </row>
    <row r="325" ht="12.75" customHeight="1" s="322">
      <c r="A325" s="267" t="n"/>
    </row>
    <row r="326" ht="12.75" customHeight="1" s="322">
      <c r="A326" s="267" t="n"/>
    </row>
    <row r="327" ht="12.75" customHeight="1" s="322">
      <c r="A327" s="267" t="n"/>
    </row>
    <row r="328" ht="12.75" customHeight="1" s="322">
      <c r="A328" s="267" t="n"/>
    </row>
    <row r="329" ht="12.75" customHeight="1" s="322">
      <c r="A329" s="267" t="n"/>
    </row>
    <row r="330" ht="12.75" customHeight="1" s="322">
      <c r="A330" s="267" t="n"/>
    </row>
    <row r="331" ht="12.75" customHeight="1" s="322">
      <c r="A331" s="267" t="n"/>
    </row>
    <row r="332" ht="12.75" customHeight="1" s="322">
      <c r="A332" s="267" t="n"/>
    </row>
    <row r="333" ht="12.75" customHeight="1" s="322">
      <c r="A333" s="267" t="n"/>
    </row>
    <row r="334" ht="12.75" customHeight="1" s="322">
      <c r="A334" s="267" t="n"/>
    </row>
    <row r="335" ht="12.75" customHeight="1" s="322">
      <c r="A335" s="267" t="n"/>
    </row>
    <row r="336" ht="12.75" customHeight="1" s="322">
      <c r="A336" s="267" t="n"/>
    </row>
    <row r="337" ht="12.75" customHeight="1" s="322">
      <c r="A337" s="267" t="n"/>
    </row>
    <row r="338" ht="12.75" customHeight="1" s="322">
      <c r="A338" s="267" t="n"/>
    </row>
    <row r="339" ht="12.75" customHeight="1" s="322">
      <c r="A339" s="267" t="n"/>
    </row>
    <row r="340" ht="12.75" customHeight="1" s="322">
      <c r="A340" s="267" t="n"/>
    </row>
    <row r="341" ht="12.75" customHeight="1" s="322">
      <c r="A341" s="267" t="n"/>
    </row>
    <row r="342" ht="12.75" customHeight="1" s="322">
      <c r="A342" s="267" t="n"/>
    </row>
    <row r="343" ht="12.75" customHeight="1" s="322">
      <c r="A343" s="267" t="n"/>
    </row>
    <row r="344" ht="12.75" customHeight="1" s="322">
      <c r="A344" s="267" t="n"/>
    </row>
    <row r="345" ht="12.75" customHeight="1" s="322">
      <c r="A345" s="267" t="n"/>
    </row>
    <row r="346" ht="12.75" customHeight="1" s="322">
      <c r="A346" s="267" t="n"/>
    </row>
    <row r="347" ht="12.75" customHeight="1" s="322">
      <c r="A347" s="267" t="n"/>
    </row>
    <row r="348" ht="12.75" customHeight="1" s="322">
      <c r="A348" s="267" t="n"/>
    </row>
    <row r="349" ht="12.75" customHeight="1" s="322">
      <c r="A349" s="267" t="n"/>
    </row>
    <row r="350" ht="12.75" customHeight="1" s="322">
      <c r="A350" s="267" t="n"/>
    </row>
    <row r="351" ht="12.75" customHeight="1" s="322">
      <c r="A351" s="267" t="n"/>
    </row>
    <row r="352" ht="12.75" customHeight="1" s="322">
      <c r="A352" s="267" t="n"/>
    </row>
    <row r="353" ht="12.75" customHeight="1" s="322">
      <c r="A353" s="267" t="n"/>
    </row>
    <row r="354" ht="12.75" customHeight="1" s="322">
      <c r="A354" s="267" t="n"/>
    </row>
    <row r="355" ht="12.75" customHeight="1" s="322">
      <c r="A355" s="267" t="n"/>
    </row>
    <row r="356" ht="12.75" customHeight="1" s="322">
      <c r="A356" s="267" t="n"/>
    </row>
    <row r="357" ht="12.75" customHeight="1" s="322">
      <c r="A357" s="267" t="n"/>
    </row>
    <row r="358" ht="12.75" customHeight="1" s="322">
      <c r="A358" s="267" t="n"/>
    </row>
    <row r="359" ht="12.75" customHeight="1" s="322">
      <c r="A359" s="267" t="n"/>
    </row>
    <row r="360" ht="12.75" customHeight="1" s="322">
      <c r="A360" s="267" t="n"/>
    </row>
    <row r="361" ht="12.75" customHeight="1" s="322">
      <c r="A361" s="267" t="n"/>
    </row>
    <row r="362" ht="12.75" customHeight="1" s="322">
      <c r="A362" s="267" t="n"/>
    </row>
    <row r="363" ht="12.75" customHeight="1" s="322">
      <c r="A363" s="267" t="n"/>
    </row>
    <row r="364" ht="12.75" customHeight="1" s="322">
      <c r="A364" s="267" t="n"/>
    </row>
    <row r="365" ht="12.75" customHeight="1" s="322">
      <c r="A365" s="267" t="n"/>
    </row>
    <row r="366" ht="12.75" customHeight="1" s="322">
      <c r="A366" s="267" t="n"/>
    </row>
    <row r="367" ht="12.75" customHeight="1" s="322">
      <c r="A367" s="267" t="n"/>
    </row>
    <row r="368" ht="12.75" customHeight="1" s="322">
      <c r="A368" s="267" t="n"/>
    </row>
    <row r="369" ht="12.75" customHeight="1" s="322">
      <c r="A369" s="267" t="n"/>
    </row>
    <row r="370" ht="12.75" customHeight="1" s="322">
      <c r="A370" s="267" t="n"/>
    </row>
    <row r="371" ht="12.75" customHeight="1" s="322">
      <c r="A371" s="267" t="n"/>
    </row>
    <row r="372" ht="12.75" customHeight="1" s="322">
      <c r="A372" s="267" t="n"/>
    </row>
    <row r="373" ht="12.75" customHeight="1" s="322">
      <c r="A373" s="267" t="n"/>
    </row>
    <row r="374" ht="12.75" customHeight="1" s="322">
      <c r="A374" s="267" t="n"/>
    </row>
    <row r="375" ht="12.75" customHeight="1" s="322">
      <c r="A375" s="267" t="n"/>
    </row>
    <row r="376" ht="12.75" customHeight="1" s="322">
      <c r="A376" s="267" t="n"/>
    </row>
    <row r="377" ht="12.75" customHeight="1" s="322">
      <c r="A377" s="267" t="n"/>
    </row>
    <row r="378" ht="12.75" customHeight="1" s="322">
      <c r="A378" s="267" t="n"/>
    </row>
    <row r="379" ht="12.75" customHeight="1" s="322">
      <c r="A379" s="267" t="n"/>
    </row>
    <row r="380" ht="12.75" customHeight="1" s="322">
      <c r="A380" s="267" t="n"/>
    </row>
    <row r="381" ht="12.75" customHeight="1" s="322">
      <c r="A381" s="267" t="n"/>
    </row>
    <row r="382" ht="12.75" customHeight="1" s="322">
      <c r="A382" s="267" t="n"/>
    </row>
    <row r="383" ht="12.75" customHeight="1" s="322">
      <c r="A383" s="267" t="n"/>
    </row>
    <row r="384" ht="12.75" customHeight="1" s="322">
      <c r="A384" s="267" t="n"/>
    </row>
    <row r="385" ht="12.75" customHeight="1" s="322">
      <c r="A385" s="267" t="n"/>
    </row>
    <row r="386" ht="12.75" customHeight="1" s="322">
      <c r="A386" s="267" t="n"/>
    </row>
    <row r="387" ht="12.75" customHeight="1" s="322">
      <c r="A387" s="267" t="n"/>
    </row>
    <row r="388" ht="12.75" customHeight="1" s="322">
      <c r="A388" s="267" t="n"/>
    </row>
    <row r="389" ht="12.75" customHeight="1" s="322">
      <c r="A389" s="267" t="n"/>
    </row>
    <row r="390" ht="12.75" customHeight="1" s="322">
      <c r="A390" s="267" t="n"/>
    </row>
    <row r="391" ht="12.75" customHeight="1" s="322">
      <c r="A391" s="267" t="n"/>
    </row>
    <row r="392" ht="12.75" customHeight="1" s="322">
      <c r="A392" s="267" t="n"/>
    </row>
    <row r="393" ht="12.75" customHeight="1" s="322">
      <c r="A393" s="267" t="n"/>
    </row>
    <row r="394" ht="12.75" customHeight="1" s="322">
      <c r="A394" s="267" t="n"/>
    </row>
    <row r="395" ht="12.75" customHeight="1" s="322">
      <c r="A395" s="267" t="n"/>
    </row>
    <row r="396" ht="12.75" customHeight="1" s="322">
      <c r="A396" s="267" t="n"/>
    </row>
    <row r="397" ht="12.75" customHeight="1" s="322">
      <c r="A397" s="267" t="n"/>
    </row>
    <row r="398" ht="12.75" customHeight="1" s="322">
      <c r="A398" s="267" t="n"/>
    </row>
    <row r="399" ht="12.75" customHeight="1" s="322">
      <c r="A399" s="267" t="n"/>
    </row>
    <row r="400" ht="12.75" customHeight="1" s="322">
      <c r="A400" s="267" t="n"/>
    </row>
    <row r="401" ht="12.75" customHeight="1" s="322">
      <c r="A401" s="267" t="n"/>
    </row>
    <row r="402" ht="12.75" customHeight="1" s="322">
      <c r="A402" s="267" t="n"/>
    </row>
    <row r="403" ht="12.75" customHeight="1" s="322">
      <c r="A403" s="267" t="n"/>
    </row>
    <row r="404" ht="12.75" customHeight="1" s="322">
      <c r="A404" s="267" t="n"/>
    </row>
    <row r="405" ht="12.75" customHeight="1" s="322">
      <c r="A405" s="267" t="n"/>
    </row>
    <row r="406" ht="12.75" customHeight="1" s="322">
      <c r="A406" s="267" t="n"/>
    </row>
    <row r="407" ht="12.75" customHeight="1" s="322">
      <c r="A407" s="267" t="n"/>
    </row>
    <row r="408" ht="12.75" customHeight="1" s="322">
      <c r="A408" s="267" t="n"/>
    </row>
    <row r="409" ht="12.75" customHeight="1" s="322">
      <c r="A409" s="267" t="n"/>
    </row>
    <row r="410" ht="12.75" customHeight="1" s="322">
      <c r="A410" s="267" t="n"/>
    </row>
    <row r="411" ht="12.75" customHeight="1" s="322">
      <c r="A411" s="267" t="n"/>
    </row>
    <row r="412" ht="12.75" customHeight="1" s="322">
      <c r="A412" s="267" t="n"/>
    </row>
    <row r="413" ht="12.75" customHeight="1" s="322">
      <c r="A413" s="267" t="n"/>
    </row>
    <row r="414" ht="12.75" customHeight="1" s="322">
      <c r="A414" s="267" t="n"/>
    </row>
    <row r="415" ht="12.75" customHeight="1" s="322">
      <c r="A415" s="267" t="n"/>
    </row>
    <row r="416" ht="12.75" customHeight="1" s="322">
      <c r="A416" s="267" t="n"/>
    </row>
    <row r="417" ht="12.75" customHeight="1" s="322">
      <c r="A417" s="267" t="n"/>
    </row>
    <row r="418" ht="12.75" customHeight="1" s="322">
      <c r="A418" s="267" t="n"/>
    </row>
    <row r="419" ht="12.75" customHeight="1" s="322">
      <c r="A419" s="267" t="n"/>
    </row>
    <row r="420" ht="12.75" customHeight="1" s="322">
      <c r="A420" s="267" t="n"/>
    </row>
    <row r="421" ht="12.75" customHeight="1" s="322">
      <c r="A421" s="267" t="n"/>
    </row>
    <row r="422" ht="12.75" customHeight="1" s="322">
      <c r="A422" s="267" t="n"/>
    </row>
    <row r="423" ht="12.75" customHeight="1" s="322">
      <c r="A423" s="267" t="n"/>
    </row>
    <row r="424" ht="12.75" customHeight="1" s="322">
      <c r="A424" s="267" t="n"/>
    </row>
    <row r="425" ht="12.75" customHeight="1" s="322">
      <c r="A425" s="267" t="n"/>
    </row>
    <row r="426" ht="12.75" customHeight="1" s="322">
      <c r="A426" s="267" t="n"/>
    </row>
    <row r="427" ht="12.75" customHeight="1" s="322">
      <c r="A427" s="267" t="n"/>
    </row>
    <row r="428" ht="12.75" customHeight="1" s="322">
      <c r="A428" s="267" t="n"/>
    </row>
    <row r="429" ht="12.75" customHeight="1" s="322">
      <c r="A429" s="267" t="n"/>
    </row>
    <row r="430" ht="12.75" customHeight="1" s="322">
      <c r="A430" s="267" t="n"/>
    </row>
    <row r="431" ht="12.75" customHeight="1" s="322">
      <c r="A431" s="267" t="n"/>
    </row>
    <row r="432" ht="12.75" customHeight="1" s="322">
      <c r="A432" s="267" t="n"/>
    </row>
    <row r="433" ht="12.75" customHeight="1" s="322">
      <c r="A433" s="267" t="n"/>
    </row>
    <row r="434" ht="12.75" customHeight="1" s="322">
      <c r="A434" s="267" t="n"/>
    </row>
    <row r="435" ht="12.75" customHeight="1" s="322">
      <c r="A435" s="267" t="n"/>
    </row>
    <row r="436" ht="12.75" customHeight="1" s="322">
      <c r="A436" s="267" t="n"/>
    </row>
    <row r="437" ht="12.75" customHeight="1" s="322">
      <c r="A437" s="267" t="n"/>
    </row>
    <row r="438" ht="12.75" customHeight="1" s="322">
      <c r="A438" s="267" t="n"/>
    </row>
    <row r="439" ht="12.75" customHeight="1" s="322">
      <c r="A439" s="267" t="n"/>
    </row>
    <row r="440" ht="12.75" customHeight="1" s="322">
      <c r="A440" s="267" t="n"/>
    </row>
    <row r="441" ht="12.75" customHeight="1" s="322">
      <c r="A441" s="267" t="n"/>
    </row>
    <row r="442" ht="12.75" customHeight="1" s="322">
      <c r="A442" s="267" t="n"/>
    </row>
    <row r="443" ht="12.75" customHeight="1" s="322">
      <c r="A443" s="267" t="n"/>
    </row>
    <row r="444" ht="12.75" customHeight="1" s="322">
      <c r="A444" s="267" t="n"/>
    </row>
    <row r="445" ht="12.75" customHeight="1" s="322">
      <c r="A445" s="267" t="n"/>
    </row>
    <row r="446" ht="12.75" customHeight="1" s="322">
      <c r="A446" s="267" t="n"/>
    </row>
    <row r="447" ht="12.75" customHeight="1" s="322">
      <c r="A447" s="267" t="n"/>
    </row>
    <row r="448" ht="12.75" customHeight="1" s="322">
      <c r="A448" s="267" t="n"/>
    </row>
    <row r="449" ht="12.75" customHeight="1" s="322">
      <c r="A449" s="267" t="n"/>
    </row>
    <row r="450" ht="12.75" customHeight="1" s="322">
      <c r="A450" s="267" t="n"/>
    </row>
    <row r="451" ht="12.75" customHeight="1" s="322">
      <c r="A451" s="267" t="n"/>
    </row>
    <row r="452" ht="12.75" customHeight="1" s="322">
      <c r="A452" s="267" t="n"/>
    </row>
    <row r="453" ht="12.75" customHeight="1" s="322">
      <c r="A453" s="267" t="n"/>
    </row>
    <row r="454" ht="12.75" customHeight="1" s="322">
      <c r="A454" s="267" t="n"/>
    </row>
    <row r="455" ht="12.75" customHeight="1" s="322">
      <c r="A455" s="267" t="n"/>
    </row>
    <row r="456" ht="12.75" customHeight="1" s="322">
      <c r="A456" s="267" t="n"/>
    </row>
    <row r="457" ht="12.75" customHeight="1" s="322">
      <c r="A457" s="267" t="n"/>
    </row>
    <row r="458" ht="12.75" customHeight="1" s="322">
      <c r="A458" s="267" t="n"/>
    </row>
    <row r="459" ht="12.75" customHeight="1" s="322">
      <c r="A459" s="267" t="n"/>
    </row>
    <row r="460" ht="12.75" customHeight="1" s="322">
      <c r="A460" s="267" t="n"/>
    </row>
    <row r="461" ht="12.75" customHeight="1" s="322">
      <c r="A461" s="267" t="n"/>
    </row>
    <row r="462" ht="12.75" customHeight="1" s="322">
      <c r="A462" s="267" t="n"/>
    </row>
    <row r="463" ht="12.75" customHeight="1" s="322">
      <c r="A463" s="267" t="n"/>
    </row>
    <row r="464" ht="12.75" customHeight="1" s="322">
      <c r="A464" s="267" t="n"/>
    </row>
    <row r="465" ht="12.75" customHeight="1" s="322">
      <c r="A465" s="267" t="n"/>
    </row>
    <row r="466" ht="12.75" customHeight="1" s="322">
      <c r="A466" s="267" t="n"/>
    </row>
    <row r="467" ht="12.75" customHeight="1" s="322">
      <c r="A467" s="267" t="n"/>
    </row>
    <row r="468" ht="12.75" customHeight="1" s="322">
      <c r="A468" s="267" t="n"/>
    </row>
    <row r="469" ht="12.75" customHeight="1" s="322">
      <c r="A469" s="267" t="n"/>
    </row>
    <row r="470" ht="12.75" customHeight="1" s="322">
      <c r="A470" s="267" t="n"/>
    </row>
    <row r="471" ht="12.75" customHeight="1" s="322">
      <c r="A471" s="267" t="n"/>
    </row>
    <row r="472" ht="12.75" customHeight="1" s="322">
      <c r="A472" s="267" t="n"/>
    </row>
    <row r="473" ht="12.75" customHeight="1" s="322">
      <c r="A473" s="267" t="n"/>
    </row>
    <row r="474" ht="12.75" customHeight="1" s="322">
      <c r="A474" s="267" t="n"/>
    </row>
    <row r="475" ht="12.75" customHeight="1" s="322">
      <c r="A475" s="267" t="n"/>
    </row>
    <row r="476" ht="12.75" customHeight="1" s="322">
      <c r="A476" s="267" t="n"/>
    </row>
    <row r="477" ht="12.75" customHeight="1" s="322">
      <c r="A477" s="267" t="n"/>
    </row>
    <row r="478" ht="12.75" customHeight="1" s="322">
      <c r="A478" s="267" t="n"/>
    </row>
    <row r="479" ht="12.75" customHeight="1" s="322">
      <c r="A479" s="267" t="n"/>
    </row>
    <row r="480" ht="12.75" customHeight="1" s="322">
      <c r="A480" s="267" t="n"/>
    </row>
    <row r="481" ht="12.75" customHeight="1" s="322">
      <c r="A481" s="267" t="n"/>
    </row>
    <row r="482" ht="12.75" customHeight="1" s="322">
      <c r="A482" s="267" t="n"/>
    </row>
    <row r="483" ht="12.75" customHeight="1" s="322">
      <c r="A483" s="267" t="n"/>
    </row>
    <row r="484" ht="12.75" customHeight="1" s="322">
      <c r="A484" s="267" t="n"/>
    </row>
    <row r="485" ht="12.75" customHeight="1" s="322">
      <c r="A485" s="267" t="n"/>
    </row>
    <row r="486" ht="12.75" customHeight="1" s="322">
      <c r="A486" s="267" t="n"/>
    </row>
    <row r="487" ht="12.75" customHeight="1" s="322">
      <c r="A487" s="267" t="n"/>
    </row>
    <row r="488" ht="12.75" customHeight="1" s="322">
      <c r="A488" s="267" t="n"/>
    </row>
    <row r="489" ht="12.75" customHeight="1" s="322">
      <c r="A489" s="267" t="n"/>
    </row>
    <row r="490" ht="12.75" customHeight="1" s="322">
      <c r="A490" s="267" t="n"/>
    </row>
    <row r="491" ht="12.75" customHeight="1" s="322">
      <c r="A491" s="267" t="n"/>
    </row>
    <row r="492" ht="12.75" customHeight="1" s="322">
      <c r="A492" s="267" t="n"/>
    </row>
    <row r="493" ht="12.75" customHeight="1" s="322">
      <c r="A493" s="267" t="n"/>
    </row>
    <row r="494" ht="12.75" customHeight="1" s="322">
      <c r="A494" s="267" t="n"/>
    </row>
    <row r="495" ht="12.75" customHeight="1" s="322">
      <c r="A495" s="267" t="n"/>
    </row>
    <row r="496" ht="12.75" customHeight="1" s="322">
      <c r="A496" s="267" t="n"/>
    </row>
    <row r="497" ht="12.75" customHeight="1" s="322">
      <c r="A497" s="267" t="n"/>
    </row>
    <row r="498" ht="12.75" customHeight="1" s="322">
      <c r="A498" s="267" t="n"/>
    </row>
    <row r="499" ht="12.75" customHeight="1" s="322">
      <c r="A499" s="267" t="n"/>
    </row>
    <row r="500" ht="12.75" customHeight="1" s="322">
      <c r="A500" s="267" t="n"/>
    </row>
    <row r="501" ht="12.75" customHeight="1" s="322">
      <c r="A501" s="267" t="n"/>
    </row>
    <row r="502" ht="12.75" customHeight="1" s="322">
      <c r="A502" s="267" t="n"/>
    </row>
    <row r="503" ht="12.75" customHeight="1" s="322">
      <c r="A503" s="267" t="n"/>
    </row>
    <row r="504" ht="12.75" customHeight="1" s="322">
      <c r="A504" s="267" t="n"/>
    </row>
    <row r="505" ht="12.75" customHeight="1" s="322">
      <c r="A505" s="267" t="n"/>
    </row>
    <row r="506" ht="12.75" customHeight="1" s="322">
      <c r="A506" s="267" t="n"/>
    </row>
    <row r="507" ht="12.75" customHeight="1" s="322">
      <c r="A507" s="267" t="n"/>
    </row>
    <row r="508" ht="12.75" customHeight="1" s="322">
      <c r="A508" s="267" t="n"/>
    </row>
    <row r="509" ht="12.75" customHeight="1" s="322">
      <c r="A509" s="267" t="n"/>
    </row>
    <row r="510" ht="12.75" customHeight="1" s="322">
      <c r="A510" s="267" t="n"/>
    </row>
    <row r="511" ht="12.75" customHeight="1" s="322">
      <c r="A511" s="267" t="n"/>
    </row>
    <row r="512" ht="12.75" customHeight="1" s="322">
      <c r="A512" s="267" t="n"/>
    </row>
    <row r="513" ht="12.75" customHeight="1" s="322">
      <c r="A513" s="267" t="n"/>
    </row>
    <row r="514" ht="12.75" customHeight="1" s="322">
      <c r="A514" s="267" t="n"/>
    </row>
    <row r="515" ht="12.75" customHeight="1" s="322">
      <c r="A515" s="267" t="n"/>
    </row>
    <row r="516" ht="12.75" customHeight="1" s="322">
      <c r="A516" s="267" t="n"/>
    </row>
    <row r="517" ht="12.75" customHeight="1" s="322">
      <c r="A517" s="267" t="n"/>
    </row>
    <row r="518" ht="12.75" customHeight="1" s="322">
      <c r="A518" s="267" t="n"/>
    </row>
    <row r="519" ht="12.75" customHeight="1" s="322">
      <c r="A519" s="267" t="n"/>
    </row>
    <row r="520" ht="12.75" customHeight="1" s="322">
      <c r="A520" s="267" t="n"/>
    </row>
    <row r="521" ht="12.75" customHeight="1" s="322">
      <c r="A521" s="267" t="n"/>
    </row>
    <row r="522" ht="12.75" customHeight="1" s="322">
      <c r="A522" s="267" t="n"/>
    </row>
    <row r="523" ht="12.75" customHeight="1" s="322">
      <c r="A523" s="267" t="n"/>
    </row>
    <row r="524" ht="12.75" customHeight="1" s="322">
      <c r="A524" s="267" t="n"/>
    </row>
    <row r="525" ht="12.75" customHeight="1" s="322">
      <c r="A525" s="267" t="n"/>
    </row>
    <row r="526" ht="12.75" customHeight="1" s="322">
      <c r="A526" s="267" t="n"/>
    </row>
    <row r="527" ht="12.75" customHeight="1" s="322">
      <c r="A527" s="267" t="n"/>
    </row>
    <row r="528" ht="12.75" customHeight="1" s="322">
      <c r="A528" s="267" t="n"/>
    </row>
    <row r="529" ht="12.75" customHeight="1" s="322">
      <c r="A529" s="267" t="n"/>
    </row>
    <row r="530" ht="12.75" customHeight="1" s="322">
      <c r="A530" s="267" t="n"/>
    </row>
    <row r="531" ht="12.75" customHeight="1" s="322">
      <c r="A531" s="267" t="n"/>
    </row>
    <row r="532" ht="12.75" customHeight="1" s="322">
      <c r="A532" s="267" t="n"/>
    </row>
    <row r="533" ht="12.75" customHeight="1" s="322">
      <c r="A533" s="267" t="n"/>
    </row>
    <row r="534" ht="12.75" customHeight="1" s="322">
      <c r="A534" s="267" t="n"/>
    </row>
    <row r="535" ht="12.75" customHeight="1" s="322">
      <c r="A535" s="267" t="n"/>
    </row>
    <row r="536" ht="12.75" customHeight="1" s="322">
      <c r="A536" s="267" t="n"/>
    </row>
    <row r="537" ht="12.75" customHeight="1" s="322">
      <c r="A537" s="267" t="n"/>
    </row>
    <row r="538" ht="12.75" customHeight="1" s="322">
      <c r="A538" s="267" t="n"/>
    </row>
    <row r="539" ht="12.75" customHeight="1" s="322">
      <c r="A539" s="267" t="n"/>
    </row>
    <row r="540" ht="12.75" customHeight="1" s="322">
      <c r="A540" s="267" t="n"/>
    </row>
    <row r="541" ht="12.75" customHeight="1" s="322">
      <c r="A541" s="267" t="n"/>
    </row>
    <row r="542" ht="12.75" customHeight="1" s="322">
      <c r="A542" s="267" t="n"/>
    </row>
    <row r="543" ht="12.75" customHeight="1" s="322">
      <c r="A543" s="267" t="n"/>
    </row>
    <row r="544" ht="12.75" customHeight="1" s="322">
      <c r="A544" s="267" t="n"/>
    </row>
    <row r="545" ht="12.75" customHeight="1" s="322">
      <c r="A545" s="267" t="n"/>
    </row>
    <row r="546" ht="12.75" customHeight="1" s="322">
      <c r="A546" s="267" t="n"/>
    </row>
    <row r="547" ht="12.75" customHeight="1" s="322">
      <c r="A547" s="267" t="n"/>
    </row>
    <row r="548" ht="12.75" customHeight="1" s="322">
      <c r="A548" s="267" t="n"/>
    </row>
    <row r="549" ht="12.75" customHeight="1" s="322">
      <c r="A549" s="267" t="n"/>
    </row>
    <row r="550" ht="12.75" customHeight="1" s="322">
      <c r="A550" s="267" t="n"/>
    </row>
    <row r="551" ht="12.75" customHeight="1" s="322">
      <c r="A551" s="267" t="n"/>
    </row>
    <row r="552" ht="12.75" customHeight="1" s="322">
      <c r="A552" s="267" t="n"/>
    </row>
    <row r="553" ht="12.75" customHeight="1" s="322">
      <c r="A553" s="267" t="n"/>
    </row>
    <row r="554" ht="12.75" customHeight="1" s="322">
      <c r="A554" s="267" t="n"/>
    </row>
    <row r="555" ht="12.75" customHeight="1" s="322">
      <c r="A555" s="267" t="n"/>
    </row>
    <row r="556" ht="12.75" customHeight="1" s="322">
      <c r="A556" s="267" t="n"/>
    </row>
    <row r="557" ht="12.75" customHeight="1" s="322">
      <c r="A557" s="267" t="n"/>
    </row>
    <row r="558" ht="12.75" customHeight="1" s="322">
      <c r="A558" s="267" t="n"/>
    </row>
    <row r="559" ht="12.75" customHeight="1" s="322">
      <c r="A559" s="267" t="n"/>
    </row>
    <row r="560" ht="12.75" customHeight="1" s="322">
      <c r="A560" s="267" t="n"/>
    </row>
    <row r="561" ht="12.75" customHeight="1" s="322">
      <c r="A561" s="267" t="n"/>
    </row>
    <row r="562" ht="12.75" customHeight="1" s="322">
      <c r="A562" s="267" t="n"/>
    </row>
    <row r="563" ht="12.75" customHeight="1" s="322">
      <c r="A563" s="267" t="n"/>
    </row>
    <row r="564" ht="12.75" customHeight="1" s="322">
      <c r="A564" s="267" t="n"/>
    </row>
    <row r="565" ht="12.75" customHeight="1" s="322">
      <c r="A565" s="267" t="n"/>
    </row>
    <row r="566" ht="12.75" customHeight="1" s="322">
      <c r="A566" s="267" t="n"/>
    </row>
    <row r="567" ht="12.75" customHeight="1" s="322">
      <c r="A567" s="267" t="n"/>
    </row>
    <row r="568" ht="12.75" customHeight="1" s="322">
      <c r="A568" s="267" t="n"/>
    </row>
    <row r="569" ht="12.75" customHeight="1" s="322">
      <c r="A569" s="267" t="n"/>
    </row>
    <row r="570" ht="12.75" customHeight="1" s="322">
      <c r="A570" s="267" t="n"/>
    </row>
    <row r="571" ht="12.75" customHeight="1" s="322">
      <c r="A571" s="267" t="n"/>
    </row>
    <row r="572" ht="12.75" customHeight="1" s="322">
      <c r="A572" s="267" t="n"/>
    </row>
    <row r="573" ht="12.75" customHeight="1" s="322">
      <c r="A573" s="267" t="n"/>
    </row>
    <row r="574" ht="12.75" customHeight="1" s="322">
      <c r="A574" s="267" t="n"/>
    </row>
    <row r="575" ht="12.75" customHeight="1" s="322">
      <c r="A575" s="267" t="n"/>
    </row>
    <row r="576" ht="12.75" customHeight="1" s="322">
      <c r="A576" s="267" t="n"/>
    </row>
    <row r="577" ht="12.75" customHeight="1" s="322">
      <c r="A577" s="267" t="n"/>
    </row>
    <row r="578" ht="12.75" customHeight="1" s="322">
      <c r="A578" s="267" t="n"/>
    </row>
    <row r="579" ht="12.75" customHeight="1" s="322">
      <c r="A579" s="267" t="n"/>
    </row>
    <row r="580" ht="12.75" customHeight="1" s="322">
      <c r="A580" s="267" t="n"/>
    </row>
    <row r="581" ht="12.75" customHeight="1" s="322">
      <c r="A581" s="267" t="n"/>
    </row>
    <row r="582" ht="12.75" customHeight="1" s="322">
      <c r="A582" s="267" t="n"/>
    </row>
    <row r="583" ht="12.75" customHeight="1" s="322">
      <c r="A583" s="267" t="n"/>
    </row>
    <row r="584" ht="12.75" customHeight="1" s="322">
      <c r="A584" s="267" t="n"/>
    </row>
    <row r="585" ht="12.75" customHeight="1" s="322">
      <c r="A585" s="267" t="n"/>
    </row>
    <row r="586" ht="12.75" customHeight="1" s="322">
      <c r="A586" s="267" t="n"/>
    </row>
    <row r="587" ht="12.75" customHeight="1" s="322">
      <c r="A587" s="267" t="n"/>
    </row>
    <row r="588" ht="12.75" customHeight="1" s="322">
      <c r="A588" s="267" t="n"/>
    </row>
    <row r="589" ht="12.75" customHeight="1" s="322">
      <c r="A589" s="267" t="n"/>
    </row>
    <row r="590" ht="12.75" customHeight="1" s="322">
      <c r="A590" s="267" t="n"/>
    </row>
    <row r="591" ht="12.75" customHeight="1" s="322">
      <c r="A591" s="267" t="n"/>
    </row>
    <row r="592" ht="12.75" customHeight="1" s="322">
      <c r="A592" s="267" t="n"/>
    </row>
    <row r="593" ht="12.75" customHeight="1" s="322">
      <c r="A593" s="267" t="n"/>
    </row>
    <row r="594" ht="12.75" customHeight="1" s="322">
      <c r="A594" s="267" t="n"/>
    </row>
    <row r="595" ht="12.75" customHeight="1" s="322">
      <c r="A595" s="267" t="n"/>
    </row>
    <row r="596" ht="12.75" customHeight="1" s="322">
      <c r="A596" s="267" t="n"/>
    </row>
    <row r="597" ht="12.75" customHeight="1" s="322">
      <c r="A597" s="267" t="n"/>
    </row>
    <row r="598" ht="12.75" customHeight="1" s="322">
      <c r="A598" s="267" t="n"/>
    </row>
    <row r="599" ht="12.75" customHeight="1" s="322">
      <c r="A599" s="267" t="n"/>
    </row>
    <row r="600" ht="12.75" customHeight="1" s="322">
      <c r="A600" s="267" t="n"/>
    </row>
    <row r="601" ht="12.75" customHeight="1" s="322">
      <c r="A601" s="267" t="n"/>
    </row>
    <row r="602" ht="12.75" customHeight="1" s="322">
      <c r="A602" s="267" t="n"/>
    </row>
    <row r="603" ht="12.75" customHeight="1" s="322">
      <c r="A603" s="267" t="n"/>
    </row>
    <row r="604" ht="12.75" customHeight="1" s="322">
      <c r="A604" s="267" t="n"/>
    </row>
    <row r="605" ht="12.75" customHeight="1" s="322">
      <c r="A605" s="267" t="n"/>
    </row>
    <row r="606" ht="12.75" customHeight="1" s="322">
      <c r="A606" s="267" t="n"/>
    </row>
    <row r="607" ht="12.75" customHeight="1" s="322">
      <c r="A607" s="267" t="n"/>
    </row>
    <row r="608" ht="12.75" customHeight="1" s="322">
      <c r="A608" s="267" t="n"/>
    </row>
    <row r="609" ht="12.75" customHeight="1" s="322">
      <c r="A609" s="267" t="n"/>
    </row>
    <row r="610" ht="12.75" customHeight="1" s="322">
      <c r="A610" s="267" t="n"/>
    </row>
    <row r="611" ht="12.75" customHeight="1" s="322">
      <c r="A611" s="267" t="n"/>
    </row>
    <row r="612" ht="12.75" customHeight="1" s="322">
      <c r="A612" s="267" t="n"/>
    </row>
    <row r="613" ht="12.75" customHeight="1" s="322">
      <c r="A613" s="267" t="n"/>
    </row>
    <row r="614" ht="12.75" customHeight="1" s="322">
      <c r="A614" s="267" t="n"/>
    </row>
    <row r="615" ht="12.75" customHeight="1" s="322">
      <c r="A615" s="267" t="n"/>
    </row>
    <row r="616" ht="12.75" customHeight="1" s="322">
      <c r="A616" s="267" t="n"/>
    </row>
    <row r="617" ht="12.75" customHeight="1" s="322">
      <c r="A617" s="267" t="n"/>
    </row>
    <row r="618" ht="12.75" customHeight="1" s="322">
      <c r="A618" s="267" t="n"/>
    </row>
    <row r="619" ht="12.75" customHeight="1" s="322">
      <c r="A619" s="267" t="n"/>
    </row>
    <row r="620" ht="12.75" customHeight="1" s="322">
      <c r="A620" s="267" t="n"/>
    </row>
    <row r="621" ht="12.75" customHeight="1" s="322">
      <c r="A621" s="267" t="n"/>
    </row>
    <row r="622" ht="12.75" customHeight="1" s="322">
      <c r="A622" s="267" t="n"/>
    </row>
    <row r="623" ht="12.75" customHeight="1" s="322">
      <c r="A623" s="267" t="n"/>
    </row>
    <row r="624" ht="12.75" customHeight="1" s="322">
      <c r="A624" s="267" t="n"/>
    </row>
    <row r="625" ht="12.75" customHeight="1" s="322">
      <c r="A625" s="267" t="n"/>
    </row>
    <row r="626" ht="12.75" customHeight="1" s="322">
      <c r="A626" s="267" t="n"/>
    </row>
    <row r="627" ht="12.75" customHeight="1" s="322">
      <c r="A627" s="267" t="n"/>
    </row>
    <row r="628" ht="12.75" customHeight="1" s="322">
      <c r="A628" s="267" t="n"/>
    </row>
    <row r="629" ht="12.75" customHeight="1" s="322">
      <c r="A629" s="267" t="n"/>
    </row>
    <row r="630" ht="12.75" customHeight="1" s="322">
      <c r="A630" s="267" t="n"/>
    </row>
    <row r="631" ht="12.75" customHeight="1" s="322">
      <c r="A631" s="267" t="n"/>
    </row>
    <row r="632" ht="12.75" customHeight="1" s="322">
      <c r="A632" s="267" t="n"/>
    </row>
    <row r="633" ht="12.75" customHeight="1" s="322">
      <c r="A633" s="267" t="n"/>
    </row>
    <row r="634" ht="12.75" customHeight="1" s="322">
      <c r="A634" s="267" t="n"/>
    </row>
    <row r="635" ht="12.75" customHeight="1" s="322">
      <c r="A635" s="267" t="n"/>
    </row>
    <row r="636" ht="12.75" customHeight="1" s="322">
      <c r="A636" s="267" t="n"/>
    </row>
    <row r="637" ht="12.75" customHeight="1" s="322">
      <c r="A637" s="267" t="n"/>
    </row>
    <row r="638" ht="12.75" customHeight="1" s="322">
      <c r="A638" s="267" t="n"/>
    </row>
    <row r="639" ht="12.75" customHeight="1" s="322">
      <c r="A639" s="267" t="n"/>
    </row>
    <row r="640" ht="12.75" customHeight="1" s="322">
      <c r="A640" s="267" t="n"/>
    </row>
    <row r="641" ht="12.75" customHeight="1" s="322">
      <c r="A641" s="267" t="n"/>
    </row>
    <row r="642" ht="12.75" customHeight="1" s="322">
      <c r="A642" s="267" t="n"/>
    </row>
    <row r="643" ht="12.75" customHeight="1" s="322">
      <c r="A643" s="267" t="n"/>
    </row>
    <row r="644" ht="12.75" customHeight="1" s="322">
      <c r="A644" s="267" t="n"/>
    </row>
    <row r="645" ht="12.75" customHeight="1" s="322">
      <c r="A645" s="267" t="n"/>
    </row>
    <row r="646" ht="12.75" customHeight="1" s="322">
      <c r="A646" s="267" t="n"/>
    </row>
    <row r="647" ht="12.75" customHeight="1" s="322">
      <c r="A647" s="267" t="n"/>
    </row>
    <row r="648" ht="12.75" customHeight="1" s="322">
      <c r="A648" s="267" t="n"/>
    </row>
    <row r="649" ht="12.75" customHeight="1" s="322">
      <c r="A649" s="267" t="n"/>
    </row>
    <row r="650" ht="12.75" customHeight="1" s="322">
      <c r="A650" s="267" t="n"/>
    </row>
    <row r="651" ht="12.75" customHeight="1" s="322">
      <c r="A651" s="267" t="n"/>
    </row>
    <row r="652" ht="12.75" customHeight="1" s="322">
      <c r="A652" s="267" t="n"/>
    </row>
    <row r="653" ht="12.75" customHeight="1" s="322">
      <c r="A653" s="267" t="n"/>
    </row>
    <row r="654" ht="12.75" customHeight="1" s="322">
      <c r="A654" s="267" t="n"/>
    </row>
    <row r="655" ht="12.75" customHeight="1" s="322">
      <c r="A655" s="267" t="n"/>
    </row>
    <row r="656" ht="12.75" customHeight="1" s="322">
      <c r="A656" s="267" t="n"/>
    </row>
    <row r="657" ht="12.75" customHeight="1" s="322">
      <c r="A657" s="267" t="n"/>
    </row>
    <row r="658" ht="12.75" customHeight="1" s="322">
      <c r="A658" s="267" t="n"/>
    </row>
    <row r="659" ht="12.75" customHeight="1" s="322">
      <c r="A659" s="267" t="n"/>
    </row>
    <row r="660" ht="12.75" customHeight="1" s="322">
      <c r="A660" s="267" t="n"/>
    </row>
    <row r="661" ht="12.75" customHeight="1" s="322">
      <c r="A661" s="267" t="n"/>
    </row>
    <row r="662" ht="12.75" customHeight="1" s="322">
      <c r="A662" s="267" t="n"/>
    </row>
    <row r="663" ht="12.75" customHeight="1" s="322">
      <c r="A663" s="267" t="n"/>
    </row>
    <row r="664" ht="12.75" customHeight="1" s="322">
      <c r="A664" s="267" t="n"/>
    </row>
    <row r="665" ht="12.75" customHeight="1" s="322">
      <c r="A665" s="267" t="n"/>
    </row>
    <row r="666" ht="12.75" customHeight="1" s="322">
      <c r="A666" s="267" t="n"/>
    </row>
    <row r="667" ht="12.75" customHeight="1" s="322">
      <c r="A667" s="267" t="n"/>
    </row>
    <row r="668" ht="12.75" customHeight="1" s="322">
      <c r="A668" s="267" t="n"/>
    </row>
    <row r="669" ht="12.75" customHeight="1" s="322">
      <c r="A669" s="267" t="n"/>
    </row>
    <row r="670" ht="12.75" customHeight="1" s="322">
      <c r="A670" s="267" t="n"/>
    </row>
    <row r="671" ht="12.75" customHeight="1" s="322">
      <c r="A671" s="267" t="n"/>
    </row>
    <row r="672" ht="12.75" customHeight="1" s="322">
      <c r="A672" s="267" t="n"/>
    </row>
    <row r="673" ht="12.75" customHeight="1" s="322">
      <c r="A673" s="267" t="n"/>
    </row>
    <row r="674" ht="12.75" customHeight="1" s="322">
      <c r="A674" s="267" t="n"/>
    </row>
    <row r="675" ht="12.75" customHeight="1" s="322">
      <c r="A675" s="267" t="n"/>
    </row>
    <row r="676" ht="12.75" customHeight="1" s="322">
      <c r="A676" s="267" t="n"/>
    </row>
    <row r="677" ht="12.75" customHeight="1" s="322">
      <c r="A677" s="267" t="n"/>
    </row>
    <row r="678" ht="12.75" customHeight="1" s="322">
      <c r="A678" s="267" t="n"/>
    </row>
    <row r="679" ht="12.75" customHeight="1" s="322">
      <c r="A679" s="267" t="n"/>
    </row>
    <row r="680" ht="12.75" customHeight="1" s="322">
      <c r="A680" s="267" t="n"/>
    </row>
    <row r="681" ht="12.75" customHeight="1" s="322">
      <c r="A681" s="267" t="n"/>
    </row>
    <row r="682" ht="12.75" customHeight="1" s="322">
      <c r="A682" s="267" t="n"/>
    </row>
    <row r="683" ht="12.75" customHeight="1" s="322">
      <c r="A683" s="267" t="n"/>
    </row>
    <row r="684" ht="12.75" customHeight="1" s="322">
      <c r="A684" s="267" t="n"/>
    </row>
    <row r="685" ht="12.75" customHeight="1" s="322">
      <c r="A685" s="267" t="n"/>
    </row>
    <row r="686" ht="12.75" customHeight="1" s="322">
      <c r="A686" s="267" t="n"/>
    </row>
    <row r="687" ht="12.75" customHeight="1" s="322">
      <c r="A687" s="267" t="n"/>
    </row>
    <row r="688" ht="12.75" customHeight="1" s="322">
      <c r="A688" s="267" t="n"/>
    </row>
    <row r="689" ht="12.75" customHeight="1" s="322">
      <c r="A689" s="267" t="n"/>
    </row>
    <row r="690" ht="12.75" customHeight="1" s="322">
      <c r="A690" s="267" t="n"/>
    </row>
    <row r="691" ht="12.75" customHeight="1" s="322">
      <c r="A691" s="267" t="n"/>
    </row>
    <row r="692" ht="12.75" customHeight="1" s="322">
      <c r="A692" s="267" t="n"/>
    </row>
    <row r="693" ht="12.75" customHeight="1" s="322">
      <c r="A693" s="267" t="n"/>
    </row>
    <row r="694" ht="12.75" customHeight="1" s="322">
      <c r="A694" s="267" t="n"/>
    </row>
    <row r="695" ht="12.75" customHeight="1" s="322">
      <c r="A695" s="267" t="n"/>
    </row>
    <row r="696" ht="12.75" customHeight="1" s="322">
      <c r="A696" s="267" t="n"/>
    </row>
    <row r="697" ht="12.75" customHeight="1" s="322">
      <c r="A697" s="267" t="n"/>
    </row>
    <row r="698" ht="12.75" customHeight="1" s="322">
      <c r="A698" s="267" t="n"/>
    </row>
    <row r="699" ht="12.75" customHeight="1" s="322">
      <c r="A699" s="267" t="n"/>
    </row>
    <row r="700" ht="12.75" customHeight="1" s="322">
      <c r="A700" s="267" t="n"/>
    </row>
    <row r="701" ht="12.75" customHeight="1" s="322">
      <c r="A701" s="267" t="n"/>
    </row>
    <row r="702" ht="12.75" customHeight="1" s="322">
      <c r="A702" s="267" t="n"/>
    </row>
    <row r="703" ht="12.75" customHeight="1" s="322">
      <c r="A703" s="267" t="n"/>
    </row>
    <row r="704" ht="12.75" customHeight="1" s="322">
      <c r="A704" s="267" t="n"/>
    </row>
    <row r="705" ht="12.75" customHeight="1" s="322">
      <c r="A705" s="267" t="n"/>
    </row>
    <row r="706" ht="12.75" customHeight="1" s="322">
      <c r="A706" s="267" t="n"/>
    </row>
    <row r="707" ht="12.75" customHeight="1" s="322">
      <c r="A707" s="267" t="n"/>
    </row>
    <row r="708" ht="12.75" customHeight="1" s="322">
      <c r="A708" s="267" t="n"/>
    </row>
    <row r="709" ht="12.75" customHeight="1" s="322">
      <c r="A709" s="267" t="n"/>
    </row>
    <row r="710" ht="12.75" customHeight="1" s="322">
      <c r="A710" s="267" t="n"/>
    </row>
    <row r="711" ht="12.75" customHeight="1" s="322">
      <c r="A711" s="267" t="n"/>
    </row>
    <row r="712" ht="12.75" customHeight="1" s="322">
      <c r="A712" s="267" t="n"/>
    </row>
    <row r="713" ht="12.75" customHeight="1" s="322">
      <c r="A713" s="267" t="n"/>
    </row>
    <row r="714" ht="12.75" customHeight="1" s="322">
      <c r="A714" s="267" t="n"/>
    </row>
    <row r="715" ht="12.75" customHeight="1" s="322">
      <c r="A715" s="267" t="n"/>
    </row>
    <row r="716" ht="12.75" customHeight="1" s="322">
      <c r="A716" s="267" t="n"/>
    </row>
    <row r="717" ht="12.75" customHeight="1" s="322">
      <c r="A717" s="267" t="n"/>
    </row>
    <row r="718" ht="12.75" customHeight="1" s="322">
      <c r="A718" s="267" t="n"/>
    </row>
    <row r="719" ht="12.75" customHeight="1" s="322">
      <c r="A719" s="267" t="n"/>
    </row>
    <row r="720" ht="12.75" customHeight="1" s="322">
      <c r="A720" s="267" t="n"/>
    </row>
    <row r="721" ht="12.75" customHeight="1" s="322">
      <c r="A721" s="267" t="n"/>
    </row>
    <row r="722" ht="12.75" customHeight="1" s="322">
      <c r="A722" s="267" t="n"/>
    </row>
    <row r="723" ht="12.75" customHeight="1" s="322">
      <c r="A723" s="267" t="n"/>
    </row>
    <row r="724" ht="12.75" customHeight="1" s="322">
      <c r="A724" s="267" t="n"/>
    </row>
    <row r="725" ht="12.75" customHeight="1" s="322">
      <c r="A725" s="267" t="n"/>
    </row>
    <row r="726" ht="12.75" customHeight="1" s="322">
      <c r="A726" s="267" t="n"/>
    </row>
    <row r="727" ht="12.75" customHeight="1" s="322">
      <c r="A727" s="267" t="n"/>
    </row>
    <row r="728" ht="12.75" customHeight="1" s="322">
      <c r="A728" s="267" t="n"/>
    </row>
    <row r="729" ht="12.75" customHeight="1" s="322">
      <c r="A729" s="267" t="n"/>
    </row>
    <row r="730" ht="12.75" customHeight="1" s="322">
      <c r="A730" s="267" t="n"/>
    </row>
    <row r="731" ht="12.75" customHeight="1" s="322">
      <c r="A731" s="267" t="n"/>
    </row>
    <row r="732" ht="12.75" customHeight="1" s="322">
      <c r="A732" s="267" t="n"/>
    </row>
    <row r="733" ht="12.75" customHeight="1" s="322">
      <c r="A733" s="267" t="n"/>
    </row>
    <row r="734" ht="12.75" customHeight="1" s="322">
      <c r="A734" s="267" t="n"/>
    </row>
    <row r="735" ht="12.75" customHeight="1" s="322">
      <c r="A735" s="267" t="n"/>
    </row>
    <row r="736" ht="12.75" customHeight="1" s="322">
      <c r="A736" s="267" t="n"/>
    </row>
    <row r="737" ht="12.75" customHeight="1" s="322">
      <c r="A737" s="267" t="n"/>
    </row>
    <row r="738" ht="12.75" customHeight="1" s="322">
      <c r="A738" s="267" t="n"/>
    </row>
    <row r="739" ht="12.75" customHeight="1" s="322">
      <c r="A739" s="267" t="n"/>
    </row>
    <row r="740" ht="12.75" customHeight="1" s="322">
      <c r="A740" s="267" t="n"/>
    </row>
    <row r="741" ht="12.75" customHeight="1" s="322">
      <c r="A741" s="267" t="n"/>
    </row>
    <row r="742" ht="12.75" customHeight="1" s="322">
      <c r="A742" s="267" t="n"/>
    </row>
    <row r="743" ht="12.75" customHeight="1" s="322">
      <c r="A743" s="267" t="n"/>
    </row>
    <row r="744" ht="12.75" customHeight="1" s="322">
      <c r="A744" s="267" t="n"/>
    </row>
    <row r="745" ht="12.75" customHeight="1" s="322">
      <c r="A745" s="267" t="n"/>
    </row>
    <row r="746" ht="12.75" customHeight="1" s="322">
      <c r="A746" s="267" t="n"/>
    </row>
    <row r="747" ht="12.75" customHeight="1" s="322">
      <c r="A747" s="267" t="n"/>
    </row>
    <row r="748" ht="12.75" customHeight="1" s="322">
      <c r="A748" s="267" t="n"/>
    </row>
    <row r="749" ht="12.75" customHeight="1" s="322">
      <c r="A749" s="267" t="n"/>
    </row>
    <row r="750" ht="12.75" customHeight="1" s="322">
      <c r="A750" s="267" t="n"/>
    </row>
    <row r="751" ht="12.75" customHeight="1" s="322">
      <c r="A751" s="267" t="n"/>
    </row>
    <row r="752" ht="12.75" customHeight="1" s="322">
      <c r="A752" s="267" t="n"/>
    </row>
    <row r="753" ht="12.75" customHeight="1" s="322">
      <c r="A753" s="267" t="n"/>
    </row>
    <row r="754" ht="12.75" customHeight="1" s="322">
      <c r="A754" s="267" t="n"/>
    </row>
    <row r="755" ht="12.75" customHeight="1" s="322">
      <c r="A755" s="267" t="n"/>
    </row>
    <row r="756" ht="12.75" customHeight="1" s="322">
      <c r="A756" s="267" t="n"/>
    </row>
    <row r="757" ht="12.75" customHeight="1" s="322">
      <c r="A757" s="267" t="n"/>
    </row>
    <row r="758" ht="12.75" customHeight="1" s="322">
      <c r="A758" s="267" t="n"/>
    </row>
    <row r="759" ht="12.75" customHeight="1" s="322">
      <c r="A759" s="267" t="n"/>
    </row>
    <row r="760" ht="12.75" customHeight="1" s="322">
      <c r="A760" s="267" t="n"/>
    </row>
    <row r="761" ht="12.75" customHeight="1" s="322">
      <c r="A761" s="267" t="n"/>
    </row>
    <row r="762" ht="12.75" customHeight="1" s="322">
      <c r="A762" s="267" t="n"/>
    </row>
    <row r="763" ht="12.75" customHeight="1" s="322">
      <c r="A763" s="267" t="n"/>
    </row>
    <row r="764" ht="12.75" customHeight="1" s="322">
      <c r="A764" s="267" t="n"/>
    </row>
    <row r="765" ht="12.75" customHeight="1" s="322">
      <c r="A765" s="267" t="n"/>
    </row>
    <row r="766" ht="12.75" customHeight="1" s="322">
      <c r="A766" s="267" t="n"/>
    </row>
    <row r="767" ht="12.75" customHeight="1" s="322">
      <c r="A767" s="267" t="n"/>
    </row>
    <row r="768" ht="12.75" customHeight="1" s="322">
      <c r="A768" s="267" t="n"/>
    </row>
    <row r="769" ht="12.75" customHeight="1" s="322">
      <c r="A769" s="267" t="n"/>
    </row>
    <row r="770" ht="12.75" customHeight="1" s="322">
      <c r="A770" s="267" t="n"/>
    </row>
    <row r="771" ht="12.75" customHeight="1" s="322">
      <c r="A771" s="267" t="n"/>
    </row>
    <row r="772" ht="12.75" customHeight="1" s="322">
      <c r="A772" s="267" t="n"/>
    </row>
    <row r="773" ht="12.75" customHeight="1" s="322">
      <c r="A773" s="267" t="n"/>
    </row>
    <row r="774" ht="12.75" customHeight="1" s="322">
      <c r="A774" s="267" t="n"/>
    </row>
    <row r="775" ht="12.75" customHeight="1" s="322">
      <c r="A775" s="267" t="n"/>
    </row>
    <row r="776" ht="12.75" customHeight="1" s="322">
      <c r="A776" s="267" t="n"/>
    </row>
    <row r="777" ht="12.75" customHeight="1" s="322">
      <c r="A777" s="267" t="n"/>
    </row>
    <row r="778" ht="12.75" customHeight="1" s="322">
      <c r="A778" s="267" t="n"/>
    </row>
    <row r="779" ht="12.75" customHeight="1" s="322">
      <c r="A779" s="267" t="n"/>
    </row>
    <row r="780" ht="12.75" customHeight="1" s="322">
      <c r="A780" s="267" t="n"/>
    </row>
    <row r="781" ht="12.75" customHeight="1" s="322">
      <c r="A781" s="267" t="n"/>
    </row>
    <row r="782" ht="12.75" customHeight="1" s="322">
      <c r="A782" s="267" t="n"/>
    </row>
    <row r="783" ht="12.75" customHeight="1" s="322">
      <c r="A783" s="267" t="n"/>
    </row>
    <row r="784" ht="12.75" customHeight="1" s="322">
      <c r="A784" s="267" t="n"/>
    </row>
    <row r="785" ht="12.75" customHeight="1" s="322">
      <c r="A785" s="267" t="n"/>
    </row>
    <row r="786" ht="12.75" customHeight="1" s="322">
      <c r="A786" s="267" t="n"/>
    </row>
    <row r="787" ht="12.75" customHeight="1" s="322">
      <c r="A787" s="267" t="n"/>
    </row>
    <row r="788" ht="12.75" customHeight="1" s="322">
      <c r="A788" s="267" t="n"/>
    </row>
    <row r="789" ht="12.75" customHeight="1" s="322">
      <c r="A789" s="267" t="n"/>
    </row>
    <row r="790" ht="12.75" customHeight="1" s="322">
      <c r="A790" s="267" t="n"/>
    </row>
    <row r="791" ht="12.75" customHeight="1" s="322">
      <c r="A791" s="267" t="n"/>
    </row>
    <row r="792" ht="12.75" customHeight="1" s="322">
      <c r="A792" s="267" t="n"/>
    </row>
    <row r="793" ht="12.75" customHeight="1" s="322">
      <c r="A793" s="267" t="n"/>
    </row>
    <row r="794" ht="12.75" customHeight="1" s="322">
      <c r="A794" s="267" t="n"/>
    </row>
    <row r="795" ht="12.75" customHeight="1" s="322">
      <c r="A795" s="267" t="n"/>
    </row>
    <row r="796" ht="12.75" customHeight="1" s="322">
      <c r="A796" s="267" t="n"/>
    </row>
    <row r="797" ht="12.75" customHeight="1" s="322">
      <c r="A797" s="267" t="n"/>
    </row>
    <row r="798" ht="12.75" customHeight="1" s="322">
      <c r="A798" s="267" t="n"/>
    </row>
    <row r="799" ht="12.75" customHeight="1" s="322">
      <c r="A799" s="267" t="n"/>
    </row>
    <row r="800" ht="12.75" customHeight="1" s="322">
      <c r="A800" s="267" t="n"/>
    </row>
    <row r="801" ht="12.75" customHeight="1" s="322">
      <c r="A801" s="267" t="n"/>
    </row>
    <row r="802" ht="12.75" customHeight="1" s="322">
      <c r="A802" s="267" t="n"/>
    </row>
    <row r="803" ht="12.75" customHeight="1" s="322">
      <c r="A803" s="267" t="n"/>
    </row>
    <row r="804" ht="12.75" customHeight="1" s="322">
      <c r="A804" s="267" t="n"/>
    </row>
    <row r="805" ht="12.75" customHeight="1" s="322">
      <c r="A805" s="267" t="n"/>
    </row>
    <row r="806" ht="12.75" customHeight="1" s="322">
      <c r="A806" s="267" t="n"/>
    </row>
    <row r="807" ht="12.75" customHeight="1" s="322">
      <c r="A807" s="267" t="n"/>
    </row>
    <row r="808" ht="12.75" customHeight="1" s="322">
      <c r="A808" s="267" t="n"/>
    </row>
    <row r="809" ht="12.75" customHeight="1" s="322">
      <c r="A809" s="267" t="n"/>
    </row>
    <row r="810" ht="12.75" customHeight="1" s="322">
      <c r="A810" s="267" t="n"/>
    </row>
    <row r="811" ht="12.75" customHeight="1" s="322">
      <c r="A811" s="267" t="n"/>
    </row>
    <row r="812" ht="12.75" customHeight="1" s="322">
      <c r="A812" s="267" t="n"/>
    </row>
    <row r="813" ht="12.75" customHeight="1" s="322">
      <c r="A813" s="267" t="n"/>
    </row>
    <row r="814" ht="12.75" customHeight="1" s="322">
      <c r="A814" s="267" t="n"/>
    </row>
    <row r="815" ht="12.75" customHeight="1" s="322">
      <c r="A815" s="267" t="n"/>
    </row>
    <row r="816" ht="12.75" customHeight="1" s="322">
      <c r="A816" s="267" t="n"/>
    </row>
    <row r="817" ht="12.75" customHeight="1" s="322">
      <c r="A817" s="267" t="n"/>
    </row>
    <row r="818" ht="12.75" customHeight="1" s="322">
      <c r="A818" s="267" t="n"/>
    </row>
    <row r="819" ht="12.75" customHeight="1" s="322">
      <c r="A819" s="267" t="n"/>
    </row>
    <row r="820" ht="12.75" customHeight="1" s="322">
      <c r="A820" s="267" t="n"/>
    </row>
    <row r="821" ht="12.75" customHeight="1" s="322">
      <c r="A821" s="267" t="n"/>
    </row>
    <row r="822" ht="12.75" customHeight="1" s="322">
      <c r="A822" s="267" t="n"/>
    </row>
    <row r="823" ht="12.75" customHeight="1" s="322">
      <c r="A823" s="267" t="n"/>
    </row>
    <row r="824" ht="12.75" customHeight="1" s="322">
      <c r="A824" s="267" t="n"/>
    </row>
    <row r="825" ht="12.75" customHeight="1" s="322">
      <c r="A825" s="267" t="n"/>
    </row>
    <row r="826" ht="12.75" customHeight="1" s="322">
      <c r="A826" s="267" t="n"/>
    </row>
    <row r="827" ht="12.75" customHeight="1" s="322">
      <c r="A827" s="267" t="n"/>
    </row>
    <row r="828" ht="12.75" customHeight="1" s="322">
      <c r="A828" s="267" t="n"/>
    </row>
    <row r="829" ht="12.75" customHeight="1" s="322">
      <c r="A829" s="267" t="n"/>
    </row>
    <row r="830" ht="12.75" customHeight="1" s="322">
      <c r="A830" s="267" t="n"/>
    </row>
    <row r="831" ht="12.75" customHeight="1" s="322">
      <c r="A831" s="267" t="n"/>
    </row>
    <row r="832" ht="12.75" customHeight="1" s="322">
      <c r="A832" s="267" t="n"/>
    </row>
    <row r="833" ht="12.75" customHeight="1" s="322">
      <c r="A833" s="267" t="n"/>
    </row>
    <row r="834" ht="12.75" customHeight="1" s="322">
      <c r="A834" s="267" t="n"/>
    </row>
    <row r="835" ht="12.75" customHeight="1" s="322">
      <c r="A835" s="267" t="n"/>
    </row>
    <row r="836" ht="12.75" customHeight="1" s="322">
      <c r="A836" s="267" t="n"/>
    </row>
    <row r="837" ht="12.75" customHeight="1" s="322">
      <c r="A837" s="267" t="n"/>
    </row>
    <row r="838" ht="12.75" customHeight="1" s="322">
      <c r="A838" s="267" t="n"/>
    </row>
    <row r="839" ht="12.75" customHeight="1" s="322">
      <c r="A839" s="267" t="n"/>
    </row>
    <row r="840" ht="12.75" customHeight="1" s="322">
      <c r="A840" s="267" t="n"/>
    </row>
    <row r="841" ht="12.75" customHeight="1" s="322">
      <c r="A841" s="267" t="n"/>
    </row>
    <row r="842" ht="12.75" customHeight="1" s="322">
      <c r="A842" s="267" t="n"/>
    </row>
    <row r="843" ht="12.75" customHeight="1" s="322">
      <c r="A843" s="267" t="n"/>
    </row>
    <row r="844" ht="12.75" customHeight="1" s="322">
      <c r="A844" s="267" t="n"/>
    </row>
    <row r="845" ht="12.75" customHeight="1" s="322">
      <c r="A845" s="267" t="n"/>
    </row>
    <row r="846" ht="12.75" customHeight="1" s="322">
      <c r="A846" s="267" t="n"/>
    </row>
    <row r="847" ht="12.75" customHeight="1" s="322">
      <c r="A847" s="267" t="n"/>
    </row>
    <row r="848" ht="12.75" customHeight="1" s="322">
      <c r="A848" s="267" t="n"/>
    </row>
    <row r="849" ht="12.75" customHeight="1" s="322">
      <c r="A849" s="267" t="n"/>
    </row>
    <row r="850" ht="12.75" customHeight="1" s="322">
      <c r="A850" s="267" t="n"/>
    </row>
    <row r="851" ht="12.75" customHeight="1" s="322">
      <c r="A851" s="267" t="n"/>
    </row>
    <row r="852" ht="12.75" customHeight="1" s="322">
      <c r="A852" s="267" t="n"/>
    </row>
    <row r="853" ht="12.75" customHeight="1" s="322">
      <c r="A853" s="267" t="n"/>
    </row>
    <row r="854" ht="12.75" customHeight="1" s="322">
      <c r="A854" s="267" t="n"/>
    </row>
    <row r="855" ht="12.75" customHeight="1" s="322">
      <c r="A855" s="267" t="n"/>
    </row>
    <row r="856" ht="12.75" customHeight="1" s="322">
      <c r="A856" s="267" t="n"/>
    </row>
    <row r="857" ht="12.75" customHeight="1" s="322">
      <c r="A857" s="267" t="n"/>
    </row>
    <row r="858" ht="12.75" customHeight="1" s="322">
      <c r="A858" s="267" t="n"/>
    </row>
    <row r="859" ht="12.75" customHeight="1" s="322">
      <c r="A859" s="267" t="n"/>
    </row>
    <row r="860" ht="12.75" customHeight="1" s="322">
      <c r="A860" s="267" t="n"/>
    </row>
    <row r="861" ht="12.75" customHeight="1" s="322">
      <c r="A861" s="267" t="n"/>
    </row>
    <row r="862" ht="12.75" customHeight="1" s="322">
      <c r="A862" s="267" t="n"/>
    </row>
    <row r="863" ht="12.75" customHeight="1" s="322">
      <c r="A863" s="267" t="n"/>
    </row>
    <row r="864" ht="12.75" customHeight="1" s="322">
      <c r="A864" s="267" t="n"/>
    </row>
    <row r="865" ht="12.75" customHeight="1" s="322">
      <c r="A865" s="267" t="n"/>
    </row>
    <row r="866" ht="12.75" customHeight="1" s="322">
      <c r="A866" s="267" t="n"/>
    </row>
    <row r="867" ht="12.75" customHeight="1" s="322">
      <c r="A867" s="267" t="n"/>
    </row>
    <row r="868" ht="12.75" customHeight="1" s="322">
      <c r="A868" s="267" t="n"/>
    </row>
    <row r="869" ht="12.75" customHeight="1" s="322">
      <c r="A869" s="267" t="n"/>
    </row>
    <row r="870" ht="12.75" customHeight="1" s="322">
      <c r="A870" s="267" t="n"/>
    </row>
    <row r="871" ht="12.75" customHeight="1" s="322">
      <c r="A871" s="267" t="n"/>
    </row>
    <row r="872" ht="12.75" customHeight="1" s="322">
      <c r="A872" s="267" t="n"/>
    </row>
    <row r="873" ht="12.75" customHeight="1" s="322">
      <c r="A873" s="267" t="n"/>
    </row>
    <row r="874" ht="12.75" customHeight="1" s="322">
      <c r="A874" s="267" t="n"/>
    </row>
    <row r="875" ht="12.75" customHeight="1" s="322">
      <c r="A875" s="267" t="n"/>
    </row>
    <row r="876" ht="12.75" customHeight="1" s="322">
      <c r="A876" s="267" t="n"/>
    </row>
    <row r="877" ht="12.75" customHeight="1" s="322">
      <c r="A877" s="267" t="n"/>
    </row>
    <row r="878" ht="12.75" customHeight="1" s="322">
      <c r="A878" s="267" t="n"/>
    </row>
    <row r="879" ht="12.75" customHeight="1" s="322">
      <c r="A879" s="267" t="n"/>
    </row>
    <row r="880" ht="12.75" customHeight="1" s="322">
      <c r="A880" s="267" t="n"/>
    </row>
    <row r="881" ht="12.75" customHeight="1" s="322">
      <c r="A881" s="267" t="n"/>
    </row>
    <row r="882" ht="12.75" customHeight="1" s="322">
      <c r="A882" s="267" t="n"/>
    </row>
    <row r="883" ht="12.75" customHeight="1" s="322">
      <c r="A883" s="267" t="n"/>
    </row>
    <row r="884" ht="12.75" customHeight="1" s="322">
      <c r="A884" s="267" t="n"/>
    </row>
    <row r="885" ht="12.75" customHeight="1" s="322">
      <c r="A885" s="267" t="n"/>
    </row>
    <row r="886" ht="12.75" customHeight="1" s="322">
      <c r="A886" s="267" t="n"/>
    </row>
    <row r="887" ht="12.75" customHeight="1" s="322">
      <c r="A887" s="267" t="n"/>
    </row>
    <row r="888" ht="12.75" customHeight="1" s="322">
      <c r="A888" s="267" t="n"/>
    </row>
    <row r="889" ht="12.75" customHeight="1" s="322">
      <c r="A889" s="267" t="n"/>
    </row>
    <row r="890" ht="12.75" customHeight="1" s="322">
      <c r="A890" s="267" t="n"/>
    </row>
    <row r="891" ht="12.75" customHeight="1" s="322">
      <c r="A891" s="267" t="n"/>
    </row>
    <row r="892" ht="12.75" customHeight="1" s="322">
      <c r="A892" s="267" t="n"/>
    </row>
    <row r="893" ht="12.75" customHeight="1" s="322">
      <c r="A893" s="267" t="n"/>
    </row>
    <row r="894" ht="12.75" customHeight="1" s="322">
      <c r="A894" s="267" t="n"/>
    </row>
    <row r="895" ht="12.75" customHeight="1" s="322">
      <c r="A895" s="267" t="n"/>
    </row>
    <row r="896" ht="12.75" customHeight="1" s="322">
      <c r="A896" s="267" t="n"/>
    </row>
    <row r="897" ht="12.75" customHeight="1" s="322">
      <c r="A897" s="267" t="n"/>
    </row>
    <row r="898" ht="12.75" customHeight="1" s="322">
      <c r="A898" s="267" t="n"/>
    </row>
    <row r="899" ht="12.75" customHeight="1" s="322">
      <c r="A899" s="267" t="n"/>
    </row>
    <row r="900" ht="12.75" customHeight="1" s="322">
      <c r="A900" s="267" t="n"/>
    </row>
    <row r="901" ht="12.75" customHeight="1" s="322">
      <c r="A901" s="267" t="n"/>
    </row>
    <row r="902" ht="12.75" customHeight="1" s="322">
      <c r="A902" s="267" t="n"/>
    </row>
    <row r="903" ht="12.75" customHeight="1" s="322">
      <c r="A903" s="267" t="n"/>
    </row>
    <row r="904" ht="12.75" customHeight="1" s="322">
      <c r="A904" s="267" t="n"/>
    </row>
    <row r="905" ht="12.75" customHeight="1" s="322">
      <c r="A905" s="267" t="n"/>
    </row>
    <row r="906" ht="12.75" customHeight="1" s="322">
      <c r="A906" s="267" t="n"/>
    </row>
    <row r="907" ht="12.75" customHeight="1" s="322">
      <c r="A907" s="267" t="n"/>
    </row>
    <row r="908" ht="12.75" customHeight="1" s="322">
      <c r="A908" s="267" t="n"/>
    </row>
    <row r="909" ht="12.75" customHeight="1" s="322">
      <c r="A909" s="267" t="n"/>
    </row>
    <row r="910" ht="12.75" customHeight="1" s="322">
      <c r="A910" s="267" t="n"/>
    </row>
    <row r="911" ht="12.75" customHeight="1" s="322">
      <c r="A911" s="267" t="n"/>
    </row>
    <row r="912" ht="12.75" customHeight="1" s="322">
      <c r="A912" s="267" t="n"/>
    </row>
    <row r="913" ht="12.75" customHeight="1" s="322">
      <c r="A913" s="267" t="n"/>
    </row>
    <row r="914" ht="12.75" customHeight="1" s="322">
      <c r="A914" s="267" t="n"/>
    </row>
    <row r="915" ht="12.75" customHeight="1" s="322">
      <c r="A915" s="267" t="n"/>
    </row>
    <row r="916" ht="12.75" customHeight="1" s="322">
      <c r="A916" s="267" t="n"/>
    </row>
    <row r="917" ht="12.75" customHeight="1" s="322">
      <c r="A917" s="267" t="n"/>
    </row>
    <row r="918" ht="12.75" customHeight="1" s="322">
      <c r="A918" s="267" t="n"/>
    </row>
    <row r="919" ht="12.75" customHeight="1" s="322">
      <c r="A919" s="267" t="n"/>
    </row>
    <row r="920" ht="12.75" customHeight="1" s="322">
      <c r="A920" s="267" t="n"/>
    </row>
    <row r="921" ht="12.75" customHeight="1" s="322">
      <c r="A921" s="267" t="n"/>
    </row>
    <row r="922" ht="12.75" customHeight="1" s="322">
      <c r="A922" s="267" t="n"/>
    </row>
    <row r="923" ht="12.75" customHeight="1" s="322">
      <c r="A923" s="267" t="n"/>
    </row>
    <row r="924" ht="12.75" customHeight="1" s="322">
      <c r="A924" s="267" t="n"/>
    </row>
    <row r="925" ht="12.75" customHeight="1" s="322">
      <c r="A925" s="267" t="n"/>
    </row>
    <row r="926" ht="12.75" customHeight="1" s="322">
      <c r="A926" s="267" t="n"/>
    </row>
    <row r="927" ht="12.75" customHeight="1" s="322">
      <c r="A927" s="267" t="n"/>
    </row>
    <row r="928" ht="12.75" customHeight="1" s="322">
      <c r="A928" s="267" t="n"/>
    </row>
    <row r="929" ht="12.75" customHeight="1" s="322">
      <c r="A929" s="267" t="n"/>
    </row>
    <row r="930" ht="12.75" customHeight="1" s="322">
      <c r="A930" s="267" t="n"/>
    </row>
    <row r="931" ht="12.75" customHeight="1" s="322">
      <c r="A931" s="267" t="n"/>
    </row>
    <row r="932" ht="12.75" customHeight="1" s="322">
      <c r="A932" s="267" t="n"/>
    </row>
    <row r="933" ht="12.75" customHeight="1" s="322">
      <c r="A933" s="267" t="n"/>
    </row>
    <row r="934" ht="12.75" customHeight="1" s="322">
      <c r="A934" s="267" t="n"/>
    </row>
    <row r="935" ht="12.75" customHeight="1" s="322">
      <c r="A935" s="267" t="n"/>
    </row>
    <row r="936" ht="12.75" customHeight="1" s="322">
      <c r="A936" s="267" t="n"/>
    </row>
    <row r="937" ht="12.75" customHeight="1" s="322">
      <c r="A937" s="267" t="n"/>
    </row>
    <row r="938" ht="12.75" customHeight="1" s="322">
      <c r="A938" s="267" t="n"/>
    </row>
    <row r="939" ht="12.75" customHeight="1" s="322">
      <c r="A939" s="267" t="n"/>
    </row>
    <row r="940" ht="12.75" customHeight="1" s="322">
      <c r="A940" s="267" t="n"/>
    </row>
    <row r="941" ht="12.75" customHeight="1" s="322">
      <c r="A941" s="267" t="n"/>
    </row>
    <row r="942" ht="12.75" customHeight="1" s="322">
      <c r="A942" s="267" t="n"/>
    </row>
    <row r="943" ht="12.75" customHeight="1" s="322">
      <c r="A943" s="267" t="n"/>
    </row>
    <row r="944" ht="12.75" customHeight="1" s="322">
      <c r="A944" s="267" t="n"/>
    </row>
    <row r="945" ht="12.75" customHeight="1" s="322">
      <c r="A945" s="267" t="n"/>
    </row>
    <row r="946" ht="12.75" customHeight="1" s="322">
      <c r="A946" s="267" t="n"/>
    </row>
    <row r="947" ht="12.75" customHeight="1" s="322">
      <c r="A947" s="267" t="n"/>
    </row>
    <row r="948" ht="12.75" customHeight="1" s="322">
      <c r="A948" s="267" t="n"/>
    </row>
    <row r="949" ht="12.75" customHeight="1" s="322">
      <c r="A949" s="267" t="n"/>
    </row>
    <row r="950" ht="12.75" customHeight="1" s="322">
      <c r="A950" s="267" t="n"/>
    </row>
    <row r="951" ht="12.75" customHeight="1" s="322">
      <c r="A951" s="267" t="n"/>
    </row>
    <row r="952" ht="12.75" customHeight="1" s="322">
      <c r="A952" s="267" t="n"/>
    </row>
    <row r="953" ht="12.75" customHeight="1" s="322">
      <c r="A953" s="267" t="n"/>
    </row>
    <row r="954" ht="12.75" customHeight="1" s="322">
      <c r="A954" s="267" t="n"/>
    </row>
    <row r="955" ht="12.75" customHeight="1" s="322">
      <c r="A955" s="267" t="n"/>
    </row>
    <row r="956" ht="12.75" customHeight="1" s="322">
      <c r="A956" s="267" t="n"/>
    </row>
    <row r="957" ht="12.75" customHeight="1" s="322">
      <c r="A957" s="267" t="n"/>
    </row>
    <row r="958" ht="12.75" customHeight="1" s="322">
      <c r="A958" s="267" t="n"/>
    </row>
    <row r="959" ht="12.75" customHeight="1" s="322">
      <c r="A959" s="267" t="n"/>
    </row>
    <row r="960" ht="12.75" customHeight="1" s="322">
      <c r="A960" s="267" t="n"/>
    </row>
    <row r="961" ht="12.75" customHeight="1" s="322">
      <c r="A961" s="267" t="n"/>
    </row>
    <row r="962" ht="12.75" customHeight="1" s="322">
      <c r="A962" s="267" t="n"/>
    </row>
    <row r="963" ht="12.75" customHeight="1" s="322">
      <c r="A963" s="267" t="n"/>
    </row>
    <row r="964" ht="12.75" customHeight="1" s="322">
      <c r="A964" s="267" t="n"/>
    </row>
    <row r="965" ht="12.75" customHeight="1" s="322">
      <c r="A965" s="267" t="n"/>
    </row>
    <row r="966" ht="12.75" customHeight="1" s="322">
      <c r="A966" s="267" t="n"/>
    </row>
    <row r="967" ht="12.75" customHeight="1" s="322">
      <c r="A967" s="267" t="n"/>
    </row>
    <row r="968" ht="12.75" customHeight="1" s="322">
      <c r="A968" s="267" t="n"/>
    </row>
    <row r="969" ht="12.75" customHeight="1" s="322">
      <c r="A969" s="267" t="n"/>
    </row>
    <row r="970" ht="12.75" customHeight="1" s="322">
      <c r="A970" s="267" t="n"/>
    </row>
    <row r="971" ht="12.75" customHeight="1" s="322">
      <c r="A971" s="267" t="n"/>
    </row>
    <row r="972" ht="12.75" customHeight="1" s="322">
      <c r="A972" s="267" t="n"/>
    </row>
    <row r="973" ht="12.75" customHeight="1" s="322">
      <c r="A973" s="267" t="n"/>
    </row>
    <row r="974" ht="12.75" customHeight="1" s="322">
      <c r="A974" s="267" t="n"/>
    </row>
    <row r="975" ht="12.75" customHeight="1" s="322">
      <c r="A975" s="267" t="n"/>
    </row>
    <row r="976" ht="12.75" customHeight="1" s="322">
      <c r="A976" s="267" t="n"/>
    </row>
    <row r="977" ht="12.75" customHeight="1" s="322">
      <c r="A977" s="267" t="n"/>
    </row>
    <row r="978" ht="12.75" customHeight="1" s="322">
      <c r="A978" s="267" t="n"/>
    </row>
    <row r="979" ht="12.75" customHeight="1" s="322">
      <c r="A979" s="267" t="n"/>
    </row>
    <row r="980" ht="12.75" customHeight="1" s="322">
      <c r="A980" s="267" t="n"/>
    </row>
    <row r="981" ht="12.75" customHeight="1" s="322">
      <c r="A981" s="267" t="n"/>
    </row>
    <row r="982" ht="12.75" customHeight="1" s="322">
      <c r="A982" s="267" t="n"/>
    </row>
    <row r="983" ht="12.75" customHeight="1" s="322">
      <c r="A983" s="267" t="n"/>
    </row>
    <row r="984" ht="12.75" customHeight="1" s="322">
      <c r="A984" s="267" t="n"/>
    </row>
    <row r="985" ht="12.75" customHeight="1" s="322">
      <c r="A985" s="267" t="n"/>
    </row>
    <row r="986" ht="12.75" customHeight="1" s="322">
      <c r="A986" s="267" t="n"/>
    </row>
    <row r="987" ht="12.75" customHeight="1" s="322">
      <c r="A987" s="267" t="n"/>
    </row>
    <row r="988" ht="12.75" customHeight="1" s="322">
      <c r="A988" s="267" t="n"/>
    </row>
    <row r="989" ht="12.75" customHeight="1" s="322">
      <c r="A989" s="267" t="n"/>
    </row>
    <row r="990" ht="12.75" customHeight="1" s="322">
      <c r="A990" s="267" t="n"/>
    </row>
    <row r="991" ht="12.75" customHeight="1" s="322">
      <c r="A991" s="267" t="n"/>
    </row>
    <row r="992" ht="12.75" customHeight="1" s="322">
      <c r="A992" s="267" t="n"/>
    </row>
    <row r="993" ht="12.75" customHeight="1" s="322">
      <c r="A993" s="267" t="n"/>
    </row>
    <row r="994" ht="12.75" customHeight="1" s="322">
      <c r="A994" s="267" t="n"/>
    </row>
    <row r="995" ht="12.75" customHeight="1" s="322">
      <c r="A995" s="267" t="n"/>
    </row>
    <row r="996" ht="12.75" customHeight="1" s="322">
      <c r="A996" s="267" t="n"/>
    </row>
    <row r="997" ht="12.75" customHeight="1" s="322">
      <c r="A997" s="267" t="n"/>
    </row>
    <row r="998" ht="12.75" customHeight="1" s="322">
      <c r="A998" s="267" t="n"/>
    </row>
    <row r="999" ht="12.75" customHeight="1" s="322">
      <c r="A999" s="267" t="n"/>
    </row>
    <row r="1000" ht="12.75" customHeight="1" s="322">
      <c r="A1000" s="267" t="n"/>
    </row>
    <row r="1001" ht="12.75" customHeight="1" s="322">
      <c r="A1001" s="267" t="n"/>
    </row>
    <row r="1002" ht="12.75" customHeight="1" s="322">
      <c r="A1002" s="267" t="n"/>
    </row>
    <row r="1003" ht="12.75" customHeight="1" s="322">
      <c r="A1003" s="267" t="n"/>
    </row>
    <row r="1004" ht="12.75" customHeight="1" s="322">
      <c r="A1004" s="267" t="n"/>
    </row>
    <row r="1005" ht="12.75" customHeight="1" s="322">
      <c r="A1005" s="267" t="n"/>
    </row>
    <row r="1006" ht="12.75" customHeight="1" s="322">
      <c r="A1006" s="267" t="n"/>
    </row>
    <row r="1007" ht="12.75" customHeight="1" s="322">
      <c r="A1007" s="267" t="n"/>
    </row>
    <row r="1008" ht="12.75" customHeight="1" s="322">
      <c r="A1008" s="267" t="n"/>
    </row>
    <row r="1009" ht="12.75" customHeight="1" s="322">
      <c r="A1009" s="267" t="n"/>
    </row>
    <row r="1010" ht="12.75" customHeight="1" s="322">
      <c r="A1010" s="267" t="n"/>
    </row>
    <row r="1011" ht="12.75" customHeight="1" s="322">
      <c r="A1011" s="267" t="n"/>
    </row>
    <row r="1012" ht="12.75" customHeight="1" s="322">
      <c r="A1012" s="267" t="n"/>
    </row>
    <row r="1013" ht="12.75" customHeight="1" s="322">
      <c r="A1013" s="267" t="n"/>
    </row>
    <row r="1014" ht="12.75" customHeight="1" s="322">
      <c r="A1014" s="267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H1000"/>
  <sheetViews>
    <sheetView showGridLines="0" workbookViewId="0">
      <selection activeCell="A1" sqref="A1"/>
    </sheetView>
  </sheetViews>
  <sheetFormatPr baseColWidth="8" defaultColWidth="12.5703125" defaultRowHeight="15.75" customHeight="1"/>
  <cols>
    <col width="5.42578125" customWidth="1" style="322" min="1" max="1"/>
    <col width="15.7109375" customWidth="1" style="322" min="2" max="2"/>
    <col width="5.42578125" customWidth="1" style="322" min="8" max="8"/>
  </cols>
  <sheetData>
    <row r="1" ht="22.5" customHeight="1" s="322">
      <c r="A1" s="69" t="n"/>
      <c r="B1" s="455" t="inlineStr">
        <is>
          <t>← 관심종목으로 돌아가기</t>
        </is>
      </c>
      <c r="G1" s="72" t="inlineStr">
        <is>
          <t>제공:</t>
        </is>
      </c>
      <c r="H1" s="69" t="n"/>
    </row>
    <row r="2" ht="22.5" customHeight="1" s="322">
      <c r="A2" s="69" t="n"/>
      <c r="G2" s="77" t="inlineStr">
        <is>
          <t>Google Finance</t>
        </is>
      </c>
      <c r="H2" s="69" t="n"/>
    </row>
    <row r="3" ht="11.25" customHeight="1" s="322">
      <c r="A3" s="1" t="n"/>
      <c r="B3" s="1" t="n"/>
      <c r="C3" s="1" t="n"/>
      <c r="D3" s="1" t="n"/>
      <c r="E3" s="1" t="n"/>
      <c r="F3" s="1" t="n"/>
      <c r="G3" s="1" t="n"/>
      <c r="H3" s="1" t="n"/>
    </row>
    <row r="4" ht="15.75" customHeight="1" s="322">
      <c r="A4" s="1" t="n"/>
      <c r="B4" s="80" t="inlineStr">
        <is>
          <t>spy</t>
        </is>
      </c>
      <c r="C4" s="81" t="inlineStr">
        <is>
          <t>&lt;&lt; 종목코드 입력</t>
        </is>
      </c>
      <c r="D4" s="1" t="n"/>
      <c r="E4" s="1" t="n"/>
      <c r="F4" s="1" t="n"/>
      <c r="G4" s="1" t="n"/>
      <c r="H4" s="1" t="n"/>
    </row>
    <row r="5" ht="15.75" customHeight="1" s="322">
      <c r="A5" s="1" t="n"/>
      <c r="B5" s="82" t="n"/>
      <c r="C5" s="81" t="inlineStr">
        <is>
          <t>&lt;&lt; 필요한 경우 거래소 입력(예: NASDAQ, NYSE)</t>
        </is>
      </c>
      <c r="D5" s="85" t="n"/>
      <c r="E5" s="1" t="n"/>
      <c r="F5" s="1" t="n"/>
      <c r="G5" s="1" t="n"/>
      <c r="H5" s="1" t="n"/>
    </row>
    <row r="6" ht="11.25" customHeight="1" s="322">
      <c r="A6" s="27" t="n"/>
      <c r="B6" s="27" t="n"/>
      <c r="C6" s="27" t="n"/>
      <c r="D6" s="27" t="n"/>
      <c r="E6" s="27" t="n"/>
      <c r="F6" s="27" t="n"/>
      <c r="G6" s="27" t="n"/>
      <c r="H6" s="27" t="n"/>
    </row>
    <row r="7" ht="20.25" customHeight="1" s="322">
      <c r="A7" s="12" t="n"/>
      <c r="B7" s="501">
        <f>IFERROR(__xludf.DUMMYFUNCTION("GOOGLEFINANCE(B18,""name"")"),"State Street SPDR S&amp;P 500 ETF Trust")</f>
        <v/>
      </c>
      <c r="H7" s="12" t="n"/>
    </row>
    <row r="8" ht="11.25" customHeight="1" s="322">
      <c r="A8" s="12" t="n"/>
      <c r="B8" s="12" t="n"/>
      <c r="C8" s="12" t="n"/>
      <c r="D8" s="12" t="n"/>
      <c r="E8" s="12" t="n"/>
      <c r="F8" s="12" t="n"/>
      <c r="G8" s="12" t="n"/>
      <c r="H8" s="12" t="n"/>
    </row>
    <row r="9" ht="12" customHeight="1" s="322">
      <c r="A9" s="1" t="n"/>
      <c r="B9" s="90" t="inlineStr">
        <is>
          <t>현재가</t>
        </is>
      </c>
      <c r="C9" s="1" t="n"/>
      <c r="D9" s="90" t="inlineStr">
        <is>
          <t>전일대비</t>
        </is>
      </c>
      <c r="E9" s="90" t="inlineStr">
        <is>
          <t>등락률(%)</t>
        </is>
      </c>
      <c r="F9" s="1" t="n"/>
      <c r="G9" s="1" t="n"/>
      <c r="H9" s="1" t="n"/>
    </row>
    <row r="10" ht="31.5" customHeight="1" s="322">
      <c r="A10" s="12" t="n"/>
      <c r="B10" s="502">
        <f>IFERROR(__xludf.DUMMYFUNCTION("GOOGLEFINANCE(B18,""price"")"),729.46)</f>
        <v/>
      </c>
      <c r="D10" s="503">
        <f>IFERROR(__xludf.DUMMYFUNCTION("IFERROR(GOOGLEFINANCE(B18,""change""),""-"")"),-11.4)</f>
        <v/>
      </c>
      <c r="E10" s="504">
        <f>IFERROR(__xludf.DUMMYFUNCTION("IFERROR(GOOGLEFINANCE(B18,""changepct"")/100,""-"")"),-0.0154)</f>
        <v/>
      </c>
      <c r="F10" s="12" t="n"/>
      <c r="G10" s="12" t="n"/>
      <c r="H10" s="12" t="n"/>
    </row>
    <row r="11" ht="11.25" customHeight="1" s="322">
      <c r="A11" s="12" t="n"/>
      <c r="B11" s="106" t="n"/>
      <c r="C11" s="106" t="n"/>
      <c r="D11" s="106" t="n"/>
      <c r="E11" s="106" t="n"/>
      <c r="F11" s="106" t="n"/>
      <c r="G11" s="106" t="n"/>
      <c r="H11" s="12" t="n"/>
    </row>
    <row r="12" ht="11.25" customHeight="1" s="322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 ht="12" customHeight="1" s="322">
      <c r="A13" s="1" t="n"/>
      <c r="B13" s="90" t="inlineStr">
        <is>
          <t>시가총액</t>
        </is>
      </c>
      <c r="C13" s="90" t="inlineStr">
        <is>
          <t>PER</t>
        </is>
      </c>
      <c r="D13" s="90" t="inlineStr">
        <is>
          <t>베타계수</t>
        </is>
      </c>
      <c r="E13" s="1" t="n"/>
      <c r="F13" s="1" t="n"/>
      <c r="G13" s="1" t="n"/>
      <c r="H13" s="1" t="n"/>
    </row>
    <row r="14">
      <c r="A14" s="113" t="n"/>
      <c r="B14" s="505">
        <f>IFERROR(__xludf.DUMMYFUNCTION("IFERROR(GOOGLEFINANCE(B18,""marketcap""),""-"")"),658411272346)</f>
        <v/>
      </c>
      <c r="C14" s="115">
        <f>IFERROR(__xludf.DUMMYFUNCTION("IFERROR(GOOGLEFINANCE(B18,""pe""),""-"")"),"-")</f>
        <v/>
      </c>
      <c r="D14" s="115">
        <f>IFERROR(__xludf.DUMMYFUNCTION("IFERROR(GOOGLEFINANCE(B18,""beta""),""-"")"),"-")</f>
        <v/>
      </c>
      <c r="E14" s="113" t="n"/>
      <c r="F14" s="113" t="n"/>
      <c r="G14" s="113" t="n"/>
      <c r="H14" s="113" t="n"/>
    </row>
    <row r="15" ht="15.75" customHeight="1" s="322">
      <c r="A15" s="12" t="n"/>
      <c r="B15" s="12" t="n"/>
      <c r="C15" s="12" t="n"/>
      <c r="D15" s="12" t="n"/>
      <c r="E15" s="12" t="n"/>
      <c r="F15" s="12" t="n"/>
      <c r="G15" s="123" t="inlineStr">
        <is>
          <t>12 Months</t>
        </is>
      </c>
      <c r="H15" s="12" t="n"/>
    </row>
    <row r="16" ht="15.75" customHeight="1" s="322">
      <c r="A16" s="12" t="n"/>
      <c r="B16" s="12" t="n"/>
      <c r="C16" s="12" t="n"/>
      <c r="D16" s="12" t="n"/>
      <c r="E16" s="12" t="n"/>
      <c r="F16" s="12" t="n"/>
      <c r="G16" s="12" t="n"/>
      <c r="H16" s="12" t="n"/>
    </row>
    <row r="17" ht="15.75" customHeight="1" s="322">
      <c r="A17" s="12" t="n"/>
      <c r="B17" s="12" t="n"/>
      <c r="C17" s="12" t="n"/>
      <c r="D17" s="12" t="n"/>
      <c r="E17" s="12" t="n"/>
      <c r="F17" s="12" t="n"/>
      <c r="G17" s="12" t="n"/>
      <c r="H17" s="12" t="n"/>
    </row>
    <row r="18" ht="15.75" customHeight="1" s="322">
      <c r="A18" s="12" t="n"/>
      <c r="B18" s="127">
        <f>IF(ISBLANK(B5),"",B5&amp;":")&amp;B4</f>
        <v/>
      </c>
      <c r="C18" s="12" t="n"/>
      <c r="D18" s="12" t="n"/>
      <c r="E18" s="12" t="n"/>
      <c r="F18" s="12" t="n"/>
      <c r="G18" s="12" t="n"/>
      <c r="H18" s="12" t="n"/>
    </row>
    <row r="19" ht="15.75" customHeight="1" s="322">
      <c r="A19" s="12" t="n"/>
      <c r="B19" s="12" t="n"/>
      <c r="C19" s="12" t="n"/>
      <c r="D19" s="12" t="n"/>
      <c r="E19" s="12" t="n"/>
      <c r="F19" s="12" t="n"/>
      <c r="G19" s="12" t="n"/>
      <c r="H19" s="12" t="n"/>
    </row>
    <row r="20" ht="15.75" customHeight="1" s="322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1" ht="15.75" customHeight="1" s="322">
      <c r="A21" s="12" t="n"/>
      <c r="B21" s="12" t="n"/>
      <c r="C21" s="12" t="n"/>
      <c r="D21" s="12" t="n"/>
      <c r="E21" s="12" t="n"/>
      <c r="F21" s="12" t="n"/>
      <c r="G21" s="12" t="n"/>
      <c r="H21" s="12" t="n"/>
    </row>
    <row r="22" ht="15.75" customHeight="1" s="322">
      <c r="A22" s="12" t="n"/>
      <c r="B22" s="12" t="n"/>
      <c r="C22" s="12" t="n"/>
      <c r="D22" s="12" t="n"/>
      <c r="E22" s="12" t="n"/>
      <c r="F22" s="12" t="n"/>
      <c r="G22" s="12" t="n"/>
      <c r="H22" s="12" t="n"/>
    </row>
    <row r="23" ht="15.75" customHeight="1" s="322">
      <c r="A23" s="12" t="n"/>
      <c r="B23" s="12" t="n"/>
      <c r="C23" s="12" t="n"/>
      <c r="D23" s="12" t="n"/>
      <c r="E23" s="12" t="n"/>
      <c r="F23" s="12" t="n"/>
      <c r="G23" s="12" t="n"/>
      <c r="H23" s="12" t="n"/>
    </row>
    <row r="24" ht="15.75" customHeight="1" s="322">
      <c r="A24" s="12" t="n"/>
      <c r="B24" s="12" t="n"/>
      <c r="C24" s="12" t="n"/>
      <c r="D24" s="12" t="n"/>
      <c r="E24" s="12" t="n"/>
      <c r="F24" s="12" t="n"/>
      <c r="G24" s="12" t="n"/>
      <c r="H24" s="12" t="n"/>
    </row>
    <row r="25" ht="15.75" customHeight="1" s="322">
      <c r="A25" s="12" t="n"/>
      <c r="B25" s="12" t="n"/>
      <c r="C25" s="12" t="n"/>
      <c r="D25" s="12" t="n"/>
      <c r="E25" s="12" t="n"/>
      <c r="F25" s="12" t="n"/>
      <c r="G25" s="12" t="n"/>
      <c r="H25" s="12" t="n"/>
    </row>
    <row r="26" ht="15.75" customHeight="1" s="322">
      <c r="A26" s="12" t="n"/>
      <c r="B26" s="12" t="n"/>
      <c r="C26" s="12" t="n"/>
      <c r="D26" s="12" t="n"/>
      <c r="E26" s="12" t="n"/>
      <c r="F26" s="12" t="n"/>
      <c r="G26" s="12" t="n"/>
      <c r="H26" s="12" t="n"/>
    </row>
    <row r="27" ht="15.75" customHeight="1" s="322">
      <c r="A27" s="133" t="n"/>
      <c r="B27" s="136">
        <f>IFERROR(__xludf.DUMMYFUNCTION("GOOGLEFINANCE(B18, ""all"", EDATE(TODAY(), -LEFT(G15, FIND("" "", G15))), TODAY(), ""DAILY"")"),"Date")</f>
        <v/>
      </c>
      <c r="C27" s="137">
        <f>IFERROR(__xludf.DUMMYFUNCTION("""COMPUTED_VALUE"""),"Open")</f>
        <v/>
      </c>
      <c r="D27" s="137">
        <f>IFERROR(__xludf.DUMMYFUNCTION("""COMPUTED_VALUE"""),"High")</f>
        <v/>
      </c>
      <c r="E27" s="137">
        <f>IFERROR(__xludf.DUMMYFUNCTION("""COMPUTED_VALUE"""),"Low")</f>
        <v/>
      </c>
      <c r="F27" s="137">
        <f>IFERROR(__xludf.DUMMYFUNCTION("""COMPUTED_VALUE"""),"Close")</f>
        <v/>
      </c>
      <c r="G27" s="137">
        <f>IFERROR(__xludf.DUMMYFUNCTION("""COMPUTED_VALUE"""),"Volume")</f>
        <v/>
      </c>
      <c r="H27" s="133" t="n"/>
    </row>
    <row r="28" ht="17.25" customHeight="1" s="322">
      <c r="A28" s="27" t="n"/>
      <c r="B28" s="506">
        <f>IFERROR(__xludf.DUMMYFUNCTION("""COMPUTED_VALUE"""),45868.6666666666)</f>
        <v/>
      </c>
      <c r="C28" s="141">
        <f>IFERROR(__xludf.DUMMYFUNCTION("""COMPUTED_VALUE"""),635.92)</f>
        <v/>
      </c>
      <c r="D28" s="141">
        <f>IFERROR(__xludf.DUMMYFUNCTION("""COMPUTED_VALUE"""),637.68)</f>
        <v/>
      </c>
      <c r="E28" s="141">
        <f>IFERROR(__xludf.DUMMYFUNCTION("""COMPUTED_VALUE"""),631.54)</f>
        <v/>
      </c>
      <c r="F28" s="141">
        <f>IFERROR(__xludf.DUMMYFUNCTION("""COMPUTED_VALUE"""),634.46)</f>
        <v/>
      </c>
      <c r="G28" s="143">
        <f>IFERROR(__xludf.DUMMYFUNCTION("""COMPUTED_VALUE"""),80418851)</f>
        <v/>
      </c>
      <c r="H28" s="27" t="n"/>
    </row>
    <row r="29" ht="17.25" customHeight="1" s="322">
      <c r="A29" s="27" t="n"/>
      <c r="B29" s="506">
        <f>IFERROR(__xludf.DUMMYFUNCTION("""COMPUTED_VALUE"""),45869.6666666666)</f>
        <v/>
      </c>
      <c r="C29" s="141">
        <f>IFERROR(__xludf.DUMMYFUNCTION("""COMPUTED_VALUE"""),639.46)</f>
        <v/>
      </c>
      <c r="D29" s="141">
        <f>IFERROR(__xludf.DUMMYFUNCTION("""COMPUTED_VALUE"""),639.85)</f>
        <v/>
      </c>
      <c r="E29" s="141">
        <f>IFERROR(__xludf.DUMMYFUNCTION("""COMPUTED_VALUE"""),630.77)</f>
        <v/>
      </c>
      <c r="F29" s="141">
        <f>IFERROR(__xludf.DUMMYFUNCTION("""COMPUTED_VALUE"""),632.08)</f>
        <v/>
      </c>
      <c r="G29" s="143">
        <f>IFERROR(__xludf.DUMMYFUNCTION("""COMPUTED_VALUE"""),103385246)</f>
        <v/>
      </c>
      <c r="H29" s="27" t="n"/>
    </row>
    <row r="30" ht="17.25" customHeight="1" s="322">
      <c r="A30" s="27" t="n"/>
      <c r="B30" s="506">
        <f>IFERROR(__xludf.DUMMYFUNCTION("""COMPUTED_VALUE"""),45870.6666666666)</f>
        <v/>
      </c>
      <c r="C30" s="141">
        <f>IFERROR(__xludf.DUMMYFUNCTION("""COMPUTED_VALUE"""),626.3)</f>
        <v/>
      </c>
      <c r="D30" s="141">
        <f>IFERROR(__xludf.DUMMYFUNCTION("""COMPUTED_VALUE"""),626.34)</f>
        <v/>
      </c>
      <c r="E30" s="141">
        <f>IFERROR(__xludf.DUMMYFUNCTION("""COMPUTED_VALUE"""),619.29)</f>
        <v/>
      </c>
      <c r="F30" s="141">
        <f>IFERROR(__xludf.DUMMYFUNCTION("""COMPUTED_VALUE"""),621.72)</f>
        <v/>
      </c>
      <c r="G30" s="143">
        <f>IFERROR(__xludf.DUMMYFUNCTION("""COMPUTED_VALUE"""),140103572)</f>
        <v/>
      </c>
      <c r="H30" s="27" t="n"/>
    </row>
    <row r="31" ht="17.25" customHeight="1" s="322">
      <c r="A31" s="27" t="n"/>
      <c r="B31" s="506">
        <f>IFERROR(__xludf.DUMMYFUNCTION("""COMPUTED_VALUE"""),45873.6666666666)</f>
        <v/>
      </c>
      <c r="C31" s="141">
        <f>IFERROR(__xludf.DUMMYFUNCTION("""COMPUTED_VALUE"""),625.67)</f>
        <v/>
      </c>
      <c r="D31" s="141">
        <f>IFERROR(__xludf.DUMMYFUNCTION("""COMPUTED_VALUE"""),631.22)</f>
        <v/>
      </c>
      <c r="E31" s="141">
        <f>IFERROR(__xludf.DUMMYFUNCTION("""COMPUTED_VALUE"""),625.58)</f>
        <v/>
      </c>
      <c r="F31" s="141">
        <f>IFERROR(__xludf.DUMMYFUNCTION("""COMPUTED_VALUE"""),631.17)</f>
        <v/>
      </c>
      <c r="G31" s="143">
        <f>IFERROR(__xludf.DUMMYFUNCTION("""COMPUTED_VALUE"""),73218015)</f>
        <v/>
      </c>
      <c r="H31" s="27" t="n"/>
    </row>
    <row r="32" ht="17.25" customHeight="1" s="322">
      <c r="A32" s="27" t="n"/>
      <c r="B32" s="506">
        <f>IFERROR(__xludf.DUMMYFUNCTION("""COMPUTED_VALUE"""),45874.6666666666)</f>
        <v/>
      </c>
      <c r="C32" s="141">
        <f>IFERROR(__xludf.DUMMYFUNCTION("""COMPUTED_VALUE"""),631.79)</f>
        <v/>
      </c>
      <c r="D32" s="141">
        <f>IFERROR(__xludf.DUMMYFUNCTION("""COMPUTED_VALUE"""),632.61)</f>
        <v/>
      </c>
      <c r="E32" s="141">
        <f>IFERROR(__xludf.DUMMYFUNCTION("""COMPUTED_VALUE"""),627.04)</f>
        <v/>
      </c>
      <c r="F32" s="141">
        <f>IFERROR(__xludf.DUMMYFUNCTION("""COMPUTED_VALUE"""),627.97)</f>
        <v/>
      </c>
      <c r="G32" s="143">
        <f>IFERROR(__xludf.DUMMYFUNCTION("""COMPUTED_VALUE"""),68051401)</f>
        <v/>
      </c>
      <c r="H32" s="27" t="n"/>
    </row>
    <row r="33" ht="17.25" customHeight="1" s="322">
      <c r="A33" s="27" t="n"/>
      <c r="B33" s="506">
        <f>IFERROR(__xludf.DUMMYFUNCTION("""COMPUTED_VALUE"""),45875.6666666666)</f>
        <v/>
      </c>
      <c r="C33" s="141">
        <f>IFERROR(__xludf.DUMMYFUNCTION("""COMPUTED_VALUE"""),629.05)</f>
        <v/>
      </c>
      <c r="D33" s="141">
        <f>IFERROR(__xludf.DUMMYFUNCTION("""COMPUTED_VALUE"""),633.44)</f>
        <v/>
      </c>
      <c r="E33" s="141">
        <f>IFERROR(__xludf.DUMMYFUNCTION("""COMPUTED_VALUE"""),628.13)</f>
        <v/>
      </c>
      <c r="F33" s="141">
        <f>IFERROR(__xludf.DUMMYFUNCTION("""COMPUTED_VALUE"""),632.78)</f>
        <v/>
      </c>
      <c r="G33" s="143">
        <f>IFERROR(__xludf.DUMMYFUNCTION("""COMPUTED_VALUE"""),64357525)</f>
        <v/>
      </c>
      <c r="H33" s="27" t="n"/>
    </row>
    <row r="34" ht="17.25" customHeight="1" s="322">
      <c r="A34" s="27" t="n"/>
      <c r="B34" s="506">
        <f>IFERROR(__xludf.DUMMYFUNCTION("""COMPUTED_VALUE"""),45876.6666666666)</f>
        <v/>
      </c>
      <c r="C34" s="141">
        <f>IFERROR(__xludf.DUMMYFUNCTION("""COMPUTED_VALUE"""),636.24)</f>
        <v/>
      </c>
      <c r="D34" s="141">
        <f>IFERROR(__xludf.DUMMYFUNCTION("""COMPUTED_VALUE"""),636.98)</f>
        <v/>
      </c>
      <c r="E34" s="141">
        <f>IFERROR(__xludf.DUMMYFUNCTION("""COMPUTED_VALUE"""),629.11)</f>
        <v/>
      </c>
      <c r="F34" s="141">
        <f>IFERROR(__xludf.DUMMYFUNCTION("""COMPUTED_VALUE"""),632.25)</f>
        <v/>
      </c>
      <c r="G34" s="143">
        <f>IFERROR(__xludf.DUMMYFUNCTION("""COMPUTED_VALUE"""),74205791)</f>
        <v/>
      </c>
      <c r="H34" s="27" t="n"/>
    </row>
    <row r="35" ht="17.25" customHeight="1" s="322">
      <c r="A35" s="27" t="n"/>
      <c r="B35" s="506">
        <f>IFERROR(__xludf.DUMMYFUNCTION("""COMPUTED_VALUE"""),45877.6666666666)</f>
        <v/>
      </c>
      <c r="C35" s="141">
        <f>IFERROR(__xludf.DUMMYFUNCTION("""COMPUTED_VALUE"""),634.06)</f>
        <v/>
      </c>
      <c r="D35" s="141">
        <f>IFERROR(__xludf.DUMMYFUNCTION("""COMPUTED_VALUE"""),637.65)</f>
        <v/>
      </c>
      <c r="E35" s="141">
        <f>IFERROR(__xludf.DUMMYFUNCTION("""COMPUTED_VALUE"""),633.74)</f>
        <v/>
      </c>
      <c r="F35" s="141">
        <f>IFERROR(__xludf.DUMMYFUNCTION("""COMPUTED_VALUE"""),637.18)</f>
        <v/>
      </c>
      <c r="G35" s="143">
        <f>IFERROR(__xludf.DUMMYFUNCTION("""COMPUTED_VALUE"""),64051626)</f>
        <v/>
      </c>
      <c r="H35" s="27" t="n"/>
    </row>
    <row r="36" ht="17.25" customHeight="1" s="322">
      <c r="A36" s="27" t="n"/>
      <c r="B36" s="506">
        <f>IFERROR(__xludf.DUMMYFUNCTION("""COMPUTED_VALUE"""),45880.6666666666)</f>
        <v/>
      </c>
      <c r="C36" s="141">
        <f>IFERROR(__xludf.DUMMYFUNCTION("""COMPUTED_VALUE"""),637.46)</f>
        <v/>
      </c>
      <c r="D36" s="141">
        <f>IFERROR(__xludf.DUMMYFUNCTION("""COMPUTED_VALUE"""),638.95)</f>
        <v/>
      </c>
      <c r="E36" s="141">
        <f>IFERROR(__xludf.DUMMYFUNCTION("""COMPUTED_VALUE"""),634.66)</f>
        <v/>
      </c>
      <c r="F36" s="141">
        <f>IFERROR(__xludf.DUMMYFUNCTION("""COMPUTED_VALUE"""),635.92)</f>
        <v/>
      </c>
      <c r="G36" s="143">
        <f>IFERROR(__xludf.DUMMYFUNCTION("""COMPUTED_VALUE"""),58742300)</f>
        <v/>
      </c>
      <c r="H36" s="27" t="n"/>
    </row>
    <row r="37" ht="17.25" customHeight="1" s="322">
      <c r="A37" s="27" t="n"/>
      <c r="B37" s="506">
        <f>IFERROR(__xludf.DUMMYFUNCTION("""COMPUTED_VALUE"""),45881.6666666666)</f>
        <v/>
      </c>
      <c r="C37" s="141">
        <f>IFERROR(__xludf.DUMMYFUNCTION("""COMPUTED_VALUE"""),638.29)</f>
        <v/>
      </c>
      <c r="D37" s="141">
        <f>IFERROR(__xludf.DUMMYFUNCTION("""COMPUTED_VALUE"""),642.85)</f>
        <v/>
      </c>
      <c r="E37" s="141">
        <f>IFERROR(__xludf.DUMMYFUNCTION("""COMPUTED_VALUE"""),636.79)</f>
        <v/>
      </c>
      <c r="F37" s="141">
        <f>IFERROR(__xludf.DUMMYFUNCTION("""COMPUTED_VALUE"""),642.69)</f>
        <v/>
      </c>
      <c r="G37" s="143">
        <f>IFERROR(__xludf.DUMMYFUNCTION("""COMPUTED_VALUE"""),64821798)</f>
        <v/>
      </c>
      <c r="H37" s="27" t="n"/>
    </row>
    <row r="38" ht="17.25" customHeight="1" s="322">
      <c r="A38" s="27" t="n"/>
      <c r="B38" s="506">
        <f>IFERROR(__xludf.DUMMYFUNCTION("""COMPUTED_VALUE"""),45882.6666666666)</f>
        <v/>
      </c>
      <c r="C38" s="141">
        <f>IFERROR(__xludf.DUMMYFUNCTION("""COMPUTED_VALUE"""),644.91)</f>
        <v/>
      </c>
      <c r="D38" s="141">
        <f>IFERROR(__xludf.DUMMYFUNCTION("""COMPUTED_VALUE"""),646.19)</f>
        <v/>
      </c>
      <c r="E38" s="141">
        <f>IFERROR(__xludf.DUMMYFUNCTION("""COMPUTED_VALUE"""),642.68)</f>
        <v/>
      </c>
      <c r="F38" s="141">
        <f>IFERROR(__xludf.DUMMYFUNCTION("""COMPUTED_VALUE"""),644.89)</f>
        <v/>
      </c>
      <c r="G38" s="143">
        <f>IFERROR(__xludf.DUMMYFUNCTION("""COMPUTED_VALUE"""),60092790)</f>
        <v/>
      </c>
      <c r="H38" s="27" t="n"/>
    </row>
    <row r="39" ht="17.25" customHeight="1" s="322">
      <c r="A39" s="27" t="n"/>
      <c r="B39" s="506">
        <f>IFERROR(__xludf.DUMMYFUNCTION("""COMPUTED_VALUE"""),45883.6666666666)</f>
        <v/>
      </c>
      <c r="C39" s="141">
        <f>IFERROR(__xludf.DUMMYFUNCTION("""COMPUTED_VALUE"""),642.79)</f>
        <v/>
      </c>
      <c r="D39" s="141">
        <f>IFERROR(__xludf.DUMMYFUNCTION("""COMPUTED_VALUE"""),645.62)</f>
        <v/>
      </c>
      <c r="E39" s="141">
        <f>IFERROR(__xludf.DUMMYFUNCTION("""COMPUTED_VALUE"""),642.34)</f>
        <v/>
      </c>
      <c r="F39" s="141">
        <f>IFERROR(__xludf.DUMMYFUNCTION("""COMPUTED_VALUE"""),644.95)</f>
        <v/>
      </c>
      <c r="G39" s="143">
        <f>IFERROR(__xludf.DUMMYFUNCTION("""COMPUTED_VALUE"""),59327466)</f>
        <v/>
      </c>
      <c r="H39" s="27" t="n"/>
    </row>
    <row r="40" ht="17.25" customHeight="1" s="322">
      <c r="A40" s="27" t="n"/>
      <c r="B40" s="506">
        <f>IFERROR(__xludf.DUMMYFUNCTION("""COMPUTED_VALUE"""),45884.6666666666)</f>
        <v/>
      </c>
      <c r="C40" s="141">
        <f>IFERROR(__xludf.DUMMYFUNCTION("""COMPUTED_VALUE"""),645.99)</f>
        <v/>
      </c>
      <c r="D40" s="141">
        <f>IFERROR(__xludf.DUMMYFUNCTION("""COMPUTED_VALUE"""),646.09)</f>
        <v/>
      </c>
      <c r="E40" s="141">
        <f>IFERROR(__xludf.DUMMYFUNCTION("""COMPUTED_VALUE"""),642.52)</f>
        <v/>
      </c>
      <c r="F40" s="141">
        <f>IFERROR(__xludf.DUMMYFUNCTION("""COMPUTED_VALUE"""),643.44)</f>
        <v/>
      </c>
      <c r="G40" s="143">
        <f>IFERROR(__xludf.DUMMYFUNCTION("""COMPUTED_VALUE"""),68592507)</f>
        <v/>
      </c>
      <c r="H40" s="27" t="n"/>
    </row>
    <row r="41" ht="17.25" customHeight="1" s="322">
      <c r="A41" s="27" t="n"/>
      <c r="B41" s="506">
        <f>IFERROR(__xludf.DUMMYFUNCTION("""COMPUTED_VALUE"""),45887.6666666666)</f>
        <v/>
      </c>
      <c r="C41" s="141">
        <f>IFERROR(__xludf.DUMMYFUNCTION("""COMPUTED_VALUE"""),642.86)</f>
        <v/>
      </c>
      <c r="D41" s="141">
        <f>IFERROR(__xludf.DUMMYFUNCTION("""COMPUTED_VALUE"""),644)</f>
        <v/>
      </c>
      <c r="E41" s="141">
        <f>IFERROR(__xludf.DUMMYFUNCTION("""COMPUTED_VALUE"""),642.18)</f>
        <v/>
      </c>
      <c r="F41" s="141">
        <f>IFERROR(__xludf.DUMMYFUNCTION("""COMPUTED_VALUE"""),643.3)</f>
        <v/>
      </c>
      <c r="G41" s="143">
        <f>IFERROR(__xludf.DUMMYFUNCTION("""COMPUTED_VALUE"""),43804914)</f>
        <v/>
      </c>
      <c r="H41" s="27" t="n"/>
    </row>
    <row r="42" ht="17.25" customHeight="1" s="322">
      <c r="A42" s="27" t="n"/>
      <c r="B42" s="506">
        <f>IFERROR(__xludf.DUMMYFUNCTION("""COMPUTED_VALUE"""),45888.6666666666)</f>
        <v/>
      </c>
      <c r="C42" s="141">
        <f>IFERROR(__xludf.DUMMYFUNCTION("""COMPUTED_VALUE"""),643.12)</f>
        <v/>
      </c>
      <c r="D42" s="141">
        <f>IFERROR(__xludf.DUMMYFUNCTION("""COMPUTED_VALUE"""),644.11)</f>
        <v/>
      </c>
      <c r="E42" s="141">
        <f>IFERROR(__xludf.DUMMYFUNCTION("""COMPUTED_VALUE"""),638.48)</f>
        <v/>
      </c>
      <c r="F42" s="141">
        <f>IFERROR(__xludf.DUMMYFUNCTION("""COMPUTED_VALUE"""),639.81)</f>
        <v/>
      </c>
      <c r="G42" s="143">
        <f>IFERROR(__xludf.DUMMYFUNCTION("""COMPUTED_VALUE"""),69750731)</f>
        <v/>
      </c>
      <c r="H42" s="27" t="n"/>
    </row>
    <row r="43" ht="17.25" customHeight="1" s="322">
      <c r="A43" s="27" t="n"/>
      <c r="B43" s="506">
        <f>IFERROR(__xludf.DUMMYFUNCTION("""COMPUTED_VALUE"""),45889.6666666666)</f>
        <v/>
      </c>
      <c r="C43" s="141">
        <f>IFERROR(__xludf.DUMMYFUNCTION("""COMPUTED_VALUE"""),639.4)</f>
        <v/>
      </c>
      <c r="D43" s="141">
        <f>IFERROR(__xludf.DUMMYFUNCTION("""COMPUTED_VALUE"""),639.66)</f>
        <v/>
      </c>
      <c r="E43" s="141">
        <f>IFERROR(__xludf.DUMMYFUNCTION("""COMPUTED_VALUE"""),632.95)</f>
        <v/>
      </c>
      <c r="F43" s="141">
        <f>IFERROR(__xludf.DUMMYFUNCTION("""COMPUTED_VALUE"""),638.11)</f>
        <v/>
      </c>
      <c r="G43" s="143">
        <f>IFERROR(__xludf.DUMMYFUNCTION("""COMPUTED_VALUE"""),88890298)</f>
        <v/>
      </c>
      <c r="H43" s="27" t="n"/>
    </row>
    <row r="44" ht="17.25" customHeight="1" s="322">
      <c r="A44" s="27" t="n"/>
      <c r="B44" s="506">
        <f>IFERROR(__xludf.DUMMYFUNCTION("""COMPUTED_VALUE"""),45890.6666666666)</f>
        <v/>
      </c>
      <c r="C44" s="141">
        <f>IFERROR(__xludf.DUMMYFUNCTION("""COMPUTED_VALUE"""),636.28)</f>
        <v/>
      </c>
      <c r="D44" s="141">
        <f>IFERROR(__xludf.DUMMYFUNCTION("""COMPUTED_VALUE"""),637.97)</f>
        <v/>
      </c>
      <c r="E44" s="141">
        <f>IFERROR(__xludf.DUMMYFUNCTION("""COMPUTED_VALUE"""),633.81)</f>
        <v/>
      </c>
      <c r="F44" s="141">
        <f>IFERROR(__xludf.DUMMYFUNCTION("""COMPUTED_VALUE"""),635.55)</f>
        <v/>
      </c>
      <c r="G44" s="143">
        <f>IFERROR(__xludf.DUMMYFUNCTION("""COMPUTED_VALUE"""),54805775)</f>
        <v/>
      </c>
      <c r="H44" s="27" t="n"/>
    </row>
    <row r="45" ht="17.25" customHeight="1" s="322">
      <c r="A45" s="27" t="n"/>
      <c r="B45" s="506">
        <f>IFERROR(__xludf.DUMMYFUNCTION("""COMPUTED_VALUE"""),45891.6666666666)</f>
        <v/>
      </c>
      <c r="C45" s="141">
        <f>IFERROR(__xludf.DUMMYFUNCTION("""COMPUTED_VALUE"""),637.76)</f>
        <v/>
      </c>
      <c r="D45" s="141">
        <f>IFERROR(__xludf.DUMMYFUNCTION("""COMPUTED_VALUE"""),646.5)</f>
        <v/>
      </c>
      <c r="E45" s="141">
        <f>IFERROR(__xludf.DUMMYFUNCTION("""COMPUTED_VALUE"""),637.25)</f>
        <v/>
      </c>
      <c r="F45" s="141">
        <f>IFERROR(__xludf.DUMMYFUNCTION("""COMPUTED_VALUE"""),645.31)</f>
        <v/>
      </c>
      <c r="G45" s="143">
        <f>IFERROR(__xludf.DUMMYFUNCTION("""COMPUTED_VALUE"""),84083214)</f>
        <v/>
      </c>
      <c r="H45" s="27" t="n"/>
    </row>
    <row r="46" ht="17.25" customHeight="1" s="322">
      <c r="A46" s="27" t="n"/>
      <c r="B46" s="506">
        <f>IFERROR(__xludf.DUMMYFUNCTION("""COMPUTED_VALUE"""),45894.6666666666)</f>
        <v/>
      </c>
      <c r="C46" s="141">
        <f>IFERROR(__xludf.DUMMYFUNCTION("""COMPUTED_VALUE"""),644.04)</f>
        <v/>
      </c>
      <c r="D46" s="141">
        <f>IFERROR(__xludf.DUMMYFUNCTION("""COMPUTED_VALUE"""),645.29)</f>
        <v/>
      </c>
      <c r="E46" s="141">
        <f>IFERROR(__xludf.DUMMYFUNCTION("""COMPUTED_VALUE"""),642.35)</f>
        <v/>
      </c>
      <c r="F46" s="141">
        <f>IFERROR(__xludf.DUMMYFUNCTION("""COMPUTED_VALUE"""),642.47)</f>
        <v/>
      </c>
      <c r="G46" s="143">
        <f>IFERROR(__xludf.DUMMYFUNCTION("""COMPUTED_VALUE"""),51274332)</f>
        <v/>
      </c>
      <c r="H46" s="27" t="n"/>
    </row>
    <row r="47" ht="17.25" customHeight="1" s="322">
      <c r="A47" s="27" t="n"/>
      <c r="B47" s="506">
        <f>IFERROR(__xludf.DUMMYFUNCTION("""COMPUTED_VALUE"""),45895.6666666666)</f>
        <v/>
      </c>
      <c r="C47" s="141">
        <f>IFERROR(__xludf.DUMMYFUNCTION("""COMPUTED_VALUE"""),642.2)</f>
        <v/>
      </c>
      <c r="D47" s="141">
        <f>IFERROR(__xludf.DUMMYFUNCTION("""COMPUTED_VALUE"""),645.51)</f>
        <v/>
      </c>
      <c r="E47" s="141">
        <f>IFERROR(__xludf.DUMMYFUNCTION("""COMPUTED_VALUE"""),641.57)</f>
        <v/>
      </c>
      <c r="F47" s="141">
        <f>IFERROR(__xludf.DUMMYFUNCTION("""COMPUTED_VALUE"""),645.16)</f>
        <v/>
      </c>
      <c r="G47" s="143">
        <f>IFERROR(__xludf.DUMMYFUNCTION("""COMPUTED_VALUE"""),51581565)</f>
        <v/>
      </c>
      <c r="H47" s="27" t="n"/>
    </row>
    <row r="48" ht="17.25" customHeight="1" s="322">
      <c r="A48" s="27" t="n"/>
      <c r="B48" s="506">
        <f>IFERROR(__xludf.DUMMYFUNCTION("""COMPUTED_VALUE"""),45896.6666666666)</f>
        <v/>
      </c>
      <c r="C48" s="141">
        <f>IFERROR(__xludf.DUMMYFUNCTION("""COMPUTED_VALUE"""),644.57)</f>
        <v/>
      </c>
      <c r="D48" s="141">
        <f>IFERROR(__xludf.DUMMYFUNCTION("""COMPUTED_VALUE"""),647.37)</f>
        <v/>
      </c>
      <c r="E48" s="141">
        <f>IFERROR(__xludf.DUMMYFUNCTION("""COMPUTED_VALUE"""),644.42)</f>
        <v/>
      </c>
      <c r="F48" s="141">
        <f>IFERROR(__xludf.DUMMYFUNCTION("""COMPUTED_VALUE"""),646.63)</f>
        <v/>
      </c>
      <c r="G48" s="143">
        <f>IFERROR(__xludf.DUMMYFUNCTION("""COMPUTED_VALUE"""),48341069)</f>
        <v/>
      </c>
      <c r="H48" s="27" t="n"/>
    </row>
    <row r="49" ht="17.25" customHeight="1" s="322">
      <c r="A49" s="27" t="n"/>
      <c r="B49" s="506">
        <f>IFERROR(__xludf.DUMMYFUNCTION("""COMPUTED_VALUE"""),45897.6666666666)</f>
        <v/>
      </c>
      <c r="C49" s="141">
        <f>IFERROR(__xludf.DUMMYFUNCTION("""COMPUTED_VALUE"""),647.24)</f>
        <v/>
      </c>
      <c r="D49" s="141">
        <f>IFERROR(__xludf.DUMMYFUNCTION("""COMPUTED_VALUE"""),649.48)</f>
        <v/>
      </c>
      <c r="E49" s="141">
        <f>IFERROR(__xludf.DUMMYFUNCTION("""COMPUTED_VALUE"""),645.34)</f>
        <v/>
      </c>
      <c r="F49" s="141">
        <f>IFERROR(__xludf.DUMMYFUNCTION("""COMPUTED_VALUE"""),648.92)</f>
        <v/>
      </c>
      <c r="G49" s="143">
        <f>IFERROR(__xludf.DUMMYFUNCTION("""COMPUTED_VALUE"""),61519461)</f>
        <v/>
      </c>
      <c r="H49" s="27" t="n"/>
    </row>
    <row r="50" ht="17.25" customHeight="1" s="322">
      <c r="A50" s="27" t="n"/>
      <c r="B50" s="506">
        <f>IFERROR(__xludf.DUMMYFUNCTION("""COMPUTED_VALUE"""),45898.6666666666)</f>
        <v/>
      </c>
      <c r="C50" s="141">
        <f>IFERROR(__xludf.DUMMYFUNCTION("""COMPUTED_VALUE"""),647.47)</f>
        <v/>
      </c>
      <c r="D50" s="141">
        <f>IFERROR(__xludf.DUMMYFUNCTION("""COMPUTED_VALUE"""),647.84)</f>
        <v/>
      </c>
      <c r="E50" s="141">
        <f>IFERROR(__xludf.DUMMYFUNCTION("""COMPUTED_VALUE"""),643.14)</f>
        <v/>
      </c>
      <c r="F50" s="141">
        <f>IFERROR(__xludf.DUMMYFUNCTION("""COMPUTED_VALUE"""),645.05)</f>
        <v/>
      </c>
      <c r="G50" s="143">
        <f>IFERROR(__xludf.DUMMYFUNCTION("""COMPUTED_VALUE"""),74522192)</f>
        <v/>
      </c>
      <c r="H50" s="27" t="n"/>
    </row>
    <row r="51" ht="17.25" customHeight="1" s="322">
      <c r="A51" s="27" t="n"/>
      <c r="B51" s="506">
        <f>IFERROR(__xludf.DUMMYFUNCTION("""COMPUTED_VALUE"""),45902.6666666666)</f>
        <v/>
      </c>
      <c r="C51" s="141">
        <f>IFERROR(__xludf.DUMMYFUNCTION("""COMPUTED_VALUE"""),637.5)</f>
        <v/>
      </c>
      <c r="D51" s="141">
        <f>IFERROR(__xludf.DUMMYFUNCTION("""COMPUTED_VALUE"""),640.49)</f>
        <v/>
      </c>
      <c r="E51" s="141">
        <f>IFERROR(__xludf.DUMMYFUNCTION("""COMPUTED_VALUE"""),634.92)</f>
        <v/>
      </c>
      <c r="F51" s="141">
        <f>IFERROR(__xludf.DUMMYFUNCTION("""COMPUTED_VALUE"""),640.27)</f>
        <v/>
      </c>
      <c r="G51" s="143">
        <f>IFERROR(__xludf.DUMMYFUNCTION("""COMPUTED_VALUE"""),81983545)</f>
        <v/>
      </c>
      <c r="H51" s="27" t="n"/>
    </row>
    <row r="52" ht="17.25" customHeight="1" s="322">
      <c r="A52" s="27" t="n"/>
      <c r="B52" s="506">
        <f>IFERROR(__xludf.DUMMYFUNCTION("""COMPUTED_VALUE"""),45903.6666666666)</f>
        <v/>
      </c>
      <c r="C52" s="141">
        <f>IFERROR(__xludf.DUMMYFUNCTION("""COMPUTED_VALUE"""),642.67)</f>
        <v/>
      </c>
      <c r="D52" s="141">
        <f>IFERROR(__xludf.DUMMYFUNCTION("""COMPUTED_VALUE"""),644.21)</f>
        <v/>
      </c>
      <c r="E52" s="141">
        <f>IFERROR(__xludf.DUMMYFUNCTION("""COMPUTED_VALUE"""),640.46)</f>
        <v/>
      </c>
      <c r="F52" s="141">
        <f>IFERROR(__xludf.DUMMYFUNCTION("""COMPUTED_VALUE"""),643.74)</f>
        <v/>
      </c>
      <c r="G52" s="143">
        <f>IFERROR(__xludf.DUMMYFUNCTION("""COMPUTED_VALUE"""),70820898)</f>
        <v/>
      </c>
      <c r="H52" s="27" t="n"/>
    </row>
    <row r="53" ht="17.25" customHeight="1" s="322">
      <c r="A53" s="27" t="n"/>
      <c r="B53" s="506">
        <f>IFERROR(__xludf.DUMMYFUNCTION("""COMPUTED_VALUE"""),45904.6666666666)</f>
        <v/>
      </c>
      <c r="C53" s="141">
        <f>IFERROR(__xludf.DUMMYFUNCTION("""COMPUTED_VALUE"""),644.42)</f>
        <v/>
      </c>
      <c r="D53" s="141">
        <f>IFERROR(__xludf.DUMMYFUNCTION("""COMPUTED_VALUE"""),649.15)</f>
        <v/>
      </c>
      <c r="E53" s="141">
        <f>IFERROR(__xludf.DUMMYFUNCTION("""COMPUTED_VALUE"""),643.51)</f>
        <v/>
      </c>
      <c r="F53" s="141">
        <f>IFERROR(__xludf.DUMMYFUNCTION("""COMPUTED_VALUE"""),649.12)</f>
        <v/>
      </c>
      <c r="G53" s="143">
        <f>IFERROR(__xludf.DUMMYFUNCTION("""COMPUTED_VALUE"""),65219228)</f>
        <v/>
      </c>
      <c r="H53" s="27" t="n"/>
    </row>
    <row r="54" ht="17.25" customHeight="1" s="322">
      <c r="A54" s="27" t="n"/>
      <c r="B54" s="506">
        <f>IFERROR(__xludf.DUMMYFUNCTION("""COMPUTED_VALUE"""),45905.6666666666)</f>
        <v/>
      </c>
      <c r="C54" s="141">
        <f>IFERROR(__xludf.DUMMYFUNCTION("""COMPUTED_VALUE"""),651.48)</f>
        <v/>
      </c>
      <c r="D54" s="141">
        <f>IFERROR(__xludf.DUMMYFUNCTION("""COMPUTED_VALUE"""),652.21)</f>
        <v/>
      </c>
      <c r="E54" s="141">
        <f>IFERROR(__xludf.DUMMYFUNCTION("""COMPUTED_VALUE"""),643.33)</f>
        <v/>
      </c>
      <c r="F54" s="141">
        <f>IFERROR(__xludf.DUMMYFUNCTION("""COMPUTED_VALUE"""),647.24)</f>
        <v/>
      </c>
      <c r="G54" s="143">
        <f>IFERROR(__xludf.DUMMYFUNCTION("""COMPUTED_VALUE"""),85178935)</f>
        <v/>
      </c>
      <c r="H54" s="27" t="n"/>
    </row>
    <row r="55" ht="17.25" customHeight="1" s="322">
      <c r="A55" s="27" t="n"/>
      <c r="B55" s="506">
        <f>IFERROR(__xludf.DUMMYFUNCTION("""COMPUTED_VALUE"""),45908.6666666666)</f>
        <v/>
      </c>
      <c r="C55" s="141">
        <f>IFERROR(__xludf.DUMMYFUNCTION("""COMPUTED_VALUE"""),648.62)</f>
        <v/>
      </c>
      <c r="D55" s="141">
        <f>IFERROR(__xludf.DUMMYFUNCTION("""COMPUTED_VALUE"""),649.84)</f>
        <v/>
      </c>
      <c r="E55" s="141">
        <f>IFERROR(__xludf.DUMMYFUNCTION("""COMPUTED_VALUE"""),647.23)</f>
        <v/>
      </c>
      <c r="F55" s="141">
        <f>IFERROR(__xludf.DUMMYFUNCTION("""COMPUTED_VALUE"""),648.83)</f>
        <v/>
      </c>
      <c r="G55" s="143">
        <f>IFERROR(__xludf.DUMMYFUNCTION("""COMPUTED_VALUE"""),63133104)</f>
        <v/>
      </c>
      <c r="H55" s="27" t="n"/>
    </row>
    <row r="56" ht="17.25" customHeight="1" s="322">
      <c r="A56" s="27" t="n"/>
      <c r="B56" s="506">
        <f>IFERROR(__xludf.DUMMYFUNCTION("""COMPUTED_VALUE"""),45909.6666666666)</f>
        <v/>
      </c>
      <c r="C56" s="141">
        <f>IFERROR(__xludf.DUMMYFUNCTION("""COMPUTED_VALUE"""),648.97)</f>
        <v/>
      </c>
      <c r="D56" s="141">
        <f>IFERROR(__xludf.DUMMYFUNCTION("""COMPUTED_VALUE"""),650.86)</f>
        <v/>
      </c>
      <c r="E56" s="141">
        <f>IFERROR(__xludf.DUMMYFUNCTION("""COMPUTED_VALUE"""),647.22)</f>
        <v/>
      </c>
      <c r="F56" s="141">
        <f>IFERROR(__xludf.DUMMYFUNCTION("""COMPUTED_VALUE"""),650.33)</f>
        <v/>
      </c>
      <c r="G56" s="143">
        <f>IFERROR(__xludf.DUMMYFUNCTION("""COMPUTED_VALUE"""),66133856)</f>
        <v/>
      </c>
      <c r="H56" s="27" t="n"/>
    </row>
    <row r="57" ht="17.25" customHeight="1" s="322">
      <c r="A57" s="27" t="n"/>
      <c r="B57" s="506">
        <f>IFERROR(__xludf.DUMMYFUNCTION("""COMPUTED_VALUE"""),45910.6666666666)</f>
        <v/>
      </c>
      <c r="C57" s="141">
        <f>IFERROR(__xludf.DUMMYFUNCTION("""COMPUTED_VALUE"""),653.62)</f>
        <v/>
      </c>
      <c r="D57" s="141">
        <f>IFERROR(__xludf.DUMMYFUNCTION("""COMPUTED_VALUE"""),654.55)</f>
        <v/>
      </c>
      <c r="E57" s="141">
        <f>IFERROR(__xludf.DUMMYFUNCTION("""COMPUTED_VALUE"""),650.63)</f>
        <v/>
      </c>
      <c r="F57" s="141">
        <f>IFERROR(__xludf.DUMMYFUNCTION("""COMPUTED_VALUE"""),652.21)</f>
        <v/>
      </c>
      <c r="G57" s="143">
        <f>IFERROR(__xludf.DUMMYFUNCTION("""COMPUTED_VALUE"""),78034529)</f>
        <v/>
      </c>
      <c r="H57" s="27" t="n"/>
    </row>
    <row r="58" ht="17.25" customHeight="1" s="322">
      <c r="A58" s="27" t="n"/>
      <c r="B58" s="506">
        <f>IFERROR(__xludf.DUMMYFUNCTION("""COMPUTED_VALUE"""),45911.6666666666)</f>
        <v/>
      </c>
      <c r="C58" s="141">
        <f>IFERROR(__xludf.DUMMYFUNCTION("""COMPUTED_VALUE"""),654.18)</f>
        <v/>
      </c>
      <c r="D58" s="141">
        <f>IFERROR(__xludf.DUMMYFUNCTION("""COMPUTED_VALUE"""),658.33)</f>
        <v/>
      </c>
      <c r="E58" s="141">
        <f>IFERROR(__xludf.DUMMYFUNCTION("""COMPUTED_VALUE"""),653.59)</f>
        <v/>
      </c>
      <c r="F58" s="141">
        <f>IFERROR(__xludf.DUMMYFUNCTION("""COMPUTED_VALUE"""),657.63)</f>
        <v/>
      </c>
      <c r="G58" s="143">
        <f>IFERROR(__xludf.DUMMYFUNCTION("""COMPUTED_VALUE"""),69934360)</f>
        <v/>
      </c>
      <c r="H58" s="27" t="n"/>
    </row>
    <row r="59" ht="17.25" customHeight="1" s="322">
      <c r="A59" s="27" t="n"/>
      <c r="B59" s="506">
        <f>IFERROR(__xludf.DUMMYFUNCTION("""COMPUTED_VALUE"""),45912.6666666666)</f>
        <v/>
      </c>
      <c r="C59" s="141">
        <f>IFERROR(__xludf.DUMMYFUNCTION("""COMPUTED_VALUE"""),657.6)</f>
        <v/>
      </c>
      <c r="D59" s="141">
        <f>IFERROR(__xludf.DUMMYFUNCTION("""COMPUTED_VALUE"""),659.11)</f>
        <v/>
      </c>
      <c r="E59" s="141">
        <f>IFERROR(__xludf.DUMMYFUNCTION("""COMPUTED_VALUE"""),656.9)</f>
        <v/>
      </c>
      <c r="F59" s="141">
        <f>IFERROR(__xludf.DUMMYFUNCTION("""COMPUTED_VALUE"""),657.41)</f>
        <v/>
      </c>
      <c r="G59" s="143">
        <f>IFERROR(__xludf.DUMMYFUNCTION("""COMPUTED_VALUE"""),72780135)</f>
        <v/>
      </c>
      <c r="H59" s="27" t="n"/>
    </row>
    <row r="60" ht="17.25" customHeight="1" s="322">
      <c r="A60" s="27" t="n"/>
      <c r="B60" s="506">
        <f>IFERROR(__xludf.DUMMYFUNCTION("""COMPUTED_VALUE"""),45915.6666666666)</f>
        <v/>
      </c>
      <c r="C60" s="141">
        <f>IFERROR(__xludf.DUMMYFUNCTION("""COMPUTED_VALUE"""),659.64)</f>
        <v/>
      </c>
      <c r="D60" s="141">
        <f>IFERROR(__xludf.DUMMYFUNCTION("""COMPUTED_VALUE"""),661.04)</f>
        <v/>
      </c>
      <c r="E60" s="141">
        <f>IFERROR(__xludf.DUMMYFUNCTION("""COMPUTED_VALUE"""),659.34)</f>
        <v/>
      </c>
      <c r="F60" s="141">
        <f>IFERROR(__xludf.DUMMYFUNCTION("""COMPUTED_VALUE"""),660.91)</f>
        <v/>
      </c>
      <c r="G60" s="143">
        <f>IFERROR(__xludf.DUMMYFUNCTION("""COMPUTED_VALUE"""),63772412)</f>
        <v/>
      </c>
      <c r="H60" s="27" t="n"/>
    </row>
    <row r="61" ht="17.25" customHeight="1" s="322">
      <c r="A61" s="27" t="n"/>
      <c r="B61" s="506">
        <f>IFERROR(__xludf.DUMMYFUNCTION("""COMPUTED_VALUE"""),45916.6666666666)</f>
        <v/>
      </c>
      <c r="C61" s="141">
        <f>IFERROR(__xludf.DUMMYFUNCTION("""COMPUTED_VALUE"""),661.47)</f>
        <v/>
      </c>
      <c r="D61" s="141">
        <f>IFERROR(__xludf.DUMMYFUNCTION("""COMPUTED_VALUE"""),661.78)</f>
        <v/>
      </c>
      <c r="E61" s="141">
        <f>IFERROR(__xludf.DUMMYFUNCTION("""COMPUTED_VALUE"""),659.21)</f>
        <v/>
      </c>
      <c r="F61" s="141">
        <f>IFERROR(__xludf.DUMMYFUNCTION("""COMPUTED_VALUE"""),660)</f>
        <v/>
      </c>
      <c r="G61" s="143">
        <f>IFERROR(__xludf.DUMMYFUNCTION("""COMPUTED_VALUE"""),61168953)</f>
        <v/>
      </c>
      <c r="H61" s="27" t="n"/>
    </row>
    <row r="62" ht="17.25" customHeight="1" s="322">
      <c r="A62" s="27" t="n"/>
      <c r="B62" s="506">
        <f>IFERROR(__xludf.DUMMYFUNCTION("""COMPUTED_VALUE"""),45917.6666666666)</f>
        <v/>
      </c>
      <c r="C62" s="141">
        <f>IFERROR(__xludf.DUMMYFUNCTION("""COMPUTED_VALUE"""),660.01)</f>
        <v/>
      </c>
      <c r="D62" s="141">
        <f>IFERROR(__xludf.DUMMYFUNCTION("""COMPUTED_VALUE"""),661.72)</f>
        <v/>
      </c>
      <c r="E62" s="141">
        <f>IFERROR(__xludf.DUMMYFUNCTION("""COMPUTED_VALUE"""),654.3)</f>
        <v/>
      </c>
      <c r="F62" s="141">
        <f>IFERROR(__xludf.DUMMYFUNCTION("""COMPUTED_VALUE"""),659.18)</f>
        <v/>
      </c>
      <c r="G62" s="143">
        <f>IFERROR(__xludf.DUMMYFUNCTION("""COMPUTED_VALUE"""),101952244)</f>
        <v/>
      </c>
      <c r="H62" s="27" t="n"/>
    </row>
    <row r="63" ht="17.25" customHeight="1" s="322">
      <c r="A63" s="27" t="n"/>
      <c r="B63" s="506">
        <f>IFERROR(__xludf.DUMMYFUNCTION("""COMPUTED_VALUE"""),45918.6666666666)</f>
        <v/>
      </c>
      <c r="C63" s="141">
        <f>IFERROR(__xludf.DUMMYFUNCTION("""COMPUTED_VALUE"""),661.89)</f>
        <v/>
      </c>
      <c r="D63" s="141">
        <f>IFERROR(__xludf.DUMMYFUNCTION("""COMPUTED_VALUE"""),664.89)</f>
        <v/>
      </c>
      <c r="E63" s="141">
        <f>IFERROR(__xludf.DUMMYFUNCTION("""COMPUTED_VALUE"""),660.27)</f>
        <v/>
      </c>
      <c r="F63" s="141">
        <f>IFERROR(__xludf.DUMMYFUNCTION("""COMPUTED_VALUE"""),662.26)</f>
        <v/>
      </c>
      <c r="G63" s="143">
        <f>IFERROR(__xludf.DUMMYFUNCTION("""COMPUTED_VALUE"""),90459242)</f>
        <v/>
      </c>
      <c r="H63" s="27" t="n"/>
    </row>
    <row r="64" ht="17.25" customHeight="1" s="322">
      <c r="A64" s="27" t="n"/>
      <c r="B64" s="506">
        <f>IFERROR(__xludf.DUMMYFUNCTION("""COMPUTED_VALUE"""),45919.6666666666)</f>
        <v/>
      </c>
      <c r="C64" s="141">
        <f>IFERROR(__xludf.DUMMYFUNCTION("""COMPUTED_VALUE"""),662.33)</f>
        <v/>
      </c>
      <c r="D64" s="141">
        <f>IFERROR(__xludf.DUMMYFUNCTION("""COMPUTED_VALUE"""),664.55)</f>
        <v/>
      </c>
      <c r="E64" s="141">
        <f>IFERROR(__xludf.DUMMYFUNCTION("""COMPUTED_VALUE"""),660.37)</f>
        <v/>
      </c>
      <c r="F64" s="141">
        <f>IFERROR(__xludf.DUMMYFUNCTION("""COMPUTED_VALUE"""),663.7)</f>
        <v/>
      </c>
      <c r="G64" s="143">
        <f>IFERROR(__xludf.DUMMYFUNCTION("""COMPUTED_VALUE"""),97945620)</f>
        <v/>
      </c>
      <c r="H64" s="27" t="n"/>
    </row>
    <row r="65" ht="17.25" customHeight="1" s="322">
      <c r="A65" s="27" t="n"/>
      <c r="B65" s="506">
        <f>IFERROR(__xludf.DUMMYFUNCTION("""COMPUTED_VALUE"""),45922.6666666666)</f>
        <v/>
      </c>
      <c r="C65" s="141">
        <f>IFERROR(__xludf.DUMMYFUNCTION("""COMPUTED_VALUE"""),662.2)</f>
        <v/>
      </c>
      <c r="D65" s="141">
        <f>IFERROR(__xludf.DUMMYFUNCTION("""COMPUTED_VALUE"""),667.29)</f>
        <v/>
      </c>
      <c r="E65" s="141">
        <f>IFERROR(__xludf.DUMMYFUNCTION("""COMPUTED_VALUE"""),662.17)</f>
        <v/>
      </c>
      <c r="F65" s="141">
        <f>IFERROR(__xludf.DUMMYFUNCTION("""COMPUTED_VALUE"""),666.84)</f>
        <v/>
      </c>
      <c r="G65" s="143">
        <f>IFERROR(__xludf.DUMMYFUNCTION("""COMPUTED_VALUE"""),69452201)</f>
        <v/>
      </c>
      <c r="H65" s="27" t="n"/>
    </row>
    <row r="66" ht="17.25" customHeight="1" s="322">
      <c r="A66" s="27" t="n"/>
      <c r="B66" s="506">
        <f>IFERROR(__xludf.DUMMYFUNCTION("""COMPUTED_VALUE"""),45923.6666666666)</f>
        <v/>
      </c>
      <c r="C66" s="141">
        <f>IFERROR(__xludf.DUMMYFUNCTION("""COMPUTED_VALUE"""),666.72)</f>
        <v/>
      </c>
      <c r="D66" s="141">
        <f>IFERROR(__xludf.DUMMYFUNCTION("""COMPUTED_VALUE"""),667.34)</f>
        <v/>
      </c>
      <c r="E66" s="141">
        <f>IFERROR(__xludf.DUMMYFUNCTION("""COMPUTED_VALUE"""),661.98)</f>
        <v/>
      </c>
      <c r="F66" s="141">
        <f>IFERROR(__xludf.DUMMYFUNCTION("""COMPUTED_VALUE"""),663.21)</f>
        <v/>
      </c>
      <c r="G66" s="143">
        <f>IFERROR(__xludf.DUMMYFUNCTION("""COMPUTED_VALUE"""),81708872)</f>
        <v/>
      </c>
      <c r="H66" s="27" t="n"/>
    </row>
    <row r="67" ht="17.25" customHeight="1" s="322">
      <c r="A67" s="27" t="n"/>
      <c r="B67" s="506">
        <f>IFERROR(__xludf.DUMMYFUNCTION("""COMPUTED_VALUE"""),45924.6666666666)</f>
        <v/>
      </c>
      <c r="C67" s="141">
        <f>IFERROR(__xludf.DUMMYFUNCTION("""COMPUTED_VALUE"""),664.51)</f>
        <v/>
      </c>
      <c r="D67" s="141">
        <f>IFERROR(__xludf.DUMMYFUNCTION("""COMPUTED_VALUE"""),664.61)</f>
        <v/>
      </c>
      <c r="E67" s="141">
        <f>IFERROR(__xludf.DUMMYFUNCTION("""COMPUTED_VALUE"""),659.67)</f>
        <v/>
      </c>
      <c r="F67" s="141">
        <f>IFERROR(__xludf.DUMMYFUNCTION("""COMPUTED_VALUE"""),661.1)</f>
        <v/>
      </c>
      <c r="G67" s="143">
        <f>IFERROR(__xludf.DUMMYFUNCTION("""COMPUTED_VALUE"""),68082229)</f>
        <v/>
      </c>
      <c r="H67" s="27" t="n"/>
    </row>
    <row r="68" ht="17.25" customHeight="1" s="322">
      <c r="A68" s="27" t="n"/>
      <c r="B68" s="506">
        <f>IFERROR(__xludf.DUMMYFUNCTION("""COMPUTED_VALUE"""),45925.6666666666)</f>
        <v/>
      </c>
      <c r="C68" s="141">
        <f>IFERROR(__xludf.DUMMYFUNCTION("""COMPUTED_VALUE"""),657.94)</f>
        <v/>
      </c>
      <c r="D68" s="141">
        <f>IFERROR(__xludf.DUMMYFUNCTION("""COMPUTED_VALUE"""),659.41)</f>
        <v/>
      </c>
      <c r="E68" s="141">
        <f>IFERROR(__xludf.DUMMYFUNCTION("""COMPUTED_VALUE"""),654.41)</f>
        <v/>
      </c>
      <c r="F68" s="141">
        <f>IFERROR(__xludf.DUMMYFUNCTION("""COMPUTED_VALUE"""),658.05)</f>
        <v/>
      </c>
      <c r="G68" s="143">
        <f>IFERROR(__xludf.DUMMYFUNCTION("""COMPUTED_VALUE"""),89622067)</f>
        <v/>
      </c>
      <c r="H68" s="27" t="n"/>
    </row>
    <row r="69" ht="17.25" customHeight="1" s="322">
      <c r="A69" s="27" t="n"/>
      <c r="B69" s="506">
        <f>IFERROR(__xludf.DUMMYFUNCTION("""COMPUTED_VALUE"""),45926.6666666666)</f>
        <v/>
      </c>
      <c r="C69" s="141">
        <f>IFERROR(__xludf.DUMMYFUNCTION("""COMPUTED_VALUE"""),659.51)</f>
        <v/>
      </c>
      <c r="D69" s="141">
        <f>IFERROR(__xludf.DUMMYFUNCTION("""COMPUTED_VALUE"""),662.37)</f>
        <v/>
      </c>
      <c r="E69" s="141">
        <f>IFERROR(__xludf.DUMMYFUNCTION("""COMPUTED_VALUE"""),657.88)</f>
        <v/>
      </c>
      <c r="F69" s="141">
        <f>IFERROR(__xludf.DUMMYFUNCTION("""COMPUTED_VALUE"""),661.82)</f>
        <v/>
      </c>
      <c r="G69" s="143">
        <f>IFERROR(__xludf.DUMMYFUNCTION("""COMPUTED_VALUE"""),69179209)</f>
        <v/>
      </c>
      <c r="H69" s="27" t="n"/>
    </row>
    <row r="70" ht="17.25" customHeight="1" s="322">
      <c r="A70" s="27" t="n"/>
      <c r="B70" s="506">
        <f>IFERROR(__xludf.DUMMYFUNCTION("""COMPUTED_VALUE"""),45929.6666666666)</f>
        <v/>
      </c>
      <c r="C70" s="141">
        <f>IFERROR(__xludf.DUMMYFUNCTION("""COMPUTED_VALUE"""),664.36)</f>
        <v/>
      </c>
      <c r="D70" s="141">
        <f>IFERROR(__xludf.DUMMYFUNCTION("""COMPUTED_VALUE"""),665.28)</f>
        <v/>
      </c>
      <c r="E70" s="141">
        <f>IFERROR(__xludf.DUMMYFUNCTION("""COMPUTED_VALUE"""),661.86)</f>
        <v/>
      </c>
      <c r="F70" s="141">
        <f>IFERROR(__xludf.DUMMYFUNCTION("""COMPUTED_VALUE"""),663.68)</f>
        <v/>
      </c>
      <c r="G70" s="143">
        <f>IFERROR(__xludf.DUMMYFUNCTION("""COMPUTED_VALUE"""),73499015)</f>
        <v/>
      </c>
      <c r="H70" s="27" t="n"/>
    </row>
    <row r="71" ht="17.25" customHeight="1" s="322">
      <c r="A71" s="27" t="n"/>
      <c r="B71" s="506">
        <f>IFERROR(__xludf.DUMMYFUNCTION("""COMPUTED_VALUE"""),45930.6666666666)</f>
        <v/>
      </c>
      <c r="C71" s="141">
        <f>IFERROR(__xludf.DUMMYFUNCTION("""COMPUTED_VALUE"""),662.93)</f>
        <v/>
      </c>
      <c r="D71" s="141">
        <f>IFERROR(__xludf.DUMMYFUNCTION("""COMPUTED_VALUE"""),666.65)</f>
        <v/>
      </c>
      <c r="E71" s="141">
        <f>IFERROR(__xludf.DUMMYFUNCTION("""COMPUTED_VALUE"""),661.61)</f>
        <v/>
      </c>
      <c r="F71" s="141">
        <f>IFERROR(__xludf.DUMMYFUNCTION("""COMPUTED_VALUE"""),666.18)</f>
        <v/>
      </c>
      <c r="G71" s="143">
        <f>IFERROR(__xludf.DUMMYFUNCTION("""COMPUTED_VALUE"""),86288028)</f>
        <v/>
      </c>
      <c r="H71" s="27" t="n"/>
    </row>
    <row r="72" ht="17.25" customHeight="1" s="322">
      <c r="A72" s="27" t="n"/>
      <c r="B72" s="506">
        <f>IFERROR(__xludf.DUMMYFUNCTION("""COMPUTED_VALUE"""),45931.6666666666)</f>
        <v/>
      </c>
      <c r="C72" s="141">
        <f>IFERROR(__xludf.DUMMYFUNCTION("""COMPUTED_VALUE"""),663.17)</f>
        <v/>
      </c>
      <c r="D72" s="141">
        <f>IFERROR(__xludf.DUMMYFUNCTION("""COMPUTED_VALUE"""),669.37)</f>
        <v/>
      </c>
      <c r="E72" s="141">
        <f>IFERROR(__xludf.DUMMYFUNCTION("""COMPUTED_VALUE"""),663.06)</f>
        <v/>
      </c>
      <c r="F72" s="141">
        <f>IFERROR(__xludf.DUMMYFUNCTION("""COMPUTED_VALUE"""),668.45)</f>
        <v/>
      </c>
      <c r="G72" s="143">
        <f>IFERROR(__xludf.DUMMYFUNCTION("""COMPUTED_VALUE"""),72545369)</f>
        <v/>
      </c>
      <c r="H72" s="27" t="n"/>
    </row>
    <row r="73" ht="17.25" customHeight="1" s="322">
      <c r="A73" s="27" t="n"/>
      <c r="B73" s="506">
        <f>IFERROR(__xludf.DUMMYFUNCTION("""COMPUTED_VALUE"""),45932.6666666666)</f>
        <v/>
      </c>
      <c r="C73" s="141">
        <f>IFERROR(__xludf.DUMMYFUNCTION("""COMPUTED_VALUE"""),670.45)</f>
        <v/>
      </c>
      <c r="D73" s="141">
        <f>IFERROR(__xludf.DUMMYFUNCTION("""COMPUTED_VALUE"""),670.57)</f>
        <v/>
      </c>
      <c r="E73" s="141">
        <f>IFERROR(__xludf.DUMMYFUNCTION("""COMPUTED_VALUE"""),666.78)</f>
        <v/>
      </c>
      <c r="F73" s="141">
        <f>IFERROR(__xludf.DUMMYFUNCTION("""COMPUTED_VALUE"""),669.22)</f>
        <v/>
      </c>
      <c r="G73" s="143">
        <f>IFERROR(__xludf.DUMMYFUNCTION("""COMPUTED_VALUE"""),56895993)</f>
        <v/>
      </c>
      <c r="H73" s="27" t="n"/>
    </row>
    <row r="74" ht="17.25" customHeight="1" s="322">
      <c r="A74" s="27" t="n"/>
      <c r="B74" s="506">
        <f>IFERROR(__xludf.DUMMYFUNCTION("""COMPUTED_VALUE"""),45933.6666666666)</f>
        <v/>
      </c>
      <c r="C74" s="141">
        <f>IFERROR(__xludf.DUMMYFUNCTION("""COMPUTED_VALUE"""),669.99)</f>
        <v/>
      </c>
      <c r="D74" s="141">
        <f>IFERROR(__xludf.DUMMYFUNCTION("""COMPUTED_VALUE"""),672.68)</f>
        <v/>
      </c>
      <c r="E74" s="141">
        <f>IFERROR(__xludf.DUMMYFUNCTION("""COMPUTED_VALUE"""),668.16)</f>
        <v/>
      </c>
      <c r="F74" s="141">
        <f>IFERROR(__xludf.DUMMYFUNCTION("""COMPUTED_VALUE"""),669.21)</f>
        <v/>
      </c>
      <c r="G74" s="143">
        <f>IFERROR(__xludf.DUMMYFUNCTION("""COMPUTED_VALUE"""),70494350)</f>
        <v/>
      </c>
      <c r="H74" s="27" t="n"/>
    </row>
    <row r="75" ht="17.25" customHeight="1" s="322">
      <c r="A75" s="27" t="n"/>
      <c r="B75" s="506">
        <f>IFERROR(__xludf.DUMMYFUNCTION("""COMPUTED_VALUE"""),45936.6666666666)</f>
        <v/>
      </c>
      <c r="C75" s="141">
        <f>IFERROR(__xludf.DUMMYFUNCTION("""COMPUTED_VALUE"""),671.62)</f>
        <v/>
      </c>
      <c r="D75" s="141">
        <f>IFERROR(__xludf.DUMMYFUNCTION("""COMPUTED_VALUE"""),672.51)</f>
        <v/>
      </c>
      <c r="E75" s="141">
        <f>IFERROR(__xludf.DUMMYFUNCTION("""COMPUTED_VALUE"""),669.46)</f>
        <v/>
      </c>
      <c r="F75" s="141">
        <f>IFERROR(__xludf.DUMMYFUNCTION("""COMPUTED_VALUE"""),671.61)</f>
        <v/>
      </c>
      <c r="G75" s="143">
        <f>IFERROR(__xludf.DUMMYFUNCTION("""COMPUTED_VALUE"""),54623260)</f>
        <v/>
      </c>
      <c r="H75" s="27" t="n"/>
    </row>
    <row r="76" ht="17.25" customHeight="1" s="322">
      <c r="A76" s="27" t="n"/>
      <c r="B76" s="506">
        <f>IFERROR(__xludf.DUMMYFUNCTION("""COMPUTED_VALUE"""),45937.6666666666)</f>
        <v/>
      </c>
      <c r="C76" s="141">
        <f>IFERROR(__xludf.DUMMYFUNCTION("""COMPUTED_VALUE"""),672.54)</f>
        <v/>
      </c>
      <c r="D76" s="141">
        <f>IFERROR(__xludf.DUMMYFUNCTION("""COMPUTED_VALUE"""),672.99)</f>
        <v/>
      </c>
      <c r="E76" s="141">
        <f>IFERROR(__xludf.DUMMYFUNCTION("""COMPUTED_VALUE"""),667.67)</f>
        <v/>
      </c>
      <c r="F76" s="141">
        <f>IFERROR(__xludf.DUMMYFUNCTION("""COMPUTED_VALUE"""),669.12)</f>
        <v/>
      </c>
      <c r="G76" s="143">
        <f>IFERROR(__xludf.DUMMYFUNCTION("""COMPUTED_VALUE"""),72020067)</f>
        <v/>
      </c>
      <c r="H76" s="27" t="n"/>
    </row>
    <row r="77" ht="17.25" customHeight="1" s="322">
      <c r="A77" s="27" t="n"/>
      <c r="B77" s="506">
        <f>IFERROR(__xludf.DUMMYFUNCTION("""COMPUTED_VALUE"""),45938.6666666666)</f>
        <v/>
      </c>
      <c r="C77" s="141">
        <f>IFERROR(__xludf.DUMMYFUNCTION("""COMPUTED_VALUE"""),670.25)</f>
        <v/>
      </c>
      <c r="D77" s="141">
        <f>IFERROR(__xludf.DUMMYFUNCTION("""COMPUTED_VALUE"""),673.21)</f>
        <v/>
      </c>
      <c r="E77" s="141">
        <f>IFERROR(__xludf.DUMMYFUNCTION("""COMPUTED_VALUE"""),669.42)</f>
        <v/>
      </c>
      <c r="F77" s="141">
        <f>IFERROR(__xludf.DUMMYFUNCTION("""COMPUTED_VALUE"""),673.11)</f>
        <v/>
      </c>
      <c r="G77" s="143">
        <f>IFERROR(__xludf.DUMMYFUNCTION("""COMPUTED_VALUE"""),60702241)</f>
        <v/>
      </c>
      <c r="H77" s="27" t="n"/>
    </row>
    <row r="78" ht="17.25" customHeight="1" s="322">
      <c r="A78" s="27" t="n"/>
      <c r="B78" s="506">
        <f>IFERROR(__xludf.DUMMYFUNCTION("""COMPUTED_VALUE"""),45939.6666666666)</f>
        <v/>
      </c>
      <c r="C78" s="141">
        <f>IFERROR(__xludf.DUMMYFUNCTION("""COMPUTED_VALUE"""),673.53)</f>
        <v/>
      </c>
      <c r="D78" s="141">
        <f>IFERROR(__xludf.DUMMYFUNCTION("""COMPUTED_VALUE"""),673.94)</f>
        <v/>
      </c>
      <c r="E78" s="141">
        <f>IFERROR(__xludf.DUMMYFUNCTION("""COMPUTED_VALUE"""),669.21)</f>
        <v/>
      </c>
      <c r="F78" s="141">
        <f>IFERROR(__xludf.DUMMYFUNCTION("""COMPUTED_VALUE"""),671.16)</f>
        <v/>
      </c>
      <c r="G78" s="143">
        <f>IFERROR(__xludf.DUMMYFUNCTION("""COMPUTED_VALUE"""),66501941)</f>
        <v/>
      </c>
      <c r="H78" s="27" t="n"/>
    </row>
    <row r="79" ht="17.25" customHeight="1" s="322">
      <c r="A79" s="27" t="n"/>
      <c r="B79" s="506">
        <f>IFERROR(__xludf.DUMMYFUNCTION("""COMPUTED_VALUE"""),45940.6666666666)</f>
        <v/>
      </c>
      <c r="C79" s="141">
        <f>IFERROR(__xludf.DUMMYFUNCTION("""COMPUTED_VALUE"""),672.13)</f>
        <v/>
      </c>
      <c r="D79" s="141">
        <f>IFERROR(__xludf.DUMMYFUNCTION("""COMPUTED_VALUE"""),673.95)</f>
        <v/>
      </c>
      <c r="E79" s="141">
        <f>IFERROR(__xludf.DUMMYFUNCTION("""COMPUTED_VALUE"""),652.84)</f>
        <v/>
      </c>
      <c r="F79" s="141">
        <f>IFERROR(__xludf.DUMMYFUNCTION("""COMPUTED_VALUE"""),653.02)</f>
        <v/>
      </c>
      <c r="G79" s="143">
        <f>IFERROR(__xludf.DUMMYFUNCTION("""COMPUTED_VALUE"""),159422589)</f>
        <v/>
      </c>
      <c r="H79" s="27" t="n"/>
    </row>
    <row r="80" ht="17.25" customHeight="1" s="322">
      <c r="A80" s="27" t="n"/>
      <c r="B80" s="506">
        <f>IFERROR(__xludf.DUMMYFUNCTION("""COMPUTED_VALUE"""),45943.6666666666)</f>
        <v/>
      </c>
      <c r="C80" s="141">
        <f>IFERROR(__xludf.DUMMYFUNCTION("""COMPUTED_VALUE"""),660.65)</f>
        <v/>
      </c>
      <c r="D80" s="141">
        <f>IFERROR(__xludf.DUMMYFUNCTION("""COMPUTED_VALUE"""),665.13)</f>
        <v/>
      </c>
      <c r="E80" s="141">
        <f>IFERROR(__xludf.DUMMYFUNCTION("""COMPUTED_VALUE"""),659.77)</f>
        <v/>
      </c>
      <c r="F80" s="141">
        <f>IFERROR(__xludf.DUMMYFUNCTION("""COMPUTED_VALUE"""),663.04)</f>
        <v/>
      </c>
      <c r="G80" s="143">
        <f>IFERROR(__xludf.DUMMYFUNCTION("""COMPUTED_VALUE"""),79560517)</f>
        <v/>
      </c>
      <c r="H80" s="27" t="n"/>
    </row>
    <row r="81" ht="17.25" customHeight="1" s="322">
      <c r="A81" s="27" t="n"/>
      <c r="B81" s="506">
        <f>IFERROR(__xludf.DUMMYFUNCTION("""COMPUTED_VALUE"""),45944.6666666666)</f>
        <v/>
      </c>
      <c r="C81" s="141">
        <f>IFERROR(__xludf.DUMMYFUNCTION("""COMPUTED_VALUE"""),657.17)</f>
        <v/>
      </c>
      <c r="D81" s="141">
        <f>IFERROR(__xludf.DUMMYFUNCTION("""COMPUTED_VALUE"""),665.83)</f>
        <v/>
      </c>
      <c r="E81" s="141">
        <f>IFERROR(__xludf.DUMMYFUNCTION("""COMPUTED_VALUE"""),653.17)</f>
        <v/>
      </c>
      <c r="F81" s="141">
        <f>IFERROR(__xludf.DUMMYFUNCTION("""COMPUTED_VALUE"""),662.23)</f>
        <v/>
      </c>
      <c r="G81" s="143">
        <f>IFERROR(__xludf.DUMMYFUNCTION("""COMPUTED_VALUE"""),88779560)</f>
        <v/>
      </c>
      <c r="H81" s="27" t="n"/>
    </row>
    <row r="82" ht="17.25" customHeight="1" s="322">
      <c r="A82" s="27" t="n"/>
      <c r="B82" s="506">
        <f>IFERROR(__xludf.DUMMYFUNCTION("""COMPUTED_VALUE"""),45945.6666666666)</f>
        <v/>
      </c>
      <c r="C82" s="141">
        <f>IFERROR(__xludf.DUMMYFUNCTION("""COMPUTED_VALUE"""),666.82)</f>
        <v/>
      </c>
      <c r="D82" s="141">
        <f>IFERROR(__xludf.DUMMYFUNCTION("""COMPUTED_VALUE"""),670.23)</f>
        <v/>
      </c>
      <c r="E82" s="141">
        <f>IFERROR(__xludf.DUMMYFUNCTION("""COMPUTED_VALUE"""),658.93)</f>
        <v/>
      </c>
      <c r="F82" s="141">
        <f>IFERROR(__xludf.DUMMYFUNCTION("""COMPUTED_VALUE"""),665.17)</f>
        <v/>
      </c>
      <c r="G82" s="143">
        <f>IFERROR(__xludf.DUMMYFUNCTION("""COMPUTED_VALUE"""),81702555)</f>
        <v/>
      </c>
      <c r="H82" s="27" t="n"/>
    </row>
    <row r="83" ht="17.25" customHeight="1" s="322">
      <c r="A83" s="27" t="n"/>
      <c r="B83" s="506">
        <f>IFERROR(__xludf.DUMMYFUNCTION("""COMPUTED_VALUE"""),45946.6666666666)</f>
        <v/>
      </c>
      <c r="C83" s="141">
        <f>IFERROR(__xludf.DUMMYFUNCTION("""COMPUTED_VALUE"""),666.82)</f>
        <v/>
      </c>
      <c r="D83" s="141">
        <f>IFERROR(__xludf.DUMMYFUNCTION("""COMPUTED_VALUE"""),668.71)</f>
        <v/>
      </c>
      <c r="E83" s="141">
        <f>IFERROR(__xludf.DUMMYFUNCTION("""COMPUTED_VALUE"""),657.11)</f>
        <v/>
      </c>
      <c r="F83" s="141">
        <f>IFERROR(__xludf.DUMMYFUNCTION("""COMPUTED_VALUE"""),660.64)</f>
        <v/>
      </c>
      <c r="G83" s="143">
        <f>IFERROR(__xludf.DUMMYFUNCTION("""COMPUTED_VALUE"""),110563346)</f>
        <v/>
      </c>
      <c r="H83" s="27" t="n"/>
    </row>
    <row r="84" ht="17.25" customHeight="1" s="322">
      <c r="A84" s="27" t="n"/>
      <c r="B84" s="506">
        <f>IFERROR(__xludf.DUMMYFUNCTION("""COMPUTED_VALUE"""),45947.6666666666)</f>
        <v/>
      </c>
      <c r="C84" s="141">
        <f>IFERROR(__xludf.DUMMYFUNCTION("""COMPUTED_VALUE"""),659.5)</f>
        <v/>
      </c>
      <c r="D84" s="141">
        <f>IFERROR(__xludf.DUMMYFUNCTION("""COMPUTED_VALUE"""),665.76)</f>
        <v/>
      </c>
      <c r="E84" s="141">
        <f>IFERROR(__xludf.DUMMYFUNCTION("""COMPUTED_VALUE"""),658.14)</f>
        <v/>
      </c>
      <c r="F84" s="141">
        <f>IFERROR(__xludf.DUMMYFUNCTION("""COMPUTED_VALUE"""),664.39)</f>
        <v/>
      </c>
      <c r="G84" s="143">
        <f>IFERROR(__xludf.DUMMYFUNCTION("""COMPUTED_VALUE"""),96500870)</f>
        <v/>
      </c>
      <c r="H84" s="27" t="n"/>
    </row>
    <row r="85" ht="17.25" customHeight="1" s="322">
      <c r="A85" s="27" t="n"/>
      <c r="B85" s="506">
        <f>IFERROR(__xludf.DUMMYFUNCTION("""COMPUTED_VALUE"""),45950.6666666666)</f>
        <v/>
      </c>
      <c r="C85" s="141">
        <f>IFERROR(__xludf.DUMMYFUNCTION("""COMPUTED_VALUE"""),667.32)</f>
        <v/>
      </c>
      <c r="D85" s="141">
        <f>IFERROR(__xludf.DUMMYFUNCTION("""COMPUTED_VALUE"""),672.21)</f>
        <v/>
      </c>
      <c r="E85" s="141">
        <f>IFERROR(__xludf.DUMMYFUNCTION("""COMPUTED_VALUE"""),667.27)</f>
        <v/>
      </c>
      <c r="F85" s="141">
        <f>IFERROR(__xludf.DUMMYFUNCTION("""COMPUTED_VALUE"""),671.3)</f>
        <v/>
      </c>
      <c r="G85" s="143">
        <f>IFERROR(__xludf.DUMMYFUNCTION("""COMPUTED_VALUE"""),60493350)</f>
        <v/>
      </c>
      <c r="H85" s="27" t="n"/>
    </row>
    <row r="86" ht="17.25" customHeight="1" s="322">
      <c r="A86" s="27" t="n"/>
      <c r="B86" s="506">
        <f>IFERROR(__xludf.DUMMYFUNCTION("""COMPUTED_VALUE"""),45951.6666666666)</f>
        <v/>
      </c>
      <c r="C86" s="141">
        <f>IFERROR(__xludf.DUMMYFUNCTION("""COMPUTED_VALUE"""),671.44)</f>
        <v/>
      </c>
      <c r="D86" s="141">
        <f>IFERROR(__xludf.DUMMYFUNCTION("""COMPUTED_VALUE"""),672.99)</f>
        <v/>
      </c>
      <c r="E86" s="141">
        <f>IFERROR(__xludf.DUMMYFUNCTION("""COMPUTED_VALUE"""),669.98)</f>
        <v/>
      </c>
      <c r="F86" s="141">
        <f>IFERROR(__xludf.DUMMYFUNCTION("""COMPUTED_VALUE"""),671.29)</f>
        <v/>
      </c>
      <c r="G86" s="143">
        <f>IFERROR(__xludf.DUMMYFUNCTION("""COMPUTED_VALUE"""),56249034)</f>
        <v/>
      </c>
      <c r="H86" s="27" t="n"/>
    </row>
    <row r="87" ht="17.25" customHeight="1" s="322">
      <c r="A87" s="27" t="n"/>
      <c r="B87" s="506">
        <f>IFERROR(__xludf.DUMMYFUNCTION("""COMPUTED_VALUE"""),45952.6666666666)</f>
        <v/>
      </c>
      <c r="C87" s="141">
        <f>IFERROR(__xludf.DUMMYFUNCTION("""COMPUTED_VALUE"""),672)</f>
        <v/>
      </c>
      <c r="D87" s="141">
        <f>IFERROR(__xludf.DUMMYFUNCTION("""COMPUTED_VALUE"""),672)</f>
        <v/>
      </c>
      <c r="E87" s="141">
        <f>IFERROR(__xludf.DUMMYFUNCTION("""COMPUTED_VALUE"""),663.3)</f>
        <v/>
      </c>
      <c r="F87" s="141">
        <f>IFERROR(__xludf.DUMMYFUNCTION("""COMPUTED_VALUE"""),667.8)</f>
        <v/>
      </c>
      <c r="G87" s="143">
        <f>IFERROR(__xludf.DUMMYFUNCTION("""COMPUTED_VALUE"""),80564006)</f>
        <v/>
      </c>
      <c r="H87" s="27" t="n"/>
    </row>
    <row r="88" ht="17.25" customHeight="1" s="322">
      <c r="A88" s="27" t="n"/>
      <c r="B88" s="506">
        <f>IFERROR(__xludf.DUMMYFUNCTION("""COMPUTED_VALUE"""),45953.6666666666)</f>
        <v/>
      </c>
      <c r="C88" s="141">
        <f>IFERROR(__xludf.DUMMYFUNCTION("""COMPUTED_VALUE"""),668.12)</f>
        <v/>
      </c>
      <c r="D88" s="141">
        <f>IFERROR(__xludf.DUMMYFUNCTION("""COMPUTED_VALUE"""),672.71)</f>
        <v/>
      </c>
      <c r="E88" s="141">
        <f>IFERROR(__xludf.DUMMYFUNCTION("""COMPUTED_VALUE"""),667.8)</f>
        <v/>
      </c>
      <c r="F88" s="141">
        <f>IFERROR(__xludf.DUMMYFUNCTION("""COMPUTED_VALUE"""),671.76)</f>
        <v/>
      </c>
      <c r="G88" s="143">
        <f>IFERROR(__xludf.DUMMYFUNCTION("""COMPUTED_VALUE"""),65604461)</f>
        <v/>
      </c>
      <c r="H88" s="27" t="n"/>
    </row>
    <row r="89" ht="17.25" customHeight="1" s="322">
      <c r="A89" s="27" t="n"/>
      <c r="B89" s="506">
        <f>IFERROR(__xludf.DUMMYFUNCTION("""COMPUTED_VALUE"""),45954.6666666666)</f>
        <v/>
      </c>
      <c r="C89" s="141">
        <f>IFERROR(__xludf.DUMMYFUNCTION("""COMPUTED_VALUE"""),676.46)</f>
        <v/>
      </c>
      <c r="D89" s="141">
        <f>IFERROR(__xludf.DUMMYFUNCTION("""COMPUTED_VALUE"""),678.47)</f>
        <v/>
      </c>
      <c r="E89" s="141">
        <f>IFERROR(__xludf.DUMMYFUNCTION("""COMPUTED_VALUE"""),675.65)</f>
        <v/>
      </c>
      <c r="F89" s="141">
        <f>IFERROR(__xludf.DUMMYFUNCTION("""COMPUTED_VALUE"""),677.25)</f>
        <v/>
      </c>
      <c r="G89" s="143">
        <f>IFERROR(__xludf.DUMMYFUNCTION("""COMPUTED_VALUE"""),74356527)</f>
        <v/>
      </c>
      <c r="H89" s="27" t="n"/>
    </row>
    <row r="90" ht="17.25" customHeight="1" s="322">
      <c r="A90" s="27" t="n"/>
      <c r="B90" s="506">
        <f>IFERROR(__xludf.DUMMYFUNCTION("""COMPUTED_VALUE"""),45957.6666666666)</f>
        <v/>
      </c>
      <c r="C90" s="141">
        <f>IFERROR(__xludf.DUMMYFUNCTION("""COMPUTED_VALUE"""),682.73)</f>
        <v/>
      </c>
      <c r="D90" s="141">
        <f>IFERROR(__xludf.DUMMYFUNCTION("""COMPUTED_VALUE"""),685.54)</f>
        <v/>
      </c>
      <c r="E90" s="141">
        <f>IFERROR(__xludf.DUMMYFUNCTION("""COMPUTED_VALUE"""),682.12)</f>
        <v/>
      </c>
      <c r="F90" s="141">
        <f>IFERROR(__xludf.DUMMYFUNCTION("""COMPUTED_VALUE"""),685.24)</f>
        <v/>
      </c>
      <c r="G90" s="143">
        <f>IFERROR(__xludf.DUMMYFUNCTION("""COMPUTED_VALUE"""),63339790)</f>
        <v/>
      </c>
      <c r="H90" s="27" t="n"/>
    </row>
    <row r="91" ht="17.25" customHeight="1" s="322">
      <c r="A91" s="27" t="n"/>
      <c r="B91" s="506">
        <f>IFERROR(__xludf.DUMMYFUNCTION("""COMPUTED_VALUE"""),45958.6666666666)</f>
        <v/>
      </c>
      <c r="C91" s="141">
        <f>IFERROR(__xludf.DUMMYFUNCTION("""COMPUTED_VALUE"""),687.05)</f>
        <v/>
      </c>
      <c r="D91" s="141">
        <f>IFERROR(__xludf.DUMMYFUNCTION("""COMPUTED_VALUE"""),688.91)</f>
        <v/>
      </c>
      <c r="E91" s="141">
        <f>IFERROR(__xludf.DUMMYFUNCTION("""COMPUTED_VALUE"""),684.83)</f>
        <v/>
      </c>
      <c r="F91" s="141">
        <f>IFERROR(__xludf.DUMMYFUNCTION("""COMPUTED_VALUE"""),687.06)</f>
        <v/>
      </c>
      <c r="G91" s="143">
        <f>IFERROR(__xludf.DUMMYFUNCTION("""COMPUTED_VALUE"""),61738073)</f>
        <v/>
      </c>
      <c r="H91" s="27" t="n"/>
    </row>
    <row r="92" ht="17.25" customHeight="1" s="322">
      <c r="A92" s="27" t="n"/>
      <c r="B92" s="506">
        <f>IFERROR(__xludf.DUMMYFUNCTION("""COMPUTED_VALUE"""),45959.6666666666)</f>
        <v/>
      </c>
      <c r="C92" s="141">
        <f>IFERROR(__xludf.DUMMYFUNCTION("""COMPUTED_VALUE"""),688.72)</f>
        <v/>
      </c>
      <c r="D92" s="141">
        <f>IFERROR(__xludf.DUMMYFUNCTION("""COMPUTED_VALUE"""),689.7)</f>
        <v/>
      </c>
      <c r="E92" s="141">
        <f>IFERROR(__xludf.DUMMYFUNCTION("""COMPUTED_VALUE"""),682.87)</f>
        <v/>
      </c>
      <c r="F92" s="141">
        <f>IFERROR(__xludf.DUMMYFUNCTION("""COMPUTED_VALUE"""),687.39)</f>
        <v/>
      </c>
      <c r="G92" s="143">
        <f>IFERROR(__xludf.DUMMYFUNCTION("""COMPUTED_VALUE"""),85362207)</f>
        <v/>
      </c>
      <c r="H92" s="27" t="n"/>
    </row>
    <row r="93" ht="17.25" customHeight="1" s="322">
      <c r="A93" s="27" t="n"/>
      <c r="B93" s="506">
        <f>IFERROR(__xludf.DUMMYFUNCTION("""COMPUTED_VALUE"""),45960.6666666666)</f>
        <v/>
      </c>
      <c r="C93" s="141">
        <f>IFERROR(__xludf.DUMMYFUNCTION("""COMPUTED_VALUE"""),683.9)</f>
        <v/>
      </c>
      <c r="D93" s="141">
        <f>IFERROR(__xludf.DUMMYFUNCTION("""COMPUTED_VALUE"""),685.94)</f>
        <v/>
      </c>
      <c r="E93" s="141">
        <f>IFERROR(__xludf.DUMMYFUNCTION("""COMPUTED_VALUE"""),679.83)</f>
        <v/>
      </c>
      <c r="F93" s="141">
        <f>IFERROR(__xludf.DUMMYFUNCTION("""COMPUTED_VALUE"""),679.83)</f>
        <v/>
      </c>
      <c r="G93" s="143">
        <f>IFERROR(__xludf.DUMMYFUNCTION("""COMPUTED_VALUE"""),76335751)</f>
        <v/>
      </c>
      <c r="H93" s="27" t="n"/>
    </row>
    <row r="94" ht="17.25" customHeight="1" s="322">
      <c r="A94" s="27" t="n"/>
      <c r="B94" s="506">
        <f>IFERROR(__xludf.DUMMYFUNCTION("""COMPUTED_VALUE"""),45961.6666666666)</f>
        <v/>
      </c>
      <c r="C94" s="141">
        <f>IFERROR(__xludf.DUMMYFUNCTION("""COMPUTED_VALUE"""),685.04)</f>
        <v/>
      </c>
      <c r="D94" s="141">
        <f>IFERROR(__xludf.DUMMYFUNCTION("""COMPUTED_VALUE"""),685.08)</f>
        <v/>
      </c>
      <c r="E94" s="141">
        <f>IFERROR(__xludf.DUMMYFUNCTION("""COMPUTED_VALUE"""),679.24)</f>
        <v/>
      </c>
      <c r="F94" s="141">
        <f>IFERROR(__xludf.DUMMYFUNCTION("""COMPUTED_VALUE"""),682.06)</f>
        <v/>
      </c>
      <c r="G94" s="143">
        <f>IFERROR(__xludf.DUMMYFUNCTION("""COMPUTED_VALUE"""),87164122)</f>
        <v/>
      </c>
      <c r="H94" s="27" t="n"/>
    </row>
    <row r="95" ht="17.25" customHeight="1" s="322">
      <c r="A95" s="27" t="n"/>
      <c r="B95" s="506">
        <f>IFERROR(__xludf.DUMMYFUNCTION("""COMPUTED_VALUE"""),45964.6666666666)</f>
        <v/>
      </c>
      <c r="C95" s="141">
        <f>IFERROR(__xludf.DUMMYFUNCTION("""COMPUTED_VALUE"""),685.67)</f>
        <v/>
      </c>
      <c r="D95" s="141">
        <f>IFERROR(__xludf.DUMMYFUNCTION("""COMPUTED_VALUE"""),685.8)</f>
        <v/>
      </c>
      <c r="E95" s="141">
        <f>IFERROR(__xludf.DUMMYFUNCTION("""COMPUTED_VALUE"""),679.94)</f>
        <v/>
      </c>
      <c r="F95" s="141">
        <f>IFERROR(__xludf.DUMMYFUNCTION("""COMPUTED_VALUE"""),683.34)</f>
        <v/>
      </c>
      <c r="G95" s="143">
        <f>IFERROR(__xludf.DUMMYFUNCTION("""COMPUTED_VALUE"""),57315025)</f>
        <v/>
      </c>
      <c r="H95" s="27" t="n"/>
    </row>
    <row r="96" ht="17.25" customHeight="1" s="322">
      <c r="A96" s="27" t="n"/>
      <c r="B96" s="506">
        <f>IFERROR(__xludf.DUMMYFUNCTION("""COMPUTED_VALUE"""),45965.6666666666)</f>
        <v/>
      </c>
      <c r="C96" s="141">
        <f>IFERROR(__xludf.DUMMYFUNCTION("""COMPUTED_VALUE"""),676.11)</f>
        <v/>
      </c>
      <c r="D96" s="141">
        <f>IFERROR(__xludf.DUMMYFUNCTION("""COMPUTED_VALUE"""),679.96)</f>
        <v/>
      </c>
      <c r="E96" s="141">
        <f>IFERROR(__xludf.DUMMYFUNCTION("""COMPUTED_VALUE"""),674.58)</f>
        <v/>
      </c>
      <c r="F96" s="141">
        <f>IFERROR(__xludf.DUMMYFUNCTION("""COMPUTED_VALUE"""),675.24)</f>
        <v/>
      </c>
      <c r="G96" s="143">
        <f>IFERROR(__xludf.DUMMYFUNCTION("""COMPUTED_VALUE"""),78426969)</f>
        <v/>
      </c>
      <c r="H96" s="27" t="n"/>
    </row>
    <row r="97" ht="17.25" customHeight="1" s="322">
      <c r="A97" s="27" t="n"/>
      <c r="B97" s="506">
        <f>IFERROR(__xludf.DUMMYFUNCTION("""COMPUTED_VALUE"""),45966.6666666666)</f>
        <v/>
      </c>
      <c r="C97" s="141">
        <f>IFERROR(__xludf.DUMMYFUNCTION("""COMPUTED_VALUE"""),674.98)</f>
        <v/>
      </c>
      <c r="D97" s="141">
        <f>IFERROR(__xludf.DUMMYFUNCTION("""COMPUTED_VALUE"""),680.86)</f>
        <v/>
      </c>
      <c r="E97" s="141">
        <f>IFERROR(__xludf.DUMMYFUNCTION("""COMPUTED_VALUE"""),674.17)</f>
        <v/>
      </c>
      <c r="F97" s="141">
        <f>IFERROR(__xludf.DUMMYFUNCTION("""COMPUTED_VALUE"""),677.58)</f>
        <v/>
      </c>
      <c r="G97" s="143">
        <f>IFERROR(__xludf.DUMMYFUNCTION("""COMPUTED_VALUE"""),74402376)</f>
        <v/>
      </c>
      <c r="H97" s="27" t="n"/>
    </row>
    <row r="98" ht="17.25" customHeight="1" s="322">
      <c r="A98" s="27" t="n"/>
      <c r="B98" s="506">
        <f>IFERROR(__xludf.DUMMYFUNCTION("""COMPUTED_VALUE"""),45967.6666666666)</f>
        <v/>
      </c>
      <c r="C98" s="141">
        <f>IFERROR(__xludf.DUMMYFUNCTION("""COMPUTED_VALUE"""),676.47)</f>
        <v/>
      </c>
      <c r="D98" s="141">
        <f>IFERROR(__xludf.DUMMYFUNCTION("""COMPUTED_VALUE"""),677.38)</f>
        <v/>
      </c>
      <c r="E98" s="141">
        <f>IFERROR(__xludf.DUMMYFUNCTION("""COMPUTED_VALUE"""),668.72)</f>
        <v/>
      </c>
      <c r="F98" s="141">
        <f>IFERROR(__xludf.DUMMYFUNCTION("""COMPUTED_VALUE"""),670.31)</f>
        <v/>
      </c>
      <c r="G98" s="143">
        <f>IFERROR(__xludf.DUMMYFUNCTION("""COMPUTED_VALUE"""),85035298)</f>
        <v/>
      </c>
      <c r="H98" s="27" t="n"/>
    </row>
    <row r="99" ht="17.25" customHeight="1" s="322">
      <c r="A99" s="27" t="n"/>
      <c r="B99" s="506">
        <f>IFERROR(__xludf.DUMMYFUNCTION("""COMPUTED_VALUE"""),45968.6666666666)</f>
        <v/>
      </c>
      <c r="C99" s="141">
        <f>IFERROR(__xludf.DUMMYFUNCTION("""COMPUTED_VALUE"""),667.91)</f>
        <v/>
      </c>
      <c r="D99" s="141">
        <f>IFERROR(__xludf.DUMMYFUNCTION("""COMPUTED_VALUE"""),671.08)</f>
        <v/>
      </c>
      <c r="E99" s="141">
        <f>IFERROR(__xludf.DUMMYFUNCTION("""COMPUTED_VALUE"""),661.21)</f>
        <v/>
      </c>
      <c r="F99" s="141">
        <f>IFERROR(__xludf.DUMMYFUNCTION("""COMPUTED_VALUE"""),670.97)</f>
        <v/>
      </c>
      <c r="G99" s="143">
        <f>IFERROR(__xludf.DUMMYFUNCTION("""COMPUTED_VALUE"""),100592443)</f>
        <v/>
      </c>
      <c r="H99" s="27" t="n"/>
    </row>
    <row r="100" ht="17.25" customHeight="1" s="322">
      <c r="A100" s="27" t="n"/>
      <c r="B100" s="506">
        <f>IFERROR(__xludf.DUMMYFUNCTION("""COMPUTED_VALUE"""),45971.6666666666)</f>
        <v/>
      </c>
      <c r="C100" s="141">
        <f>IFERROR(__xludf.DUMMYFUNCTION("""COMPUTED_VALUE"""),677.24)</f>
        <v/>
      </c>
      <c r="D100" s="141">
        <f>IFERROR(__xludf.DUMMYFUNCTION("""COMPUTED_VALUE"""),682.18)</f>
        <v/>
      </c>
      <c r="E100" s="141">
        <f>IFERROR(__xludf.DUMMYFUNCTION("""COMPUTED_VALUE"""),675.03)</f>
        <v/>
      </c>
      <c r="F100" s="141">
        <f>IFERROR(__xludf.DUMMYFUNCTION("""COMPUTED_VALUE"""),681.44)</f>
        <v/>
      </c>
      <c r="G100" s="143">
        <f>IFERROR(__xludf.DUMMYFUNCTION("""COMPUTED_VALUE"""),75842888)</f>
        <v/>
      </c>
      <c r="H100" s="27" t="n"/>
    </row>
    <row r="101" ht="17.25" customHeight="1" s="322">
      <c r="A101" s="27" t="n"/>
      <c r="B101" s="506">
        <f>IFERROR(__xludf.DUMMYFUNCTION("""COMPUTED_VALUE"""),45972.6666666666)</f>
        <v/>
      </c>
      <c r="C101" s="141">
        <f>IFERROR(__xludf.DUMMYFUNCTION("""COMPUTED_VALUE"""),679.95)</f>
        <v/>
      </c>
      <c r="D101" s="141">
        <f>IFERROR(__xludf.DUMMYFUNCTION("""COMPUTED_VALUE"""),683.57)</f>
        <v/>
      </c>
      <c r="E101" s="141">
        <f>IFERROR(__xludf.DUMMYFUNCTION("""COMPUTED_VALUE"""),678.73)</f>
        <v/>
      </c>
      <c r="F101" s="141">
        <f>IFERROR(__xludf.DUMMYFUNCTION("""COMPUTED_VALUE"""),683)</f>
        <v/>
      </c>
      <c r="G101" s="143">
        <f>IFERROR(__xludf.DUMMYFUNCTION("""COMPUTED_VALUE"""),58953385)</f>
        <v/>
      </c>
      <c r="H101" s="27" t="n"/>
    </row>
    <row r="102" ht="17.25" customHeight="1" s="322">
      <c r="A102" s="27" t="n"/>
      <c r="B102" s="506">
        <f>IFERROR(__xludf.DUMMYFUNCTION("""COMPUTED_VALUE"""),45973.6666666666)</f>
        <v/>
      </c>
      <c r="C102" s="141">
        <f>IFERROR(__xludf.DUMMYFUNCTION("""COMPUTED_VALUE"""),684.79)</f>
        <v/>
      </c>
      <c r="D102" s="141">
        <f>IFERROR(__xludf.DUMMYFUNCTION("""COMPUTED_VALUE"""),684.96)</f>
        <v/>
      </c>
      <c r="E102" s="141">
        <f>IFERROR(__xludf.DUMMYFUNCTION("""COMPUTED_VALUE"""),680.95)</f>
        <v/>
      </c>
      <c r="F102" s="141">
        <f>IFERROR(__xludf.DUMMYFUNCTION("""COMPUTED_VALUE"""),683.38)</f>
        <v/>
      </c>
      <c r="G102" s="143">
        <f>IFERROR(__xludf.DUMMYFUNCTION("""COMPUTED_VALUE"""),62312484)</f>
        <v/>
      </c>
      <c r="H102" s="27" t="n"/>
    </row>
    <row r="103" ht="17.25" customHeight="1" s="322">
      <c r="A103" s="27" t="n"/>
      <c r="B103" s="506">
        <f>IFERROR(__xludf.DUMMYFUNCTION("""COMPUTED_VALUE"""),45974.6666666666)</f>
        <v/>
      </c>
      <c r="C103" s="141">
        <f>IFERROR(__xludf.DUMMYFUNCTION("""COMPUTED_VALUE"""),680.5)</f>
        <v/>
      </c>
      <c r="D103" s="141">
        <f>IFERROR(__xludf.DUMMYFUNCTION("""COMPUTED_VALUE"""),680.86)</f>
        <v/>
      </c>
      <c r="E103" s="141">
        <f>IFERROR(__xludf.DUMMYFUNCTION("""COMPUTED_VALUE"""),670.52)</f>
        <v/>
      </c>
      <c r="F103" s="141">
        <f>IFERROR(__xludf.DUMMYFUNCTION("""COMPUTED_VALUE"""),672.04)</f>
        <v/>
      </c>
      <c r="G103" s="143">
        <f>IFERROR(__xludf.DUMMYFUNCTION("""COMPUTED_VALUE"""),103457788)</f>
        <v/>
      </c>
      <c r="H103" s="27" t="n"/>
    </row>
    <row r="104" ht="17.25" customHeight="1" s="322">
      <c r="A104" s="27" t="n"/>
      <c r="B104" s="506">
        <f>IFERROR(__xludf.DUMMYFUNCTION("""COMPUTED_VALUE"""),45975.6666666666)</f>
        <v/>
      </c>
      <c r="C104" s="141">
        <f>IFERROR(__xludf.DUMMYFUNCTION("""COMPUTED_VALUE"""),665.38)</f>
        <v/>
      </c>
      <c r="D104" s="141">
        <f>IFERROR(__xludf.DUMMYFUNCTION("""COMPUTED_VALUE"""),675.66)</f>
        <v/>
      </c>
      <c r="E104" s="141">
        <f>IFERROR(__xludf.DUMMYFUNCTION("""COMPUTED_VALUE"""),663.27)</f>
        <v/>
      </c>
      <c r="F104" s="141">
        <f>IFERROR(__xludf.DUMMYFUNCTION("""COMPUTED_VALUE"""),671.93)</f>
        <v/>
      </c>
      <c r="G104" s="143">
        <f>IFERROR(__xludf.DUMMYFUNCTION("""COMPUTED_VALUE"""),96846672)</f>
        <v/>
      </c>
      <c r="H104" s="27" t="n"/>
    </row>
    <row r="105" ht="17.25" customHeight="1" s="322">
      <c r="A105" s="27" t="n"/>
      <c r="B105" s="506">
        <f>IFERROR(__xludf.DUMMYFUNCTION("""COMPUTED_VALUE"""),45978.6666666666)</f>
        <v/>
      </c>
      <c r="C105" s="141">
        <f>IFERROR(__xludf.DUMMYFUNCTION("""COMPUTED_VALUE"""),669.7)</f>
        <v/>
      </c>
      <c r="D105" s="141">
        <f>IFERROR(__xludf.DUMMYFUNCTION("""COMPUTED_VALUE"""),673.71)</f>
        <v/>
      </c>
      <c r="E105" s="141">
        <f>IFERROR(__xludf.DUMMYFUNCTION("""COMPUTED_VALUE"""),662.17)</f>
        <v/>
      </c>
      <c r="F105" s="141">
        <f>IFERROR(__xludf.DUMMYFUNCTION("""COMPUTED_VALUE"""),665.67)</f>
        <v/>
      </c>
      <c r="G105" s="143">
        <f>IFERROR(__xludf.DUMMYFUNCTION("""COMPUTED_VALUE"""),90456105)</f>
        <v/>
      </c>
      <c r="H105" s="27" t="n"/>
    </row>
    <row r="106" ht="17.25" customHeight="1" s="322">
      <c r="A106" s="27" t="n"/>
      <c r="B106" s="506">
        <f>IFERROR(__xludf.DUMMYFUNCTION("""COMPUTED_VALUE"""),45979.6666666666)</f>
        <v/>
      </c>
      <c r="C106" s="141">
        <f>IFERROR(__xludf.DUMMYFUNCTION("""COMPUTED_VALUE"""),662.1)</f>
        <v/>
      </c>
      <c r="D106" s="141">
        <f>IFERROR(__xludf.DUMMYFUNCTION("""COMPUTED_VALUE"""),665.12)</f>
        <v/>
      </c>
      <c r="E106" s="141">
        <f>IFERROR(__xludf.DUMMYFUNCTION("""COMPUTED_VALUE"""),655.86)</f>
        <v/>
      </c>
      <c r="F106" s="141">
        <f>IFERROR(__xludf.DUMMYFUNCTION("""COMPUTED_VALUE"""),660.08)</f>
        <v/>
      </c>
      <c r="G106" s="143">
        <f>IFERROR(__xludf.DUMMYFUNCTION("""COMPUTED_VALUE"""),114467488)</f>
        <v/>
      </c>
      <c r="H106" s="27" t="n"/>
    </row>
    <row r="107" ht="17.25" customHeight="1" s="322">
      <c r="A107" s="27" t="n"/>
      <c r="B107" s="506">
        <f>IFERROR(__xludf.DUMMYFUNCTION("""COMPUTED_VALUE"""),45980.6666666666)</f>
        <v/>
      </c>
      <c r="C107" s="141">
        <f>IFERROR(__xludf.DUMMYFUNCTION("""COMPUTED_VALUE"""),660.78)</f>
        <v/>
      </c>
      <c r="D107" s="141">
        <f>IFERROR(__xludf.DUMMYFUNCTION("""COMPUTED_VALUE"""),667.34)</f>
        <v/>
      </c>
      <c r="E107" s="141">
        <f>IFERROR(__xludf.DUMMYFUNCTION("""COMPUTED_VALUE"""),658.75)</f>
        <v/>
      </c>
      <c r="F107" s="141">
        <f>IFERROR(__xludf.DUMMYFUNCTION("""COMPUTED_VALUE"""),662.63)</f>
        <v/>
      </c>
      <c r="G107" s="143">
        <f>IFERROR(__xludf.DUMMYFUNCTION("""COMPUTED_VALUE"""),94702955)</f>
        <v/>
      </c>
      <c r="H107" s="27" t="n"/>
    </row>
    <row r="108" ht="17.25" customHeight="1" s="322">
      <c r="A108" s="27" t="n"/>
      <c r="B108" s="506">
        <f>IFERROR(__xludf.DUMMYFUNCTION("""COMPUTED_VALUE"""),45981.6666666666)</f>
        <v/>
      </c>
      <c r="C108" s="141">
        <f>IFERROR(__xludf.DUMMYFUNCTION("""COMPUTED_VALUE"""),672.91)</f>
        <v/>
      </c>
      <c r="D108" s="141">
        <f>IFERROR(__xludf.DUMMYFUNCTION("""COMPUTED_VALUE"""),675.56)</f>
        <v/>
      </c>
      <c r="E108" s="141">
        <f>IFERROR(__xludf.DUMMYFUNCTION("""COMPUTED_VALUE"""),651.89)</f>
        <v/>
      </c>
      <c r="F108" s="141">
        <f>IFERROR(__xludf.DUMMYFUNCTION("""COMPUTED_VALUE"""),652.53)</f>
        <v/>
      </c>
      <c r="G108" s="143">
        <f>IFERROR(__xludf.DUMMYFUNCTION("""COMPUTED_VALUE"""),165293521)</f>
        <v/>
      </c>
      <c r="H108" s="27" t="n"/>
    </row>
    <row r="109" ht="17.25" customHeight="1" s="322">
      <c r="A109" s="27" t="n"/>
      <c r="B109" s="506">
        <f>IFERROR(__xludf.DUMMYFUNCTION("""COMPUTED_VALUE"""),45982.6666666666)</f>
        <v/>
      </c>
      <c r="C109" s="141">
        <f>IFERROR(__xludf.DUMMYFUNCTION("""COMPUTED_VALUE"""),655.05)</f>
        <v/>
      </c>
      <c r="D109" s="141">
        <f>IFERROR(__xludf.DUMMYFUNCTION("""COMPUTED_VALUE"""),664.55)</f>
        <v/>
      </c>
      <c r="E109" s="141">
        <f>IFERROR(__xludf.DUMMYFUNCTION("""COMPUTED_VALUE"""),650.85)</f>
        <v/>
      </c>
      <c r="F109" s="141">
        <f>IFERROR(__xludf.DUMMYFUNCTION("""COMPUTED_VALUE"""),659.03)</f>
        <v/>
      </c>
      <c r="G109" s="143">
        <f>IFERROR(__xludf.DUMMYFUNCTION("""COMPUTED_VALUE"""),123956203)</f>
        <v/>
      </c>
      <c r="H109" s="27" t="n"/>
    </row>
    <row r="110" ht="17.25" customHeight="1" s="322">
      <c r="A110" s="27" t="n"/>
      <c r="B110" s="506">
        <f>IFERROR(__xludf.DUMMYFUNCTION("""COMPUTED_VALUE"""),45985.6666666666)</f>
        <v/>
      </c>
      <c r="C110" s="141">
        <f>IFERROR(__xludf.DUMMYFUNCTION("""COMPUTED_VALUE"""),662.69)</f>
        <v/>
      </c>
      <c r="D110" s="141">
        <f>IFERROR(__xludf.DUMMYFUNCTION("""COMPUTED_VALUE"""),670.06)</f>
        <v/>
      </c>
      <c r="E110" s="141">
        <f>IFERROR(__xludf.DUMMYFUNCTION("""COMPUTED_VALUE"""),661.59)</f>
        <v/>
      </c>
      <c r="F110" s="141">
        <f>IFERROR(__xludf.DUMMYFUNCTION("""COMPUTED_VALUE"""),668.73)</f>
        <v/>
      </c>
      <c r="G110" s="143">
        <f>IFERROR(__xludf.DUMMYFUNCTION("""COMPUTED_VALUE"""),80437940)</f>
        <v/>
      </c>
      <c r="H110" s="27" t="n"/>
    </row>
    <row r="111" ht="17.25" customHeight="1" s="322">
      <c r="A111" s="27" t="n"/>
      <c r="B111" s="506">
        <f>IFERROR(__xludf.DUMMYFUNCTION("""COMPUTED_VALUE"""),45986.6666666666)</f>
        <v/>
      </c>
      <c r="C111" s="141">
        <f>IFERROR(__xludf.DUMMYFUNCTION("""COMPUTED_VALUE"""),668.63)</f>
        <v/>
      </c>
      <c r="D111" s="141">
        <f>IFERROR(__xludf.DUMMYFUNCTION("""COMPUTED_VALUE"""),676.21)</f>
        <v/>
      </c>
      <c r="E111" s="141">
        <f>IFERROR(__xludf.DUMMYFUNCTION("""COMPUTED_VALUE"""),664.48)</f>
        <v/>
      </c>
      <c r="F111" s="141">
        <f>IFERROR(__xludf.DUMMYFUNCTION("""COMPUTED_VALUE"""),675.02)</f>
        <v/>
      </c>
      <c r="G111" s="143">
        <f>IFERROR(__xludf.DUMMYFUNCTION("""COMPUTED_VALUE"""),81077088)</f>
        <v/>
      </c>
      <c r="H111" s="27" t="n"/>
    </row>
    <row r="112" ht="17.25" customHeight="1" s="322">
      <c r="A112" s="27" t="n"/>
      <c r="B112" s="506">
        <f>IFERROR(__xludf.DUMMYFUNCTION("""COMPUTED_VALUE"""),45987.6666666666)</f>
        <v/>
      </c>
      <c r="C112" s="141">
        <f>IFERROR(__xludf.DUMMYFUNCTION("""COMPUTED_VALUE"""),677.63)</f>
        <v/>
      </c>
      <c r="D112" s="141">
        <f>IFERROR(__xludf.DUMMYFUNCTION("""COMPUTED_VALUE"""),681.7)</f>
        <v/>
      </c>
      <c r="E112" s="141">
        <f>IFERROR(__xludf.DUMMYFUNCTION("""COMPUTED_VALUE"""),676.72)</f>
        <v/>
      </c>
      <c r="F112" s="141">
        <f>IFERROR(__xludf.DUMMYFUNCTION("""COMPUTED_VALUE"""),679.68)</f>
        <v/>
      </c>
      <c r="G112" s="143">
        <f>IFERROR(__xludf.DUMMYFUNCTION("""COMPUTED_VALUE"""),71879597)</f>
        <v/>
      </c>
      <c r="H112" s="27" t="n"/>
    </row>
    <row r="113" ht="17.25" customHeight="1" s="322">
      <c r="A113" s="27" t="n"/>
      <c r="B113" s="506">
        <f>IFERROR(__xludf.DUMMYFUNCTION("""COMPUTED_VALUE"""),45989.5520833333)</f>
        <v/>
      </c>
      <c r="C113" s="141">
        <f>IFERROR(__xludf.DUMMYFUNCTION("""COMPUTED_VALUE"""),680.86)</f>
        <v/>
      </c>
      <c r="D113" s="141">
        <f>IFERROR(__xludf.DUMMYFUNCTION("""COMPUTED_VALUE"""),683.67)</f>
        <v/>
      </c>
      <c r="E113" s="141">
        <f>IFERROR(__xludf.DUMMYFUNCTION("""COMPUTED_VALUE"""),680.5)</f>
        <v/>
      </c>
      <c r="F113" s="141">
        <f>IFERROR(__xludf.DUMMYFUNCTION("""COMPUTED_VALUE"""),683.39)</f>
        <v/>
      </c>
      <c r="G113" s="143">
        <f>IFERROR(__xludf.DUMMYFUNCTION("""COMPUTED_VALUE"""),49212030)</f>
        <v/>
      </c>
      <c r="H113" s="27" t="n"/>
    </row>
    <row r="114" ht="17.25" customHeight="1" s="322">
      <c r="A114" s="27" t="n"/>
      <c r="B114" s="506">
        <f>IFERROR(__xludf.DUMMYFUNCTION("""COMPUTED_VALUE"""),45992.6666666666)</f>
        <v/>
      </c>
      <c r="C114" s="141">
        <f>IFERROR(__xludf.DUMMYFUNCTION("""COMPUTED_VALUE"""),678.81)</f>
        <v/>
      </c>
      <c r="D114" s="141">
        <f>IFERROR(__xludf.DUMMYFUNCTION("""COMPUTED_VALUE"""),682.99)</f>
        <v/>
      </c>
      <c r="E114" s="141">
        <f>IFERROR(__xludf.DUMMYFUNCTION("""COMPUTED_VALUE"""),678.74)</f>
        <v/>
      </c>
      <c r="F114" s="141">
        <f>IFERROR(__xludf.DUMMYFUNCTION("""COMPUTED_VALUE"""),680.27)</f>
        <v/>
      </c>
      <c r="G114" s="143">
        <f>IFERROR(__xludf.DUMMYFUNCTION("""COMPUTED_VALUE"""),61201193)</f>
        <v/>
      </c>
      <c r="H114" s="27" t="n"/>
    </row>
    <row r="115" ht="17.25" customHeight="1" s="322">
      <c r="A115" s="27" t="n"/>
      <c r="B115" s="506">
        <f>IFERROR(__xludf.DUMMYFUNCTION("""COMPUTED_VALUE"""),45993.6666666666)</f>
        <v/>
      </c>
      <c r="C115" s="141">
        <f>IFERROR(__xludf.DUMMYFUNCTION("""COMPUTED_VALUE"""),681.92)</f>
        <v/>
      </c>
      <c r="D115" s="141">
        <f>IFERROR(__xludf.DUMMYFUNCTION("""COMPUTED_VALUE"""),683.82)</f>
        <v/>
      </c>
      <c r="E115" s="141">
        <f>IFERROR(__xludf.DUMMYFUNCTION("""COMPUTED_VALUE"""),679.33)</f>
        <v/>
      </c>
      <c r="F115" s="141">
        <f>IFERROR(__xludf.DUMMYFUNCTION("""COMPUTED_VALUE"""),681.53)</f>
        <v/>
      </c>
      <c r="G115" s="143">
        <f>IFERROR(__xludf.DUMMYFUNCTION("""COMPUTED_VALUE"""),62953844)</f>
        <v/>
      </c>
      <c r="H115" s="27" t="n"/>
    </row>
    <row r="116" ht="17.25" customHeight="1" s="322">
      <c r="A116" s="27" t="n"/>
      <c r="B116" s="506">
        <f>IFERROR(__xludf.DUMMYFUNCTION("""COMPUTED_VALUE"""),45994.6666666666)</f>
        <v/>
      </c>
      <c r="C116" s="141">
        <f>IFERROR(__xludf.DUMMYFUNCTION("""COMPUTED_VALUE"""),680.57)</f>
        <v/>
      </c>
      <c r="D116" s="141">
        <f>IFERROR(__xludf.DUMMYFUNCTION("""COMPUTED_VALUE"""),684.91)</f>
        <v/>
      </c>
      <c r="E116" s="141">
        <f>IFERROR(__xludf.DUMMYFUNCTION("""COMPUTED_VALUE"""),679.69)</f>
        <v/>
      </c>
      <c r="F116" s="141">
        <f>IFERROR(__xludf.DUMMYFUNCTION("""COMPUTED_VALUE"""),683.89)</f>
        <v/>
      </c>
      <c r="G116" s="143">
        <f>IFERROR(__xludf.DUMMYFUNCTION("""COMPUTED_VALUE"""),57238481)</f>
        <v/>
      </c>
      <c r="H116" s="27" t="n"/>
    </row>
    <row r="117" ht="17.25" customHeight="1" s="322">
      <c r="A117" s="27" t="n"/>
      <c r="B117" s="506">
        <f>IFERROR(__xludf.DUMMYFUNCTION("""COMPUTED_VALUE"""),45995.6666666666)</f>
        <v/>
      </c>
      <c r="C117" s="141">
        <f>IFERROR(__xludf.DUMMYFUNCTION("""COMPUTED_VALUE"""),685.3)</f>
        <v/>
      </c>
      <c r="D117" s="141">
        <f>IFERROR(__xludf.DUMMYFUNCTION("""COMPUTED_VALUE"""),685.37)</f>
        <v/>
      </c>
      <c r="E117" s="141">
        <f>IFERROR(__xludf.DUMMYFUNCTION("""COMPUTED_VALUE"""),681.34)</f>
        <v/>
      </c>
      <c r="F117" s="141">
        <f>IFERROR(__xludf.DUMMYFUNCTION("""COMPUTED_VALUE"""),684.39)</f>
        <v/>
      </c>
      <c r="G117" s="143">
        <f>IFERROR(__xludf.DUMMYFUNCTION("""COMPUTED_VALUE"""),61970336)</f>
        <v/>
      </c>
      <c r="H117" s="27" t="n"/>
    </row>
    <row r="118" ht="17.25" customHeight="1" s="322">
      <c r="A118" s="27" t="n"/>
      <c r="B118" s="506">
        <f>IFERROR(__xludf.DUMMYFUNCTION("""COMPUTED_VALUE"""),45996.6666666666)</f>
        <v/>
      </c>
      <c r="C118" s="141">
        <f>IFERROR(__xludf.DUMMYFUNCTION("""COMPUTED_VALUE"""),685.47)</f>
        <v/>
      </c>
      <c r="D118" s="141">
        <f>IFERROR(__xludf.DUMMYFUNCTION("""COMPUTED_VALUE"""),688.39)</f>
        <v/>
      </c>
      <c r="E118" s="141">
        <f>IFERROR(__xludf.DUMMYFUNCTION("""COMPUTED_VALUE"""),684.58)</f>
        <v/>
      </c>
      <c r="F118" s="141">
        <f>IFERROR(__xludf.DUMMYFUNCTION("""COMPUTED_VALUE"""),685.69)</f>
        <v/>
      </c>
      <c r="G118" s="143">
        <f>IFERROR(__xludf.DUMMYFUNCTION("""COMPUTED_VALUE"""),79241045)</f>
        <v/>
      </c>
      <c r="H118" s="27" t="n"/>
    </row>
    <row r="119" ht="17.25" customHeight="1" s="322">
      <c r="A119" s="27" t="n"/>
      <c r="B119" s="506">
        <f>IFERROR(__xludf.DUMMYFUNCTION("""COMPUTED_VALUE"""),45999.6666666666)</f>
        <v/>
      </c>
      <c r="C119" s="141">
        <f>IFERROR(__xludf.DUMMYFUNCTION("""COMPUTED_VALUE"""),686.59)</f>
        <v/>
      </c>
      <c r="D119" s="141">
        <f>IFERROR(__xludf.DUMMYFUNCTION("""COMPUTED_VALUE"""),686.64)</f>
        <v/>
      </c>
      <c r="E119" s="141">
        <f>IFERROR(__xludf.DUMMYFUNCTION("""COMPUTED_VALUE"""),681.57)</f>
        <v/>
      </c>
      <c r="F119" s="141">
        <f>IFERROR(__xludf.DUMMYFUNCTION("""COMPUTED_VALUE"""),683.63)</f>
        <v/>
      </c>
      <c r="G119" s="143">
        <f>IFERROR(__xludf.DUMMYFUNCTION("""COMPUTED_VALUE"""),55231462)</f>
        <v/>
      </c>
      <c r="H119" s="27" t="n"/>
    </row>
    <row r="120" ht="17.25" customHeight="1" s="322">
      <c r="A120" s="27" t="n"/>
      <c r="B120" s="506">
        <f>IFERROR(__xludf.DUMMYFUNCTION("""COMPUTED_VALUE"""),46000.6666666666)</f>
        <v/>
      </c>
      <c r="C120" s="141">
        <f>IFERROR(__xludf.DUMMYFUNCTION("""COMPUTED_VALUE"""),683.15)</f>
        <v/>
      </c>
      <c r="D120" s="141">
        <f>IFERROR(__xludf.DUMMYFUNCTION("""COMPUTED_VALUE"""),685.39)</f>
        <v/>
      </c>
      <c r="E120" s="141">
        <f>IFERROR(__xludf.DUMMYFUNCTION("""COMPUTED_VALUE"""),682.59)</f>
        <v/>
      </c>
      <c r="F120" s="141">
        <f>IFERROR(__xludf.DUMMYFUNCTION("""COMPUTED_VALUE"""),683.04)</f>
        <v/>
      </c>
      <c r="G120" s="143">
        <f>IFERROR(__xludf.DUMMYFUNCTION("""COMPUTED_VALUE"""),58310055)</f>
        <v/>
      </c>
      <c r="H120" s="27" t="n"/>
    </row>
    <row r="121" ht="17.25" customHeight="1" s="322">
      <c r="A121" s="27" t="n"/>
      <c r="B121" s="506">
        <f>IFERROR(__xludf.DUMMYFUNCTION("""COMPUTED_VALUE"""),46001.6666666666)</f>
        <v/>
      </c>
      <c r="C121" s="141">
        <f>IFERROR(__xludf.DUMMYFUNCTION("""COMPUTED_VALUE"""),682.56)</f>
        <v/>
      </c>
      <c r="D121" s="141">
        <f>IFERROR(__xludf.DUMMYFUNCTION("""COMPUTED_VALUE"""),688.97)</f>
        <v/>
      </c>
      <c r="E121" s="141">
        <f>IFERROR(__xludf.DUMMYFUNCTION("""COMPUTED_VALUE"""),681.31)</f>
        <v/>
      </c>
      <c r="F121" s="141">
        <f>IFERROR(__xludf.DUMMYFUNCTION("""COMPUTED_VALUE"""),687.57)</f>
        <v/>
      </c>
      <c r="G121" s="143">
        <f>IFERROR(__xludf.DUMMYFUNCTION("""COMPUTED_VALUE"""),85671334)</f>
        <v/>
      </c>
      <c r="H121" s="27" t="n"/>
    </row>
    <row r="122" ht="17.25" customHeight="1" s="322">
      <c r="A122" s="27" t="n"/>
      <c r="B122" s="506">
        <f>IFERROR(__xludf.DUMMYFUNCTION("""COMPUTED_VALUE"""),46002.6666666666)</f>
        <v/>
      </c>
      <c r="C122" s="141">
        <f>IFERROR(__xludf.DUMMYFUNCTION("""COMPUTED_VALUE"""),685.14)</f>
        <v/>
      </c>
      <c r="D122" s="141">
        <f>IFERROR(__xludf.DUMMYFUNCTION("""COMPUTED_VALUE"""),689.25)</f>
        <v/>
      </c>
      <c r="E122" s="141">
        <f>IFERROR(__xludf.DUMMYFUNCTION("""COMPUTED_VALUE"""),682.17)</f>
        <v/>
      </c>
      <c r="F122" s="141">
        <f>IFERROR(__xludf.DUMMYFUNCTION("""COMPUTED_VALUE"""),689.17)</f>
        <v/>
      </c>
      <c r="G122" s="143">
        <f>IFERROR(__xludf.DUMMYFUNCTION("""COMPUTED_VALUE"""),86173678)</f>
        <v/>
      </c>
      <c r="H122" s="27" t="n"/>
    </row>
    <row r="123" ht="17.25" customHeight="1" s="322">
      <c r="A123" s="27" t="n"/>
      <c r="B123" s="506">
        <f>IFERROR(__xludf.DUMMYFUNCTION("""COMPUTED_VALUE"""),46003.6666666666)</f>
        <v/>
      </c>
      <c r="C123" s="141">
        <f>IFERROR(__xludf.DUMMYFUNCTION("""COMPUTED_VALUE"""),688.17)</f>
        <v/>
      </c>
      <c r="D123" s="141">
        <f>IFERROR(__xludf.DUMMYFUNCTION("""COMPUTED_VALUE"""),688.88)</f>
        <v/>
      </c>
      <c r="E123" s="141">
        <f>IFERROR(__xludf.DUMMYFUNCTION("""COMPUTED_VALUE"""),679.17)</f>
        <v/>
      </c>
      <c r="F123" s="141">
        <f>IFERROR(__xludf.DUMMYFUNCTION("""COMPUTED_VALUE"""),681.76)</f>
        <v/>
      </c>
      <c r="G123" s="143">
        <f>IFERROR(__xludf.DUMMYFUNCTION("""COMPUTED_VALUE"""),113160347)</f>
        <v/>
      </c>
      <c r="H123" s="27" t="n"/>
    </row>
    <row r="124" ht="17.25" customHeight="1" s="322">
      <c r="A124" s="27" t="n"/>
      <c r="B124" s="506">
        <f>IFERROR(__xludf.DUMMYFUNCTION("""COMPUTED_VALUE"""),46006.6666666666)</f>
        <v/>
      </c>
      <c r="C124" s="141">
        <f>IFERROR(__xludf.DUMMYFUNCTION("""COMPUTED_VALUE"""),685.74)</f>
        <v/>
      </c>
      <c r="D124" s="141">
        <f>IFERROR(__xludf.DUMMYFUNCTION("""COMPUTED_VALUE"""),685.76)</f>
        <v/>
      </c>
      <c r="E124" s="141">
        <f>IFERROR(__xludf.DUMMYFUNCTION("""COMPUTED_VALUE"""),679.25)</f>
        <v/>
      </c>
      <c r="F124" s="141">
        <f>IFERROR(__xludf.DUMMYFUNCTION("""COMPUTED_VALUE"""),680.73)</f>
        <v/>
      </c>
      <c r="G124" s="143">
        <f>IFERROR(__xludf.DUMMYFUNCTION("""COMPUTED_VALUE"""),90810952)</f>
        <v/>
      </c>
      <c r="H124" s="27" t="n"/>
    </row>
    <row r="125" ht="17.25" customHeight="1" s="322">
      <c r="A125" s="27" t="n"/>
      <c r="B125" s="506">
        <f>IFERROR(__xludf.DUMMYFUNCTION("""COMPUTED_VALUE"""),46007.6666666666)</f>
        <v/>
      </c>
      <c r="C125" s="141">
        <f>IFERROR(__xludf.DUMMYFUNCTION("""COMPUTED_VALUE"""),679.23)</f>
        <v/>
      </c>
      <c r="D125" s="141">
        <f>IFERROR(__xludf.DUMMYFUNCTION("""COMPUTED_VALUE"""),681.08)</f>
        <v/>
      </c>
      <c r="E125" s="141">
        <f>IFERROR(__xludf.DUMMYFUNCTION("""COMPUTED_VALUE"""),674.98)</f>
        <v/>
      </c>
      <c r="F125" s="141">
        <f>IFERROR(__xludf.DUMMYFUNCTION("""COMPUTED_VALUE"""),678.87)</f>
        <v/>
      </c>
      <c r="G125" s="143">
        <f>IFERROR(__xludf.DUMMYFUNCTION("""COMPUTED_VALUE"""),122030631)</f>
        <v/>
      </c>
      <c r="H125" s="27" t="n"/>
    </row>
    <row r="126" ht="17.25" customHeight="1" s="322">
      <c r="A126" s="27" t="n"/>
      <c r="B126" s="506">
        <f>IFERROR(__xludf.DUMMYFUNCTION("""COMPUTED_VALUE"""),46008.6666666666)</f>
        <v/>
      </c>
      <c r="C126" s="141">
        <f>IFERROR(__xludf.DUMMYFUNCTION("""COMPUTED_VALUE"""),679.89)</f>
        <v/>
      </c>
      <c r="D126" s="141">
        <f>IFERROR(__xludf.DUMMYFUNCTION("""COMPUTED_VALUE"""),680.44)</f>
        <v/>
      </c>
      <c r="E126" s="141">
        <f>IFERROR(__xludf.DUMMYFUNCTION("""COMPUTED_VALUE"""),671.2)</f>
        <v/>
      </c>
      <c r="F126" s="141">
        <f>IFERROR(__xludf.DUMMYFUNCTION("""COMPUTED_VALUE"""),671.4)</f>
        <v/>
      </c>
      <c r="G126" s="143">
        <f>IFERROR(__xludf.DUMMYFUNCTION("""COMPUTED_VALUE"""),110625198)</f>
        <v/>
      </c>
      <c r="H126" s="27" t="n"/>
    </row>
    <row r="127" ht="17.25" customHeight="1" s="322">
      <c r="A127" s="27" t="n"/>
      <c r="B127" s="506">
        <f>IFERROR(__xludf.DUMMYFUNCTION("""COMPUTED_VALUE"""),46009.6666666666)</f>
        <v/>
      </c>
      <c r="C127" s="141">
        <f>IFERROR(__xludf.DUMMYFUNCTION("""COMPUTED_VALUE"""),677.6)</f>
        <v/>
      </c>
      <c r="D127" s="141">
        <f>IFERROR(__xludf.DUMMYFUNCTION("""COMPUTED_VALUE"""),680.74)</f>
        <v/>
      </c>
      <c r="E127" s="141">
        <f>IFERROR(__xludf.DUMMYFUNCTION("""COMPUTED_VALUE"""),674.9)</f>
        <v/>
      </c>
      <c r="F127" s="141">
        <f>IFERROR(__xludf.DUMMYFUNCTION("""COMPUTED_VALUE"""),676.47)</f>
        <v/>
      </c>
      <c r="G127" s="143">
        <f>IFERROR(__xludf.DUMMYFUNCTION("""COMPUTED_VALUE"""),108650128)</f>
        <v/>
      </c>
      <c r="H127" s="27" t="n"/>
    </row>
    <row r="128" ht="17.25" customHeight="1" s="322">
      <c r="A128" s="27" t="n"/>
      <c r="B128" s="506">
        <f>IFERROR(__xludf.DUMMYFUNCTION("""COMPUTED_VALUE"""),46010.6666666666)</f>
        <v/>
      </c>
      <c r="C128" s="141">
        <f>IFERROR(__xludf.DUMMYFUNCTION("""COMPUTED_VALUE"""),676.59)</f>
        <v/>
      </c>
      <c r="D128" s="141">
        <f>IFERROR(__xludf.DUMMYFUNCTION("""COMPUTED_VALUE"""),681.09)</f>
        <v/>
      </c>
      <c r="E128" s="141">
        <f>IFERROR(__xludf.DUMMYFUNCTION("""COMPUTED_VALUE"""),676.47)</f>
        <v/>
      </c>
      <c r="F128" s="141">
        <f>IFERROR(__xludf.DUMMYFUNCTION("""COMPUTED_VALUE"""),680.59)</f>
        <v/>
      </c>
      <c r="G128" s="143">
        <f>IFERROR(__xludf.DUMMYFUNCTION("""COMPUTED_VALUE"""),103599543)</f>
        <v/>
      </c>
      <c r="H128" s="27" t="n"/>
    </row>
    <row r="129" ht="17.25" customHeight="1" s="322">
      <c r="A129" s="27" t="n"/>
      <c r="B129" s="506">
        <f>IFERROR(__xludf.DUMMYFUNCTION("""COMPUTED_VALUE"""),46013.6666666666)</f>
        <v/>
      </c>
      <c r="C129" s="141">
        <f>IFERROR(__xludf.DUMMYFUNCTION("""COMPUTED_VALUE"""),683.94)</f>
        <v/>
      </c>
      <c r="D129" s="141">
        <f>IFERROR(__xludf.DUMMYFUNCTION("""COMPUTED_VALUE"""),685.36)</f>
        <v/>
      </c>
      <c r="E129" s="141">
        <f>IFERROR(__xludf.DUMMYFUNCTION("""COMPUTED_VALUE"""),680.59)</f>
        <v/>
      </c>
      <c r="F129" s="141">
        <f>IFERROR(__xludf.DUMMYFUNCTION("""COMPUTED_VALUE"""),684.83)</f>
        <v/>
      </c>
      <c r="G129" s="143">
        <f>IFERROR(__xludf.DUMMYFUNCTION("""COMPUTED_VALUE"""),69556733)</f>
        <v/>
      </c>
      <c r="H129" s="27" t="n"/>
    </row>
    <row r="130" ht="17.25" customHeight="1" s="322">
      <c r="A130" s="27" t="n"/>
      <c r="B130" s="506">
        <f>IFERROR(__xludf.DUMMYFUNCTION("""COMPUTED_VALUE"""),46014.6666666666)</f>
        <v/>
      </c>
      <c r="C130" s="141">
        <f>IFERROR(__xludf.DUMMYFUNCTION("""COMPUTED_VALUE"""),683.92)</f>
        <v/>
      </c>
      <c r="D130" s="141">
        <f>IFERROR(__xludf.DUMMYFUNCTION("""COMPUTED_VALUE"""),688.2)</f>
        <v/>
      </c>
      <c r="E130" s="141">
        <f>IFERROR(__xludf.DUMMYFUNCTION("""COMPUTED_VALUE"""),683.87)</f>
        <v/>
      </c>
      <c r="F130" s="141">
        <f>IFERROR(__xludf.DUMMYFUNCTION("""COMPUTED_VALUE"""),687.96)</f>
        <v/>
      </c>
      <c r="G130" s="143">
        <f>IFERROR(__xludf.DUMMYFUNCTION("""COMPUTED_VALUE"""),64839951)</f>
        <v/>
      </c>
      <c r="H130" s="27" t="n"/>
    </row>
    <row r="131" ht="17.25" customHeight="1" s="322">
      <c r="A131" s="27" t="n"/>
      <c r="B131" s="506">
        <f>IFERROR(__xludf.DUMMYFUNCTION("""COMPUTED_VALUE"""),46015.5416666666)</f>
        <v/>
      </c>
      <c r="C131" s="141">
        <f>IFERROR(__xludf.DUMMYFUNCTION("""COMPUTED_VALUE"""),687.95)</f>
        <v/>
      </c>
      <c r="D131" s="141">
        <f>IFERROR(__xludf.DUMMYFUNCTION("""COMPUTED_VALUE"""),690.83)</f>
        <v/>
      </c>
      <c r="E131" s="141">
        <f>IFERROR(__xludf.DUMMYFUNCTION("""COMPUTED_VALUE"""),687.8)</f>
        <v/>
      </c>
      <c r="F131" s="141">
        <f>IFERROR(__xludf.DUMMYFUNCTION("""COMPUTED_VALUE"""),690.38)</f>
        <v/>
      </c>
      <c r="G131" s="143">
        <f>IFERROR(__xludf.DUMMYFUNCTION("""COMPUTED_VALUE"""),39445560)</f>
        <v/>
      </c>
      <c r="H131" s="27" t="n"/>
    </row>
    <row r="132" ht="17.25" customHeight="1" s="322">
      <c r="A132" s="27" t="n"/>
      <c r="B132" s="506">
        <f>IFERROR(__xludf.DUMMYFUNCTION("""COMPUTED_VALUE"""),46017.6666666666)</f>
        <v/>
      </c>
      <c r="C132" s="141">
        <f>IFERROR(__xludf.DUMMYFUNCTION("""COMPUTED_VALUE"""),690.64)</f>
        <v/>
      </c>
      <c r="D132" s="141">
        <f>IFERROR(__xludf.DUMMYFUNCTION("""COMPUTED_VALUE"""),691.66)</f>
        <v/>
      </c>
      <c r="E132" s="141">
        <f>IFERROR(__xludf.DUMMYFUNCTION("""COMPUTED_VALUE"""),689.27)</f>
        <v/>
      </c>
      <c r="F132" s="141">
        <f>IFERROR(__xludf.DUMMYFUNCTION("""COMPUTED_VALUE"""),690.31)</f>
        <v/>
      </c>
      <c r="G132" s="143">
        <f>IFERROR(__xludf.DUMMYFUNCTION("""COMPUTED_VALUE"""),41613347)</f>
        <v/>
      </c>
      <c r="H132" s="27" t="n"/>
    </row>
    <row r="133" ht="17.25" customHeight="1" s="322">
      <c r="A133" s="27" t="n"/>
      <c r="B133" s="506">
        <f>IFERROR(__xludf.DUMMYFUNCTION("""COMPUTED_VALUE"""),46020.6666666666)</f>
        <v/>
      </c>
      <c r="C133" s="141">
        <f>IFERROR(__xludf.DUMMYFUNCTION("""COMPUTED_VALUE"""),687.54)</f>
        <v/>
      </c>
      <c r="D133" s="141">
        <f>IFERROR(__xludf.DUMMYFUNCTION("""COMPUTED_VALUE"""),689.2)</f>
        <v/>
      </c>
      <c r="E133" s="141">
        <f>IFERROR(__xludf.DUMMYFUNCTION("""COMPUTED_VALUE"""),686.07)</f>
        <v/>
      </c>
      <c r="F133" s="141">
        <f>IFERROR(__xludf.DUMMYFUNCTION("""COMPUTED_VALUE"""),687.85)</f>
        <v/>
      </c>
      <c r="G133" s="143">
        <f>IFERROR(__xludf.DUMMYFUNCTION("""COMPUTED_VALUE"""),62559503)</f>
        <v/>
      </c>
      <c r="H133" s="27" t="n"/>
    </row>
    <row r="134" ht="17.25" customHeight="1" s="322">
      <c r="A134" s="27" t="n"/>
      <c r="B134" s="506">
        <f>IFERROR(__xludf.DUMMYFUNCTION("""COMPUTED_VALUE"""),46021.6666666666)</f>
        <v/>
      </c>
      <c r="C134" s="141">
        <f>IFERROR(__xludf.DUMMYFUNCTION("""COMPUTED_VALUE"""),687.45)</f>
        <v/>
      </c>
      <c r="D134" s="141">
        <f>IFERROR(__xludf.DUMMYFUNCTION("""COMPUTED_VALUE"""),688.56)</f>
        <v/>
      </c>
      <c r="E134" s="141">
        <f>IFERROR(__xludf.DUMMYFUNCTION("""COMPUTED_VALUE"""),686.58)</f>
        <v/>
      </c>
      <c r="F134" s="141">
        <f>IFERROR(__xludf.DUMMYFUNCTION("""COMPUTED_VALUE"""),687.01)</f>
        <v/>
      </c>
      <c r="G134" s="143">
        <f>IFERROR(__xludf.DUMMYFUNCTION("""COMPUTED_VALUE"""),47160671)</f>
        <v/>
      </c>
      <c r="H134" s="27" t="n"/>
    </row>
    <row r="135" ht="17.25" customHeight="1" s="322">
      <c r="A135" s="27" t="n"/>
      <c r="B135" s="506">
        <f>IFERROR(__xludf.DUMMYFUNCTION("""COMPUTED_VALUE"""),46022.6666666666)</f>
        <v/>
      </c>
      <c r="C135" s="141">
        <f>IFERROR(__xludf.DUMMYFUNCTION("""COMPUTED_VALUE"""),687.14)</f>
        <v/>
      </c>
      <c r="D135" s="141">
        <f>IFERROR(__xludf.DUMMYFUNCTION("""COMPUTED_VALUE"""),687.36)</f>
        <v/>
      </c>
      <c r="E135" s="141">
        <f>IFERROR(__xludf.DUMMYFUNCTION("""COMPUTED_VALUE"""),681.71)</f>
        <v/>
      </c>
      <c r="F135" s="141">
        <f>IFERROR(__xludf.DUMMYFUNCTION("""COMPUTED_VALUE"""),681.92)</f>
        <v/>
      </c>
      <c r="G135" s="143">
        <f>IFERROR(__xludf.DUMMYFUNCTION("""COMPUTED_VALUE"""),74144801)</f>
        <v/>
      </c>
      <c r="H135" s="27" t="n"/>
    </row>
    <row r="136" ht="17.25" customHeight="1" s="322">
      <c r="A136" s="27" t="n"/>
      <c r="B136" s="506">
        <f>IFERROR(__xludf.DUMMYFUNCTION("""COMPUTED_VALUE"""),46024.6666666666)</f>
        <v/>
      </c>
      <c r="C136" s="141">
        <f>IFERROR(__xludf.DUMMYFUNCTION("""COMPUTED_VALUE"""),685.71)</f>
        <v/>
      </c>
      <c r="D136" s="141">
        <f>IFERROR(__xludf.DUMMYFUNCTION("""COMPUTED_VALUE"""),686.87)</f>
        <v/>
      </c>
      <c r="E136" s="141">
        <f>IFERROR(__xludf.DUMMYFUNCTION("""COMPUTED_VALUE"""),679.82)</f>
        <v/>
      </c>
      <c r="F136" s="141">
        <f>IFERROR(__xludf.DUMMYFUNCTION("""COMPUTED_VALUE"""),683.17)</f>
        <v/>
      </c>
      <c r="G136" s="143">
        <f>IFERROR(__xludf.DUMMYFUNCTION("""COMPUTED_VALUE"""),89377203)</f>
        <v/>
      </c>
      <c r="H136" s="27" t="n"/>
    </row>
    <row r="137" ht="17.25" customHeight="1" s="322">
      <c r="A137" s="27" t="n"/>
      <c r="B137" s="506">
        <f>IFERROR(__xludf.DUMMYFUNCTION("""COMPUTED_VALUE"""),46027.6666666666)</f>
        <v/>
      </c>
      <c r="C137" s="141">
        <f>IFERROR(__xludf.DUMMYFUNCTION("""COMPUTED_VALUE"""),686.54)</f>
        <v/>
      </c>
      <c r="D137" s="141">
        <f>IFERROR(__xludf.DUMMYFUNCTION("""COMPUTED_VALUE"""),689.43)</f>
        <v/>
      </c>
      <c r="E137" s="141">
        <f>IFERROR(__xludf.DUMMYFUNCTION("""COMPUTED_VALUE"""),686.38)</f>
        <v/>
      </c>
      <c r="F137" s="141">
        <f>IFERROR(__xludf.DUMMYFUNCTION("""COMPUTED_VALUE"""),687.72)</f>
        <v/>
      </c>
      <c r="G137" s="143">
        <f>IFERROR(__xludf.DUMMYFUNCTION("""COMPUTED_VALUE"""),71927191)</f>
        <v/>
      </c>
      <c r="H137" s="27" t="n"/>
    </row>
    <row r="138" ht="17.25" customHeight="1" s="322">
      <c r="A138" s="27" t="n"/>
      <c r="B138" s="506">
        <f>IFERROR(__xludf.DUMMYFUNCTION("""COMPUTED_VALUE"""),46028.6666666666)</f>
        <v/>
      </c>
      <c r="C138" s="141">
        <f>IFERROR(__xludf.DUMMYFUNCTION("""COMPUTED_VALUE"""),687.93)</f>
        <v/>
      </c>
      <c r="D138" s="141">
        <f>IFERROR(__xludf.DUMMYFUNCTION("""COMPUTED_VALUE"""),692.32)</f>
        <v/>
      </c>
      <c r="E138" s="141">
        <f>IFERROR(__xludf.DUMMYFUNCTION("""COMPUTED_VALUE"""),687.78)</f>
        <v/>
      </c>
      <c r="F138" s="141">
        <f>IFERROR(__xludf.DUMMYFUNCTION("""COMPUTED_VALUE"""),691.81)</f>
        <v/>
      </c>
      <c r="G138" s="143">
        <f>IFERROR(__xludf.DUMMYFUNCTION("""COMPUTED_VALUE"""),69273827)</f>
        <v/>
      </c>
      <c r="H138" s="27" t="n"/>
    </row>
    <row r="139" ht="17.25" customHeight="1" s="322">
      <c r="A139" s="27" t="n"/>
      <c r="B139" s="506">
        <f>IFERROR(__xludf.DUMMYFUNCTION("""COMPUTED_VALUE"""),46029.6666666666)</f>
        <v/>
      </c>
      <c r="C139" s="141">
        <f>IFERROR(__xludf.DUMMYFUNCTION("""COMPUTED_VALUE"""),692.19)</f>
        <v/>
      </c>
      <c r="D139" s="141">
        <f>IFERROR(__xludf.DUMMYFUNCTION("""COMPUTED_VALUE"""),693.96)</f>
        <v/>
      </c>
      <c r="E139" s="141">
        <f>IFERROR(__xludf.DUMMYFUNCTION("""COMPUTED_VALUE"""),689.32)</f>
        <v/>
      </c>
      <c r="F139" s="141">
        <f>IFERROR(__xludf.DUMMYFUNCTION("""COMPUTED_VALUE"""),689.58)</f>
        <v/>
      </c>
      <c r="G139" s="143">
        <f>IFERROR(__xludf.DUMMYFUNCTION("""COMPUTED_VALUE"""),75588337)</f>
        <v/>
      </c>
      <c r="H139" s="27" t="n"/>
    </row>
    <row r="140" ht="17.25" customHeight="1" s="322">
      <c r="A140" s="27" t="n"/>
      <c r="B140" s="506">
        <f>IFERROR(__xludf.DUMMYFUNCTION("""COMPUTED_VALUE"""),46030.6666666666)</f>
        <v/>
      </c>
      <c r="C140" s="141">
        <f>IFERROR(__xludf.DUMMYFUNCTION("""COMPUTED_VALUE"""),688.82)</f>
        <v/>
      </c>
      <c r="D140" s="141">
        <f>IFERROR(__xludf.DUMMYFUNCTION("""COMPUTED_VALUE"""),690.62)</f>
        <v/>
      </c>
      <c r="E140" s="141">
        <f>IFERROR(__xludf.DUMMYFUNCTION("""COMPUTED_VALUE"""),687.49)</f>
        <v/>
      </c>
      <c r="F140" s="141">
        <f>IFERROR(__xludf.DUMMYFUNCTION("""COMPUTED_VALUE"""),689.51)</f>
        <v/>
      </c>
      <c r="G140" s="143">
        <f>IFERROR(__xludf.DUMMYFUNCTION("""COMPUTED_VALUE"""),64019200)</f>
        <v/>
      </c>
      <c r="H140" s="27" t="n"/>
    </row>
    <row r="141" ht="17.25" customHeight="1" s="322">
      <c r="A141" s="27" t="n"/>
      <c r="B141" s="506">
        <f>IFERROR(__xludf.DUMMYFUNCTION("""COMPUTED_VALUE"""),46031.6666666666)</f>
        <v/>
      </c>
      <c r="C141" s="141">
        <f>IFERROR(__xludf.DUMMYFUNCTION("""COMPUTED_VALUE"""),690.63)</f>
        <v/>
      </c>
      <c r="D141" s="141">
        <f>IFERROR(__xludf.DUMMYFUNCTION("""COMPUTED_VALUE"""),695.31)</f>
        <v/>
      </c>
      <c r="E141" s="141">
        <f>IFERROR(__xludf.DUMMYFUNCTION("""COMPUTED_VALUE"""),689.18)</f>
        <v/>
      </c>
      <c r="F141" s="141">
        <f>IFERROR(__xludf.DUMMYFUNCTION("""COMPUTED_VALUE"""),694.07)</f>
        <v/>
      </c>
      <c r="G141" s="143">
        <f>IFERROR(__xludf.DUMMYFUNCTION("""COMPUTED_VALUE"""),80125467)</f>
        <v/>
      </c>
      <c r="H141" s="27" t="n"/>
    </row>
    <row r="142" ht="17.25" customHeight="1" s="322">
      <c r="A142" s="27" t="n"/>
      <c r="B142" s="506">
        <f>IFERROR(__xludf.DUMMYFUNCTION("""COMPUTED_VALUE"""),46034.6666666666)</f>
        <v/>
      </c>
      <c r="C142" s="141">
        <f>IFERROR(__xludf.DUMMYFUNCTION("""COMPUTED_VALUE"""),690.68)</f>
        <v/>
      </c>
      <c r="D142" s="141">
        <f>IFERROR(__xludf.DUMMYFUNCTION("""COMPUTED_VALUE"""),696.09)</f>
        <v/>
      </c>
      <c r="E142" s="141">
        <f>IFERROR(__xludf.DUMMYFUNCTION("""COMPUTED_VALUE"""),690.63)</f>
        <v/>
      </c>
      <c r="F142" s="141">
        <f>IFERROR(__xludf.DUMMYFUNCTION("""COMPUTED_VALUE"""),695.16)</f>
        <v/>
      </c>
      <c r="G142" s="143">
        <f>IFERROR(__xludf.DUMMYFUNCTION("""COMPUTED_VALUE"""),63976002)</f>
        <v/>
      </c>
      <c r="H142" s="27" t="n"/>
    </row>
    <row r="143" ht="17.25" customHeight="1" s="322">
      <c r="A143" s="27" t="n"/>
      <c r="B143" s="506">
        <f>IFERROR(__xludf.DUMMYFUNCTION("""COMPUTED_VALUE"""),46035.6666666666)</f>
        <v/>
      </c>
      <c r="C143" s="141">
        <f>IFERROR(__xludf.DUMMYFUNCTION("""COMPUTED_VALUE"""),695.49)</f>
        <v/>
      </c>
      <c r="D143" s="141">
        <f>IFERROR(__xludf.DUMMYFUNCTION("""COMPUTED_VALUE"""),696.09)</f>
        <v/>
      </c>
      <c r="E143" s="141">
        <f>IFERROR(__xludf.DUMMYFUNCTION("""COMPUTED_VALUE"""),691.35)</f>
        <v/>
      </c>
      <c r="F143" s="141">
        <f>IFERROR(__xludf.DUMMYFUNCTION("""COMPUTED_VALUE"""),693.77)</f>
        <v/>
      </c>
      <c r="G143" s="143">
        <f>IFERROR(__xludf.DUMMYFUNCTION("""COMPUTED_VALUE"""),78309726)</f>
        <v/>
      </c>
      <c r="H143" s="27" t="n"/>
    </row>
    <row r="144" ht="17.25" customHeight="1" s="322">
      <c r="A144" s="27" t="n"/>
      <c r="B144" s="506">
        <f>IFERROR(__xludf.DUMMYFUNCTION("""COMPUTED_VALUE"""),46036.6666666666)</f>
        <v/>
      </c>
      <c r="C144" s="141">
        <f>IFERROR(__xludf.DUMMYFUNCTION("""COMPUTED_VALUE"""),691)</f>
        <v/>
      </c>
      <c r="D144" s="141">
        <f>IFERROR(__xludf.DUMMYFUNCTION("""COMPUTED_VALUE"""),691.72)</f>
        <v/>
      </c>
      <c r="E144" s="141">
        <f>IFERROR(__xludf.DUMMYFUNCTION("""COMPUTED_VALUE"""),686.04)</f>
        <v/>
      </c>
      <c r="F144" s="141">
        <f>IFERROR(__xludf.DUMMYFUNCTION("""COMPUTED_VALUE"""),690.36)</f>
        <v/>
      </c>
      <c r="G144" s="143">
        <f>IFERROR(__xludf.DUMMYFUNCTION("""COMPUTED_VALUE"""),94676684)</f>
        <v/>
      </c>
      <c r="H144" s="27" t="n"/>
    </row>
    <row r="145" ht="17.25" customHeight="1" s="322">
      <c r="A145" s="27" t="n"/>
      <c r="B145" s="506">
        <f>IFERROR(__xludf.DUMMYFUNCTION("""COMPUTED_VALUE"""),46037.6666666666)</f>
        <v/>
      </c>
      <c r="C145" s="141">
        <f>IFERROR(__xludf.DUMMYFUNCTION("""COMPUTED_VALUE"""),694.57)</f>
        <v/>
      </c>
      <c r="D145" s="141">
        <f>IFERROR(__xludf.DUMMYFUNCTION("""COMPUTED_VALUE"""),695.45)</f>
        <v/>
      </c>
      <c r="E145" s="141">
        <f>IFERROR(__xludf.DUMMYFUNCTION("""COMPUTED_VALUE"""),691.25)</f>
        <v/>
      </c>
      <c r="F145" s="141">
        <f>IFERROR(__xludf.DUMMYFUNCTION("""COMPUTED_VALUE"""),692.24)</f>
        <v/>
      </c>
      <c r="G145" s="143">
        <f>IFERROR(__xludf.DUMMYFUNCTION("""COMPUTED_VALUE"""),77861974)</f>
        <v/>
      </c>
      <c r="H145" s="27" t="n"/>
    </row>
    <row r="146" ht="17.25" customHeight="1" s="322">
      <c r="A146" s="27" t="n"/>
      <c r="B146" s="506">
        <f>IFERROR(__xludf.DUMMYFUNCTION("""COMPUTED_VALUE"""),46038.6666666666)</f>
        <v/>
      </c>
      <c r="C146" s="141">
        <f>IFERROR(__xludf.DUMMYFUNCTION("""COMPUTED_VALUE"""),693.66)</f>
        <v/>
      </c>
      <c r="D146" s="141">
        <f>IFERROR(__xludf.DUMMYFUNCTION("""COMPUTED_VALUE"""),694.25)</f>
        <v/>
      </c>
      <c r="E146" s="141">
        <f>IFERROR(__xludf.DUMMYFUNCTION("""COMPUTED_VALUE"""),690.1)</f>
        <v/>
      </c>
      <c r="F146" s="141">
        <f>IFERROR(__xludf.DUMMYFUNCTION("""COMPUTED_VALUE"""),691.66)</f>
        <v/>
      </c>
      <c r="G146" s="143">
        <f>IFERROR(__xludf.DUMMYFUNCTION("""COMPUTED_VALUE"""),79289200)</f>
        <v/>
      </c>
      <c r="H146" s="27" t="n"/>
    </row>
    <row r="147" ht="17.25" customHeight="1" s="322">
      <c r="A147" s="27" t="n"/>
      <c r="B147" s="506">
        <f>IFERROR(__xludf.DUMMYFUNCTION("""COMPUTED_VALUE"""),46042.6666666666)</f>
        <v/>
      </c>
      <c r="C147" s="141">
        <f>IFERROR(__xludf.DUMMYFUNCTION("""COMPUTED_VALUE"""),681.49)</f>
        <v/>
      </c>
      <c r="D147" s="141">
        <f>IFERROR(__xludf.DUMMYFUNCTION("""COMPUTED_VALUE"""),684.77)</f>
        <v/>
      </c>
      <c r="E147" s="141">
        <f>IFERROR(__xludf.DUMMYFUNCTION("""COMPUTED_VALUE"""),676.57)</f>
        <v/>
      </c>
      <c r="F147" s="141">
        <f>IFERROR(__xludf.DUMMYFUNCTION("""COMPUTED_VALUE"""),677.58)</f>
        <v/>
      </c>
      <c r="G147" s="143">
        <f>IFERROR(__xludf.DUMMYFUNCTION("""COMPUTED_VALUE"""),111623277)</f>
        <v/>
      </c>
      <c r="H147" s="27" t="n"/>
    </row>
    <row r="148" ht="17.25" customHeight="1" s="322">
      <c r="A148" s="27" t="n"/>
      <c r="B148" s="506">
        <f>IFERROR(__xludf.DUMMYFUNCTION("""COMPUTED_VALUE"""),46043.6666666666)</f>
        <v/>
      </c>
      <c r="C148" s="141">
        <f>IFERROR(__xludf.DUMMYFUNCTION("""COMPUTED_VALUE"""),679.65)</f>
        <v/>
      </c>
      <c r="D148" s="141">
        <f>IFERROR(__xludf.DUMMYFUNCTION("""COMPUTED_VALUE"""),688.74)</f>
        <v/>
      </c>
      <c r="E148" s="141">
        <f>IFERROR(__xludf.DUMMYFUNCTION("""COMPUTED_VALUE"""),678.13)</f>
        <v/>
      </c>
      <c r="F148" s="141">
        <f>IFERROR(__xludf.DUMMYFUNCTION("""COMPUTED_VALUE"""),685.4)</f>
        <v/>
      </c>
      <c r="G148" s="143">
        <f>IFERROR(__xludf.DUMMYFUNCTION("""COMPUTED_VALUE"""),127844467)</f>
        <v/>
      </c>
      <c r="H148" s="27" t="n"/>
    </row>
    <row r="149" ht="17.25" customHeight="1" s="322">
      <c r="A149" s="27" t="n"/>
      <c r="B149" s="506">
        <f>IFERROR(__xludf.DUMMYFUNCTION("""COMPUTED_VALUE"""),46044.6666666666)</f>
        <v/>
      </c>
      <c r="C149" s="141">
        <f>IFERROR(__xludf.DUMMYFUNCTION("""COMPUTED_VALUE"""),689.85)</f>
        <v/>
      </c>
      <c r="D149" s="141">
        <f>IFERROR(__xludf.DUMMYFUNCTION("""COMPUTED_VALUE"""),691.13)</f>
        <v/>
      </c>
      <c r="E149" s="141">
        <f>IFERROR(__xludf.DUMMYFUNCTION("""COMPUTED_VALUE"""),686.92)</f>
        <v/>
      </c>
      <c r="F149" s="141">
        <f>IFERROR(__xludf.DUMMYFUNCTION("""COMPUTED_VALUE"""),688.98)</f>
        <v/>
      </c>
      <c r="G149" s="143">
        <f>IFERROR(__xludf.DUMMYFUNCTION("""COMPUTED_VALUE"""),77112243)</f>
        <v/>
      </c>
      <c r="H149" s="27" t="n"/>
    </row>
    <row r="150" ht="17.25" customHeight="1" s="322">
      <c r="A150" s="27" t="n"/>
      <c r="B150" s="506">
        <f>IFERROR(__xludf.DUMMYFUNCTION("""COMPUTED_VALUE"""),46045.6666666666)</f>
        <v/>
      </c>
      <c r="C150" s="141">
        <f>IFERROR(__xludf.DUMMYFUNCTION("""COMPUTED_VALUE"""),688.15)</f>
        <v/>
      </c>
      <c r="D150" s="141">
        <f>IFERROR(__xludf.DUMMYFUNCTION("""COMPUTED_VALUE"""),690.96)</f>
        <v/>
      </c>
      <c r="E150" s="141">
        <f>IFERROR(__xludf.DUMMYFUNCTION("""COMPUTED_VALUE"""),687.16)</f>
        <v/>
      </c>
      <c r="F150" s="141">
        <f>IFERROR(__xludf.DUMMYFUNCTION("""COMPUTED_VALUE"""),689.23)</f>
        <v/>
      </c>
      <c r="G150" s="143">
        <f>IFERROR(__xludf.DUMMYFUNCTION("""COMPUTED_VALUE"""),63059578)</f>
        <v/>
      </c>
      <c r="H150" s="27" t="n"/>
    </row>
    <row r="151" ht="17.25" customHeight="1" s="322">
      <c r="A151" s="27" t="n"/>
      <c r="B151" s="506">
        <f>IFERROR(__xludf.DUMMYFUNCTION("""COMPUTED_VALUE"""),46048.6666666666)</f>
        <v/>
      </c>
      <c r="C151" s="141">
        <f>IFERROR(__xludf.DUMMYFUNCTION("""COMPUTED_VALUE"""),690.49)</f>
        <v/>
      </c>
      <c r="D151" s="141">
        <f>IFERROR(__xludf.DUMMYFUNCTION("""COMPUTED_VALUE"""),694.13)</f>
        <v/>
      </c>
      <c r="E151" s="141">
        <f>IFERROR(__xludf.DUMMYFUNCTION("""COMPUTED_VALUE"""),689.92)</f>
        <v/>
      </c>
      <c r="F151" s="141">
        <f>IFERROR(__xludf.DUMMYFUNCTION("""COMPUTED_VALUE"""),692.73)</f>
        <v/>
      </c>
      <c r="G151" s="143">
        <f>IFERROR(__xludf.DUMMYFUNCTION("""COMPUTED_VALUE"""),60473813)</f>
        <v/>
      </c>
      <c r="H151" s="27" t="n"/>
    </row>
    <row r="152" ht="17.25" customHeight="1" s="322">
      <c r="A152" s="27" t="n"/>
      <c r="B152" s="506">
        <f>IFERROR(__xludf.DUMMYFUNCTION("""COMPUTED_VALUE"""),46049.6666666666)</f>
        <v/>
      </c>
      <c r="C152" s="141">
        <f>IFERROR(__xludf.DUMMYFUNCTION("""COMPUTED_VALUE"""),694.18)</f>
        <v/>
      </c>
      <c r="D152" s="141">
        <f>IFERROR(__xludf.DUMMYFUNCTION("""COMPUTED_VALUE"""),696.53)</f>
        <v/>
      </c>
      <c r="E152" s="141">
        <f>IFERROR(__xludf.DUMMYFUNCTION("""COMPUTED_VALUE"""),693.57)</f>
        <v/>
      </c>
      <c r="F152" s="141">
        <f>IFERROR(__xludf.DUMMYFUNCTION("""COMPUTED_VALUE"""),695.49)</f>
        <v/>
      </c>
      <c r="G152" s="143">
        <f>IFERROR(__xludf.DUMMYFUNCTION("""COMPUTED_VALUE"""),55506147)</f>
        <v/>
      </c>
      <c r="H152" s="27" t="n"/>
    </row>
    <row r="153" ht="17.25" customHeight="1" s="322">
      <c r="A153" s="27" t="n"/>
      <c r="B153" s="506">
        <f>IFERROR(__xludf.DUMMYFUNCTION("""COMPUTED_VALUE"""),46050.6666666666)</f>
        <v/>
      </c>
      <c r="C153" s="141">
        <f>IFERROR(__xludf.DUMMYFUNCTION("""COMPUTED_VALUE"""),697.05)</f>
        <v/>
      </c>
      <c r="D153" s="141">
        <f>IFERROR(__xludf.DUMMYFUNCTION("""COMPUTED_VALUE"""),697.84)</f>
        <v/>
      </c>
      <c r="E153" s="141">
        <f>IFERROR(__xludf.DUMMYFUNCTION("""COMPUTED_VALUE"""),693.94)</f>
        <v/>
      </c>
      <c r="F153" s="141">
        <f>IFERROR(__xludf.DUMMYFUNCTION("""COMPUTED_VALUE"""),695.42)</f>
        <v/>
      </c>
      <c r="G153" s="143">
        <f>IFERROR(__xludf.DUMMYFUNCTION("""COMPUTED_VALUE"""),61172165)</f>
        <v/>
      </c>
      <c r="H153" s="27" t="n"/>
    </row>
    <row r="154" ht="17.25" customHeight="1" s="322">
      <c r="A154" s="27" t="n"/>
      <c r="B154" s="506">
        <f>IFERROR(__xludf.DUMMYFUNCTION("""COMPUTED_VALUE"""),46051.6666666666)</f>
        <v/>
      </c>
      <c r="C154" s="141">
        <f>IFERROR(__xludf.DUMMYFUNCTION("""COMPUTED_VALUE"""),696.39)</f>
        <v/>
      </c>
      <c r="D154" s="141">
        <f>IFERROR(__xludf.DUMMYFUNCTION("""COMPUTED_VALUE"""),697.06)</f>
        <v/>
      </c>
      <c r="E154" s="141">
        <f>IFERROR(__xludf.DUMMYFUNCTION("""COMPUTED_VALUE"""),684.83)</f>
        <v/>
      </c>
      <c r="F154" s="141">
        <f>IFERROR(__xludf.DUMMYFUNCTION("""COMPUTED_VALUE"""),694.04)</f>
        <v/>
      </c>
      <c r="G154" s="143">
        <f>IFERROR(__xludf.DUMMYFUNCTION("""COMPUTED_VALUE"""),97486198)</f>
        <v/>
      </c>
      <c r="H154" s="27" t="n"/>
    </row>
    <row r="155" ht="17.25" customHeight="1" s="322">
      <c r="A155" s="27" t="n"/>
      <c r="B155" s="506">
        <f>IFERROR(__xludf.DUMMYFUNCTION("""COMPUTED_VALUE"""),46052.6666666666)</f>
        <v/>
      </c>
      <c r="C155" s="141">
        <f>IFERROR(__xludf.DUMMYFUNCTION("""COMPUTED_VALUE"""),691.79)</f>
        <v/>
      </c>
      <c r="D155" s="141">
        <f>IFERROR(__xludf.DUMMYFUNCTION("""COMPUTED_VALUE"""),694.21)</f>
        <v/>
      </c>
      <c r="E155" s="141">
        <f>IFERROR(__xludf.DUMMYFUNCTION("""COMPUTED_VALUE"""),687.12)</f>
        <v/>
      </c>
      <c r="F155" s="141">
        <f>IFERROR(__xludf.DUMMYFUNCTION("""COMPUTED_VALUE"""),691.97)</f>
        <v/>
      </c>
      <c r="G155" s="143">
        <f>IFERROR(__xludf.DUMMYFUNCTION("""COMPUTED_VALUE"""),101835131)</f>
        <v/>
      </c>
      <c r="H155" s="27" t="n"/>
    </row>
    <row r="156" ht="17.25" customHeight="1" s="322">
      <c r="A156" s="27" t="n"/>
      <c r="B156" s="506">
        <f>IFERROR(__xludf.DUMMYFUNCTION("""COMPUTED_VALUE"""),46055.6666666666)</f>
        <v/>
      </c>
      <c r="C156" s="141">
        <f>IFERROR(__xludf.DUMMYFUNCTION("""COMPUTED_VALUE"""),689.58)</f>
        <v/>
      </c>
      <c r="D156" s="141">
        <f>IFERROR(__xludf.DUMMYFUNCTION("""COMPUTED_VALUE"""),696.93)</f>
        <v/>
      </c>
      <c r="E156" s="141">
        <f>IFERROR(__xludf.DUMMYFUNCTION("""COMPUTED_VALUE"""),689.43)</f>
        <v/>
      </c>
      <c r="F156" s="141">
        <f>IFERROR(__xludf.DUMMYFUNCTION("""COMPUTED_VALUE"""),695.41)</f>
        <v/>
      </c>
      <c r="G156" s="143">
        <f>IFERROR(__xludf.DUMMYFUNCTION("""COMPUTED_VALUE"""),79286521)</f>
        <v/>
      </c>
      <c r="H156" s="27" t="n"/>
    </row>
    <row r="157" ht="17.25" customHeight="1" s="322">
      <c r="A157" s="27" t="n"/>
      <c r="B157" s="506">
        <f>IFERROR(__xludf.DUMMYFUNCTION("""COMPUTED_VALUE"""),46056.6666666666)</f>
        <v/>
      </c>
      <c r="C157" s="141">
        <f>IFERROR(__xludf.DUMMYFUNCTION("""COMPUTED_VALUE"""),696.21)</f>
        <v/>
      </c>
      <c r="D157" s="141">
        <f>IFERROR(__xludf.DUMMYFUNCTION("""COMPUTED_VALUE"""),696.96)</f>
        <v/>
      </c>
      <c r="E157" s="141">
        <f>IFERROR(__xludf.DUMMYFUNCTION("""COMPUTED_VALUE"""),684.03)</f>
        <v/>
      </c>
      <c r="F157" s="141">
        <f>IFERROR(__xludf.DUMMYFUNCTION("""COMPUTED_VALUE"""),689.53)</f>
        <v/>
      </c>
      <c r="G157" s="143">
        <f>IFERROR(__xludf.DUMMYFUNCTION("""COMPUTED_VALUE"""),107904611)</f>
        <v/>
      </c>
      <c r="H157" s="27" t="n"/>
    </row>
    <row r="158" ht="17.25" customHeight="1" s="322">
      <c r="A158" s="27" t="n"/>
      <c r="B158" s="506">
        <f>IFERROR(__xludf.DUMMYFUNCTION("""COMPUTED_VALUE"""),46057.6666666666)</f>
        <v/>
      </c>
      <c r="C158" s="141">
        <f>IFERROR(__xludf.DUMMYFUNCTION("""COMPUTED_VALUE"""),690.35)</f>
        <v/>
      </c>
      <c r="D158" s="141">
        <f>IFERROR(__xludf.DUMMYFUNCTION("""COMPUTED_VALUE"""),691.45)</f>
        <v/>
      </c>
      <c r="E158" s="141">
        <f>IFERROR(__xludf.DUMMYFUNCTION("""COMPUTED_VALUE"""),681.76)</f>
        <v/>
      </c>
      <c r="F158" s="141">
        <f>IFERROR(__xludf.DUMMYFUNCTION("""COMPUTED_VALUE"""),686.19)</f>
        <v/>
      </c>
      <c r="G158" s="143">
        <f>IFERROR(__xludf.DUMMYFUNCTION("""COMPUTED_VALUE"""),105204600)</f>
        <v/>
      </c>
      <c r="H158" s="27" t="n"/>
    </row>
    <row r="159" ht="17.25" customHeight="1" s="322">
      <c r="A159" s="27" t="n"/>
      <c r="B159" s="506">
        <f>IFERROR(__xludf.DUMMYFUNCTION("""COMPUTED_VALUE"""),46058.6666666666)</f>
        <v/>
      </c>
      <c r="C159" s="141">
        <f>IFERROR(__xludf.DUMMYFUNCTION("""COMPUTED_VALUE"""),680.94)</f>
        <v/>
      </c>
      <c r="D159" s="141">
        <f>IFERROR(__xludf.DUMMYFUNCTION("""COMPUTED_VALUE"""),683.69)</f>
        <v/>
      </c>
      <c r="E159" s="141">
        <f>IFERROR(__xludf.DUMMYFUNCTION("""COMPUTED_VALUE"""),675.79)</f>
        <v/>
      </c>
      <c r="F159" s="141">
        <f>IFERROR(__xludf.DUMMYFUNCTION("""COMPUTED_VALUE"""),677.62)</f>
        <v/>
      </c>
      <c r="G159" s="143">
        <f>IFERROR(__xludf.DUMMYFUNCTION("""COMPUTED_VALUE"""),113610812)</f>
        <v/>
      </c>
      <c r="H159" s="27" t="n"/>
    </row>
    <row r="160" ht="17.25" customHeight="1" s="322">
      <c r="A160" s="27" t="n"/>
      <c r="B160" s="506">
        <f>IFERROR(__xludf.DUMMYFUNCTION("""COMPUTED_VALUE"""),46059.6666666666)</f>
        <v/>
      </c>
      <c r="C160" s="141">
        <f>IFERROR(__xludf.DUMMYFUNCTION("""COMPUTED_VALUE"""),681.46)</f>
        <v/>
      </c>
      <c r="D160" s="141">
        <f>IFERROR(__xludf.DUMMYFUNCTION("""COMPUTED_VALUE"""),692.31)</f>
        <v/>
      </c>
      <c r="E160" s="141">
        <f>IFERROR(__xludf.DUMMYFUNCTION("""COMPUTED_VALUE"""),680.85)</f>
        <v/>
      </c>
      <c r="F160" s="141">
        <f>IFERROR(__xludf.DUMMYFUNCTION("""COMPUTED_VALUE"""),690.62)</f>
        <v/>
      </c>
      <c r="G160" s="143">
        <f>IFERROR(__xludf.DUMMYFUNCTION("""COMPUTED_VALUE"""),89127566)</f>
        <v/>
      </c>
      <c r="H160" s="27" t="n"/>
    </row>
    <row r="161" ht="17.25" customHeight="1" s="322">
      <c r="A161" s="27" t="n"/>
      <c r="B161" s="506">
        <f>IFERROR(__xludf.DUMMYFUNCTION("""COMPUTED_VALUE"""),46062.6666666666)</f>
        <v/>
      </c>
      <c r="C161" s="141">
        <f>IFERROR(__xludf.DUMMYFUNCTION("""COMPUTED_VALUE"""),689.42)</f>
        <v/>
      </c>
      <c r="D161" s="141">
        <f>IFERROR(__xludf.DUMMYFUNCTION("""COMPUTED_VALUE"""),695.87)</f>
        <v/>
      </c>
      <c r="E161" s="141">
        <f>IFERROR(__xludf.DUMMYFUNCTION("""COMPUTED_VALUE"""),688.34)</f>
        <v/>
      </c>
      <c r="F161" s="141">
        <f>IFERROR(__xludf.DUMMYFUNCTION("""COMPUTED_VALUE"""),693.95)</f>
        <v/>
      </c>
      <c r="G161" s="143">
        <f>IFERROR(__xludf.DUMMYFUNCTION("""COMPUTED_VALUE"""),73885192)</f>
        <v/>
      </c>
      <c r="H161" s="27" t="n"/>
    </row>
    <row r="162" ht="17.25" customHeight="1" s="322">
      <c r="A162" s="27" t="n"/>
      <c r="B162" s="506">
        <f>IFERROR(__xludf.DUMMYFUNCTION("""COMPUTED_VALUE"""),46063.6666666666)</f>
        <v/>
      </c>
      <c r="C162" s="141">
        <f>IFERROR(__xludf.DUMMYFUNCTION("""COMPUTED_VALUE"""),694.95)</f>
        <v/>
      </c>
      <c r="D162" s="141">
        <f>IFERROR(__xludf.DUMMYFUNCTION("""COMPUTED_VALUE"""),696.54)</f>
        <v/>
      </c>
      <c r="E162" s="141">
        <f>IFERROR(__xludf.DUMMYFUNCTION("""COMPUTED_VALUE"""),691.66)</f>
        <v/>
      </c>
      <c r="F162" s="141">
        <f>IFERROR(__xludf.DUMMYFUNCTION("""COMPUTED_VALUE"""),692.12)</f>
        <v/>
      </c>
      <c r="G162" s="143">
        <f>IFERROR(__xludf.DUMMYFUNCTION("""COMPUTED_VALUE"""),65185725)</f>
        <v/>
      </c>
      <c r="H162" s="27" t="n"/>
    </row>
    <row r="163" ht="17.25" customHeight="1" s="322">
      <c r="A163" s="27" t="n"/>
      <c r="B163" s="506">
        <f>IFERROR(__xludf.DUMMYFUNCTION("""COMPUTED_VALUE"""),46064.6666666666)</f>
        <v/>
      </c>
      <c r="C163" s="141">
        <f>IFERROR(__xludf.DUMMYFUNCTION("""COMPUTED_VALUE"""),696.39)</f>
        <v/>
      </c>
      <c r="D163" s="141">
        <f>IFERROR(__xludf.DUMMYFUNCTION("""COMPUTED_VALUE"""),697.14)</f>
        <v/>
      </c>
      <c r="E163" s="141">
        <f>IFERROR(__xludf.DUMMYFUNCTION("""COMPUTED_VALUE"""),689.18)</f>
        <v/>
      </c>
      <c r="F163" s="141">
        <f>IFERROR(__xludf.DUMMYFUNCTION("""COMPUTED_VALUE"""),691.96)</f>
        <v/>
      </c>
      <c r="G163" s="143">
        <f>IFERROR(__xludf.DUMMYFUNCTION("""COMPUTED_VALUE"""),76353872)</f>
        <v/>
      </c>
      <c r="H163" s="27" t="n"/>
    </row>
    <row r="164" ht="17.25" customHeight="1" s="322">
      <c r="A164" s="27" t="n"/>
      <c r="B164" s="506">
        <f>IFERROR(__xludf.DUMMYFUNCTION("""COMPUTED_VALUE"""),46065.6666666666)</f>
        <v/>
      </c>
      <c r="C164" s="141">
        <f>IFERROR(__xludf.DUMMYFUNCTION("""COMPUTED_VALUE"""),694.24)</f>
        <v/>
      </c>
      <c r="D164" s="141">
        <f>IFERROR(__xludf.DUMMYFUNCTION("""COMPUTED_VALUE"""),695.35)</f>
        <v/>
      </c>
      <c r="E164" s="141">
        <f>IFERROR(__xludf.DUMMYFUNCTION("""COMPUTED_VALUE"""),680.37)</f>
        <v/>
      </c>
      <c r="F164" s="141">
        <f>IFERROR(__xludf.DUMMYFUNCTION("""COMPUTED_VALUE"""),681.27)</f>
        <v/>
      </c>
      <c r="G164" s="143">
        <f>IFERROR(__xludf.DUMMYFUNCTION("""COMPUTED_VALUE"""),118828963)</f>
        <v/>
      </c>
      <c r="H164" s="27" t="n"/>
    </row>
    <row r="165" ht="17.25" customHeight="1" s="322">
      <c r="A165" s="27" t="n"/>
      <c r="B165" s="506">
        <f>IFERROR(__xludf.DUMMYFUNCTION("""COMPUTED_VALUE"""),46066.6666666666)</f>
        <v/>
      </c>
      <c r="C165" s="141">
        <f>IFERROR(__xludf.DUMMYFUNCTION("""COMPUTED_VALUE"""),681.69)</f>
        <v/>
      </c>
      <c r="D165" s="141">
        <f>IFERROR(__xludf.DUMMYFUNCTION("""COMPUTED_VALUE"""),686.28)</f>
        <v/>
      </c>
      <c r="E165" s="141">
        <f>IFERROR(__xludf.DUMMYFUNCTION("""COMPUTED_VALUE"""),677.52)</f>
        <v/>
      </c>
      <c r="F165" s="141">
        <f>IFERROR(__xludf.DUMMYFUNCTION("""COMPUTED_VALUE"""),681.75)</f>
        <v/>
      </c>
      <c r="G165" s="143">
        <f>IFERROR(__xludf.DUMMYFUNCTION("""COMPUTED_VALUE"""),96267487)</f>
        <v/>
      </c>
      <c r="H165" s="27" t="n"/>
    </row>
    <row r="166" ht="17.25" customHeight="1" s="322">
      <c r="A166" s="27" t="n"/>
      <c r="B166" s="506">
        <f>IFERROR(__xludf.DUMMYFUNCTION("""COMPUTED_VALUE"""),46070.6666666666)</f>
        <v/>
      </c>
      <c r="C166" s="141">
        <f>IFERROR(__xludf.DUMMYFUNCTION("""COMPUTED_VALUE"""),680.14)</f>
        <v/>
      </c>
      <c r="D166" s="141">
        <f>IFERROR(__xludf.DUMMYFUNCTION("""COMPUTED_VALUE"""),684.94)</f>
        <v/>
      </c>
      <c r="E166" s="141">
        <f>IFERROR(__xludf.DUMMYFUNCTION("""COMPUTED_VALUE"""),675.78)</f>
        <v/>
      </c>
      <c r="F166" s="141">
        <f>IFERROR(__xludf.DUMMYFUNCTION("""COMPUTED_VALUE"""),682.85)</f>
        <v/>
      </c>
      <c r="G166" s="143">
        <f>IFERROR(__xludf.DUMMYFUNCTION("""COMPUTED_VALUE"""),81354660)</f>
        <v/>
      </c>
      <c r="H166" s="27" t="n"/>
    </row>
    <row r="167" ht="17.25" customHeight="1" s="322">
      <c r="A167" s="27" t="n"/>
      <c r="B167" s="506">
        <f>IFERROR(__xludf.DUMMYFUNCTION("""COMPUTED_VALUE"""),46071.6666666666)</f>
        <v/>
      </c>
      <c r="C167" s="141">
        <f>IFERROR(__xludf.DUMMYFUNCTION("""COMPUTED_VALUE"""),684.02)</f>
        <v/>
      </c>
      <c r="D167" s="141">
        <f>IFERROR(__xludf.DUMMYFUNCTION("""COMPUTED_VALUE"""),689.15)</f>
        <v/>
      </c>
      <c r="E167" s="141">
        <f>IFERROR(__xludf.DUMMYFUNCTION("""COMPUTED_VALUE"""),682.83)</f>
        <v/>
      </c>
      <c r="F167" s="141">
        <f>IFERROR(__xludf.DUMMYFUNCTION("""COMPUTED_VALUE"""),686.29)</f>
        <v/>
      </c>
      <c r="G167" s="143">
        <f>IFERROR(__xludf.DUMMYFUNCTION("""COMPUTED_VALUE"""),73570341)</f>
        <v/>
      </c>
      <c r="H167" s="27" t="n"/>
    </row>
    <row r="168" ht="17.25" customHeight="1" s="322">
      <c r="A168" s="27" t="n"/>
      <c r="B168" s="506">
        <f>IFERROR(__xludf.DUMMYFUNCTION("""COMPUTED_VALUE"""),46072.6666666666)</f>
        <v/>
      </c>
      <c r="C168" s="141">
        <f>IFERROR(__xludf.DUMMYFUNCTION("""COMPUTED_VALUE"""),683.84)</f>
        <v/>
      </c>
      <c r="D168" s="141">
        <f>IFERROR(__xludf.DUMMYFUNCTION("""COMPUTED_VALUE"""),686.18)</f>
        <v/>
      </c>
      <c r="E168" s="141">
        <f>IFERROR(__xludf.DUMMYFUNCTION("""COMPUTED_VALUE"""),681.55)</f>
        <v/>
      </c>
      <c r="F168" s="141">
        <f>IFERROR(__xludf.DUMMYFUNCTION("""COMPUTED_VALUE"""),684.48)</f>
        <v/>
      </c>
      <c r="G168" s="143">
        <f>IFERROR(__xludf.DUMMYFUNCTION("""COMPUTED_VALUE"""),58649363)</f>
        <v/>
      </c>
      <c r="H168" s="27" t="n"/>
    </row>
    <row r="169" ht="17.25" customHeight="1" s="322">
      <c r="A169" s="27" t="n"/>
      <c r="B169" s="506">
        <f>IFERROR(__xludf.DUMMYFUNCTION("""COMPUTED_VALUE"""),46073.6666666666)</f>
        <v/>
      </c>
      <c r="C169" s="141">
        <f>IFERROR(__xludf.DUMMYFUNCTION("""COMPUTED_VALUE"""),682.32)</f>
        <v/>
      </c>
      <c r="D169" s="141">
        <f>IFERROR(__xludf.DUMMYFUNCTION("""COMPUTED_VALUE"""),690.06)</f>
        <v/>
      </c>
      <c r="E169" s="141">
        <f>IFERROR(__xludf.DUMMYFUNCTION("""COMPUTED_VALUE"""),681.73)</f>
        <v/>
      </c>
      <c r="F169" s="141">
        <f>IFERROR(__xludf.DUMMYFUNCTION("""COMPUTED_VALUE"""),689.43)</f>
        <v/>
      </c>
      <c r="G169" s="143">
        <f>IFERROR(__xludf.DUMMYFUNCTION("""COMPUTED_VALUE"""),100033986)</f>
        <v/>
      </c>
      <c r="H169" s="27" t="n"/>
    </row>
    <row r="170" ht="17.25" customHeight="1" s="322">
      <c r="A170" s="27" t="n"/>
      <c r="B170" s="506">
        <f>IFERROR(__xludf.DUMMYFUNCTION("""COMPUTED_VALUE"""),46076.6666666666)</f>
        <v/>
      </c>
      <c r="C170" s="141">
        <f>IFERROR(__xludf.DUMMYFUNCTION("""COMPUTED_VALUE"""),687.83)</f>
        <v/>
      </c>
      <c r="D170" s="141">
        <f>IFERROR(__xludf.DUMMYFUNCTION("""COMPUTED_VALUE"""),690)</f>
        <v/>
      </c>
      <c r="E170" s="141">
        <f>IFERROR(__xludf.DUMMYFUNCTION("""COMPUTED_VALUE"""),680.37)</f>
        <v/>
      </c>
      <c r="F170" s="141">
        <f>IFERROR(__xludf.DUMMYFUNCTION("""COMPUTED_VALUE"""),682.39)</f>
        <v/>
      </c>
      <c r="G170" s="143">
        <f>IFERROR(__xludf.DUMMYFUNCTION("""COMPUTED_VALUE"""),89784117)</f>
        <v/>
      </c>
      <c r="H170" s="27" t="n"/>
    </row>
    <row r="171" ht="17.25" customHeight="1" s="322">
      <c r="A171" s="27" t="n"/>
      <c r="B171" s="506">
        <f>IFERROR(__xludf.DUMMYFUNCTION("""COMPUTED_VALUE"""),46077.6666666666)</f>
        <v/>
      </c>
      <c r="C171" s="141">
        <f>IFERROR(__xludf.DUMMYFUNCTION("""COMPUTED_VALUE"""),681.9)</f>
        <v/>
      </c>
      <c r="D171" s="141">
        <f>IFERROR(__xludf.DUMMYFUNCTION("""COMPUTED_VALUE"""),688.35)</f>
        <v/>
      </c>
      <c r="E171" s="141">
        <f>IFERROR(__xludf.DUMMYFUNCTION("""COMPUTED_VALUE"""),680)</f>
        <v/>
      </c>
      <c r="F171" s="141">
        <f>IFERROR(__xludf.DUMMYFUNCTION("""COMPUTED_VALUE"""),687.35)</f>
        <v/>
      </c>
      <c r="G171" s="143">
        <f>IFERROR(__xludf.DUMMYFUNCTION("""COMPUTED_VALUE"""),72905715)</f>
        <v/>
      </c>
      <c r="H171" s="27" t="n"/>
    </row>
    <row r="172" ht="17.25" customHeight="1" s="322">
      <c r="A172" s="27" t="n"/>
      <c r="B172" s="506">
        <f>IFERROR(__xludf.DUMMYFUNCTION("""COMPUTED_VALUE"""),46078.6666666666)</f>
        <v/>
      </c>
      <c r="C172" s="141">
        <f>IFERROR(__xludf.DUMMYFUNCTION("""COMPUTED_VALUE"""),690.18)</f>
        <v/>
      </c>
      <c r="D172" s="141">
        <f>IFERROR(__xludf.DUMMYFUNCTION("""COMPUTED_VALUE"""),693.68)</f>
        <v/>
      </c>
      <c r="E172" s="141">
        <f>IFERROR(__xludf.DUMMYFUNCTION("""COMPUTED_VALUE"""),690.1)</f>
        <v/>
      </c>
      <c r="F172" s="141">
        <f>IFERROR(__xludf.DUMMYFUNCTION("""COMPUTED_VALUE"""),693.15)</f>
        <v/>
      </c>
      <c r="G172" s="143">
        <f>IFERROR(__xludf.DUMMYFUNCTION("""COMPUTED_VALUE"""),53984469)</f>
        <v/>
      </c>
      <c r="H172" s="27" t="n"/>
    </row>
    <row r="173" ht="17.25" customHeight="1" s="322">
      <c r="A173" s="27" t="n"/>
      <c r="B173" s="506">
        <f>IFERROR(__xludf.DUMMYFUNCTION("""COMPUTED_VALUE"""),46079.6666666666)</f>
        <v/>
      </c>
      <c r="C173" s="141">
        <f>IFERROR(__xludf.DUMMYFUNCTION("""COMPUTED_VALUE"""),693.28)</f>
        <v/>
      </c>
      <c r="D173" s="141">
        <f>IFERROR(__xludf.DUMMYFUNCTION("""COMPUTED_VALUE"""),693.3)</f>
        <v/>
      </c>
      <c r="E173" s="141">
        <f>IFERROR(__xludf.DUMMYFUNCTION("""COMPUTED_VALUE"""),684.35)</f>
        <v/>
      </c>
      <c r="F173" s="141">
        <f>IFERROR(__xludf.DUMMYFUNCTION("""COMPUTED_VALUE"""),689.3)</f>
        <v/>
      </c>
      <c r="G173" s="143">
        <f>IFERROR(__xludf.DUMMYFUNCTION("""COMPUTED_VALUE"""),69291390)</f>
        <v/>
      </c>
      <c r="H173" s="27" t="n"/>
    </row>
    <row r="174" ht="17.25" customHeight="1" s="322">
      <c r="A174" s="27" t="n"/>
      <c r="B174" s="506">
        <f>IFERROR(__xludf.DUMMYFUNCTION("""COMPUTED_VALUE"""),46080.6666666666)</f>
        <v/>
      </c>
      <c r="C174" s="141">
        <f>IFERROR(__xludf.DUMMYFUNCTION("""COMPUTED_VALUE"""),683.09)</f>
        <v/>
      </c>
      <c r="D174" s="141">
        <f>IFERROR(__xludf.DUMMYFUNCTION("""COMPUTED_VALUE"""),686.86)</f>
        <v/>
      </c>
      <c r="E174" s="141">
        <f>IFERROR(__xludf.DUMMYFUNCTION("""COMPUTED_VALUE"""),681.64)</f>
        <v/>
      </c>
      <c r="F174" s="141">
        <f>IFERROR(__xludf.DUMMYFUNCTION("""COMPUTED_VALUE"""),685.99)</f>
        <v/>
      </c>
      <c r="G174" s="143">
        <f>IFERROR(__xludf.DUMMYFUNCTION("""COMPUTED_VALUE"""),82303855)</f>
        <v/>
      </c>
      <c r="H174" s="27" t="n"/>
    </row>
    <row r="175" ht="17.25" customHeight="1" s="322">
      <c r="A175" s="27" t="n"/>
      <c r="B175" s="506">
        <f>IFERROR(__xludf.DUMMYFUNCTION("""COMPUTED_VALUE"""),46083.6666666666)</f>
        <v/>
      </c>
      <c r="C175" s="141">
        <f>IFERROR(__xludf.DUMMYFUNCTION("""COMPUTED_VALUE"""),678.7)</f>
        <v/>
      </c>
      <c r="D175" s="141">
        <f>IFERROR(__xludf.DUMMYFUNCTION("""COMPUTED_VALUE"""),688.62)</f>
        <v/>
      </c>
      <c r="E175" s="141">
        <f>IFERROR(__xludf.DUMMYFUNCTION("""COMPUTED_VALUE"""),678.02)</f>
        <v/>
      </c>
      <c r="F175" s="141">
        <f>IFERROR(__xludf.DUMMYFUNCTION("""COMPUTED_VALUE"""),686.38)</f>
        <v/>
      </c>
      <c r="G175" s="143">
        <f>IFERROR(__xludf.DUMMYFUNCTION("""COMPUTED_VALUE"""),86259545)</f>
        <v/>
      </c>
      <c r="H175" s="27" t="n"/>
    </row>
    <row r="176" ht="17.25" customHeight="1" s="322">
      <c r="A176" s="27" t="n"/>
      <c r="B176" s="506">
        <f>IFERROR(__xludf.DUMMYFUNCTION("""COMPUTED_VALUE"""),46084.6666666666)</f>
        <v/>
      </c>
      <c r="C176" s="141">
        <f>IFERROR(__xludf.DUMMYFUNCTION("""COMPUTED_VALUE"""),675.06)</f>
        <v/>
      </c>
      <c r="D176" s="141">
        <f>IFERROR(__xludf.DUMMYFUNCTION("""COMPUTED_VALUE"""),682.61)</f>
        <v/>
      </c>
      <c r="E176" s="141">
        <f>IFERROR(__xludf.DUMMYFUNCTION("""COMPUTED_VALUE"""),669.66)</f>
        <v/>
      </c>
      <c r="F176" s="141">
        <f>IFERROR(__xludf.DUMMYFUNCTION("""COMPUTED_VALUE"""),680.33)</f>
        <v/>
      </c>
      <c r="G176" s="143">
        <f>IFERROR(__xludf.DUMMYFUNCTION("""COMPUTED_VALUE"""),103522769)</f>
        <v/>
      </c>
      <c r="H176" s="27" t="n"/>
    </row>
    <row r="177" ht="17.25" customHeight="1" s="322">
      <c r="A177" s="27" t="n"/>
      <c r="B177" s="506">
        <f>IFERROR(__xludf.DUMMYFUNCTION("""COMPUTED_VALUE"""),46085.6666666666)</f>
        <v/>
      </c>
      <c r="C177" s="141">
        <f>IFERROR(__xludf.DUMMYFUNCTION("""COMPUTED_VALUE"""),681.63)</f>
        <v/>
      </c>
      <c r="D177" s="141">
        <f>IFERROR(__xludf.DUMMYFUNCTION("""COMPUTED_VALUE"""),687.09)</f>
        <v/>
      </c>
      <c r="E177" s="141">
        <f>IFERROR(__xludf.DUMMYFUNCTION("""COMPUTED_VALUE"""),679.62)</f>
        <v/>
      </c>
      <c r="F177" s="141">
        <f>IFERROR(__xludf.DUMMYFUNCTION("""COMPUTED_VALUE"""),685.13)</f>
        <v/>
      </c>
      <c r="G177" s="143">
        <f>IFERROR(__xludf.DUMMYFUNCTION("""COMPUTED_VALUE"""),78110000)</f>
        <v/>
      </c>
      <c r="H177" s="27" t="n"/>
    </row>
    <row r="178" ht="17.25" customHeight="1" s="322">
      <c r="A178" s="27" t="n"/>
      <c r="B178" s="506">
        <f>IFERROR(__xludf.DUMMYFUNCTION("""COMPUTED_VALUE"""),46086.6666666666)</f>
        <v/>
      </c>
      <c r="C178" s="141">
        <f>IFERROR(__xludf.DUMMYFUNCTION("""COMPUTED_VALUE"""),682.08)</f>
        <v/>
      </c>
      <c r="D178" s="141">
        <f>IFERROR(__xludf.DUMMYFUNCTION("""COMPUTED_VALUE"""),685.53)</f>
        <v/>
      </c>
      <c r="E178" s="141">
        <f>IFERROR(__xludf.DUMMYFUNCTION("""COMPUTED_VALUE"""),675.61)</f>
        <v/>
      </c>
      <c r="F178" s="141">
        <f>IFERROR(__xludf.DUMMYFUNCTION("""COMPUTED_VALUE"""),681.31)</f>
        <v/>
      </c>
      <c r="G178" s="143">
        <f>IFERROR(__xludf.DUMMYFUNCTION("""COMPUTED_VALUE"""),105164230)</f>
        <v/>
      </c>
      <c r="H178" s="27" t="n"/>
    </row>
    <row r="179" ht="17.25" customHeight="1" s="322">
      <c r="A179" s="27" t="n"/>
      <c r="B179" s="506">
        <f>IFERROR(__xludf.DUMMYFUNCTION("""COMPUTED_VALUE"""),46087.6666666666)</f>
        <v/>
      </c>
      <c r="C179" s="141">
        <f>IFERROR(__xludf.DUMMYFUNCTION("""COMPUTED_VALUE"""),673.41)</f>
        <v/>
      </c>
      <c r="D179" s="141">
        <f>IFERROR(__xludf.DUMMYFUNCTION("""COMPUTED_VALUE"""),676.11)</f>
        <v/>
      </c>
      <c r="E179" s="141">
        <f>IFERROR(__xludf.DUMMYFUNCTION("""COMPUTED_VALUE"""),669.76)</f>
        <v/>
      </c>
      <c r="F179" s="141">
        <f>IFERROR(__xludf.DUMMYFUNCTION("""COMPUTED_VALUE"""),672.38)</f>
        <v/>
      </c>
      <c r="G179" s="143">
        <f>IFERROR(__xludf.DUMMYFUNCTION("""COMPUTED_VALUE"""),99048189)</f>
        <v/>
      </c>
      <c r="H179" s="27" t="n"/>
    </row>
    <row r="180" ht="17.25" customHeight="1" s="322">
      <c r="A180" s="27" t="n"/>
      <c r="B180" s="506">
        <f>IFERROR(__xludf.DUMMYFUNCTION("""COMPUTED_VALUE"""),46090.6666666666)</f>
        <v/>
      </c>
      <c r="C180" s="141">
        <f>IFERROR(__xludf.DUMMYFUNCTION("""COMPUTED_VALUE"""),666.39)</f>
        <v/>
      </c>
      <c r="D180" s="141">
        <f>IFERROR(__xludf.DUMMYFUNCTION("""COMPUTED_VALUE"""),679.92)</f>
        <v/>
      </c>
      <c r="E180" s="141">
        <f>IFERROR(__xludf.DUMMYFUNCTION("""COMPUTED_VALUE"""),662.39)</f>
        <v/>
      </c>
      <c r="F180" s="141">
        <f>IFERROR(__xludf.DUMMYFUNCTION("""COMPUTED_VALUE"""),678.27)</f>
        <v/>
      </c>
      <c r="G180" s="143">
        <f>IFERROR(__xludf.DUMMYFUNCTION("""COMPUTED_VALUE"""),100534562)</f>
        <v/>
      </c>
      <c r="H180" s="27" t="n"/>
    </row>
    <row r="181" ht="17.25" customHeight="1" s="322">
      <c r="A181" s="27" t="n"/>
      <c r="B181" s="506">
        <f>IFERROR(__xludf.DUMMYFUNCTION("""COMPUTED_VALUE"""),46091.6666666666)</f>
        <v/>
      </c>
      <c r="C181" s="141">
        <f>IFERROR(__xludf.DUMMYFUNCTION("""COMPUTED_VALUE"""),677.72)</f>
        <v/>
      </c>
      <c r="D181" s="141">
        <f>IFERROR(__xludf.DUMMYFUNCTION("""COMPUTED_VALUE"""),683.36)</f>
        <v/>
      </c>
      <c r="E181" s="141">
        <f>IFERROR(__xludf.DUMMYFUNCTION("""COMPUTED_VALUE"""),674.76)</f>
        <v/>
      </c>
      <c r="F181" s="141">
        <f>IFERROR(__xludf.DUMMYFUNCTION("""COMPUTED_VALUE"""),677.18)</f>
        <v/>
      </c>
      <c r="G181" s="143">
        <f>IFERROR(__xludf.DUMMYFUNCTION("""COMPUTED_VALUE"""),80418042)</f>
        <v/>
      </c>
      <c r="H181" s="27" t="n"/>
    </row>
    <row r="182" ht="17.25" customHeight="1" s="322">
      <c r="A182" s="27" t="n"/>
      <c r="B182" s="506">
        <f>IFERROR(__xludf.DUMMYFUNCTION("""COMPUTED_VALUE"""),46092.6666666666)</f>
        <v/>
      </c>
      <c r="C182" s="141">
        <f>IFERROR(__xludf.DUMMYFUNCTION("""COMPUTED_VALUE"""),677.58)</f>
        <v/>
      </c>
      <c r="D182" s="141">
        <f>IFERROR(__xludf.DUMMYFUNCTION("""COMPUTED_VALUE"""),680.08)</f>
        <v/>
      </c>
      <c r="E182" s="141">
        <f>IFERROR(__xludf.DUMMYFUNCTION("""COMPUTED_VALUE"""),673.34)</f>
        <v/>
      </c>
      <c r="F182" s="141">
        <f>IFERROR(__xludf.DUMMYFUNCTION("""COMPUTED_VALUE"""),676.33)</f>
        <v/>
      </c>
      <c r="G182" s="143">
        <f>IFERROR(__xludf.DUMMYFUNCTION("""COMPUTED_VALUE"""),68441672)</f>
        <v/>
      </c>
      <c r="H182" s="27" t="n"/>
    </row>
    <row r="183" ht="17.25" customHeight="1" s="322">
      <c r="A183" s="27" t="n"/>
      <c r="B183" s="506">
        <f>IFERROR(__xludf.DUMMYFUNCTION("""COMPUTED_VALUE"""),46093.6666666666)</f>
        <v/>
      </c>
      <c r="C183" s="141">
        <f>IFERROR(__xludf.DUMMYFUNCTION("""COMPUTED_VALUE"""),671.16)</f>
        <v/>
      </c>
      <c r="D183" s="141">
        <f>IFERROR(__xludf.DUMMYFUNCTION("""COMPUTED_VALUE"""),671.65)</f>
        <v/>
      </c>
      <c r="E183" s="141">
        <f>IFERROR(__xludf.DUMMYFUNCTION("""COMPUTED_VALUE"""),665.87)</f>
        <v/>
      </c>
      <c r="F183" s="141">
        <f>IFERROR(__xludf.DUMMYFUNCTION("""COMPUTED_VALUE"""),666.06)</f>
        <v/>
      </c>
      <c r="G183" s="143">
        <f>IFERROR(__xludf.DUMMYFUNCTION("""COMPUTED_VALUE"""),108882247)</f>
        <v/>
      </c>
      <c r="H183" s="27" t="n"/>
    </row>
    <row r="184" ht="17.25" customHeight="1" s="322">
      <c r="A184" s="27" t="n"/>
      <c r="B184" s="506">
        <f>IFERROR(__xludf.DUMMYFUNCTION("""COMPUTED_VALUE"""),46094.6666666666)</f>
        <v/>
      </c>
      <c r="C184" s="141">
        <f>IFERROR(__xludf.DUMMYFUNCTION("""COMPUTED_VALUE"""),669.27)</f>
        <v/>
      </c>
      <c r="D184" s="141">
        <f>IFERROR(__xludf.DUMMYFUNCTION("""COMPUTED_VALUE"""),672.34)</f>
        <v/>
      </c>
      <c r="E184" s="141">
        <f>IFERROR(__xludf.DUMMYFUNCTION("""COMPUTED_VALUE"""),661.36)</f>
        <v/>
      </c>
      <c r="F184" s="141">
        <f>IFERROR(__xludf.DUMMYFUNCTION("""COMPUTED_VALUE"""),662.29)</f>
        <v/>
      </c>
      <c r="G184" s="143">
        <f>IFERROR(__xludf.DUMMYFUNCTION("""COMPUTED_VALUE"""),97200242)</f>
        <v/>
      </c>
      <c r="H184" s="27" t="n"/>
    </row>
    <row r="185" ht="17.25" customHeight="1" s="322">
      <c r="A185" s="27" t="n"/>
      <c r="B185" s="506">
        <f>IFERROR(__xludf.DUMMYFUNCTION("""COMPUTED_VALUE"""),46097.6666666666)</f>
        <v/>
      </c>
      <c r="C185" s="141">
        <f>IFERROR(__xludf.DUMMYFUNCTION("""COMPUTED_VALUE"""),668.38)</f>
        <v/>
      </c>
      <c r="D185" s="141">
        <f>IFERROR(__xludf.DUMMYFUNCTION("""COMPUTED_VALUE"""),672.07)</f>
        <v/>
      </c>
      <c r="E185" s="141">
        <f>IFERROR(__xludf.DUMMYFUNCTION("""COMPUTED_VALUE"""),667.12)</f>
        <v/>
      </c>
      <c r="F185" s="141">
        <f>IFERROR(__xludf.DUMMYFUNCTION("""COMPUTED_VALUE"""),669.03)</f>
        <v/>
      </c>
      <c r="G185" s="143">
        <f>IFERROR(__xludf.DUMMYFUNCTION("""COMPUTED_VALUE"""),82023130)</f>
        <v/>
      </c>
      <c r="H185" s="27" t="n"/>
    </row>
    <row r="186" ht="17.25" customHeight="1" s="322">
      <c r="A186" s="27" t="n"/>
      <c r="B186" s="506">
        <f>IFERROR(__xludf.DUMMYFUNCTION("""COMPUTED_VALUE"""),46098.6666666666)</f>
        <v/>
      </c>
      <c r="C186" s="141">
        <f>IFERROR(__xludf.DUMMYFUNCTION("""COMPUTED_VALUE"""),672.39)</f>
        <v/>
      </c>
      <c r="D186" s="141">
        <f>IFERROR(__xludf.DUMMYFUNCTION("""COMPUTED_VALUE"""),674.44)</f>
        <v/>
      </c>
      <c r="E186" s="141">
        <f>IFERROR(__xludf.DUMMYFUNCTION("""COMPUTED_VALUE"""),669.7)</f>
        <v/>
      </c>
      <c r="F186" s="141">
        <f>IFERROR(__xludf.DUMMYFUNCTION("""COMPUTED_VALUE"""),670.79)</f>
        <v/>
      </c>
      <c r="G186" s="143">
        <f>IFERROR(__xludf.DUMMYFUNCTION("""COMPUTED_VALUE"""),87128045)</f>
        <v/>
      </c>
      <c r="H186" s="27" t="n"/>
    </row>
    <row r="187" ht="17.25" customHeight="1" s="322">
      <c r="A187" s="27" t="n"/>
      <c r="B187" s="506">
        <f>IFERROR(__xludf.DUMMYFUNCTION("""COMPUTED_VALUE"""),46099.6666666666)</f>
        <v/>
      </c>
      <c r="C187" s="141">
        <f>IFERROR(__xludf.DUMMYFUNCTION("""COMPUTED_VALUE"""),668.36)</f>
        <v/>
      </c>
      <c r="D187" s="141">
        <f>IFERROR(__xludf.DUMMYFUNCTION("""COMPUTED_VALUE"""),669.72)</f>
        <v/>
      </c>
      <c r="E187" s="141">
        <f>IFERROR(__xludf.DUMMYFUNCTION("""COMPUTED_VALUE"""),661.19)</f>
        <v/>
      </c>
      <c r="F187" s="141">
        <f>IFERROR(__xludf.DUMMYFUNCTION("""COMPUTED_VALUE"""),661.43)</f>
        <v/>
      </c>
      <c r="G187" s="143">
        <f>IFERROR(__xludf.DUMMYFUNCTION("""COMPUTED_VALUE"""),82062577)</f>
        <v/>
      </c>
      <c r="H187" s="27" t="n"/>
    </row>
    <row r="188" ht="17.25" customHeight="1" s="322">
      <c r="A188" s="27" t="n"/>
      <c r="B188" s="506">
        <f>IFERROR(__xludf.DUMMYFUNCTION("""COMPUTED_VALUE"""),46100.6666666666)</f>
        <v/>
      </c>
      <c r="C188" s="141">
        <f>IFERROR(__xludf.DUMMYFUNCTION("""COMPUTED_VALUE"""),656.97)</f>
        <v/>
      </c>
      <c r="D188" s="141">
        <f>IFERROR(__xludf.DUMMYFUNCTION("""COMPUTED_VALUE"""),662.98)</f>
        <v/>
      </c>
      <c r="E188" s="141">
        <f>IFERROR(__xludf.DUMMYFUNCTION("""COMPUTED_VALUE"""),655.17)</f>
        <v/>
      </c>
      <c r="F188" s="141">
        <f>IFERROR(__xludf.DUMMYFUNCTION("""COMPUTED_VALUE"""),659.8)</f>
        <v/>
      </c>
      <c r="G188" s="143">
        <f>IFERROR(__xludf.DUMMYFUNCTION("""COMPUTED_VALUE"""),111272539)</f>
        <v/>
      </c>
      <c r="H188" s="27" t="n"/>
    </row>
    <row r="189" ht="17.25" customHeight="1" s="322">
      <c r="A189" s="27" t="n"/>
      <c r="B189" s="506">
        <f>IFERROR(__xludf.DUMMYFUNCTION("""COMPUTED_VALUE"""),46101.6666666666)</f>
        <v/>
      </c>
      <c r="C189" s="141">
        <f>IFERROR(__xludf.DUMMYFUNCTION("""COMPUTED_VALUE"""),656.51)</f>
        <v/>
      </c>
      <c r="D189" s="141">
        <f>IFERROR(__xludf.DUMMYFUNCTION("""COMPUTED_VALUE"""),656.69)</f>
        <v/>
      </c>
      <c r="E189" s="141">
        <f>IFERROR(__xludf.DUMMYFUNCTION("""COMPUTED_VALUE"""),644.72)</f>
        <v/>
      </c>
      <c r="F189" s="141">
        <f>IFERROR(__xludf.DUMMYFUNCTION("""COMPUTED_VALUE"""),648.57)</f>
        <v/>
      </c>
      <c r="G189" s="143">
        <f>IFERROR(__xludf.DUMMYFUNCTION("""COMPUTED_VALUE"""),163617523)</f>
        <v/>
      </c>
      <c r="H189" s="27" t="n"/>
    </row>
    <row r="190" ht="17.25" customHeight="1" s="322">
      <c r="A190" s="27" t="n"/>
      <c r="B190" s="506">
        <f>IFERROR(__xludf.DUMMYFUNCTION("""COMPUTED_VALUE"""),46104.6666666666)</f>
        <v/>
      </c>
      <c r="C190" s="141">
        <f>IFERROR(__xludf.DUMMYFUNCTION("""COMPUTED_VALUE"""),658.07)</f>
        <v/>
      </c>
      <c r="D190" s="141">
        <f>IFERROR(__xludf.DUMMYFUNCTION("""COMPUTED_VALUE"""),662.62)</f>
        <v/>
      </c>
      <c r="E190" s="141">
        <f>IFERROR(__xludf.DUMMYFUNCTION("""COMPUTED_VALUE"""),653.94)</f>
        <v/>
      </c>
      <c r="F190" s="141">
        <f>IFERROR(__xludf.DUMMYFUNCTION("""COMPUTED_VALUE"""),655.38)</f>
        <v/>
      </c>
      <c r="G190" s="143">
        <f>IFERROR(__xludf.DUMMYFUNCTION("""COMPUTED_VALUE"""),134802732)</f>
        <v/>
      </c>
      <c r="H190" s="27" t="n"/>
    </row>
    <row r="191" ht="17.25" customHeight="1" s="322">
      <c r="A191" s="27" t="n"/>
      <c r="B191" s="506">
        <f>IFERROR(__xludf.DUMMYFUNCTION("""COMPUTED_VALUE"""),46105.6666666666)</f>
        <v/>
      </c>
      <c r="C191" s="141">
        <f>IFERROR(__xludf.DUMMYFUNCTION("""COMPUTED_VALUE"""),651.32)</f>
        <v/>
      </c>
      <c r="D191" s="141">
        <f>IFERROR(__xludf.DUMMYFUNCTION("""COMPUTED_VALUE"""),657.03)</f>
        <v/>
      </c>
      <c r="E191" s="141">
        <f>IFERROR(__xludf.DUMMYFUNCTION("""COMPUTED_VALUE"""),649.88)</f>
        <v/>
      </c>
      <c r="F191" s="141">
        <f>IFERROR(__xludf.DUMMYFUNCTION("""COMPUTED_VALUE"""),653.18)</f>
        <v/>
      </c>
      <c r="G191" s="143">
        <f>IFERROR(__xludf.DUMMYFUNCTION("""COMPUTED_VALUE"""),96457478)</f>
        <v/>
      </c>
      <c r="H191" s="27" t="n"/>
    </row>
    <row r="192" ht="17.25" customHeight="1" s="322">
      <c r="A192" s="27" t="n"/>
      <c r="B192" s="506">
        <f>IFERROR(__xludf.DUMMYFUNCTION("""COMPUTED_VALUE"""),46106.6666666666)</f>
        <v/>
      </c>
      <c r="C192" s="141">
        <f>IFERROR(__xludf.DUMMYFUNCTION("""COMPUTED_VALUE"""),658.67)</f>
        <v/>
      </c>
      <c r="D192" s="141">
        <f>IFERROR(__xludf.DUMMYFUNCTION("""COMPUTED_VALUE"""),660.89)</f>
        <v/>
      </c>
      <c r="E192" s="141">
        <f>IFERROR(__xludf.DUMMYFUNCTION("""COMPUTED_VALUE"""),654.24)</f>
        <v/>
      </c>
      <c r="F192" s="141">
        <f>IFERROR(__xludf.DUMMYFUNCTION("""COMPUTED_VALUE"""),656.82)</f>
        <v/>
      </c>
      <c r="G192" s="143">
        <f>IFERROR(__xludf.DUMMYFUNCTION("""COMPUTED_VALUE"""),90653787)</f>
        <v/>
      </c>
      <c r="H192" s="27" t="n"/>
    </row>
    <row r="193" ht="17.25" customHeight="1" s="322">
      <c r="A193" s="27" t="n"/>
      <c r="B193" s="506">
        <f>IFERROR(__xludf.DUMMYFUNCTION("""COMPUTED_VALUE"""),46107.6666666666)</f>
        <v/>
      </c>
      <c r="C193" s="141">
        <f>IFERROR(__xludf.DUMMYFUNCTION("""COMPUTED_VALUE"""),652.06)</f>
        <v/>
      </c>
      <c r="D193" s="141">
        <f>IFERROR(__xludf.DUMMYFUNCTION("""COMPUTED_VALUE"""),654.85)</f>
        <v/>
      </c>
      <c r="E193" s="141">
        <f>IFERROR(__xludf.DUMMYFUNCTION("""COMPUTED_VALUE"""),644.82)</f>
        <v/>
      </c>
      <c r="F193" s="141">
        <f>IFERROR(__xludf.DUMMYFUNCTION("""COMPUTED_VALUE"""),645.09)</f>
        <v/>
      </c>
      <c r="G193" s="143">
        <f>IFERROR(__xludf.DUMMYFUNCTION("""COMPUTED_VALUE"""),96494375)</f>
        <v/>
      </c>
      <c r="H193" s="27" t="n"/>
    </row>
    <row r="194" ht="17.25" customHeight="1" s="322">
      <c r="A194" s="27" t="n"/>
      <c r="B194" s="506">
        <f>IFERROR(__xludf.DUMMYFUNCTION("""COMPUTED_VALUE"""),46108.6666666666)</f>
        <v/>
      </c>
      <c r="C194" s="141">
        <f>IFERROR(__xludf.DUMMYFUNCTION("""COMPUTED_VALUE"""),642.5)</f>
        <v/>
      </c>
      <c r="D194" s="141">
        <f>IFERROR(__xludf.DUMMYFUNCTION("""COMPUTED_VALUE"""),642.66)</f>
        <v/>
      </c>
      <c r="E194" s="141">
        <f>IFERROR(__xludf.DUMMYFUNCTION("""COMPUTED_VALUE"""),633.11)</f>
        <v/>
      </c>
      <c r="F194" s="141">
        <f>IFERROR(__xludf.DUMMYFUNCTION("""COMPUTED_VALUE"""),634.09)</f>
        <v/>
      </c>
      <c r="G194" s="143">
        <f>IFERROR(__xludf.DUMMYFUNCTION("""COMPUTED_VALUE"""),103649369)</f>
        <v/>
      </c>
      <c r="H194" s="27" t="n"/>
    </row>
    <row r="195" ht="17.25" customHeight="1" s="322">
      <c r="A195" s="27" t="n"/>
      <c r="B195" s="506">
        <f>IFERROR(__xludf.DUMMYFUNCTION("""COMPUTED_VALUE"""),46111.6666666666)</f>
        <v/>
      </c>
      <c r="C195" s="141">
        <f>IFERROR(__xludf.DUMMYFUNCTION("""COMPUTED_VALUE"""),640.11)</f>
        <v/>
      </c>
      <c r="D195" s="141">
        <f>IFERROR(__xludf.DUMMYFUNCTION("""COMPUTED_VALUE"""),640.37)</f>
        <v/>
      </c>
      <c r="E195" s="141">
        <f>IFERROR(__xludf.DUMMYFUNCTION("""COMPUTED_VALUE"""),629.28)</f>
        <v/>
      </c>
      <c r="F195" s="141">
        <f>IFERROR(__xludf.DUMMYFUNCTION("""COMPUTED_VALUE"""),631.97)</f>
        <v/>
      </c>
      <c r="G195" s="143">
        <f>IFERROR(__xludf.DUMMYFUNCTION("""COMPUTED_VALUE"""),99275851)</f>
        <v/>
      </c>
      <c r="H195" s="27" t="n"/>
    </row>
    <row r="196" ht="17.25" customHeight="1" s="322">
      <c r="A196" s="27" t="n"/>
      <c r="B196" s="506">
        <f>IFERROR(__xludf.DUMMYFUNCTION("""COMPUTED_VALUE"""),46112.6666666666)</f>
        <v/>
      </c>
      <c r="C196" s="141">
        <f>IFERROR(__xludf.DUMMYFUNCTION("""COMPUTED_VALUE"""),638.94)</f>
        <v/>
      </c>
      <c r="D196" s="141">
        <f>IFERROR(__xludf.DUMMYFUNCTION("""COMPUTED_VALUE"""),651.54)</f>
        <v/>
      </c>
      <c r="E196" s="141">
        <f>IFERROR(__xludf.DUMMYFUNCTION("""COMPUTED_VALUE"""),637.98)</f>
        <v/>
      </c>
      <c r="F196" s="141">
        <f>IFERROR(__xludf.DUMMYFUNCTION("""COMPUTED_VALUE"""),650.34)</f>
        <v/>
      </c>
      <c r="G196" s="143">
        <f>IFERROR(__xludf.DUMMYFUNCTION("""COMPUTED_VALUE"""),152534103)</f>
        <v/>
      </c>
      <c r="H196" s="27" t="n"/>
    </row>
    <row r="197" ht="17.25" customHeight="1" s="322">
      <c r="A197" s="27" t="n"/>
      <c r="B197" s="506">
        <f>IFERROR(__xludf.DUMMYFUNCTION("""COMPUTED_VALUE"""),46113.6666666666)</f>
        <v/>
      </c>
      <c r="C197" s="141">
        <f>IFERROR(__xludf.DUMMYFUNCTION("""COMPUTED_VALUE"""),653.9)</f>
        <v/>
      </c>
      <c r="D197" s="141">
        <f>IFERROR(__xludf.DUMMYFUNCTION("""COMPUTED_VALUE"""),658.52)</f>
        <v/>
      </c>
      <c r="E197" s="141">
        <f>IFERROR(__xludf.DUMMYFUNCTION("""COMPUTED_VALUE"""),653)</f>
        <v/>
      </c>
      <c r="F197" s="141">
        <f>IFERROR(__xludf.DUMMYFUNCTION("""COMPUTED_VALUE"""),655.24)</f>
        <v/>
      </c>
      <c r="G197" s="143">
        <f>IFERROR(__xludf.DUMMYFUNCTION("""COMPUTED_VALUE"""),97841472)</f>
        <v/>
      </c>
      <c r="H197" s="27" t="n"/>
    </row>
    <row r="198" ht="17.25" customHeight="1" s="322">
      <c r="A198" s="27" t="n"/>
      <c r="B198" s="506">
        <f>IFERROR(__xludf.DUMMYFUNCTION("""COMPUTED_VALUE"""),46114.6666666666)</f>
        <v/>
      </c>
      <c r="C198" s="141">
        <f>IFERROR(__xludf.DUMMYFUNCTION("""COMPUTED_VALUE"""),646.42)</f>
        <v/>
      </c>
      <c r="D198" s="141">
        <f>IFERROR(__xludf.DUMMYFUNCTION("""COMPUTED_VALUE"""),658.2)</f>
        <v/>
      </c>
      <c r="E198" s="141">
        <f>IFERROR(__xludf.DUMMYFUNCTION("""COMPUTED_VALUE"""),645.11)</f>
        <v/>
      </c>
      <c r="F198" s="141">
        <f>IFERROR(__xludf.DUMMYFUNCTION("""COMPUTED_VALUE"""),655.83)</f>
        <v/>
      </c>
      <c r="G198" s="143">
        <f>IFERROR(__xludf.DUMMYFUNCTION("""COMPUTED_VALUE"""),68358714)</f>
        <v/>
      </c>
      <c r="H198" s="27" t="n"/>
    </row>
    <row r="199" ht="17.25" customHeight="1" s="322">
      <c r="A199" s="27" t="n"/>
      <c r="B199" s="506">
        <f>IFERROR(__xludf.DUMMYFUNCTION("""COMPUTED_VALUE"""),46118.6666666666)</f>
        <v/>
      </c>
      <c r="C199" s="141">
        <f>IFERROR(__xludf.DUMMYFUNCTION("""COMPUTED_VALUE"""),655.86)</f>
        <v/>
      </c>
      <c r="D199" s="141">
        <f>IFERROR(__xludf.DUMMYFUNCTION("""COMPUTED_VALUE"""),659.72)</f>
        <v/>
      </c>
      <c r="E199" s="141">
        <f>IFERROR(__xludf.DUMMYFUNCTION("""COMPUTED_VALUE"""),655.52)</f>
        <v/>
      </c>
      <c r="F199" s="141">
        <f>IFERROR(__xludf.DUMMYFUNCTION("""COMPUTED_VALUE"""),658.93)</f>
        <v/>
      </c>
      <c r="G199" s="143">
        <f>IFERROR(__xludf.DUMMYFUNCTION("""COMPUTED_VALUE"""),39105759)</f>
        <v/>
      </c>
      <c r="H199" s="27" t="n"/>
    </row>
    <row r="200" ht="17.25" customHeight="1" s="322">
      <c r="A200" s="27" t="n"/>
      <c r="B200" s="506">
        <f>IFERROR(__xludf.DUMMYFUNCTION("""COMPUTED_VALUE"""),46119.6666666666)</f>
        <v/>
      </c>
      <c r="C200" s="141">
        <f>IFERROR(__xludf.DUMMYFUNCTION("""COMPUTED_VALUE"""),656.65)</f>
        <v/>
      </c>
      <c r="D200" s="141">
        <f>IFERROR(__xludf.DUMMYFUNCTION("""COMPUTED_VALUE"""),659.61)</f>
        <v/>
      </c>
      <c r="E200" s="141">
        <f>IFERROR(__xludf.DUMMYFUNCTION("""COMPUTED_VALUE"""),651.06)</f>
        <v/>
      </c>
      <c r="F200" s="141">
        <f>IFERROR(__xludf.DUMMYFUNCTION("""COMPUTED_VALUE"""),659.22)</f>
        <v/>
      </c>
      <c r="G200" s="143">
        <f>IFERROR(__xludf.DUMMYFUNCTION("""COMPUTED_VALUE"""),69980362)</f>
        <v/>
      </c>
      <c r="H200" s="27" t="n"/>
    </row>
    <row r="201" ht="17.25" customHeight="1" s="322">
      <c r="A201" s="27" t="n"/>
      <c r="B201" s="506">
        <f>IFERROR(__xludf.DUMMYFUNCTION("""COMPUTED_VALUE"""),46120.6666666666)</f>
        <v/>
      </c>
      <c r="C201" s="141">
        <f>IFERROR(__xludf.DUMMYFUNCTION("""COMPUTED_VALUE"""),676.39)</f>
        <v/>
      </c>
      <c r="D201" s="141">
        <f>IFERROR(__xludf.DUMMYFUNCTION("""COMPUTED_VALUE"""),677.08)</f>
        <v/>
      </c>
      <c r="E201" s="141">
        <f>IFERROR(__xludf.DUMMYFUNCTION("""COMPUTED_VALUE"""),671.46)</f>
        <v/>
      </c>
      <c r="F201" s="141">
        <f>IFERROR(__xludf.DUMMYFUNCTION("""COMPUTED_VALUE"""),676.01)</f>
        <v/>
      </c>
      <c r="G201" s="143">
        <f>IFERROR(__xludf.DUMMYFUNCTION("""COMPUTED_VALUE"""),93606115)</f>
        <v/>
      </c>
      <c r="H201" s="27" t="n"/>
    </row>
    <row r="202" ht="17.25" customHeight="1" s="322">
      <c r="A202" s="27" t="n"/>
      <c r="B202" s="506">
        <f>IFERROR(__xludf.DUMMYFUNCTION("""COMPUTED_VALUE"""),46121.6666666666)</f>
        <v/>
      </c>
      <c r="C202" s="141">
        <f>IFERROR(__xludf.DUMMYFUNCTION("""COMPUTED_VALUE"""),674.84)</f>
        <v/>
      </c>
      <c r="D202" s="141">
        <f>IFERROR(__xludf.DUMMYFUNCTION("""COMPUTED_VALUE"""),681.16)</f>
        <v/>
      </c>
      <c r="E202" s="141">
        <f>IFERROR(__xludf.DUMMYFUNCTION("""COMPUTED_VALUE"""),673.77)</f>
        <v/>
      </c>
      <c r="F202" s="141">
        <f>IFERROR(__xludf.DUMMYFUNCTION("""COMPUTED_VALUE"""),679.91)</f>
        <v/>
      </c>
      <c r="G202" s="143">
        <f>IFERROR(__xludf.DUMMYFUNCTION("""COMPUTED_VALUE"""),57134445)</f>
        <v/>
      </c>
      <c r="H202" s="27" t="n"/>
    </row>
    <row r="203" ht="17.25" customHeight="1" s="322">
      <c r="A203" s="27" t="n"/>
      <c r="B203" s="506">
        <f>IFERROR(__xludf.DUMMYFUNCTION("""COMPUTED_VALUE"""),46122.6666666666)</f>
        <v/>
      </c>
      <c r="C203" s="141">
        <f>IFERROR(__xludf.DUMMYFUNCTION("""COMPUTED_VALUE"""),681.32)</f>
        <v/>
      </c>
      <c r="D203" s="141">
        <f>IFERROR(__xludf.DUMMYFUNCTION("""COMPUTED_VALUE"""),682.03)</f>
        <v/>
      </c>
      <c r="E203" s="141">
        <f>IFERROR(__xludf.DUMMYFUNCTION("""COMPUTED_VALUE"""),678.45)</f>
        <v/>
      </c>
      <c r="F203" s="141">
        <f>IFERROR(__xludf.DUMMYFUNCTION("""COMPUTED_VALUE"""),679.46)</f>
        <v/>
      </c>
      <c r="G203" s="143">
        <f>IFERROR(__xludf.DUMMYFUNCTION("""COMPUTED_VALUE"""),42253457)</f>
        <v/>
      </c>
      <c r="H203" s="27" t="n"/>
    </row>
    <row r="204" ht="17.25" customHeight="1" s="322">
      <c r="A204" s="27" t="n"/>
      <c r="B204" s="506">
        <f>IFERROR(__xludf.DUMMYFUNCTION("""COMPUTED_VALUE"""),46125.6666666666)</f>
        <v/>
      </c>
      <c r="C204" s="141">
        <f>IFERROR(__xludf.DUMMYFUNCTION("""COMPUTED_VALUE"""),677.41)</f>
        <v/>
      </c>
      <c r="D204" s="141">
        <f>IFERROR(__xludf.DUMMYFUNCTION("""COMPUTED_VALUE"""),686.3)</f>
        <v/>
      </c>
      <c r="E204" s="141">
        <f>IFERROR(__xludf.DUMMYFUNCTION("""COMPUTED_VALUE"""),676.58)</f>
        <v/>
      </c>
      <c r="F204" s="141">
        <f>IFERROR(__xludf.DUMMYFUNCTION("""COMPUTED_VALUE"""),686.1)</f>
        <v/>
      </c>
      <c r="G204" s="143">
        <f>IFERROR(__xludf.DUMMYFUNCTION("""COMPUTED_VALUE"""),54185820)</f>
        <v/>
      </c>
      <c r="H204" s="27" t="n"/>
    </row>
    <row r="205" ht="17.25" customHeight="1" s="322">
      <c r="A205" s="27" t="n"/>
      <c r="B205" s="506">
        <f>IFERROR(__xludf.DUMMYFUNCTION("""COMPUTED_VALUE"""),46126.6666666666)</f>
        <v/>
      </c>
      <c r="C205" s="141">
        <f>IFERROR(__xludf.DUMMYFUNCTION("""COMPUTED_VALUE"""),687.69)</f>
        <v/>
      </c>
      <c r="D205" s="141">
        <f>IFERROR(__xludf.DUMMYFUNCTION("""COMPUTED_VALUE"""),694.58)</f>
        <v/>
      </c>
      <c r="E205" s="141">
        <f>IFERROR(__xludf.DUMMYFUNCTION("""COMPUTED_VALUE"""),687.66)</f>
        <v/>
      </c>
      <c r="F205" s="141">
        <f>IFERROR(__xludf.DUMMYFUNCTION("""COMPUTED_VALUE"""),694.46)</f>
        <v/>
      </c>
      <c r="G205" s="143">
        <f>IFERROR(__xludf.DUMMYFUNCTION("""COMPUTED_VALUE"""),63480529)</f>
        <v/>
      </c>
      <c r="H205" s="27" t="n"/>
    </row>
    <row r="206" ht="17.25" customHeight="1" s="322">
      <c r="A206" s="27" t="n"/>
      <c r="B206" s="506">
        <f>IFERROR(__xludf.DUMMYFUNCTION("""COMPUTED_VALUE"""),46127.6666666666)</f>
        <v/>
      </c>
      <c r="C206" s="141">
        <f>IFERROR(__xludf.DUMMYFUNCTION("""COMPUTED_VALUE"""),695.26)</f>
        <v/>
      </c>
      <c r="D206" s="141">
        <f>IFERROR(__xludf.DUMMYFUNCTION("""COMPUTED_VALUE"""),700.28)</f>
        <v/>
      </c>
      <c r="E206" s="141">
        <f>IFERROR(__xludf.DUMMYFUNCTION("""COMPUTED_VALUE"""),694.2)</f>
        <v/>
      </c>
      <c r="F206" s="141">
        <f>IFERROR(__xludf.DUMMYFUNCTION("""COMPUTED_VALUE"""),699.94)</f>
        <v/>
      </c>
      <c r="G206" s="143">
        <f>IFERROR(__xludf.DUMMYFUNCTION("""COMPUTED_VALUE"""),58240384)</f>
        <v/>
      </c>
      <c r="H206" s="27" t="n"/>
    </row>
    <row r="207" ht="17.25" customHeight="1" s="322">
      <c r="A207" s="27" t="n"/>
      <c r="B207" s="506">
        <f>IFERROR(__xludf.DUMMYFUNCTION("""COMPUTED_VALUE"""),46128.6666666666)</f>
        <v/>
      </c>
      <c r="C207" s="141">
        <f>IFERROR(__xludf.DUMMYFUNCTION("""COMPUTED_VALUE"""),701.06)</f>
        <v/>
      </c>
      <c r="D207" s="141">
        <f>IFERROR(__xludf.DUMMYFUNCTION("""COMPUTED_VALUE"""),702.78)</f>
        <v/>
      </c>
      <c r="E207" s="141">
        <f>IFERROR(__xludf.DUMMYFUNCTION("""COMPUTED_VALUE"""),698.53)</f>
        <v/>
      </c>
      <c r="F207" s="141">
        <f>IFERROR(__xludf.DUMMYFUNCTION("""COMPUTED_VALUE"""),701.66)</f>
        <v/>
      </c>
      <c r="G207" s="143">
        <f>IFERROR(__xludf.DUMMYFUNCTION("""COMPUTED_VALUE"""),49972364)</f>
        <v/>
      </c>
      <c r="H207" s="27" t="n"/>
    </row>
    <row r="208" ht="17.25" customHeight="1" s="322">
      <c r="A208" s="27" t="n"/>
      <c r="B208" s="506">
        <f>IFERROR(__xludf.DUMMYFUNCTION("""COMPUTED_VALUE"""),46129.6666666666)</f>
        <v/>
      </c>
      <c r="C208" s="141">
        <f>IFERROR(__xludf.DUMMYFUNCTION("""COMPUTED_VALUE"""),706.14)</f>
        <v/>
      </c>
      <c r="D208" s="141">
        <f>IFERROR(__xludf.DUMMYFUNCTION("""COMPUTED_VALUE"""),712.39)</f>
        <v/>
      </c>
      <c r="E208" s="141">
        <f>IFERROR(__xludf.DUMMYFUNCTION("""COMPUTED_VALUE"""),705.76)</f>
        <v/>
      </c>
      <c r="F208" s="141">
        <f>IFERROR(__xludf.DUMMYFUNCTION("""COMPUTED_VALUE"""),710.14)</f>
        <v/>
      </c>
      <c r="G208" s="143">
        <f>IFERROR(__xludf.DUMMYFUNCTION("""COMPUTED_VALUE"""),70661927)</f>
        <v/>
      </c>
      <c r="H208" s="27" t="n"/>
    </row>
    <row r="209" ht="17.25" customHeight="1" s="322">
      <c r="A209" s="27" t="n"/>
      <c r="B209" s="506">
        <f>IFERROR(__xludf.DUMMYFUNCTION("""COMPUTED_VALUE"""),46132.6666666666)</f>
        <v/>
      </c>
      <c r="C209" s="141">
        <f>IFERROR(__xludf.DUMMYFUNCTION("""COMPUTED_VALUE"""),708.78)</f>
        <v/>
      </c>
      <c r="D209" s="141">
        <f>IFERROR(__xludf.DUMMYFUNCTION("""COMPUTED_VALUE"""),709.91)</f>
        <v/>
      </c>
      <c r="E209" s="141">
        <f>IFERROR(__xludf.DUMMYFUNCTION("""COMPUTED_VALUE"""),706.14)</f>
        <v/>
      </c>
      <c r="F209" s="141">
        <f>IFERROR(__xludf.DUMMYFUNCTION("""COMPUTED_VALUE"""),708.72)</f>
        <v/>
      </c>
      <c r="G209" s="143">
        <f>IFERROR(__xludf.DUMMYFUNCTION("""COMPUTED_VALUE"""),43546812)</f>
        <v/>
      </c>
      <c r="H209" s="27" t="n"/>
    </row>
    <row r="210" ht="17.25" customHeight="1" s="322">
      <c r="A210" s="27" t="n"/>
      <c r="B210" s="506">
        <f>IFERROR(__xludf.DUMMYFUNCTION("""COMPUTED_VALUE"""),46133.6666666666)</f>
        <v/>
      </c>
      <c r="C210" s="141">
        <f>IFERROR(__xludf.DUMMYFUNCTION("""COMPUTED_VALUE"""),710.28)</f>
        <v/>
      </c>
      <c r="D210" s="141">
        <f>IFERROR(__xludf.DUMMYFUNCTION("""COMPUTED_VALUE"""),711.28)</f>
        <v/>
      </c>
      <c r="E210" s="141">
        <f>IFERROR(__xludf.DUMMYFUNCTION("""COMPUTED_VALUE"""),702.64)</f>
        <v/>
      </c>
      <c r="F210" s="141">
        <f>IFERROR(__xludf.DUMMYFUNCTION("""COMPUTED_VALUE"""),704.08)</f>
        <v/>
      </c>
      <c r="G210" s="143">
        <f>IFERROR(__xludf.DUMMYFUNCTION("""COMPUTED_VALUE"""),58941385)</f>
        <v/>
      </c>
      <c r="H210" s="27" t="n"/>
    </row>
    <row r="211" ht="17.25" customHeight="1" s="322">
      <c r="A211" s="27" t="n"/>
      <c r="B211" s="506">
        <f>IFERROR(__xludf.DUMMYFUNCTION("""COMPUTED_VALUE"""),46134.6666666666)</f>
        <v/>
      </c>
      <c r="C211" s="141">
        <f>IFERROR(__xludf.DUMMYFUNCTION("""COMPUTED_VALUE"""),709.15)</f>
        <v/>
      </c>
      <c r="D211" s="141">
        <f>IFERROR(__xludf.DUMMYFUNCTION("""COMPUTED_VALUE"""),711.45)</f>
        <v/>
      </c>
      <c r="E211" s="141">
        <f>IFERROR(__xludf.DUMMYFUNCTION("""COMPUTED_VALUE"""),708.22)</f>
        <v/>
      </c>
      <c r="F211" s="141">
        <f>IFERROR(__xludf.DUMMYFUNCTION("""COMPUTED_VALUE"""),711.21)</f>
        <v/>
      </c>
      <c r="G211" s="143">
        <f>IFERROR(__xludf.DUMMYFUNCTION("""COMPUTED_VALUE"""),42518498)</f>
        <v/>
      </c>
      <c r="H211" s="27" t="n"/>
    </row>
    <row r="212" ht="17.25" customHeight="1" s="322">
      <c r="A212" s="27" t="n"/>
      <c r="B212" s="506">
        <f>IFERROR(__xludf.DUMMYFUNCTION("""COMPUTED_VALUE"""),46135.6666666666)</f>
        <v/>
      </c>
      <c r="C212" s="141">
        <f>IFERROR(__xludf.DUMMYFUNCTION("""COMPUTED_VALUE"""),709.5)</f>
        <v/>
      </c>
      <c r="D212" s="141">
        <f>IFERROR(__xludf.DUMMYFUNCTION("""COMPUTED_VALUE"""),712.36)</f>
        <v/>
      </c>
      <c r="E212" s="141">
        <f>IFERROR(__xludf.DUMMYFUNCTION("""COMPUTED_VALUE"""),702.28)</f>
        <v/>
      </c>
      <c r="F212" s="141">
        <f>IFERROR(__xludf.DUMMYFUNCTION("""COMPUTED_VALUE"""),708.45)</f>
        <v/>
      </c>
      <c r="G212" s="143">
        <f>IFERROR(__xludf.DUMMYFUNCTION("""COMPUTED_VALUE"""),56173991)</f>
        <v/>
      </c>
      <c r="H212" s="27" t="n"/>
    </row>
    <row r="213" ht="17.25" customHeight="1" s="322">
      <c r="A213" s="27" t="n"/>
      <c r="B213" s="506">
        <f>IFERROR(__xludf.DUMMYFUNCTION("""COMPUTED_VALUE"""),46136.6666666666)</f>
        <v/>
      </c>
      <c r="C213" s="141">
        <f>IFERROR(__xludf.DUMMYFUNCTION("""COMPUTED_VALUE"""),710.75)</f>
        <v/>
      </c>
      <c r="D213" s="141">
        <f>IFERROR(__xludf.DUMMYFUNCTION("""COMPUTED_VALUE"""),714.47)</f>
        <v/>
      </c>
      <c r="E213" s="141">
        <f>IFERROR(__xludf.DUMMYFUNCTION("""COMPUTED_VALUE"""),709.01)</f>
        <v/>
      </c>
      <c r="F213" s="141">
        <f>IFERROR(__xludf.DUMMYFUNCTION("""COMPUTED_VALUE"""),713.94)</f>
        <v/>
      </c>
      <c r="G213" s="143">
        <f>IFERROR(__xludf.DUMMYFUNCTION("""COMPUTED_VALUE"""),45181957)</f>
        <v/>
      </c>
      <c r="H213" s="27" t="n"/>
    </row>
    <row r="214" ht="17.25" customHeight="1" s="322">
      <c r="A214" s="27" t="n"/>
      <c r="B214" s="506">
        <f>IFERROR(__xludf.DUMMYFUNCTION("""COMPUTED_VALUE"""),46139.6666666666)</f>
        <v/>
      </c>
      <c r="C214" s="141">
        <f>IFERROR(__xludf.DUMMYFUNCTION("""COMPUTED_VALUE"""),713.17)</f>
        <v/>
      </c>
      <c r="D214" s="141">
        <f>IFERROR(__xludf.DUMMYFUNCTION("""COMPUTED_VALUE"""),715.63)</f>
        <v/>
      </c>
      <c r="E214" s="141">
        <f>IFERROR(__xludf.DUMMYFUNCTION("""COMPUTED_VALUE"""),712.3)</f>
        <v/>
      </c>
      <c r="F214" s="141">
        <f>IFERROR(__xludf.DUMMYFUNCTION("""COMPUTED_VALUE"""),715.17)</f>
        <v/>
      </c>
      <c r="G214" s="143">
        <f>IFERROR(__xludf.DUMMYFUNCTION("""COMPUTED_VALUE"""),33135943)</f>
        <v/>
      </c>
      <c r="H214" s="27" t="n"/>
    </row>
    <row r="215" ht="17.25" customHeight="1" s="322">
      <c r="A215" s="27" t="n"/>
      <c r="B215" s="506">
        <f>IFERROR(__xludf.DUMMYFUNCTION("""COMPUTED_VALUE"""),46140.6666666666)</f>
        <v/>
      </c>
      <c r="C215" s="141">
        <f>IFERROR(__xludf.DUMMYFUNCTION("""COMPUTED_VALUE"""),711.82)</f>
        <v/>
      </c>
      <c r="D215" s="141">
        <f>IFERROR(__xludf.DUMMYFUNCTION("""COMPUTED_VALUE"""),712.88)</f>
        <v/>
      </c>
      <c r="E215" s="141">
        <f>IFERROR(__xludf.DUMMYFUNCTION("""COMPUTED_VALUE"""),709.25)</f>
        <v/>
      </c>
      <c r="F215" s="141">
        <f>IFERROR(__xludf.DUMMYFUNCTION("""COMPUTED_VALUE"""),711.69)</f>
        <v/>
      </c>
      <c r="G215" s="143">
        <f>IFERROR(__xludf.DUMMYFUNCTION("""COMPUTED_VALUE"""),43117437)</f>
        <v/>
      </c>
      <c r="H215" s="27" t="n"/>
    </row>
    <row r="216" ht="17.25" customHeight="1" s="322">
      <c r="A216" s="27" t="n"/>
      <c r="B216" s="506">
        <f>IFERROR(__xludf.DUMMYFUNCTION("""COMPUTED_VALUE"""),46141.6666666666)</f>
        <v/>
      </c>
      <c r="C216" s="141">
        <f>IFERROR(__xludf.DUMMYFUNCTION("""COMPUTED_VALUE"""),711)</f>
        <v/>
      </c>
      <c r="D216" s="141">
        <f>IFERROR(__xludf.DUMMYFUNCTION("""COMPUTED_VALUE"""),712.2)</f>
        <v/>
      </c>
      <c r="E216" s="141">
        <f>IFERROR(__xludf.DUMMYFUNCTION("""COMPUTED_VALUE"""),708.37)</f>
        <v/>
      </c>
      <c r="F216" s="141">
        <f>IFERROR(__xludf.DUMMYFUNCTION("""COMPUTED_VALUE"""),711.58)</f>
        <v/>
      </c>
      <c r="G216" s="143">
        <f>IFERROR(__xludf.DUMMYFUNCTION("""COMPUTED_VALUE"""),41859228)</f>
        <v/>
      </c>
      <c r="H216" s="27" t="n"/>
    </row>
    <row r="217" ht="17.25" customHeight="1" s="322">
      <c r="A217" s="27" t="n"/>
      <c r="B217" s="506">
        <f>IFERROR(__xludf.DUMMYFUNCTION("""COMPUTED_VALUE"""),46142.6666666666)</f>
        <v/>
      </c>
      <c r="C217" s="141">
        <f>IFERROR(__xludf.DUMMYFUNCTION("""COMPUTED_VALUE"""),714.63)</f>
        <v/>
      </c>
      <c r="D217" s="141">
        <f>IFERROR(__xludf.DUMMYFUNCTION("""COMPUTED_VALUE"""),719.79)</f>
        <v/>
      </c>
      <c r="E217" s="141">
        <f>IFERROR(__xludf.DUMMYFUNCTION("""COMPUTED_VALUE"""),710.45)</f>
        <v/>
      </c>
      <c r="F217" s="141">
        <f>IFERROR(__xludf.DUMMYFUNCTION("""COMPUTED_VALUE"""),718.66)</f>
        <v/>
      </c>
      <c r="G217" s="143">
        <f>IFERROR(__xludf.DUMMYFUNCTION("""COMPUTED_VALUE"""),67240949)</f>
        <v/>
      </c>
      <c r="H217" s="27" t="n"/>
    </row>
    <row r="218" ht="17.25" customHeight="1" s="322">
      <c r="A218" s="27" t="n"/>
      <c r="B218" s="506">
        <f>IFERROR(__xludf.DUMMYFUNCTION("""COMPUTED_VALUE"""),46143.6666666666)</f>
        <v/>
      </c>
      <c r="C218" s="141">
        <f>IFERROR(__xludf.DUMMYFUNCTION("""COMPUTED_VALUE"""),721.25)</f>
        <v/>
      </c>
      <c r="D218" s="141">
        <f>IFERROR(__xludf.DUMMYFUNCTION("""COMPUTED_VALUE"""),724.87)</f>
        <v/>
      </c>
      <c r="E218" s="141">
        <f>IFERROR(__xludf.DUMMYFUNCTION("""COMPUTED_VALUE"""),720.47)</f>
        <v/>
      </c>
      <c r="F218" s="141">
        <f>IFERROR(__xludf.DUMMYFUNCTION("""COMPUTED_VALUE"""),720.65)</f>
        <v/>
      </c>
      <c r="G218" s="143">
        <f>IFERROR(__xludf.DUMMYFUNCTION("""COMPUTED_VALUE"""),43049849)</f>
        <v/>
      </c>
      <c r="H218" s="27" t="n"/>
    </row>
    <row r="219" ht="17.25" customHeight="1" s="322">
      <c r="A219" s="27" t="n"/>
      <c r="B219" s="506">
        <f>IFERROR(__xludf.DUMMYFUNCTION("""COMPUTED_VALUE"""),46146.6666666666)</f>
        <v/>
      </c>
      <c r="C219" s="141">
        <f>IFERROR(__xludf.DUMMYFUNCTION("""COMPUTED_VALUE"""),720.07)</f>
        <v/>
      </c>
      <c r="D219" s="141">
        <f>IFERROR(__xludf.DUMMYFUNCTION("""COMPUTED_VALUE"""),722.12)</f>
        <v/>
      </c>
      <c r="E219" s="141">
        <f>IFERROR(__xludf.DUMMYFUNCTION("""COMPUTED_VALUE"""),714.99)</f>
        <v/>
      </c>
      <c r="F219" s="141">
        <f>IFERROR(__xludf.DUMMYFUNCTION("""COMPUTED_VALUE"""),718.01)</f>
        <v/>
      </c>
      <c r="G219" s="143">
        <f>IFERROR(__xludf.DUMMYFUNCTION("""COMPUTED_VALUE"""),51950559)</f>
        <v/>
      </c>
      <c r="H219" s="27" t="n"/>
    </row>
    <row r="220" ht="17.25" customHeight="1" s="322">
      <c r="A220" s="27" t="n"/>
      <c r="B220" s="506">
        <f>IFERROR(__xludf.DUMMYFUNCTION("""COMPUTED_VALUE"""),46147.6666666666)</f>
        <v/>
      </c>
      <c r="C220" s="141">
        <f>IFERROR(__xludf.DUMMYFUNCTION("""COMPUTED_VALUE"""),721.77)</f>
        <v/>
      </c>
      <c r="D220" s="141">
        <f>IFERROR(__xludf.DUMMYFUNCTION("""COMPUTED_VALUE"""),725.04)</f>
        <v/>
      </c>
      <c r="E220" s="141">
        <f>IFERROR(__xludf.DUMMYFUNCTION("""COMPUTED_VALUE"""),721.49)</f>
        <v/>
      </c>
      <c r="F220" s="141">
        <f>IFERROR(__xludf.DUMMYFUNCTION("""COMPUTED_VALUE"""),723.77)</f>
        <v/>
      </c>
      <c r="G220" s="143">
        <f>IFERROR(__xludf.DUMMYFUNCTION("""COMPUTED_VALUE"""),36933226)</f>
        <v/>
      </c>
      <c r="H220" s="27" t="n"/>
    </row>
    <row r="221" ht="17.25" customHeight="1" s="322">
      <c r="A221" s="27" t="n"/>
      <c r="B221" s="506">
        <f>IFERROR(__xludf.DUMMYFUNCTION("""COMPUTED_VALUE"""),46148.6666666666)</f>
        <v/>
      </c>
      <c r="C221" s="141">
        <f>IFERROR(__xludf.DUMMYFUNCTION("""COMPUTED_VALUE"""),728.16)</f>
        <v/>
      </c>
      <c r="D221" s="141">
        <f>IFERROR(__xludf.DUMMYFUNCTION("""COMPUTED_VALUE"""),734.59)</f>
        <v/>
      </c>
      <c r="E221" s="141">
        <f>IFERROR(__xludf.DUMMYFUNCTION("""COMPUTED_VALUE"""),727.82)</f>
        <v/>
      </c>
      <c r="F221" s="141">
        <f>IFERROR(__xludf.DUMMYFUNCTION("""COMPUTED_VALUE"""),733.83)</f>
        <v/>
      </c>
      <c r="G221" s="143">
        <f>IFERROR(__xludf.DUMMYFUNCTION("""COMPUTED_VALUE"""),53288941)</f>
        <v/>
      </c>
      <c r="H221" s="27" t="n"/>
    </row>
    <row r="222" ht="17.25" customHeight="1" s="322">
      <c r="A222" s="27" t="n"/>
      <c r="B222" s="506">
        <f>IFERROR(__xludf.DUMMYFUNCTION("""COMPUTED_VALUE"""),46149.6666666666)</f>
        <v/>
      </c>
      <c r="C222" s="141">
        <f>IFERROR(__xludf.DUMMYFUNCTION("""COMPUTED_VALUE"""),735.05)</f>
        <v/>
      </c>
      <c r="D222" s="141">
        <f>IFERROR(__xludf.DUMMYFUNCTION("""COMPUTED_VALUE"""),736.13)</f>
        <v/>
      </c>
      <c r="E222" s="141">
        <f>IFERROR(__xludf.DUMMYFUNCTION("""COMPUTED_VALUE"""),729.75)</f>
        <v/>
      </c>
      <c r="F222" s="141">
        <f>IFERROR(__xludf.DUMMYFUNCTION("""COMPUTED_VALUE"""),731.58)</f>
        <v/>
      </c>
      <c r="G222" s="143">
        <f>IFERROR(__xludf.DUMMYFUNCTION("""COMPUTED_VALUE"""),51724643)</f>
        <v/>
      </c>
      <c r="H222" s="27" t="n"/>
    </row>
    <row r="223" ht="17.25" customHeight="1" s="322">
      <c r="A223" s="27" t="n"/>
      <c r="B223" s="506">
        <f>IFERROR(__xludf.DUMMYFUNCTION("""COMPUTED_VALUE"""),46150.6666666666)</f>
        <v/>
      </c>
      <c r="C223" s="141">
        <f>IFERROR(__xludf.DUMMYFUNCTION("""COMPUTED_VALUE"""),734.93)</f>
        <v/>
      </c>
      <c r="D223" s="141">
        <f>IFERROR(__xludf.DUMMYFUNCTION("""COMPUTED_VALUE"""),738.08)</f>
        <v/>
      </c>
      <c r="E223" s="141">
        <f>IFERROR(__xludf.DUMMYFUNCTION("""COMPUTED_VALUE"""),734.57)</f>
        <v/>
      </c>
      <c r="F223" s="141">
        <f>IFERROR(__xludf.DUMMYFUNCTION("""COMPUTED_VALUE"""),737.62)</f>
        <v/>
      </c>
      <c r="G223" s="143">
        <f>IFERROR(__xludf.DUMMYFUNCTION("""COMPUTED_VALUE"""),47227085)</f>
        <v/>
      </c>
      <c r="H223" s="27" t="n"/>
    </row>
    <row r="224" ht="17.25" customHeight="1" s="322">
      <c r="A224" s="27" t="n"/>
      <c r="B224" s="506">
        <f>IFERROR(__xludf.DUMMYFUNCTION("""COMPUTED_VALUE"""),46153.6666666666)</f>
        <v/>
      </c>
      <c r="C224" s="141">
        <f>IFERROR(__xludf.DUMMYFUNCTION("""COMPUTED_VALUE"""),736.45)</f>
        <v/>
      </c>
      <c r="D224" s="141">
        <f>IFERROR(__xludf.DUMMYFUNCTION("""COMPUTED_VALUE"""),740.79)</f>
        <v/>
      </c>
      <c r="E224" s="141">
        <f>IFERROR(__xludf.DUMMYFUNCTION("""COMPUTED_VALUE"""),736.45)</f>
        <v/>
      </c>
      <c r="F224" s="141">
        <f>IFERROR(__xludf.DUMMYFUNCTION("""COMPUTED_VALUE"""),739.3)</f>
        <v/>
      </c>
      <c r="G224" s="143">
        <f>IFERROR(__xludf.DUMMYFUNCTION("""COMPUTED_VALUE"""),44023952)</f>
        <v/>
      </c>
      <c r="H224" s="27" t="n"/>
    </row>
    <row r="225" ht="17.25" customHeight="1" s="322">
      <c r="A225" s="27" t="n"/>
      <c r="B225" s="506">
        <f>IFERROR(__xludf.DUMMYFUNCTION("""COMPUTED_VALUE"""),46154.6666666666)</f>
        <v/>
      </c>
      <c r="C225" s="141">
        <f>IFERROR(__xludf.DUMMYFUNCTION("""COMPUTED_VALUE"""),736.89)</f>
        <v/>
      </c>
      <c r="D225" s="141">
        <f>IFERROR(__xludf.DUMMYFUNCTION("""COMPUTED_VALUE"""),738.84)</f>
        <v/>
      </c>
      <c r="E225" s="141">
        <f>IFERROR(__xludf.DUMMYFUNCTION("""COMPUTED_VALUE"""),731.83)</f>
        <v/>
      </c>
      <c r="F225" s="141">
        <f>IFERROR(__xludf.DUMMYFUNCTION("""COMPUTED_VALUE"""),738.18)</f>
        <v/>
      </c>
      <c r="G225" s="143">
        <f>IFERROR(__xludf.DUMMYFUNCTION("""COMPUTED_VALUE"""),54185274)</f>
        <v/>
      </c>
      <c r="H225" s="27" t="n"/>
    </row>
    <row r="226" ht="17.25" customHeight="1" s="322">
      <c r="A226" s="27" t="n"/>
      <c r="B226" s="506">
        <f>IFERROR(__xludf.DUMMYFUNCTION("""COMPUTED_VALUE"""),46155.6666666666)</f>
        <v/>
      </c>
      <c r="C226" s="141">
        <f>IFERROR(__xludf.DUMMYFUNCTION("""COMPUTED_VALUE"""),738.47)</f>
        <v/>
      </c>
      <c r="D226" s="141">
        <f>IFERROR(__xludf.DUMMYFUNCTION("""COMPUTED_VALUE"""),743.91)</f>
        <v/>
      </c>
      <c r="E226" s="141">
        <f>IFERROR(__xludf.DUMMYFUNCTION("""COMPUTED_VALUE"""),735.47)</f>
        <v/>
      </c>
      <c r="F226" s="141">
        <f>IFERROR(__xludf.DUMMYFUNCTION("""COMPUTED_VALUE"""),742.31)</f>
        <v/>
      </c>
      <c r="G226" s="143">
        <f>IFERROR(__xludf.DUMMYFUNCTION("""COMPUTED_VALUE"""),44200203)</f>
        <v/>
      </c>
      <c r="H226" s="27" t="n"/>
    </row>
    <row r="227" ht="17.25" customHeight="1" s="322">
      <c r="A227" s="27" t="n"/>
      <c r="B227" s="506">
        <f>IFERROR(__xludf.DUMMYFUNCTION("""COMPUTED_VALUE"""),46156.6666666666)</f>
        <v/>
      </c>
      <c r="C227" s="141">
        <f>IFERROR(__xludf.DUMMYFUNCTION("""COMPUTED_VALUE"""),743.65)</f>
        <v/>
      </c>
      <c r="D227" s="141">
        <f>IFERROR(__xludf.DUMMYFUNCTION("""COMPUTED_VALUE"""),749.53)</f>
        <v/>
      </c>
      <c r="E227" s="141">
        <f>IFERROR(__xludf.DUMMYFUNCTION("""COMPUTED_VALUE"""),743.56)</f>
        <v/>
      </c>
      <c r="F227" s="141">
        <f>IFERROR(__xludf.DUMMYFUNCTION("""COMPUTED_VALUE"""),748.17)</f>
        <v/>
      </c>
      <c r="G227" s="143">
        <f>IFERROR(__xludf.DUMMYFUNCTION("""COMPUTED_VALUE"""),45307604)</f>
        <v/>
      </c>
      <c r="H227" s="27" t="n"/>
    </row>
    <row r="228" ht="17.25" customHeight="1" s="322">
      <c r="A228" s="27" t="n"/>
      <c r="B228" s="506">
        <f>IFERROR(__xludf.DUMMYFUNCTION("""COMPUTED_VALUE"""),46157.6666666666)</f>
        <v/>
      </c>
      <c r="C228" s="141">
        <f>IFERROR(__xludf.DUMMYFUNCTION("""COMPUTED_VALUE"""),741.79)</f>
        <v/>
      </c>
      <c r="D228" s="141">
        <f>IFERROR(__xludf.DUMMYFUNCTION("""COMPUTED_VALUE"""),743.46)</f>
        <v/>
      </c>
      <c r="E228" s="141">
        <f>IFERROR(__xludf.DUMMYFUNCTION("""COMPUTED_VALUE"""),737.96)</f>
        <v/>
      </c>
      <c r="F228" s="141">
        <f>IFERROR(__xludf.DUMMYFUNCTION("""COMPUTED_VALUE"""),739.17)</f>
        <v/>
      </c>
      <c r="G228" s="143">
        <f>IFERROR(__xludf.DUMMYFUNCTION("""COMPUTED_VALUE"""),60410772)</f>
        <v/>
      </c>
      <c r="H228" s="27" t="n"/>
    </row>
    <row r="229" ht="17.25" customHeight="1" s="322">
      <c r="A229" s="27" t="n"/>
      <c r="B229" s="506">
        <f>IFERROR(__xludf.DUMMYFUNCTION("""COMPUTED_VALUE"""),46160.6666666666)</f>
        <v/>
      </c>
      <c r="C229" s="141">
        <f>IFERROR(__xludf.DUMMYFUNCTION("""COMPUTED_VALUE"""),739.83)</f>
        <v/>
      </c>
      <c r="D229" s="141">
        <f>IFERROR(__xludf.DUMMYFUNCTION("""COMPUTED_VALUE"""),741.42)</f>
        <v/>
      </c>
      <c r="E229" s="141">
        <f>IFERROR(__xludf.DUMMYFUNCTION("""COMPUTED_VALUE"""),733.39)</f>
        <v/>
      </c>
      <c r="F229" s="141">
        <f>IFERROR(__xludf.DUMMYFUNCTION("""COMPUTED_VALUE"""),738.65)</f>
        <v/>
      </c>
      <c r="G229" s="143">
        <f>IFERROR(__xludf.DUMMYFUNCTION("""COMPUTED_VALUE"""),47843866)</f>
        <v/>
      </c>
      <c r="H229" s="27" t="n"/>
    </row>
    <row r="230" ht="17.25" customHeight="1" s="322">
      <c r="A230" s="27" t="n"/>
      <c r="B230" s="506">
        <f>IFERROR(__xludf.DUMMYFUNCTION("""COMPUTED_VALUE"""),46161.6666666666)</f>
        <v/>
      </c>
      <c r="C230" s="141">
        <f>IFERROR(__xludf.DUMMYFUNCTION("""COMPUTED_VALUE"""),734.78)</f>
        <v/>
      </c>
      <c r="D230" s="141">
        <f>IFERROR(__xludf.DUMMYFUNCTION("""COMPUTED_VALUE"""),737.65)</f>
        <v/>
      </c>
      <c r="E230" s="141">
        <f>IFERROR(__xludf.DUMMYFUNCTION("""COMPUTED_VALUE"""),731.53)</f>
        <v/>
      </c>
      <c r="F230" s="141">
        <f>IFERROR(__xludf.DUMMYFUNCTION("""COMPUTED_VALUE"""),733.73)</f>
        <v/>
      </c>
      <c r="G230" s="143">
        <f>IFERROR(__xludf.DUMMYFUNCTION("""COMPUTED_VALUE"""),54255914)</f>
        <v/>
      </c>
      <c r="H230" s="27" t="n"/>
    </row>
    <row r="231" ht="17.25" customHeight="1" s="322">
      <c r="A231" s="27" t="n"/>
      <c r="B231" s="506">
        <f>IFERROR(__xludf.DUMMYFUNCTION("""COMPUTED_VALUE"""),46162.6666666666)</f>
        <v/>
      </c>
      <c r="C231" s="141">
        <f>IFERROR(__xludf.DUMMYFUNCTION("""COMPUTED_VALUE"""),735.71)</f>
        <v/>
      </c>
      <c r="D231" s="141">
        <f>IFERROR(__xludf.DUMMYFUNCTION("""COMPUTED_VALUE"""),741.87)</f>
        <v/>
      </c>
      <c r="E231" s="141">
        <f>IFERROR(__xludf.DUMMYFUNCTION("""COMPUTED_VALUE"""),733.89)</f>
        <v/>
      </c>
      <c r="F231" s="141">
        <f>IFERROR(__xludf.DUMMYFUNCTION("""COMPUTED_VALUE"""),741.25)</f>
        <v/>
      </c>
      <c r="G231" s="143">
        <f>IFERROR(__xludf.DUMMYFUNCTION("""COMPUTED_VALUE"""),45768036)</f>
        <v/>
      </c>
      <c r="H231" s="27" t="n"/>
    </row>
    <row r="232" ht="17.25" customHeight="1" s="322">
      <c r="A232" s="27" t="n"/>
      <c r="B232" s="506">
        <f>IFERROR(__xludf.DUMMYFUNCTION("""COMPUTED_VALUE"""),46163.6666666666)</f>
        <v/>
      </c>
      <c r="C232" s="141">
        <f>IFERROR(__xludf.DUMMYFUNCTION("""COMPUTED_VALUE"""),738.64)</f>
        <v/>
      </c>
      <c r="D232" s="141">
        <f>IFERROR(__xludf.DUMMYFUNCTION("""COMPUTED_VALUE"""),744.87)</f>
        <v/>
      </c>
      <c r="E232" s="141">
        <f>IFERROR(__xludf.DUMMYFUNCTION("""COMPUTED_VALUE"""),737.03)</f>
        <v/>
      </c>
      <c r="F232" s="141">
        <f>IFERROR(__xludf.DUMMYFUNCTION("""COMPUTED_VALUE"""),742.72)</f>
        <v/>
      </c>
      <c r="G232" s="143">
        <f>IFERROR(__xludf.DUMMYFUNCTION("""COMPUTED_VALUE"""),43332226)</f>
        <v/>
      </c>
      <c r="H232" s="27" t="n"/>
    </row>
    <row r="233" ht="17.25" customHeight="1" s="322">
      <c r="A233" s="27" t="n"/>
      <c r="B233" s="506">
        <f>IFERROR(__xludf.DUMMYFUNCTION("""COMPUTED_VALUE"""),46164.6666666666)</f>
        <v/>
      </c>
      <c r="C233" s="141">
        <f>IFERROR(__xludf.DUMMYFUNCTION("""COMPUTED_VALUE"""),746.24)</f>
        <v/>
      </c>
      <c r="D233" s="141">
        <f>IFERROR(__xludf.DUMMYFUNCTION("""COMPUTED_VALUE"""),748.94)</f>
        <v/>
      </c>
      <c r="E233" s="141">
        <f>IFERROR(__xludf.DUMMYFUNCTION("""COMPUTED_VALUE"""),744.48)</f>
        <v/>
      </c>
      <c r="F233" s="141">
        <f>IFERROR(__xludf.DUMMYFUNCTION("""COMPUTED_VALUE"""),745.64)</f>
        <v/>
      </c>
      <c r="G233" s="143">
        <f>IFERROR(__xludf.DUMMYFUNCTION("""COMPUTED_VALUE"""),41762007)</f>
        <v/>
      </c>
      <c r="H233" s="27" t="n"/>
    </row>
    <row r="234" ht="17.25" customHeight="1" s="322">
      <c r="A234" s="27" t="n"/>
      <c r="B234" s="506">
        <f>IFERROR(__xludf.DUMMYFUNCTION("""COMPUTED_VALUE"""),46168.6666666666)</f>
        <v/>
      </c>
      <c r="C234" s="141">
        <f>IFERROR(__xludf.DUMMYFUNCTION("""COMPUTED_VALUE"""),750.01)</f>
        <v/>
      </c>
      <c r="D234" s="141">
        <f>IFERROR(__xludf.DUMMYFUNCTION("""COMPUTED_VALUE"""),752.13)</f>
        <v/>
      </c>
      <c r="E234" s="141">
        <f>IFERROR(__xludf.DUMMYFUNCTION("""COMPUTED_VALUE"""),748.37)</f>
        <v/>
      </c>
      <c r="F234" s="141">
        <f>IFERROR(__xludf.DUMMYFUNCTION("""COMPUTED_VALUE"""),750.59)</f>
        <v/>
      </c>
      <c r="G234" s="143">
        <f>IFERROR(__xludf.DUMMYFUNCTION("""COMPUTED_VALUE"""),41123621)</f>
        <v/>
      </c>
      <c r="H234" s="27" t="n"/>
    </row>
    <row r="235" ht="17.25" customHeight="1" s="322">
      <c r="A235" s="27" t="n"/>
      <c r="B235" s="506">
        <f>IFERROR(__xludf.DUMMYFUNCTION("""COMPUTED_VALUE"""),46169.6666666666)</f>
        <v/>
      </c>
      <c r="C235" s="141">
        <f>IFERROR(__xludf.DUMMYFUNCTION("""COMPUTED_VALUE"""),750.88)</f>
        <v/>
      </c>
      <c r="D235" s="141">
        <f>IFERROR(__xludf.DUMMYFUNCTION("""COMPUTED_VALUE"""),751.38)</f>
        <v/>
      </c>
      <c r="E235" s="141">
        <f>IFERROR(__xludf.DUMMYFUNCTION("""COMPUTED_VALUE"""),748.22)</f>
        <v/>
      </c>
      <c r="F235" s="141">
        <f>IFERROR(__xludf.DUMMYFUNCTION("""COMPUTED_VALUE"""),750.46)</f>
        <v/>
      </c>
      <c r="G235" s="143">
        <f>IFERROR(__xludf.DUMMYFUNCTION("""COMPUTED_VALUE"""),42106286)</f>
        <v/>
      </c>
      <c r="H235" s="27" t="n"/>
    </row>
    <row r="236" ht="17.25" customHeight="1" s="322">
      <c r="A236" s="27" t="n"/>
      <c r="B236" s="506">
        <f>IFERROR(__xludf.DUMMYFUNCTION("""COMPUTED_VALUE"""),46170.6666666666)</f>
        <v/>
      </c>
      <c r="C236" s="141">
        <f>IFERROR(__xludf.DUMMYFUNCTION("""COMPUTED_VALUE"""),750.25)</f>
        <v/>
      </c>
      <c r="D236" s="141">
        <f>IFERROR(__xludf.DUMMYFUNCTION("""COMPUTED_VALUE"""),755.15)</f>
        <v/>
      </c>
      <c r="E236" s="141">
        <f>IFERROR(__xludf.DUMMYFUNCTION("""COMPUTED_VALUE"""),749.23)</f>
        <v/>
      </c>
      <c r="F236" s="141">
        <f>IFERROR(__xludf.DUMMYFUNCTION("""COMPUTED_VALUE"""),754.6)</f>
        <v/>
      </c>
      <c r="G236" s="143">
        <f>IFERROR(__xludf.DUMMYFUNCTION("""COMPUTED_VALUE"""),41562563)</f>
        <v/>
      </c>
      <c r="H236" s="27" t="n"/>
    </row>
    <row r="237" ht="17.25" customHeight="1" s="322">
      <c r="A237" s="27" t="n"/>
      <c r="B237" s="506">
        <f>IFERROR(__xludf.DUMMYFUNCTION("""COMPUTED_VALUE"""),46171.6666666666)</f>
        <v/>
      </c>
      <c r="C237" s="141">
        <f>IFERROR(__xludf.DUMMYFUNCTION("""COMPUTED_VALUE"""),755.9)</f>
        <v/>
      </c>
      <c r="D237" s="141">
        <f>IFERROR(__xludf.DUMMYFUNCTION("""COMPUTED_VALUE"""),758.08)</f>
        <v/>
      </c>
      <c r="E237" s="141">
        <f>IFERROR(__xludf.DUMMYFUNCTION("""COMPUTED_VALUE"""),754.69)</f>
        <v/>
      </c>
      <c r="F237" s="141">
        <f>IFERROR(__xludf.DUMMYFUNCTION("""COMPUTED_VALUE"""),756.48)</f>
        <v/>
      </c>
      <c r="G237" s="143">
        <f>IFERROR(__xludf.DUMMYFUNCTION("""COMPUTED_VALUE"""),55075739)</f>
        <v/>
      </c>
      <c r="H237" s="27" t="n"/>
    </row>
    <row r="238" ht="17.25" customHeight="1" s="322">
      <c r="A238" s="27" t="n"/>
      <c r="B238" s="506">
        <f>IFERROR(__xludf.DUMMYFUNCTION("""COMPUTED_VALUE"""),46174.6666666666)</f>
        <v/>
      </c>
      <c r="C238" s="141">
        <f>IFERROR(__xludf.DUMMYFUNCTION("""COMPUTED_VALUE"""),755.36)</f>
        <v/>
      </c>
      <c r="D238" s="141">
        <f>IFERROR(__xludf.DUMMYFUNCTION("""COMPUTED_VALUE"""),760.28)</f>
        <v/>
      </c>
      <c r="E238" s="141">
        <f>IFERROR(__xludf.DUMMYFUNCTION("""COMPUTED_VALUE"""),754.69)</f>
        <v/>
      </c>
      <c r="F238" s="141">
        <f>IFERROR(__xludf.DUMMYFUNCTION("""COMPUTED_VALUE"""),758.54)</f>
        <v/>
      </c>
      <c r="G238" s="143">
        <f>IFERROR(__xludf.DUMMYFUNCTION("""COMPUTED_VALUE"""),43634933)</f>
        <v/>
      </c>
      <c r="H238" s="27" t="n"/>
    </row>
    <row r="239" ht="17.25" customHeight="1" s="322">
      <c r="A239" s="27" t="n"/>
      <c r="B239" s="506">
        <f>IFERROR(__xludf.DUMMYFUNCTION("""COMPUTED_VALUE"""),46175.6666666666)</f>
        <v/>
      </c>
      <c r="C239" s="141">
        <f>IFERROR(__xludf.DUMMYFUNCTION("""COMPUTED_VALUE"""),757.03)</f>
        <v/>
      </c>
      <c r="D239" s="141">
        <f>IFERROR(__xludf.DUMMYFUNCTION("""COMPUTED_VALUE"""),760.4)</f>
        <v/>
      </c>
      <c r="E239" s="141">
        <f>IFERROR(__xludf.DUMMYFUNCTION("""COMPUTED_VALUE"""),756.75)</f>
        <v/>
      </c>
      <c r="F239" s="141">
        <f>IFERROR(__xludf.DUMMYFUNCTION("""COMPUTED_VALUE"""),759.57)</f>
        <v/>
      </c>
      <c r="G239" s="143">
        <f>IFERROR(__xludf.DUMMYFUNCTION("""COMPUTED_VALUE"""),31581852)</f>
        <v/>
      </c>
      <c r="H239" s="27" t="n"/>
    </row>
    <row r="240" ht="17.25" customHeight="1" s="322">
      <c r="A240" s="27" t="n"/>
      <c r="B240" s="506">
        <f>IFERROR(__xludf.DUMMYFUNCTION("""COMPUTED_VALUE"""),46176.6666666666)</f>
        <v/>
      </c>
      <c r="C240" s="141">
        <f>IFERROR(__xludf.DUMMYFUNCTION("""COMPUTED_VALUE"""),758.15)</f>
        <v/>
      </c>
      <c r="D240" s="141">
        <f>IFERROR(__xludf.DUMMYFUNCTION("""COMPUTED_VALUE"""),758.8)</f>
        <v/>
      </c>
      <c r="E240" s="141">
        <f>IFERROR(__xludf.DUMMYFUNCTION("""COMPUTED_VALUE"""),753.57)</f>
        <v/>
      </c>
      <c r="F240" s="141">
        <f>IFERROR(__xludf.DUMMYFUNCTION("""COMPUTED_VALUE"""),754.24)</f>
        <v/>
      </c>
      <c r="G240" s="143">
        <f>IFERROR(__xludf.DUMMYFUNCTION("""COMPUTED_VALUE"""),51402518)</f>
        <v/>
      </c>
      <c r="H240" s="27" t="n"/>
    </row>
    <row r="241" ht="17.25" customHeight="1" s="322">
      <c r="A241" s="27" t="n"/>
      <c r="B241" s="506">
        <f>IFERROR(__xludf.DUMMYFUNCTION("""COMPUTED_VALUE"""),46177.6666666666)</f>
        <v/>
      </c>
      <c r="C241" s="141">
        <f>IFERROR(__xludf.DUMMYFUNCTION("""COMPUTED_VALUE"""),752.1)</f>
        <v/>
      </c>
      <c r="D241" s="141">
        <f>IFERROR(__xludf.DUMMYFUNCTION("""COMPUTED_VALUE"""),758.31)</f>
        <v/>
      </c>
      <c r="E241" s="141">
        <f>IFERROR(__xludf.DUMMYFUNCTION("""COMPUTED_VALUE"""),751.47)</f>
        <v/>
      </c>
      <c r="F241" s="141">
        <f>IFERROR(__xludf.DUMMYFUNCTION("""COMPUTED_VALUE"""),757.09)</f>
        <v/>
      </c>
      <c r="G241" s="143">
        <f>IFERROR(__xludf.DUMMYFUNCTION("""COMPUTED_VALUE"""),49923036)</f>
        <v/>
      </c>
      <c r="H241" s="27" t="n"/>
    </row>
    <row r="242" ht="17.25" customHeight="1" s="322">
      <c r="A242" s="27" t="n"/>
      <c r="B242" s="506">
        <f>IFERROR(__xludf.DUMMYFUNCTION("""COMPUTED_VALUE"""),46178.6666666666)</f>
        <v/>
      </c>
      <c r="C242" s="141">
        <f>IFERROR(__xludf.DUMMYFUNCTION("""COMPUTED_VALUE"""),752.31)</f>
        <v/>
      </c>
      <c r="D242" s="141">
        <f>IFERROR(__xludf.DUMMYFUNCTION("""COMPUTED_VALUE"""),752.82)</f>
        <v/>
      </c>
      <c r="E242" s="141">
        <f>IFERROR(__xludf.DUMMYFUNCTION("""COMPUTED_VALUE"""),735.53)</f>
        <v/>
      </c>
      <c r="F242" s="141">
        <f>IFERROR(__xludf.DUMMYFUNCTION("""COMPUTED_VALUE"""),737.55)</f>
        <v/>
      </c>
      <c r="G242" s="143">
        <f>IFERROR(__xludf.DUMMYFUNCTION("""COMPUTED_VALUE"""),93989416)</f>
        <v/>
      </c>
      <c r="H242" s="27" t="n"/>
    </row>
    <row r="243" ht="17.25" customHeight="1" s="322">
      <c r="A243" s="27" t="n"/>
      <c r="B243" s="506">
        <f>IFERROR(__xludf.DUMMYFUNCTION("""COMPUTED_VALUE"""),46181.6666666666)</f>
        <v/>
      </c>
      <c r="C243" s="141">
        <f>IFERROR(__xludf.DUMMYFUNCTION("""COMPUTED_VALUE"""),743.36)</f>
        <v/>
      </c>
      <c r="D243" s="141">
        <f>IFERROR(__xludf.DUMMYFUNCTION("""COMPUTED_VALUE"""),745.34)</f>
        <v/>
      </c>
      <c r="E243" s="141">
        <f>IFERROR(__xludf.DUMMYFUNCTION("""COMPUTED_VALUE"""),738.19)</f>
        <v/>
      </c>
      <c r="F243" s="141">
        <f>IFERROR(__xludf.DUMMYFUNCTION("""COMPUTED_VALUE"""),739.22)</f>
        <v/>
      </c>
      <c r="G243" s="143">
        <f>IFERROR(__xludf.DUMMYFUNCTION("""COMPUTED_VALUE"""),49319144)</f>
        <v/>
      </c>
      <c r="H243" s="27" t="n"/>
    </row>
    <row r="244" ht="17.25" customHeight="1" s="322">
      <c r="A244" s="27" t="n"/>
      <c r="B244" s="506">
        <f>IFERROR(__xludf.DUMMYFUNCTION("""COMPUTED_VALUE"""),46182.6666666666)</f>
        <v/>
      </c>
      <c r="C244" s="141">
        <f>IFERROR(__xludf.DUMMYFUNCTION("""COMPUTED_VALUE"""),743.63)</f>
        <v/>
      </c>
      <c r="D244" s="141">
        <f>IFERROR(__xludf.DUMMYFUNCTION("""COMPUTED_VALUE"""),746.9)</f>
        <v/>
      </c>
      <c r="E244" s="141">
        <f>IFERROR(__xludf.DUMMYFUNCTION("""COMPUTED_VALUE"""),722.59)</f>
        <v/>
      </c>
      <c r="F244" s="141">
        <f>IFERROR(__xludf.DUMMYFUNCTION("""COMPUTED_VALUE"""),737.05)</f>
        <v/>
      </c>
      <c r="G244" s="143">
        <f>IFERROR(__xludf.DUMMYFUNCTION("""COMPUTED_VALUE"""),87683517)</f>
        <v/>
      </c>
      <c r="H244" s="27" t="n"/>
    </row>
    <row r="245" ht="17.25" customHeight="1" s="322">
      <c r="A245" s="27" t="n"/>
      <c r="B245" s="506">
        <f>IFERROR(__xludf.DUMMYFUNCTION("""COMPUTED_VALUE"""),46183.6666666666)</f>
        <v/>
      </c>
      <c r="C245" s="141">
        <f>IFERROR(__xludf.DUMMYFUNCTION("""COMPUTED_VALUE"""),733.39)</f>
        <v/>
      </c>
      <c r="D245" s="141">
        <f>IFERROR(__xludf.DUMMYFUNCTION("""COMPUTED_VALUE"""),738.38)</f>
        <v/>
      </c>
      <c r="E245" s="141">
        <f>IFERROR(__xludf.DUMMYFUNCTION("""COMPUTED_VALUE"""),725.33)</f>
        <v/>
      </c>
      <c r="F245" s="141">
        <f>IFERROR(__xludf.DUMMYFUNCTION("""COMPUTED_VALUE"""),725.43)</f>
        <v/>
      </c>
      <c r="G245" s="143">
        <f>IFERROR(__xludf.DUMMYFUNCTION("""COMPUTED_VALUE"""),60341350)</f>
        <v/>
      </c>
      <c r="H245" s="27" t="n"/>
    </row>
    <row r="246" ht="17.25" customHeight="1" s="322">
      <c r="A246" s="27" t="n"/>
      <c r="B246" s="506">
        <f>IFERROR(__xludf.DUMMYFUNCTION("""COMPUTED_VALUE"""),46184.6666666666)</f>
        <v/>
      </c>
      <c r="C246" s="141">
        <f>IFERROR(__xludf.DUMMYFUNCTION("""COMPUTED_VALUE"""),728.76)</f>
        <v/>
      </c>
      <c r="D246" s="141">
        <f>IFERROR(__xludf.DUMMYFUNCTION("""COMPUTED_VALUE"""),740)</f>
        <v/>
      </c>
      <c r="E246" s="141">
        <f>IFERROR(__xludf.DUMMYFUNCTION("""COMPUTED_VALUE"""),724.41)</f>
        <v/>
      </c>
      <c r="F246" s="141">
        <f>IFERROR(__xludf.DUMMYFUNCTION("""COMPUTED_VALUE"""),737.76)</f>
        <v/>
      </c>
      <c r="G246" s="143">
        <f>IFERROR(__xludf.DUMMYFUNCTION("""COMPUTED_VALUE"""),86330522)</f>
        <v/>
      </c>
      <c r="H246" s="27" t="n"/>
    </row>
    <row r="247" ht="17.25" customHeight="1" s="322">
      <c r="A247" s="27" t="n"/>
      <c r="B247" s="506">
        <f>IFERROR(__xludf.DUMMYFUNCTION("""COMPUTED_VALUE"""),46185.6666666666)</f>
        <v/>
      </c>
      <c r="C247" s="141">
        <f>IFERROR(__xludf.DUMMYFUNCTION("""COMPUTED_VALUE"""),740.71)</f>
        <v/>
      </c>
      <c r="D247" s="141">
        <f>IFERROR(__xludf.DUMMYFUNCTION("""COMPUTED_VALUE"""),744.44)</f>
        <v/>
      </c>
      <c r="E247" s="141">
        <f>IFERROR(__xludf.DUMMYFUNCTION("""COMPUTED_VALUE"""),735.03)</f>
        <v/>
      </c>
      <c r="F247" s="141">
        <f>IFERROR(__xludf.DUMMYFUNCTION("""COMPUTED_VALUE"""),741.75)</f>
        <v/>
      </c>
      <c r="G247" s="143">
        <f>IFERROR(__xludf.DUMMYFUNCTION("""COMPUTED_VALUE"""),57079533)</f>
        <v/>
      </c>
      <c r="H247" s="27" t="n"/>
    </row>
    <row r="248" ht="17.25" customHeight="1" s="322">
      <c r="A248" s="27" t="n"/>
      <c r="B248" s="506">
        <f>IFERROR(__xludf.DUMMYFUNCTION("""COMPUTED_VALUE"""),46188.6666666666)</f>
        <v/>
      </c>
      <c r="C248" s="141">
        <f>IFERROR(__xludf.DUMMYFUNCTION("""COMPUTED_VALUE"""),751.85)</f>
        <v/>
      </c>
      <c r="D248" s="141">
        <f>IFERROR(__xludf.DUMMYFUNCTION("""COMPUTED_VALUE"""),756.68)</f>
        <v/>
      </c>
      <c r="E248" s="141">
        <f>IFERROR(__xludf.DUMMYFUNCTION("""COMPUTED_VALUE"""),751.76)</f>
        <v/>
      </c>
      <c r="F248" s="141">
        <f>IFERROR(__xludf.DUMMYFUNCTION("""COMPUTED_VALUE"""),754.83)</f>
        <v/>
      </c>
      <c r="G248" s="143">
        <f>IFERROR(__xludf.DUMMYFUNCTION("""COMPUTED_VALUE"""),60176425)</f>
        <v/>
      </c>
      <c r="H248" s="27" t="n"/>
    </row>
    <row r="249" ht="17.25" customHeight="1" s="322">
      <c r="A249" s="27" t="n"/>
      <c r="B249" s="506">
        <f>IFERROR(__xludf.DUMMYFUNCTION("""COMPUTED_VALUE"""),46189.6666666666)</f>
        <v/>
      </c>
      <c r="C249" s="141">
        <f>IFERROR(__xludf.DUMMYFUNCTION("""COMPUTED_VALUE"""),754.55)</f>
        <v/>
      </c>
      <c r="D249" s="141">
        <f>IFERROR(__xludf.DUMMYFUNCTION("""COMPUTED_VALUE"""),755.44)</f>
        <v/>
      </c>
      <c r="E249" s="141">
        <f>IFERROR(__xludf.DUMMYFUNCTION("""COMPUTED_VALUE"""),749.88)</f>
        <v/>
      </c>
      <c r="F249" s="141">
        <f>IFERROR(__xludf.DUMMYFUNCTION("""COMPUTED_VALUE"""),750.33)</f>
        <v/>
      </c>
      <c r="G249" s="143">
        <f>IFERROR(__xludf.DUMMYFUNCTION("""COMPUTED_VALUE"""),67093143)</f>
        <v/>
      </c>
      <c r="H249" s="27" t="n"/>
    </row>
    <row r="250" ht="17.25" customHeight="1" s="322">
      <c r="A250" s="27" t="n"/>
      <c r="B250" s="506">
        <f>IFERROR(__xludf.DUMMYFUNCTION("""COMPUTED_VALUE"""),46190.6666666666)</f>
        <v/>
      </c>
      <c r="C250" s="141">
        <f>IFERROR(__xludf.DUMMYFUNCTION("""COMPUTED_VALUE"""),751.29)</f>
        <v/>
      </c>
      <c r="D250" s="141">
        <f>IFERROR(__xludf.DUMMYFUNCTION("""COMPUTED_VALUE"""),752.15)</f>
        <v/>
      </c>
      <c r="E250" s="141">
        <f>IFERROR(__xludf.DUMMYFUNCTION("""COMPUTED_VALUE"""),739.22)</f>
        <v/>
      </c>
      <c r="F250" s="141">
        <f>IFERROR(__xludf.DUMMYFUNCTION("""COMPUTED_VALUE"""),740.96)</f>
        <v/>
      </c>
      <c r="G250" s="143">
        <f>IFERROR(__xludf.DUMMYFUNCTION("""COMPUTED_VALUE"""),85945227)</f>
        <v/>
      </c>
      <c r="H250" s="27" t="n"/>
    </row>
    <row r="251" ht="17.25" customHeight="1" s="322">
      <c r="A251" s="27" t="n"/>
      <c r="B251" s="506">
        <f>IFERROR(__xludf.DUMMYFUNCTION("""COMPUTED_VALUE"""),46191.6666666666)</f>
        <v/>
      </c>
      <c r="C251" s="141">
        <f>IFERROR(__xludf.DUMMYFUNCTION("""COMPUTED_VALUE"""),747.76)</f>
        <v/>
      </c>
      <c r="D251" s="141">
        <f>IFERROR(__xludf.DUMMYFUNCTION("""COMPUTED_VALUE"""),748.23)</f>
        <v/>
      </c>
      <c r="E251" s="141">
        <f>IFERROR(__xludf.DUMMYFUNCTION("""COMPUTED_VALUE"""),743.86)</f>
        <v/>
      </c>
      <c r="F251" s="141">
        <f>IFERROR(__xludf.DUMMYFUNCTION("""COMPUTED_VALUE"""),746.74)</f>
        <v/>
      </c>
      <c r="G251" s="143">
        <f>IFERROR(__xludf.DUMMYFUNCTION("""COMPUTED_VALUE"""),80875658)</f>
        <v/>
      </c>
      <c r="H251" s="27" t="n"/>
    </row>
    <row r="252" ht="17.25" customHeight="1" s="322">
      <c r="A252" s="27" t="n"/>
      <c r="B252" s="506">
        <f>IFERROR(__xludf.DUMMYFUNCTION("""COMPUTED_VALUE"""),46195.6666666666)</f>
        <v/>
      </c>
      <c r="C252" s="141">
        <f>IFERROR(__xludf.DUMMYFUNCTION("""COMPUTED_VALUE"""),747.7)</f>
        <v/>
      </c>
      <c r="D252" s="141">
        <f>IFERROR(__xludf.DUMMYFUNCTION("""COMPUTED_VALUE"""),750.18)</f>
        <v/>
      </c>
      <c r="E252" s="141">
        <f>IFERROR(__xludf.DUMMYFUNCTION("""COMPUTED_VALUE"""),743.13)</f>
        <v/>
      </c>
      <c r="F252" s="141">
        <f>IFERROR(__xludf.DUMMYFUNCTION("""COMPUTED_VALUE"""),744.39)</f>
        <v/>
      </c>
      <c r="G252" s="143">
        <f>IFERROR(__xludf.DUMMYFUNCTION("""COMPUTED_VALUE"""),46628075)</f>
        <v/>
      </c>
      <c r="H252" s="27" t="n"/>
    </row>
    <row r="253" ht="17.25" customHeight="1" s="322">
      <c r="A253" s="27" t="n"/>
      <c r="B253" s="506">
        <f>IFERROR(__xludf.DUMMYFUNCTION("""COMPUTED_VALUE"""),46196.6666666666)</f>
        <v/>
      </c>
      <c r="C253" s="141">
        <f>IFERROR(__xludf.DUMMYFUNCTION("""COMPUTED_VALUE"""),733.81)</f>
        <v/>
      </c>
      <c r="D253" s="141">
        <f>IFERROR(__xludf.DUMMYFUNCTION("""COMPUTED_VALUE"""),739.63)</f>
        <v/>
      </c>
      <c r="E253" s="141">
        <f>IFERROR(__xludf.DUMMYFUNCTION("""COMPUTED_VALUE"""),732.3)</f>
        <v/>
      </c>
      <c r="F253" s="141">
        <f>IFERROR(__xludf.DUMMYFUNCTION("""COMPUTED_VALUE"""),733.58)</f>
        <v/>
      </c>
      <c r="G253" s="143">
        <f>IFERROR(__xludf.DUMMYFUNCTION("""COMPUTED_VALUE"""),66846780)</f>
        <v/>
      </c>
      <c r="H253" s="27" t="n"/>
    </row>
    <row r="254" ht="17.25" customHeight="1" s="322">
      <c r="A254" s="27" t="n"/>
      <c r="B254" s="506">
        <f>IFERROR(__xludf.DUMMYFUNCTION("""COMPUTED_VALUE"""),46197.6666666666)</f>
        <v/>
      </c>
      <c r="C254" s="141">
        <f>IFERROR(__xludf.DUMMYFUNCTION("""COMPUTED_VALUE"""),735.17)</f>
        <v/>
      </c>
      <c r="D254" s="141">
        <f>IFERROR(__xludf.DUMMYFUNCTION("""COMPUTED_VALUE"""),739.95)</f>
        <v/>
      </c>
      <c r="E254" s="141">
        <f>IFERROR(__xludf.DUMMYFUNCTION("""COMPUTED_VALUE"""),730.84)</f>
        <v/>
      </c>
      <c r="F254" s="141">
        <f>IFERROR(__xludf.DUMMYFUNCTION("""COMPUTED_VALUE"""),733.24)</f>
        <v/>
      </c>
      <c r="G254" s="143">
        <f>IFERROR(__xludf.DUMMYFUNCTION("""COMPUTED_VALUE"""),57439508)</f>
        <v/>
      </c>
      <c r="H254" s="27" t="n"/>
    </row>
    <row r="255" ht="17.25" customHeight="1" s="322">
      <c r="A255" s="27" t="n"/>
      <c r="B255" s="506">
        <f>IFERROR(__xludf.DUMMYFUNCTION("""COMPUTED_VALUE"""),46198.6666666666)</f>
        <v/>
      </c>
      <c r="C255" s="141">
        <f>IFERROR(__xludf.DUMMYFUNCTION("""COMPUTED_VALUE"""),738.91)</f>
        <v/>
      </c>
      <c r="D255" s="141">
        <f>IFERROR(__xludf.DUMMYFUNCTION("""COMPUTED_VALUE"""),739.37)</f>
        <v/>
      </c>
      <c r="E255" s="141">
        <f>IFERROR(__xludf.DUMMYFUNCTION("""COMPUTED_VALUE"""),729.6)</f>
        <v/>
      </c>
      <c r="F255" s="141">
        <f>IFERROR(__xludf.DUMMYFUNCTION("""COMPUTED_VALUE"""),734.3)</f>
        <v/>
      </c>
      <c r="G255" s="143">
        <f>IFERROR(__xludf.DUMMYFUNCTION("""COMPUTED_VALUE"""),54128065)</f>
        <v/>
      </c>
      <c r="H255" s="27" t="n"/>
    </row>
    <row r="256" ht="17.25" customHeight="1" s="322">
      <c r="A256" s="27" t="n"/>
      <c r="B256" s="506">
        <f>IFERROR(__xludf.DUMMYFUNCTION("""COMPUTED_VALUE"""),46199.6666666666)</f>
        <v/>
      </c>
      <c r="C256" s="141">
        <f>IFERROR(__xludf.DUMMYFUNCTION("""COMPUTED_VALUE"""),728.95)</f>
        <v/>
      </c>
      <c r="D256" s="141">
        <f>IFERROR(__xludf.DUMMYFUNCTION("""COMPUTED_VALUE"""),736.53)</f>
        <v/>
      </c>
      <c r="E256" s="141">
        <f>IFERROR(__xludf.DUMMYFUNCTION("""COMPUTED_VALUE"""),716.58)</f>
        <v/>
      </c>
      <c r="F256" s="141">
        <f>IFERROR(__xludf.DUMMYFUNCTION("""COMPUTED_VALUE"""),728.99)</f>
        <v/>
      </c>
      <c r="G256" s="143">
        <f>IFERROR(__xludf.DUMMYFUNCTION("""COMPUTED_VALUE"""),71033970)</f>
        <v/>
      </c>
      <c r="H256" s="27" t="n"/>
    </row>
    <row r="257" ht="17.25" customHeight="1" s="322">
      <c r="A257" s="27" t="n"/>
      <c r="B257" s="506">
        <f>IFERROR(__xludf.DUMMYFUNCTION("""COMPUTED_VALUE"""),46202.6666666666)</f>
        <v/>
      </c>
      <c r="C257" s="141">
        <f>IFERROR(__xludf.DUMMYFUNCTION("""COMPUTED_VALUE"""),736.53)</f>
        <v/>
      </c>
      <c r="D257" s="141">
        <f>IFERROR(__xludf.DUMMYFUNCTION("""COMPUTED_VALUE"""),741.56)</f>
        <v/>
      </c>
      <c r="E257" s="141">
        <f>IFERROR(__xludf.DUMMYFUNCTION("""COMPUTED_VALUE"""),732.09)</f>
        <v/>
      </c>
      <c r="F257" s="141">
        <f>IFERROR(__xludf.DUMMYFUNCTION("""COMPUTED_VALUE"""),741)</f>
        <v/>
      </c>
      <c r="G257" s="143">
        <f>IFERROR(__xludf.DUMMYFUNCTION("""COMPUTED_VALUE"""),58035229)</f>
        <v/>
      </c>
      <c r="H257" s="27" t="n"/>
    </row>
    <row r="258" ht="17.25" customHeight="1" s="322">
      <c r="A258" s="27" t="n"/>
      <c r="B258" s="506">
        <f>IFERROR(__xludf.DUMMYFUNCTION("""COMPUTED_VALUE"""),46203.6666666666)</f>
        <v/>
      </c>
      <c r="C258" s="141">
        <f>IFERROR(__xludf.DUMMYFUNCTION("""COMPUTED_VALUE"""),741.29)</f>
        <v/>
      </c>
      <c r="D258" s="141">
        <f>IFERROR(__xludf.DUMMYFUNCTION("""COMPUTED_VALUE"""),748.02)</f>
        <v/>
      </c>
      <c r="E258" s="141">
        <f>IFERROR(__xludf.DUMMYFUNCTION("""COMPUTED_VALUE"""),740.89)</f>
        <v/>
      </c>
      <c r="F258" s="141">
        <f>IFERROR(__xludf.DUMMYFUNCTION("""COMPUTED_VALUE"""),746.77)</f>
        <v/>
      </c>
      <c r="G258" s="143">
        <f>IFERROR(__xludf.DUMMYFUNCTION("""COMPUTED_VALUE"""),55626035)</f>
        <v/>
      </c>
      <c r="H258" s="27" t="n"/>
    </row>
    <row r="259" ht="17.25" customHeight="1" s="322">
      <c r="A259" s="27" t="n"/>
      <c r="B259" s="506">
        <f>IFERROR(__xludf.DUMMYFUNCTION("""COMPUTED_VALUE"""),46204.6666666666)</f>
        <v/>
      </c>
      <c r="C259" s="141">
        <f>IFERROR(__xludf.DUMMYFUNCTION("""COMPUTED_VALUE"""),745)</f>
        <v/>
      </c>
      <c r="D259" s="141">
        <f>IFERROR(__xludf.DUMMYFUNCTION("""COMPUTED_VALUE"""),749.44)</f>
        <v/>
      </c>
      <c r="E259" s="141">
        <f>IFERROR(__xludf.DUMMYFUNCTION("""COMPUTED_VALUE"""),742.38)</f>
        <v/>
      </c>
      <c r="F259" s="141">
        <f>IFERROR(__xludf.DUMMYFUNCTION("""COMPUTED_VALUE"""),745.76)</f>
        <v/>
      </c>
      <c r="G259" s="143">
        <f>IFERROR(__xludf.DUMMYFUNCTION("""COMPUTED_VALUE"""),47100879)</f>
        <v/>
      </c>
      <c r="H259" s="27" t="n"/>
    </row>
    <row r="260" ht="17.25" customHeight="1" s="322">
      <c r="A260" s="27" t="n"/>
      <c r="B260" s="506">
        <f>IFERROR(__xludf.DUMMYFUNCTION("""COMPUTED_VALUE"""),46205.6666666666)</f>
        <v/>
      </c>
      <c r="C260" s="141">
        <f>IFERROR(__xludf.DUMMYFUNCTION("""COMPUTED_VALUE"""),747.4)</f>
        <v/>
      </c>
      <c r="D260" s="141">
        <f>IFERROR(__xludf.DUMMYFUNCTION("""COMPUTED_VALUE"""),751.31)</f>
        <v/>
      </c>
      <c r="E260" s="141">
        <f>IFERROR(__xludf.DUMMYFUNCTION("""COMPUTED_VALUE"""),740.03)</f>
        <v/>
      </c>
      <c r="F260" s="141">
        <f>IFERROR(__xludf.DUMMYFUNCTION("""COMPUTED_VALUE"""),744.78)</f>
        <v/>
      </c>
      <c r="G260" s="143">
        <f>IFERROR(__xludf.DUMMYFUNCTION("""COMPUTED_VALUE"""),57505954)</f>
        <v/>
      </c>
      <c r="H260" s="27" t="n"/>
    </row>
    <row r="261" ht="17.25" customHeight="1" s="322">
      <c r="A261" s="27" t="n"/>
      <c r="B261" s="506">
        <f>IFERROR(__xludf.DUMMYFUNCTION("""COMPUTED_VALUE"""),46209.6666666666)</f>
        <v/>
      </c>
      <c r="C261" s="141">
        <f>IFERROR(__xludf.DUMMYFUNCTION("""COMPUTED_VALUE"""),748.74)</f>
        <v/>
      </c>
      <c r="D261" s="141">
        <f>IFERROR(__xludf.DUMMYFUNCTION("""COMPUTED_VALUE"""),752.41)</f>
        <v/>
      </c>
      <c r="E261" s="141">
        <f>IFERROR(__xludf.DUMMYFUNCTION("""COMPUTED_VALUE"""),747.41)</f>
        <v/>
      </c>
      <c r="F261" s="141">
        <f>IFERROR(__xludf.DUMMYFUNCTION("""COMPUTED_VALUE"""),751.28)</f>
        <v/>
      </c>
      <c r="G261" s="143">
        <f>IFERROR(__xludf.DUMMYFUNCTION("""COMPUTED_VALUE"""),50673311)</f>
        <v/>
      </c>
      <c r="H261" s="27" t="n"/>
    </row>
    <row r="262" ht="17.25" customHeight="1" s="322">
      <c r="A262" s="27" t="n"/>
      <c r="B262" s="506">
        <f>IFERROR(__xludf.DUMMYFUNCTION("""COMPUTED_VALUE"""),46210.6666666666)</f>
        <v/>
      </c>
      <c r="C262" s="141">
        <f>IFERROR(__xludf.DUMMYFUNCTION("""COMPUTED_VALUE"""),750.22)</f>
        <v/>
      </c>
      <c r="D262" s="141">
        <f>IFERROR(__xludf.DUMMYFUNCTION("""COMPUTED_VALUE"""),750.96)</f>
        <v/>
      </c>
      <c r="E262" s="141">
        <f>IFERROR(__xludf.DUMMYFUNCTION("""COMPUTED_VALUE"""),745.21)</f>
        <v/>
      </c>
      <c r="F262" s="141">
        <f>IFERROR(__xludf.DUMMYFUNCTION("""COMPUTED_VALUE"""),747.71)</f>
        <v/>
      </c>
      <c r="G262" s="143">
        <f>IFERROR(__xludf.DUMMYFUNCTION("""COMPUTED_VALUE"""),43721494)</f>
        <v/>
      </c>
      <c r="H262" s="27" t="n"/>
    </row>
    <row r="263" ht="17.25" customHeight="1" s="322">
      <c r="A263" s="27" t="n"/>
      <c r="B263" s="506">
        <f>IFERROR(__xludf.DUMMYFUNCTION("""COMPUTED_VALUE"""),46211.6666666666)</f>
        <v/>
      </c>
      <c r="C263" s="141">
        <f>IFERROR(__xludf.DUMMYFUNCTION("""COMPUTED_VALUE"""),743.16)</f>
        <v/>
      </c>
      <c r="D263" s="141">
        <f>IFERROR(__xludf.DUMMYFUNCTION("""COMPUTED_VALUE"""),746.15)</f>
        <v/>
      </c>
      <c r="E263" s="141">
        <f>IFERROR(__xludf.DUMMYFUNCTION("""COMPUTED_VALUE"""),739.51)</f>
        <v/>
      </c>
      <c r="F263" s="141">
        <f>IFERROR(__xludf.DUMMYFUNCTION("""COMPUTED_VALUE"""),745.4)</f>
        <v/>
      </c>
      <c r="G263" s="143">
        <f>IFERROR(__xludf.DUMMYFUNCTION("""COMPUTED_VALUE"""),43767393)</f>
        <v/>
      </c>
      <c r="H263" s="27" t="n"/>
    </row>
    <row r="264" ht="17.25" customHeight="1" s="322">
      <c r="A264" s="27" t="n"/>
      <c r="B264" s="506">
        <f>IFERROR(__xludf.DUMMYFUNCTION("""COMPUTED_VALUE"""),46212.6666666666)</f>
        <v/>
      </c>
      <c r="C264" s="141">
        <f>IFERROR(__xludf.DUMMYFUNCTION("""COMPUTED_VALUE"""),747.35)</f>
        <v/>
      </c>
      <c r="D264" s="141">
        <f>IFERROR(__xludf.DUMMYFUNCTION("""COMPUTED_VALUE"""),751.97)</f>
        <v/>
      </c>
      <c r="E264" s="141">
        <f>IFERROR(__xludf.DUMMYFUNCTION("""COMPUTED_VALUE"""),745.59)</f>
        <v/>
      </c>
      <c r="F264" s="141">
        <f>IFERROR(__xludf.DUMMYFUNCTION("""COMPUTED_VALUE"""),751.71)</f>
        <v/>
      </c>
      <c r="G264" s="143">
        <f>IFERROR(__xludf.DUMMYFUNCTION("""COMPUTED_VALUE"""),41441718)</f>
        <v/>
      </c>
      <c r="H264" s="27" t="n"/>
    </row>
    <row r="265" ht="17.25" customHeight="1" s="322">
      <c r="A265" s="27" t="n"/>
      <c r="B265" s="506">
        <f>IFERROR(__xludf.DUMMYFUNCTION("""COMPUTED_VALUE"""),46213.6666666666)</f>
        <v/>
      </c>
      <c r="C265" s="141">
        <f>IFERROR(__xludf.DUMMYFUNCTION("""COMPUTED_VALUE"""),752.05)</f>
        <v/>
      </c>
      <c r="D265" s="141">
        <f>IFERROR(__xludf.DUMMYFUNCTION("""COMPUTED_VALUE"""),755.42)</f>
        <v/>
      </c>
      <c r="E265" s="141">
        <f>IFERROR(__xludf.DUMMYFUNCTION("""COMPUTED_VALUE"""),748.1)</f>
        <v/>
      </c>
      <c r="F265" s="141">
        <f>IFERROR(__xludf.DUMMYFUNCTION("""COMPUTED_VALUE"""),754.95)</f>
        <v/>
      </c>
      <c r="G265" s="143">
        <f>IFERROR(__xludf.DUMMYFUNCTION("""COMPUTED_VALUE"""),42191313)</f>
        <v/>
      </c>
      <c r="H265" s="27" t="n"/>
    </row>
    <row r="266" ht="17.25" customHeight="1" s="322">
      <c r="A266" s="27" t="n"/>
      <c r="B266" s="506">
        <f>IFERROR(__xludf.DUMMYFUNCTION("""COMPUTED_VALUE"""),46216.6666666666)</f>
        <v/>
      </c>
      <c r="C266" s="141">
        <f>IFERROR(__xludf.DUMMYFUNCTION("""COMPUTED_VALUE"""),752.47)</f>
        <v/>
      </c>
      <c r="D266" s="141">
        <f>IFERROR(__xludf.DUMMYFUNCTION("""COMPUTED_VALUE"""),753.91)</f>
        <v/>
      </c>
      <c r="E266" s="141">
        <f>IFERROR(__xludf.DUMMYFUNCTION("""COMPUTED_VALUE"""),748)</f>
        <v/>
      </c>
      <c r="F266" s="141">
        <f>IFERROR(__xludf.DUMMYFUNCTION("""COMPUTED_VALUE"""),749.17)</f>
        <v/>
      </c>
      <c r="G266" s="143">
        <f>IFERROR(__xludf.DUMMYFUNCTION("""COMPUTED_VALUE"""),44013628)</f>
        <v/>
      </c>
      <c r="H266" s="27" t="n"/>
    </row>
    <row r="267" ht="17.25" customHeight="1" s="322">
      <c r="A267" s="27" t="n"/>
      <c r="B267" s="506">
        <f>IFERROR(__xludf.DUMMYFUNCTION("""COMPUTED_VALUE"""),46217.6666666666)</f>
        <v/>
      </c>
      <c r="C267" s="141">
        <f>IFERROR(__xludf.DUMMYFUNCTION("""COMPUTED_VALUE"""),750.91)</f>
        <v/>
      </c>
      <c r="D267" s="141">
        <f>IFERROR(__xludf.DUMMYFUNCTION("""COMPUTED_VALUE"""),753.34)</f>
        <v/>
      </c>
      <c r="E267" s="141">
        <f>IFERROR(__xludf.DUMMYFUNCTION("""COMPUTED_VALUE"""),748.66)</f>
        <v/>
      </c>
      <c r="F267" s="141">
        <f>IFERROR(__xludf.DUMMYFUNCTION("""COMPUTED_VALUE"""),751.83)</f>
        <v/>
      </c>
      <c r="G267" s="143">
        <f>IFERROR(__xludf.DUMMYFUNCTION("""COMPUTED_VALUE"""),35143139)</f>
        <v/>
      </c>
      <c r="H267" s="27" t="n"/>
    </row>
    <row r="268" ht="17.25" customHeight="1" s="322">
      <c r="A268" s="27" t="n"/>
      <c r="B268" s="506">
        <f>IFERROR(__xludf.DUMMYFUNCTION("""COMPUTED_VALUE"""),46218.6666666666)</f>
        <v/>
      </c>
      <c r="C268" s="141">
        <f>IFERROR(__xludf.DUMMYFUNCTION("""COMPUTED_VALUE"""),754.24)</f>
        <v/>
      </c>
      <c r="D268" s="141">
        <f>IFERROR(__xludf.DUMMYFUNCTION("""COMPUTED_VALUE"""),755.58)</f>
        <v/>
      </c>
      <c r="E268" s="141">
        <f>IFERROR(__xludf.DUMMYFUNCTION("""COMPUTED_VALUE"""),750.2)</f>
        <v/>
      </c>
      <c r="F268" s="141">
        <f>IFERROR(__xludf.DUMMYFUNCTION("""COMPUTED_VALUE"""),754.81)</f>
        <v/>
      </c>
      <c r="G268" s="143">
        <f>IFERROR(__xludf.DUMMYFUNCTION("""COMPUTED_VALUE"""),43844769)</f>
        <v/>
      </c>
      <c r="H268" s="27" t="n"/>
    </row>
    <row r="269" ht="17.25" customHeight="1" s="322">
      <c r="A269" s="27" t="n"/>
      <c r="B269" s="506">
        <f>IFERROR(__xludf.DUMMYFUNCTION("""COMPUTED_VALUE"""),46219.6666666666)</f>
        <v/>
      </c>
      <c r="C269" s="141">
        <f>IFERROR(__xludf.DUMMYFUNCTION("""COMPUTED_VALUE"""),752.76)</f>
        <v/>
      </c>
      <c r="D269" s="141">
        <f>IFERROR(__xludf.DUMMYFUNCTION("""COMPUTED_VALUE"""),754.57)</f>
        <v/>
      </c>
      <c r="E269" s="141">
        <f>IFERROR(__xludf.DUMMYFUNCTION("""COMPUTED_VALUE"""),747.88)</f>
        <v/>
      </c>
      <c r="F269" s="141">
        <f>IFERROR(__xludf.DUMMYFUNCTION("""COMPUTED_VALUE"""),750.72)</f>
        <v/>
      </c>
      <c r="G269" s="143">
        <f>IFERROR(__xludf.DUMMYFUNCTION("""COMPUTED_VALUE"""),46409814)</f>
        <v/>
      </c>
      <c r="H269" s="27" t="n"/>
    </row>
    <row r="270" ht="17.25" customHeight="1" s="322">
      <c r="A270" s="27" t="n"/>
      <c r="B270" s="506">
        <f>IFERROR(__xludf.DUMMYFUNCTION("""COMPUTED_VALUE"""),46220.6666666666)</f>
        <v/>
      </c>
      <c r="C270" s="141">
        <f>IFERROR(__xludf.DUMMYFUNCTION("""COMPUTED_VALUE"""),742.08)</f>
        <v/>
      </c>
      <c r="D270" s="141">
        <f>IFERROR(__xludf.DUMMYFUNCTION("""COMPUTED_VALUE"""),747.29)</f>
        <v/>
      </c>
      <c r="E270" s="141">
        <f>IFERROR(__xludf.DUMMYFUNCTION("""COMPUTED_VALUE"""),740.8)</f>
        <v/>
      </c>
      <c r="F270" s="141">
        <f>IFERROR(__xludf.DUMMYFUNCTION("""COMPUTED_VALUE"""),743.29)</f>
        <v/>
      </c>
      <c r="G270" s="143">
        <f>IFERROR(__xludf.DUMMYFUNCTION("""COMPUTED_VALUE"""),62650962)</f>
        <v/>
      </c>
      <c r="H270" s="27" t="n"/>
    </row>
    <row r="271" ht="17.25" customHeight="1" s="322">
      <c r="A271" s="27" t="n"/>
      <c r="B271" s="506">
        <f>IFERROR(__xludf.DUMMYFUNCTION("""COMPUTED_VALUE"""),46223.6666666666)</f>
        <v/>
      </c>
      <c r="C271" s="141">
        <f>IFERROR(__xludf.DUMMYFUNCTION("""COMPUTED_VALUE"""),747.06)</f>
        <v/>
      </c>
      <c r="D271" s="141">
        <f>IFERROR(__xludf.DUMMYFUNCTION("""COMPUTED_VALUE"""),748.73)</f>
        <v/>
      </c>
      <c r="E271" s="141">
        <f>IFERROR(__xludf.DUMMYFUNCTION("""COMPUTED_VALUE"""),741.51)</f>
        <v/>
      </c>
      <c r="F271" s="141">
        <f>IFERROR(__xludf.DUMMYFUNCTION("""COMPUTED_VALUE"""),742.09)</f>
        <v/>
      </c>
      <c r="G271" s="143">
        <f>IFERROR(__xludf.DUMMYFUNCTION("""COMPUTED_VALUE"""),50422325)</f>
        <v/>
      </c>
      <c r="H271" s="27" t="n"/>
    </row>
    <row r="272" ht="17.25" customHeight="1" s="322">
      <c r="A272" s="27" t="n"/>
      <c r="B272" s="506">
        <f>IFERROR(__xludf.DUMMYFUNCTION("""COMPUTED_VALUE"""),46224.6666666666)</f>
        <v/>
      </c>
      <c r="C272" s="141">
        <f>IFERROR(__xludf.DUMMYFUNCTION("""COMPUTED_VALUE"""),746.29)</f>
        <v/>
      </c>
      <c r="D272" s="141">
        <f>IFERROR(__xludf.DUMMYFUNCTION("""COMPUTED_VALUE"""),749.04)</f>
        <v/>
      </c>
      <c r="E272" s="141">
        <f>IFERROR(__xludf.DUMMYFUNCTION("""COMPUTED_VALUE"""),744.18)</f>
        <v/>
      </c>
      <c r="F272" s="141">
        <f>IFERROR(__xludf.DUMMYFUNCTION("""COMPUTED_VALUE"""),748.28)</f>
        <v/>
      </c>
      <c r="G272" s="143">
        <f>IFERROR(__xludf.DUMMYFUNCTION("""COMPUTED_VALUE"""),34324262)</f>
        <v/>
      </c>
      <c r="H272" s="27" t="n"/>
    </row>
    <row r="273" ht="17.25" customHeight="1" s="322">
      <c r="A273" s="27" t="n"/>
      <c r="B273" s="506">
        <f>IFERROR(__xludf.DUMMYFUNCTION("""COMPUTED_VALUE"""),46225.6666666666)</f>
        <v/>
      </c>
      <c r="C273" s="141">
        <f>IFERROR(__xludf.DUMMYFUNCTION("""COMPUTED_VALUE"""),746.62)</f>
        <v/>
      </c>
      <c r="D273" s="141">
        <f>IFERROR(__xludf.DUMMYFUNCTION("""COMPUTED_VALUE"""),750.02)</f>
        <v/>
      </c>
      <c r="E273" s="141">
        <f>IFERROR(__xludf.DUMMYFUNCTION("""COMPUTED_VALUE"""),746.37)</f>
        <v/>
      </c>
      <c r="F273" s="141">
        <f>IFERROR(__xludf.DUMMYFUNCTION("""COMPUTED_VALUE"""),747.41)</f>
        <v/>
      </c>
      <c r="G273" s="143">
        <f>IFERROR(__xludf.DUMMYFUNCTION("""COMPUTED_VALUE"""),32836200)</f>
        <v/>
      </c>
      <c r="H273" s="27" t="n"/>
    </row>
    <row r="274" ht="17.25" customHeight="1" s="322">
      <c r="A274" s="27" t="n"/>
      <c r="B274" s="506">
        <f>IFERROR(__xludf.DUMMYFUNCTION("""COMPUTED_VALUE"""),46226.6666666666)</f>
        <v/>
      </c>
      <c r="C274" s="141">
        <f>IFERROR(__xludf.DUMMYFUNCTION("""COMPUTED_VALUE"""),739.37)</f>
        <v/>
      </c>
      <c r="D274" s="141">
        <f>IFERROR(__xludf.DUMMYFUNCTION("""COMPUTED_VALUE"""),742.56)</f>
        <v/>
      </c>
      <c r="E274" s="141">
        <f>IFERROR(__xludf.DUMMYFUNCTION("""COMPUTED_VALUE"""),735.21)</f>
        <v/>
      </c>
      <c r="F274" s="141">
        <f>IFERROR(__xludf.DUMMYFUNCTION("""COMPUTED_VALUE"""),738.18)</f>
        <v/>
      </c>
      <c r="G274" s="143">
        <f>IFERROR(__xludf.DUMMYFUNCTION("""COMPUTED_VALUE"""),55437332)</f>
        <v/>
      </c>
      <c r="H274" s="27" t="n"/>
    </row>
    <row r="275" ht="17.25" customHeight="1" s="322">
      <c r="A275" s="27" t="n"/>
      <c r="B275" s="506">
        <f>IFERROR(__xludf.DUMMYFUNCTION("""COMPUTED_VALUE"""),46227.6666666666)</f>
        <v/>
      </c>
      <c r="C275" s="141">
        <f>IFERROR(__xludf.DUMMYFUNCTION("""COMPUTED_VALUE"""),738.51)</f>
        <v/>
      </c>
      <c r="D275" s="141">
        <f>IFERROR(__xludf.DUMMYFUNCTION("""COMPUTED_VALUE"""),743.72)</f>
        <v/>
      </c>
      <c r="E275" s="141">
        <f>IFERROR(__xludf.DUMMYFUNCTION("""COMPUTED_VALUE"""),737.29)</f>
        <v/>
      </c>
      <c r="F275" s="141">
        <f>IFERROR(__xludf.DUMMYFUNCTION("""COMPUTED_VALUE"""),738.93)</f>
        <v/>
      </c>
      <c r="G275" s="143">
        <f>IFERROR(__xludf.DUMMYFUNCTION("""COMPUTED_VALUE"""),44781984)</f>
        <v/>
      </c>
      <c r="H275" s="27" t="n"/>
    </row>
    <row r="276" ht="17.25" customHeight="1" s="322">
      <c r="A276" s="27" t="n"/>
      <c r="B276" s="506">
        <f>IFERROR(__xludf.DUMMYFUNCTION("""COMPUTED_VALUE"""),46230.6666666666)</f>
        <v/>
      </c>
      <c r="C276" s="141">
        <f>IFERROR(__xludf.DUMMYFUNCTION("""COMPUTED_VALUE"""),744.91)</f>
        <v/>
      </c>
      <c r="D276" s="141">
        <f>IFERROR(__xludf.DUMMYFUNCTION("""COMPUTED_VALUE"""),745.53)</f>
        <v/>
      </c>
      <c r="E276" s="141">
        <f>IFERROR(__xludf.DUMMYFUNCTION("""COMPUTED_VALUE"""),735.87)</f>
        <v/>
      </c>
      <c r="F276" s="141">
        <f>IFERROR(__xludf.DUMMYFUNCTION("""COMPUTED_VALUE"""),739.09)</f>
        <v/>
      </c>
      <c r="G276" s="143">
        <f>IFERROR(__xludf.DUMMYFUNCTION("""COMPUTED_VALUE"""),41461194)</f>
        <v/>
      </c>
      <c r="H276" s="27" t="n"/>
    </row>
    <row r="277" ht="17.25" customHeight="1" s="322">
      <c r="A277" s="27" t="n"/>
      <c r="B277" s="506">
        <f>IFERROR(__xludf.DUMMYFUNCTION("""COMPUTED_VALUE"""),46231.6666666666)</f>
        <v/>
      </c>
      <c r="C277" s="141">
        <f>IFERROR(__xludf.DUMMYFUNCTION("""COMPUTED_VALUE"""),739.19)</f>
        <v/>
      </c>
      <c r="D277" s="141">
        <f>IFERROR(__xludf.DUMMYFUNCTION("""COMPUTED_VALUE"""),742.79)</f>
        <v/>
      </c>
      <c r="E277" s="141">
        <f>IFERROR(__xludf.DUMMYFUNCTION("""COMPUTED_VALUE"""),735.98)</f>
        <v/>
      </c>
      <c r="F277" s="141">
        <f>IFERROR(__xludf.DUMMYFUNCTION("""COMPUTED_VALUE"""),740.86)</f>
        <v/>
      </c>
      <c r="G277" s="143">
        <f>IFERROR(__xludf.DUMMYFUNCTION("""COMPUTED_VALUE"""),47322248)</f>
        <v/>
      </c>
      <c r="H277" s="27" t="n"/>
    </row>
    <row r="278" ht="17.25" customHeight="1" s="322">
      <c r="A278" s="27" t="n"/>
      <c r="B278" s="506">
        <f>IFERROR(__xludf.DUMMYFUNCTION("""COMPUTED_VALUE"""),46232.6666666666)</f>
        <v/>
      </c>
      <c r="C278" s="141">
        <f>IFERROR(__xludf.DUMMYFUNCTION("""COMPUTED_VALUE"""),739.97)</f>
        <v/>
      </c>
      <c r="D278" s="141">
        <f>IFERROR(__xludf.DUMMYFUNCTION("""COMPUTED_VALUE"""),742.68)</f>
        <v/>
      </c>
      <c r="E278" s="141">
        <f>IFERROR(__xludf.DUMMYFUNCTION("""COMPUTED_VALUE"""),729.1)</f>
        <v/>
      </c>
      <c r="F278" s="141">
        <f>IFERROR(__xludf.DUMMYFUNCTION("""COMPUTED_VALUE"""),729.46)</f>
        <v/>
      </c>
      <c r="G278" s="143">
        <f>IFERROR(__xludf.DUMMYFUNCTION("""COMPUTED_VALUE"""),66933084)</f>
        <v/>
      </c>
      <c r="H278" s="27" t="n"/>
    </row>
    <row r="279" ht="17.25" customHeight="1" s="322">
      <c r="A279" s="27" t="n"/>
      <c r="B279" s="506" t="n"/>
      <c r="C279" s="141" t="n"/>
      <c r="D279" s="141" t="n"/>
      <c r="E279" s="141" t="n"/>
      <c r="F279" s="141" t="n"/>
      <c r="G279" s="143" t="n"/>
      <c r="H279" s="27" t="n"/>
    </row>
    <row r="280" ht="17.25" customHeight="1" s="322">
      <c r="A280" s="27" t="n"/>
      <c r="B280" s="506" t="n"/>
      <c r="C280" s="141" t="n"/>
      <c r="D280" s="141" t="n"/>
      <c r="E280" s="141" t="n"/>
      <c r="F280" s="141" t="n"/>
      <c r="G280" s="143" t="n"/>
      <c r="H280" s="27" t="n"/>
    </row>
    <row r="281" ht="17.25" customHeight="1" s="322">
      <c r="A281" s="27" t="n"/>
      <c r="B281" s="506" t="n"/>
      <c r="C281" s="141" t="n"/>
      <c r="D281" s="141" t="n"/>
      <c r="E281" s="141" t="n"/>
      <c r="F281" s="141" t="n"/>
      <c r="G281" s="143" t="n"/>
      <c r="H281" s="27" t="n"/>
    </row>
    <row r="282" ht="17.25" customHeight="1" s="322">
      <c r="A282" s="27" t="n"/>
      <c r="B282" s="506" t="n"/>
      <c r="C282" s="141" t="n"/>
      <c r="D282" s="141" t="n"/>
      <c r="E282" s="141" t="n"/>
      <c r="F282" s="141" t="n"/>
      <c r="G282" s="143" t="n"/>
      <c r="H282" s="27" t="n"/>
    </row>
    <row r="283" ht="17.25" customHeight="1" s="322">
      <c r="A283" s="27" t="n"/>
      <c r="B283" s="506" t="n"/>
      <c r="C283" s="141" t="n"/>
      <c r="D283" s="141" t="n"/>
      <c r="E283" s="141" t="n"/>
      <c r="F283" s="141" t="n"/>
      <c r="G283" s="143" t="n"/>
      <c r="H283" s="27" t="n"/>
    </row>
    <row r="284" ht="17.25" customHeight="1" s="322">
      <c r="A284" s="27" t="n"/>
      <c r="B284" s="506" t="n"/>
      <c r="C284" s="141" t="n"/>
      <c r="D284" s="141" t="n"/>
      <c r="E284" s="141" t="n"/>
      <c r="F284" s="141" t="n"/>
      <c r="G284" s="143" t="n"/>
      <c r="H284" s="27" t="n"/>
    </row>
    <row r="285" ht="17.25" customHeight="1" s="322">
      <c r="A285" s="27" t="n"/>
      <c r="B285" s="506" t="n"/>
      <c r="C285" s="141" t="n"/>
      <c r="D285" s="141" t="n"/>
      <c r="E285" s="141" t="n"/>
      <c r="F285" s="141" t="n"/>
      <c r="G285" s="143" t="n"/>
      <c r="H285" s="27" t="n"/>
    </row>
    <row r="286" ht="17.25" customHeight="1" s="322">
      <c r="A286" s="27" t="n"/>
      <c r="B286" s="506" t="n"/>
      <c r="C286" s="141" t="n"/>
      <c r="D286" s="141" t="n"/>
      <c r="E286" s="141" t="n"/>
      <c r="F286" s="141" t="n"/>
      <c r="G286" s="143" t="n"/>
      <c r="H286" s="27" t="n"/>
    </row>
    <row r="287" ht="17.25" customHeight="1" s="322">
      <c r="A287" s="27" t="n"/>
      <c r="B287" s="506" t="n"/>
      <c r="C287" s="141" t="n"/>
      <c r="D287" s="141" t="n"/>
      <c r="E287" s="141" t="n"/>
      <c r="F287" s="141" t="n"/>
      <c r="G287" s="143" t="n"/>
      <c r="H287" s="27" t="n"/>
    </row>
    <row r="288" ht="17.25" customHeight="1" s="322">
      <c r="A288" s="27" t="n"/>
      <c r="B288" s="506" t="n"/>
      <c r="C288" s="141" t="n"/>
      <c r="D288" s="141" t="n"/>
      <c r="E288" s="141" t="n"/>
      <c r="F288" s="141" t="n"/>
      <c r="G288" s="143" t="n"/>
      <c r="H288" s="27" t="n"/>
    </row>
    <row r="289" ht="17.25" customHeight="1" s="322">
      <c r="A289" s="27" t="n"/>
      <c r="B289" s="506" t="n"/>
      <c r="C289" s="141" t="n"/>
      <c r="D289" s="141" t="n"/>
      <c r="E289" s="141" t="n"/>
      <c r="F289" s="141" t="n"/>
      <c r="G289" s="143" t="n"/>
      <c r="H289" s="27" t="n"/>
    </row>
    <row r="290" ht="17.25" customHeight="1" s="322">
      <c r="A290" s="27" t="n"/>
      <c r="B290" s="506" t="n"/>
      <c r="C290" s="141" t="n"/>
      <c r="D290" s="141" t="n"/>
      <c r="E290" s="141" t="n"/>
      <c r="F290" s="141" t="n"/>
      <c r="G290" s="143" t="n"/>
      <c r="H290" s="27" t="n"/>
    </row>
    <row r="291" ht="17.25" customHeight="1" s="322">
      <c r="A291" s="27" t="n"/>
      <c r="B291" s="506" t="n"/>
      <c r="C291" s="141" t="n"/>
      <c r="D291" s="141" t="n"/>
      <c r="E291" s="141" t="n"/>
      <c r="F291" s="141" t="n"/>
      <c r="G291" s="143" t="n"/>
      <c r="H291" s="27" t="n"/>
    </row>
    <row r="292" ht="17.25" customHeight="1" s="322">
      <c r="A292" s="27" t="n"/>
      <c r="B292" s="506" t="n"/>
      <c r="C292" s="141" t="n"/>
      <c r="D292" s="141" t="n"/>
      <c r="E292" s="141" t="n"/>
      <c r="F292" s="141" t="n"/>
      <c r="G292" s="143" t="n"/>
      <c r="H292" s="27" t="n"/>
    </row>
    <row r="293" ht="17.25" customHeight="1" s="322">
      <c r="A293" s="27" t="n"/>
      <c r="B293" s="506" t="n"/>
      <c r="C293" s="141" t="n"/>
      <c r="D293" s="141" t="n"/>
      <c r="E293" s="141" t="n"/>
      <c r="F293" s="141" t="n"/>
      <c r="G293" s="143" t="n"/>
      <c r="H293" s="27" t="n"/>
    </row>
    <row r="294" ht="17.25" customHeight="1" s="322">
      <c r="A294" s="27" t="n"/>
      <c r="B294" s="506" t="n"/>
      <c r="C294" s="141" t="n"/>
      <c r="D294" s="141" t="n"/>
      <c r="E294" s="141" t="n"/>
      <c r="F294" s="141" t="n"/>
      <c r="G294" s="143" t="n"/>
      <c r="H294" s="27" t="n"/>
    </row>
    <row r="295" ht="17.25" customHeight="1" s="322">
      <c r="A295" s="27" t="n"/>
      <c r="B295" s="506" t="n"/>
      <c r="C295" s="141" t="n"/>
      <c r="D295" s="141" t="n"/>
      <c r="E295" s="141" t="n"/>
      <c r="F295" s="141" t="n"/>
      <c r="G295" s="143" t="n"/>
      <c r="H295" s="27" t="n"/>
    </row>
    <row r="296" ht="17.25" customHeight="1" s="322">
      <c r="A296" s="27" t="n"/>
      <c r="B296" s="506" t="n"/>
      <c r="C296" s="141" t="n"/>
      <c r="D296" s="141" t="n"/>
      <c r="E296" s="141" t="n"/>
      <c r="F296" s="141" t="n"/>
      <c r="G296" s="143" t="n"/>
      <c r="H296" s="27" t="n"/>
    </row>
    <row r="297" ht="17.25" customHeight="1" s="322">
      <c r="A297" s="27" t="n"/>
      <c r="B297" s="506" t="n"/>
      <c r="C297" s="141" t="n"/>
      <c r="D297" s="141" t="n"/>
      <c r="E297" s="141" t="n"/>
      <c r="F297" s="141" t="n"/>
      <c r="G297" s="143" t="n"/>
      <c r="H297" s="27" t="n"/>
    </row>
    <row r="298" ht="17.25" customHeight="1" s="322">
      <c r="A298" s="27" t="n"/>
      <c r="B298" s="506" t="n"/>
      <c r="C298" s="141" t="n"/>
      <c r="D298" s="141" t="n"/>
      <c r="E298" s="141" t="n"/>
      <c r="F298" s="141" t="n"/>
      <c r="G298" s="143" t="n"/>
      <c r="H298" s="27" t="n"/>
    </row>
    <row r="299" ht="17.25" customHeight="1" s="322">
      <c r="A299" s="27" t="n"/>
      <c r="B299" s="506" t="n"/>
      <c r="C299" s="141" t="n"/>
      <c r="D299" s="141" t="n"/>
      <c r="E299" s="141" t="n"/>
      <c r="F299" s="141" t="n"/>
      <c r="G299" s="143" t="n"/>
      <c r="H299" s="27" t="n"/>
    </row>
    <row r="300" ht="17.25" customHeight="1" s="322">
      <c r="A300" s="27" t="n"/>
      <c r="B300" s="506" t="n"/>
      <c r="C300" s="141" t="n"/>
      <c r="D300" s="141" t="n"/>
      <c r="E300" s="141" t="n"/>
      <c r="F300" s="141" t="n"/>
      <c r="G300" s="143" t="n"/>
      <c r="H300" s="27" t="n"/>
    </row>
    <row r="301" ht="17.25" customHeight="1" s="322">
      <c r="A301" s="27" t="n"/>
      <c r="B301" s="506" t="n"/>
      <c r="C301" s="141" t="n"/>
      <c r="D301" s="141" t="n"/>
      <c r="E301" s="141" t="n"/>
      <c r="F301" s="141" t="n"/>
      <c r="G301" s="143" t="n"/>
      <c r="H301" s="27" t="n"/>
    </row>
    <row r="302" ht="17.25" customHeight="1" s="322">
      <c r="A302" s="27" t="n"/>
      <c r="B302" s="506" t="n"/>
      <c r="C302" s="141" t="n"/>
      <c r="D302" s="141" t="n"/>
      <c r="E302" s="141" t="n"/>
      <c r="F302" s="141" t="n"/>
      <c r="G302" s="143" t="n"/>
      <c r="H302" s="27" t="n"/>
    </row>
    <row r="303" ht="17.25" customHeight="1" s="322">
      <c r="A303" s="27" t="n"/>
      <c r="B303" s="506" t="n"/>
      <c r="C303" s="141" t="n"/>
      <c r="D303" s="141" t="n"/>
      <c r="E303" s="141" t="n"/>
      <c r="F303" s="141" t="n"/>
      <c r="G303" s="143" t="n"/>
      <c r="H303" s="27" t="n"/>
    </row>
    <row r="304" ht="17.25" customHeight="1" s="322">
      <c r="A304" s="27" t="n"/>
      <c r="B304" s="506" t="n"/>
      <c r="C304" s="141" t="n"/>
      <c r="D304" s="141" t="n"/>
      <c r="E304" s="141" t="n"/>
      <c r="F304" s="141" t="n"/>
      <c r="G304" s="143" t="n"/>
      <c r="H304" s="27" t="n"/>
    </row>
    <row r="305" ht="17.25" customHeight="1" s="322">
      <c r="A305" s="27" t="n"/>
      <c r="B305" s="506" t="n"/>
      <c r="C305" s="141" t="n"/>
      <c r="D305" s="141" t="n"/>
      <c r="E305" s="141" t="n"/>
      <c r="F305" s="141" t="n"/>
      <c r="G305" s="143" t="n"/>
      <c r="H305" s="27" t="n"/>
    </row>
    <row r="306" ht="17.25" customHeight="1" s="322">
      <c r="A306" s="27" t="n"/>
      <c r="B306" s="506" t="n"/>
      <c r="C306" s="141" t="n"/>
      <c r="D306" s="141" t="n"/>
      <c r="E306" s="141" t="n"/>
      <c r="F306" s="141" t="n"/>
      <c r="G306" s="143" t="n"/>
      <c r="H306" s="27" t="n"/>
    </row>
    <row r="307" ht="17.25" customHeight="1" s="322">
      <c r="A307" s="27" t="n"/>
      <c r="B307" s="506" t="n"/>
      <c r="C307" s="141" t="n"/>
      <c r="D307" s="141" t="n"/>
      <c r="E307" s="141" t="n"/>
      <c r="F307" s="141" t="n"/>
      <c r="G307" s="143" t="n"/>
      <c r="H307" s="27" t="n"/>
    </row>
    <row r="308" ht="17.25" customHeight="1" s="322">
      <c r="A308" s="27" t="n"/>
      <c r="B308" s="506" t="n"/>
      <c r="C308" s="141" t="n"/>
      <c r="D308" s="141" t="n"/>
      <c r="E308" s="141" t="n"/>
      <c r="F308" s="141" t="n"/>
      <c r="G308" s="143" t="n"/>
      <c r="H308" s="27" t="n"/>
    </row>
    <row r="309" ht="17.25" customHeight="1" s="322">
      <c r="A309" s="27" t="n"/>
      <c r="B309" s="506" t="n"/>
      <c r="C309" s="141" t="n"/>
      <c r="D309" s="141" t="n"/>
      <c r="E309" s="141" t="n"/>
      <c r="F309" s="141" t="n"/>
      <c r="G309" s="143" t="n"/>
      <c r="H309" s="27" t="n"/>
    </row>
    <row r="310" ht="17.25" customHeight="1" s="322">
      <c r="A310" s="27" t="n"/>
      <c r="B310" s="506" t="n"/>
      <c r="C310" s="141" t="n"/>
      <c r="D310" s="141" t="n"/>
      <c r="E310" s="141" t="n"/>
      <c r="F310" s="141" t="n"/>
      <c r="G310" s="143" t="n"/>
      <c r="H310" s="27" t="n"/>
    </row>
    <row r="311" ht="17.25" customHeight="1" s="322">
      <c r="A311" s="27" t="n"/>
      <c r="B311" s="506" t="n"/>
      <c r="C311" s="141" t="n"/>
      <c r="D311" s="141" t="n"/>
      <c r="E311" s="141" t="n"/>
      <c r="F311" s="141" t="n"/>
      <c r="G311" s="143" t="n"/>
      <c r="H311" s="27" t="n"/>
    </row>
    <row r="312" ht="17.25" customHeight="1" s="322">
      <c r="A312" s="27" t="n"/>
      <c r="B312" s="506" t="n"/>
      <c r="C312" s="141" t="n"/>
      <c r="D312" s="141" t="n"/>
      <c r="E312" s="141" t="n"/>
      <c r="F312" s="141" t="n"/>
      <c r="G312" s="143" t="n"/>
      <c r="H312" s="27" t="n"/>
    </row>
    <row r="313" ht="17.25" customHeight="1" s="322">
      <c r="A313" s="27" t="n"/>
      <c r="B313" s="506" t="n"/>
      <c r="C313" s="141" t="n"/>
      <c r="D313" s="141" t="n"/>
      <c r="E313" s="141" t="n"/>
      <c r="F313" s="141" t="n"/>
      <c r="G313" s="143" t="n"/>
      <c r="H313" s="27" t="n"/>
    </row>
    <row r="314" ht="17.25" customHeight="1" s="322">
      <c r="A314" s="27" t="n"/>
      <c r="B314" s="506" t="n"/>
      <c r="C314" s="141" t="n"/>
      <c r="D314" s="141" t="n"/>
      <c r="E314" s="141" t="n"/>
      <c r="F314" s="141" t="n"/>
      <c r="G314" s="143" t="n"/>
      <c r="H314" s="27" t="n"/>
    </row>
    <row r="315" ht="17.25" customHeight="1" s="322">
      <c r="A315" s="27" t="n"/>
      <c r="B315" s="506" t="n"/>
      <c r="C315" s="141" t="n"/>
      <c r="D315" s="141" t="n"/>
      <c r="E315" s="141" t="n"/>
      <c r="F315" s="141" t="n"/>
      <c r="G315" s="143" t="n"/>
      <c r="H315" s="27" t="n"/>
    </row>
    <row r="316" ht="17.25" customHeight="1" s="322">
      <c r="A316" s="27" t="n"/>
      <c r="B316" s="506" t="n"/>
      <c r="C316" s="141" t="n"/>
      <c r="D316" s="141" t="n"/>
      <c r="E316" s="141" t="n"/>
      <c r="F316" s="141" t="n"/>
      <c r="G316" s="143" t="n"/>
      <c r="H316" s="27" t="n"/>
    </row>
    <row r="317" ht="17.25" customHeight="1" s="322">
      <c r="A317" s="27" t="n"/>
      <c r="B317" s="506" t="n"/>
      <c r="C317" s="141" t="n"/>
      <c r="D317" s="141" t="n"/>
      <c r="E317" s="141" t="n"/>
      <c r="F317" s="141" t="n"/>
      <c r="G317" s="143" t="n"/>
      <c r="H317" s="27" t="n"/>
    </row>
    <row r="318" ht="17.25" customHeight="1" s="322">
      <c r="A318" s="27" t="n"/>
      <c r="B318" s="506" t="n"/>
      <c r="C318" s="141" t="n"/>
      <c r="D318" s="141" t="n"/>
      <c r="E318" s="141" t="n"/>
      <c r="F318" s="141" t="n"/>
      <c r="G318" s="143" t="n"/>
      <c r="H318" s="27" t="n"/>
    </row>
    <row r="319" ht="17.25" customHeight="1" s="322">
      <c r="A319" s="27" t="n"/>
      <c r="B319" s="506" t="n"/>
      <c r="C319" s="141" t="n"/>
      <c r="D319" s="141" t="n"/>
      <c r="E319" s="141" t="n"/>
      <c r="F319" s="141" t="n"/>
      <c r="G319" s="143" t="n"/>
      <c r="H319" s="27" t="n"/>
    </row>
    <row r="320" ht="17.25" customHeight="1" s="322">
      <c r="A320" s="27" t="n"/>
      <c r="B320" s="506" t="n"/>
      <c r="C320" s="141" t="n"/>
      <c r="D320" s="141" t="n"/>
      <c r="E320" s="141" t="n"/>
      <c r="F320" s="141" t="n"/>
      <c r="G320" s="143" t="n"/>
      <c r="H320" s="27" t="n"/>
    </row>
    <row r="321" ht="17.25" customHeight="1" s="322">
      <c r="A321" s="27" t="n"/>
      <c r="B321" s="506" t="n"/>
      <c r="C321" s="141" t="n"/>
      <c r="D321" s="141" t="n"/>
      <c r="E321" s="141" t="n"/>
      <c r="F321" s="141" t="n"/>
      <c r="G321" s="143" t="n"/>
      <c r="H321" s="27" t="n"/>
    </row>
    <row r="322" ht="17.25" customHeight="1" s="322">
      <c r="A322" s="27" t="n"/>
      <c r="B322" s="506" t="n"/>
      <c r="C322" s="141" t="n"/>
      <c r="D322" s="141" t="n"/>
      <c r="E322" s="141" t="n"/>
      <c r="F322" s="141" t="n"/>
      <c r="G322" s="143" t="n"/>
      <c r="H322" s="27" t="n"/>
    </row>
    <row r="323" ht="17.25" customHeight="1" s="322">
      <c r="A323" s="27" t="n"/>
      <c r="B323" s="506" t="n"/>
      <c r="C323" s="141" t="n"/>
      <c r="D323" s="141" t="n"/>
      <c r="E323" s="141" t="n"/>
      <c r="F323" s="141" t="n"/>
      <c r="G323" s="143" t="n"/>
      <c r="H323" s="27" t="n"/>
    </row>
    <row r="324" ht="17.25" customHeight="1" s="322">
      <c r="A324" s="27" t="n"/>
      <c r="B324" s="506" t="n"/>
      <c r="C324" s="141" t="n"/>
      <c r="D324" s="141" t="n"/>
      <c r="E324" s="141" t="n"/>
      <c r="F324" s="141" t="n"/>
      <c r="G324" s="143" t="n"/>
      <c r="H324" s="27" t="n"/>
    </row>
    <row r="325" ht="17.25" customHeight="1" s="322">
      <c r="A325" s="27" t="n"/>
      <c r="B325" s="506" t="n"/>
      <c r="C325" s="141" t="n"/>
      <c r="D325" s="141" t="n"/>
      <c r="E325" s="141" t="n"/>
      <c r="F325" s="141" t="n"/>
      <c r="G325" s="143" t="n"/>
      <c r="H325" s="27" t="n"/>
    </row>
    <row r="326" ht="17.25" customHeight="1" s="322">
      <c r="A326" s="27" t="n"/>
      <c r="B326" s="506" t="n"/>
      <c r="C326" s="141" t="n"/>
      <c r="D326" s="141" t="n"/>
      <c r="E326" s="141" t="n"/>
      <c r="F326" s="141" t="n"/>
      <c r="G326" s="143" t="n"/>
      <c r="H326" s="27" t="n"/>
    </row>
    <row r="327" ht="17.25" customHeight="1" s="322">
      <c r="A327" s="27" t="n"/>
      <c r="B327" s="506" t="n"/>
      <c r="C327" s="141" t="n"/>
      <c r="D327" s="141" t="n"/>
      <c r="E327" s="141" t="n"/>
      <c r="F327" s="141" t="n"/>
      <c r="G327" s="143" t="n"/>
      <c r="H327" s="27" t="n"/>
    </row>
    <row r="328" ht="17.25" customHeight="1" s="322">
      <c r="A328" s="27" t="n"/>
      <c r="B328" s="506" t="n"/>
      <c r="C328" s="141" t="n"/>
      <c r="D328" s="141" t="n"/>
      <c r="E328" s="141" t="n"/>
      <c r="F328" s="141" t="n"/>
      <c r="G328" s="143" t="n"/>
      <c r="H328" s="27" t="n"/>
    </row>
    <row r="329" ht="17.25" customHeight="1" s="322">
      <c r="A329" s="27" t="n"/>
      <c r="B329" s="506" t="n"/>
      <c r="C329" s="141" t="n"/>
      <c r="D329" s="141" t="n"/>
      <c r="E329" s="141" t="n"/>
      <c r="F329" s="141" t="n"/>
      <c r="G329" s="143" t="n"/>
      <c r="H329" s="27" t="n"/>
    </row>
    <row r="330" ht="17.25" customHeight="1" s="322">
      <c r="A330" s="27" t="n"/>
      <c r="B330" s="506" t="n"/>
      <c r="C330" s="141" t="n"/>
      <c r="D330" s="141" t="n"/>
      <c r="E330" s="141" t="n"/>
      <c r="F330" s="141" t="n"/>
      <c r="G330" s="143" t="n"/>
      <c r="H330" s="27" t="n"/>
    </row>
    <row r="331" ht="17.25" customHeight="1" s="322">
      <c r="A331" s="27" t="n"/>
      <c r="B331" s="506" t="n"/>
      <c r="C331" s="141" t="n"/>
      <c r="D331" s="141" t="n"/>
      <c r="E331" s="141" t="n"/>
      <c r="F331" s="141" t="n"/>
      <c r="G331" s="143" t="n"/>
      <c r="H331" s="27" t="n"/>
    </row>
    <row r="332" ht="17.25" customHeight="1" s="322">
      <c r="A332" s="27" t="n"/>
      <c r="B332" s="506" t="n"/>
      <c r="C332" s="141" t="n"/>
      <c r="D332" s="141" t="n"/>
      <c r="E332" s="141" t="n"/>
      <c r="F332" s="141" t="n"/>
      <c r="G332" s="143" t="n"/>
      <c r="H332" s="27" t="n"/>
    </row>
    <row r="333" ht="17.25" customHeight="1" s="322">
      <c r="A333" s="27" t="n"/>
      <c r="B333" s="506" t="n"/>
      <c r="C333" s="141" t="n"/>
      <c r="D333" s="141" t="n"/>
      <c r="E333" s="141" t="n"/>
      <c r="F333" s="141" t="n"/>
      <c r="G333" s="143" t="n"/>
      <c r="H333" s="27" t="n"/>
    </row>
    <row r="334" ht="17.25" customHeight="1" s="322">
      <c r="A334" s="27" t="n"/>
      <c r="B334" s="506" t="n"/>
      <c r="C334" s="141" t="n"/>
      <c r="D334" s="141" t="n"/>
      <c r="E334" s="141" t="n"/>
      <c r="F334" s="141" t="n"/>
      <c r="G334" s="143" t="n"/>
      <c r="H334" s="27" t="n"/>
    </row>
    <row r="335" ht="17.25" customHeight="1" s="322">
      <c r="A335" s="27" t="n"/>
      <c r="B335" s="506" t="n"/>
      <c r="C335" s="141" t="n"/>
      <c r="D335" s="141" t="n"/>
      <c r="E335" s="141" t="n"/>
      <c r="F335" s="141" t="n"/>
      <c r="G335" s="143" t="n"/>
      <c r="H335" s="27" t="n"/>
    </row>
    <row r="336" ht="17.25" customHeight="1" s="322">
      <c r="A336" s="27" t="n"/>
      <c r="B336" s="506" t="n"/>
      <c r="C336" s="141" t="n"/>
      <c r="D336" s="141" t="n"/>
      <c r="E336" s="141" t="n"/>
      <c r="F336" s="141" t="n"/>
      <c r="G336" s="143" t="n"/>
      <c r="H336" s="27" t="n"/>
    </row>
    <row r="337" ht="17.25" customHeight="1" s="322">
      <c r="A337" s="27" t="n"/>
      <c r="B337" s="506" t="n"/>
      <c r="C337" s="141" t="n"/>
      <c r="D337" s="141" t="n"/>
      <c r="E337" s="141" t="n"/>
      <c r="F337" s="141" t="n"/>
      <c r="G337" s="143" t="n"/>
      <c r="H337" s="27" t="n"/>
    </row>
    <row r="338" ht="17.25" customHeight="1" s="322">
      <c r="A338" s="27" t="n"/>
      <c r="B338" s="506" t="n"/>
      <c r="C338" s="141" t="n"/>
      <c r="D338" s="141" t="n"/>
      <c r="E338" s="141" t="n"/>
      <c r="F338" s="141" t="n"/>
      <c r="G338" s="143" t="n"/>
      <c r="H338" s="27" t="n"/>
    </row>
    <row r="339" ht="17.25" customHeight="1" s="322">
      <c r="A339" s="27" t="n"/>
      <c r="B339" s="506" t="n"/>
      <c r="C339" s="141" t="n"/>
      <c r="D339" s="141" t="n"/>
      <c r="E339" s="141" t="n"/>
      <c r="F339" s="141" t="n"/>
      <c r="G339" s="143" t="n"/>
      <c r="H339" s="27" t="n"/>
    </row>
    <row r="340" ht="17.25" customHeight="1" s="322">
      <c r="A340" s="27" t="n"/>
      <c r="B340" s="506" t="n"/>
      <c r="C340" s="141" t="n"/>
      <c r="D340" s="141" t="n"/>
      <c r="E340" s="141" t="n"/>
      <c r="F340" s="141" t="n"/>
      <c r="G340" s="143" t="n"/>
      <c r="H340" s="27" t="n"/>
    </row>
    <row r="341" ht="17.25" customHeight="1" s="322">
      <c r="A341" s="27" t="n"/>
      <c r="B341" s="506" t="n"/>
      <c r="C341" s="141" t="n"/>
      <c r="D341" s="141" t="n"/>
      <c r="E341" s="141" t="n"/>
      <c r="F341" s="141" t="n"/>
      <c r="G341" s="143" t="n"/>
      <c r="H341" s="27" t="n"/>
    </row>
    <row r="342" ht="17.25" customHeight="1" s="322">
      <c r="A342" s="27" t="n"/>
      <c r="B342" s="506" t="n"/>
      <c r="C342" s="141" t="n"/>
      <c r="D342" s="141" t="n"/>
      <c r="E342" s="141" t="n"/>
      <c r="F342" s="141" t="n"/>
      <c r="G342" s="143" t="n"/>
      <c r="H342" s="27" t="n"/>
    </row>
    <row r="343" ht="17.25" customHeight="1" s="322">
      <c r="A343" s="27" t="n"/>
      <c r="B343" s="506" t="n"/>
      <c r="C343" s="141" t="n"/>
      <c r="D343" s="141" t="n"/>
      <c r="E343" s="141" t="n"/>
      <c r="F343" s="141" t="n"/>
      <c r="G343" s="143" t="n"/>
      <c r="H343" s="27" t="n"/>
    </row>
    <row r="344" ht="17.25" customHeight="1" s="322">
      <c r="A344" s="27" t="n"/>
      <c r="B344" s="506" t="n"/>
      <c r="C344" s="141" t="n"/>
      <c r="D344" s="141" t="n"/>
      <c r="E344" s="141" t="n"/>
      <c r="F344" s="141" t="n"/>
      <c r="G344" s="143" t="n"/>
      <c r="H344" s="27" t="n"/>
    </row>
    <row r="345" ht="17.25" customHeight="1" s="322">
      <c r="A345" s="27" t="n"/>
      <c r="B345" s="506" t="n"/>
      <c r="C345" s="141" t="n"/>
      <c r="D345" s="141" t="n"/>
      <c r="E345" s="141" t="n"/>
      <c r="F345" s="141" t="n"/>
      <c r="G345" s="143" t="n"/>
      <c r="H345" s="27" t="n"/>
    </row>
    <row r="346" ht="17.25" customHeight="1" s="322">
      <c r="A346" s="27" t="n"/>
      <c r="B346" s="506" t="n"/>
      <c r="C346" s="141" t="n"/>
      <c r="D346" s="141" t="n"/>
      <c r="E346" s="141" t="n"/>
      <c r="F346" s="141" t="n"/>
      <c r="G346" s="143" t="n"/>
      <c r="H346" s="27" t="n"/>
    </row>
    <row r="347" ht="17.25" customHeight="1" s="322">
      <c r="A347" s="27" t="n"/>
      <c r="B347" s="506" t="n"/>
      <c r="C347" s="141" t="n"/>
      <c r="D347" s="141" t="n"/>
      <c r="E347" s="141" t="n"/>
      <c r="F347" s="141" t="n"/>
      <c r="G347" s="143" t="n"/>
      <c r="H347" s="27" t="n"/>
    </row>
    <row r="348" ht="17.25" customHeight="1" s="322">
      <c r="A348" s="27" t="n"/>
      <c r="B348" s="506" t="n"/>
      <c r="C348" s="141" t="n"/>
      <c r="D348" s="141" t="n"/>
      <c r="E348" s="141" t="n"/>
      <c r="F348" s="141" t="n"/>
      <c r="G348" s="143" t="n"/>
      <c r="H348" s="27" t="n"/>
    </row>
    <row r="349" ht="17.25" customHeight="1" s="322">
      <c r="A349" s="27" t="n"/>
      <c r="B349" s="506" t="n"/>
      <c r="C349" s="141" t="n"/>
      <c r="D349" s="141" t="n"/>
      <c r="E349" s="141" t="n"/>
      <c r="F349" s="141" t="n"/>
      <c r="G349" s="143" t="n"/>
      <c r="H349" s="27" t="n"/>
    </row>
    <row r="350" ht="17.25" customHeight="1" s="322">
      <c r="A350" s="27" t="n"/>
      <c r="B350" s="506" t="n"/>
      <c r="C350" s="141" t="n"/>
      <c r="D350" s="141" t="n"/>
      <c r="E350" s="141" t="n"/>
      <c r="F350" s="141" t="n"/>
      <c r="G350" s="143" t="n"/>
      <c r="H350" s="27" t="n"/>
    </row>
    <row r="351" ht="17.25" customHeight="1" s="322">
      <c r="A351" s="27" t="n"/>
      <c r="B351" s="506" t="n"/>
      <c r="C351" s="141" t="n"/>
      <c r="D351" s="141" t="n"/>
      <c r="E351" s="141" t="n"/>
      <c r="F351" s="141" t="n"/>
      <c r="G351" s="143" t="n"/>
      <c r="H351" s="27" t="n"/>
    </row>
    <row r="352" ht="17.25" customHeight="1" s="322">
      <c r="A352" s="27" t="n"/>
      <c r="B352" s="506" t="n"/>
      <c r="C352" s="141" t="n"/>
      <c r="D352" s="141" t="n"/>
      <c r="E352" s="141" t="n"/>
      <c r="F352" s="141" t="n"/>
      <c r="G352" s="143" t="n"/>
      <c r="H352" s="27" t="n"/>
    </row>
    <row r="353" ht="17.25" customHeight="1" s="322">
      <c r="A353" s="27" t="n"/>
      <c r="B353" s="506" t="n"/>
      <c r="C353" s="141" t="n"/>
      <c r="D353" s="141" t="n"/>
      <c r="E353" s="141" t="n"/>
      <c r="F353" s="141" t="n"/>
      <c r="G353" s="143" t="n"/>
      <c r="H353" s="27" t="n"/>
    </row>
    <row r="354" ht="17.25" customHeight="1" s="322">
      <c r="A354" s="27" t="n"/>
      <c r="B354" s="506" t="n"/>
      <c r="C354" s="141" t="n"/>
      <c r="D354" s="141" t="n"/>
      <c r="E354" s="141" t="n"/>
      <c r="F354" s="141" t="n"/>
      <c r="G354" s="143" t="n"/>
      <c r="H354" s="27" t="n"/>
    </row>
    <row r="355" ht="17.25" customHeight="1" s="322">
      <c r="A355" s="27" t="n"/>
      <c r="B355" s="506" t="n"/>
      <c r="C355" s="141" t="n"/>
      <c r="D355" s="141" t="n"/>
      <c r="E355" s="141" t="n"/>
      <c r="F355" s="141" t="n"/>
      <c r="G355" s="143" t="n"/>
      <c r="H355" s="27" t="n"/>
    </row>
    <row r="356" ht="17.25" customHeight="1" s="322">
      <c r="A356" s="27" t="n"/>
      <c r="B356" s="506" t="n"/>
      <c r="C356" s="141" t="n"/>
      <c r="D356" s="141" t="n"/>
      <c r="E356" s="141" t="n"/>
      <c r="F356" s="141" t="n"/>
      <c r="G356" s="143" t="n"/>
      <c r="H356" s="27" t="n"/>
    </row>
    <row r="357" ht="17.25" customHeight="1" s="322">
      <c r="A357" s="27" t="n"/>
      <c r="B357" s="506" t="n"/>
      <c r="C357" s="141" t="n"/>
      <c r="D357" s="141" t="n"/>
      <c r="E357" s="141" t="n"/>
      <c r="F357" s="141" t="n"/>
      <c r="G357" s="143" t="n"/>
      <c r="H357" s="27" t="n"/>
    </row>
    <row r="358" ht="17.25" customHeight="1" s="322">
      <c r="A358" s="27" t="n"/>
      <c r="B358" s="506" t="n"/>
      <c r="C358" s="141" t="n"/>
      <c r="D358" s="141" t="n"/>
      <c r="E358" s="141" t="n"/>
      <c r="F358" s="141" t="n"/>
      <c r="G358" s="143" t="n"/>
      <c r="H358" s="27" t="n"/>
    </row>
    <row r="359" ht="17.25" customHeight="1" s="322">
      <c r="A359" s="27" t="n"/>
      <c r="B359" s="506" t="n"/>
      <c r="C359" s="141" t="n"/>
      <c r="D359" s="141" t="n"/>
      <c r="E359" s="141" t="n"/>
      <c r="F359" s="141" t="n"/>
      <c r="G359" s="143" t="n"/>
      <c r="H359" s="27" t="n"/>
    </row>
    <row r="360" ht="17.25" customHeight="1" s="322">
      <c r="A360" s="27" t="n"/>
      <c r="B360" s="506" t="n"/>
      <c r="C360" s="141" t="n"/>
      <c r="D360" s="141" t="n"/>
      <c r="E360" s="141" t="n"/>
      <c r="F360" s="141" t="n"/>
      <c r="G360" s="143" t="n"/>
      <c r="H360" s="27" t="n"/>
    </row>
    <row r="361" ht="17.25" customHeight="1" s="322">
      <c r="A361" s="27" t="n"/>
      <c r="B361" s="506" t="n"/>
      <c r="C361" s="141" t="n"/>
      <c r="D361" s="141" t="n"/>
      <c r="E361" s="141" t="n"/>
      <c r="F361" s="141" t="n"/>
      <c r="G361" s="143" t="n"/>
      <c r="H361" s="27" t="n"/>
    </row>
    <row r="362" ht="17.25" customHeight="1" s="322">
      <c r="A362" s="27" t="n"/>
      <c r="B362" s="506" t="n"/>
      <c r="C362" s="141" t="n"/>
      <c r="D362" s="141" t="n"/>
      <c r="E362" s="141" t="n"/>
      <c r="F362" s="141" t="n"/>
      <c r="G362" s="143" t="n"/>
      <c r="H362" s="27" t="n"/>
    </row>
    <row r="363" ht="17.25" customHeight="1" s="322">
      <c r="A363" s="27" t="n"/>
      <c r="B363" s="506" t="n"/>
      <c r="C363" s="141" t="n"/>
      <c r="D363" s="141" t="n"/>
      <c r="E363" s="141" t="n"/>
      <c r="F363" s="141" t="n"/>
      <c r="G363" s="143" t="n"/>
      <c r="H363" s="27" t="n"/>
    </row>
    <row r="364" ht="17.25" customHeight="1" s="322">
      <c r="A364" s="27" t="n"/>
      <c r="B364" s="506" t="n"/>
      <c r="C364" s="141" t="n"/>
      <c r="D364" s="141" t="n"/>
      <c r="E364" s="141" t="n"/>
      <c r="F364" s="141" t="n"/>
      <c r="G364" s="143" t="n"/>
      <c r="H364" s="27" t="n"/>
    </row>
    <row r="365" ht="17.25" customHeight="1" s="322">
      <c r="A365" s="27" t="n"/>
      <c r="B365" s="506" t="n"/>
      <c r="C365" s="141" t="n"/>
      <c r="D365" s="141" t="n"/>
      <c r="E365" s="141" t="n"/>
      <c r="F365" s="141" t="n"/>
      <c r="G365" s="143" t="n"/>
      <c r="H365" s="27" t="n"/>
    </row>
    <row r="366" ht="17.25" customHeight="1" s="322">
      <c r="A366" s="27" t="n"/>
      <c r="B366" s="506" t="n"/>
      <c r="C366" s="141" t="n"/>
      <c r="D366" s="141" t="n"/>
      <c r="E366" s="141" t="n"/>
      <c r="F366" s="141" t="n"/>
      <c r="G366" s="143" t="n"/>
      <c r="H366" s="27" t="n"/>
    </row>
    <row r="367" ht="17.25" customHeight="1" s="322">
      <c r="A367" s="27" t="n"/>
      <c r="B367" s="506" t="n"/>
      <c r="C367" s="141" t="n"/>
      <c r="D367" s="141" t="n"/>
      <c r="E367" s="141" t="n"/>
      <c r="F367" s="141" t="n"/>
      <c r="G367" s="143" t="n"/>
      <c r="H367" s="27" t="n"/>
    </row>
    <row r="368" ht="17.25" customHeight="1" s="322">
      <c r="A368" s="27" t="n"/>
      <c r="B368" s="506" t="n"/>
      <c r="C368" s="141" t="n"/>
      <c r="D368" s="141" t="n"/>
      <c r="E368" s="141" t="n"/>
      <c r="F368" s="141" t="n"/>
      <c r="G368" s="143" t="n"/>
      <c r="H368" s="27" t="n"/>
    </row>
    <row r="369" ht="17.25" customHeight="1" s="322">
      <c r="A369" s="27" t="n"/>
      <c r="B369" s="506" t="n"/>
      <c r="C369" s="141" t="n"/>
      <c r="D369" s="141" t="n"/>
      <c r="E369" s="141" t="n"/>
      <c r="F369" s="141" t="n"/>
      <c r="G369" s="143" t="n"/>
      <c r="H369" s="27" t="n"/>
    </row>
    <row r="370" ht="17.25" customHeight="1" s="322">
      <c r="A370" s="27" t="n"/>
      <c r="B370" s="506" t="n"/>
      <c r="C370" s="141" t="n"/>
      <c r="D370" s="141" t="n"/>
      <c r="E370" s="141" t="n"/>
      <c r="F370" s="141" t="n"/>
      <c r="G370" s="143" t="n"/>
      <c r="H370" s="27" t="n"/>
    </row>
    <row r="371" ht="17.25" customHeight="1" s="322">
      <c r="A371" s="27" t="n"/>
      <c r="B371" s="506" t="n"/>
      <c r="C371" s="141" t="n"/>
      <c r="D371" s="141" t="n"/>
      <c r="E371" s="141" t="n"/>
      <c r="F371" s="141" t="n"/>
      <c r="G371" s="143" t="n"/>
      <c r="H371" s="27" t="n"/>
    </row>
    <row r="372" ht="17.25" customHeight="1" s="322">
      <c r="A372" s="27" t="n"/>
      <c r="B372" s="506" t="n"/>
      <c r="C372" s="141" t="n"/>
      <c r="D372" s="141" t="n"/>
      <c r="E372" s="141" t="n"/>
      <c r="F372" s="141" t="n"/>
      <c r="G372" s="143" t="n"/>
      <c r="H372" s="27" t="n"/>
    </row>
    <row r="373" ht="17.25" customHeight="1" s="322">
      <c r="A373" s="27" t="n"/>
      <c r="B373" s="506" t="n"/>
      <c r="C373" s="141" t="n"/>
      <c r="D373" s="141" t="n"/>
      <c r="E373" s="141" t="n"/>
      <c r="F373" s="141" t="n"/>
      <c r="G373" s="143" t="n"/>
      <c r="H373" s="27" t="n"/>
    </row>
    <row r="374" ht="17.25" customHeight="1" s="322">
      <c r="A374" s="27" t="n"/>
      <c r="B374" s="506" t="n"/>
      <c r="C374" s="141" t="n"/>
      <c r="D374" s="141" t="n"/>
      <c r="E374" s="141" t="n"/>
      <c r="F374" s="141" t="n"/>
      <c r="G374" s="143" t="n"/>
      <c r="H374" s="27" t="n"/>
    </row>
    <row r="375" ht="17.25" customHeight="1" s="322">
      <c r="A375" s="27" t="n"/>
      <c r="B375" s="506" t="n"/>
      <c r="C375" s="141" t="n"/>
      <c r="D375" s="141" t="n"/>
      <c r="E375" s="141" t="n"/>
      <c r="F375" s="141" t="n"/>
      <c r="G375" s="143" t="n"/>
      <c r="H375" s="27" t="n"/>
    </row>
    <row r="376" ht="17.25" customHeight="1" s="322">
      <c r="A376" s="27" t="n"/>
      <c r="B376" s="506" t="n"/>
      <c r="C376" s="141" t="n"/>
      <c r="D376" s="141" t="n"/>
      <c r="E376" s="141" t="n"/>
      <c r="F376" s="141" t="n"/>
      <c r="G376" s="143" t="n"/>
      <c r="H376" s="27" t="n"/>
    </row>
    <row r="377" ht="17.25" customHeight="1" s="322">
      <c r="A377" s="27" t="n"/>
      <c r="B377" s="506" t="n"/>
      <c r="C377" s="141" t="n"/>
      <c r="D377" s="141" t="n"/>
      <c r="E377" s="141" t="n"/>
      <c r="F377" s="141" t="n"/>
      <c r="G377" s="143" t="n"/>
      <c r="H377" s="27" t="n"/>
    </row>
    <row r="378" ht="17.25" customHeight="1" s="322">
      <c r="A378" s="27" t="n"/>
      <c r="B378" s="506" t="n"/>
      <c r="C378" s="141" t="n"/>
      <c r="D378" s="141" t="n"/>
      <c r="E378" s="141" t="n"/>
      <c r="F378" s="141" t="n"/>
      <c r="G378" s="143" t="n"/>
      <c r="H378" s="27" t="n"/>
    </row>
    <row r="379" ht="17.25" customHeight="1" s="322">
      <c r="A379" s="27" t="n"/>
      <c r="B379" s="506" t="n"/>
      <c r="C379" s="141" t="n"/>
      <c r="D379" s="141" t="n"/>
      <c r="E379" s="141" t="n"/>
      <c r="F379" s="141" t="n"/>
      <c r="G379" s="143" t="n"/>
      <c r="H379" s="27" t="n"/>
    </row>
    <row r="380" ht="17.25" customHeight="1" s="322">
      <c r="A380" s="27" t="n"/>
      <c r="B380" s="506" t="n"/>
      <c r="C380" s="141" t="n"/>
      <c r="D380" s="141" t="n"/>
      <c r="E380" s="141" t="n"/>
      <c r="F380" s="141" t="n"/>
      <c r="G380" s="143" t="n"/>
      <c r="H380" s="27" t="n"/>
    </row>
    <row r="381" ht="17.25" customHeight="1" s="322">
      <c r="A381" s="27" t="n"/>
      <c r="B381" s="506" t="n"/>
      <c r="C381" s="141" t="n"/>
      <c r="D381" s="141" t="n"/>
      <c r="E381" s="141" t="n"/>
      <c r="F381" s="141" t="n"/>
      <c r="G381" s="143" t="n"/>
      <c r="H381" s="27" t="n"/>
    </row>
    <row r="382" ht="17.25" customHeight="1" s="322">
      <c r="A382" s="27" t="n"/>
      <c r="B382" s="506" t="n"/>
      <c r="C382" s="141" t="n"/>
      <c r="D382" s="141" t="n"/>
      <c r="E382" s="141" t="n"/>
      <c r="F382" s="141" t="n"/>
      <c r="G382" s="143" t="n"/>
      <c r="H382" s="27" t="n"/>
    </row>
    <row r="383" ht="17.25" customHeight="1" s="322">
      <c r="A383" s="27" t="n"/>
      <c r="B383" s="506" t="n"/>
      <c r="C383" s="141" t="n"/>
      <c r="D383" s="141" t="n"/>
      <c r="E383" s="141" t="n"/>
      <c r="F383" s="141" t="n"/>
      <c r="G383" s="143" t="n"/>
      <c r="H383" s="27" t="n"/>
    </row>
    <row r="384" ht="17.25" customHeight="1" s="322">
      <c r="A384" s="27" t="n"/>
      <c r="B384" s="506" t="n"/>
      <c r="C384" s="141" t="n"/>
      <c r="D384" s="141" t="n"/>
      <c r="E384" s="141" t="n"/>
      <c r="F384" s="141" t="n"/>
      <c r="G384" s="143" t="n"/>
      <c r="H384" s="27" t="n"/>
    </row>
    <row r="385" ht="17.25" customHeight="1" s="322">
      <c r="A385" s="27" t="n"/>
      <c r="B385" s="506" t="n"/>
      <c r="C385" s="141" t="n"/>
      <c r="D385" s="141" t="n"/>
      <c r="E385" s="141" t="n"/>
      <c r="F385" s="141" t="n"/>
      <c r="G385" s="143" t="n"/>
      <c r="H385" s="27" t="n"/>
    </row>
    <row r="386" ht="17.25" customHeight="1" s="322">
      <c r="A386" s="27" t="n"/>
      <c r="B386" s="506" t="n"/>
      <c r="C386" s="141" t="n"/>
      <c r="D386" s="141" t="n"/>
      <c r="E386" s="141" t="n"/>
      <c r="F386" s="141" t="n"/>
      <c r="G386" s="143" t="n"/>
      <c r="H386" s="27" t="n"/>
    </row>
    <row r="387" ht="17.25" customHeight="1" s="322">
      <c r="A387" s="27" t="n"/>
      <c r="B387" s="506" t="n"/>
      <c r="C387" s="141" t="n"/>
      <c r="D387" s="141" t="n"/>
      <c r="E387" s="141" t="n"/>
      <c r="F387" s="141" t="n"/>
      <c r="G387" s="143" t="n"/>
      <c r="H387" s="27" t="n"/>
    </row>
    <row r="388" ht="17.25" customHeight="1" s="322">
      <c r="A388" s="27" t="n"/>
      <c r="B388" s="506" t="n"/>
      <c r="C388" s="141" t="n"/>
      <c r="D388" s="141" t="n"/>
      <c r="E388" s="141" t="n"/>
      <c r="F388" s="141" t="n"/>
      <c r="G388" s="143" t="n"/>
      <c r="H388" s="27" t="n"/>
    </row>
    <row r="389" ht="17.25" customHeight="1" s="322">
      <c r="A389" s="27" t="n"/>
      <c r="B389" s="506" t="n"/>
      <c r="C389" s="141" t="n"/>
      <c r="D389" s="141" t="n"/>
      <c r="E389" s="141" t="n"/>
      <c r="F389" s="141" t="n"/>
      <c r="G389" s="143" t="n"/>
      <c r="H389" s="27" t="n"/>
    </row>
    <row r="390" ht="17.25" customHeight="1" s="322">
      <c r="A390" s="27" t="n"/>
      <c r="B390" s="506" t="n"/>
      <c r="C390" s="141" t="n"/>
      <c r="D390" s="141" t="n"/>
      <c r="E390" s="141" t="n"/>
      <c r="F390" s="141" t="n"/>
      <c r="G390" s="143" t="n"/>
      <c r="H390" s="27" t="n"/>
    </row>
    <row r="391" ht="17.25" customHeight="1" s="322">
      <c r="A391" s="27" t="n"/>
      <c r="B391" s="506" t="n"/>
      <c r="C391" s="141" t="n"/>
      <c r="D391" s="141" t="n"/>
      <c r="E391" s="141" t="n"/>
      <c r="F391" s="141" t="n"/>
      <c r="G391" s="143" t="n"/>
      <c r="H391" s="27" t="n"/>
    </row>
    <row r="392" ht="17.25" customHeight="1" s="322">
      <c r="A392" s="27" t="n"/>
      <c r="B392" s="506" t="n"/>
      <c r="C392" s="141" t="n"/>
      <c r="D392" s="141" t="n"/>
      <c r="E392" s="141" t="n"/>
      <c r="F392" s="141" t="n"/>
      <c r="G392" s="143" t="n"/>
      <c r="H392" s="27" t="n"/>
    </row>
    <row r="393" ht="17.25" customHeight="1" s="322">
      <c r="A393" s="27" t="n"/>
      <c r="B393" s="506" t="n"/>
      <c r="C393" s="141" t="n"/>
      <c r="D393" s="141" t="n"/>
      <c r="E393" s="141" t="n"/>
      <c r="F393" s="141" t="n"/>
      <c r="G393" s="143" t="n"/>
      <c r="H393" s="27" t="n"/>
    </row>
    <row r="394" ht="17.25" customHeight="1" s="322">
      <c r="A394" s="27" t="n"/>
      <c r="B394" s="506" t="n"/>
      <c r="C394" s="141" t="n"/>
      <c r="D394" s="141" t="n"/>
      <c r="E394" s="141" t="n"/>
      <c r="F394" s="141" t="n"/>
      <c r="G394" s="143" t="n"/>
      <c r="H394" s="27" t="n"/>
    </row>
    <row r="395" ht="17.25" customHeight="1" s="322">
      <c r="A395" s="27" t="n"/>
      <c r="B395" s="506" t="n"/>
      <c r="C395" s="141" t="n"/>
      <c r="D395" s="141" t="n"/>
      <c r="E395" s="141" t="n"/>
      <c r="F395" s="141" t="n"/>
      <c r="G395" s="143" t="n"/>
      <c r="H395" s="27" t="n"/>
    </row>
    <row r="396" ht="17.25" customHeight="1" s="322">
      <c r="A396" s="27" t="n"/>
      <c r="B396" s="506" t="n"/>
      <c r="C396" s="141" t="n"/>
      <c r="D396" s="141" t="n"/>
      <c r="E396" s="141" t="n"/>
      <c r="F396" s="141" t="n"/>
      <c r="G396" s="143" t="n"/>
      <c r="H396" s="27" t="n"/>
    </row>
    <row r="397" ht="17.25" customHeight="1" s="322">
      <c r="A397" s="27" t="n"/>
      <c r="B397" s="506" t="n"/>
      <c r="C397" s="141" t="n"/>
      <c r="D397" s="141" t="n"/>
      <c r="E397" s="141" t="n"/>
      <c r="F397" s="141" t="n"/>
      <c r="G397" s="143" t="n"/>
      <c r="H397" s="27" t="n"/>
    </row>
    <row r="398" ht="17.25" customHeight="1" s="322">
      <c r="A398" s="27" t="n"/>
      <c r="B398" s="506" t="n"/>
      <c r="C398" s="141" t="n"/>
      <c r="D398" s="141" t="n"/>
      <c r="E398" s="141" t="n"/>
      <c r="F398" s="141" t="n"/>
      <c r="G398" s="143" t="n"/>
      <c r="H398" s="27" t="n"/>
    </row>
    <row r="399" ht="17.25" customHeight="1" s="322">
      <c r="A399" s="27" t="n"/>
      <c r="B399" s="506" t="n"/>
      <c r="C399" s="141" t="n"/>
      <c r="D399" s="141" t="n"/>
      <c r="E399" s="141" t="n"/>
      <c r="F399" s="141" t="n"/>
      <c r="G399" s="143" t="n"/>
      <c r="H399" s="27" t="n"/>
    </row>
    <row r="400" ht="17.25" customHeight="1" s="322">
      <c r="A400" s="27" t="n"/>
      <c r="B400" s="506" t="n"/>
      <c r="C400" s="141" t="n"/>
      <c r="D400" s="141" t="n"/>
      <c r="E400" s="141" t="n"/>
      <c r="F400" s="141" t="n"/>
      <c r="G400" s="143" t="n"/>
      <c r="H400" s="27" t="n"/>
    </row>
    <row r="401" ht="17.25" customHeight="1" s="322">
      <c r="A401" s="27" t="n"/>
      <c r="B401" s="506" t="n"/>
      <c r="C401" s="141" t="n"/>
      <c r="D401" s="141" t="n"/>
      <c r="E401" s="141" t="n"/>
      <c r="F401" s="141" t="n"/>
      <c r="G401" s="143" t="n"/>
      <c r="H401" s="27" t="n"/>
    </row>
    <row r="402" ht="17.25" customHeight="1" s="322">
      <c r="A402" s="27" t="n"/>
      <c r="B402" s="506" t="n"/>
      <c r="C402" s="141" t="n"/>
      <c r="D402" s="141" t="n"/>
      <c r="E402" s="141" t="n"/>
      <c r="F402" s="141" t="n"/>
      <c r="G402" s="143" t="n"/>
      <c r="H402" s="27" t="n"/>
    </row>
    <row r="403" ht="17.25" customHeight="1" s="322">
      <c r="A403" s="27" t="n"/>
      <c r="B403" s="506" t="n"/>
      <c r="C403" s="141" t="n"/>
      <c r="D403" s="141" t="n"/>
      <c r="E403" s="141" t="n"/>
      <c r="F403" s="141" t="n"/>
      <c r="G403" s="143" t="n"/>
      <c r="H403" s="27" t="n"/>
    </row>
    <row r="404" ht="17.25" customHeight="1" s="322">
      <c r="A404" s="27" t="n"/>
      <c r="B404" s="506" t="n"/>
      <c r="C404" s="141" t="n"/>
      <c r="D404" s="141" t="n"/>
      <c r="E404" s="141" t="n"/>
      <c r="F404" s="141" t="n"/>
      <c r="G404" s="143" t="n"/>
      <c r="H404" s="27" t="n"/>
    </row>
    <row r="405" ht="17.25" customHeight="1" s="322">
      <c r="A405" s="27" t="n"/>
      <c r="B405" s="506" t="n"/>
      <c r="C405" s="141" t="n"/>
      <c r="D405" s="141" t="n"/>
      <c r="E405" s="141" t="n"/>
      <c r="F405" s="141" t="n"/>
      <c r="G405" s="143" t="n"/>
      <c r="H405" s="27" t="n"/>
    </row>
    <row r="406" ht="17.25" customHeight="1" s="322">
      <c r="A406" s="27" t="n"/>
      <c r="B406" s="506" t="n"/>
      <c r="C406" s="141" t="n"/>
      <c r="D406" s="141" t="n"/>
      <c r="E406" s="141" t="n"/>
      <c r="F406" s="141" t="n"/>
      <c r="G406" s="143" t="n"/>
      <c r="H406" s="27" t="n"/>
    </row>
    <row r="407" ht="17.25" customHeight="1" s="322">
      <c r="A407" s="27" t="n"/>
      <c r="B407" s="506" t="n"/>
      <c r="C407" s="141" t="n"/>
      <c r="D407" s="141" t="n"/>
      <c r="E407" s="141" t="n"/>
      <c r="F407" s="141" t="n"/>
      <c r="G407" s="143" t="n"/>
      <c r="H407" s="27" t="n"/>
    </row>
    <row r="408" ht="17.25" customHeight="1" s="322">
      <c r="A408" s="27" t="n"/>
      <c r="B408" s="506" t="n"/>
      <c r="C408" s="141" t="n"/>
      <c r="D408" s="141" t="n"/>
      <c r="E408" s="141" t="n"/>
      <c r="F408" s="141" t="n"/>
      <c r="G408" s="143" t="n"/>
      <c r="H408" s="27" t="n"/>
    </row>
    <row r="409" ht="17.25" customHeight="1" s="322">
      <c r="A409" s="27" t="n"/>
      <c r="B409" s="506" t="n"/>
      <c r="C409" s="141" t="n"/>
      <c r="D409" s="141" t="n"/>
      <c r="E409" s="141" t="n"/>
      <c r="F409" s="141" t="n"/>
      <c r="G409" s="143" t="n"/>
      <c r="H409" s="27" t="n"/>
    </row>
    <row r="410" ht="17.25" customHeight="1" s="322">
      <c r="A410" s="27" t="n"/>
      <c r="B410" s="506" t="n"/>
      <c r="C410" s="141" t="n"/>
      <c r="D410" s="141" t="n"/>
      <c r="E410" s="141" t="n"/>
      <c r="F410" s="141" t="n"/>
      <c r="G410" s="143" t="n"/>
      <c r="H410" s="27" t="n"/>
    </row>
    <row r="411" ht="17.25" customHeight="1" s="322">
      <c r="A411" s="27" t="n"/>
      <c r="B411" s="506" t="n"/>
      <c r="C411" s="141" t="n"/>
      <c r="D411" s="141" t="n"/>
      <c r="E411" s="141" t="n"/>
      <c r="F411" s="141" t="n"/>
      <c r="G411" s="143" t="n"/>
      <c r="H411" s="27" t="n"/>
    </row>
    <row r="412" ht="17.25" customHeight="1" s="322">
      <c r="A412" s="27" t="n"/>
      <c r="B412" s="506" t="n"/>
      <c r="C412" s="141" t="n"/>
      <c r="D412" s="141" t="n"/>
      <c r="E412" s="141" t="n"/>
      <c r="F412" s="141" t="n"/>
      <c r="G412" s="143" t="n"/>
      <c r="H412" s="27" t="n"/>
    </row>
    <row r="413" ht="17.25" customHeight="1" s="322">
      <c r="A413" s="27" t="n"/>
      <c r="B413" s="506" t="n"/>
      <c r="C413" s="141" t="n"/>
      <c r="D413" s="141" t="n"/>
      <c r="E413" s="141" t="n"/>
      <c r="F413" s="141" t="n"/>
      <c r="G413" s="143" t="n"/>
      <c r="H413" s="27" t="n"/>
    </row>
    <row r="414" ht="17.25" customHeight="1" s="322">
      <c r="A414" s="27" t="n"/>
      <c r="B414" s="506" t="n"/>
      <c r="C414" s="141" t="n"/>
      <c r="D414" s="141" t="n"/>
      <c r="E414" s="141" t="n"/>
      <c r="F414" s="141" t="n"/>
      <c r="G414" s="143" t="n"/>
      <c r="H414" s="27" t="n"/>
    </row>
    <row r="415" ht="17.25" customHeight="1" s="322">
      <c r="A415" s="27" t="n"/>
      <c r="B415" s="506" t="n"/>
      <c r="C415" s="141" t="n"/>
      <c r="D415" s="141" t="n"/>
      <c r="E415" s="141" t="n"/>
      <c r="F415" s="141" t="n"/>
      <c r="G415" s="143" t="n"/>
      <c r="H415" s="27" t="n"/>
    </row>
    <row r="416" ht="17.25" customHeight="1" s="322">
      <c r="A416" s="27" t="n"/>
      <c r="B416" s="506" t="n"/>
      <c r="C416" s="141" t="n"/>
      <c r="D416" s="141" t="n"/>
      <c r="E416" s="141" t="n"/>
      <c r="F416" s="141" t="n"/>
      <c r="G416" s="143" t="n"/>
      <c r="H416" s="27" t="n"/>
    </row>
    <row r="417" ht="17.25" customHeight="1" s="322">
      <c r="A417" s="27" t="n"/>
      <c r="B417" s="506" t="n"/>
      <c r="C417" s="141" t="n"/>
      <c r="D417" s="141" t="n"/>
      <c r="E417" s="141" t="n"/>
      <c r="F417" s="141" t="n"/>
      <c r="G417" s="143" t="n"/>
      <c r="H417" s="27" t="n"/>
    </row>
    <row r="418" ht="17.25" customHeight="1" s="322">
      <c r="A418" s="27" t="n"/>
      <c r="B418" s="506" t="n"/>
      <c r="C418" s="141" t="n"/>
      <c r="D418" s="141" t="n"/>
      <c r="E418" s="141" t="n"/>
      <c r="F418" s="141" t="n"/>
      <c r="G418" s="143" t="n"/>
      <c r="H418" s="27" t="n"/>
    </row>
    <row r="419" ht="17.25" customHeight="1" s="322">
      <c r="A419" s="27" t="n"/>
      <c r="B419" s="506" t="n"/>
      <c r="C419" s="141" t="n"/>
      <c r="D419" s="141" t="n"/>
      <c r="E419" s="141" t="n"/>
      <c r="F419" s="141" t="n"/>
      <c r="G419" s="143" t="n"/>
      <c r="H419" s="27" t="n"/>
    </row>
    <row r="420" ht="17.25" customHeight="1" s="322">
      <c r="A420" s="27" t="n"/>
      <c r="B420" s="506" t="n"/>
      <c r="C420" s="141" t="n"/>
      <c r="D420" s="141" t="n"/>
      <c r="E420" s="141" t="n"/>
      <c r="F420" s="141" t="n"/>
      <c r="G420" s="143" t="n"/>
      <c r="H420" s="27" t="n"/>
    </row>
    <row r="421" ht="17.25" customHeight="1" s="322">
      <c r="A421" s="27" t="n"/>
      <c r="B421" s="506" t="n"/>
      <c r="C421" s="141" t="n"/>
      <c r="D421" s="141" t="n"/>
      <c r="E421" s="141" t="n"/>
      <c r="F421" s="141" t="n"/>
      <c r="G421" s="143" t="n"/>
      <c r="H421" s="27" t="n"/>
    </row>
    <row r="422" ht="17.25" customHeight="1" s="322">
      <c r="A422" s="27" t="n"/>
      <c r="B422" s="506" t="n"/>
      <c r="C422" s="141" t="n"/>
      <c r="D422" s="141" t="n"/>
      <c r="E422" s="141" t="n"/>
      <c r="F422" s="141" t="n"/>
      <c r="G422" s="143" t="n"/>
      <c r="H422" s="27" t="n"/>
    </row>
    <row r="423" ht="17.25" customHeight="1" s="322">
      <c r="A423" s="27" t="n"/>
      <c r="B423" s="506" t="n"/>
      <c r="C423" s="141" t="n"/>
      <c r="D423" s="141" t="n"/>
      <c r="E423" s="141" t="n"/>
      <c r="F423" s="141" t="n"/>
      <c r="G423" s="143" t="n"/>
      <c r="H423" s="27" t="n"/>
    </row>
    <row r="424" ht="17.25" customHeight="1" s="322">
      <c r="A424" s="27" t="n"/>
      <c r="B424" s="506" t="n"/>
      <c r="C424" s="141" t="n"/>
      <c r="D424" s="141" t="n"/>
      <c r="E424" s="141" t="n"/>
      <c r="F424" s="141" t="n"/>
      <c r="G424" s="143" t="n"/>
      <c r="H424" s="27" t="n"/>
    </row>
    <row r="425" ht="17.25" customHeight="1" s="322">
      <c r="A425" s="27" t="n"/>
      <c r="B425" s="506" t="n"/>
      <c r="C425" s="141" t="n"/>
      <c r="D425" s="141" t="n"/>
      <c r="E425" s="141" t="n"/>
      <c r="F425" s="141" t="n"/>
      <c r="G425" s="143" t="n"/>
      <c r="H425" s="27" t="n"/>
    </row>
    <row r="426" ht="17.25" customHeight="1" s="322">
      <c r="A426" s="27" t="n"/>
      <c r="B426" s="506" t="n"/>
      <c r="C426" s="141" t="n"/>
      <c r="D426" s="141" t="n"/>
      <c r="E426" s="141" t="n"/>
      <c r="F426" s="141" t="n"/>
      <c r="G426" s="143" t="n"/>
      <c r="H426" s="27" t="n"/>
    </row>
    <row r="427" ht="17.25" customHeight="1" s="322">
      <c r="A427" s="27" t="n"/>
      <c r="B427" s="506" t="n"/>
      <c r="C427" s="141" t="n"/>
      <c r="D427" s="141" t="n"/>
      <c r="E427" s="141" t="n"/>
      <c r="F427" s="141" t="n"/>
      <c r="G427" s="143" t="n"/>
      <c r="H427" s="27" t="n"/>
    </row>
    <row r="428" ht="17.25" customHeight="1" s="322">
      <c r="A428" s="27" t="n"/>
      <c r="B428" s="506" t="n"/>
      <c r="C428" s="141" t="n"/>
      <c r="D428" s="141" t="n"/>
      <c r="E428" s="141" t="n"/>
      <c r="F428" s="141" t="n"/>
      <c r="G428" s="143" t="n"/>
      <c r="H428" s="27" t="n"/>
    </row>
    <row r="429" ht="17.25" customHeight="1" s="322">
      <c r="A429" s="27" t="n"/>
      <c r="B429" s="506" t="n"/>
      <c r="C429" s="141" t="n"/>
      <c r="D429" s="141" t="n"/>
      <c r="E429" s="141" t="n"/>
      <c r="F429" s="141" t="n"/>
      <c r="G429" s="143" t="n"/>
      <c r="H429" s="27" t="n"/>
    </row>
    <row r="430" ht="17.25" customHeight="1" s="322">
      <c r="A430" s="27" t="n"/>
      <c r="B430" s="506" t="n"/>
      <c r="C430" s="141" t="n"/>
      <c r="D430" s="141" t="n"/>
      <c r="E430" s="141" t="n"/>
      <c r="F430" s="141" t="n"/>
      <c r="G430" s="143" t="n"/>
      <c r="H430" s="27" t="n"/>
    </row>
    <row r="431" ht="17.25" customHeight="1" s="322">
      <c r="A431" s="27" t="n"/>
      <c r="B431" s="506" t="n"/>
      <c r="C431" s="141" t="n"/>
      <c r="D431" s="141" t="n"/>
      <c r="E431" s="141" t="n"/>
      <c r="F431" s="141" t="n"/>
      <c r="G431" s="143" t="n"/>
      <c r="H431" s="27" t="n"/>
    </row>
    <row r="432" ht="17.25" customHeight="1" s="322">
      <c r="A432" s="27" t="n"/>
      <c r="B432" s="506" t="n"/>
      <c r="C432" s="141" t="n"/>
      <c r="D432" s="141" t="n"/>
      <c r="E432" s="141" t="n"/>
      <c r="F432" s="141" t="n"/>
      <c r="G432" s="143" t="n"/>
      <c r="H432" s="27" t="n"/>
    </row>
    <row r="433" ht="17.25" customHeight="1" s="322">
      <c r="A433" s="27" t="n"/>
      <c r="B433" s="506" t="n"/>
      <c r="C433" s="141" t="n"/>
      <c r="D433" s="141" t="n"/>
      <c r="E433" s="141" t="n"/>
      <c r="F433" s="141" t="n"/>
      <c r="G433" s="143" t="n"/>
      <c r="H433" s="27" t="n"/>
    </row>
    <row r="434" ht="17.25" customHeight="1" s="322">
      <c r="A434" s="27" t="n"/>
      <c r="B434" s="506" t="n"/>
      <c r="C434" s="141" t="n"/>
      <c r="D434" s="141" t="n"/>
      <c r="E434" s="141" t="n"/>
      <c r="F434" s="141" t="n"/>
      <c r="G434" s="143" t="n"/>
      <c r="H434" s="27" t="n"/>
    </row>
    <row r="435" ht="17.25" customHeight="1" s="322">
      <c r="A435" s="27" t="n"/>
      <c r="B435" s="506" t="n"/>
      <c r="C435" s="141" t="n"/>
      <c r="D435" s="141" t="n"/>
      <c r="E435" s="141" t="n"/>
      <c r="F435" s="141" t="n"/>
      <c r="G435" s="143" t="n"/>
      <c r="H435" s="27" t="n"/>
    </row>
    <row r="436" ht="17.25" customHeight="1" s="322">
      <c r="A436" s="27" t="n"/>
      <c r="B436" s="506" t="n"/>
      <c r="C436" s="141" t="n"/>
      <c r="D436" s="141" t="n"/>
      <c r="E436" s="141" t="n"/>
      <c r="F436" s="141" t="n"/>
      <c r="G436" s="143" t="n"/>
      <c r="H436" s="27" t="n"/>
    </row>
    <row r="437" ht="17.25" customHeight="1" s="322">
      <c r="A437" s="27" t="n"/>
      <c r="B437" s="506" t="n"/>
      <c r="C437" s="141" t="n"/>
      <c r="D437" s="141" t="n"/>
      <c r="E437" s="141" t="n"/>
      <c r="F437" s="141" t="n"/>
      <c r="G437" s="143" t="n"/>
      <c r="H437" s="27" t="n"/>
    </row>
    <row r="438" ht="17.25" customHeight="1" s="322">
      <c r="A438" s="27" t="n"/>
      <c r="B438" s="506" t="n"/>
      <c r="C438" s="141" t="n"/>
      <c r="D438" s="141" t="n"/>
      <c r="E438" s="141" t="n"/>
      <c r="F438" s="141" t="n"/>
      <c r="G438" s="143" t="n"/>
      <c r="H438" s="27" t="n"/>
    </row>
    <row r="439" ht="17.25" customHeight="1" s="322">
      <c r="A439" s="27" t="n"/>
      <c r="B439" s="506" t="n"/>
      <c r="C439" s="141" t="n"/>
      <c r="D439" s="141" t="n"/>
      <c r="E439" s="141" t="n"/>
      <c r="F439" s="141" t="n"/>
      <c r="G439" s="143" t="n"/>
      <c r="H439" s="27" t="n"/>
    </row>
    <row r="440" ht="17.25" customHeight="1" s="322">
      <c r="A440" s="27" t="n"/>
      <c r="B440" s="506" t="n"/>
      <c r="C440" s="141" t="n"/>
      <c r="D440" s="141" t="n"/>
      <c r="E440" s="141" t="n"/>
      <c r="F440" s="141" t="n"/>
      <c r="G440" s="143" t="n"/>
      <c r="H440" s="27" t="n"/>
    </row>
    <row r="441" ht="17.25" customHeight="1" s="322">
      <c r="A441" s="27" t="n"/>
      <c r="B441" s="506" t="n"/>
      <c r="C441" s="141" t="n"/>
      <c r="D441" s="141" t="n"/>
      <c r="E441" s="141" t="n"/>
      <c r="F441" s="141" t="n"/>
      <c r="G441" s="143" t="n"/>
      <c r="H441" s="27" t="n"/>
    </row>
    <row r="442" ht="17.25" customHeight="1" s="322">
      <c r="A442" s="27" t="n"/>
      <c r="B442" s="506" t="n"/>
      <c r="C442" s="141" t="n"/>
      <c r="D442" s="141" t="n"/>
      <c r="E442" s="141" t="n"/>
      <c r="F442" s="141" t="n"/>
      <c r="G442" s="143" t="n"/>
      <c r="H442" s="27" t="n"/>
    </row>
    <row r="443" ht="17.25" customHeight="1" s="322">
      <c r="A443" s="27" t="n"/>
      <c r="B443" s="506" t="n"/>
      <c r="C443" s="141" t="n"/>
      <c r="D443" s="141" t="n"/>
      <c r="E443" s="141" t="n"/>
      <c r="F443" s="141" t="n"/>
      <c r="G443" s="143" t="n"/>
      <c r="H443" s="27" t="n"/>
    </row>
    <row r="444" ht="17.25" customHeight="1" s="322">
      <c r="A444" s="27" t="n"/>
      <c r="B444" s="506" t="n"/>
      <c r="C444" s="141" t="n"/>
      <c r="D444" s="141" t="n"/>
      <c r="E444" s="141" t="n"/>
      <c r="F444" s="141" t="n"/>
      <c r="G444" s="143" t="n"/>
      <c r="H444" s="27" t="n"/>
    </row>
    <row r="445" ht="17.25" customHeight="1" s="322">
      <c r="A445" s="27" t="n"/>
      <c r="B445" s="506" t="n"/>
      <c r="C445" s="141" t="n"/>
      <c r="D445" s="141" t="n"/>
      <c r="E445" s="141" t="n"/>
      <c r="F445" s="141" t="n"/>
      <c r="G445" s="143" t="n"/>
      <c r="H445" s="27" t="n"/>
    </row>
    <row r="446" ht="17.25" customHeight="1" s="322">
      <c r="A446" s="27" t="n"/>
      <c r="B446" s="506" t="n"/>
      <c r="C446" s="141" t="n"/>
      <c r="D446" s="141" t="n"/>
      <c r="E446" s="141" t="n"/>
      <c r="F446" s="141" t="n"/>
      <c r="G446" s="143" t="n"/>
      <c r="H446" s="27" t="n"/>
    </row>
    <row r="447" ht="17.25" customHeight="1" s="322">
      <c r="A447" s="27" t="n"/>
      <c r="B447" s="506" t="n"/>
      <c r="C447" s="141" t="n"/>
      <c r="D447" s="141" t="n"/>
      <c r="E447" s="141" t="n"/>
      <c r="F447" s="141" t="n"/>
      <c r="G447" s="143" t="n"/>
      <c r="H447" s="27" t="n"/>
    </row>
    <row r="448" ht="17.25" customHeight="1" s="322">
      <c r="A448" s="27" t="n"/>
      <c r="B448" s="506" t="n"/>
      <c r="C448" s="141" t="n"/>
      <c r="D448" s="141" t="n"/>
      <c r="E448" s="141" t="n"/>
      <c r="F448" s="141" t="n"/>
      <c r="G448" s="143" t="n"/>
      <c r="H448" s="27" t="n"/>
    </row>
    <row r="449" ht="17.25" customHeight="1" s="322">
      <c r="A449" s="27" t="n"/>
      <c r="B449" s="506" t="n"/>
      <c r="C449" s="141" t="n"/>
      <c r="D449" s="141" t="n"/>
      <c r="E449" s="141" t="n"/>
      <c r="F449" s="141" t="n"/>
      <c r="G449" s="143" t="n"/>
      <c r="H449" s="27" t="n"/>
    </row>
    <row r="450" ht="17.25" customHeight="1" s="322">
      <c r="A450" s="27" t="n"/>
      <c r="B450" s="506" t="n"/>
      <c r="C450" s="141" t="n"/>
      <c r="D450" s="141" t="n"/>
      <c r="E450" s="141" t="n"/>
      <c r="F450" s="141" t="n"/>
      <c r="G450" s="143" t="n"/>
      <c r="H450" s="27" t="n"/>
    </row>
    <row r="451" ht="17.25" customHeight="1" s="322">
      <c r="A451" s="27" t="n"/>
      <c r="B451" s="506" t="n"/>
      <c r="C451" s="141" t="n"/>
      <c r="D451" s="141" t="n"/>
      <c r="E451" s="141" t="n"/>
      <c r="F451" s="141" t="n"/>
      <c r="G451" s="143" t="n"/>
      <c r="H451" s="27" t="n"/>
    </row>
    <row r="452" ht="17.25" customHeight="1" s="322">
      <c r="A452" s="27" t="n"/>
      <c r="B452" s="506" t="n"/>
      <c r="C452" s="141" t="n"/>
      <c r="D452" s="141" t="n"/>
      <c r="E452" s="141" t="n"/>
      <c r="F452" s="141" t="n"/>
      <c r="G452" s="143" t="n"/>
      <c r="H452" s="27" t="n"/>
    </row>
    <row r="453" ht="17.25" customHeight="1" s="322">
      <c r="A453" s="27" t="n"/>
      <c r="B453" s="506" t="n"/>
      <c r="C453" s="141" t="n"/>
      <c r="D453" s="141" t="n"/>
      <c r="E453" s="141" t="n"/>
      <c r="F453" s="141" t="n"/>
      <c r="G453" s="143" t="n"/>
      <c r="H453" s="27" t="n"/>
    </row>
    <row r="454" ht="17.25" customHeight="1" s="322">
      <c r="A454" s="27" t="n"/>
      <c r="B454" s="506" t="n"/>
      <c r="C454" s="141" t="n"/>
      <c r="D454" s="141" t="n"/>
      <c r="E454" s="141" t="n"/>
      <c r="F454" s="141" t="n"/>
      <c r="G454" s="143" t="n"/>
      <c r="H454" s="27" t="n"/>
    </row>
    <row r="455" ht="17.25" customHeight="1" s="322">
      <c r="A455" s="27" t="n"/>
      <c r="B455" s="506" t="n"/>
      <c r="C455" s="141" t="n"/>
      <c r="D455" s="141" t="n"/>
      <c r="E455" s="141" t="n"/>
      <c r="F455" s="141" t="n"/>
      <c r="G455" s="143" t="n"/>
      <c r="H455" s="27" t="n"/>
    </row>
    <row r="456" ht="17.25" customHeight="1" s="322">
      <c r="A456" s="27" t="n"/>
      <c r="B456" s="506" t="n"/>
      <c r="C456" s="141" t="n"/>
      <c r="D456" s="141" t="n"/>
      <c r="E456" s="141" t="n"/>
      <c r="F456" s="141" t="n"/>
      <c r="G456" s="143" t="n"/>
      <c r="H456" s="27" t="n"/>
    </row>
    <row r="457" ht="17.25" customHeight="1" s="322">
      <c r="A457" s="27" t="n"/>
      <c r="B457" s="506" t="n"/>
      <c r="C457" s="141" t="n"/>
      <c r="D457" s="141" t="n"/>
      <c r="E457" s="141" t="n"/>
      <c r="F457" s="141" t="n"/>
      <c r="G457" s="143" t="n"/>
      <c r="H457" s="27" t="n"/>
    </row>
    <row r="458" ht="17.25" customHeight="1" s="322">
      <c r="A458" s="27" t="n"/>
      <c r="B458" s="506" t="n"/>
      <c r="C458" s="141" t="n"/>
      <c r="D458" s="141" t="n"/>
      <c r="E458" s="141" t="n"/>
      <c r="F458" s="141" t="n"/>
      <c r="G458" s="143" t="n"/>
      <c r="H458" s="27" t="n"/>
    </row>
    <row r="459" ht="17.25" customHeight="1" s="322">
      <c r="A459" s="27" t="n"/>
      <c r="B459" s="506" t="n"/>
      <c r="C459" s="141" t="n"/>
      <c r="D459" s="141" t="n"/>
      <c r="E459" s="141" t="n"/>
      <c r="F459" s="141" t="n"/>
      <c r="G459" s="143" t="n"/>
      <c r="H459" s="27" t="n"/>
    </row>
    <row r="460" ht="17.25" customHeight="1" s="322">
      <c r="A460" s="27" t="n"/>
      <c r="B460" s="506" t="n"/>
      <c r="C460" s="141" t="n"/>
      <c r="D460" s="141" t="n"/>
      <c r="E460" s="141" t="n"/>
      <c r="F460" s="141" t="n"/>
      <c r="G460" s="143" t="n"/>
      <c r="H460" s="27" t="n"/>
    </row>
    <row r="461" ht="17.25" customHeight="1" s="322">
      <c r="A461" s="27" t="n"/>
      <c r="B461" s="506" t="n"/>
      <c r="C461" s="141" t="n"/>
      <c r="D461" s="141" t="n"/>
      <c r="E461" s="141" t="n"/>
      <c r="F461" s="141" t="n"/>
      <c r="G461" s="143" t="n"/>
      <c r="H461" s="27" t="n"/>
    </row>
    <row r="462" ht="17.25" customHeight="1" s="322">
      <c r="A462" s="27" t="n"/>
      <c r="B462" s="506" t="n"/>
      <c r="C462" s="141" t="n"/>
      <c r="D462" s="141" t="n"/>
      <c r="E462" s="141" t="n"/>
      <c r="F462" s="141" t="n"/>
      <c r="G462" s="143" t="n"/>
      <c r="H462" s="27" t="n"/>
    </row>
    <row r="463" ht="17.25" customHeight="1" s="322">
      <c r="A463" s="27" t="n"/>
      <c r="B463" s="506" t="n"/>
      <c r="C463" s="141" t="n"/>
      <c r="D463" s="141" t="n"/>
      <c r="E463" s="141" t="n"/>
      <c r="F463" s="141" t="n"/>
      <c r="G463" s="143" t="n"/>
      <c r="H463" s="27" t="n"/>
    </row>
    <row r="464" ht="17.25" customHeight="1" s="322">
      <c r="A464" s="27" t="n"/>
      <c r="B464" s="506" t="n"/>
      <c r="C464" s="141" t="n"/>
      <c r="D464" s="141" t="n"/>
      <c r="E464" s="141" t="n"/>
      <c r="F464" s="141" t="n"/>
      <c r="G464" s="143" t="n"/>
      <c r="H464" s="27" t="n"/>
    </row>
    <row r="465" ht="17.25" customHeight="1" s="322">
      <c r="A465" s="27" t="n"/>
      <c r="B465" s="506" t="n"/>
      <c r="C465" s="141" t="n"/>
      <c r="D465" s="141" t="n"/>
      <c r="E465" s="141" t="n"/>
      <c r="F465" s="141" t="n"/>
      <c r="G465" s="143" t="n"/>
      <c r="H465" s="27" t="n"/>
    </row>
    <row r="466" ht="17.25" customHeight="1" s="322">
      <c r="A466" s="27" t="n"/>
      <c r="B466" s="506" t="n"/>
      <c r="C466" s="141" t="n"/>
      <c r="D466" s="141" t="n"/>
      <c r="E466" s="141" t="n"/>
      <c r="F466" s="141" t="n"/>
      <c r="G466" s="143" t="n"/>
      <c r="H466" s="27" t="n"/>
    </row>
    <row r="467" ht="17.25" customHeight="1" s="322">
      <c r="A467" s="27" t="n"/>
      <c r="B467" s="506" t="n"/>
      <c r="C467" s="141" t="n"/>
      <c r="D467" s="141" t="n"/>
      <c r="E467" s="141" t="n"/>
      <c r="F467" s="141" t="n"/>
      <c r="G467" s="143" t="n"/>
      <c r="H467" s="27" t="n"/>
    </row>
    <row r="468" ht="17.25" customHeight="1" s="322">
      <c r="A468" s="27" t="n"/>
      <c r="B468" s="506" t="n"/>
      <c r="C468" s="141" t="n"/>
      <c r="D468" s="141" t="n"/>
      <c r="E468" s="141" t="n"/>
      <c r="F468" s="141" t="n"/>
      <c r="G468" s="143" t="n"/>
      <c r="H468" s="27" t="n"/>
    </row>
    <row r="469" ht="17.25" customHeight="1" s="322">
      <c r="A469" s="27" t="n"/>
      <c r="B469" s="506" t="n"/>
      <c r="C469" s="141" t="n"/>
      <c r="D469" s="141" t="n"/>
      <c r="E469" s="141" t="n"/>
      <c r="F469" s="141" t="n"/>
      <c r="G469" s="143" t="n"/>
      <c r="H469" s="27" t="n"/>
    </row>
    <row r="470" ht="17.25" customHeight="1" s="322">
      <c r="A470" s="27" t="n"/>
      <c r="B470" s="506" t="n"/>
      <c r="C470" s="141" t="n"/>
      <c r="D470" s="141" t="n"/>
      <c r="E470" s="141" t="n"/>
      <c r="F470" s="141" t="n"/>
      <c r="G470" s="143" t="n"/>
      <c r="H470" s="27" t="n"/>
    </row>
    <row r="471" ht="17.25" customHeight="1" s="322">
      <c r="A471" s="27" t="n"/>
      <c r="B471" s="506" t="n"/>
      <c r="C471" s="141" t="n"/>
      <c r="D471" s="141" t="n"/>
      <c r="E471" s="141" t="n"/>
      <c r="F471" s="141" t="n"/>
      <c r="G471" s="143" t="n"/>
      <c r="H471" s="27" t="n"/>
    </row>
    <row r="472" ht="17.25" customHeight="1" s="322">
      <c r="A472" s="27" t="n"/>
      <c r="B472" s="506" t="n"/>
      <c r="C472" s="141" t="n"/>
      <c r="D472" s="141" t="n"/>
      <c r="E472" s="141" t="n"/>
      <c r="F472" s="141" t="n"/>
      <c r="G472" s="143" t="n"/>
      <c r="H472" s="27" t="n"/>
    </row>
    <row r="473" ht="17.25" customHeight="1" s="322">
      <c r="A473" s="27" t="n"/>
      <c r="B473" s="506" t="n"/>
      <c r="C473" s="141" t="n"/>
      <c r="D473" s="141" t="n"/>
      <c r="E473" s="141" t="n"/>
      <c r="F473" s="141" t="n"/>
      <c r="G473" s="143" t="n"/>
      <c r="H473" s="27" t="n"/>
    </row>
    <row r="474" ht="17.25" customHeight="1" s="322">
      <c r="A474" s="27" t="n"/>
      <c r="B474" s="506" t="n"/>
      <c r="C474" s="141" t="n"/>
      <c r="D474" s="141" t="n"/>
      <c r="E474" s="141" t="n"/>
      <c r="F474" s="141" t="n"/>
      <c r="G474" s="143" t="n"/>
      <c r="H474" s="27" t="n"/>
    </row>
    <row r="475" ht="17.25" customHeight="1" s="322">
      <c r="A475" s="27" t="n"/>
      <c r="B475" s="506" t="n"/>
      <c r="C475" s="141" t="n"/>
      <c r="D475" s="141" t="n"/>
      <c r="E475" s="141" t="n"/>
      <c r="F475" s="141" t="n"/>
      <c r="G475" s="143" t="n"/>
      <c r="H475" s="27" t="n"/>
    </row>
    <row r="476" ht="17.25" customHeight="1" s="322">
      <c r="A476" s="27" t="n"/>
      <c r="B476" s="506" t="n"/>
      <c r="C476" s="141" t="n"/>
      <c r="D476" s="141" t="n"/>
      <c r="E476" s="141" t="n"/>
      <c r="F476" s="141" t="n"/>
      <c r="G476" s="143" t="n"/>
      <c r="H476" s="27" t="n"/>
    </row>
    <row r="477" ht="17.25" customHeight="1" s="322">
      <c r="A477" s="27" t="n"/>
      <c r="B477" s="506" t="n"/>
      <c r="C477" s="141" t="n"/>
      <c r="D477" s="141" t="n"/>
      <c r="E477" s="141" t="n"/>
      <c r="F477" s="141" t="n"/>
      <c r="G477" s="143" t="n"/>
      <c r="H477" s="27" t="n"/>
    </row>
    <row r="478" ht="17.25" customHeight="1" s="322">
      <c r="A478" s="27" t="n"/>
      <c r="B478" s="506" t="n"/>
      <c r="C478" s="141" t="n"/>
      <c r="D478" s="141" t="n"/>
      <c r="E478" s="141" t="n"/>
      <c r="F478" s="141" t="n"/>
      <c r="G478" s="143" t="n"/>
      <c r="H478" s="27" t="n"/>
    </row>
    <row r="479" ht="17.25" customHeight="1" s="322">
      <c r="A479" s="27" t="n"/>
      <c r="B479" s="506" t="n"/>
      <c r="C479" s="141" t="n"/>
      <c r="D479" s="141" t="n"/>
      <c r="E479" s="141" t="n"/>
      <c r="F479" s="141" t="n"/>
      <c r="G479" s="143" t="n"/>
      <c r="H479" s="27" t="n"/>
    </row>
    <row r="480" ht="17.25" customHeight="1" s="322">
      <c r="A480" s="27" t="n"/>
      <c r="B480" s="506" t="n"/>
      <c r="C480" s="141" t="n"/>
      <c r="D480" s="141" t="n"/>
      <c r="E480" s="141" t="n"/>
      <c r="F480" s="141" t="n"/>
      <c r="G480" s="143" t="n"/>
      <c r="H480" s="27" t="n"/>
    </row>
    <row r="481" ht="17.25" customHeight="1" s="322">
      <c r="A481" s="27" t="n"/>
      <c r="B481" s="506" t="n"/>
      <c r="C481" s="141" t="n"/>
      <c r="D481" s="141" t="n"/>
      <c r="E481" s="141" t="n"/>
      <c r="F481" s="141" t="n"/>
      <c r="G481" s="143" t="n"/>
      <c r="H481" s="27" t="n"/>
    </row>
    <row r="482" ht="17.25" customHeight="1" s="322">
      <c r="A482" s="27" t="n"/>
      <c r="B482" s="506" t="n"/>
      <c r="C482" s="141" t="n"/>
      <c r="D482" s="141" t="n"/>
      <c r="E482" s="141" t="n"/>
      <c r="F482" s="141" t="n"/>
      <c r="G482" s="143" t="n"/>
      <c r="H482" s="27" t="n"/>
    </row>
    <row r="483" ht="17.25" customHeight="1" s="322">
      <c r="A483" s="27" t="n"/>
      <c r="B483" s="506" t="n"/>
      <c r="C483" s="141" t="n"/>
      <c r="D483" s="141" t="n"/>
      <c r="E483" s="141" t="n"/>
      <c r="F483" s="141" t="n"/>
      <c r="G483" s="143" t="n"/>
      <c r="H483" s="27" t="n"/>
    </row>
    <row r="484" ht="17.25" customHeight="1" s="322">
      <c r="A484" s="27" t="n"/>
      <c r="B484" s="506" t="n"/>
      <c r="C484" s="141" t="n"/>
      <c r="D484" s="141" t="n"/>
      <c r="E484" s="141" t="n"/>
      <c r="F484" s="141" t="n"/>
      <c r="G484" s="143" t="n"/>
      <c r="H484" s="27" t="n"/>
    </row>
    <row r="485" ht="17.25" customHeight="1" s="322">
      <c r="A485" s="27" t="n"/>
      <c r="B485" s="506" t="n"/>
      <c r="C485" s="141" t="n"/>
      <c r="D485" s="141" t="n"/>
      <c r="E485" s="141" t="n"/>
      <c r="F485" s="141" t="n"/>
      <c r="G485" s="143" t="n"/>
      <c r="H485" s="27" t="n"/>
    </row>
    <row r="486" ht="17.25" customHeight="1" s="322">
      <c r="A486" s="27" t="n"/>
      <c r="B486" s="506" t="n"/>
      <c r="C486" s="141" t="n"/>
      <c r="D486" s="141" t="n"/>
      <c r="E486" s="141" t="n"/>
      <c r="F486" s="141" t="n"/>
      <c r="G486" s="143" t="n"/>
      <c r="H486" s="27" t="n"/>
    </row>
    <row r="487" ht="17.25" customHeight="1" s="322">
      <c r="A487" s="27" t="n"/>
      <c r="B487" s="506" t="n"/>
      <c r="C487" s="141" t="n"/>
      <c r="D487" s="141" t="n"/>
      <c r="E487" s="141" t="n"/>
      <c r="F487" s="141" t="n"/>
      <c r="G487" s="143" t="n"/>
      <c r="H487" s="27" t="n"/>
    </row>
    <row r="488" ht="17.25" customHeight="1" s="322">
      <c r="A488" s="27" t="n"/>
      <c r="B488" s="506" t="n"/>
      <c r="C488" s="141" t="n"/>
      <c r="D488" s="141" t="n"/>
      <c r="E488" s="141" t="n"/>
      <c r="F488" s="141" t="n"/>
      <c r="G488" s="143" t="n"/>
      <c r="H488" s="27" t="n"/>
    </row>
    <row r="489" ht="17.25" customHeight="1" s="322">
      <c r="A489" s="27" t="n"/>
      <c r="B489" s="506" t="n"/>
      <c r="C489" s="141" t="n"/>
      <c r="D489" s="141" t="n"/>
      <c r="E489" s="141" t="n"/>
      <c r="F489" s="141" t="n"/>
      <c r="G489" s="143" t="n"/>
      <c r="H489" s="27" t="n"/>
    </row>
    <row r="490" ht="17.25" customHeight="1" s="322">
      <c r="A490" s="27" t="n"/>
      <c r="B490" s="506" t="n"/>
      <c r="C490" s="141" t="n"/>
      <c r="D490" s="141" t="n"/>
      <c r="E490" s="141" t="n"/>
      <c r="F490" s="141" t="n"/>
      <c r="G490" s="143" t="n"/>
      <c r="H490" s="27" t="n"/>
    </row>
    <row r="491" ht="17.25" customHeight="1" s="322">
      <c r="A491" s="27" t="n"/>
      <c r="B491" s="506" t="n"/>
      <c r="C491" s="141" t="n"/>
      <c r="D491" s="141" t="n"/>
      <c r="E491" s="141" t="n"/>
      <c r="F491" s="141" t="n"/>
      <c r="G491" s="143" t="n"/>
      <c r="H491" s="27" t="n"/>
    </row>
    <row r="492" ht="17.25" customHeight="1" s="322">
      <c r="A492" s="27" t="n"/>
      <c r="B492" s="506" t="n"/>
      <c r="C492" s="141" t="n"/>
      <c r="D492" s="141" t="n"/>
      <c r="E492" s="141" t="n"/>
      <c r="F492" s="141" t="n"/>
      <c r="G492" s="143" t="n"/>
      <c r="H492" s="27" t="n"/>
    </row>
    <row r="493" ht="17.25" customHeight="1" s="322">
      <c r="A493" s="27" t="n"/>
      <c r="B493" s="506" t="n"/>
      <c r="C493" s="141" t="n"/>
      <c r="D493" s="141" t="n"/>
      <c r="E493" s="141" t="n"/>
      <c r="F493" s="141" t="n"/>
      <c r="G493" s="143" t="n"/>
      <c r="H493" s="27" t="n"/>
    </row>
    <row r="494" ht="17.25" customHeight="1" s="322">
      <c r="A494" s="27" t="n"/>
      <c r="B494" s="506" t="n"/>
      <c r="C494" s="141" t="n"/>
      <c r="D494" s="141" t="n"/>
      <c r="E494" s="141" t="n"/>
      <c r="F494" s="141" t="n"/>
      <c r="G494" s="143" t="n"/>
      <c r="H494" s="27" t="n"/>
    </row>
    <row r="495" ht="17.25" customHeight="1" s="322">
      <c r="A495" s="27" t="n"/>
      <c r="B495" s="506" t="n"/>
      <c r="C495" s="141" t="n"/>
      <c r="D495" s="141" t="n"/>
      <c r="E495" s="141" t="n"/>
      <c r="F495" s="141" t="n"/>
      <c r="G495" s="143" t="n"/>
      <c r="H495" s="27" t="n"/>
    </row>
    <row r="496" ht="17.25" customHeight="1" s="322">
      <c r="A496" s="27" t="n"/>
      <c r="B496" s="506" t="n"/>
      <c r="C496" s="141" t="n"/>
      <c r="D496" s="141" t="n"/>
      <c r="E496" s="141" t="n"/>
      <c r="F496" s="141" t="n"/>
      <c r="G496" s="143" t="n"/>
      <c r="H496" s="27" t="n"/>
    </row>
    <row r="497" ht="17.25" customHeight="1" s="322">
      <c r="A497" s="27" t="n"/>
      <c r="B497" s="506" t="n"/>
      <c r="C497" s="141" t="n"/>
      <c r="D497" s="141" t="n"/>
      <c r="E497" s="141" t="n"/>
      <c r="F497" s="141" t="n"/>
      <c r="G497" s="143" t="n"/>
      <c r="H497" s="27" t="n"/>
    </row>
    <row r="498" ht="17.25" customHeight="1" s="322">
      <c r="A498" s="27" t="n"/>
      <c r="B498" s="506" t="n"/>
      <c r="C498" s="141" t="n"/>
      <c r="D498" s="141" t="n"/>
      <c r="E498" s="141" t="n"/>
      <c r="F498" s="141" t="n"/>
      <c r="G498" s="143" t="n"/>
      <c r="H498" s="27" t="n"/>
    </row>
    <row r="499" ht="17.25" customHeight="1" s="322">
      <c r="A499" s="27" t="n"/>
      <c r="B499" s="506" t="n"/>
      <c r="C499" s="141" t="n"/>
      <c r="D499" s="141" t="n"/>
      <c r="E499" s="141" t="n"/>
      <c r="F499" s="141" t="n"/>
      <c r="G499" s="143" t="n"/>
      <c r="H499" s="27" t="n"/>
    </row>
    <row r="500" ht="17.25" customHeight="1" s="322">
      <c r="A500" s="27" t="n"/>
      <c r="B500" s="506" t="n"/>
      <c r="C500" s="141" t="n"/>
      <c r="D500" s="141" t="n"/>
      <c r="E500" s="141" t="n"/>
      <c r="F500" s="141" t="n"/>
      <c r="G500" s="143" t="n"/>
      <c r="H500" s="27" t="n"/>
    </row>
    <row r="501" ht="17.25" customHeight="1" s="322">
      <c r="A501" s="27" t="n"/>
      <c r="B501" s="506" t="n"/>
      <c r="C501" s="141" t="n"/>
      <c r="D501" s="141" t="n"/>
      <c r="E501" s="141" t="n"/>
      <c r="F501" s="141" t="n"/>
      <c r="G501" s="143" t="n"/>
      <c r="H501" s="27" t="n"/>
    </row>
    <row r="502" ht="17.25" customHeight="1" s="322">
      <c r="A502" s="27" t="n"/>
      <c r="B502" s="506" t="n"/>
      <c r="C502" s="141" t="n"/>
      <c r="D502" s="141" t="n"/>
      <c r="E502" s="141" t="n"/>
      <c r="F502" s="141" t="n"/>
      <c r="G502" s="143" t="n"/>
      <c r="H502" s="27" t="n"/>
    </row>
    <row r="503" ht="17.25" customHeight="1" s="322">
      <c r="A503" s="27" t="n"/>
      <c r="B503" s="506" t="n"/>
      <c r="C503" s="141" t="n"/>
      <c r="D503" s="141" t="n"/>
      <c r="E503" s="141" t="n"/>
      <c r="F503" s="141" t="n"/>
      <c r="G503" s="143" t="n"/>
      <c r="H503" s="27" t="n"/>
    </row>
    <row r="504" ht="17.25" customHeight="1" s="322">
      <c r="A504" s="27" t="n"/>
      <c r="B504" s="506" t="n"/>
      <c r="C504" s="141" t="n"/>
      <c r="D504" s="141" t="n"/>
      <c r="E504" s="141" t="n"/>
      <c r="F504" s="141" t="n"/>
      <c r="G504" s="143" t="n"/>
      <c r="H504" s="27" t="n"/>
    </row>
    <row r="505" ht="17.25" customHeight="1" s="322">
      <c r="A505" s="27" t="n"/>
      <c r="B505" s="506" t="n"/>
      <c r="C505" s="141" t="n"/>
      <c r="D505" s="141" t="n"/>
      <c r="E505" s="141" t="n"/>
      <c r="F505" s="141" t="n"/>
      <c r="G505" s="143" t="n"/>
      <c r="H505" s="27" t="n"/>
    </row>
    <row r="506" ht="17.25" customHeight="1" s="322">
      <c r="A506" s="27" t="n"/>
      <c r="B506" s="506" t="n"/>
      <c r="C506" s="141" t="n"/>
      <c r="D506" s="141" t="n"/>
      <c r="E506" s="141" t="n"/>
      <c r="F506" s="141" t="n"/>
      <c r="G506" s="143" t="n"/>
      <c r="H506" s="27" t="n"/>
    </row>
    <row r="507" ht="17.25" customHeight="1" s="322">
      <c r="A507" s="27" t="n"/>
      <c r="B507" s="506" t="n"/>
      <c r="C507" s="141" t="n"/>
      <c r="D507" s="141" t="n"/>
      <c r="E507" s="141" t="n"/>
      <c r="F507" s="141" t="n"/>
      <c r="G507" s="143" t="n"/>
      <c r="H507" s="27" t="n"/>
    </row>
    <row r="508" ht="17.25" customHeight="1" s="322">
      <c r="A508" s="27" t="n"/>
      <c r="B508" s="506" t="n"/>
      <c r="C508" s="141" t="n"/>
      <c r="D508" s="141" t="n"/>
      <c r="E508" s="141" t="n"/>
      <c r="F508" s="141" t="n"/>
      <c r="G508" s="143" t="n"/>
      <c r="H508" s="27" t="n"/>
    </row>
    <row r="509" ht="17.25" customHeight="1" s="322">
      <c r="A509" s="27" t="n"/>
      <c r="B509" s="506" t="n"/>
      <c r="C509" s="141" t="n"/>
      <c r="D509" s="141" t="n"/>
      <c r="E509" s="141" t="n"/>
      <c r="F509" s="141" t="n"/>
      <c r="G509" s="143" t="n"/>
      <c r="H509" s="27" t="n"/>
    </row>
    <row r="510" ht="17.25" customHeight="1" s="322">
      <c r="A510" s="27" t="n"/>
      <c r="B510" s="506" t="n"/>
      <c r="C510" s="141" t="n"/>
      <c r="D510" s="141" t="n"/>
      <c r="E510" s="141" t="n"/>
      <c r="F510" s="141" t="n"/>
      <c r="G510" s="143" t="n"/>
      <c r="H510" s="27" t="n"/>
    </row>
    <row r="511" ht="17.25" customHeight="1" s="322">
      <c r="A511" s="27" t="n"/>
      <c r="B511" s="506" t="n"/>
      <c r="C511" s="141" t="n"/>
      <c r="D511" s="141" t="n"/>
      <c r="E511" s="141" t="n"/>
      <c r="F511" s="141" t="n"/>
      <c r="G511" s="143" t="n"/>
      <c r="H511" s="27" t="n"/>
    </row>
    <row r="512" ht="17.25" customHeight="1" s="322">
      <c r="A512" s="27" t="n"/>
      <c r="B512" s="506" t="n"/>
      <c r="C512" s="141" t="n"/>
      <c r="D512" s="141" t="n"/>
      <c r="E512" s="141" t="n"/>
      <c r="F512" s="141" t="n"/>
      <c r="G512" s="143" t="n"/>
      <c r="H512" s="27" t="n"/>
    </row>
    <row r="513" ht="17.25" customHeight="1" s="322">
      <c r="A513" s="27" t="n"/>
      <c r="B513" s="506" t="n"/>
      <c r="C513" s="141" t="n"/>
      <c r="D513" s="141" t="n"/>
      <c r="E513" s="141" t="n"/>
      <c r="F513" s="141" t="n"/>
      <c r="G513" s="143" t="n"/>
      <c r="H513" s="27" t="n"/>
    </row>
    <row r="514" ht="17.25" customHeight="1" s="322">
      <c r="A514" s="27" t="n"/>
      <c r="B514" s="506" t="n"/>
      <c r="C514" s="141" t="n"/>
      <c r="D514" s="141" t="n"/>
      <c r="E514" s="141" t="n"/>
      <c r="F514" s="141" t="n"/>
      <c r="G514" s="143" t="n"/>
      <c r="H514" s="27" t="n"/>
    </row>
    <row r="515" ht="17.25" customHeight="1" s="322">
      <c r="A515" s="27" t="n"/>
      <c r="B515" s="506" t="n"/>
      <c r="C515" s="141" t="n"/>
      <c r="D515" s="141" t="n"/>
      <c r="E515" s="141" t="n"/>
      <c r="F515" s="141" t="n"/>
      <c r="G515" s="143" t="n"/>
      <c r="H515" s="27" t="n"/>
    </row>
    <row r="516" ht="17.25" customHeight="1" s="322">
      <c r="A516" s="27" t="n"/>
      <c r="B516" s="506" t="n"/>
      <c r="C516" s="141" t="n"/>
      <c r="D516" s="141" t="n"/>
      <c r="E516" s="141" t="n"/>
      <c r="F516" s="141" t="n"/>
      <c r="G516" s="143" t="n"/>
      <c r="H516" s="27" t="n"/>
    </row>
    <row r="517" ht="17.25" customHeight="1" s="322">
      <c r="A517" s="27" t="n"/>
      <c r="B517" s="506" t="n"/>
      <c r="C517" s="141" t="n"/>
      <c r="D517" s="141" t="n"/>
      <c r="E517" s="141" t="n"/>
      <c r="F517" s="141" t="n"/>
      <c r="G517" s="143" t="n"/>
      <c r="H517" s="27" t="n"/>
    </row>
    <row r="518" ht="17.25" customHeight="1" s="322">
      <c r="A518" s="27" t="n"/>
      <c r="B518" s="506" t="n"/>
      <c r="C518" s="141" t="n"/>
      <c r="D518" s="141" t="n"/>
      <c r="E518" s="141" t="n"/>
      <c r="F518" s="141" t="n"/>
      <c r="G518" s="143" t="n"/>
      <c r="H518" s="27" t="n"/>
    </row>
    <row r="519" ht="17.25" customHeight="1" s="322">
      <c r="A519" s="27" t="n"/>
      <c r="B519" s="506" t="n"/>
      <c r="C519" s="141" t="n"/>
      <c r="D519" s="141" t="n"/>
      <c r="E519" s="141" t="n"/>
      <c r="F519" s="141" t="n"/>
      <c r="G519" s="143" t="n"/>
      <c r="H519" s="27" t="n"/>
    </row>
    <row r="520" ht="17.25" customHeight="1" s="322">
      <c r="A520" s="27" t="n"/>
      <c r="B520" s="506" t="n"/>
      <c r="C520" s="141" t="n"/>
      <c r="D520" s="141" t="n"/>
      <c r="E520" s="141" t="n"/>
      <c r="F520" s="141" t="n"/>
      <c r="G520" s="143" t="n"/>
      <c r="H520" s="27" t="n"/>
    </row>
    <row r="521" ht="17.25" customHeight="1" s="322">
      <c r="A521" s="27" t="n"/>
      <c r="B521" s="506" t="n"/>
      <c r="C521" s="141" t="n"/>
      <c r="D521" s="141" t="n"/>
      <c r="E521" s="141" t="n"/>
      <c r="F521" s="141" t="n"/>
      <c r="G521" s="143" t="n"/>
      <c r="H521" s="27" t="n"/>
    </row>
    <row r="522" ht="17.25" customHeight="1" s="322">
      <c r="A522" s="27" t="n"/>
      <c r="B522" s="506" t="n"/>
      <c r="C522" s="141" t="n"/>
      <c r="D522" s="141" t="n"/>
      <c r="E522" s="141" t="n"/>
      <c r="F522" s="141" t="n"/>
      <c r="G522" s="143" t="n"/>
      <c r="H522" s="27" t="n"/>
    </row>
    <row r="523" ht="17.25" customHeight="1" s="322">
      <c r="A523" s="27" t="n"/>
      <c r="B523" s="506" t="n"/>
      <c r="C523" s="141" t="n"/>
      <c r="D523" s="141" t="n"/>
      <c r="E523" s="141" t="n"/>
      <c r="F523" s="141" t="n"/>
      <c r="G523" s="143" t="n"/>
      <c r="H523" s="27" t="n"/>
    </row>
    <row r="524" ht="17.25" customHeight="1" s="322">
      <c r="A524" s="27" t="n"/>
      <c r="B524" s="506" t="n"/>
      <c r="C524" s="141" t="n"/>
      <c r="D524" s="141" t="n"/>
      <c r="E524" s="141" t="n"/>
      <c r="F524" s="141" t="n"/>
      <c r="G524" s="143" t="n"/>
      <c r="H524" s="27" t="n"/>
    </row>
    <row r="525" ht="17.25" customHeight="1" s="322">
      <c r="A525" s="27" t="n"/>
      <c r="B525" s="506" t="n"/>
      <c r="C525" s="141" t="n"/>
      <c r="D525" s="141" t="n"/>
      <c r="E525" s="141" t="n"/>
      <c r="F525" s="141" t="n"/>
      <c r="G525" s="143" t="n"/>
      <c r="H525" s="27" t="n"/>
    </row>
    <row r="526" ht="17.25" customHeight="1" s="322">
      <c r="A526" s="27" t="n"/>
      <c r="B526" s="506" t="n"/>
      <c r="C526" s="141" t="n"/>
      <c r="D526" s="141" t="n"/>
      <c r="E526" s="141" t="n"/>
      <c r="F526" s="141" t="n"/>
      <c r="G526" s="143" t="n"/>
      <c r="H526" s="27" t="n"/>
    </row>
    <row r="527" ht="17.25" customHeight="1" s="322">
      <c r="A527" s="27" t="n"/>
      <c r="B527" s="506" t="n"/>
      <c r="C527" s="141" t="n"/>
      <c r="D527" s="141" t="n"/>
      <c r="E527" s="141" t="n"/>
      <c r="F527" s="141" t="n"/>
      <c r="G527" s="143" t="n"/>
      <c r="H527" s="27" t="n"/>
    </row>
    <row r="528" ht="17.25" customHeight="1" s="322">
      <c r="A528" s="27" t="n"/>
      <c r="B528" s="506" t="n"/>
      <c r="C528" s="141" t="n"/>
      <c r="D528" s="141" t="n"/>
      <c r="E528" s="141" t="n"/>
      <c r="F528" s="141" t="n"/>
      <c r="G528" s="143" t="n"/>
      <c r="H528" s="27" t="n"/>
    </row>
    <row r="529" ht="17.25" customHeight="1" s="322">
      <c r="A529" s="27" t="n"/>
      <c r="B529" s="506" t="n"/>
      <c r="C529" s="141" t="n"/>
      <c r="D529" s="141" t="n"/>
      <c r="E529" s="141" t="n"/>
      <c r="F529" s="141" t="n"/>
      <c r="G529" s="143" t="n"/>
      <c r="H529" s="27" t="n"/>
    </row>
    <row r="530" ht="17.25" customHeight="1" s="322">
      <c r="A530" s="27" t="n"/>
      <c r="B530" s="506" t="n"/>
      <c r="C530" s="141" t="n"/>
      <c r="D530" s="141" t="n"/>
      <c r="E530" s="141" t="n"/>
      <c r="F530" s="141" t="n"/>
      <c r="G530" s="143" t="n"/>
      <c r="H530" s="27" t="n"/>
    </row>
    <row r="531" ht="17.25" customHeight="1" s="322">
      <c r="A531" s="27" t="n"/>
      <c r="B531" s="506" t="n"/>
      <c r="C531" s="141" t="n"/>
      <c r="D531" s="141" t="n"/>
      <c r="E531" s="141" t="n"/>
      <c r="F531" s="141" t="n"/>
      <c r="G531" s="143" t="n"/>
      <c r="H531" s="27" t="n"/>
    </row>
    <row r="532" ht="17.25" customHeight="1" s="322">
      <c r="A532" s="27" t="n"/>
      <c r="B532" s="506" t="n"/>
      <c r="C532" s="141" t="n"/>
      <c r="D532" s="141" t="n"/>
      <c r="E532" s="141" t="n"/>
      <c r="F532" s="141" t="n"/>
      <c r="G532" s="143" t="n"/>
      <c r="H532" s="27" t="n"/>
    </row>
    <row r="533" ht="17.25" customHeight="1" s="322">
      <c r="A533" s="27" t="n"/>
      <c r="B533" s="506" t="n"/>
      <c r="C533" s="141" t="n"/>
      <c r="D533" s="141" t="n"/>
      <c r="E533" s="141" t="n"/>
      <c r="F533" s="141" t="n"/>
      <c r="G533" s="143" t="n"/>
      <c r="H533" s="27" t="n"/>
    </row>
    <row r="534" ht="17.25" customHeight="1" s="322">
      <c r="A534" s="27" t="n"/>
      <c r="B534" s="506" t="n"/>
      <c r="C534" s="141" t="n"/>
      <c r="D534" s="141" t="n"/>
      <c r="E534" s="141" t="n"/>
      <c r="F534" s="141" t="n"/>
      <c r="G534" s="143" t="n"/>
      <c r="H534" s="27" t="n"/>
    </row>
    <row r="535" ht="17.25" customHeight="1" s="322">
      <c r="A535" s="27" t="n"/>
      <c r="B535" s="506" t="n"/>
      <c r="C535" s="141" t="n"/>
      <c r="D535" s="141" t="n"/>
      <c r="E535" s="141" t="n"/>
      <c r="F535" s="141" t="n"/>
      <c r="G535" s="143" t="n"/>
      <c r="H535" s="27" t="n"/>
    </row>
    <row r="536" ht="17.25" customHeight="1" s="322">
      <c r="A536" s="27" t="n"/>
      <c r="B536" s="506" t="n"/>
      <c r="C536" s="141" t="n"/>
      <c r="D536" s="141" t="n"/>
      <c r="E536" s="141" t="n"/>
      <c r="F536" s="141" t="n"/>
      <c r="G536" s="143" t="n"/>
      <c r="H536" s="27" t="n"/>
    </row>
    <row r="537" ht="17.25" customHeight="1" s="322">
      <c r="A537" s="27" t="n"/>
      <c r="B537" s="506" t="n"/>
      <c r="C537" s="141" t="n"/>
      <c r="D537" s="141" t="n"/>
      <c r="E537" s="141" t="n"/>
      <c r="F537" s="141" t="n"/>
      <c r="G537" s="143" t="n"/>
      <c r="H537" s="27" t="n"/>
    </row>
    <row r="538" ht="17.25" customHeight="1" s="322">
      <c r="A538" s="27" t="n"/>
      <c r="B538" s="506" t="n"/>
      <c r="C538" s="141" t="n"/>
      <c r="D538" s="141" t="n"/>
      <c r="E538" s="141" t="n"/>
      <c r="F538" s="141" t="n"/>
      <c r="G538" s="143" t="n"/>
      <c r="H538" s="27" t="n"/>
    </row>
    <row r="539" ht="17.25" customHeight="1" s="322">
      <c r="A539" s="27" t="n"/>
      <c r="B539" s="506" t="n"/>
      <c r="C539" s="141" t="n"/>
      <c r="D539" s="141" t="n"/>
      <c r="E539" s="141" t="n"/>
      <c r="F539" s="141" t="n"/>
      <c r="G539" s="143" t="n"/>
      <c r="H539" s="27" t="n"/>
    </row>
    <row r="540" ht="17.25" customHeight="1" s="322">
      <c r="A540" s="27" t="n"/>
      <c r="B540" s="506" t="n"/>
      <c r="C540" s="141" t="n"/>
      <c r="D540" s="141" t="n"/>
      <c r="E540" s="141" t="n"/>
      <c r="F540" s="141" t="n"/>
      <c r="G540" s="143" t="n"/>
      <c r="H540" s="27" t="n"/>
    </row>
    <row r="541" ht="17.25" customHeight="1" s="322">
      <c r="A541" s="27" t="n"/>
      <c r="B541" s="506" t="n"/>
      <c r="C541" s="141" t="n"/>
      <c r="D541" s="141" t="n"/>
      <c r="E541" s="141" t="n"/>
      <c r="F541" s="141" t="n"/>
      <c r="G541" s="143" t="n"/>
      <c r="H541" s="27" t="n"/>
    </row>
    <row r="542" ht="17.25" customHeight="1" s="322">
      <c r="A542" s="27" t="n"/>
      <c r="B542" s="506" t="n"/>
      <c r="C542" s="141" t="n"/>
      <c r="D542" s="141" t="n"/>
      <c r="E542" s="141" t="n"/>
      <c r="F542" s="141" t="n"/>
      <c r="G542" s="143" t="n"/>
      <c r="H542" s="27" t="n"/>
    </row>
    <row r="543" ht="17.25" customHeight="1" s="322">
      <c r="A543" s="27" t="n"/>
      <c r="B543" s="506" t="n"/>
      <c r="C543" s="141" t="n"/>
      <c r="D543" s="141" t="n"/>
      <c r="E543" s="141" t="n"/>
      <c r="F543" s="141" t="n"/>
      <c r="G543" s="143" t="n"/>
      <c r="H543" s="27" t="n"/>
    </row>
    <row r="544" ht="17.25" customHeight="1" s="322">
      <c r="A544" s="27" t="n"/>
      <c r="B544" s="506" t="n"/>
      <c r="C544" s="141" t="n"/>
      <c r="D544" s="141" t="n"/>
      <c r="E544" s="141" t="n"/>
      <c r="F544" s="141" t="n"/>
      <c r="G544" s="143" t="n"/>
      <c r="H544" s="27" t="n"/>
    </row>
    <row r="545" ht="17.25" customHeight="1" s="322">
      <c r="A545" s="27" t="n"/>
      <c r="B545" s="506" t="n"/>
      <c r="C545" s="141" t="n"/>
      <c r="D545" s="141" t="n"/>
      <c r="E545" s="141" t="n"/>
      <c r="F545" s="141" t="n"/>
      <c r="G545" s="143" t="n"/>
      <c r="H545" s="27" t="n"/>
    </row>
    <row r="546" ht="17.25" customHeight="1" s="322">
      <c r="A546" s="27" t="n"/>
      <c r="B546" s="506" t="n"/>
      <c r="C546" s="141" t="n"/>
      <c r="D546" s="141" t="n"/>
      <c r="E546" s="141" t="n"/>
      <c r="F546" s="141" t="n"/>
      <c r="G546" s="143" t="n"/>
      <c r="H546" s="27" t="n"/>
    </row>
    <row r="547" ht="17.25" customHeight="1" s="322">
      <c r="A547" s="27" t="n"/>
      <c r="B547" s="506" t="n"/>
      <c r="C547" s="141" t="n"/>
      <c r="D547" s="141" t="n"/>
      <c r="E547" s="141" t="n"/>
      <c r="F547" s="141" t="n"/>
      <c r="G547" s="143" t="n"/>
      <c r="H547" s="27" t="n"/>
    </row>
    <row r="548" ht="17.25" customHeight="1" s="322">
      <c r="A548" s="27" t="n"/>
      <c r="B548" s="506" t="n"/>
      <c r="C548" s="141" t="n"/>
      <c r="D548" s="141" t="n"/>
      <c r="E548" s="141" t="n"/>
      <c r="F548" s="141" t="n"/>
      <c r="G548" s="143" t="n"/>
      <c r="H548" s="27" t="n"/>
    </row>
    <row r="549" ht="17.25" customHeight="1" s="322">
      <c r="A549" s="27" t="n"/>
      <c r="B549" s="506" t="n"/>
      <c r="C549" s="141" t="n"/>
      <c r="D549" s="141" t="n"/>
      <c r="E549" s="141" t="n"/>
      <c r="F549" s="141" t="n"/>
      <c r="G549" s="143" t="n"/>
      <c r="H549" s="27" t="n"/>
    </row>
    <row r="550" ht="17.25" customHeight="1" s="322">
      <c r="A550" s="27" t="n"/>
      <c r="B550" s="506" t="n"/>
      <c r="C550" s="141" t="n"/>
      <c r="D550" s="141" t="n"/>
      <c r="E550" s="141" t="n"/>
      <c r="F550" s="141" t="n"/>
      <c r="G550" s="143" t="n"/>
      <c r="H550" s="27" t="n"/>
    </row>
    <row r="551" ht="17.25" customHeight="1" s="322">
      <c r="A551" s="27" t="n"/>
      <c r="B551" s="506" t="n"/>
      <c r="C551" s="141" t="n"/>
      <c r="D551" s="141" t="n"/>
      <c r="E551" s="141" t="n"/>
      <c r="F551" s="141" t="n"/>
      <c r="G551" s="143" t="n"/>
      <c r="H551" s="27" t="n"/>
    </row>
    <row r="552" ht="17.25" customHeight="1" s="322">
      <c r="A552" s="27" t="n"/>
      <c r="B552" s="506" t="n"/>
      <c r="C552" s="141" t="n"/>
      <c r="D552" s="141" t="n"/>
      <c r="E552" s="141" t="n"/>
      <c r="F552" s="141" t="n"/>
      <c r="G552" s="143" t="n"/>
      <c r="H552" s="27" t="n"/>
    </row>
    <row r="553" ht="17.25" customHeight="1" s="322">
      <c r="A553" s="27" t="n"/>
      <c r="B553" s="506" t="n"/>
      <c r="C553" s="141" t="n"/>
      <c r="D553" s="141" t="n"/>
      <c r="E553" s="141" t="n"/>
      <c r="F553" s="141" t="n"/>
      <c r="G553" s="143" t="n"/>
      <c r="H553" s="27" t="n"/>
    </row>
    <row r="554" ht="17.25" customHeight="1" s="322">
      <c r="A554" s="27" t="n"/>
      <c r="B554" s="506" t="n"/>
      <c r="C554" s="141" t="n"/>
      <c r="D554" s="141" t="n"/>
      <c r="E554" s="141" t="n"/>
      <c r="F554" s="141" t="n"/>
      <c r="G554" s="143" t="n"/>
      <c r="H554" s="27" t="n"/>
    </row>
    <row r="555" ht="17.25" customHeight="1" s="322">
      <c r="A555" s="27" t="n"/>
      <c r="B555" s="506" t="n"/>
      <c r="C555" s="141" t="n"/>
      <c r="D555" s="141" t="n"/>
      <c r="E555" s="141" t="n"/>
      <c r="F555" s="141" t="n"/>
      <c r="G555" s="143" t="n"/>
      <c r="H555" s="27" t="n"/>
    </row>
    <row r="556" ht="17.25" customHeight="1" s="322">
      <c r="A556" s="27" t="n"/>
      <c r="B556" s="506" t="n"/>
      <c r="C556" s="141" t="n"/>
      <c r="D556" s="141" t="n"/>
      <c r="E556" s="141" t="n"/>
      <c r="F556" s="141" t="n"/>
      <c r="G556" s="143" t="n"/>
      <c r="H556" s="27" t="n"/>
    </row>
    <row r="557" ht="17.25" customHeight="1" s="322">
      <c r="A557" s="27" t="n"/>
      <c r="B557" s="506" t="n"/>
      <c r="C557" s="141" t="n"/>
      <c r="D557" s="141" t="n"/>
      <c r="E557" s="141" t="n"/>
      <c r="F557" s="141" t="n"/>
      <c r="G557" s="143" t="n"/>
      <c r="H557" s="27" t="n"/>
    </row>
    <row r="558" ht="17.25" customHeight="1" s="322">
      <c r="A558" s="27" t="n"/>
      <c r="B558" s="506" t="n"/>
      <c r="C558" s="141" t="n"/>
      <c r="D558" s="141" t="n"/>
      <c r="E558" s="141" t="n"/>
      <c r="F558" s="141" t="n"/>
      <c r="G558" s="143" t="n"/>
      <c r="H558" s="27" t="n"/>
    </row>
    <row r="559" ht="17.25" customHeight="1" s="322">
      <c r="A559" s="27" t="n"/>
      <c r="B559" s="506" t="n"/>
      <c r="C559" s="141" t="n"/>
      <c r="D559" s="141" t="n"/>
      <c r="E559" s="141" t="n"/>
      <c r="F559" s="141" t="n"/>
      <c r="G559" s="143" t="n"/>
      <c r="H559" s="27" t="n"/>
    </row>
    <row r="560" ht="17.25" customHeight="1" s="322">
      <c r="A560" s="27" t="n"/>
      <c r="B560" s="506" t="n"/>
      <c r="C560" s="141" t="n"/>
      <c r="D560" s="141" t="n"/>
      <c r="E560" s="141" t="n"/>
      <c r="F560" s="141" t="n"/>
      <c r="G560" s="143" t="n"/>
      <c r="H560" s="27" t="n"/>
    </row>
    <row r="561" ht="17.25" customHeight="1" s="322">
      <c r="A561" s="27" t="n"/>
      <c r="B561" s="506" t="n"/>
      <c r="C561" s="141" t="n"/>
      <c r="D561" s="141" t="n"/>
      <c r="E561" s="141" t="n"/>
      <c r="F561" s="141" t="n"/>
      <c r="G561" s="143" t="n"/>
      <c r="H561" s="27" t="n"/>
    </row>
    <row r="562" ht="17.25" customHeight="1" s="322">
      <c r="A562" s="27" t="n"/>
      <c r="B562" s="506" t="n"/>
      <c r="C562" s="141" t="n"/>
      <c r="D562" s="141" t="n"/>
      <c r="E562" s="141" t="n"/>
      <c r="F562" s="141" t="n"/>
      <c r="G562" s="143" t="n"/>
      <c r="H562" s="27" t="n"/>
    </row>
    <row r="563" ht="17.25" customHeight="1" s="322">
      <c r="A563" s="27" t="n"/>
      <c r="B563" s="506" t="n"/>
      <c r="C563" s="141" t="n"/>
      <c r="D563" s="141" t="n"/>
      <c r="E563" s="141" t="n"/>
      <c r="F563" s="141" t="n"/>
      <c r="G563" s="143" t="n"/>
      <c r="H563" s="27" t="n"/>
    </row>
    <row r="564" ht="17.25" customHeight="1" s="322">
      <c r="A564" s="27" t="n"/>
      <c r="B564" s="506" t="n"/>
      <c r="C564" s="141" t="n"/>
      <c r="D564" s="141" t="n"/>
      <c r="E564" s="141" t="n"/>
      <c r="F564" s="141" t="n"/>
      <c r="G564" s="143" t="n"/>
      <c r="H564" s="27" t="n"/>
    </row>
    <row r="565" ht="17.25" customHeight="1" s="322">
      <c r="A565" s="27" t="n"/>
      <c r="B565" s="506" t="n"/>
      <c r="C565" s="141" t="n"/>
      <c r="D565" s="141" t="n"/>
      <c r="E565" s="141" t="n"/>
      <c r="F565" s="141" t="n"/>
      <c r="G565" s="143" t="n"/>
      <c r="H565" s="27" t="n"/>
    </row>
    <row r="566" ht="17.25" customHeight="1" s="322">
      <c r="A566" s="27" t="n"/>
      <c r="B566" s="506" t="n"/>
      <c r="C566" s="141" t="n"/>
      <c r="D566" s="141" t="n"/>
      <c r="E566" s="141" t="n"/>
      <c r="F566" s="141" t="n"/>
      <c r="G566" s="143" t="n"/>
      <c r="H566" s="27" t="n"/>
    </row>
    <row r="567" ht="17.25" customHeight="1" s="322">
      <c r="A567" s="27" t="n"/>
      <c r="B567" s="506" t="n"/>
      <c r="C567" s="141" t="n"/>
      <c r="D567" s="141" t="n"/>
      <c r="E567" s="141" t="n"/>
      <c r="F567" s="141" t="n"/>
      <c r="G567" s="143" t="n"/>
      <c r="H567" s="27" t="n"/>
    </row>
    <row r="568" ht="17.25" customHeight="1" s="322">
      <c r="A568" s="27" t="n"/>
      <c r="B568" s="506" t="n"/>
      <c r="C568" s="141" t="n"/>
      <c r="D568" s="141" t="n"/>
      <c r="E568" s="141" t="n"/>
      <c r="F568" s="141" t="n"/>
      <c r="G568" s="143" t="n"/>
      <c r="H568" s="27" t="n"/>
    </row>
    <row r="569" ht="17.25" customHeight="1" s="322">
      <c r="A569" s="27" t="n"/>
      <c r="B569" s="506" t="n"/>
      <c r="C569" s="141" t="n"/>
      <c r="D569" s="141" t="n"/>
      <c r="E569" s="141" t="n"/>
      <c r="F569" s="141" t="n"/>
      <c r="G569" s="143" t="n"/>
      <c r="H569" s="27" t="n"/>
    </row>
    <row r="570" ht="17.25" customHeight="1" s="322">
      <c r="A570" s="27" t="n"/>
      <c r="B570" s="506" t="n"/>
      <c r="C570" s="141" t="n"/>
      <c r="D570" s="141" t="n"/>
      <c r="E570" s="141" t="n"/>
      <c r="F570" s="141" t="n"/>
      <c r="G570" s="143" t="n"/>
      <c r="H570" s="27" t="n"/>
    </row>
    <row r="571" ht="17.25" customHeight="1" s="322">
      <c r="A571" s="27" t="n"/>
      <c r="B571" s="506" t="n"/>
      <c r="C571" s="141" t="n"/>
      <c r="D571" s="141" t="n"/>
      <c r="E571" s="141" t="n"/>
      <c r="F571" s="141" t="n"/>
      <c r="G571" s="143" t="n"/>
      <c r="H571" s="27" t="n"/>
    </row>
    <row r="572" ht="17.25" customHeight="1" s="322">
      <c r="A572" s="27" t="n"/>
      <c r="B572" s="506" t="n"/>
      <c r="C572" s="141" t="n"/>
      <c r="D572" s="141" t="n"/>
      <c r="E572" s="141" t="n"/>
      <c r="F572" s="141" t="n"/>
      <c r="G572" s="143" t="n"/>
      <c r="H572" s="27" t="n"/>
    </row>
    <row r="573" ht="17.25" customHeight="1" s="322">
      <c r="A573" s="27" t="n"/>
      <c r="B573" s="506" t="n"/>
      <c r="C573" s="141" t="n"/>
      <c r="D573" s="141" t="n"/>
      <c r="E573" s="141" t="n"/>
      <c r="F573" s="141" t="n"/>
      <c r="G573" s="143" t="n"/>
      <c r="H573" s="27" t="n"/>
    </row>
    <row r="574" ht="17.25" customHeight="1" s="322">
      <c r="A574" s="27" t="n"/>
      <c r="B574" s="506" t="n"/>
      <c r="C574" s="141" t="n"/>
      <c r="D574" s="141" t="n"/>
      <c r="E574" s="141" t="n"/>
      <c r="F574" s="141" t="n"/>
      <c r="G574" s="143" t="n"/>
      <c r="H574" s="27" t="n"/>
    </row>
    <row r="575" ht="17.25" customHeight="1" s="322">
      <c r="A575" s="27" t="n"/>
      <c r="B575" s="506" t="n"/>
      <c r="C575" s="141" t="n"/>
      <c r="D575" s="141" t="n"/>
      <c r="E575" s="141" t="n"/>
      <c r="F575" s="141" t="n"/>
      <c r="G575" s="143" t="n"/>
      <c r="H575" s="27" t="n"/>
    </row>
    <row r="576" ht="17.25" customHeight="1" s="322">
      <c r="A576" s="27" t="n"/>
      <c r="B576" s="506" t="n"/>
      <c r="C576" s="141" t="n"/>
      <c r="D576" s="141" t="n"/>
      <c r="E576" s="141" t="n"/>
      <c r="F576" s="141" t="n"/>
      <c r="G576" s="143" t="n"/>
      <c r="H576" s="27" t="n"/>
    </row>
    <row r="577" ht="17.25" customHeight="1" s="322">
      <c r="A577" s="27" t="n"/>
      <c r="B577" s="506" t="n"/>
      <c r="C577" s="141" t="n"/>
      <c r="D577" s="141" t="n"/>
      <c r="E577" s="141" t="n"/>
      <c r="F577" s="141" t="n"/>
      <c r="G577" s="143" t="n"/>
      <c r="H577" s="27" t="n"/>
    </row>
    <row r="578" ht="17.25" customHeight="1" s="322">
      <c r="A578" s="27" t="n"/>
      <c r="B578" s="506" t="n"/>
      <c r="C578" s="141" t="n"/>
      <c r="D578" s="141" t="n"/>
      <c r="E578" s="141" t="n"/>
      <c r="F578" s="141" t="n"/>
      <c r="G578" s="143" t="n"/>
      <c r="H578" s="27" t="n"/>
    </row>
    <row r="579" ht="17.25" customHeight="1" s="322">
      <c r="A579" s="27" t="n"/>
      <c r="B579" s="506" t="n"/>
      <c r="C579" s="141" t="n"/>
      <c r="D579" s="141" t="n"/>
      <c r="E579" s="141" t="n"/>
      <c r="F579" s="141" t="n"/>
      <c r="G579" s="143" t="n"/>
      <c r="H579" s="27" t="n"/>
    </row>
    <row r="580" ht="17.25" customHeight="1" s="322">
      <c r="A580" s="27" t="n"/>
      <c r="B580" s="506" t="n"/>
      <c r="C580" s="141" t="n"/>
      <c r="D580" s="141" t="n"/>
      <c r="E580" s="141" t="n"/>
      <c r="F580" s="141" t="n"/>
      <c r="G580" s="143" t="n"/>
      <c r="H580" s="27" t="n"/>
    </row>
    <row r="581" ht="17.25" customHeight="1" s="322">
      <c r="A581" s="27" t="n"/>
      <c r="B581" s="506" t="n"/>
      <c r="C581" s="141" t="n"/>
      <c r="D581" s="141" t="n"/>
      <c r="E581" s="141" t="n"/>
      <c r="F581" s="141" t="n"/>
      <c r="G581" s="143" t="n"/>
      <c r="H581" s="27" t="n"/>
    </row>
    <row r="582" ht="17.25" customHeight="1" s="322">
      <c r="A582" s="27" t="n"/>
      <c r="B582" s="506" t="n"/>
      <c r="C582" s="141" t="n"/>
      <c r="D582" s="141" t="n"/>
      <c r="E582" s="141" t="n"/>
      <c r="F582" s="141" t="n"/>
      <c r="G582" s="143" t="n"/>
      <c r="H582" s="27" t="n"/>
    </row>
    <row r="583" ht="17.25" customHeight="1" s="322">
      <c r="A583" s="27" t="n"/>
      <c r="B583" s="506" t="n"/>
      <c r="C583" s="141" t="n"/>
      <c r="D583" s="141" t="n"/>
      <c r="E583" s="141" t="n"/>
      <c r="F583" s="141" t="n"/>
      <c r="G583" s="143" t="n"/>
      <c r="H583" s="27" t="n"/>
    </row>
    <row r="584" ht="17.25" customHeight="1" s="322">
      <c r="A584" s="27" t="n"/>
      <c r="B584" s="506" t="n"/>
      <c r="C584" s="141" t="n"/>
      <c r="D584" s="141" t="n"/>
      <c r="E584" s="141" t="n"/>
      <c r="F584" s="141" t="n"/>
      <c r="G584" s="143" t="n"/>
      <c r="H584" s="27" t="n"/>
    </row>
    <row r="585" ht="17.25" customHeight="1" s="322">
      <c r="A585" s="27" t="n"/>
      <c r="B585" s="506" t="n"/>
      <c r="C585" s="141" t="n"/>
      <c r="D585" s="141" t="n"/>
      <c r="E585" s="141" t="n"/>
      <c r="F585" s="141" t="n"/>
      <c r="G585" s="143" t="n"/>
      <c r="H585" s="27" t="n"/>
    </row>
    <row r="586" ht="17.25" customHeight="1" s="322">
      <c r="A586" s="27" t="n"/>
      <c r="B586" s="506" t="n"/>
      <c r="C586" s="141" t="n"/>
      <c r="D586" s="141" t="n"/>
      <c r="E586" s="141" t="n"/>
      <c r="F586" s="141" t="n"/>
      <c r="G586" s="143" t="n"/>
      <c r="H586" s="27" t="n"/>
    </row>
    <row r="587" ht="17.25" customHeight="1" s="322">
      <c r="A587" s="27" t="n"/>
      <c r="B587" s="506" t="n"/>
      <c r="C587" s="141" t="n"/>
      <c r="D587" s="141" t="n"/>
      <c r="E587" s="141" t="n"/>
      <c r="F587" s="141" t="n"/>
      <c r="G587" s="143" t="n"/>
      <c r="H587" s="27" t="n"/>
    </row>
    <row r="588" ht="17.25" customHeight="1" s="322">
      <c r="A588" s="27" t="n"/>
      <c r="B588" s="506" t="n"/>
      <c r="C588" s="141" t="n"/>
      <c r="D588" s="141" t="n"/>
      <c r="E588" s="141" t="n"/>
      <c r="F588" s="141" t="n"/>
      <c r="G588" s="143" t="n"/>
      <c r="H588" s="27" t="n"/>
    </row>
    <row r="589" ht="17.25" customHeight="1" s="322">
      <c r="A589" s="27" t="n"/>
      <c r="B589" s="506" t="n"/>
      <c r="C589" s="141" t="n"/>
      <c r="D589" s="141" t="n"/>
      <c r="E589" s="141" t="n"/>
      <c r="F589" s="141" t="n"/>
      <c r="G589" s="143" t="n"/>
      <c r="H589" s="27" t="n"/>
    </row>
    <row r="590" ht="17.25" customHeight="1" s="322">
      <c r="A590" s="27" t="n"/>
      <c r="B590" s="506" t="n"/>
      <c r="C590" s="141" t="n"/>
      <c r="D590" s="141" t="n"/>
      <c r="E590" s="141" t="n"/>
      <c r="F590" s="141" t="n"/>
      <c r="G590" s="143" t="n"/>
      <c r="H590" s="27" t="n"/>
    </row>
    <row r="591" ht="17.25" customHeight="1" s="322">
      <c r="A591" s="27" t="n"/>
      <c r="B591" s="506" t="n"/>
      <c r="C591" s="141" t="n"/>
      <c r="D591" s="141" t="n"/>
      <c r="E591" s="141" t="n"/>
      <c r="F591" s="141" t="n"/>
      <c r="G591" s="143" t="n"/>
      <c r="H591" s="27" t="n"/>
    </row>
    <row r="592" ht="17.25" customHeight="1" s="322">
      <c r="A592" s="27" t="n"/>
      <c r="B592" s="506" t="n"/>
      <c r="C592" s="141" t="n"/>
      <c r="D592" s="141" t="n"/>
      <c r="E592" s="141" t="n"/>
      <c r="F592" s="141" t="n"/>
      <c r="G592" s="143" t="n"/>
      <c r="H592" s="27" t="n"/>
    </row>
    <row r="593" ht="17.25" customHeight="1" s="322">
      <c r="A593" s="27" t="n"/>
      <c r="B593" s="506" t="n"/>
      <c r="C593" s="141" t="n"/>
      <c r="D593" s="141" t="n"/>
      <c r="E593" s="141" t="n"/>
      <c r="F593" s="141" t="n"/>
      <c r="G593" s="143" t="n"/>
      <c r="H593" s="27" t="n"/>
    </row>
    <row r="594" ht="17.25" customHeight="1" s="322">
      <c r="A594" s="27" t="n"/>
      <c r="B594" s="506" t="n"/>
      <c r="C594" s="141" t="n"/>
      <c r="D594" s="141" t="n"/>
      <c r="E594" s="141" t="n"/>
      <c r="F594" s="141" t="n"/>
      <c r="G594" s="143" t="n"/>
      <c r="H594" s="27" t="n"/>
    </row>
    <row r="595" ht="17.25" customHeight="1" s="322">
      <c r="A595" s="27" t="n"/>
      <c r="B595" s="506" t="n"/>
      <c r="C595" s="141" t="n"/>
      <c r="D595" s="141" t="n"/>
      <c r="E595" s="141" t="n"/>
      <c r="F595" s="141" t="n"/>
      <c r="G595" s="143" t="n"/>
      <c r="H595" s="27" t="n"/>
    </row>
    <row r="596" ht="17.25" customHeight="1" s="322">
      <c r="A596" s="27" t="n"/>
      <c r="B596" s="506" t="n"/>
      <c r="C596" s="141" t="n"/>
      <c r="D596" s="141" t="n"/>
      <c r="E596" s="141" t="n"/>
      <c r="F596" s="141" t="n"/>
      <c r="G596" s="143" t="n"/>
      <c r="H596" s="27" t="n"/>
    </row>
    <row r="597" ht="17.25" customHeight="1" s="322">
      <c r="A597" s="27" t="n"/>
      <c r="B597" s="506" t="n"/>
      <c r="C597" s="141" t="n"/>
      <c r="D597" s="141" t="n"/>
      <c r="E597" s="141" t="n"/>
      <c r="F597" s="141" t="n"/>
      <c r="G597" s="143" t="n"/>
      <c r="H597" s="27" t="n"/>
    </row>
    <row r="598" ht="17.25" customHeight="1" s="322">
      <c r="A598" s="27" t="n"/>
      <c r="B598" s="506" t="n"/>
      <c r="C598" s="141" t="n"/>
      <c r="D598" s="141" t="n"/>
      <c r="E598" s="141" t="n"/>
      <c r="F598" s="141" t="n"/>
      <c r="G598" s="143" t="n"/>
      <c r="H598" s="27" t="n"/>
    </row>
    <row r="599" ht="17.25" customHeight="1" s="322">
      <c r="A599" s="27" t="n"/>
      <c r="B599" s="506" t="n"/>
      <c r="C599" s="141" t="n"/>
      <c r="D599" s="141" t="n"/>
      <c r="E599" s="141" t="n"/>
      <c r="F599" s="141" t="n"/>
      <c r="G599" s="143" t="n"/>
      <c r="H599" s="27" t="n"/>
    </row>
    <row r="600" ht="17.25" customHeight="1" s="322">
      <c r="A600" s="27" t="n"/>
      <c r="B600" s="506" t="n"/>
      <c r="C600" s="141" t="n"/>
      <c r="D600" s="141" t="n"/>
      <c r="E600" s="141" t="n"/>
      <c r="F600" s="141" t="n"/>
      <c r="G600" s="143" t="n"/>
      <c r="H600" s="27" t="n"/>
    </row>
    <row r="601" ht="17.25" customHeight="1" s="322">
      <c r="A601" s="27" t="n"/>
      <c r="B601" s="506" t="n"/>
      <c r="C601" s="141" t="n"/>
      <c r="D601" s="141" t="n"/>
      <c r="E601" s="141" t="n"/>
      <c r="F601" s="141" t="n"/>
      <c r="G601" s="143" t="n"/>
      <c r="H601" s="27" t="n"/>
    </row>
    <row r="602" ht="17.25" customHeight="1" s="322">
      <c r="A602" s="27" t="n"/>
      <c r="B602" s="506" t="n"/>
      <c r="C602" s="141" t="n"/>
      <c r="D602" s="141" t="n"/>
      <c r="E602" s="141" t="n"/>
      <c r="F602" s="141" t="n"/>
      <c r="G602" s="143" t="n"/>
      <c r="H602" s="27" t="n"/>
    </row>
    <row r="603" ht="17.25" customHeight="1" s="322">
      <c r="A603" s="27" t="n"/>
      <c r="B603" s="506" t="n"/>
      <c r="C603" s="141" t="n"/>
      <c r="D603" s="141" t="n"/>
      <c r="E603" s="141" t="n"/>
      <c r="F603" s="141" t="n"/>
      <c r="G603" s="143" t="n"/>
      <c r="H603" s="27" t="n"/>
    </row>
    <row r="604" ht="17.25" customHeight="1" s="322">
      <c r="A604" s="27" t="n"/>
      <c r="B604" s="506" t="n"/>
      <c r="C604" s="141" t="n"/>
      <c r="D604" s="141" t="n"/>
      <c r="E604" s="141" t="n"/>
      <c r="F604" s="141" t="n"/>
      <c r="G604" s="143" t="n"/>
      <c r="H604" s="27" t="n"/>
    </row>
    <row r="605" ht="17.25" customHeight="1" s="322">
      <c r="A605" s="27" t="n"/>
      <c r="B605" s="506" t="n"/>
      <c r="C605" s="141" t="n"/>
      <c r="D605" s="141" t="n"/>
      <c r="E605" s="141" t="n"/>
      <c r="F605" s="141" t="n"/>
      <c r="G605" s="143" t="n"/>
      <c r="H605" s="27" t="n"/>
    </row>
    <row r="606" ht="17.25" customHeight="1" s="322">
      <c r="A606" s="27" t="n"/>
      <c r="B606" s="506" t="n"/>
      <c r="C606" s="141" t="n"/>
      <c r="D606" s="141" t="n"/>
      <c r="E606" s="141" t="n"/>
      <c r="F606" s="141" t="n"/>
      <c r="G606" s="143" t="n"/>
      <c r="H606" s="27" t="n"/>
    </row>
    <row r="607" ht="17.25" customHeight="1" s="322">
      <c r="A607" s="27" t="n"/>
      <c r="B607" s="506" t="n"/>
      <c r="C607" s="141" t="n"/>
      <c r="D607" s="141" t="n"/>
      <c r="E607" s="141" t="n"/>
      <c r="F607" s="141" t="n"/>
      <c r="G607" s="143" t="n"/>
      <c r="H607" s="27" t="n"/>
    </row>
    <row r="608" ht="17.25" customHeight="1" s="322">
      <c r="A608" s="27" t="n"/>
      <c r="B608" s="506" t="n"/>
      <c r="C608" s="141" t="n"/>
      <c r="D608" s="141" t="n"/>
      <c r="E608" s="141" t="n"/>
      <c r="F608" s="141" t="n"/>
      <c r="G608" s="143" t="n"/>
      <c r="H608" s="27" t="n"/>
    </row>
    <row r="609" ht="17.25" customHeight="1" s="322">
      <c r="A609" s="27" t="n"/>
      <c r="B609" s="506" t="n"/>
      <c r="C609" s="141" t="n"/>
      <c r="D609" s="141" t="n"/>
      <c r="E609" s="141" t="n"/>
      <c r="F609" s="141" t="n"/>
      <c r="G609" s="143" t="n"/>
      <c r="H609" s="27" t="n"/>
    </row>
    <row r="610" ht="17.25" customHeight="1" s="322">
      <c r="A610" s="27" t="n"/>
      <c r="B610" s="506" t="n"/>
      <c r="C610" s="141" t="n"/>
      <c r="D610" s="141" t="n"/>
      <c r="E610" s="141" t="n"/>
      <c r="F610" s="141" t="n"/>
      <c r="G610" s="143" t="n"/>
      <c r="H610" s="27" t="n"/>
    </row>
    <row r="611" ht="17.25" customHeight="1" s="322">
      <c r="A611" s="27" t="n"/>
      <c r="B611" s="506" t="n"/>
      <c r="C611" s="141" t="n"/>
      <c r="D611" s="141" t="n"/>
      <c r="E611" s="141" t="n"/>
      <c r="F611" s="141" t="n"/>
      <c r="G611" s="143" t="n"/>
      <c r="H611" s="27" t="n"/>
    </row>
    <row r="612" ht="17.25" customHeight="1" s="322">
      <c r="A612" s="27" t="n"/>
      <c r="B612" s="506" t="n"/>
      <c r="C612" s="141" t="n"/>
      <c r="D612" s="141" t="n"/>
      <c r="E612" s="141" t="n"/>
      <c r="F612" s="141" t="n"/>
      <c r="G612" s="143" t="n"/>
      <c r="H612" s="27" t="n"/>
    </row>
    <row r="613" ht="17.25" customHeight="1" s="322">
      <c r="A613" s="27" t="n"/>
      <c r="B613" s="506" t="n"/>
      <c r="C613" s="141" t="n"/>
      <c r="D613" s="141" t="n"/>
      <c r="E613" s="141" t="n"/>
      <c r="F613" s="141" t="n"/>
      <c r="G613" s="143" t="n"/>
      <c r="H613" s="27" t="n"/>
    </row>
    <row r="614" ht="17.25" customHeight="1" s="322">
      <c r="A614" s="27" t="n"/>
      <c r="B614" s="506" t="n"/>
      <c r="C614" s="141" t="n"/>
      <c r="D614" s="141" t="n"/>
      <c r="E614" s="141" t="n"/>
      <c r="F614" s="141" t="n"/>
      <c r="G614" s="143" t="n"/>
      <c r="H614" s="27" t="n"/>
    </row>
    <row r="615" ht="17.25" customHeight="1" s="322">
      <c r="A615" s="27" t="n"/>
      <c r="B615" s="506" t="n"/>
      <c r="C615" s="141" t="n"/>
      <c r="D615" s="141" t="n"/>
      <c r="E615" s="141" t="n"/>
      <c r="F615" s="141" t="n"/>
      <c r="G615" s="143" t="n"/>
      <c r="H615" s="27" t="n"/>
    </row>
    <row r="616" ht="17.25" customHeight="1" s="322">
      <c r="A616" s="27" t="n"/>
      <c r="B616" s="506" t="n"/>
      <c r="C616" s="141" t="n"/>
      <c r="D616" s="141" t="n"/>
      <c r="E616" s="141" t="n"/>
      <c r="F616" s="141" t="n"/>
      <c r="G616" s="143" t="n"/>
      <c r="H616" s="27" t="n"/>
    </row>
    <row r="617" ht="17.25" customHeight="1" s="322">
      <c r="A617" s="27" t="n"/>
      <c r="B617" s="506" t="n"/>
      <c r="C617" s="141" t="n"/>
      <c r="D617" s="141" t="n"/>
      <c r="E617" s="141" t="n"/>
      <c r="F617" s="141" t="n"/>
      <c r="G617" s="143" t="n"/>
      <c r="H617" s="27" t="n"/>
    </row>
    <row r="618" ht="17.25" customHeight="1" s="322">
      <c r="A618" s="27" t="n"/>
      <c r="B618" s="506" t="n"/>
      <c r="C618" s="141" t="n"/>
      <c r="D618" s="141" t="n"/>
      <c r="E618" s="141" t="n"/>
      <c r="F618" s="141" t="n"/>
      <c r="G618" s="143" t="n"/>
      <c r="H618" s="27" t="n"/>
    </row>
    <row r="619" ht="17.25" customHeight="1" s="322">
      <c r="A619" s="27" t="n"/>
      <c r="B619" s="506" t="n"/>
      <c r="C619" s="141" t="n"/>
      <c r="D619" s="141" t="n"/>
      <c r="E619" s="141" t="n"/>
      <c r="F619" s="141" t="n"/>
      <c r="G619" s="143" t="n"/>
      <c r="H619" s="27" t="n"/>
    </row>
    <row r="620" ht="17.25" customHeight="1" s="322">
      <c r="A620" s="27" t="n"/>
      <c r="B620" s="506" t="n"/>
      <c r="C620" s="141" t="n"/>
      <c r="D620" s="141" t="n"/>
      <c r="E620" s="141" t="n"/>
      <c r="F620" s="141" t="n"/>
      <c r="G620" s="143" t="n"/>
      <c r="H620" s="27" t="n"/>
    </row>
    <row r="621" ht="17.25" customHeight="1" s="322">
      <c r="A621" s="27" t="n"/>
      <c r="B621" s="506" t="n"/>
      <c r="C621" s="141" t="n"/>
      <c r="D621" s="141" t="n"/>
      <c r="E621" s="141" t="n"/>
      <c r="F621" s="141" t="n"/>
      <c r="G621" s="143" t="n"/>
      <c r="H621" s="27" t="n"/>
    </row>
    <row r="622" ht="17.25" customHeight="1" s="322">
      <c r="A622" s="27" t="n"/>
      <c r="B622" s="506" t="n"/>
      <c r="C622" s="141" t="n"/>
      <c r="D622" s="141" t="n"/>
      <c r="E622" s="141" t="n"/>
      <c r="F622" s="141" t="n"/>
      <c r="G622" s="143" t="n"/>
      <c r="H622" s="27" t="n"/>
    </row>
    <row r="623" ht="17.25" customHeight="1" s="322">
      <c r="A623" s="27" t="n"/>
      <c r="B623" s="506" t="n"/>
      <c r="C623" s="141" t="n"/>
      <c r="D623" s="141" t="n"/>
      <c r="E623" s="141" t="n"/>
      <c r="F623" s="141" t="n"/>
      <c r="G623" s="143" t="n"/>
      <c r="H623" s="27" t="n"/>
    </row>
    <row r="624" ht="17.25" customHeight="1" s="322">
      <c r="A624" s="27" t="n"/>
      <c r="B624" s="506" t="n"/>
      <c r="C624" s="141" t="n"/>
      <c r="D624" s="141" t="n"/>
      <c r="E624" s="141" t="n"/>
      <c r="F624" s="141" t="n"/>
      <c r="G624" s="143" t="n"/>
      <c r="H624" s="27" t="n"/>
    </row>
    <row r="625" ht="17.25" customHeight="1" s="322">
      <c r="A625" s="27" t="n"/>
      <c r="B625" s="506" t="n"/>
      <c r="C625" s="141" t="n"/>
      <c r="D625" s="141" t="n"/>
      <c r="E625" s="141" t="n"/>
      <c r="F625" s="141" t="n"/>
      <c r="G625" s="143" t="n"/>
      <c r="H625" s="27" t="n"/>
    </row>
    <row r="626" ht="17.25" customHeight="1" s="322">
      <c r="A626" s="27" t="n"/>
      <c r="B626" s="506" t="n"/>
      <c r="C626" s="141" t="n"/>
      <c r="D626" s="141" t="n"/>
      <c r="E626" s="141" t="n"/>
      <c r="F626" s="141" t="n"/>
      <c r="G626" s="143" t="n"/>
      <c r="H626" s="27" t="n"/>
    </row>
    <row r="627" ht="17.25" customHeight="1" s="322">
      <c r="A627" s="27" t="n"/>
      <c r="B627" s="506" t="n"/>
      <c r="C627" s="141" t="n"/>
      <c r="D627" s="141" t="n"/>
      <c r="E627" s="141" t="n"/>
      <c r="F627" s="141" t="n"/>
      <c r="G627" s="143" t="n"/>
      <c r="H627" s="27" t="n"/>
    </row>
    <row r="628" ht="17.25" customHeight="1" s="322">
      <c r="A628" s="27" t="n"/>
      <c r="B628" s="506" t="n"/>
      <c r="C628" s="141" t="n"/>
      <c r="D628" s="141" t="n"/>
      <c r="E628" s="141" t="n"/>
      <c r="F628" s="141" t="n"/>
      <c r="G628" s="143" t="n"/>
      <c r="H628" s="27" t="n"/>
    </row>
    <row r="629" ht="17.25" customHeight="1" s="322">
      <c r="A629" s="27" t="n"/>
      <c r="B629" s="506" t="n"/>
      <c r="C629" s="141" t="n"/>
      <c r="D629" s="141" t="n"/>
      <c r="E629" s="141" t="n"/>
      <c r="F629" s="141" t="n"/>
      <c r="G629" s="143" t="n"/>
      <c r="H629" s="27" t="n"/>
    </row>
    <row r="630" ht="17.25" customHeight="1" s="322">
      <c r="A630" s="27" t="n"/>
      <c r="B630" s="506" t="n"/>
      <c r="C630" s="141" t="n"/>
      <c r="D630" s="141" t="n"/>
      <c r="E630" s="141" t="n"/>
      <c r="F630" s="141" t="n"/>
      <c r="G630" s="143" t="n"/>
      <c r="H630" s="27" t="n"/>
    </row>
    <row r="631" ht="17.25" customHeight="1" s="322">
      <c r="A631" s="27" t="n"/>
      <c r="B631" s="506" t="n"/>
      <c r="C631" s="141" t="n"/>
      <c r="D631" s="141" t="n"/>
      <c r="E631" s="141" t="n"/>
      <c r="F631" s="141" t="n"/>
      <c r="G631" s="143" t="n"/>
      <c r="H631" s="27" t="n"/>
    </row>
    <row r="632" ht="17.25" customHeight="1" s="322">
      <c r="A632" s="27" t="n"/>
      <c r="B632" s="506" t="n"/>
      <c r="C632" s="141" t="n"/>
      <c r="D632" s="141" t="n"/>
      <c r="E632" s="141" t="n"/>
      <c r="F632" s="141" t="n"/>
      <c r="G632" s="143" t="n"/>
      <c r="H632" s="27" t="n"/>
    </row>
    <row r="633" ht="17.25" customHeight="1" s="322">
      <c r="A633" s="27" t="n"/>
      <c r="B633" s="506" t="n"/>
      <c r="C633" s="141" t="n"/>
      <c r="D633" s="141" t="n"/>
      <c r="E633" s="141" t="n"/>
      <c r="F633" s="141" t="n"/>
      <c r="G633" s="143" t="n"/>
      <c r="H633" s="27" t="n"/>
    </row>
    <row r="634" ht="17.25" customHeight="1" s="322">
      <c r="A634" s="27" t="n"/>
      <c r="B634" s="506" t="n"/>
      <c r="C634" s="141" t="n"/>
      <c r="D634" s="141" t="n"/>
      <c r="E634" s="141" t="n"/>
      <c r="F634" s="141" t="n"/>
      <c r="G634" s="143" t="n"/>
      <c r="H634" s="27" t="n"/>
    </row>
    <row r="635" ht="17.25" customHeight="1" s="322">
      <c r="A635" s="27" t="n"/>
      <c r="B635" s="506" t="n"/>
      <c r="C635" s="141" t="n"/>
      <c r="D635" s="141" t="n"/>
      <c r="E635" s="141" t="n"/>
      <c r="F635" s="141" t="n"/>
      <c r="G635" s="143" t="n"/>
      <c r="H635" s="27" t="n"/>
    </row>
    <row r="636" ht="17.25" customHeight="1" s="322">
      <c r="A636" s="27" t="n"/>
      <c r="B636" s="506" t="n"/>
      <c r="C636" s="141" t="n"/>
      <c r="D636" s="141" t="n"/>
      <c r="E636" s="141" t="n"/>
      <c r="F636" s="141" t="n"/>
      <c r="G636" s="143" t="n"/>
      <c r="H636" s="27" t="n"/>
    </row>
    <row r="637" ht="17.25" customHeight="1" s="322">
      <c r="A637" s="27" t="n"/>
      <c r="B637" s="506" t="n"/>
      <c r="C637" s="141" t="n"/>
      <c r="D637" s="141" t="n"/>
      <c r="E637" s="141" t="n"/>
      <c r="F637" s="141" t="n"/>
      <c r="G637" s="143" t="n"/>
      <c r="H637" s="27" t="n"/>
    </row>
    <row r="638" ht="17.25" customHeight="1" s="322">
      <c r="A638" s="27" t="n"/>
      <c r="B638" s="506" t="n"/>
      <c r="C638" s="141" t="n"/>
      <c r="D638" s="141" t="n"/>
      <c r="E638" s="141" t="n"/>
      <c r="F638" s="141" t="n"/>
      <c r="G638" s="143" t="n"/>
      <c r="H638" s="27" t="n"/>
    </row>
    <row r="639" ht="17.25" customHeight="1" s="322">
      <c r="A639" s="27" t="n"/>
      <c r="B639" s="506" t="n"/>
      <c r="C639" s="141" t="n"/>
      <c r="D639" s="141" t="n"/>
      <c r="E639" s="141" t="n"/>
      <c r="F639" s="141" t="n"/>
      <c r="G639" s="143" t="n"/>
      <c r="H639" s="27" t="n"/>
    </row>
    <row r="640" ht="17.25" customHeight="1" s="322">
      <c r="A640" s="27" t="n"/>
      <c r="B640" s="506" t="n"/>
      <c r="C640" s="141" t="n"/>
      <c r="D640" s="141" t="n"/>
      <c r="E640" s="141" t="n"/>
      <c r="F640" s="141" t="n"/>
      <c r="G640" s="143" t="n"/>
      <c r="H640" s="27" t="n"/>
    </row>
    <row r="641" ht="17.25" customHeight="1" s="322">
      <c r="A641" s="27" t="n"/>
      <c r="B641" s="506" t="n"/>
      <c r="C641" s="141" t="n"/>
      <c r="D641" s="141" t="n"/>
      <c r="E641" s="141" t="n"/>
      <c r="F641" s="141" t="n"/>
      <c r="G641" s="143" t="n"/>
      <c r="H641" s="27" t="n"/>
    </row>
    <row r="642" ht="17.25" customHeight="1" s="322">
      <c r="A642" s="27" t="n"/>
      <c r="B642" s="506" t="n"/>
      <c r="C642" s="141" t="n"/>
      <c r="D642" s="141" t="n"/>
      <c r="E642" s="141" t="n"/>
      <c r="F642" s="141" t="n"/>
      <c r="G642" s="143" t="n"/>
      <c r="H642" s="27" t="n"/>
    </row>
    <row r="643" ht="17.25" customHeight="1" s="322">
      <c r="A643" s="27" t="n"/>
      <c r="B643" s="506" t="n"/>
      <c r="C643" s="141" t="n"/>
      <c r="D643" s="141" t="n"/>
      <c r="E643" s="141" t="n"/>
      <c r="F643" s="141" t="n"/>
      <c r="G643" s="143" t="n"/>
      <c r="H643" s="27" t="n"/>
    </row>
    <row r="644" ht="17.25" customHeight="1" s="322">
      <c r="A644" s="27" t="n"/>
      <c r="B644" s="506" t="n"/>
      <c r="C644" s="141" t="n"/>
      <c r="D644" s="141" t="n"/>
      <c r="E644" s="141" t="n"/>
      <c r="F644" s="141" t="n"/>
      <c r="G644" s="143" t="n"/>
      <c r="H644" s="27" t="n"/>
    </row>
    <row r="645" ht="17.25" customHeight="1" s="322">
      <c r="A645" s="27" t="n"/>
      <c r="B645" s="506" t="n"/>
      <c r="C645" s="141" t="n"/>
      <c r="D645" s="141" t="n"/>
      <c r="E645" s="141" t="n"/>
      <c r="F645" s="141" t="n"/>
      <c r="G645" s="143" t="n"/>
      <c r="H645" s="27" t="n"/>
    </row>
    <row r="646" ht="17.25" customHeight="1" s="322">
      <c r="A646" s="27" t="n"/>
      <c r="B646" s="506" t="n"/>
      <c r="C646" s="141" t="n"/>
      <c r="D646" s="141" t="n"/>
      <c r="E646" s="141" t="n"/>
      <c r="F646" s="141" t="n"/>
      <c r="G646" s="143" t="n"/>
      <c r="H646" s="27" t="n"/>
    </row>
    <row r="647" ht="17.25" customHeight="1" s="322">
      <c r="A647" s="27" t="n"/>
      <c r="B647" s="506" t="n"/>
      <c r="C647" s="141" t="n"/>
      <c r="D647" s="141" t="n"/>
      <c r="E647" s="141" t="n"/>
      <c r="F647" s="141" t="n"/>
      <c r="G647" s="143" t="n"/>
      <c r="H647" s="27" t="n"/>
    </row>
    <row r="648" ht="17.25" customHeight="1" s="322">
      <c r="A648" s="27" t="n"/>
      <c r="B648" s="506" t="n"/>
      <c r="C648" s="141" t="n"/>
      <c r="D648" s="141" t="n"/>
      <c r="E648" s="141" t="n"/>
      <c r="F648" s="141" t="n"/>
      <c r="G648" s="143" t="n"/>
      <c r="H648" s="27" t="n"/>
    </row>
    <row r="649" ht="17.25" customHeight="1" s="322">
      <c r="A649" s="27" t="n"/>
      <c r="B649" s="506" t="n"/>
      <c r="C649" s="141" t="n"/>
      <c r="D649" s="141" t="n"/>
      <c r="E649" s="141" t="n"/>
      <c r="F649" s="141" t="n"/>
      <c r="G649" s="143" t="n"/>
      <c r="H649" s="27" t="n"/>
    </row>
    <row r="650" ht="17.25" customHeight="1" s="322">
      <c r="A650" s="27" t="n"/>
      <c r="B650" s="506" t="n"/>
      <c r="C650" s="141" t="n"/>
      <c r="D650" s="141" t="n"/>
      <c r="E650" s="141" t="n"/>
      <c r="F650" s="141" t="n"/>
      <c r="G650" s="143" t="n"/>
      <c r="H650" s="27" t="n"/>
    </row>
    <row r="651" ht="17.25" customHeight="1" s="322">
      <c r="A651" s="27" t="n"/>
      <c r="B651" s="506" t="n"/>
      <c r="C651" s="141" t="n"/>
      <c r="D651" s="141" t="n"/>
      <c r="E651" s="141" t="n"/>
      <c r="F651" s="141" t="n"/>
      <c r="G651" s="143" t="n"/>
      <c r="H651" s="27" t="n"/>
    </row>
    <row r="652" ht="17.25" customHeight="1" s="322">
      <c r="A652" s="27" t="n"/>
      <c r="B652" s="506" t="n"/>
      <c r="C652" s="141" t="n"/>
      <c r="D652" s="141" t="n"/>
      <c r="E652" s="141" t="n"/>
      <c r="F652" s="141" t="n"/>
      <c r="G652" s="143" t="n"/>
      <c r="H652" s="27" t="n"/>
    </row>
    <row r="653" ht="17.25" customHeight="1" s="322">
      <c r="A653" s="27" t="n"/>
      <c r="B653" s="506" t="n"/>
      <c r="C653" s="141" t="n"/>
      <c r="D653" s="141" t="n"/>
      <c r="E653" s="141" t="n"/>
      <c r="F653" s="141" t="n"/>
      <c r="G653" s="143" t="n"/>
      <c r="H653" s="27" t="n"/>
    </row>
    <row r="654" ht="17.25" customHeight="1" s="322">
      <c r="A654" s="27" t="n"/>
      <c r="B654" s="506" t="n"/>
      <c r="C654" s="141" t="n"/>
      <c r="D654" s="141" t="n"/>
      <c r="E654" s="141" t="n"/>
      <c r="F654" s="141" t="n"/>
      <c r="G654" s="143" t="n"/>
      <c r="H654" s="27" t="n"/>
    </row>
    <row r="655" ht="17.25" customHeight="1" s="322">
      <c r="A655" s="27" t="n"/>
      <c r="B655" s="506" t="n"/>
      <c r="C655" s="141" t="n"/>
      <c r="D655" s="141" t="n"/>
      <c r="E655" s="141" t="n"/>
      <c r="F655" s="141" t="n"/>
      <c r="G655" s="143" t="n"/>
      <c r="H655" s="27" t="n"/>
    </row>
    <row r="656" ht="17.25" customHeight="1" s="322">
      <c r="A656" s="27" t="n"/>
      <c r="B656" s="506" t="n"/>
      <c r="C656" s="141" t="n"/>
      <c r="D656" s="141" t="n"/>
      <c r="E656" s="141" t="n"/>
      <c r="F656" s="141" t="n"/>
      <c r="G656" s="143" t="n"/>
      <c r="H656" s="27" t="n"/>
    </row>
    <row r="657" ht="17.25" customHeight="1" s="322">
      <c r="A657" s="27" t="n"/>
      <c r="B657" s="506" t="n"/>
      <c r="C657" s="141" t="n"/>
      <c r="D657" s="141" t="n"/>
      <c r="E657" s="141" t="n"/>
      <c r="F657" s="141" t="n"/>
      <c r="G657" s="143" t="n"/>
      <c r="H657" s="27" t="n"/>
    </row>
    <row r="658" ht="17.25" customHeight="1" s="322">
      <c r="A658" s="27" t="n"/>
      <c r="B658" s="506" t="n"/>
      <c r="C658" s="141" t="n"/>
      <c r="D658" s="141" t="n"/>
      <c r="E658" s="141" t="n"/>
      <c r="F658" s="141" t="n"/>
      <c r="G658" s="143" t="n"/>
      <c r="H658" s="27" t="n"/>
    </row>
    <row r="659" ht="17.25" customHeight="1" s="322">
      <c r="A659" s="27" t="n"/>
      <c r="B659" s="506" t="n"/>
      <c r="C659" s="141" t="n"/>
      <c r="D659" s="141" t="n"/>
      <c r="E659" s="141" t="n"/>
      <c r="F659" s="141" t="n"/>
      <c r="G659" s="143" t="n"/>
      <c r="H659" s="27" t="n"/>
    </row>
    <row r="660" ht="17.25" customHeight="1" s="322">
      <c r="A660" s="27" t="n"/>
      <c r="B660" s="506" t="n"/>
      <c r="C660" s="141" t="n"/>
      <c r="D660" s="141" t="n"/>
      <c r="E660" s="141" t="n"/>
      <c r="F660" s="141" t="n"/>
      <c r="G660" s="143" t="n"/>
      <c r="H660" s="27" t="n"/>
    </row>
    <row r="661" ht="17.25" customHeight="1" s="322">
      <c r="A661" s="27" t="n"/>
      <c r="B661" s="506" t="n"/>
      <c r="C661" s="141" t="n"/>
      <c r="D661" s="141" t="n"/>
      <c r="E661" s="141" t="n"/>
      <c r="F661" s="141" t="n"/>
      <c r="G661" s="143" t="n"/>
      <c r="H661" s="27" t="n"/>
    </row>
    <row r="662" ht="17.25" customHeight="1" s="322">
      <c r="A662" s="27" t="n"/>
      <c r="B662" s="506" t="n"/>
      <c r="C662" s="141" t="n"/>
      <c r="D662" s="141" t="n"/>
      <c r="E662" s="141" t="n"/>
      <c r="F662" s="141" t="n"/>
      <c r="G662" s="143" t="n"/>
      <c r="H662" s="27" t="n"/>
    </row>
    <row r="663" ht="17.25" customHeight="1" s="322">
      <c r="A663" s="27" t="n"/>
      <c r="B663" s="506" t="n"/>
      <c r="C663" s="141" t="n"/>
      <c r="D663" s="141" t="n"/>
      <c r="E663" s="141" t="n"/>
      <c r="F663" s="141" t="n"/>
      <c r="G663" s="143" t="n"/>
      <c r="H663" s="27" t="n"/>
    </row>
    <row r="664" ht="17.25" customHeight="1" s="322">
      <c r="A664" s="27" t="n"/>
      <c r="B664" s="506" t="n"/>
      <c r="C664" s="141" t="n"/>
      <c r="D664" s="141" t="n"/>
      <c r="E664" s="141" t="n"/>
      <c r="F664" s="141" t="n"/>
      <c r="G664" s="143" t="n"/>
      <c r="H664" s="27" t="n"/>
    </row>
    <row r="665" ht="17.25" customHeight="1" s="322">
      <c r="A665" s="27" t="n"/>
      <c r="B665" s="506" t="n"/>
      <c r="C665" s="141" t="n"/>
      <c r="D665" s="141" t="n"/>
      <c r="E665" s="141" t="n"/>
      <c r="F665" s="141" t="n"/>
      <c r="G665" s="143" t="n"/>
      <c r="H665" s="27" t="n"/>
    </row>
    <row r="666" ht="17.25" customHeight="1" s="322">
      <c r="A666" s="27" t="n"/>
      <c r="B666" s="506" t="n"/>
      <c r="C666" s="141" t="n"/>
      <c r="D666" s="141" t="n"/>
      <c r="E666" s="141" t="n"/>
      <c r="F666" s="141" t="n"/>
      <c r="G666" s="143" t="n"/>
      <c r="H666" s="27" t="n"/>
    </row>
    <row r="667" ht="17.25" customHeight="1" s="322">
      <c r="A667" s="27" t="n"/>
      <c r="B667" s="506" t="n"/>
      <c r="C667" s="141" t="n"/>
      <c r="D667" s="141" t="n"/>
      <c r="E667" s="141" t="n"/>
      <c r="F667" s="141" t="n"/>
      <c r="G667" s="143" t="n"/>
      <c r="H667" s="27" t="n"/>
    </row>
    <row r="668" ht="17.25" customHeight="1" s="322">
      <c r="A668" s="27" t="n"/>
      <c r="B668" s="506" t="n"/>
      <c r="C668" s="141" t="n"/>
      <c r="D668" s="141" t="n"/>
      <c r="E668" s="141" t="n"/>
      <c r="F668" s="141" t="n"/>
      <c r="G668" s="143" t="n"/>
      <c r="H668" s="27" t="n"/>
    </row>
    <row r="669" ht="17.25" customHeight="1" s="322">
      <c r="A669" s="27" t="n"/>
      <c r="B669" s="506" t="n"/>
      <c r="C669" s="141" t="n"/>
      <c r="D669" s="141" t="n"/>
      <c r="E669" s="141" t="n"/>
      <c r="F669" s="141" t="n"/>
      <c r="G669" s="143" t="n"/>
      <c r="H669" s="27" t="n"/>
    </row>
    <row r="670" ht="17.25" customHeight="1" s="322">
      <c r="A670" s="27" t="n"/>
      <c r="B670" s="506" t="n"/>
      <c r="C670" s="141" t="n"/>
      <c r="D670" s="141" t="n"/>
      <c r="E670" s="141" t="n"/>
      <c r="F670" s="141" t="n"/>
      <c r="G670" s="143" t="n"/>
      <c r="H670" s="27" t="n"/>
    </row>
    <row r="671" ht="17.25" customHeight="1" s="322">
      <c r="A671" s="27" t="n"/>
      <c r="B671" s="506" t="n"/>
      <c r="C671" s="141" t="n"/>
      <c r="D671" s="141" t="n"/>
      <c r="E671" s="141" t="n"/>
      <c r="F671" s="141" t="n"/>
      <c r="G671" s="143" t="n"/>
      <c r="H671" s="27" t="n"/>
    </row>
    <row r="672" ht="17.25" customHeight="1" s="322">
      <c r="A672" s="27" t="n"/>
      <c r="B672" s="506" t="n"/>
      <c r="C672" s="141" t="n"/>
      <c r="D672" s="141" t="n"/>
      <c r="E672" s="141" t="n"/>
      <c r="F672" s="141" t="n"/>
      <c r="G672" s="143" t="n"/>
      <c r="H672" s="27" t="n"/>
    </row>
    <row r="673" ht="17.25" customHeight="1" s="322">
      <c r="A673" s="27" t="n"/>
      <c r="B673" s="506" t="n"/>
      <c r="C673" s="141" t="n"/>
      <c r="D673" s="141" t="n"/>
      <c r="E673" s="141" t="n"/>
      <c r="F673" s="141" t="n"/>
      <c r="G673" s="143" t="n"/>
      <c r="H673" s="27" t="n"/>
    </row>
    <row r="674" ht="17.25" customHeight="1" s="322">
      <c r="A674" s="27" t="n"/>
      <c r="B674" s="506" t="n"/>
      <c r="C674" s="141" t="n"/>
      <c r="D674" s="141" t="n"/>
      <c r="E674" s="141" t="n"/>
      <c r="F674" s="141" t="n"/>
      <c r="G674" s="143" t="n"/>
      <c r="H674" s="27" t="n"/>
    </row>
    <row r="675" ht="17.25" customHeight="1" s="322">
      <c r="A675" s="27" t="n"/>
      <c r="B675" s="506" t="n"/>
      <c r="C675" s="141" t="n"/>
      <c r="D675" s="141" t="n"/>
      <c r="E675" s="141" t="n"/>
      <c r="F675" s="141" t="n"/>
      <c r="G675" s="143" t="n"/>
      <c r="H675" s="27" t="n"/>
    </row>
    <row r="676" ht="17.25" customHeight="1" s="322">
      <c r="A676" s="27" t="n"/>
      <c r="B676" s="506" t="n"/>
      <c r="C676" s="141" t="n"/>
      <c r="D676" s="141" t="n"/>
      <c r="E676" s="141" t="n"/>
      <c r="F676" s="141" t="n"/>
      <c r="G676" s="143" t="n"/>
      <c r="H676" s="27" t="n"/>
    </row>
    <row r="677" ht="17.25" customHeight="1" s="322">
      <c r="A677" s="27" t="n"/>
      <c r="B677" s="506" t="n"/>
      <c r="C677" s="141" t="n"/>
      <c r="D677" s="141" t="n"/>
      <c r="E677" s="141" t="n"/>
      <c r="F677" s="141" t="n"/>
      <c r="G677" s="143" t="n"/>
      <c r="H677" s="27" t="n"/>
    </row>
    <row r="678" ht="17.25" customHeight="1" s="322">
      <c r="A678" s="27" t="n"/>
      <c r="B678" s="506" t="n"/>
      <c r="C678" s="141" t="n"/>
      <c r="D678" s="141" t="n"/>
      <c r="E678" s="141" t="n"/>
      <c r="F678" s="141" t="n"/>
      <c r="G678" s="143" t="n"/>
      <c r="H678" s="27" t="n"/>
    </row>
    <row r="679" ht="17.25" customHeight="1" s="322">
      <c r="A679" s="27" t="n"/>
      <c r="B679" s="506" t="n"/>
      <c r="C679" s="141" t="n"/>
      <c r="D679" s="141" t="n"/>
      <c r="E679" s="141" t="n"/>
      <c r="F679" s="141" t="n"/>
      <c r="G679" s="143" t="n"/>
      <c r="H679" s="27" t="n"/>
    </row>
    <row r="680" ht="17.25" customHeight="1" s="322">
      <c r="A680" s="27" t="n"/>
      <c r="B680" s="506" t="n"/>
      <c r="C680" s="141" t="n"/>
      <c r="D680" s="141" t="n"/>
      <c r="E680" s="141" t="n"/>
      <c r="F680" s="141" t="n"/>
      <c r="G680" s="143" t="n"/>
      <c r="H680" s="27" t="n"/>
    </row>
    <row r="681" ht="17.25" customHeight="1" s="322">
      <c r="A681" s="27" t="n"/>
      <c r="B681" s="506" t="n"/>
      <c r="C681" s="141" t="n"/>
      <c r="D681" s="141" t="n"/>
      <c r="E681" s="141" t="n"/>
      <c r="F681" s="141" t="n"/>
      <c r="G681" s="143" t="n"/>
      <c r="H681" s="27" t="n"/>
    </row>
    <row r="682" ht="17.25" customHeight="1" s="322">
      <c r="A682" s="27" t="n"/>
      <c r="B682" s="506" t="n"/>
      <c r="C682" s="141" t="n"/>
      <c r="D682" s="141" t="n"/>
      <c r="E682" s="141" t="n"/>
      <c r="F682" s="141" t="n"/>
      <c r="G682" s="143" t="n"/>
      <c r="H682" s="27" t="n"/>
    </row>
    <row r="683" ht="17.25" customHeight="1" s="322">
      <c r="A683" s="27" t="n"/>
      <c r="B683" s="506" t="n"/>
      <c r="C683" s="141" t="n"/>
      <c r="D683" s="141" t="n"/>
      <c r="E683" s="141" t="n"/>
      <c r="F683" s="141" t="n"/>
      <c r="G683" s="143" t="n"/>
      <c r="H683" s="27" t="n"/>
    </row>
    <row r="684" ht="17.25" customHeight="1" s="322">
      <c r="A684" s="27" t="n"/>
      <c r="B684" s="506" t="n"/>
      <c r="C684" s="141" t="n"/>
      <c r="D684" s="141" t="n"/>
      <c r="E684" s="141" t="n"/>
      <c r="F684" s="141" t="n"/>
      <c r="G684" s="143" t="n"/>
      <c r="H684" s="27" t="n"/>
    </row>
    <row r="685" ht="17.25" customHeight="1" s="322">
      <c r="A685" s="27" t="n"/>
      <c r="B685" s="506" t="n"/>
      <c r="C685" s="141" t="n"/>
      <c r="D685" s="141" t="n"/>
      <c r="E685" s="141" t="n"/>
      <c r="F685" s="141" t="n"/>
      <c r="G685" s="143" t="n"/>
      <c r="H685" s="27" t="n"/>
    </row>
    <row r="686" ht="17.25" customHeight="1" s="322">
      <c r="A686" s="27" t="n"/>
      <c r="B686" s="506" t="n"/>
      <c r="C686" s="141" t="n"/>
      <c r="D686" s="141" t="n"/>
      <c r="E686" s="141" t="n"/>
      <c r="F686" s="141" t="n"/>
      <c r="G686" s="143" t="n"/>
      <c r="H686" s="27" t="n"/>
    </row>
    <row r="687" ht="17.25" customHeight="1" s="322">
      <c r="A687" s="27" t="n"/>
      <c r="B687" s="506" t="n"/>
      <c r="C687" s="141" t="n"/>
      <c r="D687" s="141" t="n"/>
      <c r="E687" s="141" t="n"/>
      <c r="F687" s="141" t="n"/>
      <c r="G687" s="143" t="n"/>
      <c r="H687" s="27" t="n"/>
    </row>
    <row r="688" ht="17.25" customHeight="1" s="322">
      <c r="A688" s="27" t="n"/>
      <c r="B688" s="506" t="n"/>
      <c r="C688" s="141" t="n"/>
      <c r="D688" s="141" t="n"/>
      <c r="E688" s="141" t="n"/>
      <c r="F688" s="141" t="n"/>
      <c r="G688" s="143" t="n"/>
      <c r="H688" s="27" t="n"/>
    </row>
    <row r="689" ht="17.25" customHeight="1" s="322">
      <c r="A689" s="27" t="n"/>
      <c r="B689" s="506" t="n"/>
      <c r="C689" s="141" t="n"/>
      <c r="D689" s="141" t="n"/>
      <c r="E689" s="141" t="n"/>
      <c r="F689" s="141" t="n"/>
      <c r="G689" s="143" t="n"/>
      <c r="H689" s="27" t="n"/>
    </row>
    <row r="690" ht="17.25" customHeight="1" s="322">
      <c r="A690" s="27" t="n"/>
      <c r="B690" s="506" t="n"/>
      <c r="C690" s="141" t="n"/>
      <c r="D690" s="141" t="n"/>
      <c r="E690" s="141" t="n"/>
      <c r="F690" s="141" t="n"/>
      <c r="G690" s="143" t="n"/>
      <c r="H690" s="27" t="n"/>
    </row>
    <row r="691" ht="17.25" customHeight="1" s="322">
      <c r="A691" s="27" t="n"/>
      <c r="B691" s="506" t="n"/>
      <c r="C691" s="141" t="n"/>
      <c r="D691" s="141" t="n"/>
      <c r="E691" s="141" t="n"/>
      <c r="F691" s="141" t="n"/>
      <c r="G691" s="143" t="n"/>
      <c r="H691" s="27" t="n"/>
    </row>
    <row r="692" ht="17.25" customHeight="1" s="322">
      <c r="A692" s="27" t="n"/>
      <c r="B692" s="506" t="n"/>
      <c r="C692" s="141" t="n"/>
      <c r="D692" s="141" t="n"/>
      <c r="E692" s="141" t="n"/>
      <c r="F692" s="141" t="n"/>
      <c r="G692" s="143" t="n"/>
      <c r="H692" s="27" t="n"/>
    </row>
    <row r="693" ht="17.25" customHeight="1" s="322">
      <c r="A693" s="27" t="n"/>
      <c r="B693" s="506" t="n"/>
      <c r="C693" s="141" t="n"/>
      <c r="D693" s="141" t="n"/>
      <c r="E693" s="141" t="n"/>
      <c r="F693" s="141" t="n"/>
      <c r="G693" s="143" t="n"/>
      <c r="H693" s="27" t="n"/>
    </row>
    <row r="694" ht="17.25" customHeight="1" s="322">
      <c r="A694" s="27" t="n"/>
      <c r="B694" s="506" t="n"/>
      <c r="C694" s="141" t="n"/>
      <c r="D694" s="141" t="n"/>
      <c r="E694" s="141" t="n"/>
      <c r="F694" s="141" t="n"/>
      <c r="G694" s="143" t="n"/>
      <c r="H694" s="27" t="n"/>
    </row>
    <row r="695" ht="17.25" customHeight="1" s="322">
      <c r="A695" s="27" t="n"/>
      <c r="B695" s="506" t="n"/>
      <c r="C695" s="141" t="n"/>
      <c r="D695" s="141" t="n"/>
      <c r="E695" s="141" t="n"/>
      <c r="F695" s="141" t="n"/>
      <c r="G695" s="143" t="n"/>
      <c r="H695" s="27" t="n"/>
    </row>
    <row r="696" ht="17.25" customHeight="1" s="322">
      <c r="A696" s="27" t="n"/>
      <c r="B696" s="506" t="n"/>
      <c r="C696" s="141" t="n"/>
      <c r="D696" s="141" t="n"/>
      <c r="E696" s="141" t="n"/>
      <c r="F696" s="141" t="n"/>
      <c r="G696" s="143" t="n"/>
      <c r="H696" s="27" t="n"/>
    </row>
    <row r="697" ht="17.25" customHeight="1" s="322">
      <c r="A697" s="27" t="n"/>
      <c r="B697" s="506" t="n"/>
      <c r="C697" s="141" t="n"/>
      <c r="D697" s="141" t="n"/>
      <c r="E697" s="141" t="n"/>
      <c r="F697" s="141" t="n"/>
      <c r="G697" s="143" t="n"/>
      <c r="H697" s="27" t="n"/>
    </row>
    <row r="698" ht="17.25" customHeight="1" s="322">
      <c r="A698" s="27" t="n"/>
      <c r="B698" s="506" t="n"/>
      <c r="C698" s="141" t="n"/>
      <c r="D698" s="141" t="n"/>
      <c r="E698" s="141" t="n"/>
      <c r="F698" s="141" t="n"/>
      <c r="G698" s="143" t="n"/>
      <c r="H698" s="27" t="n"/>
    </row>
    <row r="699" ht="17.25" customHeight="1" s="322">
      <c r="A699" s="27" t="n"/>
      <c r="B699" s="506" t="n"/>
      <c r="C699" s="141" t="n"/>
      <c r="D699" s="141" t="n"/>
      <c r="E699" s="141" t="n"/>
      <c r="F699" s="141" t="n"/>
      <c r="G699" s="143" t="n"/>
      <c r="H699" s="27" t="n"/>
    </row>
    <row r="700" ht="17.25" customHeight="1" s="322">
      <c r="A700" s="27" t="n"/>
      <c r="B700" s="506" t="n"/>
      <c r="C700" s="141" t="n"/>
      <c r="D700" s="141" t="n"/>
      <c r="E700" s="141" t="n"/>
      <c r="F700" s="141" t="n"/>
      <c r="G700" s="143" t="n"/>
      <c r="H700" s="27" t="n"/>
    </row>
    <row r="701" ht="17.25" customHeight="1" s="322">
      <c r="A701" s="27" t="n"/>
      <c r="B701" s="506" t="n"/>
      <c r="C701" s="141" t="n"/>
      <c r="D701" s="141" t="n"/>
      <c r="E701" s="141" t="n"/>
      <c r="F701" s="141" t="n"/>
      <c r="G701" s="143" t="n"/>
      <c r="H701" s="27" t="n"/>
    </row>
    <row r="702" ht="17.25" customHeight="1" s="322">
      <c r="A702" s="27" t="n"/>
      <c r="B702" s="506" t="n"/>
      <c r="C702" s="141" t="n"/>
      <c r="D702" s="141" t="n"/>
      <c r="E702" s="141" t="n"/>
      <c r="F702" s="141" t="n"/>
      <c r="G702" s="143" t="n"/>
      <c r="H702" s="27" t="n"/>
    </row>
    <row r="703" ht="17.25" customHeight="1" s="322">
      <c r="A703" s="27" t="n"/>
      <c r="B703" s="506" t="n"/>
      <c r="C703" s="141" t="n"/>
      <c r="D703" s="141" t="n"/>
      <c r="E703" s="141" t="n"/>
      <c r="F703" s="141" t="n"/>
      <c r="G703" s="143" t="n"/>
      <c r="H703" s="27" t="n"/>
    </row>
    <row r="704" ht="17.25" customHeight="1" s="322">
      <c r="A704" s="27" t="n"/>
      <c r="B704" s="506" t="n"/>
      <c r="C704" s="141" t="n"/>
      <c r="D704" s="141" t="n"/>
      <c r="E704" s="141" t="n"/>
      <c r="F704" s="141" t="n"/>
      <c r="G704" s="143" t="n"/>
      <c r="H704" s="27" t="n"/>
    </row>
    <row r="705" ht="17.25" customHeight="1" s="322">
      <c r="A705" s="27" t="n"/>
      <c r="B705" s="506" t="n"/>
      <c r="C705" s="141" t="n"/>
      <c r="D705" s="141" t="n"/>
      <c r="E705" s="141" t="n"/>
      <c r="F705" s="141" t="n"/>
      <c r="G705" s="143" t="n"/>
      <c r="H705" s="27" t="n"/>
    </row>
    <row r="706" ht="17.25" customHeight="1" s="322">
      <c r="A706" s="27" t="n"/>
      <c r="B706" s="506" t="n"/>
      <c r="C706" s="141" t="n"/>
      <c r="D706" s="141" t="n"/>
      <c r="E706" s="141" t="n"/>
      <c r="F706" s="141" t="n"/>
      <c r="G706" s="143" t="n"/>
      <c r="H706" s="27" t="n"/>
    </row>
    <row r="707" ht="17.25" customHeight="1" s="322">
      <c r="A707" s="27" t="n"/>
      <c r="B707" s="506" t="n"/>
      <c r="C707" s="141" t="n"/>
      <c r="D707" s="141" t="n"/>
      <c r="E707" s="141" t="n"/>
      <c r="F707" s="141" t="n"/>
      <c r="G707" s="143" t="n"/>
      <c r="H707" s="27" t="n"/>
    </row>
    <row r="708" ht="17.25" customHeight="1" s="322">
      <c r="A708" s="27" t="n"/>
      <c r="B708" s="506" t="n"/>
      <c r="C708" s="141" t="n"/>
      <c r="D708" s="141" t="n"/>
      <c r="E708" s="141" t="n"/>
      <c r="F708" s="141" t="n"/>
      <c r="G708" s="143" t="n"/>
      <c r="H708" s="27" t="n"/>
    </row>
    <row r="709" ht="17.25" customHeight="1" s="322">
      <c r="A709" s="27" t="n"/>
      <c r="B709" s="506" t="n"/>
      <c r="C709" s="141" t="n"/>
      <c r="D709" s="141" t="n"/>
      <c r="E709" s="141" t="n"/>
      <c r="F709" s="141" t="n"/>
      <c r="G709" s="143" t="n"/>
      <c r="H709" s="27" t="n"/>
    </row>
    <row r="710" ht="17.25" customHeight="1" s="322">
      <c r="A710" s="27" t="n"/>
      <c r="B710" s="506" t="n"/>
      <c r="C710" s="141" t="n"/>
      <c r="D710" s="141" t="n"/>
      <c r="E710" s="141" t="n"/>
      <c r="F710" s="141" t="n"/>
      <c r="G710" s="143" t="n"/>
      <c r="H710" s="27" t="n"/>
    </row>
    <row r="711" ht="17.25" customHeight="1" s="322">
      <c r="A711" s="27" t="n"/>
      <c r="B711" s="506" t="n"/>
      <c r="C711" s="141" t="n"/>
      <c r="D711" s="141" t="n"/>
      <c r="E711" s="141" t="n"/>
      <c r="F711" s="141" t="n"/>
      <c r="G711" s="143" t="n"/>
      <c r="H711" s="27" t="n"/>
    </row>
    <row r="712" ht="17.25" customHeight="1" s="322">
      <c r="A712" s="27" t="n"/>
      <c r="B712" s="506" t="n"/>
      <c r="C712" s="141" t="n"/>
      <c r="D712" s="141" t="n"/>
      <c r="E712" s="141" t="n"/>
      <c r="F712" s="141" t="n"/>
      <c r="G712" s="143" t="n"/>
      <c r="H712" s="27" t="n"/>
    </row>
    <row r="713" ht="17.25" customHeight="1" s="322">
      <c r="A713" s="27" t="n"/>
      <c r="B713" s="506" t="n"/>
      <c r="C713" s="141" t="n"/>
      <c r="D713" s="141" t="n"/>
      <c r="E713" s="141" t="n"/>
      <c r="F713" s="141" t="n"/>
      <c r="G713" s="143" t="n"/>
      <c r="H713" s="27" t="n"/>
    </row>
    <row r="714" ht="17.25" customHeight="1" s="322">
      <c r="A714" s="27" t="n"/>
      <c r="B714" s="506" t="n"/>
      <c r="C714" s="141" t="n"/>
      <c r="D714" s="141" t="n"/>
      <c r="E714" s="141" t="n"/>
      <c r="F714" s="141" t="n"/>
      <c r="G714" s="143" t="n"/>
      <c r="H714" s="27" t="n"/>
    </row>
    <row r="715" ht="17.25" customHeight="1" s="322">
      <c r="A715" s="27" t="n"/>
      <c r="B715" s="506" t="n"/>
      <c r="C715" s="141" t="n"/>
      <c r="D715" s="141" t="n"/>
      <c r="E715" s="141" t="n"/>
      <c r="F715" s="141" t="n"/>
      <c r="G715" s="143" t="n"/>
      <c r="H715" s="27" t="n"/>
    </row>
    <row r="716" ht="17.25" customHeight="1" s="322">
      <c r="A716" s="27" t="n"/>
      <c r="B716" s="506" t="n"/>
      <c r="C716" s="141" t="n"/>
      <c r="D716" s="141" t="n"/>
      <c r="E716" s="141" t="n"/>
      <c r="F716" s="141" t="n"/>
      <c r="G716" s="143" t="n"/>
      <c r="H716" s="27" t="n"/>
    </row>
    <row r="717" ht="17.25" customHeight="1" s="322">
      <c r="A717" s="27" t="n"/>
      <c r="B717" s="506" t="n"/>
      <c r="C717" s="141" t="n"/>
      <c r="D717" s="141" t="n"/>
      <c r="E717" s="141" t="n"/>
      <c r="F717" s="141" t="n"/>
      <c r="G717" s="143" t="n"/>
      <c r="H717" s="27" t="n"/>
    </row>
    <row r="718" ht="17.25" customHeight="1" s="322">
      <c r="A718" s="27" t="n"/>
      <c r="B718" s="506" t="n"/>
      <c r="C718" s="141" t="n"/>
      <c r="D718" s="141" t="n"/>
      <c r="E718" s="141" t="n"/>
      <c r="F718" s="141" t="n"/>
      <c r="G718" s="143" t="n"/>
      <c r="H718" s="27" t="n"/>
    </row>
    <row r="719" ht="17.25" customHeight="1" s="322">
      <c r="A719" s="27" t="n"/>
      <c r="B719" s="506" t="n"/>
      <c r="C719" s="141" t="n"/>
      <c r="D719" s="141" t="n"/>
      <c r="E719" s="141" t="n"/>
      <c r="F719" s="141" t="n"/>
      <c r="G719" s="143" t="n"/>
      <c r="H719" s="27" t="n"/>
    </row>
    <row r="720" ht="17.25" customHeight="1" s="322">
      <c r="A720" s="27" t="n"/>
      <c r="B720" s="506" t="n"/>
      <c r="C720" s="141" t="n"/>
      <c r="D720" s="141" t="n"/>
      <c r="E720" s="141" t="n"/>
      <c r="F720" s="141" t="n"/>
      <c r="G720" s="143" t="n"/>
      <c r="H720" s="27" t="n"/>
    </row>
    <row r="721" ht="17.25" customHeight="1" s="322">
      <c r="A721" s="27" t="n"/>
      <c r="B721" s="506" t="n"/>
      <c r="C721" s="141" t="n"/>
      <c r="D721" s="141" t="n"/>
      <c r="E721" s="141" t="n"/>
      <c r="F721" s="141" t="n"/>
      <c r="G721" s="143" t="n"/>
      <c r="H721" s="27" t="n"/>
    </row>
    <row r="722" ht="17.25" customHeight="1" s="322">
      <c r="A722" s="27" t="n"/>
      <c r="B722" s="506" t="n"/>
      <c r="C722" s="141" t="n"/>
      <c r="D722" s="141" t="n"/>
      <c r="E722" s="141" t="n"/>
      <c r="F722" s="141" t="n"/>
      <c r="G722" s="143" t="n"/>
      <c r="H722" s="27" t="n"/>
    </row>
    <row r="723" ht="17.25" customHeight="1" s="322">
      <c r="A723" s="27" t="n"/>
      <c r="B723" s="506" t="n"/>
      <c r="C723" s="141" t="n"/>
      <c r="D723" s="141" t="n"/>
      <c r="E723" s="141" t="n"/>
      <c r="F723" s="141" t="n"/>
      <c r="G723" s="143" t="n"/>
      <c r="H723" s="27" t="n"/>
    </row>
    <row r="724" ht="17.25" customHeight="1" s="322">
      <c r="A724" s="27" t="n"/>
      <c r="B724" s="506" t="n"/>
      <c r="C724" s="141" t="n"/>
      <c r="D724" s="141" t="n"/>
      <c r="E724" s="141" t="n"/>
      <c r="F724" s="141" t="n"/>
      <c r="G724" s="143" t="n"/>
      <c r="H724" s="27" t="n"/>
    </row>
    <row r="725" ht="17.25" customHeight="1" s="322">
      <c r="A725" s="27" t="n"/>
      <c r="B725" s="506" t="n"/>
      <c r="C725" s="141" t="n"/>
      <c r="D725" s="141" t="n"/>
      <c r="E725" s="141" t="n"/>
      <c r="F725" s="141" t="n"/>
      <c r="G725" s="143" t="n"/>
      <c r="H725" s="27" t="n"/>
    </row>
    <row r="726" ht="17.25" customHeight="1" s="322">
      <c r="A726" s="27" t="n"/>
      <c r="B726" s="506" t="n"/>
      <c r="C726" s="141" t="n"/>
      <c r="D726" s="141" t="n"/>
      <c r="E726" s="141" t="n"/>
      <c r="F726" s="141" t="n"/>
      <c r="G726" s="143" t="n"/>
      <c r="H726" s="27" t="n"/>
    </row>
    <row r="727" ht="17.25" customHeight="1" s="322">
      <c r="A727" s="27" t="n"/>
      <c r="B727" s="506" t="n"/>
      <c r="C727" s="141" t="n"/>
      <c r="D727" s="141" t="n"/>
      <c r="E727" s="141" t="n"/>
      <c r="F727" s="141" t="n"/>
      <c r="G727" s="143" t="n"/>
      <c r="H727" s="27" t="n"/>
    </row>
    <row r="728" ht="17.25" customHeight="1" s="322">
      <c r="A728" s="27" t="n"/>
      <c r="B728" s="506" t="n"/>
      <c r="C728" s="141" t="n"/>
      <c r="D728" s="141" t="n"/>
      <c r="E728" s="141" t="n"/>
      <c r="F728" s="141" t="n"/>
      <c r="G728" s="143" t="n"/>
      <c r="H728" s="27" t="n"/>
    </row>
    <row r="729" ht="17.25" customHeight="1" s="322">
      <c r="A729" s="27" t="n"/>
      <c r="B729" s="506" t="n"/>
      <c r="C729" s="141" t="n"/>
      <c r="D729" s="141" t="n"/>
      <c r="E729" s="141" t="n"/>
      <c r="F729" s="141" t="n"/>
      <c r="G729" s="143" t="n"/>
      <c r="H729" s="27" t="n"/>
    </row>
    <row r="730" ht="17.25" customHeight="1" s="322">
      <c r="A730" s="27" t="n"/>
      <c r="B730" s="506" t="n"/>
      <c r="C730" s="141" t="n"/>
      <c r="D730" s="141" t="n"/>
      <c r="E730" s="141" t="n"/>
      <c r="F730" s="141" t="n"/>
      <c r="G730" s="143" t="n"/>
      <c r="H730" s="27" t="n"/>
    </row>
    <row r="731" ht="17.25" customHeight="1" s="322">
      <c r="A731" s="27" t="n"/>
      <c r="B731" s="506" t="n"/>
      <c r="C731" s="141" t="n"/>
      <c r="D731" s="141" t="n"/>
      <c r="E731" s="141" t="n"/>
      <c r="F731" s="141" t="n"/>
      <c r="G731" s="143" t="n"/>
      <c r="H731" s="27" t="n"/>
    </row>
    <row r="732" ht="17.25" customHeight="1" s="322">
      <c r="A732" s="27" t="n"/>
      <c r="B732" s="506" t="n"/>
      <c r="C732" s="141" t="n"/>
      <c r="D732" s="141" t="n"/>
      <c r="E732" s="141" t="n"/>
      <c r="F732" s="141" t="n"/>
      <c r="G732" s="143" t="n"/>
      <c r="H732" s="27" t="n"/>
    </row>
    <row r="733" ht="17.25" customHeight="1" s="322">
      <c r="A733" s="27" t="n"/>
      <c r="B733" s="506" t="n"/>
      <c r="C733" s="141" t="n"/>
      <c r="D733" s="141" t="n"/>
      <c r="E733" s="141" t="n"/>
      <c r="F733" s="141" t="n"/>
      <c r="G733" s="143" t="n"/>
      <c r="H733" s="27" t="n"/>
    </row>
    <row r="734" ht="17.25" customHeight="1" s="322">
      <c r="A734" s="27" t="n"/>
      <c r="B734" s="506" t="n"/>
      <c r="C734" s="141" t="n"/>
      <c r="D734" s="141" t="n"/>
      <c r="E734" s="141" t="n"/>
      <c r="F734" s="141" t="n"/>
      <c r="G734" s="143" t="n"/>
      <c r="H734" s="27" t="n"/>
    </row>
    <row r="735" ht="17.25" customHeight="1" s="322">
      <c r="A735" s="27" t="n"/>
      <c r="B735" s="506" t="n"/>
      <c r="C735" s="141" t="n"/>
      <c r="D735" s="141" t="n"/>
      <c r="E735" s="141" t="n"/>
      <c r="F735" s="141" t="n"/>
      <c r="G735" s="143" t="n"/>
      <c r="H735" s="27" t="n"/>
    </row>
    <row r="736" ht="17.25" customHeight="1" s="322">
      <c r="A736" s="27" t="n"/>
      <c r="B736" s="506" t="n"/>
      <c r="C736" s="141" t="n"/>
      <c r="D736" s="141" t="n"/>
      <c r="E736" s="141" t="n"/>
      <c r="F736" s="141" t="n"/>
      <c r="G736" s="143" t="n"/>
      <c r="H736" s="27" t="n"/>
    </row>
    <row r="737" ht="17.25" customHeight="1" s="322">
      <c r="A737" s="27" t="n"/>
      <c r="B737" s="506" t="n"/>
      <c r="C737" s="141" t="n"/>
      <c r="D737" s="141" t="n"/>
      <c r="E737" s="141" t="n"/>
      <c r="F737" s="141" t="n"/>
      <c r="G737" s="143" t="n"/>
      <c r="H737" s="27" t="n"/>
    </row>
    <row r="738" ht="17.25" customHeight="1" s="322">
      <c r="A738" s="27" t="n"/>
      <c r="B738" s="506" t="n"/>
      <c r="C738" s="141" t="n"/>
      <c r="D738" s="141" t="n"/>
      <c r="E738" s="141" t="n"/>
      <c r="F738" s="141" t="n"/>
      <c r="G738" s="143" t="n"/>
      <c r="H738" s="27" t="n"/>
    </row>
    <row r="739" ht="17.25" customHeight="1" s="322">
      <c r="A739" s="27" t="n"/>
      <c r="B739" s="506" t="n"/>
      <c r="C739" s="141" t="n"/>
      <c r="D739" s="141" t="n"/>
      <c r="E739" s="141" t="n"/>
      <c r="F739" s="141" t="n"/>
      <c r="G739" s="143" t="n"/>
      <c r="H739" s="27" t="n"/>
    </row>
    <row r="740" ht="17.25" customHeight="1" s="322">
      <c r="A740" s="27" t="n"/>
      <c r="B740" s="506" t="n"/>
      <c r="C740" s="141" t="n"/>
      <c r="D740" s="141" t="n"/>
      <c r="E740" s="141" t="n"/>
      <c r="F740" s="141" t="n"/>
      <c r="G740" s="143" t="n"/>
      <c r="H740" s="27" t="n"/>
    </row>
    <row r="741" ht="17.25" customHeight="1" s="322">
      <c r="A741" s="27" t="n"/>
      <c r="B741" s="506" t="n"/>
      <c r="C741" s="141" t="n"/>
      <c r="D741" s="141" t="n"/>
      <c r="E741" s="141" t="n"/>
      <c r="F741" s="141" t="n"/>
      <c r="G741" s="143" t="n"/>
      <c r="H741" s="27" t="n"/>
    </row>
    <row r="742" ht="17.25" customHeight="1" s="322">
      <c r="A742" s="27" t="n"/>
      <c r="B742" s="506" t="n"/>
      <c r="C742" s="141" t="n"/>
      <c r="D742" s="141" t="n"/>
      <c r="E742" s="141" t="n"/>
      <c r="F742" s="141" t="n"/>
      <c r="G742" s="143" t="n"/>
      <c r="H742" s="27" t="n"/>
    </row>
    <row r="743" ht="17.25" customHeight="1" s="322">
      <c r="A743" s="27" t="n"/>
      <c r="B743" s="506" t="n"/>
      <c r="C743" s="141" t="n"/>
      <c r="D743" s="141" t="n"/>
      <c r="E743" s="141" t="n"/>
      <c r="F743" s="141" t="n"/>
      <c r="G743" s="143" t="n"/>
      <c r="H743" s="27" t="n"/>
    </row>
    <row r="744" ht="17.25" customHeight="1" s="322">
      <c r="A744" s="27" t="n"/>
      <c r="B744" s="506" t="n"/>
      <c r="C744" s="141" t="n"/>
      <c r="D744" s="141" t="n"/>
      <c r="E744" s="141" t="n"/>
      <c r="F744" s="141" t="n"/>
      <c r="G744" s="143" t="n"/>
      <c r="H744" s="27" t="n"/>
    </row>
    <row r="745" ht="17.25" customHeight="1" s="322">
      <c r="A745" s="27" t="n"/>
      <c r="B745" s="506" t="n"/>
      <c r="C745" s="141" t="n"/>
      <c r="D745" s="141" t="n"/>
      <c r="E745" s="141" t="n"/>
      <c r="F745" s="141" t="n"/>
      <c r="G745" s="143" t="n"/>
      <c r="H745" s="27" t="n"/>
    </row>
    <row r="746" ht="17.25" customHeight="1" s="322">
      <c r="A746" s="27" t="n"/>
      <c r="B746" s="506" t="n"/>
      <c r="C746" s="141" t="n"/>
      <c r="D746" s="141" t="n"/>
      <c r="E746" s="141" t="n"/>
      <c r="F746" s="141" t="n"/>
      <c r="G746" s="143" t="n"/>
      <c r="H746" s="27" t="n"/>
    </row>
    <row r="747" ht="17.25" customHeight="1" s="322">
      <c r="A747" s="27" t="n"/>
      <c r="B747" s="506" t="n"/>
      <c r="C747" s="141" t="n"/>
      <c r="D747" s="141" t="n"/>
      <c r="E747" s="141" t="n"/>
      <c r="F747" s="141" t="n"/>
      <c r="G747" s="143" t="n"/>
      <c r="H747" s="27" t="n"/>
    </row>
    <row r="748" ht="17.25" customHeight="1" s="322">
      <c r="A748" s="27" t="n"/>
      <c r="B748" s="506" t="n"/>
      <c r="C748" s="141" t="n"/>
      <c r="D748" s="141" t="n"/>
      <c r="E748" s="141" t="n"/>
      <c r="F748" s="141" t="n"/>
      <c r="G748" s="143" t="n"/>
      <c r="H748" s="27" t="n"/>
    </row>
    <row r="749" ht="17.25" customHeight="1" s="322">
      <c r="A749" s="27" t="n"/>
      <c r="B749" s="506" t="n"/>
      <c r="C749" s="141" t="n"/>
      <c r="D749" s="141" t="n"/>
      <c r="E749" s="141" t="n"/>
      <c r="F749" s="141" t="n"/>
      <c r="G749" s="143" t="n"/>
      <c r="H749" s="27" t="n"/>
    </row>
    <row r="750" ht="17.25" customHeight="1" s="322">
      <c r="A750" s="27" t="n"/>
      <c r="B750" s="506" t="n"/>
      <c r="C750" s="141" t="n"/>
      <c r="D750" s="141" t="n"/>
      <c r="E750" s="141" t="n"/>
      <c r="F750" s="141" t="n"/>
      <c r="G750" s="143" t="n"/>
      <c r="H750" s="27" t="n"/>
    </row>
    <row r="751" ht="17.25" customHeight="1" s="322">
      <c r="A751" s="27" t="n"/>
      <c r="B751" s="506" t="n"/>
      <c r="C751" s="141" t="n"/>
      <c r="D751" s="141" t="n"/>
      <c r="E751" s="141" t="n"/>
      <c r="F751" s="141" t="n"/>
      <c r="G751" s="143" t="n"/>
      <c r="H751" s="27" t="n"/>
    </row>
    <row r="752" ht="17.25" customHeight="1" s="322">
      <c r="A752" s="27" t="n"/>
      <c r="B752" s="506" t="n"/>
      <c r="C752" s="141" t="n"/>
      <c r="D752" s="141" t="n"/>
      <c r="E752" s="141" t="n"/>
      <c r="F752" s="141" t="n"/>
      <c r="G752" s="143" t="n"/>
      <c r="H752" s="27" t="n"/>
    </row>
    <row r="753" ht="17.25" customHeight="1" s="322">
      <c r="A753" s="27" t="n"/>
      <c r="B753" s="506" t="n"/>
      <c r="C753" s="141" t="n"/>
      <c r="D753" s="141" t="n"/>
      <c r="E753" s="141" t="n"/>
      <c r="F753" s="141" t="n"/>
      <c r="G753" s="143" t="n"/>
      <c r="H753" s="27" t="n"/>
    </row>
    <row r="754" ht="17.25" customHeight="1" s="322">
      <c r="A754" s="27" t="n"/>
      <c r="B754" s="506" t="n"/>
      <c r="C754" s="141" t="n"/>
      <c r="D754" s="141" t="n"/>
      <c r="E754" s="141" t="n"/>
      <c r="F754" s="141" t="n"/>
      <c r="G754" s="143" t="n"/>
      <c r="H754" s="27" t="n"/>
    </row>
    <row r="755" ht="17.25" customHeight="1" s="322">
      <c r="A755" s="27" t="n"/>
      <c r="B755" s="506" t="n"/>
      <c r="C755" s="141" t="n"/>
      <c r="D755" s="141" t="n"/>
      <c r="E755" s="141" t="n"/>
      <c r="F755" s="141" t="n"/>
      <c r="G755" s="143" t="n"/>
      <c r="H755" s="27" t="n"/>
    </row>
    <row r="756" ht="17.25" customHeight="1" s="322">
      <c r="A756" s="27" t="n"/>
      <c r="B756" s="506" t="n"/>
      <c r="C756" s="141" t="n"/>
      <c r="D756" s="141" t="n"/>
      <c r="E756" s="141" t="n"/>
      <c r="F756" s="141" t="n"/>
      <c r="G756" s="143" t="n"/>
      <c r="H756" s="27" t="n"/>
    </row>
    <row r="757" ht="17.25" customHeight="1" s="322">
      <c r="A757" s="27" t="n"/>
      <c r="B757" s="506" t="n"/>
      <c r="C757" s="141" t="n"/>
      <c r="D757" s="141" t="n"/>
      <c r="E757" s="141" t="n"/>
      <c r="F757" s="141" t="n"/>
      <c r="G757" s="143" t="n"/>
      <c r="H757" s="27" t="n"/>
    </row>
    <row r="758" ht="17.25" customHeight="1" s="322">
      <c r="A758" s="27" t="n"/>
      <c r="B758" s="506" t="n"/>
      <c r="C758" s="141" t="n"/>
      <c r="D758" s="141" t="n"/>
      <c r="E758" s="141" t="n"/>
      <c r="F758" s="141" t="n"/>
      <c r="G758" s="143" t="n"/>
      <c r="H758" s="27" t="n"/>
    </row>
    <row r="759" ht="17.25" customHeight="1" s="322">
      <c r="A759" s="27" t="n"/>
      <c r="B759" s="506" t="n"/>
      <c r="C759" s="141" t="n"/>
      <c r="D759" s="141" t="n"/>
      <c r="E759" s="141" t="n"/>
      <c r="F759" s="141" t="n"/>
      <c r="G759" s="143" t="n"/>
      <c r="H759" s="27" t="n"/>
    </row>
    <row r="760" ht="17.25" customHeight="1" s="322">
      <c r="A760" s="27" t="n"/>
      <c r="B760" s="506" t="n"/>
      <c r="C760" s="141" t="n"/>
      <c r="D760" s="141" t="n"/>
      <c r="E760" s="141" t="n"/>
      <c r="F760" s="141" t="n"/>
      <c r="G760" s="143" t="n"/>
      <c r="H760" s="27" t="n"/>
    </row>
    <row r="761" ht="17.25" customHeight="1" s="322">
      <c r="A761" s="27" t="n"/>
      <c r="B761" s="506" t="n"/>
      <c r="C761" s="141" t="n"/>
      <c r="D761" s="141" t="n"/>
      <c r="E761" s="141" t="n"/>
      <c r="F761" s="141" t="n"/>
      <c r="G761" s="143" t="n"/>
      <c r="H761" s="27" t="n"/>
    </row>
    <row r="762" ht="17.25" customHeight="1" s="322">
      <c r="A762" s="27" t="n"/>
      <c r="B762" s="506" t="n"/>
      <c r="C762" s="141" t="n"/>
      <c r="D762" s="141" t="n"/>
      <c r="E762" s="141" t="n"/>
      <c r="F762" s="141" t="n"/>
      <c r="G762" s="143" t="n"/>
      <c r="H762" s="27" t="n"/>
    </row>
    <row r="763" ht="17.25" customHeight="1" s="322">
      <c r="A763" s="27" t="n"/>
      <c r="B763" s="506" t="n"/>
      <c r="C763" s="141" t="n"/>
      <c r="D763" s="141" t="n"/>
      <c r="E763" s="141" t="n"/>
      <c r="F763" s="141" t="n"/>
      <c r="G763" s="143" t="n"/>
      <c r="H763" s="27" t="n"/>
    </row>
    <row r="764" ht="17.25" customHeight="1" s="322">
      <c r="A764" s="27" t="n"/>
      <c r="B764" s="506" t="n"/>
      <c r="C764" s="141" t="n"/>
      <c r="D764" s="141" t="n"/>
      <c r="E764" s="141" t="n"/>
      <c r="F764" s="141" t="n"/>
      <c r="G764" s="143" t="n"/>
      <c r="H764" s="27" t="n"/>
    </row>
    <row r="765" ht="17.25" customHeight="1" s="322">
      <c r="A765" s="27" t="n"/>
      <c r="B765" s="506" t="n"/>
      <c r="C765" s="141" t="n"/>
      <c r="D765" s="141" t="n"/>
      <c r="E765" s="141" t="n"/>
      <c r="F765" s="141" t="n"/>
      <c r="G765" s="143" t="n"/>
      <c r="H765" s="27" t="n"/>
    </row>
    <row r="766" ht="17.25" customHeight="1" s="322">
      <c r="A766" s="27" t="n"/>
      <c r="B766" s="506" t="n"/>
      <c r="C766" s="141" t="n"/>
      <c r="D766" s="141" t="n"/>
      <c r="E766" s="141" t="n"/>
      <c r="F766" s="141" t="n"/>
      <c r="G766" s="143" t="n"/>
      <c r="H766" s="27" t="n"/>
    </row>
    <row r="767" ht="17.25" customHeight="1" s="322">
      <c r="A767" s="27" t="n"/>
      <c r="B767" s="506" t="n"/>
      <c r="C767" s="141" t="n"/>
      <c r="D767" s="141" t="n"/>
      <c r="E767" s="141" t="n"/>
      <c r="F767" s="141" t="n"/>
      <c r="G767" s="143" t="n"/>
      <c r="H767" s="27" t="n"/>
    </row>
    <row r="768" ht="17.25" customHeight="1" s="322">
      <c r="A768" s="27" t="n"/>
      <c r="B768" s="506" t="n"/>
      <c r="C768" s="141" t="n"/>
      <c r="D768" s="141" t="n"/>
      <c r="E768" s="141" t="n"/>
      <c r="F768" s="141" t="n"/>
      <c r="G768" s="143" t="n"/>
      <c r="H768" s="27" t="n"/>
    </row>
    <row r="769" ht="17.25" customHeight="1" s="322">
      <c r="A769" s="27" t="n"/>
      <c r="B769" s="506" t="n"/>
      <c r="C769" s="141" t="n"/>
      <c r="D769" s="141" t="n"/>
      <c r="E769" s="141" t="n"/>
      <c r="F769" s="141" t="n"/>
      <c r="G769" s="143" t="n"/>
      <c r="H769" s="27" t="n"/>
    </row>
    <row r="770" ht="17.25" customHeight="1" s="322">
      <c r="A770" s="27" t="n"/>
      <c r="B770" s="506" t="n"/>
      <c r="C770" s="141" t="n"/>
      <c r="D770" s="141" t="n"/>
      <c r="E770" s="141" t="n"/>
      <c r="F770" s="141" t="n"/>
      <c r="G770" s="143" t="n"/>
      <c r="H770" s="27" t="n"/>
    </row>
    <row r="771" ht="17.25" customHeight="1" s="322">
      <c r="A771" s="27" t="n"/>
      <c r="B771" s="506" t="n"/>
      <c r="C771" s="141" t="n"/>
      <c r="D771" s="141" t="n"/>
      <c r="E771" s="141" t="n"/>
      <c r="F771" s="141" t="n"/>
      <c r="G771" s="143" t="n"/>
      <c r="H771" s="27" t="n"/>
    </row>
    <row r="772" ht="17.25" customHeight="1" s="322">
      <c r="A772" s="27" t="n"/>
      <c r="B772" s="506" t="n"/>
      <c r="C772" s="141" t="n"/>
      <c r="D772" s="141" t="n"/>
      <c r="E772" s="141" t="n"/>
      <c r="F772" s="141" t="n"/>
      <c r="G772" s="143" t="n"/>
      <c r="H772" s="27" t="n"/>
    </row>
    <row r="773" ht="17.25" customHeight="1" s="322">
      <c r="A773" s="27" t="n"/>
      <c r="B773" s="506" t="n"/>
      <c r="C773" s="141" t="n"/>
      <c r="D773" s="141" t="n"/>
      <c r="E773" s="141" t="n"/>
      <c r="F773" s="141" t="n"/>
      <c r="G773" s="143" t="n"/>
      <c r="H773" s="27" t="n"/>
    </row>
    <row r="774" ht="17.25" customHeight="1" s="322">
      <c r="A774" s="27" t="n"/>
      <c r="B774" s="506" t="n"/>
      <c r="C774" s="141" t="n"/>
      <c r="D774" s="141" t="n"/>
      <c r="E774" s="141" t="n"/>
      <c r="F774" s="141" t="n"/>
      <c r="G774" s="143" t="n"/>
      <c r="H774" s="27" t="n"/>
    </row>
    <row r="775" ht="17.25" customHeight="1" s="322">
      <c r="A775" s="27" t="n"/>
      <c r="B775" s="506" t="n"/>
      <c r="C775" s="141" t="n"/>
      <c r="D775" s="141" t="n"/>
      <c r="E775" s="141" t="n"/>
      <c r="F775" s="141" t="n"/>
      <c r="G775" s="143" t="n"/>
      <c r="H775" s="27" t="n"/>
    </row>
    <row r="776" ht="17.25" customHeight="1" s="322">
      <c r="A776" s="27" t="n"/>
      <c r="B776" s="506" t="n"/>
      <c r="C776" s="141" t="n"/>
      <c r="D776" s="141" t="n"/>
      <c r="E776" s="141" t="n"/>
      <c r="F776" s="141" t="n"/>
      <c r="G776" s="143" t="n"/>
      <c r="H776" s="27" t="n"/>
    </row>
    <row r="777" ht="17.25" customHeight="1" s="322">
      <c r="A777" s="27" t="n"/>
      <c r="B777" s="506" t="n"/>
      <c r="C777" s="141" t="n"/>
      <c r="D777" s="141" t="n"/>
      <c r="E777" s="141" t="n"/>
      <c r="F777" s="141" t="n"/>
      <c r="G777" s="143" t="n"/>
      <c r="H777" s="27" t="n"/>
    </row>
    <row r="778" ht="17.25" customHeight="1" s="322">
      <c r="A778" s="27" t="n"/>
      <c r="B778" s="506" t="n"/>
      <c r="C778" s="141" t="n"/>
      <c r="D778" s="141" t="n"/>
      <c r="E778" s="141" t="n"/>
      <c r="F778" s="141" t="n"/>
      <c r="G778" s="143" t="n"/>
      <c r="H778" s="27" t="n"/>
    </row>
    <row r="779" ht="17.25" customHeight="1" s="322">
      <c r="A779" s="27" t="n"/>
      <c r="B779" s="506" t="n"/>
      <c r="C779" s="141" t="n"/>
      <c r="D779" s="141" t="n"/>
      <c r="E779" s="141" t="n"/>
      <c r="F779" s="141" t="n"/>
      <c r="G779" s="143" t="n"/>
      <c r="H779" s="27" t="n"/>
    </row>
    <row r="780" ht="17.25" customHeight="1" s="322">
      <c r="A780" s="27" t="n"/>
      <c r="B780" s="506" t="n"/>
      <c r="C780" s="141" t="n"/>
      <c r="D780" s="141" t="n"/>
      <c r="E780" s="141" t="n"/>
      <c r="F780" s="141" t="n"/>
      <c r="G780" s="143" t="n"/>
      <c r="H780" s="27" t="n"/>
    </row>
    <row r="781" ht="17.25" customHeight="1" s="322">
      <c r="A781" s="27" t="n"/>
      <c r="B781" s="506" t="n"/>
      <c r="C781" s="141" t="n"/>
      <c r="D781" s="141" t="n"/>
      <c r="E781" s="141" t="n"/>
      <c r="F781" s="141" t="n"/>
      <c r="G781" s="143" t="n"/>
      <c r="H781" s="27" t="n"/>
    </row>
    <row r="782" ht="17.25" customHeight="1" s="322">
      <c r="A782" s="27" t="n"/>
      <c r="B782" s="506" t="n"/>
      <c r="C782" s="141" t="n"/>
      <c r="D782" s="141" t="n"/>
      <c r="E782" s="141" t="n"/>
      <c r="F782" s="141" t="n"/>
      <c r="G782" s="143" t="n"/>
      <c r="H782" s="27" t="n"/>
    </row>
    <row r="783" ht="17.25" customHeight="1" s="322">
      <c r="A783" s="27" t="n"/>
      <c r="B783" s="506" t="n"/>
      <c r="C783" s="141" t="n"/>
      <c r="D783" s="141" t="n"/>
      <c r="E783" s="141" t="n"/>
      <c r="F783" s="141" t="n"/>
      <c r="G783" s="143" t="n"/>
      <c r="H783" s="27" t="n"/>
    </row>
    <row r="784" ht="17.25" customHeight="1" s="322">
      <c r="A784" s="27" t="n"/>
      <c r="B784" s="506" t="n"/>
      <c r="C784" s="141" t="n"/>
      <c r="D784" s="141" t="n"/>
      <c r="E784" s="141" t="n"/>
      <c r="F784" s="141" t="n"/>
      <c r="G784" s="143" t="n"/>
      <c r="H784" s="27" t="n"/>
    </row>
    <row r="785" ht="17.25" customHeight="1" s="322">
      <c r="A785" s="27" t="n"/>
      <c r="B785" s="506" t="n"/>
      <c r="C785" s="141" t="n"/>
      <c r="D785" s="141" t="n"/>
      <c r="E785" s="141" t="n"/>
      <c r="F785" s="141" t="n"/>
      <c r="G785" s="143" t="n"/>
      <c r="H785" s="27" t="n"/>
    </row>
    <row r="786" ht="17.25" customHeight="1" s="322">
      <c r="A786" s="27" t="n"/>
      <c r="B786" s="506" t="n"/>
      <c r="C786" s="141" t="n"/>
      <c r="D786" s="141" t="n"/>
      <c r="E786" s="141" t="n"/>
      <c r="F786" s="141" t="n"/>
      <c r="G786" s="143" t="n"/>
      <c r="H786" s="27" t="n"/>
    </row>
    <row r="787" ht="17.25" customHeight="1" s="322">
      <c r="A787" s="27" t="n"/>
      <c r="B787" s="506" t="n"/>
      <c r="C787" s="141" t="n"/>
      <c r="D787" s="141" t="n"/>
      <c r="E787" s="141" t="n"/>
      <c r="F787" s="141" t="n"/>
      <c r="G787" s="143" t="n"/>
      <c r="H787" s="27" t="n"/>
    </row>
    <row r="788" ht="17.25" customHeight="1" s="322">
      <c r="A788" s="27" t="n"/>
      <c r="B788" s="506" t="n"/>
      <c r="C788" s="141" t="n"/>
      <c r="D788" s="141" t="n"/>
      <c r="E788" s="141" t="n"/>
      <c r="F788" s="141" t="n"/>
      <c r="G788" s="143" t="n"/>
      <c r="H788" s="27" t="n"/>
    </row>
    <row r="789" ht="17.25" customHeight="1" s="322">
      <c r="A789" s="27" t="n"/>
      <c r="B789" s="506" t="n"/>
      <c r="C789" s="141" t="n"/>
      <c r="D789" s="141" t="n"/>
      <c r="E789" s="141" t="n"/>
      <c r="F789" s="141" t="n"/>
      <c r="G789" s="143" t="n"/>
      <c r="H789" s="27" t="n"/>
    </row>
    <row r="790" ht="17.25" customHeight="1" s="322">
      <c r="A790" s="27" t="n"/>
      <c r="B790" s="506" t="n"/>
      <c r="C790" s="141" t="n"/>
      <c r="D790" s="141" t="n"/>
      <c r="E790" s="141" t="n"/>
      <c r="F790" s="141" t="n"/>
      <c r="G790" s="143" t="n"/>
      <c r="H790" s="27" t="n"/>
    </row>
    <row r="791" ht="17.25" customHeight="1" s="322">
      <c r="A791" s="27" t="n"/>
      <c r="B791" s="506" t="n"/>
      <c r="C791" s="141" t="n"/>
      <c r="D791" s="141" t="n"/>
      <c r="E791" s="141" t="n"/>
      <c r="F791" s="141" t="n"/>
      <c r="G791" s="143" t="n"/>
      <c r="H791" s="27" t="n"/>
    </row>
    <row r="792" ht="17.25" customHeight="1" s="322">
      <c r="A792" s="27" t="n"/>
      <c r="B792" s="506" t="n"/>
      <c r="C792" s="141" t="n"/>
      <c r="D792" s="141" t="n"/>
      <c r="E792" s="141" t="n"/>
      <c r="F792" s="141" t="n"/>
      <c r="G792" s="143" t="n"/>
      <c r="H792" s="27" t="n"/>
    </row>
    <row r="793" ht="17.25" customHeight="1" s="322">
      <c r="A793" s="27" t="n"/>
      <c r="B793" s="506" t="n"/>
      <c r="C793" s="141" t="n"/>
      <c r="D793" s="141" t="n"/>
      <c r="E793" s="141" t="n"/>
      <c r="F793" s="141" t="n"/>
      <c r="G793" s="143" t="n"/>
      <c r="H793" s="27" t="n"/>
    </row>
    <row r="794" ht="17.25" customHeight="1" s="322">
      <c r="A794" s="27" t="n"/>
      <c r="B794" s="506" t="n"/>
      <c r="C794" s="141" t="n"/>
      <c r="D794" s="141" t="n"/>
      <c r="E794" s="141" t="n"/>
      <c r="F794" s="141" t="n"/>
      <c r="G794" s="143" t="n"/>
      <c r="H794" s="27" t="n"/>
    </row>
    <row r="795" ht="17.25" customHeight="1" s="322">
      <c r="A795" s="27" t="n"/>
      <c r="B795" s="506" t="n"/>
      <c r="C795" s="141" t="n"/>
      <c r="D795" s="141" t="n"/>
      <c r="E795" s="141" t="n"/>
      <c r="F795" s="141" t="n"/>
      <c r="G795" s="143" t="n"/>
      <c r="H795" s="27" t="n"/>
    </row>
    <row r="796" ht="17.25" customHeight="1" s="322">
      <c r="A796" s="27" t="n"/>
      <c r="B796" s="506" t="n"/>
      <c r="C796" s="141" t="n"/>
      <c r="D796" s="141" t="n"/>
      <c r="E796" s="141" t="n"/>
      <c r="F796" s="141" t="n"/>
      <c r="G796" s="143" t="n"/>
      <c r="H796" s="27" t="n"/>
    </row>
    <row r="797" ht="17.25" customHeight="1" s="322">
      <c r="A797" s="27" t="n"/>
      <c r="B797" s="506" t="n"/>
      <c r="C797" s="141" t="n"/>
      <c r="D797" s="141" t="n"/>
      <c r="E797" s="141" t="n"/>
      <c r="F797" s="141" t="n"/>
      <c r="G797" s="143" t="n"/>
      <c r="H797" s="27" t="n"/>
    </row>
    <row r="798" ht="17.25" customHeight="1" s="322">
      <c r="A798" s="27" t="n"/>
      <c r="B798" s="506" t="n"/>
      <c r="C798" s="141" t="n"/>
      <c r="D798" s="141" t="n"/>
      <c r="E798" s="141" t="n"/>
      <c r="F798" s="141" t="n"/>
      <c r="G798" s="143" t="n"/>
      <c r="H798" s="27" t="n"/>
    </row>
    <row r="799" ht="17.25" customHeight="1" s="322">
      <c r="A799" s="27" t="n"/>
      <c r="B799" s="506" t="n"/>
      <c r="C799" s="141" t="n"/>
      <c r="D799" s="141" t="n"/>
      <c r="E799" s="141" t="n"/>
      <c r="F799" s="141" t="n"/>
      <c r="G799" s="143" t="n"/>
      <c r="H799" s="27" t="n"/>
    </row>
    <row r="800" ht="17.25" customHeight="1" s="322">
      <c r="A800" s="27" t="n"/>
      <c r="B800" s="506" t="n"/>
      <c r="C800" s="141" t="n"/>
      <c r="D800" s="141" t="n"/>
      <c r="E800" s="141" t="n"/>
      <c r="F800" s="141" t="n"/>
      <c r="G800" s="143" t="n"/>
      <c r="H800" s="27" t="n"/>
    </row>
    <row r="801" ht="17.25" customHeight="1" s="322">
      <c r="A801" s="27" t="n"/>
      <c r="B801" s="506" t="n"/>
      <c r="C801" s="141" t="n"/>
      <c r="D801" s="141" t="n"/>
      <c r="E801" s="141" t="n"/>
      <c r="F801" s="141" t="n"/>
      <c r="G801" s="143" t="n"/>
      <c r="H801" s="27" t="n"/>
    </row>
    <row r="802" ht="17.25" customHeight="1" s="322">
      <c r="A802" s="27" t="n"/>
      <c r="B802" s="506" t="n"/>
      <c r="C802" s="141" t="n"/>
      <c r="D802" s="141" t="n"/>
      <c r="E802" s="141" t="n"/>
      <c r="F802" s="141" t="n"/>
      <c r="G802" s="143" t="n"/>
      <c r="H802" s="27" t="n"/>
    </row>
    <row r="803" ht="17.25" customHeight="1" s="322">
      <c r="A803" s="27" t="n"/>
      <c r="B803" s="506" t="n"/>
      <c r="C803" s="141" t="n"/>
      <c r="D803" s="141" t="n"/>
      <c r="E803" s="141" t="n"/>
      <c r="F803" s="141" t="n"/>
      <c r="G803" s="143" t="n"/>
      <c r="H803" s="27" t="n"/>
    </row>
    <row r="804" ht="17.25" customHeight="1" s="322">
      <c r="A804" s="27" t="n"/>
      <c r="B804" s="506" t="n"/>
      <c r="C804" s="141" t="n"/>
      <c r="D804" s="141" t="n"/>
      <c r="E804" s="141" t="n"/>
      <c r="F804" s="141" t="n"/>
      <c r="G804" s="143" t="n"/>
      <c r="H804" s="27" t="n"/>
    </row>
    <row r="805" ht="17.25" customHeight="1" s="322">
      <c r="A805" s="27" t="n"/>
      <c r="B805" s="506" t="n"/>
      <c r="C805" s="141" t="n"/>
      <c r="D805" s="141" t="n"/>
      <c r="E805" s="141" t="n"/>
      <c r="F805" s="141" t="n"/>
      <c r="G805" s="143" t="n"/>
      <c r="H805" s="27" t="n"/>
    </row>
    <row r="806" ht="17.25" customHeight="1" s="322">
      <c r="A806" s="27" t="n"/>
      <c r="B806" s="506" t="n"/>
      <c r="C806" s="141" t="n"/>
      <c r="D806" s="141" t="n"/>
      <c r="E806" s="141" t="n"/>
      <c r="F806" s="141" t="n"/>
      <c r="G806" s="143" t="n"/>
      <c r="H806" s="27" t="n"/>
    </row>
    <row r="807" ht="17.25" customHeight="1" s="322">
      <c r="A807" s="27" t="n"/>
      <c r="B807" s="506" t="n"/>
      <c r="C807" s="141" t="n"/>
      <c r="D807" s="141" t="n"/>
      <c r="E807" s="141" t="n"/>
      <c r="F807" s="141" t="n"/>
      <c r="G807" s="143" t="n"/>
      <c r="H807" s="27" t="n"/>
    </row>
    <row r="808" ht="17.25" customHeight="1" s="322">
      <c r="A808" s="27" t="n"/>
      <c r="B808" s="506" t="n"/>
      <c r="C808" s="141" t="n"/>
      <c r="D808" s="141" t="n"/>
      <c r="E808" s="141" t="n"/>
      <c r="F808" s="141" t="n"/>
      <c r="G808" s="143" t="n"/>
      <c r="H808" s="27" t="n"/>
    </row>
    <row r="809" ht="17.25" customHeight="1" s="322">
      <c r="A809" s="27" t="n"/>
      <c r="B809" s="506" t="n"/>
      <c r="C809" s="141" t="n"/>
      <c r="D809" s="141" t="n"/>
      <c r="E809" s="141" t="n"/>
      <c r="F809" s="141" t="n"/>
      <c r="G809" s="143" t="n"/>
      <c r="H809" s="27" t="n"/>
    </row>
    <row r="810" ht="17.25" customHeight="1" s="322">
      <c r="A810" s="27" t="n"/>
      <c r="B810" s="506" t="n"/>
      <c r="C810" s="141" t="n"/>
      <c r="D810" s="141" t="n"/>
      <c r="E810" s="141" t="n"/>
      <c r="F810" s="141" t="n"/>
      <c r="G810" s="143" t="n"/>
      <c r="H810" s="27" t="n"/>
    </row>
    <row r="811" ht="17.25" customHeight="1" s="322">
      <c r="A811" s="27" t="n"/>
      <c r="B811" s="506" t="n"/>
      <c r="C811" s="141" t="n"/>
      <c r="D811" s="141" t="n"/>
      <c r="E811" s="141" t="n"/>
      <c r="F811" s="141" t="n"/>
      <c r="G811" s="143" t="n"/>
      <c r="H811" s="27" t="n"/>
    </row>
    <row r="812" ht="17.25" customHeight="1" s="322">
      <c r="A812" s="27" t="n"/>
      <c r="B812" s="506" t="n"/>
      <c r="C812" s="141" t="n"/>
      <c r="D812" s="141" t="n"/>
      <c r="E812" s="141" t="n"/>
      <c r="F812" s="141" t="n"/>
      <c r="G812" s="143" t="n"/>
      <c r="H812" s="27" t="n"/>
    </row>
    <row r="813" ht="17.25" customHeight="1" s="322">
      <c r="A813" s="27" t="n"/>
      <c r="B813" s="506" t="n"/>
      <c r="C813" s="141" t="n"/>
      <c r="D813" s="141" t="n"/>
      <c r="E813" s="141" t="n"/>
      <c r="F813" s="141" t="n"/>
      <c r="G813" s="143" t="n"/>
      <c r="H813" s="27" t="n"/>
    </row>
    <row r="814" ht="17.25" customHeight="1" s="322">
      <c r="A814" s="27" t="n"/>
      <c r="B814" s="506" t="n"/>
      <c r="C814" s="141" t="n"/>
      <c r="D814" s="141" t="n"/>
      <c r="E814" s="141" t="n"/>
      <c r="F814" s="141" t="n"/>
      <c r="G814" s="143" t="n"/>
      <c r="H814" s="27" t="n"/>
    </row>
    <row r="815" ht="17.25" customHeight="1" s="322">
      <c r="A815" s="27" t="n"/>
      <c r="B815" s="506" t="n"/>
      <c r="C815" s="141" t="n"/>
      <c r="D815" s="141" t="n"/>
      <c r="E815" s="141" t="n"/>
      <c r="F815" s="141" t="n"/>
      <c r="G815" s="143" t="n"/>
      <c r="H815" s="27" t="n"/>
    </row>
    <row r="816" ht="17.25" customHeight="1" s="322">
      <c r="A816" s="27" t="n"/>
      <c r="B816" s="506" t="n"/>
      <c r="C816" s="141" t="n"/>
      <c r="D816" s="141" t="n"/>
      <c r="E816" s="141" t="n"/>
      <c r="F816" s="141" t="n"/>
      <c r="G816" s="143" t="n"/>
      <c r="H816" s="27" t="n"/>
    </row>
    <row r="817" ht="17.25" customHeight="1" s="322">
      <c r="A817" s="27" t="n"/>
      <c r="B817" s="506" t="n"/>
      <c r="C817" s="141" t="n"/>
      <c r="D817" s="141" t="n"/>
      <c r="E817" s="141" t="n"/>
      <c r="F817" s="141" t="n"/>
      <c r="G817" s="143" t="n"/>
      <c r="H817" s="27" t="n"/>
    </row>
    <row r="818" ht="17.25" customHeight="1" s="322">
      <c r="A818" s="27" t="n"/>
      <c r="B818" s="506" t="n"/>
      <c r="C818" s="141" t="n"/>
      <c r="D818" s="141" t="n"/>
      <c r="E818" s="141" t="n"/>
      <c r="F818" s="141" t="n"/>
      <c r="G818" s="143" t="n"/>
      <c r="H818" s="27" t="n"/>
    </row>
    <row r="819" ht="17.25" customHeight="1" s="322">
      <c r="A819" s="27" t="n"/>
      <c r="B819" s="506" t="n"/>
      <c r="C819" s="141" t="n"/>
      <c r="D819" s="141" t="n"/>
      <c r="E819" s="141" t="n"/>
      <c r="F819" s="141" t="n"/>
      <c r="G819" s="143" t="n"/>
      <c r="H819" s="27" t="n"/>
    </row>
    <row r="820" ht="17.25" customHeight="1" s="322">
      <c r="A820" s="27" t="n"/>
      <c r="B820" s="506" t="n"/>
      <c r="C820" s="141" t="n"/>
      <c r="D820" s="141" t="n"/>
      <c r="E820" s="141" t="n"/>
      <c r="F820" s="141" t="n"/>
      <c r="G820" s="143" t="n"/>
      <c r="H820" s="27" t="n"/>
    </row>
    <row r="821" ht="17.25" customHeight="1" s="322">
      <c r="A821" s="27" t="n"/>
      <c r="B821" s="506" t="n"/>
      <c r="C821" s="141" t="n"/>
      <c r="D821" s="141" t="n"/>
      <c r="E821" s="141" t="n"/>
      <c r="F821" s="141" t="n"/>
      <c r="G821" s="143" t="n"/>
      <c r="H821" s="27" t="n"/>
    </row>
    <row r="822" ht="17.25" customHeight="1" s="322">
      <c r="A822" s="27" t="n"/>
      <c r="B822" s="506" t="n"/>
      <c r="C822" s="141" t="n"/>
      <c r="D822" s="141" t="n"/>
      <c r="E822" s="141" t="n"/>
      <c r="F822" s="141" t="n"/>
      <c r="G822" s="143" t="n"/>
      <c r="H822" s="27" t="n"/>
    </row>
    <row r="823" ht="17.25" customHeight="1" s="322">
      <c r="A823" s="27" t="n"/>
      <c r="B823" s="506" t="n"/>
      <c r="C823" s="141" t="n"/>
      <c r="D823" s="141" t="n"/>
      <c r="E823" s="141" t="n"/>
      <c r="F823" s="141" t="n"/>
      <c r="G823" s="143" t="n"/>
      <c r="H823" s="27" t="n"/>
    </row>
    <row r="824" ht="17.25" customHeight="1" s="322">
      <c r="A824" s="27" t="n"/>
      <c r="B824" s="506" t="n"/>
      <c r="C824" s="141" t="n"/>
      <c r="D824" s="141" t="n"/>
      <c r="E824" s="141" t="n"/>
      <c r="F824" s="141" t="n"/>
      <c r="G824" s="143" t="n"/>
      <c r="H824" s="27" t="n"/>
    </row>
    <row r="825" ht="17.25" customHeight="1" s="322">
      <c r="A825" s="27" t="n"/>
      <c r="B825" s="506" t="n"/>
      <c r="C825" s="141" t="n"/>
      <c r="D825" s="141" t="n"/>
      <c r="E825" s="141" t="n"/>
      <c r="F825" s="141" t="n"/>
      <c r="G825" s="143" t="n"/>
      <c r="H825" s="27" t="n"/>
    </row>
    <row r="826" ht="17.25" customHeight="1" s="322">
      <c r="A826" s="27" t="n"/>
      <c r="B826" s="506" t="n"/>
      <c r="C826" s="141" t="n"/>
      <c r="D826" s="141" t="n"/>
      <c r="E826" s="141" t="n"/>
      <c r="F826" s="141" t="n"/>
      <c r="G826" s="143" t="n"/>
      <c r="H826" s="27" t="n"/>
    </row>
    <row r="827" ht="17.25" customHeight="1" s="322">
      <c r="A827" s="27" t="n"/>
      <c r="B827" s="506" t="n"/>
      <c r="C827" s="141" t="n"/>
      <c r="D827" s="141" t="n"/>
      <c r="E827" s="141" t="n"/>
      <c r="F827" s="141" t="n"/>
      <c r="G827" s="143" t="n"/>
      <c r="H827" s="27" t="n"/>
    </row>
    <row r="828" ht="17.25" customHeight="1" s="322">
      <c r="A828" s="27" t="n"/>
      <c r="B828" s="506" t="n"/>
      <c r="C828" s="141" t="n"/>
      <c r="D828" s="141" t="n"/>
      <c r="E828" s="141" t="n"/>
      <c r="F828" s="141" t="n"/>
      <c r="G828" s="143" t="n"/>
      <c r="H828" s="27" t="n"/>
    </row>
    <row r="829" ht="17.25" customHeight="1" s="322">
      <c r="A829" s="27" t="n"/>
      <c r="B829" s="506" t="n"/>
      <c r="C829" s="141" t="n"/>
      <c r="D829" s="141" t="n"/>
      <c r="E829" s="141" t="n"/>
      <c r="F829" s="141" t="n"/>
      <c r="G829" s="143" t="n"/>
      <c r="H829" s="27" t="n"/>
    </row>
    <row r="830" ht="17.25" customHeight="1" s="322">
      <c r="A830" s="27" t="n"/>
      <c r="B830" s="506" t="n"/>
      <c r="C830" s="141" t="n"/>
      <c r="D830" s="141" t="n"/>
      <c r="E830" s="141" t="n"/>
      <c r="F830" s="141" t="n"/>
      <c r="G830" s="143" t="n"/>
      <c r="H830" s="27" t="n"/>
    </row>
    <row r="831" ht="17.25" customHeight="1" s="322">
      <c r="A831" s="27" t="n"/>
      <c r="B831" s="506" t="n"/>
      <c r="C831" s="141" t="n"/>
      <c r="D831" s="141" t="n"/>
      <c r="E831" s="141" t="n"/>
      <c r="F831" s="141" t="n"/>
      <c r="G831" s="143" t="n"/>
      <c r="H831" s="27" t="n"/>
    </row>
    <row r="832" ht="17.25" customHeight="1" s="322">
      <c r="A832" s="27" t="n"/>
      <c r="B832" s="506" t="n"/>
      <c r="C832" s="141" t="n"/>
      <c r="D832" s="141" t="n"/>
      <c r="E832" s="141" t="n"/>
      <c r="F832" s="141" t="n"/>
      <c r="G832" s="143" t="n"/>
      <c r="H832" s="27" t="n"/>
    </row>
    <row r="833" ht="17.25" customHeight="1" s="322">
      <c r="A833" s="27" t="n"/>
      <c r="B833" s="506" t="n"/>
      <c r="C833" s="141" t="n"/>
      <c r="D833" s="141" t="n"/>
      <c r="E833" s="141" t="n"/>
      <c r="F833" s="141" t="n"/>
      <c r="G833" s="143" t="n"/>
      <c r="H833" s="27" t="n"/>
    </row>
    <row r="834" ht="17.25" customHeight="1" s="322">
      <c r="A834" s="27" t="n"/>
      <c r="B834" s="506" t="n"/>
      <c r="C834" s="141" t="n"/>
      <c r="D834" s="141" t="n"/>
      <c r="E834" s="141" t="n"/>
      <c r="F834" s="141" t="n"/>
      <c r="G834" s="143" t="n"/>
      <c r="H834" s="27" t="n"/>
    </row>
    <row r="835" ht="17.25" customHeight="1" s="322">
      <c r="A835" s="27" t="n"/>
      <c r="B835" s="506" t="n"/>
      <c r="C835" s="141" t="n"/>
      <c r="D835" s="141" t="n"/>
      <c r="E835" s="141" t="n"/>
      <c r="F835" s="141" t="n"/>
      <c r="G835" s="143" t="n"/>
      <c r="H835" s="27" t="n"/>
    </row>
    <row r="836" ht="17.25" customHeight="1" s="322">
      <c r="A836" s="27" t="n"/>
      <c r="B836" s="506" t="n"/>
      <c r="C836" s="141" t="n"/>
      <c r="D836" s="141" t="n"/>
      <c r="E836" s="141" t="n"/>
      <c r="F836" s="141" t="n"/>
      <c r="G836" s="143" t="n"/>
      <c r="H836" s="27" t="n"/>
    </row>
    <row r="837" ht="17.25" customHeight="1" s="322">
      <c r="A837" s="27" t="n"/>
      <c r="B837" s="506" t="n"/>
      <c r="C837" s="141" t="n"/>
      <c r="D837" s="141" t="n"/>
      <c r="E837" s="141" t="n"/>
      <c r="F837" s="141" t="n"/>
      <c r="G837" s="143" t="n"/>
      <c r="H837" s="27" t="n"/>
    </row>
    <row r="838" ht="17.25" customHeight="1" s="322">
      <c r="A838" s="27" t="n"/>
      <c r="B838" s="506" t="n"/>
      <c r="C838" s="141" t="n"/>
      <c r="D838" s="141" t="n"/>
      <c r="E838" s="141" t="n"/>
      <c r="F838" s="141" t="n"/>
      <c r="G838" s="143" t="n"/>
      <c r="H838" s="27" t="n"/>
    </row>
    <row r="839" ht="17.25" customHeight="1" s="322">
      <c r="A839" s="27" t="n"/>
      <c r="B839" s="506" t="n"/>
      <c r="C839" s="141" t="n"/>
      <c r="D839" s="141" t="n"/>
      <c r="E839" s="141" t="n"/>
      <c r="F839" s="141" t="n"/>
      <c r="G839" s="143" t="n"/>
      <c r="H839" s="27" t="n"/>
    </row>
    <row r="840" ht="17.25" customHeight="1" s="322">
      <c r="A840" s="27" t="n"/>
      <c r="B840" s="506" t="n"/>
      <c r="C840" s="141" t="n"/>
      <c r="D840" s="141" t="n"/>
      <c r="E840" s="141" t="n"/>
      <c r="F840" s="141" t="n"/>
      <c r="G840" s="143" t="n"/>
      <c r="H840" s="27" t="n"/>
    </row>
    <row r="841" ht="17.25" customHeight="1" s="322">
      <c r="A841" s="27" t="n"/>
      <c r="B841" s="506" t="n"/>
      <c r="C841" s="141" t="n"/>
      <c r="D841" s="141" t="n"/>
      <c r="E841" s="141" t="n"/>
      <c r="F841" s="141" t="n"/>
      <c r="G841" s="143" t="n"/>
      <c r="H841" s="27" t="n"/>
    </row>
    <row r="842" ht="17.25" customHeight="1" s="322">
      <c r="A842" s="27" t="n"/>
      <c r="B842" s="506" t="n"/>
      <c r="C842" s="141" t="n"/>
      <c r="D842" s="141" t="n"/>
      <c r="E842" s="141" t="n"/>
      <c r="F842" s="141" t="n"/>
      <c r="G842" s="143" t="n"/>
      <c r="H842" s="27" t="n"/>
    </row>
    <row r="843" ht="17.25" customHeight="1" s="322">
      <c r="A843" s="27" t="n"/>
      <c r="B843" s="506" t="n"/>
      <c r="C843" s="141" t="n"/>
      <c r="D843" s="141" t="n"/>
      <c r="E843" s="141" t="n"/>
      <c r="F843" s="141" t="n"/>
      <c r="G843" s="143" t="n"/>
      <c r="H843" s="27" t="n"/>
    </row>
    <row r="844" ht="17.25" customHeight="1" s="322">
      <c r="A844" s="27" t="n"/>
      <c r="B844" s="506" t="n"/>
      <c r="C844" s="141" t="n"/>
      <c r="D844" s="141" t="n"/>
      <c r="E844" s="141" t="n"/>
      <c r="F844" s="141" t="n"/>
      <c r="G844" s="143" t="n"/>
      <c r="H844" s="27" t="n"/>
    </row>
    <row r="845" ht="17.25" customHeight="1" s="322">
      <c r="A845" s="27" t="n"/>
      <c r="B845" s="506" t="n"/>
      <c r="C845" s="141" t="n"/>
      <c r="D845" s="141" t="n"/>
      <c r="E845" s="141" t="n"/>
      <c r="F845" s="141" t="n"/>
      <c r="G845" s="143" t="n"/>
      <c r="H845" s="27" t="n"/>
    </row>
    <row r="846" ht="17.25" customHeight="1" s="322">
      <c r="A846" s="27" t="n"/>
      <c r="B846" s="506" t="n"/>
      <c r="C846" s="141" t="n"/>
      <c r="D846" s="141" t="n"/>
      <c r="E846" s="141" t="n"/>
      <c r="F846" s="141" t="n"/>
      <c r="G846" s="143" t="n"/>
      <c r="H846" s="27" t="n"/>
    </row>
    <row r="847" ht="17.25" customHeight="1" s="322">
      <c r="A847" s="27" t="n"/>
      <c r="B847" s="506" t="n"/>
      <c r="C847" s="141" t="n"/>
      <c r="D847" s="141" t="n"/>
      <c r="E847" s="141" t="n"/>
      <c r="F847" s="141" t="n"/>
      <c r="G847" s="143" t="n"/>
      <c r="H847" s="27" t="n"/>
    </row>
    <row r="848" ht="17.25" customHeight="1" s="322">
      <c r="A848" s="27" t="n"/>
      <c r="B848" s="506" t="n"/>
      <c r="C848" s="141" t="n"/>
      <c r="D848" s="141" t="n"/>
      <c r="E848" s="141" t="n"/>
      <c r="F848" s="141" t="n"/>
      <c r="G848" s="143" t="n"/>
      <c r="H848" s="27" t="n"/>
    </row>
    <row r="849" ht="17.25" customHeight="1" s="322">
      <c r="A849" s="27" t="n"/>
      <c r="B849" s="506" t="n"/>
      <c r="C849" s="141" t="n"/>
      <c r="D849" s="141" t="n"/>
      <c r="E849" s="141" t="n"/>
      <c r="F849" s="141" t="n"/>
      <c r="G849" s="143" t="n"/>
      <c r="H849" s="27" t="n"/>
    </row>
    <row r="850" ht="17.25" customHeight="1" s="322">
      <c r="A850" s="27" t="n"/>
      <c r="B850" s="506" t="n"/>
      <c r="C850" s="141" t="n"/>
      <c r="D850" s="141" t="n"/>
      <c r="E850" s="141" t="n"/>
      <c r="F850" s="141" t="n"/>
      <c r="G850" s="143" t="n"/>
      <c r="H850" s="27" t="n"/>
    </row>
    <row r="851" ht="17.25" customHeight="1" s="322">
      <c r="A851" s="27" t="n"/>
      <c r="B851" s="506" t="n"/>
      <c r="C851" s="141" t="n"/>
      <c r="D851" s="141" t="n"/>
      <c r="E851" s="141" t="n"/>
      <c r="F851" s="141" t="n"/>
      <c r="G851" s="143" t="n"/>
      <c r="H851" s="27" t="n"/>
    </row>
    <row r="852" ht="17.25" customHeight="1" s="322">
      <c r="A852" s="27" t="n"/>
      <c r="B852" s="506" t="n"/>
      <c r="C852" s="141" t="n"/>
      <c r="D852" s="141" t="n"/>
      <c r="E852" s="141" t="n"/>
      <c r="F852" s="141" t="n"/>
      <c r="G852" s="143" t="n"/>
      <c r="H852" s="27" t="n"/>
    </row>
    <row r="853" ht="17.25" customHeight="1" s="322">
      <c r="A853" s="27" t="n"/>
      <c r="B853" s="506" t="n"/>
      <c r="C853" s="141" t="n"/>
      <c r="D853" s="141" t="n"/>
      <c r="E853" s="141" t="n"/>
      <c r="F853" s="141" t="n"/>
      <c r="G853" s="143" t="n"/>
      <c r="H853" s="27" t="n"/>
    </row>
    <row r="854" ht="17.25" customHeight="1" s="322">
      <c r="A854" s="27" t="n"/>
      <c r="B854" s="506" t="n"/>
      <c r="C854" s="141" t="n"/>
      <c r="D854" s="141" t="n"/>
      <c r="E854" s="141" t="n"/>
      <c r="F854" s="141" t="n"/>
      <c r="G854" s="143" t="n"/>
      <c r="H854" s="27" t="n"/>
    </row>
    <row r="855" ht="17.25" customHeight="1" s="322">
      <c r="A855" s="27" t="n"/>
      <c r="B855" s="506" t="n"/>
      <c r="C855" s="141" t="n"/>
      <c r="D855" s="141" t="n"/>
      <c r="E855" s="141" t="n"/>
      <c r="F855" s="141" t="n"/>
      <c r="G855" s="143" t="n"/>
      <c r="H855" s="27" t="n"/>
    </row>
    <row r="856" ht="17.25" customHeight="1" s="322">
      <c r="A856" s="27" t="n"/>
      <c r="B856" s="506" t="n"/>
      <c r="C856" s="141" t="n"/>
      <c r="D856" s="141" t="n"/>
      <c r="E856" s="141" t="n"/>
      <c r="F856" s="141" t="n"/>
      <c r="G856" s="143" t="n"/>
      <c r="H856" s="27" t="n"/>
    </row>
    <row r="857" ht="17.25" customHeight="1" s="322">
      <c r="A857" s="27" t="n"/>
      <c r="B857" s="506" t="n"/>
      <c r="C857" s="141" t="n"/>
      <c r="D857" s="141" t="n"/>
      <c r="E857" s="141" t="n"/>
      <c r="F857" s="141" t="n"/>
      <c r="G857" s="143" t="n"/>
      <c r="H857" s="27" t="n"/>
    </row>
    <row r="858" ht="17.25" customHeight="1" s="322">
      <c r="A858" s="27" t="n"/>
      <c r="B858" s="506" t="n"/>
      <c r="C858" s="141" t="n"/>
      <c r="D858" s="141" t="n"/>
      <c r="E858" s="141" t="n"/>
      <c r="F858" s="141" t="n"/>
      <c r="G858" s="143" t="n"/>
      <c r="H858" s="27" t="n"/>
    </row>
    <row r="859" ht="17.25" customHeight="1" s="322">
      <c r="A859" s="27" t="n"/>
      <c r="B859" s="506" t="n"/>
      <c r="C859" s="141" t="n"/>
      <c r="D859" s="141" t="n"/>
      <c r="E859" s="141" t="n"/>
      <c r="F859" s="141" t="n"/>
      <c r="G859" s="143" t="n"/>
      <c r="H859" s="27" t="n"/>
    </row>
    <row r="860" ht="17.25" customHeight="1" s="322">
      <c r="A860" s="27" t="n"/>
      <c r="B860" s="506" t="n"/>
      <c r="C860" s="141" t="n"/>
      <c r="D860" s="141" t="n"/>
      <c r="E860" s="141" t="n"/>
      <c r="F860" s="141" t="n"/>
      <c r="G860" s="143" t="n"/>
      <c r="H860" s="27" t="n"/>
    </row>
    <row r="861" ht="17.25" customHeight="1" s="322">
      <c r="A861" s="27" t="n"/>
      <c r="B861" s="506" t="n"/>
      <c r="C861" s="141" t="n"/>
      <c r="D861" s="141" t="n"/>
      <c r="E861" s="141" t="n"/>
      <c r="F861" s="141" t="n"/>
      <c r="G861" s="143" t="n"/>
      <c r="H861" s="27" t="n"/>
    </row>
    <row r="862" ht="17.25" customHeight="1" s="322">
      <c r="A862" s="27" t="n"/>
      <c r="B862" s="506" t="n"/>
      <c r="C862" s="141" t="n"/>
      <c r="D862" s="141" t="n"/>
      <c r="E862" s="141" t="n"/>
      <c r="F862" s="141" t="n"/>
      <c r="G862" s="143" t="n"/>
      <c r="H862" s="27" t="n"/>
    </row>
    <row r="863" ht="17.25" customHeight="1" s="322">
      <c r="A863" s="27" t="n"/>
      <c r="B863" s="506" t="n"/>
      <c r="C863" s="141" t="n"/>
      <c r="D863" s="141" t="n"/>
      <c r="E863" s="141" t="n"/>
      <c r="F863" s="141" t="n"/>
      <c r="G863" s="143" t="n"/>
      <c r="H863" s="27" t="n"/>
    </row>
    <row r="864" ht="17.25" customHeight="1" s="322">
      <c r="A864" s="27" t="n"/>
      <c r="B864" s="506" t="n"/>
      <c r="C864" s="141" t="n"/>
      <c r="D864" s="141" t="n"/>
      <c r="E864" s="141" t="n"/>
      <c r="F864" s="141" t="n"/>
      <c r="G864" s="143" t="n"/>
      <c r="H864" s="27" t="n"/>
    </row>
    <row r="865" ht="17.25" customHeight="1" s="322">
      <c r="A865" s="27" t="n"/>
      <c r="B865" s="506" t="n"/>
      <c r="C865" s="141" t="n"/>
      <c r="D865" s="141" t="n"/>
      <c r="E865" s="141" t="n"/>
      <c r="F865" s="141" t="n"/>
      <c r="G865" s="143" t="n"/>
      <c r="H865" s="27" t="n"/>
    </row>
    <row r="866" ht="17.25" customHeight="1" s="322">
      <c r="A866" s="27" t="n"/>
      <c r="B866" s="506" t="n"/>
      <c r="C866" s="141" t="n"/>
      <c r="D866" s="141" t="n"/>
      <c r="E866" s="141" t="n"/>
      <c r="F866" s="141" t="n"/>
      <c r="G866" s="143" t="n"/>
      <c r="H866" s="27" t="n"/>
    </row>
    <row r="867" ht="17.25" customHeight="1" s="322">
      <c r="A867" s="27" t="n"/>
      <c r="B867" s="506" t="n"/>
      <c r="C867" s="141" t="n"/>
      <c r="D867" s="141" t="n"/>
      <c r="E867" s="141" t="n"/>
      <c r="F867" s="141" t="n"/>
      <c r="G867" s="143" t="n"/>
      <c r="H867" s="27" t="n"/>
    </row>
    <row r="868" ht="17.25" customHeight="1" s="322">
      <c r="A868" s="27" t="n"/>
      <c r="B868" s="506" t="n"/>
      <c r="C868" s="141" t="n"/>
      <c r="D868" s="141" t="n"/>
      <c r="E868" s="141" t="n"/>
      <c r="F868" s="141" t="n"/>
      <c r="G868" s="143" t="n"/>
      <c r="H868" s="27" t="n"/>
    </row>
    <row r="869" ht="17.25" customHeight="1" s="322">
      <c r="A869" s="27" t="n"/>
      <c r="B869" s="506" t="n"/>
      <c r="C869" s="141" t="n"/>
      <c r="D869" s="141" t="n"/>
      <c r="E869" s="141" t="n"/>
      <c r="F869" s="141" t="n"/>
      <c r="G869" s="143" t="n"/>
      <c r="H869" s="27" t="n"/>
    </row>
    <row r="870" ht="17.25" customHeight="1" s="322">
      <c r="A870" s="27" t="n"/>
      <c r="B870" s="506" t="n"/>
      <c r="C870" s="141" t="n"/>
      <c r="D870" s="141" t="n"/>
      <c r="E870" s="141" t="n"/>
      <c r="F870" s="141" t="n"/>
      <c r="G870" s="143" t="n"/>
      <c r="H870" s="27" t="n"/>
    </row>
    <row r="871" ht="17.25" customHeight="1" s="322">
      <c r="A871" s="27" t="n"/>
      <c r="B871" s="506" t="n"/>
      <c r="C871" s="141" t="n"/>
      <c r="D871" s="141" t="n"/>
      <c r="E871" s="141" t="n"/>
      <c r="F871" s="141" t="n"/>
      <c r="G871" s="143" t="n"/>
      <c r="H871" s="27" t="n"/>
    </row>
    <row r="872" ht="17.25" customHeight="1" s="322">
      <c r="A872" s="27" t="n"/>
      <c r="B872" s="506" t="n"/>
      <c r="C872" s="141" t="n"/>
      <c r="D872" s="141" t="n"/>
      <c r="E872" s="141" t="n"/>
      <c r="F872" s="141" t="n"/>
      <c r="G872" s="143" t="n"/>
      <c r="H872" s="27" t="n"/>
    </row>
    <row r="873" ht="17.25" customHeight="1" s="322">
      <c r="A873" s="27" t="n"/>
      <c r="B873" s="506" t="n"/>
      <c r="C873" s="141" t="n"/>
      <c r="D873" s="141" t="n"/>
      <c r="E873" s="141" t="n"/>
      <c r="F873" s="141" t="n"/>
      <c r="G873" s="143" t="n"/>
      <c r="H873" s="27" t="n"/>
    </row>
    <row r="874" ht="17.25" customHeight="1" s="322">
      <c r="A874" s="27" t="n"/>
      <c r="B874" s="506" t="n"/>
      <c r="C874" s="141" t="n"/>
      <c r="D874" s="141" t="n"/>
      <c r="E874" s="141" t="n"/>
      <c r="F874" s="141" t="n"/>
      <c r="G874" s="143" t="n"/>
      <c r="H874" s="27" t="n"/>
    </row>
    <row r="875" ht="17.25" customHeight="1" s="322">
      <c r="A875" s="27" t="n"/>
      <c r="B875" s="506" t="n"/>
      <c r="C875" s="141" t="n"/>
      <c r="D875" s="141" t="n"/>
      <c r="E875" s="141" t="n"/>
      <c r="F875" s="141" t="n"/>
      <c r="G875" s="143" t="n"/>
      <c r="H875" s="27" t="n"/>
    </row>
    <row r="876" ht="17.25" customHeight="1" s="322">
      <c r="A876" s="27" t="n"/>
      <c r="B876" s="506" t="n"/>
      <c r="C876" s="141" t="n"/>
      <c r="D876" s="141" t="n"/>
      <c r="E876" s="141" t="n"/>
      <c r="F876" s="141" t="n"/>
      <c r="G876" s="143" t="n"/>
      <c r="H876" s="27" t="n"/>
    </row>
    <row r="877" ht="17.25" customHeight="1" s="322">
      <c r="A877" s="27" t="n"/>
      <c r="B877" s="506" t="n"/>
      <c r="C877" s="141" t="n"/>
      <c r="D877" s="141" t="n"/>
      <c r="E877" s="141" t="n"/>
      <c r="F877" s="141" t="n"/>
      <c r="G877" s="143" t="n"/>
      <c r="H877" s="27" t="n"/>
    </row>
    <row r="878" ht="17.25" customHeight="1" s="322">
      <c r="A878" s="27" t="n"/>
      <c r="B878" s="506" t="n"/>
      <c r="C878" s="141" t="n"/>
      <c r="D878" s="141" t="n"/>
      <c r="E878" s="141" t="n"/>
      <c r="F878" s="141" t="n"/>
      <c r="G878" s="143" t="n"/>
      <c r="H878" s="27" t="n"/>
    </row>
    <row r="879" ht="17.25" customHeight="1" s="322">
      <c r="A879" s="27" t="n"/>
      <c r="B879" s="506" t="n"/>
      <c r="C879" s="141" t="n"/>
      <c r="D879" s="141" t="n"/>
      <c r="E879" s="141" t="n"/>
      <c r="F879" s="141" t="n"/>
      <c r="G879" s="143" t="n"/>
      <c r="H879" s="27" t="n"/>
    </row>
    <row r="880" ht="17.25" customHeight="1" s="322">
      <c r="A880" s="27" t="n"/>
      <c r="B880" s="506" t="n"/>
      <c r="C880" s="141" t="n"/>
      <c r="D880" s="141" t="n"/>
      <c r="E880" s="141" t="n"/>
      <c r="F880" s="141" t="n"/>
      <c r="G880" s="143" t="n"/>
      <c r="H880" s="27" t="n"/>
    </row>
    <row r="881" ht="17.25" customHeight="1" s="322">
      <c r="A881" s="27" t="n"/>
      <c r="B881" s="506" t="n"/>
      <c r="C881" s="141" t="n"/>
      <c r="D881" s="141" t="n"/>
      <c r="E881" s="141" t="n"/>
      <c r="F881" s="141" t="n"/>
      <c r="G881" s="143" t="n"/>
      <c r="H881" s="27" t="n"/>
    </row>
    <row r="882" ht="17.25" customHeight="1" s="322">
      <c r="A882" s="27" t="n"/>
      <c r="B882" s="506" t="n"/>
      <c r="C882" s="141" t="n"/>
      <c r="D882" s="141" t="n"/>
      <c r="E882" s="141" t="n"/>
      <c r="F882" s="141" t="n"/>
      <c r="G882" s="143" t="n"/>
      <c r="H882" s="27" t="n"/>
    </row>
    <row r="883" ht="17.25" customHeight="1" s="322">
      <c r="A883" s="27" t="n"/>
      <c r="B883" s="506" t="n"/>
      <c r="C883" s="141" t="n"/>
      <c r="D883" s="141" t="n"/>
      <c r="E883" s="141" t="n"/>
      <c r="F883" s="141" t="n"/>
      <c r="G883" s="143" t="n"/>
      <c r="H883" s="27" t="n"/>
    </row>
    <row r="884" ht="17.25" customHeight="1" s="322">
      <c r="A884" s="27" t="n"/>
      <c r="B884" s="506" t="n"/>
      <c r="C884" s="141" t="n"/>
      <c r="D884" s="141" t="n"/>
      <c r="E884" s="141" t="n"/>
      <c r="F884" s="141" t="n"/>
      <c r="G884" s="143" t="n"/>
      <c r="H884" s="27" t="n"/>
    </row>
    <row r="885" ht="17.25" customHeight="1" s="322">
      <c r="A885" s="27" t="n"/>
      <c r="B885" s="506" t="n"/>
      <c r="C885" s="141" t="n"/>
      <c r="D885" s="141" t="n"/>
      <c r="E885" s="141" t="n"/>
      <c r="F885" s="141" t="n"/>
      <c r="G885" s="143" t="n"/>
      <c r="H885" s="27" t="n"/>
    </row>
    <row r="886" ht="17.25" customHeight="1" s="322">
      <c r="A886" s="27" t="n"/>
      <c r="B886" s="506" t="n"/>
      <c r="C886" s="141" t="n"/>
      <c r="D886" s="141" t="n"/>
      <c r="E886" s="141" t="n"/>
      <c r="F886" s="141" t="n"/>
      <c r="G886" s="143" t="n"/>
      <c r="H886" s="27" t="n"/>
    </row>
    <row r="887" ht="17.25" customHeight="1" s="322">
      <c r="A887" s="27" t="n"/>
      <c r="B887" s="506" t="n"/>
      <c r="C887" s="141" t="n"/>
      <c r="D887" s="141" t="n"/>
      <c r="E887" s="141" t="n"/>
      <c r="F887" s="141" t="n"/>
      <c r="G887" s="143" t="n"/>
      <c r="H887" s="27" t="n"/>
    </row>
    <row r="888" ht="17.25" customHeight="1" s="322">
      <c r="A888" s="27" t="n"/>
      <c r="B888" s="506" t="n"/>
      <c r="C888" s="141" t="n"/>
      <c r="D888" s="141" t="n"/>
      <c r="E888" s="141" t="n"/>
      <c r="F888" s="141" t="n"/>
      <c r="G888" s="143" t="n"/>
      <c r="H888" s="27" t="n"/>
    </row>
    <row r="889" ht="17.25" customHeight="1" s="322">
      <c r="A889" s="27" t="n"/>
      <c r="B889" s="506" t="n"/>
      <c r="C889" s="141" t="n"/>
      <c r="D889" s="141" t="n"/>
      <c r="E889" s="141" t="n"/>
      <c r="F889" s="141" t="n"/>
      <c r="G889" s="143" t="n"/>
      <c r="H889" s="27" t="n"/>
    </row>
    <row r="890" ht="17.25" customHeight="1" s="322">
      <c r="A890" s="27" t="n"/>
      <c r="B890" s="506" t="n"/>
      <c r="C890" s="141" t="n"/>
      <c r="D890" s="141" t="n"/>
      <c r="E890" s="141" t="n"/>
      <c r="F890" s="141" t="n"/>
      <c r="G890" s="143" t="n"/>
      <c r="H890" s="27" t="n"/>
    </row>
    <row r="891" ht="17.25" customHeight="1" s="322">
      <c r="A891" s="27" t="n"/>
      <c r="B891" s="506" t="n"/>
      <c r="C891" s="141" t="n"/>
      <c r="D891" s="141" t="n"/>
      <c r="E891" s="141" t="n"/>
      <c r="F891" s="141" t="n"/>
      <c r="G891" s="143" t="n"/>
      <c r="H891" s="27" t="n"/>
    </row>
    <row r="892" ht="17.25" customHeight="1" s="322">
      <c r="A892" s="27" t="n"/>
      <c r="B892" s="506" t="n"/>
      <c r="C892" s="141" t="n"/>
      <c r="D892" s="141" t="n"/>
      <c r="E892" s="141" t="n"/>
      <c r="F892" s="141" t="n"/>
      <c r="G892" s="143" t="n"/>
      <c r="H892" s="27" t="n"/>
    </row>
    <row r="893" ht="17.25" customHeight="1" s="322">
      <c r="A893" s="27" t="n"/>
      <c r="B893" s="506" t="n"/>
      <c r="C893" s="141" t="n"/>
      <c r="D893" s="141" t="n"/>
      <c r="E893" s="141" t="n"/>
      <c r="F893" s="141" t="n"/>
      <c r="G893" s="143" t="n"/>
      <c r="H893" s="27" t="n"/>
    </row>
    <row r="894" ht="17.25" customHeight="1" s="322">
      <c r="A894" s="27" t="n"/>
      <c r="B894" s="506" t="n"/>
      <c r="C894" s="141" t="n"/>
      <c r="D894" s="141" t="n"/>
      <c r="E894" s="141" t="n"/>
      <c r="F894" s="141" t="n"/>
      <c r="G894" s="143" t="n"/>
      <c r="H894" s="27" t="n"/>
    </row>
    <row r="895" ht="17.25" customHeight="1" s="322">
      <c r="A895" s="27" t="n"/>
      <c r="B895" s="506" t="n"/>
      <c r="C895" s="141" t="n"/>
      <c r="D895" s="141" t="n"/>
      <c r="E895" s="141" t="n"/>
      <c r="F895" s="141" t="n"/>
      <c r="G895" s="143" t="n"/>
      <c r="H895" s="27" t="n"/>
    </row>
    <row r="896" ht="17.25" customHeight="1" s="322">
      <c r="A896" s="27" t="n"/>
      <c r="B896" s="506" t="n"/>
      <c r="C896" s="141" t="n"/>
      <c r="D896" s="141" t="n"/>
      <c r="E896" s="141" t="n"/>
      <c r="F896" s="141" t="n"/>
      <c r="G896" s="143" t="n"/>
      <c r="H896" s="27" t="n"/>
    </row>
    <row r="897" ht="17.25" customHeight="1" s="322">
      <c r="A897" s="27" t="n"/>
      <c r="B897" s="506" t="n"/>
      <c r="C897" s="141" t="n"/>
      <c r="D897" s="141" t="n"/>
      <c r="E897" s="141" t="n"/>
      <c r="F897" s="141" t="n"/>
      <c r="G897" s="143" t="n"/>
      <c r="H897" s="27" t="n"/>
    </row>
    <row r="898" ht="17.25" customHeight="1" s="322">
      <c r="A898" s="27" t="n"/>
      <c r="B898" s="506" t="n"/>
      <c r="C898" s="141" t="n"/>
      <c r="D898" s="141" t="n"/>
      <c r="E898" s="141" t="n"/>
      <c r="F898" s="141" t="n"/>
      <c r="G898" s="143" t="n"/>
      <c r="H898" s="27" t="n"/>
    </row>
    <row r="899" ht="17.25" customHeight="1" s="322">
      <c r="A899" s="27" t="n"/>
      <c r="B899" s="506" t="n"/>
      <c r="C899" s="141" t="n"/>
      <c r="D899" s="141" t="n"/>
      <c r="E899" s="141" t="n"/>
      <c r="F899" s="141" t="n"/>
      <c r="G899" s="143" t="n"/>
      <c r="H899" s="27" t="n"/>
    </row>
    <row r="900" ht="17.25" customHeight="1" s="322">
      <c r="A900" s="27" t="n"/>
      <c r="B900" s="506" t="n"/>
      <c r="C900" s="141" t="n"/>
      <c r="D900" s="141" t="n"/>
      <c r="E900" s="141" t="n"/>
      <c r="F900" s="141" t="n"/>
      <c r="G900" s="143" t="n"/>
      <c r="H900" s="27" t="n"/>
    </row>
    <row r="901" ht="17.25" customHeight="1" s="322">
      <c r="A901" s="27" t="n"/>
      <c r="B901" s="506" t="n"/>
      <c r="C901" s="141" t="n"/>
      <c r="D901" s="141" t="n"/>
      <c r="E901" s="141" t="n"/>
      <c r="F901" s="141" t="n"/>
      <c r="G901" s="143" t="n"/>
      <c r="H901" s="27" t="n"/>
    </row>
    <row r="902" ht="17.25" customHeight="1" s="322">
      <c r="A902" s="27" t="n"/>
      <c r="B902" s="506" t="n"/>
      <c r="C902" s="141" t="n"/>
      <c r="D902" s="141" t="n"/>
      <c r="E902" s="141" t="n"/>
      <c r="F902" s="141" t="n"/>
      <c r="G902" s="143" t="n"/>
      <c r="H902" s="27" t="n"/>
    </row>
    <row r="903" ht="17.25" customHeight="1" s="322">
      <c r="A903" s="27" t="n"/>
      <c r="B903" s="506" t="n"/>
      <c r="C903" s="141" t="n"/>
      <c r="D903" s="141" t="n"/>
      <c r="E903" s="141" t="n"/>
      <c r="F903" s="141" t="n"/>
      <c r="G903" s="143" t="n"/>
      <c r="H903" s="27" t="n"/>
    </row>
    <row r="904" ht="17.25" customHeight="1" s="322">
      <c r="A904" s="27" t="n"/>
      <c r="B904" s="506" t="n"/>
      <c r="C904" s="141" t="n"/>
      <c r="D904" s="141" t="n"/>
      <c r="E904" s="141" t="n"/>
      <c r="F904" s="141" t="n"/>
      <c r="G904" s="143" t="n"/>
      <c r="H904" s="27" t="n"/>
    </row>
    <row r="905" ht="17.25" customHeight="1" s="322">
      <c r="A905" s="27" t="n"/>
      <c r="B905" s="506" t="n"/>
      <c r="C905" s="141" t="n"/>
      <c r="D905" s="141" t="n"/>
      <c r="E905" s="141" t="n"/>
      <c r="F905" s="141" t="n"/>
      <c r="G905" s="143" t="n"/>
      <c r="H905" s="27" t="n"/>
    </row>
    <row r="906" ht="17.25" customHeight="1" s="322">
      <c r="A906" s="27" t="n"/>
      <c r="B906" s="506" t="n"/>
      <c r="C906" s="141" t="n"/>
      <c r="D906" s="141" t="n"/>
      <c r="E906" s="141" t="n"/>
      <c r="F906" s="141" t="n"/>
      <c r="G906" s="143" t="n"/>
      <c r="H906" s="27" t="n"/>
    </row>
    <row r="907" ht="17.25" customHeight="1" s="322">
      <c r="A907" s="27" t="n"/>
      <c r="B907" s="506" t="n"/>
      <c r="C907" s="141" t="n"/>
      <c r="D907" s="141" t="n"/>
      <c r="E907" s="141" t="n"/>
      <c r="F907" s="141" t="n"/>
      <c r="G907" s="143" t="n"/>
      <c r="H907" s="27" t="n"/>
    </row>
    <row r="908" ht="17.25" customHeight="1" s="322">
      <c r="A908" s="27" t="n"/>
      <c r="B908" s="506" t="n"/>
      <c r="C908" s="141" t="n"/>
      <c r="D908" s="141" t="n"/>
      <c r="E908" s="141" t="n"/>
      <c r="F908" s="141" t="n"/>
      <c r="G908" s="143" t="n"/>
      <c r="H908" s="27" t="n"/>
    </row>
    <row r="909" ht="17.25" customHeight="1" s="322">
      <c r="A909" s="27" t="n"/>
      <c r="B909" s="506" t="n"/>
      <c r="C909" s="141" t="n"/>
      <c r="D909" s="141" t="n"/>
      <c r="E909" s="141" t="n"/>
      <c r="F909" s="141" t="n"/>
      <c r="G909" s="143" t="n"/>
      <c r="H909" s="27" t="n"/>
    </row>
    <row r="910" ht="17.25" customHeight="1" s="322">
      <c r="A910" s="27" t="n"/>
      <c r="B910" s="506" t="n"/>
      <c r="C910" s="141" t="n"/>
      <c r="D910" s="141" t="n"/>
      <c r="E910" s="141" t="n"/>
      <c r="F910" s="141" t="n"/>
      <c r="G910" s="143" t="n"/>
      <c r="H910" s="27" t="n"/>
    </row>
    <row r="911" ht="17.25" customHeight="1" s="322">
      <c r="A911" s="27" t="n"/>
      <c r="B911" s="506" t="n"/>
      <c r="C911" s="141" t="n"/>
      <c r="D911" s="141" t="n"/>
      <c r="E911" s="141" t="n"/>
      <c r="F911" s="141" t="n"/>
      <c r="G911" s="143" t="n"/>
      <c r="H911" s="27" t="n"/>
    </row>
    <row r="912" ht="17.25" customHeight="1" s="322">
      <c r="A912" s="27" t="n"/>
      <c r="B912" s="506" t="n"/>
      <c r="C912" s="141" t="n"/>
      <c r="D912" s="141" t="n"/>
      <c r="E912" s="141" t="n"/>
      <c r="F912" s="141" t="n"/>
      <c r="G912" s="143" t="n"/>
      <c r="H912" s="27" t="n"/>
    </row>
    <row r="913" ht="17.25" customHeight="1" s="322">
      <c r="A913" s="27" t="n"/>
      <c r="B913" s="506" t="n"/>
      <c r="C913" s="141" t="n"/>
      <c r="D913" s="141" t="n"/>
      <c r="E913" s="141" t="n"/>
      <c r="F913" s="141" t="n"/>
      <c r="G913" s="143" t="n"/>
      <c r="H913" s="27" t="n"/>
    </row>
    <row r="914" ht="17.25" customHeight="1" s="322">
      <c r="A914" s="27" t="n"/>
      <c r="B914" s="506" t="n"/>
      <c r="C914" s="141" t="n"/>
      <c r="D914" s="141" t="n"/>
      <c r="E914" s="141" t="n"/>
      <c r="F914" s="141" t="n"/>
      <c r="G914" s="143" t="n"/>
      <c r="H914" s="27" t="n"/>
    </row>
    <row r="915" ht="17.25" customHeight="1" s="322">
      <c r="A915" s="27" t="n"/>
      <c r="B915" s="506" t="n"/>
      <c r="C915" s="141" t="n"/>
      <c r="D915" s="141" t="n"/>
      <c r="E915" s="141" t="n"/>
      <c r="F915" s="141" t="n"/>
      <c r="G915" s="143" t="n"/>
      <c r="H915" s="27" t="n"/>
    </row>
    <row r="916" ht="17.25" customHeight="1" s="322">
      <c r="A916" s="27" t="n"/>
      <c r="B916" s="506" t="n"/>
      <c r="C916" s="141" t="n"/>
      <c r="D916" s="141" t="n"/>
      <c r="E916" s="141" t="n"/>
      <c r="F916" s="141" t="n"/>
      <c r="G916" s="143" t="n"/>
      <c r="H916" s="27" t="n"/>
    </row>
    <row r="917" ht="17.25" customHeight="1" s="322">
      <c r="A917" s="27" t="n"/>
      <c r="B917" s="506" t="n"/>
      <c r="C917" s="141" t="n"/>
      <c r="D917" s="141" t="n"/>
      <c r="E917" s="141" t="n"/>
      <c r="F917" s="141" t="n"/>
      <c r="G917" s="143" t="n"/>
      <c r="H917" s="27" t="n"/>
    </row>
    <row r="918" ht="17.25" customHeight="1" s="322">
      <c r="A918" s="27" t="n"/>
      <c r="B918" s="506" t="n"/>
      <c r="C918" s="141" t="n"/>
      <c r="D918" s="141" t="n"/>
      <c r="E918" s="141" t="n"/>
      <c r="F918" s="141" t="n"/>
      <c r="G918" s="143" t="n"/>
      <c r="H918" s="27" t="n"/>
    </row>
    <row r="919" ht="17.25" customHeight="1" s="322">
      <c r="A919" s="27" t="n"/>
      <c r="B919" s="506" t="n"/>
      <c r="C919" s="141" t="n"/>
      <c r="D919" s="141" t="n"/>
      <c r="E919" s="141" t="n"/>
      <c r="F919" s="141" t="n"/>
      <c r="G919" s="143" t="n"/>
      <c r="H919" s="27" t="n"/>
    </row>
    <row r="920" ht="17.25" customHeight="1" s="322">
      <c r="A920" s="27" t="n"/>
      <c r="B920" s="506" t="n"/>
      <c r="C920" s="141" t="n"/>
      <c r="D920" s="141" t="n"/>
      <c r="E920" s="141" t="n"/>
      <c r="F920" s="141" t="n"/>
      <c r="G920" s="143" t="n"/>
      <c r="H920" s="27" t="n"/>
    </row>
    <row r="921" ht="17.25" customHeight="1" s="322">
      <c r="A921" s="27" t="n"/>
      <c r="B921" s="506" t="n"/>
      <c r="C921" s="141" t="n"/>
      <c r="D921" s="141" t="n"/>
      <c r="E921" s="141" t="n"/>
      <c r="F921" s="141" t="n"/>
      <c r="G921" s="143" t="n"/>
      <c r="H921" s="27" t="n"/>
    </row>
    <row r="922" ht="17.25" customHeight="1" s="322">
      <c r="A922" s="27" t="n"/>
      <c r="B922" s="506" t="n"/>
      <c r="C922" s="141" t="n"/>
      <c r="D922" s="141" t="n"/>
      <c r="E922" s="141" t="n"/>
      <c r="F922" s="141" t="n"/>
      <c r="G922" s="143" t="n"/>
      <c r="H922" s="27" t="n"/>
    </row>
    <row r="923" ht="17.25" customHeight="1" s="322">
      <c r="A923" s="27" t="n"/>
      <c r="B923" s="506" t="n"/>
      <c r="C923" s="141" t="n"/>
      <c r="D923" s="141" t="n"/>
      <c r="E923" s="141" t="n"/>
      <c r="F923" s="141" t="n"/>
      <c r="G923" s="143" t="n"/>
      <c r="H923" s="27" t="n"/>
    </row>
    <row r="924" ht="17.25" customHeight="1" s="322">
      <c r="A924" s="27" t="n"/>
      <c r="B924" s="506" t="n"/>
      <c r="C924" s="141" t="n"/>
      <c r="D924" s="141" t="n"/>
      <c r="E924" s="141" t="n"/>
      <c r="F924" s="141" t="n"/>
      <c r="G924" s="143" t="n"/>
      <c r="H924" s="27" t="n"/>
    </row>
    <row r="925" ht="17.25" customHeight="1" s="322">
      <c r="A925" s="27" t="n"/>
      <c r="B925" s="506" t="n"/>
      <c r="C925" s="141" t="n"/>
      <c r="D925" s="141" t="n"/>
      <c r="E925" s="141" t="n"/>
      <c r="F925" s="141" t="n"/>
      <c r="G925" s="143" t="n"/>
      <c r="H925" s="27" t="n"/>
    </row>
    <row r="926" ht="17.25" customHeight="1" s="322">
      <c r="A926" s="27" t="n"/>
      <c r="B926" s="506" t="n"/>
      <c r="C926" s="141" t="n"/>
      <c r="D926" s="141" t="n"/>
      <c r="E926" s="141" t="n"/>
      <c r="F926" s="141" t="n"/>
      <c r="G926" s="143" t="n"/>
      <c r="H926" s="27" t="n"/>
    </row>
    <row r="927" ht="17.25" customHeight="1" s="322">
      <c r="A927" s="27" t="n"/>
      <c r="B927" s="506" t="n"/>
      <c r="C927" s="141" t="n"/>
      <c r="D927" s="141" t="n"/>
      <c r="E927" s="141" t="n"/>
      <c r="F927" s="141" t="n"/>
      <c r="G927" s="143" t="n"/>
      <c r="H927" s="27" t="n"/>
    </row>
    <row r="928" ht="17.25" customHeight="1" s="322">
      <c r="A928" s="27" t="n"/>
      <c r="B928" s="506" t="n"/>
      <c r="C928" s="141" t="n"/>
      <c r="D928" s="141" t="n"/>
      <c r="E928" s="141" t="n"/>
      <c r="F928" s="141" t="n"/>
      <c r="G928" s="143" t="n"/>
      <c r="H928" s="27" t="n"/>
    </row>
    <row r="929" ht="17.25" customHeight="1" s="322">
      <c r="A929" s="27" t="n"/>
      <c r="B929" s="506" t="n"/>
      <c r="C929" s="141" t="n"/>
      <c r="D929" s="141" t="n"/>
      <c r="E929" s="141" t="n"/>
      <c r="F929" s="141" t="n"/>
      <c r="G929" s="143" t="n"/>
      <c r="H929" s="27" t="n"/>
    </row>
    <row r="930" ht="17.25" customHeight="1" s="322">
      <c r="A930" s="27" t="n"/>
      <c r="B930" s="506" t="n"/>
      <c r="C930" s="141" t="n"/>
      <c r="D930" s="141" t="n"/>
      <c r="E930" s="141" t="n"/>
      <c r="F930" s="141" t="n"/>
      <c r="G930" s="143" t="n"/>
      <c r="H930" s="27" t="n"/>
    </row>
    <row r="931" ht="17.25" customHeight="1" s="322">
      <c r="A931" s="27" t="n"/>
      <c r="B931" s="506" t="n"/>
      <c r="C931" s="141" t="n"/>
      <c r="D931" s="141" t="n"/>
      <c r="E931" s="141" t="n"/>
      <c r="F931" s="141" t="n"/>
      <c r="G931" s="143" t="n"/>
      <c r="H931" s="27" t="n"/>
    </row>
    <row r="932" ht="17.25" customHeight="1" s="322">
      <c r="A932" s="27" t="n"/>
      <c r="B932" s="506" t="n"/>
      <c r="C932" s="141" t="n"/>
      <c r="D932" s="141" t="n"/>
      <c r="E932" s="141" t="n"/>
      <c r="F932" s="141" t="n"/>
      <c r="G932" s="143" t="n"/>
      <c r="H932" s="27" t="n"/>
    </row>
    <row r="933" ht="17.25" customHeight="1" s="322">
      <c r="A933" s="27" t="n"/>
      <c r="B933" s="506" t="n"/>
      <c r="C933" s="141" t="n"/>
      <c r="D933" s="141" t="n"/>
      <c r="E933" s="141" t="n"/>
      <c r="F933" s="141" t="n"/>
      <c r="G933" s="143" t="n"/>
      <c r="H933" s="27" t="n"/>
    </row>
    <row r="934" ht="17.25" customHeight="1" s="322">
      <c r="A934" s="27" t="n"/>
      <c r="B934" s="506" t="n"/>
      <c r="C934" s="141" t="n"/>
      <c r="D934" s="141" t="n"/>
      <c r="E934" s="141" t="n"/>
      <c r="F934" s="141" t="n"/>
      <c r="G934" s="143" t="n"/>
      <c r="H934" s="27" t="n"/>
    </row>
    <row r="935" ht="17.25" customHeight="1" s="322">
      <c r="A935" s="27" t="n"/>
      <c r="B935" s="506" t="n"/>
      <c r="C935" s="141" t="n"/>
      <c r="D935" s="141" t="n"/>
      <c r="E935" s="141" t="n"/>
      <c r="F935" s="141" t="n"/>
      <c r="G935" s="143" t="n"/>
      <c r="H935" s="27" t="n"/>
    </row>
    <row r="936" ht="17.25" customHeight="1" s="322">
      <c r="A936" s="27" t="n"/>
      <c r="B936" s="506" t="n"/>
      <c r="C936" s="141" t="n"/>
      <c r="D936" s="141" t="n"/>
      <c r="E936" s="141" t="n"/>
      <c r="F936" s="141" t="n"/>
      <c r="G936" s="143" t="n"/>
      <c r="H936" s="27" t="n"/>
    </row>
    <row r="937" ht="17.25" customHeight="1" s="322">
      <c r="A937" s="27" t="n"/>
      <c r="B937" s="506" t="n"/>
      <c r="C937" s="141" t="n"/>
      <c r="D937" s="141" t="n"/>
      <c r="E937" s="141" t="n"/>
      <c r="F937" s="141" t="n"/>
      <c r="G937" s="143" t="n"/>
      <c r="H937" s="27" t="n"/>
    </row>
    <row r="938" ht="17.25" customHeight="1" s="322">
      <c r="A938" s="27" t="n"/>
      <c r="B938" s="506" t="n"/>
      <c r="C938" s="141" t="n"/>
      <c r="D938" s="141" t="n"/>
      <c r="E938" s="141" t="n"/>
      <c r="F938" s="141" t="n"/>
      <c r="G938" s="143" t="n"/>
      <c r="H938" s="27" t="n"/>
    </row>
    <row r="939" ht="17.25" customHeight="1" s="322">
      <c r="A939" s="27" t="n"/>
      <c r="B939" s="506" t="n"/>
      <c r="C939" s="141" t="n"/>
      <c r="D939" s="141" t="n"/>
      <c r="E939" s="141" t="n"/>
      <c r="F939" s="141" t="n"/>
      <c r="G939" s="143" t="n"/>
      <c r="H939" s="27" t="n"/>
    </row>
    <row r="940" ht="17.25" customHeight="1" s="322">
      <c r="A940" s="27" t="n"/>
      <c r="B940" s="506" t="n"/>
      <c r="C940" s="141" t="n"/>
      <c r="D940" s="141" t="n"/>
      <c r="E940" s="141" t="n"/>
      <c r="F940" s="141" t="n"/>
      <c r="G940" s="143" t="n"/>
      <c r="H940" s="27" t="n"/>
    </row>
    <row r="941" ht="17.25" customHeight="1" s="322">
      <c r="A941" s="27" t="n"/>
      <c r="B941" s="506" t="n"/>
      <c r="C941" s="141" t="n"/>
      <c r="D941" s="141" t="n"/>
      <c r="E941" s="141" t="n"/>
      <c r="F941" s="141" t="n"/>
      <c r="G941" s="143" t="n"/>
      <c r="H941" s="27" t="n"/>
    </row>
    <row r="942" ht="17.25" customHeight="1" s="322">
      <c r="A942" s="27" t="n"/>
      <c r="B942" s="506" t="n"/>
      <c r="C942" s="141" t="n"/>
      <c r="D942" s="141" t="n"/>
      <c r="E942" s="141" t="n"/>
      <c r="F942" s="141" t="n"/>
      <c r="G942" s="143" t="n"/>
      <c r="H942" s="27" t="n"/>
    </row>
    <row r="943" ht="17.25" customHeight="1" s="322">
      <c r="A943" s="27" t="n"/>
      <c r="B943" s="506" t="n"/>
      <c r="C943" s="141" t="n"/>
      <c r="D943" s="141" t="n"/>
      <c r="E943" s="141" t="n"/>
      <c r="F943" s="141" t="n"/>
      <c r="G943" s="143" t="n"/>
      <c r="H943" s="27" t="n"/>
    </row>
    <row r="944" ht="17.25" customHeight="1" s="322">
      <c r="A944" s="27" t="n"/>
      <c r="B944" s="506" t="n"/>
      <c r="C944" s="141" t="n"/>
      <c r="D944" s="141" t="n"/>
      <c r="E944" s="141" t="n"/>
      <c r="F944" s="141" t="n"/>
      <c r="G944" s="143" t="n"/>
      <c r="H944" s="27" t="n"/>
    </row>
    <row r="945" ht="17.25" customHeight="1" s="322">
      <c r="A945" s="27" t="n"/>
      <c r="B945" s="506" t="n"/>
      <c r="C945" s="141" t="n"/>
      <c r="D945" s="141" t="n"/>
      <c r="E945" s="141" t="n"/>
      <c r="F945" s="141" t="n"/>
      <c r="G945" s="143" t="n"/>
      <c r="H945" s="27" t="n"/>
    </row>
    <row r="946" ht="17.25" customHeight="1" s="322">
      <c r="A946" s="27" t="n"/>
      <c r="B946" s="506" t="n"/>
      <c r="C946" s="141" t="n"/>
      <c r="D946" s="141" t="n"/>
      <c r="E946" s="141" t="n"/>
      <c r="F946" s="141" t="n"/>
      <c r="G946" s="143" t="n"/>
      <c r="H946" s="27" t="n"/>
    </row>
    <row r="947" ht="17.25" customHeight="1" s="322">
      <c r="A947" s="27" t="n"/>
      <c r="B947" s="506" t="n"/>
      <c r="C947" s="141" t="n"/>
      <c r="D947" s="141" t="n"/>
      <c r="E947" s="141" t="n"/>
      <c r="F947" s="141" t="n"/>
      <c r="G947" s="143" t="n"/>
      <c r="H947" s="27" t="n"/>
    </row>
    <row r="948" ht="17.25" customHeight="1" s="322">
      <c r="A948" s="27" t="n"/>
      <c r="B948" s="506" t="n"/>
      <c r="C948" s="141" t="n"/>
      <c r="D948" s="141" t="n"/>
      <c r="E948" s="141" t="n"/>
      <c r="F948" s="141" t="n"/>
      <c r="G948" s="143" t="n"/>
      <c r="H948" s="27" t="n"/>
    </row>
    <row r="949" ht="17.25" customHeight="1" s="322">
      <c r="A949" s="27" t="n"/>
      <c r="B949" s="506" t="n"/>
      <c r="C949" s="141" t="n"/>
      <c r="D949" s="141" t="n"/>
      <c r="E949" s="141" t="n"/>
      <c r="F949" s="141" t="n"/>
      <c r="G949" s="143" t="n"/>
      <c r="H949" s="27" t="n"/>
    </row>
    <row r="950" ht="17.25" customHeight="1" s="322">
      <c r="A950" s="27" t="n"/>
      <c r="B950" s="506" t="n"/>
      <c r="C950" s="141" t="n"/>
      <c r="D950" s="141" t="n"/>
      <c r="E950" s="141" t="n"/>
      <c r="F950" s="141" t="n"/>
      <c r="G950" s="143" t="n"/>
      <c r="H950" s="27" t="n"/>
    </row>
    <row r="951" ht="17.25" customHeight="1" s="322">
      <c r="A951" s="27" t="n"/>
      <c r="B951" s="506" t="n"/>
      <c r="C951" s="141" t="n"/>
      <c r="D951" s="141" t="n"/>
      <c r="E951" s="141" t="n"/>
      <c r="F951" s="141" t="n"/>
      <c r="G951" s="143" t="n"/>
      <c r="H951" s="27" t="n"/>
    </row>
    <row r="952" ht="17.25" customHeight="1" s="322">
      <c r="A952" s="27" t="n"/>
      <c r="B952" s="506" t="n"/>
      <c r="C952" s="141" t="n"/>
      <c r="D952" s="141" t="n"/>
      <c r="E952" s="141" t="n"/>
      <c r="F952" s="141" t="n"/>
      <c r="G952" s="143" t="n"/>
      <c r="H952" s="27" t="n"/>
    </row>
    <row r="953" ht="17.25" customHeight="1" s="322">
      <c r="A953" s="27" t="n"/>
      <c r="B953" s="506" t="n"/>
      <c r="C953" s="141" t="n"/>
      <c r="D953" s="141" t="n"/>
      <c r="E953" s="141" t="n"/>
      <c r="F953" s="141" t="n"/>
      <c r="G953" s="143" t="n"/>
      <c r="H953" s="27" t="n"/>
    </row>
    <row r="954" ht="17.25" customHeight="1" s="322">
      <c r="A954" s="27" t="n"/>
      <c r="B954" s="506" t="n"/>
      <c r="C954" s="141" t="n"/>
      <c r="D954" s="141" t="n"/>
      <c r="E954" s="141" t="n"/>
      <c r="F954" s="141" t="n"/>
      <c r="G954" s="143" t="n"/>
      <c r="H954" s="27" t="n"/>
    </row>
    <row r="955" ht="17.25" customHeight="1" s="322">
      <c r="A955" s="27" t="n"/>
      <c r="B955" s="506" t="n"/>
      <c r="C955" s="141" t="n"/>
      <c r="D955" s="141" t="n"/>
      <c r="E955" s="141" t="n"/>
      <c r="F955" s="141" t="n"/>
      <c r="G955" s="143" t="n"/>
      <c r="H955" s="27" t="n"/>
    </row>
    <row r="956" ht="17.25" customHeight="1" s="322">
      <c r="A956" s="27" t="n"/>
      <c r="B956" s="506" t="n"/>
      <c r="C956" s="141" t="n"/>
      <c r="D956" s="141" t="n"/>
      <c r="E956" s="141" t="n"/>
      <c r="F956" s="141" t="n"/>
      <c r="G956" s="143" t="n"/>
      <c r="H956" s="27" t="n"/>
    </row>
    <row r="957" ht="17.25" customHeight="1" s="322">
      <c r="A957" s="27" t="n"/>
      <c r="B957" s="506" t="n"/>
      <c r="C957" s="141" t="n"/>
      <c r="D957" s="141" t="n"/>
      <c r="E957" s="141" t="n"/>
      <c r="F957" s="141" t="n"/>
      <c r="G957" s="143" t="n"/>
      <c r="H957" s="27" t="n"/>
    </row>
    <row r="958" ht="17.25" customHeight="1" s="322">
      <c r="A958" s="27" t="n"/>
      <c r="B958" s="506" t="n"/>
      <c r="C958" s="141" t="n"/>
      <c r="D958" s="141" t="n"/>
      <c r="E958" s="141" t="n"/>
      <c r="F958" s="141" t="n"/>
      <c r="G958" s="143" t="n"/>
      <c r="H958" s="27" t="n"/>
    </row>
    <row r="959" ht="17.25" customHeight="1" s="322">
      <c r="A959" s="27" t="n"/>
      <c r="B959" s="506" t="n"/>
      <c r="C959" s="141" t="n"/>
      <c r="D959" s="141" t="n"/>
      <c r="E959" s="141" t="n"/>
      <c r="F959" s="141" t="n"/>
      <c r="G959" s="143" t="n"/>
      <c r="H959" s="27" t="n"/>
    </row>
    <row r="960" ht="17.25" customHeight="1" s="322">
      <c r="A960" s="27" t="n"/>
      <c r="B960" s="506" t="n"/>
      <c r="C960" s="141" t="n"/>
      <c r="D960" s="141" t="n"/>
      <c r="E960" s="141" t="n"/>
      <c r="F960" s="141" t="n"/>
      <c r="G960" s="143" t="n"/>
      <c r="H960" s="27" t="n"/>
    </row>
    <row r="961" ht="17.25" customHeight="1" s="322">
      <c r="A961" s="27" t="n"/>
      <c r="B961" s="506" t="n"/>
      <c r="C961" s="141" t="n"/>
      <c r="D961" s="141" t="n"/>
      <c r="E961" s="141" t="n"/>
      <c r="F961" s="141" t="n"/>
      <c r="G961" s="143" t="n"/>
      <c r="H961" s="27" t="n"/>
    </row>
    <row r="962" ht="17.25" customHeight="1" s="322">
      <c r="A962" s="27" t="n"/>
      <c r="B962" s="506" t="n"/>
      <c r="C962" s="141" t="n"/>
      <c r="D962" s="141" t="n"/>
      <c r="E962" s="141" t="n"/>
      <c r="F962" s="141" t="n"/>
      <c r="G962" s="143" t="n"/>
      <c r="H962" s="27" t="n"/>
    </row>
    <row r="963" ht="17.25" customHeight="1" s="322">
      <c r="A963" s="27" t="n"/>
      <c r="B963" s="506" t="n"/>
      <c r="C963" s="141" t="n"/>
      <c r="D963" s="141" t="n"/>
      <c r="E963" s="141" t="n"/>
      <c r="F963" s="141" t="n"/>
      <c r="G963" s="143" t="n"/>
      <c r="H963" s="27" t="n"/>
    </row>
    <row r="964" ht="17.25" customHeight="1" s="322">
      <c r="A964" s="27" t="n"/>
      <c r="B964" s="506" t="n"/>
      <c r="C964" s="141" t="n"/>
      <c r="D964" s="141" t="n"/>
      <c r="E964" s="141" t="n"/>
      <c r="F964" s="141" t="n"/>
      <c r="G964" s="143" t="n"/>
      <c r="H964" s="27" t="n"/>
    </row>
    <row r="965" ht="17.25" customHeight="1" s="322">
      <c r="A965" s="27" t="n"/>
      <c r="B965" s="506" t="n"/>
      <c r="C965" s="141" t="n"/>
      <c r="D965" s="141" t="n"/>
      <c r="E965" s="141" t="n"/>
      <c r="F965" s="141" t="n"/>
      <c r="G965" s="143" t="n"/>
      <c r="H965" s="27" t="n"/>
    </row>
    <row r="966" ht="17.25" customHeight="1" s="322">
      <c r="A966" s="27" t="n"/>
      <c r="B966" s="506" t="n"/>
      <c r="C966" s="141" t="n"/>
      <c r="D966" s="141" t="n"/>
      <c r="E966" s="141" t="n"/>
      <c r="F966" s="141" t="n"/>
      <c r="G966" s="143" t="n"/>
      <c r="H966" s="27" t="n"/>
    </row>
    <row r="967" ht="17.25" customHeight="1" s="322">
      <c r="A967" s="27" t="n"/>
      <c r="B967" s="506" t="n"/>
      <c r="C967" s="141" t="n"/>
      <c r="D967" s="141" t="n"/>
      <c r="E967" s="141" t="n"/>
      <c r="F967" s="141" t="n"/>
      <c r="G967" s="143" t="n"/>
      <c r="H967" s="27" t="n"/>
    </row>
    <row r="968" ht="17.25" customHeight="1" s="322">
      <c r="A968" s="27" t="n"/>
      <c r="B968" s="506" t="n"/>
      <c r="C968" s="141" t="n"/>
      <c r="D968" s="141" t="n"/>
      <c r="E968" s="141" t="n"/>
      <c r="F968" s="141" t="n"/>
      <c r="G968" s="143" t="n"/>
      <c r="H968" s="27" t="n"/>
    </row>
    <row r="969" ht="17.25" customHeight="1" s="322">
      <c r="A969" s="27" t="n"/>
      <c r="B969" s="506" t="n"/>
      <c r="C969" s="141" t="n"/>
      <c r="D969" s="141" t="n"/>
      <c r="E969" s="141" t="n"/>
      <c r="F969" s="141" t="n"/>
      <c r="G969" s="143" t="n"/>
      <c r="H969" s="27" t="n"/>
    </row>
    <row r="970" ht="17.25" customHeight="1" s="322">
      <c r="A970" s="27" t="n"/>
      <c r="B970" s="506" t="n"/>
      <c r="C970" s="141" t="n"/>
      <c r="D970" s="141" t="n"/>
      <c r="E970" s="141" t="n"/>
      <c r="F970" s="141" t="n"/>
      <c r="G970" s="143" t="n"/>
      <c r="H970" s="27" t="n"/>
    </row>
    <row r="971" ht="17.25" customHeight="1" s="322">
      <c r="A971" s="27" t="n"/>
      <c r="B971" s="506" t="n"/>
      <c r="C971" s="141" t="n"/>
      <c r="D971" s="141" t="n"/>
      <c r="E971" s="141" t="n"/>
      <c r="F971" s="141" t="n"/>
      <c r="G971" s="143" t="n"/>
      <c r="H971" s="27" t="n"/>
    </row>
    <row r="972" ht="17.25" customHeight="1" s="322">
      <c r="A972" s="27" t="n"/>
      <c r="B972" s="506" t="n"/>
      <c r="C972" s="141" t="n"/>
      <c r="D972" s="141" t="n"/>
      <c r="E972" s="141" t="n"/>
      <c r="F972" s="141" t="n"/>
      <c r="G972" s="143" t="n"/>
      <c r="H972" s="27" t="n"/>
    </row>
    <row r="973" ht="17.25" customHeight="1" s="322">
      <c r="A973" s="27" t="n"/>
      <c r="B973" s="506" t="n"/>
      <c r="C973" s="141" t="n"/>
      <c r="D973" s="141" t="n"/>
      <c r="E973" s="141" t="n"/>
      <c r="F973" s="141" t="n"/>
      <c r="G973" s="143" t="n"/>
      <c r="H973" s="27" t="n"/>
    </row>
    <row r="974" ht="17.25" customHeight="1" s="322">
      <c r="A974" s="27" t="n"/>
      <c r="B974" s="506" t="n"/>
      <c r="C974" s="141" t="n"/>
      <c r="D974" s="141" t="n"/>
      <c r="E974" s="141" t="n"/>
      <c r="F974" s="141" t="n"/>
      <c r="G974" s="143" t="n"/>
      <c r="H974" s="27" t="n"/>
    </row>
    <row r="975" ht="17.25" customHeight="1" s="322">
      <c r="A975" s="27" t="n"/>
      <c r="B975" s="506" t="n"/>
      <c r="C975" s="141" t="n"/>
      <c r="D975" s="141" t="n"/>
      <c r="E975" s="141" t="n"/>
      <c r="F975" s="141" t="n"/>
      <c r="G975" s="143" t="n"/>
      <c r="H975" s="27" t="n"/>
    </row>
    <row r="976" ht="17.25" customHeight="1" s="322">
      <c r="A976" s="27" t="n"/>
      <c r="B976" s="506" t="n"/>
      <c r="C976" s="141" t="n"/>
      <c r="D976" s="141" t="n"/>
      <c r="E976" s="141" t="n"/>
      <c r="F976" s="141" t="n"/>
      <c r="G976" s="143" t="n"/>
      <c r="H976" s="27" t="n"/>
    </row>
    <row r="977" ht="17.25" customHeight="1" s="322">
      <c r="A977" s="27" t="n"/>
      <c r="B977" s="506" t="n"/>
      <c r="C977" s="141" t="n"/>
      <c r="D977" s="141" t="n"/>
      <c r="E977" s="141" t="n"/>
      <c r="F977" s="141" t="n"/>
      <c r="G977" s="143" t="n"/>
      <c r="H977" s="27" t="n"/>
    </row>
    <row r="978" ht="17.25" customHeight="1" s="322">
      <c r="A978" s="27" t="n"/>
      <c r="B978" s="506" t="n"/>
      <c r="C978" s="141" t="n"/>
      <c r="D978" s="141" t="n"/>
      <c r="E978" s="141" t="n"/>
      <c r="F978" s="141" t="n"/>
      <c r="G978" s="143" t="n"/>
      <c r="H978" s="27" t="n"/>
    </row>
    <row r="979" ht="17.25" customHeight="1" s="322">
      <c r="A979" s="27" t="n"/>
      <c r="B979" s="506" t="n"/>
      <c r="C979" s="141" t="n"/>
      <c r="D979" s="141" t="n"/>
      <c r="E979" s="141" t="n"/>
      <c r="F979" s="141" t="n"/>
      <c r="G979" s="143" t="n"/>
      <c r="H979" s="27" t="n"/>
    </row>
    <row r="980" ht="17.25" customHeight="1" s="322">
      <c r="A980" s="27" t="n"/>
      <c r="B980" s="506" t="n"/>
      <c r="C980" s="141" t="n"/>
      <c r="D980" s="141" t="n"/>
      <c r="E980" s="141" t="n"/>
      <c r="F980" s="141" t="n"/>
      <c r="G980" s="143" t="n"/>
      <c r="H980" s="27" t="n"/>
    </row>
    <row r="981" ht="17.25" customHeight="1" s="322">
      <c r="A981" s="27" t="n"/>
      <c r="B981" s="506" t="n"/>
      <c r="C981" s="141" t="n"/>
      <c r="D981" s="141" t="n"/>
      <c r="E981" s="141" t="n"/>
      <c r="F981" s="141" t="n"/>
      <c r="G981" s="143" t="n"/>
      <c r="H981" s="27" t="n"/>
    </row>
    <row r="982" ht="17.25" customHeight="1" s="322">
      <c r="A982" s="27" t="n"/>
      <c r="B982" s="506" t="n"/>
      <c r="C982" s="141" t="n"/>
      <c r="D982" s="141" t="n"/>
      <c r="E982" s="141" t="n"/>
      <c r="F982" s="141" t="n"/>
      <c r="G982" s="143" t="n"/>
      <c r="H982" s="27" t="n"/>
    </row>
    <row r="983" ht="17.25" customHeight="1" s="322">
      <c r="A983" s="27" t="n"/>
      <c r="B983" s="506" t="n"/>
      <c r="C983" s="141" t="n"/>
      <c r="D983" s="141" t="n"/>
      <c r="E983" s="141" t="n"/>
      <c r="F983" s="141" t="n"/>
      <c r="G983" s="143" t="n"/>
      <c r="H983" s="27" t="n"/>
    </row>
    <row r="984" ht="17.25" customHeight="1" s="322">
      <c r="A984" s="27" t="n"/>
      <c r="B984" s="506" t="n"/>
      <c r="C984" s="141" t="n"/>
      <c r="D984" s="141" t="n"/>
      <c r="E984" s="141" t="n"/>
      <c r="F984" s="141" t="n"/>
      <c r="G984" s="143" t="n"/>
      <c r="H984" s="27" t="n"/>
    </row>
    <row r="985" ht="17.25" customHeight="1" s="322">
      <c r="A985" s="27" t="n"/>
      <c r="B985" s="506" t="n"/>
      <c r="C985" s="141" t="n"/>
      <c r="D985" s="141" t="n"/>
      <c r="E985" s="141" t="n"/>
      <c r="F985" s="141" t="n"/>
      <c r="G985" s="143" t="n"/>
      <c r="H985" s="27" t="n"/>
    </row>
    <row r="986" ht="17.25" customHeight="1" s="322">
      <c r="A986" s="27" t="n"/>
      <c r="B986" s="506" t="n"/>
      <c r="C986" s="141" t="n"/>
      <c r="D986" s="141" t="n"/>
      <c r="E986" s="141" t="n"/>
      <c r="F986" s="141" t="n"/>
      <c r="G986" s="143" t="n"/>
      <c r="H986" s="27" t="n"/>
    </row>
    <row r="987" ht="17.25" customHeight="1" s="322">
      <c r="A987" s="27" t="n"/>
      <c r="B987" s="506" t="n"/>
      <c r="C987" s="141" t="n"/>
      <c r="D987" s="141" t="n"/>
      <c r="E987" s="141" t="n"/>
      <c r="F987" s="141" t="n"/>
      <c r="G987" s="143" t="n"/>
      <c r="H987" s="27" t="n"/>
    </row>
    <row r="988" ht="17.25" customHeight="1" s="322">
      <c r="A988" s="27" t="n"/>
      <c r="B988" s="506" t="n"/>
      <c r="C988" s="141" t="n"/>
      <c r="D988" s="141" t="n"/>
      <c r="E988" s="141" t="n"/>
      <c r="F988" s="141" t="n"/>
      <c r="G988" s="143" t="n"/>
      <c r="H988" s="27" t="n"/>
    </row>
    <row r="989" ht="17.25" customHeight="1" s="322">
      <c r="A989" s="27" t="n"/>
      <c r="B989" s="506" t="n"/>
      <c r="C989" s="141" t="n"/>
      <c r="D989" s="141" t="n"/>
      <c r="E989" s="141" t="n"/>
      <c r="F989" s="141" t="n"/>
      <c r="G989" s="143" t="n"/>
      <c r="H989" s="27" t="n"/>
    </row>
    <row r="990" ht="17.25" customHeight="1" s="322">
      <c r="A990" s="27" t="n"/>
      <c r="B990" s="506" t="n"/>
      <c r="C990" s="141" t="n"/>
      <c r="D990" s="141" t="n"/>
      <c r="E990" s="141" t="n"/>
      <c r="F990" s="141" t="n"/>
      <c r="G990" s="143" t="n"/>
      <c r="H990" s="27" t="n"/>
    </row>
    <row r="991" ht="17.25" customHeight="1" s="322">
      <c r="A991" s="27" t="n"/>
      <c r="B991" s="506" t="n"/>
      <c r="C991" s="141" t="n"/>
      <c r="D991" s="141" t="n"/>
      <c r="E991" s="141" t="n"/>
      <c r="F991" s="141" t="n"/>
      <c r="G991" s="143" t="n"/>
      <c r="H991" s="27" t="n"/>
    </row>
    <row r="992" ht="17.25" customHeight="1" s="322">
      <c r="A992" s="27" t="n"/>
      <c r="B992" s="506" t="n"/>
      <c r="C992" s="141" t="n"/>
      <c r="D992" s="141" t="n"/>
      <c r="E992" s="141" t="n"/>
      <c r="F992" s="141" t="n"/>
      <c r="G992" s="143" t="n"/>
      <c r="H992" s="27" t="n"/>
    </row>
    <row r="993" ht="17.25" customHeight="1" s="322">
      <c r="A993" s="27" t="n"/>
      <c r="B993" s="506" t="n"/>
      <c r="C993" s="141" t="n"/>
      <c r="D993" s="141" t="n"/>
      <c r="E993" s="141" t="n"/>
      <c r="F993" s="141" t="n"/>
      <c r="G993" s="143" t="n"/>
      <c r="H993" s="27" t="n"/>
    </row>
    <row r="994" ht="17.25" customHeight="1" s="322">
      <c r="A994" s="27" t="n"/>
      <c r="B994" s="506" t="n"/>
      <c r="C994" s="141" t="n"/>
      <c r="D994" s="141" t="n"/>
      <c r="E994" s="141" t="n"/>
      <c r="F994" s="141" t="n"/>
      <c r="G994" s="143" t="n"/>
      <c r="H994" s="27" t="n"/>
    </row>
    <row r="995" ht="17.25" customHeight="1" s="322">
      <c r="A995" s="27" t="n"/>
      <c r="B995" s="506" t="n"/>
      <c r="C995" s="141" t="n"/>
      <c r="D995" s="141" t="n"/>
      <c r="E995" s="141" t="n"/>
      <c r="F995" s="141" t="n"/>
      <c r="G995" s="143" t="n"/>
      <c r="H995" s="27" t="n"/>
    </row>
    <row r="996" ht="17.25" customHeight="1" s="322">
      <c r="A996" s="27" t="n"/>
      <c r="B996" s="506" t="n"/>
      <c r="C996" s="141" t="n"/>
      <c r="D996" s="141" t="n"/>
      <c r="E996" s="141" t="n"/>
      <c r="F996" s="141" t="n"/>
      <c r="G996" s="143" t="n"/>
      <c r="H996" s="27" t="n"/>
    </row>
    <row r="997" ht="17.25" customHeight="1" s="322">
      <c r="A997" s="27" t="n"/>
      <c r="B997" s="506" t="n"/>
      <c r="C997" s="141" t="n"/>
      <c r="D997" s="141" t="n"/>
      <c r="E997" s="141" t="n"/>
      <c r="F997" s="141" t="n"/>
      <c r="G997" s="143" t="n"/>
      <c r="H997" s="27" t="n"/>
    </row>
    <row r="998" ht="17.25" customHeight="1" s="322">
      <c r="A998" s="27" t="n"/>
      <c r="B998" s="506" t="n"/>
      <c r="C998" s="141" t="n"/>
      <c r="D998" s="141" t="n"/>
      <c r="E998" s="141" t="n"/>
      <c r="F998" s="141" t="n"/>
      <c r="G998" s="143" t="n"/>
      <c r="H998" s="27" t="n"/>
    </row>
    <row r="999" ht="17.25" customHeight="1" s="322">
      <c r="A999" s="27" t="n"/>
      <c r="B999" s="506" t="n"/>
      <c r="C999" s="141" t="n"/>
      <c r="D999" s="141" t="n"/>
      <c r="E999" s="141" t="n"/>
      <c r="F999" s="141" t="n"/>
      <c r="G999" s="143" t="n"/>
      <c r="H999" s="27" t="n"/>
    </row>
    <row r="1000" ht="17.25" customHeight="1" s="322">
      <c r="A1000" s="27" t="n"/>
      <c r="B1000" s="506" t="n"/>
      <c r="C1000" s="141" t="n"/>
      <c r="D1000" s="141" t="n"/>
      <c r="E1000" s="141" t="n"/>
      <c r="F1000" s="141" t="n"/>
      <c r="G1000" s="143" t="n"/>
      <c r="H1000" s="27" t="n"/>
    </row>
  </sheetData>
  <mergeCells count="3">
    <mergeCell ref="B1:F2"/>
    <mergeCell ref="B7:G7"/>
    <mergeCell ref="B10:C10"/>
  </mergeCells>
  <conditionalFormatting sqref="D10:E10">
    <cfRule type="cellIs" priority="5" operator="lessThan" dxfId="5">
      <formula>0</formula>
    </cfRule>
    <cfRule type="cellIs" priority="6" operator="greaterThan" dxfId="4">
      <formula>0</formula>
    </cfRule>
  </conditionalFormatting>
  <conditionalFormatting sqref="F28:F1000">
    <cfRule type="expression" priority="1" dxfId="3">
      <formula>AND(F28=MAX(F$28:F$1000),F28&gt;0)</formula>
    </cfRule>
    <cfRule type="expression" priority="2" dxfId="2">
      <formula>AND(F28=MIN(F$28:F$1000),F28&gt;0)</formula>
    </cfRule>
  </conditionalFormatting>
  <conditionalFormatting sqref="F29:F1000">
    <cfRule type="expression" priority="3" dxfId="1">
      <formula>F29&gt;F27</formula>
    </cfRule>
    <cfRule type="expression" priority="4" dxfId="0">
      <formula>F29&lt;F27</formula>
    </cfRule>
  </conditionalFormatting>
  <conditionalFormatting sqref="G15">
    <cfRule type="colorScale" priority="7">
      <colorScale>
        <cfvo type="min"/>
        <cfvo type="max"/>
        <color rgb="FF57BB8A"/>
        <color rgb="FFFFFFFF"/>
      </colorScale>
    </cfRule>
  </conditionalFormatting>
  <dataValidations count="1">
    <dataValidation sqref="G15" showDropDown="0" showInputMessage="1" showErrorMessage="1" allowBlank="1" prompt="Click and enter a value from the list of items" type="list">
      <formula1>"1 Month,3 Months,6 Months,12 Months,36 Months"</formula1>
    </dataValidation>
  </dataValidations>
  <hyperlinks>
    <hyperlink xmlns:r="http://schemas.openxmlformats.org/officeDocument/2006/relationships" ref="B1" r:id="rId1"/>
    <hyperlink xmlns:r="http://schemas.openxmlformats.org/officeDocument/2006/relationships" ref="G2" r:id="rId2"/>
  </hyperlinks>
  <pageMargins left="0.7" right="0.7" top="0.75" bottom="0.75" header="0.3" footer="0.3"/>
  <drawing xmlns:r="http://schemas.openxmlformats.org/officeDocument/2006/relationships" r:id="rId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H1000"/>
  <sheetViews>
    <sheetView showGridLines="0" workbookViewId="0">
      <selection activeCell="A1" sqref="A1"/>
    </sheetView>
  </sheetViews>
  <sheetFormatPr baseColWidth="8" defaultColWidth="12.5703125" defaultRowHeight="15.75" customHeight="1"/>
  <cols>
    <col width="5.42578125" customWidth="1" style="322" min="1" max="1"/>
    <col width="15.7109375" customWidth="1" style="322" min="2" max="2"/>
    <col width="5.42578125" customWidth="1" style="322" min="8" max="8"/>
  </cols>
  <sheetData>
    <row r="1" ht="22.5" customHeight="1" s="322">
      <c r="A1" s="69" t="n"/>
      <c r="B1" s="455" t="inlineStr">
        <is>
          <t>← 관심종목으로 돌아가기</t>
        </is>
      </c>
      <c r="G1" s="72" t="inlineStr">
        <is>
          <t>제공:</t>
        </is>
      </c>
      <c r="H1" s="69" t="n"/>
    </row>
    <row r="2" ht="22.5" customHeight="1" s="322">
      <c r="A2" s="69" t="n"/>
      <c r="G2" s="77" t="inlineStr">
        <is>
          <t>Google Finance</t>
        </is>
      </c>
      <c r="H2" s="69" t="n"/>
    </row>
    <row r="3" ht="11.25" customHeight="1" s="322">
      <c r="A3" s="1" t="n"/>
      <c r="B3" s="1" t="n"/>
      <c r="C3" s="1" t="n"/>
      <c r="D3" s="1" t="n"/>
      <c r="E3" s="1" t="n"/>
      <c r="F3" s="1" t="n"/>
      <c r="G3" s="1" t="n"/>
      <c r="H3" s="1" t="n"/>
    </row>
    <row r="4" ht="15.75" customHeight="1" s="322">
      <c r="A4" s="1" t="n"/>
      <c r="B4" s="80" t="inlineStr">
        <is>
          <t>vnq</t>
        </is>
      </c>
      <c r="C4" s="81" t="inlineStr">
        <is>
          <t>&lt;&lt; 종목코드 입력</t>
        </is>
      </c>
      <c r="D4" s="1" t="n"/>
      <c r="E4" s="1" t="n"/>
      <c r="F4" s="1" t="n"/>
      <c r="G4" s="1" t="n"/>
      <c r="H4" s="1" t="n"/>
    </row>
    <row r="5" ht="15.75" customHeight="1" s="322">
      <c r="A5" s="1" t="n"/>
      <c r="B5" s="82" t="n"/>
      <c r="C5" s="81" t="inlineStr">
        <is>
          <t>&lt;&lt; 필요한 경우 거래소 입력(예: NASDAQ, NYSE)</t>
        </is>
      </c>
      <c r="D5" s="85" t="n"/>
      <c r="E5" s="1" t="n"/>
      <c r="F5" s="1" t="n"/>
      <c r="G5" s="1" t="n"/>
      <c r="H5" s="1" t="n"/>
    </row>
    <row r="6" ht="11.25" customHeight="1" s="322">
      <c r="A6" s="27" t="n"/>
      <c r="B6" s="27" t="n"/>
      <c r="C6" s="27" t="n"/>
      <c r="D6" s="27" t="n"/>
      <c r="E6" s="27" t="n"/>
      <c r="F6" s="27" t="n"/>
      <c r="G6" s="27" t="n"/>
      <c r="H6" s="27" t="n"/>
    </row>
    <row r="7" ht="20.25" customHeight="1" s="322">
      <c r="A7" s="12" t="n"/>
      <c r="B7" s="501">
        <f>IFERROR(__xludf.DUMMYFUNCTION("GOOGLEFINANCE(B18,""name"")"),"Vanguard Real Estate Index Fund ETF")</f>
        <v/>
      </c>
      <c r="H7" s="12" t="n"/>
    </row>
    <row r="8" ht="11.25" customHeight="1" s="322">
      <c r="A8" s="12" t="n"/>
      <c r="B8" s="12" t="n"/>
      <c r="C8" s="12" t="n"/>
      <c r="D8" s="12" t="n"/>
      <c r="E8" s="12" t="n"/>
      <c r="F8" s="12" t="n"/>
      <c r="G8" s="12" t="n"/>
      <c r="H8" s="12" t="n"/>
    </row>
    <row r="9" ht="12" customHeight="1" s="322">
      <c r="A9" s="1" t="n"/>
      <c r="B9" s="90" t="inlineStr">
        <is>
          <t>현재가</t>
        </is>
      </c>
      <c r="C9" s="1" t="n"/>
      <c r="D9" s="90" t="inlineStr">
        <is>
          <t>전일대비</t>
        </is>
      </c>
      <c r="E9" s="90" t="inlineStr">
        <is>
          <t>등락률(%)</t>
        </is>
      </c>
      <c r="F9" s="1" t="n"/>
      <c r="G9" s="1" t="n"/>
      <c r="H9" s="1" t="n"/>
    </row>
    <row r="10" ht="31.5" customHeight="1" s="322">
      <c r="A10" s="12" t="n"/>
      <c r="B10" s="502">
        <f>IFERROR(__xludf.DUMMYFUNCTION("GOOGLEFINANCE(B18,""price"")"),100.66)</f>
        <v/>
      </c>
      <c r="D10" s="503">
        <f>IFERROR(__xludf.DUMMYFUNCTION("IFERROR(GOOGLEFINANCE(B18,""change""),""-"")"),-0.29)</f>
        <v/>
      </c>
      <c r="E10" s="504">
        <f>IFERROR(__xludf.DUMMYFUNCTION("IFERROR(GOOGLEFINANCE(B18,""changepct"")/100,""-"")"),-0.0029)</f>
        <v/>
      </c>
      <c r="F10" s="12" t="n"/>
      <c r="G10" s="12" t="n"/>
      <c r="H10" s="12" t="n"/>
    </row>
    <row r="11" ht="11.25" customHeight="1" s="322">
      <c r="A11" s="12" t="n"/>
      <c r="B11" s="106" t="n"/>
      <c r="C11" s="106" t="n"/>
      <c r="D11" s="106" t="n"/>
      <c r="E11" s="106" t="n"/>
      <c r="F11" s="106" t="n"/>
      <c r="G11" s="106" t="n"/>
      <c r="H11" s="12" t="n"/>
    </row>
    <row r="12" ht="11.25" customHeight="1" s="322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 ht="12" customHeight="1" s="322">
      <c r="A13" s="1" t="n"/>
      <c r="B13" s="90" t="inlineStr">
        <is>
          <t>시가총액</t>
        </is>
      </c>
      <c r="C13" s="90" t="inlineStr">
        <is>
          <t>PER</t>
        </is>
      </c>
      <c r="D13" s="90" t="inlineStr">
        <is>
          <t>베타계수</t>
        </is>
      </c>
      <c r="E13" s="1" t="n"/>
      <c r="F13" s="1" t="n"/>
      <c r="G13" s="1" t="n"/>
      <c r="H13" s="1" t="n"/>
    </row>
    <row r="14">
      <c r="A14" s="113" t="n"/>
      <c r="B14" s="505">
        <f>IFERROR(__xludf.DUMMYFUNCTION("IFERROR(GOOGLEFINANCE(B18,""marketcap""),""-"")"),"-")</f>
        <v/>
      </c>
      <c r="C14" s="115">
        <f>IFERROR(__xludf.DUMMYFUNCTION("IFERROR(GOOGLEFINANCE(B18,""pe""),""-"")"),"-")</f>
        <v/>
      </c>
      <c r="D14" s="115">
        <f>IFERROR(__xludf.DUMMYFUNCTION("IFERROR(GOOGLEFINANCE(B18,""beta""),""-"")"),"-")</f>
        <v/>
      </c>
      <c r="E14" s="113" t="n"/>
      <c r="F14" s="113" t="n"/>
      <c r="G14" s="113" t="n"/>
      <c r="H14" s="113" t="n"/>
    </row>
    <row r="15" ht="15.75" customHeight="1" s="322">
      <c r="A15" s="12" t="n"/>
      <c r="B15" s="12" t="n"/>
      <c r="C15" s="12" t="n"/>
      <c r="D15" s="12" t="n"/>
      <c r="E15" s="12" t="n"/>
      <c r="F15" s="12" t="n"/>
      <c r="G15" s="123" t="inlineStr">
        <is>
          <t>12 Months</t>
        </is>
      </c>
      <c r="H15" s="12" t="n"/>
    </row>
    <row r="16" ht="15.75" customHeight="1" s="322">
      <c r="A16" s="12" t="n"/>
      <c r="B16" s="12" t="n"/>
      <c r="C16" s="12" t="n"/>
      <c r="D16" s="12" t="n"/>
      <c r="E16" s="12" t="n"/>
      <c r="F16" s="12" t="n"/>
      <c r="G16" s="12" t="n"/>
      <c r="H16" s="12" t="n"/>
    </row>
    <row r="17" ht="15.75" customHeight="1" s="322">
      <c r="A17" s="12" t="n"/>
      <c r="B17" s="12" t="n"/>
      <c r="C17" s="12" t="n"/>
      <c r="D17" s="12" t="n"/>
      <c r="E17" s="12" t="n"/>
      <c r="F17" s="12" t="n"/>
      <c r="G17" s="12" t="n"/>
      <c r="H17" s="12" t="n"/>
    </row>
    <row r="18" ht="15.75" customHeight="1" s="322">
      <c r="A18" s="12" t="n"/>
      <c r="B18" s="127">
        <f>IF(ISBLANK(B5),"",B5&amp;":")&amp;B4</f>
        <v/>
      </c>
      <c r="C18" s="12" t="n"/>
      <c r="D18" s="12" t="n"/>
      <c r="E18" s="12" t="n"/>
      <c r="F18" s="12" t="n"/>
      <c r="G18" s="12" t="n"/>
      <c r="H18" s="12" t="n"/>
    </row>
    <row r="19" ht="15.75" customHeight="1" s="322">
      <c r="A19" s="12" t="n"/>
      <c r="B19" s="12" t="n"/>
      <c r="C19" s="12" t="n"/>
      <c r="D19" s="12" t="n"/>
      <c r="E19" s="12" t="n"/>
      <c r="F19" s="12" t="n"/>
      <c r="G19" s="12" t="n"/>
      <c r="H19" s="12" t="n"/>
    </row>
    <row r="20" ht="15.75" customHeight="1" s="322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1" ht="15.75" customHeight="1" s="322">
      <c r="A21" s="12" t="n"/>
      <c r="B21" s="12" t="n"/>
      <c r="C21" s="12" t="n"/>
      <c r="D21" s="12" t="n"/>
      <c r="E21" s="12" t="n"/>
      <c r="F21" s="12" t="n"/>
      <c r="G21" s="12" t="n"/>
      <c r="H21" s="12" t="n"/>
    </row>
    <row r="22" ht="15.75" customHeight="1" s="322">
      <c r="A22" s="12" t="n"/>
      <c r="B22" s="12" t="n"/>
      <c r="C22" s="12" t="n"/>
      <c r="D22" s="12" t="n"/>
      <c r="E22" s="12" t="n"/>
      <c r="F22" s="12" t="n"/>
      <c r="G22" s="12" t="n"/>
      <c r="H22" s="12" t="n"/>
    </row>
    <row r="23" ht="15.75" customHeight="1" s="322">
      <c r="A23" s="12" t="n"/>
      <c r="B23" s="12" t="n"/>
      <c r="C23" s="12" t="n"/>
      <c r="D23" s="12" t="n"/>
      <c r="E23" s="12" t="n"/>
      <c r="F23" s="12" t="n"/>
      <c r="G23" s="12" t="n"/>
      <c r="H23" s="12" t="n"/>
    </row>
    <row r="24" ht="15.75" customHeight="1" s="322">
      <c r="A24" s="12" t="n"/>
      <c r="B24" s="12" t="n"/>
      <c r="C24" s="12" t="n"/>
      <c r="D24" s="12" t="n"/>
      <c r="E24" s="12" t="n"/>
      <c r="F24" s="12" t="n"/>
      <c r="G24" s="12" t="n"/>
      <c r="H24" s="12" t="n"/>
    </row>
    <row r="25" ht="15.75" customHeight="1" s="322">
      <c r="A25" s="12" t="n"/>
      <c r="B25" s="12" t="n"/>
      <c r="C25" s="12" t="n"/>
      <c r="D25" s="12" t="n"/>
      <c r="E25" s="12" t="n"/>
      <c r="F25" s="12" t="n"/>
      <c r="G25" s="12" t="n"/>
      <c r="H25" s="12" t="n"/>
    </row>
    <row r="26" ht="15.75" customHeight="1" s="322">
      <c r="A26" s="12" t="n"/>
      <c r="B26" s="12" t="n"/>
      <c r="C26" s="12" t="n"/>
      <c r="D26" s="12" t="n"/>
      <c r="E26" s="12" t="n"/>
      <c r="F26" s="12" t="n"/>
      <c r="G26" s="12" t="n"/>
      <c r="H26" s="12" t="n"/>
    </row>
    <row r="27" ht="15.75" customHeight="1" s="322">
      <c r="A27" s="133" t="n"/>
      <c r="B27" s="136">
        <f>IFERROR(__xludf.DUMMYFUNCTION("GOOGLEFINANCE(B18, ""all"", EDATE(TODAY(), -LEFT(G15, FIND("" "", G15))), TODAY(), ""DAILY"")"),"Date")</f>
        <v/>
      </c>
      <c r="C27" s="137">
        <f>IFERROR(__xludf.DUMMYFUNCTION("""COMPUTED_VALUE"""),"Open")</f>
        <v/>
      </c>
      <c r="D27" s="137">
        <f>IFERROR(__xludf.DUMMYFUNCTION("""COMPUTED_VALUE"""),"High")</f>
        <v/>
      </c>
      <c r="E27" s="137">
        <f>IFERROR(__xludf.DUMMYFUNCTION("""COMPUTED_VALUE"""),"Low")</f>
        <v/>
      </c>
      <c r="F27" s="137">
        <f>IFERROR(__xludf.DUMMYFUNCTION("""COMPUTED_VALUE"""),"Close")</f>
        <v/>
      </c>
      <c r="G27" s="137">
        <f>IFERROR(__xludf.DUMMYFUNCTION("""COMPUTED_VALUE"""),"Volume")</f>
        <v/>
      </c>
      <c r="H27" s="133" t="n"/>
    </row>
    <row r="28" ht="17.25" customHeight="1" s="322">
      <c r="A28" s="27" t="n"/>
      <c r="B28" s="506">
        <f>IFERROR(__xludf.DUMMYFUNCTION("""COMPUTED_VALUE"""),45868.6666666666)</f>
        <v/>
      </c>
      <c r="C28" s="141">
        <f>IFERROR(__xludf.DUMMYFUNCTION("""COMPUTED_VALUE"""),91.67)</f>
        <v/>
      </c>
      <c r="D28" s="141">
        <f>IFERROR(__xludf.DUMMYFUNCTION("""COMPUTED_VALUE"""),91.83)</f>
        <v/>
      </c>
      <c r="E28" s="141">
        <f>IFERROR(__xludf.DUMMYFUNCTION("""COMPUTED_VALUE"""),89.83)</f>
        <v/>
      </c>
      <c r="F28" s="141">
        <f>IFERROR(__xludf.DUMMYFUNCTION("""COMPUTED_VALUE"""),90.41)</f>
        <v/>
      </c>
      <c r="G28" s="143">
        <f>IFERROR(__xludf.DUMMYFUNCTION("""COMPUTED_VALUE"""),4408198)</f>
        <v/>
      </c>
      <c r="H28" s="27" t="n"/>
    </row>
    <row r="29" ht="17.25" customHeight="1" s="322">
      <c r="A29" s="27" t="n"/>
      <c r="B29" s="506">
        <f>IFERROR(__xludf.DUMMYFUNCTION("""COMPUTED_VALUE"""),45869.6666666666)</f>
        <v/>
      </c>
      <c r="C29" s="141">
        <f>IFERROR(__xludf.DUMMYFUNCTION("""COMPUTED_VALUE"""),89.9)</f>
        <v/>
      </c>
      <c r="D29" s="141">
        <f>IFERROR(__xludf.DUMMYFUNCTION("""COMPUTED_VALUE"""),90.36)</f>
        <v/>
      </c>
      <c r="E29" s="141">
        <f>IFERROR(__xludf.DUMMYFUNCTION("""COMPUTED_VALUE"""),89.02)</f>
        <v/>
      </c>
      <c r="F29" s="141">
        <f>IFERROR(__xludf.DUMMYFUNCTION("""COMPUTED_VALUE"""),89.14)</f>
        <v/>
      </c>
      <c r="G29" s="143">
        <f>IFERROR(__xludf.DUMMYFUNCTION("""COMPUTED_VALUE"""),4823608)</f>
        <v/>
      </c>
      <c r="H29" s="27" t="n"/>
    </row>
    <row r="30" ht="17.25" customHeight="1" s="322">
      <c r="A30" s="27" t="n"/>
      <c r="B30" s="506">
        <f>IFERROR(__xludf.DUMMYFUNCTION("""COMPUTED_VALUE"""),45870.6666666666)</f>
        <v/>
      </c>
      <c r="C30" s="141">
        <f>IFERROR(__xludf.DUMMYFUNCTION("""COMPUTED_VALUE"""),90.03)</f>
        <v/>
      </c>
      <c r="D30" s="141">
        <f>IFERROR(__xludf.DUMMYFUNCTION("""COMPUTED_VALUE"""),90.1)</f>
        <v/>
      </c>
      <c r="E30" s="141">
        <f>IFERROR(__xludf.DUMMYFUNCTION("""COMPUTED_VALUE"""),88.29)</f>
        <v/>
      </c>
      <c r="F30" s="141">
        <f>IFERROR(__xludf.DUMMYFUNCTION("""COMPUTED_VALUE"""),88.92)</f>
        <v/>
      </c>
      <c r="G30" s="143">
        <f>IFERROR(__xludf.DUMMYFUNCTION("""COMPUTED_VALUE"""),5395749)</f>
        <v/>
      </c>
      <c r="H30" s="27" t="n"/>
    </row>
    <row r="31" ht="17.25" customHeight="1" s="322">
      <c r="A31" s="27" t="n"/>
      <c r="B31" s="506">
        <f>IFERROR(__xludf.DUMMYFUNCTION("""COMPUTED_VALUE"""),45873.6666666666)</f>
        <v/>
      </c>
      <c r="C31" s="141">
        <f>IFERROR(__xludf.DUMMYFUNCTION("""COMPUTED_VALUE"""),89.11)</f>
        <v/>
      </c>
      <c r="D31" s="141">
        <f>IFERROR(__xludf.DUMMYFUNCTION("""COMPUTED_VALUE"""),90.06)</f>
        <v/>
      </c>
      <c r="E31" s="141">
        <f>IFERROR(__xludf.DUMMYFUNCTION("""COMPUTED_VALUE"""),89.08)</f>
        <v/>
      </c>
      <c r="F31" s="141">
        <f>IFERROR(__xludf.DUMMYFUNCTION("""COMPUTED_VALUE"""),89.83)</f>
        <v/>
      </c>
      <c r="G31" s="143">
        <f>IFERROR(__xludf.DUMMYFUNCTION("""COMPUTED_VALUE"""),3385713)</f>
        <v/>
      </c>
      <c r="H31" s="27" t="n"/>
    </row>
    <row r="32" ht="17.25" customHeight="1" s="322">
      <c r="A32" s="27" t="n"/>
      <c r="B32" s="506">
        <f>IFERROR(__xludf.DUMMYFUNCTION("""COMPUTED_VALUE"""),45874.6666666666)</f>
        <v/>
      </c>
      <c r="C32" s="141">
        <f>IFERROR(__xludf.DUMMYFUNCTION("""COMPUTED_VALUE"""),89.9)</f>
        <v/>
      </c>
      <c r="D32" s="141">
        <f>IFERROR(__xludf.DUMMYFUNCTION("""COMPUTED_VALUE"""),90.34)</f>
        <v/>
      </c>
      <c r="E32" s="141">
        <f>IFERROR(__xludf.DUMMYFUNCTION("""COMPUTED_VALUE"""),89.51)</f>
        <v/>
      </c>
      <c r="F32" s="141">
        <f>IFERROR(__xludf.DUMMYFUNCTION("""COMPUTED_VALUE"""),90.24)</f>
        <v/>
      </c>
      <c r="G32" s="143">
        <f>IFERROR(__xludf.DUMMYFUNCTION("""COMPUTED_VALUE"""),3752663)</f>
        <v/>
      </c>
      <c r="H32" s="27" t="n"/>
    </row>
    <row r="33" ht="17.25" customHeight="1" s="322">
      <c r="A33" s="27" t="n"/>
      <c r="B33" s="506">
        <f>IFERROR(__xludf.DUMMYFUNCTION("""COMPUTED_VALUE"""),45875.6666666666)</f>
        <v/>
      </c>
      <c r="C33" s="141">
        <f>IFERROR(__xludf.DUMMYFUNCTION("""COMPUTED_VALUE"""),90.3)</f>
        <v/>
      </c>
      <c r="D33" s="141">
        <f>IFERROR(__xludf.DUMMYFUNCTION("""COMPUTED_VALUE"""),90.39)</f>
        <v/>
      </c>
      <c r="E33" s="141">
        <f>IFERROR(__xludf.DUMMYFUNCTION("""COMPUTED_VALUE"""),89.5)</f>
        <v/>
      </c>
      <c r="F33" s="141">
        <f>IFERROR(__xludf.DUMMYFUNCTION("""COMPUTED_VALUE"""),89.54)</f>
        <v/>
      </c>
      <c r="G33" s="143">
        <f>IFERROR(__xludf.DUMMYFUNCTION("""COMPUTED_VALUE"""),3604809)</f>
        <v/>
      </c>
      <c r="H33" s="27" t="n"/>
    </row>
    <row r="34" ht="17.25" customHeight="1" s="322">
      <c r="A34" s="27" t="n"/>
      <c r="B34" s="506">
        <f>IFERROR(__xludf.DUMMYFUNCTION("""COMPUTED_VALUE"""),45876.6666666666)</f>
        <v/>
      </c>
      <c r="C34" s="141">
        <f>IFERROR(__xludf.DUMMYFUNCTION("""COMPUTED_VALUE"""),90)</f>
        <v/>
      </c>
      <c r="D34" s="141">
        <f>IFERROR(__xludf.DUMMYFUNCTION("""COMPUTED_VALUE"""),90)</f>
        <v/>
      </c>
      <c r="E34" s="141">
        <f>IFERROR(__xludf.DUMMYFUNCTION("""COMPUTED_VALUE"""),89.24)</f>
        <v/>
      </c>
      <c r="F34" s="141">
        <f>IFERROR(__xludf.DUMMYFUNCTION("""COMPUTED_VALUE"""),89.8)</f>
        <v/>
      </c>
      <c r="G34" s="143">
        <f>IFERROR(__xludf.DUMMYFUNCTION("""COMPUTED_VALUE"""),3345583)</f>
        <v/>
      </c>
      <c r="H34" s="27" t="n"/>
    </row>
    <row r="35" ht="17.25" customHeight="1" s="322">
      <c r="A35" s="27" t="n"/>
      <c r="B35" s="506">
        <f>IFERROR(__xludf.DUMMYFUNCTION("""COMPUTED_VALUE"""),45877.6666666666)</f>
        <v/>
      </c>
      <c r="C35" s="141">
        <f>IFERROR(__xludf.DUMMYFUNCTION("""COMPUTED_VALUE"""),89.94)</f>
        <v/>
      </c>
      <c r="D35" s="141">
        <f>IFERROR(__xludf.DUMMYFUNCTION("""COMPUTED_VALUE"""),89.99)</f>
        <v/>
      </c>
      <c r="E35" s="141">
        <f>IFERROR(__xludf.DUMMYFUNCTION("""COMPUTED_VALUE"""),88.86)</f>
        <v/>
      </c>
      <c r="F35" s="141">
        <f>IFERROR(__xludf.DUMMYFUNCTION("""COMPUTED_VALUE"""),89.06)</f>
        <v/>
      </c>
      <c r="G35" s="143">
        <f>IFERROR(__xludf.DUMMYFUNCTION("""COMPUTED_VALUE"""),3228809)</f>
        <v/>
      </c>
      <c r="H35" s="27" t="n"/>
    </row>
    <row r="36" ht="17.25" customHeight="1" s="322">
      <c r="A36" s="27" t="n"/>
      <c r="B36" s="506">
        <f>IFERROR(__xludf.DUMMYFUNCTION("""COMPUTED_VALUE"""),45880.6666666666)</f>
        <v/>
      </c>
      <c r="C36" s="141">
        <f>IFERROR(__xludf.DUMMYFUNCTION("""COMPUTED_VALUE"""),88.71)</f>
        <v/>
      </c>
      <c r="D36" s="141">
        <f>IFERROR(__xludf.DUMMYFUNCTION("""COMPUTED_VALUE"""),89.15)</f>
        <v/>
      </c>
      <c r="E36" s="141">
        <f>IFERROR(__xludf.DUMMYFUNCTION("""COMPUTED_VALUE"""),88.44)</f>
        <v/>
      </c>
      <c r="F36" s="141">
        <f>IFERROR(__xludf.DUMMYFUNCTION("""COMPUTED_VALUE"""),88.47)</f>
        <v/>
      </c>
      <c r="G36" s="143">
        <f>IFERROR(__xludf.DUMMYFUNCTION("""COMPUTED_VALUE"""),2623521)</f>
        <v/>
      </c>
      <c r="H36" s="27" t="n"/>
    </row>
    <row r="37" ht="17.25" customHeight="1" s="322">
      <c r="A37" s="27" t="n"/>
      <c r="B37" s="506">
        <f>IFERROR(__xludf.DUMMYFUNCTION("""COMPUTED_VALUE"""),45881.6666666666)</f>
        <v/>
      </c>
      <c r="C37" s="141">
        <f>IFERROR(__xludf.DUMMYFUNCTION("""COMPUTED_VALUE"""),88.74)</f>
        <v/>
      </c>
      <c r="D37" s="141">
        <f>IFERROR(__xludf.DUMMYFUNCTION("""COMPUTED_VALUE"""),88.99)</f>
        <v/>
      </c>
      <c r="E37" s="141">
        <f>IFERROR(__xludf.DUMMYFUNCTION("""COMPUTED_VALUE"""),88.08)</f>
        <v/>
      </c>
      <c r="F37" s="141">
        <f>IFERROR(__xludf.DUMMYFUNCTION("""COMPUTED_VALUE"""),88.97)</f>
        <v/>
      </c>
      <c r="G37" s="143">
        <f>IFERROR(__xludf.DUMMYFUNCTION("""COMPUTED_VALUE"""),3240967)</f>
        <v/>
      </c>
      <c r="H37" s="27" t="n"/>
    </row>
    <row r="38" ht="17.25" customHeight="1" s="322">
      <c r="A38" s="27" t="n"/>
      <c r="B38" s="506">
        <f>IFERROR(__xludf.DUMMYFUNCTION("""COMPUTED_VALUE"""),45882.6666666666)</f>
        <v/>
      </c>
      <c r="C38" s="141">
        <f>IFERROR(__xludf.DUMMYFUNCTION("""COMPUTED_VALUE"""),89.16)</f>
        <v/>
      </c>
      <c r="D38" s="141">
        <f>IFERROR(__xludf.DUMMYFUNCTION("""COMPUTED_VALUE"""),89.94)</f>
        <v/>
      </c>
      <c r="E38" s="141">
        <f>IFERROR(__xludf.DUMMYFUNCTION("""COMPUTED_VALUE"""),88.82)</f>
        <v/>
      </c>
      <c r="F38" s="141">
        <f>IFERROR(__xludf.DUMMYFUNCTION("""COMPUTED_VALUE"""),89.8)</f>
        <v/>
      </c>
      <c r="G38" s="143">
        <f>IFERROR(__xludf.DUMMYFUNCTION("""COMPUTED_VALUE"""),3577271)</f>
        <v/>
      </c>
      <c r="H38" s="27" t="n"/>
    </row>
    <row r="39" ht="17.25" customHeight="1" s="322">
      <c r="A39" s="27" t="n"/>
      <c r="B39" s="506">
        <f>IFERROR(__xludf.DUMMYFUNCTION("""COMPUTED_VALUE"""),45883.6666666666)</f>
        <v/>
      </c>
      <c r="C39" s="141">
        <f>IFERROR(__xludf.DUMMYFUNCTION("""COMPUTED_VALUE"""),89.23)</f>
        <v/>
      </c>
      <c r="D39" s="141">
        <f>IFERROR(__xludf.DUMMYFUNCTION("""COMPUTED_VALUE"""),89.38)</f>
        <v/>
      </c>
      <c r="E39" s="141">
        <f>IFERROR(__xludf.DUMMYFUNCTION("""COMPUTED_VALUE"""),88.59)</f>
        <v/>
      </c>
      <c r="F39" s="141">
        <f>IFERROR(__xludf.DUMMYFUNCTION("""COMPUTED_VALUE"""),89.16)</f>
        <v/>
      </c>
      <c r="G39" s="143">
        <f>IFERROR(__xludf.DUMMYFUNCTION("""COMPUTED_VALUE"""),3524506)</f>
        <v/>
      </c>
      <c r="H39" s="27" t="n"/>
    </row>
    <row r="40" ht="17.25" customHeight="1" s="322">
      <c r="A40" s="27" t="n"/>
      <c r="B40" s="506">
        <f>IFERROR(__xludf.DUMMYFUNCTION("""COMPUTED_VALUE"""),45884.6666666666)</f>
        <v/>
      </c>
      <c r="C40" s="141">
        <f>IFERROR(__xludf.DUMMYFUNCTION("""COMPUTED_VALUE"""),89.17)</f>
        <v/>
      </c>
      <c r="D40" s="141">
        <f>IFERROR(__xludf.DUMMYFUNCTION("""COMPUTED_VALUE"""),89.92)</f>
        <v/>
      </c>
      <c r="E40" s="141">
        <f>IFERROR(__xludf.DUMMYFUNCTION("""COMPUTED_VALUE"""),89.09)</f>
        <v/>
      </c>
      <c r="F40" s="141">
        <f>IFERROR(__xludf.DUMMYFUNCTION("""COMPUTED_VALUE"""),89.67)</f>
        <v/>
      </c>
      <c r="G40" s="143">
        <f>IFERROR(__xludf.DUMMYFUNCTION("""COMPUTED_VALUE"""),2399452)</f>
        <v/>
      </c>
      <c r="H40" s="27" t="n"/>
    </row>
    <row r="41" ht="17.25" customHeight="1" s="322">
      <c r="A41" s="27" t="n"/>
      <c r="B41" s="506">
        <f>IFERROR(__xludf.DUMMYFUNCTION("""COMPUTED_VALUE"""),45887.6666666666)</f>
        <v/>
      </c>
      <c r="C41" s="141">
        <f>IFERROR(__xludf.DUMMYFUNCTION("""COMPUTED_VALUE"""),89.68)</f>
        <v/>
      </c>
      <c r="D41" s="141">
        <f>IFERROR(__xludf.DUMMYFUNCTION("""COMPUTED_VALUE"""),89.82)</f>
        <v/>
      </c>
      <c r="E41" s="141">
        <f>IFERROR(__xludf.DUMMYFUNCTION("""COMPUTED_VALUE"""),88.88)</f>
        <v/>
      </c>
      <c r="F41" s="141">
        <f>IFERROR(__xludf.DUMMYFUNCTION("""COMPUTED_VALUE"""),88.91)</f>
        <v/>
      </c>
      <c r="G41" s="143">
        <f>IFERROR(__xludf.DUMMYFUNCTION("""COMPUTED_VALUE"""),2562582)</f>
        <v/>
      </c>
      <c r="H41" s="27" t="n"/>
    </row>
    <row r="42" ht="17.25" customHeight="1" s="322">
      <c r="A42" s="27" t="n"/>
      <c r="B42" s="506">
        <f>IFERROR(__xludf.DUMMYFUNCTION("""COMPUTED_VALUE"""),45888.6666666666)</f>
        <v/>
      </c>
      <c r="C42" s="141">
        <f>IFERROR(__xludf.DUMMYFUNCTION("""COMPUTED_VALUE"""),89.38)</f>
        <v/>
      </c>
      <c r="D42" s="141">
        <f>IFERROR(__xludf.DUMMYFUNCTION("""COMPUTED_VALUE"""),90.48)</f>
        <v/>
      </c>
      <c r="E42" s="141">
        <f>IFERROR(__xludf.DUMMYFUNCTION("""COMPUTED_VALUE"""),89.29)</f>
        <v/>
      </c>
      <c r="F42" s="141">
        <f>IFERROR(__xludf.DUMMYFUNCTION("""COMPUTED_VALUE"""),90.44)</f>
        <v/>
      </c>
      <c r="G42" s="143">
        <f>IFERROR(__xludf.DUMMYFUNCTION("""COMPUTED_VALUE"""),4168362)</f>
        <v/>
      </c>
      <c r="H42" s="27" t="n"/>
    </row>
    <row r="43" ht="17.25" customHeight="1" s="322">
      <c r="A43" s="27" t="n"/>
      <c r="B43" s="506">
        <f>IFERROR(__xludf.DUMMYFUNCTION("""COMPUTED_VALUE"""),45889.6666666666)</f>
        <v/>
      </c>
      <c r="C43" s="141">
        <f>IFERROR(__xludf.DUMMYFUNCTION("""COMPUTED_VALUE"""),90.66)</f>
        <v/>
      </c>
      <c r="D43" s="141">
        <f>IFERROR(__xludf.DUMMYFUNCTION("""COMPUTED_VALUE"""),91.43)</f>
        <v/>
      </c>
      <c r="E43" s="141">
        <f>IFERROR(__xludf.DUMMYFUNCTION("""COMPUTED_VALUE"""),90.44)</f>
        <v/>
      </c>
      <c r="F43" s="141">
        <f>IFERROR(__xludf.DUMMYFUNCTION("""COMPUTED_VALUE"""),90.7)</f>
        <v/>
      </c>
      <c r="G43" s="143">
        <f>IFERROR(__xludf.DUMMYFUNCTION("""COMPUTED_VALUE"""),2931894)</f>
        <v/>
      </c>
      <c r="H43" s="27" t="n"/>
    </row>
    <row r="44" ht="17.25" customHeight="1" s="322">
      <c r="A44" s="27" t="n"/>
      <c r="B44" s="506">
        <f>IFERROR(__xludf.DUMMYFUNCTION("""COMPUTED_VALUE"""),45890.6666666666)</f>
        <v/>
      </c>
      <c r="C44" s="141">
        <f>IFERROR(__xludf.DUMMYFUNCTION("""COMPUTED_VALUE"""),90.26)</f>
        <v/>
      </c>
      <c r="D44" s="141">
        <f>IFERROR(__xludf.DUMMYFUNCTION("""COMPUTED_VALUE"""),90.76)</f>
        <v/>
      </c>
      <c r="E44" s="141">
        <f>IFERROR(__xludf.DUMMYFUNCTION("""COMPUTED_VALUE"""),90.06)</f>
        <v/>
      </c>
      <c r="F44" s="141">
        <f>IFERROR(__xludf.DUMMYFUNCTION("""COMPUTED_VALUE"""),90.43)</f>
        <v/>
      </c>
      <c r="G44" s="143">
        <f>IFERROR(__xludf.DUMMYFUNCTION("""COMPUTED_VALUE"""),2630017)</f>
        <v/>
      </c>
      <c r="H44" s="27" t="n"/>
    </row>
    <row r="45" ht="17.25" customHeight="1" s="322">
      <c r="A45" s="27" t="n"/>
      <c r="B45" s="506">
        <f>IFERROR(__xludf.DUMMYFUNCTION("""COMPUTED_VALUE"""),45891.6666666666)</f>
        <v/>
      </c>
      <c r="C45" s="141">
        <f>IFERROR(__xludf.DUMMYFUNCTION("""COMPUTED_VALUE"""),91.06)</f>
        <v/>
      </c>
      <c r="D45" s="141">
        <f>IFERROR(__xludf.DUMMYFUNCTION("""COMPUTED_VALUE"""),92.62)</f>
        <v/>
      </c>
      <c r="E45" s="141">
        <f>IFERROR(__xludf.DUMMYFUNCTION("""COMPUTED_VALUE"""),90.9)</f>
        <v/>
      </c>
      <c r="F45" s="141">
        <f>IFERROR(__xludf.DUMMYFUNCTION("""COMPUTED_VALUE"""),92.18)</f>
        <v/>
      </c>
      <c r="G45" s="143">
        <f>IFERROR(__xludf.DUMMYFUNCTION("""COMPUTED_VALUE"""),3318891)</f>
        <v/>
      </c>
      <c r="H45" s="27" t="n"/>
    </row>
    <row r="46" ht="17.25" customHeight="1" s="322">
      <c r="A46" s="27" t="n"/>
      <c r="B46" s="506">
        <f>IFERROR(__xludf.DUMMYFUNCTION("""COMPUTED_VALUE"""),45894.6666666666)</f>
        <v/>
      </c>
      <c r="C46" s="141">
        <f>IFERROR(__xludf.DUMMYFUNCTION("""COMPUTED_VALUE"""),92.01)</f>
        <v/>
      </c>
      <c r="D46" s="141">
        <f>IFERROR(__xludf.DUMMYFUNCTION("""COMPUTED_VALUE"""),92.34)</f>
        <v/>
      </c>
      <c r="E46" s="141">
        <f>IFERROR(__xludf.DUMMYFUNCTION("""COMPUTED_VALUE"""),91.59)</f>
        <v/>
      </c>
      <c r="F46" s="141">
        <f>IFERROR(__xludf.DUMMYFUNCTION("""COMPUTED_VALUE"""),91.65)</f>
        <v/>
      </c>
      <c r="G46" s="143">
        <f>IFERROR(__xludf.DUMMYFUNCTION("""COMPUTED_VALUE"""),2968817)</f>
        <v/>
      </c>
      <c r="H46" s="27" t="n"/>
    </row>
    <row r="47" ht="17.25" customHeight="1" s="322">
      <c r="A47" s="27" t="n"/>
      <c r="B47" s="506">
        <f>IFERROR(__xludf.DUMMYFUNCTION("""COMPUTED_VALUE"""),45895.6666666666)</f>
        <v/>
      </c>
      <c r="C47" s="141">
        <f>IFERROR(__xludf.DUMMYFUNCTION("""COMPUTED_VALUE"""),91.62)</f>
        <v/>
      </c>
      <c r="D47" s="141">
        <f>IFERROR(__xludf.DUMMYFUNCTION("""COMPUTED_VALUE"""),91.91)</f>
        <v/>
      </c>
      <c r="E47" s="141">
        <f>IFERROR(__xludf.DUMMYFUNCTION("""COMPUTED_VALUE"""),91.23)</f>
        <v/>
      </c>
      <c r="F47" s="141">
        <f>IFERROR(__xludf.DUMMYFUNCTION("""COMPUTED_VALUE"""),91.41)</f>
        <v/>
      </c>
      <c r="G47" s="143">
        <f>IFERROR(__xludf.DUMMYFUNCTION("""COMPUTED_VALUE"""),2739801)</f>
        <v/>
      </c>
      <c r="H47" s="27" t="n"/>
    </row>
    <row r="48" ht="17.25" customHeight="1" s="322">
      <c r="A48" s="27" t="n"/>
      <c r="B48" s="506">
        <f>IFERROR(__xludf.DUMMYFUNCTION("""COMPUTED_VALUE"""),45896.6666666666)</f>
        <v/>
      </c>
      <c r="C48" s="141">
        <f>IFERROR(__xludf.DUMMYFUNCTION("""COMPUTED_VALUE"""),91.65)</f>
        <v/>
      </c>
      <c r="D48" s="141">
        <f>IFERROR(__xludf.DUMMYFUNCTION("""COMPUTED_VALUE"""),92.23)</f>
        <v/>
      </c>
      <c r="E48" s="141">
        <f>IFERROR(__xludf.DUMMYFUNCTION("""COMPUTED_VALUE"""),91.58)</f>
        <v/>
      </c>
      <c r="F48" s="141">
        <f>IFERROR(__xludf.DUMMYFUNCTION("""COMPUTED_VALUE"""),91.98)</f>
        <v/>
      </c>
      <c r="G48" s="143">
        <f>IFERROR(__xludf.DUMMYFUNCTION("""COMPUTED_VALUE"""),1885825)</f>
        <v/>
      </c>
      <c r="H48" s="27" t="n"/>
    </row>
    <row r="49" ht="17.25" customHeight="1" s="322">
      <c r="A49" s="27" t="n"/>
      <c r="B49" s="506">
        <f>IFERROR(__xludf.DUMMYFUNCTION("""COMPUTED_VALUE"""),45897.6666666666)</f>
        <v/>
      </c>
      <c r="C49" s="141">
        <f>IFERROR(__xludf.DUMMYFUNCTION("""COMPUTED_VALUE"""),92.01)</f>
        <v/>
      </c>
      <c r="D49" s="141">
        <f>IFERROR(__xludf.DUMMYFUNCTION("""COMPUTED_VALUE"""),92.05)</f>
        <v/>
      </c>
      <c r="E49" s="141">
        <f>IFERROR(__xludf.DUMMYFUNCTION("""COMPUTED_VALUE"""),91.2)</f>
        <v/>
      </c>
      <c r="F49" s="141">
        <f>IFERROR(__xludf.DUMMYFUNCTION("""COMPUTED_VALUE"""),91.74)</f>
        <v/>
      </c>
      <c r="G49" s="143">
        <f>IFERROR(__xludf.DUMMYFUNCTION("""COMPUTED_VALUE"""),2525346)</f>
        <v/>
      </c>
      <c r="H49" s="27" t="n"/>
    </row>
    <row r="50" ht="17.25" customHeight="1" s="322">
      <c r="A50" s="27" t="n"/>
      <c r="B50" s="506">
        <f>IFERROR(__xludf.DUMMYFUNCTION("""COMPUTED_VALUE"""),45898.6666666666)</f>
        <v/>
      </c>
      <c r="C50" s="141">
        <f>IFERROR(__xludf.DUMMYFUNCTION("""COMPUTED_VALUE"""),91.86)</f>
        <v/>
      </c>
      <c r="D50" s="141">
        <f>IFERROR(__xludf.DUMMYFUNCTION("""COMPUTED_VALUE"""),92.27)</f>
        <v/>
      </c>
      <c r="E50" s="141">
        <f>IFERROR(__xludf.DUMMYFUNCTION("""COMPUTED_VALUE"""),91.78)</f>
        <v/>
      </c>
      <c r="F50" s="141">
        <f>IFERROR(__xludf.DUMMYFUNCTION("""COMPUTED_VALUE"""),92.24)</f>
        <v/>
      </c>
      <c r="G50" s="143">
        <f>IFERROR(__xludf.DUMMYFUNCTION("""COMPUTED_VALUE"""),2137392)</f>
        <v/>
      </c>
      <c r="H50" s="27" t="n"/>
    </row>
    <row r="51" ht="17.25" customHeight="1" s="322">
      <c r="A51" s="27" t="n"/>
      <c r="B51" s="506">
        <f>IFERROR(__xludf.DUMMYFUNCTION("""COMPUTED_VALUE"""),45902.6666666666)</f>
        <v/>
      </c>
      <c r="C51" s="141">
        <f>IFERROR(__xludf.DUMMYFUNCTION("""COMPUTED_VALUE"""),91.25)</f>
        <v/>
      </c>
      <c r="D51" s="141">
        <f>IFERROR(__xludf.DUMMYFUNCTION("""COMPUTED_VALUE"""),91.51)</f>
        <v/>
      </c>
      <c r="E51" s="141">
        <f>IFERROR(__xludf.DUMMYFUNCTION("""COMPUTED_VALUE"""),90.39)</f>
        <v/>
      </c>
      <c r="F51" s="141">
        <f>IFERROR(__xludf.DUMMYFUNCTION("""COMPUTED_VALUE"""),90.71)</f>
        <v/>
      </c>
      <c r="G51" s="143">
        <f>IFERROR(__xludf.DUMMYFUNCTION("""COMPUTED_VALUE"""),3424415)</f>
        <v/>
      </c>
      <c r="H51" s="27" t="n"/>
    </row>
    <row r="52" ht="17.25" customHeight="1" s="322">
      <c r="A52" s="27" t="n"/>
      <c r="B52" s="506">
        <f>IFERROR(__xludf.DUMMYFUNCTION("""COMPUTED_VALUE"""),45903.6666666666)</f>
        <v/>
      </c>
      <c r="C52" s="141">
        <f>IFERROR(__xludf.DUMMYFUNCTION("""COMPUTED_VALUE"""),90.54)</f>
        <v/>
      </c>
      <c r="D52" s="141">
        <f>IFERROR(__xludf.DUMMYFUNCTION("""COMPUTED_VALUE"""),90.98)</f>
        <v/>
      </c>
      <c r="E52" s="141">
        <f>IFERROR(__xludf.DUMMYFUNCTION("""COMPUTED_VALUE"""),90.4)</f>
        <v/>
      </c>
      <c r="F52" s="141">
        <f>IFERROR(__xludf.DUMMYFUNCTION("""COMPUTED_VALUE"""),90.76)</f>
        <v/>
      </c>
      <c r="G52" s="143">
        <f>IFERROR(__xludf.DUMMYFUNCTION("""COMPUTED_VALUE"""),2505511)</f>
        <v/>
      </c>
      <c r="H52" s="27" t="n"/>
    </row>
    <row r="53" ht="17.25" customHeight="1" s="322">
      <c r="A53" s="27" t="n"/>
      <c r="B53" s="506">
        <f>IFERROR(__xludf.DUMMYFUNCTION("""COMPUTED_VALUE"""),45904.6666666666)</f>
        <v/>
      </c>
      <c r="C53" s="141">
        <f>IFERROR(__xludf.DUMMYFUNCTION("""COMPUTED_VALUE"""),91.04)</f>
        <v/>
      </c>
      <c r="D53" s="141">
        <f>IFERROR(__xludf.DUMMYFUNCTION("""COMPUTED_VALUE"""),91.5)</f>
        <v/>
      </c>
      <c r="E53" s="141">
        <f>IFERROR(__xludf.DUMMYFUNCTION("""COMPUTED_VALUE"""),90.57)</f>
        <v/>
      </c>
      <c r="F53" s="141">
        <f>IFERROR(__xludf.DUMMYFUNCTION("""COMPUTED_VALUE"""),91.44)</f>
        <v/>
      </c>
      <c r="G53" s="143">
        <f>IFERROR(__xludf.DUMMYFUNCTION("""COMPUTED_VALUE"""),3689357)</f>
        <v/>
      </c>
      <c r="H53" s="27" t="n"/>
    </row>
    <row r="54" ht="17.25" customHeight="1" s="322">
      <c r="A54" s="27" t="n"/>
      <c r="B54" s="506">
        <f>IFERROR(__xludf.DUMMYFUNCTION("""COMPUTED_VALUE"""),45905.6666666666)</f>
        <v/>
      </c>
      <c r="C54" s="141">
        <f>IFERROR(__xludf.DUMMYFUNCTION("""COMPUTED_VALUE"""),92.07)</f>
        <v/>
      </c>
      <c r="D54" s="141">
        <f>IFERROR(__xludf.DUMMYFUNCTION("""COMPUTED_VALUE"""),92.92)</f>
        <v/>
      </c>
      <c r="E54" s="141">
        <f>IFERROR(__xludf.DUMMYFUNCTION("""COMPUTED_VALUE"""),91.83)</f>
        <v/>
      </c>
      <c r="F54" s="141">
        <f>IFERROR(__xludf.DUMMYFUNCTION("""COMPUTED_VALUE"""),92.47)</f>
        <v/>
      </c>
      <c r="G54" s="143">
        <f>IFERROR(__xludf.DUMMYFUNCTION("""COMPUTED_VALUE"""),3446103)</f>
        <v/>
      </c>
      <c r="H54" s="27" t="n"/>
    </row>
    <row r="55" ht="17.25" customHeight="1" s="322">
      <c r="A55" s="27" t="n"/>
      <c r="B55" s="506">
        <f>IFERROR(__xludf.DUMMYFUNCTION("""COMPUTED_VALUE"""),45908.6666666666)</f>
        <v/>
      </c>
      <c r="C55" s="141">
        <f>IFERROR(__xludf.DUMMYFUNCTION("""COMPUTED_VALUE"""),91.54)</f>
        <v/>
      </c>
      <c r="D55" s="141">
        <f>IFERROR(__xludf.DUMMYFUNCTION("""COMPUTED_VALUE"""),91.95)</f>
        <v/>
      </c>
      <c r="E55" s="141">
        <f>IFERROR(__xludf.DUMMYFUNCTION("""COMPUTED_VALUE"""),91.24)</f>
        <v/>
      </c>
      <c r="F55" s="141">
        <f>IFERROR(__xludf.DUMMYFUNCTION("""COMPUTED_VALUE"""),91.93)</f>
        <v/>
      </c>
      <c r="G55" s="143">
        <f>IFERROR(__xludf.DUMMYFUNCTION("""COMPUTED_VALUE"""),2880701)</f>
        <v/>
      </c>
      <c r="H55" s="27" t="n"/>
    </row>
    <row r="56" ht="17.25" customHeight="1" s="322">
      <c r="A56" s="27" t="n"/>
      <c r="B56" s="506">
        <f>IFERROR(__xludf.DUMMYFUNCTION("""COMPUTED_VALUE"""),45909.6666666666)</f>
        <v/>
      </c>
      <c r="C56" s="141">
        <f>IFERROR(__xludf.DUMMYFUNCTION("""COMPUTED_VALUE"""),91.67)</f>
        <v/>
      </c>
      <c r="D56" s="141">
        <f>IFERROR(__xludf.DUMMYFUNCTION("""COMPUTED_VALUE"""),91.75)</f>
        <v/>
      </c>
      <c r="E56" s="141">
        <f>IFERROR(__xludf.DUMMYFUNCTION("""COMPUTED_VALUE"""),91.33)</f>
        <v/>
      </c>
      <c r="F56" s="141">
        <f>IFERROR(__xludf.DUMMYFUNCTION("""COMPUTED_VALUE"""),91.72)</f>
        <v/>
      </c>
      <c r="G56" s="143">
        <f>IFERROR(__xludf.DUMMYFUNCTION("""COMPUTED_VALUE"""),2533934)</f>
        <v/>
      </c>
      <c r="H56" s="27" t="n"/>
    </row>
    <row r="57" ht="17.25" customHeight="1" s="322">
      <c r="A57" s="27" t="n"/>
      <c r="B57" s="506">
        <f>IFERROR(__xludf.DUMMYFUNCTION("""COMPUTED_VALUE"""),45910.6666666666)</f>
        <v/>
      </c>
      <c r="C57" s="141">
        <f>IFERROR(__xludf.DUMMYFUNCTION("""COMPUTED_VALUE"""),91.73)</f>
        <v/>
      </c>
      <c r="D57" s="141">
        <f>IFERROR(__xludf.DUMMYFUNCTION("""COMPUTED_VALUE"""),92.26)</f>
        <v/>
      </c>
      <c r="E57" s="141">
        <f>IFERROR(__xludf.DUMMYFUNCTION("""COMPUTED_VALUE"""),91.42)</f>
        <v/>
      </c>
      <c r="F57" s="141">
        <f>IFERROR(__xludf.DUMMYFUNCTION("""COMPUTED_VALUE"""),91.57)</f>
        <v/>
      </c>
      <c r="G57" s="143">
        <f>IFERROR(__xludf.DUMMYFUNCTION("""COMPUTED_VALUE"""),2242917)</f>
        <v/>
      </c>
      <c r="H57" s="27" t="n"/>
    </row>
    <row r="58" ht="17.25" customHeight="1" s="322">
      <c r="A58" s="27" t="n"/>
      <c r="B58" s="506">
        <f>IFERROR(__xludf.DUMMYFUNCTION("""COMPUTED_VALUE"""),45911.6666666666)</f>
        <v/>
      </c>
      <c r="C58" s="141">
        <f>IFERROR(__xludf.DUMMYFUNCTION("""COMPUTED_VALUE"""),91.83)</f>
        <v/>
      </c>
      <c r="D58" s="141">
        <f>IFERROR(__xludf.DUMMYFUNCTION("""COMPUTED_VALUE"""),93.42)</f>
        <v/>
      </c>
      <c r="E58" s="141">
        <f>IFERROR(__xludf.DUMMYFUNCTION("""COMPUTED_VALUE"""),91.75)</f>
        <v/>
      </c>
      <c r="F58" s="141">
        <f>IFERROR(__xludf.DUMMYFUNCTION("""COMPUTED_VALUE"""),93.24)</f>
        <v/>
      </c>
      <c r="G58" s="143">
        <f>IFERROR(__xludf.DUMMYFUNCTION("""COMPUTED_VALUE"""),2671354)</f>
        <v/>
      </c>
      <c r="H58" s="27" t="n"/>
    </row>
    <row r="59" ht="17.25" customHeight="1" s="322">
      <c r="A59" s="27" t="n"/>
      <c r="B59" s="506">
        <f>IFERROR(__xludf.DUMMYFUNCTION("""COMPUTED_VALUE"""),45912.6666666666)</f>
        <v/>
      </c>
      <c r="C59" s="141">
        <f>IFERROR(__xludf.DUMMYFUNCTION("""COMPUTED_VALUE"""),93.18)</f>
        <v/>
      </c>
      <c r="D59" s="141">
        <f>IFERROR(__xludf.DUMMYFUNCTION("""COMPUTED_VALUE"""),93.34)</f>
        <v/>
      </c>
      <c r="E59" s="141">
        <f>IFERROR(__xludf.DUMMYFUNCTION("""COMPUTED_VALUE"""),92.71)</f>
        <v/>
      </c>
      <c r="F59" s="141">
        <f>IFERROR(__xludf.DUMMYFUNCTION("""COMPUTED_VALUE"""),92.81)</f>
        <v/>
      </c>
      <c r="G59" s="143">
        <f>IFERROR(__xludf.DUMMYFUNCTION("""COMPUTED_VALUE"""),2165627)</f>
        <v/>
      </c>
      <c r="H59" s="27" t="n"/>
    </row>
    <row r="60" ht="17.25" customHeight="1" s="322">
      <c r="A60" s="27" t="n"/>
      <c r="B60" s="506">
        <f>IFERROR(__xludf.DUMMYFUNCTION("""COMPUTED_VALUE"""),45915.6666666666)</f>
        <v/>
      </c>
      <c r="C60" s="141">
        <f>IFERROR(__xludf.DUMMYFUNCTION("""COMPUTED_VALUE"""),93.11)</f>
        <v/>
      </c>
      <c r="D60" s="141">
        <f>IFERROR(__xludf.DUMMYFUNCTION("""COMPUTED_VALUE"""),93.24)</f>
        <v/>
      </c>
      <c r="E60" s="141">
        <f>IFERROR(__xludf.DUMMYFUNCTION("""COMPUTED_VALUE"""),92.39)</f>
        <v/>
      </c>
      <c r="F60" s="141">
        <f>IFERROR(__xludf.DUMMYFUNCTION("""COMPUTED_VALUE"""),92.66)</f>
        <v/>
      </c>
      <c r="G60" s="143">
        <f>IFERROR(__xludf.DUMMYFUNCTION("""COMPUTED_VALUE"""),2754956)</f>
        <v/>
      </c>
      <c r="H60" s="27" t="n"/>
    </row>
    <row r="61" ht="17.25" customHeight="1" s="322">
      <c r="A61" s="27" t="n"/>
      <c r="B61" s="506">
        <f>IFERROR(__xludf.DUMMYFUNCTION("""COMPUTED_VALUE"""),45916.6666666666)</f>
        <v/>
      </c>
      <c r="C61" s="141">
        <f>IFERROR(__xludf.DUMMYFUNCTION("""COMPUTED_VALUE"""),92.65)</f>
        <v/>
      </c>
      <c r="D61" s="141">
        <f>IFERROR(__xludf.DUMMYFUNCTION("""COMPUTED_VALUE"""),92.8)</f>
        <v/>
      </c>
      <c r="E61" s="141">
        <f>IFERROR(__xludf.DUMMYFUNCTION("""COMPUTED_VALUE"""),91.91)</f>
        <v/>
      </c>
      <c r="F61" s="141">
        <f>IFERROR(__xludf.DUMMYFUNCTION("""COMPUTED_VALUE"""),92.17)</f>
        <v/>
      </c>
      <c r="G61" s="143">
        <f>IFERROR(__xludf.DUMMYFUNCTION("""COMPUTED_VALUE"""),3260272)</f>
        <v/>
      </c>
      <c r="H61" s="27" t="n"/>
    </row>
    <row r="62" ht="17.25" customHeight="1" s="322">
      <c r="A62" s="27" t="n"/>
      <c r="B62" s="506">
        <f>IFERROR(__xludf.DUMMYFUNCTION("""COMPUTED_VALUE"""),45917.6666666666)</f>
        <v/>
      </c>
      <c r="C62" s="141">
        <f>IFERROR(__xludf.DUMMYFUNCTION("""COMPUTED_VALUE"""),92.45)</f>
        <v/>
      </c>
      <c r="D62" s="141">
        <f>IFERROR(__xludf.DUMMYFUNCTION("""COMPUTED_VALUE"""),93.58)</f>
        <v/>
      </c>
      <c r="E62" s="141">
        <f>IFERROR(__xludf.DUMMYFUNCTION("""COMPUTED_VALUE"""),91.95)</f>
        <v/>
      </c>
      <c r="F62" s="141">
        <f>IFERROR(__xludf.DUMMYFUNCTION("""COMPUTED_VALUE"""),92.05)</f>
        <v/>
      </c>
      <c r="G62" s="143">
        <f>IFERROR(__xludf.DUMMYFUNCTION("""COMPUTED_VALUE"""),4570956)</f>
        <v/>
      </c>
      <c r="H62" s="27" t="n"/>
    </row>
    <row r="63" ht="17.25" customHeight="1" s="322">
      <c r="A63" s="27" t="n"/>
      <c r="B63" s="506">
        <f>IFERROR(__xludf.DUMMYFUNCTION("""COMPUTED_VALUE"""),45918.6666666666)</f>
        <v/>
      </c>
      <c r="C63" s="141">
        <f>IFERROR(__xludf.DUMMYFUNCTION("""COMPUTED_VALUE"""),92.16)</f>
        <v/>
      </c>
      <c r="D63" s="141">
        <f>IFERROR(__xludf.DUMMYFUNCTION("""COMPUTED_VALUE"""),92.65)</f>
        <v/>
      </c>
      <c r="E63" s="141">
        <f>IFERROR(__xludf.DUMMYFUNCTION("""COMPUTED_VALUE"""),91.94)</f>
        <v/>
      </c>
      <c r="F63" s="141">
        <f>IFERROR(__xludf.DUMMYFUNCTION("""COMPUTED_VALUE"""),92.25)</f>
        <v/>
      </c>
      <c r="G63" s="143">
        <f>IFERROR(__xludf.DUMMYFUNCTION("""COMPUTED_VALUE"""),2966135)</f>
        <v/>
      </c>
      <c r="H63" s="27" t="n"/>
    </row>
    <row r="64" ht="17.25" customHeight="1" s="322">
      <c r="A64" s="27" t="n"/>
      <c r="B64" s="506">
        <f>IFERROR(__xludf.DUMMYFUNCTION("""COMPUTED_VALUE"""),45919.6666666666)</f>
        <v/>
      </c>
      <c r="C64" s="141">
        <f>IFERROR(__xludf.DUMMYFUNCTION("""COMPUTED_VALUE"""),92.37)</f>
        <v/>
      </c>
      <c r="D64" s="141">
        <f>IFERROR(__xludf.DUMMYFUNCTION("""COMPUTED_VALUE"""),92.49)</f>
        <v/>
      </c>
      <c r="E64" s="141">
        <f>IFERROR(__xludf.DUMMYFUNCTION("""COMPUTED_VALUE"""),91.65)</f>
        <v/>
      </c>
      <c r="F64" s="141">
        <f>IFERROR(__xludf.DUMMYFUNCTION("""COMPUTED_VALUE"""),91.65)</f>
        <v/>
      </c>
      <c r="G64" s="143">
        <f>IFERROR(__xludf.DUMMYFUNCTION("""COMPUTED_VALUE"""),3076078)</f>
        <v/>
      </c>
      <c r="H64" s="27" t="n"/>
    </row>
    <row r="65" ht="17.25" customHeight="1" s="322">
      <c r="A65" s="27" t="n"/>
      <c r="B65" s="506">
        <f>IFERROR(__xludf.DUMMYFUNCTION("""COMPUTED_VALUE"""),45922.6666666666)</f>
        <v/>
      </c>
      <c r="C65" s="141">
        <f>IFERROR(__xludf.DUMMYFUNCTION("""COMPUTED_VALUE"""),91.68)</f>
        <v/>
      </c>
      <c r="D65" s="141">
        <f>IFERROR(__xludf.DUMMYFUNCTION("""COMPUTED_VALUE"""),91.87)</f>
        <v/>
      </c>
      <c r="E65" s="141">
        <f>IFERROR(__xludf.DUMMYFUNCTION("""COMPUTED_VALUE"""),91.09)</f>
        <v/>
      </c>
      <c r="F65" s="141">
        <f>IFERROR(__xludf.DUMMYFUNCTION("""COMPUTED_VALUE"""),91.67)</f>
        <v/>
      </c>
      <c r="G65" s="143">
        <f>IFERROR(__xludf.DUMMYFUNCTION("""COMPUTED_VALUE"""),3646167)</f>
        <v/>
      </c>
      <c r="H65" s="27" t="n"/>
    </row>
    <row r="66" ht="17.25" customHeight="1" s="322">
      <c r="A66" s="27" t="n"/>
      <c r="B66" s="506">
        <f>IFERROR(__xludf.DUMMYFUNCTION("""COMPUTED_VALUE"""),45923.6666666666)</f>
        <v/>
      </c>
      <c r="C66" s="141">
        <f>IFERROR(__xludf.DUMMYFUNCTION("""COMPUTED_VALUE"""),91.79)</f>
        <v/>
      </c>
      <c r="D66" s="141">
        <f>IFERROR(__xludf.DUMMYFUNCTION("""COMPUTED_VALUE"""),92.39)</f>
        <v/>
      </c>
      <c r="E66" s="141">
        <f>IFERROR(__xludf.DUMMYFUNCTION("""COMPUTED_VALUE"""),91.67)</f>
        <v/>
      </c>
      <c r="F66" s="141">
        <f>IFERROR(__xludf.DUMMYFUNCTION("""COMPUTED_VALUE"""),92.17)</f>
        <v/>
      </c>
      <c r="G66" s="143">
        <f>IFERROR(__xludf.DUMMYFUNCTION("""COMPUTED_VALUE"""),3421380)</f>
        <v/>
      </c>
      <c r="H66" s="27" t="n"/>
    </row>
    <row r="67" ht="17.25" customHeight="1" s="322">
      <c r="A67" s="27" t="n"/>
      <c r="B67" s="506">
        <f>IFERROR(__xludf.DUMMYFUNCTION("""COMPUTED_VALUE"""),45924.6666666666)</f>
        <v/>
      </c>
      <c r="C67" s="141">
        <f>IFERROR(__xludf.DUMMYFUNCTION("""COMPUTED_VALUE"""),91.22)</f>
        <v/>
      </c>
      <c r="D67" s="141">
        <f>IFERROR(__xludf.DUMMYFUNCTION("""COMPUTED_VALUE"""),91.26)</f>
        <v/>
      </c>
      <c r="E67" s="141">
        <f>IFERROR(__xludf.DUMMYFUNCTION("""COMPUTED_VALUE"""),90.39)</f>
        <v/>
      </c>
      <c r="F67" s="141">
        <f>IFERROR(__xludf.DUMMYFUNCTION("""COMPUTED_VALUE"""),90.4)</f>
        <v/>
      </c>
      <c r="G67" s="143">
        <f>IFERROR(__xludf.DUMMYFUNCTION("""COMPUTED_VALUE"""),2709452)</f>
        <v/>
      </c>
      <c r="H67" s="27" t="n"/>
    </row>
    <row r="68" ht="17.25" customHeight="1" s="322">
      <c r="A68" s="27" t="n"/>
      <c r="B68" s="506">
        <f>IFERROR(__xludf.DUMMYFUNCTION("""COMPUTED_VALUE"""),45925.6666666666)</f>
        <v/>
      </c>
      <c r="C68" s="141">
        <f>IFERROR(__xludf.DUMMYFUNCTION("""COMPUTED_VALUE"""),90.39)</f>
        <v/>
      </c>
      <c r="D68" s="141">
        <f>IFERROR(__xludf.DUMMYFUNCTION("""COMPUTED_VALUE"""),90.75)</f>
        <v/>
      </c>
      <c r="E68" s="141">
        <f>IFERROR(__xludf.DUMMYFUNCTION("""COMPUTED_VALUE"""),90.06)</f>
        <v/>
      </c>
      <c r="F68" s="141">
        <f>IFERROR(__xludf.DUMMYFUNCTION("""COMPUTED_VALUE"""),90.13)</f>
        <v/>
      </c>
      <c r="G68" s="143">
        <f>IFERROR(__xludf.DUMMYFUNCTION("""COMPUTED_VALUE"""),4246453)</f>
        <v/>
      </c>
      <c r="H68" s="27" t="n"/>
    </row>
    <row r="69" ht="17.25" customHeight="1" s="322">
      <c r="A69" s="27" t="n"/>
      <c r="B69" s="506">
        <f>IFERROR(__xludf.DUMMYFUNCTION("""COMPUTED_VALUE"""),45926.6666666666)</f>
        <v/>
      </c>
      <c r="C69" s="141">
        <f>IFERROR(__xludf.DUMMYFUNCTION("""COMPUTED_VALUE"""),90.5)</f>
        <v/>
      </c>
      <c r="D69" s="141">
        <f>IFERROR(__xludf.DUMMYFUNCTION("""COMPUTED_VALUE"""),91.18)</f>
        <v/>
      </c>
      <c r="E69" s="141">
        <f>IFERROR(__xludf.DUMMYFUNCTION("""COMPUTED_VALUE"""),90.3)</f>
        <v/>
      </c>
      <c r="F69" s="141">
        <f>IFERROR(__xludf.DUMMYFUNCTION("""COMPUTED_VALUE"""),91.02)</f>
        <v/>
      </c>
      <c r="G69" s="143">
        <f>IFERROR(__xludf.DUMMYFUNCTION("""COMPUTED_VALUE"""),5430815)</f>
        <v/>
      </c>
      <c r="H69" s="27" t="n"/>
    </row>
    <row r="70" ht="17.25" customHeight="1" s="322">
      <c r="A70" s="27" t="n"/>
      <c r="B70" s="506">
        <f>IFERROR(__xludf.DUMMYFUNCTION("""COMPUTED_VALUE"""),45929.6666666666)</f>
        <v/>
      </c>
      <c r="C70" s="141">
        <f>IFERROR(__xludf.DUMMYFUNCTION("""COMPUTED_VALUE"""),91.12)</f>
        <v/>
      </c>
      <c r="D70" s="141">
        <f>IFERROR(__xludf.DUMMYFUNCTION("""COMPUTED_VALUE"""),91.23)</f>
        <v/>
      </c>
      <c r="E70" s="141">
        <f>IFERROR(__xludf.DUMMYFUNCTION("""COMPUTED_VALUE"""),90.65)</f>
        <v/>
      </c>
      <c r="F70" s="141">
        <f>IFERROR(__xludf.DUMMYFUNCTION("""COMPUTED_VALUE"""),91.05)</f>
        <v/>
      </c>
      <c r="G70" s="143">
        <f>IFERROR(__xludf.DUMMYFUNCTION("""COMPUTED_VALUE"""),3155513)</f>
        <v/>
      </c>
      <c r="H70" s="27" t="n"/>
    </row>
    <row r="71" ht="17.25" customHeight="1" s="322">
      <c r="A71" s="27" t="n"/>
      <c r="B71" s="506">
        <f>IFERROR(__xludf.DUMMYFUNCTION("""COMPUTED_VALUE"""),45930.6666666666)</f>
        <v/>
      </c>
      <c r="C71" s="141">
        <f>IFERROR(__xludf.DUMMYFUNCTION("""COMPUTED_VALUE"""),91.08)</f>
        <v/>
      </c>
      <c r="D71" s="141">
        <f>IFERROR(__xludf.DUMMYFUNCTION("""COMPUTED_VALUE"""),91.49)</f>
        <v/>
      </c>
      <c r="E71" s="141">
        <f>IFERROR(__xludf.DUMMYFUNCTION("""COMPUTED_VALUE"""),90.79)</f>
        <v/>
      </c>
      <c r="F71" s="141">
        <f>IFERROR(__xludf.DUMMYFUNCTION("""COMPUTED_VALUE"""),91.42)</f>
        <v/>
      </c>
      <c r="G71" s="143">
        <f>IFERROR(__xludf.DUMMYFUNCTION("""COMPUTED_VALUE"""),3002844)</f>
        <v/>
      </c>
      <c r="H71" s="27" t="n"/>
    </row>
    <row r="72" ht="17.25" customHeight="1" s="322">
      <c r="A72" s="27" t="n"/>
      <c r="B72" s="506">
        <f>IFERROR(__xludf.DUMMYFUNCTION("""COMPUTED_VALUE"""),45931.6666666666)</f>
        <v/>
      </c>
      <c r="C72" s="141">
        <f>IFERROR(__xludf.DUMMYFUNCTION("""COMPUTED_VALUE"""),91.37)</f>
        <v/>
      </c>
      <c r="D72" s="141">
        <f>IFERROR(__xludf.DUMMYFUNCTION("""COMPUTED_VALUE"""),91.88)</f>
        <v/>
      </c>
      <c r="E72" s="141">
        <f>IFERROR(__xludf.DUMMYFUNCTION("""COMPUTED_VALUE"""),91.25)</f>
        <v/>
      </c>
      <c r="F72" s="141">
        <f>IFERROR(__xludf.DUMMYFUNCTION("""COMPUTED_VALUE"""),91.56)</f>
        <v/>
      </c>
      <c r="G72" s="143">
        <f>IFERROR(__xludf.DUMMYFUNCTION("""COMPUTED_VALUE"""),2933491)</f>
        <v/>
      </c>
      <c r="H72" s="27" t="n"/>
    </row>
    <row r="73" ht="17.25" customHeight="1" s="322">
      <c r="A73" s="27" t="n"/>
      <c r="B73" s="506">
        <f>IFERROR(__xludf.DUMMYFUNCTION("""COMPUTED_VALUE"""),45932.6666666666)</f>
        <v/>
      </c>
      <c r="C73" s="141">
        <f>IFERROR(__xludf.DUMMYFUNCTION("""COMPUTED_VALUE"""),91.36)</f>
        <v/>
      </c>
      <c r="D73" s="141">
        <f>IFERROR(__xludf.DUMMYFUNCTION("""COMPUTED_VALUE"""),91.36)</f>
        <v/>
      </c>
      <c r="E73" s="141">
        <f>IFERROR(__xludf.DUMMYFUNCTION("""COMPUTED_VALUE"""),90.51)</f>
        <v/>
      </c>
      <c r="F73" s="141">
        <f>IFERROR(__xludf.DUMMYFUNCTION("""COMPUTED_VALUE"""),91.08)</f>
        <v/>
      </c>
      <c r="G73" s="143">
        <f>IFERROR(__xludf.DUMMYFUNCTION("""COMPUTED_VALUE"""),4186062)</f>
        <v/>
      </c>
      <c r="H73" s="27" t="n"/>
    </row>
    <row r="74" ht="17.25" customHeight="1" s="322">
      <c r="A74" s="27" t="n"/>
      <c r="B74" s="506">
        <f>IFERROR(__xludf.DUMMYFUNCTION("""COMPUTED_VALUE"""),45933.6666666666)</f>
        <v/>
      </c>
      <c r="C74" s="141">
        <f>IFERROR(__xludf.DUMMYFUNCTION("""COMPUTED_VALUE"""),91.2)</f>
        <v/>
      </c>
      <c r="D74" s="141">
        <f>IFERROR(__xludf.DUMMYFUNCTION("""COMPUTED_VALUE"""),92.16)</f>
        <v/>
      </c>
      <c r="E74" s="141">
        <f>IFERROR(__xludf.DUMMYFUNCTION("""COMPUTED_VALUE"""),91.2)</f>
        <v/>
      </c>
      <c r="F74" s="141">
        <f>IFERROR(__xludf.DUMMYFUNCTION("""COMPUTED_VALUE"""),91.42)</f>
        <v/>
      </c>
      <c r="G74" s="143">
        <f>IFERROR(__xludf.DUMMYFUNCTION("""COMPUTED_VALUE"""),2496627)</f>
        <v/>
      </c>
      <c r="H74" s="27" t="n"/>
    </row>
    <row r="75" ht="17.25" customHeight="1" s="322">
      <c r="A75" s="27" t="n"/>
      <c r="B75" s="506">
        <f>IFERROR(__xludf.DUMMYFUNCTION("""COMPUTED_VALUE"""),45936.6666666666)</f>
        <v/>
      </c>
      <c r="C75" s="141">
        <f>IFERROR(__xludf.DUMMYFUNCTION("""COMPUTED_VALUE"""),91.48)</f>
        <v/>
      </c>
      <c r="D75" s="141">
        <f>IFERROR(__xludf.DUMMYFUNCTION("""COMPUTED_VALUE"""),91.5)</f>
        <v/>
      </c>
      <c r="E75" s="141">
        <f>IFERROR(__xludf.DUMMYFUNCTION("""COMPUTED_VALUE"""),90.53)</f>
        <v/>
      </c>
      <c r="F75" s="141">
        <f>IFERROR(__xludf.DUMMYFUNCTION("""COMPUTED_VALUE"""),90.56)</f>
        <v/>
      </c>
      <c r="G75" s="143">
        <f>IFERROR(__xludf.DUMMYFUNCTION("""COMPUTED_VALUE"""),4154610)</f>
        <v/>
      </c>
      <c r="H75" s="27" t="n"/>
    </row>
    <row r="76" ht="17.25" customHeight="1" s="322">
      <c r="A76" s="27" t="n"/>
      <c r="B76" s="506">
        <f>IFERROR(__xludf.DUMMYFUNCTION("""COMPUTED_VALUE"""),45937.6666666666)</f>
        <v/>
      </c>
      <c r="C76" s="141">
        <f>IFERROR(__xludf.DUMMYFUNCTION("""COMPUTED_VALUE"""),90.63)</f>
        <v/>
      </c>
      <c r="D76" s="141">
        <f>IFERROR(__xludf.DUMMYFUNCTION("""COMPUTED_VALUE"""),90.81)</f>
        <v/>
      </c>
      <c r="E76" s="141">
        <f>IFERROR(__xludf.DUMMYFUNCTION("""COMPUTED_VALUE"""),89.85)</f>
        <v/>
      </c>
      <c r="F76" s="141">
        <f>IFERROR(__xludf.DUMMYFUNCTION("""COMPUTED_VALUE"""),90.23)</f>
        <v/>
      </c>
      <c r="G76" s="143">
        <f>IFERROR(__xludf.DUMMYFUNCTION("""COMPUTED_VALUE"""),4546624)</f>
        <v/>
      </c>
      <c r="H76" s="27" t="n"/>
    </row>
    <row r="77" ht="17.25" customHeight="1" s="322">
      <c r="A77" s="27" t="n"/>
      <c r="B77" s="506">
        <f>IFERROR(__xludf.DUMMYFUNCTION("""COMPUTED_VALUE"""),45938.6666666666)</f>
        <v/>
      </c>
      <c r="C77" s="141">
        <f>IFERROR(__xludf.DUMMYFUNCTION("""COMPUTED_VALUE"""),89.82)</f>
        <v/>
      </c>
      <c r="D77" s="141">
        <f>IFERROR(__xludf.DUMMYFUNCTION("""COMPUTED_VALUE"""),90.1)</f>
        <v/>
      </c>
      <c r="E77" s="141">
        <f>IFERROR(__xludf.DUMMYFUNCTION("""COMPUTED_VALUE"""),89.53)</f>
        <v/>
      </c>
      <c r="F77" s="141">
        <f>IFERROR(__xludf.DUMMYFUNCTION("""COMPUTED_VALUE"""),89.76)</f>
        <v/>
      </c>
      <c r="G77" s="143">
        <f>IFERROR(__xludf.DUMMYFUNCTION("""COMPUTED_VALUE"""),3325065)</f>
        <v/>
      </c>
      <c r="H77" s="27" t="n"/>
    </row>
    <row r="78" ht="17.25" customHeight="1" s="322">
      <c r="A78" s="27" t="n"/>
      <c r="B78" s="506">
        <f>IFERROR(__xludf.DUMMYFUNCTION("""COMPUTED_VALUE"""),45939.6666666666)</f>
        <v/>
      </c>
      <c r="C78" s="141">
        <f>IFERROR(__xludf.DUMMYFUNCTION("""COMPUTED_VALUE"""),89.93)</f>
        <v/>
      </c>
      <c r="D78" s="141">
        <f>IFERROR(__xludf.DUMMYFUNCTION("""COMPUTED_VALUE"""),89.99)</f>
        <v/>
      </c>
      <c r="E78" s="141">
        <f>IFERROR(__xludf.DUMMYFUNCTION("""COMPUTED_VALUE"""),89.04)</f>
        <v/>
      </c>
      <c r="F78" s="141">
        <f>IFERROR(__xludf.DUMMYFUNCTION("""COMPUTED_VALUE"""),89.27)</f>
        <v/>
      </c>
      <c r="G78" s="143">
        <f>IFERROR(__xludf.DUMMYFUNCTION("""COMPUTED_VALUE"""),3123023)</f>
        <v/>
      </c>
      <c r="H78" s="27" t="n"/>
    </row>
    <row r="79" ht="17.25" customHeight="1" s="322">
      <c r="A79" s="27" t="n"/>
      <c r="B79" s="506">
        <f>IFERROR(__xludf.DUMMYFUNCTION("""COMPUTED_VALUE"""),45940.6666666666)</f>
        <v/>
      </c>
      <c r="C79" s="141">
        <f>IFERROR(__xludf.DUMMYFUNCTION("""COMPUTED_VALUE"""),89.52)</f>
        <v/>
      </c>
      <c r="D79" s="141">
        <f>IFERROR(__xludf.DUMMYFUNCTION("""COMPUTED_VALUE"""),89.69)</f>
        <v/>
      </c>
      <c r="E79" s="141">
        <f>IFERROR(__xludf.DUMMYFUNCTION("""COMPUTED_VALUE"""),88.09)</f>
        <v/>
      </c>
      <c r="F79" s="141">
        <f>IFERROR(__xludf.DUMMYFUNCTION("""COMPUTED_VALUE"""),88.13)</f>
        <v/>
      </c>
      <c r="G79" s="143">
        <f>IFERROR(__xludf.DUMMYFUNCTION("""COMPUTED_VALUE"""),3996323)</f>
        <v/>
      </c>
      <c r="H79" s="27" t="n"/>
    </row>
    <row r="80" ht="17.25" customHeight="1" s="322">
      <c r="A80" s="27" t="n"/>
      <c r="B80" s="506">
        <f>IFERROR(__xludf.DUMMYFUNCTION("""COMPUTED_VALUE"""),45943.6666666666)</f>
        <v/>
      </c>
      <c r="C80" s="141">
        <f>IFERROR(__xludf.DUMMYFUNCTION("""COMPUTED_VALUE"""),88.21)</f>
        <v/>
      </c>
      <c r="D80" s="141">
        <f>IFERROR(__xludf.DUMMYFUNCTION("""COMPUTED_VALUE"""),88.78)</f>
        <v/>
      </c>
      <c r="E80" s="141">
        <f>IFERROR(__xludf.DUMMYFUNCTION("""COMPUTED_VALUE"""),88.08)</f>
        <v/>
      </c>
      <c r="F80" s="141">
        <f>IFERROR(__xludf.DUMMYFUNCTION("""COMPUTED_VALUE"""),88.69)</f>
        <v/>
      </c>
      <c r="G80" s="143">
        <f>IFERROR(__xludf.DUMMYFUNCTION("""COMPUTED_VALUE"""),2810073)</f>
        <v/>
      </c>
      <c r="H80" s="27" t="n"/>
    </row>
    <row r="81" ht="17.25" customHeight="1" s="322">
      <c r="A81" s="27" t="n"/>
      <c r="B81" s="506">
        <f>IFERROR(__xludf.DUMMYFUNCTION("""COMPUTED_VALUE"""),45944.6666666666)</f>
        <v/>
      </c>
      <c r="C81" s="141">
        <f>IFERROR(__xludf.DUMMYFUNCTION("""COMPUTED_VALUE"""),88.57)</f>
        <v/>
      </c>
      <c r="D81" s="141">
        <f>IFERROR(__xludf.DUMMYFUNCTION("""COMPUTED_VALUE"""),89.74)</f>
        <v/>
      </c>
      <c r="E81" s="141">
        <f>IFERROR(__xludf.DUMMYFUNCTION("""COMPUTED_VALUE"""),88.39)</f>
        <v/>
      </c>
      <c r="F81" s="141">
        <f>IFERROR(__xludf.DUMMYFUNCTION("""COMPUTED_VALUE"""),89.6)</f>
        <v/>
      </c>
      <c r="G81" s="143">
        <f>IFERROR(__xludf.DUMMYFUNCTION("""COMPUTED_VALUE"""),3047787)</f>
        <v/>
      </c>
      <c r="H81" s="27" t="n"/>
    </row>
    <row r="82" ht="17.25" customHeight="1" s="322">
      <c r="A82" s="27" t="n"/>
      <c r="B82" s="506">
        <f>IFERROR(__xludf.DUMMYFUNCTION("""COMPUTED_VALUE"""),45945.6666666666)</f>
        <v/>
      </c>
      <c r="C82" s="141">
        <f>IFERROR(__xludf.DUMMYFUNCTION("""COMPUTED_VALUE"""),89.91)</f>
        <v/>
      </c>
      <c r="D82" s="141">
        <f>IFERROR(__xludf.DUMMYFUNCTION("""COMPUTED_VALUE"""),91.16)</f>
        <v/>
      </c>
      <c r="E82" s="141">
        <f>IFERROR(__xludf.DUMMYFUNCTION("""COMPUTED_VALUE"""),89.84)</f>
        <v/>
      </c>
      <c r="F82" s="141">
        <f>IFERROR(__xludf.DUMMYFUNCTION("""COMPUTED_VALUE"""),90.9)</f>
        <v/>
      </c>
      <c r="G82" s="143">
        <f>IFERROR(__xludf.DUMMYFUNCTION("""COMPUTED_VALUE"""),3026724)</f>
        <v/>
      </c>
      <c r="H82" s="27" t="n"/>
    </row>
    <row r="83" ht="17.25" customHeight="1" s="322">
      <c r="A83" s="27" t="n"/>
      <c r="B83" s="506">
        <f>IFERROR(__xludf.DUMMYFUNCTION("""COMPUTED_VALUE"""),45946.6666666666)</f>
        <v/>
      </c>
      <c r="C83" s="141">
        <f>IFERROR(__xludf.DUMMYFUNCTION("""COMPUTED_VALUE"""),91.07)</f>
        <v/>
      </c>
      <c r="D83" s="141">
        <f>IFERROR(__xludf.DUMMYFUNCTION("""COMPUTED_VALUE"""),91.43)</f>
        <v/>
      </c>
      <c r="E83" s="141">
        <f>IFERROR(__xludf.DUMMYFUNCTION("""COMPUTED_VALUE"""),90.38)</f>
        <v/>
      </c>
      <c r="F83" s="141">
        <f>IFERROR(__xludf.DUMMYFUNCTION("""COMPUTED_VALUE"""),90.58)</f>
        <v/>
      </c>
      <c r="G83" s="143">
        <f>IFERROR(__xludf.DUMMYFUNCTION("""COMPUTED_VALUE"""),3719168)</f>
        <v/>
      </c>
      <c r="H83" s="27" t="n"/>
    </row>
    <row r="84" ht="17.25" customHeight="1" s="322">
      <c r="A84" s="27" t="n"/>
      <c r="B84" s="506">
        <f>IFERROR(__xludf.DUMMYFUNCTION("""COMPUTED_VALUE"""),45947.6666666666)</f>
        <v/>
      </c>
      <c r="C84" s="141">
        <f>IFERROR(__xludf.DUMMYFUNCTION("""COMPUTED_VALUE"""),90.54)</f>
        <v/>
      </c>
      <c r="D84" s="141">
        <f>IFERROR(__xludf.DUMMYFUNCTION("""COMPUTED_VALUE"""),91.28)</f>
        <v/>
      </c>
      <c r="E84" s="141">
        <f>IFERROR(__xludf.DUMMYFUNCTION("""COMPUTED_VALUE"""),90.26)</f>
        <v/>
      </c>
      <c r="F84" s="141">
        <f>IFERROR(__xludf.DUMMYFUNCTION("""COMPUTED_VALUE"""),91.17)</f>
        <v/>
      </c>
      <c r="G84" s="143">
        <f>IFERROR(__xludf.DUMMYFUNCTION("""COMPUTED_VALUE"""),2945240)</f>
        <v/>
      </c>
      <c r="H84" s="27" t="n"/>
    </row>
    <row r="85" ht="17.25" customHeight="1" s="322">
      <c r="A85" s="27" t="n"/>
      <c r="B85" s="506">
        <f>IFERROR(__xludf.DUMMYFUNCTION("""COMPUTED_VALUE"""),45950.6666666666)</f>
        <v/>
      </c>
      <c r="C85" s="141">
        <f>IFERROR(__xludf.DUMMYFUNCTION("""COMPUTED_VALUE"""),91.6)</f>
        <v/>
      </c>
      <c r="D85" s="141">
        <f>IFERROR(__xludf.DUMMYFUNCTION("""COMPUTED_VALUE"""),92.11)</f>
        <v/>
      </c>
      <c r="E85" s="141">
        <f>IFERROR(__xludf.DUMMYFUNCTION("""COMPUTED_VALUE"""),91.39)</f>
        <v/>
      </c>
      <c r="F85" s="141">
        <f>IFERROR(__xludf.DUMMYFUNCTION("""COMPUTED_VALUE"""),92.09)</f>
        <v/>
      </c>
      <c r="G85" s="143">
        <f>IFERROR(__xludf.DUMMYFUNCTION("""COMPUTED_VALUE"""),2036812)</f>
        <v/>
      </c>
      <c r="H85" s="27" t="n"/>
    </row>
    <row r="86" ht="17.25" customHeight="1" s="322">
      <c r="A86" s="27" t="n"/>
      <c r="B86" s="506">
        <f>IFERROR(__xludf.DUMMYFUNCTION("""COMPUTED_VALUE"""),45951.6666666666)</f>
        <v/>
      </c>
      <c r="C86" s="141">
        <f>IFERROR(__xludf.DUMMYFUNCTION("""COMPUTED_VALUE"""),92)</f>
        <v/>
      </c>
      <c r="D86" s="141">
        <f>IFERROR(__xludf.DUMMYFUNCTION("""COMPUTED_VALUE"""),92.45)</f>
        <v/>
      </c>
      <c r="E86" s="141">
        <f>IFERROR(__xludf.DUMMYFUNCTION("""COMPUTED_VALUE"""),91.68)</f>
        <v/>
      </c>
      <c r="F86" s="141">
        <f>IFERROR(__xludf.DUMMYFUNCTION("""COMPUTED_VALUE"""),91.83)</f>
        <v/>
      </c>
      <c r="G86" s="143">
        <f>IFERROR(__xludf.DUMMYFUNCTION("""COMPUTED_VALUE"""),2829840)</f>
        <v/>
      </c>
      <c r="H86" s="27" t="n"/>
    </row>
    <row r="87" ht="17.25" customHeight="1" s="322">
      <c r="A87" s="27" t="n"/>
      <c r="B87" s="506">
        <f>IFERROR(__xludf.DUMMYFUNCTION("""COMPUTED_VALUE"""),45952.6666666666)</f>
        <v/>
      </c>
      <c r="C87" s="141">
        <f>IFERROR(__xludf.DUMMYFUNCTION("""COMPUTED_VALUE"""),92.11)</f>
        <v/>
      </c>
      <c r="D87" s="141">
        <f>IFERROR(__xludf.DUMMYFUNCTION("""COMPUTED_VALUE"""),92.37)</f>
        <v/>
      </c>
      <c r="E87" s="141">
        <f>IFERROR(__xludf.DUMMYFUNCTION("""COMPUTED_VALUE"""),91.69)</f>
        <v/>
      </c>
      <c r="F87" s="141">
        <f>IFERROR(__xludf.DUMMYFUNCTION("""COMPUTED_VALUE"""),92.22)</f>
        <v/>
      </c>
      <c r="G87" s="143">
        <f>IFERROR(__xludf.DUMMYFUNCTION("""COMPUTED_VALUE"""),2490784)</f>
        <v/>
      </c>
      <c r="H87" s="27" t="n"/>
    </row>
    <row r="88" ht="17.25" customHeight="1" s="322">
      <c r="A88" s="27" t="n"/>
      <c r="B88" s="506">
        <f>IFERROR(__xludf.DUMMYFUNCTION("""COMPUTED_VALUE"""),45953.6666666666)</f>
        <v/>
      </c>
      <c r="C88" s="141">
        <f>IFERROR(__xludf.DUMMYFUNCTION("""COMPUTED_VALUE"""),92.32)</f>
        <v/>
      </c>
      <c r="D88" s="141">
        <f>IFERROR(__xludf.DUMMYFUNCTION("""COMPUTED_VALUE"""),92.57)</f>
        <v/>
      </c>
      <c r="E88" s="141">
        <f>IFERROR(__xludf.DUMMYFUNCTION("""COMPUTED_VALUE"""),91.39)</f>
        <v/>
      </c>
      <c r="F88" s="141">
        <f>IFERROR(__xludf.DUMMYFUNCTION("""COMPUTED_VALUE"""),92.16)</f>
        <v/>
      </c>
      <c r="G88" s="143">
        <f>IFERROR(__xludf.DUMMYFUNCTION("""COMPUTED_VALUE"""),2686972)</f>
        <v/>
      </c>
      <c r="H88" s="27" t="n"/>
    </row>
    <row r="89" ht="17.25" customHeight="1" s="322">
      <c r="A89" s="27" t="n"/>
      <c r="B89" s="506">
        <f>IFERROR(__xludf.DUMMYFUNCTION("""COMPUTED_VALUE"""),45954.6666666666)</f>
        <v/>
      </c>
      <c r="C89" s="141">
        <f>IFERROR(__xludf.DUMMYFUNCTION("""COMPUTED_VALUE"""),92.82)</f>
        <v/>
      </c>
      <c r="D89" s="141">
        <f>IFERROR(__xludf.DUMMYFUNCTION("""COMPUTED_VALUE"""),92.93)</f>
        <v/>
      </c>
      <c r="E89" s="141">
        <f>IFERROR(__xludf.DUMMYFUNCTION("""COMPUTED_VALUE"""),92.43)</f>
        <v/>
      </c>
      <c r="F89" s="141">
        <f>IFERROR(__xludf.DUMMYFUNCTION("""COMPUTED_VALUE"""),92.43)</f>
        <v/>
      </c>
      <c r="G89" s="143">
        <f>IFERROR(__xludf.DUMMYFUNCTION("""COMPUTED_VALUE"""),2619502)</f>
        <v/>
      </c>
      <c r="H89" s="27" t="n"/>
    </row>
    <row r="90" ht="17.25" customHeight="1" s="322">
      <c r="A90" s="27" t="n"/>
      <c r="B90" s="506">
        <f>IFERROR(__xludf.DUMMYFUNCTION("""COMPUTED_VALUE"""),45957.6666666666)</f>
        <v/>
      </c>
      <c r="C90" s="141">
        <f>IFERROR(__xludf.DUMMYFUNCTION("""COMPUTED_VALUE"""),92.5)</f>
        <v/>
      </c>
      <c r="D90" s="141">
        <f>IFERROR(__xludf.DUMMYFUNCTION("""COMPUTED_VALUE"""),92.73)</f>
        <v/>
      </c>
      <c r="E90" s="141">
        <f>IFERROR(__xludf.DUMMYFUNCTION("""COMPUTED_VALUE"""),92.08)</f>
        <v/>
      </c>
      <c r="F90" s="141">
        <f>IFERROR(__xludf.DUMMYFUNCTION("""COMPUTED_VALUE"""),92.69)</f>
        <v/>
      </c>
      <c r="G90" s="143">
        <f>IFERROR(__xludf.DUMMYFUNCTION("""COMPUTED_VALUE"""),2921989)</f>
        <v/>
      </c>
      <c r="H90" s="27" t="n"/>
    </row>
    <row r="91" ht="17.25" customHeight="1" s="322">
      <c r="A91" s="27" t="n"/>
      <c r="B91" s="506">
        <f>IFERROR(__xludf.DUMMYFUNCTION("""COMPUTED_VALUE"""),45958.6666666666)</f>
        <v/>
      </c>
      <c r="C91" s="141">
        <f>IFERROR(__xludf.DUMMYFUNCTION("""COMPUTED_VALUE"""),92.47)</f>
        <v/>
      </c>
      <c r="D91" s="141">
        <f>IFERROR(__xludf.DUMMYFUNCTION("""COMPUTED_VALUE"""),92.47)</f>
        <v/>
      </c>
      <c r="E91" s="141">
        <f>IFERROR(__xludf.DUMMYFUNCTION("""COMPUTED_VALUE"""),90.8)</f>
        <v/>
      </c>
      <c r="F91" s="141">
        <f>IFERROR(__xludf.DUMMYFUNCTION("""COMPUTED_VALUE"""),90.87)</f>
        <v/>
      </c>
      <c r="G91" s="143">
        <f>IFERROR(__xludf.DUMMYFUNCTION("""COMPUTED_VALUE"""),4636016)</f>
        <v/>
      </c>
      <c r="H91" s="27" t="n"/>
    </row>
    <row r="92" ht="17.25" customHeight="1" s="322">
      <c r="A92" s="27" t="n"/>
      <c r="B92" s="506">
        <f>IFERROR(__xludf.DUMMYFUNCTION("""COMPUTED_VALUE"""),45959.6666666666)</f>
        <v/>
      </c>
      <c r="C92" s="141">
        <f>IFERROR(__xludf.DUMMYFUNCTION("""COMPUTED_VALUE"""),90.2)</f>
        <v/>
      </c>
      <c r="D92" s="141">
        <f>IFERROR(__xludf.DUMMYFUNCTION("""COMPUTED_VALUE"""),90.36)</f>
        <v/>
      </c>
      <c r="E92" s="141">
        <f>IFERROR(__xludf.DUMMYFUNCTION("""COMPUTED_VALUE"""),88.23)</f>
        <v/>
      </c>
      <c r="F92" s="141">
        <f>IFERROR(__xludf.DUMMYFUNCTION("""COMPUTED_VALUE"""),88.53)</f>
        <v/>
      </c>
      <c r="G92" s="143">
        <f>IFERROR(__xludf.DUMMYFUNCTION("""COMPUTED_VALUE"""),5650116)</f>
        <v/>
      </c>
      <c r="H92" s="27" t="n"/>
    </row>
    <row r="93" ht="17.25" customHeight="1" s="322">
      <c r="A93" s="27" t="n"/>
      <c r="B93" s="506">
        <f>IFERROR(__xludf.DUMMYFUNCTION("""COMPUTED_VALUE"""),45960.6666666666)</f>
        <v/>
      </c>
      <c r="C93" s="141">
        <f>IFERROR(__xludf.DUMMYFUNCTION("""COMPUTED_VALUE"""),88.46)</f>
        <v/>
      </c>
      <c r="D93" s="141">
        <f>IFERROR(__xludf.DUMMYFUNCTION("""COMPUTED_VALUE"""),89.55)</f>
        <v/>
      </c>
      <c r="E93" s="141">
        <f>IFERROR(__xludf.DUMMYFUNCTION("""COMPUTED_VALUE"""),88.2)</f>
        <v/>
      </c>
      <c r="F93" s="141">
        <f>IFERROR(__xludf.DUMMYFUNCTION("""COMPUTED_VALUE"""),88.95)</f>
        <v/>
      </c>
      <c r="G93" s="143">
        <f>IFERROR(__xludf.DUMMYFUNCTION("""COMPUTED_VALUE"""),5183182)</f>
        <v/>
      </c>
      <c r="H93" s="27" t="n"/>
    </row>
    <row r="94" ht="17.25" customHeight="1" s="322">
      <c r="A94" s="27" t="n"/>
      <c r="B94" s="506">
        <f>IFERROR(__xludf.DUMMYFUNCTION("""COMPUTED_VALUE"""),45961.6666666666)</f>
        <v/>
      </c>
      <c r="C94" s="141">
        <f>IFERROR(__xludf.DUMMYFUNCTION("""COMPUTED_VALUE"""),88.5)</f>
        <v/>
      </c>
      <c r="D94" s="141">
        <f>IFERROR(__xludf.DUMMYFUNCTION("""COMPUTED_VALUE"""),89.48)</f>
        <v/>
      </c>
      <c r="E94" s="141">
        <f>IFERROR(__xludf.DUMMYFUNCTION("""COMPUTED_VALUE"""),88.17)</f>
        <v/>
      </c>
      <c r="F94" s="141">
        <f>IFERROR(__xludf.DUMMYFUNCTION("""COMPUTED_VALUE"""),89.18)</f>
        <v/>
      </c>
      <c r="G94" s="143">
        <f>IFERROR(__xludf.DUMMYFUNCTION("""COMPUTED_VALUE"""),3982699)</f>
        <v/>
      </c>
      <c r="H94" s="27" t="n"/>
    </row>
    <row r="95" ht="17.25" customHeight="1" s="322">
      <c r="A95" s="27" t="n"/>
      <c r="B95" s="506">
        <f>IFERROR(__xludf.DUMMYFUNCTION("""COMPUTED_VALUE"""),45964.6666666666)</f>
        <v/>
      </c>
      <c r="C95" s="141">
        <f>IFERROR(__xludf.DUMMYFUNCTION("""COMPUTED_VALUE"""),88.2)</f>
        <v/>
      </c>
      <c r="D95" s="141">
        <f>IFERROR(__xludf.DUMMYFUNCTION("""COMPUTED_VALUE"""),89.15)</f>
        <v/>
      </c>
      <c r="E95" s="141">
        <f>IFERROR(__xludf.DUMMYFUNCTION("""COMPUTED_VALUE"""),87.86)</f>
        <v/>
      </c>
      <c r="F95" s="141">
        <f>IFERROR(__xludf.DUMMYFUNCTION("""COMPUTED_VALUE"""),89.05)</f>
        <v/>
      </c>
      <c r="G95" s="143">
        <f>IFERROR(__xludf.DUMMYFUNCTION("""COMPUTED_VALUE"""),4522882)</f>
        <v/>
      </c>
      <c r="H95" s="27" t="n"/>
    </row>
    <row r="96" ht="17.25" customHeight="1" s="322">
      <c r="A96" s="27" t="n"/>
      <c r="B96" s="506">
        <f>IFERROR(__xludf.DUMMYFUNCTION("""COMPUTED_VALUE"""),45965.6666666666)</f>
        <v/>
      </c>
      <c r="C96" s="141">
        <f>IFERROR(__xludf.DUMMYFUNCTION("""COMPUTED_VALUE"""),89.24)</f>
        <v/>
      </c>
      <c r="D96" s="141">
        <f>IFERROR(__xludf.DUMMYFUNCTION("""COMPUTED_VALUE"""),89.33)</f>
        <v/>
      </c>
      <c r="E96" s="141">
        <f>IFERROR(__xludf.DUMMYFUNCTION("""COMPUTED_VALUE"""),88.76)</f>
        <v/>
      </c>
      <c r="F96" s="141">
        <f>IFERROR(__xludf.DUMMYFUNCTION("""COMPUTED_VALUE"""),89.2)</f>
        <v/>
      </c>
      <c r="G96" s="143">
        <f>IFERROR(__xludf.DUMMYFUNCTION("""COMPUTED_VALUE"""),4058678)</f>
        <v/>
      </c>
      <c r="H96" s="27" t="n"/>
    </row>
    <row r="97" ht="17.25" customHeight="1" s="322">
      <c r="A97" s="27" t="n"/>
      <c r="B97" s="506">
        <f>IFERROR(__xludf.DUMMYFUNCTION("""COMPUTED_VALUE"""),45966.6666666666)</f>
        <v/>
      </c>
      <c r="C97" s="141">
        <f>IFERROR(__xludf.DUMMYFUNCTION("""COMPUTED_VALUE"""),89.48)</f>
        <v/>
      </c>
      <c r="D97" s="141">
        <f>IFERROR(__xludf.DUMMYFUNCTION("""COMPUTED_VALUE"""),89.57)</f>
        <v/>
      </c>
      <c r="E97" s="141">
        <f>IFERROR(__xludf.DUMMYFUNCTION("""COMPUTED_VALUE"""),88.74)</f>
        <v/>
      </c>
      <c r="F97" s="141">
        <f>IFERROR(__xludf.DUMMYFUNCTION("""COMPUTED_VALUE"""),89.28)</f>
        <v/>
      </c>
      <c r="G97" s="143">
        <f>IFERROR(__xludf.DUMMYFUNCTION("""COMPUTED_VALUE"""),2886259)</f>
        <v/>
      </c>
      <c r="H97" s="27" t="n"/>
    </row>
    <row r="98" ht="17.25" customHeight="1" s="322">
      <c r="A98" s="27" t="n"/>
      <c r="B98" s="506">
        <f>IFERROR(__xludf.DUMMYFUNCTION("""COMPUTED_VALUE"""),45967.6666666666)</f>
        <v/>
      </c>
      <c r="C98" s="141">
        <f>IFERROR(__xludf.DUMMYFUNCTION("""COMPUTED_VALUE"""),89.19)</f>
        <v/>
      </c>
      <c r="D98" s="141">
        <f>IFERROR(__xludf.DUMMYFUNCTION("""COMPUTED_VALUE"""),89.55)</f>
        <v/>
      </c>
      <c r="E98" s="141">
        <f>IFERROR(__xludf.DUMMYFUNCTION("""COMPUTED_VALUE"""),88.82)</f>
        <v/>
      </c>
      <c r="F98" s="141">
        <f>IFERROR(__xludf.DUMMYFUNCTION("""COMPUTED_VALUE"""),88.85)</f>
        <v/>
      </c>
      <c r="G98" s="143">
        <f>IFERROR(__xludf.DUMMYFUNCTION("""COMPUTED_VALUE"""),3421589)</f>
        <v/>
      </c>
      <c r="H98" s="27" t="n"/>
    </row>
    <row r="99" ht="17.25" customHeight="1" s="322">
      <c r="A99" s="27" t="n"/>
      <c r="B99" s="506">
        <f>IFERROR(__xludf.DUMMYFUNCTION("""COMPUTED_VALUE"""),45968.6666666666)</f>
        <v/>
      </c>
      <c r="C99" s="141">
        <f>IFERROR(__xludf.DUMMYFUNCTION("""COMPUTED_VALUE"""),89.04)</f>
        <v/>
      </c>
      <c r="D99" s="141">
        <f>IFERROR(__xludf.DUMMYFUNCTION("""COMPUTED_VALUE"""),90.25)</f>
        <v/>
      </c>
      <c r="E99" s="141">
        <f>IFERROR(__xludf.DUMMYFUNCTION("""COMPUTED_VALUE"""),88.94)</f>
        <v/>
      </c>
      <c r="F99" s="141">
        <f>IFERROR(__xludf.DUMMYFUNCTION("""COMPUTED_VALUE"""),90.23)</f>
        <v/>
      </c>
      <c r="G99" s="143">
        <f>IFERROR(__xludf.DUMMYFUNCTION("""COMPUTED_VALUE"""),5277948)</f>
        <v/>
      </c>
      <c r="H99" s="27" t="n"/>
    </row>
    <row r="100" ht="17.25" customHeight="1" s="322">
      <c r="A100" s="27" t="n"/>
      <c r="B100" s="506">
        <f>IFERROR(__xludf.DUMMYFUNCTION("""COMPUTED_VALUE"""),45971.6666666666)</f>
        <v/>
      </c>
      <c r="C100" s="141">
        <f>IFERROR(__xludf.DUMMYFUNCTION("""COMPUTED_VALUE"""),90.02)</f>
        <v/>
      </c>
      <c r="D100" s="141">
        <f>IFERROR(__xludf.DUMMYFUNCTION("""COMPUTED_VALUE"""),90.58)</f>
        <v/>
      </c>
      <c r="E100" s="141">
        <f>IFERROR(__xludf.DUMMYFUNCTION("""COMPUTED_VALUE"""),89.65)</f>
        <v/>
      </c>
      <c r="F100" s="141">
        <f>IFERROR(__xludf.DUMMYFUNCTION("""COMPUTED_VALUE"""),90.18)</f>
        <v/>
      </c>
      <c r="G100" s="143">
        <f>IFERROR(__xludf.DUMMYFUNCTION("""COMPUTED_VALUE"""),3398185)</f>
        <v/>
      </c>
      <c r="H100" s="27" t="n"/>
    </row>
    <row r="101" ht="17.25" customHeight="1" s="322">
      <c r="A101" s="27" t="n"/>
      <c r="B101" s="506">
        <f>IFERROR(__xludf.DUMMYFUNCTION("""COMPUTED_VALUE"""),45972.6666666666)</f>
        <v/>
      </c>
      <c r="C101" s="141">
        <f>IFERROR(__xludf.DUMMYFUNCTION("""COMPUTED_VALUE"""),90.51)</f>
        <v/>
      </c>
      <c r="D101" s="141">
        <f>IFERROR(__xludf.DUMMYFUNCTION("""COMPUTED_VALUE"""),91.26)</f>
        <v/>
      </c>
      <c r="E101" s="141">
        <f>IFERROR(__xludf.DUMMYFUNCTION("""COMPUTED_VALUE"""),90.49)</f>
        <v/>
      </c>
      <c r="F101" s="141">
        <f>IFERROR(__xludf.DUMMYFUNCTION("""COMPUTED_VALUE"""),91.19)</f>
        <v/>
      </c>
      <c r="G101" s="143">
        <f>IFERROR(__xludf.DUMMYFUNCTION("""COMPUTED_VALUE"""),3190422)</f>
        <v/>
      </c>
      <c r="H101" s="27" t="n"/>
    </row>
    <row r="102" ht="17.25" customHeight="1" s="322">
      <c r="A102" s="27" t="n"/>
      <c r="B102" s="506">
        <f>IFERROR(__xludf.DUMMYFUNCTION("""COMPUTED_VALUE"""),45973.6666666666)</f>
        <v/>
      </c>
      <c r="C102" s="141">
        <f>IFERROR(__xludf.DUMMYFUNCTION("""COMPUTED_VALUE"""),90.75)</f>
        <v/>
      </c>
      <c r="D102" s="141">
        <f>IFERROR(__xludf.DUMMYFUNCTION("""COMPUTED_VALUE"""),91.17)</f>
        <v/>
      </c>
      <c r="E102" s="141">
        <f>IFERROR(__xludf.DUMMYFUNCTION("""COMPUTED_VALUE"""),90.48)</f>
        <v/>
      </c>
      <c r="F102" s="141">
        <f>IFERROR(__xludf.DUMMYFUNCTION("""COMPUTED_VALUE"""),90.51)</f>
        <v/>
      </c>
      <c r="G102" s="143">
        <f>IFERROR(__xludf.DUMMYFUNCTION("""COMPUTED_VALUE"""),3652436)</f>
        <v/>
      </c>
      <c r="H102" s="27" t="n"/>
    </row>
    <row r="103" ht="17.25" customHeight="1" s="322">
      <c r="A103" s="27" t="n"/>
      <c r="B103" s="506">
        <f>IFERROR(__xludf.DUMMYFUNCTION("""COMPUTED_VALUE"""),45974.6666666666)</f>
        <v/>
      </c>
      <c r="C103" s="141">
        <f>IFERROR(__xludf.DUMMYFUNCTION("""COMPUTED_VALUE"""),90.03)</f>
        <v/>
      </c>
      <c r="D103" s="141">
        <f>IFERROR(__xludf.DUMMYFUNCTION("""COMPUTED_VALUE"""),90.41)</f>
        <v/>
      </c>
      <c r="E103" s="141">
        <f>IFERROR(__xludf.DUMMYFUNCTION("""COMPUTED_VALUE"""),89.26)</f>
        <v/>
      </c>
      <c r="F103" s="141">
        <f>IFERROR(__xludf.DUMMYFUNCTION("""COMPUTED_VALUE"""),89.4)</f>
        <v/>
      </c>
      <c r="G103" s="143">
        <f>IFERROR(__xludf.DUMMYFUNCTION("""COMPUTED_VALUE"""),3734640)</f>
        <v/>
      </c>
      <c r="H103" s="27" t="n"/>
    </row>
    <row r="104" ht="17.25" customHeight="1" s="322">
      <c r="A104" s="27" t="n"/>
      <c r="B104" s="506">
        <f>IFERROR(__xludf.DUMMYFUNCTION("""COMPUTED_VALUE"""),45975.6666666666)</f>
        <v/>
      </c>
      <c r="C104" s="141">
        <f>IFERROR(__xludf.DUMMYFUNCTION("""COMPUTED_VALUE"""),89.63)</f>
        <v/>
      </c>
      <c r="D104" s="141">
        <f>IFERROR(__xludf.DUMMYFUNCTION("""COMPUTED_VALUE"""),89.74)</f>
        <v/>
      </c>
      <c r="E104" s="141">
        <f>IFERROR(__xludf.DUMMYFUNCTION("""COMPUTED_VALUE"""),89.1)</f>
        <v/>
      </c>
      <c r="F104" s="141">
        <f>IFERROR(__xludf.DUMMYFUNCTION("""COMPUTED_VALUE"""),89.59)</f>
        <v/>
      </c>
      <c r="G104" s="143">
        <f>IFERROR(__xludf.DUMMYFUNCTION("""COMPUTED_VALUE"""),3662866)</f>
        <v/>
      </c>
      <c r="H104" s="27" t="n"/>
    </row>
    <row r="105" ht="17.25" customHeight="1" s="322">
      <c r="A105" s="27" t="n"/>
      <c r="B105" s="506">
        <f>IFERROR(__xludf.DUMMYFUNCTION("""COMPUTED_VALUE"""),45978.6666666666)</f>
        <v/>
      </c>
      <c r="C105" s="141">
        <f>IFERROR(__xludf.DUMMYFUNCTION("""COMPUTED_VALUE"""),89.83)</f>
        <v/>
      </c>
      <c r="D105" s="141">
        <f>IFERROR(__xludf.DUMMYFUNCTION("""COMPUTED_VALUE"""),89.85)</f>
        <v/>
      </c>
      <c r="E105" s="141">
        <f>IFERROR(__xludf.DUMMYFUNCTION("""COMPUTED_VALUE"""),88.6)</f>
        <v/>
      </c>
      <c r="F105" s="141">
        <f>IFERROR(__xludf.DUMMYFUNCTION("""COMPUTED_VALUE"""),88.85)</f>
        <v/>
      </c>
      <c r="G105" s="143">
        <f>IFERROR(__xludf.DUMMYFUNCTION("""COMPUTED_VALUE"""),4072182)</f>
        <v/>
      </c>
      <c r="H105" s="27" t="n"/>
    </row>
    <row r="106" ht="17.25" customHeight="1" s="322">
      <c r="A106" s="27" t="n"/>
      <c r="B106" s="506">
        <f>IFERROR(__xludf.DUMMYFUNCTION("""COMPUTED_VALUE"""),45979.6666666666)</f>
        <v/>
      </c>
      <c r="C106" s="141">
        <f>IFERROR(__xludf.DUMMYFUNCTION("""COMPUTED_VALUE"""),88.81)</f>
        <v/>
      </c>
      <c r="D106" s="141">
        <f>IFERROR(__xludf.DUMMYFUNCTION("""COMPUTED_VALUE"""),89.47)</f>
        <v/>
      </c>
      <c r="E106" s="141">
        <f>IFERROR(__xludf.DUMMYFUNCTION("""COMPUTED_VALUE"""),88.57)</f>
        <v/>
      </c>
      <c r="F106" s="141">
        <f>IFERROR(__xludf.DUMMYFUNCTION("""COMPUTED_VALUE"""),89.21)</f>
        <v/>
      </c>
      <c r="G106" s="143">
        <f>IFERROR(__xludf.DUMMYFUNCTION("""COMPUTED_VALUE"""),4281473)</f>
        <v/>
      </c>
      <c r="H106" s="27" t="n"/>
    </row>
    <row r="107" ht="17.25" customHeight="1" s="322">
      <c r="A107" s="27" t="n"/>
      <c r="B107" s="506">
        <f>IFERROR(__xludf.DUMMYFUNCTION("""COMPUTED_VALUE"""),45980.6666666666)</f>
        <v/>
      </c>
      <c r="C107" s="141">
        <f>IFERROR(__xludf.DUMMYFUNCTION("""COMPUTED_VALUE"""),89.2)</f>
        <v/>
      </c>
      <c r="D107" s="141">
        <f>IFERROR(__xludf.DUMMYFUNCTION("""COMPUTED_VALUE"""),89.3)</f>
        <v/>
      </c>
      <c r="E107" s="141">
        <f>IFERROR(__xludf.DUMMYFUNCTION("""COMPUTED_VALUE"""),88.22)</f>
        <v/>
      </c>
      <c r="F107" s="141">
        <f>IFERROR(__xludf.DUMMYFUNCTION("""COMPUTED_VALUE"""),88.51)</f>
        <v/>
      </c>
      <c r="G107" s="143">
        <f>IFERROR(__xludf.DUMMYFUNCTION("""COMPUTED_VALUE"""),4029845)</f>
        <v/>
      </c>
      <c r="H107" s="27" t="n"/>
    </row>
    <row r="108" ht="17.25" customHeight="1" s="322">
      <c r="A108" s="27" t="n"/>
      <c r="B108" s="506">
        <f>IFERROR(__xludf.DUMMYFUNCTION("""COMPUTED_VALUE"""),45981.6666666666)</f>
        <v/>
      </c>
      <c r="C108" s="141">
        <f>IFERROR(__xludf.DUMMYFUNCTION("""COMPUTED_VALUE"""),89.07)</f>
        <v/>
      </c>
      <c r="D108" s="141">
        <f>IFERROR(__xludf.DUMMYFUNCTION("""COMPUTED_VALUE"""),89.57)</f>
        <v/>
      </c>
      <c r="E108" s="141">
        <f>IFERROR(__xludf.DUMMYFUNCTION("""COMPUTED_VALUE"""),88.11)</f>
        <v/>
      </c>
      <c r="F108" s="141">
        <f>IFERROR(__xludf.DUMMYFUNCTION("""COMPUTED_VALUE"""),88.14)</f>
        <v/>
      </c>
      <c r="G108" s="143">
        <f>IFERROR(__xludf.DUMMYFUNCTION("""COMPUTED_VALUE"""),5317008)</f>
        <v/>
      </c>
      <c r="H108" s="27" t="n"/>
    </row>
    <row r="109" ht="17.25" customHeight="1" s="322">
      <c r="A109" s="27" t="n"/>
      <c r="B109" s="506">
        <f>IFERROR(__xludf.DUMMYFUNCTION("""COMPUTED_VALUE"""),45982.6666666666)</f>
        <v/>
      </c>
      <c r="C109" s="141">
        <f>IFERROR(__xludf.DUMMYFUNCTION("""COMPUTED_VALUE"""),88.66)</f>
        <v/>
      </c>
      <c r="D109" s="141">
        <f>IFERROR(__xludf.DUMMYFUNCTION("""COMPUTED_VALUE"""),89.9)</f>
        <v/>
      </c>
      <c r="E109" s="141">
        <f>IFERROR(__xludf.DUMMYFUNCTION("""COMPUTED_VALUE"""),88.38)</f>
        <v/>
      </c>
      <c r="F109" s="141">
        <f>IFERROR(__xludf.DUMMYFUNCTION("""COMPUTED_VALUE"""),89.57)</f>
        <v/>
      </c>
      <c r="G109" s="143">
        <f>IFERROR(__xludf.DUMMYFUNCTION("""COMPUTED_VALUE"""),5770477)</f>
        <v/>
      </c>
      <c r="H109" s="27" t="n"/>
    </row>
    <row r="110" ht="17.25" customHeight="1" s="322">
      <c r="A110" s="27" t="n"/>
      <c r="B110" s="506">
        <f>IFERROR(__xludf.DUMMYFUNCTION("""COMPUTED_VALUE"""),45985.6666666666)</f>
        <v/>
      </c>
      <c r="C110" s="141">
        <f>IFERROR(__xludf.DUMMYFUNCTION("""COMPUTED_VALUE"""),89.64)</f>
        <v/>
      </c>
      <c r="D110" s="141">
        <f>IFERROR(__xludf.DUMMYFUNCTION("""COMPUTED_VALUE"""),89.94)</f>
        <v/>
      </c>
      <c r="E110" s="141">
        <f>IFERROR(__xludf.DUMMYFUNCTION("""COMPUTED_VALUE"""),89.09)</f>
        <v/>
      </c>
      <c r="F110" s="141">
        <f>IFERROR(__xludf.DUMMYFUNCTION("""COMPUTED_VALUE"""),89.81)</f>
        <v/>
      </c>
      <c r="G110" s="143">
        <f>IFERROR(__xludf.DUMMYFUNCTION("""COMPUTED_VALUE"""),3331007)</f>
        <v/>
      </c>
      <c r="H110" s="27" t="n"/>
    </row>
    <row r="111" ht="17.25" customHeight="1" s="322">
      <c r="A111" s="27" t="n"/>
      <c r="B111" s="506">
        <f>IFERROR(__xludf.DUMMYFUNCTION("""COMPUTED_VALUE"""),45986.6666666666)</f>
        <v/>
      </c>
      <c r="C111" s="141">
        <f>IFERROR(__xludf.DUMMYFUNCTION("""COMPUTED_VALUE"""),90.05)</f>
        <v/>
      </c>
      <c r="D111" s="141">
        <f>IFERROR(__xludf.DUMMYFUNCTION("""COMPUTED_VALUE"""),91.04)</f>
        <v/>
      </c>
      <c r="E111" s="141">
        <f>IFERROR(__xludf.DUMMYFUNCTION("""COMPUTED_VALUE"""),90.05)</f>
        <v/>
      </c>
      <c r="F111" s="141">
        <f>IFERROR(__xludf.DUMMYFUNCTION("""COMPUTED_VALUE"""),90.64)</f>
        <v/>
      </c>
      <c r="G111" s="143">
        <f>IFERROR(__xludf.DUMMYFUNCTION("""COMPUTED_VALUE"""),4230357)</f>
        <v/>
      </c>
      <c r="H111" s="27" t="n"/>
    </row>
    <row r="112" ht="17.25" customHeight="1" s="322">
      <c r="A112" s="27" t="n"/>
      <c r="B112" s="506">
        <f>IFERROR(__xludf.DUMMYFUNCTION("""COMPUTED_VALUE"""),45987.6666666666)</f>
        <v/>
      </c>
      <c r="C112" s="141">
        <f>IFERROR(__xludf.DUMMYFUNCTION("""COMPUTED_VALUE"""),90.43)</f>
        <v/>
      </c>
      <c r="D112" s="141">
        <f>IFERROR(__xludf.DUMMYFUNCTION("""COMPUTED_VALUE"""),91.57)</f>
        <v/>
      </c>
      <c r="E112" s="141">
        <f>IFERROR(__xludf.DUMMYFUNCTION("""COMPUTED_VALUE"""),90.39)</f>
        <v/>
      </c>
      <c r="F112" s="141">
        <f>IFERROR(__xludf.DUMMYFUNCTION("""COMPUTED_VALUE"""),91.04)</f>
        <v/>
      </c>
      <c r="G112" s="143">
        <f>IFERROR(__xludf.DUMMYFUNCTION("""COMPUTED_VALUE"""),3297995)</f>
        <v/>
      </c>
      <c r="H112" s="27" t="n"/>
    </row>
    <row r="113" ht="17.25" customHeight="1" s="322">
      <c r="A113" s="27" t="n"/>
      <c r="B113" s="506">
        <f>IFERROR(__xludf.DUMMYFUNCTION("""COMPUTED_VALUE"""),45989.5520833333)</f>
        <v/>
      </c>
      <c r="C113" s="141">
        <f>IFERROR(__xludf.DUMMYFUNCTION("""COMPUTED_VALUE"""),90.93)</f>
        <v/>
      </c>
      <c r="D113" s="141">
        <f>IFERROR(__xludf.DUMMYFUNCTION("""COMPUTED_VALUE"""),91.6)</f>
        <v/>
      </c>
      <c r="E113" s="141">
        <f>IFERROR(__xludf.DUMMYFUNCTION("""COMPUTED_VALUE"""),90.93)</f>
        <v/>
      </c>
      <c r="F113" s="141">
        <f>IFERROR(__xludf.DUMMYFUNCTION("""COMPUTED_VALUE"""),91.34)</f>
        <v/>
      </c>
      <c r="G113" s="143">
        <f>IFERROR(__xludf.DUMMYFUNCTION("""COMPUTED_VALUE"""),1627090)</f>
        <v/>
      </c>
      <c r="H113" s="27" t="n"/>
    </row>
    <row r="114" ht="17.25" customHeight="1" s="322">
      <c r="A114" s="27" t="n"/>
      <c r="B114" s="506">
        <f>IFERROR(__xludf.DUMMYFUNCTION("""COMPUTED_VALUE"""),45992.6666666666)</f>
        <v/>
      </c>
      <c r="C114" s="141">
        <f>IFERROR(__xludf.DUMMYFUNCTION("""COMPUTED_VALUE"""),90.45)</f>
        <v/>
      </c>
      <c r="D114" s="141">
        <f>IFERROR(__xludf.DUMMYFUNCTION("""COMPUTED_VALUE"""),90.81)</f>
        <v/>
      </c>
      <c r="E114" s="141">
        <f>IFERROR(__xludf.DUMMYFUNCTION("""COMPUTED_VALUE"""),90.23)</f>
        <v/>
      </c>
      <c r="F114" s="141">
        <f>IFERROR(__xludf.DUMMYFUNCTION("""COMPUTED_VALUE"""),90.29)</f>
        <v/>
      </c>
      <c r="G114" s="143">
        <f>IFERROR(__xludf.DUMMYFUNCTION("""COMPUTED_VALUE"""),3120840)</f>
        <v/>
      </c>
      <c r="H114" s="27" t="n"/>
    </row>
    <row r="115" ht="17.25" customHeight="1" s="322">
      <c r="A115" s="27" t="n"/>
      <c r="B115" s="506">
        <f>IFERROR(__xludf.DUMMYFUNCTION("""COMPUTED_VALUE"""),45993.6666666666)</f>
        <v/>
      </c>
      <c r="C115" s="141">
        <f>IFERROR(__xludf.DUMMYFUNCTION("""COMPUTED_VALUE"""),90.52)</f>
        <v/>
      </c>
      <c r="D115" s="141">
        <f>IFERROR(__xludf.DUMMYFUNCTION("""COMPUTED_VALUE"""),90.64)</f>
        <v/>
      </c>
      <c r="E115" s="141">
        <f>IFERROR(__xludf.DUMMYFUNCTION("""COMPUTED_VALUE"""),89.68)</f>
        <v/>
      </c>
      <c r="F115" s="141">
        <f>IFERROR(__xludf.DUMMYFUNCTION("""COMPUTED_VALUE"""),89.97)</f>
        <v/>
      </c>
      <c r="G115" s="143">
        <f>IFERROR(__xludf.DUMMYFUNCTION("""COMPUTED_VALUE"""),2737085)</f>
        <v/>
      </c>
      <c r="H115" s="27" t="n"/>
    </row>
    <row r="116" ht="17.25" customHeight="1" s="322">
      <c r="A116" s="27" t="n"/>
      <c r="B116" s="506">
        <f>IFERROR(__xludf.DUMMYFUNCTION("""COMPUTED_VALUE"""),45994.6666666666)</f>
        <v/>
      </c>
      <c r="C116" s="141">
        <f>IFERROR(__xludf.DUMMYFUNCTION("""COMPUTED_VALUE"""),89.86)</f>
        <v/>
      </c>
      <c r="D116" s="141">
        <f>IFERROR(__xludf.DUMMYFUNCTION("""COMPUTED_VALUE"""),90.42)</f>
        <v/>
      </c>
      <c r="E116" s="141">
        <f>IFERROR(__xludf.DUMMYFUNCTION("""COMPUTED_VALUE"""),89.81)</f>
        <v/>
      </c>
      <c r="F116" s="141">
        <f>IFERROR(__xludf.DUMMYFUNCTION("""COMPUTED_VALUE"""),90.2)</f>
        <v/>
      </c>
      <c r="G116" s="143">
        <f>IFERROR(__xludf.DUMMYFUNCTION("""COMPUTED_VALUE"""),3204263)</f>
        <v/>
      </c>
      <c r="H116" s="27" t="n"/>
    </row>
    <row r="117" ht="17.25" customHeight="1" s="322">
      <c r="A117" s="27" t="n"/>
      <c r="B117" s="506">
        <f>IFERROR(__xludf.DUMMYFUNCTION("""COMPUTED_VALUE"""),45995.6666666666)</f>
        <v/>
      </c>
      <c r="C117" s="141">
        <f>IFERROR(__xludf.DUMMYFUNCTION("""COMPUTED_VALUE"""),90.03)</f>
        <v/>
      </c>
      <c r="D117" s="141">
        <f>IFERROR(__xludf.DUMMYFUNCTION("""COMPUTED_VALUE"""),90.59)</f>
        <v/>
      </c>
      <c r="E117" s="141">
        <f>IFERROR(__xludf.DUMMYFUNCTION("""COMPUTED_VALUE"""),89.87)</f>
        <v/>
      </c>
      <c r="F117" s="141">
        <f>IFERROR(__xludf.DUMMYFUNCTION("""COMPUTED_VALUE"""),89.98)</f>
        <v/>
      </c>
      <c r="G117" s="143">
        <f>IFERROR(__xludf.DUMMYFUNCTION("""COMPUTED_VALUE"""),4837544)</f>
        <v/>
      </c>
      <c r="H117" s="27" t="n"/>
    </row>
    <row r="118" ht="17.25" customHeight="1" s="322">
      <c r="A118" s="27" t="n"/>
      <c r="B118" s="506">
        <f>IFERROR(__xludf.DUMMYFUNCTION("""COMPUTED_VALUE"""),45996.6666666666)</f>
        <v/>
      </c>
      <c r="C118" s="141">
        <f>IFERROR(__xludf.DUMMYFUNCTION("""COMPUTED_VALUE"""),89.82)</f>
        <v/>
      </c>
      <c r="D118" s="141">
        <f>IFERROR(__xludf.DUMMYFUNCTION("""COMPUTED_VALUE"""),90.35)</f>
        <v/>
      </c>
      <c r="E118" s="141">
        <f>IFERROR(__xludf.DUMMYFUNCTION("""COMPUTED_VALUE"""),89.72)</f>
        <v/>
      </c>
      <c r="F118" s="141">
        <f>IFERROR(__xludf.DUMMYFUNCTION("""COMPUTED_VALUE"""),89.88)</f>
        <v/>
      </c>
      <c r="G118" s="143">
        <f>IFERROR(__xludf.DUMMYFUNCTION("""COMPUTED_VALUE"""),3859884)</f>
        <v/>
      </c>
      <c r="H118" s="27" t="n"/>
    </row>
    <row r="119" ht="17.25" customHeight="1" s="322">
      <c r="A119" s="27" t="n"/>
      <c r="B119" s="506">
        <f>IFERROR(__xludf.DUMMYFUNCTION("""COMPUTED_VALUE"""),45999.6666666666)</f>
        <v/>
      </c>
      <c r="C119" s="141">
        <f>IFERROR(__xludf.DUMMYFUNCTION("""COMPUTED_VALUE"""),89.92)</f>
        <v/>
      </c>
      <c r="D119" s="141">
        <f>IFERROR(__xludf.DUMMYFUNCTION("""COMPUTED_VALUE"""),89.92)</f>
        <v/>
      </c>
      <c r="E119" s="141">
        <f>IFERROR(__xludf.DUMMYFUNCTION("""COMPUTED_VALUE"""),89.15)</f>
        <v/>
      </c>
      <c r="F119" s="141">
        <f>IFERROR(__xludf.DUMMYFUNCTION("""COMPUTED_VALUE"""),89.19)</f>
        <v/>
      </c>
      <c r="G119" s="143">
        <f>IFERROR(__xludf.DUMMYFUNCTION("""COMPUTED_VALUE"""),3971844)</f>
        <v/>
      </c>
      <c r="H119" s="27" t="n"/>
    </row>
    <row r="120" ht="17.25" customHeight="1" s="322">
      <c r="A120" s="27" t="n"/>
      <c r="B120" s="506">
        <f>IFERROR(__xludf.DUMMYFUNCTION("""COMPUTED_VALUE"""),46000.6666666666)</f>
        <v/>
      </c>
      <c r="C120" s="141">
        <f>IFERROR(__xludf.DUMMYFUNCTION("""COMPUTED_VALUE"""),89.44)</f>
        <v/>
      </c>
      <c r="D120" s="141">
        <f>IFERROR(__xludf.DUMMYFUNCTION("""COMPUTED_VALUE"""),89.98)</f>
        <v/>
      </c>
      <c r="E120" s="141">
        <f>IFERROR(__xludf.DUMMYFUNCTION("""COMPUTED_VALUE"""),88.82)</f>
        <v/>
      </c>
      <c r="F120" s="141">
        <f>IFERROR(__xludf.DUMMYFUNCTION("""COMPUTED_VALUE"""),88.85)</f>
        <v/>
      </c>
      <c r="G120" s="143">
        <f>IFERROR(__xludf.DUMMYFUNCTION("""COMPUTED_VALUE"""),4194036)</f>
        <v/>
      </c>
      <c r="H120" s="27" t="n"/>
    </row>
    <row r="121" ht="17.25" customHeight="1" s="322">
      <c r="A121" s="27" t="n"/>
      <c r="B121" s="506">
        <f>IFERROR(__xludf.DUMMYFUNCTION("""COMPUTED_VALUE"""),46001.6666666666)</f>
        <v/>
      </c>
      <c r="C121" s="141">
        <f>IFERROR(__xludf.DUMMYFUNCTION("""COMPUTED_VALUE"""),89.13)</f>
        <v/>
      </c>
      <c r="D121" s="141">
        <f>IFERROR(__xludf.DUMMYFUNCTION("""COMPUTED_VALUE"""),89.81)</f>
        <v/>
      </c>
      <c r="E121" s="141">
        <f>IFERROR(__xludf.DUMMYFUNCTION("""COMPUTED_VALUE"""),89.01)</f>
        <v/>
      </c>
      <c r="F121" s="141">
        <f>IFERROR(__xludf.DUMMYFUNCTION("""COMPUTED_VALUE"""),89.17)</f>
        <v/>
      </c>
      <c r="G121" s="143">
        <f>IFERROR(__xludf.DUMMYFUNCTION("""COMPUTED_VALUE"""),4633433)</f>
        <v/>
      </c>
      <c r="H121" s="27" t="n"/>
    </row>
    <row r="122" ht="17.25" customHeight="1" s="322">
      <c r="A122" s="27" t="n"/>
      <c r="B122" s="506">
        <f>IFERROR(__xludf.DUMMYFUNCTION("""COMPUTED_VALUE"""),46002.6666666666)</f>
        <v/>
      </c>
      <c r="C122" s="141">
        <f>IFERROR(__xludf.DUMMYFUNCTION("""COMPUTED_VALUE"""),89.43)</f>
        <v/>
      </c>
      <c r="D122" s="141">
        <f>IFERROR(__xludf.DUMMYFUNCTION("""COMPUTED_VALUE"""),89.92)</f>
        <v/>
      </c>
      <c r="E122" s="141">
        <f>IFERROR(__xludf.DUMMYFUNCTION("""COMPUTED_VALUE"""),89.26)</f>
        <v/>
      </c>
      <c r="F122" s="141">
        <f>IFERROR(__xludf.DUMMYFUNCTION("""COMPUTED_VALUE"""),89.56)</f>
        <v/>
      </c>
      <c r="G122" s="143">
        <f>IFERROR(__xludf.DUMMYFUNCTION("""COMPUTED_VALUE"""),5207398)</f>
        <v/>
      </c>
      <c r="H122" s="27" t="n"/>
    </row>
    <row r="123" ht="17.25" customHeight="1" s="322">
      <c r="A123" s="27" t="n"/>
      <c r="B123" s="506">
        <f>IFERROR(__xludf.DUMMYFUNCTION("""COMPUTED_VALUE"""),46003.6666666666)</f>
        <v/>
      </c>
      <c r="C123" s="141">
        <f>IFERROR(__xludf.DUMMYFUNCTION("""COMPUTED_VALUE"""),89.95)</f>
        <v/>
      </c>
      <c r="D123" s="141">
        <f>IFERROR(__xludf.DUMMYFUNCTION("""COMPUTED_VALUE"""),90.27)</f>
        <v/>
      </c>
      <c r="E123" s="141">
        <f>IFERROR(__xludf.DUMMYFUNCTION("""COMPUTED_VALUE"""),89.23)</f>
        <v/>
      </c>
      <c r="F123" s="141">
        <f>IFERROR(__xludf.DUMMYFUNCTION("""COMPUTED_VALUE"""),89.45)</f>
        <v/>
      </c>
      <c r="G123" s="143">
        <f>IFERROR(__xludf.DUMMYFUNCTION("""COMPUTED_VALUE"""),3855912)</f>
        <v/>
      </c>
      <c r="H123" s="27" t="n"/>
    </row>
    <row r="124" ht="17.25" customHeight="1" s="322">
      <c r="A124" s="27" t="n"/>
      <c r="B124" s="506">
        <f>IFERROR(__xludf.DUMMYFUNCTION("""COMPUTED_VALUE"""),46006.6666666666)</f>
        <v/>
      </c>
      <c r="C124" s="141">
        <f>IFERROR(__xludf.DUMMYFUNCTION("""COMPUTED_VALUE"""),89.82)</f>
        <v/>
      </c>
      <c r="D124" s="141">
        <f>IFERROR(__xludf.DUMMYFUNCTION("""COMPUTED_VALUE"""),89.88)</f>
        <v/>
      </c>
      <c r="E124" s="141">
        <f>IFERROR(__xludf.DUMMYFUNCTION("""COMPUTED_VALUE"""),89.1)</f>
        <v/>
      </c>
      <c r="F124" s="141">
        <f>IFERROR(__xludf.DUMMYFUNCTION("""COMPUTED_VALUE"""),89.73)</f>
        <v/>
      </c>
      <c r="G124" s="143">
        <f>IFERROR(__xludf.DUMMYFUNCTION("""COMPUTED_VALUE"""),3915126)</f>
        <v/>
      </c>
      <c r="H124" s="27" t="n"/>
    </row>
    <row r="125" ht="17.25" customHeight="1" s="322">
      <c r="A125" s="27" t="n"/>
      <c r="B125" s="506">
        <f>IFERROR(__xludf.DUMMYFUNCTION("""COMPUTED_VALUE"""),46007.6666666666)</f>
        <v/>
      </c>
      <c r="C125" s="141">
        <f>IFERROR(__xludf.DUMMYFUNCTION("""COMPUTED_VALUE"""),89.65)</f>
        <v/>
      </c>
      <c r="D125" s="141">
        <f>IFERROR(__xludf.DUMMYFUNCTION("""COMPUTED_VALUE"""),89.98)</f>
        <v/>
      </c>
      <c r="E125" s="141">
        <f>IFERROR(__xludf.DUMMYFUNCTION("""COMPUTED_VALUE"""),88.93)</f>
        <v/>
      </c>
      <c r="F125" s="141">
        <f>IFERROR(__xludf.DUMMYFUNCTION("""COMPUTED_VALUE"""),89.07)</f>
        <v/>
      </c>
      <c r="G125" s="143">
        <f>IFERROR(__xludf.DUMMYFUNCTION("""COMPUTED_VALUE"""),3717881)</f>
        <v/>
      </c>
      <c r="H125" s="27" t="n"/>
    </row>
    <row r="126" ht="17.25" customHeight="1" s="322">
      <c r="A126" s="27" t="n"/>
      <c r="B126" s="506">
        <f>IFERROR(__xludf.DUMMYFUNCTION("""COMPUTED_VALUE"""),46008.6666666666)</f>
        <v/>
      </c>
      <c r="C126" s="141">
        <f>IFERROR(__xludf.DUMMYFUNCTION("""COMPUTED_VALUE"""),88.99)</f>
        <v/>
      </c>
      <c r="D126" s="141">
        <f>IFERROR(__xludf.DUMMYFUNCTION("""COMPUTED_VALUE"""),89.76)</f>
        <v/>
      </c>
      <c r="E126" s="141">
        <f>IFERROR(__xludf.DUMMYFUNCTION("""COMPUTED_VALUE"""),88.98)</f>
        <v/>
      </c>
      <c r="F126" s="141">
        <f>IFERROR(__xludf.DUMMYFUNCTION("""COMPUTED_VALUE"""),89.4)</f>
        <v/>
      </c>
      <c r="G126" s="143">
        <f>IFERROR(__xludf.DUMMYFUNCTION("""COMPUTED_VALUE"""),3715500)</f>
        <v/>
      </c>
      <c r="H126" s="27" t="n"/>
    </row>
    <row r="127" ht="17.25" customHeight="1" s="322">
      <c r="A127" s="27" t="n"/>
      <c r="B127" s="506">
        <f>IFERROR(__xludf.DUMMYFUNCTION("""COMPUTED_VALUE"""),46009.6666666666)</f>
        <v/>
      </c>
      <c r="C127" s="141">
        <f>IFERROR(__xludf.DUMMYFUNCTION("""COMPUTED_VALUE"""),89.84)</f>
        <v/>
      </c>
      <c r="D127" s="141">
        <f>IFERROR(__xludf.DUMMYFUNCTION("""COMPUTED_VALUE"""),89.99)</f>
        <v/>
      </c>
      <c r="E127" s="141">
        <f>IFERROR(__xludf.DUMMYFUNCTION("""COMPUTED_VALUE"""),88.83)</f>
        <v/>
      </c>
      <c r="F127" s="141">
        <f>IFERROR(__xludf.DUMMYFUNCTION("""COMPUTED_VALUE"""),88.93)</f>
        <v/>
      </c>
      <c r="G127" s="143">
        <f>IFERROR(__xludf.DUMMYFUNCTION("""COMPUTED_VALUE"""),3818063)</f>
        <v/>
      </c>
      <c r="H127" s="27" t="n"/>
    </row>
    <row r="128" ht="17.25" customHeight="1" s="322">
      <c r="A128" s="27" t="n"/>
      <c r="B128" s="506">
        <f>IFERROR(__xludf.DUMMYFUNCTION("""COMPUTED_VALUE"""),46010.6666666666)</f>
        <v/>
      </c>
      <c r="C128" s="141">
        <f>IFERROR(__xludf.DUMMYFUNCTION("""COMPUTED_VALUE"""),88.67)</f>
        <v/>
      </c>
      <c r="D128" s="141">
        <f>IFERROR(__xludf.DUMMYFUNCTION("""COMPUTED_VALUE"""),89.17)</f>
        <v/>
      </c>
      <c r="E128" s="141">
        <f>IFERROR(__xludf.DUMMYFUNCTION("""COMPUTED_VALUE"""),88.55)</f>
        <v/>
      </c>
      <c r="F128" s="141">
        <f>IFERROR(__xludf.DUMMYFUNCTION("""COMPUTED_VALUE"""),88.59)</f>
        <v/>
      </c>
      <c r="G128" s="143">
        <f>IFERROR(__xludf.DUMMYFUNCTION("""COMPUTED_VALUE"""),4162336)</f>
        <v/>
      </c>
      <c r="H128" s="27" t="n"/>
    </row>
    <row r="129" ht="17.25" customHeight="1" s="322">
      <c r="A129" s="27" t="n"/>
      <c r="B129" s="506">
        <f>IFERROR(__xludf.DUMMYFUNCTION("""COMPUTED_VALUE"""),46013.6666666666)</f>
        <v/>
      </c>
      <c r="C129" s="141">
        <f>IFERROR(__xludf.DUMMYFUNCTION("""COMPUTED_VALUE"""),87.65)</f>
        <v/>
      </c>
      <c r="D129" s="141">
        <f>IFERROR(__xludf.DUMMYFUNCTION("""COMPUTED_VALUE"""),88.37)</f>
        <v/>
      </c>
      <c r="E129" s="141">
        <f>IFERROR(__xludf.DUMMYFUNCTION("""COMPUTED_VALUE"""),87.48)</f>
        <v/>
      </c>
      <c r="F129" s="141">
        <f>IFERROR(__xludf.DUMMYFUNCTION("""COMPUTED_VALUE"""),88.24)</f>
        <v/>
      </c>
      <c r="G129" s="143">
        <f>IFERROR(__xludf.DUMMYFUNCTION("""COMPUTED_VALUE"""),3594008)</f>
        <v/>
      </c>
      <c r="H129" s="27" t="n"/>
    </row>
    <row r="130" ht="17.25" customHeight="1" s="322">
      <c r="A130" s="27" t="n"/>
      <c r="B130" s="506">
        <f>IFERROR(__xludf.DUMMYFUNCTION("""COMPUTED_VALUE"""),46014.6666666666)</f>
        <v/>
      </c>
      <c r="C130" s="141">
        <f>IFERROR(__xludf.DUMMYFUNCTION("""COMPUTED_VALUE"""),88.28)</f>
        <v/>
      </c>
      <c r="D130" s="141">
        <f>IFERROR(__xludf.DUMMYFUNCTION("""COMPUTED_VALUE"""),88.28)</f>
        <v/>
      </c>
      <c r="E130" s="141">
        <f>IFERROR(__xludf.DUMMYFUNCTION("""COMPUTED_VALUE"""),87.87)</f>
        <v/>
      </c>
      <c r="F130" s="141">
        <f>IFERROR(__xludf.DUMMYFUNCTION("""COMPUTED_VALUE"""),88.18)</f>
        <v/>
      </c>
      <c r="G130" s="143">
        <f>IFERROR(__xludf.DUMMYFUNCTION("""COMPUTED_VALUE"""),3955916)</f>
        <v/>
      </c>
      <c r="H130" s="27" t="n"/>
    </row>
    <row r="131" ht="17.25" customHeight="1" s="322">
      <c r="A131" s="27" t="n"/>
      <c r="B131" s="506">
        <f>IFERROR(__xludf.DUMMYFUNCTION("""COMPUTED_VALUE"""),46015.5416666666)</f>
        <v/>
      </c>
      <c r="C131" s="141">
        <f>IFERROR(__xludf.DUMMYFUNCTION("""COMPUTED_VALUE"""),88.21)</f>
        <v/>
      </c>
      <c r="D131" s="141">
        <f>IFERROR(__xludf.DUMMYFUNCTION("""COMPUTED_VALUE"""),88.91)</f>
        <v/>
      </c>
      <c r="E131" s="141">
        <f>IFERROR(__xludf.DUMMYFUNCTION("""COMPUTED_VALUE"""),88.21)</f>
        <v/>
      </c>
      <c r="F131" s="141">
        <f>IFERROR(__xludf.DUMMYFUNCTION("""COMPUTED_VALUE"""),88.76)</f>
        <v/>
      </c>
      <c r="G131" s="143">
        <f>IFERROR(__xludf.DUMMYFUNCTION("""COMPUTED_VALUE"""),2730765)</f>
        <v/>
      </c>
      <c r="H131" s="27" t="n"/>
    </row>
    <row r="132" ht="17.25" customHeight="1" s="322">
      <c r="A132" s="27" t="n"/>
      <c r="B132" s="506">
        <f>IFERROR(__xludf.DUMMYFUNCTION("""COMPUTED_VALUE"""),46017.6666666666)</f>
        <v/>
      </c>
      <c r="C132" s="141">
        <f>IFERROR(__xludf.DUMMYFUNCTION("""COMPUTED_VALUE"""),88.7)</f>
        <v/>
      </c>
      <c r="D132" s="141">
        <f>IFERROR(__xludf.DUMMYFUNCTION("""COMPUTED_VALUE"""),88.92)</f>
        <v/>
      </c>
      <c r="E132" s="141">
        <f>IFERROR(__xludf.DUMMYFUNCTION("""COMPUTED_VALUE"""),88.46)</f>
        <v/>
      </c>
      <c r="F132" s="141">
        <f>IFERROR(__xludf.DUMMYFUNCTION("""COMPUTED_VALUE"""),88.86)</f>
        <v/>
      </c>
      <c r="G132" s="143">
        <f>IFERROR(__xludf.DUMMYFUNCTION("""COMPUTED_VALUE"""),2065781)</f>
        <v/>
      </c>
      <c r="H132" s="27" t="n"/>
    </row>
    <row r="133" ht="17.25" customHeight="1" s="322">
      <c r="A133" s="27" t="n"/>
      <c r="B133" s="506">
        <f>IFERROR(__xludf.DUMMYFUNCTION("""COMPUTED_VALUE"""),46020.6666666666)</f>
        <v/>
      </c>
      <c r="C133" s="141">
        <f>IFERROR(__xludf.DUMMYFUNCTION("""COMPUTED_VALUE"""),89.24)</f>
        <v/>
      </c>
      <c r="D133" s="141">
        <f>IFERROR(__xludf.DUMMYFUNCTION("""COMPUTED_VALUE"""),89.33)</f>
        <v/>
      </c>
      <c r="E133" s="141">
        <f>IFERROR(__xludf.DUMMYFUNCTION("""COMPUTED_VALUE"""),88.79)</f>
        <v/>
      </c>
      <c r="F133" s="141">
        <f>IFERROR(__xludf.DUMMYFUNCTION("""COMPUTED_VALUE"""),89.04)</f>
        <v/>
      </c>
      <c r="G133" s="143">
        <f>IFERROR(__xludf.DUMMYFUNCTION("""COMPUTED_VALUE"""),2604009)</f>
        <v/>
      </c>
      <c r="H133" s="27" t="n"/>
    </row>
    <row r="134" ht="17.25" customHeight="1" s="322">
      <c r="A134" s="27" t="n"/>
      <c r="B134" s="506">
        <f>IFERROR(__xludf.DUMMYFUNCTION("""COMPUTED_VALUE"""),46021.6666666666)</f>
        <v/>
      </c>
      <c r="C134" s="141">
        <f>IFERROR(__xludf.DUMMYFUNCTION("""COMPUTED_VALUE"""),89.1)</f>
        <v/>
      </c>
      <c r="D134" s="141">
        <f>IFERROR(__xludf.DUMMYFUNCTION("""COMPUTED_VALUE"""),89.27)</f>
        <v/>
      </c>
      <c r="E134" s="141">
        <f>IFERROR(__xludf.DUMMYFUNCTION("""COMPUTED_VALUE"""),88.92)</f>
        <v/>
      </c>
      <c r="F134" s="141">
        <f>IFERROR(__xludf.DUMMYFUNCTION("""COMPUTED_VALUE"""),89.22)</f>
        <v/>
      </c>
      <c r="G134" s="143">
        <f>IFERROR(__xludf.DUMMYFUNCTION("""COMPUTED_VALUE"""),2813521)</f>
        <v/>
      </c>
      <c r="H134" s="27" t="n"/>
    </row>
    <row r="135" ht="17.25" customHeight="1" s="322">
      <c r="A135" s="27" t="n"/>
      <c r="B135" s="506">
        <f>IFERROR(__xludf.DUMMYFUNCTION("""COMPUTED_VALUE"""),46022.6666666666)</f>
        <v/>
      </c>
      <c r="C135" s="141">
        <f>IFERROR(__xludf.DUMMYFUNCTION("""COMPUTED_VALUE"""),89.18)</f>
        <v/>
      </c>
      <c r="D135" s="141">
        <f>IFERROR(__xludf.DUMMYFUNCTION("""COMPUTED_VALUE"""),89.2)</f>
        <v/>
      </c>
      <c r="E135" s="141">
        <f>IFERROR(__xludf.DUMMYFUNCTION("""COMPUTED_VALUE"""),88.45)</f>
        <v/>
      </c>
      <c r="F135" s="141">
        <f>IFERROR(__xludf.DUMMYFUNCTION("""COMPUTED_VALUE"""),88.49)</f>
        <v/>
      </c>
      <c r="G135" s="143">
        <f>IFERROR(__xludf.DUMMYFUNCTION("""COMPUTED_VALUE"""),3301734)</f>
        <v/>
      </c>
      <c r="H135" s="27" t="n"/>
    </row>
    <row r="136" ht="17.25" customHeight="1" s="322">
      <c r="A136" s="27" t="n"/>
      <c r="B136" s="506">
        <f>IFERROR(__xludf.DUMMYFUNCTION("""COMPUTED_VALUE"""),46024.6666666666)</f>
        <v/>
      </c>
      <c r="C136" s="141">
        <f>IFERROR(__xludf.DUMMYFUNCTION("""COMPUTED_VALUE"""),88.37)</f>
        <v/>
      </c>
      <c r="D136" s="141">
        <f>IFERROR(__xludf.DUMMYFUNCTION("""COMPUTED_VALUE"""),88.85)</f>
        <v/>
      </c>
      <c r="E136" s="141">
        <f>IFERROR(__xludf.DUMMYFUNCTION("""COMPUTED_VALUE"""),87.84)</f>
        <v/>
      </c>
      <c r="F136" s="141">
        <f>IFERROR(__xludf.DUMMYFUNCTION("""COMPUTED_VALUE"""),88.52)</f>
        <v/>
      </c>
      <c r="G136" s="143">
        <f>IFERROR(__xludf.DUMMYFUNCTION("""COMPUTED_VALUE"""),3524509)</f>
        <v/>
      </c>
      <c r="H136" s="27" t="n"/>
    </row>
    <row r="137" ht="17.25" customHeight="1" s="322">
      <c r="A137" s="27" t="n"/>
      <c r="B137" s="506">
        <f>IFERROR(__xludf.DUMMYFUNCTION("""COMPUTED_VALUE"""),46027.6666666666)</f>
        <v/>
      </c>
      <c r="C137" s="141">
        <f>IFERROR(__xludf.DUMMYFUNCTION("""COMPUTED_VALUE"""),88.3)</f>
        <v/>
      </c>
      <c r="D137" s="141">
        <f>IFERROR(__xludf.DUMMYFUNCTION("""COMPUTED_VALUE"""),89.07)</f>
        <v/>
      </c>
      <c r="E137" s="141">
        <f>IFERROR(__xludf.DUMMYFUNCTION("""COMPUTED_VALUE"""),87.88)</f>
        <v/>
      </c>
      <c r="F137" s="141">
        <f>IFERROR(__xludf.DUMMYFUNCTION("""COMPUTED_VALUE"""),88.72)</f>
        <v/>
      </c>
      <c r="G137" s="143">
        <f>IFERROR(__xludf.DUMMYFUNCTION("""COMPUTED_VALUE"""),5501563)</f>
        <v/>
      </c>
      <c r="H137" s="27" t="n"/>
    </row>
    <row r="138" ht="17.25" customHeight="1" s="322">
      <c r="A138" s="27" t="n"/>
      <c r="B138" s="506">
        <f>IFERROR(__xludf.DUMMYFUNCTION("""COMPUTED_VALUE"""),46028.6666666666)</f>
        <v/>
      </c>
      <c r="C138" s="141">
        <f>IFERROR(__xludf.DUMMYFUNCTION("""COMPUTED_VALUE"""),88.38)</f>
        <v/>
      </c>
      <c r="D138" s="141">
        <f>IFERROR(__xludf.DUMMYFUNCTION("""COMPUTED_VALUE"""),89.58)</f>
        <v/>
      </c>
      <c r="E138" s="141">
        <f>IFERROR(__xludf.DUMMYFUNCTION("""COMPUTED_VALUE"""),88.28)</f>
        <v/>
      </c>
      <c r="F138" s="141">
        <f>IFERROR(__xludf.DUMMYFUNCTION("""COMPUTED_VALUE"""),89.37)</f>
        <v/>
      </c>
      <c r="G138" s="143">
        <f>IFERROR(__xludf.DUMMYFUNCTION("""COMPUTED_VALUE"""),4889819)</f>
        <v/>
      </c>
      <c r="H138" s="27" t="n"/>
    </row>
    <row r="139" ht="17.25" customHeight="1" s="322">
      <c r="A139" s="27" t="n"/>
      <c r="B139" s="506">
        <f>IFERROR(__xludf.DUMMYFUNCTION("""COMPUTED_VALUE"""),46029.6666666666)</f>
        <v/>
      </c>
      <c r="C139" s="141">
        <f>IFERROR(__xludf.DUMMYFUNCTION("""COMPUTED_VALUE"""),89.87)</f>
        <v/>
      </c>
      <c r="D139" s="141">
        <f>IFERROR(__xludf.DUMMYFUNCTION("""COMPUTED_VALUE"""),90.01)</f>
        <v/>
      </c>
      <c r="E139" s="141">
        <f>IFERROR(__xludf.DUMMYFUNCTION("""COMPUTED_VALUE"""),88.48)</f>
        <v/>
      </c>
      <c r="F139" s="141">
        <f>IFERROR(__xludf.DUMMYFUNCTION("""COMPUTED_VALUE"""),88.5)</f>
        <v/>
      </c>
      <c r="G139" s="143">
        <f>IFERROR(__xludf.DUMMYFUNCTION("""COMPUTED_VALUE"""),6668177)</f>
        <v/>
      </c>
      <c r="H139" s="27" t="n"/>
    </row>
    <row r="140" ht="17.25" customHeight="1" s="322">
      <c r="A140" s="27" t="n"/>
      <c r="B140" s="506">
        <f>IFERROR(__xludf.DUMMYFUNCTION("""COMPUTED_VALUE"""),46030.6666666666)</f>
        <v/>
      </c>
      <c r="C140" s="141">
        <f>IFERROR(__xludf.DUMMYFUNCTION("""COMPUTED_VALUE"""),88.1)</f>
        <v/>
      </c>
      <c r="D140" s="141">
        <f>IFERROR(__xludf.DUMMYFUNCTION("""COMPUTED_VALUE"""),89.63)</f>
        <v/>
      </c>
      <c r="E140" s="141">
        <f>IFERROR(__xludf.DUMMYFUNCTION("""COMPUTED_VALUE"""),88.01)</f>
        <v/>
      </c>
      <c r="F140" s="141">
        <f>IFERROR(__xludf.DUMMYFUNCTION("""COMPUTED_VALUE"""),89.29)</f>
        <v/>
      </c>
      <c r="G140" s="143">
        <f>IFERROR(__xludf.DUMMYFUNCTION("""COMPUTED_VALUE"""),5165995)</f>
        <v/>
      </c>
      <c r="H140" s="27" t="n"/>
    </row>
    <row r="141" ht="17.25" customHeight="1" s="322">
      <c r="A141" s="27" t="n"/>
      <c r="B141" s="506">
        <f>IFERROR(__xludf.DUMMYFUNCTION("""COMPUTED_VALUE"""),46031.6666666666)</f>
        <v/>
      </c>
      <c r="C141" s="141">
        <f>IFERROR(__xludf.DUMMYFUNCTION("""COMPUTED_VALUE"""),89.31)</f>
        <v/>
      </c>
      <c r="D141" s="141">
        <f>IFERROR(__xludf.DUMMYFUNCTION("""COMPUTED_VALUE"""),90.02)</f>
        <v/>
      </c>
      <c r="E141" s="141">
        <f>IFERROR(__xludf.DUMMYFUNCTION("""COMPUTED_VALUE"""),89.31)</f>
        <v/>
      </c>
      <c r="F141" s="141">
        <f>IFERROR(__xludf.DUMMYFUNCTION("""COMPUTED_VALUE"""),89.47)</f>
        <v/>
      </c>
      <c r="G141" s="143">
        <f>IFERROR(__xludf.DUMMYFUNCTION("""COMPUTED_VALUE"""),4126084)</f>
        <v/>
      </c>
      <c r="H141" s="27" t="n"/>
    </row>
    <row r="142" ht="17.25" customHeight="1" s="322">
      <c r="A142" s="27" t="n"/>
      <c r="B142" s="506">
        <f>IFERROR(__xludf.DUMMYFUNCTION("""COMPUTED_VALUE"""),46034.6666666666)</f>
        <v/>
      </c>
      <c r="C142" s="141">
        <f>IFERROR(__xludf.DUMMYFUNCTION("""COMPUTED_VALUE"""),89.58)</f>
        <v/>
      </c>
      <c r="D142" s="141">
        <f>IFERROR(__xludf.DUMMYFUNCTION("""COMPUTED_VALUE"""),89.96)</f>
        <v/>
      </c>
      <c r="E142" s="141">
        <f>IFERROR(__xludf.DUMMYFUNCTION("""COMPUTED_VALUE"""),89.32)</f>
        <v/>
      </c>
      <c r="F142" s="141">
        <f>IFERROR(__xludf.DUMMYFUNCTION("""COMPUTED_VALUE"""),89.59)</f>
        <v/>
      </c>
      <c r="G142" s="143">
        <f>IFERROR(__xludf.DUMMYFUNCTION("""COMPUTED_VALUE"""),3342583)</f>
        <v/>
      </c>
      <c r="H142" s="27" t="n"/>
    </row>
    <row r="143" ht="17.25" customHeight="1" s="322">
      <c r="A143" s="27" t="n"/>
      <c r="B143" s="506">
        <f>IFERROR(__xludf.DUMMYFUNCTION("""COMPUTED_VALUE"""),46035.6666666666)</f>
        <v/>
      </c>
      <c r="C143" s="141">
        <f>IFERROR(__xludf.DUMMYFUNCTION("""COMPUTED_VALUE"""),89.62)</f>
        <v/>
      </c>
      <c r="D143" s="141">
        <f>IFERROR(__xludf.DUMMYFUNCTION("""COMPUTED_VALUE"""),90.16)</f>
        <v/>
      </c>
      <c r="E143" s="141">
        <f>IFERROR(__xludf.DUMMYFUNCTION("""COMPUTED_VALUE"""),88.81)</f>
        <v/>
      </c>
      <c r="F143" s="141">
        <f>IFERROR(__xludf.DUMMYFUNCTION("""COMPUTED_VALUE"""),90.09)</f>
        <v/>
      </c>
      <c r="G143" s="143">
        <f>IFERROR(__xludf.DUMMYFUNCTION("""COMPUTED_VALUE"""),3085327)</f>
        <v/>
      </c>
      <c r="H143" s="27" t="n"/>
    </row>
    <row r="144" ht="17.25" customHeight="1" s="322">
      <c r="A144" s="27" t="n"/>
      <c r="B144" s="506">
        <f>IFERROR(__xludf.DUMMYFUNCTION("""COMPUTED_VALUE"""),46036.6666666666)</f>
        <v/>
      </c>
      <c r="C144" s="141">
        <f>IFERROR(__xludf.DUMMYFUNCTION("""COMPUTED_VALUE"""),90.09)</f>
        <v/>
      </c>
      <c r="D144" s="141">
        <f>IFERROR(__xludf.DUMMYFUNCTION("""COMPUTED_VALUE"""),90.89)</f>
        <v/>
      </c>
      <c r="E144" s="141">
        <f>IFERROR(__xludf.DUMMYFUNCTION("""COMPUTED_VALUE"""),90.01)</f>
        <v/>
      </c>
      <c r="F144" s="141">
        <f>IFERROR(__xludf.DUMMYFUNCTION("""COMPUTED_VALUE"""),90.87)</f>
        <v/>
      </c>
      <c r="G144" s="143">
        <f>IFERROR(__xludf.DUMMYFUNCTION("""COMPUTED_VALUE"""),3535361)</f>
        <v/>
      </c>
      <c r="H144" s="27" t="n"/>
    </row>
    <row r="145" ht="17.25" customHeight="1" s="322">
      <c r="A145" s="27" t="n"/>
      <c r="B145" s="506">
        <f>IFERROR(__xludf.DUMMYFUNCTION("""COMPUTED_VALUE"""),46037.6666666666)</f>
        <v/>
      </c>
      <c r="C145" s="141">
        <f>IFERROR(__xludf.DUMMYFUNCTION("""COMPUTED_VALUE"""),91.3)</f>
        <v/>
      </c>
      <c r="D145" s="141">
        <f>IFERROR(__xludf.DUMMYFUNCTION("""COMPUTED_VALUE"""),91.89)</f>
        <v/>
      </c>
      <c r="E145" s="141">
        <f>IFERROR(__xludf.DUMMYFUNCTION("""COMPUTED_VALUE"""),91.02)</f>
        <v/>
      </c>
      <c r="F145" s="141">
        <f>IFERROR(__xludf.DUMMYFUNCTION("""COMPUTED_VALUE"""),91.5)</f>
        <v/>
      </c>
      <c r="G145" s="143">
        <f>IFERROR(__xludf.DUMMYFUNCTION("""COMPUTED_VALUE"""),3845576)</f>
        <v/>
      </c>
      <c r="H145" s="27" t="n"/>
    </row>
    <row r="146" ht="17.25" customHeight="1" s="322">
      <c r="A146" s="27" t="n"/>
      <c r="B146" s="506">
        <f>IFERROR(__xludf.DUMMYFUNCTION("""COMPUTED_VALUE"""),46038.6666666666)</f>
        <v/>
      </c>
      <c r="C146" s="141">
        <f>IFERROR(__xludf.DUMMYFUNCTION("""COMPUTED_VALUE"""),91.34)</f>
        <v/>
      </c>
      <c r="D146" s="141">
        <f>IFERROR(__xludf.DUMMYFUNCTION("""COMPUTED_VALUE"""),92.82)</f>
        <v/>
      </c>
      <c r="E146" s="141">
        <f>IFERROR(__xludf.DUMMYFUNCTION("""COMPUTED_VALUE"""),91.21)</f>
        <v/>
      </c>
      <c r="F146" s="141">
        <f>IFERROR(__xludf.DUMMYFUNCTION("""COMPUTED_VALUE"""),92.62)</f>
        <v/>
      </c>
      <c r="G146" s="143">
        <f>IFERROR(__xludf.DUMMYFUNCTION("""COMPUTED_VALUE"""),4819629)</f>
        <v/>
      </c>
      <c r="H146" s="27" t="n"/>
    </row>
    <row r="147" ht="17.25" customHeight="1" s="322">
      <c r="A147" s="27" t="n"/>
      <c r="B147" s="506">
        <f>IFERROR(__xludf.DUMMYFUNCTION("""COMPUTED_VALUE"""),46042.6666666666)</f>
        <v/>
      </c>
      <c r="C147" s="141">
        <f>IFERROR(__xludf.DUMMYFUNCTION("""COMPUTED_VALUE"""),91.91)</f>
        <v/>
      </c>
      <c r="D147" s="141">
        <f>IFERROR(__xludf.DUMMYFUNCTION("""COMPUTED_VALUE"""),92.07)</f>
        <v/>
      </c>
      <c r="E147" s="141">
        <f>IFERROR(__xludf.DUMMYFUNCTION("""COMPUTED_VALUE"""),90.84)</f>
        <v/>
      </c>
      <c r="F147" s="141">
        <f>IFERROR(__xludf.DUMMYFUNCTION("""COMPUTED_VALUE"""),90.9)</f>
        <v/>
      </c>
      <c r="G147" s="143">
        <f>IFERROR(__xludf.DUMMYFUNCTION("""COMPUTED_VALUE"""),4648896)</f>
        <v/>
      </c>
      <c r="H147" s="27" t="n"/>
    </row>
    <row r="148" ht="17.25" customHeight="1" s="322">
      <c r="A148" s="27" t="n"/>
      <c r="B148" s="506">
        <f>IFERROR(__xludf.DUMMYFUNCTION("""COMPUTED_VALUE"""),46043.6666666666)</f>
        <v/>
      </c>
      <c r="C148" s="141">
        <f>IFERROR(__xludf.DUMMYFUNCTION("""COMPUTED_VALUE"""),91.54)</f>
        <v/>
      </c>
      <c r="D148" s="141">
        <f>IFERROR(__xludf.DUMMYFUNCTION("""COMPUTED_VALUE"""),91.69)</f>
        <v/>
      </c>
      <c r="E148" s="141">
        <f>IFERROR(__xludf.DUMMYFUNCTION("""COMPUTED_VALUE"""),90.53)</f>
        <v/>
      </c>
      <c r="F148" s="141">
        <f>IFERROR(__xludf.DUMMYFUNCTION("""COMPUTED_VALUE"""),91.26)</f>
        <v/>
      </c>
      <c r="G148" s="143">
        <f>IFERROR(__xludf.DUMMYFUNCTION("""COMPUTED_VALUE"""),6140307)</f>
        <v/>
      </c>
      <c r="H148" s="27" t="n"/>
    </row>
    <row r="149" ht="17.25" customHeight="1" s="322">
      <c r="A149" s="27" t="n"/>
      <c r="B149" s="506">
        <f>IFERROR(__xludf.DUMMYFUNCTION("""COMPUTED_VALUE"""),46044.6666666666)</f>
        <v/>
      </c>
      <c r="C149" s="141">
        <f>IFERROR(__xludf.DUMMYFUNCTION("""COMPUTED_VALUE"""),91.37)</f>
        <v/>
      </c>
      <c r="D149" s="141">
        <f>IFERROR(__xludf.DUMMYFUNCTION("""COMPUTED_VALUE"""),91.62)</f>
        <v/>
      </c>
      <c r="E149" s="141">
        <f>IFERROR(__xludf.DUMMYFUNCTION("""COMPUTED_VALUE"""),90.31)</f>
        <v/>
      </c>
      <c r="F149" s="141">
        <f>IFERROR(__xludf.DUMMYFUNCTION("""COMPUTED_VALUE"""),90.36)</f>
        <v/>
      </c>
      <c r="G149" s="143">
        <f>IFERROR(__xludf.DUMMYFUNCTION("""COMPUTED_VALUE"""),3922910)</f>
        <v/>
      </c>
      <c r="H149" s="27" t="n"/>
    </row>
    <row r="150" ht="17.25" customHeight="1" s="322">
      <c r="A150" s="27" t="n"/>
      <c r="B150" s="506">
        <f>IFERROR(__xludf.DUMMYFUNCTION("""COMPUTED_VALUE"""),46045.6666666666)</f>
        <v/>
      </c>
      <c r="C150" s="141">
        <f>IFERROR(__xludf.DUMMYFUNCTION("""COMPUTED_VALUE"""),90.22)</f>
        <v/>
      </c>
      <c r="D150" s="141">
        <f>IFERROR(__xludf.DUMMYFUNCTION("""COMPUTED_VALUE"""),90.63)</f>
        <v/>
      </c>
      <c r="E150" s="141">
        <f>IFERROR(__xludf.DUMMYFUNCTION("""COMPUTED_VALUE"""),89.88)</f>
        <v/>
      </c>
      <c r="F150" s="141">
        <f>IFERROR(__xludf.DUMMYFUNCTION("""COMPUTED_VALUE"""),90.54)</f>
        <v/>
      </c>
      <c r="G150" s="143">
        <f>IFERROR(__xludf.DUMMYFUNCTION("""COMPUTED_VALUE"""),2838199)</f>
        <v/>
      </c>
      <c r="H150" s="27" t="n"/>
    </row>
    <row r="151" ht="17.25" customHeight="1" s="322">
      <c r="A151" s="27" t="n"/>
      <c r="B151" s="506">
        <f>IFERROR(__xludf.DUMMYFUNCTION("""COMPUTED_VALUE"""),46048.6666666666)</f>
        <v/>
      </c>
      <c r="C151" s="141">
        <f>IFERROR(__xludf.DUMMYFUNCTION("""COMPUTED_VALUE"""),90.79)</f>
        <v/>
      </c>
      <c r="D151" s="141">
        <f>IFERROR(__xludf.DUMMYFUNCTION("""COMPUTED_VALUE"""),91.06)</f>
        <v/>
      </c>
      <c r="E151" s="141">
        <f>IFERROR(__xludf.DUMMYFUNCTION("""COMPUTED_VALUE"""),90.32)</f>
        <v/>
      </c>
      <c r="F151" s="141">
        <f>IFERROR(__xludf.DUMMYFUNCTION("""COMPUTED_VALUE"""),90.42)</f>
        <v/>
      </c>
      <c r="G151" s="143">
        <f>IFERROR(__xludf.DUMMYFUNCTION("""COMPUTED_VALUE"""),3004662)</f>
        <v/>
      </c>
      <c r="H151" s="27" t="n"/>
    </row>
    <row r="152" ht="17.25" customHeight="1" s="322">
      <c r="A152" s="27" t="n"/>
      <c r="B152" s="506">
        <f>IFERROR(__xludf.DUMMYFUNCTION("""COMPUTED_VALUE"""),46049.6666666666)</f>
        <v/>
      </c>
      <c r="C152" s="141">
        <f>IFERROR(__xludf.DUMMYFUNCTION("""COMPUTED_VALUE"""),90.31)</f>
        <v/>
      </c>
      <c r="D152" s="141">
        <f>IFERROR(__xludf.DUMMYFUNCTION("""COMPUTED_VALUE"""),90.58)</f>
        <v/>
      </c>
      <c r="E152" s="141">
        <f>IFERROR(__xludf.DUMMYFUNCTION("""COMPUTED_VALUE"""),90.04)</f>
        <v/>
      </c>
      <c r="F152" s="141">
        <f>IFERROR(__xludf.DUMMYFUNCTION("""COMPUTED_VALUE"""),90.39)</f>
        <v/>
      </c>
      <c r="G152" s="143">
        <f>IFERROR(__xludf.DUMMYFUNCTION("""COMPUTED_VALUE"""),3217100)</f>
        <v/>
      </c>
      <c r="H152" s="27" t="n"/>
    </row>
    <row r="153" ht="17.25" customHeight="1" s="322">
      <c r="A153" s="27" t="n"/>
      <c r="B153" s="506">
        <f>IFERROR(__xludf.DUMMYFUNCTION("""COMPUTED_VALUE"""),46050.6666666666)</f>
        <v/>
      </c>
      <c r="C153" s="141">
        <f>IFERROR(__xludf.DUMMYFUNCTION("""COMPUTED_VALUE"""),90.48)</f>
        <v/>
      </c>
      <c r="D153" s="141">
        <f>IFERROR(__xludf.DUMMYFUNCTION("""COMPUTED_VALUE"""),90.62)</f>
        <v/>
      </c>
      <c r="E153" s="141">
        <f>IFERROR(__xludf.DUMMYFUNCTION("""COMPUTED_VALUE"""),89.24)</f>
        <v/>
      </c>
      <c r="F153" s="141">
        <f>IFERROR(__xludf.DUMMYFUNCTION("""COMPUTED_VALUE"""),89.46)</f>
        <v/>
      </c>
      <c r="G153" s="143">
        <f>IFERROR(__xludf.DUMMYFUNCTION("""COMPUTED_VALUE"""),4520546)</f>
        <v/>
      </c>
      <c r="H153" s="27" t="n"/>
    </row>
    <row r="154" ht="17.25" customHeight="1" s="322">
      <c r="A154" s="27" t="n"/>
      <c r="B154" s="506">
        <f>IFERROR(__xludf.DUMMYFUNCTION("""COMPUTED_VALUE"""),46051.6666666666)</f>
        <v/>
      </c>
      <c r="C154" s="141">
        <f>IFERROR(__xludf.DUMMYFUNCTION("""COMPUTED_VALUE"""),89.98)</f>
        <v/>
      </c>
      <c r="D154" s="141">
        <f>IFERROR(__xludf.DUMMYFUNCTION("""COMPUTED_VALUE"""),90.83)</f>
        <v/>
      </c>
      <c r="E154" s="141">
        <f>IFERROR(__xludf.DUMMYFUNCTION("""COMPUTED_VALUE"""),89.42)</f>
        <v/>
      </c>
      <c r="F154" s="141">
        <f>IFERROR(__xludf.DUMMYFUNCTION("""COMPUTED_VALUE"""),90.71)</f>
        <v/>
      </c>
      <c r="G154" s="143">
        <f>IFERROR(__xludf.DUMMYFUNCTION("""COMPUTED_VALUE"""),7283919)</f>
        <v/>
      </c>
      <c r="H154" s="27" t="n"/>
    </row>
    <row r="155" ht="17.25" customHeight="1" s="322">
      <c r="A155" s="27" t="n"/>
      <c r="B155" s="506">
        <f>IFERROR(__xludf.DUMMYFUNCTION("""COMPUTED_VALUE"""),46052.6666666666)</f>
        <v/>
      </c>
      <c r="C155" s="141">
        <f>IFERROR(__xludf.DUMMYFUNCTION("""COMPUTED_VALUE"""),90.46)</f>
        <v/>
      </c>
      <c r="D155" s="141">
        <f>IFERROR(__xludf.DUMMYFUNCTION("""COMPUTED_VALUE"""),90.82)</f>
        <v/>
      </c>
      <c r="E155" s="141">
        <f>IFERROR(__xludf.DUMMYFUNCTION("""COMPUTED_VALUE"""),89.66)</f>
        <v/>
      </c>
      <c r="F155" s="141">
        <f>IFERROR(__xludf.DUMMYFUNCTION("""COMPUTED_VALUE"""),90.8)</f>
        <v/>
      </c>
      <c r="G155" s="143">
        <f>IFERROR(__xludf.DUMMYFUNCTION("""COMPUTED_VALUE"""),4618037)</f>
        <v/>
      </c>
      <c r="H155" s="27" t="n"/>
    </row>
    <row r="156" ht="17.25" customHeight="1" s="322">
      <c r="A156" s="27" t="n"/>
      <c r="B156" s="506">
        <f>IFERROR(__xludf.DUMMYFUNCTION("""COMPUTED_VALUE"""),46055.6666666666)</f>
        <v/>
      </c>
      <c r="C156" s="141">
        <f>IFERROR(__xludf.DUMMYFUNCTION("""COMPUTED_VALUE"""),90.9)</f>
        <v/>
      </c>
      <c r="D156" s="141">
        <f>IFERROR(__xludf.DUMMYFUNCTION("""COMPUTED_VALUE"""),91.15)</f>
        <v/>
      </c>
      <c r="E156" s="141">
        <f>IFERROR(__xludf.DUMMYFUNCTION("""COMPUTED_VALUE"""),89.82)</f>
        <v/>
      </c>
      <c r="F156" s="141">
        <f>IFERROR(__xludf.DUMMYFUNCTION("""COMPUTED_VALUE"""),89.86)</f>
        <v/>
      </c>
      <c r="G156" s="143">
        <f>IFERROR(__xludf.DUMMYFUNCTION("""COMPUTED_VALUE"""),5280754)</f>
        <v/>
      </c>
      <c r="H156" s="27" t="n"/>
    </row>
    <row r="157" ht="17.25" customHeight="1" s="322">
      <c r="A157" s="27" t="n"/>
      <c r="B157" s="506">
        <f>IFERROR(__xludf.DUMMYFUNCTION("""COMPUTED_VALUE"""),46056.6666666666)</f>
        <v/>
      </c>
      <c r="C157" s="141">
        <f>IFERROR(__xludf.DUMMYFUNCTION("""COMPUTED_VALUE"""),89.75)</f>
        <v/>
      </c>
      <c r="D157" s="141">
        <f>IFERROR(__xludf.DUMMYFUNCTION("""COMPUTED_VALUE"""),90.18)</f>
        <v/>
      </c>
      <c r="E157" s="141">
        <f>IFERROR(__xludf.DUMMYFUNCTION("""COMPUTED_VALUE"""),89.07)</f>
        <v/>
      </c>
      <c r="F157" s="141">
        <f>IFERROR(__xludf.DUMMYFUNCTION("""COMPUTED_VALUE"""),89.66)</f>
        <v/>
      </c>
      <c r="G157" s="143">
        <f>IFERROR(__xludf.DUMMYFUNCTION("""COMPUTED_VALUE"""),4821961)</f>
        <v/>
      </c>
      <c r="H157" s="27" t="n"/>
    </row>
    <row r="158" ht="17.25" customHeight="1" s="322">
      <c r="A158" s="27" t="n"/>
      <c r="B158" s="506">
        <f>IFERROR(__xludf.DUMMYFUNCTION("""COMPUTED_VALUE"""),46057.6666666666)</f>
        <v/>
      </c>
      <c r="C158" s="141">
        <f>IFERROR(__xludf.DUMMYFUNCTION("""COMPUTED_VALUE"""),90.24)</f>
        <v/>
      </c>
      <c r="D158" s="141">
        <f>IFERROR(__xludf.DUMMYFUNCTION("""COMPUTED_VALUE"""),91.32)</f>
        <v/>
      </c>
      <c r="E158" s="141">
        <f>IFERROR(__xludf.DUMMYFUNCTION("""COMPUTED_VALUE"""),89.89)</f>
        <v/>
      </c>
      <c r="F158" s="141">
        <f>IFERROR(__xludf.DUMMYFUNCTION("""COMPUTED_VALUE"""),90.95)</f>
        <v/>
      </c>
      <c r="G158" s="143">
        <f>IFERROR(__xludf.DUMMYFUNCTION("""COMPUTED_VALUE"""),3941137)</f>
        <v/>
      </c>
      <c r="H158" s="27" t="n"/>
    </row>
    <row r="159" ht="17.25" customHeight="1" s="322">
      <c r="A159" s="27" t="n"/>
      <c r="B159" s="506">
        <f>IFERROR(__xludf.DUMMYFUNCTION("""COMPUTED_VALUE"""),46058.6666666666)</f>
        <v/>
      </c>
      <c r="C159" s="141">
        <f>IFERROR(__xludf.DUMMYFUNCTION("""COMPUTED_VALUE"""),90.76)</f>
        <v/>
      </c>
      <c r="D159" s="141">
        <f>IFERROR(__xludf.DUMMYFUNCTION("""COMPUTED_VALUE"""),91.33)</f>
        <v/>
      </c>
      <c r="E159" s="141">
        <f>IFERROR(__xludf.DUMMYFUNCTION("""COMPUTED_VALUE"""),90.24)</f>
        <v/>
      </c>
      <c r="F159" s="141">
        <f>IFERROR(__xludf.DUMMYFUNCTION("""COMPUTED_VALUE"""),90.82)</f>
        <v/>
      </c>
      <c r="G159" s="143">
        <f>IFERROR(__xludf.DUMMYFUNCTION("""COMPUTED_VALUE"""),3588497)</f>
        <v/>
      </c>
      <c r="H159" s="27" t="n"/>
    </row>
    <row r="160" ht="17.25" customHeight="1" s="322">
      <c r="A160" s="27" t="n"/>
      <c r="B160" s="506">
        <f>IFERROR(__xludf.DUMMYFUNCTION("""COMPUTED_VALUE"""),46059.6666666666)</f>
        <v/>
      </c>
      <c r="C160" s="141">
        <f>IFERROR(__xludf.DUMMYFUNCTION("""COMPUTED_VALUE"""),91.53)</f>
        <v/>
      </c>
      <c r="D160" s="141">
        <f>IFERROR(__xludf.DUMMYFUNCTION("""COMPUTED_VALUE"""),92.38)</f>
        <v/>
      </c>
      <c r="E160" s="141">
        <f>IFERROR(__xludf.DUMMYFUNCTION("""COMPUTED_VALUE"""),91.33)</f>
        <v/>
      </c>
      <c r="F160" s="141">
        <f>IFERROR(__xludf.DUMMYFUNCTION("""COMPUTED_VALUE"""),92.25)</f>
        <v/>
      </c>
      <c r="G160" s="143">
        <f>IFERROR(__xludf.DUMMYFUNCTION("""COMPUTED_VALUE"""),3638714)</f>
        <v/>
      </c>
      <c r="H160" s="27" t="n"/>
    </row>
    <row r="161" ht="17.25" customHeight="1" s="322">
      <c r="A161" s="27" t="n"/>
      <c r="B161" s="506">
        <f>IFERROR(__xludf.DUMMYFUNCTION("""COMPUTED_VALUE"""),46062.6666666666)</f>
        <v/>
      </c>
      <c r="C161" s="141">
        <f>IFERROR(__xludf.DUMMYFUNCTION("""COMPUTED_VALUE"""),92.16)</f>
        <v/>
      </c>
      <c r="D161" s="141">
        <f>IFERROR(__xludf.DUMMYFUNCTION("""COMPUTED_VALUE"""),92.72)</f>
        <v/>
      </c>
      <c r="E161" s="141">
        <f>IFERROR(__xludf.DUMMYFUNCTION("""COMPUTED_VALUE"""),91.6)</f>
        <v/>
      </c>
      <c r="F161" s="141">
        <f>IFERROR(__xludf.DUMMYFUNCTION("""COMPUTED_VALUE"""),92.64)</f>
        <v/>
      </c>
      <c r="G161" s="143">
        <f>IFERROR(__xludf.DUMMYFUNCTION("""COMPUTED_VALUE"""),3021655)</f>
        <v/>
      </c>
      <c r="H161" s="27" t="n"/>
    </row>
    <row r="162" ht="17.25" customHeight="1" s="322">
      <c r="A162" s="27" t="n"/>
      <c r="B162" s="506">
        <f>IFERROR(__xludf.DUMMYFUNCTION("""COMPUTED_VALUE"""),46063.6666666666)</f>
        <v/>
      </c>
      <c r="C162" s="141">
        <f>IFERROR(__xludf.DUMMYFUNCTION("""COMPUTED_VALUE"""),92.76)</f>
        <v/>
      </c>
      <c r="D162" s="141">
        <f>IFERROR(__xludf.DUMMYFUNCTION("""COMPUTED_VALUE"""),94.11)</f>
        <v/>
      </c>
      <c r="E162" s="141">
        <f>IFERROR(__xludf.DUMMYFUNCTION("""COMPUTED_VALUE"""),92.74)</f>
        <v/>
      </c>
      <c r="F162" s="141">
        <f>IFERROR(__xludf.DUMMYFUNCTION("""COMPUTED_VALUE"""),93.88)</f>
        <v/>
      </c>
      <c r="G162" s="143">
        <f>IFERROR(__xludf.DUMMYFUNCTION("""COMPUTED_VALUE"""),4266652)</f>
        <v/>
      </c>
      <c r="H162" s="27" t="n"/>
    </row>
    <row r="163" ht="17.25" customHeight="1" s="322">
      <c r="A163" s="27" t="n"/>
      <c r="B163" s="506">
        <f>IFERROR(__xludf.DUMMYFUNCTION("""COMPUTED_VALUE"""),46064.6666666666)</f>
        <v/>
      </c>
      <c r="C163" s="141">
        <f>IFERROR(__xludf.DUMMYFUNCTION("""COMPUTED_VALUE"""),94.07)</f>
        <v/>
      </c>
      <c r="D163" s="141">
        <f>IFERROR(__xludf.DUMMYFUNCTION("""COMPUTED_VALUE"""),94.2)</f>
        <v/>
      </c>
      <c r="E163" s="141">
        <f>IFERROR(__xludf.DUMMYFUNCTION("""COMPUTED_VALUE"""),93.23)</f>
        <v/>
      </c>
      <c r="F163" s="141">
        <f>IFERROR(__xludf.DUMMYFUNCTION("""COMPUTED_VALUE"""),93.36)</f>
        <v/>
      </c>
      <c r="G163" s="143">
        <f>IFERROR(__xludf.DUMMYFUNCTION("""COMPUTED_VALUE"""),4425651)</f>
        <v/>
      </c>
      <c r="H163" s="27" t="n"/>
    </row>
    <row r="164" ht="17.25" customHeight="1" s="322">
      <c r="A164" s="27" t="n"/>
      <c r="B164" s="506">
        <f>IFERROR(__xludf.DUMMYFUNCTION("""COMPUTED_VALUE"""),46065.6666666666)</f>
        <v/>
      </c>
      <c r="C164" s="141">
        <f>IFERROR(__xludf.DUMMYFUNCTION("""COMPUTED_VALUE"""),94.47)</f>
        <v/>
      </c>
      <c r="D164" s="141">
        <f>IFERROR(__xludf.DUMMYFUNCTION("""COMPUTED_VALUE"""),95.15)</f>
        <v/>
      </c>
      <c r="E164" s="141">
        <f>IFERROR(__xludf.DUMMYFUNCTION("""COMPUTED_VALUE"""),93.1)</f>
        <v/>
      </c>
      <c r="F164" s="141">
        <f>IFERROR(__xludf.DUMMYFUNCTION("""COMPUTED_VALUE"""),93.25)</f>
        <v/>
      </c>
      <c r="G164" s="143">
        <f>IFERROR(__xludf.DUMMYFUNCTION("""COMPUTED_VALUE"""),7469436)</f>
        <v/>
      </c>
      <c r="H164" s="27" t="n"/>
    </row>
    <row r="165" ht="17.25" customHeight="1" s="322">
      <c r="A165" s="27" t="n"/>
      <c r="B165" s="506">
        <f>IFERROR(__xludf.DUMMYFUNCTION("""COMPUTED_VALUE"""),46066.6666666666)</f>
        <v/>
      </c>
      <c r="C165" s="141">
        <f>IFERROR(__xludf.DUMMYFUNCTION("""COMPUTED_VALUE"""),93.59)</f>
        <v/>
      </c>
      <c r="D165" s="141">
        <f>IFERROR(__xludf.DUMMYFUNCTION("""COMPUTED_VALUE"""),94.93)</f>
        <v/>
      </c>
      <c r="E165" s="141">
        <f>IFERROR(__xludf.DUMMYFUNCTION("""COMPUTED_VALUE"""),93.3)</f>
        <v/>
      </c>
      <c r="F165" s="141">
        <f>IFERROR(__xludf.DUMMYFUNCTION("""COMPUTED_VALUE"""),94.59)</f>
        <v/>
      </c>
      <c r="G165" s="143">
        <f>IFERROR(__xludf.DUMMYFUNCTION("""COMPUTED_VALUE"""),3906841)</f>
        <v/>
      </c>
      <c r="H165" s="27" t="n"/>
    </row>
    <row r="166" ht="17.25" customHeight="1" s="322">
      <c r="A166" s="27" t="n"/>
      <c r="B166" s="506">
        <f>IFERROR(__xludf.DUMMYFUNCTION("""COMPUTED_VALUE"""),46070.6666666666)</f>
        <v/>
      </c>
      <c r="C166" s="141">
        <f>IFERROR(__xludf.DUMMYFUNCTION("""COMPUTED_VALUE"""),94.97)</f>
        <v/>
      </c>
      <c r="D166" s="141">
        <f>IFERROR(__xludf.DUMMYFUNCTION("""COMPUTED_VALUE"""),95.56)</f>
        <v/>
      </c>
      <c r="E166" s="141">
        <f>IFERROR(__xludf.DUMMYFUNCTION("""COMPUTED_VALUE"""),94.38)</f>
        <v/>
      </c>
      <c r="F166" s="141">
        <f>IFERROR(__xludf.DUMMYFUNCTION("""COMPUTED_VALUE"""),95.49)</f>
        <v/>
      </c>
      <c r="G166" s="143">
        <f>IFERROR(__xludf.DUMMYFUNCTION("""COMPUTED_VALUE"""),3614786)</f>
        <v/>
      </c>
      <c r="H166" s="27" t="n"/>
    </row>
    <row r="167" ht="17.25" customHeight="1" s="322">
      <c r="A167" s="27" t="n"/>
      <c r="B167" s="506">
        <f>IFERROR(__xludf.DUMMYFUNCTION("""COMPUTED_VALUE"""),46071.6666666666)</f>
        <v/>
      </c>
      <c r="C167" s="141">
        <f>IFERROR(__xludf.DUMMYFUNCTION("""COMPUTED_VALUE"""),95.22)</f>
        <v/>
      </c>
      <c r="D167" s="141">
        <f>IFERROR(__xludf.DUMMYFUNCTION("""COMPUTED_VALUE"""),95.36)</f>
        <v/>
      </c>
      <c r="E167" s="141">
        <f>IFERROR(__xludf.DUMMYFUNCTION("""COMPUTED_VALUE"""),94.15)</f>
        <v/>
      </c>
      <c r="F167" s="141">
        <f>IFERROR(__xludf.DUMMYFUNCTION("""COMPUTED_VALUE"""),94.37)</f>
        <v/>
      </c>
      <c r="G167" s="143">
        <f>IFERROR(__xludf.DUMMYFUNCTION("""COMPUTED_VALUE"""),4163638)</f>
        <v/>
      </c>
      <c r="H167" s="27" t="n"/>
    </row>
    <row r="168" ht="17.25" customHeight="1" s="322">
      <c r="A168" s="27" t="n"/>
      <c r="B168" s="506">
        <f>IFERROR(__xludf.DUMMYFUNCTION("""COMPUTED_VALUE"""),46072.6666666666)</f>
        <v/>
      </c>
      <c r="C168" s="141">
        <f>IFERROR(__xludf.DUMMYFUNCTION("""COMPUTED_VALUE"""),94.26)</f>
        <v/>
      </c>
      <c r="D168" s="141">
        <f>IFERROR(__xludf.DUMMYFUNCTION("""COMPUTED_VALUE"""),94.81)</f>
        <v/>
      </c>
      <c r="E168" s="141">
        <f>IFERROR(__xludf.DUMMYFUNCTION("""COMPUTED_VALUE"""),93.79)</f>
        <v/>
      </c>
      <c r="F168" s="141">
        <f>IFERROR(__xludf.DUMMYFUNCTION("""COMPUTED_VALUE"""),94.17)</f>
        <v/>
      </c>
      <c r="G168" s="143">
        <f>IFERROR(__xludf.DUMMYFUNCTION("""COMPUTED_VALUE"""),2646562)</f>
        <v/>
      </c>
      <c r="H168" s="27" t="n"/>
    </row>
    <row r="169" ht="17.25" customHeight="1" s="322">
      <c r="A169" s="27" t="n"/>
      <c r="B169" s="506">
        <f>IFERROR(__xludf.DUMMYFUNCTION("""COMPUTED_VALUE"""),46073.6666666666)</f>
        <v/>
      </c>
      <c r="C169" s="141">
        <f>IFERROR(__xludf.DUMMYFUNCTION("""COMPUTED_VALUE"""),94.29)</f>
        <v/>
      </c>
      <c r="D169" s="141">
        <f>IFERROR(__xludf.DUMMYFUNCTION("""COMPUTED_VALUE"""),94.89)</f>
        <v/>
      </c>
      <c r="E169" s="141">
        <f>IFERROR(__xludf.DUMMYFUNCTION("""COMPUTED_VALUE"""),94.11)</f>
        <v/>
      </c>
      <c r="F169" s="141">
        <f>IFERROR(__xludf.DUMMYFUNCTION("""COMPUTED_VALUE"""),94.88)</f>
        <v/>
      </c>
      <c r="G169" s="143">
        <f>IFERROR(__xludf.DUMMYFUNCTION("""COMPUTED_VALUE"""),2840703)</f>
        <v/>
      </c>
      <c r="H169" s="27" t="n"/>
    </row>
    <row r="170" ht="17.25" customHeight="1" s="322">
      <c r="A170" s="27" t="n"/>
      <c r="B170" s="506">
        <f>IFERROR(__xludf.DUMMYFUNCTION("""COMPUTED_VALUE"""),46076.6666666666)</f>
        <v/>
      </c>
      <c r="C170" s="141">
        <f>IFERROR(__xludf.DUMMYFUNCTION("""COMPUTED_VALUE"""),94.75)</f>
        <v/>
      </c>
      <c r="D170" s="141">
        <f>IFERROR(__xludf.DUMMYFUNCTION("""COMPUTED_VALUE"""),95.64)</f>
        <v/>
      </c>
      <c r="E170" s="141">
        <f>IFERROR(__xludf.DUMMYFUNCTION("""COMPUTED_VALUE"""),94.55)</f>
        <v/>
      </c>
      <c r="F170" s="141">
        <f>IFERROR(__xludf.DUMMYFUNCTION("""COMPUTED_VALUE"""),94.89)</f>
        <v/>
      </c>
      <c r="G170" s="143">
        <f>IFERROR(__xludf.DUMMYFUNCTION("""COMPUTED_VALUE"""),3645685)</f>
        <v/>
      </c>
      <c r="H170" s="27" t="n"/>
    </row>
    <row r="171" ht="17.25" customHeight="1" s="322">
      <c r="A171" s="27" t="n"/>
      <c r="B171" s="506">
        <f>IFERROR(__xludf.DUMMYFUNCTION("""COMPUTED_VALUE"""),46077.6666666666)</f>
        <v/>
      </c>
      <c r="C171" s="141">
        <f>IFERROR(__xludf.DUMMYFUNCTION("""COMPUTED_VALUE"""),94.65)</f>
        <v/>
      </c>
      <c r="D171" s="141">
        <f>IFERROR(__xludf.DUMMYFUNCTION("""COMPUTED_VALUE"""),95.25)</f>
        <v/>
      </c>
      <c r="E171" s="141">
        <f>IFERROR(__xludf.DUMMYFUNCTION("""COMPUTED_VALUE"""),94.48)</f>
        <v/>
      </c>
      <c r="F171" s="141">
        <f>IFERROR(__xludf.DUMMYFUNCTION("""COMPUTED_VALUE"""),95.13)</f>
        <v/>
      </c>
      <c r="G171" s="143">
        <f>IFERROR(__xludf.DUMMYFUNCTION("""COMPUTED_VALUE"""),3785015)</f>
        <v/>
      </c>
      <c r="H171" s="27" t="n"/>
    </row>
    <row r="172" ht="17.25" customHeight="1" s="322">
      <c r="A172" s="27" t="n"/>
      <c r="B172" s="506">
        <f>IFERROR(__xludf.DUMMYFUNCTION("""COMPUTED_VALUE"""),46078.6666666666)</f>
        <v/>
      </c>
      <c r="C172" s="141">
        <f>IFERROR(__xludf.DUMMYFUNCTION("""COMPUTED_VALUE"""),95.03)</f>
        <v/>
      </c>
      <c r="D172" s="141">
        <f>IFERROR(__xludf.DUMMYFUNCTION("""COMPUTED_VALUE"""),95.32)</f>
        <v/>
      </c>
      <c r="E172" s="141">
        <f>IFERROR(__xludf.DUMMYFUNCTION("""COMPUTED_VALUE"""),94.42)</f>
        <v/>
      </c>
      <c r="F172" s="141">
        <f>IFERROR(__xludf.DUMMYFUNCTION("""COMPUTED_VALUE"""),94.87)</f>
        <v/>
      </c>
      <c r="G172" s="143">
        <f>IFERROR(__xludf.DUMMYFUNCTION("""COMPUTED_VALUE"""),3296082)</f>
        <v/>
      </c>
      <c r="H172" s="27" t="n"/>
    </row>
    <row r="173" ht="17.25" customHeight="1" s="322">
      <c r="A173" s="27" t="n"/>
      <c r="B173" s="506">
        <f>IFERROR(__xludf.DUMMYFUNCTION("""COMPUTED_VALUE"""),46079.6666666666)</f>
        <v/>
      </c>
      <c r="C173" s="141">
        <f>IFERROR(__xludf.DUMMYFUNCTION("""COMPUTED_VALUE"""),95.17)</f>
        <v/>
      </c>
      <c r="D173" s="141">
        <f>IFERROR(__xludf.DUMMYFUNCTION("""COMPUTED_VALUE"""),95.68)</f>
        <v/>
      </c>
      <c r="E173" s="141">
        <f>IFERROR(__xludf.DUMMYFUNCTION("""COMPUTED_VALUE"""),94.93)</f>
        <v/>
      </c>
      <c r="F173" s="141">
        <f>IFERROR(__xludf.DUMMYFUNCTION("""COMPUTED_VALUE"""),95.52)</f>
        <v/>
      </c>
      <c r="G173" s="143">
        <f>IFERROR(__xludf.DUMMYFUNCTION("""COMPUTED_VALUE"""),3760478)</f>
        <v/>
      </c>
      <c r="H173" s="27" t="n"/>
    </row>
    <row r="174" ht="17.25" customHeight="1" s="322">
      <c r="A174" s="27" t="n"/>
      <c r="B174" s="506">
        <f>IFERROR(__xludf.DUMMYFUNCTION("""COMPUTED_VALUE"""),46080.6666666666)</f>
        <v/>
      </c>
      <c r="C174" s="141">
        <f>IFERROR(__xludf.DUMMYFUNCTION("""COMPUTED_VALUE"""),95.2)</f>
        <v/>
      </c>
      <c r="D174" s="141">
        <f>IFERROR(__xludf.DUMMYFUNCTION("""COMPUTED_VALUE"""),96.23)</f>
        <v/>
      </c>
      <c r="E174" s="141">
        <f>IFERROR(__xludf.DUMMYFUNCTION("""COMPUTED_VALUE"""),95.18)</f>
        <v/>
      </c>
      <c r="F174" s="141">
        <f>IFERROR(__xludf.DUMMYFUNCTION("""COMPUTED_VALUE"""),95.69)</f>
        <v/>
      </c>
      <c r="G174" s="143">
        <f>IFERROR(__xludf.DUMMYFUNCTION("""COMPUTED_VALUE"""),4707239)</f>
        <v/>
      </c>
      <c r="H174" s="27" t="n"/>
    </row>
    <row r="175" ht="17.25" customHeight="1" s="322">
      <c r="A175" s="27" t="n"/>
      <c r="B175" s="506">
        <f>IFERROR(__xludf.DUMMYFUNCTION("""COMPUTED_VALUE"""),46083.6666666666)</f>
        <v/>
      </c>
      <c r="C175" s="141">
        <f>IFERROR(__xludf.DUMMYFUNCTION("""COMPUTED_VALUE"""),95.2)</f>
        <v/>
      </c>
      <c r="D175" s="141">
        <f>IFERROR(__xludf.DUMMYFUNCTION("""COMPUTED_VALUE"""),96.2)</f>
        <v/>
      </c>
      <c r="E175" s="141">
        <f>IFERROR(__xludf.DUMMYFUNCTION("""COMPUTED_VALUE"""),94.62)</f>
        <v/>
      </c>
      <c r="F175" s="141">
        <f>IFERROR(__xludf.DUMMYFUNCTION("""COMPUTED_VALUE"""),95.93)</f>
        <v/>
      </c>
      <c r="G175" s="143">
        <f>IFERROR(__xludf.DUMMYFUNCTION("""COMPUTED_VALUE"""),5461967)</f>
        <v/>
      </c>
      <c r="H175" s="27" t="n"/>
    </row>
    <row r="176" ht="17.25" customHeight="1" s="322">
      <c r="A176" s="27" t="n"/>
      <c r="B176" s="506">
        <f>IFERROR(__xludf.DUMMYFUNCTION("""COMPUTED_VALUE"""),46084.6666666666)</f>
        <v/>
      </c>
      <c r="C176" s="141">
        <f>IFERROR(__xludf.DUMMYFUNCTION("""COMPUTED_VALUE"""),94.39)</f>
        <v/>
      </c>
      <c r="D176" s="141">
        <f>IFERROR(__xludf.DUMMYFUNCTION("""COMPUTED_VALUE"""),95.75)</f>
        <v/>
      </c>
      <c r="E176" s="141">
        <f>IFERROR(__xludf.DUMMYFUNCTION("""COMPUTED_VALUE"""),93.68)</f>
        <v/>
      </c>
      <c r="F176" s="141">
        <f>IFERROR(__xludf.DUMMYFUNCTION("""COMPUTED_VALUE"""),95.42)</f>
        <v/>
      </c>
      <c r="G176" s="143">
        <f>IFERROR(__xludf.DUMMYFUNCTION("""COMPUTED_VALUE"""),4832275)</f>
        <v/>
      </c>
      <c r="H176" s="27" t="n"/>
    </row>
    <row r="177" ht="17.25" customHeight="1" s="322">
      <c r="A177" s="27" t="n"/>
      <c r="B177" s="506">
        <f>IFERROR(__xludf.DUMMYFUNCTION("""COMPUTED_VALUE"""),46085.6666666666)</f>
        <v/>
      </c>
      <c r="C177" s="141">
        <f>IFERROR(__xludf.DUMMYFUNCTION("""COMPUTED_VALUE"""),95.17)</f>
        <v/>
      </c>
      <c r="D177" s="141">
        <f>IFERROR(__xludf.DUMMYFUNCTION("""COMPUTED_VALUE"""),95.63)</f>
        <v/>
      </c>
      <c r="E177" s="141">
        <f>IFERROR(__xludf.DUMMYFUNCTION("""COMPUTED_VALUE"""),94.53)</f>
        <v/>
      </c>
      <c r="F177" s="141">
        <f>IFERROR(__xludf.DUMMYFUNCTION("""COMPUTED_VALUE"""),95.54)</f>
        <v/>
      </c>
      <c r="G177" s="143">
        <f>IFERROR(__xludf.DUMMYFUNCTION("""COMPUTED_VALUE"""),3894140)</f>
        <v/>
      </c>
      <c r="H177" s="27" t="n"/>
    </row>
    <row r="178" ht="17.25" customHeight="1" s="322">
      <c r="A178" s="27" t="n"/>
      <c r="B178" s="506">
        <f>IFERROR(__xludf.DUMMYFUNCTION("""COMPUTED_VALUE"""),46086.6666666666)</f>
        <v/>
      </c>
      <c r="C178" s="141">
        <f>IFERROR(__xludf.DUMMYFUNCTION("""COMPUTED_VALUE"""),94.57)</f>
        <v/>
      </c>
      <c r="D178" s="141">
        <f>IFERROR(__xludf.DUMMYFUNCTION("""COMPUTED_VALUE"""),94.84)</f>
        <v/>
      </c>
      <c r="E178" s="141">
        <f>IFERROR(__xludf.DUMMYFUNCTION("""COMPUTED_VALUE"""),93.88)</f>
        <v/>
      </c>
      <c r="F178" s="141">
        <f>IFERROR(__xludf.DUMMYFUNCTION("""COMPUTED_VALUE"""),94.58)</f>
        <v/>
      </c>
      <c r="G178" s="143">
        <f>IFERROR(__xludf.DUMMYFUNCTION("""COMPUTED_VALUE"""),4637265)</f>
        <v/>
      </c>
      <c r="H178" s="27" t="n"/>
    </row>
    <row r="179" ht="17.25" customHeight="1" s="322">
      <c r="A179" s="27" t="n"/>
      <c r="B179" s="506">
        <f>IFERROR(__xludf.DUMMYFUNCTION("""COMPUTED_VALUE"""),46087.6666666666)</f>
        <v/>
      </c>
      <c r="C179" s="141">
        <f>IFERROR(__xludf.DUMMYFUNCTION("""COMPUTED_VALUE"""),93.78)</f>
        <v/>
      </c>
      <c r="D179" s="141">
        <f>IFERROR(__xludf.DUMMYFUNCTION("""COMPUTED_VALUE"""),93.82)</f>
        <v/>
      </c>
      <c r="E179" s="141">
        <f>IFERROR(__xludf.DUMMYFUNCTION("""COMPUTED_VALUE"""),93.07)</f>
        <v/>
      </c>
      <c r="F179" s="141">
        <f>IFERROR(__xludf.DUMMYFUNCTION("""COMPUTED_VALUE"""),93.55)</f>
        <v/>
      </c>
      <c r="G179" s="143">
        <f>IFERROR(__xludf.DUMMYFUNCTION("""COMPUTED_VALUE"""),4601456)</f>
        <v/>
      </c>
      <c r="H179" s="27" t="n"/>
    </row>
    <row r="180" ht="17.25" customHeight="1" s="322">
      <c r="A180" s="27" t="n"/>
      <c r="B180" s="506">
        <f>IFERROR(__xludf.DUMMYFUNCTION("""COMPUTED_VALUE"""),46090.6666666666)</f>
        <v/>
      </c>
      <c r="C180" s="141">
        <f>IFERROR(__xludf.DUMMYFUNCTION("""COMPUTED_VALUE"""),92.68)</f>
        <v/>
      </c>
      <c r="D180" s="141">
        <f>IFERROR(__xludf.DUMMYFUNCTION("""COMPUTED_VALUE"""),94.08)</f>
        <v/>
      </c>
      <c r="E180" s="141">
        <f>IFERROR(__xludf.DUMMYFUNCTION("""COMPUTED_VALUE"""),91.55)</f>
        <v/>
      </c>
      <c r="F180" s="141">
        <f>IFERROR(__xludf.DUMMYFUNCTION("""COMPUTED_VALUE"""),93.76)</f>
        <v/>
      </c>
      <c r="G180" s="143">
        <f>IFERROR(__xludf.DUMMYFUNCTION("""COMPUTED_VALUE"""),4971179)</f>
        <v/>
      </c>
      <c r="H180" s="27" t="n"/>
    </row>
    <row r="181" ht="17.25" customHeight="1" s="322">
      <c r="A181" s="27" t="n"/>
      <c r="B181" s="506">
        <f>IFERROR(__xludf.DUMMYFUNCTION("""COMPUTED_VALUE"""),46091.6666666666)</f>
        <v/>
      </c>
      <c r="C181" s="141">
        <f>IFERROR(__xludf.DUMMYFUNCTION("""COMPUTED_VALUE"""),93.49)</f>
        <v/>
      </c>
      <c r="D181" s="141">
        <f>IFERROR(__xludf.DUMMYFUNCTION("""COMPUTED_VALUE"""),94.46)</f>
        <v/>
      </c>
      <c r="E181" s="141">
        <f>IFERROR(__xludf.DUMMYFUNCTION("""COMPUTED_VALUE"""),93.04)</f>
        <v/>
      </c>
      <c r="F181" s="141">
        <f>IFERROR(__xludf.DUMMYFUNCTION("""COMPUTED_VALUE"""),93.62)</f>
        <v/>
      </c>
      <c r="G181" s="143">
        <f>IFERROR(__xludf.DUMMYFUNCTION("""COMPUTED_VALUE"""),5056170)</f>
        <v/>
      </c>
      <c r="H181" s="27" t="n"/>
    </row>
    <row r="182" ht="17.25" customHeight="1" s="322">
      <c r="A182" s="27" t="n"/>
      <c r="B182" s="506">
        <f>IFERROR(__xludf.DUMMYFUNCTION("""COMPUTED_VALUE"""),46092.6666666666)</f>
        <v/>
      </c>
      <c r="C182" s="141">
        <f>IFERROR(__xludf.DUMMYFUNCTION("""COMPUTED_VALUE"""),93.09)</f>
        <v/>
      </c>
      <c r="D182" s="141">
        <f>IFERROR(__xludf.DUMMYFUNCTION("""COMPUTED_VALUE"""),93.27)</f>
        <v/>
      </c>
      <c r="E182" s="141">
        <f>IFERROR(__xludf.DUMMYFUNCTION("""COMPUTED_VALUE"""),92.4)</f>
        <v/>
      </c>
      <c r="F182" s="141">
        <f>IFERROR(__xludf.DUMMYFUNCTION("""COMPUTED_VALUE"""),92.65)</f>
        <v/>
      </c>
      <c r="G182" s="143">
        <f>IFERROR(__xludf.DUMMYFUNCTION("""COMPUTED_VALUE"""),4687022)</f>
        <v/>
      </c>
      <c r="H182" s="27" t="n"/>
    </row>
    <row r="183" ht="17.25" customHeight="1" s="322">
      <c r="A183" s="27" t="n"/>
      <c r="B183" s="506">
        <f>IFERROR(__xludf.DUMMYFUNCTION("""COMPUTED_VALUE"""),46093.6666666666)</f>
        <v/>
      </c>
      <c r="C183" s="141">
        <f>IFERROR(__xludf.DUMMYFUNCTION("""COMPUTED_VALUE"""),91.94)</f>
        <v/>
      </c>
      <c r="D183" s="141">
        <f>IFERROR(__xludf.DUMMYFUNCTION("""COMPUTED_VALUE"""),92.7)</f>
        <v/>
      </c>
      <c r="E183" s="141">
        <f>IFERROR(__xludf.DUMMYFUNCTION("""COMPUTED_VALUE"""),91.65)</f>
        <v/>
      </c>
      <c r="F183" s="141">
        <f>IFERROR(__xludf.DUMMYFUNCTION("""COMPUTED_VALUE"""),92.01)</f>
        <v/>
      </c>
      <c r="G183" s="143">
        <f>IFERROR(__xludf.DUMMYFUNCTION("""COMPUTED_VALUE"""),3933948)</f>
        <v/>
      </c>
      <c r="H183" s="27" t="n"/>
    </row>
    <row r="184" ht="17.25" customHeight="1" s="322">
      <c r="A184" s="27" t="n"/>
      <c r="B184" s="506">
        <f>IFERROR(__xludf.DUMMYFUNCTION("""COMPUTED_VALUE"""),46094.6666666666)</f>
        <v/>
      </c>
      <c r="C184" s="141">
        <f>IFERROR(__xludf.DUMMYFUNCTION("""COMPUTED_VALUE"""),92.91)</f>
        <v/>
      </c>
      <c r="D184" s="141">
        <f>IFERROR(__xludf.DUMMYFUNCTION("""COMPUTED_VALUE"""),93.31)</f>
        <v/>
      </c>
      <c r="E184" s="141">
        <f>IFERROR(__xludf.DUMMYFUNCTION("""COMPUTED_VALUE"""),92.05)</f>
        <v/>
      </c>
      <c r="F184" s="141">
        <f>IFERROR(__xludf.DUMMYFUNCTION("""COMPUTED_VALUE"""),92.16)</f>
        <v/>
      </c>
      <c r="G184" s="143">
        <f>IFERROR(__xludf.DUMMYFUNCTION("""COMPUTED_VALUE"""),4063328)</f>
        <v/>
      </c>
      <c r="H184" s="27" t="n"/>
    </row>
    <row r="185" ht="17.25" customHeight="1" s="322">
      <c r="A185" s="27" t="n"/>
      <c r="B185" s="506">
        <f>IFERROR(__xludf.DUMMYFUNCTION("""COMPUTED_VALUE"""),46097.6666666666)</f>
        <v/>
      </c>
      <c r="C185" s="141">
        <f>IFERROR(__xludf.DUMMYFUNCTION("""COMPUTED_VALUE"""),93.11)</f>
        <v/>
      </c>
      <c r="D185" s="141">
        <f>IFERROR(__xludf.DUMMYFUNCTION("""COMPUTED_VALUE"""),93.66)</f>
        <v/>
      </c>
      <c r="E185" s="141">
        <f>IFERROR(__xludf.DUMMYFUNCTION("""COMPUTED_VALUE"""),92.81)</f>
        <v/>
      </c>
      <c r="F185" s="141">
        <f>IFERROR(__xludf.DUMMYFUNCTION("""COMPUTED_VALUE"""),92.93)</f>
        <v/>
      </c>
      <c r="G185" s="143">
        <f>IFERROR(__xludf.DUMMYFUNCTION("""COMPUTED_VALUE"""),3479303)</f>
        <v/>
      </c>
      <c r="H185" s="27" t="n"/>
    </row>
    <row r="186" ht="17.25" customHeight="1" s="322">
      <c r="A186" s="27" t="n"/>
      <c r="B186" s="506">
        <f>IFERROR(__xludf.DUMMYFUNCTION("""COMPUTED_VALUE"""),46098.6666666666)</f>
        <v/>
      </c>
      <c r="C186" s="141">
        <f>IFERROR(__xludf.DUMMYFUNCTION("""COMPUTED_VALUE"""),93.67)</f>
        <v/>
      </c>
      <c r="D186" s="141">
        <f>IFERROR(__xludf.DUMMYFUNCTION("""COMPUTED_VALUE"""),94.04)</f>
        <v/>
      </c>
      <c r="E186" s="141">
        <f>IFERROR(__xludf.DUMMYFUNCTION("""COMPUTED_VALUE"""),93.27)</f>
        <v/>
      </c>
      <c r="F186" s="141">
        <f>IFERROR(__xludf.DUMMYFUNCTION("""COMPUTED_VALUE"""),93.34)</f>
        <v/>
      </c>
      <c r="G186" s="143">
        <f>IFERROR(__xludf.DUMMYFUNCTION("""COMPUTED_VALUE"""),2960962)</f>
        <v/>
      </c>
      <c r="H186" s="27" t="n"/>
    </row>
    <row r="187" ht="17.25" customHeight="1" s="322">
      <c r="A187" s="27" t="n"/>
      <c r="B187" s="506">
        <f>IFERROR(__xludf.DUMMYFUNCTION("""COMPUTED_VALUE"""),46099.6666666666)</f>
        <v/>
      </c>
      <c r="C187" s="141">
        <f>IFERROR(__xludf.DUMMYFUNCTION("""COMPUTED_VALUE"""),93)</f>
        <v/>
      </c>
      <c r="D187" s="141">
        <f>IFERROR(__xludf.DUMMYFUNCTION("""COMPUTED_VALUE"""),93.04)</f>
        <v/>
      </c>
      <c r="E187" s="141">
        <f>IFERROR(__xludf.DUMMYFUNCTION("""COMPUTED_VALUE"""),91.91)</f>
        <v/>
      </c>
      <c r="F187" s="141">
        <f>IFERROR(__xludf.DUMMYFUNCTION("""COMPUTED_VALUE"""),91.96)</f>
        <v/>
      </c>
      <c r="G187" s="143">
        <f>IFERROR(__xludf.DUMMYFUNCTION("""COMPUTED_VALUE"""),2838825)</f>
        <v/>
      </c>
      <c r="H187" s="27" t="n"/>
    </row>
    <row r="188" ht="17.25" customHeight="1" s="322">
      <c r="A188" s="27" t="n"/>
      <c r="B188" s="506">
        <f>IFERROR(__xludf.DUMMYFUNCTION("""COMPUTED_VALUE"""),46100.6666666666)</f>
        <v/>
      </c>
      <c r="C188" s="141">
        <f>IFERROR(__xludf.DUMMYFUNCTION("""COMPUTED_VALUE"""),91.6)</f>
        <v/>
      </c>
      <c r="D188" s="141">
        <f>IFERROR(__xludf.DUMMYFUNCTION("""COMPUTED_VALUE"""),92.08)</f>
        <v/>
      </c>
      <c r="E188" s="141">
        <f>IFERROR(__xludf.DUMMYFUNCTION("""COMPUTED_VALUE"""),91.08)</f>
        <v/>
      </c>
      <c r="F188" s="141">
        <f>IFERROR(__xludf.DUMMYFUNCTION("""COMPUTED_VALUE"""),91.59)</f>
        <v/>
      </c>
      <c r="G188" s="143">
        <f>IFERROR(__xludf.DUMMYFUNCTION("""COMPUTED_VALUE"""),4705053)</f>
        <v/>
      </c>
      <c r="H188" s="27" t="n"/>
    </row>
    <row r="189" ht="17.25" customHeight="1" s="322">
      <c r="A189" s="27" t="n"/>
      <c r="B189" s="506">
        <f>IFERROR(__xludf.DUMMYFUNCTION("""COMPUTED_VALUE"""),46101.6666666666)</f>
        <v/>
      </c>
      <c r="C189" s="141">
        <f>IFERROR(__xludf.DUMMYFUNCTION("""COMPUTED_VALUE"""),91.45)</f>
        <v/>
      </c>
      <c r="D189" s="141">
        <f>IFERROR(__xludf.DUMMYFUNCTION("""COMPUTED_VALUE"""),91.64)</f>
        <v/>
      </c>
      <c r="E189" s="141">
        <f>IFERROR(__xludf.DUMMYFUNCTION("""COMPUTED_VALUE"""),88.33)</f>
        <v/>
      </c>
      <c r="F189" s="141">
        <f>IFERROR(__xludf.DUMMYFUNCTION("""COMPUTED_VALUE"""),88.75)</f>
        <v/>
      </c>
      <c r="G189" s="143">
        <f>IFERROR(__xludf.DUMMYFUNCTION("""COMPUTED_VALUE"""),6295407)</f>
        <v/>
      </c>
      <c r="H189" s="27" t="n"/>
    </row>
    <row r="190" ht="17.25" customHeight="1" s="322">
      <c r="A190" s="27" t="n"/>
      <c r="B190" s="506">
        <f>IFERROR(__xludf.DUMMYFUNCTION("""COMPUTED_VALUE"""),46104.6666666666)</f>
        <v/>
      </c>
      <c r="C190" s="141">
        <f>IFERROR(__xludf.DUMMYFUNCTION("""COMPUTED_VALUE"""),89.89)</f>
        <v/>
      </c>
      <c r="D190" s="141">
        <f>IFERROR(__xludf.DUMMYFUNCTION("""COMPUTED_VALUE"""),90.62)</f>
        <v/>
      </c>
      <c r="E190" s="141">
        <f>IFERROR(__xludf.DUMMYFUNCTION("""COMPUTED_VALUE"""),89.4)</f>
        <v/>
      </c>
      <c r="F190" s="141">
        <f>IFERROR(__xludf.DUMMYFUNCTION("""COMPUTED_VALUE"""),89.44)</f>
        <v/>
      </c>
      <c r="G190" s="143">
        <f>IFERROR(__xludf.DUMMYFUNCTION("""COMPUTED_VALUE"""),6256824)</f>
        <v/>
      </c>
      <c r="H190" s="27" t="n"/>
    </row>
    <row r="191" ht="17.25" customHeight="1" s="322">
      <c r="A191" s="27" t="n"/>
      <c r="B191" s="506">
        <f>IFERROR(__xludf.DUMMYFUNCTION("""COMPUTED_VALUE"""),46105.6666666666)</f>
        <v/>
      </c>
      <c r="C191" s="141">
        <f>IFERROR(__xludf.DUMMYFUNCTION("""COMPUTED_VALUE"""),87.93)</f>
        <v/>
      </c>
      <c r="D191" s="141">
        <f>IFERROR(__xludf.DUMMYFUNCTION("""COMPUTED_VALUE"""),88.78)</f>
        <v/>
      </c>
      <c r="E191" s="141">
        <f>IFERROR(__xludf.DUMMYFUNCTION("""COMPUTED_VALUE"""),87.65)</f>
        <v/>
      </c>
      <c r="F191" s="141">
        <f>IFERROR(__xludf.DUMMYFUNCTION("""COMPUTED_VALUE"""),87.91)</f>
        <v/>
      </c>
      <c r="G191" s="143">
        <f>IFERROR(__xludf.DUMMYFUNCTION("""COMPUTED_VALUE"""),3917327)</f>
        <v/>
      </c>
      <c r="H191" s="27" t="n"/>
    </row>
    <row r="192" ht="17.25" customHeight="1" s="322">
      <c r="A192" s="27" t="n"/>
      <c r="B192" s="506">
        <f>IFERROR(__xludf.DUMMYFUNCTION("""COMPUTED_VALUE"""),46106.6666666666)</f>
        <v/>
      </c>
      <c r="C192" s="141">
        <f>IFERROR(__xludf.DUMMYFUNCTION("""COMPUTED_VALUE"""),88.34)</f>
        <v/>
      </c>
      <c r="D192" s="141">
        <f>IFERROR(__xludf.DUMMYFUNCTION("""COMPUTED_VALUE"""),88.57)</f>
        <v/>
      </c>
      <c r="E192" s="141">
        <f>IFERROR(__xludf.DUMMYFUNCTION("""COMPUTED_VALUE"""),87.43)</f>
        <v/>
      </c>
      <c r="F192" s="141">
        <f>IFERROR(__xludf.DUMMYFUNCTION("""COMPUTED_VALUE"""),87.84)</f>
        <v/>
      </c>
      <c r="G192" s="143">
        <f>IFERROR(__xludf.DUMMYFUNCTION("""COMPUTED_VALUE"""),5061377)</f>
        <v/>
      </c>
      <c r="H192" s="27" t="n"/>
    </row>
    <row r="193" ht="17.25" customHeight="1" s="322">
      <c r="A193" s="27" t="n"/>
      <c r="B193" s="506">
        <f>IFERROR(__xludf.DUMMYFUNCTION("""COMPUTED_VALUE"""),46107.6666666666)</f>
        <v/>
      </c>
      <c r="C193" s="141">
        <f>IFERROR(__xludf.DUMMYFUNCTION("""COMPUTED_VALUE"""),87.66)</f>
        <v/>
      </c>
      <c r="D193" s="141">
        <f>IFERROR(__xludf.DUMMYFUNCTION("""COMPUTED_VALUE"""),88.5)</f>
        <v/>
      </c>
      <c r="E193" s="141">
        <f>IFERROR(__xludf.DUMMYFUNCTION("""COMPUTED_VALUE"""),87.3)</f>
        <v/>
      </c>
      <c r="F193" s="141">
        <f>IFERROR(__xludf.DUMMYFUNCTION("""COMPUTED_VALUE"""),87.72)</f>
        <v/>
      </c>
      <c r="G193" s="143">
        <f>IFERROR(__xludf.DUMMYFUNCTION("""COMPUTED_VALUE"""),6108204)</f>
        <v/>
      </c>
      <c r="H193" s="27" t="n"/>
    </row>
    <row r="194" ht="17.25" customHeight="1" s="322">
      <c r="A194" s="27" t="n"/>
      <c r="B194" s="506">
        <f>IFERROR(__xludf.DUMMYFUNCTION("""COMPUTED_VALUE"""),46108.6666666666)</f>
        <v/>
      </c>
      <c r="C194" s="141">
        <f>IFERROR(__xludf.DUMMYFUNCTION("""COMPUTED_VALUE"""),87.53)</f>
        <v/>
      </c>
      <c r="D194" s="141">
        <f>IFERROR(__xludf.DUMMYFUNCTION("""COMPUTED_VALUE"""),87.99)</f>
        <v/>
      </c>
      <c r="E194" s="141">
        <f>IFERROR(__xludf.DUMMYFUNCTION("""COMPUTED_VALUE"""),86.84)</f>
        <v/>
      </c>
      <c r="F194" s="141">
        <f>IFERROR(__xludf.DUMMYFUNCTION("""COMPUTED_VALUE"""),87)</f>
        <v/>
      </c>
      <c r="G194" s="143">
        <f>IFERROR(__xludf.DUMMYFUNCTION("""COMPUTED_VALUE"""),4435342)</f>
        <v/>
      </c>
      <c r="H194" s="27" t="n"/>
    </row>
    <row r="195" ht="17.25" customHeight="1" s="322">
      <c r="A195" s="27" t="n"/>
      <c r="B195" s="506">
        <f>IFERROR(__xludf.DUMMYFUNCTION("""COMPUTED_VALUE"""),46111.6666666666)</f>
        <v/>
      </c>
      <c r="C195" s="141">
        <f>IFERROR(__xludf.DUMMYFUNCTION("""COMPUTED_VALUE"""),87.91)</f>
        <v/>
      </c>
      <c r="D195" s="141">
        <f>IFERROR(__xludf.DUMMYFUNCTION("""COMPUTED_VALUE"""),88.52)</f>
        <v/>
      </c>
      <c r="E195" s="141">
        <f>IFERROR(__xludf.DUMMYFUNCTION("""COMPUTED_VALUE"""),87.04)</f>
        <v/>
      </c>
      <c r="F195" s="141">
        <f>IFERROR(__xludf.DUMMYFUNCTION("""COMPUTED_VALUE"""),87.33)</f>
        <v/>
      </c>
      <c r="G195" s="143">
        <f>IFERROR(__xludf.DUMMYFUNCTION("""COMPUTED_VALUE"""),5474820)</f>
        <v/>
      </c>
      <c r="H195" s="27" t="n"/>
    </row>
    <row r="196" ht="17.25" customHeight="1" s="322">
      <c r="A196" s="27" t="n"/>
      <c r="B196" s="506">
        <f>IFERROR(__xludf.DUMMYFUNCTION("""COMPUTED_VALUE"""),46112.6666666666)</f>
        <v/>
      </c>
      <c r="C196" s="141">
        <f>IFERROR(__xludf.DUMMYFUNCTION("""COMPUTED_VALUE"""),88.47)</f>
        <v/>
      </c>
      <c r="D196" s="141">
        <f>IFERROR(__xludf.DUMMYFUNCTION("""COMPUTED_VALUE"""),89.43)</f>
        <v/>
      </c>
      <c r="E196" s="141">
        <f>IFERROR(__xludf.DUMMYFUNCTION("""COMPUTED_VALUE"""),87.65)</f>
        <v/>
      </c>
      <c r="F196" s="141">
        <f>IFERROR(__xludf.DUMMYFUNCTION("""COMPUTED_VALUE"""),88.7)</f>
        <v/>
      </c>
      <c r="G196" s="143">
        <f>IFERROR(__xludf.DUMMYFUNCTION("""COMPUTED_VALUE"""),4928692)</f>
        <v/>
      </c>
      <c r="H196" s="27" t="n"/>
    </row>
    <row r="197" ht="17.25" customHeight="1" s="322">
      <c r="A197" s="27" t="n"/>
      <c r="B197" s="506">
        <f>IFERROR(__xludf.DUMMYFUNCTION("""COMPUTED_VALUE"""),46113.6666666666)</f>
        <v/>
      </c>
      <c r="C197" s="141">
        <f>IFERROR(__xludf.DUMMYFUNCTION("""COMPUTED_VALUE"""),88.7)</f>
        <v/>
      </c>
      <c r="D197" s="141">
        <f>IFERROR(__xludf.DUMMYFUNCTION("""COMPUTED_VALUE"""),89.36)</f>
        <v/>
      </c>
      <c r="E197" s="141">
        <f>IFERROR(__xludf.DUMMYFUNCTION("""COMPUTED_VALUE"""),88.55)</f>
        <v/>
      </c>
      <c r="F197" s="141">
        <f>IFERROR(__xludf.DUMMYFUNCTION("""COMPUTED_VALUE"""),89.02)</f>
        <v/>
      </c>
      <c r="G197" s="143">
        <f>IFERROR(__xludf.DUMMYFUNCTION("""COMPUTED_VALUE"""),4412029)</f>
        <v/>
      </c>
      <c r="H197" s="27" t="n"/>
    </row>
    <row r="198" ht="17.25" customHeight="1" s="322">
      <c r="A198" s="27" t="n"/>
      <c r="B198" s="506">
        <f>IFERROR(__xludf.DUMMYFUNCTION("""COMPUTED_VALUE"""),46114.6666666666)</f>
        <v/>
      </c>
      <c r="C198" s="141">
        <f>IFERROR(__xludf.DUMMYFUNCTION("""COMPUTED_VALUE"""),88.89)</f>
        <v/>
      </c>
      <c r="D198" s="141">
        <f>IFERROR(__xludf.DUMMYFUNCTION("""COMPUTED_VALUE"""),90.33)</f>
        <v/>
      </c>
      <c r="E198" s="141">
        <f>IFERROR(__xludf.DUMMYFUNCTION("""COMPUTED_VALUE"""),88.44)</f>
        <v/>
      </c>
      <c r="F198" s="141">
        <f>IFERROR(__xludf.DUMMYFUNCTION("""COMPUTED_VALUE"""),90.23)</f>
        <v/>
      </c>
      <c r="G198" s="143">
        <f>IFERROR(__xludf.DUMMYFUNCTION("""COMPUTED_VALUE"""),3288855)</f>
        <v/>
      </c>
      <c r="H198" s="27" t="n"/>
    </row>
    <row r="199" ht="17.25" customHeight="1" s="322">
      <c r="A199" s="27" t="n"/>
      <c r="B199" s="506">
        <f>IFERROR(__xludf.DUMMYFUNCTION("""COMPUTED_VALUE"""),46118.6666666666)</f>
        <v/>
      </c>
      <c r="C199" s="141">
        <f>IFERROR(__xludf.DUMMYFUNCTION("""COMPUTED_VALUE"""),89.96)</f>
        <v/>
      </c>
      <c r="D199" s="141">
        <f>IFERROR(__xludf.DUMMYFUNCTION("""COMPUTED_VALUE"""),90.62)</f>
        <v/>
      </c>
      <c r="E199" s="141">
        <f>IFERROR(__xludf.DUMMYFUNCTION("""COMPUTED_VALUE"""),89.73)</f>
        <v/>
      </c>
      <c r="F199" s="141">
        <f>IFERROR(__xludf.DUMMYFUNCTION("""COMPUTED_VALUE"""),90.36)</f>
        <v/>
      </c>
      <c r="G199" s="143">
        <f>IFERROR(__xludf.DUMMYFUNCTION("""COMPUTED_VALUE"""),2537637)</f>
        <v/>
      </c>
      <c r="H199" s="27" t="n"/>
    </row>
    <row r="200" ht="17.25" customHeight="1" s="322">
      <c r="A200" s="27" t="n"/>
      <c r="B200" s="506">
        <f>IFERROR(__xludf.DUMMYFUNCTION("""COMPUTED_VALUE"""),46119.6666666666)</f>
        <v/>
      </c>
      <c r="C200" s="141">
        <f>IFERROR(__xludf.DUMMYFUNCTION("""COMPUTED_VALUE"""),90.07)</f>
        <v/>
      </c>
      <c r="D200" s="141">
        <f>IFERROR(__xludf.DUMMYFUNCTION("""COMPUTED_VALUE"""),90.81)</f>
        <v/>
      </c>
      <c r="E200" s="141">
        <f>IFERROR(__xludf.DUMMYFUNCTION("""COMPUTED_VALUE"""),89.66)</f>
        <v/>
      </c>
      <c r="F200" s="141">
        <f>IFERROR(__xludf.DUMMYFUNCTION("""COMPUTED_VALUE"""),90.49)</f>
        <v/>
      </c>
      <c r="G200" s="143">
        <f>IFERROR(__xludf.DUMMYFUNCTION("""COMPUTED_VALUE"""),3184846)</f>
        <v/>
      </c>
      <c r="H200" s="27" t="n"/>
    </row>
    <row r="201" ht="17.25" customHeight="1" s="322">
      <c r="A201" s="27" t="n"/>
      <c r="B201" s="506">
        <f>IFERROR(__xludf.DUMMYFUNCTION("""COMPUTED_VALUE"""),46120.6666666666)</f>
        <v/>
      </c>
      <c r="C201" s="141">
        <f>IFERROR(__xludf.DUMMYFUNCTION("""COMPUTED_VALUE"""),91.9)</f>
        <v/>
      </c>
      <c r="D201" s="141">
        <f>IFERROR(__xludf.DUMMYFUNCTION("""COMPUTED_VALUE"""),92.22)</f>
        <v/>
      </c>
      <c r="E201" s="141">
        <f>IFERROR(__xludf.DUMMYFUNCTION("""COMPUTED_VALUE"""),91.54)</f>
        <v/>
      </c>
      <c r="F201" s="141">
        <f>IFERROR(__xludf.DUMMYFUNCTION("""COMPUTED_VALUE"""),92.12)</f>
        <v/>
      </c>
      <c r="G201" s="143">
        <f>IFERROR(__xludf.DUMMYFUNCTION("""COMPUTED_VALUE"""),5049552)</f>
        <v/>
      </c>
      <c r="H201" s="27" t="n"/>
    </row>
    <row r="202" ht="17.25" customHeight="1" s="322">
      <c r="A202" s="27" t="n"/>
      <c r="B202" s="506">
        <f>IFERROR(__xludf.DUMMYFUNCTION("""COMPUTED_VALUE"""),46121.6666666666)</f>
        <v/>
      </c>
      <c r="C202" s="141">
        <f>IFERROR(__xludf.DUMMYFUNCTION("""COMPUTED_VALUE"""),91.72)</f>
        <v/>
      </c>
      <c r="D202" s="141">
        <f>IFERROR(__xludf.DUMMYFUNCTION("""COMPUTED_VALUE"""),93.57)</f>
        <v/>
      </c>
      <c r="E202" s="141">
        <f>IFERROR(__xludf.DUMMYFUNCTION("""COMPUTED_VALUE"""),91.67)</f>
        <v/>
      </c>
      <c r="F202" s="141">
        <f>IFERROR(__xludf.DUMMYFUNCTION("""COMPUTED_VALUE"""),92.78)</f>
        <v/>
      </c>
      <c r="G202" s="143">
        <f>IFERROR(__xludf.DUMMYFUNCTION("""COMPUTED_VALUE"""),3845681)</f>
        <v/>
      </c>
      <c r="H202" s="27" t="n"/>
    </row>
    <row r="203" ht="17.25" customHeight="1" s="322">
      <c r="A203" s="27" t="n"/>
      <c r="B203" s="506">
        <f>IFERROR(__xludf.DUMMYFUNCTION("""COMPUTED_VALUE"""),46122.6666666666)</f>
        <v/>
      </c>
      <c r="C203" s="141">
        <f>IFERROR(__xludf.DUMMYFUNCTION("""COMPUTED_VALUE"""),92.79)</f>
        <v/>
      </c>
      <c r="D203" s="141">
        <f>IFERROR(__xludf.DUMMYFUNCTION("""COMPUTED_VALUE"""),93.28)</f>
        <v/>
      </c>
      <c r="E203" s="141">
        <f>IFERROR(__xludf.DUMMYFUNCTION("""COMPUTED_VALUE"""),92.57)</f>
        <v/>
      </c>
      <c r="F203" s="141">
        <f>IFERROR(__xludf.DUMMYFUNCTION("""COMPUTED_VALUE"""),92.98)</f>
        <v/>
      </c>
      <c r="G203" s="143">
        <f>IFERROR(__xludf.DUMMYFUNCTION("""COMPUTED_VALUE"""),2568670)</f>
        <v/>
      </c>
      <c r="H203" s="27" t="n"/>
    </row>
    <row r="204" ht="17.25" customHeight="1" s="322">
      <c r="A204" s="27" t="n"/>
      <c r="B204" s="506">
        <f>IFERROR(__xludf.DUMMYFUNCTION("""COMPUTED_VALUE"""),46125.6666666666)</f>
        <v/>
      </c>
      <c r="C204" s="141">
        <f>IFERROR(__xludf.DUMMYFUNCTION("""COMPUTED_VALUE"""),92.7)</f>
        <v/>
      </c>
      <c r="D204" s="141">
        <f>IFERROR(__xludf.DUMMYFUNCTION("""COMPUTED_VALUE"""),93.38)</f>
        <v/>
      </c>
      <c r="E204" s="141">
        <f>IFERROR(__xludf.DUMMYFUNCTION("""COMPUTED_VALUE"""),92.37)</f>
        <v/>
      </c>
      <c r="F204" s="141">
        <f>IFERROR(__xludf.DUMMYFUNCTION("""COMPUTED_VALUE"""),93.33)</f>
        <v/>
      </c>
      <c r="G204" s="143">
        <f>IFERROR(__xludf.DUMMYFUNCTION("""COMPUTED_VALUE"""),2035988)</f>
        <v/>
      </c>
      <c r="H204" s="27" t="n"/>
    </row>
    <row r="205" ht="17.25" customHeight="1" s="322">
      <c r="A205" s="27" t="n"/>
      <c r="B205" s="506">
        <f>IFERROR(__xludf.DUMMYFUNCTION("""COMPUTED_VALUE"""),46126.6666666666)</f>
        <v/>
      </c>
      <c r="C205" s="141">
        <f>IFERROR(__xludf.DUMMYFUNCTION("""COMPUTED_VALUE"""),93.2)</f>
        <v/>
      </c>
      <c r="D205" s="141">
        <f>IFERROR(__xludf.DUMMYFUNCTION("""COMPUTED_VALUE"""),94.32)</f>
        <v/>
      </c>
      <c r="E205" s="141">
        <f>IFERROR(__xludf.DUMMYFUNCTION("""COMPUTED_VALUE"""),93.04)</f>
        <v/>
      </c>
      <c r="F205" s="141">
        <f>IFERROR(__xludf.DUMMYFUNCTION("""COMPUTED_VALUE"""),94.22)</f>
        <v/>
      </c>
      <c r="G205" s="143">
        <f>IFERROR(__xludf.DUMMYFUNCTION("""COMPUTED_VALUE"""),1921520)</f>
        <v/>
      </c>
      <c r="H205" s="27" t="n"/>
    </row>
    <row r="206" ht="17.25" customHeight="1" s="322">
      <c r="A206" s="27" t="n"/>
      <c r="B206" s="506">
        <f>IFERROR(__xludf.DUMMYFUNCTION("""COMPUTED_VALUE"""),46127.6666666666)</f>
        <v/>
      </c>
      <c r="C206" s="141">
        <f>IFERROR(__xludf.DUMMYFUNCTION("""COMPUTED_VALUE"""),93.97)</f>
        <v/>
      </c>
      <c r="D206" s="141">
        <f>IFERROR(__xludf.DUMMYFUNCTION("""COMPUTED_VALUE"""),94.34)</f>
        <v/>
      </c>
      <c r="E206" s="141">
        <f>IFERROR(__xludf.DUMMYFUNCTION("""COMPUTED_VALUE"""),93.67)</f>
        <v/>
      </c>
      <c r="F206" s="141">
        <f>IFERROR(__xludf.DUMMYFUNCTION("""COMPUTED_VALUE"""),94.29)</f>
        <v/>
      </c>
      <c r="G206" s="143">
        <f>IFERROR(__xludf.DUMMYFUNCTION("""COMPUTED_VALUE"""),2759073)</f>
        <v/>
      </c>
      <c r="H206" s="27" t="n"/>
    </row>
    <row r="207" ht="17.25" customHeight="1" s="322">
      <c r="A207" s="27" t="n"/>
      <c r="B207" s="506">
        <f>IFERROR(__xludf.DUMMYFUNCTION("""COMPUTED_VALUE"""),46128.6666666666)</f>
        <v/>
      </c>
      <c r="C207" s="141">
        <f>IFERROR(__xludf.DUMMYFUNCTION("""COMPUTED_VALUE"""),94.52)</f>
        <v/>
      </c>
      <c r="D207" s="141">
        <f>IFERROR(__xludf.DUMMYFUNCTION("""COMPUTED_VALUE"""),95.22)</f>
        <v/>
      </c>
      <c r="E207" s="141">
        <f>IFERROR(__xludf.DUMMYFUNCTION("""COMPUTED_VALUE"""),94.38)</f>
        <v/>
      </c>
      <c r="F207" s="141">
        <f>IFERROR(__xludf.DUMMYFUNCTION("""COMPUTED_VALUE"""),95.16)</f>
        <v/>
      </c>
      <c r="G207" s="143">
        <f>IFERROR(__xludf.DUMMYFUNCTION("""COMPUTED_VALUE"""),2005250)</f>
        <v/>
      </c>
      <c r="H207" s="27" t="n"/>
    </row>
    <row r="208" ht="17.25" customHeight="1" s="322">
      <c r="A208" s="27" t="n"/>
      <c r="B208" s="506">
        <f>IFERROR(__xludf.DUMMYFUNCTION("""COMPUTED_VALUE"""),46129.6666666666)</f>
        <v/>
      </c>
      <c r="C208" s="141">
        <f>IFERROR(__xludf.DUMMYFUNCTION("""COMPUTED_VALUE"""),95.5)</f>
        <v/>
      </c>
      <c r="D208" s="141">
        <f>IFERROR(__xludf.DUMMYFUNCTION("""COMPUTED_VALUE"""),96.81)</f>
        <v/>
      </c>
      <c r="E208" s="141">
        <f>IFERROR(__xludf.DUMMYFUNCTION("""COMPUTED_VALUE"""),95.39)</f>
        <v/>
      </c>
      <c r="F208" s="141">
        <f>IFERROR(__xludf.DUMMYFUNCTION("""COMPUTED_VALUE"""),96.68)</f>
        <v/>
      </c>
      <c r="G208" s="143">
        <f>IFERROR(__xludf.DUMMYFUNCTION("""COMPUTED_VALUE"""),2584575)</f>
        <v/>
      </c>
      <c r="H208" s="27" t="n"/>
    </row>
    <row r="209" ht="17.25" customHeight="1" s="322">
      <c r="A209" s="27" t="n"/>
      <c r="B209" s="506">
        <f>IFERROR(__xludf.DUMMYFUNCTION("""COMPUTED_VALUE"""),46132.6666666666)</f>
        <v/>
      </c>
      <c r="C209" s="141">
        <f>IFERROR(__xludf.DUMMYFUNCTION("""COMPUTED_VALUE"""),96.5)</f>
        <v/>
      </c>
      <c r="D209" s="141">
        <f>IFERROR(__xludf.DUMMYFUNCTION("""COMPUTED_VALUE"""),97.03)</f>
        <v/>
      </c>
      <c r="E209" s="141">
        <f>IFERROR(__xludf.DUMMYFUNCTION("""COMPUTED_VALUE"""),96.33)</f>
        <v/>
      </c>
      <c r="F209" s="141">
        <f>IFERROR(__xludf.DUMMYFUNCTION("""COMPUTED_VALUE"""),97.03)</f>
        <v/>
      </c>
      <c r="G209" s="143">
        <f>IFERROR(__xludf.DUMMYFUNCTION("""COMPUTED_VALUE"""),2246785)</f>
        <v/>
      </c>
      <c r="H209" s="27" t="n"/>
    </row>
    <row r="210" ht="17.25" customHeight="1" s="322">
      <c r="A210" s="27" t="n"/>
      <c r="B210" s="506">
        <f>IFERROR(__xludf.DUMMYFUNCTION("""COMPUTED_VALUE"""),46133.6666666666)</f>
        <v/>
      </c>
      <c r="C210" s="141">
        <f>IFERROR(__xludf.DUMMYFUNCTION("""COMPUTED_VALUE"""),96.96)</f>
        <v/>
      </c>
      <c r="D210" s="141">
        <f>IFERROR(__xludf.DUMMYFUNCTION("""COMPUTED_VALUE"""),97.06)</f>
        <v/>
      </c>
      <c r="E210" s="141">
        <f>IFERROR(__xludf.DUMMYFUNCTION("""COMPUTED_VALUE"""),95.17)</f>
        <v/>
      </c>
      <c r="F210" s="141">
        <f>IFERROR(__xludf.DUMMYFUNCTION("""COMPUTED_VALUE"""),95.31)</f>
        <v/>
      </c>
      <c r="G210" s="143">
        <f>IFERROR(__xludf.DUMMYFUNCTION("""COMPUTED_VALUE"""),3236381)</f>
        <v/>
      </c>
      <c r="H210" s="27" t="n"/>
    </row>
    <row r="211" ht="17.25" customHeight="1" s="322">
      <c r="A211" s="27" t="n"/>
      <c r="B211" s="506">
        <f>IFERROR(__xludf.DUMMYFUNCTION("""COMPUTED_VALUE"""),46134.6666666666)</f>
        <v/>
      </c>
      <c r="C211" s="141">
        <f>IFERROR(__xludf.DUMMYFUNCTION("""COMPUTED_VALUE"""),95.6)</f>
        <v/>
      </c>
      <c r="D211" s="141">
        <f>IFERROR(__xludf.DUMMYFUNCTION("""COMPUTED_VALUE"""),96.01)</f>
        <v/>
      </c>
      <c r="E211" s="141">
        <f>IFERROR(__xludf.DUMMYFUNCTION("""COMPUTED_VALUE"""),94.13)</f>
        <v/>
      </c>
      <c r="F211" s="141">
        <f>IFERROR(__xludf.DUMMYFUNCTION("""COMPUTED_VALUE"""),94.52)</f>
        <v/>
      </c>
      <c r="G211" s="143">
        <f>IFERROR(__xludf.DUMMYFUNCTION("""COMPUTED_VALUE"""),2708775)</f>
        <v/>
      </c>
      <c r="H211" s="27" t="n"/>
    </row>
    <row r="212" ht="17.25" customHeight="1" s="322">
      <c r="A212" s="27" t="n"/>
      <c r="B212" s="506">
        <f>IFERROR(__xludf.DUMMYFUNCTION("""COMPUTED_VALUE"""),46135.6666666666)</f>
        <v/>
      </c>
      <c r="C212" s="141">
        <f>IFERROR(__xludf.DUMMYFUNCTION("""COMPUTED_VALUE"""),94.86)</f>
        <v/>
      </c>
      <c r="D212" s="141">
        <f>IFERROR(__xludf.DUMMYFUNCTION("""COMPUTED_VALUE"""),95.56)</f>
        <v/>
      </c>
      <c r="E212" s="141">
        <f>IFERROR(__xludf.DUMMYFUNCTION("""COMPUTED_VALUE"""),94.51)</f>
        <v/>
      </c>
      <c r="F212" s="141">
        <f>IFERROR(__xludf.DUMMYFUNCTION("""COMPUTED_VALUE"""),95.49)</f>
        <v/>
      </c>
      <c r="G212" s="143">
        <f>IFERROR(__xludf.DUMMYFUNCTION("""COMPUTED_VALUE"""),3437913)</f>
        <v/>
      </c>
      <c r="H212" s="27" t="n"/>
    </row>
    <row r="213" ht="17.25" customHeight="1" s="322">
      <c r="A213" s="27" t="n"/>
      <c r="B213" s="506">
        <f>IFERROR(__xludf.DUMMYFUNCTION("""COMPUTED_VALUE"""),46136.6666666666)</f>
        <v/>
      </c>
      <c r="C213" s="141">
        <f>IFERROR(__xludf.DUMMYFUNCTION("""COMPUTED_VALUE"""),95.43)</f>
        <v/>
      </c>
      <c r="D213" s="141">
        <f>IFERROR(__xludf.DUMMYFUNCTION("""COMPUTED_VALUE"""),96.02)</f>
        <v/>
      </c>
      <c r="E213" s="141">
        <f>IFERROR(__xludf.DUMMYFUNCTION("""COMPUTED_VALUE"""),95.22)</f>
        <v/>
      </c>
      <c r="F213" s="141">
        <f>IFERROR(__xludf.DUMMYFUNCTION("""COMPUTED_VALUE"""),95.3)</f>
        <v/>
      </c>
      <c r="G213" s="143">
        <f>IFERROR(__xludf.DUMMYFUNCTION("""COMPUTED_VALUE"""),1994377)</f>
        <v/>
      </c>
      <c r="H213" s="27" t="n"/>
    </row>
    <row r="214" ht="17.25" customHeight="1" s="322">
      <c r="A214" s="27" t="n"/>
      <c r="B214" s="506">
        <f>IFERROR(__xludf.DUMMYFUNCTION("""COMPUTED_VALUE"""),46139.6666666666)</f>
        <v/>
      </c>
      <c r="C214" s="141">
        <f>IFERROR(__xludf.DUMMYFUNCTION("""COMPUTED_VALUE"""),94.95)</f>
        <v/>
      </c>
      <c r="D214" s="141">
        <f>IFERROR(__xludf.DUMMYFUNCTION("""COMPUTED_VALUE"""),95.7)</f>
        <v/>
      </c>
      <c r="E214" s="141">
        <f>IFERROR(__xludf.DUMMYFUNCTION("""COMPUTED_VALUE"""),94.7)</f>
        <v/>
      </c>
      <c r="F214" s="141">
        <f>IFERROR(__xludf.DUMMYFUNCTION("""COMPUTED_VALUE"""),94.78)</f>
        <v/>
      </c>
      <c r="G214" s="143">
        <f>IFERROR(__xludf.DUMMYFUNCTION("""COMPUTED_VALUE"""),2521204)</f>
        <v/>
      </c>
      <c r="H214" s="27" t="n"/>
    </row>
    <row r="215" ht="17.25" customHeight="1" s="322">
      <c r="A215" s="27" t="n"/>
      <c r="B215" s="506">
        <f>IFERROR(__xludf.DUMMYFUNCTION("""COMPUTED_VALUE"""),46140.6666666666)</f>
        <v/>
      </c>
      <c r="C215" s="141">
        <f>IFERROR(__xludf.DUMMYFUNCTION("""COMPUTED_VALUE"""),95.12)</f>
        <v/>
      </c>
      <c r="D215" s="141">
        <f>IFERROR(__xludf.DUMMYFUNCTION("""COMPUTED_VALUE"""),95.74)</f>
        <v/>
      </c>
      <c r="E215" s="141">
        <f>IFERROR(__xludf.DUMMYFUNCTION("""COMPUTED_VALUE"""),94.48)</f>
        <v/>
      </c>
      <c r="F215" s="141">
        <f>IFERROR(__xludf.DUMMYFUNCTION("""COMPUTED_VALUE"""),95.65)</f>
        <v/>
      </c>
      <c r="G215" s="143">
        <f>IFERROR(__xludf.DUMMYFUNCTION("""COMPUTED_VALUE"""),2867607)</f>
        <v/>
      </c>
      <c r="H215" s="27" t="n"/>
    </row>
    <row r="216" ht="17.25" customHeight="1" s="322">
      <c r="A216" s="27" t="n"/>
      <c r="B216" s="506">
        <f>IFERROR(__xludf.DUMMYFUNCTION("""COMPUTED_VALUE"""),46141.6666666666)</f>
        <v/>
      </c>
      <c r="C216" s="141">
        <f>IFERROR(__xludf.DUMMYFUNCTION("""COMPUTED_VALUE"""),95.17)</f>
        <v/>
      </c>
      <c r="D216" s="141">
        <f>IFERROR(__xludf.DUMMYFUNCTION("""COMPUTED_VALUE"""),95.8)</f>
        <v/>
      </c>
      <c r="E216" s="141">
        <f>IFERROR(__xludf.DUMMYFUNCTION("""COMPUTED_VALUE"""),94.51)</f>
        <v/>
      </c>
      <c r="F216" s="141">
        <f>IFERROR(__xludf.DUMMYFUNCTION("""COMPUTED_VALUE"""),94.9)</f>
        <v/>
      </c>
      <c r="G216" s="143">
        <f>IFERROR(__xludf.DUMMYFUNCTION("""COMPUTED_VALUE"""),2903056)</f>
        <v/>
      </c>
      <c r="H216" s="27" t="n"/>
    </row>
    <row r="217" ht="17.25" customHeight="1" s="322">
      <c r="A217" s="27" t="n"/>
      <c r="B217" s="506">
        <f>IFERROR(__xludf.DUMMYFUNCTION("""COMPUTED_VALUE"""),46142.6666666666)</f>
        <v/>
      </c>
      <c r="C217" s="141">
        <f>IFERROR(__xludf.DUMMYFUNCTION("""COMPUTED_VALUE"""),94.68)</f>
        <v/>
      </c>
      <c r="D217" s="141">
        <f>IFERROR(__xludf.DUMMYFUNCTION("""COMPUTED_VALUE"""),96.41)</f>
        <v/>
      </c>
      <c r="E217" s="141">
        <f>IFERROR(__xludf.DUMMYFUNCTION("""COMPUTED_VALUE"""),94.55)</f>
        <v/>
      </c>
      <c r="F217" s="141">
        <f>IFERROR(__xludf.DUMMYFUNCTION("""COMPUTED_VALUE"""),96.33)</f>
        <v/>
      </c>
      <c r="G217" s="143">
        <f>IFERROR(__xludf.DUMMYFUNCTION("""COMPUTED_VALUE"""),3730373)</f>
        <v/>
      </c>
      <c r="H217" s="27" t="n"/>
    </row>
    <row r="218" ht="17.25" customHeight="1" s="322">
      <c r="A218" s="27" t="n"/>
      <c r="B218" s="506">
        <f>IFERROR(__xludf.DUMMYFUNCTION("""COMPUTED_VALUE"""),46143.6666666666)</f>
        <v/>
      </c>
      <c r="C218" s="141">
        <f>IFERROR(__xludf.DUMMYFUNCTION("""COMPUTED_VALUE"""),96.6)</f>
        <v/>
      </c>
      <c r="D218" s="141">
        <f>IFERROR(__xludf.DUMMYFUNCTION("""COMPUTED_VALUE"""),96.71)</f>
        <v/>
      </c>
      <c r="E218" s="141">
        <f>IFERROR(__xludf.DUMMYFUNCTION("""COMPUTED_VALUE"""),95.81)</f>
        <v/>
      </c>
      <c r="F218" s="141">
        <f>IFERROR(__xludf.DUMMYFUNCTION("""COMPUTED_VALUE"""),96.06)</f>
        <v/>
      </c>
      <c r="G218" s="143">
        <f>IFERROR(__xludf.DUMMYFUNCTION("""COMPUTED_VALUE"""),3248844)</f>
        <v/>
      </c>
      <c r="H218" s="27" t="n"/>
    </row>
    <row r="219" ht="17.25" customHeight="1" s="322">
      <c r="A219" s="27" t="n"/>
      <c r="B219" s="506">
        <f>IFERROR(__xludf.DUMMYFUNCTION("""COMPUTED_VALUE"""),46146.6666666666)</f>
        <v/>
      </c>
      <c r="C219" s="141">
        <f>IFERROR(__xludf.DUMMYFUNCTION("""COMPUTED_VALUE"""),95.74)</f>
        <v/>
      </c>
      <c r="D219" s="141">
        <f>IFERROR(__xludf.DUMMYFUNCTION("""COMPUTED_VALUE"""),96.29)</f>
        <v/>
      </c>
      <c r="E219" s="141">
        <f>IFERROR(__xludf.DUMMYFUNCTION("""COMPUTED_VALUE"""),95.08)</f>
        <v/>
      </c>
      <c r="F219" s="141">
        <f>IFERROR(__xludf.DUMMYFUNCTION("""COMPUTED_VALUE"""),95.46)</f>
        <v/>
      </c>
      <c r="G219" s="143">
        <f>IFERROR(__xludf.DUMMYFUNCTION("""COMPUTED_VALUE"""),3595330)</f>
        <v/>
      </c>
      <c r="H219" s="27" t="n"/>
    </row>
    <row r="220" ht="17.25" customHeight="1" s="322">
      <c r="A220" s="27" t="n"/>
      <c r="B220" s="506">
        <f>IFERROR(__xludf.DUMMYFUNCTION("""COMPUTED_VALUE"""),46147.6666666666)</f>
        <v/>
      </c>
      <c r="C220" s="141">
        <f>IFERROR(__xludf.DUMMYFUNCTION("""COMPUTED_VALUE"""),95.65)</f>
        <v/>
      </c>
      <c r="D220" s="141">
        <f>IFERROR(__xludf.DUMMYFUNCTION("""COMPUTED_VALUE"""),95.96)</f>
        <v/>
      </c>
      <c r="E220" s="141">
        <f>IFERROR(__xludf.DUMMYFUNCTION("""COMPUTED_VALUE"""),95.03)</f>
        <v/>
      </c>
      <c r="F220" s="141">
        <f>IFERROR(__xludf.DUMMYFUNCTION("""COMPUTED_VALUE"""),95.76)</f>
        <v/>
      </c>
      <c r="G220" s="143">
        <f>IFERROR(__xludf.DUMMYFUNCTION("""COMPUTED_VALUE"""),2536824)</f>
        <v/>
      </c>
      <c r="H220" s="27" t="n"/>
    </row>
    <row r="221" ht="17.25" customHeight="1" s="322">
      <c r="A221" s="27" t="n"/>
      <c r="B221" s="506">
        <f>IFERROR(__xludf.DUMMYFUNCTION("""COMPUTED_VALUE"""),46148.6666666666)</f>
        <v/>
      </c>
      <c r="C221" s="141">
        <f>IFERROR(__xludf.DUMMYFUNCTION("""COMPUTED_VALUE"""),96.4)</f>
        <v/>
      </c>
      <c r="D221" s="141">
        <f>IFERROR(__xludf.DUMMYFUNCTION("""COMPUTED_VALUE"""),97.37)</f>
        <v/>
      </c>
      <c r="E221" s="141">
        <f>IFERROR(__xludf.DUMMYFUNCTION("""COMPUTED_VALUE"""),96.36)</f>
        <v/>
      </c>
      <c r="F221" s="141">
        <f>IFERROR(__xludf.DUMMYFUNCTION("""COMPUTED_VALUE"""),97.09)</f>
        <v/>
      </c>
      <c r="G221" s="143">
        <f>IFERROR(__xludf.DUMMYFUNCTION("""COMPUTED_VALUE"""),3239113)</f>
        <v/>
      </c>
      <c r="H221" s="27" t="n"/>
    </row>
    <row r="222" ht="17.25" customHeight="1" s="322">
      <c r="A222" s="27" t="n"/>
      <c r="B222" s="506">
        <f>IFERROR(__xludf.DUMMYFUNCTION("""COMPUTED_VALUE"""),46149.6666666666)</f>
        <v/>
      </c>
      <c r="C222" s="141">
        <f>IFERROR(__xludf.DUMMYFUNCTION("""COMPUTED_VALUE"""),96.81)</f>
        <v/>
      </c>
      <c r="D222" s="141">
        <f>IFERROR(__xludf.DUMMYFUNCTION("""COMPUTED_VALUE"""),97.14)</f>
        <v/>
      </c>
      <c r="E222" s="141">
        <f>IFERROR(__xludf.DUMMYFUNCTION("""COMPUTED_VALUE"""),95.97)</f>
        <v/>
      </c>
      <c r="F222" s="141">
        <f>IFERROR(__xludf.DUMMYFUNCTION("""COMPUTED_VALUE"""),96.39)</f>
        <v/>
      </c>
      <c r="G222" s="143">
        <f>IFERROR(__xludf.DUMMYFUNCTION("""COMPUTED_VALUE"""),2740075)</f>
        <v/>
      </c>
      <c r="H222" s="27" t="n"/>
    </row>
    <row r="223" ht="17.25" customHeight="1" s="322">
      <c r="A223" s="27" t="n"/>
      <c r="B223" s="506">
        <f>IFERROR(__xludf.DUMMYFUNCTION("""COMPUTED_VALUE"""),46150.6666666666)</f>
        <v/>
      </c>
      <c r="C223" s="141">
        <f>IFERROR(__xludf.DUMMYFUNCTION("""COMPUTED_VALUE"""),96.67)</f>
        <v/>
      </c>
      <c r="D223" s="141">
        <f>IFERROR(__xludf.DUMMYFUNCTION("""COMPUTED_VALUE"""),97.19)</f>
        <v/>
      </c>
      <c r="E223" s="141">
        <f>IFERROR(__xludf.DUMMYFUNCTION("""COMPUTED_VALUE"""),96.58)</f>
        <v/>
      </c>
      <c r="F223" s="141">
        <f>IFERROR(__xludf.DUMMYFUNCTION("""COMPUTED_VALUE"""),96.62)</f>
        <v/>
      </c>
      <c r="G223" s="143">
        <f>IFERROR(__xludf.DUMMYFUNCTION("""COMPUTED_VALUE"""),2186489)</f>
        <v/>
      </c>
      <c r="H223" s="27" t="n"/>
    </row>
    <row r="224" ht="17.25" customHeight="1" s="322">
      <c r="A224" s="27" t="n"/>
      <c r="B224" s="506">
        <f>IFERROR(__xludf.DUMMYFUNCTION("""COMPUTED_VALUE"""),46153.6666666666)</f>
        <v/>
      </c>
      <c r="C224" s="141">
        <f>IFERROR(__xludf.DUMMYFUNCTION("""COMPUTED_VALUE"""),96.9)</f>
        <v/>
      </c>
      <c r="D224" s="141">
        <f>IFERROR(__xludf.DUMMYFUNCTION("""COMPUTED_VALUE"""),97.32)</f>
        <v/>
      </c>
      <c r="E224" s="141">
        <f>IFERROR(__xludf.DUMMYFUNCTION("""COMPUTED_VALUE"""),96.39)</f>
        <v/>
      </c>
      <c r="F224" s="141">
        <f>IFERROR(__xludf.DUMMYFUNCTION("""COMPUTED_VALUE"""),96.69)</f>
        <v/>
      </c>
      <c r="G224" s="143">
        <f>IFERROR(__xludf.DUMMYFUNCTION("""COMPUTED_VALUE"""),3868459)</f>
        <v/>
      </c>
      <c r="H224" s="27" t="n"/>
    </row>
    <row r="225" ht="17.25" customHeight="1" s="322">
      <c r="A225" s="27" t="n"/>
      <c r="B225" s="506">
        <f>IFERROR(__xludf.DUMMYFUNCTION("""COMPUTED_VALUE"""),46154.6666666666)</f>
        <v/>
      </c>
      <c r="C225" s="141">
        <f>IFERROR(__xludf.DUMMYFUNCTION("""COMPUTED_VALUE"""),96.62)</f>
        <v/>
      </c>
      <c r="D225" s="141">
        <f>IFERROR(__xludf.DUMMYFUNCTION("""COMPUTED_VALUE"""),96.89)</f>
        <v/>
      </c>
      <c r="E225" s="141">
        <f>IFERROR(__xludf.DUMMYFUNCTION("""COMPUTED_VALUE"""),95.97)</f>
        <v/>
      </c>
      <c r="F225" s="141">
        <f>IFERROR(__xludf.DUMMYFUNCTION("""COMPUTED_VALUE"""),96.69)</f>
        <v/>
      </c>
      <c r="G225" s="143">
        <f>IFERROR(__xludf.DUMMYFUNCTION("""COMPUTED_VALUE"""),2325336)</f>
        <v/>
      </c>
      <c r="H225" s="27" t="n"/>
    </row>
    <row r="226" ht="17.25" customHeight="1" s="322">
      <c r="A226" s="27" t="n"/>
      <c r="B226" s="506">
        <f>IFERROR(__xludf.DUMMYFUNCTION("""COMPUTED_VALUE"""),46155.6666666666)</f>
        <v/>
      </c>
      <c r="C226" s="141">
        <f>IFERROR(__xludf.DUMMYFUNCTION("""COMPUTED_VALUE"""),96.23)</f>
        <v/>
      </c>
      <c r="D226" s="141">
        <f>IFERROR(__xludf.DUMMYFUNCTION("""COMPUTED_VALUE"""),96.28)</f>
        <v/>
      </c>
      <c r="E226" s="141">
        <f>IFERROR(__xludf.DUMMYFUNCTION("""COMPUTED_VALUE"""),95.44)</f>
        <v/>
      </c>
      <c r="F226" s="141">
        <f>IFERROR(__xludf.DUMMYFUNCTION("""COMPUTED_VALUE"""),95.89)</f>
        <v/>
      </c>
      <c r="G226" s="143">
        <f>IFERROR(__xludf.DUMMYFUNCTION("""COMPUTED_VALUE"""),5047512)</f>
        <v/>
      </c>
      <c r="H226" s="27" t="n"/>
    </row>
    <row r="227" ht="17.25" customHeight="1" s="322">
      <c r="A227" s="27" t="n"/>
      <c r="B227" s="506">
        <f>IFERROR(__xludf.DUMMYFUNCTION("""COMPUTED_VALUE"""),46156.6666666666)</f>
        <v/>
      </c>
      <c r="C227" s="141">
        <f>IFERROR(__xludf.DUMMYFUNCTION("""COMPUTED_VALUE"""),96.16)</f>
        <v/>
      </c>
      <c r="D227" s="141">
        <f>IFERROR(__xludf.DUMMYFUNCTION("""COMPUTED_VALUE"""),96.34)</f>
        <v/>
      </c>
      <c r="E227" s="141">
        <f>IFERROR(__xludf.DUMMYFUNCTION("""COMPUTED_VALUE"""),95.25)</f>
        <v/>
      </c>
      <c r="F227" s="141">
        <f>IFERROR(__xludf.DUMMYFUNCTION("""COMPUTED_VALUE"""),95.32)</f>
        <v/>
      </c>
      <c r="G227" s="143">
        <f>IFERROR(__xludf.DUMMYFUNCTION("""COMPUTED_VALUE"""),2521732)</f>
        <v/>
      </c>
      <c r="H227" s="27" t="n"/>
    </row>
    <row r="228" ht="17.25" customHeight="1" s="322">
      <c r="A228" s="27" t="n"/>
      <c r="B228" s="506">
        <f>IFERROR(__xludf.DUMMYFUNCTION("""COMPUTED_VALUE"""),46157.6666666666)</f>
        <v/>
      </c>
      <c r="C228" s="141">
        <f>IFERROR(__xludf.DUMMYFUNCTION("""COMPUTED_VALUE"""),95.1)</f>
        <v/>
      </c>
      <c r="D228" s="141">
        <f>IFERROR(__xludf.DUMMYFUNCTION("""COMPUTED_VALUE"""),95.12)</f>
        <v/>
      </c>
      <c r="E228" s="141">
        <f>IFERROR(__xludf.DUMMYFUNCTION("""COMPUTED_VALUE"""),93.78)</f>
        <v/>
      </c>
      <c r="F228" s="141">
        <f>IFERROR(__xludf.DUMMYFUNCTION("""COMPUTED_VALUE"""),93.91)</f>
        <v/>
      </c>
      <c r="G228" s="143">
        <f>IFERROR(__xludf.DUMMYFUNCTION("""COMPUTED_VALUE"""),4543743)</f>
        <v/>
      </c>
      <c r="H228" s="27" t="n"/>
    </row>
    <row r="229" ht="17.25" customHeight="1" s="322">
      <c r="A229" s="27" t="n"/>
      <c r="B229" s="506">
        <f>IFERROR(__xludf.DUMMYFUNCTION("""COMPUTED_VALUE"""),46160.6666666666)</f>
        <v/>
      </c>
      <c r="C229" s="141">
        <f>IFERROR(__xludf.DUMMYFUNCTION("""COMPUTED_VALUE"""),94.04)</f>
        <v/>
      </c>
      <c r="D229" s="141">
        <f>IFERROR(__xludf.DUMMYFUNCTION("""COMPUTED_VALUE"""),95.19)</f>
        <v/>
      </c>
      <c r="E229" s="141">
        <f>IFERROR(__xludf.DUMMYFUNCTION("""COMPUTED_VALUE"""),94.04)</f>
        <v/>
      </c>
      <c r="F229" s="141">
        <f>IFERROR(__xludf.DUMMYFUNCTION("""COMPUTED_VALUE"""),95.01)</f>
        <v/>
      </c>
      <c r="G229" s="143">
        <f>IFERROR(__xludf.DUMMYFUNCTION("""COMPUTED_VALUE"""),2766331)</f>
        <v/>
      </c>
      <c r="H229" s="27" t="n"/>
    </row>
    <row r="230" ht="17.25" customHeight="1" s="322">
      <c r="A230" s="27" t="n"/>
      <c r="B230" s="506">
        <f>IFERROR(__xludf.DUMMYFUNCTION("""COMPUTED_VALUE"""),46161.6666666666)</f>
        <v/>
      </c>
      <c r="C230" s="141">
        <f>IFERROR(__xludf.DUMMYFUNCTION("""COMPUTED_VALUE"""),94.98)</f>
        <v/>
      </c>
      <c r="D230" s="141">
        <f>IFERROR(__xludf.DUMMYFUNCTION("""COMPUTED_VALUE"""),95.53)</f>
        <v/>
      </c>
      <c r="E230" s="141">
        <f>IFERROR(__xludf.DUMMYFUNCTION("""COMPUTED_VALUE"""),94.47)</f>
        <v/>
      </c>
      <c r="F230" s="141">
        <f>IFERROR(__xludf.DUMMYFUNCTION("""COMPUTED_VALUE"""),95.28)</f>
        <v/>
      </c>
      <c r="G230" s="143">
        <f>IFERROR(__xludf.DUMMYFUNCTION("""COMPUTED_VALUE"""),2092699)</f>
        <v/>
      </c>
      <c r="H230" s="27" t="n"/>
    </row>
    <row r="231" ht="17.25" customHeight="1" s="322">
      <c r="A231" s="27" t="n"/>
      <c r="B231" s="506">
        <f>IFERROR(__xludf.DUMMYFUNCTION("""COMPUTED_VALUE"""),46162.6666666666)</f>
        <v/>
      </c>
      <c r="C231" s="141">
        <f>IFERROR(__xludf.DUMMYFUNCTION("""COMPUTED_VALUE"""),95.27)</f>
        <v/>
      </c>
      <c r="D231" s="141">
        <f>IFERROR(__xludf.DUMMYFUNCTION("""COMPUTED_VALUE"""),96.5)</f>
        <v/>
      </c>
      <c r="E231" s="141">
        <f>IFERROR(__xludf.DUMMYFUNCTION("""COMPUTED_VALUE"""),95.15)</f>
        <v/>
      </c>
      <c r="F231" s="141">
        <f>IFERROR(__xludf.DUMMYFUNCTION("""COMPUTED_VALUE"""),96.49)</f>
        <v/>
      </c>
      <c r="G231" s="143">
        <f>IFERROR(__xludf.DUMMYFUNCTION("""COMPUTED_VALUE"""),2654980)</f>
        <v/>
      </c>
      <c r="H231" s="27" t="n"/>
    </row>
    <row r="232" ht="17.25" customHeight="1" s="322">
      <c r="A232" s="27" t="n"/>
      <c r="B232" s="506">
        <f>IFERROR(__xludf.DUMMYFUNCTION("""COMPUTED_VALUE"""),46163.6666666666)</f>
        <v/>
      </c>
      <c r="C232" s="141">
        <f>IFERROR(__xludf.DUMMYFUNCTION("""COMPUTED_VALUE"""),96.04)</f>
        <v/>
      </c>
      <c r="D232" s="141">
        <f>IFERROR(__xludf.DUMMYFUNCTION("""COMPUTED_VALUE"""),96.76)</f>
        <v/>
      </c>
      <c r="E232" s="141">
        <f>IFERROR(__xludf.DUMMYFUNCTION("""COMPUTED_VALUE"""),95.47)</f>
        <v/>
      </c>
      <c r="F232" s="141">
        <f>IFERROR(__xludf.DUMMYFUNCTION("""COMPUTED_VALUE"""),96.67)</f>
        <v/>
      </c>
      <c r="G232" s="143">
        <f>IFERROR(__xludf.DUMMYFUNCTION("""COMPUTED_VALUE"""),2494144)</f>
        <v/>
      </c>
      <c r="H232" s="27" t="n"/>
    </row>
    <row r="233" ht="17.25" customHeight="1" s="322">
      <c r="A233" s="27" t="n"/>
      <c r="B233" s="506">
        <f>IFERROR(__xludf.DUMMYFUNCTION("""COMPUTED_VALUE"""),46164.6666666666)</f>
        <v/>
      </c>
      <c r="C233" s="141">
        <f>IFERROR(__xludf.DUMMYFUNCTION("""COMPUTED_VALUE"""),96.95)</f>
        <v/>
      </c>
      <c r="D233" s="141">
        <f>IFERROR(__xludf.DUMMYFUNCTION("""COMPUTED_VALUE"""),97.23)</f>
        <v/>
      </c>
      <c r="E233" s="141">
        <f>IFERROR(__xludf.DUMMYFUNCTION("""COMPUTED_VALUE"""),96.14)</f>
        <v/>
      </c>
      <c r="F233" s="141">
        <f>IFERROR(__xludf.DUMMYFUNCTION("""COMPUTED_VALUE"""),96.77)</f>
        <v/>
      </c>
      <c r="G233" s="143">
        <f>IFERROR(__xludf.DUMMYFUNCTION("""COMPUTED_VALUE"""),3549650)</f>
        <v/>
      </c>
      <c r="H233" s="27" t="n"/>
    </row>
    <row r="234" ht="17.25" customHeight="1" s="322">
      <c r="A234" s="27" t="n"/>
      <c r="B234" s="506">
        <f>IFERROR(__xludf.DUMMYFUNCTION("""COMPUTED_VALUE"""),46168.6666666666)</f>
        <v/>
      </c>
      <c r="C234" s="141">
        <f>IFERROR(__xludf.DUMMYFUNCTION("""COMPUTED_VALUE"""),97.15)</f>
        <v/>
      </c>
      <c r="D234" s="141">
        <f>IFERROR(__xludf.DUMMYFUNCTION("""COMPUTED_VALUE"""),97.54)</f>
        <v/>
      </c>
      <c r="E234" s="141">
        <f>IFERROR(__xludf.DUMMYFUNCTION("""COMPUTED_VALUE"""),96.81)</f>
        <v/>
      </c>
      <c r="F234" s="141">
        <f>IFERROR(__xludf.DUMMYFUNCTION("""COMPUTED_VALUE"""),97.22)</f>
        <v/>
      </c>
      <c r="G234" s="143">
        <f>IFERROR(__xludf.DUMMYFUNCTION("""COMPUTED_VALUE"""),3193000)</f>
        <v/>
      </c>
      <c r="H234" s="27" t="n"/>
    </row>
    <row r="235" ht="17.25" customHeight="1" s="322">
      <c r="A235" s="27" t="n"/>
      <c r="B235" s="506">
        <f>IFERROR(__xludf.DUMMYFUNCTION("""COMPUTED_VALUE"""),46169.6666666666)</f>
        <v/>
      </c>
      <c r="C235" s="141">
        <f>IFERROR(__xludf.DUMMYFUNCTION("""COMPUTED_VALUE"""),97.05)</f>
        <v/>
      </c>
      <c r="D235" s="141">
        <f>IFERROR(__xludf.DUMMYFUNCTION("""COMPUTED_VALUE"""),97.71)</f>
        <v/>
      </c>
      <c r="E235" s="141">
        <f>IFERROR(__xludf.DUMMYFUNCTION("""COMPUTED_VALUE"""),96.91)</f>
        <v/>
      </c>
      <c r="F235" s="141">
        <f>IFERROR(__xludf.DUMMYFUNCTION("""COMPUTED_VALUE"""),96.92)</f>
        <v/>
      </c>
      <c r="G235" s="143">
        <f>IFERROR(__xludf.DUMMYFUNCTION("""COMPUTED_VALUE"""),2509568)</f>
        <v/>
      </c>
      <c r="H235" s="27" t="n"/>
    </row>
    <row r="236" ht="17.25" customHeight="1" s="322">
      <c r="A236" s="27" t="n"/>
      <c r="B236" s="506">
        <f>IFERROR(__xludf.DUMMYFUNCTION("""COMPUTED_VALUE"""),46170.6666666666)</f>
        <v/>
      </c>
      <c r="C236" s="141">
        <f>IFERROR(__xludf.DUMMYFUNCTION("""COMPUTED_VALUE"""),96.73)</f>
        <v/>
      </c>
      <c r="D236" s="141">
        <f>IFERROR(__xludf.DUMMYFUNCTION("""COMPUTED_VALUE"""),97.24)</f>
        <v/>
      </c>
      <c r="E236" s="141">
        <f>IFERROR(__xludf.DUMMYFUNCTION("""COMPUTED_VALUE"""),96.27)</f>
        <v/>
      </c>
      <c r="F236" s="141">
        <f>IFERROR(__xludf.DUMMYFUNCTION("""COMPUTED_VALUE"""),96.55)</f>
        <v/>
      </c>
      <c r="G236" s="143">
        <f>IFERROR(__xludf.DUMMYFUNCTION("""COMPUTED_VALUE"""),2898740)</f>
        <v/>
      </c>
      <c r="H236" s="27" t="n"/>
    </row>
    <row r="237" ht="17.25" customHeight="1" s="322">
      <c r="A237" s="27" t="n"/>
      <c r="B237" s="506">
        <f>IFERROR(__xludf.DUMMYFUNCTION("""COMPUTED_VALUE"""),46171.6666666666)</f>
        <v/>
      </c>
      <c r="C237" s="141">
        <f>IFERROR(__xludf.DUMMYFUNCTION("""COMPUTED_VALUE"""),96.35)</f>
        <v/>
      </c>
      <c r="D237" s="141">
        <f>IFERROR(__xludf.DUMMYFUNCTION("""COMPUTED_VALUE"""),96.41)</f>
        <v/>
      </c>
      <c r="E237" s="141">
        <f>IFERROR(__xludf.DUMMYFUNCTION("""COMPUTED_VALUE"""),95.38)</f>
        <v/>
      </c>
      <c r="F237" s="141">
        <f>IFERROR(__xludf.DUMMYFUNCTION("""COMPUTED_VALUE"""),95.7)</f>
        <v/>
      </c>
      <c r="G237" s="143">
        <f>IFERROR(__xludf.DUMMYFUNCTION("""COMPUTED_VALUE"""),3342866)</f>
        <v/>
      </c>
      <c r="H237" s="27" t="n"/>
    </row>
    <row r="238" ht="17.25" customHeight="1" s="322">
      <c r="A238" s="27" t="n"/>
      <c r="B238" s="506">
        <f>IFERROR(__xludf.DUMMYFUNCTION("""COMPUTED_VALUE"""),46174.6666666666)</f>
        <v/>
      </c>
      <c r="C238" s="141">
        <f>IFERROR(__xludf.DUMMYFUNCTION("""COMPUTED_VALUE"""),95.13)</f>
        <v/>
      </c>
      <c r="D238" s="141">
        <f>IFERROR(__xludf.DUMMYFUNCTION("""COMPUTED_VALUE"""),95.25)</f>
        <v/>
      </c>
      <c r="E238" s="141">
        <f>IFERROR(__xludf.DUMMYFUNCTION("""COMPUTED_VALUE"""),94.05)</f>
        <v/>
      </c>
      <c r="F238" s="141">
        <f>IFERROR(__xludf.DUMMYFUNCTION("""COMPUTED_VALUE"""),94.09)</f>
        <v/>
      </c>
      <c r="G238" s="143">
        <f>IFERROR(__xludf.DUMMYFUNCTION("""COMPUTED_VALUE"""),3953409)</f>
        <v/>
      </c>
      <c r="H238" s="27" t="n"/>
    </row>
    <row r="239" ht="17.25" customHeight="1" s="322">
      <c r="A239" s="27" t="n"/>
      <c r="B239" s="506">
        <f>IFERROR(__xludf.DUMMYFUNCTION("""COMPUTED_VALUE"""),46175.6666666666)</f>
        <v/>
      </c>
      <c r="C239" s="141">
        <f>IFERROR(__xludf.DUMMYFUNCTION("""COMPUTED_VALUE"""),94.13)</f>
        <v/>
      </c>
      <c r="D239" s="141">
        <f>IFERROR(__xludf.DUMMYFUNCTION("""COMPUTED_VALUE"""),94.62)</f>
        <v/>
      </c>
      <c r="E239" s="141">
        <f>IFERROR(__xludf.DUMMYFUNCTION("""COMPUTED_VALUE"""),93.68)</f>
        <v/>
      </c>
      <c r="F239" s="141">
        <f>IFERROR(__xludf.DUMMYFUNCTION("""COMPUTED_VALUE"""),94.52)</f>
        <v/>
      </c>
      <c r="G239" s="143">
        <f>IFERROR(__xludf.DUMMYFUNCTION("""COMPUTED_VALUE"""),2143423)</f>
        <v/>
      </c>
      <c r="H239" s="27" t="n"/>
    </row>
    <row r="240" ht="17.25" customHeight="1" s="322">
      <c r="A240" s="27" t="n"/>
      <c r="B240" s="506">
        <f>IFERROR(__xludf.DUMMYFUNCTION("""COMPUTED_VALUE"""),46176.6666666666)</f>
        <v/>
      </c>
      <c r="C240" s="141">
        <f>IFERROR(__xludf.DUMMYFUNCTION("""COMPUTED_VALUE"""),94.34)</f>
        <v/>
      </c>
      <c r="D240" s="141">
        <f>IFERROR(__xludf.DUMMYFUNCTION("""COMPUTED_VALUE"""),95.33)</f>
        <v/>
      </c>
      <c r="E240" s="141">
        <f>IFERROR(__xludf.DUMMYFUNCTION("""COMPUTED_VALUE"""),94.09)</f>
        <v/>
      </c>
      <c r="F240" s="141">
        <f>IFERROR(__xludf.DUMMYFUNCTION("""COMPUTED_VALUE"""),94.41)</f>
        <v/>
      </c>
      <c r="G240" s="143">
        <f>IFERROR(__xludf.DUMMYFUNCTION("""COMPUTED_VALUE"""),2620410)</f>
        <v/>
      </c>
      <c r="H240" s="27" t="n"/>
    </row>
    <row r="241" ht="17.25" customHeight="1" s="322">
      <c r="A241" s="27" t="n"/>
      <c r="B241" s="506">
        <f>IFERROR(__xludf.DUMMYFUNCTION("""COMPUTED_VALUE"""),46177.6666666666)</f>
        <v/>
      </c>
      <c r="C241" s="141">
        <f>IFERROR(__xludf.DUMMYFUNCTION("""COMPUTED_VALUE"""),95.57)</f>
        <v/>
      </c>
      <c r="D241" s="141">
        <f>IFERROR(__xludf.DUMMYFUNCTION("""COMPUTED_VALUE"""),96.15)</f>
        <v/>
      </c>
      <c r="E241" s="141">
        <f>IFERROR(__xludf.DUMMYFUNCTION("""COMPUTED_VALUE"""),94.98)</f>
        <v/>
      </c>
      <c r="F241" s="141">
        <f>IFERROR(__xludf.DUMMYFUNCTION("""COMPUTED_VALUE"""),96.1)</f>
        <v/>
      </c>
      <c r="G241" s="143">
        <f>IFERROR(__xludf.DUMMYFUNCTION("""COMPUTED_VALUE"""),3786954)</f>
        <v/>
      </c>
      <c r="H241" s="27" t="n"/>
    </row>
    <row r="242" ht="17.25" customHeight="1" s="322">
      <c r="A242" s="27" t="n"/>
      <c r="B242" s="506">
        <f>IFERROR(__xludf.DUMMYFUNCTION("""COMPUTED_VALUE"""),46178.6666666666)</f>
        <v/>
      </c>
      <c r="C242" s="141">
        <f>IFERROR(__xludf.DUMMYFUNCTION("""COMPUTED_VALUE"""),95.79)</f>
        <v/>
      </c>
      <c r="D242" s="141">
        <f>IFERROR(__xludf.DUMMYFUNCTION("""COMPUTED_VALUE"""),97.52)</f>
        <v/>
      </c>
      <c r="E242" s="141">
        <f>IFERROR(__xludf.DUMMYFUNCTION("""COMPUTED_VALUE"""),95.69)</f>
        <v/>
      </c>
      <c r="F242" s="141">
        <f>IFERROR(__xludf.DUMMYFUNCTION("""COMPUTED_VALUE"""),96.79)</f>
        <v/>
      </c>
      <c r="G242" s="143">
        <f>IFERROR(__xludf.DUMMYFUNCTION("""COMPUTED_VALUE"""),3650328)</f>
        <v/>
      </c>
      <c r="H242" s="27" t="n"/>
    </row>
    <row r="243" ht="17.25" customHeight="1" s="322">
      <c r="A243" s="27" t="n"/>
      <c r="B243" s="506">
        <f>IFERROR(__xludf.DUMMYFUNCTION("""COMPUTED_VALUE"""),46181.6666666666)</f>
        <v/>
      </c>
      <c r="C243" s="141">
        <f>IFERROR(__xludf.DUMMYFUNCTION("""COMPUTED_VALUE"""),96.83)</f>
        <v/>
      </c>
      <c r="D243" s="141">
        <f>IFERROR(__xludf.DUMMYFUNCTION("""COMPUTED_VALUE"""),97.11)</f>
        <v/>
      </c>
      <c r="E243" s="141">
        <f>IFERROR(__xludf.DUMMYFUNCTION("""COMPUTED_VALUE"""),95.34)</f>
        <v/>
      </c>
      <c r="F243" s="141">
        <f>IFERROR(__xludf.DUMMYFUNCTION("""COMPUTED_VALUE"""),95.47)</f>
        <v/>
      </c>
      <c r="G243" s="143">
        <f>IFERROR(__xludf.DUMMYFUNCTION("""COMPUTED_VALUE"""),2774657)</f>
        <v/>
      </c>
      <c r="H243" s="27" t="n"/>
    </row>
    <row r="244" ht="17.25" customHeight="1" s="322">
      <c r="A244" s="27" t="n"/>
      <c r="B244" s="506">
        <f>IFERROR(__xludf.DUMMYFUNCTION("""COMPUTED_VALUE"""),46182.6666666666)</f>
        <v/>
      </c>
      <c r="C244" s="141">
        <f>IFERROR(__xludf.DUMMYFUNCTION("""COMPUTED_VALUE"""),96.01)</f>
        <v/>
      </c>
      <c r="D244" s="141">
        <f>IFERROR(__xludf.DUMMYFUNCTION("""COMPUTED_VALUE"""),98.11)</f>
        <v/>
      </c>
      <c r="E244" s="141">
        <f>IFERROR(__xludf.DUMMYFUNCTION("""COMPUTED_VALUE"""),96.01)</f>
        <v/>
      </c>
      <c r="F244" s="141">
        <f>IFERROR(__xludf.DUMMYFUNCTION("""COMPUTED_VALUE"""),97.67)</f>
        <v/>
      </c>
      <c r="G244" s="143">
        <f>IFERROR(__xludf.DUMMYFUNCTION("""COMPUTED_VALUE"""),3447042)</f>
        <v/>
      </c>
      <c r="H244" s="27" t="n"/>
    </row>
    <row r="245" ht="17.25" customHeight="1" s="322">
      <c r="A245" s="27" t="n"/>
      <c r="B245" s="506">
        <f>IFERROR(__xludf.DUMMYFUNCTION("""COMPUTED_VALUE"""),46183.6666666666)</f>
        <v/>
      </c>
      <c r="C245" s="141">
        <f>IFERROR(__xludf.DUMMYFUNCTION("""COMPUTED_VALUE"""),97.93)</f>
        <v/>
      </c>
      <c r="D245" s="141">
        <f>IFERROR(__xludf.DUMMYFUNCTION("""COMPUTED_VALUE"""),98.41)</f>
        <v/>
      </c>
      <c r="E245" s="141">
        <f>IFERROR(__xludf.DUMMYFUNCTION("""COMPUTED_VALUE"""),97.65)</f>
        <v/>
      </c>
      <c r="F245" s="141">
        <f>IFERROR(__xludf.DUMMYFUNCTION("""COMPUTED_VALUE"""),97.68)</f>
        <v/>
      </c>
      <c r="G245" s="143">
        <f>IFERROR(__xludf.DUMMYFUNCTION("""COMPUTED_VALUE"""),3787039)</f>
        <v/>
      </c>
      <c r="H245" s="27" t="n"/>
    </row>
    <row r="246" ht="17.25" customHeight="1" s="322">
      <c r="A246" s="27" t="n"/>
      <c r="B246" s="506">
        <f>IFERROR(__xludf.DUMMYFUNCTION("""COMPUTED_VALUE"""),46184.6666666666)</f>
        <v/>
      </c>
      <c r="C246" s="141">
        <f>IFERROR(__xludf.DUMMYFUNCTION("""COMPUTED_VALUE"""),97.86)</f>
        <v/>
      </c>
      <c r="D246" s="141">
        <f>IFERROR(__xludf.DUMMYFUNCTION("""COMPUTED_VALUE"""),98.3)</f>
        <v/>
      </c>
      <c r="E246" s="141">
        <f>IFERROR(__xludf.DUMMYFUNCTION("""COMPUTED_VALUE"""),97.2)</f>
        <v/>
      </c>
      <c r="F246" s="141">
        <f>IFERROR(__xludf.DUMMYFUNCTION("""COMPUTED_VALUE"""),97.61)</f>
        <v/>
      </c>
      <c r="G246" s="143">
        <f>IFERROR(__xludf.DUMMYFUNCTION("""COMPUTED_VALUE"""),3896915)</f>
        <v/>
      </c>
      <c r="H246" s="27" t="n"/>
    </row>
    <row r="247" ht="17.25" customHeight="1" s="322">
      <c r="A247" s="27" t="n"/>
      <c r="B247" s="506">
        <f>IFERROR(__xludf.DUMMYFUNCTION("""COMPUTED_VALUE"""),46185.6666666666)</f>
        <v/>
      </c>
      <c r="C247" s="141">
        <f>IFERROR(__xludf.DUMMYFUNCTION("""COMPUTED_VALUE"""),97.86)</f>
        <v/>
      </c>
      <c r="D247" s="141">
        <f>IFERROR(__xludf.DUMMYFUNCTION("""COMPUTED_VALUE"""),98.86)</f>
        <v/>
      </c>
      <c r="E247" s="141">
        <f>IFERROR(__xludf.DUMMYFUNCTION("""COMPUTED_VALUE"""),97.86)</f>
        <v/>
      </c>
      <c r="F247" s="141">
        <f>IFERROR(__xludf.DUMMYFUNCTION("""COMPUTED_VALUE"""),98.51)</f>
        <v/>
      </c>
      <c r="G247" s="143">
        <f>IFERROR(__xludf.DUMMYFUNCTION("""COMPUTED_VALUE"""),1985951)</f>
        <v/>
      </c>
      <c r="H247" s="27" t="n"/>
    </row>
    <row r="248" ht="17.25" customHeight="1" s="322">
      <c r="A248" s="27" t="n"/>
      <c r="B248" s="506">
        <f>IFERROR(__xludf.DUMMYFUNCTION("""COMPUTED_VALUE"""),46188.6666666666)</f>
        <v/>
      </c>
      <c r="C248" s="141">
        <f>IFERROR(__xludf.DUMMYFUNCTION("""COMPUTED_VALUE"""),98.51)</f>
        <v/>
      </c>
      <c r="D248" s="141">
        <f>IFERROR(__xludf.DUMMYFUNCTION("""COMPUTED_VALUE"""),99.15)</f>
        <v/>
      </c>
      <c r="E248" s="141">
        <f>IFERROR(__xludf.DUMMYFUNCTION("""COMPUTED_VALUE"""),97.57)</f>
        <v/>
      </c>
      <c r="F248" s="141">
        <f>IFERROR(__xludf.DUMMYFUNCTION("""COMPUTED_VALUE"""),97.82)</f>
        <v/>
      </c>
      <c r="G248" s="143">
        <f>IFERROR(__xludf.DUMMYFUNCTION("""COMPUTED_VALUE"""),3067506)</f>
        <v/>
      </c>
      <c r="H248" s="27" t="n"/>
    </row>
    <row r="249" ht="17.25" customHeight="1" s="322">
      <c r="A249" s="27" t="n"/>
      <c r="B249" s="506">
        <f>IFERROR(__xludf.DUMMYFUNCTION("""COMPUTED_VALUE"""),46189.6666666666)</f>
        <v/>
      </c>
      <c r="C249" s="141">
        <f>IFERROR(__xludf.DUMMYFUNCTION("""COMPUTED_VALUE"""),98.46)</f>
        <v/>
      </c>
      <c r="D249" s="141">
        <f>IFERROR(__xludf.DUMMYFUNCTION("""COMPUTED_VALUE"""),98.76)</f>
        <v/>
      </c>
      <c r="E249" s="141">
        <f>IFERROR(__xludf.DUMMYFUNCTION("""COMPUTED_VALUE"""),97.75)</f>
        <v/>
      </c>
      <c r="F249" s="141">
        <f>IFERROR(__xludf.DUMMYFUNCTION("""COMPUTED_VALUE"""),98.06)</f>
        <v/>
      </c>
      <c r="G249" s="143">
        <f>IFERROR(__xludf.DUMMYFUNCTION("""COMPUTED_VALUE"""),2620036)</f>
        <v/>
      </c>
      <c r="H249" s="27" t="n"/>
    </row>
    <row r="250" ht="17.25" customHeight="1" s="322">
      <c r="A250" s="27" t="n"/>
      <c r="B250" s="506">
        <f>IFERROR(__xludf.DUMMYFUNCTION("""COMPUTED_VALUE"""),46190.6666666666)</f>
        <v/>
      </c>
      <c r="C250" s="141">
        <f>IFERROR(__xludf.DUMMYFUNCTION("""COMPUTED_VALUE"""),97.73)</f>
        <v/>
      </c>
      <c r="D250" s="141">
        <f>IFERROR(__xludf.DUMMYFUNCTION("""COMPUTED_VALUE"""),97.98)</f>
        <v/>
      </c>
      <c r="E250" s="141">
        <f>IFERROR(__xludf.DUMMYFUNCTION("""COMPUTED_VALUE"""),95.34)</f>
        <v/>
      </c>
      <c r="F250" s="141">
        <f>IFERROR(__xludf.DUMMYFUNCTION("""COMPUTED_VALUE"""),95.61)</f>
        <v/>
      </c>
      <c r="G250" s="143">
        <f>IFERROR(__xludf.DUMMYFUNCTION("""COMPUTED_VALUE"""),2859907)</f>
        <v/>
      </c>
      <c r="H250" s="27" t="n"/>
    </row>
    <row r="251" ht="17.25" customHeight="1" s="322">
      <c r="A251" s="27" t="n"/>
      <c r="B251" s="506">
        <f>IFERROR(__xludf.DUMMYFUNCTION("""COMPUTED_VALUE"""),46191.6666666666)</f>
        <v/>
      </c>
      <c r="C251" s="141">
        <f>IFERROR(__xludf.DUMMYFUNCTION("""COMPUTED_VALUE"""),96.31)</f>
        <v/>
      </c>
      <c r="D251" s="141">
        <f>IFERROR(__xludf.DUMMYFUNCTION("""COMPUTED_VALUE"""),96.5)</f>
        <v/>
      </c>
      <c r="E251" s="141">
        <f>IFERROR(__xludf.DUMMYFUNCTION("""COMPUTED_VALUE"""),95.45)</f>
        <v/>
      </c>
      <c r="F251" s="141">
        <f>IFERROR(__xludf.DUMMYFUNCTION("""COMPUTED_VALUE"""),95.56)</f>
        <v/>
      </c>
      <c r="G251" s="143">
        <f>IFERROR(__xludf.DUMMYFUNCTION("""COMPUTED_VALUE"""),2666416)</f>
        <v/>
      </c>
      <c r="H251" s="27" t="n"/>
    </row>
    <row r="252" ht="17.25" customHeight="1" s="322">
      <c r="A252" s="27" t="n"/>
      <c r="B252" s="506">
        <f>IFERROR(__xludf.DUMMYFUNCTION("""COMPUTED_VALUE"""),46195.6666666666)</f>
        <v/>
      </c>
      <c r="C252" s="141">
        <f>IFERROR(__xludf.DUMMYFUNCTION("""COMPUTED_VALUE"""),95.91)</f>
        <v/>
      </c>
      <c r="D252" s="141">
        <f>IFERROR(__xludf.DUMMYFUNCTION("""COMPUTED_VALUE"""),97.02)</f>
        <v/>
      </c>
      <c r="E252" s="141">
        <f>IFERROR(__xludf.DUMMYFUNCTION("""COMPUTED_VALUE"""),95.49)</f>
        <v/>
      </c>
      <c r="F252" s="141">
        <f>IFERROR(__xludf.DUMMYFUNCTION("""COMPUTED_VALUE"""),96.59)</f>
        <v/>
      </c>
      <c r="G252" s="143">
        <f>IFERROR(__xludf.DUMMYFUNCTION("""COMPUTED_VALUE"""),4479319)</f>
        <v/>
      </c>
      <c r="H252" s="27" t="n"/>
    </row>
    <row r="253" ht="17.25" customHeight="1" s="322">
      <c r="A253" s="27" t="n"/>
      <c r="B253" s="506">
        <f>IFERROR(__xludf.DUMMYFUNCTION("""COMPUTED_VALUE"""),46196.6666666666)</f>
        <v/>
      </c>
      <c r="C253" s="141">
        <f>IFERROR(__xludf.DUMMYFUNCTION("""COMPUTED_VALUE"""),96.76)</f>
        <v/>
      </c>
      <c r="D253" s="141">
        <f>IFERROR(__xludf.DUMMYFUNCTION("""COMPUTED_VALUE"""),98.08)</f>
        <v/>
      </c>
      <c r="E253" s="141">
        <f>IFERROR(__xludf.DUMMYFUNCTION("""COMPUTED_VALUE"""),96.76)</f>
        <v/>
      </c>
      <c r="F253" s="141">
        <f>IFERROR(__xludf.DUMMYFUNCTION("""COMPUTED_VALUE"""),97.86)</f>
        <v/>
      </c>
      <c r="G253" s="143">
        <f>IFERROR(__xludf.DUMMYFUNCTION("""COMPUTED_VALUE"""),3173463)</f>
        <v/>
      </c>
      <c r="H253" s="27" t="n"/>
    </row>
    <row r="254" ht="17.25" customHeight="1" s="322">
      <c r="A254" s="27" t="n"/>
      <c r="B254" s="506">
        <f>IFERROR(__xludf.DUMMYFUNCTION("""COMPUTED_VALUE"""),46197.6666666666)</f>
        <v/>
      </c>
      <c r="C254" s="141">
        <f>IFERROR(__xludf.DUMMYFUNCTION("""COMPUTED_VALUE"""),97.26)</f>
        <v/>
      </c>
      <c r="D254" s="141">
        <f>IFERROR(__xludf.DUMMYFUNCTION("""COMPUTED_VALUE"""),97.56)</f>
        <v/>
      </c>
      <c r="E254" s="141">
        <f>IFERROR(__xludf.DUMMYFUNCTION("""COMPUTED_VALUE"""),96.53)</f>
        <v/>
      </c>
      <c r="F254" s="141">
        <f>IFERROR(__xludf.DUMMYFUNCTION("""COMPUTED_VALUE"""),97.01)</f>
        <v/>
      </c>
      <c r="G254" s="143">
        <f>IFERROR(__xludf.DUMMYFUNCTION("""COMPUTED_VALUE"""),4831738)</f>
        <v/>
      </c>
      <c r="H254" s="27" t="n"/>
    </row>
    <row r="255" ht="17.25" customHeight="1" s="322">
      <c r="A255" s="27" t="n"/>
      <c r="B255" s="506">
        <f>IFERROR(__xludf.DUMMYFUNCTION("""COMPUTED_VALUE"""),46198.6666666666)</f>
        <v/>
      </c>
      <c r="C255" s="141">
        <f>IFERROR(__xludf.DUMMYFUNCTION("""COMPUTED_VALUE"""),97.49)</f>
        <v/>
      </c>
      <c r="D255" s="141">
        <f>IFERROR(__xludf.DUMMYFUNCTION("""COMPUTED_VALUE"""),97.6)</f>
        <v/>
      </c>
      <c r="E255" s="141">
        <f>IFERROR(__xludf.DUMMYFUNCTION("""COMPUTED_VALUE"""),96.17)</f>
        <v/>
      </c>
      <c r="F255" s="141">
        <f>IFERROR(__xludf.DUMMYFUNCTION("""COMPUTED_VALUE"""),97.19)</f>
        <v/>
      </c>
      <c r="G255" s="143">
        <f>IFERROR(__xludf.DUMMYFUNCTION("""COMPUTED_VALUE"""),4014655)</f>
        <v/>
      </c>
      <c r="H255" s="27" t="n"/>
    </row>
    <row r="256" ht="17.25" customHeight="1" s="322">
      <c r="A256" s="27" t="n"/>
      <c r="B256" s="506">
        <f>IFERROR(__xludf.DUMMYFUNCTION("""COMPUTED_VALUE"""),46199.6666666666)</f>
        <v/>
      </c>
      <c r="C256" s="141">
        <f>IFERROR(__xludf.DUMMYFUNCTION("""COMPUTED_VALUE"""),97.82)</f>
        <v/>
      </c>
      <c r="D256" s="141">
        <f>IFERROR(__xludf.DUMMYFUNCTION("""COMPUTED_VALUE"""),98.74)</f>
        <v/>
      </c>
      <c r="E256" s="141">
        <f>IFERROR(__xludf.DUMMYFUNCTION("""COMPUTED_VALUE"""),97.61)</f>
        <v/>
      </c>
      <c r="F256" s="141">
        <f>IFERROR(__xludf.DUMMYFUNCTION("""COMPUTED_VALUE"""),98.67)</f>
        <v/>
      </c>
      <c r="G256" s="143">
        <f>IFERROR(__xludf.DUMMYFUNCTION("""COMPUTED_VALUE"""),3884808)</f>
        <v/>
      </c>
      <c r="H256" s="27" t="n"/>
    </row>
    <row r="257" ht="17.25" customHeight="1" s="322">
      <c r="A257" s="27" t="n"/>
      <c r="B257" s="506">
        <f>IFERROR(__xludf.DUMMYFUNCTION("""COMPUTED_VALUE"""),46202.6666666666)</f>
        <v/>
      </c>
      <c r="C257" s="141">
        <f>IFERROR(__xludf.DUMMYFUNCTION("""COMPUTED_VALUE"""),98.39)</f>
        <v/>
      </c>
      <c r="D257" s="141">
        <f>IFERROR(__xludf.DUMMYFUNCTION("""COMPUTED_VALUE"""),98.56)</f>
        <v/>
      </c>
      <c r="E257" s="141">
        <f>IFERROR(__xludf.DUMMYFUNCTION("""COMPUTED_VALUE"""),97.29)</f>
        <v/>
      </c>
      <c r="F257" s="141">
        <f>IFERROR(__xludf.DUMMYFUNCTION("""COMPUTED_VALUE"""),98.15)</f>
        <v/>
      </c>
      <c r="G257" s="143">
        <f>IFERROR(__xludf.DUMMYFUNCTION("""COMPUTED_VALUE"""),3136271)</f>
        <v/>
      </c>
      <c r="H257" s="27" t="n"/>
    </row>
    <row r="258" ht="17.25" customHeight="1" s="322">
      <c r="A258" s="27" t="n"/>
      <c r="B258" s="506">
        <f>IFERROR(__xludf.DUMMYFUNCTION("""COMPUTED_VALUE"""),46203.6666666666)</f>
        <v/>
      </c>
      <c r="C258" s="141">
        <f>IFERROR(__xludf.DUMMYFUNCTION("""COMPUTED_VALUE"""),97.03)</f>
        <v/>
      </c>
      <c r="D258" s="141">
        <f>IFERROR(__xludf.DUMMYFUNCTION("""COMPUTED_VALUE"""),97.4)</f>
        <v/>
      </c>
      <c r="E258" s="141">
        <f>IFERROR(__xludf.DUMMYFUNCTION("""COMPUTED_VALUE"""),96.35)</f>
        <v/>
      </c>
      <c r="F258" s="141">
        <f>IFERROR(__xludf.DUMMYFUNCTION("""COMPUTED_VALUE"""),96.43)</f>
        <v/>
      </c>
      <c r="G258" s="143">
        <f>IFERROR(__xludf.DUMMYFUNCTION("""COMPUTED_VALUE"""),5313388)</f>
        <v/>
      </c>
      <c r="H258" s="27" t="n"/>
    </row>
    <row r="259" ht="17.25" customHeight="1" s="322">
      <c r="A259" s="27" t="n"/>
      <c r="B259" s="506">
        <f>IFERROR(__xludf.DUMMYFUNCTION("""COMPUTED_VALUE"""),46204.6666666666)</f>
        <v/>
      </c>
      <c r="C259" s="141">
        <f>IFERROR(__xludf.DUMMYFUNCTION("""COMPUTED_VALUE"""),96.52)</f>
        <v/>
      </c>
      <c r="D259" s="141">
        <f>IFERROR(__xludf.DUMMYFUNCTION("""COMPUTED_VALUE"""),97.58)</f>
        <v/>
      </c>
      <c r="E259" s="141">
        <f>IFERROR(__xludf.DUMMYFUNCTION("""COMPUTED_VALUE"""),96.49)</f>
        <v/>
      </c>
      <c r="F259" s="141">
        <f>IFERROR(__xludf.DUMMYFUNCTION("""COMPUTED_VALUE"""),96.82)</f>
        <v/>
      </c>
      <c r="G259" s="143">
        <f>IFERROR(__xludf.DUMMYFUNCTION("""COMPUTED_VALUE"""),5198164)</f>
        <v/>
      </c>
      <c r="H259" s="27" t="n"/>
    </row>
    <row r="260" ht="17.25" customHeight="1" s="322">
      <c r="A260" s="27" t="n"/>
      <c r="B260" s="506">
        <f>IFERROR(__xludf.DUMMYFUNCTION("""COMPUTED_VALUE"""),46205.6666666666)</f>
        <v/>
      </c>
      <c r="C260" s="141">
        <f>IFERROR(__xludf.DUMMYFUNCTION("""COMPUTED_VALUE"""),97.39)</f>
        <v/>
      </c>
      <c r="D260" s="141">
        <f>IFERROR(__xludf.DUMMYFUNCTION("""COMPUTED_VALUE"""),98.06)</f>
        <v/>
      </c>
      <c r="E260" s="141">
        <f>IFERROR(__xludf.DUMMYFUNCTION("""COMPUTED_VALUE"""),97.18)</f>
        <v/>
      </c>
      <c r="F260" s="141">
        <f>IFERROR(__xludf.DUMMYFUNCTION("""COMPUTED_VALUE"""),98.02)</f>
        <v/>
      </c>
      <c r="G260" s="143">
        <f>IFERROR(__xludf.DUMMYFUNCTION("""COMPUTED_VALUE"""),3560602)</f>
        <v/>
      </c>
      <c r="H260" s="27" t="n"/>
    </row>
    <row r="261" ht="17.25" customHeight="1" s="322">
      <c r="A261" s="27" t="n"/>
      <c r="B261" s="506">
        <f>IFERROR(__xludf.DUMMYFUNCTION("""COMPUTED_VALUE"""),46209.6666666666)</f>
        <v/>
      </c>
      <c r="C261" s="141">
        <f>IFERROR(__xludf.DUMMYFUNCTION("""COMPUTED_VALUE"""),98.2)</f>
        <v/>
      </c>
      <c r="D261" s="141">
        <f>IFERROR(__xludf.DUMMYFUNCTION("""COMPUTED_VALUE"""),98.22)</f>
        <v/>
      </c>
      <c r="E261" s="141">
        <f>IFERROR(__xludf.DUMMYFUNCTION("""COMPUTED_VALUE"""),96.96)</f>
        <v/>
      </c>
      <c r="F261" s="141">
        <f>IFERROR(__xludf.DUMMYFUNCTION("""COMPUTED_VALUE"""),97.24)</f>
        <v/>
      </c>
      <c r="G261" s="143">
        <f>IFERROR(__xludf.DUMMYFUNCTION("""COMPUTED_VALUE"""),4493662)</f>
        <v/>
      </c>
      <c r="H261" s="27" t="n"/>
    </row>
    <row r="262" ht="17.25" customHeight="1" s="322">
      <c r="A262" s="27" t="n"/>
      <c r="B262" s="506">
        <f>IFERROR(__xludf.DUMMYFUNCTION("""COMPUTED_VALUE"""),46210.6666666666)</f>
        <v/>
      </c>
      <c r="C262" s="141">
        <f>IFERROR(__xludf.DUMMYFUNCTION("""COMPUTED_VALUE"""),97.81)</f>
        <v/>
      </c>
      <c r="D262" s="141">
        <f>IFERROR(__xludf.DUMMYFUNCTION("""COMPUTED_VALUE"""),99.05)</f>
        <v/>
      </c>
      <c r="E262" s="141">
        <f>IFERROR(__xludf.DUMMYFUNCTION("""COMPUTED_VALUE"""),97.71)</f>
        <v/>
      </c>
      <c r="F262" s="141">
        <f>IFERROR(__xludf.DUMMYFUNCTION("""COMPUTED_VALUE"""),98.4)</f>
        <v/>
      </c>
      <c r="G262" s="143">
        <f>IFERROR(__xludf.DUMMYFUNCTION("""COMPUTED_VALUE"""),2809711)</f>
        <v/>
      </c>
      <c r="H262" s="27" t="n"/>
    </row>
    <row r="263" ht="17.25" customHeight="1" s="322">
      <c r="A263" s="27" t="n"/>
      <c r="B263" s="506">
        <f>IFERROR(__xludf.DUMMYFUNCTION("""COMPUTED_VALUE"""),46211.6666666666)</f>
        <v/>
      </c>
      <c r="C263" s="141">
        <f>IFERROR(__xludf.DUMMYFUNCTION("""COMPUTED_VALUE"""),98.19)</f>
        <v/>
      </c>
      <c r="D263" s="141">
        <f>IFERROR(__xludf.DUMMYFUNCTION("""COMPUTED_VALUE"""),98.27)</f>
        <v/>
      </c>
      <c r="E263" s="141">
        <f>IFERROR(__xludf.DUMMYFUNCTION("""COMPUTED_VALUE"""),96.73)</f>
        <v/>
      </c>
      <c r="F263" s="141">
        <f>IFERROR(__xludf.DUMMYFUNCTION("""COMPUTED_VALUE"""),96.8)</f>
        <v/>
      </c>
      <c r="G263" s="143">
        <f>IFERROR(__xludf.DUMMYFUNCTION("""COMPUTED_VALUE"""),6050287)</f>
        <v/>
      </c>
      <c r="H263" s="27" t="n"/>
    </row>
    <row r="264" ht="17.25" customHeight="1" s="322">
      <c r="A264" s="27" t="n"/>
      <c r="B264" s="506">
        <f>IFERROR(__xludf.DUMMYFUNCTION("""COMPUTED_VALUE"""),46212.6666666666)</f>
        <v/>
      </c>
      <c r="C264" s="141">
        <f>IFERROR(__xludf.DUMMYFUNCTION("""COMPUTED_VALUE"""),97.03)</f>
        <v/>
      </c>
      <c r="D264" s="141">
        <f>IFERROR(__xludf.DUMMYFUNCTION("""COMPUTED_VALUE"""),97.63)</f>
        <v/>
      </c>
      <c r="E264" s="141">
        <f>IFERROR(__xludf.DUMMYFUNCTION("""COMPUTED_VALUE"""),96.75)</f>
        <v/>
      </c>
      <c r="F264" s="141">
        <f>IFERROR(__xludf.DUMMYFUNCTION("""COMPUTED_VALUE"""),97.09)</f>
        <v/>
      </c>
      <c r="G264" s="143">
        <f>IFERROR(__xludf.DUMMYFUNCTION("""COMPUTED_VALUE"""),2470167)</f>
        <v/>
      </c>
      <c r="H264" s="27" t="n"/>
    </row>
    <row r="265" ht="17.25" customHeight="1" s="322">
      <c r="A265" s="27" t="n"/>
      <c r="B265" s="506">
        <f>IFERROR(__xludf.DUMMYFUNCTION("""COMPUTED_VALUE"""),46213.6666666666)</f>
        <v/>
      </c>
      <c r="C265" s="141">
        <f>IFERROR(__xludf.DUMMYFUNCTION("""COMPUTED_VALUE"""),97.61)</f>
        <v/>
      </c>
      <c r="D265" s="141">
        <f>IFERROR(__xludf.DUMMYFUNCTION("""COMPUTED_VALUE"""),97.76)</f>
        <v/>
      </c>
      <c r="E265" s="141">
        <f>IFERROR(__xludf.DUMMYFUNCTION("""COMPUTED_VALUE"""),96.57)</f>
        <v/>
      </c>
      <c r="F265" s="141">
        <f>IFERROR(__xludf.DUMMYFUNCTION("""COMPUTED_VALUE"""),97.32)</f>
        <v/>
      </c>
      <c r="G265" s="143">
        <f>IFERROR(__xludf.DUMMYFUNCTION("""COMPUTED_VALUE"""),2539610)</f>
        <v/>
      </c>
      <c r="H265" s="27" t="n"/>
    </row>
    <row r="266" ht="17.25" customHeight="1" s="322">
      <c r="A266" s="27" t="n"/>
      <c r="B266" s="506">
        <f>IFERROR(__xludf.DUMMYFUNCTION("""COMPUTED_VALUE"""),46216.6666666666)</f>
        <v/>
      </c>
      <c r="C266" s="141">
        <f>IFERROR(__xludf.DUMMYFUNCTION("""COMPUTED_VALUE"""),97.63)</f>
        <v/>
      </c>
      <c r="D266" s="141">
        <f>IFERROR(__xludf.DUMMYFUNCTION("""COMPUTED_VALUE"""),98.37)</f>
        <v/>
      </c>
      <c r="E266" s="141">
        <f>IFERROR(__xludf.DUMMYFUNCTION("""COMPUTED_VALUE"""),97.45)</f>
        <v/>
      </c>
      <c r="F266" s="141">
        <f>IFERROR(__xludf.DUMMYFUNCTION("""COMPUTED_VALUE"""),97.83)</f>
        <v/>
      </c>
      <c r="G266" s="143">
        <f>IFERROR(__xludf.DUMMYFUNCTION("""COMPUTED_VALUE"""),3473721)</f>
        <v/>
      </c>
      <c r="H266" s="27" t="n"/>
    </row>
    <row r="267" ht="17.25" customHeight="1" s="322">
      <c r="A267" s="27" t="n"/>
      <c r="B267" s="506">
        <f>IFERROR(__xludf.DUMMYFUNCTION("""COMPUTED_VALUE"""),46217.6666666666)</f>
        <v/>
      </c>
      <c r="C267" s="141">
        <f>IFERROR(__xludf.DUMMYFUNCTION("""COMPUTED_VALUE"""),97.93)</f>
        <v/>
      </c>
      <c r="D267" s="141">
        <f>IFERROR(__xludf.DUMMYFUNCTION("""COMPUTED_VALUE"""),98.21)</f>
        <v/>
      </c>
      <c r="E267" s="141">
        <f>IFERROR(__xludf.DUMMYFUNCTION("""COMPUTED_VALUE"""),97.37)</f>
        <v/>
      </c>
      <c r="F267" s="141">
        <f>IFERROR(__xludf.DUMMYFUNCTION("""COMPUTED_VALUE"""),97.57)</f>
        <v/>
      </c>
      <c r="G267" s="143">
        <f>IFERROR(__xludf.DUMMYFUNCTION("""COMPUTED_VALUE"""),2307563)</f>
        <v/>
      </c>
      <c r="H267" s="27" t="n"/>
    </row>
    <row r="268" ht="17.25" customHeight="1" s="322">
      <c r="A268" s="27" t="n"/>
      <c r="B268" s="506">
        <f>IFERROR(__xludf.DUMMYFUNCTION("""COMPUTED_VALUE"""),46218.6666666666)</f>
        <v/>
      </c>
      <c r="C268" s="141">
        <f>IFERROR(__xludf.DUMMYFUNCTION("""COMPUTED_VALUE"""),97.9)</f>
        <v/>
      </c>
      <c r="D268" s="141">
        <f>IFERROR(__xludf.DUMMYFUNCTION("""COMPUTED_VALUE"""),98.94)</f>
        <v/>
      </c>
      <c r="E268" s="141">
        <f>IFERROR(__xludf.DUMMYFUNCTION("""COMPUTED_VALUE"""),97.51)</f>
        <v/>
      </c>
      <c r="F268" s="141">
        <f>IFERROR(__xludf.DUMMYFUNCTION("""COMPUTED_VALUE"""),97.86)</f>
        <v/>
      </c>
      <c r="G268" s="143">
        <f>IFERROR(__xludf.DUMMYFUNCTION("""COMPUTED_VALUE"""),2325503)</f>
        <v/>
      </c>
      <c r="H268" s="27" t="n"/>
    </row>
    <row r="269" ht="17.25" customHeight="1" s="322">
      <c r="A269" s="27" t="n"/>
      <c r="B269" s="506">
        <f>IFERROR(__xludf.DUMMYFUNCTION("""COMPUTED_VALUE"""),46219.6666666666)</f>
        <v/>
      </c>
      <c r="C269" s="141">
        <f>IFERROR(__xludf.DUMMYFUNCTION("""COMPUTED_VALUE"""),98.13)</f>
        <v/>
      </c>
      <c r="D269" s="141">
        <f>IFERROR(__xludf.DUMMYFUNCTION("""COMPUTED_VALUE"""),100.13)</f>
        <v/>
      </c>
      <c r="E269" s="141">
        <f>IFERROR(__xludf.DUMMYFUNCTION("""COMPUTED_VALUE"""),98.11)</f>
        <v/>
      </c>
      <c r="F269" s="141">
        <f>IFERROR(__xludf.DUMMYFUNCTION("""COMPUTED_VALUE"""),100.07)</f>
        <v/>
      </c>
      <c r="G269" s="143">
        <f>IFERROR(__xludf.DUMMYFUNCTION("""COMPUTED_VALUE"""),3254616)</f>
        <v/>
      </c>
      <c r="H269" s="27" t="n"/>
    </row>
    <row r="270" ht="17.25" customHeight="1" s="322">
      <c r="A270" s="27" t="n"/>
      <c r="B270" s="506">
        <f>IFERROR(__xludf.DUMMYFUNCTION("""COMPUTED_VALUE"""),46220.6666666666)</f>
        <v/>
      </c>
      <c r="C270" s="141">
        <f>IFERROR(__xludf.DUMMYFUNCTION("""COMPUTED_VALUE"""),100.32)</f>
        <v/>
      </c>
      <c r="D270" s="141">
        <f>IFERROR(__xludf.DUMMYFUNCTION("""COMPUTED_VALUE"""),101.08)</f>
        <v/>
      </c>
      <c r="E270" s="141">
        <f>IFERROR(__xludf.DUMMYFUNCTION("""COMPUTED_VALUE"""),99.52)</f>
        <v/>
      </c>
      <c r="F270" s="141">
        <f>IFERROR(__xludf.DUMMYFUNCTION("""COMPUTED_VALUE"""),100.02)</f>
        <v/>
      </c>
      <c r="G270" s="143">
        <f>IFERROR(__xludf.DUMMYFUNCTION("""COMPUTED_VALUE"""),3011833)</f>
        <v/>
      </c>
      <c r="H270" s="27" t="n"/>
    </row>
    <row r="271" ht="17.25" customHeight="1" s="322">
      <c r="A271" s="27" t="n"/>
      <c r="B271" s="506">
        <f>IFERROR(__xludf.DUMMYFUNCTION("""COMPUTED_VALUE"""),46223.6666666666)</f>
        <v/>
      </c>
      <c r="C271" s="141">
        <f>IFERROR(__xludf.DUMMYFUNCTION("""COMPUTED_VALUE"""),99.72)</f>
        <v/>
      </c>
      <c r="D271" s="141">
        <f>IFERROR(__xludf.DUMMYFUNCTION("""COMPUTED_VALUE"""),100.19)</f>
        <v/>
      </c>
      <c r="E271" s="141">
        <f>IFERROR(__xludf.DUMMYFUNCTION("""COMPUTED_VALUE"""),99.12)</f>
        <v/>
      </c>
      <c r="F271" s="141">
        <f>IFERROR(__xludf.DUMMYFUNCTION("""COMPUTED_VALUE"""),99.48)</f>
        <v/>
      </c>
      <c r="G271" s="143">
        <f>IFERROR(__xludf.DUMMYFUNCTION("""COMPUTED_VALUE"""),2178642)</f>
        <v/>
      </c>
      <c r="H271" s="27" t="n"/>
    </row>
    <row r="272" ht="17.25" customHeight="1" s="322">
      <c r="A272" s="27" t="n"/>
      <c r="B272" s="506">
        <f>IFERROR(__xludf.DUMMYFUNCTION("""COMPUTED_VALUE"""),46224.6666666666)</f>
        <v/>
      </c>
      <c r="C272" s="141">
        <f>IFERROR(__xludf.DUMMYFUNCTION("""COMPUTED_VALUE"""),99.69)</f>
        <v/>
      </c>
      <c r="D272" s="141">
        <f>IFERROR(__xludf.DUMMYFUNCTION("""COMPUTED_VALUE"""),99.81)</f>
        <v/>
      </c>
      <c r="E272" s="141">
        <f>IFERROR(__xludf.DUMMYFUNCTION("""COMPUTED_VALUE"""),99.11)</f>
        <v/>
      </c>
      <c r="F272" s="141">
        <f>IFERROR(__xludf.DUMMYFUNCTION("""COMPUTED_VALUE"""),99.52)</f>
        <v/>
      </c>
      <c r="G272" s="143">
        <f>IFERROR(__xludf.DUMMYFUNCTION("""COMPUTED_VALUE"""),2882902)</f>
        <v/>
      </c>
      <c r="H272" s="27" t="n"/>
    </row>
    <row r="273" ht="17.25" customHeight="1" s="322">
      <c r="A273" s="27" t="n"/>
      <c r="B273" s="506">
        <f>IFERROR(__xludf.DUMMYFUNCTION("""COMPUTED_VALUE"""),46225.6666666666)</f>
        <v/>
      </c>
      <c r="C273" s="141">
        <f>IFERROR(__xludf.DUMMYFUNCTION("""COMPUTED_VALUE"""),99.8)</f>
        <v/>
      </c>
      <c r="D273" s="141">
        <f>IFERROR(__xludf.DUMMYFUNCTION("""COMPUTED_VALUE"""),99.88)</f>
        <v/>
      </c>
      <c r="E273" s="141">
        <f>IFERROR(__xludf.DUMMYFUNCTION("""COMPUTED_VALUE"""),98.84)</f>
        <v/>
      </c>
      <c r="F273" s="141">
        <f>IFERROR(__xludf.DUMMYFUNCTION("""COMPUTED_VALUE"""),99.02)</f>
        <v/>
      </c>
      <c r="G273" s="143">
        <f>IFERROR(__xludf.DUMMYFUNCTION("""COMPUTED_VALUE"""),1881810)</f>
        <v/>
      </c>
      <c r="H273" s="27" t="n"/>
    </row>
    <row r="274" ht="17.25" customHeight="1" s="322">
      <c r="A274" s="27" t="n"/>
      <c r="B274" s="506">
        <f>IFERROR(__xludf.DUMMYFUNCTION("""COMPUTED_VALUE"""),46226.6666666666)</f>
        <v/>
      </c>
      <c r="C274" s="141">
        <f>IFERROR(__xludf.DUMMYFUNCTION("""COMPUTED_VALUE"""),98.64)</f>
        <v/>
      </c>
      <c r="D274" s="141">
        <f>IFERROR(__xludf.DUMMYFUNCTION("""COMPUTED_VALUE"""),99.4)</f>
        <v/>
      </c>
      <c r="E274" s="141">
        <f>IFERROR(__xludf.DUMMYFUNCTION("""COMPUTED_VALUE"""),98.42)</f>
        <v/>
      </c>
      <c r="F274" s="141">
        <f>IFERROR(__xludf.DUMMYFUNCTION("""COMPUTED_VALUE"""),98.69)</f>
        <v/>
      </c>
      <c r="G274" s="143">
        <f>IFERROR(__xludf.DUMMYFUNCTION("""COMPUTED_VALUE"""),2043995)</f>
        <v/>
      </c>
      <c r="H274" s="27" t="n"/>
    </row>
    <row r="275" ht="17.25" customHeight="1" s="322">
      <c r="A275" s="27" t="n"/>
      <c r="B275" s="506">
        <f>IFERROR(__xludf.DUMMYFUNCTION("""COMPUTED_VALUE"""),46227.6666666666)</f>
        <v/>
      </c>
      <c r="C275" s="141">
        <f>IFERROR(__xludf.DUMMYFUNCTION("""COMPUTED_VALUE"""),99.47)</f>
        <v/>
      </c>
      <c r="D275" s="141">
        <f>IFERROR(__xludf.DUMMYFUNCTION("""COMPUTED_VALUE"""),101.16)</f>
        <v/>
      </c>
      <c r="E275" s="141">
        <f>IFERROR(__xludf.DUMMYFUNCTION("""COMPUTED_VALUE"""),99.47)</f>
        <v/>
      </c>
      <c r="F275" s="141">
        <f>IFERROR(__xludf.DUMMYFUNCTION("""COMPUTED_VALUE"""),100.81)</f>
        <v/>
      </c>
      <c r="G275" s="143">
        <f>IFERROR(__xludf.DUMMYFUNCTION("""COMPUTED_VALUE"""),3205519)</f>
        <v/>
      </c>
      <c r="H275" s="27" t="n"/>
    </row>
    <row r="276" ht="17.25" customHeight="1" s="322">
      <c r="A276" s="27" t="n"/>
      <c r="B276" s="506">
        <f>IFERROR(__xludf.DUMMYFUNCTION("""COMPUTED_VALUE"""),46230.6666666666)</f>
        <v/>
      </c>
      <c r="C276" s="141">
        <f>IFERROR(__xludf.DUMMYFUNCTION("""COMPUTED_VALUE"""),100.69)</f>
        <v/>
      </c>
      <c r="D276" s="141">
        <f>IFERROR(__xludf.DUMMYFUNCTION("""COMPUTED_VALUE"""),101.14)</f>
        <v/>
      </c>
      <c r="E276" s="141">
        <f>IFERROR(__xludf.DUMMYFUNCTION("""COMPUTED_VALUE"""),100.33)</f>
        <v/>
      </c>
      <c r="F276" s="141">
        <f>IFERROR(__xludf.DUMMYFUNCTION("""COMPUTED_VALUE"""),100.54)</f>
        <v/>
      </c>
      <c r="G276" s="143">
        <f>IFERROR(__xludf.DUMMYFUNCTION("""COMPUTED_VALUE"""),1915267)</f>
        <v/>
      </c>
      <c r="H276" s="27" t="n"/>
    </row>
    <row r="277" ht="17.25" customHeight="1" s="322">
      <c r="A277" s="27" t="n"/>
      <c r="B277" s="506">
        <f>IFERROR(__xludf.DUMMYFUNCTION("""COMPUTED_VALUE"""),46231.6666666666)</f>
        <v/>
      </c>
      <c r="C277" s="141">
        <f>IFERROR(__xludf.DUMMYFUNCTION("""COMPUTED_VALUE"""),101.27)</f>
        <v/>
      </c>
      <c r="D277" s="141">
        <f>IFERROR(__xludf.DUMMYFUNCTION("""COMPUTED_VALUE"""),101.8)</f>
        <v/>
      </c>
      <c r="E277" s="141">
        <f>IFERROR(__xludf.DUMMYFUNCTION("""COMPUTED_VALUE"""),100.93)</f>
        <v/>
      </c>
      <c r="F277" s="141">
        <f>IFERROR(__xludf.DUMMYFUNCTION("""COMPUTED_VALUE"""),100.95)</f>
        <v/>
      </c>
      <c r="G277" s="143">
        <f>IFERROR(__xludf.DUMMYFUNCTION("""COMPUTED_VALUE"""),3293688)</f>
        <v/>
      </c>
      <c r="H277" s="27" t="n"/>
    </row>
    <row r="278" ht="17.25" customHeight="1" s="322">
      <c r="A278" s="27" t="n"/>
      <c r="B278" s="506">
        <f>IFERROR(__xludf.DUMMYFUNCTION("""COMPUTED_VALUE"""),46232.6666666666)</f>
        <v/>
      </c>
      <c r="C278" s="141">
        <f>IFERROR(__xludf.DUMMYFUNCTION("""COMPUTED_VALUE"""),101)</f>
        <v/>
      </c>
      <c r="D278" s="141">
        <f>IFERROR(__xludf.DUMMYFUNCTION("""COMPUTED_VALUE"""),101.31)</f>
        <v/>
      </c>
      <c r="E278" s="141">
        <f>IFERROR(__xludf.DUMMYFUNCTION("""COMPUTED_VALUE"""),100.24)</f>
        <v/>
      </c>
      <c r="F278" s="141">
        <f>IFERROR(__xludf.DUMMYFUNCTION("""COMPUTED_VALUE"""),100.66)</f>
        <v/>
      </c>
      <c r="G278" s="143">
        <f>IFERROR(__xludf.DUMMYFUNCTION("""COMPUTED_VALUE"""),3797669)</f>
        <v/>
      </c>
      <c r="H278" s="27" t="n"/>
    </row>
    <row r="279" ht="17.25" customHeight="1" s="322">
      <c r="A279" s="27" t="n"/>
      <c r="B279" s="506" t="n"/>
      <c r="C279" s="141" t="n"/>
      <c r="D279" s="141" t="n"/>
      <c r="E279" s="141" t="n"/>
      <c r="F279" s="141" t="n"/>
      <c r="G279" s="143" t="n"/>
      <c r="H279" s="27" t="n"/>
    </row>
    <row r="280" ht="17.25" customHeight="1" s="322">
      <c r="A280" s="27" t="n"/>
      <c r="B280" s="506" t="n"/>
      <c r="C280" s="141" t="n"/>
      <c r="D280" s="141" t="n"/>
      <c r="E280" s="141" t="n"/>
      <c r="F280" s="141" t="n"/>
      <c r="G280" s="143" t="n"/>
      <c r="H280" s="27" t="n"/>
    </row>
    <row r="281" ht="17.25" customHeight="1" s="322">
      <c r="A281" s="27" t="n"/>
      <c r="B281" s="506" t="n"/>
      <c r="C281" s="141" t="n"/>
      <c r="D281" s="141" t="n"/>
      <c r="E281" s="141" t="n"/>
      <c r="F281" s="141" t="n"/>
      <c r="G281" s="143" t="n"/>
      <c r="H281" s="27" t="n"/>
    </row>
    <row r="282" ht="17.25" customHeight="1" s="322">
      <c r="A282" s="27" t="n"/>
      <c r="B282" s="506" t="n"/>
      <c r="C282" s="141" t="n"/>
      <c r="D282" s="141" t="n"/>
      <c r="E282" s="141" t="n"/>
      <c r="F282" s="141" t="n"/>
      <c r="G282" s="143" t="n"/>
      <c r="H282" s="27" t="n"/>
    </row>
    <row r="283" ht="17.25" customHeight="1" s="322">
      <c r="A283" s="27" t="n"/>
      <c r="B283" s="506" t="n"/>
      <c r="C283" s="141" t="n"/>
      <c r="D283" s="141" t="n"/>
      <c r="E283" s="141" t="n"/>
      <c r="F283" s="141" t="n"/>
      <c r="G283" s="143" t="n"/>
      <c r="H283" s="27" t="n"/>
    </row>
    <row r="284" ht="17.25" customHeight="1" s="322">
      <c r="A284" s="27" t="n"/>
      <c r="B284" s="506" t="n"/>
      <c r="C284" s="141" t="n"/>
      <c r="D284" s="141" t="n"/>
      <c r="E284" s="141" t="n"/>
      <c r="F284" s="141" t="n"/>
      <c r="G284" s="143" t="n"/>
      <c r="H284" s="27" t="n"/>
    </row>
    <row r="285" ht="17.25" customHeight="1" s="322">
      <c r="A285" s="27" t="n"/>
      <c r="B285" s="506" t="n"/>
      <c r="C285" s="141" t="n"/>
      <c r="D285" s="141" t="n"/>
      <c r="E285" s="141" t="n"/>
      <c r="F285" s="141" t="n"/>
      <c r="G285" s="143" t="n"/>
      <c r="H285" s="27" t="n"/>
    </row>
    <row r="286" ht="17.25" customHeight="1" s="322">
      <c r="A286" s="27" t="n"/>
      <c r="B286" s="506" t="n"/>
      <c r="C286" s="141" t="n"/>
      <c r="D286" s="141" t="n"/>
      <c r="E286" s="141" t="n"/>
      <c r="F286" s="141" t="n"/>
      <c r="G286" s="143" t="n"/>
      <c r="H286" s="27" t="n"/>
    </row>
    <row r="287" ht="17.25" customHeight="1" s="322">
      <c r="A287" s="27" t="n"/>
      <c r="B287" s="506" t="n"/>
      <c r="C287" s="141" t="n"/>
      <c r="D287" s="141" t="n"/>
      <c r="E287" s="141" t="n"/>
      <c r="F287" s="141" t="n"/>
      <c r="G287" s="143" t="n"/>
      <c r="H287" s="27" t="n"/>
    </row>
    <row r="288" ht="17.25" customHeight="1" s="322">
      <c r="A288" s="27" t="n"/>
      <c r="B288" s="506" t="n"/>
      <c r="C288" s="141" t="n"/>
      <c r="D288" s="141" t="n"/>
      <c r="E288" s="141" t="n"/>
      <c r="F288" s="141" t="n"/>
      <c r="G288" s="143" t="n"/>
      <c r="H288" s="27" t="n"/>
    </row>
    <row r="289" ht="17.25" customHeight="1" s="322">
      <c r="A289" s="27" t="n"/>
      <c r="B289" s="506" t="n"/>
      <c r="C289" s="141" t="n"/>
      <c r="D289" s="141" t="n"/>
      <c r="E289" s="141" t="n"/>
      <c r="F289" s="141" t="n"/>
      <c r="G289" s="143" t="n"/>
      <c r="H289" s="27" t="n"/>
    </row>
    <row r="290" ht="17.25" customHeight="1" s="322">
      <c r="A290" s="27" t="n"/>
      <c r="B290" s="506" t="n"/>
      <c r="C290" s="141" t="n"/>
      <c r="D290" s="141" t="n"/>
      <c r="E290" s="141" t="n"/>
      <c r="F290" s="141" t="n"/>
      <c r="G290" s="143" t="n"/>
      <c r="H290" s="27" t="n"/>
    </row>
    <row r="291" ht="17.25" customHeight="1" s="322">
      <c r="A291" s="27" t="n"/>
      <c r="B291" s="506" t="n"/>
      <c r="C291" s="141" t="n"/>
      <c r="D291" s="141" t="n"/>
      <c r="E291" s="141" t="n"/>
      <c r="F291" s="141" t="n"/>
      <c r="G291" s="143" t="n"/>
      <c r="H291" s="27" t="n"/>
    </row>
    <row r="292" ht="17.25" customHeight="1" s="322">
      <c r="A292" s="27" t="n"/>
      <c r="B292" s="506" t="n"/>
      <c r="C292" s="141" t="n"/>
      <c r="D292" s="141" t="n"/>
      <c r="E292" s="141" t="n"/>
      <c r="F292" s="141" t="n"/>
      <c r="G292" s="143" t="n"/>
      <c r="H292" s="27" t="n"/>
    </row>
    <row r="293" ht="17.25" customHeight="1" s="322">
      <c r="A293" s="27" t="n"/>
      <c r="B293" s="506" t="n"/>
      <c r="C293" s="141" t="n"/>
      <c r="D293" s="141" t="n"/>
      <c r="E293" s="141" t="n"/>
      <c r="F293" s="141" t="n"/>
      <c r="G293" s="143" t="n"/>
      <c r="H293" s="27" t="n"/>
    </row>
    <row r="294" ht="17.25" customHeight="1" s="322">
      <c r="A294" s="27" t="n"/>
      <c r="B294" s="506" t="n"/>
      <c r="C294" s="141" t="n"/>
      <c r="D294" s="141" t="n"/>
      <c r="E294" s="141" t="n"/>
      <c r="F294" s="141" t="n"/>
      <c r="G294" s="143" t="n"/>
      <c r="H294" s="27" t="n"/>
    </row>
    <row r="295" ht="17.25" customHeight="1" s="322">
      <c r="A295" s="27" t="n"/>
      <c r="B295" s="506" t="n"/>
      <c r="C295" s="141" t="n"/>
      <c r="D295" s="141" t="n"/>
      <c r="E295" s="141" t="n"/>
      <c r="F295" s="141" t="n"/>
      <c r="G295" s="143" t="n"/>
      <c r="H295" s="27" t="n"/>
    </row>
    <row r="296" ht="17.25" customHeight="1" s="322">
      <c r="A296" s="27" t="n"/>
      <c r="B296" s="506" t="n"/>
      <c r="C296" s="141" t="n"/>
      <c r="D296" s="141" t="n"/>
      <c r="E296" s="141" t="n"/>
      <c r="F296" s="141" t="n"/>
      <c r="G296" s="143" t="n"/>
      <c r="H296" s="27" t="n"/>
    </row>
    <row r="297" ht="17.25" customHeight="1" s="322">
      <c r="A297" s="27" t="n"/>
      <c r="B297" s="506" t="n"/>
      <c r="C297" s="141" t="n"/>
      <c r="D297" s="141" t="n"/>
      <c r="E297" s="141" t="n"/>
      <c r="F297" s="141" t="n"/>
      <c r="G297" s="143" t="n"/>
      <c r="H297" s="27" t="n"/>
    </row>
    <row r="298" ht="17.25" customHeight="1" s="322">
      <c r="A298" s="27" t="n"/>
      <c r="B298" s="506" t="n"/>
      <c r="C298" s="141" t="n"/>
      <c r="D298" s="141" t="n"/>
      <c r="E298" s="141" t="n"/>
      <c r="F298" s="141" t="n"/>
      <c r="G298" s="143" t="n"/>
      <c r="H298" s="27" t="n"/>
    </row>
    <row r="299" ht="17.25" customHeight="1" s="322">
      <c r="A299" s="27" t="n"/>
      <c r="B299" s="506" t="n"/>
      <c r="C299" s="141" t="n"/>
      <c r="D299" s="141" t="n"/>
      <c r="E299" s="141" t="n"/>
      <c r="F299" s="141" t="n"/>
      <c r="G299" s="143" t="n"/>
      <c r="H299" s="27" t="n"/>
    </row>
    <row r="300" ht="17.25" customHeight="1" s="322">
      <c r="A300" s="27" t="n"/>
      <c r="B300" s="506" t="n"/>
      <c r="C300" s="141" t="n"/>
      <c r="D300" s="141" t="n"/>
      <c r="E300" s="141" t="n"/>
      <c r="F300" s="141" t="n"/>
      <c r="G300" s="143" t="n"/>
      <c r="H300" s="27" t="n"/>
    </row>
    <row r="301" ht="17.25" customHeight="1" s="322">
      <c r="A301" s="27" t="n"/>
      <c r="B301" s="506" t="n"/>
      <c r="C301" s="141" t="n"/>
      <c r="D301" s="141" t="n"/>
      <c r="E301" s="141" t="n"/>
      <c r="F301" s="141" t="n"/>
      <c r="G301" s="143" t="n"/>
      <c r="H301" s="27" t="n"/>
    </row>
    <row r="302" ht="17.25" customHeight="1" s="322">
      <c r="A302" s="27" t="n"/>
      <c r="B302" s="506" t="n"/>
      <c r="C302" s="141" t="n"/>
      <c r="D302" s="141" t="n"/>
      <c r="E302" s="141" t="n"/>
      <c r="F302" s="141" t="n"/>
      <c r="G302" s="143" t="n"/>
      <c r="H302" s="27" t="n"/>
    </row>
    <row r="303" ht="17.25" customHeight="1" s="322">
      <c r="A303" s="27" t="n"/>
      <c r="B303" s="506" t="n"/>
      <c r="C303" s="141" t="n"/>
      <c r="D303" s="141" t="n"/>
      <c r="E303" s="141" t="n"/>
      <c r="F303" s="141" t="n"/>
      <c r="G303" s="143" t="n"/>
      <c r="H303" s="27" t="n"/>
    </row>
    <row r="304" ht="17.25" customHeight="1" s="322">
      <c r="A304" s="27" t="n"/>
      <c r="B304" s="506" t="n"/>
      <c r="C304" s="141" t="n"/>
      <c r="D304" s="141" t="n"/>
      <c r="E304" s="141" t="n"/>
      <c r="F304" s="141" t="n"/>
      <c r="G304" s="143" t="n"/>
      <c r="H304" s="27" t="n"/>
    </row>
    <row r="305" ht="17.25" customHeight="1" s="322">
      <c r="A305" s="27" t="n"/>
      <c r="B305" s="506" t="n"/>
      <c r="C305" s="141" t="n"/>
      <c r="D305" s="141" t="n"/>
      <c r="E305" s="141" t="n"/>
      <c r="F305" s="141" t="n"/>
      <c r="G305" s="143" t="n"/>
      <c r="H305" s="27" t="n"/>
    </row>
    <row r="306" ht="17.25" customHeight="1" s="322">
      <c r="A306" s="27" t="n"/>
      <c r="B306" s="506" t="n"/>
      <c r="C306" s="141" t="n"/>
      <c r="D306" s="141" t="n"/>
      <c r="E306" s="141" t="n"/>
      <c r="F306" s="141" t="n"/>
      <c r="G306" s="143" t="n"/>
      <c r="H306" s="27" t="n"/>
    </row>
    <row r="307" ht="17.25" customHeight="1" s="322">
      <c r="A307" s="27" t="n"/>
      <c r="B307" s="506" t="n"/>
      <c r="C307" s="141" t="n"/>
      <c r="D307" s="141" t="n"/>
      <c r="E307" s="141" t="n"/>
      <c r="F307" s="141" t="n"/>
      <c r="G307" s="143" t="n"/>
      <c r="H307" s="27" t="n"/>
    </row>
    <row r="308" ht="17.25" customHeight="1" s="322">
      <c r="A308" s="27" t="n"/>
      <c r="B308" s="506" t="n"/>
      <c r="C308" s="141" t="n"/>
      <c r="D308" s="141" t="n"/>
      <c r="E308" s="141" t="n"/>
      <c r="F308" s="141" t="n"/>
      <c r="G308" s="143" t="n"/>
      <c r="H308" s="27" t="n"/>
    </row>
    <row r="309" ht="17.25" customHeight="1" s="322">
      <c r="A309" s="27" t="n"/>
      <c r="B309" s="506" t="n"/>
      <c r="C309" s="141" t="n"/>
      <c r="D309" s="141" t="n"/>
      <c r="E309" s="141" t="n"/>
      <c r="F309" s="141" t="n"/>
      <c r="G309" s="143" t="n"/>
      <c r="H309" s="27" t="n"/>
    </row>
    <row r="310" ht="17.25" customHeight="1" s="322">
      <c r="A310" s="27" t="n"/>
      <c r="B310" s="506" t="n"/>
      <c r="C310" s="141" t="n"/>
      <c r="D310" s="141" t="n"/>
      <c r="E310" s="141" t="n"/>
      <c r="F310" s="141" t="n"/>
      <c r="G310" s="143" t="n"/>
      <c r="H310" s="27" t="n"/>
    </row>
    <row r="311" ht="17.25" customHeight="1" s="322">
      <c r="A311" s="27" t="n"/>
      <c r="B311" s="506" t="n"/>
      <c r="C311" s="141" t="n"/>
      <c r="D311" s="141" t="n"/>
      <c r="E311" s="141" t="n"/>
      <c r="F311" s="141" t="n"/>
      <c r="G311" s="143" t="n"/>
      <c r="H311" s="27" t="n"/>
    </row>
    <row r="312" ht="17.25" customHeight="1" s="322">
      <c r="A312" s="27" t="n"/>
      <c r="B312" s="506" t="n"/>
      <c r="C312" s="141" t="n"/>
      <c r="D312" s="141" t="n"/>
      <c r="E312" s="141" t="n"/>
      <c r="F312" s="141" t="n"/>
      <c r="G312" s="143" t="n"/>
      <c r="H312" s="27" t="n"/>
    </row>
    <row r="313" ht="17.25" customHeight="1" s="322">
      <c r="A313" s="27" t="n"/>
      <c r="B313" s="506" t="n"/>
      <c r="C313" s="141" t="n"/>
      <c r="D313" s="141" t="n"/>
      <c r="E313" s="141" t="n"/>
      <c r="F313" s="141" t="n"/>
      <c r="G313" s="143" t="n"/>
      <c r="H313" s="27" t="n"/>
    </row>
    <row r="314" ht="17.25" customHeight="1" s="322">
      <c r="A314" s="27" t="n"/>
      <c r="B314" s="506" t="n"/>
      <c r="C314" s="141" t="n"/>
      <c r="D314" s="141" t="n"/>
      <c r="E314" s="141" t="n"/>
      <c r="F314" s="141" t="n"/>
      <c r="G314" s="143" t="n"/>
      <c r="H314" s="27" t="n"/>
    </row>
    <row r="315" ht="17.25" customHeight="1" s="322">
      <c r="A315" s="27" t="n"/>
      <c r="B315" s="506" t="n"/>
      <c r="C315" s="141" t="n"/>
      <c r="D315" s="141" t="n"/>
      <c r="E315" s="141" t="n"/>
      <c r="F315" s="141" t="n"/>
      <c r="G315" s="143" t="n"/>
      <c r="H315" s="27" t="n"/>
    </row>
    <row r="316" ht="17.25" customHeight="1" s="322">
      <c r="A316" s="27" t="n"/>
      <c r="B316" s="506" t="n"/>
      <c r="C316" s="141" t="n"/>
      <c r="D316" s="141" t="n"/>
      <c r="E316" s="141" t="n"/>
      <c r="F316" s="141" t="n"/>
      <c r="G316" s="143" t="n"/>
      <c r="H316" s="27" t="n"/>
    </row>
    <row r="317" ht="17.25" customHeight="1" s="322">
      <c r="A317" s="27" t="n"/>
      <c r="B317" s="506" t="n"/>
      <c r="C317" s="141" t="n"/>
      <c r="D317" s="141" t="n"/>
      <c r="E317" s="141" t="n"/>
      <c r="F317" s="141" t="n"/>
      <c r="G317" s="143" t="n"/>
      <c r="H317" s="27" t="n"/>
    </row>
    <row r="318" ht="17.25" customHeight="1" s="322">
      <c r="A318" s="27" t="n"/>
      <c r="B318" s="506" t="n"/>
      <c r="C318" s="141" t="n"/>
      <c r="D318" s="141" t="n"/>
      <c r="E318" s="141" t="n"/>
      <c r="F318" s="141" t="n"/>
      <c r="G318" s="143" t="n"/>
      <c r="H318" s="27" t="n"/>
    </row>
    <row r="319" ht="17.25" customHeight="1" s="322">
      <c r="A319" s="27" t="n"/>
      <c r="B319" s="506" t="n"/>
      <c r="C319" s="141" t="n"/>
      <c r="D319" s="141" t="n"/>
      <c r="E319" s="141" t="n"/>
      <c r="F319" s="141" t="n"/>
      <c r="G319" s="143" t="n"/>
      <c r="H319" s="27" t="n"/>
    </row>
    <row r="320" ht="17.25" customHeight="1" s="322">
      <c r="A320" s="27" t="n"/>
      <c r="B320" s="506" t="n"/>
      <c r="C320" s="141" t="n"/>
      <c r="D320" s="141" t="n"/>
      <c r="E320" s="141" t="n"/>
      <c r="F320" s="141" t="n"/>
      <c r="G320" s="143" t="n"/>
      <c r="H320" s="27" t="n"/>
    </row>
    <row r="321" ht="17.25" customHeight="1" s="322">
      <c r="A321" s="27" t="n"/>
      <c r="B321" s="506" t="n"/>
      <c r="C321" s="141" t="n"/>
      <c r="D321" s="141" t="n"/>
      <c r="E321" s="141" t="n"/>
      <c r="F321" s="141" t="n"/>
      <c r="G321" s="143" t="n"/>
      <c r="H321" s="27" t="n"/>
    </row>
    <row r="322" ht="17.25" customHeight="1" s="322">
      <c r="A322" s="27" t="n"/>
      <c r="B322" s="506" t="n"/>
      <c r="C322" s="141" t="n"/>
      <c r="D322" s="141" t="n"/>
      <c r="E322" s="141" t="n"/>
      <c r="F322" s="141" t="n"/>
      <c r="G322" s="143" t="n"/>
      <c r="H322" s="27" t="n"/>
    </row>
    <row r="323" ht="17.25" customHeight="1" s="322">
      <c r="A323" s="27" t="n"/>
      <c r="B323" s="506" t="n"/>
      <c r="C323" s="141" t="n"/>
      <c r="D323" s="141" t="n"/>
      <c r="E323" s="141" t="n"/>
      <c r="F323" s="141" t="n"/>
      <c r="G323" s="143" t="n"/>
      <c r="H323" s="27" t="n"/>
    </row>
    <row r="324" ht="17.25" customHeight="1" s="322">
      <c r="A324" s="27" t="n"/>
      <c r="B324" s="506" t="n"/>
      <c r="C324" s="141" t="n"/>
      <c r="D324" s="141" t="n"/>
      <c r="E324" s="141" t="n"/>
      <c r="F324" s="141" t="n"/>
      <c r="G324" s="143" t="n"/>
      <c r="H324" s="27" t="n"/>
    </row>
    <row r="325" ht="17.25" customHeight="1" s="322">
      <c r="A325" s="27" t="n"/>
      <c r="B325" s="506" t="n"/>
      <c r="C325" s="141" t="n"/>
      <c r="D325" s="141" t="n"/>
      <c r="E325" s="141" t="n"/>
      <c r="F325" s="141" t="n"/>
      <c r="G325" s="143" t="n"/>
      <c r="H325" s="27" t="n"/>
    </row>
    <row r="326" ht="17.25" customHeight="1" s="322">
      <c r="A326" s="27" t="n"/>
      <c r="B326" s="506" t="n"/>
      <c r="C326" s="141" t="n"/>
      <c r="D326" s="141" t="n"/>
      <c r="E326" s="141" t="n"/>
      <c r="F326" s="141" t="n"/>
      <c r="G326" s="143" t="n"/>
      <c r="H326" s="27" t="n"/>
    </row>
    <row r="327" ht="17.25" customHeight="1" s="322">
      <c r="A327" s="27" t="n"/>
      <c r="B327" s="506" t="n"/>
      <c r="C327" s="141" t="n"/>
      <c r="D327" s="141" t="n"/>
      <c r="E327" s="141" t="n"/>
      <c r="F327" s="141" t="n"/>
      <c r="G327" s="143" t="n"/>
      <c r="H327" s="27" t="n"/>
    </row>
    <row r="328" ht="17.25" customHeight="1" s="322">
      <c r="A328" s="27" t="n"/>
      <c r="B328" s="506" t="n"/>
      <c r="C328" s="141" t="n"/>
      <c r="D328" s="141" t="n"/>
      <c r="E328" s="141" t="n"/>
      <c r="F328" s="141" t="n"/>
      <c r="G328" s="143" t="n"/>
      <c r="H328" s="27" t="n"/>
    </row>
    <row r="329" ht="17.25" customHeight="1" s="322">
      <c r="A329" s="27" t="n"/>
      <c r="B329" s="506" t="n"/>
      <c r="C329" s="141" t="n"/>
      <c r="D329" s="141" t="n"/>
      <c r="E329" s="141" t="n"/>
      <c r="F329" s="141" t="n"/>
      <c r="G329" s="143" t="n"/>
      <c r="H329" s="27" t="n"/>
    </row>
    <row r="330" ht="17.25" customHeight="1" s="322">
      <c r="A330" s="27" t="n"/>
      <c r="B330" s="506" t="n"/>
      <c r="C330" s="141" t="n"/>
      <c r="D330" s="141" t="n"/>
      <c r="E330" s="141" t="n"/>
      <c r="F330" s="141" t="n"/>
      <c r="G330" s="143" t="n"/>
      <c r="H330" s="27" t="n"/>
    </row>
    <row r="331" ht="17.25" customHeight="1" s="322">
      <c r="A331" s="27" t="n"/>
      <c r="B331" s="506" t="n"/>
      <c r="C331" s="141" t="n"/>
      <c r="D331" s="141" t="n"/>
      <c r="E331" s="141" t="n"/>
      <c r="F331" s="141" t="n"/>
      <c r="G331" s="143" t="n"/>
      <c r="H331" s="27" t="n"/>
    </row>
    <row r="332" ht="17.25" customHeight="1" s="322">
      <c r="A332" s="27" t="n"/>
      <c r="B332" s="506" t="n"/>
      <c r="C332" s="141" t="n"/>
      <c r="D332" s="141" t="n"/>
      <c r="E332" s="141" t="n"/>
      <c r="F332" s="141" t="n"/>
      <c r="G332" s="143" t="n"/>
      <c r="H332" s="27" t="n"/>
    </row>
    <row r="333" ht="17.25" customHeight="1" s="322">
      <c r="A333" s="27" t="n"/>
      <c r="B333" s="506" t="n"/>
      <c r="C333" s="141" t="n"/>
      <c r="D333" s="141" t="n"/>
      <c r="E333" s="141" t="n"/>
      <c r="F333" s="141" t="n"/>
      <c r="G333" s="143" t="n"/>
      <c r="H333" s="27" t="n"/>
    </row>
    <row r="334" ht="17.25" customHeight="1" s="322">
      <c r="A334" s="27" t="n"/>
      <c r="B334" s="506" t="n"/>
      <c r="C334" s="141" t="n"/>
      <c r="D334" s="141" t="n"/>
      <c r="E334" s="141" t="n"/>
      <c r="F334" s="141" t="n"/>
      <c r="G334" s="143" t="n"/>
      <c r="H334" s="27" t="n"/>
    </row>
    <row r="335" ht="17.25" customHeight="1" s="322">
      <c r="A335" s="27" t="n"/>
      <c r="B335" s="506" t="n"/>
      <c r="C335" s="141" t="n"/>
      <c r="D335" s="141" t="n"/>
      <c r="E335" s="141" t="n"/>
      <c r="F335" s="141" t="n"/>
      <c r="G335" s="143" t="n"/>
      <c r="H335" s="27" t="n"/>
    </row>
    <row r="336" ht="17.25" customHeight="1" s="322">
      <c r="A336" s="27" t="n"/>
      <c r="B336" s="506" t="n"/>
      <c r="C336" s="141" t="n"/>
      <c r="D336" s="141" t="n"/>
      <c r="E336" s="141" t="n"/>
      <c r="F336" s="141" t="n"/>
      <c r="G336" s="143" t="n"/>
      <c r="H336" s="27" t="n"/>
    </row>
    <row r="337" ht="17.25" customHeight="1" s="322">
      <c r="A337" s="27" t="n"/>
      <c r="B337" s="506" t="n"/>
      <c r="C337" s="141" t="n"/>
      <c r="D337" s="141" t="n"/>
      <c r="E337" s="141" t="n"/>
      <c r="F337" s="141" t="n"/>
      <c r="G337" s="143" t="n"/>
      <c r="H337" s="27" t="n"/>
    </row>
    <row r="338" ht="17.25" customHeight="1" s="322">
      <c r="A338" s="27" t="n"/>
      <c r="B338" s="506" t="n"/>
      <c r="C338" s="141" t="n"/>
      <c r="D338" s="141" t="n"/>
      <c r="E338" s="141" t="n"/>
      <c r="F338" s="141" t="n"/>
      <c r="G338" s="143" t="n"/>
      <c r="H338" s="27" t="n"/>
    </row>
    <row r="339" ht="17.25" customHeight="1" s="322">
      <c r="A339" s="27" t="n"/>
      <c r="B339" s="506" t="n"/>
      <c r="C339" s="141" t="n"/>
      <c r="D339" s="141" t="n"/>
      <c r="E339" s="141" t="n"/>
      <c r="F339" s="141" t="n"/>
      <c r="G339" s="143" t="n"/>
      <c r="H339" s="27" t="n"/>
    </row>
    <row r="340" ht="17.25" customHeight="1" s="322">
      <c r="A340" s="27" t="n"/>
      <c r="B340" s="506" t="n"/>
      <c r="C340" s="141" t="n"/>
      <c r="D340" s="141" t="n"/>
      <c r="E340" s="141" t="n"/>
      <c r="F340" s="141" t="n"/>
      <c r="G340" s="143" t="n"/>
      <c r="H340" s="27" t="n"/>
    </row>
    <row r="341" ht="17.25" customHeight="1" s="322">
      <c r="A341" s="27" t="n"/>
      <c r="B341" s="506" t="n"/>
      <c r="C341" s="141" t="n"/>
      <c r="D341" s="141" t="n"/>
      <c r="E341" s="141" t="n"/>
      <c r="F341" s="141" t="n"/>
      <c r="G341" s="143" t="n"/>
      <c r="H341" s="27" t="n"/>
    </row>
    <row r="342" ht="17.25" customHeight="1" s="322">
      <c r="A342" s="27" t="n"/>
      <c r="B342" s="506" t="n"/>
      <c r="C342" s="141" t="n"/>
      <c r="D342" s="141" t="n"/>
      <c r="E342" s="141" t="n"/>
      <c r="F342" s="141" t="n"/>
      <c r="G342" s="143" t="n"/>
      <c r="H342" s="27" t="n"/>
    </row>
    <row r="343" ht="17.25" customHeight="1" s="322">
      <c r="A343" s="27" t="n"/>
      <c r="B343" s="506" t="n"/>
      <c r="C343" s="141" t="n"/>
      <c r="D343" s="141" t="n"/>
      <c r="E343" s="141" t="n"/>
      <c r="F343" s="141" t="n"/>
      <c r="G343" s="143" t="n"/>
      <c r="H343" s="27" t="n"/>
    </row>
    <row r="344" ht="17.25" customHeight="1" s="322">
      <c r="A344" s="27" t="n"/>
      <c r="B344" s="506" t="n"/>
      <c r="C344" s="141" t="n"/>
      <c r="D344" s="141" t="n"/>
      <c r="E344" s="141" t="n"/>
      <c r="F344" s="141" t="n"/>
      <c r="G344" s="143" t="n"/>
      <c r="H344" s="27" t="n"/>
    </row>
    <row r="345" ht="17.25" customHeight="1" s="322">
      <c r="A345" s="27" t="n"/>
      <c r="B345" s="506" t="n"/>
      <c r="C345" s="141" t="n"/>
      <c r="D345" s="141" t="n"/>
      <c r="E345" s="141" t="n"/>
      <c r="F345" s="141" t="n"/>
      <c r="G345" s="143" t="n"/>
      <c r="H345" s="27" t="n"/>
    </row>
    <row r="346" ht="17.25" customHeight="1" s="322">
      <c r="A346" s="27" t="n"/>
      <c r="B346" s="506" t="n"/>
      <c r="C346" s="141" t="n"/>
      <c r="D346" s="141" t="n"/>
      <c r="E346" s="141" t="n"/>
      <c r="F346" s="141" t="n"/>
      <c r="G346" s="143" t="n"/>
      <c r="H346" s="27" t="n"/>
    </row>
    <row r="347" ht="17.25" customHeight="1" s="322">
      <c r="A347" s="27" t="n"/>
      <c r="B347" s="506" t="n"/>
      <c r="C347" s="141" t="n"/>
      <c r="D347" s="141" t="n"/>
      <c r="E347" s="141" t="n"/>
      <c r="F347" s="141" t="n"/>
      <c r="G347" s="143" t="n"/>
      <c r="H347" s="27" t="n"/>
    </row>
    <row r="348" ht="17.25" customHeight="1" s="322">
      <c r="A348" s="27" t="n"/>
      <c r="B348" s="506" t="n"/>
      <c r="C348" s="141" t="n"/>
      <c r="D348" s="141" t="n"/>
      <c r="E348" s="141" t="n"/>
      <c r="F348" s="141" t="n"/>
      <c r="G348" s="143" t="n"/>
      <c r="H348" s="27" t="n"/>
    </row>
    <row r="349" ht="17.25" customHeight="1" s="322">
      <c r="A349" s="27" t="n"/>
      <c r="B349" s="506" t="n"/>
      <c r="C349" s="141" t="n"/>
      <c r="D349" s="141" t="n"/>
      <c r="E349" s="141" t="n"/>
      <c r="F349" s="141" t="n"/>
      <c r="G349" s="143" t="n"/>
      <c r="H349" s="27" t="n"/>
    </row>
    <row r="350" ht="17.25" customHeight="1" s="322">
      <c r="A350" s="27" t="n"/>
      <c r="B350" s="506" t="n"/>
      <c r="C350" s="141" t="n"/>
      <c r="D350" s="141" t="n"/>
      <c r="E350" s="141" t="n"/>
      <c r="F350" s="141" t="n"/>
      <c r="G350" s="143" t="n"/>
      <c r="H350" s="27" t="n"/>
    </row>
    <row r="351" ht="17.25" customHeight="1" s="322">
      <c r="A351" s="27" t="n"/>
      <c r="B351" s="506" t="n"/>
      <c r="C351" s="141" t="n"/>
      <c r="D351" s="141" t="n"/>
      <c r="E351" s="141" t="n"/>
      <c r="F351" s="141" t="n"/>
      <c r="G351" s="143" t="n"/>
      <c r="H351" s="27" t="n"/>
    </row>
    <row r="352" ht="17.25" customHeight="1" s="322">
      <c r="A352" s="27" t="n"/>
      <c r="B352" s="506" t="n"/>
      <c r="C352" s="141" t="n"/>
      <c r="D352" s="141" t="n"/>
      <c r="E352" s="141" t="n"/>
      <c r="F352" s="141" t="n"/>
      <c r="G352" s="143" t="n"/>
      <c r="H352" s="27" t="n"/>
    </row>
    <row r="353" ht="17.25" customHeight="1" s="322">
      <c r="A353" s="27" t="n"/>
      <c r="B353" s="506" t="n"/>
      <c r="C353" s="141" t="n"/>
      <c r="D353" s="141" t="n"/>
      <c r="E353" s="141" t="n"/>
      <c r="F353" s="141" t="n"/>
      <c r="G353" s="143" t="n"/>
      <c r="H353" s="27" t="n"/>
    </row>
    <row r="354" ht="17.25" customHeight="1" s="322">
      <c r="A354" s="27" t="n"/>
      <c r="B354" s="506" t="n"/>
      <c r="C354" s="141" t="n"/>
      <c r="D354" s="141" t="n"/>
      <c r="E354" s="141" t="n"/>
      <c r="F354" s="141" t="n"/>
      <c r="G354" s="143" t="n"/>
      <c r="H354" s="27" t="n"/>
    </row>
    <row r="355" ht="17.25" customHeight="1" s="322">
      <c r="A355" s="27" t="n"/>
      <c r="B355" s="506" t="n"/>
      <c r="C355" s="141" t="n"/>
      <c r="D355" s="141" t="n"/>
      <c r="E355" s="141" t="n"/>
      <c r="F355" s="141" t="n"/>
      <c r="G355" s="143" t="n"/>
      <c r="H355" s="27" t="n"/>
    </row>
    <row r="356" ht="17.25" customHeight="1" s="322">
      <c r="A356" s="27" t="n"/>
      <c r="B356" s="506" t="n"/>
      <c r="C356" s="141" t="n"/>
      <c r="D356" s="141" t="n"/>
      <c r="E356" s="141" t="n"/>
      <c r="F356" s="141" t="n"/>
      <c r="G356" s="143" t="n"/>
      <c r="H356" s="27" t="n"/>
    </row>
    <row r="357" ht="17.25" customHeight="1" s="322">
      <c r="A357" s="27" t="n"/>
      <c r="B357" s="506" t="n"/>
      <c r="C357" s="141" t="n"/>
      <c r="D357" s="141" t="n"/>
      <c r="E357" s="141" t="n"/>
      <c r="F357" s="141" t="n"/>
      <c r="G357" s="143" t="n"/>
      <c r="H357" s="27" t="n"/>
    </row>
    <row r="358" ht="17.25" customHeight="1" s="322">
      <c r="A358" s="27" t="n"/>
      <c r="B358" s="506" t="n"/>
      <c r="C358" s="141" t="n"/>
      <c r="D358" s="141" t="n"/>
      <c r="E358" s="141" t="n"/>
      <c r="F358" s="141" t="n"/>
      <c r="G358" s="143" t="n"/>
      <c r="H358" s="27" t="n"/>
    </row>
    <row r="359" ht="17.25" customHeight="1" s="322">
      <c r="A359" s="27" t="n"/>
      <c r="B359" s="506" t="n"/>
      <c r="C359" s="141" t="n"/>
      <c r="D359" s="141" t="n"/>
      <c r="E359" s="141" t="n"/>
      <c r="F359" s="141" t="n"/>
      <c r="G359" s="143" t="n"/>
      <c r="H359" s="27" t="n"/>
    </row>
    <row r="360" ht="17.25" customHeight="1" s="322">
      <c r="A360" s="27" t="n"/>
      <c r="B360" s="506" t="n"/>
      <c r="C360" s="141" t="n"/>
      <c r="D360" s="141" t="n"/>
      <c r="E360" s="141" t="n"/>
      <c r="F360" s="141" t="n"/>
      <c r="G360" s="143" t="n"/>
      <c r="H360" s="27" t="n"/>
    </row>
    <row r="361" ht="17.25" customHeight="1" s="322">
      <c r="A361" s="27" t="n"/>
      <c r="B361" s="506" t="n"/>
      <c r="C361" s="141" t="n"/>
      <c r="D361" s="141" t="n"/>
      <c r="E361" s="141" t="n"/>
      <c r="F361" s="141" t="n"/>
      <c r="G361" s="143" t="n"/>
      <c r="H361" s="27" t="n"/>
    </row>
    <row r="362" ht="17.25" customHeight="1" s="322">
      <c r="A362" s="27" t="n"/>
      <c r="B362" s="506" t="n"/>
      <c r="C362" s="141" t="n"/>
      <c r="D362" s="141" t="n"/>
      <c r="E362" s="141" t="n"/>
      <c r="F362" s="141" t="n"/>
      <c r="G362" s="143" t="n"/>
      <c r="H362" s="27" t="n"/>
    </row>
    <row r="363" ht="17.25" customHeight="1" s="322">
      <c r="A363" s="27" t="n"/>
      <c r="B363" s="506" t="n"/>
      <c r="C363" s="141" t="n"/>
      <c r="D363" s="141" t="n"/>
      <c r="E363" s="141" t="n"/>
      <c r="F363" s="141" t="n"/>
      <c r="G363" s="143" t="n"/>
      <c r="H363" s="27" t="n"/>
    </row>
    <row r="364" ht="17.25" customHeight="1" s="322">
      <c r="A364" s="27" t="n"/>
      <c r="B364" s="506" t="n"/>
      <c r="C364" s="141" t="n"/>
      <c r="D364" s="141" t="n"/>
      <c r="E364" s="141" t="n"/>
      <c r="F364" s="141" t="n"/>
      <c r="G364" s="143" t="n"/>
      <c r="H364" s="27" t="n"/>
    </row>
    <row r="365" ht="17.25" customHeight="1" s="322">
      <c r="A365" s="27" t="n"/>
      <c r="B365" s="506" t="n"/>
      <c r="C365" s="141" t="n"/>
      <c r="D365" s="141" t="n"/>
      <c r="E365" s="141" t="n"/>
      <c r="F365" s="141" t="n"/>
      <c r="G365" s="143" t="n"/>
      <c r="H365" s="27" t="n"/>
    </row>
    <row r="366" ht="17.25" customHeight="1" s="322">
      <c r="A366" s="27" t="n"/>
      <c r="B366" s="506" t="n"/>
      <c r="C366" s="141" t="n"/>
      <c r="D366" s="141" t="n"/>
      <c r="E366" s="141" t="n"/>
      <c r="F366" s="141" t="n"/>
      <c r="G366" s="143" t="n"/>
      <c r="H366" s="27" t="n"/>
    </row>
    <row r="367" ht="17.25" customHeight="1" s="322">
      <c r="A367" s="27" t="n"/>
      <c r="B367" s="506" t="n"/>
      <c r="C367" s="141" t="n"/>
      <c r="D367" s="141" t="n"/>
      <c r="E367" s="141" t="n"/>
      <c r="F367" s="141" t="n"/>
      <c r="G367" s="143" t="n"/>
      <c r="H367" s="27" t="n"/>
    </row>
    <row r="368" ht="17.25" customHeight="1" s="322">
      <c r="A368" s="27" t="n"/>
      <c r="B368" s="506" t="n"/>
      <c r="C368" s="141" t="n"/>
      <c r="D368" s="141" t="n"/>
      <c r="E368" s="141" t="n"/>
      <c r="F368" s="141" t="n"/>
      <c r="G368" s="143" t="n"/>
      <c r="H368" s="27" t="n"/>
    </row>
    <row r="369" ht="17.25" customHeight="1" s="322">
      <c r="A369" s="27" t="n"/>
      <c r="B369" s="506" t="n"/>
      <c r="C369" s="141" t="n"/>
      <c r="D369" s="141" t="n"/>
      <c r="E369" s="141" t="n"/>
      <c r="F369" s="141" t="n"/>
      <c r="G369" s="143" t="n"/>
      <c r="H369" s="27" t="n"/>
    </row>
    <row r="370" ht="17.25" customHeight="1" s="322">
      <c r="A370" s="27" t="n"/>
      <c r="B370" s="506" t="n"/>
      <c r="C370" s="141" t="n"/>
      <c r="D370" s="141" t="n"/>
      <c r="E370" s="141" t="n"/>
      <c r="F370" s="141" t="n"/>
      <c r="G370" s="143" t="n"/>
      <c r="H370" s="27" t="n"/>
    </row>
    <row r="371" ht="17.25" customHeight="1" s="322">
      <c r="A371" s="27" t="n"/>
      <c r="B371" s="506" t="n"/>
      <c r="C371" s="141" t="n"/>
      <c r="D371" s="141" t="n"/>
      <c r="E371" s="141" t="n"/>
      <c r="F371" s="141" t="n"/>
      <c r="G371" s="143" t="n"/>
      <c r="H371" s="27" t="n"/>
    </row>
    <row r="372" ht="17.25" customHeight="1" s="322">
      <c r="A372" s="27" t="n"/>
      <c r="B372" s="506" t="n"/>
      <c r="C372" s="141" t="n"/>
      <c r="D372" s="141" t="n"/>
      <c r="E372" s="141" t="n"/>
      <c r="F372" s="141" t="n"/>
      <c r="G372" s="143" t="n"/>
      <c r="H372" s="27" t="n"/>
    </row>
    <row r="373" ht="17.25" customHeight="1" s="322">
      <c r="A373" s="27" t="n"/>
      <c r="B373" s="506" t="n"/>
      <c r="C373" s="141" t="n"/>
      <c r="D373" s="141" t="n"/>
      <c r="E373" s="141" t="n"/>
      <c r="F373" s="141" t="n"/>
      <c r="G373" s="143" t="n"/>
      <c r="H373" s="27" t="n"/>
    </row>
    <row r="374" ht="17.25" customHeight="1" s="322">
      <c r="A374" s="27" t="n"/>
      <c r="B374" s="506" t="n"/>
      <c r="C374" s="141" t="n"/>
      <c r="D374" s="141" t="n"/>
      <c r="E374" s="141" t="n"/>
      <c r="F374" s="141" t="n"/>
      <c r="G374" s="143" t="n"/>
      <c r="H374" s="27" t="n"/>
    </row>
    <row r="375" ht="17.25" customHeight="1" s="322">
      <c r="A375" s="27" t="n"/>
      <c r="B375" s="506" t="n"/>
      <c r="C375" s="141" t="n"/>
      <c r="D375" s="141" t="n"/>
      <c r="E375" s="141" t="n"/>
      <c r="F375" s="141" t="n"/>
      <c r="G375" s="143" t="n"/>
      <c r="H375" s="27" t="n"/>
    </row>
    <row r="376" ht="17.25" customHeight="1" s="322">
      <c r="A376" s="27" t="n"/>
      <c r="B376" s="506" t="n"/>
      <c r="C376" s="141" t="n"/>
      <c r="D376" s="141" t="n"/>
      <c r="E376" s="141" t="n"/>
      <c r="F376" s="141" t="n"/>
      <c r="G376" s="143" t="n"/>
      <c r="H376" s="27" t="n"/>
    </row>
    <row r="377" ht="17.25" customHeight="1" s="322">
      <c r="A377" s="27" t="n"/>
      <c r="B377" s="506" t="n"/>
      <c r="C377" s="141" t="n"/>
      <c r="D377" s="141" t="n"/>
      <c r="E377" s="141" t="n"/>
      <c r="F377" s="141" t="n"/>
      <c r="G377" s="143" t="n"/>
      <c r="H377" s="27" t="n"/>
    </row>
    <row r="378" ht="17.25" customHeight="1" s="322">
      <c r="A378" s="27" t="n"/>
      <c r="B378" s="506" t="n"/>
      <c r="C378" s="141" t="n"/>
      <c r="D378" s="141" t="n"/>
      <c r="E378" s="141" t="n"/>
      <c r="F378" s="141" t="n"/>
      <c r="G378" s="143" t="n"/>
      <c r="H378" s="27" t="n"/>
    </row>
    <row r="379" ht="17.25" customHeight="1" s="322">
      <c r="A379" s="27" t="n"/>
      <c r="B379" s="506" t="n"/>
      <c r="C379" s="141" t="n"/>
      <c r="D379" s="141" t="n"/>
      <c r="E379" s="141" t="n"/>
      <c r="F379" s="141" t="n"/>
      <c r="G379" s="143" t="n"/>
      <c r="H379" s="27" t="n"/>
    </row>
    <row r="380" ht="17.25" customHeight="1" s="322">
      <c r="A380" s="27" t="n"/>
      <c r="B380" s="506" t="n"/>
      <c r="C380" s="141" t="n"/>
      <c r="D380" s="141" t="n"/>
      <c r="E380" s="141" t="n"/>
      <c r="F380" s="141" t="n"/>
      <c r="G380" s="143" t="n"/>
      <c r="H380" s="27" t="n"/>
    </row>
    <row r="381" ht="17.25" customHeight="1" s="322">
      <c r="A381" s="27" t="n"/>
      <c r="B381" s="506" t="n"/>
      <c r="C381" s="141" t="n"/>
      <c r="D381" s="141" t="n"/>
      <c r="E381" s="141" t="n"/>
      <c r="F381" s="141" t="n"/>
      <c r="G381" s="143" t="n"/>
      <c r="H381" s="27" t="n"/>
    </row>
    <row r="382" ht="17.25" customHeight="1" s="322">
      <c r="A382" s="27" t="n"/>
      <c r="B382" s="506" t="n"/>
      <c r="C382" s="141" t="n"/>
      <c r="D382" s="141" t="n"/>
      <c r="E382" s="141" t="n"/>
      <c r="F382" s="141" t="n"/>
      <c r="G382" s="143" t="n"/>
      <c r="H382" s="27" t="n"/>
    </row>
    <row r="383" ht="17.25" customHeight="1" s="322">
      <c r="A383" s="27" t="n"/>
      <c r="B383" s="506" t="n"/>
      <c r="C383" s="141" t="n"/>
      <c r="D383" s="141" t="n"/>
      <c r="E383" s="141" t="n"/>
      <c r="F383" s="141" t="n"/>
      <c r="G383" s="143" t="n"/>
      <c r="H383" s="27" t="n"/>
    </row>
    <row r="384" ht="17.25" customHeight="1" s="322">
      <c r="A384" s="27" t="n"/>
      <c r="B384" s="506" t="n"/>
      <c r="C384" s="141" t="n"/>
      <c r="D384" s="141" t="n"/>
      <c r="E384" s="141" t="n"/>
      <c r="F384" s="141" t="n"/>
      <c r="G384" s="143" t="n"/>
      <c r="H384" s="27" t="n"/>
    </row>
    <row r="385" ht="17.25" customHeight="1" s="322">
      <c r="A385" s="27" t="n"/>
      <c r="B385" s="506" t="n"/>
      <c r="C385" s="141" t="n"/>
      <c r="D385" s="141" t="n"/>
      <c r="E385" s="141" t="n"/>
      <c r="F385" s="141" t="n"/>
      <c r="G385" s="143" t="n"/>
      <c r="H385" s="27" t="n"/>
    </row>
    <row r="386" ht="17.25" customHeight="1" s="322">
      <c r="A386" s="27" t="n"/>
      <c r="B386" s="506" t="n"/>
      <c r="C386" s="141" t="n"/>
      <c r="D386" s="141" t="n"/>
      <c r="E386" s="141" t="n"/>
      <c r="F386" s="141" t="n"/>
      <c r="G386" s="143" t="n"/>
      <c r="H386" s="27" t="n"/>
    </row>
    <row r="387" ht="17.25" customHeight="1" s="322">
      <c r="A387" s="27" t="n"/>
      <c r="B387" s="506" t="n"/>
      <c r="C387" s="141" t="n"/>
      <c r="D387" s="141" t="n"/>
      <c r="E387" s="141" t="n"/>
      <c r="F387" s="141" t="n"/>
      <c r="G387" s="143" t="n"/>
      <c r="H387" s="27" t="n"/>
    </row>
    <row r="388" ht="17.25" customHeight="1" s="322">
      <c r="A388" s="27" t="n"/>
      <c r="B388" s="506" t="n"/>
      <c r="C388" s="141" t="n"/>
      <c r="D388" s="141" t="n"/>
      <c r="E388" s="141" t="n"/>
      <c r="F388" s="141" t="n"/>
      <c r="G388" s="143" t="n"/>
      <c r="H388" s="27" t="n"/>
    </row>
    <row r="389" ht="17.25" customHeight="1" s="322">
      <c r="A389" s="27" t="n"/>
      <c r="B389" s="506" t="n"/>
      <c r="C389" s="141" t="n"/>
      <c r="D389" s="141" t="n"/>
      <c r="E389" s="141" t="n"/>
      <c r="F389" s="141" t="n"/>
      <c r="G389" s="143" t="n"/>
      <c r="H389" s="27" t="n"/>
    </row>
    <row r="390" ht="17.25" customHeight="1" s="322">
      <c r="A390" s="27" t="n"/>
      <c r="B390" s="506" t="n"/>
      <c r="C390" s="141" t="n"/>
      <c r="D390" s="141" t="n"/>
      <c r="E390" s="141" t="n"/>
      <c r="F390" s="141" t="n"/>
      <c r="G390" s="143" t="n"/>
      <c r="H390" s="27" t="n"/>
    </row>
    <row r="391" ht="17.25" customHeight="1" s="322">
      <c r="A391" s="27" t="n"/>
      <c r="B391" s="506" t="n"/>
      <c r="C391" s="141" t="n"/>
      <c r="D391" s="141" t="n"/>
      <c r="E391" s="141" t="n"/>
      <c r="F391" s="141" t="n"/>
      <c r="G391" s="143" t="n"/>
      <c r="H391" s="27" t="n"/>
    </row>
    <row r="392" ht="17.25" customHeight="1" s="322">
      <c r="A392" s="27" t="n"/>
      <c r="B392" s="506" t="n"/>
      <c r="C392" s="141" t="n"/>
      <c r="D392" s="141" t="n"/>
      <c r="E392" s="141" t="n"/>
      <c r="F392" s="141" t="n"/>
      <c r="G392" s="143" t="n"/>
      <c r="H392" s="27" t="n"/>
    </row>
    <row r="393" ht="17.25" customHeight="1" s="322">
      <c r="A393" s="27" t="n"/>
      <c r="B393" s="506" t="n"/>
      <c r="C393" s="141" t="n"/>
      <c r="D393" s="141" t="n"/>
      <c r="E393" s="141" t="n"/>
      <c r="F393" s="141" t="n"/>
      <c r="G393" s="143" t="n"/>
      <c r="H393" s="27" t="n"/>
    </row>
    <row r="394" ht="17.25" customHeight="1" s="322">
      <c r="A394" s="27" t="n"/>
      <c r="B394" s="506" t="n"/>
      <c r="C394" s="141" t="n"/>
      <c r="D394" s="141" t="n"/>
      <c r="E394" s="141" t="n"/>
      <c r="F394" s="141" t="n"/>
      <c r="G394" s="143" t="n"/>
      <c r="H394" s="27" t="n"/>
    </row>
    <row r="395" ht="17.25" customHeight="1" s="322">
      <c r="A395" s="27" t="n"/>
      <c r="B395" s="506" t="n"/>
      <c r="C395" s="141" t="n"/>
      <c r="D395" s="141" t="n"/>
      <c r="E395" s="141" t="n"/>
      <c r="F395" s="141" t="n"/>
      <c r="G395" s="143" t="n"/>
      <c r="H395" s="27" t="n"/>
    </row>
    <row r="396" ht="17.25" customHeight="1" s="322">
      <c r="A396" s="27" t="n"/>
      <c r="B396" s="506" t="n"/>
      <c r="C396" s="141" t="n"/>
      <c r="D396" s="141" t="n"/>
      <c r="E396" s="141" t="n"/>
      <c r="F396" s="141" t="n"/>
      <c r="G396" s="143" t="n"/>
      <c r="H396" s="27" t="n"/>
    </row>
    <row r="397" ht="17.25" customHeight="1" s="322">
      <c r="A397" s="27" t="n"/>
      <c r="B397" s="506" t="n"/>
      <c r="C397" s="141" t="n"/>
      <c r="D397" s="141" t="n"/>
      <c r="E397" s="141" t="n"/>
      <c r="F397" s="141" t="n"/>
      <c r="G397" s="143" t="n"/>
      <c r="H397" s="27" t="n"/>
    </row>
    <row r="398" ht="17.25" customHeight="1" s="322">
      <c r="A398" s="27" t="n"/>
      <c r="B398" s="506" t="n"/>
      <c r="C398" s="141" t="n"/>
      <c r="D398" s="141" t="n"/>
      <c r="E398" s="141" t="n"/>
      <c r="F398" s="141" t="n"/>
      <c r="G398" s="143" t="n"/>
      <c r="H398" s="27" t="n"/>
    </row>
    <row r="399" ht="17.25" customHeight="1" s="322">
      <c r="A399" s="27" t="n"/>
      <c r="B399" s="506" t="n"/>
      <c r="C399" s="141" t="n"/>
      <c r="D399" s="141" t="n"/>
      <c r="E399" s="141" t="n"/>
      <c r="F399" s="141" t="n"/>
      <c r="G399" s="143" t="n"/>
      <c r="H399" s="27" t="n"/>
    </row>
    <row r="400" ht="17.25" customHeight="1" s="322">
      <c r="A400" s="27" t="n"/>
      <c r="B400" s="506" t="n"/>
      <c r="C400" s="141" t="n"/>
      <c r="D400" s="141" t="n"/>
      <c r="E400" s="141" t="n"/>
      <c r="F400" s="141" t="n"/>
      <c r="G400" s="143" t="n"/>
      <c r="H400" s="27" t="n"/>
    </row>
    <row r="401" ht="17.25" customHeight="1" s="322">
      <c r="A401" s="27" t="n"/>
      <c r="B401" s="506" t="n"/>
      <c r="C401" s="141" t="n"/>
      <c r="D401" s="141" t="n"/>
      <c r="E401" s="141" t="n"/>
      <c r="F401" s="141" t="n"/>
      <c r="G401" s="143" t="n"/>
      <c r="H401" s="27" t="n"/>
    </row>
    <row r="402" ht="17.25" customHeight="1" s="322">
      <c r="A402" s="27" t="n"/>
      <c r="B402" s="506" t="n"/>
      <c r="C402" s="141" t="n"/>
      <c r="D402" s="141" t="n"/>
      <c r="E402" s="141" t="n"/>
      <c r="F402" s="141" t="n"/>
      <c r="G402" s="143" t="n"/>
      <c r="H402" s="27" t="n"/>
    </row>
    <row r="403" ht="17.25" customHeight="1" s="322">
      <c r="A403" s="27" t="n"/>
      <c r="B403" s="506" t="n"/>
      <c r="C403" s="141" t="n"/>
      <c r="D403" s="141" t="n"/>
      <c r="E403" s="141" t="n"/>
      <c r="F403" s="141" t="n"/>
      <c r="G403" s="143" t="n"/>
      <c r="H403" s="27" t="n"/>
    </row>
    <row r="404" ht="17.25" customHeight="1" s="322">
      <c r="A404" s="27" t="n"/>
      <c r="B404" s="506" t="n"/>
      <c r="C404" s="141" t="n"/>
      <c r="D404" s="141" t="n"/>
      <c r="E404" s="141" t="n"/>
      <c r="F404" s="141" t="n"/>
      <c r="G404" s="143" t="n"/>
      <c r="H404" s="27" t="n"/>
    </row>
    <row r="405" ht="17.25" customHeight="1" s="322">
      <c r="A405" s="27" t="n"/>
      <c r="B405" s="506" t="n"/>
      <c r="C405" s="141" t="n"/>
      <c r="D405" s="141" t="n"/>
      <c r="E405" s="141" t="n"/>
      <c r="F405" s="141" t="n"/>
      <c r="G405" s="143" t="n"/>
      <c r="H405" s="27" t="n"/>
    </row>
    <row r="406" ht="17.25" customHeight="1" s="322">
      <c r="A406" s="27" t="n"/>
      <c r="B406" s="506" t="n"/>
      <c r="C406" s="141" t="n"/>
      <c r="D406" s="141" t="n"/>
      <c r="E406" s="141" t="n"/>
      <c r="F406" s="141" t="n"/>
      <c r="G406" s="143" t="n"/>
      <c r="H406" s="27" t="n"/>
    </row>
    <row r="407" ht="17.25" customHeight="1" s="322">
      <c r="A407" s="27" t="n"/>
      <c r="B407" s="506" t="n"/>
      <c r="C407" s="141" t="n"/>
      <c r="D407" s="141" t="n"/>
      <c r="E407" s="141" t="n"/>
      <c r="F407" s="141" t="n"/>
      <c r="G407" s="143" t="n"/>
      <c r="H407" s="27" t="n"/>
    </row>
    <row r="408" ht="17.25" customHeight="1" s="322">
      <c r="A408" s="27" t="n"/>
      <c r="B408" s="506" t="n"/>
      <c r="C408" s="141" t="n"/>
      <c r="D408" s="141" t="n"/>
      <c r="E408" s="141" t="n"/>
      <c r="F408" s="141" t="n"/>
      <c r="G408" s="143" t="n"/>
      <c r="H408" s="27" t="n"/>
    </row>
    <row r="409" ht="17.25" customHeight="1" s="322">
      <c r="A409" s="27" t="n"/>
      <c r="B409" s="506" t="n"/>
      <c r="C409" s="141" t="n"/>
      <c r="D409" s="141" t="n"/>
      <c r="E409" s="141" t="n"/>
      <c r="F409" s="141" t="n"/>
      <c r="G409" s="143" t="n"/>
      <c r="H409" s="27" t="n"/>
    </row>
    <row r="410" ht="17.25" customHeight="1" s="322">
      <c r="A410" s="27" t="n"/>
      <c r="B410" s="506" t="n"/>
      <c r="C410" s="141" t="n"/>
      <c r="D410" s="141" t="n"/>
      <c r="E410" s="141" t="n"/>
      <c r="F410" s="141" t="n"/>
      <c r="G410" s="143" t="n"/>
      <c r="H410" s="27" t="n"/>
    </row>
    <row r="411" ht="17.25" customHeight="1" s="322">
      <c r="A411" s="27" t="n"/>
      <c r="B411" s="506" t="n"/>
      <c r="C411" s="141" t="n"/>
      <c r="D411" s="141" t="n"/>
      <c r="E411" s="141" t="n"/>
      <c r="F411" s="141" t="n"/>
      <c r="G411" s="143" t="n"/>
      <c r="H411" s="27" t="n"/>
    </row>
    <row r="412" ht="17.25" customHeight="1" s="322">
      <c r="A412" s="27" t="n"/>
      <c r="B412" s="506" t="n"/>
      <c r="C412" s="141" t="n"/>
      <c r="D412" s="141" t="n"/>
      <c r="E412" s="141" t="n"/>
      <c r="F412" s="141" t="n"/>
      <c r="G412" s="143" t="n"/>
      <c r="H412" s="27" t="n"/>
    </row>
    <row r="413" ht="17.25" customHeight="1" s="322">
      <c r="A413" s="27" t="n"/>
      <c r="B413" s="506" t="n"/>
      <c r="C413" s="141" t="n"/>
      <c r="D413" s="141" t="n"/>
      <c r="E413" s="141" t="n"/>
      <c r="F413" s="141" t="n"/>
      <c r="G413" s="143" t="n"/>
      <c r="H413" s="27" t="n"/>
    </row>
    <row r="414" ht="17.25" customHeight="1" s="322">
      <c r="A414" s="27" t="n"/>
      <c r="B414" s="506" t="n"/>
      <c r="C414" s="141" t="n"/>
      <c r="D414" s="141" t="n"/>
      <c r="E414" s="141" t="n"/>
      <c r="F414" s="141" t="n"/>
      <c r="G414" s="143" t="n"/>
      <c r="H414" s="27" t="n"/>
    </row>
    <row r="415" ht="17.25" customHeight="1" s="322">
      <c r="A415" s="27" t="n"/>
      <c r="B415" s="506" t="n"/>
      <c r="C415" s="141" t="n"/>
      <c r="D415" s="141" t="n"/>
      <c r="E415" s="141" t="n"/>
      <c r="F415" s="141" t="n"/>
      <c r="G415" s="143" t="n"/>
      <c r="H415" s="27" t="n"/>
    </row>
    <row r="416" ht="17.25" customHeight="1" s="322">
      <c r="A416" s="27" t="n"/>
      <c r="B416" s="506" t="n"/>
      <c r="C416" s="141" t="n"/>
      <c r="D416" s="141" t="n"/>
      <c r="E416" s="141" t="n"/>
      <c r="F416" s="141" t="n"/>
      <c r="G416" s="143" t="n"/>
      <c r="H416" s="27" t="n"/>
    </row>
    <row r="417" ht="17.25" customHeight="1" s="322">
      <c r="A417" s="27" t="n"/>
      <c r="B417" s="506" t="n"/>
      <c r="C417" s="141" t="n"/>
      <c r="D417" s="141" t="n"/>
      <c r="E417" s="141" t="n"/>
      <c r="F417" s="141" t="n"/>
      <c r="G417" s="143" t="n"/>
      <c r="H417" s="27" t="n"/>
    </row>
    <row r="418" ht="17.25" customHeight="1" s="322">
      <c r="A418" s="27" t="n"/>
      <c r="B418" s="506" t="n"/>
      <c r="C418" s="141" t="n"/>
      <c r="D418" s="141" t="n"/>
      <c r="E418" s="141" t="n"/>
      <c r="F418" s="141" t="n"/>
      <c r="G418" s="143" t="n"/>
      <c r="H418" s="27" t="n"/>
    </row>
    <row r="419" ht="17.25" customHeight="1" s="322">
      <c r="A419" s="27" t="n"/>
      <c r="B419" s="506" t="n"/>
      <c r="C419" s="141" t="n"/>
      <c r="D419" s="141" t="n"/>
      <c r="E419" s="141" t="n"/>
      <c r="F419" s="141" t="n"/>
      <c r="G419" s="143" t="n"/>
      <c r="H419" s="27" t="n"/>
    </row>
    <row r="420" ht="17.25" customHeight="1" s="322">
      <c r="A420" s="27" t="n"/>
      <c r="B420" s="506" t="n"/>
      <c r="C420" s="141" t="n"/>
      <c r="D420" s="141" t="n"/>
      <c r="E420" s="141" t="n"/>
      <c r="F420" s="141" t="n"/>
      <c r="G420" s="143" t="n"/>
      <c r="H420" s="27" t="n"/>
    </row>
    <row r="421" ht="17.25" customHeight="1" s="322">
      <c r="A421" s="27" t="n"/>
      <c r="B421" s="506" t="n"/>
      <c r="C421" s="141" t="n"/>
      <c r="D421" s="141" t="n"/>
      <c r="E421" s="141" t="n"/>
      <c r="F421" s="141" t="n"/>
      <c r="G421" s="143" t="n"/>
      <c r="H421" s="27" t="n"/>
    </row>
    <row r="422" ht="17.25" customHeight="1" s="322">
      <c r="A422" s="27" t="n"/>
      <c r="B422" s="506" t="n"/>
      <c r="C422" s="141" t="n"/>
      <c r="D422" s="141" t="n"/>
      <c r="E422" s="141" t="n"/>
      <c r="F422" s="141" t="n"/>
      <c r="G422" s="143" t="n"/>
      <c r="H422" s="27" t="n"/>
    </row>
    <row r="423" ht="17.25" customHeight="1" s="322">
      <c r="A423" s="27" t="n"/>
      <c r="B423" s="506" t="n"/>
      <c r="C423" s="141" t="n"/>
      <c r="D423" s="141" t="n"/>
      <c r="E423" s="141" t="n"/>
      <c r="F423" s="141" t="n"/>
      <c r="G423" s="143" t="n"/>
      <c r="H423" s="27" t="n"/>
    </row>
    <row r="424" ht="17.25" customHeight="1" s="322">
      <c r="A424" s="27" t="n"/>
      <c r="B424" s="506" t="n"/>
      <c r="C424" s="141" t="n"/>
      <c r="D424" s="141" t="n"/>
      <c r="E424" s="141" t="n"/>
      <c r="F424" s="141" t="n"/>
      <c r="G424" s="143" t="n"/>
      <c r="H424" s="27" t="n"/>
    </row>
    <row r="425" ht="17.25" customHeight="1" s="322">
      <c r="A425" s="27" t="n"/>
      <c r="B425" s="506" t="n"/>
      <c r="C425" s="141" t="n"/>
      <c r="D425" s="141" t="n"/>
      <c r="E425" s="141" t="n"/>
      <c r="F425" s="141" t="n"/>
      <c r="G425" s="143" t="n"/>
      <c r="H425" s="27" t="n"/>
    </row>
    <row r="426" ht="17.25" customHeight="1" s="322">
      <c r="A426" s="27" t="n"/>
      <c r="B426" s="506" t="n"/>
      <c r="C426" s="141" t="n"/>
      <c r="D426" s="141" t="n"/>
      <c r="E426" s="141" t="n"/>
      <c r="F426" s="141" t="n"/>
      <c r="G426" s="143" t="n"/>
      <c r="H426" s="27" t="n"/>
    </row>
    <row r="427" ht="17.25" customHeight="1" s="322">
      <c r="A427" s="27" t="n"/>
      <c r="B427" s="506" t="n"/>
      <c r="C427" s="141" t="n"/>
      <c r="D427" s="141" t="n"/>
      <c r="E427" s="141" t="n"/>
      <c r="F427" s="141" t="n"/>
      <c r="G427" s="143" t="n"/>
      <c r="H427" s="27" t="n"/>
    </row>
    <row r="428" ht="17.25" customHeight="1" s="322">
      <c r="A428" s="27" t="n"/>
      <c r="B428" s="506" t="n"/>
      <c r="C428" s="141" t="n"/>
      <c r="D428" s="141" t="n"/>
      <c r="E428" s="141" t="n"/>
      <c r="F428" s="141" t="n"/>
      <c r="G428" s="143" t="n"/>
      <c r="H428" s="27" t="n"/>
    </row>
    <row r="429" ht="17.25" customHeight="1" s="322">
      <c r="A429" s="27" t="n"/>
      <c r="B429" s="506" t="n"/>
      <c r="C429" s="141" t="n"/>
      <c r="D429" s="141" t="n"/>
      <c r="E429" s="141" t="n"/>
      <c r="F429" s="141" t="n"/>
      <c r="G429" s="143" t="n"/>
      <c r="H429" s="27" t="n"/>
    </row>
    <row r="430" ht="17.25" customHeight="1" s="322">
      <c r="A430" s="27" t="n"/>
      <c r="B430" s="506" t="n"/>
      <c r="C430" s="141" t="n"/>
      <c r="D430" s="141" t="n"/>
      <c r="E430" s="141" t="n"/>
      <c r="F430" s="141" t="n"/>
      <c r="G430" s="143" t="n"/>
      <c r="H430" s="27" t="n"/>
    </row>
    <row r="431" ht="17.25" customHeight="1" s="322">
      <c r="A431" s="27" t="n"/>
      <c r="B431" s="506" t="n"/>
      <c r="C431" s="141" t="n"/>
      <c r="D431" s="141" t="n"/>
      <c r="E431" s="141" t="n"/>
      <c r="F431" s="141" t="n"/>
      <c r="G431" s="143" t="n"/>
      <c r="H431" s="27" t="n"/>
    </row>
    <row r="432" ht="17.25" customHeight="1" s="322">
      <c r="A432" s="27" t="n"/>
      <c r="B432" s="506" t="n"/>
      <c r="C432" s="141" t="n"/>
      <c r="D432" s="141" t="n"/>
      <c r="E432" s="141" t="n"/>
      <c r="F432" s="141" t="n"/>
      <c r="G432" s="143" t="n"/>
      <c r="H432" s="27" t="n"/>
    </row>
    <row r="433" ht="17.25" customHeight="1" s="322">
      <c r="A433" s="27" t="n"/>
      <c r="B433" s="506" t="n"/>
      <c r="C433" s="141" t="n"/>
      <c r="D433" s="141" t="n"/>
      <c r="E433" s="141" t="n"/>
      <c r="F433" s="141" t="n"/>
      <c r="G433" s="143" t="n"/>
      <c r="H433" s="27" t="n"/>
    </row>
    <row r="434" ht="17.25" customHeight="1" s="322">
      <c r="A434" s="27" t="n"/>
      <c r="B434" s="506" t="n"/>
      <c r="C434" s="141" t="n"/>
      <c r="D434" s="141" t="n"/>
      <c r="E434" s="141" t="n"/>
      <c r="F434" s="141" t="n"/>
      <c r="G434" s="143" t="n"/>
      <c r="H434" s="27" t="n"/>
    </row>
    <row r="435" ht="17.25" customHeight="1" s="322">
      <c r="A435" s="27" t="n"/>
      <c r="B435" s="506" t="n"/>
      <c r="C435" s="141" t="n"/>
      <c r="D435" s="141" t="n"/>
      <c r="E435" s="141" t="n"/>
      <c r="F435" s="141" t="n"/>
      <c r="G435" s="143" t="n"/>
      <c r="H435" s="27" t="n"/>
    </row>
    <row r="436" ht="17.25" customHeight="1" s="322">
      <c r="A436" s="27" t="n"/>
      <c r="B436" s="506" t="n"/>
      <c r="C436" s="141" t="n"/>
      <c r="D436" s="141" t="n"/>
      <c r="E436" s="141" t="n"/>
      <c r="F436" s="141" t="n"/>
      <c r="G436" s="143" t="n"/>
      <c r="H436" s="27" t="n"/>
    </row>
    <row r="437" ht="17.25" customHeight="1" s="322">
      <c r="A437" s="27" t="n"/>
      <c r="B437" s="506" t="n"/>
      <c r="C437" s="141" t="n"/>
      <c r="D437" s="141" t="n"/>
      <c r="E437" s="141" t="n"/>
      <c r="F437" s="141" t="n"/>
      <c r="G437" s="143" t="n"/>
      <c r="H437" s="27" t="n"/>
    </row>
    <row r="438" ht="17.25" customHeight="1" s="322">
      <c r="A438" s="27" t="n"/>
      <c r="B438" s="506" t="n"/>
      <c r="C438" s="141" t="n"/>
      <c r="D438" s="141" t="n"/>
      <c r="E438" s="141" t="n"/>
      <c r="F438" s="141" t="n"/>
      <c r="G438" s="143" t="n"/>
      <c r="H438" s="27" t="n"/>
    </row>
    <row r="439" ht="17.25" customHeight="1" s="322">
      <c r="A439" s="27" t="n"/>
      <c r="B439" s="506" t="n"/>
      <c r="C439" s="141" t="n"/>
      <c r="D439" s="141" t="n"/>
      <c r="E439" s="141" t="n"/>
      <c r="F439" s="141" t="n"/>
      <c r="G439" s="143" t="n"/>
      <c r="H439" s="27" t="n"/>
    </row>
    <row r="440" ht="17.25" customHeight="1" s="322">
      <c r="A440" s="27" t="n"/>
      <c r="B440" s="506" t="n"/>
      <c r="C440" s="141" t="n"/>
      <c r="D440" s="141" t="n"/>
      <c r="E440" s="141" t="n"/>
      <c r="F440" s="141" t="n"/>
      <c r="G440" s="143" t="n"/>
      <c r="H440" s="27" t="n"/>
    </row>
    <row r="441" ht="17.25" customHeight="1" s="322">
      <c r="A441" s="27" t="n"/>
      <c r="B441" s="506" t="n"/>
      <c r="C441" s="141" t="n"/>
      <c r="D441" s="141" t="n"/>
      <c r="E441" s="141" t="n"/>
      <c r="F441" s="141" t="n"/>
      <c r="G441" s="143" t="n"/>
      <c r="H441" s="27" t="n"/>
    </row>
    <row r="442" ht="17.25" customHeight="1" s="322">
      <c r="A442" s="27" t="n"/>
      <c r="B442" s="506" t="n"/>
      <c r="C442" s="141" t="n"/>
      <c r="D442" s="141" t="n"/>
      <c r="E442" s="141" t="n"/>
      <c r="F442" s="141" t="n"/>
      <c r="G442" s="143" t="n"/>
      <c r="H442" s="27" t="n"/>
    </row>
    <row r="443" ht="17.25" customHeight="1" s="322">
      <c r="A443" s="27" t="n"/>
      <c r="B443" s="506" t="n"/>
      <c r="C443" s="141" t="n"/>
      <c r="D443" s="141" t="n"/>
      <c r="E443" s="141" t="n"/>
      <c r="F443" s="141" t="n"/>
      <c r="G443" s="143" t="n"/>
      <c r="H443" s="27" t="n"/>
    </row>
    <row r="444" ht="17.25" customHeight="1" s="322">
      <c r="A444" s="27" t="n"/>
      <c r="B444" s="506" t="n"/>
      <c r="C444" s="141" t="n"/>
      <c r="D444" s="141" t="n"/>
      <c r="E444" s="141" t="n"/>
      <c r="F444" s="141" t="n"/>
      <c r="G444" s="143" t="n"/>
      <c r="H444" s="27" t="n"/>
    </row>
    <row r="445" ht="17.25" customHeight="1" s="322">
      <c r="A445" s="27" t="n"/>
      <c r="B445" s="506" t="n"/>
      <c r="C445" s="141" t="n"/>
      <c r="D445" s="141" t="n"/>
      <c r="E445" s="141" t="n"/>
      <c r="F445" s="141" t="n"/>
      <c r="G445" s="143" t="n"/>
      <c r="H445" s="27" t="n"/>
    </row>
    <row r="446" ht="17.25" customHeight="1" s="322">
      <c r="A446" s="27" t="n"/>
      <c r="B446" s="506" t="n"/>
      <c r="C446" s="141" t="n"/>
      <c r="D446" s="141" t="n"/>
      <c r="E446" s="141" t="n"/>
      <c r="F446" s="141" t="n"/>
      <c r="G446" s="143" t="n"/>
      <c r="H446" s="27" t="n"/>
    </row>
    <row r="447" ht="17.25" customHeight="1" s="322">
      <c r="A447" s="27" t="n"/>
      <c r="B447" s="506" t="n"/>
      <c r="C447" s="141" t="n"/>
      <c r="D447" s="141" t="n"/>
      <c r="E447" s="141" t="n"/>
      <c r="F447" s="141" t="n"/>
      <c r="G447" s="143" t="n"/>
      <c r="H447" s="27" t="n"/>
    </row>
    <row r="448" ht="17.25" customHeight="1" s="322">
      <c r="A448" s="27" t="n"/>
      <c r="B448" s="506" t="n"/>
      <c r="C448" s="141" t="n"/>
      <c r="D448" s="141" t="n"/>
      <c r="E448" s="141" t="n"/>
      <c r="F448" s="141" t="n"/>
      <c r="G448" s="143" t="n"/>
      <c r="H448" s="27" t="n"/>
    </row>
    <row r="449" ht="17.25" customHeight="1" s="322">
      <c r="A449" s="27" t="n"/>
      <c r="B449" s="506" t="n"/>
      <c r="C449" s="141" t="n"/>
      <c r="D449" s="141" t="n"/>
      <c r="E449" s="141" t="n"/>
      <c r="F449" s="141" t="n"/>
      <c r="G449" s="143" t="n"/>
      <c r="H449" s="27" t="n"/>
    </row>
    <row r="450" ht="17.25" customHeight="1" s="322">
      <c r="A450" s="27" t="n"/>
      <c r="B450" s="506" t="n"/>
      <c r="C450" s="141" t="n"/>
      <c r="D450" s="141" t="n"/>
      <c r="E450" s="141" t="n"/>
      <c r="F450" s="141" t="n"/>
      <c r="G450" s="143" t="n"/>
      <c r="H450" s="27" t="n"/>
    </row>
    <row r="451" ht="17.25" customHeight="1" s="322">
      <c r="A451" s="27" t="n"/>
      <c r="B451" s="506" t="n"/>
      <c r="C451" s="141" t="n"/>
      <c r="D451" s="141" t="n"/>
      <c r="E451" s="141" t="n"/>
      <c r="F451" s="141" t="n"/>
      <c r="G451" s="143" t="n"/>
      <c r="H451" s="27" t="n"/>
    </row>
    <row r="452" ht="17.25" customHeight="1" s="322">
      <c r="A452" s="27" t="n"/>
      <c r="B452" s="506" t="n"/>
      <c r="C452" s="141" t="n"/>
      <c r="D452" s="141" t="n"/>
      <c r="E452" s="141" t="n"/>
      <c r="F452" s="141" t="n"/>
      <c r="G452" s="143" t="n"/>
      <c r="H452" s="27" t="n"/>
    </row>
    <row r="453" ht="17.25" customHeight="1" s="322">
      <c r="A453" s="27" t="n"/>
      <c r="B453" s="506" t="n"/>
      <c r="C453" s="141" t="n"/>
      <c r="D453" s="141" t="n"/>
      <c r="E453" s="141" t="n"/>
      <c r="F453" s="141" t="n"/>
      <c r="G453" s="143" t="n"/>
      <c r="H453" s="27" t="n"/>
    </row>
    <row r="454" ht="17.25" customHeight="1" s="322">
      <c r="A454" s="27" t="n"/>
      <c r="B454" s="506" t="n"/>
      <c r="C454" s="141" t="n"/>
      <c r="D454" s="141" t="n"/>
      <c r="E454" s="141" t="n"/>
      <c r="F454" s="141" t="n"/>
      <c r="G454" s="143" t="n"/>
      <c r="H454" s="27" t="n"/>
    </row>
    <row r="455" ht="17.25" customHeight="1" s="322">
      <c r="A455" s="27" t="n"/>
      <c r="B455" s="506" t="n"/>
      <c r="C455" s="141" t="n"/>
      <c r="D455" s="141" t="n"/>
      <c r="E455" s="141" t="n"/>
      <c r="F455" s="141" t="n"/>
      <c r="G455" s="143" t="n"/>
      <c r="H455" s="27" t="n"/>
    </row>
    <row r="456" ht="17.25" customHeight="1" s="322">
      <c r="A456" s="27" t="n"/>
      <c r="B456" s="506" t="n"/>
      <c r="C456" s="141" t="n"/>
      <c r="D456" s="141" t="n"/>
      <c r="E456" s="141" t="n"/>
      <c r="F456" s="141" t="n"/>
      <c r="G456" s="143" t="n"/>
      <c r="H456" s="27" t="n"/>
    </row>
    <row r="457" ht="17.25" customHeight="1" s="322">
      <c r="A457" s="27" t="n"/>
      <c r="B457" s="506" t="n"/>
      <c r="C457" s="141" t="n"/>
      <c r="D457" s="141" t="n"/>
      <c r="E457" s="141" t="n"/>
      <c r="F457" s="141" t="n"/>
      <c r="G457" s="143" t="n"/>
      <c r="H457" s="27" t="n"/>
    </row>
    <row r="458" ht="17.25" customHeight="1" s="322">
      <c r="A458" s="27" t="n"/>
      <c r="B458" s="506" t="n"/>
      <c r="C458" s="141" t="n"/>
      <c r="D458" s="141" t="n"/>
      <c r="E458" s="141" t="n"/>
      <c r="F458" s="141" t="n"/>
      <c r="G458" s="143" t="n"/>
      <c r="H458" s="27" t="n"/>
    </row>
    <row r="459" ht="17.25" customHeight="1" s="322">
      <c r="A459" s="27" t="n"/>
      <c r="B459" s="506" t="n"/>
      <c r="C459" s="141" t="n"/>
      <c r="D459" s="141" t="n"/>
      <c r="E459" s="141" t="n"/>
      <c r="F459" s="141" t="n"/>
      <c r="G459" s="143" t="n"/>
      <c r="H459" s="27" t="n"/>
    </row>
    <row r="460" ht="17.25" customHeight="1" s="322">
      <c r="A460" s="27" t="n"/>
      <c r="B460" s="506" t="n"/>
      <c r="C460" s="141" t="n"/>
      <c r="D460" s="141" t="n"/>
      <c r="E460" s="141" t="n"/>
      <c r="F460" s="141" t="n"/>
      <c r="G460" s="143" t="n"/>
      <c r="H460" s="27" t="n"/>
    </row>
    <row r="461" ht="17.25" customHeight="1" s="322">
      <c r="A461" s="27" t="n"/>
      <c r="B461" s="506" t="n"/>
      <c r="C461" s="141" t="n"/>
      <c r="D461" s="141" t="n"/>
      <c r="E461" s="141" t="n"/>
      <c r="F461" s="141" t="n"/>
      <c r="G461" s="143" t="n"/>
      <c r="H461" s="27" t="n"/>
    </row>
    <row r="462" ht="17.25" customHeight="1" s="322">
      <c r="A462" s="27" t="n"/>
      <c r="B462" s="506" t="n"/>
      <c r="C462" s="141" t="n"/>
      <c r="D462" s="141" t="n"/>
      <c r="E462" s="141" t="n"/>
      <c r="F462" s="141" t="n"/>
      <c r="G462" s="143" t="n"/>
      <c r="H462" s="27" t="n"/>
    </row>
    <row r="463" ht="17.25" customHeight="1" s="322">
      <c r="A463" s="27" t="n"/>
      <c r="B463" s="506" t="n"/>
      <c r="C463" s="141" t="n"/>
      <c r="D463" s="141" t="n"/>
      <c r="E463" s="141" t="n"/>
      <c r="F463" s="141" t="n"/>
      <c r="G463" s="143" t="n"/>
      <c r="H463" s="27" t="n"/>
    </row>
    <row r="464" ht="17.25" customHeight="1" s="322">
      <c r="A464" s="27" t="n"/>
      <c r="B464" s="506" t="n"/>
      <c r="C464" s="141" t="n"/>
      <c r="D464" s="141" t="n"/>
      <c r="E464" s="141" t="n"/>
      <c r="F464" s="141" t="n"/>
      <c r="G464" s="143" t="n"/>
      <c r="H464" s="27" t="n"/>
    </row>
    <row r="465" ht="17.25" customHeight="1" s="322">
      <c r="A465" s="27" t="n"/>
      <c r="B465" s="506" t="n"/>
      <c r="C465" s="141" t="n"/>
      <c r="D465" s="141" t="n"/>
      <c r="E465" s="141" t="n"/>
      <c r="F465" s="141" t="n"/>
      <c r="G465" s="143" t="n"/>
      <c r="H465" s="27" t="n"/>
    </row>
    <row r="466" ht="17.25" customHeight="1" s="322">
      <c r="A466" s="27" t="n"/>
      <c r="B466" s="506" t="n"/>
      <c r="C466" s="141" t="n"/>
      <c r="D466" s="141" t="n"/>
      <c r="E466" s="141" t="n"/>
      <c r="F466" s="141" t="n"/>
      <c r="G466" s="143" t="n"/>
      <c r="H466" s="27" t="n"/>
    </row>
    <row r="467" ht="17.25" customHeight="1" s="322">
      <c r="A467" s="27" t="n"/>
      <c r="B467" s="506" t="n"/>
      <c r="C467" s="141" t="n"/>
      <c r="D467" s="141" t="n"/>
      <c r="E467" s="141" t="n"/>
      <c r="F467" s="141" t="n"/>
      <c r="G467" s="143" t="n"/>
      <c r="H467" s="27" t="n"/>
    </row>
    <row r="468" ht="17.25" customHeight="1" s="322">
      <c r="A468" s="27" t="n"/>
      <c r="B468" s="506" t="n"/>
      <c r="C468" s="141" t="n"/>
      <c r="D468" s="141" t="n"/>
      <c r="E468" s="141" t="n"/>
      <c r="F468" s="141" t="n"/>
      <c r="G468" s="143" t="n"/>
      <c r="H468" s="27" t="n"/>
    </row>
    <row r="469" ht="17.25" customHeight="1" s="322">
      <c r="A469" s="27" t="n"/>
      <c r="B469" s="506" t="n"/>
      <c r="C469" s="141" t="n"/>
      <c r="D469" s="141" t="n"/>
      <c r="E469" s="141" t="n"/>
      <c r="F469" s="141" t="n"/>
      <c r="G469" s="143" t="n"/>
      <c r="H469" s="27" t="n"/>
    </row>
    <row r="470" ht="17.25" customHeight="1" s="322">
      <c r="A470" s="27" t="n"/>
      <c r="B470" s="506" t="n"/>
      <c r="C470" s="141" t="n"/>
      <c r="D470" s="141" t="n"/>
      <c r="E470" s="141" t="n"/>
      <c r="F470" s="141" t="n"/>
      <c r="G470" s="143" t="n"/>
      <c r="H470" s="27" t="n"/>
    </row>
    <row r="471" ht="17.25" customHeight="1" s="322">
      <c r="A471" s="27" t="n"/>
      <c r="B471" s="506" t="n"/>
      <c r="C471" s="141" t="n"/>
      <c r="D471" s="141" t="n"/>
      <c r="E471" s="141" t="n"/>
      <c r="F471" s="141" t="n"/>
      <c r="G471" s="143" t="n"/>
      <c r="H471" s="27" t="n"/>
    </row>
    <row r="472" ht="17.25" customHeight="1" s="322">
      <c r="A472" s="27" t="n"/>
      <c r="B472" s="506" t="n"/>
      <c r="C472" s="141" t="n"/>
      <c r="D472" s="141" t="n"/>
      <c r="E472" s="141" t="n"/>
      <c r="F472" s="141" t="n"/>
      <c r="G472" s="143" t="n"/>
      <c r="H472" s="27" t="n"/>
    </row>
    <row r="473" ht="17.25" customHeight="1" s="322">
      <c r="A473" s="27" t="n"/>
      <c r="B473" s="506" t="n"/>
      <c r="C473" s="141" t="n"/>
      <c r="D473" s="141" t="n"/>
      <c r="E473" s="141" t="n"/>
      <c r="F473" s="141" t="n"/>
      <c r="G473" s="143" t="n"/>
      <c r="H473" s="27" t="n"/>
    </row>
    <row r="474" ht="17.25" customHeight="1" s="322">
      <c r="A474" s="27" t="n"/>
      <c r="B474" s="506" t="n"/>
      <c r="C474" s="141" t="n"/>
      <c r="D474" s="141" t="n"/>
      <c r="E474" s="141" t="n"/>
      <c r="F474" s="141" t="n"/>
      <c r="G474" s="143" t="n"/>
      <c r="H474" s="27" t="n"/>
    </row>
    <row r="475" ht="17.25" customHeight="1" s="322">
      <c r="A475" s="27" t="n"/>
      <c r="B475" s="506" t="n"/>
      <c r="C475" s="141" t="n"/>
      <c r="D475" s="141" t="n"/>
      <c r="E475" s="141" t="n"/>
      <c r="F475" s="141" t="n"/>
      <c r="G475" s="143" t="n"/>
      <c r="H475" s="27" t="n"/>
    </row>
    <row r="476" ht="17.25" customHeight="1" s="322">
      <c r="A476" s="27" t="n"/>
      <c r="B476" s="506" t="n"/>
      <c r="C476" s="141" t="n"/>
      <c r="D476" s="141" t="n"/>
      <c r="E476" s="141" t="n"/>
      <c r="F476" s="141" t="n"/>
      <c r="G476" s="143" t="n"/>
      <c r="H476" s="27" t="n"/>
    </row>
    <row r="477" ht="17.25" customHeight="1" s="322">
      <c r="A477" s="27" t="n"/>
      <c r="B477" s="506" t="n"/>
      <c r="C477" s="141" t="n"/>
      <c r="D477" s="141" t="n"/>
      <c r="E477" s="141" t="n"/>
      <c r="F477" s="141" t="n"/>
      <c r="G477" s="143" t="n"/>
      <c r="H477" s="27" t="n"/>
    </row>
    <row r="478" ht="17.25" customHeight="1" s="322">
      <c r="A478" s="27" t="n"/>
      <c r="B478" s="506" t="n"/>
      <c r="C478" s="141" t="n"/>
      <c r="D478" s="141" t="n"/>
      <c r="E478" s="141" t="n"/>
      <c r="F478" s="141" t="n"/>
      <c r="G478" s="143" t="n"/>
      <c r="H478" s="27" t="n"/>
    </row>
    <row r="479" ht="17.25" customHeight="1" s="322">
      <c r="A479" s="27" t="n"/>
      <c r="B479" s="506" t="n"/>
      <c r="C479" s="141" t="n"/>
      <c r="D479" s="141" t="n"/>
      <c r="E479" s="141" t="n"/>
      <c r="F479" s="141" t="n"/>
      <c r="G479" s="143" t="n"/>
      <c r="H479" s="27" t="n"/>
    </row>
    <row r="480" ht="17.25" customHeight="1" s="322">
      <c r="A480" s="27" t="n"/>
      <c r="B480" s="506" t="n"/>
      <c r="C480" s="141" t="n"/>
      <c r="D480" s="141" t="n"/>
      <c r="E480" s="141" t="n"/>
      <c r="F480" s="141" t="n"/>
      <c r="G480" s="143" t="n"/>
      <c r="H480" s="27" t="n"/>
    </row>
    <row r="481" ht="17.25" customHeight="1" s="322">
      <c r="A481" s="27" t="n"/>
      <c r="B481" s="506" t="n"/>
      <c r="C481" s="141" t="n"/>
      <c r="D481" s="141" t="n"/>
      <c r="E481" s="141" t="n"/>
      <c r="F481" s="141" t="n"/>
      <c r="G481" s="143" t="n"/>
      <c r="H481" s="27" t="n"/>
    </row>
    <row r="482" ht="17.25" customHeight="1" s="322">
      <c r="A482" s="27" t="n"/>
      <c r="B482" s="506" t="n"/>
      <c r="C482" s="141" t="n"/>
      <c r="D482" s="141" t="n"/>
      <c r="E482" s="141" t="n"/>
      <c r="F482" s="141" t="n"/>
      <c r="G482" s="143" t="n"/>
      <c r="H482" s="27" t="n"/>
    </row>
    <row r="483" ht="17.25" customHeight="1" s="322">
      <c r="A483" s="27" t="n"/>
      <c r="B483" s="506" t="n"/>
      <c r="C483" s="141" t="n"/>
      <c r="D483" s="141" t="n"/>
      <c r="E483" s="141" t="n"/>
      <c r="F483" s="141" t="n"/>
      <c r="G483" s="143" t="n"/>
      <c r="H483" s="27" t="n"/>
    </row>
    <row r="484" ht="17.25" customHeight="1" s="322">
      <c r="A484" s="27" t="n"/>
      <c r="B484" s="506" t="n"/>
      <c r="C484" s="141" t="n"/>
      <c r="D484" s="141" t="n"/>
      <c r="E484" s="141" t="n"/>
      <c r="F484" s="141" t="n"/>
      <c r="G484" s="143" t="n"/>
      <c r="H484" s="27" t="n"/>
    </row>
    <row r="485" ht="17.25" customHeight="1" s="322">
      <c r="A485" s="27" t="n"/>
      <c r="B485" s="506" t="n"/>
      <c r="C485" s="141" t="n"/>
      <c r="D485" s="141" t="n"/>
      <c r="E485" s="141" t="n"/>
      <c r="F485" s="141" t="n"/>
      <c r="G485" s="143" t="n"/>
      <c r="H485" s="27" t="n"/>
    </row>
    <row r="486" ht="17.25" customHeight="1" s="322">
      <c r="A486" s="27" t="n"/>
      <c r="B486" s="506" t="n"/>
      <c r="C486" s="141" t="n"/>
      <c r="D486" s="141" t="n"/>
      <c r="E486" s="141" t="n"/>
      <c r="F486" s="141" t="n"/>
      <c r="G486" s="143" t="n"/>
      <c r="H486" s="27" t="n"/>
    </row>
    <row r="487" ht="17.25" customHeight="1" s="322">
      <c r="A487" s="27" t="n"/>
      <c r="B487" s="506" t="n"/>
      <c r="C487" s="141" t="n"/>
      <c r="D487" s="141" t="n"/>
      <c r="E487" s="141" t="n"/>
      <c r="F487" s="141" t="n"/>
      <c r="G487" s="143" t="n"/>
      <c r="H487" s="27" t="n"/>
    </row>
    <row r="488" ht="17.25" customHeight="1" s="322">
      <c r="A488" s="27" t="n"/>
      <c r="B488" s="506" t="n"/>
      <c r="C488" s="141" t="n"/>
      <c r="D488" s="141" t="n"/>
      <c r="E488" s="141" t="n"/>
      <c r="F488" s="141" t="n"/>
      <c r="G488" s="143" t="n"/>
      <c r="H488" s="27" t="n"/>
    </row>
    <row r="489" ht="17.25" customHeight="1" s="322">
      <c r="A489" s="27" t="n"/>
      <c r="B489" s="506" t="n"/>
      <c r="C489" s="141" t="n"/>
      <c r="D489" s="141" t="n"/>
      <c r="E489" s="141" t="n"/>
      <c r="F489" s="141" t="n"/>
      <c r="G489" s="143" t="n"/>
      <c r="H489" s="27" t="n"/>
    </row>
    <row r="490" ht="17.25" customHeight="1" s="322">
      <c r="A490" s="27" t="n"/>
      <c r="B490" s="506" t="n"/>
      <c r="C490" s="141" t="n"/>
      <c r="D490" s="141" t="n"/>
      <c r="E490" s="141" t="n"/>
      <c r="F490" s="141" t="n"/>
      <c r="G490" s="143" t="n"/>
      <c r="H490" s="27" t="n"/>
    </row>
    <row r="491" ht="17.25" customHeight="1" s="322">
      <c r="A491" s="27" t="n"/>
      <c r="B491" s="506" t="n"/>
      <c r="C491" s="141" t="n"/>
      <c r="D491" s="141" t="n"/>
      <c r="E491" s="141" t="n"/>
      <c r="F491" s="141" t="n"/>
      <c r="G491" s="143" t="n"/>
      <c r="H491" s="27" t="n"/>
    </row>
    <row r="492" ht="17.25" customHeight="1" s="322">
      <c r="A492" s="27" t="n"/>
      <c r="B492" s="506" t="n"/>
      <c r="C492" s="141" t="n"/>
      <c r="D492" s="141" t="n"/>
      <c r="E492" s="141" t="n"/>
      <c r="F492" s="141" t="n"/>
      <c r="G492" s="143" t="n"/>
      <c r="H492" s="27" t="n"/>
    </row>
    <row r="493" ht="17.25" customHeight="1" s="322">
      <c r="A493" s="27" t="n"/>
      <c r="B493" s="506" t="n"/>
      <c r="C493" s="141" t="n"/>
      <c r="D493" s="141" t="n"/>
      <c r="E493" s="141" t="n"/>
      <c r="F493" s="141" t="n"/>
      <c r="G493" s="143" t="n"/>
      <c r="H493" s="27" t="n"/>
    </row>
    <row r="494" ht="17.25" customHeight="1" s="322">
      <c r="A494" s="27" t="n"/>
      <c r="B494" s="506" t="n"/>
      <c r="C494" s="141" t="n"/>
      <c r="D494" s="141" t="n"/>
      <c r="E494" s="141" t="n"/>
      <c r="F494" s="141" t="n"/>
      <c r="G494" s="143" t="n"/>
      <c r="H494" s="27" t="n"/>
    </row>
    <row r="495" ht="17.25" customHeight="1" s="322">
      <c r="A495" s="27" t="n"/>
      <c r="B495" s="506" t="n"/>
      <c r="C495" s="141" t="n"/>
      <c r="D495" s="141" t="n"/>
      <c r="E495" s="141" t="n"/>
      <c r="F495" s="141" t="n"/>
      <c r="G495" s="143" t="n"/>
      <c r="H495" s="27" t="n"/>
    </row>
    <row r="496" ht="17.25" customHeight="1" s="322">
      <c r="A496" s="27" t="n"/>
      <c r="B496" s="506" t="n"/>
      <c r="C496" s="141" t="n"/>
      <c r="D496" s="141" t="n"/>
      <c r="E496" s="141" t="n"/>
      <c r="F496" s="141" t="n"/>
      <c r="G496" s="143" t="n"/>
      <c r="H496" s="27" t="n"/>
    </row>
    <row r="497" ht="17.25" customHeight="1" s="322">
      <c r="A497" s="27" t="n"/>
      <c r="B497" s="506" t="n"/>
      <c r="C497" s="141" t="n"/>
      <c r="D497" s="141" t="n"/>
      <c r="E497" s="141" t="n"/>
      <c r="F497" s="141" t="n"/>
      <c r="G497" s="143" t="n"/>
      <c r="H497" s="27" t="n"/>
    </row>
    <row r="498" ht="17.25" customHeight="1" s="322">
      <c r="A498" s="27" t="n"/>
      <c r="B498" s="506" t="n"/>
      <c r="C498" s="141" t="n"/>
      <c r="D498" s="141" t="n"/>
      <c r="E498" s="141" t="n"/>
      <c r="F498" s="141" t="n"/>
      <c r="G498" s="143" t="n"/>
      <c r="H498" s="27" t="n"/>
    </row>
    <row r="499" ht="17.25" customHeight="1" s="322">
      <c r="A499" s="27" t="n"/>
      <c r="B499" s="506" t="n"/>
      <c r="C499" s="141" t="n"/>
      <c r="D499" s="141" t="n"/>
      <c r="E499" s="141" t="n"/>
      <c r="F499" s="141" t="n"/>
      <c r="G499" s="143" t="n"/>
      <c r="H499" s="27" t="n"/>
    </row>
    <row r="500" ht="17.25" customHeight="1" s="322">
      <c r="A500" s="27" t="n"/>
      <c r="B500" s="506" t="n"/>
      <c r="C500" s="141" t="n"/>
      <c r="D500" s="141" t="n"/>
      <c r="E500" s="141" t="n"/>
      <c r="F500" s="141" t="n"/>
      <c r="G500" s="143" t="n"/>
      <c r="H500" s="27" t="n"/>
    </row>
    <row r="501" ht="17.25" customHeight="1" s="322">
      <c r="A501" s="27" t="n"/>
      <c r="B501" s="506" t="n"/>
      <c r="C501" s="141" t="n"/>
      <c r="D501" s="141" t="n"/>
      <c r="E501" s="141" t="n"/>
      <c r="F501" s="141" t="n"/>
      <c r="G501" s="143" t="n"/>
      <c r="H501" s="27" t="n"/>
    </row>
    <row r="502" ht="17.25" customHeight="1" s="322">
      <c r="A502" s="27" t="n"/>
      <c r="B502" s="506" t="n"/>
      <c r="C502" s="141" t="n"/>
      <c r="D502" s="141" t="n"/>
      <c r="E502" s="141" t="n"/>
      <c r="F502" s="141" t="n"/>
      <c r="G502" s="143" t="n"/>
      <c r="H502" s="27" t="n"/>
    </row>
    <row r="503" ht="17.25" customHeight="1" s="322">
      <c r="A503" s="27" t="n"/>
      <c r="B503" s="506" t="n"/>
      <c r="C503" s="141" t="n"/>
      <c r="D503" s="141" t="n"/>
      <c r="E503" s="141" t="n"/>
      <c r="F503" s="141" t="n"/>
      <c r="G503" s="143" t="n"/>
      <c r="H503" s="27" t="n"/>
    </row>
    <row r="504" ht="17.25" customHeight="1" s="322">
      <c r="A504" s="27" t="n"/>
      <c r="B504" s="506" t="n"/>
      <c r="C504" s="141" t="n"/>
      <c r="D504" s="141" t="n"/>
      <c r="E504" s="141" t="n"/>
      <c r="F504" s="141" t="n"/>
      <c r="G504" s="143" t="n"/>
      <c r="H504" s="27" t="n"/>
    </row>
    <row r="505" ht="17.25" customHeight="1" s="322">
      <c r="A505" s="27" t="n"/>
      <c r="B505" s="506" t="n"/>
      <c r="C505" s="141" t="n"/>
      <c r="D505" s="141" t="n"/>
      <c r="E505" s="141" t="n"/>
      <c r="F505" s="141" t="n"/>
      <c r="G505" s="143" t="n"/>
      <c r="H505" s="27" t="n"/>
    </row>
    <row r="506" ht="17.25" customHeight="1" s="322">
      <c r="A506" s="27" t="n"/>
      <c r="B506" s="506" t="n"/>
      <c r="C506" s="141" t="n"/>
      <c r="D506" s="141" t="n"/>
      <c r="E506" s="141" t="n"/>
      <c r="F506" s="141" t="n"/>
      <c r="G506" s="143" t="n"/>
      <c r="H506" s="27" t="n"/>
    </row>
    <row r="507" ht="17.25" customHeight="1" s="322">
      <c r="A507" s="27" t="n"/>
      <c r="B507" s="506" t="n"/>
      <c r="C507" s="141" t="n"/>
      <c r="D507" s="141" t="n"/>
      <c r="E507" s="141" t="n"/>
      <c r="F507" s="141" t="n"/>
      <c r="G507" s="143" t="n"/>
      <c r="H507" s="27" t="n"/>
    </row>
    <row r="508" ht="17.25" customHeight="1" s="322">
      <c r="A508" s="27" t="n"/>
      <c r="B508" s="506" t="n"/>
      <c r="C508" s="141" t="n"/>
      <c r="D508" s="141" t="n"/>
      <c r="E508" s="141" t="n"/>
      <c r="F508" s="141" t="n"/>
      <c r="G508" s="143" t="n"/>
      <c r="H508" s="27" t="n"/>
    </row>
    <row r="509" ht="17.25" customHeight="1" s="322">
      <c r="A509" s="27" t="n"/>
      <c r="B509" s="506" t="n"/>
      <c r="C509" s="141" t="n"/>
      <c r="D509" s="141" t="n"/>
      <c r="E509" s="141" t="n"/>
      <c r="F509" s="141" t="n"/>
      <c r="G509" s="143" t="n"/>
      <c r="H509" s="27" t="n"/>
    </row>
    <row r="510" ht="17.25" customHeight="1" s="322">
      <c r="A510" s="27" t="n"/>
      <c r="B510" s="506" t="n"/>
      <c r="C510" s="141" t="n"/>
      <c r="D510" s="141" t="n"/>
      <c r="E510" s="141" t="n"/>
      <c r="F510" s="141" t="n"/>
      <c r="G510" s="143" t="n"/>
      <c r="H510" s="27" t="n"/>
    </row>
    <row r="511" ht="17.25" customHeight="1" s="322">
      <c r="A511" s="27" t="n"/>
      <c r="B511" s="506" t="n"/>
      <c r="C511" s="141" t="n"/>
      <c r="D511" s="141" t="n"/>
      <c r="E511" s="141" t="n"/>
      <c r="F511" s="141" t="n"/>
      <c r="G511" s="143" t="n"/>
      <c r="H511" s="27" t="n"/>
    </row>
    <row r="512" ht="17.25" customHeight="1" s="322">
      <c r="A512" s="27" t="n"/>
      <c r="B512" s="506" t="n"/>
      <c r="C512" s="141" t="n"/>
      <c r="D512" s="141" t="n"/>
      <c r="E512" s="141" t="n"/>
      <c r="F512" s="141" t="n"/>
      <c r="G512" s="143" t="n"/>
      <c r="H512" s="27" t="n"/>
    </row>
    <row r="513" ht="17.25" customHeight="1" s="322">
      <c r="A513" s="27" t="n"/>
      <c r="B513" s="506" t="n"/>
      <c r="C513" s="141" t="n"/>
      <c r="D513" s="141" t="n"/>
      <c r="E513" s="141" t="n"/>
      <c r="F513" s="141" t="n"/>
      <c r="G513" s="143" t="n"/>
      <c r="H513" s="27" t="n"/>
    </row>
    <row r="514" ht="17.25" customHeight="1" s="322">
      <c r="A514" s="27" t="n"/>
      <c r="B514" s="506" t="n"/>
      <c r="C514" s="141" t="n"/>
      <c r="D514" s="141" t="n"/>
      <c r="E514" s="141" t="n"/>
      <c r="F514" s="141" t="n"/>
      <c r="G514" s="143" t="n"/>
      <c r="H514" s="27" t="n"/>
    </row>
    <row r="515" ht="17.25" customHeight="1" s="322">
      <c r="A515" s="27" t="n"/>
      <c r="B515" s="506" t="n"/>
      <c r="C515" s="141" t="n"/>
      <c r="D515" s="141" t="n"/>
      <c r="E515" s="141" t="n"/>
      <c r="F515" s="141" t="n"/>
      <c r="G515" s="143" t="n"/>
      <c r="H515" s="27" t="n"/>
    </row>
    <row r="516" ht="17.25" customHeight="1" s="322">
      <c r="A516" s="27" t="n"/>
      <c r="B516" s="506" t="n"/>
      <c r="C516" s="141" t="n"/>
      <c r="D516" s="141" t="n"/>
      <c r="E516" s="141" t="n"/>
      <c r="F516" s="141" t="n"/>
      <c r="G516" s="143" t="n"/>
      <c r="H516" s="27" t="n"/>
    </row>
    <row r="517" ht="17.25" customHeight="1" s="322">
      <c r="A517" s="27" t="n"/>
      <c r="B517" s="506" t="n"/>
      <c r="C517" s="141" t="n"/>
      <c r="D517" s="141" t="n"/>
      <c r="E517" s="141" t="n"/>
      <c r="F517" s="141" t="n"/>
      <c r="G517" s="143" t="n"/>
      <c r="H517" s="27" t="n"/>
    </row>
    <row r="518" ht="17.25" customHeight="1" s="322">
      <c r="A518" s="27" t="n"/>
      <c r="B518" s="506" t="n"/>
      <c r="C518" s="141" t="n"/>
      <c r="D518" s="141" t="n"/>
      <c r="E518" s="141" t="n"/>
      <c r="F518" s="141" t="n"/>
      <c r="G518" s="143" t="n"/>
      <c r="H518" s="27" t="n"/>
    </row>
    <row r="519" ht="17.25" customHeight="1" s="322">
      <c r="A519" s="27" t="n"/>
      <c r="B519" s="506" t="n"/>
      <c r="C519" s="141" t="n"/>
      <c r="D519" s="141" t="n"/>
      <c r="E519" s="141" t="n"/>
      <c r="F519" s="141" t="n"/>
      <c r="G519" s="143" t="n"/>
      <c r="H519" s="27" t="n"/>
    </row>
    <row r="520" ht="17.25" customHeight="1" s="322">
      <c r="A520" s="27" t="n"/>
      <c r="B520" s="506" t="n"/>
      <c r="C520" s="141" t="n"/>
      <c r="D520" s="141" t="n"/>
      <c r="E520" s="141" t="n"/>
      <c r="F520" s="141" t="n"/>
      <c r="G520" s="143" t="n"/>
      <c r="H520" s="27" t="n"/>
    </row>
    <row r="521" ht="17.25" customHeight="1" s="322">
      <c r="A521" s="27" t="n"/>
      <c r="B521" s="506" t="n"/>
      <c r="C521" s="141" t="n"/>
      <c r="D521" s="141" t="n"/>
      <c r="E521" s="141" t="n"/>
      <c r="F521" s="141" t="n"/>
      <c r="G521" s="143" t="n"/>
      <c r="H521" s="27" t="n"/>
    </row>
    <row r="522" ht="17.25" customHeight="1" s="322">
      <c r="A522" s="27" t="n"/>
      <c r="B522" s="506" t="n"/>
      <c r="C522" s="141" t="n"/>
      <c r="D522" s="141" t="n"/>
      <c r="E522" s="141" t="n"/>
      <c r="F522" s="141" t="n"/>
      <c r="G522" s="143" t="n"/>
      <c r="H522" s="27" t="n"/>
    </row>
    <row r="523" ht="17.25" customHeight="1" s="322">
      <c r="A523" s="27" t="n"/>
      <c r="B523" s="506" t="n"/>
      <c r="C523" s="141" t="n"/>
      <c r="D523" s="141" t="n"/>
      <c r="E523" s="141" t="n"/>
      <c r="F523" s="141" t="n"/>
      <c r="G523" s="143" t="n"/>
      <c r="H523" s="27" t="n"/>
    </row>
    <row r="524" ht="17.25" customHeight="1" s="322">
      <c r="A524" s="27" t="n"/>
      <c r="B524" s="506" t="n"/>
      <c r="C524" s="141" t="n"/>
      <c r="D524" s="141" t="n"/>
      <c r="E524" s="141" t="n"/>
      <c r="F524" s="141" t="n"/>
      <c r="G524" s="143" t="n"/>
      <c r="H524" s="27" t="n"/>
    </row>
    <row r="525" ht="17.25" customHeight="1" s="322">
      <c r="A525" s="27" t="n"/>
      <c r="B525" s="506" t="n"/>
      <c r="C525" s="141" t="n"/>
      <c r="D525" s="141" t="n"/>
      <c r="E525" s="141" t="n"/>
      <c r="F525" s="141" t="n"/>
      <c r="G525" s="143" t="n"/>
      <c r="H525" s="27" t="n"/>
    </row>
    <row r="526" ht="17.25" customHeight="1" s="322">
      <c r="A526" s="27" t="n"/>
      <c r="B526" s="506" t="n"/>
      <c r="C526" s="141" t="n"/>
      <c r="D526" s="141" t="n"/>
      <c r="E526" s="141" t="n"/>
      <c r="F526" s="141" t="n"/>
      <c r="G526" s="143" t="n"/>
      <c r="H526" s="27" t="n"/>
    </row>
    <row r="527" ht="17.25" customHeight="1" s="322">
      <c r="A527" s="27" t="n"/>
      <c r="B527" s="506" t="n"/>
      <c r="C527" s="141" t="n"/>
      <c r="D527" s="141" t="n"/>
      <c r="E527" s="141" t="n"/>
      <c r="F527" s="141" t="n"/>
      <c r="G527" s="143" t="n"/>
      <c r="H527" s="27" t="n"/>
    </row>
    <row r="528" ht="17.25" customHeight="1" s="322">
      <c r="A528" s="27" t="n"/>
      <c r="B528" s="506" t="n"/>
      <c r="C528" s="141" t="n"/>
      <c r="D528" s="141" t="n"/>
      <c r="E528" s="141" t="n"/>
      <c r="F528" s="141" t="n"/>
      <c r="G528" s="143" t="n"/>
      <c r="H528" s="27" t="n"/>
    </row>
    <row r="529" ht="17.25" customHeight="1" s="322">
      <c r="A529" s="27" t="n"/>
      <c r="B529" s="506" t="n"/>
      <c r="C529" s="141" t="n"/>
      <c r="D529" s="141" t="n"/>
      <c r="E529" s="141" t="n"/>
      <c r="F529" s="141" t="n"/>
      <c r="G529" s="143" t="n"/>
      <c r="H529" s="27" t="n"/>
    </row>
    <row r="530" ht="17.25" customHeight="1" s="322">
      <c r="A530" s="27" t="n"/>
      <c r="B530" s="506" t="n"/>
      <c r="C530" s="141" t="n"/>
      <c r="D530" s="141" t="n"/>
      <c r="E530" s="141" t="n"/>
      <c r="F530" s="141" t="n"/>
      <c r="G530" s="143" t="n"/>
      <c r="H530" s="27" t="n"/>
    </row>
    <row r="531" ht="17.25" customHeight="1" s="322">
      <c r="A531" s="27" t="n"/>
      <c r="B531" s="506" t="n"/>
      <c r="C531" s="141" t="n"/>
      <c r="D531" s="141" t="n"/>
      <c r="E531" s="141" t="n"/>
      <c r="F531" s="141" t="n"/>
      <c r="G531" s="143" t="n"/>
      <c r="H531" s="27" t="n"/>
    </row>
    <row r="532" ht="17.25" customHeight="1" s="322">
      <c r="A532" s="27" t="n"/>
      <c r="B532" s="506" t="n"/>
      <c r="C532" s="141" t="n"/>
      <c r="D532" s="141" t="n"/>
      <c r="E532" s="141" t="n"/>
      <c r="F532" s="141" t="n"/>
      <c r="G532" s="143" t="n"/>
      <c r="H532" s="27" t="n"/>
    </row>
    <row r="533" ht="17.25" customHeight="1" s="322">
      <c r="A533" s="27" t="n"/>
      <c r="B533" s="506" t="n"/>
      <c r="C533" s="141" t="n"/>
      <c r="D533" s="141" t="n"/>
      <c r="E533" s="141" t="n"/>
      <c r="F533" s="141" t="n"/>
      <c r="G533" s="143" t="n"/>
      <c r="H533" s="27" t="n"/>
    </row>
    <row r="534" ht="17.25" customHeight="1" s="322">
      <c r="A534" s="27" t="n"/>
      <c r="B534" s="506" t="n"/>
      <c r="C534" s="141" t="n"/>
      <c r="D534" s="141" t="n"/>
      <c r="E534" s="141" t="n"/>
      <c r="F534" s="141" t="n"/>
      <c r="G534" s="143" t="n"/>
      <c r="H534" s="27" t="n"/>
    </row>
    <row r="535" ht="17.25" customHeight="1" s="322">
      <c r="A535" s="27" t="n"/>
      <c r="B535" s="506" t="n"/>
      <c r="C535" s="141" t="n"/>
      <c r="D535" s="141" t="n"/>
      <c r="E535" s="141" t="n"/>
      <c r="F535" s="141" t="n"/>
      <c r="G535" s="143" t="n"/>
      <c r="H535" s="27" t="n"/>
    </row>
    <row r="536" ht="17.25" customHeight="1" s="322">
      <c r="A536" s="27" t="n"/>
      <c r="B536" s="506" t="n"/>
      <c r="C536" s="141" t="n"/>
      <c r="D536" s="141" t="n"/>
      <c r="E536" s="141" t="n"/>
      <c r="F536" s="141" t="n"/>
      <c r="G536" s="143" t="n"/>
      <c r="H536" s="27" t="n"/>
    </row>
    <row r="537" ht="17.25" customHeight="1" s="322">
      <c r="A537" s="27" t="n"/>
      <c r="B537" s="506" t="n"/>
      <c r="C537" s="141" t="n"/>
      <c r="D537" s="141" t="n"/>
      <c r="E537" s="141" t="n"/>
      <c r="F537" s="141" t="n"/>
      <c r="G537" s="143" t="n"/>
      <c r="H537" s="27" t="n"/>
    </row>
    <row r="538" ht="17.25" customHeight="1" s="322">
      <c r="A538" s="27" t="n"/>
      <c r="B538" s="506" t="n"/>
      <c r="C538" s="141" t="n"/>
      <c r="D538" s="141" t="n"/>
      <c r="E538" s="141" t="n"/>
      <c r="F538" s="141" t="n"/>
      <c r="G538" s="143" t="n"/>
      <c r="H538" s="27" t="n"/>
    </row>
    <row r="539" ht="17.25" customHeight="1" s="322">
      <c r="A539" s="27" t="n"/>
      <c r="B539" s="506" t="n"/>
      <c r="C539" s="141" t="n"/>
      <c r="D539" s="141" t="n"/>
      <c r="E539" s="141" t="n"/>
      <c r="F539" s="141" t="n"/>
      <c r="G539" s="143" t="n"/>
      <c r="H539" s="27" t="n"/>
    </row>
    <row r="540" ht="17.25" customHeight="1" s="322">
      <c r="A540" s="27" t="n"/>
      <c r="B540" s="506" t="n"/>
      <c r="C540" s="141" t="n"/>
      <c r="D540" s="141" t="n"/>
      <c r="E540" s="141" t="n"/>
      <c r="F540" s="141" t="n"/>
      <c r="G540" s="143" t="n"/>
      <c r="H540" s="27" t="n"/>
    </row>
    <row r="541" ht="17.25" customHeight="1" s="322">
      <c r="A541" s="27" t="n"/>
      <c r="B541" s="506" t="n"/>
      <c r="C541" s="141" t="n"/>
      <c r="D541" s="141" t="n"/>
      <c r="E541" s="141" t="n"/>
      <c r="F541" s="141" t="n"/>
      <c r="G541" s="143" t="n"/>
      <c r="H541" s="27" t="n"/>
    </row>
    <row r="542" ht="17.25" customHeight="1" s="322">
      <c r="A542" s="27" t="n"/>
      <c r="B542" s="506" t="n"/>
      <c r="C542" s="141" t="n"/>
      <c r="D542" s="141" t="n"/>
      <c r="E542" s="141" t="n"/>
      <c r="F542" s="141" t="n"/>
      <c r="G542" s="143" t="n"/>
      <c r="H542" s="27" t="n"/>
    </row>
    <row r="543" ht="17.25" customHeight="1" s="322">
      <c r="A543" s="27" t="n"/>
      <c r="B543" s="506" t="n"/>
      <c r="C543" s="141" t="n"/>
      <c r="D543" s="141" t="n"/>
      <c r="E543" s="141" t="n"/>
      <c r="F543" s="141" t="n"/>
      <c r="G543" s="143" t="n"/>
      <c r="H543" s="27" t="n"/>
    </row>
    <row r="544" ht="17.25" customHeight="1" s="322">
      <c r="A544" s="27" t="n"/>
      <c r="B544" s="506" t="n"/>
      <c r="C544" s="141" t="n"/>
      <c r="D544" s="141" t="n"/>
      <c r="E544" s="141" t="n"/>
      <c r="F544" s="141" t="n"/>
      <c r="G544" s="143" t="n"/>
      <c r="H544" s="27" t="n"/>
    </row>
    <row r="545" ht="17.25" customHeight="1" s="322">
      <c r="A545" s="27" t="n"/>
      <c r="B545" s="506" t="n"/>
      <c r="C545" s="141" t="n"/>
      <c r="D545" s="141" t="n"/>
      <c r="E545" s="141" t="n"/>
      <c r="F545" s="141" t="n"/>
      <c r="G545" s="143" t="n"/>
      <c r="H545" s="27" t="n"/>
    </row>
    <row r="546" ht="17.25" customHeight="1" s="322">
      <c r="A546" s="27" t="n"/>
      <c r="B546" s="506" t="n"/>
      <c r="C546" s="141" t="n"/>
      <c r="D546" s="141" t="n"/>
      <c r="E546" s="141" t="n"/>
      <c r="F546" s="141" t="n"/>
      <c r="G546" s="143" t="n"/>
      <c r="H546" s="27" t="n"/>
    </row>
    <row r="547" ht="17.25" customHeight="1" s="322">
      <c r="A547" s="27" t="n"/>
      <c r="B547" s="506" t="n"/>
      <c r="C547" s="141" t="n"/>
      <c r="D547" s="141" t="n"/>
      <c r="E547" s="141" t="n"/>
      <c r="F547" s="141" t="n"/>
      <c r="G547" s="143" t="n"/>
      <c r="H547" s="27" t="n"/>
    </row>
    <row r="548" ht="17.25" customHeight="1" s="322">
      <c r="A548" s="27" t="n"/>
      <c r="B548" s="506" t="n"/>
      <c r="C548" s="141" t="n"/>
      <c r="D548" s="141" t="n"/>
      <c r="E548" s="141" t="n"/>
      <c r="F548" s="141" t="n"/>
      <c r="G548" s="143" t="n"/>
      <c r="H548" s="27" t="n"/>
    </row>
    <row r="549" ht="17.25" customHeight="1" s="322">
      <c r="A549" s="27" t="n"/>
      <c r="B549" s="506" t="n"/>
      <c r="C549" s="141" t="n"/>
      <c r="D549" s="141" t="n"/>
      <c r="E549" s="141" t="n"/>
      <c r="F549" s="141" t="n"/>
      <c r="G549" s="143" t="n"/>
      <c r="H549" s="27" t="n"/>
    </row>
    <row r="550" ht="17.25" customHeight="1" s="322">
      <c r="A550" s="27" t="n"/>
      <c r="B550" s="506" t="n"/>
      <c r="C550" s="141" t="n"/>
      <c r="D550" s="141" t="n"/>
      <c r="E550" s="141" t="n"/>
      <c r="F550" s="141" t="n"/>
      <c r="G550" s="143" t="n"/>
      <c r="H550" s="27" t="n"/>
    </row>
    <row r="551" ht="17.25" customHeight="1" s="322">
      <c r="A551" s="27" t="n"/>
      <c r="B551" s="506" t="n"/>
      <c r="C551" s="141" t="n"/>
      <c r="D551" s="141" t="n"/>
      <c r="E551" s="141" t="n"/>
      <c r="F551" s="141" t="n"/>
      <c r="G551" s="143" t="n"/>
      <c r="H551" s="27" t="n"/>
    </row>
    <row r="552" ht="17.25" customHeight="1" s="322">
      <c r="A552" s="27" t="n"/>
      <c r="B552" s="506" t="n"/>
      <c r="C552" s="141" t="n"/>
      <c r="D552" s="141" t="n"/>
      <c r="E552" s="141" t="n"/>
      <c r="F552" s="141" t="n"/>
      <c r="G552" s="143" t="n"/>
      <c r="H552" s="27" t="n"/>
    </row>
    <row r="553" ht="17.25" customHeight="1" s="322">
      <c r="A553" s="27" t="n"/>
      <c r="B553" s="506" t="n"/>
      <c r="C553" s="141" t="n"/>
      <c r="D553" s="141" t="n"/>
      <c r="E553" s="141" t="n"/>
      <c r="F553" s="141" t="n"/>
      <c r="G553" s="143" t="n"/>
      <c r="H553" s="27" t="n"/>
    </row>
    <row r="554" ht="17.25" customHeight="1" s="322">
      <c r="A554" s="27" t="n"/>
      <c r="B554" s="506" t="n"/>
      <c r="C554" s="141" t="n"/>
      <c r="D554" s="141" t="n"/>
      <c r="E554" s="141" t="n"/>
      <c r="F554" s="141" t="n"/>
      <c r="G554" s="143" t="n"/>
      <c r="H554" s="27" t="n"/>
    </row>
    <row r="555" ht="17.25" customHeight="1" s="322">
      <c r="A555" s="27" t="n"/>
      <c r="B555" s="506" t="n"/>
      <c r="C555" s="141" t="n"/>
      <c r="D555" s="141" t="n"/>
      <c r="E555" s="141" t="n"/>
      <c r="F555" s="141" t="n"/>
      <c r="G555" s="143" t="n"/>
      <c r="H555" s="27" t="n"/>
    </row>
    <row r="556" ht="17.25" customHeight="1" s="322">
      <c r="A556" s="27" t="n"/>
      <c r="B556" s="506" t="n"/>
      <c r="C556" s="141" t="n"/>
      <c r="D556" s="141" t="n"/>
      <c r="E556" s="141" t="n"/>
      <c r="F556" s="141" t="n"/>
      <c r="G556" s="143" t="n"/>
      <c r="H556" s="27" t="n"/>
    </row>
    <row r="557" ht="17.25" customHeight="1" s="322">
      <c r="A557" s="27" t="n"/>
      <c r="B557" s="506" t="n"/>
      <c r="C557" s="141" t="n"/>
      <c r="D557" s="141" t="n"/>
      <c r="E557" s="141" t="n"/>
      <c r="F557" s="141" t="n"/>
      <c r="G557" s="143" t="n"/>
      <c r="H557" s="27" t="n"/>
    </row>
    <row r="558" ht="17.25" customHeight="1" s="322">
      <c r="A558" s="27" t="n"/>
      <c r="B558" s="506" t="n"/>
      <c r="C558" s="141" t="n"/>
      <c r="D558" s="141" t="n"/>
      <c r="E558" s="141" t="n"/>
      <c r="F558" s="141" t="n"/>
      <c r="G558" s="143" t="n"/>
      <c r="H558" s="27" t="n"/>
    </row>
    <row r="559" ht="17.25" customHeight="1" s="322">
      <c r="A559" s="27" t="n"/>
      <c r="B559" s="506" t="n"/>
      <c r="C559" s="141" t="n"/>
      <c r="D559" s="141" t="n"/>
      <c r="E559" s="141" t="n"/>
      <c r="F559" s="141" t="n"/>
      <c r="G559" s="143" t="n"/>
      <c r="H559" s="27" t="n"/>
    </row>
    <row r="560" ht="17.25" customHeight="1" s="322">
      <c r="A560" s="27" t="n"/>
      <c r="B560" s="506" t="n"/>
      <c r="C560" s="141" t="n"/>
      <c r="D560" s="141" t="n"/>
      <c r="E560" s="141" t="n"/>
      <c r="F560" s="141" t="n"/>
      <c r="G560" s="143" t="n"/>
      <c r="H560" s="27" t="n"/>
    </row>
    <row r="561" ht="17.25" customHeight="1" s="322">
      <c r="A561" s="27" t="n"/>
      <c r="B561" s="506" t="n"/>
      <c r="C561" s="141" t="n"/>
      <c r="D561" s="141" t="n"/>
      <c r="E561" s="141" t="n"/>
      <c r="F561" s="141" t="n"/>
      <c r="G561" s="143" t="n"/>
      <c r="H561" s="27" t="n"/>
    </row>
    <row r="562" ht="17.25" customHeight="1" s="322">
      <c r="A562" s="27" t="n"/>
      <c r="B562" s="506" t="n"/>
      <c r="C562" s="141" t="n"/>
      <c r="D562" s="141" t="n"/>
      <c r="E562" s="141" t="n"/>
      <c r="F562" s="141" t="n"/>
      <c r="G562" s="143" t="n"/>
      <c r="H562" s="27" t="n"/>
    </row>
    <row r="563" ht="17.25" customHeight="1" s="322">
      <c r="A563" s="27" t="n"/>
      <c r="B563" s="506" t="n"/>
      <c r="C563" s="141" t="n"/>
      <c r="D563" s="141" t="n"/>
      <c r="E563" s="141" t="n"/>
      <c r="F563" s="141" t="n"/>
      <c r="G563" s="143" t="n"/>
      <c r="H563" s="27" t="n"/>
    </row>
    <row r="564" ht="17.25" customHeight="1" s="322">
      <c r="A564" s="27" t="n"/>
      <c r="B564" s="506" t="n"/>
      <c r="C564" s="141" t="n"/>
      <c r="D564" s="141" t="n"/>
      <c r="E564" s="141" t="n"/>
      <c r="F564" s="141" t="n"/>
      <c r="G564" s="143" t="n"/>
      <c r="H564" s="27" t="n"/>
    </row>
    <row r="565" ht="17.25" customHeight="1" s="322">
      <c r="A565" s="27" t="n"/>
      <c r="B565" s="506" t="n"/>
      <c r="C565" s="141" t="n"/>
      <c r="D565" s="141" t="n"/>
      <c r="E565" s="141" t="n"/>
      <c r="F565" s="141" t="n"/>
      <c r="G565" s="143" t="n"/>
      <c r="H565" s="27" t="n"/>
    </row>
    <row r="566" ht="17.25" customHeight="1" s="322">
      <c r="A566" s="27" t="n"/>
      <c r="B566" s="506" t="n"/>
      <c r="C566" s="141" t="n"/>
      <c r="D566" s="141" t="n"/>
      <c r="E566" s="141" t="n"/>
      <c r="F566" s="141" t="n"/>
      <c r="G566" s="143" t="n"/>
      <c r="H566" s="27" t="n"/>
    </row>
    <row r="567" ht="17.25" customHeight="1" s="322">
      <c r="A567" s="27" t="n"/>
      <c r="B567" s="506" t="n"/>
      <c r="C567" s="141" t="n"/>
      <c r="D567" s="141" t="n"/>
      <c r="E567" s="141" t="n"/>
      <c r="F567" s="141" t="n"/>
      <c r="G567" s="143" t="n"/>
      <c r="H567" s="27" t="n"/>
    </row>
    <row r="568" ht="17.25" customHeight="1" s="322">
      <c r="A568" s="27" t="n"/>
      <c r="B568" s="506" t="n"/>
      <c r="C568" s="141" t="n"/>
      <c r="D568" s="141" t="n"/>
      <c r="E568" s="141" t="n"/>
      <c r="F568" s="141" t="n"/>
      <c r="G568" s="143" t="n"/>
      <c r="H568" s="27" t="n"/>
    </row>
    <row r="569" ht="17.25" customHeight="1" s="322">
      <c r="A569" s="27" t="n"/>
      <c r="B569" s="506" t="n"/>
      <c r="C569" s="141" t="n"/>
      <c r="D569" s="141" t="n"/>
      <c r="E569" s="141" t="n"/>
      <c r="F569" s="141" t="n"/>
      <c r="G569" s="143" t="n"/>
      <c r="H569" s="27" t="n"/>
    </row>
    <row r="570" ht="17.25" customHeight="1" s="322">
      <c r="A570" s="27" t="n"/>
      <c r="B570" s="506" t="n"/>
      <c r="C570" s="141" t="n"/>
      <c r="D570" s="141" t="n"/>
      <c r="E570" s="141" t="n"/>
      <c r="F570" s="141" t="n"/>
      <c r="G570" s="143" t="n"/>
      <c r="H570" s="27" t="n"/>
    </row>
    <row r="571" ht="17.25" customHeight="1" s="322">
      <c r="A571" s="27" t="n"/>
      <c r="B571" s="506" t="n"/>
      <c r="C571" s="141" t="n"/>
      <c r="D571" s="141" t="n"/>
      <c r="E571" s="141" t="n"/>
      <c r="F571" s="141" t="n"/>
      <c r="G571" s="143" t="n"/>
      <c r="H571" s="27" t="n"/>
    </row>
    <row r="572" ht="17.25" customHeight="1" s="322">
      <c r="A572" s="27" t="n"/>
      <c r="B572" s="506" t="n"/>
      <c r="C572" s="141" t="n"/>
      <c r="D572" s="141" t="n"/>
      <c r="E572" s="141" t="n"/>
      <c r="F572" s="141" t="n"/>
      <c r="G572" s="143" t="n"/>
      <c r="H572" s="27" t="n"/>
    </row>
    <row r="573" ht="17.25" customHeight="1" s="322">
      <c r="A573" s="27" t="n"/>
      <c r="B573" s="506" t="n"/>
      <c r="C573" s="141" t="n"/>
      <c r="D573" s="141" t="n"/>
      <c r="E573" s="141" t="n"/>
      <c r="F573" s="141" t="n"/>
      <c r="G573" s="143" t="n"/>
      <c r="H573" s="27" t="n"/>
    </row>
    <row r="574" ht="17.25" customHeight="1" s="322">
      <c r="A574" s="27" t="n"/>
      <c r="B574" s="506" t="n"/>
      <c r="C574" s="141" t="n"/>
      <c r="D574" s="141" t="n"/>
      <c r="E574" s="141" t="n"/>
      <c r="F574" s="141" t="n"/>
      <c r="G574" s="143" t="n"/>
      <c r="H574" s="27" t="n"/>
    </row>
    <row r="575" ht="17.25" customHeight="1" s="322">
      <c r="A575" s="27" t="n"/>
      <c r="B575" s="506" t="n"/>
      <c r="C575" s="141" t="n"/>
      <c r="D575" s="141" t="n"/>
      <c r="E575" s="141" t="n"/>
      <c r="F575" s="141" t="n"/>
      <c r="G575" s="143" t="n"/>
      <c r="H575" s="27" t="n"/>
    </row>
    <row r="576" ht="17.25" customHeight="1" s="322">
      <c r="A576" s="27" t="n"/>
      <c r="B576" s="506" t="n"/>
      <c r="C576" s="141" t="n"/>
      <c r="D576" s="141" t="n"/>
      <c r="E576" s="141" t="n"/>
      <c r="F576" s="141" t="n"/>
      <c r="G576" s="143" t="n"/>
      <c r="H576" s="27" t="n"/>
    </row>
    <row r="577" ht="17.25" customHeight="1" s="322">
      <c r="A577" s="27" t="n"/>
      <c r="B577" s="506" t="n"/>
      <c r="C577" s="141" t="n"/>
      <c r="D577" s="141" t="n"/>
      <c r="E577" s="141" t="n"/>
      <c r="F577" s="141" t="n"/>
      <c r="G577" s="143" t="n"/>
      <c r="H577" s="27" t="n"/>
    </row>
    <row r="578" ht="17.25" customHeight="1" s="322">
      <c r="A578" s="27" t="n"/>
      <c r="B578" s="506" t="n"/>
      <c r="C578" s="141" t="n"/>
      <c r="D578" s="141" t="n"/>
      <c r="E578" s="141" t="n"/>
      <c r="F578" s="141" t="n"/>
      <c r="G578" s="143" t="n"/>
      <c r="H578" s="27" t="n"/>
    </row>
    <row r="579" ht="17.25" customHeight="1" s="322">
      <c r="A579" s="27" t="n"/>
      <c r="B579" s="506" t="n"/>
      <c r="C579" s="141" t="n"/>
      <c r="D579" s="141" t="n"/>
      <c r="E579" s="141" t="n"/>
      <c r="F579" s="141" t="n"/>
      <c r="G579" s="143" t="n"/>
      <c r="H579" s="27" t="n"/>
    </row>
    <row r="580" ht="17.25" customHeight="1" s="322">
      <c r="A580" s="27" t="n"/>
      <c r="B580" s="506" t="n"/>
      <c r="C580" s="141" t="n"/>
      <c r="D580" s="141" t="n"/>
      <c r="E580" s="141" t="n"/>
      <c r="F580" s="141" t="n"/>
      <c r="G580" s="143" t="n"/>
      <c r="H580" s="27" t="n"/>
    </row>
    <row r="581" ht="17.25" customHeight="1" s="322">
      <c r="A581" s="27" t="n"/>
      <c r="B581" s="506" t="n"/>
      <c r="C581" s="141" t="n"/>
      <c r="D581" s="141" t="n"/>
      <c r="E581" s="141" t="n"/>
      <c r="F581" s="141" t="n"/>
      <c r="G581" s="143" t="n"/>
      <c r="H581" s="27" t="n"/>
    </row>
    <row r="582" ht="17.25" customHeight="1" s="322">
      <c r="A582" s="27" t="n"/>
      <c r="B582" s="506" t="n"/>
      <c r="C582" s="141" t="n"/>
      <c r="D582" s="141" t="n"/>
      <c r="E582" s="141" t="n"/>
      <c r="F582" s="141" t="n"/>
      <c r="G582" s="143" t="n"/>
      <c r="H582" s="27" t="n"/>
    </row>
    <row r="583" ht="17.25" customHeight="1" s="322">
      <c r="A583" s="27" t="n"/>
      <c r="B583" s="506" t="n"/>
      <c r="C583" s="141" t="n"/>
      <c r="D583" s="141" t="n"/>
      <c r="E583" s="141" t="n"/>
      <c r="F583" s="141" t="n"/>
      <c r="G583" s="143" t="n"/>
      <c r="H583" s="27" t="n"/>
    </row>
    <row r="584" ht="17.25" customHeight="1" s="322">
      <c r="A584" s="27" t="n"/>
      <c r="B584" s="506" t="n"/>
      <c r="C584" s="141" t="n"/>
      <c r="D584" s="141" t="n"/>
      <c r="E584" s="141" t="n"/>
      <c r="F584" s="141" t="n"/>
      <c r="G584" s="143" t="n"/>
      <c r="H584" s="27" t="n"/>
    </row>
    <row r="585" ht="17.25" customHeight="1" s="322">
      <c r="A585" s="27" t="n"/>
      <c r="B585" s="506" t="n"/>
      <c r="C585" s="141" t="n"/>
      <c r="D585" s="141" t="n"/>
      <c r="E585" s="141" t="n"/>
      <c r="F585" s="141" t="n"/>
      <c r="G585" s="143" t="n"/>
      <c r="H585" s="27" t="n"/>
    </row>
    <row r="586" ht="17.25" customHeight="1" s="322">
      <c r="A586" s="27" t="n"/>
      <c r="B586" s="506" t="n"/>
      <c r="C586" s="141" t="n"/>
      <c r="D586" s="141" t="n"/>
      <c r="E586" s="141" t="n"/>
      <c r="F586" s="141" t="n"/>
      <c r="G586" s="143" t="n"/>
      <c r="H586" s="27" t="n"/>
    </row>
    <row r="587" ht="17.25" customHeight="1" s="322">
      <c r="A587" s="27" t="n"/>
      <c r="B587" s="506" t="n"/>
      <c r="C587" s="141" t="n"/>
      <c r="D587" s="141" t="n"/>
      <c r="E587" s="141" t="n"/>
      <c r="F587" s="141" t="n"/>
      <c r="G587" s="143" t="n"/>
      <c r="H587" s="27" t="n"/>
    </row>
    <row r="588" ht="17.25" customHeight="1" s="322">
      <c r="A588" s="27" t="n"/>
      <c r="B588" s="506" t="n"/>
      <c r="C588" s="141" t="n"/>
      <c r="D588" s="141" t="n"/>
      <c r="E588" s="141" t="n"/>
      <c r="F588" s="141" t="n"/>
      <c r="G588" s="143" t="n"/>
      <c r="H588" s="27" t="n"/>
    </row>
    <row r="589" ht="17.25" customHeight="1" s="322">
      <c r="A589" s="27" t="n"/>
      <c r="B589" s="506" t="n"/>
      <c r="C589" s="141" t="n"/>
      <c r="D589" s="141" t="n"/>
      <c r="E589" s="141" t="n"/>
      <c r="F589" s="141" t="n"/>
      <c r="G589" s="143" t="n"/>
      <c r="H589" s="27" t="n"/>
    </row>
    <row r="590" ht="17.25" customHeight="1" s="322">
      <c r="A590" s="27" t="n"/>
      <c r="B590" s="506" t="n"/>
      <c r="C590" s="141" t="n"/>
      <c r="D590" s="141" t="n"/>
      <c r="E590" s="141" t="n"/>
      <c r="F590" s="141" t="n"/>
      <c r="G590" s="143" t="n"/>
      <c r="H590" s="27" t="n"/>
    </row>
    <row r="591" ht="17.25" customHeight="1" s="322">
      <c r="A591" s="27" t="n"/>
      <c r="B591" s="506" t="n"/>
      <c r="C591" s="141" t="n"/>
      <c r="D591" s="141" t="n"/>
      <c r="E591" s="141" t="n"/>
      <c r="F591" s="141" t="n"/>
      <c r="G591" s="143" t="n"/>
      <c r="H591" s="27" t="n"/>
    </row>
    <row r="592" ht="17.25" customHeight="1" s="322">
      <c r="A592" s="27" t="n"/>
      <c r="B592" s="506" t="n"/>
      <c r="C592" s="141" t="n"/>
      <c r="D592" s="141" t="n"/>
      <c r="E592" s="141" t="n"/>
      <c r="F592" s="141" t="n"/>
      <c r="G592" s="143" t="n"/>
      <c r="H592" s="27" t="n"/>
    </row>
    <row r="593" ht="17.25" customHeight="1" s="322">
      <c r="A593" s="27" t="n"/>
      <c r="B593" s="506" t="n"/>
      <c r="C593" s="141" t="n"/>
      <c r="D593" s="141" t="n"/>
      <c r="E593" s="141" t="n"/>
      <c r="F593" s="141" t="n"/>
      <c r="G593" s="143" t="n"/>
      <c r="H593" s="27" t="n"/>
    </row>
    <row r="594" ht="17.25" customHeight="1" s="322">
      <c r="A594" s="27" t="n"/>
      <c r="B594" s="506" t="n"/>
      <c r="C594" s="141" t="n"/>
      <c r="D594" s="141" t="n"/>
      <c r="E594" s="141" t="n"/>
      <c r="F594" s="141" t="n"/>
      <c r="G594" s="143" t="n"/>
      <c r="H594" s="27" t="n"/>
    </row>
    <row r="595" ht="17.25" customHeight="1" s="322">
      <c r="A595" s="27" t="n"/>
      <c r="B595" s="506" t="n"/>
      <c r="C595" s="141" t="n"/>
      <c r="D595" s="141" t="n"/>
      <c r="E595" s="141" t="n"/>
      <c r="F595" s="141" t="n"/>
      <c r="G595" s="143" t="n"/>
      <c r="H595" s="27" t="n"/>
    </row>
    <row r="596" ht="17.25" customHeight="1" s="322">
      <c r="A596" s="27" t="n"/>
      <c r="B596" s="506" t="n"/>
      <c r="C596" s="141" t="n"/>
      <c r="D596" s="141" t="n"/>
      <c r="E596" s="141" t="n"/>
      <c r="F596" s="141" t="n"/>
      <c r="G596" s="143" t="n"/>
      <c r="H596" s="27" t="n"/>
    </row>
    <row r="597" ht="17.25" customHeight="1" s="322">
      <c r="A597" s="27" t="n"/>
      <c r="B597" s="506" t="n"/>
      <c r="C597" s="141" t="n"/>
      <c r="D597" s="141" t="n"/>
      <c r="E597" s="141" t="n"/>
      <c r="F597" s="141" t="n"/>
      <c r="G597" s="143" t="n"/>
      <c r="H597" s="27" t="n"/>
    </row>
    <row r="598" ht="17.25" customHeight="1" s="322">
      <c r="A598" s="27" t="n"/>
      <c r="B598" s="506" t="n"/>
      <c r="C598" s="141" t="n"/>
      <c r="D598" s="141" t="n"/>
      <c r="E598" s="141" t="n"/>
      <c r="F598" s="141" t="n"/>
      <c r="G598" s="143" t="n"/>
      <c r="H598" s="27" t="n"/>
    </row>
    <row r="599" ht="17.25" customHeight="1" s="322">
      <c r="A599" s="27" t="n"/>
      <c r="B599" s="506" t="n"/>
      <c r="C599" s="141" t="n"/>
      <c r="D599" s="141" t="n"/>
      <c r="E599" s="141" t="n"/>
      <c r="F599" s="141" t="n"/>
      <c r="G599" s="143" t="n"/>
      <c r="H599" s="27" t="n"/>
    </row>
    <row r="600" ht="17.25" customHeight="1" s="322">
      <c r="A600" s="27" t="n"/>
      <c r="B600" s="506" t="n"/>
      <c r="C600" s="141" t="n"/>
      <c r="D600" s="141" t="n"/>
      <c r="E600" s="141" t="n"/>
      <c r="F600" s="141" t="n"/>
      <c r="G600" s="143" t="n"/>
      <c r="H600" s="27" t="n"/>
    </row>
    <row r="601" ht="17.25" customHeight="1" s="322">
      <c r="A601" s="27" t="n"/>
      <c r="B601" s="506" t="n"/>
      <c r="C601" s="141" t="n"/>
      <c r="D601" s="141" t="n"/>
      <c r="E601" s="141" t="n"/>
      <c r="F601" s="141" t="n"/>
      <c r="G601" s="143" t="n"/>
      <c r="H601" s="27" t="n"/>
    </row>
    <row r="602" ht="17.25" customHeight="1" s="322">
      <c r="A602" s="27" t="n"/>
      <c r="B602" s="506" t="n"/>
      <c r="C602" s="141" t="n"/>
      <c r="D602" s="141" t="n"/>
      <c r="E602" s="141" t="n"/>
      <c r="F602" s="141" t="n"/>
      <c r="G602" s="143" t="n"/>
      <c r="H602" s="27" t="n"/>
    </row>
    <row r="603" ht="17.25" customHeight="1" s="322">
      <c r="A603" s="27" t="n"/>
      <c r="B603" s="506" t="n"/>
      <c r="C603" s="141" t="n"/>
      <c r="D603" s="141" t="n"/>
      <c r="E603" s="141" t="n"/>
      <c r="F603" s="141" t="n"/>
      <c r="G603" s="143" t="n"/>
      <c r="H603" s="27" t="n"/>
    </row>
    <row r="604" ht="17.25" customHeight="1" s="322">
      <c r="A604" s="27" t="n"/>
      <c r="B604" s="506" t="n"/>
      <c r="C604" s="141" t="n"/>
      <c r="D604" s="141" t="n"/>
      <c r="E604" s="141" t="n"/>
      <c r="F604" s="141" t="n"/>
      <c r="G604" s="143" t="n"/>
      <c r="H604" s="27" t="n"/>
    </row>
    <row r="605" ht="17.25" customHeight="1" s="322">
      <c r="A605" s="27" t="n"/>
      <c r="B605" s="506" t="n"/>
      <c r="C605" s="141" t="n"/>
      <c r="D605" s="141" t="n"/>
      <c r="E605" s="141" t="n"/>
      <c r="F605" s="141" t="n"/>
      <c r="G605" s="143" t="n"/>
      <c r="H605" s="27" t="n"/>
    </row>
    <row r="606" ht="17.25" customHeight="1" s="322">
      <c r="A606" s="27" t="n"/>
      <c r="B606" s="506" t="n"/>
      <c r="C606" s="141" t="n"/>
      <c r="D606" s="141" t="n"/>
      <c r="E606" s="141" t="n"/>
      <c r="F606" s="141" t="n"/>
      <c r="G606" s="143" t="n"/>
      <c r="H606" s="27" t="n"/>
    </row>
    <row r="607" ht="17.25" customHeight="1" s="322">
      <c r="A607" s="27" t="n"/>
      <c r="B607" s="506" t="n"/>
      <c r="C607" s="141" t="n"/>
      <c r="D607" s="141" t="n"/>
      <c r="E607" s="141" t="n"/>
      <c r="F607" s="141" t="n"/>
      <c r="G607" s="143" t="n"/>
      <c r="H607" s="27" t="n"/>
    </row>
    <row r="608" ht="17.25" customHeight="1" s="322">
      <c r="A608" s="27" t="n"/>
      <c r="B608" s="506" t="n"/>
      <c r="C608" s="141" t="n"/>
      <c r="D608" s="141" t="n"/>
      <c r="E608" s="141" t="n"/>
      <c r="F608" s="141" t="n"/>
      <c r="G608" s="143" t="n"/>
      <c r="H608" s="27" t="n"/>
    </row>
    <row r="609" ht="17.25" customHeight="1" s="322">
      <c r="A609" s="27" t="n"/>
      <c r="B609" s="506" t="n"/>
      <c r="C609" s="141" t="n"/>
      <c r="D609" s="141" t="n"/>
      <c r="E609" s="141" t="n"/>
      <c r="F609" s="141" t="n"/>
      <c r="G609" s="143" t="n"/>
      <c r="H609" s="27" t="n"/>
    </row>
    <row r="610" ht="17.25" customHeight="1" s="322">
      <c r="A610" s="27" t="n"/>
      <c r="B610" s="506" t="n"/>
      <c r="C610" s="141" t="n"/>
      <c r="D610" s="141" t="n"/>
      <c r="E610" s="141" t="n"/>
      <c r="F610" s="141" t="n"/>
      <c r="G610" s="143" t="n"/>
      <c r="H610" s="27" t="n"/>
    </row>
    <row r="611" ht="17.25" customHeight="1" s="322">
      <c r="A611" s="27" t="n"/>
      <c r="B611" s="506" t="n"/>
      <c r="C611" s="141" t="n"/>
      <c r="D611" s="141" t="n"/>
      <c r="E611" s="141" t="n"/>
      <c r="F611" s="141" t="n"/>
      <c r="G611" s="143" t="n"/>
      <c r="H611" s="27" t="n"/>
    </row>
    <row r="612" ht="17.25" customHeight="1" s="322">
      <c r="A612" s="27" t="n"/>
      <c r="B612" s="506" t="n"/>
      <c r="C612" s="141" t="n"/>
      <c r="D612" s="141" t="n"/>
      <c r="E612" s="141" t="n"/>
      <c r="F612" s="141" t="n"/>
      <c r="G612" s="143" t="n"/>
      <c r="H612" s="27" t="n"/>
    </row>
    <row r="613" ht="17.25" customHeight="1" s="322">
      <c r="A613" s="27" t="n"/>
      <c r="B613" s="506" t="n"/>
      <c r="C613" s="141" t="n"/>
      <c r="D613" s="141" t="n"/>
      <c r="E613" s="141" t="n"/>
      <c r="F613" s="141" t="n"/>
      <c r="G613" s="143" t="n"/>
      <c r="H613" s="27" t="n"/>
    </row>
    <row r="614" ht="17.25" customHeight="1" s="322">
      <c r="A614" s="27" t="n"/>
      <c r="B614" s="506" t="n"/>
      <c r="C614" s="141" t="n"/>
      <c r="D614" s="141" t="n"/>
      <c r="E614" s="141" t="n"/>
      <c r="F614" s="141" t="n"/>
      <c r="G614" s="143" t="n"/>
      <c r="H614" s="27" t="n"/>
    </row>
    <row r="615" ht="17.25" customHeight="1" s="322">
      <c r="A615" s="27" t="n"/>
      <c r="B615" s="506" t="n"/>
      <c r="C615" s="141" t="n"/>
      <c r="D615" s="141" t="n"/>
      <c r="E615" s="141" t="n"/>
      <c r="F615" s="141" t="n"/>
      <c r="G615" s="143" t="n"/>
      <c r="H615" s="27" t="n"/>
    </row>
    <row r="616" ht="17.25" customHeight="1" s="322">
      <c r="A616" s="27" t="n"/>
      <c r="B616" s="506" t="n"/>
      <c r="C616" s="141" t="n"/>
      <c r="D616" s="141" t="n"/>
      <c r="E616" s="141" t="n"/>
      <c r="F616" s="141" t="n"/>
      <c r="G616" s="143" t="n"/>
      <c r="H616" s="27" t="n"/>
    </row>
    <row r="617" ht="17.25" customHeight="1" s="322">
      <c r="A617" s="27" t="n"/>
      <c r="B617" s="506" t="n"/>
      <c r="C617" s="141" t="n"/>
      <c r="D617" s="141" t="n"/>
      <c r="E617" s="141" t="n"/>
      <c r="F617" s="141" t="n"/>
      <c r="G617" s="143" t="n"/>
      <c r="H617" s="27" t="n"/>
    </row>
    <row r="618" ht="17.25" customHeight="1" s="322">
      <c r="A618" s="27" t="n"/>
      <c r="B618" s="506" t="n"/>
      <c r="C618" s="141" t="n"/>
      <c r="D618" s="141" t="n"/>
      <c r="E618" s="141" t="n"/>
      <c r="F618" s="141" t="n"/>
      <c r="G618" s="143" t="n"/>
      <c r="H618" s="27" t="n"/>
    </row>
    <row r="619" ht="17.25" customHeight="1" s="322">
      <c r="A619" s="27" t="n"/>
      <c r="B619" s="506" t="n"/>
      <c r="C619" s="141" t="n"/>
      <c r="D619" s="141" t="n"/>
      <c r="E619" s="141" t="n"/>
      <c r="F619" s="141" t="n"/>
      <c r="G619" s="143" t="n"/>
      <c r="H619" s="27" t="n"/>
    </row>
    <row r="620" ht="17.25" customHeight="1" s="322">
      <c r="A620" s="27" t="n"/>
      <c r="B620" s="506" t="n"/>
      <c r="C620" s="141" t="n"/>
      <c r="D620" s="141" t="n"/>
      <c r="E620" s="141" t="n"/>
      <c r="F620" s="141" t="n"/>
      <c r="G620" s="143" t="n"/>
      <c r="H620" s="27" t="n"/>
    </row>
    <row r="621" ht="17.25" customHeight="1" s="322">
      <c r="A621" s="27" t="n"/>
      <c r="B621" s="506" t="n"/>
      <c r="C621" s="141" t="n"/>
      <c r="D621" s="141" t="n"/>
      <c r="E621" s="141" t="n"/>
      <c r="F621" s="141" t="n"/>
      <c r="G621" s="143" t="n"/>
      <c r="H621" s="27" t="n"/>
    </row>
    <row r="622" ht="17.25" customHeight="1" s="322">
      <c r="A622" s="27" t="n"/>
      <c r="B622" s="506" t="n"/>
      <c r="C622" s="141" t="n"/>
      <c r="D622" s="141" t="n"/>
      <c r="E622" s="141" t="n"/>
      <c r="F622" s="141" t="n"/>
      <c r="G622" s="143" t="n"/>
      <c r="H622" s="27" t="n"/>
    </row>
    <row r="623" ht="17.25" customHeight="1" s="322">
      <c r="A623" s="27" t="n"/>
      <c r="B623" s="506" t="n"/>
      <c r="C623" s="141" t="n"/>
      <c r="D623" s="141" t="n"/>
      <c r="E623" s="141" t="n"/>
      <c r="F623" s="141" t="n"/>
      <c r="G623" s="143" t="n"/>
      <c r="H623" s="27" t="n"/>
    </row>
    <row r="624" ht="17.25" customHeight="1" s="322">
      <c r="A624" s="27" t="n"/>
      <c r="B624" s="506" t="n"/>
      <c r="C624" s="141" t="n"/>
      <c r="D624" s="141" t="n"/>
      <c r="E624" s="141" t="n"/>
      <c r="F624" s="141" t="n"/>
      <c r="G624" s="143" t="n"/>
      <c r="H624" s="27" t="n"/>
    </row>
    <row r="625" ht="17.25" customHeight="1" s="322">
      <c r="A625" s="27" t="n"/>
      <c r="B625" s="506" t="n"/>
      <c r="C625" s="141" t="n"/>
      <c r="D625" s="141" t="n"/>
      <c r="E625" s="141" t="n"/>
      <c r="F625" s="141" t="n"/>
      <c r="G625" s="143" t="n"/>
      <c r="H625" s="27" t="n"/>
    </row>
    <row r="626" ht="17.25" customHeight="1" s="322">
      <c r="A626" s="27" t="n"/>
      <c r="B626" s="506" t="n"/>
      <c r="C626" s="141" t="n"/>
      <c r="D626" s="141" t="n"/>
      <c r="E626" s="141" t="n"/>
      <c r="F626" s="141" t="n"/>
      <c r="G626" s="143" t="n"/>
      <c r="H626" s="27" t="n"/>
    </row>
    <row r="627" ht="17.25" customHeight="1" s="322">
      <c r="A627" s="27" t="n"/>
      <c r="B627" s="506" t="n"/>
      <c r="C627" s="141" t="n"/>
      <c r="D627" s="141" t="n"/>
      <c r="E627" s="141" t="n"/>
      <c r="F627" s="141" t="n"/>
      <c r="G627" s="143" t="n"/>
      <c r="H627" s="27" t="n"/>
    </row>
    <row r="628" ht="17.25" customHeight="1" s="322">
      <c r="A628" s="27" t="n"/>
      <c r="B628" s="506" t="n"/>
      <c r="C628" s="141" t="n"/>
      <c r="D628" s="141" t="n"/>
      <c r="E628" s="141" t="n"/>
      <c r="F628" s="141" t="n"/>
      <c r="G628" s="143" t="n"/>
      <c r="H628" s="27" t="n"/>
    </row>
    <row r="629" ht="17.25" customHeight="1" s="322">
      <c r="A629" s="27" t="n"/>
      <c r="B629" s="506" t="n"/>
      <c r="C629" s="141" t="n"/>
      <c r="D629" s="141" t="n"/>
      <c r="E629" s="141" t="n"/>
      <c r="F629" s="141" t="n"/>
      <c r="G629" s="143" t="n"/>
      <c r="H629" s="27" t="n"/>
    </row>
    <row r="630" ht="17.25" customHeight="1" s="322">
      <c r="A630" s="27" t="n"/>
      <c r="B630" s="506" t="n"/>
      <c r="C630" s="141" t="n"/>
      <c r="D630" s="141" t="n"/>
      <c r="E630" s="141" t="n"/>
      <c r="F630" s="141" t="n"/>
      <c r="G630" s="143" t="n"/>
      <c r="H630" s="27" t="n"/>
    </row>
    <row r="631" ht="17.25" customHeight="1" s="322">
      <c r="A631" s="27" t="n"/>
      <c r="B631" s="506" t="n"/>
      <c r="C631" s="141" t="n"/>
      <c r="D631" s="141" t="n"/>
      <c r="E631" s="141" t="n"/>
      <c r="F631" s="141" t="n"/>
      <c r="G631" s="143" t="n"/>
      <c r="H631" s="27" t="n"/>
    </row>
    <row r="632" ht="17.25" customHeight="1" s="322">
      <c r="A632" s="27" t="n"/>
      <c r="B632" s="506" t="n"/>
      <c r="C632" s="141" t="n"/>
      <c r="D632" s="141" t="n"/>
      <c r="E632" s="141" t="n"/>
      <c r="F632" s="141" t="n"/>
      <c r="G632" s="143" t="n"/>
      <c r="H632" s="27" t="n"/>
    </row>
    <row r="633" ht="17.25" customHeight="1" s="322">
      <c r="A633" s="27" t="n"/>
      <c r="B633" s="506" t="n"/>
      <c r="C633" s="141" t="n"/>
      <c r="D633" s="141" t="n"/>
      <c r="E633" s="141" t="n"/>
      <c r="F633" s="141" t="n"/>
      <c r="G633" s="143" t="n"/>
      <c r="H633" s="27" t="n"/>
    </row>
    <row r="634" ht="17.25" customHeight="1" s="322">
      <c r="A634" s="27" t="n"/>
      <c r="B634" s="506" t="n"/>
      <c r="C634" s="141" t="n"/>
      <c r="D634" s="141" t="n"/>
      <c r="E634" s="141" t="n"/>
      <c r="F634" s="141" t="n"/>
      <c r="G634" s="143" t="n"/>
      <c r="H634" s="27" t="n"/>
    </row>
    <row r="635" ht="17.25" customHeight="1" s="322">
      <c r="A635" s="27" t="n"/>
      <c r="B635" s="506" t="n"/>
      <c r="C635" s="141" t="n"/>
      <c r="D635" s="141" t="n"/>
      <c r="E635" s="141" t="n"/>
      <c r="F635" s="141" t="n"/>
      <c r="G635" s="143" t="n"/>
      <c r="H635" s="27" t="n"/>
    </row>
    <row r="636" ht="17.25" customHeight="1" s="322">
      <c r="A636" s="27" t="n"/>
      <c r="B636" s="506" t="n"/>
      <c r="C636" s="141" t="n"/>
      <c r="D636" s="141" t="n"/>
      <c r="E636" s="141" t="n"/>
      <c r="F636" s="141" t="n"/>
      <c r="G636" s="143" t="n"/>
      <c r="H636" s="27" t="n"/>
    </row>
    <row r="637" ht="17.25" customHeight="1" s="322">
      <c r="A637" s="27" t="n"/>
      <c r="B637" s="506" t="n"/>
      <c r="C637" s="141" t="n"/>
      <c r="D637" s="141" t="n"/>
      <c r="E637" s="141" t="n"/>
      <c r="F637" s="141" t="n"/>
      <c r="G637" s="143" t="n"/>
      <c r="H637" s="27" t="n"/>
    </row>
    <row r="638" ht="17.25" customHeight="1" s="322">
      <c r="A638" s="27" t="n"/>
      <c r="B638" s="506" t="n"/>
      <c r="C638" s="141" t="n"/>
      <c r="D638" s="141" t="n"/>
      <c r="E638" s="141" t="n"/>
      <c r="F638" s="141" t="n"/>
      <c r="G638" s="143" t="n"/>
      <c r="H638" s="27" t="n"/>
    </row>
    <row r="639" ht="17.25" customHeight="1" s="322">
      <c r="A639" s="27" t="n"/>
      <c r="B639" s="506" t="n"/>
      <c r="C639" s="141" t="n"/>
      <c r="D639" s="141" t="n"/>
      <c r="E639" s="141" t="n"/>
      <c r="F639" s="141" t="n"/>
      <c r="G639" s="143" t="n"/>
      <c r="H639" s="27" t="n"/>
    </row>
    <row r="640" ht="17.25" customHeight="1" s="322">
      <c r="A640" s="27" t="n"/>
      <c r="B640" s="506" t="n"/>
      <c r="C640" s="141" t="n"/>
      <c r="D640" s="141" t="n"/>
      <c r="E640" s="141" t="n"/>
      <c r="F640" s="141" t="n"/>
      <c r="G640" s="143" t="n"/>
      <c r="H640" s="27" t="n"/>
    </row>
    <row r="641" ht="17.25" customHeight="1" s="322">
      <c r="A641" s="27" t="n"/>
      <c r="B641" s="506" t="n"/>
      <c r="C641" s="141" t="n"/>
      <c r="D641" s="141" t="n"/>
      <c r="E641" s="141" t="n"/>
      <c r="F641" s="141" t="n"/>
      <c r="G641" s="143" t="n"/>
      <c r="H641" s="27" t="n"/>
    </row>
    <row r="642" ht="17.25" customHeight="1" s="322">
      <c r="A642" s="27" t="n"/>
      <c r="B642" s="506" t="n"/>
      <c r="C642" s="141" t="n"/>
      <c r="D642" s="141" t="n"/>
      <c r="E642" s="141" t="n"/>
      <c r="F642" s="141" t="n"/>
      <c r="G642" s="143" t="n"/>
      <c r="H642" s="27" t="n"/>
    </row>
    <row r="643" ht="17.25" customHeight="1" s="322">
      <c r="A643" s="27" t="n"/>
      <c r="B643" s="506" t="n"/>
      <c r="C643" s="141" t="n"/>
      <c r="D643" s="141" t="n"/>
      <c r="E643" s="141" t="n"/>
      <c r="F643" s="141" t="n"/>
      <c r="G643" s="143" t="n"/>
      <c r="H643" s="27" t="n"/>
    </row>
    <row r="644" ht="17.25" customHeight="1" s="322">
      <c r="A644" s="27" t="n"/>
      <c r="B644" s="506" t="n"/>
      <c r="C644" s="141" t="n"/>
      <c r="D644" s="141" t="n"/>
      <c r="E644" s="141" t="n"/>
      <c r="F644" s="141" t="n"/>
      <c r="G644" s="143" t="n"/>
      <c r="H644" s="27" t="n"/>
    </row>
    <row r="645" ht="17.25" customHeight="1" s="322">
      <c r="A645" s="27" t="n"/>
      <c r="B645" s="506" t="n"/>
      <c r="C645" s="141" t="n"/>
      <c r="D645" s="141" t="n"/>
      <c r="E645" s="141" t="n"/>
      <c r="F645" s="141" t="n"/>
      <c r="G645" s="143" t="n"/>
      <c r="H645" s="27" t="n"/>
    </row>
    <row r="646" ht="17.25" customHeight="1" s="322">
      <c r="A646" s="27" t="n"/>
      <c r="B646" s="506" t="n"/>
      <c r="C646" s="141" t="n"/>
      <c r="D646" s="141" t="n"/>
      <c r="E646" s="141" t="n"/>
      <c r="F646" s="141" t="n"/>
      <c r="G646" s="143" t="n"/>
      <c r="H646" s="27" t="n"/>
    </row>
    <row r="647" ht="17.25" customHeight="1" s="322">
      <c r="A647" s="27" t="n"/>
      <c r="B647" s="506" t="n"/>
      <c r="C647" s="141" t="n"/>
      <c r="D647" s="141" t="n"/>
      <c r="E647" s="141" t="n"/>
      <c r="F647" s="141" t="n"/>
      <c r="G647" s="143" t="n"/>
      <c r="H647" s="27" t="n"/>
    </row>
    <row r="648" ht="17.25" customHeight="1" s="322">
      <c r="A648" s="27" t="n"/>
      <c r="B648" s="506" t="n"/>
      <c r="C648" s="141" t="n"/>
      <c r="D648" s="141" t="n"/>
      <c r="E648" s="141" t="n"/>
      <c r="F648" s="141" t="n"/>
      <c r="G648" s="143" t="n"/>
      <c r="H648" s="27" t="n"/>
    </row>
    <row r="649" ht="17.25" customHeight="1" s="322">
      <c r="A649" s="27" t="n"/>
      <c r="B649" s="506" t="n"/>
      <c r="C649" s="141" t="n"/>
      <c r="D649" s="141" t="n"/>
      <c r="E649" s="141" t="n"/>
      <c r="F649" s="141" t="n"/>
      <c r="G649" s="143" t="n"/>
      <c r="H649" s="27" t="n"/>
    </row>
    <row r="650" ht="17.25" customHeight="1" s="322">
      <c r="A650" s="27" t="n"/>
      <c r="B650" s="506" t="n"/>
      <c r="C650" s="141" t="n"/>
      <c r="D650" s="141" t="n"/>
      <c r="E650" s="141" t="n"/>
      <c r="F650" s="141" t="n"/>
      <c r="G650" s="143" t="n"/>
      <c r="H650" s="27" t="n"/>
    </row>
    <row r="651" ht="17.25" customHeight="1" s="322">
      <c r="A651" s="27" t="n"/>
      <c r="B651" s="506" t="n"/>
      <c r="C651" s="141" t="n"/>
      <c r="D651" s="141" t="n"/>
      <c r="E651" s="141" t="n"/>
      <c r="F651" s="141" t="n"/>
      <c r="G651" s="143" t="n"/>
      <c r="H651" s="27" t="n"/>
    </row>
    <row r="652" ht="17.25" customHeight="1" s="322">
      <c r="A652" s="27" t="n"/>
      <c r="B652" s="506" t="n"/>
      <c r="C652" s="141" t="n"/>
      <c r="D652" s="141" t="n"/>
      <c r="E652" s="141" t="n"/>
      <c r="F652" s="141" t="n"/>
      <c r="G652" s="143" t="n"/>
      <c r="H652" s="27" t="n"/>
    </row>
    <row r="653" ht="17.25" customHeight="1" s="322">
      <c r="A653" s="27" t="n"/>
      <c r="B653" s="506" t="n"/>
      <c r="C653" s="141" t="n"/>
      <c r="D653" s="141" t="n"/>
      <c r="E653" s="141" t="n"/>
      <c r="F653" s="141" t="n"/>
      <c r="G653" s="143" t="n"/>
      <c r="H653" s="27" t="n"/>
    </row>
    <row r="654" ht="17.25" customHeight="1" s="322">
      <c r="A654" s="27" t="n"/>
      <c r="B654" s="506" t="n"/>
      <c r="C654" s="141" t="n"/>
      <c r="D654" s="141" t="n"/>
      <c r="E654" s="141" t="n"/>
      <c r="F654" s="141" t="n"/>
      <c r="G654" s="143" t="n"/>
      <c r="H654" s="27" t="n"/>
    </row>
    <row r="655" ht="17.25" customHeight="1" s="322">
      <c r="A655" s="27" t="n"/>
      <c r="B655" s="506" t="n"/>
      <c r="C655" s="141" t="n"/>
      <c r="D655" s="141" t="n"/>
      <c r="E655" s="141" t="n"/>
      <c r="F655" s="141" t="n"/>
      <c r="G655" s="143" t="n"/>
      <c r="H655" s="27" t="n"/>
    </row>
    <row r="656" ht="17.25" customHeight="1" s="322">
      <c r="A656" s="27" t="n"/>
      <c r="B656" s="506" t="n"/>
      <c r="C656" s="141" t="n"/>
      <c r="D656" s="141" t="n"/>
      <c r="E656" s="141" t="n"/>
      <c r="F656" s="141" t="n"/>
      <c r="G656" s="143" t="n"/>
      <c r="H656" s="27" t="n"/>
    </row>
    <row r="657" ht="17.25" customHeight="1" s="322">
      <c r="A657" s="27" t="n"/>
      <c r="B657" s="506" t="n"/>
      <c r="C657" s="141" t="n"/>
      <c r="D657" s="141" t="n"/>
      <c r="E657" s="141" t="n"/>
      <c r="F657" s="141" t="n"/>
      <c r="G657" s="143" t="n"/>
      <c r="H657" s="27" t="n"/>
    </row>
    <row r="658" ht="17.25" customHeight="1" s="322">
      <c r="A658" s="27" t="n"/>
      <c r="B658" s="506" t="n"/>
      <c r="C658" s="141" t="n"/>
      <c r="D658" s="141" t="n"/>
      <c r="E658" s="141" t="n"/>
      <c r="F658" s="141" t="n"/>
      <c r="G658" s="143" t="n"/>
      <c r="H658" s="27" t="n"/>
    </row>
    <row r="659" ht="17.25" customHeight="1" s="322">
      <c r="A659" s="27" t="n"/>
      <c r="B659" s="506" t="n"/>
      <c r="C659" s="141" t="n"/>
      <c r="D659" s="141" t="n"/>
      <c r="E659" s="141" t="n"/>
      <c r="F659" s="141" t="n"/>
      <c r="G659" s="143" t="n"/>
      <c r="H659" s="27" t="n"/>
    </row>
    <row r="660" ht="17.25" customHeight="1" s="322">
      <c r="A660" s="27" t="n"/>
      <c r="B660" s="506" t="n"/>
      <c r="C660" s="141" t="n"/>
      <c r="D660" s="141" t="n"/>
      <c r="E660" s="141" t="n"/>
      <c r="F660" s="141" t="n"/>
      <c r="G660" s="143" t="n"/>
      <c r="H660" s="27" t="n"/>
    </row>
    <row r="661" ht="17.25" customHeight="1" s="322">
      <c r="A661" s="27" t="n"/>
      <c r="B661" s="506" t="n"/>
      <c r="C661" s="141" t="n"/>
      <c r="D661" s="141" t="n"/>
      <c r="E661" s="141" t="n"/>
      <c r="F661" s="141" t="n"/>
      <c r="G661" s="143" t="n"/>
      <c r="H661" s="27" t="n"/>
    </row>
    <row r="662" ht="17.25" customHeight="1" s="322">
      <c r="A662" s="27" t="n"/>
      <c r="B662" s="506" t="n"/>
      <c r="C662" s="141" t="n"/>
      <c r="D662" s="141" t="n"/>
      <c r="E662" s="141" t="n"/>
      <c r="F662" s="141" t="n"/>
      <c r="G662" s="143" t="n"/>
      <c r="H662" s="27" t="n"/>
    </row>
    <row r="663" ht="17.25" customHeight="1" s="322">
      <c r="A663" s="27" t="n"/>
      <c r="B663" s="506" t="n"/>
      <c r="C663" s="141" t="n"/>
      <c r="D663" s="141" t="n"/>
      <c r="E663" s="141" t="n"/>
      <c r="F663" s="141" t="n"/>
      <c r="G663" s="143" t="n"/>
      <c r="H663" s="27" t="n"/>
    </row>
    <row r="664" ht="17.25" customHeight="1" s="322">
      <c r="A664" s="27" t="n"/>
      <c r="B664" s="506" t="n"/>
      <c r="C664" s="141" t="n"/>
      <c r="D664" s="141" t="n"/>
      <c r="E664" s="141" t="n"/>
      <c r="F664" s="141" t="n"/>
      <c r="G664" s="143" t="n"/>
      <c r="H664" s="27" t="n"/>
    </row>
    <row r="665" ht="17.25" customHeight="1" s="322">
      <c r="A665" s="27" t="n"/>
      <c r="B665" s="506" t="n"/>
      <c r="C665" s="141" t="n"/>
      <c r="D665" s="141" t="n"/>
      <c r="E665" s="141" t="n"/>
      <c r="F665" s="141" t="n"/>
      <c r="G665" s="143" t="n"/>
      <c r="H665" s="27" t="n"/>
    </row>
    <row r="666" ht="17.25" customHeight="1" s="322">
      <c r="A666" s="27" t="n"/>
      <c r="B666" s="506" t="n"/>
      <c r="C666" s="141" t="n"/>
      <c r="D666" s="141" t="n"/>
      <c r="E666" s="141" t="n"/>
      <c r="F666" s="141" t="n"/>
      <c r="G666" s="143" t="n"/>
      <c r="H666" s="27" t="n"/>
    </row>
    <row r="667" ht="17.25" customHeight="1" s="322">
      <c r="A667" s="27" t="n"/>
      <c r="B667" s="506" t="n"/>
      <c r="C667" s="141" t="n"/>
      <c r="D667" s="141" t="n"/>
      <c r="E667" s="141" t="n"/>
      <c r="F667" s="141" t="n"/>
      <c r="G667" s="143" t="n"/>
      <c r="H667" s="27" t="n"/>
    </row>
    <row r="668" ht="17.25" customHeight="1" s="322">
      <c r="A668" s="27" t="n"/>
      <c r="B668" s="506" t="n"/>
      <c r="C668" s="141" t="n"/>
      <c r="D668" s="141" t="n"/>
      <c r="E668" s="141" t="n"/>
      <c r="F668" s="141" t="n"/>
      <c r="G668" s="143" t="n"/>
      <c r="H668" s="27" t="n"/>
    </row>
    <row r="669" ht="17.25" customHeight="1" s="322">
      <c r="A669" s="27" t="n"/>
      <c r="B669" s="506" t="n"/>
      <c r="C669" s="141" t="n"/>
      <c r="D669" s="141" t="n"/>
      <c r="E669" s="141" t="n"/>
      <c r="F669" s="141" t="n"/>
      <c r="G669" s="143" t="n"/>
      <c r="H669" s="27" t="n"/>
    </row>
    <row r="670" ht="17.25" customHeight="1" s="322">
      <c r="A670" s="27" t="n"/>
      <c r="B670" s="506" t="n"/>
      <c r="C670" s="141" t="n"/>
      <c r="D670" s="141" t="n"/>
      <c r="E670" s="141" t="n"/>
      <c r="F670" s="141" t="n"/>
      <c r="G670" s="143" t="n"/>
      <c r="H670" s="27" t="n"/>
    </row>
    <row r="671" ht="17.25" customHeight="1" s="322">
      <c r="A671" s="27" t="n"/>
      <c r="B671" s="506" t="n"/>
      <c r="C671" s="141" t="n"/>
      <c r="D671" s="141" t="n"/>
      <c r="E671" s="141" t="n"/>
      <c r="F671" s="141" t="n"/>
      <c r="G671" s="143" t="n"/>
      <c r="H671" s="27" t="n"/>
    </row>
    <row r="672" ht="17.25" customHeight="1" s="322">
      <c r="A672" s="27" t="n"/>
      <c r="B672" s="506" t="n"/>
      <c r="C672" s="141" t="n"/>
      <c r="D672" s="141" t="n"/>
      <c r="E672" s="141" t="n"/>
      <c r="F672" s="141" t="n"/>
      <c r="G672" s="143" t="n"/>
      <c r="H672" s="27" t="n"/>
    </row>
    <row r="673" ht="17.25" customHeight="1" s="322">
      <c r="A673" s="27" t="n"/>
      <c r="B673" s="506" t="n"/>
      <c r="C673" s="141" t="n"/>
      <c r="D673" s="141" t="n"/>
      <c r="E673" s="141" t="n"/>
      <c r="F673" s="141" t="n"/>
      <c r="G673" s="143" t="n"/>
      <c r="H673" s="27" t="n"/>
    </row>
    <row r="674" ht="17.25" customHeight="1" s="322">
      <c r="A674" s="27" t="n"/>
      <c r="B674" s="506" t="n"/>
      <c r="C674" s="141" t="n"/>
      <c r="D674" s="141" t="n"/>
      <c r="E674" s="141" t="n"/>
      <c r="F674" s="141" t="n"/>
      <c r="G674" s="143" t="n"/>
      <c r="H674" s="27" t="n"/>
    </row>
    <row r="675" ht="17.25" customHeight="1" s="322">
      <c r="A675" s="27" t="n"/>
      <c r="B675" s="506" t="n"/>
      <c r="C675" s="141" t="n"/>
      <c r="D675" s="141" t="n"/>
      <c r="E675" s="141" t="n"/>
      <c r="F675" s="141" t="n"/>
      <c r="G675" s="143" t="n"/>
      <c r="H675" s="27" t="n"/>
    </row>
    <row r="676" ht="17.25" customHeight="1" s="322">
      <c r="A676" s="27" t="n"/>
      <c r="B676" s="506" t="n"/>
      <c r="C676" s="141" t="n"/>
      <c r="D676" s="141" t="n"/>
      <c r="E676" s="141" t="n"/>
      <c r="F676" s="141" t="n"/>
      <c r="G676" s="143" t="n"/>
      <c r="H676" s="27" t="n"/>
    </row>
    <row r="677" ht="17.25" customHeight="1" s="322">
      <c r="A677" s="27" t="n"/>
      <c r="B677" s="506" t="n"/>
      <c r="C677" s="141" t="n"/>
      <c r="D677" s="141" t="n"/>
      <c r="E677" s="141" t="n"/>
      <c r="F677" s="141" t="n"/>
      <c r="G677" s="143" t="n"/>
      <c r="H677" s="27" t="n"/>
    </row>
    <row r="678" ht="17.25" customHeight="1" s="322">
      <c r="A678" s="27" t="n"/>
      <c r="B678" s="506" t="n"/>
      <c r="C678" s="141" t="n"/>
      <c r="D678" s="141" t="n"/>
      <c r="E678" s="141" t="n"/>
      <c r="F678" s="141" t="n"/>
      <c r="G678" s="143" t="n"/>
      <c r="H678" s="27" t="n"/>
    </row>
    <row r="679" ht="17.25" customHeight="1" s="322">
      <c r="A679" s="27" t="n"/>
      <c r="B679" s="506" t="n"/>
      <c r="C679" s="141" t="n"/>
      <c r="D679" s="141" t="n"/>
      <c r="E679" s="141" t="n"/>
      <c r="F679" s="141" t="n"/>
      <c r="G679" s="143" t="n"/>
      <c r="H679" s="27" t="n"/>
    </row>
    <row r="680" ht="17.25" customHeight="1" s="322">
      <c r="A680" s="27" t="n"/>
      <c r="B680" s="506" t="n"/>
      <c r="C680" s="141" t="n"/>
      <c r="D680" s="141" t="n"/>
      <c r="E680" s="141" t="n"/>
      <c r="F680" s="141" t="n"/>
      <c r="G680" s="143" t="n"/>
      <c r="H680" s="27" t="n"/>
    </row>
    <row r="681" ht="17.25" customHeight="1" s="322">
      <c r="A681" s="27" t="n"/>
      <c r="B681" s="506" t="n"/>
      <c r="C681" s="141" t="n"/>
      <c r="D681" s="141" t="n"/>
      <c r="E681" s="141" t="n"/>
      <c r="F681" s="141" t="n"/>
      <c r="G681" s="143" t="n"/>
      <c r="H681" s="27" t="n"/>
    </row>
    <row r="682" ht="17.25" customHeight="1" s="322">
      <c r="A682" s="27" t="n"/>
      <c r="B682" s="506" t="n"/>
      <c r="C682" s="141" t="n"/>
      <c r="D682" s="141" t="n"/>
      <c r="E682" s="141" t="n"/>
      <c r="F682" s="141" t="n"/>
      <c r="G682" s="143" t="n"/>
      <c r="H682" s="27" t="n"/>
    </row>
    <row r="683" ht="17.25" customHeight="1" s="322">
      <c r="A683" s="27" t="n"/>
      <c r="B683" s="506" t="n"/>
      <c r="C683" s="141" t="n"/>
      <c r="D683" s="141" t="n"/>
      <c r="E683" s="141" t="n"/>
      <c r="F683" s="141" t="n"/>
      <c r="G683" s="143" t="n"/>
      <c r="H683" s="27" t="n"/>
    </row>
    <row r="684" ht="17.25" customHeight="1" s="322">
      <c r="A684" s="27" t="n"/>
      <c r="B684" s="506" t="n"/>
      <c r="C684" s="141" t="n"/>
      <c r="D684" s="141" t="n"/>
      <c r="E684" s="141" t="n"/>
      <c r="F684" s="141" t="n"/>
      <c r="G684" s="143" t="n"/>
      <c r="H684" s="27" t="n"/>
    </row>
    <row r="685" ht="17.25" customHeight="1" s="322">
      <c r="A685" s="27" t="n"/>
      <c r="B685" s="506" t="n"/>
      <c r="C685" s="141" t="n"/>
      <c r="D685" s="141" t="n"/>
      <c r="E685" s="141" t="n"/>
      <c r="F685" s="141" t="n"/>
      <c r="G685" s="143" t="n"/>
      <c r="H685" s="27" t="n"/>
    </row>
    <row r="686" ht="17.25" customHeight="1" s="322">
      <c r="A686" s="27" t="n"/>
      <c r="B686" s="506" t="n"/>
      <c r="C686" s="141" t="n"/>
      <c r="D686" s="141" t="n"/>
      <c r="E686" s="141" t="n"/>
      <c r="F686" s="141" t="n"/>
      <c r="G686" s="143" t="n"/>
      <c r="H686" s="27" t="n"/>
    </row>
    <row r="687" ht="17.25" customHeight="1" s="322">
      <c r="A687" s="27" t="n"/>
      <c r="B687" s="506" t="n"/>
      <c r="C687" s="141" t="n"/>
      <c r="D687" s="141" t="n"/>
      <c r="E687" s="141" t="n"/>
      <c r="F687" s="141" t="n"/>
      <c r="G687" s="143" t="n"/>
      <c r="H687" s="27" t="n"/>
    </row>
    <row r="688" ht="17.25" customHeight="1" s="322">
      <c r="A688" s="27" t="n"/>
      <c r="B688" s="506" t="n"/>
      <c r="C688" s="141" t="n"/>
      <c r="D688" s="141" t="n"/>
      <c r="E688" s="141" t="n"/>
      <c r="F688" s="141" t="n"/>
      <c r="G688" s="143" t="n"/>
      <c r="H688" s="27" t="n"/>
    </row>
    <row r="689" ht="17.25" customHeight="1" s="322">
      <c r="A689" s="27" t="n"/>
      <c r="B689" s="506" t="n"/>
      <c r="C689" s="141" t="n"/>
      <c r="D689" s="141" t="n"/>
      <c r="E689" s="141" t="n"/>
      <c r="F689" s="141" t="n"/>
      <c r="G689" s="143" t="n"/>
      <c r="H689" s="27" t="n"/>
    </row>
    <row r="690" ht="17.25" customHeight="1" s="322">
      <c r="A690" s="27" t="n"/>
      <c r="B690" s="506" t="n"/>
      <c r="C690" s="141" t="n"/>
      <c r="D690" s="141" t="n"/>
      <c r="E690" s="141" t="n"/>
      <c r="F690" s="141" t="n"/>
      <c r="G690" s="143" t="n"/>
      <c r="H690" s="27" t="n"/>
    </row>
    <row r="691" ht="17.25" customHeight="1" s="322">
      <c r="A691" s="27" t="n"/>
      <c r="B691" s="506" t="n"/>
      <c r="C691" s="141" t="n"/>
      <c r="D691" s="141" t="n"/>
      <c r="E691" s="141" t="n"/>
      <c r="F691" s="141" t="n"/>
      <c r="G691" s="143" t="n"/>
      <c r="H691" s="27" t="n"/>
    </row>
    <row r="692" ht="17.25" customHeight="1" s="322">
      <c r="A692" s="27" t="n"/>
      <c r="B692" s="506" t="n"/>
      <c r="C692" s="141" t="n"/>
      <c r="D692" s="141" t="n"/>
      <c r="E692" s="141" t="n"/>
      <c r="F692" s="141" t="n"/>
      <c r="G692" s="143" t="n"/>
      <c r="H692" s="27" t="n"/>
    </row>
    <row r="693" ht="17.25" customHeight="1" s="322">
      <c r="A693" s="27" t="n"/>
      <c r="B693" s="506" t="n"/>
      <c r="C693" s="141" t="n"/>
      <c r="D693" s="141" t="n"/>
      <c r="E693" s="141" t="n"/>
      <c r="F693" s="141" t="n"/>
      <c r="G693" s="143" t="n"/>
      <c r="H693" s="27" t="n"/>
    </row>
    <row r="694" ht="17.25" customHeight="1" s="322">
      <c r="A694" s="27" t="n"/>
      <c r="B694" s="506" t="n"/>
      <c r="C694" s="141" t="n"/>
      <c r="D694" s="141" t="n"/>
      <c r="E694" s="141" t="n"/>
      <c r="F694" s="141" t="n"/>
      <c r="G694" s="143" t="n"/>
      <c r="H694" s="27" t="n"/>
    </row>
    <row r="695" ht="17.25" customHeight="1" s="322">
      <c r="A695" s="27" t="n"/>
      <c r="B695" s="506" t="n"/>
      <c r="C695" s="141" t="n"/>
      <c r="D695" s="141" t="n"/>
      <c r="E695" s="141" t="n"/>
      <c r="F695" s="141" t="n"/>
      <c r="G695" s="143" t="n"/>
      <c r="H695" s="27" t="n"/>
    </row>
    <row r="696" ht="17.25" customHeight="1" s="322">
      <c r="A696" s="27" t="n"/>
      <c r="B696" s="506" t="n"/>
      <c r="C696" s="141" t="n"/>
      <c r="D696" s="141" t="n"/>
      <c r="E696" s="141" t="n"/>
      <c r="F696" s="141" t="n"/>
      <c r="G696" s="143" t="n"/>
      <c r="H696" s="27" t="n"/>
    </row>
    <row r="697" ht="17.25" customHeight="1" s="322">
      <c r="A697" s="27" t="n"/>
      <c r="B697" s="506" t="n"/>
      <c r="C697" s="141" t="n"/>
      <c r="D697" s="141" t="n"/>
      <c r="E697" s="141" t="n"/>
      <c r="F697" s="141" t="n"/>
      <c r="G697" s="143" t="n"/>
      <c r="H697" s="27" t="n"/>
    </row>
    <row r="698" ht="17.25" customHeight="1" s="322">
      <c r="A698" s="27" t="n"/>
      <c r="B698" s="506" t="n"/>
      <c r="C698" s="141" t="n"/>
      <c r="D698" s="141" t="n"/>
      <c r="E698" s="141" t="n"/>
      <c r="F698" s="141" t="n"/>
      <c r="G698" s="143" t="n"/>
      <c r="H698" s="27" t="n"/>
    </row>
    <row r="699" ht="17.25" customHeight="1" s="322">
      <c r="A699" s="27" t="n"/>
      <c r="B699" s="506" t="n"/>
      <c r="C699" s="141" t="n"/>
      <c r="D699" s="141" t="n"/>
      <c r="E699" s="141" t="n"/>
      <c r="F699" s="141" t="n"/>
      <c r="G699" s="143" t="n"/>
      <c r="H699" s="27" t="n"/>
    </row>
    <row r="700" ht="17.25" customHeight="1" s="322">
      <c r="A700" s="27" t="n"/>
      <c r="B700" s="506" t="n"/>
      <c r="C700" s="141" t="n"/>
      <c r="D700" s="141" t="n"/>
      <c r="E700" s="141" t="n"/>
      <c r="F700" s="141" t="n"/>
      <c r="G700" s="143" t="n"/>
      <c r="H700" s="27" t="n"/>
    </row>
    <row r="701" ht="17.25" customHeight="1" s="322">
      <c r="A701" s="27" t="n"/>
      <c r="B701" s="506" t="n"/>
      <c r="C701" s="141" t="n"/>
      <c r="D701" s="141" t="n"/>
      <c r="E701" s="141" t="n"/>
      <c r="F701" s="141" t="n"/>
      <c r="G701" s="143" t="n"/>
      <c r="H701" s="27" t="n"/>
    </row>
    <row r="702" ht="17.25" customHeight="1" s="322">
      <c r="A702" s="27" t="n"/>
      <c r="B702" s="506" t="n"/>
      <c r="C702" s="141" t="n"/>
      <c r="D702" s="141" t="n"/>
      <c r="E702" s="141" t="n"/>
      <c r="F702" s="141" t="n"/>
      <c r="G702" s="143" t="n"/>
      <c r="H702" s="27" t="n"/>
    </row>
    <row r="703" ht="17.25" customHeight="1" s="322">
      <c r="A703" s="27" t="n"/>
      <c r="B703" s="506" t="n"/>
      <c r="C703" s="141" t="n"/>
      <c r="D703" s="141" t="n"/>
      <c r="E703" s="141" t="n"/>
      <c r="F703" s="141" t="n"/>
      <c r="G703" s="143" t="n"/>
      <c r="H703" s="27" t="n"/>
    </row>
    <row r="704" ht="17.25" customHeight="1" s="322">
      <c r="A704" s="27" t="n"/>
      <c r="B704" s="506" t="n"/>
      <c r="C704" s="141" t="n"/>
      <c r="D704" s="141" t="n"/>
      <c r="E704" s="141" t="n"/>
      <c r="F704" s="141" t="n"/>
      <c r="G704" s="143" t="n"/>
      <c r="H704" s="27" t="n"/>
    </row>
    <row r="705" ht="17.25" customHeight="1" s="322">
      <c r="A705" s="27" t="n"/>
      <c r="B705" s="506" t="n"/>
      <c r="C705" s="141" t="n"/>
      <c r="D705" s="141" t="n"/>
      <c r="E705" s="141" t="n"/>
      <c r="F705" s="141" t="n"/>
      <c r="G705" s="143" t="n"/>
      <c r="H705" s="27" t="n"/>
    </row>
    <row r="706" ht="17.25" customHeight="1" s="322">
      <c r="A706" s="27" t="n"/>
      <c r="B706" s="506" t="n"/>
      <c r="C706" s="141" t="n"/>
      <c r="D706" s="141" t="n"/>
      <c r="E706" s="141" t="n"/>
      <c r="F706" s="141" t="n"/>
      <c r="G706" s="143" t="n"/>
      <c r="H706" s="27" t="n"/>
    </row>
    <row r="707" ht="17.25" customHeight="1" s="322">
      <c r="A707" s="27" t="n"/>
      <c r="B707" s="506" t="n"/>
      <c r="C707" s="141" t="n"/>
      <c r="D707" s="141" t="n"/>
      <c r="E707" s="141" t="n"/>
      <c r="F707" s="141" t="n"/>
      <c r="G707" s="143" t="n"/>
      <c r="H707" s="27" t="n"/>
    </row>
    <row r="708" ht="17.25" customHeight="1" s="322">
      <c r="A708" s="27" t="n"/>
      <c r="B708" s="506" t="n"/>
      <c r="C708" s="141" t="n"/>
      <c r="D708" s="141" t="n"/>
      <c r="E708" s="141" t="n"/>
      <c r="F708" s="141" t="n"/>
      <c r="G708" s="143" t="n"/>
      <c r="H708" s="27" t="n"/>
    </row>
    <row r="709" ht="17.25" customHeight="1" s="322">
      <c r="A709" s="27" t="n"/>
      <c r="B709" s="506" t="n"/>
      <c r="C709" s="141" t="n"/>
      <c r="D709" s="141" t="n"/>
      <c r="E709" s="141" t="n"/>
      <c r="F709" s="141" t="n"/>
      <c r="G709" s="143" t="n"/>
      <c r="H709" s="27" t="n"/>
    </row>
    <row r="710" ht="17.25" customHeight="1" s="322">
      <c r="A710" s="27" t="n"/>
      <c r="B710" s="506" t="n"/>
      <c r="C710" s="141" t="n"/>
      <c r="D710" s="141" t="n"/>
      <c r="E710" s="141" t="n"/>
      <c r="F710" s="141" t="n"/>
      <c r="G710" s="143" t="n"/>
      <c r="H710" s="27" t="n"/>
    </row>
    <row r="711" ht="17.25" customHeight="1" s="322">
      <c r="A711" s="27" t="n"/>
      <c r="B711" s="506" t="n"/>
      <c r="C711" s="141" t="n"/>
      <c r="D711" s="141" t="n"/>
      <c r="E711" s="141" t="n"/>
      <c r="F711" s="141" t="n"/>
      <c r="G711" s="143" t="n"/>
      <c r="H711" s="27" t="n"/>
    </row>
    <row r="712" ht="17.25" customHeight="1" s="322">
      <c r="A712" s="27" t="n"/>
      <c r="B712" s="506" t="n"/>
      <c r="C712" s="141" t="n"/>
      <c r="D712" s="141" t="n"/>
      <c r="E712" s="141" t="n"/>
      <c r="F712" s="141" t="n"/>
      <c r="G712" s="143" t="n"/>
      <c r="H712" s="27" t="n"/>
    </row>
    <row r="713" ht="17.25" customHeight="1" s="322">
      <c r="A713" s="27" t="n"/>
      <c r="B713" s="506" t="n"/>
      <c r="C713" s="141" t="n"/>
      <c r="D713" s="141" t="n"/>
      <c r="E713" s="141" t="n"/>
      <c r="F713" s="141" t="n"/>
      <c r="G713" s="143" t="n"/>
      <c r="H713" s="27" t="n"/>
    </row>
    <row r="714" ht="17.25" customHeight="1" s="322">
      <c r="A714" s="27" t="n"/>
      <c r="B714" s="506" t="n"/>
      <c r="C714" s="141" t="n"/>
      <c r="D714" s="141" t="n"/>
      <c r="E714" s="141" t="n"/>
      <c r="F714" s="141" t="n"/>
      <c r="G714" s="143" t="n"/>
      <c r="H714" s="27" t="n"/>
    </row>
    <row r="715" ht="17.25" customHeight="1" s="322">
      <c r="A715" s="27" t="n"/>
      <c r="B715" s="506" t="n"/>
      <c r="C715" s="141" t="n"/>
      <c r="D715" s="141" t="n"/>
      <c r="E715" s="141" t="n"/>
      <c r="F715" s="141" t="n"/>
      <c r="G715" s="143" t="n"/>
      <c r="H715" s="27" t="n"/>
    </row>
    <row r="716" ht="17.25" customHeight="1" s="322">
      <c r="A716" s="27" t="n"/>
      <c r="B716" s="506" t="n"/>
      <c r="C716" s="141" t="n"/>
      <c r="D716" s="141" t="n"/>
      <c r="E716" s="141" t="n"/>
      <c r="F716" s="141" t="n"/>
      <c r="G716" s="143" t="n"/>
      <c r="H716" s="27" t="n"/>
    </row>
    <row r="717" ht="17.25" customHeight="1" s="322">
      <c r="A717" s="27" t="n"/>
      <c r="B717" s="506" t="n"/>
      <c r="C717" s="141" t="n"/>
      <c r="D717" s="141" t="n"/>
      <c r="E717" s="141" t="n"/>
      <c r="F717" s="141" t="n"/>
      <c r="G717" s="143" t="n"/>
      <c r="H717" s="27" t="n"/>
    </row>
    <row r="718" ht="17.25" customHeight="1" s="322">
      <c r="A718" s="27" t="n"/>
      <c r="B718" s="506" t="n"/>
      <c r="C718" s="141" t="n"/>
      <c r="D718" s="141" t="n"/>
      <c r="E718" s="141" t="n"/>
      <c r="F718" s="141" t="n"/>
      <c r="G718" s="143" t="n"/>
      <c r="H718" s="27" t="n"/>
    </row>
    <row r="719" ht="17.25" customHeight="1" s="322">
      <c r="A719" s="27" t="n"/>
      <c r="B719" s="506" t="n"/>
      <c r="C719" s="141" t="n"/>
      <c r="D719" s="141" t="n"/>
      <c r="E719" s="141" t="n"/>
      <c r="F719" s="141" t="n"/>
      <c r="G719" s="143" t="n"/>
      <c r="H719" s="27" t="n"/>
    </row>
    <row r="720" ht="17.25" customHeight="1" s="322">
      <c r="A720" s="27" t="n"/>
      <c r="B720" s="506" t="n"/>
      <c r="C720" s="141" t="n"/>
      <c r="D720" s="141" t="n"/>
      <c r="E720" s="141" t="n"/>
      <c r="F720" s="141" t="n"/>
      <c r="G720" s="143" t="n"/>
      <c r="H720" s="27" t="n"/>
    </row>
    <row r="721" ht="17.25" customHeight="1" s="322">
      <c r="A721" s="27" t="n"/>
      <c r="B721" s="506" t="n"/>
      <c r="C721" s="141" t="n"/>
      <c r="D721" s="141" t="n"/>
      <c r="E721" s="141" t="n"/>
      <c r="F721" s="141" t="n"/>
      <c r="G721" s="143" t="n"/>
      <c r="H721" s="27" t="n"/>
    </row>
    <row r="722" ht="17.25" customHeight="1" s="322">
      <c r="A722" s="27" t="n"/>
      <c r="B722" s="506" t="n"/>
      <c r="C722" s="141" t="n"/>
      <c r="D722" s="141" t="n"/>
      <c r="E722" s="141" t="n"/>
      <c r="F722" s="141" t="n"/>
      <c r="G722" s="143" t="n"/>
      <c r="H722" s="27" t="n"/>
    </row>
    <row r="723" ht="17.25" customHeight="1" s="322">
      <c r="A723" s="27" t="n"/>
      <c r="B723" s="506" t="n"/>
      <c r="C723" s="141" t="n"/>
      <c r="D723" s="141" t="n"/>
      <c r="E723" s="141" t="n"/>
      <c r="F723" s="141" t="n"/>
      <c r="G723" s="143" t="n"/>
      <c r="H723" s="27" t="n"/>
    </row>
    <row r="724" ht="17.25" customHeight="1" s="322">
      <c r="A724" s="27" t="n"/>
      <c r="B724" s="506" t="n"/>
      <c r="C724" s="141" t="n"/>
      <c r="D724" s="141" t="n"/>
      <c r="E724" s="141" t="n"/>
      <c r="F724" s="141" t="n"/>
      <c r="G724" s="143" t="n"/>
      <c r="H724" s="27" t="n"/>
    </row>
    <row r="725" ht="17.25" customHeight="1" s="322">
      <c r="A725" s="27" t="n"/>
      <c r="B725" s="506" t="n"/>
      <c r="C725" s="141" t="n"/>
      <c r="D725" s="141" t="n"/>
      <c r="E725" s="141" t="n"/>
      <c r="F725" s="141" t="n"/>
      <c r="G725" s="143" t="n"/>
      <c r="H725" s="27" t="n"/>
    </row>
    <row r="726" ht="17.25" customHeight="1" s="322">
      <c r="A726" s="27" t="n"/>
      <c r="B726" s="506" t="n"/>
      <c r="C726" s="141" t="n"/>
      <c r="D726" s="141" t="n"/>
      <c r="E726" s="141" t="n"/>
      <c r="F726" s="141" t="n"/>
      <c r="G726" s="143" t="n"/>
      <c r="H726" s="27" t="n"/>
    </row>
    <row r="727" ht="17.25" customHeight="1" s="322">
      <c r="A727" s="27" t="n"/>
      <c r="B727" s="506" t="n"/>
      <c r="C727" s="141" t="n"/>
      <c r="D727" s="141" t="n"/>
      <c r="E727" s="141" t="n"/>
      <c r="F727" s="141" t="n"/>
      <c r="G727" s="143" t="n"/>
      <c r="H727" s="27" t="n"/>
    </row>
    <row r="728" ht="17.25" customHeight="1" s="322">
      <c r="A728" s="27" t="n"/>
      <c r="B728" s="506" t="n"/>
      <c r="C728" s="141" t="n"/>
      <c r="D728" s="141" t="n"/>
      <c r="E728" s="141" t="n"/>
      <c r="F728" s="141" t="n"/>
      <c r="G728" s="143" t="n"/>
      <c r="H728" s="27" t="n"/>
    </row>
    <row r="729" ht="17.25" customHeight="1" s="322">
      <c r="A729" s="27" t="n"/>
      <c r="B729" s="506" t="n"/>
      <c r="C729" s="141" t="n"/>
      <c r="D729" s="141" t="n"/>
      <c r="E729" s="141" t="n"/>
      <c r="F729" s="141" t="n"/>
      <c r="G729" s="143" t="n"/>
      <c r="H729" s="27" t="n"/>
    </row>
    <row r="730" ht="17.25" customHeight="1" s="322">
      <c r="A730" s="27" t="n"/>
      <c r="B730" s="506" t="n"/>
      <c r="C730" s="141" t="n"/>
      <c r="D730" s="141" t="n"/>
      <c r="E730" s="141" t="n"/>
      <c r="F730" s="141" t="n"/>
      <c r="G730" s="143" t="n"/>
      <c r="H730" s="27" t="n"/>
    </row>
    <row r="731" ht="17.25" customHeight="1" s="322">
      <c r="A731" s="27" t="n"/>
      <c r="B731" s="506" t="n"/>
      <c r="C731" s="141" t="n"/>
      <c r="D731" s="141" t="n"/>
      <c r="E731" s="141" t="n"/>
      <c r="F731" s="141" t="n"/>
      <c r="G731" s="143" t="n"/>
      <c r="H731" s="27" t="n"/>
    </row>
    <row r="732" ht="17.25" customHeight="1" s="322">
      <c r="A732" s="27" t="n"/>
      <c r="B732" s="506" t="n"/>
      <c r="C732" s="141" t="n"/>
      <c r="D732" s="141" t="n"/>
      <c r="E732" s="141" t="n"/>
      <c r="F732" s="141" t="n"/>
      <c r="G732" s="143" t="n"/>
      <c r="H732" s="27" t="n"/>
    </row>
    <row r="733" ht="17.25" customHeight="1" s="322">
      <c r="A733" s="27" t="n"/>
      <c r="B733" s="506" t="n"/>
      <c r="C733" s="141" t="n"/>
      <c r="D733" s="141" t="n"/>
      <c r="E733" s="141" t="n"/>
      <c r="F733" s="141" t="n"/>
      <c r="G733" s="143" t="n"/>
      <c r="H733" s="27" t="n"/>
    </row>
    <row r="734" ht="17.25" customHeight="1" s="322">
      <c r="A734" s="27" t="n"/>
      <c r="B734" s="506" t="n"/>
      <c r="C734" s="141" t="n"/>
      <c r="D734" s="141" t="n"/>
      <c r="E734" s="141" t="n"/>
      <c r="F734" s="141" t="n"/>
      <c r="G734" s="143" t="n"/>
      <c r="H734" s="27" t="n"/>
    </row>
    <row r="735" ht="17.25" customHeight="1" s="322">
      <c r="A735" s="27" t="n"/>
      <c r="B735" s="506" t="n"/>
      <c r="C735" s="141" t="n"/>
      <c r="D735" s="141" t="n"/>
      <c r="E735" s="141" t="n"/>
      <c r="F735" s="141" t="n"/>
      <c r="G735" s="143" t="n"/>
      <c r="H735" s="27" t="n"/>
    </row>
    <row r="736" ht="17.25" customHeight="1" s="322">
      <c r="A736" s="27" t="n"/>
      <c r="B736" s="506" t="n"/>
      <c r="C736" s="141" t="n"/>
      <c r="D736" s="141" t="n"/>
      <c r="E736" s="141" t="n"/>
      <c r="F736" s="141" t="n"/>
      <c r="G736" s="143" t="n"/>
      <c r="H736" s="27" t="n"/>
    </row>
    <row r="737" ht="17.25" customHeight="1" s="322">
      <c r="A737" s="27" t="n"/>
      <c r="B737" s="506" t="n"/>
      <c r="C737" s="141" t="n"/>
      <c r="D737" s="141" t="n"/>
      <c r="E737" s="141" t="n"/>
      <c r="F737" s="141" t="n"/>
      <c r="G737" s="143" t="n"/>
      <c r="H737" s="27" t="n"/>
    </row>
    <row r="738" ht="17.25" customHeight="1" s="322">
      <c r="A738" s="27" t="n"/>
      <c r="B738" s="506" t="n"/>
      <c r="C738" s="141" t="n"/>
      <c r="D738" s="141" t="n"/>
      <c r="E738" s="141" t="n"/>
      <c r="F738" s="141" t="n"/>
      <c r="G738" s="143" t="n"/>
      <c r="H738" s="27" t="n"/>
    </row>
    <row r="739" ht="17.25" customHeight="1" s="322">
      <c r="A739" s="27" t="n"/>
      <c r="B739" s="506" t="n"/>
      <c r="C739" s="141" t="n"/>
      <c r="D739" s="141" t="n"/>
      <c r="E739" s="141" t="n"/>
      <c r="F739" s="141" t="n"/>
      <c r="G739" s="143" t="n"/>
      <c r="H739" s="27" t="n"/>
    </row>
    <row r="740" ht="17.25" customHeight="1" s="322">
      <c r="A740" s="27" t="n"/>
      <c r="B740" s="506" t="n"/>
      <c r="C740" s="141" t="n"/>
      <c r="D740" s="141" t="n"/>
      <c r="E740" s="141" t="n"/>
      <c r="F740" s="141" t="n"/>
      <c r="G740" s="143" t="n"/>
      <c r="H740" s="27" t="n"/>
    </row>
    <row r="741" ht="17.25" customHeight="1" s="322">
      <c r="A741" s="27" t="n"/>
      <c r="B741" s="506" t="n"/>
      <c r="C741" s="141" t="n"/>
      <c r="D741" s="141" t="n"/>
      <c r="E741" s="141" t="n"/>
      <c r="F741" s="141" t="n"/>
      <c r="G741" s="143" t="n"/>
      <c r="H741" s="27" t="n"/>
    </row>
    <row r="742" ht="17.25" customHeight="1" s="322">
      <c r="A742" s="27" t="n"/>
      <c r="B742" s="506" t="n"/>
      <c r="C742" s="141" t="n"/>
      <c r="D742" s="141" t="n"/>
      <c r="E742" s="141" t="n"/>
      <c r="F742" s="141" t="n"/>
      <c r="G742" s="143" t="n"/>
      <c r="H742" s="27" t="n"/>
    </row>
    <row r="743" ht="17.25" customHeight="1" s="322">
      <c r="A743" s="27" t="n"/>
      <c r="B743" s="506" t="n"/>
      <c r="C743" s="141" t="n"/>
      <c r="D743" s="141" t="n"/>
      <c r="E743" s="141" t="n"/>
      <c r="F743" s="141" t="n"/>
      <c r="G743" s="143" t="n"/>
      <c r="H743" s="27" t="n"/>
    </row>
    <row r="744" ht="17.25" customHeight="1" s="322">
      <c r="A744" s="27" t="n"/>
      <c r="B744" s="506" t="n"/>
      <c r="C744" s="141" t="n"/>
      <c r="D744" s="141" t="n"/>
      <c r="E744" s="141" t="n"/>
      <c r="F744" s="141" t="n"/>
      <c r="G744" s="143" t="n"/>
      <c r="H744" s="27" t="n"/>
    </row>
    <row r="745" ht="17.25" customHeight="1" s="322">
      <c r="A745" s="27" t="n"/>
      <c r="B745" s="506" t="n"/>
      <c r="C745" s="141" t="n"/>
      <c r="D745" s="141" t="n"/>
      <c r="E745" s="141" t="n"/>
      <c r="F745" s="141" t="n"/>
      <c r="G745" s="143" t="n"/>
      <c r="H745" s="27" t="n"/>
    </row>
    <row r="746" ht="17.25" customHeight="1" s="322">
      <c r="A746" s="27" t="n"/>
      <c r="B746" s="506" t="n"/>
      <c r="C746" s="141" t="n"/>
      <c r="D746" s="141" t="n"/>
      <c r="E746" s="141" t="n"/>
      <c r="F746" s="141" t="n"/>
      <c r="G746" s="143" t="n"/>
      <c r="H746" s="27" t="n"/>
    </row>
    <row r="747" ht="17.25" customHeight="1" s="322">
      <c r="A747" s="27" t="n"/>
      <c r="B747" s="506" t="n"/>
      <c r="C747" s="141" t="n"/>
      <c r="D747" s="141" t="n"/>
      <c r="E747" s="141" t="n"/>
      <c r="F747" s="141" t="n"/>
      <c r="G747" s="143" t="n"/>
      <c r="H747" s="27" t="n"/>
    </row>
    <row r="748" ht="17.25" customHeight="1" s="322">
      <c r="A748" s="27" t="n"/>
      <c r="B748" s="506" t="n"/>
      <c r="C748" s="141" t="n"/>
      <c r="D748" s="141" t="n"/>
      <c r="E748" s="141" t="n"/>
      <c r="F748" s="141" t="n"/>
      <c r="G748" s="143" t="n"/>
      <c r="H748" s="27" t="n"/>
    </row>
    <row r="749" ht="17.25" customHeight="1" s="322">
      <c r="A749" s="27" t="n"/>
      <c r="B749" s="506" t="n"/>
      <c r="C749" s="141" t="n"/>
      <c r="D749" s="141" t="n"/>
      <c r="E749" s="141" t="n"/>
      <c r="F749" s="141" t="n"/>
      <c r="G749" s="143" t="n"/>
      <c r="H749" s="27" t="n"/>
    </row>
    <row r="750" ht="17.25" customHeight="1" s="322">
      <c r="A750" s="27" t="n"/>
      <c r="B750" s="506" t="n"/>
      <c r="C750" s="141" t="n"/>
      <c r="D750" s="141" t="n"/>
      <c r="E750" s="141" t="n"/>
      <c r="F750" s="141" t="n"/>
      <c r="G750" s="143" t="n"/>
      <c r="H750" s="27" t="n"/>
    </row>
    <row r="751" ht="17.25" customHeight="1" s="322">
      <c r="A751" s="27" t="n"/>
      <c r="B751" s="506" t="n"/>
      <c r="C751" s="141" t="n"/>
      <c r="D751" s="141" t="n"/>
      <c r="E751" s="141" t="n"/>
      <c r="F751" s="141" t="n"/>
      <c r="G751" s="143" t="n"/>
      <c r="H751" s="27" t="n"/>
    </row>
    <row r="752" ht="17.25" customHeight="1" s="322">
      <c r="A752" s="27" t="n"/>
      <c r="B752" s="506" t="n"/>
      <c r="C752" s="141" t="n"/>
      <c r="D752" s="141" t="n"/>
      <c r="E752" s="141" t="n"/>
      <c r="F752" s="141" t="n"/>
      <c r="G752" s="143" t="n"/>
      <c r="H752" s="27" t="n"/>
    </row>
    <row r="753" ht="17.25" customHeight="1" s="322">
      <c r="A753" s="27" t="n"/>
      <c r="B753" s="506" t="n"/>
      <c r="C753" s="141" t="n"/>
      <c r="D753" s="141" t="n"/>
      <c r="E753" s="141" t="n"/>
      <c r="F753" s="141" t="n"/>
      <c r="G753" s="143" t="n"/>
      <c r="H753" s="27" t="n"/>
    </row>
    <row r="754" ht="17.25" customHeight="1" s="322">
      <c r="A754" s="27" t="n"/>
      <c r="B754" s="506" t="n"/>
      <c r="C754" s="141" t="n"/>
      <c r="D754" s="141" t="n"/>
      <c r="E754" s="141" t="n"/>
      <c r="F754" s="141" t="n"/>
      <c r="G754" s="143" t="n"/>
      <c r="H754" s="27" t="n"/>
    </row>
    <row r="755" ht="17.25" customHeight="1" s="322">
      <c r="A755" s="27" t="n"/>
      <c r="B755" s="506" t="n"/>
      <c r="C755" s="141" t="n"/>
      <c r="D755" s="141" t="n"/>
      <c r="E755" s="141" t="n"/>
      <c r="F755" s="141" t="n"/>
      <c r="G755" s="143" t="n"/>
      <c r="H755" s="27" t="n"/>
    </row>
    <row r="756" ht="17.25" customHeight="1" s="322">
      <c r="A756" s="27" t="n"/>
      <c r="B756" s="506" t="n"/>
      <c r="C756" s="141" t="n"/>
      <c r="D756" s="141" t="n"/>
      <c r="E756" s="141" t="n"/>
      <c r="F756" s="141" t="n"/>
      <c r="G756" s="143" t="n"/>
      <c r="H756" s="27" t="n"/>
    </row>
    <row r="757" ht="17.25" customHeight="1" s="322">
      <c r="A757" s="27" t="n"/>
      <c r="B757" s="506" t="n"/>
      <c r="C757" s="141" t="n"/>
      <c r="D757" s="141" t="n"/>
      <c r="E757" s="141" t="n"/>
      <c r="F757" s="141" t="n"/>
      <c r="G757" s="143" t="n"/>
      <c r="H757" s="27" t="n"/>
    </row>
    <row r="758" ht="17.25" customHeight="1" s="322">
      <c r="A758" s="27" t="n"/>
      <c r="B758" s="506" t="n"/>
      <c r="C758" s="141" t="n"/>
      <c r="D758" s="141" t="n"/>
      <c r="E758" s="141" t="n"/>
      <c r="F758" s="141" t="n"/>
      <c r="G758" s="143" t="n"/>
      <c r="H758" s="27" t="n"/>
    </row>
    <row r="759" ht="17.25" customHeight="1" s="322">
      <c r="A759" s="27" t="n"/>
      <c r="B759" s="506" t="n"/>
      <c r="C759" s="141" t="n"/>
      <c r="D759" s="141" t="n"/>
      <c r="E759" s="141" t="n"/>
      <c r="F759" s="141" t="n"/>
      <c r="G759" s="143" t="n"/>
      <c r="H759" s="27" t="n"/>
    </row>
    <row r="760" ht="17.25" customHeight="1" s="322">
      <c r="A760" s="27" t="n"/>
      <c r="B760" s="506" t="n"/>
      <c r="C760" s="141" t="n"/>
      <c r="D760" s="141" t="n"/>
      <c r="E760" s="141" t="n"/>
      <c r="F760" s="141" t="n"/>
      <c r="G760" s="143" t="n"/>
      <c r="H760" s="27" t="n"/>
    </row>
    <row r="761" ht="17.25" customHeight="1" s="322">
      <c r="A761" s="27" t="n"/>
      <c r="B761" s="506" t="n"/>
      <c r="C761" s="141" t="n"/>
      <c r="D761" s="141" t="n"/>
      <c r="E761" s="141" t="n"/>
      <c r="F761" s="141" t="n"/>
      <c r="G761" s="143" t="n"/>
      <c r="H761" s="27" t="n"/>
    </row>
    <row r="762" ht="17.25" customHeight="1" s="322">
      <c r="A762" s="27" t="n"/>
      <c r="B762" s="506" t="n"/>
      <c r="C762" s="141" t="n"/>
      <c r="D762" s="141" t="n"/>
      <c r="E762" s="141" t="n"/>
      <c r="F762" s="141" t="n"/>
      <c r="G762" s="143" t="n"/>
      <c r="H762" s="27" t="n"/>
    </row>
    <row r="763" ht="17.25" customHeight="1" s="322">
      <c r="A763" s="27" t="n"/>
      <c r="B763" s="506" t="n"/>
      <c r="C763" s="141" t="n"/>
      <c r="D763" s="141" t="n"/>
      <c r="E763" s="141" t="n"/>
      <c r="F763" s="141" t="n"/>
      <c r="G763" s="143" t="n"/>
      <c r="H763" s="27" t="n"/>
    </row>
    <row r="764" ht="17.25" customHeight="1" s="322">
      <c r="A764" s="27" t="n"/>
      <c r="B764" s="506" t="n"/>
      <c r="C764" s="141" t="n"/>
      <c r="D764" s="141" t="n"/>
      <c r="E764" s="141" t="n"/>
      <c r="F764" s="141" t="n"/>
      <c r="G764" s="143" t="n"/>
      <c r="H764" s="27" t="n"/>
    </row>
    <row r="765" ht="17.25" customHeight="1" s="322">
      <c r="A765" s="27" t="n"/>
      <c r="B765" s="506" t="n"/>
      <c r="C765" s="141" t="n"/>
      <c r="D765" s="141" t="n"/>
      <c r="E765" s="141" t="n"/>
      <c r="F765" s="141" t="n"/>
      <c r="G765" s="143" t="n"/>
      <c r="H765" s="27" t="n"/>
    </row>
    <row r="766" ht="17.25" customHeight="1" s="322">
      <c r="A766" s="27" t="n"/>
      <c r="B766" s="506" t="n"/>
      <c r="C766" s="141" t="n"/>
      <c r="D766" s="141" t="n"/>
      <c r="E766" s="141" t="n"/>
      <c r="F766" s="141" t="n"/>
      <c r="G766" s="143" t="n"/>
      <c r="H766" s="27" t="n"/>
    </row>
    <row r="767" ht="17.25" customHeight="1" s="322">
      <c r="A767" s="27" t="n"/>
      <c r="B767" s="506" t="n"/>
      <c r="C767" s="141" t="n"/>
      <c r="D767" s="141" t="n"/>
      <c r="E767" s="141" t="n"/>
      <c r="F767" s="141" t="n"/>
      <c r="G767" s="143" t="n"/>
      <c r="H767" s="27" t="n"/>
    </row>
    <row r="768" ht="17.25" customHeight="1" s="322">
      <c r="A768" s="27" t="n"/>
      <c r="B768" s="506" t="n"/>
      <c r="C768" s="141" t="n"/>
      <c r="D768" s="141" t="n"/>
      <c r="E768" s="141" t="n"/>
      <c r="F768" s="141" t="n"/>
      <c r="G768" s="143" t="n"/>
      <c r="H768" s="27" t="n"/>
    </row>
    <row r="769" ht="17.25" customHeight="1" s="322">
      <c r="A769" s="27" t="n"/>
      <c r="B769" s="506" t="n"/>
      <c r="C769" s="141" t="n"/>
      <c r="D769" s="141" t="n"/>
      <c r="E769" s="141" t="n"/>
      <c r="F769" s="141" t="n"/>
      <c r="G769" s="143" t="n"/>
      <c r="H769" s="27" t="n"/>
    </row>
    <row r="770" ht="17.25" customHeight="1" s="322">
      <c r="A770" s="27" t="n"/>
      <c r="B770" s="506" t="n"/>
      <c r="C770" s="141" t="n"/>
      <c r="D770" s="141" t="n"/>
      <c r="E770" s="141" t="n"/>
      <c r="F770" s="141" t="n"/>
      <c r="G770" s="143" t="n"/>
      <c r="H770" s="27" t="n"/>
    </row>
    <row r="771" ht="17.25" customHeight="1" s="322">
      <c r="A771" s="27" t="n"/>
      <c r="B771" s="506" t="n"/>
      <c r="C771" s="141" t="n"/>
      <c r="D771" s="141" t="n"/>
      <c r="E771" s="141" t="n"/>
      <c r="F771" s="141" t="n"/>
      <c r="G771" s="143" t="n"/>
      <c r="H771" s="27" t="n"/>
    </row>
    <row r="772" ht="17.25" customHeight="1" s="322">
      <c r="A772" s="27" t="n"/>
      <c r="B772" s="506" t="n"/>
      <c r="C772" s="141" t="n"/>
      <c r="D772" s="141" t="n"/>
      <c r="E772" s="141" t="n"/>
      <c r="F772" s="141" t="n"/>
      <c r="G772" s="143" t="n"/>
      <c r="H772" s="27" t="n"/>
    </row>
    <row r="773" ht="17.25" customHeight="1" s="322">
      <c r="A773" s="27" t="n"/>
      <c r="B773" s="506" t="n"/>
      <c r="C773" s="141" t="n"/>
      <c r="D773" s="141" t="n"/>
      <c r="E773" s="141" t="n"/>
      <c r="F773" s="141" t="n"/>
      <c r="G773" s="143" t="n"/>
      <c r="H773" s="27" t="n"/>
    </row>
    <row r="774" ht="17.25" customHeight="1" s="322">
      <c r="A774" s="27" t="n"/>
      <c r="B774" s="506" t="n"/>
      <c r="C774" s="141" t="n"/>
      <c r="D774" s="141" t="n"/>
      <c r="E774" s="141" t="n"/>
      <c r="F774" s="141" t="n"/>
      <c r="G774" s="143" t="n"/>
      <c r="H774" s="27" t="n"/>
    </row>
    <row r="775" ht="17.25" customHeight="1" s="322">
      <c r="A775" s="27" t="n"/>
      <c r="B775" s="506" t="n"/>
      <c r="C775" s="141" t="n"/>
      <c r="D775" s="141" t="n"/>
      <c r="E775" s="141" t="n"/>
      <c r="F775" s="141" t="n"/>
      <c r="G775" s="143" t="n"/>
      <c r="H775" s="27" t="n"/>
    </row>
    <row r="776" ht="17.25" customHeight="1" s="322">
      <c r="A776" s="27" t="n"/>
      <c r="B776" s="506" t="n"/>
      <c r="C776" s="141" t="n"/>
      <c r="D776" s="141" t="n"/>
      <c r="E776" s="141" t="n"/>
      <c r="F776" s="141" t="n"/>
      <c r="G776" s="143" t="n"/>
      <c r="H776" s="27" t="n"/>
    </row>
    <row r="777" ht="17.25" customHeight="1" s="322">
      <c r="A777" s="27" t="n"/>
      <c r="B777" s="506" t="n"/>
      <c r="C777" s="141" t="n"/>
      <c r="D777" s="141" t="n"/>
      <c r="E777" s="141" t="n"/>
      <c r="F777" s="141" t="n"/>
      <c r="G777" s="143" t="n"/>
      <c r="H777" s="27" t="n"/>
    </row>
    <row r="778" ht="17.25" customHeight="1" s="322">
      <c r="A778" s="27" t="n"/>
      <c r="B778" s="506" t="n"/>
      <c r="C778" s="141" t="n"/>
      <c r="D778" s="141" t="n"/>
      <c r="E778" s="141" t="n"/>
      <c r="F778" s="141" t="n"/>
      <c r="G778" s="143" t="n"/>
      <c r="H778" s="27" t="n"/>
    </row>
    <row r="779" ht="17.25" customHeight="1" s="322">
      <c r="A779" s="27" t="n"/>
      <c r="B779" s="506" t="n"/>
      <c r="C779" s="141" t="n"/>
      <c r="D779" s="141" t="n"/>
      <c r="E779" s="141" t="n"/>
      <c r="F779" s="141" t="n"/>
      <c r="G779" s="143" t="n"/>
      <c r="H779" s="27" t="n"/>
    </row>
    <row r="780" ht="17.25" customHeight="1" s="322">
      <c r="A780" s="27" t="n"/>
      <c r="B780" s="506" t="n"/>
      <c r="C780" s="141" t="n"/>
      <c r="D780" s="141" t="n"/>
      <c r="E780" s="141" t="n"/>
      <c r="F780" s="141" t="n"/>
      <c r="G780" s="143" t="n"/>
      <c r="H780" s="27" t="n"/>
    </row>
    <row r="781" ht="17.25" customHeight="1" s="322">
      <c r="A781" s="27" t="n"/>
      <c r="B781" s="506" t="n"/>
      <c r="C781" s="141" t="n"/>
      <c r="D781" s="141" t="n"/>
      <c r="E781" s="141" t="n"/>
      <c r="F781" s="141" t="n"/>
      <c r="G781" s="143" t="n"/>
      <c r="H781" s="27" t="n"/>
    </row>
    <row r="782" ht="17.25" customHeight="1" s="322">
      <c r="A782" s="27" t="n"/>
      <c r="B782" s="506" t="n"/>
      <c r="C782" s="141" t="n"/>
      <c r="D782" s="141" t="n"/>
      <c r="E782" s="141" t="n"/>
      <c r="F782" s="141" t="n"/>
      <c r="G782" s="143" t="n"/>
      <c r="H782" s="27" t="n"/>
    </row>
    <row r="783" ht="17.25" customHeight="1" s="322">
      <c r="A783" s="27" t="n"/>
      <c r="B783" s="506" t="n"/>
      <c r="C783" s="141" t="n"/>
      <c r="D783" s="141" t="n"/>
      <c r="E783" s="141" t="n"/>
      <c r="F783" s="141" t="n"/>
      <c r="G783" s="143" t="n"/>
      <c r="H783" s="27" t="n"/>
    </row>
    <row r="784" ht="17.25" customHeight="1" s="322">
      <c r="A784" s="27" t="n"/>
      <c r="B784" s="506" t="n"/>
      <c r="C784" s="141" t="n"/>
      <c r="D784" s="141" t="n"/>
      <c r="E784" s="141" t="n"/>
      <c r="F784" s="141" t="n"/>
      <c r="G784" s="143" t="n"/>
      <c r="H784" s="27" t="n"/>
    </row>
    <row r="785" ht="17.25" customHeight="1" s="322">
      <c r="A785" s="27" t="n"/>
      <c r="B785" s="506" t="n"/>
      <c r="C785" s="141" t="n"/>
      <c r="D785" s="141" t="n"/>
      <c r="E785" s="141" t="n"/>
      <c r="F785" s="141" t="n"/>
      <c r="G785" s="143" t="n"/>
      <c r="H785" s="27" t="n"/>
    </row>
    <row r="786" ht="17.25" customHeight="1" s="322">
      <c r="A786" s="27" t="n"/>
      <c r="B786" s="506" t="n"/>
      <c r="C786" s="141" t="n"/>
      <c r="D786" s="141" t="n"/>
      <c r="E786" s="141" t="n"/>
      <c r="F786" s="141" t="n"/>
      <c r="G786" s="143" t="n"/>
      <c r="H786" s="27" t="n"/>
    </row>
    <row r="787" ht="17.25" customHeight="1" s="322">
      <c r="A787" s="27" t="n"/>
      <c r="B787" s="506" t="n"/>
      <c r="C787" s="141" t="n"/>
      <c r="D787" s="141" t="n"/>
      <c r="E787" s="141" t="n"/>
      <c r="F787" s="141" t="n"/>
      <c r="G787" s="143" t="n"/>
      <c r="H787" s="27" t="n"/>
    </row>
    <row r="788" ht="17.25" customHeight="1" s="322">
      <c r="A788" s="27" t="n"/>
      <c r="B788" s="506" t="n"/>
      <c r="C788" s="141" t="n"/>
      <c r="D788" s="141" t="n"/>
      <c r="E788" s="141" t="n"/>
      <c r="F788" s="141" t="n"/>
      <c r="G788" s="143" t="n"/>
      <c r="H788" s="27" t="n"/>
    </row>
    <row r="789" ht="17.25" customHeight="1" s="322">
      <c r="A789" s="27" t="n"/>
      <c r="B789" s="506" t="n"/>
      <c r="C789" s="141" t="n"/>
      <c r="D789" s="141" t="n"/>
      <c r="E789" s="141" t="n"/>
      <c r="F789" s="141" t="n"/>
      <c r="G789" s="143" t="n"/>
      <c r="H789" s="27" t="n"/>
    </row>
    <row r="790" ht="17.25" customHeight="1" s="322">
      <c r="A790" s="27" t="n"/>
      <c r="B790" s="506" t="n"/>
      <c r="C790" s="141" t="n"/>
      <c r="D790" s="141" t="n"/>
      <c r="E790" s="141" t="n"/>
      <c r="F790" s="141" t="n"/>
      <c r="G790" s="143" t="n"/>
      <c r="H790" s="27" t="n"/>
    </row>
    <row r="791" ht="17.25" customHeight="1" s="322">
      <c r="A791" s="27" t="n"/>
      <c r="B791" s="506" t="n"/>
      <c r="C791" s="141" t="n"/>
      <c r="D791" s="141" t="n"/>
      <c r="E791" s="141" t="n"/>
      <c r="F791" s="141" t="n"/>
      <c r="G791" s="143" t="n"/>
      <c r="H791" s="27" t="n"/>
    </row>
    <row r="792" ht="17.25" customHeight="1" s="322">
      <c r="A792" s="27" t="n"/>
      <c r="B792" s="506" t="n"/>
      <c r="C792" s="141" t="n"/>
      <c r="D792" s="141" t="n"/>
      <c r="E792" s="141" t="n"/>
      <c r="F792" s="141" t="n"/>
      <c r="G792" s="143" t="n"/>
      <c r="H792" s="27" t="n"/>
    </row>
    <row r="793" ht="17.25" customHeight="1" s="322">
      <c r="A793" s="27" t="n"/>
      <c r="B793" s="506" t="n"/>
      <c r="C793" s="141" t="n"/>
      <c r="D793" s="141" t="n"/>
      <c r="E793" s="141" t="n"/>
      <c r="F793" s="141" t="n"/>
      <c r="G793" s="143" t="n"/>
      <c r="H793" s="27" t="n"/>
    </row>
    <row r="794" ht="17.25" customHeight="1" s="322">
      <c r="A794" s="27" t="n"/>
      <c r="B794" s="506" t="n"/>
      <c r="C794" s="141" t="n"/>
      <c r="D794" s="141" t="n"/>
      <c r="E794" s="141" t="n"/>
      <c r="F794" s="141" t="n"/>
      <c r="G794" s="143" t="n"/>
      <c r="H794" s="27" t="n"/>
    </row>
    <row r="795" ht="17.25" customHeight="1" s="322">
      <c r="A795" s="27" t="n"/>
      <c r="B795" s="506" t="n"/>
      <c r="C795" s="141" t="n"/>
      <c r="D795" s="141" t="n"/>
      <c r="E795" s="141" t="n"/>
      <c r="F795" s="141" t="n"/>
      <c r="G795" s="143" t="n"/>
      <c r="H795" s="27" t="n"/>
    </row>
    <row r="796" ht="17.25" customHeight="1" s="322">
      <c r="A796" s="27" t="n"/>
      <c r="B796" s="506" t="n"/>
      <c r="C796" s="141" t="n"/>
      <c r="D796" s="141" t="n"/>
      <c r="E796" s="141" t="n"/>
      <c r="F796" s="141" t="n"/>
      <c r="G796" s="143" t="n"/>
      <c r="H796" s="27" t="n"/>
    </row>
    <row r="797" ht="17.25" customHeight="1" s="322">
      <c r="A797" s="27" t="n"/>
      <c r="B797" s="506" t="n"/>
      <c r="C797" s="141" t="n"/>
      <c r="D797" s="141" t="n"/>
      <c r="E797" s="141" t="n"/>
      <c r="F797" s="141" t="n"/>
      <c r="G797" s="143" t="n"/>
      <c r="H797" s="27" t="n"/>
    </row>
    <row r="798" ht="17.25" customHeight="1" s="322">
      <c r="A798" s="27" t="n"/>
      <c r="B798" s="506" t="n"/>
      <c r="C798" s="141" t="n"/>
      <c r="D798" s="141" t="n"/>
      <c r="E798" s="141" t="n"/>
      <c r="F798" s="141" t="n"/>
      <c r="G798" s="143" t="n"/>
      <c r="H798" s="27" t="n"/>
    </row>
    <row r="799" ht="17.25" customHeight="1" s="322">
      <c r="A799" s="27" t="n"/>
      <c r="B799" s="506" t="n"/>
      <c r="C799" s="141" t="n"/>
      <c r="D799" s="141" t="n"/>
      <c r="E799" s="141" t="n"/>
      <c r="F799" s="141" t="n"/>
      <c r="G799" s="143" t="n"/>
      <c r="H799" s="27" t="n"/>
    </row>
    <row r="800" ht="17.25" customHeight="1" s="322">
      <c r="A800" s="27" t="n"/>
      <c r="B800" s="506" t="n"/>
      <c r="C800" s="141" t="n"/>
      <c r="D800" s="141" t="n"/>
      <c r="E800" s="141" t="n"/>
      <c r="F800" s="141" t="n"/>
      <c r="G800" s="143" t="n"/>
      <c r="H800" s="27" t="n"/>
    </row>
    <row r="801" ht="17.25" customHeight="1" s="322">
      <c r="A801" s="27" t="n"/>
      <c r="B801" s="506" t="n"/>
      <c r="C801" s="141" t="n"/>
      <c r="D801" s="141" t="n"/>
      <c r="E801" s="141" t="n"/>
      <c r="F801" s="141" t="n"/>
      <c r="G801" s="143" t="n"/>
      <c r="H801" s="27" t="n"/>
    </row>
    <row r="802" ht="17.25" customHeight="1" s="322">
      <c r="A802" s="27" t="n"/>
      <c r="B802" s="506" t="n"/>
      <c r="C802" s="141" t="n"/>
      <c r="D802" s="141" t="n"/>
      <c r="E802" s="141" t="n"/>
      <c r="F802" s="141" t="n"/>
      <c r="G802" s="143" t="n"/>
      <c r="H802" s="27" t="n"/>
    </row>
    <row r="803" ht="17.25" customHeight="1" s="322">
      <c r="A803" s="27" t="n"/>
      <c r="B803" s="506" t="n"/>
      <c r="C803" s="141" t="n"/>
      <c r="D803" s="141" t="n"/>
      <c r="E803" s="141" t="n"/>
      <c r="F803" s="141" t="n"/>
      <c r="G803" s="143" t="n"/>
      <c r="H803" s="27" t="n"/>
    </row>
    <row r="804" ht="17.25" customHeight="1" s="322">
      <c r="A804" s="27" t="n"/>
      <c r="B804" s="506" t="n"/>
      <c r="C804" s="141" t="n"/>
      <c r="D804" s="141" t="n"/>
      <c r="E804" s="141" t="n"/>
      <c r="F804" s="141" t="n"/>
      <c r="G804" s="143" t="n"/>
      <c r="H804" s="27" t="n"/>
    </row>
    <row r="805" ht="17.25" customHeight="1" s="322">
      <c r="A805" s="27" t="n"/>
      <c r="B805" s="506" t="n"/>
      <c r="C805" s="141" t="n"/>
      <c r="D805" s="141" t="n"/>
      <c r="E805" s="141" t="n"/>
      <c r="F805" s="141" t="n"/>
      <c r="G805" s="143" t="n"/>
      <c r="H805" s="27" t="n"/>
    </row>
    <row r="806" ht="17.25" customHeight="1" s="322">
      <c r="A806" s="27" t="n"/>
      <c r="B806" s="506" t="n"/>
      <c r="C806" s="141" t="n"/>
      <c r="D806" s="141" t="n"/>
      <c r="E806" s="141" t="n"/>
      <c r="F806" s="141" t="n"/>
      <c r="G806" s="143" t="n"/>
      <c r="H806" s="27" t="n"/>
    </row>
    <row r="807" ht="17.25" customHeight="1" s="322">
      <c r="A807" s="27" t="n"/>
      <c r="B807" s="506" t="n"/>
      <c r="C807" s="141" t="n"/>
      <c r="D807" s="141" t="n"/>
      <c r="E807" s="141" t="n"/>
      <c r="F807" s="141" t="n"/>
      <c r="G807" s="143" t="n"/>
      <c r="H807" s="27" t="n"/>
    </row>
    <row r="808" ht="17.25" customHeight="1" s="322">
      <c r="A808" s="27" t="n"/>
      <c r="B808" s="506" t="n"/>
      <c r="C808" s="141" t="n"/>
      <c r="D808" s="141" t="n"/>
      <c r="E808" s="141" t="n"/>
      <c r="F808" s="141" t="n"/>
      <c r="G808" s="143" t="n"/>
      <c r="H808" s="27" t="n"/>
    </row>
    <row r="809" ht="17.25" customHeight="1" s="322">
      <c r="A809" s="27" t="n"/>
      <c r="B809" s="506" t="n"/>
      <c r="C809" s="141" t="n"/>
      <c r="D809" s="141" t="n"/>
      <c r="E809" s="141" t="n"/>
      <c r="F809" s="141" t="n"/>
      <c r="G809" s="143" t="n"/>
      <c r="H809" s="27" t="n"/>
    </row>
    <row r="810" ht="17.25" customHeight="1" s="322">
      <c r="A810" s="27" t="n"/>
      <c r="B810" s="506" t="n"/>
      <c r="C810" s="141" t="n"/>
      <c r="D810" s="141" t="n"/>
      <c r="E810" s="141" t="n"/>
      <c r="F810" s="141" t="n"/>
      <c r="G810" s="143" t="n"/>
      <c r="H810" s="27" t="n"/>
    </row>
    <row r="811" ht="17.25" customHeight="1" s="322">
      <c r="A811" s="27" t="n"/>
      <c r="B811" s="506" t="n"/>
      <c r="C811" s="141" t="n"/>
      <c r="D811" s="141" t="n"/>
      <c r="E811" s="141" t="n"/>
      <c r="F811" s="141" t="n"/>
      <c r="G811" s="143" t="n"/>
      <c r="H811" s="27" t="n"/>
    </row>
    <row r="812" ht="17.25" customHeight="1" s="322">
      <c r="A812" s="27" t="n"/>
      <c r="B812" s="506" t="n"/>
      <c r="C812" s="141" t="n"/>
      <c r="D812" s="141" t="n"/>
      <c r="E812" s="141" t="n"/>
      <c r="F812" s="141" t="n"/>
      <c r="G812" s="143" t="n"/>
      <c r="H812" s="27" t="n"/>
    </row>
    <row r="813" ht="17.25" customHeight="1" s="322">
      <c r="A813" s="27" t="n"/>
      <c r="B813" s="506" t="n"/>
      <c r="C813" s="141" t="n"/>
      <c r="D813" s="141" t="n"/>
      <c r="E813" s="141" t="n"/>
      <c r="F813" s="141" t="n"/>
      <c r="G813" s="143" t="n"/>
      <c r="H813" s="27" t="n"/>
    </row>
    <row r="814" ht="17.25" customHeight="1" s="322">
      <c r="A814" s="27" t="n"/>
      <c r="B814" s="506" t="n"/>
      <c r="C814" s="141" t="n"/>
      <c r="D814" s="141" t="n"/>
      <c r="E814" s="141" t="n"/>
      <c r="F814" s="141" t="n"/>
      <c r="G814" s="143" t="n"/>
      <c r="H814" s="27" t="n"/>
    </row>
    <row r="815" ht="17.25" customHeight="1" s="322">
      <c r="A815" s="27" t="n"/>
      <c r="B815" s="506" t="n"/>
      <c r="C815" s="141" t="n"/>
      <c r="D815" s="141" t="n"/>
      <c r="E815" s="141" t="n"/>
      <c r="F815" s="141" t="n"/>
      <c r="G815" s="143" t="n"/>
      <c r="H815" s="27" t="n"/>
    </row>
    <row r="816" ht="17.25" customHeight="1" s="322">
      <c r="A816" s="27" t="n"/>
      <c r="B816" s="506" t="n"/>
      <c r="C816" s="141" t="n"/>
      <c r="D816" s="141" t="n"/>
      <c r="E816" s="141" t="n"/>
      <c r="F816" s="141" t="n"/>
      <c r="G816" s="143" t="n"/>
      <c r="H816" s="27" t="n"/>
    </row>
    <row r="817" ht="17.25" customHeight="1" s="322">
      <c r="A817" s="27" t="n"/>
      <c r="B817" s="506" t="n"/>
      <c r="C817" s="141" t="n"/>
      <c r="D817" s="141" t="n"/>
      <c r="E817" s="141" t="n"/>
      <c r="F817" s="141" t="n"/>
      <c r="G817" s="143" t="n"/>
      <c r="H817" s="27" t="n"/>
    </row>
    <row r="818" ht="17.25" customHeight="1" s="322">
      <c r="A818" s="27" t="n"/>
      <c r="B818" s="506" t="n"/>
      <c r="C818" s="141" t="n"/>
      <c r="D818" s="141" t="n"/>
      <c r="E818" s="141" t="n"/>
      <c r="F818" s="141" t="n"/>
      <c r="G818" s="143" t="n"/>
      <c r="H818" s="27" t="n"/>
    </row>
    <row r="819" ht="17.25" customHeight="1" s="322">
      <c r="A819" s="27" t="n"/>
      <c r="B819" s="506" t="n"/>
      <c r="C819" s="141" t="n"/>
      <c r="D819" s="141" t="n"/>
      <c r="E819" s="141" t="n"/>
      <c r="F819" s="141" t="n"/>
      <c r="G819" s="143" t="n"/>
      <c r="H819" s="27" t="n"/>
    </row>
    <row r="820" ht="17.25" customHeight="1" s="322">
      <c r="A820" s="27" t="n"/>
      <c r="B820" s="506" t="n"/>
      <c r="C820" s="141" t="n"/>
      <c r="D820" s="141" t="n"/>
      <c r="E820" s="141" t="n"/>
      <c r="F820" s="141" t="n"/>
      <c r="G820" s="143" t="n"/>
      <c r="H820" s="27" t="n"/>
    </row>
    <row r="821" ht="17.25" customHeight="1" s="322">
      <c r="A821" s="27" t="n"/>
      <c r="B821" s="506" t="n"/>
      <c r="C821" s="141" t="n"/>
      <c r="D821" s="141" t="n"/>
      <c r="E821" s="141" t="n"/>
      <c r="F821" s="141" t="n"/>
      <c r="G821" s="143" t="n"/>
      <c r="H821" s="27" t="n"/>
    </row>
    <row r="822" ht="17.25" customHeight="1" s="322">
      <c r="A822" s="27" t="n"/>
      <c r="B822" s="506" t="n"/>
      <c r="C822" s="141" t="n"/>
      <c r="D822" s="141" t="n"/>
      <c r="E822" s="141" t="n"/>
      <c r="F822" s="141" t="n"/>
      <c r="G822" s="143" t="n"/>
      <c r="H822" s="27" t="n"/>
    </row>
    <row r="823" ht="17.25" customHeight="1" s="322">
      <c r="A823" s="27" t="n"/>
      <c r="B823" s="506" t="n"/>
      <c r="C823" s="141" t="n"/>
      <c r="D823" s="141" t="n"/>
      <c r="E823" s="141" t="n"/>
      <c r="F823" s="141" t="n"/>
      <c r="G823" s="143" t="n"/>
      <c r="H823" s="27" t="n"/>
    </row>
    <row r="824" ht="17.25" customHeight="1" s="322">
      <c r="A824" s="27" t="n"/>
      <c r="B824" s="506" t="n"/>
      <c r="C824" s="141" t="n"/>
      <c r="D824" s="141" t="n"/>
      <c r="E824" s="141" t="n"/>
      <c r="F824" s="141" t="n"/>
      <c r="G824" s="143" t="n"/>
      <c r="H824" s="27" t="n"/>
    </row>
    <row r="825" ht="17.25" customHeight="1" s="322">
      <c r="A825" s="27" t="n"/>
      <c r="B825" s="506" t="n"/>
      <c r="C825" s="141" t="n"/>
      <c r="D825" s="141" t="n"/>
      <c r="E825" s="141" t="n"/>
      <c r="F825" s="141" t="n"/>
      <c r="G825" s="143" t="n"/>
      <c r="H825" s="27" t="n"/>
    </row>
    <row r="826" ht="17.25" customHeight="1" s="322">
      <c r="A826" s="27" t="n"/>
      <c r="B826" s="506" t="n"/>
      <c r="C826" s="141" t="n"/>
      <c r="D826" s="141" t="n"/>
      <c r="E826" s="141" t="n"/>
      <c r="F826" s="141" t="n"/>
      <c r="G826" s="143" t="n"/>
      <c r="H826" s="27" t="n"/>
    </row>
    <row r="827" ht="17.25" customHeight="1" s="322">
      <c r="A827" s="27" t="n"/>
      <c r="B827" s="506" t="n"/>
      <c r="C827" s="141" t="n"/>
      <c r="D827" s="141" t="n"/>
      <c r="E827" s="141" t="n"/>
      <c r="F827" s="141" t="n"/>
      <c r="G827" s="143" t="n"/>
      <c r="H827" s="27" t="n"/>
    </row>
    <row r="828" ht="17.25" customHeight="1" s="322">
      <c r="A828" s="27" t="n"/>
      <c r="B828" s="506" t="n"/>
      <c r="C828" s="141" t="n"/>
      <c r="D828" s="141" t="n"/>
      <c r="E828" s="141" t="n"/>
      <c r="F828" s="141" t="n"/>
      <c r="G828" s="143" t="n"/>
      <c r="H828" s="27" t="n"/>
    </row>
    <row r="829" ht="17.25" customHeight="1" s="322">
      <c r="A829" s="27" t="n"/>
      <c r="B829" s="506" t="n"/>
      <c r="C829" s="141" t="n"/>
      <c r="D829" s="141" t="n"/>
      <c r="E829" s="141" t="n"/>
      <c r="F829" s="141" t="n"/>
      <c r="G829" s="143" t="n"/>
      <c r="H829" s="27" t="n"/>
    </row>
    <row r="830" ht="17.25" customHeight="1" s="322">
      <c r="A830" s="27" t="n"/>
      <c r="B830" s="506" t="n"/>
      <c r="C830" s="141" t="n"/>
      <c r="D830" s="141" t="n"/>
      <c r="E830" s="141" t="n"/>
      <c r="F830" s="141" t="n"/>
      <c r="G830" s="143" t="n"/>
      <c r="H830" s="27" t="n"/>
    </row>
    <row r="831" ht="17.25" customHeight="1" s="322">
      <c r="A831" s="27" t="n"/>
      <c r="B831" s="506" t="n"/>
      <c r="C831" s="141" t="n"/>
      <c r="D831" s="141" t="n"/>
      <c r="E831" s="141" t="n"/>
      <c r="F831" s="141" t="n"/>
      <c r="G831" s="143" t="n"/>
      <c r="H831" s="27" t="n"/>
    </row>
    <row r="832" ht="17.25" customHeight="1" s="322">
      <c r="A832" s="27" t="n"/>
      <c r="B832" s="506" t="n"/>
      <c r="C832" s="141" t="n"/>
      <c r="D832" s="141" t="n"/>
      <c r="E832" s="141" t="n"/>
      <c r="F832" s="141" t="n"/>
      <c r="G832" s="143" t="n"/>
      <c r="H832" s="27" t="n"/>
    </row>
    <row r="833" ht="17.25" customHeight="1" s="322">
      <c r="A833" s="27" t="n"/>
      <c r="B833" s="506" t="n"/>
      <c r="C833" s="141" t="n"/>
      <c r="D833" s="141" t="n"/>
      <c r="E833" s="141" t="n"/>
      <c r="F833" s="141" t="n"/>
      <c r="G833" s="143" t="n"/>
      <c r="H833" s="27" t="n"/>
    </row>
    <row r="834" ht="17.25" customHeight="1" s="322">
      <c r="A834" s="27" t="n"/>
      <c r="B834" s="506" t="n"/>
      <c r="C834" s="141" t="n"/>
      <c r="D834" s="141" t="n"/>
      <c r="E834" s="141" t="n"/>
      <c r="F834" s="141" t="n"/>
      <c r="G834" s="143" t="n"/>
      <c r="H834" s="27" t="n"/>
    </row>
    <row r="835" ht="17.25" customHeight="1" s="322">
      <c r="A835" s="27" t="n"/>
      <c r="B835" s="506" t="n"/>
      <c r="C835" s="141" t="n"/>
      <c r="D835" s="141" t="n"/>
      <c r="E835" s="141" t="n"/>
      <c r="F835" s="141" t="n"/>
      <c r="G835" s="143" t="n"/>
      <c r="H835" s="27" t="n"/>
    </row>
    <row r="836" ht="17.25" customHeight="1" s="322">
      <c r="A836" s="27" t="n"/>
      <c r="B836" s="506" t="n"/>
      <c r="C836" s="141" t="n"/>
      <c r="D836" s="141" t="n"/>
      <c r="E836" s="141" t="n"/>
      <c r="F836" s="141" t="n"/>
      <c r="G836" s="143" t="n"/>
      <c r="H836" s="27" t="n"/>
    </row>
    <row r="837" ht="17.25" customHeight="1" s="322">
      <c r="A837" s="27" t="n"/>
      <c r="B837" s="506" t="n"/>
      <c r="C837" s="141" t="n"/>
      <c r="D837" s="141" t="n"/>
      <c r="E837" s="141" t="n"/>
      <c r="F837" s="141" t="n"/>
      <c r="G837" s="143" t="n"/>
      <c r="H837" s="27" t="n"/>
    </row>
    <row r="838" ht="17.25" customHeight="1" s="322">
      <c r="A838" s="27" t="n"/>
      <c r="B838" s="506" t="n"/>
      <c r="C838" s="141" t="n"/>
      <c r="D838" s="141" t="n"/>
      <c r="E838" s="141" t="n"/>
      <c r="F838" s="141" t="n"/>
      <c r="G838" s="143" t="n"/>
      <c r="H838" s="27" t="n"/>
    </row>
    <row r="839" ht="17.25" customHeight="1" s="322">
      <c r="A839" s="27" t="n"/>
      <c r="B839" s="506" t="n"/>
      <c r="C839" s="141" t="n"/>
      <c r="D839" s="141" t="n"/>
      <c r="E839" s="141" t="n"/>
      <c r="F839" s="141" t="n"/>
      <c r="G839" s="143" t="n"/>
      <c r="H839" s="27" t="n"/>
    </row>
    <row r="840" ht="17.25" customHeight="1" s="322">
      <c r="A840" s="27" t="n"/>
      <c r="B840" s="506" t="n"/>
      <c r="C840" s="141" t="n"/>
      <c r="D840" s="141" t="n"/>
      <c r="E840" s="141" t="n"/>
      <c r="F840" s="141" t="n"/>
      <c r="G840" s="143" t="n"/>
      <c r="H840" s="27" t="n"/>
    </row>
    <row r="841" ht="17.25" customHeight="1" s="322">
      <c r="A841" s="27" t="n"/>
      <c r="B841" s="506" t="n"/>
      <c r="C841" s="141" t="n"/>
      <c r="D841" s="141" t="n"/>
      <c r="E841" s="141" t="n"/>
      <c r="F841" s="141" t="n"/>
      <c r="G841" s="143" t="n"/>
      <c r="H841" s="27" t="n"/>
    </row>
    <row r="842" ht="17.25" customHeight="1" s="322">
      <c r="A842" s="27" t="n"/>
      <c r="B842" s="506" t="n"/>
      <c r="C842" s="141" t="n"/>
      <c r="D842" s="141" t="n"/>
      <c r="E842" s="141" t="n"/>
      <c r="F842" s="141" t="n"/>
      <c r="G842" s="143" t="n"/>
      <c r="H842" s="27" t="n"/>
    </row>
    <row r="843" ht="17.25" customHeight="1" s="322">
      <c r="A843" s="27" t="n"/>
      <c r="B843" s="506" t="n"/>
      <c r="C843" s="141" t="n"/>
      <c r="D843" s="141" t="n"/>
      <c r="E843" s="141" t="n"/>
      <c r="F843" s="141" t="n"/>
      <c r="G843" s="143" t="n"/>
      <c r="H843" s="27" t="n"/>
    </row>
    <row r="844" ht="17.25" customHeight="1" s="322">
      <c r="A844" s="27" t="n"/>
      <c r="B844" s="506" t="n"/>
      <c r="C844" s="141" t="n"/>
      <c r="D844" s="141" t="n"/>
      <c r="E844" s="141" t="n"/>
      <c r="F844" s="141" t="n"/>
      <c r="G844" s="143" t="n"/>
      <c r="H844" s="27" t="n"/>
    </row>
    <row r="845" ht="17.25" customHeight="1" s="322">
      <c r="A845" s="27" t="n"/>
      <c r="B845" s="506" t="n"/>
      <c r="C845" s="141" t="n"/>
      <c r="D845" s="141" t="n"/>
      <c r="E845" s="141" t="n"/>
      <c r="F845" s="141" t="n"/>
      <c r="G845" s="143" t="n"/>
      <c r="H845" s="27" t="n"/>
    </row>
    <row r="846" ht="17.25" customHeight="1" s="322">
      <c r="A846" s="27" t="n"/>
      <c r="B846" s="506" t="n"/>
      <c r="C846" s="141" t="n"/>
      <c r="D846" s="141" t="n"/>
      <c r="E846" s="141" t="n"/>
      <c r="F846" s="141" t="n"/>
      <c r="G846" s="143" t="n"/>
      <c r="H846" s="27" t="n"/>
    </row>
    <row r="847" ht="17.25" customHeight="1" s="322">
      <c r="A847" s="27" t="n"/>
      <c r="B847" s="506" t="n"/>
      <c r="C847" s="141" t="n"/>
      <c r="D847" s="141" t="n"/>
      <c r="E847" s="141" t="n"/>
      <c r="F847" s="141" t="n"/>
      <c r="G847" s="143" t="n"/>
      <c r="H847" s="27" t="n"/>
    </row>
    <row r="848" ht="17.25" customHeight="1" s="322">
      <c r="A848" s="27" t="n"/>
      <c r="B848" s="506" t="n"/>
      <c r="C848" s="141" t="n"/>
      <c r="D848" s="141" t="n"/>
      <c r="E848" s="141" t="n"/>
      <c r="F848" s="141" t="n"/>
      <c r="G848" s="143" t="n"/>
      <c r="H848" s="27" t="n"/>
    </row>
    <row r="849" ht="17.25" customHeight="1" s="322">
      <c r="A849" s="27" t="n"/>
      <c r="B849" s="506" t="n"/>
      <c r="C849" s="141" t="n"/>
      <c r="D849" s="141" t="n"/>
      <c r="E849" s="141" t="n"/>
      <c r="F849" s="141" t="n"/>
      <c r="G849" s="143" t="n"/>
      <c r="H849" s="27" t="n"/>
    </row>
    <row r="850" ht="17.25" customHeight="1" s="322">
      <c r="A850" s="27" t="n"/>
      <c r="B850" s="506" t="n"/>
      <c r="C850" s="141" t="n"/>
      <c r="D850" s="141" t="n"/>
      <c r="E850" s="141" t="n"/>
      <c r="F850" s="141" t="n"/>
      <c r="G850" s="143" t="n"/>
      <c r="H850" s="27" t="n"/>
    </row>
    <row r="851" ht="17.25" customHeight="1" s="322">
      <c r="A851" s="27" t="n"/>
      <c r="B851" s="506" t="n"/>
      <c r="C851" s="141" t="n"/>
      <c r="D851" s="141" t="n"/>
      <c r="E851" s="141" t="n"/>
      <c r="F851" s="141" t="n"/>
      <c r="G851" s="143" t="n"/>
      <c r="H851" s="27" t="n"/>
    </row>
    <row r="852" ht="17.25" customHeight="1" s="322">
      <c r="A852" s="27" t="n"/>
      <c r="B852" s="506" t="n"/>
      <c r="C852" s="141" t="n"/>
      <c r="D852" s="141" t="n"/>
      <c r="E852" s="141" t="n"/>
      <c r="F852" s="141" t="n"/>
      <c r="G852" s="143" t="n"/>
      <c r="H852" s="27" t="n"/>
    </row>
    <row r="853" ht="17.25" customHeight="1" s="322">
      <c r="A853" s="27" t="n"/>
      <c r="B853" s="506" t="n"/>
      <c r="C853" s="141" t="n"/>
      <c r="D853" s="141" t="n"/>
      <c r="E853" s="141" t="n"/>
      <c r="F853" s="141" t="n"/>
      <c r="G853" s="143" t="n"/>
      <c r="H853" s="27" t="n"/>
    </row>
    <row r="854" ht="17.25" customHeight="1" s="322">
      <c r="A854" s="27" t="n"/>
      <c r="B854" s="506" t="n"/>
      <c r="C854" s="141" t="n"/>
      <c r="D854" s="141" t="n"/>
      <c r="E854" s="141" t="n"/>
      <c r="F854" s="141" t="n"/>
      <c r="G854" s="143" t="n"/>
      <c r="H854" s="27" t="n"/>
    </row>
    <row r="855" ht="17.25" customHeight="1" s="322">
      <c r="A855" s="27" t="n"/>
      <c r="B855" s="506" t="n"/>
      <c r="C855" s="141" t="n"/>
      <c r="D855" s="141" t="n"/>
      <c r="E855" s="141" t="n"/>
      <c r="F855" s="141" t="n"/>
      <c r="G855" s="143" t="n"/>
      <c r="H855" s="27" t="n"/>
    </row>
    <row r="856" ht="17.25" customHeight="1" s="322">
      <c r="A856" s="27" t="n"/>
      <c r="B856" s="506" t="n"/>
      <c r="C856" s="141" t="n"/>
      <c r="D856" s="141" t="n"/>
      <c r="E856" s="141" t="n"/>
      <c r="F856" s="141" t="n"/>
      <c r="G856" s="143" t="n"/>
      <c r="H856" s="27" t="n"/>
    </row>
    <row r="857" ht="17.25" customHeight="1" s="322">
      <c r="A857" s="27" t="n"/>
      <c r="B857" s="506" t="n"/>
      <c r="C857" s="141" t="n"/>
      <c r="D857" s="141" t="n"/>
      <c r="E857" s="141" t="n"/>
      <c r="F857" s="141" t="n"/>
      <c r="G857" s="143" t="n"/>
      <c r="H857" s="27" t="n"/>
    </row>
    <row r="858" ht="17.25" customHeight="1" s="322">
      <c r="A858" s="27" t="n"/>
      <c r="B858" s="506" t="n"/>
      <c r="C858" s="141" t="n"/>
      <c r="D858" s="141" t="n"/>
      <c r="E858" s="141" t="n"/>
      <c r="F858" s="141" t="n"/>
      <c r="G858" s="143" t="n"/>
      <c r="H858" s="27" t="n"/>
    </row>
    <row r="859" ht="17.25" customHeight="1" s="322">
      <c r="A859" s="27" t="n"/>
      <c r="B859" s="506" t="n"/>
      <c r="C859" s="141" t="n"/>
      <c r="D859" s="141" t="n"/>
      <c r="E859" s="141" t="n"/>
      <c r="F859" s="141" t="n"/>
      <c r="G859" s="143" t="n"/>
      <c r="H859" s="27" t="n"/>
    </row>
    <row r="860" ht="17.25" customHeight="1" s="322">
      <c r="A860" s="27" t="n"/>
      <c r="B860" s="506" t="n"/>
      <c r="C860" s="141" t="n"/>
      <c r="D860" s="141" t="n"/>
      <c r="E860" s="141" t="n"/>
      <c r="F860" s="141" t="n"/>
      <c r="G860" s="143" t="n"/>
      <c r="H860" s="27" t="n"/>
    </row>
    <row r="861" ht="17.25" customHeight="1" s="322">
      <c r="A861" s="27" t="n"/>
      <c r="B861" s="506" t="n"/>
      <c r="C861" s="141" t="n"/>
      <c r="D861" s="141" t="n"/>
      <c r="E861" s="141" t="n"/>
      <c r="F861" s="141" t="n"/>
      <c r="G861" s="143" t="n"/>
      <c r="H861" s="27" t="n"/>
    </row>
    <row r="862" ht="17.25" customHeight="1" s="322">
      <c r="A862" s="27" t="n"/>
      <c r="B862" s="506" t="n"/>
      <c r="C862" s="141" t="n"/>
      <c r="D862" s="141" t="n"/>
      <c r="E862" s="141" t="n"/>
      <c r="F862" s="141" t="n"/>
      <c r="G862" s="143" t="n"/>
      <c r="H862" s="27" t="n"/>
    </row>
    <row r="863" ht="17.25" customHeight="1" s="322">
      <c r="A863" s="27" t="n"/>
      <c r="B863" s="506" t="n"/>
      <c r="C863" s="141" t="n"/>
      <c r="D863" s="141" t="n"/>
      <c r="E863" s="141" t="n"/>
      <c r="F863" s="141" t="n"/>
      <c r="G863" s="143" t="n"/>
      <c r="H863" s="27" t="n"/>
    </row>
    <row r="864" ht="17.25" customHeight="1" s="322">
      <c r="A864" s="27" t="n"/>
      <c r="B864" s="506" t="n"/>
      <c r="C864" s="141" t="n"/>
      <c r="D864" s="141" t="n"/>
      <c r="E864" s="141" t="n"/>
      <c r="F864" s="141" t="n"/>
      <c r="G864" s="143" t="n"/>
      <c r="H864" s="27" t="n"/>
    </row>
    <row r="865" ht="17.25" customHeight="1" s="322">
      <c r="A865" s="27" t="n"/>
      <c r="B865" s="506" t="n"/>
      <c r="C865" s="141" t="n"/>
      <c r="D865" s="141" t="n"/>
      <c r="E865" s="141" t="n"/>
      <c r="F865" s="141" t="n"/>
      <c r="G865" s="143" t="n"/>
      <c r="H865" s="27" t="n"/>
    </row>
    <row r="866" ht="17.25" customHeight="1" s="322">
      <c r="A866" s="27" t="n"/>
      <c r="B866" s="506" t="n"/>
      <c r="C866" s="141" t="n"/>
      <c r="D866" s="141" t="n"/>
      <c r="E866" s="141" t="n"/>
      <c r="F866" s="141" t="n"/>
      <c r="G866" s="143" t="n"/>
      <c r="H866" s="27" t="n"/>
    </row>
    <row r="867" ht="17.25" customHeight="1" s="322">
      <c r="A867" s="27" t="n"/>
      <c r="B867" s="506" t="n"/>
      <c r="C867" s="141" t="n"/>
      <c r="D867" s="141" t="n"/>
      <c r="E867" s="141" t="n"/>
      <c r="F867" s="141" t="n"/>
      <c r="G867" s="143" t="n"/>
      <c r="H867" s="27" t="n"/>
    </row>
    <row r="868" ht="17.25" customHeight="1" s="322">
      <c r="A868" s="27" t="n"/>
      <c r="B868" s="506" t="n"/>
      <c r="C868" s="141" t="n"/>
      <c r="D868" s="141" t="n"/>
      <c r="E868" s="141" t="n"/>
      <c r="F868" s="141" t="n"/>
      <c r="G868" s="143" t="n"/>
      <c r="H868" s="27" t="n"/>
    </row>
    <row r="869" ht="17.25" customHeight="1" s="322">
      <c r="A869" s="27" t="n"/>
      <c r="B869" s="506" t="n"/>
      <c r="C869" s="141" t="n"/>
      <c r="D869" s="141" t="n"/>
      <c r="E869" s="141" t="n"/>
      <c r="F869" s="141" t="n"/>
      <c r="G869" s="143" t="n"/>
      <c r="H869" s="27" t="n"/>
    </row>
    <row r="870" ht="17.25" customHeight="1" s="322">
      <c r="A870" s="27" t="n"/>
      <c r="B870" s="506" t="n"/>
      <c r="C870" s="141" t="n"/>
      <c r="D870" s="141" t="n"/>
      <c r="E870" s="141" t="n"/>
      <c r="F870" s="141" t="n"/>
      <c r="G870" s="143" t="n"/>
      <c r="H870" s="27" t="n"/>
    </row>
    <row r="871" ht="17.25" customHeight="1" s="322">
      <c r="A871" s="27" t="n"/>
      <c r="B871" s="506" t="n"/>
      <c r="C871" s="141" t="n"/>
      <c r="D871" s="141" t="n"/>
      <c r="E871" s="141" t="n"/>
      <c r="F871" s="141" t="n"/>
      <c r="G871" s="143" t="n"/>
      <c r="H871" s="27" t="n"/>
    </row>
    <row r="872" ht="17.25" customHeight="1" s="322">
      <c r="A872" s="27" t="n"/>
      <c r="B872" s="506" t="n"/>
      <c r="C872" s="141" t="n"/>
      <c r="D872" s="141" t="n"/>
      <c r="E872" s="141" t="n"/>
      <c r="F872" s="141" t="n"/>
      <c r="G872" s="143" t="n"/>
      <c r="H872" s="27" t="n"/>
    </row>
    <row r="873" ht="17.25" customHeight="1" s="322">
      <c r="A873" s="27" t="n"/>
      <c r="B873" s="506" t="n"/>
      <c r="C873" s="141" t="n"/>
      <c r="D873" s="141" t="n"/>
      <c r="E873" s="141" t="n"/>
      <c r="F873" s="141" t="n"/>
      <c r="G873" s="143" t="n"/>
      <c r="H873" s="27" t="n"/>
    </row>
    <row r="874" ht="17.25" customHeight="1" s="322">
      <c r="A874" s="27" t="n"/>
      <c r="B874" s="506" t="n"/>
      <c r="C874" s="141" t="n"/>
      <c r="D874" s="141" t="n"/>
      <c r="E874" s="141" t="n"/>
      <c r="F874" s="141" t="n"/>
      <c r="G874" s="143" t="n"/>
      <c r="H874" s="27" t="n"/>
    </row>
    <row r="875" ht="17.25" customHeight="1" s="322">
      <c r="A875" s="27" t="n"/>
      <c r="B875" s="506" t="n"/>
      <c r="C875" s="141" t="n"/>
      <c r="D875" s="141" t="n"/>
      <c r="E875" s="141" t="n"/>
      <c r="F875" s="141" t="n"/>
      <c r="G875" s="143" t="n"/>
      <c r="H875" s="27" t="n"/>
    </row>
    <row r="876" ht="17.25" customHeight="1" s="322">
      <c r="A876" s="27" t="n"/>
      <c r="B876" s="506" t="n"/>
      <c r="C876" s="141" t="n"/>
      <c r="D876" s="141" t="n"/>
      <c r="E876" s="141" t="n"/>
      <c r="F876" s="141" t="n"/>
      <c r="G876" s="143" t="n"/>
      <c r="H876" s="27" t="n"/>
    </row>
    <row r="877" ht="17.25" customHeight="1" s="322">
      <c r="A877" s="27" t="n"/>
      <c r="B877" s="506" t="n"/>
      <c r="C877" s="141" t="n"/>
      <c r="D877" s="141" t="n"/>
      <c r="E877" s="141" t="n"/>
      <c r="F877" s="141" t="n"/>
      <c r="G877" s="143" t="n"/>
      <c r="H877" s="27" t="n"/>
    </row>
    <row r="878" ht="17.25" customHeight="1" s="322">
      <c r="A878" s="27" t="n"/>
      <c r="B878" s="506" t="n"/>
      <c r="C878" s="141" t="n"/>
      <c r="D878" s="141" t="n"/>
      <c r="E878" s="141" t="n"/>
      <c r="F878" s="141" t="n"/>
      <c r="G878" s="143" t="n"/>
      <c r="H878" s="27" t="n"/>
    </row>
    <row r="879" ht="17.25" customHeight="1" s="322">
      <c r="A879" s="27" t="n"/>
      <c r="B879" s="506" t="n"/>
      <c r="C879" s="141" t="n"/>
      <c r="D879" s="141" t="n"/>
      <c r="E879" s="141" t="n"/>
      <c r="F879" s="141" t="n"/>
      <c r="G879" s="143" t="n"/>
      <c r="H879" s="27" t="n"/>
    </row>
    <row r="880" ht="17.25" customHeight="1" s="322">
      <c r="A880" s="27" t="n"/>
      <c r="B880" s="506" t="n"/>
      <c r="C880" s="141" t="n"/>
      <c r="D880" s="141" t="n"/>
      <c r="E880" s="141" t="n"/>
      <c r="F880" s="141" t="n"/>
      <c r="G880" s="143" t="n"/>
      <c r="H880" s="27" t="n"/>
    </row>
    <row r="881" ht="17.25" customHeight="1" s="322">
      <c r="A881" s="27" t="n"/>
      <c r="B881" s="506" t="n"/>
      <c r="C881" s="141" t="n"/>
      <c r="D881" s="141" t="n"/>
      <c r="E881" s="141" t="n"/>
      <c r="F881" s="141" t="n"/>
      <c r="G881" s="143" t="n"/>
      <c r="H881" s="27" t="n"/>
    </row>
    <row r="882" ht="17.25" customHeight="1" s="322">
      <c r="A882" s="27" t="n"/>
      <c r="B882" s="506" t="n"/>
      <c r="C882" s="141" t="n"/>
      <c r="D882" s="141" t="n"/>
      <c r="E882" s="141" t="n"/>
      <c r="F882" s="141" t="n"/>
      <c r="G882" s="143" t="n"/>
      <c r="H882" s="27" t="n"/>
    </row>
    <row r="883" ht="17.25" customHeight="1" s="322">
      <c r="A883" s="27" t="n"/>
      <c r="B883" s="506" t="n"/>
      <c r="C883" s="141" t="n"/>
      <c r="D883" s="141" t="n"/>
      <c r="E883" s="141" t="n"/>
      <c r="F883" s="141" t="n"/>
      <c r="G883" s="143" t="n"/>
      <c r="H883" s="27" t="n"/>
    </row>
    <row r="884" ht="17.25" customHeight="1" s="322">
      <c r="A884" s="27" t="n"/>
      <c r="B884" s="506" t="n"/>
      <c r="C884" s="141" t="n"/>
      <c r="D884" s="141" t="n"/>
      <c r="E884" s="141" t="n"/>
      <c r="F884" s="141" t="n"/>
      <c r="G884" s="143" t="n"/>
      <c r="H884" s="27" t="n"/>
    </row>
    <row r="885" ht="17.25" customHeight="1" s="322">
      <c r="A885" s="27" t="n"/>
      <c r="B885" s="506" t="n"/>
      <c r="C885" s="141" t="n"/>
      <c r="D885" s="141" t="n"/>
      <c r="E885" s="141" t="n"/>
      <c r="F885" s="141" t="n"/>
      <c r="G885" s="143" t="n"/>
      <c r="H885" s="27" t="n"/>
    </row>
    <row r="886" ht="17.25" customHeight="1" s="322">
      <c r="A886" s="27" t="n"/>
      <c r="B886" s="506" t="n"/>
      <c r="C886" s="141" t="n"/>
      <c r="D886" s="141" t="n"/>
      <c r="E886" s="141" t="n"/>
      <c r="F886" s="141" t="n"/>
      <c r="G886" s="143" t="n"/>
      <c r="H886" s="27" t="n"/>
    </row>
    <row r="887" ht="17.25" customHeight="1" s="322">
      <c r="A887" s="27" t="n"/>
      <c r="B887" s="506" t="n"/>
      <c r="C887" s="141" t="n"/>
      <c r="D887" s="141" t="n"/>
      <c r="E887" s="141" t="n"/>
      <c r="F887" s="141" t="n"/>
      <c r="G887" s="143" t="n"/>
      <c r="H887" s="27" t="n"/>
    </row>
    <row r="888" ht="17.25" customHeight="1" s="322">
      <c r="A888" s="27" t="n"/>
      <c r="B888" s="506" t="n"/>
      <c r="C888" s="141" t="n"/>
      <c r="D888" s="141" t="n"/>
      <c r="E888" s="141" t="n"/>
      <c r="F888" s="141" t="n"/>
      <c r="G888" s="143" t="n"/>
      <c r="H888" s="27" t="n"/>
    </row>
    <row r="889" ht="17.25" customHeight="1" s="322">
      <c r="A889" s="27" t="n"/>
      <c r="B889" s="506" t="n"/>
      <c r="C889" s="141" t="n"/>
      <c r="D889" s="141" t="n"/>
      <c r="E889" s="141" t="n"/>
      <c r="F889" s="141" t="n"/>
      <c r="G889" s="143" t="n"/>
      <c r="H889" s="27" t="n"/>
    </row>
    <row r="890" ht="17.25" customHeight="1" s="322">
      <c r="A890" s="27" t="n"/>
      <c r="B890" s="506" t="n"/>
      <c r="C890" s="141" t="n"/>
      <c r="D890" s="141" t="n"/>
      <c r="E890" s="141" t="n"/>
      <c r="F890" s="141" t="n"/>
      <c r="G890" s="143" t="n"/>
      <c r="H890" s="27" t="n"/>
    </row>
    <row r="891" ht="17.25" customHeight="1" s="322">
      <c r="A891" s="27" t="n"/>
      <c r="B891" s="506" t="n"/>
      <c r="C891" s="141" t="n"/>
      <c r="D891" s="141" t="n"/>
      <c r="E891" s="141" t="n"/>
      <c r="F891" s="141" t="n"/>
      <c r="G891" s="143" t="n"/>
      <c r="H891" s="27" t="n"/>
    </row>
    <row r="892" ht="17.25" customHeight="1" s="322">
      <c r="A892" s="27" t="n"/>
      <c r="B892" s="506" t="n"/>
      <c r="C892" s="141" t="n"/>
      <c r="D892" s="141" t="n"/>
      <c r="E892" s="141" t="n"/>
      <c r="F892" s="141" t="n"/>
      <c r="G892" s="143" t="n"/>
      <c r="H892" s="27" t="n"/>
    </row>
    <row r="893" ht="17.25" customHeight="1" s="322">
      <c r="A893" s="27" t="n"/>
      <c r="B893" s="506" t="n"/>
      <c r="C893" s="141" t="n"/>
      <c r="D893" s="141" t="n"/>
      <c r="E893" s="141" t="n"/>
      <c r="F893" s="141" t="n"/>
      <c r="G893" s="143" t="n"/>
      <c r="H893" s="27" t="n"/>
    </row>
    <row r="894" ht="17.25" customHeight="1" s="322">
      <c r="A894" s="27" t="n"/>
      <c r="B894" s="506" t="n"/>
      <c r="C894" s="141" t="n"/>
      <c r="D894" s="141" t="n"/>
      <c r="E894" s="141" t="n"/>
      <c r="F894" s="141" t="n"/>
      <c r="G894" s="143" t="n"/>
      <c r="H894" s="27" t="n"/>
    </row>
    <row r="895" ht="17.25" customHeight="1" s="322">
      <c r="A895" s="27" t="n"/>
      <c r="B895" s="506" t="n"/>
      <c r="C895" s="141" t="n"/>
      <c r="D895" s="141" t="n"/>
      <c r="E895" s="141" t="n"/>
      <c r="F895" s="141" t="n"/>
      <c r="G895" s="143" t="n"/>
      <c r="H895" s="27" t="n"/>
    </row>
    <row r="896" ht="17.25" customHeight="1" s="322">
      <c r="A896" s="27" t="n"/>
      <c r="B896" s="506" t="n"/>
      <c r="C896" s="141" t="n"/>
      <c r="D896" s="141" t="n"/>
      <c r="E896" s="141" t="n"/>
      <c r="F896" s="141" t="n"/>
      <c r="G896" s="143" t="n"/>
      <c r="H896" s="27" t="n"/>
    </row>
    <row r="897" ht="17.25" customHeight="1" s="322">
      <c r="A897" s="27" t="n"/>
      <c r="B897" s="506" t="n"/>
      <c r="C897" s="141" t="n"/>
      <c r="D897" s="141" t="n"/>
      <c r="E897" s="141" t="n"/>
      <c r="F897" s="141" t="n"/>
      <c r="G897" s="143" t="n"/>
      <c r="H897" s="27" t="n"/>
    </row>
    <row r="898" ht="17.25" customHeight="1" s="322">
      <c r="A898" s="27" t="n"/>
      <c r="B898" s="506" t="n"/>
      <c r="C898" s="141" t="n"/>
      <c r="D898" s="141" t="n"/>
      <c r="E898" s="141" t="n"/>
      <c r="F898" s="141" t="n"/>
      <c r="G898" s="143" t="n"/>
      <c r="H898" s="27" t="n"/>
    </row>
    <row r="899" ht="17.25" customHeight="1" s="322">
      <c r="A899" s="27" t="n"/>
      <c r="B899" s="506" t="n"/>
      <c r="C899" s="141" t="n"/>
      <c r="D899" s="141" t="n"/>
      <c r="E899" s="141" t="n"/>
      <c r="F899" s="141" t="n"/>
      <c r="G899" s="143" t="n"/>
      <c r="H899" s="27" t="n"/>
    </row>
    <row r="900" ht="17.25" customHeight="1" s="322">
      <c r="A900" s="27" t="n"/>
      <c r="B900" s="506" t="n"/>
      <c r="C900" s="141" t="n"/>
      <c r="D900" s="141" t="n"/>
      <c r="E900" s="141" t="n"/>
      <c r="F900" s="141" t="n"/>
      <c r="G900" s="143" t="n"/>
      <c r="H900" s="27" t="n"/>
    </row>
    <row r="901" ht="17.25" customHeight="1" s="322">
      <c r="A901" s="27" t="n"/>
      <c r="B901" s="506" t="n"/>
      <c r="C901" s="141" t="n"/>
      <c r="D901" s="141" t="n"/>
      <c r="E901" s="141" t="n"/>
      <c r="F901" s="141" t="n"/>
      <c r="G901" s="143" t="n"/>
      <c r="H901" s="27" t="n"/>
    </row>
    <row r="902" ht="17.25" customHeight="1" s="322">
      <c r="A902" s="27" t="n"/>
      <c r="B902" s="506" t="n"/>
      <c r="C902" s="141" t="n"/>
      <c r="D902" s="141" t="n"/>
      <c r="E902" s="141" t="n"/>
      <c r="F902" s="141" t="n"/>
      <c r="G902" s="143" t="n"/>
      <c r="H902" s="27" t="n"/>
    </row>
    <row r="903" ht="17.25" customHeight="1" s="322">
      <c r="A903" s="27" t="n"/>
      <c r="B903" s="506" t="n"/>
      <c r="C903" s="141" t="n"/>
      <c r="D903" s="141" t="n"/>
      <c r="E903" s="141" t="n"/>
      <c r="F903" s="141" t="n"/>
      <c r="G903" s="143" t="n"/>
      <c r="H903" s="27" t="n"/>
    </row>
    <row r="904" ht="17.25" customHeight="1" s="322">
      <c r="A904" s="27" t="n"/>
      <c r="B904" s="506" t="n"/>
      <c r="C904" s="141" t="n"/>
      <c r="D904" s="141" t="n"/>
      <c r="E904" s="141" t="n"/>
      <c r="F904" s="141" t="n"/>
      <c r="G904" s="143" t="n"/>
      <c r="H904" s="27" t="n"/>
    </row>
    <row r="905" ht="17.25" customHeight="1" s="322">
      <c r="A905" s="27" t="n"/>
      <c r="B905" s="506" t="n"/>
      <c r="C905" s="141" t="n"/>
      <c r="D905" s="141" t="n"/>
      <c r="E905" s="141" t="n"/>
      <c r="F905" s="141" t="n"/>
      <c r="G905" s="143" t="n"/>
      <c r="H905" s="27" t="n"/>
    </row>
    <row r="906" ht="17.25" customHeight="1" s="322">
      <c r="A906" s="27" t="n"/>
      <c r="B906" s="506" t="n"/>
      <c r="C906" s="141" t="n"/>
      <c r="D906" s="141" t="n"/>
      <c r="E906" s="141" t="n"/>
      <c r="F906" s="141" t="n"/>
      <c r="G906" s="143" t="n"/>
      <c r="H906" s="27" t="n"/>
    </row>
    <row r="907" ht="17.25" customHeight="1" s="322">
      <c r="A907" s="27" t="n"/>
      <c r="B907" s="506" t="n"/>
      <c r="C907" s="141" t="n"/>
      <c r="D907" s="141" t="n"/>
      <c r="E907" s="141" t="n"/>
      <c r="F907" s="141" t="n"/>
      <c r="G907" s="143" t="n"/>
      <c r="H907" s="27" t="n"/>
    </row>
    <row r="908" ht="17.25" customHeight="1" s="322">
      <c r="A908" s="27" t="n"/>
      <c r="B908" s="506" t="n"/>
      <c r="C908" s="141" t="n"/>
      <c r="D908" s="141" t="n"/>
      <c r="E908" s="141" t="n"/>
      <c r="F908" s="141" t="n"/>
      <c r="G908" s="143" t="n"/>
      <c r="H908" s="27" t="n"/>
    </row>
    <row r="909" ht="17.25" customHeight="1" s="322">
      <c r="A909" s="27" t="n"/>
      <c r="B909" s="506" t="n"/>
      <c r="C909" s="141" t="n"/>
      <c r="D909" s="141" t="n"/>
      <c r="E909" s="141" t="n"/>
      <c r="F909" s="141" t="n"/>
      <c r="G909" s="143" t="n"/>
      <c r="H909" s="27" t="n"/>
    </row>
    <row r="910" ht="17.25" customHeight="1" s="322">
      <c r="A910" s="27" t="n"/>
      <c r="B910" s="506" t="n"/>
      <c r="C910" s="141" t="n"/>
      <c r="D910" s="141" t="n"/>
      <c r="E910" s="141" t="n"/>
      <c r="F910" s="141" t="n"/>
      <c r="G910" s="143" t="n"/>
      <c r="H910" s="27" t="n"/>
    </row>
    <row r="911" ht="17.25" customHeight="1" s="322">
      <c r="A911" s="27" t="n"/>
      <c r="B911" s="506" t="n"/>
      <c r="C911" s="141" t="n"/>
      <c r="D911" s="141" t="n"/>
      <c r="E911" s="141" t="n"/>
      <c r="F911" s="141" t="n"/>
      <c r="G911" s="143" t="n"/>
      <c r="H911" s="27" t="n"/>
    </row>
    <row r="912" ht="17.25" customHeight="1" s="322">
      <c r="A912" s="27" t="n"/>
      <c r="B912" s="506" t="n"/>
      <c r="C912" s="141" t="n"/>
      <c r="D912" s="141" t="n"/>
      <c r="E912" s="141" t="n"/>
      <c r="F912" s="141" t="n"/>
      <c r="G912" s="143" t="n"/>
      <c r="H912" s="27" t="n"/>
    </row>
    <row r="913" ht="17.25" customHeight="1" s="322">
      <c r="A913" s="27" t="n"/>
      <c r="B913" s="506" t="n"/>
      <c r="C913" s="141" t="n"/>
      <c r="D913" s="141" t="n"/>
      <c r="E913" s="141" t="n"/>
      <c r="F913" s="141" t="n"/>
      <c r="G913" s="143" t="n"/>
      <c r="H913" s="27" t="n"/>
    </row>
    <row r="914" ht="17.25" customHeight="1" s="322">
      <c r="A914" s="27" t="n"/>
      <c r="B914" s="506" t="n"/>
      <c r="C914" s="141" t="n"/>
      <c r="D914" s="141" t="n"/>
      <c r="E914" s="141" t="n"/>
      <c r="F914" s="141" t="n"/>
      <c r="G914" s="143" t="n"/>
      <c r="H914" s="27" t="n"/>
    </row>
    <row r="915" ht="17.25" customHeight="1" s="322">
      <c r="A915" s="27" t="n"/>
      <c r="B915" s="506" t="n"/>
      <c r="C915" s="141" t="n"/>
      <c r="D915" s="141" t="n"/>
      <c r="E915" s="141" t="n"/>
      <c r="F915" s="141" t="n"/>
      <c r="G915" s="143" t="n"/>
      <c r="H915" s="27" t="n"/>
    </row>
    <row r="916" ht="17.25" customHeight="1" s="322">
      <c r="A916" s="27" t="n"/>
      <c r="B916" s="506" t="n"/>
      <c r="C916" s="141" t="n"/>
      <c r="D916" s="141" t="n"/>
      <c r="E916" s="141" t="n"/>
      <c r="F916" s="141" t="n"/>
      <c r="G916" s="143" t="n"/>
      <c r="H916" s="27" t="n"/>
    </row>
    <row r="917" ht="17.25" customHeight="1" s="322">
      <c r="A917" s="27" t="n"/>
      <c r="B917" s="506" t="n"/>
      <c r="C917" s="141" t="n"/>
      <c r="D917" s="141" t="n"/>
      <c r="E917" s="141" t="n"/>
      <c r="F917" s="141" t="n"/>
      <c r="G917" s="143" t="n"/>
      <c r="H917" s="27" t="n"/>
    </row>
    <row r="918" ht="17.25" customHeight="1" s="322">
      <c r="A918" s="27" t="n"/>
      <c r="B918" s="506" t="n"/>
      <c r="C918" s="141" t="n"/>
      <c r="D918" s="141" t="n"/>
      <c r="E918" s="141" t="n"/>
      <c r="F918" s="141" t="n"/>
      <c r="G918" s="143" t="n"/>
      <c r="H918" s="27" t="n"/>
    </row>
    <row r="919" ht="17.25" customHeight="1" s="322">
      <c r="A919" s="27" t="n"/>
      <c r="B919" s="506" t="n"/>
      <c r="C919" s="141" t="n"/>
      <c r="D919" s="141" t="n"/>
      <c r="E919" s="141" t="n"/>
      <c r="F919" s="141" t="n"/>
      <c r="G919" s="143" t="n"/>
      <c r="H919" s="27" t="n"/>
    </row>
    <row r="920" ht="17.25" customHeight="1" s="322">
      <c r="A920" s="27" t="n"/>
      <c r="B920" s="506" t="n"/>
      <c r="C920" s="141" t="n"/>
      <c r="D920" s="141" t="n"/>
      <c r="E920" s="141" t="n"/>
      <c r="F920" s="141" t="n"/>
      <c r="G920" s="143" t="n"/>
      <c r="H920" s="27" t="n"/>
    </row>
    <row r="921" ht="17.25" customHeight="1" s="322">
      <c r="A921" s="27" t="n"/>
      <c r="B921" s="506" t="n"/>
      <c r="C921" s="141" t="n"/>
      <c r="D921" s="141" t="n"/>
      <c r="E921" s="141" t="n"/>
      <c r="F921" s="141" t="n"/>
      <c r="G921" s="143" t="n"/>
      <c r="H921" s="27" t="n"/>
    </row>
    <row r="922" ht="17.25" customHeight="1" s="322">
      <c r="A922" s="27" t="n"/>
      <c r="B922" s="506" t="n"/>
      <c r="C922" s="141" t="n"/>
      <c r="D922" s="141" t="n"/>
      <c r="E922" s="141" t="n"/>
      <c r="F922" s="141" t="n"/>
      <c r="G922" s="143" t="n"/>
      <c r="H922" s="27" t="n"/>
    </row>
    <row r="923" ht="17.25" customHeight="1" s="322">
      <c r="A923" s="27" t="n"/>
      <c r="B923" s="506" t="n"/>
      <c r="C923" s="141" t="n"/>
      <c r="D923" s="141" t="n"/>
      <c r="E923" s="141" t="n"/>
      <c r="F923" s="141" t="n"/>
      <c r="G923" s="143" t="n"/>
      <c r="H923" s="27" t="n"/>
    </row>
    <row r="924" ht="17.25" customHeight="1" s="322">
      <c r="A924" s="27" t="n"/>
      <c r="B924" s="506" t="n"/>
      <c r="C924" s="141" t="n"/>
      <c r="D924" s="141" t="n"/>
      <c r="E924" s="141" t="n"/>
      <c r="F924" s="141" t="n"/>
      <c r="G924" s="143" t="n"/>
      <c r="H924" s="27" t="n"/>
    </row>
    <row r="925" ht="17.25" customHeight="1" s="322">
      <c r="A925" s="27" t="n"/>
      <c r="B925" s="506" t="n"/>
      <c r="C925" s="141" t="n"/>
      <c r="D925" s="141" t="n"/>
      <c r="E925" s="141" t="n"/>
      <c r="F925" s="141" t="n"/>
      <c r="G925" s="143" t="n"/>
      <c r="H925" s="27" t="n"/>
    </row>
    <row r="926" ht="17.25" customHeight="1" s="322">
      <c r="A926" s="27" t="n"/>
      <c r="B926" s="506" t="n"/>
      <c r="C926" s="141" t="n"/>
      <c r="D926" s="141" t="n"/>
      <c r="E926" s="141" t="n"/>
      <c r="F926" s="141" t="n"/>
      <c r="G926" s="143" t="n"/>
      <c r="H926" s="27" t="n"/>
    </row>
    <row r="927" ht="17.25" customHeight="1" s="322">
      <c r="A927" s="27" t="n"/>
      <c r="B927" s="506" t="n"/>
      <c r="C927" s="141" t="n"/>
      <c r="D927" s="141" t="n"/>
      <c r="E927" s="141" t="n"/>
      <c r="F927" s="141" t="n"/>
      <c r="G927" s="143" t="n"/>
      <c r="H927" s="27" t="n"/>
    </row>
    <row r="928" ht="17.25" customHeight="1" s="322">
      <c r="A928" s="27" t="n"/>
      <c r="B928" s="506" t="n"/>
      <c r="C928" s="141" t="n"/>
      <c r="D928" s="141" t="n"/>
      <c r="E928" s="141" t="n"/>
      <c r="F928" s="141" t="n"/>
      <c r="G928" s="143" t="n"/>
      <c r="H928" s="27" t="n"/>
    </row>
    <row r="929" ht="17.25" customHeight="1" s="322">
      <c r="A929" s="27" t="n"/>
      <c r="B929" s="506" t="n"/>
      <c r="C929" s="141" t="n"/>
      <c r="D929" s="141" t="n"/>
      <c r="E929" s="141" t="n"/>
      <c r="F929" s="141" t="n"/>
      <c r="G929" s="143" t="n"/>
      <c r="H929" s="27" t="n"/>
    </row>
    <row r="930" ht="17.25" customHeight="1" s="322">
      <c r="A930" s="27" t="n"/>
      <c r="B930" s="506" t="n"/>
      <c r="C930" s="141" t="n"/>
      <c r="D930" s="141" t="n"/>
      <c r="E930" s="141" t="n"/>
      <c r="F930" s="141" t="n"/>
      <c r="G930" s="143" t="n"/>
      <c r="H930" s="27" t="n"/>
    </row>
    <row r="931" ht="17.25" customHeight="1" s="322">
      <c r="A931" s="27" t="n"/>
      <c r="B931" s="506" t="n"/>
      <c r="C931" s="141" t="n"/>
      <c r="D931" s="141" t="n"/>
      <c r="E931" s="141" t="n"/>
      <c r="F931" s="141" t="n"/>
      <c r="G931" s="143" t="n"/>
      <c r="H931" s="27" t="n"/>
    </row>
    <row r="932" ht="17.25" customHeight="1" s="322">
      <c r="A932" s="27" t="n"/>
      <c r="B932" s="506" t="n"/>
      <c r="C932" s="141" t="n"/>
      <c r="D932" s="141" t="n"/>
      <c r="E932" s="141" t="n"/>
      <c r="F932" s="141" t="n"/>
      <c r="G932" s="143" t="n"/>
      <c r="H932" s="27" t="n"/>
    </row>
    <row r="933" ht="17.25" customHeight="1" s="322">
      <c r="A933" s="27" t="n"/>
      <c r="B933" s="506" t="n"/>
      <c r="C933" s="141" t="n"/>
      <c r="D933" s="141" t="n"/>
      <c r="E933" s="141" t="n"/>
      <c r="F933" s="141" t="n"/>
      <c r="G933" s="143" t="n"/>
      <c r="H933" s="27" t="n"/>
    </row>
    <row r="934" ht="17.25" customHeight="1" s="322">
      <c r="A934" s="27" t="n"/>
      <c r="B934" s="506" t="n"/>
      <c r="C934" s="141" t="n"/>
      <c r="D934" s="141" t="n"/>
      <c r="E934" s="141" t="n"/>
      <c r="F934" s="141" t="n"/>
      <c r="G934" s="143" t="n"/>
      <c r="H934" s="27" t="n"/>
    </row>
    <row r="935" ht="17.25" customHeight="1" s="322">
      <c r="A935" s="27" t="n"/>
      <c r="B935" s="506" t="n"/>
      <c r="C935" s="141" t="n"/>
      <c r="D935" s="141" t="n"/>
      <c r="E935" s="141" t="n"/>
      <c r="F935" s="141" t="n"/>
      <c r="G935" s="143" t="n"/>
      <c r="H935" s="27" t="n"/>
    </row>
    <row r="936" ht="17.25" customHeight="1" s="322">
      <c r="A936" s="27" t="n"/>
      <c r="B936" s="506" t="n"/>
      <c r="C936" s="141" t="n"/>
      <c r="D936" s="141" t="n"/>
      <c r="E936" s="141" t="n"/>
      <c r="F936" s="141" t="n"/>
      <c r="G936" s="143" t="n"/>
      <c r="H936" s="27" t="n"/>
    </row>
    <row r="937" ht="17.25" customHeight="1" s="322">
      <c r="A937" s="27" t="n"/>
      <c r="B937" s="506" t="n"/>
      <c r="C937" s="141" t="n"/>
      <c r="D937" s="141" t="n"/>
      <c r="E937" s="141" t="n"/>
      <c r="F937" s="141" t="n"/>
      <c r="G937" s="143" t="n"/>
      <c r="H937" s="27" t="n"/>
    </row>
    <row r="938" ht="17.25" customHeight="1" s="322">
      <c r="A938" s="27" t="n"/>
      <c r="B938" s="506" t="n"/>
      <c r="C938" s="141" t="n"/>
      <c r="D938" s="141" t="n"/>
      <c r="E938" s="141" t="n"/>
      <c r="F938" s="141" t="n"/>
      <c r="G938" s="143" t="n"/>
      <c r="H938" s="27" t="n"/>
    </row>
    <row r="939" ht="17.25" customHeight="1" s="322">
      <c r="A939" s="27" t="n"/>
      <c r="B939" s="506" t="n"/>
      <c r="C939" s="141" t="n"/>
      <c r="D939" s="141" t="n"/>
      <c r="E939" s="141" t="n"/>
      <c r="F939" s="141" t="n"/>
      <c r="G939" s="143" t="n"/>
      <c r="H939" s="27" t="n"/>
    </row>
    <row r="940" ht="17.25" customHeight="1" s="322">
      <c r="A940" s="27" t="n"/>
      <c r="B940" s="506" t="n"/>
      <c r="C940" s="141" t="n"/>
      <c r="D940" s="141" t="n"/>
      <c r="E940" s="141" t="n"/>
      <c r="F940" s="141" t="n"/>
      <c r="G940" s="143" t="n"/>
      <c r="H940" s="27" t="n"/>
    </row>
    <row r="941" ht="17.25" customHeight="1" s="322">
      <c r="A941" s="27" t="n"/>
      <c r="B941" s="506" t="n"/>
      <c r="C941" s="141" t="n"/>
      <c r="D941" s="141" t="n"/>
      <c r="E941" s="141" t="n"/>
      <c r="F941" s="141" t="n"/>
      <c r="G941" s="143" t="n"/>
      <c r="H941" s="27" t="n"/>
    </row>
    <row r="942" ht="17.25" customHeight="1" s="322">
      <c r="A942" s="27" t="n"/>
      <c r="B942" s="506" t="n"/>
      <c r="C942" s="141" t="n"/>
      <c r="D942" s="141" t="n"/>
      <c r="E942" s="141" t="n"/>
      <c r="F942" s="141" t="n"/>
      <c r="G942" s="143" t="n"/>
      <c r="H942" s="27" t="n"/>
    </row>
    <row r="943" ht="17.25" customHeight="1" s="322">
      <c r="A943" s="27" t="n"/>
      <c r="B943" s="506" t="n"/>
      <c r="C943" s="141" t="n"/>
      <c r="D943" s="141" t="n"/>
      <c r="E943" s="141" t="n"/>
      <c r="F943" s="141" t="n"/>
      <c r="G943" s="143" t="n"/>
      <c r="H943" s="27" t="n"/>
    </row>
    <row r="944" ht="17.25" customHeight="1" s="322">
      <c r="A944" s="27" t="n"/>
      <c r="B944" s="506" t="n"/>
      <c r="C944" s="141" t="n"/>
      <c r="D944" s="141" t="n"/>
      <c r="E944" s="141" t="n"/>
      <c r="F944" s="141" t="n"/>
      <c r="G944" s="143" t="n"/>
      <c r="H944" s="27" t="n"/>
    </row>
    <row r="945" ht="17.25" customHeight="1" s="322">
      <c r="A945" s="27" t="n"/>
      <c r="B945" s="506" t="n"/>
      <c r="C945" s="141" t="n"/>
      <c r="D945" s="141" t="n"/>
      <c r="E945" s="141" t="n"/>
      <c r="F945" s="141" t="n"/>
      <c r="G945" s="143" t="n"/>
      <c r="H945" s="27" t="n"/>
    </row>
    <row r="946" ht="17.25" customHeight="1" s="322">
      <c r="A946" s="27" t="n"/>
      <c r="B946" s="506" t="n"/>
      <c r="C946" s="141" t="n"/>
      <c r="D946" s="141" t="n"/>
      <c r="E946" s="141" t="n"/>
      <c r="F946" s="141" t="n"/>
      <c r="G946" s="143" t="n"/>
      <c r="H946" s="27" t="n"/>
    </row>
    <row r="947" ht="17.25" customHeight="1" s="322">
      <c r="A947" s="27" t="n"/>
      <c r="B947" s="506" t="n"/>
      <c r="C947" s="141" t="n"/>
      <c r="D947" s="141" t="n"/>
      <c r="E947" s="141" t="n"/>
      <c r="F947" s="141" t="n"/>
      <c r="G947" s="143" t="n"/>
      <c r="H947" s="27" t="n"/>
    </row>
    <row r="948" ht="17.25" customHeight="1" s="322">
      <c r="A948" s="27" t="n"/>
      <c r="B948" s="506" t="n"/>
      <c r="C948" s="141" t="n"/>
      <c r="D948" s="141" t="n"/>
      <c r="E948" s="141" t="n"/>
      <c r="F948" s="141" t="n"/>
      <c r="G948" s="143" t="n"/>
      <c r="H948" s="27" t="n"/>
    </row>
    <row r="949" ht="17.25" customHeight="1" s="322">
      <c r="A949" s="27" t="n"/>
      <c r="B949" s="506" t="n"/>
      <c r="C949" s="141" t="n"/>
      <c r="D949" s="141" t="n"/>
      <c r="E949" s="141" t="n"/>
      <c r="F949" s="141" t="n"/>
      <c r="G949" s="143" t="n"/>
      <c r="H949" s="27" t="n"/>
    </row>
    <row r="950" ht="17.25" customHeight="1" s="322">
      <c r="A950" s="27" t="n"/>
      <c r="B950" s="506" t="n"/>
      <c r="C950" s="141" t="n"/>
      <c r="D950" s="141" t="n"/>
      <c r="E950" s="141" t="n"/>
      <c r="F950" s="141" t="n"/>
      <c r="G950" s="143" t="n"/>
      <c r="H950" s="27" t="n"/>
    </row>
    <row r="951" ht="17.25" customHeight="1" s="322">
      <c r="A951" s="27" t="n"/>
      <c r="B951" s="506" t="n"/>
      <c r="C951" s="141" t="n"/>
      <c r="D951" s="141" t="n"/>
      <c r="E951" s="141" t="n"/>
      <c r="F951" s="141" t="n"/>
      <c r="G951" s="143" t="n"/>
      <c r="H951" s="27" t="n"/>
    </row>
    <row r="952" ht="17.25" customHeight="1" s="322">
      <c r="A952" s="27" t="n"/>
      <c r="B952" s="506" t="n"/>
      <c r="C952" s="141" t="n"/>
      <c r="D952" s="141" t="n"/>
      <c r="E952" s="141" t="n"/>
      <c r="F952" s="141" t="n"/>
      <c r="G952" s="143" t="n"/>
      <c r="H952" s="27" t="n"/>
    </row>
    <row r="953" ht="17.25" customHeight="1" s="322">
      <c r="A953" s="27" t="n"/>
      <c r="B953" s="506" t="n"/>
      <c r="C953" s="141" t="n"/>
      <c r="D953" s="141" t="n"/>
      <c r="E953" s="141" t="n"/>
      <c r="F953" s="141" t="n"/>
      <c r="G953" s="143" t="n"/>
      <c r="H953" s="27" t="n"/>
    </row>
    <row r="954" ht="17.25" customHeight="1" s="322">
      <c r="A954" s="27" t="n"/>
      <c r="B954" s="506" t="n"/>
      <c r="C954" s="141" t="n"/>
      <c r="D954" s="141" t="n"/>
      <c r="E954" s="141" t="n"/>
      <c r="F954" s="141" t="n"/>
      <c r="G954" s="143" t="n"/>
      <c r="H954" s="27" t="n"/>
    </row>
    <row r="955" ht="17.25" customHeight="1" s="322">
      <c r="A955" s="27" t="n"/>
      <c r="B955" s="506" t="n"/>
      <c r="C955" s="141" t="n"/>
      <c r="D955" s="141" t="n"/>
      <c r="E955" s="141" t="n"/>
      <c r="F955" s="141" t="n"/>
      <c r="G955" s="143" t="n"/>
      <c r="H955" s="27" t="n"/>
    </row>
    <row r="956" ht="17.25" customHeight="1" s="322">
      <c r="A956" s="27" t="n"/>
      <c r="B956" s="506" t="n"/>
      <c r="C956" s="141" t="n"/>
      <c r="D956" s="141" t="n"/>
      <c r="E956" s="141" t="n"/>
      <c r="F956" s="141" t="n"/>
      <c r="G956" s="143" t="n"/>
      <c r="H956" s="27" t="n"/>
    </row>
    <row r="957" ht="17.25" customHeight="1" s="322">
      <c r="A957" s="27" t="n"/>
      <c r="B957" s="506" t="n"/>
      <c r="C957" s="141" t="n"/>
      <c r="D957" s="141" t="n"/>
      <c r="E957" s="141" t="n"/>
      <c r="F957" s="141" t="n"/>
      <c r="G957" s="143" t="n"/>
      <c r="H957" s="27" t="n"/>
    </row>
    <row r="958" ht="17.25" customHeight="1" s="322">
      <c r="A958" s="27" t="n"/>
      <c r="B958" s="506" t="n"/>
      <c r="C958" s="141" t="n"/>
      <c r="D958" s="141" t="n"/>
      <c r="E958" s="141" t="n"/>
      <c r="F958" s="141" t="n"/>
      <c r="G958" s="143" t="n"/>
      <c r="H958" s="27" t="n"/>
    </row>
    <row r="959" ht="17.25" customHeight="1" s="322">
      <c r="A959" s="27" t="n"/>
      <c r="B959" s="506" t="n"/>
      <c r="C959" s="141" t="n"/>
      <c r="D959" s="141" t="n"/>
      <c r="E959" s="141" t="n"/>
      <c r="F959" s="141" t="n"/>
      <c r="G959" s="143" t="n"/>
      <c r="H959" s="27" t="n"/>
    </row>
    <row r="960" ht="17.25" customHeight="1" s="322">
      <c r="A960" s="27" t="n"/>
      <c r="B960" s="506" t="n"/>
      <c r="C960" s="141" t="n"/>
      <c r="D960" s="141" t="n"/>
      <c r="E960" s="141" t="n"/>
      <c r="F960" s="141" t="n"/>
      <c r="G960" s="143" t="n"/>
      <c r="H960" s="27" t="n"/>
    </row>
    <row r="961" ht="17.25" customHeight="1" s="322">
      <c r="A961" s="27" t="n"/>
      <c r="B961" s="506" t="n"/>
      <c r="C961" s="141" t="n"/>
      <c r="D961" s="141" t="n"/>
      <c r="E961" s="141" t="n"/>
      <c r="F961" s="141" t="n"/>
      <c r="G961" s="143" t="n"/>
      <c r="H961" s="27" t="n"/>
    </row>
    <row r="962" ht="17.25" customHeight="1" s="322">
      <c r="A962" s="27" t="n"/>
      <c r="B962" s="506" t="n"/>
      <c r="C962" s="141" t="n"/>
      <c r="D962" s="141" t="n"/>
      <c r="E962" s="141" t="n"/>
      <c r="F962" s="141" t="n"/>
      <c r="G962" s="143" t="n"/>
      <c r="H962" s="27" t="n"/>
    </row>
    <row r="963" ht="17.25" customHeight="1" s="322">
      <c r="A963" s="27" t="n"/>
      <c r="B963" s="506" t="n"/>
      <c r="C963" s="141" t="n"/>
      <c r="D963" s="141" t="n"/>
      <c r="E963" s="141" t="n"/>
      <c r="F963" s="141" t="n"/>
      <c r="G963" s="143" t="n"/>
      <c r="H963" s="27" t="n"/>
    </row>
    <row r="964" ht="17.25" customHeight="1" s="322">
      <c r="A964" s="27" t="n"/>
      <c r="B964" s="506" t="n"/>
      <c r="C964" s="141" t="n"/>
      <c r="D964" s="141" t="n"/>
      <c r="E964" s="141" t="n"/>
      <c r="F964" s="141" t="n"/>
      <c r="G964" s="143" t="n"/>
      <c r="H964" s="27" t="n"/>
    </row>
    <row r="965" ht="17.25" customHeight="1" s="322">
      <c r="A965" s="27" t="n"/>
      <c r="B965" s="506" t="n"/>
      <c r="C965" s="141" t="n"/>
      <c r="D965" s="141" t="n"/>
      <c r="E965" s="141" t="n"/>
      <c r="F965" s="141" t="n"/>
      <c r="G965" s="143" t="n"/>
      <c r="H965" s="27" t="n"/>
    </row>
    <row r="966" ht="17.25" customHeight="1" s="322">
      <c r="A966" s="27" t="n"/>
      <c r="B966" s="506" t="n"/>
      <c r="C966" s="141" t="n"/>
      <c r="D966" s="141" t="n"/>
      <c r="E966" s="141" t="n"/>
      <c r="F966" s="141" t="n"/>
      <c r="G966" s="143" t="n"/>
      <c r="H966" s="27" t="n"/>
    </row>
    <row r="967" ht="17.25" customHeight="1" s="322">
      <c r="A967" s="27" t="n"/>
      <c r="B967" s="506" t="n"/>
      <c r="C967" s="141" t="n"/>
      <c r="D967" s="141" t="n"/>
      <c r="E967" s="141" t="n"/>
      <c r="F967" s="141" t="n"/>
      <c r="G967" s="143" t="n"/>
      <c r="H967" s="27" t="n"/>
    </row>
    <row r="968" ht="17.25" customHeight="1" s="322">
      <c r="A968" s="27" t="n"/>
      <c r="B968" s="506" t="n"/>
      <c r="C968" s="141" t="n"/>
      <c r="D968" s="141" t="n"/>
      <c r="E968" s="141" t="n"/>
      <c r="F968" s="141" t="n"/>
      <c r="G968" s="143" t="n"/>
      <c r="H968" s="27" t="n"/>
    </row>
    <row r="969" ht="17.25" customHeight="1" s="322">
      <c r="A969" s="27" t="n"/>
      <c r="B969" s="506" t="n"/>
      <c r="C969" s="141" t="n"/>
      <c r="D969" s="141" t="n"/>
      <c r="E969" s="141" t="n"/>
      <c r="F969" s="141" t="n"/>
      <c r="G969" s="143" t="n"/>
      <c r="H969" s="27" t="n"/>
    </row>
    <row r="970" ht="17.25" customHeight="1" s="322">
      <c r="A970" s="27" t="n"/>
      <c r="B970" s="506" t="n"/>
      <c r="C970" s="141" t="n"/>
      <c r="D970" s="141" t="n"/>
      <c r="E970" s="141" t="n"/>
      <c r="F970" s="141" t="n"/>
      <c r="G970" s="143" t="n"/>
      <c r="H970" s="27" t="n"/>
    </row>
    <row r="971" ht="17.25" customHeight="1" s="322">
      <c r="A971" s="27" t="n"/>
      <c r="B971" s="506" t="n"/>
      <c r="C971" s="141" t="n"/>
      <c r="D971" s="141" t="n"/>
      <c r="E971" s="141" t="n"/>
      <c r="F971" s="141" t="n"/>
      <c r="G971" s="143" t="n"/>
      <c r="H971" s="27" t="n"/>
    </row>
    <row r="972" ht="17.25" customHeight="1" s="322">
      <c r="A972" s="27" t="n"/>
      <c r="B972" s="506" t="n"/>
      <c r="C972" s="141" t="n"/>
      <c r="D972" s="141" t="n"/>
      <c r="E972" s="141" t="n"/>
      <c r="F972" s="141" t="n"/>
      <c r="G972" s="143" t="n"/>
      <c r="H972" s="27" t="n"/>
    </row>
    <row r="973" ht="17.25" customHeight="1" s="322">
      <c r="A973" s="27" t="n"/>
      <c r="B973" s="506" t="n"/>
      <c r="C973" s="141" t="n"/>
      <c r="D973" s="141" t="n"/>
      <c r="E973" s="141" t="n"/>
      <c r="F973" s="141" t="n"/>
      <c r="G973" s="143" t="n"/>
      <c r="H973" s="27" t="n"/>
    </row>
    <row r="974" ht="17.25" customHeight="1" s="322">
      <c r="A974" s="27" t="n"/>
      <c r="B974" s="506" t="n"/>
      <c r="C974" s="141" t="n"/>
      <c r="D974" s="141" t="n"/>
      <c r="E974" s="141" t="n"/>
      <c r="F974" s="141" t="n"/>
      <c r="G974" s="143" t="n"/>
      <c r="H974" s="27" t="n"/>
    </row>
    <row r="975" ht="17.25" customHeight="1" s="322">
      <c r="A975" s="27" t="n"/>
      <c r="B975" s="506" t="n"/>
      <c r="C975" s="141" t="n"/>
      <c r="D975" s="141" t="n"/>
      <c r="E975" s="141" t="n"/>
      <c r="F975" s="141" t="n"/>
      <c r="G975" s="143" t="n"/>
      <c r="H975" s="27" t="n"/>
    </row>
    <row r="976" ht="17.25" customHeight="1" s="322">
      <c r="A976" s="27" t="n"/>
      <c r="B976" s="506" t="n"/>
      <c r="C976" s="141" t="n"/>
      <c r="D976" s="141" t="n"/>
      <c r="E976" s="141" t="n"/>
      <c r="F976" s="141" t="n"/>
      <c r="G976" s="143" t="n"/>
      <c r="H976" s="27" t="n"/>
    </row>
    <row r="977" ht="17.25" customHeight="1" s="322">
      <c r="A977" s="27" t="n"/>
      <c r="B977" s="506" t="n"/>
      <c r="C977" s="141" t="n"/>
      <c r="D977" s="141" t="n"/>
      <c r="E977" s="141" t="n"/>
      <c r="F977" s="141" t="n"/>
      <c r="G977" s="143" t="n"/>
      <c r="H977" s="27" t="n"/>
    </row>
    <row r="978" ht="17.25" customHeight="1" s="322">
      <c r="A978" s="27" t="n"/>
      <c r="B978" s="506" t="n"/>
      <c r="C978" s="141" t="n"/>
      <c r="D978" s="141" t="n"/>
      <c r="E978" s="141" t="n"/>
      <c r="F978" s="141" t="n"/>
      <c r="G978" s="143" t="n"/>
      <c r="H978" s="27" t="n"/>
    </row>
    <row r="979" ht="17.25" customHeight="1" s="322">
      <c r="A979" s="27" t="n"/>
      <c r="B979" s="506" t="n"/>
      <c r="C979" s="141" t="n"/>
      <c r="D979" s="141" t="n"/>
      <c r="E979" s="141" t="n"/>
      <c r="F979" s="141" t="n"/>
      <c r="G979" s="143" t="n"/>
      <c r="H979" s="27" t="n"/>
    </row>
    <row r="980" ht="17.25" customHeight="1" s="322">
      <c r="A980" s="27" t="n"/>
      <c r="B980" s="506" t="n"/>
      <c r="C980" s="141" t="n"/>
      <c r="D980" s="141" t="n"/>
      <c r="E980" s="141" t="n"/>
      <c r="F980" s="141" t="n"/>
      <c r="G980" s="143" t="n"/>
      <c r="H980" s="27" t="n"/>
    </row>
    <row r="981" ht="17.25" customHeight="1" s="322">
      <c r="A981" s="27" t="n"/>
      <c r="B981" s="506" t="n"/>
      <c r="C981" s="141" t="n"/>
      <c r="D981" s="141" t="n"/>
      <c r="E981" s="141" t="n"/>
      <c r="F981" s="141" t="n"/>
      <c r="G981" s="143" t="n"/>
      <c r="H981" s="27" t="n"/>
    </row>
    <row r="982" ht="17.25" customHeight="1" s="322">
      <c r="A982" s="27" t="n"/>
      <c r="B982" s="506" t="n"/>
      <c r="C982" s="141" t="n"/>
      <c r="D982" s="141" t="n"/>
      <c r="E982" s="141" t="n"/>
      <c r="F982" s="141" t="n"/>
      <c r="G982" s="143" t="n"/>
      <c r="H982" s="27" t="n"/>
    </row>
    <row r="983" ht="17.25" customHeight="1" s="322">
      <c r="A983" s="27" t="n"/>
      <c r="B983" s="506" t="n"/>
      <c r="C983" s="141" t="n"/>
      <c r="D983" s="141" t="n"/>
      <c r="E983" s="141" t="n"/>
      <c r="F983" s="141" t="n"/>
      <c r="G983" s="143" t="n"/>
      <c r="H983" s="27" t="n"/>
    </row>
    <row r="984" ht="17.25" customHeight="1" s="322">
      <c r="A984" s="27" t="n"/>
      <c r="B984" s="506" t="n"/>
      <c r="C984" s="141" t="n"/>
      <c r="D984" s="141" t="n"/>
      <c r="E984" s="141" t="n"/>
      <c r="F984" s="141" t="n"/>
      <c r="G984" s="143" t="n"/>
      <c r="H984" s="27" t="n"/>
    </row>
    <row r="985" ht="17.25" customHeight="1" s="322">
      <c r="A985" s="27" t="n"/>
      <c r="B985" s="506" t="n"/>
      <c r="C985" s="141" t="n"/>
      <c r="D985" s="141" t="n"/>
      <c r="E985" s="141" t="n"/>
      <c r="F985" s="141" t="n"/>
      <c r="G985" s="143" t="n"/>
      <c r="H985" s="27" t="n"/>
    </row>
    <row r="986" ht="17.25" customHeight="1" s="322">
      <c r="A986" s="27" t="n"/>
      <c r="B986" s="506" t="n"/>
      <c r="C986" s="141" t="n"/>
      <c r="D986" s="141" t="n"/>
      <c r="E986" s="141" t="n"/>
      <c r="F986" s="141" t="n"/>
      <c r="G986" s="143" t="n"/>
      <c r="H986" s="27" t="n"/>
    </row>
    <row r="987" ht="17.25" customHeight="1" s="322">
      <c r="A987" s="27" t="n"/>
      <c r="B987" s="506" t="n"/>
      <c r="C987" s="141" t="n"/>
      <c r="D987" s="141" t="n"/>
      <c r="E987" s="141" t="n"/>
      <c r="F987" s="141" t="n"/>
      <c r="G987" s="143" t="n"/>
      <c r="H987" s="27" t="n"/>
    </row>
    <row r="988" ht="17.25" customHeight="1" s="322">
      <c r="A988" s="27" t="n"/>
      <c r="B988" s="506" t="n"/>
      <c r="C988" s="141" t="n"/>
      <c r="D988" s="141" t="n"/>
      <c r="E988" s="141" t="n"/>
      <c r="F988" s="141" t="n"/>
      <c r="G988" s="143" t="n"/>
      <c r="H988" s="27" t="n"/>
    </row>
    <row r="989" ht="17.25" customHeight="1" s="322">
      <c r="A989" s="27" t="n"/>
      <c r="B989" s="506" t="n"/>
      <c r="C989" s="141" t="n"/>
      <c r="D989" s="141" t="n"/>
      <c r="E989" s="141" t="n"/>
      <c r="F989" s="141" t="n"/>
      <c r="G989" s="143" t="n"/>
      <c r="H989" s="27" t="n"/>
    </row>
    <row r="990" ht="17.25" customHeight="1" s="322">
      <c r="A990" s="27" t="n"/>
      <c r="B990" s="506" t="n"/>
      <c r="C990" s="141" t="n"/>
      <c r="D990" s="141" t="n"/>
      <c r="E990" s="141" t="n"/>
      <c r="F990" s="141" t="n"/>
      <c r="G990" s="143" t="n"/>
      <c r="H990" s="27" t="n"/>
    </row>
    <row r="991" ht="17.25" customHeight="1" s="322">
      <c r="A991" s="27" t="n"/>
      <c r="B991" s="506" t="n"/>
      <c r="C991" s="141" t="n"/>
      <c r="D991" s="141" t="n"/>
      <c r="E991" s="141" t="n"/>
      <c r="F991" s="141" t="n"/>
      <c r="G991" s="143" t="n"/>
      <c r="H991" s="27" t="n"/>
    </row>
    <row r="992" ht="17.25" customHeight="1" s="322">
      <c r="A992" s="27" t="n"/>
      <c r="B992" s="506" t="n"/>
      <c r="C992" s="141" t="n"/>
      <c r="D992" s="141" t="n"/>
      <c r="E992" s="141" t="n"/>
      <c r="F992" s="141" t="n"/>
      <c r="G992" s="143" t="n"/>
      <c r="H992" s="27" t="n"/>
    </row>
    <row r="993" ht="17.25" customHeight="1" s="322">
      <c r="A993" s="27" t="n"/>
      <c r="B993" s="506" t="n"/>
      <c r="C993" s="141" t="n"/>
      <c r="D993" s="141" t="n"/>
      <c r="E993" s="141" t="n"/>
      <c r="F993" s="141" t="n"/>
      <c r="G993" s="143" t="n"/>
      <c r="H993" s="27" t="n"/>
    </row>
    <row r="994" ht="17.25" customHeight="1" s="322">
      <c r="A994" s="27" t="n"/>
      <c r="B994" s="506" t="n"/>
      <c r="C994" s="141" t="n"/>
      <c r="D994" s="141" t="n"/>
      <c r="E994" s="141" t="n"/>
      <c r="F994" s="141" t="n"/>
      <c r="G994" s="143" t="n"/>
      <c r="H994" s="27" t="n"/>
    </row>
    <row r="995" ht="17.25" customHeight="1" s="322">
      <c r="A995" s="27" t="n"/>
      <c r="B995" s="506" t="n"/>
      <c r="C995" s="141" t="n"/>
      <c r="D995" s="141" t="n"/>
      <c r="E995" s="141" t="n"/>
      <c r="F995" s="141" t="n"/>
      <c r="G995" s="143" t="n"/>
      <c r="H995" s="27" t="n"/>
    </row>
    <row r="996" ht="17.25" customHeight="1" s="322">
      <c r="A996" s="27" t="n"/>
      <c r="B996" s="506" t="n"/>
      <c r="C996" s="141" t="n"/>
      <c r="D996" s="141" t="n"/>
      <c r="E996" s="141" t="n"/>
      <c r="F996" s="141" t="n"/>
      <c r="G996" s="143" t="n"/>
      <c r="H996" s="27" t="n"/>
    </row>
    <row r="997" ht="17.25" customHeight="1" s="322">
      <c r="A997" s="27" t="n"/>
      <c r="B997" s="506" t="n"/>
      <c r="C997" s="141" t="n"/>
      <c r="D997" s="141" t="n"/>
      <c r="E997" s="141" t="n"/>
      <c r="F997" s="141" t="n"/>
      <c r="G997" s="143" t="n"/>
      <c r="H997" s="27" t="n"/>
    </row>
    <row r="998" ht="17.25" customHeight="1" s="322">
      <c r="A998" s="27" t="n"/>
      <c r="B998" s="506" t="n"/>
      <c r="C998" s="141" t="n"/>
      <c r="D998" s="141" t="n"/>
      <c r="E998" s="141" t="n"/>
      <c r="F998" s="141" t="n"/>
      <c r="G998" s="143" t="n"/>
      <c r="H998" s="27" t="n"/>
    </row>
    <row r="999" ht="17.25" customHeight="1" s="322">
      <c r="A999" s="27" t="n"/>
      <c r="B999" s="506" t="n"/>
      <c r="C999" s="141" t="n"/>
      <c r="D999" s="141" t="n"/>
      <c r="E999" s="141" t="n"/>
      <c r="F999" s="141" t="n"/>
      <c r="G999" s="143" t="n"/>
      <c r="H999" s="27" t="n"/>
    </row>
    <row r="1000" ht="17.25" customHeight="1" s="322">
      <c r="A1000" s="27" t="n"/>
      <c r="B1000" s="506" t="n"/>
      <c r="C1000" s="141" t="n"/>
      <c r="D1000" s="141" t="n"/>
      <c r="E1000" s="141" t="n"/>
      <c r="F1000" s="141" t="n"/>
      <c r="G1000" s="143" t="n"/>
      <c r="H1000" s="27" t="n"/>
    </row>
  </sheetData>
  <mergeCells count="3">
    <mergeCell ref="B1:F2"/>
    <mergeCell ref="B7:G7"/>
    <mergeCell ref="B10:C10"/>
  </mergeCells>
  <conditionalFormatting sqref="D10:E10">
    <cfRule type="cellIs" priority="5" operator="lessThan" dxfId="5">
      <formula>0</formula>
    </cfRule>
    <cfRule type="cellIs" priority="6" operator="greaterThan" dxfId="4">
      <formula>0</formula>
    </cfRule>
  </conditionalFormatting>
  <conditionalFormatting sqref="F28:F1000">
    <cfRule type="expression" priority="1" dxfId="3">
      <formula>AND(F28=MAX(F$28:F$1000),F28&gt;0)</formula>
    </cfRule>
    <cfRule type="expression" priority="2" dxfId="2">
      <formula>AND(F28=MIN(F$28:F$1000),F28&gt;0)</formula>
    </cfRule>
  </conditionalFormatting>
  <conditionalFormatting sqref="F29:F1000">
    <cfRule type="expression" priority="3" dxfId="1">
      <formula>F29&gt;F27</formula>
    </cfRule>
    <cfRule type="expression" priority="4" dxfId="0">
      <formula>F29&lt;F27</formula>
    </cfRule>
  </conditionalFormatting>
  <conditionalFormatting sqref="G15">
    <cfRule type="colorScale" priority="7">
      <colorScale>
        <cfvo type="min"/>
        <cfvo type="max"/>
        <color rgb="FF57BB8A"/>
        <color rgb="FFFFFFFF"/>
      </colorScale>
    </cfRule>
  </conditionalFormatting>
  <dataValidations count="1">
    <dataValidation sqref="G15" showDropDown="0" showInputMessage="1" showErrorMessage="1" allowBlank="1" prompt="Click and enter a value from the list of items" type="list">
      <formula1>"1 Month,3 Months,6 Months,12 Months,36 Months"</formula1>
    </dataValidation>
  </dataValidations>
  <hyperlinks>
    <hyperlink xmlns:r="http://schemas.openxmlformats.org/officeDocument/2006/relationships" ref="B1" r:id="rId1"/>
    <hyperlink xmlns:r="http://schemas.openxmlformats.org/officeDocument/2006/relationships" ref="G2" r:id="rId2"/>
  </hyperlinks>
  <pageMargins left="0.7" right="0.7" top="0.75" bottom="0.75" header="0.3" footer="0.3"/>
  <drawing xmlns:r="http://schemas.openxmlformats.org/officeDocument/2006/relationships" r:id="rId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H1000"/>
  <sheetViews>
    <sheetView showGridLines="0" workbookViewId="0">
      <selection activeCell="A1" sqref="A1"/>
    </sheetView>
  </sheetViews>
  <sheetFormatPr baseColWidth="8" defaultColWidth="12.5703125" defaultRowHeight="15.75" customHeight="1"/>
  <cols>
    <col width="5.42578125" customWidth="1" style="322" min="1" max="1"/>
    <col width="15.7109375" customWidth="1" style="322" min="2" max="2"/>
    <col width="5.42578125" customWidth="1" style="322" min="8" max="8"/>
  </cols>
  <sheetData>
    <row r="1" ht="22.5" customHeight="1" s="322">
      <c r="A1" s="69" t="n"/>
      <c r="B1" s="455" t="inlineStr">
        <is>
          <t>← 관심종목으로 돌아가기</t>
        </is>
      </c>
      <c r="G1" s="72" t="inlineStr">
        <is>
          <t>제공:</t>
        </is>
      </c>
      <c r="H1" s="69" t="n"/>
    </row>
    <row r="2" ht="22.5" customHeight="1" s="322">
      <c r="A2" s="69" t="n"/>
      <c r="G2" s="77" t="inlineStr">
        <is>
          <t>Google Finance</t>
        </is>
      </c>
      <c r="H2" s="69" t="n"/>
    </row>
    <row r="3" ht="11.25" customHeight="1" s="322">
      <c r="A3" s="1" t="n"/>
      <c r="B3" s="1" t="n"/>
      <c r="C3" s="1" t="n"/>
      <c r="D3" s="1" t="n"/>
      <c r="E3" s="1" t="n"/>
      <c r="F3" s="1" t="n"/>
      <c r="G3" s="1" t="n"/>
      <c r="H3" s="1" t="n"/>
    </row>
    <row r="4" ht="15.75" customHeight="1" s="322">
      <c r="A4" s="1" t="n"/>
      <c r="B4" s="80" t="inlineStr">
        <is>
          <t>vea</t>
        </is>
      </c>
      <c r="C4" s="81" t="inlineStr">
        <is>
          <t>&lt;&lt; 종목코드 입력</t>
        </is>
      </c>
      <c r="D4" s="1" t="n"/>
      <c r="E4" s="1" t="n"/>
      <c r="F4" s="1" t="n"/>
      <c r="G4" s="1" t="n"/>
      <c r="H4" s="1" t="n"/>
    </row>
    <row r="5" ht="15.75" customHeight="1" s="322">
      <c r="A5" s="1" t="n"/>
      <c r="B5" s="82" t="n"/>
      <c r="C5" s="81" t="inlineStr">
        <is>
          <t>&lt;&lt; 필요한 경우 거래소 입력(예: NASDAQ, NYSE)</t>
        </is>
      </c>
      <c r="D5" s="85" t="n"/>
      <c r="E5" s="1" t="n"/>
      <c r="F5" s="1" t="n"/>
      <c r="G5" s="1" t="n"/>
      <c r="H5" s="1" t="n"/>
    </row>
    <row r="6" ht="11.25" customHeight="1" s="322">
      <c r="A6" s="27" t="n"/>
      <c r="B6" s="27" t="n"/>
      <c r="C6" s="27" t="n"/>
      <c r="D6" s="27" t="n"/>
      <c r="E6" s="27" t="n"/>
      <c r="F6" s="27" t="n"/>
      <c r="G6" s="27" t="n"/>
      <c r="H6" s="27" t="n"/>
    </row>
    <row r="7" ht="20.25" customHeight="1" s="322">
      <c r="A7" s="12" t="n"/>
      <c r="B7" s="501">
        <f>IFERROR(__xludf.DUMMYFUNCTION("GOOGLEFINANCE(B18,""name"")"),"Vanguard Tax Managed Fund FTSE Developed Markets ETF")</f>
        <v/>
      </c>
      <c r="H7" s="12" t="n"/>
    </row>
    <row r="8" ht="11.25" customHeight="1" s="322">
      <c r="A8" s="12" t="n"/>
      <c r="B8" s="12" t="n"/>
      <c r="C8" s="12" t="n"/>
      <c r="D8" s="12" t="n"/>
      <c r="E8" s="12" t="n"/>
      <c r="F8" s="12" t="n"/>
      <c r="G8" s="12" t="n"/>
      <c r="H8" s="12" t="n"/>
    </row>
    <row r="9" ht="12" customHeight="1" s="322">
      <c r="A9" s="1" t="n"/>
      <c r="B9" s="90" t="inlineStr">
        <is>
          <t>현재가</t>
        </is>
      </c>
      <c r="C9" s="1" t="n"/>
      <c r="D9" s="90" t="inlineStr">
        <is>
          <t>전일대비</t>
        </is>
      </c>
      <c r="E9" s="90" t="inlineStr">
        <is>
          <t>등락률(%)</t>
        </is>
      </c>
      <c r="F9" s="1" t="n"/>
      <c r="G9" s="1" t="n"/>
      <c r="H9" s="1" t="n"/>
    </row>
    <row r="10" ht="31.5" customHeight="1" s="322">
      <c r="A10" s="12" t="n"/>
      <c r="B10" s="502">
        <f>IFERROR(__xludf.DUMMYFUNCTION("GOOGLEFINANCE(B18,""price"")"),68.95)</f>
        <v/>
      </c>
      <c r="D10" s="503">
        <f>IFERROR(__xludf.DUMMYFUNCTION("IFERROR(GOOGLEFINANCE(B18,""change""),""-"")"),-0.65)</f>
        <v/>
      </c>
      <c r="E10" s="504">
        <f>IFERROR(__xludf.DUMMYFUNCTION("IFERROR(GOOGLEFINANCE(B18,""changepct"")/100,""-"")"),-0.0093)</f>
        <v/>
      </c>
      <c r="F10" s="12" t="n"/>
      <c r="G10" s="12" t="n"/>
      <c r="H10" s="12" t="n"/>
    </row>
    <row r="11" ht="11.25" customHeight="1" s="322">
      <c r="A11" s="12" t="n"/>
      <c r="B11" s="106" t="n"/>
      <c r="C11" s="106" t="n"/>
      <c r="D11" s="106" t="n"/>
      <c r="E11" s="106" t="n"/>
      <c r="F11" s="106" t="n"/>
      <c r="G11" s="106" t="n"/>
      <c r="H11" s="12" t="n"/>
    </row>
    <row r="12" ht="11.25" customHeight="1" s="322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 ht="12" customHeight="1" s="322">
      <c r="A13" s="1" t="n"/>
      <c r="B13" s="90" t="inlineStr">
        <is>
          <t>시가총액</t>
        </is>
      </c>
      <c r="C13" s="90" t="inlineStr">
        <is>
          <t>PER</t>
        </is>
      </c>
      <c r="D13" s="90" t="inlineStr">
        <is>
          <t>베타계수</t>
        </is>
      </c>
      <c r="E13" s="1" t="n"/>
      <c r="F13" s="1" t="n"/>
      <c r="G13" s="1" t="n"/>
      <c r="H13" s="1" t="n"/>
    </row>
    <row r="14">
      <c r="A14" s="113" t="n"/>
      <c r="B14" s="505">
        <f>IFERROR(__xludf.DUMMYFUNCTION("IFERROR(GOOGLEFINANCE(B18,""marketcap""),""-"")"),"-")</f>
        <v/>
      </c>
      <c r="C14" s="115">
        <f>IFERROR(__xludf.DUMMYFUNCTION("IFERROR(GOOGLEFINANCE(B18,""pe""),""-"")"),"-")</f>
        <v/>
      </c>
      <c r="D14" s="115">
        <f>IFERROR(__xludf.DUMMYFUNCTION("IFERROR(GOOGLEFINANCE(B18,""beta""),""-"")"),"-")</f>
        <v/>
      </c>
      <c r="E14" s="113" t="n"/>
      <c r="F14" s="113" t="n"/>
      <c r="G14" s="113" t="n"/>
      <c r="H14" s="113" t="n"/>
    </row>
    <row r="15" ht="15.75" customHeight="1" s="322">
      <c r="A15" s="12" t="n"/>
      <c r="B15" s="12" t="n"/>
      <c r="C15" s="12" t="n"/>
      <c r="D15" s="12" t="n"/>
      <c r="E15" s="12" t="n"/>
      <c r="F15" s="12" t="n"/>
      <c r="G15" s="123" t="inlineStr">
        <is>
          <t>6 Months</t>
        </is>
      </c>
      <c r="H15" s="12" t="n"/>
    </row>
    <row r="16" ht="15.75" customHeight="1" s="322">
      <c r="A16" s="12" t="n"/>
      <c r="B16" s="12" t="n"/>
      <c r="C16" s="12" t="n"/>
      <c r="D16" s="12" t="n"/>
      <c r="E16" s="12" t="n"/>
      <c r="F16" s="12" t="n"/>
      <c r="G16" s="12" t="n"/>
      <c r="H16" s="12" t="n"/>
    </row>
    <row r="17" ht="15.75" customHeight="1" s="322">
      <c r="A17" s="12" t="n"/>
      <c r="B17" s="12" t="n"/>
      <c r="C17" s="12" t="n"/>
      <c r="D17" s="12" t="n"/>
      <c r="E17" s="12" t="n"/>
      <c r="F17" s="12" t="n"/>
      <c r="G17" s="12" t="n"/>
      <c r="H17" s="12" t="n"/>
    </row>
    <row r="18" ht="15.75" customHeight="1" s="322">
      <c r="A18" s="12" t="n"/>
      <c r="B18" s="127">
        <f>IF(ISBLANK(B5),"",B5&amp;":")&amp;B4</f>
        <v/>
      </c>
      <c r="C18" s="12" t="n"/>
      <c r="D18" s="12" t="n"/>
      <c r="E18" s="12" t="n"/>
      <c r="F18" s="12" t="n"/>
      <c r="G18" s="12" t="n"/>
      <c r="H18" s="12" t="n"/>
    </row>
    <row r="19" ht="15.75" customHeight="1" s="322">
      <c r="A19" s="12" t="n"/>
      <c r="B19" s="12" t="n"/>
      <c r="C19" s="12" t="n"/>
      <c r="D19" s="12" t="n"/>
      <c r="E19" s="12" t="n"/>
      <c r="F19" s="12" t="n"/>
      <c r="G19" s="12" t="n"/>
      <c r="H19" s="12" t="n"/>
    </row>
    <row r="20" ht="15.75" customHeight="1" s="322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1" ht="15.75" customHeight="1" s="322">
      <c r="A21" s="12" t="n"/>
      <c r="B21" s="12" t="n"/>
      <c r="C21" s="12" t="n"/>
      <c r="D21" s="12" t="n"/>
      <c r="E21" s="12" t="n"/>
      <c r="F21" s="12" t="n"/>
      <c r="G21" s="12" t="n"/>
      <c r="H21" s="12" t="n"/>
    </row>
    <row r="22" ht="15.75" customHeight="1" s="322">
      <c r="A22" s="12" t="n"/>
      <c r="B22" s="12" t="n"/>
      <c r="C22" s="12" t="n"/>
      <c r="D22" s="12" t="n"/>
      <c r="E22" s="12" t="n"/>
      <c r="F22" s="12" t="n"/>
      <c r="G22" s="12" t="n"/>
      <c r="H22" s="12" t="n"/>
    </row>
    <row r="23" ht="15.75" customHeight="1" s="322">
      <c r="A23" s="12" t="n"/>
      <c r="B23" s="12" t="n"/>
      <c r="C23" s="12" t="n"/>
      <c r="D23" s="12" t="n"/>
      <c r="E23" s="12" t="n"/>
      <c r="F23" s="12" t="n"/>
      <c r="G23" s="12" t="n"/>
      <c r="H23" s="12" t="n"/>
    </row>
    <row r="24" ht="15.75" customHeight="1" s="322">
      <c r="A24" s="12" t="n"/>
      <c r="B24" s="12" t="n"/>
      <c r="C24" s="12" t="n"/>
      <c r="D24" s="12" t="n"/>
      <c r="E24" s="12" t="n"/>
      <c r="F24" s="12" t="n"/>
      <c r="G24" s="12" t="n"/>
      <c r="H24" s="12" t="n"/>
    </row>
    <row r="25" ht="15.75" customHeight="1" s="322">
      <c r="A25" s="12" t="n"/>
      <c r="B25" s="12" t="n"/>
      <c r="C25" s="12" t="n"/>
      <c r="D25" s="12" t="n"/>
      <c r="E25" s="12" t="n"/>
      <c r="F25" s="12" t="n"/>
      <c r="G25" s="12" t="n"/>
      <c r="H25" s="12" t="n"/>
    </row>
    <row r="26" ht="15.75" customHeight="1" s="322">
      <c r="A26" s="12" t="n"/>
      <c r="B26" s="12" t="n"/>
      <c r="C26" s="12" t="n"/>
      <c r="D26" s="12" t="n"/>
      <c r="E26" s="12" t="n"/>
      <c r="F26" s="12" t="n"/>
      <c r="G26" s="12" t="n"/>
      <c r="H26" s="12" t="n"/>
    </row>
    <row r="27" ht="15.75" customHeight="1" s="322">
      <c r="A27" s="133" t="n"/>
      <c r="B27" s="136">
        <f>IFERROR(__xludf.DUMMYFUNCTION("GOOGLEFINANCE(B18, ""all"", EDATE(TODAY(), -LEFT(G15, FIND("" "", G15))), TODAY(), ""DAILY"")"),"Date")</f>
        <v/>
      </c>
      <c r="C27" s="137">
        <f>IFERROR(__xludf.DUMMYFUNCTION("""COMPUTED_VALUE"""),"Open")</f>
        <v/>
      </c>
      <c r="D27" s="137">
        <f>IFERROR(__xludf.DUMMYFUNCTION("""COMPUTED_VALUE"""),"High")</f>
        <v/>
      </c>
      <c r="E27" s="137">
        <f>IFERROR(__xludf.DUMMYFUNCTION("""COMPUTED_VALUE"""),"Low")</f>
        <v/>
      </c>
      <c r="F27" s="137">
        <f>IFERROR(__xludf.DUMMYFUNCTION("""COMPUTED_VALUE"""),"Close")</f>
        <v/>
      </c>
      <c r="G27" s="137">
        <f>IFERROR(__xludf.DUMMYFUNCTION("""COMPUTED_VALUE"""),"Volume")</f>
        <v/>
      </c>
      <c r="H27" s="133" t="n"/>
    </row>
    <row r="28" ht="17.25" customHeight="1" s="322">
      <c r="A28" s="27" t="n"/>
      <c r="B28" s="506">
        <f>IFERROR(__xludf.DUMMYFUNCTION("""COMPUTED_VALUE"""),46052.6666666666)</f>
        <v/>
      </c>
      <c r="C28" s="141">
        <f>IFERROR(__xludf.DUMMYFUNCTION("""COMPUTED_VALUE"""),66.77)</f>
        <v/>
      </c>
      <c r="D28" s="141">
        <f>IFERROR(__xludf.DUMMYFUNCTION("""COMPUTED_VALUE"""),66.88)</f>
        <v/>
      </c>
      <c r="E28" s="141">
        <f>IFERROR(__xludf.DUMMYFUNCTION("""COMPUTED_VALUE"""),65.93)</f>
        <v/>
      </c>
      <c r="F28" s="141">
        <f>IFERROR(__xludf.DUMMYFUNCTION("""COMPUTED_VALUE"""),66.2)</f>
        <v/>
      </c>
      <c r="G28" s="143">
        <f>IFERROR(__xludf.DUMMYFUNCTION("""COMPUTED_VALUE"""),28904488)</f>
        <v/>
      </c>
      <c r="H28" s="27" t="n"/>
    </row>
    <row r="29" ht="17.25" customHeight="1" s="322">
      <c r="A29" s="27" t="n"/>
      <c r="B29" s="506">
        <f>IFERROR(__xludf.DUMMYFUNCTION("""COMPUTED_VALUE"""),46055.6666666666)</f>
        <v/>
      </c>
      <c r="C29" s="141">
        <f>IFERROR(__xludf.DUMMYFUNCTION("""COMPUTED_VALUE"""),66.04)</f>
        <v/>
      </c>
      <c r="D29" s="141">
        <f>IFERROR(__xludf.DUMMYFUNCTION("""COMPUTED_VALUE"""),66.51)</f>
        <v/>
      </c>
      <c r="E29" s="141">
        <f>IFERROR(__xludf.DUMMYFUNCTION("""COMPUTED_VALUE"""),66.01)</f>
        <v/>
      </c>
      <c r="F29" s="141">
        <f>IFERROR(__xludf.DUMMYFUNCTION("""COMPUTED_VALUE"""),66.46)</f>
        <v/>
      </c>
      <c r="G29" s="143">
        <f>IFERROR(__xludf.DUMMYFUNCTION("""COMPUTED_VALUE"""),20450666)</f>
        <v/>
      </c>
      <c r="H29" s="27" t="n"/>
    </row>
    <row r="30" ht="17.25" customHeight="1" s="322">
      <c r="A30" s="27" t="n"/>
      <c r="B30" s="506">
        <f>IFERROR(__xludf.DUMMYFUNCTION("""COMPUTED_VALUE"""),46056.6666666666)</f>
        <v/>
      </c>
      <c r="C30" s="141">
        <f>IFERROR(__xludf.DUMMYFUNCTION("""COMPUTED_VALUE"""),66.59)</f>
        <v/>
      </c>
      <c r="D30" s="141">
        <f>IFERROR(__xludf.DUMMYFUNCTION("""COMPUTED_VALUE"""),66.86)</f>
        <v/>
      </c>
      <c r="E30" s="141">
        <f>IFERROR(__xludf.DUMMYFUNCTION("""COMPUTED_VALUE"""),66.14)</f>
        <v/>
      </c>
      <c r="F30" s="141">
        <f>IFERROR(__xludf.DUMMYFUNCTION("""COMPUTED_VALUE"""),66.72)</f>
        <v/>
      </c>
      <c r="G30" s="143">
        <f>IFERROR(__xludf.DUMMYFUNCTION("""COMPUTED_VALUE"""),24292460)</f>
        <v/>
      </c>
      <c r="H30" s="27" t="n"/>
    </row>
    <row r="31" ht="17.25" customHeight="1" s="322">
      <c r="A31" s="27" t="n"/>
      <c r="B31" s="506">
        <f>IFERROR(__xludf.DUMMYFUNCTION("""COMPUTED_VALUE"""),46057.6666666666)</f>
        <v/>
      </c>
      <c r="C31" s="141">
        <f>IFERROR(__xludf.DUMMYFUNCTION("""COMPUTED_VALUE"""),67.35)</f>
        <v/>
      </c>
      <c r="D31" s="141">
        <f>IFERROR(__xludf.DUMMYFUNCTION("""COMPUTED_VALUE"""),67.47)</f>
        <v/>
      </c>
      <c r="E31" s="141">
        <f>IFERROR(__xludf.DUMMYFUNCTION("""COMPUTED_VALUE"""),66.52)</f>
        <v/>
      </c>
      <c r="F31" s="141">
        <f>IFERROR(__xludf.DUMMYFUNCTION("""COMPUTED_VALUE"""),66.8)</f>
        <v/>
      </c>
      <c r="G31" s="143">
        <f>IFERROR(__xludf.DUMMYFUNCTION("""COMPUTED_VALUE"""),27908373)</f>
        <v/>
      </c>
      <c r="H31" s="27" t="n"/>
    </row>
    <row r="32" ht="17.25" customHeight="1" s="322">
      <c r="A32" s="27" t="n"/>
      <c r="B32" s="506">
        <f>IFERROR(__xludf.DUMMYFUNCTION("""COMPUTED_VALUE"""),46058.6666666666)</f>
        <v/>
      </c>
      <c r="C32" s="141">
        <f>IFERROR(__xludf.DUMMYFUNCTION("""COMPUTED_VALUE"""),66.06)</f>
        <v/>
      </c>
      <c r="D32" s="141">
        <f>IFERROR(__xludf.DUMMYFUNCTION("""COMPUTED_VALUE"""),66.47)</f>
        <v/>
      </c>
      <c r="E32" s="141">
        <f>IFERROR(__xludf.DUMMYFUNCTION("""COMPUTED_VALUE"""),65.8)</f>
        <v/>
      </c>
      <c r="F32" s="141">
        <f>IFERROR(__xludf.DUMMYFUNCTION("""COMPUTED_VALUE"""),65.9)</f>
        <v/>
      </c>
      <c r="G32" s="143">
        <f>IFERROR(__xludf.DUMMYFUNCTION("""COMPUTED_VALUE"""),23248934)</f>
        <v/>
      </c>
      <c r="H32" s="27" t="n"/>
    </row>
    <row r="33" ht="17.25" customHeight="1" s="322">
      <c r="A33" s="27" t="n"/>
      <c r="B33" s="506">
        <f>IFERROR(__xludf.DUMMYFUNCTION("""COMPUTED_VALUE"""),46059.6666666666)</f>
        <v/>
      </c>
      <c r="C33" s="141">
        <f>IFERROR(__xludf.DUMMYFUNCTION("""COMPUTED_VALUE"""),66.74)</f>
        <v/>
      </c>
      <c r="D33" s="141">
        <f>IFERROR(__xludf.DUMMYFUNCTION("""COMPUTED_VALUE"""),67.39)</f>
        <v/>
      </c>
      <c r="E33" s="141">
        <f>IFERROR(__xludf.DUMMYFUNCTION("""COMPUTED_VALUE"""),66.68)</f>
        <v/>
      </c>
      <c r="F33" s="141">
        <f>IFERROR(__xludf.DUMMYFUNCTION("""COMPUTED_VALUE"""),67.37)</f>
        <v/>
      </c>
      <c r="G33" s="143">
        <f>IFERROR(__xludf.DUMMYFUNCTION("""COMPUTED_VALUE"""),13752029)</f>
        <v/>
      </c>
      <c r="H33" s="27" t="n"/>
    </row>
    <row r="34" ht="17.25" customHeight="1" s="322">
      <c r="A34" s="27" t="n"/>
      <c r="B34" s="506">
        <f>IFERROR(__xludf.DUMMYFUNCTION("""COMPUTED_VALUE"""),46062.6666666666)</f>
        <v/>
      </c>
      <c r="C34" s="141">
        <f>IFERROR(__xludf.DUMMYFUNCTION("""COMPUTED_VALUE"""),67.73)</f>
        <v/>
      </c>
      <c r="D34" s="141">
        <f>IFERROR(__xludf.DUMMYFUNCTION("""COMPUTED_VALUE"""),68.44)</f>
        <v/>
      </c>
      <c r="E34" s="141">
        <f>IFERROR(__xludf.DUMMYFUNCTION("""COMPUTED_VALUE"""),67.69)</f>
        <v/>
      </c>
      <c r="F34" s="141">
        <f>IFERROR(__xludf.DUMMYFUNCTION("""COMPUTED_VALUE"""),68.37)</f>
        <v/>
      </c>
      <c r="G34" s="143">
        <f>IFERROR(__xludf.DUMMYFUNCTION("""COMPUTED_VALUE"""),21223429)</f>
        <v/>
      </c>
      <c r="H34" s="27" t="n"/>
    </row>
    <row r="35" ht="17.25" customHeight="1" s="322">
      <c r="A35" s="27" t="n"/>
      <c r="B35" s="506">
        <f>IFERROR(__xludf.DUMMYFUNCTION("""COMPUTED_VALUE"""),46063.6666666666)</f>
        <v/>
      </c>
      <c r="C35" s="141">
        <f>IFERROR(__xludf.DUMMYFUNCTION("""COMPUTED_VALUE"""),68.75)</f>
        <v/>
      </c>
      <c r="D35" s="141">
        <f>IFERROR(__xludf.DUMMYFUNCTION("""COMPUTED_VALUE"""),68.77)</f>
        <v/>
      </c>
      <c r="E35" s="141">
        <f>IFERROR(__xludf.DUMMYFUNCTION("""COMPUTED_VALUE"""),68.51)</f>
        <v/>
      </c>
      <c r="F35" s="141">
        <f>IFERROR(__xludf.DUMMYFUNCTION("""COMPUTED_VALUE"""),68.54)</f>
        <v/>
      </c>
      <c r="G35" s="143">
        <f>IFERROR(__xludf.DUMMYFUNCTION("""COMPUTED_VALUE"""),16400389)</f>
        <v/>
      </c>
      <c r="H35" s="27" t="n"/>
    </row>
    <row r="36" ht="17.25" customHeight="1" s="322">
      <c r="A36" s="27" t="n"/>
      <c r="B36" s="506">
        <f>IFERROR(__xludf.DUMMYFUNCTION("""COMPUTED_VALUE"""),46064.6666666666)</f>
        <v/>
      </c>
      <c r="C36" s="141">
        <f>IFERROR(__xludf.DUMMYFUNCTION("""COMPUTED_VALUE"""),69.06)</f>
        <v/>
      </c>
      <c r="D36" s="141">
        <f>IFERROR(__xludf.DUMMYFUNCTION("""COMPUTED_VALUE"""),69.18)</f>
        <v/>
      </c>
      <c r="E36" s="141">
        <f>IFERROR(__xludf.DUMMYFUNCTION("""COMPUTED_VALUE"""),68.46)</f>
        <v/>
      </c>
      <c r="F36" s="141">
        <f>IFERROR(__xludf.DUMMYFUNCTION("""COMPUTED_VALUE"""),69.05)</f>
        <v/>
      </c>
      <c r="G36" s="143">
        <f>IFERROR(__xludf.DUMMYFUNCTION("""COMPUTED_VALUE"""),18412351)</f>
        <v/>
      </c>
      <c r="H36" s="27" t="n"/>
    </row>
    <row r="37" ht="17.25" customHeight="1" s="322">
      <c r="A37" s="27" t="n"/>
      <c r="B37" s="506">
        <f>IFERROR(__xludf.DUMMYFUNCTION("""COMPUTED_VALUE"""),46065.6666666666)</f>
        <v/>
      </c>
      <c r="C37" s="141">
        <f>IFERROR(__xludf.DUMMYFUNCTION("""COMPUTED_VALUE"""),69.3)</f>
        <v/>
      </c>
      <c r="D37" s="141">
        <f>IFERROR(__xludf.DUMMYFUNCTION("""COMPUTED_VALUE"""),69.4)</f>
        <v/>
      </c>
      <c r="E37" s="141">
        <f>IFERROR(__xludf.DUMMYFUNCTION("""COMPUTED_VALUE"""),68.3)</f>
        <v/>
      </c>
      <c r="F37" s="141">
        <f>IFERROR(__xludf.DUMMYFUNCTION("""COMPUTED_VALUE"""),68.5)</f>
        <v/>
      </c>
      <c r="G37" s="143">
        <f>IFERROR(__xludf.DUMMYFUNCTION("""COMPUTED_VALUE"""),19882026)</f>
        <v/>
      </c>
      <c r="H37" s="27" t="n"/>
    </row>
    <row r="38" ht="17.25" customHeight="1" s="322">
      <c r="A38" s="27" t="n"/>
      <c r="B38" s="506">
        <f>IFERROR(__xludf.DUMMYFUNCTION("""COMPUTED_VALUE"""),46066.6666666666)</f>
        <v/>
      </c>
      <c r="C38" s="141">
        <f>IFERROR(__xludf.DUMMYFUNCTION("""COMPUTED_VALUE"""),68.41)</f>
        <v/>
      </c>
      <c r="D38" s="141">
        <f>IFERROR(__xludf.DUMMYFUNCTION("""COMPUTED_VALUE"""),68.87)</f>
        <v/>
      </c>
      <c r="E38" s="141">
        <f>IFERROR(__xludf.DUMMYFUNCTION("""COMPUTED_VALUE"""),68.02)</f>
        <v/>
      </c>
      <c r="F38" s="141">
        <f>IFERROR(__xludf.DUMMYFUNCTION("""COMPUTED_VALUE"""),68.76)</f>
        <v/>
      </c>
      <c r="G38" s="143">
        <f>IFERROR(__xludf.DUMMYFUNCTION("""COMPUTED_VALUE"""),23531712)</f>
        <v/>
      </c>
      <c r="H38" s="27" t="n"/>
    </row>
    <row r="39" ht="17.25" customHeight="1" s="322">
      <c r="A39" s="27" t="n"/>
      <c r="B39" s="506">
        <f>IFERROR(__xludf.DUMMYFUNCTION("""COMPUTED_VALUE"""),46070.6666666666)</f>
        <v/>
      </c>
      <c r="C39" s="141">
        <f>IFERROR(__xludf.DUMMYFUNCTION("""COMPUTED_VALUE"""),68.26)</f>
        <v/>
      </c>
      <c r="D39" s="141">
        <f>IFERROR(__xludf.DUMMYFUNCTION("""COMPUTED_VALUE"""),68.75)</f>
        <v/>
      </c>
      <c r="E39" s="141">
        <f>IFERROR(__xludf.DUMMYFUNCTION("""COMPUTED_VALUE"""),67.83)</f>
        <v/>
      </c>
      <c r="F39" s="141">
        <f>IFERROR(__xludf.DUMMYFUNCTION("""COMPUTED_VALUE"""),68.58)</f>
        <v/>
      </c>
      <c r="G39" s="143">
        <f>IFERROR(__xludf.DUMMYFUNCTION("""COMPUTED_VALUE"""),19239929)</f>
        <v/>
      </c>
      <c r="H39" s="27" t="n"/>
    </row>
    <row r="40" ht="17.25" customHeight="1" s="322">
      <c r="A40" s="27" t="n"/>
      <c r="B40" s="506">
        <f>IFERROR(__xludf.DUMMYFUNCTION("""COMPUTED_VALUE"""),46071.6666666666)</f>
        <v/>
      </c>
      <c r="C40" s="141">
        <f>IFERROR(__xludf.DUMMYFUNCTION("""COMPUTED_VALUE"""),68.75)</f>
        <v/>
      </c>
      <c r="D40" s="141">
        <f>IFERROR(__xludf.DUMMYFUNCTION("""COMPUTED_VALUE"""),69.15)</f>
        <v/>
      </c>
      <c r="E40" s="141">
        <f>IFERROR(__xludf.DUMMYFUNCTION("""COMPUTED_VALUE"""),68.64)</f>
        <v/>
      </c>
      <c r="F40" s="141">
        <f>IFERROR(__xludf.DUMMYFUNCTION("""COMPUTED_VALUE"""),68.81)</f>
        <v/>
      </c>
      <c r="G40" s="143">
        <f>IFERROR(__xludf.DUMMYFUNCTION("""COMPUTED_VALUE"""),11508384)</f>
        <v/>
      </c>
      <c r="H40" s="27" t="n"/>
    </row>
    <row r="41" ht="17.25" customHeight="1" s="322">
      <c r="A41" s="27" t="n"/>
      <c r="B41" s="506">
        <f>IFERROR(__xludf.DUMMYFUNCTION("""COMPUTED_VALUE"""),46072.6666666666)</f>
        <v/>
      </c>
      <c r="C41" s="141">
        <f>IFERROR(__xludf.DUMMYFUNCTION("""COMPUTED_VALUE"""),68.44)</f>
        <v/>
      </c>
      <c r="D41" s="141">
        <f>IFERROR(__xludf.DUMMYFUNCTION("""COMPUTED_VALUE"""),68.8)</f>
        <v/>
      </c>
      <c r="E41" s="141">
        <f>IFERROR(__xludf.DUMMYFUNCTION("""COMPUTED_VALUE"""),68.3)</f>
        <v/>
      </c>
      <c r="F41" s="141">
        <f>IFERROR(__xludf.DUMMYFUNCTION("""COMPUTED_VALUE"""),68.79)</f>
        <v/>
      </c>
      <c r="G41" s="143">
        <f>IFERROR(__xludf.DUMMYFUNCTION("""COMPUTED_VALUE"""),13326813)</f>
        <v/>
      </c>
      <c r="H41" s="27" t="n"/>
    </row>
    <row r="42" ht="17.25" customHeight="1" s="322">
      <c r="A42" s="27" t="n"/>
      <c r="B42" s="506">
        <f>IFERROR(__xludf.DUMMYFUNCTION("""COMPUTED_VALUE"""),46073.6666666666)</f>
        <v/>
      </c>
      <c r="C42" s="141">
        <f>IFERROR(__xludf.DUMMYFUNCTION("""COMPUTED_VALUE"""),68.79)</f>
        <v/>
      </c>
      <c r="D42" s="141">
        <f>IFERROR(__xludf.DUMMYFUNCTION("""COMPUTED_VALUE"""),69.56)</f>
        <v/>
      </c>
      <c r="E42" s="141">
        <f>IFERROR(__xludf.DUMMYFUNCTION("""COMPUTED_VALUE"""),68.77)</f>
        <v/>
      </c>
      <c r="F42" s="141">
        <f>IFERROR(__xludf.DUMMYFUNCTION("""COMPUTED_VALUE"""),69.52)</f>
        <v/>
      </c>
      <c r="G42" s="143">
        <f>IFERROR(__xludf.DUMMYFUNCTION("""COMPUTED_VALUE"""),15188793)</f>
        <v/>
      </c>
      <c r="H42" s="27" t="n"/>
    </row>
    <row r="43" ht="17.25" customHeight="1" s="322">
      <c r="A43" s="27" t="n"/>
      <c r="B43" s="506">
        <f>IFERROR(__xludf.DUMMYFUNCTION("""COMPUTED_VALUE"""),46076.6666666666)</f>
        <v/>
      </c>
      <c r="C43" s="141">
        <f>IFERROR(__xludf.DUMMYFUNCTION("""COMPUTED_VALUE"""),69.44)</f>
        <v/>
      </c>
      <c r="D43" s="141">
        <f>IFERROR(__xludf.DUMMYFUNCTION("""COMPUTED_VALUE"""),69.66)</f>
        <v/>
      </c>
      <c r="E43" s="141">
        <f>IFERROR(__xludf.DUMMYFUNCTION("""COMPUTED_VALUE"""),68.99)</f>
        <v/>
      </c>
      <c r="F43" s="141">
        <f>IFERROR(__xludf.DUMMYFUNCTION("""COMPUTED_VALUE"""),69.18)</f>
        <v/>
      </c>
      <c r="G43" s="143">
        <f>IFERROR(__xludf.DUMMYFUNCTION("""COMPUTED_VALUE"""),12016834)</f>
        <v/>
      </c>
      <c r="H43" s="27" t="n"/>
    </row>
    <row r="44" ht="17.25" customHeight="1" s="322">
      <c r="A44" s="27" t="n"/>
      <c r="B44" s="506">
        <f>IFERROR(__xludf.DUMMYFUNCTION("""COMPUTED_VALUE"""),46077.6666666666)</f>
        <v/>
      </c>
      <c r="C44" s="141">
        <f>IFERROR(__xludf.DUMMYFUNCTION("""COMPUTED_VALUE"""),69.15)</f>
        <v/>
      </c>
      <c r="D44" s="141">
        <f>IFERROR(__xludf.DUMMYFUNCTION("""COMPUTED_VALUE"""),69.64)</f>
        <v/>
      </c>
      <c r="E44" s="141">
        <f>IFERROR(__xludf.DUMMYFUNCTION("""COMPUTED_VALUE"""),69.06)</f>
        <v/>
      </c>
      <c r="F44" s="141">
        <f>IFERROR(__xludf.DUMMYFUNCTION("""COMPUTED_VALUE"""),69.46)</f>
        <v/>
      </c>
      <c r="G44" s="143">
        <f>IFERROR(__xludf.DUMMYFUNCTION("""COMPUTED_VALUE"""),19615538)</f>
        <v/>
      </c>
      <c r="H44" s="27" t="n"/>
    </row>
    <row r="45" ht="17.25" customHeight="1" s="322">
      <c r="A45" s="27" t="n"/>
      <c r="B45" s="506">
        <f>IFERROR(__xludf.DUMMYFUNCTION("""COMPUTED_VALUE"""),46078.6666666666)</f>
        <v/>
      </c>
      <c r="C45" s="141">
        <f>IFERROR(__xludf.DUMMYFUNCTION("""COMPUTED_VALUE"""),70)</f>
        <v/>
      </c>
      <c r="D45" s="141">
        <f>IFERROR(__xludf.DUMMYFUNCTION("""COMPUTED_VALUE"""),70.33)</f>
        <v/>
      </c>
      <c r="E45" s="141">
        <f>IFERROR(__xludf.DUMMYFUNCTION("""COMPUTED_VALUE"""),69.91)</f>
        <v/>
      </c>
      <c r="F45" s="141">
        <f>IFERROR(__xludf.DUMMYFUNCTION("""COMPUTED_VALUE"""),70.26)</f>
        <v/>
      </c>
      <c r="G45" s="143">
        <f>IFERROR(__xludf.DUMMYFUNCTION("""COMPUTED_VALUE"""),12212454)</f>
        <v/>
      </c>
      <c r="H45" s="27" t="n"/>
    </row>
    <row r="46" ht="17.25" customHeight="1" s="322">
      <c r="A46" s="27" t="n"/>
      <c r="B46" s="506">
        <f>IFERROR(__xludf.DUMMYFUNCTION("""COMPUTED_VALUE"""),46079.6666666666)</f>
        <v/>
      </c>
      <c r="C46" s="141">
        <f>IFERROR(__xludf.DUMMYFUNCTION("""COMPUTED_VALUE"""),70.36)</f>
        <v/>
      </c>
      <c r="D46" s="141">
        <f>IFERROR(__xludf.DUMMYFUNCTION("""COMPUTED_VALUE"""),70.44)</f>
        <v/>
      </c>
      <c r="E46" s="141">
        <f>IFERROR(__xludf.DUMMYFUNCTION("""COMPUTED_VALUE"""),69.72)</f>
        <v/>
      </c>
      <c r="F46" s="141">
        <f>IFERROR(__xludf.DUMMYFUNCTION("""COMPUTED_VALUE"""),70.31)</f>
        <v/>
      </c>
      <c r="G46" s="143">
        <f>IFERROR(__xludf.DUMMYFUNCTION("""COMPUTED_VALUE"""),19687912)</f>
        <v/>
      </c>
      <c r="H46" s="27" t="n"/>
    </row>
    <row r="47" ht="17.25" customHeight="1" s="322">
      <c r="A47" s="27" t="n"/>
      <c r="B47" s="506">
        <f>IFERROR(__xludf.DUMMYFUNCTION("""COMPUTED_VALUE"""),46080.6666666666)</f>
        <v/>
      </c>
      <c r="C47" s="141">
        <f>IFERROR(__xludf.DUMMYFUNCTION("""COMPUTED_VALUE"""),70.31)</f>
        <v/>
      </c>
      <c r="D47" s="141">
        <f>IFERROR(__xludf.DUMMYFUNCTION("""COMPUTED_VALUE"""),70.55)</f>
        <v/>
      </c>
      <c r="E47" s="141">
        <f>IFERROR(__xludf.DUMMYFUNCTION("""COMPUTED_VALUE"""),70.08)</f>
        <v/>
      </c>
      <c r="F47" s="141">
        <f>IFERROR(__xludf.DUMMYFUNCTION("""COMPUTED_VALUE"""),70.24)</f>
        <v/>
      </c>
      <c r="G47" s="143">
        <f>IFERROR(__xludf.DUMMYFUNCTION("""COMPUTED_VALUE"""),25743319)</f>
        <v/>
      </c>
      <c r="H47" s="27" t="n"/>
    </row>
    <row r="48" ht="17.25" customHeight="1" s="322">
      <c r="A48" s="27" t="n"/>
      <c r="B48" s="506">
        <f>IFERROR(__xludf.DUMMYFUNCTION("""COMPUTED_VALUE"""),46083.6666666666)</f>
        <v/>
      </c>
      <c r="C48" s="141">
        <f>IFERROR(__xludf.DUMMYFUNCTION("""COMPUTED_VALUE"""),68.57)</f>
        <v/>
      </c>
      <c r="D48" s="141">
        <f>IFERROR(__xludf.DUMMYFUNCTION("""COMPUTED_VALUE"""),69.3)</f>
        <v/>
      </c>
      <c r="E48" s="141">
        <f>IFERROR(__xludf.DUMMYFUNCTION("""COMPUTED_VALUE"""),68.49)</f>
        <v/>
      </c>
      <c r="F48" s="141">
        <f>IFERROR(__xludf.DUMMYFUNCTION("""COMPUTED_VALUE"""),69.01)</f>
        <v/>
      </c>
      <c r="G48" s="143">
        <f>IFERROR(__xludf.DUMMYFUNCTION("""COMPUTED_VALUE"""),18837760)</f>
        <v/>
      </c>
      <c r="H48" s="27" t="n"/>
    </row>
    <row r="49" ht="17.25" customHeight="1" s="322">
      <c r="A49" s="27" t="n"/>
      <c r="B49" s="506">
        <f>IFERROR(__xludf.DUMMYFUNCTION("""COMPUTED_VALUE"""),46084.6666666666)</f>
        <v/>
      </c>
      <c r="C49" s="141">
        <f>IFERROR(__xludf.DUMMYFUNCTION("""COMPUTED_VALUE"""),65.76)</f>
        <v/>
      </c>
      <c r="D49" s="141">
        <f>IFERROR(__xludf.DUMMYFUNCTION("""COMPUTED_VALUE"""),66.93)</f>
        <v/>
      </c>
      <c r="E49" s="141">
        <f>IFERROR(__xludf.DUMMYFUNCTION("""COMPUTED_VALUE"""),64.92)</f>
        <v/>
      </c>
      <c r="F49" s="141">
        <f>IFERROR(__xludf.DUMMYFUNCTION("""COMPUTED_VALUE"""),66.61)</f>
        <v/>
      </c>
      <c r="G49" s="143">
        <f>IFERROR(__xludf.DUMMYFUNCTION("""COMPUTED_VALUE"""),28271072)</f>
        <v/>
      </c>
      <c r="H49" s="27" t="n"/>
    </row>
    <row r="50" ht="17.25" customHeight="1" s="322">
      <c r="A50" s="27" t="n"/>
      <c r="B50" s="506">
        <f>IFERROR(__xludf.DUMMYFUNCTION("""COMPUTED_VALUE"""),46085.6666666666)</f>
        <v/>
      </c>
      <c r="C50" s="141">
        <f>IFERROR(__xludf.DUMMYFUNCTION("""COMPUTED_VALUE"""),66.8)</f>
        <v/>
      </c>
      <c r="D50" s="141">
        <f>IFERROR(__xludf.DUMMYFUNCTION("""COMPUTED_VALUE"""),67.53)</f>
        <v/>
      </c>
      <c r="E50" s="141">
        <f>IFERROR(__xludf.DUMMYFUNCTION("""COMPUTED_VALUE"""),66.59)</f>
        <v/>
      </c>
      <c r="F50" s="141">
        <f>IFERROR(__xludf.DUMMYFUNCTION("""COMPUTED_VALUE"""),67.38)</f>
        <v/>
      </c>
      <c r="G50" s="143">
        <f>IFERROR(__xludf.DUMMYFUNCTION("""COMPUTED_VALUE"""),33666187)</f>
        <v/>
      </c>
      <c r="H50" s="27" t="n"/>
    </row>
    <row r="51" ht="17.25" customHeight="1" s="322">
      <c r="A51" s="27" t="n"/>
      <c r="B51" s="506">
        <f>IFERROR(__xludf.DUMMYFUNCTION("""COMPUTED_VALUE"""),46086.6666666666)</f>
        <v/>
      </c>
      <c r="C51" s="141">
        <f>IFERROR(__xludf.DUMMYFUNCTION("""COMPUTED_VALUE"""),66.33)</f>
        <v/>
      </c>
      <c r="D51" s="141">
        <f>IFERROR(__xludf.DUMMYFUNCTION("""COMPUTED_VALUE"""),66.68)</f>
        <v/>
      </c>
      <c r="E51" s="141">
        <f>IFERROR(__xludf.DUMMYFUNCTION("""COMPUTED_VALUE"""),65.11)</f>
        <v/>
      </c>
      <c r="F51" s="141">
        <f>IFERROR(__xludf.DUMMYFUNCTION("""COMPUTED_VALUE"""),65.79)</f>
        <v/>
      </c>
      <c r="G51" s="143">
        <f>IFERROR(__xludf.DUMMYFUNCTION("""COMPUTED_VALUE"""),22354250)</f>
        <v/>
      </c>
      <c r="H51" s="27" t="n"/>
    </row>
    <row r="52" ht="17.25" customHeight="1" s="322">
      <c r="A52" s="27" t="n"/>
      <c r="B52" s="506">
        <f>IFERROR(__xludf.DUMMYFUNCTION("""COMPUTED_VALUE"""),46087.6666666666)</f>
        <v/>
      </c>
      <c r="C52" s="141">
        <f>IFERROR(__xludf.DUMMYFUNCTION("""COMPUTED_VALUE"""),64.64)</f>
        <v/>
      </c>
      <c r="D52" s="141">
        <f>IFERROR(__xludf.DUMMYFUNCTION("""COMPUTED_VALUE"""),65.6)</f>
        <v/>
      </c>
      <c r="E52" s="141">
        <f>IFERROR(__xludf.DUMMYFUNCTION("""COMPUTED_VALUE"""),64.41)</f>
        <v/>
      </c>
      <c r="F52" s="141">
        <f>IFERROR(__xludf.DUMMYFUNCTION("""COMPUTED_VALUE"""),65.28)</f>
        <v/>
      </c>
      <c r="G52" s="143">
        <f>IFERROR(__xludf.DUMMYFUNCTION("""COMPUTED_VALUE"""),18422052)</f>
        <v/>
      </c>
      <c r="H52" s="27" t="n"/>
    </row>
    <row r="53" ht="17.25" customHeight="1" s="322">
      <c r="A53" s="27" t="n"/>
      <c r="B53" s="506">
        <f>IFERROR(__xludf.DUMMYFUNCTION("""COMPUTED_VALUE"""),46090.6666666666)</f>
        <v/>
      </c>
      <c r="C53" s="141">
        <f>IFERROR(__xludf.DUMMYFUNCTION("""COMPUTED_VALUE"""),64.28)</f>
        <v/>
      </c>
      <c r="D53" s="141">
        <f>IFERROR(__xludf.DUMMYFUNCTION("""COMPUTED_VALUE"""),66.13)</f>
        <v/>
      </c>
      <c r="E53" s="141">
        <f>IFERROR(__xludf.DUMMYFUNCTION("""COMPUTED_VALUE"""),63.7)</f>
        <v/>
      </c>
      <c r="F53" s="141">
        <f>IFERROR(__xludf.DUMMYFUNCTION("""COMPUTED_VALUE"""),65.91)</f>
        <v/>
      </c>
      <c r="G53" s="143">
        <f>IFERROR(__xludf.DUMMYFUNCTION("""COMPUTED_VALUE"""),36737538)</f>
        <v/>
      </c>
      <c r="H53" s="27" t="n"/>
    </row>
    <row r="54" ht="17.25" customHeight="1" s="322">
      <c r="A54" s="27" t="n"/>
      <c r="B54" s="506">
        <f>IFERROR(__xludf.DUMMYFUNCTION("""COMPUTED_VALUE"""),46091.6666666666)</f>
        <v/>
      </c>
      <c r="C54" s="141">
        <f>IFERROR(__xludf.DUMMYFUNCTION("""COMPUTED_VALUE"""),66.32)</f>
        <v/>
      </c>
      <c r="D54" s="141">
        <f>IFERROR(__xludf.DUMMYFUNCTION("""COMPUTED_VALUE"""),67.16)</f>
        <v/>
      </c>
      <c r="E54" s="141">
        <f>IFERROR(__xludf.DUMMYFUNCTION("""COMPUTED_VALUE"""),65.88)</f>
        <v/>
      </c>
      <c r="F54" s="141">
        <f>IFERROR(__xludf.DUMMYFUNCTION("""COMPUTED_VALUE"""),65.97)</f>
        <v/>
      </c>
      <c r="G54" s="143">
        <f>IFERROR(__xludf.DUMMYFUNCTION("""COMPUTED_VALUE"""),24936428)</f>
        <v/>
      </c>
      <c r="H54" s="27" t="n"/>
    </row>
    <row r="55" ht="17.25" customHeight="1" s="322">
      <c r="A55" s="27" t="n"/>
      <c r="B55" s="506">
        <f>IFERROR(__xludf.DUMMYFUNCTION("""COMPUTED_VALUE"""),46092.6666666666)</f>
        <v/>
      </c>
      <c r="C55" s="141">
        <f>IFERROR(__xludf.DUMMYFUNCTION("""COMPUTED_VALUE"""),65.66)</f>
        <v/>
      </c>
      <c r="D55" s="141">
        <f>IFERROR(__xludf.DUMMYFUNCTION("""COMPUTED_VALUE"""),66.13)</f>
        <v/>
      </c>
      <c r="E55" s="141">
        <f>IFERROR(__xludf.DUMMYFUNCTION("""COMPUTED_VALUE"""),65.36)</f>
        <v/>
      </c>
      <c r="F55" s="141">
        <f>IFERROR(__xludf.DUMMYFUNCTION("""COMPUTED_VALUE"""),65.86)</f>
        <v/>
      </c>
      <c r="G55" s="143">
        <f>IFERROR(__xludf.DUMMYFUNCTION("""COMPUTED_VALUE"""),15592800)</f>
        <v/>
      </c>
      <c r="H55" s="27" t="n"/>
    </row>
    <row r="56" ht="17.25" customHeight="1" s="322">
      <c r="A56" s="27" t="n"/>
      <c r="B56" s="506">
        <f>IFERROR(__xludf.DUMMYFUNCTION("""COMPUTED_VALUE"""),46093.6666666666)</f>
        <v/>
      </c>
      <c r="C56" s="141">
        <f>IFERROR(__xludf.DUMMYFUNCTION("""COMPUTED_VALUE"""),65.15)</f>
        <v/>
      </c>
      <c r="D56" s="141">
        <f>IFERROR(__xludf.DUMMYFUNCTION("""COMPUTED_VALUE"""),65.2)</f>
        <v/>
      </c>
      <c r="E56" s="141">
        <f>IFERROR(__xludf.DUMMYFUNCTION("""COMPUTED_VALUE"""),64.32)</f>
        <v/>
      </c>
      <c r="F56" s="141">
        <f>IFERROR(__xludf.DUMMYFUNCTION("""COMPUTED_VALUE"""),64.57)</f>
        <v/>
      </c>
      <c r="G56" s="143">
        <f>IFERROR(__xludf.DUMMYFUNCTION("""COMPUTED_VALUE"""),22399362)</f>
        <v/>
      </c>
      <c r="H56" s="27" t="n"/>
    </row>
    <row r="57" ht="17.25" customHeight="1" s="322">
      <c r="A57" s="27" t="n"/>
      <c r="B57" s="506">
        <f>IFERROR(__xludf.DUMMYFUNCTION("""COMPUTED_VALUE"""),46094.6666666666)</f>
        <v/>
      </c>
      <c r="C57" s="141">
        <f>IFERROR(__xludf.DUMMYFUNCTION("""COMPUTED_VALUE"""),64.83)</f>
        <v/>
      </c>
      <c r="D57" s="141">
        <f>IFERROR(__xludf.DUMMYFUNCTION("""COMPUTED_VALUE"""),65.11)</f>
        <v/>
      </c>
      <c r="E57" s="141">
        <f>IFERROR(__xludf.DUMMYFUNCTION("""COMPUTED_VALUE"""),63.72)</f>
        <v/>
      </c>
      <c r="F57" s="141">
        <f>IFERROR(__xludf.DUMMYFUNCTION("""COMPUTED_VALUE"""),63.82)</f>
        <v/>
      </c>
      <c r="G57" s="143">
        <f>IFERROR(__xludf.DUMMYFUNCTION("""COMPUTED_VALUE"""),14972812)</f>
        <v/>
      </c>
      <c r="H57" s="27" t="n"/>
    </row>
    <row r="58" ht="17.25" customHeight="1" s="322">
      <c r="A58" s="27" t="n"/>
      <c r="B58" s="506">
        <f>IFERROR(__xludf.DUMMYFUNCTION("""COMPUTED_VALUE"""),46097.6666666666)</f>
        <v/>
      </c>
      <c r="C58" s="141">
        <f>IFERROR(__xludf.DUMMYFUNCTION("""COMPUTED_VALUE"""),64.82)</f>
        <v/>
      </c>
      <c r="D58" s="141">
        <f>IFERROR(__xludf.DUMMYFUNCTION("""COMPUTED_VALUE"""),65.38)</f>
        <v/>
      </c>
      <c r="E58" s="141">
        <f>IFERROR(__xludf.DUMMYFUNCTION("""COMPUTED_VALUE"""),64.71)</f>
        <v/>
      </c>
      <c r="F58" s="141">
        <f>IFERROR(__xludf.DUMMYFUNCTION("""COMPUTED_VALUE"""),65.19)</f>
        <v/>
      </c>
      <c r="G58" s="143">
        <f>IFERROR(__xludf.DUMMYFUNCTION("""COMPUTED_VALUE"""),16653421)</f>
        <v/>
      </c>
      <c r="H58" s="27" t="n"/>
    </row>
    <row r="59" ht="17.25" customHeight="1" s="322">
      <c r="A59" s="27" t="n"/>
      <c r="B59" s="506">
        <f>IFERROR(__xludf.DUMMYFUNCTION("""COMPUTED_VALUE"""),46098.6666666666)</f>
        <v/>
      </c>
      <c r="C59" s="141">
        <f>IFERROR(__xludf.DUMMYFUNCTION("""COMPUTED_VALUE"""),65.59)</f>
        <v/>
      </c>
      <c r="D59" s="141">
        <f>IFERROR(__xludf.DUMMYFUNCTION("""COMPUTED_VALUE"""),65.82)</f>
        <v/>
      </c>
      <c r="E59" s="141">
        <f>IFERROR(__xludf.DUMMYFUNCTION("""COMPUTED_VALUE"""),65.31)</f>
        <v/>
      </c>
      <c r="F59" s="141">
        <f>IFERROR(__xludf.DUMMYFUNCTION("""COMPUTED_VALUE"""),65.41)</f>
        <v/>
      </c>
      <c r="G59" s="143">
        <f>IFERROR(__xludf.DUMMYFUNCTION("""COMPUTED_VALUE"""),16693479)</f>
        <v/>
      </c>
      <c r="H59" s="27" t="n"/>
    </row>
    <row r="60" ht="17.25" customHeight="1" s="322">
      <c r="A60" s="27" t="n"/>
      <c r="B60" s="506">
        <f>IFERROR(__xludf.DUMMYFUNCTION("""COMPUTED_VALUE"""),46099.6666666666)</f>
        <v/>
      </c>
      <c r="C60" s="141">
        <f>IFERROR(__xludf.DUMMYFUNCTION("""COMPUTED_VALUE"""),65.1)</f>
        <v/>
      </c>
      <c r="D60" s="141">
        <f>IFERROR(__xludf.DUMMYFUNCTION("""COMPUTED_VALUE"""),65.23)</f>
        <v/>
      </c>
      <c r="E60" s="141">
        <f>IFERROR(__xludf.DUMMYFUNCTION("""COMPUTED_VALUE"""),64.23)</f>
        <v/>
      </c>
      <c r="F60" s="141">
        <f>IFERROR(__xludf.DUMMYFUNCTION("""COMPUTED_VALUE"""),64.28)</f>
        <v/>
      </c>
      <c r="G60" s="143">
        <f>IFERROR(__xludf.DUMMYFUNCTION("""COMPUTED_VALUE"""),14904865)</f>
        <v/>
      </c>
      <c r="H60" s="27" t="n"/>
    </row>
    <row r="61" ht="17.25" customHeight="1" s="322">
      <c r="A61" s="27" t="n"/>
      <c r="B61" s="506">
        <f>IFERROR(__xludf.DUMMYFUNCTION("""COMPUTED_VALUE"""),46100.6666666666)</f>
        <v/>
      </c>
      <c r="C61" s="141">
        <f>IFERROR(__xludf.DUMMYFUNCTION("""COMPUTED_VALUE"""),63.15)</f>
        <v/>
      </c>
      <c r="D61" s="141">
        <f>IFERROR(__xludf.DUMMYFUNCTION("""COMPUTED_VALUE"""),64.54)</f>
        <v/>
      </c>
      <c r="E61" s="141">
        <f>IFERROR(__xludf.DUMMYFUNCTION("""COMPUTED_VALUE"""),63.02)</f>
        <v/>
      </c>
      <c r="F61" s="141">
        <f>IFERROR(__xludf.DUMMYFUNCTION("""COMPUTED_VALUE"""),64.16)</f>
        <v/>
      </c>
      <c r="G61" s="143">
        <f>IFERROR(__xludf.DUMMYFUNCTION("""COMPUTED_VALUE"""),28759344)</f>
        <v/>
      </c>
      <c r="H61" s="27" t="n"/>
    </row>
    <row r="62" ht="17.25" customHeight="1" s="322">
      <c r="A62" s="27" t="n"/>
      <c r="B62" s="506">
        <f>IFERROR(__xludf.DUMMYFUNCTION("""COMPUTED_VALUE"""),46101.6666666666)</f>
        <v/>
      </c>
      <c r="C62" s="141">
        <f>IFERROR(__xludf.DUMMYFUNCTION("""COMPUTED_VALUE"""),63.74)</f>
        <v/>
      </c>
      <c r="D62" s="141">
        <f>IFERROR(__xludf.DUMMYFUNCTION("""COMPUTED_VALUE"""),63.8)</f>
        <v/>
      </c>
      <c r="E62" s="141">
        <f>IFERROR(__xludf.DUMMYFUNCTION("""COMPUTED_VALUE"""),61.68)</f>
        <v/>
      </c>
      <c r="F62" s="141">
        <f>IFERROR(__xludf.DUMMYFUNCTION("""COMPUTED_VALUE"""),62.04)</f>
        <v/>
      </c>
      <c r="G62" s="143">
        <f>IFERROR(__xludf.DUMMYFUNCTION("""COMPUTED_VALUE"""),23701347)</f>
        <v/>
      </c>
      <c r="H62" s="27" t="n"/>
    </row>
    <row r="63" ht="17.25" customHeight="1" s="322">
      <c r="A63" s="27" t="n"/>
      <c r="B63" s="506">
        <f>IFERROR(__xludf.DUMMYFUNCTION("""COMPUTED_VALUE"""),46104.6666666666)</f>
        <v/>
      </c>
      <c r="C63" s="141">
        <f>IFERROR(__xludf.DUMMYFUNCTION("""COMPUTED_VALUE"""),63.37)</f>
        <v/>
      </c>
      <c r="D63" s="141">
        <f>IFERROR(__xludf.DUMMYFUNCTION("""COMPUTED_VALUE"""),64.41)</f>
        <v/>
      </c>
      <c r="E63" s="141">
        <f>IFERROR(__xludf.DUMMYFUNCTION("""COMPUTED_VALUE"""),63)</f>
        <v/>
      </c>
      <c r="F63" s="141">
        <f>IFERROR(__xludf.DUMMYFUNCTION("""COMPUTED_VALUE"""),63.66)</f>
        <v/>
      </c>
      <c r="G63" s="143">
        <f>IFERROR(__xludf.DUMMYFUNCTION("""COMPUTED_VALUE"""),30015827)</f>
        <v/>
      </c>
      <c r="H63" s="27" t="n"/>
    </row>
    <row r="64" ht="17.25" customHeight="1" s="322">
      <c r="A64" s="27" t="n"/>
      <c r="B64" s="506">
        <f>IFERROR(__xludf.DUMMYFUNCTION("""COMPUTED_VALUE"""),46105.6666666666)</f>
        <v/>
      </c>
      <c r="C64" s="141">
        <f>IFERROR(__xludf.DUMMYFUNCTION("""COMPUTED_VALUE"""),62.69)</f>
        <v/>
      </c>
      <c r="D64" s="141">
        <f>IFERROR(__xludf.DUMMYFUNCTION("""COMPUTED_VALUE"""),63.54)</f>
        <v/>
      </c>
      <c r="E64" s="141">
        <f>IFERROR(__xludf.DUMMYFUNCTION("""COMPUTED_VALUE"""),62.57)</f>
        <v/>
      </c>
      <c r="F64" s="141">
        <f>IFERROR(__xludf.DUMMYFUNCTION("""COMPUTED_VALUE"""),63.15)</f>
        <v/>
      </c>
      <c r="G64" s="143">
        <f>IFERROR(__xludf.DUMMYFUNCTION("""COMPUTED_VALUE"""),21374721)</f>
        <v/>
      </c>
      <c r="H64" s="27" t="n"/>
    </row>
    <row r="65" ht="17.25" customHeight="1" s="322">
      <c r="A65" s="27" t="n"/>
      <c r="B65" s="506">
        <f>IFERROR(__xludf.DUMMYFUNCTION("""COMPUTED_VALUE"""),46106.6666666666)</f>
        <v/>
      </c>
      <c r="C65" s="141">
        <f>IFERROR(__xludf.DUMMYFUNCTION("""COMPUTED_VALUE"""),64.15)</f>
        <v/>
      </c>
      <c r="D65" s="141">
        <f>IFERROR(__xludf.DUMMYFUNCTION("""COMPUTED_VALUE"""),64.33)</f>
        <v/>
      </c>
      <c r="E65" s="141">
        <f>IFERROR(__xludf.DUMMYFUNCTION("""COMPUTED_VALUE"""),63.62)</f>
        <v/>
      </c>
      <c r="F65" s="141">
        <f>IFERROR(__xludf.DUMMYFUNCTION("""COMPUTED_VALUE"""),63.97)</f>
        <v/>
      </c>
      <c r="G65" s="143">
        <f>IFERROR(__xludf.DUMMYFUNCTION("""COMPUTED_VALUE"""),11955778)</f>
        <v/>
      </c>
      <c r="H65" s="27" t="n"/>
    </row>
    <row r="66" ht="17.25" customHeight="1" s="322">
      <c r="A66" s="27" t="n"/>
      <c r="B66" s="506">
        <f>IFERROR(__xludf.DUMMYFUNCTION("""COMPUTED_VALUE"""),46107.6666666666)</f>
        <v/>
      </c>
      <c r="C66" s="141">
        <f>IFERROR(__xludf.DUMMYFUNCTION("""COMPUTED_VALUE"""),63.16)</f>
        <v/>
      </c>
      <c r="D66" s="141">
        <f>IFERROR(__xludf.DUMMYFUNCTION("""COMPUTED_VALUE"""),63.66)</f>
        <v/>
      </c>
      <c r="E66" s="141">
        <f>IFERROR(__xludf.DUMMYFUNCTION("""COMPUTED_VALUE"""),62.47)</f>
        <v/>
      </c>
      <c r="F66" s="141">
        <f>IFERROR(__xludf.DUMMYFUNCTION("""COMPUTED_VALUE"""),62.48)</f>
        <v/>
      </c>
      <c r="G66" s="143">
        <f>IFERROR(__xludf.DUMMYFUNCTION("""COMPUTED_VALUE"""),14445600)</f>
        <v/>
      </c>
      <c r="H66" s="27" t="n"/>
    </row>
    <row r="67" ht="17.25" customHeight="1" s="322">
      <c r="A67" s="27" t="n"/>
      <c r="B67" s="506">
        <f>IFERROR(__xludf.DUMMYFUNCTION("""COMPUTED_VALUE"""),46108.6666666666)</f>
        <v/>
      </c>
      <c r="C67" s="141">
        <f>IFERROR(__xludf.DUMMYFUNCTION("""COMPUTED_VALUE"""),62.21)</f>
        <v/>
      </c>
      <c r="D67" s="141">
        <f>IFERROR(__xludf.DUMMYFUNCTION("""COMPUTED_VALUE"""),62.72)</f>
        <v/>
      </c>
      <c r="E67" s="141">
        <f>IFERROR(__xludf.DUMMYFUNCTION("""COMPUTED_VALUE"""),61.83)</f>
        <v/>
      </c>
      <c r="F67" s="141">
        <f>IFERROR(__xludf.DUMMYFUNCTION("""COMPUTED_VALUE"""),62.05)</f>
        <v/>
      </c>
      <c r="G67" s="143">
        <f>IFERROR(__xludf.DUMMYFUNCTION("""COMPUTED_VALUE"""),23786154)</f>
        <v/>
      </c>
      <c r="H67" s="27" t="n"/>
    </row>
    <row r="68" ht="17.25" customHeight="1" s="322">
      <c r="A68" s="27" t="n"/>
      <c r="B68" s="506">
        <f>IFERROR(__xludf.DUMMYFUNCTION("""COMPUTED_VALUE"""),46111.6666666666)</f>
        <v/>
      </c>
      <c r="C68" s="141">
        <f>IFERROR(__xludf.DUMMYFUNCTION("""COMPUTED_VALUE"""),62.6)</f>
        <v/>
      </c>
      <c r="D68" s="141">
        <f>IFERROR(__xludf.DUMMYFUNCTION("""COMPUTED_VALUE"""),62.68)</f>
        <v/>
      </c>
      <c r="E68" s="141">
        <f>IFERROR(__xludf.DUMMYFUNCTION("""COMPUTED_VALUE"""),61.73)</f>
        <v/>
      </c>
      <c r="F68" s="141">
        <f>IFERROR(__xludf.DUMMYFUNCTION("""COMPUTED_VALUE"""),62.03)</f>
        <v/>
      </c>
      <c r="G68" s="143">
        <f>IFERROR(__xludf.DUMMYFUNCTION("""COMPUTED_VALUE"""),13374689)</f>
        <v/>
      </c>
      <c r="H68" s="27" t="n"/>
    </row>
    <row r="69" ht="17.25" customHeight="1" s="322">
      <c r="A69" s="27" t="n"/>
      <c r="B69" s="506">
        <f>IFERROR(__xludf.DUMMYFUNCTION("""COMPUTED_VALUE"""),46112.6666666666)</f>
        <v/>
      </c>
      <c r="C69" s="141">
        <f>IFERROR(__xludf.DUMMYFUNCTION("""COMPUTED_VALUE"""),62.8)</f>
        <v/>
      </c>
      <c r="D69" s="141">
        <f>IFERROR(__xludf.DUMMYFUNCTION("""COMPUTED_VALUE"""),64.11)</f>
        <v/>
      </c>
      <c r="E69" s="141">
        <f>IFERROR(__xludf.DUMMYFUNCTION("""COMPUTED_VALUE"""),62.57)</f>
        <v/>
      </c>
      <c r="F69" s="141">
        <f>IFERROR(__xludf.DUMMYFUNCTION("""COMPUTED_VALUE"""),64.08)</f>
        <v/>
      </c>
      <c r="G69" s="143">
        <f>IFERROR(__xludf.DUMMYFUNCTION("""COMPUTED_VALUE"""),20633106)</f>
        <v/>
      </c>
      <c r="H69" s="27" t="n"/>
    </row>
    <row r="70" ht="17.25" customHeight="1" s="322">
      <c r="A70" s="27" t="n"/>
      <c r="B70" s="506">
        <f>IFERROR(__xludf.DUMMYFUNCTION("""COMPUTED_VALUE"""),46113.6666666666)</f>
        <v/>
      </c>
      <c r="C70" s="141">
        <f>IFERROR(__xludf.DUMMYFUNCTION("""COMPUTED_VALUE"""),64.97)</f>
        <v/>
      </c>
      <c r="D70" s="141">
        <f>IFERROR(__xludf.DUMMYFUNCTION("""COMPUTED_VALUE"""),65.59)</f>
        <v/>
      </c>
      <c r="E70" s="141">
        <f>IFERROR(__xludf.DUMMYFUNCTION("""COMPUTED_VALUE"""),64.8)</f>
        <v/>
      </c>
      <c r="F70" s="141">
        <f>IFERROR(__xludf.DUMMYFUNCTION("""COMPUTED_VALUE"""),65.14)</f>
        <v/>
      </c>
      <c r="G70" s="143">
        <f>IFERROR(__xludf.DUMMYFUNCTION("""COMPUTED_VALUE"""),22522996)</f>
        <v/>
      </c>
      <c r="H70" s="27" t="n"/>
    </row>
    <row r="71" ht="17.25" customHeight="1" s="322">
      <c r="A71" s="27" t="n"/>
      <c r="B71" s="506">
        <f>IFERROR(__xludf.DUMMYFUNCTION("""COMPUTED_VALUE"""),46114.6666666666)</f>
        <v/>
      </c>
      <c r="C71" s="141">
        <f>IFERROR(__xludf.DUMMYFUNCTION("""COMPUTED_VALUE"""),63.51)</f>
        <v/>
      </c>
      <c r="D71" s="141">
        <f>IFERROR(__xludf.DUMMYFUNCTION("""COMPUTED_VALUE"""),64.96)</f>
        <v/>
      </c>
      <c r="E71" s="141">
        <f>IFERROR(__xludf.DUMMYFUNCTION("""COMPUTED_VALUE"""),63.45)</f>
        <v/>
      </c>
      <c r="F71" s="141">
        <f>IFERROR(__xludf.DUMMYFUNCTION("""COMPUTED_VALUE"""),64.64)</f>
        <v/>
      </c>
      <c r="G71" s="143">
        <f>IFERROR(__xludf.DUMMYFUNCTION("""COMPUTED_VALUE"""),16486322)</f>
        <v/>
      </c>
      <c r="H71" s="27" t="n"/>
    </row>
    <row r="72" ht="17.25" customHeight="1" s="322">
      <c r="A72" s="27" t="n"/>
      <c r="B72" s="506">
        <f>IFERROR(__xludf.DUMMYFUNCTION("""COMPUTED_VALUE"""),46118.6666666666)</f>
        <v/>
      </c>
      <c r="C72" s="141">
        <f>IFERROR(__xludf.DUMMYFUNCTION("""COMPUTED_VALUE"""),64.83)</f>
        <v/>
      </c>
      <c r="D72" s="141">
        <f>IFERROR(__xludf.DUMMYFUNCTION("""COMPUTED_VALUE"""),65.25)</f>
        <v/>
      </c>
      <c r="E72" s="141">
        <f>IFERROR(__xludf.DUMMYFUNCTION("""COMPUTED_VALUE"""),64.77)</f>
        <v/>
      </c>
      <c r="F72" s="141">
        <f>IFERROR(__xludf.DUMMYFUNCTION("""COMPUTED_VALUE"""),65.12)</f>
        <v/>
      </c>
      <c r="G72" s="143">
        <f>IFERROR(__xludf.DUMMYFUNCTION("""COMPUTED_VALUE"""),14881959)</f>
        <v/>
      </c>
      <c r="H72" s="27" t="n"/>
    </row>
    <row r="73" ht="17.25" customHeight="1" s="322">
      <c r="A73" s="27" t="n"/>
      <c r="B73" s="506">
        <f>IFERROR(__xludf.DUMMYFUNCTION("""COMPUTED_VALUE"""),46119.6666666666)</f>
        <v/>
      </c>
      <c r="C73" s="141">
        <f>IFERROR(__xludf.DUMMYFUNCTION("""COMPUTED_VALUE"""),64.68)</f>
        <v/>
      </c>
      <c r="D73" s="141">
        <f>IFERROR(__xludf.DUMMYFUNCTION("""COMPUTED_VALUE"""),65.17)</f>
        <v/>
      </c>
      <c r="E73" s="141">
        <f>IFERROR(__xludf.DUMMYFUNCTION("""COMPUTED_VALUE"""),64.01)</f>
        <v/>
      </c>
      <c r="F73" s="141">
        <f>IFERROR(__xludf.DUMMYFUNCTION("""COMPUTED_VALUE"""),65.09)</f>
        <v/>
      </c>
      <c r="G73" s="143">
        <f>IFERROR(__xludf.DUMMYFUNCTION("""COMPUTED_VALUE"""),14707246)</f>
        <v/>
      </c>
      <c r="H73" s="27" t="n"/>
    </row>
    <row r="74" ht="17.25" customHeight="1" s="322">
      <c r="A74" s="27" t="n"/>
      <c r="B74" s="506">
        <f>IFERROR(__xludf.DUMMYFUNCTION("""COMPUTED_VALUE"""),46120.6666666666)</f>
        <v/>
      </c>
      <c r="C74" s="141">
        <f>IFERROR(__xludf.DUMMYFUNCTION("""COMPUTED_VALUE"""),68.09)</f>
        <v/>
      </c>
      <c r="D74" s="141">
        <f>IFERROR(__xludf.DUMMYFUNCTION("""COMPUTED_VALUE"""),68.09)</f>
        <v/>
      </c>
      <c r="E74" s="141">
        <f>IFERROR(__xludf.DUMMYFUNCTION("""COMPUTED_VALUE"""),67.3)</f>
        <v/>
      </c>
      <c r="F74" s="141">
        <f>IFERROR(__xludf.DUMMYFUNCTION("""COMPUTED_VALUE"""),67.82)</f>
        <v/>
      </c>
      <c r="G74" s="143">
        <f>IFERROR(__xludf.DUMMYFUNCTION("""COMPUTED_VALUE"""),12954461)</f>
        <v/>
      </c>
      <c r="H74" s="27" t="n"/>
    </row>
    <row r="75" ht="17.25" customHeight="1" s="322">
      <c r="A75" s="27" t="n"/>
      <c r="B75" s="506">
        <f>IFERROR(__xludf.DUMMYFUNCTION("""COMPUTED_VALUE"""),46121.6666666666)</f>
        <v/>
      </c>
      <c r="C75" s="141">
        <f>IFERROR(__xludf.DUMMYFUNCTION("""COMPUTED_VALUE"""),67.09)</f>
        <v/>
      </c>
      <c r="D75" s="141">
        <f>IFERROR(__xludf.DUMMYFUNCTION("""COMPUTED_VALUE"""),67.88)</f>
        <v/>
      </c>
      <c r="E75" s="141">
        <f>IFERROR(__xludf.DUMMYFUNCTION("""COMPUTED_VALUE"""),66.85)</f>
        <v/>
      </c>
      <c r="F75" s="141">
        <f>IFERROR(__xludf.DUMMYFUNCTION("""COMPUTED_VALUE"""),67.55)</f>
        <v/>
      </c>
      <c r="G75" s="143">
        <f>IFERROR(__xludf.DUMMYFUNCTION("""COMPUTED_VALUE"""),12114460)</f>
        <v/>
      </c>
      <c r="H75" s="27" t="n"/>
    </row>
    <row r="76" ht="17.25" customHeight="1" s="322">
      <c r="A76" s="27" t="n"/>
      <c r="B76" s="506">
        <f>IFERROR(__xludf.DUMMYFUNCTION("""COMPUTED_VALUE"""),46122.6666666666)</f>
        <v/>
      </c>
      <c r="C76" s="141">
        <f>IFERROR(__xludf.DUMMYFUNCTION("""COMPUTED_VALUE"""),67.97)</f>
        <v/>
      </c>
      <c r="D76" s="141">
        <f>IFERROR(__xludf.DUMMYFUNCTION("""COMPUTED_VALUE"""),68.04)</f>
        <v/>
      </c>
      <c r="E76" s="141">
        <f>IFERROR(__xludf.DUMMYFUNCTION("""COMPUTED_VALUE"""),67.44)</f>
        <v/>
      </c>
      <c r="F76" s="141">
        <f>IFERROR(__xludf.DUMMYFUNCTION("""COMPUTED_VALUE"""),67.74)</f>
        <v/>
      </c>
      <c r="G76" s="143">
        <f>IFERROR(__xludf.DUMMYFUNCTION("""COMPUTED_VALUE"""),10903973)</f>
        <v/>
      </c>
      <c r="H76" s="27" t="n"/>
    </row>
    <row r="77" ht="17.25" customHeight="1" s="322">
      <c r="A77" s="27" t="n"/>
      <c r="B77" s="506">
        <f>IFERROR(__xludf.DUMMYFUNCTION("""COMPUTED_VALUE"""),46125.6666666666)</f>
        <v/>
      </c>
      <c r="C77" s="141">
        <f>IFERROR(__xludf.DUMMYFUNCTION("""COMPUTED_VALUE"""),67.08)</f>
        <v/>
      </c>
      <c r="D77" s="141">
        <f>IFERROR(__xludf.DUMMYFUNCTION("""COMPUTED_VALUE"""),68.24)</f>
        <v/>
      </c>
      <c r="E77" s="141">
        <f>IFERROR(__xludf.DUMMYFUNCTION("""COMPUTED_VALUE"""),67.04)</f>
        <v/>
      </c>
      <c r="F77" s="141">
        <f>IFERROR(__xludf.DUMMYFUNCTION("""COMPUTED_VALUE"""),68.21)</f>
        <v/>
      </c>
      <c r="G77" s="143">
        <f>IFERROR(__xludf.DUMMYFUNCTION("""COMPUTED_VALUE"""),17884505)</f>
        <v/>
      </c>
      <c r="H77" s="27" t="n"/>
    </row>
    <row r="78" ht="17.25" customHeight="1" s="322">
      <c r="A78" s="27" t="n"/>
      <c r="B78" s="506">
        <f>IFERROR(__xludf.DUMMYFUNCTION("""COMPUTED_VALUE"""),46126.6666666666)</f>
        <v/>
      </c>
      <c r="C78" s="141">
        <f>IFERROR(__xludf.DUMMYFUNCTION("""COMPUTED_VALUE"""),68.58)</f>
        <v/>
      </c>
      <c r="D78" s="141">
        <f>IFERROR(__xludf.DUMMYFUNCTION("""COMPUTED_VALUE"""),68.97)</f>
        <v/>
      </c>
      <c r="E78" s="141">
        <f>IFERROR(__xludf.DUMMYFUNCTION("""COMPUTED_VALUE"""),68.48)</f>
        <v/>
      </c>
      <c r="F78" s="141">
        <f>IFERROR(__xludf.DUMMYFUNCTION("""COMPUTED_VALUE"""),68.89)</f>
        <v/>
      </c>
      <c r="G78" s="143">
        <f>IFERROR(__xludf.DUMMYFUNCTION("""COMPUTED_VALUE"""),8838059)</f>
        <v/>
      </c>
      <c r="H78" s="27" t="n"/>
    </row>
    <row r="79" ht="17.25" customHeight="1" s="322">
      <c r="A79" s="27" t="n"/>
      <c r="B79" s="506">
        <f>IFERROR(__xludf.DUMMYFUNCTION("""COMPUTED_VALUE"""),46127.6666666666)</f>
        <v/>
      </c>
      <c r="C79" s="141">
        <f>IFERROR(__xludf.DUMMYFUNCTION("""COMPUTED_VALUE"""),68.69)</f>
        <v/>
      </c>
      <c r="D79" s="141">
        <f>IFERROR(__xludf.DUMMYFUNCTION("""COMPUTED_VALUE"""),68.76)</f>
        <v/>
      </c>
      <c r="E79" s="141">
        <f>IFERROR(__xludf.DUMMYFUNCTION("""COMPUTED_VALUE"""),68.44)</f>
        <v/>
      </c>
      <c r="F79" s="141">
        <f>IFERROR(__xludf.DUMMYFUNCTION("""COMPUTED_VALUE"""),68.7)</f>
        <v/>
      </c>
      <c r="G79" s="143">
        <f>IFERROR(__xludf.DUMMYFUNCTION("""COMPUTED_VALUE"""),8517374)</f>
        <v/>
      </c>
      <c r="H79" s="27" t="n"/>
    </row>
    <row r="80" ht="17.25" customHeight="1" s="322">
      <c r="A80" s="27" t="n"/>
      <c r="B80" s="506">
        <f>IFERROR(__xludf.DUMMYFUNCTION("""COMPUTED_VALUE"""),46128.6666666666)</f>
        <v/>
      </c>
      <c r="C80" s="141">
        <f>IFERROR(__xludf.DUMMYFUNCTION("""COMPUTED_VALUE"""),68.93)</f>
        <v/>
      </c>
      <c r="D80" s="141">
        <f>IFERROR(__xludf.DUMMYFUNCTION("""COMPUTED_VALUE"""),68.99)</f>
        <v/>
      </c>
      <c r="E80" s="141">
        <f>IFERROR(__xludf.DUMMYFUNCTION("""COMPUTED_VALUE"""),68.43)</f>
        <v/>
      </c>
      <c r="F80" s="141">
        <f>IFERROR(__xludf.DUMMYFUNCTION("""COMPUTED_VALUE"""),68.63)</f>
        <v/>
      </c>
      <c r="G80" s="143">
        <f>IFERROR(__xludf.DUMMYFUNCTION("""COMPUTED_VALUE"""),7285450)</f>
        <v/>
      </c>
      <c r="H80" s="27" t="n"/>
    </row>
    <row r="81" ht="17.25" customHeight="1" s="322">
      <c r="A81" s="27" t="n"/>
      <c r="B81" s="506">
        <f>IFERROR(__xludf.DUMMYFUNCTION("""COMPUTED_VALUE"""),46129.6666666666)</f>
        <v/>
      </c>
      <c r="C81" s="141">
        <f>IFERROR(__xludf.DUMMYFUNCTION("""COMPUTED_VALUE"""),69.73)</f>
        <v/>
      </c>
      <c r="D81" s="141">
        <f>IFERROR(__xludf.DUMMYFUNCTION("""COMPUTED_VALUE"""),70.17)</f>
        <v/>
      </c>
      <c r="E81" s="141">
        <f>IFERROR(__xludf.DUMMYFUNCTION("""COMPUTED_VALUE"""),69.48)</f>
        <v/>
      </c>
      <c r="F81" s="141">
        <f>IFERROR(__xludf.DUMMYFUNCTION("""COMPUTED_VALUE"""),69.63)</f>
        <v/>
      </c>
      <c r="G81" s="143">
        <f>IFERROR(__xludf.DUMMYFUNCTION("""COMPUTED_VALUE"""),15122133)</f>
        <v/>
      </c>
      <c r="H81" s="27" t="n"/>
    </row>
    <row r="82" ht="17.25" customHeight="1" s="322">
      <c r="A82" s="27" t="n"/>
      <c r="B82" s="506">
        <f>IFERROR(__xludf.DUMMYFUNCTION("""COMPUTED_VALUE"""),46132.6666666666)</f>
        <v/>
      </c>
      <c r="C82" s="141">
        <f>IFERROR(__xludf.DUMMYFUNCTION("""COMPUTED_VALUE"""),69.17)</f>
        <v/>
      </c>
      <c r="D82" s="141">
        <f>IFERROR(__xludf.DUMMYFUNCTION("""COMPUTED_VALUE"""),69.33)</f>
        <v/>
      </c>
      <c r="E82" s="141">
        <f>IFERROR(__xludf.DUMMYFUNCTION("""COMPUTED_VALUE"""),68.8)</f>
        <v/>
      </c>
      <c r="F82" s="141">
        <f>IFERROR(__xludf.DUMMYFUNCTION("""COMPUTED_VALUE"""),69.33)</f>
        <v/>
      </c>
      <c r="G82" s="143">
        <f>IFERROR(__xludf.DUMMYFUNCTION("""COMPUTED_VALUE"""),9019166)</f>
        <v/>
      </c>
      <c r="H82" s="27" t="n"/>
    </row>
    <row r="83" ht="17.25" customHeight="1" s="322">
      <c r="A83" s="27" t="n"/>
      <c r="B83" s="506">
        <f>IFERROR(__xludf.DUMMYFUNCTION("""COMPUTED_VALUE"""),46133.6666666666)</f>
        <v/>
      </c>
      <c r="C83" s="141">
        <f>IFERROR(__xludf.DUMMYFUNCTION("""COMPUTED_VALUE"""),68.96)</f>
        <v/>
      </c>
      <c r="D83" s="141">
        <f>IFERROR(__xludf.DUMMYFUNCTION("""COMPUTED_VALUE"""),69.05)</f>
        <v/>
      </c>
      <c r="E83" s="141">
        <f>IFERROR(__xludf.DUMMYFUNCTION("""COMPUTED_VALUE"""),67.74)</f>
        <v/>
      </c>
      <c r="F83" s="141">
        <f>IFERROR(__xludf.DUMMYFUNCTION("""COMPUTED_VALUE"""),67.82)</f>
        <v/>
      </c>
      <c r="G83" s="143">
        <f>IFERROR(__xludf.DUMMYFUNCTION("""COMPUTED_VALUE"""),11404812)</f>
        <v/>
      </c>
      <c r="H83" s="27" t="n"/>
    </row>
    <row r="84" ht="17.25" customHeight="1" s="322">
      <c r="A84" s="27" t="n"/>
      <c r="B84" s="506">
        <f>IFERROR(__xludf.DUMMYFUNCTION("""COMPUTED_VALUE"""),46134.6666666666)</f>
        <v/>
      </c>
      <c r="C84" s="141">
        <f>IFERROR(__xludf.DUMMYFUNCTION("""COMPUTED_VALUE"""),68.43)</f>
        <v/>
      </c>
      <c r="D84" s="141">
        <f>IFERROR(__xludf.DUMMYFUNCTION("""COMPUTED_VALUE"""),68.48)</f>
        <v/>
      </c>
      <c r="E84" s="141">
        <f>IFERROR(__xludf.DUMMYFUNCTION("""COMPUTED_VALUE"""),68.11)</f>
        <v/>
      </c>
      <c r="F84" s="141">
        <f>IFERROR(__xludf.DUMMYFUNCTION("""COMPUTED_VALUE"""),68.35)</f>
        <v/>
      </c>
      <c r="G84" s="143">
        <f>IFERROR(__xludf.DUMMYFUNCTION("""COMPUTED_VALUE"""),9559403)</f>
        <v/>
      </c>
      <c r="H84" s="27" t="n"/>
    </row>
    <row r="85" ht="17.25" customHeight="1" s="322">
      <c r="A85" s="27" t="n"/>
      <c r="B85" s="506">
        <f>IFERROR(__xludf.DUMMYFUNCTION("""COMPUTED_VALUE"""),46135.6666666666)</f>
        <v/>
      </c>
      <c r="C85" s="141">
        <f>IFERROR(__xludf.DUMMYFUNCTION("""COMPUTED_VALUE"""),68.1)</f>
        <v/>
      </c>
      <c r="D85" s="141">
        <f>IFERROR(__xludf.DUMMYFUNCTION("""COMPUTED_VALUE"""),68.36)</f>
        <v/>
      </c>
      <c r="E85" s="141">
        <f>IFERROR(__xludf.DUMMYFUNCTION("""COMPUTED_VALUE"""),66.96)</f>
        <v/>
      </c>
      <c r="F85" s="141">
        <f>IFERROR(__xludf.DUMMYFUNCTION("""COMPUTED_VALUE"""),67.69)</f>
        <v/>
      </c>
      <c r="G85" s="143">
        <f>IFERROR(__xludf.DUMMYFUNCTION("""COMPUTED_VALUE"""),18912860)</f>
        <v/>
      </c>
      <c r="H85" s="27" t="n"/>
    </row>
    <row r="86" ht="17.25" customHeight="1" s="322">
      <c r="A86" s="27" t="n"/>
      <c r="B86" s="506">
        <f>IFERROR(__xludf.DUMMYFUNCTION("""COMPUTED_VALUE"""),46136.6666666666)</f>
        <v/>
      </c>
      <c r="C86" s="141">
        <f>IFERROR(__xludf.DUMMYFUNCTION("""COMPUTED_VALUE"""),67.93)</f>
        <v/>
      </c>
      <c r="D86" s="141">
        <f>IFERROR(__xludf.DUMMYFUNCTION("""COMPUTED_VALUE"""),68.24)</f>
        <v/>
      </c>
      <c r="E86" s="141">
        <f>IFERROR(__xludf.DUMMYFUNCTION("""COMPUTED_VALUE"""),67.69)</f>
        <v/>
      </c>
      <c r="F86" s="141">
        <f>IFERROR(__xludf.DUMMYFUNCTION("""COMPUTED_VALUE"""),68.14)</f>
        <v/>
      </c>
      <c r="G86" s="143">
        <f>IFERROR(__xludf.DUMMYFUNCTION("""COMPUTED_VALUE"""),9533283)</f>
        <v/>
      </c>
      <c r="H86" s="27" t="n"/>
    </row>
    <row r="87" ht="17.25" customHeight="1" s="322">
      <c r="A87" s="27" t="n"/>
      <c r="B87" s="506">
        <f>IFERROR(__xludf.DUMMYFUNCTION("""COMPUTED_VALUE"""),46139.6666666666)</f>
        <v/>
      </c>
      <c r="C87" s="141">
        <f>IFERROR(__xludf.DUMMYFUNCTION("""COMPUTED_VALUE"""),68.31)</f>
        <v/>
      </c>
      <c r="D87" s="141">
        <f>IFERROR(__xludf.DUMMYFUNCTION("""COMPUTED_VALUE"""),68.44)</f>
        <v/>
      </c>
      <c r="E87" s="141">
        <f>IFERROR(__xludf.DUMMYFUNCTION("""COMPUTED_VALUE"""),67.98)</f>
        <v/>
      </c>
      <c r="F87" s="141">
        <f>IFERROR(__xludf.DUMMYFUNCTION("""COMPUTED_VALUE"""),68.07)</f>
        <v/>
      </c>
      <c r="G87" s="143">
        <f>IFERROR(__xludf.DUMMYFUNCTION("""COMPUTED_VALUE"""),8949313)</f>
        <v/>
      </c>
      <c r="H87" s="27" t="n"/>
    </row>
    <row r="88" ht="17.25" customHeight="1" s="322">
      <c r="A88" s="27" t="n"/>
      <c r="B88" s="506">
        <f>IFERROR(__xludf.DUMMYFUNCTION("""COMPUTED_VALUE"""),46140.6666666666)</f>
        <v/>
      </c>
      <c r="C88" s="141">
        <f>IFERROR(__xludf.DUMMYFUNCTION("""COMPUTED_VALUE"""),67.75)</f>
        <v/>
      </c>
      <c r="D88" s="141">
        <f>IFERROR(__xludf.DUMMYFUNCTION("""COMPUTED_VALUE"""),67.91)</f>
        <v/>
      </c>
      <c r="E88" s="141">
        <f>IFERROR(__xludf.DUMMYFUNCTION("""COMPUTED_VALUE"""),67.44)</f>
        <v/>
      </c>
      <c r="F88" s="141">
        <f>IFERROR(__xludf.DUMMYFUNCTION("""COMPUTED_VALUE"""),67.73)</f>
        <v/>
      </c>
      <c r="G88" s="143">
        <f>IFERROR(__xludf.DUMMYFUNCTION("""COMPUTED_VALUE"""),11367825)</f>
        <v/>
      </c>
      <c r="H88" s="27" t="n"/>
    </row>
    <row r="89" ht="17.25" customHeight="1" s="322">
      <c r="A89" s="27" t="n"/>
      <c r="B89" s="506">
        <f>IFERROR(__xludf.DUMMYFUNCTION("""COMPUTED_VALUE"""),46141.6666666666)</f>
        <v/>
      </c>
      <c r="C89" s="141">
        <f>IFERROR(__xludf.DUMMYFUNCTION("""COMPUTED_VALUE"""),67.48)</f>
        <v/>
      </c>
      <c r="D89" s="141">
        <f>IFERROR(__xludf.DUMMYFUNCTION("""COMPUTED_VALUE"""),67.54)</f>
        <v/>
      </c>
      <c r="E89" s="141">
        <f>IFERROR(__xludf.DUMMYFUNCTION("""COMPUTED_VALUE"""),66.79)</f>
        <v/>
      </c>
      <c r="F89" s="141">
        <f>IFERROR(__xludf.DUMMYFUNCTION("""COMPUTED_VALUE"""),67.08)</f>
        <v/>
      </c>
      <c r="G89" s="143">
        <f>IFERROR(__xludf.DUMMYFUNCTION("""COMPUTED_VALUE"""),10743687)</f>
        <v/>
      </c>
      <c r="H89" s="27" t="n"/>
    </row>
    <row r="90" ht="17.25" customHeight="1" s="322">
      <c r="A90" s="27" t="n"/>
      <c r="B90" s="506">
        <f>IFERROR(__xludf.DUMMYFUNCTION("""COMPUTED_VALUE"""),46142.6666666666)</f>
        <v/>
      </c>
      <c r="C90" s="141">
        <f>IFERROR(__xludf.DUMMYFUNCTION("""COMPUTED_VALUE"""),68.04)</f>
        <v/>
      </c>
      <c r="D90" s="141">
        <f>IFERROR(__xludf.DUMMYFUNCTION("""COMPUTED_VALUE"""),68.94)</f>
        <v/>
      </c>
      <c r="E90" s="141">
        <f>IFERROR(__xludf.DUMMYFUNCTION("""COMPUTED_VALUE"""),67.9)</f>
        <v/>
      </c>
      <c r="F90" s="141">
        <f>IFERROR(__xludf.DUMMYFUNCTION("""COMPUTED_VALUE"""),68.8)</f>
        <v/>
      </c>
      <c r="G90" s="143">
        <f>IFERROR(__xludf.DUMMYFUNCTION("""COMPUTED_VALUE"""),13300004)</f>
        <v/>
      </c>
      <c r="H90" s="27" t="n"/>
    </row>
    <row r="91" ht="17.25" customHeight="1" s="322">
      <c r="A91" s="27" t="n"/>
      <c r="B91" s="506">
        <f>IFERROR(__xludf.DUMMYFUNCTION("""COMPUTED_VALUE"""),46143.6666666666)</f>
        <v/>
      </c>
      <c r="C91" s="141">
        <f>IFERROR(__xludf.DUMMYFUNCTION("""COMPUTED_VALUE"""),68.82)</f>
        <v/>
      </c>
      <c r="D91" s="141">
        <f>IFERROR(__xludf.DUMMYFUNCTION("""COMPUTED_VALUE"""),69.22)</f>
        <v/>
      </c>
      <c r="E91" s="141">
        <f>IFERROR(__xludf.DUMMYFUNCTION("""COMPUTED_VALUE"""),68.69)</f>
        <v/>
      </c>
      <c r="F91" s="141">
        <f>IFERROR(__xludf.DUMMYFUNCTION("""COMPUTED_VALUE"""),68.72)</f>
        <v/>
      </c>
      <c r="G91" s="143">
        <f>IFERROR(__xludf.DUMMYFUNCTION("""COMPUTED_VALUE"""),12749974)</f>
        <v/>
      </c>
      <c r="H91" s="27" t="n"/>
    </row>
    <row r="92" ht="17.25" customHeight="1" s="322">
      <c r="A92" s="27" t="n"/>
      <c r="B92" s="506">
        <f>IFERROR(__xludf.DUMMYFUNCTION("""COMPUTED_VALUE"""),46146.6666666666)</f>
        <v/>
      </c>
      <c r="C92" s="141">
        <f>IFERROR(__xludf.DUMMYFUNCTION("""COMPUTED_VALUE"""),68.48)</f>
        <v/>
      </c>
      <c r="D92" s="141">
        <f>IFERROR(__xludf.DUMMYFUNCTION("""COMPUTED_VALUE"""),68.72)</f>
        <v/>
      </c>
      <c r="E92" s="141">
        <f>IFERROR(__xludf.DUMMYFUNCTION("""COMPUTED_VALUE"""),67.71)</f>
        <v/>
      </c>
      <c r="F92" s="141">
        <f>IFERROR(__xludf.DUMMYFUNCTION("""COMPUTED_VALUE"""),67.91)</f>
        <v/>
      </c>
      <c r="G92" s="143">
        <f>IFERROR(__xludf.DUMMYFUNCTION("""COMPUTED_VALUE"""),15206270)</f>
        <v/>
      </c>
      <c r="H92" s="27" t="n"/>
    </row>
    <row r="93" ht="17.25" customHeight="1" s="322">
      <c r="A93" s="27" t="n"/>
      <c r="B93" s="506">
        <f>IFERROR(__xludf.DUMMYFUNCTION("""COMPUTED_VALUE"""),46147.6666666666)</f>
        <v/>
      </c>
      <c r="C93" s="141">
        <f>IFERROR(__xludf.DUMMYFUNCTION("""COMPUTED_VALUE"""),68.65)</f>
        <v/>
      </c>
      <c r="D93" s="141">
        <f>IFERROR(__xludf.DUMMYFUNCTION("""COMPUTED_VALUE"""),69.14)</f>
        <v/>
      </c>
      <c r="E93" s="141">
        <f>IFERROR(__xludf.DUMMYFUNCTION("""COMPUTED_VALUE"""),68.53)</f>
        <v/>
      </c>
      <c r="F93" s="141">
        <f>IFERROR(__xludf.DUMMYFUNCTION("""COMPUTED_VALUE"""),68.98)</f>
        <v/>
      </c>
      <c r="G93" s="143">
        <f>IFERROR(__xludf.DUMMYFUNCTION("""COMPUTED_VALUE"""),14930148)</f>
        <v/>
      </c>
      <c r="H93" s="27" t="n"/>
    </row>
    <row r="94" ht="17.25" customHeight="1" s="322">
      <c r="A94" s="27" t="n"/>
      <c r="B94" s="506">
        <f>IFERROR(__xludf.DUMMYFUNCTION("""COMPUTED_VALUE"""),46148.6666666666)</f>
        <v/>
      </c>
      <c r="C94" s="141">
        <f>IFERROR(__xludf.DUMMYFUNCTION("""COMPUTED_VALUE"""),70.59)</f>
        <v/>
      </c>
      <c r="D94" s="141">
        <f>IFERROR(__xludf.DUMMYFUNCTION("""COMPUTED_VALUE"""),70.94)</f>
        <v/>
      </c>
      <c r="E94" s="141">
        <f>IFERROR(__xludf.DUMMYFUNCTION("""COMPUTED_VALUE"""),70.47)</f>
        <v/>
      </c>
      <c r="F94" s="141">
        <f>IFERROR(__xludf.DUMMYFUNCTION("""COMPUTED_VALUE"""),70.87)</f>
        <v/>
      </c>
      <c r="G94" s="143">
        <f>IFERROR(__xludf.DUMMYFUNCTION("""COMPUTED_VALUE"""),9893090)</f>
        <v/>
      </c>
      <c r="H94" s="27" t="n"/>
    </row>
    <row r="95" ht="17.25" customHeight="1" s="322">
      <c r="A95" s="27" t="n"/>
      <c r="B95" s="506">
        <f>IFERROR(__xludf.DUMMYFUNCTION("""COMPUTED_VALUE"""),46149.6666666666)</f>
        <v/>
      </c>
      <c r="C95" s="141">
        <f>IFERROR(__xludf.DUMMYFUNCTION("""COMPUTED_VALUE"""),71.01)</f>
        <v/>
      </c>
      <c r="D95" s="141">
        <f>IFERROR(__xludf.DUMMYFUNCTION("""COMPUTED_VALUE"""),71.12)</f>
        <v/>
      </c>
      <c r="E95" s="141">
        <f>IFERROR(__xludf.DUMMYFUNCTION("""COMPUTED_VALUE"""),69.62)</f>
        <v/>
      </c>
      <c r="F95" s="141">
        <f>IFERROR(__xludf.DUMMYFUNCTION("""COMPUTED_VALUE"""),69.67)</f>
        <v/>
      </c>
      <c r="G95" s="143">
        <f>IFERROR(__xludf.DUMMYFUNCTION("""COMPUTED_VALUE"""),14924677)</f>
        <v/>
      </c>
      <c r="H95" s="27" t="n"/>
    </row>
    <row r="96" ht="17.25" customHeight="1" s="322">
      <c r="A96" s="27" t="n"/>
      <c r="B96" s="506">
        <f>IFERROR(__xludf.DUMMYFUNCTION("""COMPUTED_VALUE"""),46150.6666666666)</f>
        <v/>
      </c>
      <c r="C96" s="141">
        <f>IFERROR(__xludf.DUMMYFUNCTION("""COMPUTED_VALUE"""),70.42)</f>
        <v/>
      </c>
      <c r="D96" s="141">
        <f>IFERROR(__xludf.DUMMYFUNCTION("""COMPUTED_VALUE"""),70.83)</f>
        <v/>
      </c>
      <c r="E96" s="141">
        <f>IFERROR(__xludf.DUMMYFUNCTION("""COMPUTED_VALUE"""),70.39)</f>
        <v/>
      </c>
      <c r="F96" s="141">
        <f>IFERROR(__xludf.DUMMYFUNCTION("""COMPUTED_VALUE"""),70.83)</f>
        <v/>
      </c>
      <c r="G96" s="143">
        <f>IFERROR(__xludf.DUMMYFUNCTION("""COMPUTED_VALUE"""),9468538)</f>
        <v/>
      </c>
      <c r="H96" s="27" t="n"/>
    </row>
    <row r="97" ht="17.25" customHeight="1" s="322">
      <c r="A97" s="27" t="n"/>
      <c r="B97" s="506">
        <f>IFERROR(__xludf.DUMMYFUNCTION("""COMPUTED_VALUE"""),46153.6666666666)</f>
        <v/>
      </c>
      <c r="C97" s="141">
        <f>IFERROR(__xludf.DUMMYFUNCTION("""COMPUTED_VALUE"""),70.81)</f>
        <v/>
      </c>
      <c r="D97" s="141">
        <f>IFERROR(__xludf.DUMMYFUNCTION("""COMPUTED_VALUE"""),71)</f>
        <v/>
      </c>
      <c r="E97" s="141">
        <f>IFERROR(__xludf.DUMMYFUNCTION("""COMPUTED_VALUE"""),70.72)</f>
        <v/>
      </c>
      <c r="F97" s="141">
        <f>IFERROR(__xludf.DUMMYFUNCTION("""COMPUTED_VALUE"""),70.82)</f>
        <v/>
      </c>
      <c r="G97" s="143">
        <f>IFERROR(__xludf.DUMMYFUNCTION("""COMPUTED_VALUE"""),9789409)</f>
        <v/>
      </c>
      <c r="H97" s="27" t="n"/>
    </row>
    <row r="98" ht="17.25" customHeight="1" s="322">
      <c r="A98" s="27" t="n"/>
      <c r="B98" s="506">
        <f>IFERROR(__xludf.DUMMYFUNCTION("""COMPUTED_VALUE"""),46154.6666666666)</f>
        <v/>
      </c>
      <c r="C98" s="141">
        <f>IFERROR(__xludf.DUMMYFUNCTION("""COMPUTED_VALUE"""),70)</f>
        <v/>
      </c>
      <c r="D98" s="141">
        <f>IFERROR(__xludf.DUMMYFUNCTION("""COMPUTED_VALUE"""),70.11)</f>
        <v/>
      </c>
      <c r="E98" s="141">
        <f>IFERROR(__xludf.DUMMYFUNCTION("""COMPUTED_VALUE"""),69.36)</f>
        <v/>
      </c>
      <c r="F98" s="141">
        <f>IFERROR(__xludf.DUMMYFUNCTION("""COMPUTED_VALUE"""),69.97)</f>
        <v/>
      </c>
      <c r="G98" s="143">
        <f>IFERROR(__xludf.DUMMYFUNCTION("""COMPUTED_VALUE"""),9068189)</f>
        <v/>
      </c>
      <c r="H98" s="27" t="n"/>
    </row>
    <row r="99" ht="17.25" customHeight="1" s="322">
      <c r="A99" s="27" t="n"/>
      <c r="B99" s="506">
        <f>IFERROR(__xludf.DUMMYFUNCTION("""COMPUTED_VALUE"""),46155.6666666666)</f>
        <v/>
      </c>
      <c r="C99" s="141">
        <f>IFERROR(__xludf.DUMMYFUNCTION("""COMPUTED_VALUE"""),70.17)</f>
        <v/>
      </c>
      <c r="D99" s="141">
        <f>IFERROR(__xludf.DUMMYFUNCTION("""COMPUTED_VALUE"""),70.65)</f>
        <v/>
      </c>
      <c r="E99" s="141">
        <f>IFERROR(__xludf.DUMMYFUNCTION("""COMPUTED_VALUE"""),70)</f>
        <v/>
      </c>
      <c r="F99" s="141">
        <f>IFERROR(__xludf.DUMMYFUNCTION("""COMPUTED_VALUE"""),70.63)</f>
        <v/>
      </c>
      <c r="G99" s="143">
        <f>IFERROR(__xludf.DUMMYFUNCTION("""COMPUTED_VALUE"""),9963570)</f>
        <v/>
      </c>
      <c r="H99" s="27" t="n"/>
    </row>
    <row r="100" ht="17.25" customHeight="1" s="322">
      <c r="A100" s="27" t="n"/>
      <c r="B100" s="506">
        <f>IFERROR(__xludf.DUMMYFUNCTION("""COMPUTED_VALUE"""),46156.6666666666)</f>
        <v/>
      </c>
      <c r="C100" s="141">
        <f>IFERROR(__xludf.DUMMYFUNCTION("""COMPUTED_VALUE"""),70.69)</f>
        <v/>
      </c>
      <c r="D100" s="141">
        <f>IFERROR(__xludf.DUMMYFUNCTION("""COMPUTED_VALUE"""),70.79)</f>
        <v/>
      </c>
      <c r="E100" s="141">
        <f>IFERROR(__xludf.DUMMYFUNCTION("""COMPUTED_VALUE"""),70.46)</f>
        <v/>
      </c>
      <c r="F100" s="141">
        <f>IFERROR(__xludf.DUMMYFUNCTION("""COMPUTED_VALUE"""),70.56)</f>
        <v/>
      </c>
      <c r="G100" s="143">
        <f>IFERROR(__xludf.DUMMYFUNCTION("""COMPUTED_VALUE"""),10071231)</f>
        <v/>
      </c>
      <c r="H100" s="27" t="n"/>
    </row>
    <row r="101" ht="17.25" customHeight="1" s="322">
      <c r="A101" s="27" t="n"/>
      <c r="B101" s="506">
        <f>IFERROR(__xludf.DUMMYFUNCTION("""COMPUTED_VALUE"""),46157.6666666666)</f>
        <v/>
      </c>
      <c r="C101" s="141">
        <f>IFERROR(__xludf.DUMMYFUNCTION("""COMPUTED_VALUE"""),69.26)</f>
        <v/>
      </c>
      <c r="D101" s="141">
        <f>IFERROR(__xludf.DUMMYFUNCTION("""COMPUTED_VALUE"""),69.35)</f>
        <v/>
      </c>
      <c r="E101" s="141">
        <f>IFERROR(__xludf.DUMMYFUNCTION("""COMPUTED_VALUE"""),68.89)</f>
        <v/>
      </c>
      <c r="F101" s="141">
        <f>IFERROR(__xludf.DUMMYFUNCTION("""COMPUTED_VALUE"""),69.08)</f>
        <v/>
      </c>
      <c r="G101" s="143">
        <f>IFERROR(__xludf.DUMMYFUNCTION("""COMPUTED_VALUE"""),9970644)</f>
        <v/>
      </c>
      <c r="H101" s="27" t="n"/>
    </row>
    <row r="102" ht="17.25" customHeight="1" s="322">
      <c r="A102" s="27" t="n"/>
      <c r="B102" s="506">
        <f>IFERROR(__xludf.DUMMYFUNCTION("""COMPUTED_VALUE"""),46160.6666666666)</f>
        <v/>
      </c>
      <c r="C102" s="141">
        <f>IFERROR(__xludf.DUMMYFUNCTION("""COMPUTED_VALUE"""),69.73)</f>
        <v/>
      </c>
      <c r="D102" s="141">
        <f>IFERROR(__xludf.DUMMYFUNCTION("""COMPUTED_VALUE"""),69.79)</f>
        <v/>
      </c>
      <c r="E102" s="141">
        <f>IFERROR(__xludf.DUMMYFUNCTION("""COMPUTED_VALUE"""),68.91)</f>
        <v/>
      </c>
      <c r="F102" s="141">
        <f>IFERROR(__xludf.DUMMYFUNCTION("""COMPUTED_VALUE"""),69.52)</f>
        <v/>
      </c>
      <c r="G102" s="143">
        <f>IFERROR(__xludf.DUMMYFUNCTION("""COMPUTED_VALUE"""),12279325)</f>
        <v/>
      </c>
      <c r="H102" s="27" t="n"/>
    </row>
    <row r="103" ht="17.25" customHeight="1" s="322">
      <c r="A103" s="27" t="n"/>
      <c r="B103" s="506">
        <f>IFERROR(__xludf.DUMMYFUNCTION("""COMPUTED_VALUE"""),46161.6666666666)</f>
        <v/>
      </c>
      <c r="C103" s="141">
        <f>IFERROR(__xludf.DUMMYFUNCTION("""COMPUTED_VALUE"""),68.92)</f>
        <v/>
      </c>
      <c r="D103" s="141">
        <f>IFERROR(__xludf.DUMMYFUNCTION("""COMPUTED_VALUE"""),69.46)</f>
        <v/>
      </c>
      <c r="E103" s="141">
        <f>IFERROR(__xludf.DUMMYFUNCTION("""COMPUTED_VALUE"""),68.66)</f>
        <v/>
      </c>
      <c r="F103" s="141">
        <f>IFERROR(__xludf.DUMMYFUNCTION("""COMPUTED_VALUE"""),68.99)</f>
        <v/>
      </c>
      <c r="G103" s="143">
        <f>IFERROR(__xludf.DUMMYFUNCTION("""COMPUTED_VALUE"""),11695473)</f>
        <v/>
      </c>
      <c r="H103" s="27" t="n"/>
    </row>
    <row r="104" ht="17.25" customHeight="1" s="322">
      <c r="A104" s="27" t="n"/>
      <c r="B104" s="506">
        <f>IFERROR(__xludf.DUMMYFUNCTION("""COMPUTED_VALUE"""),46162.6666666666)</f>
        <v/>
      </c>
      <c r="C104" s="141">
        <f>IFERROR(__xludf.DUMMYFUNCTION("""COMPUTED_VALUE"""),69.06)</f>
        <v/>
      </c>
      <c r="D104" s="141">
        <f>IFERROR(__xludf.DUMMYFUNCTION("""COMPUTED_VALUE"""),70.33)</f>
        <v/>
      </c>
      <c r="E104" s="141">
        <f>IFERROR(__xludf.DUMMYFUNCTION("""COMPUTED_VALUE"""),69.02)</f>
        <v/>
      </c>
      <c r="F104" s="141">
        <f>IFERROR(__xludf.DUMMYFUNCTION("""COMPUTED_VALUE"""),70.2)</f>
        <v/>
      </c>
      <c r="G104" s="143">
        <f>IFERROR(__xludf.DUMMYFUNCTION("""COMPUTED_VALUE"""),9111527)</f>
        <v/>
      </c>
      <c r="H104" s="27" t="n"/>
    </row>
    <row r="105" ht="17.25" customHeight="1" s="322">
      <c r="A105" s="27" t="n"/>
      <c r="B105" s="506">
        <f>IFERROR(__xludf.DUMMYFUNCTION("""COMPUTED_VALUE"""),46163.6666666666)</f>
        <v/>
      </c>
      <c r="C105" s="141">
        <f>IFERROR(__xludf.DUMMYFUNCTION("""COMPUTED_VALUE"""),69.82)</f>
        <v/>
      </c>
      <c r="D105" s="141">
        <f>IFERROR(__xludf.DUMMYFUNCTION("""COMPUTED_VALUE"""),70.93)</f>
        <v/>
      </c>
      <c r="E105" s="141">
        <f>IFERROR(__xludf.DUMMYFUNCTION("""COMPUTED_VALUE"""),69.63)</f>
        <v/>
      </c>
      <c r="F105" s="141">
        <f>IFERROR(__xludf.DUMMYFUNCTION("""COMPUTED_VALUE"""),70.69)</f>
        <v/>
      </c>
      <c r="G105" s="143">
        <f>IFERROR(__xludf.DUMMYFUNCTION("""COMPUTED_VALUE"""),13457004)</f>
        <v/>
      </c>
      <c r="H105" s="27" t="n"/>
    </row>
    <row r="106" ht="17.25" customHeight="1" s="322">
      <c r="A106" s="27" t="n"/>
      <c r="B106" s="506">
        <f>IFERROR(__xludf.DUMMYFUNCTION("""COMPUTED_VALUE"""),46164.6666666666)</f>
        <v/>
      </c>
      <c r="C106" s="141">
        <f>IFERROR(__xludf.DUMMYFUNCTION("""COMPUTED_VALUE"""),70.67)</f>
        <v/>
      </c>
      <c r="D106" s="141">
        <f>IFERROR(__xludf.DUMMYFUNCTION("""COMPUTED_VALUE"""),70.84)</f>
        <v/>
      </c>
      <c r="E106" s="141">
        <f>IFERROR(__xludf.DUMMYFUNCTION("""COMPUTED_VALUE"""),70.38)</f>
        <v/>
      </c>
      <c r="F106" s="141">
        <f>IFERROR(__xludf.DUMMYFUNCTION("""COMPUTED_VALUE"""),70.46)</f>
        <v/>
      </c>
      <c r="G106" s="143">
        <f>IFERROR(__xludf.DUMMYFUNCTION("""COMPUTED_VALUE"""),8710069)</f>
        <v/>
      </c>
      <c r="H106" s="27" t="n"/>
    </row>
    <row r="107" ht="17.25" customHeight="1" s="322">
      <c r="A107" s="27" t="n"/>
      <c r="B107" s="506">
        <f>IFERROR(__xludf.DUMMYFUNCTION("""COMPUTED_VALUE"""),46168.6666666666)</f>
        <v/>
      </c>
      <c r="C107" s="141">
        <f>IFERROR(__xludf.DUMMYFUNCTION("""COMPUTED_VALUE"""),71.61)</f>
        <v/>
      </c>
      <c r="D107" s="141">
        <f>IFERROR(__xludf.DUMMYFUNCTION("""COMPUTED_VALUE"""),71.88)</f>
        <v/>
      </c>
      <c r="E107" s="141">
        <f>IFERROR(__xludf.DUMMYFUNCTION("""COMPUTED_VALUE"""),71.47)</f>
        <v/>
      </c>
      <c r="F107" s="141">
        <f>IFERROR(__xludf.DUMMYFUNCTION("""COMPUTED_VALUE"""),71.78)</f>
        <v/>
      </c>
      <c r="G107" s="143">
        <f>IFERROR(__xludf.DUMMYFUNCTION("""COMPUTED_VALUE"""),8767583)</f>
        <v/>
      </c>
      <c r="H107" s="27" t="n"/>
    </row>
    <row r="108" ht="17.25" customHeight="1" s="322">
      <c r="A108" s="27" t="n"/>
      <c r="B108" s="506">
        <f>IFERROR(__xludf.DUMMYFUNCTION("""COMPUTED_VALUE"""),46169.6666666666)</f>
        <v/>
      </c>
      <c r="C108" s="141">
        <f>IFERROR(__xludf.DUMMYFUNCTION("""COMPUTED_VALUE"""),71.71)</f>
        <v/>
      </c>
      <c r="D108" s="141">
        <f>IFERROR(__xludf.DUMMYFUNCTION("""COMPUTED_VALUE"""),71.78)</f>
        <v/>
      </c>
      <c r="E108" s="141">
        <f>IFERROR(__xludf.DUMMYFUNCTION("""COMPUTED_VALUE"""),71.2)</f>
        <v/>
      </c>
      <c r="F108" s="141">
        <f>IFERROR(__xludf.DUMMYFUNCTION("""COMPUTED_VALUE"""),71.41)</f>
        <v/>
      </c>
      <c r="G108" s="143">
        <f>IFERROR(__xludf.DUMMYFUNCTION("""COMPUTED_VALUE"""),8581151)</f>
        <v/>
      </c>
      <c r="H108" s="27" t="n"/>
    </row>
    <row r="109" ht="17.25" customHeight="1" s="322">
      <c r="A109" s="27" t="n"/>
      <c r="B109" s="506">
        <f>IFERROR(__xludf.DUMMYFUNCTION("""COMPUTED_VALUE"""),46170.6666666666)</f>
        <v/>
      </c>
      <c r="C109" s="141">
        <f>IFERROR(__xludf.DUMMYFUNCTION("""COMPUTED_VALUE"""),71.05)</f>
        <v/>
      </c>
      <c r="D109" s="141">
        <f>IFERROR(__xludf.DUMMYFUNCTION("""COMPUTED_VALUE"""),71.84)</f>
        <v/>
      </c>
      <c r="E109" s="141">
        <f>IFERROR(__xludf.DUMMYFUNCTION("""COMPUTED_VALUE"""),70.88)</f>
        <v/>
      </c>
      <c r="F109" s="141">
        <f>IFERROR(__xludf.DUMMYFUNCTION("""COMPUTED_VALUE"""),71.66)</f>
        <v/>
      </c>
      <c r="G109" s="143">
        <f>IFERROR(__xludf.DUMMYFUNCTION("""COMPUTED_VALUE"""),8371691)</f>
        <v/>
      </c>
      <c r="H109" s="27" t="n"/>
    </row>
    <row r="110" ht="17.25" customHeight="1" s="322">
      <c r="A110" s="27" t="n"/>
      <c r="B110" s="506">
        <f>IFERROR(__xludf.DUMMYFUNCTION("""COMPUTED_VALUE"""),46171.6666666666)</f>
        <v/>
      </c>
      <c r="C110" s="141">
        <f>IFERROR(__xludf.DUMMYFUNCTION("""COMPUTED_VALUE"""),72.02)</f>
        <v/>
      </c>
      <c r="D110" s="141">
        <f>IFERROR(__xludf.DUMMYFUNCTION("""COMPUTED_VALUE"""),72.22)</f>
        <v/>
      </c>
      <c r="E110" s="141">
        <f>IFERROR(__xludf.DUMMYFUNCTION("""COMPUTED_VALUE"""),71.7)</f>
        <v/>
      </c>
      <c r="F110" s="141">
        <f>IFERROR(__xludf.DUMMYFUNCTION("""COMPUTED_VALUE"""),71.77)</f>
        <v/>
      </c>
      <c r="G110" s="143">
        <f>IFERROR(__xludf.DUMMYFUNCTION("""COMPUTED_VALUE"""),11899233)</f>
        <v/>
      </c>
      <c r="H110" s="27" t="n"/>
    </row>
    <row r="111" ht="17.25" customHeight="1" s="322">
      <c r="A111" s="27" t="n"/>
      <c r="B111" s="506">
        <f>IFERROR(__xludf.DUMMYFUNCTION("""COMPUTED_VALUE"""),46174.6666666666)</f>
        <v/>
      </c>
      <c r="C111" s="141">
        <f>IFERROR(__xludf.DUMMYFUNCTION("""COMPUTED_VALUE"""),71.55)</f>
        <v/>
      </c>
      <c r="D111" s="141">
        <f>IFERROR(__xludf.DUMMYFUNCTION("""COMPUTED_VALUE"""),72.22)</f>
        <v/>
      </c>
      <c r="E111" s="141">
        <f>IFERROR(__xludf.DUMMYFUNCTION("""COMPUTED_VALUE"""),71.24)</f>
        <v/>
      </c>
      <c r="F111" s="141">
        <f>IFERROR(__xludf.DUMMYFUNCTION("""COMPUTED_VALUE"""),71.87)</f>
        <v/>
      </c>
      <c r="G111" s="143">
        <f>IFERROR(__xludf.DUMMYFUNCTION("""COMPUTED_VALUE"""),10528392)</f>
        <v/>
      </c>
      <c r="H111" s="27" t="n"/>
    </row>
    <row r="112" ht="17.25" customHeight="1" s="322">
      <c r="A112" s="27" t="n"/>
      <c r="B112" s="506">
        <f>IFERROR(__xludf.DUMMYFUNCTION("""COMPUTED_VALUE"""),46175.6666666666)</f>
        <v/>
      </c>
      <c r="C112" s="141">
        <f>IFERROR(__xludf.DUMMYFUNCTION("""COMPUTED_VALUE"""),71.88)</f>
        <v/>
      </c>
      <c r="D112" s="141">
        <f>IFERROR(__xludf.DUMMYFUNCTION("""COMPUTED_VALUE"""),72.32)</f>
        <v/>
      </c>
      <c r="E112" s="141">
        <f>IFERROR(__xludf.DUMMYFUNCTION("""COMPUTED_VALUE"""),71.8)</f>
        <v/>
      </c>
      <c r="F112" s="141">
        <f>IFERROR(__xludf.DUMMYFUNCTION("""COMPUTED_VALUE"""),72.32)</f>
        <v/>
      </c>
      <c r="G112" s="143">
        <f>IFERROR(__xludf.DUMMYFUNCTION("""COMPUTED_VALUE"""),7565078)</f>
        <v/>
      </c>
      <c r="H112" s="27" t="n"/>
    </row>
    <row r="113" ht="17.25" customHeight="1" s="322">
      <c r="A113" s="27" t="n"/>
      <c r="B113" s="506">
        <f>IFERROR(__xludf.DUMMYFUNCTION("""COMPUTED_VALUE"""),46176.6666666666)</f>
        <v/>
      </c>
      <c r="C113" s="141">
        <f>IFERROR(__xludf.DUMMYFUNCTION("""COMPUTED_VALUE"""),72.03)</f>
        <v/>
      </c>
      <c r="D113" s="141">
        <f>IFERROR(__xludf.DUMMYFUNCTION("""COMPUTED_VALUE"""),72.1)</f>
        <v/>
      </c>
      <c r="E113" s="141">
        <f>IFERROR(__xludf.DUMMYFUNCTION("""COMPUTED_VALUE"""),71.57)</f>
        <v/>
      </c>
      <c r="F113" s="141">
        <f>IFERROR(__xludf.DUMMYFUNCTION("""COMPUTED_VALUE"""),71.67)</f>
        <v/>
      </c>
      <c r="G113" s="143">
        <f>IFERROR(__xludf.DUMMYFUNCTION("""COMPUTED_VALUE"""),8235085)</f>
        <v/>
      </c>
      <c r="H113" s="27" t="n"/>
    </row>
    <row r="114" ht="17.25" customHeight="1" s="322">
      <c r="A114" s="27" t="n"/>
      <c r="B114" s="506">
        <f>IFERROR(__xludf.DUMMYFUNCTION("""COMPUTED_VALUE"""),46177.6666666666)</f>
        <v/>
      </c>
      <c r="C114" s="141">
        <f>IFERROR(__xludf.DUMMYFUNCTION("""COMPUTED_VALUE"""),71.51)</f>
        <v/>
      </c>
      <c r="D114" s="141">
        <f>IFERROR(__xludf.DUMMYFUNCTION("""COMPUTED_VALUE"""),71.97)</f>
        <v/>
      </c>
      <c r="E114" s="141">
        <f>IFERROR(__xludf.DUMMYFUNCTION("""COMPUTED_VALUE"""),71.39)</f>
        <v/>
      </c>
      <c r="F114" s="141">
        <f>IFERROR(__xludf.DUMMYFUNCTION("""COMPUTED_VALUE"""),71.84)</f>
        <v/>
      </c>
      <c r="G114" s="143">
        <f>IFERROR(__xludf.DUMMYFUNCTION("""COMPUTED_VALUE"""),7336979)</f>
        <v/>
      </c>
      <c r="H114" s="27" t="n"/>
    </row>
    <row r="115" ht="17.25" customHeight="1" s="322">
      <c r="A115" s="27" t="n"/>
      <c r="B115" s="506">
        <f>IFERROR(__xludf.DUMMYFUNCTION("""COMPUTED_VALUE"""),46178.6666666666)</f>
        <v/>
      </c>
      <c r="C115" s="141">
        <f>IFERROR(__xludf.DUMMYFUNCTION("""COMPUTED_VALUE"""),70.86)</f>
        <v/>
      </c>
      <c r="D115" s="141">
        <f>IFERROR(__xludf.DUMMYFUNCTION("""COMPUTED_VALUE"""),70.91)</f>
        <v/>
      </c>
      <c r="E115" s="141">
        <f>IFERROR(__xludf.DUMMYFUNCTION("""COMPUTED_VALUE"""),69.01)</f>
        <v/>
      </c>
      <c r="F115" s="141">
        <f>IFERROR(__xludf.DUMMYFUNCTION("""COMPUTED_VALUE"""),69.17)</f>
        <v/>
      </c>
      <c r="G115" s="143">
        <f>IFERROR(__xludf.DUMMYFUNCTION("""COMPUTED_VALUE"""),14225584)</f>
        <v/>
      </c>
      <c r="H115" s="27" t="n"/>
    </row>
    <row r="116" ht="17.25" customHeight="1" s="322">
      <c r="A116" s="27" t="n"/>
      <c r="B116" s="506">
        <f>IFERROR(__xludf.DUMMYFUNCTION("""COMPUTED_VALUE"""),46181.6666666666)</f>
        <v/>
      </c>
      <c r="C116" s="141">
        <f>IFERROR(__xludf.DUMMYFUNCTION("""COMPUTED_VALUE"""),70.16)</f>
        <v/>
      </c>
      <c r="D116" s="141">
        <f>IFERROR(__xludf.DUMMYFUNCTION("""COMPUTED_VALUE"""),70.29)</f>
        <v/>
      </c>
      <c r="E116" s="141">
        <f>IFERROR(__xludf.DUMMYFUNCTION("""COMPUTED_VALUE"""),69.71)</f>
        <v/>
      </c>
      <c r="F116" s="141">
        <f>IFERROR(__xludf.DUMMYFUNCTION("""COMPUTED_VALUE"""),69.86)</f>
        <v/>
      </c>
      <c r="G116" s="143">
        <f>IFERROR(__xludf.DUMMYFUNCTION("""COMPUTED_VALUE"""),13037891)</f>
        <v/>
      </c>
      <c r="H116" s="27" t="n"/>
    </row>
    <row r="117" ht="17.25" customHeight="1" s="322">
      <c r="A117" s="27" t="n"/>
      <c r="B117" s="506">
        <f>IFERROR(__xludf.DUMMYFUNCTION("""COMPUTED_VALUE"""),46182.6666666666)</f>
        <v/>
      </c>
      <c r="C117" s="141">
        <f>IFERROR(__xludf.DUMMYFUNCTION("""COMPUTED_VALUE"""),70.75)</f>
        <v/>
      </c>
      <c r="D117" s="141">
        <f>IFERROR(__xludf.DUMMYFUNCTION("""COMPUTED_VALUE"""),70.97)</f>
        <v/>
      </c>
      <c r="E117" s="141">
        <f>IFERROR(__xludf.DUMMYFUNCTION("""COMPUTED_VALUE"""),68.6)</f>
        <v/>
      </c>
      <c r="F117" s="141">
        <f>IFERROR(__xludf.DUMMYFUNCTION("""COMPUTED_VALUE"""),69.84)</f>
        <v/>
      </c>
      <c r="G117" s="143">
        <f>IFERROR(__xludf.DUMMYFUNCTION("""COMPUTED_VALUE"""),11879921)</f>
        <v/>
      </c>
      <c r="H117" s="27" t="n"/>
    </row>
    <row r="118" ht="17.25" customHeight="1" s="322">
      <c r="A118" s="27" t="n"/>
      <c r="B118" s="506">
        <f>IFERROR(__xludf.DUMMYFUNCTION("""COMPUTED_VALUE"""),46183.6666666666)</f>
        <v/>
      </c>
      <c r="C118" s="141">
        <f>IFERROR(__xludf.DUMMYFUNCTION("""COMPUTED_VALUE"""),69.4)</f>
        <v/>
      </c>
      <c r="D118" s="141">
        <f>IFERROR(__xludf.DUMMYFUNCTION("""COMPUTED_VALUE"""),69.96)</f>
        <v/>
      </c>
      <c r="E118" s="141">
        <f>IFERROR(__xludf.DUMMYFUNCTION("""COMPUTED_VALUE"""),68.78)</f>
        <v/>
      </c>
      <c r="F118" s="141">
        <f>IFERROR(__xludf.DUMMYFUNCTION("""COMPUTED_VALUE"""),68.81)</f>
        <v/>
      </c>
      <c r="G118" s="143">
        <f>IFERROR(__xludf.DUMMYFUNCTION("""COMPUTED_VALUE"""),11333959)</f>
        <v/>
      </c>
      <c r="H118" s="27" t="n"/>
    </row>
    <row r="119" ht="17.25" customHeight="1" s="322">
      <c r="A119" s="27" t="n"/>
      <c r="B119" s="506">
        <f>IFERROR(__xludf.DUMMYFUNCTION("""COMPUTED_VALUE"""),46184.6666666666)</f>
        <v/>
      </c>
      <c r="C119" s="141">
        <f>IFERROR(__xludf.DUMMYFUNCTION("""COMPUTED_VALUE"""),69.66)</f>
        <v/>
      </c>
      <c r="D119" s="141">
        <f>IFERROR(__xludf.DUMMYFUNCTION("""COMPUTED_VALUE"""),71.4)</f>
        <v/>
      </c>
      <c r="E119" s="141">
        <f>IFERROR(__xludf.DUMMYFUNCTION("""COMPUTED_VALUE"""),69.42)</f>
        <v/>
      </c>
      <c r="F119" s="141">
        <f>IFERROR(__xludf.DUMMYFUNCTION("""COMPUTED_VALUE"""),71.31)</f>
        <v/>
      </c>
      <c r="G119" s="143">
        <f>IFERROR(__xludf.DUMMYFUNCTION("""COMPUTED_VALUE"""),16157729)</f>
        <v/>
      </c>
      <c r="H119" s="27" t="n"/>
    </row>
    <row r="120" ht="17.25" customHeight="1" s="322">
      <c r="A120" s="27" t="n"/>
      <c r="B120" s="506">
        <f>IFERROR(__xludf.DUMMYFUNCTION("""COMPUTED_VALUE"""),46185.6666666666)</f>
        <v/>
      </c>
      <c r="C120" s="141">
        <f>IFERROR(__xludf.DUMMYFUNCTION("""COMPUTED_VALUE"""),71.14)</f>
        <v/>
      </c>
      <c r="D120" s="141">
        <f>IFERROR(__xludf.DUMMYFUNCTION("""COMPUTED_VALUE"""),71.8)</f>
        <v/>
      </c>
      <c r="E120" s="141">
        <f>IFERROR(__xludf.DUMMYFUNCTION("""COMPUTED_VALUE"""),70.83)</f>
        <v/>
      </c>
      <c r="F120" s="141">
        <f>IFERROR(__xludf.DUMMYFUNCTION("""COMPUTED_VALUE"""),71.55)</f>
        <v/>
      </c>
      <c r="G120" s="143">
        <f>IFERROR(__xludf.DUMMYFUNCTION("""COMPUTED_VALUE"""),15850843)</f>
        <v/>
      </c>
      <c r="H120" s="27" t="n"/>
    </row>
    <row r="121" ht="17.25" customHeight="1" s="322">
      <c r="A121" s="27" t="n"/>
      <c r="B121" s="506">
        <f>IFERROR(__xludf.DUMMYFUNCTION("""COMPUTED_VALUE"""),46188.6666666666)</f>
        <v/>
      </c>
      <c r="C121" s="141">
        <f>IFERROR(__xludf.DUMMYFUNCTION("""COMPUTED_VALUE"""),72.7)</f>
        <v/>
      </c>
      <c r="D121" s="141">
        <f>IFERROR(__xludf.DUMMYFUNCTION("""COMPUTED_VALUE"""),72.8)</f>
        <v/>
      </c>
      <c r="E121" s="141">
        <f>IFERROR(__xludf.DUMMYFUNCTION("""COMPUTED_VALUE"""),72.29)</f>
        <v/>
      </c>
      <c r="F121" s="141">
        <f>IFERROR(__xludf.DUMMYFUNCTION("""COMPUTED_VALUE"""),72.39)</f>
        <v/>
      </c>
      <c r="G121" s="143">
        <f>IFERROR(__xludf.DUMMYFUNCTION("""COMPUTED_VALUE"""),10650541)</f>
        <v/>
      </c>
      <c r="H121" s="27" t="n"/>
    </row>
    <row r="122" ht="17.25" customHeight="1" s="322">
      <c r="A122" s="27" t="n"/>
      <c r="B122" s="506">
        <f>IFERROR(__xludf.DUMMYFUNCTION("""COMPUTED_VALUE"""),46189.6666666666)</f>
        <v/>
      </c>
      <c r="C122" s="141">
        <f>IFERROR(__xludf.DUMMYFUNCTION("""COMPUTED_VALUE"""),72.72)</f>
        <v/>
      </c>
      <c r="D122" s="141">
        <f>IFERROR(__xludf.DUMMYFUNCTION("""COMPUTED_VALUE"""),72.85)</f>
        <v/>
      </c>
      <c r="E122" s="141">
        <f>IFERROR(__xludf.DUMMYFUNCTION("""COMPUTED_VALUE"""),72.25)</f>
        <v/>
      </c>
      <c r="F122" s="141">
        <f>IFERROR(__xludf.DUMMYFUNCTION("""COMPUTED_VALUE"""),72.32)</f>
        <v/>
      </c>
      <c r="G122" s="143">
        <f>IFERROR(__xludf.DUMMYFUNCTION("""COMPUTED_VALUE"""),7907297)</f>
        <v/>
      </c>
      <c r="H122" s="27" t="n"/>
    </row>
    <row r="123" ht="17.25" customHeight="1" s="322">
      <c r="A123" s="27" t="n"/>
      <c r="B123" s="506">
        <f>IFERROR(__xludf.DUMMYFUNCTION("""COMPUTED_VALUE"""),46190.6666666666)</f>
        <v/>
      </c>
      <c r="C123" s="141">
        <f>IFERROR(__xludf.DUMMYFUNCTION("""COMPUTED_VALUE"""),72.88)</f>
        <v/>
      </c>
      <c r="D123" s="141">
        <f>IFERROR(__xludf.DUMMYFUNCTION("""COMPUTED_VALUE"""),73.23)</f>
        <v/>
      </c>
      <c r="E123" s="141">
        <f>IFERROR(__xludf.DUMMYFUNCTION("""COMPUTED_VALUE"""),71.85)</f>
        <v/>
      </c>
      <c r="F123" s="141">
        <f>IFERROR(__xludf.DUMMYFUNCTION("""COMPUTED_VALUE"""),72)</f>
        <v/>
      </c>
      <c r="G123" s="143">
        <f>IFERROR(__xludf.DUMMYFUNCTION("""COMPUTED_VALUE"""),20840117)</f>
        <v/>
      </c>
      <c r="H123" s="27" t="n"/>
    </row>
    <row r="124" ht="17.25" customHeight="1" s="322">
      <c r="A124" s="27" t="n"/>
      <c r="B124" s="506">
        <f>IFERROR(__xludf.DUMMYFUNCTION("""COMPUTED_VALUE"""),46191.6666666666)</f>
        <v/>
      </c>
      <c r="C124" s="141">
        <f>IFERROR(__xludf.DUMMYFUNCTION("""COMPUTED_VALUE"""),72.36)</f>
        <v/>
      </c>
      <c r="D124" s="141">
        <f>IFERROR(__xludf.DUMMYFUNCTION("""COMPUTED_VALUE"""),72.51)</f>
        <v/>
      </c>
      <c r="E124" s="141">
        <f>IFERROR(__xludf.DUMMYFUNCTION("""COMPUTED_VALUE"""),72.15)</f>
        <v/>
      </c>
      <c r="F124" s="141">
        <f>IFERROR(__xludf.DUMMYFUNCTION("""COMPUTED_VALUE"""),72.31)</f>
        <v/>
      </c>
      <c r="G124" s="143">
        <f>IFERROR(__xludf.DUMMYFUNCTION("""COMPUTED_VALUE"""),8922238)</f>
        <v/>
      </c>
      <c r="H124" s="27" t="n"/>
    </row>
    <row r="125" ht="17.25" customHeight="1" s="322">
      <c r="A125" s="27" t="n"/>
      <c r="B125" s="506">
        <f>IFERROR(__xludf.DUMMYFUNCTION("""COMPUTED_VALUE"""),46195.6666666666)</f>
        <v/>
      </c>
      <c r="C125" s="141">
        <f>IFERROR(__xludf.DUMMYFUNCTION("""COMPUTED_VALUE"""),72.36)</f>
        <v/>
      </c>
      <c r="D125" s="141">
        <f>IFERROR(__xludf.DUMMYFUNCTION("""COMPUTED_VALUE"""),72.56)</f>
        <v/>
      </c>
      <c r="E125" s="141">
        <f>IFERROR(__xludf.DUMMYFUNCTION("""COMPUTED_VALUE"""),72.24)</f>
        <v/>
      </c>
      <c r="F125" s="141">
        <f>IFERROR(__xludf.DUMMYFUNCTION("""COMPUTED_VALUE"""),72.39)</f>
        <v/>
      </c>
      <c r="G125" s="143">
        <f>IFERROR(__xludf.DUMMYFUNCTION("""COMPUTED_VALUE"""),9433782)</f>
        <v/>
      </c>
      <c r="H125" s="27" t="n"/>
    </row>
    <row r="126" ht="17.25" customHeight="1" s="322">
      <c r="A126" s="27" t="n"/>
      <c r="B126" s="506">
        <f>IFERROR(__xludf.DUMMYFUNCTION("""COMPUTED_VALUE"""),46196.6666666666)</f>
        <v/>
      </c>
      <c r="C126" s="141">
        <f>IFERROR(__xludf.DUMMYFUNCTION("""COMPUTED_VALUE"""),70.16)</f>
        <v/>
      </c>
      <c r="D126" s="141">
        <f>IFERROR(__xludf.DUMMYFUNCTION("""COMPUTED_VALUE"""),70.79)</f>
        <v/>
      </c>
      <c r="E126" s="141">
        <f>IFERROR(__xludf.DUMMYFUNCTION("""COMPUTED_VALUE"""),70.06)</f>
        <v/>
      </c>
      <c r="F126" s="141">
        <f>IFERROR(__xludf.DUMMYFUNCTION("""COMPUTED_VALUE"""),70.17)</f>
        <v/>
      </c>
      <c r="G126" s="143">
        <f>IFERROR(__xludf.DUMMYFUNCTION("""COMPUTED_VALUE"""),13265907)</f>
        <v/>
      </c>
      <c r="H126" s="27" t="n"/>
    </row>
    <row r="127" ht="17.25" customHeight="1" s="322">
      <c r="A127" s="27" t="n"/>
      <c r="B127" s="506">
        <f>IFERROR(__xludf.DUMMYFUNCTION("""COMPUTED_VALUE"""),46197.6666666666)</f>
        <v/>
      </c>
      <c r="C127" s="141">
        <f>IFERROR(__xludf.DUMMYFUNCTION("""COMPUTED_VALUE"""),70.32)</f>
        <v/>
      </c>
      <c r="D127" s="141">
        <f>IFERROR(__xludf.DUMMYFUNCTION("""COMPUTED_VALUE"""),70.52)</f>
        <v/>
      </c>
      <c r="E127" s="141">
        <f>IFERROR(__xludf.DUMMYFUNCTION("""COMPUTED_VALUE"""),69.92)</f>
        <v/>
      </c>
      <c r="F127" s="141">
        <f>IFERROR(__xludf.DUMMYFUNCTION("""COMPUTED_VALUE"""),70.28)</f>
        <v/>
      </c>
      <c r="G127" s="143">
        <f>IFERROR(__xludf.DUMMYFUNCTION("""COMPUTED_VALUE"""),9889778)</f>
        <v/>
      </c>
      <c r="H127" s="27" t="n"/>
    </row>
    <row r="128" ht="17.25" customHeight="1" s="322">
      <c r="A128" s="27" t="n"/>
      <c r="B128" s="506">
        <f>IFERROR(__xludf.DUMMYFUNCTION("""COMPUTED_VALUE"""),46198.6666666666)</f>
        <v/>
      </c>
      <c r="C128" s="141">
        <f>IFERROR(__xludf.DUMMYFUNCTION("""COMPUTED_VALUE"""),71.49)</f>
        <v/>
      </c>
      <c r="D128" s="141">
        <f>IFERROR(__xludf.DUMMYFUNCTION("""COMPUTED_VALUE"""),71.54)</f>
        <v/>
      </c>
      <c r="E128" s="141">
        <f>IFERROR(__xludf.DUMMYFUNCTION("""COMPUTED_VALUE"""),70.74)</f>
        <v/>
      </c>
      <c r="F128" s="141">
        <f>IFERROR(__xludf.DUMMYFUNCTION("""COMPUTED_VALUE"""),71.16)</f>
        <v/>
      </c>
      <c r="G128" s="143">
        <f>IFERROR(__xludf.DUMMYFUNCTION("""COMPUTED_VALUE"""),8494843)</f>
        <v/>
      </c>
      <c r="H128" s="27" t="n"/>
    </row>
    <row r="129" ht="17.25" customHeight="1" s="322">
      <c r="A129" s="27" t="n"/>
      <c r="B129" s="506">
        <f>IFERROR(__xludf.DUMMYFUNCTION("""COMPUTED_VALUE"""),46199.6666666666)</f>
        <v/>
      </c>
      <c r="C129" s="141">
        <f>IFERROR(__xludf.DUMMYFUNCTION("""COMPUTED_VALUE"""),70.41)</f>
        <v/>
      </c>
      <c r="D129" s="141">
        <f>IFERROR(__xludf.DUMMYFUNCTION("""COMPUTED_VALUE"""),71.05)</f>
        <v/>
      </c>
      <c r="E129" s="141">
        <f>IFERROR(__xludf.DUMMYFUNCTION("""COMPUTED_VALUE"""),70.33)</f>
        <v/>
      </c>
      <c r="F129" s="141">
        <f>IFERROR(__xludf.DUMMYFUNCTION("""COMPUTED_VALUE"""),70.56)</f>
        <v/>
      </c>
      <c r="G129" s="143">
        <f>IFERROR(__xludf.DUMMYFUNCTION("""COMPUTED_VALUE"""),14441820)</f>
        <v/>
      </c>
      <c r="H129" s="27" t="n"/>
    </row>
    <row r="130" ht="17.25" customHeight="1" s="322">
      <c r="A130" s="27" t="n"/>
      <c r="B130" s="506">
        <f>IFERROR(__xludf.DUMMYFUNCTION("""COMPUTED_VALUE"""),46202.6666666666)</f>
        <v/>
      </c>
      <c r="C130" s="141">
        <f>IFERROR(__xludf.DUMMYFUNCTION("""COMPUTED_VALUE"""),70.68)</f>
        <v/>
      </c>
      <c r="D130" s="141">
        <f>IFERROR(__xludf.DUMMYFUNCTION("""COMPUTED_VALUE"""),70.93)</f>
        <v/>
      </c>
      <c r="E130" s="141">
        <f>IFERROR(__xludf.DUMMYFUNCTION("""COMPUTED_VALUE"""),69.96)</f>
        <v/>
      </c>
      <c r="F130" s="141">
        <f>IFERROR(__xludf.DUMMYFUNCTION("""COMPUTED_VALUE"""),70.92)</f>
        <v/>
      </c>
      <c r="G130" s="143">
        <f>IFERROR(__xludf.DUMMYFUNCTION("""COMPUTED_VALUE"""),11260180)</f>
        <v/>
      </c>
      <c r="H130" s="27" t="n"/>
    </row>
    <row r="131" ht="17.25" customHeight="1" s="322">
      <c r="A131" s="27" t="n"/>
      <c r="B131" s="506">
        <f>IFERROR(__xludf.DUMMYFUNCTION("""COMPUTED_VALUE"""),46203.6666666666)</f>
        <v/>
      </c>
      <c r="C131" s="141">
        <f>IFERROR(__xludf.DUMMYFUNCTION("""COMPUTED_VALUE"""),70.89)</f>
        <v/>
      </c>
      <c r="D131" s="141">
        <f>IFERROR(__xludf.DUMMYFUNCTION("""COMPUTED_VALUE"""),71.32)</f>
        <v/>
      </c>
      <c r="E131" s="141">
        <f>IFERROR(__xludf.DUMMYFUNCTION("""COMPUTED_VALUE"""),70.81)</f>
        <v/>
      </c>
      <c r="F131" s="141">
        <f>IFERROR(__xludf.DUMMYFUNCTION("""COMPUTED_VALUE"""),71.25)</f>
        <v/>
      </c>
      <c r="G131" s="143">
        <f>IFERROR(__xludf.DUMMYFUNCTION("""COMPUTED_VALUE"""),24041467)</f>
        <v/>
      </c>
      <c r="H131" s="27" t="n"/>
    </row>
    <row r="132" ht="17.25" customHeight="1" s="322">
      <c r="A132" s="27" t="n"/>
      <c r="B132" s="506">
        <f>IFERROR(__xludf.DUMMYFUNCTION("""COMPUTED_VALUE"""),46204.6666666666)</f>
        <v/>
      </c>
      <c r="C132" s="141">
        <f>IFERROR(__xludf.DUMMYFUNCTION("""COMPUTED_VALUE"""),70.49)</f>
        <v/>
      </c>
      <c r="D132" s="141">
        <f>IFERROR(__xludf.DUMMYFUNCTION("""COMPUTED_VALUE"""),70.78)</f>
        <v/>
      </c>
      <c r="E132" s="141">
        <f>IFERROR(__xludf.DUMMYFUNCTION("""COMPUTED_VALUE"""),70.31)</f>
        <v/>
      </c>
      <c r="F132" s="141">
        <f>IFERROR(__xludf.DUMMYFUNCTION("""COMPUTED_VALUE"""),70.36)</f>
        <v/>
      </c>
      <c r="G132" s="143">
        <f>IFERROR(__xludf.DUMMYFUNCTION("""COMPUTED_VALUE"""),9515565)</f>
        <v/>
      </c>
      <c r="H132" s="27" t="n"/>
    </row>
    <row r="133" ht="17.25" customHeight="1" s="322">
      <c r="A133" s="27" t="n"/>
      <c r="B133" s="506">
        <f>IFERROR(__xludf.DUMMYFUNCTION("""COMPUTED_VALUE"""),46205.6666666666)</f>
        <v/>
      </c>
      <c r="C133" s="141">
        <f>IFERROR(__xludf.DUMMYFUNCTION("""COMPUTED_VALUE"""),71.1)</f>
        <v/>
      </c>
      <c r="D133" s="141">
        <f>IFERROR(__xludf.DUMMYFUNCTION("""COMPUTED_VALUE"""),71.57)</f>
        <v/>
      </c>
      <c r="E133" s="141">
        <f>IFERROR(__xludf.DUMMYFUNCTION("""COMPUTED_VALUE"""),70.17)</f>
        <v/>
      </c>
      <c r="F133" s="141">
        <f>IFERROR(__xludf.DUMMYFUNCTION("""COMPUTED_VALUE"""),70.81)</f>
        <v/>
      </c>
      <c r="G133" s="143">
        <f>IFERROR(__xludf.DUMMYFUNCTION("""COMPUTED_VALUE"""),17603157)</f>
        <v/>
      </c>
      <c r="H133" s="27" t="n"/>
    </row>
    <row r="134" ht="17.25" customHeight="1" s="322">
      <c r="A134" s="27" t="n"/>
      <c r="B134" s="506">
        <f>IFERROR(__xludf.DUMMYFUNCTION("""COMPUTED_VALUE"""),46209.6666666666)</f>
        <v/>
      </c>
      <c r="C134" s="141">
        <f>IFERROR(__xludf.DUMMYFUNCTION("""COMPUTED_VALUE"""),71.61)</f>
        <v/>
      </c>
      <c r="D134" s="141">
        <f>IFERROR(__xludf.DUMMYFUNCTION("""COMPUTED_VALUE"""),71.92)</f>
        <v/>
      </c>
      <c r="E134" s="141">
        <f>IFERROR(__xludf.DUMMYFUNCTION("""COMPUTED_VALUE"""),71.52)</f>
        <v/>
      </c>
      <c r="F134" s="141">
        <f>IFERROR(__xludf.DUMMYFUNCTION("""COMPUTED_VALUE"""),71.89)</f>
        <v/>
      </c>
      <c r="G134" s="143">
        <f>IFERROR(__xludf.DUMMYFUNCTION("""COMPUTED_VALUE"""),10960231)</f>
        <v/>
      </c>
      <c r="H134" s="27" t="n"/>
    </row>
    <row r="135" ht="17.25" customHeight="1" s="322">
      <c r="A135" s="27" t="n"/>
      <c r="B135" s="506">
        <f>IFERROR(__xludf.DUMMYFUNCTION("""COMPUTED_VALUE"""),46210.6666666666)</f>
        <v/>
      </c>
      <c r="C135" s="141">
        <f>IFERROR(__xludf.DUMMYFUNCTION("""COMPUTED_VALUE"""),71.23)</f>
        <v/>
      </c>
      <c r="D135" s="141">
        <f>IFERROR(__xludf.DUMMYFUNCTION("""COMPUTED_VALUE"""),71.38)</f>
        <v/>
      </c>
      <c r="E135" s="141">
        <f>IFERROR(__xludf.DUMMYFUNCTION("""COMPUTED_VALUE"""),70.53)</f>
        <v/>
      </c>
      <c r="F135" s="141">
        <f>IFERROR(__xludf.DUMMYFUNCTION("""COMPUTED_VALUE"""),70.78)</f>
        <v/>
      </c>
      <c r="G135" s="143">
        <f>IFERROR(__xludf.DUMMYFUNCTION("""COMPUTED_VALUE"""),8612961)</f>
        <v/>
      </c>
      <c r="H135" s="27" t="n"/>
    </row>
    <row r="136" ht="17.25" customHeight="1" s="322">
      <c r="A136" s="27" t="n"/>
      <c r="B136" s="506">
        <f>IFERROR(__xludf.DUMMYFUNCTION("""COMPUTED_VALUE"""),46211.6666666666)</f>
        <v/>
      </c>
      <c r="C136" s="141">
        <f>IFERROR(__xludf.DUMMYFUNCTION("""COMPUTED_VALUE"""),69.77)</f>
        <v/>
      </c>
      <c r="D136" s="141">
        <f>IFERROR(__xludf.DUMMYFUNCTION("""COMPUTED_VALUE"""),70.38)</f>
        <v/>
      </c>
      <c r="E136" s="141">
        <f>IFERROR(__xludf.DUMMYFUNCTION("""COMPUTED_VALUE"""),69.34)</f>
        <v/>
      </c>
      <c r="F136" s="141">
        <f>IFERROR(__xludf.DUMMYFUNCTION("""COMPUTED_VALUE"""),70.34)</f>
        <v/>
      </c>
      <c r="G136" s="143">
        <f>IFERROR(__xludf.DUMMYFUNCTION("""COMPUTED_VALUE"""),27524056)</f>
        <v/>
      </c>
      <c r="H136" s="27" t="n"/>
    </row>
    <row r="137" ht="17.25" customHeight="1" s="322">
      <c r="A137" s="27" t="n"/>
      <c r="B137" s="506">
        <f>IFERROR(__xludf.DUMMYFUNCTION("""COMPUTED_VALUE"""),46212.6666666666)</f>
        <v/>
      </c>
      <c r="C137" s="141">
        <f>IFERROR(__xludf.DUMMYFUNCTION("""COMPUTED_VALUE"""),70.6)</f>
        <v/>
      </c>
      <c r="D137" s="141">
        <f>IFERROR(__xludf.DUMMYFUNCTION("""COMPUTED_VALUE"""),70.93)</f>
        <v/>
      </c>
      <c r="E137" s="141">
        <f>IFERROR(__xludf.DUMMYFUNCTION("""COMPUTED_VALUE"""),70.48)</f>
        <v/>
      </c>
      <c r="F137" s="141">
        <f>IFERROR(__xludf.DUMMYFUNCTION("""COMPUTED_VALUE"""),70.73)</f>
        <v/>
      </c>
      <c r="G137" s="143">
        <f>IFERROR(__xludf.DUMMYFUNCTION("""COMPUTED_VALUE"""),12647827)</f>
        <v/>
      </c>
      <c r="H137" s="27" t="n"/>
    </row>
    <row r="138" ht="17.25" customHeight="1" s="322">
      <c r="A138" s="27" t="n"/>
      <c r="B138" s="506">
        <f>IFERROR(__xludf.DUMMYFUNCTION("""COMPUTED_VALUE"""),46213.6666666666)</f>
        <v/>
      </c>
      <c r="C138" s="141">
        <f>IFERROR(__xludf.DUMMYFUNCTION("""COMPUTED_VALUE"""),70.78)</f>
        <v/>
      </c>
      <c r="D138" s="141">
        <f>IFERROR(__xludf.DUMMYFUNCTION("""COMPUTED_VALUE"""),71.14)</f>
        <v/>
      </c>
      <c r="E138" s="141">
        <f>IFERROR(__xludf.DUMMYFUNCTION("""COMPUTED_VALUE"""),70.43)</f>
        <v/>
      </c>
      <c r="F138" s="141">
        <f>IFERROR(__xludf.DUMMYFUNCTION("""COMPUTED_VALUE"""),70.99)</f>
        <v/>
      </c>
      <c r="G138" s="143">
        <f>IFERROR(__xludf.DUMMYFUNCTION("""COMPUTED_VALUE"""),12687371)</f>
        <v/>
      </c>
      <c r="H138" s="27" t="n"/>
    </row>
    <row r="139" ht="17.25" customHeight="1" s="322">
      <c r="A139" s="27" t="n"/>
      <c r="B139" s="506">
        <f>IFERROR(__xludf.DUMMYFUNCTION("""COMPUTED_VALUE"""),46216.6666666666)</f>
        <v/>
      </c>
      <c r="C139" s="141">
        <f>IFERROR(__xludf.DUMMYFUNCTION("""COMPUTED_VALUE"""),70.18)</f>
        <v/>
      </c>
      <c r="D139" s="141">
        <f>IFERROR(__xludf.DUMMYFUNCTION("""COMPUTED_VALUE"""),70.32)</f>
        <v/>
      </c>
      <c r="E139" s="141">
        <f>IFERROR(__xludf.DUMMYFUNCTION("""COMPUTED_VALUE"""),69.64)</f>
        <v/>
      </c>
      <c r="F139" s="141">
        <f>IFERROR(__xludf.DUMMYFUNCTION("""COMPUTED_VALUE"""),69.76)</f>
        <v/>
      </c>
      <c r="G139" s="143">
        <f>IFERROR(__xludf.DUMMYFUNCTION("""COMPUTED_VALUE"""),9119216)</f>
        <v/>
      </c>
      <c r="H139" s="27" t="n"/>
    </row>
    <row r="140" ht="17.25" customHeight="1" s="322">
      <c r="A140" s="27" t="n"/>
      <c r="B140" s="506">
        <f>IFERROR(__xludf.DUMMYFUNCTION("""COMPUTED_VALUE"""),46217.6666666666)</f>
        <v/>
      </c>
      <c r="C140" s="141">
        <f>IFERROR(__xludf.DUMMYFUNCTION("""COMPUTED_VALUE"""),70.65)</f>
        <v/>
      </c>
      <c r="D140" s="141">
        <f>IFERROR(__xludf.DUMMYFUNCTION("""COMPUTED_VALUE"""),71.04)</f>
        <v/>
      </c>
      <c r="E140" s="141">
        <f>IFERROR(__xludf.DUMMYFUNCTION("""COMPUTED_VALUE"""),70.56)</f>
        <v/>
      </c>
      <c r="F140" s="141">
        <f>IFERROR(__xludf.DUMMYFUNCTION("""COMPUTED_VALUE"""),70.6)</f>
        <v/>
      </c>
      <c r="G140" s="143">
        <f>IFERROR(__xludf.DUMMYFUNCTION("""COMPUTED_VALUE"""),13284706)</f>
        <v/>
      </c>
      <c r="H140" s="27" t="n"/>
    </row>
    <row r="141" ht="17.25" customHeight="1" s="322">
      <c r="A141" s="27" t="n"/>
      <c r="B141" s="506">
        <f>IFERROR(__xludf.DUMMYFUNCTION("""COMPUTED_VALUE"""),46218.6666666666)</f>
        <v/>
      </c>
      <c r="C141" s="141">
        <f>IFERROR(__xludf.DUMMYFUNCTION("""COMPUTED_VALUE"""),70.82)</f>
        <v/>
      </c>
      <c r="D141" s="141">
        <f>IFERROR(__xludf.DUMMYFUNCTION("""COMPUTED_VALUE"""),70.94)</f>
        <v/>
      </c>
      <c r="E141" s="141">
        <f>IFERROR(__xludf.DUMMYFUNCTION("""COMPUTED_VALUE"""),70.15)</f>
        <v/>
      </c>
      <c r="F141" s="141">
        <f>IFERROR(__xludf.DUMMYFUNCTION("""COMPUTED_VALUE"""),70.82)</f>
        <v/>
      </c>
      <c r="G141" s="143">
        <f>IFERROR(__xludf.DUMMYFUNCTION("""COMPUTED_VALUE"""),9670259)</f>
        <v/>
      </c>
      <c r="H141" s="27" t="n"/>
    </row>
    <row r="142" ht="17.25" customHeight="1" s="322">
      <c r="A142" s="27" t="n"/>
      <c r="B142" s="506">
        <f>IFERROR(__xludf.DUMMYFUNCTION("""COMPUTED_VALUE"""),46219.6666666666)</f>
        <v/>
      </c>
      <c r="C142" s="141">
        <f>IFERROR(__xludf.DUMMYFUNCTION("""COMPUTED_VALUE"""),70.03)</f>
        <v/>
      </c>
      <c r="D142" s="141">
        <f>IFERROR(__xludf.DUMMYFUNCTION("""COMPUTED_VALUE"""),70.42)</f>
        <v/>
      </c>
      <c r="E142" s="141">
        <f>IFERROR(__xludf.DUMMYFUNCTION("""COMPUTED_VALUE"""),69.84)</f>
        <v/>
      </c>
      <c r="F142" s="141">
        <f>IFERROR(__xludf.DUMMYFUNCTION("""COMPUTED_VALUE"""),70.03)</f>
        <v/>
      </c>
      <c r="G142" s="143">
        <f>IFERROR(__xludf.DUMMYFUNCTION("""COMPUTED_VALUE"""),8242851)</f>
        <v/>
      </c>
      <c r="H142" s="27" t="n"/>
    </row>
    <row r="143" ht="17.25" customHeight="1" s="322">
      <c r="A143" s="27" t="n"/>
      <c r="B143" s="506">
        <f>IFERROR(__xludf.DUMMYFUNCTION("""COMPUTED_VALUE"""),46220.6666666666)</f>
        <v/>
      </c>
      <c r="C143" s="141">
        <f>IFERROR(__xludf.DUMMYFUNCTION("""COMPUTED_VALUE"""),69.13)</f>
        <v/>
      </c>
      <c r="D143" s="141">
        <f>IFERROR(__xludf.DUMMYFUNCTION("""COMPUTED_VALUE"""),69.97)</f>
        <v/>
      </c>
      <c r="E143" s="141">
        <f>IFERROR(__xludf.DUMMYFUNCTION("""COMPUTED_VALUE"""),68.97)</f>
        <v/>
      </c>
      <c r="F143" s="141">
        <f>IFERROR(__xludf.DUMMYFUNCTION("""COMPUTED_VALUE"""),69.7)</f>
        <v/>
      </c>
      <c r="G143" s="143">
        <f>IFERROR(__xludf.DUMMYFUNCTION("""COMPUTED_VALUE"""),11115498)</f>
        <v/>
      </c>
      <c r="H143" s="27" t="n"/>
    </row>
    <row r="144" ht="17.25" customHeight="1" s="322">
      <c r="A144" s="27" t="n"/>
      <c r="B144" s="506">
        <f>IFERROR(__xludf.DUMMYFUNCTION("""COMPUTED_VALUE"""),46223.6666666666)</f>
        <v/>
      </c>
      <c r="C144" s="141">
        <f>IFERROR(__xludf.DUMMYFUNCTION("""COMPUTED_VALUE"""),69.77)</f>
        <v/>
      </c>
      <c r="D144" s="141">
        <f>IFERROR(__xludf.DUMMYFUNCTION("""COMPUTED_VALUE"""),69.9)</f>
        <v/>
      </c>
      <c r="E144" s="141">
        <f>IFERROR(__xludf.DUMMYFUNCTION("""COMPUTED_VALUE"""),69.19)</f>
        <v/>
      </c>
      <c r="F144" s="141">
        <f>IFERROR(__xludf.DUMMYFUNCTION("""COMPUTED_VALUE"""),69.23)</f>
        <v/>
      </c>
      <c r="G144" s="143">
        <f>IFERROR(__xludf.DUMMYFUNCTION("""COMPUTED_VALUE"""),11088140)</f>
        <v/>
      </c>
      <c r="H144" s="27" t="n"/>
    </row>
    <row r="145" ht="17.25" customHeight="1" s="322">
      <c r="A145" s="27" t="n"/>
      <c r="B145" s="506">
        <f>IFERROR(__xludf.DUMMYFUNCTION("""COMPUTED_VALUE"""),46224.6666666666)</f>
        <v/>
      </c>
      <c r="C145" s="141">
        <f>IFERROR(__xludf.DUMMYFUNCTION("""COMPUTED_VALUE"""),69.98)</f>
        <v/>
      </c>
      <c r="D145" s="141">
        <f>IFERROR(__xludf.DUMMYFUNCTION("""COMPUTED_VALUE"""),70.55)</f>
        <v/>
      </c>
      <c r="E145" s="141">
        <f>IFERROR(__xludf.DUMMYFUNCTION("""COMPUTED_VALUE"""),69.73)</f>
        <v/>
      </c>
      <c r="F145" s="141">
        <f>IFERROR(__xludf.DUMMYFUNCTION("""COMPUTED_VALUE"""),70.47)</f>
        <v/>
      </c>
      <c r="G145" s="143">
        <f>IFERROR(__xludf.DUMMYFUNCTION("""COMPUTED_VALUE"""),7458376)</f>
        <v/>
      </c>
      <c r="H145" s="27" t="n"/>
    </row>
    <row r="146" ht="17.25" customHeight="1" s="322">
      <c r="A146" s="27" t="n"/>
      <c r="B146" s="506">
        <f>IFERROR(__xludf.DUMMYFUNCTION("""COMPUTED_VALUE"""),46225.6666666666)</f>
        <v/>
      </c>
      <c r="C146" s="141">
        <f>IFERROR(__xludf.DUMMYFUNCTION("""COMPUTED_VALUE"""),70.48)</f>
        <v/>
      </c>
      <c r="D146" s="141">
        <f>IFERROR(__xludf.DUMMYFUNCTION("""COMPUTED_VALUE"""),70.75)</f>
        <v/>
      </c>
      <c r="E146" s="141">
        <f>IFERROR(__xludf.DUMMYFUNCTION("""COMPUTED_VALUE"""),70.46)</f>
        <v/>
      </c>
      <c r="F146" s="141">
        <f>IFERROR(__xludf.DUMMYFUNCTION("""COMPUTED_VALUE"""),70.49)</f>
        <v/>
      </c>
      <c r="G146" s="143">
        <f>IFERROR(__xludf.DUMMYFUNCTION("""COMPUTED_VALUE"""),6017468)</f>
        <v/>
      </c>
      <c r="H146" s="27" t="n"/>
    </row>
    <row r="147" ht="17.25" customHeight="1" s="322">
      <c r="A147" s="27" t="n"/>
      <c r="B147" s="506">
        <f>IFERROR(__xludf.DUMMYFUNCTION("""COMPUTED_VALUE"""),46226.6666666666)</f>
        <v/>
      </c>
      <c r="C147" s="141">
        <f>IFERROR(__xludf.DUMMYFUNCTION("""COMPUTED_VALUE"""),69.71)</f>
        <v/>
      </c>
      <c r="D147" s="141">
        <f>IFERROR(__xludf.DUMMYFUNCTION("""COMPUTED_VALUE"""),70.09)</f>
        <v/>
      </c>
      <c r="E147" s="141">
        <f>IFERROR(__xludf.DUMMYFUNCTION("""COMPUTED_VALUE"""),69.41)</f>
        <v/>
      </c>
      <c r="F147" s="141">
        <f>IFERROR(__xludf.DUMMYFUNCTION("""COMPUTED_VALUE"""),69.78)</f>
        <v/>
      </c>
      <c r="G147" s="143">
        <f>IFERROR(__xludf.DUMMYFUNCTION("""COMPUTED_VALUE"""),9653720)</f>
        <v/>
      </c>
      <c r="H147" s="27" t="n"/>
    </row>
    <row r="148" ht="17.25" customHeight="1" s="322">
      <c r="A148" s="27" t="n"/>
      <c r="B148" s="506">
        <f>IFERROR(__xludf.DUMMYFUNCTION("""COMPUTED_VALUE"""),46227.6666666666)</f>
        <v/>
      </c>
      <c r="C148" s="141">
        <f>IFERROR(__xludf.DUMMYFUNCTION("""COMPUTED_VALUE"""),69.96)</f>
        <v/>
      </c>
      <c r="D148" s="141">
        <f>IFERROR(__xludf.DUMMYFUNCTION("""COMPUTED_VALUE"""),70.23)</f>
        <v/>
      </c>
      <c r="E148" s="141">
        <f>IFERROR(__xludf.DUMMYFUNCTION("""COMPUTED_VALUE"""),69.62)</f>
        <v/>
      </c>
      <c r="F148" s="141">
        <f>IFERROR(__xludf.DUMMYFUNCTION("""COMPUTED_VALUE"""),69.71)</f>
        <v/>
      </c>
      <c r="G148" s="143">
        <f>IFERROR(__xludf.DUMMYFUNCTION("""COMPUTED_VALUE"""),8584787)</f>
        <v/>
      </c>
      <c r="H148" s="27" t="n"/>
    </row>
    <row r="149" ht="17.25" customHeight="1" s="322">
      <c r="A149" s="27" t="n"/>
      <c r="B149" s="506">
        <f>IFERROR(__xludf.DUMMYFUNCTION("""COMPUTED_VALUE"""),46230.6666666666)</f>
        <v/>
      </c>
      <c r="C149" s="141">
        <f>IFERROR(__xludf.DUMMYFUNCTION("""COMPUTED_VALUE"""),70.45)</f>
        <v/>
      </c>
      <c r="D149" s="141">
        <f>IFERROR(__xludf.DUMMYFUNCTION("""COMPUTED_VALUE"""),70.53)</f>
        <v/>
      </c>
      <c r="E149" s="141">
        <f>IFERROR(__xludf.DUMMYFUNCTION("""COMPUTED_VALUE"""),69.56)</f>
        <v/>
      </c>
      <c r="F149" s="141">
        <f>IFERROR(__xludf.DUMMYFUNCTION("""COMPUTED_VALUE"""),70)</f>
        <v/>
      </c>
      <c r="G149" s="143">
        <f>IFERROR(__xludf.DUMMYFUNCTION("""COMPUTED_VALUE"""),6613534)</f>
        <v/>
      </c>
      <c r="H149" s="27" t="n"/>
    </row>
    <row r="150" ht="17.25" customHeight="1" s="322">
      <c r="A150" s="27" t="n"/>
      <c r="B150" s="506">
        <f>IFERROR(__xludf.DUMMYFUNCTION("""COMPUTED_VALUE"""),46231.6666666666)</f>
        <v/>
      </c>
      <c r="C150" s="141">
        <f>IFERROR(__xludf.DUMMYFUNCTION("""COMPUTED_VALUE"""),69.19)</f>
        <v/>
      </c>
      <c r="D150" s="141">
        <f>IFERROR(__xludf.DUMMYFUNCTION("""COMPUTED_VALUE"""),69.89)</f>
        <v/>
      </c>
      <c r="E150" s="141">
        <f>IFERROR(__xludf.DUMMYFUNCTION("""COMPUTED_VALUE"""),69.08)</f>
        <v/>
      </c>
      <c r="F150" s="141">
        <f>IFERROR(__xludf.DUMMYFUNCTION("""COMPUTED_VALUE"""),69.6)</f>
        <v/>
      </c>
      <c r="G150" s="143">
        <f>IFERROR(__xludf.DUMMYFUNCTION("""COMPUTED_VALUE"""),9064924)</f>
        <v/>
      </c>
      <c r="H150" s="27" t="n"/>
    </row>
    <row r="151" ht="17.25" customHeight="1" s="322">
      <c r="A151" s="27" t="n"/>
      <c r="B151" s="506">
        <f>IFERROR(__xludf.DUMMYFUNCTION("""COMPUTED_VALUE"""),46232.6666666666)</f>
        <v/>
      </c>
      <c r="C151" s="141">
        <f>IFERROR(__xludf.DUMMYFUNCTION("""COMPUTED_VALUE"""),69.42)</f>
        <v/>
      </c>
      <c r="D151" s="141">
        <f>IFERROR(__xludf.DUMMYFUNCTION("""COMPUTED_VALUE"""),70.19)</f>
        <v/>
      </c>
      <c r="E151" s="141">
        <f>IFERROR(__xludf.DUMMYFUNCTION("""COMPUTED_VALUE"""),68.66)</f>
        <v/>
      </c>
      <c r="F151" s="141">
        <f>IFERROR(__xludf.DUMMYFUNCTION("""COMPUTED_VALUE"""),68.95)</f>
        <v/>
      </c>
      <c r="G151" s="143">
        <f>IFERROR(__xludf.DUMMYFUNCTION("""COMPUTED_VALUE"""),13349067)</f>
        <v/>
      </c>
      <c r="H151" s="27" t="n"/>
    </row>
    <row r="152" ht="17.25" customHeight="1" s="322">
      <c r="A152" s="27" t="n"/>
      <c r="B152" s="506" t="n"/>
      <c r="C152" s="141" t="n"/>
      <c r="D152" s="141" t="n"/>
      <c r="E152" s="141" t="n"/>
      <c r="F152" s="141" t="n"/>
      <c r="G152" s="143" t="n"/>
      <c r="H152" s="27" t="n"/>
    </row>
    <row r="153" ht="17.25" customHeight="1" s="322">
      <c r="A153" s="27" t="n"/>
      <c r="B153" s="506" t="n"/>
      <c r="C153" s="141" t="n"/>
      <c r="D153" s="141" t="n"/>
      <c r="E153" s="141" t="n"/>
      <c r="F153" s="141" t="n"/>
      <c r="G153" s="143" t="n"/>
      <c r="H153" s="27" t="n"/>
    </row>
    <row r="154" ht="17.25" customHeight="1" s="322">
      <c r="A154" s="27" t="n"/>
      <c r="B154" s="506" t="n"/>
      <c r="C154" s="141" t="n"/>
      <c r="D154" s="141" t="n"/>
      <c r="E154" s="141" t="n"/>
      <c r="F154" s="141" t="n"/>
      <c r="G154" s="143" t="n"/>
      <c r="H154" s="27" t="n"/>
    </row>
    <row r="155" ht="17.25" customHeight="1" s="322">
      <c r="A155" s="27" t="n"/>
      <c r="B155" s="506" t="n"/>
      <c r="C155" s="141" t="n"/>
      <c r="D155" s="141" t="n"/>
      <c r="E155" s="141" t="n"/>
      <c r="F155" s="141" t="n"/>
      <c r="G155" s="143" t="n"/>
      <c r="H155" s="27" t="n"/>
    </row>
    <row r="156" ht="17.25" customHeight="1" s="322">
      <c r="A156" s="27" t="n"/>
      <c r="B156" s="506" t="n"/>
      <c r="C156" s="141" t="n"/>
      <c r="D156" s="141" t="n"/>
      <c r="E156" s="141" t="n"/>
      <c r="F156" s="141" t="n"/>
      <c r="G156" s="143" t="n"/>
      <c r="H156" s="27" t="n"/>
    </row>
    <row r="157" ht="17.25" customHeight="1" s="322">
      <c r="A157" s="27" t="n"/>
      <c r="B157" s="506" t="n"/>
      <c r="C157" s="141" t="n"/>
      <c r="D157" s="141" t="n"/>
      <c r="E157" s="141" t="n"/>
      <c r="F157" s="141" t="n"/>
      <c r="G157" s="143" t="n"/>
      <c r="H157" s="27" t="n"/>
    </row>
    <row r="158" ht="17.25" customHeight="1" s="322">
      <c r="A158" s="27" t="n"/>
      <c r="B158" s="506" t="n"/>
      <c r="C158" s="141" t="n"/>
      <c r="D158" s="141" t="n"/>
      <c r="E158" s="141" t="n"/>
      <c r="F158" s="141" t="n"/>
      <c r="G158" s="143" t="n"/>
      <c r="H158" s="27" t="n"/>
    </row>
    <row r="159" ht="17.25" customHeight="1" s="322">
      <c r="A159" s="27" t="n"/>
      <c r="B159" s="506" t="n"/>
      <c r="C159" s="141" t="n"/>
      <c r="D159" s="141" t="n"/>
      <c r="E159" s="141" t="n"/>
      <c r="F159" s="141" t="n"/>
      <c r="G159" s="143" t="n"/>
      <c r="H159" s="27" t="n"/>
    </row>
    <row r="160" ht="17.25" customHeight="1" s="322">
      <c r="A160" s="27" t="n"/>
      <c r="B160" s="506" t="n"/>
      <c r="C160" s="141" t="n"/>
      <c r="D160" s="141" t="n"/>
      <c r="E160" s="141" t="n"/>
      <c r="F160" s="141" t="n"/>
      <c r="G160" s="143" t="n"/>
      <c r="H160" s="27" t="n"/>
    </row>
    <row r="161" ht="17.25" customHeight="1" s="322">
      <c r="A161" s="27" t="n"/>
      <c r="B161" s="506" t="n"/>
      <c r="C161" s="141" t="n"/>
      <c r="D161" s="141" t="n"/>
      <c r="E161" s="141" t="n"/>
      <c r="F161" s="141" t="n"/>
      <c r="G161" s="143" t="n"/>
      <c r="H161" s="27" t="n"/>
    </row>
    <row r="162" ht="17.25" customHeight="1" s="322">
      <c r="A162" s="27" t="n"/>
      <c r="B162" s="506" t="n"/>
      <c r="C162" s="141" t="n"/>
      <c r="D162" s="141" t="n"/>
      <c r="E162" s="141" t="n"/>
      <c r="F162" s="141" t="n"/>
      <c r="G162" s="143" t="n"/>
      <c r="H162" s="27" t="n"/>
    </row>
    <row r="163" ht="17.25" customHeight="1" s="322">
      <c r="A163" s="27" t="n"/>
      <c r="B163" s="506" t="n"/>
      <c r="C163" s="141" t="n"/>
      <c r="D163" s="141" t="n"/>
      <c r="E163" s="141" t="n"/>
      <c r="F163" s="141" t="n"/>
      <c r="G163" s="143" t="n"/>
      <c r="H163" s="27" t="n"/>
    </row>
    <row r="164" ht="17.25" customHeight="1" s="322">
      <c r="A164" s="27" t="n"/>
      <c r="B164" s="506" t="n"/>
      <c r="C164" s="141" t="n"/>
      <c r="D164" s="141" t="n"/>
      <c r="E164" s="141" t="n"/>
      <c r="F164" s="141" t="n"/>
      <c r="G164" s="143" t="n"/>
      <c r="H164" s="27" t="n"/>
    </row>
    <row r="165" ht="17.25" customHeight="1" s="322">
      <c r="A165" s="27" t="n"/>
      <c r="B165" s="506" t="n"/>
      <c r="C165" s="141" t="n"/>
      <c r="D165" s="141" t="n"/>
      <c r="E165" s="141" t="n"/>
      <c r="F165" s="141" t="n"/>
      <c r="G165" s="143" t="n"/>
      <c r="H165" s="27" t="n"/>
    </row>
    <row r="166" ht="17.25" customHeight="1" s="322">
      <c r="A166" s="27" t="n"/>
      <c r="B166" s="506" t="n"/>
      <c r="C166" s="141" t="n"/>
      <c r="D166" s="141" t="n"/>
      <c r="E166" s="141" t="n"/>
      <c r="F166" s="141" t="n"/>
      <c r="G166" s="143" t="n"/>
      <c r="H166" s="27" t="n"/>
    </row>
    <row r="167" ht="17.25" customHeight="1" s="322">
      <c r="A167" s="27" t="n"/>
      <c r="B167" s="506" t="n"/>
      <c r="C167" s="141" t="n"/>
      <c r="D167" s="141" t="n"/>
      <c r="E167" s="141" t="n"/>
      <c r="F167" s="141" t="n"/>
      <c r="G167" s="143" t="n"/>
      <c r="H167" s="27" t="n"/>
    </row>
    <row r="168" ht="17.25" customHeight="1" s="322">
      <c r="A168" s="27" t="n"/>
      <c r="B168" s="506" t="n"/>
      <c r="C168" s="141" t="n"/>
      <c r="D168" s="141" t="n"/>
      <c r="E168" s="141" t="n"/>
      <c r="F168" s="141" t="n"/>
      <c r="G168" s="143" t="n"/>
      <c r="H168" s="27" t="n"/>
    </row>
    <row r="169" ht="17.25" customHeight="1" s="322">
      <c r="A169" s="27" t="n"/>
      <c r="B169" s="506" t="n"/>
      <c r="C169" s="141" t="n"/>
      <c r="D169" s="141" t="n"/>
      <c r="E169" s="141" t="n"/>
      <c r="F169" s="141" t="n"/>
      <c r="G169" s="143" t="n"/>
      <c r="H169" s="27" t="n"/>
    </row>
    <row r="170" ht="17.25" customHeight="1" s="322">
      <c r="A170" s="27" t="n"/>
      <c r="B170" s="506" t="n"/>
      <c r="C170" s="141" t="n"/>
      <c r="D170" s="141" t="n"/>
      <c r="E170" s="141" t="n"/>
      <c r="F170" s="141" t="n"/>
      <c r="G170" s="143" t="n"/>
      <c r="H170" s="27" t="n"/>
    </row>
    <row r="171" ht="17.25" customHeight="1" s="322">
      <c r="A171" s="27" t="n"/>
      <c r="B171" s="506" t="n"/>
      <c r="C171" s="141" t="n"/>
      <c r="D171" s="141" t="n"/>
      <c r="E171" s="141" t="n"/>
      <c r="F171" s="141" t="n"/>
      <c r="G171" s="143" t="n"/>
      <c r="H171" s="27" t="n"/>
    </row>
    <row r="172" ht="17.25" customHeight="1" s="322">
      <c r="A172" s="27" t="n"/>
      <c r="B172" s="506" t="n"/>
      <c r="C172" s="141" t="n"/>
      <c r="D172" s="141" t="n"/>
      <c r="E172" s="141" t="n"/>
      <c r="F172" s="141" t="n"/>
      <c r="G172" s="143" t="n"/>
      <c r="H172" s="27" t="n"/>
    </row>
    <row r="173" ht="17.25" customHeight="1" s="322">
      <c r="A173" s="27" t="n"/>
      <c r="B173" s="506" t="n"/>
      <c r="C173" s="141" t="n"/>
      <c r="D173" s="141" t="n"/>
      <c r="E173" s="141" t="n"/>
      <c r="F173" s="141" t="n"/>
      <c r="G173" s="143" t="n"/>
      <c r="H173" s="27" t="n"/>
    </row>
    <row r="174" ht="17.25" customHeight="1" s="322">
      <c r="A174" s="27" t="n"/>
      <c r="B174" s="506" t="n"/>
      <c r="C174" s="141" t="n"/>
      <c r="D174" s="141" t="n"/>
      <c r="E174" s="141" t="n"/>
      <c r="F174" s="141" t="n"/>
      <c r="G174" s="143" t="n"/>
      <c r="H174" s="27" t="n"/>
    </row>
    <row r="175" ht="17.25" customHeight="1" s="322">
      <c r="A175" s="27" t="n"/>
      <c r="B175" s="506" t="n"/>
      <c r="C175" s="141" t="n"/>
      <c r="D175" s="141" t="n"/>
      <c r="E175" s="141" t="n"/>
      <c r="F175" s="141" t="n"/>
      <c r="G175" s="143" t="n"/>
      <c r="H175" s="27" t="n"/>
    </row>
    <row r="176" ht="17.25" customHeight="1" s="322">
      <c r="A176" s="27" t="n"/>
      <c r="B176" s="506" t="n"/>
      <c r="C176" s="141" t="n"/>
      <c r="D176" s="141" t="n"/>
      <c r="E176" s="141" t="n"/>
      <c r="F176" s="141" t="n"/>
      <c r="G176" s="143" t="n"/>
      <c r="H176" s="27" t="n"/>
    </row>
    <row r="177" ht="17.25" customHeight="1" s="322">
      <c r="A177" s="27" t="n"/>
      <c r="B177" s="506" t="n"/>
      <c r="C177" s="141" t="n"/>
      <c r="D177" s="141" t="n"/>
      <c r="E177" s="141" t="n"/>
      <c r="F177" s="141" t="n"/>
      <c r="G177" s="143" t="n"/>
      <c r="H177" s="27" t="n"/>
    </row>
    <row r="178" ht="17.25" customHeight="1" s="322">
      <c r="A178" s="27" t="n"/>
      <c r="B178" s="506" t="n"/>
      <c r="C178" s="141" t="n"/>
      <c r="D178" s="141" t="n"/>
      <c r="E178" s="141" t="n"/>
      <c r="F178" s="141" t="n"/>
      <c r="G178" s="143" t="n"/>
      <c r="H178" s="27" t="n"/>
    </row>
    <row r="179" ht="17.25" customHeight="1" s="322">
      <c r="A179" s="27" t="n"/>
      <c r="B179" s="506" t="n"/>
      <c r="C179" s="141" t="n"/>
      <c r="D179" s="141" t="n"/>
      <c r="E179" s="141" t="n"/>
      <c r="F179" s="141" t="n"/>
      <c r="G179" s="143" t="n"/>
      <c r="H179" s="27" t="n"/>
    </row>
    <row r="180" ht="17.25" customHeight="1" s="322">
      <c r="A180" s="27" t="n"/>
      <c r="B180" s="506" t="n"/>
      <c r="C180" s="141" t="n"/>
      <c r="D180" s="141" t="n"/>
      <c r="E180" s="141" t="n"/>
      <c r="F180" s="141" t="n"/>
      <c r="G180" s="143" t="n"/>
      <c r="H180" s="27" t="n"/>
    </row>
    <row r="181" ht="17.25" customHeight="1" s="322">
      <c r="A181" s="27" t="n"/>
      <c r="B181" s="506" t="n"/>
      <c r="C181" s="141" t="n"/>
      <c r="D181" s="141" t="n"/>
      <c r="E181" s="141" t="n"/>
      <c r="F181" s="141" t="n"/>
      <c r="G181" s="143" t="n"/>
      <c r="H181" s="27" t="n"/>
    </row>
    <row r="182" ht="17.25" customHeight="1" s="322">
      <c r="A182" s="27" t="n"/>
      <c r="B182" s="506" t="n"/>
      <c r="C182" s="141" t="n"/>
      <c r="D182" s="141" t="n"/>
      <c r="E182" s="141" t="n"/>
      <c r="F182" s="141" t="n"/>
      <c r="G182" s="143" t="n"/>
      <c r="H182" s="27" t="n"/>
    </row>
    <row r="183" ht="17.25" customHeight="1" s="322">
      <c r="A183" s="27" t="n"/>
      <c r="B183" s="506" t="n"/>
      <c r="C183" s="141" t="n"/>
      <c r="D183" s="141" t="n"/>
      <c r="E183" s="141" t="n"/>
      <c r="F183" s="141" t="n"/>
      <c r="G183" s="143" t="n"/>
      <c r="H183" s="27" t="n"/>
    </row>
    <row r="184" ht="17.25" customHeight="1" s="322">
      <c r="A184" s="27" t="n"/>
      <c r="B184" s="506" t="n"/>
      <c r="C184" s="141" t="n"/>
      <c r="D184" s="141" t="n"/>
      <c r="E184" s="141" t="n"/>
      <c r="F184" s="141" t="n"/>
      <c r="G184" s="143" t="n"/>
      <c r="H184" s="27" t="n"/>
    </row>
    <row r="185" ht="17.25" customHeight="1" s="322">
      <c r="A185" s="27" t="n"/>
      <c r="B185" s="506" t="n"/>
      <c r="C185" s="141" t="n"/>
      <c r="D185" s="141" t="n"/>
      <c r="E185" s="141" t="n"/>
      <c r="F185" s="141" t="n"/>
      <c r="G185" s="143" t="n"/>
      <c r="H185" s="27" t="n"/>
    </row>
    <row r="186" ht="17.25" customHeight="1" s="322">
      <c r="A186" s="27" t="n"/>
      <c r="B186" s="506" t="n"/>
      <c r="C186" s="141" t="n"/>
      <c r="D186" s="141" t="n"/>
      <c r="E186" s="141" t="n"/>
      <c r="F186" s="141" t="n"/>
      <c r="G186" s="143" t="n"/>
      <c r="H186" s="27" t="n"/>
    </row>
    <row r="187" ht="17.25" customHeight="1" s="322">
      <c r="A187" s="27" t="n"/>
      <c r="B187" s="506" t="n"/>
      <c r="C187" s="141" t="n"/>
      <c r="D187" s="141" t="n"/>
      <c r="E187" s="141" t="n"/>
      <c r="F187" s="141" t="n"/>
      <c r="G187" s="143" t="n"/>
      <c r="H187" s="27" t="n"/>
    </row>
    <row r="188" ht="17.25" customHeight="1" s="322">
      <c r="A188" s="27" t="n"/>
      <c r="B188" s="506" t="n"/>
      <c r="C188" s="141" t="n"/>
      <c r="D188" s="141" t="n"/>
      <c r="E188" s="141" t="n"/>
      <c r="F188" s="141" t="n"/>
      <c r="G188" s="143" t="n"/>
      <c r="H188" s="27" t="n"/>
    </row>
    <row r="189" ht="17.25" customHeight="1" s="322">
      <c r="A189" s="27" t="n"/>
      <c r="B189" s="506" t="n"/>
      <c r="C189" s="141" t="n"/>
      <c r="D189" s="141" t="n"/>
      <c r="E189" s="141" t="n"/>
      <c r="F189" s="141" t="n"/>
      <c r="G189" s="143" t="n"/>
      <c r="H189" s="27" t="n"/>
    </row>
    <row r="190" ht="17.25" customHeight="1" s="322">
      <c r="A190" s="27" t="n"/>
      <c r="B190" s="506" t="n"/>
      <c r="C190" s="141" t="n"/>
      <c r="D190" s="141" t="n"/>
      <c r="E190" s="141" t="n"/>
      <c r="F190" s="141" t="n"/>
      <c r="G190" s="143" t="n"/>
      <c r="H190" s="27" t="n"/>
    </row>
    <row r="191" ht="17.25" customHeight="1" s="322">
      <c r="A191" s="27" t="n"/>
      <c r="B191" s="506" t="n"/>
      <c r="C191" s="141" t="n"/>
      <c r="D191" s="141" t="n"/>
      <c r="E191" s="141" t="n"/>
      <c r="F191" s="141" t="n"/>
      <c r="G191" s="143" t="n"/>
      <c r="H191" s="27" t="n"/>
    </row>
    <row r="192" ht="17.25" customHeight="1" s="322">
      <c r="A192" s="27" t="n"/>
      <c r="B192" s="506" t="n"/>
      <c r="C192" s="141" t="n"/>
      <c r="D192" s="141" t="n"/>
      <c r="E192" s="141" t="n"/>
      <c r="F192" s="141" t="n"/>
      <c r="G192" s="143" t="n"/>
      <c r="H192" s="27" t="n"/>
    </row>
    <row r="193" ht="17.25" customHeight="1" s="322">
      <c r="A193" s="27" t="n"/>
      <c r="B193" s="506" t="n"/>
      <c r="C193" s="141" t="n"/>
      <c r="D193" s="141" t="n"/>
      <c r="E193" s="141" t="n"/>
      <c r="F193" s="141" t="n"/>
      <c r="G193" s="143" t="n"/>
      <c r="H193" s="27" t="n"/>
    </row>
    <row r="194" ht="17.25" customHeight="1" s="322">
      <c r="A194" s="27" t="n"/>
      <c r="B194" s="506" t="n"/>
      <c r="C194" s="141" t="n"/>
      <c r="D194" s="141" t="n"/>
      <c r="E194" s="141" t="n"/>
      <c r="F194" s="141" t="n"/>
      <c r="G194" s="143" t="n"/>
      <c r="H194" s="27" t="n"/>
    </row>
    <row r="195" ht="17.25" customHeight="1" s="322">
      <c r="A195" s="27" t="n"/>
      <c r="B195" s="506" t="n"/>
      <c r="C195" s="141" t="n"/>
      <c r="D195" s="141" t="n"/>
      <c r="E195" s="141" t="n"/>
      <c r="F195" s="141" t="n"/>
      <c r="G195" s="143" t="n"/>
      <c r="H195" s="27" t="n"/>
    </row>
    <row r="196" ht="17.25" customHeight="1" s="322">
      <c r="A196" s="27" t="n"/>
      <c r="B196" s="506" t="n"/>
      <c r="C196" s="141" t="n"/>
      <c r="D196" s="141" t="n"/>
      <c r="E196" s="141" t="n"/>
      <c r="F196" s="141" t="n"/>
      <c r="G196" s="143" t="n"/>
      <c r="H196" s="27" t="n"/>
    </row>
    <row r="197" ht="17.25" customHeight="1" s="322">
      <c r="A197" s="27" t="n"/>
      <c r="B197" s="506" t="n"/>
      <c r="C197" s="141" t="n"/>
      <c r="D197" s="141" t="n"/>
      <c r="E197" s="141" t="n"/>
      <c r="F197" s="141" t="n"/>
      <c r="G197" s="143" t="n"/>
      <c r="H197" s="27" t="n"/>
    </row>
    <row r="198" ht="17.25" customHeight="1" s="322">
      <c r="A198" s="27" t="n"/>
      <c r="B198" s="506" t="n"/>
      <c r="C198" s="141" t="n"/>
      <c r="D198" s="141" t="n"/>
      <c r="E198" s="141" t="n"/>
      <c r="F198" s="141" t="n"/>
      <c r="G198" s="143" t="n"/>
      <c r="H198" s="27" t="n"/>
    </row>
    <row r="199" ht="17.25" customHeight="1" s="322">
      <c r="A199" s="27" t="n"/>
      <c r="B199" s="506" t="n"/>
      <c r="C199" s="141" t="n"/>
      <c r="D199" s="141" t="n"/>
      <c r="E199" s="141" t="n"/>
      <c r="F199" s="141" t="n"/>
      <c r="G199" s="143" t="n"/>
      <c r="H199" s="27" t="n"/>
    </row>
    <row r="200" ht="17.25" customHeight="1" s="322">
      <c r="A200" s="27" t="n"/>
      <c r="B200" s="506" t="n"/>
      <c r="C200" s="141" t="n"/>
      <c r="D200" s="141" t="n"/>
      <c r="E200" s="141" t="n"/>
      <c r="F200" s="141" t="n"/>
      <c r="G200" s="143" t="n"/>
      <c r="H200" s="27" t="n"/>
    </row>
    <row r="201" ht="17.25" customHeight="1" s="322">
      <c r="A201" s="27" t="n"/>
      <c r="B201" s="506" t="n"/>
      <c r="C201" s="141" t="n"/>
      <c r="D201" s="141" t="n"/>
      <c r="E201" s="141" t="n"/>
      <c r="F201" s="141" t="n"/>
      <c r="G201" s="143" t="n"/>
      <c r="H201" s="27" t="n"/>
    </row>
    <row r="202" ht="17.25" customHeight="1" s="322">
      <c r="A202" s="27" t="n"/>
      <c r="B202" s="506" t="n"/>
      <c r="C202" s="141" t="n"/>
      <c r="D202" s="141" t="n"/>
      <c r="E202" s="141" t="n"/>
      <c r="F202" s="141" t="n"/>
      <c r="G202" s="143" t="n"/>
      <c r="H202" s="27" t="n"/>
    </row>
    <row r="203" ht="17.25" customHeight="1" s="322">
      <c r="A203" s="27" t="n"/>
      <c r="B203" s="506" t="n"/>
      <c r="C203" s="141" t="n"/>
      <c r="D203" s="141" t="n"/>
      <c r="E203" s="141" t="n"/>
      <c r="F203" s="141" t="n"/>
      <c r="G203" s="143" t="n"/>
      <c r="H203" s="27" t="n"/>
    </row>
    <row r="204" ht="17.25" customHeight="1" s="322">
      <c r="A204" s="27" t="n"/>
      <c r="B204" s="506" t="n"/>
      <c r="C204" s="141" t="n"/>
      <c r="D204" s="141" t="n"/>
      <c r="E204" s="141" t="n"/>
      <c r="F204" s="141" t="n"/>
      <c r="G204" s="143" t="n"/>
      <c r="H204" s="27" t="n"/>
    </row>
    <row r="205" ht="17.25" customHeight="1" s="322">
      <c r="A205" s="27" t="n"/>
      <c r="B205" s="506" t="n"/>
      <c r="C205" s="141" t="n"/>
      <c r="D205" s="141" t="n"/>
      <c r="E205" s="141" t="n"/>
      <c r="F205" s="141" t="n"/>
      <c r="G205" s="143" t="n"/>
      <c r="H205" s="27" t="n"/>
    </row>
    <row r="206" ht="17.25" customHeight="1" s="322">
      <c r="A206" s="27" t="n"/>
      <c r="B206" s="506" t="n"/>
      <c r="C206" s="141" t="n"/>
      <c r="D206" s="141" t="n"/>
      <c r="E206" s="141" t="n"/>
      <c r="F206" s="141" t="n"/>
      <c r="G206" s="143" t="n"/>
      <c r="H206" s="27" t="n"/>
    </row>
    <row r="207" ht="17.25" customHeight="1" s="322">
      <c r="A207" s="27" t="n"/>
      <c r="B207" s="506" t="n"/>
      <c r="C207" s="141" t="n"/>
      <c r="D207" s="141" t="n"/>
      <c r="E207" s="141" t="n"/>
      <c r="F207" s="141" t="n"/>
      <c r="G207" s="143" t="n"/>
      <c r="H207" s="27" t="n"/>
    </row>
    <row r="208" ht="17.25" customHeight="1" s="322">
      <c r="A208" s="27" t="n"/>
      <c r="B208" s="506" t="n"/>
      <c r="C208" s="141" t="n"/>
      <c r="D208" s="141" t="n"/>
      <c r="E208" s="141" t="n"/>
      <c r="F208" s="141" t="n"/>
      <c r="G208" s="143" t="n"/>
      <c r="H208" s="27" t="n"/>
    </row>
    <row r="209" ht="17.25" customHeight="1" s="322">
      <c r="A209" s="27" t="n"/>
      <c r="B209" s="506" t="n"/>
      <c r="C209" s="141" t="n"/>
      <c r="D209" s="141" t="n"/>
      <c r="E209" s="141" t="n"/>
      <c r="F209" s="141" t="n"/>
      <c r="G209" s="143" t="n"/>
      <c r="H209" s="27" t="n"/>
    </row>
    <row r="210" ht="17.25" customHeight="1" s="322">
      <c r="A210" s="27" t="n"/>
      <c r="B210" s="506" t="n"/>
      <c r="C210" s="141" t="n"/>
      <c r="D210" s="141" t="n"/>
      <c r="E210" s="141" t="n"/>
      <c r="F210" s="141" t="n"/>
      <c r="G210" s="143" t="n"/>
      <c r="H210" s="27" t="n"/>
    </row>
    <row r="211" ht="17.25" customHeight="1" s="322">
      <c r="A211" s="27" t="n"/>
      <c r="B211" s="506" t="n"/>
      <c r="C211" s="141" t="n"/>
      <c r="D211" s="141" t="n"/>
      <c r="E211" s="141" t="n"/>
      <c r="F211" s="141" t="n"/>
      <c r="G211" s="143" t="n"/>
      <c r="H211" s="27" t="n"/>
    </row>
    <row r="212" ht="17.25" customHeight="1" s="322">
      <c r="A212" s="27" t="n"/>
      <c r="B212" s="506" t="n"/>
      <c r="C212" s="141" t="n"/>
      <c r="D212" s="141" t="n"/>
      <c r="E212" s="141" t="n"/>
      <c r="F212" s="141" t="n"/>
      <c r="G212" s="143" t="n"/>
      <c r="H212" s="27" t="n"/>
    </row>
    <row r="213" ht="17.25" customHeight="1" s="322">
      <c r="A213" s="27" t="n"/>
      <c r="B213" s="506" t="n"/>
      <c r="C213" s="141" t="n"/>
      <c r="D213" s="141" t="n"/>
      <c r="E213" s="141" t="n"/>
      <c r="F213" s="141" t="n"/>
      <c r="G213" s="143" t="n"/>
      <c r="H213" s="27" t="n"/>
    </row>
    <row r="214" ht="17.25" customHeight="1" s="322">
      <c r="A214" s="27" t="n"/>
      <c r="B214" s="506" t="n"/>
      <c r="C214" s="141" t="n"/>
      <c r="D214" s="141" t="n"/>
      <c r="E214" s="141" t="n"/>
      <c r="F214" s="141" t="n"/>
      <c r="G214" s="143" t="n"/>
      <c r="H214" s="27" t="n"/>
    </row>
    <row r="215" ht="17.25" customHeight="1" s="322">
      <c r="A215" s="27" t="n"/>
      <c r="B215" s="506" t="n"/>
      <c r="C215" s="141" t="n"/>
      <c r="D215" s="141" t="n"/>
      <c r="E215" s="141" t="n"/>
      <c r="F215" s="141" t="n"/>
      <c r="G215" s="143" t="n"/>
      <c r="H215" s="27" t="n"/>
    </row>
    <row r="216" ht="17.25" customHeight="1" s="322">
      <c r="A216" s="27" t="n"/>
      <c r="B216" s="506" t="n"/>
      <c r="C216" s="141" t="n"/>
      <c r="D216" s="141" t="n"/>
      <c r="E216" s="141" t="n"/>
      <c r="F216" s="141" t="n"/>
      <c r="G216" s="143" t="n"/>
      <c r="H216" s="27" t="n"/>
    </row>
    <row r="217" ht="17.25" customHeight="1" s="322">
      <c r="A217" s="27" t="n"/>
      <c r="B217" s="506" t="n"/>
      <c r="C217" s="141" t="n"/>
      <c r="D217" s="141" t="n"/>
      <c r="E217" s="141" t="n"/>
      <c r="F217" s="141" t="n"/>
      <c r="G217" s="143" t="n"/>
      <c r="H217" s="27" t="n"/>
    </row>
    <row r="218" ht="17.25" customHeight="1" s="322">
      <c r="A218" s="27" t="n"/>
      <c r="B218" s="506" t="n"/>
      <c r="C218" s="141" t="n"/>
      <c r="D218" s="141" t="n"/>
      <c r="E218" s="141" t="n"/>
      <c r="F218" s="141" t="n"/>
      <c r="G218" s="143" t="n"/>
      <c r="H218" s="27" t="n"/>
    </row>
    <row r="219" ht="17.25" customHeight="1" s="322">
      <c r="A219" s="27" t="n"/>
      <c r="B219" s="506" t="n"/>
      <c r="C219" s="141" t="n"/>
      <c r="D219" s="141" t="n"/>
      <c r="E219" s="141" t="n"/>
      <c r="F219" s="141" t="n"/>
      <c r="G219" s="143" t="n"/>
      <c r="H219" s="27" t="n"/>
    </row>
    <row r="220" ht="17.25" customHeight="1" s="322">
      <c r="A220" s="27" t="n"/>
      <c r="B220" s="506" t="n"/>
      <c r="C220" s="141" t="n"/>
      <c r="D220" s="141" t="n"/>
      <c r="E220" s="141" t="n"/>
      <c r="F220" s="141" t="n"/>
      <c r="G220" s="143" t="n"/>
      <c r="H220" s="27" t="n"/>
    </row>
    <row r="221" ht="17.25" customHeight="1" s="322">
      <c r="A221" s="27" t="n"/>
      <c r="B221" s="506" t="n"/>
      <c r="C221" s="141" t="n"/>
      <c r="D221" s="141" t="n"/>
      <c r="E221" s="141" t="n"/>
      <c r="F221" s="141" t="n"/>
      <c r="G221" s="143" t="n"/>
      <c r="H221" s="27" t="n"/>
    </row>
    <row r="222" ht="17.25" customHeight="1" s="322">
      <c r="A222" s="27" t="n"/>
      <c r="B222" s="506" t="n"/>
      <c r="C222" s="141" t="n"/>
      <c r="D222" s="141" t="n"/>
      <c r="E222" s="141" t="n"/>
      <c r="F222" s="141" t="n"/>
      <c r="G222" s="143" t="n"/>
      <c r="H222" s="27" t="n"/>
    </row>
    <row r="223" ht="17.25" customHeight="1" s="322">
      <c r="A223" s="27" t="n"/>
      <c r="B223" s="506" t="n"/>
      <c r="C223" s="141" t="n"/>
      <c r="D223" s="141" t="n"/>
      <c r="E223" s="141" t="n"/>
      <c r="F223" s="141" t="n"/>
      <c r="G223" s="143" t="n"/>
      <c r="H223" s="27" t="n"/>
    </row>
    <row r="224" ht="17.25" customHeight="1" s="322">
      <c r="A224" s="27" t="n"/>
      <c r="B224" s="506" t="n"/>
      <c r="C224" s="141" t="n"/>
      <c r="D224" s="141" t="n"/>
      <c r="E224" s="141" t="n"/>
      <c r="F224" s="141" t="n"/>
      <c r="G224" s="143" t="n"/>
      <c r="H224" s="27" t="n"/>
    </row>
    <row r="225" ht="17.25" customHeight="1" s="322">
      <c r="A225" s="27" t="n"/>
      <c r="B225" s="506" t="n"/>
      <c r="C225" s="141" t="n"/>
      <c r="D225" s="141" t="n"/>
      <c r="E225" s="141" t="n"/>
      <c r="F225" s="141" t="n"/>
      <c r="G225" s="143" t="n"/>
      <c r="H225" s="27" t="n"/>
    </row>
    <row r="226" ht="17.25" customHeight="1" s="322">
      <c r="A226" s="27" t="n"/>
      <c r="B226" s="506" t="n"/>
      <c r="C226" s="141" t="n"/>
      <c r="D226" s="141" t="n"/>
      <c r="E226" s="141" t="n"/>
      <c r="F226" s="141" t="n"/>
      <c r="G226" s="143" t="n"/>
      <c r="H226" s="27" t="n"/>
    </row>
    <row r="227" ht="17.25" customHeight="1" s="322">
      <c r="A227" s="27" t="n"/>
      <c r="B227" s="506" t="n"/>
      <c r="C227" s="141" t="n"/>
      <c r="D227" s="141" t="n"/>
      <c r="E227" s="141" t="n"/>
      <c r="F227" s="141" t="n"/>
      <c r="G227" s="143" t="n"/>
      <c r="H227" s="27" t="n"/>
    </row>
    <row r="228" ht="17.25" customHeight="1" s="322">
      <c r="A228" s="27" t="n"/>
      <c r="B228" s="506" t="n"/>
      <c r="C228" s="141" t="n"/>
      <c r="D228" s="141" t="n"/>
      <c r="E228" s="141" t="n"/>
      <c r="F228" s="141" t="n"/>
      <c r="G228" s="143" t="n"/>
      <c r="H228" s="27" t="n"/>
    </row>
    <row r="229" ht="17.25" customHeight="1" s="322">
      <c r="A229" s="27" t="n"/>
      <c r="B229" s="506" t="n"/>
      <c r="C229" s="141" t="n"/>
      <c r="D229" s="141" t="n"/>
      <c r="E229" s="141" t="n"/>
      <c r="F229" s="141" t="n"/>
      <c r="G229" s="143" t="n"/>
      <c r="H229" s="27" t="n"/>
    </row>
    <row r="230" ht="17.25" customHeight="1" s="322">
      <c r="A230" s="27" t="n"/>
      <c r="B230" s="506" t="n"/>
      <c r="C230" s="141" t="n"/>
      <c r="D230" s="141" t="n"/>
      <c r="E230" s="141" t="n"/>
      <c r="F230" s="141" t="n"/>
      <c r="G230" s="143" t="n"/>
      <c r="H230" s="27" t="n"/>
    </row>
    <row r="231" ht="17.25" customHeight="1" s="322">
      <c r="A231" s="27" t="n"/>
      <c r="B231" s="506" t="n"/>
      <c r="C231" s="141" t="n"/>
      <c r="D231" s="141" t="n"/>
      <c r="E231" s="141" t="n"/>
      <c r="F231" s="141" t="n"/>
      <c r="G231" s="143" t="n"/>
      <c r="H231" s="27" t="n"/>
    </row>
    <row r="232" ht="17.25" customHeight="1" s="322">
      <c r="A232" s="27" t="n"/>
      <c r="B232" s="506" t="n"/>
      <c r="C232" s="141" t="n"/>
      <c r="D232" s="141" t="n"/>
      <c r="E232" s="141" t="n"/>
      <c r="F232" s="141" t="n"/>
      <c r="G232" s="143" t="n"/>
      <c r="H232" s="27" t="n"/>
    </row>
    <row r="233" ht="17.25" customHeight="1" s="322">
      <c r="A233" s="27" t="n"/>
      <c r="B233" s="506" t="n"/>
      <c r="C233" s="141" t="n"/>
      <c r="D233" s="141" t="n"/>
      <c r="E233" s="141" t="n"/>
      <c r="F233" s="141" t="n"/>
      <c r="G233" s="143" t="n"/>
      <c r="H233" s="27" t="n"/>
    </row>
    <row r="234" ht="17.25" customHeight="1" s="322">
      <c r="A234" s="27" t="n"/>
      <c r="B234" s="506" t="n"/>
      <c r="C234" s="141" t="n"/>
      <c r="D234" s="141" t="n"/>
      <c r="E234" s="141" t="n"/>
      <c r="F234" s="141" t="n"/>
      <c r="G234" s="143" t="n"/>
      <c r="H234" s="27" t="n"/>
    </row>
    <row r="235" ht="17.25" customHeight="1" s="322">
      <c r="A235" s="27" t="n"/>
      <c r="B235" s="506" t="n"/>
      <c r="C235" s="141" t="n"/>
      <c r="D235" s="141" t="n"/>
      <c r="E235" s="141" t="n"/>
      <c r="F235" s="141" t="n"/>
      <c r="G235" s="143" t="n"/>
      <c r="H235" s="27" t="n"/>
    </row>
    <row r="236" ht="17.25" customHeight="1" s="322">
      <c r="A236" s="27" t="n"/>
      <c r="B236" s="506" t="n"/>
      <c r="C236" s="141" t="n"/>
      <c r="D236" s="141" t="n"/>
      <c r="E236" s="141" t="n"/>
      <c r="F236" s="141" t="n"/>
      <c r="G236" s="143" t="n"/>
      <c r="H236" s="27" t="n"/>
    </row>
    <row r="237" ht="17.25" customHeight="1" s="322">
      <c r="A237" s="27" t="n"/>
      <c r="B237" s="506" t="n"/>
      <c r="C237" s="141" t="n"/>
      <c r="D237" s="141" t="n"/>
      <c r="E237" s="141" t="n"/>
      <c r="F237" s="141" t="n"/>
      <c r="G237" s="143" t="n"/>
      <c r="H237" s="27" t="n"/>
    </row>
    <row r="238" ht="17.25" customHeight="1" s="322">
      <c r="A238" s="27" t="n"/>
      <c r="B238" s="506" t="n"/>
      <c r="C238" s="141" t="n"/>
      <c r="D238" s="141" t="n"/>
      <c r="E238" s="141" t="n"/>
      <c r="F238" s="141" t="n"/>
      <c r="G238" s="143" t="n"/>
      <c r="H238" s="27" t="n"/>
    </row>
    <row r="239" ht="17.25" customHeight="1" s="322">
      <c r="A239" s="27" t="n"/>
      <c r="B239" s="506" t="n"/>
      <c r="C239" s="141" t="n"/>
      <c r="D239" s="141" t="n"/>
      <c r="E239" s="141" t="n"/>
      <c r="F239" s="141" t="n"/>
      <c r="G239" s="143" t="n"/>
      <c r="H239" s="27" t="n"/>
    </row>
    <row r="240" ht="17.25" customHeight="1" s="322">
      <c r="A240" s="27" t="n"/>
      <c r="B240" s="506" t="n"/>
      <c r="C240" s="141" t="n"/>
      <c r="D240" s="141" t="n"/>
      <c r="E240" s="141" t="n"/>
      <c r="F240" s="141" t="n"/>
      <c r="G240" s="143" t="n"/>
      <c r="H240" s="27" t="n"/>
    </row>
    <row r="241" ht="17.25" customHeight="1" s="322">
      <c r="A241" s="27" t="n"/>
      <c r="B241" s="506" t="n"/>
      <c r="C241" s="141" t="n"/>
      <c r="D241" s="141" t="n"/>
      <c r="E241" s="141" t="n"/>
      <c r="F241" s="141" t="n"/>
      <c r="G241" s="143" t="n"/>
      <c r="H241" s="27" t="n"/>
    </row>
    <row r="242" ht="17.25" customHeight="1" s="322">
      <c r="A242" s="27" t="n"/>
      <c r="B242" s="506" t="n"/>
      <c r="C242" s="141" t="n"/>
      <c r="D242" s="141" t="n"/>
      <c r="E242" s="141" t="n"/>
      <c r="F242" s="141" t="n"/>
      <c r="G242" s="143" t="n"/>
      <c r="H242" s="27" t="n"/>
    </row>
    <row r="243" ht="17.25" customHeight="1" s="322">
      <c r="A243" s="27" t="n"/>
      <c r="B243" s="506" t="n"/>
      <c r="C243" s="141" t="n"/>
      <c r="D243" s="141" t="n"/>
      <c r="E243" s="141" t="n"/>
      <c r="F243" s="141" t="n"/>
      <c r="G243" s="143" t="n"/>
      <c r="H243" s="27" t="n"/>
    </row>
    <row r="244" ht="17.25" customHeight="1" s="322">
      <c r="A244" s="27" t="n"/>
      <c r="B244" s="506" t="n"/>
      <c r="C244" s="141" t="n"/>
      <c r="D244" s="141" t="n"/>
      <c r="E244" s="141" t="n"/>
      <c r="F244" s="141" t="n"/>
      <c r="G244" s="143" t="n"/>
      <c r="H244" s="27" t="n"/>
    </row>
    <row r="245" ht="17.25" customHeight="1" s="322">
      <c r="A245" s="27" t="n"/>
      <c r="B245" s="506" t="n"/>
      <c r="C245" s="141" t="n"/>
      <c r="D245" s="141" t="n"/>
      <c r="E245" s="141" t="n"/>
      <c r="F245" s="141" t="n"/>
      <c r="G245" s="143" t="n"/>
      <c r="H245" s="27" t="n"/>
    </row>
    <row r="246" ht="17.25" customHeight="1" s="322">
      <c r="A246" s="27" t="n"/>
      <c r="B246" s="506" t="n"/>
      <c r="C246" s="141" t="n"/>
      <c r="D246" s="141" t="n"/>
      <c r="E246" s="141" t="n"/>
      <c r="F246" s="141" t="n"/>
      <c r="G246" s="143" t="n"/>
      <c r="H246" s="27" t="n"/>
    </row>
    <row r="247" ht="17.25" customHeight="1" s="322">
      <c r="A247" s="27" t="n"/>
      <c r="B247" s="506" t="n"/>
      <c r="C247" s="141" t="n"/>
      <c r="D247" s="141" t="n"/>
      <c r="E247" s="141" t="n"/>
      <c r="F247" s="141" t="n"/>
      <c r="G247" s="143" t="n"/>
      <c r="H247" s="27" t="n"/>
    </row>
    <row r="248" ht="17.25" customHeight="1" s="322">
      <c r="A248" s="27" t="n"/>
      <c r="B248" s="506" t="n"/>
      <c r="C248" s="141" t="n"/>
      <c r="D248" s="141" t="n"/>
      <c r="E248" s="141" t="n"/>
      <c r="F248" s="141" t="n"/>
      <c r="G248" s="143" t="n"/>
      <c r="H248" s="27" t="n"/>
    </row>
    <row r="249" ht="17.25" customHeight="1" s="322">
      <c r="A249" s="27" t="n"/>
      <c r="B249" s="506" t="n"/>
      <c r="C249" s="141" t="n"/>
      <c r="D249" s="141" t="n"/>
      <c r="E249" s="141" t="n"/>
      <c r="F249" s="141" t="n"/>
      <c r="G249" s="143" t="n"/>
      <c r="H249" s="27" t="n"/>
    </row>
    <row r="250" ht="17.25" customHeight="1" s="322">
      <c r="A250" s="27" t="n"/>
      <c r="B250" s="506" t="n"/>
      <c r="C250" s="141" t="n"/>
      <c r="D250" s="141" t="n"/>
      <c r="E250" s="141" t="n"/>
      <c r="F250" s="141" t="n"/>
      <c r="G250" s="143" t="n"/>
      <c r="H250" s="27" t="n"/>
    </row>
    <row r="251" ht="17.25" customHeight="1" s="322">
      <c r="A251" s="27" t="n"/>
      <c r="B251" s="506" t="n"/>
      <c r="C251" s="141" t="n"/>
      <c r="D251" s="141" t="n"/>
      <c r="E251" s="141" t="n"/>
      <c r="F251" s="141" t="n"/>
      <c r="G251" s="143" t="n"/>
      <c r="H251" s="27" t="n"/>
    </row>
    <row r="252" ht="17.25" customHeight="1" s="322">
      <c r="A252" s="27" t="n"/>
      <c r="B252" s="506" t="n"/>
      <c r="C252" s="141" t="n"/>
      <c r="D252" s="141" t="n"/>
      <c r="E252" s="141" t="n"/>
      <c r="F252" s="141" t="n"/>
      <c r="G252" s="143" t="n"/>
      <c r="H252" s="27" t="n"/>
    </row>
    <row r="253" ht="17.25" customHeight="1" s="322">
      <c r="A253" s="27" t="n"/>
      <c r="B253" s="506" t="n"/>
      <c r="C253" s="141" t="n"/>
      <c r="D253" s="141" t="n"/>
      <c r="E253" s="141" t="n"/>
      <c r="F253" s="141" t="n"/>
      <c r="G253" s="143" t="n"/>
      <c r="H253" s="27" t="n"/>
    </row>
    <row r="254" ht="17.25" customHeight="1" s="322">
      <c r="A254" s="27" t="n"/>
      <c r="B254" s="506" t="n"/>
      <c r="C254" s="141" t="n"/>
      <c r="D254" s="141" t="n"/>
      <c r="E254" s="141" t="n"/>
      <c r="F254" s="141" t="n"/>
      <c r="G254" s="143" t="n"/>
      <c r="H254" s="27" t="n"/>
    </row>
    <row r="255" ht="17.25" customHeight="1" s="322">
      <c r="A255" s="27" t="n"/>
      <c r="B255" s="506" t="n"/>
      <c r="C255" s="141" t="n"/>
      <c r="D255" s="141" t="n"/>
      <c r="E255" s="141" t="n"/>
      <c r="F255" s="141" t="n"/>
      <c r="G255" s="143" t="n"/>
      <c r="H255" s="27" t="n"/>
    </row>
    <row r="256" ht="17.25" customHeight="1" s="322">
      <c r="A256" s="27" t="n"/>
      <c r="B256" s="506" t="n"/>
      <c r="C256" s="141" t="n"/>
      <c r="D256" s="141" t="n"/>
      <c r="E256" s="141" t="n"/>
      <c r="F256" s="141" t="n"/>
      <c r="G256" s="143" t="n"/>
      <c r="H256" s="27" t="n"/>
    </row>
    <row r="257" ht="17.25" customHeight="1" s="322">
      <c r="A257" s="27" t="n"/>
      <c r="B257" s="506" t="n"/>
      <c r="C257" s="141" t="n"/>
      <c r="D257" s="141" t="n"/>
      <c r="E257" s="141" t="n"/>
      <c r="F257" s="141" t="n"/>
      <c r="G257" s="143" t="n"/>
      <c r="H257" s="27" t="n"/>
    </row>
    <row r="258" ht="17.25" customHeight="1" s="322">
      <c r="A258" s="27" t="n"/>
      <c r="B258" s="506" t="n"/>
      <c r="C258" s="141" t="n"/>
      <c r="D258" s="141" t="n"/>
      <c r="E258" s="141" t="n"/>
      <c r="F258" s="141" t="n"/>
      <c r="G258" s="143" t="n"/>
      <c r="H258" s="27" t="n"/>
    </row>
    <row r="259" ht="17.25" customHeight="1" s="322">
      <c r="A259" s="27" t="n"/>
      <c r="B259" s="506" t="n"/>
      <c r="C259" s="141" t="n"/>
      <c r="D259" s="141" t="n"/>
      <c r="E259" s="141" t="n"/>
      <c r="F259" s="141" t="n"/>
      <c r="G259" s="143" t="n"/>
      <c r="H259" s="27" t="n"/>
    </row>
    <row r="260" ht="17.25" customHeight="1" s="322">
      <c r="A260" s="27" t="n"/>
      <c r="B260" s="506" t="n"/>
      <c r="C260" s="141" t="n"/>
      <c r="D260" s="141" t="n"/>
      <c r="E260" s="141" t="n"/>
      <c r="F260" s="141" t="n"/>
      <c r="G260" s="143" t="n"/>
      <c r="H260" s="27" t="n"/>
    </row>
    <row r="261" ht="17.25" customHeight="1" s="322">
      <c r="A261" s="27" t="n"/>
      <c r="B261" s="506" t="n"/>
      <c r="C261" s="141" t="n"/>
      <c r="D261" s="141" t="n"/>
      <c r="E261" s="141" t="n"/>
      <c r="F261" s="141" t="n"/>
      <c r="G261" s="143" t="n"/>
      <c r="H261" s="27" t="n"/>
    </row>
    <row r="262" ht="17.25" customHeight="1" s="322">
      <c r="A262" s="27" t="n"/>
      <c r="B262" s="506" t="n"/>
      <c r="C262" s="141" t="n"/>
      <c r="D262" s="141" t="n"/>
      <c r="E262" s="141" t="n"/>
      <c r="F262" s="141" t="n"/>
      <c r="G262" s="143" t="n"/>
      <c r="H262" s="27" t="n"/>
    </row>
    <row r="263" ht="17.25" customHeight="1" s="322">
      <c r="A263" s="27" t="n"/>
      <c r="B263" s="506" t="n"/>
      <c r="C263" s="141" t="n"/>
      <c r="D263" s="141" t="n"/>
      <c r="E263" s="141" t="n"/>
      <c r="F263" s="141" t="n"/>
      <c r="G263" s="143" t="n"/>
      <c r="H263" s="27" t="n"/>
    </row>
    <row r="264" ht="17.25" customHeight="1" s="322">
      <c r="A264" s="27" t="n"/>
      <c r="B264" s="506" t="n"/>
      <c r="C264" s="141" t="n"/>
      <c r="D264" s="141" t="n"/>
      <c r="E264" s="141" t="n"/>
      <c r="F264" s="141" t="n"/>
      <c r="G264" s="143" t="n"/>
      <c r="H264" s="27" t="n"/>
    </row>
    <row r="265" ht="17.25" customHeight="1" s="322">
      <c r="A265" s="27" t="n"/>
      <c r="B265" s="506" t="n"/>
      <c r="C265" s="141" t="n"/>
      <c r="D265" s="141" t="n"/>
      <c r="E265" s="141" t="n"/>
      <c r="F265" s="141" t="n"/>
      <c r="G265" s="143" t="n"/>
      <c r="H265" s="27" t="n"/>
    </row>
    <row r="266" ht="17.25" customHeight="1" s="322">
      <c r="A266" s="27" t="n"/>
      <c r="B266" s="506" t="n"/>
      <c r="C266" s="141" t="n"/>
      <c r="D266" s="141" t="n"/>
      <c r="E266" s="141" t="n"/>
      <c r="F266" s="141" t="n"/>
      <c r="G266" s="143" t="n"/>
      <c r="H266" s="27" t="n"/>
    </row>
    <row r="267" ht="17.25" customHeight="1" s="322">
      <c r="A267" s="27" t="n"/>
      <c r="B267" s="506" t="n"/>
      <c r="C267" s="141" t="n"/>
      <c r="D267" s="141" t="n"/>
      <c r="E267" s="141" t="n"/>
      <c r="F267" s="141" t="n"/>
      <c r="G267" s="143" t="n"/>
      <c r="H267" s="27" t="n"/>
    </row>
    <row r="268" ht="17.25" customHeight="1" s="322">
      <c r="A268" s="27" t="n"/>
      <c r="B268" s="506" t="n"/>
      <c r="C268" s="141" t="n"/>
      <c r="D268" s="141" t="n"/>
      <c r="E268" s="141" t="n"/>
      <c r="F268" s="141" t="n"/>
      <c r="G268" s="143" t="n"/>
      <c r="H268" s="27" t="n"/>
    </row>
    <row r="269" ht="17.25" customHeight="1" s="322">
      <c r="A269" s="27" t="n"/>
      <c r="B269" s="506" t="n"/>
      <c r="C269" s="141" t="n"/>
      <c r="D269" s="141" t="n"/>
      <c r="E269" s="141" t="n"/>
      <c r="F269" s="141" t="n"/>
      <c r="G269" s="143" t="n"/>
      <c r="H269" s="27" t="n"/>
    </row>
    <row r="270" ht="17.25" customHeight="1" s="322">
      <c r="A270" s="27" t="n"/>
      <c r="B270" s="506" t="n"/>
      <c r="C270" s="141" t="n"/>
      <c r="D270" s="141" t="n"/>
      <c r="E270" s="141" t="n"/>
      <c r="F270" s="141" t="n"/>
      <c r="G270" s="143" t="n"/>
      <c r="H270" s="27" t="n"/>
    </row>
    <row r="271" ht="17.25" customHeight="1" s="322">
      <c r="A271" s="27" t="n"/>
      <c r="B271" s="506" t="n"/>
      <c r="C271" s="141" t="n"/>
      <c r="D271" s="141" t="n"/>
      <c r="E271" s="141" t="n"/>
      <c r="F271" s="141" t="n"/>
      <c r="G271" s="143" t="n"/>
      <c r="H271" s="27" t="n"/>
    </row>
    <row r="272" ht="17.25" customHeight="1" s="322">
      <c r="A272" s="27" t="n"/>
      <c r="B272" s="506" t="n"/>
      <c r="C272" s="141" t="n"/>
      <c r="D272" s="141" t="n"/>
      <c r="E272" s="141" t="n"/>
      <c r="F272" s="141" t="n"/>
      <c r="G272" s="143" t="n"/>
      <c r="H272" s="27" t="n"/>
    </row>
    <row r="273" ht="17.25" customHeight="1" s="322">
      <c r="A273" s="27" t="n"/>
      <c r="B273" s="506" t="n"/>
      <c r="C273" s="141" t="n"/>
      <c r="D273" s="141" t="n"/>
      <c r="E273" s="141" t="n"/>
      <c r="F273" s="141" t="n"/>
      <c r="G273" s="143" t="n"/>
      <c r="H273" s="27" t="n"/>
    </row>
    <row r="274" ht="17.25" customHeight="1" s="322">
      <c r="A274" s="27" t="n"/>
      <c r="B274" s="506" t="n"/>
      <c r="C274" s="141" t="n"/>
      <c r="D274" s="141" t="n"/>
      <c r="E274" s="141" t="n"/>
      <c r="F274" s="141" t="n"/>
      <c r="G274" s="143" t="n"/>
      <c r="H274" s="27" t="n"/>
    </row>
    <row r="275" ht="17.25" customHeight="1" s="322">
      <c r="A275" s="27" t="n"/>
      <c r="B275" s="506" t="n"/>
      <c r="C275" s="141" t="n"/>
      <c r="D275" s="141" t="n"/>
      <c r="E275" s="141" t="n"/>
      <c r="F275" s="141" t="n"/>
      <c r="G275" s="143" t="n"/>
      <c r="H275" s="27" t="n"/>
    </row>
    <row r="276" ht="17.25" customHeight="1" s="322">
      <c r="A276" s="27" t="n"/>
      <c r="B276" s="506" t="n"/>
      <c r="C276" s="141" t="n"/>
      <c r="D276" s="141" t="n"/>
      <c r="E276" s="141" t="n"/>
      <c r="F276" s="141" t="n"/>
      <c r="G276" s="143" t="n"/>
      <c r="H276" s="27" t="n"/>
    </row>
    <row r="277" ht="17.25" customHeight="1" s="322">
      <c r="A277" s="27" t="n"/>
      <c r="B277" s="506" t="n"/>
      <c r="C277" s="141" t="n"/>
      <c r="D277" s="141" t="n"/>
      <c r="E277" s="141" t="n"/>
      <c r="F277" s="141" t="n"/>
      <c r="G277" s="143" t="n"/>
      <c r="H277" s="27" t="n"/>
    </row>
    <row r="278" ht="17.25" customHeight="1" s="322">
      <c r="A278" s="27" t="n"/>
      <c r="B278" s="506" t="n"/>
      <c r="C278" s="141" t="n"/>
      <c r="D278" s="141" t="n"/>
      <c r="E278" s="141" t="n"/>
      <c r="F278" s="141" t="n"/>
      <c r="G278" s="143" t="n"/>
      <c r="H278" s="27" t="n"/>
    </row>
    <row r="279" ht="17.25" customHeight="1" s="322">
      <c r="A279" s="27" t="n"/>
      <c r="B279" s="506" t="n"/>
      <c r="C279" s="141" t="n"/>
      <c r="D279" s="141" t="n"/>
      <c r="E279" s="141" t="n"/>
      <c r="F279" s="141" t="n"/>
      <c r="G279" s="143" t="n"/>
      <c r="H279" s="27" t="n"/>
    </row>
    <row r="280" ht="17.25" customHeight="1" s="322">
      <c r="A280" s="27" t="n"/>
      <c r="B280" s="506" t="n"/>
      <c r="C280" s="141" t="n"/>
      <c r="D280" s="141" t="n"/>
      <c r="E280" s="141" t="n"/>
      <c r="F280" s="141" t="n"/>
      <c r="G280" s="143" t="n"/>
      <c r="H280" s="27" t="n"/>
    </row>
    <row r="281" ht="17.25" customHeight="1" s="322">
      <c r="A281" s="27" t="n"/>
      <c r="B281" s="506" t="n"/>
      <c r="C281" s="141" t="n"/>
      <c r="D281" s="141" t="n"/>
      <c r="E281" s="141" t="n"/>
      <c r="F281" s="141" t="n"/>
      <c r="G281" s="143" t="n"/>
      <c r="H281" s="27" t="n"/>
    </row>
    <row r="282" ht="17.25" customHeight="1" s="322">
      <c r="A282" s="27" t="n"/>
      <c r="B282" s="506" t="n"/>
      <c r="C282" s="141" t="n"/>
      <c r="D282" s="141" t="n"/>
      <c r="E282" s="141" t="n"/>
      <c r="F282" s="141" t="n"/>
      <c r="G282" s="143" t="n"/>
      <c r="H282" s="27" t="n"/>
    </row>
    <row r="283" ht="17.25" customHeight="1" s="322">
      <c r="A283" s="27" t="n"/>
      <c r="B283" s="506" t="n"/>
      <c r="C283" s="141" t="n"/>
      <c r="D283" s="141" t="n"/>
      <c r="E283" s="141" t="n"/>
      <c r="F283" s="141" t="n"/>
      <c r="G283" s="143" t="n"/>
      <c r="H283" s="27" t="n"/>
    </row>
    <row r="284" ht="17.25" customHeight="1" s="322">
      <c r="A284" s="27" t="n"/>
      <c r="B284" s="506" t="n"/>
      <c r="C284" s="141" t="n"/>
      <c r="D284" s="141" t="n"/>
      <c r="E284" s="141" t="n"/>
      <c r="F284" s="141" t="n"/>
      <c r="G284" s="143" t="n"/>
      <c r="H284" s="27" t="n"/>
    </row>
    <row r="285" ht="17.25" customHeight="1" s="322">
      <c r="A285" s="27" t="n"/>
      <c r="B285" s="506" t="n"/>
      <c r="C285" s="141" t="n"/>
      <c r="D285" s="141" t="n"/>
      <c r="E285" s="141" t="n"/>
      <c r="F285" s="141" t="n"/>
      <c r="G285" s="143" t="n"/>
      <c r="H285" s="27" t="n"/>
    </row>
    <row r="286" ht="17.25" customHeight="1" s="322">
      <c r="A286" s="27" t="n"/>
      <c r="B286" s="506" t="n"/>
      <c r="C286" s="141" t="n"/>
      <c r="D286" s="141" t="n"/>
      <c r="E286" s="141" t="n"/>
      <c r="F286" s="141" t="n"/>
      <c r="G286" s="143" t="n"/>
      <c r="H286" s="27" t="n"/>
    </row>
    <row r="287" ht="17.25" customHeight="1" s="322">
      <c r="A287" s="27" t="n"/>
      <c r="B287" s="506" t="n"/>
      <c r="C287" s="141" t="n"/>
      <c r="D287" s="141" t="n"/>
      <c r="E287" s="141" t="n"/>
      <c r="F287" s="141" t="n"/>
      <c r="G287" s="143" t="n"/>
      <c r="H287" s="27" t="n"/>
    </row>
    <row r="288" ht="17.25" customHeight="1" s="322">
      <c r="A288" s="27" t="n"/>
      <c r="B288" s="506" t="n"/>
      <c r="C288" s="141" t="n"/>
      <c r="D288" s="141" t="n"/>
      <c r="E288" s="141" t="n"/>
      <c r="F288" s="141" t="n"/>
      <c r="G288" s="143" t="n"/>
      <c r="H288" s="27" t="n"/>
    </row>
    <row r="289" ht="17.25" customHeight="1" s="322">
      <c r="A289" s="27" t="n"/>
      <c r="B289" s="506" t="n"/>
      <c r="C289" s="141" t="n"/>
      <c r="D289" s="141" t="n"/>
      <c r="E289" s="141" t="n"/>
      <c r="F289" s="141" t="n"/>
      <c r="G289" s="143" t="n"/>
      <c r="H289" s="27" t="n"/>
    </row>
    <row r="290" ht="17.25" customHeight="1" s="322">
      <c r="A290" s="27" t="n"/>
      <c r="B290" s="506" t="n"/>
      <c r="C290" s="141" t="n"/>
      <c r="D290" s="141" t="n"/>
      <c r="E290" s="141" t="n"/>
      <c r="F290" s="141" t="n"/>
      <c r="G290" s="143" t="n"/>
      <c r="H290" s="27" t="n"/>
    </row>
    <row r="291" ht="17.25" customHeight="1" s="322">
      <c r="A291" s="27" t="n"/>
      <c r="B291" s="506" t="n"/>
      <c r="C291" s="141" t="n"/>
      <c r="D291" s="141" t="n"/>
      <c r="E291" s="141" t="n"/>
      <c r="F291" s="141" t="n"/>
      <c r="G291" s="143" t="n"/>
      <c r="H291" s="27" t="n"/>
    </row>
    <row r="292" ht="17.25" customHeight="1" s="322">
      <c r="A292" s="27" t="n"/>
      <c r="B292" s="506" t="n"/>
      <c r="C292" s="141" t="n"/>
      <c r="D292" s="141" t="n"/>
      <c r="E292" s="141" t="n"/>
      <c r="F292" s="141" t="n"/>
      <c r="G292" s="143" t="n"/>
      <c r="H292" s="27" t="n"/>
    </row>
    <row r="293" ht="17.25" customHeight="1" s="322">
      <c r="A293" s="27" t="n"/>
      <c r="B293" s="506" t="n"/>
      <c r="C293" s="141" t="n"/>
      <c r="D293" s="141" t="n"/>
      <c r="E293" s="141" t="n"/>
      <c r="F293" s="141" t="n"/>
      <c r="G293" s="143" t="n"/>
      <c r="H293" s="27" t="n"/>
    </row>
    <row r="294" ht="17.25" customHeight="1" s="322">
      <c r="A294" s="27" t="n"/>
      <c r="B294" s="506" t="n"/>
      <c r="C294" s="141" t="n"/>
      <c r="D294" s="141" t="n"/>
      <c r="E294" s="141" t="n"/>
      <c r="F294" s="141" t="n"/>
      <c r="G294" s="143" t="n"/>
      <c r="H294" s="27" t="n"/>
    </row>
    <row r="295" ht="17.25" customHeight="1" s="322">
      <c r="A295" s="27" t="n"/>
      <c r="B295" s="506" t="n"/>
      <c r="C295" s="141" t="n"/>
      <c r="D295" s="141" t="n"/>
      <c r="E295" s="141" t="n"/>
      <c r="F295" s="141" t="n"/>
      <c r="G295" s="143" t="n"/>
      <c r="H295" s="27" t="n"/>
    </row>
    <row r="296" ht="17.25" customHeight="1" s="322">
      <c r="A296" s="27" t="n"/>
      <c r="B296" s="506" t="n"/>
      <c r="C296" s="141" t="n"/>
      <c r="D296" s="141" t="n"/>
      <c r="E296" s="141" t="n"/>
      <c r="F296" s="141" t="n"/>
      <c r="G296" s="143" t="n"/>
      <c r="H296" s="27" t="n"/>
    </row>
    <row r="297" ht="17.25" customHeight="1" s="322">
      <c r="A297" s="27" t="n"/>
      <c r="B297" s="506" t="n"/>
      <c r="C297" s="141" t="n"/>
      <c r="D297" s="141" t="n"/>
      <c r="E297" s="141" t="n"/>
      <c r="F297" s="141" t="n"/>
      <c r="G297" s="143" t="n"/>
      <c r="H297" s="27" t="n"/>
    </row>
    <row r="298" ht="17.25" customHeight="1" s="322">
      <c r="A298" s="27" t="n"/>
      <c r="B298" s="506" t="n"/>
      <c r="C298" s="141" t="n"/>
      <c r="D298" s="141" t="n"/>
      <c r="E298" s="141" t="n"/>
      <c r="F298" s="141" t="n"/>
      <c r="G298" s="143" t="n"/>
      <c r="H298" s="27" t="n"/>
    </row>
    <row r="299" ht="17.25" customHeight="1" s="322">
      <c r="A299" s="27" t="n"/>
      <c r="B299" s="506" t="n"/>
      <c r="C299" s="141" t="n"/>
      <c r="D299" s="141" t="n"/>
      <c r="E299" s="141" t="n"/>
      <c r="F299" s="141" t="n"/>
      <c r="G299" s="143" t="n"/>
      <c r="H299" s="27" t="n"/>
    </row>
    <row r="300" ht="17.25" customHeight="1" s="322">
      <c r="A300" s="27" t="n"/>
      <c r="B300" s="506" t="n"/>
      <c r="C300" s="141" t="n"/>
      <c r="D300" s="141" t="n"/>
      <c r="E300" s="141" t="n"/>
      <c r="F300" s="141" t="n"/>
      <c r="G300" s="143" t="n"/>
      <c r="H300" s="27" t="n"/>
    </row>
    <row r="301" ht="17.25" customHeight="1" s="322">
      <c r="A301" s="27" t="n"/>
      <c r="B301" s="506" t="n"/>
      <c r="C301" s="141" t="n"/>
      <c r="D301" s="141" t="n"/>
      <c r="E301" s="141" t="n"/>
      <c r="F301" s="141" t="n"/>
      <c r="G301" s="143" t="n"/>
      <c r="H301" s="27" t="n"/>
    </row>
    <row r="302" ht="17.25" customHeight="1" s="322">
      <c r="A302" s="27" t="n"/>
      <c r="B302" s="506" t="n"/>
      <c r="C302" s="141" t="n"/>
      <c r="D302" s="141" t="n"/>
      <c r="E302" s="141" t="n"/>
      <c r="F302" s="141" t="n"/>
      <c r="G302" s="143" t="n"/>
      <c r="H302" s="27" t="n"/>
    </row>
    <row r="303" ht="17.25" customHeight="1" s="322">
      <c r="A303" s="27" t="n"/>
      <c r="B303" s="506" t="n"/>
      <c r="C303" s="141" t="n"/>
      <c r="D303" s="141" t="n"/>
      <c r="E303" s="141" t="n"/>
      <c r="F303" s="141" t="n"/>
      <c r="G303" s="143" t="n"/>
      <c r="H303" s="27" t="n"/>
    </row>
    <row r="304" ht="17.25" customHeight="1" s="322">
      <c r="A304" s="27" t="n"/>
      <c r="B304" s="506" t="n"/>
      <c r="C304" s="141" t="n"/>
      <c r="D304" s="141" t="n"/>
      <c r="E304" s="141" t="n"/>
      <c r="F304" s="141" t="n"/>
      <c r="G304" s="143" t="n"/>
      <c r="H304" s="27" t="n"/>
    </row>
    <row r="305" ht="17.25" customHeight="1" s="322">
      <c r="A305" s="27" t="n"/>
      <c r="B305" s="506" t="n"/>
      <c r="C305" s="141" t="n"/>
      <c r="D305" s="141" t="n"/>
      <c r="E305" s="141" t="n"/>
      <c r="F305" s="141" t="n"/>
      <c r="G305" s="143" t="n"/>
      <c r="H305" s="27" t="n"/>
    </row>
    <row r="306" ht="17.25" customHeight="1" s="322">
      <c r="A306" s="27" t="n"/>
      <c r="B306" s="506" t="n"/>
      <c r="C306" s="141" t="n"/>
      <c r="D306" s="141" t="n"/>
      <c r="E306" s="141" t="n"/>
      <c r="F306" s="141" t="n"/>
      <c r="G306" s="143" t="n"/>
      <c r="H306" s="27" t="n"/>
    </row>
    <row r="307" ht="17.25" customHeight="1" s="322">
      <c r="A307" s="27" t="n"/>
      <c r="B307" s="506" t="n"/>
      <c r="C307" s="141" t="n"/>
      <c r="D307" s="141" t="n"/>
      <c r="E307" s="141" t="n"/>
      <c r="F307" s="141" t="n"/>
      <c r="G307" s="143" t="n"/>
      <c r="H307" s="27" t="n"/>
    </row>
    <row r="308" ht="17.25" customHeight="1" s="322">
      <c r="A308" s="27" t="n"/>
      <c r="B308" s="506" t="n"/>
      <c r="C308" s="141" t="n"/>
      <c r="D308" s="141" t="n"/>
      <c r="E308" s="141" t="n"/>
      <c r="F308" s="141" t="n"/>
      <c r="G308" s="143" t="n"/>
      <c r="H308" s="27" t="n"/>
    </row>
    <row r="309" ht="17.25" customHeight="1" s="322">
      <c r="A309" s="27" t="n"/>
      <c r="B309" s="506" t="n"/>
      <c r="C309" s="141" t="n"/>
      <c r="D309" s="141" t="n"/>
      <c r="E309" s="141" t="n"/>
      <c r="F309" s="141" t="n"/>
      <c r="G309" s="143" t="n"/>
      <c r="H309" s="27" t="n"/>
    </row>
    <row r="310" ht="17.25" customHeight="1" s="322">
      <c r="A310" s="27" t="n"/>
      <c r="B310" s="506" t="n"/>
      <c r="C310" s="141" t="n"/>
      <c r="D310" s="141" t="n"/>
      <c r="E310" s="141" t="n"/>
      <c r="F310" s="141" t="n"/>
      <c r="G310" s="143" t="n"/>
      <c r="H310" s="27" t="n"/>
    </row>
    <row r="311" ht="17.25" customHeight="1" s="322">
      <c r="A311" s="27" t="n"/>
      <c r="B311" s="506" t="n"/>
      <c r="C311" s="141" t="n"/>
      <c r="D311" s="141" t="n"/>
      <c r="E311" s="141" t="n"/>
      <c r="F311" s="141" t="n"/>
      <c r="G311" s="143" t="n"/>
      <c r="H311" s="27" t="n"/>
    </row>
    <row r="312" ht="17.25" customHeight="1" s="322">
      <c r="A312" s="27" t="n"/>
      <c r="B312" s="506" t="n"/>
      <c r="C312" s="141" t="n"/>
      <c r="D312" s="141" t="n"/>
      <c r="E312" s="141" t="n"/>
      <c r="F312" s="141" t="n"/>
      <c r="G312" s="143" t="n"/>
      <c r="H312" s="27" t="n"/>
    </row>
    <row r="313" ht="17.25" customHeight="1" s="322">
      <c r="A313" s="27" t="n"/>
      <c r="B313" s="506" t="n"/>
      <c r="C313" s="141" t="n"/>
      <c r="D313" s="141" t="n"/>
      <c r="E313" s="141" t="n"/>
      <c r="F313" s="141" t="n"/>
      <c r="G313" s="143" t="n"/>
      <c r="H313" s="27" t="n"/>
    </row>
    <row r="314" ht="17.25" customHeight="1" s="322">
      <c r="A314" s="27" t="n"/>
      <c r="B314" s="506" t="n"/>
      <c r="C314" s="141" t="n"/>
      <c r="D314" s="141" t="n"/>
      <c r="E314" s="141" t="n"/>
      <c r="F314" s="141" t="n"/>
      <c r="G314" s="143" t="n"/>
      <c r="H314" s="27" t="n"/>
    </row>
    <row r="315" ht="17.25" customHeight="1" s="322">
      <c r="A315" s="27" t="n"/>
      <c r="B315" s="506" t="n"/>
      <c r="C315" s="141" t="n"/>
      <c r="D315" s="141" t="n"/>
      <c r="E315" s="141" t="n"/>
      <c r="F315" s="141" t="n"/>
      <c r="G315" s="143" t="n"/>
      <c r="H315" s="27" t="n"/>
    </row>
    <row r="316" ht="17.25" customHeight="1" s="322">
      <c r="A316" s="27" t="n"/>
      <c r="B316" s="506" t="n"/>
      <c r="C316" s="141" t="n"/>
      <c r="D316" s="141" t="n"/>
      <c r="E316" s="141" t="n"/>
      <c r="F316" s="141" t="n"/>
      <c r="G316" s="143" t="n"/>
      <c r="H316" s="27" t="n"/>
    </row>
    <row r="317" ht="17.25" customHeight="1" s="322">
      <c r="A317" s="27" t="n"/>
      <c r="B317" s="506" t="n"/>
      <c r="C317" s="141" t="n"/>
      <c r="D317" s="141" t="n"/>
      <c r="E317" s="141" t="n"/>
      <c r="F317" s="141" t="n"/>
      <c r="G317" s="143" t="n"/>
      <c r="H317" s="27" t="n"/>
    </row>
    <row r="318" ht="17.25" customHeight="1" s="322">
      <c r="A318" s="27" t="n"/>
      <c r="B318" s="506" t="n"/>
      <c r="C318" s="141" t="n"/>
      <c r="D318" s="141" t="n"/>
      <c r="E318" s="141" t="n"/>
      <c r="F318" s="141" t="n"/>
      <c r="G318" s="143" t="n"/>
      <c r="H318" s="27" t="n"/>
    </row>
    <row r="319" ht="17.25" customHeight="1" s="322">
      <c r="A319" s="27" t="n"/>
      <c r="B319" s="506" t="n"/>
      <c r="C319" s="141" t="n"/>
      <c r="D319" s="141" t="n"/>
      <c r="E319" s="141" t="n"/>
      <c r="F319" s="141" t="n"/>
      <c r="G319" s="143" t="n"/>
      <c r="H319" s="27" t="n"/>
    </row>
    <row r="320" ht="17.25" customHeight="1" s="322">
      <c r="A320" s="27" t="n"/>
      <c r="B320" s="506" t="n"/>
      <c r="C320" s="141" t="n"/>
      <c r="D320" s="141" t="n"/>
      <c r="E320" s="141" t="n"/>
      <c r="F320" s="141" t="n"/>
      <c r="G320" s="143" t="n"/>
      <c r="H320" s="27" t="n"/>
    </row>
    <row r="321" ht="17.25" customHeight="1" s="322">
      <c r="A321" s="27" t="n"/>
      <c r="B321" s="506" t="n"/>
      <c r="C321" s="141" t="n"/>
      <c r="D321" s="141" t="n"/>
      <c r="E321" s="141" t="n"/>
      <c r="F321" s="141" t="n"/>
      <c r="G321" s="143" t="n"/>
      <c r="H321" s="27" t="n"/>
    </row>
    <row r="322" ht="17.25" customHeight="1" s="322">
      <c r="A322" s="27" t="n"/>
      <c r="B322" s="506" t="n"/>
      <c r="C322" s="141" t="n"/>
      <c r="D322" s="141" t="n"/>
      <c r="E322" s="141" t="n"/>
      <c r="F322" s="141" t="n"/>
      <c r="G322" s="143" t="n"/>
      <c r="H322" s="27" t="n"/>
    </row>
    <row r="323" ht="17.25" customHeight="1" s="322">
      <c r="A323" s="27" t="n"/>
      <c r="B323" s="506" t="n"/>
      <c r="C323" s="141" t="n"/>
      <c r="D323" s="141" t="n"/>
      <c r="E323" s="141" t="n"/>
      <c r="F323" s="141" t="n"/>
      <c r="G323" s="143" t="n"/>
      <c r="H323" s="27" t="n"/>
    </row>
    <row r="324" ht="17.25" customHeight="1" s="322">
      <c r="A324" s="27" t="n"/>
      <c r="B324" s="506" t="n"/>
      <c r="C324" s="141" t="n"/>
      <c r="D324" s="141" t="n"/>
      <c r="E324" s="141" t="n"/>
      <c r="F324" s="141" t="n"/>
      <c r="G324" s="143" t="n"/>
      <c r="H324" s="27" t="n"/>
    </row>
    <row r="325" ht="17.25" customHeight="1" s="322">
      <c r="A325" s="27" t="n"/>
      <c r="B325" s="506" t="n"/>
      <c r="C325" s="141" t="n"/>
      <c r="D325" s="141" t="n"/>
      <c r="E325" s="141" t="n"/>
      <c r="F325" s="141" t="n"/>
      <c r="G325" s="143" t="n"/>
      <c r="H325" s="27" t="n"/>
    </row>
    <row r="326" ht="17.25" customHeight="1" s="322">
      <c r="A326" s="27" t="n"/>
      <c r="B326" s="506" t="n"/>
      <c r="C326" s="141" t="n"/>
      <c r="D326" s="141" t="n"/>
      <c r="E326" s="141" t="n"/>
      <c r="F326" s="141" t="n"/>
      <c r="G326" s="143" t="n"/>
      <c r="H326" s="27" t="n"/>
    </row>
    <row r="327" ht="17.25" customHeight="1" s="322">
      <c r="A327" s="27" t="n"/>
      <c r="B327" s="506" t="n"/>
      <c r="C327" s="141" t="n"/>
      <c r="D327" s="141" t="n"/>
      <c r="E327" s="141" t="n"/>
      <c r="F327" s="141" t="n"/>
      <c r="G327" s="143" t="n"/>
      <c r="H327" s="27" t="n"/>
    </row>
    <row r="328" ht="17.25" customHeight="1" s="322">
      <c r="A328" s="27" t="n"/>
      <c r="B328" s="506" t="n"/>
      <c r="C328" s="141" t="n"/>
      <c r="D328" s="141" t="n"/>
      <c r="E328" s="141" t="n"/>
      <c r="F328" s="141" t="n"/>
      <c r="G328" s="143" t="n"/>
      <c r="H328" s="27" t="n"/>
    </row>
    <row r="329" ht="17.25" customHeight="1" s="322">
      <c r="A329" s="27" t="n"/>
      <c r="B329" s="506" t="n"/>
      <c r="C329" s="141" t="n"/>
      <c r="D329" s="141" t="n"/>
      <c r="E329" s="141" t="n"/>
      <c r="F329" s="141" t="n"/>
      <c r="G329" s="143" t="n"/>
      <c r="H329" s="27" t="n"/>
    </row>
    <row r="330" ht="17.25" customHeight="1" s="322">
      <c r="A330" s="27" t="n"/>
      <c r="B330" s="506" t="n"/>
      <c r="C330" s="141" t="n"/>
      <c r="D330" s="141" t="n"/>
      <c r="E330" s="141" t="n"/>
      <c r="F330" s="141" t="n"/>
      <c r="G330" s="143" t="n"/>
      <c r="H330" s="27" t="n"/>
    </row>
    <row r="331" ht="17.25" customHeight="1" s="322">
      <c r="A331" s="27" t="n"/>
      <c r="B331" s="506" t="n"/>
      <c r="C331" s="141" t="n"/>
      <c r="D331" s="141" t="n"/>
      <c r="E331" s="141" t="n"/>
      <c r="F331" s="141" t="n"/>
      <c r="G331" s="143" t="n"/>
      <c r="H331" s="27" t="n"/>
    </row>
    <row r="332" ht="17.25" customHeight="1" s="322">
      <c r="A332" s="27" t="n"/>
      <c r="B332" s="506" t="n"/>
      <c r="C332" s="141" t="n"/>
      <c r="D332" s="141" t="n"/>
      <c r="E332" s="141" t="n"/>
      <c r="F332" s="141" t="n"/>
      <c r="G332" s="143" t="n"/>
      <c r="H332" s="27" t="n"/>
    </row>
    <row r="333" ht="17.25" customHeight="1" s="322">
      <c r="A333" s="27" t="n"/>
      <c r="B333" s="506" t="n"/>
      <c r="C333" s="141" t="n"/>
      <c r="D333" s="141" t="n"/>
      <c r="E333" s="141" t="n"/>
      <c r="F333" s="141" t="n"/>
      <c r="G333" s="143" t="n"/>
      <c r="H333" s="27" t="n"/>
    </row>
    <row r="334" ht="17.25" customHeight="1" s="322">
      <c r="A334" s="27" t="n"/>
      <c r="B334" s="506" t="n"/>
      <c r="C334" s="141" t="n"/>
      <c r="D334" s="141" t="n"/>
      <c r="E334" s="141" t="n"/>
      <c r="F334" s="141" t="n"/>
      <c r="G334" s="143" t="n"/>
      <c r="H334" s="27" t="n"/>
    </row>
    <row r="335" ht="17.25" customHeight="1" s="322">
      <c r="A335" s="27" t="n"/>
      <c r="B335" s="506" t="n"/>
      <c r="C335" s="141" t="n"/>
      <c r="D335" s="141" t="n"/>
      <c r="E335" s="141" t="n"/>
      <c r="F335" s="141" t="n"/>
      <c r="G335" s="143" t="n"/>
      <c r="H335" s="27" t="n"/>
    </row>
    <row r="336" ht="17.25" customHeight="1" s="322">
      <c r="A336" s="27" t="n"/>
      <c r="B336" s="506" t="n"/>
      <c r="C336" s="141" t="n"/>
      <c r="D336" s="141" t="n"/>
      <c r="E336" s="141" t="n"/>
      <c r="F336" s="141" t="n"/>
      <c r="G336" s="143" t="n"/>
      <c r="H336" s="27" t="n"/>
    </row>
    <row r="337" ht="17.25" customHeight="1" s="322">
      <c r="A337" s="27" t="n"/>
      <c r="B337" s="506" t="n"/>
      <c r="C337" s="141" t="n"/>
      <c r="D337" s="141" t="n"/>
      <c r="E337" s="141" t="n"/>
      <c r="F337" s="141" t="n"/>
      <c r="G337" s="143" t="n"/>
      <c r="H337" s="27" t="n"/>
    </row>
    <row r="338" ht="17.25" customHeight="1" s="322">
      <c r="A338" s="27" t="n"/>
      <c r="B338" s="506" t="n"/>
      <c r="C338" s="141" t="n"/>
      <c r="D338" s="141" t="n"/>
      <c r="E338" s="141" t="n"/>
      <c r="F338" s="141" t="n"/>
      <c r="G338" s="143" t="n"/>
      <c r="H338" s="27" t="n"/>
    </row>
    <row r="339" ht="17.25" customHeight="1" s="322">
      <c r="A339" s="27" t="n"/>
      <c r="B339" s="506" t="n"/>
      <c r="C339" s="141" t="n"/>
      <c r="D339" s="141" t="n"/>
      <c r="E339" s="141" t="n"/>
      <c r="F339" s="141" t="n"/>
      <c r="G339" s="143" t="n"/>
      <c r="H339" s="27" t="n"/>
    </row>
    <row r="340" ht="17.25" customHeight="1" s="322">
      <c r="A340" s="27" t="n"/>
      <c r="B340" s="506" t="n"/>
      <c r="C340" s="141" t="n"/>
      <c r="D340" s="141" t="n"/>
      <c r="E340" s="141" t="n"/>
      <c r="F340" s="141" t="n"/>
      <c r="G340" s="143" t="n"/>
      <c r="H340" s="27" t="n"/>
    </row>
    <row r="341" ht="17.25" customHeight="1" s="322">
      <c r="A341" s="27" t="n"/>
      <c r="B341" s="506" t="n"/>
      <c r="C341" s="141" t="n"/>
      <c r="D341" s="141" t="n"/>
      <c r="E341" s="141" t="n"/>
      <c r="F341" s="141" t="n"/>
      <c r="G341" s="143" t="n"/>
      <c r="H341" s="27" t="n"/>
    </row>
    <row r="342" ht="17.25" customHeight="1" s="322">
      <c r="A342" s="27" t="n"/>
      <c r="B342" s="506" t="n"/>
      <c r="C342" s="141" t="n"/>
      <c r="D342" s="141" t="n"/>
      <c r="E342" s="141" t="n"/>
      <c r="F342" s="141" t="n"/>
      <c r="G342" s="143" t="n"/>
      <c r="H342" s="27" t="n"/>
    </row>
    <row r="343" ht="17.25" customHeight="1" s="322">
      <c r="A343" s="27" t="n"/>
      <c r="B343" s="506" t="n"/>
      <c r="C343" s="141" t="n"/>
      <c r="D343" s="141" t="n"/>
      <c r="E343" s="141" t="n"/>
      <c r="F343" s="141" t="n"/>
      <c r="G343" s="143" t="n"/>
      <c r="H343" s="27" t="n"/>
    </row>
    <row r="344" ht="17.25" customHeight="1" s="322">
      <c r="A344" s="27" t="n"/>
      <c r="B344" s="506" t="n"/>
      <c r="C344" s="141" t="n"/>
      <c r="D344" s="141" t="n"/>
      <c r="E344" s="141" t="n"/>
      <c r="F344" s="141" t="n"/>
      <c r="G344" s="143" t="n"/>
      <c r="H344" s="27" t="n"/>
    </row>
    <row r="345" ht="17.25" customHeight="1" s="322">
      <c r="A345" s="27" t="n"/>
      <c r="B345" s="506" t="n"/>
      <c r="C345" s="141" t="n"/>
      <c r="D345" s="141" t="n"/>
      <c r="E345" s="141" t="n"/>
      <c r="F345" s="141" t="n"/>
      <c r="G345" s="143" t="n"/>
      <c r="H345" s="27" t="n"/>
    </row>
    <row r="346" ht="17.25" customHeight="1" s="322">
      <c r="A346" s="27" t="n"/>
      <c r="B346" s="506" t="n"/>
      <c r="C346" s="141" t="n"/>
      <c r="D346" s="141" t="n"/>
      <c r="E346" s="141" t="n"/>
      <c r="F346" s="141" t="n"/>
      <c r="G346" s="143" t="n"/>
      <c r="H346" s="27" t="n"/>
    </row>
    <row r="347" ht="17.25" customHeight="1" s="322">
      <c r="A347" s="27" t="n"/>
      <c r="B347" s="506" t="n"/>
      <c r="C347" s="141" t="n"/>
      <c r="D347" s="141" t="n"/>
      <c r="E347" s="141" t="n"/>
      <c r="F347" s="141" t="n"/>
      <c r="G347" s="143" t="n"/>
      <c r="H347" s="27" t="n"/>
    </row>
    <row r="348" ht="17.25" customHeight="1" s="322">
      <c r="A348" s="27" t="n"/>
      <c r="B348" s="506" t="n"/>
      <c r="C348" s="141" t="n"/>
      <c r="D348" s="141" t="n"/>
      <c r="E348" s="141" t="n"/>
      <c r="F348" s="141" t="n"/>
      <c r="G348" s="143" t="n"/>
      <c r="H348" s="27" t="n"/>
    </row>
    <row r="349" ht="17.25" customHeight="1" s="322">
      <c r="A349" s="27" t="n"/>
      <c r="B349" s="506" t="n"/>
      <c r="C349" s="141" t="n"/>
      <c r="D349" s="141" t="n"/>
      <c r="E349" s="141" t="n"/>
      <c r="F349" s="141" t="n"/>
      <c r="G349" s="143" t="n"/>
      <c r="H349" s="27" t="n"/>
    </row>
    <row r="350" ht="17.25" customHeight="1" s="322">
      <c r="A350" s="27" t="n"/>
      <c r="B350" s="506" t="n"/>
      <c r="C350" s="141" t="n"/>
      <c r="D350" s="141" t="n"/>
      <c r="E350" s="141" t="n"/>
      <c r="F350" s="141" t="n"/>
      <c r="G350" s="143" t="n"/>
      <c r="H350" s="27" t="n"/>
    </row>
    <row r="351" ht="17.25" customHeight="1" s="322">
      <c r="A351" s="27" t="n"/>
      <c r="B351" s="506" t="n"/>
      <c r="C351" s="141" t="n"/>
      <c r="D351" s="141" t="n"/>
      <c r="E351" s="141" t="n"/>
      <c r="F351" s="141" t="n"/>
      <c r="G351" s="143" t="n"/>
      <c r="H351" s="27" t="n"/>
    </row>
    <row r="352" ht="17.25" customHeight="1" s="322">
      <c r="A352" s="27" t="n"/>
      <c r="B352" s="506" t="n"/>
      <c r="C352" s="141" t="n"/>
      <c r="D352" s="141" t="n"/>
      <c r="E352" s="141" t="n"/>
      <c r="F352" s="141" t="n"/>
      <c r="G352" s="143" t="n"/>
      <c r="H352" s="27" t="n"/>
    </row>
    <row r="353" ht="17.25" customHeight="1" s="322">
      <c r="A353" s="27" t="n"/>
      <c r="B353" s="506" t="n"/>
      <c r="C353" s="141" t="n"/>
      <c r="D353" s="141" t="n"/>
      <c r="E353" s="141" t="n"/>
      <c r="F353" s="141" t="n"/>
      <c r="G353" s="143" t="n"/>
      <c r="H353" s="27" t="n"/>
    </row>
    <row r="354" ht="17.25" customHeight="1" s="322">
      <c r="A354" s="27" t="n"/>
      <c r="B354" s="506" t="n"/>
      <c r="C354" s="141" t="n"/>
      <c r="D354" s="141" t="n"/>
      <c r="E354" s="141" t="n"/>
      <c r="F354" s="141" t="n"/>
      <c r="G354" s="143" t="n"/>
      <c r="H354" s="27" t="n"/>
    </row>
    <row r="355" ht="17.25" customHeight="1" s="322">
      <c r="A355" s="27" t="n"/>
      <c r="B355" s="506" t="n"/>
      <c r="C355" s="141" t="n"/>
      <c r="D355" s="141" t="n"/>
      <c r="E355" s="141" t="n"/>
      <c r="F355" s="141" t="n"/>
      <c r="G355" s="143" t="n"/>
      <c r="H355" s="27" t="n"/>
    </row>
    <row r="356" ht="17.25" customHeight="1" s="322">
      <c r="A356" s="27" t="n"/>
      <c r="B356" s="506" t="n"/>
      <c r="C356" s="141" t="n"/>
      <c r="D356" s="141" t="n"/>
      <c r="E356" s="141" t="n"/>
      <c r="F356" s="141" t="n"/>
      <c r="G356" s="143" t="n"/>
      <c r="H356" s="27" t="n"/>
    </row>
    <row r="357" ht="17.25" customHeight="1" s="322">
      <c r="A357" s="27" t="n"/>
      <c r="B357" s="506" t="n"/>
      <c r="C357" s="141" t="n"/>
      <c r="D357" s="141" t="n"/>
      <c r="E357" s="141" t="n"/>
      <c r="F357" s="141" t="n"/>
      <c r="G357" s="143" t="n"/>
      <c r="H357" s="27" t="n"/>
    </row>
    <row r="358" ht="17.25" customHeight="1" s="322">
      <c r="A358" s="27" t="n"/>
      <c r="B358" s="506" t="n"/>
      <c r="C358" s="141" t="n"/>
      <c r="D358" s="141" t="n"/>
      <c r="E358" s="141" t="n"/>
      <c r="F358" s="141" t="n"/>
      <c r="G358" s="143" t="n"/>
      <c r="H358" s="27" t="n"/>
    </row>
    <row r="359" ht="17.25" customHeight="1" s="322">
      <c r="A359" s="27" t="n"/>
      <c r="B359" s="506" t="n"/>
      <c r="C359" s="141" t="n"/>
      <c r="D359" s="141" t="n"/>
      <c r="E359" s="141" t="n"/>
      <c r="F359" s="141" t="n"/>
      <c r="G359" s="143" t="n"/>
      <c r="H359" s="27" t="n"/>
    </row>
    <row r="360" ht="17.25" customHeight="1" s="322">
      <c r="A360" s="27" t="n"/>
      <c r="B360" s="506" t="n"/>
      <c r="C360" s="141" t="n"/>
      <c r="D360" s="141" t="n"/>
      <c r="E360" s="141" t="n"/>
      <c r="F360" s="141" t="n"/>
      <c r="G360" s="143" t="n"/>
      <c r="H360" s="27" t="n"/>
    </row>
    <row r="361" ht="17.25" customHeight="1" s="322">
      <c r="A361" s="27" t="n"/>
      <c r="B361" s="506" t="n"/>
      <c r="C361" s="141" t="n"/>
      <c r="D361" s="141" t="n"/>
      <c r="E361" s="141" t="n"/>
      <c r="F361" s="141" t="n"/>
      <c r="G361" s="143" t="n"/>
      <c r="H361" s="27" t="n"/>
    </row>
    <row r="362" ht="17.25" customHeight="1" s="322">
      <c r="A362" s="27" t="n"/>
      <c r="B362" s="506" t="n"/>
      <c r="C362" s="141" t="n"/>
      <c r="D362" s="141" t="n"/>
      <c r="E362" s="141" t="n"/>
      <c r="F362" s="141" t="n"/>
      <c r="G362" s="143" t="n"/>
      <c r="H362" s="27" t="n"/>
    </row>
    <row r="363" ht="17.25" customHeight="1" s="322">
      <c r="A363" s="27" t="n"/>
      <c r="B363" s="506" t="n"/>
      <c r="C363" s="141" t="n"/>
      <c r="D363" s="141" t="n"/>
      <c r="E363" s="141" t="n"/>
      <c r="F363" s="141" t="n"/>
      <c r="G363" s="143" t="n"/>
      <c r="H363" s="27" t="n"/>
    </row>
    <row r="364" ht="17.25" customHeight="1" s="322">
      <c r="A364" s="27" t="n"/>
      <c r="B364" s="506" t="n"/>
      <c r="C364" s="141" t="n"/>
      <c r="D364" s="141" t="n"/>
      <c r="E364" s="141" t="n"/>
      <c r="F364" s="141" t="n"/>
      <c r="G364" s="143" t="n"/>
      <c r="H364" s="27" t="n"/>
    </row>
    <row r="365" ht="17.25" customHeight="1" s="322">
      <c r="A365" s="27" t="n"/>
      <c r="B365" s="506" t="n"/>
      <c r="C365" s="141" t="n"/>
      <c r="D365" s="141" t="n"/>
      <c r="E365" s="141" t="n"/>
      <c r="F365" s="141" t="n"/>
      <c r="G365" s="143" t="n"/>
      <c r="H365" s="27" t="n"/>
    </row>
    <row r="366" ht="17.25" customHeight="1" s="322">
      <c r="A366" s="27" t="n"/>
      <c r="B366" s="506" t="n"/>
      <c r="C366" s="141" t="n"/>
      <c r="D366" s="141" t="n"/>
      <c r="E366" s="141" t="n"/>
      <c r="F366" s="141" t="n"/>
      <c r="G366" s="143" t="n"/>
      <c r="H366" s="27" t="n"/>
    </row>
    <row r="367" ht="17.25" customHeight="1" s="322">
      <c r="A367" s="27" t="n"/>
      <c r="B367" s="506" t="n"/>
      <c r="C367" s="141" t="n"/>
      <c r="D367" s="141" t="n"/>
      <c r="E367" s="141" t="n"/>
      <c r="F367" s="141" t="n"/>
      <c r="G367" s="143" t="n"/>
      <c r="H367" s="27" t="n"/>
    </row>
    <row r="368" ht="17.25" customHeight="1" s="322">
      <c r="A368" s="27" t="n"/>
      <c r="B368" s="506" t="n"/>
      <c r="C368" s="141" t="n"/>
      <c r="D368" s="141" t="n"/>
      <c r="E368" s="141" t="n"/>
      <c r="F368" s="141" t="n"/>
      <c r="G368" s="143" t="n"/>
      <c r="H368" s="27" t="n"/>
    </row>
    <row r="369" ht="17.25" customHeight="1" s="322">
      <c r="A369" s="27" t="n"/>
      <c r="B369" s="506" t="n"/>
      <c r="C369" s="141" t="n"/>
      <c r="D369" s="141" t="n"/>
      <c r="E369" s="141" t="n"/>
      <c r="F369" s="141" t="n"/>
      <c r="G369" s="143" t="n"/>
      <c r="H369" s="27" t="n"/>
    </row>
    <row r="370" ht="17.25" customHeight="1" s="322">
      <c r="A370" s="27" t="n"/>
      <c r="B370" s="506" t="n"/>
      <c r="C370" s="141" t="n"/>
      <c r="D370" s="141" t="n"/>
      <c r="E370" s="141" t="n"/>
      <c r="F370" s="141" t="n"/>
      <c r="G370" s="143" t="n"/>
      <c r="H370" s="27" t="n"/>
    </row>
    <row r="371" ht="17.25" customHeight="1" s="322">
      <c r="A371" s="27" t="n"/>
      <c r="B371" s="506" t="n"/>
      <c r="C371" s="141" t="n"/>
      <c r="D371" s="141" t="n"/>
      <c r="E371" s="141" t="n"/>
      <c r="F371" s="141" t="n"/>
      <c r="G371" s="143" t="n"/>
      <c r="H371" s="27" t="n"/>
    </row>
    <row r="372" ht="17.25" customHeight="1" s="322">
      <c r="A372" s="27" t="n"/>
      <c r="B372" s="506" t="n"/>
      <c r="C372" s="141" t="n"/>
      <c r="D372" s="141" t="n"/>
      <c r="E372" s="141" t="n"/>
      <c r="F372" s="141" t="n"/>
      <c r="G372" s="143" t="n"/>
      <c r="H372" s="27" t="n"/>
    </row>
    <row r="373" ht="17.25" customHeight="1" s="322">
      <c r="A373" s="27" t="n"/>
      <c r="B373" s="506" t="n"/>
      <c r="C373" s="141" t="n"/>
      <c r="D373" s="141" t="n"/>
      <c r="E373" s="141" t="n"/>
      <c r="F373" s="141" t="n"/>
      <c r="G373" s="143" t="n"/>
      <c r="H373" s="27" t="n"/>
    </row>
    <row r="374" ht="17.25" customHeight="1" s="322">
      <c r="A374" s="27" t="n"/>
      <c r="B374" s="506" t="n"/>
      <c r="C374" s="141" t="n"/>
      <c r="D374" s="141" t="n"/>
      <c r="E374" s="141" t="n"/>
      <c r="F374" s="141" t="n"/>
      <c r="G374" s="143" t="n"/>
      <c r="H374" s="27" t="n"/>
    </row>
    <row r="375" ht="17.25" customHeight="1" s="322">
      <c r="A375" s="27" t="n"/>
      <c r="B375" s="506" t="n"/>
      <c r="C375" s="141" t="n"/>
      <c r="D375" s="141" t="n"/>
      <c r="E375" s="141" t="n"/>
      <c r="F375" s="141" t="n"/>
      <c r="G375" s="143" t="n"/>
      <c r="H375" s="27" t="n"/>
    </row>
    <row r="376" ht="17.25" customHeight="1" s="322">
      <c r="A376" s="27" t="n"/>
      <c r="B376" s="506" t="n"/>
      <c r="C376" s="141" t="n"/>
      <c r="D376" s="141" t="n"/>
      <c r="E376" s="141" t="n"/>
      <c r="F376" s="141" t="n"/>
      <c r="G376" s="143" t="n"/>
      <c r="H376" s="27" t="n"/>
    </row>
    <row r="377" ht="17.25" customHeight="1" s="322">
      <c r="A377" s="27" t="n"/>
      <c r="B377" s="506" t="n"/>
      <c r="C377" s="141" t="n"/>
      <c r="D377" s="141" t="n"/>
      <c r="E377" s="141" t="n"/>
      <c r="F377" s="141" t="n"/>
      <c r="G377" s="143" t="n"/>
      <c r="H377" s="27" t="n"/>
    </row>
    <row r="378" ht="17.25" customHeight="1" s="322">
      <c r="A378" s="27" t="n"/>
      <c r="B378" s="506" t="n"/>
      <c r="C378" s="141" t="n"/>
      <c r="D378" s="141" t="n"/>
      <c r="E378" s="141" t="n"/>
      <c r="F378" s="141" t="n"/>
      <c r="G378" s="143" t="n"/>
      <c r="H378" s="27" t="n"/>
    </row>
    <row r="379" ht="17.25" customHeight="1" s="322">
      <c r="A379" s="27" t="n"/>
      <c r="B379" s="506" t="n"/>
      <c r="C379" s="141" t="n"/>
      <c r="D379" s="141" t="n"/>
      <c r="E379" s="141" t="n"/>
      <c r="F379" s="141" t="n"/>
      <c r="G379" s="143" t="n"/>
      <c r="H379" s="27" t="n"/>
    </row>
    <row r="380" ht="17.25" customHeight="1" s="322">
      <c r="A380" s="27" t="n"/>
      <c r="B380" s="506" t="n"/>
      <c r="C380" s="141" t="n"/>
      <c r="D380" s="141" t="n"/>
      <c r="E380" s="141" t="n"/>
      <c r="F380" s="141" t="n"/>
      <c r="G380" s="143" t="n"/>
      <c r="H380" s="27" t="n"/>
    </row>
    <row r="381" ht="17.25" customHeight="1" s="322">
      <c r="A381" s="27" t="n"/>
      <c r="B381" s="506" t="n"/>
      <c r="C381" s="141" t="n"/>
      <c r="D381" s="141" t="n"/>
      <c r="E381" s="141" t="n"/>
      <c r="F381" s="141" t="n"/>
      <c r="G381" s="143" t="n"/>
      <c r="H381" s="27" t="n"/>
    </row>
    <row r="382" ht="17.25" customHeight="1" s="322">
      <c r="A382" s="27" t="n"/>
      <c r="B382" s="506" t="n"/>
      <c r="C382" s="141" t="n"/>
      <c r="D382" s="141" t="n"/>
      <c r="E382" s="141" t="n"/>
      <c r="F382" s="141" t="n"/>
      <c r="G382" s="143" t="n"/>
      <c r="H382" s="27" t="n"/>
    </row>
    <row r="383" ht="17.25" customHeight="1" s="322">
      <c r="A383" s="27" t="n"/>
      <c r="B383" s="506" t="n"/>
      <c r="C383" s="141" t="n"/>
      <c r="D383" s="141" t="n"/>
      <c r="E383" s="141" t="n"/>
      <c r="F383" s="141" t="n"/>
      <c r="G383" s="143" t="n"/>
      <c r="H383" s="27" t="n"/>
    </row>
    <row r="384" ht="17.25" customHeight="1" s="322">
      <c r="A384" s="27" t="n"/>
      <c r="B384" s="506" t="n"/>
      <c r="C384" s="141" t="n"/>
      <c r="D384" s="141" t="n"/>
      <c r="E384" s="141" t="n"/>
      <c r="F384" s="141" t="n"/>
      <c r="G384" s="143" t="n"/>
      <c r="H384" s="27" t="n"/>
    </row>
    <row r="385" ht="17.25" customHeight="1" s="322">
      <c r="A385" s="27" t="n"/>
      <c r="B385" s="506" t="n"/>
      <c r="C385" s="141" t="n"/>
      <c r="D385" s="141" t="n"/>
      <c r="E385" s="141" t="n"/>
      <c r="F385" s="141" t="n"/>
      <c r="G385" s="143" t="n"/>
      <c r="H385" s="27" t="n"/>
    </row>
    <row r="386" ht="17.25" customHeight="1" s="322">
      <c r="A386" s="27" t="n"/>
      <c r="B386" s="506" t="n"/>
      <c r="C386" s="141" t="n"/>
      <c r="D386" s="141" t="n"/>
      <c r="E386" s="141" t="n"/>
      <c r="F386" s="141" t="n"/>
      <c r="G386" s="143" t="n"/>
      <c r="H386" s="27" t="n"/>
    </row>
    <row r="387" ht="17.25" customHeight="1" s="322">
      <c r="A387" s="27" t="n"/>
      <c r="B387" s="506" t="n"/>
      <c r="C387" s="141" t="n"/>
      <c r="D387" s="141" t="n"/>
      <c r="E387" s="141" t="n"/>
      <c r="F387" s="141" t="n"/>
      <c r="G387" s="143" t="n"/>
      <c r="H387" s="27" t="n"/>
    </row>
    <row r="388" ht="17.25" customHeight="1" s="322">
      <c r="A388" s="27" t="n"/>
      <c r="B388" s="506" t="n"/>
      <c r="C388" s="141" t="n"/>
      <c r="D388" s="141" t="n"/>
      <c r="E388" s="141" t="n"/>
      <c r="F388" s="141" t="n"/>
      <c r="G388" s="143" t="n"/>
      <c r="H388" s="27" t="n"/>
    </row>
    <row r="389" ht="17.25" customHeight="1" s="322">
      <c r="A389" s="27" t="n"/>
      <c r="B389" s="506" t="n"/>
      <c r="C389" s="141" t="n"/>
      <c r="D389" s="141" t="n"/>
      <c r="E389" s="141" t="n"/>
      <c r="F389" s="141" t="n"/>
      <c r="G389" s="143" t="n"/>
      <c r="H389" s="27" t="n"/>
    </row>
    <row r="390" ht="17.25" customHeight="1" s="322">
      <c r="A390" s="27" t="n"/>
      <c r="B390" s="506" t="n"/>
      <c r="C390" s="141" t="n"/>
      <c r="D390" s="141" t="n"/>
      <c r="E390" s="141" t="n"/>
      <c r="F390" s="141" t="n"/>
      <c r="G390" s="143" t="n"/>
      <c r="H390" s="27" t="n"/>
    </row>
    <row r="391" ht="17.25" customHeight="1" s="322">
      <c r="A391" s="27" t="n"/>
      <c r="B391" s="506" t="n"/>
      <c r="C391" s="141" t="n"/>
      <c r="D391" s="141" t="n"/>
      <c r="E391" s="141" t="n"/>
      <c r="F391" s="141" t="n"/>
      <c r="G391" s="143" t="n"/>
      <c r="H391" s="27" t="n"/>
    </row>
    <row r="392" ht="17.25" customHeight="1" s="322">
      <c r="A392" s="27" t="n"/>
      <c r="B392" s="506" t="n"/>
      <c r="C392" s="141" t="n"/>
      <c r="D392" s="141" t="n"/>
      <c r="E392" s="141" t="n"/>
      <c r="F392" s="141" t="n"/>
      <c r="G392" s="143" t="n"/>
      <c r="H392" s="27" t="n"/>
    </row>
    <row r="393" ht="17.25" customHeight="1" s="322">
      <c r="A393" s="27" t="n"/>
      <c r="B393" s="506" t="n"/>
      <c r="C393" s="141" t="n"/>
      <c r="D393" s="141" t="n"/>
      <c r="E393" s="141" t="n"/>
      <c r="F393" s="141" t="n"/>
      <c r="G393" s="143" t="n"/>
      <c r="H393" s="27" t="n"/>
    </row>
    <row r="394" ht="17.25" customHeight="1" s="322">
      <c r="A394" s="27" t="n"/>
      <c r="B394" s="506" t="n"/>
      <c r="C394" s="141" t="n"/>
      <c r="D394" s="141" t="n"/>
      <c r="E394" s="141" t="n"/>
      <c r="F394" s="141" t="n"/>
      <c r="G394" s="143" t="n"/>
      <c r="H394" s="27" t="n"/>
    </row>
    <row r="395" ht="17.25" customHeight="1" s="322">
      <c r="A395" s="27" t="n"/>
      <c r="B395" s="506" t="n"/>
      <c r="C395" s="141" t="n"/>
      <c r="D395" s="141" t="n"/>
      <c r="E395" s="141" t="n"/>
      <c r="F395" s="141" t="n"/>
      <c r="G395" s="143" t="n"/>
      <c r="H395" s="27" t="n"/>
    </row>
    <row r="396" ht="17.25" customHeight="1" s="322">
      <c r="A396" s="27" t="n"/>
      <c r="B396" s="506" t="n"/>
      <c r="C396" s="141" t="n"/>
      <c r="D396" s="141" t="n"/>
      <c r="E396" s="141" t="n"/>
      <c r="F396" s="141" t="n"/>
      <c r="G396" s="143" t="n"/>
      <c r="H396" s="27" t="n"/>
    </row>
    <row r="397" ht="17.25" customHeight="1" s="322">
      <c r="A397" s="27" t="n"/>
      <c r="B397" s="506" t="n"/>
      <c r="C397" s="141" t="n"/>
      <c r="D397" s="141" t="n"/>
      <c r="E397" s="141" t="n"/>
      <c r="F397" s="141" t="n"/>
      <c r="G397" s="143" t="n"/>
      <c r="H397" s="27" t="n"/>
    </row>
    <row r="398" ht="17.25" customHeight="1" s="322">
      <c r="A398" s="27" t="n"/>
      <c r="B398" s="506" t="n"/>
      <c r="C398" s="141" t="n"/>
      <c r="D398" s="141" t="n"/>
      <c r="E398" s="141" t="n"/>
      <c r="F398" s="141" t="n"/>
      <c r="G398" s="143" t="n"/>
      <c r="H398" s="27" t="n"/>
    </row>
    <row r="399" ht="17.25" customHeight="1" s="322">
      <c r="A399" s="27" t="n"/>
      <c r="B399" s="506" t="n"/>
      <c r="C399" s="141" t="n"/>
      <c r="D399" s="141" t="n"/>
      <c r="E399" s="141" t="n"/>
      <c r="F399" s="141" t="n"/>
      <c r="G399" s="143" t="n"/>
      <c r="H399" s="27" t="n"/>
    </row>
    <row r="400" ht="17.25" customHeight="1" s="322">
      <c r="A400" s="27" t="n"/>
      <c r="B400" s="506" t="n"/>
      <c r="C400" s="141" t="n"/>
      <c r="D400" s="141" t="n"/>
      <c r="E400" s="141" t="n"/>
      <c r="F400" s="141" t="n"/>
      <c r="G400" s="143" t="n"/>
      <c r="H400" s="27" t="n"/>
    </row>
    <row r="401" ht="17.25" customHeight="1" s="322">
      <c r="A401" s="27" t="n"/>
      <c r="B401" s="506" t="n"/>
      <c r="C401" s="141" t="n"/>
      <c r="D401" s="141" t="n"/>
      <c r="E401" s="141" t="n"/>
      <c r="F401" s="141" t="n"/>
      <c r="G401" s="143" t="n"/>
      <c r="H401" s="27" t="n"/>
    </row>
    <row r="402" ht="17.25" customHeight="1" s="322">
      <c r="A402" s="27" t="n"/>
      <c r="B402" s="506" t="n"/>
      <c r="C402" s="141" t="n"/>
      <c r="D402" s="141" t="n"/>
      <c r="E402" s="141" t="n"/>
      <c r="F402" s="141" t="n"/>
      <c r="G402" s="143" t="n"/>
      <c r="H402" s="27" t="n"/>
    </row>
    <row r="403" ht="17.25" customHeight="1" s="322">
      <c r="A403" s="27" t="n"/>
      <c r="B403" s="506" t="n"/>
      <c r="C403" s="141" t="n"/>
      <c r="D403" s="141" t="n"/>
      <c r="E403" s="141" t="n"/>
      <c r="F403" s="141" t="n"/>
      <c r="G403" s="143" t="n"/>
      <c r="H403" s="27" t="n"/>
    </row>
    <row r="404" ht="17.25" customHeight="1" s="322">
      <c r="A404" s="27" t="n"/>
      <c r="B404" s="506" t="n"/>
      <c r="C404" s="141" t="n"/>
      <c r="D404" s="141" t="n"/>
      <c r="E404" s="141" t="n"/>
      <c r="F404" s="141" t="n"/>
      <c r="G404" s="143" t="n"/>
      <c r="H404" s="27" t="n"/>
    </row>
    <row r="405" ht="17.25" customHeight="1" s="322">
      <c r="A405" s="27" t="n"/>
      <c r="B405" s="506" t="n"/>
      <c r="C405" s="141" t="n"/>
      <c r="D405" s="141" t="n"/>
      <c r="E405" s="141" t="n"/>
      <c r="F405" s="141" t="n"/>
      <c r="G405" s="143" t="n"/>
      <c r="H405" s="27" t="n"/>
    </row>
    <row r="406" ht="17.25" customHeight="1" s="322">
      <c r="A406" s="27" t="n"/>
      <c r="B406" s="506" t="n"/>
      <c r="C406" s="141" t="n"/>
      <c r="D406" s="141" t="n"/>
      <c r="E406" s="141" t="n"/>
      <c r="F406" s="141" t="n"/>
      <c r="G406" s="143" t="n"/>
      <c r="H406" s="27" t="n"/>
    </row>
    <row r="407" ht="17.25" customHeight="1" s="322">
      <c r="A407" s="27" t="n"/>
      <c r="B407" s="506" t="n"/>
      <c r="C407" s="141" t="n"/>
      <c r="D407" s="141" t="n"/>
      <c r="E407" s="141" t="n"/>
      <c r="F407" s="141" t="n"/>
      <c r="G407" s="143" t="n"/>
      <c r="H407" s="27" t="n"/>
    </row>
    <row r="408" ht="17.25" customHeight="1" s="322">
      <c r="A408" s="27" t="n"/>
      <c r="B408" s="506" t="n"/>
      <c r="C408" s="141" t="n"/>
      <c r="D408" s="141" t="n"/>
      <c r="E408" s="141" t="n"/>
      <c r="F408" s="141" t="n"/>
      <c r="G408" s="143" t="n"/>
      <c r="H408" s="27" t="n"/>
    </row>
    <row r="409" ht="17.25" customHeight="1" s="322">
      <c r="A409" s="27" t="n"/>
      <c r="B409" s="506" t="n"/>
      <c r="C409" s="141" t="n"/>
      <c r="D409" s="141" t="n"/>
      <c r="E409" s="141" t="n"/>
      <c r="F409" s="141" t="n"/>
      <c r="G409" s="143" t="n"/>
      <c r="H409" s="27" t="n"/>
    </row>
    <row r="410" ht="17.25" customHeight="1" s="322">
      <c r="A410" s="27" t="n"/>
      <c r="B410" s="506" t="n"/>
      <c r="C410" s="141" t="n"/>
      <c r="D410" s="141" t="n"/>
      <c r="E410" s="141" t="n"/>
      <c r="F410" s="141" t="n"/>
      <c r="G410" s="143" t="n"/>
      <c r="H410" s="27" t="n"/>
    </row>
    <row r="411" ht="17.25" customHeight="1" s="322">
      <c r="A411" s="27" t="n"/>
      <c r="B411" s="506" t="n"/>
      <c r="C411" s="141" t="n"/>
      <c r="D411" s="141" t="n"/>
      <c r="E411" s="141" t="n"/>
      <c r="F411" s="141" t="n"/>
      <c r="G411" s="143" t="n"/>
      <c r="H411" s="27" t="n"/>
    </row>
    <row r="412" ht="17.25" customHeight="1" s="322">
      <c r="A412" s="27" t="n"/>
      <c r="B412" s="506" t="n"/>
      <c r="C412" s="141" t="n"/>
      <c r="D412" s="141" t="n"/>
      <c r="E412" s="141" t="n"/>
      <c r="F412" s="141" t="n"/>
      <c r="G412" s="143" t="n"/>
      <c r="H412" s="27" t="n"/>
    </row>
    <row r="413" ht="17.25" customHeight="1" s="322">
      <c r="A413" s="27" t="n"/>
      <c r="B413" s="506" t="n"/>
      <c r="C413" s="141" t="n"/>
      <c r="D413" s="141" t="n"/>
      <c r="E413" s="141" t="n"/>
      <c r="F413" s="141" t="n"/>
      <c r="G413" s="143" t="n"/>
      <c r="H413" s="27" t="n"/>
    </row>
    <row r="414" ht="17.25" customHeight="1" s="322">
      <c r="A414" s="27" t="n"/>
      <c r="B414" s="506" t="n"/>
      <c r="C414" s="141" t="n"/>
      <c r="D414" s="141" t="n"/>
      <c r="E414" s="141" t="n"/>
      <c r="F414" s="141" t="n"/>
      <c r="G414" s="143" t="n"/>
      <c r="H414" s="27" t="n"/>
    </row>
    <row r="415" ht="17.25" customHeight="1" s="322">
      <c r="A415" s="27" t="n"/>
      <c r="B415" s="506" t="n"/>
      <c r="C415" s="141" t="n"/>
      <c r="D415" s="141" t="n"/>
      <c r="E415" s="141" t="n"/>
      <c r="F415" s="141" t="n"/>
      <c r="G415" s="143" t="n"/>
      <c r="H415" s="27" t="n"/>
    </row>
    <row r="416" ht="17.25" customHeight="1" s="322">
      <c r="A416" s="27" t="n"/>
      <c r="B416" s="506" t="n"/>
      <c r="C416" s="141" t="n"/>
      <c r="D416" s="141" t="n"/>
      <c r="E416" s="141" t="n"/>
      <c r="F416" s="141" t="n"/>
      <c r="G416" s="143" t="n"/>
      <c r="H416" s="27" t="n"/>
    </row>
    <row r="417" ht="17.25" customHeight="1" s="322">
      <c r="A417" s="27" t="n"/>
      <c r="B417" s="506" t="n"/>
      <c r="C417" s="141" t="n"/>
      <c r="D417" s="141" t="n"/>
      <c r="E417" s="141" t="n"/>
      <c r="F417" s="141" t="n"/>
      <c r="G417" s="143" t="n"/>
      <c r="H417" s="27" t="n"/>
    </row>
    <row r="418" ht="17.25" customHeight="1" s="322">
      <c r="A418" s="27" t="n"/>
      <c r="B418" s="506" t="n"/>
      <c r="C418" s="141" t="n"/>
      <c r="D418" s="141" t="n"/>
      <c r="E418" s="141" t="n"/>
      <c r="F418" s="141" t="n"/>
      <c r="G418" s="143" t="n"/>
      <c r="H418" s="27" t="n"/>
    </row>
    <row r="419" ht="17.25" customHeight="1" s="322">
      <c r="A419" s="27" t="n"/>
      <c r="B419" s="506" t="n"/>
      <c r="C419" s="141" t="n"/>
      <c r="D419" s="141" t="n"/>
      <c r="E419" s="141" t="n"/>
      <c r="F419" s="141" t="n"/>
      <c r="G419" s="143" t="n"/>
      <c r="H419" s="27" t="n"/>
    </row>
    <row r="420" ht="17.25" customHeight="1" s="322">
      <c r="A420" s="27" t="n"/>
      <c r="B420" s="506" t="n"/>
      <c r="C420" s="141" t="n"/>
      <c r="D420" s="141" t="n"/>
      <c r="E420" s="141" t="n"/>
      <c r="F420" s="141" t="n"/>
      <c r="G420" s="143" t="n"/>
      <c r="H420" s="27" t="n"/>
    </row>
    <row r="421" ht="17.25" customHeight="1" s="322">
      <c r="A421" s="27" t="n"/>
      <c r="B421" s="506" t="n"/>
      <c r="C421" s="141" t="n"/>
      <c r="D421" s="141" t="n"/>
      <c r="E421" s="141" t="n"/>
      <c r="F421" s="141" t="n"/>
      <c r="G421" s="143" t="n"/>
      <c r="H421" s="27" t="n"/>
    </row>
    <row r="422" ht="17.25" customHeight="1" s="322">
      <c r="A422" s="27" t="n"/>
      <c r="B422" s="506" t="n"/>
      <c r="C422" s="141" t="n"/>
      <c r="D422" s="141" t="n"/>
      <c r="E422" s="141" t="n"/>
      <c r="F422" s="141" t="n"/>
      <c r="G422" s="143" t="n"/>
      <c r="H422" s="27" t="n"/>
    </row>
    <row r="423" ht="17.25" customHeight="1" s="322">
      <c r="A423" s="27" t="n"/>
      <c r="B423" s="506" t="n"/>
      <c r="C423" s="141" t="n"/>
      <c r="D423" s="141" t="n"/>
      <c r="E423" s="141" t="n"/>
      <c r="F423" s="141" t="n"/>
      <c r="G423" s="143" t="n"/>
      <c r="H423" s="27" t="n"/>
    </row>
    <row r="424" ht="17.25" customHeight="1" s="322">
      <c r="A424" s="27" t="n"/>
      <c r="B424" s="506" t="n"/>
      <c r="C424" s="141" t="n"/>
      <c r="D424" s="141" t="n"/>
      <c r="E424" s="141" t="n"/>
      <c r="F424" s="141" t="n"/>
      <c r="G424" s="143" t="n"/>
      <c r="H424" s="27" t="n"/>
    </row>
    <row r="425" ht="17.25" customHeight="1" s="322">
      <c r="A425" s="27" t="n"/>
      <c r="B425" s="506" t="n"/>
      <c r="C425" s="141" t="n"/>
      <c r="D425" s="141" t="n"/>
      <c r="E425" s="141" t="n"/>
      <c r="F425" s="141" t="n"/>
      <c r="G425" s="143" t="n"/>
      <c r="H425" s="27" t="n"/>
    </row>
    <row r="426" ht="17.25" customHeight="1" s="322">
      <c r="A426" s="27" t="n"/>
      <c r="B426" s="506" t="n"/>
      <c r="C426" s="141" t="n"/>
      <c r="D426" s="141" t="n"/>
      <c r="E426" s="141" t="n"/>
      <c r="F426" s="141" t="n"/>
      <c r="G426" s="143" t="n"/>
      <c r="H426" s="27" t="n"/>
    </row>
    <row r="427" ht="17.25" customHeight="1" s="322">
      <c r="A427" s="27" t="n"/>
      <c r="B427" s="506" t="n"/>
      <c r="C427" s="141" t="n"/>
      <c r="D427" s="141" t="n"/>
      <c r="E427" s="141" t="n"/>
      <c r="F427" s="141" t="n"/>
      <c r="G427" s="143" t="n"/>
      <c r="H427" s="27" t="n"/>
    </row>
    <row r="428" ht="17.25" customHeight="1" s="322">
      <c r="A428" s="27" t="n"/>
      <c r="B428" s="506" t="n"/>
      <c r="C428" s="141" t="n"/>
      <c r="D428" s="141" t="n"/>
      <c r="E428" s="141" t="n"/>
      <c r="F428" s="141" t="n"/>
      <c r="G428" s="143" t="n"/>
      <c r="H428" s="27" t="n"/>
    </row>
    <row r="429" ht="17.25" customHeight="1" s="322">
      <c r="A429" s="27" t="n"/>
      <c r="B429" s="506" t="n"/>
      <c r="C429" s="141" t="n"/>
      <c r="D429" s="141" t="n"/>
      <c r="E429" s="141" t="n"/>
      <c r="F429" s="141" t="n"/>
      <c r="G429" s="143" t="n"/>
      <c r="H429" s="27" t="n"/>
    </row>
    <row r="430" ht="17.25" customHeight="1" s="322">
      <c r="A430" s="27" t="n"/>
      <c r="B430" s="506" t="n"/>
      <c r="C430" s="141" t="n"/>
      <c r="D430" s="141" t="n"/>
      <c r="E430" s="141" t="n"/>
      <c r="F430" s="141" t="n"/>
      <c r="G430" s="143" t="n"/>
      <c r="H430" s="27" t="n"/>
    </row>
    <row r="431" ht="17.25" customHeight="1" s="322">
      <c r="A431" s="27" t="n"/>
      <c r="B431" s="506" t="n"/>
      <c r="C431" s="141" t="n"/>
      <c r="D431" s="141" t="n"/>
      <c r="E431" s="141" t="n"/>
      <c r="F431" s="141" t="n"/>
      <c r="G431" s="143" t="n"/>
      <c r="H431" s="27" t="n"/>
    </row>
    <row r="432" ht="17.25" customHeight="1" s="322">
      <c r="A432" s="27" t="n"/>
      <c r="B432" s="506" t="n"/>
      <c r="C432" s="141" t="n"/>
      <c r="D432" s="141" t="n"/>
      <c r="E432" s="141" t="n"/>
      <c r="F432" s="141" t="n"/>
      <c r="G432" s="143" t="n"/>
      <c r="H432" s="27" t="n"/>
    </row>
    <row r="433" ht="17.25" customHeight="1" s="322">
      <c r="A433" s="27" t="n"/>
      <c r="B433" s="506" t="n"/>
      <c r="C433" s="141" t="n"/>
      <c r="D433" s="141" t="n"/>
      <c r="E433" s="141" t="n"/>
      <c r="F433" s="141" t="n"/>
      <c r="G433" s="143" t="n"/>
      <c r="H433" s="27" t="n"/>
    </row>
    <row r="434" ht="17.25" customHeight="1" s="322">
      <c r="A434" s="27" t="n"/>
      <c r="B434" s="506" t="n"/>
      <c r="C434" s="141" t="n"/>
      <c r="D434" s="141" t="n"/>
      <c r="E434" s="141" t="n"/>
      <c r="F434" s="141" t="n"/>
      <c r="G434" s="143" t="n"/>
      <c r="H434" s="27" t="n"/>
    </row>
    <row r="435" ht="17.25" customHeight="1" s="322">
      <c r="A435" s="27" t="n"/>
      <c r="B435" s="506" t="n"/>
      <c r="C435" s="141" t="n"/>
      <c r="D435" s="141" t="n"/>
      <c r="E435" s="141" t="n"/>
      <c r="F435" s="141" t="n"/>
      <c r="G435" s="143" t="n"/>
      <c r="H435" s="27" t="n"/>
    </row>
    <row r="436" ht="17.25" customHeight="1" s="322">
      <c r="A436" s="27" t="n"/>
      <c r="B436" s="506" t="n"/>
      <c r="C436" s="141" t="n"/>
      <c r="D436" s="141" t="n"/>
      <c r="E436" s="141" t="n"/>
      <c r="F436" s="141" t="n"/>
      <c r="G436" s="143" t="n"/>
      <c r="H436" s="27" t="n"/>
    </row>
    <row r="437" ht="17.25" customHeight="1" s="322">
      <c r="A437" s="27" t="n"/>
      <c r="B437" s="506" t="n"/>
      <c r="C437" s="141" t="n"/>
      <c r="D437" s="141" t="n"/>
      <c r="E437" s="141" t="n"/>
      <c r="F437" s="141" t="n"/>
      <c r="G437" s="143" t="n"/>
      <c r="H437" s="27" t="n"/>
    </row>
    <row r="438" ht="17.25" customHeight="1" s="322">
      <c r="A438" s="27" t="n"/>
      <c r="B438" s="506" t="n"/>
      <c r="C438" s="141" t="n"/>
      <c r="D438" s="141" t="n"/>
      <c r="E438" s="141" t="n"/>
      <c r="F438" s="141" t="n"/>
      <c r="G438" s="143" t="n"/>
      <c r="H438" s="27" t="n"/>
    </row>
    <row r="439" ht="17.25" customHeight="1" s="322">
      <c r="A439" s="27" t="n"/>
      <c r="B439" s="506" t="n"/>
      <c r="C439" s="141" t="n"/>
      <c r="D439" s="141" t="n"/>
      <c r="E439" s="141" t="n"/>
      <c r="F439" s="141" t="n"/>
      <c r="G439" s="143" t="n"/>
      <c r="H439" s="27" t="n"/>
    </row>
    <row r="440" ht="17.25" customHeight="1" s="322">
      <c r="A440" s="27" t="n"/>
      <c r="B440" s="506" t="n"/>
      <c r="C440" s="141" t="n"/>
      <c r="D440" s="141" t="n"/>
      <c r="E440" s="141" t="n"/>
      <c r="F440" s="141" t="n"/>
      <c r="G440" s="143" t="n"/>
      <c r="H440" s="27" t="n"/>
    </row>
    <row r="441" ht="17.25" customHeight="1" s="322">
      <c r="A441" s="27" t="n"/>
      <c r="B441" s="506" t="n"/>
      <c r="C441" s="141" t="n"/>
      <c r="D441" s="141" t="n"/>
      <c r="E441" s="141" t="n"/>
      <c r="F441" s="141" t="n"/>
      <c r="G441" s="143" t="n"/>
      <c r="H441" s="27" t="n"/>
    </row>
    <row r="442" ht="17.25" customHeight="1" s="322">
      <c r="A442" s="27" t="n"/>
      <c r="B442" s="506" t="n"/>
      <c r="C442" s="141" t="n"/>
      <c r="D442" s="141" t="n"/>
      <c r="E442" s="141" t="n"/>
      <c r="F442" s="141" t="n"/>
      <c r="G442" s="143" t="n"/>
      <c r="H442" s="27" t="n"/>
    </row>
    <row r="443" ht="17.25" customHeight="1" s="322">
      <c r="A443" s="27" t="n"/>
      <c r="B443" s="506" t="n"/>
      <c r="C443" s="141" t="n"/>
      <c r="D443" s="141" t="n"/>
      <c r="E443" s="141" t="n"/>
      <c r="F443" s="141" t="n"/>
      <c r="G443" s="143" t="n"/>
      <c r="H443" s="27" t="n"/>
    </row>
    <row r="444" ht="17.25" customHeight="1" s="322">
      <c r="A444" s="27" t="n"/>
      <c r="B444" s="506" t="n"/>
      <c r="C444" s="141" t="n"/>
      <c r="D444" s="141" t="n"/>
      <c r="E444" s="141" t="n"/>
      <c r="F444" s="141" t="n"/>
      <c r="G444" s="143" t="n"/>
      <c r="H444" s="27" t="n"/>
    </row>
    <row r="445" ht="17.25" customHeight="1" s="322">
      <c r="A445" s="27" t="n"/>
      <c r="B445" s="506" t="n"/>
      <c r="C445" s="141" t="n"/>
      <c r="D445" s="141" t="n"/>
      <c r="E445" s="141" t="n"/>
      <c r="F445" s="141" t="n"/>
      <c r="G445" s="143" t="n"/>
      <c r="H445" s="27" t="n"/>
    </row>
    <row r="446" ht="17.25" customHeight="1" s="322">
      <c r="A446" s="27" t="n"/>
      <c r="B446" s="506" t="n"/>
      <c r="C446" s="141" t="n"/>
      <c r="D446" s="141" t="n"/>
      <c r="E446" s="141" t="n"/>
      <c r="F446" s="141" t="n"/>
      <c r="G446" s="143" t="n"/>
      <c r="H446" s="27" t="n"/>
    </row>
    <row r="447" ht="17.25" customHeight="1" s="322">
      <c r="A447" s="27" t="n"/>
      <c r="B447" s="506" t="n"/>
      <c r="C447" s="141" t="n"/>
      <c r="D447" s="141" t="n"/>
      <c r="E447" s="141" t="n"/>
      <c r="F447" s="141" t="n"/>
      <c r="G447" s="143" t="n"/>
      <c r="H447" s="27" t="n"/>
    </row>
    <row r="448" ht="17.25" customHeight="1" s="322">
      <c r="A448" s="27" t="n"/>
      <c r="B448" s="506" t="n"/>
      <c r="C448" s="141" t="n"/>
      <c r="D448" s="141" t="n"/>
      <c r="E448" s="141" t="n"/>
      <c r="F448" s="141" t="n"/>
      <c r="G448" s="143" t="n"/>
      <c r="H448" s="27" t="n"/>
    </row>
    <row r="449" ht="17.25" customHeight="1" s="322">
      <c r="A449" s="27" t="n"/>
      <c r="B449" s="506" t="n"/>
      <c r="C449" s="141" t="n"/>
      <c r="D449" s="141" t="n"/>
      <c r="E449" s="141" t="n"/>
      <c r="F449" s="141" t="n"/>
      <c r="G449" s="143" t="n"/>
      <c r="H449" s="27" t="n"/>
    </row>
    <row r="450" ht="17.25" customHeight="1" s="322">
      <c r="A450" s="27" t="n"/>
      <c r="B450" s="506" t="n"/>
      <c r="C450" s="141" t="n"/>
      <c r="D450" s="141" t="n"/>
      <c r="E450" s="141" t="n"/>
      <c r="F450" s="141" t="n"/>
      <c r="G450" s="143" t="n"/>
      <c r="H450" s="27" t="n"/>
    </row>
    <row r="451" ht="17.25" customHeight="1" s="322">
      <c r="A451" s="27" t="n"/>
      <c r="B451" s="506" t="n"/>
      <c r="C451" s="141" t="n"/>
      <c r="D451" s="141" t="n"/>
      <c r="E451" s="141" t="n"/>
      <c r="F451" s="141" t="n"/>
      <c r="G451" s="143" t="n"/>
      <c r="H451" s="27" t="n"/>
    </row>
    <row r="452" ht="17.25" customHeight="1" s="322">
      <c r="A452" s="27" t="n"/>
      <c r="B452" s="506" t="n"/>
      <c r="C452" s="141" t="n"/>
      <c r="D452" s="141" t="n"/>
      <c r="E452" s="141" t="n"/>
      <c r="F452" s="141" t="n"/>
      <c r="G452" s="143" t="n"/>
      <c r="H452" s="27" t="n"/>
    </row>
    <row r="453" ht="17.25" customHeight="1" s="322">
      <c r="A453" s="27" t="n"/>
      <c r="B453" s="506" t="n"/>
      <c r="C453" s="141" t="n"/>
      <c r="D453" s="141" t="n"/>
      <c r="E453" s="141" t="n"/>
      <c r="F453" s="141" t="n"/>
      <c r="G453" s="143" t="n"/>
      <c r="H453" s="27" t="n"/>
    </row>
    <row r="454" ht="17.25" customHeight="1" s="322">
      <c r="A454" s="27" t="n"/>
      <c r="B454" s="506" t="n"/>
      <c r="C454" s="141" t="n"/>
      <c r="D454" s="141" t="n"/>
      <c r="E454" s="141" t="n"/>
      <c r="F454" s="141" t="n"/>
      <c r="G454" s="143" t="n"/>
      <c r="H454" s="27" t="n"/>
    </row>
    <row r="455" ht="17.25" customHeight="1" s="322">
      <c r="A455" s="27" t="n"/>
      <c r="B455" s="506" t="n"/>
      <c r="C455" s="141" t="n"/>
      <c r="D455" s="141" t="n"/>
      <c r="E455" s="141" t="n"/>
      <c r="F455" s="141" t="n"/>
      <c r="G455" s="143" t="n"/>
      <c r="H455" s="27" t="n"/>
    </row>
    <row r="456" ht="17.25" customHeight="1" s="322">
      <c r="A456" s="27" t="n"/>
      <c r="B456" s="506" t="n"/>
      <c r="C456" s="141" t="n"/>
      <c r="D456" s="141" t="n"/>
      <c r="E456" s="141" t="n"/>
      <c r="F456" s="141" t="n"/>
      <c r="G456" s="143" t="n"/>
      <c r="H456" s="27" t="n"/>
    </row>
    <row r="457" ht="17.25" customHeight="1" s="322">
      <c r="A457" s="27" t="n"/>
      <c r="B457" s="506" t="n"/>
      <c r="C457" s="141" t="n"/>
      <c r="D457" s="141" t="n"/>
      <c r="E457" s="141" t="n"/>
      <c r="F457" s="141" t="n"/>
      <c r="G457" s="143" t="n"/>
      <c r="H457" s="27" t="n"/>
    </row>
    <row r="458" ht="17.25" customHeight="1" s="322">
      <c r="A458" s="27" t="n"/>
      <c r="B458" s="506" t="n"/>
      <c r="C458" s="141" t="n"/>
      <c r="D458" s="141" t="n"/>
      <c r="E458" s="141" t="n"/>
      <c r="F458" s="141" t="n"/>
      <c r="G458" s="143" t="n"/>
      <c r="H458" s="27" t="n"/>
    </row>
    <row r="459" ht="17.25" customHeight="1" s="322">
      <c r="A459" s="27" t="n"/>
      <c r="B459" s="506" t="n"/>
      <c r="C459" s="141" t="n"/>
      <c r="D459" s="141" t="n"/>
      <c r="E459" s="141" t="n"/>
      <c r="F459" s="141" t="n"/>
      <c r="G459" s="143" t="n"/>
      <c r="H459" s="27" t="n"/>
    </row>
    <row r="460" ht="17.25" customHeight="1" s="322">
      <c r="A460" s="27" t="n"/>
      <c r="B460" s="506" t="n"/>
      <c r="C460" s="141" t="n"/>
      <c r="D460" s="141" t="n"/>
      <c r="E460" s="141" t="n"/>
      <c r="F460" s="141" t="n"/>
      <c r="G460" s="143" t="n"/>
      <c r="H460" s="27" t="n"/>
    </row>
    <row r="461" ht="17.25" customHeight="1" s="322">
      <c r="A461" s="27" t="n"/>
      <c r="B461" s="506" t="n"/>
      <c r="C461" s="141" t="n"/>
      <c r="D461" s="141" t="n"/>
      <c r="E461" s="141" t="n"/>
      <c r="F461" s="141" t="n"/>
      <c r="G461" s="143" t="n"/>
      <c r="H461" s="27" t="n"/>
    </row>
    <row r="462" ht="17.25" customHeight="1" s="322">
      <c r="A462" s="27" t="n"/>
      <c r="B462" s="506" t="n"/>
      <c r="C462" s="141" t="n"/>
      <c r="D462" s="141" t="n"/>
      <c r="E462" s="141" t="n"/>
      <c r="F462" s="141" t="n"/>
      <c r="G462" s="143" t="n"/>
      <c r="H462" s="27" t="n"/>
    </row>
    <row r="463" ht="17.25" customHeight="1" s="322">
      <c r="A463" s="27" t="n"/>
      <c r="B463" s="506" t="n"/>
      <c r="C463" s="141" t="n"/>
      <c r="D463" s="141" t="n"/>
      <c r="E463" s="141" t="n"/>
      <c r="F463" s="141" t="n"/>
      <c r="G463" s="143" t="n"/>
      <c r="H463" s="27" t="n"/>
    </row>
    <row r="464" ht="17.25" customHeight="1" s="322">
      <c r="A464" s="27" t="n"/>
      <c r="B464" s="506" t="n"/>
      <c r="C464" s="141" t="n"/>
      <c r="D464" s="141" t="n"/>
      <c r="E464" s="141" t="n"/>
      <c r="F464" s="141" t="n"/>
      <c r="G464" s="143" t="n"/>
      <c r="H464" s="27" t="n"/>
    </row>
    <row r="465" ht="17.25" customHeight="1" s="322">
      <c r="A465" s="27" t="n"/>
      <c r="B465" s="506" t="n"/>
      <c r="C465" s="141" t="n"/>
      <c r="D465" s="141" t="n"/>
      <c r="E465" s="141" t="n"/>
      <c r="F465" s="141" t="n"/>
      <c r="G465" s="143" t="n"/>
      <c r="H465" s="27" t="n"/>
    </row>
    <row r="466" ht="17.25" customHeight="1" s="322">
      <c r="A466" s="27" t="n"/>
      <c r="B466" s="506" t="n"/>
      <c r="C466" s="141" t="n"/>
      <c r="D466" s="141" t="n"/>
      <c r="E466" s="141" t="n"/>
      <c r="F466" s="141" t="n"/>
      <c r="G466" s="143" t="n"/>
      <c r="H466" s="27" t="n"/>
    </row>
    <row r="467" ht="17.25" customHeight="1" s="322">
      <c r="A467" s="27" t="n"/>
      <c r="B467" s="506" t="n"/>
      <c r="C467" s="141" t="n"/>
      <c r="D467" s="141" t="n"/>
      <c r="E467" s="141" t="n"/>
      <c r="F467" s="141" t="n"/>
      <c r="G467" s="143" t="n"/>
      <c r="H467" s="27" t="n"/>
    </row>
    <row r="468" ht="17.25" customHeight="1" s="322">
      <c r="A468" s="27" t="n"/>
      <c r="B468" s="506" t="n"/>
      <c r="C468" s="141" t="n"/>
      <c r="D468" s="141" t="n"/>
      <c r="E468" s="141" t="n"/>
      <c r="F468" s="141" t="n"/>
      <c r="G468" s="143" t="n"/>
      <c r="H468" s="27" t="n"/>
    </row>
    <row r="469" ht="17.25" customHeight="1" s="322">
      <c r="A469" s="27" t="n"/>
      <c r="B469" s="506" t="n"/>
      <c r="C469" s="141" t="n"/>
      <c r="D469" s="141" t="n"/>
      <c r="E469" s="141" t="n"/>
      <c r="F469" s="141" t="n"/>
      <c r="G469" s="143" t="n"/>
      <c r="H469" s="27" t="n"/>
    </row>
    <row r="470" ht="17.25" customHeight="1" s="322">
      <c r="A470" s="27" t="n"/>
      <c r="B470" s="506" t="n"/>
      <c r="C470" s="141" t="n"/>
      <c r="D470" s="141" t="n"/>
      <c r="E470" s="141" t="n"/>
      <c r="F470" s="141" t="n"/>
      <c r="G470" s="143" t="n"/>
      <c r="H470" s="27" t="n"/>
    </row>
    <row r="471" ht="17.25" customHeight="1" s="322">
      <c r="A471" s="27" t="n"/>
      <c r="B471" s="506" t="n"/>
      <c r="C471" s="141" t="n"/>
      <c r="D471" s="141" t="n"/>
      <c r="E471" s="141" t="n"/>
      <c r="F471" s="141" t="n"/>
      <c r="G471" s="143" t="n"/>
      <c r="H471" s="27" t="n"/>
    </row>
    <row r="472" ht="17.25" customHeight="1" s="322">
      <c r="A472" s="27" t="n"/>
      <c r="B472" s="506" t="n"/>
      <c r="C472" s="141" t="n"/>
      <c r="D472" s="141" t="n"/>
      <c r="E472" s="141" t="n"/>
      <c r="F472" s="141" t="n"/>
      <c r="G472" s="143" t="n"/>
      <c r="H472" s="27" t="n"/>
    </row>
    <row r="473" ht="17.25" customHeight="1" s="322">
      <c r="A473" s="27" t="n"/>
      <c r="B473" s="506" t="n"/>
      <c r="C473" s="141" t="n"/>
      <c r="D473" s="141" t="n"/>
      <c r="E473" s="141" t="n"/>
      <c r="F473" s="141" t="n"/>
      <c r="G473" s="143" t="n"/>
      <c r="H473" s="27" t="n"/>
    </row>
    <row r="474" ht="17.25" customHeight="1" s="322">
      <c r="A474" s="27" t="n"/>
      <c r="B474" s="506" t="n"/>
      <c r="C474" s="141" t="n"/>
      <c r="D474" s="141" t="n"/>
      <c r="E474" s="141" t="n"/>
      <c r="F474" s="141" t="n"/>
      <c r="G474" s="143" t="n"/>
      <c r="H474" s="27" t="n"/>
    </row>
    <row r="475" ht="17.25" customHeight="1" s="322">
      <c r="A475" s="27" t="n"/>
      <c r="B475" s="506" t="n"/>
      <c r="C475" s="141" t="n"/>
      <c r="D475" s="141" t="n"/>
      <c r="E475" s="141" t="n"/>
      <c r="F475" s="141" t="n"/>
      <c r="G475" s="143" t="n"/>
      <c r="H475" s="27" t="n"/>
    </row>
    <row r="476" ht="17.25" customHeight="1" s="322">
      <c r="A476" s="27" t="n"/>
      <c r="B476" s="506" t="n"/>
      <c r="C476" s="141" t="n"/>
      <c r="D476" s="141" t="n"/>
      <c r="E476" s="141" t="n"/>
      <c r="F476" s="141" t="n"/>
      <c r="G476" s="143" t="n"/>
      <c r="H476" s="27" t="n"/>
    </row>
    <row r="477" ht="17.25" customHeight="1" s="322">
      <c r="A477" s="27" t="n"/>
      <c r="B477" s="506" t="n"/>
      <c r="C477" s="141" t="n"/>
      <c r="D477" s="141" t="n"/>
      <c r="E477" s="141" t="n"/>
      <c r="F477" s="141" t="n"/>
      <c r="G477" s="143" t="n"/>
      <c r="H477" s="27" t="n"/>
    </row>
    <row r="478" ht="17.25" customHeight="1" s="322">
      <c r="A478" s="27" t="n"/>
      <c r="B478" s="506" t="n"/>
      <c r="C478" s="141" t="n"/>
      <c r="D478" s="141" t="n"/>
      <c r="E478" s="141" t="n"/>
      <c r="F478" s="141" t="n"/>
      <c r="G478" s="143" t="n"/>
      <c r="H478" s="27" t="n"/>
    </row>
    <row r="479" ht="17.25" customHeight="1" s="322">
      <c r="A479" s="27" t="n"/>
      <c r="B479" s="506" t="n"/>
      <c r="C479" s="141" t="n"/>
      <c r="D479" s="141" t="n"/>
      <c r="E479" s="141" t="n"/>
      <c r="F479" s="141" t="n"/>
      <c r="G479" s="143" t="n"/>
      <c r="H479" s="27" t="n"/>
    </row>
    <row r="480" ht="17.25" customHeight="1" s="322">
      <c r="A480" s="27" t="n"/>
      <c r="B480" s="506" t="n"/>
      <c r="C480" s="141" t="n"/>
      <c r="D480" s="141" t="n"/>
      <c r="E480" s="141" t="n"/>
      <c r="F480" s="141" t="n"/>
      <c r="G480" s="143" t="n"/>
      <c r="H480" s="27" t="n"/>
    </row>
    <row r="481" ht="17.25" customHeight="1" s="322">
      <c r="A481" s="27" t="n"/>
      <c r="B481" s="506" t="n"/>
      <c r="C481" s="141" t="n"/>
      <c r="D481" s="141" t="n"/>
      <c r="E481" s="141" t="n"/>
      <c r="F481" s="141" t="n"/>
      <c r="G481" s="143" t="n"/>
      <c r="H481" s="27" t="n"/>
    </row>
    <row r="482" ht="17.25" customHeight="1" s="322">
      <c r="A482" s="27" t="n"/>
      <c r="B482" s="506" t="n"/>
      <c r="C482" s="141" t="n"/>
      <c r="D482" s="141" t="n"/>
      <c r="E482" s="141" t="n"/>
      <c r="F482" s="141" t="n"/>
      <c r="G482" s="143" t="n"/>
      <c r="H482" s="27" t="n"/>
    </row>
    <row r="483" ht="17.25" customHeight="1" s="322">
      <c r="A483" s="27" t="n"/>
      <c r="B483" s="506" t="n"/>
      <c r="C483" s="141" t="n"/>
      <c r="D483" s="141" t="n"/>
      <c r="E483" s="141" t="n"/>
      <c r="F483" s="141" t="n"/>
      <c r="G483" s="143" t="n"/>
      <c r="H483" s="27" t="n"/>
    </row>
    <row r="484" ht="17.25" customHeight="1" s="322">
      <c r="A484" s="27" t="n"/>
      <c r="B484" s="506" t="n"/>
      <c r="C484" s="141" t="n"/>
      <c r="D484" s="141" t="n"/>
      <c r="E484" s="141" t="n"/>
      <c r="F484" s="141" t="n"/>
      <c r="G484" s="143" t="n"/>
      <c r="H484" s="27" t="n"/>
    </row>
    <row r="485" ht="17.25" customHeight="1" s="322">
      <c r="A485" s="27" t="n"/>
      <c r="B485" s="506" t="n"/>
      <c r="C485" s="141" t="n"/>
      <c r="D485" s="141" t="n"/>
      <c r="E485" s="141" t="n"/>
      <c r="F485" s="141" t="n"/>
      <c r="G485" s="143" t="n"/>
      <c r="H485" s="27" t="n"/>
    </row>
    <row r="486" ht="17.25" customHeight="1" s="322">
      <c r="A486" s="27" t="n"/>
      <c r="B486" s="506" t="n"/>
      <c r="C486" s="141" t="n"/>
      <c r="D486" s="141" t="n"/>
      <c r="E486" s="141" t="n"/>
      <c r="F486" s="141" t="n"/>
      <c r="G486" s="143" t="n"/>
      <c r="H486" s="27" t="n"/>
    </row>
    <row r="487" ht="17.25" customHeight="1" s="322">
      <c r="A487" s="27" t="n"/>
      <c r="B487" s="506" t="n"/>
      <c r="C487" s="141" t="n"/>
      <c r="D487" s="141" t="n"/>
      <c r="E487" s="141" t="n"/>
      <c r="F487" s="141" t="n"/>
      <c r="G487" s="143" t="n"/>
      <c r="H487" s="27" t="n"/>
    </row>
    <row r="488" ht="17.25" customHeight="1" s="322">
      <c r="A488" s="27" t="n"/>
      <c r="B488" s="506" t="n"/>
      <c r="C488" s="141" t="n"/>
      <c r="D488" s="141" t="n"/>
      <c r="E488" s="141" t="n"/>
      <c r="F488" s="141" t="n"/>
      <c r="G488" s="143" t="n"/>
      <c r="H488" s="27" t="n"/>
    </row>
    <row r="489" ht="17.25" customHeight="1" s="322">
      <c r="A489" s="27" t="n"/>
      <c r="B489" s="506" t="n"/>
      <c r="C489" s="141" t="n"/>
      <c r="D489" s="141" t="n"/>
      <c r="E489" s="141" t="n"/>
      <c r="F489" s="141" t="n"/>
      <c r="G489" s="143" t="n"/>
      <c r="H489" s="27" t="n"/>
    </row>
    <row r="490" ht="17.25" customHeight="1" s="322">
      <c r="A490" s="27" t="n"/>
      <c r="B490" s="506" t="n"/>
      <c r="C490" s="141" t="n"/>
      <c r="D490" s="141" t="n"/>
      <c r="E490" s="141" t="n"/>
      <c r="F490" s="141" t="n"/>
      <c r="G490" s="143" t="n"/>
      <c r="H490" s="27" t="n"/>
    </row>
    <row r="491" ht="17.25" customHeight="1" s="322">
      <c r="A491" s="27" t="n"/>
      <c r="B491" s="506" t="n"/>
      <c r="C491" s="141" t="n"/>
      <c r="D491" s="141" t="n"/>
      <c r="E491" s="141" t="n"/>
      <c r="F491" s="141" t="n"/>
      <c r="G491" s="143" t="n"/>
      <c r="H491" s="27" t="n"/>
    </row>
    <row r="492" ht="17.25" customHeight="1" s="322">
      <c r="A492" s="27" t="n"/>
      <c r="B492" s="506" t="n"/>
      <c r="C492" s="141" t="n"/>
      <c r="D492" s="141" t="n"/>
      <c r="E492" s="141" t="n"/>
      <c r="F492" s="141" t="n"/>
      <c r="G492" s="143" t="n"/>
      <c r="H492" s="27" t="n"/>
    </row>
    <row r="493" ht="17.25" customHeight="1" s="322">
      <c r="A493" s="27" t="n"/>
      <c r="B493" s="506" t="n"/>
      <c r="C493" s="141" t="n"/>
      <c r="D493" s="141" t="n"/>
      <c r="E493" s="141" t="n"/>
      <c r="F493" s="141" t="n"/>
      <c r="G493" s="143" t="n"/>
      <c r="H493" s="27" t="n"/>
    </row>
    <row r="494" ht="17.25" customHeight="1" s="322">
      <c r="A494" s="27" t="n"/>
      <c r="B494" s="506" t="n"/>
      <c r="C494" s="141" t="n"/>
      <c r="D494" s="141" t="n"/>
      <c r="E494" s="141" t="n"/>
      <c r="F494" s="141" t="n"/>
      <c r="G494" s="143" t="n"/>
      <c r="H494" s="27" t="n"/>
    </row>
    <row r="495" ht="17.25" customHeight="1" s="322">
      <c r="A495" s="27" t="n"/>
      <c r="B495" s="506" t="n"/>
      <c r="C495" s="141" t="n"/>
      <c r="D495" s="141" t="n"/>
      <c r="E495" s="141" t="n"/>
      <c r="F495" s="141" t="n"/>
      <c r="G495" s="143" t="n"/>
      <c r="H495" s="27" t="n"/>
    </row>
    <row r="496" ht="17.25" customHeight="1" s="322">
      <c r="A496" s="27" t="n"/>
      <c r="B496" s="506" t="n"/>
      <c r="C496" s="141" t="n"/>
      <c r="D496" s="141" t="n"/>
      <c r="E496" s="141" t="n"/>
      <c r="F496" s="141" t="n"/>
      <c r="G496" s="143" t="n"/>
      <c r="H496" s="27" t="n"/>
    </row>
    <row r="497" ht="17.25" customHeight="1" s="322">
      <c r="A497" s="27" t="n"/>
      <c r="B497" s="506" t="n"/>
      <c r="C497" s="141" t="n"/>
      <c r="D497" s="141" t="n"/>
      <c r="E497" s="141" t="n"/>
      <c r="F497" s="141" t="n"/>
      <c r="G497" s="143" t="n"/>
      <c r="H497" s="27" t="n"/>
    </row>
    <row r="498" ht="17.25" customHeight="1" s="322">
      <c r="A498" s="27" t="n"/>
      <c r="B498" s="506" t="n"/>
      <c r="C498" s="141" t="n"/>
      <c r="D498" s="141" t="n"/>
      <c r="E498" s="141" t="n"/>
      <c r="F498" s="141" t="n"/>
      <c r="G498" s="143" t="n"/>
      <c r="H498" s="27" t="n"/>
    </row>
    <row r="499" ht="17.25" customHeight="1" s="322">
      <c r="A499" s="27" t="n"/>
      <c r="B499" s="506" t="n"/>
      <c r="C499" s="141" t="n"/>
      <c r="D499" s="141" t="n"/>
      <c r="E499" s="141" t="n"/>
      <c r="F499" s="141" t="n"/>
      <c r="G499" s="143" t="n"/>
      <c r="H499" s="27" t="n"/>
    </row>
    <row r="500" ht="17.25" customHeight="1" s="322">
      <c r="A500" s="27" t="n"/>
      <c r="B500" s="506" t="n"/>
      <c r="C500" s="141" t="n"/>
      <c r="D500" s="141" t="n"/>
      <c r="E500" s="141" t="n"/>
      <c r="F500" s="141" t="n"/>
      <c r="G500" s="143" t="n"/>
      <c r="H500" s="27" t="n"/>
    </row>
    <row r="501" ht="17.25" customHeight="1" s="322">
      <c r="A501" s="27" t="n"/>
      <c r="B501" s="506" t="n"/>
      <c r="C501" s="141" t="n"/>
      <c r="D501" s="141" t="n"/>
      <c r="E501" s="141" t="n"/>
      <c r="F501" s="141" t="n"/>
      <c r="G501" s="143" t="n"/>
      <c r="H501" s="27" t="n"/>
    </row>
    <row r="502" ht="17.25" customHeight="1" s="322">
      <c r="A502" s="27" t="n"/>
      <c r="B502" s="506" t="n"/>
      <c r="C502" s="141" t="n"/>
      <c r="D502" s="141" t="n"/>
      <c r="E502" s="141" t="n"/>
      <c r="F502" s="141" t="n"/>
      <c r="G502" s="143" t="n"/>
      <c r="H502" s="27" t="n"/>
    </row>
    <row r="503" ht="17.25" customHeight="1" s="322">
      <c r="A503" s="27" t="n"/>
      <c r="B503" s="506" t="n"/>
      <c r="C503" s="141" t="n"/>
      <c r="D503" s="141" t="n"/>
      <c r="E503" s="141" t="n"/>
      <c r="F503" s="141" t="n"/>
      <c r="G503" s="143" t="n"/>
      <c r="H503" s="27" t="n"/>
    </row>
    <row r="504" ht="17.25" customHeight="1" s="322">
      <c r="A504" s="27" t="n"/>
      <c r="B504" s="506" t="n"/>
      <c r="C504" s="141" t="n"/>
      <c r="D504" s="141" t="n"/>
      <c r="E504" s="141" t="n"/>
      <c r="F504" s="141" t="n"/>
      <c r="G504" s="143" t="n"/>
      <c r="H504" s="27" t="n"/>
    </row>
    <row r="505" ht="17.25" customHeight="1" s="322">
      <c r="A505" s="27" t="n"/>
      <c r="B505" s="506" t="n"/>
      <c r="C505" s="141" t="n"/>
      <c r="D505" s="141" t="n"/>
      <c r="E505" s="141" t="n"/>
      <c r="F505" s="141" t="n"/>
      <c r="G505" s="143" t="n"/>
      <c r="H505" s="27" t="n"/>
    </row>
    <row r="506" ht="17.25" customHeight="1" s="322">
      <c r="A506" s="27" t="n"/>
      <c r="B506" s="506" t="n"/>
      <c r="C506" s="141" t="n"/>
      <c r="D506" s="141" t="n"/>
      <c r="E506" s="141" t="n"/>
      <c r="F506" s="141" t="n"/>
      <c r="G506" s="143" t="n"/>
      <c r="H506" s="27" t="n"/>
    </row>
    <row r="507" ht="17.25" customHeight="1" s="322">
      <c r="A507" s="27" t="n"/>
      <c r="B507" s="506" t="n"/>
      <c r="C507" s="141" t="n"/>
      <c r="D507" s="141" t="n"/>
      <c r="E507" s="141" t="n"/>
      <c r="F507" s="141" t="n"/>
      <c r="G507" s="143" t="n"/>
      <c r="H507" s="27" t="n"/>
    </row>
    <row r="508" ht="17.25" customHeight="1" s="322">
      <c r="A508" s="27" t="n"/>
      <c r="B508" s="506" t="n"/>
      <c r="C508" s="141" t="n"/>
      <c r="D508" s="141" t="n"/>
      <c r="E508" s="141" t="n"/>
      <c r="F508" s="141" t="n"/>
      <c r="G508" s="143" t="n"/>
      <c r="H508" s="27" t="n"/>
    </row>
    <row r="509" ht="17.25" customHeight="1" s="322">
      <c r="A509" s="27" t="n"/>
      <c r="B509" s="506" t="n"/>
      <c r="C509" s="141" t="n"/>
      <c r="D509" s="141" t="n"/>
      <c r="E509" s="141" t="n"/>
      <c r="F509" s="141" t="n"/>
      <c r="G509" s="143" t="n"/>
      <c r="H509" s="27" t="n"/>
    </row>
    <row r="510" ht="17.25" customHeight="1" s="322">
      <c r="A510" s="27" t="n"/>
      <c r="B510" s="506" t="n"/>
      <c r="C510" s="141" t="n"/>
      <c r="D510" s="141" t="n"/>
      <c r="E510" s="141" t="n"/>
      <c r="F510" s="141" t="n"/>
      <c r="G510" s="143" t="n"/>
      <c r="H510" s="27" t="n"/>
    </row>
    <row r="511" ht="17.25" customHeight="1" s="322">
      <c r="A511" s="27" t="n"/>
      <c r="B511" s="506" t="n"/>
      <c r="C511" s="141" t="n"/>
      <c r="D511" s="141" t="n"/>
      <c r="E511" s="141" t="n"/>
      <c r="F511" s="141" t="n"/>
      <c r="G511" s="143" t="n"/>
      <c r="H511" s="27" t="n"/>
    </row>
    <row r="512" ht="17.25" customHeight="1" s="322">
      <c r="A512" s="27" t="n"/>
      <c r="B512" s="506" t="n"/>
      <c r="C512" s="141" t="n"/>
      <c r="D512" s="141" t="n"/>
      <c r="E512" s="141" t="n"/>
      <c r="F512" s="141" t="n"/>
      <c r="G512" s="143" t="n"/>
      <c r="H512" s="27" t="n"/>
    </row>
    <row r="513" ht="17.25" customHeight="1" s="322">
      <c r="A513" s="27" t="n"/>
      <c r="B513" s="506" t="n"/>
      <c r="C513" s="141" t="n"/>
      <c r="D513" s="141" t="n"/>
      <c r="E513" s="141" t="n"/>
      <c r="F513" s="141" t="n"/>
      <c r="G513" s="143" t="n"/>
      <c r="H513" s="27" t="n"/>
    </row>
    <row r="514" ht="17.25" customHeight="1" s="322">
      <c r="A514" s="27" t="n"/>
      <c r="B514" s="506" t="n"/>
      <c r="C514" s="141" t="n"/>
      <c r="D514" s="141" t="n"/>
      <c r="E514" s="141" t="n"/>
      <c r="F514" s="141" t="n"/>
      <c r="G514" s="143" t="n"/>
      <c r="H514" s="27" t="n"/>
    </row>
    <row r="515" ht="17.25" customHeight="1" s="322">
      <c r="A515" s="27" t="n"/>
      <c r="B515" s="506" t="n"/>
      <c r="C515" s="141" t="n"/>
      <c r="D515" s="141" t="n"/>
      <c r="E515" s="141" t="n"/>
      <c r="F515" s="141" t="n"/>
      <c r="G515" s="143" t="n"/>
      <c r="H515" s="27" t="n"/>
    </row>
    <row r="516" ht="17.25" customHeight="1" s="322">
      <c r="A516" s="27" t="n"/>
      <c r="B516" s="506" t="n"/>
      <c r="C516" s="141" t="n"/>
      <c r="D516" s="141" t="n"/>
      <c r="E516" s="141" t="n"/>
      <c r="F516" s="141" t="n"/>
      <c r="G516" s="143" t="n"/>
      <c r="H516" s="27" t="n"/>
    </row>
    <row r="517" ht="17.25" customHeight="1" s="322">
      <c r="A517" s="27" t="n"/>
      <c r="B517" s="506" t="n"/>
      <c r="C517" s="141" t="n"/>
      <c r="D517" s="141" t="n"/>
      <c r="E517" s="141" t="n"/>
      <c r="F517" s="141" t="n"/>
      <c r="G517" s="143" t="n"/>
      <c r="H517" s="27" t="n"/>
    </row>
    <row r="518" ht="17.25" customHeight="1" s="322">
      <c r="A518" s="27" t="n"/>
      <c r="B518" s="506" t="n"/>
      <c r="C518" s="141" t="n"/>
      <c r="D518" s="141" t="n"/>
      <c r="E518" s="141" t="n"/>
      <c r="F518" s="141" t="n"/>
      <c r="G518" s="143" t="n"/>
      <c r="H518" s="27" t="n"/>
    </row>
    <row r="519" ht="17.25" customHeight="1" s="322">
      <c r="A519" s="27" t="n"/>
      <c r="B519" s="506" t="n"/>
      <c r="C519" s="141" t="n"/>
      <c r="D519" s="141" t="n"/>
      <c r="E519" s="141" t="n"/>
      <c r="F519" s="141" t="n"/>
      <c r="G519" s="143" t="n"/>
      <c r="H519" s="27" t="n"/>
    </row>
    <row r="520" ht="17.25" customHeight="1" s="322">
      <c r="A520" s="27" t="n"/>
      <c r="B520" s="506" t="n"/>
      <c r="C520" s="141" t="n"/>
      <c r="D520" s="141" t="n"/>
      <c r="E520" s="141" t="n"/>
      <c r="F520" s="141" t="n"/>
      <c r="G520" s="143" t="n"/>
      <c r="H520" s="27" t="n"/>
    </row>
    <row r="521" ht="17.25" customHeight="1" s="322">
      <c r="A521" s="27" t="n"/>
      <c r="B521" s="506" t="n"/>
      <c r="C521" s="141" t="n"/>
      <c r="D521" s="141" t="n"/>
      <c r="E521" s="141" t="n"/>
      <c r="F521" s="141" t="n"/>
      <c r="G521" s="143" t="n"/>
      <c r="H521" s="27" t="n"/>
    </row>
    <row r="522" ht="17.25" customHeight="1" s="322">
      <c r="A522" s="27" t="n"/>
      <c r="B522" s="506" t="n"/>
      <c r="C522" s="141" t="n"/>
      <c r="D522" s="141" t="n"/>
      <c r="E522" s="141" t="n"/>
      <c r="F522" s="141" t="n"/>
      <c r="G522" s="143" t="n"/>
      <c r="H522" s="27" t="n"/>
    </row>
    <row r="523" ht="17.25" customHeight="1" s="322">
      <c r="A523" s="27" t="n"/>
      <c r="B523" s="506" t="n"/>
      <c r="C523" s="141" t="n"/>
      <c r="D523" s="141" t="n"/>
      <c r="E523" s="141" t="n"/>
      <c r="F523" s="141" t="n"/>
      <c r="G523" s="143" t="n"/>
      <c r="H523" s="27" t="n"/>
    </row>
    <row r="524" ht="17.25" customHeight="1" s="322">
      <c r="A524" s="27" t="n"/>
      <c r="B524" s="506" t="n"/>
      <c r="C524" s="141" t="n"/>
      <c r="D524" s="141" t="n"/>
      <c r="E524" s="141" t="n"/>
      <c r="F524" s="141" t="n"/>
      <c r="G524" s="143" t="n"/>
      <c r="H524" s="27" t="n"/>
    </row>
    <row r="525" ht="17.25" customHeight="1" s="322">
      <c r="A525" s="27" t="n"/>
      <c r="B525" s="506" t="n"/>
      <c r="C525" s="141" t="n"/>
      <c r="D525" s="141" t="n"/>
      <c r="E525" s="141" t="n"/>
      <c r="F525" s="141" t="n"/>
      <c r="G525" s="143" t="n"/>
      <c r="H525" s="27" t="n"/>
    </row>
    <row r="526" ht="17.25" customHeight="1" s="322">
      <c r="A526" s="27" t="n"/>
      <c r="B526" s="506" t="n"/>
      <c r="C526" s="141" t="n"/>
      <c r="D526" s="141" t="n"/>
      <c r="E526" s="141" t="n"/>
      <c r="F526" s="141" t="n"/>
      <c r="G526" s="143" t="n"/>
      <c r="H526" s="27" t="n"/>
    </row>
    <row r="527" ht="17.25" customHeight="1" s="322">
      <c r="A527" s="27" t="n"/>
      <c r="B527" s="506" t="n"/>
      <c r="C527" s="141" t="n"/>
      <c r="D527" s="141" t="n"/>
      <c r="E527" s="141" t="n"/>
      <c r="F527" s="141" t="n"/>
      <c r="G527" s="143" t="n"/>
      <c r="H527" s="27" t="n"/>
    </row>
    <row r="528" ht="17.25" customHeight="1" s="322">
      <c r="A528" s="27" t="n"/>
      <c r="B528" s="506" t="n"/>
      <c r="C528" s="141" t="n"/>
      <c r="D528" s="141" t="n"/>
      <c r="E528" s="141" t="n"/>
      <c r="F528" s="141" t="n"/>
      <c r="G528" s="143" t="n"/>
      <c r="H528" s="27" t="n"/>
    </row>
    <row r="529" ht="17.25" customHeight="1" s="322">
      <c r="A529" s="27" t="n"/>
      <c r="B529" s="506" t="n"/>
      <c r="C529" s="141" t="n"/>
      <c r="D529" s="141" t="n"/>
      <c r="E529" s="141" t="n"/>
      <c r="F529" s="141" t="n"/>
      <c r="G529" s="143" t="n"/>
      <c r="H529" s="27" t="n"/>
    </row>
    <row r="530" ht="17.25" customHeight="1" s="322">
      <c r="A530" s="27" t="n"/>
      <c r="B530" s="506" t="n"/>
      <c r="C530" s="141" t="n"/>
      <c r="D530" s="141" t="n"/>
      <c r="E530" s="141" t="n"/>
      <c r="F530" s="141" t="n"/>
      <c r="G530" s="143" t="n"/>
      <c r="H530" s="27" t="n"/>
    </row>
    <row r="531" ht="17.25" customHeight="1" s="322">
      <c r="A531" s="27" t="n"/>
      <c r="B531" s="506" t="n"/>
      <c r="C531" s="141" t="n"/>
      <c r="D531" s="141" t="n"/>
      <c r="E531" s="141" t="n"/>
      <c r="F531" s="141" t="n"/>
      <c r="G531" s="143" t="n"/>
      <c r="H531" s="27" t="n"/>
    </row>
    <row r="532" ht="17.25" customHeight="1" s="322">
      <c r="A532" s="27" t="n"/>
      <c r="B532" s="506" t="n"/>
      <c r="C532" s="141" t="n"/>
      <c r="D532" s="141" t="n"/>
      <c r="E532" s="141" t="n"/>
      <c r="F532" s="141" t="n"/>
      <c r="G532" s="143" t="n"/>
      <c r="H532" s="27" t="n"/>
    </row>
    <row r="533" ht="17.25" customHeight="1" s="322">
      <c r="A533" s="27" t="n"/>
      <c r="B533" s="506" t="n"/>
      <c r="C533" s="141" t="n"/>
      <c r="D533" s="141" t="n"/>
      <c r="E533" s="141" t="n"/>
      <c r="F533" s="141" t="n"/>
      <c r="G533" s="143" t="n"/>
      <c r="H533" s="27" t="n"/>
    </row>
    <row r="534" ht="17.25" customHeight="1" s="322">
      <c r="A534" s="27" t="n"/>
      <c r="B534" s="506" t="n"/>
      <c r="C534" s="141" t="n"/>
      <c r="D534" s="141" t="n"/>
      <c r="E534" s="141" t="n"/>
      <c r="F534" s="141" t="n"/>
      <c r="G534" s="143" t="n"/>
      <c r="H534" s="27" t="n"/>
    </row>
    <row r="535" ht="17.25" customHeight="1" s="322">
      <c r="A535" s="27" t="n"/>
      <c r="B535" s="506" t="n"/>
      <c r="C535" s="141" t="n"/>
      <c r="D535" s="141" t="n"/>
      <c r="E535" s="141" t="n"/>
      <c r="F535" s="141" t="n"/>
      <c r="G535" s="143" t="n"/>
      <c r="H535" s="27" t="n"/>
    </row>
    <row r="536" ht="17.25" customHeight="1" s="322">
      <c r="A536" s="27" t="n"/>
      <c r="B536" s="506" t="n"/>
      <c r="C536" s="141" t="n"/>
      <c r="D536" s="141" t="n"/>
      <c r="E536" s="141" t="n"/>
      <c r="F536" s="141" t="n"/>
      <c r="G536" s="143" t="n"/>
      <c r="H536" s="27" t="n"/>
    </row>
    <row r="537" ht="17.25" customHeight="1" s="322">
      <c r="A537" s="27" t="n"/>
      <c r="B537" s="506" t="n"/>
      <c r="C537" s="141" t="n"/>
      <c r="D537" s="141" t="n"/>
      <c r="E537" s="141" t="n"/>
      <c r="F537" s="141" t="n"/>
      <c r="G537" s="143" t="n"/>
      <c r="H537" s="27" t="n"/>
    </row>
    <row r="538" ht="17.25" customHeight="1" s="322">
      <c r="A538" s="27" t="n"/>
      <c r="B538" s="506" t="n"/>
      <c r="C538" s="141" t="n"/>
      <c r="D538" s="141" t="n"/>
      <c r="E538" s="141" t="n"/>
      <c r="F538" s="141" t="n"/>
      <c r="G538" s="143" t="n"/>
      <c r="H538" s="27" t="n"/>
    </row>
    <row r="539" ht="17.25" customHeight="1" s="322">
      <c r="A539" s="27" t="n"/>
      <c r="B539" s="506" t="n"/>
      <c r="C539" s="141" t="n"/>
      <c r="D539" s="141" t="n"/>
      <c r="E539" s="141" t="n"/>
      <c r="F539" s="141" t="n"/>
      <c r="G539" s="143" t="n"/>
      <c r="H539" s="27" t="n"/>
    </row>
    <row r="540" ht="17.25" customHeight="1" s="322">
      <c r="A540" s="27" t="n"/>
      <c r="B540" s="506" t="n"/>
      <c r="C540" s="141" t="n"/>
      <c r="D540" s="141" t="n"/>
      <c r="E540" s="141" t="n"/>
      <c r="F540" s="141" t="n"/>
      <c r="G540" s="143" t="n"/>
      <c r="H540" s="27" t="n"/>
    </row>
    <row r="541" ht="17.25" customHeight="1" s="322">
      <c r="A541" s="27" t="n"/>
      <c r="B541" s="506" t="n"/>
      <c r="C541" s="141" t="n"/>
      <c r="D541" s="141" t="n"/>
      <c r="E541" s="141" t="n"/>
      <c r="F541" s="141" t="n"/>
      <c r="G541" s="143" t="n"/>
      <c r="H541" s="27" t="n"/>
    </row>
    <row r="542" ht="17.25" customHeight="1" s="322">
      <c r="A542" s="27" t="n"/>
      <c r="B542" s="506" t="n"/>
      <c r="C542" s="141" t="n"/>
      <c r="D542" s="141" t="n"/>
      <c r="E542" s="141" t="n"/>
      <c r="F542" s="141" t="n"/>
      <c r="G542" s="143" t="n"/>
      <c r="H542" s="27" t="n"/>
    </row>
    <row r="543" ht="17.25" customHeight="1" s="322">
      <c r="A543" s="27" t="n"/>
      <c r="B543" s="506" t="n"/>
      <c r="C543" s="141" t="n"/>
      <c r="D543" s="141" t="n"/>
      <c r="E543" s="141" t="n"/>
      <c r="F543" s="141" t="n"/>
      <c r="G543" s="143" t="n"/>
      <c r="H543" s="27" t="n"/>
    </row>
    <row r="544" ht="17.25" customHeight="1" s="322">
      <c r="A544" s="27" t="n"/>
      <c r="B544" s="506" t="n"/>
      <c r="C544" s="141" t="n"/>
      <c r="D544" s="141" t="n"/>
      <c r="E544" s="141" t="n"/>
      <c r="F544" s="141" t="n"/>
      <c r="G544" s="143" t="n"/>
      <c r="H544" s="27" t="n"/>
    </row>
    <row r="545" ht="17.25" customHeight="1" s="322">
      <c r="A545" s="27" t="n"/>
      <c r="B545" s="506" t="n"/>
      <c r="C545" s="141" t="n"/>
      <c r="D545" s="141" t="n"/>
      <c r="E545" s="141" t="n"/>
      <c r="F545" s="141" t="n"/>
      <c r="G545" s="143" t="n"/>
      <c r="H545" s="27" t="n"/>
    </row>
    <row r="546" ht="17.25" customHeight="1" s="322">
      <c r="A546" s="27" t="n"/>
      <c r="B546" s="506" t="n"/>
      <c r="C546" s="141" t="n"/>
      <c r="D546" s="141" t="n"/>
      <c r="E546" s="141" t="n"/>
      <c r="F546" s="141" t="n"/>
      <c r="G546" s="143" t="n"/>
      <c r="H546" s="27" t="n"/>
    </row>
    <row r="547" ht="17.25" customHeight="1" s="322">
      <c r="A547" s="27" t="n"/>
      <c r="B547" s="506" t="n"/>
      <c r="C547" s="141" t="n"/>
      <c r="D547" s="141" t="n"/>
      <c r="E547" s="141" t="n"/>
      <c r="F547" s="141" t="n"/>
      <c r="G547" s="143" t="n"/>
      <c r="H547" s="27" t="n"/>
    </row>
    <row r="548" ht="17.25" customHeight="1" s="322">
      <c r="A548" s="27" t="n"/>
      <c r="B548" s="506" t="n"/>
      <c r="C548" s="141" t="n"/>
      <c r="D548" s="141" t="n"/>
      <c r="E548" s="141" t="n"/>
      <c r="F548" s="141" t="n"/>
      <c r="G548" s="143" t="n"/>
      <c r="H548" s="27" t="n"/>
    </row>
    <row r="549" ht="17.25" customHeight="1" s="322">
      <c r="A549" s="27" t="n"/>
      <c r="B549" s="506" t="n"/>
      <c r="C549" s="141" t="n"/>
      <c r="D549" s="141" t="n"/>
      <c r="E549" s="141" t="n"/>
      <c r="F549" s="141" t="n"/>
      <c r="G549" s="143" t="n"/>
      <c r="H549" s="27" t="n"/>
    </row>
    <row r="550" ht="17.25" customHeight="1" s="322">
      <c r="A550" s="27" t="n"/>
      <c r="B550" s="506" t="n"/>
      <c r="C550" s="141" t="n"/>
      <c r="D550" s="141" t="n"/>
      <c r="E550" s="141" t="n"/>
      <c r="F550" s="141" t="n"/>
      <c r="G550" s="143" t="n"/>
      <c r="H550" s="27" t="n"/>
    </row>
    <row r="551" ht="17.25" customHeight="1" s="322">
      <c r="A551" s="27" t="n"/>
      <c r="B551" s="506" t="n"/>
      <c r="C551" s="141" t="n"/>
      <c r="D551" s="141" t="n"/>
      <c r="E551" s="141" t="n"/>
      <c r="F551" s="141" t="n"/>
      <c r="G551" s="143" t="n"/>
      <c r="H551" s="27" t="n"/>
    </row>
    <row r="552" ht="17.25" customHeight="1" s="322">
      <c r="A552" s="27" t="n"/>
      <c r="B552" s="506" t="n"/>
      <c r="C552" s="141" t="n"/>
      <c r="D552" s="141" t="n"/>
      <c r="E552" s="141" t="n"/>
      <c r="F552" s="141" t="n"/>
      <c r="G552" s="143" t="n"/>
      <c r="H552" s="27" t="n"/>
    </row>
    <row r="553" ht="17.25" customHeight="1" s="322">
      <c r="A553" s="27" t="n"/>
      <c r="B553" s="506" t="n"/>
      <c r="C553" s="141" t="n"/>
      <c r="D553" s="141" t="n"/>
      <c r="E553" s="141" t="n"/>
      <c r="F553" s="141" t="n"/>
      <c r="G553" s="143" t="n"/>
      <c r="H553" s="27" t="n"/>
    </row>
    <row r="554" ht="17.25" customHeight="1" s="322">
      <c r="A554" s="27" t="n"/>
      <c r="B554" s="506" t="n"/>
      <c r="C554" s="141" t="n"/>
      <c r="D554" s="141" t="n"/>
      <c r="E554" s="141" t="n"/>
      <c r="F554" s="141" t="n"/>
      <c r="G554" s="143" t="n"/>
      <c r="H554" s="27" t="n"/>
    </row>
    <row r="555" ht="17.25" customHeight="1" s="322">
      <c r="A555" s="27" t="n"/>
      <c r="B555" s="506" t="n"/>
      <c r="C555" s="141" t="n"/>
      <c r="D555" s="141" t="n"/>
      <c r="E555" s="141" t="n"/>
      <c r="F555" s="141" t="n"/>
      <c r="G555" s="143" t="n"/>
      <c r="H555" s="27" t="n"/>
    </row>
    <row r="556" ht="17.25" customHeight="1" s="322">
      <c r="A556" s="27" t="n"/>
      <c r="B556" s="506" t="n"/>
      <c r="C556" s="141" t="n"/>
      <c r="D556" s="141" t="n"/>
      <c r="E556" s="141" t="n"/>
      <c r="F556" s="141" t="n"/>
      <c r="G556" s="143" t="n"/>
      <c r="H556" s="27" t="n"/>
    </row>
    <row r="557" ht="17.25" customHeight="1" s="322">
      <c r="A557" s="27" t="n"/>
      <c r="B557" s="506" t="n"/>
      <c r="C557" s="141" t="n"/>
      <c r="D557" s="141" t="n"/>
      <c r="E557" s="141" t="n"/>
      <c r="F557" s="141" t="n"/>
      <c r="G557" s="143" t="n"/>
      <c r="H557" s="27" t="n"/>
    </row>
    <row r="558" ht="17.25" customHeight="1" s="322">
      <c r="A558" s="27" t="n"/>
      <c r="B558" s="506" t="n"/>
      <c r="C558" s="141" t="n"/>
      <c r="D558" s="141" t="n"/>
      <c r="E558" s="141" t="n"/>
      <c r="F558" s="141" t="n"/>
      <c r="G558" s="143" t="n"/>
      <c r="H558" s="27" t="n"/>
    </row>
    <row r="559" ht="17.25" customHeight="1" s="322">
      <c r="A559" s="27" t="n"/>
      <c r="B559" s="506" t="n"/>
      <c r="C559" s="141" t="n"/>
      <c r="D559" s="141" t="n"/>
      <c r="E559" s="141" t="n"/>
      <c r="F559" s="141" t="n"/>
      <c r="G559" s="143" t="n"/>
      <c r="H559" s="27" t="n"/>
    </row>
    <row r="560" ht="17.25" customHeight="1" s="322">
      <c r="A560" s="27" t="n"/>
      <c r="B560" s="506" t="n"/>
      <c r="C560" s="141" t="n"/>
      <c r="D560" s="141" t="n"/>
      <c r="E560" s="141" t="n"/>
      <c r="F560" s="141" t="n"/>
      <c r="G560" s="143" t="n"/>
      <c r="H560" s="27" t="n"/>
    </row>
    <row r="561" ht="17.25" customHeight="1" s="322">
      <c r="A561" s="27" t="n"/>
      <c r="B561" s="506" t="n"/>
      <c r="C561" s="141" t="n"/>
      <c r="D561" s="141" t="n"/>
      <c r="E561" s="141" t="n"/>
      <c r="F561" s="141" t="n"/>
      <c r="G561" s="143" t="n"/>
      <c r="H561" s="27" t="n"/>
    </row>
    <row r="562" ht="17.25" customHeight="1" s="322">
      <c r="A562" s="27" t="n"/>
      <c r="B562" s="506" t="n"/>
      <c r="C562" s="141" t="n"/>
      <c r="D562" s="141" t="n"/>
      <c r="E562" s="141" t="n"/>
      <c r="F562" s="141" t="n"/>
      <c r="G562" s="143" t="n"/>
      <c r="H562" s="27" t="n"/>
    </row>
    <row r="563" ht="17.25" customHeight="1" s="322">
      <c r="A563" s="27" t="n"/>
      <c r="B563" s="506" t="n"/>
      <c r="C563" s="141" t="n"/>
      <c r="D563" s="141" t="n"/>
      <c r="E563" s="141" t="n"/>
      <c r="F563" s="141" t="n"/>
      <c r="G563" s="143" t="n"/>
      <c r="H563" s="27" t="n"/>
    </row>
    <row r="564" ht="17.25" customHeight="1" s="322">
      <c r="A564" s="27" t="n"/>
      <c r="B564" s="506" t="n"/>
      <c r="C564" s="141" t="n"/>
      <c r="D564" s="141" t="n"/>
      <c r="E564" s="141" t="n"/>
      <c r="F564" s="141" t="n"/>
      <c r="G564" s="143" t="n"/>
      <c r="H564" s="27" t="n"/>
    </row>
    <row r="565" ht="17.25" customHeight="1" s="322">
      <c r="A565" s="27" t="n"/>
      <c r="B565" s="506" t="n"/>
      <c r="C565" s="141" t="n"/>
      <c r="D565" s="141" t="n"/>
      <c r="E565" s="141" t="n"/>
      <c r="F565" s="141" t="n"/>
      <c r="G565" s="143" t="n"/>
      <c r="H565" s="27" t="n"/>
    </row>
    <row r="566" ht="17.25" customHeight="1" s="322">
      <c r="A566" s="27" t="n"/>
      <c r="B566" s="506" t="n"/>
      <c r="C566" s="141" t="n"/>
      <c r="D566" s="141" t="n"/>
      <c r="E566" s="141" t="n"/>
      <c r="F566" s="141" t="n"/>
      <c r="G566" s="143" t="n"/>
      <c r="H566" s="27" t="n"/>
    </row>
    <row r="567" ht="17.25" customHeight="1" s="322">
      <c r="A567" s="27" t="n"/>
      <c r="B567" s="506" t="n"/>
      <c r="C567" s="141" t="n"/>
      <c r="D567" s="141" t="n"/>
      <c r="E567" s="141" t="n"/>
      <c r="F567" s="141" t="n"/>
      <c r="G567" s="143" t="n"/>
      <c r="H567" s="27" t="n"/>
    </row>
    <row r="568" ht="17.25" customHeight="1" s="322">
      <c r="A568" s="27" t="n"/>
      <c r="B568" s="506" t="n"/>
      <c r="C568" s="141" t="n"/>
      <c r="D568" s="141" t="n"/>
      <c r="E568" s="141" t="n"/>
      <c r="F568" s="141" t="n"/>
      <c r="G568" s="143" t="n"/>
      <c r="H568" s="27" t="n"/>
    </row>
    <row r="569" ht="17.25" customHeight="1" s="322">
      <c r="A569" s="27" t="n"/>
      <c r="B569" s="506" t="n"/>
      <c r="C569" s="141" t="n"/>
      <c r="D569" s="141" t="n"/>
      <c r="E569" s="141" t="n"/>
      <c r="F569" s="141" t="n"/>
      <c r="G569" s="143" t="n"/>
      <c r="H569" s="27" t="n"/>
    </row>
    <row r="570" ht="17.25" customHeight="1" s="322">
      <c r="A570" s="27" t="n"/>
      <c r="B570" s="506" t="n"/>
      <c r="C570" s="141" t="n"/>
      <c r="D570" s="141" t="n"/>
      <c r="E570" s="141" t="n"/>
      <c r="F570" s="141" t="n"/>
      <c r="G570" s="143" t="n"/>
      <c r="H570" s="27" t="n"/>
    </row>
    <row r="571" ht="17.25" customHeight="1" s="322">
      <c r="A571" s="27" t="n"/>
      <c r="B571" s="506" t="n"/>
      <c r="C571" s="141" t="n"/>
      <c r="D571" s="141" t="n"/>
      <c r="E571" s="141" t="n"/>
      <c r="F571" s="141" t="n"/>
      <c r="G571" s="143" t="n"/>
      <c r="H571" s="27" t="n"/>
    </row>
    <row r="572" ht="17.25" customHeight="1" s="322">
      <c r="A572" s="27" t="n"/>
      <c r="B572" s="506" t="n"/>
      <c r="C572" s="141" t="n"/>
      <c r="D572" s="141" t="n"/>
      <c r="E572" s="141" t="n"/>
      <c r="F572" s="141" t="n"/>
      <c r="G572" s="143" t="n"/>
      <c r="H572" s="27" t="n"/>
    </row>
    <row r="573" ht="17.25" customHeight="1" s="322">
      <c r="A573" s="27" t="n"/>
      <c r="B573" s="506" t="n"/>
      <c r="C573" s="141" t="n"/>
      <c r="D573" s="141" t="n"/>
      <c r="E573" s="141" t="n"/>
      <c r="F573" s="141" t="n"/>
      <c r="G573" s="143" t="n"/>
      <c r="H573" s="27" t="n"/>
    </row>
    <row r="574" ht="17.25" customHeight="1" s="322">
      <c r="A574" s="27" t="n"/>
      <c r="B574" s="506" t="n"/>
      <c r="C574" s="141" t="n"/>
      <c r="D574" s="141" t="n"/>
      <c r="E574" s="141" t="n"/>
      <c r="F574" s="141" t="n"/>
      <c r="G574" s="143" t="n"/>
      <c r="H574" s="27" t="n"/>
    </row>
    <row r="575" ht="17.25" customHeight="1" s="322">
      <c r="A575" s="27" t="n"/>
      <c r="B575" s="506" t="n"/>
      <c r="C575" s="141" t="n"/>
      <c r="D575" s="141" t="n"/>
      <c r="E575" s="141" t="n"/>
      <c r="F575" s="141" t="n"/>
      <c r="G575" s="143" t="n"/>
      <c r="H575" s="27" t="n"/>
    </row>
    <row r="576" ht="17.25" customHeight="1" s="322">
      <c r="A576" s="27" t="n"/>
      <c r="B576" s="506" t="n"/>
      <c r="C576" s="141" t="n"/>
      <c r="D576" s="141" t="n"/>
      <c r="E576" s="141" t="n"/>
      <c r="F576" s="141" t="n"/>
      <c r="G576" s="143" t="n"/>
      <c r="H576" s="27" t="n"/>
    </row>
    <row r="577" ht="17.25" customHeight="1" s="322">
      <c r="A577" s="27" t="n"/>
      <c r="B577" s="506" t="n"/>
      <c r="C577" s="141" t="n"/>
      <c r="D577" s="141" t="n"/>
      <c r="E577" s="141" t="n"/>
      <c r="F577" s="141" t="n"/>
      <c r="G577" s="143" t="n"/>
      <c r="H577" s="27" t="n"/>
    </row>
    <row r="578" ht="17.25" customHeight="1" s="322">
      <c r="A578" s="27" t="n"/>
      <c r="B578" s="506" t="n"/>
      <c r="C578" s="141" t="n"/>
      <c r="D578" s="141" t="n"/>
      <c r="E578" s="141" t="n"/>
      <c r="F578" s="141" t="n"/>
      <c r="G578" s="143" t="n"/>
      <c r="H578" s="27" t="n"/>
    </row>
    <row r="579" ht="17.25" customHeight="1" s="322">
      <c r="A579" s="27" t="n"/>
      <c r="B579" s="506" t="n"/>
      <c r="C579" s="141" t="n"/>
      <c r="D579" s="141" t="n"/>
      <c r="E579" s="141" t="n"/>
      <c r="F579" s="141" t="n"/>
      <c r="G579" s="143" t="n"/>
      <c r="H579" s="27" t="n"/>
    </row>
    <row r="580" ht="17.25" customHeight="1" s="322">
      <c r="A580" s="27" t="n"/>
      <c r="B580" s="506" t="n"/>
      <c r="C580" s="141" t="n"/>
      <c r="D580" s="141" t="n"/>
      <c r="E580" s="141" t="n"/>
      <c r="F580" s="141" t="n"/>
      <c r="G580" s="143" t="n"/>
      <c r="H580" s="27" t="n"/>
    </row>
    <row r="581" ht="17.25" customHeight="1" s="322">
      <c r="A581" s="27" t="n"/>
      <c r="B581" s="506" t="n"/>
      <c r="C581" s="141" t="n"/>
      <c r="D581" s="141" t="n"/>
      <c r="E581" s="141" t="n"/>
      <c r="F581" s="141" t="n"/>
      <c r="G581" s="143" t="n"/>
      <c r="H581" s="27" t="n"/>
    </row>
    <row r="582" ht="17.25" customHeight="1" s="322">
      <c r="A582" s="27" t="n"/>
      <c r="B582" s="506" t="n"/>
      <c r="C582" s="141" t="n"/>
      <c r="D582" s="141" t="n"/>
      <c r="E582" s="141" t="n"/>
      <c r="F582" s="141" t="n"/>
      <c r="G582" s="143" t="n"/>
      <c r="H582" s="27" t="n"/>
    </row>
    <row r="583" ht="17.25" customHeight="1" s="322">
      <c r="A583" s="27" t="n"/>
      <c r="B583" s="506" t="n"/>
      <c r="C583" s="141" t="n"/>
      <c r="D583" s="141" t="n"/>
      <c r="E583" s="141" t="n"/>
      <c r="F583" s="141" t="n"/>
      <c r="G583" s="143" t="n"/>
      <c r="H583" s="27" t="n"/>
    </row>
    <row r="584" ht="17.25" customHeight="1" s="322">
      <c r="A584" s="27" t="n"/>
      <c r="B584" s="506" t="n"/>
      <c r="C584" s="141" t="n"/>
      <c r="D584" s="141" t="n"/>
      <c r="E584" s="141" t="n"/>
      <c r="F584" s="141" t="n"/>
      <c r="G584" s="143" t="n"/>
      <c r="H584" s="27" t="n"/>
    </row>
    <row r="585" ht="17.25" customHeight="1" s="322">
      <c r="A585" s="27" t="n"/>
      <c r="B585" s="506" t="n"/>
      <c r="C585" s="141" t="n"/>
      <c r="D585" s="141" t="n"/>
      <c r="E585" s="141" t="n"/>
      <c r="F585" s="141" t="n"/>
      <c r="G585" s="143" t="n"/>
      <c r="H585" s="27" t="n"/>
    </row>
    <row r="586" ht="17.25" customHeight="1" s="322">
      <c r="A586" s="27" t="n"/>
      <c r="B586" s="506" t="n"/>
      <c r="C586" s="141" t="n"/>
      <c r="D586" s="141" t="n"/>
      <c r="E586" s="141" t="n"/>
      <c r="F586" s="141" t="n"/>
      <c r="G586" s="143" t="n"/>
      <c r="H586" s="27" t="n"/>
    </row>
    <row r="587" ht="17.25" customHeight="1" s="322">
      <c r="A587" s="27" t="n"/>
      <c r="B587" s="506" t="n"/>
      <c r="C587" s="141" t="n"/>
      <c r="D587" s="141" t="n"/>
      <c r="E587" s="141" t="n"/>
      <c r="F587" s="141" t="n"/>
      <c r="G587" s="143" t="n"/>
      <c r="H587" s="27" t="n"/>
    </row>
    <row r="588" ht="17.25" customHeight="1" s="322">
      <c r="A588" s="27" t="n"/>
      <c r="B588" s="506" t="n"/>
      <c r="C588" s="141" t="n"/>
      <c r="D588" s="141" t="n"/>
      <c r="E588" s="141" t="n"/>
      <c r="F588" s="141" t="n"/>
      <c r="G588" s="143" t="n"/>
      <c r="H588" s="27" t="n"/>
    </row>
    <row r="589" ht="17.25" customHeight="1" s="322">
      <c r="A589" s="27" t="n"/>
      <c r="B589" s="506" t="n"/>
      <c r="C589" s="141" t="n"/>
      <c r="D589" s="141" t="n"/>
      <c r="E589" s="141" t="n"/>
      <c r="F589" s="141" t="n"/>
      <c r="G589" s="143" t="n"/>
      <c r="H589" s="27" t="n"/>
    </row>
    <row r="590" ht="17.25" customHeight="1" s="322">
      <c r="A590" s="27" t="n"/>
      <c r="B590" s="506" t="n"/>
      <c r="C590" s="141" t="n"/>
      <c r="D590" s="141" t="n"/>
      <c r="E590" s="141" t="n"/>
      <c r="F590" s="141" t="n"/>
      <c r="G590" s="143" t="n"/>
      <c r="H590" s="27" t="n"/>
    </row>
    <row r="591" ht="17.25" customHeight="1" s="322">
      <c r="A591" s="27" t="n"/>
      <c r="B591" s="506" t="n"/>
      <c r="C591" s="141" t="n"/>
      <c r="D591" s="141" t="n"/>
      <c r="E591" s="141" t="n"/>
      <c r="F591" s="141" t="n"/>
      <c r="G591" s="143" t="n"/>
      <c r="H591" s="27" t="n"/>
    </row>
    <row r="592" ht="17.25" customHeight="1" s="322">
      <c r="A592" s="27" t="n"/>
      <c r="B592" s="506" t="n"/>
      <c r="C592" s="141" t="n"/>
      <c r="D592" s="141" t="n"/>
      <c r="E592" s="141" t="n"/>
      <c r="F592" s="141" t="n"/>
      <c r="G592" s="143" t="n"/>
      <c r="H592" s="27" t="n"/>
    </row>
    <row r="593" ht="17.25" customHeight="1" s="322">
      <c r="A593" s="27" t="n"/>
      <c r="B593" s="506" t="n"/>
      <c r="C593" s="141" t="n"/>
      <c r="D593" s="141" t="n"/>
      <c r="E593" s="141" t="n"/>
      <c r="F593" s="141" t="n"/>
      <c r="G593" s="143" t="n"/>
      <c r="H593" s="27" t="n"/>
    </row>
    <row r="594" ht="17.25" customHeight="1" s="322">
      <c r="A594" s="27" t="n"/>
      <c r="B594" s="506" t="n"/>
      <c r="C594" s="141" t="n"/>
      <c r="D594" s="141" t="n"/>
      <c r="E594" s="141" t="n"/>
      <c r="F594" s="141" t="n"/>
      <c r="G594" s="143" t="n"/>
      <c r="H594" s="27" t="n"/>
    </row>
    <row r="595" ht="17.25" customHeight="1" s="322">
      <c r="A595" s="27" t="n"/>
      <c r="B595" s="506" t="n"/>
      <c r="C595" s="141" t="n"/>
      <c r="D595" s="141" t="n"/>
      <c r="E595" s="141" t="n"/>
      <c r="F595" s="141" t="n"/>
      <c r="G595" s="143" t="n"/>
      <c r="H595" s="27" t="n"/>
    </row>
    <row r="596" ht="17.25" customHeight="1" s="322">
      <c r="A596" s="27" t="n"/>
      <c r="B596" s="506" t="n"/>
      <c r="C596" s="141" t="n"/>
      <c r="D596" s="141" t="n"/>
      <c r="E596" s="141" t="n"/>
      <c r="F596" s="141" t="n"/>
      <c r="G596" s="143" t="n"/>
      <c r="H596" s="27" t="n"/>
    </row>
    <row r="597" ht="17.25" customHeight="1" s="322">
      <c r="A597" s="27" t="n"/>
      <c r="B597" s="506" t="n"/>
      <c r="C597" s="141" t="n"/>
      <c r="D597" s="141" t="n"/>
      <c r="E597" s="141" t="n"/>
      <c r="F597" s="141" t="n"/>
      <c r="G597" s="143" t="n"/>
      <c r="H597" s="27" t="n"/>
    </row>
    <row r="598" ht="17.25" customHeight="1" s="322">
      <c r="A598" s="27" t="n"/>
      <c r="B598" s="506" t="n"/>
      <c r="C598" s="141" t="n"/>
      <c r="D598" s="141" t="n"/>
      <c r="E598" s="141" t="n"/>
      <c r="F598" s="141" t="n"/>
      <c r="G598" s="143" t="n"/>
      <c r="H598" s="27" t="n"/>
    </row>
    <row r="599" ht="17.25" customHeight="1" s="322">
      <c r="A599" s="27" t="n"/>
      <c r="B599" s="506" t="n"/>
      <c r="C599" s="141" t="n"/>
      <c r="D599" s="141" t="n"/>
      <c r="E599" s="141" t="n"/>
      <c r="F599" s="141" t="n"/>
      <c r="G599" s="143" t="n"/>
      <c r="H599" s="27" t="n"/>
    </row>
    <row r="600" ht="17.25" customHeight="1" s="322">
      <c r="A600" s="27" t="n"/>
      <c r="B600" s="506" t="n"/>
      <c r="C600" s="141" t="n"/>
      <c r="D600" s="141" t="n"/>
      <c r="E600" s="141" t="n"/>
      <c r="F600" s="141" t="n"/>
      <c r="G600" s="143" t="n"/>
      <c r="H600" s="27" t="n"/>
    </row>
    <row r="601" ht="17.25" customHeight="1" s="322">
      <c r="A601" s="27" t="n"/>
      <c r="B601" s="506" t="n"/>
      <c r="C601" s="141" t="n"/>
      <c r="D601" s="141" t="n"/>
      <c r="E601" s="141" t="n"/>
      <c r="F601" s="141" t="n"/>
      <c r="G601" s="143" t="n"/>
      <c r="H601" s="27" t="n"/>
    </row>
    <row r="602" ht="17.25" customHeight="1" s="322">
      <c r="A602" s="27" t="n"/>
      <c r="B602" s="506" t="n"/>
      <c r="C602" s="141" t="n"/>
      <c r="D602" s="141" t="n"/>
      <c r="E602" s="141" t="n"/>
      <c r="F602" s="141" t="n"/>
      <c r="G602" s="143" t="n"/>
      <c r="H602" s="27" t="n"/>
    </row>
    <row r="603" ht="17.25" customHeight="1" s="322">
      <c r="A603" s="27" t="n"/>
      <c r="B603" s="506" t="n"/>
      <c r="C603" s="141" t="n"/>
      <c r="D603" s="141" t="n"/>
      <c r="E603" s="141" t="n"/>
      <c r="F603" s="141" t="n"/>
      <c r="G603" s="143" t="n"/>
      <c r="H603" s="27" t="n"/>
    </row>
    <row r="604" ht="17.25" customHeight="1" s="322">
      <c r="A604" s="27" t="n"/>
      <c r="B604" s="506" t="n"/>
      <c r="C604" s="141" t="n"/>
      <c r="D604" s="141" t="n"/>
      <c r="E604" s="141" t="n"/>
      <c r="F604" s="141" t="n"/>
      <c r="G604" s="143" t="n"/>
      <c r="H604" s="27" t="n"/>
    </row>
    <row r="605" ht="17.25" customHeight="1" s="322">
      <c r="A605" s="27" t="n"/>
      <c r="B605" s="506" t="n"/>
      <c r="C605" s="141" t="n"/>
      <c r="D605" s="141" t="n"/>
      <c r="E605" s="141" t="n"/>
      <c r="F605" s="141" t="n"/>
      <c r="G605" s="143" t="n"/>
      <c r="H605" s="27" t="n"/>
    </row>
    <row r="606" ht="17.25" customHeight="1" s="322">
      <c r="A606" s="27" t="n"/>
      <c r="B606" s="506" t="n"/>
      <c r="C606" s="141" t="n"/>
      <c r="D606" s="141" t="n"/>
      <c r="E606" s="141" t="n"/>
      <c r="F606" s="141" t="n"/>
      <c r="G606" s="143" t="n"/>
      <c r="H606" s="27" t="n"/>
    </row>
    <row r="607" ht="17.25" customHeight="1" s="322">
      <c r="A607" s="27" t="n"/>
      <c r="B607" s="506" t="n"/>
      <c r="C607" s="141" t="n"/>
      <c r="D607" s="141" t="n"/>
      <c r="E607" s="141" t="n"/>
      <c r="F607" s="141" t="n"/>
      <c r="G607" s="143" t="n"/>
      <c r="H607" s="27" t="n"/>
    </row>
    <row r="608" ht="17.25" customHeight="1" s="322">
      <c r="A608" s="27" t="n"/>
      <c r="B608" s="506" t="n"/>
      <c r="C608" s="141" t="n"/>
      <c r="D608" s="141" t="n"/>
      <c r="E608" s="141" t="n"/>
      <c r="F608" s="141" t="n"/>
      <c r="G608" s="143" t="n"/>
      <c r="H608" s="27" t="n"/>
    </row>
    <row r="609" ht="17.25" customHeight="1" s="322">
      <c r="A609" s="27" t="n"/>
      <c r="B609" s="506" t="n"/>
      <c r="C609" s="141" t="n"/>
      <c r="D609" s="141" t="n"/>
      <c r="E609" s="141" t="n"/>
      <c r="F609" s="141" t="n"/>
      <c r="G609" s="143" t="n"/>
      <c r="H609" s="27" t="n"/>
    </row>
    <row r="610" ht="17.25" customHeight="1" s="322">
      <c r="A610" s="27" t="n"/>
      <c r="B610" s="506" t="n"/>
      <c r="C610" s="141" t="n"/>
      <c r="D610" s="141" t="n"/>
      <c r="E610" s="141" t="n"/>
      <c r="F610" s="141" t="n"/>
      <c r="G610" s="143" t="n"/>
      <c r="H610" s="27" t="n"/>
    </row>
    <row r="611" ht="17.25" customHeight="1" s="322">
      <c r="A611" s="27" t="n"/>
      <c r="B611" s="506" t="n"/>
      <c r="C611" s="141" t="n"/>
      <c r="D611" s="141" t="n"/>
      <c r="E611" s="141" t="n"/>
      <c r="F611" s="141" t="n"/>
      <c r="G611" s="143" t="n"/>
      <c r="H611" s="27" t="n"/>
    </row>
    <row r="612" ht="17.25" customHeight="1" s="322">
      <c r="A612" s="27" t="n"/>
      <c r="B612" s="506" t="n"/>
      <c r="C612" s="141" t="n"/>
      <c r="D612" s="141" t="n"/>
      <c r="E612" s="141" t="n"/>
      <c r="F612" s="141" t="n"/>
      <c r="G612" s="143" t="n"/>
      <c r="H612" s="27" t="n"/>
    </row>
    <row r="613" ht="17.25" customHeight="1" s="322">
      <c r="A613" s="27" t="n"/>
      <c r="B613" s="506" t="n"/>
      <c r="C613" s="141" t="n"/>
      <c r="D613" s="141" t="n"/>
      <c r="E613" s="141" t="n"/>
      <c r="F613" s="141" t="n"/>
      <c r="G613" s="143" t="n"/>
      <c r="H613" s="27" t="n"/>
    </row>
    <row r="614" ht="17.25" customHeight="1" s="322">
      <c r="A614" s="27" t="n"/>
      <c r="B614" s="506" t="n"/>
      <c r="C614" s="141" t="n"/>
      <c r="D614" s="141" t="n"/>
      <c r="E614" s="141" t="n"/>
      <c r="F614" s="141" t="n"/>
      <c r="G614" s="143" t="n"/>
      <c r="H614" s="27" t="n"/>
    </row>
    <row r="615" ht="17.25" customHeight="1" s="322">
      <c r="A615" s="27" t="n"/>
      <c r="B615" s="506" t="n"/>
      <c r="C615" s="141" t="n"/>
      <c r="D615" s="141" t="n"/>
      <c r="E615" s="141" t="n"/>
      <c r="F615" s="141" t="n"/>
      <c r="G615" s="143" t="n"/>
      <c r="H615" s="27" t="n"/>
    </row>
    <row r="616" ht="17.25" customHeight="1" s="322">
      <c r="A616" s="27" t="n"/>
      <c r="B616" s="506" t="n"/>
      <c r="C616" s="141" t="n"/>
      <c r="D616" s="141" t="n"/>
      <c r="E616" s="141" t="n"/>
      <c r="F616" s="141" t="n"/>
      <c r="G616" s="143" t="n"/>
      <c r="H616" s="27" t="n"/>
    </row>
    <row r="617" ht="17.25" customHeight="1" s="322">
      <c r="A617" s="27" t="n"/>
      <c r="B617" s="506" t="n"/>
      <c r="C617" s="141" t="n"/>
      <c r="D617" s="141" t="n"/>
      <c r="E617" s="141" t="n"/>
      <c r="F617" s="141" t="n"/>
      <c r="G617" s="143" t="n"/>
      <c r="H617" s="27" t="n"/>
    </row>
    <row r="618" ht="17.25" customHeight="1" s="322">
      <c r="A618" s="27" t="n"/>
      <c r="B618" s="506" t="n"/>
      <c r="C618" s="141" t="n"/>
      <c r="D618" s="141" t="n"/>
      <c r="E618" s="141" t="n"/>
      <c r="F618" s="141" t="n"/>
      <c r="G618" s="143" t="n"/>
      <c r="H618" s="27" t="n"/>
    </row>
    <row r="619" ht="17.25" customHeight="1" s="322">
      <c r="A619" s="27" t="n"/>
      <c r="B619" s="506" t="n"/>
      <c r="C619" s="141" t="n"/>
      <c r="D619" s="141" t="n"/>
      <c r="E619" s="141" t="n"/>
      <c r="F619" s="141" t="n"/>
      <c r="G619" s="143" t="n"/>
      <c r="H619" s="27" t="n"/>
    </row>
    <row r="620" ht="17.25" customHeight="1" s="322">
      <c r="A620" s="27" t="n"/>
      <c r="B620" s="506" t="n"/>
      <c r="C620" s="141" t="n"/>
      <c r="D620" s="141" t="n"/>
      <c r="E620" s="141" t="n"/>
      <c r="F620" s="141" t="n"/>
      <c r="G620" s="143" t="n"/>
      <c r="H620" s="27" t="n"/>
    </row>
    <row r="621" ht="17.25" customHeight="1" s="322">
      <c r="A621" s="27" t="n"/>
      <c r="B621" s="506" t="n"/>
      <c r="C621" s="141" t="n"/>
      <c r="D621" s="141" t="n"/>
      <c r="E621" s="141" t="n"/>
      <c r="F621" s="141" t="n"/>
      <c r="G621" s="143" t="n"/>
      <c r="H621" s="27" t="n"/>
    </row>
    <row r="622" ht="17.25" customHeight="1" s="322">
      <c r="A622" s="27" t="n"/>
      <c r="B622" s="506" t="n"/>
      <c r="C622" s="141" t="n"/>
      <c r="D622" s="141" t="n"/>
      <c r="E622" s="141" t="n"/>
      <c r="F622" s="141" t="n"/>
      <c r="G622" s="143" t="n"/>
      <c r="H622" s="27" t="n"/>
    </row>
    <row r="623" ht="17.25" customHeight="1" s="322">
      <c r="A623" s="27" t="n"/>
      <c r="B623" s="506" t="n"/>
      <c r="C623" s="141" t="n"/>
      <c r="D623" s="141" t="n"/>
      <c r="E623" s="141" t="n"/>
      <c r="F623" s="141" t="n"/>
      <c r="G623" s="143" t="n"/>
      <c r="H623" s="27" t="n"/>
    </row>
    <row r="624" ht="17.25" customHeight="1" s="322">
      <c r="A624" s="27" t="n"/>
      <c r="B624" s="506" t="n"/>
      <c r="C624" s="141" t="n"/>
      <c r="D624" s="141" t="n"/>
      <c r="E624" s="141" t="n"/>
      <c r="F624" s="141" t="n"/>
      <c r="G624" s="143" t="n"/>
      <c r="H624" s="27" t="n"/>
    </row>
    <row r="625" ht="17.25" customHeight="1" s="322">
      <c r="A625" s="27" t="n"/>
      <c r="B625" s="506" t="n"/>
      <c r="C625" s="141" t="n"/>
      <c r="D625" s="141" t="n"/>
      <c r="E625" s="141" t="n"/>
      <c r="F625" s="141" t="n"/>
      <c r="G625" s="143" t="n"/>
      <c r="H625" s="27" t="n"/>
    </row>
    <row r="626" ht="17.25" customHeight="1" s="322">
      <c r="A626" s="27" t="n"/>
      <c r="B626" s="506" t="n"/>
      <c r="C626" s="141" t="n"/>
      <c r="D626" s="141" t="n"/>
      <c r="E626" s="141" t="n"/>
      <c r="F626" s="141" t="n"/>
      <c r="G626" s="143" t="n"/>
      <c r="H626" s="27" t="n"/>
    </row>
    <row r="627" ht="17.25" customHeight="1" s="322">
      <c r="A627" s="27" t="n"/>
      <c r="B627" s="506" t="n"/>
      <c r="C627" s="141" t="n"/>
      <c r="D627" s="141" t="n"/>
      <c r="E627" s="141" t="n"/>
      <c r="F627" s="141" t="n"/>
      <c r="G627" s="143" t="n"/>
      <c r="H627" s="27" t="n"/>
    </row>
    <row r="628" ht="17.25" customHeight="1" s="322">
      <c r="A628" s="27" t="n"/>
      <c r="B628" s="506" t="n"/>
      <c r="C628" s="141" t="n"/>
      <c r="D628" s="141" t="n"/>
      <c r="E628" s="141" t="n"/>
      <c r="F628" s="141" t="n"/>
      <c r="G628" s="143" t="n"/>
      <c r="H628" s="27" t="n"/>
    </row>
    <row r="629" ht="17.25" customHeight="1" s="322">
      <c r="A629" s="27" t="n"/>
      <c r="B629" s="506" t="n"/>
      <c r="C629" s="141" t="n"/>
      <c r="D629" s="141" t="n"/>
      <c r="E629" s="141" t="n"/>
      <c r="F629" s="141" t="n"/>
      <c r="G629" s="143" t="n"/>
      <c r="H629" s="27" t="n"/>
    </row>
    <row r="630" ht="17.25" customHeight="1" s="322">
      <c r="A630" s="27" t="n"/>
      <c r="B630" s="506" t="n"/>
      <c r="C630" s="141" t="n"/>
      <c r="D630" s="141" t="n"/>
      <c r="E630" s="141" t="n"/>
      <c r="F630" s="141" t="n"/>
      <c r="G630" s="143" t="n"/>
      <c r="H630" s="27" t="n"/>
    </row>
    <row r="631" ht="17.25" customHeight="1" s="322">
      <c r="A631" s="27" t="n"/>
      <c r="B631" s="506" t="n"/>
      <c r="C631" s="141" t="n"/>
      <c r="D631" s="141" t="n"/>
      <c r="E631" s="141" t="n"/>
      <c r="F631" s="141" t="n"/>
      <c r="G631" s="143" t="n"/>
      <c r="H631" s="27" t="n"/>
    </row>
    <row r="632" ht="17.25" customHeight="1" s="322">
      <c r="A632" s="27" t="n"/>
      <c r="B632" s="506" t="n"/>
      <c r="C632" s="141" t="n"/>
      <c r="D632" s="141" t="n"/>
      <c r="E632" s="141" t="n"/>
      <c r="F632" s="141" t="n"/>
      <c r="G632" s="143" t="n"/>
      <c r="H632" s="27" t="n"/>
    </row>
    <row r="633" ht="17.25" customHeight="1" s="322">
      <c r="A633" s="27" t="n"/>
      <c r="B633" s="506" t="n"/>
      <c r="C633" s="141" t="n"/>
      <c r="D633" s="141" t="n"/>
      <c r="E633" s="141" t="n"/>
      <c r="F633" s="141" t="n"/>
      <c r="G633" s="143" t="n"/>
      <c r="H633" s="27" t="n"/>
    </row>
    <row r="634" ht="17.25" customHeight="1" s="322">
      <c r="A634" s="27" t="n"/>
      <c r="B634" s="506" t="n"/>
      <c r="C634" s="141" t="n"/>
      <c r="D634" s="141" t="n"/>
      <c r="E634" s="141" t="n"/>
      <c r="F634" s="141" t="n"/>
      <c r="G634" s="143" t="n"/>
      <c r="H634" s="27" t="n"/>
    </row>
    <row r="635" ht="17.25" customHeight="1" s="322">
      <c r="A635" s="27" t="n"/>
      <c r="B635" s="506" t="n"/>
      <c r="C635" s="141" t="n"/>
      <c r="D635" s="141" t="n"/>
      <c r="E635" s="141" t="n"/>
      <c r="F635" s="141" t="n"/>
      <c r="G635" s="143" t="n"/>
      <c r="H635" s="27" t="n"/>
    </row>
    <row r="636" ht="17.25" customHeight="1" s="322">
      <c r="A636" s="27" t="n"/>
      <c r="B636" s="506" t="n"/>
      <c r="C636" s="141" t="n"/>
      <c r="D636" s="141" t="n"/>
      <c r="E636" s="141" t="n"/>
      <c r="F636" s="141" t="n"/>
      <c r="G636" s="143" t="n"/>
      <c r="H636" s="27" t="n"/>
    </row>
    <row r="637" ht="17.25" customHeight="1" s="322">
      <c r="A637" s="27" t="n"/>
      <c r="B637" s="506" t="n"/>
      <c r="C637" s="141" t="n"/>
      <c r="D637" s="141" t="n"/>
      <c r="E637" s="141" t="n"/>
      <c r="F637" s="141" t="n"/>
      <c r="G637" s="143" t="n"/>
      <c r="H637" s="27" t="n"/>
    </row>
    <row r="638" ht="17.25" customHeight="1" s="322">
      <c r="A638" s="27" t="n"/>
      <c r="B638" s="506" t="n"/>
      <c r="C638" s="141" t="n"/>
      <c r="D638" s="141" t="n"/>
      <c r="E638" s="141" t="n"/>
      <c r="F638" s="141" t="n"/>
      <c r="G638" s="143" t="n"/>
      <c r="H638" s="27" t="n"/>
    </row>
    <row r="639" ht="17.25" customHeight="1" s="322">
      <c r="A639" s="27" t="n"/>
      <c r="B639" s="506" t="n"/>
      <c r="C639" s="141" t="n"/>
      <c r="D639" s="141" t="n"/>
      <c r="E639" s="141" t="n"/>
      <c r="F639" s="141" t="n"/>
      <c r="G639" s="143" t="n"/>
      <c r="H639" s="27" t="n"/>
    </row>
    <row r="640" ht="17.25" customHeight="1" s="322">
      <c r="A640" s="27" t="n"/>
      <c r="B640" s="506" t="n"/>
      <c r="C640" s="141" t="n"/>
      <c r="D640" s="141" t="n"/>
      <c r="E640" s="141" t="n"/>
      <c r="F640" s="141" t="n"/>
      <c r="G640" s="143" t="n"/>
      <c r="H640" s="27" t="n"/>
    </row>
    <row r="641" ht="17.25" customHeight="1" s="322">
      <c r="A641" s="27" t="n"/>
      <c r="B641" s="506" t="n"/>
      <c r="C641" s="141" t="n"/>
      <c r="D641" s="141" t="n"/>
      <c r="E641" s="141" t="n"/>
      <c r="F641" s="141" t="n"/>
      <c r="G641" s="143" t="n"/>
      <c r="H641" s="27" t="n"/>
    </row>
    <row r="642" ht="17.25" customHeight="1" s="322">
      <c r="A642" s="27" t="n"/>
      <c r="B642" s="506" t="n"/>
      <c r="C642" s="141" t="n"/>
      <c r="D642" s="141" t="n"/>
      <c r="E642" s="141" t="n"/>
      <c r="F642" s="141" t="n"/>
      <c r="G642" s="143" t="n"/>
      <c r="H642" s="27" t="n"/>
    </row>
    <row r="643" ht="17.25" customHeight="1" s="322">
      <c r="A643" s="27" t="n"/>
      <c r="B643" s="506" t="n"/>
      <c r="C643" s="141" t="n"/>
      <c r="D643" s="141" t="n"/>
      <c r="E643" s="141" t="n"/>
      <c r="F643" s="141" t="n"/>
      <c r="G643" s="143" t="n"/>
      <c r="H643" s="27" t="n"/>
    </row>
    <row r="644" ht="17.25" customHeight="1" s="322">
      <c r="A644" s="27" t="n"/>
      <c r="B644" s="506" t="n"/>
      <c r="C644" s="141" t="n"/>
      <c r="D644" s="141" t="n"/>
      <c r="E644" s="141" t="n"/>
      <c r="F644" s="141" t="n"/>
      <c r="G644" s="143" t="n"/>
      <c r="H644" s="27" t="n"/>
    </row>
    <row r="645" ht="17.25" customHeight="1" s="322">
      <c r="A645" s="27" t="n"/>
      <c r="B645" s="506" t="n"/>
      <c r="C645" s="141" t="n"/>
      <c r="D645" s="141" t="n"/>
      <c r="E645" s="141" t="n"/>
      <c r="F645" s="141" t="n"/>
      <c r="G645" s="143" t="n"/>
      <c r="H645" s="27" t="n"/>
    </row>
    <row r="646" ht="17.25" customHeight="1" s="322">
      <c r="A646" s="27" t="n"/>
      <c r="B646" s="506" t="n"/>
      <c r="C646" s="141" t="n"/>
      <c r="D646" s="141" t="n"/>
      <c r="E646" s="141" t="n"/>
      <c r="F646" s="141" t="n"/>
      <c r="G646" s="143" t="n"/>
      <c r="H646" s="27" t="n"/>
    </row>
    <row r="647" ht="17.25" customHeight="1" s="322">
      <c r="A647" s="27" t="n"/>
      <c r="B647" s="506" t="n"/>
      <c r="C647" s="141" t="n"/>
      <c r="D647" s="141" t="n"/>
      <c r="E647" s="141" t="n"/>
      <c r="F647" s="141" t="n"/>
      <c r="G647" s="143" t="n"/>
      <c r="H647" s="27" t="n"/>
    </row>
    <row r="648" ht="17.25" customHeight="1" s="322">
      <c r="A648" s="27" t="n"/>
      <c r="B648" s="506" t="n"/>
      <c r="C648" s="141" t="n"/>
      <c r="D648" s="141" t="n"/>
      <c r="E648" s="141" t="n"/>
      <c r="F648" s="141" t="n"/>
      <c r="G648" s="143" t="n"/>
      <c r="H648" s="27" t="n"/>
    </row>
    <row r="649" ht="17.25" customHeight="1" s="322">
      <c r="A649" s="27" t="n"/>
      <c r="B649" s="506" t="n"/>
      <c r="C649" s="141" t="n"/>
      <c r="D649" s="141" t="n"/>
      <c r="E649" s="141" t="n"/>
      <c r="F649" s="141" t="n"/>
      <c r="G649" s="143" t="n"/>
      <c r="H649" s="27" t="n"/>
    </row>
    <row r="650" ht="17.25" customHeight="1" s="322">
      <c r="A650" s="27" t="n"/>
      <c r="B650" s="506" t="n"/>
      <c r="C650" s="141" t="n"/>
      <c r="D650" s="141" t="n"/>
      <c r="E650" s="141" t="n"/>
      <c r="F650" s="141" t="n"/>
      <c r="G650" s="143" t="n"/>
      <c r="H650" s="27" t="n"/>
    </row>
    <row r="651" ht="17.25" customHeight="1" s="322">
      <c r="A651" s="27" t="n"/>
      <c r="B651" s="506" t="n"/>
      <c r="C651" s="141" t="n"/>
      <c r="D651" s="141" t="n"/>
      <c r="E651" s="141" t="n"/>
      <c r="F651" s="141" t="n"/>
      <c r="G651" s="143" t="n"/>
      <c r="H651" s="27" t="n"/>
    </row>
    <row r="652" ht="17.25" customHeight="1" s="322">
      <c r="A652" s="27" t="n"/>
      <c r="B652" s="506" t="n"/>
      <c r="C652" s="141" t="n"/>
      <c r="D652" s="141" t="n"/>
      <c r="E652" s="141" t="n"/>
      <c r="F652" s="141" t="n"/>
      <c r="G652" s="143" t="n"/>
      <c r="H652" s="27" t="n"/>
    </row>
    <row r="653" ht="17.25" customHeight="1" s="322">
      <c r="A653" s="27" t="n"/>
      <c r="B653" s="506" t="n"/>
      <c r="C653" s="141" t="n"/>
      <c r="D653" s="141" t="n"/>
      <c r="E653" s="141" t="n"/>
      <c r="F653" s="141" t="n"/>
      <c r="G653" s="143" t="n"/>
      <c r="H653" s="27" t="n"/>
    </row>
    <row r="654" ht="17.25" customHeight="1" s="322">
      <c r="A654" s="27" t="n"/>
      <c r="B654" s="506" t="n"/>
      <c r="C654" s="141" t="n"/>
      <c r="D654" s="141" t="n"/>
      <c r="E654" s="141" t="n"/>
      <c r="F654" s="141" t="n"/>
      <c r="G654" s="143" t="n"/>
      <c r="H654" s="27" t="n"/>
    </row>
    <row r="655" ht="17.25" customHeight="1" s="322">
      <c r="A655" s="27" t="n"/>
      <c r="B655" s="506" t="n"/>
      <c r="C655" s="141" t="n"/>
      <c r="D655" s="141" t="n"/>
      <c r="E655" s="141" t="n"/>
      <c r="F655" s="141" t="n"/>
      <c r="G655" s="143" t="n"/>
      <c r="H655" s="27" t="n"/>
    </row>
    <row r="656" ht="17.25" customHeight="1" s="322">
      <c r="A656" s="27" t="n"/>
      <c r="B656" s="506" t="n"/>
      <c r="C656" s="141" t="n"/>
      <c r="D656" s="141" t="n"/>
      <c r="E656" s="141" t="n"/>
      <c r="F656" s="141" t="n"/>
      <c r="G656" s="143" t="n"/>
      <c r="H656" s="27" t="n"/>
    </row>
    <row r="657" ht="17.25" customHeight="1" s="322">
      <c r="A657" s="27" t="n"/>
      <c r="B657" s="506" t="n"/>
      <c r="C657" s="141" t="n"/>
      <c r="D657" s="141" t="n"/>
      <c r="E657" s="141" t="n"/>
      <c r="F657" s="141" t="n"/>
      <c r="G657" s="143" t="n"/>
      <c r="H657" s="27" t="n"/>
    </row>
    <row r="658" ht="17.25" customHeight="1" s="322">
      <c r="A658" s="27" t="n"/>
      <c r="B658" s="506" t="n"/>
      <c r="C658" s="141" t="n"/>
      <c r="D658" s="141" t="n"/>
      <c r="E658" s="141" t="n"/>
      <c r="F658" s="141" t="n"/>
      <c r="G658" s="143" t="n"/>
      <c r="H658" s="27" t="n"/>
    </row>
    <row r="659" ht="17.25" customHeight="1" s="322">
      <c r="A659" s="27" t="n"/>
      <c r="B659" s="506" t="n"/>
      <c r="C659" s="141" t="n"/>
      <c r="D659" s="141" t="n"/>
      <c r="E659" s="141" t="n"/>
      <c r="F659" s="141" t="n"/>
      <c r="G659" s="143" t="n"/>
      <c r="H659" s="27" t="n"/>
    </row>
    <row r="660" ht="17.25" customHeight="1" s="322">
      <c r="A660" s="27" t="n"/>
      <c r="B660" s="506" t="n"/>
      <c r="C660" s="141" t="n"/>
      <c r="D660" s="141" t="n"/>
      <c r="E660" s="141" t="n"/>
      <c r="F660" s="141" t="n"/>
      <c r="G660" s="143" t="n"/>
      <c r="H660" s="27" t="n"/>
    </row>
    <row r="661" ht="17.25" customHeight="1" s="322">
      <c r="A661" s="27" t="n"/>
      <c r="B661" s="506" t="n"/>
      <c r="C661" s="141" t="n"/>
      <c r="D661" s="141" t="n"/>
      <c r="E661" s="141" t="n"/>
      <c r="F661" s="141" t="n"/>
      <c r="G661" s="143" t="n"/>
      <c r="H661" s="27" t="n"/>
    </row>
    <row r="662" ht="17.25" customHeight="1" s="322">
      <c r="A662" s="27" t="n"/>
      <c r="B662" s="506" t="n"/>
      <c r="C662" s="141" t="n"/>
      <c r="D662" s="141" t="n"/>
      <c r="E662" s="141" t="n"/>
      <c r="F662" s="141" t="n"/>
      <c r="G662" s="143" t="n"/>
      <c r="H662" s="27" t="n"/>
    </row>
    <row r="663" ht="17.25" customHeight="1" s="322">
      <c r="A663" s="27" t="n"/>
      <c r="B663" s="506" t="n"/>
      <c r="C663" s="141" t="n"/>
      <c r="D663" s="141" t="n"/>
      <c r="E663" s="141" t="n"/>
      <c r="F663" s="141" t="n"/>
      <c r="G663" s="143" t="n"/>
      <c r="H663" s="27" t="n"/>
    </row>
    <row r="664" ht="17.25" customHeight="1" s="322">
      <c r="A664" s="27" t="n"/>
      <c r="B664" s="506" t="n"/>
      <c r="C664" s="141" t="n"/>
      <c r="D664" s="141" t="n"/>
      <c r="E664" s="141" t="n"/>
      <c r="F664" s="141" t="n"/>
      <c r="G664" s="143" t="n"/>
      <c r="H664" s="27" t="n"/>
    </row>
    <row r="665" ht="17.25" customHeight="1" s="322">
      <c r="A665" s="27" t="n"/>
      <c r="B665" s="506" t="n"/>
      <c r="C665" s="141" t="n"/>
      <c r="D665" s="141" t="n"/>
      <c r="E665" s="141" t="n"/>
      <c r="F665" s="141" t="n"/>
      <c r="G665" s="143" t="n"/>
      <c r="H665" s="27" t="n"/>
    </row>
    <row r="666" ht="17.25" customHeight="1" s="322">
      <c r="A666" s="27" t="n"/>
      <c r="B666" s="506" t="n"/>
      <c r="C666" s="141" t="n"/>
      <c r="D666" s="141" t="n"/>
      <c r="E666" s="141" t="n"/>
      <c r="F666" s="141" t="n"/>
      <c r="G666" s="143" t="n"/>
      <c r="H666" s="27" t="n"/>
    </row>
    <row r="667" ht="17.25" customHeight="1" s="322">
      <c r="A667" s="27" t="n"/>
      <c r="B667" s="506" t="n"/>
      <c r="C667" s="141" t="n"/>
      <c r="D667" s="141" t="n"/>
      <c r="E667" s="141" t="n"/>
      <c r="F667" s="141" t="n"/>
      <c r="G667" s="143" t="n"/>
      <c r="H667" s="27" t="n"/>
    </row>
    <row r="668" ht="17.25" customHeight="1" s="322">
      <c r="A668" s="27" t="n"/>
      <c r="B668" s="506" t="n"/>
      <c r="C668" s="141" t="n"/>
      <c r="D668" s="141" t="n"/>
      <c r="E668" s="141" t="n"/>
      <c r="F668" s="141" t="n"/>
      <c r="G668" s="143" t="n"/>
      <c r="H668" s="27" t="n"/>
    </row>
    <row r="669" ht="17.25" customHeight="1" s="322">
      <c r="A669" s="27" t="n"/>
      <c r="B669" s="506" t="n"/>
      <c r="C669" s="141" t="n"/>
      <c r="D669" s="141" t="n"/>
      <c r="E669" s="141" t="n"/>
      <c r="F669" s="141" t="n"/>
      <c r="G669" s="143" t="n"/>
      <c r="H669" s="27" t="n"/>
    </row>
    <row r="670" ht="17.25" customHeight="1" s="322">
      <c r="A670" s="27" t="n"/>
      <c r="B670" s="506" t="n"/>
      <c r="C670" s="141" t="n"/>
      <c r="D670" s="141" t="n"/>
      <c r="E670" s="141" t="n"/>
      <c r="F670" s="141" t="n"/>
      <c r="G670" s="143" t="n"/>
      <c r="H670" s="27" t="n"/>
    </row>
    <row r="671" ht="17.25" customHeight="1" s="322">
      <c r="A671" s="27" t="n"/>
      <c r="B671" s="506" t="n"/>
      <c r="C671" s="141" t="n"/>
      <c r="D671" s="141" t="n"/>
      <c r="E671" s="141" t="n"/>
      <c r="F671" s="141" t="n"/>
      <c r="G671" s="143" t="n"/>
      <c r="H671" s="27" t="n"/>
    </row>
    <row r="672" ht="17.25" customHeight="1" s="322">
      <c r="A672" s="27" t="n"/>
      <c r="B672" s="506" t="n"/>
      <c r="C672" s="141" t="n"/>
      <c r="D672" s="141" t="n"/>
      <c r="E672" s="141" t="n"/>
      <c r="F672" s="141" t="n"/>
      <c r="G672" s="143" t="n"/>
      <c r="H672" s="27" t="n"/>
    </row>
    <row r="673" ht="17.25" customHeight="1" s="322">
      <c r="A673" s="27" t="n"/>
      <c r="B673" s="506" t="n"/>
      <c r="C673" s="141" t="n"/>
      <c r="D673" s="141" t="n"/>
      <c r="E673" s="141" t="n"/>
      <c r="F673" s="141" t="n"/>
      <c r="G673" s="143" t="n"/>
      <c r="H673" s="27" t="n"/>
    </row>
    <row r="674" ht="17.25" customHeight="1" s="322">
      <c r="A674" s="27" t="n"/>
      <c r="B674" s="506" t="n"/>
      <c r="C674" s="141" t="n"/>
      <c r="D674" s="141" t="n"/>
      <c r="E674" s="141" t="n"/>
      <c r="F674" s="141" t="n"/>
      <c r="G674" s="143" t="n"/>
      <c r="H674" s="27" t="n"/>
    </row>
    <row r="675" ht="17.25" customHeight="1" s="322">
      <c r="A675" s="27" t="n"/>
      <c r="B675" s="506" t="n"/>
      <c r="C675" s="141" t="n"/>
      <c r="D675" s="141" t="n"/>
      <c r="E675" s="141" t="n"/>
      <c r="F675" s="141" t="n"/>
      <c r="G675" s="143" t="n"/>
      <c r="H675" s="27" t="n"/>
    </row>
    <row r="676" ht="17.25" customHeight="1" s="322">
      <c r="A676" s="27" t="n"/>
      <c r="B676" s="506" t="n"/>
      <c r="C676" s="141" t="n"/>
      <c r="D676" s="141" t="n"/>
      <c r="E676" s="141" t="n"/>
      <c r="F676" s="141" t="n"/>
      <c r="G676" s="143" t="n"/>
      <c r="H676" s="27" t="n"/>
    </row>
    <row r="677" ht="17.25" customHeight="1" s="322">
      <c r="A677" s="27" t="n"/>
      <c r="B677" s="506" t="n"/>
      <c r="C677" s="141" t="n"/>
      <c r="D677" s="141" t="n"/>
      <c r="E677" s="141" t="n"/>
      <c r="F677" s="141" t="n"/>
      <c r="G677" s="143" t="n"/>
      <c r="H677" s="27" t="n"/>
    </row>
    <row r="678" ht="17.25" customHeight="1" s="322">
      <c r="A678" s="27" t="n"/>
      <c r="B678" s="506" t="n"/>
      <c r="C678" s="141" t="n"/>
      <c r="D678" s="141" t="n"/>
      <c r="E678" s="141" t="n"/>
      <c r="F678" s="141" t="n"/>
      <c r="G678" s="143" t="n"/>
      <c r="H678" s="27" t="n"/>
    </row>
    <row r="679" ht="17.25" customHeight="1" s="322">
      <c r="A679" s="27" t="n"/>
      <c r="B679" s="506" t="n"/>
      <c r="C679" s="141" t="n"/>
      <c r="D679" s="141" t="n"/>
      <c r="E679" s="141" t="n"/>
      <c r="F679" s="141" t="n"/>
      <c r="G679" s="143" t="n"/>
      <c r="H679" s="27" t="n"/>
    </row>
    <row r="680" ht="17.25" customHeight="1" s="322">
      <c r="A680" s="27" t="n"/>
      <c r="B680" s="506" t="n"/>
      <c r="C680" s="141" t="n"/>
      <c r="D680" s="141" t="n"/>
      <c r="E680" s="141" t="n"/>
      <c r="F680" s="141" t="n"/>
      <c r="G680" s="143" t="n"/>
      <c r="H680" s="27" t="n"/>
    </row>
    <row r="681" ht="17.25" customHeight="1" s="322">
      <c r="A681" s="27" t="n"/>
      <c r="B681" s="506" t="n"/>
      <c r="C681" s="141" t="n"/>
      <c r="D681" s="141" t="n"/>
      <c r="E681" s="141" t="n"/>
      <c r="F681" s="141" t="n"/>
      <c r="G681" s="143" t="n"/>
      <c r="H681" s="27" t="n"/>
    </row>
    <row r="682" ht="17.25" customHeight="1" s="322">
      <c r="A682" s="27" t="n"/>
      <c r="B682" s="506" t="n"/>
      <c r="C682" s="141" t="n"/>
      <c r="D682" s="141" t="n"/>
      <c r="E682" s="141" t="n"/>
      <c r="F682" s="141" t="n"/>
      <c r="G682" s="143" t="n"/>
      <c r="H682" s="27" t="n"/>
    </row>
    <row r="683" ht="17.25" customHeight="1" s="322">
      <c r="A683" s="27" t="n"/>
      <c r="B683" s="506" t="n"/>
      <c r="C683" s="141" t="n"/>
      <c r="D683" s="141" t="n"/>
      <c r="E683" s="141" t="n"/>
      <c r="F683" s="141" t="n"/>
      <c r="G683" s="143" t="n"/>
      <c r="H683" s="27" t="n"/>
    </row>
    <row r="684" ht="17.25" customHeight="1" s="322">
      <c r="A684" s="27" t="n"/>
      <c r="B684" s="506" t="n"/>
      <c r="C684" s="141" t="n"/>
      <c r="D684" s="141" t="n"/>
      <c r="E684" s="141" t="n"/>
      <c r="F684" s="141" t="n"/>
      <c r="G684" s="143" t="n"/>
      <c r="H684" s="27" t="n"/>
    </row>
    <row r="685" ht="17.25" customHeight="1" s="322">
      <c r="A685" s="27" t="n"/>
      <c r="B685" s="506" t="n"/>
      <c r="C685" s="141" t="n"/>
      <c r="D685" s="141" t="n"/>
      <c r="E685" s="141" t="n"/>
      <c r="F685" s="141" t="n"/>
      <c r="G685" s="143" t="n"/>
      <c r="H685" s="27" t="n"/>
    </row>
    <row r="686" ht="17.25" customHeight="1" s="322">
      <c r="A686" s="27" t="n"/>
      <c r="B686" s="506" t="n"/>
      <c r="C686" s="141" t="n"/>
      <c r="D686" s="141" t="n"/>
      <c r="E686" s="141" t="n"/>
      <c r="F686" s="141" t="n"/>
      <c r="G686" s="143" t="n"/>
      <c r="H686" s="27" t="n"/>
    </row>
    <row r="687" ht="17.25" customHeight="1" s="322">
      <c r="A687" s="27" t="n"/>
      <c r="B687" s="506" t="n"/>
      <c r="C687" s="141" t="n"/>
      <c r="D687" s="141" t="n"/>
      <c r="E687" s="141" t="n"/>
      <c r="F687" s="141" t="n"/>
      <c r="G687" s="143" t="n"/>
      <c r="H687" s="27" t="n"/>
    </row>
    <row r="688" ht="17.25" customHeight="1" s="322">
      <c r="A688" s="27" t="n"/>
      <c r="B688" s="506" t="n"/>
      <c r="C688" s="141" t="n"/>
      <c r="D688" s="141" t="n"/>
      <c r="E688" s="141" t="n"/>
      <c r="F688" s="141" t="n"/>
      <c r="G688" s="143" t="n"/>
      <c r="H688" s="27" t="n"/>
    </row>
    <row r="689" ht="17.25" customHeight="1" s="322">
      <c r="A689" s="27" t="n"/>
      <c r="B689" s="506" t="n"/>
      <c r="C689" s="141" t="n"/>
      <c r="D689" s="141" t="n"/>
      <c r="E689" s="141" t="n"/>
      <c r="F689" s="141" t="n"/>
      <c r="G689" s="143" t="n"/>
      <c r="H689" s="27" t="n"/>
    </row>
    <row r="690" ht="17.25" customHeight="1" s="322">
      <c r="A690" s="27" t="n"/>
      <c r="B690" s="506" t="n"/>
      <c r="C690" s="141" t="n"/>
      <c r="D690" s="141" t="n"/>
      <c r="E690" s="141" t="n"/>
      <c r="F690" s="141" t="n"/>
      <c r="G690" s="143" t="n"/>
      <c r="H690" s="27" t="n"/>
    </row>
    <row r="691" ht="17.25" customHeight="1" s="322">
      <c r="A691" s="27" t="n"/>
      <c r="B691" s="506" t="n"/>
      <c r="C691" s="141" t="n"/>
      <c r="D691" s="141" t="n"/>
      <c r="E691" s="141" t="n"/>
      <c r="F691" s="141" t="n"/>
      <c r="G691" s="143" t="n"/>
      <c r="H691" s="27" t="n"/>
    </row>
    <row r="692" ht="17.25" customHeight="1" s="322">
      <c r="A692" s="27" t="n"/>
      <c r="B692" s="506" t="n"/>
      <c r="C692" s="141" t="n"/>
      <c r="D692" s="141" t="n"/>
      <c r="E692" s="141" t="n"/>
      <c r="F692" s="141" t="n"/>
      <c r="G692" s="143" t="n"/>
      <c r="H692" s="27" t="n"/>
    </row>
    <row r="693" ht="17.25" customHeight="1" s="322">
      <c r="A693" s="27" t="n"/>
      <c r="B693" s="506" t="n"/>
      <c r="C693" s="141" t="n"/>
      <c r="D693" s="141" t="n"/>
      <c r="E693" s="141" t="n"/>
      <c r="F693" s="141" t="n"/>
      <c r="G693" s="143" t="n"/>
      <c r="H693" s="27" t="n"/>
    </row>
    <row r="694" ht="17.25" customHeight="1" s="322">
      <c r="A694" s="27" t="n"/>
      <c r="B694" s="506" t="n"/>
      <c r="C694" s="141" t="n"/>
      <c r="D694" s="141" t="n"/>
      <c r="E694" s="141" t="n"/>
      <c r="F694" s="141" t="n"/>
      <c r="G694" s="143" t="n"/>
      <c r="H694" s="27" t="n"/>
    </row>
    <row r="695" ht="17.25" customHeight="1" s="322">
      <c r="A695" s="27" t="n"/>
      <c r="B695" s="506" t="n"/>
      <c r="C695" s="141" t="n"/>
      <c r="D695" s="141" t="n"/>
      <c r="E695" s="141" t="n"/>
      <c r="F695" s="141" t="n"/>
      <c r="G695" s="143" t="n"/>
      <c r="H695" s="27" t="n"/>
    </row>
    <row r="696" ht="17.25" customHeight="1" s="322">
      <c r="A696" s="27" t="n"/>
      <c r="B696" s="506" t="n"/>
      <c r="C696" s="141" t="n"/>
      <c r="D696" s="141" t="n"/>
      <c r="E696" s="141" t="n"/>
      <c r="F696" s="141" t="n"/>
      <c r="G696" s="143" t="n"/>
      <c r="H696" s="27" t="n"/>
    </row>
    <row r="697" ht="17.25" customHeight="1" s="322">
      <c r="A697" s="27" t="n"/>
      <c r="B697" s="506" t="n"/>
      <c r="C697" s="141" t="n"/>
      <c r="D697" s="141" t="n"/>
      <c r="E697" s="141" t="n"/>
      <c r="F697" s="141" t="n"/>
      <c r="G697" s="143" t="n"/>
      <c r="H697" s="27" t="n"/>
    </row>
    <row r="698" ht="17.25" customHeight="1" s="322">
      <c r="A698" s="27" t="n"/>
      <c r="B698" s="506" t="n"/>
      <c r="C698" s="141" t="n"/>
      <c r="D698" s="141" t="n"/>
      <c r="E698" s="141" t="n"/>
      <c r="F698" s="141" t="n"/>
      <c r="G698" s="143" t="n"/>
      <c r="H698" s="27" t="n"/>
    </row>
    <row r="699" ht="17.25" customHeight="1" s="322">
      <c r="A699" s="27" t="n"/>
      <c r="B699" s="506" t="n"/>
      <c r="C699" s="141" t="n"/>
      <c r="D699" s="141" t="n"/>
      <c r="E699" s="141" t="n"/>
      <c r="F699" s="141" t="n"/>
      <c r="G699" s="143" t="n"/>
      <c r="H699" s="27" t="n"/>
    </row>
    <row r="700" ht="17.25" customHeight="1" s="322">
      <c r="A700" s="27" t="n"/>
      <c r="B700" s="506" t="n"/>
      <c r="C700" s="141" t="n"/>
      <c r="D700" s="141" t="n"/>
      <c r="E700" s="141" t="n"/>
      <c r="F700" s="141" t="n"/>
      <c r="G700" s="143" t="n"/>
      <c r="H700" s="27" t="n"/>
    </row>
    <row r="701" ht="17.25" customHeight="1" s="322">
      <c r="A701" s="27" t="n"/>
      <c r="B701" s="506" t="n"/>
      <c r="C701" s="141" t="n"/>
      <c r="D701" s="141" t="n"/>
      <c r="E701" s="141" t="n"/>
      <c r="F701" s="141" t="n"/>
      <c r="G701" s="143" t="n"/>
      <c r="H701" s="27" t="n"/>
    </row>
    <row r="702" ht="17.25" customHeight="1" s="322">
      <c r="A702" s="27" t="n"/>
      <c r="B702" s="506" t="n"/>
      <c r="C702" s="141" t="n"/>
      <c r="D702" s="141" t="n"/>
      <c r="E702" s="141" t="n"/>
      <c r="F702" s="141" t="n"/>
      <c r="G702" s="143" t="n"/>
      <c r="H702" s="27" t="n"/>
    </row>
    <row r="703" ht="17.25" customHeight="1" s="322">
      <c r="A703" s="27" t="n"/>
      <c r="B703" s="506" t="n"/>
      <c r="C703" s="141" t="n"/>
      <c r="D703" s="141" t="n"/>
      <c r="E703" s="141" t="n"/>
      <c r="F703" s="141" t="n"/>
      <c r="G703" s="143" t="n"/>
      <c r="H703" s="27" t="n"/>
    </row>
    <row r="704" ht="17.25" customHeight="1" s="322">
      <c r="A704" s="27" t="n"/>
      <c r="B704" s="506" t="n"/>
      <c r="C704" s="141" t="n"/>
      <c r="D704" s="141" t="n"/>
      <c r="E704" s="141" t="n"/>
      <c r="F704" s="141" t="n"/>
      <c r="G704" s="143" t="n"/>
      <c r="H704" s="27" t="n"/>
    </row>
    <row r="705" ht="17.25" customHeight="1" s="322">
      <c r="A705" s="27" t="n"/>
      <c r="B705" s="506" t="n"/>
      <c r="C705" s="141" t="n"/>
      <c r="D705" s="141" t="n"/>
      <c r="E705" s="141" t="n"/>
      <c r="F705" s="141" t="n"/>
      <c r="G705" s="143" t="n"/>
      <c r="H705" s="27" t="n"/>
    </row>
    <row r="706" ht="17.25" customHeight="1" s="322">
      <c r="A706" s="27" t="n"/>
      <c r="B706" s="506" t="n"/>
      <c r="C706" s="141" t="n"/>
      <c r="D706" s="141" t="n"/>
      <c r="E706" s="141" t="n"/>
      <c r="F706" s="141" t="n"/>
      <c r="G706" s="143" t="n"/>
      <c r="H706" s="27" t="n"/>
    </row>
    <row r="707" ht="17.25" customHeight="1" s="322">
      <c r="A707" s="27" t="n"/>
      <c r="B707" s="506" t="n"/>
      <c r="C707" s="141" t="n"/>
      <c r="D707" s="141" t="n"/>
      <c r="E707" s="141" t="n"/>
      <c r="F707" s="141" t="n"/>
      <c r="G707" s="143" t="n"/>
      <c r="H707" s="27" t="n"/>
    </row>
    <row r="708" ht="17.25" customHeight="1" s="322">
      <c r="A708" s="27" t="n"/>
      <c r="B708" s="506" t="n"/>
      <c r="C708" s="141" t="n"/>
      <c r="D708" s="141" t="n"/>
      <c r="E708" s="141" t="n"/>
      <c r="F708" s="141" t="n"/>
      <c r="G708" s="143" t="n"/>
      <c r="H708" s="27" t="n"/>
    </row>
    <row r="709" ht="17.25" customHeight="1" s="322">
      <c r="A709" s="27" t="n"/>
      <c r="B709" s="506" t="n"/>
      <c r="C709" s="141" t="n"/>
      <c r="D709" s="141" t="n"/>
      <c r="E709" s="141" t="n"/>
      <c r="F709" s="141" t="n"/>
      <c r="G709" s="143" t="n"/>
      <c r="H709" s="27" t="n"/>
    </row>
    <row r="710" ht="17.25" customHeight="1" s="322">
      <c r="A710" s="27" t="n"/>
      <c r="B710" s="506" t="n"/>
      <c r="C710" s="141" t="n"/>
      <c r="D710" s="141" t="n"/>
      <c r="E710" s="141" t="n"/>
      <c r="F710" s="141" t="n"/>
      <c r="G710" s="143" t="n"/>
      <c r="H710" s="27" t="n"/>
    </row>
    <row r="711" ht="17.25" customHeight="1" s="322">
      <c r="A711" s="27" t="n"/>
      <c r="B711" s="506" t="n"/>
      <c r="C711" s="141" t="n"/>
      <c r="D711" s="141" t="n"/>
      <c r="E711" s="141" t="n"/>
      <c r="F711" s="141" t="n"/>
      <c r="G711" s="143" t="n"/>
      <c r="H711" s="27" t="n"/>
    </row>
    <row r="712" ht="17.25" customHeight="1" s="322">
      <c r="A712" s="27" t="n"/>
      <c r="B712" s="506" t="n"/>
      <c r="C712" s="141" t="n"/>
      <c r="D712" s="141" t="n"/>
      <c r="E712" s="141" t="n"/>
      <c r="F712" s="141" t="n"/>
      <c r="G712" s="143" t="n"/>
      <c r="H712" s="27" t="n"/>
    </row>
    <row r="713" ht="17.25" customHeight="1" s="322">
      <c r="A713" s="27" t="n"/>
      <c r="B713" s="506" t="n"/>
      <c r="C713" s="141" t="n"/>
      <c r="D713" s="141" t="n"/>
      <c r="E713" s="141" t="n"/>
      <c r="F713" s="141" t="n"/>
      <c r="G713" s="143" t="n"/>
      <c r="H713" s="27" t="n"/>
    </row>
    <row r="714" ht="17.25" customHeight="1" s="322">
      <c r="A714" s="27" t="n"/>
      <c r="B714" s="506" t="n"/>
      <c r="C714" s="141" t="n"/>
      <c r="D714" s="141" t="n"/>
      <c r="E714" s="141" t="n"/>
      <c r="F714" s="141" t="n"/>
      <c r="G714" s="143" t="n"/>
      <c r="H714" s="27" t="n"/>
    </row>
    <row r="715" ht="17.25" customHeight="1" s="322">
      <c r="A715" s="27" t="n"/>
      <c r="B715" s="506" t="n"/>
      <c r="C715" s="141" t="n"/>
      <c r="D715" s="141" t="n"/>
      <c r="E715" s="141" t="n"/>
      <c r="F715" s="141" t="n"/>
      <c r="G715" s="143" t="n"/>
      <c r="H715" s="27" t="n"/>
    </row>
    <row r="716" ht="17.25" customHeight="1" s="322">
      <c r="A716" s="27" t="n"/>
      <c r="B716" s="506" t="n"/>
      <c r="C716" s="141" t="n"/>
      <c r="D716" s="141" t="n"/>
      <c r="E716" s="141" t="n"/>
      <c r="F716" s="141" t="n"/>
      <c r="G716" s="143" t="n"/>
      <c r="H716" s="27" t="n"/>
    </row>
    <row r="717" ht="17.25" customHeight="1" s="322">
      <c r="A717" s="27" t="n"/>
      <c r="B717" s="506" t="n"/>
      <c r="C717" s="141" t="n"/>
      <c r="D717" s="141" t="n"/>
      <c r="E717" s="141" t="n"/>
      <c r="F717" s="141" t="n"/>
      <c r="G717" s="143" t="n"/>
      <c r="H717" s="27" t="n"/>
    </row>
    <row r="718" ht="17.25" customHeight="1" s="322">
      <c r="A718" s="27" t="n"/>
      <c r="B718" s="506" t="n"/>
      <c r="C718" s="141" t="n"/>
      <c r="D718" s="141" t="n"/>
      <c r="E718" s="141" t="n"/>
      <c r="F718" s="141" t="n"/>
      <c r="G718" s="143" t="n"/>
      <c r="H718" s="27" t="n"/>
    </row>
    <row r="719" ht="17.25" customHeight="1" s="322">
      <c r="A719" s="27" t="n"/>
      <c r="B719" s="506" t="n"/>
      <c r="C719" s="141" t="n"/>
      <c r="D719" s="141" t="n"/>
      <c r="E719" s="141" t="n"/>
      <c r="F719" s="141" t="n"/>
      <c r="G719" s="143" t="n"/>
      <c r="H719" s="27" t="n"/>
    </row>
    <row r="720" ht="17.25" customHeight="1" s="322">
      <c r="A720" s="27" t="n"/>
      <c r="B720" s="506" t="n"/>
      <c r="C720" s="141" t="n"/>
      <c r="D720" s="141" t="n"/>
      <c r="E720" s="141" t="n"/>
      <c r="F720" s="141" t="n"/>
      <c r="G720" s="143" t="n"/>
      <c r="H720" s="27" t="n"/>
    </row>
    <row r="721" ht="17.25" customHeight="1" s="322">
      <c r="A721" s="27" t="n"/>
      <c r="B721" s="506" t="n"/>
      <c r="C721" s="141" t="n"/>
      <c r="D721" s="141" t="n"/>
      <c r="E721" s="141" t="n"/>
      <c r="F721" s="141" t="n"/>
      <c r="G721" s="143" t="n"/>
      <c r="H721" s="27" t="n"/>
    </row>
    <row r="722" ht="17.25" customHeight="1" s="322">
      <c r="A722" s="27" t="n"/>
      <c r="B722" s="506" t="n"/>
      <c r="C722" s="141" t="n"/>
      <c r="D722" s="141" t="n"/>
      <c r="E722" s="141" t="n"/>
      <c r="F722" s="141" t="n"/>
      <c r="G722" s="143" t="n"/>
      <c r="H722" s="27" t="n"/>
    </row>
    <row r="723" ht="17.25" customHeight="1" s="322">
      <c r="A723" s="27" t="n"/>
      <c r="B723" s="506" t="n"/>
      <c r="C723" s="141" t="n"/>
      <c r="D723" s="141" t="n"/>
      <c r="E723" s="141" t="n"/>
      <c r="F723" s="141" t="n"/>
      <c r="G723" s="143" t="n"/>
      <c r="H723" s="27" t="n"/>
    </row>
    <row r="724" ht="17.25" customHeight="1" s="322">
      <c r="A724" s="27" t="n"/>
      <c r="B724" s="506" t="n"/>
      <c r="C724" s="141" t="n"/>
      <c r="D724" s="141" t="n"/>
      <c r="E724" s="141" t="n"/>
      <c r="F724" s="141" t="n"/>
      <c r="G724" s="143" t="n"/>
      <c r="H724" s="27" t="n"/>
    </row>
    <row r="725" ht="17.25" customHeight="1" s="322">
      <c r="A725" s="27" t="n"/>
      <c r="B725" s="506" t="n"/>
      <c r="C725" s="141" t="n"/>
      <c r="D725" s="141" t="n"/>
      <c r="E725" s="141" t="n"/>
      <c r="F725" s="141" t="n"/>
      <c r="G725" s="143" t="n"/>
      <c r="H725" s="27" t="n"/>
    </row>
    <row r="726" ht="17.25" customHeight="1" s="322">
      <c r="A726" s="27" t="n"/>
      <c r="B726" s="506" t="n"/>
      <c r="C726" s="141" t="n"/>
      <c r="D726" s="141" t="n"/>
      <c r="E726" s="141" t="n"/>
      <c r="F726" s="141" t="n"/>
      <c r="G726" s="143" t="n"/>
      <c r="H726" s="27" t="n"/>
    </row>
    <row r="727" ht="17.25" customHeight="1" s="322">
      <c r="A727" s="27" t="n"/>
      <c r="B727" s="506" t="n"/>
      <c r="C727" s="141" t="n"/>
      <c r="D727" s="141" t="n"/>
      <c r="E727" s="141" t="n"/>
      <c r="F727" s="141" t="n"/>
      <c r="G727" s="143" t="n"/>
      <c r="H727" s="27" t="n"/>
    </row>
    <row r="728" ht="17.25" customHeight="1" s="322">
      <c r="A728" s="27" t="n"/>
      <c r="B728" s="506" t="n"/>
      <c r="C728" s="141" t="n"/>
      <c r="D728" s="141" t="n"/>
      <c r="E728" s="141" t="n"/>
      <c r="F728" s="141" t="n"/>
      <c r="G728" s="143" t="n"/>
      <c r="H728" s="27" t="n"/>
    </row>
    <row r="729" ht="17.25" customHeight="1" s="322">
      <c r="A729" s="27" t="n"/>
      <c r="B729" s="506" t="n"/>
      <c r="C729" s="141" t="n"/>
      <c r="D729" s="141" t="n"/>
      <c r="E729" s="141" t="n"/>
      <c r="F729" s="141" t="n"/>
      <c r="G729" s="143" t="n"/>
      <c r="H729" s="27" t="n"/>
    </row>
    <row r="730" ht="17.25" customHeight="1" s="322">
      <c r="A730" s="27" t="n"/>
      <c r="B730" s="506" t="n"/>
      <c r="C730" s="141" t="n"/>
      <c r="D730" s="141" t="n"/>
      <c r="E730" s="141" t="n"/>
      <c r="F730" s="141" t="n"/>
      <c r="G730" s="143" t="n"/>
      <c r="H730" s="27" t="n"/>
    </row>
    <row r="731" ht="17.25" customHeight="1" s="322">
      <c r="A731" s="27" t="n"/>
      <c r="B731" s="506" t="n"/>
      <c r="C731" s="141" t="n"/>
      <c r="D731" s="141" t="n"/>
      <c r="E731" s="141" t="n"/>
      <c r="F731" s="141" t="n"/>
      <c r="G731" s="143" t="n"/>
      <c r="H731" s="27" t="n"/>
    </row>
    <row r="732" ht="17.25" customHeight="1" s="322">
      <c r="A732" s="27" t="n"/>
      <c r="B732" s="506" t="n"/>
      <c r="C732" s="141" t="n"/>
      <c r="D732" s="141" t="n"/>
      <c r="E732" s="141" t="n"/>
      <c r="F732" s="141" t="n"/>
      <c r="G732" s="143" t="n"/>
      <c r="H732" s="27" t="n"/>
    </row>
    <row r="733" ht="17.25" customHeight="1" s="322">
      <c r="A733" s="27" t="n"/>
      <c r="B733" s="506" t="n"/>
      <c r="C733" s="141" t="n"/>
      <c r="D733" s="141" t="n"/>
      <c r="E733" s="141" t="n"/>
      <c r="F733" s="141" t="n"/>
      <c r="G733" s="143" t="n"/>
      <c r="H733" s="27" t="n"/>
    </row>
    <row r="734" ht="17.25" customHeight="1" s="322">
      <c r="A734" s="27" t="n"/>
      <c r="B734" s="506" t="n"/>
      <c r="C734" s="141" t="n"/>
      <c r="D734" s="141" t="n"/>
      <c r="E734" s="141" t="n"/>
      <c r="F734" s="141" t="n"/>
      <c r="G734" s="143" t="n"/>
      <c r="H734" s="27" t="n"/>
    </row>
    <row r="735" ht="17.25" customHeight="1" s="322">
      <c r="A735" s="27" t="n"/>
      <c r="B735" s="506" t="n"/>
      <c r="C735" s="141" t="n"/>
      <c r="D735" s="141" t="n"/>
      <c r="E735" s="141" t="n"/>
      <c r="F735" s="141" t="n"/>
      <c r="G735" s="143" t="n"/>
      <c r="H735" s="27" t="n"/>
    </row>
    <row r="736" ht="17.25" customHeight="1" s="322">
      <c r="A736" s="27" t="n"/>
      <c r="B736" s="506" t="n"/>
      <c r="C736" s="141" t="n"/>
      <c r="D736" s="141" t="n"/>
      <c r="E736" s="141" t="n"/>
      <c r="F736" s="141" t="n"/>
      <c r="G736" s="143" t="n"/>
      <c r="H736" s="27" t="n"/>
    </row>
    <row r="737" ht="17.25" customHeight="1" s="322">
      <c r="A737" s="27" t="n"/>
      <c r="B737" s="506" t="n"/>
      <c r="C737" s="141" t="n"/>
      <c r="D737" s="141" t="n"/>
      <c r="E737" s="141" t="n"/>
      <c r="F737" s="141" t="n"/>
      <c r="G737" s="143" t="n"/>
      <c r="H737" s="27" t="n"/>
    </row>
    <row r="738" ht="17.25" customHeight="1" s="322">
      <c r="A738" s="27" t="n"/>
      <c r="B738" s="506" t="n"/>
      <c r="C738" s="141" t="n"/>
      <c r="D738" s="141" t="n"/>
      <c r="E738" s="141" t="n"/>
      <c r="F738" s="141" t="n"/>
      <c r="G738" s="143" t="n"/>
      <c r="H738" s="27" t="n"/>
    </row>
    <row r="739" ht="17.25" customHeight="1" s="322">
      <c r="A739" s="27" t="n"/>
      <c r="B739" s="506" t="n"/>
      <c r="C739" s="141" t="n"/>
      <c r="D739" s="141" t="n"/>
      <c r="E739" s="141" t="n"/>
      <c r="F739" s="141" t="n"/>
      <c r="G739" s="143" t="n"/>
      <c r="H739" s="27" t="n"/>
    </row>
    <row r="740" ht="17.25" customHeight="1" s="322">
      <c r="A740" s="27" t="n"/>
      <c r="B740" s="506" t="n"/>
      <c r="C740" s="141" t="n"/>
      <c r="D740" s="141" t="n"/>
      <c r="E740" s="141" t="n"/>
      <c r="F740" s="141" t="n"/>
      <c r="G740" s="143" t="n"/>
      <c r="H740" s="27" t="n"/>
    </row>
    <row r="741" ht="17.25" customHeight="1" s="322">
      <c r="A741" s="27" t="n"/>
      <c r="B741" s="506" t="n"/>
      <c r="C741" s="141" t="n"/>
      <c r="D741" s="141" t="n"/>
      <c r="E741" s="141" t="n"/>
      <c r="F741" s="141" t="n"/>
      <c r="G741" s="143" t="n"/>
      <c r="H741" s="27" t="n"/>
    </row>
    <row r="742" ht="17.25" customHeight="1" s="322">
      <c r="A742" s="27" t="n"/>
      <c r="B742" s="506" t="n"/>
      <c r="C742" s="141" t="n"/>
      <c r="D742" s="141" t="n"/>
      <c r="E742" s="141" t="n"/>
      <c r="F742" s="141" t="n"/>
      <c r="G742" s="143" t="n"/>
      <c r="H742" s="27" t="n"/>
    </row>
    <row r="743" ht="17.25" customHeight="1" s="322">
      <c r="A743" s="27" t="n"/>
      <c r="B743" s="506" t="n"/>
      <c r="C743" s="141" t="n"/>
      <c r="D743" s="141" t="n"/>
      <c r="E743" s="141" t="n"/>
      <c r="F743" s="141" t="n"/>
      <c r="G743" s="143" t="n"/>
      <c r="H743" s="27" t="n"/>
    </row>
    <row r="744" ht="17.25" customHeight="1" s="322">
      <c r="A744" s="27" t="n"/>
      <c r="B744" s="506" t="n"/>
      <c r="C744" s="141" t="n"/>
      <c r="D744" s="141" t="n"/>
      <c r="E744" s="141" t="n"/>
      <c r="F744" s="141" t="n"/>
      <c r="G744" s="143" t="n"/>
      <c r="H744" s="27" t="n"/>
    </row>
    <row r="745" ht="17.25" customHeight="1" s="322">
      <c r="A745" s="27" t="n"/>
      <c r="B745" s="506" t="n"/>
      <c r="C745" s="141" t="n"/>
      <c r="D745" s="141" t="n"/>
      <c r="E745" s="141" t="n"/>
      <c r="F745" s="141" t="n"/>
      <c r="G745" s="143" t="n"/>
      <c r="H745" s="27" t="n"/>
    </row>
    <row r="746" ht="17.25" customHeight="1" s="322">
      <c r="A746" s="27" t="n"/>
      <c r="B746" s="506" t="n"/>
      <c r="C746" s="141" t="n"/>
      <c r="D746" s="141" t="n"/>
      <c r="E746" s="141" t="n"/>
      <c r="F746" s="141" t="n"/>
      <c r="G746" s="143" t="n"/>
      <c r="H746" s="27" t="n"/>
    </row>
    <row r="747" ht="17.25" customHeight="1" s="322">
      <c r="A747" s="27" t="n"/>
      <c r="B747" s="506" t="n"/>
      <c r="C747" s="141" t="n"/>
      <c r="D747" s="141" t="n"/>
      <c r="E747" s="141" t="n"/>
      <c r="F747" s="141" t="n"/>
      <c r="G747" s="143" t="n"/>
      <c r="H747" s="27" t="n"/>
    </row>
    <row r="748" ht="17.25" customHeight="1" s="322">
      <c r="A748" s="27" t="n"/>
      <c r="B748" s="506" t="n"/>
      <c r="C748" s="141" t="n"/>
      <c r="D748" s="141" t="n"/>
      <c r="E748" s="141" t="n"/>
      <c r="F748" s="141" t="n"/>
      <c r="G748" s="143" t="n"/>
      <c r="H748" s="27" t="n"/>
    </row>
    <row r="749" ht="17.25" customHeight="1" s="322">
      <c r="A749" s="27" t="n"/>
      <c r="B749" s="506" t="n"/>
      <c r="C749" s="141" t="n"/>
      <c r="D749" s="141" t="n"/>
      <c r="E749" s="141" t="n"/>
      <c r="F749" s="141" t="n"/>
      <c r="G749" s="143" t="n"/>
      <c r="H749" s="27" t="n"/>
    </row>
    <row r="750" ht="17.25" customHeight="1" s="322">
      <c r="A750" s="27" t="n"/>
      <c r="B750" s="506" t="n"/>
      <c r="C750" s="141" t="n"/>
      <c r="D750" s="141" t="n"/>
      <c r="E750" s="141" t="n"/>
      <c r="F750" s="141" t="n"/>
      <c r="G750" s="143" t="n"/>
      <c r="H750" s="27" t="n"/>
    </row>
    <row r="751" ht="17.25" customHeight="1" s="322">
      <c r="A751" s="27" t="n"/>
      <c r="B751" s="506" t="n"/>
      <c r="C751" s="141" t="n"/>
      <c r="D751" s="141" t="n"/>
      <c r="E751" s="141" t="n"/>
      <c r="F751" s="141" t="n"/>
      <c r="G751" s="143" t="n"/>
      <c r="H751" s="27" t="n"/>
    </row>
    <row r="752" ht="17.25" customHeight="1" s="322">
      <c r="A752" s="27" t="n"/>
      <c r="B752" s="506" t="n"/>
      <c r="C752" s="141" t="n"/>
      <c r="D752" s="141" t="n"/>
      <c r="E752" s="141" t="n"/>
      <c r="F752" s="141" t="n"/>
      <c r="G752" s="143" t="n"/>
      <c r="H752" s="27" t="n"/>
    </row>
    <row r="753" ht="17.25" customHeight="1" s="322">
      <c r="A753" s="27" t="n"/>
      <c r="B753" s="506" t="n"/>
      <c r="C753" s="141" t="n"/>
      <c r="D753" s="141" t="n"/>
      <c r="E753" s="141" t="n"/>
      <c r="F753" s="141" t="n"/>
      <c r="G753" s="143" t="n"/>
      <c r="H753" s="27" t="n"/>
    </row>
    <row r="754" ht="17.25" customHeight="1" s="322">
      <c r="A754" s="27" t="n"/>
      <c r="B754" s="506" t="n"/>
      <c r="C754" s="141" t="n"/>
      <c r="D754" s="141" t="n"/>
      <c r="E754" s="141" t="n"/>
      <c r="F754" s="141" t="n"/>
      <c r="G754" s="143" t="n"/>
      <c r="H754" s="27" t="n"/>
    </row>
    <row r="755" ht="17.25" customHeight="1" s="322">
      <c r="A755" s="27" t="n"/>
      <c r="B755" s="506" t="n"/>
      <c r="C755" s="141" t="n"/>
      <c r="D755" s="141" t="n"/>
      <c r="E755" s="141" t="n"/>
      <c r="F755" s="141" t="n"/>
      <c r="G755" s="143" t="n"/>
      <c r="H755" s="27" t="n"/>
    </row>
    <row r="756" ht="17.25" customHeight="1" s="322">
      <c r="A756" s="27" t="n"/>
      <c r="B756" s="506" t="n"/>
      <c r="C756" s="141" t="n"/>
      <c r="D756" s="141" t="n"/>
      <c r="E756" s="141" t="n"/>
      <c r="F756" s="141" t="n"/>
      <c r="G756" s="143" t="n"/>
      <c r="H756" s="27" t="n"/>
    </row>
    <row r="757" ht="17.25" customHeight="1" s="322">
      <c r="A757" s="27" t="n"/>
      <c r="B757" s="506" t="n"/>
      <c r="C757" s="141" t="n"/>
      <c r="D757" s="141" t="n"/>
      <c r="E757" s="141" t="n"/>
      <c r="F757" s="141" t="n"/>
      <c r="G757" s="143" t="n"/>
      <c r="H757" s="27" t="n"/>
    </row>
    <row r="758" ht="17.25" customHeight="1" s="322">
      <c r="A758" s="27" t="n"/>
      <c r="B758" s="506" t="n"/>
      <c r="C758" s="141" t="n"/>
      <c r="D758" s="141" t="n"/>
      <c r="E758" s="141" t="n"/>
      <c r="F758" s="141" t="n"/>
      <c r="G758" s="143" t="n"/>
      <c r="H758" s="27" t="n"/>
    </row>
    <row r="759" ht="17.25" customHeight="1" s="322">
      <c r="A759" s="27" t="n"/>
      <c r="B759" s="506" t="n"/>
      <c r="C759" s="141" t="n"/>
      <c r="D759" s="141" t="n"/>
      <c r="E759" s="141" t="n"/>
      <c r="F759" s="141" t="n"/>
      <c r="G759" s="143" t="n"/>
      <c r="H759" s="27" t="n"/>
    </row>
    <row r="760" ht="17.25" customHeight="1" s="322">
      <c r="A760" s="27" t="n"/>
      <c r="B760" s="506" t="n"/>
      <c r="C760" s="141" t="n"/>
      <c r="D760" s="141" t="n"/>
      <c r="E760" s="141" t="n"/>
      <c r="F760" s="141" t="n"/>
      <c r="G760" s="143" t="n"/>
      <c r="H760" s="27" t="n"/>
    </row>
    <row r="761" ht="17.25" customHeight="1" s="322">
      <c r="A761" s="27" t="n"/>
      <c r="B761" s="506" t="n"/>
      <c r="C761" s="141" t="n"/>
      <c r="D761" s="141" t="n"/>
      <c r="E761" s="141" t="n"/>
      <c r="F761" s="141" t="n"/>
      <c r="G761" s="143" t="n"/>
      <c r="H761" s="27" t="n"/>
    </row>
    <row r="762" ht="17.25" customHeight="1" s="322">
      <c r="A762" s="27" t="n"/>
      <c r="B762" s="506" t="n"/>
      <c r="C762" s="141" t="n"/>
      <c r="D762" s="141" t="n"/>
      <c r="E762" s="141" t="n"/>
      <c r="F762" s="141" t="n"/>
      <c r="G762" s="143" t="n"/>
      <c r="H762" s="27" t="n"/>
    </row>
    <row r="763" ht="17.25" customHeight="1" s="322">
      <c r="A763" s="27" t="n"/>
      <c r="B763" s="506" t="n"/>
      <c r="C763" s="141" t="n"/>
      <c r="D763" s="141" t="n"/>
      <c r="E763" s="141" t="n"/>
      <c r="F763" s="141" t="n"/>
      <c r="G763" s="143" t="n"/>
      <c r="H763" s="27" t="n"/>
    </row>
    <row r="764" ht="17.25" customHeight="1" s="322">
      <c r="A764" s="27" t="n"/>
      <c r="B764" s="506" t="n"/>
      <c r="C764" s="141" t="n"/>
      <c r="D764" s="141" t="n"/>
      <c r="E764" s="141" t="n"/>
      <c r="F764" s="141" t="n"/>
      <c r="G764" s="143" t="n"/>
      <c r="H764" s="27" t="n"/>
    </row>
    <row r="765" ht="17.25" customHeight="1" s="322">
      <c r="A765" s="27" t="n"/>
      <c r="B765" s="506" t="n"/>
      <c r="C765" s="141" t="n"/>
      <c r="D765" s="141" t="n"/>
      <c r="E765" s="141" t="n"/>
      <c r="F765" s="141" t="n"/>
      <c r="G765" s="143" t="n"/>
      <c r="H765" s="27" t="n"/>
    </row>
    <row r="766" ht="17.25" customHeight="1" s="322">
      <c r="A766" s="27" t="n"/>
      <c r="B766" s="506" t="n"/>
      <c r="C766" s="141" t="n"/>
      <c r="D766" s="141" t="n"/>
      <c r="E766" s="141" t="n"/>
      <c r="F766" s="141" t="n"/>
      <c r="G766" s="143" t="n"/>
      <c r="H766" s="27" t="n"/>
    </row>
    <row r="767" ht="17.25" customHeight="1" s="322">
      <c r="A767" s="27" t="n"/>
      <c r="B767" s="506" t="n"/>
      <c r="C767" s="141" t="n"/>
      <c r="D767" s="141" t="n"/>
      <c r="E767" s="141" t="n"/>
      <c r="F767" s="141" t="n"/>
      <c r="G767" s="143" t="n"/>
      <c r="H767" s="27" t="n"/>
    </row>
    <row r="768" ht="17.25" customHeight="1" s="322">
      <c r="A768" s="27" t="n"/>
      <c r="B768" s="506" t="n"/>
      <c r="C768" s="141" t="n"/>
      <c r="D768" s="141" t="n"/>
      <c r="E768" s="141" t="n"/>
      <c r="F768" s="141" t="n"/>
      <c r="G768" s="143" t="n"/>
      <c r="H768" s="27" t="n"/>
    </row>
    <row r="769" ht="17.25" customHeight="1" s="322">
      <c r="A769" s="27" t="n"/>
      <c r="B769" s="506" t="n"/>
      <c r="C769" s="141" t="n"/>
      <c r="D769" s="141" t="n"/>
      <c r="E769" s="141" t="n"/>
      <c r="F769" s="141" t="n"/>
      <c r="G769" s="143" t="n"/>
      <c r="H769" s="27" t="n"/>
    </row>
    <row r="770" ht="17.25" customHeight="1" s="322">
      <c r="A770" s="27" t="n"/>
      <c r="B770" s="506" t="n"/>
      <c r="C770" s="141" t="n"/>
      <c r="D770" s="141" t="n"/>
      <c r="E770" s="141" t="n"/>
      <c r="F770" s="141" t="n"/>
      <c r="G770" s="143" t="n"/>
      <c r="H770" s="27" t="n"/>
    </row>
    <row r="771" ht="17.25" customHeight="1" s="322">
      <c r="A771" s="27" t="n"/>
      <c r="B771" s="506" t="n"/>
      <c r="C771" s="141" t="n"/>
      <c r="D771" s="141" t="n"/>
      <c r="E771" s="141" t="n"/>
      <c r="F771" s="141" t="n"/>
      <c r="G771" s="143" t="n"/>
      <c r="H771" s="27" t="n"/>
    </row>
    <row r="772" ht="17.25" customHeight="1" s="322">
      <c r="A772" s="27" t="n"/>
      <c r="B772" s="506" t="n"/>
      <c r="C772" s="141" t="n"/>
      <c r="D772" s="141" t="n"/>
      <c r="E772" s="141" t="n"/>
      <c r="F772" s="141" t="n"/>
      <c r="G772" s="143" t="n"/>
      <c r="H772" s="27" t="n"/>
    </row>
    <row r="773" ht="17.25" customHeight="1" s="322">
      <c r="A773" s="27" t="n"/>
      <c r="B773" s="506" t="n"/>
      <c r="C773" s="141" t="n"/>
      <c r="D773" s="141" t="n"/>
      <c r="E773" s="141" t="n"/>
      <c r="F773" s="141" t="n"/>
      <c r="G773" s="143" t="n"/>
      <c r="H773" s="27" t="n"/>
    </row>
    <row r="774" ht="17.25" customHeight="1" s="322">
      <c r="A774" s="27" t="n"/>
      <c r="B774" s="506" t="n"/>
      <c r="C774" s="141" t="n"/>
      <c r="D774" s="141" t="n"/>
      <c r="E774" s="141" t="n"/>
      <c r="F774" s="141" t="n"/>
      <c r="G774" s="143" t="n"/>
      <c r="H774" s="27" t="n"/>
    </row>
    <row r="775" ht="17.25" customHeight="1" s="322">
      <c r="A775" s="27" t="n"/>
      <c r="B775" s="506" t="n"/>
      <c r="C775" s="141" t="n"/>
      <c r="D775" s="141" t="n"/>
      <c r="E775" s="141" t="n"/>
      <c r="F775" s="141" t="n"/>
      <c r="G775" s="143" t="n"/>
      <c r="H775" s="27" t="n"/>
    </row>
    <row r="776" ht="17.25" customHeight="1" s="322">
      <c r="A776" s="27" t="n"/>
      <c r="B776" s="506" t="n"/>
      <c r="C776" s="141" t="n"/>
      <c r="D776" s="141" t="n"/>
      <c r="E776" s="141" t="n"/>
      <c r="F776" s="141" t="n"/>
      <c r="G776" s="143" t="n"/>
      <c r="H776" s="27" t="n"/>
    </row>
    <row r="777" ht="17.25" customHeight="1" s="322">
      <c r="A777" s="27" t="n"/>
      <c r="B777" s="506" t="n"/>
      <c r="C777" s="141" t="n"/>
      <c r="D777" s="141" t="n"/>
      <c r="E777" s="141" t="n"/>
      <c r="F777" s="141" t="n"/>
      <c r="G777" s="143" t="n"/>
      <c r="H777" s="27" t="n"/>
    </row>
    <row r="778" ht="17.25" customHeight="1" s="322">
      <c r="A778" s="27" t="n"/>
      <c r="B778" s="506" t="n"/>
      <c r="C778" s="141" t="n"/>
      <c r="D778" s="141" t="n"/>
      <c r="E778" s="141" t="n"/>
      <c r="F778" s="141" t="n"/>
      <c r="G778" s="143" t="n"/>
      <c r="H778" s="27" t="n"/>
    </row>
    <row r="779" ht="17.25" customHeight="1" s="322">
      <c r="A779" s="27" t="n"/>
      <c r="B779" s="506" t="n"/>
      <c r="C779" s="141" t="n"/>
      <c r="D779" s="141" t="n"/>
      <c r="E779" s="141" t="n"/>
      <c r="F779" s="141" t="n"/>
      <c r="G779" s="143" t="n"/>
      <c r="H779" s="27" t="n"/>
    </row>
    <row r="780" ht="17.25" customHeight="1" s="322">
      <c r="A780" s="27" t="n"/>
      <c r="B780" s="506" t="n"/>
      <c r="C780" s="141" t="n"/>
      <c r="D780" s="141" t="n"/>
      <c r="E780" s="141" t="n"/>
      <c r="F780" s="141" t="n"/>
      <c r="G780" s="143" t="n"/>
      <c r="H780" s="27" t="n"/>
    </row>
    <row r="781" ht="17.25" customHeight="1" s="322">
      <c r="A781" s="27" t="n"/>
      <c r="B781" s="506" t="n"/>
      <c r="C781" s="141" t="n"/>
      <c r="D781" s="141" t="n"/>
      <c r="E781" s="141" t="n"/>
      <c r="F781" s="141" t="n"/>
      <c r="G781" s="143" t="n"/>
      <c r="H781" s="27" t="n"/>
    </row>
    <row r="782" ht="17.25" customHeight="1" s="322">
      <c r="A782" s="27" t="n"/>
      <c r="B782" s="506" t="n"/>
      <c r="C782" s="141" t="n"/>
      <c r="D782" s="141" t="n"/>
      <c r="E782" s="141" t="n"/>
      <c r="F782" s="141" t="n"/>
      <c r="G782" s="143" t="n"/>
      <c r="H782" s="27" t="n"/>
    </row>
    <row r="783" ht="17.25" customHeight="1" s="322">
      <c r="A783" s="27" t="n"/>
      <c r="B783" s="506" t="n"/>
      <c r="C783" s="141" t="n"/>
      <c r="D783" s="141" t="n"/>
      <c r="E783" s="141" t="n"/>
      <c r="F783" s="141" t="n"/>
      <c r="G783" s="143" t="n"/>
      <c r="H783" s="27" t="n"/>
    </row>
    <row r="784" ht="17.25" customHeight="1" s="322">
      <c r="A784" s="27" t="n"/>
      <c r="B784" s="506" t="n"/>
      <c r="C784" s="141" t="n"/>
      <c r="D784" s="141" t="n"/>
      <c r="E784" s="141" t="n"/>
      <c r="F784" s="141" t="n"/>
      <c r="G784" s="143" t="n"/>
      <c r="H784" s="27" t="n"/>
    </row>
    <row r="785" ht="17.25" customHeight="1" s="322">
      <c r="A785" s="27" t="n"/>
      <c r="B785" s="506" t="n"/>
      <c r="C785" s="141" t="n"/>
      <c r="D785" s="141" t="n"/>
      <c r="E785" s="141" t="n"/>
      <c r="F785" s="141" t="n"/>
      <c r="G785" s="143" t="n"/>
      <c r="H785" s="27" t="n"/>
    </row>
    <row r="786" ht="17.25" customHeight="1" s="322">
      <c r="A786" s="27" t="n"/>
      <c r="B786" s="506" t="n"/>
      <c r="C786" s="141" t="n"/>
      <c r="D786" s="141" t="n"/>
      <c r="E786" s="141" t="n"/>
      <c r="F786" s="141" t="n"/>
      <c r="G786" s="143" t="n"/>
      <c r="H786" s="27" t="n"/>
    </row>
    <row r="787" ht="17.25" customHeight="1" s="322">
      <c r="A787" s="27" t="n"/>
      <c r="B787" s="506" t="n"/>
      <c r="C787" s="141" t="n"/>
      <c r="D787" s="141" t="n"/>
      <c r="E787" s="141" t="n"/>
      <c r="F787" s="141" t="n"/>
      <c r="G787" s="143" t="n"/>
      <c r="H787" s="27" t="n"/>
    </row>
    <row r="788" ht="17.25" customHeight="1" s="322">
      <c r="A788" s="27" t="n"/>
      <c r="B788" s="506" t="n"/>
      <c r="C788" s="141" t="n"/>
      <c r="D788" s="141" t="n"/>
      <c r="E788" s="141" t="n"/>
      <c r="F788" s="141" t="n"/>
      <c r="G788" s="143" t="n"/>
      <c r="H788" s="27" t="n"/>
    </row>
    <row r="789" ht="17.25" customHeight="1" s="322">
      <c r="A789" s="27" t="n"/>
      <c r="B789" s="506" t="n"/>
      <c r="C789" s="141" t="n"/>
      <c r="D789" s="141" t="n"/>
      <c r="E789" s="141" t="n"/>
      <c r="F789" s="141" t="n"/>
      <c r="G789" s="143" t="n"/>
      <c r="H789" s="27" t="n"/>
    </row>
    <row r="790" ht="17.25" customHeight="1" s="322">
      <c r="A790" s="27" t="n"/>
      <c r="B790" s="506" t="n"/>
      <c r="C790" s="141" t="n"/>
      <c r="D790" s="141" t="n"/>
      <c r="E790" s="141" t="n"/>
      <c r="F790" s="141" t="n"/>
      <c r="G790" s="143" t="n"/>
      <c r="H790" s="27" t="n"/>
    </row>
    <row r="791" ht="17.25" customHeight="1" s="322">
      <c r="A791" s="27" t="n"/>
      <c r="B791" s="506" t="n"/>
      <c r="C791" s="141" t="n"/>
      <c r="D791" s="141" t="n"/>
      <c r="E791" s="141" t="n"/>
      <c r="F791" s="141" t="n"/>
      <c r="G791" s="143" t="n"/>
      <c r="H791" s="27" t="n"/>
    </row>
    <row r="792" ht="17.25" customHeight="1" s="322">
      <c r="A792" s="27" t="n"/>
      <c r="B792" s="506" t="n"/>
      <c r="C792" s="141" t="n"/>
      <c r="D792" s="141" t="n"/>
      <c r="E792" s="141" t="n"/>
      <c r="F792" s="141" t="n"/>
      <c r="G792" s="143" t="n"/>
      <c r="H792" s="27" t="n"/>
    </row>
    <row r="793" ht="17.25" customHeight="1" s="322">
      <c r="A793" s="27" t="n"/>
      <c r="B793" s="506" t="n"/>
      <c r="C793" s="141" t="n"/>
      <c r="D793" s="141" t="n"/>
      <c r="E793" s="141" t="n"/>
      <c r="F793" s="141" t="n"/>
      <c r="G793" s="143" t="n"/>
      <c r="H793" s="27" t="n"/>
    </row>
    <row r="794" ht="17.25" customHeight="1" s="322">
      <c r="A794" s="27" t="n"/>
      <c r="B794" s="506" t="n"/>
      <c r="C794" s="141" t="n"/>
      <c r="D794" s="141" t="n"/>
      <c r="E794" s="141" t="n"/>
      <c r="F794" s="141" t="n"/>
      <c r="G794" s="143" t="n"/>
      <c r="H794" s="27" t="n"/>
    </row>
    <row r="795" ht="17.25" customHeight="1" s="322">
      <c r="A795" s="27" t="n"/>
      <c r="B795" s="506" t="n"/>
      <c r="C795" s="141" t="n"/>
      <c r="D795" s="141" t="n"/>
      <c r="E795" s="141" t="n"/>
      <c r="F795" s="141" t="n"/>
      <c r="G795" s="143" t="n"/>
      <c r="H795" s="27" t="n"/>
    </row>
    <row r="796" ht="17.25" customHeight="1" s="322">
      <c r="A796" s="27" t="n"/>
      <c r="B796" s="506" t="n"/>
      <c r="C796" s="141" t="n"/>
      <c r="D796" s="141" t="n"/>
      <c r="E796" s="141" t="n"/>
      <c r="F796" s="141" t="n"/>
      <c r="G796" s="143" t="n"/>
      <c r="H796" s="27" t="n"/>
    </row>
    <row r="797" ht="17.25" customHeight="1" s="322">
      <c r="A797" s="27" t="n"/>
      <c r="B797" s="506" t="n"/>
      <c r="C797" s="141" t="n"/>
      <c r="D797" s="141" t="n"/>
      <c r="E797" s="141" t="n"/>
      <c r="F797" s="141" t="n"/>
      <c r="G797" s="143" t="n"/>
      <c r="H797" s="27" t="n"/>
    </row>
    <row r="798" ht="17.25" customHeight="1" s="322">
      <c r="A798" s="27" t="n"/>
      <c r="B798" s="506" t="n"/>
      <c r="C798" s="141" t="n"/>
      <c r="D798" s="141" t="n"/>
      <c r="E798" s="141" t="n"/>
      <c r="F798" s="141" t="n"/>
      <c r="G798" s="143" t="n"/>
      <c r="H798" s="27" t="n"/>
    </row>
    <row r="799" ht="17.25" customHeight="1" s="322">
      <c r="A799" s="27" t="n"/>
      <c r="B799" s="506" t="n"/>
      <c r="C799" s="141" t="n"/>
      <c r="D799" s="141" t="n"/>
      <c r="E799" s="141" t="n"/>
      <c r="F799" s="141" t="n"/>
      <c r="G799" s="143" t="n"/>
      <c r="H799" s="27" t="n"/>
    </row>
    <row r="800" ht="17.25" customHeight="1" s="322">
      <c r="A800" s="27" t="n"/>
      <c r="B800" s="506" t="n"/>
      <c r="C800" s="141" t="n"/>
      <c r="D800" s="141" t="n"/>
      <c r="E800" s="141" t="n"/>
      <c r="F800" s="141" t="n"/>
      <c r="G800" s="143" t="n"/>
      <c r="H800" s="27" t="n"/>
    </row>
    <row r="801" ht="17.25" customHeight="1" s="322">
      <c r="A801" s="27" t="n"/>
      <c r="B801" s="506" t="n"/>
      <c r="C801" s="141" t="n"/>
      <c r="D801" s="141" t="n"/>
      <c r="E801" s="141" t="n"/>
      <c r="F801" s="141" t="n"/>
      <c r="G801" s="143" t="n"/>
      <c r="H801" s="27" t="n"/>
    </row>
    <row r="802" ht="17.25" customHeight="1" s="322">
      <c r="A802" s="27" t="n"/>
      <c r="B802" s="506" t="n"/>
      <c r="C802" s="141" t="n"/>
      <c r="D802" s="141" t="n"/>
      <c r="E802" s="141" t="n"/>
      <c r="F802" s="141" t="n"/>
      <c r="G802" s="143" t="n"/>
      <c r="H802" s="27" t="n"/>
    </row>
    <row r="803" ht="17.25" customHeight="1" s="322">
      <c r="A803" s="27" t="n"/>
      <c r="B803" s="506" t="n"/>
      <c r="C803" s="141" t="n"/>
      <c r="D803" s="141" t="n"/>
      <c r="E803" s="141" t="n"/>
      <c r="F803" s="141" t="n"/>
      <c r="G803" s="143" t="n"/>
      <c r="H803" s="27" t="n"/>
    </row>
    <row r="804" ht="17.25" customHeight="1" s="322">
      <c r="A804" s="27" t="n"/>
      <c r="B804" s="506" t="n"/>
      <c r="C804" s="141" t="n"/>
      <c r="D804" s="141" t="n"/>
      <c r="E804" s="141" t="n"/>
      <c r="F804" s="141" t="n"/>
      <c r="G804" s="143" t="n"/>
      <c r="H804" s="27" t="n"/>
    </row>
    <row r="805" ht="17.25" customHeight="1" s="322">
      <c r="A805" s="27" t="n"/>
      <c r="B805" s="506" t="n"/>
      <c r="C805" s="141" t="n"/>
      <c r="D805" s="141" t="n"/>
      <c r="E805" s="141" t="n"/>
      <c r="F805" s="141" t="n"/>
      <c r="G805" s="143" t="n"/>
      <c r="H805" s="27" t="n"/>
    </row>
    <row r="806" ht="17.25" customHeight="1" s="322">
      <c r="A806" s="27" t="n"/>
      <c r="B806" s="506" t="n"/>
      <c r="C806" s="141" t="n"/>
      <c r="D806" s="141" t="n"/>
      <c r="E806" s="141" t="n"/>
      <c r="F806" s="141" t="n"/>
      <c r="G806" s="143" t="n"/>
      <c r="H806" s="27" t="n"/>
    </row>
    <row r="807" ht="17.25" customHeight="1" s="322">
      <c r="A807" s="27" t="n"/>
      <c r="B807" s="506" t="n"/>
      <c r="C807" s="141" t="n"/>
      <c r="D807" s="141" t="n"/>
      <c r="E807" s="141" t="n"/>
      <c r="F807" s="141" t="n"/>
      <c r="G807" s="143" t="n"/>
      <c r="H807" s="27" t="n"/>
    </row>
    <row r="808" ht="17.25" customHeight="1" s="322">
      <c r="A808" s="27" t="n"/>
      <c r="B808" s="506" t="n"/>
      <c r="C808" s="141" t="n"/>
      <c r="D808" s="141" t="n"/>
      <c r="E808" s="141" t="n"/>
      <c r="F808" s="141" t="n"/>
      <c r="G808" s="143" t="n"/>
      <c r="H808" s="27" t="n"/>
    </row>
    <row r="809" ht="17.25" customHeight="1" s="322">
      <c r="A809" s="27" t="n"/>
      <c r="B809" s="506" t="n"/>
      <c r="C809" s="141" t="n"/>
      <c r="D809" s="141" t="n"/>
      <c r="E809" s="141" t="n"/>
      <c r="F809" s="141" t="n"/>
      <c r="G809" s="143" t="n"/>
      <c r="H809" s="27" t="n"/>
    </row>
    <row r="810" ht="17.25" customHeight="1" s="322">
      <c r="A810" s="27" t="n"/>
      <c r="B810" s="506" t="n"/>
      <c r="C810" s="141" t="n"/>
      <c r="D810" s="141" t="n"/>
      <c r="E810" s="141" t="n"/>
      <c r="F810" s="141" t="n"/>
      <c r="G810" s="143" t="n"/>
      <c r="H810" s="27" t="n"/>
    </row>
    <row r="811" ht="17.25" customHeight="1" s="322">
      <c r="A811" s="27" t="n"/>
      <c r="B811" s="506" t="n"/>
      <c r="C811" s="141" t="n"/>
      <c r="D811" s="141" t="n"/>
      <c r="E811" s="141" t="n"/>
      <c r="F811" s="141" t="n"/>
      <c r="G811" s="143" t="n"/>
      <c r="H811" s="27" t="n"/>
    </row>
    <row r="812" ht="17.25" customHeight="1" s="322">
      <c r="A812" s="27" t="n"/>
      <c r="B812" s="506" t="n"/>
      <c r="C812" s="141" t="n"/>
      <c r="D812" s="141" t="n"/>
      <c r="E812" s="141" t="n"/>
      <c r="F812" s="141" t="n"/>
      <c r="G812" s="143" t="n"/>
      <c r="H812" s="27" t="n"/>
    </row>
    <row r="813" ht="17.25" customHeight="1" s="322">
      <c r="A813" s="27" t="n"/>
      <c r="B813" s="506" t="n"/>
      <c r="C813" s="141" t="n"/>
      <c r="D813" s="141" t="n"/>
      <c r="E813" s="141" t="n"/>
      <c r="F813" s="141" t="n"/>
      <c r="G813" s="143" t="n"/>
      <c r="H813" s="27" t="n"/>
    </row>
    <row r="814" ht="17.25" customHeight="1" s="322">
      <c r="A814" s="27" t="n"/>
      <c r="B814" s="506" t="n"/>
      <c r="C814" s="141" t="n"/>
      <c r="D814" s="141" t="n"/>
      <c r="E814" s="141" t="n"/>
      <c r="F814" s="141" t="n"/>
      <c r="G814" s="143" t="n"/>
      <c r="H814" s="27" t="n"/>
    </row>
    <row r="815" ht="17.25" customHeight="1" s="322">
      <c r="A815" s="27" t="n"/>
      <c r="B815" s="506" t="n"/>
      <c r="C815" s="141" t="n"/>
      <c r="D815" s="141" t="n"/>
      <c r="E815" s="141" t="n"/>
      <c r="F815" s="141" t="n"/>
      <c r="G815" s="143" t="n"/>
      <c r="H815" s="27" t="n"/>
    </row>
    <row r="816" ht="17.25" customHeight="1" s="322">
      <c r="A816" s="27" t="n"/>
      <c r="B816" s="506" t="n"/>
      <c r="C816" s="141" t="n"/>
      <c r="D816" s="141" t="n"/>
      <c r="E816" s="141" t="n"/>
      <c r="F816" s="141" t="n"/>
      <c r="G816" s="143" t="n"/>
      <c r="H816" s="27" t="n"/>
    </row>
    <row r="817" ht="17.25" customHeight="1" s="322">
      <c r="A817" s="27" t="n"/>
      <c r="B817" s="506" t="n"/>
      <c r="C817" s="141" t="n"/>
      <c r="D817" s="141" t="n"/>
      <c r="E817" s="141" t="n"/>
      <c r="F817" s="141" t="n"/>
      <c r="G817" s="143" t="n"/>
      <c r="H817" s="27" t="n"/>
    </row>
    <row r="818" ht="17.25" customHeight="1" s="322">
      <c r="A818" s="27" t="n"/>
      <c r="B818" s="506" t="n"/>
      <c r="C818" s="141" t="n"/>
      <c r="D818" s="141" t="n"/>
      <c r="E818" s="141" t="n"/>
      <c r="F818" s="141" t="n"/>
      <c r="G818" s="143" t="n"/>
      <c r="H818" s="27" t="n"/>
    </row>
    <row r="819" ht="17.25" customHeight="1" s="322">
      <c r="A819" s="27" t="n"/>
      <c r="B819" s="506" t="n"/>
      <c r="C819" s="141" t="n"/>
      <c r="D819" s="141" t="n"/>
      <c r="E819" s="141" t="n"/>
      <c r="F819" s="141" t="n"/>
      <c r="G819" s="143" t="n"/>
      <c r="H819" s="27" t="n"/>
    </row>
    <row r="820" ht="17.25" customHeight="1" s="322">
      <c r="A820" s="27" t="n"/>
      <c r="B820" s="506" t="n"/>
      <c r="C820" s="141" t="n"/>
      <c r="D820" s="141" t="n"/>
      <c r="E820" s="141" t="n"/>
      <c r="F820" s="141" t="n"/>
      <c r="G820" s="143" t="n"/>
      <c r="H820" s="27" t="n"/>
    </row>
    <row r="821" ht="17.25" customHeight="1" s="322">
      <c r="A821" s="27" t="n"/>
      <c r="B821" s="506" t="n"/>
      <c r="C821" s="141" t="n"/>
      <c r="D821" s="141" t="n"/>
      <c r="E821" s="141" t="n"/>
      <c r="F821" s="141" t="n"/>
      <c r="G821" s="143" t="n"/>
      <c r="H821" s="27" t="n"/>
    </row>
    <row r="822" ht="17.25" customHeight="1" s="322">
      <c r="A822" s="27" t="n"/>
      <c r="B822" s="506" t="n"/>
      <c r="C822" s="141" t="n"/>
      <c r="D822" s="141" t="n"/>
      <c r="E822" s="141" t="n"/>
      <c r="F822" s="141" t="n"/>
      <c r="G822" s="143" t="n"/>
      <c r="H822" s="27" t="n"/>
    </row>
    <row r="823" ht="17.25" customHeight="1" s="322">
      <c r="A823" s="27" t="n"/>
      <c r="B823" s="506" t="n"/>
      <c r="C823" s="141" t="n"/>
      <c r="D823" s="141" t="n"/>
      <c r="E823" s="141" t="n"/>
      <c r="F823" s="141" t="n"/>
      <c r="G823" s="143" t="n"/>
      <c r="H823" s="27" t="n"/>
    </row>
    <row r="824" ht="17.25" customHeight="1" s="322">
      <c r="A824" s="27" t="n"/>
      <c r="B824" s="506" t="n"/>
      <c r="C824" s="141" t="n"/>
      <c r="D824" s="141" t="n"/>
      <c r="E824" s="141" t="n"/>
      <c r="F824" s="141" t="n"/>
      <c r="G824" s="143" t="n"/>
      <c r="H824" s="27" t="n"/>
    </row>
    <row r="825" ht="17.25" customHeight="1" s="322">
      <c r="A825" s="27" t="n"/>
      <c r="B825" s="506" t="n"/>
      <c r="C825" s="141" t="n"/>
      <c r="D825" s="141" t="n"/>
      <c r="E825" s="141" t="n"/>
      <c r="F825" s="141" t="n"/>
      <c r="G825" s="143" t="n"/>
      <c r="H825" s="27" t="n"/>
    </row>
    <row r="826" ht="17.25" customHeight="1" s="322">
      <c r="A826" s="27" t="n"/>
      <c r="B826" s="506" t="n"/>
      <c r="C826" s="141" t="n"/>
      <c r="D826" s="141" t="n"/>
      <c r="E826" s="141" t="n"/>
      <c r="F826" s="141" t="n"/>
      <c r="G826" s="143" t="n"/>
      <c r="H826" s="27" t="n"/>
    </row>
    <row r="827" ht="17.25" customHeight="1" s="322">
      <c r="A827" s="27" t="n"/>
      <c r="B827" s="506" t="n"/>
      <c r="C827" s="141" t="n"/>
      <c r="D827" s="141" t="n"/>
      <c r="E827" s="141" t="n"/>
      <c r="F827" s="141" t="n"/>
      <c r="G827" s="143" t="n"/>
      <c r="H827" s="27" t="n"/>
    </row>
    <row r="828" ht="17.25" customHeight="1" s="322">
      <c r="A828" s="27" t="n"/>
      <c r="B828" s="506" t="n"/>
      <c r="C828" s="141" t="n"/>
      <c r="D828" s="141" t="n"/>
      <c r="E828" s="141" t="n"/>
      <c r="F828" s="141" t="n"/>
      <c r="G828" s="143" t="n"/>
      <c r="H828" s="27" t="n"/>
    </row>
    <row r="829" ht="17.25" customHeight="1" s="322">
      <c r="A829" s="27" t="n"/>
      <c r="B829" s="506" t="n"/>
      <c r="C829" s="141" t="n"/>
      <c r="D829" s="141" t="n"/>
      <c r="E829" s="141" t="n"/>
      <c r="F829" s="141" t="n"/>
      <c r="G829" s="143" t="n"/>
      <c r="H829" s="27" t="n"/>
    </row>
    <row r="830" ht="17.25" customHeight="1" s="322">
      <c r="A830" s="27" t="n"/>
      <c r="B830" s="506" t="n"/>
      <c r="C830" s="141" t="n"/>
      <c r="D830" s="141" t="n"/>
      <c r="E830" s="141" t="n"/>
      <c r="F830" s="141" t="n"/>
      <c r="G830" s="143" t="n"/>
      <c r="H830" s="27" t="n"/>
    </row>
    <row r="831" ht="17.25" customHeight="1" s="322">
      <c r="A831" s="27" t="n"/>
      <c r="B831" s="506" t="n"/>
      <c r="C831" s="141" t="n"/>
      <c r="D831" s="141" t="n"/>
      <c r="E831" s="141" t="n"/>
      <c r="F831" s="141" t="n"/>
      <c r="G831" s="143" t="n"/>
      <c r="H831" s="27" t="n"/>
    </row>
    <row r="832" ht="17.25" customHeight="1" s="322">
      <c r="A832" s="27" t="n"/>
      <c r="B832" s="506" t="n"/>
      <c r="C832" s="141" t="n"/>
      <c r="D832" s="141" t="n"/>
      <c r="E832" s="141" t="n"/>
      <c r="F832" s="141" t="n"/>
      <c r="G832" s="143" t="n"/>
      <c r="H832" s="27" t="n"/>
    </row>
    <row r="833" ht="17.25" customHeight="1" s="322">
      <c r="A833" s="27" t="n"/>
      <c r="B833" s="506" t="n"/>
      <c r="C833" s="141" t="n"/>
      <c r="D833" s="141" t="n"/>
      <c r="E833" s="141" t="n"/>
      <c r="F833" s="141" t="n"/>
      <c r="G833" s="143" t="n"/>
      <c r="H833" s="27" t="n"/>
    </row>
    <row r="834" ht="17.25" customHeight="1" s="322">
      <c r="A834" s="27" t="n"/>
      <c r="B834" s="506" t="n"/>
      <c r="C834" s="141" t="n"/>
      <c r="D834" s="141" t="n"/>
      <c r="E834" s="141" t="n"/>
      <c r="F834" s="141" t="n"/>
      <c r="G834" s="143" t="n"/>
      <c r="H834" s="27" t="n"/>
    </row>
    <row r="835" ht="17.25" customHeight="1" s="322">
      <c r="A835" s="27" t="n"/>
      <c r="B835" s="506" t="n"/>
      <c r="C835" s="141" t="n"/>
      <c r="D835" s="141" t="n"/>
      <c r="E835" s="141" t="n"/>
      <c r="F835" s="141" t="n"/>
      <c r="G835" s="143" t="n"/>
      <c r="H835" s="27" t="n"/>
    </row>
    <row r="836" ht="17.25" customHeight="1" s="322">
      <c r="A836" s="27" t="n"/>
      <c r="B836" s="506" t="n"/>
      <c r="C836" s="141" t="n"/>
      <c r="D836" s="141" t="n"/>
      <c r="E836" s="141" t="n"/>
      <c r="F836" s="141" t="n"/>
      <c r="G836" s="143" t="n"/>
      <c r="H836" s="27" t="n"/>
    </row>
    <row r="837" ht="17.25" customHeight="1" s="322">
      <c r="A837" s="27" t="n"/>
      <c r="B837" s="506" t="n"/>
      <c r="C837" s="141" t="n"/>
      <c r="D837" s="141" t="n"/>
      <c r="E837" s="141" t="n"/>
      <c r="F837" s="141" t="n"/>
      <c r="G837" s="143" t="n"/>
      <c r="H837" s="27" t="n"/>
    </row>
    <row r="838" ht="17.25" customHeight="1" s="322">
      <c r="A838" s="27" t="n"/>
      <c r="B838" s="506" t="n"/>
      <c r="C838" s="141" t="n"/>
      <c r="D838" s="141" t="n"/>
      <c r="E838" s="141" t="n"/>
      <c r="F838" s="141" t="n"/>
      <c r="G838" s="143" t="n"/>
      <c r="H838" s="27" t="n"/>
    </row>
    <row r="839" ht="17.25" customHeight="1" s="322">
      <c r="A839" s="27" t="n"/>
      <c r="B839" s="506" t="n"/>
      <c r="C839" s="141" t="n"/>
      <c r="D839" s="141" t="n"/>
      <c r="E839" s="141" t="n"/>
      <c r="F839" s="141" t="n"/>
      <c r="G839" s="143" t="n"/>
      <c r="H839" s="27" t="n"/>
    </row>
    <row r="840" ht="17.25" customHeight="1" s="322">
      <c r="A840" s="27" t="n"/>
      <c r="B840" s="506" t="n"/>
      <c r="C840" s="141" t="n"/>
      <c r="D840" s="141" t="n"/>
      <c r="E840" s="141" t="n"/>
      <c r="F840" s="141" t="n"/>
      <c r="G840" s="143" t="n"/>
      <c r="H840" s="27" t="n"/>
    </row>
    <row r="841" ht="17.25" customHeight="1" s="322">
      <c r="A841" s="27" t="n"/>
      <c r="B841" s="506" t="n"/>
      <c r="C841" s="141" t="n"/>
      <c r="D841" s="141" t="n"/>
      <c r="E841" s="141" t="n"/>
      <c r="F841" s="141" t="n"/>
      <c r="G841" s="143" t="n"/>
      <c r="H841" s="27" t="n"/>
    </row>
    <row r="842" ht="17.25" customHeight="1" s="322">
      <c r="A842" s="27" t="n"/>
      <c r="B842" s="506" t="n"/>
      <c r="C842" s="141" t="n"/>
      <c r="D842" s="141" t="n"/>
      <c r="E842" s="141" t="n"/>
      <c r="F842" s="141" t="n"/>
      <c r="G842" s="143" t="n"/>
      <c r="H842" s="27" t="n"/>
    </row>
    <row r="843" ht="17.25" customHeight="1" s="322">
      <c r="A843" s="27" t="n"/>
      <c r="B843" s="506" t="n"/>
      <c r="C843" s="141" t="n"/>
      <c r="D843" s="141" t="n"/>
      <c r="E843" s="141" t="n"/>
      <c r="F843" s="141" t="n"/>
      <c r="G843" s="143" t="n"/>
      <c r="H843" s="27" t="n"/>
    </row>
    <row r="844" ht="17.25" customHeight="1" s="322">
      <c r="A844" s="27" t="n"/>
      <c r="B844" s="506" t="n"/>
      <c r="C844" s="141" t="n"/>
      <c r="D844" s="141" t="n"/>
      <c r="E844" s="141" t="n"/>
      <c r="F844" s="141" t="n"/>
      <c r="G844" s="143" t="n"/>
      <c r="H844" s="27" t="n"/>
    </row>
    <row r="845" ht="17.25" customHeight="1" s="322">
      <c r="A845" s="27" t="n"/>
      <c r="B845" s="506" t="n"/>
      <c r="C845" s="141" t="n"/>
      <c r="D845" s="141" t="n"/>
      <c r="E845" s="141" t="n"/>
      <c r="F845" s="141" t="n"/>
      <c r="G845" s="143" t="n"/>
      <c r="H845" s="27" t="n"/>
    </row>
    <row r="846" ht="17.25" customHeight="1" s="322">
      <c r="A846" s="27" t="n"/>
      <c r="B846" s="506" t="n"/>
      <c r="C846" s="141" t="n"/>
      <c r="D846" s="141" t="n"/>
      <c r="E846" s="141" t="n"/>
      <c r="F846" s="141" t="n"/>
      <c r="G846" s="143" t="n"/>
      <c r="H846" s="27" t="n"/>
    </row>
    <row r="847" ht="17.25" customHeight="1" s="322">
      <c r="A847" s="27" t="n"/>
      <c r="B847" s="506" t="n"/>
      <c r="C847" s="141" t="n"/>
      <c r="D847" s="141" t="n"/>
      <c r="E847" s="141" t="n"/>
      <c r="F847" s="141" t="n"/>
      <c r="G847" s="143" t="n"/>
      <c r="H847" s="27" t="n"/>
    </row>
    <row r="848" ht="17.25" customHeight="1" s="322">
      <c r="A848" s="27" t="n"/>
      <c r="B848" s="506" t="n"/>
      <c r="C848" s="141" t="n"/>
      <c r="D848" s="141" t="n"/>
      <c r="E848" s="141" t="n"/>
      <c r="F848" s="141" t="n"/>
      <c r="G848" s="143" t="n"/>
      <c r="H848" s="27" t="n"/>
    </row>
    <row r="849" ht="17.25" customHeight="1" s="322">
      <c r="A849" s="27" t="n"/>
      <c r="B849" s="506" t="n"/>
      <c r="C849" s="141" t="n"/>
      <c r="D849" s="141" t="n"/>
      <c r="E849" s="141" t="n"/>
      <c r="F849" s="141" t="n"/>
      <c r="G849" s="143" t="n"/>
      <c r="H849" s="27" t="n"/>
    </row>
    <row r="850" ht="17.25" customHeight="1" s="322">
      <c r="A850" s="27" t="n"/>
      <c r="B850" s="506" t="n"/>
      <c r="C850" s="141" t="n"/>
      <c r="D850" s="141" t="n"/>
      <c r="E850" s="141" t="n"/>
      <c r="F850" s="141" t="n"/>
      <c r="G850" s="143" t="n"/>
      <c r="H850" s="27" t="n"/>
    </row>
    <row r="851" ht="17.25" customHeight="1" s="322">
      <c r="A851" s="27" t="n"/>
      <c r="B851" s="506" t="n"/>
      <c r="C851" s="141" t="n"/>
      <c r="D851" s="141" t="n"/>
      <c r="E851" s="141" t="n"/>
      <c r="F851" s="141" t="n"/>
      <c r="G851" s="143" t="n"/>
      <c r="H851" s="27" t="n"/>
    </row>
    <row r="852" ht="17.25" customHeight="1" s="322">
      <c r="A852" s="27" t="n"/>
      <c r="B852" s="506" t="n"/>
      <c r="C852" s="141" t="n"/>
      <c r="D852" s="141" t="n"/>
      <c r="E852" s="141" t="n"/>
      <c r="F852" s="141" t="n"/>
      <c r="G852" s="143" t="n"/>
      <c r="H852" s="27" t="n"/>
    </row>
    <row r="853" ht="17.25" customHeight="1" s="322">
      <c r="A853" s="27" t="n"/>
      <c r="B853" s="506" t="n"/>
      <c r="C853" s="141" t="n"/>
      <c r="D853" s="141" t="n"/>
      <c r="E853" s="141" t="n"/>
      <c r="F853" s="141" t="n"/>
      <c r="G853" s="143" t="n"/>
      <c r="H853" s="27" t="n"/>
    </row>
    <row r="854" ht="17.25" customHeight="1" s="322">
      <c r="A854" s="27" t="n"/>
      <c r="B854" s="506" t="n"/>
      <c r="C854" s="141" t="n"/>
      <c r="D854" s="141" t="n"/>
      <c r="E854" s="141" t="n"/>
      <c r="F854" s="141" t="n"/>
      <c r="G854" s="143" t="n"/>
      <c r="H854" s="27" t="n"/>
    </row>
    <row r="855" ht="17.25" customHeight="1" s="322">
      <c r="A855" s="27" t="n"/>
      <c r="B855" s="506" t="n"/>
      <c r="C855" s="141" t="n"/>
      <c r="D855" s="141" t="n"/>
      <c r="E855" s="141" t="n"/>
      <c r="F855" s="141" t="n"/>
      <c r="G855" s="143" t="n"/>
      <c r="H855" s="27" t="n"/>
    </row>
    <row r="856" ht="17.25" customHeight="1" s="322">
      <c r="A856" s="27" t="n"/>
      <c r="B856" s="506" t="n"/>
      <c r="C856" s="141" t="n"/>
      <c r="D856" s="141" t="n"/>
      <c r="E856" s="141" t="n"/>
      <c r="F856" s="141" t="n"/>
      <c r="G856" s="143" t="n"/>
      <c r="H856" s="27" t="n"/>
    </row>
    <row r="857" ht="17.25" customHeight="1" s="322">
      <c r="A857" s="27" t="n"/>
      <c r="B857" s="506" t="n"/>
      <c r="C857" s="141" t="n"/>
      <c r="D857" s="141" t="n"/>
      <c r="E857" s="141" t="n"/>
      <c r="F857" s="141" t="n"/>
      <c r="G857" s="143" t="n"/>
      <c r="H857" s="27" t="n"/>
    </row>
    <row r="858" ht="17.25" customHeight="1" s="322">
      <c r="A858" s="27" t="n"/>
      <c r="B858" s="506" t="n"/>
      <c r="C858" s="141" t="n"/>
      <c r="D858" s="141" t="n"/>
      <c r="E858" s="141" t="n"/>
      <c r="F858" s="141" t="n"/>
      <c r="G858" s="143" t="n"/>
      <c r="H858" s="27" t="n"/>
    </row>
    <row r="859" ht="17.25" customHeight="1" s="322">
      <c r="A859" s="27" t="n"/>
      <c r="B859" s="506" t="n"/>
      <c r="C859" s="141" t="n"/>
      <c r="D859" s="141" t="n"/>
      <c r="E859" s="141" t="n"/>
      <c r="F859" s="141" t="n"/>
      <c r="G859" s="143" t="n"/>
      <c r="H859" s="27" t="n"/>
    </row>
    <row r="860" ht="17.25" customHeight="1" s="322">
      <c r="A860" s="27" t="n"/>
      <c r="B860" s="506" t="n"/>
      <c r="C860" s="141" t="n"/>
      <c r="D860" s="141" t="n"/>
      <c r="E860" s="141" t="n"/>
      <c r="F860" s="141" t="n"/>
      <c r="G860" s="143" t="n"/>
      <c r="H860" s="27" t="n"/>
    </row>
    <row r="861" ht="17.25" customHeight="1" s="322">
      <c r="A861" s="27" t="n"/>
      <c r="B861" s="506" t="n"/>
      <c r="C861" s="141" t="n"/>
      <c r="D861" s="141" t="n"/>
      <c r="E861" s="141" t="n"/>
      <c r="F861" s="141" t="n"/>
      <c r="G861" s="143" t="n"/>
      <c r="H861" s="27" t="n"/>
    </row>
    <row r="862" ht="17.25" customHeight="1" s="322">
      <c r="A862" s="27" t="n"/>
      <c r="B862" s="506" t="n"/>
      <c r="C862" s="141" t="n"/>
      <c r="D862" s="141" t="n"/>
      <c r="E862" s="141" t="n"/>
      <c r="F862" s="141" t="n"/>
      <c r="G862" s="143" t="n"/>
      <c r="H862" s="27" t="n"/>
    </row>
    <row r="863" ht="17.25" customHeight="1" s="322">
      <c r="A863" s="27" t="n"/>
      <c r="B863" s="506" t="n"/>
      <c r="C863" s="141" t="n"/>
      <c r="D863" s="141" t="n"/>
      <c r="E863" s="141" t="n"/>
      <c r="F863" s="141" t="n"/>
      <c r="G863" s="143" t="n"/>
      <c r="H863" s="27" t="n"/>
    </row>
    <row r="864" ht="17.25" customHeight="1" s="322">
      <c r="A864" s="27" t="n"/>
      <c r="B864" s="506" t="n"/>
      <c r="C864" s="141" t="n"/>
      <c r="D864" s="141" t="n"/>
      <c r="E864" s="141" t="n"/>
      <c r="F864" s="141" t="n"/>
      <c r="G864" s="143" t="n"/>
      <c r="H864" s="27" t="n"/>
    </row>
    <row r="865" ht="17.25" customHeight="1" s="322">
      <c r="A865" s="27" t="n"/>
      <c r="B865" s="506" t="n"/>
      <c r="C865" s="141" t="n"/>
      <c r="D865" s="141" t="n"/>
      <c r="E865" s="141" t="n"/>
      <c r="F865" s="141" t="n"/>
      <c r="G865" s="143" t="n"/>
      <c r="H865" s="27" t="n"/>
    </row>
    <row r="866" ht="17.25" customHeight="1" s="322">
      <c r="A866" s="27" t="n"/>
      <c r="B866" s="506" t="n"/>
      <c r="C866" s="141" t="n"/>
      <c r="D866" s="141" t="n"/>
      <c r="E866" s="141" t="n"/>
      <c r="F866" s="141" t="n"/>
      <c r="G866" s="143" t="n"/>
      <c r="H866" s="27" t="n"/>
    </row>
    <row r="867" ht="17.25" customHeight="1" s="322">
      <c r="A867" s="27" t="n"/>
      <c r="B867" s="506" t="n"/>
      <c r="C867" s="141" t="n"/>
      <c r="D867" s="141" t="n"/>
      <c r="E867" s="141" t="n"/>
      <c r="F867" s="141" t="n"/>
      <c r="G867" s="143" t="n"/>
      <c r="H867" s="27" t="n"/>
    </row>
    <row r="868" ht="17.25" customHeight="1" s="322">
      <c r="A868" s="27" t="n"/>
      <c r="B868" s="506" t="n"/>
      <c r="C868" s="141" t="n"/>
      <c r="D868" s="141" t="n"/>
      <c r="E868" s="141" t="n"/>
      <c r="F868" s="141" t="n"/>
      <c r="G868" s="143" t="n"/>
      <c r="H868" s="27" t="n"/>
    </row>
    <row r="869" ht="17.25" customHeight="1" s="322">
      <c r="A869" s="27" t="n"/>
      <c r="B869" s="506" t="n"/>
      <c r="C869" s="141" t="n"/>
      <c r="D869" s="141" t="n"/>
      <c r="E869" s="141" t="n"/>
      <c r="F869" s="141" t="n"/>
      <c r="G869" s="143" t="n"/>
      <c r="H869" s="27" t="n"/>
    </row>
    <row r="870" ht="17.25" customHeight="1" s="322">
      <c r="A870" s="27" t="n"/>
      <c r="B870" s="506" t="n"/>
      <c r="C870" s="141" t="n"/>
      <c r="D870" s="141" t="n"/>
      <c r="E870" s="141" t="n"/>
      <c r="F870" s="141" t="n"/>
      <c r="G870" s="143" t="n"/>
      <c r="H870" s="27" t="n"/>
    </row>
    <row r="871" ht="17.25" customHeight="1" s="322">
      <c r="A871" s="27" t="n"/>
      <c r="B871" s="506" t="n"/>
      <c r="C871" s="141" t="n"/>
      <c r="D871" s="141" t="n"/>
      <c r="E871" s="141" t="n"/>
      <c r="F871" s="141" t="n"/>
      <c r="G871" s="143" t="n"/>
      <c r="H871" s="27" t="n"/>
    </row>
    <row r="872" ht="17.25" customHeight="1" s="322">
      <c r="A872" s="27" t="n"/>
      <c r="B872" s="506" t="n"/>
      <c r="C872" s="141" t="n"/>
      <c r="D872" s="141" t="n"/>
      <c r="E872" s="141" t="n"/>
      <c r="F872" s="141" t="n"/>
      <c r="G872" s="143" t="n"/>
      <c r="H872" s="27" t="n"/>
    </row>
    <row r="873" ht="17.25" customHeight="1" s="322">
      <c r="A873" s="27" t="n"/>
      <c r="B873" s="506" t="n"/>
      <c r="C873" s="141" t="n"/>
      <c r="D873" s="141" t="n"/>
      <c r="E873" s="141" t="n"/>
      <c r="F873" s="141" t="n"/>
      <c r="G873" s="143" t="n"/>
      <c r="H873" s="27" t="n"/>
    </row>
    <row r="874" ht="17.25" customHeight="1" s="322">
      <c r="A874" s="27" t="n"/>
      <c r="B874" s="506" t="n"/>
      <c r="C874" s="141" t="n"/>
      <c r="D874" s="141" t="n"/>
      <c r="E874" s="141" t="n"/>
      <c r="F874" s="141" t="n"/>
      <c r="G874" s="143" t="n"/>
      <c r="H874" s="27" t="n"/>
    </row>
    <row r="875" ht="17.25" customHeight="1" s="322">
      <c r="A875" s="27" t="n"/>
      <c r="B875" s="506" t="n"/>
      <c r="C875" s="141" t="n"/>
      <c r="D875" s="141" t="n"/>
      <c r="E875" s="141" t="n"/>
      <c r="F875" s="141" t="n"/>
      <c r="G875" s="143" t="n"/>
      <c r="H875" s="27" t="n"/>
    </row>
    <row r="876" ht="17.25" customHeight="1" s="322">
      <c r="A876" s="27" t="n"/>
      <c r="B876" s="506" t="n"/>
      <c r="C876" s="141" t="n"/>
      <c r="D876" s="141" t="n"/>
      <c r="E876" s="141" t="n"/>
      <c r="F876" s="141" t="n"/>
      <c r="G876" s="143" t="n"/>
      <c r="H876" s="27" t="n"/>
    </row>
    <row r="877" ht="17.25" customHeight="1" s="322">
      <c r="A877" s="27" t="n"/>
      <c r="B877" s="506" t="n"/>
      <c r="C877" s="141" t="n"/>
      <c r="D877" s="141" t="n"/>
      <c r="E877" s="141" t="n"/>
      <c r="F877" s="141" t="n"/>
      <c r="G877" s="143" t="n"/>
      <c r="H877" s="27" t="n"/>
    </row>
    <row r="878" ht="17.25" customHeight="1" s="322">
      <c r="A878" s="27" t="n"/>
      <c r="B878" s="506" t="n"/>
      <c r="C878" s="141" t="n"/>
      <c r="D878" s="141" t="n"/>
      <c r="E878" s="141" t="n"/>
      <c r="F878" s="141" t="n"/>
      <c r="G878" s="143" t="n"/>
      <c r="H878" s="27" t="n"/>
    </row>
    <row r="879" ht="17.25" customHeight="1" s="322">
      <c r="A879" s="27" t="n"/>
      <c r="B879" s="506" t="n"/>
      <c r="C879" s="141" t="n"/>
      <c r="D879" s="141" t="n"/>
      <c r="E879" s="141" t="n"/>
      <c r="F879" s="141" t="n"/>
      <c r="G879" s="143" t="n"/>
      <c r="H879" s="27" t="n"/>
    </row>
    <row r="880" ht="17.25" customHeight="1" s="322">
      <c r="A880" s="27" t="n"/>
      <c r="B880" s="506" t="n"/>
      <c r="C880" s="141" t="n"/>
      <c r="D880" s="141" t="n"/>
      <c r="E880" s="141" t="n"/>
      <c r="F880" s="141" t="n"/>
      <c r="G880" s="143" t="n"/>
      <c r="H880" s="27" t="n"/>
    </row>
    <row r="881" ht="17.25" customHeight="1" s="322">
      <c r="A881" s="27" t="n"/>
      <c r="B881" s="506" t="n"/>
      <c r="C881" s="141" t="n"/>
      <c r="D881" s="141" t="n"/>
      <c r="E881" s="141" t="n"/>
      <c r="F881" s="141" t="n"/>
      <c r="G881" s="143" t="n"/>
      <c r="H881" s="27" t="n"/>
    </row>
    <row r="882" ht="17.25" customHeight="1" s="322">
      <c r="A882" s="27" t="n"/>
      <c r="B882" s="506" t="n"/>
      <c r="C882" s="141" t="n"/>
      <c r="D882" s="141" t="n"/>
      <c r="E882" s="141" t="n"/>
      <c r="F882" s="141" t="n"/>
      <c r="G882" s="143" t="n"/>
      <c r="H882" s="27" t="n"/>
    </row>
    <row r="883" ht="17.25" customHeight="1" s="322">
      <c r="A883" s="27" t="n"/>
      <c r="B883" s="506" t="n"/>
      <c r="C883" s="141" t="n"/>
      <c r="D883" s="141" t="n"/>
      <c r="E883" s="141" t="n"/>
      <c r="F883" s="141" t="n"/>
      <c r="G883" s="143" t="n"/>
      <c r="H883" s="27" t="n"/>
    </row>
    <row r="884" ht="17.25" customHeight="1" s="322">
      <c r="A884" s="27" t="n"/>
      <c r="B884" s="506" t="n"/>
      <c r="C884" s="141" t="n"/>
      <c r="D884" s="141" t="n"/>
      <c r="E884" s="141" t="n"/>
      <c r="F884" s="141" t="n"/>
      <c r="G884" s="143" t="n"/>
      <c r="H884" s="27" t="n"/>
    </row>
    <row r="885" ht="17.25" customHeight="1" s="322">
      <c r="A885" s="27" t="n"/>
      <c r="B885" s="506" t="n"/>
      <c r="C885" s="141" t="n"/>
      <c r="D885" s="141" t="n"/>
      <c r="E885" s="141" t="n"/>
      <c r="F885" s="141" t="n"/>
      <c r="G885" s="143" t="n"/>
      <c r="H885" s="27" t="n"/>
    </row>
    <row r="886" ht="17.25" customHeight="1" s="322">
      <c r="A886" s="27" t="n"/>
      <c r="B886" s="506" t="n"/>
      <c r="C886" s="141" t="n"/>
      <c r="D886" s="141" t="n"/>
      <c r="E886" s="141" t="n"/>
      <c r="F886" s="141" t="n"/>
      <c r="G886" s="143" t="n"/>
      <c r="H886" s="27" t="n"/>
    </row>
    <row r="887" ht="17.25" customHeight="1" s="322">
      <c r="A887" s="27" t="n"/>
      <c r="B887" s="506" t="n"/>
      <c r="C887" s="141" t="n"/>
      <c r="D887" s="141" t="n"/>
      <c r="E887" s="141" t="n"/>
      <c r="F887" s="141" t="n"/>
      <c r="G887" s="143" t="n"/>
      <c r="H887" s="27" t="n"/>
    </row>
    <row r="888" ht="17.25" customHeight="1" s="322">
      <c r="A888" s="27" t="n"/>
      <c r="B888" s="506" t="n"/>
      <c r="C888" s="141" t="n"/>
      <c r="D888" s="141" t="n"/>
      <c r="E888" s="141" t="n"/>
      <c r="F888" s="141" t="n"/>
      <c r="G888" s="143" t="n"/>
      <c r="H888" s="27" t="n"/>
    </row>
    <row r="889" ht="17.25" customHeight="1" s="322">
      <c r="A889" s="27" t="n"/>
      <c r="B889" s="506" t="n"/>
      <c r="C889" s="141" t="n"/>
      <c r="D889" s="141" t="n"/>
      <c r="E889" s="141" t="n"/>
      <c r="F889" s="141" t="n"/>
      <c r="G889" s="143" t="n"/>
      <c r="H889" s="27" t="n"/>
    </row>
    <row r="890" ht="17.25" customHeight="1" s="322">
      <c r="A890" s="27" t="n"/>
      <c r="B890" s="506" t="n"/>
      <c r="C890" s="141" t="n"/>
      <c r="D890" s="141" t="n"/>
      <c r="E890" s="141" t="n"/>
      <c r="F890" s="141" t="n"/>
      <c r="G890" s="143" t="n"/>
      <c r="H890" s="27" t="n"/>
    </row>
    <row r="891" ht="17.25" customHeight="1" s="322">
      <c r="A891" s="27" t="n"/>
      <c r="B891" s="506" t="n"/>
      <c r="C891" s="141" t="n"/>
      <c r="D891" s="141" t="n"/>
      <c r="E891" s="141" t="n"/>
      <c r="F891" s="141" t="n"/>
      <c r="G891" s="143" t="n"/>
      <c r="H891" s="27" t="n"/>
    </row>
    <row r="892" ht="17.25" customHeight="1" s="322">
      <c r="A892" s="27" t="n"/>
      <c r="B892" s="506" t="n"/>
      <c r="C892" s="141" t="n"/>
      <c r="D892" s="141" t="n"/>
      <c r="E892" s="141" t="n"/>
      <c r="F892" s="141" t="n"/>
      <c r="G892" s="143" t="n"/>
      <c r="H892" s="27" t="n"/>
    </row>
    <row r="893" ht="17.25" customHeight="1" s="322">
      <c r="A893" s="27" t="n"/>
      <c r="B893" s="506" t="n"/>
      <c r="C893" s="141" t="n"/>
      <c r="D893" s="141" t="n"/>
      <c r="E893" s="141" t="n"/>
      <c r="F893" s="141" t="n"/>
      <c r="G893" s="143" t="n"/>
      <c r="H893" s="27" t="n"/>
    </row>
    <row r="894" ht="17.25" customHeight="1" s="322">
      <c r="A894" s="27" t="n"/>
      <c r="B894" s="506" t="n"/>
      <c r="C894" s="141" t="n"/>
      <c r="D894" s="141" t="n"/>
      <c r="E894" s="141" t="n"/>
      <c r="F894" s="141" t="n"/>
      <c r="G894" s="143" t="n"/>
      <c r="H894" s="27" t="n"/>
    </row>
    <row r="895" ht="17.25" customHeight="1" s="322">
      <c r="A895" s="27" t="n"/>
      <c r="B895" s="506" t="n"/>
      <c r="C895" s="141" t="n"/>
      <c r="D895" s="141" t="n"/>
      <c r="E895" s="141" t="n"/>
      <c r="F895" s="141" t="n"/>
      <c r="G895" s="143" t="n"/>
      <c r="H895" s="27" t="n"/>
    </row>
    <row r="896" ht="17.25" customHeight="1" s="322">
      <c r="A896" s="27" t="n"/>
      <c r="B896" s="506" t="n"/>
      <c r="C896" s="141" t="n"/>
      <c r="D896" s="141" t="n"/>
      <c r="E896" s="141" t="n"/>
      <c r="F896" s="141" t="n"/>
      <c r="G896" s="143" t="n"/>
      <c r="H896" s="27" t="n"/>
    </row>
    <row r="897" ht="17.25" customHeight="1" s="322">
      <c r="A897" s="27" t="n"/>
      <c r="B897" s="506" t="n"/>
      <c r="C897" s="141" t="n"/>
      <c r="D897" s="141" t="n"/>
      <c r="E897" s="141" t="n"/>
      <c r="F897" s="141" t="n"/>
      <c r="G897" s="143" t="n"/>
      <c r="H897" s="27" t="n"/>
    </row>
    <row r="898" ht="17.25" customHeight="1" s="322">
      <c r="A898" s="27" t="n"/>
      <c r="B898" s="506" t="n"/>
      <c r="C898" s="141" t="n"/>
      <c r="D898" s="141" t="n"/>
      <c r="E898" s="141" t="n"/>
      <c r="F898" s="141" t="n"/>
      <c r="G898" s="143" t="n"/>
      <c r="H898" s="27" t="n"/>
    </row>
    <row r="899" ht="17.25" customHeight="1" s="322">
      <c r="A899" s="27" t="n"/>
      <c r="B899" s="506" t="n"/>
      <c r="C899" s="141" t="n"/>
      <c r="D899" s="141" t="n"/>
      <c r="E899" s="141" t="n"/>
      <c r="F899" s="141" t="n"/>
      <c r="G899" s="143" t="n"/>
      <c r="H899" s="27" t="n"/>
    </row>
    <row r="900" ht="17.25" customHeight="1" s="322">
      <c r="A900" s="27" t="n"/>
      <c r="B900" s="506" t="n"/>
      <c r="C900" s="141" t="n"/>
      <c r="D900" s="141" t="n"/>
      <c r="E900" s="141" t="n"/>
      <c r="F900" s="141" t="n"/>
      <c r="G900" s="143" t="n"/>
      <c r="H900" s="27" t="n"/>
    </row>
    <row r="901" ht="17.25" customHeight="1" s="322">
      <c r="A901" s="27" t="n"/>
      <c r="B901" s="506" t="n"/>
      <c r="C901" s="141" t="n"/>
      <c r="D901" s="141" t="n"/>
      <c r="E901" s="141" t="n"/>
      <c r="F901" s="141" t="n"/>
      <c r="G901" s="143" t="n"/>
      <c r="H901" s="27" t="n"/>
    </row>
    <row r="902" ht="17.25" customHeight="1" s="322">
      <c r="A902" s="27" t="n"/>
      <c r="B902" s="506" t="n"/>
      <c r="C902" s="141" t="n"/>
      <c r="D902" s="141" t="n"/>
      <c r="E902" s="141" t="n"/>
      <c r="F902" s="141" t="n"/>
      <c r="G902" s="143" t="n"/>
      <c r="H902" s="27" t="n"/>
    </row>
    <row r="903" ht="17.25" customHeight="1" s="322">
      <c r="A903" s="27" t="n"/>
      <c r="B903" s="506" t="n"/>
      <c r="C903" s="141" t="n"/>
      <c r="D903" s="141" t="n"/>
      <c r="E903" s="141" t="n"/>
      <c r="F903" s="141" t="n"/>
      <c r="G903" s="143" t="n"/>
      <c r="H903" s="27" t="n"/>
    </row>
    <row r="904" ht="17.25" customHeight="1" s="322">
      <c r="A904" s="27" t="n"/>
      <c r="B904" s="506" t="n"/>
      <c r="C904" s="141" t="n"/>
      <c r="D904" s="141" t="n"/>
      <c r="E904" s="141" t="n"/>
      <c r="F904" s="141" t="n"/>
      <c r="G904" s="143" t="n"/>
      <c r="H904" s="27" t="n"/>
    </row>
    <row r="905" ht="17.25" customHeight="1" s="322">
      <c r="A905" s="27" t="n"/>
      <c r="B905" s="506" t="n"/>
      <c r="C905" s="141" t="n"/>
      <c r="D905" s="141" t="n"/>
      <c r="E905" s="141" t="n"/>
      <c r="F905" s="141" t="n"/>
      <c r="G905" s="143" t="n"/>
      <c r="H905" s="27" t="n"/>
    </row>
    <row r="906" ht="17.25" customHeight="1" s="322">
      <c r="A906" s="27" t="n"/>
      <c r="B906" s="506" t="n"/>
      <c r="C906" s="141" t="n"/>
      <c r="D906" s="141" t="n"/>
      <c r="E906" s="141" t="n"/>
      <c r="F906" s="141" t="n"/>
      <c r="G906" s="143" t="n"/>
      <c r="H906" s="27" t="n"/>
    </row>
    <row r="907" ht="17.25" customHeight="1" s="322">
      <c r="A907" s="27" t="n"/>
      <c r="B907" s="506" t="n"/>
      <c r="C907" s="141" t="n"/>
      <c r="D907" s="141" t="n"/>
      <c r="E907" s="141" t="n"/>
      <c r="F907" s="141" t="n"/>
      <c r="G907" s="143" t="n"/>
      <c r="H907" s="27" t="n"/>
    </row>
    <row r="908" ht="17.25" customHeight="1" s="322">
      <c r="A908" s="27" t="n"/>
      <c r="B908" s="506" t="n"/>
      <c r="C908" s="141" t="n"/>
      <c r="D908" s="141" t="n"/>
      <c r="E908" s="141" t="n"/>
      <c r="F908" s="141" t="n"/>
      <c r="G908" s="143" t="n"/>
      <c r="H908" s="27" t="n"/>
    </row>
    <row r="909" ht="17.25" customHeight="1" s="322">
      <c r="A909" s="27" t="n"/>
      <c r="B909" s="506" t="n"/>
      <c r="C909" s="141" t="n"/>
      <c r="D909" s="141" t="n"/>
      <c r="E909" s="141" t="n"/>
      <c r="F909" s="141" t="n"/>
      <c r="G909" s="143" t="n"/>
      <c r="H909" s="27" t="n"/>
    </row>
    <row r="910" ht="17.25" customHeight="1" s="322">
      <c r="A910" s="27" t="n"/>
      <c r="B910" s="506" t="n"/>
      <c r="C910" s="141" t="n"/>
      <c r="D910" s="141" t="n"/>
      <c r="E910" s="141" t="n"/>
      <c r="F910" s="141" t="n"/>
      <c r="G910" s="143" t="n"/>
      <c r="H910" s="27" t="n"/>
    </row>
    <row r="911" ht="17.25" customHeight="1" s="322">
      <c r="A911" s="27" t="n"/>
      <c r="B911" s="506" t="n"/>
      <c r="C911" s="141" t="n"/>
      <c r="D911" s="141" t="n"/>
      <c r="E911" s="141" t="n"/>
      <c r="F911" s="141" t="n"/>
      <c r="G911" s="143" t="n"/>
      <c r="H911" s="27" t="n"/>
    </row>
    <row r="912" ht="17.25" customHeight="1" s="322">
      <c r="A912" s="27" t="n"/>
      <c r="B912" s="506" t="n"/>
      <c r="C912" s="141" t="n"/>
      <c r="D912" s="141" t="n"/>
      <c r="E912" s="141" t="n"/>
      <c r="F912" s="141" t="n"/>
      <c r="G912" s="143" t="n"/>
      <c r="H912" s="27" t="n"/>
    </row>
    <row r="913" ht="17.25" customHeight="1" s="322">
      <c r="A913" s="27" t="n"/>
      <c r="B913" s="506" t="n"/>
      <c r="C913" s="141" t="n"/>
      <c r="D913" s="141" t="n"/>
      <c r="E913" s="141" t="n"/>
      <c r="F913" s="141" t="n"/>
      <c r="G913" s="143" t="n"/>
      <c r="H913" s="27" t="n"/>
    </row>
    <row r="914" ht="17.25" customHeight="1" s="322">
      <c r="A914" s="27" t="n"/>
      <c r="B914" s="506" t="n"/>
      <c r="C914" s="141" t="n"/>
      <c r="D914" s="141" t="n"/>
      <c r="E914" s="141" t="n"/>
      <c r="F914" s="141" t="n"/>
      <c r="G914" s="143" t="n"/>
      <c r="H914" s="27" t="n"/>
    </row>
    <row r="915" ht="17.25" customHeight="1" s="322">
      <c r="A915" s="27" t="n"/>
      <c r="B915" s="506" t="n"/>
      <c r="C915" s="141" t="n"/>
      <c r="D915" s="141" t="n"/>
      <c r="E915" s="141" t="n"/>
      <c r="F915" s="141" t="n"/>
      <c r="G915" s="143" t="n"/>
      <c r="H915" s="27" t="n"/>
    </row>
    <row r="916" ht="17.25" customHeight="1" s="322">
      <c r="A916" s="27" t="n"/>
      <c r="B916" s="506" t="n"/>
      <c r="C916" s="141" t="n"/>
      <c r="D916" s="141" t="n"/>
      <c r="E916" s="141" t="n"/>
      <c r="F916" s="141" t="n"/>
      <c r="G916" s="143" t="n"/>
      <c r="H916" s="27" t="n"/>
    </row>
    <row r="917" ht="17.25" customHeight="1" s="322">
      <c r="A917" s="27" t="n"/>
      <c r="B917" s="506" t="n"/>
      <c r="C917" s="141" t="n"/>
      <c r="D917" s="141" t="n"/>
      <c r="E917" s="141" t="n"/>
      <c r="F917" s="141" t="n"/>
      <c r="G917" s="143" t="n"/>
      <c r="H917" s="27" t="n"/>
    </row>
    <row r="918" ht="17.25" customHeight="1" s="322">
      <c r="A918" s="27" t="n"/>
      <c r="B918" s="506" t="n"/>
      <c r="C918" s="141" t="n"/>
      <c r="D918" s="141" t="n"/>
      <c r="E918" s="141" t="n"/>
      <c r="F918" s="141" t="n"/>
      <c r="G918" s="143" t="n"/>
      <c r="H918" s="27" t="n"/>
    </row>
    <row r="919" ht="17.25" customHeight="1" s="322">
      <c r="A919" s="27" t="n"/>
      <c r="B919" s="506" t="n"/>
      <c r="C919" s="141" t="n"/>
      <c r="D919" s="141" t="n"/>
      <c r="E919" s="141" t="n"/>
      <c r="F919" s="141" t="n"/>
      <c r="G919" s="143" t="n"/>
      <c r="H919" s="27" t="n"/>
    </row>
    <row r="920" ht="17.25" customHeight="1" s="322">
      <c r="A920" s="27" t="n"/>
      <c r="B920" s="506" t="n"/>
      <c r="C920" s="141" t="n"/>
      <c r="D920" s="141" t="n"/>
      <c r="E920" s="141" t="n"/>
      <c r="F920" s="141" t="n"/>
      <c r="G920" s="143" t="n"/>
      <c r="H920" s="27" t="n"/>
    </row>
    <row r="921" ht="17.25" customHeight="1" s="322">
      <c r="A921" s="27" t="n"/>
      <c r="B921" s="506" t="n"/>
      <c r="C921" s="141" t="n"/>
      <c r="D921" s="141" t="n"/>
      <c r="E921" s="141" t="n"/>
      <c r="F921" s="141" t="n"/>
      <c r="G921" s="143" t="n"/>
      <c r="H921" s="27" t="n"/>
    </row>
    <row r="922" ht="17.25" customHeight="1" s="322">
      <c r="A922" s="27" t="n"/>
      <c r="B922" s="506" t="n"/>
      <c r="C922" s="141" t="n"/>
      <c r="D922" s="141" t="n"/>
      <c r="E922" s="141" t="n"/>
      <c r="F922" s="141" t="n"/>
      <c r="G922" s="143" t="n"/>
      <c r="H922" s="27" t="n"/>
    </row>
    <row r="923" ht="17.25" customHeight="1" s="322">
      <c r="A923" s="27" t="n"/>
      <c r="B923" s="506" t="n"/>
      <c r="C923" s="141" t="n"/>
      <c r="D923" s="141" t="n"/>
      <c r="E923" s="141" t="n"/>
      <c r="F923" s="141" t="n"/>
      <c r="G923" s="143" t="n"/>
      <c r="H923" s="27" t="n"/>
    </row>
    <row r="924" ht="17.25" customHeight="1" s="322">
      <c r="A924" s="27" t="n"/>
      <c r="B924" s="506" t="n"/>
      <c r="C924" s="141" t="n"/>
      <c r="D924" s="141" t="n"/>
      <c r="E924" s="141" t="n"/>
      <c r="F924" s="141" t="n"/>
      <c r="G924" s="143" t="n"/>
      <c r="H924" s="27" t="n"/>
    </row>
    <row r="925" ht="17.25" customHeight="1" s="322">
      <c r="A925" s="27" t="n"/>
      <c r="B925" s="506" t="n"/>
      <c r="C925" s="141" t="n"/>
      <c r="D925" s="141" t="n"/>
      <c r="E925" s="141" t="n"/>
      <c r="F925" s="141" t="n"/>
      <c r="G925" s="143" t="n"/>
      <c r="H925" s="27" t="n"/>
    </row>
    <row r="926" ht="17.25" customHeight="1" s="322">
      <c r="A926" s="27" t="n"/>
      <c r="B926" s="506" t="n"/>
      <c r="C926" s="141" t="n"/>
      <c r="D926" s="141" t="n"/>
      <c r="E926" s="141" t="n"/>
      <c r="F926" s="141" t="n"/>
      <c r="G926" s="143" t="n"/>
      <c r="H926" s="27" t="n"/>
    </row>
    <row r="927" ht="17.25" customHeight="1" s="322">
      <c r="A927" s="27" t="n"/>
      <c r="B927" s="506" t="n"/>
      <c r="C927" s="141" t="n"/>
      <c r="D927" s="141" t="n"/>
      <c r="E927" s="141" t="n"/>
      <c r="F927" s="141" t="n"/>
      <c r="G927" s="143" t="n"/>
      <c r="H927" s="27" t="n"/>
    </row>
    <row r="928" ht="17.25" customHeight="1" s="322">
      <c r="A928" s="27" t="n"/>
      <c r="B928" s="506" t="n"/>
      <c r="C928" s="141" t="n"/>
      <c r="D928" s="141" t="n"/>
      <c r="E928" s="141" t="n"/>
      <c r="F928" s="141" t="n"/>
      <c r="G928" s="143" t="n"/>
      <c r="H928" s="27" t="n"/>
    </row>
    <row r="929" ht="17.25" customHeight="1" s="322">
      <c r="A929" s="27" t="n"/>
      <c r="B929" s="506" t="n"/>
      <c r="C929" s="141" t="n"/>
      <c r="D929" s="141" t="n"/>
      <c r="E929" s="141" t="n"/>
      <c r="F929" s="141" t="n"/>
      <c r="G929" s="143" t="n"/>
      <c r="H929" s="27" t="n"/>
    </row>
    <row r="930" ht="17.25" customHeight="1" s="322">
      <c r="A930" s="27" t="n"/>
      <c r="B930" s="506" t="n"/>
      <c r="C930" s="141" t="n"/>
      <c r="D930" s="141" t="n"/>
      <c r="E930" s="141" t="n"/>
      <c r="F930" s="141" t="n"/>
      <c r="G930" s="143" t="n"/>
      <c r="H930" s="27" t="n"/>
    </row>
    <row r="931" ht="17.25" customHeight="1" s="322">
      <c r="A931" s="27" t="n"/>
      <c r="B931" s="506" t="n"/>
      <c r="C931" s="141" t="n"/>
      <c r="D931" s="141" t="n"/>
      <c r="E931" s="141" t="n"/>
      <c r="F931" s="141" t="n"/>
      <c r="G931" s="143" t="n"/>
      <c r="H931" s="27" t="n"/>
    </row>
    <row r="932" ht="17.25" customHeight="1" s="322">
      <c r="A932" s="27" t="n"/>
      <c r="B932" s="506" t="n"/>
      <c r="C932" s="141" t="n"/>
      <c r="D932" s="141" t="n"/>
      <c r="E932" s="141" t="n"/>
      <c r="F932" s="141" t="n"/>
      <c r="G932" s="143" t="n"/>
      <c r="H932" s="27" t="n"/>
    </row>
    <row r="933" ht="17.25" customHeight="1" s="322">
      <c r="A933" s="27" t="n"/>
      <c r="B933" s="506" t="n"/>
      <c r="C933" s="141" t="n"/>
      <c r="D933" s="141" t="n"/>
      <c r="E933" s="141" t="n"/>
      <c r="F933" s="141" t="n"/>
      <c r="G933" s="143" t="n"/>
      <c r="H933" s="27" t="n"/>
    </row>
    <row r="934" ht="17.25" customHeight="1" s="322">
      <c r="A934" s="27" t="n"/>
      <c r="B934" s="506" t="n"/>
      <c r="C934" s="141" t="n"/>
      <c r="D934" s="141" t="n"/>
      <c r="E934" s="141" t="n"/>
      <c r="F934" s="141" t="n"/>
      <c r="G934" s="143" t="n"/>
      <c r="H934" s="27" t="n"/>
    </row>
    <row r="935" ht="17.25" customHeight="1" s="322">
      <c r="A935" s="27" t="n"/>
      <c r="B935" s="506" t="n"/>
      <c r="C935" s="141" t="n"/>
      <c r="D935" s="141" t="n"/>
      <c r="E935" s="141" t="n"/>
      <c r="F935" s="141" t="n"/>
      <c r="G935" s="143" t="n"/>
      <c r="H935" s="27" t="n"/>
    </row>
    <row r="936" ht="17.25" customHeight="1" s="322">
      <c r="A936" s="27" t="n"/>
      <c r="B936" s="506" t="n"/>
      <c r="C936" s="141" t="n"/>
      <c r="D936" s="141" t="n"/>
      <c r="E936" s="141" t="n"/>
      <c r="F936" s="141" t="n"/>
      <c r="G936" s="143" t="n"/>
      <c r="H936" s="27" t="n"/>
    </row>
    <row r="937" ht="17.25" customHeight="1" s="322">
      <c r="A937" s="27" t="n"/>
      <c r="B937" s="506" t="n"/>
      <c r="C937" s="141" t="n"/>
      <c r="D937" s="141" t="n"/>
      <c r="E937" s="141" t="n"/>
      <c r="F937" s="141" t="n"/>
      <c r="G937" s="143" t="n"/>
      <c r="H937" s="27" t="n"/>
    </row>
    <row r="938" ht="17.25" customHeight="1" s="322">
      <c r="A938" s="27" t="n"/>
      <c r="B938" s="506" t="n"/>
      <c r="C938" s="141" t="n"/>
      <c r="D938" s="141" t="n"/>
      <c r="E938" s="141" t="n"/>
      <c r="F938" s="141" t="n"/>
      <c r="G938" s="143" t="n"/>
      <c r="H938" s="27" t="n"/>
    </row>
    <row r="939" ht="17.25" customHeight="1" s="322">
      <c r="A939" s="27" t="n"/>
      <c r="B939" s="506" t="n"/>
      <c r="C939" s="141" t="n"/>
      <c r="D939" s="141" t="n"/>
      <c r="E939" s="141" t="n"/>
      <c r="F939" s="141" t="n"/>
      <c r="G939" s="143" t="n"/>
      <c r="H939" s="27" t="n"/>
    </row>
    <row r="940" ht="17.25" customHeight="1" s="322">
      <c r="A940" s="27" t="n"/>
      <c r="B940" s="506" t="n"/>
      <c r="C940" s="141" t="n"/>
      <c r="D940" s="141" t="n"/>
      <c r="E940" s="141" t="n"/>
      <c r="F940" s="141" t="n"/>
      <c r="G940" s="143" t="n"/>
      <c r="H940" s="27" t="n"/>
    </row>
    <row r="941" ht="17.25" customHeight="1" s="322">
      <c r="A941" s="27" t="n"/>
      <c r="B941" s="506" t="n"/>
      <c r="C941" s="141" t="n"/>
      <c r="D941" s="141" t="n"/>
      <c r="E941" s="141" t="n"/>
      <c r="F941" s="141" t="n"/>
      <c r="G941" s="143" t="n"/>
      <c r="H941" s="27" t="n"/>
    </row>
    <row r="942" ht="17.25" customHeight="1" s="322">
      <c r="A942" s="27" t="n"/>
      <c r="B942" s="506" t="n"/>
      <c r="C942" s="141" t="n"/>
      <c r="D942" s="141" t="n"/>
      <c r="E942" s="141" t="n"/>
      <c r="F942" s="141" t="n"/>
      <c r="G942" s="143" t="n"/>
      <c r="H942" s="27" t="n"/>
    </row>
    <row r="943" ht="17.25" customHeight="1" s="322">
      <c r="A943" s="27" t="n"/>
      <c r="B943" s="506" t="n"/>
      <c r="C943" s="141" t="n"/>
      <c r="D943" s="141" t="n"/>
      <c r="E943" s="141" t="n"/>
      <c r="F943" s="141" t="n"/>
      <c r="G943" s="143" t="n"/>
      <c r="H943" s="27" t="n"/>
    </row>
    <row r="944" ht="17.25" customHeight="1" s="322">
      <c r="A944" s="27" t="n"/>
      <c r="B944" s="506" t="n"/>
      <c r="C944" s="141" t="n"/>
      <c r="D944" s="141" t="n"/>
      <c r="E944" s="141" t="n"/>
      <c r="F944" s="141" t="n"/>
      <c r="G944" s="143" t="n"/>
      <c r="H944" s="27" t="n"/>
    </row>
    <row r="945" ht="17.25" customHeight="1" s="322">
      <c r="A945" s="27" t="n"/>
      <c r="B945" s="506" t="n"/>
      <c r="C945" s="141" t="n"/>
      <c r="D945" s="141" t="n"/>
      <c r="E945" s="141" t="n"/>
      <c r="F945" s="141" t="n"/>
      <c r="G945" s="143" t="n"/>
      <c r="H945" s="27" t="n"/>
    </row>
    <row r="946" ht="17.25" customHeight="1" s="322">
      <c r="A946" s="27" t="n"/>
      <c r="B946" s="506" t="n"/>
      <c r="C946" s="141" t="n"/>
      <c r="D946" s="141" t="n"/>
      <c r="E946" s="141" t="n"/>
      <c r="F946" s="141" t="n"/>
      <c r="G946" s="143" t="n"/>
      <c r="H946" s="27" t="n"/>
    </row>
    <row r="947" ht="17.25" customHeight="1" s="322">
      <c r="A947" s="27" t="n"/>
      <c r="B947" s="506" t="n"/>
      <c r="C947" s="141" t="n"/>
      <c r="D947" s="141" t="n"/>
      <c r="E947" s="141" t="n"/>
      <c r="F947" s="141" t="n"/>
      <c r="G947" s="143" t="n"/>
      <c r="H947" s="27" t="n"/>
    </row>
    <row r="948" ht="17.25" customHeight="1" s="322">
      <c r="A948" s="27" t="n"/>
      <c r="B948" s="506" t="n"/>
      <c r="C948" s="141" t="n"/>
      <c r="D948" s="141" t="n"/>
      <c r="E948" s="141" t="n"/>
      <c r="F948" s="141" t="n"/>
      <c r="G948" s="143" t="n"/>
      <c r="H948" s="27" t="n"/>
    </row>
    <row r="949" ht="17.25" customHeight="1" s="322">
      <c r="A949" s="27" t="n"/>
      <c r="B949" s="506" t="n"/>
      <c r="C949" s="141" t="n"/>
      <c r="D949" s="141" t="n"/>
      <c r="E949" s="141" t="n"/>
      <c r="F949" s="141" t="n"/>
      <c r="G949" s="143" t="n"/>
      <c r="H949" s="27" t="n"/>
    </row>
    <row r="950" ht="17.25" customHeight="1" s="322">
      <c r="A950" s="27" t="n"/>
      <c r="B950" s="506" t="n"/>
      <c r="C950" s="141" t="n"/>
      <c r="D950" s="141" t="n"/>
      <c r="E950" s="141" t="n"/>
      <c r="F950" s="141" t="n"/>
      <c r="G950" s="143" t="n"/>
      <c r="H950" s="27" t="n"/>
    </row>
    <row r="951" ht="17.25" customHeight="1" s="322">
      <c r="A951" s="27" t="n"/>
      <c r="B951" s="506" t="n"/>
      <c r="C951" s="141" t="n"/>
      <c r="D951" s="141" t="n"/>
      <c r="E951" s="141" t="n"/>
      <c r="F951" s="141" t="n"/>
      <c r="G951" s="143" t="n"/>
      <c r="H951" s="27" t="n"/>
    </row>
    <row r="952" ht="17.25" customHeight="1" s="322">
      <c r="A952" s="27" t="n"/>
      <c r="B952" s="506" t="n"/>
      <c r="C952" s="141" t="n"/>
      <c r="D952" s="141" t="n"/>
      <c r="E952" s="141" t="n"/>
      <c r="F952" s="141" t="n"/>
      <c r="G952" s="143" t="n"/>
      <c r="H952" s="27" t="n"/>
    </row>
    <row r="953" ht="17.25" customHeight="1" s="322">
      <c r="A953" s="27" t="n"/>
      <c r="B953" s="506" t="n"/>
      <c r="C953" s="141" t="n"/>
      <c r="D953" s="141" t="n"/>
      <c r="E953" s="141" t="n"/>
      <c r="F953" s="141" t="n"/>
      <c r="G953" s="143" t="n"/>
      <c r="H953" s="27" t="n"/>
    </row>
    <row r="954" ht="17.25" customHeight="1" s="322">
      <c r="A954" s="27" t="n"/>
      <c r="B954" s="506" t="n"/>
      <c r="C954" s="141" t="n"/>
      <c r="D954" s="141" t="n"/>
      <c r="E954" s="141" t="n"/>
      <c r="F954" s="141" t="n"/>
      <c r="G954" s="143" t="n"/>
      <c r="H954" s="27" t="n"/>
    </row>
    <row r="955" ht="17.25" customHeight="1" s="322">
      <c r="A955" s="27" t="n"/>
      <c r="B955" s="506" t="n"/>
      <c r="C955" s="141" t="n"/>
      <c r="D955" s="141" t="n"/>
      <c r="E955" s="141" t="n"/>
      <c r="F955" s="141" t="n"/>
      <c r="G955" s="143" t="n"/>
      <c r="H955" s="27" t="n"/>
    </row>
    <row r="956" ht="17.25" customHeight="1" s="322">
      <c r="A956" s="27" t="n"/>
      <c r="B956" s="506" t="n"/>
      <c r="C956" s="141" t="n"/>
      <c r="D956" s="141" t="n"/>
      <c r="E956" s="141" t="n"/>
      <c r="F956" s="141" t="n"/>
      <c r="G956" s="143" t="n"/>
      <c r="H956" s="27" t="n"/>
    </row>
    <row r="957" ht="17.25" customHeight="1" s="322">
      <c r="A957" s="27" t="n"/>
      <c r="B957" s="506" t="n"/>
      <c r="C957" s="141" t="n"/>
      <c r="D957" s="141" t="n"/>
      <c r="E957" s="141" t="n"/>
      <c r="F957" s="141" t="n"/>
      <c r="G957" s="143" t="n"/>
      <c r="H957" s="27" t="n"/>
    </row>
    <row r="958" ht="17.25" customHeight="1" s="322">
      <c r="A958" s="27" t="n"/>
      <c r="B958" s="506" t="n"/>
      <c r="C958" s="141" t="n"/>
      <c r="D958" s="141" t="n"/>
      <c r="E958" s="141" t="n"/>
      <c r="F958" s="141" t="n"/>
      <c r="G958" s="143" t="n"/>
      <c r="H958" s="27" t="n"/>
    </row>
    <row r="959" ht="17.25" customHeight="1" s="322">
      <c r="A959" s="27" t="n"/>
      <c r="B959" s="506" t="n"/>
      <c r="C959" s="141" t="n"/>
      <c r="D959" s="141" t="n"/>
      <c r="E959" s="141" t="n"/>
      <c r="F959" s="141" t="n"/>
      <c r="G959" s="143" t="n"/>
      <c r="H959" s="27" t="n"/>
    </row>
    <row r="960" ht="17.25" customHeight="1" s="322">
      <c r="A960" s="27" t="n"/>
      <c r="B960" s="506" t="n"/>
      <c r="C960" s="141" t="n"/>
      <c r="D960" s="141" t="n"/>
      <c r="E960" s="141" t="n"/>
      <c r="F960" s="141" t="n"/>
      <c r="G960" s="143" t="n"/>
      <c r="H960" s="27" t="n"/>
    </row>
    <row r="961" ht="17.25" customHeight="1" s="322">
      <c r="A961" s="27" t="n"/>
      <c r="B961" s="506" t="n"/>
      <c r="C961" s="141" t="n"/>
      <c r="D961" s="141" t="n"/>
      <c r="E961" s="141" t="n"/>
      <c r="F961" s="141" t="n"/>
      <c r="G961" s="143" t="n"/>
      <c r="H961" s="27" t="n"/>
    </row>
    <row r="962" ht="17.25" customHeight="1" s="322">
      <c r="A962" s="27" t="n"/>
      <c r="B962" s="506" t="n"/>
      <c r="C962" s="141" t="n"/>
      <c r="D962" s="141" t="n"/>
      <c r="E962" s="141" t="n"/>
      <c r="F962" s="141" t="n"/>
      <c r="G962" s="143" t="n"/>
      <c r="H962" s="27" t="n"/>
    </row>
    <row r="963" ht="17.25" customHeight="1" s="322">
      <c r="A963" s="27" t="n"/>
      <c r="B963" s="506" t="n"/>
      <c r="C963" s="141" t="n"/>
      <c r="D963" s="141" t="n"/>
      <c r="E963" s="141" t="n"/>
      <c r="F963" s="141" t="n"/>
      <c r="G963" s="143" t="n"/>
      <c r="H963" s="27" t="n"/>
    </row>
    <row r="964" ht="17.25" customHeight="1" s="322">
      <c r="A964" s="27" t="n"/>
      <c r="B964" s="506" t="n"/>
      <c r="C964" s="141" t="n"/>
      <c r="D964" s="141" t="n"/>
      <c r="E964" s="141" t="n"/>
      <c r="F964" s="141" t="n"/>
      <c r="G964" s="143" t="n"/>
      <c r="H964" s="27" t="n"/>
    </row>
    <row r="965" ht="17.25" customHeight="1" s="322">
      <c r="A965" s="27" t="n"/>
      <c r="B965" s="506" t="n"/>
      <c r="C965" s="141" t="n"/>
      <c r="D965" s="141" t="n"/>
      <c r="E965" s="141" t="n"/>
      <c r="F965" s="141" t="n"/>
      <c r="G965" s="143" t="n"/>
      <c r="H965" s="27" t="n"/>
    </row>
    <row r="966" ht="17.25" customHeight="1" s="322">
      <c r="A966" s="27" t="n"/>
      <c r="B966" s="506" t="n"/>
      <c r="C966" s="141" t="n"/>
      <c r="D966" s="141" t="n"/>
      <c r="E966" s="141" t="n"/>
      <c r="F966" s="141" t="n"/>
      <c r="G966" s="143" t="n"/>
      <c r="H966" s="27" t="n"/>
    </row>
    <row r="967" ht="17.25" customHeight="1" s="322">
      <c r="A967" s="27" t="n"/>
      <c r="B967" s="506" t="n"/>
      <c r="C967" s="141" t="n"/>
      <c r="D967" s="141" t="n"/>
      <c r="E967" s="141" t="n"/>
      <c r="F967" s="141" t="n"/>
      <c r="G967" s="143" t="n"/>
      <c r="H967" s="27" t="n"/>
    </row>
    <row r="968" ht="17.25" customHeight="1" s="322">
      <c r="A968" s="27" t="n"/>
      <c r="B968" s="506" t="n"/>
      <c r="C968" s="141" t="n"/>
      <c r="D968" s="141" t="n"/>
      <c r="E968" s="141" t="n"/>
      <c r="F968" s="141" t="n"/>
      <c r="G968" s="143" t="n"/>
      <c r="H968" s="27" t="n"/>
    </row>
    <row r="969" ht="17.25" customHeight="1" s="322">
      <c r="A969" s="27" t="n"/>
      <c r="B969" s="506" t="n"/>
      <c r="C969" s="141" t="n"/>
      <c r="D969" s="141" t="n"/>
      <c r="E969" s="141" t="n"/>
      <c r="F969" s="141" t="n"/>
      <c r="G969" s="143" t="n"/>
      <c r="H969" s="27" t="n"/>
    </row>
    <row r="970" ht="17.25" customHeight="1" s="322">
      <c r="A970" s="27" t="n"/>
      <c r="B970" s="506" t="n"/>
      <c r="C970" s="141" t="n"/>
      <c r="D970" s="141" t="n"/>
      <c r="E970" s="141" t="n"/>
      <c r="F970" s="141" t="n"/>
      <c r="G970" s="143" t="n"/>
      <c r="H970" s="27" t="n"/>
    </row>
    <row r="971" ht="17.25" customHeight="1" s="322">
      <c r="A971" s="27" t="n"/>
      <c r="B971" s="506" t="n"/>
      <c r="C971" s="141" t="n"/>
      <c r="D971" s="141" t="n"/>
      <c r="E971" s="141" t="n"/>
      <c r="F971" s="141" t="n"/>
      <c r="G971" s="143" t="n"/>
      <c r="H971" s="27" t="n"/>
    </row>
    <row r="972" ht="17.25" customHeight="1" s="322">
      <c r="A972" s="27" t="n"/>
      <c r="B972" s="506" t="n"/>
      <c r="C972" s="141" t="n"/>
      <c r="D972" s="141" t="n"/>
      <c r="E972" s="141" t="n"/>
      <c r="F972" s="141" t="n"/>
      <c r="G972" s="143" t="n"/>
      <c r="H972" s="27" t="n"/>
    </row>
    <row r="973" ht="17.25" customHeight="1" s="322">
      <c r="A973" s="27" t="n"/>
      <c r="B973" s="506" t="n"/>
      <c r="C973" s="141" t="n"/>
      <c r="D973" s="141" t="n"/>
      <c r="E973" s="141" t="n"/>
      <c r="F973" s="141" t="n"/>
      <c r="G973" s="143" t="n"/>
      <c r="H973" s="27" t="n"/>
    </row>
    <row r="974" ht="17.25" customHeight="1" s="322">
      <c r="A974" s="27" t="n"/>
      <c r="B974" s="506" t="n"/>
      <c r="C974" s="141" t="n"/>
      <c r="D974" s="141" t="n"/>
      <c r="E974" s="141" t="n"/>
      <c r="F974" s="141" t="n"/>
      <c r="G974" s="143" t="n"/>
      <c r="H974" s="27" t="n"/>
    </row>
    <row r="975" ht="17.25" customHeight="1" s="322">
      <c r="A975" s="27" t="n"/>
      <c r="B975" s="506" t="n"/>
      <c r="C975" s="141" t="n"/>
      <c r="D975" s="141" t="n"/>
      <c r="E975" s="141" t="n"/>
      <c r="F975" s="141" t="n"/>
      <c r="G975" s="143" t="n"/>
      <c r="H975" s="27" t="n"/>
    </row>
    <row r="976" ht="17.25" customHeight="1" s="322">
      <c r="A976" s="27" t="n"/>
      <c r="B976" s="506" t="n"/>
      <c r="C976" s="141" t="n"/>
      <c r="D976" s="141" t="n"/>
      <c r="E976" s="141" t="n"/>
      <c r="F976" s="141" t="n"/>
      <c r="G976" s="143" t="n"/>
      <c r="H976" s="27" t="n"/>
    </row>
    <row r="977" ht="17.25" customHeight="1" s="322">
      <c r="A977" s="27" t="n"/>
      <c r="B977" s="506" t="n"/>
      <c r="C977" s="141" t="n"/>
      <c r="D977" s="141" t="n"/>
      <c r="E977" s="141" t="n"/>
      <c r="F977" s="141" t="n"/>
      <c r="G977" s="143" t="n"/>
      <c r="H977" s="27" t="n"/>
    </row>
    <row r="978" ht="17.25" customHeight="1" s="322">
      <c r="A978" s="27" t="n"/>
      <c r="B978" s="506" t="n"/>
      <c r="C978" s="141" t="n"/>
      <c r="D978" s="141" t="n"/>
      <c r="E978" s="141" t="n"/>
      <c r="F978" s="141" t="n"/>
      <c r="G978" s="143" t="n"/>
      <c r="H978" s="27" t="n"/>
    </row>
    <row r="979" ht="17.25" customHeight="1" s="322">
      <c r="A979" s="27" t="n"/>
      <c r="B979" s="506" t="n"/>
      <c r="C979" s="141" t="n"/>
      <c r="D979" s="141" t="n"/>
      <c r="E979" s="141" t="n"/>
      <c r="F979" s="141" t="n"/>
      <c r="G979" s="143" t="n"/>
      <c r="H979" s="27" t="n"/>
    </row>
    <row r="980" ht="17.25" customHeight="1" s="322">
      <c r="A980" s="27" t="n"/>
      <c r="B980" s="506" t="n"/>
      <c r="C980" s="141" t="n"/>
      <c r="D980" s="141" t="n"/>
      <c r="E980" s="141" t="n"/>
      <c r="F980" s="141" t="n"/>
      <c r="G980" s="143" t="n"/>
      <c r="H980" s="27" t="n"/>
    </row>
    <row r="981" ht="17.25" customHeight="1" s="322">
      <c r="A981" s="27" t="n"/>
      <c r="B981" s="506" t="n"/>
      <c r="C981" s="141" t="n"/>
      <c r="D981" s="141" t="n"/>
      <c r="E981" s="141" t="n"/>
      <c r="F981" s="141" t="n"/>
      <c r="G981" s="143" t="n"/>
      <c r="H981" s="27" t="n"/>
    </row>
    <row r="982" ht="17.25" customHeight="1" s="322">
      <c r="A982" s="27" t="n"/>
      <c r="B982" s="506" t="n"/>
      <c r="C982" s="141" t="n"/>
      <c r="D982" s="141" t="n"/>
      <c r="E982" s="141" t="n"/>
      <c r="F982" s="141" t="n"/>
      <c r="G982" s="143" t="n"/>
      <c r="H982" s="27" t="n"/>
    </row>
    <row r="983" ht="17.25" customHeight="1" s="322">
      <c r="A983" s="27" t="n"/>
      <c r="B983" s="506" t="n"/>
      <c r="C983" s="141" t="n"/>
      <c r="D983" s="141" t="n"/>
      <c r="E983" s="141" t="n"/>
      <c r="F983" s="141" t="n"/>
      <c r="G983" s="143" t="n"/>
      <c r="H983" s="27" t="n"/>
    </row>
    <row r="984" ht="17.25" customHeight="1" s="322">
      <c r="A984" s="27" t="n"/>
      <c r="B984" s="506" t="n"/>
      <c r="C984" s="141" t="n"/>
      <c r="D984" s="141" t="n"/>
      <c r="E984" s="141" t="n"/>
      <c r="F984" s="141" t="n"/>
      <c r="G984" s="143" t="n"/>
      <c r="H984" s="27" t="n"/>
    </row>
    <row r="985" ht="17.25" customHeight="1" s="322">
      <c r="A985" s="27" t="n"/>
      <c r="B985" s="506" t="n"/>
      <c r="C985" s="141" t="n"/>
      <c r="D985" s="141" t="n"/>
      <c r="E985" s="141" t="n"/>
      <c r="F985" s="141" t="n"/>
      <c r="G985" s="143" t="n"/>
      <c r="H985" s="27" t="n"/>
    </row>
    <row r="986" ht="17.25" customHeight="1" s="322">
      <c r="A986" s="27" t="n"/>
      <c r="B986" s="506" t="n"/>
      <c r="C986" s="141" t="n"/>
      <c r="D986" s="141" t="n"/>
      <c r="E986" s="141" t="n"/>
      <c r="F986" s="141" t="n"/>
      <c r="G986" s="143" t="n"/>
      <c r="H986" s="27" t="n"/>
    </row>
    <row r="987" ht="17.25" customHeight="1" s="322">
      <c r="A987" s="27" t="n"/>
      <c r="B987" s="506" t="n"/>
      <c r="C987" s="141" t="n"/>
      <c r="D987" s="141" t="n"/>
      <c r="E987" s="141" t="n"/>
      <c r="F987" s="141" t="n"/>
      <c r="G987" s="143" t="n"/>
      <c r="H987" s="27" t="n"/>
    </row>
    <row r="988" ht="17.25" customHeight="1" s="322">
      <c r="A988" s="27" t="n"/>
      <c r="B988" s="506" t="n"/>
      <c r="C988" s="141" t="n"/>
      <c r="D988" s="141" t="n"/>
      <c r="E988" s="141" t="n"/>
      <c r="F988" s="141" t="n"/>
      <c r="G988" s="143" t="n"/>
      <c r="H988" s="27" t="n"/>
    </row>
    <row r="989" ht="17.25" customHeight="1" s="322">
      <c r="A989" s="27" t="n"/>
      <c r="B989" s="506" t="n"/>
      <c r="C989" s="141" t="n"/>
      <c r="D989" s="141" t="n"/>
      <c r="E989" s="141" t="n"/>
      <c r="F989" s="141" t="n"/>
      <c r="G989" s="143" t="n"/>
      <c r="H989" s="27" t="n"/>
    </row>
    <row r="990" ht="17.25" customHeight="1" s="322">
      <c r="A990" s="27" t="n"/>
      <c r="B990" s="506" t="n"/>
      <c r="C990" s="141" t="n"/>
      <c r="D990" s="141" t="n"/>
      <c r="E990" s="141" t="n"/>
      <c r="F990" s="141" t="n"/>
      <c r="G990" s="143" t="n"/>
      <c r="H990" s="27" t="n"/>
    </row>
    <row r="991" ht="17.25" customHeight="1" s="322">
      <c r="A991" s="27" t="n"/>
      <c r="B991" s="506" t="n"/>
      <c r="C991" s="141" t="n"/>
      <c r="D991" s="141" t="n"/>
      <c r="E991" s="141" t="n"/>
      <c r="F991" s="141" t="n"/>
      <c r="G991" s="143" t="n"/>
      <c r="H991" s="27" t="n"/>
    </row>
    <row r="992" ht="17.25" customHeight="1" s="322">
      <c r="A992" s="27" t="n"/>
      <c r="B992" s="506" t="n"/>
      <c r="C992" s="141" t="n"/>
      <c r="D992" s="141" t="n"/>
      <c r="E992" s="141" t="n"/>
      <c r="F992" s="141" t="n"/>
      <c r="G992" s="143" t="n"/>
      <c r="H992" s="27" t="n"/>
    </row>
    <row r="993" ht="17.25" customHeight="1" s="322">
      <c r="A993" s="27" t="n"/>
      <c r="B993" s="506" t="n"/>
      <c r="C993" s="141" t="n"/>
      <c r="D993" s="141" t="n"/>
      <c r="E993" s="141" t="n"/>
      <c r="F993" s="141" t="n"/>
      <c r="G993" s="143" t="n"/>
      <c r="H993" s="27" t="n"/>
    </row>
    <row r="994" ht="17.25" customHeight="1" s="322">
      <c r="A994" s="27" t="n"/>
      <c r="B994" s="506" t="n"/>
      <c r="C994" s="141" t="n"/>
      <c r="D994" s="141" t="n"/>
      <c r="E994" s="141" t="n"/>
      <c r="F994" s="141" t="n"/>
      <c r="G994" s="143" t="n"/>
      <c r="H994" s="27" t="n"/>
    </row>
    <row r="995" ht="17.25" customHeight="1" s="322">
      <c r="A995" s="27" t="n"/>
      <c r="B995" s="506" t="n"/>
      <c r="C995" s="141" t="n"/>
      <c r="D995" s="141" t="n"/>
      <c r="E995" s="141" t="n"/>
      <c r="F995" s="141" t="n"/>
      <c r="G995" s="143" t="n"/>
      <c r="H995" s="27" t="n"/>
    </row>
    <row r="996" ht="17.25" customHeight="1" s="322">
      <c r="A996" s="27" t="n"/>
      <c r="B996" s="506" t="n"/>
      <c r="C996" s="141" t="n"/>
      <c r="D996" s="141" t="n"/>
      <c r="E996" s="141" t="n"/>
      <c r="F996" s="141" t="n"/>
      <c r="G996" s="143" t="n"/>
      <c r="H996" s="27" t="n"/>
    </row>
    <row r="997" ht="17.25" customHeight="1" s="322">
      <c r="A997" s="27" t="n"/>
      <c r="B997" s="506" t="n"/>
      <c r="C997" s="141" t="n"/>
      <c r="D997" s="141" t="n"/>
      <c r="E997" s="141" t="n"/>
      <c r="F997" s="141" t="n"/>
      <c r="G997" s="143" t="n"/>
      <c r="H997" s="27" t="n"/>
    </row>
    <row r="998" ht="17.25" customHeight="1" s="322">
      <c r="A998" s="27" t="n"/>
      <c r="B998" s="506" t="n"/>
      <c r="C998" s="141" t="n"/>
      <c r="D998" s="141" t="n"/>
      <c r="E998" s="141" t="n"/>
      <c r="F998" s="141" t="n"/>
      <c r="G998" s="143" t="n"/>
      <c r="H998" s="27" t="n"/>
    </row>
    <row r="999" ht="17.25" customHeight="1" s="322">
      <c r="A999" s="27" t="n"/>
      <c r="B999" s="506" t="n"/>
      <c r="C999" s="141" t="n"/>
      <c r="D999" s="141" t="n"/>
      <c r="E999" s="141" t="n"/>
      <c r="F999" s="141" t="n"/>
      <c r="G999" s="143" t="n"/>
      <c r="H999" s="27" t="n"/>
    </row>
    <row r="1000" ht="17.25" customHeight="1" s="322">
      <c r="A1000" s="27" t="n"/>
      <c r="B1000" s="506" t="n"/>
      <c r="C1000" s="141" t="n"/>
      <c r="D1000" s="141" t="n"/>
      <c r="E1000" s="141" t="n"/>
      <c r="F1000" s="141" t="n"/>
      <c r="G1000" s="143" t="n"/>
      <c r="H1000" s="27" t="n"/>
    </row>
  </sheetData>
  <mergeCells count="3">
    <mergeCell ref="B1:F2"/>
    <mergeCell ref="B7:G7"/>
    <mergeCell ref="B10:C10"/>
  </mergeCells>
  <conditionalFormatting sqref="D10:E10">
    <cfRule type="cellIs" priority="5" operator="lessThan" dxfId="5">
      <formula>0</formula>
    </cfRule>
    <cfRule type="cellIs" priority="6" operator="greaterThan" dxfId="4">
      <formula>0</formula>
    </cfRule>
  </conditionalFormatting>
  <conditionalFormatting sqref="F28:F1000">
    <cfRule type="expression" priority="1" dxfId="3">
      <formula>AND(F28=MAX(F$28:F$1000),F28&gt;0)</formula>
    </cfRule>
    <cfRule type="expression" priority="2" dxfId="2">
      <formula>AND(F28=MIN(F$28:F$1000),F28&gt;0)</formula>
    </cfRule>
  </conditionalFormatting>
  <conditionalFormatting sqref="F29:F1000">
    <cfRule type="expression" priority="3" dxfId="1">
      <formula>F29&gt;F27</formula>
    </cfRule>
    <cfRule type="expression" priority="4" dxfId="0">
      <formula>F29&lt;F27</formula>
    </cfRule>
  </conditionalFormatting>
  <conditionalFormatting sqref="G15">
    <cfRule type="colorScale" priority="7">
      <colorScale>
        <cfvo type="min"/>
        <cfvo type="max"/>
        <color rgb="FF57BB8A"/>
        <color rgb="FFFFFFFF"/>
      </colorScale>
    </cfRule>
  </conditionalFormatting>
  <dataValidations count="1">
    <dataValidation sqref="G15" showDropDown="0" showInputMessage="1" showErrorMessage="1" allowBlank="1" prompt="Click and enter a value from the list of items" type="list">
      <formula1>"1 Month,3 Months,6 Months,12 Months,36 Months"</formula1>
    </dataValidation>
  </dataValidations>
  <hyperlinks>
    <hyperlink xmlns:r="http://schemas.openxmlformats.org/officeDocument/2006/relationships" ref="B1" r:id="rId1"/>
    <hyperlink xmlns:r="http://schemas.openxmlformats.org/officeDocument/2006/relationships" ref="G2" r:id="rId2"/>
  </hyperlinks>
  <pageMargins left="0.7" right="0.7" top="0.75" bottom="0.75" header="0.3" footer="0.3"/>
  <drawing xmlns:r="http://schemas.openxmlformats.org/officeDocument/2006/relationships" r:id="rId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H1000"/>
  <sheetViews>
    <sheetView showGridLines="0" workbookViewId="0">
      <selection activeCell="A1" sqref="A1"/>
    </sheetView>
  </sheetViews>
  <sheetFormatPr baseColWidth="8" defaultColWidth="12.5703125" defaultRowHeight="15.75" customHeight="1"/>
  <cols>
    <col width="5.42578125" customWidth="1" style="322" min="1" max="1"/>
    <col width="15.7109375" customWidth="1" style="322" min="2" max="2"/>
    <col width="5.42578125" customWidth="1" style="322" min="8" max="8"/>
  </cols>
  <sheetData>
    <row r="1" ht="22.5" customHeight="1" s="322">
      <c r="A1" s="69" t="n"/>
      <c r="B1" s="455" t="inlineStr">
        <is>
          <t>← 관심종목으로 돌아가기</t>
        </is>
      </c>
      <c r="G1" s="72" t="inlineStr">
        <is>
          <t>제공:</t>
        </is>
      </c>
      <c r="H1" s="69" t="n"/>
    </row>
    <row r="2" ht="22.5" customHeight="1" s="322">
      <c r="A2" s="69" t="n"/>
      <c r="G2" s="77" t="inlineStr">
        <is>
          <t>Google Finance</t>
        </is>
      </c>
      <c r="H2" s="69" t="n"/>
    </row>
    <row r="3" ht="11.25" customHeight="1" s="322">
      <c r="A3" s="1" t="n"/>
      <c r="B3" s="1" t="n"/>
      <c r="C3" s="1" t="n"/>
      <c r="D3" s="1" t="n"/>
      <c r="E3" s="1" t="n"/>
      <c r="F3" s="1" t="n"/>
      <c r="G3" s="1" t="n"/>
      <c r="H3" s="1" t="n"/>
    </row>
    <row r="4" ht="15.75" customHeight="1" s="322">
      <c r="A4" s="1" t="n"/>
      <c r="B4" s="80" t="inlineStr">
        <is>
          <t>ewj</t>
        </is>
      </c>
      <c r="C4" s="81" t="inlineStr">
        <is>
          <t>&lt;&lt; 종목코드 입력</t>
        </is>
      </c>
      <c r="D4" s="1" t="n"/>
      <c r="E4" s="1" t="n"/>
      <c r="F4" s="1" t="n"/>
      <c r="G4" s="1" t="n"/>
      <c r="H4" s="1" t="n"/>
    </row>
    <row r="5" ht="15.75" customHeight="1" s="322">
      <c r="A5" s="1" t="n"/>
      <c r="B5" s="82" t="n"/>
      <c r="C5" s="81" t="inlineStr">
        <is>
          <t>&lt;&lt; 필요한 경우 거래소 입력(예: NASDAQ, NYSE)</t>
        </is>
      </c>
      <c r="D5" s="85" t="n"/>
      <c r="E5" s="1" t="n"/>
      <c r="F5" s="1" t="n"/>
      <c r="G5" s="1" t="n"/>
      <c r="H5" s="1" t="n"/>
    </row>
    <row r="6" ht="11.25" customHeight="1" s="322">
      <c r="A6" s="27" t="n"/>
      <c r="B6" s="27" t="n"/>
      <c r="C6" s="27" t="n"/>
      <c r="D6" s="27" t="n"/>
      <c r="E6" s="27" t="n"/>
      <c r="F6" s="27" t="n"/>
      <c r="G6" s="27" t="n"/>
      <c r="H6" s="27" t="n"/>
    </row>
    <row r="7" ht="20.25" customHeight="1" s="322">
      <c r="A7" s="12" t="n"/>
      <c r="B7" s="501">
        <f>IFERROR(__xludf.DUMMYFUNCTION("GOOGLEFINANCE(B18,""name"")"),"iShares MSCI Japan ETF")</f>
        <v/>
      </c>
      <c r="H7" s="12" t="n"/>
    </row>
    <row r="8" ht="11.25" customHeight="1" s="322">
      <c r="A8" s="12" t="n"/>
      <c r="B8" s="12" t="n"/>
      <c r="C8" s="12" t="n"/>
      <c r="D8" s="12" t="n"/>
      <c r="E8" s="12" t="n"/>
      <c r="F8" s="12" t="n"/>
      <c r="G8" s="12" t="n"/>
      <c r="H8" s="12" t="n"/>
    </row>
    <row r="9" ht="12" customHeight="1" s="322">
      <c r="A9" s="1" t="n"/>
      <c r="B9" s="90" t="inlineStr">
        <is>
          <t>현재가</t>
        </is>
      </c>
      <c r="C9" s="1" t="n"/>
      <c r="D9" s="90" t="inlineStr">
        <is>
          <t>전일대비</t>
        </is>
      </c>
      <c r="E9" s="90" t="inlineStr">
        <is>
          <t>등락률(%)</t>
        </is>
      </c>
      <c r="F9" s="1" t="n"/>
      <c r="G9" s="1" t="n"/>
      <c r="H9" s="1" t="n"/>
    </row>
    <row r="10" ht="31.5" customHeight="1" s="322">
      <c r="A10" s="12" t="n"/>
      <c r="B10" s="502">
        <f>IFERROR(__xludf.DUMMYFUNCTION("GOOGLEFINANCE(B18,""price"")"),89.35)</f>
        <v/>
      </c>
      <c r="D10" s="503">
        <f>IFERROR(__xludf.DUMMYFUNCTION("IFERROR(GOOGLEFINANCE(B18,""change""),""-"")"),-0.48)</f>
        <v/>
      </c>
      <c r="E10" s="504">
        <f>IFERROR(__xludf.DUMMYFUNCTION("IFERROR(GOOGLEFINANCE(B18,""changepct"")/100,""-"")"),-0.0053)</f>
        <v/>
      </c>
      <c r="F10" s="12" t="n"/>
      <c r="G10" s="12" t="n"/>
      <c r="H10" s="12" t="n"/>
    </row>
    <row r="11" ht="11.25" customHeight="1" s="322">
      <c r="A11" s="12" t="n"/>
      <c r="B11" s="106" t="n"/>
      <c r="C11" s="106" t="n"/>
      <c r="D11" s="106" t="n"/>
      <c r="E11" s="106" t="n"/>
      <c r="F11" s="106" t="n"/>
      <c r="G11" s="106" t="n"/>
      <c r="H11" s="12" t="n"/>
    </row>
    <row r="12" ht="11.25" customHeight="1" s="322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 ht="12" customHeight="1" s="322">
      <c r="A13" s="1" t="n"/>
      <c r="B13" s="90" t="inlineStr">
        <is>
          <t>시가총액</t>
        </is>
      </c>
      <c r="C13" s="90" t="inlineStr">
        <is>
          <t>PER</t>
        </is>
      </c>
      <c r="D13" s="90" t="inlineStr">
        <is>
          <t>베타계수</t>
        </is>
      </c>
      <c r="E13" s="1" t="n"/>
      <c r="F13" s="1" t="n"/>
      <c r="G13" s="1" t="n"/>
      <c r="H13" s="1" t="n"/>
    </row>
    <row r="14">
      <c r="A14" s="113" t="n"/>
      <c r="B14" s="505">
        <f>IFERROR(__xludf.DUMMYFUNCTION("IFERROR(GOOGLEFINANCE(B18,""marketcap""),""-"")"),21604829631)</f>
        <v/>
      </c>
      <c r="C14" s="115">
        <f>IFERROR(__xludf.DUMMYFUNCTION("IFERROR(GOOGLEFINANCE(B18,""pe""),""-"")"),"-")</f>
        <v/>
      </c>
      <c r="D14" s="115">
        <f>IFERROR(__xludf.DUMMYFUNCTION("IFERROR(GOOGLEFINANCE(B18,""beta""),""-"")"),"-")</f>
        <v/>
      </c>
      <c r="E14" s="113" t="n"/>
      <c r="F14" s="113" t="n"/>
      <c r="G14" s="113" t="n"/>
      <c r="H14" s="113" t="n"/>
    </row>
    <row r="15" ht="15.75" customHeight="1" s="322">
      <c r="A15" s="12" t="n"/>
      <c r="B15" s="12" t="n"/>
      <c r="C15" s="12" t="n"/>
      <c r="D15" s="12" t="n"/>
      <c r="E15" s="12" t="n"/>
      <c r="F15" s="12" t="n"/>
      <c r="G15" s="123" t="inlineStr">
        <is>
          <t>12 Months</t>
        </is>
      </c>
      <c r="H15" s="12" t="n"/>
    </row>
    <row r="16" ht="15.75" customHeight="1" s="322">
      <c r="A16" s="12" t="n"/>
      <c r="B16" s="12" t="n"/>
      <c r="C16" s="12" t="n"/>
      <c r="D16" s="12" t="n"/>
      <c r="E16" s="12" t="n"/>
      <c r="F16" s="12" t="n"/>
      <c r="G16" s="12" t="n"/>
      <c r="H16" s="12" t="n"/>
    </row>
    <row r="17" ht="15.75" customHeight="1" s="322">
      <c r="A17" s="12" t="n"/>
      <c r="B17" s="12" t="n"/>
      <c r="C17" s="12" t="n"/>
      <c r="D17" s="12" t="n"/>
      <c r="E17" s="12" t="n"/>
      <c r="F17" s="12" t="n"/>
      <c r="G17" s="12" t="n"/>
      <c r="H17" s="12" t="n"/>
    </row>
    <row r="18" ht="15.75" customHeight="1" s="322">
      <c r="A18" s="12" t="n"/>
      <c r="B18" s="127">
        <f>IF(ISBLANK(B5),"",B5&amp;":")&amp;B4</f>
        <v/>
      </c>
      <c r="C18" s="12" t="n"/>
      <c r="D18" s="12" t="n"/>
      <c r="E18" s="12" t="n"/>
      <c r="F18" s="12" t="n"/>
      <c r="G18" s="12" t="n"/>
      <c r="H18" s="12" t="n"/>
    </row>
    <row r="19" ht="15.75" customHeight="1" s="322">
      <c r="A19" s="12" t="n"/>
      <c r="B19" s="12" t="n"/>
      <c r="C19" s="12" t="n"/>
      <c r="D19" s="12" t="n"/>
      <c r="E19" s="12" t="n"/>
      <c r="F19" s="12" t="n"/>
      <c r="G19" s="12" t="n"/>
      <c r="H19" s="12" t="n"/>
    </row>
    <row r="20" ht="15.75" customHeight="1" s="322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1" ht="15.75" customHeight="1" s="322">
      <c r="A21" s="12" t="n"/>
      <c r="B21" s="12" t="n"/>
      <c r="C21" s="12" t="n"/>
      <c r="D21" s="12" t="n"/>
      <c r="E21" s="12" t="n"/>
      <c r="F21" s="12" t="n"/>
      <c r="G21" s="12" t="n"/>
      <c r="H21" s="12" t="n"/>
    </row>
    <row r="22" ht="15.75" customHeight="1" s="322">
      <c r="A22" s="12" t="n"/>
      <c r="B22" s="12" t="n"/>
      <c r="C22" s="12" t="n"/>
      <c r="D22" s="12" t="n"/>
      <c r="E22" s="12" t="n"/>
      <c r="F22" s="12" t="n"/>
      <c r="G22" s="12" t="n"/>
      <c r="H22" s="12" t="n"/>
    </row>
    <row r="23" ht="15.75" customHeight="1" s="322">
      <c r="A23" s="12" t="n"/>
      <c r="B23" s="12" t="n"/>
      <c r="C23" s="12" t="n"/>
      <c r="D23" s="12" t="n"/>
      <c r="E23" s="12" t="n"/>
      <c r="F23" s="12" t="n"/>
      <c r="G23" s="12" t="n"/>
      <c r="H23" s="12" t="n"/>
    </row>
    <row r="24" ht="15.75" customHeight="1" s="322">
      <c r="A24" s="12" t="n"/>
      <c r="B24" s="12" t="n"/>
      <c r="C24" s="12" t="n"/>
      <c r="D24" s="12" t="n"/>
      <c r="E24" s="12" t="n"/>
      <c r="F24" s="12" t="n"/>
      <c r="G24" s="12" t="n"/>
      <c r="H24" s="12" t="n"/>
    </row>
    <row r="25" ht="15.75" customHeight="1" s="322">
      <c r="A25" s="12" t="n"/>
      <c r="B25" s="12" t="n"/>
      <c r="C25" s="12" t="n"/>
      <c r="D25" s="12" t="n"/>
      <c r="E25" s="12" t="n"/>
      <c r="F25" s="12" t="n"/>
      <c r="G25" s="12" t="n"/>
      <c r="H25" s="12" t="n"/>
    </row>
    <row r="26" ht="15.75" customHeight="1" s="322">
      <c r="A26" s="12" t="n"/>
      <c r="B26" s="12" t="n"/>
      <c r="C26" s="12" t="n"/>
      <c r="D26" s="12" t="n"/>
      <c r="E26" s="12" t="n"/>
      <c r="F26" s="12" t="n"/>
      <c r="G26" s="12" t="n"/>
      <c r="H26" s="12" t="n"/>
    </row>
    <row r="27" ht="15.75" customHeight="1" s="322">
      <c r="A27" s="133" t="n"/>
      <c r="B27" s="136">
        <f>IFERROR(__xludf.DUMMYFUNCTION("GOOGLEFINANCE(B18, ""all"", EDATE(TODAY(), -LEFT(G15, FIND("" "", G15))), TODAY(), ""DAILY"")"),"Date")</f>
        <v/>
      </c>
      <c r="C27" s="137">
        <f>IFERROR(__xludf.DUMMYFUNCTION("""COMPUTED_VALUE"""),"Open")</f>
        <v/>
      </c>
      <c r="D27" s="137">
        <f>IFERROR(__xludf.DUMMYFUNCTION("""COMPUTED_VALUE"""),"High")</f>
        <v/>
      </c>
      <c r="E27" s="137">
        <f>IFERROR(__xludf.DUMMYFUNCTION("""COMPUTED_VALUE"""),"Low")</f>
        <v/>
      </c>
      <c r="F27" s="137">
        <f>IFERROR(__xludf.DUMMYFUNCTION("""COMPUTED_VALUE"""),"Close")</f>
        <v/>
      </c>
      <c r="G27" s="137">
        <f>IFERROR(__xludf.DUMMYFUNCTION("""COMPUTED_VALUE"""),"Volume")</f>
        <v/>
      </c>
      <c r="H27" s="133" t="n"/>
    </row>
    <row r="28" ht="17.25" customHeight="1" s="322">
      <c r="A28" s="27" t="n"/>
      <c r="B28" s="506">
        <f>IFERROR(__xludf.DUMMYFUNCTION("""COMPUTED_VALUE"""),45868.6666666666)</f>
        <v/>
      </c>
      <c r="C28" s="141">
        <f>IFERROR(__xludf.DUMMYFUNCTION("""COMPUTED_VALUE"""),74.3)</f>
        <v/>
      </c>
      <c r="D28" s="141">
        <f>IFERROR(__xludf.DUMMYFUNCTION("""COMPUTED_VALUE"""),74.46)</f>
        <v/>
      </c>
      <c r="E28" s="141">
        <f>IFERROR(__xludf.DUMMYFUNCTION("""COMPUTED_VALUE"""),73.72)</f>
        <v/>
      </c>
      <c r="F28" s="141">
        <f>IFERROR(__xludf.DUMMYFUNCTION("""COMPUTED_VALUE"""),73.98)</f>
        <v/>
      </c>
      <c r="G28" s="143">
        <f>IFERROR(__xludf.DUMMYFUNCTION("""COMPUTED_VALUE"""),7624858)</f>
        <v/>
      </c>
      <c r="H28" s="27" t="n"/>
    </row>
    <row r="29" ht="17.25" customHeight="1" s="322">
      <c r="A29" s="27" t="n"/>
      <c r="B29" s="506">
        <f>IFERROR(__xludf.DUMMYFUNCTION("""COMPUTED_VALUE"""),45869.6666666666)</f>
        <v/>
      </c>
      <c r="C29" s="141">
        <f>IFERROR(__xludf.DUMMYFUNCTION("""COMPUTED_VALUE"""),74.25)</f>
        <v/>
      </c>
      <c r="D29" s="141">
        <f>IFERROR(__xludf.DUMMYFUNCTION("""COMPUTED_VALUE"""),74.26)</f>
        <v/>
      </c>
      <c r="E29" s="141">
        <f>IFERROR(__xludf.DUMMYFUNCTION("""COMPUTED_VALUE"""),73.34)</f>
        <v/>
      </c>
      <c r="F29" s="141">
        <f>IFERROR(__xludf.DUMMYFUNCTION("""COMPUTED_VALUE"""),73.62)</f>
        <v/>
      </c>
      <c r="G29" s="143">
        <f>IFERROR(__xludf.DUMMYFUNCTION("""COMPUTED_VALUE"""),8368163)</f>
        <v/>
      </c>
      <c r="H29" s="27" t="n"/>
    </row>
    <row r="30" ht="17.25" customHeight="1" s="322">
      <c r="A30" s="27" t="n"/>
      <c r="B30" s="506">
        <f>IFERROR(__xludf.DUMMYFUNCTION("""COMPUTED_VALUE"""),45870.6666666666)</f>
        <v/>
      </c>
      <c r="C30" s="141">
        <f>IFERROR(__xludf.DUMMYFUNCTION("""COMPUTED_VALUE"""),74.1)</f>
        <v/>
      </c>
      <c r="D30" s="141">
        <f>IFERROR(__xludf.DUMMYFUNCTION("""COMPUTED_VALUE"""),74.15)</f>
        <v/>
      </c>
      <c r="E30" s="141">
        <f>IFERROR(__xludf.DUMMYFUNCTION("""COMPUTED_VALUE"""),73.42)</f>
        <v/>
      </c>
      <c r="F30" s="141">
        <f>IFERROR(__xludf.DUMMYFUNCTION("""COMPUTED_VALUE"""),74.07)</f>
        <v/>
      </c>
      <c r="G30" s="143">
        <f>IFERROR(__xludf.DUMMYFUNCTION("""COMPUTED_VALUE"""),7790785)</f>
        <v/>
      </c>
      <c r="H30" s="27" t="n"/>
    </row>
    <row r="31" ht="17.25" customHeight="1" s="322">
      <c r="A31" s="27" t="n"/>
      <c r="B31" s="506">
        <f>IFERROR(__xludf.DUMMYFUNCTION("""COMPUTED_VALUE"""),45873.6666666666)</f>
        <v/>
      </c>
      <c r="C31" s="141">
        <f>IFERROR(__xludf.DUMMYFUNCTION("""COMPUTED_VALUE"""),74.8)</f>
        <v/>
      </c>
      <c r="D31" s="141">
        <f>IFERROR(__xludf.DUMMYFUNCTION("""COMPUTED_VALUE"""),75.34)</f>
        <v/>
      </c>
      <c r="E31" s="141">
        <f>IFERROR(__xludf.DUMMYFUNCTION("""COMPUTED_VALUE"""),74.8)</f>
        <v/>
      </c>
      <c r="F31" s="141">
        <f>IFERROR(__xludf.DUMMYFUNCTION("""COMPUTED_VALUE"""),75.29)</f>
        <v/>
      </c>
      <c r="G31" s="143">
        <f>IFERROR(__xludf.DUMMYFUNCTION("""COMPUTED_VALUE"""),5963559)</f>
        <v/>
      </c>
      <c r="H31" s="27" t="n"/>
    </row>
    <row r="32" ht="17.25" customHeight="1" s="322">
      <c r="A32" s="27" t="n"/>
      <c r="B32" s="506">
        <f>IFERROR(__xludf.DUMMYFUNCTION("""COMPUTED_VALUE"""),45874.6666666666)</f>
        <v/>
      </c>
      <c r="C32" s="141">
        <f>IFERROR(__xludf.DUMMYFUNCTION("""COMPUTED_VALUE"""),75.15)</f>
        <v/>
      </c>
      <c r="D32" s="141">
        <f>IFERROR(__xludf.DUMMYFUNCTION("""COMPUTED_VALUE"""),75.22)</f>
        <v/>
      </c>
      <c r="E32" s="141">
        <f>IFERROR(__xludf.DUMMYFUNCTION("""COMPUTED_VALUE"""),74.8)</f>
        <v/>
      </c>
      <c r="F32" s="141">
        <f>IFERROR(__xludf.DUMMYFUNCTION("""COMPUTED_VALUE"""),75.03)</f>
        <v/>
      </c>
      <c r="G32" s="143">
        <f>IFERROR(__xludf.DUMMYFUNCTION("""COMPUTED_VALUE"""),4310036)</f>
        <v/>
      </c>
      <c r="H32" s="27" t="n"/>
    </row>
    <row r="33" ht="17.25" customHeight="1" s="322">
      <c r="A33" s="27" t="n"/>
      <c r="B33" s="506">
        <f>IFERROR(__xludf.DUMMYFUNCTION("""COMPUTED_VALUE"""),45875.6666666666)</f>
        <v/>
      </c>
      <c r="C33" s="141">
        <f>IFERROR(__xludf.DUMMYFUNCTION("""COMPUTED_VALUE"""),75.77)</f>
        <v/>
      </c>
      <c r="D33" s="141">
        <f>IFERROR(__xludf.DUMMYFUNCTION("""COMPUTED_VALUE"""),76.19)</f>
        <v/>
      </c>
      <c r="E33" s="141">
        <f>IFERROR(__xludf.DUMMYFUNCTION("""COMPUTED_VALUE"""),75.52)</f>
        <v/>
      </c>
      <c r="F33" s="141">
        <f>IFERROR(__xludf.DUMMYFUNCTION("""COMPUTED_VALUE"""),76.03)</f>
        <v/>
      </c>
      <c r="G33" s="143">
        <f>IFERROR(__xludf.DUMMYFUNCTION("""COMPUTED_VALUE"""),5501593)</f>
        <v/>
      </c>
      <c r="H33" s="27" t="n"/>
    </row>
    <row r="34" ht="17.25" customHeight="1" s="322">
      <c r="A34" s="27" t="n"/>
      <c r="B34" s="506">
        <f>IFERROR(__xludf.DUMMYFUNCTION("""COMPUTED_VALUE"""),45876.6666666666)</f>
        <v/>
      </c>
      <c r="C34" s="141">
        <f>IFERROR(__xludf.DUMMYFUNCTION("""COMPUTED_VALUE"""),76.96)</f>
        <v/>
      </c>
      <c r="D34" s="141">
        <f>IFERROR(__xludf.DUMMYFUNCTION("""COMPUTED_VALUE"""),77.02)</f>
        <v/>
      </c>
      <c r="E34" s="141">
        <f>IFERROR(__xludf.DUMMYFUNCTION("""COMPUTED_VALUE"""),76.33)</f>
        <v/>
      </c>
      <c r="F34" s="141">
        <f>IFERROR(__xludf.DUMMYFUNCTION("""COMPUTED_VALUE"""),76.62)</f>
        <v/>
      </c>
      <c r="G34" s="143">
        <f>IFERROR(__xludf.DUMMYFUNCTION("""COMPUTED_VALUE"""),5575650)</f>
        <v/>
      </c>
      <c r="H34" s="27" t="n"/>
    </row>
    <row r="35" ht="17.25" customHeight="1" s="322">
      <c r="A35" s="27" t="n"/>
      <c r="B35" s="506">
        <f>IFERROR(__xludf.DUMMYFUNCTION("""COMPUTED_VALUE"""),45877.6666666666)</f>
        <v/>
      </c>
      <c r="C35" s="141">
        <f>IFERROR(__xludf.DUMMYFUNCTION("""COMPUTED_VALUE"""),77.7)</f>
        <v/>
      </c>
      <c r="D35" s="141">
        <f>IFERROR(__xludf.DUMMYFUNCTION("""COMPUTED_VALUE"""),78.13)</f>
        <v/>
      </c>
      <c r="E35" s="141">
        <f>IFERROR(__xludf.DUMMYFUNCTION("""COMPUTED_VALUE"""),77.63)</f>
        <v/>
      </c>
      <c r="F35" s="141">
        <f>IFERROR(__xludf.DUMMYFUNCTION("""COMPUTED_VALUE"""),77.93)</f>
        <v/>
      </c>
      <c r="G35" s="143">
        <f>IFERROR(__xludf.DUMMYFUNCTION("""COMPUTED_VALUE"""),7746951)</f>
        <v/>
      </c>
      <c r="H35" s="27" t="n"/>
    </row>
    <row r="36" ht="17.25" customHeight="1" s="322">
      <c r="A36" s="27" t="n"/>
      <c r="B36" s="506">
        <f>IFERROR(__xludf.DUMMYFUNCTION("""COMPUTED_VALUE"""),45880.6666666666)</f>
        <v/>
      </c>
      <c r="C36" s="141">
        <f>IFERROR(__xludf.DUMMYFUNCTION("""COMPUTED_VALUE"""),77.99)</f>
        <v/>
      </c>
      <c r="D36" s="141">
        <f>IFERROR(__xludf.DUMMYFUNCTION("""COMPUTED_VALUE"""),78.11)</f>
        <v/>
      </c>
      <c r="E36" s="141">
        <f>IFERROR(__xludf.DUMMYFUNCTION("""COMPUTED_VALUE"""),77.72)</f>
        <v/>
      </c>
      <c r="F36" s="141">
        <f>IFERROR(__xludf.DUMMYFUNCTION("""COMPUTED_VALUE"""),77.79)</f>
        <v/>
      </c>
      <c r="G36" s="143">
        <f>IFERROR(__xludf.DUMMYFUNCTION("""COMPUTED_VALUE"""),3296457)</f>
        <v/>
      </c>
      <c r="H36" s="27" t="n"/>
    </row>
    <row r="37" ht="17.25" customHeight="1" s="322">
      <c r="A37" s="27" t="n"/>
      <c r="B37" s="506">
        <f>IFERROR(__xludf.DUMMYFUNCTION("""COMPUTED_VALUE"""),45881.6666666666)</f>
        <v/>
      </c>
      <c r="C37" s="141">
        <f>IFERROR(__xludf.DUMMYFUNCTION("""COMPUTED_VALUE"""),78.69)</f>
        <v/>
      </c>
      <c r="D37" s="141">
        <f>IFERROR(__xludf.DUMMYFUNCTION("""COMPUTED_VALUE"""),79.34)</f>
        <v/>
      </c>
      <c r="E37" s="141">
        <f>IFERROR(__xludf.DUMMYFUNCTION("""COMPUTED_VALUE"""),78.55)</f>
        <v/>
      </c>
      <c r="F37" s="141">
        <f>IFERROR(__xludf.DUMMYFUNCTION("""COMPUTED_VALUE"""),79.23)</f>
        <v/>
      </c>
      <c r="G37" s="143">
        <f>IFERROR(__xludf.DUMMYFUNCTION("""COMPUTED_VALUE"""),8737725)</f>
        <v/>
      </c>
      <c r="H37" s="27" t="n"/>
    </row>
    <row r="38" ht="17.25" customHeight="1" s="322">
      <c r="A38" s="27" t="n"/>
      <c r="B38" s="506">
        <f>IFERROR(__xludf.DUMMYFUNCTION("""COMPUTED_VALUE"""),45882.6666666666)</f>
        <v/>
      </c>
      <c r="C38" s="141">
        <f>IFERROR(__xludf.DUMMYFUNCTION("""COMPUTED_VALUE"""),79.33)</f>
        <v/>
      </c>
      <c r="D38" s="141">
        <f>IFERROR(__xludf.DUMMYFUNCTION("""COMPUTED_VALUE"""),79.44)</f>
        <v/>
      </c>
      <c r="E38" s="141">
        <f>IFERROR(__xludf.DUMMYFUNCTION("""COMPUTED_VALUE"""),79.17)</f>
        <v/>
      </c>
      <c r="F38" s="141">
        <f>IFERROR(__xludf.DUMMYFUNCTION("""COMPUTED_VALUE"""),79.27)</f>
        <v/>
      </c>
      <c r="G38" s="143">
        <f>IFERROR(__xludf.DUMMYFUNCTION("""COMPUTED_VALUE"""),5795622)</f>
        <v/>
      </c>
      <c r="H38" s="27" t="n"/>
    </row>
    <row r="39" ht="17.25" customHeight="1" s="322">
      <c r="A39" s="27" t="n"/>
      <c r="B39" s="506">
        <f>IFERROR(__xludf.DUMMYFUNCTION("""COMPUTED_VALUE"""),45883.6666666666)</f>
        <v/>
      </c>
      <c r="C39" s="141">
        <f>IFERROR(__xludf.DUMMYFUNCTION("""COMPUTED_VALUE"""),78.72)</f>
        <v/>
      </c>
      <c r="D39" s="141">
        <f>IFERROR(__xludf.DUMMYFUNCTION("""COMPUTED_VALUE"""),79.02)</f>
        <v/>
      </c>
      <c r="E39" s="141">
        <f>IFERROR(__xludf.DUMMYFUNCTION("""COMPUTED_VALUE"""),78.59)</f>
        <v/>
      </c>
      <c r="F39" s="141">
        <f>IFERROR(__xludf.DUMMYFUNCTION("""COMPUTED_VALUE"""),78.8)</f>
        <v/>
      </c>
      <c r="G39" s="143">
        <f>IFERROR(__xludf.DUMMYFUNCTION("""COMPUTED_VALUE"""),4498868)</f>
        <v/>
      </c>
      <c r="H39" s="27" t="n"/>
    </row>
    <row r="40" ht="17.25" customHeight="1" s="322">
      <c r="A40" s="27" t="n"/>
      <c r="B40" s="506">
        <f>IFERROR(__xludf.DUMMYFUNCTION("""COMPUTED_VALUE"""),45884.6666666666)</f>
        <v/>
      </c>
      <c r="C40" s="141">
        <f>IFERROR(__xludf.DUMMYFUNCTION("""COMPUTED_VALUE"""),80.38)</f>
        <v/>
      </c>
      <c r="D40" s="141">
        <f>IFERROR(__xludf.DUMMYFUNCTION("""COMPUTED_VALUE"""),80.38)</f>
        <v/>
      </c>
      <c r="E40" s="141">
        <f>IFERROR(__xludf.DUMMYFUNCTION("""COMPUTED_VALUE"""),80.04)</f>
        <v/>
      </c>
      <c r="F40" s="141">
        <f>IFERROR(__xludf.DUMMYFUNCTION("""COMPUTED_VALUE"""),80.15)</f>
        <v/>
      </c>
      <c r="G40" s="143">
        <f>IFERROR(__xludf.DUMMYFUNCTION("""COMPUTED_VALUE"""),5581968)</f>
        <v/>
      </c>
      <c r="H40" s="27" t="n"/>
    </row>
    <row r="41" ht="17.25" customHeight="1" s="322">
      <c r="A41" s="27" t="n"/>
      <c r="B41" s="506">
        <f>IFERROR(__xludf.DUMMYFUNCTION("""COMPUTED_VALUE"""),45887.6666666666)</f>
        <v/>
      </c>
      <c r="C41" s="141">
        <f>IFERROR(__xludf.DUMMYFUNCTION("""COMPUTED_VALUE"""),80.3)</f>
        <v/>
      </c>
      <c r="D41" s="141">
        <f>IFERROR(__xludf.DUMMYFUNCTION("""COMPUTED_VALUE"""),80.45)</f>
        <v/>
      </c>
      <c r="E41" s="141">
        <f>IFERROR(__xludf.DUMMYFUNCTION("""COMPUTED_VALUE"""),80.19)</f>
        <v/>
      </c>
      <c r="F41" s="141">
        <f>IFERROR(__xludf.DUMMYFUNCTION("""COMPUTED_VALUE"""),80.3)</f>
        <v/>
      </c>
      <c r="G41" s="143">
        <f>IFERROR(__xludf.DUMMYFUNCTION("""COMPUTED_VALUE"""),3725727)</f>
        <v/>
      </c>
      <c r="H41" s="27" t="n"/>
    </row>
    <row r="42" ht="17.25" customHeight="1" s="322">
      <c r="A42" s="27" t="n"/>
      <c r="B42" s="506">
        <f>IFERROR(__xludf.DUMMYFUNCTION("""COMPUTED_VALUE"""),45888.6666666666)</f>
        <v/>
      </c>
      <c r="C42" s="141">
        <f>IFERROR(__xludf.DUMMYFUNCTION("""COMPUTED_VALUE"""),80.24)</f>
        <v/>
      </c>
      <c r="D42" s="141">
        <f>IFERROR(__xludf.DUMMYFUNCTION("""COMPUTED_VALUE"""),80.33)</f>
        <v/>
      </c>
      <c r="E42" s="141">
        <f>IFERROR(__xludf.DUMMYFUNCTION("""COMPUTED_VALUE"""),79.9)</f>
        <v/>
      </c>
      <c r="F42" s="141">
        <f>IFERROR(__xludf.DUMMYFUNCTION("""COMPUTED_VALUE"""),80.02)</f>
        <v/>
      </c>
      <c r="G42" s="143">
        <f>IFERROR(__xludf.DUMMYFUNCTION("""COMPUTED_VALUE"""),5465035)</f>
        <v/>
      </c>
      <c r="H42" s="27" t="n"/>
    </row>
    <row r="43" ht="17.25" customHeight="1" s="322">
      <c r="A43" s="27" t="n"/>
      <c r="B43" s="506">
        <f>IFERROR(__xludf.DUMMYFUNCTION("""COMPUTED_VALUE"""),45889.6666666666)</f>
        <v/>
      </c>
      <c r="C43" s="141">
        <f>IFERROR(__xludf.DUMMYFUNCTION("""COMPUTED_VALUE"""),79.67)</f>
        <v/>
      </c>
      <c r="D43" s="141">
        <f>IFERROR(__xludf.DUMMYFUNCTION("""COMPUTED_VALUE"""),79.73)</f>
        <v/>
      </c>
      <c r="E43" s="141">
        <f>IFERROR(__xludf.DUMMYFUNCTION("""COMPUTED_VALUE"""),79.35)</f>
        <v/>
      </c>
      <c r="F43" s="141">
        <f>IFERROR(__xludf.DUMMYFUNCTION("""COMPUTED_VALUE"""),79.64)</f>
        <v/>
      </c>
      <c r="G43" s="143">
        <f>IFERROR(__xludf.DUMMYFUNCTION("""COMPUTED_VALUE"""),5201941)</f>
        <v/>
      </c>
      <c r="H43" s="27" t="n"/>
    </row>
    <row r="44" ht="17.25" customHeight="1" s="322">
      <c r="A44" s="27" t="n"/>
      <c r="B44" s="506">
        <f>IFERROR(__xludf.DUMMYFUNCTION("""COMPUTED_VALUE"""),45890.6666666666)</f>
        <v/>
      </c>
      <c r="C44" s="141">
        <f>IFERROR(__xludf.DUMMYFUNCTION("""COMPUTED_VALUE"""),78.93)</f>
        <v/>
      </c>
      <c r="D44" s="141">
        <f>IFERROR(__xludf.DUMMYFUNCTION("""COMPUTED_VALUE"""),79.04)</f>
        <v/>
      </c>
      <c r="E44" s="141">
        <f>IFERROR(__xludf.DUMMYFUNCTION("""COMPUTED_VALUE"""),78.63)</f>
        <v/>
      </c>
      <c r="F44" s="141">
        <f>IFERROR(__xludf.DUMMYFUNCTION("""COMPUTED_VALUE"""),78.7)</f>
        <v/>
      </c>
      <c r="G44" s="143">
        <f>IFERROR(__xludf.DUMMYFUNCTION("""COMPUTED_VALUE"""),6606198)</f>
        <v/>
      </c>
      <c r="H44" s="27" t="n"/>
    </row>
    <row r="45" ht="17.25" customHeight="1" s="322">
      <c r="A45" s="27" t="n"/>
      <c r="B45" s="506">
        <f>IFERROR(__xludf.DUMMYFUNCTION("""COMPUTED_VALUE"""),45891.6666666666)</f>
        <v/>
      </c>
      <c r="C45" s="141">
        <f>IFERROR(__xludf.DUMMYFUNCTION("""COMPUTED_VALUE"""),78.97)</f>
        <v/>
      </c>
      <c r="D45" s="141">
        <f>IFERROR(__xludf.DUMMYFUNCTION("""COMPUTED_VALUE"""),80.25)</f>
        <v/>
      </c>
      <c r="E45" s="141">
        <f>IFERROR(__xludf.DUMMYFUNCTION("""COMPUTED_VALUE"""),78.97)</f>
        <v/>
      </c>
      <c r="F45" s="141">
        <f>IFERROR(__xludf.DUMMYFUNCTION("""COMPUTED_VALUE"""),80.02)</f>
        <v/>
      </c>
      <c r="G45" s="143">
        <f>IFERROR(__xludf.DUMMYFUNCTION("""COMPUTED_VALUE"""),5437296)</f>
        <v/>
      </c>
      <c r="H45" s="27" t="n"/>
    </row>
    <row r="46" ht="17.25" customHeight="1" s="322">
      <c r="A46" s="27" t="n"/>
      <c r="B46" s="506">
        <f>IFERROR(__xludf.DUMMYFUNCTION("""COMPUTED_VALUE"""),45894.6666666666)</f>
        <v/>
      </c>
      <c r="C46" s="141">
        <f>IFERROR(__xludf.DUMMYFUNCTION("""COMPUTED_VALUE"""),79.41)</f>
        <v/>
      </c>
      <c r="D46" s="141">
        <f>IFERROR(__xludf.DUMMYFUNCTION("""COMPUTED_VALUE"""),79.57)</f>
        <v/>
      </c>
      <c r="E46" s="141">
        <f>IFERROR(__xludf.DUMMYFUNCTION("""COMPUTED_VALUE"""),79.04)</f>
        <v/>
      </c>
      <c r="F46" s="141">
        <f>IFERROR(__xludf.DUMMYFUNCTION("""COMPUTED_VALUE"""),79.05)</f>
        <v/>
      </c>
      <c r="G46" s="143">
        <f>IFERROR(__xludf.DUMMYFUNCTION("""COMPUTED_VALUE"""),5422143)</f>
        <v/>
      </c>
      <c r="H46" s="27" t="n"/>
    </row>
    <row r="47" ht="17.25" customHeight="1" s="322">
      <c r="A47" s="27" t="n"/>
      <c r="B47" s="506">
        <f>IFERROR(__xludf.DUMMYFUNCTION("""COMPUTED_VALUE"""),45895.6666666666)</f>
        <v/>
      </c>
      <c r="C47" s="141">
        <f>IFERROR(__xludf.DUMMYFUNCTION("""COMPUTED_VALUE"""),78.52)</f>
        <v/>
      </c>
      <c r="D47" s="141">
        <f>IFERROR(__xludf.DUMMYFUNCTION("""COMPUTED_VALUE"""),78.94)</f>
        <v/>
      </c>
      <c r="E47" s="141">
        <f>IFERROR(__xludf.DUMMYFUNCTION("""COMPUTED_VALUE"""),78.51)</f>
        <v/>
      </c>
      <c r="F47" s="141">
        <f>IFERROR(__xludf.DUMMYFUNCTION("""COMPUTED_VALUE"""),78.92)</f>
        <v/>
      </c>
      <c r="G47" s="143">
        <f>IFERROR(__xludf.DUMMYFUNCTION("""COMPUTED_VALUE"""),2945564)</f>
        <v/>
      </c>
      <c r="H47" s="27" t="n"/>
    </row>
    <row r="48" ht="17.25" customHeight="1" s="322">
      <c r="A48" s="27" t="n"/>
      <c r="B48" s="506">
        <f>IFERROR(__xludf.DUMMYFUNCTION("""COMPUTED_VALUE"""),45896.6666666666)</f>
        <v/>
      </c>
      <c r="C48" s="141">
        <f>IFERROR(__xludf.DUMMYFUNCTION("""COMPUTED_VALUE"""),78.1)</f>
        <v/>
      </c>
      <c r="D48" s="141">
        <f>IFERROR(__xludf.DUMMYFUNCTION("""COMPUTED_VALUE"""),78.68)</f>
        <v/>
      </c>
      <c r="E48" s="141">
        <f>IFERROR(__xludf.DUMMYFUNCTION("""COMPUTED_VALUE"""),78.06)</f>
        <v/>
      </c>
      <c r="F48" s="141">
        <f>IFERROR(__xludf.DUMMYFUNCTION("""COMPUTED_VALUE"""),78.63)</f>
        <v/>
      </c>
      <c r="G48" s="143">
        <f>IFERROR(__xludf.DUMMYFUNCTION("""COMPUTED_VALUE"""),3481756)</f>
        <v/>
      </c>
      <c r="H48" s="27" t="n"/>
    </row>
    <row r="49" ht="17.25" customHeight="1" s="322">
      <c r="A49" s="27" t="n"/>
      <c r="B49" s="506">
        <f>IFERROR(__xludf.DUMMYFUNCTION("""COMPUTED_VALUE"""),45897.6666666666)</f>
        <v/>
      </c>
      <c r="C49" s="141">
        <f>IFERROR(__xludf.DUMMYFUNCTION("""COMPUTED_VALUE"""),79.31)</f>
        <v/>
      </c>
      <c r="D49" s="141">
        <f>IFERROR(__xludf.DUMMYFUNCTION("""COMPUTED_VALUE"""),79.51)</f>
        <v/>
      </c>
      <c r="E49" s="141">
        <f>IFERROR(__xludf.DUMMYFUNCTION("""COMPUTED_VALUE"""),79.24)</f>
        <v/>
      </c>
      <c r="F49" s="141">
        <f>IFERROR(__xludf.DUMMYFUNCTION("""COMPUTED_VALUE"""),79.29)</f>
        <v/>
      </c>
      <c r="G49" s="143">
        <f>IFERROR(__xludf.DUMMYFUNCTION("""COMPUTED_VALUE"""),5493560)</f>
        <v/>
      </c>
      <c r="H49" s="27" t="n"/>
    </row>
    <row r="50" ht="17.25" customHeight="1" s="322">
      <c r="A50" s="27" t="n"/>
      <c r="B50" s="506">
        <f>IFERROR(__xludf.DUMMYFUNCTION("""COMPUTED_VALUE"""),45898.6666666666)</f>
        <v/>
      </c>
      <c r="C50" s="141">
        <f>IFERROR(__xludf.DUMMYFUNCTION("""COMPUTED_VALUE"""),78.4)</f>
        <v/>
      </c>
      <c r="D50" s="141">
        <f>IFERROR(__xludf.DUMMYFUNCTION("""COMPUTED_VALUE"""),78.46)</f>
        <v/>
      </c>
      <c r="E50" s="141">
        <f>IFERROR(__xludf.DUMMYFUNCTION("""COMPUTED_VALUE"""),78.1)</f>
        <v/>
      </c>
      <c r="F50" s="141">
        <f>IFERROR(__xludf.DUMMYFUNCTION("""COMPUTED_VALUE"""),78.28)</f>
        <v/>
      </c>
      <c r="G50" s="143">
        <f>IFERROR(__xludf.DUMMYFUNCTION("""COMPUTED_VALUE"""),6054033)</f>
        <v/>
      </c>
      <c r="H50" s="27" t="n"/>
    </row>
    <row r="51" ht="17.25" customHeight="1" s="322">
      <c r="A51" s="27" t="n"/>
      <c r="B51" s="506">
        <f>IFERROR(__xludf.DUMMYFUNCTION("""COMPUTED_VALUE"""),45902.6666666666)</f>
        <v/>
      </c>
      <c r="C51" s="141">
        <f>IFERROR(__xludf.DUMMYFUNCTION("""COMPUTED_VALUE"""),77.59)</f>
        <v/>
      </c>
      <c r="D51" s="141">
        <f>IFERROR(__xludf.DUMMYFUNCTION("""COMPUTED_VALUE"""),78.18)</f>
        <v/>
      </c>
      <c r="E51" s="141">
        <f>IFERROR(__xludf.DUMMYFUNCTION("""COMPUTED_VALUE"""),77.38)</f>
        <v/>
      </c>
      <c r="F51" s="141">
        <f>IFERROR(__xludf.DUMMYFUNCTION("""COMPUTED_VALUE"""),78.15)</f>
        <v/>
      </c>
      <c r="G51" s="143">
        <f>IFERROR(__xludf.DUMMYFUNCTION("""COMPUTED_VALUE"""),5760944)</f>
        <v/>
      </c>
      <c r="H51" s="27" t="n"/>
    </row>
    <row r="52" ht="17.25" customHeight="1" s="322">
      <c r="A52" s="27" t="n"/>
      <c r="B52" s="506">
        <f>IFERROR(__xludf.DUMMYFUNCTION("""COMPUTED_VALUE"""),45903.6666666666)</f>
        <v/>
      </c>
      <c r="C52" s="141">
        <f>IFERROR(__xludf.DUMMYFUNCTION("""COMPUTED_VALUE"""),77.62)</f>
        <v/>
      </c>
      <c r="D52" s="141">
        <f>IFERROR(__xludf.DUMMYFUNCTION("""COMPUTED_VALUE"""),77.93)</f>
        <v/>
      </c>
      <c r="E52" s="141">
        <f>IFERROR(__xludf.DUMMYFUNCTION("""COMPUTED_VALUE"""),77.6)</f>
        <v/>
      </c>
      <c r="F52" s="141">
        <f>IFERROR(__xludf.DUMMYFUNCTION("""COMPUTED_VALUE"""),77.93)</f>
        <v/>
      </c>
      <c r="G52" s="143">
        <f>IFERROR(__xludf.DUMMYFUNCTION("""COMPUTED_VALUE"""),5068256)</f>
        <v/>
      </c>
      <c r="H52" s="27" t="n"/>
    </row>
    <row r="53" ht="17.25" customHeight="1" s="322">
      <c r="A53" s="27" t="n"/>
      <c r="B53" s="506">
        <f>IFERROR(__xludf.DUMMYFUNCTION("""COMPUTED_VALUE"""),45904.6666666666)</f>
        <v/>
      </c>
      <c r="C53" s="141">
        <f>IFERROR(__xludf.DUMMYFUNCTION("""COMPUTED_VALUE"""),78.17)</f>
        <v/>
      </c>
      <c r="D53" s="141">
        <f>IFERROR(__xludf.DUMMYFUNCTION("""COMPUTED_VALUE"""),78.74)</f>
        <v/>
      </c>
      <c r="E53" s="141">
        <f>IFERROR(__xludf.DUMMYFUNCTION("""COMPUTED_VALUE"""),78.14)</f>
        <v/>
      </c>
      <c r="F53" s="141">
        <f>IFERROR(__xludf.DUMMYFUNCTION("""COMPUTED_VALUE"""),78.73)</f>
        <v/>
      </c>
      <c r="G53" s="143">
        <f>IFERROR(__xludf.DUMMYFUNCTION("""COMPUTED_VALUE"""),3655291)</f>
        <v/>
      </c>
      <c r="H53" s="27" t="n"/>
    </row>
    <row r="54" ht="17.25" customHeight="1" s="322">
      <c r="A54" s="27" t="n"/>
      <c r="B54" s="506">
        <f>IFERROR(__xludf.DUMMYFUNCTION("""COMPUTED_VALUE"""),45905.6666666666)</f>
        <v/>
      </c>
      <c r="C54" s="141">
        <f>IFERROR(__xludf.DUMMYFUNCTION("""COMPUTED_VALUE"""),79.64)</f>
        <v/>
      </c>
      <c r="D54" s="141">
        <f>IFERROR(__xludf.DUMMYFUNCTION("""COMPUTED_VALUE"""),79.88)</f>
        <v/>
      </c>
      <c r="E54" s="141">
        <f>IFERROR(__xludf.DUMMYFUNCTION("""COMPUTED_VALUE"""),78.97)</f>
        <v/>
      </c>
      <c r="F54" s="141">
        <f>IFERROR(__xludf.DUMMYFUNCTION("""COMPUTED_VALUE"""),79.18)</f>
        <v/>
      </c>
      <c r="G54" s="143">
        <f>IFERROR(__xludf.DUMMYFUNCTION("""COMPUTED_VALUE"""),5648004)</f>
        <v/>
      </c>
      <c r="H54" s="27" t="n"/>
    </row>
    <row r="55" ht="17.25" customHeight="1" s="322">
      <c r="A55" s="27" t="n"/>
      <c r="B55" s="506">
        <f>IFERROR(__xludf.DUMMYFUNCTION("""COMPUTED_VALUE"""),45908.6666666666)</f>
        <v/>
      </c>
      <c r="C55" s="141">
        <f>IFERROR(__xludf.DUMMYFUNCTION("""COMPUTED_VALUE"""),80.54)</f>
        <v/>
      </c>
      <c r="D55" s="141">
        <f>IFERROR(__xludf.DUMMYFUNCTION("""COMPUTED_VALUE"""),81.02)</f>
        <v/>
      </c>
      <c r="E55" s="141">
        <f>IFERROR(__xludf.DUMMYFUNCTION("""COMPUTED_VALUE"""),80.39)</f>
        <v/>
      </c>
      <c r="F55" s="141">
        <f>IFERROR(__xludf.DUMMYFUNCTION("""COMPUTED_VALUE"""),80.96)</f>
        <v/>
      </c>
      <c r="G55" s="143">
        <f>IFERROR(__xludf.DUMMYFUNCTION("""COMPUTED_VALUE"""),6346497)</f>
        <v/>
      </c>
      <c r="H55" s="27" t="n"/>
    </row>
    <row r="56" ht="17.25" customHeight="1" s="322">
      <c r="A56" s="27" t="n"/>
      <c r="B56" s="506">
        <f>IFERROR(__xludf.DUMMYFUNCTION("""COMPUTED_VALUE"""),45909.6666666666)</f>
        <v/>
      </c>
      <c r="C56" s="141">
        <f>IFERROR(__xludf.DUMMYFUNCTION("""COMPUTED_VALUE"""),79.82)</f>
        <v/>
      </c>
      <c r="D56" s="141">
        <f>IFERROR(__xludf.DUMMYFUNCTION("""COMPUTED_VALUE"""),80.12)</f>
        <v/>
      </c>
      <c r="E56" s="141">
        <f>IFERROR(__xludf.DUMMYFUNCTION("""COMPUTED_VALUE"""),79.64)</f>
        <v/>
      </c>
      <c r="F56" s="141">
        <f>IFERROR(__xludf.DUMMYFUNCTION("""COMPUTED_VALUE"""),80.06)</f>
        <v/>
      </c>
      <c r="G56" s="143">
        <f>IFERROR(__xludf.DUMMYFUNCTION("""COMPUTED_VALUE"""),6070700)</f>
        <v/>
      </c>
      <c r="H56" s="27" t="n"/>
    </row>
    <row r="57" ht="17.25" customHeight="1" s="322">
      <c r="A57" s="27" t="n"/>
      <c r="B57" s="506">
        <f>IFERROR(__xludf.DUMMYFUNCTION("""COMPUTED_VALUE"""),45910.6666666666)</f>
        <v/>
      </c>
      <c r="C57" s="141">
        <f>IFERROR(__xludf.DUMMYFUNCTION("""COMPUTED_VALUE"""),80.61)</f>
        <v/>
      </c>
      <c r="D57" s="141">
        <f>IFERROR(__xludf.DUMMYFUNCTION("""COMPUTED_VALUE"""),80.82)</f>
        <v/>
      </c>
      <c r="E57" s="141">
        <f>IFERROR(__xludf.DUMMYFUNCTION("""COMPUTED_VALUE"""),80.32)</f>
        <v/>
      </c>
      <c r="F57" s="141">
        <f>IFERROR(__xludf.DUMMYFUNCTION("""COMPUTED_VALUE"""),80.36)</f>
        <v/>
      </c>
      <c r="G57" s="143">
        <f>IFERROR(__xludf.DUMMYFUNCTION("""COMPUTED_VALUE"""),6028108)</f>
        <v/>
      </c>
      <c r="H57" s="27" t="n"/>
    </row>
    <row r="58" ht="17.25" customHeight="1" s="322">
      <c r="A58" s="27" t="n"/>
      <c r="B58" s="506">
        <f>IFERROR(__xludf.DUMMYFUNCTION("""COMPUTED_VALUE"""),45911.6666666666)</f>
        <v/>
      </c>
      <c r="C58" s="141">
        <f>IFERROR(__xludf.DUMMYFUNCTION("""COMPUTED_VALUE"""),80.98)</f>
        <v/>
      </c>
      <c r="D58" s="141">
        <f>IFERROR(__xludf.DUMMYFUNCTION("""COMPUTED_VALUE"""),81.46)</f>
        <v/>
      </c>
      <c r="E58" s="141">
        <f>IFERROR(__xludf.DUMMYFUNCTION("""COMPUTED_VALUE"""),80.95)</f>
        <v/>
      </c>
      <c r="F58" s="141">
        <f>IFERROR(__xludf.DUMMYFUNCTION("""COMPUTED_VALUE"""),81.32)</f>
        <v/>
      </c>
      <c r="G58" s="143">
        <f>IFERROR(__xludf.DUMMYFUNCTION("""COMPUTED_VALUE"""),4782018)</f>
        <v/>
      </c>
      <c r="H58" s="27" t="n"/>
    </row>
    <row r="59" ht="17.25" customHeight="1" s="322">
      <c r="A59" s="27" t="n"/>
      <c r="B59" s="506">
        <f>IFERROR(__xludf.DUMMYFUNCTION("""COMPUTED_VALUE"""),45912.6666666666)</f>
        <v/>
      </c>
      <c r="C59" s="141">
        <f>IFERROR(__xludf.DUMMYFUNCTION("""COMPUTED_VALUE"""),80.82)</f>
        <v/>
      </c>
      <c r="D59" s="141">
        <f>IFERROR(__xludf.DUMMYFUNCTION("""COMPUTED_VALUE"""),81.01)</f>
        <v/>
      </c>
      <c r="E59" s="141">
        <f>IFERROR(__xludf.DUMMYFUNCTION("""COMPUTED_VALUE"""),80.6)</f>
        <v/>
      </c>
      <c r="F59" s="141">
        <f>IFERROR(__xludf.DUMMYFUNCTION("""COMPUTED_VALUE"""),80.76)</f>
        <v/>
      </c>
      <c r="G59" s="143">
        <f>IFERROR(__xludf.DUMMYFUNCTION("""COMPUTED_VALUE"""),5509422)</f>
        <v/>
      </c>
      <c r="H59" s="27" t="n"/>
    </row>
    <row r="60" ht="17.25" customHeight="1" s="322">
      <c r="A60" s="27" t="n"/>
      <c r="B60" s="506">
        <f>IFERROR(__xludf.DUMMYFUNCTION("""COMPUTED_VALUE"""),45915.6666666666)</f>
        <v/>
      </c>
      <c r="C60" s="141">
        <f>IFERROR(__xludf.DUMMYFUNCTION("""COMPUTED_VALUE"""),81.06)</f>
        <v/>
      </c>
      <c r="D60" s="141">
        <f>IFERROR(__xludf.DUMMYFUNCTION("""COMPUTED_VALUE"""),81.42)</f>
        <v/>
      </c>
      <c r="E60" s="141">
        <f>IFERROR(__xludf.DUMMYFUNCTION("""COMPUTED_VALUE"""),81)</f>
        <v/>
      </c>
      <c r="F60" s="141">
        <f>IFERROR(__xludf.DUMMYFUNCTION("""COMPUTED_VALUE"""),81.35)</f>
        <v/>
      </c>
      <c r="G60" s="143">
        <f>IFERROR(__xludf.DUMMYFUNCTION("""COMPUTED_VALUE"""),4639452)</f>
        <v/>
      </c>
      <c r="H60" s="27" t="n"/>
    </row>
    <row r="61" ht="17.25" customHeight="1" s="322">
      <c r="A61" s="27" t="n"/>
      <c r="B61" s="506">
        <f>IFERROR(__xludf.DUMMYFUNCTION("""COMPUTED_VALUE"""),45916.6666666666)</f>
        <v/>
      </c>
      <c r="C61" s="141">
        <f>IFERROR(__xludf.DUMMYFUNCTION("""COMPUTED_VALUE"""),81.36)</f>
        <v/>
      </c>
      <c r="D61" s="141">
        <f>IFERROR(__xludf.DUMMYFUNCTION("""COMPUTED_VALUE"""),81.44)</f>
        <v/>
      </c>
      <c r="E61" s="141">
        <f>IFERROR(__xludf.DUMMYFUNCTION("""COMPUTED_VALUE"""),81.16)</f>
        <v/>
      </c>
      <c r="F61" s="141">
        <f>IFERROR(__xludf.DUMMYFUNCTION("""COMPUTED_VALUE"""),81.35)</f>
        <v/>
      </c>
      <c r="G61" s="143">
        <f>IFERROR(__xludf.DUMMYFUNCTION("""COMPUTED_VALUE"""),4636816)</f>
        <v/>
      </c>
      <c r="H61" s="27" t="n"/>
    </row>
    <row r="62" ht="17.25" customHeight="1" s="322">
      <c r="A62" s="27" t="n"/>
      <c r="B62" s="506">
        <f>IFERROR(__xludf.DUMMYFUNCTION("""COMPUTED_VALUE"""),45917.6666666666)</f>
        <v/>
      </c>
      <c r="C62" s="141">
        <f>IFERROR(__xludf.DUMMYFUNCTION("""COMPUTED_VALUE"""),81.37)</f>
        <v/>
      </c>
      <c r="D62" s="141">
        <f>IFERROR(__xludf.DUMMYFUNCTION("""COMPUTED_VALUE"""),81.84)</f>
        <v/>
      </c>
      <c r="E62" s="141">
        <f>IFERROR(__xludf.DUMMYFUNCTION("""COMPUTED_VALUE"""),80.81)</f>
        <v/>
      </c>
      <c r="F62" s="141">
        <f>IFERROR(__xludf.DUMMYFUNCTION("""COMPUTED_VALUE"""),81.17)</f>
        <v/>
      </c>
      <c r="G62" s="143">
        <f>IFERROR(__xludf.DUMMYFUNCTION("""COMPUTED_VALUE"""),5829457)</f>
        <v/>
      </c>
      <c r="H62" s="27" t="n"/>
    </row>
    <row r="63" ht="17.25" customHeight="1" s="322">
      <c r="A63" s="27" t="n"/>
      <c r="B63" s="506">
        <f>IFERROR(__xludf.DUMMYFUNCTION("""COMPUTED_VALUE"""),45918.6666666666)</f>
        <v/>
      </c>
      <c r="C63" s="141">
        <f>IFERROR(__xludf.DUMMYFUNCTION("""COMPUTED_VALUE"""),81.29)</f>
        <v/>
      </c>
      <c r="D63" s="141">
        <f>IFERROR(__xludf.DUMMYFUNCTION("""COMPUTED_VALUE"""),81.7)</f>
        <v/>
      </c>
      <c r="E63" s="141">
        <f>IFERROR(__xludf.DUMMYFUNCTION("""COMPUTED_VALUE"""),81.11)</f>
        <v/>
      </c>
      <c r="F63" s="141">
        <f>IFERROR(__xludf.DUMMYFUNCTION("""COMPUTED_VALUE"""),81.49)</f>
        <v/>
      </c>
      <c r="G63" s="143">
        <f>IFERROR(__xludf.DUMMYFUNCTION("""COMPUTED_VALUE"""),5465435)</f>
        <v/>
      </c>
      <c r="H63" s="27" t="n"/>
    </row>
    <row r="64" ht="17.25" customHeight="1" s="322">
      <c r="A64" s="27" t="n"/>
      <c r="B64" s="506">
        <f>IFERROR(__xludf.DUMMYFUNCTION("""COMPUTED_VALUE"""),45919.6666666666)</f>
        <v/>
      </c>
      <c r="C64" s="141">
        <f>IFERROR(__xludf.DUMMYFUNCTION("""COMPUTED_VALUE"""),80.87)</f>
        <v/>
      </c>
      <c r="D64" s="141">
        <f>IFERROR(__xludf.DUMMYFUNCTION("""COMPUTED_VALUE"""),80.95)</f>
        <v/>
      </c>
      <c r="E64" s="141">
        <f>IFERROR(__xludf.DUMMYFUNCTION("""COMPUTED_VALUE"""),80.58)</f>
        <v/>
      </c>
      <c r="F64" s="141">
        <f>IFERROR(__xludf.DUMMYFUNCTION("""COMPUTED_VALUE"""),80.79)</f>
        <v/>
      </c>
      <c r="G64" s="143">
        <f>IFERROR(__xludf.DUMMYFUNCTION("""COMPUTED_VALUE"""),5099558)</f>
        <v/>
      </c>
      <c r="H64" s="27" t="n"/>
    </row>
    <row r="65" ht="17.25" customHeight="1" s="322">
      <c r="A65" s="27" t="n"/>
      <c r="B65" s="506">
        <f>IFERROR(__xludf.DUMMYFUNCTION("""COMPUTED_VALUE"""),45922.6666666666)</f>
        <v/>
      </c>
      <c r="C65" s="141">
        <f>IFERROR(__xludf.DUMMYFUNCTION("""COMPUTED_VALUE"""),80.96)</f>
        <v/>
      </c>
      <c r="D65" s="141">
        <f>IFERROR(__xludf.DUMMYFUNCTION("""COMPUTED_VALUE"""),81.29)</f>
        <v/>
      </c>
      <c r="E65" s="141">
        <f>IFERROR(__xludf.DUMMYFUNCTION("""COMPUTED_VALUE"""),80.84)</f>
        <v/>
      </c>
      <c r="F65" s="141">
        <f>IFERROR(__xludf.DUMMYFUNCTION("""COMPUTED_VALUE"""),81.25)</f>
        <v/>
      </c>
      <c r="G65" s="143">
        <f>IFERROR(__xludf.DUMMYFUNCTION("""COMPUTED_VALUE"""),3429098)</f>
        <v/>
      </c>
      <c r="H65" s="27" t="n"/>
    </row>
    <row r="66" ht="17.25" customHeight="1" s="322">
      <c r="A66" s="27" t="n"/>
      <c r="B66" s="506">
        <f>IFERROR(__xludf.DUMMYFUNCTION("""COMPUTED_VALUE"""),45923.6666666666)</f>
        <v/>
      </c>
      <c r="C66" s="141">
        <f>IFERROR(__xludf.DUMMYFUNCTION("""COMPUTED_VALUE"""),81.35)</f>
        <v/>
      </c>
      <c r="D66" s="141">
        <f>IFERROR(__xludf.DUMMYFUNCTION("""COMPUTED_VALUE"""),81.54)</f>
        <v/>
      </c>
      <c r="E66" s="141">
        <f>IFERROR(__xludf.DUMMYFUNCTION("""COMPUTED_VALUE"""),81.03)</f>
        <v/>
      </c>
      <c r="F66" s="141">
        <f>IFERROR(__xludf.DUMMYFUNCTION("""COMPUTED_VALUE"""),81.09)</f>
        <v/>
      </c>
      <c r="G66" s="143">
        <f>IFERROR(__xludf.DUMMYFUNCTION("""COMPUTED_VALUE"""),4353365)</f>
        <v/>
      </c>
      <c r="H66" s="27" t="n"/>
    </row>
    <row r="67" ht="17.25" customHeight="1" s="322">
      <c r="A67" s="27" t="n"/>
      <c r="B67" s="506">
        <f>IFERROR(__xludf.DUMMYFUNCTION("""COMPUTED_VALUE"""),45924.6666666666)</f>
        <v/>
      </c>
      <c r="C67" s="141">
        <f>IFERROR(__xludf.DUMMYFUNCTION("""COMPUTED_VALUE"""),81.35)</f>
        <v/>
      </c>
      <c r="D67" s="141">
        <f>IFERROR(__xludf.DUMMYFUNCTION("""COMPUTED_VALUE"""),81.54)</f>
        <v/>
      </c>
      <c r="E67" s="141">
        <f>IFERROR(__xludf.DUMMYFUNCTION("""COMPUTED_VALUE"""),81.03)</f>
        <v/>
      </c>
      <c r="F67" s="141">
        <f>IFERROR(__xludf.DUMMYFUNCTION("""COMPUTED_VALUE"""),81.09)</f>
        <v/>
      </c>
      <c r="G67" s="143">
        <f>IFERROR(__xludf.DUMMYFUNCTION("""COMPUTED_VALUE"""),110168)</f>
        <v/>
      </c>
      <c r="H67" s="27" t="n"/>
    </row>
    <row r="68" ht="17.25" customHeight="1" s="322">
      <c r="A68" s="27" t="n"/>
      <c r="B68" s="506">
        <f>IFERROR(__xludf.DUMMYFUNCTION("""COMPUTED_VALUE"""),45925.6666666666)</f>
        <v/>
      </c>
      <c r="C68" s="141">
        <f>IFERROR(__xludf.DUMMYFUNCTION("""COMPUTED_VALUE"""),80.46)</f>
        <v/>
      </c>
      <c r="D68" s="141">
        <f>IFERROR(__xludf.DUMMYFUNCTION("""COMPUTED_VALUE"""),80.59)</f>
        <v/>
      </c>
      <c r="E68" s="141">
        <f>IFERROR(__xludf.DUMMYFUNCTION("""COMPUTED_VALUE"""),80.17)</f>
        <v/>
      </c>
      <c r="F68" s="141">
        <f>IFERROR(__xludf.DUMMYFUNCTION("""COMPUTED_VALUE"""),80.46)</f>
        <v/>
      </c>
      <c r="G68" s="143">
        <f>IFERROR(__xludf.DUMMYFUNCTION("""COMPUTED_VALUE"""),4855950)</f>
        <v/>
      </c>
      <c r="H68" s="27" t="n"/>
    </row>
    <row r="69" ht="17.25" customHeight="1" s="322">
      <c r="A69" s="27" t="n"/>
      <c r="B69" s="506">
        <f>IFERROR(__xludf.DUMMYFUNCTION("""COMPUTED_VALUE"""),45926.6666666666)</f>
        <v/>
      </c>
      <c r="C69" s="141">
        <f>IFERROR(__xludf.DUMMYFUNCTION("""COMPUTED_VALUE"""),80.34)</f>
        <v/>
      </c>
      <c r="D69" s="141">
        <f>IFERROR(__xludf.DUMMYFUNCTION("""COMPUTED_VALUE"""),80.58)</f>
        <v/>
      </c>
      <c r="E69" s="141">
        <f>IFERROR(__xludf.DUMMYFUNCTION("""COMPUTED_VALUE"""),80.22)</f>
        <v/>
      </c>
      <c r="F69" s="141">
        <f>IFERROR(__xludf.DUMMYFUNCTION("""COMPUTED_VALUE"""),80.44)</f>
        <v/>
      </c>
      <c r="G69" s="143">
        <f>IFERROR(__xludf.DUMMYFUNCTION("""COMPUTED_VALUE"""),9649880)</f>
        <v/>
      </c>
      <c r="H69" s="27" t="n"/>
    </row>
    <row r="70" ht="17.25" customHeight="1" s="322">
      <c r="A70" s="27" t="n"/>
      <c r="B70" s="506">
        <f>IFERROR(__xludf.DUMMYFUNCTION("""COMPUTED_VALUE"""),45929.6666666666)</f>
        <v/>
      </c>
      <c r="C70" s="141">
        <f>IFERROR(__xludf.DUMMYFUNCTION("""COMPUTED_VALUE"""),80.54)</f>
        <v/>
      </c>
      <c r="D70" s="141">
        <f>IFERROR(__xludf.DUMMYFUNCTION("""COMPUTED_VALUE"""),80.72)</f>
        <v/>
      </c>
      <c r="E70" s="141">
        <f>IFERROR(__xludf.DUMMYFUNCTION("""COMPUTED_VALUE"""),80.38)</f>
        <v/>
      </c>
      <c r="F70" s="141">
        <f>IFERROR(__xludf.DUMMYFUNCTION("""COMPUTED_VALUE"""),80.51)</f>
        <v/>
      </c>
      <c r="G70" s="143">
        <f>IFERROR(__xludf.DUMMYFUNCTION("""COMPUTED_VALUE"""),5053588)</f>
        <v/>
      </c>
      <c r="H70" s="27" t="n"/>
    </row>
    <row r="71" ht="17.25" customHeight="1" s="322">
      <c r="A71" s="27" t="n"/>
      <c r="B71" s="506">
        <f>IFERROR(__xludf.DUMMYFUNCTION("""COMPUTED_VALUE"""),45930.6666666666)</f>
        <v/>
      </c>
      <c r="C71" s="141">
        <f>IFERROR(__xludf.DUMMYFUNCTION("""COMPUTED_VALUE"""),80.1)</f>
        <v/>
      </c>
      <c r="D71" s="141">
        <f>IFERROR(__xludf.DUMMYFUNCTION("""COMPUTED_VALUE"""),80.31)</f>
        <v/>
      </c>
      <c r="E71" s="141">
        <f>IFERROR(__xludf.DUMMYFUNCTION("""COMPUTED_VALUE"""),79.89)</f>
        <v/>
      </c>
      <c r="F71" s="141">
        <f>IFERROR(__xludf.DUMMYFUNCTION("""COMPUTED_VALUE"""),80.21)</f>
        <v/>
      </c>
      <c r="G71" s="143">
        <f>IFERROR(__xludf.DUMMYFUNCTION("""COMPUTED_VALUE"""),9629289)</f>
        <v/>
      </c>
      <c r="H71" s="27" t="n"/>
    </row>
    <row r="72" ht="17.25" customHeight="1" s="322">
      <c r="A72" s="27" t="n"/>
      <c r="B72" s="506">
        <f>IFERROR(__xludf.DUMMYFUNCTION("""COMPUTED_VALUE"""),45931.6666666666)</f>
        <v/>
      </c>
      <c r="C72" s="141">
        <f>IFERROR(__xludf.DUMMYFUNCTION("""COMPUTED_VALUE"""),80.52)</f>
        <v/>
      </c>
      <c r="D72" s="141">
        <f>IFERROR(__xludf.DUMMYFUNCTION("""COMPUTED_VALUE"""),80.77)</f>
        <v/>
      </c>
      <c r="E72" s="141">
        <f>IFERROR(__xludf.DUMMYFUNCTION("""COMPUTED_VALUE"""),80.07)</f>
        <v/>
      </c>
      <c r="F72" s="141">
        <f>IFERROR(__xludf.DUMMYFUNCTION("""COMPUTED_VALUE"""),80.21)</f>
        <v/>
      </c>
      <c r="G72" s="143">
        <f>IFERROR(__xludf.DUMMYFUNCTION("""COMPUTED_VALUE"""),6794769)</f>
        <v/>
      </c>
      <c r="H72" s="27" t="n"/>
    </row>
    <row r="73" ht="17.25" customHeight="1" s="322">
      <c r="A73" s="27" t="n"/>
      <c r="B73" s="506">
        <f>IFERROR(__xludf.DUMMYFUNCTION("""COMPUTED_VALUE"""),45932.6666666666)</f>
        <v/>
      </c>
      <c r="C73" s="141">
        <f>IFERROR(__xludf.DUMMYFUNCTION("""COMPUTED_VALUE"""),80.33)</f>
        <v/>
      </c>
      <c r="D73" s="141">
        <f>IFERROR(__xludf.DUMMYFUNCTION("""COMPUTED_VALUE"""),80.42)</f>
        <v/>
      </c>
      <c r="E73" s="141">
        <f>IFERROR(__xludf.DUMMYFUNCTION("""COMPUTED_VALUE"""),79.81)</f>
        <v/>
      </c>
      <c r="F73" s="141">
        <f>IFERROR(__xludf.DUMMYFUNCTION("""COMPUTED_VALUE"""),80.15)</f>
        <v/>
      </c>
      <c r="G73" s="143">
        <f>IFERROR(__xludf.DUMMYFUNCTION("""COMPUTED_VALUE"""),6800982)</f>
        <v/>
      </c>
      <c r="H73" s="27" t="n"/>
    </row>
    <row r="74" ht="17.25" customHeight="1" s="322">
      <c r="A74" s="27" t="n"/>
      <c r="B74" s="506">
        <f>IFERROR(__xludf.DUMMYFUNCTION("""COMPUTED_VALUE"""),45933.6666666666)</f>
        <v/>
      </c>
      <c r="C74" s="141">
        <f>IFERROR(__xludf.DUMMYFUNCTION("""COMPUTED_VALUE"""),81.68)</f>
        <v/>
      </c>
      <c r="D74" s="141">
        <f>IFERROR(__xludf.DUMMYFUNCTION("""COMPUTED_VALUE"""),82.04)</f>
        <v/>
      </c>
      <c r="E74" s="141">
        <f>IFERROR(__xludf.DUMMYFUNCTION("""COMPUTED_VALUE"""),81.54)</f>
        <v/>
      </c>
      <c r="F74" s="141">
        <f>IFERROR(__xludf.DUMMYFUNCTION("""COMPUTED_VALUE"""),81.78)</f>
        <v/>
      </c>
      <c r="G74" s="143">
        <f>IFERROR(__xludf.DUMMYFUNCTION("""COMPUTED_VALUE"""),8651754)</f>
        <v/>
      </c>
      <c r="H74" s="27" t="n"/>
    </row>
    <row r="75" ht="17.25" customHeight="1" s="322">
      <c r="A75" s="27" t="n"/>
      <c r="B75" s="506">
        <f>IFERROR(__xludf.DUMMYFUNCTION("""COMPUTED_VALUE"""),45936.6666666666)</f>
        <v/>
      </c>
      <c r="C75" s="141">
        <f>IFERROR(__xludf.DUMMYFUNCTION("""COMPUTED_VALUE"""),83.12)</f>
        <v/>
      </c>
      <c r="D75" s="141">
        <f>IFERROR(__xludf.DUMMYFUNCTION("""COMPUTED_VALUE"""),83.6)</f>
        <v/>
      </c>
      <c r="E75" s="141">
        <f>IFERROR(__xludf.DUMMYFUNCTION("""COMPUTED_VALUE"""),83)</f>
        <v/>
      </c>
      <c r="F75" s="141">
        <f>IFERROR(__xludf.DUMMYFUNCTION("""COMPUTED_VALUE"""),83.27)</f>
        <v/>
      </c>
      <c r="G75" s="143">
        <f>IFERROR(__xludf.DUMMYFUNCTION("""COMPUTED_VALUE"""),8346517)</f>
        <v/>
      </c>
      <c r="H75" s="27" t="n"/>
    </row>
    <row r="76" ht="17.25" customHeight="1" s="322">
      <c r="A76" s="27" t="n"/>
      <c r="B76" s="506">
        <f>IFERROR(__xludf.DUMMYFUNCTION("""COMPUTED_VALUE"""),45937.6666666666)</f>
        <v/>
      </c>
      <c r="C76" s="141">
        <f>IFERROR(__xludf.DUMMYFUNCTION("""COMPUTED_VALUE"""),82.5)</f>
        <v/>
      </c>
      <c r="D76" s="141">
        <f>IFERROR(__xludf.DUMMYFUNCTION("""COMPUTED_VALUE"""),82.55)</f>
        <v/>
      </c>
      <c r="E76" s="141">
        <f>IFERROR(__xludf.DUMMYFUNCTION("""COMPUTED_VALUE"""),81.95)</f>
        <v/>
      </c>
      <c r="F76" s="141">
        <f>IFERROR(__xludf.DUMMYFUNCTION("""COMPUTED_VALUE"""),81.96)</f>
        <v/>
      </c>
      <c r="G76" s="143">
        <f>IFERROR(__xludf.DUMMYFUNCTION("""COMPUTED_VALUE"""),6994422)</f>
        <v/>
      </c>
      <c r="H76" s="27" t="n"/>
    </row>
    <row r="77" ht="17.25" customHeight="1" s="322">
      <c r="A77" s="27" t="n"/>
      <c r="B77" s="506">
        <f>IFERROR(__xludf.DUMMYFUNCTION("""COMPUTED_VALUE"""),45938.6666666666)</f>
        <v/>
      </c>
      <c r="C77" s="141">
        <f>IFERROR(__xludf.DUMMYFUNCTION("""COMPUTED_VALUE"""),81.71)</f>
        <v/>
      </c>
      <c r="D77" s="141">
        <f>IFERROR(__xludf.DUMMYFUNCTION("""COMPUTED_VALUE"""),81.91)</f>
        <v/>
      </c>
      <c r="E77" s="141">
        <f>IFERROR(__xludf.DUMMYFUNCTION("""COMPUTED_VALUE"""),81.61)</f>
        <v/>
      </c>
      <c r="F77" s="141">
        <f>IFERROR(__xludf.DUMMYFUNCTION("""COMPUTED_VALUE"""),81.75)</f>
        <v/>
      </c>
      <c r="G77" s="143">
        <f>IFERROR(__xludf.DUMMYFUNCTION("""COMPUTED_VALUE"""),11043435)</f>
        <v/>
      </c>
      <c r="H77" s="27" t="n"/>
    </row>
    <row r="78" ht="17.25" customHeight="1" s="322">
      <c r="A78" s="27" t="n"/>
      <c r="B78" s="506">
        <f>IFERROR(__xludf.DUMMYFUNCTION("""COMPUTED_VALUE"""),45939.6666666666)</f>
        <v/>
      </c>
      <c r="C78" s="141">
        <f>IFERROR(__xludf.DUMMYFUNCTION("""COMPUTED_VALUE"""),82.16)</f>
        <v/>
      </c>
      <c r="D78" s="141">
        <f>IFERROR(__xludf.DUMMYFUNCTION("""COMPUTED_VALUE"""),82.19)</f>
        <v/>
      </c>
      <c r="E78" s="141">
        <f>IFERROR(__xludf.DUMMYFUNCTION("""COMPUTED_VALUE"""),81.42)</f>
        <v/>
      </c>
      <c r="F78" s="141">
        <f>IFERROR(__xludf.DUMMYFUNCTION("""COMPUTED_VALUE"""),81.55)</f>
        <v/>
      </c>
      <c r="G78" s="143">
        <f>IFERROR(__xludf.DUMMYFUNCTION("""COMPUTED_VALUE"""),4539821)</f>
        <v/>
      </c>
      <c r="H78" s="27" t="n"/>
    </row>
    <row r="79" ht="17.25" customHeight="1" s="322">
      <c r="A79" s="27" t="n"/>
      <c r="B79" s="506">
        <f>IFERROR(__xludf.DUMMYFUNCTION("""COMPUTED_VALUE"""),45940.6666666666)</f>
        <v/>
      </c>
      <c r="C79" s="141">
        <f>IFERROR(__xludf.DUMMYFUNCTION("""COMPUTED_VALUE"""),79.83)</f>
        <v/>
      </c>
      <c r="D79" s="141">
        <f>IFERROR(__xludf.DUMMYFUNCTION("""COMPUTED_VALUE"""),80.07)</f>
        <v/>
      </c>
      <c r="E79" s="141">
        <f>IFERROR(__xludf.DUMMYFUNCTION("""COMPUTED_VALUE"""),78.21)</f>
        <v/>
      </c>
      <c r="F79" s="141">
        <f>IFERROR(__xludf.DUMMYFUNCTION("""COMPUTED_VALUE"""),78.36)</f>
        <v/>
      </c>
      <c r="G79" s="143">
        <f>IFERROR(__xludf.DUMMYFUNCTION("""COMPUTED_VALUE"""),11311861)</f>
        <v/>
      </c>
      <c r="H79" s="27" t="n"/>
    </row>
    <row r="80" ht="17.25" customHeight="1" s="322">
      <c r="A80" s="27" t="n"/>
      <c r="B80" s="506">
        <f>IFERROR(__xludf.DUMMYFUNCTION("""COMPUTED_VALUE"""),45943.6666666666)</f>
        <v/>
      </c>
      <c r="C80" s="141">
        <f>IFERROR(__xludf.DUMMYFUNCTION("""COMPUTED_VALUE"""),79.02)</f>
        <v/>
      </c>
      <c r="D80" s="141">
        <f>IFERROR(__xludf.DUMMYFUNCTION("""COMPUTED_VALUE"""),79.47)</f>
        <v/>
      </c>
      <c r="E80" s="141">
        <f>IFERROR(__xludf.DUMMYFUNCTION("""COMPUTED_VALUE"""),78.84)</f>
        <v/>
      </c>
      <c r="F80" s="141">
        <f>IFERROR(__xludf.DUMMYFUNCTION("""COMPUTED_VALUE"""),79.29)</f>
        <v/>
      </c>
      <c r="G80" s="143">
        <f>IFERROR(__xludf.DUMMYFUNCTION("""COMPUTED_VALUE"""),7861596)</f>
        <v/>
      </c>
      <c r="H80" s="27" t="n"/>
    </row>
    <row r="81" ht="17.25" customHeight="1" s="322">
      <c r="A81" s="27" t="n"/>
      <c r="B81" s="506">
        <f>IFERROR(__xludf.DUMMYFUNCTION("""COMPUTED_VALUE"""),45944.6666666666)</f>
        <v/>
      </c>
      <c r="C81" s="141">
        <f>IFERROR(__xludf.DUMMYFUNCTION("""COMPUTED_VALUE"""),79.34)</f>
        <v/>
      </c>
      <c r="D81" s="141">
        <f>IFERROR(__xludf.DUMMYFUNCTION("""COMPUTED_VALUE"""),80.45)</f>
        <v/>
      </c>
      <c r="E81" s="141">
        <f>IFERROR(__xludf.DUMMYFUNCTION("""COMPUTED_VALUE"""),79.18)</f>
        <v/>
      </c>
      <c r="F81" s="141">
        <f>IFERROR(__xludf.DUMMYFUNCTION("""COMPUTED_VALUE"""),80.04)</f>
        <v/>
      </c>
      <c r="G81" s="143">
        <f>IFERROR(__xludf.DUMMYFUNCTION("""COMPUTED_VALUE"""),6700866)</f>
        <v/>
      </c>
      <c r="H81" s="27" t="n"/>
    </row>
    <row r="82" ht="17.25" customHeight="1" s="322">
      <c r="A82" s="27" t="n"/>
      <c r="B82" s="506">
        <f>IFERROR(__xludf.DUMMYFUNCTION("""COMPUTED_VALUE"""),45945.6666666666)</f>
        <v/>
      </c>
      <c r="C82" s="141">
        <f>IFERROR(__xludf.DUMMYFUNCTION("""COMPUTED_VALUE"""),81.31)</f>
        <v/>
      </c>
      <c r="D82" s="141">
        <f>IFERROR(__xludf.DUMMYFUNCTION("""COMPUTED_VALUE"""),81.55)</f>
        <v/>
      </c>
      <c r="E82" s="141">
        <f>IFERROR(__xludf.DUMMYFUNCTION("""COMPUTED_VALUE"""),80.87)</f>
        <v/>
      </c>
      <c r="F82" s="141">
        <f>IFERROR(__xludf.DUMMYFUNCTION("""COMPUTED_VALUE"""),81.29)</f>
        <v/>
      </c>
      <c r="G82" s="143">
        <f>IFERROR(__xludf.DUMMYFUNCTION("""COMPUTED_VALUE"""),7589028)</f>
        <v/>
      </c>
      <c r="H82" s="27" t="n"/>
    </row>
    <row r="83" ht="17.25" customHeight="1" s="322">
      <c r="A83" s="27" t="n"/>
      <c r="B83" s="506">
        <f>IFERROR(__xludf.DUMMYFUNCTION("""COMPUTED_VALUE"""),45946.6666666666)</f>
        <v/>
      </c>
      <c r="C83" s="141">
        <f>IFERROR(__xludf.DUMMYFUNCTION("""COMPUTED_VALUE"""),81.81)</f>
        <v/>
      </c>
      <c r="D83" s="141">
        <f>IFERROR(__xludf.DUMMYFUNCTION("""COMPUTED_VALUE"""),81.91)</f>
        <v/>
      </c>
      <c r="E83" s="141">
        <f>IFERROR(__xludf.DUMMYFUNCTION("""COMPUTED_VALUE"""),81.24)</f>
        <v/>
      </c>
      <c r="F83" s="141">
        <f>IFERROR(__xludf.DUMMYFUNCTION("""COMPUTED_VALUE"""),81.55)</f>
        <v/>
      </c>
      <c r="G83" s="143">
        <f>IFERROR(__xludf.DUMMYFUNCTION("""COMPUTED_VALUE"""),5636303)</f>
        <v/>
      </c>
      <c r="H83" s="27" t="n"/>
    </row>
    <row r="84" ht="17.25" customHeight="1" s="322">
      <c r="A84" s="27" t="n"/>
      <c r="B84" s="506">
        <f>IFERROR(__xludf.DUMMYFUNCTION("""COMPUTED_VALUE"""),45947.6666666666)</f>
        <v/>
      </c>
      <c r="C84" s="141">
        <f>IFERROR(__xludf.DUMMYFUNCTION("""COMPUTED_VALUE"""),81.78)</f>
        <v/>
      </c>
      <c r="D84" s="141">
        <f>IFERROR(__xludf.DUMMYFUNCTION("""COMPUTED_VALUE"""),82.08)</f>
        <v/>
      </c>
      <c r="E84" s="141">
        <f>IFERROR(__xludf.DUMMYFUNCTION("""COMPUTED_VALUE"""),81.65)</f>
        <v/>
      </c>
      <c r="F84" s="141">
        <f>IFERROR(__xludf.DUMMYFUNCTION("""COMPUTED_VALUE"""),82)</f>
        <v/>
      </c>
      <c r="G84" s="143">
        <f>IFERROR(__xludf.DUMMYFUNCTION("""COMPUTED_VALUE"""),6222293)</f>
        <v/>
      </c>
      <c r="H84" s="27" t="n"/>
    </row>
    <row r="85" ht="17.25" customHeight="1" s="322">
      <c r="A85" s="27" t="n"/>
      <c r="B85" s="506">
        <f>IFERROR(__xludf.DUMMYFUNCTION("""COMPUTED_VALUE"""),45950.6666666666)</f>
        <v/>
      </c>
      <c r="C85" s="141">
        <f>IFERROR(__xludf.DUMMYFUNCTION("""COMPUTED_VALUE"""),83.29)</f>
        <v/>
      </c>
      <c r="D85" s="141">
        <f>IFERROR(__xludf.DUMMYFUNCTION("""COMPUTED_VALUE"""),83.79)</f>
        <v/>
      </c>
      <c r="E85" s="141">
        <f>IFERROR(__xludf.DUMMYFUNCTION("""COMPUTED_VALUE"""),83.29)</f>
        <v/>
      </c>
      <c r="F85" s="141">
        <f>IFERROR(__xludf.DUMMYFUNCTION("""COMPUTED_VALUE"""),83.54)</f>
        <v/>
      </c>
      <c r="G85" s="143">
        <f>IFERROR(__xludf.DUMMYFUNCTION("""COMPUTED_VALUE"""),5450864)</f>
        <v/>
      </c>
      <c r="H85" s="27" t="n"/>
    </row>
    <row r="86" ht="17.25" customHeight="1" s="322">
      <c r="A86" s="27" t="n"/>
      <c r="B86" s="506">
        <f>IFERROR(__xludf.DUMMYFUNCTION("""COMPUTED_VALUE"""),45951.6666666666)</f>
        <v/>
      </c>
      <c r="C86" s="141">
        <f>IFERROR(__xludf.DUMMYFUNCTION("""COMPUTED_VALUE"""),82.72)</f>
        <v/>
      </c>
      <c r="D86" s="141">
        <f>IFERROR(__xludf.DUMMYFUNCTION("""COMPUTED_VALUE"""),82.86)</f>
        <v/>
      </c>
      <c r="E86" s="141">
        <f>IFERROR(__xludf.DUMMYFUNCTION("""COMPUTED_VALUE"""),82.43)</f>
        <v/>
      </c>
      <c r="F86" s="141">
        <f>IFERROR(__xludf.DUMMYFUNCTION("""COMPUTED_VALUE"""),82.57)</f>
        <v/>
      </c>
      <c r="G86" s="143">
        <f>IFERROR(__xludf.DUMMYFUNCTION("""COMPUTED_VALUE"""),5126791)</f>
        <v/>
      </c>
      <c r="H86" s="27" t="n"/>
    </row>
    <row r="87" ht="17.25" customHeight="1" s="322">
      <c r="A87" s="27" t="n"/>
      <c r="B87" s="506">
        <f>IFERROR(__xludf.DUMMYFUNCTION("""COMPUTED_VALUE"""),45952.6666666666)</f>
        <v/>
      </c>
      <c r="C87" s="141">
        <f>IFERROR(__xludf.DUMMYFUNCTION("""COMPUTED_VALUE"""),82.4)</f>
        <v/>
      </c>
      <c r="D87" s="141">
        <f>IFERROR(__xludf.DUMMYFUNCTION("""COMPUTED_VALUE"""),82.52)</f>
        <v/>
      </c>
      <c r="E87" s="141">
        <f>IFERROR(__xludf.DUMMYFUNCTION("""COMPUTED_VALUE"""),81.84)</f>
        <v/>
      </c>
      <c r="F87" s="141">
        <f>IFERROR(__xludf.DUMMYFUNCTION("""COMPUTED_VALUE"""),82.18)</f>
        <v/>
      </c>
      <c r="G87" s="143">
        <f>IFERROR(__xludf.DUMMYFUNCTION("""COMPUTED_VALUE"""),7076378)</f>
        <v/>
      </c>
      <c r="H87" s="27" t="n"/>
    </row>
    <row r="88" ht="17.25" customHeight="1" s="322">
      <c r="A88" s="27" t="n"/>
      <c r="B88" s="506">
        <f>IFERROR(__xludf.DUMMYFUNCTION("""COMPUTED_VALUE"""),45953.6666666666)</f>
        <v/>
      </c>
      <c r="C88" s="141">
        <f>IFERROR(__xludf.DUMMYFUNCTION("""COMPUTED_VALUE"""),82.02)</f>
        <v/>
      </c>
      <c r="D88" s="141">
        <f>IFERROR(__xludf.DUMMYFUNCTION("""COMPUTED_VALUE"""),82.34)</f>
        <v/>
      </c>
      <c r="E88" s="141">
        <f>IFERROR(__xludf.DUMMYFUNCTION("""COMPUTED_VALUE"""),81.98)</f>
        <v/>
      </c>
      <c r="F88" s="141">
        <f>IFERROR(__xludf.DUMMYFUNCTION("""COMPUTED_VALUE"""),82.22)</f>
        <v/>
      </c>
      <c r="G88" s="143">
        <f>IFERROR(__xludf.DUMMYFUNCTION("""COMPUTED_VALUE"""),3620433)</f>
        <v/>
      </c>
      <c r="H88" s="27" t="n"/>
    </row>
    <row r="89" ht="17.25" customHeight="1" s="322">
      <c r="A89" s="27" t="n"/>
      <c r="B89" s="506">
        <f>IFERROR(__xludf.DUMMYFUNCTION("""COMPUTED_VALUE"""),45954.6666666666)</f>
        <v/>
      </c>
      <c r="C89" s="141">
        <f>IFERROR(__xludf.DUMMYFUNCTION("""COMPUTED_VALUE"""),82.42)</f>
        <v/>
      </c>
      <c r="D89" s="141">
        <f>IFERROR(__xludf.DUMMYFUNCTION("""COMPUTED_VALUE"""),82.68)</f>
        <v/>
      </c>
      <c r="E89" s="141">
        <f>IFERROR(__xludf.DUMMYFUNCTION("""COMPUTED_VALUE"""),82.42)</f>
        <v/>
      </c>
      <c r="F89" s="141">
        <f>IFERROR(__xludf.DUMMYFUNCTION("""COMPUTED_VALUE"""),82.5)</f>
        <v/>
      </c>
      <c r="G89" s="143">
        <f>IFERROR(__xludf.DUMMYFUNCTION("""COMPUTED_VALUE"""),3653247)</f>
        <v/>
      </c>
      <c r="H89" s="27" t="n"/>
    </row>
    <row r="90" ht="17.25" customHeight="1" s="322">
      <c r="A90" s="27" t="n"/>
      <c r="B90" s="506">
        <f>IFERROR(__xludf.DUMMYFUNCTION("""COMPUTED_VALUE"""),45957.6666666666)</f>
        <v/>
      </c>
      <c r="C90" s="141">
        <f>IFERROR(__xludf.DUMMYFUNCTION("""COMPUTED_VALUE"""),83.61)</f>
        <v/>
      </c>
      <c r="D90" s="141">
        <f>IFERROR(__xludf.DUMMYFUNCTION("""COMPUTED_VALUE"""),83.61)</f>
        <v/>
      </c>
      <c r="E90" s="141">
        <f>IFERROR(__xludf.DUMMYFUNCTION("""COMPUTED_VALUE"""),83.37)</f>
        <v/>
      </c>
      <c r="F90" s="141">
        <f>IFERROR(__xludf.DUMMYFUNCTION("""COMPUTED_VALUE"""),83.53)</f>
        <v/>
      </c>
      <c r="G90" s="143">
        <f>IFERROR(__xludf.DUMMYFUNCTION("""COMPUTED_VALUE"""),2985745)</f>
        <v/>
      </c>
      <c r="H90" s="27" t="n"/>
    </row>
    <row r="91" ht="17.25" customHeight="1" s="322">
      <c r="A91" s="27" t="n"/>
      <c r="B91" s="506">
        <f>IFERROR(__xludf.DUMMYFUNCTION("""COMPUTED_VALUE"""),45958.6666666666)</f>
        <v/>
      </c>
      <c r="C91" s="141">
        <f>IFERROR(__xludf.DUMMYFUNCTION("""COMPUTED_VALUE"""),83.56)</f>
        <v/>
      </c>
      <c r="D91" s="141">
        <f>IFERROR(__xludf.DUMMYFUNCTION("""COMPUTED_VALUE"""),84.07)</f>
        <v/>
      </c>
      <c r="E91" s="141">
        <f>IFERROR(__xludf.DUMMYFUNCTION("""COMPUTED_VALUE"""),83.55)</f>
        <v/>
      </c>
      <c r="F91" s="141">
        <f>IFERROR(__xludf.DUMMYFUNCTION("""COMPUTED_VALUE"""),83.93)</f>
        <v/>
      </c>
      <c r="G91" s="143">
        <f>IFERROR(__xludf.DUMMYFUNCTION("""COMPUTED_VALUE"""),4523249)</f>
        <v/>
      </c>
      <c r="H91" s="27" t="n"/>
    </row>
    <row r="92" ht="17.25" customHeight="1" s="322">
      <c r="A92" s="27" t="n"/>
      <c r="B92" s="506">
        <f>IFERROR(__xludf.DUMMYFUNCTION("""COMPUTED_VALUE"""),45959.6666666666)</f>
        <v/>
      </c>
      <c r="C92" s="141">
        <f>IFERROR(__xludf.DUMMYFUNCTION("""COMPUTED_VALUE"""),83.52)</f>
        <v/>
      </c>
      <c r="D92" s="141">
        <f>IFERROR(__xludf.DUMMYFUNCTION("""COMPUTED_VALUE"""),83.69)</f>
        <v/>
      </c>
      <c r="E92" s="141">
        <f>IFERROR(__xludf.DUMMYFUNCTION("""COMPUTED_VALUE"""),82.7)</f>
        <v/>
      </c>
      <c r="F92" s="141">
        <f>IFERROR(__xludf.DUMMYFUNCTION("""COMPUTED_VALUE"""),83.23)</f>
        <v/>
      </c>
      <c r="G92" s="143">
        <f>IFERROR(__xludf.DUMMYFUNCTION("""COMPUTED_VALUE"""),8550189)</f>
        <v/>
      </c>
      <c r="H92" s="27" t="n"/>
    </row>
    <row r="93" ht="17.25" customHeight="1" s="322">
      <c r="A93" s="27" t="n"/>
      <c r="B93" s="506">
        <f>IFERROR(__xludf.DUMMYFUNCTION("""COMPUTED_VALUE"""),45960.6666666666)</f>
        <v/>
      </c>
      <c r="C93" s="141">
        <f>IFERROR(__xludf.DUMMYFUNCTION("""COMPUTED_VALUE"""),83.14)</f>
        <v/>
      </c>
      <c r="D93" s="141">
        <f>IFERROR(__xludf.DUMMYFUNCTION("""COMPUTED_VALUE"""),83.56)</f>
        <v/>
      </c>
      <c r="E93" s="141">
        <f>IFERROR(__xludf.DUMMYFUNCTION("""COMPUTED_VALUE"""),83.03)</f>
        <v/>
      </c>
      <c r="F93" s="141">
        <f>IFERROR(__xludf.DUMMYFUNCTION("""COMPUTED_VALUE"""),83.21)</f>
        <v/>
      </c>
      <c r="G93" s="143">
        <f>IFERROR(__xludf.DUMMYFUNCTION("""COMPUTED_VALUE"""),6073718)</f>
        <v/>
      </c>
      <c r="H93" s="27" t="n"/>
    </row>
    <row r="94" ht="17.25" customHeight="1" s="322">
      <c r="A94" s="27" t="n"/>
      <c r="B94" s="506">
        <f>IFERROR(__xludf.DUMMYFUNCTION("""COMPUTED_VALUE"""),45961.6666666666)</f>
        <v/>
      </c>
      <c r="C94" s="141">
        <f>IFERROR(__xludf.DUMMYFUNCTION("""COMPUTED_VALUE"""),83.71)</f>
        <v/>
      </c>
      <c r="D94" s="141">
        <f>IFERROR(__xludf.DUMMYFUNCTION("""COMPUTED_VALUE"""),83.84)</f>
        <v/>
      </c>
      <c r="E94" s="141">
        <f>IFERROR(__xludf.DUMMYFUNCTION("""COMPUTED_VALUE"""),83.19)</f>
        <v/>
      </c>
      <c r="F94" s="141">
        <f>IFERROR(__xludf.DUMMYFUNCTION("""COMPUTED_VALUE"""),83.45)</f>
        <v/>
      </c>
      <c r="G94" s="143">
        <f>IFERROR(__xludf.DUMMYFUNCTION("""COMPUTED_VALUE"""),9755498)</f>
        <v/>
      </c>
      <c r="H94" s="27" t="n"/>
    </row>
    <row r="95" ht="17.25" customHeight="1" s="322">
      <c r="A95" s="27" t="n"/>
      <c r="B95" s="506">
        <f>IFERROR(__xludf.DUMMYFUNCTION("""COMPUTED_VALUE"""),45964.6666666666)</f>
        <v/>
      </c>
      <c r="C95" s="141">
        <f>IFERROR(__xludf.DUMMYFUNCTION("""COMPUTED_VALUE"""),83.58)</f>
        <v/>
      </c>
      <c r="D95" s="141">
        <f>IFERROR(__xludf.DUMMYFUNCTION("""COMPUTED_VALUE"""),83.71)</f>
        <v/>
      </c>
      <c r="E95" s="141">
        <f>IFERROR(__xludf.DUMMYFUNCTION("""COMPUTED_VALUE"""),83.25)</f>
        <v/>
      </c>
      <c r="F95" s="141">
        <f>IFERROR(__xludf.DUMMYFUNCTION("""COMPUTED_VALUE"""),83.64)</f>
        <v/>
      </c>
      <c r="G95" s="143">
        <f>IFERROR(__xludf.DUMMYFUNCTION("""COMPUTED_VALUE"""),5288161)</f>
        <v/>
      </c>
      <c r="H95" s="27" t="n"/>
    </row>
    <row r="96" ht="17.25" customHeight="1" s="322">
      <c r="A96" s="27" t="n"/>
      <c r="B96" s="506">
        <f>IFERROR(__xludf.DUMMYFUNCTION("""COMPUTED_VALUE"""),45965.6666666666)</f>
        <v/>
      </c>
      <c r="C96" s="141">
        <f>IFERROR(__xludf.DUMMYFUNCTION("""COMPUTED_VALUE"""),83)</f>
        <v/>
      </c>
      <c r="D96" s="141">
        <f>IFERROR(__xludf.DUMMYFUNCTION("""COMPUTED_VALUE"""),83.35)</f>
        <v/>
      </c>
      <c r="E96" s="141">
        <f>IFERROR(__xludf.DUMMYFUNCTION("""COMPUTED_VALUE"""),82.78)</f>
        <v/>
      </c>
      <c r="F96" s="141">
        <f>IFERROR(__xludf.DUMMYFUNCTION("""COMPUTED_VALUE"""),82.83)</f>
        <v/>
      </c>
      <c r="G96" s="143">
        <f>IFERROR(__xludf.DUMMYFUNCTION("""COMPUTED_VALUE"""),6613755)</f>
        <v/>
      </c>
      <c r="H96" s="27" t="n"/>
    </row>
    <row r="97" ht="17.25" customHeight="1" s="322">
      <c r="A97" s="27" t="n"/>
      <c r="B97" s="506">
        <f>IFERROR(__xludf.DUMMYFUNCTION("""COMPUTED_VALUE"""),45966.6666666666)</f>
        <v/>
      </c>
      <c r="C97" s="141">
        <f>IFERROR(__xludf.DUMMYFUNCTION("""COMPUTED_VALUE"""),82.49)</f>
        <v/>
      </c>
      <c r="D97" s="141">
        <f>IFERROR(__xludf.DUMMYFUNCTION("""COMPUTED_VALUE"""),82.99)</f>
        <v/>
      </c>
      <c r="E97" s="141">
        <f>IFERROR(__xludf.DUMMYFUNCTION("""COMPUTED_VALUE"""),82.35)</f>
        <v/>
      </c>
      <c r="F97" s="141">
        <f>IFERROR(__xludf.DUMMYFUNCTION("""COMPUTED_VALUE"""),82.8)</f>
        <v/>
      </c>
      <c r="G97" s="143">
        <f>IFERROR(__xludf.DUMMYFUNCTION("""COMPUTED_VALUE"""),5594783)</f>
        <v/>
      </c>
      <c r="H97" s="27" t="n"/>
    </row>
    <row r="98" ht="17.25" customHeight="1" s="322">
      <c r="A98" s="27" t="n"/>
      <c r="B98" s="506">
        <f>IFERROR(__xludf.DUMMYFUNCTION("""COMPUTED_VALUE"""),45967.6666666666)</f>
        <v/>
      </c>
      <c r="C98" s="141">
        <f>IFERROR(__xludf.DUMMYFUNCTION("""COMPUTED_VALUE"""),83.31)</f>
        <v/>
      </c>
      <c r="D98" s="141">
        <f>IFERROR(__xludf.DUMMYFUNCTION("""COMPUTED_VALUE"""),83.38)</f>
        <v/>
      </c>
      <c r="E98" s="141">
        <f>IFERROR(__xludf.DUMMYFUNCTION("""COMPUTED_VALUE"""),82.66)</f>
        <v/>
      </c>
      <c r="F98" s="141">
        <f>IFERROR(__xludf.DUMMYFUNCTION("""COMPUTED_VALUE"""),82.96)</f>
        <v/>
      </c>
      <c r="G98" s="143">
        <f>IFERROR(__xludf.DUMMYFUNCTION("""COMPUTED_VALUE"""),5396031)</f>
        <v/>
      </c>
      <c r="H98" s="27" t="n"/>
    </row>
    <row r="99" ht="17.25" customHeight="1" s="322">
      <c r="A99" s="27" t="n"/>
      <c r="B99" s="506">
        <f>IFERROR(__xludf.DUMMYFUNCTION("""COMPUTED_VALUE"""),45968.6666666666)</f>
        <v/>
      </c>
      <c r="C99" s="141">
        <f>IFERROR(__xludf.DUMMYFUNCTION("""COMPUTED_VALUE"""),82.84)</f>
        <v/>
      </c>
      <c r="D99" s="141">
        <f>IFERROR(__xludf.DUMMYFUNCTION("""COMPUTED_VALUE"""),83.31)</f>
        <v/>
      </c>
      <c r="E99" s="141">
        <f>IFERROR(__xludf.DUMMYFUNCTION("""COMPUTED_VALUE"""),82.3)</f>
        <v/>
      </c>
      <c r="F99" s="141">
        <f>IFERROR(__xludf.DUMMYFUNCTION("""COMPUTED_VALUE"""),83.29)</f>
        <v/>
      </c>
      <c r="G99" s="143">
        <f>IFERROR(__xludf.DUMMYFUNCTION("""COMPUTED_VALUE"""),5604501)</f>
        <v/>
      </c>
      <c r="H99" s="27" t="n"/>
    </row>
    <row r="100" ht="17.25" customHeight="1" s="322">
      <c r="A100" s="27" t="n"/>
      <c r="B100" s="506">
        <f>IFERROR(__xludf.DUMMYFUNCTION("""COMPUTED_VALUE"""),45971.6666666666)</f>
        <v/>
      </c>
      <c r="C100" s="141">
        <f>IFERROR(__xludf.DUMMYFUNCTION("""COMPUTED_VALUE"""),83.32)</f>
        <v/>
      </c>
      <c r="D100" s="141">
        <f>IFERROR(__xludf.DUMMYFUNCTION("""COMPUTED_VALUE"""),83.75)</f>
        <v/>
      </c>
      <c r="E100" s="141">
        <f>IFERROR(__xludf.DUMMYFUNCTION("""COMPUTED_VALUE"""),83.07)</f>
        <v/>
      </c>
      <c r="F100" s="141">
        <f>IFERROR(__xludf.DUMMYFUNCTION("""COMPUTED_VALUE"""),83.68)</f>
        <v/>
      </c>
      <c r="G100" s="143">
        <f>IFERROR(__xludf.DUMMYFUNCTION("""COMPUTED_VALUE"""),5038368)</f>
        <v/>
      </c>
      <c r="H100" s="27" t="n"/>
    </row>
    <row r="101" ht="17.25" customHeight="1" s="322">
      <c r="A101" s="27" t="n"/>
      <c r="B101" s="506">
        <f>IFERROR(__xludf.DUMMYFUNCTION("""COMPUTED_VALUE"""),45972.6666666666)</f>
        <v/>
      </c>
      <c r="C101" s="141">
        <f>IFERROR(__xludf.DUMMYFUNCTION("""COMPUTED_VALUE"""),83.5)</f>
        <v/>
      </c>
      <c r="D101" s="141">
        <f>IFERROR(__xludf.DUMMYFUNCTION("""COMPUTED_VALUE"""),83.91)</f>
        <v/>
      </c>
      <c r="E101" s="141">
        <f>IFERROR(__xludf.DUMMYFUNCTION("""COMPUTED_VALUE"""),83.37)</f>
        <v/>
      </c>
      <c r="F101" s="141">
        <f>IFERROR(__xludf.DUMMYFUNCTION("""COMPUTED_VALUE"""),83.75)</f>
        <v/>
      </c>
      <c r="G101" s="143">
        <f>IFERROR(__xludf.DUMMYFUNCTION("""COMPUTED_VALUE"""),6582671)</f>
        <v/>
      </c>
      <c r="H101" s="27" t="n"/>
    </row>
    <row r="102" ht="17.25" customHeight="1" s="322">
      <c r="A102" s="27" t="n"/>
      <c r="B102" s="506">
        <f>IFERROR(__xludf.DUMMYFUNCTION("""COMPUTED_VALUE"""),45973.6666666666)</f>
        <v/>
      </c>
      <c r="C102" s="141">
        <f>IFERROR(__xludf.DUMMYFUNCTION("""COMPUTED_VALUE"""),84.23)</f>
        <v/>
      </c>
      <c r="D102" s="141">
        <f>IFERROR(__xludf.DUMMYFUNCTION("""COMPUTED_VALUE"""),84.54)</f>
        <v/>
      </c>
      <c r="E102" s="141">
        <f>IFERROR(__xludf.DUMMYFUNCTION("""COMPUTED_VALUE"""),84.13)</f>
        <v/>
      </c>
      <c r="F102" s="141">
        <f>IFERROR(__xludf.DUMMYFUNCTION("""COMPUTED_VALUE"""),84.34)</f>
        <v/>
      </c>
      <c r="G102" s="143">
        <f>IFERROR(__xludf.DUMMYFUNCTION("""COMPUTED_VALUE"""),6539016)</f>
        <v/>
      </c>
      <c r="H102" s="27" t="n"/>
    </row>
    <row r="103" ht="17.25" customHeight="1" s="322">
      <c r="A103" s="27" t="n"/>
      <c r="B103" s="506">
        <f>IFERROR(__xludf.DUMMYFUNCTION("""COMPUTED_VALUE"""),45974.6666666666)</f>
        <v/>
      </c>
      <c r="C103" s="141">
        <f>IFERROR(__xludf.DUMMYFUNCTION("""COMPUTED_VALUE"""),83.98)</f>
        <v/>
      </c>
      <c r="D103" s="141">
        <f>IFERROR(__xludf.DUMMYFUNCTION("""COMPUTED_VALUE"""),84.03)</f>
        <v/>
      </c>
      <c r="E103" s="141">
        <f>IFERROR(__xludf.DUMMYFUNCTION("""COMPUTED_VALUE"""),82.96)</f>
        <v/>
      </c>
      <c r="F103" s="141">
        <f>IFERROR(__xludf.DUMMYFUNCTION("""COMPUTED_VALUE"""),83.01)</f>
        <v/>
      </c>
      <c r="G103" s="143">
        <f>IFERROR(__xludf.DUMMYFUNCTION("""COMPUTED_VALUE"""),7215645)</f>
        <v/>
      </c>
      <c r="H103" s="27" t="n"/>
    </row>
    <row r="104" ht="17.25" customHeight="1" s="322">
      <c r="A104" s="27" t="n"/>
      <c r="B104" s="506">
        <f>IFERROR(__xludf.DUMMYFUNCTION("""COMPUTED_VALUE"""),45975.6666666666)</f>
        <v/>
      </c>
      <c r="C104" s="141">
        <f>IFERROR(__xludf.DUMMYFUNCTION("""COMPUTED_VALUE"""),83.64)</f>
        <v/>
      </c>
      <c r="D104" s="141">
        <f>IFERROR(__xludf.DUMMYFUNCTION("""COMPUTED_VALUE"""),84.21)</f>
        <v/>
      </c>
      <c r="E104" s="141">
        <f>IFERROR(__xludf.DUMMYFUNCTION("""COMPUTED_VALUE"""),83.4)</f>
        <v/>
      </c>
      <c r="F104" s="141">
        <f>IFERROR(__xludf.DUMMYFUNCTION("""COMPUTED_VALUE"""),83.98)</f>
        <v/>
      </c>
      <c r="G104" s="143">
        <f>IFERROR(__xludf.DUMMYFUNCTION("""COMPUTED_VALUE"""),6153942)</f>
        <v/>
      </c>
      <c r="H104" s="27" t="n"/>
    </row>
    <row r="105" ht="17.25" customHeight="1" s="322">
      <c r="A105" s="27" t="n"/>
      <c r="B105" s="506">
        <f>IFERROR(__xludf.DUMMYFUNCTION("""COMPUTED_VALUE"""),45978.6666666666)</f>
        <v/>
      </c>
      <c r="C105" s="141">
        <f>IFERROR(__xludf.DUMMYFUNCTION("""COMPUTED_VALUE"""),83.02)</f>
        <v/>
      </c>
      <c r="D105" s="141">
        <f>IFERROR(__xludf.DUMMYFUNCTION("""COMPUTED_VALUE"""),83.35)</f>
        <v/>
      </c>
      <c r="E105" s="141">
        <f>IFERROR(__xludf.DUMMYFUNCTION("""COMPUTED_VALUE"""),82.14)</f>
        <v/>
      </c>
      <c r="F105" s="141">
        <f>IFERROR(__xludf.DUMMYFUNCTION("""COMPUTED_VALUE"""),82.47)</f>
        <v/>
      </c>
      <c r="G105" s="143">
        <f>IFERROR(__xludf.DUMMYFUNCTION("""COMPUTED_VALUE"""),6967744)</f>
        <v/>
      </c>
      <c r="H105" s="27" t="n"/>
    </row>
    <row r="106" ht="17.25" customHeight="1" s="322">
      <c r="A106" s="27" t="n"/>
      <c r="B106" s="506">
        <f>IFERROR(__xludf.DUMMYFUNCTION("""COMPUTED_VALUE"""),45979.6666666666)</f>
        <v/>
      </c>
      <c r="C106" s="141">
        <f>IFERROR(__xludf.DUMMYFUNCTION("""COMPUTED_VALUE"""),80.7)</f>
        <v/>
      </c>
      <c r="D106" s="141">
        <f>IFERROR(__xludf.DUMMYFUNCTION("""COMPUTED_VALUE"""),81.1)</f>
        <v/>
      </c>
      <c r="E106" s="141">
        <f>IFERROR(__xludf.DUMMYFUNCTION("""COMPUTED_VALUE"""),80.29)</f>
        <v/>
      </c>
      <c r="F106" s="141">
        <f>IFERROR(__xludf.DUMMYFUNCTION("""COMPUTED_VALUE"""),80.78)</f>
        <v/>
      </c>
      <c r="G106" s="143">
        <f>IFERROR(__xludf.DUMMYFUNCTION("""COMPUTED_VALUE"""),6922399)</f>
        <v/>
      </c>
      <c r="H106" s="27" t="n"/>
    </row>
    <row r="107" ht="17.25" customHeight="1" s="322">
      <c r="A107" s="27" t="n"/>
      <c r="B107" s="506">
        <f>IFERROR(__xludf.DUMMYFUNCTION("""COMPUTED_VALUE"""),45980.6666666666)</f>
        <v/>
      </c>
      <c r="C107" s="141">
        <f>IFERROR(__xludf.DUMMYFUNCTION("""COMPUTED_VALUE"""),80.68)</f>
        <v/>
      </c>
      <c r="D107" s="141">
        <f>IFERROR(__xludf.DUMMYFUNCTION("""COMPUTED_VALUE"""),81.15)</f>
        <v/>
      </c>
      <c r="E107" s="141">
        <f>IFERROR(__xludf.DUMMYFUNCTION("""COMPUTED_VALUE"""),80.39)</f>
        <v/>
      </c>
      <c r="F107" s="141">
        <f>IFERROR(__xludf.DUMMYFUNCTION("""COMPUTED_VALUE"""),80.68)</f>
        <v/>
      </c>
      <c r="G107" s="143">
        <f>IFERROR(__xludf.DUMMYFUNCTION("""COMPUTED_VALUE"""),6066068)</f>
        <v/>
      </c>
      <c r="H107" s="27" t="n"/>
    </row>
    <row r="108" ht="17.25" customHeight="1" s="322">
      <c r="A108" s="27" t="n"/>
      <c r="B108" s="506">
        <f>IFERROR(__xludf.DUMMYFUNCTION("""COMPUTED_VALUE"""),45981.6666666666)</f>
        <v/>
      </c>
      <c r="C108" s="141">
        <f>IFERROR(__xludf.DUMMYFUNCTION("""COMPUTED_VALUE"""),81.14)</f>
        <v/>
      </c>
      <c r="D108" s="141">
        <f>IFERROR(__xludf.DUMMYFUNCTION("""COMPUTED_VALUE"""),81.36)</f>
        <v/>
      </c>
      <c r="E108" s="141">
        <f>IFERROR(__xludf.DUMMYFUNCTION("""COMPUTED_VALUE"""),79.47)</f>
        <v/>
      </c>
      <c r="F108" s="141">
        <f>IFERROR(__xludf.DUMMYFUNCTION("""COMPUTED_VALUE"""),79.49)</f>
        <v/>
      </c>
      <c r="G108" s="143">
        <f>IFERROR(__xludf.DUMMYFUNCTION("""COMPUTED_VALUE"""),11263141)</f>
        <v/>
      </c>
      <c r="H108" s="27" t="n"/>
    </row>
    <row r="109" ht="17.25" customHeight="1" s="322">
      <c r="A109" s="27" t="n"/>
      <c r="B109" s="506">
        <f>IFERROR(__xludf.DUMMYFUNCTION("""COMPUTED_VALUE"""),45982.6666666666)</f>
        <v/>
      </c>
      <c r="C109" s="141">
        <f>IFERROR(__xludf.DUMMYFUNCTION("""COMPUTED_VALUE"""),80.81)</f>
        <v/>
      </c>
      <c r="D109" s="141">
        <f>IFERROR(__xludf.DUMMYFUNCTION("""COMPUTED_VALUE"""),81.44)</f>
        <v/>
      </c>
      <c r="E109" s="141">
        <f>IFERROR(__xludf.DUMMYFUNCTION("""COMPUTED_VALUE"""),80.3)</f>
        <v/>
      </c>
      <c r="F109" s="141">
        <f>IFERROR(__xludf.DUMMYFUNCTION("""COMPUTED_VALUE"""),81.19)</f>
        <v/>
      </c>
      <c r="G109" s="143">
        <f>IFERROR(__xludf.DUMMYFUNCTION("""COMPUTED_VALUE"""),8907886)</f>
        <v/>
      </c>
      <c r="H109" s="27" t="n"/>
    </row>
    <row r="110" ht="17.25" customHeight="1" s="322">
      <c r="A110" s="27" t="n"/>
      <c r="B110" s="506">
        <f>IFERROR(__xludf.DUMMYFUNCTION("""COMPUTED_VALUE"""),45985.6666666666)</f>
        <v/>
      </c>
      <c r="C110" s="141">
        <f>IFERROR(__xludf.DUMMYFUNCTION("""COMPUTED_VALUE"""),81.08)</f>
        <v/>
      </c>
      <c r="D110" s="141">
        <f>IFERROR(__xludf.DUMMYFUNCTION("""COMPUTED_VALUE"""),81.87)</f>
        <v/>
      </c>
      <c r="E110" s="141">
        <f>IFERROR(__xludf.DUMMYFUNCTION("""COMPUTED_VALUE"""),80.96)</f>
        <v/>
      </c>
      <c r="F110" s="141">
        <f>IFERROR(__xludf.DUMMYFUNCTION("""COMPUTED_VALUE"""),81.74)</f>
        <v/>
      </c>
      <c r="G110" s="143">
        <f>IFERROR(__xludf.DUMMYFUNCTION("""COMPUTED_VALUE"""),3799808)</f>
        <v/>
      </c>
      <c r="H110" s="27" t="n"/>
    </row>
    <row r="111" ht="17.25" customHeight="1" s="322">
      <c r="A111" s="27" t="n"/>
      <c r="B111" s="506">
        <f>IFERROR(__xludf.DUMMYFUNCTION("""COMPUTED_VALUE"""),45986.6666666666)</f>
        <v/>
      </c>
      <c r="C111" s="141">
        <f>IFERROR(__xludf.DUMMYFUNCTION("""COMPUTED_VALUE"""),81.32)</f>
        <v/>
      </c>
      <c r="D111" s="141">
        <f>IFERROR(__xludf.DUMMYFUNCTION("""COMPUTED_VALUE"""),81.97)</f>
        <v/>
      </c>
      <c r="E111" s="141">
        <f>IFERROR(__xludf.DUMMYFUNCTION("""COMPUTED_VALUE"""),81.01)</f>
        <v/>
      </c>
      <c r="F111" s="141">
        <f>IFERROR(__xludf.DUMMYFUNCTION("""COMPUTED_VALUE"""),81.92)</f>
        <v/>
      </c>
      <c r="G111" s="143">
        <f>IFERROR(__xludf.DUMMYFUNCTION("""COMPUTED_VALUE"""),5197012)</f>
        <v/>
      </c>
      <c r="H111" s="27" t="n"/>
    </row>
    <row r="112" ht="17.25" customHeight="1" s="322">
      <c r="A112" s="27" t="n"/>
      <c r="B112" s="506">
        <f>IFERROR(__xludf.DUMMYFUNCTION("""COMPUTED_VALUE"""),45987.6666666666)</f>
        <v/>
      </c>
      <c r="C112" s="141">
        <f>IFERROR(__xludf.DUMMYFUNCTION("""COMPUTED_VALUE"""),82.73)</f>
        <v/>
      </c>
      <c r="D112" s="141">
        <f>IFERROR(__xludf.DUMMYFUNCTION("""COMPUTED_VALUE"""),83.37)</f>
        <v/>
      </c>
      <c r="E112" s="141">
        <f>IFERROR(__xludf.DUMMYFUNCTION("""COMPUTED_VALUE"""),82.55)</f>
        <v/>
      </c>
      <c r="F112" s="141">
        <f>IFERROR(__xludf.DUMMYFUNCTION("""COMPUTED_VALUE"""),83.26)</f>
        <v/>
      </c>
      <c r="G112" s="143">
        <f>IFERROR(__xludf.DUMMYFUNCTION("""COMPUTED_VALUE"""),3711406)</f>
        <v/>
      </c>
      <c r="H112" s="27" t="n"/>
    </row>
    <row r="113" ht="17.25" customHeight="1" s="322">
      <c r="A113" s="27" t="n"/>
      <c r="B113" s="506">
        <f>IFERROR(__xludf.DUMMYFUNCTION("""COMPUTED_VALUE"""),45989.5520833333)</f>
        <v/>
      </c>
      <c r="C113" s="141">
        <f>IFERROR(__xludf.DUMMYFUNCTION("""COMPUTED_VALUE"""),82.84)</f>
        <v/>
      </c>
      <c r="D113" s="141">
        <f>IFERROR(__xludf.DUMMYFUNCTION("""COMPUTED_VALUE"""),83.04)</f>
        <v/>
      </c>
      <c r="E113" s="141">
        <f>IFERROR(__xludf.DUMMYFUNCTION("""COMPUTED_VALUE"""),82.75)</f>
        <v/>
      </c>
      <c r="F113" s="141">
        <f>IFERROR(__xludf.DUMMYFUNCTION("""COMPUTED_VALUE"""),83.01)</f>
        <v/>
      </c>
      <c r="G113" s="143">
        <f>IFERROR(__xludf.DUMMYFUNCTION("""COMPUTED_VALUE"""),2711789)</f>
        <v/>
      </c>
      <c r="H113" s="27" t="n"/>
    </row>
    <row r="114" ht="17.25" customHeight="1" s="322">
      <c r="A114" s="27" t="n"/>
      <c r="B114" s="506">
        <f>IFERROR(__xludf.DUMMYFUNCTION("""COMPUTED_VALUE"""),45992.6666666666)</f>
        <v/>
      </c>
      <c r="C114" s="141">
        <f>IFERROR(__xludf.DUMMYFUNCTION("""COMPUTED_VALUE"""),82.49)</f>
        <v/>
      </c>
      <c r="D114" s="141">
        <f>IFERROR(__xludf.DUMMYFUNCTION("""COMPUTED_VALUE"""),82.87)</f>
        <v/>
      </c>
      <c r="E114" s="141">
        <f>IFERROR(__xludf.DUMMYFUNCTION("""COMPUTED_VALUE"""),82.45)</f>
        <v/>
      </c>
      <c r="F114" s="141">
        <f>IFERROR(__xludf.DUMMYFUNCTION("""COMPUTED_VALUE"""),82.53)</f>
        <v/>
      </c>
      <c r="G114" s="143">
        <f>IFERROR(__xludf.DUMMYFUNCTION("""COMPUTED_VALUE"""),5020911)</f>
        <v/>
      </c>
      <c r="H114" s="27" t="n"/>
    </row>
    <row r="115" ht="17.25" customHeight="1" s="322">
      <c r="A115" s="27" t="n"/>
      <c r="B115" s="506">
        <f>IFERROR(__xludf.DUMMYFUNCTION("""COMPUTED_VALUE"""),45993.6666666666)</f>
        <v/>
      </c>
      <c r="C115" s="141">
        <f>IFERROR(__xludf.DUMMYFUNCTION("""COMPUTED_VALUE"""),82.73)</f>
        <v/>
      </c>
      <c r="D115" s="141">
        <f>IFERROR(__xludf.DUMMYFUNCTION("""COMPUTED_VALUE"""),82.73)</f>
        <v/>
      </c>
      <c r="E115" s="141">
        <f>IFERROR(__xludf.DUMMYFUNCTION("""COMPUTED_VALUE"""),82.26)</f>
        <v/>
      </c>
      <c r="F115" s="141">
        <f>IFERROR(__xludf.DUMMYFUNCTION("""COMPUTED_VALUE"""),82.47)</f>
        <v/>
      </c>
      <c r="G115" s="143">
        <f>IFERROR(__xludf.DUMMYFUNCTION("""COMPUTED_VALUE"""),3848351)</f>
        <v/>
      </c>
      <c r="H115" s="27" t="n"/>
    </row>
    <row r="116" ht="17.25" customHeight="1" s="322">
      <c r="A116" s="27" t="n"/>
      <c r="B116" s="506">
        <f>IFERROR(__xludf.DUMMYFUNCTION("""COMPUTED_VALUE"""),45994.6666666666)</f>
        <v/>
      </c>
      <c r="C116" s="141">
        <f>IFERROR(__xludf.DUMMYFUNCTION("""COMPUTED_VALUE"""),82.1)</f>
        <v/>
      </c>
      <c r="D116" s="141">
        <f>IFERROR(__xludf.DUMMYFUNCTION("""COMPUTED_VALUE"""),82.65)</f>
        <v/>
      </c>
      <c r="E116" s="141">
        <f>IFERROR(__xludf.DUMMYFUNCTION("""COMPUTED_VALUE"""),82.03)</f>
        <v/>
      </c>
      <c r="F116" s="141">
        <f>IFERROR(__xludf.DUMMYFUNCTION("""COMPUTED_VALUE"""),82.61)</f>
        <v/>
      </c>
      <c r="G116" s="143">
        <f>IFERROR(__xludf.DUMMYFUNCTION("""COMPUTED_VALUE"""),5501541)</f>
        <v/>
      </c>
      <c r="H116" s="27" t="n"/>
    </row>
    <row r="117" ht="17.25" customHeight="1" s="322">
      <c r="A117" s="27" t="n"/>
      <c r="B117" s="506">
        <f>IFERROR(__xludf.DUMMYFUNCTION("""COMPUTED_VALUE"""),45995.6666666666)</f>
        <v/>
      </c>
      <c r="C117" s="141">
        <f>IFERROR(__xludf.DUMMYFUNCTION("""COMPUTED_VALUE"""),84.21)</f>
        <v/>
      </c>
      <c r="D117" s="141">
        <f>IFERROR(__xludf.DUMMYFUNCTION("""COMPUTED_VALUE"""),84.28)</f>
        <v/>
      </c>
      <c r="E117" s="141">
        <f>IFERROR(__xludf.DUMMYFUNCTION("""COMPUTED_VALUE"""),83.48)</f>
        <v/>
      </c>
      <c r="F117" s="141">
        <f>IFERROR(__xludf.DUMMYFUNCTION("""COMPUTED_VALUE"""),83.62)</f>
        <v/>
      </c>
      <c r="G117" s="143">
        <f>IFERROR(__xludf.DUMMYFUNCTION("""COMPUTED_VALUE"""),4692430)</f>
        <v/>
      </c>
      <c r="H117" s="27" t="n"/>
    </row>
    <row r="118" ht="17.25" customHeight="1" s="322">
      <c r="A118" s="27" t="n"/>
      <c r="B118" s="506">
        <f>IFERROR(__xludf.DUMMYFUNCTION("""COMPUTED_VALUE"""),45996.6666666666)</f>
        <v/>
      </c>
      <c r="C118" s="141">
        <f>IFERROR(__xludf.DUMMYFUNCTION("""COMPUTED_VALUE"""),83.68)</f>
        <v/>
      </c>
      <c r="D118" s="141">
        <f>IFERROR(__xludf.DUMMYFUNCTION("""COMPUTED_VALUE"""),83.8)</f>
        <v/>
      </c>
      <c r="E118" s="141">
        <f>IFERROR(__xludf.DUMMYFUNCTION("""COMPUTED_VALUE"""),83.44)</f>
        <v/>
      </c>
      <c r="F118" s="141">
        <f>IFERROR(__xludf.DUMMYFUNCTION("""COMPUTED_VALUE"""),83.7)</f>
        <v/>
      </c>
      <c r="G118" s="143">
        <f>IFERROR(__xludf.DUMMYFUNCTION("""COMPUTED_VALUE"""),4187221)</f>
        <v/>
      </c>
      <c r="H118" s="27" t="n"/>
    </row>
    <row r="119" ht="17.25" customHeight="1" s="322">
      <c r="A119" s="27" t="n"/>
      <c r="B119" s="506">
        <f>IFERROR(__xludf.DUMMYFUNCTION("""COMPUTED_VALUE"""),45999.6666666666)</f>
        <v/>
      </c>
      <c r="C119" s="141">
        <f>IFERROR(__xludf.DUMMYFUNCTION("""COMPUTED_VALUE"""),83.49)</f>
        <v/>
      </c>
      <c r="D119" s="141">
        <f>IFERROR(__xludf.DUMMYFUNCTION("""COMPUTED_VALUE"""),83.55)</f>
        <v/>
      </c>
      <c r="E119" s="141">
        <f>IFERROR(__xludf.DUMMYFUNCTION("""COMPUTED_VALUE"""),83.06)</f>
        <v/>
      </c>
      <c r="F119" s="141">
        <f>IFERROR(__xludf.DUMMYFUNCTION("""COMPUTED_VALUE"""),83.19)</f>
        <v/>
      </c>
      <c r="G119" s="143">
        <f>IFERROR(__xludf.DUMMYFUNCTION("""COMPUTED_VALUE"""),3589592)</f>
        <v/>
      </c>
      <c r="H119" s="27" t="n"/>
    </row>
    <row r="120" ht="17.25" customHeight="1" s="322">
      <c r="A120" s="27" t="n"/>
      <c r="B120" s="506">
        <f>IFERROR(__xludf.DUMMYFUNCTION("""COMPUTED_VALUE"""),46000.6666666666)</f>
        <v/>
      </c>
      <c r="C120" s="141">
        <f>IFERROR(__xludf.DUMMYFUNCTION("""COMPUTED_VALUE"""),83.58)</f>
        <v/>
      </c>
      <c r="D120" s="141">
        <f>IFERROR(__xludf.DUMMYFUNCTION("""COMPUTED_VALUE"""),83.72)</f>
        <v/>
      </c>
      <c r="E120" s="141">
        <f>IFERROR(__xludf.DUMMYFUNCTION("""COMPUTED_VALUE"""),83.3)</f>
        <v/>
      </c>
      <c r="F120" s="141">
        <f>IFERROR(__xludf.DUMMYFUNCTION("""COMPUTED_VALUE"""),83.31)</f>
        <v/>
      </c>
      <c r="G120" s="143">
        <f>IFERROR(__xludf.DUMMYFUNCTION("""COMPUTED_VALUE"""),3387150)</f>
        <v/>
      </c>
      <c r="H120" s="27" t="n"/>
    </row>
    <row r="121" ht="17.25" customHeight="1" s="322">
      <c r="A121" s="27" t="n"/>
      <c r="B121" s="506">
        <f>IFERROR(__xludf.DUMMYFUNCTION("""COMPUTED_VALUE"""),46001.6666666666)</f>
        <v/>
      </c>
      <c r="C121" s="141">
        <f>IFERROR(__xludf.DUMMYFUNCTION("""COMPUTED_VALUE"""),83.24)</f>
        <v/>
      </c>
      <c r="D121" s="141">
        <f>IFERROR(__xludf.DUMMYFUNCTION("""COMPUTED_VALUE"""),84.06)</f>
        <v/>
      </c>
      <c r="E121" s="141">
        <f>IFERROR(__xludf.DUMMYFUNCTION("""COMPUTED_VALUE"""),83.11)</f>
        <v/>
      </c>
      <c r="F121" s="141">
        <f>IFERROR(__xludf.DUMMYFUNCTION("""COMPUTED_VALUE"""),83.91)</f>
        <v/>
      </c>
      <c r="G121" s="143">
        <f>IFERROR(__xludf.DUMMYFUNCTION("""COMPUTED_VALUE"""),5887635)</f>
        <v/>
      </c>
      <c r="H121" s="27" t="n"/>
    </row>
    <row r="122" ht="17.25" customHeight="1" s="322">
      <c r="A122" s="27" t="n"/>
      <c r="B122" s="506">
        <f>IFERROR(__xludf.DUMMYFUNCTION("""COMPUTED_VALUE"""),46002.6666666666)</f>
        <v/>
      </c>
      <c r="C122" s="141">
        <f>IFERROR(__xludf.DUMMYFUNCTION("""COMPUTED_VALUE"""),83.94)</f>
        <v/>
      </c>
      <c r="D122" s="141">
        <f>IFERROR(__xludf.DUMMYFUNCTION("""COMPUTED_VALUE"""),84.38)</f>
        <v/>
      </c>
      <c r="E122" s="141">
        <f>IFERROR(__xludf.DUMMYFUNCTION("""COMPUTED_VALUE"""),83.88)</f>
        <v/>
      </c>
      <c r="F122" s="141">
        <f>IFERROR(__xludf.DUMMYFUNCTION("""COMPUTED_VALUE"""),84.22)</f>
        <v/>
      </c>
      <c r="G122" s="143">
        <f>IFERROR(__xludf.DUMMYFUNCTION("""COMPUTED_VALUE"""),4377906)</f>
        <v/>
      </c>
      <c r="H122" s="27" t="n"/>
    </row>
    <row r="123" ht="17.25" customHeight="1" s="322">
      <c r="A123" s="27" t="n"/>
      <c r="B123" s="506">
        <f>IFERROR(__xludf.DUMMYFUNCTION("""COMPUTED_VALUE"""),46003.6666666666)</f>
        <v/>
      </c>
      <c r="C123" s="141">
        <f>IFERROR(__xludf.DUMMYFUNCTION("""COMPUTED_VALUE"""),84.4)</f>
        <v/>
      </c>
      <c r="D123" s="141">
        <f>IFERROR(__xludf.DUMMYFUNCTION("""COMPUTED_VALUE"""),84.45)</f>
        <v/>
      </c>
      <c r="E123" s="141">
        <f>IFERROR(__xludf.DUMMYFUNCTION("""COMPUTED_VALUE"""),83.69)</f>
        <v/>
      </c>
      <c r="F123" s="141">
        <f>IFERROR(__xludf.DUMMYFUNCTION("""COMPUTED_VALUE"""),84)</f>
        <v/>
      </c>
      <c r="G123" s="143">
        <f>IFERROR(__xludf.DUMMYFUNCTION("""COMPUTED_VALUE"""),6361733)</f>
        <v/>
      </c>
      <c r="H123" s="27" t="n"/>
    </row>
    <row r="124" ht="17.25" customHeight="1" s="322">
      <c r="A124" s="27" t="n"/>
      <c r="B124" s="506">
        <f>IFERROR(__xludf.DUMMYFUNCTION("""COMPUTED_VALUE"""),46006.6666666666)</f>
        <v/>
      </c>
      <c r="C124" s="141">
        <f>IFERROR(__xludf.DUMMYFUNCTION("""COMPUTED_VALUE"""),85.28)</f>
        <v/>
      </c>
      <c r="D124" s="141">
        <f>IFERROR(__xludf.DUMMYFUNCTION("""COMPUTED_VALUE"""),85.31)</f>
        <v/>
      </c>
      <c r="E124" s="141">
        <f>IFERROR(__xludf.DUMMYFUNCTION("""COMPUTED_VALUE"""),84.7)</f>
        <v/>
      </c>
      <c r="F124" s="141">
        <f>IFERROR(__xludf.DUMMYFUNCTION("""COMPUTED_VALUE"""),84.87)</f>
        <v/>
      </c>
      <c r="G124" s="143">
        <f>IFERROR(__xludf.DUMMYFUNCTION("""COMPUTED_VALUE"""),4439301)</f>
        <v/>
      </c>
      <c r="H124" s="27" t="n"/>
    </row>
    <row r="125" ht="17.25" customHeight="1" s="322">
      <c r="A125" s="27" t="n"/>
      <c r="B125" s="506">
        <f>IFERROR(__xludf.DUMMYFUNCTION("""COMPUTED_VALUE"""),46007.6666666666)</f>
        <v/>
      </c>
      <c r="C125" s="141">
        <f>IFERROR(__xludf.DUMMYFUNCTION("""COMPUTED_VALUE"""),81.11)</f>
        <v/>
      </c>
      <c r="D125" s="141">
        <f>IFERROR(__xludf.DUMMYFUNCTION("""COMPUTED_VALUE"""),81.27)</f>
        <v/>
      </c>
      <c r="E125" s="141">
        <f>IFERROR(__xludf.DUMMYFUNCTION("""COMPUTED_VALUE"""),80.65)</f>
        <v/>
      </c>
      <c r="F125" s="141">
        <f>IFERROR(__xludf.DUMMYFUNCTION("""COMPUTED_VALUE"""),80.85)</f>
        <v/>
      </c>
      <c r="G125" s="143">
        <f>IFERROR(__xludf.DUMMYFUNCTION("""COMPUTED_VALUE"""),6206017)</f>
        <v/>
      </c>
      <c r="H125" s="27" t="n"/>
    </row>
    <row r="126" ht="17.25" customHeight="1" s="322">
      <c r="A126" s="27" t="n"/>
      <c r="B126" s="506">
        <f>IFERROR(__xludf.DUMMYFUNCTION("""COMPUTED_VALUE"""),46008.6666666666)</f>
        <v/>
      </c>
      <c r="C126" s="141">
        <f>IFERROR(__xludf.DUMMYFUNCTION("""COMPUTED_VALUE"""),80.43)</f>
        <v/>
      </c>
      <c r="D126" s="141">
        <f>IFERROR(__xludf.DUMMYFUNCTION("""COMPUTED_VALUE"""),80.57)</f>
        <v/>
      </c>
      <c r="E126" s="141">
        <f>IFERROR(__xludf.DUMMYFUNCTION("""COMPUTED_VALUE"""),79.71)</f>
        <v/>
      </c>
      <c r="F126" s="141">
        <f>IFERROR(__xludf.DUMMYFUNCTION("""COMPUTED_VALUE"""),79.74)</f>
        <v/>
      </c>
      <c r="G126" s="143">
        <f>IFERROR(__xludf.DUMMYFUNCTION("""COMPUTED_VALUE"""),6592781)</f>
        <v/>
      </c>
      <c r="H126" s="27" t="n"/>
    </row>
    <row r="127" ht="17.25" customHeight="1" s="322">
      <c r="A127" s="27" t="n"/>
      <c r="B127" s="506">
        <f>IFERROR(__xludf.DUMMYFUNCTION("""COMPUTED_VALUE"""),46009.6666666666)</f>
        <v/>
      </c>
      <c r="C127" s="141">
        <f>IFERROR(__xludf.DUMMYFUNCTION("""COMPUTED_VALUE"""),80.29)</f>
        <v/>
      </c>
      <c r="D127" s="141">
        <f>IFERROR(__xludf.DUMMYFUNCTION("""COMPUTED_VALUE"""),80.45)</f>
        <v/>
      </c>
      <c r="E127" s="141">
        <f>IFERROR(__xludf.DUMMYFUNCTION("""COMPUTED_VALUE"""),79.82)</f>
        <v/>
      </c>
      <c r="F127" s="141">
        <f>IFERROR(__xludf.DUMMYFUNCTION("""COMPUTED_VALUE"""),79.97)</f>
        <v/>
      </c>
      <c r="G127" s="143">
        <f>IFERROR(__xludf.DUMMYFUNCTION("""COMPUTED_VALUE"""),6214791)</f>
        <v/>
      </c>
      <c r="H127" s="27" t="n"/>
    </row>
    <row r="128" ht="17.25" customHeight="1" s="322">
      <c r="A128" s="27" t="n"/>
      <c r="B128" s="506">
        <f>IFERROR(__xludf.DUMMYFUNCTION("""COMPUTED_VALUE"""),46010.6666666666)</f>
        <v/>
      </c>
      <c r="C128" s="141">
        <f>IFERROR(__xludf.DUMMYFUNCTION("""COMPUTED_VALUE"""),80.46)</f>
        <v/>
      </c>
      <c r="D128" s="141">
        <f>IFERROR(__xludf.DUMMYFUNCTION("""COMPUTED_VALUE"""),80.8)</f>
        <v/>
      </c>
      <c r="E128" s="141">
        <f>IFERROR(__xludf.DUMMYFUNCTION("""COMPUTED_VALUE"""),80.4)</f>
        <v/>
      </c>
      <c r="F128" s="141">
        <f>IFERROR(__xludf.DUMMYFUNCTION("""COMPUTED_VALUE"""),80.58)</f>
        <v/>
      </c>
      <c r="G128" s="143">
        <f>IFERROR(__xludf.DUMMYFUNCTION("""COMPUTED_VALUE"""),5596108)</f>
        <v/>
      </c>
      <c r="H128" s="27" t="n"/>
    </row>
    <row r="129" ht="17.25" customHeight="1" s="322">
      <c r="A129" s="27" t="n"/>
      <c r="B129" s="506">
        <f>IFERROR(__xludf.DUMMYFUNCTION("""COMPUTED_VALUE"""),46013.6666666666)</f>
        <v/>
      </c>
      <c r="C129" s="141">
        <f>IFERROR(__xludf.DUMMYFUNCTION("""COMPUTED_VALUE"""),80.25)</f>
        <v/>
      </c>
      <c r="D129" s="141">
        <f>IFERROR(__xludf.DUMMYFUNCTION("""COMPUTED_VALUE"""),80.56)</f>
        <v/>
      </c>
      <c r="E129" s="141">
        <f>IFERROR(__xludf.DUMMYFUNCTION("""COMPUTED_VALUE"""),80.16)</f>
        <v/>
      </c>
      <c r="F129" s="141">
        <f>IFERROR(__xludf.DUMMYFUNCTION("""COMPUTED_VALUE"""),80.46)</f>
        <v/>
      </c>
      <c r="G129" s="143">
        <f>IFERROR(__xludf.DUMMYFUNCTION("""COMPUTED_VALUE"""),5963107)</f>
        <v/>
      </c>
      <c r="H129" s="27" t="n"/>
    </row>
    <row r="130" ht="17.25" customHeight="1" s="322">
      <c r="A130" s="27" t="n"/>
      <c r="B130" s="506">
        <f>IFERROR(__xludf.DUMMYFUNCTION("""COMPUTED_VALUE"""),46014.6666666666)</f>
        <v/>
      </c>
      <c r="C130" s="141">
        <f>IFERROR(__xludf.DUMMYFUNCTION("""COMPUTED_VALUE"""),81.35)</f>
        <v/>
      </c>
      <c r="D130" s="141">
        <f>IFERROR(__xludf.DUMMYFUNCTION("""COMPUTED_VALUE"""),81.45)</f>
        <v/>
      </c>
      <c r="E130" s="141">
        <f>IFERROR(__xludf.DUMMYFUNCTION("""COMPUTED_VALUE"""),81.06)</f>
        <v/>
      </c>
      <c r="F130" s="141">
        <f>IFERROR(__xludf.DUMMYFUNCTION("""COMPUTED_VALUE"""),81.14)</f>
        <v/>
      </c>
      <c r="G130" s="143">
        <f>IFERROR(__xludf.DUMMYFUNCTION("""COMPUTED_VALUE"""),6126645)</f>
        <v/>
      </c>
      <c r="H130" s="27" t="n"/>
    </row>
    <row r="131" ht="17.25" customHeight="1" s="322">
      <c r="A131" s="27" t="n"/>
      <c r="B131" s="506">
        <f>IFERROR(__xludf.DUMMYFUNCTION("""COMPUTED_VALUE"""),46015.5416666666)</f>
        <v/>
      </c>
      <c r="C131" s="141">
        <f>IFERROR(__xludf.DUMMYFUNCTION("""COMPUTED_VALUE"""),80.86)</f>
        <v/>
      </c>
      <c r="D131" s="141">
        <f>IFERROR(__xludf.DUMMYFUNCTION("""COMPUTED_VALUE"""),81.13)</f>
        <v/>
      </c>
      <c r="E131" s="141">
        <f>IFERROR(__xludf.DUMMYFUNCTION("""COMPUTED_VALUE"""),80.76)</f>
        <v/>
      </c>
      <c r="F131" s="141">
        <f>IFERROR(__xludf.DUMMYFUNCTION("""COMPUTED_VALUE"""),81)</f>
        <v/>
      </c>
      <c r="G131" s="143">
        <f>IFERROR(__xludf.DUMMYFUNCTION("""COMPUTED_VALUE"""),1767593)</f>
        <v/>
      </c>
      <c r="H131" s="27" t="n"/>
    </row>
    <row r="132" ht="17.25" customHeight="1" s="322">
      <c r="A132" s="27" t="n"/>
      <c r="B132" s="506">
        <f>IFERROR(__xludf.DUMMYFUNCTION("""COMPUTED_VALUE"""),46017.6666666666)</f>
        <v/>
      </c>
      <c r="C132" s="141">
        <f>IFERROR(__xludf.DUMMYFUNCTION("""COMPUTED_VALUE"""),80.95)</f>
        <v/>
      </c>
      <c r="D132" s="141">
        <f>IFERROR(__xludf.DUMMYFUNCTION("""COMPUTED_VALUE"""),80.99)</f>
        <v/>
      </c>
      <c r="E132" s="141">
        <f>IFERROR(__xludf.DUMMYFUNCTION("""COMPUTED_VALUE"""),80.72)</f>
        <v/>
      </c>
      <c r="F132" s="141">
        <f>IFERROR(__xludf.DUMMYFUNCTION("""COMPUTED_VALUE"""),80.97)</f>
        <v/>
      </c>
      <c r="G132" s="143">
        <f>IFERROR(__xludf.DUMMYFUNCTION("""COMPUTED_VALUE"""),2340271)</f>
        <v/>
      </c>
      <c r="H132" s="27" t="n"/>
    </row>
    <row r="133" ht="17.25" customHeight="1" s="322">
      <c r="A133" s="27" t="n"/>
      <c r="B133" s="506">
        <f>IFERROR(__xludf.DUMMYFUNCTION("""COMPUTED_VALUE"""),46020.6666666666)</f>
        <v/>
      </c>
      <c r="C133" s="141">
        <f>IFERROR(__xludf.DUMMYFUNCTION("""COMPUTED_VALUE"""),80.97)</f>
        <v/>
      </c>
      <c r="D133" s="141">
        <f>IFERROR(__xludf.DUMMYFUNCTION("""COMPUTED_VALUE"""),81.13)</f>
        <v/>
      </c>
      <c r="E133" s="141">
        <f>IFERROR(__xludf.DUMMYFUNCTION("""COMPUTED_VALUE"""),80.78)</f>
        <v/>
      </c>
      <c r="F133" s="141">
        <f>IFERROR(__xludf.DUMMYFUNCTION("""COMPUTED_VALUE"""),81.09)</f>
        <v/>
      </c>
      <c r="G133" s="143">
        <f>IFERROR(__xludf.DUMMYFUNCTION("""COMPUTED_VALUE"""),4629350)</f>
        <v/>
      </c>
      <c r="H133" s="27" t="n"/>
    </row>
    <row r="134" ht="17.25" customHeight="1" s="322">
      <c r="A134" s="27" t="n"/>
      <c r="B134" s="506">
        <f>IFERROR(__xludf.DUMMYFUNCTION("""COMPUTED_VALUE"""),46021.6666666666)</f>
        <v/>
      </c>
      <c r="C134" s="141">
        <f>IFERROR(__xludf.DUMMYFUNCTION("""COMPUTED_VALUE"""),81.24)</f>
        <v/>
      </c>
      <c r="D134" s="141">
        <f>IFERROR(__xludf.DUMMYFUNCTION("""COMPUTED_VALUE"""),81.27)</f>
        <v/>
      </c>
      <c r="E134" s="141">
        <f>IFERROR(__xludf.DUMMYFUNCTION("""COMPUTED_VALUE"""),80.97)</f>
        <v/>
      </c>
      <c r="F134" s="141">
        <f>IFERROR(__xludf.DUMMYFUNCTION("""COMPUTED_VALUE"""),80.98)</f>
        <v/>
      </c>
      <c r="G134" s="143">
        <f>IFERROR(__xludf.DUMMYFUNCTION("""COMPUTED_VALUE"""),3748915)</f>
        <v/>
      </c>
      <c r="H134" s="27" t="n"/>
    </row>
    <row r="135" ht="17.25" customHeight="1" s="322">
      <c r="A135" s="27" t="n"/>
      <c r="B135" s="506">
        <f>IFERROR(__xludf.DUMMYFUNCTION("""COMPUTED_VALUE"""),46022.6666666666)</f>
        <v/>
      </c>
      <c r="C135" s="141">
        <f>IFERROR(__xludf.DUMMYFUNCTION("""COMPUTED_VALUE"""),80.73)</f>
        <v/>
      </c>
      <c r="D135" s="141">
        <f>IFERROR(__xludf.DUMMYFUNCTION("""COMPUTED_VALUE"""),81)</f>
        <v/>
      </c>
      <c r="E135" s="141">
        <f>IFERROR(__xludf.DUMMYFUNCTION("""COMPUTED_VALUE"""),80.54)</f>
        <v/>
      </c>
      <c r="F135" s="141">
        <f>IFERROR(__xludf.DUMMYFUNCTION("""COMPUTED_VALUE"""),80.74)</f>
        <v/>
      </c>
      <c r="G135" s="143">
        <f>IFERROR(__xludf.DUMMYFUNCTION("""COMPUTED_VALUE"""),4444987)</f>
        <v/>
      </c>
      <c r="H135" s="27" t="n"/>
    </row>
    <row r="136" ht="17.25" customHeight="1" s="322">
      <c r="A136" s="27" t="n"/>
      <c r="B136" s="506">
        <f>IFERROR(__xludf.DUMMYFUNCTION("""COMPUTED_VALUE"""),46024.6666666666)</f>
        <v/>
      </c>
      <c r="C136" s="141">
        <f>IFERROR(__xludf.DUMMYFUNCTION("""COMPUTED_VALUE"""),81.51)</f>
        <v/>
      </c>
      <c r="D136" s="141">
        <f>IFERROR(__xludf.DUMMYFUNCTION("""COMPUTED_VALUE"""),81.57)</f>
        <v/>
      </c>
      <c r="E136" s="141">
        <f>IFERROR(__xludf.DUMMYFUNCTION("""COMPUTED_VALUE"""),80.82)</f>
        <v/>
      </c>
      <c r="F136" s="141">
        <f>IFERROR(__xludf.DUMMYFUNCTION("""COMPUTED_VALUE"""),81.33)</f>
        <v/>
      </c>
      <c r="G136" s="143">
        <f>IFERROR(__xludf.DUMMYFUNCTION("""COMPUTED_VALUE"""),7874021)</f>
        <v/>
      </c>
      <c r="H136" s="27" t="n"/>
    </row>
    <row r="137" ht="17.25" customHeight="1" s="322">
      <c r="A137" s="27" t="n"/>
      <c r="B137" s="506">
        <f>IFERROR(__xludf.DUMMYFUNCTION("""COMPUTED_VALUE"""),46027.6666666666)</f>
        <v/>
      </c>
      <c r="C137" s="141">
        <f>IFERROR(__xludf.DUMMYFUNCTION("""COMPUTED_VALUE"""),82.36)</f>
        <v/>
      </c>
      <c r="D137" s="141">
        <f>IFERROR(__xludf.DUMMYFUNCTION("""COMPUTED_VALUE"""),83.18)</f>
        <v/>
      </c>
      <c r="E137" s="141">
        <f>IFERROR(__xludf.DUMMYFUNCTION("""COMPUTED_VALUE"""),82.36)</f>
        <v/>
      </c>
      <c r="F137" s="141">
        <f>IFERROR(__xludf.DUMMYFUNCTION("""COMPUTED_VALUE"""),83.13)</f>
        <v/>
      </c>
      <c r="G137" s="143">
        <f>IFERROR(__xludf.DUMMYFUNCTION("""COMPUTED_VALUE"""),6465725)</f>
        <v/>
      </c>
      <c r="H137" s="27" t="n"/>
    </row>
    <row r="138" ht="17.25" customHeight="1" s="322">
      <c r="A138" s="27" t="n"/>
      <c r="B138" s="506">
        <f>IFERROR(__xludf.DUMMYFUNCTION("""COMPUTED_VALUE"""),46028.6666666666)</f>
        <v/>
      </c>
      <c r="C138" s="141">
        <f>IFERROR(__xludf.DUMMYFUNCTION("""COMPUTED_VALUE"""),83.14)</f>
        <v/>
      </c>
      <c r="D138" s="141">
        <f>IFERROR(__xludf.DUMMYFUNCTION("""COMPUTED_VALUE"""),83.27)</f>
        <v/>
      </c>
      <c r="E138" s="141">
        <f>IFERROR(__xludf.DUMMYFUNCTION("""COMPUTED_VALUE"""),82.9)</f>
        <v/>
      </c>
      <c r="F138" s="141">
        <f>IFERROR(__xludf.DUMMYFUNCTION("""COMPUTED_VALUE"""),83.07)</f>
        <v/>
      </c>
      <c r="G138" s="143">
        <f>IFERROR(__xludf.DUMMYFUNCTION("""COMPUTED_VALUE"""),9209118)</f>
        <v/>
      </c>
      <c r="H138" s="27" t="n"/>
    </row>
    <row r="139" ht="17.25" customHeight="1" s="322">
      <c r="A139" s="27" t="n"/>
      <c r="B139" s="506">
        <f>IFERROR(__xludf.DUMMYFUNCTION("""COMPUTED_VALUE"""),46029.6666666666)</f>
        <v/>
      </c>
      <c r="C139" s="141">
        <f>IFERROR(__xludf.DUMMYFUNCTION("""COMPUTED_VALUE"""),83.12)</f>
        <v/>
      </c>
      <c r="D139" s="141">
        <f>IFERROR(__xludf.DUMMYFUNCTION("""COMPUTED_VALUE"""),83.14)</f>
        <v/>
      </c>
      <c r="E139" s="141">
        <f>IFERROR(__xludf.DUMMYFUNCTION("""COMPUTED_VALUE"""),82.78)</f>
        <v/>
      </c>
      <c r="F139" s="141">
        <f>IFERROR(__xludf.DUMMYFUNCTION("""COMPUTED_VALUE"""),82.92)</f>
        <v/>
      </c>
      <c r="G139" s="143">
        <f>IFERROR(__xludf.DUMMYFUNCTION("""COMPUTED_VALUE"""),6011471)</f>
        <v/>
      </c>
      <c r="H139" s="27" t="n"/>
    </row>
    <row r="140" ht="17.25" customHeight="1" s="322">
      <c r="A140" s="27" t="n"/>
      <c r="B140" s="506">
        <f>IFERROR(__xludf.DUMMYFUNCTION("""COMPUTED_VALUE"""),46030.6666666666)</f>
        <v/>
      </c>
      <c r="C140" s="141">
        <f>IFERROR(__xludf.DUMMYFUNCTION("""COMPUTED_VALUE"""),82.57)</f>
        <v/>
      </c>
      <c r="D140" s="141">
        <f>IFERROR(__xludf.DUMMYFUNCTION("""COMPUTED_VALUE"""),82.91)</f>
        <v/>
      </c>
      <c r="E140" s="141">
        <f>IFERROR(__xludf.DUMMYFUNCTION("""COMPUTED_VALUE"""),82.52)</f>
        <v/>
      </c>
      <c r="F140" s="141">
        <f>IFERROR(__xludf.DUMMYFUNCTION("""COMPUTED_VALUE"""),82.86)</f>
        <v/>
      </c>
      <c r="G140" s="143">
        <f>IFERROR(__xludf.DUMMYFUNCTION("""COMPUTED_VALUE"""),5791159)</f>
        <v/>
      </c>
      <c r="H140" s="27" t="n"/>
    </row>
    <row r="141" ht="17.25" customHeight="1" s="322">
      <c r="A141" s="27" t="n"/>
      <c r="B141" s="506">
        <f>IFERROR(__xludf.DUMMYFUNCTION("""COMPUTED_VALUE"""),46031.6666666666)</f>
        <v/>
      </c>
      <c r="C141" s="141">
        <f>IFERROR(__xludf.DUMMYFUNCTION("""COMPUTED_VALUE"""),84.14)</f>
        <v/>
      </c>
      <c r="D141" s="141">
        <f>IFERROR(__xludf.DUMMYFUNCTION("""COMPUTED_VALUE"""),84.92)</f>
        <v/>
      </c>
      <c r="E141" s="141">
        <f>IFERROR(__xludf.DUMMYFUNCTION("""COMPUTED_VALUE"""),84.07)</f>
        <v/>
      </c>
      <c r="F141" s="141">
        <f>IFERROR(__xludf.DUMMYFUNCTION("""COMPUTED_VALUE"""),84.61)</f>
        <v/>
      </c>
      <c r="G141" s="143">
        <f>IFERROR(__xludf.DUMMYFUNCTION("""COMPUTED_VALUE"""),7885495)</f>
        <v/>
      </c>
      <c r="H141" s="27" t="n"/>
    </row>
    <row r="142" ht="17.25" customHeight="1" s="322">
      <c r="A142" s="27" t="n"/>
      <c r="B142" s="506">
        <f>IFERROR(__xludf.DUMMYFUNCTION("""COMPUTED_VALUE"""),46034.6666666666)</f>
        <v/>
      </c>
      <c r="C142" s="141">
        <f>IFERROR(__xludf.DUMMYFUNCTION("""COMPUTED_VALUE"""),84.95)</f>
        <v/>
      </c>
      <c r="D142" s="141">
        <f>IFERROR(__xludf.DUMMYFUNCTION("""COMPUTED_VALUE"""),85.3)</f>
        <v/>
      </c>
      <c r="E142" s="141">
        <f>IFERROR(__xludf.DUMMYFUNCTION("""COMPUTED_VALUE"""),84.93)</f>
        <v/>
      </c>
      <c r="F142" s="141">
        <f>IFERROR(__xludf.DUMMYFUNCTION("""COMPUTED_VALUE"""),85.29)</f>
        <v/>
      </c>
      <c r="G142" s="143">
        <f>IFERROR(__xludf.DUMMYFUNCTION("""COMPUTED_VALUE"""),6171009)</f>
        <v/>
      </c>
      <c r="H142" s="27" t="n"/>
    </row>
    <row r="143" ht="17.25" customHeight="1" s="322">
      <c r="A143" s="27" t="n"/>
      <c r="B143" s="506">
        <f>IFERROR(__xludf.DUMMYFUNCTION("""COMPUTED_VALUE"""),46035.6666666666)</f>
        <v/>
      </c>
      <c r="C143" s="141">
        <f>IFERROR(__xludf.DUMMYFUNCTION("""COMPUTED_VALUE"""),84.7)</f>
        <v/>
      </c>
      <c r="D143" s="141">
        <f>IFERROR(__xludf.DUMMYFUNCTION("""COMPUTED_VALUE"""),84.79)</f>
        <v/>
      </c>
      <c r="E143" s="141">
        <f>IFERROR(__xludf.DUMMYFUNCTION("""COMPUTED_VALUE"""),84.29)</f>
        <v/>
      </c>
      <c r="F143" s="141">
        <f>IFERROR(__xludf.DUMMYFUNCTION("""COMPUTED_VALUE"""),84.45)</f>
        <v/>
      </c>
      <c r="G143" s="143">
        <f>IFERROR(__xludf.DUMMYFUNCTION("""COMPUTED_VALUE"""),5177347)</f>
        <v/>
      </c>
      <c r="H143" s="27" t="n"/>
    </row>
    <row r="144" ht="17.25" customHeight="1" s="322">
      <c r="A144" s="27" t="n"/>
      <c r="B144" s="506">
        <f>IFERROR(__xludf.DUMMYFUNCTION("""COMPUTED_VALUE"""),46036.6666666666)</f>
        <v/>
      </c>
      <c r="C144" s="141">
        <f>IFERROR(__xludf.DUMMYFUNCTION("""COMPUTED_VALUE"""),85.08)</f>
        <v/>
      </c>
      <c r="D144" s="141">
        <f>IFERROR(__xludf.DUMMYFUNCTION("""COMPUTED_VALUE"""),85.34)</f>
        <v/>
      </c>
      <c r="E144" s="141">
        <f>IFERROR(__xludf.DUMMYFUNCTION("""COMPUTED_VALUE"""),84.91)</f>
        <v/>
      </c>
      <c r="F144" s="141">
        <f>IFERROR(__xludf.DUMMYFUNCTION("""COMPUTED_VALUE"""),85.04)</f>
        <v/>
      </c>
      <c r="G144" s="143">
        <f>IFERROR(__xludf.DUMMYFUNCTION("""COMPUTED_VALUE"""),7045965)</f>
        <v/>
      </c>
      <c r="H144" s="27" t="n"/>
    </row>
    <row r="145" ht="17.25" customHeight="1" s="322">
      <c r="A145" s="27" t="n"/>
      <c r="B145" s="506">
        <f>IFERROR(__xludf.DUMMYFUNCTION("""COMPUTED_VALUE"""),46037.6666666666)</f>
        <v/>
      </c>
      <c r="C145" s="141">
        <f>IFERROR(__xludf.DUMMYFUNCTION("""COMPUTED_VALUE"""),85.9)</f>
        <v/>
      </c>
      <c r="D145" s="141">
        <f>IFERROR(__xludf.DUMMYFUNCTION("""COMPUTED_VALUE"""),86)</f>
        <v/>
      </c>
      <c r="E145" s="141">
        <f>IFERROR(__xludf.DUMMYFUNCTION("""COMPUTED_VALUE"""),85.39)</f>
        <v/>
      </c>
      <c r="F145" s="141">
        <f>IFERROR(__xludf.DUMMYFUNCTION("""COMPUTED_VALUE"""),85.42)</f>
        <v/>
      </c>
      <c r="G145" s="143">
        <f>IFERROR(__xludf.DUMMYFUNCTION("""COMPUTED_VALUE"""),5601606)</f>
        <v/>
      </c>
      <c r="H145" s="27" t="n"/>
    </row>
    <row r="146" ht="17.25" customHeight="1" s="322">
      <c r="A146" s="27" t="n"/>
      <c r="B146" s="506">
        <f>IFERROR(__xludf.DUMMYFUNCTION("""COMPUTED_VALUE"""),46038.6666666666)</f>
        <v/>
      </c>
      <c r="C146" s="141">
        <f>IFERROR(__xludf.DUMMYFUNCTION("""COMPUTED_VALUE"""),85.54)</f>
        <v/>
      </c>
      <c r="D146" s="141">
        <f>IFERROR(__xludf.DUMMYFUNCTION("""COMPUTED_VALUE"""),85.61)</f>
        <v/>
      </c>
      <c r="E146" s="141">
        <f>IFERROR(__xludf.DUMMYFUNCTION("""COMPUTED_VALUE"""),85.26)</f>
        <v/>
      </c>
      <c r="F146" s="141">
        <f>IFERROR(__xludf.DUMMYFUNCTION("""COMPUTED_VALUE"""),85.48)</f>
        <v/>
      </c>
      <c r="G146" s="143">
        <f>IFERROR(__xludf.DUMMYFUNCTION("""COMPUTED_VALUE"""),4181218)</f>
        <v/>
      </c>
      <c r="H146" s="27" t="n"/>
    </row>
    <row r="147" ht="17.25" customHeight="1" s="322">
      <c r="A147" s="27" t="n"/>
      <c r="B147" s="506">
        <f>IFERROR(__xludf.DUMMYFUNCTION("""COMPUTED_VALUE"""),46042.6666666666)</f>
        <v/>
      </c>
      <c r="C147" s="141">
        <f>IFERROR(__xludf.DUMMYFUNCTION("""COMPUTED_VALUE"""),83.83)</f>
        <v/>
      </c>
      <c r="D147" s="141">
        <f>IFERROR(__xludf.DUMMYFUNCTION("""COMPUTED_VALUE"""),84.32)</f>
        <v/>
      </c>
      <c r="E147" s="141">
        <f>IFERROR(__xludf.DUMMYFUNCTION("""COMPUTED_VALUE"""),83.6)</f>
        <v/>
      </c>
      <c r="F147" s="141">
        <f>IFERROR(__xludf.DUMMYFUNCTION("""COMPUTED_VALUE"""),83.72)</f>
        <v/>
      </c>
      <c r="G147" s="143">
        <f>IFERROR(__xludf.DUMMYFUNCTION("""COMPUTED_VALUE"""),9402486)</f>
        <v/>
      </c>
      <c r="H147" s="27" t="n"/>
    </row>
    <row r="148" ht="17.25" customHeight="1" s="322">
      <c r="A148" s="27" t="n"/>
      <c r="B148" s="506">
        <f>IFERROR(__xludf.DUMMYFUNCTION("""COMPUTED_VALUE"""),46043.6666666666)</f>
        <v/>
      </c>
      <c r="C148" s="141">
        <f>IFERROR(__xludf.DUMMYFUNCTION("""COMPUTED_VALUE"""),84.21)</f>
        <v/>
      </c>
      <c r="D148" s="141">
        <f>IFERROR(__xludf.DUMMYFUNCTION("""COMPUTED_VALUE"""),85)</f>
        <v/>
      </c>
      <c r="E148" s="141">
        <f>IFERROR(__xludf.DUMMYFUNCTION("""COMPUTED_VALUE"""),84.05)</f>
        <v/>
      </c>
      <c r="F148" s="141">
        <f>IFERROR(__xludf.DUMMYFUNCTION("""COMPUTED_VALUE"""),84.78)</f>
        <v/>
      </c>
      <c r="G148" s="143">
        <f>IFERROR(__xludf.DUMMYFUNCTION("""COMPUTED_VALUE"""),12139332)</f>
        <v/>
      </c>
      <c r="H148" s="27" t="n"/>
    </row>
    <row r="149" ht="17.25" customHeight="1" s="322">
      <c r="A149" s="27" t="n"/>
      <c r="B149" s="506">
        <f>IFERROR(__xludf.DUMMYFUNCTION("""COMPUTED_VALUE"""),46044.6666666666)</f>
        <v/>
      </c>
      <c r="C149" s="141">
        <f>IFERROR(__xludf.DUMMYFUNCTION("""COMPUTED_VALUE"""),84.85)</f>
        <v/>
      </c>
      <c r="D149" s="141">
        <f>IFERROR(__xludf.DUMMYFUNCTION("""COMPUTED_VALUE"""),85.06)</f>
        <v/>
      </c>
      <c r="E149" s="141">
        <f>IFERROR(__xludf.DUMMYFUNCTION("""COMPUTED_VALUE"""),84.67)</f>
        <v/>
      </c>
      <c r="F149" s="141">
        <f>IFERROR(__xludf.DUMMYFUNCTION("""COMPUTED_VALUE"""),84.86)</f>
        <v/>
      </c>
      <c r="G149" s="143">
        <f>IFERROR(__xludf.DUMMYFUNCTION("""COMPUTED_VALUE"""),5129808)</f>
        <v/>
      </c>
      <c r="H149" s="27" t="n"/>
    </row>
    <row r="150" ht="17.25" customHeight="1" s="322">
      <c r="A150" s="27" t="n"/>
      <c r="B150" s="506">
        <f>IFERROR(__xludf.DUMMYFUNCTION("""COMPUTED_VALUE"""),46045.6666666666)</f>
        <v/>
      </c>
      <c r="C150" s="141">
        <f>IFERROR(__xludf.DUMMYFUNCTION("""COMPUTED_VALUE"""),84.07)</f>
        <v/>
      </c>
      <c r="D150" s="141">
        <f>IFERROR(__xludf.DUMMYFUNCTION("""COMPUTED_VALUE"""),84.82)</f>
        <v/>
      </c>
      <c r="E150" s="141">
        <f>IFERROR(__xludf.DUMMYFUNCTION("""COMPUTED_VALUE"""),83.94)</f>
        <v/>
      </c>
      <c r="F150" s="141">
        <f>IFERROR(__xludf.DUMMYFUNCTION("""COMPUTED_VALUE"""),84.56)</f>
        <v/>
      </c>
      <c r="G150" s="143">
        <f>IFERROR(__xludf.DUMMYFUNCTION("""COMPUTED_VALUE"""),13051023)</f>
        <v/>
      </c>
      <c r="H150" s="27" t="n"/>
    </row>
    <row r="151" ht="17.25" customHeight="1" s="322">
      <c r="A151" s="27" t="n"/>
      <c r="B151" s="506">
        <f>IFERROR(__xludf.DUMMYFUNCTION("""COMPUTED_VALUE"""),46048.6666666666)</f>
        <v/>
      </c>
      <c r="C151" s="141">
        <f>IFERROR(__xludf.DUMMYFUNCTION("""COMPUTED_VALUE"""),85.12)</f>
        <v/>
      </c>
      <c r="D151" s="141">
        <f>IFERROR(__xludf.DUMMYFUNCTION("""COMPUTED_VALUE"""),85.26)</f>
        <v/>
      </c>
      <c r="E151" s="141">
        <f>IFERROR(__xludf.DUMMYFUNCTION("""COMPUTED_VALUE"""),84.62)</f>
        <v/>
      </c>
      <c r="F151" s="141">
        <f>IFERROR(__xludf.DUMMYFUNCTION("""COMPUTED_VALUE"""),84.63)</f>
        <v/>
      </c>
      <c r="G151" s="143">
        <f>IFERROR(__xludf.DUMMYFUNCTION("""COMPUTED_VALUE"""),12120837)</f>
        <v/>
      </c>
      <c r="H151" s="27" t="n"/>
    </row>
    <row r="152" ht="17.25" customHeight="1" s="322">
      <c r="A152" s="27" t="n"/>
      <c r="B152" s="506">
        <f>IFERROR(__xludf.DUMMYFUNCTION("""COMPUTED_VALUE"""),46049.6666666666)</f>
        <v/>
      </c>
      <c r="C152" s="141">
        <f>IFERROR(__xludf.DUMMYFUNCTION("""COMPUTED_VALUE"""),85.47)</f>
        <v/>
      </c>
      <c r="D152" s="141">
        <f>IFERROR(__xludf.DUMMYFUNCTION("""COMPUTED_VALUE"""),85.97)</f>
        <v/>
      </c>
      <c r="E152" s="141">
        <f>IFERROR(__xludf.DUMMYFUNCTION("""COMPUTED_VALUE"""),85.44)</f>
        <v/>
      </c>
      <c r="F152" s="141">
        <f>IFERROR(__xludf.DUMMYFUNCTION("""COMPUTED_VALUE"""),85.84)</f>
        <v/>
      </c>
      <c r="G152" s="143">
        <f>IFERROR(__xludf.DUMMYFUNCTION("""COMPUTED_VALUE"""),14767496)</f>
        <v/>
      </c>
      <c r="H152" s="27" t="n"/>
    </row>
    <row r="153" ht="17.25" customHeight="1" s="322">
      <c r="A153" s="27" t="n"/>
      <c r="B153" s="506">
        <f>IFERROR(__xludf.DUMMYFUNCTION("""COMPUTED_VALUE"""),46050.6666666666)</f>
        <v/>
      </c>
      <c r="C153" s="141">
        <f>IFERROR(__xludf.DUMMYFUNCTION("""COMPUTED_VALUE"""),85.06)</f>
        <v/>
      </c>
      <c r="D153" s="141">
        <f>IFERROR(__xludf.DUMMYFUNCTION("""COMPUTED_VALUE"""),85.27)</f>
        <v/>
      </c>
      <c r="E153" s="141">
        <f>IFERROR(__xludf.DUMMYFUNCTION("""COMPUTED_VALUE"""),84.79)</f>
        <v/>
      </c>
      <c r="F153" s="141">
        <f>IFERROR(__xludf.DUMMYFUNCTION("""COMPUTED_VALUE"""),85.21)</f>
        <v/>
      </c>
      <c r="G153" s="143">
        <f>IFERROR(__xludf.DUMMYFUNCTION("""COMPUTED_VALUE"""),9157681)</f>
        <v/>
      </c>
      <c r="H153" s="27" t="n"/>
    </row>
    <row r="154" ht="17.25" customHeight="1" s="322">
      <c r="A154" s="27" t="n"/>
      <c r="B154" s="506">
        <f>IFERROR(__xludf.DUMMYFUNCTION("""COMPUTED_VALUE"""),46051.6666666666)</f>
        <v/>
      </c>
      <c r="C154" s="141">
        <f>IFERROR(__xludf.DUMMYFUNCTION("""COMPUTED_VALUE"""),86.13)</f>
        <v/>
      </c>
      <c r="D154" s="141">
        <f>IFERROR(__xludf.DUMMYFUNCTION("""COMPUTED_VALUE"""),86.31)</f>
        <v/>
      </c>
      <c r="E154" s="141">
        <f>IFERROR(__xludf.DUMMYFUNCTION("""COMPUTED_VALUE"""),84.84)</f>
        <v/>
      </c>
      <c r="F154" s="141">
        <f>IFERROR(__xludf.DUMMYFUNCTION("""COMPUTED_VALUE"""),86.09)</f>
        <v/>
      </c>
      <c r="G154" s="143">
        <f>IFERROR(__xludf.DUMMYFUNCTION("""COMPUTED_VALUE"""),13444021)</f>
        <v/>
      </c>
      <c r="H154" s="27" t="n"/>
    </row>
    <row r="155" ht="17.25" customHeight="1" s="322">
      <c r="A155" s="27" t="n"/>
      <c r="B155" s="506">
        <f>IFERROR(__xludf.DUMMYFUNCTION("""COMPUTED_VALUE"""),46052.6666666666)</f>
        <v/>
      </c>
      <c r="C155" s="141">
        <f>IFERROR(__xludf.DUMMYFUNCTION("""COMPUTED_VALUE"""),85.97)</f>
        <v/>
      </c>
      <c r="D155" s="141">
        <f>IFERROR(__xludf.DUMMYFUNCTION("""COMPUTED_VALUE"""),86.17)</f>
        <v/>
      </c>
      <c r="E155" s="141">
        <f>IFERROR(__xludf.DUMMYFUNCTION("""COMPUTED_VALUE"""),85.4)</f>
        <v/>
      </c>
      <c r="F155" s="141">
        <f>IFERROR(__xludf.DUMMYFUNCTION("""COMPUTED_VALUE"""),85.72)</f>
        <v/>
      </c>
      <c r="G155" s="143">
        <f>IFERROR(__xludf.DUMMYFUNCTION("""COMPUTED_VALUE"""),7254148)</f>
        <v/>
      </c>
      <c r="H155" s="27" t="n"/>
    </row>
    <row r="156" ht="17.25" customHeight="1" s="322">
      <c r="A156" s="27" t="n"/>
      <c r="B156" s="506">
        <f>IFERROR(__xludf.DUMMYFUNCTION("""COMPUTED_VALUE"""),46055.6666666666)</f>
        <v/>
      </c>
      <c r="C156" s="141">
        <f>IFERROR(__xludf.DUMMYFUNCTION("""COMPUTED_VALUE"""),85.33)</f>
        <v/>
      </c>
      <c r="D156" s="141">
        <f>IFERROR(__xludf.DUMMYFUNCTION("""COMPUTED_VALUE"""),86.01)</f>
        <v/>
      </c>
      <c r="E156" s="141">
        <f>IFERROR(__xludf.DUMMYFUNCTION("""COMPUTED_VALUE"""),85.08)</f>
        <v/>
      </c>
      <c r="F156" s="141">
        <f>IFERROR(__xludf.DUMMYFUNCTION("""COMPUTED_VALUE"""),85.89)</f>
        <v/>
      </c>
      <c r="G156" s="143">
        <f>IFERROR(__xludf.DUMMYFUNCTION("""COMPUTED_VALUE"""),7060258)</f>
        <v/>
      </c>
      <c r="H156" s="27" t="n"/>
    </row>
    <row r="157" ht="17.25" customHeight="1" s="322">
      <c r="A157" s="27" t="n"/>
      <c r="B157" s="506">
        <f>IFERROR(__xludf.DUMMYFUNCTION("""COMPUTED_VALUE"""),46056.6666666666)</f>
        <v/>
      </c>
      <c r="C157" s="141">
        <f>IFERROR(__xludf.DUMMYFUNCTION("""COMPUTED_VALUE"""),86.32)</f>
        <v/>
      </c>
      <c r="D157" s="141">
        <f>IFERROR(__xludf.DUMMYFUNCTION("""COMPUTED_VALUE"""),86.74)</f>
        <v/>
      </c>
      <c r="E157" s="141">
        <f>IFERROR(__xludf.DUMMYFUNCTION("""COMPUTED_VALUE"""),85.92)</f>
        <v/>
      </c>
      <c r="F157" s="141">
        <f>IFERROR(__xludf.DUMMYFUNCTION("""COMPUTED_VALUE"""),86.68)</f>
        <v/>
      </c>
      <c r="G157" s="143">
        <f>IFERROR(__xludf.DUMMYFUNCTION("""COMPUTED_VALUE"""),12779774)</f>
        <v/>
      </c>
      <c r="H157" s="27" t="n"/>
    </row>
    <row r="158" ht="17.25" customHeight="1" s="322">
      <c r="A158" s="27" t="n"/>
      <c r="B158" s="506">
        <f>IFERROR(__xludf.DUMMYFUNCTION("""COMPUTED_VALUE"""),46057.6666666666)</f>
        <v/>
      </c>
      <c r="C158" s="141">
        <f>IFERROR(__xludf.DUMMYFUNCTION("""COMPUTED_VALUE"""),87.67)</f>
        <v/>
      </c>
      <c r="D158" s="141">
        <f>IFERROR(__xludf.DUMMYFUNCTION("""COMPUTED_VALUE"""),88.24)</f>
        <v/>
      </c>
      <c r="E158" s="141">
        <f>IFERROR(__xludf.DUMMYFUNCTION("""COMPUTED_VALUE"""),87.19)</f>
        <v/>
      </c>
      <c r="F158" s="141">
        <f>IFERROR(__xludf.DUMMYFUNCTION("""COMPUTED_VALUE"""),87.49)</f>
        <v/>
      </c>
      <c r="G158" s="143">
        <f>IFERROR(__xludf.DUMMYFUNCTION("""COMPUTED_VALUE"""),11696687)</f>
        <v/>
      </c>
      <c r="H158" s="27" t="n"/>
    </row>
    <row r="159" ht="17.25" customHeight="1" s="322">
      <c r="A159" s="27" t="n"/>
      <c r="B159" s="506">
        <f>IFERROR(__xludf.DUMMYFUNCTION("""COMPUTED_VALUE"""),46058.6666666666)</f>
        <v/>
      </c>
      <c r="C159" s="141">
        <f>IFERROR(__xludf.DUMMYFUNCTION("""COMPUTED_VALUE"""),86.33)</f>
        <v/>
      </c>
      <c r="D159" s="141">
        <f>IFERROR(__xludf.DUMMYFUNCTION("""COMPUTED_VALUE"""),86.76)</f>
        <v/>
      </c>
      <c r="E159" s="141">
        <f>IFERROR(__xludf.DUMMYFUNCTION("""COMPUTED_VALUE"""),86.02)</f>
        <v/>
      </c>
      <c r="F159" s="141">
        <f>IFERROR(__xludf.DUMMYFUNCTION("""COMPUTED_VALUE"""),86.1)</f>
        <v/>
      </c>
      <c r="G159" s="143">
        <f>IFERROR(__xludf.DUMMYFUNCTION("""COMPUTED_VALUE"""),9245226)</f>
        <v/>
      </c>
      <c r="H159" s="27" t="n"/>
    </row>
    <row r="160" ht="17.25" customHeight="1" s="322">
      <c r="A160" s="27" t="n"/>
      <c r="B160" s="506">
        <f>IFERROR(__xludf.DUMMYFUNCTION("""COMPUTED_VALUE"""),46059.6666666666)</f>
        <v/>
      </c>
      <c r="C160" s="141">
        <f>IFERROR(__xludf.DUMMYFUNCTION("""COMPUTED_VALUE"""),88.77)</f>
        <v/>
      </c>
      <c r="D160" s="141">
        <f>IFERROR(__xludf.DUMMYFUNCTION("""COMPUTED_VALUE"""),89.47)</f>
        <v/>
      </c>
      <c r="E160" s="141">
        <f>IFERROR(__xludf.DUMMYFUNCTION("""COMPUTED_VALUE"""),88.58)</f>
        <v/>
      </c>
      <c r="F160" s="141">
        <f>IFERROR(__xludf.DUMMYFUNCTION("""COMPUTED_VALUE"""),89.4)</f>
        <v/>
      </c>
      <c r="G160" s="143">
        <f>IFERROR(__xludf.DUMMYFUNCTION("""COMPUTED_VALUE"""),7409030)</f>
        <v/>
      </c>
      <c r="H160" s="27" t="n"/>
    </row>
    <row r="161" ht="17.25" customHeight="1" s="322">
      <c r="A161" s="27" t="n"/>
      <c r="B161" s="506">
        <f>IFERROR(__xludf.DUMMYFUNCTION("""COMPUTED_VALUE"""),46062.6666666666)</f>
        <v/>
      </c>
      <c r="C161" s="141">
        <f>IFERROR(__xludf.DUMMYFUNCTION("""COMPUTED_VALUE"""),90.3)</f>
        <v/>
      </c>
      <c r="D161" s="141">
        <f>IFERROR(__xludf.DUMMYFUNCTION("""COMPUTED_VALUE"""),91.48)</f>
        <v/>
      </c>
      <c r="E161" s="141">
        <f>IFERROR(__xludf.DUMMYFUNCTION("""COMPUTED_VALUE"""),90.2)</f>
        <v/>
      </c>
      <c r="F161" s="141">
        <f>IFERROR(__xludf.DUMMYFUNCTION("""COMPUTED_VALUE"""),91.29)</f>
        <v/>
      </c>
      <c r="G161" s="143">
        <f>IFERROR(__xludf.DUMMYFUNCTION("""COMPUTED_VALUE"""),9877554)</f>
        <v/>
      </c>
      <c r="H161" s="27" t="n"/>
    </row>
    <row r="162" ht="17.25" customHeight="1" s="322">
      <c r="A162" s="27" t="n"/>
      <c r="B162" s="506">
        <f>IFERROR(__xludf.DUMMYFUNCTION("""COMPUTED_VALUE"""),46063.6666666666)</f>
        <v/>
      </c>
      <c r="C162" s="141">
        <f>IFERROR(__xludf.DUMMYFUNCTION("""COMPUTED_VALUE"""),93.2)</f>
        <v/>
      </c>
      <c r="D162" s="141">
        <f>IFERROR(__xludf.DUMMYFUNCTION("""COMPUTED_VALUE"""),93.57)</f>
        <v/>
      </c>
      <c r="E162" s="141">
        <f>IFERROR(__xludf.DUMMYFUNCTION("""COMPUTED_VALUE"""),92.97)</f>
        <v/>
      </c>
      <c r="F162" s="141">
        <f>IFERROR(__xludf.DUMMYFUNCTION("""COMPUTED_VALUE"""),93.1)</f>
        <v/>
      </c>
      <c r="G162" s="143">
        <f>IFERROR(__xludf.DUMMYFUNCTION("""COMPUTED_VALUE"""),21601711)</f>
        <v/>
      </c>
      <c r="H162" s="27" t="n"/>
    </row>
    <row r="163" ht="17.25" customHeight="1" s="322">
      <c r="A163" s="27" t="n"/>
      <c r="B163" s="506">
        <f>IFERROR(__xludf.DUMMYFUNCTION("""COMPUTED_VALUE"""),46064.6666666666)</f>
        <v/>
      </c>
      <c r="C163" s="141">
        <f>IFERROR(__xludf.DUMMYFUNCTION("""COMPUTED_VALUE"""),93.91)</f>
        <v/>
      </c>
      <c r="D163" s="141">
        <f>IFERROR(__xludf.DUMMYFUNCTION("""COMPUTED_VALUE"""),94.2)</f>
        <v/>
      </c>
      <c r="E163" s="141">
        <f>IFERROR(__xludf.DUMMYFUNCTION("""COMPUTED_VALUE"""),93.22)</f>
        <v/>
      </c>
      <c r="F163" s="141">
        <f>IFERROR(__xludf.DUMMYFUNCTION("""COMPUTED_VALUE"""),93.97)</f>
        <v/>
      </c>
      <c r="G163" s="143">
        <f>IFERROR(__xludf.DUMMYFUNCTION("""COMPUTED_VALUE"""),12280215)</f>
        <v/>
      </c>
      <c r="H163" s="27" t="n"/>
    </row>
    <row r="164" ht="17.25" customHeight="1" s="322">
      <c r="A164" s="27" t="n"/>
      <c r="B164" s="506">
        <f>IFERROR(__xludf.DUMMYFUNCTION("""COMPUTED_VALUE"""),46065.6666666666)</f>
        <v/>
      </c>
      <c r="C164" s="141">
        <f>IFERROR(__xludf.DUMMYFUNCTION("""COMPUTED_VALUE"""),94)</f>
        <v/>
      </c>
      <c r="D164" s="141">
        <f>IFERROR(__xludf.DUMMYFUNCTION("""COMPUTED_VALUE"""),94.28)</f>
        <v/>
      </c>
      <c r="E164" s="141">
        <f>IFERROR(__xludf.DUMMYFUNCTION("""COMPUTED_VALUE"""),93.14)</f>
        <v/>
      </c>
      <c r="F164" s="141">
        <f>IFERROR(__xludf.DUMMYFUNCTION("""COMPUTED_VALUE"""),93.37)</f>
        <v/>
      </c>
      <c r="G164" s="143">
        <f>IFERROR(__xludf.DUMMYFUNCTION("""COMPUTED_VALUE"""),10269692)</f>
        <v/>
      </c>
      <c r="H164" s="27" t="n"/>
    </row>
    <row r="165" ht="17.25" customHeight="1" s="322">
      <c r="A165" s="27" t="n"/>
      <c r="B165" s="506">
        <f>IFERROR(__xludf.DUMMYFUNCTION("""COMPUTED_VALUE"""),46066.6666666666)</f>
        <v/>
      </c>
      <c r="C165" s="141">
        <f>IFERROR(__xludf.DUMMYFUNCTION("""COMPUTED_VALUE"""),93.66)</f>
        <v/>
      </c>
      <c r="D165" s="141">
        <f>IFERROR(__xludf.DUMMYFUNCTION("""COMPUTED_VALUE"""),93.94)</f>
        <v/>
      </c>
      <c r="E165" s="141">
        <f>IFERROR(__xludf.DUMMYFUNCTION("""COMPUTED_VALUE"""),92.91)</f>
        <v/>
      </c>
      <c r="F165" s="141">
        <f>IFERROR(__xludf.DUMMYFUNCTION("""COMPUTED_VALUE"""),93.85)</f>
        <v/>
      </c>
      <c r="G165" s="143">
        <f>IFERROR(__xludf.DUMMYFUNCTION("""COMPUTED_VALUE"""),11219185)</f>
        <v/>
      </c>
      <c r="H165" s="27" t="n"/>
    </row>
    <row r="166" ht="17.25" customHeight="1" s="322">
      <c r="A166" s="27" t="n"/>
      <c r="B166" s="506">
        <f>IFERROR(__xludf.DUMMYFUNCTION("""COMPUTED_VALUE"""),46070.6666666666)</f>
        <v/>
      </c>
      <c r="C166" s="141">
        <f>IFERROR(__xludf.DUMMYFUNCTION("""COMPUTED_VALUE"""),91.41)</f>
        <v/>
      </c>
      <c r="D166" s="141">
        <f>IFERROR(__xludf.DUMMYFUNCTION("""COMPUTED_VALUE"""),92.07)</f>
        <v/>
      </c>
      <c r="E166" s="141">
        <f>IFERROR(__xludf.DUMMYFUNCTION("""COMPUTED_VALUE"""),90.87)</f>
        <v/>
      </c>
      <c r="F166" s="141">
        <f>IFERROR(__xludf.DUMMYFUNCTION("""COMPUTED_VALUE"""),91.87)</f>
        <v/>
      </c>
      <c r="G166" s="143">
        <f>IFERROR(__xludf.DUMMYFUNCTION("""COMPUTED_VALUE"""),21815183)</f>
        <v/>
      </c>
      <c r="H166" s="27" t="n"/>
    </row>
    <row r="167" ht="17.25" customHeight="1" s="322">
      <c r="A167" s="27" t="n"/>
      <c r="B167" s="506">
        <f>IFERROR(__xludf.DUMMYFUNCTION("""COMPUTED_VALUE"""),46071.6666666666)</f>
        <v/>
      </c>
      <c r="C167" s="141">
        <f>IFERROR(__xludf.DUMMYFUNCTION("""COMPUTED_VALUE"""),91.55)</f>
        <v/>
      </c>
      <c r="D167" s="141">
        <f>IFERROR(__xludf.DUMMYFUNCTION("""COMPUTED_VALUE"""),92.02)</f>
        <v/>
      </c>
      <c r="E167" s="141">
        <f>IFERROR(__xludf.DUMMYFUNCTION("""COMPUTED_VALUE"""),91.27)</f>
        <v/>
      </c>
      <c r="F167" s="141">
        <f>IFERROR(__xludf.DUMMYFUNCTION("""COMPUTED_VALUE"""),91.38)</f>
        <v/>
      </c>
      <c r="G167" s="143">
        <f>IFERROR(__xludf.DUMMYFUNCTION("""COMPUTED_VALUE"""),9336341)</f>
        <v/>
      </c>
      <c r="H167" s="27" t="n"/>
    </row>
    <row r="168" ht="17.25" customHeight="1" s="322">
      <c r="A168" s="27" t="n"/>
      <c r="B168" s="506">
        <f>IFERROR(__xludf.DUMMYFUNCTION("""COMPUTED_VALUE"""),46072.6666666666)</f>
        <v/>
      </c>
      <c r="C168" s="141">
        <f>IFERROR(__xludf.DUMMYFUNCTION("""COMPUTED_VALUE"""),90.83)</f>
        <v/>
      </c>
      <c r="D168" s="141">
        <f>IFERROR(__xludf.DUMMYFUNCTION("""COMPUTED_VALUE"""),91.22)</f>
        <v/>
      </c>
      <c r="E168" s="141">
        <f>IFERROR(__xludf.DUMMYFUNCTION("""COMPUTED_VALUE"""),90.67)</f>
        <v/>
      </c>
      <c r="F168" s="141">
        <f>IFERROR(__xludf.DUMMYFUNCTION("""COMPUTED_VALUE"""),91.2)</f>
        <v/>
      </c>
      <c r="G168" s="143">
        <f>IFERROR(__xludf.DUMMYFUNCTION("""COMPUTED_VALUE"""),10448691)</f>
        <v/>
      </c>
      <c r="H168" s="27" t="n"/>
    </row>
    <row r="169" ht="17.25" customHeight="1" s="322">
      <c r="A169" s="27" t="n"/>
      <c r="B169" s="506">
        <f>IFERROR(__xludf.DUMMYFUNCTION("""COMPUTED_VALUE"""),46073.6666666666)</f>
        <v/>
      </c>
      <c r="C169" s="141">
        <f>IFERROR(__xludf.DUMMYFUNCTION("""COMPUTED_VALUE"""),90.4)</f>
        <v/>
      </c>
      <c r="D169" s="141">
        <f>IFERROR(__xludf.DUMMYFUNCTION("""COMPUTED_VALUE"""),91.57)</f>
        <v/>
      </c>
      <c r="E169" s="141">
        <f>IFERROR(__xludf.DUMMYFUNCTION("""COMPUTED_VALUE"""),90.33)</f>
        <v/>
      </c>
      <c r="F169" s="141">
        <f>IFERROR(__xludf.DUMMYFUNCTION("""COMPUTED_VALUE"""),91.47)</f>
        <v/>
      </c>
      <c r="G169" s="143">
        <f>IFERROR(__xludf.DUMMYFUNCTION("""COMPUTED_VALUE"""),10905671)</f>
        <v/>
      </c>
      <c r="H169" s="27" t="n"/>
    </row>
    <row r="170" ht="17.25" customHeight="1" s="322">
      <c r="A170" s="27" t="n"/>
      <c r="B170" s="506">
        <f>IFERROR(__xludf.DUMMYFUNCTION("""COMPUTED_VALUE"""),46076.6666666666)</f>
        <v/>
      </c>
      <c r="C170" s="141">
        <f>IFERROR(__xludf.DUMMYFUNCTION("""COMPUTED_VALUE"""),91.64)</f>
        <v/>
      </c>
      <c r="D170" s="141">
        <f>IFERROR(__xludf.DUMMYFUNCTION("""COMPUTED_VALUE"""),92.09)</f>
        <v/>
      </c>
      <c r="E170" s="141">
        <f>IFERROR(__xludf.DUMMYFUNCTION("""COMPUTED_VALUE"""),91.18)</f>
        <v/>
      </c>
      <c r="F170" s="141">
        <f>IFERROR(__xludf.DUMMYFUNCTION("""COMPUTED_VALUE"""),91.39)</f>
        <v/>
      </c>
      <c r="G170" s="143">
        <f>IFERROR(__xludf.DUMMYFUNCTION("""COMPUTED_VALUE"""),7613831)</f>
        <v/>
      </c>
      <c r="H170" s="27" t="n"/>
    </row>
    <row r="171" ht="17.25" customHeight="1" s="322">
      <c r="A171" s="27" t="n"/>
      <c r="B171" s="506">
        <f>IFERROR(__xludf.DUMMYFUNCTION("""COMPUTED_VALUE"""),46077.6666666666)</f>
        <v/>
      </c>
      <c r="C171" s="141">
        <f>IFERROR(__xludf.DUMMYFUNCTION("""COMPUTED_VALUE"""),90.52)</f>
        <v/>
      </c>
      <c r="D171" s="141">
        <f>IFERROR(__xludf.DUMMYFUNCTION("""COMPUTED_VALUE"""),91.44)</f>
        <v/>
      </c>
      <c r="E171" s="141">
        <f>IFERROR(__xludf.DUMMYFUNCTION("""COMPUTED_VALUE"""),90.37)</f>
        <v/>
      </c>
      <c r="F171" s="141">
        <f>IFERROR(__xludf.DUMMYFUNCTION("""COMPUTED_VALUE"""),91.23)</f>
        <v/>
      </c>
      <c r="G171" s="143">
        <f>IFERROR(__xludf.DUMMYFUNCTION("""COMPUTED_VALUE"""),8781793)</f>
        <v/>
      </c>
      <c r="H171" s="27" t="n"/>
    </row>
    <row r="172" ht="17.25" customHeight="1" s="322">
      <c r="A172" s="27" t="n"/>
      <c r="B172" s="506">
        <f>IFERROR(__xludf.DUMMYFUNCTION("""COMPUTED_VALUE"""),46078.6666666666)</f>
        <v/>
      </c>
      <c r="C172" s="141">
        <f>IFERROR(__xludf.DUMMYFUNCTION("""COMPUTED_VALUE"""),92.02)</f>
        <v/>
      </c>
      <c r="D172" s="141">
        <f>IFERROR(__xludf.DUMMYFUNCTION("""COMPUTED_VALUE"""),92.57)</f>
        <v/>
      </c>
      <c r="E172" s="141">
        <f>IFERROR(__xludf.DUMMYFUNCTION("""COMPUTED_VALUE"""),91.89)</f>
        <v/>
      </c>
      <c r="F172" s="141">
        <f>IFERROR(__xludf.DUMMYFUNCTION("""COMPUTED_VALUE"""),92.44)</f>
        <v/>
      </c>
      <c r="G172" s="143">
        <f>IFERROR(__xludf.DUMMYFUNCTION("""COMPUTED_VALUE"""),6046504)</f>
        <v/>
      </c>
      <c r="H172" s="27" t="n"/>
    </row>
    <row r="173" ht="17.25" customHeight="1" s="322">
      <c r="A173" s="27" t="n"/>
      <c r="B173" s="506">
        <f>IFERROR(__xludf.DUMMYFUNCTION("""COMPUTED_VALUE"""),46079.6666666666)</f>
        <v/>
      </c>
      <c r="C173" s="141">
        <f>IFERROR(__xludf.DUMMYFUNCTION("""COMPUTED_VALUE"""),92.6)</f>
        <v/>
      </c>
      <c r="D173" s="141">
        <f>IFERROR(__xludf.DUMMYFUNCTION("""COMPUTED_VALUE"""),92.75)</f>
        <v/>
      </c>
      <c r="E173" s="141">
        <f>IFERROR(__xludf.DUMMYFUNCTION("""COMPUTED_VALUE"""),91.95)</f>
        <v/>
      </c>
      <c r="F173" s="141">
        <f>IFERROR(__xludf.DUMMYFUNCTION("""COMPUTED_VALUE"""),92.48)</f>
        <v/>
      </c>
      <c r="G173" s="143">
        <f>IFERROR(__xludf.DUMMYFUNCTION("""COMPUTED_VALUE"""),6759009)</f>
        <v/>
      </c>
      <c r="H173" s="27" t="n"/>
    </row>
    <row r="174" ht="17.25" customHeight="1" s="322">
      <c r="A174" s="27" t="n"/>
      <c r="B174" s="506">
        <f>IFERROR(__xludf.DUMMYFUNCTION("""COMPUTED_VALUE"""),46080.6666666666)</f>
        <v/>
      </c>
      <c r="C174" s="141">
        <f>IFERROR(__xludf.DUMMYFUNCTION("""COMPUTED_VALUE"""),92.67)</f>
        <v/>
      </c>
      <c r="D174" s="141">
        <f>IFERROR(__xludf.DUMMYFUNCTION("""COMPUTED_VALUE"""),92.81)</f>
        <v/>
      </c>
      <c r="E174" s="141">
        <f>IFERROR(__xludf.DUMMYFUNCTION("""COMPUTED_VALUE"""),92.25)</f>
        <v/>
      </c>
      <c r="F174" s="141">
        <f>IFERROR(__xludf.DUMMYFUNCTION("""COMPUTED_VALUE"""),92.37)</f>
        <v/>
      </c>
      <c r="G174" s="143">
        <f>IFERROR(__xludf.DUMMYFUNCTION("""COMPUTED_VALUE"""),7718703)</f>
        <v/>
      </c>
      <c r="H174" s="27" t="n"/>
    </row>
    <row r="175" ht="17.25" customHeight="1" s="322">
      <c r="A175" s="27" t="n"/>
      <c r="B175" s="506">
        <f>IFERROR(__xludf.DUMMYFUNCTION("""COMPUTED_VALUE"""),46083.6666666666)</f>
        <v/>
      </c>
      <c r="C175" s="141">
        <f>IFERROR(__xludf.DUMMYFUNCTION("""COMPUTED_VALUE"""),89.41)</f>
        <v/>
      </c>
      <c r="D175" s="141">
        <f>IFERROR(__xludf.DUMMYFUNCTION("""COMPUTED_VALUE"""),90.41)</f>
        <v/>
      </c>
      <c r="E175" s="141">
        <f>IFERROR(__xludf.DUMMYFUNCTION("""COMPUTED_VALUE"""),89.17)</f>
        <v/>
      </c>
      <c r="F175" s="141">
        <f>IFERROR(__xludf.DUMMYFUNCTION("""COMPUTED_VALUE"""),90.2)</f>
        <v/>
      </c>
      <c r="G175" s="143">
        <f>IFERROR(__xludf.DUMMYFUNCTION("""COMPUTED_VALUE"""),16257731)</f>
        <v/>
      </c>
      <c r="H175" s="27" t="n"/>
    </row>
    <row r="176" ht="17.25" customHeight="1" s="322">
      <c r="A176" s="27" t="n"/>
      <c r="B176" s="506">
        <f>IFERROR(__xludf.DUMMYFUNCTION("""COMPUTED_VALUE"""),46084.6666666666)</f>
        <v/>
      </c>
      <c r="C176" s="141">
        <f>IFERROR(__xludf.DUMMYFUNCTION("""COMPUTED_VALUE"""),84.78)</f>
        <v/>
      </c>
      <c r="D176" s="141">
        <f>IFERROR(__xludf.DUMMYFUNCTION("""COMPUTED_VALUE"""),87.14)</f>
        <v/>
      </c>
      <c r="E176" s="141">
        <f>IFERROR(__xludf.DUMMYFUNCTION("""COMPUTED_VALUE"""),83.85)</f>
        <v/>
      </c>
      <c r="F176" s="141">
        <f>IFERROR(__xludf.DUMMYFUNCTION("""COMPUTED_VALUE"""),86.83)</f>
        <v/>
      </c>
      <c r="G176" s="143">
        <f>IFERROR(__xludf.DUMMYFUNCTION("""COMPUTED_VALUE"""),29715386)</f>
        <v/>
      </c>
      <c r="H176" s="27" t="n"/>
    </row>
    <row r="177" ht="17.25" customHeight="1" s="322">
      <c r="A177" s="27" t="n"/>
      <c r="B177" s="506">
        <f>IFERROR(__xludf.DUMMYFUNCTION("""COMPUTED_VALUE"""),46085.6666666666)</f>
        <v/>
      </c>
      <c r="C177" s="141">
        <f>IFERROR(__xludf.DUMMYFUNCTION("""COMPUTED_VALUE"""),87.55)</f>
        <v/>
      </c>
      <c r="D177" s="141">
        <f>IFERROR(__xludf.DUMMYFUNCTION("""COMPUTED_VALUE"""),88.72)</f>
        <v/>
      </c>
      <c r="E177" s="141">
        <f>IFERROR(__xludf.DUMMYFUNCTION("""COMPUTED_VALUE"""),87.08)</f>
        <v/>
      </c>
      <c r="F177" s="141">
        <f>IFERROR(__xludf.DUMMYFUNCTION("""COMPUTED_VALUE"""),88.59)</f>
        <v/>
      </c>
      <c r="G177" s="143">
        <f>IFERROR(__xludf.DUMMYFUNCTION("""COMPUTED_VALUE"""),14240770)</f>
        <v/>
      </c>
      <c r="H177" s="27" t="n"/>
    </row>
    <row r="178" ht="17.25" customHeight="1" s="322">
      <c r="A178" s="27" t="n"/>
      <c r="B178" s="506">
        <f>IFERROR(__xludf.DUMMYFUNCTION("""COMPUTED_VALUE"""),46086.6666666666)</f>
        <v/>
      </c>
      <c r="C178" s="141">
        <f>IFERROR(__xludf.DUMMYFUNCTION("""COMPUTED_VALUE"""),86.45)</f>
        <v/>
      </c>
      <c r="D178" s="141">
        <f>IFERROR(__xludf.DUMMYFUNCTION("""COMPUTED_VALUE"""),86.84)</f>
        <v/>
      </c>
      <c r="E178" s="141">
        <f>IFERROR(__xludf.DUMMYFUNCTION("""COMPUTED_VALUE"""),84.91)</f>
        <v/>
      </c>
      <c r="F178" s="141">
        <f>IFERROR(__xludf.DUMMYFUNCTION("""COMPUTED_VALUE"""),85.89)</f>
        <v/>
      </c>
      <c r="G178" s="143">
        <f>IFERROR(__xludf.DUMMYFUNCTION("""COMPUTED_VALUE"""),18362144)</f>
        <v/>
      </c>
      <c r="H178" s="27" t="n"/>
    </row>
    <row r="179" ht="17.25" customHeight="1" s="322">
      <c r="A179" s="27" t="n"/>
      <c r="B179" s="506">
        <f>IFERROR(__xludf.DUMMYFUNCTION("""COMPUTED_VALUE"""),46087.6666666666)</f>
        <v/>
      </c>
      <c r="C179" s="141">
        <f>IFERROR(__xludf.DUMMYFUNCTION("""COMPUTED_VALUE"""),84.38)</f>
        <v/>
      </c>
      <c r="D179" s="141">
        <f>IFERROR(__xludf.DUMMYFUNCTION("""COMPUTED_VALUE"""),85.2)</f>
        <v/>
      </c>
      <c r="E179" s="141">
        <f>IFERROR(__xludf.DUMMYFUNCTION("""COMPUTED_VALUE"""),84.12)</f>
        <v/>
      </c>
      <c r="F179" s="141">
        <f>IFERROR(__xludf.DUMMYFUNCTION("""COMPUTED_VALUE"""),84.77)</f>
        <v/>
      </c>
      <c r="G179" s="143">
        <f>IFERROR(__xludf.DUMMYFUNCTION("""COMPUTED_VALUE"""),11404029)</f>
        <v/>
      </c>
      <c r="H179" s="27" t="n"/>
    </row>
    <row r="180" ht="17.25" customHeight="1" s="322">
      <c r="A180" s="27" t="n"/>
      <c r="B180" s="506">
        <f>IFERROR(__xludf.DUMMYFUNCTION("""COMPUTED_VALUE"""),46090.6666666666)</f>
        <v/>
      </c>
      <c r="C180" s="141">
        <f>IFERROR(__xludf.DUMMYFUNCTION("""COMPUTED_VALUE"""),83.78)</f>
        <v/>
      </c>
      <c r="D180" s="141">
        <f>IFERROR(__xludf.DUMMYFUNCTION("""COMPUTED_VALUE"""),85.87)</f>
        <v/>
      </c>
      <c r="E180" s="141">
        <f>IFERROR(__xludf.DUMMYFUNCTION("""COMPUTED_VALUE"""),82.92)</f>
        <v/>
      </c>
      <c r="F180" s="141">
        <f>IFERROR(__xludf.DUMMYFUNCTION("""COMPUTED_VALUE"""),85.64)</f>
        <v/>
      </c>
      <c r="G180" s="143">
        <f>IFERROR(__xludf.DUMMYFUNCTION("""COMPUTED_VALUE"""),20246786)</f>
        <v/>
      </c>
      <c r="H180" s="27" t="n"/>
    </row>
    <row r="181" ht="17.25" customHeight="1" s="322">
      <c r="A181" s="27" t="n"/>
      <c r="B181" s="506">
        <f>IFERROR(__xludf.DUMMYFUNCTION("""COMPUTED_VALUE"""),46091.6666666666)</f>
        <v/>
      </c>
      <c r="C181" s="141">
        <f>IFERROR(__xludf.DUMMYFUNCTION("""COMPUTED_VALUE"""),86.5)</f>
        <v/>
      </c>
      <c r="D181" s="141">
        <f>IFERROR(__xludf.DUMMYFUNCTION("""COMPUTED_VALUE"""),88.14)</f>
        <v/>
      </c>
      <c r="E181" s="141">
        <f>IFERROR(__xludf.DUMMYFUNCTION("""COMPUTED_VALUE"""),85.86)</f>
        <v/>
      </c>
      <c r="F181" s="141">
        <f>IFERROR(__xludf.DUMMYFUNCTION("""COMPUTED_VALUE"""),86.46)</f>
        <v/>
      </c>
      <c r="G181" s="143">
        <f>IFERROR(__xludf.DUMMYFUNCTION("""COMPUTED_VALUE"""),12723554)</f>
        <v/>
      </c>
      <c r="H181" s="27" t="n"/>
    </row>
    <row r="182" ht="17.25" customHeight="1" s="322">
      <c r="A182" s="27" t="n"/>
      <c r="B182" s="506">
        <f>IFERROR(__xludf.DUMMYFUNCTION("""COMPUTED_VALUE"""),46092.6666666666)</f>
        <v/>
      </c>
      <c r="C182" s="141">
        <f>IFERROR(__xludf.DUMMYFUNCTION("""COMPUTED_VALUE"""),85.32)</f>
        <v/>
      </c>
      <c r="D182" s="141">
        <f>IFERROR(__xludf.DUMMYFUNCTION("""COMPUTED_VALUE"""),86.18)</f>
        <v/>
      </c>
      <c r="E182" s="141">
        <f>IFERROR(__xludf.DUMMYFUNCTION("""COMPUTED_VALUE"""),84.99)</f>
        <v/>
      </c>
      <c r="F182" s="141">
        <f>IFERROR(__xludf.DUMMYFUNCTION("""COMPUTED_VALUE"""),85.73)</f>
        <v/>
      </c>
      <c r="G182" s="143">
        <f>IFERROR(__xludf.DUMMYFUNCTION("""COMPUTED_VALUE"""),8071862)</f>
        <v/>
      </c>
      <c r="H182" s="27" t="n"/>
    </row>
    <row r="183" ht="17.25" customHeight="1" s="322">
      <c r="A183" s="27" t="n"/>
      <c r="B183" s="506">
        <f>IFERROR(__xludf.DUMMYFUNCTION("""COMPUTED_VALUE"""),46093.6666666666)</f>
        <v/>
      </c>
      <c r="C183" s="141">
        <f>IFERROR(__xludf.DUMMYFUNCTION("""COMPUTED_VALUE"""),84.81)</f>
        <v/>
      </c>
      <c r="D183" s="141">
        <f>IFERROR(__xludf.DUMMYFUNCTION("""COMPUTED_VALUE"""),84.92)</f>
        <v/>
      </c>
      <c r="E183" s="141">
        <f>IFERROR(__xludf.DUMMYFUNCTION("""COMPUTED_VALUE"""),83.76)</f>
        <v/>
      </c>
      <c r="F183" s="141">
        <f>IFERROR(__xludf.DUMMYFUNCTION("""COMPUTED_VALUE"""),84.19)</f>
        <v/>
      </c>
      <c r="G183" s="143">
        <f>IFERROR(__xludf.DUMMYFUNCTION("""COMPUTED_VALUE"""),13356744)</f>
        <v/>
      </c>
      <c r="H183" s="27" t="n"/>
    </row>
    <row r="184" ht="17.25" customHeight="1" s="322">
      <c r="A184" s="27" t="n"/>
      <c r="B184" s="506">
        <f>IFERROR(__xludf.DUMMYFUNCTION("""COMPUTED_VALUE"""),46094.6666666666)</f>
        <v/>
      </c>
      <c r="C184" s="141">
        <f>IFERROR(__xludf.DUMMYFUNCTION("""COMPUTED_VALUE"""),84.5)</f>
        <v/>
      </c>
      <c r="D184" s="141">
        <f>IFERROR(__xludf.DUMMYFUNCTION("""COMPUTED_VALUE"""),84.79)</f>
        <v/>
      </c>
      <c r="E184" s="141">
        <f>IFERROR(__xludf.DUMMYFUNCTION("""COMPUTED_VALUE"""),83.21)</f>
        <v/>
      </c>
      <c r="F184" s="141">
        <f>IFERROR(__xludf.DUMMYFUNCTION("""COMPUTED_VALUE"""),83.36)</f>
        <v/>
      </c>
      <c r="G184" s="143">
        <f>IFERROR(__xludf.DUMMYFUNCTION("""COMPUTED_VALUE"""),10036492)</f>
        <v/>
      </c>
      <c r="H184" s="27" t="n"/>
    </row>
    <row r="185" ht="17.25" customHeight="1" s="322">
      <c r="A185" s="27" t="n"/>
      <c r="B185" s="506">
        <f>IFERROR(__xludf.DUMMYFUNCTION("""COMPUTED_VALUE"""),46097.6666666666)</f>
        <v/>
      </c>
      <c r="C185" s="141">
        <f>IFERROR(__xludf.DUMMYFUNCTION("""COMPUTED_VALUE"""),84.69)</f>
        <v/>
      </c>
      <c r="D185" s="141">
        <f>IFERROR(__xludf.DUMMYFUNCTION("""COMPUTED_VALUE"""),85.32)</f>
        <v/>
      </c>
      <c r="E185" s="141">
        <f>IFERROR(__xludf.DUMMYFUNCTION("""COMPUTED_VALUE"""),84.52)</f>
        <v/>
      </c>
      <c r="F185" s="141">
        <f>IFERROR(__xludf.DUMMYFUNCTION("""COMPUTED_VALUE"""),85.07)</f>
        <v/>
      </c>
      <c r="G185" s="143">
        <f>IFERROR(__xludf.DUMMYFUNCTION("""COMPUTED_VALUE"""),6784672)</f>
        <v/>
      </c>
      <c r="H185" s="27" t="n"/>
    </row>
    <row r="186" ht="17.25" customHeight="1" s="322">
      <c r="A186" s="27" t="n"/>
      <c r="B186" s="506">
        <f>IFERROR(__xludf.DUMMYFUNCTION("""COMPUTED_VALUE"""),46098.6666666666)</f>
        <v/>
      </c>
      <c r="C186" s="141">
        <f>IFERROR(__xludf.DUMMYFUNCTION("""COMPUTED_VALUE"""),85.56)</f>
        <v/>
      </c>
      <c r="D186" s="141">
        <f>IFERROR(__xludf.DUMMYFUNCTION("""COMPUTED_VALUE"""),85.64)</f>
        <v/>
      </c>
      <c r="E186" s="141">
        <f>IFERROR(__xludf.DUMMYFUNCTION("""COMPUTED_VALUE"""),84.86)</f>
        <v/>
      </c>
      <c r="F186" s="141">
        <f>IFERROR(__xludf.DUMMYFUNCTION("""COMPUTED_VALUE"""),85.08)</f>
        <v/>
      </c>
      <c r="G186" s="143">
        <f>IFERROR(__xludf.DUMMYFUNCTION("""COMPUTED_VALUE"""),5197758)</f>
        <v/>
      </c>
      <c r="H186" s="27" t="n"/>
    </row>
    <row r="187" ht="17.25" customHeight="1" s="322">
      <c r="A187" s="27" t="n"/>
      <c r="B187" s="506">
        <f>IFERROR(__xludf.DUMMYFUNCTION("""COMPUTED_VALUE"""),46099.6666666666)</f>
        <v/>
      </c>
      <c r="C187" s="141">
        <f>IFERROR(__xludf.DUMMYFUNCTION("""COMPUTED_VALUE"""),84.82)</f>
        <v/>
      </c>
      <c r="D187" s="141">
        <f>IFERROR(__xludf.DUMMYFUNCTION("""COMPUTED_VALUE"""),85.14)</f>
        <v/>
      </c>
      <c r="E187" s="141">
        <f>IFERROR(__xludf.DUMMYFUNCTION("""COMPUTED_VALUE"""),84.05)</f>
        <v/>
      </c>
      <c r="F187" s="141">
        <f>IFERROR(__xludf.DUMMYFUNCTION("""COMPUTED_VALUE"""),84.15)</f>
        <v/>
      </c>
      <c r="G187" s="143">
        <f>IFERROR(__xludf.DUMMYFUNCTION("""COMPUTED_VALUE"""),8642605)</f>
        <v/>
      </c>
      <c r="H187" s="27" t="n"/>
    </row>
    <row r="188" ht="17.25" customHeight="1" s="322">
      <c r="A188" s="27" t="n"/>
      <c r="B188" s="506">
        <f>IFERROR(__xludf.DUMMYFUNCTION("""COMPUTED_VALUE"""),46100.6666666666)</f>
        <v/>
      </c>
      <c r="C188" s="141">
        <f>IFERROR(__xludf.DUMMYFUNCTION("""COMPUTED_VALUE"""),82.15)</f>
        <v/>
      </c>
      <c r="D188" s="141">
        <f>IFERROR(__xludf.DUMMYFUNCTION("""COMPUTED_VALUE"""),84.48)</f>
        <v/>
      </c>
      <c r="E188" s="141">
        <f>IFERROR(__xludf.DUMMYFUNCTION("""COMPUTED_VALUE"""),82.14)</f>
        <v/>
      </c>
      <c r="F188" s="141">
        <f>IFERROR(__xludf.DUMMYFUNCTION("""COMPUTED_VALUE"""),84.08)</f>
        <v/>
      </c>
      <c r="G188" s="143">
        <f>IFERROR(__xludf.DUMMYFUNCTION("""COMPUTED_VALUE"""),8664701)</f>
        <v/>
      </c>
      <c r="H188" s="27" t="n"/>
    </row>
    <row r="189" ht="17.25" customHeight="1" s="322">
      <c r="A189" s="27" t="n"/>
      <c r="B189" s="506">
        <f>IFERROR(__xludf.DUMMYFUNCTION("""COMPUTED_VALUE"""),46101.6666666666)</f>
        <v/>
      </c>
      <c r="C189" s="141">
        <f>IFERROR(__xludf.DUMMYFUNCTION("""COMPUTED_VALUE"""),83.8)</f>
        <v/>
      </c>
      <c r="D189" s="141">
        <f>IFERROR(__xludf.DUMMYFUNCTION("""COMPUTED_VALUE"""),83.91)</f>
        <v/>
      </c>
      <c r="E189" s="141">
        <f>IFERROR(__xludf.DUMMYFUNCTION("""COMPUTED_VALUE"""),80.85)</f>
        <v/>
      </c>
      <c r="F189" s="141">
        <f>IFERROR(__xludf.DUMMYFUNCTION("""COMPUTED_VALUE"""),81.2)</f>
        <v/>
      </c>
      <c r="G189" s="143">
        <f>IFERROR(__xludf.DUMMYFUNCTION("""COMPUTED_VALUE"""),19746929)</f>
        <v/>
      </c>
      <c r="H189" s="27" t="n"/>
    </row>
    <row r="190" ht="17.25" customHeight="1" s="322">
      <c r="A190" s="27" t="n"/>
      <c r="B190" s="506">
        <f>IFERROR(__xludf.DUMMYFUNCTION("""COMPUTED_VALUE"""),46104.6666666666)</f>
        <v/>
      </c>
      <c r="C190" s="141">
        <f>IFERROR(__xludf.DUMMYFUNCTION("""COMPUTED_VALUE"""),83.6)</f>
        <v/>
      </c>
      <c r="D190" s="141">
        <f>IFERROR(__xludf.DUMMYFUNCTION("""COMPUTED_VALUE"""),84.6)</f>
        <v/>
      </c>
      <c r="E190" s="141">
        <f>IFERROR(__xludf.DUMMYFUNCTION("""COMPUTED_VALUE"""),82.73)</f>
        <v/>
      </c>
      <c r="F190" s="141">
        <f>IFERROR(__xludf.DUMMYFUNCTION("""COMPUTED_VALUE"""),83.55)</f>
        <v/>
      </c>
      <c r="G190" s="143">
        <f>IFERROR(__xludf.DUMMYFUNCTION("""COMPUTED_VALUE"""),17234520)</f>
        <v/>
      </c>
      <c r="H190" s="27" t="n"/>
    </row>
    <row r="191" ht="17.25" customHeight="1" s="322">
      <c r="A191" s="27" t="n"/>
      <c r="B191" s="506">
        <f>IFERROR(__xludf.DUMMYFUNCTION("""COMPUTED_VALUE"""),46105.6666666666)</f>
        <v/>
      </c>
      <c r="C191" s="141">
        <f>IFERROR(__xludf.DUMMYFUNCTION("""COMPUTED_VALUE"""),82.91)</f>
        <v/>
      </c>
      <c r="D191" s="141">
        <f>IFERROR(__xludf.DUMMYFUNCTION("""COMPUTED_VALUE"""),83.87)</f>
        <v/>
      </c>
      <c r="E191" s="141">
        <f>IFERROR(__xludf.DUMMYFUNCTION("""COMPUTED_VALUE"""),82.63)</f>
        <v/>
      </c>
      <c r="F191" s="141">
        <f>IFERROR(__xludf.DUMMYFUNCTION("""COMPUTED_VALUE"""),83.28)</f>
        <v/>
      </c>
      <c r="G191" s="143">
        <f>IFERROR(__xludf.DUMMYFUNCTION("""COMPUTED_VALUE"""),7210280)</f>
        <v/>
      </c>
      <c r="H191" s="27" t="n"/>
    </row>
    <row r="192" ht="17.25" customHeight="1" s="322">
      <c r="A192" s="27" t="n"/>
      <c r="B192" s="506">
        <f>IFERROR(__xludf.DUMMYFUNCTION("""COMPUTED_VALUE"""),46106.6666666666)</f>
        <v/>
      </c>
      <c r="C192" s="141">
        <f>IFERROR(__xludf.DUMMYFUNCTION("""COMPUTED_VALUE"""),84.85)</f>
        <v/>
      </c>
      <c r="D192" s="141">
        <f>IFERROR(__xludf.DUMMYFUNCTION("""COMPUTED_VALUE"""),85.24)</f>
        <v/>
      </c>
      <c r="E192" s="141">
        <f>IFERROR(__xludf.DUMMYFUNCTION("""COMPUTED_VALUE"""),84.35)</f>
        <v/>
      </c>
      <c r="F192" s="141">
        <f>IFERROR(__xludf.DUMMYFUNCTION("""COMPUTED_VALUE"""),84.75)</f>
        <v/>
      </c>
      <c r="G192" s="143">
        <f>IFERROR(__xludf.DUMMYFUNCTION("""COMPUTED_VALUE"""),7553473)</f>
        <v/>
      </c>
      <c r="H192" s="27" t="n"/>
    </row>
    <row r="193" ht="17.25" customHeight="1" s="322">
      <c r="A193" s="27" t="n"/>
      <c r="B193" s="506">
        <f>IFERROR(__xludf.DUMMYFUNCTION("""COMPUTED_VALUE"""),46107.6666666666)</f>
        <v/>
      </c>
      <c r="C193" s="141">
        <f>IFERROR(__xludf.DUMMYFUNCTION("""COMPUTED_VALUE"""),83.64)</f>
        <v/>
      </c>
      <c r="D193" s="141">
        <f>IFERROR(__xludf.DUMMYFUNCTION("""COMPUTED_VALUE"""),84.28)</f>
        <v/>
      </c>
      <c r="E193" s="141">
        <f>IFERROR(__xludf.DUMMYFUNCTION("""COMPUTED_VALUE"""),82.66)</f>
        <v/>
      </c>
      <c r="F193" s="141">
        <f>IFERROR(__xludf.DUMMYFUNCTION("""COMPUTED_VALUE"""),82.71)</f>
        <v/>
      </c>
      <c r="G193" s="143">
        <f>IFERROR(__xludf.DUMMYFUNCTION("""COMPUTED_VALUE"""),5882962)</f>
        <v/>
      </c>
      <c r="H193" s="27" t="n"/>
    </row>
    <row r="194" ht="17.25" customHeight="1" s="322">
      <c r="A194" s="27" t="n"/>
      <c r="B194" s="506">
        <f>IFERROR(__xludf.DUMMYFUNCTION("""COMPUTED_VALUE"""),46108.6666666666)</f>
        <v/>
      </c>
      <c r="C194" s="141">
        <f>IFERROR(__xludf.DUMMYFUNCTION("""COMPUTED_VALUE"""),82.3)</f>
        <v/>
      </c>
      <c r="D194" s="141">
        <f>IFERROR(__xludf.DUMMYFUNCTION("""COMPUTED_VALUE"""),82.53)</f>
        <v/>
      </c>
      <c r="E194" s="141">
        <f>IFERROR(__xludf.DUMMYFUNCTION("""COMPUTED_VALUE"""),81.19)</f>
        <v/>
      </c>
      <c r="F194" s="141">
        <f>IFERROR(__xludf.DUMMYFUNCTION("""COMPUTED_VALUE"""),81.43)</f>
        <v/>
      </c>
      <c r="G194" s="143">
        <f>IFERROR(__xludf.DUMMYFUNCTION("""COMPUTED_VALUE"""),14066609)</f>
        <v/>
      </c>
      <c r="H194" s="27" t="n"/>
    </row>
    <row r="195" ht="17.25" customHeight="1" s="322">
      <c r="A195" s="27" t="n"/>
      <c r="B195" s="506">
        <f>IFERROR(__xludf.DUMMYFUNCTION("""COMPUTED_VALUE"""),46111.6666666666)</f>
        <v/>
      </c>
      <c r="C195" s="141">
        <f>IFERROR(__xludf.DUMMYFUNCTION("""COMPUTED_VALUE"""),82.65)</f>
        <v/>
      </c>
      <c r="D195" s="141">
        <f>IFERROR(__xludf.DUMMYFUNCTION("""COMPUTED_VALUE"""),82.75)</f>
        <v/>
      </c>
      <c r="E195" s="141">
        <f>IFERROR(__xludf.DUMMYFUNCTION("""COMPUTED_VALUE"""),81.35)</f>
        <v/>
      </c>
      <c r="F195" s="141">
        <f>IFERROR(__xludf.DUMMYFUNCTION("""COMPUTED_VALUE"""),81.52)</f>
        <v/>
      </c>
      <c r="G195" s="143">
        <f>IFERROR(__xludf.DUMMYFUNCTION("""COMPUTED_VALUE"""),11806522)</f>
        <v/>
      </c>
      <c r="H195" s="27" t="n"/>
    </row>
    <row r="196" ht="17.25" customHeight="1" s="322">
      <c r="A196" s="27" t="n"/>
      <c r="B196" s="506">
        <f>IFERROR(__xludf.DUMMYFUNCTION("""COMPUTED_VALUE"""),46112.6666666666)</f>
        <v/>
      </c>
      <c r="C196" s="141">
        <f>IFERROR(__xludf.DUMMYFUNCTION("""COMPUTED_VALUE"""),82.45)</f>
        <v/>
      </c>
      <c r="D196" s="141">
        <f>IFERROR(__xludf.DUMMYFUNCTION("""COMPUTED_VALUE"""),84.49)</f>
        <v/>
      </c>
      <c r="E196" s="141">
        <f>IFERROR(__xludf.DUMMYFUNCTION("""COMPUTED_VALUE"""),82.17)</f>
        <v/>
      </c>
      <c r="F196" s="141">
        <f>IFERROR(__xludf.DUMMYFUNCTION("""COMPUTED_VALUE"""),84.44)</f>
        <v/>
      </c>
      <c r="G196" s="143">
        <f>IFERROR(__xludf.DUMMYFUNCTION("""COMPUTED_VALUE"""),12647232)</f>
        <v/>
      </c>
      <c r="H196" s="27" t="n"/>
    </row>
    <row r="197" ht="17.25" customHeight="1" s="322">
      <c r="A197" s="27" t="n"/>
      <c r="B197" s="506">
        <f>IFERROR(__xludf.DUMMYFUNCTION("""COMPUTED_VALUE"""),46113.6666666666)</f>
        <v/>
      </c>
      <c r="C197" s="141">
        <f>IFERROR(__xludf.DUMMYFUNCTION("""COMPUTED_VALUE"""),86.66)</f>
        <v/>
      </c>
      <c r="D197" s="141">
        <f>IFERROR(__xludf.DUMMYFUNCTION("""COMPUTED_VALUE"""),87.36)</f>
        <v/>
      </c>
      <c r="E197" s="141">
        <f>IFERROR(__xludf.DUMMYFUNCTION("""COMPUTED_VALUE"""),86.27)</f>
        <v/>
      </c>
      <c r="F197" s="141">
        <f>IFERROR(__xludf.DUMMYFUNCTION("""COMPUTED_VALUE"""),86.48)</f>
        <v/>
      </c>
      <c r="G197" s="143">
        <f>IFERROR(__xludf.DUMMYFUNCTION("""COMPUTED_VALUE"""),14766012)</f>
        <v/>
      </c>
      <c r="H197" s="27" t="n"/>
    </row>
    <row r="198" ht="17.25" customHeight="1" s="322">
      <c r="A198" s="27" t="n"/>
      <c r="B198" s="506">
        <f>IFERROR(__xludf.DUMMYFUNCTION("""COMPUTED_VALUE"""),46114.6666666666)</f>
        <v/>
      </c>
      <c r="C198" s="141">
        <f>IFERROR(__xludf.DUMMYFUNCTION("""COMPUTED_VALUE"""),83.98)</f>
        <v/>
      </c>
      <c r="D198" s="141">
        <f>IFERROR(__xludf.DUMMYFUNCTION("""COMPUTED_VALUE"""),85.84)</f>
        <v/>
      </c>
      <c r="E198" s="141">
        <f>IFERROR(__xludf.DUMMYFUNCTION("""COMPUTED_VALUE"""),83.74)</f>
        <v/>
      </c>
      <c r="F198" s="141">
        <f>IFERROR(__xludf.DUMMYFUNCTION("""COMPUTED_VALUE"""),85.29)</f>
        <v/>
      </c>
      <c r="G198" s="143">
        <f>IFERROR(__xludf.DUMMYFUNCTION("""COMPUTED_VALUE"""),6422092)</f>
        <v/>
      </c>
      <c r="H198" s="27" t="n"/>
    </row>
    <row r="199" ht="17.25" customHeight="1" s="322">
      <c r="A199" s="27" t="n"/>
      <c r="B199" s="506">
        <f>IFERROR(__xludf.DUMMYFUNCTION("""COMPUTED_VALUE"""),46118.6666666666)</f>
        <v/>
      </c>
      <c r="C199" s="141">
        <f>IFERROR(__xludf.DUMMYFUNCTION("""COMPUTED_VALUE"""),85.05)</f>
        <v/>
      </c>
      <c r="D199" s="141">
        <f>IFERROR(__xludf.DUMMYFUNCTION("""COMPUTED_VALUE"""),85.75)</f>
        <v/>
      </c>
      <c r="E199" s="141">
        <f>IFERROR(__xludf.DUMMYFUNCTION("""COMPUTED_VALUE"""),85.05)</f>
        <v/>
      </c>
      <c r="F199" s="141">
        <f>IFERROR(__xludf.DUMMYFUNCTION("""COMPUTED_VALUE"""),85.57)</f>
        <v/>
      </c>
      <c r="G199" s="143">
        <f>IFERROR(__xludf.DUMMYFUNCTION("""COMPUTED_VALUE"""),3819823)</f>
        <v/>
      </c>
      <c r="H199" s="27" t="n"/>
    </row>
    <row r="200" ht="17.25" customHeight="1" s="322">
      <c r="A200" s="27" t="n"/>
      <c r="B200" s="506">
        <f>IFERROR(__xludf.DUMMYFUNCTION("""COMPUTED_VALUE"""),46119.6666666666)</f>
        <v/>
      </c>
      <c r="C200" s="141">
        <f>IFERROR(__xludf.DUMMYFUNCTION("""COMPUTED_VALUE"""),84.88)</f>
        <v/>
      </c>
      <c r="D200" s="141">
        <f>IFERROR(__xludf.DUMMYFUNCTION("""COMPUTED_VALUE"""),85.7)</f>
        <v/>
      </c>
      <c r="E200" s="141">
        <f>IFERROR(__xludf.DUMMYFUNCTION("""COMPUTED_VALUE"""),83.82)</f>
        <v/>
      </c>
      <c r="F200" s="141">
        <f>IFERROR(__xludf.DUMMYFUNCTION("""COMPUTED_VALUE"""),85.51)</f>
        <v/>
      </c>
      <c r="G200" s="143">
        <f>IFERROR(__xludf.DUMMYFUNCTION("""COMPUTED_VALUE"""),17552101)</f>
        <v/>
      </c>
      <c r="H200" s="27" t="n"/>
    </row>
    <row r="201" ht="17.25" customHeight="1" s="322">
      <c r="A201" s="27" t="n"/>
      <c r="B201" s="506">
        <f>IFERROR(__xludf.DUMMYFUNCTION("""COMPUTED_VALUE"""),46120.6666666666)</f>
        <v/>
      </c>
      <c r="C201" s="141">
        <f>IFERROR(__xludf.DUMMYFUNCTION("""COMPUTED_VALUE"""),89.82)</f>
        <v/>
      </c>
      <c r="D201" s="141">
        <f>IFERROR(__xludf.DUMMYFUNCTION("""COMPUTED_VALUE"""),89.99)</f>
        <v/>
      </c>
      <c r="E201" s="141">
        <f>IFERROR(__xludf.DUMMYFUNCTION("""COMPUTED_VALUE"""),88.83)</f>
        <v/>
      </c>
      <c r="F201" s="141">
        <f>IFERROR(__xludf.DUMMYFUNCTION("""COMPUTED_VALUE"""),89.41)</f>
        <v/>
      </c>
      <c r="G201" s="143">
        <f>IFERROR(__xludf.DUMMYFUNCTION("""COMPUTED_VALUE"""),14590359)</f>
        <v/>
      </c>
      <c r="H201" s="27" t="n"/>
    </row>
    <row r="202" ht="17.25" customHeight="1" s="322">
      <c r="A202" s="27" t="n"/>
      <c r="B202" s="506">
        <f>IFERROR(__xludf.DUMMYFUNCTION("""COMPUTED_VALUE"""),46121.6666666666)</f>
        <v/>
      </c>
      <c r="C202" s="141">
        <f>IFERROR(__xludf.DUMMYFUNCTION("""COMPUTED_VALUE"""),87.29)</f>
        <v/>
      </c>
      <c r="D202" s="141">
        <f>IFERROR(__xludf.DUMMYFUNCTION("""COMPUTED_VALUE"""),88.77)</f>
        <v/>
      </c>
      <c r="E202" s="141">
        <f>IFERROR(__xludf.DUMMYFUNCTION("""COMPUTED_VALUE"""),86.99)</f>
        <v/>
      </c>
      <c r="F202" s="141">
        <f>IFERROR(__xludf.DUMMYFUNCTION("""COMPUTED_VALUE"""),88.22)</f>
        <v/>
      </c>
      <c r="G202" s="143">
        <f>IFERROR(__xludf.DUMMYFUNCTION("""COMPUTED_VALUE"""),7396191)</f>
        <v/>
      </c>
      <c r="H202" s="27" t="n"/>
    </row>
    <row r="203" ht="17.25" customHeight="1" s="322">
      <c r="A203" s="27" t="n"/>
      <c r="B203" s="506">
        <f>IFERROR(__xludf.DUMMYFUNCTION("""COMPUTED_VALUE"""),46122.6666666666)</f>
        <v/>
      </c>
      <c r="C203" s="141">
        <f>IFERROR(__xludf.DUMMYFUNCTION("""COMPUTED_VALUE"""),88.18)</f>
        <v/>
      </c>
      <c r="D203" s="141">
        <f>IFERROR(__xludf.DUMMYFUNCTION("""COMPUTED_VALUE"""),88.38)</f>
        <v/>
      </c>
      <c r="E203" s="141">
        <f>IFERROR(__xludf.DUMMYFUNCTION("""COMPUTED_VALUE"""),87.79)</f>
        <v/>
      </c>
      <c r="F203" s="141">
        <f>IFERROR(__xludf.DUMMYFUNCTION("""COMPUTED_VALUE"""),88.13)</f>
        <v/>
      </c>
      <c r="G203" s="143">
        <f>IFERROR(__xludf.DUMMYFUNCTION("""COMPUTED_VALUE"""),4469814)</f>
        <v/>
      </c>
      <c r="H203" s="27" t="n"/>
    </row>
    <row r="204" ht="17.25" customHeight="1" s="322">
      <c r="A204" s="27" t="n"/>
      <c r="B204" s="506">
        <f>IFERROR(__xludf.DUMMYFUNCTION("""COMPUTED_VALUE"""),46125.6666666666)</f>
        <v/>
      </c>
      <c r="C204" s="141">
        <f>IFERROR(__xludf.DUMMYFUNCTION("""COMPUTED_VALUE"""),86.78)</f>
        <v/>
      </c>
      <c r="D204" s="141">
        <f>IFERROR(__xludf.DUMMYFUNCTION("""COMPUTED_VALUE"""),88.4)</f>
        <v/>
      </c>
      <c r="E204" s="141">
        <f>IFERROR(__xludf.DUMMYFUNCTION("""COMPUTED_VALUE"""),86.6)</f>
        <v/>
      </c>
      <c r="F204" s="141">
        <f>IFERROR(__xludf.DUMMYFUNCTION("""COMPUTED_VALUE"""),88.35)</f>
        <v/>
      </c>
      <c r="G204" s="143">
        <f>IFERROR(__xludf.DUMMYFUNCTION("""COMPUTED_VALUE"""),9482436)</f>
        <v/>
      </c>
      <c r="H204" s="27" t="n"/>
    </row>
    <row r="205" ht="17.25" customHeight="1" s="322">
      <c r="A205" s="27" t="n"/>
      <c r="B205" s="506">
        <f>IFERROR(__xludf.DUMMYFUNCTION("""COMPUTED_VALUE"""),46126.6666666666)</f>
        <v/>
      </c>
      <c r="C205" s="141">
        <f>IFERROR(__xludf.DUMMYFUNCTION("""COMPUTED_VALUE"""),88.69)</f>
        <v/>
      </c>
      <c r="D205" s="141">
        <f>IFERROR(__xludf.DUMMYFUNCTION("""COMPUTED_VALUE"""),89.6)</f>
        <v/>
      </c>
      <c r="E205" s="141">
        <f>IFERROR(__xludf.DUMMYFUNCTION("""COMPUTED_VALUE"""),88.66)</f>
        <v/>
      </c>
      <c r="F205" s="141">
        <f>IFERROR(__xludf.DUMMYFUNCTION("""COMPUTED_VALUE"""),89.41)</f>
        <v/>
      </c>
      <c r="G205" s="143">
        <f>IFERROR(__xludf.DUMMYFUNCTION("""COMPUTED_VALUE"""),9458070)</f>
        <v/>
      </c>
      <c r="H205" s="27" t="n"/>
    </row>
    <row r="206" ht="17.25" customHeight="1" s="322">
      <c r="A206" s="27" t="n"/>
      <c r="B206" s="506">
        <f>IFERROR(__xludf.DUMMYFUNCTION("""COMPUTED_VALUE"""),46127.6666666666)</f>
        <v/>
      </c>
      <c r="C206" s="141">
        <f>IFERROR(__xludf.DUMMYFUNCTION("""COMPUTED_VALUE"""),88.91)</f>
        <v/>
      </c>
      <c r="D206" s="141">
        <f>IFERROR(__xludf.DUMMYFUNCTION("""COMPUTED_VALUE"""),89.17)</f>
        <v/>
      </c>
      <c r="E206" s="141">
        <f>IFERROR(__xludf.DUMMYFUNCTION("""COMPUTED_VALUE"""),88.68)</f>
        <v/>
      </c>
      <c r="F206" s="141">
        <f>IFERROR(__xludf.DUMMYFUNCTION("""COMPUTED_VALUE"""),89.07)</f>
        <v/>
      </c>
      <c r="G206" s="143">
        <f>IFERROR(__xludf.DUMMYFUNCTION("""COMPUTED_VALUE"""),3739941)</f>
        <v/>
      </c>
      <c r="H206" s="27" t="n"/>
    </row>
    <row r="207" ht="17.25" customHeight="1" s="322">
      <c r="A207" s="27" t="n"/>
      <c r="B207" s="506">
        <f>IFERROR(__xludf.DUMMYFUNCTION("""COMPUTED_VALUE"""),46128.6666666666)</f>
        <v/>
      </c>
      <c r="C207" s="141">
        <f>IFERROR(__xludf.DUMMYFUNCTION("""COMPUTED_VALUE"""),89.64)</f>
        <v/>
      </c>
      <c r="D207" s="141">
        <f>IFERROR(__xludf.DUMMYFUNCTION("""COMPUTED_VALUE"""),89.68)</f>
        <v/>
      </c>
      <c r="E207" s="141">
        <f>IFERROR(__xludf.DUMMYFUNCTION("""COMPUTED_VALUE"""),89.09)</f>
        <v/>
      </c>
      <c r="F207" s="141">
        <f>IFERROR(__xludf.DUMMYFUNCTION("""COMPUTED_VALUE"""),89.41)</f>
        <v/>
      </c>
      <c r="G207" s="143">
        <f>IFERROR(__xludf.DUMMYFUNCTION("""COMPUTED_VALUE"""),3630075)</f>
        <v/>
      </c>
      <c r="H207" s="27" t="n"/>
    </row>
    <row r="208" ht="17.25" customHeight="1" s="322">
      <c r="A208" s="27" t="n"/>
      <c r="B208" s="506">
        <f>IFERROR(__xludf.DUMMYFUNCTION("""COMPUTED_VALUE"""),46129.6666666666)</f>
        <v/>
      </c>
      <c r="C208" s="141">
        <f>IFERROR(__xludf.DUMMYFUNCTION("""COMPUTED_VALUE"""),90.03)</f>
        <v/>
      </c>
      <c r="D208" s="141">
        <f>IFERROR(__xludf.DUMMYFUNCTION("""COMPUTED_VALUE"""),91.03)</f>
        <v/>
      </c>
      <c r="E208" s="141">
        <f>IFERROR(__xludf.DUMMYFUNCTION("""COMPUTED_VALUE"""),89.86)</f>
        <v/>
      </c>
      <c r="F208" s="141">
        <f>IFERROR(__xludf.DUMMYFUNCTION("""COMPUTED_VALUE"""),90.19)</f>
        <v/>
      </c>
      <c r="G208" s="143">
        <f>IFERROR(__xludf.DUMMYFUNCTION("""COMPUTED_VALUE"""),5913820)</f>
        <v/>
      </c>
      <c r="H208" s="27" t="n"/>
    </row>
    <row r="209" ht="17.25" customHeight="1" s="322">
      <c r="A209" s="27" t="n"/>
      <c r="B209" s="506">
        <f>IFERROR(__xludf.DUMMYFUNCTION("""COMPUTED_VALUE"""),46132.6666666666)</f>
        <v/>
      </c>
      <c r="C209" s="141">
        <f>IFERROR(__xludf.DUMMYFUNCTION("""COMPUTED_VALUE"""),89.27)</f>
        <v/>
      </c>
      <c r="D209" s="141">
        <f>IFERROR(__xludf.DUMMYFUNCTION("""COMPUTED_VALUE"""),89.47)</f>
        <v/>
      </c>
      <c r="E209" s="141">
        <f>IFERROR(__xludf.DUMMYFUNCTION("""COMPUTED_VALUE"""),88.81)</f>
        <v/>
      </c>
      <c r="F209" s="141">
        <f>IFERROR(__xludf.DUMMYFUNCTION("""COMPUTED_VALUE"""),89.33)</f>
        <v/>
      </c>
      <c r="G209" s="143">
        <f>IFERROR(__xludf.DUMMYFUNCTION("""COMPUTED_VALUE"""),5479129)</f>
        <v/>
      </c>
      <c r="H209" s="27" t="n"/>
    </row>
    <row r="210" ht="17.25" customHeight="1" s="322">
      <c r="A210" s="27" t="n"/>
      <c r="B210" s="506">
        <f>IFERROR(__xludf.DUMMYFUNCTION("""COMPUTED_VALUE"""),46133.6666666666)</f>
        <v/>
      </c>
      <c r="C210" s="141">
        <f>IFERROR(__xludf.DUMMYFUNCTION("""COMPUTED_VALUE"""),88.18)</f>
        <v/>
      </c>
      <c r="D210" s="141">
        <f>IFERROR(__xludf.DUMMYFUNCTION("""COMPUTED_VALUE"""),88.43)</f>
        <v/>
      </c>
      <c r="E210" s="141">
        <f>IFERROR(__xludf.DUMMYFUNCTION("""COMPUTED_VALUE"""),86.99)</f>
        <v/>
      </c>
      <c r="F210" s="141">
        <f>IFERROR(__xludf.DUMMYFUNCTION("""COMPUTED_VALUE"""),87.14)</f>
        <v/>
      </c>
      <c r="G210" s="143">
        <f>IFERROR(__xludf.DUMMYFUNCTION("""COMPUTED_VALUE"""),8155038)</f>
        <v/>
      </c>
      <c r="H210" s="27" t="n"/>
    </row>
    <row r="211" ht="17.25" customHeight="1" s="322">
      <c r="A211" s="27" t="n"/>
      <c r="B211" s="506">
        <f>IFERROR(__xludf.DUMMYFUNCTION("""COMPUTED_VALUE"""),46134.6666666666)</f>
        <v/>
      </c>
      <c r="C211" s="141">
        <f>IFERROR(__xludf.DUMMYFUNCTION("""COMPUTED_VALUE"""),87.7)</f>
        <v/>
      </c>
      <c r="D211" s="141">
        <f>IFERROR(__xludf.DUMMYFUNCTION("""COMPUTED_VALUE"""),87.83)</f>
        <v/>
      </c>
      <c r="E211" s="141">
        <f>IFERROR(__xludf.DUMMYFUNCTION("""COMPUTED_VALUE"""),87.38)</f>
        <v/>
      </c>
      <c r="F211" s="141">
        <f>IFERROR(__xludf.DUMMYFUNCTION("""COMPUTED_VALUE"""),87.76)</f>
        <v/>
      </c>
      <c r="G211" s="143">
        <f>IFERROR(__xludf.DUMMYFUNCTION("""COMPUTED_VALUE"""),3590504)</f>
        <v/>
      </c>
      <c r="H211" s="27" t="n"/>
    </row>
    <row r="212" ht="17.25" customHeight="1" s="322">
      <c r="A212" s="27" t="n"/>
      <c r="B212" s="506">
        <f>IFERROR(__xludf.DUMMYFUNCTION("""COMPUTED_VALUE"""),46135.6666666666)</f>
        <v/>
      </c>
      <c r="C212" s="141">
        <f>IFERROR(__xludf.DUMMYFUNCTION("""COMPUTED_VALUE"""),87.49)</f>
        <v/>
      </c>
      <c r="D212" s="141">
        <f>IFERROR(__xludf.DUMMYFUNCTION("""COMPUTED_VALUE"""),87.8)</f>
        <v/>
      </c>
      <c r="E212" s="141">
        <f>IFERROR(__xludf.DUMMYFUNCTION("""COMPUTED_VALUE"""),86.12)</f>
        <v/>
      </c>
      <c r="F212" s="141">
        <f>IFERROR(__xludf.DUMMYFUNCTION("""COMPUTED_VALUE"""),87.07)</f>
        <v/>
      </c>
      <c r="G212" s="143">
        <f>IFERROR(__xludf.DUMMYFUNCTION("""COMPUTED_VALUE"""),5174787)</f>
        <v/>
      </c>
      <c r="H212" s="27" t="n"/>
    </row>
    <row r="213" ht="17.25" customHeight="1" s="322">
      <c r="A213" s="27" t="n"/>
      <c r="B213" s="506">
        <f>IFERROR(__xludf.DUMMYFUNCTION("""COMPUTED_VALUE"""),46136.6666666666)</f>
        <v/>
      </c>
      <c r="C213" s="141">
        <f>IFERROR(__xludf.DUMMYFUNCTION("""COMPUTED_VALUE"""),86.93)</f>
        <v/>
      </c>
      <c r="D213" s="141">
        <f>IFERROR(__xludf.DUMMYFUNCTION("""COMPUTED_VALUE"""),87.54)</f>
        <v/>
      </c>
      <c r="E213" s="141">
        <f>IFERROR(__xludf.DUMMYFUNCTION("""COMPUTED_VALUE"""),86.67)</f>
        <v/>
      </c>
      <c r="F213" s="141">
        <f>IFERROR(__xludf.DUMMYFUNCTION("""COMPUTED_VALUE"""),87.32)</f>
        <v/>
      </c>
      <c r="G213" s="143">
        <f>IFERROR(__xludf.DUMMYFUNCTION("""COMPUTED_VALUE"""),5262602)</f>
        <v/>
      </c>
      <c r="H213" s="27" t="n"/>
    </row>
    <row r="214" ht="17.25" customHeight="1" s="322">
      <c r="A214" s="27" t="n"/>
      <c r="B214" s="506">
        <f>IFERROR(__xludf.DUMMYFUNCTION("""COMPUTED_VALUE"""),46139.6666666666)</f>
        <v/>
      </c>
      <c r="C214" s="141">
        <f>IFERROR(__xludf.DUMMYFUNCTION("""COMPUTED_VALUE"""),88.03)</f>
        <v/>
      </c>
      <c r="D214" s="141">
        <f>IFERROR(__xludf.DUMMYFUNCTION("""COMPUTED_VALUE"""),88.36)</f>
        <v/>
      </c>
      <c r="E214" s="141">
        <f>IFERROR(__xludf.DUMMYFUNCTION("""COMPUTED_VALUE"""),87.56)</f>
        <v/>
      </c>
      <c r="F214" s="141">
        <f>IFERROR(__xludf.DUMMYFUNCTION("""COMPUTED_VALUE"""),87.68)</f>
        <v/>
      </c>
      <c r="G214" s="143">
        <f>IFERROR(__xludf.DUMMYFUNCTION("""COMPUTED_VALUE"""),4086342)</f>
        <v/>
      </c>
      <c r="H214" s="27" t="n"/>
    </row>
    <row r="215" ht="17.25" customHeight="1" s="322">
      <c r="A215" s="27" t="n"/>
      <c r="B215" s="506">
        <f>IFERROR(__xludf.DUMMYFUNCTION("""COMPUTED_VALUE"""),46140.6666666666)</f>
        <v/>
      </c>
      <c r="C215" s="141">
        <f>IFERROR(__xludf.DUMMYFUNCTION("""COMPUTED_VALUE"""),87.92)</f>
        <v/>
      </c>
      <c r="D215" s="141">
        <f>IFERROR(__xludf.DUMMYFUNCTION("""COMPUTED_VALUE"""),88.02)</f>
        <v/>
      </c>
      <c r="E215" s="141">
        <f>IFERROR(__xludf.DUMMYFUNCTION("""COMPUTED_VALUE"""),87.32)</f>
        <v/>
      </c>
      <c r="F215" s="141">
        <f>IFERROR(__xludf.DUMMYFUNCTION("""COMPUTED_VALUE"""),87.56)</f>
        <v/>
      </c>
      <c r="G215" s="143">
        <f>IFERROR(__xludf.DUMMYFUNCTION("""COMPUTED_VALUE"""),5663824)</f>
        <v/>
      </c>
      <c r="H215" s="27" t="n"/>
    </row>
    <row r="216" ht="17.25" customHeight="1" s="322">
      <c r="A216" s="27" t="n"/>
      <c r="B216" s="506">
        <f>IFERROR(__xludf.DUMMYFUNCTION("""COMPUTED_VALUE"""),46141.6666666666)</f>
        <v/>
      </c>
      <c r="C216" s="141">
        <f>IFERROR(__xludf.DUMMYFUNCTION("""COMPUTED_VALUE"""),87.16)</f>
        <v/>
      </c>
      <c r="D216" s="141">
        <f>IFERROR(__xludf.DUMMYFUNCTION("""COMPUTED_VALUE"""),87.26)</f>
        <v/>
      </c>
      <c r="E216" s="141">
        <f>IFERROR(__xludf.DUMMYFUNCTION("""COMPUTED_VALUE"""),86.41)</f>
        <v/>
      </c>
      <c r="F216" s="141">
        <f>IFERROR(__xludf.DUMMYFUNCTION("""COMPUTED_VALUE"""),86.81)</f>
        <v/>
      </c>
      <c r="G216" s="143">
        <f>IFERROR(__xludf.DUMMYFUNCTION("""COMPUTED_VALUE"""),5281567)</f>
        <v/>
      </c>
      <c r="H216" s="27" t="n"/>
    </row>
    <row r="217" ht="17.25" customHeight="1" s="322">
      <c r="A217" s="27" t="n"/>
      <c r="B217" s="506">
        <f>IFERROR(__xludf.DUMMYFUNCTION("""COMPUTED_VALUE"""),46142.6666666666)</f>
        <v/>
      </c>
      <c r="C217" s="141">
        <f>IFERROR(__xludf.DUMMYFUNCTION("""COMPUTED_VALUE"""),88.35)</f>
        <v/>
      </c>
      <c r="D217" s="141">
        <f>IFERROR(__xludf.DUMMYFUNCTION("""COMPUTED_VALUE"""),89.3)</f>
        <v/>
      </c>
      <c r="E217" s="141">
        <f>IFERROR(__xludf.DUMMYFUNCTION("""COMPUTED_VALUE"""),87.92)</f>
        <v/>
      </c>
      <c r="F217" s="141">
        <f>IFERROR(__xludf.DUMMYFUNCTION("""COMPUTED_VALUE"""),89.1)</f>
        <v/>
      </c>
      <c r="G217" s="143">
        <f>IFERROR(__xludf.DUMMYFUNCTION("""COMPUTED_VALUE"""),12083603)</f>
        <v/>
      </c>
      <c r="H217" s="27" t="n"/>
    </row>
    <row r="218" ht="17.25" customHeight="1" s="322">
      <c r="A218" s="27" t="n"/>
      <c r="B218" s="506">
        <f>IFERROR(__xludf.DUMMYFUNCTION("""COMPUTED_VALUE"""),46143.6666666666)</f>
        <v/>
      </c>
      <c r="C218" s="141">
        <f>IFERROR(__xludf.DUMMYFUNCTION("""COMPUTED_VALUE"""),88.21)</f>
        <v/>
      </c>
      <c r="D218" s="141">
        <f>IFERROR(__xludf.DUMMYFUNCTION("""COMPUTED_VALUE"""),88.87)</f>
        <v/>
      </c>
      <c r="E218" s="141">
        <f>IFERROR(__xludf.DUMMYFUNCTION("""COMPUTED_VALUE"""),87.91)</f>
        <v/>
      </c>
      <c r="F218" s="141">
        <f>IFERROR(__xludf.DUMMYFUNCTION("""COMPUTED_VALUE"""),88.3)</f>
        <v/>
      </c>
      <c r="G218" s="143">
        <f>IFERROR(__xludf.DUMMYFUNCTION("""COMPUTED_VALUE"""),5441149)</f>
        <v/>
      </c>
      <c r="H218" s="27" t="n"/>
    </row>
    <row r="219" ht="17.25" customHeight="1" s="322">
      <c r="A219" s="27" t="n"/>
      <c r="B219" s="506">
        <f>IFERROR(__xludf.DUMMYFUNCTION("""COMPUTED_VALUE"""),46146.6666666666)</f>
        <v/>
      </c>
      <c r="C219" s="141">
        <f>IFERROR(__xludf.DUMMYFUNCTION("""COMPUTED_VALUE"""),88.56)</f>
        <v/>
      </c>
      <c r="D219" s="141">
        <f>IFERROR(__xludf.DUMMYFUNCTION("""COMPUTED_VALUE"""),88.95)</f>
        <v/>
      </c>
      <c r="E219" s="141">
        <f>IFERROR(__xludf.DUMMYFUNCTION("""COMPUTED_VALUE"""),87.78)</f>
        <v/>
      </c>
      <c r="F219" s="141">
        <f>IFERROR(__xludf.DUMMYFUNCTION("""COMPUTED_VALUE"""),88.12)</f>
        <v/>
      </c>
      <c r="G219" s="143">
        <f>IFERROR(__xludf.DUMMYFUNCTION("""COMPUTED_VALUE"""),4303999)</f>
        <v/>
      </c>
      <c r="H219" s="27" t="n"/>
    </row>
    <row r="220" ht="17.25" customHeight="1" s="322">
      <c r="A220" s="27" t="n"/>
      <c r="B220" s="506">
        <f>IFERROR(__xludf.DUMMYFUNCTION("""COMPUTED_VALUE"""),46147.6666666666)</f>
        <v/>
      </c>
      <c r="C220" s="141">
        <f>IFERROR(__xludf.DUMMYFUNCTION("""COMPUTED_VALUE"""),88.6)</f>
        <v/>
      </c>
      <c r="D220" s="141">
        <f>IFERROR(__xludf.DUMMYFUNCTION("""COMPUTED_VALUE"""),89.29)</f>
        <v/>
      </c>
      <c r="E220" s="141">
        <f>IFERROR(__xludf.DUMMYFUNCTION("""COMPUTED_VALUE"""),88.48)</f>
        <v/>
      </c>
      <c r="F220" s="141">
        <f>IFERROR(__xludf.DUMMYFUNCTION("""COMPUTED_VALUE"""),89.26)</f>
        <v/>
      </c>
      <c r="G220" s="143">
        <f>IFERROR(__xludf.DUMMYFUNCTION("""COMPUTED_VALUE"""),4866022)</f>
        <v/>
      </c>
      <c r="H220" s="27" t="n"/>
    </row>
    <row r="221" ht="17.25" customHeight="1" s="322">
      <c r="A221" s="27" t="n"/>
      <c r="B221" s="506">
        <f>IFERROR(__xludf.DUMMYFUNCTION("""COMPUTED_VALUE"""),46148.6666666666)</f>
        <v/>
      </c>
      <c r="C221" s="141">
        <f>IFERROR(__xludf.DUMMYFUNCTION("""COMPUTED_VALUE"""),91.41)</f>
        <v/>
      </c>
      <c r="D221" s="141">
        <f>IFERROR(__xludf.DUMMYFUNCTION("""COMPUTED_VALUE"""),91.9)</f>
        <v/>
      </c>
      <c r="E221" s="141">
        <f>IFERROR(__xludf.DUMMYFUNCTION("""COMPUTED_VALUE"""),91.22)</f>
        <v/>
      </c>
      <c r="F221" s="141">
        <f>IFERROR(__xludf.DUMMYFUNCTION("""COMPUTED_VALUE"""),91.68)</f>
        <v/>
      </c>
      <c r="G221" s="143">
        <f>IFERROR(__xludf.DUMMYFUNCTION("""COMPUTED_VALUE"""),5400013)</f>
        <v/>
      </c>
      <c r="H221" s="27" t="n"/>
    </row>
    <row r="222" ht="17.25" customHeight="1" s="322">
      <c r="A222" s="27" t="n"/>
      <c r="B222" s="506">
        <f>IFERROR(__xludf.DUMMYFUNCTION("""COMPUTED_VALUE"""),46149.6666666666)</f>
        <v/>
      </c>
      <c r="C222" s="141">
        <f>IFERROR(__xludf.DUMMYFUNCTION("""COMPUTED_VALUE"""),91.78)</f>
        <v/>
      </c>
      <c r="D222" s="141">
        <f>IFERROR(__xludf.DUMMYFUNCTION("""COMPUTED_VALUE"""),91.97)</f>
        <v/>
      </c>
      <c r="E222" s="141">
        <f>IFERROR(__xludf.DUMMYFUNCTION("""COMPUTED_VALUE"""),90.8)</f>
        <v/>
      </c>
      <c r="F222" s="141">
        <f>IFERROR(__xludf.DUMMYFUNCTION("""COMPUTED_VALUE"""),90.99)</f>
        <v/>
      </c>
      <c r="G222" s="143">
        <f>IFERROR(__xludf.DUMMYFUNCTION("""COMPUTED_VALUE"""),6926130)</f>
        <v/>
      </c>
      <c r="H222" s="27" t="n"/>
    </row>
    <row r="223" ht="17.25" customHeight="1" s="322">
      <c r="A223" s="27" t="n"/>
      <c r="B223" s="506">
        <f>IFERROR(__xludf.DUMMYFUNCTION("""COMPUTED_VALUE"""),46150.6666666666)</f>
        <v/>
      </c>
      <c r="C223" s="141">
        <f>IFERROR(__xludf.DUMMYFUNCTION("""COMPUTED_VALUE"""),92.2)</f>
        <v/>
      </c>
      <c r="D223" s="141">
        <f>IFERROR(__xludf.DUMMYFUNCTION("""COMPUTED_VALUE"""),92.45)</f>
        <v/>
      </c>
      <c r="E223" s="141">
        <f>IFERROR(__xludf.DUMMYFUNCTION("""COMPUTED_VALUE"""),91.82)</f>
        <v/>
      </c>
      <c r="F223" s="141">
        <f>IFERROR(__xludf.DUMMYFUNCTION("""COMPUTED_VALUE"""),92.22)</f>
        <v/>
      </c>
      <c r="G223" s="143">
        <f>IFERROR(__xludf.DUMMYFUNCTION("""COMPUTED_VALUE"""),4426292)</f>
        <v/>
      </c>
      <c r="H223" s="27" t="n"/>
    </row>
    <row r="224" ht="17.25" customHeight="1" s="322">
      <c r="A224" s="27" t="n"/>
      <c r="B224" s="506">
        <f>IFERROR(__xludf.DUMMYFUNCTION("""COMPUTED_VALUE"""),46153.6666666666)</f>
        <v/>
      </c>
      <c r="C224" s="141">
        <f>IFERROR(__xludf.DUMMYFUNCTION("""COMPUTED_VALUE"""),92.08)</f>
        <v/>
      </c>
      <c r="D224" s="141">
        <f>IFERROR(__xludf.DUMMYFUNCTION("""COMPUTED_VALUE"""),92.48)</f>
        <v/>
      </c>
      <c r="E224" s="141">
        <f>IFERROR(__xludf.DUMMYFUNCTION("""COMPUTED_VALUE"""),92.03)</f>
        <v/>
      </c>
      <c r="F224" s="141">
        <f>IFERROR(__xludf.DUMMYFUNCTION("""COMPUTED_VALUE"""),92.26)</f>
        <v/>
      </c>
      <c r="G224" s="143">
        <f>IFERROR(__xludf.DUMMYFUNCTION("""COMPUTED_VALUE"""),4372678)</f>
        <v/>
      </c>
      <c r="H224" s="27" t="n"/>
    </row>
    <row r="225" ht="17.25" customHeight="1" s="322">
      <c r="A225" s="27" t="n"/>
      <c r="B225" s="506">
        <f>IFERROR(__xludf.DUMMYFUNCTION("""COMPUTED_VALUE"""),46154.6666666666)</f>
        <v/>
      </c>
      <c r="C225" s="141">
        <f>IFERROR(__xludf.DUMMYFUNCTION("""COMPUTED_VALUE"""),92.02)</f>
        <v/>
      </c>
      <c r="D225" s="141">
        <f>IFERROR(__xludf.DUMMYFUNCTION("""COMPUTED_VALUE"""),92.26)</f>
        <v/>
      </c>
      <c r="E225" s="141">
        <f>IFERROR(__xludf.DUMMYFUNCTION("""COMPUTED_VALUE"""),91.36)</f>
        <v/>
      </c>
      <c r="F225" s="141">
        <f>IFERROR(__xludf.DUMMYFUNCTION("""COMPUTED_VALUE"""),92.06)</f>
        <v/>
      </c>
      <c r="G225" s="143">
        <f>IFERROR(__xludf.DUMMYFUNCTION("""COMPUTED_VALUE"""),6548270)</f>
        <v/>
      </c>
      <c r="H225" s="27" t="n"/>
    </row>
    <row r="226" ht="17.25" customHeight="1" s="322">
      <c r="A226" s="27" t="n"/>
      <c r="B226" s="506">
        <f>IFERROR(__xludf.DUMMYFUNCTION("""COMPUTED_VALUE"""),46155.6666666666)</f>
        <v/>
      </c>
      <c r="C226" s="141">
        <f>IFERROR(__xludf.DUMMYFUNCTION("""COMPUTED_VALUE"""),92.69)</f>
        <v/>
      </c>
      <c r="D226" s="141">
        <f>IFERROR(__xludf.DUMMYFUNCTION("""COMPUTED_VALUE"""),93.27)</f>
        <v/>
      </c>
      <c r="E226" s="141">
        <f>IFERROR(__xludf.DUMMYFUNCTION("""COMPUTED_VALUE"""),92.55)</f>
        <v/>
      </c>
      <c r="F226" s="141">
        <f>IFERROR(__xludf.DUMMYFUNCTION("""COMPUTED_VALUE"""),93.09)</f>
        <v/>
      </c>
      <c r="G226" s="143">
        <f>IFERROR(__xludf.DUMMYFUNCTION("""COMPUTED_VALUE"""),5348341)</f>
        <v/>
      </c>
      <c r="H226" s="27" t="n"/>
    </row>
    <row r="227" ht="17.25" customHeight="1" s="322">
      <c r="A227" s="27" t="n"/>
      <c r="B227" s="506">
        <f>IFERROR(__xludf.DUMMYFUNCTION("""COMPUTED_VALUE"""),46156.6666666666)</f>
        <v/>
      </c>
      <c r="C227" s="141">
        <f>IFERROR(__xludf.DUMMYFUNCTION("""COMPUTED_VALUE"""),92.37)</f>
        <v/>
      </c>
      <c r="D227" s="141">
        <f>IFERROR(__xludf.DUMMYFUNCTION("""COMPUTED_VALUE"""),92.49)</f>
        <v/>
      </c>
      <c r="E227" s="141">
        <f>IFERROR(__xludf.DUMMYFUNCTION("""COMPUTED_VALUE"""),91.97)</f>
        <v/>
      </c>
      <c r="F227" s="141">
        <f>IFERROR(__xludf.DUMMYFUNCTION("""COMPUTED_VALUE"""),92.06)</f>
        <v/>
      </c>
      <c r="G227" s="143">
        <f>IFERROR(__xludf.DUMMYFUNCTION("""COMPUTED_VALUE"""),7047521)</f>
        <v/>
      </c>
      <c r="H227" s="27" t="n"/>
    </row>
    <row r="228" ht="17.25" customHeight="1" s="322">
      <c r="A228" s="27" t="n"/>
      <c r="B228" s="506">
        <f>IFERROR(__xludf.DUMMYFUNCTION("""COMPUTED_VALUE"""),46157.6666666666)</f>
        <v/>
      </c>
      <c r="C228" s="141">
        <f>IFERROR(__xludf.DUMMYFUNCTION("""COMPUTED_VALUE"""),91.09)</f>
        <v/>
      </c>
      <c r="D228" s="141">
        <f>IFERROR(__xludf.DUMMYFUNCTION("""COMPUTED_VALUE"""),91.41)</f>
        <v/>
      </c>
      <c r="E228" s="141">
        <f>IFERROR(__xludf.DUMMYFUNCTION("""COMPUTED_VALUE"""),90.79)</f>
        <v/>
      </c>
      <c r="F228" s="141">
        <f>IFERROR(__xludf.DUMMYFUNCTION("""COMPUTED_VALUE"""),91.07)</f>
        <v/>
      </c>
      <c r="G228" s="143">
        <f>IFERROR(__xludf.DUMMYFUNCTION("""COMPUTED_VALUE"""),5272000)</f>
        <v/>
      </c>
      <c r="H228" s="27" t="n"/>
    </row>
    <row r="229" ht="17.25" customHeight="1" s="322">
      <c r="A229" s="27" t="n"/>
      <c r="B229" s="506">
        <f>IFERROR(__xludf.DUMMYFUNCTION("""COMPUTED_VALUE"""),46160.6666666666)</f>
        <v/>
      </c>
      <c r="C229" s="141">
        <f>IFERROR(__xludf.DUMMYFUNCTION("""COMPUTED_VALUE"""),91.03)</f>
        <v/>
      </c>
      <c r="D229" s="141">
        <f>IFERROR(__xludf.DUMMYFUNCTION("""COMPUTED_VALUE"""),91.27)</f>
        <v/>
      </c>
      <c r="E229" s="141">
        <f>IFERROR(__xludf.DUMMYFUNCTION("""COMPUTED_VALUE"""),90.23)</f>
        <v/>
      </c>
      <c r="F229" s="141">
        <f>IFERROR(__xludf.DUMMYFUNCTION("""COMPUTED_VALUE"""),90.92)</f>
        <v/>
      </c>
      <c r="G229" s="143">
        <f>IFERROR(__xludf.DUMMYFUNCTION("""COMPUTED_VALUE"""),8364351)</f>
        <v/>
      </c>
      <c r="H229" s="27" t="n"/>
    </row>
    <row r="230" ht="17.25" customHeight="1" s="322">
      <c r="A230" s="27" t="n"/>
      <c r="B230" s="506">
        <f>IFERROR(__xludf.DUMMYFUNCTION("""COMPUTED_VALUE"""),46161.6666666666)</f>
        <v/>
      </c>
      <c r="C230" s="141">
        <f>IFERROR(__xludf.DUMMYFUNCTION("""COMPUTED_VALUE"""),89.99)</f>
        <v/>
      </c>
      <c r="D230" s="141">
        <f>IFERROR(__xludf.DUMMYFUNCTION("""COMPUTED_VALUE"""),90.89)</f>
        <v/>
      </c>
      <c r="E230" s="141">
        <f>IFERROR(__xludf.DUMMYFUNCTION("""COMPUTED_VALUE"""),89.74)</f>
        <v/>
      </c>
      <c r="F230" s="141">
        <f>IFERROR(__xludf.DUMMYFUNCTION("""COMPUTED_VALUE"""),90.29)</f>
        <v/>
      </c>
      <c r="G230" s="143">
        <f>IFERROR(__xludf.DUMMYFUNCTION("""COMPUTED_VALUE"""),4772823)</f>
        <v/>
      </c>
      <c r="H230" s="27" t="n"/>
    </row>
    <row r="231" ht="17.25" customHeight="1" s="322">
      <c r="A231" s="27" t="n"/>
      <c r="B231" s="506">
        <f>IFERROR(__xludf.DUMMYFUNCTION("""COMPUTED_VALUE"""),46162.6666666666)</f>
        <v/>
      </c>
      <c r="C231" s="141">
        <f>IFERROR(__xludf.DUMMYFUNCTION("""COMPUTED_VALUE"""),89.7)</f>
        <v/>
      </c>
      <c r="D231" s="141">
        <f>IFERROR(__xludf.DUMMYFUNCTION("""COMPUTED_VALUE"""),91.23)</f>
        <v/>
      </c>
      <c r="E231" s="141">
        <f>IFERROR(__xludf.DUMMYFUNCTION("""COMPUTED_VALUE"""),89.59)</f>
        <v/>
      </c>
      <c r="F231" s="141">
        <f>IFERROR(__xludf.DUMMYFUNCTION("""COMPUTED_VALUE"""),91.21)</f>
        <v/>
      </c>
      <c r="G231" s="143">
        <f>IFERROR(__xludf.DUMMYFUNCTION("""COMPUTED_VALUE"""),6144125)</f>
        <v/>
      </c>
      <c r="H231" s="27" t="n"/>
    </row>
    <row r="232" ht="17.25" customHeight="1" s="322">
      <c r="A232" s="27" t="n"/>
      <c r="B232" s="506">
        <f>IFERROR(__xludf.DUMMYFUNCTION("""COMPUTED_VALUE"""),46163.6666666666)</f>
        <v/>
      </c>
      <c r="C232" s="141">
        <f>IFERROR(__xludf.DUMMYFUNCTION("""COMPUTED_VALUE"""),90.18)</f>
        <v/>
      </c>
      <c r="D232" s="141">
        <f>IFERROR(__xludf.DUMMYFUNCTION("""COMPUTED_VALUE"""),91.62)</f>
        <v/>
      </c>
      <c r="E232" s="141">
        <f>IFERROR(__xludf.DUMMYFUNCTION("""COMPUTED_VALUE"""),89.96)</f>
        <v/>
      </c>
      <c r="F232" s="141">
        <f>IFERROR(__xludf.DUMMYFUNCTION("""COMPUTED_VALUE"""),91.37)</f>
        <v/>
      </c>
      <c r="G232" s="143">
        <f>IFERROR(__xludf.DUMMYFUNCTION("""COMPUTED_VALUE"""),5616939)</f>
        <v/>
      </c>
      <c r="H232" s="27" t="n"/>
    </row>
    <row r="233" ht="17.25" customHeight="1" s="322">
      <c r="A233" s="27" t="n"/>
      <c r="B233" s="506">
        <f>IFERROR(__xludf.DUMMYFUNCTION("""COMPUTED_VALUE"""),46164.6666666666)</f>
        <v/>
      </c>
      <c r="C233" s="141">
        <f>IFERROR(__xludf.DUMMYFUNCTION("""COMPUTED_VALUE"""),91.42)</f>
        <v/>
      </c>
      <c r="D233" s="141">
        <f>IFERROR(__xludf.DUMMYFUNCTION("""COMPUTED_VALUE"""),92.1)</f>
        <v/>
      </c>
      <c r="E233" s="141">
        <f>IFERROR(__xludf.DUMMYFUNCTION("""COMPUTED_VALUE"""),91.29)</f>
        <v/>
      </c>
      <c r="F233" s="141">
        <f>IFERROR(__xludf.DUMMYFUNCTION("""COMPUTED_VALUE"""),91.61)</f>
        <v/>
      </c>
      <c r="G233" s="143">
        <f>IFERROR(__xludf.DUMMYFUNCTION("""COMPUTED_VALUE"""),4032629)</f>
        <v/>
      </c>
      <c r="H233" s="27" t="n"/>
    </row>
    <row r="234" ht="17.25" customHeight="1" s="322">
      <c r="A234" s="27" t="n"/>
      <c r="B234" s="506">
        <f>IFERROR(__xludf.DUMMYFUNCTION("""COMPUTED_VALUE"""),46168.6666666666)</f>
        <v/>
      </c>
      <c r="C234" s="141">
        <f>IFERROR(__xludf.DUMMYFUNCTION("""COMPUTED_VALUE"""),92.98)</f>
        <v/>
      </c>
      <c r="D234" s="141">
        <f>IFERROR(__xludf.DUMMYFUNCTION("""COMPUTED_VALUE"""),93.23)</f>
        <v/>
      </c>
      <c r="E234" s="141">
        <f>IFERROR(__xludf.DUMMYFUNCTION("""COMPUTED_VALUE"""),92.7)</f>
        <v/>
      </c>
      <c r="F234" s="141">
        <f>IFERROR(__xludf.DUMMYFUNCTION("""COMPUTED_VALUE"""),92.9)</f>
        <v/>
      </c>
      <c r="G234" s="143">
        <f>IFERROR(__xludf.DUMMYFUNCTION("""COMPUTED_VALUE"""),4636808)</f>
        <v/>
      </c>
      <c r="H234" s="27" t="n"/>
    </row>
    <row r="235" ht="17.25" customHeight="1" s="322">
      <c r="A235" s="27" t="n"/>
      <c r="B235" s="506">
        <f>IFERROR(__xludf.DUMMYFUNCTION("""COMPUTED_VALUE"""),46169.6666666666)</f>
        <v/>
      </c>
      <c r="C235" s="141">
        <f>IFERROR(__xludf.DUMMYFUNCTION("""COMPUTED_VALUE"""),92.19)</f>
        <v/>
      </c>
      <c r="D235" s="141">
        <f>IFERROR(__xludf.DUMMYFUNCTION("""COMPUTED_VALUE"""),92.42)</f>
        <v/>
      </c>
      <c r="E235" s="141">
        <f>IFERROR(__xludf.DUMMYFUNCTION("""COMPUTED_VALUE"""),91.93)</f>
        <v/>
      </c>
      <c r="F235" s="141">
        <f>IFERROR(__xludf.DUMMYFUNCTION("""COMPUTED_VALUE"""),92.29)</f>
        <v/>
      </c>
      <c r="G235" s="143">
        <f>IFERROR(__xludf.DUMMYFUNCTION("""COMPUTED_VALUE"""),4245336)</f>
        <v/>
      </c>
      <c r="H235" s="27" t="n"/>
    </row>
    <row r="236" ht="17.25" customHeight="1" s="322">
      <c r="A236" s="27" t="n"/>
      <c r="B236" s="506">
        <f>IFERROR(__xludf.DUMMYFUNCTION("""COMPUTED_VALUE"""),46170.6666666666)</f>
        <v/>
      </c>
      <c r="C236" s="141">
        <f>IFERROR(__xludf.DUMMYFUNCTION("""COMPUTED_VALUE"""),91.86)</f>
        <v/>
      </c>
      <c r="D236" s="141">
        <f>IFERROR(__xludf.DUMMYFUNCTION("""COMPUTED_VALUE"""),92.97)</f>
        <v/>
      </c>
      <c r="E236" s="141">
        <f>IFERROR(__xludf.DUMMYFUNCTION("""COMPUTED_VALUE"""),91.79)</f>
        <v/>
      </c>
      <c r="F236" s="141">
        <f>IFERROR(__xludf.DUMMYFUNCTION("""COMPUTED_VALUE"""),92.7)</f>
        <v/>
      </c>
      <c r="G236" s="143">
        <f>IFERROR(__xludf.DUMMYFUNCTION("""COMPUTED_VALUE"""),4527726)</f>
        <v/>
      </c>
      <c r="H236" s="27" t="n"/>
    </row>
    <row r="237" ht="17.25" customHeight="1" s="322">
      <c r="A237" s="27" t="n"/>
      <c r="B237" s="506">
        <f>IFERROR(__xludf.DUMMYFUNCTION("""COMPUTED_VALUE"""),46171.6666666666)</f>
        <v/>
      </c>
      <c r="C237" s="141">
        <f>IFERROR(__xludf.DUMMYFUNCTION("""COMPUTED_VALUE"""),92.94)</f>
        <v/>
      </c>
      <c r="D237" s="141">
        <f>IFERROR(__xludf.DUMMYFUNCTION("""COMPUTED_VALUE"""),93.37)</f>
        <v/>
      </c>
      <c r="E237" s="141">
        <f>IFERROR(__xludf.DUMMYFUNCTION("""COMPUTED_VALUE"""),92.61)</f>
        <v/>
      </c>
      <c r="F237" s="141">
        <f>IFERROR(__xludf.DUMMYFUNCTION("""COMPUTED_VALUE"""),92.96)</f>
        <v/>
      </c>
      <c r="G237" s="143">
        <f>IFERROR(__xludf.DUMMYFUNCTION("""COMPUTED_VALUE"""),5203989)</f>
        <v/>
      </c>
      <c r="H237" s="27" t="n"/>
    </row>
    <row r="238" ht="17.25" customHeight="1" s="322">
      <c r="A238" s="27" t="n"/>
      <c r="B238" s="506">
        <f>IFERROR(__xludf.DUMMYFUNCTION("""COMPUTED_VALUE"""),46174.6666666666)</f>
        <v/>
      </c>
      <c r="C238" s="141">
        <f>IFERROR(__xludf.DUMMYFUNCTION("""COMPUTED_VALUE"""),92.77)</f>
        <v/>
      </c>
      <c r="D238" s="141">
        <f>IFERROR(__xludf.DUMMYFUNCTION("""COMPUTED_VALUE"""),93.35)</f>
        <v/>
      </c>
      <c r="E238" s="141">
        <f>IFERROR(__xludf.DUMMYFUNCTION("""COMPUTED_VALUE"""),91.76)</f>
        <v/>
      </c>
      <c r="F238" s="141">
        <f>IFERROR(__xludf.DUMMYFUNCTION("""COMPUTED_VALUE"""),92.93)</f>
        <v/>
      </c>
      <c r="G238" s="143">
        <f>IFERROR(__xludf.DUMMYFUNCTION("""COMPUTED_VALUE"""),9666643)</f>
        <v/>
      </c>
      <c r="H238" s="27" t="n"/>
    </row>
    <row r="239" ht="17.25" customHeight="1" s="322">
      <c r="A239" s="27" t="n"/>
      <c r="B239" s="506">
        <f>IFERROR(__xludf.DUMMYFUNCTION("""COMPUTED_VALUE"""),46175.6666666666)</f>
        <v/>
      </c>
      <c r="C239" s="141">
        <f>IFERROR(__xludf.DUMMYFUNCTION("""COMPUTED_VALUE"""),92.61)</f>
        <v/>
      </c>
      <c r="D239" s="141">
        <f>IFERROR(__xludf.DUMMYFUNCTION("""COMPUTED_VALUE"""),93.6)</f>
        <v/>
      </c>
      <c r="E239" s="141">
        <f>IFERROR(__xludf.DUMMYFUNCTION("""COMPUTED_VALUE"""),92.61)</f>
        <v/>
      </c>
      <c r="F239" s="141">
        <f>IFERROR(__xludf.DUMMYFUNCTION("""COMPUTED_VALUE"""),93.58)</f>
        <v/>
      </c>
      <c r="G239" s="143">
        <f>IFERROR(__xludf.DUMMYFUNCTION("""COMPUTED_VALUE"""),4434636)</f>
        <v/>
      </c>
      <c r="H239" s="27" t="n"/>
    </row>
    <row r="240" ht="17.25" customHeight="1" s="322">
      <c r="A240" s="27" t="n"/>
      <c r="B240" s="506">
        <f>IFERROR(__xludf.DUMMYFUNCTION("""COMPUTED_VALUE"""),46176.6666666666)</f>
        <v/>
      </c>
      <c r="C240" s="141">
        <f>IFERROR(__xludf.DUMMYFUNCTION("""COMPUTED_VALUE"""),94.25)</f>
        <v/>
      </c>
      <c r="D240" s="141">
        <f>IFERROR(__xludf.DUMMYFUNCTION("""COMPUTED_VALUE"""),94.25)</f>
        <v/>
      </c>
      <c r="E240" s="141">
        <f>IFERROR(__xludf.DUMMYFUNCTION("""COMPUTED_VALUE"""),93.79)</f>
        <v/>
      </c>
      <c r="F240" s="141">
        <f>IFERROR(__xludf.DUMMYFUNCTION("""COMPUTED_VALUE"""),93.94)</f>
        <v/>
      </c>
      <c r="G240" s="143">
        <f>IFERROR(__xludf.DUMMYFUNCTION("""COMPUTED_VALUE"""),5961242)</f>
        <v/>
      </c>
      <c r="H240" s="27" t="n"/>
    </row>
    <row r="241" ht="17.25" customHeight="1" s="322">
      <c r="A241" s="27" t="n"/>
      <c r="B241" s="506">
        <f>IFERROR(__xludf.DUMMYFUNCTION("""COMPUTED_VALUE"""),46177.6666666666)</f>
        <v/>
      </c>
      <c r="C241" s="141">
        <f>IFERROR(__xludf.DUMMYFUNCTION("""COMPUTED_VALUE"""),93.85)</f>
        <v/>
      </c>
      <c r="D241" s="141">
        <f>IFERROR(__xludf.DUMMYFUNCTION("""COMPUTED_VALUE"""),94.2)</f>
        <v/>
      </c>
      <c r="E241" s="141">
        <f>IFERROR(__xludf.DUMMYFUNCTION("""COMPUTED_VALUE"""),93.41)</f>
        <v/>
      </c>
      <c r="F241" s="141">
        <f>IFERROR(__xludf.DUMMYFUNCTION("""COMPUTED_VALUE"""),94.13)</f>
        <v/>
      </c>
      <c r="G241" s="143">
        <f>IFERROR(__xludf.DUMMYFUNCTION("""COMPUTED_VALUE"""),3536795)</f>
        <v/>
      </c>
      <c r="H241" s="27" t="n"/>
    </row>
    <row r="242" ht="17.25" customHeight="1" s="322">
      <c r="A242" s="27" t="n"/>
      <c r="B242" s="506">
        <f>IFERROR(__xludf.DUMMYFUNCTION("""COMPUTED_VALUE"""),46178.6666666666)</f>
        <v/>
      </c>
      <c r="C242" s="141">
        <f>IFERROR(__xludf.DUMMYFUNCTION("""COMPUTED_VALUE"""),93.13)</f>
        <v/>
      </c>
      <c r="D242" s="141">
        <f>IFERROR(__xludf.DUMMYFUNCTION("""COMPUTED_VALUE"""),93.21)</f>
        <v/>
      </c>
      <c r="E242" s="141">
        <f>IFERROR(__xludf.DUMMYFUNCTION("""COMPUTED_VALUE"""),90.54)</f>
        <v/>
      </c>
      <c r="F242" s="141">
        <f>IFERROR(__xludf.DUMMYFUNCTION("""COMPUTED_VALUE"""),90.72)</f>
        <v/>
      </c>
      <c r="G242" s="143">
        <f>IFERROR(__xludf.DUMMYFUNCTION("""COMPUTED_VALUE"""),11554083)</f>
        <v/>
      </c>
      <c r="H242" s="27" t="n"/>
    </row>
    <row r="243" ht="17.25" customHeight="1" s="322">
      <c r="A243" s="27" t="n"/>
      <c r="B243" s="506">
        <f>IFERROR(__xludf.DUMMYFUNCTION("""COMPUTED_VALUE"""),46181.6666666666)</f>
        <v/>
      </c>
      <c r="C243" s="141">
        <f>IFERROR(__xludf.DUMMYFUNCTION("""COMPUTED_VALUE"""),91.82)</f>
        <v/>
      </c>
      <c r="D243" s="141">
        <f>IFERROR(__xludf.DUMMYFUNCTION("""COMPUTED_VALUE"""),92.37)</f>
        <v/>
      </c>
      <c r="E243" s="141">
        <f>IFERROR(__xludf.DUMMYFUNCTION("""COMPUTED_VALUE"""),91.75)</f>
        <v/>
      </c>
      <c r="F243" s="141">
        <f>IFERROR(__xludf.DUMMYFUNCTION("""COMPUTED_VALUE"""),91.95)</f>
        <v/>
      </c>
      <c r="G243" s="143">
        <f>IFERROR(__xludf.DUMMYFUNCTION("""COMPUTED_VALUE"""),9131205)</f>
        <v/>
      </c>
      <c r="H243" s="27" t="n"/>
    </row>
    <row r="244" ht="17.25" customHeight="1" s="322">
      <c r="A244" s="27" t="n"/>
      <c r="B244" s="506">
        <f>IFERROR(__xludf.DUMMYFUNCTION("""COMPUTED_VALUE"""),46182.6666666666)</f>
        <v/>
      </c>
      <c r="C244" s="141">
        <f>IFERROR(__xludf.DUMMYFUNCTION("""COMPUTED_VALUE"""),92.23)</f>
        <v/>
      </c>
      <c r="D244" s="141">
        <f>IFERROR(__xludf.DUMMYFUNCTION("""COMPUTED_VALUE"""),92.81)</f>
        <v/>
      </c>
      <c r="E244" s="141">
        <f>IFERROR(__xludf.DUMMYFUNCTION("""COMPUTED_VALUE"""),89.72)</f>
        <v/>
      </c>
      <c r="F244" s="141">
        <f>IFERROR(__xludf.DUMMYFUNCTION("""COMPUTED_VALUE"""),90.95)</f>
        <v/>
      </c>
      <c r="G244" s="143">
        <f>IFERROR(__xludf.DUMMYFUNCTION("""COMPUTED_VALUE"""),8716571)</f>
        <v/>
      </c>
      <c r="H244" s="27" t="n"/>
    </row>
    <row r="245" ht="17.25" customHeight="1" s="322">
      <c r="A245" s="27" t="n"/>
      <c r="B245" s="506">
        <f>IFERROR(__xludf.DUMMYFUNCTION("""COMPUTED_VALUE"""),46183.6666666666)</f>
        <v/>
      </c>
      <c r="C245" s="141">
        <f>IFERROR(__xludf.DUMMYFUNCTION("""COMPUTED_VALUE"""),89.89)</f>
        <v/>
      </c>
      <c r="D245" s="141">
        <f>IFERROR(__xludf.DUMMYFUNCTION("""COMPUTED_VALUE"""),90.67)</f>
        <v/>
      </c>
      <c r="E245" s="141">
        <f>IFERROR(__xludf.DUMMYFUNCTION("""COMPUTED_VALUE"""),89.17)</f>
        <v/>
      </c>
      <c r="F245" s="141">
        <f>IFERROR(__xludf.DUMMYFUNCTION("""COMPUTED_VALUE"""),89.29)</f>
        <v/>
      </c>
      <c r="G245" s="143">
        <f>IFERROR(__xludf.DUMMYFUNCTION("""COMPUTED_VALUE"""),8157677)</f>
        <v/>
      </c>
      <c r="H245" s="27" t="n"/>
    </row>
    <row r="246" ht="17.25" customHeight="1" s="322">
      <c r="A246" s="27" t="n"/>
      <c r="B246" s="506">
        <f>IFERROR(__xludf.DUMMYFUNCTION("""COMPUTED_VALUE"""),46184.6666666666)</f>
        <v/>
      </c>
      <c r="C246" s="141">
        <f>IFERROR(__xludf.DUMMYFUNCTION("""COMPUTED_VALUE"""),89.98)</f>
        <v/>
      </c>
      <c r="D246" s="141">
        <f>IFERROR(__xludf.DUMMYFUNCTION("""COMPUTED_VALUE"""),92.33)</f>
        <v/>
      </c>
      <c r="E246" s="141">
        <f>IFERROR(__xludf.DUMMYFUNCTION("""COMPUTED_VALUE"""),89.74)</f>
        <v/>
      </c>
      <c r="F246" s="141">
        <f>IFERROR(__xludf.DUMMYFUNCTION("""COMPUTED_VALUE"""),92.18)</f>
        <v/>
      </c>
      <c r="G246" s="143">
        <f>IFERROR(__xludf.DUMMYFUNCTION("""COMPUTED_VALUE"""),9304684)</f>
        <v/>
      </c>
      <c r="H246" s="27" t="n"/>
    </row>
    <row r="247" ht="17.25" customHeight="1" s="322">
      <c r="A247" s="27" t="n"/>
      <c r="B247" s="506">
        <f>IFERROR(__xludf.DUMMYFUNCTION("""COMPUTED_VALUE"""),46185.6666666666)</f>
        <v/>
      </c>
      <c r="C247" s="141">
        <f>IFERROR(__xludf.DUMMYFUNCTION("""COMPUTED_VALUE"""),92.49)</f>
        <v/>
      </c>
      <c r="D247" s="141">
        <f>IFERROR(__xludf.DUMMYFUNCTION("""COMPUTED_VALUE"""),93.02)</f>
        <v/>
      </c>
      <c r="E247" s="141">
        <f>IFERROR(__xludf.DUMMYFUNCTION("""COMPUTED_VALUE"""),91.78)</f>
        <v/>
      </c>
      <c r="F247" s="141">
        <f>IFERROR(__xludf.DUMMYFUNCTION("""COMPUTED_VALUE"""),92.71)</f>
        <v/>
      </c>
      <c r="G247" s="143">
        <f>IFERROR(__xludf.DUMMYFUNCTION("""COMPUTED_VALUE"""),4938533)</f>
        <v/>
      </c>
      <c r="H247" s="27" t="n"/>
    </row>
    <row r="248" ht="17.25" customHeight="1" s="322">
      <c r="A248" s="27" t="n"/>
      <c r="B248" s="506">
        <f>IFERROR(__xludf.DUMMYFUNCTION("""COMPUTED_VALUE"""),46188.6666666666)</f>
        <v/>
      </c>
      <c r="C248" s="141">
        <f>IFERROR(__xludf.DUMMYFUNCTION("""COMPUTED_VALUE"""),94.19)</f>
        <v/>
      </c>
      <c r="D248" s="141">
        <f>IFERROR(__xludf.DUMMYFUNCTION("""COMPUTED_VALUE"""),94.22)</f>
        <v/>
      </c>
      <c r="E248" s="141">
        <f>IFERROR(__xludf.DUMMYFUNCTION("""COMPUTED_VALUE"""),93.75)</f>
        <v/>
      </c>
      <c r="F248" s="141">
        <f>IFERROR(__xludf.DUMMYFUNCTION("""COMPUTED_VALUE"""),94.06)</f>
        <v/>
      </c>
      <c r="G248" s="143">
        <f>IFERROR(__xludf.DUMMYFUNCTION("""COMPUTED_VALUE"""),4716161)</f>
        <v/>
      </c>
      <c r="H248" s="27" t="n"/>
    </row>
    <row r="249" ht="17.25" customHeight="1" s="322">
      <c r="A249" s="27" t="n"/>
      <c r="B249" s="506">
        <f>IFERROR(__xludf.DUMMYFUNCTION("""COMPUTED_VALUE"""),46189.6666666666)</f>
        <v/>
      </c>
      <c r="C249" s="141">
        <f>IFERROR(__xludf.DUMMYFUNCTION("""COMPUTED_VALUE"""),94.41)</f>
        <v/>
      </c>
      <c r="D249" s="141">
        <f>IFERROR(__xludf.DUMMYFUNCTION("""COMPUTED_VALUE"""),94.87)</f>
        <v/>
      </c>
      <c r="E249" s="141">
        <f>IFERROR(__xludf.DUMMYFUNCTION("""COMPUTED_VALUE"""),94.05)</f>
        <v/>
      </c>
      <c r="F249" s="141">
        <f>IFERROR(__xludf.DUMMYFUNCTION("""COMPUTED_VALUE"""),94.12)</f>
        <v/>
      </c>
      <c r="G249" s="143">
        <f>IFERROR(__xludf.DUMMYFUNCTION("""COMPUTED_VALUE"""),5073116)</f>
        <v/>
      </c>
      <c r="H249" s="27" t="n"/>
    </row>
    <row r="250" ht="17.25" customHeight="1" s="322">
      <c r="A250" s="27" t="n"/>
      <c r="B250" s="506">
        <f>IFERROR(__xludf.DUMMYFUNCTION("""COMPUTED_VALUE"""),46190.6666666666)</f>
        <v/>
      </c>
      <c r="C250" s="141">
        <f>IFERROR(__xludf.DUMMYFUNCTION("""COMPUTED_VALUE"""),95.19)</f>
        <v/>
      </c>
      <c r="D250" s="141">
        <f>IFERROR(__xludf.DUMMYFUNCTION("""COMPUTED_VALUE"""),95.88)</f>
        <v/>
      </c>
      <c r="E250" s="141">
        <f>IFERROR(__xludf.DUMMYFUNCTION("""COMPUTED_VALUE"""),94.32)</f>
        <v/>
      </c>
      <c r="F250" s="141">
        <f>IFERROR(__xludf.DUMMYFUNCTION("""COMPUTED_VALUE"""),94.45)</f>
        <v/>
      </c>
      <c r="G250" s="143">
        <f>IFERROR(__xludf.DUMMYFUNCTION("""COMPUTED_VALUE"""),6044799)</f>
        <v/>
      </c>
      <c r="H250" s="27" t="n"/>
    </row>
    <row r="251" ht="17.25" customHeight="1" s="322">
      <c r="A251" s="27" t="n"/>
      <c r="B251" s="506">
        <f>IFERROR(__xludf.DUMMYFUNCTION("""COMPUTED_VALUE"""),46191.6666666666)</f>
        <v/>
      </c>
      <c r="C251" s="141">
        <f>IFERROR(__xludf.DUMMYFUNCTION("""COMPUTED_VALUE"""),96.23)</f>
        <v/>
      </c>
      <c r="D251" s="141">
        <f>IFERROR(__xludf.DUMMYFUNCTION("""COMPUTED_VALUE"""),96.52)</f>
        <v/>
      </c>
      <c r="E251" s="141">
        <f>IFERROR(__xludf.DUMMYFUNCTION("""COMPUTED_VALUE"""),95.98)</f>
        <v/>
      </c>
      <c r="F251" s="141">
        <f>IFERROR(__xludf.DUMMYFUNCTION("""COMPUTED_VALUE"""),96.26)</f>
        <v/>
      </c>
      <c r="G251" s="143">
        <f>IFERROR(__xludf.DUMMYFUNCTION("""COMPUTED_VALUE"""),5965374)</f>
        <v/>
      </c>
      <c r="H251" s="27" t="n"/>
    </row>
    <row r="252" ht="17.25" customHeight="1" s="322">
      <c r="A252" s="27" t="n"/>
      <c r="B252" s="506">
        <f>IFERROR(__xludf.DUMMYFUNCTION("""COMPUTED_VALUE"""),46195.6666666666)</f>
        <v/>
      </c>
      <c r="C252" s="141">
        <f>IFERROR(__xludf.DUMMYFUNCTION("""COMPUTED_VALUE"""),96.84)</f>
        <v/>
      </c>
      <c r="D252" s="141">
        <f>IFERROR(__xludf.DUMMYFUNCTION("""COMPUTED_VALUE"""),97.52)</f>
        <v/>
      </c>
      <c r="E252" s="141">
        <f>IFERROR(__xludf.DUMMYFUNCTION("""COMPUTED_VALUE"""),96.75)</f>
        <v/>
      </c>
      <c r="F252" s="141">
        <f>IFERROR(__xludf.DUMMYFUNCTION("""COMPUTED_VALUE"""),96.97)</f>
        <v/>
      </c>
      <c r="G252" s="143">
        <f>IFERROR(__xludf.DUMMYFUNCTION("""COMPUTED_VALUE"""),3231114)</f>
        <v/>
      </c>
      <c r="H252" s="27" t="n"/>
    </row>
    <row r="253" ht="17.25" customHeight="1" s="322">
      <c r="A253" s="27" t="n"/>
      <c r="B253" s="506">
        <f>IFERROR(__xludf.DUMMYFUNCTION("""COMPUTED_VALUE"""),46196.6666666666)</f>
        <v/>
      </c>
      <c r="C253" s="141">
        <f>IFERROR(__xludf.DUMMYFUNCTION("""COMPUTED_VALUE"""),92.47)</f>
        <v/>
      </c>
      <c r="D253" s="141">
        <f>IFERROR(__xludf.DUMMYFUNCTION("""COMPUTED_VALUE"""),93.34)</f>
        <v/>
      </c>
      <c r="E253" s="141">
        <f>IFERROR(__xludf.DUMMYFUNCTION("""COMPUTED_VALUE"""),92.09)</f>
        <v/>
      </c>
      <c r="F253" s="141">
        <f>IFERROR(__xludf.DUMMYFUNCTION("""COMPUTED_VALUE"""),92.75)</f>
        <v/>
      </c>
      <c r="G253" s="143">
        <f>IFERROR(__xludf.DUMMYFUNCTION("""COMPUTED_VALUE"""),11166723)</f>
        <v/>
      </c>
      <c r="H253" s="27" t="n"/>
    </row>
    <row r="254" ht="17.25" customHeight="1" s="322">
      <c r="A254" s="27" t="n"/>
      <c r="B254" s="506">
        <f>IFERROR(__xludf.DUMMYFUNCTION("""COMPUTED_VALUE"""),46197.6666666666)</f>
        <v/>
      </c>
      <c r="C254" s="141">
        <f>IFERROR(__xludf.DUMMYFUNCTION("""COMPUTED_VALUE"""),92.57)</f>
        <v/>
      </c>
      <c r="D254" s="141">
        <f>IFERROR(__xludf.DUMMYFUNCTION("""COMPUTED_VALUE"""),93.03)</f>
        <v/>
      </c>
      <c r="E254" s="141">
        <f>IFERROR(__xludf.DUMMYFUNCTION("""COMPUTED_VALUE"""),92.2)</f>
        <v/>
      </c>
      <c r="F254" s="141">
        <f>IFERROR(__xludf.DUMMYFUNCTION("""COMPUTED_VALUE"""),92.61)</f>
        <v/>
      </c>
      <c r="G254" s="143">
        <f>IFERROR(__xludf.DUMMYFUNCTION("""COMPUTED_VALUE"""),4900230)</f>
        <v/>
      </c>
      <c r="H254" s="27" t="n"/>
    </row>
    <row r="255" ht="17.25" customHeight="1" s="322">
      <c r="A255" s="27" t="n"/>
      <c r="B255" s="506">
        <f>IFERROR(__xludf.DUMMYFUNCTION("""COMPUTED_VALUE"""),46198.6666666666)</f>
        <v/>
      </c>
      <c r="C255" s="141">
        <f>IFERROR(__xludf.DUMMYFUNCTION("""COMPUTED_VALUE"""),94.07)</f>
        <v/>
      </c>
      <c r="D255" s="141">
        <f>IFERROR(__xludf.DUMMYFUNCTION("""COMPUTED_VALUE"""),94.24)</f>
        <v/>
      </c>
      <c r="E255" s="141">
        <f>IFERROR(__xludf.DUMMYFUNCTION("""COMPUTED_VALUE"""),93.04)</f>
        <v/>
      </c>
      <c r="F255" s="141">
        <f>IFERROR(__xludf.DUMMYFUNCTION("""COMPUTED_VALUE"""),93.39)</f>
        <v/>
      </c>
      <c r="G255" s="143">
        <f>IFERROR(__xludf.DUMMYFUNCTION("""COMPUTED_VALUE"""),4853544)</f>
        <v/>
      </c>
      <c r="H255" s="27" t="n"/>
    </row>
    <row r="256" ht="17.25" customHeight="1" s="322">
      <c r="A256" s="27" t="n"/>
      <c r="B256" s="506">
        <f>IFERROR(__xludf.DUMMYFUNCTION("""COMPUTED_VALUE"""),46199.6666666666)</f>
        <v/>
      </c>
      <c r="C256" s="141">
        <f>IFERROR(__xludf.DUMMYFUNCTION("""COMPUTED_VALUE"""),92.47)</f>
        <v/>
      </c>
      <c r="D256" s="141">
        <f>IFERROR(__xludf.DUMMYFUNCTION("""COMPUTED_VALUE"""),93.28)</f>
        <v/>
      </c>
      <c r="E256" s="141">
        <f>IFERROR(__xludf.DUMMYFUNCTION("""COMPUTED_VALUE"""),92.32)</f>
        <v/>
      </c>
      <c r="F256" s="141">
        <f>IFERROR(__xludf.DUMMYFUNCTION("""COMPUTED_VALUE"""),92.8)</f>
        <v/>
      </c>
      <c r="G256" s="143">
        <f>IFERROR(__xludf.DUMMYFUNCTION("""COMPUTED_VALUE"""),4060790)</f>
        <v/>
      </c>
      <c r="H256" s="27" t="n"/>
    </row>
    <row r="257" ht="17.25" customHeight="1" s="322">
      <c r="A257" s="27" t="n"/>
      <c r="B257" s="506">
        <f>IFERROR(__xludf.DUMMYFUNCTION("""COMPUTED_VALUE"""),46202.6666666666)</f>
        <v/>
      </c>
      <c r="C257" s="141">
        <f>IFERROR(__xludf.DUMMYFUNCTION("""COMPUTED_VALUE"""),92.62)</f>
        <v/>
      </c>
      <c r="D257" s="141">
        <f>IFERROR(__xludf.DUMMYFUNCTION("""COMPUTED_VALUE"""),93.24)</f>
        <v/>
      </c>
      <c r="E257" s="141">
        <f>IFERROR(__xludf.DUMMYFUNCTION("""COMPUTED_VALUE"""),91.71)</f>
        <v/>
      </c>
      <c r="F257" s="141">
        <f>IFERROR(__xludf.DUMMYFUNCTION("""COMPUTED_VALUE"""),93.21)</f>
        <v/>
      </c>
      <c r="G257" s="143">
        <f>IFERROR(__xludf.DUMMYFUNCTION("""COMPUTED_VALUE"""),6358873)</f>
        <v/>
      </c>
      <c r="H257" s="27" t="n"/>
    </row>
    <row r="258" ht="17.25" customHeight="1" s="322">
      <c r="A258" s="27" t="n"/>
      <c r="B258" s="506">
        <f>IFERROR(__xludf.DUMMYFUNCTION("""COMPUTED_VALUE"""),46203.6666666666)</f>
        <v/>
      </c>
      <c r="C258" s="141">
        <f>IFERROR(__xludf.DUMMYFUNCTION("""COMPUTED_VALUE"""),92.72)</f>
        <v/>
      </c>
      <c r="D258" s="141">
        <f>IFERROR(__xludf.DUMMYFUNCTION("""COMPUTED_VALUE"""),93.48)</f>
        <v/>
      </c>
      <c r="E258" s="141">
        <f>IFERROR(__xludf.DUMMYFUNCTION("""COMPUTED_VALUE"""),92.63)</f>
        <v/>
      </c>
      <c r="F258" s="141">
        <f>IFERROR(__xludf.DUMMYFUNCTION("""COMPUTED_VALUE"""),93.27)</f>
        <v/>
      </c>
      <c r="G258" s="143">
        <f>IFERROR(__xludf.DUMMYFUNCTION("""COMPUTED_VALUE"""),3669911)</f>
        <v/>
      </c>
      <c r="H258" s="27" t="n"/>
    </row>
    <row r="259" ht="17.25" customHeight="1" s="322">
      <c r="A259" s="27" t="n"/>
      <c r="B259" s="506">
        <f>IFERROR(__xludf.DUMMYFUNCTION("""COMPUTED_VALUE"""),46204.6666666666)</f>
        <v/>
      </c>
      <c r="C259" s="141">
        <f>IFERROR(__xludf.DUMMYFUNCTION("""COMPUTED_VALUE"""),93.4)</f>
        <v/>
      </c>
      <c r="D259" s="141">
        <f>IFERROR(__xludf.DUMMYFUNCTION("""COMPUTED_VALUE"""),93.74)</f>
        <v/>
      </c>
      <c r="E259" s="141">
        <f>IFERROR(__xludf.DUMMYFUNCTION("""COMPUTED_VALUE"""),93.01)</f>
        <v/>
      </c>
      <c r="F259" s="141">
        <f>IFERROR(__xludf.DUMMYFUNCTION("""COMPUTED_VALUE"""),93.05)</f>
        <v/>
      </c>
      <c r="G259" s="143">
        <f>IFERROR(__xludf.DUMMYFUNCTION("""COMPUTED_VALUE"""),8458272)</f>
        <v/>
      </c>
      <c r="H259" s="27" t="n"/>
    </row>
    <row r="260" ht="17.25" customHeight="1" s="322">
      <c r="A260" s="27" t="n"/>
      <c r="B260" s="506">
        <f>IFERROR(__xludf.DUMMYFUNCTION("""COMPUTED_VALUE"""),46205.6666666666)</f>
        <v/>
      </c>
      <c r="C260" s="141">
        <f>IFERROR(__xludf.DUMMYFUNCTION("""COMPUTED_VALUE"""),93.95)</f>
        <v/>
      </c>
      <c r="D260" s="141">
        <f>IFERROR(__xludf.DUMMYFUNCTION("""COMPUTED_VALUE"""),94.52)</f>
        <v/>
      </c>
      <c r="E260" s="141">
        <f>IFERROR(__xludf.DUMMYFUNCTION("""COMPUTED_VALUE"""),92.38)</f>
        <v/>
      </c>
      <c r="F260" s="141">
        <f>IFERROR(__xludf.DUMMYFUNCTION("""COMPUTED_VALUE"""),93.14)</f>
        <v/>
      </c>
      <c r="G260" s="143">
        <f>IFERROR(__xludf.DUMMYFUNCTION("""COMPUTED_VALUE"""),7935074)</f>
        <v/>
      </c>
      <c r="H260" s="27" t="n"/>
    </row>
    <row r="261" ht="17.25" customHeight="1" s="322">
      <c r="A261" s="27" t="n"/>
      <c r="B261" s="506">
        <f>IFERROR(__xludf.DUMMYFUNCTION("""COMPUTED_VALUE"""),46209.6666666666)</f>
        <v/>
      </c>
      <c r="C261" s="141">
        <f>IFERROR(__xludf.DUMMYFUNCTION("""COMPUTED_VALUE"""),94.68)</f>
        <v/>
      </c>
      <c r="D261" s="141">
        <f>IFERROR(__xludf.DUMMYFUNCTION("""COMPUTED_VALUE"""),95.36)</f>
        <v/>
      </c>
      <c r="E261" s="141">
        <f>IFERROR(__xludf.DUMMYFUNCTION("""COMPUTED_VALUE"""),94.56)</f>
        <v/>
      </c>
      <c r="F261" s="141">
        <f>IFERROR(__xludf.DUMMYFUNCTION("""COMPUTED_VALUE"""),95.27)</f>
        <v/>
      </c>
      <c r="G261" s="143">
        <f>IFERROR(__xludf.DUMMYFUNCTION("""COMPUTED_VALUE"""),4368952)</f>
        <v/>
      </c>
      <c r="H261" s="27" t="n"/>
    </row>
    <row r="262" ht="17.25" customHeight="1" s="322">
      <c r="A262" s="27" t="n"/>
      <c r="B262" s="506">
        <f>IFERROR(__xludf.DUMMYFUNCTION("""COMPUTED_VALUE"""),46210.6666666666)</f>
        <v/>
      </c>
      <c r="C262" s="141">
        <f>IFERROR(__xludf.DUMMYFUNCTION("""COMPUTED_VALUE"""),93.93)</f>
        <v/>
      </c>
      <c r="D262" s="141">
        <f>IFERROR(__xludf.DUMMYFUNCTION("""COMPUTED_VALUE"""),94.11)</f>
        <v/>
      </c>
      <c r="E262" s="141">
        <f>IFERROR(__xludf.DUMMYFUNCTION("""COMPUTED_VALUE"""),92.8)</f>
        <v/>
      </c>
      <c r="F262" s="141">
        <f>IFERROR(__xludf.DUMMYFUNCTION("""COMPUTED_VALUE"""),93.07)</f>
        <v/>
      </c>
      <c r="G262" s="143">
        <f>IFERROR(__xludf.DUMMYFUNCTION("""COMPUTED_VALUE"""),6034196)</f>
        <v/>
      </c>
      <c r="H262" s="27" t="n"/>
    </row>
    <row r="263" ht="17.25" customHeight="1" s="322">
      <c r="A263" s="27" t="n"/>
      <c r="B263" s="506">
        <f>IFERROR(__xludf.DUMMYFUNCTION("""COMPUTED_VALUE"""),46211.6666666666)</f>
        <v/>
      </c>
      <c r="C263" s="141">
        <f>IFERROR(__xludf.DUMMYFUNCTION("""COMPUTED_VALUE"""),91.52)</f>
        <v/>
      </c>
      <c r="D263" s="141">
        <f>IFERROR(__xludf.DUMMYFUNCTION("""COMPUTED_VALUE"""),92.58)</f>
        <v/>
      </c>
      <c r="E263" s="141">
        <f>IFERROR(__xludf.DUMMYFUNCTION("""COMPUTED_VALUE"""),91.19)</f>
        <v/>
      </c>
      <c r="F263" s="141">
        <f>IFERROR(__xludf.DUMMYFUNCTION("""COMPUTED_VALUE"""),92.54)</f>
        <v/>
      </c>
      <c r="G263" s="143">
        <f>IFERROR(__xludf.DUMMYFUNCTION("""COMPUTED_VALUE"""),5290571)</f>
        <v/>
      </c>
      <c r="H263" s="27" t="n"/>
    </row>
    <row r="264" ht="17.25" customHeight="1" s="322">
      <c r="A264" s="27" t="n"/>
      <c r="B264" s="506">
        <f>IFERROR(__xludf.DUMMYFUNCTION("""COMPUTED_VALUE"""),46212.6666666666)</f>
        <v/>
      </c>
      <c r="C264" s="141">
        <f>IFERROR(__xludf.DUMMYFUNCTION("""COMPUTED_VALUE"""),92.91)</f>
        <v/>
      </c>
      <c r="D264" s="141">
        <f>IFERROR(__xludf.DUMMYFUNCTION("""COMPUTED_VALUE"""),93.69)</f>
        <v/>
      </c>
      <c r="E264" s="141">
        <f>IFERROR(__xludf.DUMMYFUNCTION("""COMPUTED_VALUE"""),92.89)</f>
        <v/>
      </c>
      <c r="F264" s="141">
        <f>IFERROR(__xludf.DUMMYFUNCTION("""COMPUTED_VALUE"""),93.52)</f>
        <v/>
      </c>
      <c r="G264" s="143">
        <f>IFERROR(__xludf.DUMMYFUNCTION("""COMPUTED_VALUE"""),5665057)</f>
        <v/>
      </c>
      <c r="H264" s="27" t="n"/>
    </row>
    <row r="265" ht="17.25" customHeight="1" s="322">
      <c r="A265" s="27" t="n"/>
      <c r="B265" s="506">
        <f>IFERROR(__xludf.DUMMYFUNCTION("""COMPUTED_VALUE"""),46213.6666666666)</f>
        <v/>
      </c>
      <c r="C265" s="141">
        <f>IFERROR(__xludf.DUMMYFUNCTION("""COMPUTED_VALUE"""),94.11)</f>
        <v/>
      </c>
      <c r="D265" s="141">
        <f>IFERROR(__xludf.DUMMYFUNCTION("""COMPUTED_VALUE"""),94.75)</f>
        <v/>
      </c>
      <c r="E265" s="141">
        <f>IFERROR(__xludf.DUMMYFUNCTION("""COMPUTED_VALUE"""),93.57)</f>
        <v/>
      </c>
      <c r="F265" s="141">
        <f>IFERROR(__xludf.DUMMYFUNCTION("""COMPUTED_VALUE"""),94.55)</f>
        <v/>
      </c>
      <c r="G265" s="143">
        <f>IFERROR(__xludf.DUMMYFUNCTION("""COMPUTED_VALUE"""),3208682)</f>
        <v/>
      </c>
      <c r="H265" s="27" t="n"/>
    </row>
    <row r="266" ht="17.25" customHeight="1" s="322">
      <c r="A266" s="27" t="n"/>
      <c r="B266" s="506">
        <f>IFERROR(__xludf.DUMMYFUNCTION("""COMPUTED_VALUE"""),46216.6666666666)</f>
        <v/>
      </c>
      <c r="C266" s="141">
        <f>IFERROR(__xludf.DUMMYFUNCTION("""COMPUTED_VALUE"""),93.07)</f>
        <v/>
      </c>
      <c r="D266" s="141">
        <f>IFERROR(__xludf.DUMMYFUNCTION("""COMPUTED_VALUE"""),93.37)</f>
        <v/>
      </c>
      <c r="E266" s="141">
        <f>IFERROR(__xludf.DUMMYFUNCTION("""COMPUTED_VALUE"""),92.51)</f>
        <v/>
      </c>
      <c r="F266" s="141">
        <f>IFERROR(__xludf.DUMMYFUNCTION("""COMPUTED_VALUE"""),92.72)</f>
        <v/>
      </c>
      <c r="G266" s="143">
        <f>IFERROR(__xludf.DUMMYFUNCTION("""COMPUTED_VALUE"""),3741616)</f>
        <v/>
      </c>
      <c r="H266" s="27" t="n"/>
    </row>
    <row r="267" ht="17.25" customHeight="1" s="322">
      <c r="A267" s="27" t="n"/>
      <c r="B267" s="506">
        <f>IFERROR(__xludf.DUMMYFUNCTION("""COMPUTED_VALUE"""),46217.6666666666)</f>
        <v/>
      </c>
      <c r="C267" s="141">
        <f>IFERROR(__xludf.DUMMYFUNCTION("""COMPUTED_VALUE"""),94.17)</f>
        <v/>
      </c>
      <c r="D267" s="141">
        <f>IFERROR(__xludf.DUMMYFUNCTION("""COMPUTED_VALUE"""),94.78)</f>
        <v/>
      </c>
      <c r="E267" s="141">
        <f>IFERROR(__xludf.DUMMYFUNCTION("""COMPUTED_VALUE"""),93.75)</f>
        <v/>
      </c>
      <c r="F267" s="141">
        <f>IFERROR(__xludf.DUMMYFUNCTION("""COMPUTED_VALUE"""),93.89)</f>
        <v/>
      </c>
      <c r="G267" s="143">
        <f>IFERROR(__xludf.DUMMYFUNCTION("""COMPUTED_VALUE"""),4475744)</f>
        <v/>
      </c>
      <c r="H267" s="27" t="n"/>
    </row>
    <row r="268" ht="17.25" customHeight="1" s="322">
      <c r="A268" s="27" t="n"/>
      <c r="B268" s="506">
        <f>IFERROR(__xludf.DUMMYFUNCTION("""COMPUTED_VALUE"""),46218.6666666666)</f>
        <v/>
      </c>
      <c r="C268" s="141">
        <f>IFERROR(__xludf.DUMMYFUNCTION("""COMPUTED_VALUE"""),93.9)</f>
        <v/>
      </c>
      <c r="D268" s="141">
        <f>IFERROR(__xludf.DUMMYFUNCTION("""COMPUTED_VALUE"""),94.04)</f>
        <v/>
      </c>
      <c r="E268" s="141">
        <f>IFERROR(__xludf.DUMMYFUNCTION("""COMPUTED_VALUE"""),92.78)</f>
        <v/>
      </c>
      <c r="F268" s="141">
        <f>IFERROR(__xludf.DUMMYFUNCTION("""COMPUTED_VALUE"""),93.5)</f>
        <v/>
      </c>
      <c r="G268" s="143">
        <f>IFERROR(__xludf.DUMMYFUNCTION("""COMPUTED_VALUE"""),4838238)</f>
        <v/>
      </c>
      <c r="H268" s="27" t="n"/>
    </row>
    <row r="269" ht="17.25" customHeight="1" s="322">
      <c r="A269" s="27" t="n"/>
      <c r="B269" s="506">
        <f>IFERROR(__xludf.DUMMYFUNCTION("""COMPUTED_VALUE"""),46219.6666666666)</f>
        <v/>
      </c>
      <c r="C269" s="141">
        <f>IFERROR(__xludf.DUMMYFUNCTION("""COMPUTED_VALUE"""),92.04)</f>
        <v/>
      </c>
      <c r="D269" s="141">
        <f>IFERROR(__xludf.DUMMYFUNCTION("""COMPUTED_VALUE"""),92.47)</f>
        <v/>
      </c>
      <c r="E269" s="141">
        <f>IFERROR(__xludf.DUMMYFUNCTION("""COMPUTED_VALUE"""),91.62)</f>
        <v/>
      </c>
      <c r="F269" s="141">
        <f>IFERROR(__xludf.DUMMYFUNCTION("""COMPUTED_VALUE"""),91.91)</f>
        <v/>
      </c>
      <c r="G269" s="143">
        <f>IFERROR(__xludf.DUMMYFUNCTION("""COMPUTED_VALUE"""),3334893)</f>
        <v/>
      </c>
      <c r="H269" s="27" t="n"/>
    </row>
    <row r="270" ht="17.25" customHeight="1" s="322">
      <c r="A270" s="27" t="n"/>
      <c r="B270" s="506">
        <f>IFERROR(__xludf.DUMMYFUNCTION("""COMPUTED_VALUE"""),46220.6666666666)</f>
        <v/>
      </c>
      <c r="C270" s="141">
        <f>IFERROR(__xludf.DUMMYFUNCTION("""COMPUTED_VALUE"""),89.24)</f>
        <v/>
      </c>
      <c r="D270" s="141">
        <f>IFERROR(__xludf.DUMMYFUNCTION("""COMPUTED_VALUE"""),90.65)</f>
        <v/>
      </c>
      <c r="E270" s="141">
        <f>IFERROR(__xludf.DUMMYFUNCTION("""COMPUTED_VALUE"""),89.16)</f>
        <v/>
      </c>
      <c r="F270" s="141">
        <f>IFERROR(__xludf.DUMMYFUNCTION("""COMPUTED_VALUE"""),90.49)</f>
        <v/>
      </c>
      <c r="G270" s="143">
        <f>IFERROR(__xludf.DUMMYFUNCTION("""COMPUTED_VALUE"""),8287545)</f>
        <v/>
      </c>
      <c r="H270" s="27" t="n"/>
    </row>
    <row r="271" ht="17.25" customHeight="1" s="322">
      <c r="A271" s="27" t="n"/>
      <c r="B271" s="506">
        <f>IFERROR(__xludf.DUMMYFUNCTION("""COMPUTED_VALUE"""),46223.6666666666)</f>
        <v/>
      </c>
      <c r="C271" s="141">
        <f>IFERROR(__xludf.DUMMYFUNCTION("""COMPUTED_VALUE"""),90.88)</f>
        <v/>
      </c>
      <c r="D271" s="141">
        <f>IFERROR(__xludf.DUMMYFUNCTION("""COMPUTED_VALUE"""),91.21)</f>
        <v/>
      </c>
      <c r="E271" s="141">
        <f>IFERROR(__xludf.DUMMYFUNCTION("""COMPUTED_VALUE"""),90.38)</f>
        <v/>
      </c>
      <c r="F271" s="141">
        <f>IFERROR(__xludf.DUMMYFUNCTION("""COMPUTED_VALUE"""),90.43)</f>
        <v/>
      </c>
      <c r="G271" s="143">
        <f>IFERROR(__xludf.DUMMYFUNCTION("""COMPUTED_VALUE"""),3362686)</f>
        <v/>
      </c>
      <c r="H271" s="27" t="n"/>
    </row>
    <row r="272" ht="17.25" customHeight="1" s="322">
      <c r="A272" s="27" t="n"/>
      <c r="B272" s="506">
        <f>IFERROR(__xludf.DUMMYFUNCTION("""COMPUTED_VALUE"""),46224.6666666666)</f>
        <v/>
      </c>
      <c r="C272" s="141">
        <f>IFERROR(__xludf.DUMMYFUNCTION("""COMPUTED_VALUE"""),92.08)</f>
        <v/>
      </c>
      <c r="D272" s="141">
        <f>IFERROR(__xludf.DUMMYFUNCTION("""COMPUTED_VALUE"""),92.97)</f>
        <v/>
      </c>
      <c r="E272" s="141">
        <f>IFERROR(__xludf.DUMMYFUNCTION("""COMPUTED_VALUE"""),91.71)</f>
        <v/>
      </c>
      <c r="F272" s="141">
        <f>IFERROR(__xludf.DUMMYFUNCTION("""COMPUTED_VALUE"""),92.74)</f>
        <v/>
      </c>
      <c r="G272" s="143">
        <f>IFERROR(__xludf.DUMMYFUNCTION("""COMPUTED_VALUE"""),6375560)</f>
        <v/>
      </c>
      <c r="H272" s="27" t="n"/>
    </row>
    <row r="273" ht="17.25" customHeight="1" s="322">
      <c r="A273" s="27" t="n"/>
      <c r="B273" s="506">
        <f>IFERROR(__xludf.DUMMYFUNCTION("""COMPUTED_VALUE"""),46225.6666666666)</f>
        <v/>
      </c>
      <c r="C273" s="141">
        <f>IFERROR(__xludf.DUMMYFUNCTION("""COMPUTED_VALUE"""),91.88)</f>
        <v/>
      </c>
      <c r="D273" s="141">
        <f>IFERROR(__xludf.DUMMYFUNCTION("""COMPUTED_VALUE"""),92.55)</f>
        <v/>
      </c>
      <c r="E273" s="141">
        <f>IFERROR(__xludf.DUMMYFUNCTION("""COMPUTED_VALUE"""),91.88)</f>
        <v/>
      </c>
      <c r="F273" s="141">
        <f>IFERROR(__xludf.DUMMYFUNCTION("""COMPUTED_VALUE"""),92.19)</f>
        <v/>
      </c>
      <c r="G273" s="143">
        <f>IFERROR(__xludf.DUMMYFUNCTION("""COMPUTED_VALUE"""),3433638)</f>
        <v/>
      </c>
      <c r="H273" s="27" t="n"/>
    </row>
    <row r="274" ht="17.25" customHeight="1" s="322">
      <c r="A274" s="27" t="n"/>
      <c r="B274" s="506">
        <f>IFERROR(__xludf.DUMMYFUNCTION("""COMPUTED_VALUE"""),46226.6666666666)</f>
        <v/>
      </c>
      <c r="C274" s="141">
        <f>IFERROR(__xludf.DUMMYFUNCTION("""COMPUTED_VALUE"""),91.47)</f>
        <v/>
      </c>
      <c r="D274" s="141">
        <f>IFERROR(__xludf.DUMMYFUNCTION("""COMPUTED_VALUE"""),91.87)</f>
        <v/>
      </c>
      <c r="E274" s="141">
        <f>IFERROR(__xludf.DUMMYFUNCTION("""COMPUTED_VALUE"""),90.64)</f>
        <v/>
      </c>
      <c r="F274" s="141">
        <f>IFERROR(__xludf.DUMMYFUNCTION("""COMPUTED_VALUE"""),91.1)</f>
        <v/>
      </c>
      <c r="G274" s="143">
        <f>IFERROR(__xludf.DUMMYFUNCTION("""COMPUTED_VALUE"""),4430550)</f>
        <v/>
      </c>
      <c r="H274" s="27" t="n"/>
    </row>
    <row r="275" ht="17.25" customHeight="1" s="322">
      <c r="A275" s="27" t="n"/>
      <c r="B275" s="506">
        <f>IFERROR(__xludf.DUMMYFUNCTION("""COMPUTED_VALUE"""),46227.6666666666)</f>
        <v/>
      </c>
      <c r="C275" s="141">
        <f>IFERROR(__xludf.DUMMYFUNCTION("""COMPUTED_VALUE"""),91.46)</f>
        <v/>
      </c>
      <c r="D275" s="141">
        <f>IFERROR(__xludf.DUMMYFUNCTION("""COMPUTED_VALUE"""),91.92)</f>
        <v/>
      </c>
      <c r="E275" s="141">
        <f>IFERROR(__xludf.DUMMYFUNCTION("""COMPUTED_VALUE"""),91.06)</f>
        <v/>
      </c>
      <c r="F275" s="141">
        <f>IFERROR(__xludf.DUMMYFUNCTION("""COMPUTED_VALUE"""),91.21)</f>
        <v/>
      </c>
      <c r="G275" s="143">
        <f>IFERROR(__xludf.DUMMYFUNCTION("""COMPUTED_VALUE"""),3092111)</f>
        <v/>
      </c>
      <c r="H275" s="27" t="n"/>
    </row>
    <row r="276" ht="17.25" customHeight="1" s="322">
      <c r="A276" s="27" t="n"/>
      <c r="B276" s="506">
        <f>IFERROR(__xludf.DUMMYFUNCTION("""COMPUTED_VALUE"""),46230.6666666666)</f>
        <v/>
      </c>
      <c r="C276" s="141">
        <f>IFERROR(__xludf.DUMMYFUNCTION("""COMPUTED_VALUE"""),92.24)</f>
        <v/>
      </c>
      <c r="D276" s="141">
        <f>IFERROR(__xludf.DUMMYFUNCTION("""COMPUTED_VALUE"""),92.4)</f>
        <v/>
      </c>
      <c r="E276" s="141">
        <f>IFERROR(__xludf.DUMMYFUNCTION("""COMPUTED_VALUE"""),90.87)</f>
        <v/>
      </c>
      <c r="F276" s="141">
        <f>IFERROR(__xludf.DUMMYFUNCTION("""COMPUTED_VALUE"""),91.51)</f>
        <v/>
      </c>
      <c r="G276" s="143">
        <f>IFERROR(__xludf.DUMMYFUNCTION("""COMPUTED_VALUE"""),2493135)</f>
        <v/>
      </c>
      <c r="H276" s="27" t="n"/>
    </row>
    <row r="277" ht="17.25" customHeight="1" s="322">
      <c r="A277" s="27" t="n"/>
      <c r="B277" s="506">
        <f>IFERROR(__xludf.DUMMYFUNCTION("""COMPUTED_VALUE"""),46231.6666666666)</f>
        <v/>
      </c>
      <c r="C277" s="141">
        <f>IFERROR(__xludf.DUMMYFUNCTION("""COMPUTED_VALUE"""),89.36)</f>
        <v/>
      </c>
      <c r="D277" s="141">
        <f>IFERROR(__xludf.DUMMYFUNCTION("""COMPUTED_VALUE"""),90.33)</f>
        <v/>
      </c>
      <c r="E277" s="141">
        <f>IFERROR(__xludf.DUMMYFUNCTION("""COMPUTED_VALUE"""),89.29)</f>
        <v/>
      </c>
      <c r="F277" s="141">
        <f>IFERROR(__xludf.DUMMYFUNCTION("""COMPUTED_VALUE"""),89.83)</f>
        <v/>
      </c>
      <c r="G277" s="143">
        <f>IFERROR(__xludf.DUMMYFUNCTION("""COMPUTED_VALUE"""),5323501)</f>
        <v/>
      </c>
      <c r="H277" s="27" t="n"/>
    </row>
    <row r="278" ht="17.25" customHeight="1" s="322">
      <c r="A278" s="27" t="n"/>
      <c r="B278" s="506">
        <f>IFERROR(__xludf.DUMMYFUNCTION("""COMPUTED_VALUE"""),46232.6666666666)</f>
        <v/>
      </c>
      <c r="C278" s="141">
        <f>IFERROR(__xludf.DUMMYFUNCTION("""COMPUTED_VALUE"""),89.94)</f>
        <v/>
      </c>
      <c r="D278" s="141">
        <f>IFERROR(__xludf.DUMMYFUNCTION("""COMPUTED_VALUE"""),91.16)</f>
        <v/>
      </c>
      <c r="E278" s="141">
        <f>IFERROR(__xludf.DUMMYFUNCTION("""COMPUTED_VALUE"""),89.09)</f>
        <v/>
      </c>
      <c r="F278" s="141">
        <f>IFERROR(__xludf.DUMMYFUNCTION("""COMPUTED_VALUE"""),89.35)</f>
        <v/>
      </c>
      <c r="G278" s="143">
        <f>IFERROR(__xludf.DUMMYFUNCTION("""COMPUTED_VALUE"""),5485806)</f>
        <v/>
      </c>
      <c r="H278" s="27" t="n"/>
    </row>
    <row r="279" ht="17.25" customHeight="1" s="322">
      <c r="A279" s="27" t="n"/>
      <c r="B279" s="506" t="n"/>
      <c r="C279" s="141" t="n"/>
      <c r="D279" s="141" t="n"/>
      <c r="E279" s="141" t="n"/>
      <c r="F279" s="141" t="n"/>
      <c r="G279" s="143" t="n"/>
      <c r="H279" s="27" t="n"/>
    </row>
    <row r="280" ht="17.25" customHeight="1" s="322">
      <c r="A280" s="27" t="n"/>
      <c r="B280" s="506" t="n"/>
      <c r="C280" s="141" t="n"/>
      <c r="D280" s="141" t="n"/>
      <c r="E280" s="141" t="n"/>
      <c r="F280" s="141" t="n"/>
      <c r="G280" s="143" t="n"/>
      <c r="H280" s="27" t="n"/>
    </row>
    <row r="281" ht="17.25" customHeight="1" s="322">
      <c r="A281" s="27" t="n"/>
      <c r="B281" s="506" t="n"/>
      <c r="C281" s="141" t="n"/>
      <c r="D281" s="141" t="n"/>
      <c r="E281" s="141" t="n"/>
      <c r="F281" s="141" t="n"/>
      <c r="G281" s="143" t="n"/>
      <c r="H281" s="27" t="n"/>
    </row>
    <row r="282" ht="17.25" customHeight="1" s="322">
      <c r="A282" s="27" t="n"/>
      <c r="B282" s="506" t="n"/>
      <c r="C282" s="141" t="n"/>
      <c r="D282" s="141" t="n"/>
      <c r="E282" s="141" t="n"/>
      <c r="F282" s="141" t="n"/>
      <c r="G282" s="143" t="n"/>
      <c r="H282" s="27" t="n"/>
    </row>
    <row r="283" ht="17.25" customHeight="1" s="322">
      <c r="A283" s="27" t="n"/>
      <c r="B283" s="506" t="n"/>
      <c r="C283" s="141" t="n"/>
      <c r="D283" s="141" t="n"/>
      <c r="E283" s="141" t="n"/>
      <c r="F283" s="141" t="n"/>
      <c r="G283" s="143" t="n"/>
      <c r="H283" s="27" t="n"/>
    </row>
    <row r="284" ht="17.25" customHeight="1" s="322">
      <c r="A284" s="27" t="n"/>
      <c r="B284" s="506" t="n"/>
      <c r="C284" s="141" t="n"/>
      <c r="D284" s="141" t="n"/>
      <c r="E284" s="141" t="n"/>
      <c r="F284" s="141" t="n"/>
      <c r="G284" s="143" t="n"/>
      <c r="H284" s="27" t="n"/>
    </row>
    <row r="285" ht="17.25" customHeight="1" s="322">
      <c r="A285" s="27" t="n"/>
      <c r="B285" s="506" t="n"/>
      <c r="C285" s="141" t="n"/>
      <c r="D285" s="141" t="n"/>
      <c r="E285" s="141" t="n"/>
      <c r="F285" s="141" t="n"/>
      <c r="G285" s="143" t="n"/>
      <c r="H285" s="27" t="n"/>
    </row>
    <row r="286" ht="17.25" customHeight="1" s="322">
      <c r="A286" s="27" t="n"/>
      <c r="B286" s="506" t="n"/>
      <c r="C286" s="141" t="n"/>
      <c r="D286" s="141" t="n"/>
      <c r="E286" s="141" t="n"/>
      <c r="F286" s="141" t="n"/>
      <c r="G286" s="143" t="n"/>
      <c r="H286" s="27" t="n"/>
    </row>
    <row r="287" ht="17.25" customHeight="1" s="322">
      <c r="A287" s="27" t="n"/>
      <c r="B287" s="506" t="n"/>
      <c r="C287" s="141" t="n"/>
      <c r="D287" s="141" t="n"/>
      <c r="E287" s="141" t="n"/>
      <c r="F287" s="141" t="n"/>
      <c r="G287" s="143" t="n"/>
      <c r="H287" s="27" t="n"/>
    </row>
    <row r="288" ht="17.25" customHeight="1" s="322">
      <c r="A288" s="27" t="n"/>
      <c r="B288" s="506" t="n"/>
      <c r="C288" s="141" t="n"/>
      <c r="D288" s="141" t="n"/>
      <c r="E288" s="141" t="n"/>
      <c r="F288" s="141" t="n"/>
      <c r="G288" s="143" t="n"/>
      <c r="H288" s="27" t="n"/>
    </row>
    <row r="289" ht="17.25" customHeight="1" s="322">
      <c r="A289" s="27" t="n"/>
      <c r="B289" s="506" t="n"/>
      <c r="C289" s="141" t="n"/>
      <c r="D289" s="141" t="n"/>
      <c r="E289" s="141" t="n"/>
      <c r="F289" s="141" t="n"/>
      <c r="G289" s="143" t="n"/>
      <c r="H289" s="27" t="n"/>
    </row>
    <row r="290" ht="17.25" customHeight="1" s="322">
      <c r="A290" s="27" t="n"/>
      <c r="B290" s="506" t="n"/>
      <c r="C290" s="141" t="n"/>
      <c r="D290" s="141" t="n"/>
      <c r="E290" s="141" t="n"/>
      <c r="F290" s="141" t="n"/>
      <c r="G290" s="143" t="n"/>
      <c r="H290" s="27" t="n"/>
    </row>
    <row r="291" ht="17.25" customHeight="1" s="322">
      <c r="A291" s="27" t="n"/>
      <c r="B291" s="506" t="n"/>
      <c r="C291" s="141" t="n"/>
      <c r="D291" s="141" t="n"/>
      <c r="E291" s="141" t="n"/>
      <c r="F291" s="141" t="n"/>
      <c r="G291" s="143" t="n"/>
      <c r="H291" s="27" t="n"/>
    </row>
    <row r="292" ht="17.25" customHeight="1" s="322">
      <c r="A292" s="27" t="n"/>
      <c r="B292" s="506" t="n"/>
      <c r="C292" s="141" t="n"/>
      <c r="D292" s="141" t="n"/>
      <c r="E292" s="141" t="n"/>
      <c r="F292" s="141" t="n"/>
      <c r="G292" s="143" t="n"/>
      <c r="H292" s="27" t="n"/>
    </row>
    <row r="293" ht="17.25" customHeight="1" s="322">
      <c r="A293" s="27" t="n"/>
      <c r="B293" s="506" t="n"/>
      <c r="C293" s="141" t="n"/>
      <c r="D293" s="141" t="n"/>
      <c r="E293" s="141" t="n"/>
      <c r="F293" s="141" t="n"/>
      <c r="G293" s="143" t="n"/>
      <c r="H293" s="27" t="n"/>
    </row>
    <row r="294" ht="17.25" customHeight="1" s="322">
      <c r="A294" s="27" t="n"/>
      <c r="B294" s="506" t="n"/>
      <c r="C294" s="141" t="n"/>
      <c r="D294" s="141" t="n"/>
      <c r="E294" s="141" t="n"/>
      <c r="F294" s="141" t="n"/>
      <c r="G294" s="143" t="n"/>
      <c r="H294" s="27" t="n"/>
    </row>
    <row r="295" ht="17.25" customHeight="1" s="322">
      <c r="A295" s="27" t="n"/>
      <c r="B295" s="506" t="n"/>
      <c r="C295" s="141" t="n"/>
      <c r="D295" s="141" t="n"/>
      <c r="E295" s="141" t="n"/>
      <c r="F295" s="141" t="n"/>
      <c r="G295" s="143" t="n"/>
      <c r="H295" s="27" t="n"/>
    </row>
    <row r="296" ht="17.25" customHeight="1" s="322">
      <c r="A296" s="27" t="n"/>
      <c r="B296" s="506" t="n"/>
      <c r="C296" s="141" t="n"/>
      <c r="D296" s="141" t="n"/>
      <c r="E296" s="141" t="n"/>
      <c r="F296" s="141" t="n"/>
      <c r="G296" s="143" t="n"/>
      <c r="H296" s="27" t="n"/>
    </row>
    <row r="297" ht="17.25" customHeight="1" s="322">
      <c r="A297" s="27" t="n"/>
      <c r="B297" s="506" t="n"/>
      <c r="C297" s="141" t="n"/>
      <c r="D297" s="141" t="n"/>
      <c r="E297" s="141" t="n"/>
      <c r="F297" s="141" t="n"/>
      <c r="G297" s="143" t="n"/>
      <c r="H297" s="27" t="n"/>
    </row>
    <row r="298" ht="17.25" customHeight="1" s="322">
      <c r="A298" s="27" t="n"/>
      <c r="B298" s="506" t="n"/>
      <c r="C298" s="141" t="n"/>
      <c r="D298" s="141" t="n"/>
      <c r="E298" s="141" t="n"/>
      <c r="F298" s="141" t="n"/>
      <c r="G298" s="143" t="n"/>
      <c r="H298" s="27" t="n"/>
    </row>
    <row r="299" ht="17.25" customHeight="1" s="322">
      <c r="A299" s="27" t="n"/>
      <c r="B299" s="506" t="n"/>
      <c r="C299" s="141" t="n"/>
      <c r="D299" s="141" t="n"/>
      <c r="E299" s="141" t="n"/>
      <c r="F299" s="141" t="n"/>
      <c r="G299" s="143" t="n"/>
      <c r="H299" s="27" t="n"/>
    </row>
    <row r="300" ht="17.25" customHeight="1" s="322">
      <c r="A300" s="27" t="n"/>
      <c r="B300" s="506" t="n"/>
      <c r="C300" s="141" t="n"/>
      <c r="D300" s="141" t="n"/>
      <c r="E300" s="141" t="n"/>
      <c r="F300" s="141" t="n"/>
      <c r="G300" s="143" t="n"/>
      <c r="H300" s="27" t="n"/>
    </row>
    <row r="301" ht="17.25" customHeight="1" s="322">
      <c r="A301" s="27" t="n"/>
      <c r="B301" s="506" t="n"/>
      <c r="C301" s="141" t="n"/>
      <c r="D301" s="141" t="n"/>
      <c r="E301" s="141" t="n"/>
      <c r="F301" s="141" t="n"/>
      <c r="G301" s="143" t="n"/>
      <c r="H301" s="27" t="n"/>
    </row>
    <row r="302" ht="17.25" customHeight="1" s="322">
      <c r="A302" s="27" t="n"/>
      <c r="B302" s="506" t="n"/>
      <c r="C302" s="141" t="n"/>
      <c r="D302" s="141" t="n"/>
      <c r="E302" s="141" t="n"/>
      <c r="F302" s="141" t="n"/>
      <c r="G302" s="143" t="n"/>
      <c r="H302" s="27" t="n"/>
    </row>
    <row r="303" ht="17.25" customHeight="1" s="322">
      <c r="A303" s="27" t="n"/>
      <c r="B303" s="506" t="n"/>
      <c r="C303" s="141" t="n"/>
      <c r="D303" s="141" t="n"/>
      <c r="E303" s="141" t="n"/>
      <c r="F303" s="141" t="n"/>
      <c r="G303" s="143" t="n"/>
      <c r="H303" s="27" t="n"/>
    </row>
    <row r="304" ht="17.25" customHeight="1" s="322">
      <c r="A304" s="27" t="n"/>
      <c r="B304" s="506" t="n"/>
      <c r="C304" s="141" t="n"/>
      <c r="D304" s="141" t="n"/>
      <c r="E304" s="141" t="n"/>
      <c r="F304" s="141" t="n"/>
      <c r="G304" s="143" t="n"/>
      <c r="H304" s="27" t="n"/>
    </row>
    <row r="305" ht="17.25" customHeight="1" s="322">
      <c r="A305" s="27" t="n"/>
      <c r="B305" s="506" t="n"/>
      <c r="C305" s="141" t="n"/>
      <c r="D305" s="141" t="n"/>
      <c r="E305" s="141" t="n"/>
      <c r="F305" s="141" t="n"/>
      <c r="G305" s="143" t="n"/>
      <c r="H305" s="27" t="n"/>
    </row>
    <row r="306" ht="17.25" customHeight="1" s="322">
      <c r="A306" s="27" t="n"/>
      <c r="B306" s="506" t="n"/>
      <c r="C306" s="141" t="n"/>
      <c r="D306" s="141" t="n"/>
      <c r="E306" s="141" t="n"/>
      <c r="F306" s="141" t="n"/>
      <c r="G306" s="143" t="n"/>
      <c r="H306" s="27" t="n"/>
    </row>
    <row r="307" ht="17.25" customHeight="1" s="322">
      <c r="A307" s="27" t="n"/>
      <c r="B307" s="506" t="n"/>
      <c r="C307" s="141" t="n"/>
      <c r="D307" s="141" t="n"/>
      <c r="E307" s="141" t="n"/>
      <c r="F307" s="141" t="n"/>
      <c r="G307" s="143" t="n"/>
      <c r="H307" s="27" t="n"/>
    </row>
    <row r="308" ht="17.25" customHeight="1" s="322">
      <c r="A308" s="27" t="n"/>
      <c r="B308" s="506" t="n"/>
      <c r="C308" s="141" t="n"/>
      <c r="D308" s="141" t="n"/>
      <c r="E308" s="141" t="n"/>
      <c r="F308" s="141" t="n"/>
      <c r="G308" s="143" t="n"/>
      <c r="H308" s="27" t="n"/>
    </row>
    <row r="309" ht="17.25" customHeight="1" s="322">
      <c r="A309" s="27" t="n"/>
      <c r="B309" s="506" t="n"/>
      <c r="C309" s="141" t="n"/>
      <c r="D309" s="141" t="n"/>
      <c r="E309" s="141" t="n"/>
      <c r="F309" s="141" t="n"/>
      <c r="G309" s="143" t="n"/>
      <c r="H309" s="27" t="n"/>
    </row>
    <row r="310" ht="17.25" customHeight="1" s="322">
      <c r="A310" s="27" t="n"/>
      <c r="B310" s="506" t="n"/>
      <c r="C310" s="141" t="n"/>
      <c r="D310" s="141" t="n"/>
      <c r="E310" s="141" t="n"/>
      <c r="F310" s="141" t="n"/>
      <c r="G310" s="143" t="n"/>
      <c r="H310" s="27" t="n"/>
    </row>
    <row r="311" ht="17.25" customHeight="1" s="322">
      <c r="A311" s="27" t="n"/>
      <c r="B311" s="506" t="n"/>
      <c r="C311" s="141" t="n"/>
      <c r="D311" s="141" t="n"/>
      <c r="E311" s="141" t="n"/>
      <c r="F311" s="141" t="n"/>
      <c r="G311" s="143" t="n"/>
      <c r="H311" s="27" t="n"/>
    </row>
    <row r="312" ht="17.25" customHeight="1" s="322">
      <c r="A312" s="27" t="n"/>
      <c r="B312" s="506" t="n"/>
      <c r="C312" s="141" t="n"/>
      <c r="D312" s="141" t="n"/>
      <c r="E312" s="141" t="n"/>
      <c r="F312" s="141" t="n"/>
      <c r="G312" s="143" t="n"/>
      <c r="H312" s="27" t="n"/>
    </row>
    <row r="313" ht="17.25" customHeight="1" s="322">
      <c r="A313" s="27" t="n"/>
      <c r="B313" s="506" t="n"/>
      <c r="C313" s="141" t="n"/>
      <c r="D313" s="141" t="n"/>
      <c r="E313" s="141" t="n"/>
      <c r="F313" s="141" t="n"/>
      <c r="G313" s="143" t="n"/>
      <c r="H313" s="27" t="n"/>
    </row>
    <row r="314" ht="17.25" customHeight="1" s="322">
      <c r="A314" s="27" t="n"/>
      <c r="B314" s="506" t="n"/>
      <c r="C314" s="141" t="n"/>
      <c r="D314" s="141" t="n"/>
      <c r="E314" s="141" t="n"/>
      <c r="F314" s="141" t="n"/>
      <c r="G314" s="143" t="n"/>
      <c r="H314" s="27" t="n"/>
    </row>
    <row r="315" ht="17.25" customHeight="1" s="322">
      <c r="A315" s="27" t="n"/>
      <c r="B315" s="506" t="n"/>
      <c r="C315" s="141" t="n"/>
      <c r="D315" s="141" t="n"/>
      <c r="E315" s="141" t="n"/>
      <c r="F315" s="141" t="n"/>
      <c r="G315" s="143" t="n"/>
      <c r="H315" s="27" t="n"/>
    </row>
    <row r="316" ht="17.25" customHeight="1" s="322">
      <c r="A316" s="27" t="n"/>
      <c r="B316" s="506" t="n"/>
      <c r="C316" s="141" t="n"/>
      <c r="D316" s="141" t="n"/>
      <c r="E316" s="141" t="n"/>
      <c r="F316" s="141" t="n"/>
      <c r="G316" s="143" t="n"/>
      <c r="H316" s="27" t="n"/>
    </row>
    <row r="317" ht="17.25" customHeight="1" s="322">
      <c r="A317" s="27" t="n"/>
      <c r="B317" s="506" t="n"/>
      <c r="C317" s="141" t="n"/>
      <c r="D317" s="141" t="n"/>
      <c r="E317" s="141" t="n"/>
      <c r="F317" s="141" t="n"/>
      <c r="G317" s="143" t="n"/>
      <c r="H317" s="27" t="n"/>
    </row>
    <row r="318" ht="17.25" customHeight="1" s="322">
      <c r="A318" s="27" t="n"/>
      <c r="B318" s="506" t="n"/>
      <c r="C318" s="141" t="n"/>
      <c r="D318" s="141" t="n"/>
      <c r="E318" s="141" t="n"/>
      <c r="F318" s="141" t="n"/>
      <c r="G318" s="143" t="n"/>
      <c r="H318" s="27" t="n"/>
    </row>
    <row r="319" ht="17.25" customHeight="1" s="322">
      <c r="A319" s="27" t="n"/>
      <c r="B319" s="506" t="n"/>
      <c r="C319" s="141" t="n"/>
      <c r="D319" s="141" t="n"/>
      <c r="E319" s="141" t="n"/>
      <c r="F319" s="141" t="n"/>
      <c r="G319" s="143" t="n"/>
      <c r="H319" s="27" t="n"/>
    </row>
    <row r="320" ht="17.25" customHeight="1" s="322">
      <c r="A320" s="27" t="n"/>
      <c r="B320" s="506" t="n"/>
      <c r="C320" s="141" t="n"/>
      <c r="D320" s="141" t="n"/>
      <c r="E320" s="141" t="n"/>
      <c r="F320" s="141" t="n"/>
      <c r="G320" s="143" t="n"/>
      <c r="H320" s="27" t="n"/>
    </row>
    <row r="321" ht="17.25" customHeight="1" s="322">
      <c r="A321" s="27" t="n"/>
      <c r="B321" s="506" t="n"/>
      <c r="C321" s="141" t="n"/>
      <c r="D321" s="141" t="n"/>
      <c r="E321" s="141" t="n"/>
      <c r="F321" s="141" t="n"/>
      <c r="G321" s="143" t="n"/>
      <c r="H321" s="27" t="n"/>
    </row>
    <row r="322" ht="17.25" customHeight="1" s="322">
      <c r="A322" s="27" t="n"/>
      <c r="B322" s="506" t="n"/>
      <c r="C322" s="141" t="n"/>
      <c r="D322" s="141" t="n"/>
      <c r="E322" s="141" t="n"/>
      <c r="F322" s="141" t="n"/>
      <c r="G322" s="143" t="n"/>
      <c r="H322" s="27" t="n"/>
    </row>
    <row r="323" ht="17.25" customHeight="1" s="322">
      <c r="A323" s="27" t="n"/>
      <c r="B323" s="506" t="n"/>
      <c r="C323" s="141" t="n"/>
      <c r="D323" s="141" t="n"/>
      <c r="E323" s="141" t="n"/>
      <c r="F323" s="141" t="n"/>
      <c r="G323" s="143" t="n"/>
      <c r="H323" s="27" t="n"/>
    </row>
    <row r="324" ht="17.25" customHeight="1" s="322">
      <c r="A324" s="27" t="n"/>
      <c r="B324" s="506" t="n"/>
      <c r="C324" s="141" t="n"/>
      <c r="D324" s="141" t="n"/>
      <c r="E324" s="141" t="n"/>
      <c r="F324" s="141" t="n"/>
      <c r="G324" s="143" t="n"/>
      <c r="H324" s="27" t="n"/>
    </row>
    <row r="325" ht="17.25" customHeight="1" s="322">
      <c r="A325" s="27" t="n"/>
      <c r="B325" s="506" t="n"/>
      <c r="C325" s="141" t="n"/>
      <c r="D325" s="141" t="n"/>
      <c r="E325" s="141" t="n"/>
      <c r="F325" s="141" t="n"/>
      <c r="G325" s="143" t="n"/>
      <c r="H325" s="27" t="n"/>
    </row>
    <row r="326" ht="17.25" customHeight="1" s="322">
      <c r="A326" s="27" t="n"/>
      <c r="B326" s="506" t="n"/>
      <c r="C326" s="141" t="n"/>
      <c r="D326" s="141" t="n"/>
      <c r="E326" s="141" t="n"/>
      <c r="F326" s="141" t="n"/>
      <c r="G326" s="143" t="n"/>
      <c r="H326" s="27" t="n"/>
    </row>
    <row r="327" ht="17.25" customHeight="1" s="322">
      <c r="A327" s="27" t="n"/>
      <c r="B327" s="506" t="n"/>
      <c r="C327" s="141" t="n"/>
      <c r="D327" s="141" t="n"/>
      <c r="E327" s="141" t="n"/>
      <c r="F327" s="141" t="n"/>
      <c r="G327" s="143" t="n"/>
      <c r="H327" s="27" t="n"/>
    </row>
    <row r="328" ht="17.25" customHeight="1" s="322">
      <c r="A328" s="27" t="n"/>
      <c r="B328" s="506" t="n"/>
      <c r="C328" s="141" t="n"/>
      <c r="D328" s="141" t="n"/>
      <c r="E328" s="141" t="n"/>
      <c r="F328" s="141" t="n"/>
      <c r="G328" s="143" t="n"/>
      <c r="H328" s="27" t="n"/>
    </row>
    <row r="329" ht="17.25" customHeight="1" s="322">
      <c r="A329" s="27" t="n"/>
      <c r="B329" s="506" t="n"/>
      <c r="C329" s="141" t="n"/>
      <c r="D329" s="141" t="n"/>
      <c r="E329" s="141" t="n"/>
      <c r="F329" s="141" t="n"/>
      <c r="G329" s="143" t="n"/>
      <c r="H329" s="27" t="n"/>
    </row>
    <row r="330" ht="17.25" customHeight="1" s="322">
      <c r="A330" s="27" t="n"/>
      <c r="B330" s="506" t="n"/>
      <c r="C330" s="141" t="n"/>
      <c r="D330" s="141" t="n"/>
      <c r="E330" s="141" t="n"/>
      <c r="F330" s="141" t="n"/>
      <c r="G330" s="143" t="n"/>
      <c r="H330" s="27" t="n"/>
    </row>
    <row r="331" ht="17.25" customHeight="1" s="322">
      <c r="A331" s="27" t="n"/>
      <c r="B331" s="506" t="n"/>
      <c r="C331" s="141" t="n"/>
      <c r="D331" s="141" t="n"/>
      <c r="E331" s="141" t="n"/>
      <c r="F331" s="141" t="n"/>
      <c r="G331" s="143" t="n"/>
      <c r="H331" s="27" t="n"/>
    </row>
    <row r="332" ht="17.25" customHeight="1" s="322">
      <c r="A332" s="27" t="n"/>
      <c r="B332" s="506" t="n"/>
      <c r="C332" s="141" t="n"/>
      <c r="D332" s="141" t="n"/>
      <c r="E332" s="141" t="n"/>
      <c r="F332" s="141" t="n"/>
      <c r="G332" s="143" t="n"/>
      <c r="H332" s="27" t="n"/>
    </row>
    <row r="333" ht="17.25" customHeight="1" s="322">
      <c r="A333" s="27" t="n"/>
      <c r="B333" s="506" t="n"/>
      <c r="C333" s="141" t="n"/>
      <c r="D333" s="141" t="n"/>
      <c r="E333" s="141" t="n"/>
      <c r="F333" s="141" t="n"/>
      <c r="G333" s="143" t="n"/>
      <c r="H333" s="27" t="n"/>
    </row>
    <row r="334" ht="17.25" customHeight="1" s="322">
      <c r="A334" s="27" t="n"/>
      <c r="B334" s="506" t="n"/>
      <c r="C334" s="141" t="n"/>
      <c r="D334" s="141" t="n"/>
      <c r="E334" s="141" t="n"/>
      <c r="F334" s="141" t="n"/>
      <c r="G334" s="143" t="n"/>
      <c r="H334" s="27" t="n"/>
    </row>
    <row r="335" ht="17.25" customHeight="1" s="322">
      <c r="A335" s="27" t="n"/>
      <c r="B335" s="506" t="n"/>
      <c r="C335" s="141" t="n"/>
      <c r="D335" s="141" t="n"/>
      <c r="E335" s="141" t="n"/>
      <c r="F335" s="141" t="n"/>
      <c r="G335" s="143" t="n"/>
      <c r="H335" s="27" t="n"/>
    </row>
    <row r="336" ht="17.25" customHeight="1" s="322">
      <c r="A336" s="27" t="n"/>
      <c r="B336" s="506" t="n"/>
      <c r="C336" s="141" t="n"/>
      <c r="D336" s="141" t="n"/>
      <c r="E336" s="141" t="n"/>
      <c r="F336" s="141" t="n"/>
      <c r="G336" s="143" t="n"/>
      <c r="H336" s="27" t="n"/>
    </row>
    <row r="337" ht="17.25" customHeight="1" s="322">
      <c r="A337" s="27" t="n"/>
      <c r="B337" s="506" t="n"/>
      <c r="C337" s="141" t="n"/>
      <c r="D337" s="141" t="n"/>
      <c r="E337" s="141" t="n"/>
      <c r="F337" s="141" t="n"/>
      <c r="G337" s="143" t="n"/>
      <c r="H337" s="27" t="n"/>
    </row>
    <row r="338" ht="17.25" customHeight="1" s="322">
      <c r="A338" s="27" t="n"/>
      <c r="B338" s="506" t="n"/>
      <c r="C338" s="141" t="n"/>
      <c r="D338" s="141" t="n"/>
      <c r="E338" s="141" t="n"/>
      <c r="F338" s="141" t="n"/>
      <c r="G338" s="143" t="n"/>
      <c r="H338" s="27" t="n"/>
    </row>
    <row r="339" ht="17.25" customHeight="1" s="322">
      <c r="A339" s="27" t="n"/>
      <c r="B339" s="506" t="n"/>
      <c r="C339" s="141" t="n"/>
      <c r="D339" s="141" t="n"/>
      <c r="E339" s="141" t="n"/>
      <c r="F339" s="141" t="n"/>
      <c r="G339" s="143" t="n"/>
      <c r="H339" s="27" t="n"/>
    </row>
    <row r="340" ht="17.25" customHeight="1" s="322">
      <c r="A340" s="27" t="n"/>
      <c r="B340" s="506" t="n"/>
      <c r="C340" s="141" t="n"/>
      <c r="D340" s="141" t="n"/>
      <c r="E340" s="141" t="n"/>
      <c r="F340" s="141" t="n"/>
      <c r="G340" s="143" t="n"/>
      <c r="H340" s="27" t="n"/>
    </row>
    <row r="341" ht="17.25" customHeight="1" s="322">
      <c r="A341" s="27" t="n"/>
      <c r="B341" s="506" t="n"/>
      <c r="C341" s="141" t="n"/>
      <c r="D341" s="141" t="n"/>
      <c r="E341" s="141" t="n"/>
      <c r="F341" s="141" t="n"/>
      <c r="G341" s="143" t="n"/>
      <c r="H341" s="27" t="n"/>
    </row>
    <row r="342" ht="17.25" customHeight="1" s="322">
      <c r="A342" s="27" t="n"/>
      <c r="B342" s="506" t="n"/>
      <c r="C342" s="141" t="n"/>
      <c r="D342" s="141" t="n"/>
      <c r="E342" s="141" t="n"/>
      <c r="F342" s="141" t="n"/>
      <c r="G342" s="143" t="n"/>
      <c r="H342" s="27" t="n"/>
    </row>
    <row r="343" ht="17.25" customHeight="1" s="322">
      <c r="A343" s="27" t="n"/>
      <c r="B343" s="506" t="n"/>
      <c r="C343" s="141" t="n"/>
      <c r="D343" s="141" t="n"/>
      <c r="E343" s="141" t="n"/>
      <c r="F343" s="141" t="n"/>
      <c r="G343" s="143" t="n"/>
      <c r="H343" s="27" t="n"/>
    </row>
    <row r="344" ht="17.25" customHeight="1" s="322">
      <c r="A344" s="27" t="n"/>
      <c r="B344" s="506" t="n"/>
      <c r="C344" s="141" t="n"/>
      <c r="D344" s="141" t="n"/>
      <c r="E344" s="141" t="n"/>
      <c r="F344" s="141" t="n"/>
      <c r="G344" s="143" t="n"/>
      <c r="H344" s="27" t="n"/>
    </row>
    <row r="345" ht="17.25" customHeight="1" s="322">
      <c r="A345" s="27" t="n"/>
      <c r="B345" s="506" t="n"/>
      <c r="C345" s="141" t="n"/>
      <c r="D345" s="141" t="n"/>
      <c r="E345" s="141" t="n"/>
      <c r="F345" s="141" t="n"/>
      <c r="G345" s="143" t="n"/>
      <c r="H345" s="27" t="n"/>
    </row>
    <row r="346" ht="17.25" customHeight="1" s="322">
      <c r="A346" s="27" t="n"/>
      <c r="B346" s="506" t="n"/>
      <c r="C346" s="141" t="n"/>
      <c r="D346" s="141" t="n"/>
      <c r="E346" s="141" t="n"/>
      <c r="F346" s="141" t="n"/>
      <c r="G346" s="143" t="n"/>
      <c r="H346" s="27" t="n"/>
    </row>
    <row r="347" ht="17.25" customHeight="1" s="322">
      <c r="A347" s="27" t="n"/>
      <c r="B347" s="506" t="n"/>
      <c r="C347" s="141" t="n"/>
      <c r="D347" s="141" t="n"/>
      <c r="E347" s="141" t="n"/>
      <c r="F347" s="141" t="n"/>
      <c r="G347" s="143" t="n"/>
      <c r="H347" s="27" t="n"/>
    </row>
    <row r="348" ht="17.25" customHeight="1" s="322">
      <c r="A348" s="27" t="n"/>
      <c r="B348" s="506" t="n"/>
      <c r="C348" s="141" t="n"/>
      <c r="D348" s="141" t="n"/>
      <c r="E348" s="141" t="n"/>
      <c r="F348" s="141" t="n"/>
      <c r="G348" s="143" t="n"/>
      <c r="H348" s="27" t="n"/>
    </row>
    <row r="349" ht="17.25" customHeight="1" s="322">
      <c r="A349" s="27" t="n"/>
      <c r="B349" s="506" t="n"/>
      <c r="C349" s="141" t="n"/>
      <c r="D349" s="141" t="n"/>
      <c r="E349" s="141" t="n"/>
      <c r="F349" s="141" t="n"/>
      <c r="G349" s="143" t="n"/>
      <c r="H349" s="27" t="n"/>
    </row>
    <row r="350" ht="17.25" customHeight="1" s="322">
      <c r="A350" s="27" t="n"/>
      <c r="B350" s="506" t="n"/>
      <c r="C350" s="141" t="n"/>
      <c r="D350" s="141" t="n"/>
      <c r="E350" s="141" t="n"/>
      <c r="F350" s="141" t="n"/>
      <c r="G350" s="143" t="n"/>
      <c r="H350" s="27" t="n"/>
    </row>
    <row r="351" ht="17.25" customHeight="1" s="322">
      <c r="A351" s="27" t="n"/>
      <c r="B351" s="506" t="n"/>
      <c r="C351" s="141" t="n"/>
      <c r="D351" s="141" t="n"/>
      <c r="E351" s="141" t="n"/>
      <c r="F351" s="141" t="n"/>
      <c r="G351" s="143" t="n"/>
      <c r="H351" s="27" t="n"/>
    </row>
    <row r="352" ht="17.25" customHeight="1" s="322">
      <c r="A352" s="27" t="n"/>
      <c r="B352" s="506" t="n"/>
      <c r="C352" s="141" t="n"/>
      <c r="D352" s="141" t="n"/>
      <c r="E352" s="141" t="n"/>
      <c r="F352" s="141" t="n"/>
      <c r="G352" s="143" t="n"/>
      <c r="H352" s="27" t="n"/>
    </row>
    <row r="353" ht="17.25" customHeight="1" s="322">
      <c r="A353" s="27" t="n"/>
      <c r="B353" s="506" t="n"/>
      <c r="C353" s="141" t="n"/>
      <c r="D353" s="141" t="n"/>
      <c r="E353" s="141" t="n"/>
      <c r="F353" s="141" t="n"/>
      <c r="G353" s="143" t="n"/>
      <c r="H353" s="27" t="n"/>
    </row>
    <row r="354" ht="17.25" customHeight="1" s="322">
      <c r="A354" s="27" t="n"/>
      <c r="B354" s="506" t="n"/>
      <c r="C354" s="141" t="n"/>
      <c r="D354" s="141" t="n"/>
      <c r="E354" s="141" t="n"/>
      <c r="F354" s="141" t="n"/>
      <c r="G354" s="143" t="n"/>
      <c r="H354" s="27" t="n"/>
    </row>
    <row r="355" ht="17.25" customHeight="1" s="322">
      <c r="A355" s="27" t="n"/>
      <c r="B355" s="506" t="n"/>
      <c r="C355" s="141" t="n"/>
      <c r="D355" s="141" t="n"/>
      <c r="E355" s="141" t="n"/>
      <c r="F355" s="141" t="n"/>
      <c r="G355" s="143" t="n"/>
      <c r="H355" s="27" t="n"/>
    </row>
    <row r="356" ht="17.25" customHeight="1" s="322">
      <c r="A356" s="27" t="n"/>
      <c r="B356" s="506" t="n"/>
      <c r="C356" s="141" t="n"/>
      <c r="D356" s="141" t="n"/>
      <c r="E356" s="141" t="n"/>
      <c r="F356" s="141" t="n"/>
      <c r="G356" s="143" t="n"/>
      <c r="H356" s="27" t="n"/>
    </row>
    <row r="357" ht="17.25" customHeight="1" s="322">
      <c r="A357" s="27" t="n"/>
      <c r="B357" s="506" t="n"/>
      <c r="C357" s="141" t="n"/>
      <c r="D357" s="141" t="n"/>
      <c r="E357" s="141" t="n"/>
      <c r="F357" s="141" t="n"/>
      <c r="G357" s="143" t="n"/>
      <c r="H357" s="27" t="n"/>
    </row>
    <row r="358" ht="17.25" customHeight="1" s="322">
      <c r="A358" s="27" t="n"/>
      <c r="B358" s="506" t="n"/>
      <c r="C358" s="141" t="n"/>
      <c r="D358" s="141" t="n"/>
      <c r="E358" s="141" t="n"/>
      <c r="F358" s="141" t="n"/>
      <c r="G358" s="143" t="n"/>
      <c r="H358" s="27" t="n"/>
    </row>
    <row r="359" ht="17.25" customHeight="1" s="322">
      <c r="A359" s="27" t="n"/>
      <c r="B359" s="506" t="n"/>
      <c r="C359" s="141" t="n"/>
      <c r="D359" s="141" t="n"/>
      <c r="E359" s="141" t="n"/>
      <c r="F359" s="141" t="n"/>
      <c r="G359" s="143" t="n"/>
      <c r="H359" s="27" t="n"/>
    </row>
    <row r="360" ht="17.25" customHeight="1" s="322">
      <c r="A360" s="27" t="n"/>
      <c r="B360" s="506" t="n"/>
      <c r="C360" s="141" t="n"/>
      <c r="D360" s="141" t="n"/>
      <c r="E360" s="141" t="n"/>
      <c r="F360" s="141" t="n"/>
      <c r="G360" s="143" t="n"/>
      <c r="H360" s="27" t="n"/>
    </row>
    <row r="361" ht="17.25" customHeight="1" s="322">
      <c r="A361" s="27" t="n"/>
      <c r="B361" s="506" t="n"/>
      <c r="C361" s="141" t="n"/>
      <c r="D361" s="141" t="n"/>
      <c r="E361" s="141" t="n"/>
      <c r="F361" s="141" t="n"/>
      <c r="G361" s="143" t="n"/>
      <c r="H361" s="27" t="n"/>
    </row>
    <row r="362" ht="17.25" customHeight="1" s="322">
      <c r="A362" s="27" t="n"/>
      <c r="B362" s="506" t="n"/>
      <c r="C362" s="141" t="n"/>
      <c r="D362" s="141" t="n"/>
      <c r="E362" s="141" t="n"/>
      <c r="F362" s="141" t="n"/>
      <c r="G362" s="143" t="n"/>
      <c r="H362" s="27" t="n"/>
    </row>
    <row r="363" ht="17.25" customHeight="1" s="322">
      <c r="A363" s="27" t="n"/>
      <c r="B363" s="506" t="n"/>
      <c r="C363" s="141" t="n"/>
      <c r="D363" s="141" t="n"/>
      <c r="E363" s="141" t="n"/>
      <c r="F363" s="141" t="n"/>
      <c r="G363" s="143" t="n"/>
      <c r="H363" s="27" t="n"/>
    </row>
    <row r="364" ht="17.25" customHeight="1" s="322">
      <c r="A364" s="27" t="n"/>
      <c r="B364" s="506" t="n"/>
      <c r="C364" s="141" t="n"/>
      <c r="D364" s="141" t="n"/>
      <c r="E364" s="141" t="n"/>
      <c r="F364" s="141" t="n"/>
      <c r="G364" s="143" t="n"/>
      <c r="H364" s="27" t="n"/>
    </row>
    <row r="365" ht="17.25" customHeight="1" s="322">
      <c r="A365" s="27" t="n"/>
      <c r="B365" s="506" t="n"/>
      <c r="C365" s="141" t="n"/>
      <c r="D365" s="141" t="n"/>
      <c r="E365" s="141" t="n"/>
      <c r="F365" s="141" t="n"/>
      <c r="G365" s="143" t="n"/>
      <c r="H365" s="27" t="n"/>
    </row>
    <row r="366" ht="17.25" customHeight="1" s="322">
      <c r="A366" s="27" t="n"/>
      <c r="B366" s="506" t="n"/>
      <c r="C366" s="141" t="n"/>
      <c r="D366" s="141" t="n"/>
      <c r="E366" s="141" t="n"/>
      <c r="F366" s="141" t="n"/>
      <c r="G366" s="143" t="n"/>
      <c r="H366" s="27" t="n"/>
    </row>
    <row r="367" ht="17.25" customHeight="1" s="322">
      <c r="A367" s="27" t="n"/>
      <c r="B367" s="506" t="n"/>
      <c r="C367" s="141" t="n"/>
      <c r="D367" s="141" t="n"/>
      <c r="E367" s="141" t="n"/>
      <c r="F367" s="141" t="n"/>
      <c r="G367" s="143" t="n"/>
      <c r="H367" s="27" t="n"/>
    </row>
    <row r="368" ht="17.25" customHeight="1" s="322">
      <c r="A368" s="27" t="n"/>
      <c r="B368" s="506" t="n"/>
      <c r="C368" s="141" t="n"/>
      <c r="D368" s="141" t="n"/>
      <c r="E368" s="141" t="n"/>
      <c r="F368" s="141" t="n"/>
      <c r="G368" s="143" t="n"/>
      <c r="H368" s="27" t="n"/>
    </row>
    <row r="369" ht="17.25" customHeight="1" s="322">
      <c r="A369" s="27" t="n"/>
      <c r="B369" s="506" t="n"/>
      <c r="C369" s="141" t="n"/>
      <c r="D369" s="141" t="n"/>
      <c r="E369" s="141" t="n"/>
      <c r="F369" s="141" t="n"/>
      <c r="G369" s="143" t="n"/>
      <c r="H369" s="27" t="n"/>
    </row>
    <row r="370" ht="17.25" customHeight="1" s="322">
      <c r="A370" s="27" t="n"/>
      <c r="B370" s="506" t="n"/>
      <c r="C370" s="141" t="n"/>
      <c r="D370" s="141" t="n"/>
      <c r="E370" s="141" t="n"/>
      <c r="F370" s="141" t="n"/>
      <c r="G370" s="143" t="n"/>
      <c r="H370" s="27" t="n"/>
    </row>
    <row r="371" ht="17.25" customHeight="1" s="322">
      <c r="A371" s="27" t="n"/>
      <c r="B371" s="506" t="n"/>
      <c r="C371" s="141" t="n"/>
      <c r="D371" s="141" t="n"/>
      <c r="E371" s="141" t="n"/>
      <c r="F371" s="141" t="n"/>
      <c r="G371" s="143" t="n"/>
      <c r="H371" s="27" t="n"/>
    </row>
    <row r="372" ht="17.25" customHeight="1" s="322">
      <c r="A372" s="27" t="n"/>
      <c r="B372" s="506" t="n"/>
      <c r="C372" s="141" t="n"/>
      <c r="D372" s="141" t="n"/>
      <c r="E372" s="141" t="n"/>
      <c r="F372" s="141" t="n"/>
      <c r="G372" s="143" t="n"/>
      <c r="H372" s="27" t="n"/>
    </row>
    <row r="373" ht="17.25" customHeight="1" s="322">
      <c r="A373" s="27" t="n"/>
      <c r="B373" s="506" t="n"/>
      <c r="C373" s="141" t="n"/>
      <c r="D373" s="141" t="n"/>
      <c r="E373" s="141" t="n"/>
      <c r="F373" s="141" t="n"/>
      <c r="G373" s="143" t="n"/>
      <c r="H373" s="27" t="n"/>
    </row>
    <row r="374" ht="17.25" customHeight="1" s="322">
      <c r="A374" s="27" t="n"/>
      <c r="B374" s="506" t="n"/>
      <c r="C374" s="141" t="n"/>
      <c r="D374" s="141" t="n"/>
      <c r="E374" s="141" t="n"/>
      <c r="F374" s="141" t="n"/>
      <c r="G374" s="143" t="n"/>
      <c r="H374" s="27" t="n"/>
    </row>
    <row r="375" ht="17.25" customHeight="1" s="322">
      <c r="A375" s="27" t="n"/>
      <c r="B375" s="506" t="n"/>
      <c r="C375" s="141" t="n"/>
      <c r="D375" s="141" t="n"/>
      <c r="E375" s="141" t="n"/>
      <c r="F375" s="141" t="n"/>
      <c r="G375" s="143" t="n"/>
      <c r="H375" s="27" t="n"/>
    </row>
    <row r="376" ht="17.25" customHeight="1" s="322">
      <c r="A376" s="27" t="n"/>
      <c r="B376" s="506" t="n"/>
      <c r="C376" s="141" t="n"/>
      <c r="D376" s="141" t="n"/>
      <c r="E376" s="141" t="n"/>
      <c r="F376" s="141" t="n"/>
      <c r="G376" s="143" t="n"/>
      <c r="H376" s="27" t="n"/>
    </row>
    <row r="377" ht="17.25" customHeight="1" s="322">
      <c r="A377" s="27" t="n"/>
      <c r="B377" s="506" t="n"/>
      <c r="C377" s="141" t="n"/>
      <c r="D377" s="141" t="n"/>
      <c r="E377" s="141" t="n"/>
      <c r="F377" s="141" t="n"/>
      <c r="G377" s="143" t="n"/>
      <c r="H377" s="27" t="n"/>
    </row>
    <row r="378" ht="17.25" customHeight="1" s="322">
      <c r="A378" s="27" t="n"/>
      <c r="B378" s="506" t="n"/>
      <c r="C378" s="141" t="n"/>
      <c r="D378" s="141" t="n"/>
      <c r="E378" s="141" t="n"/>
      <c r="F378" s="141" t="n"/>
      <c r="G378" s="143" t="n"/>
      <c r="H378" s="27" t="n"/>
    </row>
    <row r="379" ht="17.25" customHeight="1" s="322">
      <c r="A379" s="27" t="n"/>
      <c r="B379" s="506" t="n"/>
      <c r="C379" s="141" t="n"/>
      <c r="D379" s="141" t="n"/>
      <c r="E379" s="141" t="n"/>
      <c r="F379" s="141" t="n"/>
      <c r="G379" s="143" t="n"/>
      <c r="H379" s="27" t="n"/>
    </row>
    <row r="380" ht="17.25" customHeight="1" s="322">
      <c r="A380" s="27" t="n"/>
      <c r="B380" s="506" t="n"/>
      <c r="C380" s="141" t="n"/>
      <c r="D380" s="141" t="n"/>
      <c r="E380" s="141" t="n"/>
      <c r="F380" s="141" t="n"/>
      <c r="G380" s="143" t="n"/>
      <c r="H380" s="27" t="n"/>
    </row>
    <row r="381" ht="17.25" customHeight="1" s="322">
      <c r="A381" s="27" t="n"/>
      <c r="B381" s="506" t="n"/>
      <c r="C381" s="141" t="n"/>
      <c r="D381" s="141" t="n"/>
      <c r="E381" s="141" t="n"/>
      <c r="F381" s="141" t="n"/>
      <c r="G381" s="143" t="n"/>
      <c r="H381" s="27" t="n"/>
    </row>
    <row r="382" ht="17.25" customHeight="1" s="322">
      <c r="A382" s="27" t="n"/>
      <c r="B382" s="506" t="n"/>
      <c r="C382" s="141" t="n"/>
      <c r="D382" s="141" t="n"/>
      <c r="E382" s="141" t="n"/>
      <c r="F382" s="141" t="n"/>
      <c r="G382" s="143" t="n"/>
      <c r="H382" s="27" t="n"/>
    </row>
    <row r="383" ht="17.25" customHeight="1" s="322">
      <c r="A383" s="27" t="n"/>
      <c r="B383" s="506" t="n"/>
      <c r="C383" s="141" t="n"/>
      <c r="D383" s="141" t="n"/>
      <c r="E383" s="141" t="n"/>
      <c r="F383" s="141" t="n"/>
      <c r="G383" s="143" t="n"/>
      <c r="H383" s="27" t="n"/>
    </row>
    <row r="384" ht="17.25" customHeight="1" s="322">
      <c r="A384" s="27" t="n"/>
      <c r="B384" s="506" t="n"/>
      <c r="C384" s="141" t="n"/>
      <c r="D384" s="141" t="n"/>
      <c r="E384" s="141" t="n"/>
      <c r="F384" s="141" t="n"/>
      <c r="G384" s="143" t="n"/>
      <c r="H384" s="27" t="n"/>
    </row>
    <row r="385" ht="17.25" customHeight="1" s="322">
      <c r="A385" s="27" t="n"/>
      <c r="B385" s="506" t="n"/>
      <c r="C385" s="141" t="n"/>
      <c r="D385" s="141" t="n"/>
      <c r="E385" s="141" t="n"/>
      <c r="F385" s="141" t="n"/>
      <c r="G385" s="143" t="n"/>
      <c r="H385" s="27" t="n"/>
    </row>
    <row r="386" ht="17.25" customHeight="1" s="322">
      <c r="A386" s="27" t="n"/>
      <c r="B386" s="506" t="n"/>
      <c r="C386" s="141" t="n"/>
      <c r="D386" s="141" t="n"/>
      <c r="E386" s="141" t="n"/>
      <c r="F386" s="141" t="n"/>
      <c r="G386" s="143" t="n"/>
      <c r="H386" s="27" t="n"/>
    </row>
    <row r="387" ht="17.25" customHeight="1" s="322">
      <c r="A387" s="27" t="n"/>
      <c r="B387" s="506" t="n"/>
      <c r="C387" s="141" t="n"/>
      <c r="D387" s="141" t="n"/>
      <c r="E387" s="141" t="n"/>
      <c r="F387" s="141" t="n"/>
      <c r="G387" s="143" t="n"/>
      <c r="H387" s="27" t="n"/>
    </row>
    <row r="388" ht="17.25" customHeight="1" s="322">
      <c r="A388" s="27" t="n"/>
      <c r="B388" s="506" t="n"/>
      <c r="C388" s="141" t="n"/>
      <c r="D388" s="141" t="n"/>
      <c r="E388" s="141" t="n"/>
      <c r="F388" s="141" t="n"/>
      <c r="G388" s="143" t="n"/>
      <c r="H388" s="27" t="n"/>
    </row>
    <row r="389" ht="17.25" customHeight="1" s="322">
      <c r="A389" s="27" t="n"/>
      <c r="B389" s="506" t="n"/>
      <c r="C389" s="141" t="n"/>
      <c r="D389" s="141" t="n"/>
      <c r="E389" s="141" t="n"/>
      <c r="F389" s="141" t="n"/>
      <c r="G389" s="143" t="n"/>
      <c r="H389" s="27" t="n"/>
    </row>
    <row r="390" ht="17.25" customHeight="1" s="322">
      <c r="A390" s="27" t="n"/>
      <c r="B390" s="506" t="n"/>
      <c r="C390" s="141" t="n"/>
      <c r="D390" s="141" t="n"/>
      <c r="E390" s="141" t="n"/>
      <c r="F390" s="141" t="n"/>
      <c r="G390" s="143" t="n"/>
      <c r="H390" s="27" t="n"/>
    </row>
    <row r="391" ht="17.25" customHeight="1" s="322">
      <c r="A391" s="27" t="n"/>
      <c r="B391" s="506" t="n"/>
      <c r="C391" s="141" t="n"/>
      <c r="D391" s="141" t="n"/>
      <c r="E391" s="141" t="n"/>
      <c r="F391" s="141" t="n"/>
      <c r="G391" s="143" t="n"/>
      <c r="H391" s="27" t="n"/>
    </row>
    <row r="392" ht="17.25" customHeight="1" s="322">
      <c r="A392" s="27" t="n"/>
      <c r="B392" s="506" t="n"/>
      <c r="C392" s="141" t="n"/>
      <c r="D392" s="141" t="n"/>
      <c r="E392" s="141" t="n"/>
      <c r="F392" s="141" t="n"/>
      <c r="G392" s="143" t="n"/>
      <c r="H392" s="27" t="n"/>
    </row>
    <row r="393" ht="17.25" customHeight="1" s="322">
      <c r="A393" s="27" t="n"/>
      <c r="B393" s="506" t="n"/>
      <c r="C393" s="141" t="n"/>
      <c r="D393" s="141" t="n"/>
      <c r="E393" s="141" t="n"/>
      <c r="F393" s="141" t="n"/>
      <c r="G393" s="143" t="n"/>
      <c r="H393" s="27" t="n"/>
    </row>
    <row r="394" ht="17.25" customHeight="1" s="322">
      <c r="A394" s="27" t="n"/>
      <c r="B394" s="506" t="n"/>
      <c r="C394" s="141" t="n"/>
      <c r="D394" s="141" t="n"/>
      <c r="E394" s="141" t="n"/>
      <c r="F394" s="141" t="n"/>
      <c r="G394" s="143" t="n"/>
      <c r="H394" s="27" t="n"/>
    </row>
    <row r="395" ht="17.25" customHeight="1" s="322">
      <c r="A395" s="27" t="n"/>
      <c r="B395" s="506" t="n"/>
      <c r="C395" s="141" t="n"/>
      <c r="D395" s="141" t="n"/>
      <c r="E395" s="141" t="n"/>
      <c r="F395" s="141" t="n"/>
      <c r="G395" s="143" t="n"/>
      <c r="H395" s="27" t="n"/>
    </row>
    <row r="396" ht="17.25" customHeight="1" s="322">
      <c r="A396" s="27" t="n"/>
      <c r="B396" s="506" t="n"/>
      <c r="C396" s="141" t="n"/>
      <c r="D396" s="141" t="n"/>
      <c r="E396" s="141" t="n"/>
      <c r="F396" s="141" t="n"/>
      <c r="G396" s="143" t="n"/>
      <c r="H396" s="27" t="n"/>
    </row>
    <row r="397" ht="17.25" customHeight="1" s="322">
      <c r="A397" s="27" t="n"/>
      <c r="B397" s="506" t="n"/>
      <c r="C397" s="141" t="n"/>
      <c r="D397" s="141" t="n"/>
      <c r="E397" s="141" t="n"/>
      <c r="F397" s="141" t="n"/>
      <c r="G397" s="143" t="n"/>
      <c r="H397" s="27" t="n"/>
    </row>
    <row r="398" ht="17.25" customHeight="1" s="322">
      <c r="A398" s="27" t="n"/>
      <c r="B398" s="506" t="n"/>
      <c r="C398" s="141" t="n"/>
      <c r="D398" s="141" t="n"/>
      <c r="E398" s="141" t="n"/>
      <c r="F398" s="141" t="n"/>
      <c r="G398" s="143" t="n"/>
      <c r="H398" s="27" t="n"/>
    </row>
    <row r="399" ht="17.25" customHeight="1" s="322">
      <c r="A399" s="27" t="n"/>
      <c r="B399" s="506" t="n"/>
      <c r="C399" s="141" t="n"/>
      <c r="D399" s="141" t="n"/>
      <c r="E399" s="141" t="n"/>
      <c r="F399" s="141" t="n"/>
      <c r="G399" s="143" t="n"/>
      <c r="H399" s="27" t="n"/>
    </row>
    <row r="400" ht="17.25" customHeight="1" s="322">
      <c r="A400" s="27" t="n"/>
      <c r="B400" s="506" t="n"/>
      <c r="C400" s="141" t="n"/>
      <c r="D400" s="141" t="n"/>
      <c r="E400" s="141" t="n"/>
      <c r="F400" s="141" t="n"/>
      <c r="G400" s="143" t="n"/>
      <c r="H400" s="27" t="n"/>
    </row>
    <row r="401" ht="17.25" customHeight="1" s="322">
      <c r="A401" s="27" t="n"/>
      <c r="B401" s="506" t="n"/>
      <c r="C401" s="141" t="n"/>
      <c r="D401" s="141" t="n"/>
      <c r="E401" s="141" t="n"/>
      <c r="F401" s="141" t="n"/>
      <c r="G401" s="143" t="n"/>
      <c r="H401" s="27" t="n"/>
    </row>
    <row r="402" ht="17.25" customHeight="1" s="322">
      <c r="A402" s="27" t="n"/>
      <c r="B402" s="506" t="n"/>
      <c r="C402" s="141" t="n"/>
      <c r="D402" s="141" t="n"/>
      <c r="E402" s="141" t="n"/>
      <c r="F402" s="141" t="n"/>
      <c r="G402" s="143" t="n"/>
      <c r="H402" s="27" t="n"/>
    </row>
    <row r="403" ht="17.25" customHeight="1" s="322">
      <c r="A403" s="27" t="n"/>
      <c r="B403" s="506" t="n"/>
      <c r="C403" s="141" t="n"/>
      <c r="D403" s="141" t="n"/>
      <c r="E403" s="141" t="n"/>
      <c r="F403" s="141" t="n"/>
      <c r="G403" s="143" t="n"/>
      <c r="H403" s="27" t="n"/>
    </row>
    <row r="404" ht="17.25" customHeight="1" s="322">
      <c r="A404" s="27" t="n"/>
      <c r="B404" s="506" t="n"/>
      <c r="C404" s="141" t="n"/>
      <c r="D404" s="141" t="n"/>
      <c r="E404" s="141" t="n"/>
      <c r="F404" s="141" t="n"/>
      <c r="G404" s="143" t="n"/>
      <c r="H404" s="27" t="n"/>
    </row>
    <row r="405" ht="17.25" customHeight="1" s="322">
      <c r="A405" s="27" t="n"/>
      <c r="B405" s="506" t="n"/>
      <c r="C405" s="141" t="n"/>
      <c r="D405" s="141" t="n"/>
      <c r="E405" s="141" t="n"/>
      <c r="F405" s="141" t="n"/>
      <c r="G405" s="143" t="n"/>
      <c r="H405" s="27" t="n"/>
    </row>
    <row r="406" ht="17.25" customHeight="1" s="322">
      <c r="A406" s="27" t="n"/>
      <c r="B406" s="506" t="n"/>
      <c r="C406" s="141" t="n"/>
      <c r="D406" s="141" t="n"/>
      <c r="E406" s="141" t="n"/>
      <c r="F406" s="141" t="n"/>
      <c r="G406" s="143" t="n"/>
      <c r="H406" s="27" t="n"/>
    </row>
    <row r="407" ht="17.25" customHeight="1" s="322">
      <c r="A407" s="27" t="n"/>
      <c r="B407" s="506" t="n"/>
      <c r="C407" s="141" t="n"/>
      <c r="D407" s="141" t="n"/>
      <c r="E407" s="141" t="n"/>
      <c r="F407" s="141" t="n"/>
      <c r="G407" s="143" t="n"/>
      <c r="H407" s="27" t="n"/>
    </row>
    <row r="408" ht="17.25" customHeight="1" s="322">
      <c r="A408" s="27" t="n"/>
      <c r="B408" s="506" t="n"/>
      <c r="C408" s="141" t="n"/>
      <c r="D408" s="141" t="n"/>
      <c r="E408" s="141" t="n"/>
      <c r="F408" s="141" t="n"/>
      <c r="G408" s="143" t="n"/>
      <c r="H408" s="27" t="n"/>
    </row>
    <row r="409" ht="17.25" customHeight="1" s="322">
      <c r="A409" s="27" t="n"/>
      <c r="B409" s="506" t="n"/>
      <c r="C409" s="141" t="n"/>
      <c r="D409" s="141" t="n"/>
      <c r="E409" s="141" t="n"/>
      <c r="F409" s="141" t="n"/>
      <c r="G409" s="143" t="n"/>
      <c r="H409" s="27" t="n"/>
    </row>
    <row r="410" ht="17.25" customHeight="1" s="322">
      <c r="A410" s="27" t="n"/>
      <c r="B410" s="506" t="n"/>
      <c r="C410" s="141" t="n"/>
      <c r="D410" s="141" t="n"/>
      <c r="E410" s="141" t="n"/>
      <c r="F410" s="141" t="n"/>
      <c r="G410" s="143" t="n"/>
      <c r="H410" s="27" t="n"/>
    </row>
    <row r="411" ht="17.25" customHeight="1" s="322">
      <c r="A411" s="27" t="n"/>
      <c r="B411" s="506" t="n"/>
      <c r="C411" s="141" t="n"/>
      <c r="D411" s="141" t="n"/>
      <c r="E411" s="141" t="n"/>
      <c r="F411" s="141" t="n"/>
      <c r="G411" s="143" t="n"/>
      <c r="H411" s="27" t="n"/>
    </row>
    <row r="412" ht="17.25" customHeight="1" s="322">
      <c r="A412" s="27" t="n"/>
      <c r="B412" s="506" t="n"/>
      <c r="C412" s="141" t="n"/>
      <c r="D412" s="141" t="n"/>
      <c r="E412" s="141" t="n"/>
      <c r="F412" s="141" t="n"/>
      <c r="G412" s="143" t="n"/>
      <c r="H412" s="27" t="n"/>
    </row>
    <row r="413" ht="17.25" customHeight="1" s="322">
      <c r="A413" s="27" t="n"/>
      <c r="B413" s="506" t="n"/>
      <c r="C413" s="141" t="n"/>
      <c r="D413" s="141" t="n"/>
      <c r="E413" s="141" t="n"/>
      <c r="F413" s="141" t="n"/>
      <c r="G413" s="143" t="n"/>
      <c r="H413" s="27" t="n"/>
    </row>
    <row r="414" ht="17.25" customHeight="1" s="322">
      <c r="A414" s="27" t="n"/>
      <c r="B414" s="506" t="n"/>
      <c r="C414" s="141" t="n"/>
      <c r="D414" s="141" t="n"/>
      <c r="E414" s="141" t="n"/>
      <c r="F414" s="141" t="n"/>
      <c r="G414" s="143" t="n"/>
      <c r="H414" s="27" t="n"/>
    </row>
    <row r="415" ht="17.25" customHeight="1" s="322">
      <c r="A415" s="27" t="n"/>
      <c r="B415" s="506" t="n"/>
      <c r="C415" s="141" t="n"/>
      <c r="D415" s="141" t="n"/>
      <c r="E415" s="141" t="n"/>
      <c r="F415" s="141" t="n"/>
      <c r="G415" s="143" t="n"/>
      <c r="H415" s="27" t="n"/>
    </row>
    <row r="416" ht="17.25" customHeight="1" s="322">
      <c r="A416" s="27" t="n"/>
      <c r="B416" s="506" t="n"/>
      <c r="C416" s="141" t="n"/>
      <c r="D416" s="141" t="n"/>
      <c r="E416" s="141" t="n"/>
      <c r="F416" s="141" t="n"/>
      <c r="G416" s="143" t="n"/>
      <c r="H416" s="27" t="n"/>
    </row>
    <row r="417" ht="17.25" customHeight="1" s="322">
      <c r="A417" s="27" t="n"/>
      <c r="B417" s="506" t="n"/>
      <c r="C417" s="141" t="n"/>
      <c r="D417" s="141" t="n"/>
      <c r="E417" s="141" t="n"/>
      <c r="F417" s="141" t="n"/>
      <c r="G417" s="143" t="n"/>
      <c r="H417" s="27" t="n"/>
    </row>
    <row r="418" ht="17.25" customHeight="1" s="322">
      <c r="A418" s="27" t="n"/>
      <c r="B418" s="506" t="n"/>
      <c r="C418" s="141" t="n"/>
      <c r="D418" s="141" t="n"/>
      <c r="E418" s="141" t="n"/>
      <c r="F418" s="141" t="n"/>
      <c r="G418" s="143" t="n"/>
      <c r="H418" s="27" t="n"/>
    </row>
    <row r="419" ht="17.25" customHeight="1" s="322">
      <c r="A419" s="27" t="n"/>
      <c r="B419" s="506" t="n"/>
      <c r="C419" s="141" t="n"/>
      <c r="D419" s="141" t="n"/>
      <c r="E419" s="141" t="n"/>
      <c r="F419" s="141" t="n"/>
      <c r="G419" s="143" t="n"/>
      <c r="H419" s="27" t="n"/>
    </row>
    <row r="420" ht="17.25" customHeight="1" s="322">
      <c r="A420" s="27" t="n"/>
      <c r="B420" s="506" t="n"/>
      <c r="C420" s="141" t="n"/>
      <c r="D420" s="141" t="n"/>
      <c r="E420" s="141" t="n"/>
      <c r="F420" s="141" t="n"/>
      <c r="G420" s="143" t="n"/>
      <c r="H420" s="27" t="n"/>
    </row>
    <row r="421" ht="17.25" customHeight="1" s="322">
      <c r="A421" s="27" t="n"/>
      <c r="B421" s="506" t="n"/>
      <c r="C421" s="141" t="n"/>
      <c r="D421" s="141" t="n"/>
      <c r="E421" s="141" t="n"/>
      <c r="F421" s="141" t="n"/>
      <c r="G421" s="143" t="n"/>
      <c r="H421" s="27" t="n"/>
    </row>
    <row r="422" ht="17.25" customHeight="1" s="322">
      <c r="A422" s="27" t="n"/>
      <c r="B422" s="506" t="n"/>
      <c r="C422" s="141" t="n"/>
      <c r="D422" s="141" t="n"/>
      <c r="E422" s="141" t="n"/>
      <c r="F422" s="141" t="n"/>
      <c r="G422" s="143" t="n"/>
      <c r="H422" s="27" t="n"/>
    </row>
    <row r="423" ht="17.25" customHeight="1" s="322">
      <c r="A423" s="27" t="n"/>
      <c r="B423" s="506" t="n"/>
      <c r="C423" s="141" t="n"/>
      <c r="D423" s="141" t="n"/>
      <c r="E423" s="141" t="n"/>
      <c r="F423" s="141" t="n"/>
      <c r="G423" s="143" t="n"/>
      <c r="H423" s="27" t="n"/>
    </row>
    <row r="424" ht="17.25" customHeight="1" s="322">
      <c r="A424" s="27" t="n"/>
      <c r="B424" s="506" t="n"/>
      <c r="C424" s="141" t="n"/>
      <c r="D424" s="141" t="n"/>
      <c r="E424" s="141" t="n"/>
      <c r="F424" s="141" t="n"/>
      <c r="G424" s="143" t="n"/>
      <c r="H424" s="27" t="n"/>
    </row>
    <row r="425" ht="17.25" customHeight="1" s="322">
      <c r="A425" s="27" t="n"/>
      <c r="B425" s="506" t="n"/>
      <c r="C425" s="141" t="n"/>
      <c r="D425" s="141" t="n"/>
      <c r="E425" s="141" t="n"/>
      <c r="F425" s="141" t="n"/>
      <c r="G425" s="143" t="n"/>
      <c r="H425" s="27" t="n"/>
    </row>
    <row r="426" ht="17.25" customHeight="1" s="322">
      <c r="A426" s="27" t="n"/>
      <c r="B426" s="506" t="n"/>
      <c r="C426" s="141" t="n"/>
      <c r="D426" s="141" t="n"/>
      <c r="E426" s="141" t="n"/>
      <c r="F426" s="141" t="n"/>
      <c r="G426" s="143" t="n"/>
      <c r="H426" s="27" t="n"/>
    </row>
    <row r="427" ht="17.25" customHeight="1" s="322">
      <c r="A427" s="27" t="n"/>
      <c r="B427" s="506" t="n"/>
      <c r="C427" s="141" t="n"/>
      <c r="D427" s="141" t="n"/>
      <c r="E427" s="141" t="n"/>
      <c r="F427" s="141" t="n"/>
      <c r="G427" s="143" t="n"/>
      <c r="H427" s="27" t="n"/>
    </row>
    <row r="428" ht="17.25" customHeight="1" s="322">
      <c r="A428" s="27" t="n"/>
      <c r="B428" s="506" t="n"/>
      <c r="C428" s="141" t="n"/>
      <c r="D428" s="141" t="n"/>
      <c r="E428" s="141" t="n"/>
      <c r="F428" s="141" t="n"/>
      <c r="G428" s="143" t="n"/>
      <c r="H428" s="27" t="n"/>
    </row>
    <row r="429" ht="17.25" customHeight="1" s="322">
      <c r="A429" s="27" t="n"/>
      <c r="B429" s="506" t="n"/>
      <c r="C429" s="141" t="n"/>
      <c r="D429" s="141" t="n"/>
      <c r="E429" s="141" t="n"/>
      <c r="F429" s="141" t="n"/>
      <c r="G429" s="143" t="n"/>
      <c r="H429" s="27" t="n"/>
    </row>
    <row r="430" ht="17.25" customHeight="1" s="322">
      <c r="A430" s="27" t="n"/>
      <c r="B430" s="506" t="n"/>
      <c r="C430" s="141" t="n"/>
      <c r="D430" s="141" t="n"/>
      <c r="E430" s="141" t="n"/>
      <c r="F430" s="141" t="n"/>
      <c r="G430" s="143" t="n"/>
      <c r="H430" s="27" t="n"/>
    </row>
    <row r="431" ht="17.25" customHeight="1" s="322">
      <c r="A431" s="27" t="n"/>
      <c r="B431" s="506" t="n"/>
      <c r="C431" s="141" t="n"/>
      <c r="D431" s="141" t="n"/>
      <c r="E431" s="141" t="n"/>
      <c r="F431" s="141" t="n"/>
      <c r="G431" s="143" t="n"/>
      <c r="H431" s="27" t="n"/>
    </row>
    <row r="432" ht="17.25" customHeight="1" s="322">
      <c r="A432" s="27" t="n"/>
      <c r="B432" s="506" t="n"/>
      <c r="C432" s="141" t="n"/>
      <c r="D432" s="141" t="n"/>
      <c r="E432" s="141" t="n"/>
      <c r="F432" s="141" t="n"/>
      <c r="G432" s="143" t="n"/>
      <c r="H432" s="27" t="n"/>
    </row>
    <row r="433" ht="17.25" customHeight="1" s="322">
      <c r="A433" s="27" t="n"/>
      <c r="B433" s="506" t="n"/>
      <c r="C433" s="141" t="n"/>
      <c r="D433" s="141" t="n"/>
      <c r="E433" s="141" t="n"/>
      <c r="F433" s="141" t="n"/>
      <c r="G433" s="143" t="n"/>
      <c r="H433" s="27" t="n"/>
    </row>
    <row r="434" ht="17.25" customHeight="1" s="322">
      <c r="A434" s="27" t="n"/>
      <c r="B434" s="506" t="n"/>
      <c r="C434" s="141" t="n"/>
      <c r="D434" s="141" t="n"/>
      <c r="E434" s="141" t="n"/>
      <c r="F434" s="141" t="n"/>
      <c r="G434" s="143" t="n"/>
      <c r="H434" s="27" t="n"/>
    </row>
    <row r="435" ht="17.25" customHeight="1" s="322">
      <c r="A435" s="27" t="n"/>
      <c r="B435" s="506" t="n"/>
      <c r="C435" s="141" t="n"/>
      <c r="D435" s="141" t="n"/>
      <c r="E435" s="141" t="n"/>
      <c r="F435" s="141" t="n"/>
      <c r="G435" s="143" t="n"/>
      <c r="H435" s="27" t="n"/>
    </row>
    <row r="436" ht="17.25" customHeight="1" s="322">
      <c r="A436" s="27" t="n"/>
      <c r="B436" s="506" t="n"/>
      <c r="C436" s="141" t="n"/>
      <c r="D436" s="141" t="n"/>
      <c r="E436" s="141" t="n"/>
      <c r="F436" s="141" t="n"/>
      <c r="G436" s="143" t="n"/>
      <c r="H436" s="27" t="n"/>
    </row>
    <row r="437" ht="17.25" customHeight="1" s="322">
      <c r="A437" s="27" t="n"/>
      <c r="B437" s="506" t="n"/>
      <c r="C437" s="141" t="n"/>
      <c r="D437" s="141" t="n"/>
      <c r="E437" s="141" t="n"/>
      <c r="F437" s="141" t="n"/>
      <c r="G437" s="143" t="n"/>
      <c r="H437" s="27" t="n"/>
    </row>
    <row r="438" ht="17.25" customHeight="1" s="322">
      <c r="A438" s="27" t="n"/>
      <c r="B438" s="506" t="n"/>
      <c r="C438" s="141" t="n"/>
      <c r="D438" s="141" t="n"/>
      <c r="E438" s="141" t="n"/>
      <c r="F438" s="141" t="n"/>
      <c r="G438" s="143" t="n"/>
      <c r="H438" s="27" t="n"/>
    </row>
    <row r="439" ht="17.25" customHeight="1" s="322">
      <c r="A439" s="27" t="n"/>
      <c r="B439" s="506" t="n"/>
      <c r="C439" s="141" t="n"/>
      <c r="D439" s="141" t="n"/>
      <c r="E439" s="141" t="n"/>
      <c r="F439" s="141" t="n"/>
      <c r="G439" s="143" t="n"/>
      <c r="H439" s="27" t="n"/>
    </row>
    <row r="440" ht="17.25" customHeight="1" s="322">
      <c r="A440" s="27" t="n"/>
      <c r="B440" s="506" t="n"/>
      <c r="C440" s="141" t="n"/>
      <c r="D440" s="141" t="n"/>
      <c r="E440" s="141" t="n"/>
      <c r="F440" s="141" t="n"/>
      <c r="G440" s="143" t="n"/>
      <c r="H440" s="27" t="n"/>
    </row>
    <row r="441" ht="17.25" customHeight="1" s="322">
      <c r="A441" s="27" t="n"/>
      <c r="B441" s="506" t="n"/>
      <c r="C441" s="141" t="n"/>
      <c r="D441" s="141" t="n"/>
      <c r="E441" s="141" t="n"/>
      <c r="F441" s="141" t="n"/>
      <c r="G441" s="143" t="n"/>
      <c r="H441" s="27" t="n"/>
    </row>
    <row r="442" ht="17.25" customHeight="1" s="322">
      <c r="A442" s="27" t="n"/>
      <c r="B442" s="506" t="n"/>
      <c r="C442" s="141" t="n"/>
      <c r="D442" s="141" t="n"/>
      <c r="E442" s="141" t="n"/>
      <c r="F442" s="141" t="n"/>
      <c r="G442" s="143" t="n"/>
      <c r="H442" s="27" t="n"/>
    </row>
    <row r="443" ht="17.25" customHeight="1" s="322">
      <c r="A443" s="27" t="n"/>
      <c r="B443" s="506" t="n"/>
      <c r="C443" s="141" t="n"/>
      <c r="D443" s="141" t="n"/>
      <c r="E443" s="141" t="n"/>
      <c r="F443" s="141" t="n"/>
      <c r="G443" s="143" t="n"/>
      <c r="H443" s="27" t="n"/>
    </row>
    <row r="444" ht="17.25" customHeight="1" s="322">
      <c r="A444" s="27" t="n"/>
      <c r="B444" s="506" t="n"/>
      <c r="C444" s="141" t="n"/>
      <c r="D444" s="141" t="n"/>
      <c r="E444" s="141" t="n"/>
      <c r="F444" s="141" t="n"/>
      <c r="G444" s="143" t="n"/>
      <c r="H444" s="27" t="n"/>
    </row>
    <row r="445" ht="17.25" customHeight="1" s="322">
      <c r="A445" s="27" t="n"/>
      <c r="B445" s="506" t="n"/>
      <c r="C445" s="141" t="n"/>
      <c r="D445" s="141" t="n"/>
      <c r="E445" s="141" t="n"/>
      <c r="F445" s="141" t="n"/>
      <c r="G445" s="143" t="n"/>
      <c r="H445" s="27" t="n"/>
    </row>
    <row r="446" ht="17.25" customHeight="1" s="322">
      <c r="A446" s="27" t="n"/>
      <c r="B446" s="506" t="n"/>
      <c r="C446" s="141" t="n"/>
      <c r="D446" s="141" t="n"/>
      <c r="E446" s="141" t="n"/>
      <c r="F446" s="141" t="n"/>
      <c r="G446" s="143" t="n"/>
      <c r="H446" s="27" t="n"/>
    </row>
    <row r="447" ht="17.25" customHeight="1" s="322">
      <c r="A447" s="27" t="n"/>
      <c r="B447" s="506" t="n"/>
      <c r="C447" s="141" t="n"/>
      <c r="D447" s="141" t="n"/>
      <c r="E447" s="141" t="n"/>
      <c r="F447" s="141" t="n"/>
      <c r="G447" s="143" t="n"/>
      <c r="H447" s="27" t="n"/>
    </row>
    <row r="448" ht="17.25" customHeight="1" s="322">
      <c r="A448" s="27" t="n"/>
      <c r="B448" s="506" t="n"/>
      <c r="C448" s="141" t="n"/>
      <c r="D448" s="141" t="n"/>
      <c r="E448" s="141" t="n"/>
      <c r="F448" s="141" t="n"/>
      <c r="G448" s="143" t="n"/>
      <c r="H448" s="27" t="n"/>
    </row>
    <row r="449" ht="17.25" customHeight="1" s="322">
      <c r="A449" s="27" t="n"/>
      <c r="B449" s="506" t="n"/>
      <c r="C449" s="141" t="n"/>
      <c r="D449" s="141" t="n"/>
      <c r="E449" s="141" t="n"/>
      <c r="F449" s="141" t="n"/>
      <c r="G449" s="143" t="n"/>
      <c r="H449" s="27" t="n"/>
    </row>
    <row r="450" ht="17.25" customHeight="1" s="322">
      <c r="A450" s="27" t="n"/>
      <c r="B450" s="506" t="n"/>
      <c r="C450" s="141" t="n"/>
      <c r="D450" s="141" t="n"/>
      <c r="E450" s="141" t="n"/>
      <c r="F450" s="141" t="n"/>
      <c r="G450" s="143" t="n"/>
      <c r="H450" s="27" t="n"/>
    </row>
    <row r="451" ht="17.25" customHeight="1" s="322">
      <c r="A451" s="27" t="n"/>
      <c r="B451" s="506" t="n"/>
      <c r="C451" s="141" t="n"/>
      <c r="D451" s="141" t="n"/>
      <c r="E451" s="141" t="n"/>
      <c r="F451" s="141" t="n"/>
      <c r="G451" s="143" t="n"/>
      <c r="H451" s="27" t="n"/>
    </row>
    <row r="452" ht="17.25" customHeight="1" s="322">
      <c r="A452" s="27" t="n"/>
      <c r="B452" s="506" t="n"/>
      <c r="C452" s="141" t="n"/>
      <c r="D452" s="141" t="n"/>
      <c r="E452" s="141" t="n"/>
      <c r="F452" s="141" t="n"/>
      <c r="G452" s="143" t="n"/>
      <c r="H452" s="27" t="n"/>
    </row>
    <row r="453" ht="17.25" customHeight="1" s="322">
      <c r="A453" s="27" t="n"/>
      <c r="B453" s="506" t="n"/>
      <c r="C453" s="141" t="n"/>
      <c r="D453" s="141" t="n"/>
      <c r="E453" s="141" t="n"/>
      <c r="F453" s="141" t="n"/>
      <c r="G453" s="143" t="n"/>
      <c r="H453" s="27" t="n"/>
    </row>
    <row r="454" ht="17.25" customHeight="1" s="322">
      <c r="A454" s="27" t="n"/>
      <c r="B454" s="506" t="n"/>
      <c r="C454" s="141" t="n"/>
      <c r="D454" s="141" t="n"/>
      <c r="E454" s="141" t="n"/>
      <c r="F454" s="141" t="n"/>
      <c r="G454" s="143" t="n"/>
      <c r="H454" s="27" t="n"/>
    </row>
    <row r="455" ht="17.25" customHeight="1" s="322">
      <c r="A455" s="27" t="n"/>
      <c r="B455" s="506" t="n"/>
      <c r="C455" s="141" t="n"/>
      <c r="D455" s="141" t="n"/>
      <c r="E455" s="141" t="n"/>
      <c r="F455" s="141" t="n"/>
      <c r="G455" s="143" t="n"/>
      <c r="H455" s="27" t="n"/>
    </row>
    <row r="456" ht="17.25" customHeight="1" s="322">
      <c r="A456" s="27" t="n"/>
      <c r="B456" s="506" t="n"/>
      <c r="C456" s="141" t="n"/>
      <c r="D456" s="141" t="n"/>
      <c r="E456" s="141" t="n"/>
      <c r="F456" s="141" t="n"/>
      <c r="G456" s="143" t="n"/>
      <c r="H456" s="27" t="n"/>
    </row>
    <row r="457" ht="17.25" customHeight="1" s="322">
      <c r="A457" s="27" t="n"/>
      <c r="B457" s="506" t="n"/>
      <c r="C457" s="141" t="n"/>
      <c r="D457" s="141" t="n"/>
      <c r="E457" s="141" t="n"/>
      <c r="F457" s="141" t="n"/>
      <c r="G457" s="143" t="n"/>
      <c r="H457" s="27" t="n"/>
    </row>
    <row r="458" ht="17.25" customHeight="1" s="322">
      <c r="A458" s="27" t="n"/>
      <c r="B458" s="506" t="n"/>
      <c r="C458" s="141" t="n"/>
      <c r="D458" s="141" t="n"/>
      <c r="E458" s="141" t="n"/>
      <c r="F458" s="141" t="n"/>
      <c r="G458" s="143" t="n"/>
      <c r="H458" s="27" t="n"/>
    </row>
    <row r="459" ht="17.25" customHeight="1" s="322">
      <c r="A459" s="27" t="n"/>
      <c r="B459" s="506" t="n"/>
      <c r="C459" s="141" t="n"/>
      <c r="D459" s="141" t="n"/>
      <c r="E459" s="141" t="n"/>
      <c r="F459" s="141" t="n"/>
      <c r="G459" s="143" t="n"/>
      <c r="H459" s="27" t="n"/>
    </row>
    <row r="460" ht="17.25" customHeight="1" s="322">
      <c r="A460" s="27" t="n"/>
      <c r="B460" s="506" t="n"/>
      <c r="C460" s="141" t="n"/>
      <c r="D460" s="141" t="n"/>
      <c r="E460" s="141" t="n"/>
      <c r="F460" s="141" t="n"/>
      <c r="G460" s="143" t="n"/>
      <c r="H460" s="27" t="n"/>
    </row>
    <row r="461" ht="17.25" customHeight="1" s="322">
      <c r="A461" s="27" t="n"/>
      <c r="B461" s="506" t="n"/>
      <c r="C461" s="141" t="n"/>
      <c r="D461" s="141" t="n"/>
      <c r="E461" s="141" t="n"/>
      <c r="F461" s="141" t="n"/>
      <c r="G461" s="143" t="n"/>
      <c r="H461" s="27" t="n"/>
    </row>
    <row r="462" ht="17.25" customHeight="1" s="322">
      <c r="A462" s="27" t="n"/>
      <c r="B462" s="506" t="n"/>
      <c r="C462" s="141" t="n"/>
      <c r="D462" s="141" t="n"/>
      <c r="E462" s="141" t="n"/>
      <c r="F462" s="141" t="n"/>
      <c r="G462" s="143" t="n"/>
      <c r="H462" s="27" t="n"/>
    </row>
    <row r="463" ht="17.25" customHeight="1" s="322">
      <c r="A463" s="27" t="n"/>
      <c r="B463" s="506" t="n"/>
      <c r="C463" s="141" t="n"/>
      <c r="D463" s="141" t="n"/>
      <c r="E463" s="141" t="n"/>
      <c r="F463" s="141" t="n"/>
      <c r="G463" s="143" t="n"/>
      <c r="H463" s="27" t="n"/>
    </row>
    <row r="464" ht="17.25" customHeight="1" s="322">
      <c r="A464" s="27" t="n"/>
      <c r="B464" s="506" t="n"/>
      <c r="C464" s="141" t="n"/>
      <c r="D464" s="141" t="n"/>
      <c r="E464" s="141" t="n"/>
      <c r="F464" s="141" t="n"/>
      <c r="G464" s="143" t="n"/>
      <c r="H464" s="27" t="n"/>
    </row>
    <row r="465" ht="17.25" customHeight="1" s="322">
      <c r="A465" s="27" t="n"/>
      <c r="B465" s="506" t="n"/>
      <c r="C465" s="141" t="n"/>
      <c r="D465" s="141" t="n"/>
      <c r="E465" s="141" t="n"/>
      <c r="F465" s="141" t="n"/>
      <c r="G465" s="143" t="n"/>
      <c r="H465" s="27" t="n"/>
    </row>
    <row r="466" ht="17.25" customHeight="1" s="322">
      <c r="A466" s="27" t="n"/>
      <c r="B466" s="506" t="n"/>
      <c r="C466" s="141" t="n"/>
      <c r="D466" s="141" t="n"/>
      <c r="E466" s="141" t="n"/>
      <c r="F466" s="141" t="n"/>
      <c r="G466" s="143" t="n"/>
      <c r="H466" s="27" t="n"/>
    </row>
    <row r="467" ht="17.25" customHeight="1" s="322">
      <c r="A467" s="27" t="n"/>
      <c r="B467" s="506" t="n"/>
      <c r="C467" s="141" t="n"/>
      <c r="D467" s="141" t="n"/>
      <c r="E467" s="141" t="n"/>
      <c r="F467" s="141" t="n"/>
      <c r="G467" s="143" t="n"/>
      <c r="H467" s="27" t="n"/>
    </row>
    <row r="468" ht="17.25" customHeight="1" s="322">
      <c r="A468" s="27" t="n"/>
      <c r="B468" s="506" t="n"/>
      <c r="C468" s="141" t="n"/>
      <c r="D468" s="141" t="n"/>
      <c r="E468" s="141" t="n"/>
      <c r="F468" s="141" t="n"/>
      <c r="G468" s="143" t="n"/>
      <c r="H468" s="27" t="n"/>
    </row>
    <row r="469" ht="17.25" customHeight="1" s="322">
      <c r="A469" s="27" t="n"/>
      <c r="B469" s="506" t="n"/>
      <c r="C469" s="141" t="n"/>
      <c r="D469" s="141" t="n"/>
      <c r="E469" s="141" t="n"/>
      <c r="F469" s="141" t="n"/>
      <c r="G469" s="143" t="n"/>
      <c r="H469" s="27" t="n"/>
    </row>
    <row r="470" ht="17.25" customHeight="1" s="322">
      <c r="A470" s="27" t="n"/>
      <c r="B470" s="506" t="n"/>
      <c r="C470" s="141" t="n"/>
      <c r="D470" s="141" t="n"/>
      <c r="E470" s="141" t="n"/>
      <c r="F470" s="141" t="n"/>
      <c r="G470" s="143" t="n"/>
      <c r="H470" s="27" t="n"/>
    </row>
    <row r="471" ht="17.25" customHeight="1" s="322">
      <c r="A471" s="27" t="n"/>
      <c r="B471" s="506" t="n"/>
      <c r="C471" s="141" t="n"/>
      <c r="D471" s="141" t="n"/>
      <c r="E471" s="141" t="n"/>
      <c r="F471" s="141" t="n"/>
      <c r="G471" s="143" t="n"/>
      <c r="H471" s="27" t="n"/>
    </row>
    <row r="472" ht="17.25" customHeight="1" s="322">
      <c r="A472" s="27" t="n"/>
      <c r="B472" s="506" t="n"/>
      <c r="C472" s="141" t="n"/>
      <c r="D472" s="141" t="n"/>
      <c r="E472" s="141" t="n"/>
      <c r="F472" s="141" t="n"/>
      <c r="G472" s="143" t="n"/>
      <c r="H472" s="27" t="n"/>
    </row>
    <row r="473" ht="17.25" customHeight="1" s="322">
      <c r="A473" s="27" t="n"/>
      <c r="B473" s="506" t="n"/>
      <c r="C473" s="141" t="n"/>
      <c r="D473" s="141" t="n"/>
      <c r="E473" s="141" t="n"/>
      <c r="F473" s="141" t="n"/>
      <c r="G473" s="143" t="n"/>
      <c r="H473" s="27" t="n"/>
    </row>
    <row r="474" ht="17.25" customHeight="1" s="322">
      <c r="A474" s="27" t="n"/>
      <c r="B474" s="506" t="n"/>
      <c r="C474" s="141" t="n"/>
      <c r="D474" s="141" t="n"/>
      <c r="E474" s="141" t="n"/>
      <c r="F474" s="141" t="n"/>
      <c r="G474" s="143" t="n"/>
      <c r="H474" s="27" t="n"/>
    </row>
    <row r="475" ht="17.25" customHeight="1" s="322">
      <c r="A475" s="27" t="n"/>
      <c r="B475" s="506" t="n"/>
      <c r="C475" s="141" t="n"/>
      <c r="D475" s="141" t="n"/>
      <c r="E475" s="141" t="n"/>
      <c r="F475" s="141" t="n"/>
      <c r="G475" s="143" t="n"/>
      <c r="H475" s="27" t="n"/>
    </row>
    <row r="476" ht="17.25" customHeight="1" s="322">
      <c r="A476" s="27" t="n"/>
      <c r="B476" s="506" t="n"/>
      <c r="C476" s="141" t="n"/>
      <c r="D476" s="141" t="n"/>
      <c r="E476" s="141" t="n"/>
      <c r="F476" s="141" t="n"/>
      <c r="G476" s="143" t="n"/>
      <c r="H476" s="27" t="n"/>
    </row>
    <row r="477" ht="17.25" customHeight="1" s="322">
      <c r="A477" s="27" t="n"/>
      <c r="B477" s="506" t="n"/>
      <c r="C477" s="141" t="n"/>
      <c r="D477" s="141" t="n"/>
      <c r="E477" s="141" t="n"/>
      <c r="F477" s="141" t="n"/>
      <c r="G477" s="143" t="n"/>
      <c r="H477" s="27" t="n"/>
    </row>
    <row r="478" ht="17.25" customHeight="1" s="322">
      <c r="A478" s="27" t="n"/>
      <c r="B478" s="506" t="n"/>
      <c r="C478" s="141" t="n"/>
      <c r="D478" s="141" t="n"/>
      <c r="E478" s="141" t="n"/>
      <c r="F478" s="141" t="n"/>
      <c r="G478" s="143" t="n"/>
      <c r="H478" s="27" t="n"/>
    </row>
    <row r="479" ht="17.25" customHeight="1" s="322">
      <c r="A479" s="27" t="n"/>
      <c r="B479" s="506" t="n"/>
      <c r="C479" s="141" t="n"/>
      <c r="D479" s="141" t="n"/>
      <c r="E479" s="141" t="n"/>
      <c r="F479" s="141" t="n"/>
      <c r="G479" s="143" t="n"/>
      <c r="H479" s="27" t="n"/>
    </row>
    <row r="480" ht="17.25" customHeight="1" s="322">
      <c r="A480" s="27" t="n"/>
      <c r="B480" s="506" t="n"/>
      <c r="C480" s="141" t="n"/>
      <c r="D480" s="141" t="n"/>
      <c r="E480" s="141" t="n"/>
      <c r="F480" s="141" t="n"/>
      <c r="G480" s="143" t="n"/>
      <c r="H480" s="27" t="n"/>
    </row>
    <row r="481" ht="17.25" customHeight="1" s="322">
      <c r="A481" s="27" t="n"/>
      <c r="B481" s="506" t="n"/>
      <c r="C481" s="141" t="n"/>
      <c r="D481" s="141" t="n"/>
      <c r="E481" s="141" t="n"/>
      <c r="F481" s="141" t="n"/>
      <c r="G481" s="143" t="n"/>
      <c r="H481" s="27" t="n"/>
    </row>
    <row r="482" ht="17.25" customHeight="1" s="322">
      <c r="A482" s="27" t="n"/>
      <c r="B482" s="506" t="n"/>
      <c r="C482" s="141" t="n"/>
      <c r="D482" s="141" t="n"/>
      <c r="E482" s="141" t="n"/>
      <c r="F482" s="141" t="n"/>
      <c r="G482" s="143" t="n"/>
      <c r="H482" s="27" t="n"/>
    </row>
    <row r="483" ht="17.25" customHeight="1" s="322">
      <c r="A483" s="27" t="n"/>
      <c r="B483" s="506" t="n"/>
      <c r="C483" s="141" t="n"/>
      <c r="D483" s="141" t="n"/>
      <c r="E483" s="141" t="n"/>
      <c r="F483" s="141" t="n"/>
      <c r="G483" s="143" t="n"/>
      <c r="H483" s="27" t="n"/>
    </row>
    <row r="484" ht="17.25" customHeight="1" s="322">
      <c r="A484" s="27" t="n"/>
      <c r="B484" s="506" t="n"/>
      <c r="C484" s="141" t="n"/>
      <c r="D484" s="141" t="n"/>
      <c r="E484" s="141" t="n"/>
      <c r="F484" s="141" t="n"/>
      <c r="G484" s="143" t="n"/>
      <c r="H484" s="27" t="n"/>
    </row>
    <row r="485" ht="17.25" customHeight="1" s="322">
      <c r="A485" s="27" t="n"/>
      <c r="B485" s="506" t="n"/>
      <c r="C485" s="141" t="n"/>
      <c r="D485" s="141" t="n"/>
      <c r="E485" s="141" t="n"/>
      <c r="F485" s="141" t="n"/>
      <c r="G485" s="143" t="n"/>
      <c r="H485" s="27" t="n"/>
    </row>
    <row r="486" ht="17.25" customHeight="1" s="322">
      <c r="A486" s="27" t="n"/>
      <c r="B486" s="506" t="n"/>
      <c r="C486" s="141" t="n"/>
      <c r="D486" s="141" t="n"/>
      <c r="E486" s="141" t="n"/>
      <c r="F486" s="141" t="n"/>
      <c r="G486" s="143" t="n"/>
      <c r="H486" s="27" t="n"/>
    </row>
    <row r="487" ht="17.25" customHeight="1" s="322">
      <c r="A487" s="27" t="n"/>
      <c r="B487" s="506" t="n"/>
      <c r="C487" s="141" t="n"/>
      <c r="D487" s="141" t="n"/>
      <c r="E487" s="141" t="n"/>
      <c r="F487" s="141" t="n"/>
      <c r="G487" s="143" t="n"/>
      <c r="H487" s="27" t="n"/>
    </row>
    <row r="488" ht="17.25" customHeight="1" s="322">
      <c r="A488" s="27" t="n"/>
      <c r="B488" s="506" t="n"/>
      <c r="C488" s="141" t="n"/>
      <c r="D488" s="141" t="n"/>
      <c r="E488" s="141" t="n"/>
      <c r="F488" s="141" t="n"/>
      <c r="G488" s="143" t="n"/>
      <c r="H488" s="27" t="n"/>
    </row>
    <row r="489" ht="17.25" customHeight="1" s="322">
      <c r="A489" s="27" t="n"/>
      <c r="B489" s="506" t="n"/>
      <c r="C489" s="141" t="n"/>
      <c r="D489" s="141" t="n"/>
      <c r="E489" s="141" t="n"/>
      <c r="F489" s="141" t="n"/>
      <c r="G489" s="143" t="n"/>
      <c r="H489" s="27" t="n"/>
    </row>
    <row r="490" ht="17.25" customHeight="1" s="322">
      <c r="A490" s="27" t="n"/>
      <c r="B490" s="506" t="n"/>
      <c r="C490" s="141" t="n"/>
      <c r="D490" s="141" t="n"/>
      <c r="E490" s="141" t="n"/>
      <c r="F490" s="141" t="n"/>
      <c r="G490" s="143" t="n"/>
      <c r="H490" s="27" t="n"/>
    </row>
    <row r="491" ht="17.25" customHeight="1" s="322">
      <c r="A491" s="27" t="n"/>
      <c r="B491" s="506" t="n"/>
      <c r="C491" s="141" t="n"/>
      <c r="D491" s="141" t="n"/>
      <c r="E491" s="141" t="n"/>
      <c r="F491" s="141" t="n"/>
      <c r="G491" s="143" t="n"/>
      <c r="H491" s="27" t="n"/>
    </row>
    <row r="492" ht="17.25" customHeight="1" s="322">
      <c r="A492" s="27" t="n"/>
      <c r="B492" s="506" t="n"/>
      <c r="C492" s="141" t="n"/>
      <c r="D492" s="141" t="n"/>
      <c r="E492" s="141" t="n"/>
      <c r="F492" s="141" t="n"/>
      <c r="G492" s="143" t="n"/>
      <c r="H492" s="27" t="n"/>
    </row>
    <row r="493" ht="17.25" customHeight="1" s="322">
      <c r="A493" s="27" t="n"/>
      <c r="B493" s="506" t="n"/>
      <c r="C493" s="141" t="n"/>
      <c r="D493" s="141" t="n"/>
      <c r="E493" s="141" t="n"/>
      <c r="F493" s="141" t="n"/>
      <c r="G493" s="143" t="n"/>
      <c r="H493" s="27" t="n"/>
    </row>
    <row r="494" ht="17.25" customHeight="1" s="322">
      <c r="A494" s="27" t="n"/>
      <c r="B494" s="506" t="n"/>
      <c r="C494" s="141" t="n"/>
      <c r="D494" s="141" t="n"/>
      <c r="E494" s="141" t="n"/>
      <c r="F494" s="141" t="n"/>
      <c r="G494" s="143" t="n"/>
      <c r="H494" s="27" t="n"/>
    </row>
    <row r="495" ht="17.25" customHeight="1" s="322">
      <c r="A495" s="27" t="n"/>
      <c r="B495" s="506" t="n"/>
      <c r="C495" s="141" t="n"/>
      <c r="D495" s="141" t="n"/>
      <c r="E495" s="141" t="n"/>
      <c r="F495" s="141" t="n"/>
      <c r="G495" s="143" t="n"/>
      <c r="H495" s="27" t="n"/>
    </row>
    <row r="496" ht="17.25" customHeight="1" s="322">
      <c r="A496" s="27" t="n"/>
      <c r="B496" s="506" t="n"/>
      <c r="C496" s="141" t="n"/>
      <c r="D496" s="141" t="n"/>
      <c r="E496" s="141" t="n"/>
      <c r="F496" s="141" t="n"/>
      <c r="G496" s="143" t="n"/>
      <c r="H496" s="27" t="n"/>
    </row>
    <row r="497" ht="17.25" customHeight="1" s="322">
      <c r="A497" s="27" t="n"/>
      <c r="B497" s="506" t="n"/>
      <c r="C497" s="141" t="n"/>
      <c r="D497" s="141" t="n"/>
      <c r="E497" s="141" t="n"/>
      <c r="F497" s="141" t="n"/>
      <c r="G497" s="143" t="n"/>
      <c r="H497" s="27" t="n"/>
    </row>
    <row r="498" ht="17.25" customHeight="1" s="322">
      <c r="A498" s="27" t="n"/>
      <c r="B498" s="506" t="n"/>
      <c r="C498" s="141" t="n"/>
      <c r="D498" s="141" t="n"/>
      <c r="E498" s="141" t="n"/>
      <c r="F498" s="141" t="n"/>
      <c r="G498" s="143" t="n"/>
      <c r="H498" s="27" t="n"/>
    </row>
    <row r="499" ht="17.25" customHeight="1" s="322">
      <c r="A499" s="27" t="n"/>
      <c r="B499" s="506" t="n"/>
      <c r="C499" s="141" t="n"/>
      <c r="D499" s="141" t="n"/>
      <c r="E499" s="141" t="n"/>
      <c r="F499" s="141" t="n"/>
      <c r="G499" s="143" t="n"/>
      <c r="H499" s="27" t="n"/>
    </row>
    <row r="500" ht="17.25" customHeight="1" s="322">
      <c r="A500" s="27" t="n"/>
      <c r="B500" s="506" t="n"/>
      <c r="C500" s="141" t="n"/>
      <c r="D500" s="141" t="n"/>
      <c r="E500" s="141" t="n"/>
      <c r="F500" s="141" t="n"/>
      <c r="G500" s="143" t="n"/>
      <c r="H500" s="27" t="n"/>
    </row>
    <row r="501" ht="17.25" customHeight="1" s="322">
      <c r="A501" s="27" t="n"/>
      <c r="B501" s="506" t="n"/>
      <c r="C501" s="141" t="n"/>
      <c r="D501" s="141" t="n"/>
      <c r="E501" s="141" t="n"/>
      <c r="F501" s="141" t="n"/>
      <c r="G501" s="143" t="n"/>
      <c r="H501" s="27" t="n"/>
    </row>
    <row r="502" ht="17.25" customHeight="1" s="322">
      <c r="A502" s="27" t="n"/>
      <c r="B502" s="506" t="n"/>
      <c r="C502" s="141" t="n"/>
      <c r="D502" s="141" t="n"/>
      <c r="E502" s="141" t="n"/>
      <c r="F502" s="141" t="n"/>
      <c r="G502" s="143" t="n"/>
      <c r="H502" s="27" t="n"/>
    </row>
    <row r="503" ht="17.25" customHeight="1" s="322">
      <c r="A503" s="27" t="n"/>
      <c r="B503" s="506" t="n"/>
      <c r="C503" s="141" t="n"/>
      <c r="D503" s="141" t="n"/>
      <c r="E503" s="141" t="n"/>
      <c r="F503" s="141" t="n"/>
      <c r="G503" s="143" t="n"/>
      <c r="H503" s="27" t="n"/>
    </row>
    <row r="504" ht="17.25" customHeight="1" s="322">
      <c r="A504" s="27" t="n"/>
      <c r="B504" s="506" t="n"/>
      <c r="C504" s="141" t="n"/>
      <c r="D504" s="141" t="n"/>
      <c r="E504" s="141" t="n"/>
      <c r="F504" s="141" t="n"/>
      <c r="G504" s="143" t="n"/>
      <c r="H504" s="27" t="n"/>
    </row>
    <row r="505" ht="17.25" customHeight="1" s="322">
      <c r="A505" s="27" t="n"/>
      <c r="B505" s="506" t="n"/>
      <c r="C505" s="141" t="n"/>
      <c r="D505" s="141" t="n"/>
      <c r="E505" s="141" t="n"/>
      <c r="F505" s="141" t="n"/>
      <c r="G505" s="143" t="n"/>
      <c r="H505" s="27" t="n"/>
    </row>
    <row r="506" ht="17.25" customHeight="1" s="322">
      <c r="A506" s="27" t="n"/>
      <c r="B506" s="506" t="n"/>
      <c r="C506" s="141" t="n"/>
      <c r="D506" s="141" t="n"/>
      <c r="E506" s="141" t="n"/>
      <c r="F506" s="141" t="n"/>
      <c r="G506" s="143" t="n"/>
      <c r="H506" s="27" t="n"/>
    </row>
    <row r="507" ht="17.25" customHeight="1" s="322">
      <c r="A507" s="27" t="n"/>
      <c r="B507" s="506" t="n"/>
      <c r="C507" s="141" t="n"/>
      <c r="D507" s="141" t="n"/>
      <c r="E507" s="141" t="n"/>
      <c r="F507" s="141" t="n"/>
      <c r="G507" s="143" t="n"/>
      <c r="H507" s="27" t="n"/>
    </row>
    <row r="508" ht="17.25" customHeight="1" s="322">
      <c r="A508" s="27" t="n"/>
      <c r="B508" s="506" t="n"/>
      <c r="C508" s="141" t="n"/>
      <c r="D508" s="141" t="n"/>
      <c r="E508" s="141" t="n"/>
      <c r="F508" s="141" t="n"/>
      <c r="G508" s="143" t="n"/>
      <c r="H508" s="27" t="n"/>
    </row>
    <row r="509" ht="17.25" customHeight="1" s="322">
      <c r="A509" s="27" t="n"/>
      <c r="B509" s="506" t="n"/>
      <c r="C509" s="141" t="n"/>
      <c r="D509" s="141" t="n"/>
      <c r="E509" s="141" t="n"/>
      <c r="F509" s="141" t="n"/>
      <c r="G509" s="143" t="n"/>
      <c r="H509" s="27" t="n"/>
    </row>
    <row r="510" ht="17.25" customHeight="1" s="322">
      <c r="A510" s="27" t="n"/>
      <c r="B510" s="506" t="n"/>
      <c r="C510" s="141" t="n"/>
      <c r="D510" s="141" t="n"/>
      <c r="E510" s="141" t="n"/>
      <c r="F510" s="141" t="n"/>
      <c r="G510" s="143" t="n"/>
      <c r="H510" s="27" t="n"/>
    </row>
    <row r="511" ht="17.25" customHeight="1" s="322">
      <c r="A511" s="27" t="n"/>
      <c r="B511" s="506" t="n"/>
      <c r="C511" s="141" t="n"/>
      <c r="D511" s="141" t="n"/>
      <c r="E511" s="141" t="n"/>
      <c r="F511" s="141" t="n"/>
      <c r="G511" s="143" t="n"/>
      <c r="H511" s="27" t="n"/>
    </row>
    <row r="512" ht="17.25" customHeight="1" s="322">
      <c r="A512" s="27" t="n"/>
      <c r="B512" s="506" t="n"/>
      <c r="C512" s="141" t="n"/>
      <c r="D512" s="141" t="n"/>
      <c r="E512" s="141" t="n"/>
      <c r="F512" s="141" t="n"/>
      <c r="G512" s="143" t="n"/>
      <c r="H512" s="27" t="n"/>
    </row>
    <row r="513" ht="17.25" customHeight="1" s="322">
      <c r="A513" s="27" t="n"/>
      <c r="B513" s="506" t="n"/>
      <c r="C513" s="141" t="n"/>
      <c r="D513" s="141" t="n"/>
      <c r="E513" s="141" t="n"/>
      <c r="F513" s="141" t="n"/>
      <c r="G513" s="143" t="n"/>
      <c r="H513" s="27" t="n"/>
    </row>
    <row r="514" ht="17.25" customHeight="1" s="322">
      <c r="A514" s="27" t="n"/>
      <c r="B514" s="506" t="n"/>
      <c r="C514" s="141" t="n"/>
      <c r="D514" s="141" t="n"/>
      <c r="E514" s="141" t="n"/>
      <c r="F514" s="141" t="n"/>
      <c r="G514" s="143" t="n"/>
      <c r="H514" s="27" t="n"/>
    </row>
    <row r="515" ht="17.25" customHeight="1" s="322">
      <c r="A515" s="27" t="n"/>
      <c r="B515" s="506" t="n"/>
      <c r="C515" s="141" t="n"/>
      <c r="D515" s="141" t="n"/>
      <c r="E515" s="141" t="n"/>
      <c r="F515" s="141" t="n"/>
      <c r="G515" s="143" t="n"/>
      <c r="H515" s="27" t="n"/>
    </row>
    <row r="516" ht="17.25" customHeight="1" s="322">
      <c r="A516" s="27" t="n"/>
      <c r="B516" s="506" t="n"/>
      <c r="C516" s="141" t="n"/>
      <c r="D516" s="141" t="n"/>
      <c r="E516" s="141" t="n"/>
      <c r="F516" s="141" t="n"/>
      <c r="G516" s="143" t="n"/>
      <c r="H516" s="27" t="n"/>
    </row>
    <row r="517" ht="17.25" customHeight="1" s="322">
      <c r="A517" s="27" t="n"/>
      <c r="B517" s="506" t="n"/>
      <c r="C517" s="141" t="n"/>
      <c r="D517" s="141" t="n"/>
      <c r="E517" s="141" t="n"/>
      <c r="F517" s="141" t="n"/>
      <c r="G517" s="143" t="n"/>
      <c r="H517" s="27" t="n"/>
    </row>
    <row r="518" ht="17.25" customHeight="1" s="322">
      <c r="A518" s="27" t="n"/>
      <c r="B518" s="506" t="n"/>
      <c r="C518" s="141" t="n"/>
      <c r="D518" s="141" t="n"/>
      <c r="E518" s="141" t="n"/>
      <c r="F518" s="141" t="n"/>
      <c r="G518" s="143" t="n"/>
      <c r="H518" s="27" t="n"/>
    </row>
    <row r="519" ht="17.25" customHeight="1" s="322">
      <c r="A519" s="27" t="n"/>
      <c r="B519" s="506" t="n"/>
      <c r="C519" s="141" t="n"/>
      <c r="D519" s="141" t="n"/>
      <c r="E519" s="141" t="n"/>
      <c r="F519" s="141" t="n"/>
      <c r="G519" s="143" t="n"/>
      <c r="H519" s="27" t="n"/>
    </row>
    <row r="520" ht="17.25" customHeight="1" s="322">
      <c r="A520" s="27" t="n"/>
      <c r="B520" s="506" t="n"/>
      <c r="C520" s="141" t="n"/>
      <c r="D520" s="141" t="n"/>
      <c r="E520" s="141" t="n"/>
      <c r="F520" s="141" t="n"/>
      <c r="G520" s="143" t="n"/>
      <c r="H520" s="27" t="n"/>
    </row>
    <row r="521" ht="17.25" customHeight="1" s="322">
      <c r="A521" s="27" t="n"/>
      <c r="B521" s="506" t="n"/>
      <c r="C521" s="141" t="n"/>
      <c r="D521" s="141" t="n"/>
      <c r="E521" s="141" t="n"/>
      <c r="F521" s="141" t="n"/>
      <c r="G521" s="143" t="n"/>
      <c r="H521" s="27" t="n"/>
    </row>
    <row r="522" ht="17.25" customHeight="1" s="322">
      <c r="A522" s="27" t="n"/>
      <c r="B522" s="506" t="n"/>
      <c r="C522" s="141" t="n"/>
      <c r="D522" s="141" t="n"/>
      <c r="E522" s="141" t="n"/>
      <c r="F522" s="141" t="n"/>
      <c r="G522" s="143" t="n"/>
      <c r="H522" s="27" t="n"/>
    </row>
    <row r="523" ht="17.25" customHeight="1" s="322">
      <c r="A523" s="27" t="n"/>
      <c r="B523" s="506" t="n"/>
      <c r="C523" s="141" t="n"/>
      <c r="D523" s="141" t="n"/>
      <c r="E523" s="141" t="n"/>
      <c r="F523" s="141" t="n"/>
      <c r="G523" s="143" t="n"/>
      <c r="H523" s="27" t="n"/>
    </row>
    <row r="524" ht="17.25" customHeight="1" s="322">
      <c r="A524" s="27" t="n"/>
      <c r="B524" s="506" t="n"/>
      <c r="C524" s="141" t="n"/>
      <c r="D524" s="141" t="n"/>
      <c r="E524" s="141" t="n"/>
      <c r="F524" s="141" t="n"/>
      <c r="G524" s="143" t="n"/>
      <c r="H524" s="27" t="n"/>
    </row>
    <row r="525" ht="17.25" customHeight="1" s="322">
      <c r="A525" s="27" t="n"/>
      <c r="B525" s="506" t="n"/>
      <c r="C525" s="141" t="n"/>
      <c r="D525" s="141" t="n"/>
      <c r="E525" s="141" t="n"/>
      <c r="F525" s="141" t="n"/>
      <c r="G525" s="143" t="n"/>
      <c r="H525" s="27" t="n"/>
    </row>
    <row r="526" ht="17.25" customHeight="1" s="322">
      <c r="A526" s="27" t="n"/>
      <c r="B526" s="506" t="n"/>
      <c r="C526" s="141" t="n"/>
      <c r="D526" s="141" t="n"/>
      <c r="E526" s="141" t="n"/>
      <c r="F526" s="141" t="n"/>
      <c r="G526" s="143" t="n"/>
      <c r="H526" s="27" t="n"/>
    </row>
    <row r="527" ht="17.25" customHeight="1" s="322">
      <c r="A527" s="27" t="n"/>
      <c r="B527" s="506" t="n"/>
      <c r="C527" s="141" t="n"/>
      <c r="D527" s="141" t="n"/>
      <c r="E527" s="141" t="n"/>
      <c r="F527" s="141" t="n"/>
      <c r="G527" s="143" t="n"/>
      <c r="H527" s="27" t="n"/>
    </row>
    <row r="528" ht="17.25" customHeight="1" s="322">
      <c r="A528" s="27" t="n"/>
      <c r="B528" s="506" t="n"/>
      <c r="C528" s="141" t="n"/>
      <c r="D528" s="141" t="n"/>
      <c r="E528" s="141" t="n"/>
      <c r="F528" s="141" t="n"/>
      <c r="G528" s="143" t="n"/>
      <c r="H528" s="27" t="n"/>
    </row>
    <row r="529" ht="17.25" customHeight="1" s="322">
      <c r="A529" s="27" t="n"/>
      <c r="B529" s="506" t="n"/>
      <c r="C529" s="141" t="n"/>
      <c r="D529" s="141" t="n"/>
      <c r="E529" s="141" t="n"/>
      <c r="F529" s="141" t="n"/>
      <c r="G529" s="143" t="n"/>
      <c r="H529" s="27" t="n"/>
    </row>
    <row r="530" ht="17.25" customHeight="1" s="322">
      <c r="A530" s="27" t="n"/>
      <c r="B530" s="506" t="n"/>
      <c r="C530" s="141" t="n"/>
      <c r="D530" s="141" t="n"/>
      <c r="E530" s="141" t="n"/>
      <c r="F530" s="141" t="n"/>
      <c r="G530" s="143" t="n"/>
      <c r="H530" s="27" t="n"/>
    </row>
    <row r="531" ht="17.25" customHeight="1" s="322">
      <c r="A531" s="27" t="n"/>
      <c r="B531" s="506" t="n"/>
      <c r="C531" s="141" t="n"/>
      <c r="D531" s="141" t="n"/>
      <c r="E531" s="141" t="n"/>
      <c r="F531" s="141" t="n"/>
      <c r="G531" s="143" t="n"/>
      <c r="H531" s="27" t="n"/>
    </row>
    <row r="532" ht="17.25" customHeight="1" s="322">
      <c r="A532" s="27" t="n"/>
      <c r="B532" s="506" t="n"/>
      <c r="C532" s="141" t="n"/>
      <c r="D532" s="141" t="n"/>
      <c r="E532" s="141" t="n"/>
      <c r="F532" s="141" t="n"/>
      <c r="G532" s="143" t="n"/>
      <c r="H532" s="27" t="n"/>
    </row>
    <row r="533" ht="17.25" customHeight="1" s="322">
      <c r="A533" s="27" t="n"/>
      <c r="B533" s="506" t="n"/>
      <c r="C533" s="141" t="n"/>
      <c r="D533" s="141" t="n"/>
      <c r="E533" s="141" t="n"/>
      <c r="F533" s="141" t="n"/>
      <c r="G533" s="143" t="n"/>
      <c r="H533" s="27" t="n"/>
    </row>
    <row r="534" ht="17.25" customHeight="1" s="322">
      <c r="A534" s="27" t="n"/>
      <c r="B534" s="506" t="n"/>
      <c r="C534" s="141" t="n"/>
      <c r="D534" s="141" t="n"/>
      <c r="E534" s="141" t="n"/>
      <c r="F534" s="141" t="n"/>
      <c r="G534" s="143" t="n"/>
      <c r="H534" s="27" t="n"/>
    </row>
    <row r="535" ht="17.25" customHeight="1" s="322">
      <c r="A535" s="27" t="n"/>
      <c r="B535" s="506" t="n"/>
      <c r="C535" s="141" t="n"/>
      <c r="D535" s="141" t="n"/>
      <c r="E535" s="141" t="n"/>
      <c r="F535" s="141" t="n"/>
      <c r="G535" s="143" t="n"/>
      <c r="H535" s="27" t="n"/>
    </row>
    <row r="536" ht="17.25" customHeight="1" s="322">
      <c r="A536" s="27" t="n"/>
      <c r="B536" s="506" t="n"/>
      <c r="C536" s="141" t="n"/>
      <c r="D536" s="141" t="n"/>
      <c r="E536" s="141" t="n"/>
      <c r="F536" s="141" t="n"/>
      <c r="G536" s="143" t="n"/>
      <c r="H536" s="27" t="n"/>
    </row>
    <row r="537" ht="17.25" customHeight="1" s="322">
      <c r="A537" s="27" t="n"/>
      <c r="B537" s="506" t="n"/>
      <c r="C537" s="141" t="n"/>
      <c r="D537" s="141" t="n"/>
      <c r="E537" s="141" t="n"/>
      <c r="F537" s="141" t="n"/>
      <c r="G537" s="143" t="n"/>
      <c r="H537" s="27" t="n"/>
    </row>
    <row r="538" ht="17.25" customHeight="1" s="322">
      <c r="A538" s="27" t="n"/>
      <c r="B538" s="506" t="n"/>
      <c r="C538" s="141" t="n"/>
      <c r="D538" s="141" t="n"/>
      <c r="E538" s="141" t="n"/>
      <c r="F538" s="141" t="n"/>
      <c r="G538" s="143" t="n"/>
      <c r="H538" s="27" t="n"/>
    </row>
    <row r="539" ht="17.25" customHeight="1" s="322">
      <c r="A539" s="27" t="n"/>
      <c r="B539" s="506" t="n"/>
      <c r="C539" s="141" t="n"/>
      <c r="D539" s="141" t="n"/>
      <c r="E539" s="141" t="n"/>
      <c r="F539" s="141" t="n"/>
      <c r="G539" s="143" t="n"/>
      <c r="H539" s="27" t="n"/>
    </row>
    <row r="540" ht="17.25" customHeight="1" s="322">
      <c r="A540" s="27" t="n"/>
      <c r="B540" s="506" t="n"/>
      <c r="C540" s="141" t="n"/>
      <c r="D540" s="141" t="n"/>
      <c r="E540" s="141" t="n"/>
      <c r="F540" s="141" t="n"/>
      <c r="G540" s="143" t="n"/>
      <c r="H540" s="27" t="n"/>
    </row>
    <row r="541" ht="17.25" customHeight="1" s="322">
      <c r="A541" s="27" t="n"/>
      <c r="B541" s="506" t="n"/>
      <c r="C541" s="141" t="n"/>
      <c r="D541" s="141" t="n"/>
      <c r="E541" s="141" t="n"/>
      <c r="F541" s="141" t="n"/>
      <c r="G541" s="143" t="n"/>
      <c r="H541" s="27" t="n"/>
    </row>
    <row r="542" ht="17.25" customHeight="1" s="322">
      <c r="A542" s="27" t="n"/>
      <c r="B542" s="506" t="n"/>
      <c r="C542" s="141" t="n"/>
      <c r="D542" s="141" t="n"/>
      <c r="E542" s="141" t="n"/>
      <c r="F542" s="141" t="n"/>
      <c r="G542" s="143" t="n"/>
      <c r="H542" s="27" t="n"/>
    </row>
    <row r="543" ht="17.25" customHeight="1" s="322">
      <c r="A543" s="27" t="n"/>
      <c r="B543" s="506" t="n"/>
      <c r="C543" s="141" t="n"/>
      <c r="D543" s="141" t="n"/>
      <c r="E543" s="141" t="n"/>
      <c r="F543" s="141" t="n"/>
      <c r="G543" s="143" t="n"/>
      <c r="H543" s="27" t="n"/>
    </row>
    <row r="544" ht="17.25" customHeight="1" s="322">
      <c r="A544" s="27" t="n"/>
      <c r="B544" s="506" t="n"/>
      <c r="C544" s="141" t="n"/>
      <c r="D544" s="141" t="n"/>
      <c r="E544" s="141" t="n"/>
      <c r="F544" s="141" t="n"/>
      <c r="G544" s="143" t="n"/>
      <c r="H544" s="27" t="n"/>
    </row>
    <row r="545" ht="17.25" customHeight="1" s="322">
      <c r="A545" s="27" t="n"/>
      <c r="B545" s="506" t="n"/>
      <c r="C545" s="141" t="n"/>
      <c r="D545" s="141" t="n"/>
      <c r="E545" s="141" t="n"/>
      <c r="F545" s="141" t="n"/>
      <c r="G545" s="143" t="n"/>
      <c r="H545" s="27" t="n"/>
    </row>
    <row r="546" ht="17.25" customHeight="1" s="322">
      <c r="A546" s="27" t="n"/>
      <c r="B546" s="506" t="n"/>
      <c r="C546" s="141" t="n"/>
      <c r="D546" s="141" t="n"/>
      <c r="E546" s="141" t="n"/>
      <c r="F546" s="141" t="n"/>
      <c r="G546" s="143" t="n"/>
      <c r="H546" s="27" t="n"/>
    </row>
    <row r="547" ht="17.25" customHeight="1" s="322">
      <c r="A547" s="27" t="n"/>
      <c r="B547" s="506" t="n"/>
      <c r="C547" s="141" t="n"/>
      <c r="D547" s="141" t="n"/>
      <c r="E547" s="141" t="n"/>
      <c r="F547" s="141" t="n"/>
      <c r="G547" s="143" t="n"/>
      <c r="H547" s="27" t="n"/>
    </row>
    <row r="548" ht="17.25" customHeight="1" s="322">
      <c r="A548" s="27" t="n"/>
      <c r="B548" s="506" t="n"/>
      <c r="C548" s="141" t="n"/>
      <c r="D548" s="141" t="n"/>
      <c r="E548" s="141" t="n"/>
      <c r="F548" s="141" t="n"/>
      <c r="G548" s="143" t="n"/>
      <c r="H548" s="27" t="n"/>
    </row>
    <row r="549" ht="17.25" customHeight="1" s="322">
      <c r="A549" s="27" t="n"/>
      <c r="B549" s="506" t="n"/>
      <c r="C549" s="141" t="n"/>
      <c r="D549" s="141" t="n"/>
      <c r="E549" s="141" t="n"/>
      <c r="F549" s="141" t="n"/>
      <c r="G549" s="143" t="n"/>
      <c r="H549" s="27" t="n"/>
    </row>
    <row r="550" ht="17.25" customHeight="1" s="322">
      <c r="A550" s="27" t="n"/>
      <c r="B550" s="506" t="n"/>
      <c r="C550" s="141" t="n"/>
      <c r="D550" s="141" t="n"/>
      <c r="E550" s="141" t="n"/>
      <c r="F550" s="141" t="n"/>
      <c r="G550" s="143" t="n"/>
      <c r="H550" s="27" t="n"/>
    </row>
    <row r="551" ht="17.25" customHeight="1" s="322">
      <c r="A551" s="27" t="n"/>
      <c r="B551" s="506" t="n"/>
      <c r="C551" s="141" t="n"/>
      <c r="D551" s="141" t="n"/>
      <c r="E551" s="141" t="n"/>
      <c r="F551" s="141" t="n"/>
      <c r="G551" s="143" t="n"/>
      <c r="H551" s="27" t="n"/>
    </row>
    <row r="552" ht="17.25" customHeight="1" s="322">
      <c r="A552" s="27" t="n"/>
      <c r="B552" s="506" t="n"/>
      <c r="C552" s="141" t="n"/>
      <c r="D552" s="141" t="n"/>
      <c r="E552" s="141" t="n"/>
      <c r="F552" s="141" t="n"/>
      <c r="G552" s="143" t="n"/>
      <c r="H552" s="27" t="n"/>
    </row>
    <row r="553" ht="17.25" customHeight="1" s="322">
      <c r="A553" s="27" t="n"/>
      <c r="B553" s="506" t="n"/>
      <c r="C553" s="141" t="n"/>
      <c r="D553" s="141" t="n"/>
      <c r="E553" s="141" t="n"/>
      <c r="F553" s="141" t="n"/>
      <c r="G553" s="143" t="n"/>
      <c r="H553" s="27" t="n"/>
    </row>
    <row r="554" ht="17.25" customHeight="1" s="322">
      <c r="A554" s="27" t="n"/>
      <c r="B554" s="506" t="n"/>
      <c r="C554" s="141" t="n"/>
      <c r="D554" s="141" t="n"/>
      <c r="E554" s="141" t="n"/>
      <c r="F554" s="141" t="n"/>
      <c r="G554" s="143" t="n"/>
      <c r="H554" s="27" t="n"/>
    </row>
    <row r="555" ht="17.25" customHeight="1" s="322">
      <c r="A555" s="27" t="n"/>
      <c r="B555" s="506" t="n"/>
      <c r="C555" s="141" t="n"/>
      <c r="D555" s="141" t="n"/>
      <c r="E555" s="141" t="n"/>
      <c r="F555" s="141" t="n"/>
      <c r="G555" s="143" t="n"/>
      <c r="H555" s="27" t="n"/>
    </row>
    <row r="556" ht="17.25" customHeight="1" s="322">
      <c r="A556" s="27" t="n"/>
      <c r="B556" s="506" t="n"/>
      <c r="C556" s="141" t="n"/>
      <c r="D556" s="141" t="n"/>
      <c r="E556" s="141" t="n"/>
      <c r="F556" s="141" t="n"/>
      <c r="G556" s="143" t="n"/>
      <c r="H556" s="27" t="n"/>
    </row>
    <row r="557" ht="17.25" customHeight="1" s="322">
      <c r="A557" s="27" t="n"/>
      <c r="B557" s="506" t="n"/>
      <c r="C557" s="141" t="n"/>
      <c r="D557" s="141" t="n"/>
      <c r="E557" s="141" t="n"/>
      <c r="F557" s="141" t="n"/>
      <c r="G557" s="143" t="n"/>
      <c r="H557" s="27" t="n"/>
    </row>
    <row r="558" ht="17.25" customHeight="1" s="322">
      <c r="A558" s="27" t="n"/>
      <c r="B558" s="506" t="n"/>
      <c r="C558" s="141" t="n"/>
      <c r="D558" s="141" t="n"/>
      <c r="E558" s="141" t="n"/>
      <c r="F558" s="141" t="n"/>
      <c r="G558" s="143" t="n"/>
      <c r="H558" s="27" t="n"/>
    </row>
    <row r="559" ht="17.25" customHeight="1" s="322">
      <c r="A559" s="27" t="n"/>
      <c r="B559" s="506" t="n"/>
      <c r="C559" s="141" t="n"/>
      <c r="D559" s="141" t="n"/>
      <c r="E559" s="141" t="n"/>
      <c r="F559" s="141" t="n"/>
      <c r="G559" s="143" t="n"/>
      <c r="H559" s="27" t="n"/>
    </row>
    <row r="560" ht="17.25" customHeight="1" s="322">
      <c r="A560" s="27" t="n"/>
      <c r="B560" s="506" t="n"/>
      <c r="C560" s="141" t="n"/>
      <c r="D560" s="141" t="n"/>
      <c r="E560" s="141" t="n"/>
      <c r="F560" s="141" t="n"/>
      <c r="G560" s="143" t="n"/>
      <c r="H560" s="27" t="n"/>
    </row>
    <row r="561" ht="17.25" customHeight="1" s="322">
      <c r="A561" s="27" t="n"/>
      <c r="B561" s="506" t="n"/>
      <c r="C561" s="141" t="n"/>
      <c r="D561" s="141" t="n"/>
      <c r="E561" s="141" t="n"/>
      <c r="F561" s="141" t="n"/>
      <c r="G561" s="143" t="n"/>
      <c r="H561" s="27" t="n"/>
    </row>
    <row r="562" ht="17.25" customHeight="1" s="322">
      <c r="A562" s="27" t="n"/>
      <c r="B562" s="506" t="n"/>
      <c r="C562" s="141" t="n"/>
      <c r="D562" s="141" t="n"/>
      <c r="E562" s="141" t="n"/>
      <c r="F562" s="141" t="n"/>
      <c r="G562" s="143" t="n"/>
      <c r="H562" s="27" t="n"/>
    </row>
    <row r="563" ht="17.25" customHeight="1" s="322">
      <c r="A563" s="27" t="n"/>
      <c r="B563" s="506" t="n"/>
      <c r="C563" s="141" t="n"/>
      <c r="D563" s="141" t="n"/>
      <c r="E563" s="141" t="n"/>
      <c r="F563" s="141" t="n"/>
      <c r="G563" s="143" t="n"/>
      <c r="H563" s="27" t="n"/>
    </row>
    <row r="564" ht="17.25" customHeight="1" s="322">
      <c r="A564" s="27" t="n"/>
      <c r="B564" s="506" t="n"/>
      <c r="C564" s="141" t="n"/>
      <c r="D564" s="141" t="n"/>
      <c r="E564" s="141" t="n"/>
      <c r="F564" s="141" t="n"/>
      <c r="G564" s="143" t="n"/>
      <c r="H564" s="27" t="n"/>
    </row>
    <row r="565" ht="17.25" customHeight="1" s="322">
      <c r="A565" s="27" t="n"/>
      <c r="B565" s="506" t="n"/>
      <c r="C565" s="141" t="n"/>
      <c r="D565" s="141" t="n"/>
      <c r="E565" s="141" t="n"/>
      <c r="F565" s="141" t="n"/>
      <c r="G565" s="143" t="n"/>
      <c r="H565" s="27" t="n"/>
    </row>
    <row r="566" ht="17.25" customHeight="1" s="322">
      <c r="A566" s="27" t="n"/>
      <c r="B566" s="506" t="n"/>
      <c r="C566" s="141" t="n"/>
      <c r="D566" s="141" t="n"/>
      <c r="E566" s="141" t="n"/>
      <c r="F566" s="141" t="n"/>
      <c r="G566" s="143" t="n"/>
      <c r="H566" s="27" t="n"/>
    </row>
    <row r="567" ht="17.25" customHeight="1" s="322">
      <c r="A567" s="27" t="n"/>
      <c r="B567" s="506" t="n"/>
      <c r="C567" s="141" t="n"/>
      <c r="D567" s="141" t="n"/>
      <c r="E567" s="141" t="n"/>
      <c r="F567" s="141" t="n"/>
      <c r="G567" s="143" t="n"/>
      <c r="H567" s="27" t="n"/>
    </row>
    <row r="568" ht="17.25" customHeight="1" s="322">
      <c r="A568" s="27" t="n"/>
      <c r="B568" s="506" t="n"/>
      <c r="C568" s="141" t="n"/>
      <c r="D568" s="141" t="n"/>
      <c r="E568" s="141" t="n"/>
      <c r="F568" s="141" t="n"/>
      <c r="G568" s="143" t="n"/>
      <c r="H568" s="27" t="n"/>
    </row>
    <row r="569" ht="17.25" customHeight="1" s="322">
      <c r="A569" s="27" t="n"/>
      <c r="B569" s="506" t="n"/>
      <c r="C569" s="141" t="n"/>
      <c r="D569" s="141" t="n"/>
      <c r="E569" s="141" t="n"/>
      <c r="F569" s="141" t="n"/>
      <c r="G569" s="143" t="n"/>
      <c r="H569" s="27" t="n"/>
    </row>
    <row r="570" ht="17.25" customHeight="1" s="322">
      <c r="A570" s="27" t="n"/>
      <c r="B570" s="506" t="n"/>
      <c r="C570" s="141" t="n"/>
      <c r="D570" s="141" t="n"/>
      <c r="E570" s="141" t="n"/>
      <c r="F570" s="141" t="n"/>
      <c r="G570" s="143" t="n"/>
      <c r="H570" s="27" t="n"/>
    </row>
    <row r="571" ht="17.25" customHeight="1" s="322">
      <c r="A571" s="27" t="n"/>
      <c r="B571" s="506" t="n"/>
      <c r="C571" s="141" t="n"/>
      <c r="D571" s="141" t="n"/>
      <c r="E571" s="141" t="n"/>
      <c r="F571" s="141" t="n"/>
      <c r="G571" s="143" t="n"/>
      <c r="H571" s="27" t="n"/>
    </row>
    <row r="572" ht="17.25" customHeight="1" s="322">
      <c r="A572" s="27" t="n"/>
      <c r="B572" s="506" t="n"/>
      <c r="C572" s="141" t="n"/>
      <c r="D572" s="141" t="n"/>
      <c r="E572" s="141" t="n"/>
      <c r="F572" s="141" t="n"/>
      <c r="G572" s="143" t="n"/>
      <c r="H572" s="27" t="n"/>
    </row>
    <row r="573" ht="17.25" customHeight="1" s="322">
      <c r="A573" s="27" t="n"/>
      <c r="B573" s="506" t="n"/>
      <c r="C573" s="141" t="n"/>
      <c r="D573" s="141" t="n"/>
      <c r="E573" s="141" t="n"/>
      <c r="F573" s="141" t="n"/>
      <c r="G573" s="143" t="n"/>
      <c r="H573" s="27" t="n"/>
    </row>
    <row r="574" ht="17.25" customHeight="1" s="322">
      <c r="A574" s="27" t="n"/>
      <c r="B574" s="506" t="n"/>
      <c r="C574" s="141" t="n"/>
      <c r="D574" s="141" t="n"/>
      <c r="E574" s="141" t="n"/>
      <c r="F574" s="141" t="n"/>
      <c r="G574" s="143" t="n"/>
      <c r="H574" s="27" t="n"/>
    </row>
    <row r="575" ht="17.25" customHeight="1" s="322">
      <c r="A575" s="27" t="n"/>
      <c r="B575" s="506" t="n"/>
      <c r="C575" s="141" t="n"/>
      <c r="D575" s="141" t="n"/>
      <c r="E575" s="141" t="n"/>
      <c r="F575" s="141" t="n"/>
      <c r="G575" s="143" t="n"/>
      <c r="H575" s="27" t="n"/>
    </row>
    <row r="576" ht="17.25" customHeight="1" s="322">
      <c r="A576" s="27" t="n"/>
      <c r="B576" s="506" t="n"/>
      <c r="C576" s="141" t="n"/>
      <c r="D576" s="141" t="n"/>
      <c r="E576" s="141" t="n"/>
      <c r="F576" s="141" t="n"/>
      <c r="G576" s="143" t="n"/>
      <c r="H576" s="27" t="n"/>
    </row>
    <row r="577" ht="17.25" customHeight="1" s="322">
      <c r="A577" s="27" t="n"/>
      <c r="B577" s="506" t="n"/>
      <c r="C577" s="141" t="n"/>
      <c r="D577" s="141" t="n"/>
      <c r="E577" s="141" t="n"/>
      <c r="F577" s="141" t="n"/>
      <c r="G577" s="143" t="n"/>
      <c r="H577" s="27" t="n"/>
    </row>
    <row r="578" ht="17.25" customHeight="1" s="322">
      <c r="A578" s="27" t="n"/>
      <c r="B578" s="506" t="n"/>
      <c r="C578" s="141" t="n"/>
      <c r="D578" s="141" t="n"/>
      <c r="E578" s="141" t="n"/>
      <c r="F578" s="141" t="n"/>
      <c r="G578" s="143" t="n"/>
      <c r="H578" s="27" t="n"/>
    </row>
    <row r="579" ht="17.25" customHeight="1" s="322">
      <c r="A579" s="27" t="n"/>
      <c r="B579" s="506" t="n"/>
      <c r="C579" s="141" t="n"/>
      <c r="D579" s="141" t="n"/>
      <c r="E579" s="141" t="n"/>
      <c r="F579" s="141" t="n"/>
      <c r="G579" s="143" t="n"/>
      <c r="H579" s="27" t="n"/>
    </row>
    <row r="580" ht="17.25" customHeight="1" s="322">
      <c r="A580" s="27" t="n"/>
      <c r="B580" s="506" t="n"/>
      <c r="C580" s="141" t="n"/>
      <c r="D580" s="141" t="n"/>
      <c r="E580" s="141" t="n"/>
      <c r="F580" s="141" t="n"/>
      <c r="G580" s="143" t="n"/>
      <c r="H580" s="27" t="n"/>
    </row>
    <row r="581" ht="17.25" customHeight="1" s="322">
      <c r="A581" s="27" t="n"/>
      <c r="B581" s="506" t="n"/>
      <c r="C581" s="141" t="n"/>
      <c r="D581" s="141" t="n"/>
      <c r="E581" s="141" t="n"/>
      <c r="F581" s="141" t="n"/>
      <c r="G581" s="143" t="n"/>
      <c r="H581" s="27" t="n"/>
    </row>
    <row r="582" ht="17.25" customHeight="1" s="322">
      <c r="A582" s="27" t="n"/>
      <c r="B582" s="506" t="n"/>
      <c r="C582" s="141" t="n"/>
      <c r="D582" s="141" t="n"/>
      <c r="E582" s="141" t="n"/>
      <c r="F582" s="141" t="n"/>
      <c r="G582" s="143" t="n"/>
      <c r="H582" s="27" t="n"/>
    </row>
    <row r="583" ht="17.25" customHeight="1" s="322">
      <c r="A583" s="27" t="n"/>
      <c r="B583" s="506" t="n"/>
      <c r="C583" s="141" t="n"/>
      <c r="D583" s="141" t="n"/>
      <c r="E583" s="141" t="n"/>
      <c r="F583" s="141" t="n"/>
      <c r="G583" s="143" t="n"/>
      <c r="H583" s="27" t="n"/>
    </row>
    <row r="584" ht="17.25" customHeight="1" s="322">
      <c r="A584" s="27" t="n"/>
      <c r="B584" s="506" t="n"/>
      <c r="C584" s="141" t="n"/>
      <c r="D584" s="141" t="n"/>
      <c r="E584" s="141" t="n"/>
      <c r="F584" s="141" t="n"/>
      <c r="G584" s="143" t="n"/>
      <c r="H584" s="27" t="n"/>
    </row>
    <row r="585" ht="17.25" customHeight="1" s="322">
      <c r="A585" s="27" t="n"/>
      <c r="B585" s="506" t="n"/>
      <c r="C585" s="141" t="n"/>
      <c r="D585" s="141" t="n"/>
      <c r="E585" s="141" t="n"/>
      <c r="F585" s="141" t="n"/>
      <c r="G585" s="143" t="n"/>
      <c r="H585" s="27" t="n"/>
    </row>
    <row r="586" ht="17.25" customHeight="1" s="322">
      <c r="A586" s="27" t="n"/>
      <c r="B586" s="506" t="n"/>
      <c r="C586" s="141" t="n"/>
      <c r="D586" s="141" t="n"/>
      <c r="E586" s="141" t="n"/>
      <c r="F586" s="141" t="n"/>
      <c r="G586" s="143" t="n"/>
      <c r="H586" s="27" t="n"/>
    </row>
    <row r="587" ht="17.25" customHeight="1" s="322">
      <c r="A587" s="27" t="n"/>
      <c r="B587" s="506" t="n"/>
      <c r="C587" s="141" t="n"/>
      <c r="D587" s="141" t="n"/>
      <c r="E587" s="141" t="n"/>
      <c r="F587" s="141" t="n"/>
      <c r="G587" s="143" t="n"/>
      <c r="H587" s="27" t="n"/>
    </row>
    <row r="588" ht="17.25" customHeight="1" s="322">
      <c r="A588" s="27" t="n"/>
      <c r="B588" s="506" t="n"/>
      <c r="C588" s="141" t="n"/>
      <c r="D588" s="141" t="n"/>
      <c r="E588" s="141" t="n"/>
      <c r="F588" s="141" t="n"/>
      <c r="G588" s="143" t="n"/>
      <c r="H588" s="27" t="n"/>
    </row>
    <row r="589" ht="17.25" customHeight="1" s="322">
      <c r="A589" s="27" t="n"/>
      <c r="B589" s="506" t="n"/>
      <c r="C589" s="141" t="n"/>
      <c r="D589" s="141" t="n"/>
      <c r="E589" s="141" t="n"/>
      <c r="F589" s="141" t="n"/>
      <c r="G589" s="143" t="n"/>
      <c r="H589" s="27" t="n"/>
    </row>
    <row r="590" ht="17.25" customHeight="1" s="322">
      <c r="A590" s="27" t="n"/>
      <c r="B590" s="506" t="n"/>
      <c r="C590" s="141" t="n"/>
      <c r="D590" s="141" t="n"/>
      <c r="E590" s="141" t="n"/>
      <c r="F590" s="141" t="n"/>
      <c r="G590" s="143" t="n"/>
      <c r="H590" s="27" t="n"/>
    </row>
    <row r="591" ht="17.25" customHeight="1" s="322">
      <c r="A591" s="27" t="n"/>
      <c r="B591" s="506" t="n"/>
      <c r="C591" s="141" t="n"/>
      <c r="D591" s="141" t="n"/>
      <c r="E591" s="141" t="n"/>
      <c r="F591" s="141" t="n"/>
      <c r="G591" s="143" t="n"/>
      <c r="H591" s="27" t="n"/>
    </row>
    <row r="592" ht="17.25" customHeight="1" s="322">
      <c r="A592" s="27" t="n"/>
      <c r="B592" s="506" t="n"/>
      <c r="C592" s="141" t="n"/>
      <c r="D592" s="141" t="n"/>
      <c r="E592" s="141" t="n"/>
      <c r="F592" s="141" t="n"/>
      <c r="G592" s="143" t="n"/>
      <c r="H592" s="27" t="n"/>
    </row>
    <row r="593" ht="17.25" customHeight="1" s="322">
      <c r="A593" s="27" t="n"/>
      <c r="B593" s="506" t="n"/>
      <c r="C593" s="141" t="n"/>
      <c r="D593" s="141" t="n"/>
      <c r="E593" s="141" t="n"/>
      <c r="F593" s="141" t="n"/>
      <c r="G593" s="143" t="n"/>
      <c r="H593" s="27" t="n"/>
    </row>
    <row r="594" ht="17.25" customHeight="1" s="322">
      <c r="A594" s="27" t="n"/>
      <c r="B594" s="506" t="n"/>
      <c r="C594" s="141" t="n"/>
      <c r="D594" s="141" t="n"/>
      <c r="E594" s="141" t="n"/>
      <c r="F594" s="141" t="n"/>
      <c r="G594" s="143" t="n"/>
      <c r="H594" s="27" t="n"/>
    </row>
    <row r="595" ht="17.25" customHeight="1" s="322">
      <c r="A595" s="27" t="n"/>
      <c r="B595" s="506" t="n"/>
      <c r="C595" s="141" t="n"/>
      <c r="D595" s="141" t="n"/>
      <c r="E595" s="141" t="n"/>
      <c r="F595" s="141" t="n"/>
      <c r="G595" s="143" t="n"/>
      <c r="H595" s="27" t="n"/>
    </row>
    <row r="596" ht="17.25" customHeight="1" s="322">
      <c r="A596" s="27" t="n"/>
      <c r="B596" s="506" t="n"/>
      <c r="C596" s="141" t="n"/>
      <c r="D596" s="141" t="n"/>
      <c r="E596" s="141" t="n"/>
      <c r="F596" s="141" t="n"/>
      <c r="G596" s="143" t="n"/>
      <c r="H596" s="27" t="n"/>
    </row>
    <row r="597" ht="17.25" customHeight="1" s="322">
      <c r="A597" s="27" t="n"/>
      <c r="B597" s="506" t="n"/>
      <c r="C597" s="141" t="n"/>
      <c r="D597" s="141" t="n"/>
      <c r="E597" s="141" t="n"/>
      <c r="F597" s="141" t="n"/>
      <c r="G597" s="143" t="n"/>
      <c r="H597" s="27" t="n"/>
    </row>
    <row r="598" ht="17.25" customHeight="1" s="322">
      <c r="A598" s="27" t="n"/>
      <c r="B598" s="506" t="n"/>
      <c r="C598" s="141" t="n"/>
      <c r="D598" s="141" t="n"/>
      <c r="E598" s="141" t="n"/>
      <c r="F598" s="141" t="n"/>
      <c r="G598" s="143" t="n"/>
      <c r="H598" s="27" t="n"/>
    </row>
    <row r="599" ht="17.25" customHeight="1" s="322">
      <c r="A599" s="27" t="n"/>
      <c r="B599" s="506" t="n"/>
      <c r="C599" s="141" t="n"/>
      <c r="D599" s="141" t="n"/>
      <c r="E599" s="141" t="n"/>
      <c r="F599" s="141" t="n"/>
      <c r="G599" s="143" t="n"/>
      <c r="H599" s="27" t="n"/>
    </row>
    <row r="600" ht="17.25" customHeight="1" s="322">
      <c r="A600" s="27" t="n"/>
      <c r="B600" s="506" t="n"/>
      <c r="C600" s="141" t="n"/>
      <c r="D600" s="141" t="n"/>
      <c r="E600" s="141" t="n"/>
      <c r="F600" s="141" t="n"/>
      <c r="G600" s="143" t="n"/>
      <c r="H600" s="27" t="n"/>
    </row>
    <row r="601" ht="17.25" customHeight="1" s="322">
      <c r="A601" s="27" t="n"/>
      <c r="B601" s="506" t="n"/>
      <c r="C601" s="141" t="n"/>
      <c r="D601" s="141" t="n"/>
      <c r="E601" s="141" t="n"/>
      <c r="F601" s="141" t="n"/>
      <c r="G601" s="143" t="n"/>
      <c r="H601" s="27" t="n"/>
    </row>
    <row r="602" ht="17.25" customHeight="1" s="322">
      <c r="A602" s="27" t="n"/>
      <c r="B602" s="506" t="n"/>
      <c r="C602" s="141" t="n"/>
      <c r="D602" s="141" t="n"/>
      <c r="E602" s="141" t="n"/>
      <c r="F602" s="141" t="n"/>
      <c r="G602" s="143" t="n"/>
      <c r="H602" s="27" t="n"/>
    </row>
    <row r="603" ht="17.25" customHeight="1" s="322">
      <c r="A603" s="27" t="n"/>
      <c r="B603" s="506" t="n"/>
      <c r="C603" s="141" t="n"/>
      <c r="D603" s="141" t="n"/>
      <c r="E603" s="141" t="n"/>
      <c r="F603" s="141" t="n"/>
      <c r="G603" s="143" t="n"/>
      <c r="H603" s="27" t="n"/>
    </row>
    <row r="604" ht="17.25" customHeight="1" s="322">
      <c r="A604" s="27" t="n"/>
      <c r="B604" s="506" t="n"/>
      <c r="C604" s="141" t="n"/>
      <c r="D604" s="141" t="n"/>
      <c r="E604" s="141" t="n"/>
      <c r="F604" s="141" t="n"/>
      <c r="G604" s="143" t="n"/>
      <c r="H604" s="27" t="n"/>
    </row>
    <row r="605" ht="17.25" customHeight="1" s="322">
      <c r="A605" s="27" t="n"/>
      <c r="B605" s="506" t="n"/>
      <c r="C605" s="141" t="n"/>
      <c r="D605" s="141" t="n"/>
      <c r="E605" s="141" t="n"/>
      <c r="F605" s="141" t="n"/>
      <c r="G605" s="143" t="n"/>
      <c r="H605" s="27" t="n"/>
    </row>
    <row r="606" ht="17.25" customHeight="1" s="322">
      <c r="A606" s="27" t="n"/>
      <c r="B606" s="506" t="n"/>
      <c r="C606" s="141" t="n"/>
      <c r="D606" s="141" t="n"/>
      <c r="E606" s="141" t="n"/>
      <c r="F606" s="141" t="n"/>
      <c r="G606" s="143" t="n"/>
      <c r="H606" s="27" t="n"/>
    </row>
    <row r="607" ht="17.25" customHeight="1" s="322">
      <c r="A607" s="27" t="n"/>
      <c r="B607" s="506" t="n"/>
      <c r="C607" s="141" t="n"/>
      <c r="D607" s="141" t="n"/>
      <c r="E607" s="141" t="n"/>
      <c r="F607" s="141" t="n"/>
      <c r="G607" s="143" t="n"/>
      <c r="H607" s="27" t="n"/>
    </row>
    <row r="608" ht="17.25" customHeight="1" s="322">
      <c r="A608" s="27" t="n"/>
      <c r="B608" s="506" t="n"/>
      <c r="C608" s="141" t="n"/>
      <c r="D608" s="141" t="n"/>
      <c r="E608" s="141" t="n"/>
      <c r="F608" s="141" t="n"/>
      <c r="G608" s="143" t="n"/>
      <c r="H608" s="27" t="n"/>
    </row>
    <row r="609" ht="17.25" customHeight="1" s="322">
      <c r="A609" s="27" t="n"/>
      <c r="B609" s="506" t="n"/>
      <c r="C609" s="141" t="n"/>
      <c r="D609" s="141" t="n"/>
      <c r="E609" s="141" t="n"/>
      <c r="F609" s="141" t="n"/>
      <c r="G609" s="143" t="n"/>
      <c r="H609" s="27" t="n"/>
    </row>
    <row r="610" ht="17.25" customHeight="1" s="322">
      <c r="A610" s="27" t="n"/>
      <c r="B610" s="506" t="n"/>
      <c r="C610" s="141" t="n"/>
      <c r="D610" s="141" t="n"/>
      <c r="E610" s="141" t="n"/>
      <c r="F610" s="141" t="n"/>
      <c r="G610" s="143" t="n"/>
      <c r="H610" s="27" t="n"/>
    </row>
    <row r="611" ht="17.25" customHeight="1" s="322">
      <c r="A611" s="27" t="n"/>
      <c r="B611" s="506" t="n"/>
      <c r="C611" s="141" t="n"/>
      <c r="D611" s="141" t="n"/>
      <c r="E611" s="141" t="n"/>
      <c r="F611" s="141" t="n"/>
      <c r="G611" s="143" t="n"/>
      <c r="H611" s="27" t="n"/>
    </row>
    <row r="612" ht="17.25" customHeight="1" s="322">
      <c r="A612" s="27" t="n"/>
      <c r="B612" s="506" t="n"/>
      <c r="C612" s="141" t="n"/>
      <c r="D612" s="141" t="n"/>
      <c r="E612" s="141" t="n"/>
      <c r="F612" s="141" t="n"/>
      <c r="G612" s="143" t="n"/>
      <c r="H612" s="27" t="n"/>
    </row>
    <row r="613" ht="17.25" customHeight="1" s="322">
      <c r="A613" s="27" t="n"/>
      <c r="B613" s="506" t="n"/>
      <c r="C613" s="141" t="n"/>
      <c r="D613" s="141" t="n"/>
      <c r="E613" s="141" t="n"/>
      <c r="F613" s="141" t="n"/>
      <c r="G613" s="143" t="n"/>
      <c r="H613" s="27" t="n"/>
    </row>
    <row r="614" ht="17.25" customHeight="1" s="322">
      <c r="A614" s="27" t="n"/>
      <c r="B614" s="506" t="n"/>
      <c r="C614" s="141" t="n"/>
      <c r="D614" s="141" t="n"/>
      <c r="E614" s="141" t="n"/>
      <c r="F614" s="141" t="n"/>
      <c r="G614" s="143" t="n"/>
      <c r="H614" s="27" t="n"/>
    </row>
    <row r="615" ht="17.25" customHeight="1" s="322">
      <c r="A615" s="27" t="n"/>
      <c r="B615" s="506" t="n"/>
      <c r="C615" s="141" t="n"/>
      <c r="D615" s="141" t="n"/>
      <c r="E615" s="141" t="n"/>
      <c r="F615" s="141" t="n"/>
      <c r="G615" s="143" t="n"/>
      <c r="H615" s="27" t="n"/>
    </row>
    <row r="616" ht="17.25" customHeight="1" s="322">
      <c r="A616" s="27" t="n"/>
      <c r="B616" s="506" t="n"/>
      <c r="C616" s="141" t="n"/>
      <c r="D616" s="141" t="n"/>
      <c r="E616" s="141" t="n"/>
      <c r="F616" s="141" t="n"/>
      <c r="G616" s="143" t="n"/>
      <c r="H616" s="27" t="n"/>
    </row>
    <row r="617" ht="17.25" customHeight="1" s="322">
      <c r="A617" s="27" t="n"/>
      <c r="B617" s="506" t="n"/>
      <c r="C617" s="141" t="n"/>
      <c r="D617" s="141" t="n"/>
      <c r="E617" s="141" t="n"/>
      <c r="F617" s="141" t="n"/>
      <c r="G617" s="143" t="n"/>
      <c r="H617" s="27" t="n"/>
    </row>
    <row r="618" ht="17.25" customHeight="1" s="322">
      <c r="A618" s="27" t="n"/>
      <c r="B618" s="506" t="n"/>
      <c r="C618" s="141" t="n"/>
      <c r="D618" s="141" t="n"/>
      <c r="E618" s="141" t="n"/>
      <c r="F618" s="141" t="n"/>
      <c r="G618" s="143" t="n"/>
      <c r="H618" s="27" t="n"/>
    </row>
    <row r="619" ht="17.25" customHeight="1" s="322">
      <c r="A619" s="27" t="n"/>
      <c r="B619" s="506" t="n"/>
      <c r="C619" s="141" t="n"/>
      <c r="D619" s="141" t="n"/>
      <c r="E619" s="141" t="n"/>
      <c r="F619" s="141" t="n"/>
      <c r="G619" s="143" t="n"/>
      <c r="H619" s="27" t="n"/>
    </row>
    <row r="620" ht="17.25" customHeight="1" s="322">
      <c r="A620" s="27" t="n"/>
      <c r="B620" s="506" t="n"/>
      <c r="C620" s="141" t="n"/>
      <c r="D620" s="141" t="n"/>
      <c r="E620" s="141" t="n"/>
      <c r="F620" s="141" t="n"/>
      <c r="G620" s="143" t="n"/>
      <c r="H620" s="27" t="n"/>
    </row>
    <row r="621" ht="17.25" customHeight="1" s="322">
      <c r="A621" s="27" t="n"/>
      <c r="B621" s="506" t="n"/>
      <c r="C621" s="141" t="n"/>
      <c r="D621" s="141" t="n"/>
      <c r="E621" s="141" t="n"/>
      <c r="F621" s="141" t="n"/>
      <c r="G621" s="143" t="n"/>
      <c r="H621" s="27" t="n"/>
    </row>
    <row r="622" ht="17.25" customHeight="1" s="322">
      <c r="A622" s="27" t="n"/>
      <c r="B622" s="506" t="n"/>
      <c r="C622" s="141" t="n"/>
      <c r="D622" s="141" t="n"/>
      <c r="E622" s="141" t="n"/>
      <c r="F622" s="141" t="n"/>
      <c r="G622" s="143" t="n"/>
      <c r="H622" s="27" t="n"/>
    </row>
    <row r="623" ht="17.25" customHeight="1" s="322">
      <c r="A623" s="27" t="n"/>
      <c r="B623" s="506" t="n"/>
      <c r="C623" s="141" t="n"/>
      <c r="D623" s="141" t="n"/>
      <c r="E623" s="141" t="n"/>
      <c r="F623" s="141" t="n"/>
      <c r="G623" s="143" t="n"/>
      <c r="H623" s="27" t="n"/>
    </row>
    <row r="624" ht="17.25" customHeight="1" s="322">
      <c r="A624" s="27" t="n"/>
      <c r="B624" s="506" t="n"/>
      <c r="C624" s="141" t="n"/>
      <c r="D624" s="141" t="n"/>
      <c r="E624" s="141" t="n"/>
      <c r="F624" s="141" t="n"/>
      <c r="G624" s="143" t="n"/>
      <c r="H624" s="27" t="n"/>
    </row>
    <row r="625" ht="17.25" customHeight="1" s="322">
      <c r="A625" s="27" t="n"/>
      <c r="B625" s="506" t="n"/>
      <c r="C625" s="141" t="n"/>
      <c r="D625" s="141" t="n"/>
      <c r="E625" s="141" t="n"/>
      <c r="F625" s="141" t="n"/>
      <c r="G625" s="143" t="n"/>
      <c r="H625" s="27" t="n"/>
    </row>
    <row r="626" ht="17.25" customHeight="1" s="322">
      <c r="A626" s="27" t="n"/>
      <c r="B626" s="506" t="n"/>
      <c r="C626" s="141" t="n"/>
      <c r="D626" s="141" t="n"/>
      <c r="E626" s="141" t="n"/>
      <c r="F626" s="141" t="n"/>
      <c r="G626" s="143" t="n"/>
      <c r="H626" s="27" t="n"/>
    </row>
    <row r="627" ht="17.25" customHeight="1" s="322">
      <c r="A627" s="27" t="n"/>
      <c r="B627" s="506" t="n"/>
      <c r="C627" s="141" t="n"/>
      <c r="D627" s="141" t="n"/>
      <c r="E627" s="141" t="n"/>
      <c r="F627" s="141" t="n"/>
      <c r="G627" s="143" t="n"/>
      <c r="H627" s="27" t="n"/>
    </row>
    <row r="628" ht="17.25" customHeight="1" s="322">
      <c r="A628" s="27" t="n"/>
      <c r="B628" s="506" t="n"/>
      <c r="C628" s="141" t="n"/>
      <c r="D628" s="141" t="n"/>
      <c r="E628" s="141" t="n"/>
      <c r="F628" s="141" t="n"/>
      <c r="G628" s="143" t="n"/>
      <c r="H628" s="27" t="n"/>
    </row>
    <row r="629" ht="17.25" customHeight="1" s="322">
      <c r="A629" s="27" t="n"/>
      <c r="B629" s="506" t="n"/>
      <c r="C629" s="141" t="n"/>
      <c r="D629" s="141" t="n"/>
      <c r="E629" s="141" t="n"/>
      <c r="F629" s="141" t="n"/>
      <c r="G629" s="143" t="n"/>
      <c r="H629" s="27" t="n"/>
    </row>
    <row r="630" ht="17.25" customHeight="1" s="322">
      <c r="A630" s="27" t="n"/>
      <c r="B630" s="506" t="n"/>
      <c r="C630" s="141" t="n"/>
      <c r="D630" s="141" t="n"/>
      <c r="E630" s="141" t="n"/>
      <c r="F630" s="141" t="n"/>
      <c r="G630" s="143" t="n"/>
      <c r="H630" s="27" t="n"/>
    </row>
    <row r="631" ht="17.25" customHeight="1" s="322">
      <c r="A631" s="27" t="n"/>
      <c r="B631" s="506" t="n"/>
      <c r="C631" s="141" t="n"/>
      <c r="D631" s="141" t="n"/>
      <c r="E631" s="141" t="n"/>
      <c r="F631" s="141" t="n"/>
      <c r="G631" s="143" t="n"/>
      <c r="H631" s="27" t="n"/>
    </row>
    <row r="632" ht="17.25" customHeight="1" s="322">
      <c r="A632" s="27" t="n"/>
      <c r="B632" s="506" t="n"/>
      <c r="C632" s="141" t="n"/>
      <c r="D632" s="141" t="n"/>
      <c r="E632" s="141" t="n"/>
      <c r="F632" s="141" t="n"/>
      <c r="G632" s="143" t="n"/>
      <c r="H632" s="27" t="n"/>
    </row>
    <row r="633" ht="17.25" customHeight="1" s="322">
      <c r="A633" s="27" t="n"/>
      <c r="B633" s="506" t="n"/>
      <c r="C633" s="141" t="n"/>
      <c r="D633" s="141" t="n"/>
      <c r="E633" s="141" t="n"/>
      <c r="F633" s="141" t="n"/>
      <c r="G633" s="143" t="n"/>
      <c r="H633" s="27" t="n"/>
    </row>
    <row r="634" ht="17.25" customHeight="1" s="322">
      <c r="A634" s="27" t="n"/>
      <c r="B634" s="506" t="n"/>
      <c r="C634" s="141" t="n"/>
      <c r="D634" s="141" t="n"/>
      <c r="E634" s="141" t="n"/>
      <c r="F634" s="141" t="n"/>
      <c r="G634" s="143" t="n"/>
      <c r="H634" s="27" t="n"/>
    </row>
    <row r="635" ht="17.25" customHeight="1" s="322">
      <c r="A635" s="27" t="n"/>
      <c r="B635" s="506" t="n"/>
      <c r="C635" s="141" t="n"/>
      <c r="D635" s="141" t="n"/>
      <c r="E635" s="141" t="n"/>
      <c r="F635" s="141" t="n"/>
      <c r="G635" s="143" t="n"/>
      <c r="H635" s="27" t="n"/>
    </row>
    <row r="636" ht="17.25" customHeight="1" s="322">
      <c r="A636" s="27" t="n"/>
      <c r="B636" s="506" t="n"/>
      <c r="C636" s="141" t="n"/>
      <c r="D636" s="141" t="n"/>
      <c r="E636" s="141" t="n"/>
      <c r="F636" s="141" t="n"/>
      <c r="G636" s="143" t="n"/>
      <c r="H636" s="27" t="n"/>
    </row>
    <row r="637" ht="17.25" customHeight="1" s="322">
      <c r="A637" s="27" t="n"/>
      <c r="B637" s="506" t="n"/>
      <c r="C637" s="141" t="n"/>
      <c r="D637" s="141" t="n"/>
      <c r="E637" s="141" t="n"/>
      <c r="F637" s="141" t="n"/>
      <c r="G637" s="143" t="n"/>
      <c r="H637" s="27" t="n"/>
    </row>
    <row r="638" ht="17.25" customHeight="1" s="322">
      <c r="A638" s="27" t="n"/>
      <c r="B638" s="506" t="n"/>
      <c r="C638" s="141" t="n"/>
      <c r="D638" s="141" t="n"/>
      <c r="E638" s="141" t="n"/>
      <c r="F638" s="141" t="n"/>
      <c r="G638" s="143" t="n"/>
      <c r="H638" s="27" t="n"/>
    </row>
    <row r="639" ht="17.25" customHeight="1" s="322">
      <c r="A639" s="27" t="n"/>
      <c r="B639" s="506" t="n"/>
      <c r="C639" s="141" t="n"/>
      <c r="D639" s="141" t="n"/>
      <c r="E639" s="141" t="n"/>
      <c r="F639" s="141" t="n"/>
      <c r="G639" s="143" t="n"/>
      <c r="H639" s="27" t="n"/>
    </row>
    <row r="640" ht="17.25" customHeight="1" s="322">
      <c r="A640" s="27" t="n"/>
      <c r="B640" s="506" t="n"/>
      <c r="C640" s="141" t="n"/>
      <c r="D640" s="141" t="n"/>
      <c r="E640" s="141" t="n"/>
      <c r="F640" s="141" t="n"/>
      <c r="G640" s="143" t="n"/>
      <c r="H640" s="27" t="n"/>
    </row>
    <row r="641" ht="17.25" customHeight="1" s="322">
      <c r="A641" s="27" t="n"/>
      <c r="B641" s="506" t="n"/>
      <c r="C641" s="141" t="n"/>
      <c r="D641" s="141" t="n"/>
      <c r="E641" s="141" t="n"/>
      <c r="F641" s="141" t="n"/>
      <c r="G641" s="143" t="n"/>
      <c r="H641" s="27" t="n"/>
    </row>
    <row r="642" ht="17.25" customHeight="1" s="322">
      <c r="A642" s="27" t="n"/>
      <c r="B642" s="506" t="n"/>
      <c r="C642" s="141" t="n"/>
      <c r="D642" s="141" t="n"/>
      <c r="E642" s="141" t="n"/>
      <c r="F642" s="141" t="n"/>
      <c r="G642" s="143" t="n"/>
      <c r="H642" s="27" t="n"/>
    </row>
    <row r="643" ht="17.25" customHeight="1" s="322">
      <c r="A643" s="27" t="n"/>
      <c r="B643" s="506" t="n"/>
      <c r="C643" s="141" t="n"/>
      <c r="D643" s="141" t="n"/>
      <c r="E643" s="141" t="n"/>
      <c r="F643" s="141" t="n"/>
      <c r="G643" s="143" t="n"/>
      <c r="H643" s="27" t="n"/>
    </row>
    <row r="644" ht="17.25" customHeight="1" s="322">
      <c r="A644" s="27" t="n"/>
      <c r="B644" s="506" t="n"/>
      <c r="C644" s="141" t="n"/>
      <c r="D644" s="141" t="n"/>
      <c r="E644" s="141" t="n"/>
      <c r="F644" s="141" t="n"/>
      <c r="G644" s="143" t="n"/>
      <c r="H644" s="27" t="n"/>
    </row>
    <row r="645" ht="17.25" customHeight="1" s="322">
      <c r="A645" s="27" t="n"/>
      <c r="B645" s="506" t="n"/>
      <c r="C645" s="141" t="n"/>
      <c r="D645" s="141" t="n"/>
      <c r="E645" s="141" t="n"/>
      <c r="F645" s="141" t="n"/>
      <c r="G645" s="143" t="n"/>
      <c r="H645" s="27" t="n"/>
    </row>
    <row r="646" ht="17.25" customHeight="1" s="322">
      <c r="A646" s="27" t="n"/>
      <c r="B646" s="506" t="n"/>
      <c r="C646" s="141" t="n"/>
      <c r="D646" s="141" t="n"/>
      <c r="E646" s="141" t="n"/>
      <c r="F646" s="141" t="n"/>
      <c r="G646" s="143" t="n"/>
      <c r="H646" s="27" t="n"/>
    </row>
    <row r="647" ht="17.25" customHeight="1" s="322">
      <c r="A647" s="27" t="n"/>
      <c r="B647" s="506" t="n"/>
      <c r="C647" s="141" t="n"/>
      <c r="D647" s="141" t="n"/>
      <c r="E647" s="141" t="n"/>
      <c r="F647" s="141" t="n"/>
      <c r="G647" s="143" t="n"/>
      <c r="H647" s="27" t="n"/>
    </row>
    <row r="648" ht="17.25" customHeight="1" s="322">
      <c r="A648" s="27" t="n"/>
      <c r="B648" s="506" t="n"/>
      <c r="C648" s="141" t="n"/>
      <c r="D648" s="141" t="n"/>
      <c r="E648" s="141" t="n"/>
      <c r="F648" s="141" t="n"/>
      <c r="G648" s="143" t="n"/>
      <c r="H648" s="27" t="n"/>
    </row>
    <row r="649" ht="17.25" customHeight="1" s="322">
      <c r="A649" s="27" t="n"/>
      <c r="B649" s="506" t="n"/>
      <c r="C649" s="141" t="n"/>
      <c r="D649" s="141" t="n"/>
      <c r="E649" s="141" t="n"/>
      <c r="F649" s="141" t="n"/>
      <c r="G649" s="143" t="n"/>
      <c r="H649" s="27" t="n"/>
    </row>
    <row r="650" ht="17.25" customHeight="1" s="322">
      <c r="A650" s="27" t="n"/>
      <c r="B650" s="506" t="n"/>
      <c r="C650" s="141" t="n"/>
      <c r="D650" s="141" t="n"/>
      <c r="E650" s="141" t="n"/>
      <c r="F650" s="141" t="n"/>
      <c r="G650" s="143" t="n"/>
      <c r="H650" s="27" t="n"/>
    </row>
    <row r="651" ht="17.25" customHeight="1" s="322">
      <c r="A651" s="27" t="n"/>
      <c r="B651" s="506" t="n"/>
      <c r="C651" s="141" t="n"/>
      <c r="D651" s="141" t="n"/>
      <c r="E651" s="141" t="n"/>
      <c r="F651" s="141" t="n"/>
      <c r="G651" s="143" t="n"/>
      <c r="H651" s="27" t="n"/>
    </row>
    <row r="652" ht="17.25" customHeight="1" s="322">
      <c r="A652" s="27" t="n"/>
      <c r="B652" s="506" t="n"/>
      <c r="C652" s="141" t="n"/>
      <c r="D652" s="141" t="n"/>
      <c r="E652" s="141" t="n"/>
      <c r="F652" s="141" t="n"/>
      <c r="G652" s="143" t="n"/>
      <c r="H652" s="27" t="n"/>
    </row>
    <row r="653" ht="17.25" customHeight="1" s="322">
      <c r="A653" s="27" t="n"/>
      <c r="B653" s="506" t="n"/>
      <c r="C653" s="141" t="n"/>
      <c r="D653" s="141" t="n"/>
      <c r="E653" s="141" t="n"/>
      <c r="F653" s="141" t="n"/>
      <c r="G653" s="143" t="n"/>
      <c r="H653" s="27" t="n"/>
    </row>
    <row r="654" ht="17.25" customHeight="1" s="322">
      <c r="A654" s="27" t="n"/>
      <c r="B654" s="506" t="n"/>
      <c r="C654" s="141" t="n"/>
      <c r="D654" s="141" t="n"/>
      <c r="E654" s="141" t="n"/>
      <c r="F654" s="141" t="n"/>
      <c r="G654" s="143" t="n"/>
      <c r="H654" s="27" t="n"/>
    </row>
    <row r="655" ht="17.25" customHeight="1" s="322">
      <c r="A655" s="27" t="n"/>
      <c r="B655" s="506" t="n"/>
      <c r="C655" s="141" t="n"/>
      <c r="D655" s="141" t="n"/>
      <c r="E655" s="141" t="n"/>
      <c r="F655" s="141" t="n"/>
      <c r="G655" s="143" t="n"/>
      <c r="H655" s="27" t="n"/>
    </row>
    <row r="656" ht="17.25" customHeight="1" s="322">
      <c r="A656" s="27" t="n"/>
      <c r="B656" s="506" t="n"/>
      <c r="C656" s="141" t="n"/>
      <c r="D656" s="141" t="n"/>
      <c r="E656" s="141" t="n"/>
      <c r="F656" s="141" t="n"/>
      <c r="G656" s="143" t="n"/>
      <c r="H656" s="27" t="n"/>
    </row>
    <row r="657" ht="17.25" customHeight="1" s="322">
      <c r="A657" s="27" t="n"/>
      <c r="B657" s="506" t="n"/>
      <c r="C657" s="141" t="n"/>
      <c r="D657" s="141" t="n"/>
      <c r="E657" s="141" t="n"/>
      <c r="F657" s="141" t="n"/>
      <c r="G657" s="143" t="n"/>
      <c r="H657" s="27" t="n"/>
    </row>
    <row r="658" ht="17.25" customHeight="1" s="322">
      <c r="A658" s="27" t="n"/>
      <c r="B658" s="506" t="n"/>
      <c r="C658" s="141" t="n"/>
      <c r="D658" s="141" t="n"/>
      <c r="E658" s="141" t="n"/>
      <c r="F658" s="141" t="n"/>
      <c r="G658" s="143" t="n"/>
      <c r="H658" s="27" t="n"/>
    </row>
    <row r="659" ht="17.25" customHeight="1" s="322">
      <c r="A659" s="27" t="n"/>
      <c r="B659" s="506" t="n"/>
      <c r="C659" s="141" t="n"/>
      <c r="D659" s="141" t="n"/>
      <c r="E659" s="141" t="n"/>
      <c r="F659" s="141" t="n"/>
      <c r="G659" s="143" t="n"/>
      <c r="H659" s="27" t="n"/>
    </row>
    <row r="660" ht="17.25" customHeight="1" s="322">
      <c r="A660" s="27" t="n"/>
      <c r="B660" s="506" t="n"/>
      <c r="C660" s="141" t="n"/>
      <c r="D660" s="141" t="n"/>
      <c r="E660" s="141" t="n"/>
      <c r="F660" s="141" t="n"/>
      <c r="G660" s="143" t="n"/>
      <c r="H660" s="27" t="n"/>
    </row>
    <row r="661" ht="17.25" customHeight="1" s="322">
      <c r="A661" s="27" t="n"/>
      <c r="B661" s="506" t="n"/>
      <c r="C661" s="141" t="n"/>
      <c r="D661" s="141" t="n"/>
      <c r="E661" s="141" t="n"/>
      <c r="F661" s="141" t="n"/>
      <c r="G661" s="143" t="n"/>
      <c r="H661" s="27" t="n"/>
    </row>
    <row r="662" ht="17.25" customHeight="1" s="322">
      <c r="A662" s="27" t="n"/>
      <c r="B662" s="506" t="n"/>
      <c r="C662" s="141" t="n"/>
      <c r="D662" s="141" t="n"/>
      <c r="E662" s="141" t="n"/>
      <c r="F662" s="141" t="n"/>
      <c r="G662" s="143" t="n"/>
      <c r="H662" s="27" t="n"/>
    </row>
    <row r="663" ht="17.25" customHeight="1" s="322">
      <c r="A663" s="27" t="n"/>
      <c r="B663" s="506" t="n"/>
      <c r="C663" s="141" t="n"/>
      <c r="D663" s="141" t="n"/>
      <c r="E663" s="141" t="n"/>
      <c r="F663" s="141" t="n"/>
      <c r="G663" s="143" t="n"/>
      <c r="H663" s="27" t="n"/>
    </row>
    <row r="664" ht="17.25" customHeight="1" s="322">
      <c r="A664" s="27" t="n"/>
      <c r="B664" s="506" t="n"/>
      <c r="C664" s="141" t="n"/>
      <c r="D664" s="141" t="n"/>
      <c r="E664" s="141" t="n"/>
      <c r="F664" s="141" t="n"/>
      <c r="G664" s="143" t="n"/>
      <c r="H664" s="27" t="n"/>
    </row>
    <row r="665" ht="17.25" customHeight="1" s="322">
      <c r="A665" s="27" t="n"/>
      <c r="B665" s="506" t="n"/>
      <c r="C665" s="141" t="n"/>
      <c r="D665" s="141" t="n"/>
      <c r="E665" s="141" t="n"/>
      <c r="F665" s="141" t="n"/>
      <c r="G665" s="143" t="n"/>
      <c r="H665" s="27" t="n"/>
    </row>
    <row r="666" ht="17.25" customHeight="1" s="322">
      <c r="A666" s="27" t="n"/>
      <c r="B666" s="506" t="n"/>
      <c r="C666" s="141" t="n"/>
      <c r="D666" s="141" t="n"/>
      <c r="E666" s="141" t="n"/>
      <c r="F666" s="141" t="n"/>
      <c r="G666" s="143" t="n"/>
      <c r="H666" s="27" t="n"/>
    </row>
    <row r="667" ht="17.25" customHeight="1" s="322">
      <c r="A667" s="27" t="n"/>
      <c r="B667" s="506" t="n"/>
      <c r="C667" s="141" t="n"/>
      <c r="D667" s="141" t="n"/>
      <c r="E667" s="141" t="n"/>
      <c r="F667" s="141" t="n"/>
      <c r="G667" s="143" t="n"/>
      <c r="H667" s="27" t="n"/>
    </row>
    <row r="668" ht="17.25" customHeight="1" s="322">
      <c r="A668" s="27" t="n"/>
      <c r="B668" s="506" t="n"/>
      <c r="C668" s="141" t="n"/>
      <c r="D668" s="141" t="n"/>
      <c r="E668" s="141" t="n"/>
      <c r="F668" s="141" t="n"/>
      <c r="G668" s="143" t="n"/>
      <c r="H668" s="27" t="n"/>
    </row>
    <row r="669" ht="17.25" customHeight="1" s="322">
      <c r="A669" s="27" t="n"/>
      <c r="B669" s="506" t="n"/>
      <c r="C669" s="141" t="n"/>
      <c r="D669" s="141" t="n"/>
      <c r="E669" s="141" t="n"/>
      <c r="F669" s="141" t="n"/>
      <c r="G669" s="143" t="n"/>
      <c r="H669" s="27" t="n"/>
    </row>
    <row r="670" ht="17.25" customHeight="1" s="322">
      <c r="A670" s="27" t="n"/>
      <c r="B670" s="506" t="n"/>
      <c r="C670" s="141" t="n"/>
      <c r="D670" s="141" t="n"/>
      <c r="E670" s="141" t="n"/>
      <c r="F670" s="141" t="n"/>
      <c r="G670" s="143" t="n"/>
      <c r="H670" s="27" t="n"/>
    </row>
    <row r="671" ht="17.25" customHeight="1" s="322">
      <c r="A671" s="27" t="n"/>
      <c r="B671" s="506" t="n"/>
      <c r="C671" s="141" t="n"/>
      <c r="D671" s="141" t="n"/>
      <c r="E671" s="141" t="n"/>
      <c r="F671" s="141" t="n"/>
      <c r="G671" s="143" t="n"/>
      <c r="H671" s="27" t="n"/>
    </row>
    <row r="672" ht="17.25" customHeight="1" s="322">
      <c r="A672" s="27" t="n"/>
      <c r="B672" s="506" t="n"/>
      <c r="C672" s="141" t="n"/>
      <c r="D672" s="141" t="n"/>
      <c r="E672" s="141" t="n"/>
      <c r="F672" s="141" t="n"/>
      <c r="G672" s="143" t="n"/>
      <c r="H672" s="27" t="n"/>
    </row>
    <row r="673" ht="17.25" customHeight="1" s="322">
      <c r="A673" s="27" t="n"/>
      <c r="B673" s="506" t="n"/>
      <c r="C673" s="141" t="n"/>
      <c r="D673" s="141" t="n"/>
      <c r="E673" s="141" t="n"/>
      <c r="F673" s="141" t="n"/>
      <c r="G673" s="143" t="n"/>
      <c r="H673" s="27" t="n"/>
    </row>
    <row r="674" ht="17.25" customHeight="1" s="322">
      <c r="A674" s="27" t="n"/>
      <c r="B674" s="506" t="n"/>
      <c r="C674" s="141" t="n"/>
      <c r="D674" s="141" t="n"/>
      <c r="E674" s="141" t="n"/>
      <c r="F674" s="141" t="n"/>
      <c r="G674" s="143" t="n"/>
      <c r="H674" s="27" t="n"/>
    </row>
    <row r="675" ht="17.25" customHeight="1" s="322">
      <c r="A675" s="27" t="n"/>
      <c r="B675" s="506" t="n"/>
      <c r="C675" s="141" t="n"/>
      <c r="D675" s="141" t="n"/>
      <c r="E675" s="141" t="n"/>
      <c r="F675" s="141" t="n"/>
      <c r="G675" s="143" t="n"/>
      <c r="H675" s="27" t="n"/>
    </row>
    <row r="676" ht="17.25" customHeight="1" s="322">
      <c r="A676" s="27" t="n"/>
      <c r="B676" s="506" t="n"/>
      <c r="C676" s="141" t="n"/>
      <c r="D676" s="141" t="n"/>
      <c r="E676" s="141" t="n"/>
      <c r="F676" s="141" t="n"/>
      <c r="G676" s="143" t="n"/>
      <c r="H676" s="27" t="n"/>
    </row>
    <row r="677" ht="17.25" customHeight="1" s="322">
      <c r="A677" s="27" t="n"/>
      <c r="B677" s="506" t="n"/>
      <c r="C677" s="141" t="n"/>
      <c r="D677" s="141" t="n"/>
      <c r="E677" s="141" t="n"/>
      <c r="F677" s="141" t="n"/>
      <c r="G677" s="143" t="n"/>
      <c r="H677" s="27" t="n"/>
    </row>
    <row r="678" ht="17.25" customHeight="1" s="322">
      <c r="A678" s="27" t="n"/>
      <c r="B678" s="506" t="n"/>
      <c r="C678" s="141" t="n"/>
      <c r="D678" s="141" t="n"/>
      <c r="E678" s="141" t="n"/>
      <c r="F678" s="141" t="n"/>
      <c r="G678" s="143" t="n"/>
      <c r="H678" s="27" t="n"/>
    </row>
    <row r="679" ht="17.25" customHeight="1" s="322">
      <c r="A679" s="27" t="n"/>
      <c r="B679" s="506" t="n"/>
      <c r="C679" s="141" t="n"/>
      <c r="D679" s="141" t="n"/>
      <c r="E679" s="141" t="n"/>
      <c r="F679" s="141" t="n"/>
      <c r="G679" s="143" t="n"/>
      <c r="H679" s="27" t="n"/>
    </row>
    <row r="680" ht="17.25" customHeight="1" s="322">
      <c r="A680" s="27" t="n"/>
      <c r="B680" s="506" t="n"/>
      <c r="C680" s="141" t="n"/>
      <c r="D680" s="141" t="n"/>
      <c r="E680" s="141" t="n"/>
      <c r="F680" s="141" t="n"/>
      <c r="G680" s="143" t="n"/>
      <c r="H680" s="27" t="n"/>
    </row>
    <row r="681" ht="17.25" customHeight="1" s="322">
      <c r="A681" s="27" t="n"/>
      <c r="B681" s="506" t="n"/>
      <c r="C681" s="141" t="n"/>
      <c r="D681" s="141" t="n"/>
      <c r="E681" s="141" t="n"/>
      <c r="F681" s="141" t="n"/>
      <c r="G681" s="143" t="n"/>
      <c r="H681" s="27" t="n"/>
    </row>
    <row r="682" ht="17.25" customHeight="1" s="322">
      <c r="A682" s="27" t="n"/>
      <c r="B682" s="506" t="n"/>
      <c r="C682" s="141" t="n"/>
      <c r="D682" s="141" t="n"/>
      <c r="E682" s="141" t="n"/>
      <c r="F682" s="141" t="n"/>
      <c r="G682" s="143" t="n"/>
      <c r="H682" s="27" t="n"/>
    </row>
    <row r="683" ht="17.25" customHeight="1" s="322">
      <c r="A683" s="27" t="n"/>
      <c r="B683" s="506" t="n"/>
      <c r="C683" s="141" t="n"/>
      <c r="D683" s="141" t="n"/>
      <c r="E683" s="141" t="n"/>
      <c r="F683" s="141" t="n"/>
      <c r="G683" s="143" t="n"/>
      <c r="H683" s="27" t="n"/>
    </row>
    <row r="684" ht="17.25" customHeight="1" s="322">
      <c r="A684" s="27" t="n"/>
      <c r="B684" s="506" t="n"/>
      <c r="C684" s="141" t="n"/>
      <c r="D684" s="141" t="n"/>
      <c r="E684" s="141" t="n"/>
      <c r="F684" s="141" t="n"/>
      <c r="G684" s="143" t="n"/>
      <c r="H684" s="27" t="n"/>
    </row>
    <row r="685" ht="17.25" customHeight="1" s="322">
      <c r="A685" s="27" t="n"/>
      <c r="B685" s="506" t="n"/>
      <c r="C685" s="141" t="n"/>
      <c r="D685" s="141" t="n"/>
      <c r="E685" s="141" t="n"/>
      <c r="F685" s="141" t="n"/>
      <c r="G685" s="143" t="n"/>
      <c r="H685" s="27" t="n"/>
    </row>
    <row r="686" ht="17.25" customHeight="1" s="322">
      <c r="A686" s="27" t="n"/>
      <c r="B686" s="506" t="n"/>
      <c r="C686" s="141" t="n"/>
      <c r="D686" s="141" t="n"/>
      <c r="E686" s="141" t="n"/>
      <c r="F686" s="141" t="n"/>
      <c r="G686" s="143" t="n"/>
      <c r="H686" s="27" t="n"/>
    </row>
    <row r="687" ht="17.25" customHeight="1" s="322">
      <c r="A687" s="27" t="n"/>
      <c r="B687" s="506" t="n"/>
      <c r="C687" s="141" t="n"/>
      <c r="D687" s="141" t="n"/>
      <c r="E687" s="141" t="n"/>
      <c r="F687" s="141" t="n"/>
      <c r="G687" s="143" t="n"/>
      <c r="H687" s="27" t="n"/>
    </row>
    <row r="688" ht="17.25" customHeight="1" s="322">
      <c r="A688" s="27" t="n"/>
      <c r="B688" s="506" t="n"/>
      <c r="C688" s="141" t="n"/>
      <c r="D688" s="141" t="n"/>
      <c r="E688" s="141" t="n"/>
      <c r="F688" s="141" t="n"/>
      <c r="G688" s="143" t="n"/>
      <c r="H688" s="27" t="n"/>
    </row>
    <row r="689" ht="17.25" customHeight="1" s="322">
      <c r="A689" s="27" t="n"/>
      <c r="B689" s="506" t="n"/>
      <c r="C689" s="141" t="n"/>
      <c r="D689" s="141" t="n"/>
      <c r="E689" s="141" t="n"/>
      <c r="F689" s="141" t="n"/>
      <c r="G689" s="143" t="n"/>
      <c r="H689" s="27" t="n"/>
    </row>
    <row r="690" ht="17.25" customHeight="1" s="322">
      <c r="A690" s="27" t="n"/>
      <c r="B690" s="506" t="n"/>
      <c r="C690" s="141" t="n"/>
      <c r="D690" s="141" t="n"/>
      <c r="E690" s="141" t="n"/>
      <c r="F690" s="141" t="n"/>
      <c r="G690" s="143" t="n"/>
      <c r="H690" s="27" t="n"/>
    </row>
    <row r="691" ht="17.25" customHeight="1" s="322">
      <c r="A691" s="27" t="n"/>
      <c r="B691" s="506" t="n"/>
      <c r="C691" s="141" t="n"/>
      <c r="D691" s="141" t="n"/>
      <c r="E691" s="141" t="n"/>
      <c r="F691" s="141" t="n"/>
      <c r="G691" s="143" t="n"/>
      <c r="H691" s="27" t="n"/>
    </row>
    <row r="692" ht="17.25" customHeight="1" s="322">
      <c r="A692" s="27" t="n"/>
      <c r="B692" s="506" t="n"/>
      <c r="C692" s="141" t="n"/>
      <c r="D692" s="141" t="n"/>
      <c r="E692" s="141" t="n"/>
      <c r="F692" s="141" t="n"/>
      <c r="G692" s="143" t="n"/>
      <c r="H692" s="27" t="n"/>
    </row>
    <row r="693" ht="17.25" customHeight="1" s="322">
      <c r="A693" s="27" t="n"/>
      <c r="B693" s="506" t="n"/>
      <c r="C693" s="141" t="n"/>
      <c r="D693" s="141" t="n"/>
      <c r="E693" s="141" t="n"/>
      <c r="F693" s="141" t="n"/>
      <c r="G693" s="143" t="n"/>
      <c r="H693" s="27" t="n"/>
    </row>
    <row r="694" ht="17.25" customHeight="1" s="322">
      <c r="A694" s="27" t="n"/>
      <c r="B694" s="506" t="n"/>
      <c r="C694" s="141" t="n"/>
      <c r="D694" s="141" t="n"/>
      <c r="E694" s="141" t="n"/>
      <c r="F694" s="141" t="n"/>
      <c r="G694" s="143" t="n"/>
      <c r="H694" s="27" t="n"/>
    </row>
    <row r="695" ht="17.25" customHeight="1" s="322">
      <c r="A695" s="27" t="n"/>
      <c r="B695" s="506" t="n"/>
      <c r="C695" s="141" t="n"/>
      <c r="D695" s="141" t="n"/>
      <c r="E695" s="141" t="n"/>
      <c r="F695" s="141" t="n"/>
      <c r="G695" s="143" t="n"/>
      <c r="H695" s="27" t="n"/>
    </row>
    <row r="696" ht="17.25" customHeight="1" s="322">
      <c r="A696" s="27" t="n"/>
      <c r="B696" s="506" t="n"/>
      <c r="C696" s="141" t="n"/>
      <c r="D696" s="141" t="n"/>
      <c r="E696" s="141" t="n"/>
      <c r="F696" s="141" t="n"/>
      <c r="G696" s="143" t="n"/>
      <c r="H696" s="27" t="n"/>
    </row>
    <row r="697" ht="17.25" customHeight="1" s="322">
      <c r="A697" s="27" t="n"/>
      <c r="B697" s="506" t="n"/>
      <c r="C697" s="141" t="n"/>
      <c r="D697" s="141" t="n"/>
      <c r="E697" s="141" t="n"/>
      <c r="F697" s="141" t="n"/>
      <c r="G697" s="143" t="n"/>
      <c r="H697" s="27" t="n"/>
    </row>
    <row r="698" ht="17.25" customHeight="1" s="322">
      <c r="A698" s="27" t="n"/>
      <c r="B698" s="506" t="n"/>
      <c r="C698" s="141" t="n"/>
      <c r="D698" s="141" t="n"/>
      <c r="E698" s="141" t="n"/>
      <c r="F698" s="141" t="n"/>
      <c r="G698" s="143" t="n"/>
      <c r="H698" s="27" t="n"/>
    </row>
    <row r="699" ht="17.25" customHeight="1" s="322">
      <c r="A699" s="27" t="n"/>
      <c r="B699" s="506" t="n"/>
      <c r="C699" s="141" t="n"/>
      <c r="D699" s="141" t="n"/>
      <c r="E699" s="141" t="n"/>
      <c r="F699" s="141" t="n"/>
      <c r="G699" s="143" t="n"/>
      <c r="H699" s="27" t="n"/>
    </row>
    <row r="700" ht="17.25" customHeight="1" s="322">
      <c r="A700" s="27" t="n"/>
      <c r="B700" s="506" t="n"/>
      <c r="C700" s="141" t="n"/>
      <c r="D700" s="141" t="n"/>
      <c r="E700" s="141" t="n"/>
      <c r="F700" s="141" t="n"/>
      <c r="G700" s="143" t="n"/>
      <c r="H700" s="27" t="n"/>
    </row>
    <row r="701" ht="17.25" customHeight="1" s="322">
      <c r="A701" s="27" t="n"/>
      <c r="B701" s="506" t="n"/>
      <c r="C701" s="141" t="n"/>
      <c r="D701" s="141" t="n"/>
      <c r="E701" s="141" t="n"/>
      <c r="F701" s="141" t="n"/>
      <c r="G701" s="143" t="n"/>
      <c r="H701" s="27" t="n"/>
    </row>
    <row r="702" ht="17.25" customHeight="1" s="322">
      <c r="A702" s="27" t="n"/>
      <c r="B702" s="506" t="n"/>
      <c r="C702" s="141" t="n"/>
      <c r="D702" s="141" t="n"/>
      <c r="E702" s="141" t="n"/>
      <c r="F702" s="141" t="n"/>
      <c r="G702" s="143" t="n"/>
      <c r="H702" s="27" t="n"/>
    </row>
    <row r="703" ht="17.25" customHeight="1" s="322">
      <c r="A703" s="27" t="n"/>
      <c r="B703" s="506" t="n"/>
      <c r="C703" s="141" t="n"/>
      <c r="D703" s="141" t="n"/>
      <c r="E703" s="141" t="n"/>
      <c r="F703" s="141" t="n"/>
      <c r="G703" s="143" t="n"/>
      <c r="H703" s="27" t="n"/>
    </row>
    <row r="704" ht="17.25" customHeight="1" s="322">
      <c r="A704" s="27" t="n"/>
      <c r="B704" s="506" t="n"/>
      <c r="C704" s="141" t="n"/>
      <c r="D704" s="141" t="n"/>
      <c r="E704" s="141" t="n"/>
      <c r="F704" s="141" t="n"/>
      <c r="G704" s="143" t="n"/>
      <c r="H704" s="27" t="n"/>
    </row>
    <row r="705" ht="17.25" customHeight="1" s="322">
      <c r="A705" s="27" t="n"/>
      <c r="B705" s="506" t="n"/>
      <c r="C705" s="141" t="n"/>
      <c r="D705" s="141" t="n"/>
      <c r="E705" s="141" t="n"/>
      <c r="F705" s="141" t="n"/>
      <c r="G705" s="143" t="n"/>
      <c r="H705" s="27" t="n"/>
    </row>
    <row r="706" ht="17.25" customHeight="1" s="322">
      <c r="A706" s="27" t="n"/>
      <c r="B706" s="506" t="n"/>
      <c r="C706" s="141" t="n"/>
      <c r="D706" s="141" t="n"/>
      <c r="E706" s="141" t="n"/>
      <c r="F706" s="141" t="n"/>
      <c r="G706" s="143" t="n"/>
      <c r="H706" s="27" t="n"/>
    </row>
    <row r="707" ht="17.25" customHeight="1" s="322">
      <c r="A707" s="27" t="n"/>
      <c r="B707" s="506" t="n"/>
      <c r="C707" s="141" t="n"/>
      <c r="D707" s="141" t="n"/>
      <c r="E707" s="141" t="n"/>
      <c r="F707" s="141" t="n"/>
      <c r="G707" s="143" t="n"/>
      <c r="H707" s="27" t="n"/>
    </row>
    <row r="708" ht="17.25" customHeight="1" s="322">
      <c r="A708" s="27" t="n"/>
      <c r="B708" s="506" t="n"/>
      <c r="C708" s="141" t="n"/>
      <c r="D708" s="141" t="n"/>
      <c r="E708" s="141" t="n"/>
      <c r="F708" s="141" t="n"/>
      <c r="G708" s="143" t="n"/>
      <c r="H708" s="27" t="n"/>
    </row>
    <row r="709" ht="17.25" customHeight="1" s="322">
      <c r="A709" s="27" t="n"/>
      <c r="B709" s="506" t="n"/>
      <c r="C709" s="141" t="n"/>
      <c r="D709" s="141" t="n"/>
      <c r="E709" s="141" t="n"/>
      <c r="F709" s="141" t="n"/>
      <c r="G709" s="143" t="n"/>
      <c r="H709" s="27" t="n"/>
    </row>
    <row r="710" ht="17.25" customHeight="1" s="322">
      <c r="A710" s="27" t="n"/>
      <c r="B710" s="506" t="n"/>
      <c r="C710" s="141" t="n"/>
      <c r="D710" s="141" t="n"/>
      <c r="E710" s="141" t="n"/>
      <c r="F710" s="141" t="n"/>
      <c r="G710" s="143" t="n"/>
      <c r="H710" s="27" t="n"/>
    </row>
    <row r="711" ht="17.25" customHeight="1" s="322">
      <c r="A711" s="27" t="n"/>
      <c r="B711" s="506" t="n"/>
      <c r="C711" s="141" t="n"/>
      <c r="D711" s="141" t="n"/>
      <c r="E711" s="141" t="n"/>
      <c r="F711" s="141" t="n"/>
      <c r="G711" s="143" t="n"/>
      <c r="H711" s="27" t="n"/>
    </row>
    <row r="712" ht="17.25" customHeight="1" s="322">
      <c r="A712" s="27" t="n"/>
      <c r="B712" s="506" t="n"/>
      <c r="C712" s="141" t="n"/>
      <c r="D712" s="141" t="n"/>
      <c r="E712" s="141" t="n"/>
      <c r="F712" s="141" t="n"/>
      <c r="G712" s="143" t="n"/>
      <c r="H712" s="27" t="n"/>
    </row>
    <row r="713" ht="17.25" customHeight="1" s="322">
      <c r="A713" s="27" t="n"/>
      <c r="B713" s="506" t="n"/>
      <c r="C713" s="141" t="n"/>
      <c r="D713" s="141" t="n"/>
      <c r="E713" s="141" t="n"/>
      <c r="F713" s="141" t="n"/>
      <c r="G713" s="143" t="n"/>
      <c r="H713" s="27" t="n"/>
    </row>
    <row r="714" ht="17.25" customHeight="1" s="322">
      <c r="A714" s="27" t="n"/>
      <c r="B714" s="506" t="n"/>
      <c r="C714" s="141" t="n"/>
      <c r="D714" s="141" t="n"/>
      <c r="E714" s="141" t="n"/>
      <c r="F714" s="141" t="n"/>
      <c r="G714" s="143" t="n"/>
      <c r="H714" s="27" t="n"/>
    </row>
    <row r="715" ht="17.25" customHeight="1" s="322">
      <c r="A715" s="27" t="n"/>
      <c r="B715" s="506" t="n"/>
      <c r="C715" s="141" t="n"/>
      <c r="D715" s="141" t="n"/>
      <c r="E715" s="141" t="n"/>
      <c r="F715" s="141" t="n"/>
      <c r="G715" s="143" t="n"/>
      <c r="H715" s="27" t="n"/>
    </row>
    <row r="716" ht="17.25" customHeight="1" s="322">
      <c r="A716" s="27" t="n"/>
      <c r="B716" s="506" t="n"/>
      <c r="C716" s="141" t="n"/>
      <c r="D716" s="141" t="n"/>
      <c r="E716" s="141" t="n"/>
      <c r="F716" s="141" t="n"/>
      <c r="G716" s="143" t="n"/>
      <c r="H716" s="27" t="n"/>
    </row>
    <row r="717" ht="17.25" customHeight="1" s="322">
      <c r="A717" s="27" t="n"/>
      <c r="B717" s="506" t="n"/>
      <c r="C717" s="141" t="n"/>
      <c r="D717" s="141" t="n"/>
      <c r="E717" s="141" t="n"/>
      <c r="F717" s="141" t="n"/>
      <c r="G717" s="143" t="n"/>
      <c r="H717" s="27" t="n"/>
    </row>
    <row r="718" ht="17.25" customHeight="1" s="322">
      <c r="A718" s="27" t="n"/>
      <c r="B718" s="506" t="n"/>
      <c r="C718" s="141" t="n"/>
      <c r="D718" s="141" t="n"/>
      <c r="E718" s="141" t="n"/>
      <c r="F718" s="141" t="n"/>
      <c r="G718" s="143" t="n"/>
      <c r="H718" s="27" t="n"/>
    </row>
    <row r="719" ht="17.25" customHeight="1" s="322">
      <c r="A719" s="27" t="n"/>
      <c r="B719" s="506" t="n"/>
      <c r="C719" s="141" t="n"/>
      <c r="D719" s="141" t="n"/>
      <c r="E719" s="141" t="n"/>
      <c r="F719" s="141" t="n"/>
      <c r="G719" s="143" t="n"/>
      <c r="H719" s="27" t="n"/>
    </row>
    <row r="720" ht="17.25" customHeight="1" s="322">
      <c r="A720" s="27" t="n"/>
      <c r="B720" s="506" t="n"/>
      <c r="C720" s="141" t="n"/>
      <c r="D720" s="141" t="n"/>
      <c r="E720" s="141" t="n"/>
      <c r="F720" s="141" t="n"/>
      <c r="G720" s="143" t="n"/>
      <c r="H720" s="27" t="n"/>
    </row>
    <row r="721" ht="17.25" customHeight="1" s="322">
      <c r="A721" s="27" t="n"/>
      <c r="B721" s="506" t="n"/>
      <c r="C721" s="141" t="n"/>
      <c r="D721" s="141" t="n"/>
      <c r="E721" s="141" t="n"/>
      <c r="F721" s="141" t="n"/>
      <c r="G721" s="143" t="n"/>
      <c r="H721" s="27" t="n"/>
    </row>
    <row r="722" ht="17.25" customHeight="1" s="322">
      <c r="A722" s="27" t="n"/>
      <c r="B722" s="506" t="n"/>
      <c r="C722" s="141" t="n"/>
      <c r="D722" s="141" t="n"/>
      <c r="E722" s="141" t="n"/>
      <c r="F722" s="141" t="n"/>
      <c r="G722" s="143" t="n"/>
      <c r="H722" s="27" t="n"/>
    </row>
    <row r="723" ht="17.25" customHeight="1" s="322">
      <c r="A723" s="27" t="n"/>
      <c r="B723" s="506" t="n"/>
      <c r="C723" s="141" t="n"/>
      <c r="D723" s="141" t="n"/>
      <c r="E723" s="141" t="n"/>
      <c r="F723" s="141" t="n"/>
      <c r="G723" s="143" t="n"/>
      <c r="H723" s="27" t="n"/>
    </row>
    <row r="724" ht="17.25" customHeight="1" s="322">
      <c r="A724" s="27" t="n"/>
      <c r="B724" s="506" t="n"/>
      <c r="C724" s="141" t="n"/>
      <c r="D724" s="141" t="n"/>
      <c r="E724" s="141" t="n"/>
      <c r="F724" s="141" t="n"/>
      <c r="G724" s="143" t="n"/>
      <c r="H724" s="27" t="n"/>
    </row>
    <row r="725" ht="17.25" customHeight="1" s="322">
      <c r="A725" s="27" t="n"/>
      <c r="B725" s="506" t="n"/>
      <c r="C725" s="141" t="n"/>
      <c r="D725" s="141" t="n"/>
      <c r="E725" s="141" t="n"/>
      <c r="F725" s="141" t="n"/>
      <c r="G725" s="143" t="n"/>
      <c r="H725" s="27" t="n"/>
    </row>
    <row r="726" ht="17.25" customHeight="1" s="322">
      <c r="A726" s="27" t="n"/>
      <c r="B726" s="506" t="n"/>
      <c r="C726" s="141" t="n"/>
      <c r="D726" s="141" t="n"/>
      <c r="E726" s="141" t="n"/>
      <c r="F726" s="141" t="n"/>
      <c r="G726" s="143" t="n"/>
      <c r="H726" s="27" t="n"/>
    </row>
    <row r="727" ht="17.25" customHeight="1" s="322">
      <c r="A727" s="27" t="n"/>
      <c r="B727" s="506" t="n"/>
      <c r="C727" s="141" t="n"/>
      <c r="D727" s="141" t="n"/>
      <c r="E727" s="141" t="n"/>
      <c r="F727" s="141" t="n"/>
      <c r="G727" s="143" t="n"/>
      <c r="H727" s="27" t="n"/>
    </row>
    <row r="728" ht="17.25" customHeight="1" s="322">
      <c r="A728" s="27" t="n"/>
      <c r="B728" s="506" t="n"/>
      <c r="C728" s="141" t="n"/>
      <c r="D728" s="141" t="n"/>
      <c r="E728" s="141" t="n"/>
      <c r="F728" s="141" t="n"/>
      <c r="G728" s="143" t="n"/>
      <c r="H728" s="27" t="n"/>
    </row>
    <row r="729" ht="17.25" customHeight="1" s="322">
      <c r="A729" s="27" t="n"/>
      <c r="B729" s="506" t="n"/>
      <c r="C729" s="141" t="n"/>
      <c r="D729" s="141" t="n"/>
      <c r="E729" s="141" t="n"/>
      <c r="F729" s="141" t="n"/>
      <c r="G729" s="143" t="n"/>
      <c r="H729" s="27" t="n"/>
    </row>
    <row r="730" ht="17.25" customHeight="1" s="322">
      <c r="A730" s="27" t="n"/>
      <c r="B730" s="506" t="n"/>
      <c r="C730" s="141" t="n"/>
      <c r="D730" s="141" t="n"/>
      <c r="E730" s="141" t="n"/>
      <c r="F730" s="141" t="n"/>
      <c r="G730" s="143" t="n"/>
      <c r="H730" s="27" t="n"/>
    </row>
    <row r="731" ht="17.25" customHeight="1" s="322">
      <c r="A731" s="27" t="n"/>
      <c r="B731" s="506" t="n"/>
      <c r="C731" s="141" t="n"/>
      <c r="D731" s="141" t="n"/>
      <c r="E731" s="141" t="n"/>
      <c r="F731" s="141" t="n"/>
      <c r="G731" s="143" t="n"/>
      <c r="H731" s="27" t="n"/>
    </row>
    <row r="732" ht="17.25" customHeight="1" s="322">
      <c r="A732" s="27" t="n"/>
      <c r="B732" s="506" t="n"/>
      <c r="C732" s="141" t="n"/>
      <c r="D732" s="141" t="n"/>
      <c r="E732" s="141" t="n"/>
      <c r="F732" s="141" t="n"/>
      <c r="G732" s="143" t="n"/>
      <c r="H732" s="27" t="n"/>
    </row>
    <row r="733" ht="17.25" customHeight="1" s="322">
      <c r="A733" s="27" t="n"/>
      <c r="B733" s="506" t="n"/>
      <c r="C733" s="141" t="n"/>
      <c r="D733" s="141" t="n"/>
      <c r="E733" s="141" t="n"/>
      <c r="F733" s="141" t="n"/>
      <c r="G733" s="143" t="n"/>
      <c r="H733" s="27" t="n"/>
    </row>
    <row r="734" ht="17.25" customHeight="1" s="322">
      <c r="A734" s="27" t="n"/>
      <c r="B734" s="506" t="n"/>
      <c r="C734" s="141" t="n"/>
      <c r="D734" s="141" t="n"/>
      <c r="E734" s="141" t="n"/>
      <c r="F734" s="141" t="n"/>
      <c r="G734" s="143" t="n"/>
      <c r="H734" s="27" t="n"/>
    </row>
    <row r="735" ht="17.25" customHeight="1" s="322">
      <c r="A735" s="27" t="n"/>
      <c r="B735" s="506" t="n"/>
      <c r="C735" s="141" t="n"/>
      <c r="D735" s="141" t="n"/>
      <c r="E735" s="141" t="n"/>
      <c r="F735" s="141" t="n"/>
      <c r="G735" s="143" t="n"/>
      <c r="H735" s="27" t="n"/>
    </row>
    <row r="736" ht="17.25" customHeight="1" s="322">
      <c r="A736" s="27" t="n"/>
      <c r="B736" s="506" t="n"/>
      <c r="C736" s="141" t="n"/>
      <c r="D736" s="141" t="n"/>
      <c r="E736" s="141" t="n"/>
      <c r="F736" s="141" t="n"/>
      <c r="G736" s="143" t="n"/>
      <c r="H736" s="27" t="n"/>
    </row>
    <row r="737" ht="17.25" customHeight="1" s="322">
      <c r="A737" s="27" t="n"/>
      <c r="B737" s="506" t="n"/>
      <c r="C737" s="141" t="n"/>
      <c r="D737" s="141" t="n"/>
      <c r="E737" s="141" t="n"/>
      <c r="F737" s="141" t="n"/>
      <c r="G737" s="143" t="n"/>
      <c r="H737" s="27" t="n"/>
    </row>
    <row r="738" ht="17.25" customHeight="1" s="322">
      <c r="A738" s="27" t="n"/>
      <c r="B738" s="506" t="n"/>
      <c r="C738" s="141" t="n"/>
      <c r="D738" s="141" t="n"/>
      <c r="E738" s="141" t="n"/>
      <c r="F738" s="141" t="n"/>
      <c r="G738" s="143" t="n"/>
      <c r="H738" s="27" t="n"/>
    </row>
    <row r="739" ht="17.25" customHeight="1" s="322">
      <c r="A739" s="27" t="n"/>
      <c r="B739" s="506" t="n"/>
      <c r="C739" s="141" t="n"/>
      <c r="D739" s="141" t="n"/>
      <c r="E739" s="141" t="n"/>
      <c r="F739" s="141" t="n"/>
      <c r="G739" s="143" t="n"/>
      <c r="H739" s="27" t="n"/>
    </row>
    <row r="740" ht="17.25" customHeight="1" s="322">
      <c r="A740" s="27" t="n"/>
      <c r="B740" s="506" t="n"/>
      <c r="C740" s="141" t="n"/>
      <c r="D740" s="141" t="n"/>
      <c r="E740" s="141" t="n"/>
      <c r="F740" s="141" t="n"/>
      <c r="G740" s="143" t="n"/>
      <c r="H740" s="27" t="n"/>
    </row>
    <row r="741" ht="17.25" customHeight="1" s="322">
      <c r="A741" s="27" t="n"/>
      <c r="B741" s="506" t="n"/>
      <c r="C741" s="141" t="n"/>
      <c r="D741" s="141" t="n"/>
      <c r="E741" s="141" t="n"/>
      <c r="F741" s="141" t="n"/>
      <c r="G741" s="143" t="n"/>
      <c r="H741" s="27" t="n"/>
    </row>
    <row r="742" ht="17.25" customHeight="1" s="322">
      <c r="A742" s="27" t="n"/>
      <c r="B742" s="506" t="n"/>
      <c r="C742" s="141" t="n"/>
      <c r="D742" s="141" t="n"/>
      <c r="E742" s="141" t="n"/>
      <c r="F742" s="141" t="n"/>
      <c r="G742" s="143" t="n"/>
      <c r="H742" s="27" t="n"/>
    </row>
    <row r="743" ht="17.25" customHeight="1" s="322">
      <c r="A743" s="27" t="n"/>
      <c r="B743" s="506" t="n"/>
      <c r="C743" s="141" t="n"/>
      <c r="D743" s="141" t="n"/>
      <c r="E743" s="141" t="n"/>
      <c r="F743" s="141" t="n"/>
      <c r="G743" s="143" t="n"/>
      <c r="H743" s="27" t="n"/>
    </row>
    <row r="744" ht="17.25" customHeight="1" s="322">
      <c r="A744" s="27" t="n"/>
      <c r="B744" s="506" t="n"/>
      <c r="C744" s="141" t="n"/>
      <c r="D744" s="141" t="n"/>
      <c r="E744" s="141" t="n"/>
      <c r="F744" s="141" t="n"/>
      <c r="G744" s="143" t="n"/>
      <c r="H744" s="27" t="n"/>
    </row>
    <row r="745" ht="17.25" customHeight="1" s="322">
      <c r="A745" s="27" t="n"/>
      <c r="B745" s="506" t="n"/>
      <c r="C745" s="141" t="n"/>
      <c r="D745" s="141" t="n"/>
      <c r="E745" s="141" t="n"/>
      <c r="F745" s="141" t="n"/>
      <c r="G745" s="143" t="n"/>
      <c r="H745" s="27" t="n"/>
    </row>
    <row r="746" ht="17.25" customHeight="1" s="322">
      <c r="A746" s="27" t="n"/>
      <c r="B746" s="506" t="n"/>
      <c r="C746" s="141" t="n"/>
      <c r="D746" s="141" t="n"/>
      <c r="E746" s="141" t="n"/>
      <c r="F746" s="141" t="n"/>
      <c r="G746" s="143" t="n"/>
      <c r="H746" s="27" t="n"/>
    </row>
    <row r="747" ht="17.25" customHeight="1" s="322">
      <c r="A747" s="27" t="n"/>
      <c r="B747" s="506" t="n"/>
      <c r="C747" s="141" t="n"/>
      <c r="D747" s="141" t="n"/>
      <c r="E747" s="141" t="n"/>
      <c r="F747" s="141" t="n"/>
      <c r="G747" s="143" t="n"/>
      <c r="H747" s="27" t="n"/>
    </row>
    <row r="748" ht="17.25" customHeight="1" s="322">
      <c r="A748" s="27" t="n"/>
      <c r="B748" s="506" t="n"/>
      <c r="C748" s="141" t="n"/>
      <c r="D748" s="141" t="n"/>
      <c r="E748" s="141" t="n"/>
      <c r="F748" s="141" t="n"/>
      <c r="G748" s="143" t="n"/>
      <c r="H748" s="27" t="n"/>
    </row>
    <row r="749" ht="17.25" customHeight="1" s="322">
      <c r="A749" s="27" t="n"/>
      <c r="B749" s="506" t="n"/>
      <c r="C749" s="141" t="n"/>
      <c r="D749" s="141" t="n"/>
      <c r="E749" s="141" t="n"/>
      <c r="F749" s="141" t="n"/>
      <c r="G749" s="143" t="n"/>
      <c r="H749" s="27" t="n"/>
    </row>
    <row r="750" ht="17.25" customHeight="1" s="322">
      <c r="A750" s="27" t="n"/>
      <c r="B750" s="506" t="n"/>
      <c r="C750" s="141" t="n"/>
      <c r="D750" s="141" t="n"/>
      <c r="E750" s="141" t="n"/>
      <c r="F750" s="141" t="n"/>
      <c r="G750" s="143" t="n"/>
      <c r="H750" s="27" t="n"/>
    </row>
    <row r="751" ht="17.25" customHeight="1" s="322">
      <c r="A751" s="27" t="n"/>
      <c r="B751" s="506" t="n"/>
      <c r="C751" s="141" t="n"/>
      <c r="D751" s="141" t="n"/>
      <c r="E751" s="141" t="n"/>
      <c r="F751" s="141" t="n"/>
      <c r="G751" s="143" t="n"/>
      <c r="H751" s="27" t="n"/>
    </row>
    <row r="752" ht="17.25" customHeight="1" s="322">
      <c r="A752" s="27" t="n"/>
      <c r="B752" s="506" t="n"/>
      <c r="C752" s="141" t="n"/>
      <c r="D752" s="141" t="n"/>
      <c r="E752" s="141" t="n"/>
      <c r="F752" s="141" t="n"/>
      <c r="G752" s="143" t="n"/>
      <c r="H752" s="27" t="n"/>
    </row>
    <row r="753" ht="17.25" customHeight="1" s="322">
      <c r="A753" s="27" t="n"/>
      <c r="B753" s="506" t="n"/>
      <c r="C753" s="141" t="n"/>
      <c r="D753" s="141" t="n"/>
      <c r="E753" s="141" t="n"/>
      <c r="F753" s="141" t="n"/>
      <c r="G753" s="143" t="n"/>
      <c r="H753" s="27" t="n"/>
    </row>
    <row r="754" ht="17.25" customHeight="1" s="322">
      <c r="A754" s="27" t="n"/>
      <c r="B754" s="506" t="n"/>
      <c r="C754" s="141" t="n"/>
      <c r="D754" s="141" t="n"/>
      <c r="E754" s="141" t="n"/>
      <c r="F754" s="141" t="n"/>
      <c r="G754" s="143" t="n"/>
      <c r="H754" s="27" t="n"/>
    </row>
    <row r="755" ht="17.25" customHeight="1" s="322">
      <c r="A755" s="27" t="n"/>
      <c r="B755" s="506" t="n"/>
      <c r="C755" s="141" t="n"/>
      <c r="D755" s="141" t="n"/>
      <c r="E755" s="141" t="n"/>
      <c r="F755" s="141" t="n"/>
      <c r="G755" s="143" t="n"/>
      <c r="H755" s="27" t="n"/>
    </row>
    <row r="756" ht="17.25" customHeight="1" s="322">
      <c r="A756" s="27" t="n"/>
      <c r="B756" s="506" t="n"/>
      <c r="C756" s="141" t="n"/>
      <c r="D756" s="141" t="n"/>
      <c r="E756" s="141" t="n"/>
      <c r="F756" s="141" t="n"/>
      <c r="G756" s="143" t="n"/>
      <c r="H756" s="27" t="n"/>
    </row>
    <row r="757" ht="17.25" customHeight="1" s="322">
      <c r="A757" s="27" t="n"/>
      <c r="B757" s="506" t="n"/>
      <c r="C757" s="141" t="n"/>
      <c r="D757" s="141" t="n"/>
      <c r="E757" s="141" t="n"/>
      <c r="F757" s="141" t="n"/>
      <c r="G757" s="143" t="n"/>
      <c r="H757" s="27" t="n"/>
    </row>
    <row r="758" ht="17.25" customHeight="1" s="322">
      <c r="A758" s="27" t="n"/>
      <c r="B758" s="506" t="n"/>
      <c r="C758" s="141" t="n"/>
      <c r="D758" s="141" t="n"/>
      <c r="E758" s="141" t="n"/>
      <c r="F758" s="141" t="n"/>
      <c r="G758" s="143" t="n"/>
      <c r="H758" s="27" t="n"/>
    </row>
    <row r="759" ht="17.25" customHeight="1" s="322">
      <c r="A759" s="27" t="n"/>
      <c r="B759" s="506" t="n"/>
      <c r="C759" s="141" t="n"/>
      <c r="D759" s="141" t="n"/>
      <c r="E759" s="141" t="n"/>
      <c r="F759" s="141" t="n"/>
      <c r="G759" s="143" t="n"/>
      <c r="H759" s="27" t="n"/>
    </row>
    <row r="760" ht="17.25" customHeight="1" s="322">
      <c r="A760" s="27" t="n"/>
      <c r="B760" s="506" t="n"/>
      <c r="C760" s="141" t="n"/>
      <c r="D760" s="141" t="n"/>
      <c r="E760" s="141" t="n"/>
      <c r="F760" s="141" t="n"/>
      <c r="G760" s="143" t="n"/>
      <c r="H760" s="27" t="n"/>
    </row>
    <row r="761" ht="17.25" customHeight="1" s="322">
      <c r="A761" s="27" t="n"/>
      <c r="B761" s="506" t="n"/>
      <c r="C761" s="141" t="n"/>
      <c r="D761" s="141" t="n"/>
      <c r="E761" s="141" t="n"/>
      <c r="F761" s="141" t="n"/>
      <c r="G761" s="143" t="n"/>
      <c r="H761" s="27" t="n"/>
    </row>
    <row r="762" ht="17.25" customHeight="1" s="322">
      <c r="A762" s="27" t="n"/>
      <c r="B762" s="506" t="n"/>
      <c r="C762" s="141" t="n"/>
      <c r="D762" s="141" t="n"/>
      <c r="E762" s="141" t="n"/>
      <c r="F762" s="141" t="n"/>
      <c r="G762" s="143" t="n"/>
      <c r="H762" s="27" t="n"/>
    </row>
    <row r="763" ht="17.25" customHeight="1" s="322">
      <c r="A763" s="27" t="n"/>
      <c r="B763" s="506" t="n"/>
      <c r="C763" s="141" t="n"/>
      <c r="D763" s="141" t="n"/>
      <c r="E763" s="141" t="n"/>
      <c r="F763" s="141" t="n"/>
      <c r="G763" s="143" t="n"/>
      <c r="H763" s="27" t="n"/>
    </row>
    <row r="764" ht="17.25" customHeight="1" s="322">
      <c r="A764" s="27" t="n"/>
      <c r="B764" s="506" t="n"/>
      <c r="C764" s="141" t="n"/>
      <c r="D764" s="141" t="n"/>
      <c r="E764" s="141" t="n"/>
      <c r="F764" s="141" t="n"/>
      <c r="G764" s="143" t="n"/>
      <c r="H764" s="27" t="n"/>
    </row>
    <row r="765" ht="17.25" customHeight="1" s="322">
      <c r="A765" s="27" t="n"/>
      <c r="B765" s="506" t="n"/>
      <c r="C765" s="141" t="n"/>
      <c r="D765" s="141" t="n"/>
      <c r="E765" s="141" t="n"/>
      <c r="F765" s="141" t="n"/>
      <c r="G765" s="143" t="n"/>
      <c r="H765" s="27" t="n"/>
    </row>
    <row r="766" ht="17.25" customHeight="1" s="322">
      <c r="A766" s="27" t="n"/>
      <c r="B766" s="506" t="n"/>
      <c r="C766" s="141" t="n"/>
      <c r="D766" s="141" t="n"/>
      <c r="E766" s="141" t="n"/>
      <c r="F766" s="141" t="n"/>
      <c r="G766" s="143" t="n"/>
      <c r="H766" s="27" t="n"/>
    </row>
    <row r="767" ht="17.25" customHeight="1" s="322">
      <c r="A767" s="27" t="n"/>
      <c r="B767" s="506" t="n"/>
      <c r="C767" s="141" t="n"/>
      <c r="D767" s="141" t="n"/>
      <c r="E767" s="141" t="n"/>
      <c r="F767" s="141" t="n"/>
      <c r="G767" s="143" t="n"/>
      <c r="H767" s="27" t="n"/>
    </row>
    <row r="768" ht="17.25" customHeight="1" s="322">
      <c r="A768" s="27" t="n"/>
      <c r="B768" s="506" t="n"/>
      <c r="C768" s="141" t="n"/>
      <c r="D768" s="141" t="n"/>
      <c r="E768" s="141" t="n"/>
      <c r="F768" s="141" t="n"/>
      <c r="G768" s="143" t="n"/>
      <c r="H768" s="27" t="n"/>
    </row>
    <row r="769" ht="17.25" customHeight="1" s="322">
      <c r="A769" s="27" t="n"/>
      <c r="B769" s="506" t="n"/>
      <c r="C769" s="141" t="n"/>
      <c r="D769" s="141" t="n"/>
      <c r="E769" s="141" t="n"/>
      <c r="F769" s="141" t="n"/>
      <c r="G769" s="143" t="n"/>
      <c r="H769" s="27" t="n"/>
    </row>
    <row r="770" ht="17.25" customHeight="1" s="322">
      <c r="A770" s="27" t="n"/>
      <c r="B770" s="506" t="n"/>
      <c r="C770" s="141" t="n"/>
      <c r="D770" s="141" t="n"/>
      <c r="E770" s="141" t="n"/>
      <c r="F770" s="141" t="n"/>
      <c r="G770" s="143" t="n"/>
      <c r="H770" s="27" t="n"/>
    </row>
    <row r="771" ht="17.25" customHeight="1" s="322">
      <c r="A771" s="27" t="n"/>
      <c r="B771" s="506" t="n"/>
      <c r="C771" s="141" t="n"/>
      <c r="D771" s="141" t="n"/>
      <c r="E771" s="141" t="n"/>
      <c r="F771" s="141" t="n"/>
      <c r="G771" s="143" t="n"/>
      <c r="H771" s="27" t="n"/>
    </row>
    <row r="772" ht="17.25" customHeight="1" s="322">
      <c r="A772" s="27" t="n"/>
      <c r="B772" s="506" t="n"/>
      <c r="C772" s="141" t="n"/>
      <c r="D772" s="141" t="n"/>
      <c r="E772" s="141" t="n"/>
      <c r="F772" s="141" t="n"/>
      <c r="G772" s="143" t="n"/>
      <c r="H772" s="27" t="n"/>
    </row>
    <row r="773" ht="17.25" customHeight="1" s="322">
      <c r="A773" s="27" t="n"/>
      <c r="B773" s="506" t="n"/>
      <c r="C773" s="141" t="n"/>
      <c r="D773" s="141" t="n"/>
      <c r="E773" s="141" t="n"/>
      <c r="F773" s="141" t="n"/>
      <c r="G773" s="143" t="n"/>
      <c r="H773" s="27" t="n"/>
    </row>
    <row r="774" ht="17.25" customHeight="1" s="322">
      <c r="A774" s="27" t="n"/>
      <c r="B774" s="506" t="n"/>
      <c r="C774" s="141" t="n"/>
      <c r="D774" s="141" t="n"/>
      <c r="E774" s="141" t="n"/>
      <c r="F774" s="141" t="n"/>
      <c r="G774" s="143" t="n"/>
      <c r="H774" s="27" t="n"/>
    </row>
    <row r="775" ht="17.25" customHeight="1" s="322">
      <c r="A775" s="27" t="n"/>
      <c r="B775" s="506" t="n"/>
      <c r="C775" s="141" t="n"/>
      <c r="D775" s="141" t="n"/>
      <c r="E775" s="141" t="n"/>
      <c r="F775" s="141" t="n"/>
      <c r="G775" s="143" t="n"/>
      <c r="H775" s="27" t="n"/>
    </row>
    <row r="776" ht="17.25" customHeight="1" s="322">
      <c r="A776" s="27" t="n"/>
      <c r="B776" s="506" t="n"/>
      <c r="C776" s="141" t="n"/>
      <c r="D776" s="141" t="n"/>
      <c r="E776" s="141" t="n"/>
      <c r="F776" s="141" t="n"/>
      <c r="G776" s="143" t="n"/>
      <c r="H776" s="27" t="n"/>
    </row>
    <row r="777" ht="17.25" customHeight="1" s="322">
      <c r="A777" s="27" t="n"/>
      <c r="B777" s="506" t="n"/>
      <c r="C777" s="141" t="n"/>
      <c r="D777" s="141" t="n"/>
      <c r="E777" s="141" t="n"/>
      <c r="F777" s="141" t="n"/>
      <c r="G777" s="143" t="n"/>
      <c r="H777" s="27" t="n"/>
    </row>
    <row r="778" ht="17.25" customHeight="1" s="322">
      <c r="A778" s="27" t="n"/>
      <c r="B778" s="506" t="n"/>
      <c r="C778" s="141" t="n"/>
      <c r="D778" s="141" t="n"/>
      <c r="E778" s="141" t="n"/>
      <c r="F778" s="141" t="n"/>
      <c r="G778" s="143" t="n"/>
      <c r="H778" s="27" t="n"/>
    </row>
    <row r="779" ht="17.25" customHeight="1" s="322">
      <c r="A779" s="27" t="n"/>
      <c r="B779" s="506" t="n"/>
      <c r="C779" s="141" t="n"/>
      <c r="D779" s="141" t="n"/>
      <c r="E779" s="141" t="n"/>
      <c r="F779" s="141" t="n"/>
      <c r="G779" s="143" t="n"/>
      <c r="H779" s="27" t="n"/>
    </row>
    <row r="780" ht="17.25" customHeight="1" s="322">
      <c r="A780" s="27" t="n"/>
      <c r="B780" s="506" t="n"/>
      <c r="C780" s="141" t="n"/>
      <c r="D780" s="141" t="n"/>
      <c r="E780" s="141" t="n"/>
      <c r="F780" s="141" t="n"/>
      <c r="G780" s="143" t="n"/>
      <c r="H780" s="27" t="n"/>
    </row>
    <row r="781" ht="17.25" customHeight="1" s="322">
      <c r="A781" s="27" t="n"/>
      <c r="B781" s="506" t="n"/>
      <c r="C781" s="141" t="n"/>
      <c r="D781" s="141" t="n"/>
      <c r="E781" s="141" t="n"/>
      <c r="F781" s="141" t="n"/>
      <c r="G781" s="143" t="n"/>
      <c r="H781" s="27" t="n"/>
    </row>
    <row r="782" ht="17.25" customHeight="1" s="322">
      <c r="A782" s="27" t="n"/>
      <c r="B782" s="506" t="n"/>
      <c r="C782" s="141" t="n"/>
      <c r="D782" s="141" t="n"/>
      <c r="E782" s="141" t="n"/>
      <c r="F782" s="141" t="n"/>
      <c r="G782" s="143" t="n"/>
      <c r="H782" s="27" t="n"/>
    </row>
    <row r="783" ht="17.25" customHeight="1" s="322">
      <c r="A783" s="27" t="n"/>
      <c r="B783" s="506" t="n"/>
      <c r="C783" s="141" t="n"/>
      <c r="D783" s="141" t="n"/>
      <c r="E783" s="141" t="n"/>
      <c r="F783" s="141" t="n"/>
      <c r="G783" s="143" t="n"/>
      <c r="H783" s="27" t="n"/>
    </row>
    <row r="784" ht="17.25" customHeight="1" s="322">
      <c r="A784" s="27" t="n"/>
      <c r="B784" s="506" t="n"/>
      <c r="C784" s="141" t="n"/>
      <c r="D784" s="141" t="n"/>
      <c r="E784" s="141" t="n"/>
      <c r="F784" s="141" t="n"/>
      <c r="G784" s="143" t="n"/>
      <c r="H784" s="27" t="n"/>
    </row>
    <row r="785" ht="17.25" customHeight="1" s="322">
      <c r="A785" s="27" t="n"/>
      <c r="B785" s="506" t="n"/>
      <c r="C785" s="141" t="n"/>
      <c r="D785" s="141" t="n"/>
      <c r="E785" s="141" t="n"/>
      <c r="F785" s="141" t="n"/>
      <c r="G785" s="143" t="n"/>
      <c r="H785" s="27" t="n"/>
    </row>
    <row r="786" ht="17.25" customHeight="1" s="322">
      <c r="A786" s="27" t="n"/>
      <c r="B786" s="506" t="n"/>
      <c r="C786" s="141" t="n"/>
      <c r="D786" s="141" t="n"/>
      <c r="E786" s="141" t="n"/>
      <c r="F786" s="141" t="n"/>
      <c r="G786" s="143" t="n"/>
      <c r="H786" s="27" t="n"/>
    </row>
    <row r="787" ht="17.25" customHeight="1" s="322">
      <c r="A787" s="27" t="n"/>
      <c r="B787" s="506" t="n"/>
      <c r="C787" s="141" t="n"/>
      <c r="D787" s="141" t="n"/>
      <c r="E787" s="141" t="n"/>
      <c r="F787" s="141" t="n"/>
      <c r="G787" s="143" t="n"/>
      <c r="H787" s="27" t="n"/>
    </row>
    <row r="788" ht="17.25" customHeight="1" s="322">
      <c r="A788" s="27" t="n"/>
      <c r="B788" s="506" t="n"/>
      <c r="C788" s="141" t="n"/>
      <c r="D788" s="141" t="n"/>
      <c r="E788" s="141" t="n"/>
      <c r="F788" s="141" t="n"/>
      <c r="G788" s="143" t="n"/>
      <c r="H788" s="27" t="n"/>
    </row>
    <row r="789" ht="17.25" customHeight="1" s="322">
      <c r="A789" s="27" t="n"/>
      <c r="B789" s="506" t="n"/>
      <c r="C789" s="141" t="n"/>
      <c r="D789" s="141" t="n"/>
      <c r="E789" s="141" t="n"/>
      <c r="F789" s="141" t="n"/>
      <c r="G789" s="143" t="n"/>
      <c r="H789" s="27" t="n"/>
    </row>
    <row r="790" ht="17.25" customHeight="1" s="322">
      <c r="A790" s="27" t="n"/>
      <c r="B790" s="506" t="n"/>
      <c r="C790" s="141" t="n"/>
      <c r="D790" s="141" t="n"/>
      <c r="E790" s="141" t="n"/>
      <c r="F790" s="141" t="n"/>
      <c r="G790" s="143" t="n"/>
      <c r="H790" s="27" t="n"/>
    </row>
    <row r="791" ht="17.25" customHeight="1" s="322">
      <c r="A791" s="27" t="n"/>
      <c r="B791" s="506" t="n"/>
      <c r="C791" s="141" t="n"/>
      <c r="D791" s="141" t="n"/>
      <c r="E791" s="141" t="n"/>
      <c r="F791" s="141" t="n"/>
      <c r="G791" s="143" t="n"/>
      <c r="H791" s="27" t="n"/>
    </row>
    <row r="792" ht="17.25" customHeight="1" s="322">
      <c r="A792" s="27" t="n"/>
      <c r="B792" s="506" t="n"/>
      <c r="C792" s="141" t="n"/>
      <c r="D792" s="141" t="n"/>
      <c r="E792" s="141" t="n"/>
      <c r="F792" s="141" t="n"/>
      <c r="G792" s="143" t="n"/>
      <c r="H792" s="27" t="n"/>
    </row>
    <row r="793" ht="17.25" customHeight="1" s="322">
      <c r="A793" s="27" t="n"/>
      <c r="B793" s="506" t="n"/>
      <c r="C793" s="141" t="n"/>
      <c r="D793" s="141" t="n"/>
      <c r="E793" s="141" t="n"/>
      <c r="F793" s="141" t="n"/>
      <c r="G793" s="143" t="n"/>
      <c r="H793" s="27" t="n"/>
    </row>
    <row r="794" ht="17.25" customHeight="1" s="322">
      <c r="A794" s="27" t="n"/>
      <c r="B794" s="506" t="n"/>
      <c r="C794" s="141" t="n"/>
      <c r="D794" s="141" t="n"/>
      <c r="E794" s="141" t="n"/>
      <c r="F794" s="141" t="n"/>
      <c r="G794" s="143" t="n"/>
      <c r="H794" s="27" t="n"/>
    </row>
    <row r="795" ht="17.25" customHeight="1" s="322">
      <c r="A795" s="27" t="n"/>
      <c r="B795" s="506" t="n"/>
      <c r="C795" s="141" t="n"/>
      <c r="D795" s="141" t="n"/>
      <c r="E795" s="141" t="n"/>
      <c r="F795" s="141" t="n"/>
      <c r="G795" s="143" t="n"/>
      <c r="H795" s="27" t="n"/>
    </row>
    <row r="796" ht="17.25" customHeight="1" s="322">
      <c r="A796" s="27" t="n"/>
      <c r="B796" s="506" t="n"/>
      <c r="C796" s="141" t="n"/>
      <c r="D796" s="141" t="n"/>
      <c r="E796" s="141" t="n"/>
      <c r="F796" s="141" t="n"/>
      <c r="G796" s="143" t="n"/>
      <c r="H796" s="27" t="n"/>
    </row>
    <row r="797" ht="17.25" customHeight="1" s="322">
      <c r="A797" s="27" t="n"/>
      <c r="B797" s="506" t="n"/>
      <c r="C797" s="141" t="n"/>
      <c r="D797" s="141" t="n"/>
      <c r="E797" s="141" t="n"/>
      <c r="F797" s="141" t="n"/>
      <c r="G797" s="143" t="n"/>
      <c r="H797" s="27" t="n"/>
    </row>
    <row r="798" ht="17.25" customHeight="1" s="322">
      <c r="A798" s="27" t="n"/>
      <c r="B798" s="506" t="n"/>
      <c r="C798" s="141" t="n"/>
      <c r="D798" s="141" t="n"/>
      <c r="E798" s="141" t="n"/>
      <c r="F798" s="141" t="n"/>
      <c r="G798" s="143" t="n"/>
      <c r="H798" s="27" t="n"/>
    </row>
    <row r="799" ht="17.25" customHeight="1" s="322">
      <c r="A799" s="27" t="n"/>
      <c r="B799" s="506" t="n"/>
      <c r="C799" s="141" t="n"/>
      <c r="D799" s="141" t="n"/>
      <c r="E799" s="141" t="n"/>
      <c r="F799" s="141" t="n"/>
      <c r="G799" s="143" t="n"/>
      <c r="H799" s="27" t="n"/>
    </row>
    <row r="800" ht="17.25" customHeight="1" s="322">
      <c r="A800" s="27" t="n"/>
      <c r="B800" s="506" t="n"/>
      <c r="C800" s="141" t="n"/>
      <c r="D800" s="141" t="n"/>
      <c r="E800" s="141" t="n"/>
      <c r="F800" s="141" t="n"/>
      <c r="G800" s="143" t="n"/>
      <c r="H800" s="27" t="n"/>
    </row>
    <row r="801" ht="17.25" customHeight="1" s="322">
      <c r="A801" s="27" t="n"/>
      <c r="B801" s="506" t="n"/>
      <c r="C801" s="141" t="n"/>
      <c r="D801" s="141" t="n"/>
      <c r="E801" s="141" t="n"/>
      <c r="F801" s="141" t="n"/>
      <c r="G801" s="143" t="n"/>
      <c r="H801" s="27" t="n"/>
    </row>
    <row r="802" ht="17.25" customHeight="1" s="322">
      <c r="A802" s="27" t="n"/>
      <c r="B802" s="506" t="n"/>
      <c r="C802" s="141" t="n"/>
      <c r="D802" s="141" t="n"/>
      <c r="E802" s="141" t="n"/>
      <c r="F802" s="141" t="n"/>
      <c r="G802" s="143" t="n"/>
      <c r="H802" s="27" t="n"/>
    </row>
    <row r="803" ht="17.25" customHeight="1" s="322">
      <c r="A803" s="27" t="n"/>
      <c r="B803" s="506" t="n"/>
      <c r="C803" s="141" t="n"/>
      <c r="D803" s="141" t="n"/>
      <c r="E803" s="141" t="n"/>
      <c r="F803" s="141" t="n"/>
      <c r="G803" s="143" t="n"/>
      <c r="H803" s="27" t="n"/>
    </row>
    <row r="804" ht="17.25" customHeight="1" s="322">
      <c r="A804" s="27" t="n"/>
      <c r="B804" s="506" t="n"/>
      <c r="C804" s="141" t="n"/>
      <c r="D804" s="141" t="n"/>
      <c r="E804" s="141" t="n"/>
      <c r="F804" s="141" t="n"/>
      <c r="G804" s="143" t="n"/>
      <c r="H804" s="27" t="n"/>
    </row>
    <row r="805" ht="17.25" customHeight="1" s="322">
      <c r="A805" s="27" t="n"/>
      <c r="B805" s="506" t="n"/>
      <c r="C805" s="141" t="n"/>
      <c r="D805" s="141" t="n"/>
      <c r="E805" s="141" t="n"/>
      <c r="F805" s="141" t="n"/>
      <c r="G805" s="143" t="n"/>
      <c r="H805" s="27" t="n"/>
    </row>
    <row r="806" ht="17.25" customHeight="1" s="322">
      <c r="A806" s="27" t="n"/>
      <c r="B806" s="506" t="n"/>
      <c r="C806" s="141" t="n"/>
      <c r="D806" s="141" t="n"/>
      <c r="E806" s="141" t="n"/>
      <c r="F806" s="141" t="n"/>
      <c r="G806" s="143" t="n"/>
      <c r="H806" s="27" t="n"/>
    </row>
    <row r="807" ht="17.25" customHeight="1" s="322">
      <c r="A807" s="27" t="n"/>
      <c r="B807" s="506" t="n"/>
      <c r="C807" s="141" t="n"/>
      <c r="D807" s="141" t="n"/>
      <c r="E807" s="141" t="n"/>
      <c r="F807" s="141" t="n"/>
      <c r="G807" s="143" t="n"/>
      <c r="H807" s="27" t="n"/>
    </row>
    <row r="808" ht="17.25" customHeight="1" s="322">
      <c r="A808" s="27" t="n"/>
      <c r="B808" s="506" t="n"/>
      <c r="C808" s="141" t="n"/>
      <c r="D808" s="141" t="n"/>
      <c r="E808" s="141" t="n"/>
      <c r="F808" s="141" t="n"/>
      <c r="G808" s="143" t="n"/>
      <c r="H808" s="27" t="n"/>
    </row>
    <row r="809" ht="17.25" customHeight="1" s="322">
      <c r="A809" s="27" t="n"/>
      <c r="B809" s="506" t="n"/>
      <c r="C809" s="141" t="n"/>
      <c r="D809" s="141" t="n"/>
      <c r="E809" s="141" t="n"/>
      <c r="F809" s="141" t="n"/>
      <c r="G809" s="143" t="n"/>
      <c r="H809" s="27" t="n"/>
    </row>
    <row r="810" ht="17.25" customHeight="1" s="322">
      <c r="A810" s="27" t="n"/>
      <c r="B810" s="506" t="n"/>
      <c r="C810" s="141" t="n"/>
      <c r="D810" s="141" t="n"/>
      <c r="E810" s="141" t="n"/>
      <c r="F810" s="141" t="n"/>
      <c r="G810" s="143" t="n"/>
      <c r="H810" s="27" t="n"/>
    </row>
    <row r="811" ht="17.25" customHeight="1" s="322">
      <c r="A811" s="27" t="n"/>
      <c r="B811" s="506" t="n"/>
      <c r="C811" s="141" t="n"/>
      <c r="D811" s="141" t="n"/>
      <c r="E811" s="141" t="n"/>
      <c r="F811" s="141" t="n"/>
      <c r="G811" s="143" t="n"/>
      <c r="H811" s="27" t="n"/>
    </row>
    <row r="812" ht="17.25" customHeight="1" s="322">
      <c r="A812" s="27" t="n"/>
      <c r="B812" s="506" t="n"/>
      <c r="C812" s="141" t="n"/>
      <c r="D812" s="141" t="n"/>
      <c r="E812" s="141" t="n"/>
      <c r="F812" s="141" t="n"/>
      <c r="G812" s="143" t="n"/>
      <c r="H812" s="27" t="n"/>
    </row>
    <row r="813" ht="17.25" customHeight="1" s="322">
      <c r="A813" s="27" t="n"/>
      <c r="B813" s="506" t="n"/>
      <c r="C813" s="141" t="n"/>
      <c r="D813" s="141" t="n"/>
      <c r="E813" s="141" t="n"/>
      <c r="F813" s="141" t="n"/>
      <c r="G813" s="143" t="n"/>
      <c r="H813" s="27" t="n"/>
    </row>
    <row r="814" ht="17.25" customHeight="1" s="322">
      <c r="A814" s="27" t="n"/>
      <c r="B814" s="506" t="n"/>
      <c r="C814" s="141" t="n"/>
      <c r="D814" s="141" t="n"/>
      <c r="E814" s="141" t="n"/>
      <c r="F814" s="141" t="n"/>
      <c r="G814" s="143" t="n"/>
      <c r="H814" s="27" t="n"/>
    </row>
    <row r="815" ht="17.25" customHeight="1" s="322">
      <c r="A815" s="27" t="n"/>
      <c r="B815" s="506" t="n"/>
      <c r="C815" s="141" t="n"/>
      <c r="D815" s="141" t="n"/>
      <c r="E815" s="141" t="n"/>
      <c r="F815" s="141" t="n"/>
      <c r="G815" s="143" t="n"/>
      <c r="H815" s="27" t="n"/>
    </row>
    <row r="816" ht="17.25" customHeight="1" s="322">
      <c r="A816" s="27" t="n"/>
      <c r="B816" s="506" t="n"/>
      <c r="C816" s="141" t="n"/>
      <c r="D816" s="141" t="n"/>
      <c r="E816" s="141" t="n"/>
      <c r="F816" s="141" t="n"/>
      <c r="G816" s="143" t="n"/>
      <c r="H816" s="27" t="n"/>
    </row>
    <row r="817" ht="17.25" customHeight="1" s="322">
      <c r="A817" s="27" t="n"/>
      <c r="B817" s="506" t="n"/>
      <c r="C817" s="141" t="n"/>
      <c r="D817" s="141" t="n"/>
      <c r="E817" s="141" t="n"/>
      <c r="F817" s="141" t="n"/>
      <c r="G817" s="143" t="n"/>
      <c r="H817" s="27" t="n"/>
    </row>
    <row r="818" ht="17.25" customHeight="1" s="322">
      <c r="A818" s="27" t="n"/>
      <c r="B818" s="506" t="n"/>
      <c r="C818" s="141" t="n"/>
      <c r="D818" s="141" t="n"/>
      <c r="E818" s="141" t="n"/>
      <c r="F818" s="141" t="n"/>
      <c r="G818" s="143" t="n"/>
      <c r="H818" s="27" t="n"/>
    </row>
    <row r="819" ht="17.25" customHeight="1" s="322">
      <c r="A819" s="27" t="n"/>
      <c r="B819" s="506" t="n"/>
      <c r="C819" s="141" t="n"/>
      <c r="D819" s="141" t="n"/>
      <c r="E819" s="141" t="n"/>
      <c r="F819" s="141" t="n"/>
      <c r="G819" s="143" t="n"/>
      <c r="H819" s="27" t="n"/>
    </row>
    <row r="820" ht="17.25" customHeight="1" s="322">
      <c r="A820" s="27" t="n"/>
      <c r="B820" s="506" t="n"/>
      <c r="C820" s="141" t="n"/>
      <c r="D820" s="141" t="n"/>
      <c r="E820" s="141" t="n"/>
      <c r="F820" s="141" t="n"/>
      <c r="G820" s="143" t="n"/>
      <c r="H820" s="27" t="n"/>
    </row>
    <row r="821" ht="17.25" customHeight="1" s="322">
      <c r="A821" s="27" t="n"/>
      <c r="B821" s="506" t="n"/>
      <c r="C821" s="141" t="n"/>
      <c r="D821" s="141" t="n"/>
      <c r="E821" s="141" t="n"/>
      <c r="F821" s="141" t="n"/>
      <c r="G821" s="143" t="n"/>
      <c r="H821" s="27" t="n"/>
    </row>
    <row r="822" ht="17.25" customHeight="1" s="322">
      <c r="A822" s="27" t="n"/>
      <c r="B822" s="506" t="n"/>
      <c r="C822" s="141" t="n"/>
      <c r="D822" s="141" t="n"/>
      <c r="E822" s="141" t="n"/>
      <c r="F822" s="141" t="n"/>
      <c r="G822" s="143" t="n"/>
      <c r="H822" s="27" t="n"/>
    </row>
    <row r="823" ht="17.25" customHeight="1" s="322">
      <c r="A823" s="27" t="n"/>
      <c r="B823" s="506" t="n"/>
      <c r="C823" s="141" t="n"/>
      <c r="D823" s="141" t="n"/>
      <c r="E823" s="141" t="n"/>
      <c r="F823" s="141" t="n"/>
      <c r="G823" s="143" t="n"/>
      <c r="H823" s="27" t="n"/>
    </row>
    <row r="824" ht="17.25" customHeight="1" s="322">
      <c r="A824" s="27" t="n"/>
      <c r="B824" s="506" t="n"/>
      <c r="C824" s="141" t="n"/>
      <c r="D824" s="141" t="n"/>
      <c r="E824" s="141" t="n"/>
      <c r="F824" s="141" t="n"/>
      <c r="G824" s="143" t="n"/>
      <c r="H824" s="27" t="n"/>
    </row>
    <row r="825" ht="17.25" customHeight="1" s="322">
      <c r="A825" s="27" t="n"/>
      <c r="B825" s="506" t="n"/>
      <c r="C825" s="141" t="n"/>
      <c r="D825" s="141" t="n"/>
      <c r="E825" s="141" t="n"/>
      <c r="F825" s="141" t="n"/>
      <c r="G825" s="143" t="n"/>
      <c r="H825" s="27" t="n"/>
    </row>
    <row r="826" ht="17.25" customHeight="1" s="322">
      <c r="A826" s="27" t="n"/>
      <c r="B826" s="506" t="n"/>
      <c r="C826" s="141" t="n"/>
      <c r="D826" s="141" t="n"/>
      <c r="E826" s="141" t="n"/>
      <c r="F826" s="141" t="n"/>
      <c r="G826" s="143" t="n"/>
      <c r="H826" s="27" t="n"/>
    </row>
    <row r="827" ht="17.25" customHeight="1" s="322">
      <c r="A827" s="27" t="n"/>
      <c r="B827" s="506" t="n"/>
      <c r="C827" s="141" t="n"/>
      <c r="D827" s="141" t="n"/>
      <c r="E827" s="141" t="n"/>
      <c r="F827" s="141" t="n"/>
      <c r="G827" s="143" t="n"/>
      <c r="H827" s="27" t="n"/>
    </row>
    <row r="828" ht="17.25" customHeight="1" s="322">
      <c r="A828" s="27" t="n"/>
      <c r="B828" s="506" t="n"/>
      <c r="C828" s="141" t="n"/>
      <c r="D828" s="141" t="n"/>
      <c r="E828" s="141" t="n"/>
      <c r="F828" s="141" t="n"/>
      <c r="G828" s="143" t="n"/>
      <c r="H828" s="27" t="n"/>
    </row>
    <row r="829" ht="17.25" customHeight="1" s="322">
      <c r="A829" s="27" t="n"/>
      <c r="B829" s="506" t="n"/>
      <c r="C829" s="141" t="n"/>
      <c r="D829" s="141" t="n"/>
      <c r="E829" s="141" t="n"/>
      <c r="F829" s="141" t="n"/>
      <c r="G829" s="143" t="n"/>
      <c r="H829" s="27" t="n"/>
    </row>
    <row r="830" ht="17.25" customHeight="1" s="322">
      <c r="A830" s="27" t="n"/>
      <c r="B830" s="506" t="n"/>
      <c r="C830" s="141" t="n"/>
      <c r="D830" s="141" t="n"/>
      <c r="E830" s="141" t="n"/>
      <c r="F830" s="141" t="n"/>
      <c r="G830" s="143" t="n"/>
      <c r="H830" s="27" t="n"/>
    </row>
    <row r="831" ht="17.25" customHeight="1" s="322">
      <c r="A831" s="27" t="n"/>
      <c r="B831" s="506" t="n"/>
      <c r="C831" s="141" t="n"/>
      <c r="D831" s="141" t="n"/>
      <c r="E831" s="141" t="n"/>
      <c r="F831" s="141" t="n"/>
      <c r="G831" s="143" t="n"/>
      <c r="H831" s="27" t="n"/>
    </row>
    <row r="832" ht="17.25" customHeight="1" s="322">
      <c r="A832" s="27" t="n"/>
      <c r="B832" s="506" t="n"/>
      <c r="C832" s="141" t="n"/>
      <c r="D832" s="141" t="n"/>
      <c r="E832" s="141" t="n"/>
      <c r="F832" s="141" t="n"/>
      <c r="G832" s="143" t="n"/>
      <c r="H832" s="27" t="n"/>
    </row>
    <row r="833" ht="17.25" customHeight="1" s="322">
      <c r="A833" s="27" t="n"/>
      <c r="B833" s="506" t="n"/>
      <c r="C833" s="141" t="n"/>
      <c r="D833" s="141" t="n"/>
      <c r="E833" s="141" t="n"/>
      <c r="F833" s="141" t="n"/>
      <c r="G833" s="143" t="n"/>
      <c r="H833" s="27" t="n"/>
    </row>
    <row r="834" ht="17.25" customHeight="1" s="322">
      <c r="A834" s="27" t="n"/>
      <c r="B834" s="506" t="n"/>
      <c r="C834" s="141" t="n"/>
      <c r="D834" s="141" t="n"/>
      <c r="E834" s="141" t="n"/>
      <c r="F834" s="141" t="n"/>
      <c r="G834" s="143" t="n"/>
      <c r="H834" s="27" t="n"/>
    </row>
    <row r="835" ht="17.25" customHeight="1" s="322">
      <c r="A835" s="27" t="n"/>
      <c r="B835" s="506" t="n"/>
      <c r="C835" s="141" t="n"/>
      <c r="D835" s="141" t="n"/>
      <c r="E835" s="141" t="n"/>
      <c r="F835" s="141" t="n"/>
      <c r="G835" s="143" t="n"/>
      <c r="H835" s="27" t="n"/>
    </row>
    <row r="836" ht="17.25" customHeight="1" s="322">
      <c r="A836" s="27" t="n"/>
      <c r="B836" s="506" t="n"/>
      <c r="C836" s="141" t="n"/>
      <c r="D836" s="141" t="n"/>
      <c r="E836" s="141" t="n"/>
      <c r="F836" s="141" t="n"/>
      <c r="G836" s="143" t="n"/>
      <c r="H836" s="27" t="n"/>
    </row>
    <row r="837" ht="17.25" customHeight="1" s="322">
      <c r="A837" s="27" t="n"/>
      <c r="B837" s="506" t="n"/>
      <c r="C837" s="141" t="n"/>
      <c r="D837" s="141" t="n"/>
      <c r="E837" s="141" t="n"/>
      <c r="F837" s="141" t="n"/>
      <c r="G837" s="143" t="n"/>
      <c r="H837" s="27" t="n"/>
    </row>
    <row r="838" ht="17.25" customHeight="1" s="322">
      <c r="A838" s="27" t="n"/>
      <c r="B838" s="506" t="n"/>
      <c r="C838" s="141" t="n"/>
      <c r="D838" s="141" t="n"/>
      <c r="E838" s="141" t="n"/>
      <c r="F838" s="141" t="n"/>
      <c r="G838" s="143" t="n"/>
      <c r="H838" s="27" t="n"/>
    </row>
    <row r="839" ht="17.25" customHeight="1" s="322">
      <c r="A839" s="27" t="n"/>
      <c r="B839" s="506" t="n"/>
      <c r="C839" s="141" t="n"/>
      <c r="D839" s="141" t="n"/>
      <c r="E839" s="141" t="n"/>
      <c r="F839" s="141" t="n"/>
      <c r="G839" s="143" t="n"/>
      <c r="H839" s="27" t="n"/>
    </row>
    <row r="840" ht="17.25" customHeight="1" s="322">
      <c r="A840" s="27" t="n"/>
      <c r="B840" s="506" t="n"/>
      <c r="C840" s="141" t="n"/>
      <c r="D840" s="141" t="n"/>
      <c r="E840" s="141" t="n"/>
      <c r="F840" s="141" t="n"/>
      <c r="G840" s="143" t="n"/>
      <c r="H840" s="27" t="n"/>
    </row>
    <row r="841" ht="17.25" customHeight="1" s="322">
      <c r="A841" s="27" t="n"/>
      <c r="B841" s="506" t="n"/>
      <c r="C841" s="141" t="n"/>
      <c r="D841" s="141" t="n"/>
      <c r="E841" s="141" t="n"/>
      <c r="F841" s="141" t="n"/>
      <c r="G841" s="143" t="n"/>
      <c r="H841" s="27" t="n"/>
    </row>
    <row r="842" ht="17.25" customHeight="1" s="322">
      <c r="A842" s="27" t="n"/>
      <c r="B842" s="506" t="n"/>
      <c r="C842" s="141" t="n"/>
      <c r="D842" s="141" t="n"/>
      <c r="E842" s="141" t="n"/>
      <c r="F842" s="141" t="n"/>
      <c r="G842" s="143" t="n"/>
      <c r="H842" s="27" t="n"/>
    </row>
    <row r="843" ht="17.25" customHeight="1" s="322">
      <c r="A843" s="27" t="n"/>
      <c r="B843" s="506" t="n"/>
      <c r="C843" s="141" t="n"/>
      <c r="D843" s="141" t="n"/>
      <c r="E843" s="141" t="n"/>
      <c r="F843" s="141" t="n"/>
      <c r="G843" s="143" t="n"/>
      <c r="H843" s="27" t="n"/>
    </row>
    <row r="844" ht="17.25" customHeight="1" s="322">
      <c r="A844" s="27" t="n"/>
      <c r="B844" s="506" t="n"/>
      <c r="C844" s="141" t="n"/>
      <c r="D844" s="141" t="n"/>
      <c r="E844" s="141" t="n"/>
      <c r="F844" s="141" t="n"/>
      <c r="G844" s="143" t="n"/>
      <c r="H844" s="27" t="n"/>
    </row>
    <row r="845" ht="17.25" customHeight="1" s="322">
      <c r="A845" s="27" t="n"/>
      <c r="B845" s="506" t="n"/>
      <c r="C845" s="141" t="n"/>
      <c r="D845" s="141" t="n"/>
      <c r="E845" s="141" t="n"/>
      <c r="F845" s="141" t="n"/>
      <c r="G845" s="143" t="n"/>
      <c r="H845" s="27" t="n"/>
    </row>
    <row r="846" ht="17.25" customHeight="1" s="322">
      <c r="A846" s="27" t="n"/>
      <c r="B846" s="506" t="n"/>
      <c r="C846" s="141" t="n"/>
      <c r="D846" s="141" t="n"/>
      <c r="E846" s="141" t="n"/>
      <c r="F846" s="141" t="n"/>
      <c r="G846" s="143" t="n"/>
      <c r="H846" s="27" t="n"/>
    </row>
    <row r="847" ht="17.25" customHeight="1" s="322">
      <c r="A847" s="27" t="n"/>
      <c r="B847" s="506" t="n"/>
      <c r="C847" s="141" t="n"/>
      <c r="D847" s="141" t="n"/>
      <c r="E847" s="141" t="n"/>
      <c r="F847" s="141" t="n"/>
      <c r="G847" s="143" t="n"/>
      <c r="H847" s="27" t="n"/>
    </row>
    <row r="848" ht="17.25" customHeight="1" s="322">
      <c r="A848" s="27" t="n"/>
      <c r="B848" s="506" t="n"/>
      <c r="C848" s="141" t="n"/>
      <c r="D848" s="141" t="n"/>
      <c r="E848" s="141" t="n"/>
      <c r="F848" s="141" t="n"/>
      <c r="G848" s="143" t="n"/>
      <c r="H848" s="27" t="n"/>
    </row>
    <row r="849" ht="17.25" customHeight="1" s="322">
      <c r="A849" s="27" t="n"/>
      <c r="B849" s="506" t="n"/>
      <c r="C849" s="141" t="n"/>
      <c r="D849" s="141" t="n"/>
      <c r="E849" s="141" t="n"/>
      <c r="F849" s="141" t="n"/>
      <c r="G849" s="143" t="n"/>
      <c r="H849" s="27" t="n"/>
    </row>
    <row r="850" ht="17.25" customHeight="1" s="322">
      <c r="A850" s="27" t="n"/>
      <c r="B850" s="506" t="n"/>
      <c r="C850" s="141" t="n"/>
      <c r="D850" s="141" t="n"/>
      <c r="E850" s="141" t="n"/>
      <c r="F850" s="141" t="n"/>
      <c r="G850" s="143" t="n"/>
      <c r="H850" s="27" t="n"/>
    </row>
    <row r="851" ht="17.25" customHeight="1" s="322">
      <c r="A851" s="27" t="n"/>
      <c r="B851" s="506" t="n"/>
      <c r="C851" s="141" t="n"/>
      <c r="D851" s="141" t="n"/>
      <c r="E851" s="141" t="n"/>
      <c r="F851" s="141" t="n"/>
      <c r="G851" s="143" t="n"/>
      <c r="H851" s="27" t="n"/>
    </row>
    <row r="852" ht="17.25" customHeight="1" s="322">
      <c r="A852" s="27" t="n"/>
      <c r="B852" s="506" t="n"/>
      <c r="C852" s="141" t="n"/>
      <c r="D852" s="141" t="n"/>
      <c r="E852" s="141" t="n"/>
      <c r="F852" s="141" t="n"/>
      <c r="G852" s="143" t="n"/>
      <c r="H852" s="27" t="n"/>
    </row>
    <row r="853" ht="17.25" customHeight="1" s="322">
      <c r="A853" s="27" t="n"/>
      <c r="B853" s="506" t="n"/>
      <c r="C853" s="141" t="n"/>
      <c r="D853" s="141" t="n"/>
      <c r="E853" s="141" t="n"/>
      <c r="F853" s="141" t="n"/>
      <c r="G853" s="143" t="n"/>
      <c r="H853" s="27" t="n"/>
    </row>
    <row r="854" ht="17.25" customHeight="1" s="322">
      <c r="A854" s="27" t="n"/>
      <c r="B854" s="506" t="n"/>
      <c r="C854" s="141" t="n"/>
      <c r="D854" s="141" t="n"/>
      <c r="E854" s="141" t="n"/>
      <c r="F854" s="141" t="n"/>
      <c r="G854" s="143" t="n"/>
      <c r="H854" s="27" t="n"/>
    </row>
    <row r="855" ht="17.25" customHeight="1" s="322">
      <c r="A855" s="27" t="n"/>
      <c r="B855" s="506" t="n"/>
      <c r="C855" s="141" t="n"/>
      <c r="D855" s="141" t="n"/>
      <c r="E855" s="141" t="n"/>
      <c r="F855" s="141" t="n"/>
      <c r="G855" s="143" t="n"/>
      <c r="H855" s="27" t="n"/>
    </row>
    <row r="856" ht="17.25" customHeight="1" s="322">
      <c r="A856" s="27" t="n"/>
      <c r="B856" s="506" t="n"/>
      <c r="C856" s="141" t="n"/>
      <c r="D856" s="141" t="n"/>
      <c r="E856" s="141" t="n"/>
      <c r="F856" s="141" t="n"/>
      <c r="G856" s="143" t="n"/>
      <c r="H856" s="27" t="n"/>
    </row>
    <row r="857" ht="17.25" customHeight="1" s="322">
      <c r="A857" s="27" t="n"/>
      <c r="B857" s="506" t="n"/>
      <c r="C857" s="141" t="n"/>
      <c r="D857" s="141" t="n"/>
      <c r="E857" s="141" t="n"/>
      <c r="F857" s="141" t="n"/>
      <c r="G857" s="143" t="n"/>
      <c r="H857" s="27" t="n"/>
    </row>
    <row r="858" ht="17.25" customHeight="1" s="322">
      <c r="A858" s="27" t="n"/>
      <c r="B858" s="506" t="n"/>
      <c r="C858" s="141" t="n"/>
      <c r="D858" s="141" t="n"/>
      <c r="E858" s="141" t="n"/>
      <c r="F858" s="141" t="n"/>
      <c r="G858" s="143" t="n"/>
      <c r="H858" s="27" t="n"/>
    </row>
    <row r="859" ht="17.25" customHeight="1" s="322">
      <c r="A859" s="27" t="n"/>
      <c r="B859" s="506" t="n"/>
      <c r="C859" s="141" t="n"/>
      <c r="D859" s="141" t="n"/>
      <c r="E859" s="141" t="n"/>
      <c r="F859" s="141" t="n"/>
      <c r="G859" s="143" t="n"/>
      <c r="H859" s="27" t="n"/>
    </row>
    <row r="860" ht="17.25" customHeight="1" s="322">
      <c r="A860" s="27" t="n"/>
      <c r="B860" s="506" t="n"/>
      <c r="C860" s="141" t="n"/>
      <c r="D860" s="141" t="n"/>
      <c r="E860" s="141" t="n"/>
      <c r="F860" s="141" t="n"/>
      <c r="G860" s="143" t="n"/>
      <c r="H860" s="27" t="n"/>
    </row>
    <row r="861" ht="17.25" customHeight="1" s="322">
      <c r="A861" s="27" t="n"/>
      <c r="B861" s="506" t="n"/>
      <c r="C861" s="141" t="n"/>
      <c r="D861" s="141" t="n"/>
      <c r="E861" s="141" t="n"/>
      <c r="F861" s="141" t="n"/>
      <c r="G861" s="143" t="n"/>
      <c r="H861" s="27" t="n"/>
    </row>
    <row r="862" ht="17.25" customHeight="1" s="322">
      <c r="A862" s="27" t="n"/>
      <c r="B862" s="506" t="n"/>
      <c r="C862" s="141" t="n"/>
      <c r="D862" s="141" t="n"/>
      <c r="E862" s="141" t="n"/>
      <c r="F862" s="141" t="n"/>
      <c r="G862" s="143" t="n"/>
      <c r="H862" s="27" t="n"/>
    </row>
    <row r="863" ht="17.25" customHeight="1" s="322">
      <c r="A863" s="27" t="n"/>
      <c r="B863" s="506" t="n"/>
      <c r="C863" s="141" t="n"/>
      <c r="D863" s="141" t="n"/>
      <c r="E863" s="141" t="n"/>
      <c r="F863" s="141" t="n"/>
      <c r="G863" s="143" t="n"/>
      <c r="H863" s="27" t="n"/>
    </row>
    <row r="864" ht="17.25" customHeight="1" s="322">
      <c r="A864" s="27" t="n"/>
      <c r="B864" s="506" t="n"/>
      <c r="C864" s="141" t="n"/>
      <c r="D864" s="141" t="n"/>
      <c r="E864" s="141" t="n"/>
      <c r="F864" s="141" t="n"/>
      <c r="G864" s="143" t="n"/>
      <c r="H864" s="27" t="n"/>
    </row>
    <row r="865" ht="17.25" customHeight="1" s="322">
      <c r="A865" s="27" t="n"/>
      <c r="B865" s="506" t="n"/>
      <c r="C865" s="141" t="n"/>
      <c r="D865" s="141" t="n"/>
      <c r="E865" s="141" t="n"/>
      <c r="F865" s="141" t="n"/>
      <c r="G865" s="143" t="n"/>
      <c r="H865" s="27" t="n"/>
    </row>
    <row r="866" ht="17.25" customHeight="1" s="322">
      <c r="A866" s="27" t="n"/>
      <c r="B866" s="506" t="n"/>
      <c r="C866" s="141" t="n"/>
      <c r="D866" s="141" t="n"/>
      <c r="E866" s="141" t="n"/>
      <c r="F866" s="141" t="n"/>
      <c r="G866" s="143" t="n"/>
      <c r="H866" s="27" t="n"/>
    </row>
    <row r="867" ht="17.25" customHeight="1" s="322">
      <c r="A867" s="27" t="n"/>
      <c r="B867" s="506" t="n"/>
      <c r="C867" s="141" t="n"/>
      <c r="D867" s="141" t="n"/>
      <c r="E867" s="141" t="n"/>
      <c r="F867" s="141" t="n"/>
      <c r="G867" s="143" t="n"/>
      <c r="H867" s="27" t="n"/>
    </row>
    <row r="868" ht="17.25" customHeight="1" s="322">
      <c r="A868" s="27" t="n"/>
      <c r="B868" s="506" t="n"/>
      <c r="C868" s="141" t="n"/>
      <c r="D868" s="141" t="n"/>
      <c r="E868" s="141" t="n"/>
      <c r="F868" s="141" t="n"/>
      <c r="G868" s="143" t="n"/>
      <c r="H868" s="27" t="n"/>
    </row>
    <row r="869" ht="17.25" customHeight="1" s="322">
      <c r="A869" s="27" t="n"/>
      <c r="B869" s="506" t="n"/>
      <c r="C869" s="141" t="n"/>
      <c r="D869" s="141" t="n"/>
      <c r="E869" s="141" t="n"/>
      <c r="F869" s="141" t="n"/>
      <c r="G869" s="143" t="n"/>
      <c r="H869" s="27" t="n"/>
    </row>
    <row r="870" ht="17.25" customHeight="1" s="322">
      <c r="A870" s="27" t="n"/>
      <c r="B870" s="506" t="n"/>
      <c r="C870" s="141" t="n"/>
      <c r="D870" s="141" t="n"/>
      <c r="E870" s="141" t="n"/>
      <c r="F870" s="141" t="n"/>
      <c r="G870" s="143" t="n"/>
      <c r="H870" s="27" t="n"/>
    </row>
    <row r="871" ht="17.25" customHeight="1" s="322">
      <c r="A871" s="27" t="n"/>
      <c r="B871" s="506" t="n"/>
      <c r="C871" s="141" t="n"/>
      <c r="D871" s="141" t="n"/>
      <c r="E871" s="141" t="n"/>
      <c r="F871" s="141" t="n"/>
      <c r="G871" s="143" t="n"/>
      <c r="H871" s="27" t="n"/>
    </row>
    <row r="872" ht="17.25" customHeight="1" s="322">
      <c r="A872" s="27" t="n"/>
      <c r="B872" s="506" t="n"/>
      <c r="C872" s="141" t="n"/>
      <c r="D872" s="141" t="n"/>
      <c r="E872" s="141" t="n"/>
      <c r="F872" s="141" t="n"/>
      <c r="G872" s="143" t="n"/>
      <c r="H872" s="27" t="n"/>
    </row>
    <row r="873" ht="17.25" customHeight="1" s="322">
      <c r="A873" s="27" t="n"/>
      <c r="B873" s="506" t="n"/>
      <c r="C873" s="141" t="n"/>
      <c r="D873" s="141" t="n"/>
      <c r="E873" s="141" t="n"/>
      <c r="F873" s="141" t="n"/>
      <c r="G873" s="143" t="n"/>
      <c r="H873" s="27" t="n"/>
    </row>
    <row r="874" ht="17.25" customHeight="1" s="322">
      <c r="A874" s="27" t="n"/>
      <c r="B874" s="506" t="n"/>
      <c r="C874" s="141" t="n"/>
      <c r="D874" s="141" t="n"/>
      <c r="E874" s="141" t="n"/>
      <c r="F874" s="141" t="n"/>
      <c r="G874" s="143" t="n"/>
      <c r="H874" s="27" t="n"/>
    </row>
    <row r="875" ht="17.25" customHeight="1" s="322">
      <c r="A875" s="27" t="n"/>
      <c r="B875" s="506" t="n"/>
      <c r="C875" s="141" t="n"/>
      <c r="D875" s="141" t="n"/>
      <c r="E875" s="141" t="n"/>
      <c r="F875" s="141" t="n"/>
      <c r="G875" s="143" t="n"/>
      <c r="H875" s="27" t="n"/>
    </row>
    <row r="876" ht="17.25" customHeight="1" s="322">
      <c r="A876" s="27" t="n"/>
      <c r="B876" s="506" t="n"/>
      <c r="C876" s="141" t="n"/>
      <c r="D876" s="141" t="n"/>
      <c r="E876" s="141" t="n"/>
      <c r="F876" s="141" t="n"/>
      <c r="G876" s="143" t="n"/>
      <c r="H876" s="27" t="n"/>
    </row>
    <row r="877" ht="17.25" customHeight="1" s="322">
      <c r="A877" s="27" t="n"/>
      <c r="B877" s="506" t="n"/>
      <c r="C877" s="141" t="n"/>
      <c r="D877" s="141" t="n"/>
      <c r="E877" s="141" t="n"/>
      <c r="F877" s="141" t="n"/>
      <c r="G877" s="143" t="n"/>
      <c r="H877" s="27" t="n"/>
    </row>
    <row r="878" ht="17.25" customHeight="1" s="322">
      <c r="A878" s="27" t="n"/>
      <c r="B878" s="506" t="n"/>
      <c r="C878" s="141" t="n"/>
      <c r="D878" s="141" t="n"/>
      <c r="E878" s="141" t="n"/>
      <c r="F878" s="141" t="n"/>
      <c r="G878" s="143" t="n"/>
      <c r="H878" s="27" t="n"/>
    </row>
    <row r="879" ht="17.25" customHeight="1" s="322">
      <c r="A879" s="27" t="n"/>
      <c r="B879" s="506" t="n"/>
      <c r="C879" s="141" t="n"/>
      <c r="D879" s="141" t="n"/>
      <c r="E879" s="141" t="n"/>
      <c r="F879" s="141" t="n"/>
      <c r="G879" s="143" t="n"/>
      <c r="H879" s="27" t="n"/>
    </row>
    <row r="880" ht="17.25" customHeight="1" s="322">
      <c r="A880" s="27" t="n"/>
      <c r="B880" s="506" t="n"/>
      <c r="C880" s="141" t="n"/>
      <c r="D880" s="141" t="n"/>
      <c r="E880" s="141" t="n"/>
      <c r="F880" s="141" t="n"/>
      <c r="G880" s="143" t="n"/>
      <c r="H880" s="27" t="n"/>
    </row>
    <row r="881" ht="17.25" customHeight="1" s="322">
      <c r="A881" s="27" t="n"/>
      <c r="B881" s="506" t="n"/>
      <c r="C881" s="141" t="n"/>
      <c r="D881" s="141" t="n"/>
      <c r="E881" s="141" t="n"/>
      <c r="F881" s="141" t="n"/>
      <c r="G881" s="143" t="n"/>
      <c r="H881" s="27" t="n"/>
    </row>
    <row r="882" ht="17.25" customHeight="1" s="322">
      <c r="A882" s="27" t="n"/>
      <c r="B882" s="506" t="n"/>
      <c r="C882" s="141" t="n"/>
      <c r="D882" s="141" t="n"/>
      <c r="E882" s="141" t="n"/>
      <c r="F882" s="141" t="n"/>
      <c r="G882" s="143" t="n"/>
      <c r="H882" s="27" t="n"/>
    </row>
    <row r="883" ht="17.25" customHeight="1" s="322">
      <c r="A883" s="27" t="n"/>
      <c r="B883" s="506" t="n"/>
      <c r="C883" s="141" t="n"/>
      <c r="D883" s="141" t="n"/>
      <c r="E883" s="141" t="n"/>
      <c r="F883" s="141" t="n"/>
      <c r="G883" s="143" t="n"/>
      <c r="H883" s="27" t="n"/>
    </row>
    <row r="884" ht="17.25" customHeight="1" s="322">
      <c r="A884" s="27" t="n"/>
      <c r="B884" s="506" t="n"/>
      <c r="C884" s="141" t="n"/>
      <c r="D884" s="141" t="n"/>
      <c r="E884" s="141" t="n"/>
      <c r="F884" s="141" t="n"/>
      <c r="G884" s="143" t="n"/>
      <c r="H884" s="27" t="n"/>
    </row>
    <row r="885" ht="17.25" customHeight="1" s="322">
      <c r="A885" s="27" t="n"/>
      <c r="B885" s="506" t="n"/>
      <c r="C885" s="141" t="n"/>
      <c r="D885" s="141" t="n"/>
      <c r="E885" s="141" t="n"/>
      <c r="F885" s="141" t="n"/>
      <c r="G885" s="143" t="n"/>
      <c r="H885" s="27" t="n"/>
    </row>
    <row r="886" ht="17.25" customHeight="1" s="322">
      <c r="A886" s="27" t="n"/>
      <c r="B886" s="506" t="n"/>
      <c r="C886" s="141" t="n"/>
      <c r="D886" s="141" t="n"/>
      <c r="E886" s="141" t="n"/>
      <c r="F886" s="141" t="n"/>
      <c r="G886" s="143" t="n"/>
      <c r="H886" s="27" t="n"/>
    </row>
    <row r="887" ht="17.25" customHeight="1" s="322">
      <c r="A887" s="27" t="n"/>
      <c r="B887" s="506" t="n"/>
      <c r="C887" s="141" t="n"/>
      <c r="D887" s="141" t="n"/>
      <c r="E887" s="141" t="n"/>
      <c r="F887" s="141" t="n"/>
      <c r="G887" s="143" t="n"/>
      <c r="H887" s="27" t="n"/>
    </row>
    <row r="888" ht="17.25" customHeight="1" s="322">
      <c r="A888" s="27" t="n"/>
      <c r="B888" s="506" t="n"/>
      <c r="C888" s="141" t="n"/>
      <c r="D888" s="141" t="n"/>
      <c r="E888" s="141" t="n"/>
      <c r="F888" s="141" t="n"/>
      <c r="G888" s="143" t="n"/>
      <c r="H888" s="27" t="n"/>
    </row>
    <row r="889" ht="17.25" customHeight="1" s="322">
      <c r="A889" s="27" t="n"/>
      <c r="B889" s="506" t="n"/>
      <c r="C889" s="141" t="n"/>
      <c r="D889" s="141" t="n"/>
      <c r="E889" s="141" t="n"/>
      <c r="F889" s="141" t="n"/>
      <c r="G889" s="143" t="n"/>
      <c r="H889" s="27" t="n"/>
    </row>
    <row r="890" ht="17.25" customHeight="1" s="322">
      <c r="A890" s="27" t="n"/>
      <c r="B890" s="506" t="n"/>
      <c r="C890" s="141" t="n"/>
      <c r="D890" s="141" t="n"/>
      <c r="E890" s="141" t="n"/>
      <c r="F890" s="141" t="n"/>
      <c r="G890" s="143" t="n"/>
      <c r="H890" s="27" t="n"/>
    </row>
    <row r="891" ht="17.25" customHeight="1" s="322">
      <c r="A891" s="27" t="n"/>
      <c r="B891" s="506" t="n"/>
      <c r="C891" s="141" t="n"/>
      <c r="D891" s="141" t="n"/>
      <c r="E891" s="141" t="n"/>
      <c r="F891" s="141" t="n"/>
      <c r="G891" s="143" t="n"/>
      <c r="H891" s="27" t="n"/>
    </row>
    <row r="892" ht="17.25" customHeight="1" s="322">
      <c r="A892" s="27" t="n"/>
      <c r="B892" s="506" t="n"/>
      <c r="C892" s="141" t="n"/>
      <c r="D892" s="141" t="n"/>
      <c r="E892" s="141" t="n"/>
      <c r="F892" s="141" t="n"/>
      <c r="G892" s="143" t="n"/>
      <c r="H892" s="27" t="n"/>
    </row>
    <row r="893" ht="17.25" customHeight="1" s="322">
      <c r="A893" s="27" t="n"/>
      <c r="B893" s="506" t="n"/>
      <c r="C893" s="141" t="n"/>
      <c r="D893" s="141" t="n"/>
      <c r="E893" s="141" t="n"/>
      <c r="F893" s="141" t="n"/>
      <c r="G893" s="143" t="n"/>
      <c r="H893" s="27" t="n"/>
    </row>
    <row r="894" ht="17.25" customHeight="1" s="322">
      <c r="A894" s="27" t="n"/>
      <c r="B894" s="506" t="n"/>
      <c r="C894" s="141" t="n"/>
      <c r="D894" s="141" t="n"/>
      <c r="E894" s="141" t="n"/>
      <c r="F894" s="141" t="n"/>
      <c r="G894" s="143" t="n"/>
      <c r="H894" s="27" t="n"/>
    </row>
    <row r="895" ht="17.25" customHeight="1" s="322">
      <c r="A895" s="27" t="n"/>
      <c r="B895" s="506" t="n"/>
      <c r="C895" s="141" t="n"/>
      <c r="D895" s="141" t="n"/>
      <c r="E895" s="141" t="n"/>
      <c r="F895" s="141" t="n"/>
      <c r="G895" s="143" t="n"/>
      <c r="H895" s="27" t="n"/>
    </row>
    <row r="896" ht="17.25" customHeight="1" s="322">
      <c r="A896" s="27" t="n"/>
      <c r="B896" s="506" t="n"/>
      <c r="C896" s="141" t="n"/>
      <c r="D896" s="141" t="n"/>
      <c r="E896" s="141" t="n"/>
      <c r="F896" s="141" t="n"/>
      <c r="G896" s="143" t="n"/>
      <c r="H896" s="27" t="n"/>
    </row>
    <row r="897" ht="17.25" customHeight="1" s="322">
      <c r="A897" s="27" t="n"/>
      <c r="B897" s="506" t="n"/>
      <c r="C897" s="141" t="n"/>
      <c r="D897" s="141" t="n"/>
      <c r="E897" s="141" t="n"/>
      <c r="F897" s="141" t="n"/>
      <c r="G897" s="143" t="n"/>
      <c r="H897" s="27" t="n"/>
    </row>
    <row r="898" ht="17.25" customHeight="1" s="322">
      <c r="A898" s="27" t="n"/>
      <c r="B898" s="506" t="n"/>
      <c r="C898" s="141" t="n"/>
      <c r="D898" s="141" t="n"/>
      <c r="E898" s="141" t="n"/>
      <c r="F898" s="141" t="n"/>
      <c r="G898" s="143" t="n"/>
      <c r="H898" s="27" t="n"/>
    </row>
    <row r="899" ht="17.25" customHeight="1" s="322">
      <c r="A899" s="27" t="n"/>
      <c r="B899" s="506" t="n"/>
      <c r="C899" s="141" t="n"/>
      <c r="D899" s="141" t="n"/>
      <c r="E899" s="141" t="n"/>
      <c r="F899" s="141" t="n"/>
      <c r="G899" s="143" t="n"/>
      <c r="H899" s="27" t="n"/>
    </row>
    <row r="900" ht="17.25" customHeight="1" s="322">
      <c r="A900" s="27" t="n"/>
      <c r="B900" s="506" t="n"/>
      <c r="C900" s="141" t="n"/>
      <c r="D900" s="141" t="n"/>
      <c r="E900" s="141" t="n"/>
      <c r="F900" s="141" t="n"/>
      <c r="G900" s="143" t="n"/>
      <c r="H900" s="27" t="n"/>
    </row>
    <row r="901" ht="17.25" customHeight="1" s="322">
      <c r="A901" s="27" t="n"/>
      <c r="B901" s="506" t="n"/>
      <c r="C901" s="141" t="n"/>
      <c r="D901" s="141" t="n"/>
      <c r="E901" s="141" t="n"/>
      <c r="F901" s="141" t="n"/>
      <c r="G901" s="143" t="n"/>
      <c r="H901" s="27" t="n"/>
    </row>
    <row r="902" ht="17.25" customHeight="1" s="322">
      <c r="A902" s="27" t="n"/>
      <c r="B902" s="506" t="n"/>
      <c r="C902" s="141" t="n"/>
      <c r="D902" s="141" t="n"/>
      <c r="E902" s="141" t="n"/>
      <c r="F902" s="141" t="n"/>
      <c r="G902" s="143" t="n"/>
      <c r="H902" s="27" t="n"/>
    </row>
    <row r="903" ht="17.25" customHeight="1" s="322">
      <c r="A903" s="27" t="n"/>
      <c r="B903" s="506" t="n"/>
      <c r="C903" s="141" t="n"/>
      <c r="D903" s="141" t="n"/>
      <c r="E903" s="141" t="n"/>
      <c r="F903" s="141" t="n"/>
      <c r="G903" s="143" t="n"/>
      <c r="H903" s="27" t="n"/>
    </row>
    <row r="904" ht="17.25" customHeight="1" s="322">
      <c r="A904" s="27" t="n"/>
      <c r="B904" s="506" t="n"/>
      <c r="C904" s="141" t="n"/>
      <c r="D904" s="141" t="n"/>
      <c r="E904" s="141" t="n"/>
      <c r="F904" s="141" t="n"/>
      <c r="G904" s="143" t="n"/>
      <c r="H904" s="27" t="n"/>
    </row>
    <row r="905" ht="17.25" customHeight="1" s="322">
      <c r="A905" s="27" t="n"/>
      <c r="B905" s="506" t="n"/>
      <c r="C905" s="141" t="n"/>
      <c r="D905" s="141" t="n"/>
      <c r="E905" s="141" t="n"/>
      <c r="F905" s="141" t="n"/>
      <c r="G905" s="143" t="n"/>
      <c r="H905" s="27" t="n"/>
    </row>
    <row r="906" ht="17.25" customHeight="1" s="322">
      <c r="A906" s="27" t="n"/>
      <c r="B906" s="506" t="n"/>
      <c r="C906" s="141" t="n"/>
      <c r="D906" s="141" t="n"/>
      <c r="E906" s="141" t="n"/>
      <c r="F906" s="141" t="n"/>
      <c r="G906" s="143" t="n"/>
      <c r="H906" s="27" t="n"/>
    </row>
    <row r="907" ht="17.25" customHeight="1" s="322">
      <c r="A907" s="27" t="n"/>
      <c r="B907" s="506" t="n"/>
      <c r="C907" s="141" t="n"/>
      <c r="D907" s="141" t="n"/>
      <c r="E907" s="141" t="n"/>
      <c r="F907" s="141" t="n"/>
      <c r="G907" s="143" t="n"/>
      <c r="H907" s="27" t="n"/>
    </row>
    <row r="908" ht="17.25" customHeight="1" s="322">
      <c r="A908" s="27" t="n"/>
      <c r="B908" s="506" t="n"/>
      <c r="C908" s="141" t="n"/>
      <c r="D908" s="141" t="n"/>
      <c r="E908" s="141" t="n"/>
      <c r="F908" s="141" t="n"/>
      <c r="G908" s="143" t="n"/>
      <c r="H908" s="27" t="n"/>
    </row>
    <row r="909" ht="17.25" customHeight="1" s="322">
      <c r="A909" s="27" t="n"/>
      <c r="B909" s="506" t="n"/>
      <c r="C909" s="141" t="n"/>
      <c r="D909" s="141" t="n"/>
      <c r="E909" s="141" t="n"/>
      <c r="F909" s="141" t="n"/>
      <c r="G909" s="143" t="n"/>
      <c r="H909" s="27" t="n"/>
    </row>
    <row r="910" ht="17.25" customHeight="1" s="322">
      <c r="A910" s="27" t="n"/>
      <c r="B910" s="506" t="n"/>
      <c r="C910" s="141" t="n"/>
      <c r="D910" s="141" t="n"/>
      <c r="E910" s="141" t="n"/>
      <c r="F910" s="141" t="n"/>
      <c r="G910" s="143" t="n"/>
      <c r="H910" s="27" t="n"/>
    </row>
    <row r="911" ht="17.25" customHeight="1" s="322">
      <c r="A911" s="27" t="n"/>
      <c r="B911" s="506" t="n"/>
      <c r="C911" s="141" t="n"/>
      <c r="D911" s="141" t="n"/>
      <c r="E911" s="141" t="n"/>
      <c r="F911" s="141" t="n"/>
      <c r="G911" s="143" t="n"/>
      <c r="H911" s="27" t="n"/>
    </row>
    <row r="912" ht="17.25" customHeight="1" s="322">
      <c r="A912" s="27" t="n"/>
      <c r="B912" s="506" t="n"/>
      <c r="C912" s="141" t="n"/>
      <c r="D912" s="141" t="n"/>
      <c r="E912" s="141" t="n"/>
      <c r="F912" s="141" t="n"/>
      <c r="G912" s="143" t="n"/>
      <c r="H912" s="27" t="n"/>
    </row>
    <row r="913" ht="17.25" customHeight="1" s="322">
      <c r="A913" s="27" t="n"/>
      <c r="B913" s="506" t="n"/>
      <c r="C913" s="141" t="n"/>
      <c r="D913" s="141" t="n"/>
      <c r="E913" s="141" t="n"/>
      <c r="F913" s="141" t="n"/>
      <c r="G913" s="143" t="n"/>
      <c r="H913" s="27" t="n"/>
    </row>
    <row r="914" ht="17.25" customHeight="1" s="322">
      <c r="A914" s="27" t="n"/>
      <c r="B914" s="506" t="n"/>
      <c r="C914" s="141" t="n"/>
      <c r="D914" s="141" t="n"/>
      <c r="E914" s="141" t="n"/>
      <c r="F914" s="141" t="n"/>
      <c r="G914" s="143" t="n"/>
      <c r="H914" s="27" t="n"/>
    </row>
    <row r="915" ht="17.25" customHeight="1" s="322">
      <c r="A915" s="27" t="n"/>
      <c r="B915" s="506" t="n"/>
      <c r="C915" s="141" t="n"/>
      <c r="D915" s="141" t="n"/>
      <c r="E915" s="141" t="n"/>
      <c r="F915" s="141" t="n"/>
      <c r="G915" s="143" t="n"/>
      <c r="H915" s="27" t="n"/>
    </row>
    <row r="916" ht="17.25" customHeight="1" s="322">
      <c r="A916" s="27" t="n"/>
      <c r="B916" s="506" t="n"/>
      <c r="C916" s="141" t="n"/>
      <c r="D916" s="141" t="n"/>
      <c r="E916" s="141" t="n"/>
      <c r="F916" s="141" t="n"/>
      <c r="G916" s="143" t="n"/>
      <c r="H916" s="27" t="n"/>
    </row>
    <row r="917" ht="17.25" customHeight="1" s="322">
      <c r="A917" s="27" t="n"/>
      <c r="B917" s="506" t="n"/>
      <c r="C917" s="141" t="n"/>
      <c r="D917" s="141" t="n"/>
      <c r="E917" s="141" t="n"/>
      <c r="F917" s="141" t="n"/>
      <c r="G917" s="143" t="n"/>
      <c r="H917" s="27" t="n"/>
    </row>
    <row r="918" ht="17.25" customHeight="1" s="322">
      <c r="A918" s="27" t="n"/>
      <c r="B918" s="506" t="n"/>
      <c r="C918" s="141" t="n"/>
      <c r="D918" s="141" t="n"/>
      <c r="E918" s="141" t="n"/>
      <c r="F918" s="141" t="n"/>
      <c r="G918" s="143" t="n"/>
      <c r="H918" s="27" t="n"/>
    </row>
    <row r="919" ht="17.25" customHeight="1" s="322">
      <c r="A919" s="27" t="n"/>
      <c r="B919" s="506" t="n"/>
      <c r="C919" s="141" t="n"/>
      <c r="D919" s="141" t="n"/>
      <c r="E919" s="141" t="n"/>
      <c r="F919" s="141" t="n"/>
      <c r="G919" s="143" t="n"/>
      <c r="H919" s="27" t="n"/>
    </row>
    <row r="920" ht="17.25" customHeight="1" s="322">
      <c r="A920" s="27" t="n"/>
      <c r="B920" s="506" t="n"/>
      <c r="C920" s="141" t="n"/>
      <c r="D920" s="141" t="n"/>
      <c r="E920" s="141" t="n"/>
      <c r="F920" s="141" t="n"/>
      <c r="G920" s="143" t="n"/>
      <c r="H920" s="27" t="n"/>
    </row>
    <row r="921" ht="17.25" customHeight="1" s="322">
      <c r="A921" s="27" t="n"/>
      <c r="B921" s="506" t="n"/>
      <c r="C921" s="141" t="n"/>
      <c r="D921" s="141" t="n"/>
      <c r="E921" s="141" t="n"/>
      <c r="F921" s="141" t="n"/>
      <c r="G921" s="143" t="n"/>
      <c r="H921" s="27" t="n"/>
    </row>
    <row r="922" ht="17.25" customHeight="1" s="322">
      <c r="A922" s="27" t="n"/>
      <c r="B922" s="506" t="n"/>
      <c r="C922" s="141" t="n"/>
      <c r="D922" s="141" t="n"/>
      <c r="E922" s="141" t="n"/>
      <c r="F922" s="141" t="n"/>
      <c r="G922" s="143" t="n"/>
      <c r="H922" s="27" t="n"/>
    </row>
    <row r="923" ht="17.25" customHeight="1" s="322">
      <c r="A923" s="27" t="n"/>
      <c r="B923" s="506" t="n"/>
      <c r="C923" s="141" t="n"/>
      <c r="D923" s="141" t="n"/>
      <c r="E923" s="141" t="n"/>
      <c r="F923" s="141" t="n"/>
      <c r="G923" s="143" t="n"/>
      <c r="H923" s="27" t="n"/>
    </row>
    <row r="924" ht="17.25" customHeight="1" s="322">
      <c r="A924" s="27" t="n"/>
      <c r="B924" s="506" t="n"/>
      <c r="C924" s="141" t="n"/>
      <c r="D924" s="141" t="n"/>
      <c r="E924" s="141" t="n"/>
      <c r="F924" s="141" t="n"/>
      <c r="G924" s="143" t="n"/>
      <c r="H924" s="27" t="n"/>
    </row>
    <row r="925" ht="17.25" customHeight="1" s="322">
      <c r="A925" s="27" t="n"/>
      <c r="B925" s="506" t="n"/>
      <c r="C925" s="141" t="n"/>
      <c r="D925" s="141" t="n"/>
      <c r="E925" s="141" t="n"/>
      <c r="F925" s="141" t="n"/>
      <c r="G925" s="143" t="n"/>
      <c r="H925" s="27" t="n"/>
    </row>
    <row r="926" ht="17.25" customHeight="1" s="322">
      <c r="A926" s="27" t="n"/>
      <c r="B926" s="506" t="n"/>
      <c r="C926" s="141" t="n"/>
      <c r="D926" s="141" t="n"/>
      <c r="E926" s="141" t="n"/>
      <c r="F926" s="141" t="n"/>
      <c r="G926" s="143" t="n"/>
      <c r="H926" s="27" t="n"/>
    </row>
    <row r="927" ht="17.25" customHeight="1" s="322">
      <c r="A927" s="27" t="n"/>
      <c r="B927" s="506" t="n"/>
      <c r="C927" s="141" t="n"/>
      <c r="D927" s="141" t="n"/>
      <c r="E927" s="141" t="n"/>
      <c r="F927" s="141" t="n"/>
      <c r="G927" s="143" t="n"/>
      <c r="H927" s="27" t="n"/>
    </row>
    <row r="928" ht="17.25" customHeight="1" s="322">
      <c r="A928" s="27" t="n"/>
      <c r="B928" s="506" t="n"/>
      <c r="C928" s="141" t="n"/>
      <c r="D928" s="141" t="n"/>
      <c r="E928" s="141" t="n"/>
      <c r="F928" s="141" t="n"/>
      <c r="G928" s="143" t="n"/>
      <c r="H928" s="27" t="n"/>
    </row>
    <row r="929" ht="17.25" customHeight="1" s="322">
      <c r="A929" s="27" t="n"/>
      <c r="B929" s="506" t="n"/>
      <c r="C929" s="141" t="n"/>
      <c r="D929" s="141" t="n"/>
      <c r="E929" s="141" t="n"/>
      <c r="F929" s="141" t="n"/>
      <c r="G929" s="143" t="n"/>
      <c r="H929" s="27" t="n"/>
    </row>
    <row r="930" ht="17.25" customHeight="1" s="322">
      <c r="A930" s="27" t="n"/>
      <c r="B930" s="506" t="n"/>
      <c r="C930" s="141" t="n"/>
      <c r="D930" s="141" t="n"/>
      <c r="E930" s="141" t="n"/>
      <c r="F930" s="141" t="n"/>
      <c r="G930" s="143" t="n"/>
      <c r="H930" s="27" t="n"/>
    </row>
    <row r="931" ht="17.25" customHeight="1" s="322">
      <c r="A931" s="27" t="n"/>
      <c r="B931" s="506" t="n"/>
      <c r="C931" s="141" t="n"/>
      <c r="D931" s="141" t="n"/>
      <c r="E931" s="141" t="n"/>
      <c r="F931" s="141" t="n"/>
      <c r="G931" s="143" t="n"/>
      <c r="H931" s="27" t="n"/>
    </row>
    <row r="932" ht="17.25" customHeight="1" s="322">
      <c r="A932" s="27" t="n"/>
      <c r="B932" s="506" t="n"/>
      <c r="C932" s="141" t="n"/>
      <c r="D932" s="141" t="n"/>
      <c r="E932" s="141" t="n"/>
      <c r="F932" s="141" t="n"/>
      <c r="G932" s="143" t="n"/>
      <c r="H932" s="27" t="n"/>
    </row>
    <row r="933" ht="17.25" customHeight="1" s="322">
      <c r="A933" s="27" t="n"/>
      <c r="B933" s="506" t="n"/>
      <c r="C933" s="141" t="n"/>
      <c r="D933" s="141" t="n"/>
      <c r="E933" s="141" t="n"/>
      <c r="F933" s="141" t="n"/>
      <c r="G933" s="143" t="n"/>
      <c r="H933" s="27" t="n"/>
    </row>
    <row r="934" ht="17.25" customHeight="1" s="322">
      <c r="A934" s="27" t="n"/>
      <c r="B934" s="506" t="n"/>
      <c r="C934" s="141" t="n"/>
      <c r="D934" s="141" t="n"/>
      <c r="E934" s="141" t="n"/>
      <c r="F934" s="141" t="n"/>
      <c r="G934" s="143" t="n"/>
      <c r="H934" s="27" t="n"/>
    </row>
    <row r="935" ht="17.25" customHeight="1" s="322">
      <c r="A935" s="27" t="n"/>
      <c r="B935" s="506" t="n"/>
      <c r="C935" s="141" t="n"/>
      <c r="D935" s="141" t="n"/>
      <c r="E935" s="141" t="n"/>
      <c r="F935" s="141" t="n"/>
      <c r="G935" s="143" t="n"/>
      <c r="H935" s="27" t="n"/>
    </row>
    <row r="936" ht="17.25" customHeight="1" s="322">
      <c r="A936" s="27" t="n"/>
      <c r="B936" s="506" t="n"/>
      <c r="C936" s="141" t="n"/>
      <c r="D936" s="141" t="n"/>
      <c r="E936" s="141" t="n"/>
      <c r="F936" s="141" t="n"/>
      <c r="G936" s="143" t="n"/>
      <c r="H936" s="27" t="n"/>
    </row>
    <row r="937" ht="17.25" customHeight="1" s="322">
      <c r="A937" s="27" t="n"/>
      <c r="B937" s="506" t="n"/>
      <c r="C937" s="141" t="n"/>
      <c r="D937" s="141" t="n"/>
      <c r="E937" s="141" t="n"/>
      <c r="F937" s="141" t="n"/>
      <c r="G937" s="143" t="n"/>
      <c r="H937" s="27" t="n"/>
    </row>
    <row r="938" ht="17.25" customHeight="1" s="322">
      <c r="A938" s="27" t="n"/>
      <c r="B938" s="506" t="n"/>
      <c r="C938" s="141" t="n"/>
      <c r="D938" s="141" t="n"/>
      <c r="E938" s="141" t="n"/>
      <c r="F938" s="141" t="n"/>
      <c r="G938" s="143" t="n"/>
      <c r="H938" s="27" t="n"/>
    </row>
    <row r="939" ht="17.25" customHeight="1" s="322">
      <c r="A939" s="27" t="n"/>
      <c r="B939" s="506" t="n"/>
      <c r="C939" s="141" t="n"/>
      <c r="D939" s="141" t="n"/>
      <c r="E939" s="141" t="n"/>
      <c r="F939" s="141" t="n"/>
      <c r="G939" s="143" t="n"/>
      <c r="H939" s="27" t="n"/>
    </row>
    <row r="940" ht="17.25" customHeight="1" s="322">
      <c r="A940" s="27" t="n"/>
      <c r="B940" s="506" t="n"/>
      <c r="C940" s="141" t="n"/>
      <c r="D940" s="141" t="n"/>
      <c r="E940" s="141" t="n"/>
      <c r="F940" s="141" t="n"/>
      <c r="G940" s="143" t="n"/>
      <c r="H940" s="27" t="n"/>
    </row>
    <row r="941" ht="17.25" customHeight="1" s="322">
      <c r="A941" s="27" t="n"/>
      <c r="B941" s="506" t="n"/>
      <c r="C941" s="141" t="n"/>
      <c r="D941" s="141" t="n"/>
      <c r="E941" s="141" t="n"/>
      <c r="F941" s="141" t="n"/>
      <c r="G941" s="143" t="n"/>
      <c r="H941" s="27" t="n"/>
    </row>
    <row r="942" ht="17.25" customHeight="1" s="322">
      <c r="A942" s="27" t="n"/>
      <c r="B942" s="506" t="n"/>
      <c r="C942" s="141" t="n"/>
      <c r="D942" s="141" t="n"/>
      <c r="E942" s="141" t="n"/>
      <c r="F942" s="141" t="n"/>
      <c r="G942" s="143" t="n"/>
      <c r="H942" s="27" t="n"/>
    </row>
    <row r="943" ht="17.25" customHeight="1" s="322">
      <c r="A943" s="27" t="n"/>
      <c r="B943" s="506" t="n"/>
      <c r="C943" s="141" t="n"/>
      <c r="D943" s="141" t="n"/>
      <c r="E943" s="141" t="n"/>
      <c r="F943" s="141" t="n"/>
      <c r="G943" s="143" t="n"/>
      <c r="H943" s="27" t="n"/>
    </row>
    <row r="944" ht="17.25" customHeight="1" s="322">
      <c r="A944" s="27" t="n"/>
      <c r="B944" s="506" t="n"/>
      <c r="C944" s="141" t="n"/>
      <c r="D944" s="141" t="n"/>
      <c r="E944" s="141" t="n"/>
      <c r="F944" s="141" t="n"/>
      <c r="G944" s="143" t="n"/>
      <c r="H944" s="27" t="n"/>
    </row>
    <row r="945" ht="17.25" customHeight="1" s="322">
      <c r="A945" s="27" t="n"/>
      <c r="B945" s="506" t="n"/>
      <c r="C945" s="141" t="n"/>
      <c r="D945" s="141" t="n"/>
      <c r="E945" s="141" t="n"/>
      <c r="F945" s="141" t="n"/>
      <c r="G945" s="143" t="n"/>
      <c r="H945" s="27" t="n"/>
    </row>
    <row r="946" ht="17.25" customHeight="1" s="322">
      <c r="A946" s="27" t="n"/>
      <c r="B946" s="506" t="n"/>
      <c r="C946" s="141" t="n"/>
      <c r="D946" s="141" t="n"/>
      <c r="E946" s="141" t="n"/>
      <c r="F946" s="141" t="n"/>
      <c r="G946" s="143" t="n"/>
      <c r="H946" s="27" t="n"/>
    </row>
    <row r="947" ht="17.25" customHeight="1" s="322">
      <c r="A947" s="27" t="n"/>
      <c r="B947" s="506" t="n"/>
      <c r="C947" s="141" t="n"/>
      <c r="D947" s="141" t="n"/>
      <c r="E947" s="141" t="n"/>
      <c r="F947" s="141" t="n"/>
      <c r="G947" s="143" t="n"/>
      <c r="H947" s="27" t="n"/>
    </row>
    <row r="948" ht="17.25" customHeight="1" s="322">
      <c r="A948" s="27" t="n"/>
      <c r="B948" s="506" t="n"/>
      <c r="C948" s="141" t="n"/>
      <c r="D948" s="141" t="n"/>
      <c r="E948" s="141" t="n"/>
      <c r="F948" s="141" t="n"/>
      <c r="G948" s="143" t="n"/>
      <c r="H948" s="27" t="n"/>
    </row>
    <row r="949" ht="17.25" customHeight="1" s="322">
      <c r="A949" s="27" t="n"/>
      <c r="B949" s="506" t="n"/>
      <c r="C949" s="141" t="n"/>
      <c r="D949" s="141" t="n"/>
      <c r="E949" s="141" t="n"/>
      <c r="F949" s="141" t="n"/>
      <c r="G949" s="143" t="n"/>
      <c r="H949" s="27" t="n"/>
    </row>
    <row r="950" ht="17.25" customHeight="1" s="322">
      <c r="A950" s="27" t="n"/>
      <c r="B950" s="506" t="n"/>
      <c r="C950" s="141" t="n"/>
      <c r="D950" s="141" t="n"/>
      <c r="E950" s="141" t="n"/>
      <c r="F950" s="141" t="n"/>
      <c r="G950" s="143" t="n"/>
      <c r="H950" s="27" t="n"/>
    </row>
    <row r="951" ht="17.25" customHeight="1" s="322">
      <c r="A951" s="27" t="n"/>
      <c r="B951" s="506" t="n"/>
      <c r="C951" s="141" t="n"/>
      <c r="D951" s="141" t="n"/>
      <c r="E951" s="141" t="n"/>
      <c r="F951" s="141" t="n"/>
      <c r="G951" s="143" t="n"/>
      <c r="H951" s="27" t="n"/>
    </row>
    <row r="952" ht="17.25" customHeight="1" s="322">
      <c r="A952" s="27" t="n"/>
      <c r="B952" s="506" t="n"/>
      <c r="C952" s="141" t="n"/>
      <c r="D952" s="141" t="n"/>
      <c r="E952" s="141" t="n"/>
      <c r="F952" s="141" t="n"/>
      <c r="G952" s="143" t="n"/>
      <c r="H952" s="27" t="n"/>
    </row>
    <row r="953" ht="17.25" customHeight="1" s="322">
      <c r="A953" s="27" t="n"/>
      <c r="B953" s="506" t="n"/>
      <c r="C953" s="141" t="n"/>
      <c r="D953" s="141" t="n"/>
      <c r="E953" s="141" t="n"/>
      <c r="F953" s="141" t="n"/>
      <c r="G953" s="143" t="n"/>
      <c r="H953" s="27" t="n"/>
    </row>
    <row r="954" ht="17.25" customHeight="1" s="322">
      <c r="A954" s="27" t="n"/>
      <c r="B954" s="506" t="n"/>
      <c r="C954" s="141" t="n"/>
      <c r="D954" s="141" t="n"/>
      <c r="E954" s="141" t="n"/>
      <c r="F954" s="141" t="n"/>
      <c r="G954" s="143" t="n"/>
      <c r="H954" s="27" t="n"/>
    </row>
    <row r="955" ht="17.25" customHeight="1" s="322">
      <c r="A955" s="27" t="n"/>
      <c r="B955" s="506" t="n"/>
      <c r="C955" s="141" t="n"/>
      <c r="D955" s="141" t="n"/>
      <c r="E955" s="141" t="n"/>
      <c r="F955" s="141" t="n"/>
      <c r="G955" s="143" t="n"/>
      <c r="H955" s="27" t="n"/>
    </row>
    <row r="956" ht="17.25" customHeight="1" s="322">
      <c r="A956" s="27" t="n"/>
      <c r="B956" s="506" t="n"/>
      <c r="C956" s="141" t="n"/>
      <c r="D956" s="141" t="n"/>
      <c r="E956" s="141" t="n"/>
      <c r="F956" s="141" t="n"/>
      <c r="G956" s="143" t="n"/>
      <c r="H956" s="27" t="n"/>
    </row>
    <row r="957" ht="17.25" customHeight="1" s="322">
      <c r="A957" s="27" t="n"/>
      <c r="B957" s="506" t="n"/>
      <c r="C957" s="141" t="n"/>
      <c r="D957" s="141" t="n"/>
      <c r="E957" s="141" t="n"/>
      <c r="F957" s="141" t="n"/>
      <c r="G957" s="143" t="n"/>
      <c r="H957" s="27" t="n"/>
    </row>
    <row r="958" ht="17.25" customHeight="1" s="322">
      <c r="A958" s="27" t="n"/>
      <c r="B958" s="506" t="n"/>
      <c r="C958" s="141" t="n"/>
      <c r="D958" s="141" t="n"/>
      <c r="E958" s="141" t="n"/>
      <c r="F958" s="141" t="n"/>
      <c r="G958" s="143" t="n"/>
      <c r="H958" s="27" t="n"/>
    </row>
    <row r="959" ht="17.25" customHeight="1" s="322">
      <c r="A959" s="27" t="n"/>
      <c r="B959" s="506" t="n"/>
      <c r="C959" s="141" t="n"/>
      <c r="D959" s="141" t="n"/>
      <c r="E959" s="141" t="n"/>
      <c r="F959" s="141" t="n"/>
      <c r="G959" s="143" t="n"/>
      <c r="H959" s="27" t="n"/>
    </row>
    <row r="960" ht="17.25" customHeight="1" s="322">
      <c r="A960" s="27" t="n"/>
      <c r="B960" s="506" t="n"/>
      <c r="C960" s="141" t="n"/>
      <c r="D960" s="141" t="n"/>
      <c r="E960" s="141" t="n"/>
      <c r="F960" s="141" t="n"/>
      <c r="G960" s="143" t="n"/>
      <c r="H960" s="27" t="n"/>
    </row>
    <row r="961" ht="17.25" customHeight="1" s="322">
      <c r="A961" s="27" t="n"/>
      <c r="B961" s="506" t="n"/>
      <c r="C961" s="141" t="n"/>
      <c r="D961" s="141" t="n"/>
      <c r="E961" s="141" t="n"/>
      <c r="F961" s="141" t="n"/>
      <c r="G961" s="143" t="n"/>
      <c r="H961" s="27" t="n"/>
    </row>
    <row r="962" ht="17.25" customHeight="1" s="322">
      <c r="A962" s="27" t="n"/>
      <c r="B962" s="506" t="n"/>
      <c r="C962" s="141" t="n"/>
      <c r="D962" s="141" t="n"/>
      <c r="E962" s="141" t="n"/>
      <c r="F962" s="141" t="n"/>
      <c r="G962" s="143" t="n"/>
      <c r="H962" s="27" t="n"/>
    </row>
    <row r="963" ht="17.25" customHeight="1" s="322">
      <c r="A963" s="27" t="n"/>
      <c r="B963" s="506" t="n"/>
      <c r="C963" s="141" t="n"/>
      <c r="D963" s="141" t="n"/>
      <c r="E963" s="141" t="n"/>
      <c r="F963" s="141" t="n"/>
      <c r="G963" s="143" t="n"/>
      <c r="H963" s="27" t="n"/>
    </row>
    <row r="964" ht="17.25" customHeight="1" s="322">
      <c r="A964" s="27" t="n"/>
      <c r="B964" s="506" t="n"/>
      <c r="C964" s="141" t="n"/>
      <c r="D964" s="141" t="n"/>
      <c r="E964" s="141" t="n"/>
      <c r="F964" s="141" t="n"/>
      <c r="G964" s="143" t="n"/>
      <c r="H964" s="27" t="n"/>
    </row>
    <row r="965" ht="17.25" customHeight="1" s="322">
      <c r="A965" s="27" t="n"/>
      <c r="B965" s="506" t="n"/>
      <c r="C965" s="141" t="n"/>
      <c r="D965" s="141" t="n"/>
      <c r="E965" s="141" t="n"/>
      <c r="F965" s="141" t="n"/>
      <c r="G965" s="143" t="n"/>
      <c r="H965" s="27" t="n"/>
    </row>
    <row r="966" ht="17.25" customHeight="1" s="322">
      <c r="A966" s="27" t="n"/>
      <c r="B966" s="506" t="n"/>
      <c r="C966" s="141" t="n"/>
      <c r="D966" s="141" t="n"/>
      <c r="E966" s="141" t="n"/>
      <c r="F966" s="141" t="n"/>
      <c r="G966" s="143" t="n"/>
      <c r="H966" s="27" t="n"/>
    </row>
    <row r="967" ht="17.25" customHeight="1" s="322">
      <c r="A967" s="27" t="n"/>
      <c r="B967" s="506" t="n"/>
      <c r="C967" s="141" t="n"/>
      <c r="D967" s="141" t="n"/>
      <c r="E967" s="141" t="n"/>
      <c r="F967" s="141" t="n"/>
      <c r="G967" s="143" t="n"/>
      <c r="H967" s="27" t="n"/>
    </row>
    <row r="968" ht="17.25" customHeight="1" s="322">
      <c r="A968" s="27" t="n"/>
      <c r="B968" s="506" t="n"/>
      <c r="C968" s="141" t="n"/>
      <c r="D968" s="141" t="n"/>
      <c r="E968" s="141" t="n"/>
      <c r="F968" s="141" t="n"/>
      <c r="G968" s="143" t="n"/>
      <c r="H968" s="27" t="n"/>
    </row>
    <row r="969" ht="17.25" customHeight="1" s="322">
      <c r="A969" s="27" t="n"/>
      <c r="B969" s="506" t="n"/>
      <c r="C969" s="141" t="n"/>
      <c r="D969" s="141" t="n"/>
      <c r="E969" s="141" t="n"/>
      <c r="F969" s="141" t="n"/>
      <c r="G969" s="143" t="n"/>
      <c r="H969" s="27" t="n"/>
    </row>
    <row r="970" ht="17.25" customHeight="1" s="322">
      <c r="A970" s="27" t="n"/>
      <c r="B970" s="506" t="n"/>
      <c r="C970" s="141" t="n"/>
      <c r="D970" s="141" t="n"/>
      <c r="E970" s="141" t="n"/>
      <c r="F970" s="141" t="n"/>
      <c r="G970" s="143" t="n"/>
      <c r="H970" s="27" t="n"/>
    </row>
    <row r="971" ht="17.25" customHeight="1" s="322">
      <c r="A971" s="27" t="n"/>
      <c r="B971" s="506" t="n"/>
      <c r="C971" s="141" t="n"/>
      <c r="D971" s="141" t="n"/>
      <c r="E971" s="141" t="n"/>
      <c r="F971" s="141" t="n"/>
      <c r="G971" s="143" t="n"/>
      <c r="H971" s="27" t="n"/>
    </row>
    <row r="972" ht="17.25" customHeight="1" s="322">
      <c r="A972" s="27" t="n"/>
      <c r="B972" s="506" t="n"/>
      <c r="C972" s="141" t="n"/>
      <c r="D972" s="141" t="n"/>
      <c r="E972" s="141" t="n"/>
      <c r="F972" s="141" t="n"/>
      <c r="G972" s="143" t="n"/>
      <c r="H972" s="27" t="n"/>
    </row>
    <row r="973" ht="17.25" customHeight="1" s="322">
      <c r="A973" s="27" t="n"/>
      <c r="B973" s="506" t="n"/>
      <c r="C973" s="141" t="n"/>
      <c r="D973" s="141" t="n"/>
      <c r="E973" s="141" t="n"/>
      <c r="F973" s="141" t="n"/>
      <c r="G973" s="143" t="n"/>
      <c r="H973" s="27" t="n"/>
    </row>
    <row r="974" ht="17.25" customHeight="1" s="322">
      <c r="A974" s="27" t="n"/>
      <c r="B974" s="506" t="n"/>
      <c r="C974" s="141" t="n"/>
      <c r="D974" s="141" t="n"/>
      <c r="E974" s="141" t="n"/>
      <c r="F974" s="141" t="n"/>
      <c r="G974" s="143" t="n"/>
      <c r="H974" s="27" t="n"/>
    </row>
    <row r="975" ht="17.25" customHeight="1" s="322">
      <c r="A975" s="27" t="n"/>
      <c r="B975" s="506" t="n"/>
      <c r="C975" s="141" t="n"/>
      <c r="D975" s="141" t="n"/>
      <c r="E975" s="141" t="n"/>
      <c r="F975" s="141" t="n"/>
      <c r="G975" s="143" t="n"/>
      <c r="H975" s="27" t="n"/>
    </row>
    <row r="976" ht="17.25" customHeight="1" s="322">
      <c r="A976" s="27" t="n"/>
      <c r="B976" s="506" t="n"/>
      <c r="C976" s="141" t="n"/>
      <c r="D976" s="141" t="n"/>
      <c r="E976" s="141" t="n"/>
      <c r="F976" s="141" t="n"/>
      <c r="G976" s="143" t="n"/>
      <c r="H976" s="27" t="n"/>
    </row>
    <row r="977" ht="17.25" customHeight="1" s="322">
      <c r="A977" s="27" t="n"/>
      <c r="B977" s="506" t="n"/>
      <c r="C977" s="141" t="n"/>
      <c r="D977" s="141" t="n"/>
      <c r="E977" s="141" t="n"/>
      <c r="F977" s="141" t="n"/>
      <c r="G977" s="143" t="n"/>
      <c r="H977" s="27" t="n"/>
    </row>
    <row r="978" ht="17.25" customHeight="1" s="322">
      <c r="A978" s="27" t="n"/>
      <c r="B978" s="506" t="n"/>
      <c r="C978" s="141" t="n"/>
      <c r="D978" s="141" t="n"/>
      <c r="E978" s="141" t="n"/>
      <c r="F978" s="141" t="n"/>
      <c r="G978" s="143" t="n"/>
      <c r="H978" s="27" t="n"/>
    </row>
    <row r="979" ht="17.25" customHeight="1" s="322">
      <c r="A979" s="27" t="n"/>
      <c r="B979" s="506" t="n"/>
      <c r="C979" s="141" t="n"/>
      <c r="D979" s="141" t="n"/>
      <c r="E979" s="141" t="n"/>
      <c r="F979" s="141" t="n"/>
      <c r="G979" s="143" t="n"/>
      <c r="H979" s="27" t="n"/>
    </row>
    <row r="980" ht="17.25" customHeight="1" s="322">
      <c r="A980" s="27" t="n"/>
      <c r="B980" s="506" t="n"/>
      <c r="C980" s="141" t="n"/>
      <c r="D980" s="141" t="n"/>
      <c r="E980" s="141" t="n"/>
      <c r="F980" s="141" t="n"/>
      <c r="G980" s="143" t="n"/>
      <c r="H980" s="27" t="n"/>
    </row>
    <row r="981" ht="17.25" customHeight="1" s="322">
      <c r="A981" s="27" t="n"/>
      <c r="B981" s="506" t="n"/>
      <c r="C981" s="141" t="n"/>
      <c r="D981" s="141" t="n"/>
      <c r="E981" s="141" t="n"/>
      <c r="F981" s="141" t="n"/>
      <c r="G981" s="143" t="n"/>
      <c r="H981" s="27" t="n"/>
    </row>
    <row r="982" ht="17.25" customHeight="1" s="322">
      <c r="A982" s="27" t="n"/>
      <c r="B982" s="506" t="n"/>
      <c r="C982" s="141" t="n"/>
      <c r="D982" s="141" t="n"/>
      <c r="E982" s="141" t="n"/>
      <c r="F982" s="141" t="n"/>
      <c r="G982" s="143" t="n"/>
      <c r="H982" s="27" t="n"/>
    </row>
    <row r="983" ht="17.25" customHeight="1" s="322">
      <c r="A983" s="27" t="n"/>
      <c r="B983" s="506" t="n"/>
      <c r="C983" s="141" t="n"/>
      <c r="D983" s="141" t="n"/>
      <c r="E983" s="141" t="n"/>
      <c r="F983" s="141" t="n"/>
      <c r="G983" s="143" t="n"/>
      <c r="H983" s="27" t="n"/>
    </row>
    <row r="984" ht="17.25" customHeight="1" s="322">
      <c r="A984" s="27" t="n"/>
      <c r="B984" s="506" t="n"/>
      <c r="C984" s="141" t="n"/>
      <c r="D984" s="141" t="n"/>
      <c r="E984" s="141" t="n"/>
      <c r="F984" s="141" t="n"/>
      <c r="G984" s="143" t="n"/>
      <c r="H984" s="27" t="n"/>
    </row>
    <row r="985" ht="17.25" customHeight="1" s="322">
      <c r="A985" s="27" t="n"/>
      <c r="B985" s="506" t="n"/>
      <c r="C985" s="141" t="n"/>
      <c r="D985" s="141" t="n"/>
      <c r="E985" s="141" t="n"/>
      <c r="F985" s="141" t="n"/>
      <c r="G985" s="143" t="n"/>
      <c r="H985" s="27" t="n"/>
    </row>
    <row r="986" ht="17.25" customHeight="1" s="322">
      <c r="A986" s="27" t="n"/>
      <c r="B986" s="506" t="n"/>
      <c r="C986" s="141" t="n"/>
      <c r="D986" s="141" t="n"/>
      <c r="E986" s="141" t="n"/>
      <c r="F986" s="141" t="n"/>
      <c r="G986" s="143" t="n"/>
      <c r="H986" s="27" t="n"/>
    </row>
    <row r="987" ht="17.25" customHeight="1" s="322">
      <c r="A987" s="27" t="n"/>
      <c r="B987" s="506" t="n"/>
      <c r="C987" s="141" t="n"/>
      <c r="D987" s="141" t="n"/>
      <c r="E987" s="141" t="n"/>
      <c r="F987" s="141" t="n"/>
      <c r="G987" s="143" t="n"/>
      <c r="H987" s="27" t="n"/>
    </row>
    <row r="988" ht="17.25" customHeight="1" s="322">
      <c r="A988" s="27" t="n"/>
      <c r="B988" s="506" t="n"/>
      <c r="C988" s="141" t="n"/>
      <c r="D988" s="141" t="n"/>
      <c r="E988" s="141" t="n"/>
      <c r="F988" s="141" t="n"/>
      <c r="G988" s="143" t="n"/>
      <c r="H988" s="27" t="n"/>
    </row>
    <row r="989" ht="17.25" customHeight="1" s="322">
      <c r="A989" s="27" t="n"/>
      <c r="B989" s="506" t="n"/>
      <c r="C989" s="141" t="n"/>
      <c r="D989" s="141" t="n"/>
      <c r="E989" s="141" t="n"/>
      <c r="F989" s="141" t="n"/>
      <c r="G989" s="143" t="n"/>
      <c r="H989" s="27" t="n"/>
    </row>
    <row r="990" ht="17.25" customHeight="1" s="322">
      <c r="A990" s="27" t="n"/>
      <c r="B990" s="506" t="n"/>
      <c r="C990" s="141" t="n"/>
      <c r="D990" s="141" t="n"/>
      <c r="E990" s="141" t="n"/>
      <c r="F990" s="141" t="n"/>
      <c r="G990" s="143" t="n"/>
      <c r="H990" s="27" t="n"/>
    </row>
    <row r="991" ht="17.25" customHeight="1" s="322">
      <c r="A991" s="27" t="n"/>
      <c r="B991" s="506" t="n"/>
      <c r="C991" s="141" t="n"/>
      <c r="D991" s="141" t="n"/>
      <c r="E991" s="141" t="n"/>
      <c r="F991" s="141" t="n"/>
      <c r="G991" s="143" t="n"/>
      <c r="H991" s="27" t="n"/>
    </row>
    <row r="992" ht="17.25" customHeight="1" s="322">
      <c r="A992" s="27" t="n"/>
      <c r="B992" s="506" t="n"/>
      <c r="C992" s="141" t="n"/>
      <c r="D992" s="141" t="n"/>
      <c r="E992" s="141" t="n"/>
      <c r="F992" s="141" t="n"/>
      <c r="G992" s="143" t="n"/>
      <c r="H992" s="27" t="n"/>
    </row>
    <row r="993" ht="17.25" customHeight="1" s="322">
      <c r="A993" s="27" t="n"/>
      <c r="B993" s="506" t="n"/>
      <c r="C993" s="141" t="n"/>
      <c r="D993" s="141" t="n"/>
      <c r="E993" s="141" t="n"/>
      <c r="F993" s="141" t="n"/>
      <c r="G993" s="143" t="n"/>
      <c r="H993" s="27" t="n"/>
    </row>
    <row r="994" ht="17.25" customHeight="1" s="322">
      <c r="A994" s="27" t="n"/>
      <c r="B994" s="506" t="n"/>
      <c r="C994" s="141" t="n"/>
      <c r="D994" s="141" t="n"/>
      <c r="E994" s="141" t="n"/>
      <c r="F994" s="141" t="n"/>
      <c r="G994" s="143" t="n"/>
      <c r="H994" s="27" t="n"/>
    </row>
    <row r="995" ht="17.25" customHeight="1" s="322">
      <c r="A995" s="27" t="n"/>
      <c r="B995" s="506" t="n"/>
      <c r="C995" s="141" t="n"/>
      <c r="D995" s="141" t="n"/>
      <c r="E995" s="141" t="n"/>
      <c r="F995" s="141" t="n"/>
      <c r="G995" s="143" t="n"/>
      <c r="H995" s="27" t="n"/>
    </row>
    <row r="996" ht="17.25" customHeight="1" s="322">
      <c r="A996" s="27" t="n"/>
      <c r="B996" s="506" t="n"/>
      <c r="C996" s="141" t="n"/>
      <c r="D996" s="141" t="n"/>
      <c r="E996" s="141" t="n"/>
      <c r="F996" s="141" t="n"/>
      <c r="G996" s="143" t="n"/>
      <c r="H996" s="27" t="n"/>
    </row>
    <row r="997" ht="17.25" customHeight="1" s="322">
      <c r="A997" s="27" t="n"/>
      <c r="B997" s="506" t="n"/>
      <c r="C997" s="141" t="n"/>
      <c r="D997" s="141" t="n"/>
      <c r="E997" s="141" t="n"/>
      <c r="F997" s="141" t="n"/>
      <c r="G997" s="143" t="n"/>
      <c r="H997" s="27" t="n"/>
    </row>
    <row r="998" ht="17.25" customHeight="1" s="322">
      <c r="A998" s="27" t="n"/>
      <c r="B998" s="506" t="n"/>
      <c r="C998" s="141" t="n"/>
      <c r="D998" s="141" t="n"/>
      <c r="E998" s="141" t="n"/>
      <c r="F998" s="141" t="n"/>
      <c r="G998" s="143" t="n"/>
      <c r="H998" s="27" t="n"/>
    </row>
    <row r="999" ht="17.25" customHeight="1" s="322">
      <c r="A999" s="27" t="n"/>
      <c r="B999" s="506" t="n"/>
      <c r="C999" s="141" t="n"/>
      <c r="D999" s="141" t="n"/>
      <c r="E999" s="141" t="n"/>
      <c r="F999" s="141" t="n"/>
      <c r="G999" s="143" t="n"/>
      <c r="H999" s="27" t="n"/>
    </row>
    <row r="1000" ht="17.25" customHeight="1" s="322">
      <c r="A1000" s="27" t="n"/>
      <c r="B1000" s="506" t="n"/>
      <c r="C1000" s="141" t="n"/>
      <c r="D1000" s="141" t="n"/>
      <c r="E1000" s="141" t="n"/>
      <c r="F1000" s="141" t="n"/>
      <c r="G1000" s="143" t="n"/>
      <c r="H1000" s="27" t="n"/>
    </row>
  </sheetData>
  <mergeCells count="3">
    <mergeCell ref="B1:F2"/>
    <mergeCell ref="B7:G7"/>
    <mergeCell ref="B10:C10"/>
  </mergeCells>
  <conditionalFormatting sqref="D10:E10">
    <cfRule type="cellIs" priority="5" operator="lessThan" dxfId="5">
      <formula>0</formula>
    </cfRule>
    <cfRule type="cellIs" priority="6" operator="greaterThan" dxfId="4">
      <formula>0</formula>
    </cfRule>
  </conditionalFormatting>
  <conditionalFormatting sqref="F28:F1000">
    <cfRule type="expression" priority="1" dxfId="3">
      <formula>AND(F28=MAX(F$28:F$1000),F28&gt;0)</formula>
    </cfRule>
    <cfRule type="expression" priority="2" dxfId="2">
      <formula>AND(F28=MIN(F$28:F$1000),F28&gt;0)</formula>
    </cfRule>
  </conditionalFormatting>
  <conditionalFormatting sqref="F29:F1000">
    <cfRule type="expression" priority="3" dxfId="1">
      <formula>F29&gt;F27</formula>
    </cfRule>
    <cfRule type="expression" priority="4" dxfId="0">
      <formula>F29&lt;F27</formula>
    </cfRule>
  </conditionalFormatting>
  <conditionalFormatting sqref="G15">
    <cfRule type="colorScale" priority="7">
      <colorScale>
        <cfvo type="min"/>
        <cfvo type="max"/>
        <color rgb="FF57BB8A"/>
        <color rgb="FFFFFFFF"/>
      </colorScale>
    </cfRule>
  </conditionalFormatting>
  <dataValidations count="1">
    <dataValidation sqref="G15" showDropDown="0" showInputMessage="1" showErrorMessage="1" allowBlank="1" prompt="Click and enter a value from the list of items" type="list">
      <formula1>"1 Month,3 Months,6 Months,12 Months,36 Months"</formula1>
    </dataValidation>
  </dataValidations>
  <hyperlinks>
    <hyperlink xmlns:r="http://schemas.openxmlformats.org/officeDocument/2006/relationships" ref="B1" r:id="rId1"/>
    <hyperlink xmlns:r="http://schemas.openxmlformats.org/officeDocument/2006/relationships" ref="G2" r:id="rId2"/>
  </hyperlinks>
  <pageMargins left="0.7" right="0.7" top="0.75" bottom="0.75" header="0.3" footer="0.3"/>
  <drawing xmlns:r="http://schemas.openxmlformats.org/officeDocument/2006/relationships" r:id="rId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H1000"/>
  <sheetViews>
    <sheetView showGridLines="0" workbookViewId="0">
      <selection activeCell="A1" sqref="A1"/>
    </sheetView>
  </sheetViews>
  <sheetFormatPr baseColWidth="8" defaultColWidth="12.5703125" defaultRowHeight="15.75" customHeight="1"/>
  <cols>
    <col width="5.42578125" customWidth="1" style="322" min="1" max="1"/>
    <col width="15.7109375" customWidth="1" style="322" min="2" max="2"/>
    <col width="5.42578125" customWidth="1" style="322" min="8" max="8"/>
  </cols>
  <sheetData>
    <row r="1" ht="22.5" customHeight="1" s="322">
      <c r="A1" s="69" t="n"/>
      <c r="B1" s="455" t="inlineStr">
        <is>
          <t>← 관심종목으로 돌아가기</t>
        </is>
      </c>
      <c r="G1" s="72" t="inlineStr">
        <is>
          <t>제공:</t>
        </is>
      </c>
      <c r="H1" s="69" t="n"/>
    </row>
    <row r="2" ht="22.5" customHeight="1" s="322">
      <c r="A2" s="69" t="n"/>
      <c r="G2" s="77" t="inlineStr">
        <is>
          <t>Google Finance</t>
        </is>
      </c>
      <c r="H2" s="69" t="n"/>
    </row>
    <row r="3" ht="11.25" customHeight="1" s="322">
      <c r="A3" s="1" t="n"/>
      <c r="B3" s="1" t="n"/>
      <c r="C3" s="1" t="n"/>
      <c r="D3" s="1" t="n"/>
      <c r="E3" s="1" t="n"/>
      <c r="F3" s="1" t="n"/>
      <c r="G3" s="1" t="n"/>
      <c r="H3" s="1" t="n"/>
    </row>
    <row r="4" ht="15.75" customHeight="1" s="322">
      <c r="A4" s="1" t="n"/>
      <c r="B4" s="80" t="inlineStr">
        <is>
          <t>iwm</t>
        </is>
      </c>
      <c r="C4" s="81" t="inlineStr">
        <is>
          <t>&lt;&lt; 종목코드 입력</t>
        </is>
      </c>
      <c r="D4" s="1" t="n"/>
      <c r="E4" s="1" t="n"/>
      <c r="F4" s="1" t="n"/>
      <c r="G4" s="1" t="n"/>
      <c r="H4" s="1" t="n"/>
    </row>
    <row r="5" ht="15.75" customHeight="1" s="322">
      <c r="A5" s="1" t="n"/>
      <c r="B5" s="82" t="n"/>
      <c r="C5" s="81" t="inlineStr">
        <is>
          <t>&lt;&lt; 필요한 경우 거래소 입력(예: NASDAQ, NYSE)</t>
        </is>
      </c>
      <c r="D5" s="85" t="n"/>
      <c r="E5" s="1" t="n"/>
      <c r="F5" s="1" t="n"/>
      <c r="G5" s="1" t="n"/>
      <c r="H5" s="1" t="n"/>
    </row>
    <row r="6" ht="11.25" customHeight="1" s="322">
      <c r="A6" s="27" t="n"/>
      <c r="B6" s="27" t="n"/>
      <c r="C6" s="27" t="n"/>
      <c r="D6" s="27" t="n"/>
      <c r="E6" s="27" t="n"/>
      <c r="F6" s="27" t="n"/>
      <c r="G6" s="27" t="n"/>
      <c r="H6" s="27" t="n"/>
    </row>
    <row r="7" ht="20.25" customHeight="1" s="322">
      <c r="A7" s="12" t="n"/>
      <c r="B7" s="501">
        <f>IFERROR(__xludf.DUMMYFUNCTION("GOOGLEFINANCE(B18,""name"")"),"iShares Russell 2000 ETF")</f>
        <v/>
      </c>
      <c r="H7" s="12" t="n"/>
    </row>
    <row r="8" ht="11.25" customHeight="1" s="322">
      <c r="A8" s="12" t="n"/>
      <c r="B8" s="12" t="n"/>
      <c r="C8" s="12" t="n"/>
      <c r="D8" s="12" t="n"/>
      <c r="E8" s="12" t="n"/>
      <c r="F8" s="12" t="n"/>
      <c r="G8" s="12" t="n"/>
      <c r="H8" s="12" t="n"/>
    </row>
    <row r="9" ht="12" customHeight="1" s="322">
      <c r="A9" s="1" t="n"/>
      <c r="B9" s="90" t="inlineStr">
        <is>
          <t>현재가</t>
        </is>
      </c>
      <c r="C9" s="1" t="n"/>
      <c r="D9" s="90" t="inlineStr">
        <is>
          <t>전일대비</t>
        </is>
      </c>
      <c r="E9" s="90" t="inlineStr">
        <is>
          <t>등락률(%)</t>
        </is>
      </c>
      <c r="F9" s="1" t="n"/>
      <c r="G9" s="1" t="n"/>
      <c r="H9" s="1" t="n"/>
    </row>
    <row r="10" ht="31.5" customHeight="1" s="322">
      <c r="A10" s="12" t="n"/>
      <c r="B10" s="502">
        <f>IFERROR(__xludf.DUMMYFUNCTION("GOOGLEFINANCE(B18,""price"")"),288.57)</f>
        <v/>
      </c>
      <c r="D10" s="503">
        <f>IFERROR(__xludf.DUMMYFUNCTION("IFERROR(GOOGLEFINANCE(B18,""change""),""-"")"),-4.8)</f>
        <v/>
      </c>
      <c r="E10" s="504">
        <f>IFERROR(__xludf.DUMMYFUNCTION("IFERROR(GOOGLEFINANCE(B18,""changepct"")/100,""-"")"),-0.0163999999999999)</f>
        <v/>
      </c>
      <c r="F10" s="12" t="n"/>
      <c r="G10" s="12" t="n"/>
      <c r="H10" s="12" t="n"/>
    </row>
    <row r="11" ht="11.25" customHeight="1" s="322">
      <c r="A11" s="12" t="n"/>
      <c r="B11" s="106" t="n"/>
      <c r="C11" s="106" t="n"/>
      <c r="D11" s="106" t="n"/>
      <c r="E11" s="106" t="n"/>
      <c r="F11" s="106" t="n"/>
      <c r="G11" s="106" t="n"/>
      <c r="H11" s="12" t="n"/>
    </row>
    <row r="12" ht="11.25" customHeight="1" s="322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 ht="12" customHeight="1" s="322">
      <c r="A13" s="1" t="n"/>
      <c r="B13" s="90" t="inlineStr">
        <is>
          <t>시가총액</t>
        </is>
      </c>
      <c r="C13" s="90" t="inlineStr">
        <is>
          <t>PER</t>
        </is>
      </c>
      <c r="D13" s="90" t="inlineStr">
        <is>
          <t>베타계수</t>
        </is>
      </c>
      <c r="E13" s="1" t="n"/>
      <c r="F13" s="1" t="n"/>
      <c r="G13" s="1" t="n"/>
      <c r="H13" s="1" t="n"/>
    </row>
    <row r="14">
      <c r="A14" s="113" t="n"/>
      <c r="B14" s="505">
        <f>IFERROR(__xludf.DUMMYFUNCTION("IFERROR(GOOGLEFINANCE(B18,""marketcap""),""-"")"),81059315057)</f>
        <v/>
      </c>
      <c r="C14" s="115">
        <f>IFERROR(__xludf.DUMMYFUNCTION("IFERROR(GOOGLEFINANCE(B18,""pe""),""-"")"),"-")</f>
        <v/>
      </c>
      <c r="D14" s="115">
        <f>IFERROR(__xludf.DUMMYFUNCTION("IFERROR(GOOGLEFINANCE(B18,""beta""),""-"")"),"-")</f>
        <v/>
      </c>
      <c r="E14" s="113" t="n"/>
      <c r="F14" s="113" t="n"/>
      <c r="G14" s="113" t="n"/>
      <c r="H14" s="113" t="n"/>
    </row>
    <row r="15" ht="15.75" customHeight="1" s="322">
      <c r="A15" s="12" t="n"/>
      <c r="B15" s="12" t="n"/>
      <c r="C15" s="12" t="n"/>
      <c r="D15" s="12" t="n"/>
      <c r="E15" s="12" t="n"/>
      <c r="F15" s="12" t="n"/>
      <c r="G15" s="123" t="inlineStr">
        <is>
          <t>12 Months</t>
        </is>
      </c>
      <c r="H15" s="12" t="n"/>
    </row>
    <row r="16" ht="15.75" customHeight="1" s="322">
      <c r="A16" s="12" t="n"/>
      <c r="B16" s="12" t="n"/>
      <c r="C16" s="12" t="n"/>
      <c r="D16" s="12" t="n"/>
      <c r="E16" s="12" t="n"/>
      <c r="F16" s="12" t="n"/>
      <c r="G16" s="12" t="n"/>
      <c r="H16" s="12" t="n"/>
    </row>
    <row r="17" ht="15.75" customHeight="1" s="322">
      <c r="A17" s="12" t="n"/>
      <c r="B17" s="12" t="n"/>
      <c r="C17" s="12" t="n"/>
      <c r="D17" s="12" t="n"/>
      <c r="E17" s="12" t="n"/>
      <c r="F17" s="12" t="n"/>
      <c r="G17" s="12" t="n"/>
      <c r="H17" s="12" t="n"/>
    </row>
    <row r="18" ht="15.75" customHeight="1" s="322">
      <c r="A18" s="12" t="n"/>
      <c r="B18" s="127">
        <f>IF(ISBLANK(B5),"",B5&amp;":")&amp;B4</f>
        <v/>
      </c>
      <c r="C18" s="12" t="n"/>
      <c r="D18" s="12" t="n"/>
      <c r="E18" s="12" t="n"/>
      <c r="F18" s="12" t="n"/>
      <c r="G18" s="12" t="n"/>
      <c r="H18" s="12" t="n"/>
    </row>
    <row r="19" ht="15.75" customHeight="1" s="322">
      <c r="A19" s="12" t="n"/>
      <c r="B19" s="12" t="n"/>
      <c r="C19" s="12" t="n"/>
      <c r="D19" s="12" t="n"/>
      <c r="E19" s="12" t="n"/>
      <c r="F19" s="12" t="n"/>
      <c r="G19" s="12" t="n"/>
      <c r="H19" s="12" t="n"/>
    </row>
    <row r="20" ht="15.75" customHeight="1" s="322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1" ht="15.75" customHeight="1" s="322">
      <c r="A21" s="12" t="n"/>
      <c r="B21" s="12" t="n"/>
      <c r="C21" s="12" t="n"/>
      <c r="D21" s="12" t="n"/>
      <c r="E21" s="12" t="n"/>
      <c r="F21" s="12" t="n"/>
      <c r="G21" s="12" t="n"/>
      <c r="H21" s="12" t="n"/>
    </row>
    <row r="22" ht="15.75" customHeight="1" s="322">
      <c r="A22" s="12" t="n"/>
      <c r="B22" s="12" t="n"/>
      <c r="C22" s="12" t="n"/>
      <c r="D22" s="12" t="n"/>
      <c r="E22" s="12" t="n"/>
      <c r="F22" s="12" t="n"/>
      <c r="G22" s="12" t="n"/>
      <c r="H22" s="12" t="n"/>
    </row>
    <row r="23" ht="15.75" customHeight="1" s="322">
      <c r="A23" s="12" t="n"/>
      <c r="B23" s="12" t="n"/>
      <c r="C23" s="12" t="n"/>
      <c r="D23" s="12" t="n"/>
      <c r="E23" s="12" t="n"/>
      <c r="F23" s="12" t="n"/>
      <c r="G23" s="12" t="n"/>
      <c r="H23" s="12" t="n"/>
    </row>
    <row r="24" ht="15.75" customHeight="1" s="322">
      <c r="A24" s="12" t="n"/>
      <c r="B24" s="12" t="n"/>
      <c r="C24" s="12" t="n"/>
      <c r="D24" s="12" t="n"/>
      <c r="E24" s="12" t="n"/>
      <c r="F24" s="12" t="n"/>
      <c r="G24" s="12" t="n"/>
      <c r="H24" s="12" t="n"/>
    </row>
    <row r="25" ht="15.75" customHeight="1" s="322">
      <c r="A25" s="12" t="n"/>
      <c r="B25" s="12" t="n"/>
      <c r="C25" s="12" t="n"/>
      <c r="D25" s="12" t="n"/>
      <c r="E25" s="12" t="n"/>
      <c r="F25" s="12" t="n"/>
      <c r="G25" s="12" t="n"/>
      <c r="H25" s="12" t="n"/>
    </row>
    <row r="26" ht="15.75" customHeight="1" s="322">
      <c r="A26" s="12" t="n"/>
      <c r="B26" s="12" t="n"/>
      <c r="C26" s="12" t="n"/>
      <c r="D26" s="12" t="n"/>
      <c r="E26" s="12" t="n"/>
      <c r="F26" s="12" t="n"/>
      <c r="G26" s="12" t="n"/>
      <c r="H26" s="12" t="n"/>
    </row>
    <row r="27" ht="15.75" customHeight="1" s="322">
      <c r="A27" s="133" t="n"/>
      <c r="B27" s="136">
        <f>IFERROR(__xludf.DUMMYFUNCTION("GOOGLEFINANCE(B18, ""all"", EDATE(TODAY(), -LEFT(G15, FIND("" "", G15))), TODAY(), ""DAILY"")"),"Date")</f>
        <v/>
      </c>
      <c r="C27" s="137">
        <f>IFERROR(__xludf.DUMMYFUNCTION("""COMPUTED_VALUE"""),"Open")</f>
        <v/>
      </c>
      <c r="D27" s="137">
        <f>IFERROR(__xludf.DUMMYFUNCTION("""COMPUTED_VALUE"""),"High")</f>
        <v/>
      </c>
      <c r="E27" s="137">
        <f>IFERROR(__xludf.DUMMYFUNCTION("""COMPUTED_VALUE"""),"Low")</f>
        <v/>
      </c>
      <c r="F27" s="137">
        <f>IFERROR(__xludf.DUMMYFUNCTION("""COMPUTED_VALUE"""),"Close")</f>
        <v/>
      </c>
      <c r="G27" s="137">
        <f>IFERROR(__xludf.DUMMYFUNCTION("""COMPUTED_VALUE"""),"Volume")</f>
        <v/>
      </c>
      <c r="H27" s="133" t="n"/>
    </row>
    <row r="28" ht="17.25" customHeight="1" s="322">
      <c r="A28" s="27" t="n"/>
      <c r="B28" s="506">
        <f>IFERROR(__xludf.DUMMYFUNCTION("""COMPUTED_VALUE"""),45868.6666666666)</f>
        <v/>
      </c>
      <c r="C28" s="141">
        <f>IFERROR(__xludf.DUMMYFUNCTION("""COMPUTED_VALUE"""),223.66)</f>
        <v/>
      </c>
      <c r="D28" s="141">
        <f>IFERROR(__xludf.DUMMYFUNCTION("""COMPUTED_VALUE"""),224.93)</f>
        <v/>
      </c>
      <c r="E28" s="141">
        <f>IFERROR(__xludf.DUMMYFUNCTION("""COMPUTED_VALUE"""),220.12)</f>
        <v/>
      </c>
      <c r="F28" s="141">
        <f>IFERROR(__xludf.DUMMYFUNCTION("""COMPUTED_VALUE"""),221.56)</f>
        <v/>
      </c>
      <c r="G28" s="143">
        <f>IFERROR(__xludf.DUMMYFUNCTION("""COMPUTED_VALUE"""),48924406)</f>
        <v/>
      </c>
      <c r="H28" s="27" t="n"/>
    </row>
    <row r="29" ht="17.25" customHeight="1" s="322">
      <c r="A29" s="27" t="n"/>
      <c r="B29" s="506">
        <f>IFERROR(__xludf.DUMMYFUNCTION("""COMPUTED_VALUE"""),45869.6666666666)</f>
        <v/>
      </c>
      <c r="C29" s="141">
        <f>IFERROR(__xludf.DUMMYFUNCTION("""COMPUTED_VALUE"""),220.46)</f>
        <v/>
      </c>
      <c r="D29" s="141">
        <f>IFERROR(__xludf.DUMMYFUNCTION("""COMPUTED_VALUE"""),222.02)</f>
        <v/>
      </c>
      <c r="E29" s="141">
        <f>IFERROR(__xludf.DUMMYFUNCTION("""COMPUTED_VALUE"""),218.88)</f>
        <v/>
      </c>
      <c r="F29" s="141">
        <f>IFERROR(__xludf.DUMMYFUNCTION("""COMPUTED_VALUE"""),219.39)</f>
        <v/>
      </c>
      <c r="G29" s="143">
        <f>IFERROR(__xludf.DUMMYFUNCTION("""COMPUTED_VALUE"""),42913929)</f>
        <v/>
      </c>
      <c r="H29" s="27" t="n"/>
    </row>
    <row r="30" ht="17.25" customHeight="1" s="322">
      <c r="A30" s="27" t="n"/>
      <c r="B30" s="506">
        <f>IFERROR(__xludf.DUMMYFUNCTION("""COMPUTED_VALUE"""),45870.6666666666)</f>
        <v/>
      </c>
      <c r="C30" s="141">
        <f>IFERROR(__xludf.DUMMYFUNCTION("""COMPUTED_VALUE"""),216.22)</f>
        <v/>
      </c>
      <c r="D30" s="141">
        <f>IFERROR(__xludf.DUMMYFUNCTION("""COMPUTED_VALUE"""),216.56)</f>
        <v/>
      </c>
      <c r="E30" s="141">
        <f>IFERROR(__xludf.DUMMYFUNCTION("""COMPUTED_VALUE"""),212.34)</f>
        <v/>
      </c>
      <c r="F30" s="141">
        <f>IFERROR(__xludf.DUMMYFUNCTION("""COMPUTED_VALUE"""),214.92)</f>
        <v/>
      </c>
      <c r="G30" s="143">
        <f>IFERROR(__xludf.DUMMYFUNCTION("""COMPUTED_VALUE"""),63854124)</f>
        <v/>
      </c>
      <c r="H30" s="27" t="n"/>
    </row>
    <row r="31" ht="17.25" customHeight="1" s="322">
      <c r="A31" s="27" t="n"/>
      <c r="B31" s="506">
        <f>IFERROR(__xludf.DUMMYFUNCTION("""COMPUTED_VALUE"""),45873.6666666666)</f>
        <v/>
      </c>
      <c r="C31" s="141">
        <f>IFERROR(__xludf.DUMMYFUNCTION("""COMPUTED_VALUE"""),216.55)</f>
        <v/>
      </c>
      <c r="D31" s="141">
        <f>IFERROR(__xludf.DUMMYFUNCTION("""COMPUTED_VALUE"""),219.74)</f>
        <v/>
      </c>
      <c r="E31" s="141">
        <f>IFERROR(__xludf.DUMMYFUNCTION("""COMPUTED_VALUE"""),216.08)</f>
        <v/>
      </c>
      <c r="F31" s="141">
        <f>IFERROR(__xludf.DUMMYFUNCTION("""COMPUTED_VALUE"""),219.73)</f>
        <v/>
      </c>
      <c r="G31" s="143">
        <f>IFERROR(__xludf.DUMMYFUNCTION("""COMPUTED_VALUE"""),34989623)</f>
        <v/>
      </c>
      <c r="H31" s="27" t="n"/>
    </row>
    <row r="32" ht="17.25" customHeight="1" s="322">
      <c r="A32" s="27" t="n"/>
      <c r="B32" s="506">
        <f>IFERROR(__xludf.DUMMYFUNCTION("""COMPUTED_VALUE"""),45874.6666666666)</f>
        <v/>
      </c>
      <c r="C32" s="141">
        <f>IFERROR(__xludf.DUMMYFUNCTION("""COMPUTED_VALUE"""),220.56)</f>
        <v/>
      </c>
      <c r="D32" s="141">
        <f>IFERROR(__xludf.DUMMYFUNCTION("""COMPUTED_VALUE"""),221.26)</f>
        <v/>
      </c>
      <c r="E32" s="141">
        <f>IFERROR(__xludf.DUMMYFUNCTION("""COMPUTED_VALUE"""),218.24)</f>
        <v/>
      </c>
      <c r="F32" s="141">
        <f>IFERROR(__xludf.DUMMYFUNCTION("""COMPUTED_VALUE"""),220.85)</f>
        <v/>
      </c>
      <c r="G32" s="143">
        <f>IFERROR(__xludf.DUMMYFUNCTION("""COMPUTED_VALUE"""),31337056)</f>
        <v/>
      </c>
      <c r="H32" s="27" t="n"/>
    </row>
    <row r="33" ht="17.25" customHeight="1" s="322">
      <c r="A33" s="27" t="n"/>
      <c r="B33" s="506">
        <f>IFERROR(__xludf.DUMMYFUNCTION("""COMPUTED_VALUE"""),45875.6666666666)</f>
        <v/>
      </c>
      <c r="C33" s="141">
        <f>IFERROR(__xludf.DUMMYFUNCTION("""COMPUTED_VALUE"""),220.95)</f>
        <v/>
      </c>
      <c r="D33" s="141">
        <f>IFERROR(__xludf.DUMMYFUNCTION("""COMPUTED_VALUE"""),220.99)</f>
        <v/>
      </c>
      <c r="E33" s="141">
        <f>IFERROR(__xludf.DUMMYFUNCTION("""COMPUTED_VALUE"""),219.38)</f>
        <v/>
      </c>
      <c r="F33" s="141">
        <f>IFERROR(__xludf.DUMMYFUNCTION("""COMPUTED_VALUE"""),220.56)</f>
        <v/>
      </c>
      <c r="G33" s="143">
        <f>IFERROR(__xludf.DUMMYFUNCTION("""COMPUTED_VALUE"""),23142100)</f>
        <v/>
      </c>
      <c r="H33" s="27" t="n"/>
    </row>
    <row r="34" ht="17.25" customHeight="1" s="322">
      <c r="A34" s="27" t="n"/>
      <c r="B34" s="506">
        <f>IFERROR(__xludf.DUMMYFUNCTION("""COMPUTED_VALUE"""),45876.6666666666)</f>
        <v/>
      </c>
      <c r="C34" s="141">
        <f>IFERROR(__xludf.DUMMYFUNCTION("""COMPUTED_VALUE"""),222.76)</f>
        <v/>
      </c>
      <c r="D34" s="141">
        <f>IFERROR(__xludf.DUMMYFUNCTION("""COMPUTED_VALUE"""),222.84)</f>
        <v/>
      </c>
      <c r="E34" s="141">
        <f>IFERROR(__xludf.DUMMYFUNCTION("""COMPUTED_VALUE"""),218.51)</f>
        <v/>
      </c>
      <c r="F34" s="141">
        <f>IFERROR(__xludf.DUMMYFUNCTION("""COMPUTED_VALUE"""),219.84)</f>
        <v/>
      </c>
      <c r="G34" s="143">
        <f>IFERROR(__xludf.DUMMYFUNCTION("""COMPUTED_VALUE"""),37088008)</f>
        <v/>
      </c>
      <c r="H34" s="27" t="n"/>
    </row>
    <row r="35" ht="17.25" customHeight="1" s="322">
      <c r="A35" s="27" t="n"/>
      <c r="B35" s="506">
        <f>IFERROR(__xludf.DUMMYFUNCTION("""COMPUTED_VALUE"""),45877.6666666666)</f>
        <v/>
      </c>
      <c r="C35" s="141">
        <f>IFERROR(__xludf.DUMMYFUNCTION("""COMPUTED_VALUE"""),221.07)</f>
        <v/>
      </c>
      <c r="D35" s="141">
        <f>IFERROR(__xludf.DUMMYFUNCTION("""COMPUTED_VALUE"""),221.57)</f>
        <v/>
      </c>
      <c r="E35" s="141">
        <f>IFERROR(__xludf.DUMMYFUNCTION("""COMPUTED_VALUE"""),219.74)</f>
        <v/>
      </c>
      <c r="F35" s="141">
        <f>IFERROR(__xludf.DUMMYFUNCTION("""COMPUTED_VALUE"""),220.32)</f>
        <v/>
      </c>
      <c r="G35" s="143">
        <f>IFERROR(__xludf.DUMMYFUNCTION("""COMPUTED_VALUE"""),28318098)</f>
        <v/>
      </c>
      <c r="H35" s="27" t="n"/>
    </row>
    <row r="36" ht="17.25" customHeight="1" s="322">
      <c r="A36" s="27" t="n"/>
      <c r="B36" s="506">
        <f>IFERROR(__xludf.DUMMYFUNCTION("""COMPUTED_VALUE"""),45880.6666666666)</f>
        <v/>
      </c>
      <c r="C36" s="141">
        <f>IFERROR(__xludf.DUMMYFUNCTION("""COMPUTED_VALUE"""),220.77)</f>
        <v/>
      </c>
      <c r="D36" s="141">
        <f>IFERROR(__xludf.DUMMYFUNCTION("""COMPUTED_VALUE"""),221.68)</f>
        <v/>
      </c>
      <c r="E36" s="141">
        <f>IFERROR(__xludf.DUMMYFUNCTION("""COMPUTED_VALUE"""),219.81)</f>
        <v/>
      </c>
      <c r="F36" s="141">
        <f>IFERROR(__xludf.DUMMYFUNCTION("""COMPUTED_VALUE"""),220.27)</f>
        <v/>
      </c>
      <c r="G36" s="143">
        <f>IFERROR(__xludf.DUMMYFUNCTION("""COMPUTED_VALUE"""),25212844)</f>
        <v/>
      </c>
      <c r="H36" s="27" t="n"/>
    </row>
    <row r="37" ht="17.25" customHeight="1" s="322">
      <c r="A37" s="27" t="n"/>
      <c r="B37" s="506">
        <f>IFERROR(__xludf.DUMMYFUNCTION("""COMPUTED_VALUE"""),45881.6666666666)</f>
        <v/>
      </c>
      <c r="C37" s="141">
        <f>IFERROR(__xludf.DUMMYFUNCTION("""COMPUTED_VALUE"""),221.85)</f>
        <v/>
      </c>
      <c r="D37" s="141">
        <f>IFERROR(__xludf.DUMMYFUNCTION("""COMPUTED_VALUE"""),226.98)</f>
        <v/>
      </c>
      <c r="E37" s="141">
        <f>IFERROR(__xludf.DUMMYFUNCTION("""COMPUTED_VALUE"""),221.15)</f>
        <v/>
      </c>
      <c r="F37" s="141">
        <f>IFERROR(__xludf.DUMMYFUNCTION("""COMPUTED_VALUE"""),226.81)</f>
        <v/>
      </c>
      <c r="G37" s="143">
        <f>IFERROR(__xludf.DUMMYFUNCTION("""COMPUTED_VALUE"""),43991900)</f>
        <v/>
      </c>
      <c r="H37" s="27" t="n"/>
    </row>
    <row r="38" ht="17.25" customHeight="1" s="322">
      <c r="A38" s="27" t="n"/>
      <c r="B38" s="506">
        <f>IFERROR(__xludf.DUMMYFUNCTION("""COMPUTED_VALUE"""),45882.6666666666)</f>
        <v/>
      </c>
      <c r="C38" s="141">
        <f>IFERROR(__xludf.DUMMYFUNCTION("""COMPUTED_VALUE"""),228.26)</f>
        <v/>
      </c>
      <c r="D38" s="141">
        <f>IFERROR(__xludf.DUMMYFUNCTION("""COMPUTED_VALUE"""),231.46)</f>
        <v/>
      </c>
      <c r="E38" s="141">
        <f>IFERROR(__xludf.DUMMYFUNCTION("""COMPUTED_VALUE"""),227.83)</f>
        <v/>
      </c>
      <c r="F38" s="141">
        <f>IFERROR(__xludf.DUMMYFUNCTION("""COMPUTED_VALUE"""),231.22)</f>
        <v/>
      </c>
      <c r="G38" s="143">
        <f>IFERROR(__xludf.DUMMYFUNCTION("""COMPUTED_VALUE"""),41705784)</f>
        <v/>
      </c>
      <c r="H38" s="27" t="n"/>
    </row>
    <row r="39" ht="17.25" customHeight="1" s="322">
      <c r="A39" s="27" t="n"/>
      <c r="B39" s="506">
        <f>IFERROR(__xludf.DUMMYFUNCTION("""COMPUTED_VALUE"""),45883.6666666666)</f>
        <v/>
      </c>
      <c r="C39" s="141">
        <f>IFERROR(__xludf.DUMMYFUNCTION("""COMPUTED_VALUE"""),228.44)</f>
        <v/>
      </c>
      <c r="D39" s="141">
        <f>IFERROR(__xludf.DUMMYFUNCTION("""COMPUTED_VALUE"""),228.8)</f>
        <v/>
      </c>
      <c r="E39" s="141">
        <f>IFERROR(__xludf.DUMMYFUNCTION("""COMPUTED_VALUE"""),226.17)</f>
        <v/>
      </c>
      <c r="F39" s="141">
        <f>IFERROR(__xludf.DUMMYFUNCTION("""COMPUTED_VALUE"""),228.24)</f>
        <v/>
      </c>
      <c r="G39" s="143">
        <f>IFERROR(__xludf.DUMMYFUNCTION("""COMPUTED_VALUE"""),55945507)</f>
        <v/>
      </c>
      <c r="H39" s="27" t="n"/>
    </row>
    <row r="40" ht="17.25" customHeight="1" s="322">
      <c r="A40" s="27" t="n"/>
      <c r="B40" s="506">
        <f>IFERROR(__xludf.DUMMYFUNCTION("""COMPUTED_VALUE"""),45884.6666666666)</f>
        <v/>
      </c>
      <c r="C40" s="141">
        <f>IFERROR(__xludf.DUMMYFUNCTION("""COMPUTED_VALUE"""),228.64)</f>
        <v/>
      </c>
      <c r="D40" s="141">
        <f>IFERROR(__xludf.DUMMYFUNCTION("""COMPUTED_VALUE"""),228.78)</f>
        <v/>
      </c>
      <c r="E40" s="141">
        <f>IFERROR(__xludf.DUMMYFUNCTION("""COMPUTED_VALUE"""),226.04)</f>
        <v/>
      </c>
      <c r="F40" s="141">
        <f>IFERROR(__xludf.DUMMYFUNCTION("""COMPUTED_VALUE"""),227.13)</f>
        <v/>
      </c>
      <c r="G40" s="143">
        <f>IFERROR(__xludf.DUMMYFUNCTION("""COMPUTED_VALUE"""),33571448)</f>
        <v/>
      </c>
      <c r="H40" s="27" t="n"/>
    </row>
    <row r="41" ht="17.25" customHeight="1" s="322">
      <c r="A41" s="27" t="n"/>
      <c r="B41" s="506">
        <f>IFERROR(__xludf.DUMMYFUNCTION("""COMPUTED_VALUE"""),45887.6666666666)</f>
        <v/>
      </c>
      <c r="C41" s="141">
        <f>IFERROR(__xludf.DUMMYFUNCTION("""COMPUTED_VALUE"""),227.21)</f>
        <v/>
      </c>
      <c r="D41" s="141">
        <f>IFERROR(__xludf.DUMMYFUNCTION("""COMPUTED_VALUE"""),228.46)</f>
        <v/>
      </c>
      <c r="E41" s="141">
        <f>IFERROR(__xludf.DUMMYFUNCTION("""COMPUTED_VALUE"""),226.94)</f>
        <v/>
      </c>
      <c r="F41" s="141">
        <f>IFERROR(__xludf.DUMMYFUNCTION("""COMPUTED_VALUE"""),227.96)</f>
        <v/>
      </c>
      <c r="G41" s="143">
        <f>IFERROR(__xludf.DUMMYFUNCTION("""COMPUTED_VALUE"""),20144107)</f>
        <v/>
      </c>
      <c r="H41" s="27" t="n"/>
    </row>
    <row r="42" ht="17.25" customHeight="1" s="322">
      <c r="A42" s="27" t="n"/>
      <c r="B42" s="506">
        <f>IFERROR(__xludf.DUMMYFUNCTION("""COMPUTED_VALUE"""),45888.6666666666)</f>
        <v/>
      </c>
      <c r="C42" s="141">
        <f>IFERROR(__xludf.DUMMYFUNCTION("""COMPUTED_VALUE"""),228.02)</f>
        <v/>
      </c>
      <c r="D42" s="141">
        <f>IFERROR(__xludf.DUMMYFUNCTION("""COMPUTED_VALUE"""),228.98)</f>
        <v/>
      </c>
      <c r="E42" s="141">
        <f>IFERROR(__xludf.DUMMYFUNCTION("""COMPUTED_VALUE"""),225.69)</f>
        <v/>
      </c>
      <c r="F42" s="141">
        <f>IFERROR(__xludf.DUMMYFUNCTION("""COMPUTED_VALUE"""),226.21)</f>
        <v/>
      </c>
      <c r="G42" s="143">
        <f>IFERROR(__xludf.DUMMYFUNCTION("""COMPUTED_VALUE"""),25000687)</f>
        <v/>
      </c>
      <c r="H42" s="27" t="n"/>
    </row>
    <row r="43" ht="17.25" customHeight="1" s="322">
      <c r="A43" s="27" t="n"/>
      <c r="B43" s="506">
        <f>IFERROR(__xludf.DUMMYFUNCTION("""COMPUTED_VALUE"""),45889.6666666666)</f>
        <v/>
      </c>
      <c r="C43" s="141">
        <f>IFERROR(__xludf.DUMMYFUNCTION("""COMPUTED_VALUE"""),225.93)</f>
        <v/>
      </c>
      <c r="D43" s="141">
        <f>IFERROR(__xludf.DUMMYFUNCTION("""COMPUTED_VALUE"""),226.38)</f>
        <v/>
      </c>
      <c r="E43" s="141">
        <f>IFERROR(__xludf.DUMMYFUNCTION("""COMPUTED_VALUE"""),223.69)</f>
        <v/>
      </c>
      <c r="F43" s="141">
        <f>IFERROR(__xludf.DUMMYFUNCTION("""COMPUTED_VALUE"""),225.41)</f>
        <v/>
      </c>
      <c r="G43" s="143">
        <f>IFERROR(__xludf.DUMMYFUNCTION("""COMPUTED_VALUE"""),29229749)</f>
        <v/>
      </c>
      <c r="H43" s="27" t="n"/>
    </row>
    <row r="44" ht="17.25" customHeight="1" s="322">
      <c r="A44" s="27" t="n"/>
      <c r="B44" s="506">
        <f>IFERROR(__xludf.DUMMYFUNCTION("""COMPUTED_VALUE"""),45890.6666666666)</f>
        <v/>
      </c>
      <c r="C44" s="141">
        <f>IFERROR(__xludf.DUMMYFUNCTION("""COMPUTED_VALUE"""),224.41)</f>
        <v/>
      </c>
      <c r="D44" s="141">
        <f>IFERROR(__xludf.DUMMYFUNCTION("""COMPUTED_VALUE"""),226.32)</f>
        <v/>
      </c>
      <c r="E44" s="141">
        <f>IFERROR(__xludf.DUMMYFUNCTION("""COMPUTED_VALUE"""),223.78)</f>
        <v/>
      </c>
      <c r="F44" s="141">
        <f>IFERROR(__xludf.DUMMYFUNCTION("""COMPUTED_VALUE"""),225.97)</f>
        <v/>
      </c>
      <c r="G44" s="143">
        <f>IFERROR(__xludf.DUMMYFUNCTION("""COMPUTED_VALUE"""),24539360)</f>
        <v/>
      </c>
      <c r="H44" s="27" t="n"/>
    </row>
    <row r="45" ht="17.25" customHeight="1" s="322">
      <c r="A45" s="27" t="n"/>
      <c r="B45" s="506">
        <f>IFERROR(__xludf.DUMMYFUNCTION("""COMPUTED_VALUE"""),45891.6666666666)</f>
        <v/>
      </c>
      <c r="C45" s="141">
        <f>IFERROR(__xludf.DUMMYFUNCTION("""COMPUTED_VALUE"""),227.37)</f>
        <v/>
      </c>
      <c r="D45" s="141">
        <f>IFERROR(__xludf.DUMMYFUNCTION("""COMPUTED_VALUE"""),235.42)</f>
        <v/>
      </c>
      <c r="E45" s="141">
        <f>IFERROR(__xludf.DUMMYFUNCTION("""COMPUTED_VALUE"""),227.18)</f>
        <v/>
      </c>
      <c r="F45" s="141">
        <f>IFERROR(__xludf.DUMMYFUNCTION("""COMPUTED_VALUE"""),234.83)</f>
        <v/>
      </c>
      <c r="G45" s="143">
        <f>IFERROR(__xludf.DUMMYFUNCTION("""COMPUTED_VALUE"""),58205537)</f>
        <v/>
      </c>
      <c r="H45" s="27" t="n"/>
    </row>
    <row r="46" ht="17.25" customHeight="1" s="322">
      <c r="A46" s="27" t="n"/>
      <c r="B46" s="506">
        <f>IFERROR(__xludf.DUMMYFUNCTION("""COMPUTED_VALUE"""),45894.6666666666)</f>
        <v/>
      </c>
      <c r="C46" s="141">
        <f>IFERROR(__xludf.DUMMYFUNCTION("""COMPUTED_VALUE"""),234.14)</f>
        <v/>
      </c>
      <c r="D46" s="141">
        <f>IFERROR(__xludf.DUMMYFUNCTION("""COMPUTED_VALUE"""),234.3)</f>
        <v/>
      </c>
      <c r="E46" s="141">
        <f>IFERROR(__xludf.DUMMYFUNCTION("""COMPUTED_VALUE"""),232.36)</f>
        <v/>
      </c>
      <c r="F46" s="141">
        <f>IFERROR(__xludf.DUMMYFUNCTION("""COMPUTED_VALUE"""),232.36)</f>
        <v/>
      </c>
      <c r="G46" s="143">
        <f>IFERROR(__xludf.DUMMYFUNCTION("""COMPUTED_VALUE"""),28453657)</f>
        <v/>
      </c>
      <c r="H46" s="27" t="n"/>
    </row>
    <row r="47" ht="17.25" customHeight="1" s="322">
      <c r="A47" s="27" t="n"/>
      <c r="B47" s="506">
        <f>IFERROR(__xludf.DUMMYFUNCTION("""COMPUTED_VALUE"""),45895.6666666666)</f>
        <v/>
      </c>
      <c r="C47" s="141">
        <f>IFERROR(__xludf.DUMMYFUNCTION("""COMPUTED_VALUE"""),232.83)</f>
        <v/>
      </c>
      <c r="D47" s="141">
        <f>IFERROR(__xludf.DUMMYFUNCTION("""COMPUTED_VALUE"""),234.87)</f>
        <v/>
      </c>
      <c r="E47" s="141">
        <f>IFERROR(__xludf.DUMMYFUNCTION("""COMPUTED_VALUE"""),232.59)</f>
        <v/>
      </c>
      <c r="F47" s="141">
        <f>IFERROR(__xludf.DUMMYFUNCTION("""COMPUTED_VALUE"""),234.28)</f>
        <v/>
      </c>
      <c r="G47" s="143">
        <f>IFERROR(__xludf.DUMMYFUNCTION("""COMPUTED_VALUE"""),25121535)</f>
        <v/>
      </c>
      <c r="H47" s="27" t="n"/>
    </row>
    <row r="48" ht="17.25" customHeight="1" s="322">
      <c r="A48" s="27" t="n"/>
      <c r="B48" s="506">
        <f>IFERROR(__xludf.DUMMYFUNCTION("""COMPUTED_VALUE"""),45896.6666666666)</f>
        <v/>
      </c>
      <c r="C48" s="141">
        <f>IFERROR(__xludf.DUMMYFUNCTION("""COMPUTED_VALUE"""),233.74)</f>
        <v/>
      </c>
      <c r="D48" s="141">
        <f>IFERROR(__xludf.DUMMYFUNCTION("""COMPUTED_VALUE"""),236.12)</f>
        <v/>
      </c>
      <c r="E48" s="141">
        <f>IFERROR(__xludf.DUMMYFUNCTION("""COMPUTED_VALUE"""),233.56)</f>
        <v/>
      </c>
      <c r="F48" s="141">
        <f>IFERROR(__xludf.DUMMYFUNCTION("""COMPUTED_VALUE"""),235.94)</f>
        <v/>
      </c>
      <c r="G48" s="143">
        <f>IFERROR(__xludf.DUMMYFUNCTION("""COMPUTED_VALUE"""),25395394)</f>
        <v/>
      </c>
      <c r="H48" s="27" t="n"/>
    </row>
    <row r="49" ht="17.25" customHeight="1" s="322">
      <c r="A49" s="27" t="n"/>
      <c r="B49" s="506">
        <f>IFERROR(__xludf.DUMMYFUNCTION("""COMPUTED_VALUE"""),45897.6666666666)</f>
        <v/>
      </c>
      <c r="C49" s="141">
        <f>IFERROR(__xludf.DUMMYFUNCTION("""COMPUTED_VALUE"""),236.96)</f>
        <v/>
      </c>
      <c r="D49" s="141">
        <f>IFERROR(__xludf.DUMMYFUNCTION("""COMPUTED_VALUE"""),236.97)</f>
        <v/>
      </c>
      <c r="E49" s="141">
        <f>IFERROR(__xludf.DUMMYFUNCTION("""COMPUTED_VALUE"""),235.35)</f>
        <v/>
      </c>
      <c r="F49" s="141">
        <f>IFERROR(__xludf.DUMMYFUNCTION("""COMPUTED_VALUE"""),236.22)</f>
        <v/>
      </c>
      <c r="G49" s="143">
        <f>IFERROR(__xludf.DUMMYFUNCTION("""COMPUTED_VALUE"""),25011198)</f>
        <v/>
      </c>
      <c r="H49" s="27" t="n"/>
    </row>
    <row r="50" ht="17.25" customHeight="1" s="322">
      <c r="A50" s="27" t="n"/>
      <c r="B50" s="506">
        <f>IFERROR(__xludf.DUMMYFUNCTION("""COMPUTED_VALUE"""),45898.6666666666)</f>
        <v/>
      </c>
      <c r="C50" s="141">
        <f>IFERROR(__xludf.DUMMYFUNCTION("""COMPUTED_VALUE"""),236.74)</f>
        <v/>
      </c>
      <c r="D50" s="141">
        <f>IFERROR(__xludf.DUMMYFUNCTION("""COMPUTED_VALUE"""),237.02)</f>
        <v/>
      </c>
      <c r="E50" s="141">
        <f>IFERROR(__xludf.DUMMYFUNCTION("""COMPUTED_VALUE"""),234.37)</f>
        <v/>
      </c>
      <c r="F50" s="141">
        <f>IFERROR(__xludf.DUMMYFUNCTION("""COMPUTED_VALUE"""),235.17)</f>
        <v/>
      </c>
      <c r="G50" s="143">
        <f>IFERROR(__xludf.DUMMYFUNCTION("""COMPUTED_VALUE"""),29254768)</f>
        <v/>
      </c>
      <c r="H50" s="27" t="n"/>
    </row>
    <row r="51" ht="17.25" customHeight="1" s="322">
      <c r="A51" s="27" t="n"/>
      <c r="B51" s="506">
        <f>IFERROR(__xludf.DUMMYFUNCTION("""COMPUTED_VALUE"""),45902.6666666666)</f>
        <v/>
      </c>
      <c r="C51" s="141">
        <f>IFERROR(__xludf.DUMMYFUNCTION("""COMPUTED_VALUE"""),231.99)</f>
        <v/>
      </c>
      <c r="D51" s="141">
        <f>IFERROR(__xludf.DUMMYFUNCTION("""COMPUTED_VALUE"""),234.4)</f>
        <v/>
      </c>
      <c r="E51" s="141">
        <f>IFERROR(__xludf.DUMMYFUNCTION("""COMPUTED_VALUE"""),231.47)</f>
        <v/>
      </c>
      <c r="F51" s="141">
        <f>IFERROR(__xludf.DUMMYFUNCTION("""COMPUTED_VALUE"""),233.9)</f>
        <v/>
      </c>
      <c r="G51" s="143">
        <f>IFERROR(__xludf.DUMMYFUNCTION("""COMPUTED_VALUE"""),33108624)</f>
        <v/>
      </c>
      <c r="H51" s="27" t="n"/>
    </row>
    <row r="52" ht="17.25" customHeight="1" s="322">
      <c r="A52" s="27" t="n"/>
      <c r="B52" s="506">
        <f>IFERROR(__xludf.DUMMYFUNCTION("""COMPUTED_VALUE"""),45903.6666666666)</f>
        <v/>
      </c>
      <c r="C52" s="141">
        <f>IFERROR(__xludf.DUMMYFUNCTION("""COMPUTED_VALUE"""),233.27)</f>
        <v/>
      </c>
      <c r="D52" s="141">
        <f>IFERROR(__xludf.DUMMYFUNCTION("""COMPUTED_VALUE"""),235.26)</f>
        <v/>
      </c>
      <c r="E52" s="141">
        <f>IFERROR(__xludf.DUMMYFUNCTION("""COMPUTED_VALUE"""),232.46)</f>
        <v/>
      </c>
      <c r="F52" s="141">
        <f>IFERROR(__xludf.DUMMYFUNCTION("""COMPUTED_VALUE"""),233.67)</f>
        <v/>
      </c>
      <c r="G52" s="143">
        <f>IFERROR(__xludf.DUMMYFUNCTION("""COMPUTED_VALUE"""),33252351)</f>
        <v/>
      </c>
      <c r="H52" s="27" t="n"/>
    </row>
    <row r="53" ht="17.25" customHeight="1" s="322">
      <c r="A53" s="27" t="n"/>
      <c r="B53" s="506">
        <f>IFERROR(__xludf.DUMMYFUNCTION("""COMPUTED_VALUE"""),45904.6666666666)</f>
        <v/>
      </c>
      <c r="C53" s="141">
        <f>IFERROR(__xludf.DUMMYFUNCTION("""COMPUTED_VALUE"""),234.23)</f>
        <v/>
      </c>
      <c r="D53" s="141">
        <f>IFERROR(__xludf.DUMMYFUNCTION("""COMPUTED_VALUE"""),236.67)</f>
        <v/>
      </c>
      <c r="E53" s="141">
        <f>IFERROR(__xludf.DUMMYFUNCTION("""COMPUTED_VALUE"""),233.58)</f>
        <v/>
      </c>
      <c r="F53" s="141">
        <f>IFERROR(__xludf.DUMMYFUNCTION("""COMPUTED_VALUE"""),236.59)</f>
        <v/>
      </c>
      <c r="G53" s="143">
        <f>IFERROR(__xludf.DUMMYFUNCTION("""COMPUTED_VALUE"""),30323833)</f>
        <v/>
      </c>
      <c r="H53" s="27" t="n"/>
    </row>
    <row r="54" ht="17.25" customHeight="1" s="322">
      <c r="A54" s="27" t="n"/>
      <c r="B54" s="506">
        <f>IFERROR(__xludf.DUMMYFUNCTION("""COMPUTED_VALUE"""),45905.6666666666)</f>
        <v/>
      </c>
      <c r="C54" s="141">
        <f>IFERROR(__xludf.DUMMYFUNCTION("""COMPUTED_VALUE"""),237.72)</f>
        <v/>
      </c>
      <c r="D54" s="141">
        <f>IFERROR(__xludf.DUMMYFUNCTION("""COMPUTED_VALUE"""),239.68)</f>
        <v/>
      </c>
      <c r="E54" s="141">
        <f>IFERROR(__xludf.DUMMYFUNCTION("""COMPUTED_VALUE"""),234.95)</f>
        <v/>
      </c>
      <c r="F54" s="141">
        <f>IFERROR(__xludf.DUMMYFUNCTION("""COMPUTED_VALUE"""),237.77)</f>
        <v/>
      </c>
      <c r="G54" s="143">
        <f>IFERROR(__xludf.DUMMYFUNCTION("""COMPUTED_VALUE"""),47542498)</f>
        <v/>
      </c>
      <c r="H54" s="27" t="n"/>
    </row>
    <row r="55" ht="17.25" customHeight="1" s="322">
      <c r="A55" s="27" t="n"/>
      <c r="B55" s="506">
        <f>IFERROR(__xludf.DUMMYFUNCTION("""COMPUTED_VALUE"""),45908.6666666666)</f>
        <v/>
      </c>
      <c r="C55" s="141">
        <f>IFERROR(__xludf.DUMMYFUNCTION("""COMPUTED_VALUE"""),238.51)</f>
        <v/>
      </c>
      <c r="D55" s="141">
        <f>IFERROR(__xludf.DUMMYFUNCTION("""COMPUTED_VALUE"""),238.56)</f>
        <v/>
      </c>
      <c r="E55" s="141">
        <f>IFERROR(__xludf.DUMMYFUNCTION("""COMPUTED_VALUE"""),236.39)</f>
        <v/>
      </c>
      <c r="F55" s="141">
        <f>IFERROR(__xludf.DUMMYFUNCTION("""COMPUTED_VALUE"""),238.25)</f>
        <v/>
      </c>
      <c r="G55" s="143">
        <f>IFERROR(__xludf.DUMMYFUNCTION("""COMPUTED_VALUE"""),31487732)</f>
        <v/>
      </c>
      <c r="H55" s="27" t="n"/>
    </row>
    <row r="56" ht="17.25" customHeight="1" s="322">
      <c r="A56" s="27" t="n"/>
      <c r="B56" s="506">
        <f>IFERROR(__xludf.DUMMYFUNCTION("""COMPUTED_VALUE"""),45909.6666666666)</f>
        <v/>
      </c>
      <c r="C56" s="141">
        <f>IFERROR(__xludf.DUMMYFUNCTION("""COMPUTED_VALUE"""),237.9)</f>
        <v/>
      </c>
      <c r="D56" s="141">
        <f>IFERROR(__xludf.DUMMYFUNCTION("""COMPUTED_VALUE"""),237.96)</f>
        <v/>
      </c>
      <c r="E56" s="141">
        <f>IFERROR(__xludf.DUMMYFUNCTION("""COMPUTED_VALUE"""),235.42)</f>
        <v/>
      </c>
      <c r="F56" s="141">
        <f>IFERROR(__xludf.DUMMYFUNCTION("""COMPUTED_VALUE"""),236.85)</f>
        <v/>
      </c>
      <c r="G56" s="143">
        <f>IFERROR(__xludf.DUMMYFUNCTION("""COMPUTED_VALUE"""),35395784)</f>
        <v/>
      </c>
      <c r="H56" s="27" t="n"/>
    </row>
    <row r="57" ht="17.25" customHeight="1" s="322">
      <c r="A57" s="27" t="n"/>
      <c r="B57" s="506">
        <f>IFERROR(__xludf.DUMMYFUNCTION("""COMPUTED_VALUE"""),45910.6666666666)</f>
        <v/>
      </c>
      <c r="C57" s="141">
        <f>IFERROR(__xludf.DUMMYFUNCTION("""COMPUTED_VALUE"""),237.31)</f>
        <v/>
      </c>
      <c r="D57" s="141">
        <f>IFERROR(__xludf.DUMMYFUNCTION("""COMPUTED_VALUE"""),238.27)</f>
        <v/>
      </c>
      <c r="E57" s="141">
        <f>IFERROR(__xludf.DUMMYFUNCTION("""COMPUTED_VALUE"""),235.46)</f>
        <v/>
      </c>
      <c r="F57" s="141">
        <f>IFERROR(__xludf.DUMMYFUNCTION("""COMPUTED_VALUE"""),236.43)</f>
        <v/>
      </c>
      <c r="G57" s="143">
        <f>IFERROR(__xludf.DUMMYFUNCTION("""COMPUTED_VALUE"""),33910156)</f>
        <v/>
      </c>
      <c r="H57" s="27" t="n"/>
    </row>
    <row r="58" ht="17.25" customHeight="1" s="322">
      <c r="A58" s="27" t="n"/>
      <c r="B58" s="506">
        <f>IFERROR(__xludf.DUMMYFUNCTION("""COMPUTED_VALUE"""),45911.6666666666)</f>
        <v/>
      </c>
      <c r="C58" s="141">
        <f>IFERROR(__xludf.DUMMYFUNCTION("""COMPUTED_VALUE"""),236.85)</f>
        <v/>
      </c>
      <c r="D58" s="141">
        <f>IFERROR(__xludf.DUMMYFUNCTION("""COMPUTED_VALUE"""),240.93)</f>
        <v/>
      </c>
      <c r="E58" s="141">
        <f>IFERROR(__xludf.DUMMYFUNCTION("""COMPUTED_VALUE"""),236.24)</f>
        <v/>
      </c>
      <c r="F58" s="141">
        <f>IFERROR(__xludf.DUMMYFUNCTION("""COMPUTED_VALUE"""),240.8)</f>
        <v/>
      </c>
      <c r="G58" s="143">
        <f>IFERROR(__xludf.DUMMYFUNCTION("""COMPUTED_VALUE"""),43629818)</f>
        <v/>
      </c>
      <c r="H58" s="27" t="n"/>
    </row>
    <row r="59" ht="17.25" customHeight="1" s="322">
      <c r="A59" s="27" t="n"/>
      <c r="B59" s="506">
        <f>IFERROR(__xludf.DUMMYFUNCTION("""COMPUTED_VALUE"""),45912.6666666666)</f>
        <v/>
      </c>
      <c r="C59" s="141">
        <f>IFERROR(__xludf.DUMMYFUNCTION("""COMPUTED_VALUE"""),240.2)</f>
        <v/>
      </c>
      <c r="D59" s="141">
        <f>IFERROR(__xludf.DUMMYFUNCTION("""COMPUTED_VALUE"""),240.32)</f>
        <v/>
      </c>
      <c r="E59" s="141">
        <f>IFERROR(__xludf.DUMMYFUNCTION("""COMPUTED_VALUE"""),238.2)</f>
        <v/>
      </c>
      <c r="F59" s="141">
        <f>IFERROR(__xludf.DUMMYFUNCTION("""COMPUTED_VALUE"""),238.34)</f>
        <v/>
      </c>
      <c r="G59" s="143">
        <f>IFERROR(__xludf.DUMMYFUNCTION("""COMPUTED_VALUE"""),46097640)</f>
        <v/>
      </c>
      <c r="H59" s="27" t="n"/>
    </row>
    <row r="60" ht="17.25" customHeight="1" s="322">
      <c r="A60" s="27" t="n"/>
      <c r="B60" s="506">
        <f>IFERROR(__xludf.DUMMYFUNCTION("""COMPUTED_VALUE"""),45915.6666666666)</f>
        <v/>
      </c>
      <c r="C60" s="141">
        <f>IFERROR(__xludf.DUMMYFUNCTION("""COMPUTED_VALUE"""),239.23)</f>
        <v/>
      </c>
      <c r="D60" s="141">
        <f>IFERROR(__xludf.DUMMYFUNCTION("""COMPUTED_VALUE"""),240.04)</f>
        <v/>
      </c>
      <c r="E60" s="141">
        <f>IFERROR(__xludf.DUMMYFUNCTION("""COMPUTED_VALUE"""),238.55)</f>
        <v/>
      </c>
      <c r="F60" s="141">
        <f>IFERROR(__xludf.DUMMYFUNCTION("""COMPUTED_VALUE"""),239.35)</f>
        <v/>
      </c>
      <c r="G60" s="143">
        <f>IFERROR(__xludf.DUMMYFUNCTION("""COMPUTED_VALUE"""),33014031)</f>
        <v/>
      </c>
      <c r="H60" s="27" t="n"/>
    </row>
    <row r="61" ht="17.25" customHeight="1" s="322">
      <c r="A61" s="27" t="n"/>
      <c r="B61" s="506">
        <f>IFERROR(__xludf.DUMMYFUNCTION("""COMPUTED_VALUE"""),45916.6666666666)</f>
        <v/>
      </c>
      <c r="C61" s="141">
        <f>IFERROR(__xludf.DUMMYFUNCTION("""COMPUTED_VALUE"""),238.45)</f>
        <v/>
      </c>
      <c r="D61" s="141">
        <f>IFERROR(__xludf.DUMMYFUNCTION("""COMPUTED_VALUE"""),238.93)</f>
        <v/>
      </c>
      <c r="E61" s="141">
        <f>IFERROR(__xludf.DUMMYFUNCTION("""COMPUTED_VALUE"""),236.76)</f>
        <v/>
      </c>
      <c r="F61" s="141">
        <f>IFERROR(__xludf.DUMMYFUNCTION("""COMPUTED_VALUE"""),238.28)</f>
        <v/>
      </c>
      <c r="G61" s="143">
        <f>IFERROR(__xludf.DUMMYFUNCTION("""COMPUTED_VALUE"""),37059322)</f>
        <v/>
      </c>
      <c r="H61" s="27" t="n"/>
    </row>
    <row r="62" ht="17.25" customHeight="1" s="322">
      <c r="A62" s="27" t="n"/>
      <c r="B62" s="506">
        <f>IFERROR(__xludf.DUMMYFUNCTION("""COMPUTED_VALUE"""),45917.6666666666)</f>
        <v/>
      </c>
      <c r="C62" s="141">
        <f>IFERROR(__xludf.DUMMYFUNCTION("""COMPUTED_VALUE"""),238.82)</f>
        <v/>
      </c>
      <c r="D62" s="141">
        <f>IFERROR(__xludf.DUMMYFUNCTION("""COMPUTED_VALUE"""),244.28)</f>
        <v/>
      </c>
      <c r="E62" s="141">
        <f>IFERROR(__xludf.DUMMYFUNCTION("""COMPUTED_VALUE"""),237.02)</f>
        <v/>
      </c>
      <c r="F62" s="141">
        <f>IFERROR(__xludf.DUMMYFUNCTION("""COMPUTED_VALUE"""),238.89)</f>
        <v/>
      </c>
      <c r="G62" s="143">
        <f>IFERROR(__xludf.DUMMYFUNCTION("""COMPUTED_VALUE"""),79955604)</f>
        <v/>
      </c>
      <c r="H62" s="27" t="n"/>
    </row>
    <row r="63" ht="17.25" customHeight="1" s="322">
      <c r="A63" s="27" t="n"/>
      <c r="B63" s="506">
        <f>IFERROR(__xludf.DUMMYFUNCTION("""COMPUTED_VALUE"""),45918.6666666666)</f>
        <v/>
      </c>
      <c r="C63" s="141">
        <f>IFERROR(__xludf.DUMMYFUNCTION("""COMPUTED_VALUE"""),240.8)</f>
        <v/>
      </c>
      <c r="D63" s="141">
        <f>IFERROR(__xludf.DUMMYFUNCTION("""COMPUTED_VALUE"""),245.15)</f>
        <v/>
      </c>
      <c r="E63" s="141">
        <f>IFERROR(__xludf.DUMMYFUNCTION("""COMPUTED_VALUE"""),240.13)</f>
        <v/>
      </c>
      <c r="F63" s="141">
        <f>IFERROR(__xludf.DUMMYFUNCTION("""COMPUTED_VALUE"""),244.84)</f>
        <v/>
      </c>
      <c r="G63" s="143">
        <f>IFERROR(__xludf.DUMMYFUNCTION("""COMPUTED_VALUE"""),49167670)</f>
        <v/>
      </c>
      <c r="H63" s="27" t="n"/>
    </row>
    <row r="64" ht="17.25" customHeight="1" s="322">
      <c r="A64" s="27" t="n"/>
      <c r="B64" s="506">
        <f>IFERROR(__xludf.DUMMYFUNCTION("""COMPUTED_VALUE"""),45919.6666666666)</f>
        <v/>
      </c>
      <c r="C64" s="141">
        <f>IFERROR(__xludf.DUMMYFUNCTION("""COMPUTED_VALUE"""),245.57)</f>
        <v/>
      </c>
      <c r="D64" s="141">
        <f>IFERROR(__xludf.DUMMYFUNCTION("""COMPUTED_VALUE"""),245.57)</f>
        <v/>
      </c>
      <c r="E64" s="141">
        <f>IFERROR(__xludf.DUMMYFUNCTION("""COMPUTED_VALUE"""),242.51)</f>
        <v/>
      </c>
      <c r="F64" s="141">
        <f>IFERROR(__xludf.DUMMYFUNCTION("""COMPUTED_VALUE"""),242.98)</f>
        <v/>
      </c>
      <c r="G64" s="143">
        <f>IFERROR(__xludf.DUMMYFUNCTION("""COMPUTED_VALUE"""),56092037)</f>
        <v/>
      </c>
      <c r="H64" s="27" t="n"/>
    </row>
    <row r="65" ht="17.25" customHeight="1" s="322">
      <c r="A65" s="27" t="n"/>
      <c r="B65" s="506">
        <f>IFERROR(__xludf.DUMMYFUNCTION("""COMPUTED_VALUE"""),45922.6666666666)</f>
        <v/>
      </c>
      <c r="C65" s="141">
        <f>IFERROR(__xludf.DUMMYFUNCTION("""COMPUTED_VALUE"""),242.24)</f>
        <v/>
      </c>
      <c r="D65" s="141">
        <f>IFERROR(__xludf.DUMMYFUNCTION("""COMPUTED_VALUE"""),244.79)</f>
        <v/>
      </c>
      <c r="E65" s="141">
        <f>IFERROR(__xludf.DUMMYFUNCTION("""COMPUTED_VALUE"""),241.11)</f>
        <v/>
      </c>
      <c r="F65" s="141">
        <f>IFERROR(__xludf.DUMMYFUNCTION("""COMPUTED_VALUE"""),244.39)</f>
        <v/>
      </c>
      <c r="G65" s="143">
        <f>IFERROR(__xludf.DUMMYFUNCTION("""COMPUTED_VALUE"""),53572930)</f>
        <v/>
      </c>
      <c r="H65" s="27" t="n"/>
    </row>
    <row r="66" ht="17.25" customHeight="1" s="322">
      <c r="A66" s="27" t="n"/>
      <c r="B66" s="506">
        <f>IFERROR(__xludf.DUMMYFUNCTION("""COMPUTED_VALUE"""),45923.6666666666)</f>
        <v/>
      </c>
      <c r="C66" s="141">
        <f>IFERROR(__xludf.DUMMYFUNCTION("""COMPUTED_VALUE"""),245.01)</f>
        <v/>
      </c>
      <c r="D66" s="141">
        <f>IFERROR(__xludf.DUMMYFUNCTION("""COMPUTED_VALUE"""),247.18)</f>
        <v/>
      </c>
      <c r="E66" s="141">
        <f>IFERROR(__xludf.DUMMYFUNCTION("""COMPUTED_VALUE"""),243.44)</f>
        <v/>
      </c>
      <c r="F66" s="141">
        <f>IFERROR(__xludf.DUMMYFUNCTION("""COMPUTED_VALUE"""),243.84)</f>
        <v/>
      </c>
      <c r="G66" s="143">
        <f>IFERROR(__xludf.DUMMYFUNCTION("""COMPUTED_VALUE"""),41854513)</f>
        <v/>
      </c>
      <c r="H66" s="27" t="n"/>
    </row>
    <row r="67" ht="17.25" customHeight="1" s="322">
      <c r="A67" s="27" t="n"/>
      <c r="B67" s="506">
        <f>IFERROR(__xludf.DUMMYFUNCTION("""COMPUTED_VALUE"""),45924.6666666666)</f>
        <v/>
      </c>
      <c r="C67" s="141">
        <f>IFERROR(__xludf.DUMMYFUNCTION("""COMPUTED_VALUE"""),243.9)</f>
        <v/>
      </c>
      <c r="D67" s="141">
        <f>IFERROR(__xludf.DUMMYFUNCTION("""COMPUTED_VALUE"""),244.61)</f>
        <v/>
      </c>
      <c r="E67" s="141">
        <f>IFERROR(__xludf.DUMMYFUNCTION("""COMPUTED_VALUE"""),241.56)</f>
        <v/>
      </c>
      <c r="F67" s="141">
        <f>IFERROR(__xludf.DUMMYFUNCTION("""COMPUTED_VALUE"""),241.6)</f>
        <v/>
      </c>
      <c r="G67" s="143">
        <f>IFERROR(__xludf.DUMMYFUNCTION("""COMPUTED_VALUE"""),36002182)</f>
        <v/>
      </c>
      <c r="H67" s="27" t="n"/>
    </row>
    <row r="68" ht="17.25" customHeight="1" s="322">
      <c r="A68" s="27" t="n"/>
      <c r="B68" s="506">
        <f>IFERROR(__xludf.DUMMYFUNCTION("""COMPUTED_VALUE"""),45925.6666666666)</f>
        <v/>
      </c>
      <c r="C68" s="141">
        <f>IFERROR(__xludf.DUMMYFUNCTION("""COMPUTED_VALUE"""),238.98)</f>
        <v/>
      </c>
      <c r="D68" s="141">
        <f>IFERROR(__xludf.DUMMYFUNCTION("""COMPUTED_VALUE"""),239.99)</f>
        <v/>
      </c>
      <c r="E68" s="141">
        <f>IFERROR(__xludf.DUMMYFUNCTION("""COMPUTED_VALUE"""),237.55)</f>
        <v/>
      </c>
      <c r="F68" s="141">
        <f>IFERROR(__xludf.DUMMYFUNCTION("""COMPUTED_VALUE"""),239.29)</f>
        <v/>
      </c>
      <c r="G68" s="143">
        <f>IFERROR(__xludf.DUMMYFUNCTION("""COMPUTED_VALUE"""),37209480)</f>
        <v/>
      </c>
      <c r="H68" s="27" t="n"/>
    </row>
    <row r="69" ht="17.25" customHeight="1" s="322">
      <c r="A69" s="27" t="n"/>
      <c r="B69" s="506">
        <f>IFERROR(__xludf.DUMMYFUNCTION("""COMPUTED_VALUE"""),45926.6666666666)</f>
        <v/>
      </c>
      <c r="C69" s="141">
        <f>IFERROR(__xludf.DUMMYFUNCTION("""COMPUTED_VALUE"""),239.62)</f>
        <v/>
      </c>
      <c r="D69" s="141">
        <f>IFERROR(__xludf.DUMMYFUNCTION("""COMPUTED_VALUE"""),241.68)</f>
        <v/>
      </c>
      <c r="E69" s="141">
        <f>IFERROR(__xludf.DUMMYFUNCTION("""COMPUTED_VALUE"""),239.33)</f>
        <v/>
      </c>
      <c r="F69" s="141">
        <f>IFERROR(__xludf.DUMMYFUNCTION("""COMPUTED_VALUE"""),241.34)</f>
        <v/>
      </c>
      <c r="G69" s="143">
        <f>IFERROR(__xludf.DUMMYFUNCTION("""COMPUTED_VALUE"""),28942766)</f>
        <v/>
      </c>
      <c r="H69" s="27" t="n"/>
    </row>
    <row r="70" ht="17.25" customHeight="1" s="322">
      <c r="A70" s="27" t="n"/>
      <c r="B70" s="506">
        <f>IFERROR(__xludf.DUMMYFUNCTION("""COMPUTED_VALUE"""),45929.6666666666)</f>
        <v/>
      </c>
      <c r="C70" s="141">
        <f>IFERROR(__xludf.DUMMYFUNCTION("""COMPUTED_VALUE"""),242.84)</f>
        <v/>
      </c>
      <c r="D70" s="141">
        <f>IFERROR(__xludf.DUMMYFUNCTION("""COMPUTED_VALUE"""),242.93)</f>
        <v/>
      </c>
      <c r="E70" s="141">
        <f>IFERROR(__xludf.DUMMYFUNCTION("""COMPUTED_VALUE"""),240.81)</f>
        <v/>
      </c>
      <c r="F70" s="141">
        <f>IFERROR(__xludf.DUMMYFUNCTION("""COMPUTED_VALUE"""),241.62)</f>
        <v/>
      </c>
      <c r="G70" s="143">
        <f>IFERROR(__xludf.DUMMYFUNCTION("""COMPUTED_VALUE"""),26391483)</f>
        <v/>
      </c>
      <c r="H70" s="27" t="n"/>
    </row>
    <row r="71" ht="17.25" customHeight="1" s="322">
      <c r="A71" s="27" t="n"/>
      <c r="B71" s="506">
        <f>IFERROR(__xludf.DUMMYFUNCTION("""COMPUTED_VALUE"""),45930.6666666666)</f>
        <v/>
      </c>
      <c r="C71" s="141">
        <f>IFERROR(__xludf.DUMMYFUNCTION("""COMPUTED_VALUE"""),241.11)</f>
        <v/>
      </c>
      <c r="D71" s="141">
        <f>IFERROR(__xludf.DUMMYFUNCTION("""COMPUTED_VALUE"""),242.13)</f>
        <v/>
      </c>
      <c r="E71" s="141">
        <f>IFERROR(__xludf.DUMMYFUNCTION("""COMPUTED_VALUE"""),239.4)</f>
        <v/>
      </c>
      <c r="F71" s="141">
        <f>IFERROR(__xludf.DUMMYFUNCTION("""COMPUTED_VALUE"""),241.96)</f>
        <v/>
      </c>
      <c r="G71" s="143">
        <f>IFERROR(__xludf.DUMMYFUNCTION("""COMPUTED_VALUE"""),33447721)</f>
        <v/>
      </c>
      <c r="H71" s="27" t="n"/>
    </row>
    <row r="72" ht="17.25" customHeight="1" s="322">
      <c r="A72" s="27" t="n"/>
      <c r="B72" s="506">
        <f>IFERROR(__xludf.DUMMYFUNCTION("""COMPUTED_VALUE"""),45931.6666666666)</f>
        <v/>
      </c>
      <c r="C72" s="141">
        <f>IFERROR(__xludf.DUMMYFUNCTION("""COMPUTED_VALUE"""),240.57)</f>
        <v/>
      </c>
      <c r="D72" s="141">
        <f>IFERROR(__xludf.DUMMYFUNCTION("""COMPUTED_VALUE"""),243.04)</f>
        <v/>
      </c>
      <c r="E72" s="141">
        <f>IFERROR(__xludf.DUMMYFUNCTION("""COMPUTED_VALUE"""),240.55)</f>
        <v/>
      </c>
      <c r="F72" s="141">
        <f>IFERROR(__xludf.DUMMYFUNCTION("""COMPUTED_VALUE"""),242.49)</f>
        <v/>
      </c>
      <c r="G72" s="143">
        <f>IFERROR(__xludf.DUMMYFUNCTION("""COMPUTED_VALUE"""),28519998)</f>
        <v/>
      </c>
      <c r="H72" s="27" t="n"/>
    </row>
    <row r="73" ht="17.25" customHeight="1" s="322">
      <c r="A73" s="27" t="n"/>
      <c r="B73" s="506">
        <f>IFERROR(__xludf.DUMMYFUNCTION("""COMPUTED_VALUE"""),45932.6666666666)</f>
        <v/>
      </c>
      <c r="C73" s="141">
        <f>IFERROR(__xludf.DUMMYFUNCTION("""COMPUTED_VALUE"""),243)</f>
        <v/>
      </c>
      <c r="D73" s="141">
        <f>IFERROR(__xludf.DUMMYFUNCTION("""COMPUTED_VALUE"""),244.09)</f>
        <v/>
      </c>
      <c r="E73" s="141">
        <f>IFERROR(__xludf.DUMMYFUNCTION("""COMPUTED_VALUE"""),241.47)</f>
        <v/>
      </c>
      <c r="F73" s="141">
        <f>IFERROR(__xludf.DUMMYFUNCTION("""COMPUTED_VALUE"""),244.02)</f>
        <v/>
      </c>
      <c r="G73" s="143">
        <f>IFERROR(__xludf.DUMMYFUNCTION("""COMPUTED_VALUE"""),28687401)</f>
        <v/>
      </c>
      <c r="H73" s="27" t="n"/>
    </row>
    <row r="74" ht="17.25" customHeight="1" s="322">
      <c r="A74" s="27" t="n"/>
      <c r="B74" s="506">
        <f>IFERROR(__xludf.DUMMYFUNCTION("""COMPUTED_VALUE"""),45933.6666666666)</f>
        <v/>
      </c>
      <c r="C74" s="141">
        <f>IFERROR(__xludf.DUMMYFUNCTION("""COMPUTED_VALUE"""),245.35)</f>
        <v/>
      </c>
      <c r="D74" s="141">
        <f>IFERROR(__xludf.DUMMYFUNCTION("""COMPUTED_VALUE"""),248.09)</f>
        <v/>
      </c>
      <c r="E74" s="141">
        <f>IFERROR(__xludf.DUMMYFUNCTION("""COMPUTED_VALUE"""),245.03)</f>
        <v/>
      </c>
      <c r="F74" s="141">
        <f>IFERROR(__xludf.DUMMYFUNCTION("""COMPUTED_VALUE"""),245.83)</f>
        <v/>
      </c>
      <c r="G74" s="143">
        <f>IFERROR(__xludf.DUMMYFUNCTION("""COMPUTED_VALUE"""),34579610)</f>
        <v/>
      </c>
      <c r="H74" s="27" t="n"/>
    </row>
    <row r="75" ht="17.25" customHeight="1" s="322">
      <c r="A75" s="27" t="n"/>
      <c r="B75" s="506">
        <f>IFERROR(__xludf.DUMMYFUNCTION("""COMPUTED_VALUE"""),45936.6666666666)</f>
        <v/>
      </c>
      <c r="C75" s="141">
        <f>IFERROR(__xludf.DUMMYFUNCTION("""COMPUTED_VALUE"""),247.73)</f>
        <v/>
      </c>
      <c r="D75" s="141">
        <f>IFERROR(__xludf.DUMMYFUNCTION("""COMPUTED_VALUE"""),248.48)</f>
        <v/>
      </c>
      <c r="E75" s="141">
        <f>IFERROR(__xludf.DUMMYFUNCTION("""COMPUTED_VALUE"""),246.07)</f>
        <v/>
      </c>
      <c r="F75" s="141">
        <f>IFERROR(__xludf.DUMMYFUNCTION("""COMPUTED_VALUE"""),246.81)</f>
        <v/>
      </c>
      <c r="G75" s="143">
        <f>IFERROR(__xludf.DUMMYFUNCTION("""COMPUTED_VALUE"""),31507374)</f>
        <v/>
      </c>
      <c r="H75" s="27" t="n"/>
    </row>
    <row r="76" ht="17.25" customHeight="1" s="322">
      <c r="A76" s="27" t="n"/>
      <c r="B76" s="506">
        <f>IFERROR(__xludf.DUMMYFUNCTION("""COMPUTED_VALUE"""),45937.6666666666)</f>
        <v/>
      </c>
      <c r="C76" s="141">
        <f>IFERROR(__xludf.DUMMYFUNCTION("""COMPUTED_VALUE"""),247.36)</f>
        <v/>
      </c>
      <c r="D76" s="141">
        <f>IFERROR(__xludf.DUMMYFUNCTION("""COMPUTED_VALUE"""),247.64)</f>
        <v/>
      </c>
      <c r="E76" s="141">
        <f>IFERROR(__xludf.DUMMYFUNCTION("""COMPUTED_VALUE"""),243.19)</f>
        <v/>
      </c>
      <c r="F76" s="141">
        <f>IFERROR(__xludf.DUMMYFUNCTION("""COMPUTED_VALUE"""),244.16)</f>
        <v/>
      </c>
      <c r="G76" s="143">
        <f>IFERROR(__xludf.DUMMYFUNCTION("""COMPUTED_VALUE"""),31766601)</f>
        <v/>
      </c>
      <c r="H76" s="27" t="n"/>
    </row>
    <row r="77" ht="17.25" customHeight="1" s="322">
      <c r="A77" s="27" t="n"/>
      <c r="B77" s="506">
        <f>IFERROR(__xludf.DUMMYFUNCTION("""COMPUTED_VALUE"""),45938.6666666666)</f>
        <v/>
      </c>
      <c r="C77" s="141">
        <f>IFERROR(__xludf.DUMMYFUNCTION("""COMPUTED_VALUE"""),245.28)</f>
        <v/>
      </c>
      <c r="D77" s="141">
        <f>IFERROR(__xludf.DUMMYFUNCTION("""COMPUTED_VALUE"""),246.96)</f>
        <v/>
      </c>
      <c r="E77" s="141">
        <f>IFERROR(__xludf.DUMMYFUNCTION("""COMPUTED_VALUE"""),243.8)</f>
        <v/>
      </c>
      <c r="F77" s="141">
        <f>IFERROR(__xludf.DUMMYFUNCTION("""COMPUTED_VALUE"""),246.72)</f>
        <v/>
      </c>
      <c r="G77" s="143">
        <f>IFERROR(__xludf.DUMMYFUNCTION("""COMPUTED_VALUE"""),25824957)</f>
        <v/>
      </c>
      <c r="H77" s="27" t="n"/>
    </row>
    <row r="78" ht="17.25" customHeight="1" s="322">
      <c r="A78" s="27" t="n"/>
      <c r="B78" s="506">
        <f>IFERROR(__xludf.DUMMYFUNCTION("""COMPUTED_VALUE"""),45939.6666666666)</f>
        <v/>
      </c>
      <c r="C78" s="141">
        <f>IFERROR(__xludf.DUMMYFUNCTION("""COMPUTED_VALUE"""),246.31)</f>
        <v/>
      </c>
      <c r="D78" s="141">
        <f>IFERROR(__xludf.DUMMYFUNCTION("""COMPUTED_VALUE"""),247.25)</f>
        <v/>
      </c>
      <c r="E78" s="141">
        <f>IFERROR(__xludf.DUMMYFUNCTION("""COMPUTED_VALUE"""),244.01)</f>
        <v/>
      </c>
      <c r="F78" s="141">
        <f>IFERROR(__xludf.DUMMYFUNCTION("""COMPUTED_VALUE"""),245.13)</f>
        <v/>
      </c>
      <c r="G78" s="143">
        <f>IFERROR(__xludf.DUMMYFUNCTION("""COMPUTED_VALUE"""),26243148)</f>
        <v/>
      </c>
      <c r="H78" s="27" t="n"/>
    </row>
    <row r="79" ht="17.25" customHeight="1" s="322">
      <c r="A79" s="27" t="n"/>
      <c r="B79" s="506">
        <f>IFERROR(__xludf.DUMMYFUNCTION("""COMPUTED_VALUE"""),45940.6666666666)</f>
        <v/>
      </c>
      <c r="C79" s="141">
        <f>IFERROR(__xludf.DUMMYFUNCTION("""COMPUTED_VALUE"""),245.75)</f>
        <v/>
      </c>
      <c r="D79" s="141">
        <f>IFERROR(__xludf.DUMMYFUNCTION("""COMPUTED_VALUE"""),246.89)</f>
        <v/>
      </c>
      <c r="E79" s="141">
        <f>IFERROR(__xludf.DUMMYFUNCTION("""COMPUTED_VALUE"""),237.56)</f>
        <v/>
      </c>
      <c r="F79" s="141">
        <f>IFERROR(__xludf.DUMMYFUNCTION("""COMPUTED_VALUE"""),237.79)</f>
        <v/>
      </c>
      <c r="G79" s="143">
        <f>IFERROR(__xludf.DUMMYFUNCTION("""COMPUTED_VALUE"""),70569415)</f>
        <v/>
      </c>
      <c r="H79" s="27" t="n"/>
    </row>
    <row r="80" ht="17.25" customHeight="1" s="322">
      <c r="A80" s="27" t="n"/>
      <c r="B80" s="506">
        <f>IFERROR(__xludf.DUMMYFUNCTION("""COMPUTED_VALUE"""),45943.6666666666)</f>
        <v/>
      </c>
      <c r="C80" s="141">
        <f>IFERROR(__xludf.DUMMYFUNCTION("""COMPUTED_VALUE"""),241.83)</f>
        <v/>
      </c>
      <c r="D80" s="141">
        <f>IFERROR(__xludf.DUMMYFUNCTION("""COMPUTED_VALUE"""),244.63)</f>
        <v/>
      </c>
      <c r="E80" s="141">
        <f>IFERROR(__xludf.DUMMYFUNCTION("""COMPUTED_VALUE"""),241.4)</f>
        <v/>
      </c>
      <c r="F80" s="141">
        <f>IFERROR(__xludf.DUMMYFUNCTION("""COMPUTED_VALUE"""),244.41)</f>
        <v/>
      </c>
      <c r="G80" s="143">
        <f>IFERROR(__xludf.DUMMYFUNCTION("""COMPUTED_VALUE"""),36298626)</f>
        <v/>
      </c>
      <c r="H80" s="27" t="n"/>
    </row>
    <row r="81" ht="17.25" customHeight="1" s="322">
      <c r="A81" s="27" t="n"/>
      <c r="B81" s="506">
        <f>IFERROR(__xludf.DUMMYFUNCTION("""COMPUTED_VALUE"""),45944.6666666666)</f>
        <v/>
      </c>
      <c r="C81" s="141">
        <f>IFERROR(__xludf.DUMMYFUNCTION("""COMPUTED_VALUE"""),241.23)</f>
        <v/>
      </c>
      <c r="D81" s="141">
        <f>IFERROR(__xludf.DUMMYFUNCTION("""COMPUTED_VALUE"""),249.6)</f>
        <v/>
      </c>
      <c r="E81" s="141">
        <f>IFERROR(__xludf.DUMMYFUNCTION("""COMPUTED_VALUE"""),240.36)</f>
        <v/>
      </c>
      <c r="F81" s="141">
        <f>IFERROR(__xludf.DUMMYFUNCTION("""COMPUTED_VALUE"""),247.9)</f>
        <v/>
      </c>
      <c r="G81" s="143">
        <f>IFERROR(__xludf.DUMMYFUNCTION("""COMPUTED_VALUE"""),45320805)</f>
        <v/>
      </c>
      <c r="H81" s="27" t="n"/>
    </row>
    <row r="82" ht="17.25" customHeight="1" s="322">
      <c r="A82" s="27" t="n"/>
      <c r="B82" s="506">
        <f>IFERROR(__xludf.DUMMYFUNCTION("""COMPUTED_VALUE"""),45945.6666666666)</f>
        <v/>
      </c>
      <c r="C82" s="141">
        <f>IFERROR(__xludf.DUMMYFUNCTION("""COMPUTED_VALUE"""),250.36)</f>
        <v/>
      </c>
      <c r="D82" s="141">
        <f>IFERROR(__xludf.DUMMYFUNCTION("""COMPUTED_VALUE"""),252.77)</f>
        <v/>
      </c>
      <c r="E82" s="141">
        <f>IFERROR(__xludf.DUMMYFUNCTION("""COMPUTED_VALUE"""),247.06)</f>
        <v/>
      </c>
      <c r="F82" s="141">
        <f>IFERROR(__xludf.DUMMYFUNCTION("""COMPUTED_VALUE"""),250.33)</f>
        <v/>
      </c>
      <c r="G82" s="143">
        <f>IFERROR(__xludf.DUMMYFUNCTION("""COMPUTED_VALUE"""),45369046)</f>
        <v/>
      </c>
      <c r="H82" s="27" t="n"/>
    </row>
    <row r="83" ht="17.25" customHeight="1" s="322">
      <c r="A83" s="27" t="n"/>
      <c r="B83" s="506">
        <f>IFERROR(__xludf.DUMMYFUNCTION("""COMPUTED_VALUE"""),45946.6666666666)</f>
        <v/>
      </c>
      <c r="C83" s="141">
        <f>IFERROR(__xludf.DUMMYFUNCTION("""COMPUTED_VALUE"""),250.97)</f>
        <v/>
      </c>
      <c r="D83" s="141">
        <f>IFERROR(__xludf.DUMMYFUNCTION("""COMPUTED_VALUE"""),251.26)</f>
        <v/>
      </c>
      <c r="E83" s="141">
        <f>IFERROR(__xludf.DUMMYFUNCTION("""COMPUTED_VALUE"""),244)</f>
        <v/>
      </c>
      <c r="F83" s="141">
        <f>IFERROR(__xludf.DUMMYFUNCTION("""COMPUTED_VALUE"""),245.06)</f>
        <v/>
      </c>
      <c r="G83" s="143">
        <f>IFERROR(__xludf.DUMMYFUNCTION("""COMPUTED_VALUE"""),52740394)</f>
        <v/>
      </c>
      <c r="H83" s="27" t="n"/>
    </row>
    <row r="84" ht="17.25" customHeight="1" s="322">
      <c r="A84" s="27" t="n"/>
      <c r="B84" s="506">
        <f>IFERROR(__xludf.DUMMYFUNCTION("""COMPUTED_VALUE"""),45947.6666666666)</f>
        <v/>
      </c>
      <c r="C84" s="141">
        <f>IFERROR(__xludf.DUMMYFUNCTION("""COMPUTED_VALUE"""),243.32)</f>
        <v/>
      </c>
      <c r="D84" s="141">
        <f>IFERROR(__xludf.DUMMYFUNCTION("""COMPUTED_VALUE"""),245.16)</f>
        <v/>
      </c>
      <c r="E84" s="141">
        <f>IFERROR(__xludf.DUMMYFUNCTION("""COMPUTED_VALUE"""),241.47)</f>
        <v/>
      </c>
      <c r="F84" s="141">
        <f>IFERROR(__xludf.DUMMYFUNCTION("""COMPUTED_VALUE"""),243.41)</f>
        <v/>
      </c>
      <c r="G84" s="143">
        <f>IFERROR(__xludf.DUMMYFUNCTION("""COMPUTED_VALUE"""),55379514)</f>
        <v/>
      </c>
      <c r="H84" s="27" t="n"/>
    </row>
    <row r="85" ht="17.25" customHeight="1" s="322">
      <c r="A85" s="27" t="n"/>
      <c r="B85" s="506">
        <f>IFERROR(__xludf.DUMMYFUNCTION("""COMPUTED_VALUE"""),45950.6666666666)</f>
        <v/>
      </c>
      <c r="C85" s="141">
        <f>IFERROR(__xludf.DUMMYFUNCTION("""COMPUTED_VALUE"""),246.62)</f>
        <v/>
      </c>
      <c r="D85" s="141">
        <f>IFERROR(__xludf.DUMMYFUNCTION("""COMPUTED_VALUE"""),248.33)</f>
        <v/>
      </c>
      <c r="E85" s="141">
        <f>IFERROR(__xludf.DUMMYFUNCTION("""COMPUTED_VALUE"""),246.14)</f>
        <v/>
      </c>
      <c r="F85" s="141">
        <f>IFERROR(__xludf.DUMMYFUNCTION("""COMPUTED_VALUE"""),248.16)</f>
        <v/>
      </c>
      <c r="G85" s="143">
        <f>IFERROR(__xludf.DUMMYFUNCTION("""COMPUTED_VALUE"""),32545025)</f>
        <v/>
      </c>
      <c r="H85" s="27" t="n"/>
    </row>
    <row r="86" ht="17.25" customHeight="1" s="322">
      <c r="A86" s="27" t="n"/>
      <c r="B86" s="506">
        <f>IFERROR(__xludf.DUMMYFUNCTION("""COMPUTED_VALUE"""),45951.6666666666)</f>
        <v/>
      </c>
      <c r="C86" s="141">
        <f>IFERROR(__xludf.DUMMYFUNCTION("""COMPUTED_VALUE"""),247.43)</f>
        <v/>
      </c>
      <c r="D86" s="141">
        <f>IFERROR(__xludf.DUMMYFUNCTION("""COMPUTED_VALUE"""),248.37)</f>
        <v/>
      </c>
      <c r="E86" s="141">
        <f>IFERROR(__xludf.DUMMYFUNCTION("""COMPUTED_VALUE"""),245.51)</f>
        <v/>
      </c>
      <c r="F86" s="141">
        <f>IFERROR(__xludf.DUMMYFUNCTION("""COMPUTED_VALUE"""),246.99)</f>
        <v/>
      </c>
      <c r="G86" s="143">
        <f>IFERROR(__xludf.DUMMYFUNCTION("""COMPUTED_VALUE"""),26337895)</f>
        <v/>
      </c>
      <c r="H86" s="27" t="n"/>
    </row>
    <row r="87" ht="17.25" customHeight="1" s="322">
      <c r="A87" s="27" t="n"/>
      <c r="B87" s="506">
        <f>IFERROR(__xludf.DUMMYFUNCTION("""COMPUTED_VALUE"""),45952.6666666666)</f>
        <v/>
      </c>
      <c r="C87" s="141">
        <f>IFERROR(__xludf.DUMMYFUNCTION("""COMPUTED_VALUE"""),246.03)</f>
        <v/>
      </c>
      <c r="D87" s="141">
        <f>IFERROR(__xludf.DUMMYFUNCTION("""COMPUTED_VALUE"""),246.86)</f>
        <v/>
      </c>
      <c r="E87" s="141">
        <f>IFERROR(__xludf.DUMMYFUNCTION("""COMPUTED_VALUE"""),240.77)</f>
        <v/>
      </c>
      <c r="F87" s="141">
        <f>IFERROR(__xludf.DUMMYFUNCTION("""COMPUTED_VALUE"""),243.34)</f>
        <v/>
      </c>
      <c r="G87" s="143">
        <f>IFERROR(__xludf.DUMMYFUNCTION("""COMPUTED_VALUE"""),46578446)</f>
        <v/>
      </c>
      <c r="H87" s="27" t="n"/>
    </row>
    <row r="88" ht="17.25" customHeight="1" s="322">
      <c r="A88" s="27" t="n"/>
      <c r="B88" s="506">
        <f>IFERROR(__xludf.DUMMYFUNCTION("""COMPUTED_VALUE"""),45953.6666666666)</f>
        <v/>
      </c>
      <c r="C88" s="141">
        <f>IFERROR(__xludf.DUMMYFUNCTION("""COMPUTED_VALUE"""),244.29)</f>
        <v/>
      </c>
      <c r="D88" s="141">
        <f>IFERROR(__xludf.DUMMYFUNCTION("""COMPUTED_VALUE"""),247.12)</f>
        <v/>
      </c>
      <c r="E88" s="141">
        <f>IFERROR(__xludf.DUMMYFUNCTION("""COMPUTED_VALUE"""),243.68)</f>
        <v/>
      </c>
      <c r="F88" s="141">
        <f>IFERROR(__xludf.DUMMYFUNCTION("""COMPUTED_VALUE"""),246.42)</f>
        <v/>
      </c>
      <c r="G88" s="143">
        <f>IFERROR(__xludf.DUMMYFUNCTION("""COMPUTED_VALUE"""),28591002)</f>
        <v/>
      </c>
      <c r="H88" s="27" t="n"/>
    </row>
    <row r="89" ht="17.25" customHeight="1" s="322">
      <c r="A89" s="27" t="n"/>
      <c r="B89" s="506">
        <f>IFERROR(__xludf.DUMMYFUNCTION("""COMPUTED_VALUE"""),45954.6666666666)</f>
        <v/>
      </c>
      <c r="C89" s="141">
        <f>IFERROR(__xludf.DUMMYFUNCTION("""COMPUTED_VALUE"""),249.8)</f>
        <v/>
      </c>
      <c r="D89" s="141">
        <f>IFERROR(__xludf.DUMMYFUNCTION("""COMPUTED_VALUE"""),251.11)</f>
        <v/>
      </c>
      <c r="E89" s="141">
        <f>IFERROR(__xludf.DUMMYFUNCTION("""COMPUTED_VALUE"""),248.97)</f>
        <v/>
      </c>
      <c r="F89" s="141">
        <f>IFERROR(__xludf.DUMMYFUNCTION("""COMPUTED_VALUE"""),249.43)</f>
        <v/>
      </c>
      <c r="G89" s="143">
        <f>IFERROR(__xludf.DUMMYFUNCTION("""COMPUTED_VALUE"""),26627005)</f>
        <v/>
      </c>
      <c r="H89" s="27" t="n"/>
    </row>
    <row r="90" ht="17.25" customHeight="1" s="322">
      <c r="A90" s="27" t="n"/>
      <c r="B90" s="506">
        <f>IFERROR(__xludf.DUMMYFUNCTION("""COMPUTED_VALUE"""),45957.6666666666)</f>
        <v/>
      </c>
      <c r="C90" s="141">
        <f>IFERROR(__xludf.DUMMYFUNCTION("""COMPUTED_VALUE"""),251.78)</f>
        <v/>
      </c>
      <c r="D90" s="141">
        <f>IFERROR(__xludf.DUMMYFUNCTION("""COMPUTED_VALUE"""),252.21)</f>
        <v/>
      </c>
      <c r="E90" s="141">
        <f>IFERROR(__xludf.DUMMYFUNCTION("""COMPUTED_VALUE"""),249.5)</f>
        <v/>
      </c>
      <c r="F90" s="141">
        <f>IFERROR(__xludf.DUMMYFUNCTION("""COMPUTED_VALUE"""),250.3)</f>
        <v/>
      </c>
      <c r="G90" s="143">
        <f>IFERROR(__xludf.DUMMYFUNCTION("""COMPUTED_VALUE"""),31798148)</f>
        <v/>
      </c>
      <c r="H90" s="27" t="n"/>
    </row>
    <row r="91" ht="17.25" customHeight="1" s="322">
      <c r="A91" s="27" t="n"/>
      <c r="B91" s="506">
        <f>IFERROR(__xludf.DUMMYFUNCTION("""COMPUTED_VALUE"""),45958.6666666666)</f>
        <v/>
      </c>
      <c r="C91" s="141">
        <f>IFERROR(__xludf.DUMMYFUNCTION("""COMPUTED_VALUE"""),249.55)</f>
        <v/>
      </c>
      <c r="D91" s="141">
        <f>IFERROR(__xludf.DUMMYFUNCTION("""COMPUTED_VALUE"""),250.9)</f>
        <v/>
      </c>
      <c r="E91" s="141">
        <f>IFERROR(__xludf.DUMMYFUNCTION("""COMPUTED_VALUE"""),248.11)</f>
        <v/>
      </c>
      <c r="F91" s="141">
        <f>IFERROR(__xludf.DUMMYFUNCTION("""COMPUTED_VALUE"""),248.96)</f>
        <v/>
      </c>
      <c r="G91" s="143">
        <f>IFERROR(__xludf.DUMMYFUNCTION("""COMPUTED_VALUE"""),28075893)</f>
        <v/>
      </c>
      <c r="H91" s="27" t="n"/>
    </row>
    <row r="92" ht="17.25" customHeight="1" s="322">
      <c r="A92" s="27" t="n"/>
      <c r="B92" s="506">
        <f>IFERROR(__xludf.DUMMYFUNCTION("""COMPUTED_VALUE"""),45959.6666666666)</f>
        <v/>
      </c>
      <c r="C92" s="141">
        <f>IFERROR(__xludf.DUMMYFUNCTION("""COMPUTED_VALUE"""),248.84)</f>
        <v/>
      </c>
      <c r="D92" s="141">
        <f>IFERROR(__xludf.DUMMYFUNCTION("""COMPUTED_VALUE"""),251.14)</f>
        <v/>
      </c>
      <c r="E92" s="141">
        <f>IFERROR(__xludf.DUMMYFUNCTION("""COMPUTED_VALUE"""),244.69)</f>
        <v/>
      </c>
      <c r="F92" s="141">
        <f>IFERROR(__xludf.DUMMYFUNCTION("""COMPUTED_VALUE"""),246.84)</f>
        <v/>
      </c>
      <c r="G92" s="143">
        <f>IFERROR(__xludf.DUMMYFUNCTION("""COMPUTED_VALUE"""),55951795)</f>
        <v/>
      </c>
      <c r="H92" s="27" t="n"/>
    </row>
    <row r="93" ht="17.25" customHeight="1" s="322">
      <c r="A93" s="27" t="n"/>
      <c r="B93" s="506">
        <f>IFERROR(__xludf.DUMMYFUNCTION("""COMPUTED_VALUE"""),45960.6666666666)</f>
        <v/>
      </c>
      <c r="C93" s="141">
        <f>IFERROR(__xludf.DUMMYFUNCTION("""COMPUTED_VALUE"""),245.27)</f>
        <v/>
      </c>
      <c r="D93" s="141">
        <f>IFERROR(__xludf.DUMMYFUNCTION("""COMPUTED_VALUE"""),248.14)</f>
        <v/>
      </c>
      <c r="E93" s="141">
        <f>IFERROR(__xludf.DUMMYFUNCTION("""COMPUTED_VALUE"""),244.63)</f>
        <v/>
      </c>
      <c r="F93" s="141">
        <f>IFERROR(__xludf.DUMMYFUNCTION("""COMPUTED_VALUE"""),244.85)</f>
        <v/>
      </c>
      <c r="G93" s="143">
        <f>IFERROR(__xludf.DUMMYFUNCTION("""COMPUTED_VALUE"""),44538747)</f>
        <v/>
      </c>
      <c r="H93" s="27" t="n"/>
    </row>
    <row r="94" ht="17.25" customHeight="1" s="322">
      <c r="A94" s="27" t="n"/>
      <c r="B94" s="506">
        <f>IFERROR(__xludf.DUMMYFUNCTION("""COMPUTED_VALUE"""),45961.6666666666)</f>
        <v/>
      </c>
      <c r="C94" s="141">
        <f>IFERROR(__xludf.DUMMYFUNCTION("""COMPUTED_VALUE"""),244.99)</f>
        <v/>
      </c>
      <c r="D94" s="141">
        <f>IFERROR(__xludf.DUMMYFUNCTION("""COMPUTED_VALUE"""),246.79)</f>
        <v/>
      </c>
      <c r="E94" s="141">
        <f>IFERROR(__xludf.DUMMYFUNCTION("""COMPUTED_VALUE"""),243.69)</f>
        <v/>
      </c>
      <c r="F94" s="141">
        <f>IFERROR(__xludf.DUMMYFUNCTION("""COMPUTED_VALUE"""),246.23)</f>
        <v/>
      </c>
      <c r="G94" s="143">
        <f>IFERROR(__xludf.DUMMYFUNCTION("""COMPUTED_VALUE"""),37214671)</f>
        <v/>
      </c>
      <c r="H94" s="27" t="n"/>
    </row>
    <row r="95" ht="17.25" customHeight="1" s="322">
      <c r="A95" s="27" t="n"/>
      <c r="B95" s="506">
        <f>IFERROR(__xludf.DUMMYFUNCTION("""COMPUTED_VALUE"""),45964.6666666666)</f>
        <v/>
      </c>
      <c r="C95" s="141">
        <f>IFERROR(__xludf.DUMMYFUNCTION("""COMPUTED_VALUE"""),246.16)</f>
        <v/>
      </c>
      <c r="D95" s="141">
        <f>IFERROR(__xludf.DUMMYFUNCTION("""COMPUTED_VALUE"""),246.26)</f>
        <v/>
      </c>
      <c r="E95" s="141">
        <f>IFERROR(__xludf.DUMMYFUNCTION("""COMPUTED_VALUE"""),242.49)</f>
        <v/>
      </c>
      <c r="F95" s="141">
        <f>IFERROR(__xludf.DUMMYFUNCTION("""COMPUTED_VALUE"""),245.44)</f>
        <v/>
      </c>
      <c r="G95" s="143">
        <f>IFERROR(__xludf.DUMMYFUNCTION("""COMPUTED_VALUE"""),28887904)</f>
        <v/>
      </c>
      <c r="H95" s="27" t="n"/>
    </row>
    <row r="96" ht="17.25" customHeight="1" s="322">
      <c r="A96" s="27" t="n"/>
      <c r="B96" s="506">
        <f>IFERROR(__xludf.DUMMYFUNCTION("""COMPUTED_VALUE"""),45965.6666666666)</f>
        <v/>
      </c>
      <c r="C96" s="141">
        <f>IFERROR(__xludf.DUMMYFUNCTION("""COMPUTED_VALUE"""),241.79)</f>
        <v/>
      </c>
      <c r="D96" s="141">
        <f>IFERROR(__xludf.DUMMYFUNCTION("""COMPUTED_VALUE"""),244.06)</f>
        <v/>
      </c>
      <c r="E96" s="141">
        <f>IFERROR(__xludf.DUMMYFUNCTION("""COMPUTED_VALUE"""),241)</f>
        <v/>
      </c>
      <c r="F96" s="141">
        <f>IFERROR(__xludf.DUMMYFUNCTION("""COMPUTED_VALUE"""),241.2)</f>
        <v/>
      </c>
      <c r="G96" s="143">
        <f>IFERROR(__xludf.DUMMYFUNCTION("""COMPUTED_VALUE"""),34468704)</f>
        <v/>
      </c>
      <c r="H96" s="27" t="n"/>
    </row>
    <row r="97" ht="17.25" customHeight="1" s="322">
      <c r="A97" s="27" t="n"/>
      <c r="B97" s="506">
        <f>IFERROR(__xludf.DUMMYFUNCTION("""COMPUTED_VALUE"""),45966.6666666666)</f>
        <v/>
      </c>
      <c r="C97" s="141">
        <f>IFERROR(__xludf.DUMMYFUNCTION("""COMPUTED_VALUE"""),241.96)</f>
        <v/>
      </c>
      <c r="D97" s="141">
        <f>IFERROR(__xludf.DUMMYFUNCTION("""COMPUTED_VALUE"""),245.73)</f>
        <v/>
      </c>
      <c r="E97" s="141">
        <f>IFERROR(__xludf.DUMMYFUNCTION("""COMPUTED_VALUE"""),241.64)</f>
        <v/>
      </c>
      <c r="F97" s="141">
        <f>IFERROR(__xludf.DUMMYFUNCTION("""COMPUTED_VALUE"""),244.68)</f>
        <v/>
      </c>
      <c r="G97" s="143">
        <f>IFERROR(__xludf.DUMMYFUNCTION("""COMPUTED_VALUE"""),38229168)</f>
        <v/>
      </c>
      <c r="H97" s="27" t="n"/>
    </row>
    <row r="98" ht="17.25" customHeight="1" s="322">
      <c r="A98" s="27" t="n"/>
      <c r="B98" s="506">
        <f>IFERROR(__xludf.DUMMYFUNCTION("""COMPUTED_VALUE"""),45967.6666666666)</f>
        <v/>
      </c>
      <c r="C98" s="141">
        <f>IFERROR(__xludf.DUMMYFUNCTION("""COMPUTED_VALUE"""),244.26)</f>
        <v/>
      </c>
      <c r="D98" s="141">
        <f>IFERROR(__xludf.DUMMYFUNCTION("""COMPUTED_VALUE"""),244.79)</f>
        <v/>
      </c>
      <c r="E98" s="141">
        <f>IFERROR(__xludf.DUMMYFUNCTION("""COMPUTED_VALUE"""),240)</f>
        <v/>
      </c>
      <c r="F98" s="141">
        <f>IFERROR(__xludf.DUMMYFUNCTION("""COMPUTED_VALUE"""),240.35)</f>
        <v/>
      </c>
      <c r="G98" s="143">
        <f>IFERROR(__xludf.DUMMYFUNCTION("""COMPUTED_VALUE"""),40601196)</f>
        <v/>
      </c>
      <c r="H98" s="27" t="n"/>
    </row>
    <row r="99" ht="17.25" customHeight="1" s="322">
      <c r="A99" s="27" t="n"/>
      <c r="B99" s="506">
        <f>IFERROR(__xludf.DUMMYFUNCTION("""COMPUTED_VALUE"""),45968.6666666666)</f>
        <v/>
      </c>
      <c r="C99" s="141">
        <f>IFERROR(__xludf.DUMMYFUNCTION("""COMPUTED_VALUE"""),238.41)</f>
        <v/>
      </c>
      <c r="D99" s="141">
        <f>IFERROR(__xludf.DUMMYFUNCTION("""COMPUTED_VALUE"""),241.66)</f>
        <v/>
      </c>
      <c r="E99" s="141">
        <f>IFERROR(__xludf.DUMMYFUNCTION("""COMPUTED_VALUE"""),236.27)</f>
        <v/>
      </c>
      <c r="F99" s="141">
        <f>IFERROR(__xludf.DUMMYFUNCTION("""COMPUTED_VALUE"""),241.61)</f>
        <v/>
      </c>
      <c r="G99" s="143">
        <f>IFERROR(__xludf.DUMMYFUNCTION("""COMPUTED_VALUE"""),54978865)</f>
        <v/>
      </c>
      <c r="H99" s="27" t="n"/>
    </row>
    <row r="100" ht="17.25" customHeight="1" s="322">
      <c r="A100" s="27" t="n"/>
      <c r="B100" s="506">
        <f>IFERROR(__xludf.DUMMYFUNCTION("""COMPUTED_VALUE"""),45971.6666666666)</f>
        <v/>
      </c>
      <c r="C100" s="141">
        <f>IFERROR(__xludf.DUMMYFUNCTION("""COMPUTED_VALUE"""),245.01)</f>
        <v/>
      </c>
      <c r="D100" s="141">
        <f>IFERROR(__xludf.DUMMYFUNCTION("""COMPUTED_VALUE"""),245.24)</f>
        <v/>
      </c>
      <c r="E100" s="141">
        <f>IFERROR(__xludf.DUMMYFUNCTION("""COMPUTED_VALUE"""),242.25)</f>
        <v/>
      </c>
      <c r="F100" s="141">
        <f>IFERROR(__xludf.DUMMYFUNCTION("""COMPUTED_VALUE"""),244.03)</f>
        <v/>
      </c>
      <c r="G100" s="143">
        <f>IFERROR(__xludf.DUMMYFUNCTION("""COMPUTED_VALUE"""),31238018)</f>
        <v/>
      </c>
      <c r="H100" s="27" t="n"/>
    </row>
    <row r="101" ht="17.25" customHeight="1" s="322">
      <c r="A101" s="27" t="n"/>
      <c r="B101" s="506">
        <f>IFERROR(__xludf.DUMMYFUNCTION("""COMPUTED_VALUE"""),45972.6666666666)</f>
        <v/>
      </c>
      <c r="C101" s="141">
        <f>IFERROR(__xludf.DUMMYFUNCTION("""COMPUTED_VALUE"""),243.37)</f>
        <v/>
      </c>
      <c r="D101" s="141">
        <f>IFERROR(__xludf.DUMMYFUNCTION("""COMPUTED_VALUE"""),244.74)</f>
        <v/>
      </c>
      <c r="E101" s="141">
        <f>IFERROR(__xludf.DUMMYFUNCTION("""COMPUTED_VALUE"""),242.52)</f>
        <v/>
      </c>
      <c r="F101" s="141">
        <f>IFERROR(__xludf.DUMMYFUNCTION("""COMPUTED_VALUE"""),244.24)</f>
        <v/>
      </c>
      <c r="G101" s="143">
        <f>IFERROR(__xludf.DUMMYFUNCTION("""COMPUTED_VALUE"""),27357866)</f>
        <v/>
      </c>
      <c r="H101" s="27" t="n"/>
    </row>
    <row r="102" ht="17.25" customHeight="1" s="322">
      <c r="A102" s="27" t="n"/>
      <c r="B102" s="506">
        <f>IFERROR(__xludf.DUMMYFUNCTION("""COMPUTED_VALUE"""),45973.6666666666)</f>
        <v/>
      </c>
      <c r="C102" s="141">
        <f>IFERROR(__xludf.DUMMYFUNCTION("""COMPUTED_VALUE"""),244.84)</f>
        <v/>
      </c>
      <c r="D102" s="141">
        <f>IFERROR(__xludf.DUMMYFUNCTION("""COMPUTED_VALUE"""),246.38)</f>
        <v/>
      </c>
      <c r="E102" s="141">
        <f>IFERROR(__xludf.DUMMYFUNCTION("""COMPUTED_VALUE"""),243.33)</f>
        <v/>
      </c>
      <c r="F102" s="141">
        <f>IFERROR(__xludf.DUMMYFUNCTION("""COMPUTED_VALUE"""),243.64)</f>
        <v/>
      </c>
      <c r="G102" s="143">
        <f>IFERROR(__xludf.DUMMYFUNCTION("""COMPUTED_VALUE"""),34543226)</f>
        <v/>
      </c>
      <c r="H102" s="27" t="n"/>
    </row>
    <row r="103" ht="17.25" customHeight="1" s="322">
      <c r="A103" s="27" t="n"/>
      <c r="B103" s="506">
        <f>IFERROR(__xludf.DUMMYFUNCTION("""COMPUTED_VALUE"""),45974.6666666666)</f>
        <v/>
      </c>
      <c r="C103" s="141">
        <f>IFERROR(__xludf.DUMMYFUNCTION("""COMPUTED_VALUE"""),241.84)</f>
        <v/>
      </c>
      <c r="D103" s="141">
        <f>IFERROR(__xludf.DUMMYFUNCTION("""COMPUTED_VALUE"""),242.68)</f>
        <v/>
      </c>
      <c r="E103" s="141">
        <f>IFERROR(__xludf.DUMMYFUNCTION("""COMPUTED_VALUE"""),235.84)</f>
        <v/>
      </c>
      <c r="F103" s="141">
        <f>IFERROR(__xludf.DUMMYFUNCTION("""COMPUTED_VALUE"""),236.79)</f>
        <v/>
      </c>
      <c r="G103" s="143">
        <f>IFERROR(__xludf.DUMMYFUNCTION("""COMPUTED_VALUE"""),65709950)</f>
        <v/>
      </c>
      <c r="H103" s="27" t="n"/>
    </row>
    <row r="104" ht="17.25" customHeight="1" s="322">
      <c r="A104" s="27" t="n"/>
      <c r="B104" s="506">
        <f>IFERROR(__xludf.DUMMYFUNCTION("""COMPUTED_VALUE"""),45975.6666666666)</f>
        <v/>
      </c>
      <c r="C104" s="141">
        <f>IFERROR(__xludf.DUMMYFUNCTION("""COMPUTED_VALUE"""),233.34)</f>
        <v/>
      </c>
      <c r="D104" s="141">
        <f>IFERROR(__xludf.DUMMYFUNCTION("""COMPUTED_VALUE"""),238.73)</f>
        <v/>
      </c>
      <c r="E104" s="141">
        <f>IFERROR(__xludf.DUMMYFUNCTION("""COMPUTED_VALUE"""),233.27)</f>
        <v/>
      </c>
      <c r="F104" s="141">
        <f>IFERROR(__xludf.DUMMYFUNCTION("""COMPUTED_VALUE"""),237.48)</f>
        <v/>
      </c>
      <c r="G104" s="143">
        <f>IFERROR(__xludf.DUMMYFUNCTION("""COMPUTED_VALUE"""),58344442)</f>
        <v/>
      </c>
      <c r="H104" s="27" t="n"/>
    </row>
    <row r="105" ht="17.25" customHeight="1" s="322">
      <c r="A105" s="27" t="n"/>
      <c r="B105" s="506">
        <f>IFERROR(__xludf.DUMMYFUNCTION("""COMPUTED_VALUE"""),45978.6666666666)</f>
        <v/>
      </c>
      <c r="C105" s="141">
        <f>IFERROR(__xludf.DUMMYFUNCTION("""COMPUTED_VALUE"""),236.46)</f>
        <v/>
      </c>
      <c r="D105" s="141">
        <f>IFERROR(__xludf.DUMMYFUNCTION("""COMPUTED_VALUE"""),237.84)</f>
        <v/>
      </c>
      <c r="E105" s="141">
        <f>IFERROR(__xludf.DUMMYFUNCTION("""COMPUTED_VALUE"""),231.76)</f>
        <v/>
      </c>
      <c r="F105" s="141">
        <f>IFERROR(__xludf.DUMMYFUNCTION("""COMPUTED_VALUE"""),232.76)</f>
        <v/>
      </c>
      <c r="G105" s="143">
        <f>IFERROR(__xludf.DUMMYFUNCTION("""COMPUTED_VALUE"""),55765896)</f>
        <v/>
      </c>
      <c r="H105" s="27" t="n"/>
    </row>
    <row r="106" ht="17.25" customHeight="1" s="322">
      <c r="A106" s="27" t="n"/>
      <c r="B106" s="506">
        <f>IFERROR(__xludf.DUMMYFUNCTION("""COMPUTED_VALUE"""),45979.6666666666)</f>
        <v/>
      </c>
      <c r="C106" s="141">
        <f>IFERROR(__xludf.DUMMYFUNCTION("""COMPUTED_VALUE"""),231.31)</f>
        <v/>
      </c>
      <c r="D106" s="141">
        <f>IFERROR(__xludf.DUMMYFUNCTION("""COMPUTED_VALUE"""),235.08)</f>
        <v/>
      </c>
      <c r="E106" s="141">
        <f>IFERROR(__xludf.DUMMYFUNCTION("""COMPUTED_VALUE"""),230.96)</f>
        <v/>
      </c>
      <c r="F106" s="141">
        <f>IFERROR(__xludf.DUMMYFUNCTION("""COMPUTED_VALUE"""),233.47)</f>
        <v/>
      </c>
      <c r="G106" s="143">
        <f>IFERROR(__xludf.DUMMYFUNCTION("""COMPUTED_VALUE"""),63092497)</f>
        <v/>
      </c>
      <c r="H106" s="27" t="n"/>
    </row>
    <row r="107" ht="17.25" customHeight="1" s="322">
      <c r="A107" s="27" t="n"/>
      <c r="B107" s="506">
        <f>IFERROR(__xludf.DUMMYFUNCTION("""COMPUTED_VALUE"""),45980.6666666666)</f>
        <v/>
      </c>
      <c r="C107" s="141">
        <f>IFERROR(__xludf.DUMMYFUNCTION("""COMPUTED_VALUE"""),233.8)</f>
        <v/>
      </c>
      <c r="D107" s="141">
        <f>IFERROR(__xludf.DUMMYFUNCTION("""COMPUTED_VALUE"""),236.37)</f>
        <v/>
      </c>
      <c r="E107" s="141">
        <f>IFERROR(__xludf.DUMMYFUNCTION("""COMPUTED_VALUE"""),232.43)</f>
        <v/>
      </c>
      <c r="F107" s="141">
        <f>IFERROR(__xludf.DUMMYFUNCTION("""COMPUTED_VALUE"""),233.43)</f>
        <v/>
      </c>
      <c r="G107" s="143">
        <f>IFERROR(__xludf.DUMMYFUNCTION("""COMPUTED_VALUE"""),57280548)</f>
        <v/>
      </c>
      <c r="H107" s="27" t="n"/>
    </row>
    <row r="108" ht="17.25" customHeight="1" s="322">
      <c r="A108" s="27" t="n"/>
      <c r="B108" s="506">
        <f>IFERROR(__xludf.DUMMYFUNCTION("""COMPUTED_VALUE"""),45981.6666666666)</f>
        <v/>
      </c>
      <c r="C108" s="141">
        <f>IFERROR(__xludf.DUMMYFUNCTION("""COMPUTED_VALUE"""),237.24)</f>
        <v/>
      </c>
      <c r="D108" s="141">
        <f>IFERROR(__xludf.DUMMYFUNCTION("""COMPUTED_VALUE"""),239.1)</f>
        <v/>
      </c>
      <c r="E108" s="141">
        <f>IFERROR(__xludf.DUMMYFUNCTION("""COMPUTED_VALUE"""),228.9)</f>
        <v/>
      </c>
      <c r="F108" s="141">
        <f>IFERROR(__xludf.DUMMYFUNCTION("""COMPUTED_VALUE"""),229.11)</f>
        <v/>
      </c>
      <c r="G108" s="143">
        <f>IFERROR(__xludf.DUMMYFUNCTION("""COMPUTED_VALUE"""),95483018)</f>
        <v/>
      </c>
      <c r="H108" s="27" t="n"/>
    </row>
    <row r="109" ht="17.25" customHeight="1" s="322">
      <c r="A109" s="27" t="n"/>
      <c r="B109" s="506">
        <f>IFERROR(__xludf.DUMMYFUNCTION("""COMPUTED_VALUE"""),45982.6666666666)</f>
        <v/>
      </c>
      <c r="C109" s="141">
        <f>IFERROR(__xludf.DUMMYFUNCTION("""COMPUTED_VALUE"""),229.96)</f>
        <v/>
      </c>
      <c r="D109" s="141">
        <f>IFERROR(__xludf.DUMMYFUNCTION("""COMPUTED_VALUE"""),237.11)</f>
        <v/>
      </c>
      <c r="E109" s="141">
        <f>IFERROR(__xludf.DUMMYFUNCTION("""COMPUTED_VALUE"""),229.58)</f>
        <v/>
      </c>
      <c r="F109" s="141">
        <f>IFERROR(__xludf.DUMMYFUNCTION("""COMPUTED_VALUE"""),235.6)</f>
        <v/>
      </c>
      <c r="G109" s="143">
        <f>IFERROR(__xludf.DUMMYFUNCTION("""COMPUTED_VALUE"""),99504106)</f>
        <v/>
      </c>
      <c r="H109" s="27" t="n"/>
    </row>
    <row r="110" ht="17.25" customHeight="1" s="322">
      <c r="A110" s="27" t="n"/>
      <c r="B110" s="506">
        <f>IFERROR(__xludf.DUMMYFUNCTION("""COMPUTED_VALUE"""),45985.6666666666)</f>
        <v/>
      </c>
      <c r="C110" s="141">
        <f>IFERROR(__xludf.DUMMYFUNCTION("""COMPUTED_VALUE"""),235.96)</f>
        <v/>
      </c>
      <c r="D110" s="141">
        <f>IFERROR(__xludf.DUMMYFUNCTION("""COMPUTED_VALUE"""),240.39)</f>
        <v/>
      </c>
      <c r="E110" s="141">
        <f>IFERROR(__xludf.DUMMYFUNCTION("""COMPUTED_VALUE"""),235.48)</f>
        <v/>
      </c>
      <c r="F110" s="141">
        <f>IFERROR(__xludf.DUMMYFUNCTION("""COMPUTED_VALUE"""),239.9)</f>
        <v/>
      </c>
      <c r="G110" s="143">
        <f>IFERROR(__xludf.DUMMYFUNCTION("""COMPUTED_VALUE"""),36135317)</f>
        <v/>
      </c>
      <c r="H110" s="27" t="n"/>
    </row>
    <row r="111" ht="17.25" customHeight="1" s="322">
      <c r="A111" s="27" t="n"/>
      <c r="B111" s="506">
        <f>IFERROR(__xludf.DUMMYFUNCTION("""COMPUTED_VALUE"""),45986.6666666666)</f>
        <v/>
      </c>
      <c r="C111" s="141">
        <f>IFERROR(__xludf.DUMMYFUNCTION("""COMPUTED_VALUE"""),240.74)</f>
        <v/>
      </c>
      <c r="D111" s="141">
        <f>IFERROR(__xludf.DUMMYFUNCTION("""COMPUTED_VALUE"""),245.55)</f>
        <v/>
      </c>
      <c r="E111" s="141">
        <f>IFERROR(__xludf.DUMMYFUNCTION("""COMPUTED_VALUE"""),240.04)</f>
        <v/>
      </c>
      <c r="F111" s="141">
        <f>IFERROR(__xludf.DUMMYFUNCTION("""COMPUTED_VALUE"""),245.13)</f>
        <v/>
      </c>
      <c r="G111" s="143">
        <f>IFERROR(__xludf.DUMMYFUNCTION("""COMPUTED_VALUE"""),46160790)</f>
        <v/>
      </c>
      <c r="H111" s="27" t="n"/>
    </row>
    <row r="112" ht="17.25" customHeight="1" s="322">
      <c r="A112" s="27" t="n"/>
      <c r="B112" s="506">
        <f>IFERROR(__xludf.DUMMYFUNCTION("""COMPUTED_VALUE"""),45987.6666666666)</f>
        <v/>
      </c>
      <c r="C112" s="141">
        <f>IFERROR(__xludf.DUMMYFUNCTION("""COMPUTED_VALUE"""),245.05)</f>
        <v/>
      </c>
      <c r="D112" s="141">
        <f>IFERROR(__xludf.DUMMYFUNCTION("""COMPUTED_VALUE"""),248.83)</f>
        <v/>
      </c>
      <c r="E112" s="141">
        <f>IFERROR(__xludf.DUMMYFUNCTION("""COMPUTED_VALUE"""),244.77)</f>
        <v/>
      </c>
      <c r="F112" s="141">
        <f>IFERROR(__xludf.DUMMYFUNCTION("""COMPUTED_VALUE"""),247.3)</f>
        <v/>
      </c>
      <c r="G112" s="143">
        <f>IFERROR(__xludf.DUMMYFUNCTION("""COMPUTED_VALUE"""),34636590)</f>
        <v/>
      </c>
      <c r="H112" s="27" t="n"/>
    </row>
    <row r="113" ht="17.25" customHeight="1" s="322">
      <c r="A113" s="27" t="n"/>
      <c r="B113" s="506">
        <f>IFERROR(__xludf.DUMMYFUNCTION("""COMPUTED_VALUE"""),45989.5520833333)</f>
        <v/>
      </c>
      <c r="C113" s="141">
        <f>IFERROR(__xludf.DUMMYFUNCTION("""COMPUTED_VALUE"""),248.01)</f>
        <v/>
      </c>
      <c r="D113" s="141">
        <f>IFERROR(__xludf.DUMMYFUNCTION("""COMPUTED_VALUE"""),248.81)</f>
        <v/>
      </c>
      <c r="E113" s="141">
        <f>IFERROR(__xludf.DUMMYFUNCTION("""COMPUTED_VALUE"""),247.07)</f>
        <v/>
      </c>
      <c r="F113" s="141">
        <f>IFERROR(__xludf.DUMMYFUNCTION("""COMPUTED_VALUE"""),248.75)</f>
        <v/>
      </c>
      <c r="G113" s="143">
        <f>IFERROR(__xludf.DUMMYFUNCTION("""COMPUTED_VALUE"""),18911812)</f>
        <v/>
      </c>
      <c r="H113" s="27" t="n"/>
    </row>
    <row r="114" ht="17.25" customHeight="1" s="322">
      <c r="A114" s="27" t="n"/>
      <c r="B114" s="506">
        <f>IFERROR(__xludf.DUMMYFUNCTION("""COMPUTED_VALUE"""),45992.6666666666)</f>
        <v/>
      </c>
      <c r="C114" s="141">
        <f>IFERROR(__xludf.DUMMYFUNCTION("""COMPUTED_VALUE"""),245.57)</f>
        <v/>
      </c>
      <c r="D114" s="141">
        <f>IFERROR(__xludf.DUMMYFUNCTION("""COMPUTED_VALUE"""),247.69)</f>
        <v/>
      </c>
      <c r="E114" s="141">
        <f>IFERROR(__xludf.DUMMYFUNCTION("""COMPUTED_VALUE"""),245.34)</f>
        <v/>
      </c>
      <c r="F114" s="141">
        <f>IFERROR(__xludf.DUMMYFUNCTION("""COMPUTED_VALUE"""),245.62)</f>
        <v/>
      </c>
      <c r="G114" s="143">
        <f>IFERROR(__xludf.DUMMYFUNCTION("""COMPUTED_VALUE"""),36919964)</f>
        <v/>
      </c>
      <c r="H114" s="27" t="n"/>
    </row>
    <row r="115" ht="17.25" customHeight="1" s="322">
      <c r="A115" s="27" t="n"/>
      <c r="B115" s="506">
        <f>IFERROR(__xludf.DUMMYFUNCTION("""COMPUTED_VALUE"""),45993.6666666666)</f>
        <v/>
      </c>
      <c r="C115" s="141">
        <f>IFERROR(__xludf.DUMMYFUNCTION("""COMPUTED_VALUE"""),247.37)</f>
        <v/>
      </c>
      <c r="D115" s="141">
        <f>IFERROR(__xludf.DUMMYFUNCTION("""COMPUTED_VALUE"""),247.37)</f>
        <v/>
      </c>
      <c r="E115" s="141">
        <f>IFERROR(__xludf.DUMMYFUNCTION("""COMPUTED_VALUE"""),245.12)</f>
        <v/>
      </c>
      <c r="F115" s="141">
        <f>IFERROR(__xludf.DUMMYFUNCTION("""COMPUTED_VALUE"""),245.17)</f>
        <v/>
      </c>
      <c r="G115" s="143">
        <f>IFERROR(__xludf.DUMMYFUNCTION("""COMPUTED_VALUE"""),31918469)</f>
        <v/>
      </c>
      <c r="H115" s="27" t="n"/>
    </row>
    <row r="116" ht="17.25" customHeight="1" s="322">
      <c r="A116" s="27" t="n"/>
      <c r="B116" s="506">
        <f>IFERROR(__xludf.DUMMYFUNCTION("""COMPUTED_VALUE"""),45994.6666666666)</f>
        <v/>
      </c>
      <c r="C116" s="141">
        <f>IFERROR(__xludf.DUMMYFUNCTION("""COMPUTED_VALUE"""),245.97)</f>
        <v/>
      </c>
      <c r="D116" s="141">
        <f>IFERROR(__xludf.DUMMYFUNCTION("""COMPUTED_VALUE"""),249.84)</f>
        <v/>
      </c>
      <c r="E116" s="141">
        <f>IFERROR(__xludf.DUMMYFUNCTION("""COMPUTED_VALUE"""),245.48)</f>
        <v/>
      </c>
      <c r="F116" s="141">
        <f>IFERROR(__xludf.DUMMYFUNCTION("""COMPUTED_VALUE"""),249.63)</f>
        <v/>
      </c>
      <c r="G116" s="143">
        <f>IFERROR(__xludf.DUMMYFUNCTION("""COMPUTED_VALUE"""),32846272)</f>
        <v/>
      </c>
      <c r="H116" s="27" t="n"/>
    </row>
    <row r="117" ht="17.25" customHeight="1" s="322">
      <c r="A117" s="27" t="n"/>
      <c r="B117" s="506">
        <f>IFERROR(__xludf.DUMMYFUNCTION("""COMPUTED_VALUE"""),45995.6666666666)</f>
        <v/>
      </c>
      <c r="C117" s="141">
        <f>IFERROR(__xludf.DUMMYFUNCTION("""COMPUTED_VALUE"""),248.97)</f>
        <v/>
      </c>
      <c r="D117" s="141">
        <f>IFERROR(__xludf.DUMMYFUNCTION("""COMPUTED_VALUE"""),252.66)</f>
        <v/>
      </c>
      <c r="E117" s="141">
        <f>IFERROR(__xludf.DUMMYFUNCTION("""COMPUTED_VALUE"""),248.54)</f>
        <v/>
      </c>
      <c r="F117" s="141">
        <f>IFERROR(__xludf.DUMMYFUNCTION("""COMPUTED_VALUE"""),251.82)</f>
        <v/>
      </c>
      <c r="G117" s="143">
        <f>IFERROR(__xludf.DUMMYFUNCTION("""COMPUTED_VALUE"""),40245796)</f>
        <v/>
      </c>
      <c r="H117" s="27" t="n"/>
    </row>
    <row r="118" ht="17.25" customHeight="1" s="322">
      <c r="A118" s="27" t="n"/>
      <c r="B118" s="506">
        <f>IFERROR(__xludf.DUMMYFUNCTION("""COMPUTED_VALUE"""),45996.6666666666)</f>
        <v/>
      </c>
      <c r="C118" s="141">
        <f>IFERROR(__xludf.DUMMYFUNCTION("""COMPUTED_VALUE"""),251.49)</f>
        <v/>
      </c>
      <c r="D118" s="141">
        <f>IFERROR(__xludf.DUMMYFUNCTION("""COMPUTED_VALUE"""),252.66)</f>
        <v/>
      </c>
      <c r="E118" s="141">
        <f>IFERROR(__xludf.DUMMYFUNCTION("""COMPUTED_VALUE"""),250.28)</f>
        <v/>
      </c>
      <c r="F118" s="141">
        <f>IFERROR(__xludf.DUMMYFUNCTION("""COMPUTED_VALUE"""),250.77)</f>
        <v/>
      </c>
      <c r="G118" s="143">
        <f>IFERROR(__xludf.DUMMYFUNCTION("""COMPUTED_VALUE"""),36956621)</f>
        <v/>
      </c>
      <c r="H118" s="27" t="n"/>
    </row>
    <row r="119" ht="17.25" customHeight="1" s="322">
      <c r="A119" s="27" t="n"/>
      <c r="B119" s="506">
        <f>IFERROR(__xludf.DUMMYFUNCTION("""COMPUTED_VALUE"""),45999.6666666666)</f>
        <v/>
      </c>
      <c r="C119" s="141">
        <f>IFERROR(__xludf.DUMMYFUNCTION("""COMPUTED_VALUE"""),252.7)</f>
        <v/>
      </c>
      <c r="D119" s="141">
        <f>IFERROR(__xludf.DUMMYFUNCTION("""COMPUTED_VALUE"""),252.77)</f>
        <v/>
      </c>
      <c r="E119" s="141">
        <f>IFERROR(__xludf.DUMMYFUNCTION("""COMPUTED_VALUE"""),250.18)</f>
        <v/>
      </c>
      <c r="F119" s="141">
        <f>IFERROR(__xludf.DUMMYFUNCTION("""COMPUTED_VALUE"""),250.87)</f>
        <v/>
      </c>
      <c r="G119" s="143">
        <f>IFERROR(__xludf.DUMMYFUNCTION("""COMPUTED_VALUE"""),29100029)</f>
        <v/>
      </c>
      <c r="H119" s="27" t="n"/>
    </row>
    <row r="120" ht="17.25" customHeight="1" s="322">
      <c r="A120" s="27" t="n"/>
      <c r="B120" s="506">
        <f>IFERROR(__xludf.DUMMYFUNCTION("""COMPUTED_VALUE"""),46000.6666666666)</f>
        <v/>
      </c>
      <c r="C120" s="141">
        <f>IFERROR(__xludf.DUMMYFUNCTION("""COMPUTED_VALUE"""),250.25)</f>
        <v/>
      </c>
      <c r="D120" s="141">
        <f>IFERROR(__xludf.DUMMYFUNCTION("""COMPUTED_VALUE"""),252.95)</f>
        <v/>
      </c>
      <c r="E120" s="141">
        <f>IFERROR(__xludf.DUMMYFUNCTION("""COMPUTED_VALUE"""),250.1)</f>
        <v/>
      </c>
      <c r="F120" s="141">
        <f>IFERROR(__xludf.DUMMYFUNCTION("""COMPUTED_VALUE"""),251.39)</f>
        <v/>
      </c>
      <c r="G120" s="143">
        <f>IFERROR(__xludf.DUMMYFUNCTION("""COMPUTED_VALUE"""),30170111)</f>
        <v/>
      </c>
      <c r="H120" s="27" t="n"/>
    </row>
    <row r="121" ht="17.25" customHeight="1" s="322">
      <c r="A121" s="27" t="n"/>
      <c r="B121" s="506">
        <f>IFERROR(__xludf.DUMMYFUNCTION("""COMPUTED_VALUE"""),46001.6666666666)</f>
        <v/>
      </c>
      <c r="C121" s="141">
        <f>IFERROR(__xludf.DUMMYFUNCTION("""COMPUTED_VALUE"""),250.9)</f>
        <v/>
      </c>
      <c r="D121" s="141">
        <f>IFERROR(__xludf.DUMMYFUNCTION("""COMPUTED_VALUE"""),256.57)</f>
        <v/>
      </c>
      <c r="E121" s="141">
        <f>IFERROR(__xludf.DUMMYFUNCTION("""COMPUTED_VALUE"""),250.54)</f>
        <v/>
      </c>
      <c r="F121" s="141">
        <f>IFERROR(__xludf.DUMMYFUNCTION("""COMPUTED_VALUE"""),254.81)</f>
        <v/>
      </c>
      <c r="G121" s="143">
        <f>IFERROR(__xludf.DUMMYFUNCTION("""COMPUTED_VALUE"""),51105179)</f>
        <v/>
      </c>
      <c r="H121" s="27" t="n"/>
    </row>
    <row r="122" ht="17.25" customHeight="1" s="322">
      <c r="A122" s="27" t="n"/>
      <c r="B122" s="506">
        <f>IFERROR(__xludf.DUMMYFUNCTION("""COMPUTED_VALUE"""),46002.6666666666)</f>
        <v/>
      </c>
      <c r="C122" s="141">
        <f>IFERROR(__xludf.DUMMYFUNCTION("""COMPUTED_VALUE"""),254.64)</f>
        <v/>
      </c>
      <c r="D122" s="141">
        <f>IFERROR(__xludf.DUMMYFUNCTION("""COMPUTED_VALUE"""),258.01)</f>
        <v/>
      </c>
      <c r="E122" s="141">
        <f>IFERROR(__xludf.DUMMYFUNCTION("""COMPUTED_VALUE"""),254.32)</f>
        <v/>
      </c>
      <c r="F122" s="141">
        <f>IFERROR(__xludf.DUMMYFUNCTION("""COMPUTED_VALUE"""),257.8)</f>
        <v/>
      </c>
      <c r="G122" s="143">
        <f>IFERROR(__xludf.DUMMYFUNCTION("""COMPUTED_VALUE"""),41345164)</f>
        <v/>
      </c>
      <c r="H122" s="27" t="n"/>
    </row>
    <row r="123" ht="17.25" customHeight="1" s="322">
      <c r="A123" s="27" t="n"/>
      <c r="B123" s="506">
        <f>IFERROR(__xludf.DUMMYFUNCTION("""COMPUTED_VALUE"""),46003.6666666666)</f>
        <v/>
      </c>
      <c r="C123" s="141">
        <f>IFERROR(__xludf.DUMMYFUNCTION("""COMPUTED_VALUE"""),257.95)</f>
        <v/>
      </c>
      <c r="D123" s="141">
        <f>IFERROR(__xludf.DUMMYFUNCTION("""COMPUTED_VALUE"""),258.2)</f>
        <v/>
      </c>
      <c r="E123" s="141">
        <f>IFERROR(__xludf.DUMMYFUNCTION("""COMPUTED_VALUE"""),253.44)</f>
        <v/>
      </c>
      <c r="F123" s="141">
        <f>IFERROR(__xludf.DUMMYFUNCTION("""COMPUTED_VALUE"""),253.85)</f>
        <v/>
      </c>
      <c r="G123" s="143">
        <f>IFERROR(__xludf.DUMMYFUNCTION("""COMPUTED_VALUE"""),57657743)</f>
        <v/>
      </c>
      <c r="H123" s="27" t="n"/>
    </row>
    <row r="124" ht="17.25" customHeight="1" s="322">
      <c r="A124" s="27" t="n"/>
      <c r="B124" s="506">
        <f>IFERROR(__xludf.DUMMYFUNCTION("""COMPUTED_VALUE"""),46006.6666666666)</f>
        <v/>
      </c>
      <c r="C124" s="141">
        <f>IFERROR(__xludf.DUMMYFUNCTION("""COMPUTED_VALUE"""),255.55)</f>
        <v/>
      </c>
      <c r="D124" s="141">
        <f>IFERROR(__xludf.DUMMYFUNCTION("""COMPUTED_VALUE"""),255.69)</f>
        <v/>
      </c>
      <c r="E124" s="141">
        <f>IFERROR(__xludf.DUMMYFUNCTION("""COMPUTED_VALUE"""),251.74)</f>
        <v/>
      </c>
      <c r="F124" s="141">
        <f>IFERROR(__xludf.DUMMYFUNCTION("""COMPUTED_VALUE"""),251.93)</f>
        <v/>
      </c>
      <c r="G124" s="143">
        <f>IFERROR(__xludf.DUMMYFUNCTION("""COMPUTED_VALUE"""),43120086)</f>
        <v/>
      </c>
      <c r="H124" s="27" t="n"/>
    </row>
    <row r="125" ht="17.25" customHeight="1" s="322">
      <c r="A125" s="27" t="n"/>
      <c r="B125" s="506">
        <f>IFERROR(__xludf.DUMMYFUNCTION("""COMPUTED_VALUE"""),46007.6666666666)</f>
        <v/>
      </c>
      <c r="C125" s="141">
        <f>IFERROR(__xludf.DUMMYFUNCTION("""COMPUTED_VALUE"""),250.34)</f>
        <v/>
      </c>
      <c r="D125" s="141">
        <f>IFERROR(__xludf.DUMMYFUNCTION("""COMPUTED_VALUE"""),252.16)</f>
        <v/>
      </c>
      <c r="E125" s="141">
        <f>IFERROR(__xludf.DUMMYFUNCTION("""COMPUTED_VALUE"""),248.47)</f>
        <v/>
      </c>
      <c r="F125" s="141">
        <f>IFERROR(__xludf.DUMMYFUNCTION("""COMPUTED_VALUE"""),249.9)</f>
        <v/>
      </c>
      <c r="G125" s="143">
        <f>IFERROR(__xludf.DUMMYFUNCTION("""COMPUTED_VALUE"""),43115263)</f>
        <v/>
      </c>
      <c r="H125" s="27" t="n"/>
    </row>
    <row r="126" ht="17.25" customHeight="1" s="322">
      <c r="A126" s="27" t="n"/>
      <c r="B126" s="506">
        <f>IFERROR(__xludf.DUMMYFUNCTION("""COMPUTED_VALUE"""),46008.6666666666)</f>
        <v/>
      </c>
      <c r="C126" s="141">
        <f>IFERROR(__xludf.DUMMYFUNCTION("""COMPUTED_VALUE"""),250.37)</f>
        <v/>
      </c>
      <c r="D126" s="141">
        <f>IFERROR(__xludf.DUMMYFUNCTION("""COMPUTED_VALUE"""),252.16)</f>
        <v/>
      </c>
      <c r="E126" s="141">
        <f>IFERROR(__xludf.DUMMYFUNCTION("""COMPUTED_VALUE"""),246.7)</f>
        <v/>
      </c>
      <c r="F126" s="141">
        <f>IFERROR(__xludf.DUMMYFUNCTION("""COMPUTED_VALUE"""),247.24)</f>
        <v/>
      </c>
      <c r="G126" s="143">
        <f>IFERROR(__xludf.DUMMYFUNCTION("""COMPUTED_VALUE"""),38132440)</f>
        <v/>
      </c>
      <c r="H126" s="27" t="n"/>
    </row>
    <row r="127" ht="17.25" customHeight="1" s="322">
      <c r="A127" s="27" t="n"/>
      <c r="B127" s="506">
        <f>IFERROR(__xludf.DUMMYFUNCTION("""COMPUTED_VALUE"""),46009.6666666666)</f>
        <v/>
      </c>
      <c r="C127" s="141">
        <f>IFERROR(__xludf.DUMMYFUNCTION("""COMPUTED_VALUE"""),250.18)</f>
        <v/>
      </c>
      <c r="D127" s="141">
        <f>IFERROR(__xludf.DUMMYFUNCTION("""COMPUTED_VALUE"""),251.36)</f>
        <v/>
      </c>
      <c r="E127" s="141">
        <f>IFERROR(__xludf.DUMMYFUNCTION("""COMPUTED_VALUE"""),248.21)</f>
        <v/>
      </c>
      <c r="F127" s="141">
        <f>IFERROR(__xludf.DUMMYFUNCTION("""COMPUTED_VALUE"""),248.71)</f>
        <v/>
      </c>
      <c r="G127" s="143">
        <f>IFERROR(__xludf.DUMMYFUNCTION("""COMPUTED_VALUE"""),39067968)</f>
        <v/>
      </c>
      <c r="H127" s="27" t="n"/>
    </row>
    <row r="128" ht="17.25" customHeight="1" s="322">
      <c r="A128" s="27" t="n"/>
      <c r="B128" s="506">
        <f>IFERROR(__xludf.DUMMYFUNCTION("""COMPUTED_VALUE"""),46010.6666666666)</f>
        <v/>
      </c>
      <c r="C128" s="141">
        <f>IFERROR(__xludf.DUMMYFUNCTION("""COMPUTED_VALUE"""),249.28)</f>
        <v/>
      </c>
      <c r="D128" s="141">
        <f>IFERROR(__xludf.DUMMYFUNCTION("""COMPUTED_VALUE"""),251.4)</f>
        <v/>
      </c>
      <c r="E128" s="141">
        <f>IFERROR(__xludf.DUMMYFUNCTION("""COMPUTED_VALUE"""),249.06)</f>
        <v/>
      </c>
      <c r="F128" s="141">
        <f>IFERROR(__xludf.DUMMYFUNCTION("""COMPUTED_VALUE"""),250.79)</f>
        <v/>
      </c>
      <c r="G128" s="143">
        <f>IFERROR(__xludf.DUMMYFUNCTION("""COMPUTED_VALUE"""),43610403)</f>
        <v/>
      </c>
      <c r="H128" s="27" t="n"/>
    </row>
    <row r="129" ht="17.25" customHeight="1" s="322">
      <c r="A129" s="27" t="n"/>
      <c r="B129" s="506">
        <f>IFERROR(__xludf.DUMMYFUNCTION("""COMPUTED_VALUE"""),46013.6666666666)</f>
        <v/>
      </c>
      <c r="C129" s="141">
        <f>IFERROR(__xludf.DUMMYFUNCTION("""COMPUTED_VALUE"""),252.28)</f>
        <v/>
      </c>
      <c r="D129" s="141">
        <f>IFERROR(__xludf.DUMMYFUNCTION("""COMPUTED_VALUE"""),255.12)</f>
        <v/>
      </c>
      <c r="E129" s="141">
        <f>IFERROR(__xludf.DUMMYFUNCTION("""COMPUTED_VALUE"""),252.2)</f>
        <v/>
      </c>
      <c r="F129" s="141">
        <f>IFERROR(__xludf.DUMMYFUNCTION("""COMPUTED_VALUE"""),253.58)</f>
        <v/>
      </c>
      <c r="G129" s="143">
        <f>IFERROR(__xludf.DUMMYFUNCTION("""COMPUTED_VALUE"""),40497273)</f>
        <v/>
      </c>
      <c r="H129" s="27" t="n"/>
    </row>
    <row r="130" ht="17.25" customHeight="1" s="322">
      <c r="A130" s="27" t="n"/>
      <c r="B130" s="506">
        <f>IFERROR(__xludf.DUMMYFUNCTION("""COMPUTED_VALUE"""),46014.6666666666)</f>
        <v/>
      </c>
      <c r="C130" s="141">
        <f>IFERROR(__xludf.DUMMYFUNCTION("""COMPUTED_VALUE"""),252.42)</f>
        <v/>
      </c>
      <c r="D130" s="141">
        <f>IFERROR(__xludf.DUMMYFUNCTION("""COMPUTED_VALUE"""),253.22)</f>
        <v/>
      </c>
      <c r="E130" s="141">
        <f>IFERROR(__xludf.DUMMYFUNCTION("""COMPUTED_VALUE"""),251.46)</f>
        <v/>
      </c>
      <c r="F130" s="141">
        <f>IFERROR(__xludf.DUMMYFUNCTION("""COMPUTED_VALUE"""),252.08)</f>
        <v/>
      </c>
      <c r="G130" s="143">
        <f>IFERROR(__xludf.DUMMYFUNCTION("""COMPUTED_VALUE"""),24973497)</f>
        <v/>
      </c>
      <c r="H130" s="27" t="n"/>
    </row>
    <row r="131" ht="17.25" customHeight="1" s="322">
      <c r="A131" s="27" t="n"/>
      <c r="B131" s="506">
        <f>IFERROR(__xludf.DUMMYFUNCTION("""COMPUTED_VALUE"""),46015.5416666666)</f>
        <v/>
      </c>
      <c r="C131" s="141">
        <f>IFERROR(__xludf.DUMMYFUNCTION("""COMPUTED_VALUE"""),251.97)</f>
        <v/>
      </c>
      <c r="D131" s="141">
        <f>IFERROR(__xludf.DUMMYFUNCTION("""COMPUTED_VALUE"""),252.86)</f>
        <v/>
      </c>
      <c r="E131" s="141">
        <f>IFERROR(__xludf.DUMMYFUNCTION("""COMPUTED_VALUE"""),251.12)</f>
        <v/>
      </c>
      <c r="F131" s="141">
        <f>IFERROR(__xludf.DUMMYFUNCTION("""COMPUTED_VALUE"""),252.71)</f>
        <v/>
      </c>
      <c r="G131" s="143">
        <f>IFERROR(__xludf.DUMMYFUNCTION("""COMPUTED_VALUE"""),12102974)</f>
        <v/>
      </c>
      <c r="H131" s="27" t="n"/>
    </row>
    <row r="132" ht="17.25" customHeight="1" s="322">
      <c r="A132" s="27" t="n"/>
      <c r="B132" s="506">
        <f>IFERROR(__xludf.DUMMYFUNCTION("""COMPUTED_VALUE"""),46017.6666666666)</f>
        <v/>
      </c>
      <c r="C132" s="141">
        <f>IFERROR(__xludf.DUMMYFUNCTION("""COMPUTED_VALUE"""),252.58)</f>
        <v/>
      </c>
      <c r="D132" s="141">
        <f>IFERROR(__xludf.DUMMYFUNCTION("""COMPUTED_VALUE"""),252.75)</f>
        <v/>
      </c>
      <c r="E132" s="141">
        <f>IFERROR(__xludf.DUMMYFUNCTION("""COMPUTED_VALUE"""),250.4)</f>
        <v/>
      </c>
      <c r="F132" s="141">
        <f>IFERROR(__xludf.DUMMYFUNCTION("""COMPUTED_VALUE"""),251.42)</f>
        <v/>
      </c>
      <c r="G132" s="143">
        <f>IFERROR(__xludf.DUMMYFUNCTION("""COMPUTED_VALUE"""),17429945)</f>
        <v/>
      </c>
      <c r="H132" s="27" t="n"/>
    </row>
    <row r="133" ht="17.25" customHeight="1" s="322">
      <c r="A133" s="27" t="n"/>
      <c r="B133" s="506">
        <f>IFERROR(__xludf.DUMMYFUNCTION("""COMPUTED_VALUE"""),46020.6666666666)</f>
        <v/>
      </c>
      <c r="C133" s="141">
        <f>IFERROR(__xludf.DUMMYFUNCTION("""COMPUTED_VALUE"""),250.26)</f>
        <v/>
      </c>
      <c r="D133" s="141">
        <f>IFERROR(__xludf.DUMMYFUNCTION("""COMPUTED_VALUE"""),251.5)</f>
        <v/>
      </c>
      <c r="E133" s="141">
        <f>IFERROR(__xludf.DUMMYFUNCTION("""COMPUTED_VALUE"""),249.35)</f>
        <v/>
      </c>
      <c r="F133" s="141">
        <f>IFERROR(__xludf.DUMMYFUNCTION("""COMPUTED_VALUE"""),249.88)</f>
        <v/>
      </c>
      <c r="G133" s="143">
        <f>IFERROR(__xludf.DUMMYFUNCTION("""COMPUTED_VALUE"""),25218779)</f>
        <v/>
      </c>
      <c r="H133" s="27" t="n"/>
    </row>
    <row r="134" ht="17.25" customHeight="1" s="322">
      <c r="A134" s="27" t="n"/>
      <c r="B134" s="506">
        <f>IFERROR(__xludf.DUMMYFUNCTION("""COMPUTED_VALUE"""),46021.6666666666)</f>
        <v/>
      </c>
      <c r="C134" s="141">
        <f>IFERROR(__xludf.DUMMYFUNCTION("""COMPUTED_VALUE"""),249.97)</f>
        <v/>
      </c>
      <c r="D134" s="141">
        <f>IFERROR(__xludf.DUMMYFUNCTION("""COMPUTED_VALUE"""),250.15)</f>
        <v/>
      </c>
      <c r="E134" s="141">
        <f>IFERROR(__xludf.DUMMYFUNCTION("""COMPUTED_VALUE"""),247.95)</f>
        <v/>
      </c>
      <c r="F134" s="141">
        <f>IFERROR(__xludf.DUMMYFUNCTION("""COMPUTED_VALUE"""),248.03)</f>
        <v/>
      </c>
      <c r="G134" s="143">
        <f>IFERROR(__xludf.DUMMYFUNCTION("""COMPUTED_VALUE"""),22123639)</f>
        <v/>
      </c>
      <c r="H134" s="27" t="n"/>
    </row>
    <row r="135" ht="17.25" customHeight="1" s="322">
      <c r="A135" s="27" t="n"/>
      <c r="B135" s="506">
        <f>IFERROR(__xludf.DUMMYFUNCTION("""COMPUTED_VALUE"""),46022.6666666666)</f>
        <v/>
      </c>
      <c r="C135" s="141">
        <f>IFERROR(__xludf.DUMMYFUNCTION("""COMPUTED_VALUE"""),248.18)</f>
        <v/>
      </c>
      <c r="D135" s="141">
        <f>IFERROR(__xludf.DUMMYFUNCTION("""COMPUTED_VALUE"""),248.28)</f>
        <v/>
      </c>
      <c r="E135" s="141">
        <f>IFERROR(__xludf.DUMMYFUNCTION("""COMPUTED_VALUE"""),246.01)</f>
        <v/>
      </c>
      <c r="F135" s="141">
        <f>IFERROR(__xludf.DUMMYFUNCTION("""COMPUTED_VALUE"""),246.16)</f>
        <v/>
      </c>
      <c r="G135" s="143">
        <f>IFERROR(__xludf.DUMMYFUNCTION("""COMPUTED_VALUE"""),35351972)</f>
        <v/>
      </c>
      <c r="H135" s="27" t="n"/>
    </row>
    <row r="136" ht="17.25" customHeight="1" s="322">
      <c r="A136" s="27" t="n"/>
      <c r="B136" s="506">
        <f>IFERROR(__xludf.DUMMYFUNCTION("""COMPUTED_VALUE"""),46024.6666666666)</f>
        <v/>
      </c>
      <c r="C136" s="141">
        <f>IFERROR(__xludf.DUMMYFUNCTION("""COMPUTED_VALUE"""),247.63)</f>
        <v/>
      </c>
      <c r="D136" s="141">
        <f>IFERROR(__xludf.DUMMYFUNCTION("""COMPUTED_VALUE"""),249.09)</f>
        <v/>
      </c>
      <c r="E136" s="141">
        <f>IFERROR(__xludf.DUMMYFUNCTION("""COMPUTED_VALUE"""),245.86)</f>
        <v/>
      </c>
      <c r="F136" s="141">
        <f>IFERROR(__xludf.DUMMYFUNCTION("""COMPUTED_VALUE"""),248.78)</f>
        <v/>
      </c>
      <c r="G136" s="143">
        <f>IFERROR(__xludf.DUMMYFUNCTION("""COMPUTED_VALUE"""),40007650)</f>
        <v/>
      </c>
      <c r="H136" s="27" t="n"/>
    </row>
    <row r="137" ht="17.25" customHeight="1" s="322">
      <c r="A137" s="27" t="n"/>
      <c r="B137" s="506">
        <f>IFERROR(__xludf.DUMMYFUNCTION("""COMPUTED_VALUE"""),46027.6666666666)</f>
        <v/>
      </c>
      <c r="C137" s="141">
        <f>IFERROR(__xludf.DUMMYFUNCTION("""COMPUTED_VALUE"""),249.79)</f>
        <v/>
      </c>
      <c r="D137" s="141">
        <f>IFERROR(__xludf.DUMMYFUNCTION("""COMPUTED_VALUE"""),253.55)</f>
        <v/>
      </c>
      <c r="E137" s="141">
        <f>IFERROR(__xludf.DUMMYFUNCTION("""COMPUTED_VALUE"""),249.57)</f>
        <v/>
      </c>
      <c r="F137" s="141">
        <f>IFERROR(__xludf.DUMMYFUNCTION("""COMPUTED_VALUE"""),252.73)</f>
        <v/>
      </c>
      <c r="G137" s="143">
        <f>IFERROR(__xludf.DUMMYFUNCTION("""COMPUTED_VALUE"""),37428056)</f>
        <v/>
      </c>
      <c r="H137" s="27" t="n"/>
    </row>
    <row r="138" ht="17.25" customHeight="1" s="322">
      <c r="A138" s="27" t="n"/>
      <c r="B138" s="506">
        <f>IFERROR(__xludf.DUMMYFUNCTION("""COMPUTED_VALUE"""),46028.6666666666)</f>
        <v/>
      </c>
      <c r="C138" s="141">
        <f>IFERROR(__xludf.DUMMYFUNCTION("""COMPUTED_VALUE"""),252.24)</f>
        <v/>
      </c>
      <c r="D138" s="141">
        <f>IFERROR(__xludf.DUMMYFUNCTION("""COMPUTED_VALUE"""),256.25)</f>
        <v/>
      </c>
      <c r="E138" s="141">
        <f>IFERROR(__xludf.DUMMYFUNCTION("""COMPUTED_VALUE"""),251.52)</f>
        <v/>
      </c>
      <c r="F138" s="141">
        <f>IFERROR(__xludf.DUMMYFUNCTION("""COMPUTED_VALUE"""),256.08)</f>
        <v/>
      </c>
      <c r="G138" s="143">
        <f>IFERROR(__xludf.DUMMYFUNCTION("""COMPUTED_VALUE"""),40677781)</f>
        <v/>
      </c>
      <c r="H138" s="27" t="n"/>
    </row>
    <row r="139" ht="17.25" customHeight="1" s="322">
      <c r="A139" s="27" t="n"/>
      <c r="B139" s="506">
        <f>IFERROR(__xludf.DUMMYFUNCTION("""COMPUTED_VALUE"""),46029.6666666666)</f>
        <v/>
      </c>
      <c r="C139" s="141">
        <f>IFERROR(__xludf.DUMMYFUNCTION("""COMPUTED_VALUE"""),256.4)</f>
        <v/>
      </c>
      <c r="D139" s="141">
        <f>IFERROR(__xludf.DUMMYFUNCTION("""COMPUTED_VALUE"""),256.8)</f>
        <v/>
      </c>
      <c r="E139" s="141">
        <f>IFERROR(__xludf.DUMMYFUNCTION("""COMPUTED_VALUE"""),253.97)</f>
        <v/>
      </c>
      <c r="F139" s="141">
        <f>IFERROR(__xludf.DUMMYFUNCTION("""COMPUTED_VALUE"""),255.48)</f>
        <v/>
      </c>
      <c r="G139" s="143">
        <f>IFERROR(__xludf.DUMMYFUNCTION("""COMPUTED_VALUE"""),33052026)</f>
        <v/>
      </c>
      <c r="H139" s="27" t="n"/>
    </row>
    <row r="140" ht="17.25" customHeight="1" s="322">
      <c r="A140" s="27" t="n"/>
      <c r="B140" s="506">
        <f>IFERROR(__xludf.DUMMYFUNCTION("""COMPUTED_VALUE"""),46030.6666666666)</f>
        <v/>
      </c>
      <c r="C140" s="141">
        <f>IFERROR(__xludf.DUMMYFUNCTION("""COMPUTED_VALUE"""),254.7)</f>
        <v/>
      </c>
      <c r="D140" s="141">
        <f>IFERROR(__xludf.DUMMYFUNCTION("""COMPUTED_VALUE"""),258.93)</f>
        <v/>
      </c>
      <c r="E140" s="141">
        <f>IFERROR(__xludf.DUMMYFUNCTION("""COMPUTED_VALUE"""),254.36)</f>
        <v/>
      </c>
      <c r="F140" s="141">
        <f>IFERROR(__xludf.DUMMYFUNCTION("""COMPUTED_VALUE"""),258.27)</f>
        <v/>
      </c>
      <c r="G140" s="143">
        <f>IFERROR(__xludf.DUMMYFUNCTION("""COMPUTED_VALUE"""),37957029)</f>
        <v/>
      </c>
      <c r="H140" s="27" t="n"/>
    </row>
    <row r="141" ht="17.25" customHeight="1" s="322">
      <c r="A141" s="27" t="n"/>
      <c r="B141" s="506">
        <f>IFERROR(__xludf.DUMMYFUNCTION("""COMPUTED_VALUE"""),46031.6666666666)</f>
        <v/>
      </c>
      <c r="C141" s="141">
        <f>IFERROR(__xludf.DUMMYFUNCTION("""COMPUTED_VALUE"""),259.58)</f>
        <v/>
      </c>
      <c r="D141" s="141">
        <f>IFERROR(__xludf.DUMMYFUNCTION("""COMPUTED_VALUE"""),261.56)</f>
        <v/>
      </c>
      <c r="E141" s="141">
        <f>IFERROR(__xludf.DUMMYFUNCTION("""COMPUTED_VALUE"""),258.09)</f>
        <v/>
      </c>
      <c r="F141" s="141">
        <f>IFERROR(__xludf.DUMMYFUNCTION("""COMPUTED_VALUE"""),260.23)</f>
        <v/>
      </c>
      <c r="G141" s="143">
        <f>IFERROR(__xludf.DUMMYFUNCTION("""COMPUTED_VALUE"""),36301546)</f>
        <v/>
      </c>
      <c r="H141" s="27" t="n"/>
    </row>
    <row r="142" ht="17.25" customHeight="1" s="322">
      <c r="A142" s="27" t="n"/>
      <c r="B142" s="506">
        <f>IFERROR(__xludf.DUMMYFUNCTION("""COMPUTED_VALUE"""),46034.6666666666)</f>
        <v/>
      </c>
      <c r="C142" s="141">
        <f>IFERROR(__xludf.DUMMYFUNCTION("""COMPUTED_VALUE"""),259.28)</f>
        <v/>
      </c>
      <c r="D142" s="141">
        <f>IFERROR(__xludf.DUMMYFUNCTION("""COMPUTED_VALUE"""),261.66)</f>
        <v/>
      </c>
      <c r="E142" s="141">
        <f>IFERROR(__xludf.DUMMYFUNCTION("""COMPUTED_VALUE"""),258.24)</f>
        <v/>
      </c>
      <c r="F142" s="141">
        <f>IFERROR(__xludf.DUMMYFUNCTION("""COMPUTED_VALUE"""),261.5)</f>
        <v/>
      </c>
      <c r="G142" s="143">
        <f>IFERROR(__xludf.DUMMYFUNCTION("""COMPUTED_VALUE"""),28423355)</f>
        <v/>
      </c>
      <c r="H142" s="27" t="n"/>
    </row>
    <row r="143" ht="17.25" customHeight="1" s="322">
      <c r="A143" s="27" t="n"/>
      <c r="B143" s="506">
        <f>IFERROR(__xludf.DUMMYFUNCTION("""COMPUTED_VALUE"""),46035.6666666666)</f>
        <v/>
      </c>
      <c r="C143" s="141">
        <f>IFERROR(__xludf.DUMMYFUNCTION("""COMPUTED_VALUE"""),262.4)</f>
        <v/>
      </c>
      <c r="D143" s="141">
        <f>IFERROR(__xludf.DUMMYFUNCTION("""COMPUTED_VALUE"""),262.89)</f>
        <v/>
      </c>
      <c r="E143" s="141">
        <f>IFERROR(__xludf.DUMMYFUNCTION("""COMPUTED_VALUE"""),260.46)</f>
        <v/>
      </c>
      <c r="F143" s="141">
        <f>IFERROR(__xludf.DUMMYFUNCTION("""COMPUTED_VALUE"""),261.35)</f>
        <v/>
      </c>
      <c r="G143" s="143">
        <f>IFERROR(__xludf.DUMMYFUNCTION("""COMPUTED_VALUE"""),33882364)</f>
        <v/>
      </c>
      <c r="H143" s="27" t="n"/>
    </row>
    <row r="144" ht="17.25" customHeight="1" s="322">
      <c r="A144" s="27" t="n"/>
      <c r="B144" s="506">
        <f>IFERROR(__xludf.DUMMYFUNCTION("""COMPUTED_VALUE"""),46036.6666666666)</f>
        <v/>
      </c>
      <c r="C144" s="141">
        <f>IFERROR(__xludf.DUMMYFUNCTION("""COMPUTED_VALUE"""),261.13)</f>
        <v/>
      </c>
      <c r="D144" s="141">
        <f>IFERROR(__xludf.DUMMYFUNCTION("""COMPUTED_VALUE"""),263.46)</f>
        <v/>
      </c>
      <c r="E144" s="141">
        <f>IFERROR(__xludf.DUMMYFUNCTION("""COMPUTED_VALUE"""),260.19)</f>
        <v/>
      </c>
      <c r="F144" s="141">
        <f>IFERROR(__xludf.DUMMYFUNCTION("""COMPUTED_VALUE"""),263.19)</f>
        <v/>
      </c>
      <c r="G144" s="143">
        <f>IFERROR(__xludf.DUMMYFUNCTION("""COMPUTED_VALUE"""),37164298)</f>
        <v/>
      </c>
      <c r="H144" s="27" t="n"/>
    </row>
    <row r="145" ht="17.25" customHeight="1" s="322">
      <c r="A145" s="27" t="n"/>
      <c r="B145" s="506">
        <f>IFERROR(__xludf.DUMMYFUNCTION("""COMPUTED_VALUE"""),46037.6666666666)</f>
        <v/>
      </c>
      <c r="C145" s="141">
        <f>IFERROR(__xludf.DUMMYFUNCTION("""COMPUTED_VALUE"""),264.06)</f>
        <v/>
      </c>
      <c r="D145" s="141">
        <f>IFERROR(__xludf.DUMMYFUNCTION("""COMPUTED_VALUE"""),267.05)</f>
        <v/>
      </c>
      <c r="E145" s="141">
        <f>IFERROR(__xludf.DUMMYFUNCTION("""COMPUTED_VALUE"""),263.73)</f>
        <v/>
      </c>
      <c r="F145" s="141">
        <f>IFERROR(__xludf.DUMMYFUNCTION("""COMPUTED_VALUE"""),265.51)</f>
        <v/>
      </c>
      <c r="G145" s="143">
        <f>IFERROR(__xludf.DUMMYFUNCTION("""COMPUTED_VALUE"""),33465208)</f>
        <v/>
      </c>
      <c r="H145" s="27" t="n"/>
    </row>
    <row r="146" ht="17.25" customHeight="1" s="322">
      <c r="A146" s="27" t="n"/>
      <c r="B146" s="506">
        <f>IFERROR(__xludf.DUMMYFUNCTION("""COMPUTED_VALUE"""),46038.6666666666)</f>
        <v/>
      </c>
      <c r="C146" s="141">
        <f>IFERROR(__xludf.DUMMYFUNCTION("""COMPUTED_VALUE"""),265.87)</f>
        <v/>
      </c>
      <c r="D146" s="141">
        <f>IFERROR(__xludf.DUMMYFUNCTION("""COMPUTED_VALUE"""),267.21)</f>
        <v/>
      </c>
      <c r="E146" s="141">
        <f>IFERROR(__xludf.DUMMYFUNCTION("""COMPUTED_VALUE"""),264.71)</f>
        <v/>
      </c>
      <c r="F146" s="141">
        <f>IFERROR(__xludf.DUMMYFUNCTION("""COMPUTED_VALUE"""),265.76)</f>
        <v/>
      </c>
      <c r="G146" s="143">
        <f>IFERROR(__xludf.DUMMYFUNCTION("""COMPUTED_VALUE"""),33844875)</f>
        <v/>
      </c>
      <c r="H146" s="27" t="n"/>
    </row>
    <row r="147" ht="17.25" customHeight="1" s="322">
      <c r="A147" s="27" t="n"/>
      <c r="B147" s="506">
        <f>IFERROR(__xludf.DUMMYFUNCTION("""COMPUTED_VALUE"""),46042.6666666666)</f>
        <v/>
      </c>
      <c r="C147" s="141">
        <f>IFERROR(__xludf.DUMMYFUNCTION("""COMPUTED_VALUE"""),261.14)</f>
        <v/>
      </c>
      <c r="D147" s="141">
        <f>IFERROR(__xludf.DUMMYFUNCTION("""COMPUTED_VALUE"""),265.08)</f>
        <v/>
      </c>
      <c r="E147" s="141">
        <f>IFERROR(__xludf.DUMMYFUNCTION("""COMPUTED_VALUE"""),261.06)</f>
        <v/>
      </c>
      <c r="F147" s="141">
        <f>IFERROR(__xludf.DUMMYFUNCTION("""COMPUTED_VALUE"""),262.58)</f>
        <v/>
      </c>
      <c r="G147" s="143">
        <f>IFERROR(__xludf.DUMMYFUNCTION("""COMPUTED_VALUE"""),47911489)</f>
        <v/>
      </c>
      <c r="H147" s="27" t="n"/>
    </row>
    <row r="148" ht="17.25" customHeight="1" s="322">
      <c r="A148" s="27" t="n"/>
      <c r="B148" s="506">
        <f>IFERROR(__xludf.DUMMYFUNCTION("""COMPUTED_VALUE"""),46043.6666666666)</f>
        <v/>
      </c>
      <c r="C148" s="141">
        <f>IFERROR(__xludf.DUMMYFUNCTION("""COMPUTED_VALUE"""),264.64)</f>
        <v/>
      </c>
      <c r="D148" s="141">
        <f>IFERROR(__xludf.DUMMYFUNCTION("""COMPUTED_VALUE"""),268.59)</f>
        <v/>
      </c>
      <c r="E148" s="141">
        <f>IFERROR(__xludf.DUMMYFUNCTION("""COMPUTED_VALUE"""),262.92)</f>
        <v/>
      </c>
      <c r="F148" s="141">
        <f>IFERROR(__xludf.DUMMYFUNCTION("""COMPUTED_VALUE"""),267.79)</f>
        <v/>
      </c>
      <c r="G148" s="143">
        <f>IFERROR(__xludf.DUMMYFUNCTION("""COMPUTED_VALUE"""),59952798)</f>
        <v/>
      </c>
      <c r="H148" s="27" t="n"/>
    </row>
    <row r="149" ht="17.25" customHeight="1" s="322">
      <c r="A149" s="27" t="n"/>
      <c r="B149" s="506">
        <f>IFERROR(__xludf.DUMMYFUNCTION("""COMPUTED_VALUE"""),46044.6666666666)</f>
        <v/>
      </c>
      <c r="C149" s="141">
        <f>IFERROR(__xludf.DUMMYFUNCTION("""COMPUTED_VALUE"""),269.83)</f>
        <v/>
      </c>
      <c r="D149" s="141">
        <f>IFERROR(__xludf.DUMMYFUNCTION("""COMPUTED_VALUE"""),271.6)</f>
        <v/>
      </c>
      <c r="E149" s="141">
        <f>IFERROR(__xludf.DUMMYFUNCTION("""COMPUTED_VALUE"""),269.42)</f>
        <v/>
      </c>
      <c r="F149" s="141">
        <f>IFERROR(__xludf.DUMMYFUNCTION("""COMPUTED_VALUE"""),269.79)</f>
        <v/>
      </c>
      <c r="G149" s="143">
        <f>IFERROR(__xludf.DUMMYFUNCTION("""COMPUTED_VALUE"""),35110779)</f>
        <v/>
      </c>
      <c r="H149" s="27" t="n"/>
    </row>
    <row r="150" ht="17.25" customHeight="1" s="322">
      <c r="A150" s="27" t="n"/>
      <c r="B150" s="506">
        <f>IFERROR(__xludf.DUMMYFUNCTION("""COMPUTED_VALUE"""),46045.6666666666)</f>
        <v/>
      </c>
      <c r="C150" s="141">
        <f>IFERROR(__xludf.DUMMYFUNCTION("""COMPUTED_VALUE"""),269.04)</f>
        <v/>
      </c>
      <c r="D150" s="141">
        <f>IFERROR(__xludf.DUMMYFUNCTION("""COMPUTED_VALUE"""),269.05)</f>
        <v/>
      </c>
      <c r="E150" s="141">
        <f>IFERROR(__xludf.DUMMYFUNCTION("""COMPUTED_VALUE"""),264.46)</f>
        <v/>
      </c>
      <c r="F150" s="141">
        <f>IFERROR(__xludf.DUMMYFUNCTION("""COMPUTED_VALUE"""),264.81)</f>
        <v/>
      </c>
      <c r="G150" s="143">
        <f>IFERROR(__xludf.DUMMYFUNCTION("""COMPUTED_VALUE"""),42636691)</f>
        <v/>
      </c>
      <c r="H150" s="27" t="n"/>
    </row>
    <row r="151" ht="17.25" customHeight="1" s="322">
      <c r="A151" s="27" t="n"/>
      <c r="B151" s="506">
        <f>IFERROR(__xludf.DUMMYFUNCTION("""COMPUTED_VALUE"""),46048.6666666666)</f>
        <v/>
      </c>
      <c r="C151" s="141">
        <f>IFERROR(__xludf.DUMMYFUNCTION("""COMPUTED_VALUE"""),265.07)</f>
        <v/>
      </c>
      <c r="D151" s="141">
        <f>IFERROR(__xludf.DUMMYFUNCTION("""COMPUTED_VALUE"""),266.69)</f>
        <v/>
      </c>
      <c r="E151" s="141">
        <f>IFERROR(__xludf.DUMMYFUNCTION("""COMPUTED_VALUE"""),263.49)</f>
        <v/>
      </c>
      <c r="F151" s="141">
        <f>IFERROR(__xludf.DUMMYFUNCTION("""COMPUTED_VALUE"""),263.98)</f>
        <v/>
      </c>
      <c r="G151" s="143">
        <f>IFERROR(__xludf.DUMMYFUNCTION("""COMPUTED_VALUE"""),32119332)</f>
        <v/>
      </c>
      <c r="H151" s="27" t="n"/>
    </row>
    <row r="152" ht="17.25" customHeight="1" s="322">
      <c r="A152" s="27" t="n"/>
      <c r="B152" s="506">
        <f>IFERROR(__xludf.DUMMYFUNCTION("""COMPUTED_VALUE"""),46049.6666666666)</f>
        <v/>
      </c>
      <c r="C152" s="141">
        <f>IFERROR(__xludf.DUMMYFUNCTION("""COMPUTED_VALUE"""),264.05)</f>
        <v/>
      </c>
      <c r="D152" s="141">
        <f>IFERROR(__xludf.DUMMYFUNCTION("""COMPUTED_VALUE"""),264.86)</f>
        <v/>
      </c>
      <c r="E152" s="141">
        <f>IFERROR(__xludf.DUMMYFUNCTION("""COMPUTED_VALUE"""),262.66)</f>
        <v/>
      </c>
      <c r="F152" s="141">
        <f>IFERROR(__xludf.DUMMYFUNCTION("""COMPUTED_VALUE"""),264.73)</f>
        <v/>
      </c>
      <c r="G152" s="143">
        <f>IFERROR(__xludf.DUMMYFUNCTION("""COMPUTED_VALUE"""),26975518)</f>
        <v/>
      </c>
      <c r="H152" s="27" t="n"/>
    </row>
    <row r="153" ht="17.25" customHeight="1" s="322">
      <c r="A153" s="27" t="n"/>
      <c r="B153" s="506">
        <f>IFERROR(__xludf.DUMMYFUNCTION("""COMPUTED_VALUE"""),46050.6666666666)</f>
        <v/>
      </c>
      <c r="C153" s="141">
        <f>IFERROR(__xludf.DUMMYFUNCTION("""COMPUTED_VALUE"""),265.98)</f>
        <v/>
      </c>
      <c r="D153" s="141">
        <f>IFERROR(__xludf.DUMMYFUNCTION("""COMPUTED_VALUE"""),266.68)</f>
        <v/>
      </c>
      <c r="E153" s="141">
        <f>IFERROR(__xludf.DUMMYFUNCTION("""COMPUTED_VALUE"""),262.56)</f>
        <v/>
      </c>
      <c r="F153" s="141">
        <f>IFERROR(__xludf.DUMMYFUNCTION("""COMPUTED_VALUE"""),263.3)</f>
        <v/>
      </c>
      <c r="G153" s="143">
        <f>IFERROR(__xludf.DUMMYFUNCTION("""COMPUTED_VALUE"""),37139119)</f>
        <v/>
      </c>
      <c r="H153" s="27" t="n"/>
    </row>
    <row r="154" ht="17.25" customHeight="1" s="322">
      <c r="A154" s="27" t="n"/>
      <c r="B154" s="506">
        <f>IFERROR(__xludf.DUMMYFUNCTION("""COMPUTED_VALUE"""),46051.6666666666)</f>
        <v/>
      </c>
      <c r="C154" s="141">
        <f>IFERROR(__xludf.DUMMYFUNCTION("""COMPUTED_VALUE"""),264.07)</f>
        <v/>
      </c>
      <c r="D154" s="141">
        <f>IFERROR(__xludf.DUMMYFUNCTION("""COMPUTED_VALUE"""),265.06)</f>
        <v/>
      </c>
      <c r="E154" s="141">
        <f>IFERROR(__xludf.DUMMYFUNCTION("""COMPUTED_VALUE"""),259.41)</f>
        <v/>
      </c>
      <c r="F154" s="141">
        <f>IFERROR(__xludf.DUMMYFUNCTION("""COMPUTED_VALUE"""),263.37)</f>
        <v/>
      </c>
      <c r="G154" s="143">
        <f>IFERROR(__xludf.DUMMYFUNCTION("""COMPUTED_VALUE"""),43922928)</f>
        <v/>
      </c>
      <c r="H154" s="27" t="n"/>
    </row>
    <row r="155" ht="17.25" customHeight="1" s="322">
      <c r="A155" s="27" t="n"/>
      <c r="B155" s="506">
        <f>IFERROR(__xludf.DUMMYFUNCTION("""COMPUTED_VALUE"""),46052.6666666666)</f>
        <v/>
      </c>
      <c r="C155" s="141">
        <f>IFERROR(__xludf.DUMMYFUNCTION("""COMPUTED_VALUE"""),261.07)</f>
        <v/>
      </c>
      <c r="D155" s="141">
        <f>IFERROR(__xludf.DUMMYFUNCTION("""COMPUTED_VALUE"""),262.98)</f>
        <v/>
      </c>
      <c r="E155" s="141">
        <f>IFERROR(__xludf.DUMMYFUNCTION("""COMPUTED_VALUE"""),257.94)</f>
        <v/>
      </c>
      <c r="F155" s="141">
        <f>IFERROR(__xludf.DUMMYFUNCTION("""COMPUTED_VALUE"""),259.65)</f>
        <v/>
      </c>
      <c r="G155" s="143">
        <f>IFERROR(__xludf.DUMMYFUNCTION("""COMPUTED_VALUE"""),59164154)</f>
        <v/>
      </c>
      <c r="H155" s="27" t="n"/>
    </row>
    <row r="156" ht="17.25" customHeight="1" s="322">
      <c r="A156" s="27" t="n"/>
      <c r="B156" s="506">
        <f>IFERROR(__xludf.DUMMYFUNCTION("""COMPUTED_VALUE"""),46055.6666666666)</f>
        <v/>
      </c>
      <c r="C156" s="141">
        <f>IFERROR(__xludf.DUMMYFUNCTION("""COMPUTED_VALUE"""),258.48)</f>
        <v/>
      </c>
      <c r="D156" s="141">
        <f>IFERROR(__xludf.DUMMYFUNCTION("""COMPUTED_VALUE"""),263.77)</f>
        <v/>
      </c>
      <c r="E156" s="141">
        <f>IFERROR(__xludf.DUMMYFUNCTION("""COMPUTED_VALUE"""),258.35)</f>
        <v/>
      </c>
      <c r="F156" s="141">
        <f>IFERROR(__xludf.DUMMYFUNCTION("""COMPUTED_VALUE"""),262.18)</f>
        <v/>
      </c>
      <c r="G156" s="143">
        <f>IFERROR(__xludf.DUMMYFUNCTION("""COMPUTED_VALUE"""),42896193)</f>
        <v/>
      </c>
      <c r="H156" s="27" t="n"/>
    </row>
    <row r="157" ht="17.25" customHeight="1" s="322">
      <c r="A157" s="27" t="n"/>
      <c r="B157" s="506">
        <f>IFERROR(__xludf.DUMMYFUNCTION("""COMPUTED_VALUE"""),46056.6666666666)</f>
        <v/>
      </c>
      <c r="C157" s="141">
        <f>IFERROR(__xludf.DUMMYFUNCTION("""COMPUTED_VALUE"""),263.06)</f>
        <v/>
      </c>
      <c r="D157" s="141">
        <f>IFERROR(__xludf.DUMMYFUNCTION("""COMPUTED_VALUE"""),265.06)</f>
        <v/>
      </c>
      <c r="E157" s="141">
        <f>IFERROR(__xludf.DUMMYFUNCTION("""COMPUTED_VALUE"""),258.55)</f>
        <v/>
      </c>
      <c r="F157" s="141">
        <f>IFERROR(__xludf.DUMMYFUNCTION("""COMPUTED_VALUE"""),262.78)</f>
        <v/>
      </c>
      <c r="G157" s="143">
        <f>IFERROR(__xludf.DUMMYFUNCTION("""COMPUTED_VALUE"""),54588013)</f>
        <v/>
      </c>
      <c r="H157" s="27" t="n"/>
    </row>
    <row r="158" ht="17.25" customHeight="1" s="322">
      <c r="A158" s="27" t="n"/>
      <c r="B158" s="506">
        <f>IFERROR(__xludf.DUMMYFUNCTION("""COMPUTED_VALUE"""),46057.6666666666)</f>
        <v/>
      </c>
      <c r="C158" s="141">
        <f>IFERROR(__xludf.DUMMYFUNCTION("""COMPUTED_VALUE"""),264.16)</f>
        <v/>
      </c>
      <c r="D158" s="141">
        <f>IFERROR(__xludf.DUMMYFUNCTION("""COMPUTED_VALUE"""),264.65)</f>
        <v/>
      </c>
      <c r="E158" s="141">
        <f>IFERROR(__xludf.DUMMYFUNCTION("""COMPUTED_VALUE"""),257.14)</f>
        <v/>
      </c>
      <c r="F158" s="141">
        <f>IFERROR(__xludf.DUMMYFUNCTION("""COMPUTED_VALUE"""),260.52)</f>
        <v/>
      </c>
      <c r="G158" s="143">
        <f>IFERROR(__xludf.DUMMYFUNCTION("""COMPUTED_VALUE"""),48826545)</f>
        <v/>
      </c>
      <c r="H158" s="27" t="n"/>
    </row>
    <row r="159" ht="17.25" customHeight="1" s="322">
      <c r="A159" s="27" t="n"/>
      <c r="B159" s="506">
        <f>IFERROR(__xludf.DUMMYFUNCTION("""COMPUTED_VALUE"""),46058.6666666666)</f>
        <v/>
      </c>
      <c r="C159" s="141">
        <f>IFERROR(__xludf.DUMMYFUNCTION("""COMPUTED_VALUE"""),258.5)</f>
        <v/>
      </c>
      <c r="D159" s="141">
        <f>IFERROR(__xludf.DUMMYFUNCTION("""COMPUTED_VALUE"""),261.62)</f>
        <v/>
      </c>
      <c r="E159" s="141">
        <f>IFERROR(__xludf.DUMMYFUNCTION("""COMPUTED_VALUE"""),255.05)</f>
        <v/>
      </c>
      <c r="F159" s="141">
        <f>IFERROR(__xludf.DUMMYFUNCTION("""COMPUTED_VALUE"""),255.83)</f>
        <v/>
      </c>
      <c r="G159" s="143">
        <f>IFERROR(__xludf.DUMMYFUNCTION("""COMPUTED_VALUE"""),48279639)</f>
        <v/>
      </c>
      <c r="H159" s="27" t="n"/>
    </row>
    <row r="160" ht="17.25" customHeight="1" s="322">
      <c r="A160" s="27" t="n"/>
      <c r="B160" s="506">
        <f>IFERROR(__xludf.DUMMYFUNCTION("""COMPUTED_VALUE"""),46059.6666666666)</f>
        <v/>
      </c>
      <c r="C160" s="141">
        <f>IFERROR(__xludf.DUMMYFUNCTION("""COMPUTED_VALUE"""),259.74)</f>
        <v/>
      </c>
      <c r="D160" s="141">
        <f>IFERROR(__xludf.DUMMYFUNCTION("""COMPUTED_VALUE"""),265.72)</f>
        <v/>
      </c>
      <c r="E160" s="141">
        <f>IFERROR(__xludf.DUMMYFUNCTION("""COMPUTED_VALUE"""),259.58)</f>
        <v/>
      </c>
      <c r="F160" s="141">
        <f>IFERROR(__xludf.DUMMYFUNCTION("""COMPUTED_VALUE"""),265.02)</f>
        <v/>
      </c>
      <c r="G160" s="143">
        <f>IFERROR(__xludf.DUMMYFUNCTION("""COMPUTED_VALUE"""),43354860)</f>
        <v/>
      </c>
      <c r="H160" s="27" t="n"/>
    </row>
    <row r="161" ht="17.25" customHeight="1" s="322">
      <c r="A161" s="27" t="n"/>
      <c r="B161" s="506">
        <f>IFERROR(__xludf.DUMMYFUNCTION("""COMPUTED_VALUE"""),46062.6666666666)</f>
        <v/>
      </c>
      <c r="C161" s="141">
        <f>IFERROR(__xludf.DUMMYFUNCTION("""COMPUTED_VALUE"""),264.84)</f>
        <v/>
      </c>
      <c r="D161" s="141">
        <f>IFERROR(__xludf.DUMMYFUNCTION("""COMPUTED_VALUE"""),267.67)</f>
        <v/>
      </c>
      <c r="E161" s="141">
        <f>IFERROR(__xludf.DUMMYFUNCTION("""COMPUTED_VALUE"""),263.34)</f>
        <v/>
      </c>
      <c r="F161" s="141">
        <f>IFERROR(__xludf.DUMMYFUNCTION("""COMPUTED_VALUE"""),266.88)</f>
        <v/>
      </c>
      <c r="G161" s="143">
        <f>IFERROR(__xludf.DUMMYFUNCTION("""COMPUTED_VALUE"""),29064849)</f>
        <v/>
      </c>
      <c r="H161" s="27" t="n"/>
    </row>
    <row r="162" ht="17.25" customHeight="1" s="322">
      <c r="A162" s="27" t="n"/>
      <c r="B162" s="506">
        <f>IFERROR(__xludf.DUMMYFUNCTION("""COMPUTED_VALUE"""),46063.6666666666)</f>
        <v/>
      </c>
      <c r="C162" s="141">
        <f>IFERROR(__xludf.DUMMYFUNCTION("""COMPUTED_VALUE"""),267.23)</f>
        <v/>
      </c>
      <c r="D162" s="141">
        <f>IFERROR(__xludf.DUMMYFUNCTION("""COMPUTED_VALUE"""),268.52)</f>
        <v/>
      </c>
      <c r="E162" s="141">
        <f>IFERROR(__xludf.DUMMYFUNCTION("""COMPUTED_VALUE"""),265.88)</f>
        <v/>
      </c>
      <c r="F162" s="141">
        <f>IFERROR(__xludf.DUMMYFUNCTION("""COMPUTED_VALUE"""),266.16)</f>
        <v/>
      </c>
      <c r="G162" s="143">
        <f>IFERROR(__xludf.DUMMYFUNCTION("""COMPUTED_VALUE"""),24661655)</f>
        <v/>
      </c>
      <c r="H162" s="27" t="n"/>
    </row>
    <row r="163" ht="17.25" customHeight="1" s="322">
      <c r="A163" s="27" t="n"/>
      <c r="B163" s="506">
        <f>IFERROR(__xludf.DUMMYFUNCTION("""COMPUTED_VALUE"""),46064.6666666666)</f>
        <v/>
      </c>
      <c r="C163" s="141">
        <f>IFERROR(__xludf.DUMMYFUNCTION("""COMPUTED_VALUE"""),268.47)</f>
        <v/>
      </c>
      <c r="D163" s="141">
        <f>IFERROR(__xludf.DUMMYFUNCTION("""COMPUTED_VALUE"""),268.96)</f>
        <v/>
      </c>
      <c r="E163" s="141">
        <f>IFERROR(__xludf.DUMMYFUNCTION("""COMPUTED_VALUE"""),262.1)</f>
        <v/>
      </c>
      <c r="F163" s="141">
        <f>IFERROR(__xludf.DUMMYFUNCTION("""COMPUTED_VALUE"""),264.95)</f>
        <v/>
      </c>
      <c r="G163" s="143">
        <f>IFERROR(__xludf.DUMMYFUNCTION("""COMPUTED_VALUE"""),41829428)</f>
        <v/>
      </c>
      <c r="H163" s="27" t="n"/>
    </row>
    <row r="164" ht="17.25" customHeight="1" s="322">
      <c r="A164" s="27" t="n"/>
      <c r="B164" s="506">
        <f>IFERROR(__xludf.DUMMYFUNCTION("""COMPUTED_VALUE"""),46065.6666666666)</f>
        <v/>
      </c>
      <c r="C164" s="141">
        <f>IFERROR(__xludf.DUMMYFUNCTION("""COMPUTED_VALUE"""),267.02)</f>
        <v/>
      </c>
      <c r="D164" s="141">
        <f>IFERROR(__xludf.DUMMYFUNCTION("""COMPUTED_VALUE"""),267.46)</f>
        <v/>
      </c>
      <c r="E164" s="141">
        <f>IFERROR(__xludf.DUMMYFUNCTION("""COMPUTED_VALUE"""),258.39)</f>
        <v/>
      </c>
      <c r="F164" s="141">
        <f>IFERROR(__xludf.DUMMYFUNCTION("""COMPUTED_VALUE"""),259.54)</f>
        <v/>
      </c>
      <c r="G164" s="143">
        <f>IFERROR(__xludf.DUMMYFUNCTION("""COMPUTED_VALUE"""),47628169)</f>
        <v/>
      </c>
      <c r="H164" s="27" t="n"/>
    </row>
    <row r="165" ht="17.25" customHeight="1" s="322">
      <c r="A165" s="27" t="n"/>
      <c r="B165" s="506">
        <f>IFERROR(__xludf.DUMMYFUNCTION("""COMPUTED_VALUE"""),46066.6666666666)</f>
        <v/>
      </c>
      <c r="C165" s="141">
        <f>IFERROR(__xludf.DUMMYFUNCTION("""COMPUTED_VALUE"""),260.6)</f>
        <v/>
      </c>
      <c r="D165" s="141">
        <f>IFERROR(__xludf.DUMMYFUNCTION("""COMPUTED_VALUE"""),265.17)</f>
        <v/>
      </c>
      <c r="E165" s="141">
        <f>IFERROR(__xludf.DUMMYFUNCTION("""COMPUTED_VALUE"""),258.51)</f>
        <v/>
      </c>
      <c r="F165" s="141">
        <f>IFERROR(__xludf.DUMMYFUNCTION("""COMPUTED_VALUE"""),262.96)</f>
        <v/>
      </c>
      <c r="G165" s="143">
        <f>IFERROR(__xludf.DUMMYFUNCTION("""COMPUTED_VALUE"""),45360322)</f>
        <v/>
      </c>
      <c r="H165" s="27" t="n"/>
    </row>
    <row r="166" ht="17.25" customHeight="1" s="322">
      <c r="A166" s="27" t="n"/>
      <c r="B166" s="506">
        <f>IFERROR(__xludf.DUMMYFUNCTION("""COMPUTED_VALUE"""),46070.6666666666)</f>
        <v/>
      </c>
      <c r="C166" s="141">
        <f>IFERROR(__xludf.DUMMYFUNCTION("""COMPUTED_VALUE"""),262.38)</f>
        <v/>
      </c>
      <c r="D166" s="141">
        <f>IFERROR(__xludf.DUMMYFUNCTION("""COMPUTED_VALUE"""),264.36)</f>
        <v/>
      </c>
      <c r="E166" s="141">
        <f>IFERROR(__xludf.DUMMYFUNCTION("""COMPUTED_VALUE"""),259.06)</f>
        <v/>
      </c>
      <c r="F166" s="141">
        <f>IFERROR(__xludf.DUMMYFUNCTION("""COMPUTED_VALUE"""),263.04)</f>
        <v/>
      </c>
      <c r="G166" s="143">
        <f>IFERROR(__xludf.DUMMYFUNCTION("""COMPUTED_VALUE"""),33734782)</f>
        <v/>
      </c>
      <c r="H166" s="27" t="n"/>
    </row>
    <row r="167" ht="17.25" customHeight="1" s="322">
      <c r="A167" s="27" t="n"/>
      <c r="B167" s="506">
        <f>IFERROR(__xludf.DUMMYFUNCTION("""COMPUTED_VALUE"""),46071.6666666666)</f>
        <v/>
      </c>
      <c r="C167" s="141">
        <f>IFERROR(__xludf.DUMMYFUNCTION("""COMPUTED_VALUE"""),263.03)</f>
        <v/>
      </c>
      <c r="D167" s="141">
        <f>IFERROR(__xludf.DUMMYFUNCTION("""COMPUTED_VALUE"""),266.91)</f>
        <v/>
      </c>
      <c r="E167" s="141">
        <f>IFERROR(__xludf.DUMMYFUNCTION("""COMPUTED_VALUE"""),261.85)</f>
        <v/>
      </c>
      <c r="F167" s="141">
        <f>IFERROR(__xludf.DUMMYFUNCTION("""COMPUTED_VALUE"""),263.99)</f>
        <v/>
      </c>
      <c r="G167" s="143">
        <f>IFERROR(__xludf.DUMMYFUNCTION("""COMPUTED_VALUE"""),36034689)</f>
        <v/>
      </c>
      <c r="H167" s="27" t="n"/>
    </row>
    <row r="168" ht="17.25" customHeight="1" s="322">
      <c r="A168" s="27" t="n"/>
      <c r="B168" s="506">
        <f>IFERROR(__xludf.DUMMYFUNCTION("""COMPUTED_VALUE"""),46072.6666666666)</f>
        <v/>
      </c>
      <c r="C168" s="141">
        <f>IFERROR(__xludf.DUMMYFUNCTION("""COMPUTED_VALUE"""),262.57)</f>
        <v/>
      </c>
      <c r="D168" s="141">
        <f>IFERROR(__xludf.DUMMYFUNCTION("""COMPUTED_VALUE"""),264.64)</f>
        <v/>
      </c>
      <c r="E168" s="141">
        <f>IFERROR(__xludf.DUMMYFUNCTION("""COMPUTED_VALUE"""),261.08)</f>
        <v/>
      </c>
      <c r="F168" s="141">
        <f>IFERROR(__xludf.DUMMYFUNCTION("""COMPUTED_VALUE"""),264.6)</f>
        <v/>
      </c>
      <c r="G168" s="143">
        <f>IFERROR(__xludf.DUMMYFUNCTION("""COMPUTED_VALUE"""),31005952)</f>
        <v/>
      </c>
      <c r="H168" s="27" t="n"/>
    </row>
    <row r="169" ht="17.25" customHeight="1" s="322">
      <c r="A169" s="27" t="n"/>
      <c r="B169" s="506">
        <f>IFERROR(__xludf.DUMMYFUNCTION("""COMPUTED_VALUE"""),46073.6666666666)</f>
        <v/>
      </c>
      <c r="C169" s="141">
        <f>IFERROR(__xludf.DUMMYFUNCTION("""COMPUTED_VALUE"""),262.85)</f>
        <v/>
      </c>
      <c r="D169" s="141">
        <f>IFERROR(__xludf.DUMMYFUNCTION("""COMPUTED_VALUE"""),267.33)</f>
        <v/>
      </c>
      <c r="E169" s="141">
        <f>IFERROR(__xludf.DUMMYFUNCTION("""COMPUTED_VALUE"""),262.14)</f>
        <v/>
      </c>
      <c r="F169" s="141">
        <f>IFERROR(__xludf.DUMMYFUNCTION("""COMPUTED_VALUE"""),264.61)</f>
        <v/>
      </c>
      <c r="G169" s="143">
        <f>IFERROR(__xludf.DUMMYFUNCTION("""COMPUTED_VALUE"""),47126576)</f>
        <v/>
      </c>
      <c r="H169" s="27" t="n"/>
    </row>
    <row r="170" ht="17.25" customHeight="1" s="322">
      <c r="A170" s="27" t="n"/>
      <c r="B170" s="506">
        <f>IFERROR(__xludf.DUMMYFUNCTION("""COMPUTED_VALUE"""),46076.6666666666)</f>
        <v/>
      </c>
      <c r="C170" s="141">
        <f>IFERROR(__xludf.DUMMYFUNCTION("""COMPUTED_VALUE"""),263.4)</f>
        <v/>
      </c>
      <c r="D170" s="141">
        <f>IFERROR(__xludf.DUMMYFUNCTION("""COMPUTED_VALUE"""),264.37)</f>
        <v/>
      </c>
      <c r="E170" s="141">
        <f>IFERROR(__xludf.DUMMYFUNCTION("""COMPUTED_VALUE"""),258.1)</f>
        <v/>
      </c>
      <c r="F170" s="141">
        <f>IFERROR(__xludf.DUMMYFUNCTION("""COMPUTED_VALUE"""),260.49)</f>
        <v/>
      </c>
      <c r="G170" s="143">
        <f>IFERROR(__xludf.DUMMYFUNCTION("""COMPUTED_VALUE"""),43754856)</f>
        <v/>
      </c>
      <c r="H170" s="27" t="n"/>
    </row>
    <row r="171" ht="17.25" customHeight="1" s="322">
      <c r="A171" s="27" t="n"/>
      <c r="B171" s="506">
        <f>IFERROR(__xludf.DUMMYFUNCTION("""COMPUTED_VALUE"""),46077.6666666666)</f>
        <v/>
      </c>
      <c r="C171" s="141">
        <f>IFERROR(__xludf.DUMMYFUNCTION("""COMPUTED_VALUE"""),260.4)</f>
        <v/>
      </c>
      <c r="D171" s="141">
        <f>IFERROR(__xludf.DUMMYFUNCTION("""COMPUTED_VALUE"""),264.14)</f>
        <v/>
      </c>
      <c r="E171" s="141">
        <f>IFERROR(__xludf.DUMMYFUNCTION("""COMPUTED_VALUE"""),259.86)</f>
        <v/>
      </c>
      <c r="F171" s="141">
        <f>IFERROR(__xludf.DUMMYFUNCTION("""COMPUTED_VALUE"""),263.33)</f>
        <v/>
      </c>
      <c r="G171" s="143">
        <f>IFERROR(__xludf.DUMMYFUNCTION("""COMPUTED_VALUE"""),34690058)</f>
        <v/>
      </c>
      <c r="H171" s="27" t="n"/>
    </row>
    <row r="172" ht="17.25" customHeight="1" s="322">
      <c r="A172" s="27" t="n"/>
      <c r="B172" s="506">
        <f>IFERROR(__xludf.DUMMYFUNCTION("""COMPUTED_VALUE"""),46078.6666666666)</f>
        <v/>
      </c>
      <c r="C172" s="141">
        <f>IFERROR(__xludf.DUMMYFUNCTION("""COMPUTED_VALUE"""),265.25)</f>
        <v/>
      </c>
      <c r="D172" s="141">
        <f>IFERROR(__xludf.DUMMYFUNCTION("""COMPUTED_VALUE"""),265.28)</f>
        <v/>
      </c>
      <c r="E172" s="141">
        <f>IFERROR(__xludf.DUMMYFUNCTION("""COMPUTED_VALUE"""),262.43)</f>
        <v/>
      </c>
      <c r="F172" s="141">
        <f>IFERROR(__xludf.DUMMYFUNCTION("""COMPUTED_VALUE"""),264.58)</f>
        <v/>
      </c>
      <c r="G172" s="143">
        <f>IFERROR(__xludf.DUMMYFUNCTION("""COMPUTED_VALUE"""),25541006)</f>
        <v/>
      </c>
      <c r="H172" s="27" t="n"/>
    </row>
    <row r="173" ht="17.25" customHeight="1" s="322">
      <c r="A173" s="27" t="n"/>
      <c r="B173" s="506">
        <f>IFERROR(__xludf.DUMMYFUNCTION("""COMPUTED_VALUE"""),46079.6666666666)</f>
        <v/>
      </c>
      <c r="C173" s="141">
        <f>IFERROR(__xludf.DUMMYFUNCTION("""COMPUTED_VALUE"""),265.01)</f>
        <v/>
      </c>
      <c r="D173" s="141">
        <f>IFERROR(__xludf.DUMMYFUNCTION("""COMPUTED_VALUE"""),266.24)</f>
        <v/>
      </c>
      <c r="E173" s="141">
        <f>IFERROR(__xludf.DUMMYFUNCTION("""COMPUTED_VALUE"""),262.12)</f>
        <v/>
      </c>
      <c r="F173" s="141">
        <f>IFERROR(__xludf.DUMMYFUNCTION("""COMPUTED_VALUE"""),265.99)</f>
        <v/>
      </c>
      <c r="G173" s="143">
        <f>IFERROR(__xludf.DUMMYFUNCTION("""COMPUTED_VALUE"""),39589197)</f>
        <v/>
      </c>
      <c r="H173" s="27" t="n"/>
    </row>
    <row r="174" ht="17.25" customHeight="1" s="322">
      <c r="A174" s="27" t="n"/>
      <c r="B174" s="506">
        <f>IFERROR(__xludf.DUMMYFUNCTION("""COMPUTED_VALUE"""),46080.6666666666)</f>
        <v/>
      </c>
      <c r="C174" s="141">
        <f>IFERROR(__xludf.DUMMYFUNCTION("""COMPUTED_VALUE"""),262.1)</f>
        <v/>
      </c>
      <c r="D174" s="141">
        <f>IFERROR(__xludf.DUMMYFUNCTION("""COMPUTED_VALUE"""),262.76)</f>
        <v/>
      </c>
      <c r="E174" s="141">
        <f>IFERROR(__xludf.DUMMYFUNCTION("""COMPUTED_VALUE"""),259.77)</f>
        <v/>
      </c>
      <c r="F174" s="141">
        <f>IFERROR(__xludf.DUMMYFUNCTION("""COMPUTED_VALUE"""),261.41)</f>
        <v/>
      </c>
      <c r="G174" s="143">
        <f>IFERROR(__xludf.DUMMYFUNCTION("""COMPUTED_VALUE"""),40316609)</f>
        <v/>
      </c>
      <c r="H174" s="27" t="n"/>
    </row>
    <row r="175" ht="17.25" customHeight="1" s="322">
      <c r="A175" s="27" t="n"/>
      <c r="B175" s="506">
        <f>IFERROR(__xludf.DUMMYFUNCTION("""COMPUTED_VALUE"""),46083.6666666666)</f>
        <v/>
      </c>
      <c r="C175" s="141">
        <f>IFERROR(__xludf.DUMMYFUNCTION("""COMPUTED_VALUE"""),257.81)</f>
        <v/>
      </c>
      <c r="D175" s="141">
        <f>IFERROR(__xludf.DUMMYFUNCTION("""COMPUTED_VALUE"""),264.28)</f>
        <v/>
      </c>
      <c r="E175" s="141">
        <f>IFERROR(__xludf.DUMMYFUNCTION("""COMPUTED_VALUE"""),257.79)</f>
        <v/>
      </c>
      <c r="F175" s="141">
        <f>IFERROR(__xludf.DUMMYFUNCTION("""COMPUTED_VALUE"""),263.81)</f>
        <v/>
      </c>
      <c r="G175" s="143">
        <f>IFERROR(__xludf.DUMMYFUNCTION("""COMPUTED_VALUE"""),53199236)</f>
        <v/>
      </c>
      <c r="H175" s="27" t="n"/>
    </row>
    <row r="176" ht="17.25" customHeight="1" s="322">
      <c r="A176" s="27" t="n"/>
      <c r="B176" s="506">
        <f>IFERROR(__xludf.DUMMYFUNCTION("""COMPUTED_VALUE"""),46084.6666666666)</f>
        <v/>
      </c>
      <c r="C176" s="141">
        <f>IFERROR(__xludf.DUMMYFUNCTION("""COMPUTED_VALUE"""),256.8)</f>
        <v/>
      </c>
      <c r="D176" s="141">
        <f>IFERROR(__xludf.DUMMYFUNCTION("""COMPUTED_VALUE"""),261.12)</f>
        <v/>
      </c>
      <c r="E176" s="141">
        <f>IFERROR(__xludf.DUMMYFUNCTION("""COMPUTED_VALUE"""),253.31)</f>
        <v/>
      </c>
      <c r="F176" s="141">
        <f>IFERROR(__xludf.DUMMYFUNCTION("""COMPUTED_VALUE"""),259.24)</f>
        <v/>
      </c>
      <c r="G176" s="143">
        <f>IFERROR(__xludf.DUMMYFUNCTION("""COMPUTED_VALUE"""),58953883)</f>
        <v/>
      </c>
      <c r="H176" s="27" t="n"/>
    </row>
    <row r="177" ht="17.25" customHeight="1" s="322">
      <c r="A177" s="27" t="n"/>
      <c r="B177" s="506">
        <f>IFERROR(__xludf.DUMMYFUNCTION("""COMPUTED_VALUE"""),46085.6666666666)</f>
        <v/>
      </c>
      <c r="C177" s="141">
        <f>IFERROR(__xludf.DUMMYFUNCTION("""COMPUTED_VALUE"""),261.2)</f>
        <v/>
      </c>
      <c r="D177" s="141">
        <f>IFERROR(__xludf.DUMMYFUNCTION("""COMPUTED_VALUE"""),262.96)</f>
        <v/>
      </c>
      <c r="E177" s="141">
        <f>IFERROR(__xludf.DUMMYFUNCTION("""COMPUTED_VALUE"""),258.82)</f>
        <v/>
      </c>
      <c r="F177" s="141">
        <f>IFERROR(__xludf.DUMMYFUNCTION("""COMPUTED_VALUE"""),261.76)</f>
        <v/>
      </c>
      <c r="G177" s="143">
        <f>IFERROR(__xludf.DUMMYFUNCTION("""COMPUTED_VALUE"""),37756478)</f>
        <v/>
      </c>
      <c r="H177" s="27" t="n"/>
    </row>
    <row r="178" ht="17.25" customHeight="1" s="322">
      <c r="A178" s="27" t="n"/>
      <c r="B178" s="506">
        <f>IFERROR(__xludf.DUMMYFUNCTION("""COMPUTED_VALUE"""),46086.6666666666)</f>
        <v/>
      </c>
      <c r="C178" s="141">
        <f>IFERROR(__xludf.DUMMYFUNCTION("""COMPUTED_VALUE"""),258.99)</f>
        <v/>
      </c>
      <c r="D178" s="141">
        <f>IFERROR(__xludf.DUMMYFUNCTION("""COMPUTED_VALUE"""),260.76)</f>
        <v/>
      </c>
      <c r="E178" s="141">
        <f>IFERROR(__xludf.DUMMYFUNCTION("""COMPUTED_VALUE"""),254.16)</f>
        <v/>
      </c>
      <c r="F178" s="141">
        <f>IFERROR(__xludf.DUMMYFUNCTION("""COMPUTED_VALUE"""),256.76)</f>
        <v/>
      </c>
      <c r="G178" s="143">
        <f>IFERROR(__xludf.DUMMYFUNCTION("""COMPUTED_VALUE"""),59555725)</f>
        <v/>
      </c>
      <c r="H178" s="27" t="n"/>
    </row>
    <row r="179" ht="17.25" customHeight="1" s="322">
      <c r="A179" s="27" t="n"/>
      <c r="B179" s="506">
        <f>IFERROR(__xludf.DUMMYFUNCTION("""COMPUTED_VALUE"""),46087.6666666666)</f>
        <v/>
      </c>
      <c r="C179" s="141">
        <f>IFERROR(__xludf.DUMMYFUNCTION("""COMPUTED_VALUE"""),251.49)</f>
        <v/>
      </c>
      <c r="D179" s="141">
        <f>IFERROR(__xludf.DUMMYFUNCTION("""COMPUTED_VALUE"""),253.3)</f>
        <v/>
      </c>
      <c r="E179" s="141">
        <f>IFERROR(__xludf.DUMMYFUNCTION("""COMPUTED_VALUE"""),249.94)</f>
        <v/>
      </c>
      <c r="F179" s="141">
        <f>IFERROR(__xludf.DUMMYFUNCTION("""COMPUTED_VALUE"""),250.89)</f>
        <v/>
      </c>
      <c r="G179" s="143">
        <f>IFERROR(__xludf.DUMMYFUNCTION("""COMPUTED_VALUE"""),63633659)</f>
        <v/>
      </c>
      <c r="H179" s="27" t="n"/>
    </row>
    <row r="180" ht="17.25" customHeight="1" s="322">
      <c r="A180" s="27" t="n"/>
      <c r="B180" s="506">
        <f>IFERROR(__xludf.DUMMYFUNCTION("""COMPUTED_VALUE"""),46090.6666666666)</f>
        <v/>
      </c>
      <c r="C180" s="141">
        <f>IFERROR(__xludf.DUMMYFUNCTION("""COMPUTED_VALUE"""),247.59)</f>
        <v/>
      </c>
      <c r="D180" s="141">
        <f>IFERROR(__xludf.DUMMYFUNCTION("""COMPUTED_VALUE"""),254.65)</f>
        <v/>
      </c>
      <c r="E180" s="141">
        <f>IFERROR(__xludf.DUMMYFUNCTION("""COMPUTED_VALUE"""),244.39)</f>
        <v/>
      </c>
      <c r="F180" s="141">
        <f>IFERROR(__xludf.DUMMYFUNCTION("""COMPUTED_VALUE"""),253.62)</f>
        <v/>
      </c>
      <c r="G180" s="143">
        <f>IFERROR(__xludf.DUMMYFUNCTION("""COMPUTED_VALUE"""),63840112)</f>
        <v/>
      </c>
      <c r="H180" s="27" t="n"/>
    </row>
    <row r="181" ht="17.25" customHeight="1" s="322">
      <c r="A181" s="27" t="n"/>
      <c r="B181" s="506">
        <f>IFERROR(__xludf.DUMMYFUNCTION("""COMPUTED_VALUE"""),46091.6666666666)</f>
        <v/>
      </c>
      <c r="C181" s="141">
        <f>IFERROR(__xludf.DUMMYFUNCTION("""COMPUTED_VALUE"""),252.96)</f>
        <v/>
      </c>
      <c r="D181" s="141">
        <f>IFERROR(__xludf.DUMMYFUNCTION("""COMPUTED_VALUE"""),257.65)</f>
        <v/>
      </c>
      <c r="E181" s="141">
        <f>IFERROR(__xludf.DUMMYFUNCTION("""COMPUTED_VALUE"""),252.4)</f>
        <v/>
      </c>
      <c r="F181" s="141">
        <f>IFERROR(__xludf.DUMMYFUNCTION("""COMPUTED_VALUE"""),253.36)</f>
        <v/>
      </c>
      <c r="G181" s="143">
        <f>IFERROR(__xludf.DUMMYFUNCTION("""COMPUTED_VALUE"""),55421947)</f>
        <v/>
      </c>
      <c r="H181" s="27" t="n"/>
    </row>
    <row r="182" ht="17.25" customHeight="1" s="322">
      <c r="A182" s="27" t="n"/>
      <c r="B182" s="506">
        <f>IFERROR(__xludf.DUMMYFUNCTION("""COMPUTED_VALUE"""),46092.6666666666)</f>
        <v/>
      </c>
      <c r="C182" s="141">
        <f>IFERROR(__xludf.DUMMYFUNCTION("""COMPUTED_VALUE"""),252.34)</f>
        <v/>
      </c>
      <c r="D182" s="141">
        <f>IFERROR(__xludf.DUMMYFUNCTION("""COMPUTED_VALUE"""),254.38)</f>
        <v/>
      </c>
      <c r="E182" s="141">
        <f>IFERROR(__xludf.DUMMYFUNCTION("""COMPUTED_VALUE"""),250.58)</f>
        <v/>
      </c>
      <c r="F182" s="141">
        <f>IFERROR(__xludf.DUMMYFUNCTION("""COMPUTED_VALUE"""),252.85)</f>
        <v/>
      </c>
      <c r="G182" s="143">
        <f>IFERROR(__xludf.DUMMYFUNCTION("""COMPUTED_VALUE"""),50418072)</f>
        <v/>
      </c>
      <c r="H182" s="27" t="n"/>
    </row>
    <row r="183" ht="17.25" customHeight="1" s="322">
      <c r="A183" s="27" t="n"/>
      <c r="B183" s="506">
        <f>IFERROR(__xludf.DUMMYFUNCTION("""COMPUTED_VALUE"""),46093.6666666666)</f>
        <v/>
      </c>
      <c r="C183" s="141">
        <f>IFERROR(__xludf.DUMMYFUNCTION("""COMPUTED_VALUE"""),248.94)</f>
        <v/>
      </c>
      <c r="D183" s="141">
        <f>IFERROR(__xludf.DUMMYFUNCTION("""COMPUTED_VALUE"""),249.81)</f>
        <v/>
      </c>
      <c r="E183" s="141">
        <f>IFERROR(__xludf.DUMMYFUNCTION("""COMPUTED_VALUE"""),246.58)</f>
        <v/>
      </c>
      <c r="F183" s="141">
        <f>IFERROR(__xludf.DUMMYFUNCTION("""COMPUTED_VALUE"""),247.41)</f>
        <v/>
      </c>
      <c r="G183" s="143">
        <f>IFERROR(__xludf.DUMMYFUNCTION("""COMPUTED_VALUE"""),61802935)</f>
        <v/>
      </c>
      <c r="H183" s="27" t="n"/>
    </row>
    <row r="184" ht="17.25" customHeight="1" s="322">
      <c r="A184" s="27" t="n"/>
      <c r="B184" s="506">
        <f>IFERROR(__xludf.DUMMYFUNCTION("""COMPUTED_VALUE"""),46094.6666666666)</f>
        <v/>
      </c>
      <c r="C184" s="141">
        <f>IFERROR(__xludf.DUMMYFUNCTION("""COMPUTED_VALUE"""),249.26)</f>
        <v/>
      </c>
      <c r="D184" s="141">
        <f>IFERROR(__xludf.DUMMYFUNCTION("""COMPUTED_VALUE"""),250.61)</f>
        <v/>
      </c>
      <c r="E184" s="141">
        <f>IFERROR(__xludf.DUMMYFUNCTION("""COMPUTED_VALUE"""),245.54)</f>
        <v/>
      </c>
      <c r="F184" s="141">
        <f>IFERROR(__xludf.DUMMYFUNCTION("""COMPUTED_VALUE"""),246.59)</f>
        <v/>
      </c>
      <c r="G184" s="143">
        <f>IFERROR(__xludf.DUMMYFUNCTION("""COMPUTED_VALUE"""),53933299)</f>
        <v/>
      </c>
      <c r="H184" s="27" t="n"/>
    </row>
    <row r="185" ht="17.25" customHeight="1" s="322">
      <c r="A185" s="27" t="n"/>
      <c r="B185" s="506">
        <f>IFERROR(__xludf.DUMMYFUNCTION("""COMPUTED_VALUE"""),46097.6666666666)</f>
        <v/>
      </c>
      <c r="C185" s="141">
        <f>IFERROR(__xludf.DUMMYFUNCTION("""COMPUTED_VALUE"""),249.76)</f>
        <v/>
      </c>
      <c r="D185" s="141">
        <f>IFERROR(__xludf.DUMMYFUNCTION("""COMPUTED_VALUE"""),251.47)</f>
        <v/>
      </c>
      <c r="E185" s="141">
        <f>IFERROR(__xludf.DUMMYFUNCTION("""COMPUTED_VALUE"""),248.31)</f>
        <v/>
      </c>
      <c r="F185" s="141">
        <f>IFERROR(__xludf.DUMMYFUNCTION("""COMPUTED_VALUE"""),248.92)</f>
        <v/>
      </c>
      <c r="G185" s="143">
        <f>IFERROR(__xludf.DUMMYFUNCTION("""COMPUTED_VALUE"""),48755654)</f>
        <v/>
      </c>
      <c r="H185" s="27" t="n"/>
    </row>
    <row r="186" ht="17.25" customHeight="1" s="322">
      <c r="A186" s="27" t="n"/>
      <c r="B186" s="506">
        <f>IFERROR(__xludf.DUMMYFUNCTION("""COMPUTED_VALUE"""),46098.6666666666)</f>
        <v/>
      </c>
      <c r="C186" s="141">
        <f>IFERROR(__xludf.DUMMYFUNCTION("""COMPUTED_VALUE"""),249.87)</f>
        <v/>
      </c>
      <c r="D186" s="141">
        <f>IFERROR(__xludf.DUMMYFUNCTION("""COMPUTED_VALUE"""),251.71)</f>
        <v/>
      </c>
      <c r="E186" s="141">
        <f>IFERROR(__xludf.DUMMYFUNCTION("""COMPUTED_VALUE"""),248.96)</f>
        <v/>
      </c>
      <c r="F186" s="141">
        <f>IFERROR(__xludf.DUMMYFUNCTION("""COMPUTED_VALUE"""),250.05)</f>
        <v/>
      </c>
      <c r="G186" s="143">
        <f>IFERROR(__xludf.DUMMYFUNCTION("""COMPUTED_VALUE"""),40642766)</f>
        <v/>
      </c>
      <c r="H186" s="27" t="n"/>
    </row>
    <row r="187" ht="17.25" customHeight="1" s="322">
      <c r="A187" s="27" t="n"/>
      <c r="B187" s="506">
        <f>IFERROR(__xludf.DUMMYFUNCTION("""COMPUTED_VALUE"""),46099.6666666666)</f>
        <v/>
      </c>
      <c r="C187" s="141">
        <f>IFERROR(__xludf.DUMMYFUNCTION("""COMPUTED_VALUE"""),248.41)</f>
        <v/>
      </c>
      <c r="D187" s="141">
        <f>IFERROR(__xludf.DUMMYFUNCTION("""COMPUTED_VALUE"""),249.23)</f>
        <v/>
      </c>
      <c r="E187" s="141">
        <f>IFERROR(__xludf.DUMMYFUNCTION("""COMPUTED_VALUE"""),245.88)</f>
        <v/>
      </c>
      <c r="F187" s="141">
        <f>IFERROR(__xludf.DUMMYFUNCTION("""COMPUTED_VALUE"""),246.02)</f>
        <v/>
      </c>
      <c r="G187" s="143">
        <f>IFERROR(__xludf.DUMMYFUNCTION("""COMPUTED_VALUE"""),43192622)</f>
        <v/>
      </c>
      <c r="H187" s="27" t="n"/>
    </row>
    <row r="188" ht="17.25" customHeight="1" s="322">
      <c r="A188" s="27" t="n"/>
      <c r="B188" s="506">
        <f>IFERROR(__xludf.DUMMYFUNCTION("""COMPUTED_VALUE"""),46100.6666666666)</f>
        <v/>
      </c>
      <c r="C188" s="141">
        <f>IFERROR(__xludf.DUMMYFUNCTION("""COMPUTED_VALUE"""),243.03)</f>
        <v/>
      </c>
      <c r="D188" s="141">
        <f>IFERROR(__xludf.DUMMYFUNCTION("""COMPUTED_VALUE"""),250.09)</f>
        <v/>
      </c>
      <c r="E188" s="141">
        <f>IFERROR(__xludf.DUMMYFUNCTION("""COMPUTED_VALUE"""),242.52)</f>
        <v/>
      </c>
      <c r="F188" s="141">
        <f>IFERROR(__xludf.DUMMYFUNCTION("""COMPUTED_VALUE"""),247.63)</f>
        <v/>
      </c>
      <c r="G188" s="143">
        <f>IFERROR(__xludf.DUMMYFUNCTION("""COMPUTED_VALUE"""),59219537)</f>
        <v/>
      </c>
      <c r="H188" s="27" t="n"/>
    </row>
    <row r="189" ht="17.25" customHeight="1" s="322">
      <c r="A189" s="27" t="n"/>
      <c r="B189" s="506">
        <f>IFERROR(__xludf.DUMMYFUNCTION("""COMPUTED_VALUE"""),46101.6666666666)</f>
        <v/>
      </c>
      <c r="C189" s="141">
        <f>IFERROR(__xludf.DUMMYFUNCTION("""COMPUTED_VALUE"""),246.97)</f>
        <v/>
      </c>
      <c r="D189" s="141">
        <f>IFERROR(__xludf.DUMMYFUNCTION("""COMPUTED_VALUE"""),247.5)</f>
        <v/>
      </c>
      <c r="E189" s="141">
        <f>IFERROR(__xludf.DUMMYFUNCTION("""COMPUTED_VALUE"""),240.33)</f>
        <v/>
      </c>
      <c r="F189" s="141">
        <f>IFERROR(__xludf.DUMMYFUNCTION("""COMPUTED_VALUE"""),242.22)</f>
        <v/>
      </c>
      <c r="G189" s="143">
        <f>IFERROR(__xludf.DUMMYFUNCTION("""COMPUTED_VALUE"""),76749856)</f>
        <v/>
      </c>
      <c r="H189" s="27" t="n"/>
    </row>
    <row r="190" ht="17.25" customHeight="1" s="322">
      <c r="A190" s="27" t="n"/>
      <c r="B190" s="506">
        <f>IFERROR(__xludf.DUMMYFUNCTION("""COMPUTED_VALUE"""),46104.6666666666)</f>
        <v/>
      </c>
      <c r="C190" s="141">
        <f>IFERROR(__xludf.DUMMYFUNCTION("""COMPUTED_VALUE"""),247.17)</f>
        <v/>
      </c>
      <c r="D190" s="141">
        <f>IFERROR(__xludf.DUMMYFUNCTION("""COMPUTED_VALUE"""),251.36)</f>
        <v/>
      </c>
      <c r="E190" s="141">
        <f>IFERROR(__xludf.DUMMYFUNCTION("""COMPUTED_VALUE"""),246.11)</f>
        <v/>
      </c>
      <c r="F190" s="141">
        <f>IFERROR(__xludf.DUMMYFUNCTION("""COMPUTED_VALUE"""),247.45)</f>
        <v/>
      </c>
      <c r="G190" s="143">
        <f>IFERROR(__xludf.DUMMYFUNCTION("""COMPUTED_VALUE"""),78746582)</f>
        <v/>
      </c>
      <c r="H190" s="27" t="n"/>
    </row>
    <row r="191" ht="17.25" customHeight="1" s="322">
      <c r="A191" s="27" t="n"/>
      <c r="B191" s="506">
        <f>IFERROR(__xludf.DUMMYFUNCTION("""COMPUTED_VALUE"""),46105.6666666666)</f>
        <v/>
      </c>
      <c r="C191" s="141">
        <f>IFERROR(__xludf.DUMMYFUNCTION("""COMPUTED_VALUE"""),245.51)</f>
        <v/>
      </c>
      <c r="D191" s="141">
        <f>IFERROR(__xludf.DUMMYFUNCTION("""COMPUTED_VALUE"""),250.16)</f>
        <v/>
      </c>
      <c r="E191" s="141">
        <f>IFERROR(__xludf.DUMMYFUNCTION("""COMPUTED_VALUE"""),244.6)</f>
        <v/>
      </c>
      <c r="F191" s="141">
        <f>IFERROR(__xludf.DUMMYFUNCTION("""COMPUTED_VALUE"""),248.78)</f>
        <v/>
      </c>
      <c r="G191" s="143">
        <f>IFERROR(__xludf.DUMMYFUNCTION("""COMPUTED_VALUE"""),45210765)</f>
        <v/>
      </c>
      <c r="H191" s="27" t="n"/>
    </row>
    <row r="192" ht="17.25" customHeight="1" s="322">
      <c r="A192" s="27" t="n"/>
      <c r="B192" s="506">
        <f>IFERROR(__xludf.DUMMYFUNCTION("""COMPUTED_VALUE"""),46106.6666666666)</f>
        <v/>
      </c>
      <c r="C192" s="141">
        <f>IFERROR(__xludf.DUMMYFUNCTION("""COMPUTED_VALUE"""),251.74)</f>
        <v/>
      </c>
      <c r="D192" s="141">
        <f>IFERROR(__xludf.DUMMYFUNCTION("""COMPUTED_VALUE"""),253.07)</f>
        <v/>
      </c>
      <c r="E192" s="141">
        <f>IFERROR(__xludf.DUMMYFUNCTION("""COMPUTED_VALUE"""),249.52)</f>
        <v/>
      </c>
      <c r="F192" s="141">
        <f>IFERROR(__xludf.DUMMYFUNCTION("""COMPUTED_VALUE"""),251.82)</f>
        <v/>
      </c>
      <c r="G192" s="143">
        <f>IFERROR(__xludf.DUMMYFUNCTION("""COMPUTED_VALUE"""),45671742)</f>
        <v/>
      </c>
      <c r="H192" s="27" t="n"/>
    </row>
    <row r="193" ht="17.25" customHeight="1" s="322">
      <c r="A193" s="27" t="n"/>
      <c r="B193" s="506">
        <f>IFERROR(__xludf.DUMMYFUNCTION("""COMPUTED_VALUE"""),46107.6666666666)</f>
        <v/>
      </c>
      <c r="C193" s="141">
        <f>IFERROR(__xludf.DUMMYFUNCTION("""COMPUTED_VALUE"""),248.89)</f>
        <v/>
      </c>
      <c r="D193" s="141">
        <f>IFERROR(__xludf.DUMMYFUNCTION("""COMPUTED_VALUE"""),251.86)</f>
        <v/>
      </c>
      <c r="E193" s="141">
        <f>IFERROR(__xludf.DUMMYFUNCTION("""COMPUTED_VALUE"""),247.16)</f>
        <v/>
      </c>
      <c r="F193" s="141">
        <f>IFERROR(__xludf.DUMMYFUNCTION("""COMPUTED_VALUE"""),247.44)</f>
        <v/>
      </c>
      <c r="G193" s="143">
        <f>IFERROR(__xludf.DUMMYFUNCTION("""COMPUTED_VALUE"""),46830212)</f>
        <v/>
      </c>
      <c r="H193" s="27" t="n"/>
    </row>
    <row r="194" ht="17.25" customHeight="1" s="322">
      <c r="A194" s="27" t="n"/>
      <c r="B194" s="506">
        <f>IFERROR(__xludf.DUMMYFUNCTION("""COMPUTED_VALUE"""),46108.6666666666)</f>
        <v/>
      </c>
      <c r="C194" s="141">
        <f>IFERROR(__xludf.DUMMYFUNCTION("""COMPUTED_VALUE"""),246.01)</f>
        <v/>
      </c>
      <c r="D194" s="141">
        <f>IFERROR(__xludf.DUMMYFUNCTION("""COMPUTED_VALUE"""),246.74)</f>
        <v/>
      </c>
      <c r="E194" s="141">
        <f>IFERROR(__xludf.DUMMYFUNCTION("""COMPUTED_VALUE"""),242.41)</f>
        <v/>
      </c>
      <c r="F194" s="141">
        <f>IFERROR(__xludf.DUMMYFUNCTION("""COMPUTED_VALUE"""),243.1)</f>
        <v/>
      </c>
      <c r="G194" s="143">
        <f>IFERROR(__xludf.DUMMYFUNCTION("""COMPUTED_VALUE"""),48114404)</f>
        <v/>
      </c>
      <c r="H194" s="27" t="n"/>
    </row>
    <row r="195" ht="17.25" customHeight="1" s="322">
      <c r="A195" s="27" t="n"/>
      <c r="B195" s="506">
        <f>IFERROR(__xludf.DUMMYFUNCTION("""COMPUTED_VALUE"""),46111.6666666666)</f>
        <v/>
      </c>
      <c r="C195" s="141">
        <f>IFERROR(__xludf.DUMMYFUNCTION("""COMPUTED_VALUE"""),245.35)</f>
        <v/>
      </c>
      <c r="D195" s="141">
        <f>IFERROR(__xludf.DUMMYFUNCTION("""COMPUTED_VALUE"""),245.37)</f>
        <v/>
      </c>
      <c r="E195" s="141">
        <f>IFERROR(__xludf.DUMMYFUNCTION("""COMPUTED_VALUE"""),238.69)</f>
        <v/>
      </c>
      <c r="F195" s="141">
        <f>IFERROR(__xludf.DUMMYFUNCTION("""COMPUTED_VALUE"""),239.61)</f>
        <v/>
      </c>
      <c r="G195" s="143">
        <f>IFERROR(__xludf.DUMMYFUNCTION("""COMPUTED_VALUE"""),51290488)</f>
        <v/>
      </c>
      <c r="H195" s="27" t="n"/>
    </row>
    <row r="196" ht="17.25" customHeight="1" s="322">
      <c r="A196" s="27" t="n"/>
      <c r="B196" s="506">
        <f>IFERROR(__xludf.DUMMYFUNCTION("""COMPUTED_VALUE"""),46112.6666666666)</f>
        <v/>
      </c>
      <c r="C196" s="141">
        <f>IFERROR(__xludf.DUMMYFUNCTION("""COMPUTED_VALUE"""),243.04)</f>
        <v/>
      </c>
      <c r="D196" s="141">
        <f>IFERROR(__xludf.DUMMYFUNCTION("""COMPUTED_VALUE"""),248.92)</f>
        <v/>
      </c>
      <c r="E196" s="141">
        <f>IFERROR(__xludf.DUMMYFUNCTION("""COMPUTED_VALUE"""),242.24)</f>
        <v/>
      </c>
      <c r="F196" s="141">
        <f>IFERROR(__xludf.DUMMYFUNCTION("""COMPUTED_VALUE"""),248)</f>
        <v/>
      </c>
      <c r="G196" s="143">
        <f>IFERROR(__xludf.DUMMYFUNCTION("""COMPUTED_VALUE"""),58660823)</f>
        <v/>
      </c>
      <c r="H196" s="27" t="n"/>
    </row>
    <row r="197" ht="17.25" customHeight="1" s="322">
      <c r="A197" s="27" t="n"/>
      <c r="B197" s="506">
        <f>IFERROR(__xludf.DUMMYFUNCTION("""COMPUTED_VALUE"""),46113.6666666666)</f>
        <v/>
      </c>
      <c r="C197" s="141">
        <f>IFERROR(__xludf.DUMMYFUNCTION("""COMPUTED_VALUE"""),249.92)</f>
        <v/>
      </c>
      <c r="D197" s="141">
        <f>IFERROR(__xludf.DUMMYFUNCTION("""COMPUTED_VALUE"""),252.44)</f>
        <v/>
      </c>
      <c r="E197" s="141">
        <f>IFERROR(__xludf.DUMMYFUNCTION("""COMPUTED_VALUE"""),249.11)</f>
        <v/>
      </c>
      <c r="F197" s="141">
        <f>IFERROR(__xludf.DUMMYFUNCTION("""COMPUTED_VALUE"""),249.56)</f>
        <v/>
      </c>
      <c r="G197" s="143">
        <f>IFERROR(__xludf.DUMMYFUNCTION("""COMPUTED_VALUE"""),51295864)</f>
        <v/>
      </c>
      <c r="H197" s="27" t="n"/>
    </row>
    <row r="198" ht="17.25" customHeight="1" s="322">
      <c r="A198" s="27" t="n"/>
      <c r="B198" s="506">
        <f>IFERROR(__xludf.DUMMYFUNCTION("""COMPUTED_VALUE"""),46114.6666666666)</f>
        <v/>
      </c>
      <c r="C198" s="141">
        <f>IFERROR(__xludf.DUMMYFUNCTION("""COMPUTED_VALUE"""),244.94)</f>
        <v/>
      </c>
      <c r="D198" s="141">
        <f>IFERROR(__xludf.DUMMYFUNCTION("""COMPUTED_VALUE"""),252.37)</f>
        <v/>
      </c>
      <c r="E198" s="141">
        <f>IFERROR(__xludf.DUMMYFUNCTION("""COMPUTED_VALUE"""),244.87)</f>
        <v/>
      </c>
      <c r="F198" s="141">
        <f>IFERROR(__xludf.DUMMYFUNCTION("""COMPUTED_VALUE"""),251.29)</f>
        <v/>
      </c>
      <c r="G198" s="143">
        <f>IFERROR(__xludf.DUMMYFUNCTION("""COMPUTED_VALUE"""),30369203)</f>
        <v/>
      </c>
      <c r="H198" s="27" t="n"/>
    </row>
    <row r="199" ht="17.25" customHeight="1" s="322">
      <c r="A199" s="27" t="n"/>
      <c r="B199" s="506">
        <f>IFERROR(__xludf.DUMMYFUNCTION("""COMPUTED_VALUE"""),46118.6666666666)</f>
        <v/>
      </c>
      <c r="C199" s="141">
        <f>IFERROR(__xludf.DUMMYFUNCTION("""COMPUTED_VALUE"""),250.99)</f>
        <v/>
      </c>
      <c r="D199" s="141">
        <f>IFERROR(__xludf.DUMMYFUNCTION("""COMPUTED_VALUE"""),253.05)</f>
        <v/>
      </c>
      <c r="E199" s="141">
        <f>IFERROR(__xludf.DUMMYFUNCTION("""COMPUTED_VALUE"""),250.25)</f>
        <v/>
      </c>
      <c r="F199" s="141">
        <f>IFERROR(__xludf.DUMMYFUNCTION("""COMPUTED_VALUE"""),252.36)</f>
        <v/>
      </c>
      <c r="G199" s="143">
        <f>IFERROR(__xludf.DUMMYFUNCTION("""COMPUTED_VALUE"""),22151445)</f>
        <v/>
      </c>
      <c r="H199" s="27" t="n"/>
    </row>
    <row r="200" ht="17.25" customHeight="1" s="322">
      <c r="A200" s="27" t="n"/>
      <c r="B200" s="506">
        <f>IFERROR(__xludf.DUMMYFUNCTION("""COMPUTED_VALUE"""),46119.6666666666)</f>
        <v/>
      </c>
      <c r="C200" s="141">
        <f>IFERROR(__xludf.DUMMYFUNCTION("""COMPUTED_VALUE"""),251.21)</f>
        <v/>
      </c>
      <c r="D200" s="141">
        <f>IFERROR(__xludf.DUMMYFUNCTION("""COMPUTED_VALUE"""),253.48)</f>
        <v/>
      </c>
      <c r="E200" s="141">
        <f>IFERROR(__xludf.DUMMYFUNCTION("""COMPUTED_VALUE"""),249.52)</f>
        <v/>
      </c>
      <c r="F200" s="141">
        <f>IFERROR(__xludf.DUMMYFUNCTION("""COMPUTED_VALUE"""),252.91)</f>
        <v/>
      </c>
      <c r="G200" s="143">
        <f>IFERROR(__xludf.DUMMYFUNCTION("""COMPUTED_VALUE"""),34881919)</f>
        <v/>
      </c>
      <c r="H200" s="27" t="n"/>
    </row>
    <row r="201" ht="17.25" customHeight="1" s="322">
      <c r="A201" s="27" t="n"/>
      <c r="B201" s="506">
        <f>IFERROR(__xludf.DUMMYFUNCTION("""COMPUTED_VALUE"""),46120.6666666666)</f>
        <v/>
      </c>
      <c r="C201" s="141">
        <f>IFERROR(__xludf.DUMMYFUNCTION("""COMPUTED_VALUE"""),261.52)</f>
        <v/>
      </c>
      <c r="D201" s="141">
        <f>IFERROR(__xludf.DUMMYFUNCTION("""COMPUTED_VALUE"""),262.27)</f>
        <v/>
      </c>
      <c r="E201" s="141">
        <f>IFERROR(__xludf.DUMMYFUNCTION("""COMPUTED_VALUE"""),258.41)</f>
        <v/>
      </c>
      <c r="F201" s="141">
        <f>IFERROR(__xludf.DUMMYFUNCTION("""COMPUTED_VALUE"""),260.47)</f>
        <v/>
      </c>
      <c r="G201" s="143">
        <f>IFERROR(__xludf.DUMMYFUNCTION("""COMPUTED_VALUE"""),46680248)</f>
        <v/>
      </c>
      <c r="H201" s="27" t="n"/>
    </row>
    <row r="202" ht="17.25" customHeight="1" s="322">
      <c r="A202" s="27" t="n"/>
      <c r="B202" s="506">
        <f>IFERROR(__xludf.DUMMYFUNCTION("""COMPUTED_VALUE"""),46121.6666666666)</f>
        <v/>
      </c>
      <c r="C202" s="141">
        <f>IFERROR(__xludf.DUMMYFUNCTION("""COMPUTED_VALUE"""),258.78)</f>
        <v/>
      </c>
      <c r="D202" s="141">
        <f>IFERROR(__xludf.DUMMYFUNCTION("""COMPUTED_VALUE"""),262.9)</f>
        <v/>
      </c>
      <c r="E202" s="141">
        <f>IFERROR(__xludf.DUMMYFUNCTION("""COMPUTED_VALUE"""),258.78)</f>
        <v/>
      </c>
      <c r="F202" s="141">
        <f>IFERROR(__xludf.DUMMYFUNCTION("""COMPUTED_VALUE"""),261.96)</f>
        <v/>
      </c>
      <c r="G202" s="143">
        <f>IFERROR(__xludf.DUMMYFUNCTION("""COMPUTED_VALUE"""),26758383)</f>
        <v/>
      </c>
      <c r="H202" s="27" t="n"/>
    </row>
    <row r="203" ht="17.25" customHeight="1" s="322">
      <c r="A203" s="27" t="n"/>
      <c r="B203" s="506">
        <f>IFERROR(__xludf.DUMMYFUNCTION("""COMPUTED_VALUE"""),46122.6666666666)</f>
        <v/>
      </c>
      <c r="C203" s="141">
        <f>IFERROR(__xludf.DUMMYFUNCTION("""COMPUTED_VALUE"""),262.4)</f>
        <v/>
      </c>
      <c r="D203" s="141">
        <f>IFERROR(__xludf.DUMMYFUNCTION("""COMPUTED_VALUE"""),262.75)</f>
        <v/>
      </c>
      <c r="E203" s="141">
        <f>IFERROR(__xludf.DUMMYFUNCTION("""COMPUTED_VALUE"""),260.34)</f>
        <v/>
      </c>
      <c r="F203" s="141">
        <f>IFERROR(__xludf.DUMMYFUNCTION("""COMPUTED_VALUE"""),261.3)</f>
        <v/>
      </c>
      <c r="G203" s="143">
        <f>IFERROR(__xludf.DUMMYFUNCTION("""COMPUTED_VALUE"""),22365909)</f>
        <v/>
      </c>
      <c r="H203" s="27" t="n"/>
    </row>
    <row r="204" ht="17.25" customHeight="1" s="322">
      <c r="A204" s="27" t="n"/>
      <c r="B204" s="506">
        <f>IFERROR(__xludf.DUMMYFUNCTION("""COMPUTED_VALUE"""),46125.6666666666)</f>
        <v/>
      </c>
      <c r="C204" s="141">
        <f>IFERROR(__xludf.DUMMYFUNCTION("""COMPUTED_VALUE"""),260.24)</f>
        <v/>
      </c>
      <c r="D204" s="141">
        <f>IFERROR(__xludf.DUMMYFUNCTION("""COMPUTED_VALUE"""),265.36)</f>
        <v/>
      </c>
      <c r="E204" s="141">
        <f>IFERROR(__xludf.DUMMYFUNCTION("""COMPUTED_VALUE"""),260.02)</f>
        <v/>
      </c>
      <c r="F204" s="141">
        <f>IFERROR(__xludf.DUMMYFUNCTION("""COMPUTED_VALUE"""),265.07)</f>
        <v/>
      </c>
      <c r="G204" s="143">
        <f>IFERROR(__xludf.DUMMYFUNCTION("""COMPUTED_VALUE"""),23820001)</f>
        <v/>
      </c>
      <c r="H204" s="27" t="n"/>
    </row>
    <row r="205" ht="17.25" customHeight="1" s="322">
      <c r="A205" s="27" t="n"/>
      <c r="B205" s="506">
        <f>IFERROR(__xludf.DUMMYFUNCTION("""COMPUTED_VALUE"""),46126.6666666666)</f>
        <v/>
      </c>
      <c r="C205" s="141">
        <f>IFERROR(__xludf.DUMMYFUNCTION("""COMPUTED_VALUE"""),267.09)</f>
        <v/>
      </c>
      <c r="D205" s="141">
        <f>IFERROR(__xludf.DUMMYFUNCTION("""COMPUTED_VALUE"""),269.42)</f>
        <v/>
      </c>
      <c r="E205" s="141">
        <f>IFERROR(__xludf.DUMMYFUNCTION("""COMPUTED_VALUE"""),266.28)</f>
        <v/>
      </c>
      <c r="F205" s="141">
        <f>IFERROR(__xludf.DUMMYFUNCTION("""COMPUTED_VALUE"""),268.72)</f>
        <v/>
      </c>
      <c r="G205" s="143">
        <f>IFERROR(__xludf.DUMMYFUNCTION("""COMPUTED_VALUE"""),24270359)</f>
        <v/>
      </c>
      <c r="H205" s="27" t="n"/>
    </row>
    <row r="206" ht="17.25" customHeight="1" s="322">
      <c r="A206" s="27" t="n"/>
      <c r="B206" s="506">
        <f>IFERROR(__xludf.DUMMYFUNCTION("""COMPUTED_VALUE"""),46127.6666666666)</f>
        <v/>
      </c>
      <c r="C206" s="141">
        <f>IFERROR(__xludf.DUMMYFUNCTION("""COMPUTED_VALUE"""),268.78)</f>
        <v/>
      </c>
      <c r="D206" s="141">
        <f>IFERROR(__xludf.DUMMYFUNCTION("""COMPUTED_VALUE"""),269.58)</f>
        <v/>
      </c>
      <c r="E206" s="141">
        <f>IFERROR(__xludf.DUMMYFUNCTION("""COMPUTED_VALUE"""),267.59)</f>
        <v/>
      </c>
      <c r="F206" s="141">
        <f>IFERROR(__xludf.DUMMYFUNCTION("""COMPUTED_VALUE"""),269.39)</f>
        <v/>
      </c>
      <c r="G206" s="143">
        <f>IFERROR(__xludf.DUMMYFUNCTION("""COMPUTED_VALUE"""),21670618)</f>
        <v/>
      </c>
      <c r="H206" s="27" t="n"/>
    </row>
    <row r="207" ht="17.25" customHeight="1" s="322">
      <c r="A207" s="27" t="n"/>
      <c r="B207" s="506">
        <f>IFERROR(__xludf.DUMMYFUNCTION("""COMPUTED_VALUE"""),46128.6666666666)</f>
        <v/>
      </c>
      <c r="C207" s="141">
        <f>IFERROR(__xludf.DUMMYFUNCTION("""COMPUTED_VALUE"""),269.45)</f>
        <v/>
      </c>
      <c r="D207" s="141">
        <f>IFERROR(__xludf.DUMMYFUNCTION("""COMPUTED_VALUE"""),270.35)</f>
        <v/>
      </c>
      <c r="E207" s="141">
        <f>IFERROR(__xludf.DUMMYFUNCTION("""COMPUTED_VALUE"""),268.05)</f>
        <v/>
      </c>
      <c r="F207" s="141">
        <f>IFERROR(__xludf.DUMMYFUNCTION("""COMPUTED_VALUE"""),269.95)</f>
        <v/>
      </c>
      <c r="G207" s="143">
        <f>IFERROR(__xludf.DUMMYFUNCTION("""COMPUTED_VALUE"""),30847915)</f>
        <v/>
      </c>
      <c r="H207" s="27" t="n"/>
    </row>
    <row r="208" ht="17.25" customHeight="1" s="322">
      <c r="A208" s="27" t="n"/>
      <c r="B208" s="506">
        <f>IFERROR(__xludf.DUMMYFUNCTION("""COMPUTED_VALUE"""),46129.6666666666)</f>
        <v/>
      </c>
      <c r="C208" s="141">
        <f>IFERROR(__xludf.DUMMYFUNCTION("""COMPUTED_VALUE"""),273.74)</f>
        <v/>
      </c>
      <c r="D208" s="141">
        <f>IFERROR(__xludf.DUMMYFUNCTION("""COMPUTED_VALUE"""),277.63)</f>
        <v/>
      </c>
      <c r="E208" s="141">
        <f>IFERROR(__xludf.DUMMYFUNCTION("""COMPUTED_VALUE"""),273.12)</f>
        <v/>
      </c>
      <c r="F208" s="141">
        <f>IFERROR(__xludf.DUMMYFUNCTION("""COMPUTED_VALUE"""),275.78)</f>
        <v/>
      </c>
      <c r="G208" s="143">
        <f>IFERROR(__xludf.DUMMYFUNCTION("""COMPUTED_VALUE"""),46462704)</f>
        <v/>
      </c>
      <c r="H208" s="27" t="n"/>
    </row>
    <row r="209" ht="17.25" customHeight="1" s="322">
      <c r="A209" s="27" t="n"/>
      <c r="B209" s="506">
        <f>IFERROR(__xludf.DUMMYFUNCTION("""COMPUTED_VALUE"""),46132.6666666666)</f>
        <v/>
      </c>
      <c r="C209" s="141">
        <f>IFERROR(__xludf.DUMMYFUNCTION("""COMPUTED_VALUE"""),274.65)</f>
        <v/>
      </c>
      <c r="D209" s="141">
        <f>IFERROR(__xludf.DUMMYFUNCTION("""COMPUTED_VALUE"""),277.67)</f>
        <v/>
      </c>
      <c r="E209" s="141">
        <f>IFERROR(__xludf.DUMMYFUNCTION("""COMPUTED_VALUE"""),274.53)</f>
        <v/>
      </c>
      <c r="F209" s="141">
        <f>IFERROR(__xludf.DUMMYFUNCTION("""COMPUTED_VALUE"""),277.35)</f>
        <v/>
      </c>
      <c r="G209" s="143">
        <f>IFERROR(__xludf.DUMMYFUNCTION("""COMPUTED_VALUE"""),22993851)</f>
        <v/>
      </c>
      <c r="H209" s="27" t="n"/>
    </row>
    <row r="210" ht="17.25" customHeight="1" s="322">
      <c r="A210" s="27" t="n"/>
      <c r="B210" s="506">
        <f>IFERROR(__xludf.DUMMYFUNCTION("""COMPUTED_VALUE"""),46133.6666666666)</f>
        <v/>
      </c>
      <c r="C210" s="141">
        <f>IFERROR(__xludf.DUMMYFUNCTION("""COMPUTED_VALUE"""),278.18)</f>
        <v/>
      </c>
      <c r="D210" s="141">
        <f>IFERROR(__xludf.DUMMYFUNCTION("""COMPUTED_VALUE"""),279.79)</f>
        <v/>
      </c>
      <c r="E210" s="141">
        <f>IFERROR(__xludf.DUMMYFUNCTION("""COMPUTED_VALUE"""),273.76)</f>
        <v/>
      </c>
      <c r="F210" s="141">
        <f>IFERROR(__xludf.DUMMYFUNCTION("""COMPUTED_VALUE"""),274.51)</f>
        <v/>
      </c>
      <c r="G210" s="143">
        <f>IFERROR(__xludf.DUMMYFUNCTION("""COMPUTED_VALUE"""),32235227)</f>
        <v/>
      </c>
      <c r="H210" s="27" t="n"/>
    </row>
    <row r="211" ht="17.25" customHeight="1" s="322">
      <c r="A211" s="27" t="n"/>
      <c r="B211" s="506">
        <f>IFERROR(__xludf.DUMMYFUNCTION("""COMPUTED_VALUE"""),46134.6666666666)</f>
        <v/>
      </c>
      <c r="C211" s="141">
        <f>IFERROR(__xludf.DUMMYFUNCTION("""COMPUTED_VALUE"""),277.59)</f>
        <v/>
      </c>
      <c r="D211" s="141">
        <f>IFERROR(__xludf.DUMMYFUNCTION("""COMPUTED_VALUE"""),278.01)</f>
        <v/>
      </c>
      <c r="E211" s="141">
        <f>IFERROR(__xludf.DUMMYFUNCTION("""COMPUTED_VALUE"""),274.9)</f>
        <v/>
      </c>
      <c r="F211" s="141">
        <f>IFERROR(__xludf.DUMMYFUNCTION("""COMPUTED_VALUE"""),276.48)</f>
        <v/>
      </c>
      <c r="G211" s="143">
        <f>IFERROR(__xludf.DUMMYFUNCTION("""COMPUTED_VALUE"""),20274268)</f>
        <v/>
      </c>
      <c r="H211" s="27" t="n"/>
    </row>
    <row r="212" ht="17.25" customHeight="1" s="322">
      <c r="A212" s="27" t="n"/>
      <c r="B212" s="506">
        <f>IFERROR(__xludf.DUMMYFUNCTION("""COMPUTED_VALUE"""),46135.6666666666)</f>
        <v/>
      </c>
      <c r="C212" s="141">
        <f>IFERROR(__xludf.DUMMYFUNCTION("""COMPUTED_VALUE"""),276.73)</f>
        <v/>
      </c>
      <c r="D212" s="141">
        <f>IFERROR(__xludf.DUMMYFUNCTION("""COMPUTED_VALUE"""),277.87)</f>
        <v/>
      </c>
      <c r="E212" s="141">
        <f>IFERROR(__xludf.DUMMYFUNCTION("""COMPUTED_VALUE"""),271.95)</f>
        <v/>
      </c>
      <c r="F212" s="141">
        <f>IFERROR(__xludf.DUMMYFUNCTION("""COMPUTED_VALUE"""),275.52)</f>
        <v/>
      </c>
      <c r="G212" s="143">
        <f>IFERROR(__xludf.DUMMYFUNCTION("""COMPUTED_VALUE"""),32886591)</f>
        <v/>
      </c>
      <c r="H212" s="27" t="n"/>
    </row>
    <row r="213" ht="17.25" customHeight="1" s="322">
      <c r="A213" s="27" t="n"/>
      <c r="B213" s="506">
        <f>IFERROR(__xludf.DUMMYFUNCTION("""COMPUTED_VALUE"""),46136.6666666666)</f>
        <v/>
      </c>
      <c r="C213" s="141">
        <f>IFERROR(__xludf.DUMMYFUNCTION("""COMPUTED_VALUE"""),276.67)</f>
        <v/>
      </c>
      <c r="D213" s="141">
        <f>IFERROR(__xludf.DUMMYFUNCTION("""COMPUTED_VALUE"""),278.13)</f>
        <v/>
      </c>
      <c r="E213" s="141">
        <f>IFERROR(__xludf.DUMMYFUNCTION("""COMPUTED_VALUE"""),274.23)</f>
        <v/>
      </c>
      <c r="F213" s="141">
        <f>IFERROR(__xludf.DUMMYFUNCTION("""COMPUTED_VALUE"""),276.65)</f>
        <v/>
      </c>
      <c r="G213" s="143">
        <f>IFERROR(__xludf.DUMMYFUNCTION("""COMPUTED_VALUE"""),21568588)</f>
        <v/>
      </c>
      <c r="H213" s="27" t="n"/>
    </row>
    <row r="214" ht="17.25" customHeight="1" s="322">
      <c r="A214" s="27" t="n"/>
      <c r="B214" s="506">
        <f>IFERROR(__xludf.DUMMYFUNCTION("""COMPUTED_VALUE"""),46139.6666666666)</f>
        <v/>
      </c>
      <c r="C214" s="141">
        <f>IFERROR(__xludf.DUMMYFUNCTION("""COMPUTED_VALUE"""),276.82)</f>
        <v/>
      </c>
      <c r="D214" s="141">
        <f>IFERROR(__xludf.DUMMYFUNCTION("""COMPUTED_VALUE"""),278.24)</f>
        <v/>
      </c>
      <c r="E214" s="141">
        <f>IFERROR(__xludf.DUMMYFUNCTION("""COMPUTED_VALUE"""),276.25)</f>
        <v/>
      </c>
      <c r="F214" s="141">
        <f>IFERROR(__xludf.DUMMYFUNCTION("""COMPUTED_VALUE"""),277.14)</f>
        <v/>
      </c>
      <c r="G214" s="143">
        <f>IFERROR(__xludf.DUMMYFUNCTION("""COMPUTED_VALUE"""),23399409)</f>
        <v/>
      </c>
      <c r="H214" s="27" t="n"/>
    </row>
    <row r="215" ht="17.25" customHeight="1" s="322">
      <c r="A215" s="27" t="n"/>
      <c r="B215" s="506">
        <f>IFERROR(__xludf.DUMMYFUNCTION("""COMPUTED_VALUE"""),46140.6666666666)</f>
        <v/>
      </c>
      <c r="C215" s="141">
        <f>IFERROR(__xludf.DUMMYFUNCTION("""COMPUTED_VALUE"""),276.05)</f>
        <v/>
      </c>
      <c r="D215" s="141">
        <f>IFERROR(__xludf.DUMMYFUNCTION("""COMPUTED_VALUE"""),276.97)</f>
        <v/>
      </c>
      <c r="E215" s="141">
        <f>IFERROR(__xludf.DUMMYFUNCTION("""COMPUTED_VALUE"""),272.92)</f>
        <v/>
      </c>
      <c r="F215" s="141">
        <f>IFERROR(__xludf.DUMMYFUNCTION("""COMPUTED_VALUE"""),273.91)</f>
        <v/>
      </c>
      <c r="G215" s="143">
        <f>IFERROR(__xludf.DUMMYFUNCTION("""COMPUTED_VALUE"""),24139407)</f>
        <v/>
      </c>
      <c r="H215" s="27" t="n"/>
    </row>
    <row r="216" ht="17.25" customHeight="1" s="322">
      <c r="A216" s="27" t="n"/>
      <c r="B216" s="506">
        <f>IFERROR(__xludf.DUMMYFUNCTION("""COMPUTED_VALUE"""),46141.6666666666)</f>
        <v/>
      </c>
      <c r="C216" s="141">
        <f>IFERROR(__xludf.DUMMYFUNCTION("""COMPUTED_VALUE"""),273.92)</f>
        <v/>
      </c>
      <c r="D216" s="141">
        <f>IFERROR(__xludf.DUMMYFUNCTION("""COMPUTED_VALUE"""),274.38)</f>
        <v/>
      </c>
      <c r="E216" s="141">
        <f>IFERROR(__xludf.DUMMYFUNCTION("""COMPUTED_VALUE"""),270.36)</f>
        <v/>
      </c>
      <c r="F216" s="141">
        <f>IFERROR(__xludf.DUMMYFUNCTION("""COMPUTED_VALUE"""),272.08)</f>
        <v/>
      </c>
      <c r="G216" s="143">
        <f>IFERROR(__xludf.DUMMYFUNCTION("""COMPUTED_VALUE"""),29428948)</f>
        <v/>
      </c>
      <c r="H216" s="27" t="n"/>
    </row>
    <row r="217" ht="17.25" customHeight="1" s="322">
      <c r="A217" s="27" t="n"/>
      <c r="B217" s="506">
        <f>IFERROR(__xludf.DUMMYFUNCTION("""COMPUTED_VALUE"""),46142.6666666666)</f>
        <v/>
      </c>
      <c r="C217" s="141">
        <f>IFERROR(__xludf.DUMMYFUNCTION("""COMPUTED_VALUE"""),273.13)</f>
        <v/>
      </c>
      <c r="D217" s="141">
        <f>IFERROR(__xludf.DUMMYFUNCTION("""COMPUTED_VALUE"""),278.22)</f>
        <v/>
      </c>
      <c r="E217" s="141">
        <f>IFERROR(__xludf.DUMMYFUNCTION("""COMPUTED_VALUE"""),272.44)</f>
        <v/>
      </c>
      <c r="F217" s="141">
        <f>IFERROR(__xludf.DUMMYFUNCTION("""COMPUTED_VALUE"""),277.97)</f>
        <v/>
      </c>
      <c r="G217" s="143">
        <f>IFERROR(__xludf.DUMMYFUNCTION("""COMPUTED_VALUE"""),29220714)</f>
        <v/>
      </c>
      <c r="H217" s="27" t="n"/>
    </row>
    <row r="218" ht="17.25" customHeight="1" s="322">
      <c r="A218" s="27" t="n"/>
      <c r="B218" s="506">
        <f>IFERROR(__xludf.DUMMYFUNCTION("""COMPUTED_VALUE"""),46143.6666666666)</f>
        <v/>
      </c>
      <c r="C218" s="141">
        <f>IFERROR(__xludf.DUMMYFUNCTION("""COMPUTED_VALUE"""),278.66)</f>
        <v/>
      </c>
      <c r="D218" s="141">
        <f>IFERROR(__xludf.DUMMYFUNCTION("""COMPUTED_VALUE"""),279.81)</f>
        <v/>
      </c>
      <c r="E218" s="141">
        <f>IFERROR(__xludf.DUMMYFUNCTION("""COMPUTED_VALUE"""),276.57)</f>
        <v/>
      </c>
      <c r="F218" s="141">
        <f>IFERROR(__xludf.DUMMYFUNCTION("""COMPUTED_VALUE"""),279.28)</f>
        <v/>
      </c>
      <c r="G218" s="143">
        <f>IFERROR(__xludf.DUMMYFUNCTION("""COMPUTED_VALUE"""),28936704)</f>
        <v/>
      </c>
      <c r="H218" s="27" t="n"/>
    </row>
    <row r="219" ht="17.25" customHeight="1" s="322">
      <c r="A219" s="27" t="n"/>
      <c r="B219" s="506">
        <f>IFERROR(__xludf.DUMMYFUNCTION("""COMPUTED_VALUE"""),46146.6666666666)</f>
        <v/>
      </c>
      <c r="C219" s="141">
        <f>IFERROR(__xludf.DUMMYFUNCTION("""COMPUTED_VALUE"""),278.7)</f>
        <v/>
      </c>
      <c r="D219" s="141">
        <f>IFERROR(__xludf.DUMMYFUNCTION("""COMPUTED_VALUE"""),280.79)</f>
        <v/>
      </c>
      <c r="E219" s="141">
        <f>IFERROR(__xludf.DUMMYFUNCTION("""COMPUTED_VALUE"""),276.1)</f>
        <v/>
      </c>
      <c r="F219" s="141">
        <f>IFERROR(__xludf.DUMMYFUNCTION("""COMPUTED_VALUE"""),277.88)</f>
        <v/>
      </c>
      <c r="G219" s="143">
        <f>IFERROR(__xludf.DUMMYFUNCTION("""COMPUTED_VALUE"""),28632338)</f>
        <v/>
      </c>
      <c r="H219" s="27" t="n"/>
    </row>
    <row r="220" ht="17.25" customHeight="1" s="322">
      <c r="A220" s="27" t="n"/>
      <c r="B220" s="506">
        <f>IFERROR(__xludf.DUMMYFUNCTION("""COMPUTED_VALUE"""),46147.6666666666)</f>
        <v/>
      </c>
      <c r="C220" s="141">
        <f>IFERROR(__xludf.DUMMYFUNCTION("""COMPUTED_VALUE"""),280.13)</f>
        <v/>
      </c>
      <c r="D220" s="141">
        <f>IFERROR(__xludf.DUMMYFUNCTION("""COMPUTED_VALUE"""),282.95)</f>
        <v/>
      </c>
      <c r="E220" s="141">
        <f>IFERROR(__xludf.DUMMYFUNCTION("""COMPUTED_VALUE"""),280)</f>
        <v/>
      </c>
      <c r="F220" s="141">
        <f>IFERROR(__xludf.DUMMYFUNCTION("""COMPUTED_VALUE"""),282.56)</f>
        <v/>
      </c>
      <c r="G220" s="143">
        <f>IFERROR(__xludf.DUMMYFUNCTION("""COMPUTED_VALUE"""),24863176)</f>
        <v/>
      </c>
      <c r="H220" s="27" t="n"/>
    </row>
    <row r="221" ht="17.25" customHeight="1" s="322">
      <c r="A221" s="27" t="n"/>
      <c r="B221" s="506">
        <f>IFERROR(__xludf.DUMMYFUNCTION("""COMPUTED_VALUE"""),46148.6666666666)</f>
        <v/>
      </c>
      <c r="C221" s="141">
        <f>IFERROR(__xludf.DUMMYFUNCTION("""COMPUTED_VALUE"""),285.36)</f>
        <v/>
      </c>
      <c r="D221" s="141">
        <f>IFERROR(__xludf.DUMMYFUNCTION("""COMPUTED_VALUE"""),287.05)</f>
        <v/>
      </c>
      <c r="E221" s="141">
        <f>IFERROR(__xludf.DUMMYFUNCTION("""COMPUTED_VALUE"""),283.36)</f>
        <v/>
      </c>
      <c r="F221" s="141">
        <f>IFERROR(__xludf.DUMMYFUNCTION("""COMPUTED_VALUE"""),286.8)</f>
        <v/>
      </c>
      <c r="G221" s="143">
        <f>IFERROR(__xludf.DUMMYFUNCTION("""COMPUTED_VALUE"""),23330335)</f>
        <v/>
      </c>
      <c r="H221" s="27" t="n"/>
    </row>
    <row r="222" ht="17.25" customHeight="1" s="322">
      <c r="A222" s="27" t="n"/>
      <c r="B222" s="506">
        <f>IFERROR(__xludf.DUMMYFUNCTION("""COMPUTED_VALUE"""),46149.6666666666)</f>
        <v/>
      </c>
      <c r="C222" s="141">
        <f>IFERROR(__xludf.DUMMYFUNCTION("""COMPUTED_VALUE"""),287.53)</f>
        <v/>
      </c>
      <c r="D222" s="141">
        <f>IFERROR(__xludf.DUMMYFUNCTION("""COMPUTED_VALUE"""),287.58)</f>
        <v/>
      </c>
      <c r="E222" s="141">
        <f>IFERROR(__xludf.DUMMYFUNCTION("""COMPUTED_VALUE"""),281.15)</f>
        <v/>
      </c>
      <c r="F222" s="141">
        <f>IFERROR(__xludf.DUMMYFUNCTION("""COMPUTED_VALUE"""),282.26)</f>
        <v/>
      </c>
      <c r="G222" s="143">
        <f>IFERROR(__xludf.DUMMYFUNCTION("""COMPUTED_VALUE"""),28350394)</f>
        <v/>
      </c>
      <c r="H222" s="27" t="n"/>
    </row>
    <row r="223" ht="17.25" customHeight="1" s="322">
      <c r="A223" s="27" t="n"/>
      <c r="B223" s="506">
        <f>IFERROR(__xludf.DUMMYFUNCTION("""COMPUTED_VALUE"""),46150.6666666666)</f>
        <v/>
      </c>
      <c r="C223" s="141">
        <f>IFERROR(__xludf.DUMMYFUNCTION("""COMPUTED_VALUE"""),284.04)</f>
        <v/>
      </c>
      <c r="D223" s="141">
        <f>IFERROR(__xludf.DUMMYFUNCTION("""COMPUTED_VALUE"""),284.97)</f>
        <v/>
      </c>
      <c r="E223" s="141">
        <f>IFERROR(__xludf.DUMMYFUNCTION("""COMPUTED_VALUE"""),282.61)</f>
        <v/>
      </c>
      <c r="F223" s="141">
        <f>IFERROR(__xludf.DUMMYFUNCTION("""COMPUTED_VALUE"""),284.17)</f>
        <v/>
      </c>
      <c r="G223" s="143">
        <f>IFERROR(__xludf.DUMMYFUNCTION("""COMPUTED_VALUE"""),22474309)</f>
        <v/>
      </c>
      <c r="H223" s="27" t="n"/>
    </row>
    <row r="224" ht="17.25" customHeight="1" s="322">
      <c r="A224" s="27" t="n"/>
      <c r="B224" s="506">
        <f>IFERROR(__xludf.DUMMYFUNCTION("""COMPUTED_VALUE"""),46153.6666666666)</f>
        <v/>
      </c>
      <c r="C224" s="141">
        <f>IFERROR(__xludf.DUMMYFUNCTION("""COMPUTED_VALUE"""),284.92)</f>
        <v/>
      </c>
      <c r="D224" s="141">
        <f>IFERROR(__xludf.DUMMYFUNCTION("""COMPUTED_VALUE"""),287.05)</f>
        <v/>
      </c>
      <c r="E224" s="141">
        <f>IFERROR(__xludf.DUMMYFUNCTION("""COMPUTED_VALUE"""),284.59)</f>
        <v/>
      </c>
      <c r="F224" s="141">
        <f>IFERROR(__xludf.DUMMYFUNCTION("""COMPUTED_VALUE"""),285.33)</f>
        <v/>
      </c>
      <c r="G224" s="143">
        <f>IFERROR(__xludf.DUMMYFUNCTION("""COMPUTED_VALUE"""),20150350)</f>
        <v/>
      </c>
      <c r="H224" s="27" t="n"/>
    </row>
    <row r="225" ht="17.25" customHeight="1" s="322">
      <c r="A225" s="27" t="n"/>
      <c r="B225" s="506">
        <f>IFERROR(__xludf.DUMMYFUNCTION("""COMPUTED_VALUE"""),46154.6666666666)</f>
        <v/>
      </c>
      <c r="C225" s="141">
        <f>IFERROR(__xludf.DUMMYFUNCTION("""COMPUTED_VALUE"""),284.04)</f>
        <v/>
      </c>
      <c r="D225" s="141">
        <f>IFERROR(__xludf.DUMMYFUNCTION("""COMPUTED_VALUE"""),284.06)</f>
        <v/>
      </c>
      <c r="E225" s="141">
        <f>IFERROR(__xludf.DUMMYFUNCTION("""COMPUTED_VALUE"""),278.28)</f>
        <v/>
      </c>
      <c r="F225" s="141">
        <f>IFERROR(__xludf.DUMMYFUNCTION("""COMPUTED_VALUE"""),282.57)</f>
        <v/>
      </c>
      <c r="G225" s="143">
        <f>IFERROR(__xludf.DUMMYFUNCTION("""COMPUTED_VALUE"""),27404639)</f>
        <v/>
      </c>
      <c r="H225" s="27" t="n"/>
    </row>
    <row r="226" ht="17.25" customHeight="1" s="322">
      <c r="A226" s="27" t="n"/>
      <c r="B226" s="506">
        <f>IFERROR(__xludf.DUMMYFUNCTION("""COMPUTED_VALUE"""),46155.6666666666)</f>
        <v/>
      </c>
      <c r="C226" s="141">
        <f>IFERROR(__xludf.DUMMYFUNCTION("""COMPUTED_VALUE"""),282.92)</f>
        <v/>
      </c>
      <c r="D226" s="141">
        <f>IFERROR(__xludf.DUMMYFUNCTION("""COMPUTED_VALUE"""),283.56)</f>
        <v/>
      </c>
      <c r="E226" s="141">
        <f>IFERROR(__xludf.DUMMYFUNCTION("""COMPUTED_VALUE"""),279.93)</f>
        <v/>
      </c>
      <c r="F226" s="141">
        <f>IFERROR(__xludf.DUMMYFUNCTION("""COMPUTED_VALUE"""),282.67)</f>
        <v/>
      </c>
      <c r="G226" s="143">
        <f>IFERROR(__xludf.DUMMYFUNCTION("""COMPUTED_VALUE"""),20742271)</f>
        <v/>
      </c>
      <c r="H226" s="27" t="n"/>
    </row>
    <row r="227" ht="17.25" customHeight="1" s="322">
      <c r="A227" s="27" t="n"/>
      <c r="B227" s="506">
        <f>IFERROR(__xludf.DUMMYFUNCTION("""COMPUTED_VALUE"""),46156.6666666666)</f>
        <v/>
      </c>
      <c r="C227" s="141">
        <f>IFERROR(__xludf.DUMMYFUNCTION("""COMPUTED_VALUE"""),283.84)</f>
        <v/>
      </c>
      <c r="D227" s="141">
        <f>IFERROR(__xludf.DUMMYFUNCTION("""COMPUTED_VALUE"""),285.65)</f>
        <v/>
      </c>
      <c r="E227" s="141">
        <f>IFERROR(__xludf.DUMMYFUNCTION("""COMPUTED_VALUE"""),281.96)</f>
        <v/>
      </c>
      <c r="F227" s="141">
        <f>IFERROR(__xludf.DUMMYFUNCTION("""COMPUTED_VALUE"""),284.45)</f>
        <v/>
      </c>
      <c r="G227" s="143">
        <f>IFERROR(__xludf.DUMMYFUNCTION("""COMPUTED_VALUE"""),17428746)</f>
        <v/>
      </c>
      <c r="H227" s="27" t="n"/>
    </row>
    <row r="228" ht="17.25" customHeight="1" s="322">
      <c r="A228" s="27" t="n"/>
      <c r="B228" s="506">
        <f>IFERROR(__xludf.DUMMYFUNCTION("""COMPUTED_VALUE"""),46157.6666666666)</f>
        <v/>
      </c>
      <c r="C228" s="141">
        <f>IFERROR(__xludf.DUMMYFUNCTION("""COMPUTED_VALUE"""),280.3)</f>
        <v/>
      </c>
      <c r="D228" s="141">
        <f>IFERROR(__xludf.DUMMYFUNCTION("""COMPUTED_VALUE"""),280.33)</f>
        <v/>
      </c>
      <c r="E228" s="141">
        <f>IFERROR(__xludf.DUMMYFUNCTION("""COMPUTED_VALUE"""),277.24)</f>
        <v/>
      </c>
      <c r="F228" s="141">
        <f>IFERROR(__xludf.DUMMYFUNCTION("""COMPUTED_VALUE"""),277.6)</f>
        <v/>
      </c>
      <c r="G228" s="143">
        <f>IFERROR(__xludf.DUMMYFUNCTION("""COMPUTED_VALUE"""),35407976)</f>
        <v/>
      </c>
      <c r="H228" s="27" t="n"/>
    </row>
    <row r="229" ht="17.25" customHeight="1" s="322">
      <c r="A229" s="27" t="n"/>
      <c r="B229" s="506">
        <f>IFERROR(__xludf.DUMMYFUNCTION("""COMPUTED_VALUE"""),46160.6666666666)</f>
        <v/>
      </c>
      <c r="C229" s="141">
        <f>IFERROR(__xludf.DUMMYFUNCTION("""COMPUTED_VALUE"""),278.74)</f>
        <v/>
      </c>
      <c r="D229" s="141">
        <f>IFERROR(__xludf.DUMMYFUNCTION("""COMPUTED_VALUE"""),279.08)</f>
        <v/>
      </c>
      <c r="E229" s="141">
        <f>IFERROR(__xludf.DUMMYFUNCTION("""COMPUTED_VALUE"""),273.94)</f>
        <v/>
      </c>
      <c r="F229" s="141">
        <f>IFERROR(__xludf.DUMMYFUNCTION("""COMPUTED_VALUE"""),275.97)</f>
        <v/>
      </c>
      <c r="G229" s="143">
        <f>IFERROR(__xludf.DUMMYFUNCTION("""COMPUTED_VALUE"""),27243341)</f>
        <v/>
      </c>
      <c r="H229" s="27" t="n"/>
    </row>
    <row r="230" ht="17.25" customHeight="1" s="322">
      <c r="A230" s="27" t="n"/>
      <c r="B230" s="506">
        <f>IFERROR(__xludf.DUMMYFUNCTION("""COMPUTED_VALUE"""),46161.6666666666)</f>
        <v/>
      </c>
      <c r="C230" s="141">
        <f>IFERROR(__xludf.DUMMYFUNCTION("""COMPUTED_VALUE"""),273.81)</f>
        <v/>
      </c>
      <c r="D230" s="141">
        <f>IFERROR(__xludf.DUMMYFUNCTION("""COMPUTED_VALUE"""),275.08)</f>
        <v/>
      </c>
      <c r="E230" s="141">
        <f>IFERROR(__xludf.DUMMYFUNCTION("""COMPUTED_VALUE"""),270.63)</f>
        <v/>
      </c>
      <c r="F230" s="141">
        <f>IFERROR(__xludf.DUMMYFUNCTION("""COMPUTED_VALUE"""),273)</f>
        <v/>
      </c>
      <c r="G230" s="143">
        <f>IFERROR(__xludf.DUMMYFUNCTION("""COMPUTED_VALUE"""),30276940)</f>
        <v/>
      </c>
      <c r="H230" s="27" t="n"/>
    </row>
    <row r="231" ht="17.25" customHeight="1" s="322">
      <c r="A231" s="27" t="n"/>
      <c r="B231" s="506">
        <f>IFERROR(__xludf.DUMMYFUNCTION("""COMPUTED_VALUE"""),46162.6666666666)</f>
        <v/>
      </c>
      <c r="C231" s="141">
        <f>IFERROR(__xludf.DUMMYFUNCTION("""COMPUTED_VALUE"""),274.91)</f>
        <v/>
      </c>
      <c r="D231" s="141">
        <f>IFERROR(__xludf.DUMMYFUNCTION("""COMPUTED_VALUE"""),280.09)</f>
        <v/>
      </c>
      <c r="E231" s="141">
        <f>IFERROR(__xludf.DUMMYFUNCTION("""COMPUTED_VALUE"""),273.41)</f>
        <v/>
      </c>
      <c r="F231" s="141">
        <f>IFERROR(__xludf.DUMMYFUNCTION("""COMPUTED_VALUE"""),279.87)</f>
        <v/>
      </c>
      <c r="G231" s="143">
        <f>IFERROR(__xludf.DUMMYFUNCTION("""COMPUTED_VALUE"""),31562007)</f>
        <v/>
      </c>
      <c r="H231" s="27" t="n"/>
    </row>
    <row r="232" ht="17.25" customHeight="1" s="322">
      <c r="A232" s="27" t="n"/>
      <c r="B232" s="506">
        <f>IFERROR(__xludf.DUMMYFUNCTION("""COMPUTED_VALUE"""),46163.6666666666)</f>
        <v/>
      </c>
      <c r="C232" s="141">
        <f>IFERROR(__xludf.DUMMYFUNCTION("""COMPUTED_VALUE"""),278.66)</f>
        <v/>
      </c>
      <c r="D232" s="141">
        <f>IFERROR(__xludf.DUMMYFUNCTION("""COMPUTED_VALUE"""),283.68)</f>
        <v/>
      </c>
      <c r="E232" s="141">
        <f>IFERROR(__xludf.DUMMYFUNCTION("""COMPUTED_VALUE"""),277.15)</f>
        <v/>
      </c>
      <c r="F232" s="141">
        <f>IFERROR(__xludf.DUMMYFUNCTION("""COMPUTED_VALUE"""),282.49)</f>
        <v/>
      </c>
      <c r="G232" s="143">
        <f>IFERROR(__xludf.DUMMYFUNCTION("""COMPUTED_VALUE"""),31680476)</f>
        <v/>
      </c>
      <c r="H232" s="27" t="n"/>
    </row>
    <row r="233" ht="17.25" customHeight="1" s="322">
      <c r="A233" s="27" t="n"/>
      <c r="B233" s="506">
        <f>IFERROR(__xludf.DUMMYFUNCTION("""COMPUTED_VALUE"""),46164.6666666666)</f>
        <v/>
      </c>
      <c r="C233" s="141">
        <f>IFERROR(__xludf.DUMMYFUNCTION("""COMPUTED_VALUE"""),284.1)</f>
        <v/>
      </c>
      <c r="D233" s="141">
        <f>IFERROR(__xludf.DUMMYFUNCTION("""COMPUTED_VALUE"""),286.61)</f>
        <v/>
      </c>
      <c r="E233" s="141">
        <f>IFERROR(__xludf.DUMMYFUNCTION("""COMPUTED_VALUE"""),283.67)</f>
        <v/>
      </c>
      <c r="F233" s="141">
        <f>IFERROR(__xludf.DUMMYFUNCTION("""COMPUTED_VALUE"""),285.12)</f>
        <v/>
      </c>
      <c r="G233" s="143">
        <f>IFERROR(__xludf.DUMMYFUNCTION("""COMPUTED_VALUE"""),23849297)</f>
        <v/>
      </c>
      <c r="H233" s="27" t="n"/>
    </row>
    <row r="234" ht="17.25" customHeight="1" s="322">
      <c r="A234" s="27" t="n"/>
      <c r="B234" s="506">
        <f>IFERROR(__xludf.DUMMYFUNCTION("""COMPUTED_VALUE"""),46168.6666666666)</f>
        <v/>
      </c>
      <c r="C234" s="141">
        <f>IFERROR(__xludf.DUMMYFUNCTION("""COMPUTED_VALUE"""),288.39)</f>
        <v/>
      </c>
      <c r="D234" s="141">
        <f>IFERROR(__xludf.DUMMYFUNCTION("""COMPUTED_VALUE"""),290.55)</f>
        <v/>
      </c>
      <c r="E234" s="141">
        <f>IFERROR(__xludf.DUMMYFUNCTION("""COMPUTED_VALUE"""),287.74)</f>
        <v/>
      </c>
      <c r="F234" s="141">
        <f>IFERROR(__xludf.DUMMYFUNCTION("""COMPUTED_VALUE"""),290.51)</f>
        <v/>
      </c>
      <c r="G234" s="143">
        <f>IFERROR(__xludf.DUMMYFUNCTION("""COMPUTED_VALUE"""),24506453)</f>
        <v/>
      </c>
      <c r="H234" s="27" t="n"/>
    </row>
    <row r="235" ht="17.25" customHeight="1" s="322">
      <c r="A235" s="27" t="n"/>
      <c r="B235" s="506">
        <f>IFERROR(__xludf.DUMMYFUNCTION("""COMPUTED_VALUE"""),46169.6666666666)</f>
        <v/>
      </c>
      <c r="C235" s="141">
        <f>IFERROR(__xludf.DUMMYFUNCTION("""COMPUTED_VALUE"""),291.16)</f>
        <v/>
      </c>
      <c r="D235" s="141">
        <f>IFERROR(__xludf.DUMMYFUNCTION("""COMPUTED_VALUE"""),291.72)</f>
        <v/>
      </c>
      <c r="E235" s="141">
        <f>IFERROR(__xludf.DUMMYFUNCTION("""COMPUTED_VALUE"""),289.31)</f>
        <v/>
      </c>
      <c r="F235" s="141">
        <f>IFERROR(__xludf.DUMMYFUNCTION("""COMPUTED_VALUE"""),290.37)</f>
        <v/>
      </c>
      <c r="G235" s="143">
        <f>IFERROR(__xludf.DUMMYFUNCTION("""COMPUTED_VALUE"""),24519854)</f>
        <v/>
      </c>
      <c r="H235" s="27" t="n"/>
    </row>
    <row r="236" ht="17.25" customHeight="1" s="322">
      <c r="A236" s="27" t="n"/>
      <c r="B236" s="506">
        <f>IFERROR(__xludf.DUMMYFUNCTION("""COMPUTED_VALUE"""),46170.6666666666)</f>
        <v/>
      </c>
      <c r="C236" s="141">
        <f>IFERROR(__xludf.DUMMYFUNCTION("""COMPUTED_VALUE"""),289.64)</f>
        <v/>
      </c>
      <c r="D236" s="141">
        <f>IFERROR(__xludf.DUMMYFUNCTION("""COMPUTED_VALUE"""),292.74)</f>
        <v/>
      </c>
      <c r="E236" s="141">
        <f>IFERROR(__xludf.DUMMYFUNCTION("""COMPUTED_VALUE"""),287.98)</f>
        <v/>
      </c>
      <c r="F236" s="141">
        <f>IFERROR(__xludf.DUMMYFUNCTION("""COMPUTED_VALUE"""),292.03)</f>
        <v/>
      </c>
      <c r="G236" s="143">
        <f>IFERROR(__xludf.DUMMYFUNCTION("""COMPUTED_VALUE"""),23710563)</f>
        <v/>
      </c>
      <c r="H236" s="27" t="n"/>
    </row>
    <row r="237" ht="17.25" customHeight="1" s="322">
      <c r="A237" s="27" t="n"/>
      <c r="B237" s="506">
        <f>IFERROR(__xludf.DUMMYFUNCTION("""COMPUTED_VALUE"""),46171.6666666666)</f>
        <v/>
      </c>
      <c r="C237" s="141">
        <f>IFERROR(__xludf.DUMMYFUNCTION("""COMPUTED_VALUE"""),291.38)</f>
        <v/>
      </c>
      <c r="D237" s="141">
        <f>IFERROR(__xludf.DUMMYFUNCTION("""COMPUTED_VALUE"""),291.41)</f>
        <v/>
      </c>
      <c r="E237" s="141">
        <f>IFERROR(__xludf.DUMMYFUNCTION("""COMPUTED_VALUE"""),288.33)</f>
        <v/>
      </c>
      <c r="F237" s="141">
        <f>IFERROR(__xludf.DUMMYFUNCTION("""COMPUTED_VALUE"""),290.43)</f>
        <v/>
      </c>
      <c r="G237" s="143">
        <f>IFERROR(__xludf.DUMMYFUNCTION("""COMPUTED_VALUE"""),26961015)</f>
        <v/>
      </c>
      <c r="H237" s="27" t="n"/>
    </row>
    <row r="238" ht="17.25" customHeight="1" s="322">
      <c r="A238" s="27" t="n"/>
      <c r="B238" s="506">
        <f>IFERROR(__xludf.DUMMYFUNCTION("""COMPUTED_VALUE"""),46174.6666666666)</f>
        <v/>
      </c>
      <c r="C238" s="141">
        <f>IFERROR(__xludf.DUMMYFUNCTION("""COMPUTED_VALUE"""),288.37)</f>
        <v/>
      </c>
      <c r="D238" s="141">
        <f>IFERROR(__xludf.DUMMYFUNCTION("""COMPUTED_VALUE"""),290.61)</f>
        <v/>
      </c>
      <c r="E238" s="141">
        <f>IFERROR(__xludf.DUMMYFUNCTION("""COMPUTED_VALUE"""),286.27)</f>
        <v/>
      </c>
      <c r="F238" s="141">
        <f>IFERROR(__xludf.DUMMYFUNCTION("""COMPUTED_VALUE"""),288.98)</f>
        <v/>
      </c>
      <c r="G238" s="143">
        <f>IFERROR(__xludf.DUMMYFUNCTION("""COMPUTED_VALUE"""),23826067)</f>
        <v/>
      </c>
      <c r="H238" s="27" t="n"/>
    </row>
    <row r="239" ht="17.25" customHeight="1" s="322">
      <c r="A239" s="27" t="n"/>
      <c r="B239" s="506">
        <f>IFERROR(__xludf.DUMMYFUNCTION("""COMPUTED_VALUE"""),46175.6666666666)</f>
        <v/>
      </c>
      <c r="C239" s="141">
        <f>IFERROR(__xludf.DUMMYFUNCTION("""COMPUTED_VALUE"""),288.46)</f>
        <v/>
      </c>
      <c r="D239" s="141">
        <f>IFERROR(__xludf.DUMMYFUNCTION("""COMPUTED_VALUE"""),291.87)</f>
        <v/>
      </c>
      <c r="E239" s="141">
        <f>IFERROR(__xludf.DUMMYFUNCTION("""COMPUTED_VALUE"""),288.4)</f>
        <v/>
      </c>
      <c r="F239" s="141">
        <f>IFERROR(__xludf.DUMMYFUNCTION("""COMPUTED_VALUE"""),291.66)</f>
        <v/>
      </c>
      <c r="G239" s="143">
        <f>IFERROR(__xludf.DUMMYFUNCTION("""COMPUTED_VALUE"""),18378830)</f>
        <v/>
      </c>
      <c r="H239" s="27" t="n"/>
    </row>
    <row r="240" ht="17.25" customHeight="1" s="322">
      <c r="A240" s="27" t="n"/>
      <c r="B240" s="506">
        <f>IFERROR(__xludf.DUMMYFUNCTION("""COMPUTED_VALUE"""),46176.6666666666)</f>
        <v/>
      </c>
      <c r="C240" s="141">
        <f>IFERROR(__xludf.DUMMYFUNCTION("""COMPUTED_VALUE"""),289.99)</f>
        <v/>
      </c>
      <c r="D240" s="141">
        <f>IFERROR(__xludf.DUMMYFUNCTION("""COMPUTED_VALUE"""),290.01)</f>
        <v/>
      </c>
      <c r="E240" s="141">
        <f>IFERROR(__xludf.DUMMYFUNCTION("""COMPUTED_VALUE"""),286.78)</f>
        <v/>
      </c>
      <c r="F240" s="141">
        <f>IFERROR(__xludf.DUMMYFUNCTION("""COMPUTED_VALUE"""),287.67)</f>
        <v/>
      </c>
      <c r="G240" s="143">
        <f>IFERROR(__xludf.DUMMYFUNCTION("""COMPUTED_VALUE"""),29167270)</f>
        <v/>
      </c>
      <c r="H240" s="27" t="n"/>
    </row>
    <row r="241" ht="17.25" customHeight="1" s="322">
      <c r="A241" s="27" t="n"/>
      <c r="B241" s="506">
        <f>IFERROR(__xludf.DUMMYFUNCTION("""COMPUTED_VALUE"""),46177.6666666666)</f>
        <v/>
      </c>
      <c r="C241" s="141">
        <f>IFERROR(__xludf.DUMMYFUNCTION("""COMPUTED_VALUE"""),287.56)</f>
        <v/>
      </c>
      <c r="D241" s="141">
        <f>IFERROR(__xludf.DUMMYFUNCTION("""COMPUTED_VALUE"""),292.88)</f>
        <v/>
      </c>
      <c r="E241" s="141">
        <f>IFERROR(__xludf.DUMMYFUNCTION("""COMPUTED_VALUE"""),286.66)</f>
        <v/>
      </c>
      <c r="F241" s="141">
        <f>IFERROR(__xludf.DUMMYFUNCTION("""COMPUTED_VALUE"""),292.01)</f>
        <v/>
      </c>
      <c r="G241" s="143">
        <f>IFERROR(__xludf.DUMMYFUNCTION("""COMPUTED_VALUE"""),24307765)</f>
        <v/>
      </c>
      <c r="H241" s="27" t="n"/>
    </row>
    <row r="242" ht="17.25" customHeight="1" s="322">
      <c r="A242" s="27" t="n"/>
      <c r="B242" s="506">
        <f>IFERROR(__xludf.DUMMYFUNCTION("""COMPUTED_VALUE"""),46178.6666666666)</f>
        <v/>
      </c>
      <c r="C242" s="141">
        <f>IFERROR(__xludf.DUMMYFUNCTION("""COMPUTED_VALUE"""),289.1)</f>
        <v/>
      </c>
      <c r="D242" s="141">
        <f>IFERROR(__xludf.DUMMYFUNCTION("""COMPUTED_VALUE"""),289.4)</f>
        <v/>
      </c>
      <c r="E242" s="141">
        <f>IFERROR(__xludf.DUMMYFUNCTION("""COMPUTED_VALUE"""),280.15)</f>
        <v/>
      </c>
      <c r="F242" s="141">
        <f>IFERROR(__xludf.DUMMYFUNCTION("""COMPUTED_VALUE"""),281.65)</f>
        <v/>
      </c>
      <c r="G242" s="143">
        <f>IFERROR(__xludf.DUMMYFUNCTION("""COMPUTED_VALUE"""),35812836)</f>
        <v/>
      </c>
      <c r="H242" s="27" t="n"/>
    </row>
    <row r="243" ht="17.25" customHeight="1" s="322">
      <c r="A243" s="27" t="n"/>
      <c r="B243" s="506">
        <f>IFERROR(__xludf.DUMMYFUNCTION("""COMPUTED_VALUE"""),46181.6666666666)</f>
        <v/>
      </c>
      <c r="C243" s="141">
        <f>IFERROR(__xludf.DUMMYFUNCTION("""COMPUTED_VALUE"""),285.51)</f>
        <v/>
      </c>
      <c r="D243" s="141">
        <f>IFERROR(__xludf.DUMMYFUNCTION("""COMPUTED_VALUE"""),286.84)</f>
        <v/>
      </c>
      <c r="E243" s="141">
        <f>IFERROR(__xludf.DUMMYFUNCTION("""COMPUTED_VALUE"""),283.58)</f>
        <v/>
      </c>
      <c r="F243" s="141">
        <f>IFERROR(__xludf.DUMMYFUNCTION("""COMPUTED_VALUE"""),284.11)</f>
        <v/>
      </c>
      <c r="G243" s="143">
        <f>IFERROR(__xludf.DUMMYFUNCTION("""COMPUTED_VALUE"""),27277380)</f>
        <v/>
      </c>
      <c r="H243" s="27" t="n"/>
    </row>
    <row r="244" ht="17.25" customHeight="1" s="322">
      <c r="A244" s="27" t="n"/>
      <c r="B244" s="506">
        <f>IFERROR(__xludf.DUMMYFUNCTION("""COMPUTED_VALUE"""),46182.6666666666)</f>
        <v/>
      </c>
      <c r="C244" s="141">
        <f>IFERROR(__xludf.DUMMYFUNCTION("""COMPUTED_VALUE"""),287.18)</f>
        <v/>
      </c>
      <c r="D244" s="141">
        <f>IFERROR(__xludf.DUMMYFUNCTION("""COMPUTED_VALUE"""),290.87)</f>
        <v/>
      </c>
      <c r="E244" s="141">
        <f>IFERROR(__xludf.DUMMYFUNCTION("""COMPUTED_VALUE"""),277.62)</f>
        <v/>
      </c>
      <c r="F244" s="141">
        <f>IFERROR(__xludf.DUMMYFUNCTION("""COMPUTED_VALUE"""),285.02)</f>
        <v/>
      </c>
      <c r="G244" s="143">
        <f>IFERROR(__xludf.DUMMYFUNCTION("""COMPUTED_VALUE"""),41761261)</f>
        <v/>
      </c>
      <c r="H244" s="27" t="n"/>
    </row>
    <row r="245" ht="17.25" customHeight="1" s="322">
      <c r="A245" s="27" t="n"/>
      <c r="B245" s="506">
        <f>IFERROR(__xludf.DUMMYFUNCTION("""COMPUTED_VALUE"""),46183.6666666666)</f>
        <v/>
      </c>
      <c r="C245" s="141">
        <f>IFERROR(__xludf.DUMMYFUNCTION("""COMPUTED_VALUE"""),284.59)</f>
        <v/>
      </c>
      <c r="D245" s="141">
        <f>IFERROR(__xludf.DUMMYFUNCTION("""COMPUTED_VALUE"""),289)</f>
        <v/>
      </c>
      <c r="E245" s="141">
        <f>IFERROR(__xludf.DUMMYFUNCTION("""COMPUTED_VALUE"""),281.76)</f>
        <v/>
      </c>
      <c r="F245" s="141">
        <f>IFERROR(__xludf.DUMMYFUNCTION("""COMPUTED_VALUE"""),282.05)</f>
        <v/>
      </c>
      <c r="G245" s="143">
        <f>IFERROR(__xludf.DUMMYFUNCTION("""COMPUTED_VALUE"""),39285002)</f>
        <v/>
      </c>
      <c r="H245" s="27" t="n"/>
    </row>
    <row r="246" ht="17.25" customHeight="1" s="322">
      <c r="A246" s="27" t="n"/>
      <c r="B246" s="506">
        <f>IFERROR(__xludf.DUMMYFUNCTION("""COMPUTED_VALUE"""),46184.6666666666)</f>
        <v/>
      </c>
      <c r="C246" s="141">
        <f>IFERROR(__xludf.DUMMYFUNCTION("""COMPUTED_VALUE"""),284.44)</f>
        <v/>
      </c>
      <c r="D246" s="141">
        <f>IFERROR(__xludf.DUMMYFUNCTION("""COMPUTED_VALUE"""),291.06)</f>
        <v/>
      </c>
      <c r="E246" s="141">
        <f>IFERROR(__xludf.DUMMYFUNCTION("""COMPUTED_VALUE"""),284.07)</f>
        <v/>
      </c>
      <c r="F246" s="141">
        <f>IFERROR(__xludf.DUMMYFUNCTION("""COMPUTED_VALUE"""),290.41)</f>
        <v/>
      </c>
      <c r="G246" s="143">
        <f>IFERROR(__xludf.DUMMYFUNCTION("""COMPUTED_VALUE"""),41468783)</f>
        <v/>
      </c>
      <c r="H246" s="27" t="n"/>
    </row>
    <row r="247" ht="17.25" customHeight="1" s="322">
      <c r="A247" s="27" t="n"/>
      <c r="B247" s="506">
        <f>IFERROR(__xludf.DUMMYFUNCTION("""COMPUTED_VALUE"""),46185.6666666666)</f>
        <v/>
      </c>
      <c r="C247" s="141">
        <f>IFERROR(__xludf.DUMMYFUNCTION("""COMPUTED_VALUE"""),291.63)</f>
        <v/>
      </c>
      <c r="D247" s="141">
        <f>IFERROR(__xludf.DUMMYFUNCTION("""COMPUTED_VALUE"""),295.72)</f>
        <v/>
      </c>
      <c r="E247" s="141">
        <f>IFERROR(__xludf.DUMMYFUNCTION("""COMPUTED_VALUE"""),290.31)</f>
        <v/>
      </c>
      <c r="F247" s="141">
        <f>IFERROR(__xludf.DUMMYFUNCTION("""COMPUTED_VALUE"""),292.95)</f>
        <v/>
      </c>
      <c r="G247" s="143">
        <f>IFERROR(__xludf.DUMMYFUNCTION("""COMPUTED_VALUE"""),34415247)</f>
        <v/>
      </c>
      <c r="H247" s="27" t="n"/>
    </row>
    <row r="248" ht="17.25" customHeight="1" s="322">
      <c r="A248" s="27" t="n"/>
      <c r="B248" s="506">
        <f>IFERROR(__xludf.DUMMYFUNCTION("""COMPUTED_VALUE"""),46188.6666666666)</f>
        <v/>
      </c>
      <c r="C248" s="141">
        <f>IFERROR(__xludf.DUMMYFUNCTION("""COMPUTED_VALUE"""),296.56)</f>
        <v/>
      </c>
      <c r="D248" s="141">
        <f>IFERROR(__xludf.DUMMYFUNCTION("""COMPUTED_VALUE"""),297.91)</f>
        <v/>
      </c>
      <c r="E248" s="141">
        <f>IFERROR(__xludf.DUMMYFUNCTION("""COMPUTED_VALUE"""),293.92)</f>
        <v/>
      </c>
      <c r="F248" s="141">
        <f>IFERROR(__xludf.DUMMYFUNCTION("""COMPUTED_VALUE"""),294.64)</f>
        <v/>
      </c>
      <c r="G248" s="143">
        <f>IFERROR(__xludf.DUMMYFUNCTION("""COMPUTED_VALUE"""),23888988)</f>
        <v/>
      </c>
      <c r="H248" s="27" t="n"/>
    </row>
    <row r="249" ht="17.25" customHeight="1" s="322">
      <c r="A249" s="27" t="n"/>
      <c r="B249" s="506">
        <f>IFERROR(__xludf.DUMMYFUNCTION("""COMPUTED_VALUE"""),46189.6666666666)</f>
        <v/>
      </c>
      <c r="C249" s="141">
        <f>IFERROR(__xludf.DUMMYFUNCTION("""COMPUTED_VALUE"""),295.5)</f>
        <v/>
      </c>
      <c r="D249" s="141">
        <f>IFERROR(__xludf.DUMMYFUNCTION("""COMPUTED_VALUE"""),296.8)</f>
        <v/>
      </c>
      <c r="E249" s="141">
        <f>IFERROR(__xludf.DUMMYFUNCTION("""COMPUTED_VALUE"""),291.58)</f>
        <v/>
      </c>
      <c r="F249" s="141">
        <f>IFERROR(__xludf.DUMMYFUNCTION("""COMPUTED_VALUE"""),292.08)</f>
        <v/>
      </c>
      <c r="G249" s="143">
        <f>IFERROR(__xludf.DUMMYFUNCTION("""COMPUTED_VALUE"""),23807721)</f>
        <v/>
      </c>
      <c r="H249" s="27" t="n"/>
    </row>
    <row r="250" ht="17.25" customHeight="1" s="322">
      <c r="A250" s="27" t="n"/>
      <c r="B250" s="506">
        <f>IFERROR(__xludf.DUMMYFUNCTION("""COMPUTED_VALUE"""),46190.6666666666)</f>
        <v/>
      </c>
      <c r="C250" s="141">
        <f>IFERROR(__xludf.DUMMYFUNCTION("""COMPUTED_VALUE"""),292.47)</f>
        <v/>
      </c>
      <c r="D250" s="141">
        <f>IFERROR(__xludf.DUMMYFUNCTION("""COMPUTED_VALUE"""),295.82)</f>
        <v/>
      </c>
      <c r="E250" s="141">
        <f>IFERROR(__xludf.DUMMYFUNCTION("""COMPUTED_VALUE"""),288.93)</f>
        <v/>
      </c>
      <c r="F250" s="141">
        <f>IFERROR(__xludf.DUMMYFUNCTION("""COMPUTED_VALUE"""),289.88)</f>
        <v/>
      </c>
      <c r="G250" s="143">
        <f>IFERROR(__xludf.DUMMYFUNCTION("""COMPUTED_VALUE"""),39920146)</f>
        <v/>
      </c>
      <c r="H250" s="27" t="n"/>
    </row>
    <row r="251" ht="17.25" customHeight="1" s="322">
      <c r="A251" s="27" t="n"/>
      <c r="B251" s="506">
        <f>IFERROR(__xludf.DUMMYFUNCTION("""COMPUTED_VALUE"""),46191.6666666666)</f>
        <v/>
      </c>
      <c r="C251" s="141">
        <f>IFERROR(__xludf.DUMMYFUNCTION("""COMPUTED_VALUE"""),294.55)</f>
        <v/>
      </c>
      <c r="D251" s="141">
        <f>IFERROR(__xludf.DUMMYFUNCTION("""COMPUTED_VALUE"""),295.97)</f>
        <v/>
      </c>
      <c r="E251" s="141">
        <f>IFERROR(__xludf.DUMMYFUNCTION("""COMPUTED_VALUE"""),291.42)</f>
        <v/>
      </c>
      <c r="F251" s="141">
        <f>IFERROR(__xludf.DUMMYFUNCTION("""COMPUTED_VALUE"""),295.59)</f>
        <v/>
      </c>
      <c r="G251" s="143">
        <f>IFERROR(__xludf.DUMMYFUNCTION("""COMPUTED_VALUE"""),32463156)</f>
        <v/>
      </c>
      <c r="H251" s="27" t="n"/>
    </row>
    <row r="252" ht="17.25" customHeight="1" s="322">
      <c r="A252" s="27" t="n"/>
      <c r="B252" s="506">
        <f>IFERROR(__xludf.DUMMYFUNCTION("""COMPUTED_VALUE"""),46195.6666666666)</f>
        <v/>
      </c>
      <c r="C252" s="141">
        <f>IFERROR(__xludf.DUMMYFUNCTION("""COMPUTED_VALUE"""),297.13)</f>
        <v/>
      </c>
      <c r="D252" s="141">
        <f>IFERROR(__xludf.DUMMYFUNCTION("""COMPUTED_VALUE"""),299.49)</f>
        <v/>
      </c>
      <c r="E252" s="141">
        <f>IFERROR(__xludf.DUMMYFUNCTION("""COMPUTED_VALUE"""),296.16)</f>
        <v/>
      </c>
      <c r="F252" s="141">
        <f>IFERROR(__xludf.DUMMYFUNCTION("""COMPUTED_VALUE"""),298.18)</f>
        <v/>
      </c>
      <c r="G252" s="143">
        <f>IFERROR(__xludf.DUMMYFUNCTION("""COMPUTED_VALUE"""),22796224)</f>
        <v/>
      </c>
      <c r="H252" s="27" t="n"/>
    </row>
    <row r="253" ht="17.25" customHeight="1" s="322">
      <c r="A253" s="27" t="n"/>
      <c r="B253" s="506">
        <f>IFERROR(__xludf.DUMMYFUNCTION("""COMPUTED_VALUE"""),46196.6666666666)</f>
        <v/>
      </c>
      <c r="C253" s="141">
        <f>IFERROR(__xludf.DUMMYFUNCTION("""COMPUTED_VALUE"""),293.26)</f>
        <v/>
      </c>
      <c r="D253" s="141">
        <f>IFERROR(__xludf.DUMMYFUNCTION("""COMPUTED_VALUE"""),297.75)</f>
        <v/>
      </c>
      <c r="E253" s="141">
        <f>IFERROR(__xludf.DUMMYFUNCTION("""COMPUTED_VALUE"""),292.4)</f>
        <v/>
      </c>
      <c r="F253" s="141">
        <f>IFERROR(__xludf.DUMMYFUNCTION("""COMPUTED_VALUE"""),295.32)</f>
        <v/>
      </c>
      <c r="G253" s="143">
        <f>IFERROR(__xludf.DUMMYFUNCTION("""COMPUTED_VALUE"""),26821709)</f>
        <v/>
      </c>
      <c r="H253" s="27" t="n"/>
    </row>
    <row r="254" ht="17.25" customHeight="1" s="322">
      <c r="A254" s="27" t="n"/>
      <c r="B254" s="506">
        <f>IFERROR(__xludf.DUMMYFUNCTION("""COMPUTED_VALUE"""),46197.6666666666)</f>
        <v/>
      </c>
      <c r="C254" s="141">
        <f>IFERROR(__xludf.DUMMYFUNCTION("""COMPUTED_VALUE"""),295.88)</f>
        <v/>
      </c>
      <c r="D254" s="141">
        <f>IFERROR(__xludf.DUMMYFUNCTION("""COMPUTED_VALUE"""),299.69)</f>
        <v/>
      </c>
      <c r="E254" s="141">
        <f>IFERROR(__xludf.DUMMYFUNCTION("""COMPUTED_VALUE"""),294.69)</f>
        <v/>
      </c>
      <c r="F254" s="141">
        <f>IFERROR(__xludf.DUMMYFUNCTION("""COMPUTED_VALUE"""),296.69)</f>
        <v/>
      </c>
      <c r="G254" s="143">
        <f>IFERROR(__xludf.DUMMYFUNCTION("""COMPUTED_VALUE"""),28664854)</f>
        <v/>
      </c>
      <c r="H254" s="27" t="n"/>
    </row>
    <row r="255" ht="17.25" customHeight="1" s="322">
      <c r="A255" s="27" t="n"/>
      <c r="B255" s="506">
        <f>IFERROR(__xludf.DUMMYFUNCTION("""COMPUTED_VALUE"""),46198.6666666666)</f>
        <v/>
      </c>
      <c r="C255" s="141">
        <f>IFERROR(__xludf.DUMMYFUNCTION("""COMPUTED_VALUE"""),299.52)</f>
        <v/>
      </c>
      <c r="D255" s="141">
        <f>IFERROR(__xludf.DUMMYFUNCTION("""COMPUTED_VALUE"""),301.5)</f>
        <v/>
      </c>
      <c r="E255" s="141">
        <f>IFERROR(__xludf.DUMMYFUNCTION("""COMPUTED_VALUE"""),296.73)</f>
        <v/>
      </c>
      <c r="F255" s="141">
        <f>IFERROR(__xludf.DUMMYFUNCTION("""COMPUTED_VALUE"""),298.91)</f>
        <v/>
      </c>
      <c r="G255" s="143">
        <f>IFERROR(__xludf.DUMMYFUNCTION("""COMPUTED_VALUE"""),27666110)</f>
        <v/>
      </c>
      <c r="H255" s="27" t="n"/>
    </row>
    <row r="256" ht="17.25" customHeight="1" s="322">
      <c r="A256" s="27" t="n"/>
      <c r="B256" s="506">
        <f>IFERROR(__xludf.DUMMYFUNCTION("""COMPUTED_VALUE"""),46199.6666666666)</f>
        <v/>
      </c>
      <c r="C256" s="141">
        <f>IFERROR(__xludf.DUMMYFUNCTION("""COMPUTED_VALUE"""),296.6)</f>
        <v/>
      </c>
      <c r="D256" s="141">
        <f>IFERROR(__xludf.DUMMYFUNCTION("""COMPUTED_VALUE"""),300.03)</f>
        <v/>
      </c>
      <c r="E256" s="141">
        <f>IFERROR(__xludf.DUMMYFUNCTION("""COMPUTED_VALUE"""),295.73)</f>
        <v/>
      </c>
      <c r="F256" s="141">
        <f>IFERROR(__xludf.DUMMYFUNCTION("""COMPUTED_VALUE"""),299.83)</f>
        <v/>
      </c>
      <c r="G256" s="143">
        <f>IFERROR(__xludf.DUMMYFUNCTION("""COMPUTED_VALUE"""),39832521)</f>
        <v/>
      </c>
      <c r="H256" s="27" t="n"/>
    </row>
    <row r="257" ht="17.25" customHeight="1" s="322">
      <c r="A257" s="27" t="n"/>
      <c r="B257" s="506">
        <f>IFERROR(__xludf.DUMMYFUNCTION("""COMPUTED_VALUE"""),46202.6666666666)</f>
        <v/>
      </c>
      <c r="C257" s="141">
        <f>IFERROR(__xludf.DUMMYFUNCTION("""COMPUTED_VALUE"""),298.11)</f>
        <v/>
      </c>
      <c r="D257" s="141">
        <f>IFERROR(__xludf.DUMMYFUNCTION("""COMPUTED_VALUE"""),299.16)</f>
        <v/>
      </c>
      <c r="E257" s="141">
        <f>IFERROR(__xludf.DUMMYFUNCTION("""COMPUTED_VALUE"""),294.68)</f>
        <v/>
      </c>
      <c r="F257" s="141">
        <f>IFERROR(__xludf.DUMMYFUNCTION("""COMPUTED_VALUE"""),298.97)</f>
        <v/>
      </c>
      <c r="G257" s="143">
        <f>IFERROR(__xludf.DUMMYFUNCTION("""COMPUTED_VALUE"""),24834054)</f>
        <v/>
      </c>
      <c r="H257" s="27" t="n"/>
    </row>
    <row r="258" ht="17.25" customHeight="1" s="322">
      <c r="A258" s="27" t="n"/>
      <c r="B258" s="506">
        <f>IFERROR(__xludf.DUMMYFUNCTION("""COMPUTED_VALUE"""),46203.6666666666)</f>
        <v/>
      </c>
      <c r="C258" s="141">
        <f>IFERROR(__xludf.DUMMYFUNCTION("""COMPUTED_VALUE"""),298.56)</f>
        <v/>
      </c>
      <c r="D258" s="141">
        <f>IFERROR(__xludf.DUMMYFUNCTION("""COMPUTED_VALUE"""),300.98)</f>
        <v/>
      </c>
      <c r="E258" s="141">
        <f>IFERROR(__xludf.DUMMYFUNCTION("""COMPUTED_VALUE"""),297.44)</f>
        <v/>
      </c>
      <c r="F258" s="141">
        <f>IFERROR(__xludf.DUMMYFUNCTION("""COMPUTED_VALUE"""),300.45)</f>
        <v/>
      </c>
      <c r="G258" s="143">
        <f>IFERROR(__xludf.DUMMYFUNCTION("""COMPUTED_VALUE"""),23230275)</f>
        <v/>
      </c>
      <c r="H258" s="27" t="n"/>
    </row>
    <row r="259" ht="17.25" customHeight="1" s="322">
      <c r="A259" s="27" t="n"/>
      <c r="B259" s="506">
        <f>IFERROR(__xludf.DUMMYFUNCTION("""COMPUTED_VALUE"""),46204.6666666666)</f>
        <v/>
      </c>
      <c r="C259" s="141">
        <f>IFERROR(__xludf.DUMMYFUNCTION("""COMPUTED_VALUE"""),299.93)</f>
        <v/>
      </c>
      <c r="D259" s="141">
        <f>IFERROR(__xludf.DUMMYFUNCTION("""COMPUTED_VALUE"""),302.72)</f>
        <v/>
      </c>
      <c r="E259" s="141">
        <f>IFERROR(__xludf.DUMMYFUNCTION("""COMPUTED_VALUE"""),298.92)</f>
        <v/>
      </c>
      <c r="F259" s="141">
        <f>IFERROR(__xludf.DUMMYFUNCTION("""COMPUTED_VALUE"""),299.32)</f>
        <v/>
      </c>
      <c r="G259" s="143">
        <f>IFERROR(__xludf.DUMMYFUNCTION("""COMPUTED_VALUE"""),20607882)</f>
        <v/>
      </c>
      <c r="H259" s="27" t="n"/>
    </row>
    <row r="260" ht="17.25" customHeight="1" s="322">
      <c r="A260" s="27" t="n"/>
      <c r="B260" s="506">
        <f>IFERROR(__xludf.DUMMYFUNCTION("""COMPUTED_VALUE"""),46205.6666666666)</f>
        <v/>
      </c>
      <c r="C260" s="141">
        <f>IFERROR(__xludf.DUMMYFUNCTION("""COMPUTED_VALUE"""),300.54)</f>
        <v/>
      </c>
      <c r="D260" s="141">
        <f>IFERROR(__xludf.DUMMYFUNCTION("""COMPUTED_VALUE"""),302.23)</f>
        <v/>
      </c>
      <c r="E260" s="141">
        <f>IFERROR(__xludf.DUMMYFUNCTION("""COMPUTED_VALUE"""),294.98)</f>
        <v/>
      </c>
      <c r="F260" s="141">
        <f>IFERROR(__xludf.DUMMYFUNCTION("""COMPUTED_VALUE"""),297.58)</f>
        <v/>
      </c>
      <c r="G260" s="143">
        <f>IFERROR(__xludf.DUMMYFUNCTION("""COMPUTED_VALUE"""),21236398)</f>
        <v/>
      </c>
      <c r="H260" s="27" t="n"/>
    </row>
    <row r="261" ht="17.25" customHeight="1" s="322">
      <c r="A261" s="27" t="n"/>
      <c r="B261" s="506">
        <f>IFERROR(__xludf.DUMMYFUNCTION("""COMPUTED_VALUE"""),46209.6666666666)</f>
        <v/>
      </c>
      <c r="C261" s="141">
        <f>IFERROR(__xludf.DUMMYFUNCTION("""COMPUTED_VALUE"""),297.75)</f>
        <v/>
      </c>
      <c r="D261" s="141">
        <f>IFERROR(__xludf.DUMMYFUNCTION("""COMPUTED_VALUE"""),300.41)</f>
        <v/>
      </c>
      <c r="E261" s="141">
        <f>IFERROR(__xludf.DUMMYFUNCTION("""COMPUTED_VALUE"""),297.62)</f>
        <v/>
      </c>
      <c r="F261" s="141">
        <f>IFERROR(__xludf.DUMMYFUNCTION("""COMPUTED_VALUE"""),298.9)</f>
        <v/>
      </c>
      <c r="G261" s="143">
        <f>IFERROR(__xludf.DUMMYFUNCTION("""COMPUTED_VALUE"""),18581287)</f>
        <v/>
      </c>
      <c r="H261" s="27" t="n"/>
    </row>
    <row r="262" ht="17.25" customHeight="1" s="322">
      <c r="A262" s="27" t="n"/>
      <c r="B262" s="506">
        <f>IFERROR(__xludf.DUMMYFUNCTION("""COMPUTED_VALUE"""),46210.6666666666)</f>
        <v/>
      </c>
      <c r="C262" s="141">
        <f>IFERROR(__xludf.DUMMYFUNCTION("""COMPUTED_VALUE"""),299.17)</f>
        <v/>
      </c>
      <c r="D262" s="141">
        <f>IFERROR(__xludf.DUMMYFUNCTION("""COMPUTED_VALUE"""),299.97)</f>
        <v/>
      </c>
      <c r="E262" s="141">
        <f>IFERROR(__xludf.DUMMYFUNCTION("""COMPUTED_VALUE"""),295.18)</f>
        <v/>
      </c>
      <c r="F262" s="141">
        <f>IFERROR(__xludf.DUMMYFUNCTION("""COMPUTED_VALUE"""),296.19)</f>
        <v/>
      </c>
      <c r="G262" s="143">
        <f>IFERROR(__xludf.DUMMYFUNCTION("""COMPUTED_VALUE"""),18057101)</f>
        <v/>
      </c>
      <c r="H262" s="27" t="n"/>
    </row>
    <row r="263" ht="17.25" customHeight="1" s="322">
      <c r="A263" s="27" t="n"/>
      <c r="B263" s="506">
        <f>IFERROR(__xludf.DUMMYFUNCTION("""COMPUTED_VALUE"""),46211.6666666666)</f>
        <v/>
      </c>
      <c r="C263" s="141">
        <f>IFERROR(__xludf.DUMMYFUNCTION("""COMPUTED_VALUE"""),294.03)</f>
        <v/>
      </c>
      <c r="D263" s="141">
        <f>IFERROR(__xludf.DUMMYFUNCTION("""COMPUTED_VALUE"""),295.1)</f>
        <v/>
      </c>
      <c r="E263" s="141">
        <f>IFERROR(__xludf.DUMMYFUNCTION("""COMPUTED_VALUE"""),290.68)</f>
        <v/>
      </c>
      <c r="F263" s="141">
        <f>IFERROR(__xludf.DUMMYFUNCTION("""COMPUTED_VALUE"""),293.48)</f>
        <v/>
      </c>
      <c r="G263" s="143">
        <f>IFERROR(__xludf.DUMMYFUNCTION("""COMPUTED_VALUE"""),24078351)</f>
        <v/>
      </c>
      <c r="H263" s="27" t="n"/>
    </row>
    <row r="264" ht="17.25" customHeight="1" s="322">
      <c r="A264" s="27" t="n"/>
      <c r="B264" s="506">
        <f>IFERROR(__xludf.DUMMYFUNCTION("""COMPUTED_VALUE"""),46212.6666666666)</f>
        <v/>
      </c>
      <c r="C264" s="141">
        <f>IFERROR(__xludf.DUMMYFUNCTION("""COMPUTED_VALUE"""),295.27)</f>
        <v/>
      </c>
      <c r="D264" s="141">
        <f>IFERROR(__xludf.DUMMYFUNCTION("""COMPUTED_VALUE"""),297.88)</f>
        <v/>
      </c>
      <c r="E264" s="141">
        <f>IFERROR(__xludf.DUMMYFUNCTION("""COMPUTED_VALUE"""),294.9)</f>
        <v/>
      </c>
      <c r="F264" s="141">
        <f>IFERROR(__xludf.DUMMYFUNCTION("""COMPUTED_VALUE"""),297.24)</f>
        <v/>
      </c>
      <c r="G264" s="143">
        <f>IFERROR(__xludf.DUMMYFUNCTION("""COMPUTED_VALUE"""),16466826)</f>
        <v/>
      </c>
      <c r="H264" s="27" t="n"/>
    </row>
    <row r="265" ht="17.25" customHeight="1" s="322">
      <c r="A265" s="27" t="n"/>
      <c r="B265" s="506">
        <f>IFERROR(__xludf.DUMMYFUNCTION("""COMPUTED_VALUE"""),46213.6666666666)</f>
        <v/>
      </c>
      <c r="C265" s="141">
        <f>IFERROR(__xludf.DUMMYFUNCTION("""COMPUTED_VALUE"""),297.69)</f>
        <v/>
      </c>
      <c r="D265" s="141">
        <f>IFERROR(__xludf.DUMMYFUNCTION("""COMPUTED_VALUE"""),298.21)</f>
        <v/>
      </c>
      <c r="E265" s="141">
        <f>IFERROR(__xludf.DUMMYFUNCTION("""COMPUTED_VALUE"""),293.62)</f>
        <v/>
      </c>
      <c r="F265" s="141">
        <f>IFERROR(__xludf.DUMMYFUNCTION("""COMPUTED_VALUE"""),295.99)</f>
        <v/>
      </c>
      <c r="G265" s="143">
        <f>IFERROR(__xludf.DUMMYFUNCTION("""COMPUTED_VALUE"""),15888498)</f>
        <v/>
      </c>
      <c r="H265" s="27" t="n"/>
    </row>
    <row r="266" ht="17.25" customHeight="1" s="322">
      <c r="A266" s="27" t="n"/>
      <c r="B266" s="506">
        <f>IFERROR(__xludf.DUMMYFUNCTION("""COMPUTED_VALUE"""),46216.6666666666)</f>
        <v/>
      </c>
      <c r="C266" s="141">
        <f>IFERROR(__xludf.DUMMYFUNCTION("""COMPUTED_VALUE"""),295.06)</f>
        <v/>
      </c>
      <c r="D266" s="141">
        <f>IFERROR(__xludf.DUMMYFUNCTION("""COMPUTED_VALUE"""),295.78)</f>
        <v/>
      </c>
      <c r="E266" s="141">
        <f>IFERROR(__xludf.DUMMYFUNCTION("""COMPUTED_VALUE"""),292.6)</f>
        <v/>
      </c>
      <c r="F266" s="141">
        <f>IFERROR(__xludf.DUMMYFUNCTION("""COMPUTED_VALUE"""),293.48)</f>
        <v/>
      </c>
      <c r="G266" s="143">
        <f>IFERROR(__xludf.DUMMYFUNCTION("""COMPUTED_VALUE"""),19375486)</f>
        <v/>
      </c>
      <c r="H266" s="27" t="n"/>
    </row>
    <row r="267" ht="17.25" customHeight="1" s="322">
      <c r="A267" s="27" t="n"/>
      <c r="B267" s="506">
        <f>IFERROR(__xludf.DUMMYFUNCTION("""COMPUTED_VALUE"""),46217.6666666666)</f>
        <v/>
      </c>
      <c r="C267" s="141">
        <f>IFERROR(__xludf.DUMMYFUNCTION("""COMPUTED_VALUE"""),295.49)</f>
        <v/>
      </c>
      <c r="D267" s="141">
        <f>IFERROR(__xludf.DUMMYFUNCTION("""COMPUTED_VALUE"""),296.07)</f>
        <v/>
      </c>
      <c r="E267" s="141">
        <f>IFERROR(__xludf.DUMMYFUNCTION("""COMPUTED_VALUE"""),293.75)</f>
        <v/>
      </c>
      <c r="F267" s="141">
        <f>IFERROR(__xludf.DUMMYFUNCTION("""COMPUTED_VALUE"""),294.51)</f>
        <v/>
      </c>
      <c r="G267" s="143">
        <f>IFERROR(__xludf.DUMMYFUNCTION("""COMPUTED_VALUE"""),18326927)</f>
        <v/>
      </c>
      <c r="H267" s="27" t="n"/>
    </row>
    <row r="268" ht="17.25" customHeight="1" s="322">
      <c r="A268" s="27" t="n"/>
      <c r="B268" s="506">
        <f>IFERROR(__xludf.DUMMYFUNCTION("""COMPUTED_VALUE"""),46218.6666666666)</f>
        <v/>
      </c>
      <c r="C268" s="141">
        <f>IFERROR(__xludf.DUMMYFUNCTION("""COMPUTED_VALUE"""),295.25)</f>
        <v/>
      </c>
      <c r="D268" s="141">
        <f>IFERROR(__xludf.DUMMYFUNCTION("""COMPUTED_VALUE"""),297.14)</f>
        <v/>
      </c>
      <c r="E268" s="141">
        <f>IFERROR(__xludf.DUMMYFUNCTION("""COMPUTED_VALUE"""),294.15)</f>
        <v/>
      </c>
      <c r="F268" s="141">
        <f>IFERROR(__xludf.DUMMYFUNCTION("""COMPUTED_VALUE"""),295.77)</f>
        <v/>
      </c>
      <c r="G268" s="143">
        <f>IFERROR(__xludf.DUMMYFUNCTION("""COMPUTED_VALUE"""),18832738)</f>
        <v/>
      </c>
      <c r="H268" s="27" t="n"/>
    </row>
    <row r="269" ht="17.25" customHeight="1" s="322">
      <c r="A269" s="27" t="n"/>
      <c r="B269" s="506">
        <f>IFERROR(__xludf.DUMMYFUNCTION("""COMPUTED_VALUE"""),46219.6666666666)</f>
        <v/>
      </c>
      <c r="C269" s="141">
        <f>IFERROR(__xludf.DUMMYFUNCTION("""COMPUTED_VALUE"""),294.65)</f>
        <v/>
      </c>
      <c r="D269" s="141">
        <f>IFERROR(__xludf.DUMMYFUNCTION("""COMPUTED_VALUE"""),297.81)</f>
        <v/>
      </c>
      <c r="E269" s="141">
        <f>IFERROR(__xludf.DUMMYFUNCTION("""COMPUTED_VALUE"""),294.35)</f>
        <v/>
      </c>
      <c r="F269" s="141">
        <f>IFERROR(__xludf.DUMMYFUNCTION("""COMPUTED_VALUE"""),295.59)</f>
        <v/>
      </c>
      <c r="G269" s="143">
        <f>IFERROR(__xludf.DUMMYFUNCTION("""COMPUTED_VALUE"""),24081329)</f>
        <v/>
      </c>
      <c r="H269" s="27" t="n"/>
    </row>
    <row r="270" ht="17.25" customHeight="1" s="322">
      <c r="A270" s="27" t="n"/>
      <c r="B270" s="506">
        <f>IFERROR(__xludf.DUMMYFUNCTION("""COMPUTED_VALUE"""),46220.6666666666)</f>
        <v/>
      </c>
      <c r="C270" s="141">
        <f>IFERROR(__xludf.DUMMYFUNCTION("""COMPUTED_VALUE"""),292.03)</f>
        <v/>
      </c>
      <c r="D270" s="141">
        <f>IFERROR(__xludf.DUMMYFUNCTION("""COMPUTED_VALUE"""),296.13)</f>
        <v/>
      </c>
      <c r="E270" s="141">
        <f>IFERROR(__xludf.DUMMYFUNCTION("""COMPUTED_VALUE"""),291.64)</f>
        <v/>
      </c>
      <c r="F270" s="141">
        <f>IFERROR(__xludf.DUMMYFUNCTION("""COMPUTED_VALUE"""),294.04)</f>
        <v/>
      </c>
      <c r="G270" s="143">
        <f>IFERROR(__xludf.DUMMYFUNCTION("""COMPUTED_VALUE"""),28738550)</f>
        <v/>
      </c>
      <c r="H270" s="27" t="n"/>
    </row>
    <row r="271" ht="17.25" customHeight="1" s="322">
      <c r="A271" s="27" t="n"/>
      <c r="B271" s="506">
        <f>IFERROR(__xludf.DUMMYFUNCTION("""COMPUTED_VALUE"""),46223.6666666666)</f>
        <v/>
      </c>
      <c r="C271" s="141">
        <f>IFERROR(__xludf.DUMMYFUNCTION("""COMPUTED_VALUE"""),295.01)</f>
        <v/>
      </c>
      <c r="D271" s="141">
        <f>IFERROR(__xludf.DUMMYFUNCTION("""COMPUTED_VALUE"""),295.99)</f>
        <v/>
      </c>
      <c r="E271" s="141">
        <f>IFERROR(__xludf.DUMMYFUNCTION("""COMPUTED_VALUE"""),292.18)</f>
        <v/>
      </c>
      <c r="F271" s="141">
        <f>IFERROR(__xludf.DUMMYFUNCTION("""COMPUTED_VALUE"""),292.31)</f>
        <v/>
      </c>
      <c r="G271" s="143">
        <f>IFERROR(__xludf.DUMMYFUNCTION("""COMPUTED_VALUE"""),20539883)</f>
        <v/>
      </c>
      <c r="H271" s="27" t="n"/>
    </row>
    <row r="272" ht="17.25" customHeight="1" s="322">
      <c r="A272" s="27" t="n"/>
      <c r="B272" s="506">
        <f>IFERROR(__xludf.DUMMYFUNCTION("""COMPUTED_VALUE"""),46224.6666666666)</f>
        <v/>
      </c>
      <c r="C272" s="141">
        <f>IFERROR(__xludf.DUMMYFUNCTION("""COMPUTED_VALUE"""),293.43)</f>
        <v/>
      </c>
      <c r="D272" s="141">
        <f>IFERROR(__xludf.DUMMYFUNCTION("""COMPUTED_VALUE"""),296.75)</f>
        <v/>
      </c>
      <c r="E272" s="141">
        <f>IFERROR(__xludf.DUMMYFUNCTION("""COMPUTED_VALUE"""),292.68)</f>
        <v/>
      </c>
      <c r="F272" s="141">
        <f>IFERROR(__xludf.DUMMYFUNCTION("""COMPUTED_VALUE"""),296.54)</f>
        <v/>
      </c>
      <c r="G272" s="143">
        <f>IFERROR(__xludf.DUMMYFUNCTION("""COMPUTED_VALUE"""),18190169)</f>
        <v/>
      </c>
      <c r="H272" s="27" t="n"/>
    </row>
    <row r="273" ht="17.25" customHeight="1" s="322">
      <c r="A273" s="27" t="n"/>
      <c r="B273" s="506">
        <f>IFERROR(__xludf.DUMMYFUNCTION("""COMPUTED_VALUE"""),46225.6666666666)</f>
        <v/>
      </c>
      <c r="C273" s="141">
        <f>IFERROR(__xludf.DUMMYFUNCTION("""COMPUTED_VALUE"""),295.7)</f>
        <v/>
      </c>
      <c r="D273" s="141">
        <f>IFERROR(__xludf.DUMMYFUNCTION("""COMPUTED_VALUE"""),296.44)</f>
        <v/>
      </c>
      <c r="E273" s="141">
        <f>IFERROR(__xludf.DUMMYFUNCTION("""COMPUTED_VALUE"""),293.41)</f>
        <v/>
      </c>
      <c r="F273" s="141">
        <f>IFERROR(__xludf.DUMMYFUNCTION("""COMPUTED_VALUE"""),293.79)</f>
        <v/>
      </c>
      <c r="G273" s="143">
        <f>IFERROR(__xludf.DUMMYFUNCTION("""COMPUTED_VALUE"""),19115991)</f>
        <v/>
      </c>
      <c r="H273" s="27" t="n"/>
    </row>
    <row r="274" ht="17.25" customHeight="1" s="322">
      <c r="A274" s="27" t="n"/>
      <c r="B274" s="506">
        <f>IFERROR(__xludf.DUMMYFUNCTION("""COMPUTED_VALUE"""),46226.6666666666)</f>
        <v/>
      </c>
      <c r="C274" s="141">
        <f>IFERROR(__xludf.DUMMYFUNCTION("""COMPUTED_VALUE"""),290.87)</f>
        <v/>
      </c>
      <c r="D274" s="141">
        <f>IFERROR(__xludf.DUMMYFUNCTION("""COMPUTED_VALUE"""),293.01)</f>
        <v/>
      </c>
      <c r="E274" s="141">
        <f>IFERROR(__xludf.DUMMYFUNCTION("""COMPUTED_VALUE"""),290.17)</f>
        <v/>
      </c>
      <c r="F274" s="141">
        <f>IFERROR(__xludf.DUMMYFUNCTION("""COMPUTED_VALUE"""),292.09)</f>
        <v/>
      </c>
      <c r="G274" s="143">
        <f>IFERROR(__xludf.DUMMYFUNCTION("""COMPUTED_VALUE"""),27795138)</f>
        <v/>
      </c>
      <c r="H274" s="27" t="n"/>
    </row>
    <row r="275" ht="17.25" customHeight="1" s="322">
      <c r="A275" s="27" t="n"/>
      <c r="B275" s="506">
        <f>IFERROR(__xludf.DUMMYFUNCTION("""COMPUTED_VALUE"""),46227.6666666666)</f>
        <v/>
      </c>
      <c r="C275" s="141">
        <f>IFERROR(__xludf.DUMMYFUNCTION("""COMPUTED_VALUE"""),293.41)</f>
        <v/>
      </c>
      <c r="D275" s="141">
        <f>IFERROR(__xludf.DUMMYFUNCTION("""COMPUTED_VALUE"""),293.97)</f>
        <v/>
      </c>
      <c r="E275" s="141">
        <f>IFERROR(__xludf.DUMMYFUNCTION("""COMPUTED_VALUE"""),290.48)</f>
        <v/>
      </c>
      <c r="F275" s="141">
        <f>IFERROR(__xludf.DUMMYFUNCTION("""COMPUTED_VALUE"""),291.17)</f>
        <v/>
      </c>
      <c r="G275" s="143">
        <f>IFERROR(__xludf.DUMMYFUNCTION("""COMPUTED_VALUE"""),19771042)</f>
        <v/>
      </c>
      <c r="H275" s="27" t="n"/>
    </row>
    <row r="276" ht="17.25" customHeight="1" s="322">
      <c r="A276" s="27" t="n"/>
      <c r="B276" s="506">
        <f>IFERROR(__xludf.DUMMYFUNCTION("""COMPUTED_VALUE"""),46230.6666666666)</f>
        <v/>
      </c>
      <c r="C276" s="141">
        <f>IFERROR(__xludf.DUMMYFUNCTION("""COMPUTED_VALUE"""),293.98)</f>
        <v/>
      </c>
      <c r="D276" s="141">
        <f>IFERROR(__xludf.DUMMYFUNCTION("""COMPUTED_VALUE"""),295.52)</f>
        <v/>
      </c>
      <c r="E276" s="141">
        <f>IFERROR(__xludf.DUMMYFUNCTION("""COMPUTED_VALUE"""),291.11)</f>
        <v/>
      </c>
      <c r="F276" s="141">
        <f>IFERROR(__xludf.DUMMYFUNCTION("""COMPUTED_VALUE"""),292.91)</f>
        <v/>
      </c>
      <c r="G276" s="143">
        <f>IFERROR(__xludf.DUMMYFUNCTION("""COMPUTED_VALUE"""),19445522)</f>
        <v/>
      </c>
      <c r="H276" s="27" t="n"/>
    </row>
    <row r="277" ht="17.25" customHeight="1" s="322">
      <c r="A277" s="27" t="n"/>
      <c r="B277" s="506">
        <f>IFERROR(__xludf.DUMMYFUNCTION("""COMPUTED_VALUE"""),46231.6666666666)</f>
        <v/>
      </c>
      <c r="C277" s="141">
        <f>IFERROR(__xludf.DUMMYFUNCTION("""COMPUTED_VALUE"""),293.16)</f>
        <v/>
      </c>
      <c r="D277" s="141">
        <f>IFERROR(__xludf.DUMMYFUNCTION("""COMPUTED_VALUE"""),293.77)</f>
        <v/>
      </c>
      <c r="E277" s="141">
        <f>IFERROR(__xludf.DUMMYFUNCTION("""COMPUTED_VALUE"""),290.38)</f>
        <v/>
      </c>
      <c r="F277" s="141">
        <f>IFERROR(__xludf.DUMMYFUNCTION("""COMPUTED_VALUE"""),293.37)</f>
        <v/>
      </c>
      <c r="G277" s="143">
        <f>IFERROR(__xludf.DUMMYFUNCTION("""COMPUTED_VALUE"""),20531086)</f>
        <v/>
      </c>
      <c r="H277" s="27" t="n"/>
    </row>
    <row r="278" ht="17.25" customHeight="1" s="322">
      <c r="A278" s="27" t="n"/>
      <c r="B278" s="506">
        <f>IFERROR(__xludf.DUMMYFUNCTION("""COMPUTED_VALUE"""),46232.6666666666)</f>
        <v/>
      </c>
      <c r="C278" s="141">
        <f>IFERROR(__xludf.DUMMYFUNCTION("""COMPUTED_VALUE"""),292.49)</f>
        <v/>
      </c>
      <c r="D278" s="141">
        <f>IFERROR(__xludf.DUMMYFUNCTION("""COMPUTED_VALUE"""),293.67)</f>
        <v/>
      </c>
      <c r="E278" s="141">
        <f>IFERROR(__xludf.DUMMYFUNCTION("""COMPUTED_VALUE"""),288.26)</f>
        <v/>
      </c>
      <c r="F278" s="141">
        <f>IFERROR(__xludf.DUMMYFUNCTION("""COMPUTED_VALUE"""),288.57)</f>
        <v/>
      </c>
      <c r="G278" s="143">
        <f>IFERROR(__xludf.DUMMYFUNCTION("""COMPUTED_VALUE"""),32541060)</f>
        <v/>
      </c>
      <c r="H278" s="27" t="n"/>
    </row>
    <row r="279" ht="17.25" customHeight="1" s="322">
      <c r="A279" s="27" t="n"/>
      <c r="B279" s="506" t="n"/>
      <c r="C279" s="141" t="n"/>
      <c r="D279" s="141" t="n"/>
      <c r="E279" s="141" t="n"/>
      <c r="F279" s="141" t="n"/>
      <c r="G279" s="143" t="n"/>
      <c r="H279" s="27" t="n"/>
    </row>
    <row r="280" ht="17.25" customHeight="1" s="322">
      <c r="A280" s="27" t="n"/>
      <c r="B280" s="506" t="n"/>
      <c r="C280" s="141" t="n"/>
      <c r="D280" s="141" t="n"/>
      <c r="E280" s="141" t="n"/>
      <c r="F280" s="141" t="n"/>
      <c r="G280" s="143" t="n"/>
      <c r="H280" s="27" t="n"/>
    </row>
    <row r="281" ht="17.25" customHeight="1" s="322">
      <c r="A281" s="27" t="n"/>
      <c r="B281" s="506" t="n"/>
      <c r="C281" s="141" t="n"/>
      <c r="D281" s="141" t="n"/>
      <c r="E281" s="141" t="n"/>
      <c r="F281" s="141" t="n"/>
      <c r="G281" s="143" t="n"/>
      <c r="H281" s="27" t="n"/>
    </row>
    <row r="282" ht="17.25" customHeight="1" s="322">
      <c r="A282" s="27" t="n"/>
      <c r="B282" s="506" t="n"/>
      <c r="C282" s="141" t="n"/>
      <c r="D282" s="141" t="n"/>
      <c r="E282" s="141" t="n"/>
      <c r="F282" s="141" t="n"/>
      <c r="G282" s="143" t="n"/>
      <c r="H282" s="27" t="n"/>
    </row>
    <row r="283" ht="17.25" customHeight="1" s="322">
      <c r="A283" s="27" t="n"/>
      <c r="B283" s="506" t="n"/>
      <c r="C283" s="141" t="n"/>
      <c r="D283" s="141" t="n"/>
      <c r="E283" s="141" t="n"/>
      <c r="F283" s="141" t="n"/>
      <c r="G283" s="143" t="n"/>
      <c r="H283" s="27" t="n"/>
    </row>
    <row r="284" ht="17.25" customHeight="1" s="322">
      <c r="A284" s="27" t="n"/>
      <c r="B284" s="506" t="n"/>
      <c r="C284" s="141" t="n"/>
      <c r="D284" s="141" t="n"/>
      <c r="E284" s="141" t="n"/>
      <c r="F284" s="141" t="n"/>
      <c r="G284" s="143" t="n"/>
      <c r="H284" s="27" t="n"/>
    </row>
    <row r="285" ht="17.25" customHeight="1" s="322">
      <c r="A285" s="27" t="n"/>
      <c r="B285" s="506" t="n"/>
      <c r="C285" s="141" t="n"/>
      <c r="D285" s="141" t="n"/>
      <c r="E285" s="141" t="n"/>
      <c r="F285" s="141" t="n"/>
      <c r="G285" s="143" t="n"/>
      <c r="H285" s="27" t="n"/>
    </row>
    <row r="286" ht="17.25" customHeight="1" s="322">
      <c r="A286" s="27" t="n"/>
      <c r="B286" s="506" t="n"/>
      <c r="C286" s="141" t="n"/>
      <c r="D286" s="141" t="n"/>
      <c r="E286" s="141" t="n"/>
      <c r="F286" s="141" t="n"/>
      <c r="G286" s="143" t="n"/>
      <c r="H286" s="27" t="n"/>
    </row>
    <row r="287" ht="17.25" customHeight="1" s="322">
      <c r="A287" s="27" t="n"/>
      <c r="B287" s="506" t="n"/>
      <c r="C287" s="141" t="n"/>
      <c r="D287" s="141" t="n"/>
      <c r="E287" s="141" t="n"/>
      <c r="F287" s="141" t="n"/>
      <c r="G287" s="143" t="n"/>
      <c r="H287" s="27" t="n"/>
    </row>
    <row r="288" ht="17.25" customHeight="1" s="322">
      <c r="A288" s="27" t="n"/>
      <c r="B288" s="506" t="n"/>
      <c r="C288" s="141" t="n"/>
      <c r="D288" s="141" t="n"/>
      <c r="E288" s="141" t="n"/>
      <c r="F288" s="141" t="n"/>
      <c r="G288" s="143" t="n"/>
      <c r="H288" s="27" t="n"/>
    </row>
    <row r="289" ht="17.25" customHeight="1" s="322">
      <c r="A289" s="27" t="n"/>
      <c r="B289" s="506" t="n"/>
      <c r="C289" s="141" t="n"/>
      <c r="D289" s="141" t="n"/>
      <c r="E289" s="141" t="n"/>
      <c r="F289" s="141" t="n"/>
      <c r="G289" s="143" t="n"/>
      <c r="H289" s="27" t="n"/>
    </row>
    <row r="290" ht="17.25" customHeight="1" s="322">
      <c r="A290" s="27" t="n"/>
      <c r="B290" s="506" t="n"/>
      <c r="C290" s="141" t="n"/>
      <c r="D290" s="141" t="n"/>
      <c r="E290" s="141" t="n"/>
      <c r="F290" s="141" t="n"/>
      <c r="G290" s="143" t="n"/>
      <c r="H290" s="27" t="n"/>
    </row>
    <row r="291" ht="17.25" customHeight="1" s="322">
      <c r="A291" s="27" t="n"/>
      <c r="B291" s="506" t="n"/>
      <c r="C291" s="141" t="n"/>
      <c r="D291" s="141" t="n"/>
      <c r="E291" s="141" t="n"/>
      <c r="F291" s="141" t="n"/>
      <c r="G291" s="143" t="n"/>
      <c r="H291" s="27" t="n"/>
    </row>
    <row r="292" ht="17.25" customHeight="1" s="322">
      <c r="A292" s="27" t="n"/>
      <c r="B292" s="506" t="n"/>
      <c r="C292" s="141" t="n"/>
      <c r="D292" s="141" t="n"/>
      <c r="E292" s="141" t="n"/>
      <c r="F292" s="141" t="n"/>
      <c r="G292" s="143" t="n"/>
      <c r="H292" s="27" t="n"/>
    </row>
    <row r="293" ht="17.25" customHeight="1" s="322">
      <c r="A293" s="27" t="n"/>
      <c r="B293" s="506" t="n"/>
      <c r="C293" s="141" t="n"/>
      <c r="D293" s="141" t="n"/>
      <c r="E293" s="141" t="n"/>
      <c r="F293" s="141" t="n"/>
      <c r="G293" s="143" t="n"/>
      <c r="H293" s="27" t="n"/>
    </row>
    <row r="294" ht="17.25" customHeight="1" s="322">
      <c r="A294" s="27" t="n"/>
      <c r="B294" s="506" t="n"/>
      <c r="C294" s="141" t="n"/>
      <c r="D294" s="141" t="n"/>
      <c r="E294" s="141" t="n"/>
      <c r="F294" s="141" t="n"/>
      <c r="G294" s="143" t="n"/>
      <c r="H294" s="27" t="n"/>
    </row>
    <row r="295" ht="17.25" customHeight="1" s="322">
      <c r="A295" s="27" t="n"/>
      <c r="B295" s="506" t="n"/>
      <c r="C295" s="141" t="n"/>
      <c r="D295" s="141" t="n"/>
      <c r="E295" s="141" t="n"/>
      <c r="F295" s="141" t="n"/>
      <c r="G295" s="143" t="n"/>
      <c r="H295" s="27" t="n"/>
    </row>
    <row r="296" ht="17.25" customHeight="1" s="322">
      <c r="A296" s="27" t="n"/>
      <c r="B296" s="506" t="n"/>
      <c r="C296" s="141" t="n"/>
      <c r="D296" s="141" t="n"/>
      <c r="E296" s="141" t="n"/>
      <c r="F296" s="141" t="n"/>
      <c r="G296" s="143" t="n"/>
      <c r="H296" s="27" t="n"/>
    </row>
    <row r="297" ht="17.25" customHeight="1" s="322">
      <c r="A297" s="27" t="n"/>
      <c r="B297" s="506" t="n"/>
      <c r="C297" s="141" t="n"/>
      <c r="D297" s="141" t="n"/>
      <c r="E297" s="141" t="n"/>
      <c r="F297" s="141" t="n"/>
      <c r="G297" s="143" t="n"/>
      <c r="H297" s="27" t="n"/>
    </row>
    <row r="298" ht="17.25" customHeight="1" s="322">
      <c r="A298" s="27" t="n"/>
      <c r="B298" s="506" t="n"/>
      <c r="C298" s="141" t="n"/>
      <c r="D298" s="141" t="n"/>
      <c r="E298" s="141" t="n"/>
      <c r="F298" s="141" t="n"/>
      <c r="G298" s="143" t="n"/>
      <c r="H298" s="27" t="n"/>
    </row>
    <row r="299" ht="17.25" customHeight="1" s="322">
      <c r="A299" s="27" t="n"/>
      <c r="B299" s="506" t="n"/>
      <c r="C299" s="141" t="n"/>
      <c r="D299" s="141" t="n"/>
      <c r="E299" s="141" t="n"/>
      <c r="F299" s="141" t="n"/>
      <c r="G299" s="143" t="n"/>
      <c r="H299" s="27" t="n"/>
    </row>
    <row r="300" ht="17.25" customHeight="1" s="322">
      <c r="A300" s="27" t="n"/>
      <c r="B300" s="506" t="n"/>
      <c r="C300" s="141" t="n"/>
      <c r="D300" s="141" t="n"/>
      <c r="E300" s="141" t="n"/>
      <c r="F300" s="141" t="n"/>
      <c r="G300" s="143" t="n"/>
      <c r="H300" s="27" t="n"/>
    </row>
    <row r="301" ht="17.25" customHeight="1" s="322">
      <c r="A301" s="27" t="n"/>
      <c r="B301" s="506" t="n"/>
      <c r="C301" s="141" t="n"/>
      <c r="D301" s="141" t="n"/>
      <c r="E301" s="141" t="n"/>
      <c r="F301" s="141" t="n"/>
      <c r="G301" s="143" t="n"/>
      <c r="H301" s="27" t="n"/>
    </row>
    <row r="302" ht="17.25" customHeight="1" s="322">
      <c r="A302" s="27" t="n"/>
      <c r="B302" s="506" t="n"/>
      <c r="C302" s="141" t="n"/>
      <c r="D302" s="141" t="n"/>
      <c r="E302" s="141" t="n"/>
      <c r="F302" s="141" t="n"/>
      <c r="G302" s="143" t="n"/>
      <c r="H302" s="27" t="n"/>
    </row>
    <row r="303" ht="17.25" customHeight="1" s="322">
      <c r="A303" s="27" t="n"/>
      <c r="B303" s="506" t="n"/>
      <c r="C303" s="141" t="n"/>
      <c r="D303" s="141" t="n"/>
      <c r="E303" s="141" t="n"/>
      <c r="F303" s="141" t="n"/>
      <c r="G303" s="143" t="n"/>
      <c r="H303" s="27" t="n"/>
    </row>
    <row r="304" ht="17.25" customHeight="1" s="322">
      <c r="A304" s="27" t="n"/>
      <c r="B304" s="506" t="n"/>
      <c r="C304" s="141" t="n"/>
      <c r="D304" s="141" t="n"/>
      <c r="E304" s="141" t="n"/>
      <c r="F304" s="141" t="n"/>
      <c r="G304" s="143" t="n"/>
      <c r="H304" s="27" t="n"/>
    </row>
    <row r="305" ht="17.25" customHeight="1" s="322">
      <c r="A305" s="27" t="n"/>
      <c r="B305" s="506" t="n"/>
      <c r="C305" s="141" t="n"/>
      <c r="D305" s="141" t="n"/>
      <c r="E305" s="141" t="n"/>
      <c r="F305" s="141" t="n"/>
      <c r="G305" s="143" t="n"/>
      <c r="H305" s="27" t="n"/>
    </row>
    <row r="306" ht="17.25" customHeight="1" s="322">
      <c r="A306" s="27" t="n"/>
      <c r="B306" s="506" t="n"/>
      <c r="C306" s="141" t="n"/>
      <c r="D306" s="141" t="n"/>
      <c r="E306" s="141" t="n"/>
      <c r="F306" s="141" t="n"/>
      <c r="G306" s="143" t="n"/>
      <c r="H306" s="27" t="n"/>
    </row>
    <row r="307" ht="17.25" customHeight="1" s="322">
      <c r="A307" s="27" t="n"/>
      <c r="B307" s="506" t="n"/>
      <c r="C307" s="141" t="n"/>
      <c r="D307" s="141" t="n"/>
      <c r="E307" s="141" t="n"/>
      <c r="F307" s="141" t="n"/>
      <c r="G307" s="143" t="n"/>
      <c r="H307" s="27" t="n"/>
    </row>
    <row r="308" ht="17.25" customHeight="1" s="322">
      <c r="A308" s="27" t="n"/>
      <c r="B308" s="506" t="n"/>
      <c r="C308" s="141" t="n"/>
      <c r="D308" s="141" t="n"/>
      <c r="E308" s="141" t="n"/>
      <c r="F308" s="141" t="n"/>
      <c r="G308" s="143" t="n"/>
      <c r="H308" s="27" t="n"/>
    </row>
    <row r="309" ht="17.25" customHeight="1" s="322">
      <c r="A309" s="27" t="n"/>
      <c r="B309" s="506" t="n"/>
      <c r="C309" s="141" t="n"/>
      <c r="D309" s="141" t="n"/>
      <c r="E309" s="141" t="n"/>
      <c r="F309" s="141" t="n"/>
      <c r="G309" s="143" t="n"/>
      <c r="H309" s="27" t="n"/>
    </row>
    <row r="310" ht="17.25" customHeight="1" s="322">
      <c r="A310" s="27" t="n"/>
      <c r="B310" s="506" t="n"/>
      <c r="C310" s="141" t="n"/>
      <c r="D310" s="141" t="n"/>
      <c r="E310" s="141" t="n"/>
      <c r="F310" s="141" t="n"/>
      <c r="G310" s="143" t="n"/>
      <c r="H310" s="27" t="n"/>
    </row>
    <row r="311" ht="17.25" customHeight="1" s="322">
      <c r="A311" s="27" t="n"/>
      <c r="B311" s="506" t="n"/>
      <c r="C311" s="141" t="n"/>
      <c r="D311" s="141" t="n"/>
      <c r="E311" s="141" t="n"/>
      <c r="F311" s="141" t="n"/>
      <c r="G311" s="143" t="n"/>
      <c r="H311" s="27" t="n"/>
    </row>
    <row r="312" ht="17.25" customHeight="1" s="322">
      <c r="A312" s="27" t="n"/>
      <c r="B312" s="506" t="n"/>
      <c r="C312" s="141" t="n"/>
      <c r="D312" s="141" t="n"/>
      <c r="E312" s="141" t="n"/>
      <c r="F312" s="141" t="n"/>
      <c r="G312" s="143" t="n"/>
      <c r="H312" s="27" t="n"/>
    </row>
    <row r="313" ht="17.25" customHeight="1" s="322">
      <c r="A313" s="27" t="n"/>
      <c r="B313" s="506" t="n"/>
      <c r="C313" s="141" t="n"/>
      <c r="D313" s="141" t="n"/>
      <c r="E313" s="141" t="n"/>
      <c r="F313" s="141" t="n"/>
      <c r="G313" s="143" t="n"/>
      <c r="H313" s="27" t="n"/>
    </row>
    <row r="314" ht="17.25" customHeight="1" s="322">
      <c r="A314" s="27" t="n"/>
      <c r="B314" s="506" t="n"/>
      <c r="C314" s="141" t="n"/>
      <c r="D314" s="141" t="n"/>
      <c r="E314" s="141" t="n"/>
      <c r="F314" s="141" t="n"/>
      <c r="G314" s="143" t="n"/>
      <c r="H314" s="27" t="n"/>
    </row>
    <row r="315" ht="17.25" customHeight="1" s="322">
      <c r="A315" s="27" t="n"/>
      <c r="B315" s="506" t="n"/>
      <c r="C315" s="141" t="n"/>
      <c r="D315" s="141" t="n"/>
      <c r="E315" s="141" t="n"/>
      <c r="F315" s="141" t="n"/>
      <c r="G315" s="143" t="n"/>
      <c r="H315" s="27" t="n"/>
    </row>
    <row r="316" ht="17.25" customHeight="1" s="322">
      <c r="A316" s="27" t="n"/>
      <c r="B316" s="506" t="n"/>
      <c r="C316" s="141" t="n"/>
      <c r="D316" s="141" t="n"/>
      <c r="E316" s="141" t="n"/>
      <c r="F316" s="141" t="n"/>
      <c r="G316" s="143" t="n"/>
      <c r="H316" s="27" t="n"/>
    </row>
    <row r="317" ht="17.25" customHeight="1" s="322">
      <c r="A317" s="27" t="n"/>
      <c r="B317" s="506" t="n"/>
      <c r="C317" s="141" t="n"/>
      <c r="D317" s="141" t="n"/>
      <c r="E317" s="141" t="n"/>
      <c r="F317" s="141" t="n"/>
      <c r="G317" s="143" t="n"/>
      <c r="H317" s="27" t="n"/>
    </row>
    <row r="318" ht="17.25" customHeight="1" s="322">
      <c r="A318" s="27" t="n"/>
      <c r="B318" s="506" t="n"/>
      <c r="C318" s="141" t="n"/>
      <c r="D318" s="141" t="n"/>
      <c r="E318" s="141" t="n"/>
      <c r="F318" s="141" t="n"/>
      <c r="G318" s="143" t="n"/>
      <c r="H318" s="27" t="n"/>
    </row>
    <row r="319" ht="17.25" customHeight="1" s="322">
      <c r="A319" s="27" t="n"/>
      <c r="B319" s="506" t="n"/>
      <c r="C319" s="141" t="n"/>
      <c r="D319" s="141" t="n"/>
      <c r="E319" s="141" t="n"/>
      <c r="F319" s="141" t="n"/>
      <c r="G319" s="143" t="n"/>
      <c r="H319" s="27" t="n"/>
    </row>
    <row r="320" ht="17.25" customHeight="1" s="322">
      <c r="A320" s="27" t="n"/>
      <c r="B320" s="506" t="n"/>
      <c r="C320" s="141" t="n"/>
      <c r="D320" s="141" t="n"/>
      <c r="E320" s="141" t="n"/>
      <c r="F320" s="141" t="n"/>
      <c r="G320" s="143" t="n"/>
      <c r="H320" s="27" t="n"/>
    </row>
    <row r="321" ht="17.25" customHeight="1" s="322">
      <c r="A321" s="27" t="n"/>
      <c r="B321" s="506" t="n"/>
      <c r="C321" s="141" t="n"/>
      <c r="D321" s="141" t="n"/>
      <c r="E321" s="141" t="n"/>
      <c r="F321" s="141" t="n"/>
      <c r="G321" s="143" t="n"/>
      <c r="H321" s="27" t="n"/>
    </row>
    <row r="322" ht="17.25" customHeight="1" s="322">
      <c r="A322" s="27" t="n"/>
      <c r="B322" s="506" t="n"/>
      <c r="C322" s="141" t="n"/>
      <c r="D322" s="141" t="n"/>
      <c r="E322" s="141" t="n"/>
      <c r="F322" s="141" t="n"/>
      <c r="G322" s="143" t="n"/>
      <c r="H322" s="27" t="n"/>
    </row>
    <row r="323" ht="17.25" customHeight="1" s="322">
      <c r="A323" s="27" t="n"/>
      <c r="B323" s="506" t="n"/>
      <c r="C323" s="141" t="n"/>
      <c r="D323" s="141" t="n"/>
      <c r="E323" s="141" t="n"/>
      <c r="F323" s="141" t="n"/>
      <c r="G323" s="143" t="n"/>
      <c r="H323" s="27" t="n"/>
    </row>
    <row r="324" ht="17.25" customHeight="1" s="322">
      <c r="A324" s="27" t="n"/>
      <c r="B324" s="506" t="n"/>
      <c r="C324" s="141" t="n"/>
      <c r="D324" s="141" t="n"/>
      <c r="E324" s="141" t="n"/>
      <c r="F324" s="141" t="n"/>
      <c r="G324" s="143" t="n"/>
      <c r="H324" s="27" t="n"/>
    </row>
    <row r="325" ht="17.25" customHeight="1" s="322">
      <c r="A325" s="27" t="n"/>
      <c r="B325" s="506" t="n"/>
      <c r="C325" s="141" t="n"/>
      <c r="D325" s="141" t="n"/>
      <c r="E325" s="141" t="n"/>
      <c r="F325" s="141" t="n"/>
      <c r="G325" s="143" t="n"/>
      <c r="H325" s="27" t="n"/>
    </row>
    <row r="326" ht="17.25" customHeight="1" s="322">
      <c r="A326" s="27" t="n"/>
      <c r="B326" s="506" t="n"/>
      <c r="C326" s="141" t="n"/>
      <c r="D326" s="141" t="n"/>
      <c r="E326" s="141" t="n"/>
      <c r="F326" s="141" t="n"/>
      <c r="G326" s="143" t="n"/>
      <c r="H326" s="27" t="n"/>
    </row>
    <row r="327" ht="17.25" customHeight="1" s="322">
      <c r="A327" s="27" t="n"/>
      <c r="B327" s="506" t="n"/>
      <c r="C327" s="141" t="n"/>
      <c r="D327" s="141" t="n"/>
      <c r="E327" s="141" t="n"/>
      <c r="F327" s="141" t="n"/>
      <c r="G327" s="143" t="n"/>
      <c r="H327" s="27" t="n"/>
    </row>
    <row r="328" ht="17.25" customHeight="1" s="322">
      <c r="A328" s="27" t="n"/>
      <c r="B328" s="506" t="n"/>
      <c r="C328" s="141" t="n"/>
      <c r="D328" s="141" t="n"/>
      <c r="E328" s="141" t="n"/>
      <c r="F328" s="141" t="n"/>
      <c r="G328" s="143" t="n"/>
      <c r="H328" s="27" t="n"/>
    </row>
    <row r="329" ht="17.25" customHeight="1" s="322">
      <c r="A329" s="27" t="n"/>
      <c r="B329" s="506" t="n"/>
      <c r="C329" s="141" t="n"/>
      <c r="D329" s="141" t="n"/>
      <c r="E329" s="141" t="n"/>
      <c r="F329" s="141" t="n"/>
      <c r="G329" s="143" t="n"/>
      <c r="H329" s="27" t="n"/>
    </row>
    <row r="330" ht="17.25" customHeight="1" s="322">
      <c r="A330" s="27" t="n"/>
      <c r="B330" s="506" t="n"/>
      <c r="C330" s="141" t="n"/>
      <c r="D330" s="141" t="n"/>
      <c r="E330" s="141" t="n"/>
      <c r="F330" s="141" t="n"/>
      <c r="G330" s="143" t="n"/>
      <c r="H330" s="27" t="n"/>
    </row>
    <row r="331" ht="17.25" customHeight="1" s="322">
      <c r="A331" s="27" t="n"/>
      <c r="B331" s="506" t="n"/>
      <c r="C331" s="141" t="n"/>
      <c r="D331" s="141" t="n"/>
      <c r="E331" s="141" t="n"/>
      <c r="F331" s="141" t="n"/>
      <c r="G331" s="143" t="n"/>
      <c r="H331" s="27" t="n"/>
    </row>
    <row r="332" ht="17.25" customHeight="1" s="322">
      <c r="A332" s="27" t="n"/>
      <c r="B332" s="506" t="n"/>
      <c r="C332" s="141" t="n"/>
      <c r="D332" s="141" t="n"/>
      <c r="E332" s="141" t="n"/>
      <c r="F332" s="141" t="n"/>
      <c r="G332" s="143" t="n"/>
      <c r="H332" s="27" t="n"/>
    </row>
    <row r="333" ht="17.25" customHeight="1" s="322">
      <c r="A333" s="27" t="n"/>
      <c r="B333" s="506" t="n"/>
      <c r="C333" s="141" t="n"/>
      <c r="D333" s="141" t="n"/>
      <c r="E333" s="141" t="n"/>
      <c r="F333" s="141" t="n"/>
      <c r="G333" s="143" t="n"/>
      <c r="H333" s="27" t="n"/>
    </row>
    <row r="334" ht="17.25" customHeight="1" s="322">
      <c r="A334" s="27" t="n"/>
      <c r="B334" s="506" t="n"/>
      <c r="C334" s="141" t="n"/>
      <c r="D334" s="141" t="n"/>
      <c r="E334" s="141" t="n"/>
      <c r="F334" s="141" t="n"/>
      <c r="G334" s="143" t="n"/>
      <c r="H334" s="27" t="n"/>
    </row>
    <row r="335" ht="17.25" customHeight="1" s="322">
      <c r="A335" s="27" t="n"/>
      <c r="B335" s="506" t="n"/>
      <c r="C335" s="141" t="n"/>
      <c r="D335" s="141" t="n"/>
      <c r="E335" s="141" t="n"/>
      <c r="F335" s="141" t="n"/>
      <c r="G335" s="143" t="n"/>
      <c r="H335" s="27" t="n"/>
    </row>
    <row r="336" ht="17.25" customHeight="1" s="322">
      <c r="A336" s="27" t="n"/>
      <c r="B336" s="506" t="n"/>
      <c r="C336" s="141" t="n"/>
      <c r="D336" s="141" t="n"/>
      <c r="E336" s="141" t="n"/>
      <c r="F336" s="141" t="n"/>
      <c r="G336" s="143" t="n"/>
      <c r="H336" s="27" t="n"/>
    </row>
    <row r="337" ht="17.25" customHeight="1" s="322">
      <c r="A337" s="27" t="n"/>
      <c r="B337" s="506" t="n"/>
      <c r="C337" s="141" t="n"/>
      <c r="D337" s="141" t="n"/>
      <c r="E337" s="141" t="n"/>
      <c r="F337" s="141" t="n"/>
      <c r="G337" s="143" t="n"/>
      <c r="H337" s="27" t="n"/>
    </row>
    <row r="338" ht="17.25" customHeight="1" s="322">
      <c r="A338" s="27" t="n"/>
      <c r="B338" s="506" t="n"/>
      <c r="C338" s="141" t="n"/>
      <c r="D338" s="141" t="n"/>
      <c r="E338" s="141" t="n"/>
      <c r="F338" s="141" t="n"/>
      <c r="G338" s="143" t="n"/>
      <c r="H338" s="27" t="n"/>
    </row>
    <row r="339" ht="17.25" customHeight="1" s="322">
      <c r="A339" s="27" t="n"/>
      <c r="B339" s="506" t="n"/>
      <c r="C339" s="141" t="n"/>
      <c r="D339" s="141" t="n"/>
      <c r="E339" s="141" t="n"/>
      <c r="F339" s="141" t="n"/>
      <c r="G339" s="143" t="n"/>
      <c r="H339" s="27" t="n"/>
    </row>
    <row r="340" ht="17.25" customHeight="1" s="322">
      <c r="A340" s="27" t="n"/>
      <c r="B340" s="506" t="n"/>
      <c r="C340" s="141" t="n"/>
      <c r="D340" s="141" t="n"/>
      <c r="E340" s="141" t="n"/>
      <c r="F340" s="141" t="n"/>
      <c r="G340" s="143" t="n"/>
      <c r="H340" s="27" t="n"/>
    </row>
    <row r="341" ht="17.25" customHeight="1" s="322">
      <c r="A341" s="27" t="n"/>
      <c r="B341" s="506" t="n"/>
      <c r="C341" s="141" t="n"/>
      <c r="D341" s="141" t="n"/>
      <c r="E341" s="141" t="n"/>
      <c r="F341" s="141" t="n"/>
      <c r="G341" s="143" t="n"/>
      <c r="H341" s="27" t="n"/>
    </row>
    <row r="342" ht="17.25" customHeight="1" s="322">
      <c r="A342" s="27" t="n"/>
      <c r="B342" s="506" t="n"/>
      <c r="C342" s="141" t="n"/>
      <c r="D342" s="141" t="n"/>
      <c r="E342" s="141" t="n"/>
      <c r="F342" s="141" t="n"/>
      <c r="G342" s="143" t="n"/>
      <c r="H342" s="27" t="n"/>
    </row>
    <row r="343" ht="17.25" customHeight="1" s="322">
      <c r="A343" s="27" t="n"/>
      <c r="B343" s="506" t="n"/>
      <c r="C343" s="141" t="n"/>
      <c r="D343" s="141" t="n"/>
      <c r="E343" s="141" t="n"/>
      <c r="F343" s="141" t="n"/>
      <c r="G343" s="143" t="n"/>
      <c r="H343" s="27" t="n"/>
    </row>
    <row r="344" ht="17.25" customHeight="1" s="322">
      <c r="A344" s="27" t="n"/>
      <c r="B344" s="506" t="n"/>
      <c r="C344" s="141" t="n"/>
      <c r="D344" s="141" t="n"/>
      <c r="E344" s="141" t="n"/>
      <c r="F344" s="141" t="n"/>
      <c r="G344" s="143" t="n"/>
      <c r="H344" s="27" t="n"/>
    </row>
    <row r="345" ht="17.25" customHeight="1" s="322">
      <c r="A345" s="27" t="n"/>
      <c r="B345" s="506" t="n"/>
      <c r="C345" s="141" t="n"/>
      <c r="D345" s="141" t="n"/>
      <c r="E345" s="141" t="n"/>
      <c r="F345" s="141" t="n"/>
      <c r="G345" s="143" t="n"/>
      <c r="H345" s="27" t="n"/>
    </row>
    <row r="346" ht="17.25" customHeight="1" s="322">
      <c r="A346" s="27" t="n"/>
      <c r="B346" s="506" t="n"/>
      <c r="C346" s="141" t="n"/>
      <c r="D346" s="141" t="n"/>
      <c r="E346" s="141" t="n"/>
      <c r="F346" s="141" t="n"/>
      <c r="G346" s="143" t="n"/>
      <c r="H346" s="27" t="n"/>
    </row>
    <row r="347" ht="17.25" customHeight="1" s="322">
      <c r="A347" s="27" t="n"/>
      <c r="B347" s="506" t="n"/>
      <c r="C347" s="141" t="n"/>
      <c r="D347" s="141" t="n"/>
      <c r="E347" s="141" t="n"/>
      <c r="F347" s="141" t="n"/>
      <c r="G347" s="143" t="n"/>
      <c r="H347" s="27" t="n"/>
    </row>
    <row r="348" ht="17.25" customHeight="1" s="322">
      <c r="A348" s="27" t="n"/>
      <c r="B348" s="506" t="n"/>
      <c r="C348" s="141" t="n"/>
      <c r="D348" s="141" t="n"/>
      <c r="E348" s="141" t="n"/>
      <c r="F348" s="141" t="n"/>
      <c r="G348" s="143" t="n"/>
      <c r="H348" s="27" t="n"/>
    </row>
    <row r="349" ht="17.25" customHeight="1" s="322">
      <c r="A349" s="27" t="n"/>
      <c r="B349" s="506" t="n"/>
      <c r="C349" s="141" t="n"/>
      <c r="D349" s="141" t="n"/>
      <c r="E349" s="141" t="n"/>
      <c r="F349" s="141" t="n"/>
      <c r="G349" s="143" t="n"/>
      <c r="H349" s="27" t="n"/>
    </row>
    <row r="350" ht="17.25" customHeight="1" s="322">
      <c r="A350" s="27" t="n"/>
      <c r="B350" s="506" t="n"/>
      <c r="C350" s="141" t="n"/>
      <c r="D350" s="141" t="n"/>
      <c r="E350" s="141" t="n"/>
      <c r="F350" s="141" t="n"/>
      <c r="G350" s="143" t="n"/>
      <c r="H350" s="27" t="n"/>
    </row>
    <row r="351" ht="17.25" customHeight="1" s="322">
      <c r="A351" s="27" t="n"/>
      <c r="B351" s="506" t="n"/>
      <c r="C351" s="141" t="n"/>
      <c r="D351" s="141" t="n"/>
      <c r="E351" s="141" t="n"/>
      <c r="F351" s="141" t="n"/>
      <c r="G351" s="143" t="n"/>
      <c r="H351" s="27" t="n"/>
    </row>
    <row r="352" ht="17.25" customHeight="1" s="322">
      <c r="A352" s="27" t="n"/>
      <c r="B352" s="506" t="n"/>
      <c r="C352" s="141" t="n"/>
      <c r="D352" s="141" t="n"/>
      <c r="E352" s="141" t="n"/>
      <c r="F352" s="141" t="n"/>
      <c r="G352" s="143" t="n"/>
      <c r="H352" s="27" t="n"/>
    </row>
    <row r="353" ht="17.25" customHeight="1" s="322">
      <c r="A353" s="27" t="n"/>
      <c r="B353" s="506" t="n"/>
      <c r="C353" s="141" t="n"/>
      <c r="D353" s="141" t="n"/>
      <c r="E353" s="141" t="n"/>
      <c r="F353" s="141" t="n"/>
      <c r="G353" s="143" t="n"/>
      <c r="H353" s="27" t="n"/>
    </row>
    <row r="354" ht="17.25" customHeight="1" s="322">
      <c r="A354" s="27" t="n"/>
      <c r="B354" s="506" t="n"/>
      <c r="C354" s="141" t="n"/>
      <c r="D354" s="141" t="n"/>
      <c r="E354" s="141" t="n"/>
      <c r="F354" s="141" t="n"/>
      <c r="G354" s="143" t="n"/>
      <c r="H354" s="27" t="n"/>
    </row>
    <row r="355" ht="17.25" customHeight="1" s="322">
      <c r="A355" s="27" t="n"/>
      <c r="B355" s="506" t="n"/>
      <c r="C355" s="141" t="n"/>
      <c r="D355" s="141" t="n"/>
      <c r="E355" s="141" t="n"/>
      <c r="F355" s="141" t="n"/>
      <c r="G355" s="143" t="n"/>
      <c r="H355" s="27" t="n"/>
    </row>
    <row r="356" ht="17.25" customHeight="1" s="322">
      <c r="A356" s="27" t="n"/>
      <c r="B356" s="506" t="n"/>
      <c r="C356" s="141" t="n"/>
      <c r="D356" s="141" t="n"/>
      <c r="E356" s="141" t="n"/>
      <c r="F356" s="141" t="n"/>
      <c r="G356" s="143" t="n"/>
      <c r="H356" s="27" t="n"/>
    </row>
    <row r="357" ht="17.25" customHeight="1" s="322">
      <c r="A357" s="27" t="n"/>
      <c r="B357" s="506" t="n"/>
      <c r="C357" s="141" t="n"/>
      <c r="D357" s="141" t="n"/>
      <c r="E357" s="141" t="n"/>
      <c r="F357" s="141" t="n"/>
      <c r="G357" s="143" t="n"/>
      <c r="H357" s="27" t="n"/>
    </row>
    <row r="358" ht="17.25" customHeight="1" s="322">
      <c r="A358" s="27" t="n"/>
      <c r="B358" s="506" t="n"/>
      <c r="C358" s="141" t="n"/>
      <c r="D358" s="141" t="n"/>
      <c r="E358" s="141" t="n"/>
      <c r="F358" s="141" t="n"/>
      <c r="G358" s="143" t="n"/>
      <c r="H358" s="27" t="n"/>
    </row>
    <row r="359" ht="17.25" customHeight="1" s="322">
      <c r="A359" s="27" t="n"/>
      <c r="B359" s="506" t="n"/>
      <c r="C359" s="141" t="n"/>
      <c r="D359" s="141" t="n"/>
      <c r="E359" s="141" t="n"/>
      <c r="F359" s="141" t="n"/>
      <c r="G359" s="143" t="n"/>
      <c r="H359" s="27" t="n"/>
    </row>
    <row r="360" ht="17.25" customHeight="1" s="322">
      <c r="A360" s="27" t="n"/>
      <c r="B360" s="506" t="n"/>
      <c r="C360" s="141" t="n"/>
      <c r="D360" s="141" t="n"/>
      <c r="E360" s="141" t="n"/>
      <c r="F360" s="141" t="n"/>
      <c r="G360" s="143" t="n"/>
      <c r="H360" s="27" t="n"/>
    </row>
    <row r="361" ht="17.25" customHeight="1" s="322">
      <c r="A361" s="27" t="n"/>
      <c r="B361" s="506" t="n"/>
      <c r="C361" s="141" t="n"/>
      <c r="D361" s="141" t="n"/>
      <c r="E361" s="141" t="n"/>
      <c r="F361" s="141" t="n"/>
      <c r="G361" s="143" t="n"/>
      <c r="H361" s="27" t="n"/>
    </row>
    <row r="362" ht="17.25" customHeight="1" s="322">
      <c r="A362" s="27" t="n"/>
      <c r="B362" s="506" t="n"/>
      <c r="C362" s="141" t="n"/>
      <c r="D362" s="141" t="n"/>
      <c r="E362" s="141" t="n"/>
      <c r="F362" s="141" t="n"/>
      <c r="G362" s="143" t="n"/>
      <c r="H362" s="27" t="n"/>
    </row>
    <row r="363" ht="17.25" customHeight="1" s="322">
      <c r="A363" s="27" t="n"/>
      <c r="B363" s="506" t="n"/>
      <c r="C363" s="141" t="n"/>
      <c r="D363" s="141" t="n"/>
      <c r="E363" s="141" t="n"/>
      <c r="F363" s="141" t="n"/>
      <c r="G363" s="143" t="n"/>
      <c r="H363" s="27" t="n"/>
    </row>
    <row r="364" ht="17.25" customHeight="1" s="322">
      <c r="A364" s="27" t="n"/>
      <c r="B364" s="506" t="n"/>
      <c r="C364" s="141" t="n"/>
      <c r="D364" s="141" t="n"/>
      <c r="E364" s="141" t="n"/>
      <c r="F364" s="141" t="n"/>
      <c r="G364" s="143" t="n"/>
      <c r="H364" s="27" t="n"/>
    </row>
    <row r="365" ht="17.25" customHeight="1" s="322">
      <c r="A365" s="27" t="n"/>
      <c r="B365" s="506" t="n"/>
      <c r="C365" s="141" t="n"/>
      <c r="D365" s="141" t="n"/>
      <c r="E365" s="141" t="n"/>
      <c r="F365" s="141" t="n"/>
      <c r="G365" s="143" t="n"/>
      <c r="H365" s="27" t="n"/>
    </row>
    <row r="366" ht="17.25" customHeight="1" s="322">
      <c r="A366" s="27" t="n"/>
      <c r="B366" s="506" t="n"/>
      <c r="C366" s="141" t="n"/>
      <c r="D366" s="141" t="n"/>
      <c r="E366" s="141" t="n"/>
      <c r="F366" s="141" t="n"/>
      <c r="G366" s="143" t="n"/>
      <c r="H366" s="27" t="n"/>
    </row>
    <row r="367" ht="17.25" customHeight="1" s="322">
      <c r="A367" s="27" t="n"/>
      <c r="B367" s="506" t="n"/>
      <c r="C367" s="141" t="n"/>
      <c r="D367" s="141" t="n"/>
      <c r="E367" s="141" t="n"/>
      <c r="F367" s="141" t="n"/>
      <c r="G367" s="143" t="n"/>
      <c r="H367" s="27" t="n"/>
    </row>
    <row r="368" ht="17.25" customHeight="1" s="322">
      <c r="A368" s="27" t="n"/>
      <c r="B368" s="506" t="n"/>
      <c r="C368" s="141" t="n"/>
      <c r="D368" s="141" t="n"/>
      <c r="E368" s="141" t="n"/>
      <c r="F368" s="141" t="n"/>
      <c r="G368" s="143" t="n"/>
      <c r="H368" s="27" t="n"/>
    </row>
    <row r="369" ht="17.25" customHeight="1" s="322">
      <c r="A369" s="27" t="n"/>
      <c r="B369" s="506" t="n"/>
      <c r="C369" s="141" t="n"/>
      <c r="D369" s="141" t="n"/>
      <c r="E369" s="141" t="n"/>
      <c r="F369" s="141" t="n"/>
      <c r="G369" s="143" t="n"/>
      <c r="H369" s="27" t="n"/>
    </row>
    <row r="370" ht="17.25" customHeight="1" s="322">
      <c r="A370" s="27" t="n"/>
      <c r="B370" s="506" t="n"/>
      <c r="C370" s="141" t="n"/>
      <c r="D370" s="141" t="n"/>
      <c r="E370" s="141" t="n"/>
      <c r="F370" s="141" t="n"/>
      <c r="G370" s="143" t="n"/>
      <c r="H370" s="27" t="n"/>
    </row>
    <row r="371" ht="17.25" customHeight="1" s="322">
      <c r="A371" s="27" t="n"/>
      <c r="B371" s="506" t="n"/>
      <c r="C371" s="141" t="n"/>
      <c r="D371" s="141" t="n"/>
      <c r="E371" s="141" t="n"/>
      <c r="F371" s="141" t="n"/>
      <c r="G371" s="143" t="n"/>
      <c r="H371" s="27" t="n"/>
    </row>
    <row r="372" ht="17.25" customHeight="1" s="322">
      <c r="A372" s="27" t="n"/>
      <c r="B372" s="506" t="n"/>
      <c r="C372" s="141" t="n"/>
      <c r="D372" s="141" t="n"/>
      <c r="E372" s="141" t="n"/>
      <c r="F372" s="141" t="n"/>
      <c r="G372" s="143" t="n"/>
      <c r="H372" s="27" t="n"/>
    </row>
    <row r="373" ht="17.25" customHeight="1" s="322">
      <c r="A373" s="27" t="n"/>
      <c r="B373" s="506" t="n"/>
      <c r="C373" s="141" t="n"/>
      <c r="D373" s="141" t="n"/>
      <c r="E373" s="141" t="n"/>
      <c r="F373" s="141" t="n"/>
      <c r="G373" s="143" t="n"/>
      <c r="H373" s="27" t="n"/>
    </row>
    <row r="374" ht="17.25" customHeight="1" s="322">
      <c r="A374" s="27" t="n"/>
      <c r="B374" s="506" t="n"/>
      <c r="C374" s="141" t="n"/>
      <c r="D374" s="141" t="n"/>
      <c r="E374" s="141" t="n"/>
      <c r="F374" s="141" t="n"/>
      <c r="G374" s="143" t="n"/>
      <c r="H374" s="27" t="n"/>
    </row>
    <row r="375" ht="17.25" customHeight="1" s="322">
      <c r="A375" s="27" t="n"/>
      <c r="B375" s="506" t="n"/>
      <c r="C375" s="141" t="n"/>
      <c r="D375" s="141" t="n"/>
      <c r="E375" s="141" t="n"/>
      <c r="F375" s="141" t="n"/>
      <c r="G375" s="143" t="n"/>
      <c r="H375" s="27" t="n"/>
    </row>
    <row r="376" ht="17.25" customHeight="1" s="322">
      <c r="A376" s="27" t="n"/>
      <c r="B376" s="506" t="n"/>
      <c r="C376" s="141" t="n"/>
      <c r="D376" s="141" t="n"/>
      <c r="E376" s="141" t="n"/>
      <c r="F376" s="141" t="n"/>
      <c r="G376" s="143" t="n"/>
      <c r="H376" s="27" t="n"/>
    </row>
    <row r="377" ht="17.25" customHeight="1" s="322">
      <c r="A377" s="27" t="n"/>
      <c r="B377" s="506" t="n"/>
      <c r="C377" s="141" t="n"/>
      <c r="D377" s="141" t="n"/>
      <c r="E377" s="141" t="n"/>
      <c r="F377" s="141" t="n"/>
      <c r="G377" s="143" t="n"/>
      <c r="H377" s="27" t="n"/>
    </row>
    <row r="378" ht="17.25" customHeight="1" s="322">
      <c r="A378" s="27" t="n"/>
      <c r="B378" s="506" t="n"/>
      <c r="C378" s="141" t="n"/>
      <c r="D378" s="141" t="n"/>
      <c r="E378" s="141" t="n"/>
      <c r="F378" s="141" t="n"/>
      <c r="G378" s="143" t="n"/>
      <c r="H378" s="27" t="n"/>
    </row>
    <row r="379" ht="17.25" customHeight="1" s="322">
      <c r="A379" s="27" t="n"/>
      <c r="B379" s="506" t="n"/>
      <c r="C379" s="141" t="n"/>
      <c r="D379" s="141" t="n"/>
      <c r="E379" s="141" t="n"/>
      <c r="F379" s="141" t="n"/>
      <c r="G379" s="143" t="n"/>
      <c r="H379" s="27" t="n"/>
    </row>
    <row r="380" ht="17.25" customHeight="1" s="322">
      <c r="A380" s="27" t="n"/>
      <c r="B380" s="506" t="n"/>
      <c r="C380" s="141" t="n"/>
      <c r="D380" s="141" t="n"/>
      <c r="E380" s="141" t="n"/>
      <c r="F380" s="141" t="n"/>
      <c r="G380" s="143" t="n"/>
      <c r="H380" s="27" t="n"/>
    </row>
    <row r="381" ht="17.25" customHeight="1" s="322">
      <c r="A381" s="27" t="n"/>
      <c r="B381" s="506" t="n"/>
      <c r="C381" s="141" t="n"/>
      <c r="D381" s="141" t="n"/>
      <c r="E381" s="141" t="n"/>
      <c r="F381" s="141" t="n"/>
      <c r="G381" s="143" t="n"/>
      <c r="H381" s="27" t="n"/>
    </row>
    <row r="382" ht="17.25" customHeight="1" s="322">
      <c r="A382" s="27" t="n"/>
      <c r="B382" s="506" t="n"/>
      <c r="C382" s="141" t="n"/>
      <c r="D382" s="141" t="n"/>
      <c r="E382" s="141" t="n"/>
      <c r="F382" s="141" t="n"/>
      <c r="G382" s="143" t="n"/>
      <c r="H382" s="27" t="n"/>
    </row>
    <row r="383" ht="17.25" customHeight="1" s="322">
      <c r="A383" s="27" t="n"/>
      <c r="B383" s="506" t="n"/>
      <c r="C383" s="141" t="n"/>
      <c r="D383" s="141" t="n"/>
      <c r="E383" s="141" t="n"/>
      <c r="F383" s="141" t="n"/>
      <c r="G383" s="143" t="n"/>
      <c r="H383" s="27" t="n"/>
    </row>
    <row r="384" ht="17.25" customHeight="1" s="322">
      <c r="A384" s="27" t="n"/>
      <c r="B384" s="506" t="n"/>
      <c r="C384" s="141" t="n"/>
      <c r="D384" s="141" t="n"/>
      <c r="E384" s="141" t="n"/>
      <c r="F384" s="141" t="n"/>
      <c r="G384" s="143" t="n"/>
      <c r="H384" s="27" t="n"/>
    </row>
    <row r="385" ht="17.25" customHeight="1" s="322">
      <c r="A385" s="27" t="n"/>
      <c r="B385" s="506" t="n"/>
      <c r="C385" s="141" t="n"/>
      <c r="D385" s="141" t="n"/>
      <c r="E385" s="141" t="n"/>
      <c r="F385" s="141" t="n"/>
      <c r="G385" s="143" t="n"/>
      <c r="H385" s="27" t="n"/>
    </row>
    <row r="386" ht="17.25" customHeight="1" s="322">
      <c r="A386" s="27" t="n"/>
      <c r="B386" s="506" t="n"/>
      <c r="C386" s="141" t="n"/>
      <c r="D386" s="141" t="n"/>
      <c r="E386" s="141" t="n"/>
      <c r="F386" s="141" t="n"/>
      <c r="G386" s="143" t="n"/>
      <c r="H386" s="27" t="n"/>
    </row>
    <row r="387" ht="17.25" customHeight="1" s="322">
      <c r="A387" s="27" t="n"/>
      <c r="B387" s="506" t="n"/>
      <c r="C387" s="141" t="n"/>
      <c r="D387" s="141" t="n"/>
      <c r="E387" s="141" t="n"/>
      <c r="F387" s="141" t="n"/>
      <c r="G387" s="143" t="n"/>
      <c r="H387" s="27" t="n"/>
    </row>
    <row r="388" ht="17.25" customHeight="1" s="322">
      <c r="A388" s="27" t="n"/>
      <c r="B388" s="506" t="n"/>
      <c r="C388" s="141" t="n"/>
      <c r="D388" s="141" t="n"/>
      <c r="E388" s="141" t="n"/>
      <c r="F388" s="141" t="n"/>
      <c r="G388" s="143" t="n"/>
      <c r="H388" s="27" t="n"/>
    </row>
    <row r="389" ht="17.25" customHeight="1" s="322">
      <c r="A389" s="27" t="n"/>
      <c r="B389" s="506" t="n"/>
      <c r="C389" s="141" t="n"/>
      <c r="D389" s="141" t="n"/>
      <c r="E389" s="141" t="n"/>
      <c r="F389" s="141" t="n"/>
      <c r="G389" s="143" t="n"/>
      <c r="H389" s="27" t="n"/>
    </row>
    <row r="390" ht="17.25" customHeight="1" s="322">
      <c r="A390" s="27" t="n"/>
      <c r="B390" s="506" t="n"/>
      <c r="C390" s="141" t="n"/>
      <c r="D390" s="141" t="n"/>
      <c r="E390" s="141" t="n"/>
      <c r="F390" s="141" t="n"/>
      <c r="G390" s="143" t="n"/>
      <c r="H390" s="27" t="n"/>
    </row>
    <row r="391" ht="17.25" customHeight="1" s="322">
      <c r="A391" s="27" t="n"/>
      <c r="B391" s="506" t="n"/>
      <c r="C391" s="141" t="n"/>
      <c r="D391" s="141" t="n"/>
      <c r="E391" s="141" t="n"/>
      <c r="F391" s="141" t="n"/>
      <c r="G391" s="143" t="n"/>
      <c r="H391" s="27" t="n"/>
    </row>
    <row r="392" ht="17.25" customHeight="1" s="322">
      <c r="A392" s="27" t="n"/>
      <c r="B392" s="506" t="n"/>
      <c r="C392" s="141" t="n"/>
      <c r="D392" s="141" t="n"/>
      <c r="E392" s="141" t="n"/>
      <c r="F392" s="141" t="n"/>
      <c r="G392" s="143" t="n"/>
      <c r="H392" s="27" t="n"/>
    </row>
    <row r="393" ht="17.25" customHeight="1" s="322">
      <c r="A393" s="27" t="n"/>
      <c r="B393" s="506" t="n"/>
      <c r="C393" s="141" t="n"/>
      <c r="D393" s="141" t="n"/>
      <c r="E393" s="141" t="n"/>
      <c r="F393" s="141" t="n"/>
      <c r="G393" s="143" t="n"/>
      <c r="H393" s="27" t="n"/>
    </row>
    <row r="394" ht="17.25" customHeight="1" s="322">
      <c r="A394" s="27" t="n"/>
      <c r="B394" s="506" t="n"/>
      <c r="C394" s="141" t="n"/>
      <c r="D394" s="141" t="n"/>
      <c r="E394" s="141" t="n"/>
      <c r="F394" s="141" t="n"/>
      <c r="G394" s="143" t="n"/>
      <c r="H394" s="27" t="n"/>
    </row>
    <row r="395" ht="17.25" customHeight="1" s="322">
      <c r="A395" s="27" t="n"/>
      <c r="B395" s="506" t="n"/>
      <c r="C395" s="141" t="n"/>
      <c r="D395" s="141" t="n"/>
      <c r="E395" s="141" t="n"/>
      <c r="F395" s="141" t="n"/>
      <c r="G395" s="143" t="n"/>
      <c r="H395" s="27" t="n"/>
    </row>
    <row r="396" ht="17.25" customHeight="1" s="322">
      <c r="A396" s="27" t="n"/>
      <c r="B396" s="506" t="n"/>
      <c r="C396" s="141" t="n"/>
      <c r="D396" s="141" t="n"/>
      <c r="E396" s="141" t="n"/>
      <c r="F396" s="141" t="n"/>
      <c r="G396" s="143" t="n"/>
      <c r="H396" s="27" t="n"/>
    </row>
    <row r="397" ht="17.25" customHeight="1" s="322">
      <c r="A397" s="27" t="n"/>
      <c r="B397" s="506" t="n"/>
      <c r="C397" s="141" t="n"/>
      <c r="D397" s="141" t="n"/>
      <c r="E397" s="141" t="n"/>
      <c r="F397" s="141" t="n"/>
      <c r="G397" s="143" t="n"/>
      <c r="H397" s="27" t="n"/>
    </row>
    <row r="398" ht="17.25" customHeight="1" s="322">
      <c r="A398" s="27" t="n"/>
      <c r="B398" s="506" t="n"/>
      <c r="C398" s="141" t="n"/>
      <c r="D398" s="141" t="n"/>
      <c r="E398" s="141" t="n"/>
      <c r="F398" s="141" t="n"/>
      <c r="G398" s="143" t="n"/>
      <c r="H398" s="27" t="n"/>
    </row>
    <row r="399" ht="17.25" customHeight="1" s="322">
      <c r="A399" s="27" t="n"/>
      <c r="B399" s="506" t="n"/>
      <c r="C399" s="141" t="n"/>
      <c r="D399" s="141" t="n"/>
      <c r="E399" s="141" t="n"/>
      <c r="F399" s="141" t="n"/>
      <c r="G399" s="143" t="n"/>
      <c r="H399" s="27" t="n"/>
    </row>
    <row r="400" ht="17.25" customHeight="1" s="322">
      <c r="A400" s="27" t="n"/>
      <c r="B400" s="506" t="n"/>
      <c r="C400" s="141" t="n"/>
      <c r="D400" s="141" t="n"/>
      <c r="E400" s="141" t="n"/>
      <c r="F400" s="141" t="n"/>
      <c r="G400" s="143" t="n"/>
      <c r="H400" s="27" t="n"/>
    </row>
    <row r="401" ht="17.25" customHeight="1" s="322">
      <c r="A401" s="27" t="n"/>
      <c r="B401" s="506" t="n"/>
      <c r="C401" s="141" t="n"/>
      <c r="D401" s="141" t="n"/>
      <c r="E401" s="141" t="n"/>
      <c r="F401" s="141" t="n"/>
      <c r="G401" s="143" t="n"/>
      <c r="H401" s="27" t="n"/>
    </row>
    <row r="402" ht="17.25" customHeight="1" s="322">
      <c r="A402" s="27" t="n"/>
      <c r="B402" s="506" t="n"/>
      <c r="C402" s="141" t="n"/>
      <c r="D402" s="141" t="n"/>
      <c r="E402" s="141" t="n"/>
      <c r="F402" s="141" t="n"/>
      <c r="G402" s="143" t="n"/>
      <c r="H402" s="27" t="n"/>
    </row>
    <row r="403" ht="17.25" customHeight="1" s="322">
      <c r="A403" s="27" t="n"/>
      <c r="B403" s="506" t="n"/>
      <c r="C403" s="141" t="n"/>
      <c r="D403" s="141" t="n"/>
      <c r="E403" s="141" t="n"/>
      <c r="F403" s="141" t="n"/>
      <c r="G403" s="143" t="n"/>
      <c r="H403" s="27" t="n"/>
    </row>
    <row r="404" ht="17.25" customHeight="1" s="322">
      <c r="A404" s="27" t="n"/>
      <c r="B404" s="506" t="n"/>
      <c r="C404" s="141" t="n"/>
      <c r="D404" s="141" t="n"/>
      <c r="E404" s="141" t="n"/>
      <c r="F404" s="141" t="n"/>
      <c r="G404" s="143" t="n"/>
      <c r="H404" s="27" t="n"/>
    </row>
    <row r="405" ht="17.25" customHeight="1" s="322">
      <c r="A405" s="27" t="n"/>
      <c r="B405" s="506" t="n"/>
      <c r="C405" s="141" t="n"/>
      <c r="D405" s="141" t="n"/>
      <c r="E405" s="141" t="n"/>
      <c r="F405" s="141" t="n"/>
      <c r="G405" s="143" t="n"/>
      <c r="H405" s="27" t="n"/>
    </row>
    <row r="406" ht="17.25" customHeight="1" s="322">
      <c r="A406" s="27" t="n"/>
      <c r="B406" s="506" t="n"/>
      <c r="C406" s="141" t="n"/>
      <c r="D406" s="141" t="n"/>
      <c r="E406" s="141" t="n"/>
      <c r="F406" s="141" t="n"/>
      <c r="G406" s="143" t="n"/>
      <c r="H406" s="27" t="n"/>
    </row>
    <row r="407" ht="17.25" customHeight="1" s="322">
      <c r="A407" s="27" t="n"/>
      <c r="B407" s="506" t="n"/>
      <c r="C407" s="141" t="n"/>
      <c r="D407" s="141" t="n"/>
      <c r="E407" s="141" t="n"/>
      <c r="F407" s="141" t="n"/>
      <c r="G407" s="143" t="n"/>
      <c r="H407" s="27" t="n"/>
    </row>
    <row r="408" ht="17.25" customHeight="1" s="322">
      <c r="A408" s="27" t="n"/>
      <c r="B408" s="506" t="n"/>
      <c r="C408" s="141" t="n"/>
      <c r="D408" s="141" t="n"/>
      <c r="E408" s="141" t="n"/>
      <c r="F408" s="141" t="n"/>
      <c r="G408" s="143" t="n"/>
      <c r="H408" s="27" t="n"/>
    </row>
    <row r="409" ht="17.25" customHeight="1" s="322">
      <c r="A409" s="27" t="n"/>
      <c r="B409" s="506" t="n"/>
      <c r="C409" s="141" t="n"/>
      <c r="D409" s="141" t="n"/>
      <c r="E409" s="141" t="n"/>
      <c r="F409" s="141" t="n"/>
      <c r="G409" s="143" t="n"/>
      <c r="H409" s="27" t="n"/>
    </row>
    <row r="410" ht="17.25" customHeight="1" s="322">
      <c r="A410" s="27" t="n"/>
      <c r="B410" s="506" t="n"/>
      <c r="C410" s="141" t="n"/>
      <c r="D410" s="141" t="n"/>
      <c r="E410" s="141" t="n"/>
      <c r="F410" s="141" t="n"/>
      <c r="G410" s="143" t="n"/>
      <c r="H410" s="27" t="n"/>
    </row>
    <row r="411" ht="17.25" customHeight="1" s="322">
      <c r="A411" s="27" t="n"/>
      <c r="B411" s="506" t="n"/>
      <c r="C411" s="141" t="n"/>
      <c r="D411" s="141" t="n"/>
      <c r="E411" s="141" t="n"/>
      <c r="F411" s="141" t="n"/>
      <c r="G411" s="143" t="n"/>
      <c r="H411" s="27" t="n"/>
    </row>
    <row r="412" ht="17.25" customHeight="1" s="322">
      <c r="A412" s="27" t="n"/>
      <c r="B412" s="506" t="n"/>
      <c r="C412" s="141" t="n"/>
      <c r="D412" s="141" t="n"/>
      <c r="E412" s="141" t="n"/>
      <c r="F412" s="141" t="n"/>
      <c r="G412" s="143" t="n"/>
      <c r="H412" s="27" t="n"/>
    </row>
    <row r="413" ht="17.25" customHeight="1" s="322">
      <c r="A413" s="27" t="n"/>
      <c r="B413" s="506" t="n"/>
      <c r="C413" s="141" t="n"/>
      <c r="D413" s="141" t="n"/>
      <c r="E413" s="141" t="n"/>
      <c r="F413" s="141" t="n"/>
      <c r="G413" s="143" t="n"/>
      <c r="H413" s="27" t="n"/>
    </row>
    <row r="414" ht="17.25" customHeight="1" s="322">
      <c r="A414" s="27" t="n"/>
      <c r="B414" s="506" t="n"/>
      <c r="C414" s="141" t="n"/>
      <c r="D414" s="141" t="n"/>
      <c r="E414" s="141" t="n"/>
      <c r="F414" s="141" t="n"/>
      <c r="G414" s="143" t="n"/>
      <c r="H414" s="27" t="n"/>
    </row>
    <row r="415" ht="17.25" customHeight="1" s="322">
      <c r="A415" s="27" t="n"/>
      <c r="B415" s="506" t="n"/>
      <c r="C415" s="141" t="n"/>
      <c r="D415" s="141" t="n"/>
      <c r="E415" s="141" t="n"/>
      <c r="F415" s="141" t="n"/>
      <c r="G415" s="143" t="n"/>
      <c r="H415" s="27" t="n"/>
    </row>
    <row r="416" ht="17.25" customHeight="1" s="322">
      <c r="A416" s="27" t="n"/>
      <c r="B416" s="506" t="n"/>
      <c r="C416" s="141" t="n"/>
      <c r="D416" s="141" t="n"/>
      <c r="E416" s="141" t="n"/>
      <c r="F416" s="141" t="n"/>
      <c r="G416" s="143" t="n"/>
      <c r="H416" s="27" t="n"/>
    </row>
    <row r="417" ht="17.25" customHeight="1" s="322">
      <c r="A417" s="27" t="n"/>
      <c r="B417" s="506" t="n"/>
      <c r="C417" s="141" t="n"/>
      <c r="D417" s="141" t="n"/>
      <c r="E417" s="141" t="n"/>
      <c r="F417" s="141" t="n"/>
      <c r="G417" s="143" t="n"/>
      <c r="H417" s="27" t="n"/>
    </row>
    <row r="418" ht="17.25" customHeight="1" s="322">
      <c r="A418" s="27" t="n"/>
      <c r="B418" s="506" t="n"/>
      <c r="C418" s="141" t="n"/>
      <c r="D418" s="141" t="n"/>
      <c r="E418" s="141" t="n"/>
      <c r="F418" s="141" t="n"/>
      <c r="G418" s="143" t="n"/>
      <c r="H418" s="27" t="n"/>
    </row>
    <row r="419" ht="17.25" customHeight="1" s="322">
      <c r="A419" s="27" t="n"/>
      <c r="B419" s="506" t="n"/>
      <c r="C419" s="141" t="n"/>
      <c r="D419" s="141" t="n"/>
      <c r="E419" s="141" t="n"/>
      <c r="F419" s="141" t="n"/>
      <c r="G419" s="143" t="n"/>
      <c r="H419" s="27" t="n"/>
    </row>
    <row r="420" ht="17.25" customHeight="1" s="322">
      <c r="A420" s="27" t="n"/>
      <c r="B420" s="506" t="n"/>
      <c r="C420" s="141" t="n"/>
      <c r="D420" s="141" t="n"/>
      <c r="E420" s="141" t="n"/>
      <c r="F420" s="141" t="n"/>
      <c r="G420" s="143" t="n"/>
      <c r="H420" s="27" t="n"/>
    </row>
    <row r="421" ht="17.25" customHeight="1" s="322">
      <c r="A421" s="27" t="n"/>
      <c r="B421" s="506" t="n"/>
      <c r="C421" s="141" t="n"/>
      <c r="D421" s="141" t="n"/>
      <c r="E421" s="141" t="n"/>
      <c r="F421" s="141" t="n"/>
      <c r="G421" s="143" t="n"/>
      <c r="H421" s="27" t="n"/>
    </row>
    <row r="422" ht="17.25" customHeight="1" s="322">
      <c r="A422" s="27" t="n"/>
      <c r="B422" s="506" t="n"/>
      <c r="C422" s="141" t="n"/>
      <c r="D422" s="141" t="n"/>
      <c r="E422" s="141" t="n"/>
      <c r="F422" s="141" t="n"/>
      <c r="G422" s="143" t="n"/>
      <c r="H422" s="27" t="n"/>
    </row>
    <row r="423" ht="17.25" customHeight="1" s="322">
      <c r="A423" s="27" t="n"/>
      <c r="B423" s="506" t="n"/>
      <c r="C423" s="141" t="n"/>
      <c r="D423" s="141" t="n"/>
      <c r="E423" s="141" t="n"/>
      <c r="F423" s="141" t="n"/>
      <c r="G423" s="143" t="n"/>
      <c r="H423" s="27" t="n"/>
    </row>
    <row r="424" ht="17.25" customHeight="1" s="322">
      <c r="A424" s="27" t="n"/>
      <c r="B424" s="506" t="n"/>
      <c r="C424" s="141" t="n"/>
      <c r="D424" s="141" t="n"/>
      <c r="E424" s="141" t="n"/>
      <c r="F424" s="141" t="n"/>
      <c r="G424" s="143" t="n"/>
      <c r="H424" s="27" t="n"/>
    </row>
    <row r="425" ht="17.25" customHeight="1" s="322">
      <c r="A425" s="27" t="n"/>
      <c r="B425" s="506" t="n"/>
      <c r="C425" s="141" t="n"/>
      <c r="D425" s="141" t="n"/>
      <c r="E425" s="141" t="n"/>
      <c r="F425" s="141" t="n"/>
      <c r="G425" s="143" t="n"/>
      <c r="H425" s="27" t="n"/>
    </row>
    <row r="426" ht="17.25" customHeight="1" s="322">
      <c r="A426" s="27" t="n"/>
      <c r="B426" s="506" t="n"/>
      <c r="C426" s="141" t="n"/>
      <c r="D426" s="141" t="n"/>
      <c r="E426" s="141" t="n"/>
      <c r="F426" s="141" t="n"/>
      <c r="G426" s="143" t="n"/>
      <c r="H426" s="27" t="n"/>
    </row>
    <row r="427" ht="17.25" customHeight="1" s="322">
      <c r="A427" s="27" t="n"/>
      <c r="B427" s="506" t="n"/>
      <c r="C427" s="141" t="n"/>
      <c r="D427" s="141" t="n"/>
      <c r="E427" s="141" t="n"/>
      <c r="F427" s="141" t="n"/>
      <c r="G427" s="143" t="n"/>
      <c r="H427" s="27" t="n"/>
    </row>
    <row r="428" ht="17.25" customHeight="1" s="322">
      <c r="A428" s="27" t="n"/>
      <c r="B428" s="506" t="n"/>
      <c r="C428" s="141" t="n"/>
      <c r="D428" s="141" t="n"/>
      <c r="E428" s="141" t="n"/>
      <c r="F428" s="141" t="n"/>
      <c r="G428" s="143" t="n"/>
      <c r="H428" s="27" t="n"/>
    </row>
    <row r="429" ht="17.25" customHeight="1" s="322">
      <c r="A429" s="27" t="n"/>
      <c r="B429" s="506" t="n"/>
      <c r="C429" s="141" t="n"/>
      <c r="D429" s="141" t="n"/>
      <c r="E429" s="141" t="n"/>
      <c r="F429" s="141" t="n"/>
      <c r="G429" s="143" t="n"/>
      <c r="H429" s="27" t="n"/>
    </row>
    <row r="430" ht="17.25" customHeight="1" s="322">
      <c r="A430" s="27" t="n"/>
      <c r="B430" s="506" t="n"/>
      <c r="C430" s="141" t="n"/>
      <c r="D430" s="141" t="n"/>
      <c r="E430" s="141" t="n"/>
      <c r="F430" s="141" t="n"/>
      <c r="G430" s="143" t="n"/>
      <c r="H430" s="27" t="n"/>
    </row>
    <row r="431" ht="17.25" customHeight="1" s="322">
      <c r="A431" s="27" t="n"/>
      <c r="B431" s="506" t="n"/>
      <c r="C431" s="141" t="n"/>
      <c r="D431" s="141" t="n"/>
      <c r="E431" s="141" t="n"/>
      <c r="F431" s="141" t="n"/>
      <c r="G431" s="143" t="n"/>
      <c r="H431" s="27" t="n"/>
    </row>
    <row r="432" ht="17.25" customHeight="1" s="322">
      <c r="A432" s="27" t="n"/>
      <c r="B432" s="506" t="n"/>
      <c r="C432" s="141" t="n"/>
      <c r="D432" s="141" t="n"/>
      <c r="E432" s="141" t="n"/>
      <c r="F432" s="141" t="n"/>
      <c r="G432" s="143" t="n"/>
      <c r="H432" s="27" t="n"/>
    </row>
    <row r="433" ht="17.25" customHeight="1" s="322">
      <c r="A433" s="27" t="n"/>
      <c r="B433" s="506" t="n"/>
      <c r="C433" s="141" t="n"/>
      <c r="D433" s="141" t="n"/>
      <c r="E433" s="141" t="n"/>
      <c r="F433" s="141" t="n"/>
      <c r="G433" s="143" t="n"/>
      <c r="H433" s="27" t="n"/>
    </row>
    <row r="434" ht="17.25" customHeight="1" s="322">
      <c r="A434" s="27" t="n"/>
      <c r="B434" s="506" t="n"/>
      <c r="C434" s="141" t="n"/>
      <c r="D434" s="141" t="n"/>
      <c r="E434" s="141" t="n"/>
      <c r="F434" s="141" t="n"/>
      <c r="G434" s="143" t="n"/>
      <c r="H434" s="27" t="n"/>
    </row>
    <row r="435" ht="17.25" customHeight="1" s="322">
      <c r="A435" s="27" t="n"/>
      <c r="B435" s="506" t="n"/>
      <c r="C435" s="141" t="n"/>
      <c r="D435" s="141" t="n"/>
      <c r="E435" s="141" t="n"/>
      <c r="F435" s="141" t="n"/>
      <c r="G435" s="143" t="n"/>
      <c r="H435" s="27" t="n"/>
    </row>
    <row r="436" ht="17.25" customHeight="1" s="322">
      <c r="A436" s="27" t="n"/>
      <c r="B436" s="506" t="n"/>
      <c r="C436" s="141" t="n"/>
      <c r="D436" s="141" t="n"/>
      <c r="E436" s="141" t="n"/>
      <c r="F436" s="141" t="n"/>
      <c r="G436" s="143" t="n"/>
      <c r="H436" s="27" t="n"/>
    </row>
    <row r="437" ht="17.25" customHeight="1" s="322">
      <c r="A437" s="27" t="n"/>
      <c r="B437" s="506" t="n"/>
      <c r="C437" s="141" t="n"/>
      <c r="D437" s="141" t="n"/>
      <c r="E437" s="141" t="n"/>
      <c r="F437" s="141" t="n"/>
      <c r="G437" s="143" t="n"/>
      <c r="H437" s="27" t="n"/>
    </row>
    <row r="438" ht="17.25" customHeight="1" s="322">
      <c r="A438" s="27" t="n"/>
      <c r="B438" s="506" t="n"/>
      <c r="C438" s="141" t="n"/>
      <c r="D438" s="141" t="n"/>
      <c r="E438" s="141" t="n"/>
      <c r="F438" s="141" t="n"/>
      <c r="G438" s="143" t="n"/>
      <c r="H438" s="27" t="n"/>
    </row>
    <row r="439" ht="17.25" customHeight="1" s="322">
      <c r="A439" s="27" t="n"/>
      <c r="B439" s="506" t="n"/>
      <c r="C439" s="141" t="n"/>
      <c r="D439" s="141" t="n"/>
      <c r="E439" s="141" t="n"/>
      <c r="F439" s="141" t="n"/>
      <c r="G439" s="143" t="n"/>
      <c r="H439" s="27" t="n"/>
    </row>
    <row r="440" ht="17.25" customHeight="1" s="322">
      <c r="A440" s="27" t="n"/>
      <c r="B440" s="506" t="n"/>
      <c r="C440" s="141" t="n"/>
      <c r="D440" s="141" t="n"/>
      <c r="E440" s="141" t="n"/>
      <c r="F440" s="141" t="n"/>
      <c r="G440" s="143" t="n"/>
      <c r="H440" s="27" t="n"/>
    </row>
    <row r="441" ht="17.25" customHeight="1" s="322">
      <c r="A441" s="27" t="n"/>
      <c r="B441" s="506" t="n"/>
      <c r="C441" s="141" t="n"/>
      <c r="D441" s="141" t="n"/>
      <c r="E441" s="141" t="n"/>
      <c r="F441" s="141" t="n"/>
      <c r="G441" s="143" t="n"/>
      <c r="H441" s="27" t="n"/>
    </row>
    <row r="442" ht="17.25" customHeight="1" s="322">
      <c r="A442" s="27" t="n"/>
      <c r="B442" s="506" t="n"/>
      <c r="C442" s="141" t="n"/>
      <c r="D442" s="141" t="n"/>
      <c r="E442" s="141" t="n"/>
      <c r="F442" s="141" t="n"/>
      <c r="G442" s="143" t="n"/>
      <c r="H442" s="27" t="n"/>
    </row>
    <row r="443" ht="17.25" customHeight="1" s="322">
      <c r="A443" s="27" t="n"/>
      <c r="B443" s="506" t="n"/>
      <c r="C443" s="141" t="n"/>
      <c r="D443" s="141" t="n"/>
      <c r="E443" s="141" t="n"/>
      <c r="F443" s="141" t="n"/>
      <c r="G443" s="143" t="n"/>
      <c r="H443" s="27" t="n"/>
    </row>
    <row r="444" ht="17.25" customHeight="1" s="322">
      <c r="A444" s="27" t="n"/>
      <c r="B444" s="506" t="n"/>
      <c r="C444" s="141" t="n"/>
      <c r="D444" s="141" t="n"/>
      <c r="E444" s="141" t="n"/>
      <c r="F444" s="141" t="n"/>
      <c r="G444" s="143" t="n"/>
      <c r="H444" s="27" t="n"/>
    </row>
    <row r="445" ht="17.25" customHeight="1" s="322">
      <c r="A445" s="27" t="n"/>
      <c r="B445" s="506" t="n"/>
      <c r="C445" s="141" t="n"/>
      <c r="D445" s="141" t="n"/>
      <c r="E445" s="141" t="n"/>
      <c r="F445" s="141" t="n"/>
      <c r="G445" s="143" t="n"/>
      <c r="H445" s="27" t="n"/>
    </row>
    <row r="446" ht="17.25" customHeight="1" s="322">
      <c r="A446" s="27" t="n"/>
      <c r="B446" s="506" t="n"/>
      <c r="C446" s="141" t="n"/>
      <c r="D446" s="141" t="n"/>
      <c r="E446" s="141" t="n"/>
      <c r="F446" s="141" t="n"/>
      <c r="G446" s="143" t="n"/>
      <c r="H446" s="27" t="n"/>
    </row>
    <row r="447" ht="17.25" customHeight="1" s="322">
      <c r="A447" s="27" t="n"/>
      <c r="B447" s="506" t="n"/>
      <c r="C447" s="141" t="n"/>
      <c r="D447" s="141" t="n"/>
      <c r="E447" s="141" t="n"/>
      <c r="F447" s="141" t="n"/>
      <c r="G447" s="143" t="n"/>
      <c r="H447" s="27" t="n"/>
    </row>
    <row r="448" ht="17.25" customHeight="1" s="322">
      <c r="A448" s="27" t="n"/>
      <c r="B448" s="506" t="n"/>
      <c r="C448" s="141" t="n"/>
      <c r="D448" s="141" t="n"/>
      <c r="E448" s="141" t="n"/>
      <c r="F448" s="141" t="n"/>
      <c r="G448" s="143" t="n"/>
      <c r="H448" s="27" t="n"/>
    </row>
    <row r="449" ht="17.25" customHeight="1" s="322">
      <c r="A449" s="27" t="n"/>
      <c r="B449" s="506" t="n"/>
      <c r="C449" s="141" t="n"/>
      <c r="D449" s="141" t="n"/>
      <c r="E449" s="141" t="n"/>
      <c r="F449" s="141" t="n"/>
      <c r="G449" s="143" t="n"/>
      <c r="H449" s="27" t="n"/>
    </row>
    <row r="450" ht="17.25" customHeight="1" s="322">
      <c r="A450" s="27" t="n"/>
      <c r="B450" s="506" t="n"/>
      <c r="C450" s="141" t="n"/>
      <c r="D450" s="141" t="n"/>
      <c r="E450" s="141" t="n"/>
      <c r="F450" s="141" t="n"/>
      <c r="G450" s="143" t="n"/>
      <c r="H450" s="27" t="n"/>
    </row>
    <row r="451" ht="17.25" customHeight="1" s="322">
      <c r="A451" s="27" t="n"/>
      <c r="B451" s="506" t="n"/>
      <c r="C451" s="141" t="n"/>
      <c r="D451" s="141" t="n"/>
      <c r="E451" s="141" t="n"/>
      <c r="F451" s="141" t="n"/>
      <c r="G451" s="143" t="n"/>
      <c r="H451" s="27" t="n"/>
    </row>
    <row r="452" ht="17.25" customHeight="1" s="322">
      <c r="A452" s="27" t="n"/>
      <c r="B452" s="506" t="n"/>
      <c r="C452" s="141" t="n"/>
      <c r="D452" s="141" t="n"/>
      <c r="E452" s="141" t="n"/>
      <c r="F452" s="141" t="n"/>
      <c r="G452" s="143" t="n"/>
      <c r="H452" s="27" t="n"/>
    </row>
    <row r="453" ht="17.25" customHeight="1" s="322">
      <c r="A453" s="27" t="n"/>
      <c r="B453" s="506" t="n"/>
      <c r="C453" s="141" t="n"/>
      <c r="D453" s="141" t="n"/>
      <c r="E453" s="141" t="n"/>
      <c r="F453" s="141" t="n"/>
      <c r="G453" s="143" t="n"/>
      <c r="H453" s="27" t="n"/>
    </row>
    <row r="454" ht="17.25" customHeight="1" s="322">
      <c r="A454" s="27" t="n"/>
      <c r="B454" s="506" t="n"/>
      <c r="C454" s="141" t="n"/>
      <c r="D454" s="141" t="n"/>
      <c r="E454" s="141" t="n"/>
      <c r="F454" s="141" t="n"/>
      <c r="G454" s="143" t="n"/>
      <c r="H454" s="27" t="n"/>
    </row>
    <row r="455" ht="17.25" customHeight="1" s="322">
      <c r="A455" s="27" t="n"/>
      <c r="B455" s="506" t="n"/>
      <c r="C455" s="141" t="n"/>
      <c r="D455" s="141" t="n"/>
      <c r="E455" s="141" t="n"/>
      <c r="F455" s="141" t="n"/>
      <c r="G455" s="143" t="n"/>
      <c r="H455" s="27" t="n"/>
    </row>
    <row r="456" ht="17.25" customHeight="1" s="322">
      <c r="A456" s="27" t="n"/>
      <c r="B456" s="506" t="n"/>
      <c r="C456" s="141" t="n"/>
      <c r="D456" s="141" t="n"/>
      <c r="E456" s="141" t="n"/>
      <c r="F456" s="141" t="n"/>
      <c r="G456" s="143" t="n"/>
      <c r="H456" s="27" t="n"/>
    </row>
    <row r="457" ht="17.25" customHeight="1" s="322">
      <c r="A457" s="27" t="n"/>
      <c r="B457" s="506" t="n"/>
      <c r="C457" s="141" t="n"/>
      <c r="D457" s="141" t="n"/>
      <c r="E457" s="141" t="n"/>
      <c r="F457" s="141" t="n"/>
      <c r="G457" s="143" t="n"/>
      <c r="H457" s="27" t="n"/>
    </row>
    <row r="458" ht="17.25" customHeight="1" s="322">
      <c r="A458" s="27" t="n"/>
      <c r="B458" s="506" t="n"/>
      <c r="C458" s="141" t="n"/>
      <c r="D458" s="141" t="n"/>
      <c r="E458" s="141" t="n"/>
      <c r="F458" s="141" t="n"/>
      <c r="G458" s="143" t="n"/>
      <c r="H458" s="27" t="n"/>
    </row>
    <row r="459" ht="17.25" customHeight="1" s="322">
      <c r="A459" s="27" t="n"/>
      <c r="B459" s="506" t="n"/>
      <c r="C459" s="141" t="n"/>
      <c r="D459" s="141" t="n"/>
      <c r="E459" s="141" t="n"/>
      <c r="F459" s="141" t="n"/>
      <c r="G459" s="143" t="n"/>
      <c r="H459" s="27" t="n"/>
    </row>
    <row r="460" ht="17.25" customHeight="1" s="322">
      <c r="A460" s="27" t="n"/>
      <c r="B460" s="506" t="n"/>
      <c r="C460" s="141" t="n"/>
      <c r="D460" s="141" t="n"/>
      <c r="E460" s="141" t="n"/>
      <c r="F460" s="141" t="n"/>
      <c r="G460" s="143" t="n"/>
      <c r="H460" s="27" t="n"/>
    </row>
    <row r="461" ht="17.25" customHeight="1" s="322">
      <c r="A461" s="27" t="n"/>
      <c r="B461" s="506" t="n"/>
      <c r="C461" s="141" t="n"/>
      <c r="D461" s="141" t="n"/>
      <c r="E461" s="141" t="n"/>
      <c r="F461" s="141" t="n"/>
      <c r="G461" s="143" t="n"/>
      <c r="H461" s="27" t="n"/>
    </row>
    <row r="462" ht="17.25" customHeight="1" s="322">
      <c r="A462" s="27" t="n"/>
      <c r="B462" s="506" t="n"/>
      <c r="C462" s="141" t="n"/>
      <c r="D462" s="141" t="n"/>
      <c r="E462" s="141" t="n"/>
      <c r="F462" s="141" t="n"/>
      <c r="G462" s="143" t="n"/>
      <c r="H462" s="27" t="n"/>
    </row>
    <row r="463" ht="17.25" customHeight="1" s="322">
      <c r="A463" s="27" t="n"/>
      <c r="B463" s="506" t="n"/>
      <c r="C463" s="141" t="n"/>
      <c r="D463" s="141" t="n"/>
      <c r="E463" s="141" t="n"/>
      <c r="F463" s="141" t="n"/>
      <c r="G463" s="143" t="n"/>
      <c r="H463" s="27" t="n"/>
    </row>
    <row r="464" ht="17.25" customHeight="1" s="322">
      <c r="A464" s="27" t="n"/>
      <c r="B464" s="506" t="n"/>
      <c r="C464" s="141" t="n"/>
      <c r="D464" s="141" t="n"/>
      <c r="E464" s="141" t="n"/>
      <c r="F464" s="141" t="n"/>
      <c r="G464" s="143" t="n"/>
      <c r="H464" s="27" t="n"/>
    </row>
    <row r="465" ht="17.25" customHeight="1" s="322">
      <c r="A465" s="27" t="n"/>
      <c r="B465" s="506" t="n"/>
      <c r="C465" s="141" t="n"/>
      <c r="D465" s="141" t="n"/>
      <c r="E465" s="141" t="n"/>
      <c r="F465" s="141" t="n"/>
      <c r="G465" s="143" t="n"/>
      <c r="H465" s="27" t="n"/>
    </row>
    <row r="466" ht="17.25" customHeight="1" s="322">
      <c r="A466" s="27" t="n"/>
      <c r="B466" s="506" t="n"/>
      <c r="C466" s="141" t="n"/>
      <c r="D466" s="141" t="n"/>
      <c r="E466" s="141" t="n"/>
      <c r="F466" s="141" t="n"/>
      <c r="G466" s="143" t="n"/>
      <c r="H466" s="27" t="n"/>
    </row>
    <row r="467" ht="17.25" customHeight="1" s="322">
      <c r="A467" s="27" t="n"/>
      <c r="B467" s="506" t="n"/>
      <c r="C467" s="141" t="n"/>
      <c r="D467" s="141" t="n"/>
      <c r="E467" s="141" t="n"/>
      <c r="F467" s="141" t="n"/>
      <c r="G467" s="143" t="n"/>
      <c r="H467" s="27" t="n"/>
    </row>
    <row r="468" ht="17.25" customHeight="1" s="322">
      <c r="A468" s="27" t="n"/>
      <c r="B468" s="506" t="n"/>
      <c r="C468" s="141" t="n"/>
      <c r="D468" s="141" t="n"/>
      <c r="E468" s="141" t="n"/>
      <c r="F468" s="141" t="n"/>
      <c r="G468" s="143" t="n"/>
      <c r="H468" s="27" t="n"/>
    </row>
    <row r="469" ht="17.25" customHeight="1" s="322">
      <c r="A469" s="27" t="n"/>
      <c r="B469" s="506" t="n"/>
      <c r="C469" s="141" t="n"/>
      <c r="D469" s="141" t="n"/>
      <c r="E469" s="141" t="n"/>
      <c r="F469" s="141" t="n"/>
      <c r="G469" s="143" t="n"/>
      <c r="H469" s="27" t="n"/>
    </row>
    <row r="470" ht="17.25" customHeight="1" s="322">
      <c r="A470" s="27" t="n"/>
      <c r="B470" s="506" t="n"/>
      <c r="C470" s="141" t="n"/>
      <c r="D470" s="141" t="n"/>
      <c r="E470" s="141" t="n"/>
      <c r="F470" s="141" t="n"/>
      <c r="G470" s="143" t="n"/>
      <c r="H470" s="27" t="n"/>
    </row>
    <row r="471" ht="17.25" customHeight="1" s="322">
      <c r="A471" s="27" t="n"/>
      <c r="B471" s="506" t="n"/>
      <c r="C471" s="141" t="n"/>
      <c r="D471" s="141" t="n"/>
      <c r="E471" s="141" t="n"/>
      <c r="F471" s="141" t="n"/>
      <c r="G471" s="143" t="n"/>
      <c r="H471" s="27" t="n"/>
    </row>
    <row r="472" ht="17.25" customHeight="1" s="322">
      <c r="A472" s="27" t="n"/>
      <c r="B472" s="506" t="n"/>
      <c r="C472" s="141" t="n"/>
      <c r="D472" s="141" t="n"/>
      <c r="E472" s="141" t="n"/>
      <c r="F472" s="141" t="n"/>
      <c r="G472" s="143" t="n"/>
      <c r="H472" s="27" t="n"/>
    </row>
    <row r="473" ht="17.25" customHeight="1" s="322">
      <c r="A473" s="27" t="n"/>
      <c r="B473" s="506" t="n"/>
      <c r="C473" s="141" t="n"/>
      <c r="D473" s="141" t="n"/>
      <c r="E473" s="141" t="n"/>
      <c r="F473" s="141" t="n"/>
      <c r="G473" s="143" t="n"/>
      <c r="H473" s="27" t="n"/>
    </row>
    <row r="474" ht="17.25" customHeight="1" s="322">
      <c r="A474" s="27" t="n"/>
      <c r="B474" s="506" t="n"/>
      <c r="C474" s="141" t="n"/>
      <c r="D474" s="141" t="n"/>
      <c r="E474" s="141" t="n"/>
      <c r="F474" s="141" t="n"/>
      <c r="G474" s="143" t="n"/>
      <c r="H474" s="27" t="n"/>
    </row>
    <row r="475" ht="17.25" customHeight="1" s="322">
      <c r="A475" s="27" t="n"/>
      <c r="B475" s="506" t="n"/>
      <c r="C475" s="141" t="n"/>
      <c r="D475" s="141" t="n"/>
      <c r="E475" s="141" t="n"/>
      <c r="F475" s="141" t="n"/>
      <c r="G475" s="143" t="n"/>
      <c r="H475" s="27" t="n"/>
    </row>
    <row r="476" ht="17.25" customHeight="1" s="322">
      <c r="A476" s="27" t="n"/>
      <c r="B476" s="506" t="n"/>
      <c r="C476" s="141" t="n"/>
      <c r="D476" s="141" t="n"/>
      <c r="E476" s="141" t="n"/>
      <c r="F476" s="141" t="n"/>
      <c r="G476" s="143" t="n"/>
      <c r="H476" s="27" t="n"/>
    </row>
    <row r="477" ht="17.25" customHeight="1" s="322">
      <c r="A477" s="27" t="n"/>
      <c r="B477" s="506" t="n"/>
      <c r="C477" s="141" t="n"/>
      <c r="D477" s="141" t="n"/>
      <c r="E477" s="141" t="n"/>
      <c r="F477" s="141" t="n"/>
      <c r="G477" s="143" t="n"/>
      <c r="H477" s="27" t="n"/>
    </row>
    <row r="478" ht="17.25" customHeight="1" s="322">
      <c r="A478" s="27" t="n"/>
      <c r="B478" s="506" t="n"/>
      <c r="C478" s="141" t="n"/>
      <c r="D478" s="141" t="n"/>
      <c r="E478" s="141" t="n"/>
      <c r="F478" s="141" t="n"/>
      <c r="G478" s="143" t="n"/>
      <c r="H478" s="27" t="n"/>
    </row>
    <row r="479" ht="17.25" customHeight="1" s="322">
      <c r="A479" s="27" t="n"/>
      <c r="B479" s="506" t="n"/>
      <c r="C479" s="141" t="n"/>
      <c r="D479" s="141" t="n"/>
      <c r="E479" s="141" t="n"/>
      <c r="F479" s="141" t="n"/>
      <c r="G479" s="143" t="n"/>
      <c r="H479" s="27" t="n"/>
    </row>
    <row r="480" ht="17.25" customHeight="1" s="322">
      <c r="A480" s="27" t="n"/>
      <c r="B480" s="506" t="n"/>
      <c r="C480" s="141" t="n"/>
      <c r="D480" s="141" t="n"/>
      <c r="E480" s="141" t="n"/>
      <c r="F480" s="141" t="n"/>
      <c r="G480" s="143" t="n"/>
      <c r="H480" s="27" t="n"/>
    </row>
    <row r="481" ht="17.25" customHeight="1" s="322">
      <c r="A481" s="27" t="n"/>
      <c r="B481" s="506" t="n"/>
      <c r="C481" s="141" t="n"/>
      <c r="D481" s="141" t="n"/>
      <c r="E481" s="141" t="n"/>
      <c r="F481" s="141" t="n"/>
      <c r="G481" s="143" t="n"/>
      <c r="H481" s="27" t="n"/>
    </row>
    <row r="482" ht="17.25" customHeight="1" s="322">
      <c r="A482" s="27" t="n"/>
      <c r="B482" s="506" t="n"/>
      <c r="C482" s="141" t="n"/>
      <c r="D482" s="141" t="n"/>
      <c r="E482" s="141" t="n"/>
      <c r="F482" s="141" t="n"/>
      <c r="G482" s="143" t="n"/>
      <c r="H482" s="27" t="n"/>
    </row>
    <row r="483" ht="17.25" customHeight="1" s="322">
      <c r="A483" s="27" t="n"/>
      <c r="B483" s="506" t="n"/>
      <c r="C483" s="141" t="n"/>
      <c r="D483" s="141" t="n"/>
      <c r="E483" s="141" t="n"/>
      <c r="F483" s="141" t="n"/>
      <c r="G483" s="143" t="n"/>
      <c r="H483" s="27" t="n"/>
    </row>
    <row r="484" ht="17.25" customHeight="1" s="322">
      <c r="A484" s="27" t="n"/>
      <c r="B484" s="506" t="n"/>
      <c r="C484" s="141" t="n"/>
      <c r="D484" s="141" t="n"/>
      <c r="E484" s="141" t="n"/>
      <c r="F484" s="141" t="n"/>
      <c r="G484" s="143" t="n"/>
      <c r="H484" s="27" t="n"/>
    </row>
    <row r="485" ht="17.25" customHeight="1" s="322">
      <c r="A485" s="27" t="n"/>
      <c r="B485" s="506" t="n"/>
      <c r="C485" s="141" t="n"/>
      <c r="D485" s="141" t="n"/>
      <c r="E485" s="141" t="n"/>
      <c r="F485" s="141" t="n"/>
      <c r="G485" s="143" t="n"/>
      <c r="H485" s="27" t="n"/>
    </row>
    <row r="486" ht="17.25" customHeight="1" s="322">
      <c r="A486" s="27" t="n"/>
      <c r="B486" s="506" t="n"/>
      <c r="C486" s="141" t="n"/>
      <c r="D486" s="141" t="n"/>
      <c r="E486" s="141" t="n"/>
      <c r="F486" s="141" t="n"/>
      <c r="G486" s="143" t="n"/>
      <c r="H486" s="27" t="n"/>
    </row>
    <row r="487" ht="17.25" customHeight="1" s="322">
      <c r="A487" s="27" t="n"/>
      <c r="B487" s="506" t="n"/>
      <c r="C487" s="141" t="n"/>
      <c r="D487" s="141" t="n"/>
      <c r="E487" s="141" t="n"/>
      <c r="F487" s="141" t="n"/>
      <c r="G487" s="143" t="n"/>
      <c r="H487" s="27" t="n"/>
    </row>
    <row r="488" ht="17.25" customHeight="1" s="322">
      <c r="A488" s="27" t="n"/>
      <c r="B488" s="506" t="n"/>
      <c r="C488" s="141" t="n"/>
      <c r="D488" s="141" t="n"/>
      <c r="E488" s="141" t="n"/>
      <c r="F488" s="141" t="n"/>
      <c r="G488" s="143" t="n"/>
      <c r="H488" s="27" t="n"/>
    </row>
    <row r="489" ht="17.25" customHeight="1" s="322">
      <c r="A489" s="27" t="n"/>
      <c r="B489" s="506" t="n"/>
      <c r="C489" s="141" t="n"/>
      <c r="D489" s="141" t="n"/>
      <c r="E489" s="141" t="n"/>
      <c r="F489" s="141" t="n"/>
      <c r="G489" s="143" t="n"/>
      <c r="H489" s="27" t="n"/>
    </row>
    <row r="490" ht="17.25" customHeight="1" s="322">
      <c r="A490" s="27" t="n"/>
      <c r="B490" s="506" t="n"/>
      <c r="C490" s="141" t="n"/>
      <c r="D490" s="141" t="n"/>
      <c r="E490" s="141" t="n"/>
      <c r="F490" s="141" t="n"/>
      <c r="G490" s="143" t="n"/>
      <c r="H490" s="27" t="n"/>
    </row>
    <row r="491" ht="17.25" customHeight="1" s="322">
      <c r="A491" s="27" t="n"/>
      <c r="B491" s="506" t="n"/>
      <c r="C491" s="141" t="n"/>
      <c r="D491" s="141" t="n"/>
      <c r="E491" s="141" t="n"/>
      <c r="F491" s="141" t="n"/>
      <c r="G491" s="143" t="n"/>
      <c r="H491" s="27" t="n"/>
    </row>
    <row r="492" ht="17.25" customHeight="1" s="322">
      <c r="A492" s="27" t="n"/>
      <c r="B492" s="506" t="n"/>
      <c r="C492" s="141" t="n"/>
      <c r="D492" s="141" t="n"/>
      <c r="E492" s="141" t="n"/>
      <c r="F492" s="141" t="n"/>
      <c r="G492" s="143" t="n"/>
      <c r="H492" s="27" t="n"/>
    </row>
    <row r="493" ht="17.25" customHeight="1" s="322">
      <c r="A493" s="27" t="n"/>
      <c r="B493" s="506" t="n"/>
      <c r="C493" s="141" t="n"/>
      <c r="D493" s="141" t="n"/>
      <c r="E493" s="141" t="n"/>
      <c r="F493" s="141" t="n"/>
      <c r="G493" s="143" t="n"/>
      <c r="H493" s="27" t="n"/>
    </row>
    <row r="494" ht="17.25" customHeight="1" s="322">
      <c r="A494" s="27" t="n"/>
      <c r="B494" s="506" t="n"/>
      <c r="C494" s="141" t="n"/>
      <c r="D494" s="141" t="n"/>
      <c r="E494" s="141" t="n"/>
      <c r="F494" s="141" t="n"/>
      <c r="G494" s="143" t="n"/>
      <c r="H494" s="27" t="n"/>
    </row>
    <row r="495" ht="17.25" customHeight="1" s="322">
      <c r="A495" s="27" t="n"/>
      <c r="B495" s="506" t="n"/>
      <c r="C495" s="141" t="n"/>
      <c r="D495" s="141" t="n"/>
      <c r="E495" s="141" t="n"/>
      <c r="F495" s="141" t="n"/>
      <c r="G495" s="143" t="n"/>
      <c r="H495" s="27" t="n"/>
    </row>
    <row r="496" ht="17.25" customHeight="1" s="322">
      <c r="A496" s="27" t="n"/>
      <c r="B496" s="506" t="n"/>
      <c r="C496" s="141" t="n"/>
      <c r="D496" s="141" t="n"/>
      <c r="E496" s="141" t="n"/>
      <c r="F496" s="141" t="n"/>
      <c r="G496" s="143" t="n"/>
      <c r="H496" s="27" t="n"/>
    </row>
    <row r="497" ht="17.25" customHeight="1" s="322">
      <c r="A497" s="27" t="n"/>
      <c r="B497" s="506" t="n"/>
      <c r="C497" s="141" t="n"/>
      <c r="D497" s="141" t="n"/>
      <c r="E497" s="141" t="n"/>
      <c r="F497" s="141" t="n"/>
      <c r="G497" s="143" t="n"/>
      <c r="H497" s="27" t="n"/>
    </row>
    <row r="498" ht="17.25" customHeight="1" s="322">
      <c r="A498" s="27" t="n"/>
      <c r="B498" s="506" t="n"/>
      <c r="C498" s="141" t="n"/>
      <c r="D498" s="141" t="n"/>
      <c r="E498" s="141" t="n"/>
      <c r="F498" s="141" t="n"/>
      <c r="G498" s="143" t="n"/>
      <c r="H498" s="27" t="n"/>
    </row>
    <row r="499" ht="17.25" customHeight="1" s="322">
      <c r="A499" s="27" t="n"/>
      <c r="B499" s="506" t="n"/>
      <c r="C499" s="141" t="n"/>
      <c r="D499" s="141" t="n"/>
      <c r="E499" s="141" t="n"/>
      <c r="F499" s="141" t="n"/>
      <c r="G499" s="143" t="n"/>
      <c r="H499" s="27" t="n"/>
    </row>
    <row r="500" ht="17.25" customHeight="1" s="322">
      <c r="A500" s="27" t="n"/>
      <c r="B500" s="506" t="n"/>
      <c r="C500" s="141" t="n"/>
      <c r="D500" s="141" t="n"/>
      <c r="E500" s="141" t="n"/>
      <c r="F500" s="141" t="n"/>
      <c r="G500" s="143" t="n"/>
      <c r="H500" s="27" t="n"/>
    </row>
    <row r="501" ht="17.25" customHeight="1" s="322">
      <c r="A501" s="27" t="n"/>
      <c r="B501" s="506" t="n"/>
      <c r="C501" s="141" t="n"/>
      <c r="D501" s="141" t="n"/>
      <c r="E501" s="141" t="n"/>
      <c r="F501" s="141" t="n"/>
      <c r="G501" s="143" t="n"/>
      <c r="H501" s="27" t="n"/>
    </row>
    <row r="502" ht="17.25" customHeight="1" s="322">
      <c r="A502" s="27" t="n"/>
      <c r="B502" s="506" t="n"/>
      <c r="C502" s="141" t="n"/>
      <c r="D502" s="141" t="n"/>
      <c r="E502" s="141" t="n"/>
      <c r="F502" s="141" t="n"/>
      <c r="G502" s="143" t="n"/>
      <c r="H502" s="27" t="n"/>
    </row>
    <row r="503" ht="17.25" customHeight="1" s="322">
      <c r="A503" s="27" t="n"/>
      <c r="B503" s="506" t="n"/>
      <c r="C503" s="141" t="n"/>
      <c r="D503" s="141" t="n"/>
      <c r="E503" s="141" t="n"/>
      <c r="F503" s="141" t="n"/>
      <c r="G503" s="143" t="n"/>
      <c r="H503" s="27" t="n"/>
    </row>
    <row r="504" ht="17.25" customHeight="1" s="322">
      <c r="A504" s="27" t="n"/>
      <c r="B504" s="506" t="n"/>
      <c r="C504" s="141" t="n"/>
      <c r="D504" s="141" t="n"/>
      <c r="E504" s="141" t="n"/>
      <c r="F504" s="141" t="n"/>
      <c r="G504" s="143" t="n"/>
      <c r="H504" s="27" t="n"/>
    </row>
    <row r="505" ht="17.25" customHeight="1" s="322">
      <c r="A505" s="27" t="n"/>
      <c r="B505" s="506" t="n"/>
      <c r="C505" s="141" t="n"/>
      <c r="D505" s="141" t="n"/>
      <c r="E505" s="141" t="n"/>
      <c r="F505" s="141" t="n"/>
      <c r="G505" s="143" t="n"/>
      <c r="H505" s="27" t="n"/>
    </row>
    <row r="506" ht="17.25" customHeight="1" s="322">
      <c r="A506" s="27" t="n"/>
      <c r="B506" s="506" t="n"/>
      <c r="C506" s="141" t="n"/>
      <c r="D506" s="141" t="n"/>
      <c r="E506" s="141" t="n"/>
      <c r="F506" s="141" t="n"/>
      <c r="G506" s="143" t="n"/>
      <c r="H506" s="27" t="n"/>
    </row>
    <row r="507" ht="17.25" customHeight="1" s="322">
      <c r="A507" s="27" t="n"/>
      <c r="B507" s="506" t="n"/>
      <c r="C507" s="141" t="n"/>
      <c r="D507" s="141" t="n"/>
      <c r="E507" s="141" t="n"/>
      <c r="F507" s="141" t="n"/>
      <c r="G507" s="143" t="n"/>
      <c r="H507" s="27" t="n"/>
    </row>
    <row r="508" ht="17.25" customHeight="1" s="322">
      <c r="A508" s="27" t="n"/>
      <c r="B508" s="506" t="n"/>
      <c r="C508" s="141" t="n"/>
      <c r="D508" s="141" t="n"/>
      <c r="E508" s="141" t="n"/>
      <c r="F508" s="141" t="n"/>
      <c r="G508" s="143" t="n"/>
      <c r="H508" s="27" t="n"/>
    </row>
    <row r="509" ht="17.25" customHeight="1" s="322">
      <c r="A509" s="27" t="n"/>
      <c r="B509" s="506" t="n"/>
      <c r="C509" s="141" t="n"/>
      <c r="D509" s="141" t="n"/>
      <c r="E509" s="141" t="n"/>
      <c r="F509" s="141" t="n"/>
      <c r="G509" s="143" t="n"/>
      <c r="H509" s="27" t="n"/>
    </row>
    <row r="510" ht="17.25" customHeight="1" s="322">
      <c r="A510" s="27" t="n"/>
      <c r="B510" s="506" t="n"/>
      <c r="C510" s="141" t="n"/>
      <c r="D510" s="141" t="n"/>
      <c r="E510" s="141" t="n"/>
      <c r="F510" s="141" t="n"/>
      <c r="G510" s="143" t="n"/>
      <c r="H510" s="27" t="n"/>
    </row>
    <row r="511" ht="17.25" customHeight="1" s="322">
      <c r="A511" s="27" t="n"/>
      <c r="B511" s="506" t="n"/>
      <c r="C511" s="141" t="n"/>
      <c r="D511" s="141" t="n"/>
      <c r="E511" s="141" t="n"/>
      <c r="F511" s="141" t="n"/>
      <c r="G511" s="143" t="n"/>
      <c r="H511" s="27" t="n"/>
    </row>
    <row r="512" ht="17.25" customHeight="1" s="322">
      <c r="A512" s="27" t="n"/>
      <c r="B512" s="506" t="n"/>
      <c r="C512" s="141" t="n"/>
      <c r="D512" s="141" t="n"/>
      <c r="E512" s="141" t="n"/>
      <c r="F512" s="141" t="n"/>
      <c r="G512" s="143" t="n"/>
      <c r="H512" s="27" t="n"/>
    </row>
    <row r="513" ht="17.25" customHeight="1" s="322">
      <c r="A513" s="27" t="n"/>
      <c r="B513" s="506" t="n"/>
      <c r="C513" s="141" t="n"/>
      <c r="D513" s="141" t="n"/>
      <c r="E513" s="141" t="n"/>
      <c r="F513" s="141" t="n"/>
      <c r="G513" s="143" t="n"/>
      <c r="H513" s="27" t="n"/>
    </row>
    <row r="514" ht="17.25" customHeight="1" s="322">
      <c r="A514" s="27" t="n"/>
      <c r="B514" s="506" t="n"/>
      <c r="C514" s="141" t="n"/>
      <c r="D514" s="141" t="n"/>
      <c r="E514" s="141" t="n"/>
      <c r="F514" s="141" t="n"/>
      <c r="G514" s="143" t="n"/>
      <c r="H514" s="27" t="n"/>
    </row>
    <row r="515" ht="17.25" customHeight="1" s="322">
      <c r="A515" s="27" t="n"/>
      <c r="B515" s="506" t="n"/>
      <c r="C515" s="141" t="n"/>
      <c r="D515" s="141" t="n"/>
      <c r="E515" s="141" t="n"/>
      <c r="F515" s="141" t="n"/>
      <c r="G515" s="143" t="n"/>
      <c r="H515" s="27" t="n"/>
    </row>
    <row r="516" ht="17.25" customHeight="1" s="322">
      <c r="A516" s="27" t="n"/>
      <c r="B516" s="506" t="n"/>
      <c r="C516" s="141" t="n"/>
      <c r="D516" s="141" t="n"/>
      <c r="E516" s="141" t="n"/>
      <c r="F516" s="141" t="n"/>
      <c r="G516" s="143" t="n"/>
      <c r="H516" s="27" t="n"/>
    </row>
    <row r="517" ht="17.25" customHeight="1" s="322">
      <c r="A517" s="27" t="n"/>
      <c r="B517" s="506" t="n"/>
      <c r="C517" s="141" t="n"/>
      <c r="D517" s="141" t="n"/>
      <c r="E517" s="141" t="n"/>
      <c r="F517" s="141" t="n"/>
      <c r="G517" s="143" t="n"/>
      <c r="H517" s="27" t="n"/>
    </row>
    <row r="518" ht="17.25" customHeight="1" s="322">
      <c r="A518" s="27" t="n"/>
      <c r="B518" s="506" t="n"/>
      <c r="C518" s="141" t="n"/>
      <c r="D518" s="141" t="n"/>
      <c r="E518" s="141" t="n"/>
      <c r="F518" s="141" t="n"/>
      <c r="G518" s="143" t="n"/>
      <c r="H518" s="27" t="n"/>
    </row>
    <row r="519" ht="17.25" customHeight="1" s="322">
      <c r="A519" s="27" t="n"/>
      <c r="B519" s="506" t="n"/>
      <c r="C519" s="141" t="n"/>
      <c r="D519" s="141" t="n"/>
      <c r="E519" s="141" t="n"/>
      <c r="F519" s="141" t="n"/>
      <c r="G519" s="143" t="n"/>
      <c r="H519" s="27" t="n"/>
    </row>
    <row r="520" ht="17.25" customHeight="1" s="322">
      <c r="A520" s="27" t="n"/>
      <c r="B520" s="506" t="n"/>
      <c r="C520" s="141" t="n"/>
      <c r="D520" s="141" t="n"/>
      <c r="E520" s="141" t="n"/>
      <c r="F520" s="141" t="n"/>
      <c r="G520" s="143" t="n"/>
      <c r="H520" s="27" t="n"/>
    </row>
    <row r="521" ht="17.25" customHeight="1" s="322">
      <c r="A521" s="27" t="n"/>
      <c r="B521" s="506" t="n"/>
      <c r="C521" s="141" t="n"/>
      <c r="D521" s="141" t="n"/>
      <c r="E521" s="141" t="n"/>
      <c r="F521" s="141" t="n"/>
      <c r="G521" s="143" t="n"/>
      <c r="H521" s="27" t="n"/>
    </row>
    <row r="522" ht="17.25" customHeight="1" s="322">
      <c r="A522" s="27" t="n"/>
      <c r="B522" s="506" t="n"/>
      <c r="C522" s="141" t="n"/>
      <c r="D522" s="141" t="n"/>
      <c r="E522" s="141" t="n"/>
      <c r="F522" s="141" t="n"/>
      <c r="G522" s="143" t="n"/>
      <c r="H522" s="27" t="n"/>
    </row>
    <row r="523" ht="17.25" customHeight="1" s="322">
      <c r="A523" s="27" t="n"/>
      <c r="B523" s="506" t="n"/>
      <c r="C523" s="141" t="n"/>
      <c r="D523" s="141" t="n"/>
      <c r="E523" s="141" t="n"/>
      <c r="F523" s="141" t="n"/>
      <c r="G523" s="143" t="n"/>
      <c r="H523" s="27" t="n"/>
    </row>
    <row r="524" ht="17.25" customHeight="1" s="322">
      <c r="A524" s="27" t="n"/>
      <c r="B524" s="506" t="n"/>
      <c r="C524" s="141" t="n"/>
      <c r="D524" s="141" t="n"/>
      <c r="E524" s="141" t="n"/>
      <c r="F524" s="141" t="n"/>
      <c r="G524" s="143" t="n"/>
      <c r="H524" s="27" t="n"/>
    </row>
    <row r="525" ht="17.25" customHeight="1" s="322">
      <c r="A525" s="27" t="n"/>
      <c r="B525" s="506" t="n"/>
      <c r="C525" s="141" t="n"/>
      <c r="D525" s="141" t="n"/>
      <c r="E525" s="141" t="n"/>
      <c r="F525" s="141" t="n"/>
      <c r="G525" s="143" t="n"/>
      <c r="H525" s="27" t="n"/>
    </row>
    <row r="526" ht="17.25" customHeight="1" s="322">
      <c r="A526" s="27" t="n"/>
      <c r="B526" s="506" t="n"/>
      <c r="C526" s="141" t="n"/>
      <c r="D526" s="141" t="n"/>
      <c r="E526" s="141" t="n"/>
      <c r="F526" s="141" t="n"/>
      <c r="G526" s="143" t="n"/>
      <c r="H526" s="27" t="n"/>
    </row>
    <row r="527" ht="17.25" customHeight="1" s="322">
      <c r="A527" s="27" t="n"/>
      <c r="B527" s="506" t="n"/>
      <c r="C527" s="141" t="n"/>
      <c r="D527" s="141" t="n"/>
      <c r="E527" s="141" t="n"/>
      <c r="F527" s="141" t="n"/>
      <c r="G527" s="143" t="n"/>
      <c r="H527" s="27" t="n"/>
    </row>
    <row r="528" ht="17.25" customHeight="1" s="322">
      <c r="A528" s="27" t="n"/>
      <c r="B528" s="506" t="n"/>
      <c r="C528" s="141" t="n"/>
      <c r="D528" s="141" t="n"/>
      <c r="E528" s="141" t="n"/>
      <c r="F528" s="141" t="n"/>
      <c r="G528" s="143" t="n"/>
      <c r="H528" s="27" t="n"/>
    </row>
    <row r="529" ht="17.25" customHeight="1" s="322">
      <c r="A529" s="27" t="n"/>
      <c r="B529" s="506" t="n"/>
      <c r="C529" s="141" t="n"/>
      <c r="D529" s="141" t="n"/>
      <c r="E529" s="141" t="n"/>
      <c r="F529" s="141" t="n"/>
      <c r="G529" s="143" t="n"/>
      <c r="H529" s="27" t="n"/>
    </row>
    <row r="530" ht="17.25" customHeight="1" s="322">
      <c r="A530" s="27" t="n"/>
      <c r="B530" s="506" t="n"/>
      <c r="C530" s="141" t="n"/>
      <c r="D530" s="141" t="n"/>
      <c r="E530" s="141" t="n"/>
      <c r="F530" s="141" t="n"/>
      <c r="G530" s="143" t="n"/>
      <c r="H530" s="27" t="n"/>
    </row>
    <row r="531" ht="17.25" customHeight="1" s="322">
      <c r="A531" s="27" t="n"/>
      <c r="B531" s="506" t="n"/>
      <c r="C531" s="141" t="n"/>
      <c r="D531" s="141" t="n"/>
      <c r="E531" s="141" t="n"/>
      <c r="F531" s="141" t="n"/>
      <c r="G531" s="143" t="n"/>
      <c r="H531" s="27" t="n"/>
    </row>
    <row r="532" ht="17.25" customHeight="1" s="322">
      <c r="A532" s="27" t="n"/>
      <c r="B532" s="506" t="n"/>
      <c r="C532" s="141" t="n"/>
      <c r="D532" s="141" t="n"/>
      <c r="E532" s="141" t="n"/>
      <c r="F532" s="141" t="n"/>
      <c r="G532" s="143" t="n"/>
      <c r="H532" s="27" t="n"/>
    </row>
    <row r="533" ht="17.25" customHeight="1" s="322">
      <c r="A533" s="27" t="n"/>
      <c r="B533" s="506" t="n"/>
      <c r="C533" s="141" t="n"/>
      <c r="D533" s="141" t="n"/>
      <c r="E533" s="141" t="n"/>
      <c r="F533" s="141" t="n"/>
      <c r="G533" s="143" t="n"/>
      <c r="H533" s="27" t="n"/>
    </row>
    <row r="534" ht="17.25" customHeight="1" s="322">
      <c r="A534" s="27" t="n"/>
      <c r="B534" s="506" t="n"/>
      <c r="C534" s="141" t="n"/>
      <c r="D534" s="141" t="n"/>
      <c r="E534" s="141" t="n"/>
      <c r="F534" s="141" t="n"/>
      <c r="G534" s="143" t="n"/>
      <c r="H534" s="27" t="n"/>
    </row>
    <row r="535" ht="17.25" customHeight="1" s="322">
      <c r="A535" s="27" t="n"/>
      <c r="B535" s="506" t="n"/>
      <c r="C535" s="141" t="n"/>
      <c r="D535" s="141" t="n"/>
      <c r="E535" s="141" t="n"/>
      <c r="F535" s="141" t="n"/>
      <c r="G535" s="143" t="n"/>
      <c r="H535" s="27" t="n"/>
    </row>
    <row r="536" ht="17.25" customHeight="1" s="322">
      <c r="A536" s="27" t="n"/>
      <c r="B536" s="506" t="n"/>
      <c r="C536" s="141" t="n"/>
      <c r="D536" s="141" t="n"/>
      <c r="E536" s="141" t="n"/>
      <c r="F536" s="141" t="n"/>
      <c r="G536" s="143" t="n"/>
      <c r="H536" s="27" t="n"/>
    </row>
    <row r="537" ht="17.25" customHeight="1" s="322">
      <c r="A537" s="27" t="n"/>
      <c r="B537" s="506" t="n"/>
      <c r="C537" s="141" t="n"/>
      <c r="D537" s="141" t="n"/>
      <c r="E537" s="141" t="n"/>
      <c r="F537" s="141" t="n"/>
      <c r="G537" s="143" t="n"/>
      <c r="H537" s="27" t="n"/>
    </row>
    <row r="538" ht="17.25" customHeight="1" s="322">
      <c r="A538" s="27" t="n"/>
      <c r="B538" s="506" t="n"/>
      <c r="C538" s="141" t="n"/>
      <c r="D538" s="141" t="n"/>
      <c r="E538" s="141" t="n"/>
      <c r="F538" s="141" t="n"/>
      <c r="G538" s="143" t="n"/>
      <c r="H538" s="27" t="n"/>
    </row>
    <row r="539" ht="17.25" customHeight="1" s="322">
      <c r="A539" s="27" t="n"/>
      <c r="B539" s="506" t="n"/>
      <c r="C539" s="141" t="n"/>
      <c r="D539" s="141" t="n"/>
      <c r="E539" s="141" t="n"/>
      <c r="F539" s="141" t="n"/>
      <c r="G539" s="143" t="n"/>
      <c r="H539" s="27" t="n"/>
    </row>
    <row r="540" ht="17.25" customHeight="1" s="322">
      <c r="A540" s="27" t="n"/>
      <c r="B540" s="506" t="n"/>
      <c r="C540" s="141" t="n"/>
      <c r="D540" s="141" t="n"/>
      <c r="E540" s="141" t="n"/>
      <c r="F540" s="141" t="n"/>
      <c r="G540" s="143" t="n"/>
      <c r="H540" s="27" t="n"/>
    </row>
    <row r="541" ht="17.25" customHeight="1" s="322">
      <c r="A541" s="27" t="n"/>
      <c r="B541" s="506" t="n"/>
      <c r="C541" s="141" t="n"/>
      <c r="D541" s="141" t="n"/>
      <c r="E541" s="141" t="n"/>
      <c r="F541" s="141" t="n"/>
      <c r="G541" s="143" t="n"/>
      <c r="H541" s="27" t="n"/>
    </row>
    <row r="542" ht="17.25" customHeight="1" s="322">
      <c r="A542" s="27" t="n"/>
      <c r="B542" s="506" t="n"/>
      <c r="C542" s="141" t="n"/>
      <c r="D542" s="141" t="n"/>
      <c r="E542" s="141" t="n"/>
      <c r="F542" s="141" t="n"/>
      <c r="G542" s="143" t="n"/>
      <c r="H542" s="27" t="n"/>
    </row>
    <row r="543" ht="17.25" customHeight="1" s="322">
      <c r="A543" s="27" t="n"/>
      <c r="B543" s="506" t="n"/>
      <c r="C543" s="141" t="n"/>
      <c r="D543" s="141" t="n"/>
      <c r="E543" s="141" t="n"/>
      <c r="F543" s="141" t="n"/>
      <c r="G543" s="143" t="n"/>
      <c r="H543" s="27" t="n"/>
    </row>
    <row r="544" ht="17.25" customHeight="1" s="322">
      <c r="A544" s="27" t="n"/>
      <c r="B544" s="506" t="n"/>
      <c r="C544" s="141" t="n"/>
      <c r="D544" s="141" t="n"/>
      <c r="E544" s="141" t="n"/>
      <c r="F544" s="141" t="n"/>
      <c r="G544" s="143" t="n"/>
      <c r="H544" s="27" t="n"/>
    </row>
    <row r="545" ht="17.25" customHeight="1" s="322">
      <c r="A545" s="27" t="n"/>
      <c r="B545" s="506" t="n"/>
      <c r="C545" s="141" t="n"/>
      <c r="D545" s="141" t="n"/>
      <c r="E545" s="141" t="n"/>
      <c r="F545" s="141" t="n"/>
      <c r="G545" s="143" t="n"/>
      <c r="H545" s="27" t="n"/>
    </row>
    <row r="546" ht="17.25" customHeight="1" s="322">
      <c r="A546" s="27" t="n"/>
      <c r="B546" s="506" t="n"/>
      <c r="C546" s="141" t="n"/>
      <c r="D546" s="141" t="n"/>
      <c r="E546" s="141" t="n"/>
      <c r="F546" s="141" t="n"/>
      <c r="G546" s="143" t="n"/>
      <c r="H546" s="27" t="n"/>
    </row>
    <row r="547" ht="17.25" customHeight="1" s="322">
      <c r="A547" s="27" t="n"/>
      <c r="B547" s="506" t="n"/>
      <c r="C547" s="141" t="n"/>
      <c r="D547" s="141" t="n"/>
      <c r="E547" s="141" t="n"/>
      <c r="F547" s="141" t="n"/>
      <c r="G547" s="143" t="n"/>
      <c r="H547" s="27" t="n"/>
    </row>
    <row r="548" ht="17.25" customHeight="1" s="322">
      <c r="A548" s="27" t="n"/>
      <c r="B548" s="506" t="n"/>
      <c r="C548" s="141" t="n"/>
      <c r="D548" s="141" t="n"/>
      <c r="E548" s="141" t="n"/>
      <c r="F548" s="141" t="n"/>
      <c r="G548" s="143" t="n"/>
      <c r="H548" s="27" t="n"/>
    </row>
    <row r="549" ht="17.25" customHeight="1" s="322">
      <c r="A549" s="27" t="n"/>
      <c r="B549" s="506" t="n"/>
      <c r="C549" s="141" t="n"/>
      <c r="D549" s="141" t="n"/>
      <c r="E549" s="141" t="n"/>
      <c r="F549" s="141" t="n"/>
      <c r="G549" s="143" t="n"/>
      <c r="H549" s="27" t="n"/>
    </row>
    <row r="550" ht="17.25" customHeight="1" s="322">
      <c r="A550" s="27" t="n"/>
      <c r="B550" s="506" t="n"/>
      <c r="C550" s="141" t="n"/>
      <c r="D550" s="141" t="n"/>
      <c r="E550" s="141" t="n"/>
      <c r="F550" s="141" t="n"/>
      <c r="G550" s="143" t="n"/>
      <c r="H550" s="27" t="n"/>
    </row>
    <row r="551" ht="17.25" customHeight="1" s="322">
      <c r="A551" s="27" t="n"/>
      <c r="B551" s="506" t="n"/>
      <c r="C551" s="141" t="n"/>
      <c r="D551" s="141" t="n"/>
      <c r="E551" s="141" t="n"/>
      <c r="F551" s="141" t="n"/>
      <c r="G551" s="143" t="n"/>
      <c r="H551" s="27" t="n"/>
    </row>
    <row r="552" ht="17.25" customHeight="1" s="322">
      <c r="A552" s="27" t="n"/>
      <c r="B552" s="506" t="n"/>
      <c r="C552" s="141" t="n"/>
      <c r="D552" s="141" t="n"/>
      <c r="E552" s="141" t="n"/>
      <c r="F552" s="141" t="n"/>
      <c r="G552" s="143" t="n"/>
      <c r="H552" s="27" t="n"/>
    </row>
    <row r="553" ht="17.25" customHeight="1" s="322">
      <c r="A553" s="27" t="n"/>
      <c r="B553" s="506" t="n"/>
      <c r="C553" s="141" t="n"/>
      <c r="D553" s="141" t="n"/>
      <c r="E553" s="141" t="n"/>
      <c r="F553" s="141" t="n"/>
      <c r="G553" s="143" t="n"/>
      <c r="H553" s="27" t="n"/>
    </row>
    <row r="554" ht="17.25" customHeight="1" s="322">
      <c r="A554" s="27" t="n"/>
      <c r="B554" s="506" t="n"/>
      <c r="C554" s="141" t="n"/>
      <c r="D554" s="141" t="n"/>
      <c r="E554" s="141" t="n"/>
      <c r="F554" s="141" t="n"/>
      <c r="G554" s="143" t="n"/>
      <c r="H554" s="27" t="n"/>
    </row>
    <row r="555" ht="17.25" customHeight="1" s="322">
      <c r="A555" s="27" t="n"/>
      <c r="B555" s="506" t="n"/>
      <c r="C555" s="141" t="n"/>
      <c r="D555" s="141" t="n"/>
      <c r="E555" s="141" t="n"/>
      <c r="F555" s="141" t="n"/>
      <c r="G555" s="143" t="n"/>
      <c r="H555" s="27" t="n"/>
    </row>
    <row r="556" ht="17.25" customHeight="1" s="322">
      <c r="A556" s="27" t="n"/>
      <c r="B556" s="506" t="n"/>
      <c r="C556" s="141" t="n"/>
      <c r="D556" s="141" t="n"/>
      <c r="E556" s="141" t="n"/>
      <c r="F556" s="141" t="n"/>
      <c r="G556" s="143" t="n"/>
      <c r="H556" s="27" t="n"/>
    </row>
    <row r="557" ht="17.25" customHeight="1" s="322">
      <c r="A557" s="27" t="n"/>
      <c r="B557" s="506" t="n"/>
      <c r="C557" s="141" t="n"/>
      <c r="D557" s="141" t="n"/>
      <c r="E557" s="141" t="n"/>
      <c r="F557" s="141" t="n"/>
      <c r="G557" s="143" t="n"/>
      <c r="H557" s="27" t="n"/>
    </row>
    <row r="558" ht="17.25" customHeight="1" s="322">
      <c r="A558" s="27" t="n"/>
      <c r="B558" s="506" t="n"/>
      <c r="C558" s="141" t="n"/>
      <c r="D558" s="141" t="n"/>
      <c r="E558" s="141" t="n"/>
      <c r="F558" s="141" t="n"/>
      <c r="G558" s="143" t="n"/>
      <c r="H558" s="27" t="n"/>
    </row>
    <row r="559" ht="17.25" customHeight="1" s="322">
      <c r="A559" s="27" t="n"/>
      <c r="B559" s="506" t="n"/>
      <c r="C559" s="141" t="n"/>
      <c r="D559" s="141" t="n"/>
      <c r="E559" s="141" t="n"/>
      <c r="F559" s="141" t="n"/>
      <c r="G559" s="143" t="n"/>
      <c r="H559" s="27" t="n"/>
    </row>
    <row r="560" ht="17.25" customHeight="1" s="322">
      <c r="A560" s="27" t="n"/>
      <c r="B560" s="506" t="n"/>
      <c r="C560" s="141" t="n"/>
      <c r="D560" s="141" t="n"/>
      <c r="E560" s="141" t="n"/>
      <c r="F560" s="141" t="n"/>
      <c r="G560" s="143" t="n"/>
      <c r="H560" s="27" t="n"/>
    </row>
    <row r="561" ht="17.25" customHeight="1" s="322">
      <c r="A561" s="27" t="n"/>
      <c r="B561" s="506" t="n"/>
      <c r="C561" s="141" t="n"/>
      <c r="D561" s="141" t="n"/>
      <c r="E561" s="141" t="n"/>
      <c r="F561" s="141" t="n"/>
      <c r="G561" s="143" t="n"/>
      <c r="H561" s="27" t="n"/>
    </row>
    <row r="562" ht="17.25" customHeight="1" s="322">
      <c r="A562" s="27" t="n"/>
      <c r="B562" s="506" t="n"/>
      <c r="C562" s="141" t="n"/>
      <c r="D562" s="141" t="n"/>
      <c r="E562" s="141" t="n"/>
      <c r="F562" s="141" t="n"/>
      <c r="G562" s="143" t="n"/>
      <c r="H562" s="27" t="n"/>
    </row>
    <row r="563" ht="17.25" customHeight="1" s="322">
      <c r="A563" s="27" t="n"/>
      <c r="B563" s="506" t="n"/>
      <c r="C563" s="141" t="n"/>
      <c r="D563" s="141" t="n"/>
      <c r="E563" s="141" t="n"/>
      <c r="F563" s="141" t="n"/>
      <c r="G563" s="143" t="n"/>
      <c r="H563" s="27" t="n"/>
    </row>
    <row r="564" ht="17.25" customHeight="1" s="322">
      <c r="A564" s="27" t="n"/>
      <c r="B564" s="506" t="n"/>
      <c r="C564" s="141" t="n"/>
      <c r="D564" s="141" t="n"/>
      <c r="E564" s="141" t="n"/>
      <c r="F564" s="141" t="n"/>
      <c r="G564" s="143" t="n"/>
      <c r="H564" s="27" t="n"/>
    </row>
    <row r="565" ht="17.25" customHeight="1" s="322">
      <c r="A565" s="27" t="n"/>
      <c r="B565" s="506" t="n"/>
      <c r="C565" s="141" t="n"/>
      <c r="D565" s="141" t="n"/>
      <c r="E565" s="141" t="n"/>
      <c r="F565" s="141" t="n"/>
      <c r="G565" s="143" t="n"/>
      <c r="H565" s="27" t="n"/>
    </row>
    <row r="566" ht="17.25" customHeight="1" s="322">
      <c r="A566" s="27" t="n"/>
      <c r="B566" s="506" t="n"/>
      <c r="C566" s="141" t="n"/>
      <c r="D566" s="141" t="n"/>
      <c r="E566" s="141" t="n"/>
      <c r="F566" s="141" t="n"/>
      <c r="G566" s="143" t="n"/>
      <c r="H566" s="27" t="n"/>
    </row>
    <row r="567" ht="17.25" customHeight="1" s="322">
      <c r="A567" s="27" t="n"/>
      <c r="B567" s="506" t="n"/>
      <c r="C567" s="141" t="n"/>
      <c r="D567" s="141" t="n"/>
      <c r="E567" s="141" t="n"/>
      <c r="F567" s="141" t="n"/>
      <c r="G567" s="143" t="n"/>
      <c r="H567" s="27" t="n"/>
    </row>
    <row r="568" ht="17.25" customHeight="1" s="322">
      <c r="A568" s="27" t="n"/>
      <c r="B568" s="506" t="n"/>
      <c r="C568" s="141" t="n"/>
      <c r="D568" s="141" t="n"/>
      <c r="E568" s="141" t="n"/>
      <c r="F568" s="141" t="n"/>
      <c r="G568" s="143" t="n"/>
      <c r="H568" s="27" t="n"/>
    </row>
    <row r="569" ht="17.25" customHeight="1" s="322">
      <c r="A569" s="27" t="n"/>
      <c r="B569" s="506" t="n"/>
      <c r="C569" s="141" t="n"/>
      <c r="D569" s="141" t="n"/>
      <c r="E569" s="141" t="n"/>
      <c r="F569" s="141" t="n"/>
      <c r="G569" s="143" t="n"/>
      <c r="H569" s="27" t="n"/>
    </row>
    <row r="570" ht="17.25" customHeight="1" s="322">
      <c r="A570" s="27" t="n"/>
      <c r="B570" s="506" t="n"/>
      <c r="C570" s="141" t="n"/>
      <c r="D570" s="141" t="n"/>
      <c r="E570" s="141" t="n"/>
      <c r="F570" s="141" t="n"/>
      <c r="G570" s="143" t="n"/>
      <c r="H570" s="27" t="n"/>
    </row>
    <row r="571" ht="17.25" customHeight="1" s="322">
      <c r="A571" s="27" t="n"/>
      <c r="B571" s="506" t="n"/>
      <c r="C571" s="141" t="n"/>
      <c r="D571" s="141" t="n"/>
      <c r="E571" s="141" t="n"/>
      <c r="F571" s="141" t="n"/>
      <c r="G571" s="143" t="n"/>
      <c r="H571" s="27" t="n"/>
    </row>
    <row r="572" ht="17.25" customHeight="1" s="322">
      <c r="A572" s="27" t="n"/>
      <c r="B572" s="506" t="n"/>
      <c r="C572" s="141" t="n"/>
      <c r="D572" s="141" t="n"/>
      <c r="E572" s="141" t="n"/>
      <c r="F572" s="141" t="n"/>
      <c r="G572" s="143" t="n"/>
      <c r="H572" s="27" t="n"/>
    </row>
    <row r="573" ht="17.25" customHeight="1" s="322">
      <c r="A573" s="27" t="n"/>
      <c r="B573" s="506" t="n"/>
      <c r="C573" s="141" t="n"/>
      <c r="D573" s="141" t="n"/>
      <c r="E573" s="141" t="n"/>
      <c r="F573" s="141" t="n"/>
      <c r="G573" s="143" t="n"/>
      <c r="H573" s="27" t="n"/>
    </row>
    <row r="574" ht="17.25" customHeight="1" s="322">
      <c r="A574" s="27" t="n"/>
      <c r="B574" s="506" t="n"/>
      <c r="C574" s="141" t="n"/>
      <c r="D574" s="141" t="n"/>
      <c r="E574" s="141" t="n"/>
      <c r="F574" s="141" t="n"/>
      <c r="G574" s="143" t="n"/>
      <c r="H574" s="27" t="n"/>
    </row>
    <row r="575" ht="17.25" customHeight="1" s="322">
      <c r="A575" s="27" t="n"/>
      <c r="B575" s="506" t="n"/>
      <c r="C575" s="141" t="n"/>
      <c r="D575" s="141" t="n"/>
      <c r="E575" s="141" t="n"/>
      <c r="F575" s="141" t="n"/>
      <c r="G575" s="143" t="n"/>
      <c r="H575" s="27" t="n"/>
    </row>
    <row r="576" ht="17.25" customHeight="1" s="322">
      <c r="A576" s="27" t="n"/>
      <c r="B576" s="506" t="n"/>
      <c r="C576" s="141" t="n"/>
      <c r="D576" s="141" t="n"/>
      <c r="E576" s="141" t="n"/>
      <c r="F576" s="141" t="n"/>
      <c r="G576" s="143" t="n"/>
      <c r="H576" s="27" t="n"/>
    </row>
    <row r="577" ht="17.25" customHeight="1" s="322">
      <c r="A577" s="27" t="n"/>
      <c r="B577" s="506" t="n"/>
      <c r="C577" s="141" t="n"/>
      <c r="D577" s="141" t="n"/>
      <c r="E577" s="141" t="n"/>
      <c r="F577" s="141" t="n"/>
      <c r="G577" s="143" t="n"/>
      <c r="H577" s="27" t="n"/>
    </row>
    <row r="578" ht="17.25" customHeight="1" s="322">
      <c r="A578" s="27" t="n"/>
      <c r="B578" s="506" t="n"/>
      <c r="C578" s="141" t="n"/>
      <c r="D578" s="141" t="n"/>
      <c r="E578" s="141" t="n"/>
      <c r="F578" s="141" t="n"/>
      <c r="G578" s="143" t="n"/>
      <c r="H578" s="27" t="n"/>
    </row>
    <row r="579" ht="17.25" customHeight="1" s="322">
      <c r="A579" s="27" t="n"/>
      <c r="B579" s="506" t="n"/>
      <c r="C579" s="141" t="n"/>
      <c r="D579" s="141" t="n"/>
      <c r="E579" s="141" t="n"/>
      <c r="F579" s="141" t="n"/>
      <c r="G579" s="143" t="n"/>
      <c r="H579" s="27" t="n"/>
    </row>
    <row r="580" ht="17.25" customHeight="1" s="322">
      <c r="A580" s="27" t="n"/>
      <c r="B580" s="506" t="n"/>
      <c r="C580" s="141" t="n"/>
      <c r="D580" s="141" t="n"/>
      <c r="E580" s="141" t="n"/>
      <c r="F580" s="141" t="n"/>
      <c r="G580" s="143" t="n"/>
      <c r="H580" s="27" t="n"/>
    </row>
    <row r="581" ht="17.25" customHeight="1" s="322">
      <c r="A581" s="27" t="n"/>
      <c r="B581" s="506" t="n"/>
      <c r="C581" s="141" t="n"/>
      <c r="D581" s="141" t="n"/>
      <c r="E581" s="141" t="n"/>
      <c r="F581" s="141" t="n"/>
      <c r="G581" s="143" t="n"/>
      <c r="H581" s="27" t="n"/>
    </row>
    <row r="582" ht="17.25" customHeight="1" s="322">
      <c r="A582" s="27" t="n"/>
      <c r="B582" s="506" t="n"/>
      <c r="C582" s="141" t="n"/>
      <c r="D582" s="141" t="n"/>
      <c r="E582" s="141" t="n"/>
      <c r="F582" s="141" t="n"/>
      <c r="G582" s="143" t="n"/>
      <c r="H582" s="27" t="n"/>
    </row>
    <row r="583" ht="17.25" customHeight="1" s="322">
      <c r="A583" s="27" t="n"/>
      <c r="B583" s="506" t="n"/>
      <c r="C583" s="141" t="n"/>
      <c r="D583" s="141" t="n"/>
      <c r="E583" s="141" t="n"/>
      <c r="F583" s="141" t="n"/>
      <c r="G583" s="143" t="n"/>
      <c r="H583" s="27" t="n"/>
    </row>
    <row r="584" ht="17.25" customHeight="1" s="322">
      <c r="A584" s="27" t="n"/>
      <c r="B584" s="506" t="n"/>
      <c r="C584" s="141" t="n"/>
      <c r="D584" s="141" t="n"/>
      <c r="E584" s="141" t="n"/>
      <c r="F584" s="141" t="n"/>
      <c r="G584" s="143" t="n"/>
      <c r="H584" s="27" t="n"/>
    </row>
    <row r="585" ht="17.25" customHeight="1" s="322">
      <c r="A585" s="27" t="n"/>
      <c r="B585" s="506" t="n"/>
      <c r="C585" s="141" t="n"/>
      <c r="D585" s="141" t="n"/>
      <c r="E585" s="141" t="n"/>
      <c r="F585" s="141" t="n"/>
      <c r="G585" s="143" t="n"/>
      <c r="H585" s="27" t="n"/>
    </row>
    <row r="586" ht="17.25" customHeight="1" s="322">
      <c r="A586" s="27" t="n"/>
      <c r="B586" s="506" t="n"/>
      <c r="C586" s="141" t="n"/>
      <c r="D586" s="141" t="n"/>
      <c r="E586" s="141" t="n"/>
      <c r="F586" s="141" t="n"/>
      <c r="G586" s="143" t="n"/>
      <c r="H586" s="27" t="n"/>
    </row>
    <row r="587" ht="17.25" customHeight="1" s="322">
      <c r="A587" s="27" t="n"/>
      <c r="B587" s="506" t="n"/>
      <c r="C587" s="141" t="n"/>
      <c r="D587" s="141" t="n"/>
      <c r="E587" s="141" t="n"/>
      <c r="F587" s="141" t="n"/>
      <c r="G587" s="143" t="n"/>
      <c r="H587" s="27" t="n"/>
    </row>
    <row r="588" ht="17.25" customHeight="1" s="322">
      <c r="A588" s="27" t="n"/>
      <c r="B588" s="506" t="n"/>
      <c r="C588" s="141" t="n"/>
      <c r="D588" s="141" t="n"/>
      <c r="E588" s="141" t="n"/>
      <c r="F588" s="141" t="n"/>
      <c r="G588" s="143" t="n"/>
      <c r="H588" s="27" t="n"/>
    </row>
    <row r="589" ht="17.25" customHeight="1" s="322">
      <c r="A589" s="27" t="n"/>
      <c r="B589" s="506" t="n"/>
      <c r="C589" s="141" t="n"/>
      <c r="D589" s="141" t="n"/>
      <c r="E589" s="141" t="n"/>
      <c r="F589" s="141" t="n"/>
      <c r="G589" s="143" t="n"/>
      <c r="H589" s="27" t="n"/>
    </row>
    <row r="590" ht="17.25" customHeight="1" s="322">
      <c r="A590" s="27" t="n"/>
      <c r="B590" s="506" t="n"/>
      <c r="C590" s="141" t="n"/>
      <c r="D590" s="141" t="n"/>
      <c r="E590" s="141" t="n"/>
      <c r="F590" s="141" t="n"/>
      <c r="G590" s="143" t="n"/>
      <c r="H590" s="27" t="n"/>
    </row>
    <row r="591" ht="17.25" customHeight="1" s="322">
      <c r="A591" s="27" t="n"/>
      <c r="B591" s="506" t="n"/>
      <c r="C591" s="141" t="n"/>
      <c r="D591" s="141" t="n"/>
      <c r="E591" s="141" t="n"/>
      <c r="F591" s="141" t="n"/>
      <c r="G591" s="143" t="n"/>
      <c r="H591" s="27" t="n"/>
    </row>
    <row r="592" ht="17.25" customHeight="1" s="322">
      <c r="A592" s="27" t="n"/>
      <c r="B592" s="506" t="n"/>
      <c r="C592" s="141" t="n"/>
      <c r="D592" s="141" t="n"/>
      <c r="E592" s="141" t="n"/>
      <c r="F592" s="141" t="n"/>
      <c r="G592" s="143" t="n"/>
      <c r="H592" s="27" t="n"/>
    </row>
    <row r="593" ht="17.25" customHeight="1" s="322">
      <c r="A593" s="27" t="n"/>
      <c r="B593" s="506" t="n"/>
      <c r="C593" s="141" t="n"/>
      <c r="D593" s="141" t="n"/>
      <c r="E593" s="141" t="n"/>
      <c r="F593" s="141" t="n"/>
      <c r="G593" s="143" t="n"/>
      <c r="H593" s="27" t="n"/>
    </row>
    <row r="594" ht="17.25" customHeight="1" s="322">
      <c r="A594" s="27" t="n"/>
      <c r="B594" s="506" t="n"/>
      <c r="C594" s="141" t="n"/>
      <c r="D594" s="141" t="n"/>
      <c r="E594" s="141" t="n"/>
      <c r="F594" s="141" t="n"/>
      <c r="G594" s="143" t="n"/>
      <c r="H594" s="27" t="n"/>
    </row>
    <row r="595" ht="17.25" customHeight="1" s="322">
      <c r="A595" s="27" t="n"/>
      <c r="B595" s="506" t="n"/>
      <c r="C595" s="141" t="n"/>
      <c r="D595" s="141" t="n"/>
      <c r="E595" s="141" t="n"/>
      <c r="F595" s="141" t="n"/>
      <c r="G595" s="143" t="n"/>
      <c r="H595" s="27" t="n"/>
    </row>
    <row r="596" ht="17.25" customHeight="1" s="322">
      <c r="A596" s="27" t="n"/>
      <c r="B596" s="506" t="n"/>
      <c r="C596" s="141" t="n"/>
      <c r="D596" s="141" t="n"/>
      <c r="E596" s="141" t="n"/>
      <c r="F596" s="141" t="n"/>
      <c r="G596" s="143" t="n"/>
      <c r="H596" s="27" t="n"/>
    </row>
    <row r="597" ht="17.25" customHeight="1" s="322">
      <c r="A597" s="27" t="n"/>
      <c r="B597" s="506" t="n"/>
      <c r="C597" s="141" t="n"/>
      <c r="D597" s="141" t="n"/>
      <c r="E597" s="141" t="n"/>
      <c r="F597" s="141" t="n"/>
      <c r="G597" s="143" t="n"/>
      <c r="H597" s="27" t="n"/>
    </row>
    <row r="598" ht="17.25" customHeight="1" s="322">
      <c r="A598" s="27" t="n"/>
      <c r="B598" s="506" t="n"/>
      <c r="C598" s="141" t="n"/>
      <c r="D598" s="141" t="n"/>
      <c r="E598" s="141" t="n"/>
      <c r="F598" s="141" t="n"/>
      <c r="G598" s="143" t="n"/>
      <c r="H598" s="27" t="n"/>
    </row>
    <row r="599" ht="17.25" customHeight="1" s="322">
      <c r="A599" s="27" t="n"/>
      <c r="B599" s="506" t="n"/>
      <c r="C599" s="141" t="n"/>
      <c r="D599" s="141" t="n"/>
      <c r="E599" s="141" t="n"/>
      <c r="F599" s="141" t="n"/>
      <c r="G599" s="143" t="n"/>
      <c r="H599" s="27" t="n"/>
    </row>
    <row r="600" ht="17.25" customHeight="1" s="322">
      <c r="A600" s="27" t="n"/>
      <c r="B600" s="506" t="n"/>
      <c r="C600" s="141" t="n"/>
      <c r="D600" s="141" t="n"/>
      <c r="E600" s="141" t="n"/>
      <c r="F600" s="141" t="n"/>
      <c r="G600" s="143" t="n"/>
      <c r="H600" s="27" t="n"/>
    </row>
    <row r="601" ht="17.25" customHeight="1" s="322">
      <c r="A601" s="27" t="n"/>
      <c r="B601" s="506" t="n"/>
      <c r="C601" s="141" t="n"/>
      <c r="D601" s="141" t="n"/>
      <c r="E601" s="141" t="n"/>
      <c r="F601" s="141" t="n"/>
      <c r="G601" s="143" t="n"/>
      <c r="H601" s="27" t="n"/>
    </row>
    <row r="602" ht="17.25" customHeight="1" s="322">
      <c r="A602" s="27" t="n"/>
      <c r="B602" s="506" t="n"/>
      <c r="C602" s="141" t="n"/>
      <c r="D602" s="141" t="n"/>
      <c r="E602" s="141" t="n"/>
      <c r="F602" s="141" t="n"/>
      <c r="G602" s="143" t="n"/>
      <c r="H602" s="27" t="n"/>
    </row>
    <row r="603" ht="17.25" customHeight="1" s="322">
      <c r="A603" s="27" t="n"/>
      <c r="B603" s="506" t="n"/>
      <c r="C603" s="141" t="n"/>
      <c r="D603" s="141" t="n"/>
      <c r="E603" s="141" t="n"/>
      <c r="F603" s="141" t="n"/>
      <c r="G603" s="143" t="n"/>
      <c r="H603" s="27" t="n"/>
    </row>
    <row r="604" ht="17.25" customHeight="1" s="322">
      <c r="A604" s="27" t="n"/>
      <c r="B604" s="506" t="n"/>
      <c r="C604" s="141" t="n"/>
      <c r="D604" s="141" t="n"/>
      <c r="E604" s="141" t="n"/>
      <c r="F604" s="141" t="n"/>
      <c r="G604" s="143" t="n"/>
      <c r="H604" s="27" t="n"/>
    </row>
    <row r="605" ht="17.25" customHeight="1" s="322">
      <c r="A605" s="27" t="n"/>
      <c r="B605" s="506" t="n"/>
      <c r="C605" s="141" t="n"/>
      <c r="D605" s="141" t="n"/>
      <c r="E605" s="141" t="n"/>
      <c r="F605" s="141" t="n"/>
      <c r="G605" s="143" t="n"/>
      <c r="H605" s="27" t="n"/>
    </row>
    <row r="606" ht="17.25" customHeight="1" s="322">
      <c r="A606" s="27" t="n"/>
      <c r="B606" s="506" t="n"/>
      <c r="C606" s="141" t="n"/>
      <c r="D606" s="141" t="n"/>
      <c r="E606" s="141" t="n"/>
      <c r="F606" s="141" t="n"/>
      <c r="G606" s="143" t="n"/>
      <c r="H606" s="27" t="n"/>
    </row>
    <row r="607" ht="17.25" customHeight="1" s="322">
      <c r="A607" s="27" t="n"/>
      <c r="B607" s="506" t="n"/>
      <c r="C607" s="141" t="n"/>
      <c r="D607" s="141" t="n"/>
      <c r="E607" s="141" t="n"/>
      <c r="F607" s="141" t="n"/>
      <c r="G607" s="143" t="n"/>
      <c r="H607" s="27" t="n"/>
    </row>
    <row r="608" ht="17.25" customHeight="1" s="322">
      <c r="A608" s="27" t="n"/>
      <c r="B608" s="506" t="n"/>
      <c r="C608" s="141" t="n"/>
      <c r="D608" s="141" t="n"/>
      <c r="E608" s="141" t="n"/>
      <c r="F608" s="141" t="n"/>
      <c r="G608" s="143" t="n"/>
      <c r="H608" s="27" t="n"/>
    </row>
    <row r="609" ht="17.25" customHeight="1" s="322">
      <c r="A609" s="27" t="n"/>
      <c r="B609" s="506" t="n"/>
      <c r="C609" s="141" t="n"/>
      <c r="D609" s="141" t="n"/>
      <c r="E609" s="141" t="n"/>
      <c r="F609" s="141" t="n"/>
      <c r="G609" s="143" t="n"/>
      <c r="H609" s="27" t="n"/>
    </row>
    <row r="610" ht="17.25" customHeight="1" s="322">
      <c r="A610" s="27" t="n"/>
      <c r="B610" s="506" t="n"/>
      <c r="C610" s="141" t="n"/>
      <c r="D610" s="141" t="n"/>
      <c r="E610" s="141" t="n"/>
      <c r="F610" s="141" t="n"/>
      <c r="G610" s="143" t="n"/>
      <c r="H610" s="27" t="n"/>
    </row>
    <row r="611" ht="17.25" customHeight="1" s="322">
      <c r="A611" s="27" t="n"/>
      <c r="B611" s="506" t="n"/>
      <c r="C611" s="141" t="n"/>
      <c r="D611" s="141" t="n"/>
      <c r="E611" s="141" t="n"/>
      <c r="F611" s="141" t="n"/>
      <c r="G611" s="143" t="n"/>
      <c r="H611" s="27" t="n"/>
    </row>
    <row r="612" ht="17.25" customHeight="1" s="322">
      <c r="A612" s="27" t="n"/>
      <c r="B612" s="506" t="n"/>
      <c r="C612" s="141" t="n"/>
      <c r="D612" s="141" t="n"/>
      <c r="E612" s="141" t="n"/>
      <c r="F612" s="141" t="n"/>
      <c r="G612" s="143" t="n"/>
      <c r="H612" s="27" t="n"/>
    </row>
    <row r="613" ht="17.25" customHeight="1" s="322">
      <c r="A613" s="27" t="n"/>
      <c r="B613" s="506" t="n"/>
      <c r="C613" s="141" t="n"/>
      <c r="D613" s="141" t="n"/>
      <c r="E613" s="141" t="n"/>
      <c r="F613" s="141" t="n"/>
      <c r="G613" s="143" t="n"/>
      <c r="H613" s="27" t="n"/>
    </row>
    <row r="614" ht="17.25" customHeight="1" s="322">
      <c r="A614" s="27" t="n"/>
      <c r="B614" s="506" t="n"/>
      <c r="C614" s="141" t="n"/>
      <c r="D614" s="141" t="n"/>
      <c r="E614" s="141" t="n"/>
      <c r="F614" s="141" t="n"/>
      <c r="G614" s="143" t="n"/>
      <c r="H614" s="27" t="n"/>
    </row>
    <row r="615" ht="17.25" customHeight="1" s="322">
      <c r="A615" s="27" t="n"/>
      <c r="B615" s="506" t="n"/>
      <c r="C615" s="141" t="n"/>
      <c r="D615" s="141" t="n"/>
      <c r="E615" s="141" t="n"/>
      <c r="F615" s="141" t="n"/>
      <c r="G615" s="143" t="n"/>
      <c r="H615" s="27" t="n"/>
    </row>
    <row r="616" ht="17.25" customHeight="1" s="322">
      <c r="A616" s="27" t="n"/>
      <c r="B616" s="506" t="n"/>
      <c r="C616" s="141" t="n"/>
      <c r="D616" s="141" t="n"/>
      <c r="E616" s="141" t="n"/>
      <c r="F616" s="141" t="n"/>
      <c r="G616" s="143" t="n"/>
      <c r="H616" s="27" t="n"/>
    </row>
    <row r="617" ht="17.25" customHeight="1" s="322">
      <c r="A617" s="27" t="n"/>
      <c r="B617" s="506" t="n"/>
      <c r="C617" s="141" t="n"/>
      <c r="D617" s="141" t="n"/>
      <c r="E617" s="141" t="n"/>
      <c r="F617" s="141" t="n"/>
      <c r="G617" s="143" t="n"/>
      <c r="H617" s="27" t="n"/>
    </row>
    <row r="618" ht="17.25" customHeight="1" s="322">
      <c r="A618" s="27" t="n"/>
      <c r="B618" s="506" t="n"/>
      <c r="C618" s="141" t="n"/>
      <c r="D618" s="141" t="n"/>
      <c r="E618" s="141" t="n"/>
      <c r="F618" s="141" t="n"/>
      <c r="G618" s="143" t="n"/>
      <c r="H618" s="27" t="n"/>
    </row>
    <row r="619" ht="17.25" customHeight="1" s="322">
      <c r="A619" s="27" t="n"/>
      <c r="B619" s="506" t="n"/>
      <c r="C619" s="141" t="n"/>
      <c r="D619" s="141" t="n"/>
      <c r="E619" s="141" t="n"/>
      <c r="F619" s="141" t="n"/>
      <c r="G619" s="143" t="n"/>
      <c r="H619" s="27" t="n"/>
    </row>
    <row r="620" ht="17.25" customHeight="1" s="322">
      <c r="A620" s="27" t="n"/>
      <c r="B620" s="506" t="n"/>
      <c r="C620" s="141" t="n"/>
      <c r="D620" s="141" t="n"/>
      <c r="E620" s="141" t="n"/>
      <c r="F620" s="141" t="n"/>
      <c r="G620" s="143" t="n"/>
      <c r="H620" s="27" t="n"/>
    </row>
    <row r="621" ht="17.25" customHeight="1" s="322">
      <c r="A621" s="27" t="n"/>
      <c r="B621" s="506" t="n"/>
      <c r="C621" s="141" t="n"/>
      <c r="D621" s="141" t="n"/>
      <c r="E621" s="141" t="n"/>
      <c r="F621" s="141" t="n"/>
      <c r="G621" s="143" t="n"/>
      <c r="H621" s="27" t="n"/>
    </row>
    <row r="622" ht="17.25" customHeight="1" s="322">
      <c r="A622" s="27" t="n"/>
      <c r="B622" s="506" t="n"/>
      <c r="C622" s="141" t="n"/>
      <c r="D622" s="141" t="n"/>
      <c r="E622" s="141" t="n"/>
      <c r="F622" s="141" t="n"/>
      <c r="G622" s="143" t="n"/>
      <c r="H622" s="27" t="n"/>
    </row>
    <row r="623" ht="17.25" customHeight="1" s="322">
      <c r="A623" s="27" t="n"/>
      <c r="B623" s="506" t="n"/>
      <c r="C623" s="141" t="n"/>
      <c r="D623" s="141" t="n"/>
      <c r="E623" s="141" t="n"/>
      <c r="F623" s="141" t="n"/>
      <c r="G623" s="143" t="n"/>
      <c r="H623" s="27" t="n"/>
    </row>
    <row r="624" ht="17.25" customHeight="1" s="322">
      <c r="A624" s="27" t="n"/>
      <c r="B624" s="506" t="n"/>
      <c r="C624" s="141" t="n"/>
      <c r="D624" s="141" t="n"/>
      <c r="E624" s="141" t="n"/>
      <c r="F624" s="141" t="n"/>
      <c r="G624" s="143" t="n"/>
      <c r="H624" s="27" t="n"/>
    </row>
    <row r="625" ht="17.25" customHeight="1" s="322">
      <c r="A625" s="27" t="n"/>
      <c r="B625" s="506" t="n"/>
      <c r="C625" s="141" t="n"/>
      <c r="D625" s="141" t="n"/>
      <c r="E625" s="141" t="n"/>
      <c r="F625" s="141" t="n"/>
      <c r="G625" s="143" t="n"/>
      <c r="H625" s="27" t="n"/>
    </row>
    <row r="626" ht="17.25" customHeight="1" s="322">
      <c r="A626" s="27" t="n"/>
      <c r="B626" s="506" t="n"/>
      <c r="C626" s="141" t="n"/>
      <c r="D626" s="141" t="n"/>
      <c r="E626" s="141" t="n"/>
      <c r="F626" s="141" t="n"/>
      <c r="G626" s="143" t="n"/>
      <c r="H626" s="27" t="n"/>
    </row>
    <row r="627" ht="17.25" customHeight="1" s="322">
      <c r="A627" s="27" t="n"/>
      <c r="B627" s="506" t="n"/>
      <c r="C627" s="141" t="n"/>
      <c r="D627" s="141" t="n"/>
      <c r="E627" s="141" t="n"/>
      <c r="F627" s="141" t="n"/>
      <c r="G627" s="143" t="n"/>
      <c r="H627" s="27" t="n"/>
    </row>
    <row r="628" ht="17.25" customHeight="1" s="322">
      <c r="A628" s="27" t="n"/>
      <c r="B628" s="506" t="n"/>
      <c r="C628" s="141" t="n"/>
      <c r="D628" s="141" t="n"/>
      <c r="E628" s="141" t="n"/>
      <c r="F628" s="141" t="n"/>
      <c r="G628" s="143" t="n"/>
      <c r="H628" s="27" t="n"/>
    </row>
    <row r="629" ht="17.25" customHeight="1" s="322">
      <c r="A629" s="27" t="n"/>
      <c r="B629" s="506" t="n"/>
      <c r="C629" s="141" t="n"/>
      <c r="D629" s="141" t="n"/>
      <c r="E629" s="141" t="n"/>
      <c r="F629" s="141" t="n"/>
      <c r="G629" s="143" t="n"/>
      <c r="H629" s="27" t="n"/>
    </row>
    <row r="630" ht="17.25" customHeight="1" s="322">
      <c r="A630" s="27" t="n"/>
      <c r="B630" s="506" t="n"/>
      <c r="C630" s="141" t="n"/>
      <c r="D630" s="141" t="n"/>
      <c r="E630" s="141" t="n"/>
      <c r="F630" s="141" t="n"/>
      <c r="G630" s="143" t="n"/>
      <c r="H630" s="27" t="n"/>
    </row>
    <row r="631" ht="17.25" customHeight="1" s="322">
      <c r="A631" s="27" t="n"/>
      <c r="B631" s="506" t="n"/>
      <c r="C631" s="141" t="n"/>
      <c r="D631" s="141" t="n"/>
      <c r="E631" s="141" t="n"/>
      <c r="F631" s="141" t="n"/>
      <c r="G631" s="143" t="n"/>
      <c r="H631" s="27" t="n"/>
    </row>
    <row r="632" ht="17.25" customHeight="1" s="322">
      <c r="A632" s="27" t="n"/>
      <c r="B632" s="506" t="n"/>
      <c r="C632" s="141" t="n"/>
      <c r="D632" s="141" t="n"/>
      <c r="E632" s="141" t="n"/>
      <c r="F632" s="141" t="n"/>
      <c r="G632" s="143" t="n"/>
      <c r="H632" s="27" t="n"/>
    </row>
    <row r="633" ht="17.25" customHeight="1" s="322">
      <c r="A633" s="27" t="n"/>
      <c r="B633" s="506" t="n"/>
      <c r="C633" s="141" t="n"/>
      <c r="D633" s="141" t="n"/>
      <c r="E633" s="141" t="n"/>
      <c r="F633" s="141" t="n"/>
      <c r="G633" s="143" t="n"/>
      <c r="H633" s="27" t="n"/>
    </row>
    <row r="634" ht="17.25" customHeight="1" s="322">
      <c r="A634" s="27" t="n"/>
      <c r="B634" s="506" t="n"/>
      <c r="C634" s="141" t="n"/>
      <c r="D634" s="141" t="n"/>
      <c r="E634" s="141" t="n"/>
      <c r="F634" s="141" t="n"/>
      <c r="G634" s="143" t="n"/>
      <c r="H634" s="27" t="n"/>
    </row>
    <row r="635" ht="17.25" customHeight="1" s="322">
      <c r="A635" s="27" t="n"/>
      <c r="B635" s="506" t="n"/>
      <c r="C635" s="141" t="n"/>
      <c r="D635" s="141" t="n"/>
      <c r="E635" s="141" t="n"/>
      <c r="F635" s="141" t="n"/>
      <c r="G635" s="143" t="n"/>
      <c r="H635" s="27" t="n"/>
    </row>
    <row r="636" ht="17.25" customHeight="1" s="322">
      <c r="A636" s="27" t="n"/>
      <c r="B636" s="506" t="n"/>
      <c r="C636" s="141" t="n"/>
      <c r="D636" s="141" t="n"/>
      <c r="E636" s="141" t="n"/>
      <c r="F636" s="141" t="n"/>
      <c r="G636" s="143" t="n"/>
      <c r="H636" s="27" t="n"/>
    </row>
    <row r="637" ht="17.25" customHeight="1" s="322">
      <c r="A637" s="27" t="n"/>
      <c r="B637" s="506" t="n"/>
      <c r="C637" s="141" t="n"/>
      <c r="D637" s="141" t="n"/>
      <c r="E637" s="141" t="n"/>
      <c r="F637" s="141" t="n"/>
      <c r="G637" s="143" t="n"/>
      <c r="H637" s="27" t="n"/>
    </row>
    <row r="638" ht="17.25" customHeight="1" s="322">
      <c r="A638" s="27" t="n"/>
      <c r="B638" s="506" t="n"/>
      <c r="C638" s="141" t="n"/>
      <c r="D638" s="141" t="n"/>
      <c r="E638" s="141" t="n"/>
      <c r="F638" s="141" t="n"/>
      <c r="G638" s="143" t="n"/>
      <c r="H638" s="27" t="n"/>
    </row>
    <row r="639" ht="17.25" customHeight="1" s="322">
      <c r="A639" s="27" t="n"/>
      <c r="B639" s="506" t="n"/>
      <c r="C639" s="141" t="n"/>
      <c r="D639" s="141" t="n"/>
      <c r="E639" s="141" t="n"/>
      <c r="F639" s="141" t="n"/>
      <c r="G639" s="143" t="n"/>
      <c r="H639" s="27" t="n"/>
    </row>
    <row r="640" ht="17.25" customHeight="1" s="322">
      <c r="A640" s="27" t="n"/>
      <c r="B640" s="506" t="n"/>
      <c r="C640" s="141" t="n"/>
      <c r="D640" s="141" t="n"/>
      <c r="E640" s="141" t="n"/>
      <c r="F640" s="141" t="n"/>
      <c r="G640" s="143" t="n"/>
      <c r="H640" s="27" t="n"/>
    </row>
    <row r="641" ht="17.25" customHeight="1" s="322">
      <c r="A641" s="27" t="n"/>
      <c r="B641" s="506" t="n"/>
      <c r="C641" s="141" t="n"/>
      <c r="D641" s="141" t="n"/>
      <c r="E641" s="141" t="n"/>
      <c r="F641" s="141" t="n"/>
      <c r="G641" s="143" t="n"/>
      <c r="H641" s="27" t="n"/>
    </row>
    <row r="642" ht="17.25" customHeight="1" s="322">
      <c r="A642" s="27" t="n"/>
      <c r="B642" s="506" t="n"/>
      <c r="C642" s="141" t="n"/>
      <c r="D642" s="141" t="n"/>
      <c r="E642" s="141" t="n"/>
      <c r="F642" s="141" t="n"/>
      <c r="G642" s="143" t="n"/>
      <c r="H642" s="27" t="n"/>
    </row>
    <row r="643" ht="17.25" customHeight="1" s="322">
      <c r="A643" s="27" t="n"/>
      <c r="B643" s="506" t="n"/>
      <c r="C643" s="141" t="n"/>
      <c r="D643" s="141" t="n"/>
      <c r="E643" s="141" t="n"/>
      <c r="F643" s="141" t="n"/>
      <c r="G643" s="143" t="n"/>
      <c r="H643" s="27" t="n"/>
    </row>
    <row r="644" ht="17.25" customHeight="1" s="322">
      <c r="A644" s="27" t="n"/>
      <c r="B644" s="506" t="n"/>
      <c r="C644" s="141" t="n"/>
      <c r="D644" s="141" t="n"/>
      <c r="E644" s="141" t="n"/>
      <c r="F644" s="141" t="n"/>
      <c r="G644" s="143" t="n"/>
      <c r="H644" s="27" t="n"/>
    </row>
    <row r="645" ht="17.25" customHeight="1" s="322">
      <c r="A645" s="27" t="n"/>
      <c r="B645" s="506" t="n"/>
      <c r="C645" s="141" t="n"/>
      <c r="D645" s="141" t="n"/>
      <c r="E645" s="141" t="n"/>
      <c r="F645" s="141" t="n"/>
      <c r="G645" s="143" t="n"/>
      <c r="H645" s="27" t="n"/>
    </row>
    <row r="646" ht="17.25" customHeight="1" s="322">
      <c r="A646" s="27" t="n"/>
      <c r="B646" s="506" t="n"/>
      <c r="C646" s="141" t="n"/>
      <c r="D646" s="141" t="n"/>
      <c r="E646" s="141" t="n"/>
      <c r="F646" s="141" t="n"/>
      <c r="G646" s="143" t="n"/>
      <c r="H646" s="27" t="n"/>
    </row>
    <row r="647" ht="17.25" customHeight="1" s="322">
      <c r="A647" s="27" t="n"/>
      <c r="B647" s="506" t="n"/>
      <c r="C647" s="141" t="n"/>
      <c r="D647" s="141" t="n"/>
      <c r="E647" s="141" t="n"/>
      <c r="F647" s="141" t="n"/>
      <c r="G647" s="143" t="n"/>
      <c r="H647" s="27" t="n"/>
    </row>
    <row r="648" ht="17.25" customHeight="1" s="322">
      <c r="A648" s="27" t="n"/>
      <c r="B648" s="506" t="n"/>
      <c r="C648" s="141" t="n"/>
      <c r="D648" s="141" t="n"/>
      <c r="E648" s="141" t="n"/>
      <c r="F648" s="141" t="n"/>
      <c r="G648" s="143" t="n"/>
      <c r="H648" s="27" t="n"/>
    </row>
    <row r="649" ht="17.25" customHeight="1" s="322">
      <c r="A649" s="27" t="n"/>
      <c r="B649" s="506" t="n"/>
      <c r="C649" s="141" t="n"/>
      <c r="D649" s="141" t="n"/>
      <c r="E649" s="141" t="n"/>
      <c r="F649" s="141" t="n"/>
      <c r="G649" s="143" t="n"/>
      <c r="H649" s="27" t="n"/>
    </row>
    <row r="650" ht="17.25" customHeight="1" s="322">
      <c r="A650" s="27" t="n"/>
      <c r="B650" s="506" t="n"/>
      <c r="C650" s="141" t="n"/>
      <c r="D650" s="141" t="n"/>
      <c r="E650" s="141" t="n"/>
      <c r="F650" s="141" t="n"/>
      <c r="G650" s="143" t="n"/>
      <c r="H650" s="27" t="n"/>
    </row>
    <row r="651" ht="17.25" customHeight="1" s="322">
      <c r="A651" s="27" t="n"/>
      <c r="B651" s="506" t="n"/>
      <c r="C651" s="141" t="n"/>
      <c r="D651" s="141" t="n"/>
      <c r="E651" s="141" t="n"/>
      <c r="F651" s="141" t="n"/>
      <c r="G651" s="143" t="n"/>
      <c r="H651" s="27" t="n"/>
    </row>
    <row r="652" ht="17.25" customHeight="1" s="322">
      <c r="A652" s="27" t="n"/>
      <c r="B652" s="506" t="n"/>
      <c r="C652" s="141" t="n"/>
      <c r="D652" s="141" t="n"/>
      <c r="E652" s="141" t="n"/>
      <c r="F652" s="141" t="n"/>
      <c r="G652" s="143" t="n"/>
      <c r="H652" s="27" t="n"/>
    </row>
    <row r="653" ht="17.25" customHeight="1" s="322">
      <c r="A653" s="27" t="n"/>
      <c r="B653" s="506" t="n"/>
      <c r="C653" s="141" t="n"/>
      <c r="D653" s="141" t="n"/>
      <c r="E653" s="141" t="n"/>
      <c r="F653" s="141" t="n"/>
      <c r="G653" s="143" t="n"/>
      <c r="H653" s="27" t="n"/>
    </row>
    <row r="654" ht="17.25" customHeight="1" s="322">
      <c r="A654" s="27" t="n"/>
      <c r="B654" s="506" t="n"/>
      <c r="C654" s="141" t="n"/>
      <c r="D654" s="141" t="n"/>
      <c r="E654" s="141" t="n"/>
      <c r="F654" s="141" t="n"/>
      <c r="G654" s="143" t="n"/>
      <c r="H654" s="27" t="n"/>
    </row>
    <row r="655" ht="17.25" customHeight="1" s="322">
      <c r="A655" s="27" t="n"/>
      <c r="B655" s="506" t="n"/>
      <c r="C655" s="141" t="n"/>
      <c r="D655" s="141" t="n"/>
      <c r="E655" s="141" t="n"/>
      <c r="F655" s="141" t="n"/>
      <c r="G655" s="143" t="n"/>
      <c r="H655" s="27" t="n"/>
    </row>
    <row r="656" ht="17.25" customHeight="1" s="322">
      <c r="A656" s="27" t="n"/>
      <c r="B656" s="506" t="n"/>
      <c r="C656" s="141" t="n"/>
      <c r="D656" s="141" t="n"/>
      <c r="E656" s="141" t="n"/>
      <c r="F656" s="141" t="n"/>
      <c r="G656" s="143" t="n"/>
      <c r="H656" s="27" t="n"/>
    </row>
    <row r="657" ht="17.25" customHeight="1" s="322">
      <c r="A657" s="27" t="n"/>
      <c r="B657" s="506" t="n"/>
      <c r="C657" s="141" t="n"/>
      <c r="D657" s="141" t="n"/>
      <c r="E657" s="141" t="n"/>
      <c r="F657" s="141" t="n"/>
      <c r="G657" s="143" t="n"/>
      <c r="H657" s="27" t="n"/>
    </row>
    <row r="658" ht="17.25" customHeight="1" s="322">
      <c r="A658" s="27" t="n"/>
      <c r="B658" s="506" t="n"/>
      <c r="C658" s="141" t="n"/>
      <c r="D658" s="141" t="n"/>
      <c r="E658" s="141" t="n"/>
      <c r="F658" s="141" t="n"/>
      <c r="G658" s="143" t="n"/>
      <c r="H658" s="27" t="n"/>
    </row>
    <row r="659" ht="17.25" customHeight="1" s="322">
      <c r="A659" s="27" t="n"/>
      <c r="B659" s="506" t="n"/>
      <c r="C659" s="141" t="n"/>
      <c r="D659" s="141" t="n"/>
      <c r="E659" s="141" t="n"/>
      <c r="F659" s="141" t="n"/>
      <c r="G659" s="143" t="n"/>
      <c r="H659" s="27" t="n"/>
    </row>
    <row r="660" ht="17.25" customHeight="1" s="322">
      <c r="A660" s="27" t="n"/>
      <c r="B660" s="506" t="n"/>
      <c r="C660" s="141" t="n"/>
      <c r="D660" s="141" t="n"/>
      <c r="E660" s="141" t="n"/>
      <c r="F660" s="141" t="n"/>
      <c r="G660" s="143" t="n"/>
      <c r="H660" s="27" t="n"/>
    </row>
    <row r="661" ht="17.25" customHeight="1" s="322">
      <c r="A661" s="27" t="n"/>
      <c r="B661" s="506" t="n"/>
      <c r="C661" s="141" t="n"/>
      <c r="D661" s="141" t="n"/>
      <c r="E661" s="141" t="n"/>
      <c r="F661" s="141" t="n"/>
      <c r="G661" s="143" t="n"/>
      <c r="H661" s="27" t="n"/>
    </row>
    <row r="662" ht="17.25" customHeight="1" s="322">
      <c r="A662" s="27" t="n"/>
      <c r="B662" s="506" t="n"/>
      <c r="C662" s="141" t="n"/>
      <c r="D662" s="141" t="n"/>
      <c r="E662" s="141" t="n"/>
      <c r="F662" s="141" t="n"/>
      <c r="G662" s="143" t="n"/>
      <c r="H662" s="27" t="n"/>
    </row>
    <row r="663" ht="17.25" customHeight="1" s="322">
      <c r="A663" s="27" t="n"/>
      <c r="B663" s="506" t="n"/>
      <c r="C663" s="141" t="n"/>
      <c r="D663" s="141" t="n"/>
      <c r="E663" s="141" t="n"/>
      <c r="F663" s="141" t="n"/>
      <c r="G663" s="143" t="n"/>
      <c r="H663" s="27" t="n"/>
    </row>
    <row r="664" ht="17.25" customHeight="1" s="322">
      <c r="A664" s="27" t="n"/>
      <c r="B664" s="506" t="n"/>
      <c r="C664" s="141" t="n"/>
      <c r="D664" s="141" t="n"/>
      <c r="E664" s="141" t="n"/>
      <c r="F664" s="141" t="n"/>
      <c r="G664" s="143" t="n"/>
      <c r="H664" s="27" t="n"/>
    </row>
    <row r="665" ht="17.25" customHeight="1" s="322">
      <c r="A665" s="27" t="n"/>
      <c r="B665" s="506" t="n"/>
      <c r="C665" s="141" t="n"/>
      <c r="D665" s="141" t="n"/>
      <c r="E665" s="141" t="n"/>
      <c r="F665" s="141" t="n"/>
      <c r="G665" s="143" t="n"/>
      <c r="H665" s="27" t="n"/>
    </row>
    <row r="666" ht="17.25" customHeight="1" s="322">
      <c r="A666" s="27" t="n"/>
      <c r="B666" s="506" t="n"/>
      <c r="C666" s="141" t="n"/>
      <c r="D666" s="141" t="n"/>
      <c r="E666" s="141" t="n"/>
      <c r="F666" s="141" t="n"/>
      <c r="G666" s="143" t="n"/>
      <c r="H666" s="27" t="n"/>
    </row>
    <row r="667" ht="17.25" customHeight="1" s="322">
      <c r="A667" s="27" t="n"/>
      <c r="B667" s="506" t="n"/>
      <c r="C667" s="141" t="n"/>
      <c r="D667" s="141" t="n"/>
      <c r="E667" s="141" t="n"/>
      <c r="F667" s="141" t="n"/>
      <c r="G667" s="143" t="n"/>
      <c r="H667" s="27" t="n"/>
    </row>
    <row r="668" ht="17.25" customHeight="1" s="322">
      <c r="A668" s="27" t="n"/>
      <c r="B668" s="506" t="n"/>
      <c r="C668" s="141" t="n"/>
      <c r="D668" s="141" t="n"/>
      <c r="E668" s="141" t="n"/>
      <c r="F668" s="141" t="n"/>
      <c r="G668" s="143" t="n"/>
      <c r="H668" s="27" t="n"/>
    </row>
    <row r="669" ht="17.25" customHeight="1" s="322">
      <c r="A669" s="27" t="n"/>
      <c r="B669" s="506" t="n"/>
      <c r="C669" s="141" t="n"/>
      <c r="D669" s="141" t="n"/>
      <c r="E669" s="141" t="n"/>
      <c r="F669" s="141" t="n"/>
      <c r="G669" s="143" t="n"/>
      <c r="H669" s="27" t="n"/>
    </row>
    <row r="670" ht="17.25" customHeight="1" s="322">
      <c r="A670" s="27" t="n"/>
      <c r="B670" s="506" t="n"/>
      <c r="C670" s="141" t="n"/>
      <c r="D670" s="141" t="n"/>
      <c r="E670" s="141" t="n"/>
      <c r="F670" s="141" t="n"/>
      <c r="G670" s="143" t="n"/>
      <c r="H670" s="27" t="n"/>
    </row>
    <row r="671" ht="17.25" customHeight="1" s="322">
      <c r="A671" s="27" t="n"/>
      <c r="B671" s="506" t="n"/>
      <c r="C671" s="141" t="n"/>
      <c r="D671" s="141" t="n"/>
      <c r="E671" s="141" t="n"/>
      <c r="F671" s="141" t="n"/>
      <c r="G671" s="143" t="n"/>
      <c r="H671" s="27" t="n"/>
    </row>
    <row r="672" ht="17.25" customHeight="1" s="322">
      <c r="A672" s="27" t="n"/>
      <c r="B672" s="506" t="n"/>
      <c r="C672" s="141" t="n"/>
      <c r="D672" s="141" t="n"/>
      <c r="E672" s="141" t="n"/>
      <c r="F672" s="141" t="n"/>
      <c r="G672" s="143" t="n"/>
      <c r="H672" s="27" t="n"/>
    </row>
    <row r="673" ht="17.25" customHeight="1" s="322">
      <c r="A673" s="27" t="n"/>
      <c r="B673" s="506" t="n"/>
      <c r="C673" s="141" t="n"/>
      <c r="D673" s="141" t="n"/>
      <c r="E673" s="141" t="n"/>
      <c r="F673" s="141" t="n"/>
      <c r="G673" s="143" t="n"/>
      <c r="H673" s="27" t="n"/>
    </row>
    <row r="674" ht="17.25" customHeight="1" s="322">
      <c r="A674" s="27" t="n"/>
      <c r="B674" s="506" t="n"/>
      <c r="C674" s="141" t="n"/>
      <c r="D674" s="141" t="n"/>
      <c r="E674" s="141" t="n"/>
      <c r="F674" s="141" t="n"/>
      <c r="G674" s="143" t="n"/>
      <c r="H674" s="27" t="n"/>
    </row>
    <row r="675" ht="17.25" customHeight="1" s="322">
      <c r="A675" s="27" t="n"/>
      <c r="B675" s="506" t="n"/>
      <c r="C675" s="141" t="n"/>
      <c r="D675" s="141" t="n"/>
      <c r="E675" s="141" t="n"/>
      <c r="F675" s="141" t="n"/>
      <c r="G675" s="143" t="n"/>
      <c r="H675" s="27" t="n"/>
    </row>
    <row r="676" ht="17.25" customHeight="1" s="322">
      <c r="A676" s="27" t="n"/>
      <c r="B676" s="506" t="n"/>
      <c r="C676" s="141" t="n"/>
      <c r="D676" s="141" t="n"/>
      <c r="E676" s="141" t="n"/>
      <c r="F676" s="141" t="n"/>
      <c r="G676" s="143" t="n"/>
      <c r="H676" s="27" t="n"/>
    </row>
    <row r="677" ht="17.25" customHeight="1" s="322">
      <c r="A677" s="27" t="n"/>
      <c r="B677" s="506" t="n"/>
      <c r="C677" s="141" t="n"/>
      <c r="D677" s="141" t="n"/>
      <c r="E677" s="141" t="n"/>
      <c r="F677" s="141" t="n"/>
      <c r="G677" s="143" t="n"/>
      <c r="H677" s="27" t="n"/>
    </row>
    <row r="678" ht="17.25" customHeight="1" s="322">
      <c r="A678" s="27" t="n"/>
      <c r="B678" s="506" t="n"/>
      <c r="C678" s="141" t="n"/>
      <c r="D678" s="141" t="n"/>
      <c r="E678" s="141" t="n"/>
      <c r="F678" s="141" t="n"/>
      <c r="G678" s="143" t="n"/>
      <c r="H678" s="27" t="n"/>
    </row>
    <row r="679" ht="17.25" customHeight="1" s="322">
      <c r="A679" s="27" t="n"/>
      <c r="B679" s="506" t="n"/>
      <c r="C679" s="141" t="n"/>
      <c r="D679" s="141" t="n"/>
      <c r="E679" s="141" t="n"/>
      <c r="F679" s="141" t="n"/>
      <c r="G679" s="143" t="n"/>
      <c r="H679" s="27" t="n"/>
    </row>
    <row r="680" ht="17.25" customHeight="1" s="322">
      <c r="A680" s="27" t="n"/>
      <c r="B680" s="506" t="n"/>
      <c r="C680" s="141" t="n"/>
      <c r="D680" s="141" t="n"/>
      <c r="E680" s="141" t="n"/>
      <c r="F680" s="141" t="n"/>
      <c r="G680" s="143" t="n"/>
      <c r="H680" s="27" t="n"/>
    </row>
    <row r="681" ht="17.25" customHeight="1" s="322">
      <c r="A681" s="27" t="n"/>
      <c r="B681" s="506" t="n"/>
      <c r="C681" s="141" t="n"/>
      <c r="D681" s="141" t="n"/>
      <c r="E681" s="141" t="n"/>
      <c r="F681" s="141" t="n"/>
      <c r="G681" s="143" t="n"/>
      <c r="H681" s="27" t="n"/>
    </row>
    <row r="682" ht="17.25" customHeight="1" s="322">
      <c r="A682" s="27" t="n"/>
      <c r="B682" s="506" t="n"/>
      <c r="C682" s="141" t="n"/>
      <c r="D682" s="141" t="n"/>
      <c r="E682" s="141" t="n"/>
      <c r="F682" s="141" t="n"/>
      <c r="G682" s="143" t="n"/>
      <c r="H682" s="27" t="n"/>
    </row>
    <row r="683" ht="17.25" customHeight="1" s="322">
      <c r="A683" s="27" t="n"/>
      <c r="B683" s="506" t="n"/>
      <c r="C683" s="141" t="n"/>
      <c r="D683" s="141" t="n"/>
      <c r="E683" s="141" t="n"/>
      <c r="F683" s="141" t="n"/>
      <c r="G683" s="143" t="n"/>
      <c r="H683" s="27" t="n"/>
    </row>
    <row r="684" ht="17.25" customHeight="1" s="322">
      <c r="A684" s="27" t="n"/>
      <c r="B684" s="506" t="n"/>
      <c r="C684" s="141" t="n"/>
      <c r="D684" s="141" t="n"/>
      <c r="E684" s="141" t="n"/>
      <c r="F684" s="141" t="n"/>
      <c r="G684" s="143" t="n"/>
      <c r="H684" s="27" t="n"/>
    </row>
    <row r="685" ht="17.25" customHeight="1" s="322">
      <c r="A685" s="27" t="n"/>
      <c r="B685" s="506" t="n"/>
      <c r="C685" s="141" t="n"/>
      <c r="D685" s="141" t="n"/>
      <c r="E685" s="141" t="n"/>
      <c r="F685" s="141" t="n"/>
      <c r="G685" s="143" t="n"/>
      <c r="H685" s="27" t="n"/>
    </row>
    <row r="686" ht="17.25" customHeight="1" s="322">
      <c r="A686" s="27" t="n"/>
      <c r="B686" s="506" t="n"/>
      <c r="C686" s="141" t="n"/>
      <c r="D686" s="141" t="n"/>
      <c r="E686" s="141" t="n"/>
      <c r="F686" s="141" t="n"/>
      <c r="G686" s="143" t="n"/>
      <c r="H686" s="27" t="n"/>
    </row>
    <row r="687" ht="17.25" customHeight="1" s="322">
      <c r="A687" s="27" t="n"/>
      <c r="B687" s="506" t="n"/>
      <c r="C687" s="141" t="n"/>
      <c r="D687" s="141" t="n"/>
      <c r="E687" s="141" t="n"/>
      <c r="F687" s="141" t="n"/>
      <c r="G687" s="143" t="n"/>
      <c r="H687" s="27" t="n"/>
    </row>
    <row r="688" ht="17.25" customHeight="1" s="322">
      <c r="A688" s="27" t="n"/>
      <c r="B688" s="506" t="n"/>
      <c r="C688" s="141" t="n"/>
      <c r="D688" s="141" t="n"/>
      <c r="E688" s="141" t="n"/>
      <c r="F688" s="141" t="n"/>
      <c r="G688" s="143" t="n"/>
      <c r="H688" s="27" t="n"/>
    </row>
    <row r="689" ht="17.25" customHeight="1" s="322">
      <c r="A689" s="27" t="n"/>
      <c r="B689" s="506" t="n"/>
      <c r="C689" s="141" t="n"/>
      <c r="D689" s="141" t="n"/>
      <c r="E689" s="141" t="n"/>
      <c r="F689" s="141" t="n"/>
      <c r="G689" s="143" t="n"/>
      <c r="H689" s="27" t="n"/>
    </row>
    <row r="690" ht="17.25" customHeight="1" s="322">
      <c r="A690" s="27" t="n"/>
      <c r="B690" s="506" t="n"/>
      <c r="C690" s="141" t="n"/>
      <c r="D690" s="141" t="n"/>
      <c r="E690" s="141" t="n"/>
      <c r="F690" s="141" t="n"/>
      <c r="G690" s="143" t="n"/>
      <c r="H690" s="27" t="n"/>
    </row>
    <row r="691" ht="17.25" customHeight="1" s="322">
      <c r="A691" s="27" t="n"/>
      <c r="B691" s="506" t="n"/>
      <c r="C691" s="141" t="n"/>
      <c r="D691" s="141" t="n"/>
      <c r="E691" s="141" t="n"/>
      <c r="F691" s="141" t="n"/>
      <c r="G691" s="143" t="n"/>
      <c r="H691" s="27" t="n"/>
    </row>
    <row r="692" ht="17.25" customHeight="1" s="322">
      <c r="A692" s="27" t="n"/>
      <c r="B692" s="506" t="n"/>
      <c r="C692" s="141" t="n"/>
      <c r="D692" s="141" t="n"/>
      <c r="E692" s="141" t="n"/>
      <c r="F692" s="141" t="n"/>
      <c r="G692" s="143" t="n"/>
      <c r="H692" s="27" t="n"/>
    </row>
    <row r="693" ht="17.25" customHeight="1" s="322">
      <c r="A693" s="27" t="n"/>
      <c r="B693" s="506" t="n"/>
      <c r="C693" s="141" t="n"/>
      <c r="D693" s="141" t="n"/>
      <c r="E693" s="141" t="n"/>
      <c r="F693" s="141" t="n"/>
      <c r="G693" s="143" t="n"/>
      <c r="H693" s="27" t="n"/>
    </row>
    <row r="694" ht="17.25" customHeight="1" s="322">
      <c r="A694" s="27" t="n"/>
      <c r="B694" s="506" t="n"/>
      <c r="C694" s="141" t="n"/>
      <c r="D694" s="141" t="n"/>
      <c r="E694" s="141" t="n"/>
      <c r="F694" s="141" t="n"/>
      <c r="G694" s="143" t="n"/>
      <c r="H694" s="27" t="n"/>
    </row>
    <row r="695" ht="17.25" customHeight="1" s="322">
      <c r="A695" s="27" t="n"/>
      <c r="B695" s="506" t="n"/>
      <c r="C695" s="141" t="n"/>
      <c r="D695" s="141" t="n"/>
      <c r="E695" s="141" t="n"/>
      <c r="F695" s="141" t="n"/>
      <c r="G695" s="143" t="n"/>
      <c r="H695" s="27" t="n"/>
    </row>
    <row r="696" ht="17.25" customHeight="1" s="322">
      <c r="A696" s="27" t="n"/>
      <c r="B696" s="506" t="n"/>
      <c r="C696" s="141" t="n"/>
      <c r="D696" s="141" t="n"/>
      <c r="E696" s="141" t="n"/>
      <c r="F696" s="141" t="n"/>
      <c r="G696" s="143" t="n"/>
      <c r="H696" s="27" t="n"/>
    </row>
    <row r="697" ht="17.25" customHeight="1" s="322">
      <c r="A697" s="27" t="n"/>
      <c r="B697" s="506" t="n"/>
      <c r="C697" s="141" t="n"/>
      <c r="D697" s="141" t="n"/>
      <c r="E697" s="141" t="n"/>
      <c r="F697" s="141" t="n"/>
      <c r="G697" s="143" t="n"/>
      <c r="H697" s="27" t="n"/>
    </row>
    <row r="698" ht="17.25" customHeight="1" s="322">
      <c r="A698" s="27" t="n"/>
      <c r="B698" s="506" t="n"/>
      <c r="C698" s="141" t="n"/>
      <c r="D698" s="141" t="n"/>
      <c r="E698" s="141" t="n"/>
      <c r="F698" s="141" t="n"/>
      <c r="G698" s="143" t="n"/>
      <c r="H698" s="27" t="n"/>
    </row>
    <row r="699" ht="17.25" customHeight="1" s="322">
      <c r="A699" s="27" t="n"/>
      <c r="B699" s="506" t="n"/>
      <c r="C699" s="141" t="n"/>
      <c r="D699" s="141" t="n"/>
      <c r="E699" s="141" t="n"/>
      <c r="F699" s="141" t="n"/>
      <c r="G699" s="143" t="n"/>
      <c r="H699" s="27" t="n"/>
    </row>
    <row r="700" ht="17.25" customHeight="1" s="322">
      <c r="A700" s="27" t="n"/>
      <c r="B700" s="506" t="n"/>
      <c r="C700" s="141" t="n"/>
      <c r="D700" s="141" t="n"/>
      <c r="E700" s="141" t="n"/>
      <c r="F700" s="141" t="n"/>
      <c r="G700" s="143" t="n"/>
      <c r="H700" s="27" t="n"/>
    </row>
    <row r="701" ht="17.25" customHeight="1" s="322">
      <c r="A701" s="27" t="n"/>
      <c r="B701" s="506" t="n"/>
      <c r="C701" s="141" t="n"/>
      <c r="D701" s="141" t="n"/>
      <c r="E701" s="141" t="n"/>
      <c r="F701" s="141" t="n"/>
      <c r="G701" s="143" t="n"/>
      <c r="H701" s="27" t="n"/>
    </row>
    <row r="702" ht="17.25" customHeight="1" s="322">
      <c r="A702" s="27" t="n"/>
      <c r="B702" s="506" t="n"/>
      <c r="C702" s="141" t="n"/>
      <c r="D702" s="141" t="n"/>
      <c r="E702" s="141" t="n"/>
      <c r="F702" s="141" t="n"/>
      <c r="G702" s="143" t="n"/>
      <c r="H702" s="27" t="n"/>
    </row>
    <row r="703" ht="17.25" customHeight="1" s="322">
      <c r="A703" s="27" t="n"/>
      <c r="B703" s="506" t="n"/>
      <c r="C703" s="141" t="n"/>
      <c r="D703" s="141" t="n"/>
      <c r="E703" s="141" t="n"/>
      <c r="F703" s="141" t="n"/>
      <c r="G703" s="143" t="n"/>
      <c r="H703" s="27" t="n"/>
    </row>
    <row r="704" ht="17.25" customHeight="1" s="322">
      <c r="A704" s="27" t="n"/>
      <c r="B704" s="506" t="n"/>
      <c r="C704" s="141" t="n"/>
      <c r="D704" s="141" t="n"/>
      <c r="E704" s="141" t="n"/>
      <c r="F704" s="141" t="n"/>
      <c r="G704" s="143" t="n"/>
      <c r="H704" s="27" t="n"/>
    </row>
    <row r="705" ht="17.25" customHeight="1" s="322">
      <c r="A705" s="27" t="n"/>
      <c r="B705" s="506" t="n"/>
      <c r="C705" s="141" t="n"/>
      <c r="D705" s="141" t="n"/>
      <c r="E705" s="141" t="n"/>
      <c r="F705" s="141" t="n"/>
      <c r="G705" s="143" t="n"/>
      <c r="H705" s="27" t="n"/>
    </row>
    <row r="706" ht="17.25" customHeight="1" s="322">
      <c r="A706" s="27" t="n"/>
      <c r="B706" s="506" t="n"/>
      <c r="C706" s="141" t="n"/>
      <c r="D706" s="141" t="n"/>
      <c r="E706" s="141" t="n"/>
      <c r="F706" s="141" t="n"/>
      <c r="G706" s="143" t="n"/>
      <c r="H706" s="27" t="n"/>
    </row>
    <row r="707" ht="17.25" customHeight="1" s="322">
      <c r="A707" s="27" t="n"/>
      <c r="B707" s="506" t="n"/>
      <c r="C707" s="141" t="n"/>
      <c r="D707" s="141" t="n"/>
      <c r="E707" s="141" t="n"/>
      <c r="F707" s="141" t="n"/>
      <c r="G707" s="143" t="n"/>
      <c r="H707" s="27" t="n"/>
    </row>
    <row r="708" ht="17.25" customHeight="1" s="322">
      <c r="A708" s="27" t="n"/>
      <c r="B708" s="506" t="n"/>
      <c r="C708" s="141" t="n"/>
      <c r="D708" s="141" t="n"/>
      <c r="E708" s="141" t="n"/>
      <c r="F708" s="141" t="n"/>
      <c r="G708" s="143" t="n"/>
      <c r="H708" s="27" t="n"/>
    </row>
    <row r="709" ht="17.25" customHeight="1" s="322">
      <c r="A709" s="27" t="n"/>
      <c r="B709" s="506" t="n"/>
      <c r="C709" s="141" t="n"/>
      <c r="D709" s="141" t="n"/>
      <c r="E709" s="141" t="n"/>
      <c r="F709" s="141" t="n"/>
      <c r="G709" s="143" t="n"/>
      <c r="H709" s="27" t="n"/>
    </row>
    <row r="710" ht="17.25" customHeight="1" s="322">
      <c r="A710" s="27" t="n"/>
      <c r="B710" s="506" t="n"/>
      <c r="C710" s="141" t="n"/>
      <c r="D710" s="141" t="n"/>
      <c r="E710" s="141" t="n"/>
      <c r="F710" s="141" t="n"/>
      <c r="G710" s="143" t="n"/>
      <c r="H710" s="27" t="n"/>
    </row>
    <row r="711" ht="17.25" customHeight="1" s="322">
      <c r="A711" s="27" t="n"/>
      <c r="B711" s="506" t="n"/>
      <c r="C711" s="141" t="n"/>
      <c r="D711" s="141" t="n"/>
      <c r="E711" s="141" t="n"/>
      <c r="F711" s="141" t="n"/>
      <c r="G711" s="143" t="n"/>
      <c r="H711" s="27" t="n"/>
    </row>
    <row r="712" ht="17.25" customHeight="1" s="322">
      <c r="A712" s="27" t="n"/>
      <c r="B712" s="506" t="n"/>
      <c r="C712" s="141" t="n"/>
      <c r="D712" s="141" t="n"/>
      <c r="E712" s="141" t="n"/>
      <c r="F712" s="141" t="n"/>
      <c r="G712" s="143" t="n"/>
      <c r="H712" s="27" t="n"/>
    </row>
    <row r="713" ht="17.25" customHeight="1" s="322">
      <c r="A713" s="27" t="n"/>
      <c r="B713" s="506" t="n"/>
      <c r="C713" s="141" t="n"/>
      <c r="D713" s="141" t="n"/>
      <c r="E713" s="141" t="n"/>
      <c r="F713" s="141" t="n"/>
      <c r="G713" s="143" t="n"/>
      <c r="H713" s="27" t="n"/>
    </row>
    <row r="714" ht="17.25" customHeight="1" s="322">
      <c r="A714" s="27" t="n"/>
      <c r="B714" s="506" t="n"/>
      <c r="C714" s="141" t="n"/>
      <c r="D714" s="141" t="n"/>
      <c r="E714" s="141" t="n"/>
      <c r="F714" s="141" t="n"/>
      <c r="G714" s="143" t="n"/>
      <c r="H714" s="27" t="n"/>
    </row>
    <row r="715" ht="17.25" customHeight="1" s="322">
      <c r="A715" s="27" t="n"/>
      <c r="B715" s="506" t="n"/>
      <c r="C715" s="141" t="n"/>
      <c r="D715" s="141" t="n"/>
      <c r="E715" s="141" t="n"/>
      <c r="F715" s="141" t="n"/>
      <c r="G715" s="143" t="n"/>
      <c r="H715" s="27" t="n"/>
    </row>
    <row r="716" ht="17.25" customHeight="1" s="322">
      <c r="A716" s="27" t="n"/>
      <c r="B716" s="506" t="n"/>
      <c r="C716" s="141" t="n"/>
      <c r="D716" s="141" t="n"/>
      <c r="E716" s="141" t="n"/>
      <c r="F716" s="141" t="n"/>
      <c r="G716" s="143" t="n"/>
      <c r="H716" s="27" t="n"/>
    </row>
    <row r="717" ht="17.25" customHeight="1" s="322">
      <c r="A717" s="27" t="n"/>
      <c r="B717" s="506" t="n"/>
      <c r="C717" s="141" t="n"/>
      <c r="D717" s="141" t="n"/>
      <c r="E717" s="141" t="n"/>
      <c r="F717" s="141" t="n"/>
      <c r="G717" s="143" t="n"/>
      <c r="H717" s="27" t="n"/>
    </row>
    <row r="718" ht="17.25" customHeight="1" s="322">
      <c r="A718" s="27" t="n"/>
      <c r="B718" s="506" t="n"/>
      <c r="C718" s="141" t="n"/>
      <c r="D718" s="141" t="n"/>
      <c r="E718" s="141" t="n"/>
      <c r="F718" s="141" t="n"/>
      <c r="G718" s="143" t="n"/>
      <c r="H718" s="27" t="n"/>
    </row>
    <row r="719" ht="17.25" customHeight="1" s="322">
      <c r="A719" s="27" t="n"/>
      <c r="B719" s="506" t="n"/>
      <c r="C719" s="141" t="n"/>
      <c r="D719" s="141" t="n"/>
      <c r="E719" s="141" t="n"/>
      <c r="F719" s="141" t="n"/>
      <c r="G719" s="143" t="n"/>
      <c r="H719" s="27" t="n"/>
    </row>
    <row r="720" ht="17.25" customHeight="1" s="322">
      <c r="A720" s="27" t="n"/>
      <c r="B720" s="506" t="n"/>
      <c r="C720" s="141" t="n"/>
      <c r="D720" s="141" t="n"/>
      <c r="E720" s="141" t="n"/>
      <c r="F720" s="141" t="n"/>
      <c r="G720" s="143" t="n"/>
      <c r="H720" s="27" t="n"/>
    </row>
    <row r="721" ht="17.25" customHeight="1" s="322">
      <c r="A721" s="27" t="n"/>
      <c r="B721" s="506" t="n"/>
      <c r="C721" s="141" t="n"/>
      <c r="D721" s="141" t="n"/>
      <c r="E721" s="141" t="n"/>
      <c r="F721" s="141" t="n"/>
      <c r="G721" s="143" t="n"/>
      <c r="H721" s="27" t="n"/>
    </row>
    <row r="722" ht="17.25" customHeight="1" s="322">
      <c r="A722" s="27" t="n"/>
      <c r="B722" s="506" t="n"/>
      <c r="C722" s="141" t="n"/>
      <c r="D722" s="141" t="n"/>
      <c r="E722" s="141" t="n"/>
      <c r="F722" s="141" t="n"/>
      <c r="G722" s="143" t="n"/>
      <c r="H722" s="27" t="n"/>
    </row>
    <row r="723" ht="17.25" customHeight="1" s="322">
      <c r="A723" s="27" t="n"/>
      <c r="B723" s="506" t="n"/>
      <c r="C723" s="141" t="n"/>
      <c r="D723" s="141" t="n"/>
      <c r="E723" s="141" t="n"/>
      <c r="F723" s="141" t="n"/>
      <c r="G723" s="143" t="n"/>
      <c r="H723" s="27" t="n"/>
    </row>
    <row r="724" ht="17.25" customHeight="1" s="322">
      <c r="A724" s="27" t="n"/>
      <c r="B724" s="506" t="n"/>
      <c r="C724" s="141" t="n"/>
      <c r="D724" s="141" t="n"/>
      <c r="E724" s="141" t="n"/>
      <c r="F724" s="141" t="n"/>
      <c r="G724" s="143" t="n"/>
      <c r="H724" s="27" t="n"/>
    </row>
    <row r="725" ht="17.25" customHeight="1" s="322">
      <c r="A725" s="27" t="n"/>
      <c r="B725" s="506" t="n"/>
      <c r="C725" s="141" t="n"/>
      <c r="D725" s="141" t="n"/>
      <c r="E725" s="141" t="n"/>
      <c r="F725" s="141" t="n"/>
      <c r="G725" s="143" t="n"/>
      <c r="H725" s="27" t="n"/>
    </row>
    <row r="726" ht="17.25" customHeight="1" s="322">
      <c r="A726" s="27" t="n"/>
      <c r="B726" s="506" t="n"/>
      <c r="C726" s="141" t="n"/>
      <c r="D726" s="141" t="n"/>
      <c r="E726" s="141" t="n"/>
      <c r="F726" s="141" t="n"/>
      <c r="G726" s="143" t="n"/>
      <c r="H726" s="27" t="n"/>
    </row>
    <row r="727" ht="17.25" customHeight="1" s="322">
      <c r="A727" s="27" t="n"/>
      <c r="B727" s="506" t="n"/>
      <c r="C727" s="141" t="n"/>
      <c r="D727" s="141" t="n"/>
      <c r="E727" s="141" t="n"/>
      <c r="F727" s="141" t="n"/>
      <c r="G727" s="143" t="n"/>
      <c r="H727" s="27" t="n"/>
    </row>
    <row r="728" ht="17.25" customHeight="1" s="322">
      <c r="A728" s="27" t="n"/>
      <c r="B728" s="506" t="n"/>
      <c r="C728" s="141" t="n"/>
      <c r="D728" s="141" t="n"/>
      <c r="E728" s="141" t="n"/>
      <c r="F728" s="141" t="n"/>
      <c r="G728" s="143" t="n"/>
      <c r="H728" s="27" t="n"/>
    </row>
    <row r="729" ht="17.25" customHeight="1" s="322">
      <c r="A729" s="27" t="n"/>
      <c r="B729" s="506" t="n"/>
      <c r="C729" s="141" t="n"/>
      <c r="D729" s="141" t="n"/>
      <c r="E729" s="141" t="n"/>
      <c r="F729" s="141" t="n"/>
      <c r="G729" s="143" t="n"/>
      <c r="H729" s="27" t="n"/>
    </row>
    <row r="730" ht="17.25" customHeight="1" s="322">
      <c r="A730" s="27" t="n"/>
      <c r="B730" s="506" t="n"/>
      <c r="C730" s="141" t="n"/>
      <c r="D730" s="141" t="n"/>
      <c r="E730" s="141" t="n"/>
      <c r="F730" s="141" t="n"/>
      <c r="G730" s="143" t="n"/>
      <c r="H730" s="27" t="n"/>
    </row>
    <row r="731" ht="17.25" customHeight="1" s="322">
      <c r="A731" s="27" t="n"/>
      <c r="B731" s="506" t="n"/>
      <c r="C731" s="141" t="n"/>
      <c r="D731" s="141" t="n"/>
      <c r="E731" s="141" t="n"/>
      <c r="F731" s="141" t="n"/>
      <c r="G731" s="143" t="n"/>
      <c r="H731" s="27" t="n"/>
    </row>
    <row r="732" ht="17.25" customHeight="1" s="322">
      <c r="A732" s="27" t="n"/>
      <c r="B732" s="506" t="n"/>
      <c r="C732" s="141" t="n"/>
      <c r="D732" s="141" t="n"/>
      <c r="E732" s="141" t="n"/>
      <c r="F732" s="141" t="n"/>
      <c r="G732" s="143" t="n"/>
      <c r="H732" s="27" t="n"/>
    </row>
    <row r="733" ht="17.25" customHeight="1" s="322">
      <c r="A733" s="27" t="n"/>
      <c r="B733" s="506" t="n"/>
      <c r="C733" s="141" t="n"/>
      <c r="D733" s="141" t="n"/>
      <c r="E733" s="141" t="n"/>
      <c r="F733" s="141" t="n"/>
      <c r="G733" s="143" t="n"/>
      <c r="H733" s="27" t="n"/>
    </row>
    <row r="734" ht="17.25" customHeight="1" s="322">
      <c r="A734" s="27" t="n"/>
      <c r="B734" s="506" t="n"/>
      <c r="C734" s="141" t="n"/>
      <c r="D734" s="141" t="n"/>
      <c r="E734" s="141" t="n"/>
      <c r="F734" s="141" t="n"/>
      <c r="G734" s="143" t="n"/>
      <c r="H734" s="27" t="n"/>
    </row>
    <row r="735" ht="17.25" customHeight="1" s="322">
      <c r="A735" s="27" t="n"/>
      <c r="B735" s="506" t="n"/>
      <c r="C735" s="141" t="n"/>
      <c r="D735" s="141" t="n"/>
      <c r="E735" s="141" t="n"/>
      <c r="F735" s="141" t="n"/>
      <c r="G735" s="143" t="n"/>
      <c r="H735" s="27" t="n"/>
    </row>
    <row r="736" ht="17.25" customHeight="1" s="322">
      <c r="A736" s="27" t="n"/>
      <c r="B736" s="506" t="n"/>
      <c r="C736" s="141" t="n"/>
      <c r="D736" s="141" t="n"/>
      <c r="E736" s="141" t="n"/>
      <c r="F736" s="141" t="n"/>
      <c r="G736" s="143" t="n"/>
      <c r="H736" s="27" t="n"/>
    </row>
    <row r="737" ht="17.25" customHeight="1" s="322">
      <c r="A737" s="27" t="n"/>
      <c r="B737" s="506" t="n"/>
      <c r="C737" s="141" t="n"/>
      <c r="D737" s="141" t="n"/>
      <c r="E737" s="141" t="n"/>
      <c r="F737" s="141" t="n"/>
      <c r="G737" s="143" t="n"/>
      <c r="H737" s="27" t="n"/>
    </row>
    <row r="738" ht="17.25" customHeight="1" s="322">
      <c r="A738" s="27" t="n"/>
      <c r="B738" s="506" t="n"/>
      <c r="C738" s="141" t="n"/>
      <c r="D738" s="141" t="n"/>
      <c r="E738" s="141" t="n"/>
      <c r="F738" s="141" t="n"/>
      <c r="G738" s="143" t="n"/>
      <c r="H738" s="27" t="n"/>
    </row>
    <row r="739" ht="17.25" customHeight="1" s="322">
      <c r="A739" s="27" t="n"/>
      <c r="B739" s="506" t="n"/>
      <c r="C739" s="141" t="n"/>
      <c r="D739" s="141" t="n"/>
      <c r="E739" s="141" t="n"/>
      <c r="F739" s="141" t="n"/>
      <c r="G739" s="143" t="n"/>
      <c r="H739" s="27" t="n"/>
    </row>
    <row r="740" ht="17.25" customHeight="1" s="322">
      <c r="A740" s="27" t="n"/>
      <c r="B740" s="506" t="n"/>
      <c r="C740" s="141" t="n"/>
      <c r="D740" s="141" t="n"/>
      <c r="E740" s="141" t="n"/>
      <c r="F740" s="141" t="n"/>
      <c r="G740" s="143" t="n"/>
      <c r="H740" s="27" t="n"/>
    </row>
    <row r="741" ht="17.25" customHeight="1" s="322">
      <c r="A741" s="27" t="n"/>
      <c r="B741" s="506" t="n"/>
      <c r="C741" s="141" t="n"/>
      <c r="D741" s="141" t="n"/>
      <c r="E741" s="141" t="n"/>
      <c r="F741" s="141" t="n"/>
      <c r="G741" s="143" t="n"/>
      <c r="H741" s="27" t="n"/>
    </row>
    <row r="742" ht="17.25" customHeight="1" s="322">
      <c r="A742" s="27" t="n"/>
      <c r="B742" s="506" t="n"/>
      <c r="C742" s="141" t="n"/>
      <c r="D742" s="141" t="n"/>
      <c r="E742" s="141" t="n"/>
      <c r="F742" s="141" t="n"/>
      <c r="G742" s="143" t="n"/>
      <c r="H742" s="27" t="n"/>
    </row>
    <row r="743" ht="17.25" customHeight="1" s="322">
      <c r="A743" s="27" t="n"/>
      <c r="B743" s="506" t="n"/>
      <c r="C743" s="141" t="n"/>
      <c r="D743" s="141" t="n"/>
      <c r="E743" s="141" t="n"/>
      <c r="F743" s="141" t="n"/>
      <c r="G743" s="143" t="n"/>
      <c r="H743" s="27" t="n"/>
    </row>
    <row r="744" ht="17.25" customHeight="1" s="322">
      <c r="A744" s="27" t="n"/>
      <c r="B744" s="506" t="n"/>
      <c r="C744" s="141" t="n"/>
      <c r="D744" s="141" t="n"/>
      <c r="E744" s="141" t="n"/>
      <c r="F744" s="141" t="n"/>
      <c r="G744" s="143" t="n"/>
      <c r="H744" s="27" t="n"/>
    </row>
    <row r="745" ht="17.25" customHeight="1" s="322">
      <c r="A745" s="27" t="n"/>
      <c r="B745" s="506" t="n"/>
      <c r="C745" s="141" t="n"/>
      <c r="D745" s="141" t="n"/>
      <c r="E745" s="141" t="n"/>
      <c r="F745" s="141" t="n"/>
      <c r="G745" s="143" t="n"/>
      <c r="H745" s="27" t="n"/>
    </row>
    <row r="746" ht="17.25" customHeight="1" s="322">
      <c r="A746" s="27" t="n"/>
      <c r="B746" s="506" t="n"/>
      <c r="C746" s="141" t="n"/>
      <c r="D746" s="141" t="n"/>
      <c r="E746" s="141" t="n"/>
      <c r="F746" s="141" t="n"/>
      <c r="G746" s="143" t="n"/>
      <c r="H746" s="27" t="n"/>
    </row>
    <row r="747" ht="17.25" customHeight="1" s="322">
      <c r="A747" s="27" t="n"/>
      <c r="B747" s="506" t="n"/>
      <c r="C747" s="141" t="n"/>
      <c r="D747" s="141" t="n"/>
      <c r="E747" s="141" t="n"/>
      <c r="F747" s="141" t="n"/>
      <c r="G747" s="143" t="n"/>
      <c r="H747" s="27" t="n"/>
    </row>
    <row r="748" ht="17.25" customHeight="1" s="322">
      <c r="A748" s="27" t="n"/>
      <c r="B748" s="506" t="n"/>
      <c r="C748" s="141" t="n"/>
      <c r="D748" s="141" t="n"/>
      <c r="E748" s="141" t="n"/>
      <c r="F748" s="141" t="n"/>
      <c r="G748" s="143" t="n"/>
      <c r="H748" s="27" t="n"/>
    </row>
    <row r="749" ht="17.25" customHeight="1" s="322">
      <c r="A749" s="27" t="n"/>
      <c r="B749" s="506" t="n"/>
      <c r="C749" s="141" t="n"/>
      <c r="D749" s="141" t="n"/>
      <c r="E749" s="141" t="n"/>
      <c r="F749" s="141" t="n"/>
      <c r="G749" s="143" t="n"/>
      <c r="H749" s="27" t="n"/>
    </row>
    <row r="750" ht="17.25" customHeight="1" s="322">
      <c r="A750" s="27" t="n"/>
      <c r="B750" s="506" t="n"/>
      <c r="C750" s="141" t="n"/>
      <c r="D750" s="141" t="n"/>
      <c r="E750" s="141" t="n"/>
      <c r="F750" s="141" t="n"/>
      <c r="G750" s="143" t="n"/>
      <c r="H750" s="27" t="n"/>
    </row>
    <row r="751" ht="17.25" customHeight="1" s="322">
      <c r="A751" s="27" t="n"/>
      <c r="B751" s="506" t="n"/>
      <c r="C751" s="141" t="n"/>
      <c r="D751" s="141" t="n"/>
      <c r="E751" s="141" t="n"/>
      <c r="F751" s="141" t="n"/>
      <c r="G751" s="143" t="n"/>
      <c r="H751" s="27" t="n"/>
    </row>
    <row r="752" ht="17.25" customHeight="1" s="322">
      <c r="A752" s="27" t="n"/>
      <c r="B752" s="506" t="n"/>
      <c r="C752" s="141" t="n"/>
      <c r="D752" s="141" t="n"/>
      <c r="E752" s="141" t="n"/>
      <c r="F752" s="141" t="n"/>
      <c r="G752" s="143" t="n"/>
      <c r="H752" s="27" t="n"/>
    </row>
    <row r="753" ht="17.25" customHeight="1" s="322">
      <c r="A753" s="27" t="n"/>
      <c r="B753" s="506" t="n"/>
      <c r="C753" s="141" t="n"/>
      <c r="D753" s="141" t="n"/>
      <c r="E753" s="141" t="n"/>
      <c r="F753" s="141" t="n"/>
      <c r="G753" s="143" t="n"/>
      <c r="H753" s="27" t="n"/>
    </row>
    <row r="754" ht="17.25" customHeight="1" s="322">
      <c r="A754" s="27" t="n"/>
      <c r="B754" s="506" t="n"/>
      <c r="C754" s="141" t="n"/>
      <c r="D754" s="141" t="n"/>
      <c r="E754" s="141" t="n"/>
      <c r="F754" s="141" t="n"/>
      <c r="G754" s="143" t="n"/>
      <c r="H754" s="27" t="n"/>
    </row>
    <row r="755" ht="17.25" customHeight="1" s="322">
      <c r="A755" s="27" t="n"/>
      <c r="B755" s="506" t="n"/>
      <c r="C755" s="141" t="n"/>
      <c r="D755" s="141" t="n"/>
      <c r="E755" s="141" t="n"/>
      <c r="F755" s="141" t="n"/>
      <c r="G755" s="143" t="n"/>
      <c r="H755" s="27" t="n"/>
    </row>
    <row r="756" ht="17.25" customHeight="1" s="322">
      <c r="A756" s="27" t="n"/>
      <c r="B756" s="506" t="n"/>
      <c r="C756" s="141" t="n"/>
      <c r="D756" s="141" t="n"/>
      <c r="E756" s="141" t="n"/>
      <c r="F756" s="141" t="n"/>
      <c r="G756" s="143" t="n"/>
      <c r="H756" s="27" t="n"/>
    </row>
    <row r="757" ht="17.25" customHeight="1" s="322">
      <c r="A757" s="27" t="n"/>
      <c r="B757" s="506" t="n"/>
      <c r="C757" s="141" t="n"/>
      <c r="D757" s="141" t="n"/>
      <c r="E757" s="141" t="n"/>
      <c r="F757" s="141" t="n"/>
      <c r="G757" s="143" t="n"/>
      <c r="H757" s="27" t="n"/>
    </row>
    <row r="758" ht="17.25" customHeight="1" s="322">
      <c r="A758" s="27" t="n"/>
      <c r="B758" s="506" t="n"/>
      <c r="C758" s="141" t="n"/>
      <c r="D758" s="141" t="n"/>
      <c r="E758" s="141" t="n"/>
      <c r="F758" s="141" t="n"/>
      <c r="G758" s="143" t="n"/>
      <c r="H758" s="27" t="n"/>
    </row>
    <row r="759" ht="17.25" customHeight="1" s="322">
      <c r="A759" s="27" t="n"/>
      <c r="B759" s="506" t="n"/>
      <c r="C759" s="141" t="n"/>
      <c r="D759" s="141" t="n"/>
      <c r="E759" s="141" t="n"/>
      <c r="F759" s="141" t="n"/>
      <c r="G759" s="143" t="n"/>
      <c r="H759" s="27" t="n"/>
    </row>
    <row r="760" ht="17.25" customHeight="1" s="322">
      <c r="A760" s="27" t="n"/>
      <c r="B760" s="506" t="n"/>
      <c r="C760" s="141" t="n"/>
      <c r="D760" s="141" t="n"/>
      <c r="E760" s="141" t="n"/>
      <c r="F760" s="141" t="n"/>
      <c r="G760" s="143" t="n"/>
      <c r="H760" s="27" t="n"/>
    </row>
    <row r="761" ht="17.25" customHeight="1" s="322">
      <c r="A761" s="27" t="n"/>
      <c r="B761" s="506" t="n"/>
      <c r="C761" s="141" t="n"/>
      <c r="D761" s="141" t="n"/>
      <c r="E761" s="141" t="n"/>
      <c r="F761" s="141" t="n"/>
      <c r="G761" s="143" t="n"/>
      <c r="H761" s="27" t="n"/>
    </row>
    <row r="762" ht="17.25" customHeight="1" s="322">
      <c r="A762" s="27" t="n"/>
      <c r="B762" s="506" t="n"/>
      <c r="C762" s="141" t="n"/>
      <c r="D762" s="141" t="n"/>
      <c r="E762" s="141" t="n"/>
      <c r="F762" s="141" t="n"/>
      <c r="G762" s="143" t="n"/>
      <c r="H762" s="27" t="n"/>
    </row>
    <row r="763" ht="17.25" customHeight="1" s="322">
      <c r="A763" s="27" t="n"/>
      <c r="B763" s="506" t="n"/>
      <c r="C763" s="141" t="n"/>
      <c r="D763" s="141" t="n"/>
      <c r="E763" s="141" t="n"/>
      <c r="F763" s="141" t="n"/>
      <c r="G763" s="143" t="n"/>
      <c r="H763" s="27" t="n"/>
    </row>
    <row r="764" ht="17.25" customHeight="1" s="322">
      <c r="A764" s="27" t="n"/>
      <c r="B764" s="506" t="n"/>
      <c r="C764" s="141" t="n"/>
      <c r="D764" s="141" t="n"/>
      <c r="E764" s="141" t="n"/>
      <c r="F764" s="141" t="n"/>
      <c r="G764" s="143" t="n"/>
      <c r="H764" s="27" t="n"/>
    </row>
    <row r="765" ht="17.25" customHeight="1" s="322">
      <c r="A765" s="27" t="n"/>
      <c r="B765" s="506" t="n"/>
      <c r="C765" s="141" t="n"/>
      <c r="D765" s="141" t="n"/>
      <c r="E765" s="141" t="n"/>
      <c r="F765" s="141" t="n"/>
      <c r="G765" s="143" t="n"/>
      <c r="H765" s="27" t="n"/>
    </row>
    <row r="766" ht="17.25" customHeight="1" s="322">
      <c r="A766" s="27" t="n"/>
      <c r="B766" s="506" t="n"/>
      <c r="C766" s="141" t="n"/>
      <c r="D766" s="141" t="n"/>
      <c r="E766" s="141" t="n"/>
      <c r="F766" s="141" t="n"/>
      <c r="G766" s="143" t="n"/>
      <c r="H766" s="27" t="n"/>
    </row>
    <row r="767" ht="17.25" customHeight="1" s="322">
      <c r="A767" s="27" t="n"/>
      <c r="B767" s="506" t="n"/>
      <c r="C767" s="141" t="n"/>
      <c r="D767" s="141" t="n"/>
      <c r="E767" s="141" t="n"/>
      <c r="F767" s="141" t="n"/>
      <c r="G767" s="143" t="n"/>
      <c r="H767" s="27" t="n"/>
    </row>
    <row r="768" ht="17.25" customHeight="1" s="322">
      <c r="A768" s="27" t="n"/>
      <c r="B768" s="506" t="n"/>
      <c r="C768" s="141" t="n"/>
      <c r="D768" s="141" t="n"/>
      <c r="E768" s="141" t="n"/>
      <c r="F768" s="141" t="n"/>
      <c r="G768" s="143" t="n"/>
      <c r="H768" s="27" t="n"/>
    </row>
    <row r="769" ht="17.25" customHeight="1" s="322">
      <c r="A769" s="27" t="n"/>
      <c r="B769" s="506" t="n"/>
      <c r="C769" s="141" t="n"/>
      <c r="D769" s="141" t="n"/>
      <c r="E769" s="141" t="n"/>
      <c r="F769" s="141" t="n"/>
      <c r="G769" s="143" t="n"/>
      <c r="H769" s="27" t="n"/>
    </row>
    <row r="770" ht="17.25" customHeight="1" s="322">
      <c r="A770" s="27" t="n"/>
      <c r="B770" s="506" t="n"/>
      <c r="C770" s="141" t="n"/>
      <c r="D770" s="141" t="n"/>
      <c r="E770" s="141" t="n"/>
      <c r="F770" s="141" t="n"/>
      <c r="G770" s="143" t="n"/>
      <c r="H770" s="27" t="n"/>
    </row>
    <row r="771" ht="17.25" customHeight="1" s="322">
      <c r="A771" s="27" t="n"/>
      <c r="B771" s="506" t="n"/>
      <c r="C771" s="141" t="n"/>
      <c r="D771" s="141" t="n"/>
      <c r="E771" s="141" t="n"/>
      <c r="F771" s="141" t="n"/>
      <c r="G771" s="143" t="n"/>
      <c r="H771" s="27" t="n"/>
    </row>
    <row r="772" ht="17.25" customHeight="1" s="322">
      <c r="A772" s="27" t="n"/>
      <c r="B772" s="506" t="n"/>
      <c r="C772" s="141" t="n"/>
      <c r="D772" s="141" t="n"/>
      <c r="E772" s="141" t="n"/>
      <c r="F772" s="141" t="n"/>
      <c r="G772" s="143" t="n"/>
      <c r="H772" s="27" t="n"/>
    </row>
    <row r="773" ht="17.25" customHeight="1" s="322">
      <c r="A773" s="27" t="n"/>
      <c r="B773" s="506" t="n"/>
      <c r="C773" s="141" t="n"/>
      <c r="D773" s="141" t="n"/>
      <c r="E773" s="141" t="n"/>
      <c r="F773" s="141" t="n"/>
      <c r="G773" s="143" t="n"/>
      <c r="H773" s="27" t="n"/>
    </row>
    <row r="774" ht="17.25" customHeight="1" s="322">
      <c r="A774" s="27" t="n"/>
      <c r="B774" s="506" t="n"/>
      <c r="C774" s="141" t="n"/>
      <c r="D774" s="141" t="n"/>
      <c r="E774" s="141" t="n"/>
      <c r="F774" s="141" t="n"/>
      <c r="G774" s="143" t="n"/>
      <c r="H774" s="27" t="n"/>
    </row>
    <row r="775" ht="17.25" customHeight="1" s="322">
      <c r="A775" s="27" t="n"/>
      <c r="B775" s="506" t="n"/>
      <c r="C775" s="141" t="n"/>
      <c r="D775" s="141" t="n"/>
      <c r="E775" s="141" t="n"/>
      <c r="F775" s="141" t="n"/>
      <c r="G775" s="143" t="n"/>
      <c r="H775" s="27" t="n"/>
    </row>
    <row r="776" ht="17.25" customHeight="1" s="322">
      <c r="A776" s="27" t="n"/>
      <c r="B776" s="506" t="n"/>
      <c r="C776" s="141" t="n"/>
      <c r="D776" s="141" t="n"/>
      <c r="E776" s="141" t="n"/>
      <c r="F776" s="141" t="n"/>
      <c r="G776" s="143" t="n"/>
      <c r="H776" s="27" t="n"/>
    </row>
    <row r="777" ht="17.25" customHeight="1" s="322">
      <c r="A777" s="27" t="n"/>
      <c r="B777" s="506" t="n"/>
      <c r="C777" s="141" t="n"/>
      <c r="D777" s="141" t="n"/>
      <c r="E777" s="141" t="n"/>
      <c r="F777" s="141" t="n"/>
      <c r="G777" s="143" t="n"/>
      <c r="H777" s="27" t="n"/>
    </row>
    <row r="778" ht="17.25" customHeight="1" s="322">
      <c r="A778" s="27" t="n"/>
      <c r="B778" s="506" t="n"/>
      <c r="C778" s="141" t="n"/>
      <c r="D778" s="141" t="n"/>
      <c r="E778" s="141" t="n"/>
      <c r="F778" s="141" t="n"/>
      <c r="G778" s="143" t="n"/>
      <c r="H778" s="27" t="n"/>
    </row>
    <row r="779" ht="17.25" customHeight="1" s="322">
      <c r="A779" s="27" t="n"/>
      <c r="B779" s="506" t="n"/>
      <c r="C779" s="141" t="n"/>
      <c r="D779" s="141" t="n"/>
      <c r="E779" s="141" t="n"/>
      <c r="F779" s="141" t="n"/>
      <c r="G779" s="143" t="n"/>
      <c r="H779" s="27" t="n"/>
    </row>
    <row r="780" ht="17.25" customHeight="1" s="322">
      <c r="A780" s="27" t="n"/>
      <c r="B780" s="506" t="n"/>
      <c r="C780" s="141" t="n"/>
      <c r="D780" s="141" t="n"/>
      <c r="E780" s="141" t="n"/>
      <c r="F780" s="141" t="n"/>
      <c r="G780" s="143" t="n"/>
      <c r="H780" s="27" t="n"/>
    </row>
    <row r="781" ht="17.25" customHeight="1" s="322">
      <c r="A781" s="27" t="n"/>
      <c r="B781" s="506" t="n"/>
      <c r="C781" s="141" t="n"/>
      <c r="D781" s="141" t="n"/>
      <c r="E781" s="141" t="n"/>
      <c r="F781" s="141" t="n"/>
      <c r="G781" s="143" t="n"/>
      <c r="H781" s="27" t="n"/>
    </row>
    <row r="782" ht="17.25" customHeight="1" s="322">
      <c r="A782" s="27" t="n"/>
      <c r="B782" s="506" t="n"/>
      <c r="C782" s="141" t="n"/>
      <c r="D782" s="141" t="n"/>
      <c r="E782" s="141" t="n"/>
      <c r="F782" s="141" t="n"/>
      <c r="G782" s="143" t="n"/>
      <c r="H782" s="27" t="n"/>
    </row>
    <row r="783" ht="17.25" customHeight="1" s="322">
      <c r="A783" s="27" t="n"/>
      <c r="B783" s="506" t="n"/>
      <c r="C783" s="141" t="n"/>
      <c r="D783" s="141" t="n"/>
      <c r="E783" s="141" t="n"/>
      <c r="F783" s="141" t="n"/>
      <c r="G783" s="143" t="n"/>
      <c r="H783" s="27" t="n"/>
    </row>
    <row r="784" ht="17.25" customHeight="1" s="322">
      <c r="A784" s="27" t="n"/>
      <c r="B784" s="506" t="n"/>
      <c r="C784" s="141" t="n"/>
      <c r="D784" s="141" t="n"/>
      <c r="E784" s="141" t="n"/>
      <c r="F784" s="141" t="n"/>
      <c r="G784" s="143" t="n"/>
      <c r="H784" s="27" t="n"/>
    </row>
    <row r="785" ht="17.25" customHeight="1" s="322">
      <c r="A785" s="27" t="n"/>
      <c r="B785" s="506" t="n"/>
      <c r="C785" s="141" t="n"/>
      <c r="D785" s="141" t="n"/>
      <c r="E785" s="141" t="n"/>
      <c r="F785" s="141" t="n"/>
      <c r="G785" s="143" t="n"/>
      <c r="H785" s="27" t="n"/>
    </row>
    <row r="786" ht="17.25" customHeight="1" s="322">
      <c r="A786" s="27" t="n"/>
      <c r="B786" s="506" t="n"/>
      <c r="C786" s="141" t="n"/>
      <c r="D786" s="141" t="n"/>
      <c r="E786" s="141" t="n"/>
      <c r="F786" s="141" t="n"/>
      <c r="G786" s="143" t="n"/>
      <c r="H786" s="27" t="n"/>
    </row>
    <row r="787" ht="17.25" customHeight="1" s="322">
      <c r="A787" s="27" t="n"/>
      <c r="B787" s="506" t="n"/>
      <c r="C787" s="141" t="n"/>
      <c r="D787" s="141" t="n"/>
      <c r="E787" s="141" t="n"/>
      <c r="F787" s="141" t="n"/>
      <c r="G787" s="143" t="n"/>
      <c r="H787" s="27" t="n"/>
    </row>
    <row r="788" ht="17.25" customHeight="1" s="322">
      <c r="A788" s="27" t="n"/>
      <c r="B788" s="506" t="n"/>
      <c r="C788" s="141" t="n"/>
      <c r="D788" s="141" t="n"/>
      <c r="E788" s="141" t="n"/>
      <c r="F788" s="141" t="n"/>
      <c r="G788" s="143" t="n"/>
      <c r="H788" s="27" t="n"/>
    </row>
    <row r="789" ht="17.25" customHeight="1" s="322">
      <c r="A789" s="27" t="n"/>
      <c r="B789" s="506" t="n"/>
      <c r="C789" s="141" t="n"/>
      <c r="D789" s="141" t="n"/>
      <c r="E789" s="141" t="n"/>
      <c r="F789" s="141" t="n"/>
      <c r="G789" s="143" t="n"/>
      <c r="H789" s="27" t="n"/>
    </row>
    <row r="790" ht="17.25" customHeight="1" s="322">
      <c r="A790" s="27" t="n"/>
      <c r="B790" s="506" t="n"/>
      <c r="C790" s="141" t="n"/>
      <c r="D790" s="141" t="n"/>
      <c r="E790" s="141" t="n"/>
      <c r="F790" s="141" t="n"/>
      <c r="G790" s="143" t="n"/>
      <c r="H790" s="27" t="n"/>
    </row>
    <row r="791" ht="17.25" customHeight="1" s="322">
      <c r="A791" s="27" t="n"/>
      <c r="B791" s="506" t="n"/>
      <c r="C791" s="141" t="n"/>
      <c r="D791" s="141" t="n"/>
      <c r="E791" s="141" t="n"/>
      <c r="F791" s="141" t="n"/>
      <c r="G791" s="143" t="n"/>
      <c r="H791" s="27" t="n"/>
    </row>
    <row r="792" ht="17.25" customHeight="1" s="322">
      <c r="A792" s="27" t="n"/>
      <c r="B792" s="506" t="n"/>
      <c r="C792" s="141" t="n"/>
      <c r="D792" s="141" t="n"/>
      <c r="E792" s="141" t="n"/>
      <c r="F792" s="141" t="n"/>
      <c r="G792" s="143" t="n"/>
      <c r="H792" s="27" t="n"/>
    </row>
    <row r="793" ht="17.25" customHeight="1" s="322">
      <c r="A793" s="27" t="n"/>
      <c r="B793" s="506" t="n"/>
      <c r="C793" s="141" t="n"/>
      <c r="D793" s="141" t="n"/>
      <c r="E793" s="141" t="n"/>
      <c r="F793" s="141" t="n"/>
      <c r="G793" s="143" t="n"/>
      <c r="H793" s="27" t="n"/>
    </row>
    <row r="794" ht="17.25" customHeight="1" s="322">
      <c r="A794" s="27" t="n"/>
      <c r="B794" s="506" t="n"/>
      <c r="C794" s="141" t="n"/>
      <c r="D794" s="141" t="n"/>
      <c r="E794" s="141" t="n"/>
      <c r="F794" s="141" t="n"/>
      <c r="G794" s="143" t="n"/>
      <c r="H794" s="27" t="n"/>
    </row>
    <row r="795" ht="17.25" customHeight="1" s="322">
      <c r="A795" s="27" t="n"/>
      <c r="B795" s="506" t="n"/>
      <c r="C795" s="141" t="n"/>
      <c r="D795" s="141" t="n"/>
      <c r="E795" s="141" t="n"/>
      <c r="F795" s="141" t="n"/>
      <c r="G795" s="143" t="n"/>
      <c r="H795" s="27" t="n"/>
    </row>
    <row r="796" ht="17.25" customHeight="1" s="322">
      <c r="A796" s="27" t="n"/>
      <c r="B796" s="506" t="n"/>
      <c r="C796" s="141" t="n"/>
      <c r="D796" s="141" t="n"/>
      <c r="E796" s="141" t="n"/>
      <c r="F796" s="141" t="n"/>
      <c r="G796" s="143" t="n"/>
      <c r="H796" s="27" t="n"/>
    </row>
    <row r="797" ht="17.25" customHeight="1" s="322">
      <c r="A797" s="27" t="n"/>
      <c r="B797" s="506" t="n"/>
      <c r="C797" s="141" t="n"/>
      <c r="D797" s="141" t="n"/>
      <c r="E797" s="141" t="n"/>
      <c r="F797" s="141" t="n"/>
      <c r="G797" s="143" t="n"/>
      <c r="H797" s="27" t="n"/>
    </row>
    <row r="798" ht="17.25" customHeight="1" s="322">
      <c r="A798" s="27" t="n"/>
      <c r="B798" s="506" t="n"/>
      <c r="C798" s="141" t="n"/>
      <c r="D798" s="141" t="n"/>
      <c r="E798" s="141" t="n"/>
      <c r="F798" s="141" t="n"/>
      <c r="G798" s="143" t="n"/>
      <c r="H798" s="27" t="n"/>
    </row>
    <row r="799" ht="17.25" customHeight="1" s="322">
      <c r="A799" s="27" t="n"/>
      <c r="B799" s="506" t="n"/>
      <c r="C799" s="141" t="n"/>
      <c r="D799" s="141" t="n"/>
      <c r="E799" s="141" t="n"/>
      <c r="F799" s="141" t="n"/>
      <c r="G799" s="143" t="n"/>
      <c r="H799" s="27" t="n"/>
    </row>
    <row r="800" ht="17.25" customHeight="1" s="322">
      <c r="A800" s="27" t="n"/>
      <c r="B800" s="506" t="n"/>
      <c r="C800" s="141" t="n"/>
      <c r="D800" s="141" t="n"/>
      <c r="E800" s="141" t="n"/>
      <c r="F800" s="141" t="n"/>
      <c r="G800" s="143" t="n"/>
      <c r="H800" s="27" t="n"/>
    </row>
    <row r="801" ht="17.25" customHeight="1" s="322">
      <c r="A801" s="27" t="n"/>
      <c r="B801" s="506" t="n"/>
      <c r="C801" s="141" t="n"/>
      <c r="D801" s="141" t="n"/>
      <c r="E801" s="141" t="n"/>
      <c r="F801" s="141" t="n"/>
      <c r="G801" s="143" t="n"/>
      <c r="H801" s="27" t="n"/>
    </row>
    <row r="802" ht="17.25" customHeight="1" s="322">
      <c r="A802" s="27" t="n"/>
      <c r="B802" s="506" t="n"/>
      <c r="C802" s="141" t="n"/>
      <c r="D802" s="141" t="n"/>
      <c r="E802" s="141" t="n"/>
      <c r="F802" s="141" t="n"/>
      <c r="G802" s="143" t="n"/>
      <c r="H802" s="27" t="n"/>
    </row>
    <row r="803" ht="17.25" customHeight="1" s="322">
      <c r="A803" s="27" t="n"/>
      <c r="B803" s="506" t="n"/>
      <c r="C803" s="141" t="n"/>
      <c r="D803" s="141" t="n"/>
      <c r="E803" s="141" t="n"/>
      <c r="F803" s="141" t="n"/>
      <c r="G803" s="143" t="n"/>
      <c r="H803" s="27" t="n"/>
    </row>
    <row r="804" ht="17.25" customHeight="1" s="322">
      <c r="A804" s="27" t="n"/>
      <c r="B804" s="506" t="n"/>
      <c r="C804" s="141" t="n"/>
      <c r="D804" s="141" t="n"/>
      <c r="E804" s="141" t="n"/>
      <c r="F804" s="141" t="n"/>
      <c r="G804" s="143" t="n"/>
      <c r="H804" s="27" t="n"/>
    </row>
    <row r="805" ht="17.25" customHeight="1" s="322">
      <c r="A805" s="27" t="n"/>
      <c r="B805" s="506" t="n"/>
      <c r="C805" s="141" t="n"/>
      <c r="D805" s="141" t="n"/>
      <c r="E805" s="141" t="n"/>
      <c r="F805" s="141" t="n"/>
      <c r="G805" s="143" t="n"/>
      <c r="H805" s="27" t="n"/>
    </row>
    <row r="806" ht="17.25" customHeight="1" s="322">
      <c r="A806" s="27" t="n"/>
      <c r="B806" s="506" t="n"/>
      <c r="C806" s="141" t="n"/>
      <c r="D806" s="141" t="n"/>
      <c r="E806" s="141" t="n"/>
      <c r="F806" s="141" t="n"/>
      <c r="G806" s="143" t="n"/>
      <c r="H806" s="27" t="n"/>
    </row>
    <row r="807" ht="17.25" customHeight="1" s="322">
      <c r="A807" s="27" t="n"/>
      <c r="B807" s="506" t="n"/>
      <c r="C807" s="141" t="n"/>
      <c r="D807" s="141" t="n"/>
      <c r="E807" s="141" t="n"/>
      <c r="F807" s="141" t="n"/>
      <c r="G807" s="143" t="n"/>
      <c r="H807" s="27" t="n"/>
    </row>
    <row r="808" ht="17.25" customHeight="1" s="322">
      <c r="A808" s="27" t="n"/>
      <c r="B808" s="506" t="n"/>
      <c r="C808" s="141" t="n"/>
      <c r="D808" s="141" t="n"/>
      <c r="E808" s="141" t="n"/>
      <c r="F808" s="141" t="n"/>
      <c r="G808" s="143" t="n"/>
      <c r="H808" s="27" t="n"/>
    </row>
    <row r="809" ht="17.25" customHeight="1" s="322">
      <c r="A809" s="27" t="n"/>
      <c r="B809" s="506" t="n"/>
      <c r="C809" s="141" t="n"/>
      <c r="D809" s="141" t="n"/>
      <c r="E809" s="141" t="n"/>
      <c r="F809" s="141" t="n"/>
      <c r="G809" s="143" t="n"/>
      <c r="H809" s="27" t="n"/>
    </row>
    <row r="810" ht="17.25" customHeight="1" s="322">
      <c r="A810" s="27" t="n"/>
      <c r="B810" s="506" t="n"/>
      <c r="C810" s="141" t="n"/>
      <c r="D810" s="141" t="n"/>
      <c r="E810" s="141" t="n"/>
      <c r="F810" s="141" t="n"/>
      <c r="G810" s="143" t="n"/>
      <c r="H810" s="27" t="n"/>
    </row>
    <row r="811" ht="17.25" customHeight="1" s="322">
      <c r="A811" s="27" t="n"/>
      <c r="B811" s="506" t="n"/>
      <c r="C811" s="141" t="n"/>
      <c r="D811" s="141" t="n"/>
      <c r="E811" s="141" t="n"/>
      <c r="F811" s="141" t="n"/>
      <c r="G811" s="143" t="n"/>
      <c r="H811" s="27" t="n"/>
    </row>
    <row r="812" ht="17.25" customHeight="1" s="322">
      <c r="A812" s="27" t="n"/>
      <c r="B812" s="506" t="n"/>
      <c r="C812" s="141" t="n"/>
      <c r="D812" s="141" t="n"/>
      <c r="E812" s="141" t="n"/>
      <c r="F812" s="141" t="n"/>
      <c r="G812" s="143" t="n"/>
      <c r="H812" s="27" t="n"/>
    </row>
    <row r="813" ht="17.25" customHeight="1" s="322">
      <c r="A813" s="27" t="n"/>
      <c r="B813" s="506" t="n"/>
      <c r="C813" s="141" t="n"/>
      <c r="D813" s="141" t="n"/>
      <c r="E813" s="141" t="n"/>
      <c r="F813" s="141" t="n"/>
      <c r="G813" s="143" t="n"/>
      <c r="H813" s="27" t="n"/>
    </row>
    <row r="814" ht="17.25" customHeight="1" s="322">
      <c r="A814" s="27" t="n"/>
      <c r="B814" s="506" t="n"/>
      <c r="C814" s="141" t="n"/>
      <c r="D814" s="141" t="n"/>
      <c r="E814" s="141" t="n"/>
      <c r="F814" s="141" t="n"/>
      <c r="G814" s="143" t="n"/>
      <c r="H814" s="27" t="n"/>
    </row>
    <row r="815" ht="17.25" customHeight="1" s="322">
      <c r="A815" s="27" t="n"/>
      <c r="B815" s="506" t="n"/>
      <c r="C815" s="141" t="n"/>
      <c r="D815" s="141" t="n"/>
      <c r="E815" s="141" t="n"/>
      <c r="F815" s="141" t="n"/>
      <c r="G815" s="143" t="n"/>
      <c r="H815" s="27" t="n"/>
    </row>
    <row r="816" ht="17.25" customHeight="1" s="322">
      <c r="A816" s="27" t="n"/>
      <c r="B816" s="506" t="n"/>
      <c r="C816" s="141" t="n"/>
      <c r="D816" s="141" t="n"/>
      <c r="E816" s="141" t="n"/>
      <c r="F816" s="141" t="n"/>
      <c r="G816" s="143" t="n"/>
      <c r="H816" s="27" t="n"/>
    </row>
    <row r="817" ht="17.25" customHeight="1" s="322">
      <c r="A817" s="27" t="n"/>
      <c r="B817" s="506" t="n"/>
      <c r="C817" s="141" t="n"/>
      <c r="D817" s="141" t="n"/>
      <c r="E817" s="141" t="n"/>
      <c r="F817" s="141" t="n"/>
      <c r="G817" s="143" t="n"/>
      <c r="H817" s="27" t="n"/>
    </row>
    <row r="818" ht="17.25" customHeight="1" s="322">
      <c r="A818" s="27" t="n"/>
      <c r="B818" s="506" t="n"/>
      <c r="C818" s="141" t="n"/>
      <c r="D818" s="141" t="n"/>
      <c r="E818" s="141" t="n"/>
      <c r="F818" s="141" t="n"/>
      <c r="G818" s="143" t="n"/>
      <c r="H818" s="27" t="n"/>
    </row>
    <row r="819" ht="17.25" customHeight="1" s="322">
      <c r="A819" s="27" t="n"/>
      <c r="B819" s="506" t="n"/>
      <c r="C819" s="141" t="n"/>
      <c r="D819" s="141" t="n"/>
      <c r="E819" s="141" t="n"/>
      <c r="F819" s="141" t="n"/>
      <c r="G819" s="143" t="n"/>
      <c r="H819" s="27" t="n"/>
    </row>
    <row r="820" ht="17.25" customHeight="1" s="322">
      <c r="A820" s="27" t="n"/>
      <c r="B820" s="506" t="n"/>
      <c r="C820" s="141" t="n"/>
      <c r="D820" s="141" t="n"/>
      <c r="E820" s="141" t="n"/>
      <c r="F820" s="141" t="n"/>
      <c r="G820" s="143" t="n"/>
      <c r="H820" s="27" t="n"/>
    </row>
    <row r="821" ht="17.25" customHeight="1" s="322">
      <c r="A821" s="27" t="n"/>
      <c r="B821" s="506" t="n"/>
      <c r="C821" s="141" t="n"/>
      <c r="D821" s="141" t="n"/>
      <c r="E821" s="141" t="n"/>
      <c r="F821" s="141" t="n"/>
      <c r="G821" s="143" t="n"/>
      <c r="H821" s="27" t="n"/>
    </row>
    <row r="822" ht="17.25" customHeight="1" s="322">
      <c r="A822" s="27" t="n"/>
      <c r="B822" s="506" t="n"/>
      <c r="C822" s="141" t="n"/>
      <c r="D822" s="141" t="n"/>
      <c r="E822" s="141" t="n"/>
      <c r="F822" s="141" t="n"/>
      <c r="G822" s="143" t="n"/>
      <c r="H822" s="27" t="n"/>
    </row>
    <row r="823" ht="17.25" customHeight="1" s="322">
      <c r="A823" s="27" t="n"/>
      <c r="B823" s="506" t="n"/>
      <c r="C823" s="141" t="n"/>
      <c r="D823" s="141" t="n"/>
      <c r="E823" s="141" t="n"/>
      <c r="F823" s="141" t="n"/>
      <c r="G823" s="143" t="n"/>
      <c r="H823" s="27" t="n"/>
    </row>
    <row r="824" ht="17.25" customHeight="1" s="322">
      <c r="A824" s="27" t="n"/>
      <c r="B824" s="506" t="n"/>
      <c r="C824" s="141" t="n"/>
      <c r="D824" s="141" t="n"/>
      <c r="E824" s="141" t="n"/>
      <c r="F824" s="141" t="n"/>
      <c r="G824" s="143" t="n"/>
      <c r="H824" s="27" t="n"/>
    </row>
    <row r="825" ht="17.25" customHeight="1" s="322">
      <c r="A825" s="27" t="n"/>
      <c r="B825" s="506" t="n"/>
      <c r="C825" s="141" t="n"/>
      <c r="D825" s="141" t="n"/>
      <c r="E825" s="141" t="n"/>
      <c r="F825" s="141" t="n"/>
      <c r="G825" s="143" t="n"/>
      <c r="H825" s="27" t="n"/>
    </row>
    <row r="826" ht="17.25" customHeight="1" s="322">
      <c r="A826" s="27" t="n"/>
      <c r="B826" s="506" t="n"/>
      <c r="C826" s="141" t="n"/>
      <c r="D826" s="141" t="n"/>
      <c r="E826" s="141" t="n"/>
      <c r="F826" s="141" t="n"/>
      <c r="G826" s="143" t="n"/>
      <c r="H826" s="27" t="n"/>
    </row>
    <row r="827" ht="17.25" customHeight="1" s="322">
      <c r="A827" s="27" t="n"/>
      <c r="B827" s="506" t="n"/>
      <c r="C827" s="141" t="n"/>
      <c r="D827" s="141" t="n"/>
      <c r="E827" s="141" t="n"/>
      <c r="F827" s="141" t="n"/>
      <c r="G827" s="143" t="n"/>
      <c r="H827" s="27" t="n"/>
    </row>
    <row r="828" ht="17.25" customHeight="1" s="322">
      <c r="A828" s="27" t="n"/>
      <c r="B828" s="506" t="n"/>
      <c r="C828" s="141" t="n"/>
      <c r="D828" s="141" t="n"/>
      <c r="E828" s="141" t="n"/>
      <c r="F828" s="141" t="n"/>
      <c r="G828" s="143" t="n"/>
      <c r="H828" s="27" t="n"/>
    </row>
    <row r="829" ht="17.25" customHeight="1" s="322">
      <c r="A829" s="27" t="n"/>
      <c r="B829" s="506" t="n"/>
      <c r="C829" s="141" t="n"/>
      <c r="D829" s="141" t="n"/>
      <c r="E829" s="141" t="n"/>
      <c r="F829" s="141" t="n"/>
      <c r="G829" s="143" t="n"/>
      <c r="H829" s="27" t="n"/>
    </row>
    <row r="830" ht="17.25" customHeight="1" s="322">
      <c r="A830" s="27" t="n"/>
      <c r="B830" s="506" t="n"/>
      <c r="C830" s="141" t="n"/>
      <c r="D830" s="141" t="n"/>
      <c r="E830" s="141" t="n"/>
      <c r="F830" s="141" t="n"/>
      <c r="G830" s="143" t="n"/>
      <c r="H830" s="27" t="n"/>
    </row>
    <row r="831" ht="17.25" customHeight="1" s="322">
      <c r="A831" s="27" t="n"/>
      <c r="B831" s="506" t="n"/>
      <c r="C831" s="141" t="n"/>
      <c r="D831" s="141" t="n"/>
      <c r="E831" s="141" t="n"/>
      <c r="F831" s="141" t="n"/>
      <c r="G831" s="143" t="n"/>
      <c r="H831" s="27" t="n"/>
    </row>
    <row r="832" ht="17.25" customHeight="1" s="322">
      <c r="A832" s="27" t="n"/>
      <c r="B832" s="506" t="n"/>
      <c r="C832" s="141" t="n"/>
      <c r="D832" s="141" t="n"/>
      <c r="E832" s="141" t="n"/>
      <c r="F832" s="141" t="n"/>
      <c r="G832" s="143" t="n"/>
      <c r="H832" s="27" t="n"/>
    </row>
    <row r="833" ht="17.25" customHeight="1" s="322">
      <c r="A833" s="27" t="n"/>
      <c r="B833" s="506" t="n"/>
      <c r="C833" s="141" t="n"/>
      <c r="D833" s="141" t="n"/>
      <c r="E833" s="141" t="n"/>
      <c r="F833" s="141" t="n"/>
      <c r="G833" s="143" t="n"/>
      <c r="H833" s="27" t="n"/>
    </row>
    <row r="834" ht="17.25" customHeight="1" s="322">
      <c r="A834" s="27" t="n"/>
      <c r="B834" s="506" t="n"/>
      <c r="C834" s="141" t="n"/>
      <c r="D834" s="141" t="n"/>
      <c r="E834" s="141" t="n"/>
      <c r="F834" s="141" t="n"/>
      <c r="G834" s="143" t="n"/>
      <c r="H834" s="27" t="n"/>
    </row>
    <row r="835" ht="17.25" customHeight="1" s="322">
      <c r="A835" s="27" t="n"/>
      <c r="B835" s="506" t="n"/>
      <c r="C835" s="141" t="n"/>
      <c r="D835" s="141" t="n"/>
      <c r="E835" s="141" t="n"/>
      <c r="F835" s="141" t="n"/>
      <c r="G835" s="143" t="n"/>
      <c r="H835" s="27" t="n"/>
    </row>
    <row r="836" ht="17.25" customHeight="1" s="322">
      <c r="A836" s="27" t="n"/>
      <c r="B836" s="506" t="n"/>
      <c r="C836" s="141" t="n"/>
      <c r="D836" s="141" t="n"/>
      <c r="E836" s="141" t="n"/>
      <c r="F836" s="141" t="n"/>
      <c r="G836" s="143" t="n"/>
      <c r="H836" s="27" t="n"/>
    </row>
    <row r="837" ht="17.25" customHeight="1" s="322">
      <c r="A837" s="27" t="n"/>
      <c r="B837" s="506" t="n"/>
      <c r="C837" s="141" t="n"/>
      <c r="D837" s="141" t="n"/>
      <c r="E837" s="141" t="n"/>
      <c r="F837" s="141" t="n"/>
      <c r="G837" s="143" t="n"/>
      <c r="H837" s="27" t="n"/>
    </row>
    <row r="838" ht="17.25" customHeight="1" s="322">
      <c r="A838" s="27" t="n"/>
      <c r="B838" s="506" t="n"/>
      <c r="C838" s="141" t="n"/>
      <c r="D838" s="141" t="n"/>
      <c r="E838" s="141" t="n"/>
      <c r="F838" s="141" t="n"/>
      <c r="G838" s="143" t="n"/>
      <c r="H838" s="27" t="n"/>
    </row>
    <row r="839" ht="17.25" customHeight="1" s="322">
      <c r="A839" s="27" t="n"/>
      <c r="B839" s="506" t="n"/>
      <c r="C839" s="141" t="n"/>
      <c r="D839" s="141" t="n"/>
      <c r="E839" s="141" t="n"/>
      <c r="F839" s="141" t="n"/>
      <c r="G839" s="143" t="n"/>
      <c r="H839" s="27" t="n"/>
    </row>
    <row r="840" ht="17.25" customHeight="1" s="322">
      <c r="A840" s="27" t="n"/>
      <c r="B840" s="506" t="n"/>
      <c r="C840" s="141" t="n"/>
      <c r="D840" s="141" t="n"/>
      <c r="E840" s="141" t="n"/>
      <c r="F840" s="141" t="n"/>
      <c r="G840" s="143" t="n"/>
      <c r="H840" s="27" t="n"/>
    </row>
    <row r="841" ht="17.25" customHeight="1" s="322">
      <c r="A841" s="27" t="n"/>
      <c r="B841" s="506" t="n"/>
      <c r="C841" s="141" t="n"/>
      <c r="D841" s="141" t="n"/>
      <c r="E841" s="141" t="n"/>
      <c r="F841" s="141" t="n"/>
      <c r="G841" s="143" t="n"/>
      <c r="H841" s="27" t="n"/>
    </row>
    <row r="842" ht="17.25" customHeight="1" s="322">
      <c r="A842" s="27" t="n"/>
      <c r="B842" s="506" t="n"/>
      <c r="C842" s="141" t="n"/>
      <c r="D842" s="141" t="n"/>
      <c r="E842" s="141" t="n"/>
      <c r="F842" s="141" t="n"/>
      <c r="G842" s="143" t="n"/>
      <c r="H842" s="27" t="n"/>
    </row>
    <row r="843" ht="17.25" customHeight="1" s="322">
      <c r="A843" s="27" t="n"/>
      <c r="B843" s="506" t="n"/>
      <c r="C843" s="141" t="n"/>
      <c r="D843" s="141" t="n"/>
      <c r="E843" s="141" t="n"/>
      <c r="F843" s="141" t="n"/>
      <c r="G843" s="143" t="n"/>
      <c r="H843" s="27" t="n"/>
    </row>
    <row r="844" ht="17.25" customHeight="1" s="322">
      <c r="A844" s="27" t="n"/>
      <c r="B844" s="506" t="n"/>
      <c r="C844" s="141" t="n"/>
      <c r="D844" s="141" t="n"/>
      <c r="E844" s="141" t="n"/>
      <c r="F844" s="141" t="n"/>
      <c r="G844" s="143" t="n"/>
      <c r="H844" s="27" t="n"/>
    </row>
    <row r="845" ht="17.25" customHeight="1" s="322">
      <c r="A845" s="27" t="n"/>
      <c r="B845" s="506" t="n"/>
      <c r="C845" s="141" t="n"/>
      <c r="D845" s="141" t="n"/>
      <c r="E845" s="141" t="n"/>
      <c r="F845" s="141" t="n"/>
      <c r="G845" s="143" t="n"/>
      <c r="H845" s="27" t="n"/>
    </row>
    <row r="846" ht="17.25" customHeight="1" s="322">
      <c r="A846" s="27" t="n"/>
      <c r="B846" s="506" t="n"/>
      <c r="C846" s="141" t="n"/>
      <c r="D846" s="141" t="n"/>
      <c r="E846" s="141" t="n"/>
      <c r="F846" s="141" t="n"/>
      <c r="G846" s="143" t="n"/>
      <c r="H846" s="27" t="n"/>
    </row>
    <row r="847" ht="17.25" customHeight="1" s="322">
      <c r="A847" s="27" t="n"/>
      <c r="B847" s="506" t="n"/>
      <c r="C847" s="141" t="n"/>
      <c r="D847" s="141" t="n"/>
      <c r="E847" s="141" t="n"/>
      <c r="F847" s="141" t="n"/>
      <c r="G847" s="143" t="n"/>
      <c r="H847" s="27" t="n"/>
    </row>
    <row r="848" ht="17.25" customHeight="1" s="322">
      <c r="A848" s="27" t="n"/>
      <c r="B848" s="506" t="n"/>
      <c r="C848" s="141" t="n"/>
      <c r="D848" s="141" t="n"/>
      <c r="E848" s="141" t="n"/>
      <c r="F848" s="141" t="n"/>
      <c r="G848" s="143" t="n"/>
      <c r="H848" s="27" t="n"/>
    </row>
    <row r="849" ht="17.25" customHeight="1" s="322">
      <c r="A849" s="27" t="n"/>
      <c r="B849" s="506" t="n"/>
      <c r="C849" s="141" t="n"/>
      <c r="D849" s="141" t="n"/>
      <c r="E849" s="141" t="n"/>
      <c r="F849" s="141" t="n"/>
      <c r="G849" s="143" t="n"/>
      <c r="H849" s="27" t="n"/>
    </row>
    <row r="850" ht="17.25" customHeight="1" s="322">
      <c r="A850" s="27" t="n"/>
      <c r="B850" s="506" t="n"/>
      <c r="C850" s="141" t="n"/>
      <c r="D850" s="141" t="n"/>
      <c r="E850" s="141" t="n"/>
      <c r="F850" s="141" t="n"/>
      <c r="G850" s="143" t="n"/>
      <c r="H850" s="27" t="n"/>
    </row>
    <row r="851" ht="17.25" customHeight="1" s="322">
      <c r="A851" s="27" t="n"/>
      <c r="B851" s="506" t="n"/>
      <c r="C851" s="141" t="n"/>
      <c r="D851" s="141" t="n"/>
      <c r="E851" s="141" t="n"/>
      <c r="F851" s="141" t="n"/>
      <c r="G851" s="143" t="n"/>
      <c r="H851" s="27" t="n"/>
    </row>
    <row r="852" ht="17.25" customHeight="1" s="322">
      <c r="A852" s="27" t="n"/>
      <c r="B852" s="506" t="n"/>
      <c r="C852" s="141" t="n"/>
      <c r="D852" s="141" t="n"/>
      <c r="E852" s="141" t="n"/>
      <c r="F852" s="141" t="n"/>
      <c r="G852" s="143" t="n"/>
      <c r="H852" s="27" t="n"/>
    </row>
    <row r="853" ht="17.25" customHeight="1" s="322">
      <c r="A853" s="27" t="n"/>
      <c r="B853" s="506" t="n"/>
      <c r="C853" s="141" t="n"/>
      <c r="D853" s="141" t="n"/>
      <c r="E853" s="141" t="n"/>
      <c r="F853" s="141" t="n"/>
      <c r="G853" s="143" t="n"/>
      <c r="H853" s="27" t="n"/>
    </row>
    <row r="854" ht="17.25" customHeight="1" s="322">
      <c r="A854" s="27" t="n"/>
      <c r="B854" s="506" t="n"/>
      <c r="C854" s="141" t="n"/>
      <c r="D854" s="141" t="n"/>
      <c r="E854" s="141" t="n"/>
      <c r="F854" s="141" t="n"/>
      <c r="G854" s="143" t="n"/>
      <c r="H854" s="27" t="n"/>
    </row>
    <row r="855" ht="17.25" customHeight="1" s="322">
      <c r="A855" s="27" t="n"/>
      <c r="B855" s="506" t="n"/>
      <c r="C855" s="141" t="n"/>
      <c r="D855" s="141" t="n"/>
      <c r="E855" s="141" t="n"/>
      <c r="F855" s="141" t="n"/>
      <c r="G855" s="143" t="n"/>
      <c r="H855" s="27" t="n"/>
    </row>
    <row r="856" ht="17.25" customHeight="1" s="322">
      <c r="A856" s="27" t="n"/>
      <c r="B856" s="506" t="n"/>
      <c r="C856" s="141" t="n"/>
      <c r="D856" s="141" t="n"/>
      <c r="E856" s="141" t="n"/>
      <c r="F856" s="141" t="n"/>
      <c r="G856" s="143" t="n"/>
      <c r="H856" s="27" t="n"/>
    </row>
    <row r="857" ht="17.25" customHeight="1" s="322">
      <c r="A857" s="27" t="n"/>
      <c r="B857" s="506" t="n"/>
      <c r="C857" s="141" t="n"/>
      <c r="D857" s="141" t="n"/>
      <c r="E857" s="141" t="n"/>
      <c r="F857" s="141" t="n"/>
      <c r="G857" s="143" t="n"/>
      <c r="H857" s="27" t="n"/>
    </row>
    <row r="858" ht="17.25" customHeight="1" s="322">
      <c r="A858" s="27" t="n"/>
      <c r="B858" s="506" t="n"/>
      <c r="C858" s="141" t="n"/>
      <c r="D858" s="141" t="n"/>
      <c r="E858" s="141" t="n"/>
      <c r="F858" s="141" t="n"/>
      <c r="G858" s="143" t="n"/>
      <c r="H858" s="27" t="n"/>
    </row>
    <row r="859" ht="17.25" customHeight="1" s="322">
      <c r="A859" s="27" t="n"/>
      <c r="B859" s="506" t="n"/>
      <c r="C859" s="141" t="n"/>
      <c r="D859" s="141" t="n"/>
      <c r="E859" s="141" t="n"/>
      <c r="F859" s="141" t="n"/>
      <c r="G859" s="143" t="n"/>
      <c r="H859" s="27" t="n"/>
    </row>
    <row r="860" ht="17.25" customHeight="1" s="322">
      <c r="A860" s="27" t="n"/>
      <c r="B860" s="506" t="n"/>
      <c r="C860" s="141" t="n"/>
      <c r="D860" s="141" t="n"/>
      <c r="E860" s="141" t="n"/>
      <c r="F860" s="141" t="n"/>
      <c r="G860" s="143" t="n"/>
      <c r="H860" s="27" t="n"/>
    </row>
    <row r="861" ht="17.25" customHeight="1" s="322">
      <c r="A861" s="27" t="n"/>
      <c r="B861" s="506" t="n"/>
      <c r="C861" s="141" t="n"/>
      <c r="D861" s="141" t="n"/>
      <c r="E861" s="141" t="n"/>
      <c r="F861" s="141" t="n"/>
      <c r="G861" s="143" t="n"/>
      <c r="H861" s="27" t="n"/>
    </row>
    <row r="862" ht="17.25" customHeight="1" s="322">
      <c r="A862" s="27" t="n"/>
      <c r="B862" s="506" t="n"/>
      <c r="C862" s="141" t="n"/>
      <c r="D862" s="141" t="n"/>
      <c r="E862" s="141" t="n"/>
      <c r="F862" s="141" t="n"/>
      <c r="G862" s="143" t="n"/>
      <c r="H862" s="27" t="n"/>
    </row>
    <row r="863" ht="17.25" customHeight="1" s="322">
      <c r="A863" s="27" t="n"/>
      <c r="B863" s="506" t="n"/>
      <c r="C863" s="141" t="n"/>
      <c r="D863" s="141" t="n"/>
      <c r="E863" s="141" t="n"/>
      <c r="F863" s="141" t="n"/>
      <c r="G863" s="143" t="n"/>
      <c r="H863" s="27" t="n"/>
    </row>
    <row r="864" ht="17.25" customHeight="1" s="322">
      <c r="A864" s="27" t="n"/>
      <c r="B864" s="506" t="n"/>
      <c r="C864" s="141" t="n"/>
      <c r="D864" s="141" t="n"/>
      <c r="E864" s="141" t="n"/>
      <c r="F864" s="141" t="n"/>
      <c r="G864" s="143" t="n"/>
      <c r="H864" s="27" t="n"/>
    </row>
    <row r="865" ht="17.25" customHeight="1" s="322">
      <c r="A865" s="27" t="n"/>
      <c r="B865" s="506" t="n"/>
      <c r="C865" s="141" t="n"/>
      <c r="D865" s="141" t="n"/>
      <c r="E865" s="141" t="n"/>
      <c r="F865" s="141" t="n"/>
      <c r="G865" s="143" t="n"/>
      <c r="H865" s="27" t="n"/>
    </row>
    <row r="866" ht="17.25" customHeight="1" s="322">
      <c r="A866" s="27" t="n"/>
      <c r="B866" s="506" t="n"/>
      <c r="C866" s="141" t="n"/>
      <c r="D866" s="141" t="n"/>
      <c r="E866" s="141" t="n"/>
      <c r="F866" s="141" t="n"/>
      <c r="G866" s="143" t="n"/>
      <c r="H866" s="27" t="n"/>
    </row>
    <row r="867" ht="17.25" customHeight="1" s="322">
      <c r="A867" s="27" t="n"/>
      <c r="B867" s="506" t="n"/>
      <c r="C867" s="141" t="n"/>
      <c r="D867" s="141" t="n"/>
      <c r="E867" s="141" t="n"/>
      <c r="F867" s="141" t="n"/>
      <c r="G867" s="143" t="n"/>
      <c r="H867" s="27" t="n"/>
    </row>
    <row r="868" ht="17.25" customHeight="1" s="322">
      <c r="A868" s="27" t="n"/>
      <c r="B868" s="506" t="n"/>
      <c r="C868" s="141" t="n"/>
      <c r="D868" s="141" t="n"/>
      <c r="E868" s="141" t="n"/>
      <c r="F868" s="141" t="n"/>
      <c r="G868" s="143" t="n"/>
      <c r="H868" s="27" t="n"/>
    </row>
    <row r="869" ht="17.25" customHeight="1" s="322">
      <c r="A869" s="27" t="n"/>
      <c r="B869" s="506" t="n"/>
      <c r="C869" s="141" t="n"/>
      <c r="D869" s="141" t="n"/>
      <c r="E869" s="141" t="n"/>
      <c r="F869" s="141" t="n"/>
      <c r="G869" s="143" t="n"/>
      <c r="H869" s="27" t="n"/>
    </row>
    <row r="870" ht="17.25" customHeight="1" s="322">
      <c r="A870" s="27" t="n"/>
      <c r="B870" s="506" t="n"/>
      <c r="C870" s="141" t="n"/>
      <c r="D870" s="141" t="n"/>
      <c r="E870" s="141" t="n"/>
      <c r="F870" s="141" t="n"/>
      <c r="G870" s="143" t="n"/>
      <c r="H870" s="27" t="n"/>
    </row>
    <row r="871" ht="17.25" customHeight="1" s="322">
      <c r="A871" s="27" t="n"/>
      <c r="B871" s="506" t="n"/>
      <c r="C871" s="141" t="n"/>
      <c r="D871" s="141" t="n"/>
      <c r="E871" s="141" t="n"/>
      <c r="F871" s="141" t="n"/>
      <c r="G871" s="143" t="n"/>
      <c r="H871" s="27" t="n"/>
    </row>
    <row r="872" ht="17.25" customHeight="1" s="322">
      <c r="A872" s="27" t="n"/>
      <c r="B872" s="506" t="n"/>
      <c r="C872" s="141" t="n"/>
      <c r="D872" s="141" t="n"/>
      <c r="E872" s="141" t="n"/>
      <c r="F872" s="141" t="n"/>
      <c r="G872" s="143" t="n"/>
      <c r="H872" s="27" t="n"/>
    </row>
    <row r="873" ht="17.25" customHeight="1" s="322">
      <c r="A873" s="27" t="n"/>
      <c r="B873" s="506" t="n"/>
      <c r="C873" s="141" t="n"/>
      <c r="D873" s="141" t="n"/>
      <c r="E873" s="141" t="n"/>
      <c r="F873" s="141" t="n"/>
      <c r="G873" s="143" t="n"/>
      <c r="H873" s="27" t="n"/>
    </row>
    <row r="874" ht="17.25" customHeight="1" s="322">
      <c r="A874" s="27" t="n"/>
      <c r="B874" s="506" t="n"/>
      <c r="C874" s="141" t="n"/>
      <c r="D874" s="141" t="n"/>
      <c r="E874" s="141" t="n"/>
      <c r="F874" s="141" t="n"/>
      <c r="G874" s="143" t="n"/>
      <c r="H874" s="27" t="n"/>
    </row>
    <row r="875" ht="17.25" customHeight="1" s="322">
      <c r="A875" s="27" t="n"/>
      <c r="B875" s="506" t="n"/>
      <c r="C875" s="141" t="n"/>
      <c r="D875" s="141" t="n"/>
      <c r="E875" s="141" t="n"/>
      <c r="F875" s="141" t="n"/>
      <c r="G875" s="143" t="n"/>
      <c r="H875" s="27" t="n"/>
    </row>
    <row r="876" ht="17.25" customHeight="1" s="322">
      <c r="A876" s="27" t="n"/>
      <c r="B876" s="506" t="n"/>
      <c r="C876" s="141" t="n"/>
      <c r="D876" s="141" t="n"/>
      <c r="E876" s="141" t="n"/>
      <c r="F876" s="141" t="n"/>
      <c r="G876" s="143" t="n"/>
      <c r="H876" s="27" t="n"/>
    </row>
    <row r="877" ht="17.25" customHeight="1" s="322">
      <c r="A877" s="27" t="n"/>
      <c r="B877" s="506" t="n"/>
      <c r="C877" s="141" t="n"/>
      <c r="D877" s="141" t="n"/>
      <c r="E877" s="141" t="n"/>
      <c r="F877" s="141" t="n"/>
      <c r="G877" s="143" t="n"/>
      <c r="H877" s="27" t="n"/>
    </row>
    <row r="878" ht="17.25" customHeight="1" s="322">
      <c r="A878" s="27" t="n"/>
      <c r="B878" s="506" t="n"/>
      <c r="C878" s="141" t="n"/>
      <c r="D878" s="141" t="n"/>
      <c r="E878" s="141" t="n"/>
      <c r="F878" s="141" t="n"/>
      <c r="G878" s="143" t="n"/>
      <c r="H878" s="27" t="n"/>
    </row>
    <row r="879" ht="17.25" customHeight="1" s="322">
      <c r="A879" s="27" t="n"/>
      <c r="B879" s="506" t="n"/>
      <c r="C879" s="141" t="n"/>
      <c r="D879" s="141" t="n"/>
      <c r="E879" s="141" t="n"/>
      <c r="F879" s="141" t="n"/>
      <c r="G879" s="143" t="n"/>
      <c r="H879" s="27" t="n"/>
    </row>
    <row r="880" ht="17.25" customHeight="1" s="322">
      <c r="A880" s="27" t="n"/>
      <c r="B880" s="506" t="n"/>
      <c r="C880" s="141" t="n"/>
      <c r="D880" s="141" t="n"/>
      <c r="E880" s="141" t="n"/>
      <c r="F880" s="141" t="n"/>
      <c r="G880" s="143" t="n"/>
      <c r="H880" s="27" t="n"/>
    </row>
    <row r="881" ht="17.25" customHeight="1" s="322">
      <c r="A881" s="27" t="n"/>
      <c r="B881" s="506" t="n"/>
      <c r="C881" s="141" t="n"/>
      <c r="D881" s="141" t="n"/>
      <c r="E881" s="141" t="n"/>
      <c r="F881" s="141" t="n"/>
      <c r="G881" s="143" t="n"/>
      <c r="H881" s="27" t="n"/>
    </row>
    <row r="882" ht="17.25" customHeight="1" s="322">
      <c r="A882" s="27" t="n"/>
      <c r="B882" s="506" t="n"/>
      <c r="C882" s="141" t="n"/>
      <c r="D882" s="141" t="n"/>
      <c r="E882" s="141" t="n"/>
      <c r="F882" s="141" t="n"/>
      <c r="G882" s="143" t="n"/>
      <c r="H882" s="27" t="n"/>
    </row>
    <row r="883" ht="17.25" customHeight="1" s="322">
      <c r="A883" s="27" t="n"/>
      <c r="B883" s="506" t="n"/>
      <c r="C883" s="141" t="n"/>
      <c r="D883" s="141" t="n"/>
      <c r="E883" s="141" t="n"/>
      <c r="F883" s="141" t="n"/>
      <c r="G883" s="143" t="n"/>
      <c r="H883" s="27" t="n"/>
    </row>
    <row r="884" ht="17.25" customHeight="1" s="322">
      <c r="A884" s="27" t="n"/>
      <c r="B884" s="506" t="n"/>
      <c r="C884" s="141" t="n"/>
      <c r="D884" s="141" t="n"/>
      <c r="E884" s="141" t="n"/>
      <c r="F884" s="141" t="n"/>
      <c r="G884" s="143" t="n"/>
      <c r="H884" s="27" t="n"/>
    </row>
    <row r="885" ht="17.25" customHeight="1" s="322">
      <c r="A885" s="27" t="n"/>
      <c r="B885" s="506" t="n"/>
      <c r="C885" s="141" t="n"/>
      <c r="D885" s="141" t="n"/>
      <c r="E885" s="141" t="n"/>
      <c r="F885" s="141" t="n"/>
      <c r="G885" s="143" t="n"/>
      <c r="H885" s="27" t="n"/>
    </row>
    <row r="886" ht="17.25" customHeight="1" s="322">
      <c r="A886" s="27" t="n"/>
      <c r="B886" s="506" t="n"/>
      <c r="C886" s="141" t="n"/>
      <c r="D886" s="141" t="n"/>
      <c r="E886" s="141" t="n"/>
      <c r="F886" s="141" t="n"/>
      <c r="G886" s="143" t="n"/>
      <c r="H886" s="27" t="n"/>
    </row>
    <row r="887" ht="17.25" customHeight="1" s="322">
      <c r="A887" s="27" t="n"/>
      <c r="B887" s="506" t="n"/>
      <c r="C887" s="141" t="n"/>
      <c r="D887" s="141" t="n"/>
      <c r="E887" s="141" t="n"/>
      <c r="F887" s="141" t="n"/>
      <c r="G887" s="143" t="n"/>
      <c r="H887" s="27" t="n"/>
    </row>
    <row r="888" ht="17.25" customHeight="1" s="322">
      <c r="A888" s="27" t="n"/>
      <c r="B888" s="506" t="n"/>
      <c r="C888" s="141" t="n"/>
      <c r="D888" s="141" t="n"/>
      <c r="E888" s="141" t="n"/>
      <c r="F888" s="141" t="n"/>
      <c r="G888" s="143" t="n"/>
      <c r="H888" s="27" t="n"/>
    </row>
    <row r="889" ht="17.25" customHeight="1" s="322">
      <c r="A889" s="27" t="n"/>
      <c r="B889" s="506" t="n"/>
      <c r="C889" s="141" t="n"/>
      <c r="D889" s="141" t="n"/>
      <c r="E889" s="141" t="n"/>
      <c r="F889" s="141" t="n"/>
      <c r="G889" s="143" t="n"/>
      <c r="H889" s="27" t="n"/>
    </row>
    <row r="890" ht="17.25" customHeight="1" s="322">
      <c r="A890" s="27" t="n"/>
      <c r="B890" s="506" t="n"/>
      <c r="C890" s="141" t="n"/>
      <c r="D890" s="141" t="n"/>
      <c r="E890" s="141" t="n"/>
      <c r="F890" s="141" t="n"/>
      <c r="G890" s="143" t="n"/>
      <c r="H890" s="27" t="n"/>
    </row>
    <row r="891" ht="17.25" customHeight="1" s="322">
      <c r="A891" s="27" t="n"/>
      <c r="B891" s="506" t="n"/>
      <c r="C891" s="141" t="n"/>
      <c r="D891" s="141" t="n"/>
      <c r="E891" s="141" t="n"/>
      <c r="F891" s="141" t="n"/>
      <c r="G891" s="143" t="n"/>
      <c r="H891" s="27" t="n"/>
    </row>
    <row r="892" ht="17.25" customHeight="1" s="322">
      <c r="A892" s="27" t="n"/>
      <c r="B892" s="506" t="n"/>
      <c r="C892" s="141" t="n"/>
      <c r="D892" s="141" t="n"/>
      <c r="E892" s="141" t="n"/>
      <c r="F892" s="141" t="n"/>
      <c r="G892" s="143" t="n"/>
      <c r="H892" s="27" t="n"/>
    </row>
    <row r="893" ht="17.25" customHeight="1" s="322">
      <c r="A893" s="27" t="n"/>
      <c r="B893" s="506" t="n"/>
      <c r="C893" s="141" t="n"/>
      <c r="D893" s="141" t="n"/>
      <c r="E893" s="141" t="n"/>
      <c r="F893" s="141" t="n"/>
      <c r="G893" s="143" t="n"/>
      <c r="H893" s="27" t="n"/>
    </row>
    <row r="894" ht="17.25" customHeight="1" s="322">
      <c r="A894" s="27" t="n"/>
      <c r="B894" s="506" t="n"/>
      <c r="C894" s="141" t="n"/>
      <c r="D894" s="141" t="n"/>
      <c r="E894" s="141" t="n"/>
      <c r="F894" s="141" t="n"/>
      <c r="G894" s="143" t="n"/>
      <c r="H894" s="27" t="n"/>
    </row>
    <row r="895" ht="17.25" customHeight="1" s="322">
      <c r="A895" s="27" t="n"/>
      <c r="B895" s="506" t="n"/>
      <c r="C895" s="141" t="n"/>
      <c r="D895" s="141" t="n"/>
      <c r="E895" s="141" t="n"/>
      <c r="F895" s="141" t="n"/>
      <c r="G895" s="143" t="n"/>
      <c r="H895" s="27" t="n"/>
    </row>
    <row r="896" ht="17.25" customHeight="1" s="322">
      <c r="A896" s="27" t="n"/>
      <c r="B896" s="506" t="n"/>
      <c r="C896" s="141" t="n"/>
      <c r="D896" s="141" t="n"/>
      <c r="E896" s="141" t="n"/>
      <c r="F896" s="141" t="n"/>
      <c r="G896" s="143" t="n"/>
      <c r="H896" s="27" t="n"/>
    </row>
    <row r="897" ht="17.25" customHeight="1" s="322">
      <c r="A897" s="27" t="n"/>
      <c r="B897" s="506" t="n"/>
      <c r="C897" s="141" t="n"/>
      <c r="D897" s="141" t="n"/>
      <c r="E897" s="141" t="n"/>
      <c r="F897" s="141" t="n"/>
      <c r="G897" s="143" t="n"/>
      <c r="H897" s="27" t="n"/>
    </row>
    <row r="898" ht="17.25" customHeight="1" s="322">
      <c r="A898" s="27" t="n"/>
      <c r="B898" s="506" t="n"/>
      <c r="C898" s="141" t="n"/>
      <c r="D898" s="141" t="n"/>
      <c r="E898" s="141" t="n"/>
      <c r="F898" s="141" t="n"/>
      <c r="G898" s="143" t="n"/>
      <c r="H898" s="27" t="n"/>
    </row>
    <row r="899" ht="17.25" customHeight="1" s="322">
      <c r="A899" s="27" t="n"/>
      <c r="B899" s="506" t="n"/>
      <c r="C899" s="141" t="n"/>
      <c r="D899" s="141" t="n"/>
      <c r="E899" s="141" t="n"/>
      <c r="F899" s="141" t="n"/>
      <c r="G899" s="143" t="n"/>
      <c r="H899" s="27" t="n"/>
    </row>
    <row r="900" ht="17.25" customHeight="1" s="322">
      <c r="A900" s="27" t="n"/>
      <c r="B900" s="506" t="n"/>
      <c r="C900" s="141" t="n"/>
      <c r="D900" s="141" t="n"/>
      <c r="E900" s="141" t="n"/>
      <c r="F900" s="141" t="n"/>
      <c r="G900" s="143" t="n"/>
      <c r="H900" s="27" t="n"/>
    </row>
    <row r="901" ht="17.25" customHeight="1" s="322">
      <c r="A901" s="27" t="n"/>
      <c r="B901" s="506" t="n"/>
      <c r="C901" s="141" t="n"/>
      <c r="D901" s="141" t="n"/>
      <c r="E901" s="141" t="n"/>
      <c r="F901" s="141" t="n"/>
      <c r="G901" s="143" t="n"/>
      <c r="H901" s="27" t="n"/>
    </row>
    <row r="902" ht="17.25" customHeight="1" s="322">
      <c r="A902" s="27" t="n"/>
      <c r="B902" s="506" t="n"/>
      <c r="C902" s="141" t="n"/>
      <c r="D902" s="141" t="n"/>
      <c r="E902" s="141" t="n"/>
      <c r="F902" s="141" t="n"/>
      <c r="G902" s="143" t="n"/>
      <c r="H902" s="27" t="n"/>
    </row>
    <row r="903" ht="17.25" customHeight="1" s="322">
      <c r="A903" s="27" t="n"/>
      <c r="B903" s="506" t="n"/>
      <c r="C903" s="141" t="n"/>
      <c r="D903" s="141" t="n"/>
      <c r="E903" s="141" t="n"/>
      <c r="F903" s="141" t="n"/>
      <c r="G903" s="143" t="n"/>
      <c r="H903" s="27" t="n"/>
    </row>
    <row r="904" ht="17.25" customHeight="1" s="322">
      <c r="A904" s="27" t="n"/>
      <c r="B904" s="506" t="n"/>
      <c r="C904" s="141" t="n"/>
      <c r="D904" s="141" t="n"/>
      <c r="E904" s="141" t="n"/>
      <c r="F904" s="141" t="n"/>
      <c r="G904" s="143" t="n"/>
      <c r="H904" s="27" t="n"/>
    </row>
    <row r="905" ht="17.25" customHeight="1" s="322">
      <c r="A905" s="27" t="n"/>
      <c r="B905" s="506" t="n"/>
      <c r="C905" s="141" t="n"/>
      <c r="D905" s="141" t="n"/>
      <c r="E905" s="141" t="n"/>
      <c r="F905" s="141" t="n"/>
      <c r="G905" s="143" t="n"/>
      <c r="H905" s="27" t="n"/>
    </row>
    <row r="906" ht="17.25" customHeight="1" s="322">
      <c r="A906" s="27" t="n"/>
      <c r="B906" s="506" t="n"/>
      <c r="C906" s="141" t="n"/>
      <c r="D906" s="141" t="n"/>
      <c r="E906" s="141" t="n"/>
      <c r="F906" s="141" t="n"/>
      <c r="G906" s="143" t="n"/>
      <c r="H906" s="27" t="n"/>
    </row>
    <row r="907" ht="17.25" customHeight="1" s="322">
      <c r="A907" s="27" t="n"/>
      <c r="B907" s="506" t="n"/>
      <c r="C907" s="141" t="n"/>
      <c r="D907" s="141" t="n"/>
      <c r="E907" s="141" t="n"/>
      <c r="F907" s="141" t="n"/>
      <c r="G907" s="143" t="n"/>
      <c r="H907" s="27" t="n"/>
    </row>
    <row r="908" ht="17.25" customHeight="1" s="322">
      <c r="A908" s="27" t="n"/>
      <c r="B908" s="506" t="n"/>
      <c r="C908" s="141" t="n"/>
      <c r="D908" s="141" t="n"/>
      <c r="E908" s="141" t="n"/>
      <c r="F908" s="141" t="n"/>
      <c r="G908" s="143" t="n"/>
      <c r="H908" s="27" t="n"/>
    </row>
    <row r="909" ht="17.25" customHeight="1" s="322">
      <c r="A909" s="27" t="n"/>
      <c r="B909" s="506" t="n"/>
      <c r="C909" s="141" t="n"/>
      <c r="D909" s="141" t="n"/>
      <c r="E909" s="141" t="n"/>
      <c r="F909" s="141" t="n"/>
      <c r="G909" s="143" t="n"/>
      <c r="H909" s="27" t="n"/>
    </row>
    <row r="910" ht="17.25" customHeight="1" s="322">
      <c r="A910" s="27" t="n"/>
      <c r="B910" s="506" t="n"/>
      <c r="C910" s="141" t="n"/>
      <c r="D910" s="141" t="n"/>
      <c r="E910" s="141" t="n"/>
      <c r="F910" s="141" t="n"/>
      <c r="G910" s="143" t="n"/>
      <c r="H910" s="27" t="n"/>
    </row>
    <row r="911" ht="17.25" customHeight="1" s="322">
      <c r="A911" s="27" t="n"/>
      <c r="B911" s="506" t="n"/>
      <c r="C911" s="141" t="n"/>
      <c r="D911" s="141" t="n"/>
      <c r="E911" s="141" t="n"/>
      <c r="F911" s="141" t="n"/>
      <c r="G911" s="143" t="n"/>
      <c r="H911" s="27" t="n"/>
    </row>
    <row r="912" ht="17.25" customHeight="1" s="322">
      <c r="A912" s="27" t="n"/>
      <c r="B912" s="506" t="n"/>
      <c r="C912" s="141" t="n"/>
      <c r="D912" s="141" t="n"/>
      <c r="E912" s="141" t="n"/>
      <c r="F912" s="141" t="n"/>
      <c r="G912" s="143" t="n"/>
      <c r="H912" s="27" t="n"/>
    </row>
    <row r="913" ht="17.25" customHeight="1" s="322">
      <c r="A913" s="27" t="n"/>
      <c r="B913" s="506" t="n"/>
      <c r="C913" s="141" t="n"/>
      <c r="D913" s="141" t="n"/>
      <c r="E913" s="141" t="n"/>
      <c r="F913" s="141" t="n"/>
      <c r="G913" s="143" t="n"/>
      <c r="H913" s="27" t="n"/>
    </row>
    <row r="914" ht="17.25" customHeight="1" s="322">
      <c r="A914" s="27" t="n"/>
      <c r="B914" s="506" t="n"/>
      <c r="C914" s="141" t="n"/>
      <c r="D914" s="141" t="n"/>
      <c r="E914" s="141" t="n"/>
      <c r="F914" s="141" t="n"/>
      <c r="G914" s="143" t="n"/>
      <c r="H914" s="27" t="n"/>
    </row>
    <row r="915" ht="17.25" customHeight="1" s="322">
      <c r="A915" s="27" t="n"/>
      <c r="B915" s="506" t="n"/>
      <c r="C915" s="141" t="n"/>
      <c r="D915" s="141" t="n"/>
      <c r="E915" s="141" t="n"/>
      <c r="F915" s="141" t="n"/>
      <c r="G915" s="143" t="n"/>
      <c r="H915" s="27" t="n"/>
    </row>
    <row r="916" ht="17.25" customHeight="1" s="322">
      <c r="A916" s="27" t="n"/>
      <c r="B916" s="506" t="n"/>
      <c r="C916" s="141" t="n"/>
      <c r="D916" s="141" t="n"/>
      <c r="E916" s="141" t="n"/>
      <c r="F916" s="141" t="n"/>
      <c r="G916" s="143" t="n"/>
      <c r="H916" s="27" t="n"/>
    </row>
    <row r="917" ht="17.25" customHeight="1" s="322">
      <c r="A917" s="27" t="n"/>
      <c r="B917" s="506" t="n"/>
      <c r="C917" s="141" t="n"/>
      <c r="D917" s="141" t="n"/>
      <c r="E917" s="141" t="n"/>
      <c r="F917" s="141" t="n"/>
      <c r="G917" s="143" t="n"/>
      <c r="H917" s="27" t="n"/>
    </row>
    <row r="918" ht="17.25" customHeight="1" s="322">
      <c r="A918" s="27" t="n"/>
      <c r="B918" s="506" t="n"/>
      <c r="C918" s="141" t="n"/>
      <c r="D918" s="141" t="n"/>
      <c r="E918" s="141" t="n"/>
      <c r="F918" s="141" t="n"/>
      <c r="G918" s="143" t="n"/>
      <c r="H918" s="27" t="n"/>
    </row>
    <row r="919" ht="17.25" customHeight="1" s="322">
      <c r="A919" s="27" t="n"/>
      <c r="B919" s="506" t="n"/>
      <c r="C919" s="141" t="n"/>
      <c r="D919" s="141" t="n"/>
      <c r="E919" s="141" t="n"/>
      <c r="F919" s="141" t="n"/>
      <c r="G919" s="143" t="n"/>
      <c r="H919" s="27" t="n"/>
    </row>
    <row r="920" ht="17.25" customHeight="1" s="322">
      <c r="A920" s="27" t="n"/>
      <c r="B920" s="506" t="n"/>
      <c r="C920" s="141" t="n"/>
      <c r="D920" s="141" t="n"/>
      <c r="E920" s="141" t="n"/>
      <c r="F920" s="141" t="n"/>
      <c r="G920" s="143" t="n"/>
      <c r="H920" s="27" t="n"/>
    </row>
    <row r="921" ht="17.25" customHeight="1" s="322">
      <c r="A921" s="27" t="n"/>
      <c r="B921" s="506" t="n"/>
      <c r="C921" s="141" t="n"/>
      <c r="D921" s="141" t="n"/>
      <c r="E921" s="141" t="n"/>
      <c r="F921" s="141" t="n"/>
      <c r="G921" s="143" t="n"/>
      <c r="H921" s="27" t="n"/>
    </row>
    <row r="922" ht="17.25" customHeight="1" s="322">
      <c r="A922" s="27" t="n"/>
      <c r="B922" s="506" t="n"/>
      <c r="C922" s="141" t="n"/>
      <c r="D922" s="141" t="n"/>
      <c r="E922" s="141" t="n"/>
      <c r="F922" s="141" t="n"/>
      <c r="G922" s="143" t="n"/>
      <c r="H922" s="27" t="n"/>
    </row>
    <row r="923" ht="17.25" customHeight="1" s="322">
      <c r="A923" s="27" t="n"/>
      <c r="B923" s="506" t="n"/>
      <c r="C923" s="141" t="n"/>
      <c r="D923" s="141" t="n"/>
      <c r="E923" s="141" t="n"/>
      <c r="F923" s="141" t="n"/>
      <c r="G923" s="143" t="n"/>
      <c r="H923" s="27" t="n"/>
    </row>
    <row r="924" ht="17.25" customHeight="1" s="322">
      <c r="A924" s="27" t="n"/>
      <c r="B924" s="506" t="n"/>
      <c r="C924" s="141" t="n"/>
      <c r="D924" s="141" t="n"/>
      <c r="E924" s="141" t="n"/>
      <c r="F924" s="141" t="n"/>
      <c r="G924" s="143" t="n"/>
      <c r="H924" s="27" t="n"/>
    </row>
    <row r="925" ht="17.25" customHeight="1" s="322">
      <c r="A925" s="27" t="n"/>
      <c r="B925" s="506" t="n"/>
      <c r="C925" s="141" t="n"/>
      <c r="D925" s="141" t="n"/>
      <c r="E925" s="141" t="n"/>
      <c r="F925" s="141" t="n"/>
      <c r="G925" s="143" t="n"/>
      <c r="H925" s="27" t="n"/>
    </row>
    <row r="926" ht="17.25" customHeight="1" s="322">
      <c r="A926" s="27" t="n"/>
      <c r="B926" s="506" t="n"/>
      <c r="C926" s="141" t="n"/>
      <c r="D926" s="141" t="n"/>
      <c r="E926" s="141" t="n"/>
      <c r="F926" s="141" t="n"/>
      <c r="G926" s="143" t="n"/>
      <c r="H926" s="27" t="n"/>
    </row>
    <row r="927" ht="17.25" customHeight="1" s="322">
      <c r="A927" s="27" t="n"/>
      <c r="B927" s="506" t="n"/>
      <c r="C927" s="141" t="n"/>
      <c r="D927" s="141" t="n"/>
      <c r="E927" s="141" t="n"/>
      <c r="F927" s="141" t="n"/>
      <c r="G927" s="143" t="n"/>
      <c r="H927" s="27" t="n"/>
    </row>
    <row r="928" ht="17.25" customHeight="1" s="322">
      <c r="A928" s="27" t="n"/>
      <c r="B928" s="506" t="n"/>
      <c r="C928" s="141" t="n"/>
      <c r="D928" s="141" t="n"/>
      <c r="E928" s="141" t="n"/>
      <c r="F928" s="141" t="n"/>
      <c r="G928" s="143" t="n"/>
      <c r="H928" s="27" t="n"/>
    </row>
    <row r="929" ht="17.25" customHeight="1" s="322">
      <c r="A929" s="27" t="n"/>
      <c r="B929" s="506" t="n"/>
      <c r="C929" s="141" t="n"/>
      <c r="D929" s="141" t="n"/>
      <c r="E929" s="141" t="n"/>
      <c r="F929" s="141" t="n"/>
      <c r="G929" s="143" t="n"/>
      <c r="H929" s="27" t="n"/>
    </row>
    <row r="930" ht="17.25" customHeight="1" s="322">
      <c r="A930" s="27" t="n"/>
      <c r="B930" s="506" t="n"/>
      <c r="C930" s="141" t="n"/>
      <c r="D930" s="141" t="n"/>
      <c r="E930" s="141" t="n"/>
      <c r="F930" s="141" t="n"/>
      <c r="G930" s="143" t="n"/>
      <c r="H930" s="27" t="n"/>
    </row>
    <row r="931" ht="17.25" customHeight="1" s="322">
      <c r="A931" s="27" t="n"/>
      <c r="B931" s="506" t="n"/>
      <c r="C931" s="141" t="n"/>
      <c r="D931" s="141" t="n"/>
      <c r="E931" s="141" t="n"/>
      <c r="F931" s="141" t="n"/>
      <c r="G931" s="143" t="n"/>
      <c r="H931" s="27" t="n"/>
    </row>
    <row r="932" ht="17.25" customHeight="1" s="322">
      <c r="A932" s="27" t="n"/>
      <c r="B932" s="506" t="n"/>
      <c r="C932" s="141" t="n"/>
      <c r="D932" s="141" t="n"/>
      <c r="E932" s="141" t="n"/>
      <c r="F932" s="141" t="n"/>
      <c r="G932" s="143" t="n"/>
      <c r="H932" s="27" t="n"/>
    </row>
    <row r="933" ht="17.25" customHeight="1" s="322">
      <c r="A933" s="27" t="n"/>
      <c r="B933" s="506" t="n"/>
      <c r="C933" s="141" t="n"/>
      <c r="D933" s="141" t="n"/>
      <c r="E933" s="141" t="n"/>
      <c r="F933" s="141" t="n"/>
      <c r="G933" s="143" t="n"/>
      <c r="H933" s="27" t="n"/>
    </row>
    <row r="934" ht="17.25" customHeight="1" s="322">
      <c r="A934" s="27" t="n"/>
      <c r="B934" s="506" t="n"/>
      <c r="C934" s="141" t="n"/>
      <c r="D934" s="141" t="n"/>
      <c r="E934" s="141" t="n"/>
      <c r="F934" s="141" t="n"/>
      <c r="G934" s="143" t="n"/>
      <c r="H934" s="27" t="n"/>
    </row>
    <row r="935" ht="17.25" customHeight="1" s="322">
      <c r="A935" s="27" t="n"/>
      <c r="B935" s="506" t="n"/>
      <c r="C935" s="141" t="n"/>
      <c r="D935" s="141" t="n"/>
      <c r="E935" s="141" t="n"/>
      <c r="F935" s="141" t="n"/>
      <c r="G935" s="143" t="n"/>
      <c r="H935" s="27" t="n"/>
    </row>
    <row r="936" ht="17.25" customHeight="1" s="322">
      <c r="A936" s="27" t="n"/>
      <c r="B936" s="506" t="n"/>
      <c r="C936" s="141" t="n"/>
      <c r="D936" s="141" t="n"/>
      <c r="E936" s="141" t="n"/>
      <c r="F936" s="141" t="n"/>
      <c r="G936" s="143" t="n"/>
      <c r="H936" s="27" t="n"/>
    </row>
    <row r="937" ht="17.25" customHeight="1" s="322">
      <c r="A937" s="27" t="n"/>
      <c r="B937" s="506" t="n"/>
      <c r="C937" s="141" t="n"/>
      <c r="D937" s="141" t="n"/>
      <c r="E937" s="141" t="n"/>
      <c r="F937" s="141" t="n"/>
      <c r="G937" s="143" t="n"/>
      <c r="H937" s="27" t="n"/>
    </row>
    <row r="938" ht="17.25" customHeight="1" s="322">
      <c r="A938" s="27" t="n"/>
      <c r="B938" s="506" t="n"/>
      <c r="C938" s="141" t="n"/>
      <c r="D938" s="141" t="n"/>
      <c r="E938" s="141" t="n"/>
      <c r="F938" s="141" t="n"/>
      <c r="G938" s="143" t="n"/>
      <c r="H938" s="27" t="n"/>
    </row>
    <row r="939" ht="17.25" customHeight="1" s="322">
      <c r="A939" s="27" t="n"/>
      <c r="B939" s="506" t="n"/>
      <c r="C939" s="141" t="n"/>
      <c r="D939" s="141" t="n"/>
      <c r="E939" s="141" t="n"/>
      <c r="F939" s="141" t="n"/>
      <c r="G939" s="143" t="n"/>
      <c r="H939" s="27" t="n"/>
    </row>
    <row r="940" ht="17.25" customHeight="1" s="322">
      <c r="A940" s="27" t="n"/>
      <c r="B940" s="506" t="n"/>
      <c r="C940" s="141" t="n"/>
      <c r="D940" s="141" t="n"/>
      <c r="E940" s="141" t="n"/>
      <c r="F940" s="141" t="n"/>
      <c r="G940" s="143" t="n"/>
      <c r="H940" s="27" t="n"/>
    </row>
    <row r="941" ht="17.25" customHeight="1" s="322">
      <c r="A941" s="27" t="n"/>
      <c r="B941" s="506" t="n"/>
      <c r="C941" s="141" t="n"/>
      <c r="D941" s="141" t="n"/>
      <c r="E941" s="141" t="n"/>
      <c r="F941" s="141" t="n"/>
      <c r="G941" s="143" t="n"/>
      <c r="H941" s="27" t="n"/>
    </row>
    <row r="942" ht="17.25" customHeight="1" s="322">
      <c r="A942" s="27" t="n"/>
      <c r="B942" s="506" t="n"/>
      <c r="C942" s="141" t="n"/>
      <c r="D942" s="141" t="n"/>
      <c r="E942" s="141" t="n"/>
      <c r="F942" s="141" t="n"/>
      <c r="G942" s="143" t="n"/>
      <c r="H942" s="27" t="n"/>
    </row>
    <row r="943" ht="17.25" customHeight="1" s="322">
      <c r="A943" s="27" t="n"/>
      <c r="B943" s="506" t="n"/>
      <c r="C943" s="141" t="n"/>
      <c r="D943" s="141" t="n"/>
      <c r="E943" s="141" t="n"/>
      <c r="F943" s="141" t="n"/>
      <c r="G943" s="143" t="n"/>
      <c r="H943" s="27" t="n"/>
    </row>
    <row r="944" ht="17.25" customHeight="1" s="322">
      <c r="A944" s="27" t="n"/>
      <c r="B944" s="506" t="n"/>
      <c r="C944" s="141" t="n"/>
      <c r="D944" s="141" t="n"/>
      <c r="E944" s="141" t="n"/>
      <c r="F944" s="141" t="n"/>
      <c r="G944" s="143" t="n"/>
      <c r="H944" s="27" t="n"/>
    </row>
    <row r="945" ht="17.25" customHeight="1" s="322">
      <c r="A945" s="27" t="n"/>
      <c r="B945" s="506" t="n"/>
      <c r="C945" s="141" t="n"/>
      <c r="D945" s="141" t="n"/>
      <c r="E945" s="141" t="n"/>
      <c r="F945" s="141" t="n"/>
      <c r="G945" s="143" t="n"/>
      <c r="H945" s="27" t="n"/>
    </row>
    <row r="946" ht="17.25" customHeight="1" s="322">
      <c r="A946" s="27" t="n"/>
      <c r="B946" s="506" t="n"/>
      <c r="C946" s="141" t="n"/>
      <c r="D946" s="141" t="n"/>
      <c r="E946" s="141" t="n"/>
      <c r="F946" s="141" t="n"/>
      <c r="G946" s="143" t="n"/>
      <c r="H946" s="27" t="n"/>
    </row>
    <row r="947" ht="17.25" customHeight="1" s="322">
      <c r="A947" s="27" t="n"/>
      <c r="B947" s="506" t="n"/>
      <c r="C947" s="141" t="n"/>
      <c r="D947" s="141" t="n"/>
      <c r="E947" s="141" t="n"/>
      <c r="F947" s="141" t="n"/>
      <c r="G947" s="143" t="n"/>
      <c r="H947" s="27" t="n"/>
    </row>
    <row r="948" ht="17.25" customHeight="1" s="322">
      <c r="A948" s="27" t="n"/>
      <c r="B948" s="506" t="n"/>
      <c r="C948" s="141" t="n"/>
      <c r="D948" s="141" t="n"/>
      <c r="E948" s="141" t="n"/>
      <c r="F948" s="141" t="n"/>
      <c r="G948" s="143" t="n"/>
      <c r="H948" s="27" t="n"/>
    </row>
    <row r="949" ht="17.25" customHeight="1" s="322">
      <c r="A949" s="27" t="n"/>
      <c r="B949" s="506" t="n"/>
      <c r="C949" s="141" t="n"/>
      <c r="D949" s="141" t="n"/>
      <c r="E949" s="141" t="n"/>
      <c r="F949" s="141" t="n"/>
      <c r="G949" s="143" t="n"/>
      <c r="H949" s="27" t="n"/>
    </row>
    <row r="950" ht="17.25" customHeight="1" s="322">
      <c r="A950" s="27" t="n"/>
      <c r="B950" s="506" t="n"/>
      <c r="C950" s="141" t="n"/>
      <c r="D950" s="141" t="n"/>
      <c r="E950" s="141" t="n"/>
      <c r="F950" s="141" t="n"/>
      <c r="G950" s="143" t="n"/>
      <c r="H950" s="27" t="n"/>
    </row>
    <row r="951" ht="17.25" customHeight="1" s="322">
      <c r="A951" s="27" t="n"/>
      <c r="B951" s="506" t="n"/>
      <c r="C951" s="141" t="n"/>
      <c r="D951" s="141" t="n"/>
      <c r="E951" s="141" t="n"/>
      <c r="F951" s="141" t="n"/>
      <c r="G951" s="143" t="n"/>
      <c r="H951" s="27" t="n"/>
    </row>
    <row r="952" ht="17.25" customHeight="1" s="322">
      <c r="A952" s="27" t="n"/>
      <c r="B952" s="506" t="n"/>
      <c r="C952" s="141" t="n"/>
      <c r="D952" s="141" t="n"/>
      <c r="E952" s="141" t="n"/>
      <c r="F952" s="141" t="n"/>
      <c r="G952" s="143" t="n"/>
      <c r="H952" s="27" t="n"/>
    </row>
    <row r="953" ht="17.25" customHeight="1" s="322">
      <c r="A953" s="27" t="n"/>
      <c r="B953" s="506" t="n"/>
      <c r="C953" s="141" t="n"/>
      <c r="D953" s="141" t="n"/>
      <c r="E953" s="141" t="n"/>
      <c r="F953" s="141" t="n"/>
      <c r="G953" s="143" t="n"/>
      <c r="H953" s="27" t="n"/>
    </row>
    <row r="954" ht="17.25" customHeight="1" s="322">
      <c r="A954" s="27" t="n"/>
      <c r="B954" s="506" t="n"/>
      <c r="C954" s="141" t="n"/>
      <c r="D954" s="141" t="n"/>
      <c r="E954" s="141" t="n"/>
      <c r="F954" s="141" t="n"/>
      <c r="G954" s="143" t="n"/>
      <c r="H954" s="27" t="n"/>
    </row>
    <row r="955" ht="17.25" customHeight="1" s="322">
      <c r="A955" s="27" t="n"/>
      <c r="B955" s="506" t="n"/>
      <c r="C955" s="141" t="n"/>
      <c r="D955" s="141" t="n"/>
      <c r="E955" s="141" t="n"/>
      <c r="F955" s="141" t="n"/>
      <c r="G955" s="143" t="n"/>
      <c r="H955" s="27" t="n"/>
    </row>
    <row r="956" ht="17.25" customHeight="1" s="322">
      <c r="A956" s="27" t="n"/>
      <c r="B956" s="506" t="n"/>
      <c r="C956" s="141" t="n"/>
      <c r="D956" s="141" t="n"/>
      <c r="E956" s="141" t="n"/>
      <c r="F956" s="141" t="n"/>
      <c r="G956" s="143" t="n"/>
      <c r="H956" s="27" t="n"/>
    </row>
    <row r="957" ht="17.25" customHeight="1" s="322">
      <c r="A957" s="27" t="n"/>
      <c r="B957" s="506" t="n"/>
      <c r="C957" s="141" t="n"/>
      <c r="D957" s="141" t="n"/>
      <c r="E957" s="141" t="n"/>
      <c r="F957" s="141" t="n"/>
      <c r="G957" s="143" t="n"/>
      <c r="H957" s="27" t="n"/>
    </row>
    <row r="958" ht="17.25" customHeight="1" s="322">
      <c r="A958" s="27" t="n"/>
      <c r="B958" s="506" t="n"/>
      <c r="C958" s="141" t="n"/>
      <c r="D958" s="141" t="n"/>
      <c r="E958" s="141" t="n"/>
      <c r="F958" s="141" t="n"/>
      <c r="G958" s="143" t="n"/>
      <c r="H958" s="27" t="n"/>
    </row>
    <row r="959" ht="17.25" customHeight="1" s="322">
      <c r="A959" s="27" t="n"/>
      <c r="B959" s="506" t="n"/>
      <c r="C959" s="141" t="n"/>
      <c r="D959" s="141" t="n"/>
      <c r="E959" s="141" t="n"/>
      <c r="F959" s="141" t="n"/>
      <c r="G959" s="143" t="n"/>
      <c r="H959" s="27" t="n"/>
    </row>
    <row r="960" ht="17.25" customHeight="1" s="322">
      <c r="A960" s="27" t="n"/>
      <c r="B960" s="506" t="n"/>
      <c r="C960" s="141" t="n"/>
      <c r="D960" s="141" t="n"/>
      <c r="E960" s="141" t="n"/>
      <c r="F960" s="141" t="n"/>
      <c r="G960" s="143" t="n"/>
      <c r="H960" s="27" t="n"/>
    </row>
    <row r="961" ht="17.25" customHeight="1" s="322">
      <c r="A961" s="27" t="n"/>
      <c r="B961" s="506" t="n"/>
      <c r="C961" s="141" t="n"/>
      <c r="D961" s="141" t="n"/>
      <c r="E961" s="141" t="n"/>
      <c r="F961" s="141" t="n"/>
      <c r="G961" s="143" t="n"/>
      <c r="H961" s="27" t="n"/>
    </row>
    <row r="962" ht="17.25" customHeight="1" s="322">
      <c r="A962" s="27" t="n"/>
      <c r="B962" s="506" t="n"/>
      <c r="C962" s="141" t="n"/>
      <c r="D962" s="141" t="n"/>
      <c r="E962" s="141" t="n"/>
      <c r="F962" s="141" t="n"/>
      <c r="G962" s="143" t="n"/>
      <c r="H962" s="27" t="n"/>
    </row>
    <row r="963" ht="17.25" customHeight="1" s="322">
      <c r="A963" s="27" t="n"/>
      <c r="B963" s="506" t="n"/>
      <c r="C963" s="141" t="n"/>
      <c r="D963" s="141" t="n"/>
      <c r="E963" s="141" t="n"/>
      <c r="F963" s="141" t="n"/>
      <c r="G963" s="143" t="n"/>
      <c r="H963" s="27" t="n"/>
    </row>
    <row r="964" ht="17.25" customHeight="1" s="322">
      <c r="A964" s="27" t="n"/>
      <c r="B964" s="506" t="n"/>
      <c r="C964" s="141" t="n"/>
      <c r="D964" s="141" t="n"/>
      <c r="E964" s="141" t="n"/>
      <c r="F964" s="141" t="n"/>
      <c r="G964" s="143" t="n"/>
      <c r="H964" s="27" t="n"/>
    </row>
    <row r="965" ht="17.25" customHeight="1" s="322">
      <c r="A965" s="27" t="n"/>
      <c r="B965" s="506" t="n"/>
      <c r="C965" s="141" t="n"/>
      <c r="D965" s="141" t="n"/>
      <c r="E965" s="141" t="n"/>
      <c r="F965" s="141" t="n"/>
      <c r="G965" s="143" t="n"/>
      <c r="H965" s="27" t="n"/>
    </row>
    <row r="966" ht="17.25" customHeight="1" s="322">
      <c r="A966" s="27" t="n"/>
      <c r="B966" s="506" t="n"/>
      <c r="C966" s="141" t="n"/>
      <c r="D966" s="141" t="n"/>
      <c r="E966" s="141" t="n"/>
      <c r="F966" s="141" t="n"/>
      <c r="G966" s="143" t="n"/>
      <c r="H966" s="27" t="n"/>
    </row>
    <row r="967" ht="17.25" customHeight="1" s="322">
      <c r="A967" s="27" t="n"/>
      <c r="B967" s="506" t="n"/>
      <c r="C967" s="141" t="n"/>
      <c r="D967" s="141" t="n"/>
      <c r="E967" s="141" t="n"/>
      <c r="F967" s="141" t="n"/>
      <c r="G967" s="143" t="n"/>
      <c r="H967" s="27" t="n"/>
    </row>
    <row r="968" ht="17.25" customHeight="1" s="322">
      <c r="A968" s="27" t="n"/>
      <c r="B968" s="506" t="n"/>
      <c r="C968" s="141" t="n"/>
      <c r="D968" s="141" t="n"/>
      <c r="E968" s="141" t="n"/>
      <c r="F968" s="141" t="n"/>
      <c r="G968" s="143" t="n"/>
      <c r="H968" s="27" t="n"/>
    </row>
    <row r="969" ht="17.25" customHeight="1" s="322">
      <c r="A969" s="27" t="n"/>
      <c r="B969" s="506" t="n"/>
      <c r="C969" s="141" t="n"/>
      <c r="D969" s="141" t="n"/>
      <c r="E969" s="141" t="n"/>
      <c r="F969" s="141" t="n"/>
      <c r="G969" s="143" t="n"/>
      <c r="H969" s="27" t="n"/>
    </row>
    <row r="970" ht="17.25" customHeight="1" s="322">
      <c r="A970" s="27" t="n"/>
      <c r="B970" s="506" t="n"/>
      <c r="C970" s="141" t="n"/>
      <c r="D970" s="141" t="n"/>
      <c r="E970" s="141" t="n"/>
      <c r="F970" s="141" t="n"/>
      <c r="G970" s="143" t="n"/>
      <c r="H970" s="27" t="n"/>
    </row>
    <row r="971" ht="17.25" customHeight="1" s="322">
      <c r="A971" s="27" t="n"/>
      <c r="B971" s="506" t="n"/>
      <c r="C971" s="141" t="n"/>
      <c r="D971" s="141" t="n"/>
      <c r="E971" s="141" t="n"/>
      <c r="F971" s="141" t="n"/>
      <c r="G971" s="143" t="n"/>
      <c r="H971" s="27" t="n"/>
    </row>
    <row r="972" ht="17.25" customHeight="1" s="322">
      <c r="A972" s="27" t="n"/>
      <c r="B972" s="506" t="n"/>
      <c r="C972" s="141" t="n"/>
      <c r="D972" s="141" t="n"/>
      <c r="E972" s="141" t="n"/>
      <c r="F972" s="141" t="n"/>
      <c r="G972" s="143" t="n"/>
      <c r="H972" s="27" t="n"/>
    </row>
    <row r="973" ht="17.25" customHeight="1" s="322">
      <c r="A973" s="27" t="n"/>
      <c r="B973" s="506" t="n"/>
      <c r="C973" s="141" t="n"/>
      <c r="D973" s="141" t="n"/>
      <c r="E973" s="141" t="n"/>
      <c r="F973" s="141" t="n"/>
      <c r="G973" s="143" t="n"/>
      <c r="H973" s="27" t="n"/>
    </row>
    <row r="974" ht="17.25" customHeight="1" s="322">
      <c r="A974" s="27" t="n"/>
      <c r="B974" s="506" t="n"/>
      <c r="C974" s="141" t="n"/>
      <c r="D974" s="141" t="n"/>
      <c r="E974" s="141" t="n"/>
      <c r="F974" s="141" t="n"/>
      <c r="G974" s="143" t="n"/>
      <c r="H974" s="27" t="n"/>
    </row>
    <row r="975" ht="17.25" customHeight="1" s="322">
      <c r="A975" s="27" t="n"/>
      <c r="B975" s="506" t="n"/>
      <c r="C975" s="141" t="n"/>
      <c r="D975" s="141" t="n"/>
      <c r="E975" s="141" t="n"/>
      <c r="F975" s="141" t="n"/>
      <c r="G975" s="143" t="n"/>
      <c r="H975" s="27" t="n"/>
    </row>
    <row r="976" ht="17.25" customHeight="1" s="322">
      <c r="A976" s="27" t="n"/>
      <c r="B976" s="506" t="n"/>
      <c r="C976" s="141" t="n"/>
      <c r="D976" s="141" t="n"/>
      <c r="E976" s="141" t="n"/>
      <c r="F976" s="141" t="n"/>
      <c r="G976" s="143" t="n"/>
      <c r="H976" s="27" t="n"/>
    </row>
    <row r="977" ht="17.25" customHeight="1" s="322">
      <c r="A977" s="27" t="n"/>
      <c r="B977" s="506" t="n"/>
      <c r="C977" s="141" t="n"/>
      <c r="D977" s="141" t="n"/>
      <c r="E977" s="141" t="n"/>
      <c r="F977" s="141" t="n"/>
      <c r="G977" s="143" t="n"/>
      <c r="H977" s="27" t="n"/>
    </row>
    <row r="978" ht="17.25" customHeight="1" s="322">
      <c r="A978" s="27" t="n"/>
      <c r="B978" s="506" t="n"/>
      <c r="C978" s="141" t="n"/>
      <c r="D978" s="141" t="n"/>
      <c r="E978" s="141" t="n"/>
      <c r="F978" s="141" t="n"/>
      <c r="G978" s="143" t="n"/>
      <c r="H978" s="27" t="n"/>
    </row>
    <row r="979" ht="17.25" customHeight="1" s="322">
      <c r="A979" s="27" t="n"/>
      <c r="B979" s="506" t="n"/>
      <c r="C979" s="141" t="n"/>
      <c r="D979" s="141" t="n"/>
      <c r="E979" s="141" t="n"/>
      <c r="F979" s="141" t="n"/>
      <c r="G979" s="143" t="n"/>
      <c r="H979" s="27" t="n"/>
    </row>
    <row r="980" ht="17.25" customHeight="1" s="322">
      <c r="A980" s="27" t="n"/>
      <c r="B980" s="506" t="n"/>
      <c r="C980" s="141" t="n"/>
      <c r="D980" s="141" t="n"/>
      <c r="E980" s="141" t="n"/>
      <c r="F980" s="141" t="n"/>
      <c r="G980" s="143" t="n"/>
      <c r="H980" s="27" t="n"/>
    </row>
    <row r="981" ht="17.25" customHeight="1" s="322">
      <c r="A981" s="27" t="n"/>
      <c r="B981" s="506" t="n"/>
      <c r="C981" s="141" t="n"/>
      <c r="D981" s="141" t="n"/>
      <c r="E981" s="141" t="n"/>
      <c r="F981" s="141" t="n"/>
      <c r="G981" s="143" t="n"/>
      <c r="H981" s="27" t="n"/>
    </row>
    <row r="982" ht="17.25" customHeight="1" s="322">
      <c r="A982" s="27" t="n"/>
      <c r="B982" s="506" t="n"/>
      <c r="C982" s="141" t="n"/>
      <c r="D982" s="141" t="n"/>
      <c r="E982" s="141" t="n"/>
      <c r="F982" s="141" t="n"/>
      <c r="G982" s="143" t="n"/>
      <c r="H982" s="27" t="n"/>
    </row>
    <row r="983" ht="17.25" customHeight="1" s="322">
      <c r="A983" s="27" t="n"/>
      <c r="B983" s="506" t="n"/>
      <c r="C983" s="141" t="n"/>
      <c r="D983" s="141" t="n"/>
      <c r="E983" s="141" t="n"/>
      <c r="F983" s="141" t="n"/>
      <c r="G983" s="143" t="n"/>
      <c r="H983" s="27" t="n"/>
    </row>
    <row r="984" ht="17.25" customHeight="1" s="322">
      <c r="A984" s="27" t="n"/>
      <c r="B984" s="506" t="n"/>
      <c r="C984" s="141" t="n"/>
      <c r="D984" s="141" t="n"/>
      <c r="E984" s="141" t="n"/>
      <c r="F984" s="141" t="n"/>
      <c r="G984" s="143" t="n"/>
      <c r="H984" s="27" t="n"/>
    </row>
    <row r="985" ht="17.25" customHeight="1" s="322">
      <c r="A985" s="27" t="n"/>
      <c r="B985" s="506" t="n"/>
      <c r="C985" s="141" t="n"/>
      <c r="D985" s="141" t="n"/>
      <c r="E985" s="141" t="n"/>
      <c r="F985" s="141" t="n"/>
      <c r="G985" s="143" t="n"/>
      <c r="H985" s="27" t="n"/>
    </row>
    <row r="986" ht="17.25" customHeight="1" s="322">
      <c r="A986" s="27" t="n"/>
      <c r="B986" s="506" t="n"/>
      <c r="C986" s="141" t="n"/>
      <c r="D986" s="141" t="n"/>
      <c r="E986" s="141" t="n"/>
      <c r="F986" s="141" t="n"/>
      <c r="G986" s="143" t="n"/>
      <c r="H986" s="27" t="n"/>
    </row>
    <row r="987" ht="17.25" customHeight="1" s="322">
      <c r="A987" s="27" t="n"/>
      <c r="B987" s="506" t="n"/>
      <c r="C987" s="141" t="n"/>
      <c r="D987" s="141" t="n"/>
      <c r="E987" s="141" t="n"/>
      <c r="F987" s="141" t="n"/>
      <c r="G987" s="143" t="n"/>
      <c r="H987" s="27" t="n"/>
    </row>
    <row r="988" ht="17.25" customHeight="1" s="322">
      <c r="A988" s="27" t="n"/>
      <c r="B988" s="506" t="n"/>
      <c r="C988" s="141" t="n"/>
      <c r="D988" s="141" t="n"/>
      <c r="E988" s="141" t="n"/>
      <c r="F988" s="141" t="n"/>
      <c r="G988" s="143" t="n"/>
      <c r="H988" s="27" t="n"/>
    </row>
    <row r="989" ht="17.25" customHeight="1" s="322">
      <c r="A989" s="27" t="n"/>
      <c r="B989" s="506" t="n"/>
      <c r="C989" s="141" t="n"/>
      <c r="D989" s="141" t="n"/>
      <c r="E989" s="141" t="n"/>
      <c r="F989" s="141" t="n"/>
      <c r="G989" s="143" t="n"/>
      <c r="H989" s="27" t="n"/>
    </row>
    <row r="990" ht="17.25" customHeight="1" s="322">
      <c r="A990" s="27" t="n"/>
      <c r="B990" s="506" t="n"/>
      <c r="C990" s="141" t="n"/>
      <c r="D990" s="141" t="n"/>
      <c r="E990" s="141" t="n"/>
      <c r="F990" s="141" t="n"/>
      <c r="G990" s="143" t="n"/>
      <c r="H990" s="27" t="n"/>
    </row>
    <row r="991" ht="17.25" customHeight="1" s="322">
      <c r="A991" s="27" t="n"/>
      <c r="B991" s="506" t="n"/>
      <c r="C991" s="141" t="n"/>
      <c r="D991" s="141" t="n"/>
      <c r="E991" s="141" t="n"/>
      <c r="F991" s="141" t="n"/>
      <c r="G991" s="143" t="n"/>
      <c r="H991" s="27" t="n"/>
    </row>
    <row r="992" ht="17.25" customHeight="1" s="322">
      <c r="A992" s="27" t="n"/>
      <c r="B992" s="506" t="n"/>
      <c r="C992" s="141" t="n"/>
      <c r="D992" s="141" t="n"/>
      <c r="E992" s="141" t="n"/>
      <c r="F992" s="141" t="n"/>
      <c r="G992" s="143" t="n"/>
      <c r="H992" s="27" t="n"/>
    </row>
    <row r="993" ht="17.25" customHeight="1" s="322">
      <c r="A993" s="27" t="n"/>
      <c r="B993" s="506" t="n"/>
      <c r="C993" s="141" t="n"/>
      <c r="D993" s="141" t="n"/>
      <c r="E993" s="141" t="n"/>
      <c r="F993" s="141" t="n"/>
      <c r="G993" s="143" t="n"/>
      <c r="H993" s="27" t="n"/>
    </row>
    <row r="994" ht="17.25" customHeight="1" s="322">
      <c r="A994" s="27" t="n"/>
      <c r="B994" s="506" t="n"/>
      <c r="C994" s="141" t="n"/>
      <c r="D994" s="141" t="n"/>
      <c r="E994" s="141" t="n"/>
      <c r="F994" s="141" t="n"/>
      <c r="G994" s="143" t="n"/>
      <c r="H994" s="27" t="n"/>
    </row>
    <row r="995" ht="17.25" customHeight="1" s="322">
      <c r="A995" s="27" t="n"/>
      <c r="B995" s="506" t="n"/>
      <c r="C995" s="141" t="n"/>
      <c r="D995" s="141" t="n"/>
      <c r="E995" s="141" t="n"/>
      <c r="F995" s="141" t="n"/>
      <c r="G995" s="143" t="n"/>
      <c r="H995" s="27" t="n"/>
    </row>
    <row r="996" ht="17.25" customHeight="1" s="322">
      <c r="A996" s="27" t="n"/>
      <c r="B996" s="506" t="n"/>
      <c r="C996" s="141" t="n"/>
      <c r="D996" s="141" t="n"/>
      <c r="E996" s="141" t="n"/>
      <c r="F996" s="141" t="n"/>
      <c r="G996" s="143" t="n"/>
      <c r="H996" s="27" t="n"/>
    </row>
    <row r="997" ht="17.25" customHeight="1" s="322">
      <c r="A997" s="27" t="n"/>
      <c r="B997" s="506" t="n"/>
      <c r="C997" s="141" t="n"/>
      <c r="D997" s="141" t="n"/>
      <c r="E997" s="141" t="n"/>
      <c r="F997" s="141" t="n"/>
      <c r="G997" s="143" t="n"/>
      <c r="H997" s="27" t="n"/>
    </row>
    <row r="998" ht="17.25" customHeight="1" s="322">
      <c r="A998" s="27" t="n"/>
      <c r="B998" s="506" t="n"/>
      <c r="C998" s="141" t="n"/>
      <c r="D998" s="141" t="n"/>
      <c r="E998" s="141" t="n"/>
      <c r="F998" s="141" t="n"/>
      <c r="G998" s="143" t="n"/>
      <c r="H998" s="27" t="n"/>
    </row>
    <row r="999" ht="17.25" customHeight="1" s="322">
      <c r="A999" s="27" t="n"/>
      <c r="B999" s="506" t="n"/>
      <c r="C999" s="141" t="n"/>
      <c r="D999" s="141" t="n"/>
      <c r="E999" s="141" t="n"/>
      <c r="F999" s="141" t="n"/>
      <c r="G999" s="143" t="n"/>
      <c r="H999" s="27" t="n"/>
    </row>
    <row r="1000" ht="17.25" customHeight="1" s="322">
      <c r="A1000" s="27" t="n"/>
      <c r="B1000" s="506" t="n"/>
      <c r="C1000" s="141" t="n"/>
      <c r="D1000" s="141" t="n"/>
      <c r="E1000" s="141" t="n"/>
      <c r="F1000" s="141" t="n"/>
      <c r="G1000" s="143" t="n"/>
      <c r="H1000" s="27" t="n"/>
    </row>
  </sheetData>
  <mergeCells count="3">
    <mergeCell ref="B1:F2"/>
    <mergeCell ref="B7:G7"/>
    <mergeCell ref="B10:C10"/>
  </mergeCells>
  <conditionalFormatting sqref="D10:E10">
    <cfRule type="cellIs" priority="5" operator="lessThan" dxfId="5">
      <formula>0</formula>
    </cfRule>
    <cfRule type="cellIs" priority="6" operator="greaterThan" dxfId="4">
      <formula>0</formula>
    </cfRule>
  </conditionalFormatting>
  <conditionalFormatting sqref="F28:F1000">
    <cfRule type="expression" priority="1" dxfId="3">
      <formula>AND(F28=MAX(F$28:F$1000),F28&gt;0)</formula>
    </cfRule>
    <cfRule type="expression" priority="2" dxfId="2">
      <formula>AND(F28=MIN(F$28:F$1000),F28&gt;0)</formula>
    </cfRule>
  </conditionalFormatting>
  <conditionalFormatting sqref="F29:F1000">
    <cfRule type="expression" priority="3" dxfId="1">
      <formula>F29&gt;F27</formula>
    </cfRule>
    <cfRule type="expression" priority="4" dxfId="0">
      <formula>F29&lt;F27</formula>
    </cfRule>
  </conditionalFormatting>
  <conditionalFormatting sqref="G15">
    <cfRule type="colorScale" priority="7">
      <colorScale>
        <cfvo type="min"/>
        <cfvo type="max"/>
        <color rgb="FF57BB8A"/>
        <color rgb="FFFFFFFF"/>
      </colorScale>
    </cfRule>
  </conditionalFormatting>
  <dataValidations count="1">
    <dataValidation sqref="G15" showDropDown="0" showInputMessage="1" showErrorMessage="1" allowBlank="1" prompt="Click and enter a value from the list of items" type="list">
      <formula1>"1 Month,3 Months,6 Months,12 Months,36 Months"</formula1>
    </dataValidation>
  </dataValidations>
  <hyperlinks>
    <hyperlink xmlns:r="http://schemas.openxmlformats.org/officeDocument/2006/relationships" ref="B1" r:id="rId1"/>
    <hyperlink xmlns:r="http://schemas.openxmlformats.org/officeDocument/2006/relationships" ref="G2" r:id="rId2"/>
  </hyperlinks>
  <pageMargins left="0.7" right="0.7" top="0.75" bottom="0.75" header="0.3" footer="0.3"/>
  <drawing xmlns:r="http://schemas.openxmlformats.org/officeDocument/2006/relationships" r:id="rId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H1000"/>
  <sheetViews>
    <sheetView showGridLines="0" workbookViewId="0">
      <selection activeCell="A1" sqref="A1"/>
    </sheetView>
  </sheetViews>
  <sheetFormatPr baseColWidth="8" defaultColWidth="12.5703125" defaultRowHeight="15.75" customHeight="1"/>
  <cols>
    <col width="5.42578125" customWidth="1" style="322" min="1" max="1"/>
    <col width="15.7109375" customWidth="1" style="322" min="2" max="2"/>
    <col width="5.42578125" customWidth="1" style="322" min="8" max="8"/>
  </cols>
  <sheetData>
    <row r="1" ht="22.5" customHeight="1" s="322">
      <c r="A1" s="69" t="n"/>
      <c r="B1" s="455" t="inlineStr">
        <is>
          <t>← 관심종목으로 돌아가기</t>
        </is>
      </c>
      <c r="G1" s="72" t="inlineStr">
        <is>
          <t>제공:</t>
        </is>
      </c>
      <c r="H1" s="69" t="n"/>
    </row>
    <row r="2" ht="22.5" customHeight="1" s="322">
      <c r="A2" s="69" t="n"/>
      <c r="G2" s="77" t="inlineStr">
        <is>
          <t>Google Finance</t>
        </is>
      </c>
      <c r="H2" s="69" t="n"/>
    </row>
    <row r="3" ht="11.25" customHeight="1" s="322">
      <c r="A3" s="1" t="n"/>
      <c r="B3" s="1" t="n"/>
      <c r="C3" s="1" t="n"/>
      <c r="D3" s="1" t="n"/>
      <c r="E3" s="1" t="n"/>
      <c r="F3" s="1" t="n"/>
      <c r="G3" s="1" t="n"/>
      <c r="H3" s="1" t="n"/>
    </row>
    <row r="4" ht="15.75" customHeight="1" s="322">
      <c r="A4" s="1" t="n"/>
      <c r="B4" s="80" t="inlineStr">
        <is>
          <t>vgk</t>
        </is>
      </c>
      <c r="C4" s="81" t="inlineStr">
        <is>
          <t>&lt;&lt; 종목코드 입력</t>
        </is>
      </c>
      <c r="D4" s="1" t="n"/>
      <c r="E4" s="1" t="n"/>
      <c r="F4" s="1" t="n"/>
      <c r="G4" s="1" t="n"/>
      <c r="H4" s="1" t="n"/>
    </row>
    <row r="5" ht="15.75" customHeight="1" s="322">
      <c r="A5" s="1" t="n"/>
      <c r="B5" s="82" t="n"/>
      <c r="C5" s="81" t="inlineStr">
        <is>
          <t>&lt;&lt; 필요한 경우 거래소 입력(예: NASDAQ, NYSE)</t>
        </is>
      </c>
      <c r="D5" s="85" t="n"/>
      <c r="E5" s="1" t="n"/>
      <c r="F5" s="1" t="n"/>
      <c r="G5" s="1" t="n"/>
      <c r="H5" s="1" t="n"/>
    </row>
    <row r="6" ht="11.25" customHeight="1" s="322">
      <c r="A6" s="27" t="n"/>
      <c r="B6" s="27" t="n"/>
      <c r="C6" s="27" t="n"/>
      <c r="D6" s="27" t="n"/>
      <c r="E6" s="27" t="n"/>
      <c r="F6" s="27" t="n"/>
      <c r="G6" s="27" t="n"/>
      <c r="H6" s="27" t="n"/>
    </row>
    <row r="7" ht="20.25" customHeight="1" s="322">
      <c r="A7" s="12" t="n"/>
      <c r="B7" s="501">
        <f>IFERROR(__xludf.DUMMYFUNCTION("GOOGLEFINANCE(B18,""name"")"),"Vanguard European Stock Index Fund ETF")</f>
        <v/>
      </c>
      <c r="H7" s="12" t="n"/>
    </row>
    <row r="8" ht="11.25" customHeight="1" s="322">
      <c r="A8" s="12" t="n"/>
      <c r="B8" s="12" t="n"/>
      <c r="C8" s="12" t="n"/>
      <c r="D8" s="12" t="n"/>
      <c r="E8" s="12" t="n"/>
      <c r="F8" s="12" t="n"/>
      <c r="G8" s="12" t="n"/>
      <c r="H8" s="12" t="n"/>
    </row>
    <row r="9" ht="12" customHeight="1" s="322">
      <c r="A9" s="1" t="n"/>
      <c r="B9" s="90" t="inlineStr">
        <is>
          <t>현재가</t>
        </is>
      </c>
      <c r="C9" s="1" t="n"/>
      <c r="D9" s="90" t="inlineStr">
        <is>
          <t>전일대비</t>
        </is>
      </c>
      <c r="E9" s="90" t="inlineStr">
        <is>
          <t>등락률(%)</t>
        </is>
      </c>
      <c r="F9" s="1" t="n"/>
      <c r="G9" s="1" t="n"/>
      <c r="H9" s="1" t="n"/>
    </row>
    <row r="10" ht="31.5" customHeight="1" s="322">
      <c r="A10" s="12" t="n"/>
      <c r="B10" s="502">
        <f>IFERROR(__xludf.DUMMYFUNCTION("GOOGLEFINANCE(B18,""price"")"),88.86)</f>
        <v/>
      </c>
      <c r="D10" s="503">
        <f>IFERROR(__xludf.DUMMYFUNCTION("IFERROR(GOOGLEFINANCE(B18,""change""),""-"")"),-0.37)</f>
        <v/>
      </c>
      <c r="E10" s="504">
        <f>IFERROR(__xludf.DUMMYFUNCTION("IFERROR(GOOGLEFINANCE(B18,""changepct"")/100,""-"")"),-0.00409999999999999)</f>
        <v/>
      </c>
      <c r="F10" s="12" t="n"/>
      <c r="G10" s="12" t="n"/>
      <c r="H10" s="12" t="n"/>
    </row>
    <row r="11" ht="11.25" customHeight="1" s="322">
      <c r="A11" s="12" t="n"/>
      <c r="B11" s="106" t="n"/>
      <c r="C11" s="106" t="n"/>
      <c r="D11" s="106" t="n"/>
      <c r="E11" s="106" t="n"/>
      <c r="F11" s="106" t="n"/>
      <c r="G11" s="106" t="n"/>
      <c r="H11" s="12" t="n"/>
    </row>
    <row r="12" ht="11.25" customHeight="1" s="322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 ht="12" customHeight="1" s="322">
      <c r="A13" s="1" t="n"/>
      <c r="B13" s="90" t="inlineStr">
        <is>
          <t>시가총액</t>
        </is>
      </c>
      <c r="C13" s="90" t="inlineStr">
        <is>
          <t>PER</t>
        </is>
      </c>
      <c r="D13" s="90" t="inlineStr">
        <is>
          <t>베타계수</t>
        </is>
      </c>
      <c r="E13" s="1" t="n"/>
      <c r="F13" s="1" t="n"/>
      <c r="G13" s="1" t="n"/>
      <c r="H13" s="1" t="n"/>
    </row>
    <row r="14">
      <c r="A14" s="113" t="n"/>
      <c r="B14" s="505">
        <f>IFERROR(__xludf.DUMMYFUNCTION("IFERROR(GOOGLEFINANCE(B18,""marketcap""),""-"")"),21982773426)</f>
        <v/>
      </c>
      <c r="C14" s="115">
        <f>IFERROR(__xludf.DUMMYFUNCTION("IFERROR(GOOGLEFINANCE(B18,""pe""),""-"")"),"-")</f>
        <v/>
      </c>
      <c r="D14" s="115">
        <f>IFERROR(__xludf.DUMMYFUNCTION("IFERROR(GOOGLEFINANCE(B18,""beta""),""-"")"),"-")</f>
        <v/>
      </c>
      <c r="E14" s="113" t="n"/>
      <c r="F14" s="113" t="n"/>
      <c r="G14" s="113" t="n"/>
      <c r="H14" s="113" t="n"/>
    </row>
    <row r="15" ht="15.75" customHeight="1" s="322">
      <c r="A15" s="12" t="n"/>
      <c r="B15" s="12" t="n"/>
      <c r="C15" s="12" t="n"/>
      <c r="D15" s="12" t="n"/>
      <c r="E15" s="12" t="n"/>
      <c r="F15" s="12" t="n"/>
      <c r="G15" s="123" t="inlineStr">
        <is>
          <t>12 Months</t>
        </is>
      </c>
      <c r="H15" s="12" t="n"/>
    </row>
    <row r="16" ht="15.75" customHeight="1" s="322">
      <c r="A16" s="12" t="n"/>
      <c r="B16" s="12" t="n"/>
      <c r="C16" s="12" t="n"/>
      <c r="D16" s="12" t="n"/>
      <c r="E16" s="12" t="n"/>
      <c r="F16" s="12" t="n"/>
      <c r="G16" s="12" t="n"/>
      <c r="H16" s="12" t="n"/>
    </row>
    <row r="17" ht="15.75" customHeight="1" s="322">
      <c r="A17" s="12" t="n"/>
      <c r="B17" s="12" t="n"/>
      <c r="C17" s="12" t="n"/>
      <c r="D17" s="12" t="n"/>
      <c r="E17" s="12" t="n"/>
      <c r="F17" s="12" t="n"/>
      <c r="G17" s="12" t="n"/>
      <c r="H17" s="12" t="n"/>
    </row>
    <row r="18" ht="15.75" customHeight="1" s="322">
      <c r="A18" s="12" t="n"/>
      <c r="B18" s="127">
        <f>IF(ISBLANK(B5),"",B5&amp;":")&amp;B4</f>
        <v/>
      </c>
      <c r="C18" s="12" t="n"/>
      <c r="D18" s="12" t="n"/>
      <c r="E18" s="12" t="n"/>
      <c r="F18" s="12" t="n"/>
      <c r="G18" s="12" t="n"/>
      <c r="H18" s="12" t="n"/>
    </row>
    <row r="19" ht="15.75" customHeight="1" s="322">
      <c r="A19" s="12" t="n"/>
      <c r="B19" s="12" t="n"/>
      <c r="C19" s="12" t="n"/>
      <c r="D19" s="12" t="n"/>
      <c r="E19" s="12" t="n"/>
      <c r="F19" s="12" t="n"/>
      <c r="G19" s="12" t="n"/>
      <c r="H19" s="12" t="n"/>
    </row>
    <row r="20" ht="15.75" customHeight="1" s="322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1" ht="15.75" customHeight="1" s="322">
      <c r="A21" s="12" t="n"/>
      <c r="B21" s="12" t="n"/>
      <c r="C21" s="12" t="n"/>
      <c r="D21" s="12" t="n"/>
      <c r="E21" s="12" t="n"/>
      <c r="F21" s="12" t="n"/>
      <c r="G21" s="12" t="n"/>
      <c r="H21" s="12" t="n"/>
    </row>
    <row r="22" ht="15.75" customHeight="1" s="322">
      <c r="A22" s="12" t="n"/>
      <c r="B22" s="12" t="n"/>
      <c r="C22" s="12" t="n"/>
      <c r="D22" s="12" t="n"/>
      <c r="E22" s="12" t="n"/>
      <c r="F22" s="12" t="n"/>
      <c r="G22" s="12" t="n"/>
      <c r="H22" s="12" t="n"/>
    </row>
    <row r="23" ht="15.75" customHeight="1" s="322">
      <c r="A23" s="12" t="n"/>
      <c r="B23" s="12" t="n"/>
      <c r="C23" s="12" t="n"/>
      <c r="D23" s="12" t="n"/>
      <c r="E23" s="12" t="n"/>
      <c r="F23" s="12" t="n"/>
      <c r="G23" s="12" t="n"/>
      <c r="H23" s="12" t="n"/>
    </row>
    <row r="24" ht="15.75" customHeight="1" s="322">
      <c r="A24" s="12" t="n"/>
      <c r="B24" s="12" t="n"/>
      <c r="C24" s="12" t="n"/>
      <c r="D24" s="12" t="n"/>
      <c r="E24" s="12" t="n"/>
      <c r="F24" s="12" t="n"/>
      <c r="G24" s="12" t="n"/>
      <c r="H24" s="12" t="n"/>
    </row>
    <row r="25" ht="15.75" customHeight="1" s="322">
      <c r="A25" s="12" t="n"/>
      <c r="B25" s="12" t="n"/>
      <c r="C25" s="12" t="n"/>
      <c r="D25" s="12" t="n"/>
      <c r="E25" s="12" t="n"/>
      <c r="F25" s="12" t="n"/>
      <c r="G25" s="12" t="n"/>
      <c r="H25" s="12" t="n"/>
    </row>
    <row r="26" ht="15.75" customHeight="1" s="322">
      <c r="A26" s="12" t="n"/>
      <c r="B26" s="12" t="n"/>
      <c r="C26" s="12" t="n"/>
      <c r="D26" s="12" t="n"/>
      <c r="E26" s="12" t="n"/>
      <c r="F26" s="12" t="n"/>
      <c r="G26" s="12" t="n"/>
      <c r="H26" s="12" t="n"/>
    </row>
    <row r="27" ht="15.75" customHeight="1" s="322">
      <c r="A27" s="133" t="n"/>
      <c r="B27" s="136">
        <f>IFERROR(__xludf.DUMMYFUNCTION("GOOGLEFINANCE(B18, ""all"", EDATE(TODAY(), -LEFT(G15, FIND("" "", G15))), TODAY(), ""DAILY"")"),"Date")</f>
        <v/>
      </c>
      <c r="C27" s="137">
        <f>IFERROR(__xludf.DUMMYFUNCTION("""COMPUTED_VALUE"""),"Open")</f>
        <v/>
      </c>
      <c r="D27" s="137">
        <f>IFERROR(__xludf.DUMMYFUNCTION("""COMPUTED_VALUE"""),"High")</f>
        <v/>
      </c>
      <c r="E27" s="137">
        <f>IFERROR(__xludf.DUMMYFUNCTION("""COMPUTED_VALUE"""),"Low")</f>
        <v/>
      </c>
      <c r="F27" s="137">
        <f>IFERROR(__xludf.DUMMYFUNCTION("""COMPUTED_VALUE"""),"Close")</f>
        <v/>
      </c>
      <c r="G27" s="137">
        <f>IFERROR(__xludf.DUMMYFUNCTION("""COMPUTED_VALUE"""),"Volume")</f>
        <v/>
      </c>
      <c r="H27" s="133" t="n"/>
    </row>
    <row r="28" ht="17.25" customHeight="1" s="322">
      <c r="A28" s="27" t="n"/>
      <c r="B28" s="506">
        <f>IFERROR(__xludf.DUMMYFUNCTION("""COMPUTED_VALUE"""),45868.6666666666)</f>
        <v/>
      </c>
      <c r="C28" s="141">
        <f>IFERROR(__xludf.DUMMYFUNCTION("""COMPUTED_VALUE"""),76.87)</f>
        <v/>
      </c>
      <c r="D28" s="141">
        <f>IFERROR(__xludf.DUMMYFUNCTION("""COMPUTED_VALUE"""),77.1)</f>
        <v/>
      </c>
      <c r="E28" s="141">
        <f>IFERROR(__xludf.DUMMYFUNCTION("""COMPUTED_VALUE"""),76.24)</f>
        <v/>
      </c>
      <c r="F28" s="141">
        <f>IFERROR(__xludf.DUMMYFUNCTION("""COMPUTED_VALUE"""),76.5)</f>
        <v/>
      </c>
      <c r="G28" s="143">
        <f>IFERROR(__xludf.DUMMYFUNCTION("""COMPUTED_VALUE"""),2850096)</f>
        <v/>
      </c>
      <c r="H28" s="27" t="n"/>
    </row>
    <row r="29" ht="17.25" customHeight="1" s="322">
      <c r="A29" s="27" t="n"/>
      <c r="B29" s="506">
        <f>IFERROR(__xludf.DUMMYFUNCTION("""COMPUTED_VALUE"""),45869.6666666666)</f>
        <v/>
      </c>
      <c r="C29" s="141">
        <f>IFERROR(__xludf.DUMMYFUNCTION("""COMPUTED_VALUE"""),76.02)</f>
        <v/>
      </c>
      <c r="D29" s="141">
        <f>IFERROR(__xludf.DUMMYFUNCTION("""COMPUTED_VALUE"""),76.19)</f>
        <v/>
      </c>
      <c r="E29" s="141">
        <f>IFERROR(__xludf.DUMMYFUNCTION("""COMPUTED_VALUE"""),75.54)</f>
        <v/>
      </c>
      <c r="F29" s="141">
        <f>IFERROR(__xludf.DUMMYFUNCTION("""COMPUTED_VALUE"""),75.65)</f>
        <v/>
      </c>
      <c r="G29" s="143">
        <f>IFERROR(__xludf.DUMMYFUNCTION("""COMPUTED_VALUE"""),4731570)</f>
        <v/>
      </c>
      <c r="H29" s="27" t="n"/>
    </row>
    <row r="30" ht="17.25" customHeight="1" s="322">
      <c r="A30" s="27" t="n"/>
      <c r="B30" s="506">
        <f>IFERROR(__xludf.DUMMYFUNCTION("""COMPUTED_VALUE"""),45870.6666666666)</f>
        <v/>
      </c>
      <c r="C30" s="141">
        <f>IFERROR(__xludf.DUMMYFUNCTION("""COMPUTED_VALUE"""),75.26)</f>
        <v/>
      </c>
      <c r="D30" s="141">
        <f>IFERROR(__xludf.DUMMYFUNCTION("""COMPUTED_VALUE"""),75.39)</f>
        <v/>
      </c>
      <c r="E30" s="141">
        <f>IFERROR(__xludf.DUMMYFUNCTION("""COMPUTED_VALUE"""),74.79)</f>
        <v/>
      </c>
      <c r="F30" s="141">
        <f>IFERROR(__xludf.DUMMYFUNCTION("""COMPUTED_VALUE"""),75.26)</f>
        <v/>
      </c>
      <c r="G30" s="143">
        <f>IFERROR(__xludf.DUMMYFUNCTION("""COMPUTED_VALUE"""),3838349)</f>
        <v/>
      </c>
      <c r="H30" s="27" t="n"/>
    </row>
    <row r="31" ht="17.25" customHeight="1" s="322">
      <c r="A31" s="27" t="n"/>
      <c r="B31" s="506">
        <f>IFERROR(__xludf.DUMMYFUNCTION("""COMPUTED_VALUE"""),45873.6666666666)</f>
        <v/>
      </c>
      <c r="C31" s="141">
        <f>IFERROR(__xludf.DUMMYFUNCTION("""COMPUTED_VALUE"""),76)</f>
        <v/>
      </c>
      <c r="D31" s="141">
        <f>IFERROR(__xludf.DUMMYFUNCTION("""COMPUTED_VALUE"""),76.14)</f>
        <v/>
      </c>
      <c r="E31" s="141">
        <f>IFERROR(__xludf.DUMMYFUNCTION("""COMPUTED_VALUE"""),75.86)</f>
        <v/>
      </c>
      <c r="F31" s="141">
        <f>IFERROR(__xludf.DUMMYFUNCTION("""COMPUTED_VALUE"""),76.13)</f>
        <v/>
      </c>
      <c r="G31" s="143">
        <f>IFERROR(__xludf.DUMMYFUNCTION("""COMPUTED_VALUE"""),2015770)</f>
        <v/>
      </c>
      <c r="H31" s="27" t="n"/>
    </row>
    <row r="32" ht="17.25" customHeight="1" s="322">
      <c r="A32" s="27" t="n"/>
      <c r="B32" s="506">
        <f>IFERROR(__xludf.DUMMYFUNCTION("""COMPUTED_VALUE"""),45874.6666666666)</f>
        <v/>
      </c>
      <c r="C32" s="141">
        <f>IFERROR(__xludf.DUMMYFUNCTION("""COMPUTED_VALUE"""),76.28)</f>
        <v/>
      </c>
      <c r="D32" s="141">
        <f>IFERROR(__xludf.DUMMYFUNCTION("""COMPUTED_VALUE"""),76.41)</f>
        <v/>
      </c>
      <c r="E32" s="141">
        <f>IFERROR(__xludf.DUMMYFUNCTION("""COMPUTED_VALUE"""),75.99)</f>
        <v/>
      </c>
      <c r="F32" s="141">
        <f>IFERROR(__xludf.DUMMYFUNCTION("""COMPUTED_VALUE"""),76.21)</f>
        <v/>
      </c>
      <c r="G32" s="143">
        <f>IFERROR(__xludf.DUMMYFUNCTION("""COMPUTED_VALUE"""),2010295)</f>
        <v/>
      </c>
      <c r="H32" s="27" t="n"/>
    </row>
    <row r="33" ht="17.25" customHeight="1" s="322">
      <c r="A33" s="27" t="n"/>
      <c r="B33" s="506">
        <f>IFERROR(__xludf.DUMMYFUNCTION("""COMPUTED_VALUE"""),45875.6666666666)</f>
        <v/>
      </c>
      <c r="C33" s="141">
        <f>IFERROR(__xludf.DUMMYFUNCTION("""COMPUTED_VALUE"""),76.41)</f>
        <v/>
      </c>
      <c r="D33" s="141">
        <f>IFERROR(__xludf.DUMMYFUNCTION("""COMPUTED_VALUE"""),76.69)</f>
        <v/>
      </c>
      <c r="E33" s="141">
        <f>IFERROR(__xludf.DUMMYFUNCTION("""COMPUTED_VALUE"""),76.36)</f>
        <v/>
      </c>
      <c r="F33" s="141">
        <f>IFERROR(__xludf.DUMMYFUNCTION("""COMPUTED_VALUE"""),76.57)</f>
        <v/>
      </c>
      <c r="G33" s="143">
        <f>IFERROR(__xludf.DUMMYFUNCTION("""COMPUTED_VALUE"""),2938594)</f>
        <v/>
      </c>
      <c r="H33" s="27" t="n"/>
    </row>
    <row r="34" ht="17.25" customHeight="1" s="322">
      <c r="A34" s="27" t="n"/>
      <c r="B34" s="506">
        <f>IFERROR(__xludf.DUMMYFUNCTION("""COMPUTED_VALUE"""),45876.6666666666)</f>
        <v/>
      </c>
      <c r="C34" s="141">
        <f>IFERROR(__xludf.DUMMYFUNCTION("""COMPUTED_VALUE"""),77.44)</f>
        <v/>
      </c>
      <c r="D34" s="141">
        <f>IFERROR(__xludf.DUMMYFUNCTION("""COMPUTED_VALUE"""),77.55)</f>
        <v/>
      </c>
      <c r="E34" s="141">
        <f>IFERROR(__xludf.DUMMYFUNCTION("""COMPUTED_VALUE"""),77.05)</f>
        <v/>
      </c>
      <c r="F34" s="141">
        <f>IFERROR(__xludf.DUMMYFUNCTION("""COMPUTED_VALUE"""),77.38)</f>
        <v/>
      </c>
      <c r="G34" s="143">
        <f>IFERROR(__xludf.DUMMYFUNCTION("""COMPUTED_VALUE"""),3285712)</f>
        <v/>
      </c>
      <c r="H34" s="27" t="n"/>
    </row>
    <row r="35" ht="17.25" customHeight="1" s="322">
      <c r="A35" s="27" t="n"/>
      <c r="B35" s="506">
        <f>IFERROR(__xludf.DUMMYFUNCTION("""COMPUTED_VALUE"""),45877.6666666666)</f>
        <v/>
      </c>
      <c r="C35" s="141">
        <f>IFERROR(__xludf.DUMMYFUNCTION("""COMPUTED_VALUE"""),77.43)</f>
        <v/>
      </c>
      <c r="D35" s="141">
        <f>IFERROR(__xludf.DUMMYFUNCTION("""COMPUTED_VALUE"""),77.78)</f>
        <v/>
      </c>
      <c r="E35" s="141">
        <f>IFERROR(__xludf.DUMMYFUNCTION("""COMPUTED_VALUE"""),77.38)</f>
        <v/>
      </c>
      <c r="F35" s="141">
        <f>IFERROR(__xludf.DUMMYFUNCTION("""COMPUTED_VALUE"""),77.63)</f>
        <v/>
      </c>
      <c r="G35" s="143">
        <f>IFERROR(__xludf.DUMMYFUNCTION("""COMPUTED_VALUE"""),1729362)</f>
        <v/>
      </c>
      <c r="H35" s="27" t="n"/>
    </row>
    <row r="36" ht="17.25" customHeight="1" s="322">
      <c r="A36" s="27" t="n"/>
      <c r="B36" s="506">
        <f>IFERROR(__xludf.DUMMYFUNCTION("""COMPUTED_VALUE"""),45880.6666666666)</f>
        <v/>
      </c>
      <c r="C36" s="141">
        <f>IFERROR(__xludf.DUMMYFUNCTION("""COMPUTED_VALUE"""),77.28)</f>
        <v/>
      </c>
      <c r="D36" s="141">
        <f>IFERROR(__xludf.DUMMYFUNCTION("""COMPUTED_VALUE"""),77.33)</f>
        <v/>
      </c>
      <c r="E36" s="141">
        <f>IFERROR(__xludf.DUMMYFUNCTION("""COMPUTED_VALUE"""),77)</f>
        <v/>
      </c>
      <c r="F36" s="141">
        <f>IFERROR(__xludf.DUMMYFUNCTION("""COMPUTED_VALUE"""),77.23)</f>
        <v/>
      </c>
      <c r="G36" s="143">
        <f>IFERROR(__xludf.DUMMYFUNCTION("""COMPUTED_VALUE"""),3175481)</f>
        <v/>
      </c>
      <c r="H36" s="27" t="n"/>
    </row>
    <row r="37" ht="17.25" customHeight="1" s="322">
      <c r="A37" s="27" t="n"/>
      <c r="B37" s="506">
        <f>IFERROR(__xludf.DUMMYFUNCTION("""COMPUTED_VALUE"""),45881.6666666666)</f>
        <v/>
      </c>
      <c r="C37" s="141">
        <f>IFERROR(__xludf.DUMMYFUNCTION("""COMPUTED_VALUE"""),77.36)</f>
        <v/>
      </c>
      <c r="D37" s="141">
        <f>IFERROR(__xludf.DUMMYFUNCTION("""COMPUTED_VALUE"""),78.02)</f>
        <v/>
      </c>
      <c r="E37" s="141">
        <f>IFERROR(__xludf.DUMMYFUNCTION("""COMPUTED_VALUE"""),77.28)</f>
        <v/>
      </c>
      <c r="F37" s="141">
        <f>IFERROR(__xludf.DUMMYFUNCTION("""COMPUTED_VALUE"""),78.02)</f>
        <v/>
      </c>
      <c r="G37" s="143">
        <f>IFERROR(__xludf.DUMMYFUNCTION("""COMPUTED_VALUE"""),1924938)</f>
        <v/>
      </c>
      <c r="H37" s="27" t="n"/>
    </row>
    <row r="38" ht="17.25" customHeight="1" s="322">
      <c r="A38" s="27" t="n"/>
      <c r="B38" s="506">
        <f>IFERROR(__xludf.DUMMYFUNCTION("""COMPUTED_VALUE"""),45882.6666666666)</f>
        <v/>
      </c>
      <c r="C38" s="141">
        <f>IFERROR(__xludf.DUMMYFUNCTION("""COMPUTED_VALUE"""),78.32)</f>
        <v/>
      </c>
      <c r="D38" s="141">
        <f>IFERROR(__xludf.DUMMYFUNCTION("""COMPUTED_VALUE"""),78.59)</f>
        <v/>
      </c>
      <c r="E38" s="141">
        <f>IFERROR(__xludf.DUMMYFUNCTION("""COMPUTED_VALUE"""),78.26)</f>
        <v/>
      </c>
      <c r="F38" s="141">
        <f>IFERROR(__xludf.DUMMYFUNCTION("""COMPUTED_VALUE"""),78.59)</f>
        <v/>
      </c>
      <c r="G38" s="143">
        <f>IFERROR(__xludf.DUMMYFUNCTION("""COMPUTED_VALUE"""),2751318)</f>
        <v/>
      </c>
      <c r="H38" s="27" t="n"/>
    </row>
    <row r="39" ht="17.25" customHeight="1" s="322">
      <c r="A39" s="27" t="n"/>
      <c r="B39" s="506">
        <f>IFERROR(__xludf.DUMMYFUNCTION("""COMPUTED_VALUE"""),45883.6666666666)</f>
        <v/>
      </c>
      <c r="C39" s="141">
        <f>IFERROR(__xludf.DUMMYFUNCTION("""COMPUTED_VALUE"""),78.27)</f>
        <v/>
      </c>
      <c r="D39" s="141">
        <f>IFERROR(__xludf.DUMMYFUNCTION("""COMPUTED_VALUE"""),78.79)</f>
        <v/>
      </c>
      <c r="E39" s="141">
        <f>IFERROR(__xludf.DUMMYFUNCTION("""COMPUTED_VALUE"""),78.25)</f>
        <v/>
      </c>
      <c r="F39" s="141">
        <f>IFERROR(__xludf.DUMMYFUNCTION("""COMPUTED_VALUE"""),78.74)</f>
        <v/>
      </c>
      <c r="G39" s="143">
        <f>IFERROR(__xludf.DUMMYFUNCTION("""COMPUTED_VALUE"""),1590168)</f>
        <v/>
      </c>
      <c r="H39" s="27" t="n"/>
    </row>
    <row r="40" ht="17.25" customHeight="1" s="322">
      <c r="A40" s="27" t="n"/>
      <c r="B40" s="506">
        <f>IFERROR(__xludf.DUMMYFUNCTION("""COMPUTED_VALUE"""),45884.6666666666)</f>
        <v/>
      </c>
      <c r="C40" s="141">
        <f>IFERROR(__xludf.DUMMYFUNCTION("""COMPUTED_VALUE"""),79)</f>
        <v/>
      </c>
      <c r="D40" s="141">
        <f>IFERROR(__xludf.DUMMYFUNCTION("""COMPUTED_VALUE"""),79)</f>
        <v/>
      </c>
      <c r="E40" s="141">
        <f>IFERROR(__xludf.DUMMYFUNCTION("""COMPUTED_VALUE"""),78.79)</f>
        <v/>
      </c>
      <c r="F40" s="141">
        <f>IFERROR(__xludf.DUMMYFUNCTION("""COMPUTED_VALUE"""),78.95)</f>
        <v/>
      </c>
      <c r="G40" s="143">
        <f>IFERROR(__xludf.DUMMYFUNCTION("""COMPUTED_VALUE"""),1471802)</f>
        <v/>
      </c>
      <c r="H40" s="27" t="n"/>
    </row>
    <row r="41" ht="17.25" customHeight="1" s="322">
      <c r="A41" s="27" t="n"/>
      <c r="B41" s="506">
        <f>IFERROR(__xludf.DUMMYFUNCTION("""COMPUTED_VALUE"""),45887.6666666666)</f>
        <v/>
      </c>
      <c r="C41" s="141">
        <f>IFERROR(__xludf.DUMMYFUNCTION("""COMPUTED_VALUE"""),78.59)</f>
        <v/>
      </c>
      <c r="D41" s="141">
        <f>IFERROR(__xludf.DUMMYFUNCTION("""COMPUTED_VALUE"""),78.83)</f>
        <v/>
      </c>
      <c r="E41" s="141">
        <f>IFERROR(__xludf.DUMMYFUNCTION("""COMPUTED_VALUE"""),78.44)</f>
        <v/>
      </c>
      <c r="F41" s="141">
        <f>IFERROR(__xludf.DUMMYFUNCTION("""COMPUTED_VALUE"""),78.8)</f>
        <v/>
      </c>
      <c r="G41" s="143">
        <f>IFERROR(__xludf.DUMMYFUNCTION("""COMPUTED_VALUE"""),2846731)</f>
        <v/>
      </c>
      <c r="H41" s="27" t="n"/>
    </row>
    <row r="42" ht="17.25" customHeight="1" s="322">
      <c r="A42" s="27" t="n"/>
      <c r="B42" s="506">
        <f>IFERROR(__xludf.DUMMYFUNCTION("""COMPUTED_VALUE"""),45888.6666666666)</f>
        <v/>
      </c>
      <c r="C42" s="141">
        <f>IFERROR(__xludf.DUMMYFUNCTION("""COMPUTED_VALUE"""),79.19)</f>
        <v/>
      </c>
      <c r="D42" s="141">
        <f>IFERROR(__xludf.DUMMYFUNCTION("""COMPUTED_VALUE"""),79.3)</f>
        <v/>
      </c>
      <c r="E42" s="141">
        <f>IFERROR(__xludf.DUMMYFUNCTION("""COMPUTED_VALUE"""),78.85)</f>
        <v/>
      </c>
      <c r="F42" s="141">
        <f>IFERROR(__xludf.DUMMYFUNCTION("""COMPUTED_VALUE"""),78.97)</f>
        <v/>
      </c>
      <c r="G42" s="143">
        <f>IFERROR(__xludf.DUMMYFUNCTION("""COMPUTED_VALUE"""),1337554)</f>
        <v/>
      </c>
      <c r="H42" s="27" t="n"/>
    </row>
    <row r="43" ht="17.25" customHeight="1" s="322">
      <c r="A43" s="27" t="n"/>
      <c r="B43" s="506">
        <f>IFERROR(__xludf.DUMMYFUNCTION("""COMPUTED_VALUE"""),45889.6666666666)</f>
        <v/>
      </c>
      <c r="C43" s="141">
        <f>IFERROR(__xludf.DUMMYFUNCTION("""COMPUTED_VALUE"""),79.3)</f>
        <v/>
      </c>
      <c r="D43" s="141">
        <f>IFERROR(__xludf.DUMMYFUNCTION("""COMPUTED_VALUE"""),79.47)</f>
        <v/>
      </c>
      <c r="E43" s="141">
        <f>IFERROR(__xludf.DUMMYFUNCTION("""COMPUTED_VALUE"""),79.18)</f>
        <v/>
      </c>
      <c r="F43" s="141">
        <f>IFERROR(__xludf.DUMMYFUNCTION("""COMPUTED_VALUE"""),79.4)</f>
        <v/>
      </c>
      <c r="G43" s="143">
        <f>IFERROR(__xludf.DUMMYFUNCTION("""COMPUTED_VALUE"""),2094554)</f>
        <v/>
      </c>
      <c r="H43" s="27" t="n"/>
    </row>
    <row r="44" ht="17.25" customHeight="1" s="322">
      <c r="A44" s="27" t="n"/>
      <c r="B44" s="506">
        <f>IFERROR(__xludf.DUMMYFUNCTION("""COMPUTED_VALUE"""),45890.6666666666)</f>
        <v/>
      </c>
      <c r="C44" s="141">
        <f>IFERROR(__xludf.DUMMYFUNCTION("""COMPUTED_VALUE"""),79.02)</f>
        <v/>
      </c>
      <c r="D44" s="141">
        <f>IFERROR(__xludf.DUMMYFUNCTION("""COMPUTED_VALUE"""),79.12)</f>
        <v/>
      </c>
      <c r="E44" s="141">
        <f>IFERROR(__xludf.DUMMYFUNCTION("""COMPUTED_VALUE"""),78.79)</f>
        <v/>
      </c>
      <c r="F44" s="141">
        <f>IFERROR(__xludf.DUMMYFUNCTION("""COMPUTED_VALUE"""),78.92)</f>
        <v/>
      </c>
      <c r="G44" s="143">
        <f>IFERROR(__xludf.DUMMYFUNCTION("""COMPUTED_VALUE"""),2360268)</f>
        <v/>
      </c>
      <c r="H44" s="27" t="n"/>
    </row>
    <row r="45" ht="17.25" customHeight="1" s="322">
      <c r="A45" s="27" t="n"/>
      <c r="B45" s="506">
        <f>IFERROR(__xludf.DUMMYFUNCTION("""COMPUTED_VALUE"""),45891.6666666666)</f>
        <v/>
      </c>
      <c r="C45" s="141">
        <f>IFERROR(__xludf.DUMMYFUNCTION("""COMPUTED_VALUE"""),79.3)</f>
        <v/>
      </c>
      <c r="D45" s="141">
        <f>IFERROR(__xludf.DUMMYFUNCTION("""COMPUTED_VALUE"""),80.27)</f>
        <v/>
      </c>
      <c r="E45" s="141">
        <f>IFERROR(__xludf.DUMMYFUNCTION("""COMPUTED_VALUE"""),79.28)</f>
        <v/>
      </c>
      <c r="F45" s="141">
        <f>IFERROR(__xludf.DUMMYFUNCTION("""COMPUTED_VALUE"""),80.19)</f>
        <v/>
      </c>
      <c r="G45" s="143">
        <f>IFERROR(__xludf.DUMMYFUNCTION("""COMPUTED_VALUE"""),2108599)</f>
        <v/>
      </c>
      <c r="H45" s="27" t="n"/>
    </row>
    <row r="46" ht="17.25" customHeight="1" s="322">
      <c r="A46" s="27" t="n"/>
      <c r="B46" s="506">
        <f>IFERROR(__xludf.DUMMYFUNCTION("""COMPUTED_VALUE"""),45894.6666666666)</f>
        <v/>
      </c>
      <c r="C46" s="141">
        <f>IFERROR(__xludf.DUMMYFUNCTION("""COMPUTED_VALUE"""),79.88)</f>
        <v/>
      </c>
      <c r="D46" s="141">
        <f>IFERROR(__xludf.DUMMYFUNCTION("""COMPUTED_VALUE"""),80.02)</f>
        <v/>
      </c>
      <c r="E46" s="141">
        <f>IFERROR(__xludf.DUMMYFUNCTION("""COMPUTED_VALUE"""),79)</f>
        <v/>
      </c>
      <c r="F46" s="141">
        <f>IFERROR(__xludf.DUMMYFUNCTION("""COMPUTED_VALUE"""),79)</f>
        <v/>
      </c>
      <c r="G46" s="143">
        <f>IFERROR(__xludf.DUMMYFUNCTION("""COMPUTED_VALUE"""),1854294)</f>
        <v/>
      </c>
      <c r="H46" s="27" t="n"/>
    </row>
    <row r="47" ht="17.25" customHeight="1" s="322">
      <c r="A47" s="27" t="n"/>
      <c r="B47" s="506">
        <f>IFERROR(__xludf.DUMMYFUNCTION("""COMPUTED_VALUE"""),45895.6666666666)</f>
        <v/>
      </c>
      <c r="C47" s="141">
        <f>IFERROR(__xludf.DUMMYFUNCTION("""COMPUTED_VALUE"""),78.88)</f>
        <v/>
      </c>
      <c r="D47" s="141">
        <f>IFERROR(__xludf.DUMMYFUNCTION("""COMPUTED_VALUE"""),78.97)</f>
        <v/>
      </c>
      <c r="E47" s="141">
        <f>IFERROR(__xludf.DUMMYFUNCTION("""COMPUTED_VALUE"""),78.66)</f>
        <v/>
      </c>
      <c r="F47" s="141">
        <f>IFERROR(__xludf.DUMMYFUNCTION("""COMPUTED_VALUE"""),78.88)</f>
        <v/>
      </c>
      <c r="G47" s="143">
        <f>IFERROR(__xludf.DUMMYFUNCTION("""COMPUTED_VALUE"""),2006440)</f>
        <v/>
      </c>
      <c r="H47" s="27" t="n"/>
    </row>
    <row r="48" ht="17.25" customHeight="1" s="322">
      <c r="A48" s="27" t="n"/>
      <c r="B48" s="506">
        <f>IFERROR(__xludf.DUMMYFUNCTION("""COMPUTED_VALUE"""),45896.6666666666)</f>
        <v/>
      </c>
      <c r="C48" s="141">
        <f>IFERROR(__xludf.DUMMYFUNCTION("""COMPUTED_VALUE"""),78.32)</f>
        <v/>
      </c>
      <c r="D48" s="141">
        <f>IFERROR(__xludf.DUMMYFUNCTION("""COMPUTED_VALUE"""),78.69)</f>
        <v/>
      </c>
      <c r="E48" s="141">
        <f>IFERROR(__xludf.DUMMYFUNCTION("""COMPUTED_VALUE"""),78.1)</f>
        <v/>
      </c>
      <c r="F48" s="141">
        <f>IFERROR(__xludf.DUMMYFUNCTION("""COMPUTED_VALUE"""),78.66)</f>
        <v/>
      </c>
      <c r="G48" s="143">
        <f>IFERROR(__xludf.DUMMYFUNCTION("""COMPUTED_VALUE"""),1980487)</f>
        <v/>
      </c>
      <c r="H48" s="27" t="n"/>
    </row>
    <row r="49" ht="17.25" customHeight="1" s="322">
      <c r="A49" s="27" t="n"/>
      <c r="B49" s="506">
        <f>IFERROR(__xludf.DUMMYFUNCTION("""COMPUTED_VALUE"""),45897.6666666666)</f>
        <v/>
      </c>
      <c r="C49" s="141">
        <f>IFERROR(__xludf.DUMMYFUNCTION("""COMPUTED_VALUE"""),78.8)</f>
        <v/>
      </c>
      <c r="D49" s="141">
        <f>IFERROR(__xludf.DUMMYFUNCTION("""COMPUTED_VALUE"""),78.95)</f>
        <v/>
      </c>
      <c r="E49" s="141">
        <f>IFERROR(__xludf.DUMMYFUNCTION("""COMPUTED_VALUE"""),78.63)</f>
        <v/>
      </c>
      <c r="F49" s="141">
        <f>IFERROR(__xludf.DUMMYFUNCTION("""COMPUTED_VALUE"""),78.85)</f>
        <v/>
      </c>
      <c r="G49" s="143">
        <f>IFERROR(__xludf.DUMMYFUNCTION("""COMPUTED_VALUE"""),2035316)</f>
        <v/>
      </c>
      <c r="H49" s="27" t="n"/>
    </row>
    <row r="50" ht="17.25" customHeight="1" s="322">
      <c r="A50" s="27" t="n"/>
      <c r="B50" s="506">
        <f>IFERROR(__xludf.DUMMYFUNCTION("""COMPUTED_VALUE"""),45898.6666666666)</f>
        <v/>
      </c>
      <c r="C50" s="141">
        <f>IFERROR(__xludf.DUMMYFUNCTION("""COMPUTED_VALUE"""),78.51)</f>
        <v/>
      </c>
      <c r="D50" s="141">
        <f>IFERROR(__xludf.DUMMYFUNCTION("""COMPUTED_VALUE"""),78.66)</f>
        <v/>
      </c>
      <c r="E50" s="141">
        <f>IFERROR(__xludf.DUMMYFUNCTION("""COMPUTED_VALUE"""),78.38)</f>
        <v/>
      </c>
      <c r="F50" s="141">
        <f>IFERROR(__xludf.DUMMYFUNCTION("""COMPUTED_VALUE"""),78.5)</f>
        <v/>
      </c>
      <c r="G50" s="143">
        <f>IFERROR(__xludf.DUMMYFUNCTION("""COMPUTED_VALUE"""),1974164)</f>
        <v/>
      </c>
      <c r="H50" s="27" t="n"/>
    </row>
    <row r="51" ht="17.25" customHeight="1" s="322">
      <c r="A51" s="27" t="n"/>
      <c r="B51" s="506">
        <f>IFERROR(__xludf.DUMMYFUNCTION("""COMPUTED_VALUE"""),45902.6666666666)</f>
        <v/>
      </c>
      <c r="C51" s="141">
        <f>IFERROR(__xludf.DUMMYFUNCTION("""COMPUTED_VALUE"""),77.12)</f>
        <v/>
      </c>
      <c r="D51" s="141">
        <f>IFERROR(__xludf.DUMMYFUNCTION("""COMPUTED_VALUE"""),77.65)</f>
        <v/>
      </c>
      <c r="E51" s="141">
        <f>IFERROR(__xludf.DUMMYFUNCTION("""COMPUTED_VALUE"""),77.01)</f>
        <v/>
      </c>
      <c r="F51" s="141">
        <f>IFERROR(__xludf.DUMMYFUNCTION("""COMPUTED_VALUE"""),77.41)</f>
        <v/>
      </c>
      <c r="G51" s="143">
        <f>IFERROR(__xludf.DUMMYFUNCTION("""COMPUTED_VALUE"""),3375624)</f>
        <v/>
      </c>
      <c r="H51" s="27" t="n"/>
    </row>
    <row r="52" ht="17.25" customHeight="1" s="322">
      <c r="A52" s="27" t="n"/>
      <c r="B52" s="506">
        <f>IFERROR(__xludf.DUMMYFUNCTION("""COMPUTED_VALUE"""),45903.6666666666)</f>
        <v/>
      </c>
      <c r="C52" s="141">
        <f>IFERROR(__xludf.DUMMYFUNCTION("""COMPUTED_VALUE"""),77.5)</f>
        <v/>
      </c>
      <c r="D52" s="141">
        <f>IFERROR(__xludf.DUMMYFUNCTION("""COMPUTED_VALUE"""),77.81)</f>
        <v/>
      </c>
      <c r="E52" s="141">
        <f>IFERROR(__xludf.DUMMYFUNCTION("""COMPUTED_VALUE"""),77.39)</f>
        <v/>
      </c>
      <c r="F52" s="141">
        <f>IFERROR(__xludf.DUMMYFUNCTION("""COMPUTED_VALUE"""),77.73)</f>
        <v/>
      </c>
      <c r="G52" s="143">
        <f>IFERROR(__xludf.DUMMYFUNCTION("""COMPUTED_VALUE"""),2668248)</f>
        <v/>
      </c>
      <c r="H52" s="27" t="n"/>
    </row>
    <row r="53" ht="17.25" customHeight="1" s="322">
      <c r="A53" s="27" t="n"/>
      <c r="B53" s="506">
        <f>IFERROR(__xludf.DUMMYFUNCTION("""COMPUTED_VALUE"""),45904.6666666666)</f>
        <v/>
      </c>
      <c r="C53" s="141">
        <f>IFERROR(__xludf.DUMMYFUNCTION("""COMPUTED_VALUE"""),77.95)</f>
        <v/>
      </c>
      <c r="D53" s="141">
        <f>IFERROR(__xludf.DUMMYFUNCTION("""COMPUTED_VALUE"""),78.22)</f>
        <v/>
      </c>
      <c r="E53" s="141">
        <f>IFERROR(__xludf.DUMMYFUNCTION("""COMPUTED_VALUE"""),77.86)</f>
        <v/>
      </c>
      <c r="F53" s="141">
        <f>IFERROR(__xludf.DUMMYFUNCTION("""COMPUTED_VALUE"""),78.19)</f>
        <v/>
      </c>
      <c r="G53" s="143">
        <f>IFERROR(__xludf.DUMMYFUNCTION("""COMPUTED_VALUE"""),2139017)</f>
        <v/>
      </c>
      <c r="H53" s="27" t="n"/>
    </row>
    <row r="54" ht="17.25" customHeight="1" s="322">
      <c r="A54" s="27" t="n"/>
      <c r="B54" s="506">
        <f>IFERROR(__xludf.DUMMYFUNCTION("""COMPUTED_VALUE"""),45905.6666666666)</f>
        <v/>
      </c>
      <c r="C54" s="141">
        <f>IFERROR(__xludf.DUMMYFUNCTION("""COMPUTED_VALUE"""),78.78)</f>
        <v/>
      </c>
      <c r="D54" s="141">
        <f>IFERROR(__xludf.DUMMYFUNCTION("""COMPUTED_VALUE"""),79.05)</f>
        <v/>
      </c>
      <c r="E54" s="141">
        <f>IFERROR(__xludf.DUMMYFUNCTION("""COMPUTED_VALUE"""),78.34)</f>
        <v/>
      </c>
      <c r="F54" s="141">
        <f>IFERROR(__xludf.DUMMYFUNCTION("""COMPUTED_VALUE"""),78.57)</f>
        <v/>
      </c>
      <c r="G54" s="143">
        <f>IFERROR(__xludf.DUMMYFUNCTION("""COMPUTED_VALUE"""),3296379)</f>
        <v/>
      </c>
      <c r="H54" s="27" t="n"/>
    </row>
    <row r="55" ht="17.25" customHeight="1" s="322">
      <c r="A55" s="27" t="n"/>
      <c r="B55" s="506">
        <f>IFERROR(__xludf.DUMMYFUNCTION("""COMPUTED_VALUE"""),45908.6666666666)</f>
        <v/>
      </c>
      <c r="C55" s="141">
        <f>IFERROR(__xludf.DUMMYFUNCTION("""COMPUTED_VALUE"""),78.95)</f>
        <v/>
      </c>
      <c r="D55" s="141">
        <f>IFERROR(__xludf.DUMMYFUNCTION("""COMPUTED_VALUE"""),79.14)</f>
        <v/>
      </c>
      <c r="E55" s="141">
        <f>IFERROR(__xludf.DUMMYFUNCTION("""COMPUTED_VALUE"""),78.72)</f>
        <v/>
      </c>
      <c r="F55" s="141">
        <f>IFERROR(__xludf.DUMMYFUNCTION("""COMPUTED_VALUE"""),79.13)</f>
        <v/>
      </c>
      <c r="G55" s="143">
        <f>IFERROR(__xludf.DUMMYFUNCTION("""COMPUTED_VALUE"""),1900203)</f>
        <v/>
      </c>
      <c r="H55" s="27" t="n"/>
    </row>
    <row r="56" ht="17.25" customHeight="1" s="322">
      <c r="A56" s="27" t="n"/>
      <c r="B56" s="506">
        <f>IFERROR(__xludf.DUMMYFUNCTION("""COMPUTED_VALUE"""),45909.6666666666)</f>
        <v/>
      </c>
      <c r="C56" s="141">
        <f>IFERROR(__xludf.DUMMYFUNCTION("""COMPUTED_VALUE"""),78.92)</f>
        <v/>
      </c>
      <c r="D56" s="141">
        <f>IFERROR(__xludf.DUMMYFUNCTION("""COMPUTED_VALUE"""),79.12)</f>
        <v/>
      </c>
      <c r="E56" s="141">
        <f>IFERROR(__xludf.DUMMYFUNCTION("""COMPUTED_VALUE"""),78.82)</f>
        <v/>
      </c>
      <c r="F56" s="141">
        <f>IFERROR(__xludf.DUMMYFUNCTION("""COMPUTED_VALUE"""),78.99)</f>
        <v/>
      </c>
      <c r="G56" s="143">
        <f>IFERROR(__xludf.DUMMYFUNCTION("""COMPUTED_VALUE"""),2338487)</f>
        <v/>
      </c>
      <c r="H56" s="27" t="n"/>
    </row>
    <row r="57" ht="17.25" customHeight="1" s="322">
      <c r="A57" s="27" t="n"/>
      <c r="B57" s="506">
        <f>IFERROR(__xludf.DUMMYFUNCTION("""COMPUTED_VALUE"""),45910.6666666666)</f>
        <v/>
      </c>
      <c r="C57" s="141">
        <f>IFERROR(__xludf.DUMMYFUNCTION("""COMPUTED_VALUE"""),78.97)</f>
        <v/>
      </c>
      <c r="D57" s="141">
        <f>IFERROR(__xludf.DUMMYFUNCTION("""COMPUTED_VALUE"""),79.07)</f>
        <v/>
      </c>
      <c r="E57" s="141">
        <f>IFERROR(__xludf.DUMMYFUNCTION("""COMPUTED_VALUE"""),78.62)</f>
        <v/>
      </c>
      <c r="F57" s="141">
        <f>IFERROR(__xludf.DUMMYFUNCTION("""COMPUTED_VALUE"""),78.78)</f>
        <v/>
      </c>
      <c r="G57" s="143">
        <f>IFERROR(__xludf.DUMMYFUNCTION("""COMPUTED_VALUE"""),4322717)</f>
        <v/>
      </c>
      <c r="H57" s="27" t="n"/>
    </row>
    <row r="58" ht="17.25" customHeight="1" s="322">
      <c r="A58" s="27" t="n"/>
      <c r="B58" s="506">
        <f>IFERROR(__xludf.DUMMYFUNCTION("""COMPUTED_VALUE"""),45911.6666666666)</f>
        <v/>
      </c>
      <c r="C58" s="141">
        <f>IFERROR(__xludf.DUMMYFUNCTION("""COMPUTED_VALUE"""),79.07)</f>
        <v/>
      </c>
      <c r="D58" s="141">
        <f>IFERROR(__xludf.DUMMYFUNCTION("""COMPUTED_VALUE"""),79.65)</f>
        <v/>
      </c>
      <c r="E58" s="141">
        <f>IFERROR(__xludf.DUMMYFUNCTION("""COMPUTED_VALUE"""),79.05)</f>
        <v/>
      </c>
      <c r="F58" s="141">
        <f>IFERROR(__xludf.DUMMYFUNCTION("""COMPUTED_VALUE"""),79.63)</f>
        <v/>
      </c>
      <c r="G58" s="143">
        <f>IFERROR(__xludf.DUMMYFUNCTION("""COMPUTED_VALUE"""),2776152)</f>
        <v/>
      </c>
      <c r="H58" s="27" t="n"/>
    </row>
    <row r="59" ht="17.25" customHeight="1" s="322">
      <c r="A59" s="27" t="n"/>
      <c r="B59" s="506">
        <f>IFERROR(__xludf.DUMMYFUNCTION("""COMPUTED_VALUE"""),45912.6666666666)</f>
        <v/>
      </c>
      <c r="C59" s="141">
        <f>IFERROR(__xludf.DUMMYFUNCTION("""COMPUTED_VALUE"""),79.35)</f>
        <v/>
      </c>
      <c r="D59" s="141">
        <f>IFERROR(__xludf.DUMMYFUNCTION("""COMPUTED_VALUE"""),79.43)</f>
        <v/>
      </c>
      <c r="E59" s="141">
        <f>IFERROR(__xludf.DUMMYFUNCTION("""COMPUTED_VALUE"""),79.15)</f>
        <v/>
      </c>
      <c r="F59" s="141">
        <f>IFERROR(__xludf.DUMMYFUNCTION("""COMPUTED_VALUE"""),79.36)</f>
        <v/>
      </c>
      <c r="G59" s="143">
        <f>IFERROR(__xludf.DUMMYFUNCTION("""COMPUTED_VALUE"""),2333905)</f>
        <v/>
      </c>
      <c r="H59" s="27" t="n"/>
    </row>
    <row r="60" ht="17.25" customHeight="1" s="322">
      <c r="A60" s="27" t="n"/>
      <c r="B60" s="506">
        <f>IFERROR(__xludf.DUMMYFUNCTION("""COMPUTED_VALUE"""),45915.6666666666)</f>
        <v/>
      </c>
      <c r="C60" s="141">
        <f>IFERROR(__xludf.DUMMYFUNCTION("""COMPUTED_VALUE"""),79.81)</f>
        <v/>
      </c>
      <c r="D60" s="141">
        <f>IFERROR(__xludf.DUMMYFUNCTION("""COMPUTED_VALUE"""),79.97)</f>
        <v/>
      </c>
      <c r="E60" s="141">
        <f>IFERROR(__xludf.DUMMYFUNCTION("""COMPUTED_VALUE"""),79.64)</f>
        <v/>
      </c>
      <c r="F60" s="141">
        <f>IFERROR(__xludf.DUMMYFUNCTION("""COMPUTED_VALUE"""),79.95)</f>
        <v/>
      </c>
      <c r="G60" s="143">
        <f>IFERROR(__xludf.DUMMYFUNCTION("""COMPUTED_VALUE"""),1535053)</f>
        <v/>
      </c>
      <c r="H60" s="27" t="n"/>
    </row>
    <row r="61" ht="17.25" customHeight="1" s="322">
      <c r="A61" s="27" t="n"/>
      <c r="B61" s="506">
        <f>IFERROR(__xludf.DUMMYFUNCTION("""COMPUTED_VALUE"""),45916.6666666666)</f>
        <v/>
      </c>
      <c r="C61" s="141">
        <f>IFERROR(__xludf.DUMMYFUNCTION("""COMPUTED_VALUE"""),79.86)</f>
        <v/>
      </c>
      <c r="D61" s="141">
        <f>IFERROR(__xludf.DUMMYFUNCTION("""COMPUTED_VALUE"""),79.86)</f>
        <v/>
      </c>
      <c r="E61" s="141">
        <f>IFERROR(__xludf.DUMMYFUNCTION("""COMPUTED_VALUE"""),79.41)</f>
        <v/>
      </c>
      <c r="F61" s="141">
        <f>IFERROR(__xludf.DUMMYFUNCTION("""COMPUTED_VALUE"""),79.7)</f>
        <v/>
      </c>
      <c r="G61" s="143">
        <f>IFERROR(__xludf.DUMMYFUNCTION("""COMPUTED_VALUE"""),1557135)</f>
        <v/>
      </c>
      <c r="H61" s="27" t="n"/>
    </row>
    <row r="62" ht="17.25" customHeight="1" s="322">
      <c r="A62" s="27" t="n"/>
      <c r="B62" s="506">
        <f>IFERROR(__xludf.DUMMYFUNCTION("""COMPUTED_VALUE"""),45917.6666666666)</f>
        <v/>
      </c>
      <c r="C62" s="141">
        <f>IFERROR(__xludf.DUMMYFUNCTION("""COMPUTED_VALUE"""),79.61)</f>
        <v/>
      </c>
      <c r="D62" s="141">
        <f>IFERROR(__xludf.DUMMYFUNCTION("""COMPUTED_VALUE"""),80.1)</f>
        <v/>
      </c>
      <c r="E62" s="141">
        <f>IFERROR(__xludf.DUMMYFUNCTION("""COMPUTED_VALUE"""),79.09)</f>
        <v/>
      </c>
      <c r="F62" s="141">
        <f>IFERROR(__xludf.DUMMYFUNCTION("""COMPUTED_VALUE"""),79.39)</f>
        <v/>
      </c>
      <c r="G62" s="143">
        <f>IFERROR(__xludf.DUMMYFUNCTION("""COMPUTED_VALUE"""),2598415)</f>
        <v/>
      </c>
      <c r="H62" s="27" t="n"/>
    </row>
    <row r="63" ht="17.25" customHeight="1" s="322">
      <c r="A63" s="27" t="n"/>
      <c r="B63" s="506">
        <f>IFERROR(__xludf.DUMMYFUNCTION("""COMPUTED_VALUE"""),45918.6666666666)</f>
        <v/>
      </c>
      <c r="C63" s="141">
        <f>IFERROR(__xludf.DUMMYFUNCTION("""COMPUTED_VALUE"""),79.57)</f>
        <v/>
      </c>
      <c r="D63" s="141">
        <f>IFERROR(__xludf.DUMMYFUNCTION("""COMPUTED_VALUE"""),79.83)</f>
        <v/>
      </c>
      <c r="E63" s="141">
        <f>IFERROR(__xludf.DUMMYFUNCTION("""COMPUTED_VALUE"""),79.27)</f>
        <v/>
      </c>
      <c r="F63" s="141">
        <f>IFERROR(__xludf.DUMMYFUNCTION("""COMPUTED_VALUE"""),79.71)</f>
        <v/>
      </c>
      <c r="G63" s="143">
        <f>IFERROR(__xludf.DUMMYFUNCTION("""COMPUTED_VALUE"""),2556273)</f>
        <v/>
      </c>
      <c r="H63" s="27" t="n"/>
    </row>
    <row r="64" ht="17.25" customHeight="1" s="322">
      <c r="A64" s="27" t="n"/>
      <c r="B64" s="506">
        <f>IFERROR(__xludf.DUMMYFUNCTION("""COMPUTED_VALUE"""),45919.6666666666)</f>
        <v/>
      </c>
      <c r="C64" s="141">
        <f>IFERROR(__xludf.DUMMYFUNCTION("""COMPUTED_VALUE"""),79.34)</f>
        <v/>
      </c>
      <c r="D64" s="141">
        <f>IFERROR(__xludf.DUMMYFUNCTION("""COMPUTED_VALUE"""),79.39)</f>
        <v/>
      </c>
      <c r="E64" s="141">
        <f>IFERROR(__xludf.DUMMYFUNCTION("""COMPUTED_VALUE"""),79.04)</f>
        <v/>
      </c>
      <c r="F64" s="141">
        <f>IFERROR(__xludf.DUMMYFUNCTION("""COMPUTED_VALUE"""),79.13)</f>
        <v/>
      </c>
      <c r="G64" s="143">
        <f>IFERROR(__xludf.DUMMYFUNCTION("""COMPUTED_VALUE"""),3370074)</f>
        <v/>
      </c>
      <c r="H64" s="27" t="n"/>
    </row>
    <row r="65" ht="17.25" customHeight="1" s="322">
      <c r="A65" s="27" t="n"/>
      <c r="B65" s="506">
        <f>IFERROR(__xludf.DUMMYFUNCTION("""COMPUTED_VALUE"""),45922.6666666666)</f>
        <v/>
      </c>
      <c r="C65" s="141">
        <f>IFERROR(__xludf.DUMMYFUNCTION("""COMPUTED_VALUE"""),79.18)</f>
        <v/>
      </c>
      <c r="D65" s="141">
        <f>IFERROR(__xludf.DUMMYFUNCTION("""COMPUTED_VALUE"""),79.53)</f>
        <v/>
      </c>
      <c r="E65" s="141">
        <f>IFERROR(__xludf.DUMMYFUNCTION("""COMPUTED_VALUE"""),78.98)</f>
        <v/>
      </c>
      <c r="F65" s="141">
        <f>IFERROR(__xludf.DUMMYFUNCTION("""COMPUTED_VALUE"""),79.46)</f>
        <v/>
      </c>
      <c r="G65" s="143">
        <f>IFERROR(__xludf.DUMMYFUNCTION("""COMPUTED_VALUE"""),1285073)</f>
        <v/>
      </c>
      <c r="H65" s="27" t="n"/>
    </row>
    <row r="66" ht="17.25" customHeight="1" s="322">
      <c r="A66" s="27" t="n"/>
      <c r="B66" s="506">
        <f>IFERROR(__xludf.DUMMYFUNCTION("""COMPUTED_VALUE"""),45923.6666666666)</f>
        <v/>
      </c>
      <c r="C66" s="141">
        <f>IFERROR(__xludf.DUMMYFUNCTION("""COMPUTED_VALUE"""),79.73)</f>
        <v/>
      </c>
      <c r="D66" s="141">
        <f>IFERROR(__xludf.DUMMYFUNCTION("""COMPUTED_VALUE"""),79.89)</f>
        <v/>
      </c>
      <c r="E66" s="141">
        <f>IFERROR(__xludf.DUMMYFUNCTION("""COMPUTED_VALUE"""),79.28)</f>
        <v/>
      </c>
      <c r="F66" s="141">
        <f>IFERROR(__xludf.DUMMYFUNCTION("""COMPUTED_VALUE"""),79.41)</f>
        <v/>
      </c>
      <c r="G66" s="143">
        <f>IFERROR(__xludf.DUMMYFUNCTION("""COMPUTED_VALUE"""),1852665)</f>
        <v/>
      </c>
      <c r="H66" s="27" t="n"/>
    </row>
    <row r="67" ht="17.25" customHeight="1" s="322">
      <c r="A67" s="27" t="n"/>
      <c r="B67" s="506">
        <f>IFERROR(__xludf.DUMMYFUNCTION("""COMPUTED_VALUE"""),45924.6666666666)</f>
        <v/>
      </c>
      <c r="C67" s="141">
        <f>IFERROR(__xludf.DUMMYFUNCTION("""COMPUTED_VALUE"""),78.94)</f>
        <v/>
      </c>
      <c r="D67" s="141">
        <f>IFERROR(__xludf.DUMMYFUNCTION("""COMPUTED_VALUE"""),79.22)</f>
        <v/>
      </c>
      <c r="E67" s="141">
        <f>IFERROR(__xludf.DUMMYFUNCTION("""COMPUTED_VALUE"""),78.79)</f>
        <v/>
      </c>
      <c r="F67" s="141">
        <f>IFERROR(__xludf.DUMMYFUNCTION("""COMPUTED_VALUE"""),78.89)</f>
        <v/>
      </c>
      <c r="G67" s="143">
        <f>IFERROR(__xludf.DUMMYFUNCTION("""COMPUTED_VALUE"""),1577027)</f>
        <v/>
      </c>
      <c r="H67" s="27" t="n"/>
    </row>
    <row r="68" ht="17.25" customHeight="1" s="322">
      <c r="A68" s="27" t="n"/>
      <c r="B68" s="506">
        <f>IFERROR(__xludf.DUMMYFUNCTION("""COMPUTED_VALUE"""),45925.6666666666)</f>
        <v/>
      </c>
      <c r="C68" s="141">
        <f>IFERROR(__xludf.DUMMYFUNCTION("""COMPUTED_VALUE"""),78.21)</f>
        <v/>
      </c>
      <c r="D68" s="141">
        <f>IFERROR(__xludf.DUMMYFUNCTION("""COMPUTED_VALUE"""),78.31)</f>
        <v/>
      </c>
      <c r="E68" s="141">
        <f>IFERROR(__xludf.DUMMYFUNCTION("""COMPUTED_VALUE"""),77.82)</f>
        <v/>
      </c>
      <c r="F68" s="141">
        <f>IFERROR(__xludf.DUMMYFUNCTION("""COMPUTED_VALUE"""),78.14)</f>
        <v/>
      </c>
      <c r="G68" s="143">
        <f>IFERROR(__xludf.DUMMYFUNCTION("""COMPUTED_VALUE"""),1521129)</f>
        <v/>
      </c>
      <c r="H68" s="27" t="n"/>
    </row>
    <row r="69" ht="17.25" customHeight="1" s="322">
      <c r="A69" s="27" t="n"/>
      <c r="B69" s="506">
        <f>IFERROR(__xludf.DUMMYFUNCTION("""COMPUTED_VALUE"""),45926.6666666666)</f>
        <v/>
      </c>
      <c r="C69" s="141">
        <f>IFERROR(__xludf.DUMMYFUNCTION("""COMPUTED_VALUE"""),78.64)</f>
        <v/>
      </c>
      <c r="D69" s="141">
        <f>IFERROR(__xludf.DUMMYFUNCTION("""COMPUTED_VALUE"""),78.97)</f>
        <v/>
      </c>
      <c r="E69" s="141">
        <f>IFERROR(__xludf.DUMMYFUNCTION("""COMPUTED_VALUE"""),78.61)</f>
        <v/>
      </c>
      <c r="F69" s="141">
        <f>IFERROR(__xludf.DUMMYFUNCTION("""COMPUTED_VALUE"""),78.96)</f>
        <v/>
      </c>
      <c r="G69" s="143">
        <f>IFERROR(__xludf.DUMMYFUNCTION("""COMPUTED_VALUE"""),1011521)</f>
        <v/>
      </c>
      <c r="H69" s="27" t="n"/>
    </row>
    <row r="70" ht="17.25" customHeight="1" s="322">
      <c r="A70" s="27" t="n"/>
      <c r="B70" s="506">
        <f>IFERROR(__xludf.DUMMYFUNCTION("""COMPUTED_VALUE"""),45929.6666666666)</f>
        <v/>
      </c>
      <c r="C70" s="141">
        <f>IFERROR(__xludf.DUMMYFUNCTION("""COMPUTED_VALUE"""),79.21)</f>
        <v/>
      </c>
      <c r="D70" s="141">
        <f>IFERROR(__xludf.DUMMYFUNCTION("""COMPUTED_VALUE"""),79.31)</f>
        <v/>
      </c>
      <c r="E70" s="141">
        <f>IFERROR(__xludf.DUMMYFUNCTION("""COMPUTED_VALUE"""),79.03)</f>
        <v/>
      </c>
      <c r="F70" s="141">
        <f>IFERROR(__xludf.DUMMYFUNCTION("""COMPUTED_VALUE"""),79.21)</f>
        <v/>
      </c>
      <c r="G70" s="143">
        <f>IFERROR(__xludf.DUMMYFUNCTION("""COMPUTED_VALUE"""),2063691)</f>
        <v/>
      </c>
      <c r="H70" s="27" t="n"/>
    </row>
    <row r="71" ht="17.25" customHeight="1" s="322">
      <c r="A71" s="27" t="n"/>
      <c r="B71" s="506">
        <f>IFERROR(__xludf.DUMMYFUNCTION("""COMPUTED_VALUE"""),45930.6666666666)</f>
        <v/>
      </c>
      <c r="C71" s="141">
        <f>IFERROR(__xludf.DUMMYFUNCTION("""COMPUTED_VALUE"""),79.31)</f>
        <v/>
      </c>
      <c r="D71" s="141">
        <f>IFERROR(__xludf.DUMMYFUNCTION("""COMPUTED_VALUE"""),79.89)</f>
        <v/>
      </c>
      <c r="E71" s="141">
        <f>IFERROR(__xludf.DUMMYFUNCTION("""COMPUTED_VALUE"""),79.27)</f>
        <v/>
      </c>
      <c r="F71" s="141">
        <f>IFERROR(__xludf.DUMMYFUNCTION("""COMPUTED_VALUE"""),79.8)</f>
        <v/>
      </c>
      <c r="G71" s="143">
        <f>IFERROR(__xludf.DUMMYFUNCTION("""COMPUTED_VALUE"""),2810654)</f>
        <v/>
      </c>
      <c r="H71" s="27" t="n"/>
    </row>
    <row r="72" ht="17.25" customHeight="1" s="322">
      <c r="A72" s="27" t="n"/>
      <c r="B72" s="506">
        <f>IFERROR(__xludf.DUMMYFUNCTION("""COMPUTED_VALUE"""),45931.6666666666)</f>
        <v/>
      </c>
      <c r="C72" s="141">
        <f>IFERROR(__xludf.DUMMYFUNCTION("""COMPUTED_VALUE"""),80.25)</f>
        <v/>
      </c>
      <c r="D72" s="141">
        <f>IFERROR(__xludf.DUMMYFUNCTION("""COMPUTED_VALUE"""),80.83)</f>
        <v/>
      </c>
      <c r="E72" s="141">
        <f>IFERROR(__xludf.DUMMYFUNCTION("""COMPUTED_VALUE"""),80.25)</f>
        <v/>
      </c>
      <c r="F72" s="141">
        <f>IFERROR(__xludf.DUMMYFUNCTION("""COMPUTED_VALUE"""),80.72)</f>
        <v/>
      </c>
      <c r="G72" s="143">
        <f>IFERROR(__xludf.DUMMYFUNCTION("""COMPUTED_VALUE"""),3899424)</f>
        <v/>
      </c>
      <c r="H72" s="27" t="n"/>
    </row>
    <row r="73" ht="17.25" customHeight="1" s="322">
      <c r="A73" s="27" t="n"/>
      <c r="B73" s="506">
        <f>IFERROR(__xludf.DUMMYFUNCTION("""COMPUTED_VALUE"""),45932.6666666666)</f>
        <v/>
      </c>
      <c r="C73" s="141">
        <f>IFERROR(__xludf.DUMMYFUNCTION("""COMPUTED_VALUE"""),81.08)</f>
        <v/>
      </c>
      <c r="D73" s="141">
        <f>IFERROR(__xludf.DUMMYFUNCTION("""COMPUTED_VALUE"""),81.14)</f>
        <v/>
      </c>
      <c r="E73" s="141">
        <f>IFERROR(__xludf.DUMMYFUNCTION("""COMPUTED_VALUE"""),80.51)</f>
        <v/>
      </c>
      <c r="F73" s="141">
        <f>IFERROR(__xludf.DUMMYFUNCTION("""COMPUTED_VALUE"""),80.91)</f>
        <v/>
      </c>
      <c r="G73" s="143">
        <f>IFERROR(__xludf.DUMMYFUNCTION("""COMPUTED_VALUE"""),4748319)</f>
        <v/>
      </c>
      <c r="H73" s="27" t="n"/>
    </row>
    <row r="74" ht="17.25" customHeight="1" s="322">
      <c r="A74" s="27" t="n"/>
      <c r="B74" s="506">
        <f>IFERROR(__xludf.DUMMYFUNCTION("""COMPUTED_VALUE"""),45933.6666666666)</f>
        <v/>
      </c>
      <c r="C74" s="141">
        <f>IFERROR(__xludf.DUMMYFUNCTION("""COMPUTED_VALUE"""),81.11)</f>
        <v/>
      </c>
      <c r="D74" s="141">
        <f>IFERROR(__xludf.DUMMYFUNCTION("""COMPUTED_VALUE"""),81.46)</f>
        <v/>
      </c>
      <c r="E74" s="141">
        <f>IFERROR(__xludf.DUMMYFUNCTION("""COMPUTED_VALUE"""),81.11)</f>
        <v/>
      </c>
      <c r="F74" s="141">
        <f>IFERROR(__xludf.DUMMYFUNCTION("""COMPUTED_VALUE"""),81.35)</f>
        <v/>
      </c>
      <c r="G74" s="143">
        <f>IFERROR(__xludf.DUMMYFUNCTION("""COMPUTED_VALUE"""),1738027)</f>
        <v/>
      </c>
      <c r="H74" s="27" t="n"/>
    </row>
    <row r="75" ht="17.25" customHeight="1" s="322">
      <c r="A75" s="27" t="n"/>
      <c r="B75" s="506">
        <f>IFERROR(__xludf.DUMMYFUNCTION("""COMPUTED_VALUE"""),45936.6666666666)</f>
        <v/>
      </c>
      <c r="C75" s="141">
        <f>IFERROR(__xludf.DUMMYFUNCTION("""COMPUTED_VALUE"""),81.13)</f>
        <v/>
      </c>
      <c r="D75" s="141">
        <f>IFERROR(__xludf.DUMMYFUNCTION("""COMPUTED_VALUE"""),81.27)</f>
        <v/>
      </c>
      <c r="E75" s="141">
        <f>IFERROR(__xludf.DUMMYFUNCTION("""COMPUTED_VALUE"""),81.01)</f>
        <v/>
      </c>
      <c r="F75" s="141">
        <f>IFERROR(__xludf.DUMMYFUNCTION("""COMPUTED_VALUE"""),81.1)</f>
        <v/>
      </c>
      <c r="G75" s="143">
        <f>IFERROR(__xludf.DUMMYFUNCTION("""COMPUTED_VALUE"""),2683895)</f>
        <v/>
      </c>
      <c r="H75" s="27" t="n"/>
    </row>
    <row r="76" ht="17.25" customHeight="1" s="322">
      <c r="A76" s="27" t="n"/>
      <c r="B76" s="506">
        <f>IFERROR(__xludf.DUMMYFUNCTION("""COMPUTED_VALUE"""),45937.6666666666)</f>
        <v/>
      </c>
      <c r="C76" s="141">
        <f>IFERROR(__xludf.DUMMYFUNCTION("""COMPUTED_VALUE"""),80.88)</f>
        <v/>
      </c>
      <c r="D76" s="141">
        <f>IFERROR(__xludf.DUMMYFUNCTION("""COMPUTED_VALUE"""),80.95)</f>
        <v/>
      </c>
      <c r="E76" s="141">
        <f>IFERROR(__xludf.DUMMYFUNCTION("""COMPUTED_VALUE"""),80.48)</f>
        <v/>
      </c>
      <c r="F76" s="141">
        <f>IFERROR(__xludf.DUMMYFUNCTION("""COMPUTED_VALUE"""),80.49)</f>
        <v/>
      </c>
      <c r="G76" s="143">
        <f>IFERROR(__xludf.DUMMYFUNCTION("""COMPUTED_VALUE"""),1805261)</f>
        <v/>
      </c>
      <c r="H76" s="27" t="n"/>
    </row>
    <row r="77" ht="17.25" customHeight="1" s="322">
      <c r="A77" s="27" t="n"/>
      <c r="B77" s="506">
        <f>IFERROR(__xludf.DUMMYFUNCTION("""COMPUTED_VALUE"""),45938.6666666666)</f>
        <v/>
      </c>
      <c r="C77" s="141">
        <f>IFERROR(__xludf.DUMMYFUNCTION("""COMPUTED_VALUE"""),80.94)</f>
        <v/>
      </c>
      <c r="D77" s="141">
        <f>IFERROR(__xludf.DUMMYFUNCTION("""COMPUTED_VALUE"""),81.06)</f>
        <v/>
      </c>
      <c r="E77" s="141">
        <f>IFERROR(__xludf.DUMMYFUNCTION("""COMPUTED_VALUE"""),80.72)</f>
        <v/>
      </c>
      <c r="F77" s="141">
        <f>IFERROR(__xludf.DUMMYFUNCTION("""COMPUTED_VALUE"""),80.96)</f>
        <v/>
      </c>
      <c r="G77" s="143">
        <f>IFERROR(__xludf.DUMMYFUNCTION("""COMPUTED_VALUE"""),2016069)</f>
        <v/>
      </c>
      <c r="H77" s="27" t="n"/>
    </row>
    <row r="78" ht="17.25" customHeight="1" s="322">
      <c r="A78" s="27" t="n"/>
      <c r="B78" s="506">
        <f>IFERROR(__xludf.DUMMYFUNCTION("""COMPUTED_VALUE"""),45939.6666666666)</f>
        <v/>
      </c>
      <c r="C78" s="141">
        <f>IFERROR(__xludf.DUMMYFUNCTION("""COMPUTED_VALUE"""),80.83)</f>
        <v/>
      </c>
      <c r="D78" s="141">
        <f>IFERROR(__xludf.DUMMYFUNCTION("""COMPUTED_VALUE"""),80.85)</f>
        <v/>
      </c>
      <c r="E78" s="141">
        <f>IFERROR(__xludf.DUMMYFUNCTION("""COMPUTED_VALUE"""),79.89)</f>
        <v/>
      </c>
      <c r="F78" s="141">
        <f>IFERROR(__xludf.DUMMYFUNCTION("""COMPUTED_VALUE"""),80.1)</f>
        <v/>
      </c>
      <c r="G78" s="143">
        <f>IFERROR(__xludf.DUMMYFUNCTION("""COMPUTED_VALUE"""),3948949)</f>
        <v/>
      </c>
      <c r="H78" s="27" t="n"/>
    </row>
    <row r="79" ht="17.25" customHeight="1" s="322">
      <c r="A79" s="27" t="n"/>
      <c r="B79" s="506">
        <f>IFERROR(__xludf.DUMMYFUNCTION("""COMPUTED_VALUE"""),45940.6666666666)</f>
        <v/>
      </c>
      <c r="C79" s="141">
        <f>IFERROR(__xludf.DUMMYFUNCTION("""COMPUTED_VALUE"""),80.23)</f>
        <v/>
      </c>
      <c r="D79" s="141">
        <f>IFERROR(__xludf.DUMMYFUNCTION("""COMPUTED_VALUE"""),80.34)</f>
        <v/>
      </c>
      <c r="E79" s="141">
        <f>IFERROR(__xludf.DUMMYFUNCTION("""COMPUTED_VALUE"""),79.1)</f>
        <v/>
      </c>
      <c r="F79" s="141">
        <f>IFERROR(__xludf.DUMMYFUNCTION("""COMPUTED_VALUE"""),79.18)</f>
        <v/>
      </c>
      <c r="G79" s="143">
        <f>IFERROR(__xludf.DUMMYFUNCTION("""COMPUTED_VALUE"""),4545542)</f>
        <v/>
      </c>
      <c r="H79" s="27" t="n"/>
    </row>
    <row r="80" ht="17.25" customHeight="1" s="322">
      <c r="A80" s="27" t="n"/>
      <c r="B80" s="506">
        <f>IFERROR(__xludf.DUMMYFUNCTION("""COMPUTED_VALUE"""),45943.6666666666)</f>
        <v/>
      </c>
      <c r="C80" s="141">
        <f>IFERROR(__xludf.DUMMYFUNCTION("""COMPUTED_VALUE"""),79.44)</f>
        <v/>
      </c>
      <c r="D80" s="141">
        <f>IFERROR(__xludf.DUMMYFUNCTION("""COMPUTED_VALUE"""),79.8)</f>
        <v/>
      </c>
      <c r="E80" s="141">
        <f>IFERROR(__xludf.DUMMYFUNCTION("""COMPUTED_VALUE"""),79.35)</f>
        <v/>
      </c>
      <c r="F80" s="141">
        <f>IFERROR(__xludf.DUMMYFUNCTION("""COMPUTED_VALUE"""),79.73)</f>
        <v/>
      </c>
      <c r="G80" s="143">
        <f>IFERROR(__xludf.DUMMYFUNCTION("""COMPUTED_VALUE"""),2131548)</f>
        <v/>
      </c>
      <c r="H80" s="27" t="n"/>
    </row>
    <row r="81" ht="17.25" customHeight="1" s="322">
      <c r="A81" s="27" t="n"/>
      <c r="B81" s="506">
        <f>IFERROR(__xludf.DUMMYFUNCTION("""COMPUTED_VALUE"""),45944.6666666666)</f>
        <v/>
      </c>
      <c r="C81" s="141">
        <f>IFERROR(__xludf.DUMMYFUNCTION("""COMPUTED_VALUE"""),79.19)</f>
        <v/>
      </c>
      <c r="D81" s="141">
        <f>IFERROR(__xludf.DUMMYFUNCTION("""COMPUTED_VALUE"""),80.22)</f>
        <v/>
      </c>
      <c r="E81" s="141">
        <f>IFERROR(__xludf.DUMMYFUNCTION("""COMPUTED_VALUE"""),79.09)</f>
        <v/>
      </c>
      <c r="F81" s="141">
        <f>IFERROR(__xludf.DUMMYFUNCTION("""COMPUTED_VALUE"""),80.04)</f>
        <v/>
      </c>
      <c r="G81" s="143">
        <f>IFERROR(__xludf.DUMMYFUNCTION("""COMPUTED_VALUE"""),3539838)</f>
        <v/>
      </c>
      <c r="H81" s="27" t="n"/>
    </row>
    <row r="82" ht="17.25" customHeight="1" s="322">
      <c r="A82" s="27" t="n"/>
      <c r="B82" s="506">
        <f>IFERROR(__xludf.DUMMYFUNCTION("""COMPUTED_VALUE"""),45945.6666666666)</f>
        <v/>
      </c>
      <c r="C82" s="141">
        <f>IFERROR(__xludf.DUMMYFUNCTION("""COMPUTED_VALUE"""),80.15)</f>
        <v/>
      </c>
      <c r="D82" s="141">
        <f>IFERROR(__xludf.DUMMYFUNCTION("""COMPUTED_VALUE"""),80.41)</f>
        <v/>
      </c>
      <c r="E82" s="141">
        <f>IFERROR(__xludf.DUMMYFUNCTION("""COMPUTED_VALUE"""),79.69)</f>
        <v/>
      </c>
      <c r="F82" s="141">
        <f>IFERROR(__xludf.DUMMYFUNCTION("""COMPUTED_VALUE"""),80.22)</f>
        <v/>
      </c>
      <c r="G82" s="143">
        <f>IFERROR(__xludf.DUMMYFUNCTION("""COMPUTED_VALUE"""),4360384)</f>
        <v/>
      </c>
      <c r="H82" s="27" t="n"/>
    </row>
    <row r="83" ht="17.25" customHeight="1" s="322">
      <c r="A83" s="27" t="n"/>
      <c r="B83" s="506">
        <f>IFERROR(__xludf.DUMMYFUNCTION("""COMPUTED_VALUE"""),45946.6666666666)</f>
        <v/>
      </c>
      <c r="C83" s="141">
        <f>IFERROR(__xludf.DUMMYFUNCTION("""COMPUTED_VALUE"""),80.69)</f>
        <v/>
      </c>
      <c r="D83" s="141">
        <f>IFERROR(__xludf.DUMMYFUNCTION("""COMPUTED_VALUE"""),81.09)</f>
        <v/>
      </c>
      <c r="E83" s="141">
        <f>IFERROR(__xludf.DUMMYFUNCTION("""COMPUTED_VALUE"""),80.49)</f>
        <v/>
      </c>
      <c r="F83" s="141">
        <f>IFERROR(__xludf.DUMMYFUNCTION("""COMPUTED_VALUE"""),80.78)</f>
        <v/>
      </c>
      <c r="G83" s="143">
        <f>IFERROR(__xludf.DUMMYFUNCTION("""COMPUTED_VALUE"""),2724876)</f>
        <v/>
      </c>
      <c r="H83" s="27" t="n"/>
    </row>
    <row r="84" ht="17.25" customHeight="1" s="322">
      <c r="A84" s="27" t="n"/>
      <c r="B84" s="506">
        <f>IFERROR(__xludf.DUMMYFUNCTION("""COMPUTED_VALUE"""),45947.6666666666)</f>
        <v/>
      </c>
      <c r="C84" s="141">
        <f>IFERROR(__xludf.DUMMYFUNCTION("""COMPUTED_VALUE"""),80.39)</f>
        <v/>
      </c>
      <c r="D84" s="141">
        <f>IFERROR(__xludf.DUMMYFUNCTION("""COMPUTED_VALUE"""),80.83)</f>
        <v/>
      </c>
      <c r="E84" s="141">
        <f>IFERROR(__xludf.DUMMYFUNCTION("""COMPUTED_VALUE"""),80.24)</f>
        <v/>
      </c>
      <c r="F84" s="141">
        <f>IFERROR(__xludf.DUMMYFUNCTION("""COMPUTED_VALUE"""),80.8)</f>
        <v/>
      </c>
      <c r="G84" s="143">
        <f>IFERROR(__xludf.DUMMYFUNCTION("""COMPUTED_VALUE"""),2581802)</f>
        <v/>
      </c>
      <c r="H84" s="27" t="n"/>
    </row>
    <row r="85" ht="17.25" customHeight="1" s="322">
      <c r="A85" s="27" t="n"/>
      <c r="B85" s="506">
        <f>IFERROR(__xludf.DUMMYFUNCTION("""COMPUTED_VALUE"""),45950.6666666666)</f>
        <v/>
      </c>
      <c r="C85" s="141">
        <f>IFERROR(__xludf.DUMMYFUNCTION("""COMPUTED_VALUE"""),80.88)</f>
        <v/>
      </c>
      <c r="D85" s="141">
        <f>IFERROR(__xludf.DUMMYFUNCTION("""COMPUTED_VALUE"""),81.18)</f>
        <v/>
      </c>
      <c r="E85" s="141">
        <f>IFERROR(__xludf.DUMMYFUNCTION("""COMPUTED_VALUE"""),80.82)</f>
        <v/>
      </c>
      <c r="F85" s="141">
        <f>IFERROR(__xludf.DUMMYFUNCTION("""COMPUTED_VALUE"""),81.15)</f>
        <v/>
      </c>
      <c r="G85" s="143">
        <f>IFERROR(__xludf.DUMMYFUNCTION("""COMPUTED_VALUE"""),1846631)</f>
        <v/>
      </c>
      <c r="H85" s="27" t="n"/>
    </row>
    <row r="86" ht="17.25" customHeight="1" s="322">
      <c r="A86" s="27" t="n"/>
      <c r="B86" s="506">
        <f>IFERROR(__xludf.DUMMYFUNCTION("""COMPUTED_VALUE"""),45951.6666666666)</f>
        <v/>
      </c>
      <c r="C86" s="141">
        <f>IFERROR(__xludf.DUMMYFUNCTION("""COMPUTED_VALUE"""),80.91)</f>
        <v/>
      </c>
      <c r="D86" s="141">
        <f>IFERROR(__xludf.DUMMYFUNCTION("""COMPUTED_VALUE"""),81.05)</f>
        <v/>
      </c>
      <c r="E86" s="141">
        <f>IFERROR(__xludf.DUMMYFUNCTION("""COMPUTED_VALUE"""),80.62)</f>
        <v/>
      </c>
      <c r="F86" s="141">
        <f>IFERROR(__xludf.DUMMYFUNCTION("""COMPUTED_VALUE"""),80.67)</f>
        <v/>
      </c>
      <c r="G86" s="143">
        <f>IFERROR(__xludf.DUMMYFUNCTION("""COMPUTED_VALUE"""),1740309)</f>
        <v/>
      </c>
      <c r="H86" s="27" t="n"/>
    </row>
    <row r="87" ht="17.25" customHeight="1" s="322">
      <c r="A87" s="27" t="n"/>
      <c r="B87" s="506">
        <f>IFERROR(__xludf.DUMMYFUNCTION("""COMPUTED_VALUE"""),45952.6666666666)</f>
        <v/>
      </c>
      <c r="C87" s="141">
        <f>IFERROR(__xludf.DUMMYFUNCTION("""COMPUTED_VALUE"""),80.79)</f>
        <v/>
      </c>
      <c r="D87" s="141">
        <f>IFERROR(__xludf.DUMMYFUNCTION("""COMPUTED_VALUE"""),80.98)</f>
        <v/>
      </c>
      <c r="E87" s="141">
        <f>IFERROR(__xludf.DUMMYFUNCTION("""COMPUTED_VALUE"""),80.4)</f>
        <v/>
      </c>
      <c r="F87" s="141">
        <f>IFERROR(__xludf.DUMMYFUNCTION("""COMPUTED_VALUE"""),80.7)</f>
        <v/>
      </c>
      <c r="G87" s="143">
        <f>IFERROR(__xludf.DUMMYFUNCTION("""COMPUTED_VALUE"""),2154513)</f>
        <v/>
      </c>
      <c r="H87" s="27" t="n"/>
    </row>
    <row r="88" ht="17.25" customHeight="1" s="322">
      <c r="A88" s="27" t="n"/>
      <c r="B88" s="506">
        <f>IFERROR(__xludf.DUMMYFUNCTION("""COMPUTED_VALUE"""),45953.6666666666)</f>
        <v/>
      </c>
      <c r="C88" s="141">
        <f>IFERROR(__xludf.DUMMYFUNCTION("""COMPUTED_VALUE"""),80.97)</f>
        <v/>
      </c>
      <c r="D88" s="141">
        <f>IFERROR(__xludf.DUMMYFUNCTION("""COMPUTED_VALUE"""),81.31)</f>
        <v/>
      </c>
      <c r="E88" s="141">
        <f>IFERROR(__xludf.DUMMYFUNCTION("""COMPUTED_VALUE"""),80.97)</f>
        <v/>
      </c>
      <c r="F88" s="141">
        <f>IFERROR(__xludf.DUMMYFUNCTION("""COMPUTED_VALUE"""),81.17)</f>
        <v/>
      </c>
      <c r="G88" s="143">
        <f>IFERROR(__xludf.DUMMYFUNCTION("""COMPUTED_VALUE"""),1922931)</f>
        <v/>
      </c>
      <c r="H88" s="27" t="n"/>
    </row>
    <row r="89" ht="17.25" customHeight="1" s="322">
      <c r="A89" s="27" t="n"/>
      <c r="B89" s="506">
        <f>IFERROR(__xludf.DUMMYFUNCTION("""COMPUTED_VALUE"""),45954.6666666666)</f>
        <v/>
      </c>
      <c r="C89" s="141">
        <f>IFERROR(__xludf.DUMMYFUNCTION("""COMPUTED_VALUE"""),81.37)</f>
        <v/>
      </c>
      <c r="D89" s="141">
        <f>IFERROR(__xludf.DUMMYFUNCTION("""COMPUTED_VALUE"""),81.45)</f>
        <v/>
      </c>
      <c r="E89" s="141">
        <f>IFERROR(__xludf.DUMMYFUNCTION("""COMPUTED_VALUE"""),81.24)</f>
        <v/>
      </c>
      <c r="F89" s="141">
        <f>IFERROR(__xludf.DUMMYFUNCTION("""COMPUTED_VALUE"""),81.29)</f>
        <v/>
      </c>
      <c r="G89" s="143">
        <f>IFERROR(__xludf.DUMMYFUNCTION("""COMPUTED_VALUE"""),1807503)</f>
        <v/>
      </c>
      <c r="H89" s="27" t="n"/>
    </row>
    <row r="90" ht="17.25" customHeight="1" s="322">
      <c r="A90" s="27" t="n"/>
      <c r="B90" s="506">
        <f>IFERROR(__xludf.DUMMYFUNCTION("""COMPUTED_VALUE"""),45957.6666666666)</f>
        <v/>
      </c>
      <c r="C90" s="141">
        <f>IFERROR(__xludf.DUMMYFUNCTION("""COMPUTED_VALUE"""),81.58)</f>
        <v/>
      </c>
      <c r="D90" s="141">
        <f>IFERROR(__xludf.DUMMYFUNCTION("""COMPUTED_VALUE"""),81.73)</f>
        <v/>
      </c>
      <c r="E90" s="141">
        <f>IFERROR(__xludf.DUMMYFUNCTION("""COMPUTED_VALUE"""),81.5)</f>
        <v/>
      </c>
      <c r="F90" s="141">
        <f>IFERROR(__xludf.DUMMYFUNCTION("""COMPUTED_VALUE"""),81.69)</f>
        <v/>
      </c>
      <c r="G90" s="143">
        <f>IFERROR(__xludf.DUMMYFUNCTION("""COMPUTED_VALUE"""),2056593)</f>
        <v/>
      </c>
      <c r="H90" s="27" t="n"/>
    </row>
    <row r="91" ht="17.25" customHeight="1" s="322">
      <c r="A91" s="27" t="n"/>
      <c r="B91" s="506">
        <f>IFERROR(__xludf.DUMMYFUNCTION("""COMPUTED_VALUE"""),45958.6666666666)</f>
        <v/>
      </c>
      <c r="C91" s="141">
        <f>IFERROR(__xludf.DUMMYFUNCTION("""COMPUTED_VALUE"""),81.53)</f>
        <v/>
      </c>
      <c r="D91" s="141">
        <f>IFERROR(__xludf.DUMMYFUNCTION("""COMPUTED_VALUE"""),81.75)</f>
        <v/>
      </c>
      <c r="E91" s="141">
        <f>IFERROR(__xludf.DUMMYFUNCTION("""COMPUTED_VALUE"""),81.36)</f>
        <v/>
      </c>
      <c r="F91" s="141">
        <f>IFERROR(__xludf.DUMMYFUNCTION("""COMPUTED_VALUE"""),81.48)</f>
        <v/>
      </c>
      <c r="G91" s="143">
        <f>IFERROR(__xludf.DUMMYFUNCTION("""COMPUTED_VALUE"""),2396639)</f>
        <v/>
      </c>
      <c r="H91" s="27" t="n"/>
    </row>
    <row r="92" ht="17.25" customHeight="1" s="322">
      <c r="A92" s="27" t="n"/>
      <c r="B92" s="506">
        <f>IFERROR(__xludf.DUMMYFUNCTION("""COMPUTED_VALUE"""),45959.6666666666)</f>
        <v/>
      </c>
      <c r="C92" s="141">
        <f>IFERROR(__xludf.DUMMYFUNCTION("""COMPUTED_VALUE"""),81.6)</f>
        <v/>
      </c>
      <c r="D92" s="141">
        <f>IFERROR(__xludf.DUMMYFUNCTION("""COMPUTED_VALUE"""),81.66)</f>
        <v/>
      </c>
      <c r="E92" s="141">
        <f>IFERROR(__xludf.DUMMYFUNCTION("""COMPUTED_VALUE"""),80.7)</f>
        <v/>
      </c>
      <c r="F92" s="141">
        <f>IFERROR(__xludf.DUMMYFUNCTION("""COMPUTED_VALUE"""),81.04)</f>
        <v/>
      </c>
      <c r="G92" s="143">
        <f>IFERROR(__xludf.DUMMYFUNCTION("""COMPUTED_VALUE"""),3421559)</f>
        <v/>
      </c>
      <c r="H92" s="27" t="n"/>
    </row>
    <row r="93" ht="17.25" customHeight="1" s="322">
      <c r="A93" s="27" t="n"/>
      <c r="B93" s="506">
        <f>IFERROR(__xludf.DUMMYFUNCTION("""COMPUTED_VALUE"""),45960.6666666666)</f>
        <v/>
      </c>
      <c r="C93" s="141">
        <f>IFERROR(__xludf.DUMMYFUNCTION("""COMPUTED_VALUE"""),80.51)</f>
        <v/>
      </c>
      <c r="D93" s="141">
        <f>IFERROR(__xludf.DUMMYFUNCTION("""COMPUTED_VALUE"""),80.99)</f>
        <v/>
      </c>
      <c r="E93" s="141">
        <f>IFERROR(__xludf.DUMMYFUNCTION("""COMPUTED_VALUE"""),80.42)</f>
        <v/>
      </c>
      <c r="F93" s="141">
        <f>IFERROR(__xludf.DUMMYFUNCTION("""COMPUTED_VALUE"""),80.66)</f>
        <v/>
      </c>
      <c r="G93" s="143">
        <f>IFERROR(__xludf.DUMMYFUNCTION("""COMPUTED_VALUE"""),7230482)</f>
        <v/>
      </c>
      <c r="H93" s="27" t="n"/>
    </row>
    <row r="94" ht="17.25" customHeight="1" s="322">
      <c r="A94" s="27" t="n"/>
      <c r="B94" s="506">
        <f>IFERROR(__xludf.DUMMYFUNCTION("""COMPUTED_VALUE"""),45961.6666666666)</f>
        <v/>
      </c>
      <c r="C94" s="141">
        <f>IFERROR(__xludf.DUMMYFUNCTION("""COMPUTED_VALUE"""),80.33)</f>
        <v/>
      </c>
      <c r="D94" s="141">
        <f>IFERROR(__xludf.DUMMYFUNCTION("""COMPUTED_VALUE"""),80.4)</f>
        <v/>
      </c>
      <c r="E94" s="141">
        <f>IFERROR(__xludf.DUMMYFUNCTION("""COMPUTED_VALUE"""),79.96)</f>
        <v/>
      </c>
      <c r="F94" s="141">
        <f>IFERROR(__xludf.DUMMYFUNCTION("""COMPUTED_VALUE"""),80.3)</f>
        <v/>
      </c>
      <c r="G94" s="143">
        <f>IFERROR(__xludf.DUMMYFUNCTION("""COMPUTED_VALUE"""),4637563)</f>
        <v/>
      </c>
      <c r="H94" s="27" t="n"/>
    </row>
    <row r="95" ht="17.25" customHeight="1" s="322">
      <c r="A95" s="27" t="n"/>
      <c r="B95" s="506">
        <f>IFERROR(__xludf.DUMMYFUNCTION("""COMPUTED_VALUE"""),45964.6666666666)</f>
        <v/>
      </c>
      <c r="C95" s="141">
        <f>IFERROR(__xludf.DUMMYFUNCTION("""COMPUTED_VALUE"""),80.21)</f>
        <v/>
      </c>
      <c r="D95" s="141">
        <f>IFERROR(__xludf.DUMMYFUNCTION("""COMPUTED_VALUE"""),80.34)</f>
        <v/>
      </c>
      <c r="E95" s="141">
        <f>IFERROR(__xludf.DUMMYFUNCTION("""COMPUTED_VALUE"""),80.05)</f>
        <v/>
      </c>
      <c r="F95" s="141">
        <f>IFERROR(__xludf.DUMMYFUNCTION("""COMPUTED_VALUE"""),80.17)</f>
        <v/>
      </c>
      <c r="G95" s="143">
        <f>IFERROR(__xludf.DUMMYFUNCTION("""COMPUTED_VALUE"""),2870869)</f>
        <v/>
      </c>
      <c r="H95" s="27" t="n"/>
    </row>
    <row r="96" ht="17.25" customHeight="1" s="322">
      <c r="A96" s="27" t="n"/>
      <c r="B96" s="506">
        <f>IFERROR(__xludf.DUMMYFUNCTION("""COMPUTED_VALUE"""),45965.6666666666)</f>
        <v/>
      </c>
      <c r="C96" s="141">
        <f>IFERROR(__xludf.DUMMYFUNCTION("""COMPUTED_VALUE"""),79.29)</f>
        <v/>
      </c>
      <c r="D96" s="141">
        <f>IFERROR(__xludf.DUMMYFUNCTION("""COMPUTED_VALUE"""),79.75)</f>
        <v/>
      </c>
      <c r="E96" s="141">
        <f>IFERROR(__xludf.DUMMYFUNCTION("""COMPUTED_VALUE"""),79.11)</f>
        <v/>
      </c>
      <c r="F96" s="141">
        <f>IFERROR(__xludf.DUMMYFUNCTION("""COMPUTED_VALUE"""),79.31)</f>
        <v/>
      </c>
      <c r="G96" s="143">
        <f>IFERROR(__xludf.DUMMYFUNCTION("""COMPUTED_VALUE"""),3213646)</f>
        <v/>
      </c>
      <c r="H96" s="27" t="n"/>
    </row>
    <row r="97" ht="17.25" customHeight="1" s="322">
      <c r="A97" s="27" t="n"/>
      <c r="B97" s="506">
        <f>IFERROR(__xludf.DUMMYFUNCTION("""COMPUTED_VALUE"""),45966.6666666666)</f>
        <v/>
      </c>
      <c r="C97" s="141">
        <f>IFERROR(__xludf.DUMMYFUNCTION("""COMPUTED_VALUE"""),79.53)</f>
        <v/>
      </c>
      <c r="D97" s="141">
        <f>IFERROR(__xludf.DUMMYFUNCTION("""COMPUTED_VALUE"""),80.08)</f>
        <v/>
      </c>
      <c r="E97" s="141">
        <f>IFERROR(__xludf.DUMMYFUNCTION("""COMPUTED_VALUE"""),79.51)</f>
        <v/>
      </c>
      <c r="F97" s="141">
        <f>IFERROR(__xludf.DUMMYFUNCTION("""COMPUTED_VALUE"""),79.97)</f>
        <v/>
      </c>
      <c r="G97" s="143">
        <f>IFERROR(__xludf.DUMMYFUNCTION("""COMPUTED_VALUE"""),4007274)</f>
        <v/>
      </c>
      <c r="H97" s="27" t="n"/>
    </row>
    <row r="98" ht="17.25" customHeight="1" s="322">
      <c r="A98" s="27" t="n"/>
      <c r="B98" s="506">
        <f>IFERROR(__xludf.DUMMYFUNCTION("""COMPUTED_VALUE"""),45967.6666666666)</f>
        <v/>
      </c>
      <c r="C98" s="141">
        <f>IFERROR(__xludf.DUMMYFUNCTION("""COMPUTED_VALUE"""),79.89)</f>
        <v/>
      </c>
      <c r="D98" s="141">
        <f>IFERROR(__xludf.DUMMYFUNCTION("""COMPUTED_VALUE"""),79.98)</f>
        <v/>
      </c>
      <c r="E98" s="141">
        <f>IFERROR(__xludf.DUMMYFUNCTION("""COMPUTED_VALUE"""),79.44)</f>
        <v/>
      </c>
      <c r="F98" s="141">
        <f>IFERROR(__xludf.DUMMYFUNCTION("""COMPUTED_VALUE"""),79.59)</f>
        <v/>
      </c>
      <c r="G98" s="143">
        <f>IFERROR(__xludf.DUMMYFUNCTION("""COMPUTED_VALUE"""),3755949)</f>
        <v/>
      </c>
      <c r="H98" s="27" t="n"/>
    </row>
    <row r="99" ht="17.25" customHeight="1" s="322">
      <c r="A99" s="27" t="n"/>
      <c r="B99" s="506">
        <f>IFERROR(__xludf.DUMMYFUNCTION("""COMPUTED_VALUE"""),45968.6666666666)</f>
        <v/>
      </c>
      <c r="C99" s="141">
        <f>IFERROR(__xludf.DUMMYFUNCTION("""COMPUTED_VALUE"""),79.29)</f>
        <v/>
      </c>
      <c r="D99" s="141">
        <f>IFERROR(__xludf.DUMMYFUNCTION("""COMPUTED_VALUE"""),80)</f>
        <v/>
      </c>
      <c r="E99" s="141">
        <f>IFERROR(__xludf.DUMMYFUNCTION("""COMPUTED_VALUE"""),79.14)</f>
        <v/>
      </c>
      <c r="F99" s="141">
        <f>IFERROR(__xludf.DUMMYFUNCTION("""COMPUTED_VALUE"""),79.98)</f>
        <v/>
      </c>
      <c r="G99" s="143">
        <f>IFERROR(__xludf.DUMMYFUNCTION("""COMPUTED_VALUE"""),3963860)</f>
        <v/>
      </c>
      <c r="H99" s="27" t="n"/>
    </row>
    <row r="100" ht="17.25" customHeight="1" s="322">
      <c r="A100" s="27" t="n"/>
      <c r="B100" s="506">
        <f>IFERROR(__xludf.DUMMYFUNCTION("""COMPUTED_VALUE"""),45971.6666666666)</f>
        <v/>
      </c>
      <c r="C100" s="141">
        <f>IFERROR(__xludf.DUMMYFUNCTION("""COMPUTED_VALUE"""),80.57)</f>
        <v/>
      </c>
      <c r="D100" s="141">
        <f>IFERROR(__xludf.DUMMYFUNCTION("""COMPUTED_VALUE"""),80.97)</f>
        <v/>
      </c>
      <c r="E100" s="141">
        <f>IFERROR(__xludf.DUMMYFUNCTION("""COMPUTED_VALUE"""),80.33)</f>
        <v/>
      </c>
      <c r="F100" s="141">
        <f>IFERROR(__xludf.DUMMYFUNCTION("""COMPUTED_VALUE"""),80.93)</f>
        <v/>
      </c>
      <c r="G100" s="143">
        <f>IFERROR(__xludf.DUMMYFUNCTION("""COMPUTED_VALUE"""),3111010)</f>
        <v/>
      </c>
      <c r="H100" s="27" t="n"/>
    </row>
    <row r="101" ht="17.25" customHeight="1" s="322">
      <c r="A101" s="27" t="n"/>
      <c r="B101" s="506">
        <f>IFERROR(__xludf.DUMMYFUNCTION("""COMPUTED_VALUE"""),45972.6666666666)</f>
        <v/>
      </c>
      <c r="C101" s="141">
        <f>IFERROR(__xludf.DUMMYFUNCTION("""COMPUTED_VALUE"""),81.45)</f>
        <v/>
      </c>
      <c r="D101" s="141">
        <f>IFERROR(__xludf.DUMMYFUNCTION("""COMPUTED_VALUE"""),81.9)</f>
        <v/>
      </c>
      <c r="E101" s="141">
        <f>IFERROR(__xludf.DUMMYFUNCTION("""COMPUTED_VALUE"""),81.44)</f>
        <v/>
      </c>
      <c r="F101" s="141">
        <f>IFERROR(__xludf.DUMMYFUNCTION("""COMPUTED_VALUE"""),81.79)</f>
        <v/>
      </c>
      <c r="G101" s="143">
        <f>IFERROR(__xludf.DUMMYFUNCTION("""COMPUTED_VALUE"""),2512342)</f>
        <v/>
      </c>
      <c r="H101" s="27" t="n"/>
    </row>
    <row r="102" ht="17.25" customHeight="1" s="322">
      <c r="A102" s="27" t="n"/>
      <c r="B102" s="506">
        <f>IFERROR(__xludf.DUMMYFUNCTION("""COMPUTED_VALUE"""),45973.6666666666)</f>
        <v/>
      </c>
      <c r="C102" s="141">
        <f>IFERROR(__xludf.DUMMYFUNCTION("""COMPUTED_VALUE"""),82)</f>
        <v/>
      </c>
      <c r="D102" s="141">
        <f>IFERROR(__xludf.DUMMYFUNCTION("""COMPUTED_VALUE"""),82.37)</f>
        <v/>
      </c>
      <c r="E102" s="141">
        <f>IFERROR(__xludf.DUMMYFUNCTION("""COMPUTED_VALUE"""),81.98)</f>
        <v/>
      </c>
      <c r="F102" s="141">
        <f>IFERROR(__xludf.DUMMYFUNCTION("""COMPUTED_VALUE"""),82.27)</f>
        <v/>
      </c>
      <c r="G102" s="143">
        <f>IFERROR(__xludf.DUMMYFUNCTION("""COMPUTED_VALUE"""),3231184)</f>
        <v/>
      </c>
      <c r="H102" s="27" t="n"/>
    </row>
    <row r="103" ht="17.25" customHeight="1" s="322">
      <c r="A103" s="27" t="n"/>
      <c r="B103" s="506">
        <f>IFERROR(__xludf.DUMMYFUNCTION("""COMPUTED_VALUE"""),45974.6666666666)</f>
        <v/>
      </c>
      <c r="C103" s="141">
        <f>IFERROR(__xludf.DUMMYFUNCTION("""COMPUTED_VALUE"""),82.31)</f>
        <v/>
      </c>
      <c r="D103" s="141">
        <f>IFERROR(__xludf.DUMMYFUNCTION("""COMPUTED_VALUE"""),82.41)</f>
        <v/>
      </c>
      <c r="E103" s="141">
        <f>IFERROR(__xludf.DUMMYFUNCTION("""COMPUTED_VALUE"""),81.6)</f>
        <v/>
      </c>
      <c r="F103" s="141">
        <f>IFERROR(__xludf.DUMMYFUNCTION("""COMPUTED_VALUE"""),81.68)</f>
        <v/>
      </c>
      <c r="G103" s="143">
        <f>IFERROR(__xludf.DUMMYFUNCTION("""COMPUTED_VALUE"""),2995389)</f>
        <v/>
      </c>
      <c r="H103" s="27" t="n"/>
    </row>
    <row r="104" ht="17.25" customHeight="1" s="322">
      <c r="A104" s="27" t="n"/>
      <c r="B104" s="506">
        <f>IFERROR(__xludf.DUMMYFUNCTION("""COMPUTED_VALUE"""),45975.6666666666)</f>
        <v/>
      </c>
      <c r="C104" s="141">
        <f>IFERROR(__xludf.DUMMYFUNCTION("""COMPUTED_VALUE"""),80.75)</f>
        <v/>
      </c>
      <c r="D104" s="141">
        <f>IFERROR(__xludf.DUMMYFUNCTION("""COMPUTED_VALUE"""),81.27)</f>
        <v/>
      </c>
      <c r="E104" s="141">
        <f>IFERROR(__xludf.DUMMYFUNCTION("""COMPUTED_VALUE"""),80.69)</f>
        <v/>
      </c>
      <c r="F104" s="141">
        <f>IFERROR(__xludf.DUMMYFUNCTION("""COMPUTED_VALUE"""),81.06)</f>
        <v/>
      </c>
      <c r="G104" s="143">
        <f>IFERROR(__xludf.DUMMYFUNCTION("""COMPUTED_VALUE"""),1983986)</f>
        <v/>
      </c>
      <c r="H104" s="27" t="n"/>
    </row>
    <row r="105" ht="17.25" customHeight="1" s="322">
      <c r="A105" s="27" t="n"/>
      <c r="B105" s="506">
        <f>IFERROR(__xludf.DUMMYFUNCTION("""COMPUTED_VALUE"""),45978.6666666666)</f>
        <v/>
      </c>
      <c r="C105" s="141">
        <f>IFERROR(__xludf.DUMMYFUNCTION("""COMPUTED_VALUE"""),80.57)</f>
        <v/>
      </c>
      <c r="D105" s="141">
        <f>IFERROR(__xludf.DUMMYFUNCTION("""COMPUTED_VALUE"""),80.79)</f>
        <v/>
      </c>
      <c r="E105" s="141">
        <f>IFERROR(__xludf.DUMMYFUNCTION("""COMPUTED_VALUE"""),79.81)</f>
        <v/>
      </c>
      <c r="F105" s="141">
        <f>IFERROR(__xludf.DUMMYFUNCTION("""COMPUTED_VALUE"""),80.07)</f>
        <v/>
      </c>
      <c r="G105" s="143">
        <f>IFERROR(__xludf.DUMMYFUNCTION("""COMPUTED_VALUE"""),2368613)</f>
        <v/>
      </c>
      <c r="H105" s="27" t="n"/>
    </row>
    <row r="106" ht="17.25" customHeight="1" s="322">
      <c r="A106" s="27" t="n"/>
      <c r="B106" s="506">
        <f>IFERROR(__xludf.DUMMYFUNCTION("""COMPUTED_VALUE"""),45979.6666666666)</f>
        <v/>
      </c>
      <c r="C106" s="141">
        <f>IFERROR(__xludf.DUMMYFUNCTION("""COMPUTED_VALUE"""),79.24)</f>
        <v/>
      </c>
      <c r="D106" s="141">
        <f>IFERROR(__xludf.DUMMYFUNCTION("""COMPUTED_VALUE"""),79.51)</f>
        <v/>
      </c>
      <c r="E106" s="141">
        <f>IFERROR(__xludf.DUMMYFUNCTION("""COMPUTED_VALUE"""),78.77)</f>
        <v/>
      </c>
      <c r="F106" s="141">
        <f>IFERROR(__xludf.DUMMYFUNCTION("""COMPUTED_VALUE"""),79.29)</f>
        <v/>
      </c>
      <c r="G106" s="143">
        <f>IFERROR(__xludf.DUMMYFUNCTION("""COMPUTED_VALUE"""),8319321)</f>
        <v/>
      </c>
      <c r="H106" s="27" t="n"/>
    </row>
    <row r="107" ht="17.25" customHeight="1" s="322">
      <c r="A107" s="27" t="n"/>
      <c r="B107" s="506">
        <f>IFERROR(__xludf.DUMMYFUNCTION("""COMPUTED_VALUE"""),45980.6666666666)</f>
        <v/>
      </c>
      <c r="C107" s="141">
        <f>IFERROR(__xludf.DUMMYFUNCTION("""COMPUTED_VALUE"""),79.21)</f>
        <v/>
      </c>
      <c r="D107" s="141">
        <f>IFERROR(__xludf.DUMMYFUNCTION("""COMPUTED_VALUE"""),79.46)</f>
        <v/>
      </c>
      <c r="E107" s="141">
        <f>IFERROR(__xludf.DUMMYFUNCTION("""COMPUTED_VALUE"""),78.66)</f>
        <v/>
      </c>
      <c r="F107" s="141">
        <f>IFERROR(__xludf.DUMMYFUNCTION("""COMPUTED_VALUE"""),78.98)</f>
        <v/>
      </c>
      <c r="G107" s="143">
        <f>IFERROR(__xludf.DUMMYFUNCTION("""COMPUTED_VALUE"""),2052801)</f>
        <v/>
      </c>
      <c r="H107" s="27" t="n"/>
    </row>
    <row r="108" ht="17.25" customHeight="1" s="322">
      <c r="A108" s="27" t="n"/>
      <c r="B108" s="506">
        <f>IFERROR(__xludf.DUMMYFUNCTION("""COMPUTED_VALUE"""),45981.6666666666)</f>
        <v/>
      </c>
      <c r="C108" s="141">
        <f>IFERROR(__xludf.DUMMYFUNCTION("""COMPUTED_VALUE"""),79.47)</f>
        <v/>
      </c>
      <c r="D108" s="141">
        <f>IFERROR(__xludf.DUMMYFUNCTION("""COMPUTED_VALUE"""),79.63)</f>
        <v/>
      </c>
      <c r="E108" s="141">
        <f>IFERROR(__xludf.DUMMYFUNCTION("""COMPUTED_VALUE"""),77.87)</f>
        <v/>
      </c>
      <c r="F108" s="141">
        <f>IFERROR(__xludf.DUMMYFUNCTION("""COMPUTED_VALUE"""),77.9)</f>
        <v/>
      </c>
      <c r="G108" s="143">
        <f>IFERROR(__xludf.DUMMYFUNCTION("""COMPUTED_VALUE"""),3635363)</f>
        <v/>
      </c>
      <c r="H108" s="27" t="n"/>
    </row>
    <row r="109" ht="17.25" customHeight="1" s="322">
      <c r="A109" s="27" t="n"/>
      <c r="B109" s="506">
        <f>IFERROR(__xludf.DUMMYFUNCTION("""COMPUTED_VALUE"""),45982.6666666666)</f>
        <v/>
      </c>
      <c r="C109" s="141">
        <f>IFERROR(__xludf.DUMMYFUNCTION("""COMPUTED_VALUE"""),78.56)</f>
        <v/>
      </c>
      <c r="D109" s="141">
        <f>IFERROR(__xludf.DUMMYFUNCTION("""COMPUTED_VALUE"""),79.27)</f>
        <v/>
      </c>
      <c r="E109" s="141">
        <f>IFERROR(__xludf.DUMMYFUNCTION("""COMPUTED_VALUE"""),78.34)</f>
        <v/>
      </c>
      <c r="F109" s="141">
        <f>IFERROR(__xludf.DUMMYFUNCTION("""COMPUTED_VALUE"""),79.09)</f>
        <v/>
      </c>
      <c r="G109" s="143">
        <f>IFERROR(__xludf.DUMMYFUNCTION("""COMPUTED_VALUE"""),2850248)</f>
        <v/>
      </c>
      <c r="H109" s="27" t="n"/>
    </row>
    <row r="110" ht="17.25" customHeight="1" s="322">
      <c r="A110" s="27" t="n"/>
      <c r="B110" s="506">
        <f>IFERROR(__xludf.DUMMYFUNCTION("""COMPUTED_VALUE"""),45985.6666666666)</f>
        <v/>
      </c>
      <c r="C110" s="141">
        <f>IFERROR(__xludf.DUMMYFUNCTION("""COMPUTED_VALUE"""),78.85)</f>
        <v/>
      </c>
      <c r="D110" s="141">
        <f>IFERROR(__xludf.DUMMYFUNCTION("""COMPUTED_VALUE"""),79.19)</f>
        <v/>
      </c>
      <c r="E110" s="141">
        <f>IFERROR(__xludf.DUMMYFUNCTION("""COMPUTED_VALUE"""),78.62)</f>
        <v/>
      </c>
      <c r="F110" s="141">
        <f>IFERROR(__xludf.DUMMYFUNCTION("""COMPUTED_VALUE"""),78.89)</f>
        <v/>
      </c>
      <c r="G110" s="143">
        <f>IFERROR(__xludf.DUMMYFUNCTION("""COMPUTED_VALUE"""),4939082)</f>
        <v/>
      </c>
      <c r="H110" s="27" t="n"/>
    </row>
    <row r="111" ht="17.25" customHeight="1" s="322">
      <c r="A111" s="27" t="n"/>
      <c r="B111" s="506">
        <f>IFERROR(__xludf.DUMMYFUNCTION("""COMPUTED_VALUE"""),45986.6666666666)</f>
        <v/>
      </c>
      <c r="C111" s="141">
        <f>IFERROR(__xludf.DUMMYFUNCTION("""COMPUTED_VALUE"""),79.6)</f>
        <v/>
      </c>
      <c r="D111" s="141">
        <f>IFERROR(__xludf.DUMMYFUNCTION("""COMPUTED_VALUE"""),80.28)</f>
        <v/>
      </c>
      <c r="E111" s="141">
        <f>IFERROR(__xludf.DUMMYFUNCTION("""COMPUTED_VALUE"""),79.42)</f>
        <v/>
      </c>
      <c r="F111" s="141">
        <f>IFERROR(__xludf.DUMMYFUNCTION("""COMPUTED_VALUE"""),80.24)</f>
        <v/>
      </c>
      <c r="G111" s="143">
        <f>IFERROR(__xludf.DUMMYFUNCTION("""COMPUTED_VALUE"""),3743823)</f>
        <v/>
      </c>
      <c r="H111" s="27" t="n"/>
    </row>
    <row r="112" ht="17.25" customHeight="1" s="322">
      <c r="A112" s="27" t="n"/>
      <c r="B112" s="506">
        <f>IFERROR(__xludf.DUMMYFUNCTION("""COMPUTED_VALUE"""),45987.6666666666)</f>
        <v/>
      </c>
      <c r="C112" s="141">
        <f>IFERROR(__xludf.DUMMYFUNCTION("""COMPUTED_VALUE"""),80.52)</f>
        <v/>
      </c>
      <c r="D112" s="141">
        <f>IFERROR(__xludf.DUMMYFUNCTION("""COMPUTED_VALUE"""),81.15)</f>
        <v/>
      </c>
      <c r="E112" s="141">
        <f>IFERROR(__xludf.DUMMYFUNCTION("""COMPUTED_VALUE"""),80.51)</f>
        <v/>
      </c>
      <c r="F112" s="141">
        <f>IFERROR(__xludf.DUMMYFUNCTION("""COMPUTED_VALUE"""),81)</f>
        <v/>
      </c>
      <c r="G112" s="143">
        <f>IFERROR(__xludf.DUMMYFUNCTION("""COMPUTED_VALUE"""),1783290)</f>
        <v/>
      </c>
      <c r="H112" s="27" t="n"/>
    </row>
    <row r="113" ht="17.25" customHeight="1" s="322">
      <c r="A113" s="27" t="n"/>
      <c r="B113" s="506">
        <f>IFERROR(__xludf.DUMMYFUNCTION("""COMPUTED_VALUE"""),45989.5520833333)</f>
        <v/>
      </c>
      <c r="C113" s="141">
        <f>IFERROR(__xludf.DUMMYFUNCTION("""COMPUTED_VALUE"""),81.16)</f>
        <v/>
      </c>
      <c r="D113" s="141">
        <f>IFERROR(__xludf.DUMMYFUNCTION("""COMPUTED_VALUE"""),81.55)</f>
        <v/>
      </c>
      <c r="E113" s="141">
        <f>IFERROR(__xludf.DUMMYFUNCTION("""COMPUTED_VALUE"""),81.08)</f>
        <v/>
      </c>
      <c r="F113" s="141">
        <f>IFERROR(__xludf.DUMMYFUNCTION("""COMPUTED_VALUE"""),81.53)</f>
        <v/>
      </c>
      <c r="G113" s="143">
        <f>IFERROR(__xludf.DUMMYFUNCTION("""COMPUTED_VALUE"""),1305396)</f>
        <v/>
      </c>
      <c r="H113" s="27" t="n"/>
    </row>
    <row r="114" ht="17.25" customHeight="1" s="322">
      <c r="A114" s="27" t="n"/>
      <c r="B114" s="506">
        <f>IFERROR(__xludf.DUMMYFUNCTION("""COMPUTED_VALUE"""),45992.6666666666)</f>
        <v/>
      </c>
      <c r="C114" s="141">
        <f>IFERROR(__xludf.DUMMYFUNCTION("""COMPUTED_VALUE"""),81.33)</f>
        <v/>
      </c>
      <c r="D114" s="141">
        <f>IFERROR(__xludf.DUMMYFUNCTION("""COMPUTED_VALUE"""),81.51)</f>
        <v/>
      </c>
      <c r="E114" s="141">
        <f>IFERROR(__xludf.DUMMYFUNCTION("""COMPUTED_VALUE"""),81.09)</f>
        <v/>
      </c>
      <c r="F114" s="141">
        <f>IFERROR(__xludf.DUMMYFUNCTION("""COMPUTED_VALUE"""),81.12)</f>
        <v/>
      </c>
      <c r="G114" s="143">
        <f>IFERROR(__xludf.DUMMYFUNCTION("""COMPUTED_VALUE"""),3126940)</f>
        <v/>
      </c>
      <c r="H114" s="27" t="n"/>
    </row>
    <row r="115" ht="17.25" customHeight="1" s="322">
      <c r="A115" s="27" t="n"/>
      <c r="B115" s="506">
        <f>IFERROR(__xludf.DUMMYFUNCTION("""COMPUTED_VALUE"""),45993.6666666666)</f>
        <v/>
      </c>
      <c r="C115" s="141">
        <f>IFERROR(__xludf.DUMMYFUNCTION("""COMPUTED_VALUE"""),81.4)</f>
        <v/>
      </c>
      <c r="D115" s="141">
        <f>IFERROR(__xludf.DUMMYFUNCTION("""COMPUTED_VALUE"""),81.57)</f>
        <v/>
      </c>
      <c r="E115" s="141">
        <f>IFERROR(__xludf.DUMMYFUNCTION("""COMPUTED_VALUE"""),81.19)</f>
        <v/>
      </c>
      <c r="F115" s="141">
        <f>IFERROR(__xludf.DUMMYFUNCTION("""COMPUTED_VALUE"""),81.49)</f>
        <v/>
      </c>
      <c r="G115" s="143">
        <f>IFERROR(__xludf.DUMMYFUNCTION("""COMPUTED_VALUE"""),2576469)</f>
        <v/>
      </c>
      <c r="H115" s="27" t="n"/>
    </row>
    <row r="116" ht="17.25" customHeight="1" s="322">
      <c r="A116" s="27" t="n"/>
      <c r="B116" s="506">
        <f>IFERROR(__xludf.DUMMYFUNCTION("""COMPUTED_VALUE"""),45994.6666666666)</f>
        <v/>
      </c>
      <c r="C116" s="141">
        <f>IFERROR(__xludf.DUMMYFUNCTION("""COMPUTED_VALUE"""),81.6)</f>
        <v/>
      </c>
      <c r="D116" s="141">
        <f>IFERROR(__xludf.DUMMYFUNCTION("""COMPUTED_VALUE"""),82.08)</f>
        <v/>
      </c>
      <c r="E116" s="141">
        <f>IFERROR(__xludf.DUMMYFUNCTION("""COMPUTED_VALUE"""),81.6)</f>
        <v/>
      </c>
      <c r="F116" s="141">
        <f>IFERROR(__xludf.DUMMYFUNCTION("""COMPUTED_VALUE"""),82.04)</f>
        <v/>
      </c>
      <c r="G116" s="143">
        <f>IFERROR(__xludf.DUMMYFUNCTION("""COMPUTED_VALUE"""),1909735)</f>
        <v/>
      </c>
      <c r="H116" s="27" t="n"/>
    </row>
    <row r="117" ht="17.25" customHeight="1" s="322">
      <c r="A117" s="27" t="n"/>
      <c r="B117" s="506">
        <f>IFERROR(__xludf.DUMMYFUNCTION("""COMPUTED_VALUE"""),45995.6666666666)</f>
        <v/>
      </c>
      <c r="C117" s="141">
        <f>IFERROR(__xludf.DUMMYFUNCTION("""COMPUTED_VALUE"""),82.22)</f>
        <v/>
      </c>
      <c r="D117" s="141">
        <f>IFERROR(__xludf.DUMMYFUNCTION("""COMPUTED_VALUE"""),82.31)</f>
        <v/>
      </c>
      <c r="E117" s="141">
        <f>IFERROR(__xludf.DUMMYFUNCTION("""COMPUTED_VALUE"""),81.88)</f>
        <v/>
      </c>
      <c r="F117" s="141">
        <f>IFERROR(__xludf.DUMMYFUNCTION("""COMPUTED_VALUE"""),81.99)</f>
        <v/>
      </c>
      <c r="G117" s="143">
        <f>IFERROR(__xludf.DUMMYFUNCTION("""COMPUTED_VALUE"""),2118484)</f>
        <v/>
      </c>
      <c r="H117" s="27" t="n"/>
    </row>
    <row r="118" ht="17.25" customHeight="1" s="322">
      <c r="A118" s="27" t="n"/>
      <c r="B118" s="506">
        <f>IFERROR(__xludf.DUMMYFUNCTION("""COMPUTED_VALUE"""),45996.6666666666)</f>
        <v/>
      </c>
      <c r="C118" s="141">
        <f>IFERROR(__xludf.DUMMYFUNCTION("""COMPUTED_VALUE"""),82.32)</f>
        <v/>
      </c>
      <c r="D118" s="141">
        <f>IFERROR(__xludf.DUMMYFUNCTION("""COMPUTED_VALUE"""),82.42)</f>
        <v/>
      </c>
      <c r="E118" s="141">
        <f>IFERROR(__xludf.DUMMYFUNCTION("""COMPUTED_VALUE"""),81.88)</f>
        <v/>
      </c>
      <c r="F118" s="141">
        <f>IFERROR(__xludf.DUMMYFUNCTION("""COMPUTED_VALUE"""),82.02)</f>
        <v/>
      </c>
      <c r="G118" s="143">
        <f>IFERROR(__xludf.DUMMYFUNCTION("""COMPUTED_VALUE"""),1924852)</f>
        <v/>
      </c>
      <c r="H118" s="27" t="n"/>
    </row>
    <row r="119" ht="17.25" customHeight="1" s="322">
      <c r="A119" s="27" t="n"/>
      <c r="B119" s="506">
        <f>IFERROR(__xludf.DUMMYFUNCTION("""COMPUTED_VALUE"""),45999.6666666666)</f>
        <v/>
      </c>
      <c r="C119" s="141">
        <f>IFERROR(__xludf.DUMMYFUNCTION("""COMPUTED_VALUE"""),82.03)</f>
        <v/>
      </c>
      <c r="D119" s="141">
        <f>IFERROR(__xludf.DUMMYFUNCTION("""COMPUTED_VALUE"""),82.07)</f>
        <v/>
      </c>
      <c r="E119" s="141">
        <f>IFERROR(__xludf.DUMMYFUNCTION("""COMPUTED_VALUE"""),81.68)</f>
        <v/>
      </c>
      <c r="F119" s="141">
        <f>IFERROR(__xludf.DUMMYFUNCTION("""COMPUTED_VALUE"""),81.83)</f>
        <v/>
      </c>
      <c r="G119" s="143">
        <f>IFERROR(__xludf.DUMMYFUNCTION("""COMPUTED_VALUE"""),1474439)</f>
        <v/>
      </c>
      <c r="H119" s="27" t="n"/>
    </row>
    <row r="120" ht="17.25" customHeight="1" s="322">
      <c r="A120" s="27" t="n"/>
      <c r="B120" s="506">
        <f>IFERROR(__xludf.DUMMYFUNCTION("""COMPUTED_VALUE"""),46000.6666666666)</f>
        <v/>
      </c>
      <c r="C120" s="141">
        <f>IFERROR(__xludf.DUMMYFUNCTION("""COMPUTED_VALUE"""),81.89)</f>
        <v/>
      </c>
      <c r="D120" s="141">
        <f>IFERROR(__xludf.DUMMYFUNCTION("""COMPUTED_VALUE"""),82)</f>
        <v/>
      </c>
      <c r="E120" s="141">
        <f>IFERROR(__xludf.DUMMYFUNCTION("""COMPUTED_VALUE"""),81.56)</f>
        <v/>
      </c>
      <c r="F120" s="141">
        <f>IFERROR(__xludf.DUMMYFUNCTION("""COMPUTED_VALUE"""),81.61)</f>
        <v/>
      </c>
      <c r="G120" s="143">
        <f>IFERROR(__xludf.DUMMYFUNCTION("""COMPUTED_VALUE"""),2461668)</f>
        <v/>
      </c>
      <c r="H120" s="27" t="n"/>
    </row>
    <row r="121" ht="17.25" customHeight="1" s="322">
      <c r="A121" s="27" t="n"/>
      <c r="B121" s="506">
        <f>IFERROR(__xludf.DUMMYFUNCTION("""COMPUTED_VALUE"""),46001.6666666666)</f>
        <v/>
      </c>
      <c r="C121" s="141">
        <f>IFERROR(__xludf.DUMMYFUNCTION("""COMPUTED_VALUE"""),81.79)</f>
        <v/>
      </c>
      <c r="D121" s="141">
        <f>IFERROR(__xludf.DUMMYFUNCTION("""COMPUTED_VALUE"""),82.75)</f>
        <v/>
      </c>
      <c r="E121" s="141">
        <f>IFERROR(__xludf.DUMMYFUNCTION("""COMPUTED_VALUE"""),81.77)</f>
        <v/>
      </c>
      <c r="F121" s="141">
        <f>IFERROR(__xludf.DUMMYFUNCTION("""COMPUTED_VALUE"""),82.61)</f>
        <v/>
      </c>
      <c r="G121" s="143">
        <f>IFERROR(__xludf.DUMMYFUNCTION("""COMPUTED_VALUE"""),2286984)</f>
        <v/>
      </c>
      <c r="H121" s="27" t="n"/>
    </row>
    <row r="122" ht="17.25" customHeight="1" s="322">
      <c r="A122" s="27" t="n"/>
      <c r="B122" s="506">
        <f>IFERROR(__xludf.DUMMYFUNCTION("""COMPUTED_VALUE"""),46002.6666666666)</f>
        <v/>
      </c>
      <c r="C122" s="141">
        <f>IFERROR(__xludf.DUMMYFUNCTION("""COMPUTED_VALUE"""),82.98)</f>
        <v/>
      </c>
      <c r="D122" s="141">
        <f>IFERROR(__xludf.DUMMYFUNCTION("""COMPUTED_VALUE"""),83.37)</f>
        <v/>
      </c>
      <c r="E122" s="141">
        <f>IFERROR(__xludf.DUMMYFUNCTION("""COMPUTED_VALUE"""),82.92)</f>
        <v/>
      </c>
      <c r="F122" s="141">
        <f>IFERROR(__xludf.DUMMYFUNCTION("""COMPUTED_VALUE"""),83.23)</f>
        <v/>
      </c>
      <c r="G122" s="143">
        <f>IFERROR(__xludf.DUMMYFUNCTION("""COMPUTED_VALUE"""),2574244)</f>
        <v/>
      </c>
      <c r="H122" s="27" t="n"/>
    </row>
    <row r="123" ht="17.25" customHeight="1" s="322">
      <c r="A123" s="27" t="n"/>
      <c r="B123" s="506">
        <f>IFERROR(__xludf.DUMMYFUNCTION("""COMPUTED_VALUE"""),46003.6666666666)</f>
        <v/>
      </c>
      <c r="C123" s="141">
        <f>IFERROR(__xludf.DUMMYFUNCTION("""COMPUTED_VALUE"""),83.19)</f>
        <v/>
      </c>
      <c r="D123" s="141">
        <f>IFERROR(__xludf.DUMMYFUNCTION("""COMPUTED_VALUE"""),83.33)</f>
        <v/>
      </c>
      <c r="E123" s="141">
        <f>IFERROR(__xludf.DUMMYFUNCTION("""COMPUTED_VALUE"""),82.41)</f>
        <v/>
      </c>
      <c r="F123" s="141">
        <f>IFERROR(__xludf.DUMMYFUNCTION("""COMPUTED_VALUE"""),82.69)</f>
        <v/>
      </c>
      <c r="G123" s="143">
        <f>IFERROR(__xludf.DUMMYFUNCTION("""COMPUTED_VALUE"""),2223253)</f>
        <v/>
      </c>
      <c r="H123" s="27" t="n"/>
    </row>
    <row r="124" ht="17.25" customHeight="1" s="322">
      <c r="A124" s="27" t="n"/>
      <c r="B124" s="506">
        <f>IFERROR(__xludf.DUMMYFUNCTION("""COMPUTED_VALUE"""),46006.6666666666)</f>
        <v/>
      </c>
      <c r="C124" s="141">
        <f>IFERROR(__xludf.DUMMYFUNCTION("""COMPUTED_VALUE"""),83.29)</f>
        <v/>
      </c>
      <c r="D124" s="141">
        <f>IFERROR(__xludf.DUMMYFUNCTION("""COMPUTED_VALUE"""),83.44)</f>
        <v/>
      </c>
      <c r="E124" s="141">
        <f>IFERROR(__xludf.DUMMYFUNCTION("""COMPUTED_VALUE"""),83.01)</f>
        <v/>
      </c>
      <c r="F124" s="141">
        <f>IFERROR(__xludf.DUMMYFUNCTION("""COMPUTED_VALUE"""),83.23)</f>
        <v/>
      </c>
      <c r="G124" s="143">
        <f>IFERROR(__xludf.DUMMYFUNCTION("""COMPUTED_VALUE"""),2597095)</f>
        <v/>
      </c>
      <c r="H124" s="27" t="n"/>
    </row>
    <row r="125" ht="17.25" customHeight="1" s="322">
      <c r="A125" s="27" t="n"/>
      <c r="B125" s="506">
        <f>IFERROR(__xludf.DUMMYFUNCTION("""COMPUTED_VALUE"""),46007.6666666666)</f>
        <v/>
      </c>
      <c r="C125" s="141">
        <f>IFERROR(__xludf.DUMMYFUNCTION("""COMPUTED_VALUE"""),83.31)</f>
        <v/>
      </c>
      <c r="D125" s="141">
        <f>IFERROR(__xludf.DUMMYFUNCTION("""COMPUTED_VALUE"""),83.36)</f>
        <v/>
      </c>
      <c r="E125" s="141">
        <f>IFERROR(__xludf.DUMMYFUNCTION("""COMPUTED_VALUE"""),82.79)</f>
        <v/>
      </c>
      <c r="F125" s="141">
        <f>IFERROR(__xludf.DUMMYFUNCTION("""COMPUTED_VALUE"""),83.05)</f>
        <v/>
      </c>
      <c r="G125" s="143">
        <f>IFERROR(__xludf.DUMMYFUNCTION("""COMPUTED_VALUE"""),2779045)</f>
        <v/>
      </c>
      <c r="H125" s="27" t="n"/>
    </row>
    <row r="126" ht="17.25" customHeight="1" s="322">
      <c r="A126" s="27" t="n"/>
      <c r="B126" s="506">
        <f>IFERROR(__xludf.DUMMYFUNCTION("""COMPUTED_VALUE"""),46008.6666666666)</f>
        <v/>
      </c>
      <c r="C126" s="141">
        <f>IFERROR(__xludf.DUMMYFUNCTION("""COMPUTED_VALUE"""),82.98)</f>
        <v/>
      </c>
      <c r="D126" s="141">
        <f>IFERROR(__xludf.DUMMYFUNCTION("""COMPUTED_VALUE"""),83.21)</f>
        <v/>
      </c>
      <c r="E126" s="141">
        <f>IFERROR(__xludf.DUMMYFUNCTION("""COMPUTED_VALUE"""),82.58)</f>
        <v/>
      </c>
      <c r="F126" s="141">
        <f>IFERROR(__xludf.DUMMYFUNCTION("""COMPUTED_VALUE"""),82.6)</f>
        <v/>
      </c>
      <c r="G126" s="143">
        <f>IFERROR(__xludf.DUMMYFUNCTION("""COMPUTED_VALUE"""),2186395)</f>
        <v/>
      </c>
      <c r="H126" s="27" t="n"/>
    </row>
    <row r="127" ht="17.25" customHeight="1" s="322">
      <c r="A127" s="27" t="n"/>
      <c r="B127" s="506">
        <f>IFERROR(__xludf.DUMMYFUNCTION("""COMPUTED_VALUE"""),46009.6666666666)</f>
        <v/>
      </c>
      <c r="C127" s="141">
        <f>IFERROR(__xludf.DUMMYFUNCTION("""COMPUTED_VALUE"""),83.28)</f>
        <v/>
      </c>
      <c r="D127" s="141">
        <f>IFERROR(__xludf.DUMMYFUNCTION("""COMPUTED_VALUE"""),83.63)</f>
        <v/>
      </c>
      <c r="E127" s="141">
        <f>IFERROR(__xludf.DUMMYFUNCTION("""COMPUTED_VALUE"""),83)</f>
        <v/>
      </c>
      <c r="F127" s="141">
        <f>IFERROR(__xludf.DUMMYFUNCTION("""COMPUTED_VALUE"""),83.19)</f>
        <v/>
      </c>
      <c r="G127" s="143">
        <f>IFERROR(__xludf.DUMMYFUNCTION("""COMPUTED_VALUE"""),2943648)</f>
        <v/>
      </c>
      <c r="H127" s="27" t="n"/>
    </row>
    <row r="128" ht="17.25" customHeight="1" s="322">
      <c r="A128" s="27" t="n"/>
      <c r="B128" s="506">
        <f>IFERROR(__xludf.DUMMYFUNCTION("""COMPUTED_VALUE"""),46010.6666666666)</f>
        <v/>
      </c>
      <c r="C128" s="141">
        <f>IFERROR(__xludf.DUMMYFUNCTION("""COMPUTED_VALUE"""),82.76)</f>
        <v/>
      </c>
      <c r="D128" s="141">
        <f>IFERROR(__xludf.DUMMYFUNCTION("""COMPUTED_VALUE"""),83.16)</f>
        <v/>
      </c>
      <c r="E128" s="141">
        <f>IFERROR(__xludf.DUMMYFUNCTION("""COMPUTED_VALUE"""),82.74)</f>
        <v/>
      </c>
      <c r="F128" s="141">
        <f>IFERROR(__xludf.DUMMYFUNCTION("""COMPUTED_VALUE"""),82.79)</f>
        <v/>
      </c>
      <c r="G128" s="143">
        <f>IFERROR(__xludf.DUMMYFUNCTION("""COMPUTED_VALUE"""),3560265)</f>
        <v/>
      </c>
      <c r="H128" s="27" t="n"/>
    </row>
    <row r="129" ht="17.25" customHeight="1" s="322">
      <c r="A129" s="27" t="n"/>
      <c r="B129" s="506">
        <f>IFERROR(__xludf.DUMMYFUNCTION("""COMPUTED_VALUE"""),46013.6666666666)</f>
        <v/>
      </c>
      <c r="C129" s="141">
        <f>IFERROR(__xludf.DUMMYFUNCTION("""COMPUTED_VALUE"""),83)</f>
        <v/>
      </c>
      <c r="D129" s="141">
        <f>IFERROR(__xludf.DUMMYFUNCTION("""COMPUTED_VALUE"""),83.24)</f>
        <v/>
      </c>
      <c r="E129" s="141">
        <f>IFERROR(__xludf.DUMMYFUNCTION("""COMPUTED_VALUE"""),82.93)</f>
        <v/>
      </c>
      <c r="F129" s="141">
        <f>IFERROR(__xludf.DUMMYFUNCTION("""COMPUTED_VALUE"""),83.23)</f>
        <v/>
      </c>
      <c r="G129" s="143">
        <f>IFERROR(__xludf.DUMMYFUNCTION("""COMPUTED_VALUE"""),3259902)</f>
        <v/>
      </c>
      <c r="H129" s="27" t="n"/>
    </row>
    <row r="130" ht="17.25" customHeight="1" s="322">
      <c r="A130" s="27" t="n"/>
      <c r="B130" s="506">
        <f>IFERROR(__xludf.DUMMYFUNCTION("""COMPUTED_VALUE"""),46014.6666666666)</f>
        <v/>
      </c>
      <c r="C130" s="141">
        <f>IFERROR(__xludf.DUMMYFUNCTION("""COMPUTED_VALUE"""),83.56)</f>
        <v/>
      </c>
      <c r="D130" s="141">
        <f>IFERROR(__xludf.DUMMYFUNCTION("""COMPUTED_VALUE"""),83.67)</f>
        <v/>
      </c>
      <c r="E130" s="141">
        <f>IFERROR(__xludf.DUMMYFUNCTION("""COMPUTED_VALUE"""),83.44)</f>
        <v/>
      </c>
      <c r="F130" s="141">
        <f>IFERROR(__xludf.DUMMYFUNCTION("""COMPUTED_VALUE"""),83.61)</f>
        <v/>
      </c>
      <c r="G130" s="143">
        <f>IFERROR(__xludf.DUMMYFUNCTION("""COMPUTED_VALUE"""),2678505)</f>
        <v/>
      </c>
      <c r="H130" s="27" t="n"/>
    </row>
    <row r="131" ht="17.25" customHeight="1" s="322">
      <c r="A131" s="27" t="n"/>
      <c r="B131" s="506">
        <f>IFERROR(__xludf.DUMMYFUNCTION("""COMPUTED_VALUE"""),46015.5416666666)</f>
        <v/>
      </c>
      <c r="C131" s="141">
        <f>IFERROR(__xludf.DUMMYFUNCTION("""COMPUTED_VALUE"""),83.71)</f>
        <v/>
      </c>
      <c r="D131" s="141">
        <f>IFERROR(__xludf.DUMMYFUNCTION("""COMPUTED_VALUE"""),83.88)</f>
        <v/>
      </c>
      <c r="E131" s="141">
        <f>IFERROR(__xludf.DUMMYFUNCTION("""COMPUTED_VALUE"""),83.61)</f>
        <v/>
      </c>
      <c r="F131" s="141">
        <f>IFERROR(__xludf.DUMMYFUNCTION("""COMPUTED_VALUE"""),83.73)</f>
        <v/>
      </c>
      <c r="G131" s="143">
        <f>IFERROR(__xludf.DUMMYFUNCTION("""COMPUTED_VALUE"""),1427877)</f>
        <v/>
      </c>
      <c r="H131" s="27" t="n"/>
    </row>
    <row r="132" ht="17.25" customHeight="1" s="322">
      <c r="A132" s="27" t="n"/>
      <c r="B132" s="506">
        <f>IFERROR(__xludf.DUMMYFUNCTION("""COMPUTED_VALUE"""),46017.6666666666)</f>
        <v/>
      </c>
      <c r="C132" s="141">
        <f>IFERROR(__xludf.DUMMYFUNCTION("""COMPUTED_VALUE"""),83.86)</f>
        <v/>
      </c>
      <c r="D132" s="141">
        <f>IFERROR(__xludf.DUMMYFUNCTION("""COMPUTED_VALUE"""),83.99)</f>
        <v/>
      </c>
      <c r="E132" s="141">
        <f>IFERROR(__xludf.DUMMYFUNCTION("""COMPUTED_VALUE"""),83.75)</f>
        <v/>
      </c>
      <c r="F132" s="141">
        <f>IFERROR(__xludf.DUMMYFUNCTION("""COMPUTED_VALUE"""),83.97)</f>
        <v/>
      </c>
      <c r="G132" s="143">
        <f>IFERROR(__xludf.DUMMYFUNCTION("""COMPUTED_VALUE"""),1233551)</f>
        <v/>
      </c>
      <c r="H132" s="27" t="n"/>
    </row>
    <row r="133" ht="17.25" customHeight="1" s="322">
      <c r="A133" s="27" t="n"/>
      <c r="B133" s="506">
        <f>IFERROR(__xludf.DUMMYFUNCTION("""COMPUTED_VALUE"""),46020.6666666666)</f>
        <v/>
      </c>
      <c r="C133" s="141">
        <f>IFERROR(__xludf.DUMMYFUNCTION("""COMPUTED_VALUE"""),83.87)</f>
        <v/>
      </c>
      <c r="D133" s="141">
        <f>IFERROR(__xludf.DUMMYFUNCTION("""COMPUTED_VALUE"""),84)</f>
        <v/>
      </c>
      <c r="E133" s="141">
        <f>IFERROR(__xludf.DUMMYFUNCTION("""COMPUTED_VALUE"""),83.51)</f>
        <v/>
      </c>
      <c r="F133" s="141">
        <f>IFERROR(__xludf.DUMMYFUNCTION("""COMPUTED_VALUE"""),83.67)</f>
        <v/>
      </c>
      <c r="G133" s="143">
        <f>IFERROR(__xludf.DUMMYFUNCTION("""COMPUTED_VALUE"""),1844020)</f>
        <v/>
      </c>
      <c r="H133" s="27" t="n"/>
    </row>
    <row r="134" ht="17.25" customHeight="1" s="322">
      <c r="A134" s="27" t="n"/>
      <c r="B134" s="506">
        <f>IFERROR(__xludf.DUMMYFUNCTION("""COMPUTED_VALUE"""),46021.6666666666)</f>
        <v/>
      </c>
      <c r="C134" s="141">
        <f>IFERROR(__xludf.DUMMYFUNCTION("""COMPUTED_VALUE"""),84.06)</f>
        <v/>
      </c>
      <c r="D134" s="141">
        <f>IFERROR(__xludf.DUMMYFUNCTION("""COMPUTED_VALUE"""),84.26)</f>
        <v/>
      </c>
      <c r="E134" s="141">
        <f>IFERROR(__xludf.DUMMYFUNCTION("""COMPUTED_VALUE"""),83.95)</f>
        <v/>
      </c>
      <c r="F134" s="141">
        <f>IFERROR(__xludf.DUMMYFUNCTION("""COMPUTED_VALUE"""),83.95)</f>
        <v/>
      </c>
      <c r="G134" s="143">
        <f>IFERROR(__xludf.DUMMYFUNCTION("""COMPUTED_VALUE"""),1543259)</f>
        <v/>
      </c>
      <c r="H134" s="27" t="n"/>
    </row>
    <row r="135" ht="17.25" customHeight="1" s="322">
      <c r="A135" s="27" t="n"/>
      <c r="B135" s="506">
        <f>IFERROR(__xludf.DUMMYFUNCTION("""COMPUTED_VALUE"""),46022.6666666666)</f>
        <v/>
      </c>
      <c r="C135" s="141">
        <f>IFERROR(__xludf.DUMMYFUNCTION("""COMPUTED_VALUE"""),83.95)</f>
        <v/>
      </c>
      <c r="D135" s="141">
        <f>IFERROR(__xludf.DUMMYFUNCTION("""COMPUTED_VALUE"""),84)</f>
        <v/>
      </c>
      <c r="E135" s="141">
        <f>IFERROR(__xludf.DUMMYFUNCTION("""COMPUTED_VALUE"""),83.53)</f>
        <v/>
      </c>
      <c r="F135" s="141">
        <f>IFERROR(__xludf.DUMMYFUNCTION("""COMPUTED_VALUE"""),83.61)</f>
        <v/>
      </c>
      <c r="G135" s="143">
        <f>IFERROR(__xludf.DUMMYFUNCTION("""COMPUTED_VALUE"""),2299771)</f>
        <v/>
      </c>
      <c r="H135" s="27" t="n"/>
    </row>
    <row r="136" ht="17.25" customHeight="1" s="322">
      <c r="A136" s="27" t="n"/>
      <c r="B136" s="506">
        <f>IFERROR(__xludf.DUMMYFUNCTION("""COMPUTED_VALUE"""),46024.6666666666)</f>
        <v/>
      </c>
      <c r="C136" s="141">
        <f>IFERROR(__xludf.DUMMYFUNCTION("""COMPUTED_VALUE"""),84.42)</f>
        <v/>
      </c>
      <c r="D136" s="141">
        <f>IFERROR(__xludf.DUMMYFUNCTION("""COMPUTED_VALUE"""),84.59)</f>
        <v/>
      </c>
      <c r="E136" s="141">
        <f>IFERROR(__xludf.DUMMYFUNCTION("""COMPUTED_VALUE"""),84.17)</f>
        <v/>
      </c>
      <c r="F136" s="141">
        <f>IFERROR(__xludf.DUMMYFUNCTION("""COMPUTED_VALUE"""),84.56)</f>
        <v/>
      </c>
      <c r="G136" s="143">
        <f>IFERROR(__xludf.DUMMYFUNCTION("""COMPUTED_VALUE"""),4151168)</f>
        <v/>
      </c>
      <c r="H136" s="27" t="n"/>
    </row>
    <row r="137" ht="17.25" customHeight="1" s="322">
      <c r="A137" s="27" t="n"/>
      <c r="B137" s="506">
        <f>IFERROR(__xludf.DUMMYFUNCTION("""COMPUTED_VALUE"""),46027.6666666666)</f>
        <v/>
      </c>
      <c r="C137" s="141">
        <f>IFERROR(__xludf.DUMMYFUNCTION("""COMPUTED_VALUE"""),84.44)</f>
        <v/>
      </c>
      <c r="D137" s="141">
        <f>IFERROR(__xludf.DUMMYFUNCTION("""COMPUTED_VALUE"""),85.26)</f>
        <v/>
      </c>
      <c r="E137" s="141">
        <f>IFERROR(__xludf.DUMMYFUNCTION("""COMPUTED_VALUE"""),84.42)</f>
        <v/>
      </c>
      <c r="F137" s="141">
        <f>IFERROR(__xludf.DUMMYFUNCTION("""COMPUTED_VALUE"""),85.23)</f>
        <v/>
      </c>
      <c r="G137" s="143">
        <f>IFERROR(__xludf.DUMMYFUNCTION("""COMPUTED_VALUE"""),4803196)</f>
        <v/>
      </c>
      <c r="H137" s="27" t="n"/>
    </row>
    <row r="138" ht="17.25" customHeight="1" s="322">
      <c r="A138" s="27" t="n"/>
      <c r="B138" s="506">
        <f>IFERROR(__xludf.DUMMYFUNCTION("""COMPUTED_VALUE"""),46028.6666666666)</f>
        <v/>
      </c>
      <c r="C138" s="141">
        <f>IFERROR(__xludf.DUMMYFUNCTION("""COMPUTED_VALUE"""),85.45)</f>
        <v/>
      </c>
      <c r="D138" s="141">
        <f>IFERROR(__xludf.DUMMYFUNCTION("""COMPUTED_VALUE"""),85.62)</f>
        <v/>
      </c>
      <c r="E138" s="141">
        <f>IFERROR(__xludf.DUMMYFUNCTION("""COMPUTED_VALUE"""),85.29)</f>
        <v/>
      </c>
      <c r="F138" s="141">
        <f>IFERROR(__xludf.DUMMYFUNCTION("""COMPUTED_VALUE"""),85.44)</f>
        <v/>
      </c>
      <c r="G138" s="143">
        <f>IFERROR(__xludf.DUMMYFUNCTION("""COMPUTED_VALUE"""),3293040)</f>
        <v/>
      </c>
      <c r="H138" s="27" t="n"/>
    </row>
    <row r="139" ht="17.25" customHeight="1" s="322">
      <c r="A139" s="27" t="n"/>
      <c r="B139" s="506">
        <f>IFERROR(__xludf.DUMMYFUNCTION("""COMPUTED_VALUE"""),46029.6666666666)</f>
        <v/>
      </c>
      <c r="C139" s="141">
        <f>IFERROR(__xludf.DUMMYFUNCTION("""COMPUTED_VALUE"""),85.3)</f>
        <v/>
      </c>
      <c r="D139" s="141">
        <f>IFERROR(__xludf.DUMMYFUNCTION("""COMPUTED_VALUE"""),85.44)</f>
        <v/>
      </c>
      <c r="E139" s="141">
        <f>IFERROR(__xludf.DUMMYFUNCTION("""COMPUTED_VALUE"""),85.1)</f>
        <v/>
      </c>
      <c r="F139" s="141">
        <f>IFERROR(__xludf.DUMMYFUNCTION("""COMPUTED_VALUE"""),85.19)</f>
        <v/>
      </c>
      <c r="G139" s="143">
        <f>IFERROR(__xludf.DUMMYFUNCTION("""COMPUTED_VALUE"""),4374708)</f>
        <v/>
      </c>
      <c r="H139" s="27" t="n"/>
    </row>
    <row r="140" ht="17.25" customHeight="1" s="322">
      <c r="A140" s="27" t="n"/>
      <c r="B140" s="506">
        <f>IFERROR(__xludf.DUMMYFUNCTION("""COMPUTED_VALUE"""),46030.6666666666)</f>
        <v/>
      </c>
      <c r="C140" s="141">
        <f>IFERROR(__xludf.DUMMYFUNCTION("""COMPUTED_VALUE"""),84.85)</f>
        <v/>
      </c>
      <c r="D140" s="141">
        <f>IFERROR(__xludf.DUMMYFUNCTION("""COMPUTED_VALUE"""),85.2)</f>
        <v/>
      </c>
      <c r="E140" s="141">
        <f>IFERROR(__xludf.DUMMYFUNCTION("""COMPUTED_VALUE"""),84.82)</f>
        <v/>
      </c>
      <c r="F140" s="141">
        <f>IFERROR(__xludf.DUMMYFUNCTION("""COMPUTED_VALUE"""),85.18)</f>
        <v/>
      </c>
      <c r="G140" s="143">
        <f>IFERROR(__xludf.DUMMYFUNCTION("""COMPUTED_VALUE"""),2509366)</f>
        <v/>
      </c>
      <c r="H140" s="27" t="n"/>
    </row>
    <row r="141" ht="17.25" customHeight="1" s="322">
      <c r="A141" s="27" t="n"/>
      <c r="B141" s="506">
        <f>IFERROR(__xludf.DUMMYFUNCTION("""COMPUTED_VALUE"""),46031.6666666666)</f>
        <v/>
      </c>
      <c r="C141" s="141">
        <f>IFERROR(__xludf.DUMMYFUNCTION("""COMPUTED_VALUE"""),85.45)</f>
        <v/>
      </c>
      <c r="D141" s="141">
        <f>IFERROR(__xludf.DUMMYFUNCTION("""COMPUTED_VALUE"""),85.83)</f>
        <v/>
      </c>
      <c r="E141" s="141">
        <f>IFERROR(__xludf.DUMMYFUNCTION("""COMPUTED_VALUE"""),85.25)</f>
        <v/>
      </c>
      <c r="F141" s="141">
        <f>IFERROR(__xludf.DUMMYFUNCTION("""COMPUTED_VALUE"""),85.77)</f>
        <v/>
      </c>
      <c r="G141" s="143">
        <f>IFERROR(__xludf.DUMMYFUNCTION("""COMPUTED_VALUE"""),2072126)</f>
        <v/>
      </c>
      <c r="H141" s="27" t="n"/>
    </row>
    <row r="142" ht="17.25" customHeight="1" s="322">
      <c r="A142" s="27" t="n"/>
      <c r="B142" s="506">
        <f>IFERROR(__xludf.DUMMYFUNCTION("""COMPUTED_VALUE"""),46034.6666666666)</f>
        <v/>
      </c>
      <c r="C142" s="141">
        <f>IFERROR(__xludf.DUMMYFUNCTION("""COMPUTED_VALUE"""),86.03)</f>
        <v/>
      </c>
      <c r="D142" s="141">
        <f>IFERROR(__xludf.DUMMYFUNCTION("""COMPUTED_VALUE"""),86.26)</f>
        <v/>
      </c>
      <c r="E142" s="141">
        <f>IFERROR(__xludf.DUMMYFUNCTION("""COMPUTED_VALUE"""),85.97)</f>
        <v/>
      </c>
      <c r="F142" s="141">
        <f>IFERROR(__xludf.DUMMYFUNCTION("""COMPUTED_VALUE"""),86.24)</f>
        <v/>
      </c>
      <c r="G142" s="143">
        <f>IFERROR(__xludf.DUMMYFUNCTION("""COMPUTED_VALUE"""),3351044)</f>
        <v/>
      </c>
      <c r="H142" s="27" t="n"/>
    </row>
    <row r="143" ht="17.25" customHeight="1" s="322">
      <c r="A143" s="27" t="n"/>
      <c r="B143" s="506">
        <f>IFERROR(__xludf.DUMMYFUNCTION("""COMPUTED_VALUE"""),46035.6666666666)</f>
        <v/>
      </c>
      <c r="C143" s="141">
        <f>IFERROR(__xludf.DUMMYFUNCTION("""COMPUTED_VALUE"""),86.13)</f>
        <v/>
      </c>
      <c r="D143" s="141">
        <f>IFERROR(__xludf.DUMMYFUNCTION("""COMPUTED_VALUE"""),86.14)</f>
        <v/>
      </c>
      <c r="E143" s="141">
        <f>IFERROR(__xludf.DUMMYFUNCTION("""COMPUTED_VALUE"""),85.64)</f>
        <v/>
      </c>
      <c r="F143" s="141">
        <f>IFERROR(__xludf.DUMMYFUNCTION("""COMPUTED_VALUE"""),85.79)</f>
        <v/>
      </c>
      <c r="G143" s="143">
        <f>IFERROR(__xludf.DUMMYFUNCTION("""COMPUTED_VALUE"""),2447261)</f>
        <v/>
      </c>
      <c r="H143" s="27" t="n"/>
    </row>
    <row r="144" ht="17.25" customHeight="1" s="322">
      <c r="A144" s="27" t="n"/>
      <c r="B144" s="506">
        <f>IFERROR(__xludf.DUMMYFUNCTION("""COMPUTED_VALUE"""),46036.6666666666)</f>
        <v/>
      </c>
      <c r="C144" s="141">
        <f>IFERROR(__xludf.DUMMYFUNCTION("""COMPUTED_VALUE"""),85.99)</f>
        <v/>
      </c>
      <c r="D144" s="141">
        <f>IFERROR(__xludf.DUMMYFUNCTION("""COMPUTED_VALUE"""),86.14)</f>
        <v/>
      </c>
      <c r="E144" s="141">
        <f>IFERROR(__xludf.DUMMYFUNCTION("""COMPUTED_VALUE"""),85.79)</f>
        <v/>
      </c>
      <c r="F144" s="141">
        <f>IFERROR(__xludf.DUMMYFUNCTION("""COMPUTED_VALUE"""),86.12)</f>
        <v/>
      </c>
      <c r="G144" s="143">
        <f>IFERROR(__xludf.DUMMYFUNCTION("""COMPUTED_VALUE"""),3671759)</f>
        <v/>
      </c>
      <c r="H144" s="27" t="n"/>
    </row>
    <row r="145" ht="17.25" customHeight="1" s="322">
      <c r="A145" s="27" t="n"/>
      <c r="B145" s="506">
        <f>IFERROR(__xludf.DUMMYFUNCTION("""COMPUTED_VALUE"""),46037.6666666666)</f>
        <v/>
      </c>
      <c r="C145" s="141">
        <f>IFERROR(__xludf.DUMMYFUNCTION("""COMPUTED_VALUE"""),86.14)</f>
        <v/>
      </c>
      <c r="D145" s="141">
        <f>IFERROR(__xludf.DUMMYFUNCTION("""COMPUTED_VALUE"""),86.25)</f>
        <v/>
      </c>
      <c r="E145" s="141">
        <f>IFERROR(__xludf.DUMMYFUNCTION("""COMPUTED_VALUE"""),85.87)</f>
        <v/>
      </c>
      <c r="F145" s="141">
        <f>IFERROR(__xludf.DUMMYFUNCTION("""COMPUTED_VALUE"""),85.91)</f>
        <v/>
      </c>
      <c r="G145" s="143">
        <f>IFERROR(__xludf.DUMMYFUNCTION("""COMPUTED_VALUE"""),2715173)</f>
        <v/>
      </c>
      <c r="H145" s="27" t="n"/>
    </row>
    <row r="146" ht="17.25" customHeight="1" s="322">
      <c r="A146" s="27" t="n"/>
      <c r="B146" s="506">
        <f>IFERROR(__xludf.DUMMYFUNCTION("""COMPUTED_VALUE"""),46038.6666666666)</f>
        <v/>
      </c>
      <c r="C146" s="141">
        <f>IFERROR(__xludf.DUMMYFUNCTION("""COMPUTED_VALUE"""),86.13)</f>
        <v/>
      </c>
      <c r="D146" s="141">
        <f>IFERROR(__xludf.DUMMYFUNCTION("""COMPUTED_VALUE"""),86.22)</f>
        <v/>
      </c>
      <c r="E146" s="141">
        <f>IFERROR(__xludf.DUMMYFUNCTION("""COMPUTED_VALUE"""),85.74)</f>
        <v/>
      </c>
      <c r="F146" s="141">
        <f>IFERROR(__xludf.DUMMYFUNCTION("""COMPUTED_VALUE"""),86.17)</f>
        <v/>
      </c>
      <c r="G146" s="143">
        <f>IFERROR(__xludf.DUMMYFUNCTION("""COMPUTED_VALUE"""),1799601)</f>
        <v/>
      </c>
      <c r="H146" s="27" t="n"/>
    </row>
    <row r="147" ht="17.25" customHeight="1" s="322">
      <c r="A147" s="27" t="n"/>
      <c r="B147" s="506">
        <f>IFERROR(__xludf.DUMMYFUNCTION("""COMPUTED_VALUE"""),46042.6666666666)</f>
        <v/>
      </c>
      <c r="C147" s="141">
        <f>IFERROR(__xludf.DUMMYFUNCTION("""COMPUTED_VALUE"""),84.97)</f>
        <v/>
      </c>
      <c r="D147" s="141">
        <f>IFERROR(__xludf.DUMMYFUNCTION("""COMPUTED_VALUE"""),85.54)</f>
        <v/>
      </c>
      <c r="E147" s="141">
        <f>IFERROR(__xludf.DUMMYFUNCTION("""COMPUTED_VALUE"""),84.81)</f>
        <v/>
      </c>
      <c r="F147" s="141">
        <f>IFERROR(__xludf.DUMMYFUNCTION("""COMPUTED_VALUE"""),84.96)</f>
        <v/>
      </c>
      <c r="G147" s="143">
        <f>IFERROR(__xludf.DUMMYFUNCTION("""COMPUTED_VALUE"""),3977899)</f>
        <v/>
      </c>
      <c r="H147" s="27" t="n"/>
    </row>
    <row r="148" ht="17.25" customHeight="1" s="322">
      <c r="A148" s="27" t="n"/>
      <c r="B148" s="506">
        <f>IFERROR(__xludf.DUMMYFUNCTION("""COMPUTED_VALUE"""),46043.6666666666)</f>
        <v/>
      </c>
      <c r="C148" s="141">
        <f>IFERROR(__xludf.DUMMYFUNCTION("""COMPUTED_VALUE"""),85.16)</f>
        <v/>
      </c>
      <c r="D148" s="141">
        <f>IFERROR(__xludf.DUMMYFUNCTION("""COMPUTED_VALUE"""),86.05)</f>
        <v/>
      </c>
      <c r="E148" s="141">
        <f>IFERROR(__xludf.DUMMYFUNCTION("""COMPUTED_VALUE"""),84.72)</f>
        <v/>
      </c>
      <c r="F148" s="141">
        <f>IFERROR(__xludf.DUMMYFUNCTION("""COMPUTED_VALUE"""),85.81)</f>
        <v/>
      </c>
      <c r="G148" s="143">
        <f>IFERROR(__xludf.DUMMYFUNCTION("""COMPUTED_VALUE"""),4563652)</f>
        <v/>
      </c>
      <c r="H148" s="27" t="n"/>
    </row>
    <row r="149" ht="17.25" customHeight="1" s="322">
      <c r="A149" s="27" t="n"/>
      <c r="B149" s="506">
        <f>IFERROR(__xludf.DUMMYFUNCTION("""COMPUTED_VALUE"""),46044.6666666666)</f>
        <v/>
      </c>
      <c r="C149" s="141">
        <f>IFERROR(__xludf.DUMMYFUNCTION("""COMPUTED_VALUE"""),86.25)</f>
        <v/>
      </c>
      <c r="D149" s="141">
        <f>IFERROR(__xludf.DUMMYFUNCTION("""COMPUTED_VALUE"""),86.52)</f>
        <v/>
      </c>
      <c r="E149" s="141">
        <f>IFERROR(__xludf.DUMMYFUNCTION("""COMPUTED_VALUE"""),86.02)</f>
        <v/>
      </c>
      <c r="F149" s="141">
        <f>IFERROR(__xludf.DUMMYFUNCTION("""COMPUTED_VALUE"""),86.32)</f>
        <v/>
      </c>
      <c r="G149" s="143">
        <f>IFERROR(__xludf.DUMMYFUNCTION("""COMPUTED_VALUE"""),2398342)</f>
        <v/>
      </c>
      <c r="H149" s="27" t="n"/>
    </row>
    <row r="150" ht="17.25" customHeight="1" s="322">
      <c r="A150" s="27" t="n"/>
      <c r="B150" s="506">
        <f>IFERROR(__xludf.DUMMYFUNCTION("""COMPUTED_VALUE"""),46045.6666666666)</f>
        <v/>
      </c>
      <c r="C150" s="141">
        <f>IFERROR(__xludf.DUMMYFUNCTION("""COMPUTED_VALUE"""),86.24)</f>
        <v/>
      </c>
      <c r="D150" s="141">
        <f>IFERROR(__xludf.DUMMYFUNCTION("""COMPUTED_VALUE"""),86.95)</f>
        <v/>
      </c>
      <c r="E150" s="141">
        <f>IFERROR(__xludf.DUMMYFUNCTION("""COMPUTED_VALUE"""),86.01)</f>
        <v/>
      </c>
      <c r="F150" s="141">
        <f>IFERROR(__xludf.DUMMYFUNCTION("""COMPUTED_VALUE"""),86.93)</f>
        <v/>
      </c>
      <c r="G150" s="143">
        <f>IFERROR(__xludf.DUMMYFUNCTION("""COMPUTED_VALUE"""),1905161)</f>
        <v/>
      </c>
      <c r="H150" s="27" t="n"/>
    </row>
    <row r="151" ht="17.25" customHeight="1" s="322">
      <c r="A151" s="27" t="n"/>
      <c r="B151" s="506">
        <f>IFERROR(__xludf.DUMMYFUNCTION("""COMPUTED_VALUE"""),46048.6666666666)</f>
        <v/>
      </c>
      <c r="C151" s="141">
        <f>IFERROR(__xludf.DUMMYFUNCTION("""COMPUTED_VALUE"""),87.37)</f>
        <v/>
      </c>
      <c r="D151" s="141">
        <f>IFERROR(__xludf.DUMMYFUNCTION("""COMPUTED_VALUE"""),87.72)</f>
        <v/>
      </c>
      <c r="E151" s="141">
        <f>IFERROR(__xludf.DUMMYFUNCTION("""COMPUTED_VALUE"""),87.37)</f>
        <v/>
      </c>
      <c r="F151" s="141">
        <f>IFERROR(__xludf.DUMMYFUNCTION("""COMPUTED_VALUE"""),87.51)</f>
        <v/>
      </c>
      <c r="G151" s="143">
        <f>IFERROR(__xludf.DUMMYFUNCTION("""COMPUTED_VALUE"""),3151217)</f>
        <v/>
      </c>
      <c r="H151" s="27" t="n"/>
    </row>
    <row r="152" ht="17.25" customHeight="1" s="322">
      <c r="A152" s="27" t="n"/>
      <c r="B152" s="506">
        <f>IFERROR(__xludf.DUMMYFUNCTION("""COMPUTED_VALUE"""),46049.6666666666)</f>
        <v/>
      </c>
      <c r="C152" s="141">
        <f>IFERROR(__xludf.DUMMYFUNCTION("""COMPUTED_VALUE"""),88.3)</f>
        <v/>
      </c>
      <c r="D152" s="141">
        <f>IFERROR(__xludf.DUMMYFUNCTION("""COMPUTED_VALUE"""),89.16)</f>
        <v/>
      </c>
      <c r="E152" s="141">
        <f>IFERROR(__xludf.DUMMYFUNCTION("""COMPUTED_VALUE"""),88.28)</f>
        <v/>
      </c>
      <c r="F152" s="141">
        <f>IFERROR(__xludf.DUMMYFUNCTION("""COMPUTED_VALUE"""),88.91)</f>
        <v/>
      </c>
      <c r="G152" s="143">
        <f>IFERROR(__xludf.DUMMYFUNCTION("""COMPUTED_VALUE"""),3455319)</f>
        <v/>
      </c>
      <c r="H152" s="27" t="n"/>
    </row>
    <row r="153" ht="17.25" customHeight="1" s="322">
      <c r="A153" s="27" t="n"/>
      <c r="B153" s="506">
        <f>IFERROR(__xludf.DUMMYFUNCTION("""COMPUTED_VALUE"""),46050.6666666666)</f>
        <v/>
      </c>
      <c r="C153" s="141">
        <f>IFERROR(__xludf.DUMMYFUNCTION("""COMPUTED_VALUE"""),88.12)</f>
        <v/>
      </c>
      <c r="D153" s="141">
        <f>IFERROR(__xludf.DUMMYFUNCTION("""COMPUTED_VALUE"""),88.26)</f>
        <v/>
      </c>
      <c r="E153" s="141">
        <f>IFERROR(__xludf.DUMMYFUNCTION("""COMPUTED_VALUE"""),87.44)</f>
        <v/>
      </c>
      <c r="F153" s="141">
        <f>IFERROR(__xludf.DUMMYFUNCTION("""COMPUTED_VALUE"""),87.85)</f>
        <v/>
      </c>
      <c r="G153" s="143">
        <f>IFERROR(__xludf.DUMMYFUNCTION("""COMPUTED_VALUE"""),4232753)</f>
        <v/>
      </c>
      <c r="H153" s="27" t="n"/>
    </row>
    <row r="154" ht="17.25" customHeight="1" s="322">
      <c r="A154" s="27" t="n"/>
      <c r="B154" s="506">
        <f>IFERROR(__xludf.DUMMYFUNCTION("""COMPUTED_VALUE"""),46051.6666666666)</f>
        <v/>
      </c>
      <c r="C154" s="141">
        <f>IFERROR(__xludf.DUMMYFUNCTION("""COMPUTED_VALUE"""),88.62)</f>
        <v/>
      </c>
      <c r="D154" s="141">
        <f>IFERROR(__xludf.DUMMYFUNCTION("""COMPUTED_VALUE"""),88.69)</f>
        <v/>
      </c>
      <c r="E154" s="141">
        <f>IFERROR(__xludf.DUMMYFUNCTION("""COMPUTED_VALUE"""),87.41)</f>
        <v/>
      </c>
      <c r="F154" s="141">
        <f>IFERROR(__xludf.DUMMYFUNCTION("""COMPUTED_VALUE"""),88.32)</f>
        <v/>
      </c>
      <c r="G154" s="143">
        <f>IFERROR(__xludf.DUMMYFUNCTION("""COMPUTED_VALUE"""),4904794)</f>
        <v/>
      </c>
      <c r="H154" s="27" t="n"/>
    </row>
    <row r="155" ht="17.25" customHeight="1" s="322">
      <c r="A155" s="27" t="n"/>
      <c r="B155" s="506">
        <f>IFERROR(__xludf.DUMMYFUNCTION("""COMPUTED_VALUE"""),46052.6666666666)</f>
        <v/>
      </c>
      <c r="C155" s="141">
        <f>IFERROR(__xludf.DUMMYFUNCTION("""COMPUTED_VALUE"""),87.96)</f>
        <v/>
      </c>
      <c r="D155" s="141">
        <f>IFERROR(__xludf.DUMMYFUNCTION("""COMPUTED_VALUE"""),88.12)</f>
        <v/>
      </c>
      <c r="E155" s="141">
        <f>IFERROR(__xludf.DUMMYFUNCTION("""COMPUTED_VALUE"""),87.11)</f>
        <v/>
      </c>
      <c r="F155" s="141">
        <f>IFERROR(__xludf.DUMMYFUNCTION("""COMPUTED_VALUE"""),87.5)</f>
        <v/>
      </c>
      <c r="G155" s="143">
        <f>IFERROR(__xludf.DUMMYFUNCTION("""COMPUTED_VALUE"""),7946090)</f>
        <v/>
      </c>
      <c r="H155" s="27" t="n"/>
    </row>
    <row r="156" ht="17.25" customHeight="1" s="322">
      <c r="A156" s="27" t="n"/>
      <c r="B156" s="506">
        <f>IFERROR(__xludf.DUMMYFUNCTION("""COMPUTED_VALUE"""),46055.6666666666)</f>
        <v/>
      </c>
      <c r="C156" s="141">
        <f>IFERROR(__xludf.DUMMYFUNCTION("""COMPUTED_VALUE"""),87.81)</f>
        <v/>
      </c>
      <c r="D156" s="141">
        <f>IFERROR(__xludf.DUMMYFUNCTION("""COMPUTED_VALUE"""),88.27)</f>
        <v/>
      </c>
      <c r="E156" s="141">
        <f>IFERROR(__xludf.DUMMYFUNCTION("""COMPUTED_VALUE"""),87.76)</f>
        <v/>
      </c>
      <c r="F156" s="141">
        <f>IFERROR(__xludf.DUMMYFUNCTION("""COMPUTED_VALUE"""),88.2)</f>
        <v/>
      </c>
      <c r="G156" s="143">
        <f>IFERROR(__xludf.DUMMYFUNCTION("""COMPUTED_VALUE"""),3278136)</f>
        <v/>
      </c>
      <c r="H156" s="27" t="n"/>
    </row>
    <row r="157" ht="17.25" customHeight="1" s="322">
      <c r="A157" s="27" t="n"/>
      <c r="B157" s="506">
        <f>IFERROR(__xludf.DUMMYFUNCTION("""COMPUTED_VALUE"""),46056.6666666666)</f>
        <v/>
      </c>
      <c r="C157" s="141">
        <f>IFERROR(__xludf.DUMMYFUNCTION("""COMPUTED_VALUE"""),87.65)</f>
        <v/>
      </c>
      <c r="D157" s="141">
        <f>IFERROR(__xludf.DUMMYFUNCTION("""COMPUTED_VALUE"""),88.17)</f>
        <v/>
      </c>
      <c r="E157" s="141">
        <f>IFERROR(__xludf.DUMMYFUNCTION("""COMPUTED_VALUE"""),87.26)</f>
        <v/>
      </c>
      <c r="F157" s="141">
        <f>IFERROR(__xludf.DUMMYFUNCTION("""COMPUTED_VALUE"""),87.87)</f>
        <v/>
      </c>
      <c r="G157" s="143">
        <f>IFERROR(__xludf.DUMMYFUNCTION("""COMPUTED_VALUE"""),3918868)</f>
        <v/>
      </c>
      <c r="H157" s="27" t="n"/>
    </row>
    <row r="158" ht="17.25" customHeight="1" s="322">
      <c r="A158" s="27" t="n"/>
      <c r="B158" s="506">
        <f>IFERROR(__xludf.DUMMYFUNCTION("""COMPUTED_VALUE"""),46057.6666666666)</f>
        <v/>
      </c>
      <c r="C158" s="141">
        <f>IFERROR(__xludf.DUMMYFUNCTION("""COMPUTED_VALUE"""),88.63)</f>
        <v/>
      </c>
      <c r="D158" s="141">
        <f>IFERROR(__xludf.DUMMYFUNCTION("""COMPUTED_VALUE"""),88.84)</f>
        <v/>
      </c>
      <c r="E158" s="141">
        <f>IFERROR(__xludf.DUMMYFUNCTION("""COMPUTED_VALUE"""),87.65)</f>
        <v/>
      </c>
      <c r="F158" s="141">
        <f>IFERROR(__xludf.DUMMYFUNCTION("""COMPUTED_VALUE"""),87.99)</f>
        <v/>
      </c>
      <c r="G158" s="143">
        <f>IFERROR(__xludf.DUMMYFUNCTION("""COMPUTED_VALUE"""),3701673)</f>
        <v/>
      </c>
      <c r="H158" s="27" t="n"/>
    </row>
    <row r="159" ht="17.25" customHeight="1" s="322">
      <c r="A159" s="27" t="n"/>
      <c r="B159" s="506">
        <f>IFERROR(__xludf.DUMMYFUNCTION("""COMPUTED_VALUE"""),46058.6666666666)</f>
        <v/>
      </c>
      <c r="C159" s="141">
        <f>IFERROR(__xludf.DUMMYFUNCTION("""COMPUTED_VALUE"""),87.08)</f>
        <v/>
      </c>
      <c r="D159" s="141">
        <f>IFERROR(__xludf.DUMMYFUNCTION("""COMPUTED_VALUE"""),87.51)</f>
        <v/>
      </c>
      <c r="E159" s="141">
        <f>IFERROR(__xludf.DUMMYFUNCTION("""COMPUTED_VALUE"""),86.75)</f>
        <v/>
      </c>
      <c r="F159" s="141">
        <f>IFERROR(__xludf.DUMMYFUNCTION("""COMPUTED_VALUE"""),86.77)</f>
        <v/>
      </c>
      <c r="G159" s="143">
        <f>IFERROR(__xludf.DUMMYFUNCTION("""COMPUTED_VALUE"""),3019093)</f>
        <v/>
      </c>
      <c r="H159" s="27" t="n"/>
    </row>
    <row r="160" ht="17.25" customHeight="1" s="322">
      <c r="A160" s="27" t="n"/>
      <c r="B160" s="506">
        <f>IFERROR(__xludf.DUMMYFUNCTION("""COMPUTED_VALUE"""),46059.6666666666)</f>
        <v/>
      </c>
      <c r="C160" s="141">
        <f>IFERROR(__xludf.DUMMYFUNCTION("""COMPUTED_VALUE"""),87.6)</f>
        <v/>
      </c>
      <c r="D160" s="141">
        <f>IFERROR(__xludf.DUMMYFUNCTION("""COMPUTED_VALUE"""),88.5)</f>
        <v/>
      </c>
      <c r="E160" s="141">
        <f>IFERROR(__xludf.DUMMYFUNCTION("""COMPUTED_VALUE"""),87.58)</f>
        <v/>
      </c>
      <c r="F160" s="141">
        <f>IFERROR(__xludf.DUMMYFUNCTION("""COMPUTED_VALUE"""),88.49)</f>
        <v/>
      </c>
      <c r="G160" s="143">
        <f>IFERROR(__xludf.DUMMYFUNCTION("""COMPUTED_VALUE"""),2201889)</f>
        <v/>
      </c>
      <c r="H160" s="27" t="n"/>
    </row>
    <row r="161" ht="17.25" customHeight="1" s="322">
      <c r="A161" s="27" t="n"/>
      <c r="B161" s="506">
        <f>IFERROR(__xludf.DUMMYFUNCTION("""COMPUTED_VALUE"""),46062.6666666666)</f>
        <v/>
      </c>
      <c r="C161" s="141">
        <f>IFERROR(__xludf.DUMMYFUNCTION("""COMPUTED_VALUE"""),88.94)</f>
        <v/>
      </c>
      <c r="D161" s="141">
        <f>IFERROR(__xludf.DUMMYFUNCTION("""COMPUTED_VALUE"""),89.6)</f>
        <v/>
      </c>
      <c r="E161" s="141">
        <f>IFERROR(__xludf.DUMMYFUNCTION("""COMPUTED_VALUE"""),88.74)</f>
        <v/>
      </c>
      <c r="F161" s="141">
        <f>IFERROR(__xludf.DUMMYFUNCTION("""COMPUTED_VALUE"""),89.47)</f>
        <v/>
      </c>
      <c r="G161" s="143">
        <f>IFERROR(__xludf.DUMMYFUNCTION("""COMPUTED_VALUE"""),2941965)</f>
        <v/>
      </c>
      <c r="H161" s="27" t="n"/>
    </row>
    <row r="162" ht="17.25" customHeight="1" s="322">
      <c r="A162" s="27" t="n"/>
      <c r="B162" s="506">
        <f>IFERROR(__xludf.DUMMYFUNCTION("""COMPUTED_VALUE"""),46063.6666666666)</f>
        <v/>
      </c>
      <c r="C162" s="141">
        <f>IFERROR(__xludf.DUMMYFUNCTION("""COMPUTED_VALUE"""),89.61)</f>
        <v/>
      </c>
      <c r="D162" s="141">
        <f>IFERROR(__xludf.DUMMYFUNCTION("""COMPUTED_VALUE"""),89.63)</f>
        <v/>
      </c>
      <c r="E162" s="141">
        <f>IFERROR(__xludf.DUMMYFUNCTION("""COMPUTED_VALUE"""),89.19)</f>
        <v/>
      </c>
      <c r="F162" s="141">
        <f>IFERROR(__xludf.DUMMYFUNCTION("""COMPUTED_VALUE"""),89.22)</f>
        <v/>
      </c>
      <c r="G162" s="143">
        <f>IFERROR(__xludf.DUMMYFUNCTION("""COMPUTED_VALUE"""),4696030)</f>
        <v/>
      </c>
      <c r="H162" s="27" t="n"/>
    </row>
    <row r="163" ht="17.25" customHeight="1" s="322">
      <c r="A163" s="27" t="n"/>
      <c r="B163" s="506">
        <f>IFERROR(__xludf.DUMMYFUNCTION("""COMPUTED_VALUE"""),46064.6666666666)</f>
        <v/>
      </c>
      <c r="C163" s="141">
        <f>IFERROR(__xludf.DUMMYFUNCTION("""COMPUTED_VALUE"""),89.43)</f>
        <v/>
      </c>
      <c r="D163" s="141">
        <f>IFERROR(__xludf.DUMMYFUNCTION("""COMPUTED_VALUE"""),89.65)</f>
        <v/>
      </c>
      <c r="E163" s="141">
        <f>IFERROR(__xludf.DUMMYFUNCTION("""COMPUTED_VALUE"""),88.82)</f>
        <v/>
      </c>
      <c r="F163" s="141">
        <f>IFERROR(__xludf.DUMMYFUNCTION("""COMPUTED_VALUE"""),89.45)</f>
        <v/>
      </c>
      <c r="G163" s="143">
        <f>IFERROR(__xludf.DUMMYFUNCTION("""COMPUTED_VALUE"""),2300672)</f>
        <v/>
      </c>
      <c r="H163" s="27" t="n"/>
    </row>
    <row r="164" ht="17.25" customHeight="1" s="322">
      <c r="A164" s="27" t="n"/>
      <c r="B164" s="506">
        <f>IFERROR(__xludf.DUMMYFUNCTION("""COMPUTED_VALUE"""),46065.6666666666)</f>
        <v/>
      </c>
      <c r="C164" s="141">
        <f>IFERROR(__xludf.DUMMYFUNCTION("""COMPUTED_VALUE"""),89.67)</f>
        <v/>
      </c>
      <c r="D164" s="141">
        <f>IFERROR(__xludf.DUMMYFUNCTION("""COMPUTED_VALUE"""),89.69)</f>
        <v/>
      </c>
      <c r="E164" s="141">
        <f>IFERROR(__xludf.DUMMYFUNCTION("""COMPUTED_VALUE"""),88.43)</f>
        <v/>
      </c>
      <c r="F164" s="141">
        <f>IFERROR(__xludf.DUMMYFUNCTION("""COMPUTED_VALUE"""),88.75)</f>
        <v/>
      </c>
      <c r="G164" s="143">
        <f>IFERROR(__xludf.DUMMYFUNCTION("""COMPUTED_VALUE"""),4182454)</f>
        <v/>
      </c>
      <c r="H164" s="27" t="n"/>
    </row>
    <row r="165" ht="17.25" customHeight="1" s="322">
      <c r="A165" s="27" t="n"/>
      <c r="B165" s="506">
        <f>IFERROR(__xludf.DUMMYFUNCTION("""COMPUTED_VALUE"""),46066.6666666666)</f>
        <v/>
      </c>
      <c r="C165" s="141">
        <f>IFERROR(__xludf.DUMMYFUNCTION("""COMPUTED_VALUE"""),88.52)</f>
        <v/>
      </c>
      <c r="D165" s="141">
        <f>IFERROR(__xludf.DUMMYFUNCTION("""COMPUTED_VALUE"""),88.92)</f>
        <v/>
      </c>
      <c r="E165" s="141">
        <f>IFERROR(__xludf.DUMMYFUNCTION("""COMPUTED_VALUE"""),88.13)</f>
        <v/>
      </c>
      <c r="F165" s="141">
        <f>IFERROR(__xludf.DUMMYFUNCTION("""COMPUTED_VALUE"""),88.7)</f>
        <v/>
      </c>
      <c r="G165" s="143">
        <f>IFERROR(__xludf.DUMMYFUNCTION("""COMPUTED_VALUE"""),2983613)</f>
        <v/>
      </c>
      <c r="H165" s="27" t="n"/>
    </row>
    <row r="166" ht="17.25" customHeight="1" s="322">
      <c r="A166" s="27" t="n"/>
      <c r="B166" s="506">
        <f>IFERROR(__xludf.DUMMYFUNCTION("""COMPUTED_VALUE"""),46070.6666666666)</f>
        <v/>
      </c>
      <c r="C166" s="141">
        <f>IFERROR(__xludf.DUMMYFUNCTION("""COMPUTED_VALUE"""),88.4)</f>
        <v/>
      </c>
      <c r="D166" s="141">
        <f>IFERROR(__xludf.DUMMYFUNCTION("""COMPUTED_VALUE"""),89.28)</f>
        <v/>
      </c>
      <c r="E166" s="141">
        <f>IFERROR(__xludf.DUMMYFUNCTION("""COMPUTED_VALUE"""),88.18)</f>
        <v/>
      </c>
      <c r="F166" s="141">
        <f>IFERROR(__xludf.DUMMYFUNCTION("""COMPUTED_VALUE"""),89.23)</f>
        <v/>
      </c>
      <c r="G166" s="143">
        <f>IFERROR(__xludf.DUMMYFUNCTION("""COMPUTED_VALUE"""),2533921)</f>
        <v/>
      </c>
      <c r="H166" s="27" t="n"/>
    </row>
    <row r="167" ht="17.25" customHeight="1" s="322">
      <c r="A167" s="27" t="n"/>
      <c r="B167" s="506">
        <f>IFERROR(__xludf.DUMMYFUNCTION("""COMPUTED_VALUE"""),46071.6666666666)</f>
        <v/>
      </c>
      <c r="C167" s="141">
        <f>IFERROR(__xludf.DUMMYFUNCTION("""COMPUTED_VALUE"""),89.55)</f>
        <v/>
      </c>
      <c r="D167" s="141">
        <f>IFERROR(__xludf.DUMMYFUNCTION("""COMPUTED_VALUE"""),89.95)</f>
        <v/>
      </c>
      <c r="E167" s="141">
        <f>IFERROR(__xludf.DUMMYFUNCTION("""COMPUTED_VALUE"""),89.31)</f>
        <v/>
      </c>
      <c r="F167" s="141">
        <f>IFERROR(__xludf.DUMMYFUNCTION("""COMPUTED_VALUE"""),89.53)</f>
        <v/>
      </c>
      <c r="G167" s="143">
        <f>IFERROR(__xludf.DUMMYFUNCTION("""COMPUTED_VALUE"""),2242373)</f>
        <v/>
      </c>
      <c r="H167" s="27" t="n"/>
    </row>
    <row r="168" ht="17.25" customHeight="1" s="322">
      <c r="A168" s="27" t="n"/>
      <c r="B168" s="506">
        <f>IFERROR(__xludf.DUMMYFUNCTION("""COMPUTED_VALUE"""),46072.6666666666)</f>
        <v/>
      </c>
      <c r="C168" s="141">
        <f>IFERROR(__xludf.DUMMYFUNCTION("""COMPUTED_VALUE"""),88.88)</f>
        <v/>
      </c>
      <c r="D168" s="141">
        <f>IFERROR(__xludf.DUMMYFUNCTION("""COMPUTED_VALUE"""),89.14)</f>
        <v/>
      </c>
      <c r="E168" s="141">
        <f>IFERROR(__xludf.DUMMYFUNCTION("""COMPUTED_VALUE"""),88.54)</f>
        <v/>
      </c>
      <c r="F168" s="141">
        <f>IFERROR(__xludf.DUMMYFUNCTION("""COMPUTED_VALUE"""),89.14)</f>
        <v/>
      </c>
      <c r="G168" s="143">
        <f>IFERROR(__xludf.DUMMYFUNCTION("""COMPUTED_VALUE"""),2321517)</f>
        <v/>
      </c>
      <c r="H168" s="27" t="n"/>
    </row>
    <row r="169" ht="17.25" customHeight="1" s="322">
      <c r="A169" s="27" t="n"/>
      <c r="B169" s="506">
        <f>IFERROR(__xludf.DUMMYFUNCTION("""COMPUTED_VALUE"""),46073.6666666666)</f>
        <v/>
      </c>
      <c r="C169" s="141">
        <f>IFERROR(__xludf.DUMMYFUNCTION("""COMPUTED_VALUE"""),89.32)</f>
        <v/>
      </c>
      <c r="D169" s="141">
        <f>IFERROR(__xludf.DUMMYFUNCTION("""COMPUTED_VALUE"""),90.11)</f>
        <v/>
      </c>
      <c r="E169" s="141">
        <f>IFERROR(__xludf.DUMMYFUNCTION("""COMPUTED_VALUE"""),89.22)</f>
        <v/>
      </c>
      <c r="F169" s="141">
        <f>IFERROR(__xludf.DUMMYFUNCTION("""COMPUTED_VALUE"""),90.01)</f>
        <v/>
      </c>
      <c r="G169" s="143">
        <f>IFERROR(__xludf.DUMMYFUNCTION("""COMPUTED_VALUE"""),3606688)</f>
        <v/>
      </c>
      <c r="H169" s="27" t="n"/>
    </row>
    <row r="170" ht="17.25" customHeight="1" s="322">
      <c r="A170" s="27" t="n"/>
      <c r="B170" s="506">
        <f>IFERROR(__xludf.DUMMYFUNCTION("""COMPUTED_VALUE"""),46076.6666666666)</f>
        <v/>
      </c>
      <c r="C170" s="141">
        <f>IFERROR(__xludf.DUMMYFUNCTION("""COMPUTED_VALUE"""),90.01)</f>
        <v/>
      </c>
      <c r="D170" s="141">
        <f>IFERROR(__xludf.DUMMYFUNCTION("""COMPUTED_VALUE"""),90.07)</f>
        <v/>
      </c>
      <c r="E170" s="141">
        <f>IFERROR(__xludf.DUMMYFUNCTION("""COMPUTED_VALUE"""),89.26)</f>
        <v/>
      </c>
      <c r="F170" s="141">
        <f>IFERROR(__xludf.DUMMYFUNCTION("""COMPUTED_VALUE"""),89.49)</f>
        <v/>
      </c>
      <c r="G170" s="143">
        <f>IFERROR(__xludf.DUMMYFUNCTION("""COMPUTED_VALUE"""),2753605)</f>
        <v/>
      </c>
      <c r="H170" s="27" t="n"/>
    </row>
    <row r="171" ht="17.25" customHeight="1" s="322">
      <c r="A171" s="27" t="n"/>
      <c r="B171" s="506">
        <f>IFERROR(__xludf.DUMMYFUNCTION("""COMPUTED_VALUE"""),46077.6666666666)</f>
        <v/>
      </c>
      <c r="C171" s="141">
        <f>IFERROR(__xludf.DUMMYFUNCTION("""COMPUTED_VALUE"""),89.57)</f>
        <v/>
      </c>
      <c r="D171" s="141">
        <f>IFERROR(__xludf.DUMMYFUNCTION("""COMPUTED_VALUE"""),89.96)</f>
        <v/>
      </c>
      <c r="E171" s="141">
        <f>IFERROR(__xludf.DUMMYFUNCTION("""COMPUTED_VALUE"""),89.46)</f>
        <v/>
      </c>
      <c r="F171" s="141">
        <f>IFERROR(__xludf.DUMMYFUNCTION("""COMPUTED_VALUE"""),89.73)</f>
        <v/>
      </c>
      <c r="G171" s="143">
        <f>IFERROR(__xludf.DUMMYFUNCTION("""COMPUTED_VALUE"""),3274751)</f>
        <v/>
      </c>
      <c r="H171" s="27" t="n"/>
    </row>
    <row r="172" ht="17.25" customHeight="1" s="322">
      <c r="A172" s="27" t="n"/>
      <c r="B172" s="506">
        <f>IFERROR(__xludf.DUMMYFUNCTION("""COMPUTED_VALUE"""),46078.6666666666)</f>
        <v/>
      </c>
      <c r="C172" s="141">
        <f>IFERROR(__xludf.DUMMYFUNCTION("""COMPUTED_VALUE"""),90.16)</f>
        <v/>
      </c>
      <c r="D172" s="141">
        <f>IFERROR(__xludf.DUMMYFUNCTION("""COMPUTED_VALUE"""),90.6)</f>
        <v/>
      </c>
      <c r="E172" s="141">
        <f>IFERROR(__xludf.DUMMYFUNCTION("""COMPUTED_VALUE"""),90.06)</f>
        <v/>
      </c>
      <c r="F172" s="141">
        <f>IFERROR(__xludf.DUMMYFUNCTION("""COMPUTED_VALUE"""),90.49)</f>
        <v/>
      </c>
      <c r="G172" s="143">
        <f>IFERROR(__xludf.DUMMYFUNCTION("""COMPUTED_VALUE"""),2685635)</f>
        <v/>
      </c>
      <c r="H172" s="27" t="n"/>
    </row>
    <row r="173" ht="17.25" customHeight="1" s="322">
      <c r="A173" s="27" t="n"/>
      <c r="B173" s="506">
        <f>IFERROR(__xludf.DUMMYFUNCTION("""COMPUTED_VALUE"""),46079.6666666666)</f>
        <v/>
      </c>
      <c r="C173" s="141">
        <f>IFERROR(__xludf.DUMMYFUNCTION("""COMPUTED_VALUE"""),90.54)</f>
        <v/>
      </c>
      <c r="D173" s="141">
        <f>IFERROR(__xludf.DUMMYFUNCTION("""COMPUTED_VALUE"""),90.55)</f>
        <v/>
      </c>
      <c r="E173" s="141">
        <f>IFERROR(__xludf.DUMMYFUNCTION("""COMPUTED_VALUE"""),89.85)</f>
        <v/>
      </c>
      <c r="F173" s="141">
        <f>IFERROR(__xludf.DUMMYFUNCTION("""COMPUTED_VALUE"""),90.43)</f>
        <v/>
      </c>
      <c r="G173" s="143">
        <f>IFERROR(__xludf.DUMMYFUNCTION("""COMPUTED_VALUE"""),2941976)</f>
        <v/>
      </c>
      <c r="H173" s="27" t="n"/>
    </row>
    <row r="174" ht="17.25" customHeight="1" s="322">
      <c r="A174" s="27" t="n"/>
      <c r="B174" s="506">
        <f>IFERROR(__xludf.DUMMYFUNCTION("""COMPUTED_VALUE"""),46080.6666666666)</f>
        <v/>
      </c>
      <c r="C174" s="141">
        <f>IFERROR(__xludf.DUMMYFUNCTION("""COMPUTED_VALUE"""),90.39)</f>
        <v/>
      </c>
      <c r="D174" s="141">
        <f>IFERROR(__xludf.DUMMYFUNCTION("""COMPUTED_VALUE"""),90.75)</f>
        <v/>
      </c>
      <c r="E174" s="141">
        <f>IFERROR(__xludf.DUMMYFUNCTION("""COMPUTED_VALUE"""),90.1)</f>
        <v/>
      </c>
      <c r="F174" s="141">
        <f>IFERROR(__xludf.DUMMYFUNCTION("""COMPUTED_VALUE"""),90.17)</f>
        <v/>
      </c>
      <c r="G174" s="143">
        <f>IFERROR(__xludf.DUMMYFUNCTION("""COMPUTED_VALUE"""),4001722)</f>
        <v/>
      </c>
      <c r="H174" s="27" t="n"/>
    </row>
    <row r="175" ht="17.25" customHeight="1" s="322">
      <c r="A175" s="27" t="n"/>
      <c r="B175" s="506">
        <f>IFERROR(__xludf.DUMMYFUNCTION("""COMPUTED_VALUE"""),46083.6666666666)</f>
        <v/>
      </c>
      <c r="C175" s="141">
        <f>IFERROR(__xludf.DUMMYFUNCTION("""COMPUTED_VALUE"""),88.03)</f>
        <v/>
      </c>
      <c r="D175" s="141">
        <f>IFERROR(__xludf.DUMMYFUNCTION("""COMPUTED_VALUE"""),88.71)</f>
        <v/>
      </c>
      <c r="E175" s="141">
        <f>IFERROR(__xludf.DUMMYFUNCTION("""COMPUTED_VALUE"""),87.88)</f>
        <v/>
      </c>
      <c r="F175" s="141">
        <f>IFERROR(__xludf.DUMMYFUNCTION("""COMPUTED_VALUE"""),88.27)</f>
        <v/>
      </c>
      <c r="G175" s="143">
        <f>IFERROR(__xludf.DUMMYFUNCTION("""COMPUTED_VALUE"""),4570268)</f>
        <v/>
      </c>
      <c r="H175" s="27" t="n"/>
    </row>
    <row r="176" ht="17.25" customHeight="1" s="322">
      <c r="A176" s="27" t="n"/>
      <c r="B176" s="506">
        <f>IFERROR(__xludf.DUMMYFUNCTION("""COMPUTED_VALUE"""),46084.6666666666)</f>
        <v/>
      </c>
      <c r="C176" s="141">
        <f>IFERROR(__xludf.DUMMYFUNCTION("""COMPUTED_VALUE"""),84.53)</f>
        <v/>
      </c>
      <c r="D176" s="141">
        <f>IFERROR(__xludf.DUMMYFUNCTION("""COMPUTED_VALUE"""),85.99)</f>
        <v/>
      </c>
      <c r="E176" s="141">
        <f>IFERROR(__xludf.DUMMYFUNCTION("""COMPUTED_VALUE"""),83.85)</f>
        <v/>
      </c>
      <c r="F176" s="141">
        <f>IFERROR(__xludf.DUMMYFUNCTION("""COMPUTED_VALUE"""),85.61)</f>
        <v/>
      </c>
      <c r="G176" s="143">
        <f>IFERROR(__xludf.DUMMYFUNCTION("""COMPUTED_VALUE"""),7768362)</f>
        <v/>
      </c>
      <c r="H176" s="27" t="n"/>
    </row>
    <row r="177" ht="17.25" customHeight="1" s="322">
      <c r="A177" s="27" t="n"/>
      <c r="B177" s="506">
        <f>IFERROR(__xludf.DUMMYFUNCTION("""COMPUTED_VALUE"""),46085.6666666666)</f>
        <v/>
      </c>
      <c r="C177" s="141">
        <f>IFERROR(__xludf.DUMMYFUNCTION("""COMPUTED_VALUE"""),86.28)</f>
        <v/>
      </c>
      <c r="D177" s="141">
        <f>IFERROR(__xludf.DUMMYFUNCTION("""COMPUTED_VALUE"""),86.69)</f>
        <v/>
      </c>
      <c r="E177" s="141">
        <f>IFERROR(__xludf.DUMMYFUNCTION("""COMPUTED_VALUE"""),85.92)</f>
        <v/>
      </c>
      <c r="F177" s="141">
        <f>IFERROR(__xludf.DUMMYFUNCTION("""COMPUTED_VALUE"""),86.59)</f>
        <v/>
      </c>
      <c r="G177" s="143">
        <f>IFERROR(__xludf.DUMMYFUNCTION("""COMPUTED_VALUE"""),5222982)</f>
        <v/>
      </c>
      <c r="H177" s="27" t="n"/>
    </row>
    <row r="178" ht="17.25" customHeight="1" s="322">
      <c r="A178" s="27" t="n"/>
      <c r="B178" s="506">
        <f>IFERROR(__xludf.DUMMYFUNCTION("""COMPUTED_VALUE"""),46086.6666666666)</f>
        <v/>
      </c>
      <c r="C178" s="141">
        <f>IFERROR(__xludf.DUMMYFUNCTION("""COMPUTED_VALUE"""),85.48)</f>
        <v/>
      </c>
      <c r="D178" s="141">
        <f>IFERROR(__xludf.DUMMYFUNCTION("""COMPUTED_VALUE"""),85.85)</f>
        <v/>
      </c>
      <c r="E178" s="141">
        <f>IFERROR(__xludf.DUMMYFUNCTION("""COMPUTED_VALUE"""),84.11)</f>
        <v/>
      </c>
      <c r="F178" s="141">
        <f>IFERROR(__xludf.DUMMYFUNCTION("""COMPUTED_VALUE"""),84.85)</f>
        <v/>
      </c>
      <c r="G178" s="143">
        <f>IFERROR(__xludf.DUMMYFUNCTION("""COMPUTED_VALUE"""),6964957)</f>
        <v/>
      </c>
      <c r="H178" s="27" t="n"/>
    </row>
    <row r="179" ht="17.25" customHeight="1" s="322">
      <c r="A179" s="27" t="n"/>
      <c r="B179" s="506">
        <f>IFERROR(__xludf.DUMMYFUNCTION("""COMPUTED_VALUE"""),46087.6666666666)</f>
        <v/>
      </c>
      <c r="C179" s="141">
        <f>IFERROR(__xludf.DUMMYFUNCTION("""COMPUTED_VALUE"""),83.22)</f>
        <v/>
      </c>
      <c r="D179" s="141">
        <f>IFERROR(__xludf.DUMMYFUNCTION("""COMPUTED_VALUE"""),84.57)</f>
        <v/>
      </c>
      <c r="E179" s="141">
        <f>IFERROR(__xludf.DUMMYFUNCTION("""COMPUTED_VALUE"""),82.97)</f>
        <v/>
      </c>
      <c r="F179" s="141">
        <f>IFERROR(__xludf.DUMMYFUNCTION("""COMPUTED_VALUE"""),84.25)</f>
        <v/>
      </c>
      <c r="G179" s="143">
        <f>IFERROR(__xludf.DUMMYFUNCTION("""COMPUTED_VALUE"""),4213371)</f>
        <v/>
      </c>
      <c r="H179" s="27" t="n"/>
    </row>
    <row r="180" ht="17.25" customHeight="1" s="322">
      <c r="A180" s="27" t="n"/>
      <c r="B180" s="506">
        <f>IFERROR(__xludf.DUMMYFUNCTION("""COMPUTED_VALUE"""),46090.6666666666)</f>
        <v/>
      </c>
      <c r="C180" s="141">
        <f>IFERROR(__xludf.DUMMYFUNCTION("""COMPUTED_VALUE"""),82.7)</f>
        <v/>
      </c>
      <c r="D180" s="141">
        <f>IFERROR(__xludf.DUMMYFUNCTION("""COMPUTED_VALUE"""),85)</f>
        <v/>
      </c>
      <c r="E180" s="141">
        <f>IFERROR(__xludf.DUMMYFUNCTION("""COMPUTED_VALUE"""),82.04)</f>
        <v/>
      </c>
      <c r="F180" s="141">
        <f>IFERROR(__xludf.DUMMYFUNCTION("""COMPUTED_VALUE"""),84.64)</f>
        <v/>
      </c>
      <c r="G180" s="143">
        <f>IFERROR(__xludf.DUMMYFUNCTION("""COMPUTED_VALUE"""),6083787)</f>
        <v/>
      </c>
      <c r="H180" s="27" t="n"/>
    </row>
    <row r="181" ht="17.25" customHeight="1" s="322">
      <c r="A181" s="27" t="n"/>
      <c r="B181" s="506">
        <f>IFERROR(__xludf.DUMMYFUNCTION("""COMPUTED_VALUE"""),46091.6666666666)</f>
        <v/>
      </c>
      <c r="C181" s="141">
        <f>IFERROR(__xludf.DUMMYFUNCTION("""COMPUTED_VALUE"""),85.27)</f>
        <v/>
      </c>
      <c r="D181" s="141">
        <f>IFERROR(__xludf.DUMMYFUNCTION("""COMPUTED_VALUE"""),86)</f>
        <v/>
      </c>
      <c r="E181" s="141">
        <f>IFERROR(__xludf.DUMMYFUNCTION("""COMPUTED_VALUE"""),84.53)</f>
        <v/>
      </c>
      <c r="F181" s="141">
        <f>IFERROR(__xludf.DUMMYFUNCTION("""COMPUTED_VALUE"""),84.67)</f>
        <v/>
      </c>
      <c r="G181" s="143">
        <f>IFERROR(__xludf.DUMMYFUNCTION("""COMPUTED_VALUE"""),5614912)</f>
        <v/>
      </c>
      <c r="H181" s="27" t="n"/>
    </row>
    <row r="182" ht="17.25" customHeight="1" s="322">
      <c r="A182" s="27" t="n"/>
      <c r="B182" s="506">
        <f>IFERROR(__xludf.DUMMYFUNCTION("""COMPUTED_VALUE"""),46092.6666666666)</f>
        <v/>
      </c>
      <c r="C182" s="141">
        <f>IFERROR(__xludf.DUMMYFUNCTION("""COMPUTED_VALUE"""),84.36)</f>
        <v/>
      </c>
      <c r="D182" s="141">
        <f>IFERROR(__xludf.DUMMYFUNCTION("""COMPUTED_VALUE"""),84.8)</f>
        <v/>
      </c>
      <c r="E182" s="141">
        <f>IFERROR(__xludf.DUMMYFUNCTION("""COMPUTED_VALUE"""),83.95)</f>
        <v/>
      </c>
      <c r="F182" s="141">
        <f>IFERROR(__xludf.DUMMYFUNCTION("""COMPUTED_VALUE"""),84.53)</f>
        <v/>
      </c>
      <c r="G182" s="143">
        <f>IFERROR(__xludf.DUMMYFUNCTION("""COMPUTED_VALUE"""),3513915)</f>
        <v/>
      </c>
      <c r="H182" s="27" t="n"/>
    </row>
    <row r="183" ht="17.25" customHeight="1" s="322">
      <c r="A183" s="27" t="n"/>
      <c r="B183" s="506">
        <f>IFERROR(__xludf.DUMMYFUNCTION("""COMPUTED_VALUE"""),46093.6666666666)</f>
        <v/>
      </c>
      <c r="C183" s="141">
        <f>IFERROR(__xludf.DUMMYFUNCTION("""COMPUTED_VALUE"""),83.68)</f>
        <v/>
      </c>
      <c r="D183" s="141">
        <f>IFERROR(__xludf.DUMMYFUNCTION("""COMPUTED_VALUE"""),83.77)</f>
        <v/>
      </c>
      <c r="E183" s="141">
        <f>IFERROR(__xludf.DUMMYFUNCTION("""COMPUTED_VALUE"""),82.87)</f>
        <v/>
      </c>
      <c r="F183" s="141">
        <f>IFERROR(__xludf.DUMMYFUNCTION("""COMPUTED_VALUE"""),83.3)</f>
        <v/>
      </c>
      <c r="G183" s="143">
        <f>IFERROR(__xludf.DUMMYFUNCTION("""COMPUTED_VALUE"""),4062007)</f>
        <v/>
      </c>
      <c r="H183" s="27" t="n"/>
    </row>
    <row r="184" ht="17.25" customHeight="1" s="322">
      <c r="A184" s="27" t="n"/>
      <c r="B184" s="506">
        <f>IFERROR(__xludf.DUMMYFUNCTION("""COMPUTED_VALUE"""),46094.6666666666)</f>
        <v/>
      </c>
      <c r="C184" s="141">
        <f>IFERROR(__xludf.DUMMYFUNCTION("""COMPUTED_VALUE"""),83.38)</f>
        <v/>
      </c>
      <c r="D184" s="141">
        <f>IFERROR(__xludf.DUMMYFUNCTION("""COMPUTED_VALUE"""),83.81)</f>
        <v/>
      </c>
      <c r="E184" s="141">
        <f>IFERROR(__xludf.DUMMYFUNCTION("""COMPUTED_VALUE"""),82.04)</f>
        <v/>
      </c>
      <c r="F184" s="141">
        <f>IFERROR(__xludf.DUMMYFUNCTION("""COMPUTED_VALUE"""),82.16)</f>
        <v/>
      </c>
      <c r="G184" s="143">
        <f>IFERROR(__xludf.DUMMYFUNCTION("""COMPUTED_VALUE"""),3371415)</f>
        <v/>
      </c>
      <c r="H184" s="27" t="n"/>
    </row>
    <row r="185" ht="17.25" customHeight="1" s="322">
      <c r="A185" s="27" t="n"/>
      <c r="B185" s="506">
        <f>IFERROR(__xludf.DUMMYFUNCTION("""COMPUTED_VALUE"""),46097.6666666666)</f>
        <v/>
      </c>
      <c r="C185" s="141">
        <f>IFERROR(__xludf.DUMMYFUNCTION("""COMPUTED_VALUE"""),83.15)</f>
        <v/>
      </c>
      <c r="D185" s="141">
        <f>IFERROR(__xludf.DUMMYFUNCTION("""COMPUTED_VALUE"""),83.74)</f>
        <v/>
      </c>
      <c r="E185" s="141">
        <f>IFERROR(__xludf.DUMMYFUNCTION("""COMPUTED_VALUE"""),83)</f>
        <v/>
      </c>
      <c r="F185" s="141">
        <f>IFERROR(__xludf.DUMMYFUNCTION("""COMPUTED_VALUE"""),83.53)</f>
        <v/>
      </c>
      <c r="G185" s="143">
        <f>IFERROR(__xludf.DUMMYFUNCTION("""COMPUTED_VALUE"""),3086321)</f>
        <v/>
      </c>
      <c r="H185" s="27" t="n"/>
    </row>
    <row r="186" ht="17.25" customHeight="1" s="322">
      <c r="A186" s="27" t="n"/>
      <c r="B186" s="506">
        <f>IFERROR(__xludf.DUMMYFUNCTION("""COMPUTED_VALUE"""),46098.6666666666)</f>
        <v/>
      </c>
      <c r="C186" s="141">
        <f>IFERROR(__xludf.DUMMYFUNCTION("""COMPUTED_VALUE"""),84.05)</f>
        <v/>
      </c>
      <c r="D186" s="141">
        <f>IFERROR(__xludf.DUMMYFUNCTION("""COMPUTED_VALUE"""),84.39)</f>
        <v/>
      </c>
      <c r="E186" s="141">
        <f>IFERROR(__xludf.DUMMYFUNCTION("""COMPUTED_VALUE"""),83.82)</f>
        <v/>
      </c>
      <c r="F186" s="141">
        <f>IFERROR(__xludf.DUMMYFUNCTION("""COMPUTED_VALUE"""),83.9)</f>
        <v/>
      </c>
      <c r="G186" s="143">
        <f>IFERROR(__xludf.DUMMYFUNCTION("""COMPUTED_VALUE"""),2519156)</f>
        <v/>
      </c>
      <c r="H186" s="27" t="n"/>
    </row>
    <row r="187" ht="17.25" customHeight="1" s="322">
      <c r="A187" s="27" t="n"/>
      <c r="B187" s="506">
        <f>IFERROR(__xludf.DUMMYFUNCTION("""COMPUTED_VALUE"""),46099.6666666666)</f>
        <v/>
      </c>
      <c r="C187" s="141">
        <f>IFERROR(__xludf.DUMMYFUNCTION("""COMPUTED_VALUE"""),83.53)</f>
        <v/>
      </c>
      <c r="D187" s="141">
        <f>IFERROR(__xludf.DUMMYFUNCTION("""COMPUTED_VALUE"""),83.58)</f>
        <v/>
      </c>
      <c r="E187" s="141">
        <f>IFERROR(__xludf.DUMMYFUNCTION("""COMPUTED_VALUE"""),82.19)</f>
        <v/>
      </c>
      <c r="F187" s="141">
        <f>IFERROR(__xludf.DUMMYFUNCTION("""COMPUTED_VALUE"""),82.26)</f>
        <v/>
      </c>
      <c r="G187" s="143">
        <f>IFERROR(__xludf.DUMMYFUNCTION("""COMPUTED_VALUE"""),4248779)</f>
        <v/>
      </c>
      <c r="H187" s="27" t="n"/>
    </row>
    <row r="188" ht="17.25" customHeight="1" s="322">
      <c r="A188" s="27" t="n"/>
      <c r="B188" s="506">
        <f>IFERROR(__xludf.DUMMYFUNCTION("""COMPUTED_VALUE"""),46100.6666666666)</f>
        <v/>
      </c>
      <c r="C188" s="141">
        <f>IFERROR(__xludf.DUMMYFUNCTION("""COMPUTED_VALUE"""),80.76)</f>
        <v/>
      </c>
      <c r="D188" s="141">
        <f>IFERROR(__xludf.DUMMYFUNCTION("""COMPUTED_VALUE"""),82.6)</f>
        <v/>
      </c>
      <c r="E188" s="141">
        <f>IFERROR(__xludf.DUMMYFUNCTION("""COMPUTED_VALUE"""),80.62)</f>
        <v/>
      </c>
      <c r="F188" s="141">
        <f>IFERROR(__xludf.DUMMYFUNCTION("""COMPUTED_VALUE"""),82.03)</f>
        <v/>
      </c>
      <c r="G188" s="143">
        <f>IFERROR(__xludf.DUMMYFUNCTION("""COMPUTED_VALUE"""),8226520)</f>
        <v/>
      </c>
      <c r="H188" s="27" t="n"/>
    </row>
    <row r="189" ht="17.25" customHeight="1" s="322">
      <c r="A189" s="27" t="n"/>
      <c r="B189" s="506">
        <f>IFERROR(__xludf.DUMMYFUNCTION("""COMPUTED_VALUE"""),46101.6666666666)</f>
        <v/>
      </c>
      <c r="C189" s="141">
        <f>IFERROR(__xludf.DUMMYFUNCTION("""COMPUTED_VALUE"""),81.39)</f>
        <v/>
      </c>
      <c r="D189" s="141">
        <f>IFERROR(__xludf.DUMMYFUNCTION("""COMPUTED_VALUE"""),81.39)</f>
        <v/>
      </c>
      <c r="E189" s="141">
        <f>IFERROR(__xludf.DUMMYFUNCTION("""COMPUTED_VALUE"""),78.69)</f>
        <v/>
      </c>
      <c r="F189" s="141">
        <f>IFERROR(__xludf.DUMMYFUNCTION("""COMPUTED_VALUE"""),79.18)</f>
        <v/>
      </c>
      <c r="G189" s="143">
        <f>IFERROR(__xludf.DUMMYFUNCTION("""COMPUTED_VALUE"""),9991668)</f>
        <v/>
      </c>
      <c r="H189" s="27" t="n"/>
    </row>
    <row r="190" ht="17.25" customHeight="1" s="322">
      <c r="A190" s="27" t="n"/>
      <c r="B190" s="506">
        <f>IFERROR(__xludf.DUMMYFUNCTION("""COMPUTED_VALUE"""),46104.6666666666)</f>
        <v/>
      </c>
      <c r="C190" s="141">
        <f>IFERROR(__xludf.DUMMYFUNCTION("""COMPUTED_VALUE"""),80.69)</f>
        <v/>
      </c>
      <c r="D190" s="141">
        <f>IFERROR(__xludf.DUMMYFUNCTION("""COMPUTED_VALUE"""),82.08)</f>
        <v/>
      </c>
      <c r="E190" s="141">
        <f>IFERROR(__xludf.DUMMYFUNCTION("""COMPUTED_VALUE"""),80.28)</f>
        <v/>
      </c>
      <c r="F190" s="141">
        <f>IFERROR(__xludf.DUMMYFUNCTION("""COMPUTED_VALUE"""),81.04)</f>
        <v/>
      </c>
      <c r="G190" s="143">
        <f>IFERROR(__xludf.DUMMYFUNCTION("""COMPUTED_VALUE"""),12612997)</f>
        <v/>
      </c>
      <c r="H190" s="27" t="n"/>
    </row>
    <row r="191" ht="17.25" customHeight="1" s="322">
      <c r="A191" s="27" t="n"/>
      <c r="B191" s="506">
        <f>IFERROR(__xludf.DUMMYFUNCTION("""COMPUTED_VALUE"""),46105.6666666666)</f>
        <v/>
      </c>
      <c r="C191" s="141">
        <f>IFERROR(__xludf.DUMMYFUNCTION("""COMPUTED_VALUE"""),79.78)</f>
        <v/>
      </c>
      <c r="D191" s="141">
        <f>IFERROR(__xludf.DUMMYFUNCTION("""COMPUTED_VALUE"""),81.01)</f>
        <v/>
      </c>
      <c r="E191" s="141">
        <f>IFERROR(__xludf.DUMMYFUNCTION("""COMPUTED_VALUE"""),79.75)</f>
        <v/>
      </c>
      <c r="F191" s="141">
        <f>IFERROR(__xludf.DUMMYFUNCTION("""COMPUTED_VALUE"""),80.58)</f>
        <v/>
      </c>
      <c r="G191" s="143">
        <f>IFERROR(__xludf.DUMMYFUNCTION("""COMPUTED_VALUE"""),4252300)</f>
        <v/>
      </c>
      <c r="H191" s="27" t="n"/>
    </row>
    <row r="192" ht="17.25" customHeight="1" s="322">
      <c r="A192" s="27" t="n"/>
      <c r="B192" s="506">
        <f>IFERROR(__xludf.DUMMYFUNCTION("""COMPUTED_VALUE"""),46106.6666666666)</f>
        <v/>
      </c>
      <c r="C192" s="141">
        <f>IFERROR(__xludf.DUMMYFUNCTION("""COMPUTED_VALUE"""),81.9)</f>
        <v/>
      </c>
      <c r="D192" s="141">
        <f>IFERROR(__xludf.DUMMYFUNCTION("""COMPUTED_VALUE"""),82.18)</f>
        <v/>
      </c>
      <c r="E192" s="141">
        <f>IFERROR(__xludf.DUMMYFUNCTION("""COMPUTED_VALUE"""),81.28)</f>
        <v/>
      </c>
      <c r="F192" s="141">
        <f>IFERROR(__xludf.DUMMYFUNCTION("""COMPUTED_VALUE"""),81.76)</f>
        <v/>
      </c>
      <c r="G192" s="143">
        <f>IFERROR(__xludf.DUMMYFUNCTION("""COMPUTED_VALUE"""),4428474)</f>
        <v/>
      </c>
      <c r="H192" s="27" t="n"/>
    </row>
    <row r="193" ht="17.25" customHeight="1" s="322">
      <c r="A193" s="27" t="n"/>
      <c r="B193" s="506">
        <f>IFERROR(__xludf.DUMMYFUNCTION("""COMPUTED_VALUE"""),46107.6666666666)</f>
        <v/>
      </c>
      <c r="C193" s="141">
        <f>IFERROR(__xludf.DUMMYFUNCTION("""COMPUTED_VALUE"""),80.75)</f>
        <v/>
      </c>
      <c r="D193" s="141">
        <f>IFERROR(__xludf.DUMMYFUNCTION("""COMPUTED_VALUE"""),81.45)</f>
        <v/>
      </c>
      <c r="E193" s="141">
        <f>IFERROR(__xludf.DUMMYFUNCTION("""COMPUTED_VALUE"""),80.15)</f>
        <v/>
      </c>
      <c r="F193" s="141">
        <f>IFERROR(__xludf.DUMMYFUNCTION("""COMPUTED_VALUE"""),80.16)</f>
        <v/>
      </c>
      <c r="G193" s="143">
        <f>IFERROR(__xludf.DUMMYFUNCTION("""COMPUTED_VALUE"""),4553883)</f>
        <v/>
      </c>
      <c r="H193" s="27" t="n"/>
    </row>
    <row r="194" ht="17.25" customHeight="1" s="322">
      <c r="A194" s="27" t="n"/>
      <c r="B194" s="506">
        <f>IFERROR(__xludf.DUMMYFUNCTION("""COMPUTED_VALUE"""),46108.6666666666)</f>
        <v/>
      </c>
      <c r="C194" s="141">
        <f>IFERROR(__xludf.DUMMYFUNCTION("""COMPUTED_VALUE"""),79.87)</f>
        <v/>
      </c>
      <c r="D194" s="141">
        <f>IFERROR(__xludf.DUMMYFUNCTION("""COMPUTED_VALUE"""),80.4)</f>
        <v/>
      </c>
      <c r="E194" s="141">
        <f>IFERROR(__xludf.DUMMYFUNCTION("""COMPUTED_VALUE"""),79.26)</f>
        <v/>
      </c>
      <c r="F194" s="141">
        <f>IFERROR(__xludf.DUMMYFUNCTION("""COMPUTED_VALUE"""),79.45)</f>
        <v/>
      </c>
      <c r="G194" s="143">
        <f>IFERROR(__xludf.DUMMYFUNCTION("""COMPUTED_VALUE"""),3522870)</f>
        <v/>
      </c>
      <c r="H194" s="27" t="n"/>
    </row>
    <row r="195" ht="17.25" customHeight="1" s="322">
      <c r="A195" s="27" t="n"/>
      <c r="B195" s="506">
        <f>IFERROR(__xludf.DUMMYFUNCTION("""COMPUTED_VALUE"""),46111.6666666666)</f>
        <v/>
      </c>
      <c r="C195" s="141">
        <f>IFERROR(__xludf.DUMMYFUNCTION("""COMPUTED_VALUE"""),80.17)</f>
        <v/>
      </c>
      <c r="D195" s="141">
        <f>IFERROR(__xludf.DUMMYFUNCTION("""COMPUTED_VALUE"""),80.51)</f>
        <v/>
      </c>
      <c r="E195" s="141">
        <f>IFERROR(__xludf.DUMMYFUNCTION("""COMPUTED_VALUE"""),79.5)</f>
        <v/>
      </c>
      <c r="F195" s="141">
        <f>IFERROR(__xludf.DUMMYFUNCTION("""COMPUTED_VALUE"""),79.87)</f>
        <v/>
      </c>
      <c r="G195" s="143">
        <f>IFERROR(__xludf.DUMMYFUNCTION("""COMPUTED_VALUE"""),3429369)</f>
        <v/>
      </c>
      <c r="H195" s="27" t="n"/>
    </row>
    <row r="196" ht="17.25" customHeight="1" s="322">
      <c r="A196" s="27" t="n"/>
      <c r="B196" s="506">
        <f>IFERROR(__xludf.DUMMYFUNCTION("""COMPUTED_VALUE"""),46112.6666666666)</f>
        <v/>
      </c>
      <c r="C196" s="141">
        <f>IFERROR(__xludf.DUMMYFUNCTION("""COMPUTED_VALUE"""),81.3)</f>
        <v/>
      </c>
      <c r="D196" s="141">
        <f>IFERROR(__xludf.DUMMYFUNCTION("""COMPUTED_VALUE"""),82.47)</f>
        <v/>
      </c>
      <c r="E196" s="141">
        <f>IFERROR(__xludf.DUMMYFUNCTION("""COMPUTED_VALUE"""),80.78)</f>
        <v/>
      </c>
      <c r="F196" s="141">
        <f>IFERROR(__xludf.DUMMYFUNCTION("""COMPUTED_VALUE"""),82.43)</f>
        <v/>
      </c>
      <c r="G196" s="143">
        <f>IFERROR(__xludf.DUMMYFUNCTION("""COMPUTED_VALUE"""),10673723)</f>
        <v/>
      </c>
      <c r="H196" s="27" t="n"/>
    </row>
    <row r="197" ht="17.25" customHeight="1" s="322">
      <c r="A197" s="27" t="n"/>
      <c r="B197" s="506">
        <f>IFERROR(__xludf.DUMMYFUNCTION("""COMPUTED_VALUE"""),46113.6666666666)</f>
        <v/>
      </c>
      <c r="C197" s="141">
        <f>IFERROR(__xludf.DUMMYFUNCTION("""COMPUTED_VALUE"""),83.56)</f>
        <v/>
      </c>
      <c r="D197" s="141">
        <f>IFERROR(__xludf.DUMMYFUNCTION("""COMPUTED_VALUE"""),84.07)</f>
        <v/>
      </c>
      <c r="E197" s="141">
        <f>IFERROR(__xludf.DUMMYFUNCTION("""COMPUTED_VALUE"""),83.15)</f>
        <v/>
      </c>
      <c r="F197" s="141">
        <f>IFERROR(__xludf.DUMMYFUNCTION("""COMPUTED_VALUE"""),83.62)</f>
        <v/>
      </c>
      <c r="G197" s="143">
        <f>IFERROR(__xludf.DUMMYFUNCTION("""COMPUTED_VALUE"""),5892174)</f>
        <v/>
      </c>
      <c r="H197" s="27" t="n"/>
    </row>
    <row r="198" ht="17.25" customHeight="1" s="322">
      <c r="A198" s="27" t="n"/>
      <c r="B198" s="506">
        <f>IFERROR(__xludf.DUMMYFUNCTION("""COMPUTED_VALUE"""),46114.6666666666)</f>
        <v/>
      </c>
      <c r="C198" s="141">
        <f>IFERROR(__xludf.DUMMYFUNCTION("""COMPUTED_VALUE"""),81.93)</f>
        <v/>
      </c>
      <c r="D198" s="141">
        <f>IFERROR(__xludf.DUMMYFUNCTION("""COMPUTED_VALUE"""),83.57)</f>
        <v/>
      </c>
      <c r="E198" s="141">
        <f>IFERROR(__xludf.DUMMYFUNCTION("""COMPUTED_VALUE"""),81.75)</f>
        <v/>
      </c>
      <c r="F198" s="141">
        <f>IFERROR(__xludf.DUMMYFUNCTION("""COMPUTED_VALUE"""),83.22)</f>
        <v/>
      </c>
      <c r="G198" s="143">
        <f>IFERROR(__xludf.DUMMYFUNCTION("""COMPUTED_VALUE"""),5097771)</f>
        <v/>
      </c>
      <c r="H198" s="27" t="n"/>
    </row>
    <row r="199" ht="17.25" customHeight="1" s="322">
      <c r="A199" s="27" t="n"/>
      <c r="B199" s="506">
        <f>IFERROR(__xludf.DUMMYFUNCTION("""COMPUTED_VALUE"""),46118.6666666666)</f>
        <v/>
      </c>
      <c r="C199" s="141">
        <f>IFERROR(__xludf.DUMMYFUNCTION("""COMPUTED_VALUE"""),83.28)</f>
        <v/>
      </c>
      <c r="D199" s="141">
        <f>IFERROR(__xludf.DUMMYFUNCTION("""COMPUTED_VALUE"""),83.94)</f>
        <v/>
      </c>
      <c r="E199" s="141">
        <f>IFERROR(__xludf.DUMMYFUNCTION("""COMPUTED_VALUE"""),83.26)</f>
        <v/>
      </c>
      <c r="F199" s="141">
        <f>IFERROR(__xludf.DUMMYFUNCTION("""COMPUTED_VALUE"""),83.78)</f>
        <v/>
      </c>
      <c r="G199" s="143">
        <f>IFERROR(__xludf.DUMMYFUNCTION("""COMPUTED_VALUE"""),3835428)</f>
        <v/>
      </c>
      <c r="H199" s="27" t="n"/>
    </row>
    <row r="200" ht="17.25" customHeight="1" s="322">
      <c r="A200" s="27" t="n"/>
      <c r="B200" s="506">
        <f>IFERROR(__xludf.DUMMYFUNCTION("""COMPUTED_VALUE"""),46119.6666666666)</f>
        <v/>
      </c>
      <c r="C200" s="141">
        <f>IFERROR(__xludf.DUMMYFUNCTION("""COMPUTED_VALUE"""),83.03)</f>
        <v/>
      </c>
      <c r="D200" s="141">
        <f>IFERROR(__xludf.DUMMYFUNCTION("""COMPUTED_VALUE"""),83.72)</f>
        <v/>
      </c>
      <c r="E200" s="141">
        <f>IFERROR(__xludf.DUMMYFUNCTION("""COMPUTED_VALUE"""),82.17)</f>
        <v/>
      </c>
      <c r="F200" s="141">
        <f>IFERROR(__xludf.DUMMYFUNCTION("""COMPUTED_VALUE"""),83.53)</f>
        <v/>
      </c>
      <c r="G200" s="143">
        <f>IFERROR(__xludf.DUMMYFUNCTION("""COMPUTED_VALUE"""),5212251)</f>
        <v/>
      </c>
      <c r="H200" s="27" t="n"/>
    </row>
    <row r="201" ht="17.25" customHeight="1" s="322">
      <c r="A201" s="27" t="n"/>
      <c r="B201" s="506">
        <f>IFERROR(__xludf.DUMMYFUNCTION("""COMPUTED_VALUE"""),46120.6666666666)</f>
        <v/>
      </c>
      <c r="C201" s="141">
        <f>IFERROR(__xludf.DUMMYFUNCTION("""COMPUTED_VALUE"""),87.03)</f>
        <v/>
      </c>
      <c r="D201" s="141">
        <f>IFERROR(__xludf.DUMMYFUNCTION("""COMPUTED_VALUE"""),87.19)</f>
        <v/>
      </c>
      <c r="E201" s="141">
        <f>IFERROR(__xludf.DUMMYFUNCTION("""COMPUTED_VALUE"""),86.11)</f>
        <v/>
      </c>
      <c r="F201" s="141">
        <f>IFERROR(__xludf.DUMMYFUNCTION("""COMPUTED_VALUE"""),86.74)</f>
        <v/>
      </c>
      <c r="G201" s="143">
        <f>IFERROR(__xludf.DUMMYFUNCTION("""COMPUTED_VALUE"""),6012784)</f>
        <v/>
      </c>
      <c r="H201" s="27" t="n"/>
    </row>
    <row r="202" ht="17.25" customHeight="1" s="322">
      <c r="A202" s="27" t="n"/>
      <c r="B202" s="506">
        <f>IFERROR(__xludf.DUMMYFUNCTION("""COMPUTED_VALUE"""),46121.6666666666)</f>
        <v/>
      </c>
      <c r="C202" s="141">
        <f>IFERROR(__xludf.DUMMYFUNCTION("""COMPUTED_VALUE"""),86.19)</f>
        <v/>
      </c>
      <c r="D202" s="141">
        <f>IFERROR(__xludf.DUMMYFUNCTION("""COMPUTED_VALUE"""),87.19)</f>
        <v/>
      </c>
      <c r="E202" s="141">
        <f>IFERROR(__xludf.DUMMYFUNCTION("""COMPUTED_VALUE"""),85.94)</f>
        <v/>
      </c>
      <c r="F202" s="141">
        <f>IFERROR(__xludf.DUMMYFUNCTION("""COMPUTED_VALUE"""),86.76)</f>
        <v/>
      </c>
      <c r="G202" s="143">
        <f>IFERROR(__xludf.DUMMYFUNCTION("""COMPUTED_VALUE"""),2933447)</f>
        <v/>
      </c>
      <c r="H202" s="27" t="n"/>
    </row>
    <row r="203" ht="17.25" customHeight="1" s="322">
      <c r="A203" s="27" t="n"/>
      <c r="B203" s="506">
        <f>IFERROR(__xludf.DUMMYFUNCTION("""COMPUTED_VALUE"""),46122.6666666666)</f>
        <v/>
      </c>
      <c r="C203" s="141">
        <f>IFERROR(__xludf.DUMMYFUNCTION("""COMPUTED_VALUE"""),87.43)</f>
        <v/>
      </c>
      <c r="D203" s="141">
        <f>IFERROR(__xludf.DUMMYFUNCTION("""COMPUTED_VALUE"""),87.57)</f>
        <v/>
      </c>
      <c r="E203" s="141">
        <f>IFERROR(__xludf.DUMMYFUNCTION("""COMPUTED_VALUE"""),86.7)</f>
        <v/>
      </c>
      <c r="F203" s="141">
        <f>IFERROR(__xludf.DUMMYFUNCTION("""COMPUTED_VALUE"""),87.06)</f>
        <v/>
      </c>
      <c r="G203" s="143">
        <f>IFERROR(__xludf.DUMMYFUNCTION("""COMPUTED_VALUE"""),2307076)</f>
        <v/>
      </c>
      <c r="H203" s="27" t="n"/>
    </row>
    <row r="204" ht="17.25" customHeight="1" s="322">
      <c r="A204" s="27" t="n"/>
      <c r="B204" s="506">
        <f>IFERROR(__xludf.DUMMYFUNCTION("""COMPUTED_VALUE"""),46125.6666666666)</f>
        <v/>
      </c>
      <c r="C204" s="141">
        <f>IFERROR(__xludf.DUMMYFUNCTION("""COMPUTED_VALUE"""),86.48)</f>
        <v/>
      </c>
      <c r="D204" s="141">
        <f>IFERROR(__xludf.DUMMYFUNCTION("""COMPUTED_VALUE"""),87.69)</f>
        <v/>
      </c>
      <c r="E204" s="141">
        <f>IFERROR(__xludf.DUMMYFUNCTION("""COMPUTED_VALUE"""),86.29)</f>
        <v/>
      </c>
      <c r="F204" s="141">
        <f>IFERROR(__xludf.DUMMYFUNCTION("""COMPUTED_VALUE"""),87.64)</f>
        <v/>
      </c>
      <c r="G204" s="143">
        <f>IFERROR(__xludf.DUMMYFUNCTION("""COMPUTED_VALUE"""),4811530)</f>
        <v/>
      </c>
      <c r="H204" s="27" t="n"/>
    </row>
    <row r="205" ht="17.25" customHeight="1" s="322">
      <c r="A205" s="27" t="n"/>
      <c r="B205" s="506">
        <f>IFERROR(__xludf.DUMMYFUNCTION("""COMPUTED_VALUE"""),46126.6666666666)</f>
        <v/>
      </c>
      <c r="C205" s="141">
        <f>IFERROR(__xludf.DUMMYFUNCTION("""COMPUTED_VALUE"""),88.02)</f>
        <v/>
      </c>
      <c r="D205" s="141">
        <f>IFERROR(__xludf.DUMMYFUNCTION("""COMPUTED_VALUE"""),88.53)</f>
        <v/>
      </c>
      <c r="E205" s="141">
        <f>IFERROR(__xludf.DUMMYFUNCTION("""COMPUTED_VALUE"""),88.02)</f>
        <v/>
      </c>
      <c r="F205" s="141">
        <f>IFERROR(__xludf.DUMMYFUNCTION("""COMPUTED_VALUE"""),88.37)</f>
        <v/>
      </c>
      <c r="G205" s="143">
        <f>IFERROR(__xludf.DUMMYFUNCTION("""COMPUTED_VALUE"""),2152551)</f>
        <v/>
      </c>
      <c r="H205" s="27" t="n"/>
    </row>
    <row r="206" ht="17.25" customHeight="1" s="322">
      <c r="A206" s="27" t="n"/>
      <c r="B206" s="506">
        <f>IFERROR(__xludf.DUMMYFUNCTION("""COMPUTED_VALUE"""),46127.6666666666)</f>
        <v/>
      </c>
      <c r="C206" s="141">
        <f>IFERROR(__xludf.DUMMYFUNCTION("""COMPUTED_VALUE"""),88.32)</f>
        <v/>
      </c>
      <c r="D206" s="141">
        <f>IFERROR(__xludf.DUMMYFUNCTION("""COMPUTED_VALUE"""),88.32)</f>
        <v/>
      </c>
      <c r="E206" s="141">
        <f>IFERROR(__xludf.DUMMYFUNCTION("""COMPUTED_VALUE"""),87.74)</f>
        <v/>
      </c>
      <c r="F206" s="141">
        <f>IFERROR(__xludf.DUMMYFUNCTION("""COMPUTED_VALUE"""),88.03)</f>
        <v/>
      </c>
      <c r="G206" s="143">
        <f>IFERROR(__xludf.DUMMYFUNCTION("""COMPUTED_VALUE"""),3155994)</f>
        <v/>
      </c>
      <c r="H206" s="27" t="n"/>
    </row>
    <row r="207" ht="17.25" customHeight="1" s="322">
      <c r="A207" s="27" t="n"/>
      <c r="B207" s="506">
        <f>IFERROR(__xludf.DUMMYFUNCTION("""COMPUTED_VALUE"""),46128.6666666666)</f>
        <v/>
      </c>
      <c r="C207" s="141">
        <f>IFERROR(__xludf.DUMMYFUNCTION("""COMPUTED_VALUE"""),88.34)</f>
        <v/>
      </c>
      <c r="D207" s="141">
        <f>IFERROR(__xludf.DUMMYFUNCTION("""COMPUTED_VALUE"""),88.45)</f>
        <v/>
      </c>
      <c r="E207" s="141">
        <f>IFERROR(__xludf.DUMMYFUNCTION("""COMPUTED_VALUE"""),87.44)</f>
        <v/>
      </c>
      <c r="F207" s="141">
        <f>IFERROR(__xludf.DUMMYFUNCTION("""COMPUTED_VALUE"""),87.71)</f>
        <v/>
      </c>
      <c r="G207" s="143">
        <f>IFERROR(__xludf.DUMMYFUNCTION("""COMPUTED_VALUE"""),2580121)</f>
        <v/>
      </c>
      <c r="H207" s="27" t="n"/>
    </row>
    <row r="208" ht="17.25" customHeight="1" s="322">
      <c r="A208" s="27" t="n"/>
      <c r="B208" s="506">
        <f>IFERROR(__xludf.DUMMYFUNCTION("""COMPUTED_VALUE"""),46129.6666666666)</f>
        <v/>
      </c>
      <c r="C208" s="141">
        <f>IFERROR(__xludf.DUMMYFUNCTION("""COMPUTED_VALUE"""),89.41)</f>
        <v/>
      </c>
      <c r="D208" s="141">
        <f>IFERROR(__xludf.DUMMYFUNCTION("""COMPUTED_VALUE"""),89.75)</f>
        <v/>
      </c>
      <c r="E208" s="141">
        <f>IFERROR(__xludf.DUMMYFUNCTION("""COMPUTED_VALUE"""),89.01)</f>
        <v/>
      </c>
      <c r="F208" s="141">
        <f>IFERROR(__xludf.DUMMYFUNCTION("""COMPUTED_VALUE"""),89.07)</f>
        <v/>
      </c>
      <c r="G208" s="143">
        <f>IFERROR(__xludf.DUMMYFUNCTION("""COMPUTED_VALUE"""),3225143)</f>
        <v/>
      </c>
      <c r="H208" s="27" t="n"/>
    </row>
    <row r="209" ht="17.25" customHeight="1" s="322">
      <c r="A209" s="27" t="n"/>
      <c r="B209" s="506">
        <f>IFERROR(__xludf.DUMMYFUNCTION("""COMPUTED_VALUE"""),46132.6666666666)</f>
        <v/>
      </c>
      <c r="C209" s="141">
        <f>IFERROR(__xludf.DUMMYFUNCTION("""COMPUTED_VALUE"""),88.59)</f>
        <v/>
      </c>
      <c r="D209" s="141">
        <f>IFERROR(__xludf.DUMMYFUNCTION("""COMPUTED_VALUE"""),88.85)</f>
        <v/>
      </c>
      <c r="E209" s="141">
        <f>IFERROR(__xludf.DUMMYFUNCTION("""COMPUTED_VALUE"""),88.16)</f>
        <v/>
      </c>
      <c r="F209" s="141">
        <f>IFERROR(__xludf.DUMMYFUNCTION("""COMPUTED_VALUE"""),88.84)</f>
        <v/>
      </c>
      <c r="G209" s="143">
        <f>IFERROR(__xludf.DUMMYFUNCTION("""COMPUTED_VALUE"""),2898679)</f>
        <v/>
      </c>
      <c r="H209" s="27" t="n"/>
    </row>
    <row r="210" ht="17.25" customHeight="1" s="322">
      <c r="A210" s="27" t="n"/>
      <c r="B210" s="506">
        <f>IFERROR(__xludf.DUMMYFUNCTION("""COMPUTED_VALUE"""),46133.6666666666)</f>
        <v/>
      </c>
      <c r="C210" s="141">
        <f>IFERROR(__xludf.DUMMYFUNCTION("""COMPUTED_VALUE"""),88.41)</f>
        <v/>
      </c>
      <c r="D210" s="141">
        <f>IFERROR(__xludf.DUMMYFUNCTION("""COMPUTED_VALUE"""),88.46)</f>
        <v/>
      </c>
      <c r="E210" s="141">
        <f>IFERROR(__xludf.DUMMYFUNCTION("""COMPUTED_VALUE"""),86.83)</f>
        <v/>
      </c>
      <c r="F210" s="141">
        <f>IFERROR(__xludf.DUMMYFUNCTION("""COMPUTED_VALUE"""),86.9)</f>
        <v/>
      </c>
      <c r="G210" s="143">
        <f>IFERROR(__xludf.DUMMYFUNCTION("""COMPUTED_VALUE"""),3543171)</f>
        <v/>
      </c>
      <c r="H210" s="27" t="n"/>
    </row>
    <row r="211" ht="17.25" customHeight="1" s="322">
      <c r="A211" s="27" t="n"/>
      <c r="B211" s="506">
        <f>IFERROR(__xludf.DUMMYFUNCTION("""COMPUTED_VALUE"""),46134.6666666666)</f>
        <v/>
      </c>
      <c r="C211" s="141">
        <f>IFERROR(__xludf.DUMMYFUNCTION("""COMPUTED_VALUE"""),87.73)</f>
        <v/>
      </c>
      <c r="D211" s="141">
        <f>IFERROR(__xludf.DUMMYFUNCTION("""COMPUTED_VALUE"""),87.73)</f>
        <v/>
      </c>
      <c r="E211" s="141">
        <f>IFERROR(__xludf.DUMMYFUNCTION("""COMPUTED_VALUE"""),86.86)</f>
        <v/>
      </c>
      <c r="F211" s="141">
        <f>IFERROR(__xludf.DUMMYFUNCTION("""COMPUTED_VALUE"""),87.14)</f>
        <v/>
      </c>
      <c r="G211" s="143">
        <f>IFERROR(__xludf.DUMMYFUNCTION("""COMPUTED_VALUE"""),2291344)</f>
        <v/>
      </c>
      <c r="H211" s="27" t="n"/>
    </row>
    <row r="212" ht="17.25" customHeight="1" s="322">
      <c r="A212" s="27" t="n"/>
      <c r="B212" s="506">
        <f>IFERROR(__xludf.DUMMYFUNCTION("""COMPUTED_VALUE"""),46135.6666666666)</f>
        <v/>
      </c>
      <c r="C212" s="141">
        <f>IFERROR(__xludf.DUMMYFUNCTION("""COMPUTED_VALUE"""),86.98)</f>
        <v/>
      </c>
      <c r="D212" s="141">
        <f>IFERROR(__xludf.DUMMYFUNCTION("""COMPUTED_VALUE"""),87.3)</f>
        <v/>
      </c>
      <c r="E212" s="141">
        <f>IFERROR(__xludf.DUMMYFUNCTION("""COMPUTED_VALUE"""),85.53)</f>
        <v/>
      </c>
      <c r="F212" s="141">
        <f>IFERROR(__xludf.DUMMYFUNCTION("""COMPUTED_VALUE"""),86.47)</f>
        <v/>
      </c>
      <c r="G212" s="143">
        <f>IFERROR(__xludf.DUMMYFUNCTION("""COMPUTED_VALUE"""),4028469)</f>
        <v/>
      </c>
      <c r="H212" s="27" t="n"/>
    </row>
    <row r="213" ht="17.25" customHeight="1" s="322">
      <c r="A213" s="27" t="n"/>
      <c r="B213" s="506">
        <f>IFERROR(__xludf.DUMMYFUNCTION("""COMPUTED_VALUE"""),46136.6666666666)</f>
        <v/>
      </c>
      <c r="C213" s="141">
        <f>IFERROR(__xludf.DUMMYFUNCTION("""COMPUTED_VALUE"""),86.82)</f>
        <v/>
      </c>
      <c r="D213" s="141">
        <f>IFERROR(__xludf.DUMMYFUNCTION("""COMPUTED_VALUE"""),87.23)</f>
        <v/>
      </c>
      <c r="E213" s="141">
        <f>IFERROR(__xludf.DUMMYFUNCTION("""COMPUTED_VALUE"""),86.55)</f>
        <v/>
      </c>
      <c r="F213" s="141">
        <f>IFERROR(__xludf.DUMMYFUNCTION("""COMPUTED_VALUE"""),87.05)</f>
        <v/>
      </c>
      <c r="G213" s="143">
        <f>IFERROR(__xludf.DUMMYFUNCTION("""COMPUTED_VALUE"""),3812020)</f>
        <v/>
      </c>
      <c r="H213" s="27" t="n"/>
    </row>
    <row r="214" ht="17.25" customHeight="1" s="322">
      <c r="A214" s="27" t="n"/>
      <c r="B214" s="506">
        <f>IFERROR(__xludf.DUMMYFUNCTION("""COMPUTED_VALUE"""),46139.6666666666)</f>
        <v/>
      </c>
      <c r="C214" s="141">
        <f>IFERROR(__xludf.DUMMYFUNCTION("""COMPUTED_VALUE"""),86.98)</f>
        <v/>
      </c>
      <c r="D214" s="141">
        <f>IFERROR(__xludf.DUMMYFUNCTION("""COMPUTED_VALUE"""),87.12)</f>
        <v/>
      </c>
      <c r="E214" s="141">
        <f>IFERROR(__xludf.DUMMYFUNCTION("""COMPUTED_VALUE"""),86.49)</f>
        <v/>
      </c>
      <c r="F214" s="141">
        <f>IFERROR(__xludf.DUMMYFUNCTION("""COMPUTED_VALUE"""),86.55)</f>
        <v/>
      </c>
      <c r="G214" s="143">
        <f>IFERROR(__xludf.DUMMYFUNCTION("""COMPUTED_VALUE"""),2114577)</f>
        <v/>
      </c>
      <c r="H214" s="27" t="n"/>
    </row>
    <row r="215" ht="17.25" customHeight="1" s="322">
      <c r="A215" s="27" t="n"/>
      <c r="B215" s="506">
        <f>IFERROR(__xludf.DUMMYFUNCTION("""COMPUTED_VALUE"""),46140.6666666666)</f>
        <v/>
      </c>
      <c r="C215" s="141">
        <f>IFERROR(__xludf.DUMMYFUNCTION("""COMPUTED_VALUE"""),86)</f>
        <v/>
      </c>
      <c r="D215" s="141">
        <f>IFERROR(__xludf.DUMMYFUNCTION("""COMPUTED_VALUE"""),86.23)</f>
        <v/>
      </c>
      <c r="E215" s="141">
        <f>IFERROR(__xludf.DUMMYFUNCTION("""COMPUTED_VALUE"""),85.78)</f>
        <v/>
      </c>
      <c r="F215" s="141">
        <f>IFERROR(__xludf.DUMMYFUNCTION("""COMPUTED_VALUE"""),86.16)</f>
        <v/>
      </c>
      <c r="G215" s="143">
        <f>IFERROR(__xludf.DUMMYFUNCTION("""COMPUTED_VALUE"""),2839085)</f>
        <v/>
      </c>
      <c r="H215" s="27" t="n"/>
    </row>
    <row r="216" ht="17.25" customHeight="1" s="322">
      <c r="A216" s="27" t="n"/>
      <c r="B216" s="506">
        <f>IFERROR(__xludf.DUMMYFUNCTION("""COMPUTED_VALUE"""),46141.6666666666)</f>
        <v/>
      </c>
      <c r="C216" s="141">
        <f>IFERROR(__xludf.DUMMYFUNCTION("""COMPUTED_VALUE"""),85.79)</f>
        <v/>
      </c>
      <c r="D216" s="141">
        <f>IFERROR(__xludf.DUMMYFUNCTION("""COMPUTED_VALUE"""),85.82)</f>
        <v/>
      </c>
      <c r="E216" s="141">
        <f>IFERROR(__xludf.DUMMYFUNCTION("""COMPUTED_VALUE"""),84.82)</f>
        <v/>
      </c>
      <c r="F216" s="141">
        <f>IFERROR(__xludf.DUMMYFUNCTION("""COMPUTED_VALUE"""),85.14)</f>
        <v/>
      </c>
      <c r="G216" s="143">
        <f>IFERROR(__xludf.DUMMYFUNCTION("""COMPUTED_VALUE"""),2939498)</f>
        <v/>
      </c>
      <c r="H216" s="27" t="n"/>
    </row>
    <row r="217" ht="17.25" customHeight="1" s="322">
      <c r="A217" s="27" t="n"/>
      <c r="B217" s="506">
        <f>IFERROR(__xludf.DUMMYFUNCTION("""COMPUTED_VALUE"""),46142.6666666666)</f>
        <v/>
      </c>
      <c r="C217" s="141">
        <f>IFERROR(__xludf.DUMMYFUNCTION("""COMPUTED_VALUE"""),86.43)</f>
        <v/>
      </c>
      <c r="D217" s="141">
        <f>IFERROR(__xludf.DUMMYFUNCTION("""COMPUTED_VALUE"""),87.39)</f>
        <v/>
      </c>
      <c r="E217" s="141">
        <f>IFERROR(__xludf.DUMMYFUNCTION("""COMPUTED_VALUE"""),86.07)</f>
        <v/>
      </c>
      <c r="F217" s="141">
        <f>IFERROR(__xludf.DUMMYFUNCTION("""COMPUTED_VALUE"""),87.14)</f>
        <v/>
      </c>
      <c r="G217" s="143">
        <f>IFERROR(__xludf.DUMMYFUNCTION("""COMPUTED_VALUE"""),2862011)</f>
        <v/>
      </c>
      <c r="H217" s="27" t="n"/>
    </row>
    <row r="218" ht="17.25" customHeight="1" s="322">
      <c r="A218" s="27" t="n"/>
      <c r="B218" s="506">
        <f>IFERROR(__xludf.DUMMYFUNCTION("""COMPUTED_VALUE"""),46143.6666666666)</f>
        <v/>
      </c>
      <c r="C218" s="141">
        <f>IFERROR(__xludf.DUMMYFUNCTION("""COMPUTED_VALUE"""),87.47)</f>
        <v/>
      </c>
      <c r="D218" s="141">
        <f>IFERROR(__xludf.DUMMYFUNCTION("""COMPUTED_VALUE"""),88.05)</f>
        <v/>
      </c>
      <c r="E218" s="141">
        <f>IFERROR(__xludf.DUMMYFUNCTION("""COMPUTED_VALUE"""),86.15)</f>
        <v/>
      </c>
      <c r="F218" s="141">
        <f>IFERROR(__xludf.DUMMYFUNCTION("""COMPUTED_VALUE"""),87.15)</f>
        <v/>
      </c>
      <c r="G218" s="143">
        <f>IFERROR(__xludf.DUMMYFUNCTION("""COMPUTED_VALUE"""),4507866)</f>
        <v/>
      </c>
      <c r="H218" s="27" t="n"/>
    </row>
    <row r="219" ht="17.25" customHeight="1" s="322">
      <c r="A219" s="27" t="n"/>
      <c r="B219" s="506">
        <f>IFERROR(__xludf.DUMMYFUNCTION("""COMPUTED_VALUE"""),46146.6666666666)</f>
        <v/>
      </c>
      <c r="C219" s="141">
        <f>IFERROR(__xludf.DUMMYFUNCTION("""COMPUTED_VALUE"""),86.48)</f>
        <v/>
      </c>
      <c r="D219" s="141">
        <f>IFERROR(__xludf.DUMMYFUNCTION("""COMPUTED_VALUE"""),86.68)</f>
        <v/>
      </c>
      <c r="E219" s="141">
        <f>IFERROR(__xludf.DUMMYFUNCTION("""COMPUTED_VALUE"""),85.22)</f>
        <v/>
      </c>
      <c r="F219" s="141">
        <f>IFERROR(__xludf.DUMMYFUNCTION("""COMPUTED_VALUE"""),85.51)</f>
        <v/>
      </c>
      <c r="G219" s="143">
        <f>IFERROR(__xludf.DUMMYFUNCTION("""COMPUTED_VALUE"""),6338694)</f>
        <v/>
      </c>
      <c r="H219" s="27" t="n"/>
    </row>
    <row r="220" ht="17.25" customHeight="1" s="322">
      <c r="A220" s="27" t="n"/>
      <c r="B220" s="506">
        <f>IFERROR(__xludf.DUMMYFUNCTION("""COMPUTED_VALUE"""),46147.6666666666)</f>
        <v/>
      </c>
      <c r="C220" s="141">
        <f>IFERROR(__xludf.DUMMYFUNCTION("""COMPUTED_VALUE"""),86.45)</f>
        <v/>
      </c>
      <c r="D220" s="141">
        <f>IFERROR(__xludf.DUMMYFUNCTION("""COMPUTED_VALUE"""),86.94)</f>
        <v/>
      </c>
      <c r="E220" s="141">
        <f>IFERROR(__xludf.DUMMYFUNCTION("""COMPUTED_VALUE"""),86.1)</f>
        <v/>
      </c>
      <c r="F220" s="141">
        <f>IFERROR(__xludf.DUMMYFUNCTION("""COMPUTED_VALUE"""),86.87)</f>
        <v/>
      </c>
      <c r="G220" s="143">
        <f>IFERROR(__xludf.DUMMYFUNCTION("""COMPUTED_VALUE"""),3924907)</f>
        <v/>
      </c>
      <c r="H220" s="27" t="n"/>
    </row>
    <row r="221" ht="17.25" customHeight="1" s="322">
      <c r="A221" s="27" t="n"/>
      <c r="B221" s="506">
        <f>IFERROR(__xludf.DUMMYFUNCTION("""COMPUTED_VALUE"""),46148.6666666666)</f>
        <v/>
      </c>
      <c r="C221" s="141">
        <f>IFERROR(__xludf.DUMMYFUNCTION("""COMPUTED_VALUE"""),88.94)</f>
        <v/>
      </c>
      <c r="D221" s="141">
        <f>IFERROR(__xludf.DUMMYFUNCTION("""COMPUTED_VALUE"""),89.29)</f>
        <v/>
      </c>
      <c r="E221" s="141">
        <f>IFERROR(__xludf.DUMMYFUNCTION("""COMPUTED_VALUE"""),88.74)</f>
        <v/>
      </c>
      <c r="F221" s="141">
        <f>IFERROR(__xludf.DUMMYFUNCTION("""COMPUTED_VALUE"""),89.23)</f>
        <v/>
      </c>
      <c r="G221" s="143">
        <f>IFERROR(__xludf.DUMMYFUNCTION("""COMPUTED_VALUE"""),3270470)</f>
        <v/>
      </c>
      <c r="H221" s="27" t="n"/>
    </row>
    <row r="222" ht="17.25" customHeight="1" s="322">
      <c r="A222" s="27" t="n"/>
      <c r="B222" s="506">
        <f>IFERROR(__xludf.DUMMYFUNCTION("""COMPUTED_VALUE"""),46149.6666666666)</f>
        <v/>
      </c>
      <c r="C222" s="141">
        <f>IFERROR(__xludf.DUMMYFUNCTION("""COMPUTED_VALUE"""),89.12)</f>
        <v/>
      </c>
      <c r="D222" s="141">
        <f>IFERROR(__xludf.DUMMYFUNCTION("""COMPUTED_VALUE"""),89.17)</f>
        <v/>
      </c>
      <c r="E222" s="141">
        <f>IFERROR(__xludf.DUMMYFUNCTION("""COMPUTED_VALUE"""),87.19)</f>
        <v/>
      </c>
      <c r="F222" s="141">
        <f>IFERROR(__xludf.DUMMYFUNCTION("""COMPUTED_VALUE"""),87.28)</f>
        <v/>
      </c>
      <c r="G222" s="143">
        <f>IFERROR(__xludf.DUMMYFUNCTION("""COMPUTED_VALUE"""),4081092)</f>
        <v/>
      </c>
      <c r="H222" s="27" t="n"/>
    </row>
    <row r="223" ht="17.25" customHeight="1" s="322">
      <c r="A223" s="27" t="n"/>
      <c r="B223" s="506">
        <f>IFERROR(__xludf.DUMMYFUNCTION("""COMPUTED_VALUE"""),46150.6666666666)</f>
        <v/>
      </c>
      <c r="C223" s="141">
        <f>IFERROR(__xludf.DUMMYFUNCTION("""COMPUTED_VALUE"""),87.96)</f>
        <v/>
      </c>
      <c r="D223" s="141">
        <f>IFERROR(__xludf.DUMMYFUNCTION("""COMPUTED_VALUE"""),88.14)</f>
        <v/>
      </c>
      <c r="E223" s="141">
        <f>IFERROR(__xludf.DUMMYFUNCTION("""COMPUTED_VALUE"""),87.57)</f>
        <v/>
      </c>
      <c r="F223" s="141">
        <f>IFERROR(__xludf.DUMMYFUNCTION("""COMPUTED_VALUE"""),88.12)</f>
        <v/>
      </c>
      <c r="G223" s="143">
        <f>IFERROR(__xludf.DUMMYFUNCTION("""COMPUTED_VALUE"""),1747948)</f>
        <v/>
      </c>
      <c r="H223" s="27" t="n"/>
    </row>
    <row r="224" ht="17.25" customHeight="1" s="322">
      <c r="A224" s="27" t="n"/>
      <c r="B224" s="506">
        <f>IFERROR(__xludf.DUMMYFUNCTION("""COMPUTED_VALUE"""),46153.6666666666)</f>
        <v/>
      </c>
      <c r="C224" s="141">
        <f>IFERROR(__xludf.DUMMYFUNCTION("""COMPUTED_VALUE"""),87.88)</f>
        <v/>
      </c>
      <c r="D224" s="141">
        <f>IFERROR(__xludf.DUMMYFUNCTION("""COMPUTED_VALUE"""),88.04)</f>
        <v/>
      </c>
      <c r="E224" s="141">
        <f>IFERROR(__xludf.DUMMYFUNCTION("""COMPUTED_VALUE"""),87.64)</f>
        <v/>
      </c>
      <c r="F224" s="141">
        <f>IFERROR(__xludf.DUMMYFUNCTION("""COMPUTED_VALUE"""),87.82)</f>
        <v/>
      </c>
      <c r="G224" s="143">
        <f>IFERROR(__xludf.DUMMYFUNCTION("""COMPUTED_VALUE"""),3321867)</f>
        <v/>
      </c>
      <c r="H224" s="27" t="n"/>
    </row>
    <row r="225" ht="17.25" customHeight="1" s="322">
      <c r="A225" s="27" t="n"/>
      <c r="B225" s="506">
        <f>IFERROR(__xludf.DUMMYFUNCTION("""COMPUTED_VALUE"""),46154.6666666666)</f>
        <v/>
      </c>
      <c r="C225" s="141">
        <f>IFERROR(__xludf.DUMMYFUNCTION("""COMPUTED_VALUE"""),87.04)</f>
        <v/>
      </c>
      <c r="D225" s="141">
        <f>IFERROR(__xludf.DUMMYFUNCTION("""COMPUTED_VALUE"""),87.22)</f>
        <v/>
      </c>
      <c r="E225" s="141">
        <f>IFERROR(__xludf.DUMMYFUNCTION("""COMPUTED_VALUE"""),86.49)</f>
        <v/>
      </c>
      <c r="F225" s="141">
        <f>IFERROR(__xludf.DUMMYFUNCTION("""COMPUTED_VALUE"""),87.11)</f>
        <v/>
      </c>
      <c r="G225" s="143">
        <f>IFERROR(__xludf.DUMMYFUNCTION("""COMPUTED_VALUE"""),3600970)</f>
        <v/>
      </c>
      <c r="H225" s="27" t="n"/>
    </row>
    <row r="226" ht="17.25" customHeight="1" s="322">
      <c r="A226" s="27" t="n"/>
      <c r="B226" s="506">
        <f>IFERROR(__xludf.DUMMYFUNCTION("""COMPUTED_VALUE"""),46155.6666666666)</f>
        <v/>
      </c>
      <c r="C226" s="141">
        <f>IFERROR(__xludf.DUMMYFUNCTION("""COMPUTED_VALUE"""),86.83)</f>
        <v/>
      </c>
      <c r="D226" s="141">
        <f>IFERROR(__xludf.DUMMYFUNCTION("""COMPUTED_VALUE"""),87.62)</f>
        <v/>
      </c>
      <c r="E226" s="141">
        <f>IFERROR(__xludf.DUMMYFUNCTION("""COMPUTED_VALUE"""),86.65)</f>
        <v/>
      </c>
      <c r="F226" s="141">
        <f>IFERROR(__xludf.DUMMYFUNCTION("""COMPUTED_VALUE"""),87.6)</f>
        <v/>
      </c>
      <c r="G226" s="143">
        <f>IFERROR(__xludf.DUMMYFUNCTION("""COMPUTED_VALUE"""),2912429)</f>
        <v/>
      </c>
      <c r="H226" s="27" t="n"/>
    </row>
    <row r="227" ht="17.25" customHeight="1" s="322">
      <c r="A227" s="27" t="n"/>
      <c r="B227" s="506">
        <f>IFERROR(__xludf.DUMMYFUNCTION("""COMPUTED_VALUE"""),46156.6666666666)</f>
        <v/>
      </c>
      <c r="C227" s="141">
        <f>IFERROR(__xludf.DUMMYFUNCTION("""COMPUTED_VALUE"""),87.93)</f>
        <v/>
      </c>
      <c r="D227" s="141">
        <f>IFERROR(__xludf.DUMMYFUNCTION("""COMPUTED_VALUE"""),87.99)</f>
        <v/>
      </c>
      <c r="E227" s="141">
        <f>IFERROR(__xludf.DUMMYFUNCTION("""COMPUTED_VALUE"""),87.44)</f>
        <v/>
      </c>
      <c r="F227" s="141">
        <f>IFERROR(__xludf.DUMMYFUNCTION("""COMPUTED_VALUE"""),87.47)</f>
        <v/>
      </c>
      <c r="G227" s="143">
        <f>IFERROR(__xludf.DUMMYFUNCTION("""COMPUTED_VALUE"""),2673834)</f>
        <v/>
      </c>
      <c r="H227" s="27" t="n"/>
    </row>
    <row r="228" ht="17.25" customHeight="1" s="322">
      <c r="A228" s="27" t="n"/>
      <c r="B228" s="506">
        <f>IFERROR(__xludf.DUMMYFUNCTION("""COMPUTED_VALUE"""),46157.6666666666)</f>
        <v/>
      </c>
      <c r="C228" s="141">
        <f>IFERROR(__xludf.DUMMYFUNCTION("""COMPUTED_VALUE"""),86.13)</f>
        <v/>
      </c>
      <c r="D228" s="141">
        <f>IFERROR(__xludf.DUMMYFUNCTION("""COMPUTED_VALUE"""),86.3)</f>
        <v/>
      </c>
      <c r="E228" s="141">
        <f>IFERROR(__xludf.DUMMYFUNCTION("""COMPUTED_VALUE"""),85.67)</f>
        <v/>
      </c>
      <c r="F228" s="141">
        <f>IFERROR(__xludf.DUMMYFUNCTION("""COMPUTED_VALUE"""),85.79)</f>
        <v/>
      </c>
      <c r="G228" s="143">
        <f>IFERROR(__xludf.DUMMYFUNCTION("""COMPUTED_VALUE"""),3343813)</f>
        <v/>
      </c>
      <c r="H228" s="27" t="n"/>
    </row>
    <row r="229" ht="17.25" customHeight="1" s="322">
      <c r="A229" s="27" t="n"/>
      <c r="B229" s="506">
        <f>IFERROR(__xludf.DUMMYFUNCTION("""COMPUTED_VALUE"""),46160.6666666666)</f>
        <v/>
      </c>
      <c r="C229" s="141">
        <f>IFERROR(__xludf.DUMMYFUNCTION("""COMPUTED_VALUE"""),86.84)</f>
        <v/>
      </c>
      <c r="D229" s="141">
        <f>IFERROR(__xludf.DUMMYFUNCTION("""COMPUTED_VALUE"""),87.14)</f>
        <v/>
      </c>
      <c r="E229" s="141">
        <f>IFERROR(__xludf.DUMMYFUNCTION("""COMPUTED_VALUE"""),86.31)</f>
        <v/>
      </c>
      <c r="F229" s="141">
        <f>IFERROR(__xludf.DUMMYFUNCTION("""COMPUTED_VALUE"""),87.11)</f>
        <v/>
      </c>
      <c r="G229" s="143">
        <f>IFERROR(__xludf.DUMMYFUNCTION("""COMPUTED_VALUE"""),3213932)</f>
        <v/>
      </c>
      <c r="H229" s="27" t="n"/>
    </row>
    <row r="230" ht="17.25" customHeight="1" s="322">
      <c r="A230" s="27" t="n"/>
      <c r="B230" s="506">
        <f>IFERROR(__xludf.DUMMYFUNCTION("""COMPUTED_VALUE"""),46161.6666666666)</f>
        <v/>
      </c>
      <c r="C230" s="141">
        <f>IFERROR(__xludf.DUMMYFUNCTION("""COMPUTED_VALUE"""),86.96)</f>
        <v/>
      </c>
      <c r="D230" s="141">
        <f>IFERROR(__xludf.DUMMYFUNCTION("""COMPUTED_VALUE"""),87.01)</f>
        <v/>
      </c>
      <c r="E230" s="141">
        <f>IFERROR(__xludf.DUMMYFUNCTION("""COMPUTED_VALUE"""),86.37)</f>
        <v/>
      </c>
      <c r="F230" s="141">
        <f>IFERROR(__xludf.DUMMYFUNCTION("""COMPUTED_VALUE"""),86.41)</f>
        <v/>
      </c>
      <c r="G230" s="143">
        <f>IFERROR(__xludf.DUMMYFUNCTION("""COMPUTED_VALUE"""),2511856)</f>
        <v/>
      </c>
      <c r="H230" s="27" t="n"/>
    </row>
    <row r="231" ht="17.25" customHeight="1" s="322">
      <c r="A231" s="27" t="n"/>
      <c r="B231" s="506">
        <f>IFERROR(__xludf.DUMMYFUNCTION("""COMPUTED_VALUE"""),46162.6666666666)</f>
        <v/>
      </c>
      <c r="C231" s="141">
        <f>IFERROR(__xludf.DUMMYFUNCTION("""COMPUTED_VALUE"""),86.97)</f>
        <v/>
      </c>
      <c r="D231" s="141">
        <f>IFERROR(__xludf.DUMMYFUNCTION("""COMPUTED_VALUE"""),88.58)</f>
        <v/>
      </c>
      <c r="E231" s="141">
        <f>IFERROR(__xludf.DUMMYFUNCTION("""COMPUTED_VALUE"""),86.8)</f>
        <v/>
      </c>
      <c r="F231" s="141">
        <f>IFERROR(__xludf.DUMMYFUNCTION("""COMPUTED_VALUE"""),88.24)</f>
        <v/>
      </c>
      <c r="G231" s="143">
        <f>IFERROR(__xludf.DUMMYFUNCTION("""COMPUTED_VALUE"""),3244715)</f>
        <v/>
      </c>
      <c r="H231" s="27" t="n"/>
    </row>
    <row r="232" ht="17.25" customHeight="1" s="322">
      <c r="A232" s="27" t="n"/>
      <c r="B232" s="506">
        <f>IFERROR(__xludf.DUMMYFUNCTION("""COMPUTED_VALUE"""),46163.6666666666)</f>
        <v/>
      </c>
      <c r="C232" s="141">
        <f>IFERROR(__xludf.DUMMYFUNCTION("""COMPUTED_VALUE"""),87.62)</f>
        <v/>
      </c>
      <c r="D232" s="141">
        <f>IFERROR(__xludf.DUMMYFUNCTION("""COMPUTED_VALUE"""),89.11)</f>
        <v/>
      </c>
      <c r="E232" s="141">
        <f>IFERROR(__xludf.DUMMYFUNCTION("""COMPUTED_VALUE"""),87.4)</f>
        <v/>
      </c>
      <c r="F232" s="141">
        <f>IFERROR(__xludf.DUMMYFUNCTION("""COMPUTED_VALUE"""),88.76)</f>
        <v/>
      </c>
      <c r="G232" s="143">
        <f>IFERROR(__xludf.DUMMYFUNCTION("""COMPUTED_VALUE"""),3841061)</f>
        <v/>
      </c>
      <c r="H232" s="27" t="n"/>
    </row>
    <row r="233" ht="17.25" customHeight="1" s="322">
      <c r="A233" s="27" t="n"/>
      <c r="B233" s="506">
        <f>IFERROR(__xludf.DUMMYFUNCTION("""COMPUTED_VALUE"""),46164.6666666666)</f>
        <v/>
      </c>
      <c r="C233" s="141">
        <f>IFERROR(__xludf.DUMMYFUNCTION("""COMPUTED_VALUE"""),88.87)</f>
        <v/>
      </c>
      <c r="D233" s="141">
        <f>IFERROR(__xludf.DUMMYFUNCTION("""COMPUTED_VALUE"""),88.9)</f>
        <v/>
      </c>
      <c r="E233" s="141">
        <f>IFERROR(__xludf.DUMMYFUNCTION("""COMPUTED_VALUE"""),88.37)</f>
        <v/>
      </c>
      <c r="F233" s="141">
        <f>IFERROR(__xludf.DUMMYFUNCTION("""COMPUTED_VALUE"""),88.46)</f>
        <v/>
      </c>
      <c r="G233" s="143">
        <f>IFERROR(__xludf.DUMMYFUNCTION("""COMPUTED_VALUE"""),1843184)</f>
        <v/>
      </c>
      <c r="H233" s="27" t="n"/>
    </row>
    <row r="234" ht="17.25" customHeight="1" s="322">
      <c r="A234" s="27" t="n"/>
      <c r="B234" s="506">
        <f>IFERROR(__xludf.DUMMYFUNCTION("""COMPUTED_VALUE"""),46168.6666666666)</f>
        <v/>
      </c>
      <c r="C234" s="141">
        <f>IFERROR(__xludf.DUMMYFUNCTION("""COMPUTED_VALUE"""),89.42)</f>
        <v/>
      </c>
      <c r="D234" s="141">
        <f>IFERROR(__xludf.DUMMYFUNCTION("""COMPUTED_VALUE"""),89.79)</f>
        <v/>
      </c>
      <c r="E234" s="141">
        <f>IFERROR(__xludf.DUMMYFUNCTION("""COMPUTED_VALUE"""),89.1)</f>
        <v/>
      </c>
      <c r="F234" s="141">
        <f>IFERROR(__xludf.DUMMYFUNCTION("""COMPUTED_VALUE"""),89.48)</f>
        <v/>
      </c>
      <c r="G234" s="143">
        <f>IFERROR(__xludf.DUMMYFUNCTION("""COMPUTED_VALUE"""),2432125)</f>
        <v/>
      </c>
      <c r="H234" s="27" t="n"/>
    </row>
    <row r="235" ht="17.25" customHeight="1" s="322">
      <c r="A235" s="27" t="n"/>
      <c r="B235" s="506">
        <f>IFERROR(__xludf.DUMMYFUNCTION("""COMPUTED_VALUE"""),46169.6666666666)</f>
        <v/>
      </c>
      <c r="C235" s="141">
        <f>IFERROR(__xludf.DUMMYFUNCTION("""COMPUTED_VALUE"""),89.68)</f>
        <v/>
      </c>
      <c r="D235" s="141">
        <f>IFERROR(__xludf.DUMMYFUNCTION("""COMPUTED_VALUE"""),89.7)</f>
        <v/>
      </c>
      <c r="E235" s="141">
        <f>IFERROR(__xludf.DUMMYFUNCTION("""COMPUTED_VALUE"""),89.1)</f>
        <v/>
      </c>
      <c r="F235" s="141">
        <f>IFERROR(__xludf.DUMMYFUNCTION("""COMPUTED_VALUE"""),89.32)</f>
        <v/>
      </c>
      <c r="G235" s="143">
        <f>IFERROR(__xludf.DUMMYFUNCTION("""COMPUTED_VALUE"""),1990799)</f>
        <v/>
      </c>
      <c r="H235" s="27" t="n"/>
    </row>
    <row r="236" ht="17.25" customHeight="1" s="322">
      <c r="A236" s="27" t="n"/>
      <c r="B236" s="506">
        <f>IFERROR(__xludf.DUMMYFUNCTION("""COMPUTED_VALUE"""),46170.6666666666)</f>
        <v/>
      </c>
      <c r="C236" s="141">
        <f>IFERROR(__xludf.DUMMYFUNCTION("""COMPUTED_VALUE"""),88.75)</f>
        <v/>
      </c>
      <c r="D236" s="141">
        <f>IFERROR(__xludf.DUMMYFUNCTION("""COMPUTED_VALUE"""),89.42)</f>
        <v/>
      </c>
      <c r="E236" s="141">
        <f>IFERROR(__xludf.DUMMYFUNCTION("""COMPUTED_VALUE"""),88.51)</f>
        <v/>
      </c>
      <c r="F236" s="141">
        <f>IFERROR(__xludf.DUMMYFUNCTION("""COMPUTED_VALUE"""),89.03)</f>
        <v/>
      </c>
      <c r="G236" s="143">
        <f>IFERROR(__xludf.DUMMYFUNCTION("""COMPUTED_VALUE"""),2120452)</f>
        <v/>
      </c>
      <c r="H236" s="27" t="n"/>
    </row>
    <row r="237" ht="17.25" customHeight="1" s="322">
      <c r="A237" s="27" t="n"/>
      <c r="B237" s="506">
        <f>IFERROR(__xludf.DUMMYFUNCTION("""COMPUTED_VALUE"""),46171.6666666666)</f>
        <v/>
      </c>
      <c r="C237" s="141">
        <f>IFERROR(__xludf.DUMMYFUNCTION("""COMPUTED_VALUE"""),89.36)</f>
        <v/>
      </c>
      <c r="D237" s="141">
        <f>IFERROR(__xludf.DUMMYFUNCTION("""COMPUTED_VALUE"""),89.76)</f>
        <v/>
      </c>
      <c r="E237" s="141">
        <f>IFERROR(__xludf.DUMMYFUNCTION("""COMPUTED_VALUE"""),88.97)</f>
        <v/>
      </c>
      <c r="F237" s="141">
        <f>IFERROR(__xludf.DUMMYFUNCTION("""COMPUTED_VALUE"""),89.01)</f>
        <v/>
      </c>
      <c r="G237" s="143">
        <f>IFERROR(__xludf.DUMMYFUNCTION("""COMPUTED_VALUE"""),2547836)</f>
        <v/>
      </c>
      <c r="H237" s="27" t="n"/>
    </row>
    <row r="238" ht="17.25" customHeight="1" s="322">
      <c r="A238" s="27" t="n"/>
      <c r="B238" s="506">
        <f>IFERROR(__xludf.DUMMYFUNCTION("""COMPUTED_VALUE"""),46174.6666666666)</f>
        <v/>
      </c>
      <c r="C238" s="141">
        <f>IFERROR(__xludf.DUMMYFUNCTION("""COMPUTED_VALUE"""),88.14)</f>
        <v/>
      </c>
      <c r="D238" s="141">
        <f>IFERROR(__xludf.DUMMYFUNCTION("""COMPUTED_VALUE"""),88.96)</f>
        <v/>
      </c>
      <c r="E238" s="141">
        <f>IFERROR(__xludf.DUMMYFUNCTION("""COMPUTED_VALUE"""),87.86)</f>
        <v/>
      </c>
      <c r="F238" s="141">
        <f>IFERROR(__xludf.DUMMYFUNCTION("""COMPUTED_VALUE"""),88.52)</f>
        <v/>
      </c>
      <c r="G238" s="143">
        <f>IFERROR(__xludf.DUMMYFUNCTION("""COMPUTED_VALUE"""),3941187)</f>
        <v/>
      </c>
      <c r="H238" s="27" t="n"/>
    </row>
    <row r="239" ht="17.25" customHeight="1" s="322">
      <c r="A239" s="27" t="n"/>
      <c r="B239" s="506">
        <f>IFERROR(__xludf.DUMMYFUNCTION("""COMPUTED_VALUE"""),46175.6666666666)</f>
        <v/>
      </c>
      <c r="C239" s="141">
        <f>IFERROR(__xludf.DUMMYFUNCTION("""COMPUTED_VALUE"""),88.84)</f>
        <v/>
      </c>
      <c r="D239" s="141">
        <f>IFERROR(__xludf.DUMMYFUNCTION("""COMPUTED_VALUE"""),89.14)</f>
        <v/>
      </c>
      <c r="E239" s="141">
        <f>IFERROR(__xludf.DUMMYFUNCTION("""COMPUTED_VALUE"""),88.56)</f>
        <v/>
      </c>
      <c r="F239" s="141">
        <f>IFERROR(__xludf.DUMMYFUNCTION("""COMPUTED_VALUE"""),88.96)</f>
        <v/>
      </c>
      <c r="G239" s="143">
        <f>IFERROR(__xludf.DUMMYFUNCTION("""COMPUTED_VALUE"""),4468239)</f>
        <v/>
      </c>
      <c r="H239" s="27" t="n"/>
    </row>
    <row r="240" ht="17.25" customHeight="1" s="322">
      <c r="A240" s="27" t="n"/>
      <c r="B240" s="506">
        <f>IFERROR(__xludf.DUMMYFUNCTION("""COMPUTED_VALUE"""),46176.6666666666)</f>
        <v/>
      </c>
      <c r="C240" s="141">
        <f>IFERROR(__xludf.DUMMYFUNCTION("""COMPUTED_VALUE"""),88.43)</f>
        <v/>
      </c>
      <c r="D240" s="141">
        <f>IFERROR(__xludf.DUMMYFUNCTION("""COMPUTED_VALUE"""),88.57)</f>
        <v/>
      </c>
      <c r="E240" s="141">
        <f>IFERROR(__xludf.DUMMYFUNCTION("""COMPUTED_VALUE"""),87.9)</f>
        <v/>
      </c>
      <c r="F240" s="141">
        <f>IFERROR(__xludf.DUMMYFUNCTION("""COMPUTED_VALUE"""),87.9)</f>
        <v/>
      </c>
      <c r="G240" s="143">
        <f>IFERROR(__xludf.DUMMYFUNCTION("""COMPUTED_VALUE"""),1682060)</f>
        <v/>
      </c>
      <c r="H240" s="27" t="n"/>
    </row>
    <row r="241" ht="17.25" customHeight="1" s="322">
      <c r="A241" s="27" t="n"/>
      <c r="B241" s="506">
        <f>IFERROR(__xludf.DUMMYFUNCTION("""COMPUTED_VALUE"""),46177.6666666666)</f>
        <v/>
      </c>
      <c r="C241" s="141">
        <f>IFERROR(__xludf.DUMMYFUNCTION("""COMPUTED_VALUE"""),88.63)</f>
        <v/>
      </c>
      <c r="D241" s="141">
        <f>IFERROR(__xludf.DUMMYFUNCTION("""COMPUTED_VALUE"""),89)</f>
        <v/>
      </c>
      <c r="E241" s="141">
        <f>IFERROR(__xludf.DUMMYFUNCTION("""COMPUTED_VALUE"""),88.53)</f>
        <v/>
      </c>
      <c r="F241" s="141">
        <f>IFERROR(__xludf.DUMMYFUNCTION("""COMPUTED_VALUE"""),88.89)</f>
        <v/>
      </c>
      <c r="G241" s="143">
        <f>IFERROR(__xludf.DUMMYFUNCTION("""COMPUTED_VALUE"""),4615998)</f>
        <v/>
      </c>
      <c r="H241" s="27" t="n"/>
    </row>
    <row r="242" ht="17.25" customHeight="1" s="322">
      <c r="A242" s="27" t="n"/>
      <c r="B242" s="506">
        <f>IFERROR(__xludf.DUMMYFUNCTION("""COMPUTED_VALUE"""),46178.6666666666)</f>
        <v/>
      </c>
      <c r="C242" s="141">
        <f>IFERROR(__xludf.DUMMYFUNCTION("""COMPUTED_VALUE"""),88.58)</f>
        <v/>
      </c>
      <c r="D242" s="141">
        <f>IFERROR(__xludf.DUMMYFUNCTION("""COMPUTED_VALUE"""),88.72)</f>
        <v/>
      </c>
      <c r="E242" s="141">
        <f>IFERROR(__xludf.DUMMYFUNCTION("""COMPUTED_VALUE"""),86.84)</f>
        <v/>
      </c>
      <c r="F242" s="141">
        <f>IFERROR(__xludf.DUMMYFUNCTION("""COMPUTED_VALUE"""),87.13)</f>
        <v/>
      </c>
      <c r="G242" s="143">
        <f>IFERROR(__xludf.DUMMYFUNCTION("""COMPUTED_VALUE"""),2457377)</f>
        <v/>
      </c>
      <c r="H242" s="27" t="n"/>
    </row>
    <row r="243" ht="17.25" customHeight="1" s="322">
      <c r="A243" s="27" t="n"/>
      <c r="B243" s="506">
        <f>IFERROR(__xludf.DUMMYFUNCTION("""COMPUTED_VALUE"""),46181.6666666666)</f>
        <v/>
      </c>
      <c r="C243" s="141">
        <f>IFERROR(__xludf.DUMMYFUNCTION("""COMPUTED_VALUE"""),87.73)</f>
        <v/>
      </c>
      <c r="D243" s="141">
        <f>IFERROR(__xludf.DUMMYFUNCTION("""COMPUTED_VALUE"""),88.04)</f>
        <v/>
      </c>
      <c r="E243" s="141">
        <f>IFERROR(__xludf.DUMMYFUNCTION("""COMPUTED_VALUE"""),87.36)</f>
        <v/>
      </c>
      <c r="F243" s="141">
        <f>IFERROR(__xludf.DUMMYFUNCTION("""COMPUTED_VALUE"""),87.52)</f>
        <v/>
      </c>
      <c r="G243" s="143">
        <f>IFERROR(__xludf.DUMMYFUNCTION("""COMPUTED_VALUE"""),2674188)</f>
        <v/>
      </c>
      <c r="H243" s="27" t="n"/>
    </row>
    <row r="244" ht="17.25" customHeight="1" s="322">
      <c r="A244" s="27" t="n"/>
      <c r="B244" s="506">
        <f>IFERROR(__xludf.DUMMYFUNCTION("""COMPUTED_VALUE"""),46182.6666666666)</f>
        <v/>
      </c>
      <c r="C244" s="141">
        <f>IFERROR(__xludf.DUMMYFUNCTION("""COMPUTED_VALUE"""),88.4)</f>
        <v/>
      </c>
      <c r="D244" s="141">
        <f>IFERROR(__xludf.DUMMYFUNCTION("""COMPUTED_VALUE"""),88.84)</f>
        <v/>
      </c>
      <c r="E244" s="141">
        <f>IFERROR(__xludf.DUMMYFUNCTION("""COMPUTED_VALUE"""),86.48)</f>
        <v/>
      </c>
      <c r="F244" s="141">
        <f>IFERROR(__xludf.DUMMYFUNCTION("""COMPUTED_VALUE"""),87.88)</f>
        <v/>
      </c>
      <c r="G244" s="143">
        <f>IFERROR(__xludf.DUMMYFUNCTION("""COMPUTED_VALUE"""),4819497)</f>
        <v/>
      </c>
      <c r="H244" s="27" t="n"/>
    </row>
    <row r="245" ht="17.25" customHeight="1" s="322">
      <c r="A245" s="27" t="n"/>
      <c r="B245" s="506">
        <f>IFERROR(__xludf.DUMMYFUNCTION("""COMPUTED_VALUE"""),46183.6666666666)</f>
        <v/>
      </c>
      <c r="C245" s="141">
        <f>IFERROR(__xludf.DUMMYFUNCTION("""COMPUTED_VALUE"""),87.37)</f>
        <v/>
      </c>
      <c r="D245" s="141">
        <f>IFERROR(__xludf.DUMMYFUNCTION("""COMPUTED_VALUE"""),87.88)</f>
        <v/>
      </c>
      <c r="E245" s="141">
        <f>IFERROR(__xludf.DUMMYFUNCTION("""COMPUTED_VALUE"""),86.67)</f>
        <v/>
      </c>
      <c r="F245" s="141">
        <f>IFERROR(__xludf.DUMMYFUNCTION("""COMPUTED_VALUE"""),86.69)</f>
        <v/>
      </c>
      <c r="G245" s="143">
        <f>IFERROR(__xludf.DUMMYFUNCTION("""COMPUTED_VALUE"""),3881648)</f>
        <v/>
      </c>
      <c r="H245" s="27" t="n"/>
    </row>
    <row r="246" ht="17.25" customHeight="1" s="322">
      <c r="A246" s="27" t="n"/>
      <c r="B246" s="506">
        <f>IFERROR(__xludf.DUMMYFUNCTION("""COMPUTED_VALUE"""),46184.6666666666)</f>
        <v/>
      </c>
      <c r="C246" s="141">
        <f>IFERROR(__xludf.DUMMYFUNCTION("""COMPUTED_VALUE"""),87.55)</f>
        <v/>
      </c>
      <c r="D246" s="141">
        <f>IFERROR(__xludf.DUMMYFUNCTION("""COMPUTED_VALUE"""),89.57)</f>
        <v/>
      </c>
      <c r="E246" s="141">
        <f>IFERROR(__xludf.DUMMYFUNCTION("""COMPUTED_VALUE"""),87.29)</f>
        <v/>
      </c>
      <c r="F246" s="141">
        <f>IFERROR(__xludf.DUMMYFUNCTION("""COMPUTED_VALUE"""),89.46)</f>
        <v/>
      </c>
      <c r="G246" s="143">
        <f>IFERROR(__xludf.DUMMYFUNCTION("""COMPUTED_VALUE"""),4069187)</f>
        <v/>
      </c>
      <c r="H246" s="27" t="n"/>
    </row>
    <row r="247" ht="17.25" customHeight="1" s="322">
      <c r="A247" s="27" t="n"/>
      <c r="B247" s="506">
        <f>IFERROR(__xludf.DUMMYFUNCTION("""COMPUTED_VALUE"""),46185.6666666666)</f>
        <v/>
      </c>
      <c r="C247" s="141">
        <f>IFERROR(__xludf.DUMMYFUNCTION("""COMPUTED_VALUE"""),89.21)</f>
        <v/>
      </c>
      <c r="D247" s="141">
        <f>IFERROR(__xludf.DUMMYFUNCTION("""COMPUTED_VALUE"""),89.79)</f>
        <v/>
      </c>
      <c r="E247" s="141">
        <f>IFERROR(__xludf.DUMMYFUNCTION("""COMPUTED_VALUE"""),88.9)</f>
        <v/>
      </c>
      <c r="F247" s="141">
        <f>IFERROR(__xludf.DUMMYFUNCTION("""COMPUTED_VALUE"""),89.62)</f>
        <v/>
      </c>
      <c r="G247" s="143">
        <f>IFERROR(__xludf.DUMMYFUNCTION("""COMPUTED_VALUE"""),2749488)</f>
        <v/>
      </c>
      <c r="H247" s="27" t="n"/>
    </row>
    <row r="248" ht="17.25" customHeight="1" s="322">
      <c r="A248" s="27" t="n"/>
      <c r="B248" s="506">
        <f>IFERROR(__xludf.DUMMYFUNCTION("""COMPUTED_VALUE"""),46188.6666666666)</f>
        <v/>
      </c>
      <c r="C248" s="141">
        <f>IFERROR(__xludf.DUMMYFUNCTION("""COMPUTED_VALUE"""),90.45)</f>
        <v/>
      </c>
      <c r="D248" s="141">
        <f>IFERROR(__xludf.DUMMYFUNCTION("""COMPUTED_VALUE"""),90.71)</f>
        <v/>
      </c>
      <c r="E248" s="141">
        <f>IFERROR(__xludf.DUMMYFUNCTION("""COMPUTED_VALUE"""),89.81)</f>
        <v/>
      </c>
      <c r="F248" s="141">
        <f>IFERROR(__xludf.DUMMYFUNCTION("""COMPUTED_VALUE"""),89.87)</f>
        <v/>
      </c>
      <c r="G248" s="143">
        <f>IFERROR(__xludf.DUMMYFUNCTION("""COMPUTED_VALUE"""),3017680)</f>
        <v/>
      </c>
      <c r="H248" s="27" t="n"/>
    </row>
    <row r="249" ht="17.25" customHeight="1" s="322">
      <c r="A249" s="27" t="n"/>
      <c r="B249" s="506">
        <f>IFERROR(__xludf.DUMMYFUNCTION("""COMPUTED_VALUE"""),46189.6666666666)</f>
        <v/>
      </c>
      <c r="C249" s="141">
        <f>IFERROR(__xludf.DUMMYFUNCTION("""COMPUTED_VALUE"""),90.37)</f>
        <v/>
      </c>
      <c r="D249" s="141">
        <f>IFERROR(__xludf.DUMMYFUNCTION("""COMPUTED_VALUE"""),90.48)</f>
        <v/>
      </c>
      <c r="E249" s="141">
        <f>IFERROR(__xludf.DUMMYFUNCTION("""COMPUTED_VALUE"""),89.96)</f>
        <v/>
      </c>
      <c r="F249" s="141">
        <f>IFERROR(__xludf.DUMMYFUNCTION("""COMPUTED_VALUE"""),90.01)</f>
        <v/>
      </c>
      <c r="G249" s="143">
        <f>IFERROR(__xludf.DUMMYFUNCTION("""COMPUTED_VALUE"""),1671394)</f>
        <v/>
      </c>
      <c r="H249" s="27" t="n"/>
    </row>
    <row r="250" ht="17.25" customHeight="1" s="322">
      <c r="A250" s="27" t="n"/>
      <c r="B250" s="506">
        <f>IFERROR(__xludf.DUMMYFUNCTION("""COMPUTED_VALUE"""),46190.6666666666)</f>
        <v/>
      </c>
      <c r="C250" s="141">
        <f>IFERROR(__xludf.DUMMYFUNCTION("""COMPUTED_VALUE"""),90.43)</f>
        <v/>
      </c>
      <c r="D250" s="141">
        <f>IFERROR(__xludf.DUMMYFUNCTION("""COMPUTED_VALUE"""),90.73)</f>
        <v/>
      </c>
      <c r="E250" s="141">
        <f>IFERROR(__xludf.DUMMYFUNCTION("""COMPUTED_VALUE"""),89.05)</f>
        <v/>
      </c>
      <c r="F250" s="141">
        <f>IFERROR(__xludf.DUMMYFUNCTION("""COMPUTED_VALUE"""),89.23)</f>
        <v/>
      </c>
      <c r="G250" s="143">
        <f>IFERROR(__xludf.DUMMYFUNCTION("""COMPUTED_VALUE"""),3574400)</f>
        <v/>
      </c>
      <c r="H250" s="27" t="n"/>
    </row>
    <row r="251" ht="17.25" customHeight="1" s="322">
      <c r="A251" s="27" t="n"/>
      <c r="B251" s="506">
        <f>IFERROR(__xludf.DUMMYFUNCTION("""COMPUTED_VALUE"""),46191.6666666666)</f>
        <v/>
      </c>
      <c r="C251" s="141">
        <f>IFERROR(__xludf.DUMMYFUNCTION("""COMPUTED_VALUE"""),88.18)</f>
        <v/>
      </c>
      <c r="D251" s="141">
        <f>IFERROR(__xludf.DUMMYFUNCTION("""COMPUTED_VALUE"""),88.47)</f>
        <v/>
      </c>
      <c r="E251" s="141">
        <f>IFERROR(__xludf.DUMMYFUNCTION("""COMPUTED_VALUE"""),88.04)</f>
        <v/>
      </c>
      <c r="F251" s="141">
        <f>IFERROR(__xludf.DUMMYFUNCTION("""COMPUTED_VALUE"""),88.27)</f>
        <v/>
      </c>
      <c r="G251" s="143">
        <f>IFERROR(__xludf.DUMMYFUNCTION("""COMPUTED_VALUE"""),2059321)</f>
        <v/>
      </c>
      <c r="H251" s="27" t="n"/>
    </row>
    <row r="252" ht="17.25" customHeight="1" s="322">
      <c r="A252" s="27" t="n"/>
      <c r="B252" s="506">
        <f>IFERROR(__xludf.DUMMYFUNCTION("""COMPUTED_VALUE"""),46195.6666666666)</f>
        <v/>
      </c>
      <c r="C252" s="141">
        <f>IFERROR(__xludf.DUMMYFUNCTION("""COMPUTED_VALUE"""),88.22)</f>
        <v/>
      </c>
      <c r="D252" s="141">
        <f>IFERROR(__xludf.DUMMYFUNCTION("""COMPUTED_VALUE"""),88.36)</f>
        <v/>
      </c>
      <c r="E252" s="141">
        <f>IFERROR(__xludf.DUMMYFUNCTION("""COMPUTED_VALUE"""),88.03)</f>
        <v/>
      </c>
      <c r="F252" s="141">
        <f>IFERROR(__xludf.DUMMYFUNCTION("""COMPUTED_VALUE"""),88.25)</f>
        <v/>
      </c>
      <c r="G252" s="143">
        <f>IFERROR(__xludf.DUMMYFUNCTION("""COMPUTED_VALUE"""),1937195)</f>
        <v/>
      </c>
      <c r="H252" s="27" t="n"/>
    </row>
    <row r="253" ht="17.25" customHeight="1" s="322">
      <c r="A253" s="27" t="n"/>
      <c r="B253" s="506">
        <f>IFERROR(__xludf.DUMMYFUNCTION("""COMPUTED_VALUE"""),46196.6666666666)</f>
        <v/>
      </c>
      <c r="C253" s="141">
        <f>IFERROR(__xludf.DUMMYFUNCTION("""COMPUTED_VALUE"""),87.11)</f>
        <v/>
      </c>
      <c r="D253" s="141">
        <f>IFERROR(__xludf.DUMMYFUNCTION("""COMPUTED_VALUE"""),87.56)</f>
        <v/>
      </c>
      <c r="E253" s="141">
        <f>IFERROR(__xludf.DUMMYFUNCTION("""COMPUTED_VALUE"""),87.02)</f>
        <v/>
      </c>
      <c r="F253" s="141">
        <f>IFERROR(__xludf.DUMMYFUNCTION("""COMPUTED_VALUE"""),87.16)</f>
        <v/>
      </c>
      <c r="G253" s="143">
        <f>IFERROR(__xludf.DUMMYFUNCTION("""COMPUTED_VALUE"""),3015439)</f>
        <v/>
      </c>
      <c r="H253" s="27" t="n"/>
    </row>
    <row r="254" ht="17.25" customHeight="1" s="322">
      <c r="A254" s="27" t="n"/>
      <c r="B254" s="506">
        <f>IFERROR(__xludf.DUMMYFUNCTION("""COMPUTED_VALUE"""),46197.6666666666)</f>
        <v/>
      </c>
      <c r="C254" s="141">
        <f>IFERROR(__xludf.DUMMYFUNCTION("""COMPUTED_VALUE"""),86.85)</f>
        <v/>
      </c>
      <c r="D254" s="141">
        <f>IFERROR(__xludf.DUMMYFUNCTION("""COMPUTED_VALUE"""),87.27)</f>
        <v/>
      </c>
      <c r="E254" s="141">
        <f>IFERROR(__xludf.DUMMYFUNCTION("""COMPUTED_VALUE"""),86.63)</f>
        <v/>
      </c>
      <c r="F254" s="141">
        <f>IFERROR(__xludf.DUMMYFUNCTION("""COMPUTED_VALUE"""),86.95)</f>
        <v/>
      </c>
      <c r="G254" s="143">
        <f>IFERROR(__xludf.DUMMYFUNCTION("""COMPUTED_VALUE"""),2162492)</f>
        <v/>
      </c>
      <c r="H254" s="27" t="n"/>
    </row>
    <row r="255" ht="17.25" customHeight="1" s="322">
      <c r="A255" s="27" t="n"/>
      <c r="B255" s="506">
        <f>IFERROR(__xludf.DUMMYFUNCTION("""COMPUTED_VALUE"""),46198.6666666666)</f>
        <v/>
      </c>
      <c r="C255" s="141">
        <f>IFERROR(__xludf.DUMMYFUNCTION("""COMPUTED_VALUE"""),87.85)</f>
        <v/>
      </c>
      <c r="D255" s="141">
        <f>IFERROR(__xludf.DUMMYFUNCTION("""COMPUTED_VALUE"""),88.25)</f>
        <v/>
      </c>
      <c r="E255" s="141">
        <f>IFERROR(__xludf.DUMMYFUNCTION("""COMPUTED_VALUE"""),87.46)</f>
        <v/>
      </c>
      <c r="F255" s="141">
        <f>IFERROR(__xludf.DUMMYFUNCTION("""COMPUTED_VALUE"""),87.83)</f>
        <v/>
      </c>
      <c r="G255" s="143">
        <f>IFERROR(__xludf.DUMMYFUNCTION("""COMPUTED_VALUE"""),2209357)</f>
        <v/>
      </c>
      <c r="H255" s="27" t="n"/>
    </row>
    <row r="256" ht="17.25" customHeight="1" s="322">
      <c r="A256" s="27" t="n"/>
      <c r="B256" s="506">
        <f>IFERROR(__xludf.DUMMYFUNCTION("""COMPUTED_VALUE"""),46199.6666666666)</f>
        <v/>
      </c>
      <c r="C256" s="141">
        <f>IFERROR(__xludf.DUMMYFUNCTION("""COMPUTED_VALUE"""),87.28)</f>
        <v/>
      </c>
      <c r="D256" s="141">
        <f>IFERROR(__xludf.DUMMYFUNCTION("""COMPUTED_VALUE"""),87.65)</f>
        <v/>
      </c>
      <c r="E256" s="141">
        <f>IFERROR(__xludf.DUMMYFUNCTION("""COMPUTED_VALUE"""),87.03)</f>
        <v/>
      </c>
      <c r="F256" s="141">
        <f>IFERROR(__xludf.DUMMYFUNCTION("""COMPUTED_VALUE"""),87.13)</f>
        <v/>
      </c>
      <c r="G256" s="143">
        <f>IFERROR(__xludf.DUMMYFUNCTION("""COMPUTED_VALUE"""),2001521)</f>
        <v/>
      </c>
      <c r="H256" s="27" t="n"/>
    </row>
    <row r="257" ht="17.25" customHeight="1" s="322">
      <c r="A257" s="27" t="n"/>
      <c r="B257" s="506">
        <f>IFERROR(__xludf.DUMMYFUNCTION("""COMPUTED_VALUE"""),46202.6666666666)</f>
        <v/>
      </c>
      <c r="C257" s="141">
        <f>IFERROR(__xludf.DUMMYFUNCTION("""COMPUTED_VALUE"""),87.63)</f>
        <v/>
      </c>
      <c r="D257" s="141">
        <f>IFERROR(__xludf.DUMMYFUNCTION("""COMPUTED_VALUE"""),88.12)</f>
        <v/>
      </c>
      <c r="E257" s="141">
        <f>IFERROR(__xludf.DUMMYFUNCTION("""COMPUTED_VALUE"""),87.22)</f>
        <v/>
      </c>
      <c r="F257" s="141">
        <f>IFERROR(__xludf.DUMMYFUNCTION("""COMPUTED_VALUE"""),88.07)</f>
        <v/>
      </c>
      <c r="G257" s="143">
        <f>IFERROR(__xludf.DUMMYFUNCTION("""COMPUTED_VALUE"""),1630612)</f>
        <v/>
      </c>
      <c r="H257" s="27" t="n"/>
    </row>
    <row r="258" ht="17.25" customHeight="1" s="322">
      <c r="A258" s="27" t="n"/>
      <c r="B258" s="506">
        <f>IFERROR(__xludf.DUMMYFUNCTION("""COMPUTED_VALUE"""),46203.6666666666)</f>
        <v/>
      </c>
      <c r="C258" s="141">
        <f>IFERROR(__xludf.DUMMYFUNCTION("""COMPUTED_VALUE"""),88.24)</f>
        <v/>
      </c>
      <c r="D258" s="141">
        <f>IFERROR(__xludf.DUMMYFUNCTION("""COMPUTED_VALUE"""),88.58)</f>
        <v/>
      </c>
      <c r="E258" s="141">
        <f>IFERROR(__xludf.DUMMYFUNCTION("""COMPUTED_VALUE"""),88.03)</f>
        <v/>
      </c>
      <c r="F258" s="141">
        <f>IFERROR(__xludf.DUMMYFUNCTION("""COMPUTED_VALUE"""),88.54)</f>
        <v/>
      </c>
      <c r="G258" s="143">
        <f>IFERROR(__xludf.DUMMYFUNCTION("""COMPUTED_VALUE"""),2067152)</f>
        <v/>
      </c>
      <c r="H258" s="27" t="n"/>
    </row>
    <row r="259" ht="17.25" customHeight="1" s="322">
      <c r="A259" s="27" t="n"/>
      <c r="B259" s="506">
        <f>IFERROR(__xludf.DUMMYFUNCTION("""COMPUTED_VALUE"""),46204.6666666666)</f>
        <v/>
      </c>
      <c r="C259" s="141">
        <f>IFERROR(__xludf.DUMMYFUNCTION("""COMPUTED_VALUE"""),87.8)</f>
        <v/>
      </c>
      <c r="D259" s="141">
        <f>IFERROR(__xludf.DUMMYFUNCTION("""COMPUTED_VALUE"""),88.05)</f>
        <v/>
      </c>
      <c r="E259" s="141">
        <f>IFERROR(__xludf.DUMMYFUNCTION("""COMPUTED_VALUE"""),87.59)</f>
        <v/>
      </c>
      <c r="F259" s="141">
        <f>IFERROR(__xludf.DUMMYFUNCTION("""COMPUTED_VALUE"""),87.77)</f>
        <v/>
      </c>
      <c r="G259" s="143">
        <f>IFERROR(__xludf.DUMMYFUNCTION("""COMPUTED_VALUE"""),1891027)</f>
        <v/>
      </c>
      <c r="H259" s="27" t="n"/>
    </row>
    <row r="260" ht="17.25" customHeight="1" s="322">
      <c r="A260" s="27" t="n"/>
      <c r="B260" s="506">
        <f>IFERROR(__xludf.DUMMYFUNCTION("""COMPUTED_VALUE"""),46205.6666666666)</f>
        <v/>
      </c>
      <c r="C260" s="141">
        <f>IFERROR(__xludf.DUMMYFUNCTION("""COMPUTED_VALUE"""),89.33)</f>
        <v/>
      </c>
      <c r="D260" s="141">
        <f>IFERROR(__xludf.DUMMYFUNCTION("""COMPUTED_VALUE"""),89.93)</f>
        <v/>
      </c>
      <c r="E260" s="141">
        <f>IFERROR(__xludf.DUMMYFUNCTION("""COMPUTED_VALUE"""),88.91)</f>
        <v/>
      </c>
      <c r="F260" s="141">
        <f>IFERROR(__xludf.DUMMYFUNCTION("""COMPUTED_VALUE"""),89.35)</f>
        <v/>
      </c>
      <c r="G260" s="143">
        <f>IFERROR(__xludf.DUMMYFUNCTION("""COMPUTED_VALUE"""),2574939)</f>
        <v/>
      </c>
      <c r="H260" s="27" t="n"/>
    </row>
    <row r="261" ht="17.25" customHeight="1" s="322">
      <c r="A261" s="27" t="n"/>
      <c r="B261" s="506">
        <f>IFERROR(__xludf.DUMMYFUNCTION("""COMPUTED_VALUE"""),46209.6666666666)</f>
        <v/>
      </c>
      <c r="C261" s="141">
        <f>IFERROR(__xludf.DUMMYFUNCTION("""COMPUTED_VALUE"""),89.53)</f>
        <v/>
      </c>
      <c r="D261" s="141">
        <f>IFERROR(__xludf.DUMMYFUNCTION("""COMPUTED_VALUE"""),90)</f>
        <v/>
      </c>
      <c r="E261" s="141">
        <f>IFERROR(__xludf.DUMMYFUNCTION("""COMPUTED_VALUE"""),89.39)</f>
        <v/>
      </c>
      <c r="F261" s="141">
        <f>IFERROR(__xludf.DUMMYFUNCTION("""COMPUTED_VALUE"""),89.97)</f>
        <v/>
      </c>
      <c r="G261" s="143">
        <f>IFERROR(__xludf.DUMMYFUNCTION("""COMPUTED_VALUE"""),2662790)</f>
        <v/>
      </c>
      <c r="H261" s="27" t="n"/>
    </row>
    <row r="262" ht="17.25" customHeight="1" s="322">
      <c r="A262" s="27" t="n"/>
      <c r="B262" s="506">
        <f>IFERROR(__xludf.DUMMYFUNCTION("""COMPUTED_VALUE"""),46210.6666666666)</f>
        <v/>
      </c>
      <c r="C262" s="141">
        <f>IFERROR(__xludf.DUMMYFUNCTION("""COMPUTED_VALUE"""),89.83)</f>
        <v/>
      </c>
      <c r="D262" s="141">
        <f>IFERROR(__xludf.DUMMYFUNCTION("""COMPUTED_VALUE"""),90)</f>
        <v/>
      </c>
      <c r="E262" s="141">
        <f>IFERROR(__xludf.DUMMYFUNCTION("""COMPUTED_VALUE"""),88.81)</f>
        <v/>
      </c>
      <c r="F262" s="141">
        <f>IFERROR(__xludf.DUMMYFUNCTION("""COMPUTED_VALUE"""),89.04)</f>
        <v/>
      </c>
      <c r="G262" s="143">
        <f>IFERROR(__xludf.DUMMYFUNCTION("""COMPUTED_VALUE"""),1997047)</f>
        <v/>
      </c>
      <c r="H262" s="27" t="n"/>
    </row>
    <row r="263" ht="17.25" customHeight="1" s="322">
      <c r="A263" s="27" t="n"/>
      <c r="B263" s="506">
        <f>IFERROR(__xludf.DUMMYFUNCTION("""COMPUTED_VALUE"""),46211.6666666666)</f>
        <v/>
      </c>
      <c r="C263" s="141">
        <f>IFERROR(__xludf.DUMMYFUNCTION("""COMPUTED_VALUE"""),87.9)</f>
        <v/>
      </c>
      <c r="D263" s="141">
        <f>IFERROR(__xludf.DUMMYFUNCTION("""COMPUTED_VALUE"""),88.2)</f>
        <v/>
      </c>
      <c r="E263" s="141">
        <f>IFERROR(__xludf.DUMMYFUNCTION("""COMPUTED_VALUE"""),87.33)</f>
        <v/>
      </c>
      <c r="F263" s="141">
        <f>IFERROR(__xludf.DUMMYFUNCTION("""COMPUTED_VALUE"""),88.18)</f>
        <v/>
      </c>
      <c r="G263" s="143">
        <f>IFERROR(__xludf.DUMMYFUNCTION("""COMPUTED_VALUE"""),1936135)</f>
        <v/>
      </c>
      <c r="H263" s="27" t="n"/>
    </row>
    <row r="264" ht="17.25" customHeight="1" s="322">
      <c r="A264" s="27" t="n"/>
      <c r="B264" s="506">
        <f>IFERROR(__xludf.DUMMYFUNCTION("""COMPUTED_VALUE"""),46212.6666666666)</f>
        <v/>
      </c>
      <c r="C264" s="141">
        <f>IFERROR(__xludf.DUMMYFUNCTION("""COMPUTED_VALUE"""),88.37)</f>
        <v/>
      </c>
      <c r="D264" s="141">
        <f>IFERROR(__xludf.DUMMYFUNCTION("""COMPUTED_VALUE"""),88.69)</f>
        <v/>
      </c>
      <c r="E264" s="141">
        <f>IFERROR(__xludf.DUMMYFUNCTION("""COMPUTED_VALUE"""),88.21)</f>
        <v/>
      </c>
      <c r="F264" s="141">
        <f>IFERROR(__xludf.DUMMYFUNCTION("""COMPUTED_VALUE"""),88.41)</f>
        <v/>
      </c>
      <c r="G264" s="143">
        <f>IFERROR(__xludf.DUMMYFUNCTION("""COMPUTED_VALUE"""),1394796)</f>
        <v/>
      </c>
      <c r="H264" s="27" t="n"/>
    </row>
    <row r="265" ht="17.25" customHeight="1" s="322">
      <c r="A265" s="27" t="n"/>
      <c r="B265" s="506">
        <f>IFERROR(__xludf.DUMMYFUNCTION("""COMPUTED_VALUE"""),46213.6666666666)</f>
        <v/>
      </c>
      <c r="C265" s="141">
        <f>IFERROR(__xludf.DUMMYFUNCTION("""COMPUTED_VALUE"""),88.52)</f>
        <v/>
      </c>
      <c r="D265" s="141">
        <f>IFERROR(__xludf.DUMMYFUNCTION("""COMPUTED_VALUE"""),88.79)</f>
        <v/>
      </c>
      <c r="E265" s="141">
        <f>IFERROR(__xludf.DUMMYFUNCTION("""COMPUTED_VALUE"""),88.09)</f>
        <v/>
      </c>
      <c r="F265" s="141">
        <f>IFERROR(__xludf.DUMMYFUNCTION("""COMPUTED_VALUE"""),88.57)</f>
        <v/>
      </c>
      <c r="G265" s="143">
        <f>IFERROR(__xludf.DUMMYFUNCTION("""COMPUTED_VALUE"""),1479381)</f>
        <v/>
      </c>
      <c r="H265" s="27" t="n"/>
    </row>
    <row r="266" ht="17.25" customHeight="1" s="322">
      <c r="A266" s="27" t="n"/>
      <c r="B266" s="506">
        <f>IFERROR(__xludf.DUMMYFUNCTION("""COMPUTED_VALUE"""),46216.6666666666)</f>
        <v/>
      </c>
      <c r="C266" s="141">
        <f>IFERROR(__xludf.DUMMYFUNCTION("""COMPUTED_VALUE"""),88.6)</f>
        <v/>
      </c>
      <c r="D266" s="141">
        <f>IFERROR(__xludf.DUMMYFUNCTION("""COMPUTED_VALUE"""),88.61)</f>
        <v/>
      </c>
      <c r="E266" s="141">
        <f>IFERROR(__xludf.DUMMYFUNCTION("""COMPUTED_VALUE"""),87.76)</f>
        <v/>
      </c>
      <c r="F266" s="141">
        <f>IFERROR(__xludf.DUMMYFUNCTION("""COMPUTED_VALUE"""),87.86)</f>
        <v/>
      </c>
      <c r="G266" s="143">
        <f>IFERROR(__xludf.DUMMYFUNCTION("""COMPUTED_VALUE"""),2071960)</f>
        <v/>
      </c>
      <c r="H266" s="27" t="n"/>
    </row>
    <row r="267" ht="17.25" customHeight="1" s="322">
      <c r="A267" s="27" t="n"/>
      <c r="B267" s="506">
        <f>IFERROR(__xludf.DUMMYFUNCTION("""COMPUTED_VALUE"""),46217.6666666666)</f>
        <v/>
      </c>
      <c r="C267" s="141">
        <f>IFERROR(__xludf.DUMMYFUNCTION("""COMPUTED_VALUE"""),88.58)</f>
        <v/>
      </c>
      <c r="D267" s="141">
        <f>IFERROR(__xludf.DUMMYFUNCTION("""COMPUTED_VALUE"""),88.93)</f>
        <v/>
      </c>
      <c r="E267" s="141">
        <f>IFERROR(__xludf.DUMMYFUNCTION("""COMPUTED_VALUE"""),88.28)</f>
        <v/>
      </c>
      <c r="F267" s="141">
        <f>IFERROR(__xludf.DUMMYFUNCTION("""COMPUTED_VALUE"""),88.3)</f>
        <v/>
      </c>
      <c r="G267" s="143">
        <f>IFERROR(__xludf.DUMMYFUNCTION("""COMPUTED_VALUE"""),1120417)</f>
        <v/>
      </c>
      <c r="H267" s="27" t="n"/>
    </row>
    <row r="268" ht="17.25" customHeight="1" s="322">
      <c r="A268" s="27" t="n"/>
      <c r="B268" s="506">
        <f>IFERROR(__xludf.DUMMYFUNCTION("""COMPUTED_VALUE"""),46218.6666666666)</f>
        <v/>
      </c>
      <c r="C268" s="141">
        <f>IFERROR(__xludf.DUMMYFUNCTION("""COMPUTED_VALUE"""),88.75)</f>
        <v/>
      </c>
      <c r="D268" s="141">
        <f>IFERROR(__xludf.DUMMYFUNCTION("""COMPUTED_VALUE"""),89.24)</f>
        <v/>
      </c>
      <c r="E268" s="141">
        <f>IFERROR(__xludf.DUMMYFUNCTION("""COMPUTED_VALUE"""),88.42)</f>
        <v/>
      </c>
      <c r="F268" s="141">
        <f>IFERROR(__xludf.DUMMYFUNCTION("""COMPUTED_VALUE"""),89.12)</f>
        <v/>
      </c>
      <c r="G268" s="143">
        <f>IFERROR(__xludf.DUMMYFUNCTION("""COMPUTED_VALUE"""),1446762)</f>
        <v/>
      </c>
      <c r="H268" s="27" t="n"/>
    </row>
    <row r="269" ht="17.25" customHeight="1" s="322">
      <c r="A269" s="27" t="n"/>
      <c r="B269" s="506">
        <f>IFERROR(__xludf.DUMMYFUNCTION("""COMPUTED_VALUE"""),46219.6666666666)</f>
        <v/>
      </c>
      <c r="C269" s="141">
        <f>IFERROR(__xludf.DUMMYFUNCTION("""COMPUTED_VALUE"""),88.47)</f>
        <v/>
      </c>
      <c r="D269" s="141">
        <f>IFERROR(__xludf.DUMMYFUNCTION("""COMPUTED_VALUE"""),89.08)</f>
        <v/>
      </c>
      <c r="E269" s="141">
        <f>IFERROR(__xludf.DUMMYFUNCTION("""COMPUTED_VALUE"""),88.43)</f>
        <v/>
      </c>
      <c r="F269" s="141">
        <f>IFERROR(__xludf.DUMMYFUNCTION("""COMPUTED_VALUE"""),88.79)</f>
        <v/>
      </c>
      <c r="G269" s="143">
        <f>IFERROR(__xludf.DUMMYFUNCTION("""COMPUTED_VALUE"""),1030867)</f>
        <v/>
      </c>
      <c r="H269" s="27" t="n"/>
    </row>
    <row r="270" ht="17.25" customHeight="1" s="322">
      <c r="A270" s="27" t="n"/>
      <c r="B270" s="506">
        <f>IFERROR(__xludf.DUMMYFUNCTION("""COMPUTED_VALUE"""),46220.6666666666)</f>
        <v/>
      </c>
      <c r="C270" s="141">
        <f>IFERROR(__xludf.DUMMYFUNCTION("""COMPUTED_VALUE"""),88.14)</f>
        <v/>
      </c>
      <c r="D270" s="141">
        <f>IFERROR(__xludf.DUMMYFUNCTION("""COMPUTED_VALUE"""),88.85)</f>
        <v/>
      </c>
      <c r="E270" s="141">
        <f>IFERROR(__xludf.DUMMYFUNCTION("""COMPUTED_VALUE"""),88.14)</f>
        <v/>
      </c>
      <c r="F270" s="141">
        <f>IFERROR(__xludf.DUMMYFUNCTION("""COMPUTED_VALUE"""),88.59)</f>
        <v/>
      </c>
      <c r="G270" s="143">
        <f>IFERROR(__xludf.DUMMYFUNCTION("""COMPUTED_VALUE"""),1164987)</f>
        <v/>
      </c>
      <c r="H270" s="27" t="n"/>
    </row>
    <row r="271" ht="17.25" customHeight="1" s="322">
      <c r="A271" s="27" t="n"/>
      <c r="B271" s="506">
        <f>IFERROR(__xludf.DUMMYFUNCTION("""COMPUTED_VALUE"""),46223.6666666666)</f>
        <v/>
      </c>
      <c r="C271" s="141">
        <f>IFERROR(__xludf.DUMMYFUNCTION("""COMPUTED_VALUE"""),88.48)</f>
        <v/>
      </c>
      <c r="D271" s="141">
        <f>IFERROR(__xludf.DUMMYFUNCTION("""COMPUTED_VALUE"""),88.62)</f>
        <v/>
      </c>
      <c r="E271" s="141">
        <f>IFERROR(__xludf.DUMMYFUNCTION("""COMPUTED_VALUE"""),87.62)</f>
        <v/>
      </c>
      <c r="F271" s="141">
        <f>IFERROR(__xludf.DUMMYFUNCTION("""COMPUTED_VALUE"""),87.69)</f>
        <v/>
      </c>
      <c r="G271" s="143">
        <f>IFERROR(__xludf.DUMMYFUNCTION("""COMPUTED_VALUE"""),2553051)</f>
        <v/>
      </c>
      <c r="H271" s="27" t="n"/>
    </row>
    <row r="272" ht="17.25" customHeight="1" s="322">
      <c r="A272" s="27" t="n"/>
      <c r="B272" s="506">
        <f>IFERROR(__xludf.DUMMYFUNCTION("""COMPUTED_VALUE"""),46224.6666666666)</f>
        <v/>
      </c>
      <c r="C272" s="141">
        <f>IFERROR(__xludf.DUMMYFUNCTION("""COMPUTED_VALUE"""),88.26)</f>
        <v/>
      </c>
      <c r="D272" s="141">
        <f>IFERROR(__xludf.DUMMYFUNCTION("""COMPUTED_VALUE"""),88.83)</f>
        <v/>
      </c>
      <c r="E272" s="141">
        <f>IFERROR(__xludf.DUMMYFUNCTION("""COMPUTED_VALUE"""),88)</f>
        <v/>
      </c>
      <c r="F272" s="141">
        <f>IFERROR(__xludf.DUMMYFUNCTION("""COMPUTED_VALUE"""),88.76)</f>
        <v/>
      </c>
      <c r="G272" s="143">
        <f>IFERROR(__xludf.DUMMYFUNCTION("""COMPUTED_VALUE"""),2128499)</f>
        <v/>
      </c>
      <c r="H272" s="27" t="n"/>
    </row>
    <row r="273" ht="17.25" customHeight="1" s="322">
      <c r="A273" s="27" t="n"/>
      <c r="B273" s="506">
        <f>IFERROR(__xludf.DUMMYFUNCTION("""COMPUTED_VALUE"""),46225.6666666666)</f>
        <v/>
      </c>
      <c r="C273" s="141">
        <f>IFERROR(__xludf.DUMMYFUNCTION("""COMPUTED_VALUE"""),89.44)</f>
        <v/>
      </c>
      <c r="D273" s="141">
        <f>IFERROR(__xludf.DUMMYFUNCTION("""COMPUTED_VALUE"""),89.49)</f>
        <v/>
      </c>
      <c r="E273" s="141">
        <f>IFERROR(__xludf.DUMMYFUNCTION("""COMPUTED_VALUE"""),89.05)</f>
        <v/>
      </c>
      <c r="F273" s="141">
        <f>IFERROR(__xludf.DUMMYFUNCTION("""COMPUTED_VALUE"""),89.09)</f>
        <v/>
      </c>
      <c r="G273" s="143">
        <f>IFERROR(__xludf.DUMMYFUNCTION("""COMPUTED_VALUE"""),2169164)</f>
        <v/>
      </c>
      <c r="H273" s="27" t="n"/>
    </row>
    <row r="274" ht="17.25" customHeight="1" s="322">
      <c r="A274" s="27" t="n"/>
      <c r="B274" s="506">
        <f>IFERROR(__xludf.DUMMYFUNCTION("""COMPUTED_VALUE"""),46226.6666666666)</f>
        <v/>
      </c>
      <c r="C274" s="141">
        <f>IFERROR(__xludf.DUMMYFUNCTION("""COMPUTED_VALUE"""),87.66)</f>
        <v/>
      </c>
      <c r="D274" s="141">
        <f>IFERROR(__xludf.DUMMYFUNCTION("""COMPUTED_VALUE"""),88.1)</f>
        <v/>
      </c>
      <c r="E274" s="141">
        <f>IFERROR(__xludf.DUMMYFUNCTION("""COMPUTED_VALUE"""),87.6)</f>
        <v/>
      </c>
      <c r="F274" s="141">
        <f>IFERROR(__xludf.DUMMYFUNCTION("""COMPUTED_VALUE"""),87.83)</f>
        <v/>
      </c>
      <c r="G274" s="143">
        <f>IFERROR(__xludf.DUMMYFUNCTION("""COMPUTED_VALUE"""),2832181)</f>
        <v/>
      </c>
      <c r="H274" s="27" t="n"/>
    </row>
    <row r="275" ht="17.25" customHeight="1" s="322">
      <c r="A275" s="27" t="n"/>
      <c r="B275" s="506">
        <f>IFERROR(__xludf.DUMMYFUNCTION("""COMPUTED_VALUE"""),46227.6666666666)</f>
        <v/>
      </c>
      <c r="C275" s="141">
        <f>IFERROR(__xludf.DUMMYFUNCTION("""COMPUTED_VALUE"""),88.49)</f>
        <v/>
      </c>
      <c r="D275" s="141">
        <f>IFERROR(__xludf.DUMMYFUNCTION("""COMPUTED_VALUE"""),88.86)</f>
        <v/>
      </c>
      <c r="E275" s="141">
        <f>IFERROR(__xludf.DUMMYFUNCTION("""COMPUTED_VALUE"""),88.24)</f>
        <v/>
      </c>
      <c r="F275" s="141">
        <f>IFERROR(__xludf.DUMMYFUNCTION("""COMPUTED_VALUE"""),88.41)</f>
        <v/>
      </c>
      <c r="G275" s="143">
        <f>IFERROR(__xludf.DUMMYFUNCTION("""COMPUTED_VALUE"""),2579173)</f>
        <v/>
      </c>
      <c r="H275" s="27" t="n"/>
    </row>
    <row r="276" ht="17.25" customHeight="1" s="322">
      <c r="A276" s="27" t="n"/>
      <c r="B276" s="506">
        <f>IFERROR(__xludf.DUMMYFUNCTION("""COMPUTED_VALUE"""),46230.6666666666)</f>
        <v/>
      </c>
      <c r="C276" s="141">
        <f>IFERROR(__xludf.DUMMYFUNCTION("""COMPUTED_VALUE"""),89.23)</f>
        <v/>
      </c>
      <c r="D276" s="141">
        <f>IFERROR(__xludf.DUMMYFUNCTION("""COMPUTED_VALUE"""),89.32)</f>
        <v/>
      </c>
      <c r="E276" s="141">
        <f>IFERROR(__xludf.DUMMYFUNCTION("""COMPUTED_VALUE"""),88.53)</f>
        <v/>
      </c>
      <c r="F276" s="141">
        <f>IFERROR(__xludf.DUMMYFUNCTION("""COMPUTED_VALUE"""),88.84)</f>
        <v/>
      </c>
      <c r="G276" s="143">
        <f>IFERROR(__xludf.DUMMYFUNCTION("""COMPUTED_VALUE"""),1920114)</f>
        <v/>
      </c>
      <c r="H276" s="27" t="n"/>
    </row>
    <row r="277" ht="17.25" customHeight="1" s="322">
      <c r="A277" s="27" t="n"/>
      <c r="B277" s="506">
        <f>IFERROR(__xludf.DUMMYFUNCTION("""COMPUTED_VALUE"""),46231.6666666666)</f>
        <v/>
      </c>
      <c r="C277" s="141">
        <f>IFERROR(__xludf.DUMMYFUNCTION("""COMPUTED_VALUE"""),88.65)</f>
        <v/>
      </c>
      <c r="D277" s="141">
        <f>IFERROR(__xludf.DUMMYFUNCTION("""COMPUTED_VALUE"""),89.45)</f>
        <v/>
      </c>
      <c r="E277" s="141">
        <f>IFERROR(__xludf.DUMMYFUNCTION("""COMPUTED_VALUE"""),88.6)</f>
        <v/>
      </c>
      <c r="F277" s="141">
        <f>IFERROR(__xludf.DUMMYFUNCTION("""COMPUTED_VALUE"""),89.23)</f>
        <v/>
      </c>
      <c r="G277" s="143">
        <f>IFERROR(__xludf.DUMMYFUNCTION("""COMPUTED_VALUE"""),1475059)</f>
        <v/>
      </c>
      <c r="H277" s="27" t="n"/>
    </row>
    <row r="278" ht="17.25" customHeight="1" s="322">
      <c r="A278" s="27" t="n"/>
      <c r="B278" s="506">
        <f>IFERROR(__xludf.DUMMYFUNCTION("""COMPUTED_VALUE"""),46232.6666666666)</f>
        <v/>
      </c>
      <c r="C278" s="141">
        <f>IFERROR(__xludf.DUMMYFUNCTION("""COMPUTED_VALUE"""),89.12)</f>
        <v/>
      </c>
      <c r="D278" s="141">
        <f>IFERROR(__xludf.DUMMYFUNCTION("""COMPUTED_VALUE"""),89.9)</f>
        <v/>
      </c>
      <c r="E278" s="141">
        <f>IFERROR(__xludf.DUMMYFUNCTION("""COMPUTED_VALUE"""),88.4)</f>
        <v/>
      </c>
      <c r="F278" s="141">
        <f>IFERROR(__xludf.DUMMYFUNCTION("""COMPUTED_VALUE"""),88.86)</f>
        <v/>
      </c>
      <c r="G278" s="143">
        <f>IFERROR(__xludf.DUMMYFUNCTION("""COMPUTED_VALUE"""),2112259)</f>
        <v/>
      </c>
      <c r="H278" s="27" t="n"/>
    </row>
    <row r="279" ht="17.25" customHeight="1" s="322">
      <c r="A279" s="27" t="n"/>
      <c r="B279" s="506" t="n"/>
      <c r="C279" s="141" t="n"/>
      <c r="D279" s="141" t="n"/>
      <c r="E279" s="141" t="n"/>
      <c r="F279" s="141" t="n"/>
      <c r="G279" s="143" t="n"/>
      <c r="H279" s="27" t="n"/>
    </row>
    <row r="280" ht="17.25" customHeight="1" s="322">
      <c r="A280" s="27" t="n"/>
      <c r="B280" s="506" t="n"/>
      <c r="C280" s="141" t="n"/>
      <c r="D280" s="141" t="n"/>
      <c r="E280" s="141" t="n"/>
      <c r="F280" s="141" t="n"/>
      <c r="G280" s="143" t="n"/>
      <c r="H280" s="27" t="n"/>
    </row>
    <row r="281" ht="17.25" customHeight="1" s="322">
      <c r="A281" s="27" t="n"/>
      <c r="B281" s="506" t="n"/>
      <c r="C281" s="141" t="n"/>
      <c r="D281" s="141" t="n"/>
      <c r="E281" s="141" t="n"/>
      <c r="F281" s="141" t="n"/>
      <c r="G281" s="143" t="n"/>
      <c r="H281" s="27" t="n"/>
    </row>
    <row r="282" ht="17.25" customHeight="1" s="322">
      <c r="A282" s="27" t="n"/>
      <c r="B282" s="506" t="n"/>
      <c r="C282" s="141" t="n"/>
      <c r="D282" s="141" t="n"/>
      <c r="E282" s="141" t="n"/>
      <c r="F282" s="141" t="n"/>
      <c r="G282" s="143" t="n"/>
      <c r="H282" s="27" t="n"/>
    </row>
    <row r="283" ht="17.25" customHeight="1" s="322">
      <c r="A283" s="27" t="n"/>
      <c r="B283" s="506" t="n"/>
      <c r="C283" s="141" t="n"/>
      <c r="D283" s="141" t="n"/>
      <c r="E283" s="141" t="n"/>
      <c r="F283" s="141" t="n"/>
      <c r="G283" s="143" t="n"/>
      <c r="H283" s="27" t="n"/>
    </row>
    <row r="284" ht="17.25" customHeight="1" s="322">
      <c r="A284" s="27" t="n"/>
      <c r="B284" s="506" t="n"/>
      <c r="C284" s="141" t="n"/>
      <c r="D284" s="141" t="n"/>
      <c r="E284" s="141" t="n"/>
      <c r="F284" s="141" t="n"/>
      <c r="G284" s="143" t="n"/>
      <c r="H284" s="27" t="n"/>
    </row>
    <row r="285" ht="17.25" customHeight="1" s="322">
      <c r="A285" s="27" t="n"/>
      <c r="B285" s="506" t="n"/>
      <c r="C285" s="141" t="n"/>
      <c r="D285" s="141" t="n"/>
      <c r="E285" s="141" t="n"/>
      <c r="F285" s="141" t="n"/>
      <c r="G285" s="143" t="n"/>
      <c r="H285" s="27" t="n"/>
    </row>
    <row r="286" ht="17.25" customHeight="1" s="322">
      <c r="A286" s="27" t="n"/>
      <c r="B286" s="506" t="n"/>
      <c r="C286" s="141" t="n"/>
      <c r="D286" s="141" t="n"/>
      <c r="E286" s="141" t="n"/>
      <c r="F286" s="141" t="n"/>
      <c r="G286" s="143" t="n"/>
      <c r="H286" s="27" t="n"/>
    </row>
    <row r="287" ht="17.25" customHeight="1" s="322">
      <c r="A287" s="27" t="n"/>
      <c r="B287" s="506" t="n"/>
      <c r="C287" s="141" t="n"/>
      <c r="D287" s="141" t="n"/>
      <c r="E287" s="141" t="n"/>
      <c r="F287" s="141" t="n"/>
      <c r="G287" s="143" t="n"/>
      <c r="H287" s="27" t="n"/>
    </row>
    <row r="288" ht="17.25" customHeight="1" s="322">
      <c r="A288" s="27" t="n"/>
      <c r="B288" s="506" t="n"/>
      <c r="C288" s="141" t="n"/>
      <c r="D288" s="141" t="n"/>
      <c r="E288" s="141" t="n"/>
      <c r="F288" s="141" t="n"/>
      <c r="G288" s="143" t="n"/>
      <c r="H288" s="27" t="n"/>
    </row>
    <row r="289" ht="17.25" customHeight="1" s="322">
      <c r="A289" s="27" t="n"/>
      <c r="B289" s="506" t="n"/>
      <c r="C289" s="141" t="n"/>
      <c r="D289" s="141" t="n"/>
      <c r="E289" s="141" t="n"/>
      <c r="F289" s="141" t="n"/>
      <c r="G289" s="143" t="n"/>
      <c r="H289" s="27" t="n"/>
    </row>
    <row r="290" ht="17.25" customHeight="1" s="322">
      <c r="A290" s="27" t="n"/>
      <c r="B290" s="506" t="n"/>
      <c r="C290" s="141" t="n"/>
      <c r="D290" s="141" t="n"/>
      <c r="E290" s="141" t="n"/>
      <c r="F290" s="141" t="n"/>
      <c r="G290" s="143" t="n"/>
      <c r="H290" s="27" t="n"/>
    </row>
    <row r="291" ht="17.25" customHeight="1" s="322">
      <c r="A291" s="27" t="n"/>
      <c r="B291" s="506" t="n"/>
      <c r="C291" s="141" t="n"/>
      <c r="D291" s="141" t="n"/>
      <c r="E291" s="141" t="n"/>
      <c r="F291" s="141" t="n"/>
      <c r="G291" s="143" t="n"/>
      <c r="H291" s="27" t="n"/>
    </row>
    <row r="292" ht="17.25" customHeight="1" s="322">
      <c r="A292" s="27" t="n"/>
      <c r="B292" s="506" t="n"/>
      <c r="C292" s="141" t="n"/>
      <c r="D292" s="141" t="n"/>
      <c r="E292" s="141" t="n"/>
      <c r="F292" s="141" t="n"/>
      <c r="G292" s="143" t="n"/>
      <c r="H292" s="27" t="n"/>
    </row>
    <row r="293" ht="17.25" customHeight="1" s="322">
      <c r="A293" s="27" t="n"/>
      <c r="B293" s="506" t="n"/>
      <c r="C293" s="141" t="n"/>
      <c r="D293" s="141" t="n"/>
      <c r="E293" s="141" t="n"/>
      <c r="F293" s="141" t="n"/>
      <c r="G293" s="143" t="n"/>
      <c r="H293" s="27" t="n"/>
    </row>
    <row r="294" ht="17.25" customHeight="1" s="322">
      <c r="A294" s="27" t="n"/>
      <c r="B294" s="506" t="n"/>
      <c r="C294" s="141" t="n"/>
      <c r="D294" s="141" t="n"/>
      <c r="E294" s="141" t="n"/>
      <c r="F294" s="141" t="n"/>
      <c r="G294" s="143" t="n"/>
      <c r="H294" s="27" t="n"/>
    </row>
    <row r="295" ht="17.25" customHeight="1" s="322">
      <c r="A295" s="27" t="n"/>
      <c r="B295" s="506" t="n"/>
      <c r="C295" s="141" t="n"/>
      <c r="D295" s="141" t="n"/>
      <c r="E295" s="141" t="n"/>
      <c r="F295" s="141" t="n"/>
      <c r="G295" s="143" t="n"/>
      <c r="H295" s="27" t="n"/>
    </row>
    <row r="296" ht="17.25" customHeight="1" s="322">
      <c r="A296" s="27" t="n"/>
      <c r="B296" s="506" t="n"/>
      <c r="C296" s="141" t="n"/>
      <c r="D296" s="141" t="n"/>
      <c r="E296" s="141" t="n"/>
      <c r="F296" s="141" t="n"/>
      <c r="G296" s="143" t="n"/>
      <c r="H296" s="27" t="n"/>
    </row>
    <row r="297" ht="17.25" customHeight="1" s="322">
      <c r="A297" s="27" t="n"/>
      <c r="B297" s="506" t="n"/>
      <c r="C297" s="141" t="n"/>
      <c r="D297" s="141" t="n"/>
      <c r="E297" s="141" t="n"/>
      <c r="F297" s="141" t="n"/>
      <c r="G297" s="143" t="n"/>
      <c r="H297" s="27" t="n"/>
    </row>
    <row r="298" ht="17.25" customHeight="1" s="322">
      <c r="A298" s="27" t="n"/>
      <c r="B298" s="506" t="n"/>
      <c r="C298" s="141" t="n"/>
      <c r="D298" s="141" t="n"/>
      <c r="E298" s="141" t="n"/>
      <c r="F298" s="141" t="n"/>
      <c r="G298" s="143" t="n"/>
      <c r="H298" s="27" t="n"/>
    </row>
    <row r="299" ht="17.25" customHeight="1" s="322">
      <c r="A299" s="27" t="n"/>
      <c r="B299" s="506" t="n"/>
      <c r="C299" s="141" t="n"/>
      <c r="D299" s="141" t="n"/>
      <c r="E299" s="141" t="n"/>
      <c r="F299" s="141" t="n"/>
      <c r="G299" s="143" t="n"/>
      <c r="H299" s="27" t="n"/>
    </row>
    <row r="300" ht="17.25" customHeight="1" s="322">
      <c r="A300" s="27" t="n"/>
      <c r="B300" s="506" t="n"/>
      <c r="C300" s="141" t="n"/>
      <c r="D300" s="141" t="n"/>
      <c r="E300" s="141" t="n"/>
      <c r="F300" s="141" t="n"/>
      <c r="G300" s="143" t="n"/>
      <c r="H300" s="27" t="n"/>
    </row>
    <row r="301" ht="17.25" customHeight="1" s="322">
      <c r="A301" s="27" t="n"/>
      <c r="B301" s="506" t="n"/>
      <c r="C301" s="141" t="n"/>
      <c r="D301" s="141" t="n"/>
      <c r="E301" s="141" t="n"/>
      <c r="F301" s="141" t="n"/>
      <c r="G301" s="143" t="n"/>
      <c r="H301" s="27" t="n"/>
    </row>
    <row r="302" ht="17.25" customHeight="1" s="322">
      <c r="A302" s="27" t="n"/>
      <c r="B302" s="506" t="n"/>
      <c r="C302" s="141" t="n"/>
      <c r="D302" s="141" t="n"/>
      <c r="E302" s="141" t="n"/>
      <c r="F302" s="141" t="n"/>
      <c r="G302" s="143" t="n"/>
      <c r="H302" s="27" t="n"/>
    </row>
    <row r="303" ht="17.25" customHeight="1" s="322">
      <c r="A303" s="27" t="n"/>
      <c r="B303" s="506" t="n"/>
      <c r="C303" s="141" t="n"/>
      <c r="D303" s="141" t="n"/>
      <c r="E303" s="141" t="n"/>
      <c r="F303" s="141" t="n"/>
      <c r="G303" s="143" t="n"/>
      <c r="H303" s="27" t="n"/>
    </row>
    <row r="304" ht="17.25" customHeight="1" s="322">
      <c r="A304" s="27" t="n"/>
      <c r="B304" s="506" t="n"/>
      <c r="C304" s="141" t="n"/>
      <c r="D304" s="141" t="n"/>
      <c r="E304" s="141" t="n"/>
      <c r="F304" s="141" t="n"/>
      <c r="G304" s="143" t="n"/>
      <c r="H304" s="27" t="n"/>
    </row>
    <row r="305" ht="17.25" customHeight="1" s="322">
      <c r="A305" s="27" t="n"/>
      <c r="B305" s="506" t="n"/>
      <c r="C305" s="141" t="n"/>
      <c r="D305" s="141" t="n"/>
      <c r="E305" s="141" t="n"/>
      <c r="F305" s="141" t="n"/>
      <c r="G305" s="143" t="n"/>
      <c r="H305" s="27" t="n"/>
    </row>
    <row r="306" ht="17.25" customHeight="1" s="322">
      <c r="A306" s="27" t="n"/>
      <c r="B306" s="506" t="n"/>
      <c r="C306" s="141" t="n"/>
      <c r="D306" s="141" t="n"/>
      <c r="E306" s="141" t="n"/>
      <c r="F306" s="141" t="n"/>
      <c r="G306" s="143" t="n"/>
      <c r="H306" s="27" t="n"/>
    </row>
    <row r="307" ht="17.25" customHeight="1" s="322">
      <c r="A307" s="27" t="n"/>
      <c r="B307" s="506" t="n"/>
      <c r="C307" s="141" t="n"/>
      <c r="D307" s="141" t="n"/>
      <c r="E307" s="141" t="n"/>
      <c r="F307" s="141" t="n"/>
      <c r="G307" s="143" t="n"/>
      <c r="H307" s="27" t="n"/>
    </row>
    <row r="308" ht="17.25" customHeight="1" s="322">
      <c r="A308" s="27" t="n"/>
      <c r="B308" s="506" t="n"/>
      <c r="C308" s="141" t="n"/>
      <c r="D308" s="141" t="n"/>
      <c r="E308" s="141" t="n"/>
      <c r="F308" s="141" t="n"/>
      <c r="G308" s="143" t="n"/>
      <c r="H308" s="27" t="n"/>
    </row>
    <row r="309" ht="17.25" customHeight="1" s="322">
      <c r="A309" s="27" t="n"/>
      <c r="B309" s="506" t="n"/>
      <c r="C309" s="141" t="n"/>
      <c r="D309" s="141" t="n"/>
      <c r="E309" s="141" t="n"/>
      <c r="F309" s="141" t="n"/>
      <c r="G309" s="143" t="n"/>
      <c r="H309" s="27" t="n"/>
    </row>
    <row r="310" ht="17.25" customHeight="1" s="322">
      <c r="A310" s="27" t="n"/>
      <c r="B310" s="506" t="n"/>
      <c r="C310" s="141" t="n"/>
      <c r="D310" s="141" t="n"/>
      <c r="E310" s="141" t="n"/>
      <c r="F310" s="141" t="n"/>
      <c r="G310" s="143" t="n"/>
      <c r="H310" s="27" t="n"/>
    </row>
    <row r="311" ht="17.25" customHeight="1" s="322">
      <c r="A311" s="27" t="n"/>
      <c r="B311" s="506" t="n"/>
      <c r="C311" s="141" t="n"/>
      <c r="D311" s="141" t="n"/>
      <c r="E311" s="141" t="n"/>
      <c r="F311" s="141" t="n"/>
      <c r="G311" s="143" t="n"/>
      <c r="H311" s="27" t="n"/>
    </row>
    <row r="312" ht="17.25" customHeight="1" s="322">
      <c r="A312" s="27" t="n"/>
      <c r="B312" s="506" t="n"/>
      <c r="C312" s="141" t="n"/>
      <c r="D312" s="141" t="n"/>
      <c r="E312" s="141" t="n"/>
      <c r="F312" s="141" t="n"/>
      <c r="G312" s="143" t="n"/>
      <c r="H312" s="27" t="n"/>
    </row>
    <row r="313" ht="17.25" customHeight="1" s="322">
      <c r="A313" s="27" t="n"/>
      <c r="B313" s="506" t="n"/>
      <c r="C313" s="141" t="n"/>
      <c r="D313" s="141" t="n"/>
      <c r="E313" s="141" t="n"/>
      <c r="F313" s="141" t="n"/>
      <c r="G313" s="143" t="n"/>
      <c r="H313" s="27" t="n"/>
    </row>
    <row r="314" ht="17.25" customHeight="1" s="322">
      <c r="A314" s="27" t="n"/>
      <c r="B314" s="506" t="n"/>
      <c r="C314" s="141" t="n"/>
      <c r="D314" s="141" t="n"/>
      <c r="E314" s="141" t="n"/>
      <c r="F314" s="141" t="n"/>
      <c r="G314" s="143" t="n"/>
      <c r="H314" s="27" t="n"/>
    </row>
    <row r="315" ht="17.25" customHeight="1" s="322">
      <c r="A315" s="27" t="n"/>
      <c r="B315" s="506" t="n"/>
      <c r="C315" s="141" t="n"/>
      <c r="D315" s="141" t="n"/>
      <c r="E315" s="141" t="n"/>
      <c r="F315" s="141" t="n"/>
      <c r="G315" s="143" t="n"/>
      <c r="H315" s="27" t="n"/>
    </row>
    <row r="316" ht="17.25" customHeight="1" s="322">
      <c r="A316" s="27" t="n"/>
      <c r="B316" s="506" t="n"/>
      <c r="C316" s="141" t="n"/>
      <c r="D316" s="141" t="n"/>
      <c r="E316" s="141" t="n"/>
      <c r="F316" s="141" t="n"/>
      <c r="G316" s="143" t="n"/>
      <c r="H316" s="27" t="n"/>
    </row>
    <row r="317" ht="17.25" customHeight="1" s="322">
      <c r="A317" s="27" t="n"/>
      <c r="B317" s="506" t="n"/>
      <c r="C317" s="141" t="n"/>
      <c r="D317" s="141" t="n"/>
      <c r="E317" s="141" t="n"/>
      <c r="F317" s="141" t="n"/>
      <c r="G317" s="143" t="n"/>
      <c r="H317" s="27" t="n"/>
    </row>
    <row r="318" ht="17.25" customHeight="1" s="322">
      <c r="A318" s="27" t="n"/>
      <c r="B318" s="506" t="n"/>
      <c r="C318" s="141" t="n"/>
      <c r="D318" s="141" t="n"/>
      <c r="E318" s="141" t="n"/>
      <c r="F318" s="141" t="n"/>
      <c r="G318" s="143" t="n"/>
      <c r="H318" s="27" t="n"/>
    </row>
    <row r="319" ht="17.25" customHeight="1" s="322">
      <c r="A319" s="27" t="n"/>
      <c r="B319" s="506" t="n"/>
      <c r="C319" s="141" t="n"/>
      <c r="D319" s="141" t="n"/>
      <c r="E319" s="141" t="n"/>
      <c r="F319" s="141" t="n"/>
      <c r="G319" s="143" t="n"/>
      <c r="H319" s="27" t="n"/>
    </row>
    <row r="320" ht="17.25" customHeight="1" s="322">
      <c r="A320" s="27" t="n"/>
      <c r="B320" s="506" t="n"/>
      <c r="C320" s="141" t="n"/>
      <c r="D320" s="141" t="n"/>
      <c r="E320" s="141" t="n"/>
      <c r="F320" s="141" t="n"/>
      <c r="G320" s="143" t="n"/>
      <c r="H320" s="27" t="n"/>
    </row>
    <row r="321" ht="17.25" customHeight="1" s="322">
      <c r="A321" s="27" t="n"/>
      <c r="B321" s="506" t="n"/>
      <c r="C321" s="141" t="n"/>
      <c r="D321" s="141" t="n"/>
      <c r="E321" s="141" t="n"/>
      <c r="F321" s="141" t="n"/>
      <c r="G321" s="143" t="n"/>
      <c r="H321" s="27" t="n"/>
    </row>
    <row r="322" ht="17.25" customHeight="1" s="322">
      <c r="A322" s="27" t="n"/>
      <c r="B322" s="506" t="n"/>
      <c r="C322" s="141" t="n"/>
      <c r="D322" s="141" t="n"/>
      <c r="E322" s="141" t="n"/>
      <c r="F322" s="141" t="n"/>
      <c r="G322" s="143" t="n"/>
      <c r="H322" s="27" t="n"/>
    </row>
    <row r="323" ht="17.25" customHeight="1" s="322">
      <c r="A323" s="27" t="n"/>
      <c r="B323" s="506" t="n"/>
      <c r="C323" s="141" t="n"/>
      <c r="D323" s="141" t="n"/>
      <c r="E323" s="141" t="n"/>
      <c r="F323" s="141" t="n"/>
      <c r="G323" s="143" t="n"/>
      <c r="H323" s="27" t="n"/>
    </row>
    <row r="324" ht="17.25" customHeight="1" s="322">
      <c r="A324" s="27" t="n"/>
      <c r="B324" s="506" t="n"/>
      <c r="C324" s="141" t="n"/>
      <c r="D324" s="141" t="n"/>
      <c r="E324" s="141" t="n"/>
      <c r="F324" s="141" t="n"/>
      <c r="G324" s="143" t="n"/>
      <c r="H324" s="27" t="n"/>
    </row>
    <row r="325" ht="17.25" customHeight="1" s="322">
      <c r="A325" s="27" t="n"/>
      <c r="B325" s="506" t="n"/>
      <c r="C325" s="141" t="n"/>
      <c r="D325" s="141" t="n"/>
      <c r="E325" s="141" t="n"/>
      <c r="F325" s="141" t="n"/>
      <c r="G325" s="143" t="n"/>
      <c r="H325" s="27" t="n"/>
    </row>
    <row r="326" ht="17.25" customHeight="1" s="322">
      <c r="A326" s="27" t="n"/>
      <c r="B326" s="506" t="n"/>
      <c r="C326" s="141" t="n"/>
      <c r="D326" s="141" t="n"/>
      <c r="E326" s="141" t="n"/>
      <c r="F326" s="141" t="n"/>
      <c r="G326" s="143" t="n"/>
      <c r="H326" s="27" t="n"/>
    </row>
    <row r="327" ht="17.25" customHeight="1" s="322">
      <c r="A327" s="27" t="n"/>
      <c r="B327" s="506" t="n"/>
      <c r="C327" s="141" t="n"/>
      <c r="D327" s="141" t="n"/>
      <c r="E327" s="141" t="n"/>
      <c r="F327" s="141" t="n"/>
      <c r="G327" s="143" t="n"/>
      <c r="H327" s="27" t="n"/>
    </row>
    <row r="328" ht="17.25" customHeight="1" s="322">
      <c r="A328" s="27" t="n"/>
      <c r="B328" s="506" t="n"/>
      <c r="C328" s="141" t="n"/>
      <c r="D328" s="141" t="n"/>
      <c r="E328" s="141" t="n"/>
      <c r="F328" s="141" t="n"/>
      <c r="G328" s="143" t="n"/>
      <c r="H328" s="27" t="n"/>
    </row>
    <row r="329" ht="17.25" customHeight="1" s="322">
      <c r="A329" s="27" t="n"/>
      <c r="B329" s="506" t="n"/>
      <c r="C329" s="141" t="n"/>
      <c r="D329" s="141" t="n"/>
      <c r="E329" s="141" t="n"/>
      <c r="F329" s="141" t="n"/>
      <c r="G329" s="143" t="n"/>
      <c r="H329" s="27" t="n"/>
    </row>
    <row r="330" ht="17.25" customHeight="1" s="322">
      <c r="A330" s="27" t="n"/>
      <c r="B330" s="506" t="n"/>
      <c r="C330" s="141" t="n"/>
      <c r="D330" s="141" t="n"/>
      <c r="E330" s="141" t="n"/>
      <c r="F330" s="141" t="n"/>
      <c r="G330" s="143" t="n"/>
      <c r="H330" s="27" t="n"/>
    </row>
    <row r="331" ht="17.25" customHeight="1" s="322">
      <c r="A331" s="27" t="n"/>
      <c r="B331" s="506" t="n"/>
      <c r="C331" s="141" t="n"/>
      <c r="D331" s="141" t="n"/>
      <c r="E331" s="141" t="n"/>
      <c r="F331" s="141" t="n"/>
      <c r="G331" s="143" t="n"/>
      <c r="H331" s="27" t="n"/>
    </row>
    <row r="332" ht="17.25" customHeight="1" s="322">
      <c r="A332" s="27" t="n"/>
      <c r="B332" s="506" t="n"/>
      <c r="C332" s="141" t="n"/>
      <c r="D332" s="141" t="n"/>
      <c r="E332" s="141" t="n"/>
      <c r="F332" s="141" t="n"/>
      <c r="G332" s="143" t="n"/>
      <c r="H332" s="27" t="n"/>
    </row>
    <row r="333" ht="17.25" customHeight="1" s="322">
      <c r="A333" s="27" t="n"/>
      <c r="B333" s="506" t="n"/>
      <c r="C333" s="141" t="n"/>
      <c r="D333" s="141" t="n"/>
      <c r="E333" s="141" t="n"/>
      <c r="F333" s="141" t="n"/>
      <c r="G333" s="143" t="n"/>
      <c r="H333" s="27" t="n"/>
    </row>
    <row r="334" ht="17.25" customHeight="1" s="322">
      <c r="A334" s="27" t="n"/>
      <c r="B334" s="506" t="n"/>
      <c r="C334" s="141" t="n"/>
      <c r="D334" s="141" t="n"/>
      <c r="E334" s="141" t="n"/>
      <c r="F334" s="141" t="n"/>
      <c r="G334" s="143" t="n"/>
      <c r="H334" s="27" t="n"/>
    </row>
    <row r="335" ht="17.25" customHeight="1" s="322">
      <c r="A335" s="27" t="n"/>
      <c r="B335" s="506" t="n"/>
      <c r="C335" s="141" t="n"/>
      <c r="D335" s="141" t="n"/>
      <c r="E335" s="141" t="n"/>
      <c r="F335" s="141" t="n"/>
      <c r="G335" s="143" t="n"/>
      <c r="H335" s="27" t="n"/>
    </row>
    <row r="336" ht="17.25" customHeight="1" s="322">
      <c r="A336" s="27" t="n"/>
      <c r="B336" s="506" t="n"/>
      <c r="C336" s="141" t="n"/>
      <c r="D336" s="141" t="n"/>
      <c r="E336" s="141" t="n"/>
      <c r="F336" s="141" t="n"/>
      <c r="G336" s="143" t="n"/>
      <c r="H336" s="27" t="n"/>
    </row>
    <row r="337" ht="17.25" customHeight="1" s="322">
      <c r="A337" s="27" t="n"/>
      <c r="B337" s="506" t="n"/>
      <c r="C337" s="141" t="n"/>
      <c r="D337" s="141" t="n"/>
      <c r="E337" s="141" t="n"/>
      <c r="F337" s="141" t="n"/>
      <c r="G337" s="143" t="n"/>
      <c r="H337" s="27" t="n"/>
    </row>
    <row r="338" ht="17.25" customHeight="1" s="322">
      <c r="A338" s="27" t="n"/>
      <c r="B338" s="506" t="n"/>
      <c r="C338" s="141" t="n"/>
      <c r="D338" s="141" t="n"/>
      <c r="E338" s="141" t="n"/>
      <c r="F338" s="141" t="n"/>
      <c r="G338" s="143" t="n"/>
      <c r="H338" s="27" t="n"/>
    </row>
    <row r="339" ht="17.25" customHeight="1" s="322">
      <c r="A339" s="27" t="n"/>
      <c r="B339" s="506" t="n"/>
      <c r="C339" s="141" t="n"/>
      <c r="D339" s="141" t="n"/>
      <c r="E339" s="141" t="n"/>
      <c r="F339" s="141" t="n"/>
      <c r="G339" s="143" t="n"/>
      <c r="H339" s="27" t="n"/>
    </row>
    <row r="340" ht="17.25" customHeight="1" s="322">
      <c r="A340" s="27" t="n"/>
      <c r="B340" s="506" t="n"/>
      <c r="C340" s="141" t="n"/>
      <c r="D340" s="141" t="n"/>
      <c r="E340" s="141" t="n"/>
      <c r="F340" s="141" t="n"/>
      <c r="G340" s="143" t="n"/>
      <c r="H340" s="27" t="n"/>
    </row>
    <row r="341" ht="17.25" customHeight="1" s="322">
      <c r="A341" s="27" t="n"/>
      <c r="B341" s="506" t="n"/>
      <c r="C341" s="141" t="n"/>
      <c r="D341" s="141" t="n"/>
      <c r="E341" s="141" t="n"/>
      <c r="F341" s="141" t="n"/>
      <c r="G341" s="143" t="n"/>
      <c r="H341" s="27" t="n"/>
    </row>
    <row r="342" ht="17.25" customHeight="1" s="322">
      <c r="A342" s="27" t="n"/>
      <c r="B342" s="506" t="n"/>
      <c r="C342" s="141" t="n"/>
      <c r="D342" s="141" t="n"/>
      <c r="E342" s="141" t="n"/>
      <c r="F342" s="141" t="n"/>
      <c r="G342" s="143" t="n"/>
      <c r="H342" s="27" t="n"/>
    </row>
    <row r="343" ht="17.25" customHeight="1" s="322">
      <c r="A343" s="27" t="n"/>
      <c r="B343" s="506" t="n"/>
      <c r="C343" s="141" t="n"/>
      <c r="D343" s="141" t="n"/>
      <c r="E343" s="141" t="n"/>
      <c r="F343" s="141" t="n"/>
      <c r="G343" s="143" t="n"/>
      <c r="H343" s="27" t="n"/>
    </row>
    <row r="344" ht="17.25" customHeight="1" s="322">
      <c r="A344" s="27" t="n"/>
      <c r="B344" s="506" t="n"/>
      <c r="C344" s="141" t="n"/>
      <c r="D344" s="141" t="n"/>
      <c r="E344" s="141" t="n"/>
      <c r="F344" s="141" t="n"/>
      <c r="G344" s="143" t="n"/>
      <c r="H344" s="27" t="n"/>
    </row>
    <row r="345" ht="17.25" customHeight="1" s="322">
      <c r="A345" s="27" t="n"/>
      <c r="B345" s="506" t="n"/>
      <c r="C345" s="141" t="n"/>
      <c r="D345" s="141" t="n"/>
      <c r="E345" s="141" t="n"/>
      <c r="F345" s="141" t="n"/>
      <c r="G345" s="143" t="n"/>
      <c r="H345" s="27" t="n"/>
    </row>
    <row r="346" ht="17.25" customHeight="1" s="322">
      <c r="A346" s="27" t="n"/>
      <c r="B346" s="506" t="n"/>
      <c r="C346" s="141" t="n"/>
      <c r="D346" s="141" t="n"/>
      <c r="E346" s="141" t="n"/>
      <c r="F346" s="141" t="n"/>
      <c r="G346" s="143" t="n"/>
      <c r="H346" s="27" t="n"/>
    </row>
    <row r="347" ht="17.25" customHeight="1" s="322">
      <c r="A347" s="27" t="n"/>
      <c r="B347" s="506" t="n"/>
      <c r="C347" s="141" t="n"/>
      <c r="D347" s="141" t="n"/>
      <c r="E347" s="141" t="n"/>
      <c r="F347" s="141" t="n"/>
      <c r="G347" s="143" t="n"/>
      <c r="H347" s="27" t="n"/>
    </row>
    <row r="348" ht="17.25" customHeight="1" s="322">
      <c r="A348" s="27" t="n"/>
      <c r="B348" s="506" t="n"/>
      <c r="C348" s="141" t="n"/>
      <c r="D348" s="141" t="n"/>
      <c r="E348" s="141" t="n"/>
      <c r="F348" s="141" t="n"/>
      <c r="G348" s="143" t="n"/>
      <c r="H348" s="27" t="n"/>
    </row>
    <row r="349" ht="17.25" customHeight="1" s="322">
      <c r="A349" s="27" t="n"/>
      <c r="B349" s="506" t="n"/>
      <c r="C349" s="141" t="n"/>
      <c r="D349" s="141" t="n"/>
      <c r="E349" s="141" t="n"/>
      <c r="F349" s="141" t="n"/>
      <c r="G349" s="143" t="n"/>
      <c r="H349" s="27" t="n"/>
    </row>
    <row r="350" ht="17.25" customHeight="1" s="322">
      <c r="A350" s="27" t="n"/>
      <c r="B350" s="506" t="n"/>
      <c r="C350" s="141" t="n"/>
      <c r="D350" s="141" t="n"/>
      <c r="E350" s="141" t="n"/>
      <c r="F350" s="141" t="n"/>
      <c r="G350" s="143" t="n"/>
      <c r="H350" s="27" t="n"/>
    </row>
    <row r="351" ht="17.25" customHeight="1" s="322">
      <c r="A351" s="27" t="n"/>
      <c r="B351" s="506" t="n"/>
      <c r="C351" s="141" t="n"/>
      <c r="D351" s="141" t="n"/>
      <c r="E351" s="141" t="n"/>
      <c r="F351" s="141" t="n"/>
      <c r="G351" s="143" t="n"/>
      <c r="H351" s="27" t="n"/>
    </row>
    <row r="352" ht="17.25" customHeight="1" s="322">
      <c r="A352" s="27" t="n"/>
      <c r="B352" s="506" t="n"/>
      <c r="C352" s="141" t="n"/>
      <c r="D352" s="141" t="n"/>
      <c r="E352" s="141" t="n"/>
      <c r="F352" s="141" t="n"/>
      <c r="G352" s="143" t="n"/>
      <c r="H352" s="27" t="n"/>
    </row>
    <row r="353" ht="17.25" customHeight="1" s="322">
      <c r="A353" s="27" t="n"/>
      <c r="B353" s="506" t="n"/>
      <c r="C353" s="141" t="n"/>
      <c r="D353" s="141" t="n"/>
      <c r="E353" s="141" t="n"/>
      <c r="F353" s="141" t="n"/>
      <c r="G353" s="143" t="n"/>
      <c r="H353" s="27" t="n"/>
    </row>
    <row r="354" ht="17.25" customHeight="1" s="322">
      <c r="A354" s="27" t="n"/>
      <c r="B354" s="506" t="n"/>
      <c r="C354" s="141" t="n"/>
      <c r="D354" s="141" t="n"/>
      <c r="E354" s="141" t="n"/>
      <c r="F354" s="141" t="n"/>
      <c r="G354" s="143" t="n"/>
      <c r="H354" s="27" t="n"/>
    </row>
    <row r="355" ht="17.25" customHeight="1" s="322">
      <c r="A355" s="27" t="n"/>
      <c r="B355" s="506" t="n"/>
      <c r="C355" s="141" t="n"/>
      <c r="D355" s="141" t="n"/>
      <c r="E355" s="141" t="n"/>
      <c r="F355" s="141" t="n"/>
      <c r="G355" s="143" t="n"/>
      <c r="H355" s="27" t="n"/>
    </row>
    <row r="356" ht="17.25" customHeight="1" s="322">
      <c r="A356" s="27" t="n"/>
      <c r="B356" s="506" t="n"/>
      <c r="C356" s="141" t="n"/>
      <c r="D356" s="141" t="n"/>
      <c r="E356" s="141" t="n"/>
      <c r="F356" s="141" t="n"/>
      <c r="G356" s="143" t="n"/>
      <c r="H356" s="27" t="n"/>
    </row>
    <row r="357" ht="17.25" customHeight="1" s="322">
      <c r="A357" s="27" t="n"/>
      <c r="B357" s="506" t="n"/>
      <c r="C357" s="141" t="n"/>
      <c r="D357" s="141" t="n"/>
      <c r="E357" s="141" t="n"/>
      <c r="F357" s="141" t="n"/>
      <c r="G357" s="143" t="n"/>
      <c r="H357" s="27" t="n"/>
    </row>
    <row r="358" ht="17.25" customHeight="1" s="322">
      <c r="A358" s="27" t="n"/>
      <c r="B358" s="506" t="n"/>
      <c r="C358" s="141" t="n"/>
      <c r="D358" s="141" t="n"/>
      <c r="E358" s="141" t="n"/>
      <c r="F358" s="141" t="n"/>
      <c r="G358" s="143" t="n"/>
      <c r="H358" s="27" t="n"/>
    </row>
    <row r="359" ht="17.25" customHeight="1" s="322">
      <c r="A359" s="27" t="n"/>
      <c r="B359" s="506" t="n"/>
      <c r="C359" s="141" t="n"/>
      <c r="D359" s="141" t="n"/>
      <c r="E359" s="141" t="n"/>
      <c r="F359" s="141" t="n"/>
      <c r="G359" s="143" t="n"/>
      <c r="H359" s="27" t="n"/>
    </row>
    <row r="360" ht="17.25" customHeight="1" s="322">
      <c r="A360" s="27" t="n"/>
      <c r="B360" s="506" t="n"/>
      <c r="C360" s="141" t="n"/>
      <c r="D360" s="141" t="n"/>
      <c r="E360" s="141" t="n"/>
      <c r="F360" s="141" t="n"/>
      <c r="G360" s="143" t="n"/>
      <c r="H360" s="27" t="n"/>
    </row>
    <row r="361" ht="17.25" customHeight="1" s="322">
      <c r="A361" s="27" t="n"/>
      <c r="B361" s="506" t="n"/>
      <c r="C361" s="141" t="n"/>
      <c r="D361" s="141" t="n"/>
      <c r="E361" s="141" t="n"/>
      <c r="F361" s="141" t="n"/>
      <c r="G361" s="143" t="n"/>
      <c r="H361" s="27" t="n"/>
    </row>
    <row r="362" ht="17.25" customHeight="1" s="322">
      <c r="A362" s="27" t="n"/>
      <c r="B362" s="506" t="n"/>
      <c r="C362" s="141" t="n"/>
      <c r="D362" s="141" t="n"/>
      <c r="E362" s="141" t="n"/>
      <c r="F362" s="141" t="n"/>
      <c r="G362" s="143" t="n"/>
      <c r="H362" s="27" t="n"/>
    </row>
    <row r="363" ht="17.25" customHeight="1" s="322">
      <c r="A363" s="27" t="n"/>
      <c r="B363" s="506" t="n"/>
      <c r="C363" s="141" t="n"/>
      <c r="D363" s="141" t="n"/>
      <c r="E363" s="141" t="n"/>
      <c r="F363" s="141" t="n"/>
      <c r="G363" s="143" t="n"/>
      <c r="H363" s="27" t="n"/>
    </row>
    <row r="364" ht="17.25" customHeight="1" s="322">
      <c r="A364" s="27" t="n"/>
      <c r="B364" s="506" t="n"/>
      <c r="C364" s="141" t="n"/>
      <c r="D364" s="141" t="n"/>
      <c r="E364" s="141" t="n"/>
      <c r="F364" s="141" t="n"/>
      <c r="G364" s="143" t="n"/>
      <c r="H364" s="27" t="n"/>
    </row>
    <row r="365" ht="17.25" customHeight="1" s="322">
      <c r="A365" s="27" t="n"/>
      <c r="B365" s="506" t="n"/>
      <c r="C365" s="141" t="n"/>
      <c r="D365" s="141" t="n"/>
      <c r="E365" s="141" t="n"/>
      <c r="F365" s="141" t="n"/>
      <c r="G365" s="143" t="n"/>
      <c r="H365" s="27" t="n"/>
    </row>
    <row r="366" ht="17.25" customHeight="1" s="322">
      <c r="A366" s="27" t="n"/>
      <c r="B366" s="506" t="n"/>
      <c r="C366" s="141" t="n"/>
      <c r="D366" s="141" t="n"/>
      <c r="E366" s="141" t="n"/>
      <c r="F366" s="141" t="n"/>
      <c r="G366" s="143" t="n"/>
      <c r="H366" s="27" t="n"/>
    </row>
    <row r="367" ht="17.25" customHeight="1" s="322">
      <c r="A367" s="27" t="n"/>
      <c r="B367" s="506" t="n"/>
      <c r="C367" s="141" t="n"/>
      <c r="D367" s="141" t="n"/>
      <c r="E367" s="141" t="n"/>
      <c r="F367" s="141" t="n"/>
      <c r="G367" s="143" t="n"/>
      <c r="H367" s="27" t="n"/>
    </row>
    <row r="368" ht="17.25" customHeight="1" s="322">
      <c r="A368" s="27" t="n"/>
      <c r="B368" s="506" t="n"/>
      <c r="C368" s="141" t="n"/>
      <c r="D368" s="141" t="n"/>
      <c r="E368" s="141" t="n"/>
      <c r="F368" s="141" t="n"/>
      <c r="G368" s="143" t="n"/>
      <c r="H368" s="27" t="n"/>
    </row>
    <row r="369" ht="17.25" customHeight="1" s="322">
      <c r="A369" s="27" t="n"/>
      <c r="B369" s="506" t="n"/>
      <c r="C369" s="141" t="n"/>
      <c r="D369" s="141" t="n"/>
      <c r="E369" s="141" t="n"/>
      <c r="F369" s="141" t="n"/>
      <c r="G369" s="143" t="n"/>
      <c r="H369" s="27" t="n"/>
    </row>
    <row r="370" ht="17.25" customHeight="1" s="322">
      <c r="A370" s="27" t="n"/>
      <c r="B370" s="506" t="n"/>
      <c r="C370" s="141" t="n"/>
      <c r="D370" s="141" t="n"/>
      <c r="E370" s="141" t="n"/>
      <c r="F370" s="141" t="n"/>
      <c r="G370" s="143" t="n"/>
      <c r="H370" s="27" t="n"/>
    </row>
    <row r="371" ht="17.25" customHeight="1" s="322">
      <c r="A371" s="27" t="n"/>
      <c r="B371" s="506" t="n"/>
      <c r="C371" s="141" t="n"/>
      <c r="D371" s="141" t="n"/>
      <c r="E371" s="141" t="n"/>
      <c r="F371" s="141" t="n"/>
      <c r="G371" s="143" t="n"/>
      <c r="H371" s="27" t="n"/>
    </row>
    <row r="372" ht="17.25" customHeight="1" s="322">
      <c r="A372" s="27" t="n"/>
      <c r="B372" s="506" t="n"/>
      <c r="C372" s="141" t="n"/>
      <c r="D372" s="141" t="n"/>
      <c r="E372" s="141" t="n"/>
      <c r="F372" s="141" t="n"/>
      <c r="G372" s="143" t="n"/>
      <c r="H372" s="27" t="n"/>
    </row>
    <row r="373" ht="17.25" customHeight="1" s="322">
      <c r="A373" s="27" t="n"/>
      <c r="B373" s="506" t="n"/>
      <c r="C373" s="141" t="n"/>
      <c r="D373" s="141" t="n"/>
      <c r="E373" s="141" t="n"/>
      <c r="F373" s="141" t="n"/>
      <c r="G373" s="143" t="n"/>
      <c r="H373" s="27" t="n"/>
    </row>
    <row r="374" ht="17.25" customHeight="1" s="322">
      <c r="A374" s="27" t="n"/>
      <c r="B374" s="506" t="n"/>
      <c r="C374" s="141" t="n"/>
      <c r="D374" s="141" t="n"/>
      <c r="E374" s="141" t="n"/>
      <c r="F374" s="141" t="n"/>
      <c r="G374" s="143" t="n"/>
      <c r="H374" s="27" t="n"/>
    </row>
    <row r="375" ht="17.25" customHeight="1" s="322">
      <c r="A375" s="27" t="n"/>
      <c r="B375" s="506" t="n"/>
      <c r="C375" s="141" t="n"/>
      <c r="D375" s="141" t="n"/>
      <c r="E375" s="141" t="n"/>
      <c r="F375" s="141" t="n"/>
      <c r="G375" s="143" t="n"/>
      <c r="H375" s="27" t="n"/>
    </row>
    <row r="376" ht="17.25" customHeight="1" s="322">
      <c r="A376" s="27" t="n"/>
      <c r="B376" s="506" t="n"/>
      <c r="C376" s="141" t="n"/>
      <c r="D376" s="141" t="n"/>
      <c r="E376" s="141" t="n"/>
      <c r="F376" s="141" t="n"/>
      <c r="G376" s="143" t="n"/>
      <c r="H376" s="27" t="n"/>
    </row>
    <row r="377" ht="17.25" customHeight="1" s="322">
      <c r="A377" s="27" t="n"/>
      <c r="B377" s="506" t="n"/>
      <c r="C377" s="141" t="n"/>
      <c r="D377" s="141" t="n"/>
      <c r="E377" s="141" t="n"/>
      <c r="F377" s="141" t="n"/>
      <c r="G377" s="143" t="n"/>
      <c r="H377" s="27" t="n"/>
    </row>
    <row r="378" ht="17.25" customHeight="1" s="322">
      <c r="A378" s="27" t="n"/>
      <c r="B378" s="506" t="n"/>
      <c r="C378" s="141" t="n"/>
      <c r="D378" s="141" t="n"/>
      <c r="E378" s="141" t="n"/>
      <c r="F378" s="141" t="n"/>
      <c r="G378" s="143" t="n"/>
      <c r="H378" s="27" t="n"/>
    </row>
    <row r="379" ht="17.25" customHeight="1" s="322">
      <c r="A379" s="27" t="n"/>
      <c r="B379" s="506" t="n"/>
      <c r="C379" s="141" t="n"/>
      <c r="D379" s="141" t="n"/>
      <c r="E379" s="141" t="n"/>
      <c r="F379" s="141" t="n"/>
      <c r="G379" s="143" t="n"/>
      <c r="H379" s="27" t="n"/>
    </row>
    <row r="380" ht="17.25" customHeight="1" s="322">
      <c r="A380" s="27" t="n"/>
      <c r="B380" s="506" t="n"/>
      <c r="C380" s="141" t="n"/>
      <c r="D380" s="141" t="n"/>
      <c r="E380" s="141" t="n"/>
      <c r="F380" s="141" t="n"/>
      <c r="G380" s="143" t="n"/>
      <c r="H380" s="27" t="n"/>
    </row>
    <row r="381" ht="17.25" customHeight="1" s="322">
      <c r="A381" s="27" t="n"/>
      <c r="B381" s="506" t="n"/>
      <c r="C381" s="141" t="n"/>
      <c r="D381" s="141" t="n"/>
      <c r="E381" s="141" t="n"/>
      <c r="F381" s="141" t="n"/>
      <c r="G381" s="143" t="n"/>
      <c r="H381" s="27" t="n"/>
    </row>
    <row r="382" ht="17.25" customHeight="1" s="322">
      <c r="A382" s="27" t="n"/>
      <c r="B382" s="506" t="n"/>
      <c r="C382" s="141" t="n"/>
      <c r="D382" s="141" t="n"/>
      <c r="E382" s="141" t="n"/>
      <c r="F382" s="141" t="n"/>
      <c r="G382" s="143" t="n"/>
      <c r="H382" s="27" t="n"/>
    </row>
    <row r="383" ht="17.25" customHeight="1" s="322">
      <c r="A383" s="27" t="n"/>
      <c r="B383" s="506" t="n"/>
      <c r="C383" s="141" t="n"/>
      <c r="D383" s="141" t="n"/>
      <c r="E383" s="141" t="n"/>
      <c r="F383" s="141" t="n"/>
      <c r="G383" s="143" t="n"/>
      <c r="H383" s="27" t="n"/>
    </row>
    <row r="384" ht="17.25" customHeight="1" s="322">
      <c r="A384" s="27" t="n"/>
      <c r="B384" s="506" t="n"/>
      <c r="C384" s="141" t="n"/>
      <c r="D384" s="141" t="n"/>
      <c r="E384" s="141" t="n"/>
      <c r="F384" s="141" t="n"/>
      <c r="G384" s="143" t="n"/>
      <c r="H384" s="27" t="n"/>
    </row>
    <row r="385" ht="17.25" customHeight="1" s="322">
      <c r="A385" s="27" t="n"/>
      <c r="B385" s="506" t="n"/>
      <c r="C385" s="141" t="n"/>
      <c r="D385" s="141" t="n"/>
      <c r="E385" s="141" t="n"/>
      <c r="F385" s="141" t="n"/>
      <c r="G385" s="143" t="n"/>
      <c r="H385" s="27" t="n"/>
    </row>
    <row r="386" ht="17.25" customHeight="1" s="322">
      <c r="A386" s="27" t="n"/>
      <c r="B386" s="506" t="n"/>
      <c r="C386" s="141" t="n"/>
      <c r="D386" s="141" t="n"/>
      <c r="E386" s="141" t="n"/>
      <c r="F386" s="141" t="n"/>
      <c r="G386" s="143" t="n"/>
      <c r="H386" s="27" t="n"/>
    </row>
    <row r="387" ht="17.25" customHeight="1" s="322">
      <c r="A387" s="27" t="n"/>
      <c r="B387" s="506" t="n"/>
      <c r="C387" s="141" t="n"/>
      <c r="D387" s="141" t="n"/>
      <c r="E387" s="141" t="n"/>
      <c r="F387" s="141" t="n"/>
      <c r="G387" s="143" t="n"/>
      <c r="H387" s="27" t="n"/>
    </row>
    <row r="388" ht="17.25" customHeight="1" s="322">
      <c r="A388" s="27" t="n"/>
      <c r="B388" s="506" t="n"/>
      <c r="C388" s="141" t="n"/>
      <c r="D388" s="141" t="n"/>
      <c r="E388" s="141" t="n"/>
      <c r="F388" s="141" t="n"/>
      <c r="G388" s="143" t="n"/>
      <c r="H388" s="27" t="n"/>
    </row>
    <row r="389" ht="17.25" customHeight="1" s="322">
      <c r="A389" s="27" t="n"/>
      <c r="B389" s="506" t="n"/>
      <c r="C389" s="141" t="n"/>
      <c r="D389" s="141" t="n"/>
      <c r="E389" s="141" t="n"/>
      <c r="F389" s="141" t="n"/>
      <c r="G389" s="143" t="n"/>
      <c r="H389" s="27" t="n"/>
    </row>
    <row r="390" ht="17.25" customHeight="1" s="322">
      <c r="A390" s="27" t="n"/>
      <c r="B390" s="506" t="n"/>
      <c r="C390" s="141" t="n"/>
      <c r="D390" s="141" t="n"/>
      <c r="E390" s="141" t="n"/>
      <c r="F390" s="141" t="n"/>
      <c r="G390" s="143" t="n"/>
      <c r="H390" s="27" t="n"/>
    </row>
    <row r="391" ht="17.25" customHeight="1" s="322">
      <c r="A391" s="27" t="n"/>
      <c r="B391" s="506" t="n"/>
      <c r="C391" s="141" t="n"/>
      <c r="D391" s="141" t="n"/>
      <c r="E391" s="141" t="n"/>
      <c r="F391" s="141" t="n"/>
      <c r="G391" s="143" t="n"/>
      <c r="H391" s="27" t="n"/>
    </row>
    <row r="392" ht="17.25" customHeight="1" s="322">
      <c r="A392" s="27" t="n"/>
      <c r="B392" s="506" t="n"/>
      <c r="C392" s="141" t="n"/>
      <c r="D392" s="141" t="n"/>
      <c r="E392" s="141" t="n"/>
      <c r="F392" s="141" t="n"/>
      <c r="G392" s="143" t="n"/>
      <c r="H392" s="27" t="n"/>
    </row>
    <row r="393" ht="17.25" customHeight="1" s="322">
      <c r="A393" s="27" t="n"/>
      <c r="B393" s="506" t="n"/>
      <c r="C393" s="141" t="n"/>
      <c r="D393" s="141" t="n"/>
      <c r="E393" s="141" t="n"/>
      <c r="F393" s="141" t="n"/>
      <c r="G393" s="143" t="n"/>
      <c r="H393" s="27" t="n"/>
    </row>
    <row r="394" ht="17.25" customHeight="1" s="322">
      <c r="A394" s="27" t="n"/>
      <c r="B394" s="506" t="n"/>
      <c r="C394" s="141" t="n"/>
      <c r="D394" s="141" t="n"/>
      <c r="E394" s="141" t="n"/>
      <c r="F394" s="141" t="n"/>
      <c r="G394" s="143" t="n"/>
      <c r="H394" s="27" t="n"/>
    </row>
    <row r="395" ht="17.25" customHeight="1" s="322">
      <c r="A395" s="27" t="n"/>
      <c r="B395" s="506" t="n"/>
      <c r="C395" s="141" t="n"/>
      <c r="D395" s="141" t="n"/>
      <c r="E395" s="141" t="n"/>
      <c r="F395" s="141" t="n"/>
      <c r="G395" s="143" t="n"/>
      <c r="H395" s="27" t="n"/>
    </row>
    <row r="396" ht="17.25" customHeight="1" s="322">
      <c r="A396" s="27" t="n"/>
      <c r="B396" s="506" t="n"/>
      <c r="C396" s="141" t="n"/>
      <c r="D396" s="141" t="n"/>
      <c r="E396" s="141" t="n"/>
      <c r="F396" s="141" t="n"/>
      <c r="G396" s="143" t="n"/>
      <c r="H396" s="27" t="n"/>
    </row>
    <row r="397" ht="17.25" customHeight="1" s="322">
      <c r="A397" s="27" t="n"/>
      <c r="B397" s="506" t="n"/>
      <c r="C397" s="141" t="n"/>
      <c r="D397" s="141" t="n"/>
      <c r="E397" s="141" t="n"/>
      <c r="F397" s="141" t="n"/>
      <c r="G397" s="143" t="n"/>
      <c r="H397" s="27" t="n"/>
    </row>
    <row r="398" ht="17.25" customHeight="1" s="322">
      <c r="A398" s="27" t="n"/>
      <c r="B398" s="506" t="n"/>
      <c r="C398" s="141" t="n"/>
      <c r="D398" s="141" t="n"/>
      <c r="E398" s="141" t="n"/>
      <c r="F398" s="141" t="n"/>
      <c r="G398" s="143" t="n"/>
      <c r="H398" s="27" t="n"/>
    </row>
    <row r="399" ht="17.25" customHeight="1" s="322">
      <c r="A399" s="27" t="n"/>
      <c r="B399" s="506" t="n"/>
      <c r="C399" s="141" t="n"/>
      <c r="D399" s="141" t="n"/>
      <c r="E399" s="141" t="n"/>
      <c r="F399" s="141" t="n"/>
      <c r="G399" s="143" t="n"/>
      <c r="H399" s="27" t="n"/>
    </row>
    <row r="400" ht="17.25" customHeight="1" s="322">
      <c r="A400" s="27" t="n"/>
      <c r="B400" s="506" t="n"/>
      <c r="C400" s="141" t="n"/>
      <c r="D400" s="141" t="n"/>
      <c r="E400" s="141" t="n"/>
      <c r="F400" s="141" t="n"/>
      <c r="G400" s="143" t="n"/>
      <c r="H400" s="27" t="n"/>
    </row>
    <row r="401" ht="17.25" customHeight="1" s="322">
      <c r="A401" s="27" t="n"/>
      <c r="B401" s="506" t="n"/>
      <c r="C401" s="141" t="n"/>
      <c r="D401" s="141" t="n"/>
      <c r="E401" s="141" t="n"/>
      <c r="F401" s="141" t="n"/>
      <c r="G401" s="143" t="n"/>
      <c r="H401" s="27" t="n"/>
    </row>
    <row r="402" ht="17.25" customHeight="1" s="322">
      <c r="A402" s="27" t="n"/>
      <c r="B402" s="506" t="n"/>
      <c r="C402" s="141" t="n"/>
      <c r="D402" s="141" t="n"/>
      <c r="E402" s="141" t="n"/>
      <c r="F402" s="141" t="n"/>
      <c r="G402" s="143" t="n"/>
      <c r="H402" s="27" t="n"/>
    </row>
    <row r="403" ht="17.25" customHeight="1" s="322">
      <c r="A403" s="27" t="n"/>
      <c r="B403" s="506" t="n"/>
      <c r="C403" s="141" t="n"/>
      <c r="D403" s="141" t="n"/>
      <c r="E403" s="141" t="n"/>
      <c r="F403" s="141" t="n"/>
      <c r="G403" s="143" t="n"/>
      <c r="H403" s="27" t="n"/>
    </row>
    <row r="404" ht="17.25" customHeight="1" s="322">
      <c r="A404" s="27" t="n"/>
      <c r="B404" s="506" t="n"/>
      <c r="C404" s="141" t="n"/>
      <c r="D404" s="141" t="n"/>
      <c r="E404" s="141" t="n"/>
      <c r="F404" s="141" t="n"/>
      <c r="G404" s="143" t="n"/>
      <c r="H404" s="27" t="n"/>
    </row>
    <row r="405" ht="17.25" customHeight="1" s="322">
      <c r="A405" s="27" t="n"/>
      <c r="B405" s="506" t="n"/>
      <c r="C405" s="141" t="n"/>
      <c r="D405" s="141" t="n"/>
      <c r="E405" s="141" t="n"/>
      <c r="F405" s="141" t="n"/>
      <c r="G405" s="143" t="n"/>
      <c r="H405" s="27" t="n"/>
    </row>
    <row r="406" ht="17.25" customHeight="1" s="322">
      <c r="A406" s="27" t="n"/>
      <c r="B406" s="506" t="n"/>
      <c r="C406" s="141" t="n"/>
      <c r="D406" s="141" t="n"/>
      <c r="E406" s="141" t="n"/>
      <c r="F406" s="141" t="n"/>
      <c r="G406" s="143" t="n"/>
      <c r="H406" s="27" t="n"/>
    </row>
    <row r="407" ht="17.25" customHeight="1" s="322">
      <c r="A407" s="27" t="n"/>
      <c r="B407" s="506" t="n"/>
      <c r="C407" s="141" t="n"/>
      <c r="D407" s="141" t="n"/>
      <c r="E407" s="141" t="n"/>
      <c r="F407" s="141" t="n"/>
      <c r="G407" s="143" t="n"/>
      <c r="H407" s="27" t="n"/>
    </row>
    <row r="408" ht="17.25" customHeight="1" s="322">
      <c r="A408" s="27" t="n"/>
      <c r="B408" s="506" t="n"/>
      <c r="C408" s="141" t="n"/>
      <c r="D408" s="141" t="n"/>
      <c r="E408" s="141" t="n"/>
      <c r="F408" s="141" t="n"/>
      <c r="G408" s="143" t="n"/>
      <c r="H408" s="27" t="n"/>
    </row>
    <row r="409" ht="17.25" customHeight="1" s="322">
      <c r="A409" s="27" t="n"/>
      <c r="B409" s="506" t="n"/>
      <c r="C409" s="141" t="n"/>
      <c r="D409" s="141" t="n"/>
      <c r="E409" s="141" t="n"/>
      <c r="F409" s="141" t="n"/>
      <c r="G409" s="143" t="n"/>
      <c r="H409" s="27" t="n"/>
    </row>
    <row r="410" ht="17.25" customHeight="1" s="322">
      <c r="A410" s="27" t="n"/>
      <c r="B410" s="506" t="n"/>
      <c r="C410" s="141" t="n"/>
      <c r="D410" s="141" t="n"/>
      <c r="E410" s="141" t="n"/>
      <c r="F410" s="141" t="n"/>
      <c r="G410" s="143" t="n"/>
      <c r="H410" s="27" t="n"/>
    </row>
    <row r="411" ht="17.25" customHeight="1" s="322">
      <c r="A411" s="27" t="n"/>
      <c r="B411" s="506" t="n"/>
      <c r="C411" s="141" t="n"/>
      <c r="D411" s="141" t="n"/>
      <c r="E411" s="141" t="n"/>
      <c r="F411" s="141" t="n"/>
      <c r="G411" s="143" t="n"/>
      <c r="H411" s="27" t="n"/>
    </row>
    <row r="412" ht="17.25" customHeight="1" s="322">
      <c r="A412" s="27" t="n"/>
      <c r="B412" s="506" t="n"/>
      <c r="C412" s="141" t="n"/>
      <c r="D412" s="141" t="n"/>
      <c r="E412" s="141" t="n"/>
      <c r="F412" s="141" t="n"/>
      <c r="G412" s="143" t="n"/>
      <c r="H412" s="27" t="n"/>
    </row>
    <row r="413" ht="17.25" customHeight="1" s="322">
      <c r="A413" s="27" t="n"/>
      <c r="B413" s="506" t="n"/>
      <c r="C413" s="141" t="n"/>
      <c r="D413" s="141" t="n"/>
      <c r="E413" s="141" t="n"/>
      <c r="F413" s="141" t="n"/>
      <c r="G413" s="143" t="n"/>
      <c r="H413" s="27" t="n"/>
    </row>
    <row r="414" ht="17.25" customHeight="1" s="322">
      <c r="A414" s="27" t="n"/>
      <c r="B414" s="506" t="n"/>
      <c r="C414" s="141" t="n"/>
      <c r="D414" s="141" t="n"/>
      <c r="E414" s="141" t="n"/>
      <c r="F414" s="141" t="n"/>
      <c r="G414" s="143" t="n"/>
      <c r="H414" s="27" t="n"/>
    </row>
    <row r="415" ht="17.25" customHeight="1" s="322">
      <c r="A415" s="27" t="n"/>
      <c r="B415" s="506" t="n"/>
      <c r="C415" s="141" t="n"/>
      <c r="D415" s="141" t="n"/>
      <c r="E415" s="141" t="n"/>
      <c r="F415" s="141" t="n"/>
      <c r="G415" s="143" t="n"/>
      <c r="H415" s="27" t="n"/>
    </row>
    <row r="416" ht="17.25" customHeight="1" s="322">
      <c r="A416" s="27" t="n"/>
      <c r="B416" s="506" t="n"/>
      <c r="C416" s="141" t="n"/>
      <c r="D416" s="141" t="n"/>
      <c r="E416" s="141" t="n"/>
      <c r="F416" s="141" t="n"/>
      <c r="G416" s="143" t="n"/>
      <c r="H416" s="27" t="n"/>
    </row>
    <row r="417" ht="17.25" customHeight="1" s="322">
      <c r="A417" s="27" t="n"/>
      <c r="B417" s="506" t="n"/>
      <c r="C417" s="141" t="n"/>
      <c r="D417" s="141" t="n"/>
      <c r="E417" s="141" t="n"/>
      <c r="F417" s="141" t="n"/>
      <c r="G417" s="143" t="n"/>
      <c r="H417" s="27" t="n"/>
    </row>
    <row r="418" ht="17.25" customHeight="1" s="322">
      <c r="A418" s="27" t="n"/>
      <c r="B418" s="506" t="n"/>
      <c r="C418" s="141" t="n"/>
      <c r="D418" s="141" t="n"/>
      <c r="E418" s="141" t="n"/>
      <c r="F418" s="141" t="n"/>
      <c r="G418" s="143" t="n"/>
      <c r="H418" s="27" t="n"/>
    </row>
    <row r="419" ht="17.25" customHeight="1" s="322">
      <c r="A419" s="27" t="n"/>
      <c r="B419" s="506" t="n"/>
      <c r="C419" s="141" t="n"/>
      <c r="D419" s="141" t="n"/>
      <c r="E419" s="141" t="n"/>
      <c r="F419" s="141" t="n"/>
      <c r="G419" s="143" t="n"/>
      <c r="H419" s="27" t="n"/>
    </row>
    <row r="420" ht="17.25" customHeight="1" s="322">
      <c r="A420" s="27" t="n"/>
      <c r="B420" s="506" t="n"/>
      <c r="C420" s="141" t="n"/>
      <c r="D420" s="141" t="n"/>
      <c r="E420" s="141" t="n"/>
      <c r="F420" s="141" t="n"/>
      <c r="G420" s="143" t="n"/>
      <c r="H420" s="27" t="n"/>
    </row>
    <row r="421" ht="17.25" customHeight="1" s="322">
      <c r="A421" s="27" t="n"/>
      <c r="B421" s="506" t="n"/>
      <c r="C421" s="141" t="n"/>
      <c r="D421" s="141" t="n"/>
      <c r="E421" s="141" t="n"/>
      <c r="F421" s="141" t="n"/>
      <c r="G421" s="143" t="n"/>
      <c r="H421" s="27" t="n"/>
    </row>
    <row r="422" ht="17.25" customHeight="1" s="322">
      <c r="A422" s="27" t="n"/>
      <c r="B422" s="506" t="n"/>
      <c r="C422" s="141" t="n"/>
      <c r="D422" s="141" t="n"/>
      <c r="E422" s="141" t="n"/>
      <c r="F422" s="141" t="n"/>
      <c r="G422" s="143" t="n"/>
      <c r="H422" s="27" t="n"/>
    </row>
    <row r="423" ht="17.25" customHeight="1" s="322">
      <c r="A423" s="27" t="n"/>
      <c r="B423" s="506" t="n"/>
      <c r="C423" s="141" t="n"/>
      <c r="D423" s="141" t="n"/>
      <c r="E423" s="141" t="n"/>
      <c r="F423" s="141" t="n"/>
      <c r="G423" s="143" t="n"/>
      <c r="H423" s="27" t="n"/>
    </row>
    <row r="424" ht="17.25" customHeight="1" s="322">
      <c r="A424" s="27" t="n"/>
      <c r="B424" s="506" t="n"/>
      <c r="C424" s="141" t="n"/>
      <c r="D424" s="141" t="n"/>
      <c r="E424" s="141" t="n"/>
      <c r="F424" s="141" t="n"/>
      <c r="G424" s="143" t="n"/>
      <c r="H424" s="27" t="n"/>
    </row>
    <row r="425" ht="17.25" customHeight="1" s="322">
      <c r="A425" s="27" t="n"/>
      <c r="B425" s="506" t="n"/>
      <c r="C425" s="141" t="n"/>
      <c r="D425" s="141" t="n"/>
      <c r="E425" s="141" t="n"/>
      <c r="F425" s="141" t="n"/>
      <c r="G425" s="143" t="n"/>
      <c r="H425" s="27" t="n"/>
    </row>
    <row r="426" ht="17.25" customHeight="1" s="322">
      <c r="A426" s="27" t="n"/>
      <c r="B426" s="506" t="n"/>
      <c r="C426" s="141" t="n"/>
      <c r="D426" s="141" t="n"/>
      <c r="E426" s="141" t="n"/>
      <c r="F426" s="141" t="n"/>
      <c r="G426" s="143" t="n"/>
      <c r="H426" s="27" t="n"/>
    </row>
    <row r="427" ht="17.25" customHeight="1" s="322">
      <c r="A427" s="27" t="n"/>
      <c r="B427" s="506" t="n"/>
      <c r="C427" s="141" t="n"/>
      <c r="D427" s="141" t="n"/>
      <c r="E427" s="141" t="n"/>
      <c r="F427" s="141" t="n"/>
      <c r="G427" s="143" t="n"/>
      <c r="H427" s="27" t="n"/>
    </row>
    <row r="428" ht="17.25" customHeight="1" s="322">
      <c r="A428" s="27" t="n"/>
      <c r="B428" s="506" t="n"/>
      <c r="C428" s="141" t="n"/>
      <c r="D428" s="141" t="n"/>
      <c r="E428" s="141" t="n"/>
      <c r="F428" s="141" t="n"/>
      <c r="G428" s="143" t="n"/>
      <c r="H428" s="27" t="n"/>
    </row>
    <row r="429" ht="17.25" customHeight="1" s="322">
      <c r="A429" s="27" t="n"/>
      <c r="B429" s="506" t="n"/>
      <c r="C429" s="141" t="n"/>
      <c r="D429" s="141" t="n"/>
      <c r="E429" s="141" t="n"/>
      <c r="F429" s="141" t="n"/>
      <c r="G429" s="143" t="n"/>
      <c r="H429" s="27" t="n"/>
    </row>
    <row r="430" ht="17.25" customHeight="1" s="322">
      <c r="A430" s="27" t="n"/>
      <c r="B430" s="506" t="n"/>
      <c r="C430" s="141" t="n"/>
      <c r="D430" s="141" t="n"/>
      <c r="E430" s="141" t="n"/>
      <c r="F430" s="141" t="n"/>
      <c r="G430" s="143" t="n"/>
      <c r="H430" s="27" t="n"/>
    </row>
    <row r="431" ht="17.25" customHeight="1" s="322">
      <c r="A431" s="27" t="n"/>
      <c r="B431" s="506" t="n"/>
      <c r="C431" s="141" t="n"/>
      <c r="D431" s="141" t="n"/>
      <c r="E431" s="141" t="n"/>
      <c r="F431" s="141" t="n"/>
      <c r="G431" s="143" t="n"/>
      <c r="H431" s="27" t="n"/>
    </row>
    <row r="432" ht="17.25" customHeight="1" s="322">
      <c r="A432" s="27" t="n"/>
      <c r="B432" s="506" t="n"/>
      <c r="C432" s="141" t="n"/>
      <c r="D432" s="141" t="n"/>
      <c r="E432" s="141" t="n"/>
      <c r="F432" s="141" t="n"/>
      <c r="G432" s="143" t="n"/>
      <c r="H432" s="27" t="n"/>
    </row>
    <row r="433" ht="17.25" customHeight="1" s="322">
      <c r="A433" s="27" t="n"/>
      <c r="B433" s="506" t="n"/>
      <c r="C433" s="141" t="n"/>
      <c r="D433" s="141" t="n"/>
      <c r="E433" s="141" t="n"/>
      <c r="F433" s="141" t="n"/>
      <c r="G433" s="143" t="n"/>
      <c r="H433" s="27" t="n"/>
    </row>
    <row r="434" ht="17.25" customHeight="1" s="322">
      <c r="A434" s="27" t="n"/>
      <c r="B434" s="506" t="n"/>
      <c r="C434" s="141" t="n"/>
      <c r="D434" s="141" t="n"/>
      <c r="E434" s="141" t="n"/>
      <c r="F434" s="141" t="n"/>
      <c r="G434" s="143" t="n"/>
      <c r="H434" s="27" t="n"/>
    </row>
    <row r="435" ht="17.25" customHeight="1" s="322">
      <c r="A435" s="27" t="n"/>
      <c r="B435" s="506" t="n"/>
      <c r="C435" s="141" t="n"/>
      <c r="D435" s="141" t="n"/>
      <c r="E435" s="141" t="n"/>
      <c r="F435" s="141" t="n"/>
      <c r="G435" s="143" t="n"/>
      <c r="H435" s="27" t="n"/>
    </row>
    <row r="436" ht="17.25" customHeight="1" s="322">
      <c r="A436" s="27" t="n"/>
      <c r="B436" s="506" t="n"/>
      <c r="C436" s="141" t="n"/>
      <c r="D436" s="141" t="n"/>
      <c r="E436" s="141" t="n"/>
      <c r="F436" s="141" t="n"/>
      <c r="G436" s="143" t="n"/>
      <c r="H436" s="27" t="n"/>
    </row>
    <row r="437" ht="17.25" customHeight="1" s="322">
      <c r="A437" s="27" t="n"/>
      <c r="B437" s="506" t="n"/>
      <c r="C437" s="141" t="n"/>
      <c r="D437" s="141" t="n"/>
      <c r="E437" s="141" t="n"/>
      <c r="F437" s="141" t="n"/>
      <c r="G437" s="143" t="n"/>
      <c r="H437" s="27" t="n"/>
    </row>
    <row r="438" ht="17.25" customHeight="1" s="322">
      <c r="A438" s="27" t="n"/>
      <c r="B438" s="506" t="n"/>
      <c r="C438" s="141" t="n"/>
      <c r="D438" s="141" t="n"/>
      <c r="E438" s="141" t="n"/>
      <c r="F438" s="141" t="n"/>
      <c r="G438" s="143" t="n"/>
      <c r="H438" s="27" t="n"/>
    </row>
    <row r="439" ht="17.25" customHeight="1" s="322">
      <c r="A439" s="27" t="n"/>
      <c r="B439" s="506" t="n"/>
      <c r="C439" s="141" t="n"/>
      <c r="D439" s="141" t="n"/>
      <c r="E439" s="141" t="n"/>
      <c r="F439" s="141" t="n"/>
      <c r="G439" s="143" t="n"/>
      <c r="H439" s="27" t="n"/>
    </row>
    <row r="440" ht="17.25" customHeight="1" s="322">
      <c r="A440" s="27" t="n"/>
      <c r="B440" s="506" t="n"/>
      <c r="C440" s="141" t="n"/>
      <c r="D440" s="141" t="n"/>
      <c r="E440" s="141" t="n"/>
      <c r="F440" s="141" t="n"/>
      <c r="G440" s="143" t="n"/>
      <c r="H440" s="27" t="n"/>
    </row>
    <row r="441" ht="17.25" customHeight="1" s="322">
      <c r="A441" s="27" t="n"/>
      <c r="B441" s="506" t="n"/>
      <c r="C441" s="141" t="n"/>
      <c r="D441" s="141" t="n"/>
      <c r="E441" s="141" t="n"/>
      <c r="F441" s="141" t="n"/>
      <c r="G441" s="143" t="n"/>
      <c r="H441" s="27" t="n"/>
    </row>
    <row r="442" ht="17.25" customHeight="1" s="322">
      <c r="A442" s="27" t="n"/>
      <c r="B442" s="506" t="n"/>
      <c r="C442" s="141" t="n"/>
      <c r="D442" s="141" t="n"/>
      <c r="E442" s="141" t="n"/>
      <c r="F442" s="141" t="n"/>
      <c r="G442" s="143" t="n"/>
      <c r="H442" s="27" t="n"/>
    </row>
    <row r="443" ht="17.25" customHeight="1" s="322">
      <c r="A443" s="27" t="n"/>
      <c r="B443" s="506" t="n"/>
      <c r="C443" s="141" t="n"/>
      <c r="D443" s="141" t="n"/>
      <c r="E443" s="141" t="n"/>
      <c r="F443" s="141" t="n"/>
      <c r="G443" s="143" t="n"/>
      <c r="H443" s="27" t="n"/>
    </row>
    <row r="444" ht="17.25" customHeight="1" s="322">
      <c r="A444" s="27" t="n"/>
      <c r="B444" s="506" t="n"/>
      <c r="C444" s="141" t="n"/>
      <c r="D444" s="141" t="n"/>
      <c r="E444" s="141" t="n"/>
      <c r="F444" s="141" t="n"/>
      <c r="G444" s="143" t="n"/>
      <c r="H444" s="27" t="n"/>
    </row>
    <row r="445" ht="17.25" customHeight="1" s="322">
      <c r="A445" s="27" t="n"/>
      <c r="B445" s="506" t="n"/>
      <c r="C445" s="141" t="n"/>
      <c r="D445" s="141" t="n"/>
      <c r="E445" s="141" t="n"/>
      <c r="F445" s="141" t="n"/>
      <c r="G445" s="143" t="n"/>
      <c r="H445" s="27" t="n"/>
    </row>
    <row r="446" ht="17.25" customHeight="1" s="322">
      <c r="A446" s="27" t="n"/>
      <c r="B446" s="506" t="n"/>
      <c r="C446" s="141" t="n"/>
      <c r="D446" s="141" t="n"/>
      <c r="E446" s="141" t="n"/>
      <c r="F446" s="141" t="n"/>
      <c r="G446" s="143" t="n"/>
      <c r="H446" s="27" t="n"/>
    </row>
    <row r="447" ht="17.25" customHeight="1" s="322">
      <c r="A447" s="27" t="n"/>
      <c r="B447" s="506" t="n"/>
      <c r="C447" s="141" t="n"/>
      <c r="D447" s="141" t="n"/>
      <c r="E447" s="141" t="n"/>
      <c r="F447" s="141" t="n"/>
      <c r="G447" s="143" t="n"/>
      <c r="H447" s="27" t="n"/>
    </row>
    <row r="448" ht="17.25" customHeight="1" s="322">
      <c r="A448" s="27" t="n"/>
      <c r="B448" s="506" t="n"/>
      <c r="C448" s="141" t="n"/>
      <c r="D448" s="141" t="n"/>
      <c r="E448" s="141" t="n"/>
      <c r="F448" s="141" t="n"/>
      <c r="G448" s="143" t="n"/>
      <c r="H448" s="27" t="n"/>
    </row>
    <row r="449" ht="17.25" customHeight="1" s="322">
      <c r="A449" s="27" t="n"/>
      <c r="B449" s="506" t="n"/>
      <c r="C449" s="141" t="n"/>
      <c r="D449" s="141" t="n"/>
      <c r="E449" s="141" t="n"/>
      <c r="F449" s="141" t="n"/>
      <c r="G449" s="143" t="n"/>
      <c r="H449" s="27" t="n"/>
    </row>
    <row r="450" ht="17.25" customHeight="1" s="322">
      <c r="A450" s="27" t="n"/>
      <c r="B450" s="506" t="n"/>
      <c r="C450" s="141" t="n"/>
      <c r="D450" s="141" t="n"/>
      <c r="E450" s="141" t="n"/>
      <c r="F450" s="141" t="n"/>
      <c r="G450" s="143" t="n"/>
      <c r="H450" s="27" t="n"/>
    </row>
    <row r="451" ht="17.25" customHeight="1" s="322">
      <c r="A451" s="27" t="n"/>
      <c r="B451" s="506" t="n"/>
      <c r="C451" s="141" t="n"/>
      <c r="D451" s="141" t="n"/>
      <c r="E451" s="141" t="n"/>
      <c r="F451" s="141" t="n"/>
      <c r="G451" s="143" t="n"/>
      <c r="H451" s="27" t="n"/>
    </row>
    <row r="452" ht="17.25" customHeight="1" s="322">
      <c r="A452" s="27" t="n"/>
      <c r="B452" s="506" t="n"/>
      <c r="C452" s="141" t="n"/>
      <c r="D452" s="141" t="n"/>
      <c r="E452" s="141" t="n"/>
      <c r="F452" s="141" t="n"/>
      <c r="G452" s="143" t="n"/>
      <c r="H452" s="27" t="n"/>
    </row>
    <row r="453" ht="17.25" customHeight="1" s="322">
      <c r="A453" s="27" t="n"/>
      <c r="B453" s="506" t="n"/>
      <c r="C453" s="141" t="n"/>
      <c r="D453" s="141" t="n"/>
      <c r="E453" s="141" t="n"/>
      <c r="F453" s="141" t="n"/>
      <c r="G453" s="143" t="n"/>
      <c r="H453" s="27" t="n"/>
    </row>
    <row r="454" ht="17.25" customHeight="1" s="322">
      <c r="A454" s="27" t="n"/>
      <c r="B454" s="506" t="n"/>
      <c r="C454" s="141" t="n"/>
      <c r="D454" s="141" t="n"/>
      <c r="E454" s="141" t="n"/>
      <c r="F454" s="141" t="n"/>
      <c r="G454" s="143" t="n"/>
      <c r="H454" s="27" t="n"/>
    </row>
    <row r="455" ht="17.25" customHeight="1" s="322">
      <c r="A455" s="27" t="n"/>
      <c r="B455" s="506" t="n"/>
      <c r="C455" s="141" t="n"/>
      <c r="D455" s="141" t="n"/>
      <c r="E455" s="141" t="n"/>
      <c r="F455" s="141" t="n"/>
      <c r="G455" s="143" t="n"/>
      <c r="H455" s="27" t="n"/>
    </row>
    <row r="456" ht="17.25" customHeight="1" s="322">
      <c r="A456" s="27" t="n"/>
      <c r="B456" s="506" t="n"/>
      <c r="C456" s="141" t="n"/>
      <c r="D456" s="141" t="n"/>
      <c r="E456" s="141" t="n"/>
      <c r="F456" s="141" t="n"/>
      <c r="G456" s="143" t="n"/>
      <c r="H456" s="27" t="n"/>
    </row>
    <row r="457" ht="17.25" customHeight="1" s="322">
      <c r="A457" s="27" t="n"/>
      <c r="B457" s="506" t="n"/>
      <c r="C457" s="141" t="n"/>
      <c r="D457" s="141" t="n"/>
      <c r="E457" s="141" t="n"/>
      <c r="F457" s="141" t="n"/>
      <c r="G457" s="143" t="n"/>
      <c r="H457" s="27" t="n"/>
    </row>
    <row r="458" ht="17.25" customHeight="1" s="322">
      <c r="A458" s="27" t="n"/>
      <c r="B458" s="506" t="n"/>
      <c r="C458" s="141" t="n"/>
      <c r="D458" s="141" t="n"/>
      <c r="E458" s="141" t="n"/>
      <c r="F458" s="141" t="n"/>
      <c r="G458" s="143" t="n"/>
      <c r="H458" s="27" t="n"/>
    </row>
    <row r="459" ht="17.25" customHeight="1" s="322">
      <c r="A459" s="27" t="n"/>
      <c r="B459" s="506" t="n"/>
      <c r="C459" s="141" t="n"/>
      <c r="D459" s="141" t="n"/>
      <c r="E459" s="141" t="n"/>
      <c r="F459" s="141" t="n"/>
      <c r="G459" s="143" t="n"/>
      <c r="H459" s="27" t="n"/>
    </row>
    <row r="460" ht="17.25" customHeight="1" s="322">
      <c r="A460" s="27" t="n"/>
      <c r="B460" s="506" t="n"/>
      <c r="C460" s="141" t="n"/>
      <c r="D460" s="141" t="n"/>
      <c r="E460" s="141" t="n"/>
      <c r="F460" s="141" t="n"/>
      <c r="G460" s="143" t="n"/>
      <c r="H460" s="27" t="n"/>
    </row>
    <row r="461" ht="17.25" customHeight="1" s="322">
      <c r="A461" s="27" t="n"/>
      <c r="B461" s="506" t="n"/>
      <c r="C461" s="141" t="n"/>
      <c r="D461" s="141" t="n"/>
      <c r="E461" s="141" t="n"/>
      <c r="F461" s="141" t="n"/>
      <c r="G461" s="143" t="n"/>
      <c r="H461" s="27" t="n"/>
    </row>
    <row r="462" ht="17.25" customHeight="1" s="322">
      <c r="A462" s="27" t="n"/>
      <c r="B462" s="506" t="n"/>
      <c r="C462" s="141" t="n"/>
      <c r="D462" s="141" t="n"/>
      <c r="E462" s="141" t="n"/>
      <c r="F462" s="141" t="n"/>
      <c r="G462" s="143" t="n"/>
      <c r="H462" s="27" t="n"/>
    </row>
    <row r="463" ht="17.25" customHeight="1" s="322">
      <c r="A463" s="27" t="n"/>
      <c r="B463" s="506" t="n"/>
      <c r="C463" s="141" t="n"/>
      <c r="D463" s="141" t="n"/>
      <c r="E463" s="141" t="n"/>
      <c r="F463" s="141" t="n"/>
      <c r="G463" s="143" t="n"/>
      <c r="H463" s="27" t="n"/>
    </row>
    <row r="464" ht="17.25" customHeight="1" s="322">
      <c r="A464" s="27" t="n"/>
      <c r="B464" s="506" t="n"/>
      <c r="C464" s="141" t="n"/>
      <c r="D464" s="141" t="n"/>
      <c r="E464" s="141" t="n"/>
      <c r="F464" s="141" t="n"/>
      <c r="G464" s="143" t="n"/>
      <c r="H464" s="27" t="n"/>
    </row>
    <row r="465" ht="17.25" customHeight="1" s="322">
      <c r="A465" s="27" t="n"/>
      <c r="B465" s="506" t="n"/>
      <c r="C465" s="141" t="n"/>
      <c r="D465" s="141" t="n"/>
      <c r="E465" s="141" t="n"/>
      <c r="F465" s="141" t="n"/>
      <c r="G465" s="143" t="n"/>
      <c r="H465" s="27" t="n"/>
    </row>
    <row r="466" ht="17.25" customHeight="1" s="322">
      <c r="A466" s="27" t="n"/>
      <c r="B466" s="506" t="n"/>
      <c r="C466" s="141" t="n"/>
      <c r="D466" s="141" t="n"/>
      <c r="E466" s="141" t="n"/>
      <c r="F466" s="141" t="n"/>
      <c r="G466" s="143" t="n"/>
      <c r="H466" s="27" t="n"/>
    </row>
    <row r="467" ht="17.25" customHeight="1" s="322">
      <c r="A467" s="27" t="n"/>
      <c r="B467" s="506" t="n"/>
      <c r="C467" s="141" t="n"/>
      <c r="D467" s="141" t="n"/>
      <c r="E467" s="141" t="n"/>
      <c r="F467" s="141" t="n"/>
      <c r="G467" s="143" t="n"/>
      <c r="H467" s="27" t="n"/>
    </row>
    <row r="468" ht="17.25" customHeight="1" s="322">
      <c r="A468" s="27" t="n"/>
      <c r="B468" s="506" t="n"/>
      <c r="C468" s="141" t="n"/>
      <c r="D468" s="141" t="n"/>
      <c r="E468" s="141" t="n"/>
      <c r="F468" s="141" t="n"/>
      <c r="G468" s="143" t="n"/>
      <c r="H468" s="27" t="n"/>
    </row>
    <row r="469" ht="17.25" customHeight="1" s="322">
      <c r="A469" s="27" t="n"/>
      <c r="B469" s="506" t="n"/>
      <c r="C469" s="141" t="n"/>
      <c r="D469" s="141" t="n"/>
      <c r="E469" s="141" t="n"/>
      <c r="F469" s="141" t="n"/>
      <c r="G469" s="143" t="n"/>
      <c r="H469" s="27" t="n"/>
    </row>
    <row r="470" ht="17.25" customHeight="1" s="322">
      <c r="A470" s="27" t="n"/>
      <c r="B470" s="506" t="n"/>
      <c r="C470" s="141" t="n"/>
      <c r="D470" s="141" t="n"/>
      <c r="E470" s="141" t="n"/>
      <c r="F470" s="141" t="n"/>
      <c r="G470" s="143" t="n"/>
      <c r="H470" s="27" t="n"/>
    </row>
    <row r="471" ht="17.25" customHeight="1" s="322">
      <c r="A471" s="27" t="n"/>
      <c r="B471" s="506" t="n"/>
      <c r="C471" s="141" t="n"/>
      <c r="D471" s="141" t="n"/>
      <c r="E471" s="141" t="n"/>
      <c r="F471" s="141" t="n"/>
      <c r="G471" s="143" t="n"/>
      <c r="H471" s="27" t="n"/>
    </row>
    <row r="472" ht="17.25" customHeight="1" s="322">
      <c r="A472" s="27" t="n"/>
      <c r="B472" s="506" t="n"/>
      <c r="C472" s="141" t="n"/>
      <c r="D472" s="141" t="n"/>
      <c r="E472" s="141" t="n"/>
      <c r="F472" s="141" t="n"/>
      <c r="G472" s="143" t="n"/>
      <c r="H472" s="27" t="n"/>
    </row>
    <row r="473" ht="17.25" customHeight="1" s="322">
      <c r="A473" s="27" t="n"/>
      <c r="B473" s="506" t="n"/>
      <c r="C473" s="141" t="n"/>
      <c r="D473" s="141" t="n"/>
      <c r="E473" s="141" t="n"/>
      <c r="F473" s="141" t="n"/>
      <c r="G473" s="143" t="n"/>
      <c r="H473" s="27" t="n"/>
    </row>
    <row r="474" ht="17.25" customHeight="1" s="322">
      <c r="A474" s="27" t="n"/>
      <c r="B474" s="506" t="n"/>
      <c r="C474" s="141" t="n"/>
      <c r="D474" s="141" t="n"/>
      <c r="E474" s="141" t="n"/>
      <c r="F474" s="141" t="n"/>
      <c r="G474" s="143" t="n"/>
      <c r="H474" s="27" t="n"/>
    </row>
    <row r="475" ht="17.25" customHeight="1" s="322">
      <c r="A475" s="27" t="n"/>
      <c r="B475" s="506" t="n"/>
      <c r="C475" s="141" t="n"/>
      <c r="D475" s="141" t="n"/>
      <c r="E475" s="141" t="n"/>
      <c r="F475" s="141" t="n"/>
      <c r="G475" s="143" t="n"/>
      <c r="H475" s="27" t="n"/>
    </row>
    <row r="476" ht="17.25" customHeight="1" s="322">
      <c r="A476" s="27" t="n"/>
      <c r="B476" s="506" t="n"/>
      <c r="C476" s="141" t="n"/>
      <c r="D476" s="141" t="n"/>
      <c r="E476" s="141" t="n"/>
      <c r="F476" s="141" t="n"/>
      <c r="G476" s="143" t="n"/>
      <c r="H476" s="27" t="n"/>
    </row>
    <row r="477" ht="17.25" customHeight="1" s="322">
      <c r="A477" s="27" t="n"/>
      <c r="B477" s="506" t="n"/>
      <c r="C477" s="141" t="n"/>
      <c r="D477" s="141" t="n"/>
      <c r="E477" s="141" t="n"/>
      <c r="F477" s="141" t="n"/>
      <c r="G477" s="143" t="n"/>
      <c r="H477" s="27" t="n"/>
    </row>
    <row r="478" ht="17.25" customHeight="1" s="322">
      <c r="A478" s="27" t="n"/>
      <c r="B478" s="506" t="n"/>
      <c r="C478" s="141" t="n"/>
      <c r="D478" s="141" t="n"/>
      <c r="E478" s="141" t="n"/>
      <c r="F478" s="141" t="n"/>
      <c r="G478" s="143" t="n"/>
      <c r="H478" s="27" t="n"/>
    </row>
    <row r="479" ht="17.25" customHeight="1" s="322">
      <c r="A479" s="27" t="n"/>
      <c r="B479" s="506" t="n"/>
      <c r="C479" s="141" t="n"/>
      <c r="D479" s="141" t="n"/>
      <c r="E479" s="141" t="n"/>
      <c r="F479" s="141" t="n"/>
      <c r="G479" s="143" t="n"/>
      <c r="H479" s="27" t="n"/>
    </row>
    <row r="480" ht="17.25" customHeight="1" s="322">
      <c r="A480" s="27" t="n"/>
      <c r="B480" s="506" t="n"/>
      <c r="C480" s="141" t="n"/>
      <c r="D480" s="141" t="n"/>
      <c r="E480" s="141" t="n"/>
      <c r="F480" s="141" t="n"/>
      <c r="G480" s="143" t="n"/>
      <c r="H480" s="27" t="n"/>
    </row>
    <row r="481" ht="17.25" customHeight="1" s="322">
      <c r="A481" s="27" t="n"/>
      <c r="B481" s="506" t="n"/>
      <c r="C481" s="141" t="n"/>
      <c r="D481" s="141" t="n"/>
      <c r="E481" s="141" t="n"/>
      <c r="F481" s="141" t="n"/>
      <c r="G481" s="143" t="n"/>
      <c r="H481" s="27" t="n"/>
    </row>
    <row r="482" ht="17.25" customHeight="1" s="322">
      <c r="A482" s="27" t="n"/>
      <c r="B482" s="506" t="n"/>
      <c r="C482" s="141" t="n"/>
      <c r="D482" s="141" t="n"/>
      <c r="E482" s="141" t="n"/>
      <c r="F482" s="141" t="n"/>
      <c r="G482" s="143" t="n"/>
      <c r="H482" s="27" t="n"/>
    </row>
    <row r="483" ht="17.25" customHeight="1" s="322">
      <c r="A483" s="27" t="n"/>
      <c r="B483" s="506" t="n"/>
      <c r="C483" s="141" t="n"/>
      <c r="D483" s="141" t="n"/>
      <c r="E483" s="141" t="n"/>
      <c r="F483" s="141" t="n"/>
      <c r="G483" s="143" t="n"/>
      <c r="H483" s="27" t="n"/>
    </row>
    <row r="484" ht="17.25" customHeight="1" s="322">
      <c r="A484" s="27" t="n"/>
      <c r="B484" s="506" t="n"/>
      <c r="C484" s="141" t="n"/>
      <c r="D484" s="141" t="n"/>
      <c r="E484" s="141" t="n"/>
      <c r="F484" s="141" t="n"/>
      <c r="G484" s="143" t="n"/>
      <c r="H484" s="27" t="n"/>
    </row>
    <row r="485" ht="17.25" customHeight="1" s="322">
      <c r="A485" s="27" t="n"/>
      <c r="B485" s="506" t="n"/>
      <c r="C485" s="141" t="n"/>
      <c r="D485" s="141" t="n"/>
      <c r="E485" s="141" t="n"/>
      <c r="F485" s="141" t="n"/>
      <c r="G485" s="143" t="n"/>
      <c r="H485" s="27" t="n"/>
    </row>
    <row r="486" ht="17.25" customHeight="1" s="322">
      <c r="A486" s="27" t="n"/>
      <c r="B486" s="506" t="n"/>
      <c r="C486" s="141" t="n"/>
      <c r="D486" s="141" t="n"/>
      <c r="E486" s="141" t="n"/>
      <c r="F486" s="141" t="n"/>
      <c r="G486" s="143" t="n"/>
      <c r="H486" s="27" t="n"/>
    </row>
    <row r="487" ht="17.25" customHeight="1" s="322">
      <c r="A487" s="27" t="n"/>
      <c r="B487" s="506" t="n"/>
      <c r="C487" s="141" t="n"/>
      <c r="D487" s="141" t="n"/>
      <c r="E487" s="141" t="n"/>
      <c r="F487" s="141" t="n"/>
      <c r="G487" s="143" t="n"/>
      <c r="H487" s="27" t="n"/>
    </row>
    <row r="488" ht="17.25" customHeight="1" s="322">
      <c r="A488" s="27" t="n"/>
      <c r="B488" s="506" t="n"/>
      <c r="C488" s="141" t="n"/>
      <c r="D488" s="141" t="n"/>
      <c r="E488" s="141" t="n"/>
      <c r="F488" s="141" t="n"/>
      <c r="G488" s="143" t="n"/>
      <c r="H488" s="27" t="n"/>
    </row>
    <row r="489" ht="17.25" customHeight="1" s="322">
      <c r="A489" s="27" t="n"/>
      <c r="B489" s="506" t="n"/>
      <c r="C489" s="141" t="n"/>
      <c r="D489" s="141" t="n"/>
      <c r="E489" s="141" t="n"/>
      <c r="F489" s="141" t="n"/>
      <c r="G489" s="143" t="n"/>
      <c r="H489" s="27" t="n"/>
    </row>
    <row r="490" ht="17.25" customHeight="1" s="322">
      <c r="A490" s="27" t="n"/>
      <c r="B490" s="506" t="n"/>
      <c r="C490" s="141" t="n"/>
      <c r="D490" s="141" t="n"/>
      <c r="E490" s="141" t="n"/>
      <c r="F490" s="141" t="n"/>
      <c r="G490" s="143" t="n"/>
      <c r="H490" s="27" t="n"/>
    </row>
    <row r="491" ht="17.25" customHeight="1" s="322">
      <c r="A491" s="27" t="n"/>
      <c r="B491" s="506" t="n"/>
      <c r="C491" s="141" t="n"/>
      <c r="D491" s="141" t="n"/>
      <c r="E491" s="141" t="n"/>
      <c r="F491" s="141" t="n"/>
      <c r="G491" s="143" t="n"/>
      <c r="H491" s="27" t="n"/>
    </row>
    <row r="492" ht="17.25" customHeight="1" s="322">
      <c r="A492" s="27" t="n"/>
      <c r="B492" s="506" t="n"/>
      <c r="C492" s="141" t="n"/>
      <c r="D492" s="141" t="n"/>
      <c r="E492" s="141" t="n"/>
      <c r="F492" s="141" t="n"/>
      <c r="G492" s="143" t="n"/>
      <c r="H492" s="27" t="n"/>
    </row>
    <row r="493" ht="17.25" customHeight="1" s="322">
      <c r="A493" s="27" t="n"/>
      <c r="B493" s="506" t="n"/>
      <c r="C493" s="141" t="n"/>
      <c r="D493" s="141" t="n"/>
      <c r="E493" s="141" t="n"/>
      <c r="F493" s="141" t="n"/>
      <c r="G493" s="143" t="n"/>
      <c r="H493" s="27" t="n"/>
    </row>
    <row r="494" ht="17.25" customHeight="1" s="322">
      <c r="A494" s="27" t="n"/>
      <c r="B494" s="506" t="n"/>
      <c r="C494" s="141" t="n"/>
      <c r="D494" s="141" t="n"/>
      <c r="E494" s="141" t="n"/>
      <c r="F494" s="141" t="n"/>
      <c r="G494" s="143" t="n"/>
      <c r="H494" s="27" t="n"/>
    </row>
    <row r="495" ht="17.25" customHeight="1" s="322">
      <c r="A495" s="27" t="n"/>
      <c r="B495" s="506" t="n"/>
      <c r="C495" s="141" t="n"/>
      <c r="D495" s="141" t="n"/>
      <c r="E495" s="141" t="n"/>
      <c r="F495" s="141" t="n"/>
      <c r="G495" s="143" t="n"/>
      <c r="H495" s="27" t="n"/>
    </row>
    <row r="496" ht="17.25" customHeight="1" s="322">
      <c r="A496" s="27" t="n"/>
      <c r="B496" s="506" t="n"/>
      <c r="C496" s="141" t="n"/>
      <c r="D496" s="141" t="n"/>
      <c r="E496" s="141" t="n"/>
      <c r="F496" s="141" t="n"/>
      <c r="G496" s="143" t="n"/>
      <c r="H496" s="27" t="n"/>
    </row>
    <row r="497" ht="17.25" customHeight="1" s="322">
      <c r="A497" s="27" t="n"/>
      <c r="B497" s="506" t="n"/>
      <c r="C497" s="141" t="n"/>
      <c r="D497" s="141" t="n"/>
      <c r="E497" s="141" t="n"/>
      <c r="F497" s="141" t="n"/>
      <c r="G497" s="143" t="n"/>
      <c r="H497" s="27" t="n"/>
    </row>
    <row r="498" ht="17.25" customHeight="1" s="322">
      <c r="A498" s="27" t="n"/>
      <c r="B498" s="506" t="n"/>
      <c r="C498" s="141" t="n"/>
      <c r="D498" s="141" t="n"/>
      <c r="E498" s="141" t="n"/>
      <c r="F498" s="141" t="n"/>
      <c r="G498" s="143" t="n"/>
      <c r="H498" s="27" t="n"/>
    </row>
    <row r="499" ht="17.25" customHeight="1" s="322">
      <c r="A499" s="27" t="n"/>
      <c r="B499" s="506" t="n"/>
      <c r="C499" s="141" t="n"/>
      <c r="D499" s="141" t="n"/>
      <c r="E499" s="141" t="n"/>
      <c r="F499" s="141" t="n"/>
      <c r="G499" s="143" t="n"/>
      <c r="H499" s="27" t="n"/>
    </row>
    <row r="500" ht="17.25" customHeight="1" s="322">
      <c r="A500" s="27" t="n"/>
      <c r="B500" s="506" t="n"/>
      <c r="C500" s="141" t="n"/>
      <c r="D500" s="141" t="n"/>
      <c r="E500" s="141" t="n"/>
      <c r="F500" s="141" t="n"/>
      <c r="G500" s="143" t="n"/>
      <c r="H500" s="27" t="n"/>
    </row>
    <row r="501" ht="17.25" customHeight="1" s="322">
      <c r="A501" s="27" t="n"/>
      <c r="B501" s="506" t="n"/>
      <c r="C501" s="141" t="n"/>
      <c r="D501" s="141" t="n"/>
      <c r="E501" s="141" t="n"/>
      <c r="F501" s="141" t="n"/>
      <c r="G501" s="143" t="n"/>
      <c r="H501" s="27" t="n"/>
    </row>
    <row r="502" ht="17.25" customHeight="1" s="322">
      <c r="A502" s="27" t="n"/>
      <c r="B502" s="506" t="n"/>
      <c r="C502" s="141" t="n"/>
      <c r="D502" s="141" t="n"/>
      <c r="E502" s="141" t="n"/>
      <c r="F502" s="141" t="n"/>
      <c r="G502" s="143" t="n"/>
      <c r="H502" s="27" t="n"/>
    </row>
    <row r="503" ht="17.25" customHeight="1" s="322">
      <c r="A503" s="27" t="n"/>
      <c r="B503" s="506" t="n"/>
      <c r="C503" s="141" t="n"/>
      <c r="D503" s="141" t="n"/>
      <c r="E503" s="141" t="n"/>
      <c r="F503" s="141" t="n"/>
      <c r="G503" s="143" t="n"/>
      <c r="H503" s="27" t="n"/>
    </row>
    <row r="504" ht="17.25" customHeight="1" s="322">
      <c r="A504" s="27" t="n"/>
      <c r="B504" s="506" t="n"/>
      <c r="C504" s="141" t="n"/>
      <c r="D504" s="141" t="n"/>
      <c r="E504" s="141" t="n"/>
      <c r="F504" s="141" t="n"/>
      <c r="G504" s="143" t="n"/>
      <c r="H504" s="27" t="n"/>
    </row>
    <row r="505" ht="17.25" customHeight="1" s="322">
      <c r="A505" s="27" t="n"/>
      <c r="B505" s="506" t="n"/>
      <c r="C505" s="141" t="n"/>
      <c r="D505" s="141" t="n"/>
      <c r="E505" s="141" t="n"/>
      <c r="F505" s="141" t="n"/>
      <c r="G505" s="143" t="n"/>
      <c r="H505" s="27" t="n"/>
    </row>
    <row r="506" ht="17.25" customHeight="1" s="322">
      <c r="A506" s="27" t="n"/>
      <c r="B506" s="506" t="n"/>
      <c r="C506" s="141" t="n"/>
      <c r="D506" s="141" t="n"/>
      <c r="E506" s="141" t="n"/>
      <c r="F506" s="141" t="n"/>
      <c r="G506" s="143" t="n"/>
      <c r="H506" s="27" t="n"/>
    </row>
    <row r="507" ht="17.25" customHeight="1" s="322">
      <c r="A507" s="27" t="n"/>
      <c r="B507" s="506" t="n"/>
      <c r="C507" s="141" t="n"/>
      <c r="D507" s="141" t="n"/>
      <c r="E507" s="141" t="n"/>
      <c r="F507" s="141" t="n"/>
      <c r="G507" s="143" t="n"/>
      <c r="H507" s="27" t="n"/>
    </row>
    <row r="508" ht="17.25" customHeight="1" s="322">
      <c r="A508" s="27" t="n"/>
      <c r="B508" s="506" t="n"/>
      <c r="C508" s="141" t="n"/>
      <c r="D508" s="141" t="n"/>
      <c r="E508" s="141" t="n"/>
      <c r="F508" s="141" t="n"/>
      <c r="G508" s="143" t="n"/>
      <c r="H508" s="27" t="n"/>
    </row>
    <row r="509" ht="17.25" customHeight="1" s="322">
      <c r="A509" s="27" t="n"/>
      <c r="B509" s="506" t="n"/>
      <c r="C509" s="141" t="n"/>
      <c r="D509" s="141" t="n"/>
      <c r="E509" s="141" t="n"/>
      <c r="F509" s="141" t="n"/>
      <c r="G509" s="143" t="n"/>
      <c r="H509" s="27" t="n"/>
    </row>
    <row r="510" ht="17.25" customHeight="1" s="322">
      <c r="A510" s="27" t="n"/>
      <c r="B510" s="506" t="n"/>
      <c r="C510" s="141" t="n"/>
      <c r="D510" s="141" t="n"/>
      <c r="E510" s="141" t="n"/>
      <c r="F510" s="141" t="n"/>
      <c r="G510" s="143" t="n"/>
      <c r="H510" s="27" t="n"/>
    </row>
    <row r="511" ht="17.25" customHeight="1" s="322">
      <c r="A511" s="27" t="n"/>
      <c r="B511" s="506" t="n"/>
      <c r="C511" s="141" t="n"/>
      <c r="D511" s="141" t="n"/>
      <c r="E511" s="141" t="n"/>
      <c r="F511" s="141" t="n"/>
      <c r="G511" s="143" t="n"/>
      <c r="H511" s="27" t="n"/>
    </row>
    <row r="512" ht="17.25" customHeight="1" s="322">
      <c r="A512" s="27" t="n"/>
      <c r="B512" s="506" t="n"/>
      <c r="C512" s="141" t="n"/>
      <c r="D512" s="141" t="n"/>
      <c r="E512" s="141" t="n"/>
      <c r="F512" s="141" t="n"/>
      <c r="G512" s="143" t="n"/>
      <c r="H512" s="27" t="n"/>
    </row>
    <row r="513" ht="17.25" customHeight="1" s="322">
      <c r="A513" s="27" t="n"/>
      <c r="B513" s="506" t="n"/>
      <c r="C513" s="141" t="n"/>
      <c r="D513" s="141" t="n"/>
      <c r="E513" s="141" t="n"/>
      <c r="F513" s="141" t="n"/>
      <c r="G513" s="143" t="n"/>
      <c r="H513" s="27" t="n"/>
    </row>
    <row r="514" ht="17.25" customHeight="1" s="322">
      <c r="A514" s="27" t="n"/>
      <c r="B514" s="506" t="n"/>
      <c r="C514" s="141" t="n"/>
      <c r="D514" s="141" t="n"/>
      <c r="E514" s="141" t="n"/>
      <c r="F514" s="141" t="n"/>
      <c r="G514" s="143" t="n"/>
      <c r="H514" s="27" t="n"/>
    </row>
    <row r="515" ht="17.25" customHeight="1" s="322">
      <c r="A515" s="27" t="n"/>
      <c r="B515" s="506" t="n"/>
      <c r="C515" s="141" t="n"/>
      <c r="D515" s="141" t="n"/>
      <c r="E515" s="141" t="n"/>
      <c r="F515" s="141" t="n"/>
      <c r="G515" s="143" t="n"/>
      <c r="H515" s="27" t="n"/>
    </row>
    <row r="516" ht="17.25" customHeight="1" s="322">
      <c r="A516" s="27" t="n"/>
      <c r="B516" s="506" t="n"/>
      <c r="C516" s="141" t="n"/>
      <c r="D516" s="141" t="n"/>
      <c r="E516" s="141" t="n"/>
      <c r="F516" s="141" t="n"/>
      <c r="G516" s="143" t="n"/>
      <c r="H516" s="27" t="n"/>
    </row>
    <row r="517" ht="17.25" customHeight="1" s="322">
      <c r="A517" s="27" t="n"/>
      <c r="B517" s="506" t="n"/>
      <c r="C517" s="141" t="n"/>
      <c r="D517" s="141" t="n"/>
      <c r="E517" s="141" t="n"/>
      <c r="F517" s="141" t="n"/>
      <c r="G517" s="143" t="n"/>
      <c r="H517" s="27" t="n"/>
    </row>
    <row r="518" ht="17.25" customHeight="1" s="322">
      <c r="A518" s="27" t="n"/>
      <c r="B518" s="506" t="n"/>
      <c r="C518" s="141" t="n"/>
      <c r="D518" s="141" t="n"/>
      <c r="E518" s="141" t="n"/>
      <c r="F518" s="141" t="n"/>
      <c r="G518" s="143" t="n"/>
      <c r="H518" s="27" t="n"/>
    </row>
    <row r="519" ht="17.25" customHeight="1" s="322">
      <c r="A519" s="27" t="n"/>
      <c r="B519" s="506" t="n"/>
      <c r="C519" s="141" t="n"/>
      <c r="D519" s="141" t="n"/>
      <c r="E519" s="141" t="n"/>
      <c r="F519" s="141" t="n"/>
      <c r="G519" s="143" t="n"/>
      <c r="H519" s="27" t="n"/>
    </row>
    <row r="520" ht="17.25" customHeight="1" s="322">
      <c r="A520" s="27" t="n"/>
      <c r="B520" s="506" t="n"/>
      <c r="C520" s="141" t="n"/>
      <c r="D520" s="141" t="n"/>
      <c r="E520" s="141" t="n"/>
      <c r="F520" s="141" t="n"/>
      <c r="G520" s="143" t="n"/>
      <c r="H520" s="27" t="n"/>
    </row>
    <row r="521" ht="17.25" customHeight="1" s="322">
      <c r="A521" s="27" t="n"/>
      <c r="B521" s="506" t="n"/>
      <c r="C521" s="141" t="n"/>
      <c r="D521" s="141" t="n"/>
      <c r="E521" s="141" t="n"/>
      <c r="F521" s="141" t="n"/>
      <c r="G521" s="143" t="n"/>
      <c r="H521" s="27" t="n"/>
    </row>
    <row r="522" ht="17.25" customHeight="1" s="322">
      <c r="A522" s="27" t="n"/>
      <c r="B522" s="506" t="n"/>
      <c r="C522" s="141" t="n"/>
      <c r="D522" s="141" t="n"/>
      <c r="E522" s="141" t="n"/>
      <c r="F522" s="141" t="n"/>
      <c r="G522" s="143" t="n"/>
      <c r="H522" s="27" t="n"/>
    </row>
    <row r="523" ht="17.25" customHeight="1" s="322">
      <c r="A523" s="27" t="n"/>
      <c r="B523" s="506" t="n"/>
      <c r="C523" s="141" t="n"/>
      <c r="D523" s="141" t="n"/>
      <c r="E523" s="141" t="n"/>
      <c r="F523" s="141" t="n"/>
      <c r="G523" s="143" t="n"/>
      <c r="H523" s="27" t="n"/>
    </row>
    <row r="524" ht="17.25" customHeight="1" s="322">
      <c r="A524" s="27" t="n"/>
      <c r="B524" s="506" t="n"/>
      <c r="C524" s="141" t="n"/>
      <c r="D524" s="141" t="n"/>
      <c r="E524" s="141" t="n"/>
      <c r="F524" s="141" t="n"/>
      <c r="G524" s="143" t="n"/>
      <c r="H524" s="27" t="n"/>
    </row>
    <row r="525" ht="17.25" customHeight="1" s="322">
      <c r="A525" s="27" t="n"/>
      <c r="B525" s="506" t="n"/>
      <c r="C525" s="141" t="n"/>
      <c r="D525" s="141" t="n"/>
      <c r="E525" s="141" t="n"/>
      <c r="F525" s="141" t="n"/>
      <c r="G525" s="143" t="n"/>
      <c r="H525" s="27" t="n"/>
    </row>
    <row r="526" ht="17.25" customHeight="1" s="322">
      <c r="A526" s="27" t="n"/>
      <c r="B526" s="506" t="n"/>
      <c r="C526" s="141" t="n"/>
      <c r="D526" s="141" t="n"/>
      <c r="E526" s="141" t="n"/>
      <c r="F526" s="141" t="n"/>
      <c r="G526" s="143" t="n"/>
      <c r="H526" s="27" t="n"/>
    </row>
    <row r="527" ht="17.25" customHeight="1" s="322">
      <c r="A527" s="27" t="n"/>
      <c r="B527" s="506" t="n"/>
      <c r="C527" s="141" t="n"/>
      <c r="D527" s="141" t="n"/>
      <c r="E527" s="141" t="n"/>
      <c r="F527" s="141" t="n"/>
      <c r="G527" s="143" t="n"/>
      <c r="H527" s="27" t="n"/>
    </row>
    <row r="528" ht="17.25" customHeight="1" s="322">
      <c r="A528" s="27" t="n"/>
      <c r="B528" s="506" t="n"/>
      <c r="C528" s="141" t="n"/>
      <c r="D528" s="141" t="n"/>
      <c r="E528" s="141" t="n"/>
      <c r="F528" s="141" t="n"/>
      <c r="G528" s="143" t="n"/>
      <c r="H528" s="27" t="n"/>
    </row>
    <row r="529" ht="17.25" customHeight="1" s="322">
      <c r="A529" s="27" t="n"/>
      <c r="B529" s="506" t="n"/>
      <c r="C529" s="141" t="n"/>
      <c r="D529" s="141" t="n"/>
      <c r="E529" s="141" t="n"/>
      <c r="F529" s="141" t="n"/>
      <c r="G529" s="143" t="n"/>
      <c r="H529" s="27" t="n"/>
    </row>
    <row r="530" ht="17.25" customHeight="1" s="322">
      <c r="A530" s="27" t="n"/>
      <c r="B530" s="506" t="n"/>
      <c r="C530" s="141" t="n"/>
      <c r="D530" s="141" t="n"/>
      <c r="E530" s="141" t="n"/>
      <c r="F530" s="141" t="n"/>
      <c r="G530" s="143" t="n"/>
      <c r="H530" s="27" t="n"/>
    </row>
    <row r="531" ht="17.25" customHeight="1" s="322">
      <c r="A531" s="27" t="n"/>
      <c r="B531" s="506" t="n"/>
      <c r="C531" s="141" t="n"/>
      <c r="D531" s="141" t="n"/>
      <c r="E531" s="141" t="n"/>
      <c r="F531" s="141" t="n"/>
      <c r="G531" s="143" t="n"/>
      <c r="H531" s="27" t="n"/>
    </row>
    <row r="532" ht="17.25" customHeight="1" s="322">
      <c r="A532" s="27" t="n"/>
      <c r="B532" s="506" t="n"/>
      <c r="C532" s="141" t="n"/>
      <c r="D532" s="141" t="n"/>
      <c r="E532" s="141" t="n"/>
      <c r="F532" s="141" t="n"/>
      <c r="G532" s="143" t="n"/>
      <c r="H532" s="27" t="n"/>
    </row>
    <row r="533" ht="17.25" customHeight="1" s="322">
      <c r="A533" s="27" t="n"/>
      <c r="B533" s="506" t="n"/>
      <c r="C533" s="141" t="n"/>
      <c r="D533" s="141" t="n"/>
      <c r="E533" s="141" t="n"/>
      <c r="F533" s="141" t="n"/>
      <c r="G533" s="143" t="n"/>
      <c r="H533" s="27" t="n"/>
    </row>
    <row r="534" ht="17.25" customHeight="1" s="322">
      <c r="A534" s="27" t="n"/>
      <c r="B534" s="506" t="n"/>
      <c r="C534" s="141" t="n"/>
      <c r="D534" s="141" t="n"/>
      <c r="E534" s="141" t="n"/>
      <c r="F534" s="141" t="n"/>
      <c r="G534" s="143" t="n"/>
      <c r="H534" s="27" t="n"/>
    </row>
    <row r="535" ht="17.25" customHeight="1" s="322">
      <c r="A535" s="27" t="n"/>
      <c r="B535" s="506" t="n"/>
      <c r="C535" s="141" t="n"/>
      <c r="D535" s="141" t="n"/>
      <c r="E535" s="141" t="n"/>
      <c r="F535" s="141" t="n"/>
      <c r="G535" s="143" t="n"/>
      <c r="H535" s="27" t="n"/>
    </row>
    <row r="536" ht="17.25" customHeight="1" s="322">
      <c r="A536" s="27" t="n"/>
      <c r="B536" s="506" t="n"/>
      <c r="C536" s="141" t="n"/>
      <c r="D536" s="141" t="n"/>
      <c r="E536" s="141" t="n"/>
      <c r="F536" s="141" t="n"/>
      <c r="G536" s="143" t="n"/>
      <c r="H536" s="27" t="n"/>
    </row>
    <row r="537" ht="17.25" customHeight="1" s="322">
      <c r="A537" s="27" t="n"/>
      <c r="B537" s="506" t="n"/>
      <c r="C537" s="141" t="n"/>
      <c r="D537" s="141" t="n"/>
      <c r="E537" s="141" t="n"/>
      <c r="F537" s="141" t="n"/>
      <c r="G537" s="143" t="n"/>
      <c r="H537" s="27" t="n"/>
    </row>
    <row r="538" ht="17.25" customHeight="1" s="322">
      <c r="A538" s="27" t="n"/>
      <c r="B538" s="506" t="n"/>
      <c r="C538" s="141" t="n"/>
      <c r="D538" s="141" t="n"/>
      <c r="E538" s="141" t="n"/>
      <c r="F538" s="141" t="n"/>
      <c r="G538" s="143" t="n"/>
      <c r="H538" s="27" t="n"/>
    </row>
    <row r="539" ht="17.25" customHeight="1" s="322">
      <c r="A539" s="27" t="n"/>
      <c r="B539" s="506" t="n"/>
      <c r="C539" s="141" t="n"/>
      <c r="D539" s="141" t="n"/>
      <c r="E539" s="141" t="n"/>
      <c r="F539" s="141" t="n"/>
      <c r="G539" s="143" t="n"/>
      <c r="H539" s="27" t="n"/>
    </row>
    <row r="540" ht="17.25" customHeight="1" s="322">
      <c r="A540" s="27" t="n"/>
      <c r="B540" s="506" t="n"/>
      <c r="C540" s="141" t="n"/>
      <c r="D540" s="141" t="n"/>
      <c r="E540" s="141" t="n"/>
      <c r="F540" s="141" t="n"/>
      <c r="G540" s="143" t="n"/>
      <c r="H540" s="27" t="n"/>
    </row>
    <row r="541" ht="17.25" customHeight="1" s="322">
      <c r="A541" s="27" t="n"/>
      <c r="B541" s="506" t="n"/>
      <c r="C541" s="141" t="n"/>
      <c r="D541" s="141" t="n"/>
      <c r="E541" s="141" t="n"/>
      <c r="F541" s="141" t="n"/>
      <c r="G541" s="143" t="n"/>
      <c r="H541" s="27" t="n"/>
    </row>
    <row r="542" ht="17.25" customHeight="1" s="322">
      <c r="A542" s="27" t="n"/>
      <c r="B542" s="506" t="n"/>
      <c r="C542" s="141" t="n"/>
      <c r="D542" s="141" t="n"/>
      <c r="E542" s="141" t="n"/>
      <c r="F542" s="141" t="n"/>
      <c r="G542" s="143" t="n"/>
      <c r="H542" s="27" t="n"/>
    </row>
    <row r="543" ht="17.25" customHeight="1" s="322">
      <c r="A543" s="27" t="n"/>
      <c r="B543" s="506" t="n"/>
      <c r="C543" s="141" t="n"/>
      <c r="D543" s="141" t="n"/>
      <c r="E543" s="141" t="n"/>
      <c r="F543" s="141" t="n"/>
      <c r="G543" s="143" t="n"/>
      <c r="H543" s="27" t="n"/>
    </row>
    <row r="544" ht="17.25" customHeight="1" s="322">
      <c r="A544" s="27" t="n"/>
      <c r="B544" s="506" t="n"/>
      <c r="C544" s="141" t="n"/>
      <c r="D544" s="141" t="n"/>
      <c r="E544" s="141" t="n"/>
      <c r="F544" s="141" t="n"/>
      <c r="G544" s="143" t="n"/>
      <c r="H544" s="27" t="n"/>
    </row>
    <row r="545" ht="17.25" customHeight="1" s="322">
      <c r="A545" s="27" t="n"/>
      <c r="B545" s="506" t="n"/>
      <c r="C545" s="141" t="n"/>
      <c r="D545" s="141" t="n"/>
      <c r="E545" s="141" t="n"/>
      <c r="F545" s="141" t="n"/>
      <c r="G545" s="143" t="n"/>
      <c r="H545" s="27" t="n"/>
    </row>
    <row r="546" ht="17.25" customHeight="1" s="322">
      <c r="A546" s="27" t="n"/>
      <c r="B546" s="506" t="n"/>
      <c r="C546" s="141" t="n"/>
      <c r="D546" s="141" t="n"/>
      <c r="E546" s="141" t="n"/>
      <c r="F546" s="141" t="n"/>
      <c r="G546" s="143" t="n"/>
      <c r="H546" s="27" t="n"/>
    </row>
    <row r="547" ht="17.25" customHeight="1" s="322">
      <c r="A547" s="27" t="n"/>
      <c r="B547" s="506" t="n"/>
      <c r="C547" s="141" t="n"/>
      <c r="D547" s="141" t="n"/>
      <c r="E547" s="141" t="n"/>
      <c r="F547" s="141" t="n"/>
      <c r="G547" s="143" t="n"/>
      <c r="H547" s="27" t="n"/>
    </row>
    <row r="548" ht="17.25" customHeight="1" s="322">
      <c r="A548" s="27" t="n"/>
      <c r="B548" s="506" t="n"/>
      <c r="C548" s="141" t="n"/>
      <c r="D548" s="141" t="n"/>
      <c r="E548" s="141" t="n"/>
      <c r="F548" s="141" t="n"/>
      <c r="G548" s="143" t="n"/>
      <c r="H548" s="27" t="n"/>
    </row>
    <row r="549" ht="17.25" customHeight="1" s="322">
      <c r="A549" s="27" t="n"/>
      <c r="B549" s="506" t="n"/>
      <c r="C549" s="141" t="n"/>
      <c r="D549" s="141" t="n"/>
      <c r="E549" s="141" t="n"/>
      <c r="F549" s="141" t="n"/>
      <c r="G549" s="143" t="n"/>
      <c r="H549" s="27" t="n"/>
    </row>
    <row r="550" ht="17.25" customHeight="1" s="322">
      <c r="A550" s="27" t="n"/>
      <c r="B550" s="506" t="n"/>
      <c r="C550" s="141" t="n"/>
      <c r="D550" s="141" t="n"/>
      <c r="E550" s="141" t="n"/>
      <c r="F550" s="141" t="n"/>
      <c r="G550" s="143" t="n"/>
      <c r="H550" s="27" t="n"/>
    </row>
    <row r="551" ht="17.25" customHeight="1" s="322">
      <c r="A551" s="27" t="n"/>
      <c r="B551" s="506" t="n"/>
      <c r="C551" s="141" t="n"/>
      <c r="D551" s="141" t="n"/>
      <c r="E551" s="141" t="n"/>
      <c r="F551" s="141" t="n"/>
      <c r="G551" s="143" t="n"/>
      <c r="H551" s="27" t="n"/>
    </row>
    <row r="552" ht="17.25" customHeight="1" s="322">
      <c r="A552" s="27" t="n"/>
      <c r="B552" s="506" t="n"/>
      <c r="C552" s="141" t="n"/>
      <c r="D552" s="141" t="n"/>
      <c r="E552" s="141" t="n"/>
      <c r="F552" s="141" t="n"/>
      <c r="G552" s="143" t="n"/>
      <c r="H552" s="27" t="n"/>
    </row>
    <row r="553" ht="17.25" customHeight="1" s="322">
      <c r="A553" s="27" t="n"/>
      <c r="B553" s="506" t="n"/>
      <c r="C553" s="141" t="n"/>
      <c r="D553" s="141" t="n"/>
      <c r="E553" s="141" t="n"/>
      <c r="F553" s="141" t="n"/>
      <c r="G553" s="143" t="n"/>
      <c r="H553" s="27" t="n"/>
    </row>
    <row r="554" ht="17.25" customHeight="1" s="322">
      <c r="A554" s="27" t="n"/>
      <c r="B554" s="506" t="n"/>
      <c r="C554" s="141" t="n"/>
      <c r="D554" s="141" t="n"/>
      <c r="E554" s="141" t="n"/>
      <c r="F554" s="141" t="n"/>
      <c r="G554" s="143" t="n"/>
      <c r="H554" s="27" t="n"/>
    </row>
    <row r="555" ht="17.25" customHeight="1" s="322">
      <c r="A555" s="27" t="n"/>
      <c r="B555" s="506" t="n"/>
      <c r="C555" s="141" t="n"/>
      <c r="D555" s="141" t="n"/>
      <c r="E555" s="141" t="n"/>
      <c r="F555" s="141" t="n"/>
      <c r="G555" s="143" t="n"/>
      <c r="H555" s="27" t="n"/>
    </row>
    <row r="556" ht="17.25" customHeight="1" s="322">
      <c r="A556" s="27" t="n"/>
      <c r="B556" s="506" t="n"/>
      <c r="C556" s="141" t="n"/>
      <c r="D556" s="141" t="n"/>
      <c r="E556" s="141" t="n"/>
      <c r="F556" s="141" t="n"/>
      <c r="G556" s="143" t="n"/>
      <c r="H556" s="27" t="n"/>
    </row>
    <row r="557" ht="17.25" customHeight="1" s="322">
      <c r="A557" s="27" t="n"/>
      <c r="B557" s="506" t="n"/>
      <c r="C557" s="141" t="n"/>
      <c r="D557" s="141" t="n"/>
      <c r="E557" s="141" t="n"/>
      <c r="F557" s="141" t="n"/>
      <c r="G557" s="143" t="n"/>
      <c r="H557" s="27" t="n"/>
    </row>
    <row r="558" ht="17.25" customHeight="1" s="322">
      <c r="A558" s="27" t="n"/>
      <c r="B558" s="506" t="n"/>
      <c r="C558" s="141" t="n"/>
      <c r="D558" s="141" t="n"/>
      <c r="E558" s="141" t="n"/>
      <c r="F558" s="141" t="n"/>
      <c r="G558" s="143" t="n"/>
      <c r="H558" s="27" t="n"/>
    </row>
    <row r="559" ht="17.25" customHeight="1" s="322">
      <c r="A559" s="27" t="n"/>
      <c r="B559" s="506" t="n"/>
      <c r="C559" s="141" t="n"/>
      <c r="D559" s="141" t="n"/>
      <c r="E559" s="141" t="n"/>
      <c r="F559" s="141" t="n"/>
      <c r="G559" s="143" t="n"/>
      <c r="H559" s="27" t="n"/>
    </row>
    <row r="560" ht="17.25" customHeight="1" s="322">
      <c r="A560" s="27" t="n"/>
      <c r="B560" s="506" t="n"/>
      <c r="C560" s="141" t="n"/>
      <c r="D560" s="141" t="n"/>
      <c r="E560" s="141" t="n"/>
      <c r="F560" s="141" t="n"/>
      <c r="G560" s="143" t="n"/>
      <c r="H560" s="27" t="n"/>
    </row>
    <row r="561" ht="17.25" customHeight="1" s="322">
      <c r="A561" s="27" t="n"/>
      <c r="B561" s="506" t="n"/>
      <c r="C561" s="141" t="n"/>
      <c r="D561" s="141" t="n"/>
      <c r="E561" s="141" t="n"/>
      <c r="F561" s="141" t="n"/>
      <c r="G561" s="143" t="n"/>
      <c r="H561" s="27" t="n"/>
    </row>
    <row r="562" ht="17.25" customHeight="1" s="322">
      <c r="A562" s="27" t="n"/>
      <c r="B562" s="506" t="n"/>
      <c r="C562" s="141" t="n"/>
      <c r="D562" s="141" t="n"/>
      <c r="E562" s="141" t="n"/>
      <c r="F562" s="141" t="n"/>
      <c r="G562" s="143" t="n"/>
      <c r="H562" s="27" t="n"/>
    </row>
    <row r="563" ht="17.25" customHeight="1" s="322">
      <c r="A563" s="27" t="n"/>
      <c r="B563" s="506" t="n"/>
      <c r="C563" s="141" t="n"/>
      <c r="D563" s="141" t="n"/>
      <c r="E563" s="141" t="n"/>
      <c r="F563" s="141" t="n"/>
      <c r="G563" s="143" t="n"/>
      <c r="H563" s="27" t="n"/>
    </row>
    <row r="564" ht="17.25" customHeight="1" s="322">
      <c r="A564" s="27" t="n"/>
      <c r="B564" s="506" t="n"/>
      <c r="C564" s="141" t="n"/>
      <c r="D564" s="141" t="n"/>
      <c r="E564" s="141" t="n"/>
      <c r="F564" s="141" t="n"/>
      <c r="G564" s="143" t="n"/>
      <c r="H564" s="27" t="n"/>
    </row>
    <row r="565" ht="17.25" customHeight="1" s="322">
      <c r="A565" s="27" t="n"/>
      <c r="B565" s="506" t="n"/>
      <c r="C565" s="141" t="n"/>
      <c r="D565" s="141" t="n"/>
      <c r="E565" s="141" t="n"/>
      <c r="F565" s="141" t="n"/>
      <c r="G565" s="143" t="n"/>
      <c r="H565" s="27" t="n"/>
    </row>
    <row r="566" ht="17.25" customHeight="1" s="322">
      <c r="A566" s="27" t="n"/>
      <c r="B566" s="506" t="n"/>
      <c r="C566" s="141" t="n"/>
      <c r="D566" s="141" t="n"/>
      <c r="E566" s="141" t="n"/>
      <c r="F566" s="141" t="n"/>
      <c r="G566" s="143" t="n"/>
      <c r="H566" s="27" t="n"/>
    </row>
    <row r="567" ht="17.25" customHeight="1" s="322">
      <c r="A567" s="27" t="n"/>
      <c r="B567" s="506" t="n"/>
      <c r="C567" s="141" t="n"/>
      <c r="D567" s="141" t="n"/>
      <c r="E567" s="141" t="n"/>
      <c r="F567" s="141" t="n"/>
      <c r="G567" s="143" t="n"/>
      <c r="H567" s="27" t="n"/>
    </row>
    <row r="568" ht="17.25" customHeight="1" s="322">
      <c r="A568" s="27" t="n"/>
      <c r="B568" s="506" t="n"/>
      <c r="C568" s="141" t="n"/>
      <c r="D568" s="141" t="n"/>
      <c r="E568" s="141" t="n"/>
      <c r="F568" s="141" t="n"/>
      <c r="G568" s="143" t="n"/>
      <c r="H568" s="27" t="n"/>
    </row>
    <row r="569" ht="17.25" customHeight="1" s="322">
      <c r="A569" s="27" t="n"/>
      <c r="B569" s="506" t="n"/>
      <c r="C569" s="141" t="n"/>
      <c r="D569" s="141" t="n"/>
      <c r="E569" s="141" t="n"/>
      <c r="F569" s="141" t="n"/>
      <c r="G569" s="143" t="n"/>
      <c r="H569" s="27" t="n"/>
    </row>
    <row r="570" ht="17.25" customHeight="1" s="322">
      <c r="A570" s="27" t="n"/>
      <c r="B570" s="506" t="n"/>
      <c r="C570" s="141" t="n"/>
      <c r="D570" s="141" t="n"/>
      <c r="E570" s="141" t="n"/>
      <c r="F570" s="141" t="n"/>
      <c r="G570" s="143" t="n"/>
      <c r="H570" s="27" t="n"/>
    </row>
    <row r="571" ht="17.25" customHeight="1" s="322">
      <c r="A571" s="27" t="n"/>
      <c r="B571" s="506" t="n"/>
      <c r="C571" s="141" t="n"/>
      <c r="D571" s="141" t="n"/>
      <c r="E571" s="141" t="n"/>
      <c r="F571" s="141" t="n"/>
      <c r="G571" s="143" t="n"/>
      <c r="H571" s="27" t="n"/>
    </row>
    <row r="572" ht="17.25" customHeight="1" s="322">
      <c r="A572" s="27" t="n"/>
      <c r="B572" s="506" t="n"/>
      <c r="C572" s="141" t="n"/>
      <c r="D572" s="141" t="n"/>
      <c r="E572" s="141" t="n"/>
      <c r="F572" s="141" t="n"/>
      <c r="G572" s="143" t="n"/>
      <c r="H572" s="27" t="n"/>
    </row>
    <row r="573" ht="17.25" customHeight="1" s="322">
      <c r="A573" s="27" t="n"/>
      <c r="B573" s="506" t="n"/>
      <c r="C573" s="141" t="n"/>
      <c r="D573" s="141" t="n"/>
      <c r="E573" s="141" t="n"/>
      <c r="F573" s="141" t="n"/>
      <c r="G573" s="143" t="n"/>
      <c r="H573" s="27" t="n"/>
    </row>
    <row r="574" ht="17.25" customHeight="1" s="322">
      <c r="A574" s="27" t="n"/>
      <c r="B574" s="506" t="n"/>
      <c r="C574" s="141" t="n"/>
      <c r="D574" s="141" t="n"/>
      <c r="E574" s="141" t="n"/>
      <c r="F574" s="141" t="n"/>
      <c r="G574" s="143" t="n"/>
      <c r="H574" s="27" t="n"/>
    </row>
    <row r="575" ht="17.25" customHeight="1" s="322">
      <c r="A575" s="27" t="n"/>
      <c r="B575" s="506" t="n"/>
      <c r="C575" s="141" t="n"/>
      <c r="D575" s="141" t="n"/>
      <c r="E575" s="141" t="n"/>
      <c r="F575" s="141" t="n"/>
      <c r="G575" s="143" t="n"/>
      <c r="H575" s="27" t="n"/>
    </row>
    <row r="576" ht="17.25" customHeight="1" s="322">
      <c r="A576" s="27" t="n"/>
      <c r="B576" s="506" t="n"/>
      <c r="C576" s="141" t="n"/>
      <c r="D576" s="141" t="n"/>
      <c r="E576" s="141" t="n"/>
      <c r="F576" s="141" t="n"/>
      <c r="G576" s="143" t="n"/>
      <c r="H576" s="27" t="n"/>
    </row>
    <row r="577" ht="17.25" customHeight="1" s="322">
      <c r="A577" s="27" t="n"/>
      <c r="B577" s="506" t="n"/>
      <c r="C577" s="141" t="n"/>
      <c r="D577" s="141" t="n"/>
      <c r="E577" s="141" t="n"/>
      <c r="F577" s="141" t="n"/>
      <c r="G577" s="143" t="n"/>
      <c r="H577" s="27" t="n"/>
    </row>
    <row r="578" ht="17.25" customHeight="1" s="322">
      <c r="A578" s="27" t="n"/>
      <c r="B578" s="506" t="n"/>
      <c r="C578" s="141" t="n"/>
      <c r="D578" s="141" t="n"/>
      <c r="E578" s="141" t="n"/>
      <c r="F578" s="141" t="n"/>
      <c r="G578" s="143" t="n"/>
      <c r="H578" s="27" t="n"/>
    </row>
    <row r="579" ht="17.25" customHeight="1" s="322">
      <c r="A579" s="27" t="n"/>
      <c r="B579" s="506" t="n"/>
      <c r="C579" s="141" t="n"/>
      <c r="D579" s="141" t="n"/>
      <c r="E579" s="141" t="n"/>
      <c r="F579" s="141" t="n"/>
      <c r="G579" s="143" t="n"/>
      <c r="H579" s="27" t="n"/>
    </row>
    <row r="580" ht="17.25" customHeight="1" s="322">
      <c r="A580" s="27" t="n"/>
      <c r="B580" s="506" t="n"/>
      <c r="C580" s="141" t="n"/>
      <c r="D580" s="141" t="n"/>
      <c r="E580" s="141" t="n"/>
      <c r="F580" s="141" t="n"/>
      <c r="G580" s="143" t="n"/>
      <c r="H580" s="27" t="n"/>
    </row>
    <row r="581" ht="17.25" customHeight="1" s="322">
      <c r="A581" s="27" t="n"/>
      <c r="B581" s="506" t="n"/>
      <c r="C581" s="141" t="n"/>
      <c r="D581" s="141" t="n"/>
      <c r="E581" s="141" t="n"/>
      <c r="F581" s="141" t="n"/>
      <c r="G581" s="143" t="n"/>
      <c r="H581" s="27" t="n"/>
    </row>
    <row r="582" ht="17.25" customHeight="1" s="322">
      <c r="A582" s="27" t="n"/>
      <c r="B582" s="506" t="n"/>
      <c r="C582" s="141" t="n"/>
      <c r="D582" s="141" t="n"/>
      <c r="E582" s="141" t="n"/>
      <c r="F582" s="141" t="n"/>
      <c r="G582" s="143" t="n"/>
      <c r="H582" s="27" t="n"/>
    </row>
    <row r="583" ht="17.25" customHeight="1" s="322">
      <c r="A583" s="27" t="n"/>
      <c r="B583" s="506" t="n"/>
      <c r="C583" s="141" t="n"/>
      <c r="D583" s="141" t="n"/>
      <c r="E583" s="141" t="n"/>
      <c r="F583" s="141" t="n"/>
      <c r="G583" s="143" t="n"/>
      <c r="H583" s="27" t="n"/>
    </row>
    <row r="584" ht="17.25" customHeight="1" s="322">
      <c r="A584" s="27" t="n"/>
      <c r="B584" s="506" t="n"/>
      <c r="C584" s="141" t="n"/>
      <c r="D584" s="141" t="n"/>
      <c r="E584" s="141" t="n"/>
      <c r="F584" s="141" t="n"/>
      <c r="G584" s="143" t="n"/>
      <c r="H584" s="27" t="n"/>
    </row>
    <row r="585" ht="17.25" customHeight="1" s="322">
      <c r="A585" s="27" t="n"/>
      <c r="B585" s="506" t="n"/>
      <c r="C585" s="141" t="n"/>
      <c r="D585" s="141" t="n"/>
      <c r="E585" s="141" t="n"/>
      <c r="F585" s="141" t="n"/>
      <c r="G585" s="143" t="n"/>
      <c r="H585" s="27" t="n"/>
    </row>
    <row r="586" ht="17.25" customHeight="1" s="322">
      <c r="A586" s="27" t="n"/>
      <c r="B586" s="506" t="n"/>
      <c r="C586" s="141" t="n"/>
      <c r="D586" s="141" t="n"/>
      <c r="E586" s="141" t="n"/>
      <c r="F586" s="141" t="n"/>
      <c r="G586" s="143" t="n"/>
      <c r="H586" s="27" t="n"/>
    </row>
    <row r="587" ht="17.25" customHeight="1" s="322">
      <c r="A587" s="27" t="n"/>
      <c r="B587" s="506" t="n"/>
      <c r="C587" s="141" t="n"/>
      <c r="D587" s="141" t="n"/>
      <c r="E587" s="141" t="n"/>
      <c r="F587" s="141" t="n"/>
      <c r="G587" s="143" t="n"/>
      <c r="H587" s="27" t="n"/>
    </row>
    <row r="588" ht="17.25" customHeight="1" s="322">
      <c r="A588" s="27" t="n"/>
      <c r="B588" s="506" t="n"/>
      <c r="C588" s="141" t="n"/>
      <c r="D588" s="141" t="n"/>
      <c r="E588" s="141" t="n"/>
      <c r="F588" s="141" t="n"/>
      <c r="G588" s="143" t="n"/>
      <c r="H588" s="27" t="n"/>
    </row>
    <row r="589" ht="17.25" customHeight="1" s="322">
      <c r="A589" s="27" t="n"/>
      <c r="B589" s="506" t="n"/>
      <c r="C589" s="141" t="n"/>
      <c r="D589" s="141" t="n"/>
      <c r="E589" s="141" t="n"/>
      <c r="F589" s="141" t="n"/>
      <c r="G589" s="143" t="n"/>
      <c r="H589" s="27" t="n"/>
    </row>
    <row r="590" ht="17.25" customHeight="1" s="322">
      <c r="A590" s="27" t="n"/>
      <c r="B590" s="506" t="n"/>
      <c r="C590" s="141" t="n"/>
      <c r="D590" s="141" t="n"/>
      <c r="E590" s="141" t="n"/>
      <c r="F590" s="141" t="n"/>
      <c r="G590" s="143" t="n"/>
      <c r="H590" s="27" t="n"/>
    </row>
    <row r="591" ht="17.25" customHeight="1" s="322">
      <c r="A591" s="27" t="n"/>
      <c r="B591" s="506" t="n"/>
      <c r="C591" s="141" t="n"/>
      <c r="D591" s="141" t="n"/>
      <c r="E591" s="141" t="n"/>
      <c r="F591" s="141" t="n"/>
      <c r="G591" s="143" t="n"/>
      <c r="H591" s="27" t="n"/>
    </row>
    <row r="592" ht="17.25" customHeight="1" s="322">
      <c r="A592" s="27" t="n"/>
      <c r="B592" s="506" t="n"/>
      <c r="C592" s="141" t="n"/>
      <c r="D592" s="141" t="n"/>
      <c r="E592" s="141" t="n"/>
      <c r="F592" s="141" t="n"/>
      <c r="G592" s="143" t="n"/>
      <c r="H592" s="27" t="n"/>
    </row>
    <row r="593" ht="17.25" customHeight="1" s="322">
      <c r="A593" s="27" t="n"/>
      <c r="B593" s="506" t="n"/>
      <c r="C593" s="141" t="n"/>
      <c r="D593" s="141" t="n"/>
      <c r="E593" s="141" t="n"/>
      <c r="F593" s="141" t="n"/>
      <c r="G593" s="143" t="n"/>
      <c r="H593" s="27" t="n"/>
    </row>
    <row r="594" ht="17.25" customHeight="1" s="322">
      <c r="A594" s="27" t="n"/>
      <c r="B594" s="506" t="n"/>
      <c r="C594" s="141" t="n"/>
      <c r="D594" s="141" t="n"/>
      <c r="E594" s="141" t="n"/>
      <c r="F594" s="141" t="n"/>
      <c r="G594" s="143" t="n"/>
      <c r="H594" s="27" t="n"/>
    </row>
    <row r="595" ht="17.25" customHeight="1" s="322">
      <c r="A595" s="27" t="n"/>
      <c r="B595" s="506" t="n"/>
      <c r="C595" s="141" t="n"/>
      <c r="D595" s="141" t="n"/>
      <c r="E595" s="141" t="n"/>
      <c r="F595" s="141" t="n"/>
      <c r="G595" s="143" t="n"/>
      <c r="H595" s="27" t="n"/>
    </row>
    <row r="596" ht="17.25" customHeight="1" s="322">
      <c r="A596" s="27" t="n"/>
      <c r="B596" s="506" t="n"/>
      <c r="C596" s="141" t="n"/>
      <c r="D596" s="141" t="n"/>
      <c r="E596" s="141" t="n"/>
      <c r="F596" s="141" t="n"/>
      <c r="G596" s="143" t="n"/>
      <c r="H596" s="27" t="n"/>
    </row>
    <row r="597" ht="17.25" customHeight="1" s="322">
      <c r="A597" s="27" t="n"/>
      <c r="B597" s="506" t="n"/>
      <c r="C597" s="141" t="n"/>
      <c r="D597" s="141" t="n"/>
      <c r="E597" s="141" t="n"/>
      <c r="F597" s="141" t="n"/>
      <c r="G597" s="143" t="n"/>
      <c r="H597" s="27" t="n"/>
    </row>
    <row r="598" ht="17.25" customHeight="1" s="322">
      <c r="A598" s="27" t="n"/>
      <c r="B598" s="506" t="n"/>
      <c r="C598" s="141" t="n"/>
      <c r="D598" s="141" t="n"/>
      <c r="E598" s="141" t="n"/>
      <c r="F598" s="141" t="n"/>
      <c r="G598" s="143" t="n"/>
      <c r="H598" s="27" t="n"/>
    </row>
    <row r="599" ht="17.25" customHeight="1" s="322">
      <c r="A599" s="27" t="n"/>
      <c r="B599" s="506" t="n"/>
      <c r="C599" s="141" t="n"/>
      <c r="D599" s="141" t="n"/>
      <c r="E599" s="141" t="n"/>
      <c r="F599" s="141" t="n"/>
      <c r="G599" s="143" t="n"/>
      <c r="H599" s="27" t="n"/>
    </row>
    <row r="600" ht="17.25" customHeight="1" s="322">
      <c r="A600" s="27" t="n"/>
      <c r="B600" s="506" t="n"/>
      <c r="C600" s="141" t="n"/>
      <c r="D600" s="141" t="n"/>
      <c r="E600" s="141" t="n"/>
      <c r="F600" s="141" t="n"/>
      <c r="G600" s="143" t="n"/>
      <c r="H600" s="27" t="n"/>
    </row>
    <row r="601" ht="17.25" customHeight="1" s="322">
      <c r="A601" s="27" t="n"/>
      <c r="B601" s="506" t="n"/>
      <c r="C601" s="141" t="n"/>
      <c r="D601" s="141" t="n"/>
      <c r="E601" s="141" t="n"/>
      <c r="F601" s="141" t="n"/>
      <c r="G601" s="143" t="n"/>
      <c r="H601" s="27" t="n"/>
    </row>
    <row r="602" ht="17.25" customHeight="1" s="322">
      <c r="A602" s="27" t="n"/>
      <c r="B602" s="506" t="n"/>
      <c r="C602" s="141" t="n"/>
      <c r="D602" s="141" t="n"/>
      <c r="E602" s="141" t="n"/>
      <c r="F602" s="141" t="n"/>
      <c r="G602" s="143" t="n"/>
      <c r="H602" s="27" t="n"/>
    </row>
    <row r="603" ht="17.25" customHeight="1" s="322">
      <c r="A603" s="27" t="n"/>
      <c r="B603" s="506" t="n"/>
      <c r="C603" s="141" t="n"/>
      <c r="D603" s="141" t="n"/>
      <c r="E603" s="141" t="n"/>
      <c r="F603" s="141" t="n"/>
      <c r="G603" s="143" t="n"/>
      <c r="H603" s="27" t="n"/>
    </row>
    <row r="604" ht="17.25" customHeight="1" s="322">
      <c r="A604" s="27" t="n"/>
      <c r="B604" s="506" t="n"/>
      <c r="C604" s="141" t="n"/>
      <c r="D604" s="141" t="n"/>
      <c r="E604" s="141" t="n"/>
      <c r="F604" s="141" t="n"/>
      <c r="G604" s="143" t="n"/>
      <c r="H604" s="27" t="n"/>
    </row>
    <row r="605" ht="17.25" customHeight="1" s="322">
      <c r="A605" s="27" t="n"/>
      <c r="B605" s="506" t="n"/>
      <c r="C605" s="141" t="n"/>
      <c r="D605" s="141" t="n"/>
      <c r="E605" s="141" t="n"/>
      <c r="F605" s="141" t="n"/>
      <c r="G605" s="143" t="n"/>
      <c r="H605" s="27" t="n"/>
    </row>
    <row r="606" ht="17.25" customHeight="1" s="322">
      <c r="A606" s="27" t="n"/>
      <c r="B606" s="506" t="n"/>
      <c r="C606" s="141" t="n"/>
      <c r="D606" s="141" t="n"/>
      <c r="E606" s="141" t="n"/>
      <c r="F606" s="141" t="n"/>
      <c r="G606" s="143" t="n"/>
      <c r="H606" s="27" t="n"/>
    </row>
    <row r="607" ht="17.25" customHeight="1" s="322">
      <c r="A607" s="27" t="n"/>
      <c r="B607" s="506" t="n"/>
      <c r="C607" s="141" t="n"/>
      <c r="D607" s="141" t="n"/>
      <c r="E607" s="141" t="n"/>
      <c r="F607" s="141" t="n"/>
      <c r="G607" s="143" t="n"/>
      <c r="H607" s="27" t="n"/>
    </row>
    <row r="608" ht="17.25" customHeight="1" s="322">
      <c r="A608" s="27" t="n"/>
      <c r="B608" s="506" t="n"/>
      <c r="C608" s="141" t="n"/>
      <c r="D608" s="141" t="n"/>
      <c r="E608" s="141" t="n"/>
      <c r="F608" s="141" t="n"/>
      <c r="G608" s="143" t="n"/>
      <c r="H608" s="27" t="n"/>
    </row>
    <row r="609" ht="17.25" customHeight="1" s="322">
      <c r="A609" s="27" t="n"/>
      <c r="B609" s="506" t="n"/>
      <c r="C609" s="141" t="n"/>
      <c r="D609" s="141" t="n"/>
      <c r="E609" s="141" t="n"/>
      <c r="F609" s="141" t="n"/>
      <c r="G609" s="143" t="n"/>
      <c r="H609" s="27" t="n"/>
    </row>
    <row r="610" ht="17.25" customHeight="1" s="322">
      <c r="A610" s="27" t="n"/>
      <c r="B610" s="506" t="n"/>
      <c r="C610" s="141" t="n"/>
      <c r="D610" s="141" t="n"/>
      <c r="E610" s="141" t="n"/>
      <c r="F610" s="141" t="n"/>
      <c r="G610" s="143" t="n"/>
      <c r="H610" s="27" t="n"/>
    </row>
    <row r="611" ht="17.25" customHeight="1" s="322">
      <c r="A611" s="27" t="n"/>
      <c r="B611" s="506" t="n"/>
      <c r="C611" s="141" t="n"/>
      <c r="D611" s="141" t="n"/>
      <c r="E611" s="141" t="n"/>
      <c r="F611" s="141" t="n"/>
      <c r="G611" s="143" t="n"/>
      <c r="H611" s="27" t="n"/>
    </row>
    <row r="612" ht="17.25" customHeight="1" s="322">
      <c r="A612" s="27" t="n"/>
      <c r="B612" s="506" t="n"/>
      <c r="C612" s="141" t="n"/>
      <c r="D612" s="141" t="n"/>
      <c r="E612" s="141" t="n"/>
      <c r="F612" s="141" t="n"/>
      <c r="G612" s="143" t="n"/>
      <c r="H612" s="27" t="n"/>
    </row>
    <row r="613" ht="17.25" customHeight="1" s="322">
      <c r="A613" s="27" t="n"/>
      <c r="B613" s="506" t="n"/>
      <c r="C613" s="141" t="n"/>
      <c r="D613" s="141" t="n"/>
      <c r="E613" s="141" t="n"/>
      <c r="F613" s="141" t="n"/>
      <c r="G613" s="143" t="n"/>
      <c r="H613" s="27" t="n"/>
    </row>
    <row r="614" ht="17.25" customHeight="1" s="322">
      <c r="A614" s="27" t="n"/>
      <c r="B614" s="506" t="n"/>
      <c r="C614" s="141" t="n"/>
      <c r="D614" s="141" t="n"/>
      <c r="E614" s="141" t="n"/>
      <c r="F614" s="141" t="n"/>
      <c r="G614" s="143" t="n"/>
      <c r="H614" s="27" t="n"/>
    </row>
    <row r="615" ht="17.25" customHeight="1" s="322">
      <c r="A615" s="27" t="n"/>
      <c r="B615" s="506" t="n"/>
      <c r="C615" s="141" t="n"/>
      <c r="D615" s="141" t="n"/>
      <c r="E615" s="141" t="n"/>
      <c r="F615" s="141" t="n"/>
      <c r="G615" s="143" t="n"/>
      <c r="H615" s="27" t="n"/>
    </row>
    <row r="616" ht="17.25" customHeight="1" s="322">
      <c r="A616" s="27" t="n"/>
      <c r="B616" s="506" t="n"/>
      <c r="C616" s="141" t="n"/>
      <c r="D616" s="141" t="n"/>
      <c r="E616" s="141" t="n"/>
      <c r="F616" s="141" t="n"/>
      <c r="G616" s="143" t="n"/>
      <c r="H616" s="27" t="n"/>
    </row>
    <row r="617" ht="17.25" customHeight="1" s="322">
      <c r="A617" s="27" t="n"/>
      <c r="B617" s="506" t="n"/>
      <c r="C617" s="141" t="n"/>
      <c r="D617" s="141" t="n"/>
      <c r="E617" s="141" t="n"/>
      <c r="F617" s="141" t="n"/>
      <c r="G617" s="143" t="n"/>
      <c r="H617" s="27" t="n"/>
    </row>
    <row r="618" ht="17.25" customHeight="1" s="322">
      <c r="A618" s="27" t="n"/>
      <c r="B618" s="506" t="n"/>
      <c r="C618" s="141" t="n"/>
      <c r="D618" s="141" t="n"/>
      <c r="E618" s="141" t="n"/>
      <c r="F618" s="141" t="n"/>
      <c r="G618" s="143" t="n"/>
      <c r="H618" s="27" t="n"/>
    </row>
    <row r="619" ht="17.25" customHeight="1" s="322">
      <c r="A619" s="27" t="n"/>
      <c r="B619" s="506" t="n"/>
      <c r="C619" s="141" t="n"/>
      <c r="D619" s="141" t="n"/>
      <c r="E619" s="141" t="n"/>
      <c r="F619" s="141" t="n"/>
      <c r="G619" s="143" t="n"/>
      <c r="H619" s="27" t="n"/>
    </row>
    <row r="620" ht="17.25" customHeight="1" s="322">
      <c r="A620" s="27" t="n"/>
      <c r="B620" s="506" t="n"/>
      <c r="C620" s="141" t="n"/>
      <c r="D620" s="141" t="n"/>
      <c r="E620" s="141" t="n"/>
      <c r="F620" s="141" t="n"/>
      <c r="G620" s="143" t="n"/>
      <c r="H620" s="27" t="n"/>
    </row>
    <row r="621" ht="17.25" customHeight="1" s="322">
      <c r="A621" s="27" t="n"/>
      <c r="B621" s="506" t="n"/>
      <c r="C621" s="141" t="n"/>
      <c r="D621" s="141" t="n"/>
      <c r="E621" s="141" t="n"/>
      <c r="F621" s="141" t="n"/>
      <c r="G621" s="143" t="n"/>
      <c r="H621" s="27" t="n"/>
    </row>
    <row r="622" ht="17.25" customHeight="1" s="322">
      <c r="A622" s="27" t="n"/>
      <c r="B622" s="506" t="n"/>
      <c r="C622" s="141" t="n"/>
      <c r="D622" s="141" t="n"/>
      <c r="E622" s="141" t="n"/>
      <c r="F622" s="141" t="n"/>
      <c r="G622" s="143" t="n"/>
      <c r="H622" s="27" t="n"/>
    </row>
    <row r="623" ht="17.25" customHeight="1" s="322">
      <c r="A623" s="27" t="n"/>
      <c r="B623" s="506" t="n"/>
      <c r="C623" s="141" t="n"/>
      <c r="D623" s="141" t="n"/>
      <c r="E623" s="141" t="n"/>
      <c r="F623" s="141" t="n"/>
      <c r="G623" s="143" t="n"/>
      <c r="H623" s="27" t="n"/>
    </row>
    <row r="624" ht="17.25" customHeight="1" s="322">
      <c r="A624" s="27" t="n"/>
      <c r="B624" s="506" t="n"/>
      <c r="C624" s="141" t="n"/>
      <c r="D624" s="141" t="n"/>
      <c r="E624" s="141" t="n"/>
      <c r="F624" s="141" t="n"/>
      <c r="G624" s="143" t="n"/>
      <c r="H624" s="27" t="n"/>
    </row>
    <row r="625" ht="17.25" customHeight="1" s="322">
      <c r="A625" s="27" t="n"/>
      <c r="B625" s="506" t="n"/>
      <c r="C625" s="141" t="n"/>
      <c r="D625" s="141" t="n"/>
      <c r="E625" s="141" t="n"/>
      <c r="F625" s="141" t="n"/>
      <c r="G625" s="143" t="n"/>
      <c r="H625" s="27" t="n"/>
    </row>
    <row r="626" ht="17.25" customHeight="1" s="322">
      <c r="A626" s="27" t="n"/>
      <c r="B626" s="506" t="n"/>
      <c r="C626" s="141" t="n"/>
      <c r="D626" s="141" t="n"/>
      <c r="E626" s="141" t="n"/>
      <c r="F626" s="141" t="n"/>
      <c r="G626" s="143" t="n"/>
      <c r="H626" s="27" t="n"/>
    </row>
    <row r="627" ht="17.25" customHeight="1" s="322">
      <c r="A627" s="27" t="n"/>
      <c r="B627" s="506" t="n"/>
      <c r="C627" s="141" t="n"/>
      <c r="D627" s="141" t="n"/>
      <c r="E627" s="141" t="n"/>
      <c r="F627" s="141" t="n"/>
      <c r="G627" s="143" t="n"/>
      <c r="H627" s="27" t="n"/>
    </row>
    <row r="628" ht="17.25" customHeight="1" s="322">
      <c r="A628" s="27" t="n"/>
      <c r="B628" s="506" t="n"/>
      <c r="C628" s="141" t="n"/>
      <c r="D628" s="141" t="n"/>
      <c r="E628" s="141" t="n"/>
      <c r="F628" s="141" t="n"/>
      <c r="G628" s="143" t="n"/>
      <c r="H628" s="27" t="n"/>
    </row>
    <row r="629" ht="17.25" customHeight="1" s="322">
      <c r="A629" s="27" t="n"/>
      <c r="B629" s="506" t="n"/>
      <c r="C629" s="141" t="n"/>
      <c r="D629" s="141" t="n"/>
      <c r="E629" s="141" t="n"/>
      <c r="F629" s="141" t="n"/>
      <c r="G629" s="143" t="n"/>
      <c r="H629" s="27" t="n"/>
    </row>
    <row r="630" ht="17.25" customHeight="1" s="322">
      <c r="A630" s="27" t="n"/>
      <c r="B630" s="506" t="n"/>
      <c r="C630" s="141" t="n"/>
      <c r="D630" s="141" t="n"/>
      <c r="E630" s="141" t="n"/>
      <c r="F630" s="141" t="n"/>
      <c r="G630" s="143" t="n"/>
      <c r="H630" s="27" t="n"/>
    </row>
    <row r="631" ht="17.25" customHeight="1" s="322">
      <c r="A631" s="27" t="n"/>
      <c r="B631" s="506" t="n"/>
      <c r="C631" s="141" t="n"/>
      <c r="D631" s="141" t="n"/>
      <c r="E631" s="141" t="n"/>
      <c r="F631" s="141" t="n"/>
      <c r="G631" s="143" t="n"/>
      <c r="H631" s="27" t="n"/>
    </row>
    <row r="632" ht="17.25" customHeight="1" s="322">
      <c r="A632" s="27" t="n"/>
      <c r="B632" s="506" t="n"/>
      <c r="C632" s="141" t="n"/>
      <c r="D632" s="141" t="n"/>
      <c r="E632" s="141" t="n"/>
      <c r="F632" s="141" t="n"/>
      <c r="G632" s="143" t="n"/>
      <c r="H632" s="27" t="n"/>
    </row>
    <row r="633" ht="17.25" customHeight="1" s="322">
      <c r="A633" s="27" t="n"/>
      <c r="B633" s="506" t="n"/>
      <c r="C633" s="141" t="n"/>
      <c r="D633" s="141" t="n"/>
      <c r="E633" s="141" t="n"/>
      <c r="F633" s="141" t="n"/>
      <c r="G633" s="143" t="n"/>
      <c r="H633" s="27" t="n"/>
    </row>
    <row r="634" ht="17.25" customHeight="1" s="322">
      <c r="A634" s="27" t="n"/>
      <c r="B634" s="506" t="n"/>
      <c r="C634" s="141" t="n"/>
      <c r="D634" s="141" t="n"/>
      <c r="E634" s="141" t="n"/>
      <c r="F634" s="141" t="n"/>
      <c r="G634" s="143" t="n"/>
      <c r="H634" s="27" t="n"/>
    </row>
    <row r="635" ht="17.25" customHeight="1" s="322">
      <c r="A635" s="27" t="n"/>
      <c r="B635" s="506" t="n"/>
      <c r="C635" s="141" t="n"/>
      <c r="D635" s="141" t="n"/>
      <c r="E635" s="141" t="n"/>
      <c r="F635" s="141" t="n"/>
      <c r="G635" s="143" t="n"/>
      <c r="H635" s="27" t="n"/>
    </row>
    <row r="636" ht="17.25" customHeight="1" s="322">
      <c r="A636" s="27" t="n"/>
      <c r="B636" s="506" t="n"/>
      <c r="C636" s="141" t="n"/>
      <c r="D636" s="141" t="n"/>
      <c r="E636" s="141" t="n"/>
      <c r="F636" s="141" t="n"/>
      <c r="G636" s="143" t="n"/>
      <c r="H636" s="27" t="n"/>
    </row>
    <row r="637" ht="17.25" customHeight="1" s="322">
      <c r="A637" s="27" t="n"/>
      <c r="B637" s="506" t="n"/>
      <c r="C637" s="141" t="n"/>
      <c r="D637" s="141" t="n"/>
      <c r="E637" s="141" t="n"/>
      <c r="F637" s="141" t="n"/>
      <c r="G637" s="143" t="n"/>
      <c r="H637" s="27" t="n"/>
    </row>
    <row r="638" ht="17.25" customHeight="1" s="322">
      <c r="A638" s="27" t="n"/>
      <c r="B638" s="506" t="n"/>
      <c r="C638" s="141" t="n"/>
      <c r="D638" s="141" t="n"/>
      <c r="E638" s="141" t="n"/>
      <c r="F638" s="141" t="n"/>
      <c r="G638" s="143" t="n"/>
      <c r="H638" s="27" t="n"/>
    </row>
    <row r="639" ht="17.25" customHeight="1" s="322">
      <c r="A639" s="27" t="n"/>
      <c r="B639" s="506" t="n"/>
      <c r="C639" s="141" t="n"/>
      <c r="D639" s="141" t="n"/>
      <c r="E639" s="141" t="n"/>
      <c r="F639" s="141" t="n"/>
      <c r="G639" s="143" t="n"/>
      <c r="H639" s="27" t="n"/>
    </row>
    <row r="640" ht="17.25" customHeight="1" s="322">
      <c r="A640" s="27" t="n"/>
      <c r="B640" s="506" t="n"/>
      <c r="C640" s="141" t="n"/>
      <c r="D640" s="141" t="n"/>
      <c r="E640" s="141" t="n"/>
      <c r="F640" s="141" t="n"/>
      <c r="G640" s="143" t="n"/>
      <c r="H640" s="27" t="n"/>
    </row>
    <row r="641" ht="17.25" customHeight="1" s="322">
      <c r="A641" s="27" t="n"/>
      <c r="B641" s="506" t="n"/>
      <c r="C641" s="141" t="n"/>
      <c r="D641" s="141" t="n"/>
      <c r="E641" s="141" t="n"/>
      <c r="F641" s="141" t="n"/>
      <c r="G641" s="143" t="n"/>
      <c r="H641" s="27" t="n"/>
    </row>
    <row r="642" ht="17.25" customHeight="1" s="322">
      <c r="A642" s="27" t="n"/>
      <c r="B642" s="506" t="n"/>
      <c r="C642" s="141" t="n"/>
      <c r="D642" s="141" t="n"/>
      <c r="E642" s="141" t="n"/>
      <c r="F642" s="141" t="n"/>
      <c r="G642" s="143" t="n"/>
      <c r="H642" s="27" t="n"/>
    </row>
    <row r="643" ht="17.25" customHeight="1" s="322">
      <c r="A643" s="27" t="n"/>
      <c r="B643" s="506" t="n"/>
      <c r="C643" s="141" t="n"/>
      <c r="D643" s="141" t="n"/>
      <c r="E643" s="141" t="n"/>
      <c r="F643" s="141" t="n"/>
      <c r="G643" s="143" t="n"/>
      <c r="H643" s="27" t="n"/>
    </row>
    <row r="644" ht="17.25" customHeight="1" s="322">
      <c r="A644" s="27" t="n"/>
      <c r="B644" s="506" t="n"/>
      <c r="C644" s="141" t="n"/>
      <c r="D644" s="141" t="n"/>
      <c r="E644" s="141" t="n"/>
      <c r="F644" s="141" t="n"/>
      <c r="G644" s="143" t="n"/>
      <c r="H644" s="27" t="n"/>
    </row>
    <row r="645" ht="17.25" customHeight="1" s="322">
      <c r="A645" s="27" t="n"/>
      <c r="B645" s="506" t="n"/>
      <c r="C645" s="141" t="n"/>
      <c r="D645" s="141" t="n"/>
      <c r="E645" s="141" t="n"/>
      <c r="F645" s="141" t="n"/>
      <c r="G645" s="143" t="n"/>
      <c r="H645" s="27" t="n"/>
    </row>
    <row r="646" ht="17.25" customHeight="1" s="322">
      <c r="A646" s="27" t="n"/>
      <c r="B646" s="506" t="n"/>
      <c r="C646" s="141" t="n"/>
      <c r="D646" s="141" t="n"/>
      <c r="E646" s="141" t="n"/>
      <c r="F646" s="141" t="n"/>
      <c r="G646" s="143" t="n"/>
      <c r="H646" s="27" t="n"/>
    </row>
    <row r="647" ht="17.25" customHeight="1" s="322">
      <c r="A647" s="27" t="n"/>
      <c r="B647" s="506" t="n"/>
      <c r="C647" s="141" t="n"/>
      <c r="D647" s="141" t="n"/>
      <c r="E647" s="141" t="n"/>
      <c r="F647" s="141" t="n"/>
      <c r="G647" s="143" t="n"/>
      <c r="H647" s="27" t="n"/>
    </row>
    <row r="648" ht="17.25" customHeight="1" s="322">
      <c r="A648" s="27" t="n"/>
      <c r="B648" s="506" t="n"/>
      <c r="C648" s="141" t="n"/>
      <c r="D648" s="141" t="n"/>
      <c r="E648" s="141" t="n"/>
      <c r="F648" s="141" t="n"/>
      <c r="G648" s="143" t="n"/>
      <c r="H648" s="27" t="n"/>
    </row>
    <row r="649" ht="17.25" customHeight="1" s="322">
      <c r="A649" s="27" t="n"/>
      <c r="B649" s="506" t="n"/>
      <c r="C649" s="141" t="n"/>
      <c r="D649" s="141" t="n"/>
      <c r="E649" s="141" t="n"/>
      <c r="F649" s="141" t="n"/>
      <c r="G649" s="143" t="n"/>
      <c r="H649" s="27" t="n"/>
    </row>
    <row r="650" ht="17.25" customHeight="1" s="322">
      <c r="A650" s="27" t="n"/>
      <c r="B650" s="506" t="n"/>
      <c r="C650" s="141" t="n"/>
      <c r="D650" s="141" t="n"/>
      <c r="E650" s="141" t="n"/>
      <c r="F650" s="141" t="n"/>
      <c r="G650" s="143" t="n"/>
      <c r="H650" s="27" t="n"/>
    </row>
    <row r="651" ht="17.25" customHeight="1" s="322">
      <c r="A651" s="27" t="n"/>
      <c r="B651" s="506" t="n"/>
      <c r="C651" s="141" t="n"/>
      <c r="D651" s="141" t="n"/>
      <c r="E651" s="141" t="n"/>
      <c r="F651" s="141" t="n"/>
      <c r="G651" s="143" t="n"/>
      <c r="H651" s="27" t="n"/>
    </row>
    <row r="652" ht="17.25" customHeight="1" s="322">
      <c r="A652" s="27" t="n"/>
      <c r="B652" s="506" t="n"/>
      <c r="C652" s="141" t="n"/>
      <c r="D652" s="141" t="n"/>
      <c r="E652" s="141" t="n"/>
      <c r="F652" s="141" t="n"/>
      <c r="G652" s="143" t="n"/>
      <c r="H652" s="27" t="n"/>
    </row>
    <row r="653" ht="17.25" customHeight="1" s="322">
      <c r="A653" s="27" t="n"/>
      <c r="B653" s="506" t="n"/>
      <c r="C653" s="141" t="n"/>
      <c r="D653" s="141" t="n"/>
      <c r="E653" s="141" t="n"/>
      <c r="F653" s="141" t="n"/>
      <c r="G653" s="143" t="n"/>
      <c r="H653" s="27" t="n"/>
    </row>
    <row r="654" ht="17.25" customHeight="1" s="322">
      <c r="A654" s="27" t="n"/>
      <c r="B654" s="506" t="n"/>
      <c r="C654" s="141" t="n"/>
      <c r="D654" s="141" t="n"/>
      <c r="E654" s="141" t="n"/>
      <c r="F654" s="141" t="n"/>
      <c r="G654" s="143" t="n"/>
      <c r="H654" s="27" t="n"/>
    </row>
    <row r="655" ht="17.25" customHeight="1" s="322">
      <c r="A655" s="27" t="n"/>
      <c r="B655" s="506" t="n"/>
      <c r="C655" s="141" t="n"/>
      <c r="D655" s="141" t="n"/>
      <c r="E655" s="141" t="n"/>
      <c r="F655" s="141" t="n"/>
      <c r="G655" s="143" t="n"/>
      <c r="H655" s="27" t="n"/>
    </row>
    <row r="656" ht="17.25" customHeight="1" s="322">
      <c r="A656" s="27" t="n"/>
      <c r="B656" s="506" t="n"/>
      <c r="C656" s="141" t="n"/>
      <c r="D656" s="141" t="n"/>
      <c r="E656" s="141" t="n"/>
      <c r="F656" s="141" t="n"/>
      <c r="G656" s="143" t="n"/>
      <c r="H656" s="27" t="n"/>
    </row>
    <row r="657" ht="17.25" customHeight="1" s="322">
      <c r="A657" s="27" t="n"/>
      <c r="B657" s="506" t="n"/>
      <c r="C657" s="141" t="n"/>
      <c r="D657" s="141" t="n"/>
      <c r="E657" s="141" t="n"/>
      <c r="F657" s="141" t="n"/>
      <c r="G657" s="143" t="n"/>
      <c r="H657" s="27" t="n"/>
    </row>
    <row r="658" ht="17.25" customHeight="1" s="322">
      <c r="A658" s="27" t="n"/>
      <c r="B658" s="506" t="n"/>
      <c r="C658" s="141" t="n"/>
      <c r="D658" s="141" t="n"/>
      <c r="E658" s="141" t="n"/>
      <c r="F658" s="141" t="n"/>
      <c r="G658" s="143" t="n"/>
      <c r="H658" s="27" t="n"/>
    </row>
    <row r="659" ht="17.25" customHeight="1" s="322">
      <c r="A659" s="27" t="n"/>
      <c r="B659" s="506" t="n"/>
      <c r="C659" s="141" t="n"/>
      <c r="D659" s="141" t="n"/>
      <c r="E659" s="141" t="n"/>
      <c r="F659" s="141" t="n"/>
      <c r="G659" s="143" t="n"/>
      <c r="H659" s="27" t="n"/>
    </row>
    <row r="660" ht="17.25" customHeight="1" s="322">
      <c r="A660" s="27" t="n"/>
      <c r="B660" s="506" t="n"/>
      <c r="C660" s="141" t="n"/>
      <c r="D660" s="141" t="n"/>
      <c r="E660" s="141" t="n"/>
      <c r="F660" s="141" t="n"/>
      <c r="G660" s="143" t="n"/>
      <c r="H660" s="27" t="n"/>
    </row>
    <row r="661" ht="17.25" customHeight="1" s="322">
      <c r="A661" s="27" t="n"/>
      <c r="B661" s="506" t="n"/>
      <c r="C661" s="141" t="n"/>
      <c r="D661" s="141" t="n"/>
      <c r="E661" s="141" t="n"/>
      <c r="F661" s="141" t="n"/>
      <c r="G661" s="143" t="n"/>
      <c r="H661" s="27" t="n"/>
    </row>
    <row r="662" ht="17.25" customHeight="1" s="322">
      <c r="A662" s="27" t="n"/>
      <c r="B662" s="506" t="n"/>
      <c r="C662" s="141" t="n"/>
      <c r="D662" s="141" t="n"/>
      <c r="E662" s="141" t="n"/>
      <c r="F662" s="141" t="n"/>
      <c r="G662" s="143" t="n"/>
      <c r="H662" s="27" t="n"/>
    </row>
    <row r="663" ht="17.25" customHeight="1" s="322">
      <c r="A663" s="27" t="n"/>
      <c r="B663" s="506" t="n"/>
      <c r="C663" s="141" t="n"/>
      <c r="D663" s="141" t="n"/>
      <c r="E663" s="141" t="n"/>
      <c r="F663" s="141" t="n"/>
      <c r="G663" s="143" t="n"/>
      <c r="H663" s="27" t="n"/>
    </row>
    <row r="664" ht="17.25" customHeight="1" s="322">
      <c r="A664" s="27" t="n"/>
      <c r="B664" s="506" t="n"/>
      <c r="C664" s="141" t="n"/>
      <c r="D664" s="141" t="n"/>
      <c r="E664" s="141" t="n"/>
      <c r="F664" s="141" t="n"/>
      <c r="G664" s="143" t="n"/>
      <c r="H664" s="27" t="n"/>
    </row>
    <row r="665" ht="17.25" customHeight="1" s="322">
      <c r="A665" s="27" t="n"/>
      <c r="B665" s="506" t="n"/>
      <c r="C665" s="141" t="n"/>
      <c r="D665" s="141" t="n"/>
      <c r="E665" s="141" t="n"/>
      <c r="F665" s="141" t="n"/>
      <c r="G665" s="143" t="n"/>
      <c r="H665" s="27" t="n"/>
    </row>
    <row r="666" ht="17.25" customHeight="1" s="322">
      <c r="A666" s="27" t="n"/>
      <c r="B666" s="506" t="n"/>
      <c r="C666" s="141" t="n"/>
      <c r="D666" s="141" t="n"/>
      <c r="E666" s="141" t="n"/>
      <c r="F666" s="141" t="n"/>
      <c r="G666" s="143" t="n"/>
      <c r="H666" s="27" t="n"/>
    </row>
    <row r="667" ht="17.25" customHeight="1" s="322">
      <c r="A667" s="27" t="n"/>
      <c r="B667" s="506" t="n"/>
      <c r="C667" s="141" t="n"/>
      <c r="D667" s="141" t="n"/>
      <c r="E667" s="141" t="n"/>
      <c r="F667" s="141" t="n"/>
      <c r="G667" s="143" t="n"/>
      <c r="H667" s="27" t="n"/>
    </row>
    <row r="668" ht="17.25" customHeight="1" s="322">
      <c r="A668" s="27" t="n"/>
      <c r="B668" s="506" t="n"/>
      <c r="C668" s="141" t="n"/>
      <c r="D668" s="141" t="n"/>
      <c r="E668" s="141" t="n"/>
      <c r="F668" s="141" t="n"/>
      <c r="G668" s="143" t="n"/>
      <c r="H668" s="27" t="n"/>
    </row>
    <row r="669" ht="17.25" customHeight="1" s="322">
      <c r="A669" s="27" t="n"/>
      <c r="B669" s="506" t="n"/>
      <c r="C669" s="141" t="n"/>
      <c r="D669" s="141" t="n"/>
      <c r="E669" s="141" t="n"/>
      <c r="F669" s="141" t="n"/>
      <c r="G669" s="143" t="n"/>
      <c r="H669" s="27" t="n"/>
    </row>
    <row r="670" ht="17.25" customHeight="1" s="322">
      <c r="A670" s="27" t="n"/>
      <c r="B670" s="506" t="n"/>
      <c r="C670" s="141" t="n"/>
      <c r="D670" s="141" t="n"/>
      <c r="E670" s="141" t="n"/>
      <c r="F670" s="141" t="n"/>
      <c r="G670" s="143" t="n"/>
      <c r="H670" s="27" t="n"/>
    </row>
    <row r="671" ht="17.25" customHeight="1" s="322">
      <c r="A671" s="27" t="n"/>
      <c r="B671" s="506" t="n"/>
      <c r="C671" s="141" t="n"/>
      <c r="D671" s="141" t="n"/>
      <c r="E671" s="141" t="n"/>
      <c r="F671" s="141" t="n"/>
      <c r="G671" s="143" t="n"/>
      <c r="H671" s="27" t="n"/>
    </row>
    <row r="672" ht="17.25" customHeight="1" s="322">
      <c r="A672" s="27" t="n"/>
      <c r="B672" s="506" t="n"/>
      <c r="C672" s="141" t="n"/>
      <c r="D672" s="141" t="n"/>
      <c r="E672" s="141" t="n"/>
      <c r="F672" s="141" t="n"/>
      <c r="G672" s="143" t="n"/>
      <c r="H672" s="27" t="n"/>
    </row>
    <row r="673" ht="17.25" customHeight="1" s="322">
      <c r="A673" s="27" t="n"/>
      <c r="B673" s="506" t="n"/>
      <c r="C673" s="141" t="n"/>
      <c r="D673" s="141" t="n"/>
      <c r="E673" s="141" t="n"/>
      <c r="F673" s="141" t="n"/>
      <c r="G673" s="143" t="n"/>
      <c r="H673" s="27" t="n"/>
    </row>
    <row r="674" ht="17.25" customHeight="1" s="322">
      <c r="A674" s="27" t="n"/>
      <c r="B674" s="506" t="n"/>
      <c r="C674" s="141" t="n"/>
      <c r="D674" s="141" t="n"/>
      <c r="E674" s="141" t="n"/>
      <c r="F674" s="141" t="n"/>
      <c r="G674" s="143" t="n"/>
      <c r="H674" s="27" t="n"/>
    </row>
    <row r="675" ht="17.25" customHeight="1" s="322">
      <c r="A675" s="27" t="n"/>
      <c r="B675" s="506" t="n"/>
      <c r="C675" s="141" t="n"/>
      <c r="D675" s="141" t="n"/>
      <c r="E675" s="141" t="n"/>
      <c r="F675" s="141" t="n"/>
      <c r="G675" s="143" t="n"/>
      <c r="H675" s="27" t="n"/>
    </row>
    <row r="676" ht="17.25" customHeight="1" s="322">
      <c r="A676" s="27" t="n"/>
      <c r="B676" s="506" t="n"/>
      <c r="C676" s="141" t="n"/>
      <c r="D676" s="141" t="n"/>
      <c r="E676" s="141" t="n"/>
      <c r="F676" s="141" t="n"/>
      <c r="G676" s="143" t="n"/>
      <c r="H676" s="27" t="n"/>
    </row>
    <row r="677" ht="17.25" customHeight="1" s="322">
      <c r="A677" s="27" t="n"/>
      <c r="B677" s="506" t="n"/>
      <c r="C677" s="141" t="n"/>
      <c r="D677" s="141" t="n"/>
      <c r="E677" s="141" t="n"/>
      <c r="F677" s="141" t="n"/>
      <c r="G677" s="143" t="n"/>
      <c r="H677" s="27" t="n"/>
    </row>
    <row r="678" ht="17.25" customHeight="1" s="322">
      <c r="A678" s="27" t="n"/>
      <c r="B678" s="506" t="n"/>
      <c r="C678" s="141" t="n"/>
      <c r="D678" s="141" t="n"/>
      <c r="E678" s="141" t="n"/>
      <c r="F678" s="141" t="n"/>
      <c r="G678" s="143" t="n"/>
      <c r="H678" s="27" t="n"/>
    </row>
    <row r="679" ht="17.25" customHeight="1" s="322">
      <c r="A679" s="27" t="n"/>
      <c r="B679" s="506" t="n"/>
      <c r="C679" s="141" t="n"/>
      <c r="D679" s="141" t="n"/>
      <c r="E679" s="141" t="n"/>
      <c r="F679" s="141" t="n"/>
      <c r="G679" s="143" t="n"/>
      <c r="H679" s="27" t="n"/>
    </row>
    <row r="680" ht="17.25" customHeight="1" s="322">
      <c r="A680" s="27" t="n"/>
      <c r="B680" s="506" t="n"/>
      <c r="C680" s="141" t="n"/>
      <c r="D680" s="141" t="n"/>
      <c r="E680" s="141" t="n"/>
      <c r="F680" s="141" t="n"/>
      <c r="G680" s="143" t="n"/>
      <c r="H680" s="27" t="n"/>
    </row>
    <row r="681" ht="17.25" customHeight="1" s="322">
      <c r="A681" s="27" t="n"/>
      <c r="B681" s="506" t="n"/>
      <c r="C681" s="141" t="n"/>
      <c r="D681" s="141" t="n"/>
      <c r="E681" s="141" t="n"/>
      <c r="F681" s="141" t="n"/>
      <c r="G681" s="143" t="n"/>
      <c r="H681" s="27" t="n"/>
    </row>
    <row r="682" ht="17.25" customHeight="1" s="322">
      <c r="A682" s="27" t="n"/>
      <c r="B682" s="506" t="n"/>
      <c r="C682" s="141" t="n"/>
      <c r="D682" s="141" t="n"/>
      <c r="E682" s="141" t="n"/>
      <c r="F682" s="141" t="n"/>
      <c r="G682" s="143" t="n"/>
      <c r="H682" s="27" t="n"/>
    </row>
    <row r="683" ht="17.25" customHeight="1" s="322">
      <c r="A683" s="27" t="n"/>
      <c r="B683" s="506" t="n"/>
      <c r="C683" s="141" t="n"/>
      <c r="D683" s="141" t="n"/>
      <c r="E683" s="141" t="n"/>
      <c r="F683" s="141" t="n"/>
      <c r="G683" s="143" t="n"/>
      <c r="H683" s="27" t="n"/>
    </row>
    <row r="684" ht="17.25" customHeight="1" s="322">
      <c r="A684" s="27" t="n"/>
      <c r="B684" s="506" t="n"/>
      <c r="C684" s="141" t="n"/>
      <c r="D684" s="141" t="n"/>
      <c r="E684" s="141" t="n"/>
      <c r="F684" s="141" t="n"/>
      <c r="G684" s="143" t="n"/>
      <c r="H684" s="27" t="n"/>
    </row>
    <row r="685" ht="17.25" customHeight="1" s="322">
      <c r="A685" s="27" t="n"/>
      <c r="B685" s="506" t="n"/>
      <c r="C685" s="141" t="n"/>
      <c r="D685" s="141" t="n"/>
      <c r="E685" s="141" t="n"/>
      <c r="F685" s="141" t="n"/>
      <c r="G685" s="143" t="n"/>
      <c r="H685" s="27" t="n"/>
    </row>
    <row r="686" ht="17.25" customHeight="1" s="322">
      <c r="A686" s="27" t="n"/>
      <c r="B686" s="506" t="n"/>
      <c r="C686" s="141" t="n"/>
      <c r="D686" s="141" t="n"/>
      <c r="E686" s="141" t="n"/>
      <c r="F686" s="141" t="n"/>
      <c r="G686" s="143" t="n"/>
      <c r="H686" s="27" t="n"/>
    </row>
    <row r="687" ht="17.25" customHeight="1" s="322">
      <c r="A687" s="27" t="n"/>
      <c r="B687" s="506" t="n"/>
      <c r="C687" s="141" t="n"/>
      <c r="D687" s="141" t="n"/>
      <c r="E687" s="141" t="n"/>
      <c r="F687" s="141" t="n"/>
      <c r="G687" s="143" t="n"/>
      <c r="H687" s="27" t="n"/>
    </row>
    <row r="688" ht="17.25" customHeight="1" s="322">
      <c r="A688" s="27" t="n"/>
      <c r="B688" s="506" t="n"/>
      <c r="C688" s="141" t="n"/>
      <c r="D688" s="141" t="n"/>
      <c r="E688" s="141" t="n"/>
      <c r="F688" s="141" t="n"/>
      <c r="G688" s="143" t="n"/>
      <c r="H688" s="27" t="n"/>
    </row>
    <row r="689" ht="17.25" customHeight="1" s="322">
      <c r="A689" s="27" t="n"/>
      <c r="B689" s="506" t="n"/>
      <c r="C689" s="141" t="n"/>
      <c r="D689" s="141" t="n"/>
      <c r="E689" s="141" t="n"/>
      <c r="F689" s="141" t="n"/>
      <c r="G689" s="143" t="n"/>
      <c r="H689" s="27" t="n"/>
    </row>
    <row r="690" ht="17.25" customHeight="1" s="322">
      <c r="A690" s="27" t="n"/>
      <c r="B690" s="506" t="n"/>
      <c r="C690" s="141" t="n"/>
      <c r="D690" s="141" t="n"/>
      <c r="E690" s="141" t="n"/>
      <c r="F690" s="141" t="n"/>
      <c r="G690" s="143" t="n"/>
      <c r="H690" s="27" t="n"/>
    </row>
    <row r="691" ht="17.25" customHeight="1" s="322">
      <c r="A691" s="27" t="n"/>
      <c r="B691" s="506" t="n"/>
      <c r="C691" s="141" t="n"/>
      <c r="D691" s="141" t="n"/>
      <c r="E691" s="141" t="n"/>
      <c r="F691" s="141" t="n"/>
      <c r="G691" s="143" t="n"/>
      <c r="H691" s="27" t="n"/>
    </row>
    <row r="692" ht="17.25" customHeight="1" s="322">
      <c r="A692" s="27" t="n"/>
      <c r="B692" s="506" t="n"/>
      <c r="C692" s="141" t="n"/>
      <c r="D692" s="141" t="n"/>
      <c r="E692" s="141" t="n"/>
      <c r="F692" s="141" t="n"/>
      <c r="G692" s="143" t="n"/>
      <c r="H692" s="27" t="n"/>
    </row>
    <row r="693" ht="17.25" customHeight="1" s="322">
      <c r="A693" s="27" t="n"/>
      <c r="B693" s="506" t="n"/>
      <c r="C693" s="141" t="n"/>
      <c r="D693" s="141" t="n"/>
      <c r="E693" s="141" t="n"/>
      <c r="F693" s="141" t="n"/>
      <c r="G693" s="143" t="n"/>
      <c r="H693" s="27" t="n"/>
    </row>
    <row r="694" ht="17.25" customHeight="1" s="322">
      <c r="A694" s="27" t="n"/>
      <c r="B694" s="506" t="n"/>
      <c r="C694" s="141" t="n"/>
      <c r="D694" s="141" t="n"/>
      <c r="E694" s="141" t="n"/>
      <c r="F694" s="141" t="n"/>
      <c r="G694" s="143" t="n"/>
      <c r="H694" s="27" t="n"/>
    </row>
    <row r="695" ht="17.25" customHeight="1" s="322">
      <c r="A695" s="27" t="n"/>
      <c r="B695" s="506" t="n"/>
      <c r="C695" s="141" t="n"/>
      <c r="D695" s="141" t="n"/>
      <c r="E695" s="141" t="n"/>
      <c r="F695" s="141" t="n"/>
      <c r="G695" s="143" t="n"/>
      <c r="H695" s="27" t="n"/>
    </row>
    <row r="696" ht="17.25" customHeight="1" s="322">
      <c r="A696" s="27" t="n"/>
      <c r="B696" s="506" t="n"/>
      <c r="C696" s="141" t="n"/>
      <c r="D696" s="141" t="n"/>
      <c r="E696" s="141" t="n"/>
      <c r="F696" s="141" t="n"/>
      <c r="G696" s="143" t="n"/>
      <c r="H696" s="27" t="n"/>
    </row>
    <row r="697" ht="17.25" customHeight="1" s="322">
      <c r="A697" s="27" t="n"/>
      <c r="B697" s="506" t="n"/>
      <c r="C697" s="141" t="n"/>
      <c r="D697" s="141" t="n"/>
      <c r="E697" s="141" t="n"/>
      <c r="F697" s="141" t="n"/>
      <c r="G697" s="143" t="n"/>
      <c r="H697" s="27" t="n"/>
    </row>
    <row r="698" ht="17.25" customHeight="1" s="322">
      <c r="A698" s="27" t="n"/>
      <c r="B698" s="506" t="n"/>
      <c r="C698" s="141" t="n"/>
      <c r="D698" s="141" t="n"/>
      <c r="E698" s="141" t="n"/>
      <c r="F698" s="141" t="n"/>
      <c r="G698" s="143" t="n"/>
      <c r="H698" s="27" t="n"/>
    </row>
    <row r="699" ht="17.25" customHeight="1" s="322">
      <c r="A699" s="27" t="n"/>
      <c r="B699" s="506" t="n"/>
      <c r="C699" s="141" t="n"/>
      <c r="D699" s="141" t="n"/>
      <c r="E699" s="141" t="n"/>
      <c r="F699" s="141" t="n"/>
      <c r="G699" s="143" t="n"/>
      <c r="H699" s="27" t="n"/>
    </row>
    <row r="700" ht="17.25" customHeight="1" s="322">
      <c r="A700" s="27" t="n"/>
      <c r="B700" s="506" t="n"/>
      <c r="C700" s="141" t="n"/>
      <c r="D700" s="141" t="n"/>
      <c r="E700" s="141" t="n"/>
      <c r="F700" s="141" t="n"/>
      <c r="G700" s="143" t="n"/>
      <c r="H700" s="27" t="n"/>
    </row>
    <row r="701" ht="17.25" customHeight="1" s="322">
      <c r="A701" s="27" t="n"/>
      <c r="B701" s="506" t="n"/>
      <c r="C701" s="141" t="n"/>
      <c r="D701" s="141" t="n"/>
      <c r="E701" s="141" t="n"/>
      <c r="F701" s="141" t="n"/>
      <c r="G701" s="143" t="n"/>
      <c r="H701" s="27" t="n"/>
    </row>
    <row r="702" ht="17.25" customHeight="1" s="322">
      <c r="A702" s="27" t="n"/>
      <c r="B702" s="506" t="n"/>
      <c r="C702" s="141" t="n"/>
      <c r="D702" s="141" t="n"/>
      <c r="E702" s="141" t="n"/>
      <c r="F702" s="141" t="n"/>
      <c r="G702" s="143" t="n"/>
      <c r="H702" s="27" t="n"/>
    </row>
    <row r="703" ht="17.25" customHeight="1" s="322">
      <c r="A703" s="27" t="n"/>
      <c r="B703" s="506" t="n"/>
      <c r="C703" s="141" t="n"/>
      <c r="D703" s="141" t="n"/>
      <c r="E703" s="141" t="n"/>
      <c r="F703" s="141" t="n"/>
      <c r="G703" s="143" t="n"/>
      <c r="H703" s="27" t="n"/>
    </row>
    <row r="704" ht="17.25" customHeight="1" s="322">
      <c r="A704" s="27" t="n"/>
      <c r="B704" s="506" t="n"/>
      <c r="C704" s="141" t="n"/>
      <c r="D704" s="141" t="n"/>
      <c r="E704" s="141" t="n"/>
      <c r="F704" s="141" t="n"/>
      <c r="G704" s="143" t="n"/>
      <c r="H704" s="27" t="n"/>
    </row>
    <row r="705" ht="17.25" customHeight="1" s="322">
      <c r="A705" s="27" t="n"/>
      <c r="B705" s="506" t="n"/>
      <c r="C705" s="141" t="n"/>
      <c r="D705" s="141" t="n"/>
      <c r="E705" s="141" t="n"/>
      <c r="F705" s="141" t="n"/>
      <c r="G705" s="143" t="n"/>
      <c r="H705" s="27" t="n"/>
    </row>
    <row r="706" ht="17.25" customHeight="1" s="322">
      <c r="A706" s="27" t="n"/>
      <c r="B706" s="506" t="n"/>
      <c r="C706" s="141" t="n"/>
      <c r="D706" s="141" t="n"/>
      <c r="E706" s="141" t="n"/>
      <c r="F706" s="141" t="n"/>
      <c r="G706" s="143" t="n"/>
      <c r="H706" s="27" t="n"/>
    </row>
    <row r="707" ht="17.25" customHeight="1" s="322">
      <c r="A707" s="27" t="n"/>
      <c r="B707" s="506" t="n"/>
      <c r="C707" s="141" t="n"/>
      <c r="D707" s="141" t="n"/>
      <c r="E707" s="141" t="n"/>
      <c r="F707" s="141" t="n"/>
      <c r="G707" s="143" t="n"/>
      <c r="H707" s="27" t="n"/>
    </row>
    <row r="708" ht="17.25" customHeight="1" s="322">
      <c r="A708" s="27" t="n"/>
      <c r="B708" s="506" t="n"/>
      <c r="C708" s="141" t="n"/>
      <c r="D708" s="141" t="n"/>
      <c r="E708" s="141" t="n"/>
      <c r="F708" s="141" t="n"/>
      <c r="G708" s="143" t="n"/>
      <c r="H708" s="27" t="n"/>
    </row>
    <row r="709" ht="17.25" customHeight="1" s="322">
      <c r="A709" s="27" t="n"/>
      <c r="B709" s="506" t="n"/>
      <c r="C709" s="141" t="n"/>
      <c r="D709" s="141" t="n"/>
      <c r="E709" s="141" t="n"/>
      <c r="F709" s="141" t="n"/>
      <c r="G709" s="143" t="n"/>
      <c r="H709" s="27" t="n"/>
    </row>
    <row r="710" ht="17.25" customHeight="1" s="322">
      <c r="A710" s="27" t="n"/>
      <c r="B710" s="506" t="n"/>
      <c r="C710" s="141" t="n"/>
      <c r="D710" s="141" t="n"/>
      <c r="E710" s="141" t="n"/>
      <c r="F710" s="141" t="n"/>
      <c r="G710" s="143" t="n"/>
      <c r="H710" s="27" t="n"/>
    </row>
    <row r="711" ht="17.25" customHeight="1" s="322">
      <c r="A711" s="27" t="n"/>
      <c r="B711" s="506" t="n"/>
      <c r="C711" s="141" t="n"/>
      <c r="D711" s="141" t="n"/>
      <c r="E711" s="141" t="n"/>
      <c r="F711" s="141" t="n"/>
      <c r="G711" s="143" t="n"/>
      <c r="H711" s="27" t="n"/>
    </row>
    <row r="712" ht="17.25" customHeight="1" s="322">
      <c r="A712" s="27" t="n"/>
      <c r="B712" s="506" t="n"/>
      <c r="C712" s="141" t="n"/>
      <c r="D712" s="141" t="n"/>
      <c r="E712" s="141" t="n"/>
      <c r="F712" s="141" t="n"/>
      <c r="G712" s="143" t="n"/>
      <c r="H712" s="27" t="n"/>
    </row>
    <row r="713" ht="17.25" customHeight="1" s="322">
      <c r="A713" s="27" t="n"/>
      <c r="B713" s="506" t="n"/>
      <c r="C713" s="141" t="n"/>
      <c r="D713" s="141" t="n"/>
      <c r="E713" s="141" t="n"/>
      <c r="F713" s="141" t="n"/>
      <c r="G713" s="143" t="n"/>
      <c r="H713" s="27" t="n"/>
    </row>
    <row r="714" ht="17.25" customHeight="1" s="322">
      <c r="A714" s="27" t="n"/>
      <c r="B714" s="506" t="n"/>
      <c r="C714" s="141" t="n"/>
      <c r="D714" s="141" t="n"/>
      <c r="E714" s="141" t="n"/>
      <c r="F714" s="141" t="n"/>
      <c r="G714" s="143" t="n"/>
      <c r="H714" s="27" t="n"/>
    </row>
    <row r="715" ht="17.25" customHeight="1" s="322">
      <c r="A715" s="27" t="n"/>
      <c r="B715" s="506" t="n"/>
      <c r="C715" s="141" t="n"/>
      <c r="D715" s="141" t="n"/>
      <c r="E715" s="141" t="n"/>
      <c r="F715" s="141" t="n"/>
      <c r="G715" s="143" t="n"/>
      <c r="H715" s="27" t="n"/>
    </row>
    <row r="716" ht="17.25" customHeight="1" s="322">
      <c r="A716" s="27" t="n"/>
      <c r="B716" s="506" t="n"/>
      <c r="C716" s="141" t="n"/>
      <c r="D716" s="141" t="n"/>
      <c r="E716" s="141" t="n"/>
      <c r="F716" s="141" t="n"/>
      <c r="G716" s="143" t="n"/>
      <c r="H716" s="27" t="n"/>
    </row>
    <row r="717" ht="17.25" customHeight="1" s="322">
      <c r="A717" s="27" t="n"/>
      <c r="B717" s="506" t="n"/>
      <c r="C717" s="141" t="n"/>
      <c r="D717" s="141" t="n"/>
      <c r="E717" s="141" t="n"/>
      <c r="F717" s="141" t="n"/>
      <c r="G717" s="143" t="n"/>
      <c r="H717" s="27" t="n"/>
    </row>
    <row r="718" ht="17.25" customHeight="1" s="322">
      <c r="A718" s="27" t="n"/>
      <c r="B718" s="506" t="n"/>
      <c r="C718" s="141" t="n"/>
      <c r="D718" s="141" t="n"/>
      <c r="E718" s="141" t="n"/>
      <c r="F718" s="141" t="n"/>
      <c r="G718" s="143" t="n"/>
      <c r="H718" s="27" t="n"/>
    </row>
    <row r="719" ht="17.25" customHeight="1" s="322">
      <c r="A719" s="27" t="n"/>
      <c r="B719" s="506" t="n"/>
      <c r="C719" s="141" t="n"/>
      <c r="D719" s="141" t="n"/>
      <c r="E719" s="141" t="n"/>
      <c r="F719" s="141" t="n"/>
      <c r="G719" s="143" t="n"/>
      <c r="H719" s="27" t="n"/>
    </row>
    <row r="720" ht="17.25" customHeight="1" s="322">
      <c r="A720" s="27" t="n"/>
      <c r="B720" s="506" t="n"/>
      <c r="C720" s="141" t="n"/>
      <c r="D720" s="141" t="n"/>
      <c r="E720" s="141" t="n"/>
      <c r="F720" s="141" t="n"/>
      <c r="G720" s="143" t="n"/>
      <c r="H720" s="27" t="n"/>
    </row>
    <row r="721" ht="17.25" customHeight="1" s="322">
      <c r="A721" s="27" t="n"/>
      <c r="B721" s="506" t="n"/>
      <c r="C721" s="141" t="n"/>
      <c r="D721" s="141" t="n"/>
      <c r="E721" s="141" t="n"/>
      <c r="F721" s="141" t="n"/>
      <c r="G721" s="143" t="n"/>
      <c r="H721" s="27" t="n"/>
    </row>
    <row r="722" ht="17.25" customHeight="1" s="322">
      <c r="A722" s="27" t="n"/>
      <c r="B722" s="506" t="n"/>
      <c r="C722" s="141" t="n"/>
      <c r="D722" s="141" t="n"/>
      <c r="E722" s="141" t="n"/>
      <c r="F722" s="141" t="n"/>
      <c r="G722" s="143" t="n"/>
      <c r="H722" s="27" t="n"/>
    </row>
    <row r="723" ht="17.25" customHeight="1" s="322">
      <c r="A723" s="27" t="n"/>
      <c r="B723" s="506" t="n"/>
      <c r="C723" s="141" t="n"/>
      <c r="D723" s="141" t="n"/>
      <c r="E723" s="141" t="n"/>
      <c r="F723" s="141" t="n"/>
      <c r="G723" s="143" t="n"/>
      <c r="H723" s="27" t="n"/>
    </row>
    <row r="724" ht="17.25" customHeight="1" s="322">
      <c r="A724" s="27" t="n"/>
      <c r="B724" s="506" t="n"/>
      <c r="C724" s="141" t="n"/>
      <c r="D724" s="141" t="n"/>
      <c r="E724" s="141" t="n"/>
      <c r="F724" s="141" t="n"/>
      <c r="G724" s="143" t="n"/>
      <c r="H724" s="27" t="n"/>
    </row>
    <row r="725" ht="17.25" customHeight="1" s="322">
      <c r="A725" s="27" t="n"/>
      <c r="B725" s="506" t="n"/>
      <c r="C725" s="141" t="n"/>
      <c r="D725" s="141" t="n"/>
      <c r="E725" s="141" t="n"/>
      <c r="F725" s="141" t="n"/>
      <c r="G725" s="143" t="n"/>
      <c r="H725" s="27" t="n"/>
    </row>
    <row r="726" ht="17.25" customHeight="1" s="322">
      <c r="A726" s="27" t="n"/>
      <c r="B726" s="506" t="n"/>
      <c r="C726" s="141" t="n"/>
      <c r="D726" s="141" t="n"/>
      <c r="E726" s="141" t="n"/>
      <c r="F726" s="141" t="n"/>
      <c r="G726" s="143" t="n"/>
      <c r="H726" s="27" t="n"/>
    </row>
    <row r="727" ht="17.25" customHeight="1" s="322">
      <c r="A727" s="27" t="n"/>
      <c r="B727" s="506" t="n"/>
      <c r="C727" s="141" t="n"/>
      <c r="D727" s="141" t="n"/>
      <c r="E727" s="141" t="n"/>
      <c r="F727" s="141" t="n"/>
      <c r="G727" s="143" t="n"/>
      <c r="H727" s="27" t="n"/>
    </row>
    <row r="728" ht="17.25" customHeight="1" s="322">
      <c r="A728" s="27" t="n"/>
      <c r="B728" s="506" t="n"/>
      <c r="C728" s="141" t="n"/>
      <c r="D728" s="141" t="n"/>
      <c r="E728" s="141" t="n"/>
      <c r="F728" s="141" t="n"/>
      <c r="G728" s="143" t="n"/>
      <c r="H728" s="27" t="n"/>
    </row>
    <row r="729" ht="17.25" customHeight="1" s="322">
      <c r="A729" s="27" t="n"/>
      <c r="B729" s="506" t="n"/>
      <c r="C729" s="141" t="n"/>
      <c r="D729" s="141" t="n"/>
      <c r="E729" s="141" t="n"/>
      <c r="F729" s="141" t="n"/>
      <c r="G729" s="143" t="n"/>
      <c r="H729" s="27" t="n"/>
    </row>
    <row r="730" ht="17.25" customHeight="1" s="322">
      <c r="A730" s="27" t="n"/>
      <c r="B730" s="506" t="n"/>
      <c r="C730" s="141" t="n"/>
      <c r="D730" s="141" t="n"/>
      <c r="E730" s="141" t="n"/>
      <c r="F730" s="141" t="n"/>
      <c r="G730" s="143" t="n"/>
      <c r="H730" s="27" t="n"/>
    </row>
    <row r="731" ht="17.25" customHeight="1" s="322">
      <c r="A731" s="27" t="n"/>
      <c r="B731" s="506" t="n"/>
      <c r="C731" s="141" t="n"/>
      <c r="D731" s="141" t="n"/>
      <c r="E731" s="141" t="n"/>
      <c r="F731" s="141" t="n"/>
      <c r="G731" s="143" t="n"/>
      <c r="H731" s="27" t="n"/>
    </row>
    <row r="732" ht="17.25" customHeight="1" s="322">
      <c r="A732" s="27" t="n"/>
      <c r="B732" s="506" t="n"/>
      <c r="C732" s="141" t="n"/>
      <c r="D732" s="141" t="n"/>
      <c r="E732" s="141" t="n"/>
      <c r="F732" s="141" t="n"/>
      <c r="G732" s="143" t="n"/>
      <c r="H732" s="27" t="n"/>
    </row>
    <row r="733" ht="17.25" customHeight="1" s="322">
      <c r="A733" s="27" t="n"/>
      <c r="B733" s="506" t="n"/>
      <c r="C733" s="141" t="n"/>
      <c r="D733" s="141" t="n"/>
      <c r="E733" s="141" t="n"/>
      <c r="F733" s="141" t="n"/>
      <c r="G733" s="143" t="n"/>
      <c r="H733" s="27" t="n"/>
    </row>
    <row r="734" ht="17.25" customHeight="1" s="322">
      <c r="A734" s="27" t="n"/>
      <c r="B734" s="506" t="n"/>
      <c r="C734" s="141" t="n"/>
      <c r="D734" s="141" t="n"/>
      <c r="E734" s="141" t="n"/>
      <c r="F734" s="141" t="n"/>
      <c r="G734" s="143" t="n"/>
      <c r="H734" s="27" t="n"/>
    </row>
    <row r="735" ht="17.25" customHeight="1" s="322">
      <c r="A735" s="27" t="n"/>
      <c r="B735" s="506" t="n"/>
      <c r="C735" s="141" t="n"/>
      <c r="D735" s="141" t="n"/>
      <c r="E735" s="141" t="n"/>
      <c r="F735" s="141" t="n"/>
      <c r="G735" s="143" t="n"/>
      <c r="H735" s="27" t="n"/>
    </row>
    <row r="736" ht="17.25" customHeight="1" s="322">
      <c r="A736" s="27" t="n"/>
      <c r="B736" s="506" t="n"/>
      <c r="C736" s="141" t="n"/>
      <c r="D736" s="141" t="n"/>
      <c r="E736" s="141" t="n"/>
      <c r="F736" s="141" t="n"/>
      <c r="G736" s="143" t="n"/>
      <c r="H736" s="27" t="n"/>
    </row>
    <row r="737" ht="17.25" customHeight="1" s="322">
      <c r="A737" s="27" t="n"/>
      <c r="B737" s="506" t="n"/>
      <c r="C737" s="141" t="n"/>
      <c r="D737" s="141" t="n"/>
      <c r="E737" s="141" t="n"/>
      <c r="F737" s="141" t="n"/>
      <c r="G737" s="143" t="n"/>
      <c r="H737" s="27" t="n"/>
    </row>
    <row r="738" ht="17.25" customHeight="1" s="322">
      <c r="A738" s="27" t="n"/>
      <c r="B738" s="506" t="n"/>
      <c r="C738" s="141" t="n"/>
      <c r="D738" s="141" t="n"/>
      <c r="E738" s="141" t="n"/>
      <c r="F738" s="141" t="n"/>
      <c r="G738" s="143" t="n"/>
      <c r="H738" s="27" t="n"/>
    </row>
    <row r="739" ht="17.25" customHeight="1" s="322">
      <c r="A739" s="27" t="n"/>
      <c r="B739" s="506" t="n"/>
      <c r="C739" s="141" t="n"/>
      <c r="D739" s="141" t="n"/>
      <c r="E739" s="141" t="n"/>
      <c r="F739" s="141" t="n"/>
      <c r="G739" s="143" t="n"/>
      <c r="H739" s="27" t="n"/>
    </row>
    <row r="740" ht="17.25" customHeight="1" s="322">
      <c r="A740" s="27" t="n"/>
      <c r="B740" s="506" t="n"/>
      <c r="C740" s="141" t="n"/>
      <c r="D740" s="141" t="n"/>
      <c r="E740" s="141" t="n"/>
      <c r="F740" s="141" t="n"/>
      <c r="G740" s="143" t="n"/>
      <c r="H740" s="27" t="n"/>
    </row>
    <row r="741" ht="17.25" customHeight="1" s="322">
      <c r="A741" s="27" t="n"/>
      <c r="B741" s="506" t="n"/>
      <c r="C741" s="141" t="n"/>
      <c r="D741" s="141" t="n"/>
      <c r="E741" s="141" t="n"/>
      <c r="F741" s="141" t="n"/>
      <c r="G741" s="143" t="n"/>
      <c r="H741" s="27" t="n"/>
    </row>
    <row r="742" ht="17.25" customHeight="1" s="322">
      <c r="A742" s="27" t="n"/>
      <c r="B742" s="506" t="n"/>
      <c r="C742" s="141" t="n"/>
      <c r="D742" s="141" t="n"/>
      <c r="E742" s="141" t="n"/>
      <c r="F742" s="141" t="n"/>
      <c r="G742" s="143" t="n"/>
      <c r="H742" s="27" t="n"/>
    </row>
    <row r="743" ht="17.25" customHeight="1" s="322">
      <c r="A743" s="27" t="n"/>
      <c r="B743" s="506" t="n"/>
      <c r="C743" s="141" t="n"/>
      <c r="D743" s="141" t="n"/>
      <c r="E743" s="141" t="n"/>
      <c r="F743" s="141" t="n"/>
      <c r="G743" s="143" t="n"/>
      <c r="H743" s="27" t="n"/>
    </row>
    <row r="744" ht="17.25" customHeight="1" s="322">
      <c r="A744" s="27" t="n"/>
      <c r="B744" s="506" t="n"/>
      <c r="C744" s="141" t="n"/>
      <c r="D744" s="141" t="n"/>
      <c r="E744" s="141" t="n"/>
      <c r="F744" s="141" t="n"/>
      <c r="G744" s="143" t="n"/>
      <c r="H744" s="27" t="n"/>
    </row>
    <row r="745" ht="17.25" customHeight="1" s="322">
      <c r="A745" s="27" t="n"/>
      <c r="B745" s="506" t="n"/>
      <c r="C745" s="141" t="n"/>
      <c r="D745" s="141" t="n"/>
      <c r="E745" s="141" t="n"/>
      <c r="F745" s="141" t="n"/>
      <c r="G745" s="143" t="n"/>
      <c r="H745" s="27" t="n"/>
    </row>
    <row r="746" ht="17.25" customHeight="1" s="322">
      <c r="A746" s="27" t="n"/>
      <c r="B746" s="506" t="n"/>
      <c r="C746" s="141" t="n"/>
      <c r="D746" s="141" t="n"/>
      <c r="E746" s="141" t="n"/>
      <c r="F746" s="141" t="n"/>
      <c r="G746" s="143" t="n"/>
      <c r="H746" s="27" t="n"/>
    </row>
    <row r="747" ht="17.25" customHeight="1" s="322">
      <c r="A747" s="27" t="n"/>
      <c r="B747" s="506" t="n"/>
      <c r="C747" s="141" t="n"/>
      <c r="D747" s="141" t="n"/>
      <c r="E747" s="141" t="n"/>
      <c r="F747" s="141" t="n"/>
      <c r="G747" s="143" t="n"/>
      <c r="H747" s="27" t="n"/>
    </row>
    <row r="748" ht="17.25" customHeight="1" s="322">
      <c r="A748" s="27" t="n"/>
      <c r="B748" s="506" t="n"/>
      <c r="C748" s="141" t="n"/>
      <c r="D748" s="141" t="n"/>
      <c r="E748" s="141" t="n"/>
      <c r="F748" s="141" t="n"/>
      <c r="G748" s="143" t="n"/>
      <c r="H748" s="27" t="n"/>
    </row>
    <row r="749" ht="17.25" customHeight="1" s="322">
      <c r="A749" s="27" t="n"/>
      <c r="B749" s="506" t="n"/>
      <c r="C749" s="141" t="n"/>
      <c r="D749" s="141" t="n"/>
      <c r="E749" s="141" t="n"/>
      <c r="F749" s="141" t="n"/>
      <c r="G749" s="143" t="n"/>
      <c r="H749" s="27" t="n"/>
    </row>
    <row r="750" ht="17.25" customHeight="1" s="322">
      <c r="A750" s="27" t="n"/>
      <c r="B750" s="506" t="n"/>
      <c r="C750" s="141" t="n"/>
      <c r="D750" s="141" t="n"/>
      <c r="E750" s="141" t="n"/>
      <c r="F750" s="141" t="n"/>
      <c r="G750" s="143" t="n"/>
      <c r="H750" s="27" t="n"/>
    </row>
    <row r="751" ht="17.25" customHeight="1" s="322">
      <c r="A751" s="27" t="n"/>
      <c r="B751" s="506" t="n"/>
      <c r="C751" s="141" t="n"/>
      <c r="D751" s="141" t="n"/>
      <c r="E751" s="141" t="n"/>
      <c r="F751" s="141" t="n"/>
      <c r="G751" s="143" t="n"/>
      <c r="H751" s="27" t="n"/>
    </row>
    <row r="752" ht="17.25" customHeight="1" s="322">
      <c r="A752" s="27" t="n"/>
      <c r="B752" s="506" t="n"/>
      <c r="C752" s="141" t="n"/>
      <c r="D752" s="141" t="n"/>
      <c r="E752" s="141" t="n"/>
      <c r="F752" s="141" t="n"/>
      <c r="G752" s="143" t="n"/>
      <c r="H752" s="27" t="n"/>
    </row>
    <row r="753" ht="17.25" customHeight="1" s="322">
      <c r="A753" s="27" t="n"/>
      <c r="B753" s="506" t="n"/>
      <c r="C753" s="141" t="n"/>
      <c r="D753" s="141" t="n"/>
      <c r="E753" s="141" t="n"/>
      <c r="F753" s="141" t="n"/>
      <c r="G753" s="143" t="n"/>
      <c r="H753" s="27" t="n"/>
    </row>
    <row r="754" ht="17.25" customHeight="1" s="322">
      <c r="A754" s="27" t="n"/>
      <c r="B754" s="506" t="n"/>
      <c r="C754" s="141" t="n"/>
      <c r="D754" s="141" t="n"/>
      <c r="E754" s="141" t="n"/>
      <c r="F754" s="141" t="n"/>
      <c r="G754" s="143" t="n"/>
      <c r="H754" s="27" t="n"/>
    </row>
    <row r="755" ht="17.25" customHeight="1" s="322">
      <c r="A755" s="27" t="n"/>
      <c r="B755" s="506" t="n"/>
      <c r="C755" s="141" t="n"/>
      <c r="D755" s="141" t="n"/>
      <c r="E755" s="141" t="n"/>
      <c r="F755" s="141" t="n"/>
      <c r="G755" s="143" t="n"/>
      <c r="H755" s="27" t="n"/>
    </row>
    <row r="756" ht="17.25" customHeight="1" s="322">
      <c r="A756" s="27" t="n"/>
      <c r="B756" s="506" t="n"/>
      <c r="C756" s="141" t="n"/>
      <c r="D756" s="141" t="n"/>
      <c r="E756" s="141" t="n"/>
      <c r="F756" s="141" t="n"/>
      <c r="G756" s="143" t="n"/>
      <c r="H756" s="27" t="n"/>
    </row>
    <row r="757" ht="17.25" customHeight="1" s="322">
      <c r="A757" s="27" t="n"/>
      <c r="B757" s="506" t="n"/>
      <c r="C757" s="141" t="n"/>
      <c r="D757" s="141" t="n"/>
      <c r="E757" s="141" t="n"/>
      <c r="F757" s="141" t="n"/>
      <c r="G757" s="143" t="n"/>
      <c r="H757" s="27" t="n"/>
    </row>
    <row r="758" ht="17.25" customHeight="1" s="322">
      <c r="A758" s="27" t="n"/>
      <c r="B758" s="506" t="n"/>
      <c r="C758" s="141" t="n"/>
      <c r="D758" s="141" t="n"/>
      <c r="E758" s="141" t="n"/>
      <c r="F758" s="141" t="n"/>
      <c r="G758" s="143" t="n"/>
      <c r="H758" s="27" t="n"/>
    </row>
    <row r="759" ht="17.25" customHeight="1" s="322">
      <c r="A759" s="27" t="n"/>
      <c r="B759" s="506" t="n"/>
      <c r="C759" s="141" t="n"/>
      <c r="D759" s="141" t="n"/>
      <c r="E759" s="141" t="n"/>
      <c r="F759" s="141" t="n"/>
      <c r="G759" s="143" t="n"/>
      <c r="H759" s="27" t="n"/>
    </row>
    <row r="760" ht="17.25" customHeight="1" s="322">
      <c r="A760" s="27" t="n"/>
      <c r="B760" s="506" t="n"/>
      <c r="C760" s="141" t="n"/>
      <c r="D760" s="141" t="n"/>
      <c r="E760" s="141" t="n"/>
      <c r="F760" s="141" t="n"/>
      <c r="G760" s="143" t="n"/>
      <c r="H760" s="27" t="n"/>
    </row>
    <row r="761" ht="17.25" customHeight="1" s="322">
      <c r="A761" s="27" t="n"/>
      <c r="B761" s="506" t="n"/>
      <c r="C761" s="141" t="n"/>
      <c r="D761" s="141" t="n"/>
      <c r="E761" s="141" t="n"/>
      <c r="F761" s="141" t="n"/>
      <c r="G761" s="143" t="n"/>
      <c r="H761" s="27" t="n"/>
    </row>
    <row r="762" ht="17.25" customHeight="1" s="322">
      <c r="A762" s="27" t="n"/>
      <c r="B762" s="506" t="n"/>
      <c r="C762" s="141" t="n"/>
      <c r="D762" s="141" t="n"/>
      <c r="E762" s="141" t="n"/>
      <c r="F762" s="141" t="n"/>
      <c r="G762" s="143" t="n"/>
      <c r="H762" s="27" t="n"/>
    </row>
    <row r="763" ht="17.25" customHeight="1" s="322">
      <c r="A763" s="27" t="n"/>
      <c r="B763" s="506" t="n"/>
      <c r="C763" s="141" t="n"/>
      <c r="D763" s="141" t="n"/>
      <c r="E763" s="141" t="n"/>
      <c r="F763" s="141" t="n"/>
      <c r="G763" s="143" t="n"/>
      <c r="H763" s="27" t="n"/>
    </row>
    <row r="764" ht="17.25" customHeight="1" s="322">
      <c r="A764" s="27" t="n"/>
      <c r="B764" s="506" t="n"/>
      <c r="C764" s="141" t="n"/>
      <c r="D764" s="141" t="n"/>
      <c r="E764" s="141" t="n"/>
      <c r="F764" s="141" t="n"/>
      <c r="G764" s="143" t="n"/>
      <c r="H764" s="27" t="n"/>
    </row>
    <row r="765" ht="17.25" customHeight="1" s="322">
      <c r="A765" s="27" t="n"/>
      <c r="B765" s="506" t="n"/>
      <c r="C765" s="141" t="n"/>
      <c r="D765" s="141" t="n"/>
      <c r="E765" s="141" t="n"/>
      <c r="F765" s="141" t="n"/>
      <c r="G765" s="143" t="n"/>
      <c r="H765" s="27" t="n"/>
    </row>
    <row r="766" ht="17.25" customHeight="1" s="322">
      <c r="A766" s="27" t="n"/>
      <c r="B766" s="506" t="n"/>
      <c r="C766" s="141" t="n"/>
      <c r="D766" s="141" t="n"/>
      <c r="E766" s="141" t="n"/>
      <c r="F766" s="141" t="n"/>
      <c r="G766" s="143" t="n"/>
      <c r="H766" s="27" t="n"/>
    </row>
    <row r="767" ht="17.25" customHeight="1" s="322">
      <c r="A767" s="27" t="n"/>
      <c r="B767" s="506" t="n"/>
      <c r="C767" s="141" t="n"/>
      <c r="D767" s="141" t="n"/>
      <c r="E767" s="141" t="n"/>
      <c r="F767" s="141" t="n"/>
      <c r="G767" s="143" t="n"/>
      <c r="H767" s="27" t="n"/>
    </row>
    <row r="768" ht="17.25" customHeight="1" s="322">
      <c r="A768" s="27" t="n"/>
      <c r="B768" s="506" t="n"/>
      <c r="C768" s="141" t="n"/>
      <c r="D768" s="141" t="n"/>
      <c r="E768" s="141" t="n"/>
      <c r="F768" s="141" t="n"/>
      <c r="G768" s="143" t="n"/>
      <c r="H768" s="27" t="n"/>
    </row>
    <row r="769" ht="17.25" customHeight="1" s="322">
      <c r="A769" s="27" t="n"/>
      <c r="B769" s="506" t="n"/>
      <c r="C769" s="141" t="n"/>
      <c r="D769" s="141" t="n"/>
      <c r="E769" s="141" t="n"/>
      <c r="F769" s="141" t="n"/>
      <c r="G769" s="143" t="n"/>
      <c r="H769" s="27" t="n"/>
    </row>
    <row r="770" ht="17.25" customHeight="1" s="322">
      <c r="A770" s="27" t="n"/>
      <c r="B770" s="506" t="n"/>
      <c r="C770" s="141" t="n"/>
      <c r="D770" s="141" t="n"/>
      <c r="E770" s="141" t="n"/>
      <c r="F770" s="141" t="n"/>
      <c r="G770" s="143" t="n"/>
      <c r="H770" s="27" t="n"/>
    </row>
    <row r="771" ht="17.25" customHeight="1" s="322">
      <c r="A771" s="27" t="n"/>
      <c r="B771" s="506" t="n"/>
      <c r="C771" s="141" t="n"/>
      <c r="D771" s="141" t="n"/>
      <c r="E771" s="141" t="n"/>
      <c r="F771" s="141" t="n"/>
      <c r="G771" s="143" t="n"/>
      <c r="H771" s="27" t="n"/>
    </row>
    <row r="772" ht="17.25" customHeight="1" s="322">
      <c r="A772" s="27" t="n"/>
      <c r="B772" s="506" t="n"/>
      <c r="C772" s="141" t="n"/>
      <c r="D772" s="141" t="n"/>
      <c r="E772" s="141" t="n"/>
      <c r="F772" s="141" t="n"/>
      <c r="G772" s="143" t="n"/>
      <c r="H772" s="27" t="n"/>
    </row>
    <row r="773" ht="17.25" customHeight="1" s="322">
      <c r="A773" s="27" t="n"/>
      <c r="B773" s="506" t="n"/>
      <c r="C773" s="141" t="n"/>
      <c r="D773" s="141" t="n"/>
      <c r="E773" s="141" t="n"/>
      <c r="F773" s="141" t="n"/>
      <c r="G773" s="143" t="n"/>
      <c r="H773" s="27" t="n"/>
    </row>
    <row r="774" ht="17.25" customHeight="1" s="322">
      <c r="A774" s="27" t="n"/>
      <c r="B774" s="506" t="n"/>
      <c r="C774" s="141" t="n"/>
      <c r="D774" s="141" t="n"/>
      <c r="E774" s="141" t="n"/>
      <c r="F774" s="141" t="n"/>
      <c r="G774" s="143" t="n"/>
      <c r="H774" s="27" t="n"/>
    </row>
    <row r="775" ht="17.25" customHeight="1" s="322">
      <c r="A775" s="27" t="n"/>
      <c r="B775" s="506" t="n"/>
      <c r="C775" s="141" t="n"/>
      <c r="D775" s="141" t="n"/>
      <c r="E775" s="141" t="n"/>
      <c r="F775" s="141" t="n"/>
      <c r="G775" s="143" t="n"/>
      <c r="H775" s="27" t="n"/>
    </row>
    <row r="776" ht="17.25" customHeight="1" s="322">
      <c r="A776" s="27" t="n"/>
      <c r="B776" s="506" t="n"/>
      <c r="C776" s="141" t="n"/>
      <c r="D776" s="141" t="n"/>
      <c r="E776" s="141" t="n"/>
      <c r="F776" s="141" t="n"/>
      <c r="G776" s="143" t="n"/>
      <c r="H776" s="27" t="n"/>
    </row>
    <row r="777" ht="17.25" customHeight="1" s="322">
      <c r="A777" s="27" t="n"/>
      <c r="B777" s="506" t="n"/>
      <c r="C777" s="141" t="n"/>
      <c r="D777" s="141" t="n"/>
      <c r="E777" s="141" t="n"/>
      <c r="F777" s="141" t="n"/>
      <c r="G777" s="143" t="n"/>
      <c r="H777" s="27" t="n"/>
    </row>
    <row r="778" ht="17.25" customHeight="1" s="322">
      <c r="A778" s="27" t="n"/>
      <c r="B778" s="506" t="n"/>
      <c r="C778" s="141" t="n"/>
      <c r="D778" s="141" t="n"/>
      <c r="E778" s="141" t="n"/>
      <c r="F778" s="141" t="n"/>
      <c r="G778" s="143" t="n"/>
      <c r="H778" s="27" t="n"/>
    </row>
    <row r="779" ht="17.25" customHeight="1" s="322">
      <c r="A779" s="27" t="n"/>
      <c r="B779" s="506" t="n"/>
      <c r="C779" s="141" t="n"/>
      <c r="D779" s="141" t="n"/>
      <c r="E779" s="141" t="n"/>
      <c r="F779" s="141" t="n"/>
      <c r="G779" s="143" t="n"/>
      <c r="H779" s="27" t="n"/>
    </row>
    <row r="780" ht="17.25" customHeight="1" s="322">
      <c r="A780" s="27" t="n"/>
      <c r="B780" s="506" t="n"/>
      <c r="C780" s="141" t="n"/>
      <c r="D780" s="141" t="n"/>
      <c r="E780" s="141" t="n"/>
      <c r="F780" s="141" t="n"/>
      <c r="G780" s="143" t="n"/>
      <c r="H780" s="27" t="n"/>
    </row>
    <row r="781" ht="17.25" customHeight="1" s="322">
      <c r="A781" s="27" t="n"/>
      <c r="B781" s="506" t="n"/>
      <c r="C781" s="141" t="n"/>
      <c r="D781" s="141" t="n"/>
      <c r="E781" s="141" t="n"/>
      <c r="F781" s="141" t="n"/>
      <c r="G781" s="143" t="n"/>
      <c r="H781" s="27" t="n"/>
    </row>
    <row r="782" ht="17.25" customHeight="1" s="322">
      <c r="A782" s="27" t="n"/>
      <c r="B782" s="506" t="n"/>
      <c r="C782" s="141" t="n"/>
      <c r="D782" s="141" t="n"/>
      <c r="E782" s="141" t="n"/>
      <c r="F782" s="141" t="n"/>
      <c r="G782" s="143" t="n"/>
      <c r="H782" s="27" t="n"/>
    </row>
    <row r="783" ht="17.25" customHeight="1" s="322">
      <c r="A783" s="27" t="n"/>
      <c r="B783" s="506" t="n"/>
      <c r="C783" s="141" t="n"/>
      <c r="D783" s="141" t="n"/>
      <c r="E783" s="141" t="n"/>
      <c r="F783" s="141" t="n"/>
      <c r="G783" s="143" t="n"/>
      <c r="H783" s="27" t="n"/>
    </row>
    <row r="784" ht="17.25" customHeight="1" s="322">
      <c r="A784" s="27" t="n"/>
      <c r="B784" s="506" t="n"/>
      <c r="C784" s="141" t="n"/>
      <c r="D784" s="141" t="n"/>
      <c r="E784" s="141" t="n"/>
      <c r="F784" s="141" t="n"/>
      <c r="G784" s="143" t="n"/>
      <c r="H784" s="27" t="n"/>
    </row>
    <row r="785" ht="17.25" customHeight="1" s="322">
      <c r="A785" s="27" t="n"/>
      <c r="B785" s="506" t="n"/>
      <c r="C785" s="141" t="n"/>
      <c r="D785" s="141" t="n"/>
      <c r="E785" s="141" t="n"/>
      <c r="F785" s="141" t="n"/>
      <c r="G785" s="143" t="n"/>
      <c r="H785" s="27" t="n"/>
    </row>
    <row r="786" ht="17.25" customHeight="1" s="322">
      <c r="A786" s="27" t="n"/>
      <c r="B786" s="506" t="n"/>
      <c r="C786" s="141" t="n"/>
      <c r="D786" s="141" t="n"/>
      <c r="E786" s="141" t="n"/>
      <c r="F786" s="141" t="n"/>
      <c r="G786" s="143" t="n"/>
      <c r="H786" s="27" t="n"/>
    </row>
    <row r="787" ht="17.25" customHeight="1" s="322">
      <c r="A787" s="27" t="n"/>
      <c r="B787" s="506" t="n"/>
      <c r="C787" s="141" t="n"/>
      <c r="D787" s="141" t="n"/>
      <c r="E787" s="141" t="n"/>
      <c r="F787" s="141" t="n"/>
      <c r="G787" s="143" t="n"/>
      <c r="H787" s="27" t="n"/>
    </row>
    <row r="788" ht="17.25" customHeight="1" s="322">
      <c r="A788" s="27" t="n"/>
      <c r="B788" s="506" t="n"/>
      <c r="C788" s="141" t="n"/>
      <c r="D788" s="141" t="n"/>
      <c r="E788" s="141" t="n"/>
      <c r="F788" s="141" t="n"/>
      <c r="G788" s="143" t="n"/>
      <c r="H788" s="27" t="n"/>
    </row>
    <row r="789" ht="17.25" customHeight="1" s="322">
      <c r="A789" s="27" t="n"/>
      <c r="B789" s="506" t="n"/>
      <c r="C789" s="141" t="n"/>
      <c r="D789" s="141" t="n"/>
      <c r="E789" s="141" t="n"/>
      <c r="F789" s="141" t="n"/>
      <c r="G789" s="143" t="n"/>
      <c r="H789" s="27" t="n"/>
    </row>
    <row r="790" ht="17.25" customHeight="1" s="322">
      <c r="A790" s="27" t="n"/>
      <c r="B790" s="506" t="n"/>
      <c r="C790" s="141" t="n"/>
      <c r="D790" s="141" t="n"/>
      <c r="E790" s="141" t="n"/>
      <c r="F790" s="141" t="n"/>
      <c r="G790" s="143" t="n"/>
      <c r="H790" s="27" t="n"/>
    </row>
    <row r="791" ht="17.25" customHeight="1" s="322">
      <c r="A791" s="27" t="n"/>
      <c r="B791" s="506" t="n"/>
      <c r="C791" s="141" t="n"/>
      <c r="D791" s="141" t="n"/>
      <c r="E791" s="141" t="n"/>
      <c r="F791" s="141" t="n"/>
      <c r="G791" s="143" t="n"/>
      <c r="H791" s="27" t="n"/>
    </row>
    <row r="792" ht="17.25" customHeight="1" s="322">
      <c r="A792" s="27" t="n"/>
      <c r="B792" s="506" t="n"/>
      <c r="C792" s="141" t="n"/>
      <c r="D792" s="141" t="n"/>
      <c r="E792" s="141" t="n"/>
      <c r="F792" s="141" t="n"/>
      <c r="G792" s="143" t="n"/>
      <c r="H792" s="27" t="n"/>
    </row>
    <row r="793" ht="17.25" customHeight="1" s="322">
      <c r="A793" s="27" t="n"/>
      <c r="B793" s="506" t="n"/>
      <c r="C793" s="141" t="n"/>
      <c r="D793" s="141" t="n"/>
      <c r="E793" s="141" t="n"/>
      <c r="F793" s="141" t="n"/>
      <c r="G793" s="143" t="n"/>
      <c r="H793" s="27" t="n"/>
    </row>
    <row r="794" ht="17.25" customHeight="1" s="322">
      <c r="A794" s="27" t="n"/>
      <c r="B794" s="506" t="n"/>
      <c r="C794" s="141" t="n"/>
      <c r="D794" s="141" t="n"/>
      <c r="E794" s="141" t="n"/>
      <c r="F794" s="141" t="n"/>
      <c r="G794" s="143" t="n"/>
      <c r="H794" s="27" t="n"/>
    </row>
    <row r="795" ht="17.25" customHeight="1" s="322">
      <c r="A795" s="27" t="n"/>
      <c r="B795" s="506" t="n"/>
      <c r="C795" s="141" t="n"/>
      <c r="D795" s="141" t="n"/>
      <c r="E795" s="141" t="n"/>
      <c r="F795" s="141" t="n"/>
      <c r="G795" s="143" t="n"/>
      <c r="H795" s="27" t="n"/>
    </row>
    <row r="796" ht="17.25" customHeight="1" s="322">
      <c r="A796" s="27" t="n"/>
      <c r="B796" s="506" t="n"/>
      <c r="C796" s="141" t="n"/>
      <c r="D796" s="141" t="n"/>
      <c r="E796" s="141" t="n"/>
      <c r="F796" s="141" t="n"/>
      <c r="G796" s="143" t="n"/>
      <c r="H796" s="27" t="n"/>
    </row>
    <row r="797" ht="17.25" customHeight="1" s="322">
      <c r="A797" s="27" t="n"/>
      <c r="B797" s="506" t="n"/>
      <c r="C797" s="141" t="n"/>
      <c r="D797" s="141" t="n"/>
      <c r="E797" s="141" t="n"/>
      <c r="F797" s="141" t="n"/>
      <c r="G797" s="143" t="n"/>
      <c r="H797" s="27" t="n"/>
    </row>
    <row r="798" ht="17.25" customHeight="1" s="322">
      <c r="A798" s="27" t="n"/>
      <c r="B798" s="506" t="n"/>
      <c r="C798" s="141" t="n"/>
      <c r="D798" s="141" t="n"/>
      <c r="E798" s="141" t="n"/>
      <c r="F798" s="141" t="n"/>
      <c r="G798" s="143" t="n"/>
      <c r="H798" s="27" t="n"/>
    </row>
    <row r="799" ht="17.25" customHeight="1" s="322">
      <c r="A799" s="27" t="n"/>
      <c r="B799" s="506" t="n"/>
      <c r="C799" s="141" t="n"/>
      <c r="D799" s="141" t="n"/>
      <c r="E799" s="141" t="n"/>
      <c r="F799" s="141" t="n"/>
      <c r="G799" s="143" t="n"/>
      <c r="H799" s="27" t="n"/>
    </row>
    <row r="800" ht="17.25" customHeight="1" s="322">
      <c r="A800" s="27" t="n"/>
      <c r="B800" s="506" t="n"/>
      <c r="C800" s="141" t="n"/>
      <c r="D800" s="141" t="n"/>
      <c r="E800" s="141" t="n"/>
      <c r="F800" s="141" t="n"/>
      <c r="G800" s="143" t="n"/>
      <c r="H800" s="27" t="n"/>
    </row>
    <row r="801" ht="17.25" customHeight="1" s="322">
      <c r="A801" s="27" t="n"/>
      <c r="B801" s="506" t="n"/>
      <c r="C801" s="141" t="n"/>
      <c r="D801" s="141" t="n"/>
      <c r="E801" s="141" t="n"/>
      <c r="F801" s="141" t="n"/>
      <c r="G801" s="143" t="n"/>
      <c r="H801" s="27" t="n"/>
    </row>
    <row r="802" ht="17.25" customHeight="1" s="322">
      <c r="A802" s="27" t="n"/>
      <c r="B802" s="506" t="n"/>
      <c r="C802" s="141" t="n"/>
      <c r="D802" s="141" t="n"/>
      <c r="E802" s="141" t="n"/>
      <c r="F802" s="141" t="n"/>
      <c r="G802" s="143" t="n"/>
      <c r="H802" s="27" t="n"/>
    </row>
    <row r="803" ht="17.25" customHeight="1" s="322">
      <c r="A803" s="27" t="n"/>
      <c r="B803" s="506" t="n"/>
      <c r="C803" s="141" t="n"/>
      <c r="D803" s="141" t="n"/>
      <c r="E803" s="141" t="n"/>
      <c r="F803" s="141" t="n"/>
      <c r="G803" s="143" t="n"/>
      <c r="H803" s="27" t="n"/>
    </row>
    <row r="804" ht="17.25" customHeight="1" s="322">
      <c r="A804" s="27" t="n"/>
      <c r="B804" s="506" t="n"/>
      <c r="C804" s="141" t="n"/>
      <c r="D804" s="141" t="n"/>
      <c r="E804" s="141" t="n"/>
      <c r="F804" s="141" t="n"/>
      <c r="G804" s="143" t="n"/>
      <c r="H804" s="27" t="n"/>
    </row>
    <row r="805" ht="17.25" customHeight="1" s="322">
      <c r="A805" s="27" t="n"/>
      <c r="B805" s="506" t="n"/>
      <c r="C805" s="141" t="n"/>
      <c r="D805" s="141" t="n"/>
      <c r="E805" s="141" t="n"/>
      <c r="F805" s="141" t="n"/>
      <c r="G805" s="143" t="n"/>
      <c r="H805" s="27" t="n"/>
    </row>
    <row r="806" ht="17.25" customHeight="1" s="322">
      <c r="A806" s="27" t="n"/>
      <c r="B806" s="506" t="n"/>
      <c r="C806" s="141" t="n"/>
      <c r="D806" s="141" t="n"/>
      <c r="E806" s="141" t="n"/>
      <c r="F806" s="141" t="n"/>
      <c r="G806" s="143" t="n"/>
      <c r="H806" s="27" t="n"/>
    </row>
    <row r="807" ht="17.25" customHeight="1" s="322">
      <c r="A807" s="27" t="n"/>
      <c r="B807" s="506" t="n"/>
      <c r="C807" s="141" t="n"/>
      <c r="D807" s="141" t="n"/>
      <c r="E807" s="141" t="n"/>
      <c r="F807" s="141" t="n"/>
      <c r="G807" s="143" t="n"/>
      <c r="H807" s="27" t="n"/>
    </row>
    <row r="808" ht="17.25" customHeight="1" s="322">
      <c r="A808" s="27" t="n"/>
      <c r="B808" s="506" t="n"/>
      <c r="C808" s="141" t="n"/>
      <c r="D808" s="141" t="n"/>
      <c r="E808" s="141" t="n"/>
      <c r="F808" s="141" t="n"/>
      <c r="G808" s="143" t="n"/>
      <c r="H808" s="27" t="n"/>
    </row>
    <row r="809" ht="17.25" customHeight="1" s="322">
      <c r="A809" s="27" t="n"/>
      <c r="B809" s="506" t="n"/>
      <c r="C809" s="141" t="n"/>
      <c r="D809" s="141" t="n"/>
      <c r="E809" s="141" t="n"/>
      <c r="F809" s="141" t="n"/>
      <c r="G809" s="143" t="n"/>
      <c r="H809" s="27" t="n"/>
    </row>
    <row r="810" ht="17.25" customHeight="1" s="322">
      <c r="A810" s="27" t="n"/>
      <c r="B810" s="506" t="n"/>
      <c r="C810" s="141" t="n"/>
      <c r="D810" s="141" t="n"/>
      <c r="E810" s="141" t="n"/>
      <c r="F810" s="141" t="n"/>
      <c r="G810" s="143" t="n"/>
      <c r="H810" s="27" t="n"/>
    </row>
    <row r="811" ht="17.25" customHeight="1" s="322">
      <c r="A811" s="27" t="n"/>
      <c r="B811" s="506" t="n"/>
      <c r="C811" s="141" t="n"/>
      <c r="D811" s="141" t="n"/>
      <c r="E811" s="141" t="n"/>
      <c r="F811" s="141" t="n"/>
      <c r="G811" s="143" t="n"/>
      <c r="H811" s="27" t="n"/>
    </row>
    <row r="812" ht="17.25" customHeight="1" s="322">
      <c r="A812" s="27" t="n"/>
      <c r="B812" s="506" t="n"/>
      <c r="C812" s="141" t="n"/>
      <c r="D812" s="141" t="n"/>
      <c r="E812" s="141" t="n"/>
      <c r="F812" s="141" t="n"/>
      <c r="G812" s="143" t="n"/>
      <c r="H812" s="27" t="n"/>
    </row>
    <row r="813" ht="17.25" customHeight="1" s="322">
      <c r="A813" s="27" t="n"/>
      <c r="B813" s="506" t="n"/>
      <c r="C813" s="141" t="n"/>
      <c r="D813" s="141" t="n"/>
      <c r="E813" s="141" t="n"/>
      <c r="F813" s="141" t="n"/>
      <c r="G813" s="143" t="n"/>
      <c r="H813" s="27" t="n"/>
    </row>
    <row r="814" ht="17.25" customHeight="1" s="322">
      <c r="A814" s="27" t="n"/>
      <c r="B814" s="506" t="n"/>
      <c r="C814" s="141" t="n"/>
      <c r="D814" s="141" t="n"/>
      <c r="E814" s="141" t="n"/>
      <c r="F814" s="141" t="n"/>
      <c r="G814" s="143" t="n"/>
      <c r="H814" s="27" t="n"/>
    </row>
    <row r="815" ht="17.25" customHeight="1" s="322">
      <c r="A815" s="27" t="n"/>
      <c r="B815" s="506" t="n"/>
      <c r="C815" s="141" t="n"/>
      <c r="D815" s="141" t="n"/>
      <c r="E815" s="141" t="n"/>
      <c r="F815" s="141" t="n"/>
      <c r="G815" s="143" t="n"/>
      <c r="H815" s="27" t="n"/>
    </row>
    <row r="816" ht="17.25" customHeight="1" s="322">
      <c r="A816" s="27" t="n"/>
      <c r="B816" s="506" t="n"/>
      <c r="C816" s="141" t="n"/>
      <c r="D816" s="141" t="n"/>
      <c r="E816" s="141" t="n"/>
      <c r="F816" s="141" t="n"/>
      <c r="G816" s="143" t="n"/>
      <c r="H816" s="27" t="n"/>
    </row>
    <row r="817" ht="17.25" customHeight="1" s="322">
      <c r="A817" s="27" t="n"/>
      <c r="B817" s="506" t="n"/>
      <c r="C817" s="141" t="n"/>
      <c r="D817" s="141" t="n"/>
      <c r="E817" s="141" t="n"/>
      <c r="F817" s="141" t="n"/>
      <c r="G817" s="143" t="n"/>
      <c r="H817" s="27" t="n"/>
    </row>
    <row r="818" ht="17.25" customHeight="1" s="322">
      <c r="A818" s="27" t="n"/>
      <c r="B818" s="506" t="n"/>
      <c r="C818" s="141" t="n"/>
      <c r="D818" s="141" t="n"/>
      <c r="E818" s="141" t="n"/>
      <c r="F818" s="141" t="n"/>
      <c r="G818" s="143" t="n"/>
      <c r="H818" s="27" t="n"/>
    </row>
    <row r="819" ht="17.25" customHeight="1" s="322">
      <c r="A819" s="27" t="n"/>
      <c r="B819" s="506" t="n"/>
      <c r="C819" s="141" t="n"/>
      <c r="D819" s="141" t="n"/>
      <c r="E819" s="141" t="n"/>
      <c r="F819" s="141" t="n"/>
      <c r="G819" s="143" t="n"/>
      <c r="H819" s="27" t="n"/>
    </row>
    <row r="820" ht="17.25" customHeight="1" s="322">
      <c r="A820" s="27" t="n"/>
      <c r="B820" s="506" t="n"/>
      <c r="C820" s="141" t="n"/>
      <c r="D820" s="141" t="n"/>
      <c r="E820" s="141" t="n"/>
      <c r="F820" s="141" t="n"/>
      <c r="G820" s="143" t="n"/>
      <c r="H820" s="27" t="n"/>
    </row>
    <row r="821" ht="17.25" customHeight="1" s="322">
      <c r="A821" s="27" t="n"/>
      <c r="B821" s="506" t="n"/>
      <c r="C821" s="141" t="n"/>
      <c r="D821" s="141" t="n"/>
      <c r="E821" s="141" t="n"/>
      <c r="F821" s="141" t="n"/>
      <c r="G821" s="143" t="n"/>
      <c r="H821" s="27" t="n"/>
    </row>
    <row r="822" ht="17.25" customHeight="1" s="322">
      <c r="A822" s="27" t="n"/>
      <c r="B822" s="506" t="n"/>
      <c r="C822" s="141" t="n"/>
      <c r="D822" s="141" t="n"/>
      <c r="E822" s="141" t="n"/>
      <c r="F822" s="141" t="n"/>
      <c r="G822" s="143" t="n"/>
      <c r="H822" s="27" t="n"/>
    </row>
    <row r="823" ht="17.25" customHeight="1" s="322">
      <c r="A823" s="27" t="n"/>
      <c r="B823" s="506" t="n"/>
      <c r="C823" s="141" t="n"/>
      <c r="D823" s="141" t="n"/>
      <c r="E823" s="141" t="n"/>
      <c r="F823" s="141" t="n"/>
      <c r="G823" s="143" t="n"/>
      <c r="H823" s="27" t="n"/>
    </row>
    <row r="824" ht="17.25" customHeight="1" s="322">
      <c r="A824" s="27" t="n"/>
      <c r="B824" s="506" t="n"/>
      <c r="C824" s="141" t="n"/>
      <c r="D824" s="141" t="n"/>
      <c r="E824" s="141" t="n"/>
      <c r="F824" s="141" t="n"/>
      <c r="G824" s="143" t="n"/>
      <c r="H824" s="27" t="n"/>
    </row>
    <row r="825" ht="17.25" customHeight="1" s="322">
      <c r="A825" s="27" t="n"/>
      <c r="B825" s="506" t="n"/>
      <c r="C825" s="141" t="n"/>
      <c r="D825" s="141" t="n"/>
      <c r="E825" s="141" t="n"/>
      <c r="F825" s="141" t="n"/>
      <c r="G825" s="143" t="n"/>
      <c r="H825" s="27" t="n"/>
    </row>
    <row r="826" ht="17.25" customHeight="1" s="322">
      <c r="A826" s="27" t="n"/>
      <c r="B826" s="506" t="n"/>
      <c r="C826" s="141" t="n"/>
      <c r="D826" s="141" t="n"/>
      <c r="E826" s="141" t="n"/>
      <c r="F826" s="141" t="n"/>
      <c r="G826" s="143" t="n"/>
      <c r="H826" s="27" t="n"/>
    </row>
    <row r="827" ht="17.25" customHeight="1" s="322">
      <c r="A827" s="27" t="n"/>
      <c r="B827" s="506" t="n"/>
      <c r="C827" s="141" t="n"/>
      <c r="D827" s="141" t="n"/>
      <c r="E827" s="141" t="n"/>
      <c r="F827" s="141" t="n"/>
      <c r="G827" s="143" t="n"/>
      <c r="H827" s="27" t="n"/>
    </row>
    <row r="828" ht="17.25" customHeight="1" s="322">
      <c r="A828" s="27" t="n"/>
      <c r="B828" s="506" t="n"/>
      <c r="C828" s="141" t="n"/>
      <c r="D828" s="141" t="n"/>
      <c r="E828" s="141" t="n"/>
      <c r="F828" s="141" t="n"/>
      <c r="G828" s="143" t="n"/>
      <c r="H828" s="27" t="n"/>
    </row>
    <row r="829" ht="17.25" customHeight="1" s="322">
      <c r="A829" s="27" t="n"/>
      <c r="B829" s="506" t="n"/>
      <c r="C829" s="141" t="n"/>
      <c r="D829" s="141" t="n"/>
      <c r="E829" s="141" t="n"/>
      <c r="F829" s="141" t="n"/>
      <c r="G829" s="143" t="n"/>
      <c r="H829" s="27" t="n"/>
    </row>
    <row r="830" ht="17.25" customHeight="1" s="322">
      <c r="A830" s="27" t="n"/>
      <c r="B830" s="506" t="n"/>
      <c r="C830" s="141" t="n"/>
      <c r="D830" s="141" t="n"/>
      <c r="E830" s="141" t="n"/>
      <c r="F830" s="141" t="n"/>
      <c r="G830" s="143" t="n"/>
      <c r="H830" s="27" t="n"/>
    </row>
    <row r="831" ht="17.25" customHeight="1" s="322">
      <c r="A831" s="27" t="n"/>
      <c r="B831" s="506" t="n"/>
      <c r="C831" s="141" t="n"/>
      <c r="D831" s="141" t="n"/>
      <c r="E831" s="141" t="n"/>
      <c r="F831" s="141" t="n"/>
      <c r="G831" s="143" t="n"/>
      <c r="H831" s="27" t="n"/>
    </row>
    <row r="832" ht="17.25" customHeight="1" s="322">
      <c r="A832" s="27" t="n"/>
      <c r="B832" s="506" t="n"/>
      <c r="C832" s="141" t="n"/>
      <c r="D832" s="141" t="n"/>
      <c r="E832" s="141" t="n"/>
      <c r="F832" s="141" t="n"/>
      <c r="G832" s="143" t="n"/>
      <c r="H832" s="27" t="n"/>
    </row>
    <row r="833" ht="17.25" customHeight="1" s="322">
      <c r="A833" s="27" t="n"/>
      <c r="B833" s="506" t="n"/>
      <c r="C833" s="141" t="n"/>
      <c r="D833" s="141" t="n"/>
      <c r="E833" s="141" t="n"/>
      <c r="F833" s="141" t="n"/>
      <c r="G833" s="143" t="n"/>
      <c r="H833" s="27" t="n"/>
    </row>
    <row r="834" ht="17.25" customHeight="1" s="322">
      <c r="A834" s="27" t="n"/>
      <c r="B834" s="506" t="n"/>
      <c r="C834" s="141" t="n"/>
      <c r="D834" s="141" t="n"/>
      <c r="E834" s="141" t="n"/>
      <c r="F834" s="141" t="n"/>
      <c r="G834" s="143" t="n"/>
      <c r="H834" s="27" t="n"/>
    </row>
    <row r="835" ht="17.25" customHeight="1" s="322">
      <c r="A835" s="27" t="n"/>
      <c r="B835" s="506" t="n"/>
      <c r="C835" s="141" t="n"/>
      <c r="D835" s="141" t="n"/>
      <c r="E835" s="141" t="n"/>
      <c r="F835" s="141" t="n"/>
      <c r="G835" s="143" t="n"/>
      <c r="H835" s="27" t="n"/>
    </row>
    <row r="836" ht="17.25" customHeight="1" s="322">
      <c r="A836" s="27" t="n"/>
      <c r="B836" s="506" t="n"/>
      <c r="C836" s="141" t="n"/>
      <c r="D836" s="141" t="n"/>
      <c r="E836" s="141" t="n"/>
      <c r="F836" s="141" t="n"/>
      <c r="G836" s="143" t="n"/>
      <c r="H836" s="27" t="n"/>
    </row>
    <row r="837" ht="17.25" customHeight="1" s="322">
      <c r="A837" s="27" t="n"/>
      <c r="B837" s="506" t="n"/>
      <c r="C837" s="141" t="n"/>
      <c r="D837" s="141" t="n"/>
      <c r="E837" s="141" t="n"/>
      <c r="F837" s="141" t="n"/>
      <c r="G837" s="143" t="n"/>
      <c r="H837" s="27" t="n"/>
    </row>
    <row r="838" ht="17.25" customHeight="1" s="322">
      <c r="A838" s="27" t="n"/>
      <c r="B838" s="506" t="n"/>
      <c r="C838" s="141" t="n"/>
      <c r="D838" s="141" t="n"/>
      <c r="E838" s="141" t="n"/>
      <c r="F838" s="141" t="n"/>
      <c r="G838" s="143" t="n"/>
      <c r="H838" s="27" t="n"/>
    </row>
    <row r="839" ht="17.25" customHeight="1" s="322">
      <c r="A839" s="27" t="n"/>
      <c r="B839" s="506" t="n"/>
      <c r="C839" s="141" t="n"/>
      <c r="D839" s="141" t="n"/>
      <c r="E839" s="141" t="n"/>
      <c r="F839" s="141" t="n"/>
      <c r="G839" s="143" t="n"/>
      <c r="H839" s="27" t="n"/>
    </row>
    <row r="840" ht="17.25" customHeight="1" s="322">
      <c r="A840" s="27" t="n"/>
      <c r="B840" s="506" t="n"/>
      <c r="C840" s="141" t="n"/>
      <c r="D840" s="141" t="n"/>
      <c r="E840" s="141" t="n"/>
      <c r="F840" s="141" t="n"/>
      <c r="G840" s="143" t="n"/>
      <c r="H840" s="27" t="n"/>
    </row>
    <row r="841" ht="17.25" customHeight="1" s="322">
      <c r="A841" s="27" t="n"/>
      <c r="B841" s="506" t="n"/>
      <c r="C841" s="141" t="n"/>
      <c r="D841" s="141" t="n"/>
      <c r="E841" s="141" t="n"/>
      <c r="F841" s="141" t="n"/>
      <c r="G841" s="143" t="n"/>
      <c r="H841" s="27" t="n"/>
    </row>
    <row r="842" ht="17.25" customHeight="1" s="322">
      <c r="A842" s="27" t="n"/>
      <c r="B842" s="506" t="n"/>
      <c r="C842" s="141" t="n"/>
      <c r="D842" s="141" t="n"/>
      <c r="E842" s="141" t="n"/>
      <c r="F842" s="141" t="n"/>
      <c r="G842" s="143" t="n"/>
      <c r="H842" s="27" t="n"/>
    </row>
    <row r="843" ht="17.25" customHeight="1" s="322">
      <c r="A843" s="27" t="n"/>
      <c r="B843" s="506" t="n"/>
      <c r="C843" s="141" t="n"/>
      <c r="D843" s="141" t="n"/>
      <c r="E843" s="141" t="n"/>
      <c r="F843" s="141" t="n"/>
      <c r="G843" s="143" t="n"/>
      <c r="H843" s="27" t="n"/>
    </row>
    <row r="844" ht="17.25" customHeight="1" s="322">
      <c r="A844" s="27" t="n"/>
      <c r="B844" s="506" t="n"/>
      <c r="C844" s="141" t="n"/>
      <c r="D844" s="141" t="n"/>
      <c r="E844" s="141" t="n"/>
      <c r="F844" s="141" t="n"/>
      <c r="G844" s="143" t="n"/>
      <c r="H844" s="27" t="n"/>
    </row>
    <row r="845" ht="17.25" customHeight="1" s="322">
      <c r="A845" s="27" t="n"/>
      <c r="B845" s="506" t="n"/>
      <c r="C845" s="141" t="n"/>
      <c r="D845" s="141" t="n"/>
      <c r="E845" s="141" t="n"/>
      <c r="F845" s="141" t="n"/>
      <c r="G845" s="143" t="n"/>
      <c r="H845" s="27" t="n"/>
    </row>
    <row r="846" ht="17.25" customHeight="1" s="322">
      <c r="A846" s="27" t="n"/>
      <c r="B846" s="506" t="n"/>
      <c r="C846" s="141" t="n"/>
      <c r="D846" s="141" t="n"/>
      <c r="E846" s="141" t="n"/>
      <c r="F846" s="141" t="n"/>
      <c r="G846" s="143" t="n"/>
      <c r="H846" s="27" t="n"/>
    </row>
    <row r="847" ht="17.25" customHeight="1" s="322">
      <c r="A847" s="27" t="n"/>
      <c r="B847" s="506" t="n"/>
      <c r="C847" s="141" t="n"/>
      <c r="D847" s="141" t="n"/>
      <c r="E847" s="141" t="n"/>
      <c r="F847" s="141" t="n"/>
      <c r="G847" s="143" t="n"/>
      <c r="H847" s="27" t="n"/>
    </row>
    <row r="848" ht="17.25" customHeight="1" s="322">
      <c r="A848" s="27" t="n"/>
      <c r="B848" s="506" t="n"/>
      <c r="C848" s="141" t="n"/>
      <c r="D848" s="141" t="n"/>
      <c r="E848" s="141" t="n"/>
      <c r="F848" s="141" t="n"/>
      <c r="G848" s="143" t="n"/>
      <c r="H848" s="27" t="n"/>
    </row>
    <row r="849" ht="17.25" customHeight="1" s="322">
      <c r="A849" s="27" t="n"/>
      <c r="B849" s="506" t="n"/>
      <c r="C849" s="141" t="n"/>
      <c r="D849" s="141" t="n"/>
      <c r="E849" s="141" t="n"/>
      <c r="F849" s="141" t="n"/>
      <c r="G849" s="143" t="n"/>
      <c r="H849" s="27" t="n"/>
    </row>
    <row r="850" ht="17.25" customHeight="1" s="322">
      <c r="A850" s="27" t="n"/>
      <c r="B850" s="506" t="n"/>
      <c r="C850" s="141" t="n"/>
      <c r="D850" s="141" t="n"/>
      <c r="E850" s="141" t="n"/>
      <c r="F850" s="141" t="n"/>
      <c r="G850" s="143" t="n"/>
      <c r="H850" s="27" t="n"/>
    </row>
    <row r="851" ht="17.25" customHeight="1" s="322">
      <c r="A851" s="27" t="n"/>
      <c r="B851" s="506" t="n"/>
      <c r="C851" s="141" t="n"/>
      <c r="D851" s="141" t="n"/>
      <c r="E851" s="141" t="n"/>
      <c r="F851" s="141" t="n"/>
      <c r="G851" s="143" t="n"/>
      <c r="H851" s="27" t="n"/>
    </row>
    <row r="852" ht="17.25" customHeight="1" s="322">
      <c r="A852" s="27" t="n"/>
      <c r="B852" s="506" t="n"/>
      <c r="C852" s="141" t="n"/>
      <c r="D852" s="141" t="n"/>
      <c r="E852" s="141" t="n"/>
      <c r="F852" s="141" t="n"/>
      <c r="G852" s="143" t="n"/>
      <c r="H852" s="27" t="n"/>
    </row>
    <row r="853" ht="17.25" customHeight="1" s="322">
      <c r="A853" s="27" t="n"/>
      <c r="B853" s="506" t="n"/>
      <c r="C853" s="141" t="n"/>
      <c r="D853" s="141" t="n"/>
      <c r="E853" s="141" t="n"/>
      <c r="F853" s="141" t="n"/>
      <c r="G853" s="143" t="n"/>
      <c r="H853" s="27" t="n"/>
    </row>
    <row r="854" ht="17.25" customHeight="1" s="322">
      <c r="A854" s="27" t="n"/>
      <c r="B854" s="506" t="n"/>
      <c r="C854" s="141" t="n"/>
      <c r="D854" s="141" t="n"/>
      <c r="E854" s="141" t="n"/>
      <c r="F854" s="141" t="n"/>
      <c r="G854" s="143" t="n"/>
      <c r="H854" s="27" t="n"/>
    </row>
    <row r="855" ht="17.25" customHeight="1" s="322">
      <c r="A855" s="27" t="n"/>
      <c r="B855" s="506" t="n"/>
      <c r="C855" s="141" t="n"/>
      <c r="D855" s="141" t="n"/>
      <c r="E855" s="141" t="n"/>
      <c r="F855" s="141" t="n"/>
      <c r="G855" s="143" t="n"/>
      <c r="H855" s="27" t="n"/>
    </row>
    <row r="856" ht="17.25" customHeight="1" s="322">
      <c r="A856" s="27" t="n"/>
      <c r="B856" s="506" t="n"/>
      <c r="C856" s="141" t="n"/>
      <c r="D856" s="141" t="n"/>
      <c r="E856" s="141" t="n"/>
      <c r="F856" s="141" t="n"/>
      <c r="G856" s="143" t="n"/>
      <c r="H856" s="27" t="n"/>
    </row>
    <row r="857" ht="17.25" customHeight="1" s="322">
      <c r="A857" s="27" t="n"/>
      <c r="B857" s="506" t="n"/>
      <c r="C857" s="141" t="n"/>
      <c r="D857" s="141" t="n"/>
      <c r="E857" s="141" t="n"/>
      <c r="F857" s="141" t="n"/>
      <c r="G857" s="143" t="n"/>
      <c r="H857" s="27" t="n"/>
    </row>
    <row r="858" ht="17.25" customHeight="1" s="322">
      <c r="A858" s="27" t="n"/>
      <c r="B858" s="506" t="n"/>
      <c r="C858" s="141" t="n"/>
      <c r="D858" s="141" t="n"/>
      <c r="E858" s="141" t="n"/>
      <c r="F858" s="141" t="n"/>
      <c r="G858" s="143" t="n"/>
      <c r="H858" s="27" t="n"/>
    </row>
    <row r="859" ht="17.25" customHeight="1" s="322">
      <c r="A859" s="27" t="n"/>
      <c r="B859" s="506" t="n"/>
      <c r="C859" s="141" t="n"/>
      <c r="D859" s="141" t="n"/>
      <c r="E859" s="141" t="n"/>
      <c r="F859" s="141" t="n"/>
      <c r="G859" s="143" t="n"/>
      <c r="H859" s="27" t="n"/>
    </row>
    <row r="860" ht="17.25" customHeight="1" s="322">
      <c r="A860" s="27" t="n"/>
      <c r="B860" s="506" t="n"/>
      <c r="C860" s="141" t="n"/>
      <c r="D860" s="141" t="n"/>
      <c r="E860" s="141" t="n"/>
      <c r="F860" s="141" t="n"/>
      <c r="G860" s="143" t="n"/>
      <c r="H860" s="27" t="n"/>
    </row>
    <row r="861" ht="17.25" customHeight="1" s="322">
      <c r="A861" s="27" t="n"/>
      <c r="B861" s="506" t="n"/>
      <c r="C861" s="141" t="n"/>
      <c r="D861" s="141" t="n"/>
      <c r="E861" s="141" t="n"/>
      <c r="F861" s="141" t="n"/>
      <c r="G861" s="143" t="n"/>
      <c r="H861" s="27" t="n"/>
    </row>
    <row r="862" ht="17.25" customHeight="1" s="322">
      <c r="A862" s="27" t="n"/>
      <c r="B862" s="506" t="n"/>
      <c r="C862" s="141" t="n"/>
      <c r="D862" s="141" t="n"/>
      <c r="E862" s="141" t="n"/>
      <c r="F862" s="141" t="n"/>
      <c r="G862" s="143" t="n"/>
      <c r="H862" s="27" t="n"/>
    </row>
    <row r="863" ht="17.25" customHeight="1" s="322">
      <c r="A863" s="27" t="n"/>
      <c r="B863" s="506" t="n"/>
      <c r="C863" s="141" t="n"/>
      <c r="D863" s="141" t="n"/>
      <c r="E863" s="141" t="n"/>
      <c r="F863" s="141" t="n"/>
      <c r="G863" s="143" t="n"/>
      <c r="H863" s="27" t="n"/>
    </row>
    <row r="864" ht="17.25" customHeight="1" s="322">
      <c r="A864" s="27" t="n"/>
      <c r="B864" s="506" t="n"/>
      <c r="C864" s="141" t="n"/>
      <c r="D864" s="141" t="n"/>
      <c r="E864" s="141" t="n"/>
      <c r="F864" s="141" t="n"/>
      <c r="G864" s="143" t="n"/>
      <c r="H864" s="27" t="n"/>
    </row>
    <row r="865" ht="17.25" customHeight="1" s="322">
      <c r="A865" s="27" t="n"/>
      <c r="B865" s="506" t="n"/>
      <c r="C865" s="141" t="n"/>
      <c r="D865" s="141" t="n"/>
      <c r="E865" s="141" t="n"/>
      <c r="F865" s="141" t="n"/>
      <c r="G865" s="143" t="n"/>
      <c r="H865" s="27" t="n"/>
    </row>
    <row r="866" ht="17.25" customHeight="1" s="322">
      <c r="A866" s="27" t="n"/>
      <c r="B866" s="506" t="n"/>
      <c r="C866" s="141" t="n"/>
      <c r="D866" s="141" t="n"/>
      <c r="E866" s="141" t="n"/>
      <c r="F866" s="141" t="n"/>
      <c r="G866" s="143" t="n"/>
      <c r="H866" s="27" t="n"/>
    </row>
    <row r="867" ht="17.25" customHeight="1" s="322">
      <c r="A867" s="27" t="n"/>
      <c r="B867" s="506" t="n"/>
      <c r="C867" s="141" t="n"/>
      <c r="D867" s="141" t="n"/>
      <c r="E867" s="141" t="n"/>
      <c r="F867" s="141" t="n"/>
      <c r="G867" s="143" t="n"/>
      <c r="H867" s="27" t="n"/>
    </row>
    <row r="868" ht="17.25" customHeight="1" s="322">
      <c r="A868" s="27" t="n"/>
      <c r="B868" s="506" t="n"/>
      <c r="C868" s="141" t="n"/>
      <c r="D868" s="141" t="n"/>
      <c r="E868" s="141" t="n"/>
      <c r="F868" s="141" t="n"/>
      <c r="G868" s="143" t="n"/>
      <c r="H868" s="27" t="n"/>
    </row>
    <row r="869" ht="17.25" customHeight="1" s="322">
      <c r="A869" s="27" t="n"/>
      <c r="B869" s="506" t="n"/>
      <c r="C869" s="141" t="n"/>
      <c r="D869" s="141" t="n"/>
      <c r="E869" s="141" t="n"/>
      <c r="F869" s="141" t="n"/>
      <c r="G869" s="143" t="n"/>
      <c r="H869" s="27" t="n"/>
    </row>
    <row r="870" ht="17.25" customHeight="1" s="322">
      <c r="A870" s="27" t="n"/>
      <c r="B870" s="506" t="n"/>
      <c r="C870" s="141" t="n"/>
      <c r="D870" s="141" t="n"/>
      <c r="E870" s="141" t="n"/>
      <c r="F870" s="141" t="n"/>
      <c r="G870" s="143" t="n"/>
      <c r="H870" s="27" t="n"/>
    </row>
    <row r="871" ht="17.25" customHeight="1" s="322">
      <c r="A871" s="27" t="n"/>
      <c r="B871" s="506" t="n"/>
      <c r="C871" s="141" t="n"/>
      <c r="D871" s="141" t="n"/>
      <c r="E871" s="141" t="n"/>
      <c r="F871" s="141" t="n"/>
      <c r="G871" s="143" t="n"/>
      <c r="H871" s="27" t="n"/>
    </row>
    <row r="872" ht="17.25" customHeight="1" s="322">
      <c r="A872" s="27" t="n"/>
      <c r="B872" s="506" t="n"/>
      <c r="C872" s="141" t="n"/>
      <c r="D872" s="141" t="n"/>
      <c r="E872" s="141" t="n"/>
      <c r="F872" s="141" t="n"/>
      <c r="G872" s="143" t="n"/>
      <c r="H872" s="27" t="n"/>
    </row>
    <row r="873" ht="17.25" customHeight="1" s="322">
      <c r="A873" s="27" t="n"/>
      <c r="B873" s="506" t="n"/>
      <c r="C873" s="141" t="n"/>
      <c r="D873" s="141" t="n"/>
      <c r="E873" s="141" t="n"/>
      <c r="F873" s="141" t="n"/>
      <c r="G873" s="143" t="n"/>
      <c r="H873" s="27" t="n"/>
    </row>
    <row r="874" ht="17.25" customHeight="1" s="322">
      <c r="A874" s="27" t="n"/>
      <c r="B874" s="506" t="n"/>
      <c r="C874" s="141" t="n"/>
      <c r="D874" s="141" t="n"/>
      <c r="E874" s="141" t="n"/>
      <c r="F874" s="141" t="n"/>
      <c r="G874" s="143" t="n"/>
      <c r="H874" s="27" t="n"/>
    </row>
    <row r="875" ht="17.25" customHeight="1" s="322">
      <c r="A875" s="27" t="n"/>
      <c r="B875" s="506" t="n"/>
      <c r="C875" s="141" t="n"/>
      <c r="D875" s="141" t="n"/>
      <c r="E875" s="141" t="n"/>
      <c r="F875" s="141" t="n"/>
      <c r="G875" s="143" t="n"/>
      <c r="H875" s="27" t="n"/>
    </row>
    <row r="876" ht="17.25" customHeight="1" s="322">
      <c r="A876" s="27" t="n"/>
      <c r="B876" s="506" t="n"/>
      <c r="C876" s="141" t="n"/>
      <c r="D876" s="141" t="n"/>
      <c r="E876" s="141" t="n"/>
      <c r="F876" s="141" t="n"/>
      <c r="G876" s="143" t="n"/>
      <c r="H876" s="27" t="n"/>
    </row>
    <row r="877" ht="17.25" customHeight="1" s="322">
      <c r="A877" s="27" t="n"/>
      <c r="B877" s="506" t="n"/>
      <c r="C877" s="141" t="n"/>
      <c r="D877" s="141" t="n"/>
      <c r="E877" s="141" t="n"/>
      <c r="F877" s="141" t="n"/>
      <c r="G877" s="143" t="n"/>
      <c r="H877" s="27" t="n"/>
    </row>
    <row r="878" ht="17.25" customHeight="1" s="322">
      <c r="A878" s="27" t="n"/>
      <c r="B878" s="506" t="n"/>
      <c r="C878" s="141" t="n"/>
      <c r="D878" s="141" t="n"/>
      <c r="E878" s="141" t="n"/>
      <c r="F878" s="141" t="n"/>
      <c r="G878" s="143" t="n"/>
      <c r="H878" s="27" t="n"/>
    </row>
    <row r="879" ht="17.25" customHeight="1" s="322">
      <c r="A879" s="27" t="n"/>
      <c r="B879" s="506" t="n"/>
      <c r="C879" s="141" t="n"/>
      <c r="D879" s="141" t="n"/>
      <c r="E879" s="141" t="n"/>
      <c r="F879" s="141" t="n"/>
      <c r="G879" s="143" t="n"/>
      <c r="H879" s="27" t="n"/>
    </row>
    <row r="880" ht="17.25" customHeight="1" s="322">
      <c r="A880" s="27" t="n"/>
      <c r="B880" s="506" t="n"/>
      <c r="C880" s="141" t="n"/>
      <c r="D880" s="141" t="n"/>
      <c r="E880" s="141" t="n"/>
      <c r="F880" s="141" t="n"/>
      <c r="G880" s="143" t="n"/>
      <c r="H880" s="27" t="n"/>
    </row>
    <row r="881" ht="17.25" customHeight="1" s="322">
      <c r="A881" s="27" t="n"/>
      <c r="B881" s="506" t="n"/>
      <c r="C881" s="141" t="n"/>
      <c r="D881" s="141" t="n"/>
      <c r="E881" s="141" t="n"/>
      <c r="F881" s="141" t="n"/>
      <c r="G881" s="143" t="n"/>
      <c r="H881" s="27" t="n"/>
    </row>
    <row r="882" ht="17.25" customHeight="1" s="322">
      <c r="A882" s="27" t="n"/>
      <c r="B882" s="506" t="n"/>
      <c r="C882" s="141" t="n"/>
      <c r="D882" s="141" t="n"/>
      <c r="E882" s="141" t="n"/>
      <c r="F882" s="141" t="n"/>
      <c r="G882" s="143" t="n"/>
      <c r="H882" s="27" t="n"/>
    </row>
    <row r="883" ht="17.25" customHeight="1" s="322">
      <c r="A883" s="27" t="n"/>
      <c r="B883" s="506" t="n"/>
      <c r="C883" s="141" t="n"/>
      <c r="D883" s="141" t="n"/>
      <c r="E883" s="141" t="n"/>
      <c r="F883" s="141" t="n"/>
      <c r="G883" s="143" t="n"/>
      <c r="H883" s="27" t="n"/>
    </row>
    <row r="884" ht="17.25" customHeight="1" s="322">
      <c r="A884" s="27" t="n"/>
      <c r="B884" s="506" t="n"/>
      <c r="C884" s="141" t="n"/>
      <c r="D884" s="141" t="n"/>
      <c r="E884" s="141" t="n"/>
      <c r="F884" s="141" t="n"/>
      <c r="G884" s="143" t="n"/>
      <c r="H884" s="27" t="n"/>
    </row>
    <row r="885" ht="17.25" customHeight="1" s="322">
      <c r="A885" s="27" t="n"/>
      <c r="B885" s="506" t="n"/>
      <c r="C885" s="141" t="n"/>
      <c r="D885" s="141" t="n"/>
      <c r="E885" s="141" t="n"/>
      <c r="F885" s="141" t="n"/>
      <c r="G885" s="143" t="n"/>
      <c r="H885" s="27" t="n"/>
    </row>
    <row r="886" ht="17.25" customHeight="1" s="322">
      <c r="A886" s="27" t="n"/>
      <c r="B886" s="506" t="n"/>
      <c r="C886" s="141" t="n"/>
      <c r="D886" s="141" t="n"/>
      <c r="E886" s="141" t="n"/>
      <c r="F886" s="141" t="n"/>
      <c r="G886" s="143" t="n"/>
      <c r="H886" s="27" t="n"/>
    </row>
    <row r="887" ht="17.25" customHeight="1" s="322">
      <c r="A887" s="27" t="n"/>
      <c r="B887" s="506" t="n"/>
      <c r="C887" s="141" t="n"/>
      <c r="D887" s="141" t="n"/>
      <c r="E887" s="141" t="n"/>
      <c r="F887" s="141" t="n"/>
      <c r="G887" s="143" t="n"/>
      <c r="H887" s="27" t="n"/>
    </row>
    <row r="888" ht="17.25" customHeight="1" s="322">
      <c r="A888" s="27" t="n"/>
      <c r="B888" s="506" t="n"/>
      <c r="C888" s="141" t="n"/>
      <c r="D888" s="141" t="n"/>
      <c r="E888" s="141" t="n"/>
      <c r="F888" s="141" t="n"/>
      <c r="G888" s="143" t="n"/>
      <c r="H888" s="27" t="n"/>
    </row>
    <row r="889" ht="17.25" customHeight="1" s="322">
      <c r="A889" s="27" t="n"/>
      <c r="B889" s="506" t="n"/>
      <c r="C889" s="141" t="n"/>
      <c r="D889" s="141" t="n"/>
      <c r="E889" s="141" t="n"/>
      <c r="F889" s="141" t="n"/>
      <c r="G889" s="143" t="n"/>
      <c r="H889" s="27" t="n"/>
    </row>
    <row r="890" ht="17.25" customHeight="1" s="322">
      <c r="A890" s="27" t="n"/>
      <c r="B890" s="506" t="n"/>
      <c r="C890" s="141" t="n"/>
      <c r="D890" s="141" t="n"/>
      <c r="E890" s="141" t="n"/>
      <c r="F890" s="141" t="n"/>
      <c r="G890" s="143" t="n"/>
      <c r="H890" s="27" t="n"/>
    </row>
    <row r="891" ht="17.25" customHeight="1" s="322">
      <c r="A891" s="27" t="n"/>
      <c r="B891" s="506" t="n"/>
      <c r="C891" s="141" t="n"/>
      <c r="D891" s="141" t="n"/>
      <c r="E891" s="141" t="n"/>
      <c r="F891" s="141" t="n"/>
      <c r="G891" s="143" t="n"/>
      <c r="H891" s="27" t="n"/>
    </row>
    <row r="892" ht="17.25" customHeight="1" s="322">
      <c r="A892" s="27" t="n"/>
      <c r="B892" s="506" t="n"/>
      <c r="C892" s="141" t="n"/>
      <c r="D892" s="141" t="n"/>
      <c r="E892" s="141" t="n"/>
      <c r="F892" s="141" t="n"/>
      <c r="G892" s="143" t="n"/>
      <c r="H892" s="27" t="n"/>
    </row>
    <row r="893" ht="17.25" customHeight="1" s="322">
      <c r="A893" s="27" t="n"/>
      <c r="B893" s="506" t="n"/>
      <c r="C893" s="141" t="n"/>
      <c r="D893" s="141" t="n"/>
      <c r="E893" s="141" t="n"/>
      <c r="F893" s="141" t="n"/>
      <c r="G893" s="143" t="n"/>
      <c r="H893" s="27" t="n"/>
    </row>
    <row r="894" ht="17.25" customHeight="1" s="322">
      <c r="A894" s="27" t="n"/>
      <c r="B894" s="506" t="n"/>
      <c r="C894" s="141" t="n"/>
      <c r="D894" s="141" t="n"/>
      <c r="E894" s="141" t="n"/>
      <c r="F894" s="141" t="n"/>
      <c r="G894" s="143" t="n"/>
      <c r="H894" s="27" t="n"/>
    </row>
    <row r="895" ht="17.25" customHeight="1" s="322">
      <c r="A895" s="27" t="n"/>
      <c r="B895" s="506" t="n"/>
      <c r="C895" s="141" t="n"/>
      <c r="D895" s="141" t="n"/>
      <c r="E895" s="141" t="n"/>
      <c r="F895" s="141" t="n"/>
      <c r="G895" s="143" t="n"/>
      <c r="H895" s="27" t="n"/>
    </row>
    <row r="896" ht="17.25" customHeight="1" s="322">
      <c r="A896" s="27" t="n"/>
      <c r="B896" s="506" t="n"/>
      <c r="C896" s="141" t="n"/>
      <c r="D896" s="141" t="n"/>
      <c r="E896" s="141" t="n"/>
      <c r="F896" s="141" t="n"/>
      <c r="G896" s="143" t="n"/>
      <c r="H896" s="27" t="n"/>
    </row>
    <row r="897" ht="17.25" customHeight="1" s="322">
      <c r="A897" s="27" t="n"/>
      <c r="B897" s="506" t="n"/>
      <c r="C897" s="141" t="n"/>
      <c r="D897" s="141" t="n"/>
      <c r="E897" s="141" t="n"/>
      <c r="F897" s="141" t="n"/>
      <c r="G897" s="143" t="n"/>
      <c r="H897" s="27" t="n"/>
    </row>
    <row r="898" ht="17.25" customHeight="1" s="322">
      <c r="A898" s="27" t="n"/>
      <c r="B898" s="506" t="n"/>
      <c r="C898" s="141" t="n"/>
      <c r="D898" s="141" t="n"/>
      <c r="E898" s="141" t="n"/>
      <c r="F898" s="141" t="n"/>
      <c r="G898" s="143" t="n"/>
      <c r="H898" s="27" t="n"/>
    </row>
    <row r="899" ht="17.25" customHeight="1" s="322">
      <c r="A899" s="27" t="n"/>
      <c r="B899" s="506" t="n"/>
      <c r="C899" s="141" t="n"/>
      <c r="D899" s="141" t="n"/>
      <c r="E899" s="141" t="n"/>
      <c r="F899" s="141" t="n"/>
      <c r="G899" s="143" t="n"/>
      <c r="H899" s="27" t="n"/>
    </row>
    <row r="900" ht="17.25" customHeight="1" s="322">
      <c r="A900" s="27" t="n"/>
      <c r="B900" s="506" t="n"/>
      <c r="C900" s="141" t="n"/>
      <c r="D900" s="141" t="n"/>
      <c r="E900" s="141" t="n"/>
      <c r="F900" s="141" t="n"/>
      <c r="G900" s="143" t="n"/>
      <c r="H900" s="27" t="n"/>
    </row>
    <row r="901" ht="17.25" customHeight="1" s="322">
      <c r="A901" s="27" t="n"/>
      <c r="B901" s="506" t="n"/>
      <c r="C901" s="141" t="n"/>
      <c r="D901" s="141" t="n"/>
      <c r="E901" s="141" t="n"/>
      <c r="F901" s="141" t="n"/>
      <c r="G901" s="143" t="n"/>
      <c r="H901" s="27" t="n"/>
    </row>
    <row r="902" ht="17.25" customHeight="1" s="322">
      <c r="A902" s="27" t="n"/>
      <c r="B902" s="506" t="n"/>
      <c r="C902" s="141" t="n"/>
      <c r="D902" s="141" t="n"/>
      <c r="E902" s="141" t="n"/>
      <c r="F902" s="141" t="n"/>
      <c r="G902" s="143" t="n"/>
      <c r="H902" s="27" t="n"/>
    </row>
    <row r="903" ht="17.25" customHeight="1" s="322">
      <c r="A903" s="27" t="n"/>
      <c r="B903" s="506" t="n"/>
      <c r="C903" s="141" t="n"/>
      <c r="D903" s="141" t="n"/>
      <c r="E903" s="141" t="n"/>
      <c r="F903" s="141" t="n"/>
      <c r="G903" s="143" t="n"/>
      <c r="H903" s="27" t="n"/>
    </row>
    <row r="904" ht="17.25" customHeight="1" s="322">
      <c r="A904" s="27" t="n"/>
      <c r="B904" s="506" t="n"/>
      <c r="C904" s="141" t="n"/>
      <c r="D904" s="141" t="n"/>
      <c r="E904" s="141" t="n"/>
      <c r="F904" s="141" t="n"/>
      <c r="G904" s="143" t="n"/>
      <c r="H904" s="27" t="n"/>
    </row>
    <row r="905" ht="17.25" customHeight="1" s="322">
      <c r="A905" s="27" t="n"/>
      <c r="B905" s="506" t="n"/>
      <c r="C905" s="141" t="n"/>
      <c r="D905" s="141" t="n"/>
      <c r="E905" s="141" t="n"/>
      <c r="F905" s="141" t="n"/>
      <c r="G905" s="143" t="n"/>
      <c r="H905" s="27" t="n"/>
    </row>
    <row r="906" ht="17.25" customHeight="1" s="322">
      <c r="A906" s="27" t="n"/>
      <c r="B906" s="506" t="n"/>
      <c r="C906" s="141" t="n"/>
      <c r="D906" s="141" t="n"/>
      <c r="E906" s="141" t="n"/>
      <c r="F906" s="141" t="n"/>
      <c r="G906" s="143" t="n"/>
      <c r="H906" s="27" t="n"/>
    </row>
    <row r="907" ht="17.25" customHeight="1" s="322">
      <c r="A907" s="27" t="n"/>
      <c r="B907" s="506" t="n"/>
      <c r="C907" s="141" t="n"/>
      <c r="D907" s="141" t="n"/>
      <c r="E907" s="141" t="n"/>
      <c r="F907" s="141" t="n"/>
      <c r="G907" s="143" t="n"/>
      <c r="H907" s="27" t="n"/>
    </row>
    <row r="908" ht="17.25" customHeight="1" s="322">
      <c r="A908" s="27" t="n"/>
      <c r="B908" s="506" t="n"/>
      <c r="C908" s="141" t="n"/>
      <c r="D908" s="141" t="n"/>
      <c r="E908" s="141" t="n"/>
      <c r="F908" s="141" t="n"/>
      <c r="G908" s="143" t="n"/>
      <c r="H908" s="27" t="n"/>
    </row>
    <row r="909" ht="17.25" customHeight="1" s="322">
      <c r="A909" s="27" t="n"/>
      <c r="B909" s="506" t="n"/>
      <c r="C909" s="141" t="n"/>
      <c r="D909" s="141" t="n"/>
      <c r="E909" s="141" t="n"/>
      <c r="F909" s="141" t="n"/>
      <c r="G909" s="143" t="n"/>
      <c r="H909" s="27" t="n"/>
    </row>
    <row r="910" ht="17.25" customHeight="1" s="322">
      <c r="A910" s="27" t="n"/>
      <c r="B910" s="506" t="n"/>
      <c r="C910" s="141" t="n"/>
      <c r="D910" s="141" t="n"/>
      <c r="E910" s="141" t="n"/>
      <c r="F910" s="141" t="n"/>
      <c r="G910" s="143" t="n"/>
      <c r="H910" s="27" t="n"/>
    </row>
    <row r="911" ht="17.25" customHeight="1" s="322">
      <c r="A911" s="27" t="n"/>
      <c r="B911" s="506" t="n"/>
      <c r="C911" s="141" t="n"/>
      <c r="D911" s="141" t="n"/>
      <c r="E911" s="141" t="n"/>
      <c r="F911" s="141" t="n"/>
      <c r="G911" s="143" t="n"/>
      <c r="H911" s="27" t="n"/>
    </row>
    <row r="912" ht="17.25" customHeight="1" s="322">
      <c r="A912" s="27" t="n"/>
      <c r="B912" s="506" t="n"/>
      <c r="C912" s="141" t="n"/>
      <c r="D912" s="141" t="n"/>
      <c r="E912" s="141" t="n"/>
      <c r="F912" s="141" t="n"/>
      <c r="G912" s="143" t="n"/>
      <c r="H912" s="27" t="n"/>
    </row>
    <row r="913" ht="17.25" customHeight="1" s="322">
      <c r="A913" s="27" t="n"/>
      <c r="B913" s="506" t="n"/>
      <c r="C913" s="141" t="n"/>
      <c r="D913" s="141" t="n"/>
      <c r="E913" s="141" t="n"/>
      <c r="F913" s="141" t="n"/>
      <c r="G913" s="143" t="n"/>
      <c r="H913" s="27" t="n"/>
    </row>
    <row r="914" ht="17.25" customHeight="1" s="322">
      <c r="A914" s="27" t="n"/>
      <c r="B914" s="506" t="n"/>
      <c r="C914" s="141" t="n"/>
      <c r="D914" s="141" t="n"/>
      <c r="E914" s="141" t="n"/>
      <c r="F914" s="141" t="n"/>
      <c r="G914" s="143" t="n"/>
      <c r="H914" s="27" t="n"/>
    </row>
    <row r="915" ht="17.25" customHeight="1" s="322">
      <c r="A915" s="27" t="n"/>
      <c r="B915" s="506" t="n"/>
      <c r="C915" s="141" t="n"/>
      <c r="D915" s="141" t="n"/>
      <c r="E915" s="141" t="n"/>
      <c r="F915" s="141" t="n"/>
      <c r="G915" s="143" t="n"/>
      <c r="H915" s="27" t="n"/>
    </row>
    <row r="916" ht="17.25" customHeight="1" s="322">
      <c r="A916" s="27" t="n"/>
      <c r="B916" s="506" t="n"/>
      <c r="C916" s="141" t="n"/>
      <c r="D916" s="141" t="n"/>
      <c r="E916" s="141" t="n"/>
      <c r="F916" s="141" t="n"/>
      <c r="G916" s="143" t="n"/>
      <c r="H916" s="27" t="n"/>
    </row>
    <row r="917" ht="17.25" customHeight="1" s="322">
      <c r="A917" s="27" t="n"/>
      <c r="B917" s="506" t="n"/>
      <c r="C917" s="141" t="n"/>
      <c r="D917" s="141" t="n"/>
      <c r="E917" s="141" t="n"/>
      <c r="F917" s="141" t="n"/>
      <c r="G917" s="143" t="n"/>
      <c r="H917" s="27" t="n"/>
    </row>
    <row r="918" ht="17.25" customHeight="1" s="322">
      <c r="A918" s="27" t="n"/>
      <c r="B918" s="506" t="n"/>
      <c r="C918" s="141" t="n"/>
      <c r="D918" s="141" t="n"/>
      <c r="E918" s="141" t="n"/>
      <c r="F918" s="141" t="n"/>
      <c r="G918" s="143" t="n"/>
      <c r="H918" s="27" t="n"/>
    </row>
    <row r="919" ht="17.25" customHeight="1" s="322">
      <c r="A919" s="27" t="n"/>
      <c r="B919" s="506" t="n"/>
      <c r="C919" s="141" t="n"/>
      <c r="D919" s="141" t="n"/>
      <c r="E919" s="141" t="n"/>
      <c r="F919" s="141" t="n"/>
      <c r="G919" s="143" t="n"/>
      <c r="H919" s="27" t="n"/>
    </row>
    <row r="920" ht="17.25" customHeight="1" s="322">
      <c r="A920" s="27" t="n"/>
      <c r="B920" s="506" t="n"/>
      <c r="C920" s="141" t="n"/>
      <c r="D920" s="141" t="n"/>
      <c r="E920" s="141" t="n"/>
      <c r="F920" s="141" t="n"/>
      <c r="G920" s="143" t="n"/>
      <c r="H920" s="27" t="n"/>
    </row>
    <row r="921" ht="17.25" customHeight="1" s="322">
      <c r="A921" s="27" t="n"/>
      <c r="B921" s="506" t="n"/>
      <c r="C921" s="141" t="n"/>
      <c r="D921" s="141" t="n"/>
      <c r="E921" s="141" t="n"/>
      <c r="F921" s="141" t="n"/>
      <c r="G921" s="143" t="n"/>
      <c r="H921" s="27" t="n"/>
    </row>
    <row r="922" ht="17.25" customHeight="1" s="322">
      <c r="A922" s="27" t="n"/>
      <c r="B922" s="506" t="n"/>
      <c r="C922" s="141" t="n"/>
      <c r="D922" s="141" t="n"/>
      <c r="E922" s="141" t="n"/>
      <c r="F922" s="141" t="n"/>
      <c r="G922" s="143" t="n"/>
      <c r="H922" s="27" t="n"/>
    </row>
    <row r="923" ht="17.25" customHeight="1" s="322">
      <c r="A923" s="27" t="n"/>
      <c r="B923" s="506" t="n"/>
      <c r="C923" s="141" t="n"/>
      <c r="D923" s="141" t="n"/>
      <c r="E923" s="141" t="n"/>
      <c r="F923" s="141" t="n"/>
      <c r="G923" s="143" t="n"/>
      <c r="H923" s="27" t="n"/>
    </row>
    <row r="924" ht="17.25" customHeight="1" s="322">
      <c r="A924" s="27" t="n"/>
      <c r="B924" s="506" t="n"/>
      <c r="C924" s="141" t="n"/>
      <c r="D924" s="141" t="n"/>
      <c r="E924" s="141" t="n"/>
      <c r="F924" s="141" t="n"/>
      <c r="G924" s="143" t="n"/>
      <c r="H924" s="27" t="n"/>
    </row>
    <row r="925" ht="17.25" customHeight="1" s="322">
      <c r="A925" s="27" t="n"/>
      <c r="B925" s="506" t="n"/>
      <c r="C925" s="141" t="n"/>
      <c r="D925" s="141" t="n"/>
      <c r="E925" s="141" t="n"/>
      <c r="F925" s="141" t="n"/>
      <c r="G925" s="143" t="n"/>
      <c r="H925" s="27" t="n"/>
    </row>
    <row r="926" ht="17.25" customHeight="1" s="322">
      <c r="A926" s="27" t="n"/>
      <c r="B926" s="506" t="n"/>
      <c r="C926" s="141" t="n"/>
      <c r="D926" s="141" t="n"/>
      <c r="E926" s="141" t="n"/>
      <c r="F926" s="141" t="n"/>
      <c r="G926" s="143" t="n"/>
      <c r="H926" s="27" t="n"/>
    </row>
    <row r="927" ht="17.25" customHeight="1" s="322">
      <c r="A927" s="27" t="n"/>
      <c r="B927" s="506" t="n"/>
      <c r="C927" s="141" t="n"/>
      <c r="D927" s="141" t="n"/>
      <c r="E927" s="141" t="n"/>
      <c r="F927" s="141" t="n"/>
      <c r="G927" s="143" t="n"/>
      <c r="H927" s="27" t="n"/>
    </row>
    <row r="928" ht="17.25" customHeight="1" s="322">
      <c r="A928" s="27" t="n"/>
      <c r="B928" s="506" t="n"/>
      <c r="C928" s="141" t="n"/>
      <c r="D928" s="141" t="n"/>
      <c r="E928" s="141" t="n"/>
      <c r="F928" s="141" t="n"/>
      <c r="G928" s="143" t="n"/>
      <c r="H928" s="27" t="n"/>
    </row>
    <row r="929" ht="17.25" customHeight="1" s="322">
      <c r="A929" s="27" t="n"/>
      <c r="B929" s="506" t="n"/>
      <c r="C929" s="141" t="n"/>
      <c r="D929" s="141" t="n"/>
      <c r="E929" s="141" t="n"/>
      <c r="F929" s="141" t="n"/>
      <c r="G929" s="143" t="n"/>
      <c r="H929" s="27" t="n"/>
    </row>
    <row r="930" ht="17.25" customHeight="1" s="322">
      <c r="A930" s="27" t="n"/>
      <c r="B930" s="506" t="n"/>
      <c r="C930" s="141" t="n"/>
      <c r="D930" s="141" t="n"/>
      <c r="E930" s="141" t="n"/>
      <c r="F930" s="141" t="n"/>
      <c r="G930" s="143" t="n"/>
      <c r="H930" s="27" t="n"/>
    </row>
    <row r="931" ht="17.25" customHeight="1" s="322">
      <c r="A931" s="27" t="n"/>
      <c r="B931" s="506" t="n"/>
      <c r="C931" s="141" t="n"/>
      <c r="D931" s="141" t="n"/>
      <c r="E931" s="141" t="n"/>
      <c r="F931" s="141" t="n"/>
      <c r="G931" s="143" t="n"/>
      <c r="H931" s="27" t="n"/>
    </row>
    <row r="932" ht="17.25" customHeight="1" s="322">
      <c r="A932" s="27" t="n"/>
      <c r="B932" s="506" t="n"/>
      <c r="C932" s="141" t="n"/>
      <c r="D932" s="141" t="n"/>
      <c r="E932" s="141" t="n"/>
      <c r="F932" s="141" t="n"/>
      <c r="G932" s="143" t="n"/>
      <c r="H932" s="27" t="n"/>
    </row>
    <row r="933" ht="17.25" customHeight="1" s="322">
      <c r="A933" s="27" t="n"/>
      <c r="B933" s="506" t="n"/>
      <c r="C933" s="141" t="n"/>
      <c r="D933" s="141" t="n"/>
      <c r="E933" s="141" t="n"/>
      <c r="F933" s="141" t="n"/>
      <c r="G933" s="143" t="n"/>
      <c r="H933" s="27" t="n"/>
    </row>
    <row r="934" ht="17.25" customHeight="1" s="322">
      <c r="A934" s="27" t="n"/>
      <c r="B934" s="506" t="n"/>
      <c r="C934" s="141" t="n"/>
      <c r="D934" s="141" t="n"/>
      <c r="E934" s="141" t="n"/>
      <c r="F934" s="141" t="n"/>
      <c r="G934" s="143" t="n"/>
      <c r="H934" s="27" t="n"/>
    </row>
    <row r="935" ht="17.25" customHeight="1" s="322">
      <c r="A935" s="27" t="n"/>
      <c r="B935" s="506" t="n"/>
      <c r="C935" s="141" t="n"/>
      <c r="D935" s="141" t="n"/>
      <c r="E935" s="141" t="n"/>
      <c r="F935" s="141" t="n"/>
      <c r="G935" s="143" t="n"/>
      <c r="H935" s="27" t="n"/>
    </row>
    <row r="936" ht="17.25" customHeight="1" s="322">
      <c r="A936" s="27" t="n"/>
      <c r="B936" s="506" t="n"/>
      <c r="C936" s="141" t="n"/>
      <c r="D936" s="141" t="n"/>
      <c r="E936" s="141" t="n"/>
      <c r="F936" s="141" t="n"/>
      <c r="G936" s="143" t="n"/>
      <c r="H936" s="27" t="n"/>
    </row>
    <row r="937" ht="17.25" customHeight="1" s="322">
      <c r="A937" s="27" t="n"/>
      <c r="B937" s="506" t="n"/>
      <c r="C937" s="141" t="n"/>
      <c r="D937" s="141" t="n"/>
      <c r="E937" s="141" t="n"/>
      <c r="F937" s="141" t="n"/>
      <c r="G937" s="143" t="n"/>
      <c r="H937" s="27" t="n"/>
    </row>
    <row r="938" ht="17.25" customHeight="1" s="322">
      <c r="A938" s="27" t="n"/>
      <c r="B938" s="506" t="n"/>
      <c r="C938" s="141" t="n"/>
      <c r="D938" s="141" t="n"/>
      <c r="E938" s="141" t="n"/>
      <c r="F938" s="141" t="n"/>
      <c r="G938" s="143" t="n"/>
      <c r="H938" s="27" t="n"/>
    </row>
    <row r="939" ht="17.25" customHeight="1" s="322">
      <c r="A939" s="27" t="n"/>
      <c r="B939" s="506" t="n"/>
      <c r="C939" s="141" t="n"/>
      <c r="D939" s="141" t="n"/>
      <c r="E939" s="141" t="n"/>
      <c r="F939" s="141" t="n"/>
      <c r="G939" s="143" t="n"/>
      <c r="H939" s="27" t="n"/>
    </row>
    <row r="940" ht="17.25" customHeight="1" s="322">
      <c r="A940" s="27" t="n"/>
      <c r="B940" s="506" t="n"/>
      <c r="C940" s="141" t="n"/>
      <c r="D940" s="141" t="n"/>
      <c r="E940" s="141" t="n"/>
      <c r="F940" s="141" t="n"/>
      <c r="G940" s="143" t="n"/>
      <c r="H940" s="27" t="n"/>
    </row>
    <row r="941" ht="17.25" customHeight="1" s="322">
      <c r="A941" s="27" t="n"/>
      <c r="B941" s="506" t="n"/>
      <c r="C941" s="141" t="n"/>
      <c r="D941" s="141" t="n"/>
      <c r="E941" s="141" t="n"/>
      <c r="F941" s="141" t="n"/>
      <c r="G941" s="143" t="n"/>
      <c r="H941" s="27" t="n"/>
    </row>
    <row r="942" ht="17.25" customHeight="1" s="322">
      <c r="A942" s="27" t="n"/>
      <c r="B942" s="506" t="n"/>
      <c r="C942" s="141" t="n"/>
      <c r="D942" s="141" t="n"/>
      <c r="E942" s="141" t="n"/>
      <c r="F942" s="141" t="n"/>
      <c r="G942" s="143" t="n"/>
      <c r="H942" s="27" t="n"/>
    </row>
    <row r="943" ht="17.25" customHeight="1" s="322">
      <c r="A943" s="27" t="n"/>
      <c r="B943" s="506" t="n"/>
      <c r="C943" s="141" t="n"/>
      <c r="D943" s="141" t="n"/>
      <c r="E943" s="141" t="n"/>
      <c r="F943" s="141" t="n"/>
      <c r="G943" s="143" t="n"/>
      <c r="H943" s="27" t="n"/>
    </row>
    <row r="944" ht="17.25" customHeight="1" s="322">
      <c r="A944" s="27" t="n"/>
      <c r="B944" s="506" t="n"/>
      <c r="C944" s="141" t="n"/>
      <c r="D944" s="141" t="n"/>
      <c r="E944" s="141" t="n"/>
      <c r="F944" s="141" t="n"/>
      <c r="G944" s="143" t="n"/>
      <c r="H944" s="27" t="n"/>
    </row>
    <row r="945" ht="17.25" customHeight="1" s="322">
      <c r="A945" s="27" t="n"/>
      <c r="B945" s="506" t="n"/>
      <c r="C945" s="141" t="n"/>
      <c r="D945" s="141" t="n"/>
      <c r="E945" s="141" t="n"/>
      <c r="F945" s="141" t="n"/>
      <c r="G945" s="143" t="n"/>
      <c r="H945" s="27" t="n"/>
    </row>
    <row r="946" ht="17.25" customHeight="1" s="322">
      <c r="A946" s="27" t="n"/>
      <c r="B946" s="506" t="n"/>
      <c r="C946" s="141" t="n"/>
      <c r="D946" s="141" t="n"/>
      <c r="E946" s="141" t="n"/>
      <c r="F946" s="141" t="n"/>
      <c r="G946" s="143" t="n"/>
      <c r="H946" s="27" t="n"/>
    </row>
    <row r="947" ht="17.25" customHeight="1" s="322">
      <c r="A947" s="27" t="n"/>
      <c r="B947" s="506" t="n"/>
      <c r="C947" s="141" t="n"/>
      <c r="D947" s="141" t="n"/>
      <c r="E947" s="141" t="n"/>
      <c r="F947" s="141" t="n"/>
      <c r="G947" s="143" t="n"/>
      <c r="H947" s="27" t="n"/>
    </row>
    <row r="948" ht="17.25" customHeight="1" s="322">
      <c r="A948" s="27" t="n"/>
      <c r="B948" s="506" t="n"/>
      <c r="C948" s="141" t="n"/>
      <c r="D948" s="141" t="n"/>
      <c r="E948" s="141" t="n"/>
      <c r="F948" s="141" t="n"/>
      <c r="G948" s="143" t="n"/>
      <c r="H948" s="27" t="n"/>
    </row>
    <row r="949" ht="17.25" customHeight="1" s="322">
      <c r="A949" s="27" t="n"/>
      <c r="B949" s="506" t="n"/>
      <c r="C949" s="141" t="n"/>
      <c r="D949" s="141" t="n"/>
      <c r="E949" s="141" t="n"/>
      <c r="F949" s="141" t="n"/>
      <c r="G949" s="143" t="n"/>
      <c r="H949" s="27" t="n"/>
    </row>
    <row r="950" ht="17.25" customHeight="1" s="322">
      <c r="A950" s="27" t="n"/>
      <c r="B950" s="506" t="n"/>
      <c r="C950" s="141" t="n"/>
      <c r="D950" s="141" t="n"/>
      <c r="E950" s="141" t="n"/>
      <c r="F950" s="141" t="n"/>
      <c r="G950" s="143" t="n"/>
      <c r="H950" s="27" t="n"/>
    </row>
    <row r="951" ht="17.25" customHeight="1" s="322">
      <c r="A951" s="27" t="n"/>
      <c r="B951" s="506" t="n"/>
      <c r="C951" s="141" t="n"/>
      <c r="D951" s="141" t="n"/>
      <c r="E951" s="141" t="n"/>
      <c r="F951" s="141" t="n"/>
      <c r="G951" s="143" t="n"/>
      <c r="H951" s="27" t="n"/>
    </row>
    <row r="952" ht="17.25" customHeight="1" s="322">
      <c r="A952" s="27" t="n"/>
      <c r="B952" s="506" t="n"/>
      <c r="C952" s="141" t="n"/>
      <c r="D952" s="141" t="n"/>
      <c r="E952" s="141" t="n"/>
      <c r="F952" s="141" t="n"/>
      <c r="G952" s="143" t="n"/>
      <c r="H952" s="27" t="n"/>
    </row>
    <row r="953" ht="17.25" customHeight="1" s="322">
      <c r="A953" s="27" t="n"/>
      <c r="B953" s="506" t="n"/>
      <c r="C953" s="141" t="n"/>
      <c r="D953" s="141" t="n"/>
      <c r="E953" s="141" t="n"/>
      <c r="F953" s="141" t="n"/>
      <c r="G953" s="143" t="n"/>
      <c r="H953" s="27" t="n"/>
    </row>
    <row r="954" ht="17.25" customHeight="1" s="322">
      <c r="A954" s="27" t="n"/>
      <c r="B954" s="506" t="n"/>
      <c r="C954" s="141" t="n"/>
      <c r="D954" s="141" t="n"/>
      <c r="E954" s="141" t="n"/>
      <c r="F954" s="141" t="n"/>
      <c r="G954" s="143" t="n"/>
      <c r="H954" s="27" t="n"/>
    </row>
    <row r="955" ht="17.25" customHeight="1" s="322">
      <c r="A955" s="27" t="n"/>
      <c r="B955" s="506" t="n"/>
      <c r="C955" s="141" t="n"/>
      <c r="D955" s="141" t="n"/>
      <c r="E955" s="141" t="n"/>
      <c r="F955" s="141" t="n"/>
      <c r="G955" s="143" t="n"/>
      <c r="H955" s="27" t="n"/>
    </row>
    <row r="956" ht="17.25" customHeight="1" s="322">
      <c r="A956" s="27" t="n"/>
      <c r="B956" s="506" t="n"/>
      <c r="C956" s="141" t="n"/>
      <c r="D956" s="141" t="n"/>
      <c r="E956" s="141" t="n"/>
      <c r="F956" s="141" t="n"/>
      <c r="G956" s="143" t="n"/>
      <c r="H956" s="27" t="n"/>
    </row>
    <row r="957" ht="17.25" customHeight="1" s="322">
      <c r="A957" s="27" t="n"/>
      <c r="B957" s="506" t="n"/>
      <c r="C957" s="141" t="n"/>
      <c r="D957" s="141" t="n"/>
      <c r="E957" s="141" t="n"/>
      <c r="F957" s="141" t="n"/>
      <c r="G957" s="143" t="n"/>
      <c r="H957" s="27" t="n"/>
    </row>
    <row r="958" ht="17.25" customHeight="1" s="322">
      <c r="A958" s="27" t="n"/>
      <c r="B958" s="506" t="n"/>
      <c r="C958" s="141" t="n"/>
      <c r="D958" s="141" t="n"/>
      <c r="E958" s="141" t="n"/>
      <c r="F958" s="141" t="n"/>
      <c r="G958" s="143" t="n"/>
      <c r="H958" s="27" t="n"/>
    </row>
    <row r="959" ht="17.25" customHeight="1" s="322">
      <c r="A959" s="27" t="n"/>
      <c r="B959" s="506" t="n"/>
      <c r="C959" s="141" t="n"/>
      <c r="D959" s="141" t="n"/>
      <c r="E959" s="141" t="n"/>
      <c r="F959" s="141" t="n"/>
      <c r="G959" s="143" t="n"/>
      <c r="H959" s="27" t="n"/>
    </row>
    <row r="960" ht="17.25" customHeight="1" s="322">
      <c r="A960" s="27" t="n"/>
      <c r="B960" s="506" t="n"/>
      <c r="C960" s="141" t="n"/>
      <c r="D960" s="141" t="n"/>
      <c r="E960" s="141" t="n"/>
      <c r="F960" s="141" t="n"/>
      <c r="G960" s="143" t="n"/>
      <c r="H960" s="27" t="n"/>
    </row>
    <row r="961" ht="17.25" customHeight="1" s="322">
      <c r="A961" s="27" t="n"/>
      <c r="B961" s="506" t="n"/>
      <c r="C961" s="141" t="n"/>
      <c r="D961" s="141" t="n"/>
      <c r="E961" s="141" t="n"/>
      <c r="F961" s="141" t="n"/>
      <c r="G961" s="143" t="n"/>
      <c r="H961" s="27" t="n"/>
    </row>
    <row r="962" ht="17.25" customHeight="1" s="322">
      <c r="A962" s="27" t="n"/>
      <c r="B962" s="506" t="n"/>
      <c r="C962" s="141" t="n"/>
      <c r="D962" s="141" t="n"/>
      <c r="E962" s="141" t="n"/>
      <c r="F962" s="141" t="n"/>
      <c r="G962" s="143" t="n"/>
      <c r="H962" s="27" t="n"/>
    </row>
    <row r="963" ht="17.25" customHeight="1" s="322">
      <c r="A963" s="27" t="n"/>
      <c r="B963" s="506" t="n"/>
      <c r="C963" s="141" t="n"/>
      <c r="D963" s="141" t="n"/>
      <c r="E963" s="141" t="n"/>
      <c r="F963" s="141" t="n"/>
      <c r="G963" s="143" t="n"/>
      <c r="H963" s="27" t="n"/>
    </row>
    <row r="964" ht="17.25" customHeight="1" s="322">
      <c r="A964" s="27" t="n"/>
      <c r="B964" s="506" t="n"/>
      <c r="C964" s="141" t="n"/>
      <c r="D964" s="141" t="n"/>
      <c r="E964" s="141" t="n"/>
      <c r="F964" s="141" t="n"/>
      <c r="G964" s="143" t="n"/>
      <c r="H964" s="27" t="n"/>
    </row>
    <row r="965" ht="17.25" customHeight="1" s="322">
      <c r="A965" s="27" t="n"/>
      <c r="B965" s="506" t="n"/>
      <c r="C965" s="141" t="n"/>
      <c r="D965" s="141" t="n"/>
      <c r="E965" s="141" t="n"/>
      <c r="F965" s="141" t="n"/>
      <c r="G965" s="143" t="n"/>
      <c r="H965" s="27" t="n"/>
    </row>
    <row r="966" ht="17.25" customHeight="1" s="322">
      <c r="A966" s="27" t="n"/>
      <c r="B966" s="506" t="n"/>
      <c r="C966" s="141" t="n"/>
      <c r="D966" s="141" t="n"/>
      <c r="E966" s="141" t="n"/>
      <c r="F966" s="141" t="n"/>
      <c r="G966" s="143" t="n"/>
      <c r="H966" s="27" t="n"/>
    </row>
    <row r="967" ht="17.25" customHeight="1" s="322">
      <c r="A967" s="27" t="n"/>
      <c r="B967" s="506" t="n"/>
      <c r="C967" s="141" t="n"/>
      <c r="D967" s="141" t="n"/>
      <c r="E967" s="141" t="n"/>
      <c r="F967" s="141" t="n"/>
      <c r="G967" s="143" t="n"/>
      <c r="H967" s="27" t="n"/>
    </row>
    <row r="968" ht="17.25" customHeight="1" s="322">
      <c r="A968" s="27" t="n"/>
      <c r="B968" s="506" t="n"/>
      <c r="C968" s="141" t="n"/>
      <c r="D968" s="141" t="n"/>
      <c r="E968" s="141" t="n"/>
      <c r="F968" s="141" t="n"/>
      <c r="G968" s="143" t="n"/>
      <c r="H968" s="27" t="n"/>
    </row>
    <row r="969" ht="17.25" customHeight="1" s="322">
      <c r="A969" s="27" t="n"/>
      <c r="B969" s="506" t="n"/>
      <c r="C969" s="141" t="n"/>
      <c r="D969" s="141" t="n"/>
      <c r="E969" s="141" t="n"/>
      <c r="F969" s="141" t="n"/>
      <c r="G969" s="143" t="n"/>
      <c r="H969" s="27" t="n"/>
    </row>
    <row r="970" ht="17.25" customHeight="1" s="322">
      <c r="A970" s="27" t="n"/>
      <c r="B970" s="506" t="n"/>
      <c r="C970" s="141" t="n"/>
      <c r="D970" s="141" t="n"/>
      <c r="E970" s="141" t="n"/>
      <c r="F970" s="141" t="n"/>
      <c r="G970" s="143" t="n"/>
      <c r="H970" s="27" t="n"/>
    </row>
    <row r="971" ht="17.25" customHeight="1" s="322">
      <c r="A971" s="27" t="n"/>
      <c r="B971" s="506" t="n"/>
      <c r="C971" s="141" t="n"/>
      <c r="D971" s="141" t="n"/>
      <c r="E971" s="141" t="n"/>
      <c r="F971" s="141" t="n"/>
      <c r="G971" s="143" t="n"/>
      <c r="H971" s="27" t="n"/>
    </row>
    <row r="972" ht="17.25" customHeight="1" s="322">
      <c r="A972" s="27" t="n"/>
      <c r="B972" s="506" t="n"/>
      <c r="C972" s="141" t="n"/>
      <c r="D972" s="141" t="n"/>
      <c r="E972" s="141" t="n"/>
      <c r="F972" s="141" t="n"/>
      <c r="G972" s="143" t="n"/>
      <c r="H972" s="27" t="n"/>
    </row>
    <row r="973" ht="17.25" customHeight="1" s="322">
      <c r="A973" s="27" t="n"/>
      <c r="B973" s="506" t="n"/>
      <c r="C973" s="141" t="n"/>
      <c r="D973" s="141" t="n"/>
      <c r="E973" s="141" t="n"/>
      <c r="F973" s="141" t="n"/>
      <c r="G973" s="143" t="n"/>
      <c r="H973" s="27" t="n"/>
    </row>
    <row r="974" ht="17.25" customHeight="1" s="322">
      <c r="A974" s="27" t="n"/>
      <c r="B974" s="506" t="n"/>
      <c r="C974" s="141" t="n"/>
      <c r="D974" s="141" t="n"/>
      <c r="E974" s="141" t="n"/>
      <c r="F974" s="141" t="n"/>
      <c r="G974" s="143" t="n"/>
      <c r="H974" s="27" t="n"/>
    </row>
    <row r="975" ht="17.25" customHeight="1" s="322">
      <c r="A975" s="27" t="n"/>
      <c r="B975" s="506" t="n"/>
      <c r="C975" s="141" t="n"/>
      <c r="D975" s="141" t="n"/>
      <c r="E975" s="141" t="n"/>
      <c r="F975" s="141" t="n"/>
      <c r="G975" s="143" t="n"/>
      <c r="H975" s="27" t="n"/>
    </row>
    <row r="976" ht="17.25" customHeight="1" s="322">
      <c r="A976" s="27" t="n"/>
      <c r="B976" s="506" t="n"/>
      <c r="C976" s="141" t="n"/>
      <c r="D976" s="141" t="n"/>
      <c r="E976" s="141" t="n"/>
      <c r="F976" s="141" t="n"/>
      <c r="G976" s="143" t="n"/>
      <c r="H976" s="27" t="n"/>
    </row>
    <row r="977" ht="17.25" customHeight="1" s="322">
      <c r="A977" s="27" t="n"/>
      <c r="B977" s="506" t="n"/>
      <c r="C977" s="141" t="n"/>
      <c r="D977" s="141" t="n"/>
      <c r="E977" s="141" t="n"/>
      <c r="F977" s="141" t="n"/>
      <c r="G977" s="143" t="n"/>
      <c r="H977" s="27" t="n"/>
    </row>
    <row r="978" ht="17.25" customHeight="1" s="322">
      <c r="A978" s="27" t="n"/>
      <c r="B978" s="506" t="n"/>
      <c r="C978" s="141" t="n"/>
      <c r="D978" s="141" t="n"/>
      <c r="E978" s="141" t="n"/>
      <c r="F978" s="141" t="n"/>
      <c r="G978" s="143" t="n"/>
      <c r="H978" s="27" t="n"/>
    </row>
    <row r="979" ht="17.25" customHeight="1" s="322">
      <c r="A979" s="27" t="n"/>
      <c r="B979" s="506" t="n"/>
      <c r="C979" s="141" t="n"/>
      <c r="D979" s="141" t="n"/>
      <c r="E979" s="141" t="n"/>
      <c r="F979" s="141" t="n"/>
      <c r="G979" s="143" t="n"/>
      <c r="H979" s="27" t="n"/>
    </row>
    <row r="980" ht="17.25" customHeight="1" s="322">
      <c r="A980" s="27" t="n"/>
      <c r="B980" s="506" t="n"/>
      <c r="C980" s="141" t="n"/>
      <c r="D980" s="141" t="n"/>
      <c r="E980" s="141" t="n"/>
      <c r="F980" s="141" t="n"/>
      <c r="G980" s="143" t="n"/>
      <c r="H980" s="27" t="n"/>
    </row>
    <row r="981" ht="17.25" customHeight="1" s="322">
      <c r="A981" s="27" t="n"/>
      <c r="B981" s="506" t="n"/>
      <c r="C981" s="141" t="n"/>
      <c r="D981" s="141" t="n"/>
      <c r="E981" s="141" t="n"/>
      <c r="F981" s="141" t="n"/>
      <c r="G981" s="143" t="n"/>
      <c r="H981" s="27" t="n"/>
    </row>
    <row r="982" ht="17.25" customHeight="1" s="322">
      <c r="A982" s="27" t="n"/>
      <c r="B982" s="506" t="n"/>
      <c r="C982" s="141" t="n"/>
      <c r="D982" s="141" t="n"/>
      <c r="E982" s="141" t="n"/>
      <c r="F982" s="141" t="n"/>
      <c r="G982" s="143" t="n"/>
      <c r="H982" s="27" t="n"/>
    </row>
    <row r="983" ht="17.25" customHeight="1" s="322">
      <c r="A983" s="27" t="n"/>
      <c r="B983" s="506" t="n"/>
      <c r="C983" s="141" t="n"/>
      <c r="D983" s="141" t="n"/>
      <c r="E983" s="141" t="n"/>
      <c r="F983" s="141" t="n"/>
      <c r="G983" s="143" t="n"/>
      <c r="H983" s="27" t="n"/>
    </row>
    <row r="984" ht="17.25" customHeight="1" s="322">
      <c r="A984" s="27" t="n"/>
      <c r="B984" s="506" t="n"/>
      <c r="C984" s="141" t="n"/>
      <c r="D984" s="141" t="n"/>
      <c r="E984" s="141" t="n"/>
      <c r="F984" s="141" t="n"/>
      <c r="G984" s="143" t="n"/>
      <c r="H984" s="27" t="n"/>
    </row>
    <row r="985" ht="17.25" customHeight="1" s="322">
      <c r="A985" s="27" t="n"/>
      <c r="B985" s="506" t="n"/>
      <c r="C985" s="141" t="n"/>
      <c r="D985" s="141" t="n"/>
      <c r="E985" s="141" t="n"/>
      <c r="F985" s="141" t="n"/>
      <c r="G985" s="143" t="n"/>
      <c r="H985" s="27" t="n"/>
    </row>
    <row r="986" ht="17.25" customHeight="1" s="322">
      <c r="A986" s="27" t="n"/>
      <c r="B986" s="506" t="n"/>
      <c r="C986" s="141" t="n"/>
      <c r="D986" s="141" t="n"/>
      <c r="E986" s="141" t="n"/>
      <c r="F986" s="141" t="n"/>
      <c r="G986" s="143" t="n"/>
      <c r="H986" s="27" t="n"/>
    </row>
    <row r="987" ht="17.25" customHeight="1" s="322">
      <c r="A987" s="27" t="n"/>
      <c r="B987" s="506" t="n"/>
      <c r="C987" s="141" t="n"/>
      <c r="D987" s="141" t="n"/>
      <c r="E987" s="141" t="n"/>
      <c r="F987" s="141" t="n"/>
      <c r="G987" s="143" t="n"/>
      <c r="H987" s="27" t="n"/>
    </row>
    <row r="988" ht="17.25" customHeight="1" s="322">
      <c r="A988" s="27" t="n"/>
      <c r="B988" s="506" t="n"/>
      <c r="C988" s="141" t="n"/>
      <c r="D988" s="141" t="n"/>
      <c r="E988" s="141" t="n"/>
      <c r="F988" s="141" t="n"/>
      <c r="G988" s="143" t="n"/>
      <c r="H988" s="27" t="n"/>
    </row>
    <row r="989" ht="17.25" customHeight="1" s="322">
      <c r="A989" s="27" t="n"/>
      <c r="B989" s="506" t="n"/>
      <c r="C989" s="141" t="n"/>
      <c r="D989" s="141" t="n"/>
      <c r="E989" s="141" t="n"/>
      <c r="F989" s="141" t="n"/>
      <c r="G989" s="143" t="n"/>
      <c r="H989" s="27" t="n"/>
    </row>
    <row r="990" ht="17.25" customHeight="1" s="322">
      <c r="A990" s="27" t="n"/>
      <c r="B990" s="506" t="n"/>
      <c r="C990" s="141" t="n"/>
      <c r="D990" s="141" t="n"/>
      <c r="E990" s="141" t="n"/>
      <c r="F990" s="141" t="n"/>
      <c r="G990" s="143" t="n"/>
      <c r="H990" s="27" t="n"/>
    </row>
    <row r="991" ht="17.25" customHeight="1" s="322">
      <c r="A991" s="27" t="n"/>
      <c r="B991" s="506" t="n"/>
      <c r="C991" s="141" t="n"/>
      <c r="D991" s="141" t="n"/>
      <c r="E991" s="141" t="n"/>
      <c r="F991" s="141" t="n"/>
      <c r="G991" s="143" t="n"/>
      <c r="H991" s="27" t="n"/>
    </row>
    <row r="992" ht="17.25" customHeight="1" s="322">
      <c r="A992" s="27" t="n"/>
      <c r="B992" s="506" t="n"/>
      <c r="C992" s="141" t="n"/>
      <c r="D992" s="141" t="n"/>
      <c r="E992" s="141" t="n"/>
      <c r="F992" s="141" t="n"/>
      <c r="G992" s="143" t="n"/>
      <c r="H992" s="27" t="n"/>
    </row>
    <row r="993" ht="17.25" customHeight="1" s="322">
      <c r="A993" s="27" t="n"/>
      <c r="B993" s="506" t="n"/>
      <c r="C993" s="141" t="n"/>
      <c r="D993" s="141" t="n"/>
      <c r="E993" s="141" t="n"/>
      <c r="F993" s="141" t="n"/>
      <c r="G993" s="143" t="n"/>
      <c r="H993" s="27" t="n"/>
    </row>
    <row r="994" ht="17.25" customHeight="1" s="322">
      <c r="A994" s="27" t="n"/>
      <c r="B994" s="506" t="n"/>
      <c r="C994" s="141" t="n"/>
      <c r="D994" s="141" t="n"/>
      <c r="E994" s="141" t="n"/>
      <c r="F994" s="141" t="n"/>
      <c r="G994" s="143" t="n"/>
      <c r="H994" s="27" t="n"/>
    </row>
    <row r="995" ht="17.25" customHeight="1" s="322">
      <c r="A995" s="27" t="n"/>
      <c r="B995" s="506" t="n"/>
      <c r="C995" s="141" t="n"/>
      <c r="D995" s="141" t="n"/>
      <c r="E995" s="141" t="n"/>
      <c r="F995" s="141" t="n"/>
      <c r="G995" s="143" t="n"/>
      <c r="H995" s="27" t="n"/>
    </row>
    <row r="996" ht="17.25" customHeight="1" s="322">
      <c r="A996" s="27" t="n"/>
      <c r="B996" s="506" t="n"/>
      <c r="C996" s="141" t="n"/>
      <c r="D996" s="141" t="n"/>
      <c r="E996" s="141" t="n"/>
      <c r="F996" s="141" t="n"/>
      <c r="G996" s="143" t="n"/>
      <c r="H996" s="27" t="n"/>
    </row>
    <row r="997" ht="17.25" customHeight="1" s="322">
      <c r="A997" s="27" t="n"/>
      <c r="B997" s="506" t="n"/>
      <c r="C997" s="141" t="n"/>
      <c r="D997" s="141" t="n"/>
      <c r="E997" s="141" t="n"/>
      <c r="F997" s="141" t="n"/>
      <c r="G997" s="143" t="n"/>
      <c r="H997" s="27" t="n"/>
    </row>
    <row r="998" ht="17.25" customHeight="1" s="322">
      <c r="A998" s="27" t="n"/>
      <c r="B998" s="506" t="n"/>
      <c r="C998" s="141" t="n"/>
      <c r="D998" s="141" t="n"/>
      <c r="E998" s="141" t="n"/>
      <c r="F998" s="141" t="n"/>
      <c r="G998" s="143" t="n"/>
      <c r="H998" s="27" t="n"/>
    </row>
    <row r="999" ht="17.25" customHeight="1" s="322">
      <c r="A999" s="27" t="n"/>
      <c r="B999" s="506" t="n"/>
      <c r="C999" s="141" t="n"/>
      <c r="D999" s="141" t="n"/>
      <c r="E999" s="141" t="n"/>
      <c r="F999" s="141" t="n"/>
      <c r="G999" s="143" t="n"/>
      <c r="H999" s="27" t="n"/>
    </row>
    <row r="1000" ht="17.25" customHeight="1" s="322">
      <c r="A1000" s="27" t="n"/>
      <c r="B1000" s="506" t="n"/>
      <c r="C1000" s="141" t="n"/>
      <c r="D1000" s="141" t="n"/>
      <c r="E1000" s="141" t="n"/>
      <c r="F1000" s="141" t="n"/>
      <c r="G1000" s="143" t="n"/>
      <c r="H1000" s="27" t="n"/>
    </row>
  </sheetData>
  <mergeCells count="3">
    <mergeCell ref="B1:F2"/>
    <mergeCell ref="B7:G7"/>
    <mergeCell ref="B10:C10"/>
  </mergeCells>
  <conditionalFormatting sqref="D10:E10">
    <cfRule type="cellIs" priority="5" operator="lessThan" dxfId="5">
      <formula>0</formula>
    </cfRule>
    <cfRule type="cellIs" priority="6" operator="greaterThan" dxfId="4">
      <formula>0</formula>
    </cfRule>
  </conditionalFormatting>
  <conditionalFormatting sqref="F28:F1000">
    <cfRule type="expression" priority="1" dxfId="3">
      <formula>AND(F28=MAX(F$28:F$1000),F28&gt;0)</formula>
    </cfRule>
    <cfRule type="expression" priority="2" dxfId="2">
      <formula>AND(F28=MIN(F$28:F$1000),F28&gt;0)</formula>
    </cfRule>
  </conditionalFormatting>
  <conditionalFormatting sqref="F29:F1000">
    <cfRule type="expression" priority="3" dxfId="1">
      <formula>F29&gt;F27</formula>
    </cfRule>
    <cfRule type="expression" priority="4" dxfId="0">
      <formula>F29&lt;F27</formula>
    </cfRule>
  </conditionalFormatting>
  <conditionalFormatting sqref="G15">
    <cfRule type="colorScale" priority="7">
      <colorScale>
        <cfvo type="min"/>
        <cfvo type="max"/>
        <color rgb="FF57BB8A"/>
        <color rgb="FFFFFFFF"/>
      </colorScale>
    </cfRule>
  </conditionalFormatting>
  <dataValidations count="1">
    <dataValidation sqref="G15" showDropDown="0" showInputMessage="1" showErrorMessage="1" allowBlank="1" prompt="Click and enter a value from the list of items" type="list">
      <formula1>"1 Month,3 Months,6 Months,12 Months,36 Months"</formula1>
    </dataValidation>
  </dataValidations>
  <hyperlinks>
    <hyperlink xmlns:r="http://schemas.openxmlformats.org/officeDocument/2006/relationships" ref="B1" r:id="rId1"/>
    <hyperlink xmlns:r="http://schemas.openxmlformats.org/officeDocument/2006/relationships" ref="G2" r:id="rId2"/>
  </hyperlinks>
  <pageMargins left="0.7" right="0.7" top="0.75" bottom="0.75" header="0.3" footer="0.3"/>
  <drawing xmlns:r="http://schemas.openxmlformats.org/officeDocument/2006/relationships" r:id="rId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H1000"/>
  <sheetViews>
    <sheetView showGridLines="0" workbookViewId="0">
      <selection activeCell="A1" sqref="A1"/>
    </sheetView>
  </sheetViews>
  <sheetFormatPr baseColWidth="8" defaultColWidth="12.5703125" defaultRowHeight="15.75" customHeight="1"/>
  <cols>
    <col width="5.42578125" customWidth="1" style="322" min="1" max="1"/>
    <col width="15.7109375" customWidth="1" style="322" min="2" max="2"/>
    <col width="5.42578125" customWidth="1" style="322" min="8" max="8"/>
  </cols>
  <sheetData>
    <row r="1" ht="22.5" customHeight="1" s="322">
      <c r="A1" s="69" t="n"/>
      <c r="B1" s="455" t="inlineStr">
        <is>
          <t>← 관심종목으로 돌아가기</t>
        </is>
      </c>
      <c r="G1" s="72" t="inlineStr">
        <is>
          <t>제공:</t>
        </is>
      </c>
      <c r="H1" s="69" t="n"/>
    </row>
    <row r="2" ht="22.5" customHeight="1" s="322">
      <c r="A2" s="69" t="n"/>
      <c r="G2" s="77" t="inlineStr">
        <is>
          <t>Google Finance</t>
        </is>
      </c>
      <c r="H2" s="69" t="n"/>
    </row>
    <row r="3" ht="11.25" customHeight="1" s="322">
      <c r="A3" s="1" t="n"/>
      <c r="B3" s="1" t="n"/>
      <c r="C3" s="1" t="n"/>
      <c r="D3" s="1" t="n"/>
      <c r="E3" s="1" t="n"/>
      <c r="F3" s="1" t="n"/>
      <c r="G3" s="1" t="n"/>
      <c r="H3" s="1" t="n"/>
    </row>
    <row r="4" ht="15.75" customHeight="1" s="322">
      <c r="A4" s="1" t="n"/>
      <c r="B4" s="80" t="inlineStr">
        <is>
          <t>AAPL</t>
        </is>
      </c>
      <c r="C4" s="81" t="inlineStr">
        <is>
          <t>&lt;&lt; 종목코드 입력</t>
        </is>
      </c>
      <c r="D4" s="1" t="n"/>
      <c r="E4" s="1" t="n"/>
      <c r="F4" s="1" t="n"/>
      <c r="G4" s="1" t="n"/>
      <c r="H4" s="1" t="n"/>
    </row>
    <row r="5" ht="15.75" customHeight="1" s="322">
      <c r="A5" s="1" t="n"/>
      <c r="B5" s="82" t="n"/>
      <c r="C5" s="81" t="inlineStr">
        <is>
          <t>&lt;&lt; 필요한 경우 거래소 입력(예: NASDAQ, NYSE)</t>
        </is>
      </c>
      <c r="D5" s="85" t="n"/>
      <c r="E5" s="1" t="n"/>
      <c r="F5" s="1" t="n"/>
      <c r="G5" s="1" t="n"/>
      <c r="H5" s="1" t="n"/>
    </row>
    <row r="6" ht="11.25" customHeight="1" s="322">
      <c r="A6" s="27" t="n"/>
      <c r="B6" s="27" t="n"/>
      <c r="C6" s="27" t="n"/>
      <c r="D6" s="27" t="n"/>
      <c r="E6" s="27" t="n"/>
      <c r="F6" s="27" t="n"/>
      <c r="G6" s="27" t="n"/>
      <c r="H6" s="27" t="n"/>
    </row>
    <row r="7" ht="20.25" customHeight="1" s="322">
      <c r="A7" s="12" t="n"/>
      <c r="B7" s="501">
        <f>IFERROR(__xludf.DUMMYFUNCTION("GOOGLEFINANCE(B18,""name"")"),"Apple Inc")</f>
        <v/>
      </c>
      <c r="H7" s="12" t="n"/>
    </row>
    <row r="8" ht="11.25" customHeight="1" s="322">
      <c r="A8" s="12" t="n"/>
      <c r="B8" s="12" t="n"/>
      <c r="C8" s="12" t="n"/>
      <c r="D8" s="12" t="n"/>
      <c r="E8" s="12" t="n"/>
      <c r="F8" s="12" t="n"/>
      <c r="G8" s="12" t="n"/>
      <c r="H8" s="12" t="n"/>
    </row>
    <row r="9" ht="12" customHeight="1" s="322">
      <c r="A9" s="1" t="n"/>
      <c r="B9" s="90" t="inlineStr">
        <is>
          <t>현재가</t>
        </is>
      </c>
      <c r="C9" s="1" t="n"/>
      <c r="D9" s="90" t="inlineStr">
        <is>
          <t>전일대비</t>
        </is>
      </c>
      <c r="E9" s="90" t="inlineStr">
        <is>
          <t>등락률(%)</t>
        </is>
      </c>
      <c r="F9" s="1" t="n"/>
      <c r="G9" s="1" t="n"/>
      <c r="H9" s="1" t="n"/>
    </row>
    <row r="10" ht="31.5" customHeight="1" s="322">
      <c r="A10" s="12" t="n"/>
      <c r="B10" s="502">
        <f>IFERROR(__xludf.DUMMYFUNCTION("GOOGLEFINANCE(B18,""price"")"),338.19)</f>
        <v/>
      </c>
      <c r="D10" s="503">
        <f>IFERROR(__xludf.DUMMYFUNCTION("IFERROR(GOOGLEFINANCE(B18,""change""),""-"")"),-1.89)</f>
        <v/>
      </c>
      <c r="E10" s="504">
        <f>IFERROR(__xludf.DUMMYFUNCTION("IFERROR(GOOGLEFINANCE(B18,""changepct"")/100,""-"")"),-0.0056)</f>
        <v/>
      </c>
      <c r="F10" s="12" t="n"/>
      <c r="G10" s="12" t="n"/>
      <c r="H10" s="12" t="n"/>
    </row>
    <row r="11" ht="11.25" customHeight="1" s="322">
      <c r="A11" s="12" t="n"/>
      <c r="B11" s="106" t="n"/>
      <c r="C11" s="106" t="n"/>
      <c r="D11" s="106" t="n"/>
      <c r="E11" s="106" t="n"/>
      <c r="F11" s="106" t="n"/>
      <c r="G11" s="106" t="n"/>
      <c r="H11" s="12" t="n"/>
    </row>
    <row r="12" ht="11.25" customHeight="1" s="322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 ht="12" customHeight="1" s="322">
      <c r="A13" s="1" t="n"/>
      <c r="B13" s="90" t="inlineStr">
        <is>
          <t>시가총액</t>
        </is>
      </c>
      <c r="C13" s="90" t="inlineStr">
        <is>
          <t>PER</t>
        </is>
      </c>
      <c r="D13" s="90" t="inlineStr">
        <is>
          <t>베타계수</t>
        </is>
      </c>
      <c r="E13" s="1" t="n"/>
      <c r="F13" s="1" t="n"/>
      <c r="G13" s="1" t="n"/>
      <c r="H13" s="1" t="n"/>
    </row>
    <row r="14">
      <c r="A14" s="113" t="n"/>
      <c r="B14" s="505">
        <f>IFERROR(__xludf.DUMMYFUNCTION("IFERROR(GOOGLEFINANCE(B18,""marketcap""),""-"")"),4967114932357)</f>
        <v/>
      </c>
      <c r="C14" s="115">
        <f>IFERROR(__xludf.DUMMYFUNCTION("IFERROR(GOOGLEFINANCE(B18,""pe""),""-"")"),40.91)</f>
        <v/>
      </c>
      <c r="D14" s="115">
        <f>IFERROR(__xludf.DUMMYFUNCTION("IFERROR(GOOGLEFINANCE(B18,""beta""),""-"")"),1.1)</f>
        <v/>
      </c>
      <c r="E14" s="113" t="n"/>
      <c r="F14" s="113" t="n"/>
      <c r="G14" s="113" t="n"/>
      <c r="H14" s="113" t="n"/>
    </row>
    <row r="15" ht="15.75" customHeight="1" s="322">
      <c r="A15" s="12" t="n"/>
      <c r="B15" s="12" t="n"/>
      <c r="C15" s="12" t="n"/>
      <c r="D15" s="12" t="n"/>
      <c r="E15" s="12" t="n"/>
      <c r="F15" s="12" t="n"/>
      <c r="G15" s="123" t="inlineStr">
        <is>
          <t>36 Months</t>
        </is>
      </c>
      <c r="H15" s="12" t="n"/>
    </row>
    <row r="16" ht="15.75" customHeight="1" s="322">
      <c r="A16" s="12" t="n"/>
      <c r="B16" s="12" t="n"/>
      <c r="C16" s="12" t="n"/>
      <c r="D16" s="12" t="n"/>
      <c r="E16" s="12" t="n"/>
      <c r="F16" s="12" t="n"/>
      <c r="G16" s="12" t="n"/>
      <c r="H16" s="12" t="n"/>
    </row>
    <row r="17" ht="15.75" customHeight="1" s="322">
      <c r="A17" s="12" t="n"/>
      <c r="B17" s="12" t="n"/>
      <c r="C17" s="12" t="n"/>
      <c r="D17" s="12" t="n"/>
      <c r="E17" s="12" t="n"/>
      <c r="F17" s="12" t="n"/>
      <c r="G17" s="12" t="n"/>
      <c r="H17" s="12" t="n"/>
    </row>
    <row r="18" ht="15.75" customHeight="1" s="322">
      <c r="A18" s="12" t="n"/>
      <c r="B18" s="127">
        <f>IF(ISBLANK(B5),"",B5&amp;":")&amp;B4</f>
        <v/>
      </c>
      <c r="C18" s="12" t="n"/>
      <c r="D18" s="12" t="n"/>
      <c r="E18" s="12" t="n"/>
      <c r="F18" s="12" t="n"/>
      <c r="G18" s="12" t="n"/>
      <c r="H18" s="12" t="n"/>
    </row>
    <row r="19" ht="15.75" customHeight="1" s="322">
      <c r="A19" s="12" t="n"/>
      <c r="B19" s="12" t="n"/>
      <c r="C19" s="12" t="n"/>
      <c r="D19" s="12" t="n"/>
      <c r="E19" s="12" t="n"/>
      <c r="F19" s="12" t="n"/>
      <c r="G19" s="12" t="n"/>
      <c r="H19" s="12" t="n"/>
    </row>
    <row r="20" ht="15.75" customHeight="1" s="322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1" ht="15.75" customHeight="1" s="322">
      <c r="A21" s="12" t="n"/>
      <c r="B21" s="12" t="n"/>
      <c r="C21" s="12" t="n"/>
      <c r="D21" s="12" t="n"/>
      <c r="E21" s="12" t="n"/>
      <c r="F21" s="12" t="n"/>
      <c r="G21" s="12" t="n"/>
      <c r="H21" s="12" t="n"/>
    </row>
    <row r="22" ht="15.75" customHeight="1" s="322">
      <c r="A22" s="12" t="n"/>
      <c r="B22" s="12" t="n"/>
      <c r="C22" s="12" t="n"/>
      <c r="D22" s="12" t="n"/>
      <c r="E22" s="12" t="n"/>
      <c r="F22" s="12" t="n"/>
      <c r="G22" s="12" t="n"/>
      <c r="H22" s="12" t="n"/>
    </row>
    <row r="23" ht="15.75" customHeight="1" s="322">
      <c r="A23" s="12" t="n"/>
      <c r="B23" s="12" t="n"/>
      <c r="C23" s="12" t="n"/>
      <c r="D23" s="12" t="n"/>
      <c r="E23" s="12" t="n"/>
      <c r="F23" s="12" t="n"/>
      <c r="G23" s="12" t="n"/>
      <c r="H23" s="12" t="n"/>
    </row>
    <row r="24" ht="15.75" customHeight="1" s="322">
      <c r="A24" s="12" t="n"/>
      <c r="B24" s="12" t="n"/>
      <c r="C24" s="12" t="n"/>
      <c r="D24" s="12" t="n"/>
      <c r="E24" s="12" t="n"/>
      <c r="F24" s="12" t="n"/>
      <c r="G24" s="12" t="n"/>
      <c r="H24" s="12" t="n"/>
    </row>
    <row r="25" ht="15.75" customHeight="1" s="322">
      <c r="A25" s="12" t="n"/>
      <c r="B25" s="12" t="n"/>
      <c r="C25" s="12" t="n"/>
      <c r="D25" s="12" t="n"/>
      <c r="E25" s="12" t="n"/>
      <c r="F25" s="12" t="n"/>
      <c r="G25" s="12" t="n"/>
      <c r="H25" s="12" t="n"/>
    </row>
    <row r="26" ht="15.75" customHeight="1" s="322">
      <c r="A26" s="12" t="n"/>
      <c r="B26" s="12" t="n"/>
      <c r="C26" s="12" t="n"/>
      <c r="D26" s="12" t="n"/>
      <c r="E26" s="12" t="n"/>
      <c r="F26" s="12" t="n"/>
      <c r="G26" s="12" t="n"/>
      <c r="H26" s="12" t="n"/>
    </row>
    <row r="27" ht="15.75" customHeight="1" s="322">
      <c r="A27" s="133" t="n"/>
      <c r="B27" s="136">
        <f>IFERROR(__xludf.DUMMYFUNCTION("GOOGLEFINANCE(B18, ""all"", EDATE(TODAY(), -LEFT(G15, FIND("" "", G15))), TODAY(), ""DAILY"")"),"Date")</f>
        <v/>
      </c>
      <c r="C27" s="137">
        <f>IFERROR(__xludf.DUMMYFUNCTION("""COMPUTED_VALUE"""),"Open")</f>
        <v/>
      </c>
      <c r="D27" s="137">
        <f>IFERROR(__xludf.DUMMYFUNCTION("""COMPUTED_VALUE"""),"High")</f>
        <v/>
      </c>
      <c r="E27" s="137">
        <f>IFERROR(__xludf.DUMMYFUNCTION("""COMPUTED_VALUE"""),"Low")</f>
        <v/>
      </c>
      <c r="F27" s="137">
        <f>IFERROR(__xludf.DUMMYFUNCTION("""COMPUTED_VALUE"""),"Close")</f>
        <v/>
      </c>
      <c r="G27" s="137">
        <f>IFERROR(__xludf.DUMMYFUNCTION("""COMPUTED_VALUE"""),"Volume")</f>
        <v/>
      </c>
      <c r="H27" s="133" t="n"/>
    </row>
    <row r="28" ht="17.25" customHeight="1" s="322">
      <c r="A28" s="27" t="n"/>
      <c r="B28" s="506">
        <f>IFERROR(__xludf.DUMMYFUNCTION("""COMPUTED_VALUE"""),45138.6666666666)</f>
        <v/>
      </c>
      <c r="C28" s="141">
        <f>IFERROR(__xludf.DUMMYFUNCTION("""COMPUTED_VALUE"""),196.06)</f>
        <v/>
      </c>
      <c r="D28" s="141">
        <f>IFERROR(__xludf.DUMMYFUNCTION("""COMPUTED_VALUE"""),196.49)</f>
        <v/>
      </c>
      <c r="E28" s="141">
        <f>IFERROR(__xludf.DUMMYFUNCTION("""COMPUTED_VALUE"""),195.26)</f>
        <v/>
      </c>
      <c r="F28" s="141">
        <f>IFERROR(__xludf.DUMMYFUNCTION("""COMPUTED_VALUE"""),196.45)</f>
        <v/>
      </c>
      <c r="G28" s="143">
        <f>IFERROR(__xludf.DUMMYFUNCTION("""COMPUTED_VALUE"""),38824113)</f>
        <v/>
      </c>
      <c r="H28" s="27" t="n"/>
    </row>
    <row r="29" ht="17.25" customHeight="1" s="322">
      <c r="A29" s="27" t="n"/>
      <c r="B29" s="506">
        <f>IFERROR(__xludf.DUMMYFUNCTION("""COMPUTED_VALUE"""),45139.6666666666)</f>
        <v/>
      </c>
      <c r="C29" s="141">
        <f>IFERROR(__xludf.DUMMYFUNCTION("""COMPUTED_VALUE"""),196.24)</f>
        <v/>
      </c>
      <c r="D29" s="141">
        <f>IFERROR(__xludf.DUMMYFUNCTION("""COMPUTED_VALUE"""),196.73)</f>
        <v/>
      </c>
      <c r="E29" s="141">
        <f>IFERROR(__xludf.DUMMYFUNCTION("""COMPUTED_VALUE"""),195.28)</f>
        <v/>
      </c>
      <c r="F29" s="141">
        <f>IFERROR(__xludf.DUMMYFUNCTION("""COMPUTED_VALUE"""),195.61)</f>
        <v/>
      </c>
      <c r="G29" s="143">
        <f>IFERROR(__xludf.DUMMYFUNCTION("""COMPUTED_VALUE"""),35281426)</f>
        <v/>
      </c>
      <c r="H29" s="27" t="n"/>
    </row>
    <row r="30" ht="17.25" customHeight="1" s="322">
      <c r="A30" s="27" t="n"/>
      <c r="B30" s="506">
        <f>IFERROR(__xludf.DUMMYFUNCTION("""COMPUTED_VALUE"""),45140.6666666666)</f>
        <v/>
      </c>
      <c r="C30" s="141">
        <f>IFERROR(__xludf.DUMMYFUNCTION("""COMPUTED_VALUE"""),195.04)</f>
        <v/>
      </c>
      <c r="D30" s="141">
        <f>IFERROR(__xludf.DUMMYFUNCTION("""COMPUTED_VALUE"""),195.18)</f>
        <v/>
      </c>
      <c r="E30" s="141">
        <f>IFERROR(__xludf.DUMMYFUNCTION("""COMPUTED_VALUE"""),191.85)</f>
        <v/>
      </c>
      <c r="F30" s="141">
        <f>IFERROR(__xludf.DUMMYFUNCTION("""COMPUTED_VALUE"""),192.58)</f>
        <v/>
      </c>
      <c r="G30" s="143">
        <f>IFERROR(__xludf.DUMMYFUNCTION("""COMPUTED_VALUE"""),50389327)</f>
        <v/>
      </c>
      <c r="H30" s="27" t="n"/>
    </row>
    <row r="31" ht="17.25" customHeight="1" s="322">
      <c r="A31" s="27" t="n"/>
      <c r="B31" s="506">
        <f>IFERROR(__xludf.DUMMYFUNCTION("""COMPUTED_VALUE"""),45141.6666666666)</f>
        <v/>
      </c>
      <c r="C31" s="141">
        <f>IFERROR(__xludf.DUMMYFUNCTION("""COMPUTED_VALUE"""),191.57)</f>
        <v/>
      </c>
      <c r="D31" s="141">
        <f>IFERROR(__xludf.DUMMYFUNCTION("""COMPUTED_VALUE"""),192.37)</f>
        <v/>
      </c>
      <c r="E31" s="141">
        <f>IFERROR(__xludf.DUMMYFUNCTION("""COMPUTED_VALUE"""),190.69)</f>
        <v/>
      </c>
      <c r="F31" s="141">
        <f>IFERROR(__xludf.DUMMYFUNCTION("""COMPUTED_VALUE"""),191.17)</f>
        <v/>
      </c>
      <c r="G31" s="143">
        <f>IFERROR(__xludf.DUMMYFUNCTION("""COMPUTED_VALUE"""),62243282)</f>
        <v/>
      </c>
      <c r="H31" s="27" t="n"/>
    </row>
    <row r="32" ht="17.25" customHeight="1" s="322">
      <c r="A32" s="27" t="n"/>
      <c r="B32" s="506">
        <f>IFERROR(__xludf.DUMMYFUNCTION("""COMPUTED_VALUE"""),45142.6666666666)</f>
        <v/>
      </c>
      <c r="C32" s="141">
        <f>IFERROR(__xludf.DUMMYFUNCTION("""COMPUTED_VALUE"""),185.52)</f>
        <v/>
      </c>
      <c r="D32" s="141">
        <f>IFERROR(__xludf.DUMMYFUNCTION("""COMPUTED_VALUE"""),187.38)</f>
        <v/>
      </c>
      <c r="E32" s="141">
        <f>IFERROR(__xludf.DUMMYFUNCTION("""COMPUTED_VALUE"""),181.92)</f>
        <v/>
      </c>
      <c r="F32" s="141">
        <f>IFERROR(__xludf.DUMMYFUNCTION("""COMPUTED_VALUE"""),181.99)</f>
        <v/>
      </c>
      <c r="G32" s="143">
        <f>IFERROR(__xludf.DUMMYFUNCTION("""COMPUTED_VALUE"""),115956841)</f>
        <v/>
      </c>
      <c r="H32" s="27" t="n"/>
    </row>
    <row r="33" ht="17.25" customHeight="1" s="322">
      <c r="A33" s="27" t="n"/>
      <c r="B33" s="506">
        <f>IFERROR(__xludf.DUMMYFUNCTION("""COMPUTED_VALUE"""),45145.6666666666)</f>
        <v/>
      </c>
      <c r="C33" s="141">
        <f>IFERROR(__xludf.DUMMYFUNCTION("""COMPUTED_VALUE"""),182.13)</f>
        <v/>
      </c>
      <c r="D33" s="141">
        <f>IFERROR(__xludf.DUMMYFUNCTION("""COMPUTED_VALUE"""),183.13)</f>
        <v/>
      </c>
      <c r="E33" s="141">
        <f>IFERROR(__xludf.DUMMYFUNCTION("""COMPUTED_VALUE"""),177.35)</f>
        <v/>
      </c>
      <c r="F33" s="141">
        <f>IFERROR(__xludf.DUMMYFUNCTION("""COMPUTED_VALUE"""),178.85)</f>
        <v/>
      </c>
      <c r="G33" s="143">
        <f>IFERROR(__xludf.DUMMYFUNCTION("""COMPUTED_VALUE"""),97576069)</f>
        <v/>
      </c>
      <c r="H33" s="27" t="n"/>
    </row>
    <row r="34" ht="17.25" customHeight="1" s="322">
      <c r="A34" s="27" t="n"/>
      <c r="B34" s="506">
        <f>IFERROR(__xludf.DUMMYFUNCTION("""COMPUTED_VALUE"""),45146.6666666666)</f>
        <v/>
      </c>
      <c r="C34" s="141">
        <f>IFERROR(__xludf.DUMMYFUNCTION("""COMPUTED_VALUE"""),179.69)</f>
        <v/>
      </c>
      <c r="D34" s="141">
        <f>IFERROR(__xludf.DUMMYFUNCTION("""COMPUTED_VALUE"""),180.27)</f>
        <v/>
      </c>
      <c r="E34" s="141">
        <f>IFERROR(__xludf.DUMMYFUNCTION("""COMPUTED_VALUE"""),177.58)</f>
        <v/>
      </c>
      <c r="F34" s="141">
        <f>IFERROR(__xludf.DUMMYFUNCTION("""COMPUTED_VALUE"""),179.8)</f>
        <v/>
      </c>
      <c r="G34" s="143">
        <f>IFERROR(__xludf.DUMMYFUNCTION("""COMPUTED_VALUE"""),67823003)</f>
        <v/>
      </c>
      <c r="H34" s="27" t="n"/>
    </row>
    <row r="35" ht="17.25" customHeight="1" s="322">
      <c r="A35" s="27" t="n"/>
      <c r="B35" s="506">
        <f>IFERROR(__xludf.DUMMYFUNCTION("""COMPUTED_VALUE"""),45147.6666666666)</f>
        <v/>
      </c>
      <c r="C35" s="141">
        <f>IFERROR(__xludf.DUMMYFUNCTION("""COMPUTED_VALUE"""),180.87)</f>
        <v/>
      </c>
      <c r="D35" s="141">
        <f>IFERROR(__xludf.DUMMYFUNCTION("""COMPUTED_VALUE"""),180.93)</f>
        <v/>
      </c>
      <c r="E35" s="141">
        <f>IFERROR(__xludf.DUMMYFUNCTION("""COMPUTED_VALUE"""),177.01)</f>
        <v/>
      </c>
      <c r="F35" s="141">
        <f>IFERROR(__xludf.DUMMYFUNCTION("""COMPUTED_VALUE"""),178.19)</f>
        <v/>
      </c>
      <c r="G35" s="143">
        <f>IFERROR(__xludf.DUMMYFUNCTION("""COMPUTED_VALUE"""),60378492)</f>
        <v/>
      </c>
      <c r="H35" s="27" t="n"/>
    </row>
    <row r="36" ht="17.25" customHeight="1" s="322">
      <c r="A36" s="27" t="n"/>
      <c r="B36" s="506">
        <f>IFERROR(__xludf.DUMMYFUNCTION("""COMPUTED_VALUE"""),45148.6666666666)</f>
        <v/>
      </c>
      <c r="C36" s="141">
        <f>IFERROR(__xludf.DUMMYFUNCTION("""COMPUTED_VALUE"""),179.48)</f>
        <v/>
      </c>
      <c r="D36" s="141">
        <f>IFERROR(__xludf.DUMMYFUNCTION("""COMPUTED_VALUE"""),180.75)</f>
        <v/>
      </c>
      <c r="E36" s="141">
        <f>IFERROR(__xludf.DUMMYFUNCTION("""COMPUTED_VALUE"""),177.6)</f>
        <v/>
      </c>
      <c r="F36" s="141">
        <f>IFERROR(__xludf.DUMMYFUNCTION("""COMPUTED_VALUE"""),177.97)</f>
        <v/>
      </c>
      <c r="G36" s="143">
        <f>IFERROR(__xludf.DUMMYFUNCTION("""COMPUTED_VALUE"""),54686851)</f>
        <v/>
      </c>
      <c r="H36" s="27" t="n"/>
    </row>
    <row r="37" ht="17.25" customHeight="1" s="322">
      <c r="A37" s="27" t="n"/>
      <c r="B37" s="506">
        <f>IFERROR(__xludf.DUMMYFUNCTION("""COMPUTED_VALUE"""),45149.6666666666)</f>
        <v/>
      </c>
      <c r="C37" s="141">
        <f>IFERROR(__xludf.DUMMYFUNCTION("""COMPUTED_VALUE"""),177.32)</f>
        <v/>
      </c>
      <c r="D37" s="141">
        <f>IFERROR(__xludf.DUMMYFUNCTION("""COMPUTED_VALUE"""),178.62)</f>
        <v/>
      </c>
      <c r="E37" s="141">
        <f>IFERROR(__xludf.DUMMYFUNCTION("""COMPUTED_VALUE"""),176.55)</f>
        <v/>
      </c>
      <c r="F37" s="141">
        <f>IFERROR(__xludf.DUMMYFUNCTION("""COMPUTED_VALUE"""),177.79)</f>
        <v/>
      </c>
      <c r="G37" s="143">
        <f>IFERROR(__xludf.DUMMYFUNCTION("""COMPUTED_VALUE"""),52036672)</f>
        <v/>
      </c>
      <c r="H37" s="27" t="n"/>
    </row>
    <row r="38" ht="17.25" customHeight="1" s="322">
      <c r="A38" s="27" t="n"/>
      <c r="B38" s="506">
        <f>IFERROR(__xludf.DUMMYFUNCTION("""COMPUTED_VALUE"""),45152.6666666666)</f>
        <v/>
      </c>
      <c r="C38" s="141">
        <f>IFERROR(__xludf.DUMMYFUNCTION("""COMPUTED_VALUE"""),177.97)</f>
        <v/>
      </c>
      <c r="D38" s="141">
        <f>IFERROR(__xludf.DUMMYFUNCTION("""COMPUTED_VALUE"""),179.69)</f>
        <v/>
      </c>
      <c r="E38" s="141">
        <f>IFERROR(__xludf.DUMMYFUNCTION("""COMPUTED_VALUE"""),177.31)</f>
        <v/>
      </c>
      <c r="F38" s="141">
        <f>IFERROR(__xludf.DUMMYFUNCTION("""COMPUTED_VALUE"""),179.46)</f>
        <v/>
      </c>
      <c r="G38" s="143">
        <f>IFERROR(__xludf.DUMMYFUNCTION("""COMPUTED_VALUE"""),43675627)</f>
        <v/>
      </c>
      <c r="H38" s="27" t="n"/>
    </row>
    <row r="39" ht="17.25" customHeight="1" s="322">
      <c r="A39" s="27" t="n"/>
      <c r="B39" s="506">
        <f>IFERROR(__xludf.DUMMYFUNCTION("""COMPUTED_VALUE"""),45153.6666666666)</f>
        <v/>
      </c>
      <c r="C39" s="141">
        <f>IFERROR(__xludf.DUMMYFUNCTION("""COMPUTED_VALUE"""),178.88)</f>
        <v/>
      </c>
      <c r="D39" s="141">
        <f>IFERROR(__xludf.DUMMYFUNCTION("""COMPUTED_VALUE"""),179.48)</f>
        <v/>
      </c>
      <c r="E39" s="141">
        <f>IFERROR(__xludf.DUMMYFUNCTION("""COMPUTED_VALUE"""),177.05)</f>
        <v/>
      </c>
      <c r="F39" s="141">
        <f>IFERROR(__xludf.DUMMYFUNCTION("""COMPUTED_VALUE"""),177.45)</f>
        <v/>
      </c>
      <c r="G39" s="143">
        <f>IFERROR(__xludf.DUMMYFUNCTION("""COMPUTED_VALUE"""),43622593)</f>
        <v/>
      </c>
      <c r="H39" s="27" t="n"/>
    </row>
    <row r="40" ht="17.25" customHeight="1" s="322">
      <c r="A40" s="27" t="n"/>
      <c r="B40" s="506">
        <f>IFERROR(__xludf.DUMMYFUNCTION("""COMPUTED_VALUE"""),45154.6666666666)</f>
        <v/>
      </c>
      <c r="C40" s="141">
        <f>IFERROR(__xludf.DUMMYFUNCTION("""COMPUTED_VALUE"""),177.13)</f>
        <v/>
      </c>
      <c r="D40" s="141">
        <f>IFERROR(__xludf.DUMMYFUNCTION("""COMPUTED_VALUE"""),178.54)</f>
        <v/>
      </c>
      <c r="E40" s="141">
        <f>IFERROR(__xludf.DUMMYFUNCTION("""COMPUTED_VALUE"""),176.5)</f>
        <v/>
      </c>
      <c r="F40" s="141">
        <f>IFERROR(__xludf.DUMMYFUNCTION("""COMPUTED_VALUE"""),176.57)</f>
        <v/>
      </c>
      <c r="G40" s="143">
        <f>IFERROR(__xludf.DUMMYFUNCTION("""COMPUTED_VALUE"""),46964857)</f>
        <v/>
      </c>
      <c r="H40" s="27" t="n"/>
    </row>
    <row r="41" ht="17.25" customHeight="1" s="322">
      <c r="A41" s="27" t="n"/>
      <c r="B41" s="506">
        <f>IFERROR(__xludf.DUMMYFUNCTION("""COMPUTED_VALUE"""),45155.6666666666)</f>
        <v/>
      </c>
      <c r="C41" s="141">
        <f>IFERROR(__xludf.DUMMYFUNCTION("""COMPUTED_VALUE"""),177.14)</f>
        <v/>
      </c>
      <c r="D41" s="141">
        <f>IFERROR(__xludf.DUMMYFUNCTION("""COMPUTED_VALUE"""),177.51)</f>
        <v/>
      </c>
      <c r="E41" s="141">
        <f>IFERROR(__xludf.DUMMYFUNCTION("""COMPUTED_VALUE"""),173.48)</f>
        <v/>
      </c>
      <c r="F41" s="141">
        <f>IFERROR(__xludf.DUMMYFUNCTION("""COMPUTED_VALUE"""),174)</f>
        <v/>
      </c>
      <c r="G41" s="143">
        <f>IFERROR(__xludf.DUMMYFUNCTION("""COMPUTED_VALUE"""),66062882)</f>
        <v/>
      </c>
      <c r="H41" s="27" t="n"/>
    </row>
    <row r="42" ht="17.25" customHeight="1" s="322">
      <c r="A42" s="27" t="n"/>
      <c r="B42" s="506">
        <f>IFERROR(__xludf.DUMMYFUNCTION("""COMPUTED_VALUE"""),45156.6666666666)</f>
        <v/>
      </c>
      <c r="C42" s="141">
        <f>IFERROR(__xludf.DUMMYFUNCTION("""COMPUTED_VALUE"""),172.3)</f>
        <v/>
      </c>
      <c r="D42" s="141">
        <f>IFERROR(__xludf.DUMMYFUNCTION("""COMPUTED_VALUE"""),175.1)</f>
        <v/>
      </c>
      <c r="E42" s="141">
        <f>IFERROR(__xludf.DUMMYFUNCTION("""COMPUTED_VALUE"""),171.96)</f>
        <v/>
      </c>
      <c r="F42" s="141">
        <f>IFERROR(__xludf.DUMMYFUNCTION("""COMPUTED_VALUE"""),174.49)</f>
        <v/>
      </c>
      <c r="G42" s="143">
        <f>IFERROR(__xludf.DUMMYFUNCTION("""COMPUTED_VALUE"""),61172150)</f>
        <v/>
      </c>
      <c r="H42" s="27" t="n"/>
    </row>
    <row r="43" ht="17.25" customHeight="1" s="322">
      <c r="A43" s="27" t="n"/>
      <c r="B43" s="506">
        <f>IFERROR(__xludf.DUMMYFUNCTION("""COMPUTED_VALUE"""),45159.6666666666)</f>
        <v/>
      </c>
      <c r="C43" s="141">
        <f>IFERROR(__xludf.DUMMYFUNCTION("""COMPUTED_VALUE"""),175.07)</f>
        <v/>
      </c>
      <c r="D43" s="141">
        <f>IFERROR(__xludf.DUMMYFUNCTION("""COMPUTED_VALUE"""),176.13)</f>
        <v/>
      </c>
      <c r="E43" s="141">
        <f>IFERROR(__xludf.DUMMYFUNCTION("""COMPUTED_VALUE"""),173.74)</f>
        <v/>
      </c>
      <c r="F43" s="141">
        <f>IFERROR(__xludf.DUMMYFUNCTION("""COMPUTED_VALUE"""),175.84)</f>
        <v/>
      </c>
      <c r="G43" s="143">
        <f>IFERROR(__xludf.DUMMYFUNCTION("""COMPUTED_VALUE"""),46311879)</f>
        <v/>
      </c>
      <c r="H43" s="27" t="n"/>
    </row>
    <row r="44" ht="17.25" customHeight="1" s="322">
      <c r="A44" s="27" t="n"/>
      <c r="B44" s="506">
        <f>IFERROR(__xludf.DUMMYFUNCTION("""COMPUTED_VALUE"""),45160.6666666666)</f>
        <v/>
      </c>
      <c r="C44" s="141">
        <f>IFERROR(__xludf.DUMMYFUNCTION("""COMPUTED_VALUE"""),177.06)</f>
        <v/>
      </c>
      <c r="D44" s="141">
        <f>IFERROR(__xludf.DUMMYFUNCTION("""COMPUTED_VALUE"""),177.68)</f>
        <v/>
      </c>
      <c r="E44" s="141">
        <f>IFERROR(__xludf.DUMMYFUNCTION("""COMPUTED_VALUE"""),176.25)</f>
        <v/>
      </c>
      <c r="F44" s="141">
        <f>IFERROR(__xludf.DUMMYFUNCTION("""COMPUTED_VALUE"""),177.23)</f>
        <v/>
      </c>
      <c r="G44" s="143">
        <f>IFERROR(__xludf.DUMMYFUNCTION("""COMPUTED_VALUE"""),42084245)</f>
        <v/>
      </c>
      <c r="H44" s="27" t="n"/>
    </row>
    <row r="45" ht="17.25" customHeight="1" s="322">
      <c r="A45" s="27" t="n"/>
      <c r="B45" s="506">
        <f>IFERROR(__xludf.DUMMYFUNCTION("""COMPUTED_VALUE"""),45161.6666666666)</f>
        <v/>
      </c>
      <c r="C45" s="141">
        <f>IFERROR(__xludf.DUMMYFUNCTION("""COMPUTED_VALUE"""),178.52)</f>
        <v/>
      </c>
      <c r="D45" s="141">
        <f>IFERROR(__xludf.DUMMYFUNCTION("""COMPUTED_VALUE"""),181.55)</f>
        <v/>
      </c>
      <c r="E45" s="141">
        <f>IFERROR(__xludf.DUMMYFUNCTION("""COMPUTED_VALUE"""),178.33)</f>
        <v/>
      </c>
      <c r="F45" s="141">
        <f>IFERROR(__xludf.DUMMYFUNCTION("""COMPUTED_VALUE"""),181.12)</f>
        <v/>
      </c>
      <c r="G45" s="143">
        <f>IFERROR(__xludf.DUMMYFUNCTION("""COMPUTED_VALUE"""),52722752)</f>
        <v/>
      </c>
      <c r="H45" s="27" t="n"/>
    </row>
    <row r="46" ht="17.25" customHeight="1" s="322">
      <c r="A46" s="27" t="n"/>
      <c r="B46" s="506">
        <f>IFERROR(__xludf.DUMMYFUNCTION("""COMPUTED_VALUE"""),45162.6666666666)</f>
        <v/>
      </c>
      <c r="C46" s="141">
        <f>IFERROR(__xludf.DUMMYFUNCTION("""COMPUTED_VALUE"""),180.67)</f>
        <v/>
      </c>
      <c r="D46" s="141">
        <f>IFERROR(__xludf.DUMMYFUNCTION("""COMPUTED_VALUE"""),181.1)</f>
        <v/>
      </c>
      <c r="E46" s="141">
        <f>IFERROR(__xludf.DUMMYFUNCTION("""COMPUTED_VALUE"""),176.01)</f>
        <v/>
      </c>
      <c r="F46" s="141">
        <f>IFERROR(__xludf.DUMMYFUNCTION("""COMPUTED_VALUE"""),176.38)</f>
        <v/>
      </c>
      <c r="G46" s="143">
        <f>IFERROR(__xludf.DUMMYFUNCTION("""COMPUTED_VALUE"""),54945798)</f>
        <v/>
      </c>
      <c r="H46" s="27" t="n"/>
    </row>
    <row r="47" ht="17.25" customHeight="1" s="322">
      <c r="A47" s="27" t="n"/>
      <c r="B47" s="506">
        <f>IFERROR(__xludf.DUMMYFUNCTION("""COMPUTED_VALUE"""),45163.6666666666)</f>
        <v/>
      </c>
      <c r="C47" s="141">
        <f>IFERROR(__xludf.DUMMYFUNCTION("""COMPUTED_VALUE"""),177.38)</f>
        <v/>
      </c>
      <c r="D47" s="141">
        <f>IFERROR(__xludf.DUMMYFUNCTION("""COMPUTED_VALUE"""),179.15)</f>
        <v/>
      </c>
      <c r="E47" s="141">
        <f>IFERROR(__xludf.DUMMYFUNCTION("""COMPUTED_VALUE"""),175.82)</f>
        <v/>
      </c>
      <c r="F47" s="141">
        <f>IFERROR(__xludf.DUMMYFUNCTION("""COMPUTED_VALUE"""),178.61)</f>
        <v/>
      </c>
      <c r="G47" s="143">
        <f>IFERROR(__xludf.DUMMYFUNCTION("""COMPUTED_VALUE"""),51449594)</f>
        <v/>
      </c>
      <c r="H47" s="27" t="n"/>
    </row>
    <row r="48" ht="17.25" customHeight="1" s="322">
      <c r="A48" s="27" t="n"/>
      <c r="B48" s="506">
        <f>IFERROR(__xludf.DUMMYFUNCTION("""COMPUTED_VALUE"""),45166.6666666666)</f>
        <v/>
      </c>
      <c r="C48" s="141">
        <f>IFERROR(__xludf.DUMMYFUNCTION("""COMPUTED_VALUE"""),180.09)</f>
        <v/>
      </c>
      <c r="D48" s="141">
        <f>IFERROR(__xludf.DUMMYFUNCTION("""COMPUTED_VALUE"""),180.59)</f>
        <v/>
      </c>
      <c r="E48" s="141">
        <f>IFERROR(__xludf.DUMMYFUNCTION("""COMPUTED_VALUE"""),178.55)</f>
        <v/>
      </c>
      <c r="F48" s="141">
        <f>IFERROR(__xludf.DUMMYFUNCTION("""COMPUTED_VALUE"""),180.19)</f>
        <v/>
      </c>
      <c r="G48" s="143">
        <f>IFERROR(__xludf.DUMMYFUNCTION("""COMPUTED_VALUE"""),43820697)</f>
        <v/>
      </c>
      <c r="H48" s="27" t="n"/>
    </row>
    <row r="49" ht="17.25" customHeight="1" s="322">
      <c r="A49" s="27" t="n"/>
      <c r="B49" s="506">
        <f>IFERROR(__xludf.DUMMYFUNCTION("""COMPUTED_VALUE"""),45167.6666666666)</f>
        <v/>
      </c>
      <c r="C49" s="141">
        <f>IFERROR(__xludf.DUMMYFUNCTION("""COMPUTED_VALUE"""),179.7)</f>
        <v/>
      </c>
      <c r="D49" s="141">
        <f>IFERROR(__xludf.DUMMYFUNCTION("""COMPUTED_VALUE"""),184.9)</f>
        <v/>
      </c>
      <c r="E49" s="141">
        <f>IFERROR(__xludf.DUMMYFUNCTION("""COMPUTED_VALUE"""),179.5)</f>
        <v/>
      </c>
      <c r="F49" s="141">
        <f>IFERROR(__xludf.DUMMYFUNCTION("""COMPUTED_VALUE"""),184.12)</f>
        <v/>
      </c>
      <c r="G49" s="143">
        <f>IFERROR(__xludf.DUMMYFUNCTION("""COMPUTED_VALUE"""),53003948)</f>
        <v/>
      </c>
      <c r="H49" s="27" t="n"/>
    </row>
    <row r="50" ht="17.25" customHeight="1" s="322">
      <c r="A50" s="27" t="n"/>
      <c r="B50" s="506">
        <f>IFERROR(__xludf.DUMMYFUNCTION("""COMPUTED_VALUE"""),45168.6666666666)</f>
        <v/>
      </c>
      <c r="C50" s="141">
        <f>IFERROR(__xludf.DUMMYFUNCTION("""COMPUTED_VALUE"""),184.94)</f>
        <v/>
      </c>
      <c r="D50" s="141">
        <f>IFERROR(__xludf.DUMMYFUNCTION("""COMPUTED_VALUE"""),187.85)</f>
        <v/>
      </c>
      <c r="E50" s="141">
        <f>IFERROR(__xludf.DUMMYFUNCTION("""COMPUTED_VALUE"""),184.74)</f>
        <v/>
      </c>
      <c r="F50" s="141">
        <f>IFERROR(__xludf.DUMMYFUNCTION("""COMPUTED_VALUE"""),187.65)</f>
        <v/>
      </c>
      <c r="G50" s="143">
        <f>IFERROR(__xludf.DUMMYFUNCTION("""COMPUTED_VALUE"""),60813888)</f>
        <v/>
      </c>
      <c r="H50" s="27" t="n"/>
    </row>
    <row r="51" ht="17.25" customHeight="1" s="322">
      <c r="A51" s="27" t="n"/>
      <c r="B51" s="506">
        <f>IFERROR(__xludf.DUMMYFUNCTION("""COMPUTED_VALUE"""),45169.6666666666)</f>
        <v/>
      </c>
      <c r="C51" s="141">
        <f>IFERROR(__xludf.DUMMYFUNCTION("""COMPUTED_VALUE"""),187.84)</f>
        <v/>
      </c>
      <c r="D51" s="141">
        <f>IFERROR(__xludf.DUMMYFUNCTION("""COMPUTED_VALUE"""),189.12)</f>
        <v/>
      </c>
      <c r="E51" s="141">
        <f>IFERROR(__xludf.DUMMYFUNCTION("""COMPUTED_VALUE"""),187.48)</f>
        <v/>
      </c>
      <c r="F51" s="141">
        <f>IFERROR(__xludf.DUMMYFUNCTION("""COMPUTED_VALUE"""),187.87)</f>
        <v/>
      </c>
      <c r="G51" s="143">
        <f>IFERROR(__xludf.DUMMYFUNCTION("""COMPUTED_VALUE"""),60794467)</f>
        <v/>
      </c>
      <c r="H51" s="27" t="n"/>
    </row>
    <row r="52" ht="17.25" customHeight="1" s="322">
      <c r="A52" s="27" t="n"/>
      <c r="B52" s="506">
        <f>IFERROR(__xludf.DUMMYFUNCTION("""COMPUTED_VALUE"""),45170.6666666666)</f>
        <v/>
      </c>
      <c r="C52" s="141">
        <f>IFERROR(__xludf.DUMMYFUNCTION("""COMPUTED_VALUE"""),189.49)</f>
        <v/>
      </c>
      <c r="D52" s="141">
        <f>IFERROR(__xludf.DUMMYFUNCTION("""COMPUTED_VALUE"""),189.92)</f>
        <v/>
      </c>
      <c r="E52" s="141">
        <f>IFERROR(__xludf.DUMMYFUNCTION("""COMPUTED_VALUE"""),188.28)</f>
        <v/>
      </c>
      <c r="F52" s="141">
        <f>IFERROR(__xludf.DUMMYFUNCTION("""COMPUTED_VALUE"""),189.46)</f>
        <v/>
      </c>
      <c r="G52" s="143">
        <f>IFERROR(__xludf.DUMMYFUNCTION("""COMPUTED_VALUE"""),45766503)</f>
        <v/>
      </c>
      <c r="H52" s="27" t="n"/>
    </row>
    <row r="53" ht="17.25" customHeight="1" s="322">
      <c r="A53" s="27" t="n"/>
      <c r="B53" s="506">
        <f>IFERROR(__xludf.DUMMYFUNCTION("""COMPUTED_VALUE"""),45174.6666666666)</f>
        <v/>
      </c>
      <c r="C53" s="141">
        <f>IFERROR(__xludf.DUMMYFUNCTION("""COMPUTED_VALUE"""),188.28)</f>
        <v/>
      </c>
      <c r="D53" s="141">
        <f>IFERROR(__xludf.DUMMYFUNCTION("""COMPUTED_VALUE"""),189.98)</f>
        <v/>
      </c>
      <c r="E53" s="141">
        <f>IFERROR(__xludf.DUMMYFUNCTION("""COMPUTED_VALUE"""),187.61)</f>
        <v/>
      </c>
      <c r="F53" s="141">
        <f>IFERROR(__xludf.DUMMYFUNCTION("""COMPUTED_VALUE"""),189.7)</f>
        <v/>
      </c>
      <c r="G53" s="143">
        <f>IFERROR(__xludf.DUMMYFUNCTION("""COMPUTED_VALUE"""),45280027)</f>
        <v/>
      </c>
      <c r="H53" s="27" t="n"/>
    </row>
    <row r="54" ht="17.25" customHeight="1" s="322">
      <c r="A54" s="27" t="n"/>
      <c r="B54" s="506">
        <f>IFERROR(__xludf.DUMMYFUNCTION("""COMPUTED_VALUE"""),45175.6666666666)</f>
        <v/>
      </c>
      <c r="C54" s="141">
        <f>IFERROR(__xludf.DUMMYFUNCTION("""COMPUTED_VALUE"""),188.4)</f>
        <v/>
      </c>
      <c r="D54" s="141">
        <f>IFERROR(__xludf.DUMMYFUNCTION("""COMPUTED_VALUE"""),188.85)</f>
        <v/>
      </c>
      <c r="E54" s="141">
        <f>IFERROR(__xludf.DUMMYFUNCTION("""COMPUTED_VALUE"""),181.47)</f>
        <v/>
      </c>
      <c r="F54" s="141">
        <f>IFERROR(__xludf.DUMMYFUNCTION("""COMPUTED_VALUE"""),182.91)</f>
        <v/>
      </c>
      <c r="G54" s="143">
        <f>IFERROR(__xludf.DUMMYFUNCTION("""COMPUTED_VALUE"""),81755816)</f>
        <v/>
      </c>
      <c r="H54" s="27" t="n"/>
    </row>
    <row r="55" ht="17.25" customHeight="1" s="322">
      <c r="A55" s="27" t="n"/>
      <c r="B55" s="506">
        <f>IFERROR(__xludf.DUMMYFUNCTION("""COMPUTED_VALUE"""),45176.6666666666)</f>
        <v/>
      </c>
      <c r="C55" s="141">
        <f>IFERROR(__xludf.DUMMYFUNCTION("""COMPUTED_VALUE"""),175.18)</f>
        <v/>
      </c>
      <c r="D55" s="141">
        <f>IFERROR(__xludf.DUMMYFUNCTION("""COMPUTED_VALUE"""),178.21)</f>
        <v/>
      </c>
      <c r="E55" s="141">
        <f>IFERROR(__xludf.DUMMYFUNCTION("""COMPUTED_VALUE"""),173.54)</f>
        <v/>
      </c>
      <c r="F55" s="141">
        <f>IFERROR(__xludf.DUMMYFUNCTION("""COMPUTED_VALUE"""),177.56)</f>
        <v/>
      </c>
      <c r="G55" s="143">
        <f>IFERROR(__xludf.DUMMYFUNCTION("""COMPUTED_VALUE"""),112488803)</f>
        <v/>
      </c>
      <c r="H55" s="27" t="n"/>
    </row>
    <row r="56" ht="17.25" customHeight="1" s="322">
      <c r="A56" s="27" t="n"/>
      <c r="B56" s="506">
        <f>IFERROR(__xludf.DUMMYFUNCTION("""COMPUTED_VALUE"""),45177.6666666666)</f>
        <v/>
      </c>
      <c r="C56" s="141">
        <f>IFERROR(__xludf.DUMMYFUNCTION("""COMPUTED_VALUE"""),178.35)</f>
        <v/>
      </c>
      <c r="D56" s="141">
        <f>IFERROR(__xludf.DUMMYFUNCTION("""COMPUTED_VALUE"""),180.24)</f>
        <v/>
      </c>
      <c r="E56" s="141">
        <f>IFERROR(__xludf.DUMMYFUNCTION("""COMPUTED_VALUE"""),177.79)</f>
        <v/>
      </c>
      <c r="F56" s="141">
        <f>IFERROR(__xludf.DUMMYFUNCTION("""COMPUTED_VALUE"""),178.18)</f>
        <v/>
      </c>
      <c r="G56" s="143">
        <f>IFERROR(__xludf.DUMMYFUNCTION("""COMPUTED_VALUE"""),65602066)</f>
        <v/>
      </c>
      <c r="H56" s="27" t="n"/>
    </row>
    <row r="57" ht="17.25" customHeight="1" s="322">
      <c r="A57" s="27" t="n"/>
      <c r="B57" s="506">
        <f>IFERROR(__xludf.DUMMYFUNCTION("""COMPUTED_VALUE"""),45180.6666666666)</f>
        <v/>
      </c>
      <c r="C57" s="141">
        <f>IFERROR(__xludf.DUMMYFUNCTION("""COMPUTED_VALUE"""),180.07)</f>
        <v/>
      </c>
      <c r="D57" s="141">
        <f>IFERROR(__xludf.DUMMYFUNCTION("""COMPUTED_VALUE"""),180.3)</f>
        <v/>
      </c>
      <c r="E57" s="141">
        <f>IFERROR(__xludf.DUMMYFUNCTION("""COMPUTED_VALUE"""),177.34)</f>
        <v/>
      </c>
      <c r="F57" s="141">
        <f>IFERROR(__xludf.DUMMYFUNCTION("""COMPUTED_VALUE"""),179.36)</f>
        <v/>
      </c>
      <c r="G57" s="143">
        <f>IFERROR(__xludf.DUMMYFUNCTION("""COMPUTED_VALUE"""),58953052)</f>
        <v/>
      </c>
      <c r="H57" s="27" t="n"/>
    </row>
    <row r="58" ht="17.25" customHeight="1" s="322">
      <c r="A58" s="27" t="n"/>
      <c r="B58" s="506">
        <f>IFERROR(__xludf.DUMMYFUNCTION("""COMPUTED_VALUE"""),45181.6666666666)</f>
        <v/>
      </c>
      <c r="C58" s="141">
        <f>IFERROR(__xludf.DUMMYFUNCTION("""COMPUTED_VALUE"""),179.49)</f>
        <v/>
      </c>
      <c r="D58" s="141">
        <f>IFERROR(__xludf.DUMMYFUNCTION("""COMPUTED_VALUE"""),180.13)</f>
        <v/>
      </c>
      <c r="E58" s="141">
        <f>IFERROR(__xludf.DUMMYFUNCTION("""COMPUTED_VALUE"""),174.82)</f>
        <v/>
      </c>
      <c r="F58" s="141">
        <f>IFERROR(__xludf.DUMMYFUNCTION("""COMPUTED_VALUE"""),176.3)</f>
        <v/>
      </c>
      <c r="G58" s="143">
        <f>IFERROR(__xludf.DUMMYFUNCTION("""COMPUTED_VALUE"""),90370192)</f>
        <v/>
      </c>
      <c r="H58" s="27" t="n"/>
    </row>
    <row r="59" ht="17.25" customHeight="1" s="322">
      <c r="A59" s="27" t="n"/>
      <c r="B59" s="506">
        <f>IFERROR(__xludf.DUMMYFUNCTION("""COMPUTED_VALUE"""),45182.6666666666)</f>
        <v/>
      </c>
      <c r="C59" s="141">
        <f>IFERROR(__xludf.DUMMYFUNCTION("""COMPUTED_VALUE"""),176.51)</f>
        <v/>
      </c>
      <c r="D59" s="141">
        <f>IFERROR(__xludf.DUMMYFUNCTION("""COMPUTED_VALUE"""),177.3)</f>
        <v/>
      </c>
      <c r="E59" s="141">
        <f>IFERROR(__xludf.DUMMYFUNCTION("""COMPUTED_VALUE"""),173.98)</f>
        <v/>
      </c>
      <c r="F59" s="141">
        <f>IFERROR(__xludf.DUMMYFUNCTION("""COMPUTED_VALUE"""),174.21)</f>
        <v/>
      </c>
      <c r="G59" s="143">
        <f>IFERROR(__xludf.DUMMYFUNCTION("""COMPUTED_VALUE"""),84267928)</f>
        <v/>
      </c>
      <c r="H59" s="27" t="n"/>
    </row>
    <row r="60" ht="17.25" customHeight="1" s="322">
      <c r="A60" s="27" t="n"/>
      <c r="B60" s="506">
        <f>IFERROR(__xludf.DUMMYFUNCTION("""COMPUTED_VALUE"""),45183.6666666666)</f>
        <v/>
      </c>
      <c r="C60" s="141">
        <f>IFERROR(__xludf.DUMMYFUNCTION("""COMPUTED_VALUE"""),174)</f>
        <v/>
      </c>
      <c r="D60" s="141">
        <f>IFERROR(__xludf.DUMMYFUNCTION("""COMPUTED_VALUE"""),176.1)</f>
        <v/>
      </c>
      <c r="E60" s="141">
        <f>IFERROR(__xludf.DUMMYFUNCTION("""COMPUTED_VALUE"""),173.58)</f>
        <v/>
      </c>
      <c r="F60" s="141">
        <f>IFERROR(__xludf.DUMMYFUNCTION("""COMPUTED_VALUE"""),175.74)</f>
        <v/>
      </c>
      <c r="G60" s="143">
        <f>IFERROR(__xludf.DUMMYFUNCTION("""COMPUTED_VALUE"""),60895757)</f>
        <v/>
      </c>
      <c r="H60" s="27" t="n"/>
    </row>
    <row r="61" ht="17.25" customHeight="1" s="322">
      <c r="A61" s="27" t="n"/>
      <c r="B61" s="506">
        <f>IFERROR(__xludf.DUMMYFUNCTION("""COMPUTED_VALUE"""),45184.6666666666)</f>
        <v/>
      </c>
      <c r="C61" s="141">
        <f>IFERROR(__xludf.DUMMYFUNCTION("""COMPUTED_VALUE"""),176.48)</f>
        <v/>
      </c>
      <c r="D61" s="141">
        <f>IFERROR(__xludf.DUMMYFUNCTION("""COMPUTED_VALUE"""),176.5)</f>
        <v/>
      </c>
      <c r="E61" s="141">
        <f>IFERROR(__xludf.DUMMYFUNCTION("""COMPUTED_VALUE"""),173.82)</f>
        <v/>
      </c>
      <c r="F61" s="141">
        <f>IFERROR(__xludf.DUMMYFUNCTION("""COMPUTED_VALUE"""),175.01)</f>
        <v/>
      </c>
      <c r="G61" s="143">
        <f>IFERROR(__xludf.DUMMYFUNCTION("""COMPUTED_VALUE"""),109259461)</f>
        <v/>
      </c>
      <c r="H61" s="27" t="n"/>
    </row>
    <row r="62" ht="17.25" customHeight="1" s="322">
      <c r="A62" s="27" t="n"/>
      <c r="B62" s="506">
        <f>IFERROR(__xludf.DUMMYFUNCTION("""COMPUTED_VALUE"""),45187.6666666666)</f>
        <v/>
      </c>
      <c r="C62" s="141">
        <f>IFERROR(__xludf.DUMMYFUNCTION("""COMPUTED_VALUE"""),176.48)</f>
        <v/>
      </c>
      <c r="D62" s="141">
        <f>IFERROR(__xludf.DUMMYFUNCTION("""COMPUTED_VALUE"""),179.38)</f>
        <v/>
      </c>
      <c r="E62" s="141">
        <f>IFERROR(__xludf.DUMMYFUNCTION("""COMPUTED_VALUE"""),176.17)</f>
        <v/>
      </c>
      <c r="F62" s="141">
        <f>IFERROR(__xludf.DUMMYFUNCTION("""COMPUTED_VALUE"""),177.97)</f>
        <v/>
      </c>
      <c r="G62" s="143">
        <f>IFERROR(__xludf.DUMMYFUNCTION("""COMPUTED_VALUE"""),67257573)</f>
        <v/>
      </c>
      <c r="H62" s="27" t="n"/>
    </row>
    <row r="63" ht="17.25" customHeight="1" s="322">
      <c r="A63" s="27" t="n"/>
      <c r="B63" s="506">
        <f>IFERROR(__xludf.DUMMYFUNCTION("""COMPUTED_VALUE"""),45188.6666666666)</f>
        <v/>
      </c>
      <c r="C63" s="141">
        <f>IFERROR(__xludf.DUMMYFUNCTION("""COMPUTED_VALUE"""),177.52)</f>
        <v/>
      </c>
      <c r="D63" s="141">
        <f>IFERROR(__xludf.DUMMYFUNCTION("""COMPUTED_VALUE"""),179.63)</f>
        <v/>
      </c>
      <c r="E63" s="141">
        <f>IFERROR(__xludf.DUMMYFUNCTION("""COMPUTED_VALUE"""),177.13)</f>
        <v/>
      </c>
      <c r="F63" s="141">
        <f>IFERROR(__xludf.DUMMYFUNCTION("""COMPUTED_VALUE"""),179.07)</f>
        <v/>
      </c>
      <c r="G63" s="143">
        <f>IFERROR(__xludf.DUMMYFUNCTION("""COMPUTED_VALUE"""),51826941)</f>
        <v/>
      </c>
      <c r="H63" s="27" t="n"/>
    </row>
    <row r="64" ht="17.25" customHeight="1" s="322">
      <c r="A64" s="27" t="n"/>
      <c r="B64" s="506">
        <f>IFERROR(__xludf.DUMMYFUNCTION("""COMPUTED_VALUE"""),45189.6666666666)</f>
        <v/>
      </c>
      <c r="C64" s="141">
        <f>IFERROR(__xludf.DUMMYFUNCTION("""COMPUTED_VALUE"""),179.26)</f>
        <v/>
      </c>
      <c r="D64" s="141">
        <f>IFERROR(__xludf.DUMMYFUNCTION("""COMPUTED_VALUE"""),179.7)</f>
        <v/>
      </c>
      <c r="E64" s="141">
        <f>IFERROR(__xludf.DUMMYFUNCTION("""COMPUTED_VALUE"""),175.4)</f>
        <v/>
      </c>
      <c r="F64" s="141">
        <f>IFERROR(__xludf.DUMMYFUNCTION("""COMPUTED_VALUE"""),175.49)</f>
        <v/>
      </c>
      <c r="G64" s="143">
        <f>IFERROR(__xludf.DUMMYFUNCTION("""COMPUTED_VALUE"""),58436181)</f>
        <v/>
      </c>
      <c r="H64" s="27" t="n"/>
    </row>
    <row r="65" ht="17.25" customHeight="1" s="322">
      <c r="A65" s="27" t="n"/>
      <c r="B65" s="506">
        <f>IFERROR(__xludf.DUMMYFUNCTION("""COMPUTED_VALUE"""),45190.6666666666)</f>
        <v/>
      </c>
      <c r="C65" s="141">
        <f>IFERROR(__xludf.DUMMYFUNCTION("""COMPUTED_VALUE"""),174.55)</f>
        <v/>
      </c>
      <c r="D65" s="141">
        <f>IFERROR(__xludf.DUMMYFUNCTION("""COMPUTED_VALUE"""),176.3)</f>
        <v/>
      </c>
      <c r="E65" s="141">
        <f>IFERROR(__xludf.DUMMYFUNCTION("""COMPUTED_VALUE"""),173.86)</f>
        <v/>
      </c>
      <c r="F65" s="141">
        <f>IFERROR(__xludf.DUMMYFUNCTION("""COMPUTED_VALUE"""),173.93)</f>
        <v/>
      </c>
      <c r="G65" s="143">
        <f>IFERROR(__xludf.DUMMYFUNCTION("""COMPUTED_VALUE"""),63149116)</f>
        <v/>
      </c>
      <c r="H65" s="27" t="n"/>
    </row>
    <row r="66" ht="17.25" customHeight="1" s="322">
      <c r="A66" s="27" t="n"/>
      <c r="B66" s="506">
        <f>IFERROR(__xludf.DUMMYFUNCTION("""COMPUTED_VALUE"""),45191.6666666666)</f>
        <v/>
      </c>
      <c r="C66" s="141">
        <f>IFERROR(__xludf.DUMMYFUNCTION("""COMPUTED_VALUE"""),174.67)</f>
        <v/>
      </c>
      <c r="D66" s="141">
        <f>IFERROR(__xludf.DUMMYFUNCTION("""COMPUTED_VALUE"""),177.08)</f>
        <v/>
      </c>
      <c r="E66" s="141">
        <f>IFERROR(__xludf.DUMMYFUNCTION("""COMPUTED_VALUE"""),174.05)</f>
        <v/>
      </c>
      <c r="F66" s="141">
        <f>IFERROR(__xludf.DUMMYFUNCTION("""COMPUTED_VALUE"""),174.79)</f>
        <v/>
      </c>
      <c r="G66" s="143">
        <f>IFERROR(__xludf.DUMMYFUNCTION("""COMPUTED_VALUE"""),56725385)</f>
        <v/>
      </c>
      <c r="H66" s="27" t="n"/>
    </row>
    <row r="67" ht="17.25" customHeight="1" s="322">
      <c r="A67" s="27" t="n"/>
      <c r="B67" s="506">
        <f>IFERROR(__xludf.DUMMYFUNCTION("""COMPUTED_VALUE"""),45194.6666666666)</f>
        <v/>
      </c>
      <c r="C67" s="141">
        <f>IFERROR(__xludf.DUMMYFUNCTION("""COMPUTED_VALUE"""),174.2)</f>
        <v/>
      </c>
      <c r="D67" s="141">
        <f>IFERROR(__xludf.DUMMYFUNCTION("""COMPUTED_VALUE"""),176.97)</f>
        <v/>
      </c>
      <c r="E67" s="141">
        <f>IFERROR(__xludf.DUMMYFUNCTION("""COMPUTED_VALUE"""),174.15)</f>
        <v/>
      </c>
      <c r="F67" s="141">
        <f>IFERROR(__xludf.DUMMYFUNCTION("""COMPUTED_VALUE"""),176.08)</f>
        <v/>
      </c>
      <c r="G67" s="143">
        <f>IFERROR(__xludf.DUMMYFUNCTION("""COMPUTED_VALUE"""),46172740)</f>
        <v/>
      </c>
      <c r="H67" s="27" t="n"/>
    </row>
    <row r="68" ht="17.25" customHeight="1" s="322">
      <c r="A68" s="27" t="n"/>
      <c r="B68" s="506">
        <f>IFERROR(__xludf.DUMMYFUNCTION("""COMPUTED_VALUE"""),45195.6666666666)</f>
        <v/>
      </c>
      <c r="C68" s="141">
        <f>IFERROR(__xludf.DUMMYFUNCTION("""COMPUTED_VALUE"""),174.82)</f>
        <v/>
      </c>
      <c r="D68" s="141">
        <f>IFERROR(__xludf.DUMMYFUNCTION("""COMPUTED_VALUE"""),175.2)</f>
        <v/>
      </c>
      <c r="E68" s="141">
        <f>IFERROR(__xludf.DUMMYFUNCTION("""COMPUTED_VALUE"""),171.66)</f>
        <v/>
      </c>
      <c r="F68" s="141">
        <f>IFERROR(__xludf.DUMMYFUNCTION("""COMPUTED_VALUE"""),171.96)</f>
        <v/>
      </c>
      <c r="G68" s="143">
        <f>IFERROR(__xludf.DUMMYFUNCTION("""COMPUTED_VALUE"""),64588945)</f>
        <v/>
      </c>
      <c r="H68" s="27" t="n"/>
    </row>
    <row r="69" ht="17.25" customHeight="1" s="322">
      <c r="A69" s="27" t="n"/>
      <c r="B69" s="506">
        <f>IFERROR(__xludf.DUMMYFUNCTION("""COMPUTED_VALUE"""),45196.6666666666)</f>
        <v/>
      </c>
      <c r="C69" s="141">
        <f>IFERROR(__xludf.DUMMYFUNCTION("""COMPUTED_VALUE"""),172.62)</f>
        <v/>
      </c>
      <c r="D69" s="141">
        <f>IFERROR(__xludf.DUMMYFUNCTION("""COMPUTED_VALUE"""),173.04)</f>
        <v/>
      </c>
      <c r="E69" s="141">
        <f>IFERROR(__xludf.DUMMYFUNCTION("""COMPUTED_VALUE"""),169.05)</f>
        <v/>
      </c>
      <c r="F69" s="141">
        <f>IFERROR(__xludf.DUMMYFUNCTION("""COMPUTED_VALUE"""),170.43)</f>
        <v/>
      </c>
      <c r="G69" s="143">
        <f>IFERROR(__xludf.DUMMYFUNCTION("""COMPUTED_VALUE"""),66921808)</f>
        <v/>
      </c>
      <c r="H69" s="27" t="n"/>
    </row>
    <row r="70" ht="17.25" customHeight="1" s="322">
      <c r="A70" s="27" t="n"/>
      <c r="B70" s="506">
        <f>IFERROR(__xludf.DUMMYFUNCTION("""COMPUTED_VALUE"""),45197.6666666666)</f>
        <v/>
      </c>
      <c r="C70" s="141">
        <f>IFERROR(__xludf.DUMMYFUNCTION("""COMPUTED_VALUE"""),169.34)</f>
        <v/>
      </c>
      <c r="D70" s="141">
        <f>IFERROR(__xludf.DUMMYFUNCTION("""COMPUTED_VALUE"""),172.03)</f>
        <v/>
      </c>
      <c r="E70" s="141">
        <f>IFERROR(__xludf.DUMMYFUNCTION("""COMPUTED_VALUE"""),167.62)</f>
        <v/>
      </c>
      <c r="F70" s="141">
        <f>IFERROR(__xludf.DUMMYFUNCTION("""COMPUTED_VALUE"""),170.69)</f>
        <v/>
      </c>
      <c r="G70" s="143">
        <f>IFERROR(__xludf.DUMMYFUNCTION("""COMPUTED_VALUE"""),56294419)</f>
        <v/>
      </c>
      <c r="H70" s="27" t="n"/>
    </row>
    <row r="71" ht="17.25" customHeight="1" s="322">
      <c r="A71" s="27" t="n"/>
      <c r="B71" s="506">
        <f>IFERROR(__xludf.DUMMYFUNCTION("""COMPUTED_VALUE"""),45198.6666666666)</f>
        <v/>
      </c>
      <c r="C71" s="141">
        <f>IFERROR(__xludf.DUMMYFUNCTION("""COMPUTED_VALUE"""),172.02)</f>
        <v/>
      </c>
      <c r="D71" s="141">
        <f>IFERROR(__xludf.DUMMYFUNCTION("""COMPUTED_VALUE"""),173.07)</f>
        <v/>
      </c>
      <c r="E71" s="141">
        <f>IFERROR(__xludf.DUMMYFUNCTION("""COMPUTED_VALUE"""),170.34)</f>
        <v/>
      </c>
      <c r="F71" s="141">
        <f>IFERROR(__xludf.DUMMYFUNCTION("""COMPUTED_VALUE"""),171.21)</f>
        <v/>
      </c>
      <c r="G71" s="143">
        <f>IFERROR(__xludf.DUMMYFUNCTION("""COMPUTED_VALUE"""),51861083)</f>
        <v/>
      </c>
      <c r="H71" s="27" t="n"/>
    </row>
    <row r="72" ht="17.25" customHeight="1" s="322">
      <c r="A72" s="27" t="n"/>
      <c r="B72" s="506">
        <f>IFERROR(__xludf.DUMMYFUNCTION("""COMPUTED_VALUE"""),45201.6666666666)</f>
        <v/>
      </c>
      <c r="C72" s="141">
        <f>IFERROR(__xludf.DUMMYFUNCTION("""COMPUTED_VALUE"""),171.22)</f>
        <v/>
      </c>
      <c r="D72" s="141">
        <f>IFERROR(__xludf.DUMMYFUNCTION("""COMPUTED_VALUE"""),174.3)</f>
        <v/>
      </c>
      <c r="E72" s="141">
        <f>IFERROR(__xludf.DUMMYFUNCTION("""COMPUTED_VALUE"""),170.93)</f>
        <v/>
      </c>
      <c r="F72" s="141">
        <f>IFERROR(__xludf.DUMMYFUNCTION("""COMPUTED_VALUE"""),173.75)</f>
        <v/>
      </c>
      <c r="G72" s="143">
        <f>IFERROR(__xludf.DUMMYFUNCTION("""COMPUTED_VALUE"""),52164535)</f>
        <v/>
      </c>
      <c r="H72" s="27" t="n"/>
    </row>
    <row r="73" ht="17.25" customHeight="1" s="322">
      <c r="A73" s="27" t="n"/>
      <c r="B73" s="506">
        <f>IFERROR(__xludf.DUMMYFUNCTION("""COMPUTED_VALUE"""),45202.6666666666)</f>
        <v/>
      </c>
      <c r="C73" s="141">
        <f>IFERROR(__xludf.DUMMYFUNCTION("""COMPUTED_VALUE"""),172.26)</f>
        <v/>
      </c>
      <c r="D73" s="141">
        <f>IFERROR(__xludf.DUMMYFUNCTION("""COMPUTED_VALUE"""),173.63)</f>
        <v/>
      </c>
      <c r="E73" s="141">
        <f>IFERROR(__xludf.DUMMYFUNCTION("""COMPUTED_VALUE"""),170.82)</f>
        <v/>
      </c>
      <c r="F73" s="141">
        <f>IFERROR(__xludf.DUMMYFUNCTION("""COMPUTED_VALUE"""),172.4)</f>
        <v/>
      </c>
      <c r="G73" s="143">
        <f>IFERROR(__xludf.DUMMYFUNCTION("""COMPUTED_VALUE"""),49594613)</f>
        <v/>
      </c>
      <c r="H73" s="27" t="n"/>
    </row>
    <row r="74" ht="17.25" customHeight="1" s="322">
      <c r="A74" s="27" t="n"/>
      <c r="B74" s="506">
        <f>IFERROR(__xludf.DUMMYFUNCTION("""COMPUTED_VALUE"""),45203.6666666666)</f>
        <v/>
      </c>
      <c r="C74" s="141">
        <f>IFERROR(__xludf.DUMMYFUNCTION("""COMPUTED_VALUE"""),171.09)</f>
        <v/>
      </c>
      <c r="D74" s="141">
        <f>IFERROR(__xludf.DUMMYFUNCTION("""COMPUTED_VALUE"""),174.21)</f>
        <v/>
      </c>
      <c r="E74" s="141">
        <f>IFERROR(__xludf.DUMMYFUNCTION("""COMPUTED_VALUE"""),170.97)</f>
        <v/>
      </c>
      <c r="F74" s="141">
        <f>IFERROR(__xludf.DUMMYFUNCTION("""COMPUTED_VALUE"""),173.66)</f>
        <v/>
      </c>
      <c r="G74" s="143">
        <f>IFERROR(__xludf.DUMMYFUNCTION("""COMPUTED_VALUE"""),53020286)</f>
        <v/>
      </c>
      <c r="H74" s="27" t="n"/>
    </row>
    <row r="75" ht="17.25" customHeight="1" s="322">
      <c r="A75" s="27" t="n"/>
      <c r="B75" s="506">
        <f>IFERROR(__xludf.DUMMYFUNCTION("""COMPUTED_VALUE"""),45204.6666666666)</f>
        <v/>
      </c>
      <c r="C75" s="141">
        <f>IFERROR(__xludf.DUMMYFUNCTION("""COMPUTED_VALUE"""),173.79)</f>
        <v/>
      </c>
      <c r="D75" s="141">
        <f>IFERROR(__xludf.DUMMYFUNCTION("""COMPUTED_VALUE"""),175.45)</f>
        <v/>
      </c>
      <c r="E75" s="141">
        <f>IFERROR(__xludf.DUMMYFUNCTION("""COMPUTED_VALUE"""),172.68)</f>
        <v/>
      </c>
      <c r="F75" s="141">
        <f>IFERROR(__xludf.DUMMYFUNCTION("""COMPUTED_VALUE"""),174.91)</f>
        <v/>
      </c>
      <c r="G75" s="143">
        <f>IFERROR(__xludf.DUMMYFUNCTION("""COMPUTED_VALUE"""),48527918)</f>
        <v/>
      </c>
      <c r="H75" s="27" t="n"/>
    </row>
    <row r="76" ht="17.25" customHeight="1" s="322">
      <c r="A76" s="27" t="n"/>
      <c r="B76" s="506">
        <f>IFERROR(__xludf.DUMMYFUNCTION("""COMPUTED_VALUE"""),45205.6666666666)</f>
        <v/>
      </c>
      <c r="C76" s="141">
        <f>IFERROR(__xludf.DUMMYFUNCTION("""COMPUTED_VALUE"""),173.8)</f>
        <v/>
      </c>
      <c r="D76" s="141">
        <f>IFERROR(__xludf.DUMMYFUNCTION("""COMPUTED_VALUE"""),177.99)</f>
        <v/>
      </c>
      <c r="E76" s="141">
        <f>IFERROR(__xludf.DUMMYFUNCTION("""COMPUTED_VALUE"""),173.18)</f>
        <v/>
      </c>
      <c r="F76" s="141">
        <f>IFERROR(__xludf.DUMMYFUNCTION("""COMPUTED_VALUE"""),177.49)</f>
        <v/>
      </c>
      <c r="G76" s="143">
        <f>IFERROR(__xludf.DUMMYFUNCTION("""COMPUTED_VALUE"""),57266675)</f>
        <v/>
      </c>
      <c r="H76" s="27" t="n"/>
    </row>
    <row r="77" ht="17.25" customHeight="1" s="322">
      <c r="A77" s="27" t="n"/>
      <c r="B77" s="506">
        <f>IFERROR(__xludf.DUMMYFUNCTION("""COMPUTED_VALUE"""),45208.6666666666)</f>
        <v/>
      </c>
      <c r="C77" s="141">
        <f>IFERROR(__xludf.DUMMYFUNCTION("""COMPUTED_VALUE"""),176.81)</f>
        <v/>
      </c>
      <c r="D77" s="141">
        <f>IFERROR(__xludf.DUMMYFUNCTION("""COMPUTED_VALUE"""),179.05)</f>
        <v/>
      </c>
      <c r="E77" s="141">
        <f>IFERROR(__xludf.DUMMYFUNCTION("""COMPUTED_VALUE"""),175.8)</f>
        <v/>
      </c>
      <c r="F77" s="141">
        <f>IFERROR(__xludf.DUMMYFUNCTION("""COMPUTED_VALUE"""),178.99)</f>
        <v/>
      </c>
      <c r="G77" s="143">
        <f>IFERROR(__xludf.DUMMYFUNCTION("""COMPUTED_VALUE"""),42390772)</f>
        <v/>
      </c>
      <c r="H77" s="27" t="n"/>
    </row>
    <row r="78" ht="17.25" customHeight="1" s="322">
      <c r="A78" s="27" t="n"/>
      <c r="B78" s="506">
        <f>IFERROR(__xludf.DUMMYFUNCTION("""COMPUTED_VALUE"""),45209.6666666666)</f>
        <v/>
      </c>
      <c r="C78" s="141">
        <f>IFERROR(__xludf.DUMMYFUNCTION("""COMPUTED_VALUE"""),178.1)</f>
        <v/>
      </c>
      <c r="D78" s="141">
        <f>IFERROR(__xludf.DUMMYFUNCTION("""COMPUTED_VALUE"""),179.72)</f>
        <v/>
      </c>
      <c r="E78" s="141">
        <f>IFERROR(__xludf.DUMMYFUNCTION("""COMPUTED_VALUE"""),177.95)</f>
        <v/>
      </c>
      <c r="F78" s="141">
        <f>IFERROR(__xludf.DUMMYFUNCTION("""COMPUTED_VALUE"""),178.39)</f>
        <v/>
      </c>
      <c r="G78" s="143">
        <f>IFERROR(__xludf.DUMMYFUNCTION("""COMPUTED_VALUE"""),43698019)</f>
        <v/>
      </c>
      <c r="H78" s="27" t="n"/>
    </row>
    <row r="79" ht="17.25" customHeight="1" s="322">
      <c r="A79" s="27" t="n"/>
      <c r="B79" s="506">
        <f>IFERROR(__xludf.DUMMYFUNCTION("""COMPUTED_VALUE"""),45210.6666666666)</f>
        <v/>
      </c>
      <c r="C79" s="141">
        <f>IFERROR(__xludf.DUMMYFUNCTION("""COMPUTED_VALUE"""),178.2)</f>
        <v/>
      </c>
      <c r="D79" s="141">
        <f>IFERROR(__xludf.DUMMYFUNCTION("""COMPUTED_VALUE"""),179.85)</f>
        <v/>
      </c>
      <c r="E79" s="141">
        <f>IFERROR(__xludf.DUMMYFUNCTION("""COMPUTED_VALUE"""),177.6)</f>
        <v/>
      </c>
      <c r="F79" s="141">
        <f>IFERROR(__xludf.DUMMYFUNCTION("""COMPUTED_VALUE"""),179.8)</f>
        <v/>
      </c>
      <c r="G79" s="143">
        <f>IFERROR(__xludf.DUMMYFUNCTION("""COMPUTED_VALUE"""),47551098)</f>
        <v/>
      </c>
      <c r="H79" s="27" t="n"/>
    </row>
    <row r="80" ht="17.25" customHeight="1" s="322">
      <c r="A80" s="27" t="n"/>
      <c r="B80" s="506">
        <f>IFERROR(__xludf.DUMMYFUNCTION("""COMPUTED_VALUE"""),45211.6666666666)</f>
        <v/>
      </c>
      <c r="C80" s="141">
        <f>IFERROR(__xludf.DUMMYFUNCTION("""COMPUTED_VALUE"""),180.07)</f>
        <v/>
      </c>
      <c r="D80" s="141">
        <f>IFERROR(__xludf.DUMMYFUNCTION("""COMPUTED_VALUE"""),182.34)</f>
        <v/>
      </c>
      <c r="E80" s="141">
        <f>IFERROR(__xludf.DUMMYFUNCTION("""COMPUTED_VALUE"""),179.04)</f>
        <v/>
      </c>
      <c r="F80" s="141">
        <f>IFERROR(__xludf.DUMMYFUNCTION("""COMPUTED_VALUE"""),180.71)</f>
        <v/>
      </c>
      <c r="G80" s="143">
        <f>IFERROR(__xludf.DUMMYFUNCTION("""COMPUTED_VALUE"""),56743119)</f>
        <v/>
      </c>
      <c r="H80" s="27" t="n"/>
    </row>
    <row r="81" ht="17.25" customHeight="1" s="322">
      <c r="A81" s="27" t="n"/>
      <c r="B81" s="506">
        <f>IFERROR(__xludf.DUMMYFUNCTION("""COMPUTED_VALUE"""),45212.6666666666)</f>
        <v/>
      </c>
      <c r="C81" s="141">
        <f>IFERROR(__xludf.DUMMYFUNCTION("""COMPUTED_VALUE"""),181.42)</f>
        <v/>
      </c>
      <c r="D81" s="141">
        <f>IFERROR(__xludf.DUMMYFUNCTION("""COMPUTED_VALUE"""),181.93)</f>
        <v/>
      </c>
      <c r="E81" s="141">
        <f>IFERROR(__xludf.DUMMYFUNCTION("""COMPUTED_VALUE"""),178.14)</f>
        <v/>
      </c>
      <c r="F81" s="141">
        <f>IFERROR(__xludf.DUMMYFUNCTION("""COMPUTED_VALUE"""),178.85)</f>
        <v/>
      </c>
      <c r="G81" s="143">
        <f>IFERROR(__xludf.DUMMYFUNCTION("""COMPUTED_VALUE"""),51456082)</f>
        <v/>
      </c>
      <c r="H81" s="27" t="n"/>
    </row>
    <row r="82" ht="17.25" customHeight="1" s="322">
      <c r="A82" s="27" t="n"/>
      <c r="B82" s="506">
        <f>IFERROR(__xludf.DUMMYFUNCTION("""COMPUTED_VALUE"""),45215.6666666666)</f>
        <v/>
      </c>
      <c r="C82" s="141">
        <f>IFERROR(__xludf.DUMMYFUNCTION("""COMPUTED_VALUE"""),176.75)</f>
        <v/>
      </c>
      <c r="D82" s="141">
        <f>IFERROR(__xludf.DUMMYFUNCTION("""COMPUTED_VALUE"""),179.08)</f>
        <v/>
      </c>
      <c r="E82" s="141">
        <f>IFERROR(__xludf.DUMMYFUNCTION("""COMPUTED_VALUE"""),176.51)</f>
        <v/>
      </c>
      <c r="F82" s="141">
        <f>IFERROR(__xludf.DUMMYFUNCTION("""COMPUTED_VALUE"""),178.72)</f>
        <v/>
      </c>
      <c r="G82" s="143">
        <f>IFERROR(__xludf.DUMMYFUNCTION("""COMPUTED_VALUE"""),52516984)</f>
        <v/>
      </c>
      <c r="H82" s="27" t="n"/>
    </row>
    <row r="83" ht="17.25" customHeight="1" s="322">
      <c r="A83" s="27" t="n"/>
      <c r="B83" s="506">
        <f>IFERROR(__xludf.DUMMYFUNCTION("""COMPUTED_VALUE"""),45216.6666666666)</f>
        <v/>
      </c>
      <c r="C83" s="141">
        <f>IFERROR(__xludf.DUMMYFUNCTION("""COMPUTED_VALUE"""),176.65)</f>
        <v/>
      </c>
      <c r="D83" s="141">
        <f>IFERROR(__xludf.DUMMYFUNCTION("""COMPUTED_VALUE"""),178.42)</f>
        <v/>
      </c>
      <c r="E83" s="141">
        <f>IFERROR(__xludf.DUMMYFUNCTION("""COMPUTED_VALUE"""),174.8)</f>
        <v/>
      </c>
      <c r="F83" s="141">
        <f>IFERROR(__xludf.DUMMYFUNCTION("""COMPUTED_VALUE"""),177.15)</f>
        <v/>
      </c>
      <c r="G83" s="143">
        <f>IFERROR(__xludf.DUMMYFUNCTION("""COMPUTED_VALUE"""),57549350)</f>
        <v/>
      </c>
      <c r="H83" s="27" t="n"/>
    </row>
    <row r="84" ht="17.25" customHeight="1" s="322">
      <c r="A84" s="27" t="n"/>
      <c r="B84" s="506">
        <f>IFERROR(__xludf.DUMMYFUNCTION("""COMPUTED_VALUE"""),45217.6666666666)</f>
        <v/>
      </c>
      <c r="C84" s="141">
        <f>IFERROR(__xludf.DUMMYFUNCTION("""COMPUTED_VALUE"""),175.58)</f>
        <v/>
      </c>
      <c r="D84" s="141">
        <f>IFERROR(__xludf.DUMMYFUNCTION("""COMPUTED_VALUE"""),177.58)</f>
        <v/>
      </c>
      <c r="E84" s="141">
        <f>IFERROR(__xludf.DUMMYFUNCTION("""COMPUTED_VALUE"""),175.11)</f>
        <v/>
      </c>
      <c r="F84" s="141">
        <f>IFERROR(__xludf.DUMMYFUNCTION("""COMPUTED_VALUE"""),175.84)</f>
        <v/>
      </c>
      <c r="G84" s="143">
        <f>IFERROR(__xludf.DUMMYFUNCTION("""COMPUTED_VALUE"""),54764375)</f>
        <v/>
      </c>
      <c r="H84" s="27" t="n"/>
    </row>
    <row r="85" ht="17.25" customHeight="1" s="322">
      <c r="A85" s="27" t="n"/>
      <c r="B85" s="506">
        <f>IFERROR(__xludf.DUMMYFUNCTION("""COMPUTED_VALUE"""),45218.6666666666)</f>
        <v/>
      </c>
      <c r="C85" s="141">
        <f>IFERROR(__xludf.DUMMYFUNCTION("""COMPUTED_VALUE"""),176.04)</f>
        <v/>
      </c>
      <c r="D85" s="141">
        <f>IFERROR(__xludf.DUMMYFUNCTION("""COMPUTED_VALUE"""),177.84)</f>
        <v/>
      </c>
      <c r="E85" s="141">
        <f>IFERROR(__xludf.DUMMYFUNCTION("""COMPUTED_VALUE"""),175.19)</f>
        <v/>
      </c>
      <c r="F85" s="141">
        <f>IFERROR(__xludf.DUMMYFUNCTION("""COMPUTED_VALUE"""),175.46)</f>
        <v/>
      </c>
      <c r="G85" s="143">
        <f>IFERROR(__xludf.DUMMYFUNCTION("""COMPUTED_VALUE"""),59302863)</f>
        <v/>
      </c>
      <c r="H85" s="27" t="n"/>
    </row>
    <row r="86" ht="17.25" customHeight="1" s="322">
      <c r="A86" s="27" t="n"/>
      <c r="B86" s="506">
        <f>IFERROR(__xludf.DUMMYFUNCTION("""COMPUTED_VALUE"""),45219.6666666666)</f>
        <v/>
      </c>
      <c r="C86" s="141">
        <f>IFERROR(__xludf.DUMMYFUNCTION("""COMPUTED_VALUE"""),175.31)</f>
        <v/>
      </c>
      <c r="D86" s="141">
        <f>IFERROR(__xludf.DUMMYFUNCTION("""COMPUTED_VALUE"""),175.42)</f>
        <v/>
      </c>
      <c r="E86" s="141">
        <f>IFERROR(__xludf.DUMMYFUNCTION("""COMPUTED_VALUE"""),172.64)</f>
        <v/>
      </c>
      <c r="F86" s="141">
        <f>IFERROR(__xludf.DUMMYFUNCTION("""COMPUTED_VALUE"""),172.88)</f>
        <v/>
      </c>
      <c r="G86" s="143">
        <f>IFERROR(__xludf.DUMMYFUNCTION("""COMPUTED_VALUE"""),64244028)</f>
        <v/>
      </c>
      <c r="H86" s="27" t="n"/>
    </row>
    <row r="87" ht="17.25" customHeight="1" s="322">
      <c r="A87" s="27" t="n"/>
      <c r="B87" s="506">
        <f>IFERROR(__xludf.DUMMYFUNCTION("""COMPUTED_VALUE"""),45222.6666666666)</f>
        <v/>
      </c>
      <c r="C87" s="141">
        <f>IFERROR(__xludf.DUMMYFUNCTION("""COMPUTED_VALUE"""),170.91)</f>
        <v/>
      </c>
      <c r="D87" s="141">
        <f>IFERROR(__xludf.DUMMYFUNCTION("""COMPUTED_VALUE"""),174.01)</f>
        <v/>
      </c>
      <c r="E87" s="141">
        <f>IFERROR(__xludf.DUMMYFUNCTION("""COMPUTED_VALUE"""),169.93)</f>
        <v/>
      </c>
      <c r="F87" s="141">
        <f>IFERROR(__xludf.DUMMYFUNCTION("""COMPUTED_VALUE"""),173)</f>
        <v/>
      </c>
      <c r="G87" s="143">
        <f>IFERROR(__xludf.DUMMYFUNCTION("""COMPUTED_VALUE"""),55980109)</f>
        <v/>
      </c>
      <c r="H87" s="27" t="n"/>
    </row>
    <row r="88" ht="17.25" customHeight="1" s="322">
      <c r="A88" s="27" t="n"/>
      <c r="B88" s="506">
        <f>IFERROR(__xludf.DUMMYFUNCTION("""COMPUTED_VALUE"""),45223.6666666666)</f>
        <v/>
      </c>
      <c r="C88" s="141">
        <f>IFERROR(__xludf.DUMMYFUNCTION("""COMPUTED_VALUE"""),173.05)</f>
        <v/>
      </c>
      <c r="D88" s="141">
        <f>IFERROR(__xludf.DUMMYFUNCTION("""COMPUTED_VALUE"""),173.67)</f>
        <v/>
      </c>
      <c r="E88" s="141">
        <f>IFERROR(__xludf.DUMMYFUNCTION("""COMPUTED_VALUE"""),171.45)</f>
        <v/>
      </c>
      <c r="F88" s="141">
        <f>IFERROR(__xludf.DUMMYFUNCTION("""COMPUTED_VALUE"""),173.44)</f>
        <v/>
      </c>
      <c r="G88" s="143">
        <f>IFERROR(__xludf.DUMMYFUNCTION("""COMPUTED_VALUE"""),43816644)</f>
        <v/>
      </c>
      <c r="H88" s="27" t="n"/>
    </row>
    <row r="89" ht="17.25" customHeight="1" s="322">
      <c r="A89" s="27" t="n"/>
      <c r="B89" s="506">
        <f>IFERROR(__xludf.DUMMYFUNCTION("""COMPUTED_VALUE"""),45224.6666666666)</f>
        <v/>
      </c>
      <c r="C89" s="141">
        <f>IFERROR(__xludf.DUMMYFUNCTION("""COMPUTED_VALUE"""),171.88)</f>
        <v/>
      </c>
      <c r="D89" s="141">
        <f>IFERROR(__xludf.DUMMYFUNCTION("""COMPUTED_VALUE"""),173.06)</f>
        <v/>
      </c>
      <c r="E89" s="141">
        <f>IFERROR(__xludf.DUMMYFUNCTION("""COMPUTED_VALUE"""),170.65)</f>
        <v/>
      </c>
      <c r="F89" s="141">
        <f>IFERROR(__xludf.DUMMYFUNCTION("""COMPUTED_VALUE"""),171.1)</f>
        <v/>
      </c>
      <c r="G89" s="143">
        <f>IFERROR(__xludf.DUMMYFUNCTION("""COMPUTED_VALUE"""),57156962)</f>
        <v/>
      </c>
      <c r="H89" s="27" t="n"/>
    </row>
    <row r="90" ht="17.25" customHeight="1" s="322">
      <c r="A90" s="27" t="n"/>
      <c r="B90" s="506">
        <f>IFERROR(__xludf.DUMMYFUNCTION("""COMPUTED_VALUE"""),45225.6666666666)</f>
        <v/>
      </c>
      <c r="C90" s="141">
        <f>IFERROR(__xludf.DUMMYFUNCTION("""COMPUTED_VALUE"""),170.37)</f>
        <v/>
      </c>
      <c r="D90" s="141">
        <f>IFERROR(__xludf.DUMMYFUNCTION("""COMPUTED_VALUE"""),171.38)</f>
        <v/>
      </c>
      <c r="E90" s="141">
        <f>IFERROR(__xludf.DUMMYFUNCTION("""COMPUTED_VALUE"""),165.67)</f>
        <v/>
      </c>
      <c r="F90" s="141">
        <f>IFERROR(__xludf.DUMMYFUNCTION("""COMPUTED_VALUE"""),166.89)</f>
        <v/>
      </c>
      <c r="G90" s="143">
        <f>IFERROR(__xludf.DUMMYFUNCTION("""COMPUTED_VALUE"""),70625258)</f>
        <v/>
      </c>
      <c r="H90" s="27" t="n"/>
    </row>
    <row r="91" ht="17.25" customHeight="1" s="322">
      <c r="A91" s="27" t="n"/>
      <c r="B91" s="506">
        <f>IFERROR(__xludf.DUMMYFUNCTION("""COMPUTED_VALUE"""),45226.6666666666)</f>
        <v/>
      </c>
      <c r="C91" s="141">
        <f>IFERROR(__xludf.DUMMYFUNCTION("""COMPUTED_VALUE"""),166.91)</f>
        <v/>
      </c>
      <c r="D91" s="141">
        <f>IFERROR(__xludf.DUMMYFUNCTION("""COMPUTED_VALUE"""),168.96)</f>
        <v/>
      </c>
      <c r="E91" s="141">
        <f>IFERROR(__xludf.DUMMYFUNCTION("""COMPUTED_VALUE"""),166.83)</f>
        <v/>
      </c>
      <c r="F91" s="141">
        <f>IFERROR(__xludf.DUMMYFUNCTION("""COMPUTED_VALUE"""),168.22)</f>
        <v/>
      </c>
      <c r="G91" s="143">
        <f>IFERROR(__xludf.DUMMYFUNCTION("""COMPUTED_VALUE"""),58499129)</f>
        <v/>
      </c>
      <c r="H91" s="27" t="n"/>
    </row>
    <row r="92" ht="17.25" customHeight="1" s="322">
      <c r="A92" s="27" t="n"/>
      <c r="B92" s="506">
        <f>IFERROR(__xludf.DUMMYFUNCTION("""COMPUTED_VALUE"""),45229.6666666666)</f>
        <v/>
      </c>
      <c r="C92" s="141">
        <f>IFERROR(__xludf.DUMMYFUNCTION("""COMPUTED_VALUE"""),169.02)</f>
        <v/>
      </c>
      <c r="D92" s="141">
        <f>IFERROR(__xludf.DUMMYFUNCTION("""COMPUTED_VALUE"""),171.17)</f>
        <v/>
      </c>
      <c r="E92" s="141">
        <f>IFERROR(__xludf.DUMMYFUNCTION("""COMPUTED_VALUE"""),168.87)</f>
        <v/>
      </c>
      <c r="F92" s="141">
        <f>IFERROR(__xludf.DUMMYFUNCTION("""COMPUTED_VALUE"""),170.29)</f>
        <v/>
      </c>
      <c r="G92" s="143">
        <f>IFERROR(__xludf.DUMMYFUNCTION("""COMPUTED_VALUE"""),51130955)</f>
        <v/>
      </c>
      <c r="H92" s="27" t="n"/>
    </row>
    <row r="93" ht="17.25" customHeight="1" s="322">
      <c r="A93" s="27" t="n"/>
      <c r="B93" s="506">
        <f>IFERROR(__xludf.DUMMYFUNCTION("""COMPUTED_VALUE"""),45230.6666666666)</f>
        <v/>
      </c>
      <c r="C93" s="141">
        <f>IFERROR(__xludf.DUMMYFUNCTION("""COMPUTED_VALUE"""),169.35)</f>
        <v/>
      </c>
      <c r="D93" s="141">
        <f>IFERROR(__xludf.DUMMYFUNCTION("""COMPUTED_VALUE"""),170.9)</f>
        <v/>
      </c>
      <c r="E93" s="141">
        <f>IFERROR(__xludf.DUMMYFUNCTION("""COMPUTED_VALUE"""),167.9)</f>
        <v/>
      </c>
      <c r="F93" s="141">
        <f>IFERROR(__xludf.DUMMYFUNCTION("""COMPUTED_VALUE"""),170.77)</f>
        <v/>
      </c>
      <c r="G93" s="143">
        <f>IFERROR(__xludf.DUMMYFUNCTION("""COMPUTED_VALUE"""),44846017)</f>
        <v/>
      </c>
      <c r="H93" s="27" t="n"/>
    </row>
    <row r="94" ht="17.25" customHeight="1" s="322">
      <c r="A94" s="27" t="n"/>
      <c r="B94" s="506">
        <f>IFERROR(__xludf.DUMMYFUNCTION("""COMPUTED_VALUE"""),45231.6666666666)</f>
        <v/>
      </c>
      <c r="C94" s="141">
        <f>IFERROR(__xludf.DUMMYFUNCTION("""COMPUTED_VALUE"""),171)</f>
        <v/>
      </c>
      <c r="D94" s="141">
        <f>IFERROR(__xludf.DUMMYFUNCTION("""COMPUTED_VALUE"""),174.23)</f>
        <v/>
      </c>
      <c r="E94" s="141">
        <f>IFERROR(__xludf.DUMMYFUNCTION("""COMPUTED_VALUE"""),170.12)</f>
        <v/>
      </c>
      <c r="F94" s="141">
        <f>IFERROR(__xludf.DUMMYFUNCTION("""COMPUTED_VALUE"""),173.97)</f>
        <v/>
      </c>
      <c r="G94" s="143">
        <f>IFERROR(__xludf.DUMMYFUNCTION("""COMPUTED_VALUE"""),56934906)</f>
        <v/>
      </c>
      <c r="H94" s="27" t="n"/>
    </row>
    <row r="95" ht="17.25" customHeight="1" s="322">
      <c r="A95" s="27" t="n"/>
      <c r="B95" s="506">
        <f>IFERROR(__xludf.DUMMYFUNCTION("""COMPUTED_VALUE"""),45232.6666666666)</f>
        <v/>
      </c>
      <c r="C95" s="141">
        <f>IFERROR(__xludf.DUMMYFUNCTION("""COMPUTED_VALUE"""),175.52)</f>
        <v/>
      </c>
      <c r="D95" s="141">
        <f>IFERROR(__xludf.DUMMYFUNCTION("""COMPUTED_VALUE"""),177.78)</f>
        <v/>
      </c>
      <c r="E95" s="141">
        <f>IFERROR(__xludf.DUMMYFUNCTION("""COMPUTED_VALUE"""),175.46)</f>
        <v/>
      </c>
      <c r="F95" s="141">
        <f>IFERROR(__xludf.DUMMYFUNCTION("""COMPUTED_VALUE"""),177.57)</f>
        <v/>
      </c>
      <c r="G95" s="143">
        <f>IFERROR(__xludf.DUMMYFUNCTION("""COMPUTED_VALUE"""),77334752)</f>
        <v/>
      </c>
      <c r="H95" s="27" t="n"/>
    </row>
    <row r="96" ht="17.25" customHeight="1" s="322">
      <c r="A96" s="27" t="n"/>
      <c r="B96" s="506">
        <f>IFERROR(__xludf.DUMMYFUNCTION("""COMPUTED_VALUE"""),45233.6666666666)</f>
        <v/>
      </c>
      <c r="C96" s="141">
        <f>IFERROR(__xludf.DUMMYFUNCTION("""COMPUTED_VALUE"""),174.24)</f>
        <v/>
      </c>
      <c r="D96" s="141">
        <f>IFERROR(__xludf.DUMMYFUNCTION("""COMPUTED_VALUE"""),176.82)</f>
        <v/>
      </c>
      <c r="E96" s="141">
        <f>IFERROR(__xludf.DUMMYFUNCTION("""COMPUTED_VALUE"""),173.35)</f>
        <v/>
      </c>
      <c r="F96" s="141">
        <f>IFERROR(__xludf.DUMMYFUNCTION("""COMPUTED_VALUE"""),176.65)</f>
        <v/>
      </c>
      <c r="G96" s="143">
        <f>IFERROR(__xludf.DUMMYFUNCTION("""COMPUTED_VALUE"""),79829246)</f>
        <v/>
      </c>
      <c r="H96" s="27" t="n"/>
    </row>
    <row r="97" ht="17.25" customHeight="1" s="322">
      <c r="A97" s="27" t="n"/>
      <c r="B97" s="506">
        <f>IFERROR(__xludf.DUMMYFUNCTION("""COMPUTED_VALUE"""),45236.6666666666)</f>
        <v/>
      </c>
      <c r="C97" s="141">
        <f>IFERROR(__xludf.DUMMYFUNCTION("""COMPUTED_VALUE"""),176.38)</f>
        <v/>
      </c>
      <c r="D97" s="141">
        <f>IFERROR(__xludf.DUMMYFUNCTION("""COMPUTED_VALUE"""),179.43)</f>
        <v/>
      </c>
      <c r="E97" s="141">
        <f>IFERROR(__xludf.DUMMYFUNCTION("""COMPUTED_VALUE"""),176.21)</f>
        <v/>
      </c>
      <c r="F97" s="141">
        <f>IFERROR(__xludf.DUMMYFUNCTION("""COMPUTED_VALUE"""),179.23)</f>
        <v/>
      </c>
      <c r="G97" s="143">
        <f>IFERROR(__xludf.DUMMYFUNCTION("""COMPUTED_VALUE"""),63841310)</f>
        <v/>
      </c>
      <c r="H97" s="27" t="n"/>
    </row>
    <row r="98" ht="17.25" customHeight="1" s="322">
      <c r="A98" s="27" t="n"/>
      <c r="B98" s="506">
        <f>IFERROR(__xludf.DUMMYFUNCTION("""COMPUTED_VALUE"""),45237.6666666666)</f>
        <v/>
      </c>
      <c r="C98" s="141">
        <f>IFERROR(__xludf.DUMMYFUNCTION("""COMPUTED_VALUE"""),179.18)</f>
        <v/>
      </c>
      <c r="D98" s="141">
        <f>IFERROR(__xludf.DUMMYFUNCTION("""COMPUTED_VALUE"""),182.44)</f>
        <v/>
      </c>
      <c r="E98" s="141">
        <f>IFERROR(__xludf.DUMMYFUNCTION("""COMPUTED_VALUE"""),178.97)</f>
        <v/>
      </c>
      <c r="F98" s="141">
        <f>IFERROR(__xludf.DUMMYFUNCTION("""COMPUTED_VALUE"""),181.82)</f>
        <v/>
      </c>
      <c r="G98" s="143">
        <f>IFERROR(__xludf.DUMMYFUNCTION("""COMPUTED_VALUE"""),70529966)</f>
        <v/>
      </c>
      <c r="H98" s="27" t="n"/>
    </row>
    <row r="99" ht="17.25" customHeight="1" s="322">
      <c r="A99" s="27" t="n"/>
      <c r="B99" s="506">
        <f>IFERROR(__xludf.DUMMYFUNCTION("""COMPUTED_VALUE"""),45238.6666666666)</f>
        <v/>
      </c>
      <c r="C99" s="141">
        <f>IFERROR(__xludf.DUMMYFUNCTION("""COMPUTED_VALUE"""),182.35)</f>
        <v/>
      </c>
      <c r="D99" s="141">
        <f>IFERROR(__xludf.DUMMYFUNCTION("""COMPUTED_VALUE"""),183.45)</f>
        <v/>
      </c>
      <c r="E99" s="141">
        <f>IFERROR(__xludf.DUMMYFUNCTION("""COMPUTED_VALUE"""),181.59)</f>
        <v/>
      </c>
      <c r="F99" s="141">
        <f>IFERROR(__xludf.DUMMYFUNCTION("""COMPUTED_VALUE"""),182.89)</f>
        <v/>
      </c>
      <c r="G99" s="143">
        <f>IFERROR(__xludf.DUMMYFUNCTION("""COMPUTED_VALUE"""),49340282)</f>
        <v/>
      </c>
      <c r="H99" s="27" t="n"/>
    </row>
    <row r="100" ht="17.25" customHeight="1" s="322">
      <c r="A100" s="27" t="n"/>
      <c r="B100" s="506">
        <f>IFERROR(__xludf.DUMMYFUNCTION("""COMPUTED_VALUE"""),45239.6666666666)</f>
        <v/>
      </c>
      <c r="C100" s="141">
        <f>IFERROR(__xludf.DUMMYFUNCTION("""COMPUTED_VALUE"""),182.96)</f>
        <v/>
      </c>
      <c r="D100" s="141">
        <f>IFERROR(__xludf.DUMMYFUNCTION("""COMPUTED_VALUE"""),184.12)</f>
        <v/>
      </c>
      <c r="E100" s="141">
        <f>IFERROR(__xludf.DUMMYFUNCTION("""COMPUTED_VALUE"""),181.81)</f>
        <v/>
      </c>
      <c r="F100" s="141">
        <f>IFERROR(__xludf.DUMMYFUNCTION("""COMPUTED_VALUE"""),182.41)</f>
        <v/>
      </c>
      <c r="G100" s="143">
        <f>IFERROR(__xludf.DUMMYFUNCTION("""COMPUTED_VALUE"""),53763540)</f>
        <v/>
      </c>
      <c r="H100" s="27" t="n"/>
    </row>
    <row r="101" ht="17.25" customHeight="1" s="322">
      <c r="A101" s="27" t="n"/>
      <c r="B101" s="506">
        <f>IFERROR(__xludf.DUMMYFUNCTION("""COMPUTED_VALUE"""),45240.6666666666)</f>
        <v/>
      </c>
      <c r="C101" s="141">
        <f>IFERROR(__xludf.DUMMYFUNCTION("""COMPUTED_VALUE"""),183.97)</f>
        <v/>
      </c>
      <c r="D101" s="141">
        <f>IFERROR(__xludf.DUMMYFUNCTION("""COMPUTED_VALUE"""),186.57)</f>
        <v/>
      </c>
      <c r="E101" s="141">
        <f>IFERROR(__xludf.DUMMYFUNCTION("""COMPUTED_VALUE"""),183.53)</f>
        <v/>
      </c>
      <c r="F101" s="141">
        <f>IFERROR(__xludf.DUMMYFUNCTION("""COMPUTED_VALUE"""),186.4)</f>
        <v/>
      </c>
      <c r="G101" s="143">
        <f>IFERROR(__xludf.DUMMYFUNCTION("""COMPUTED_VALUE"""),66177922)</f>
        <v/>
      </c>
      <c r="H101" s="27" t="n"/>
    </row>
    <row r="102" ht="17.25" customHeight="1" s="322">
      <c r="A102" s="27" t="n"/>
      <c r="B102" s="506">
        <f>IFERROR(__xludf.DUMMYFUNCTION("""COMPUTED_VALUE"""),45243.6666666666)</f>
        <v/>
      </c>
      <c r="C102" s="141">
        <f>IFERROR(__xludf.DUMMYFUNCTION("""COMPUTED_VALUE"""),185.82)</f>
        <v/>
      </c>
      <c r="D102" s="141">
        <f>IFERROR(__xludf.DUMMYFUNCTION("""COMPUTED_VALUE"""),186.03)</f>
        <v/>
      </c>
      <c r="E102" s="141">
        <f>IFERROR(__xludf.DUMMYFUNCTION("""COMPUTED_VALUE"""),184.21)</f>
        <v/>
      </c>
      <c r="F102" s="141">
        <f>IFERROR(__xludf.DUMMYFUNCTION("""COMPUTED_VALUE"""),184.8)</f>
        <v/>
      </c>
      <c r="G102" s="143">
        <f>IFERROR(__xludf.DUMMYFUNCTION("""COMPUTED_VALUE"""),43627519)</f>
        <v/>
      </c>
      <c r="H102" s="27" t="n"/>
    </row>
    <row r="103" ht="17.25" customHeight="1" s="322">
      <c r="A103" s="27" t="n"/>
      <c r="B103" s="506">
        <f>IFERROR(__xludf.DUMMYFUNCTION("""COMPUTED_VALUE"""),45244.6666666666)</f>
        <v/>
      </c>
      <c r="C103" s="141">
        <f>IFERROR(__xludf.DUMMYFUNCTION("""COMPUTED_VALUE"""),187.7)</f>
        <v/>
      </c>
      <c r="D103" s="141">
        <f>IFERROR(__xludf.DUMMYFUNCTION("""COMPUTED_VALUE"""),188.11)</f>
        <v/>
      </c>
      <c r="E103" s="141">
        <f>IFERROR(__xludf.DUMMYFUNCTION("""COMPUTED_VALUE"""),186.3)</f>
        <v/>
      </c>
      <c r="F103" s="141">
        <f>IFERROR(__xludf.DUMMYFUNCTION("""COMPUTED_VALUE"""),187.44)</f>
        <v/>
      </c>
      <c r="G103" s="143">
        <f>IFERROR(__xludf.DUMMYFUNCTION("""COMPUTED_VALUE"""),60108378)</f>
        <v/>
      </c>
      <c r="H103" s="27" t="n"/>
    </row>
    <row r="104" ht="17.25" customHeight="1" s="322">
      <c r="A104" s="27" t="n"/>
      <c r="B104" s="506">
        <f>IFERROR(__xludf.DUMMYFUNCTION("""COMPUTED_VALUE"""),45245.6666666666)</f>
        <v/>
      </c>
      <c r="C104" s="141">
        <f>IFERROR(__xludf.DUMMYFUNCTION("""COMPUTED_VALUE"""),187.85)</f>
        <v/>
      </c>
      <c r="D104" s="141">
        <f>IFERROR(__xludf.DUMMYFUNCTION("""COMPUTED_VALUE"""),189.5)</f>
        <v/>
      </c>
      <c r="E104" s="141">
        <f>IFERROR(__xludf.DUMMYFUNCTION("""COMPUTED_VALUE"""),187.78)</f>
        <v/>
      </c>
      <c r="F104" s="141">
        <f>IFERROR(__xludf.DUMMYFUNCTION("""COMPUTED_VALUE"""),188.01)</f>
        <v/>
      </c>
      <c r="G104" s="143">
        <f>IFERROR(__xludf.DUMMYFUNCTION("""COMPUTED_VALUE"""),53790499)</f>
        <v/>
      </c>
      <c r="H104" s="27" t="n"/>
    </row>
    <row r="105" ht="17.25" customHeight="1" s="322">
      <c r="A105" s="27" t="n"/>
      <c r="B105" s="506">
        <f>IFERROR(__xludf.DUMMYFUNCTION("""COMPUTED_VALUE"""),45246.6666666666)</f>
        <v/>
      </c>
      <c r="C105" s="141">
        <f>IFERROR(__xludf.DUMMYFUNCTION("""COMPUTED_VALUE"""),189.57)</f>
        <v/>
      </c>
      <c r="D105" s="141">
        <f>IFERROR(__xludf.DUMMYFUNCTION("""COMPUTED_VALUE"""),190.96)</f>
        <v/>
      </c>
      <c r="E105" s="141">
        <f>IFERROR(__xludf.DUMMYFUNCTION("""COMPUTED_VALUE"""),188.65)</f>
        <v/>
      </c>
      <c r="F105" s="141">
        <f>IFERROR(__xludf.DUMMYFUNCTION("""COMPUTED_VALUE"""),189.71)</f>
        <v/>
      </c>
      <c r="G105" s="143">
        <f>IFERROR(__xludf.DUMMYFUNCTION("""COMPUTED_VALUE"""),54412915)</f>
        <v/>
      </c>
      <c r="H105" s="27" t="n"/>
    </row>
    <row r="106" ht="17.25" customHeight="1" s="322">
      <c r="A106" s="27" t="n"/>
      <c r="B106" s="506">
        <f>IFERROR(__xludf.DUMMYFUNCTION("""COMPUTED_VALUE"""),45247.6666666666)</f>
        <v/>
      </c>
      <c r="C106" s="141">
        <f>IFERROR(__xludf.DUMMYFUNCTION("""COMPUTED_VALUE"""),190.25)</f>
        <v/>
      </c>
      <c r="D106" s="141">
        <f>IFERROR(__xludf.DUMMYFUNCTION("""COMPUTED_VALUE"""),190.38)</f>
        <v/>
      </c>
      <c r="E106" s="141">
        <f>IFERROR(__xludf.DUMMYFUNCTION("""COMPUTED_VALUE"""),188.57)</f>
        <v/>
      </c>
      <c r="F106" s="141">
        <f>IFERROR(__xludf.DUMMYFUNCTION("""COMPUTED_VALUE"""),189.69)</f>
        <v/>
      </c>
      <c r="G106" s="143">
        <f>IFERROR(__xludf.DUMMYFUNCTION("""COMPUTED_VALUE"""),50941404)</f>
        <v/>
      </c>
      <c r="H106" s="27" t="n"/>
    </row>
    <row r="107" ht="17.25" customHeight="1" s="322">
      <c r="A107" s="27" t="n"/>
      <c r="B107" s="506">
        <f>IFERROR(__xludf.DUMMYFUNCTION("""COMPUTED_VALUE"""),45250.6666666666)</f>
        <v/>
      </c>
      <c r="C107" s="141">
        <f>IFERROR(__xludf.DUMMYFUNCTION("""COMPUTED_VALUE"""),189.89)</f>
        <v/>
      </c>
      <c r="D107" s="141">
        <f>IFERROR(__xludf.DUMMYFUNCTION("""COMPUTED_VALUE"""),191.91)</f>
        <v/>
      </c>
      <c r="E107" s="141">
        <f>IFERROR(__xludf.DUMMYFUNCTION("""COMPUTED_VALUE"""),189.88)</f>
        <v/>
      </c>
      <c r="F107" s="141">
        <f>IFERROR(__xludf.DUMMYFUNCTION("""COMPUTED_VALUE"""),191.45)</f>
        <v/>
      </c>
      <c r="G107" s="143">
        <f>IFERROR(__xludf.DUMMYFUNCTION("""COMPUTED_VALUE"""),46538614)</f>
        <v/>
      </c>
      <c r="H107" s="27" t="n"/>
    </row>
    <row r="108" ht="17.25" customHeight="1" s="322">
      <c r="A108" s="27" t="n"/>
      <c r="B108" s="506">
        <f>IFERROR(__xludf.DUMMYFUNCTION("""COMPUTED_VALUE"""),45251.6666666666)</f>
        <v/>
      </c>
      <c r="C108" s="141">
        <f>IFERROR(__xludf.DUMMYFUNCTION("""COMPUTED_VALUE"""),191.41)</f>
        <v/>
      </c>
      <c r="D108" s="141">
        <f>IFERROR(__xludf.DUMMYFUNCTION("""COMPUTED_VALUE"""),191.52)</f>
        <v/>
      </c>
      <c r="E108" s="141">
        <f>IFERROR(__xludf.DUMMYFUNCTION("""COMPUTED_VALUE"""),189.74)</f>
        <v/>
      </c>
      <c r="F108" s="141">
        <f>IFERROR(__xludf.DUMMYFUNCTION("""COMPUTED_VALUE"""),190.64)</f>
        <v/>
      </c>
      <c r="G108" s="143">
        <f>IFERROR(__xludf.DUMMYFUNCTION("""COMPUTED_VALUE"""),38134485)</f>
        <v/>
      </c>
      <c r="H108" s="27" t="n"/>
    </row>
    <row r="109" ht="17.25" customHeight="1" s="322">
      <c r="A109" s="27" t="n"/>
      <c r="B109" s="506">
        <f>IFERROR(__xludf.DUMMYFUNCTION("""COMPUTED_VALUE"""),45252.6666666666)</f>
        <v/>
      </c>
      <c r="C109" s="141">
        <f>IFERROR(__xludf.DUMMYFUNCTION("""COMPUTED_VALUE"""),191.49)</f>
        <v/>
      </c>
      <c r="D109" s="141">
        <f>IFERROR(__xludf.DUMMYFUNCTION("""COMPUTED_VALUE"""),192.93)</f>
        <v/>
      </c>
      <c r="E109" s="141">
        <f>IFERROR(__xludf.DUMMYFUNCTION("""COMPUTED_VALUE"""),190.83)</f>
        <v/>
      </c>
      <c r="F109" s="141">
        <f>IFERROR(__xludf.DUMMYFUNCTION("""COMPUTED_VALUE"""),191.31)</f>
        <v/>
      </c>
      <c r="G109" s="143">
        <f>IFERROR(__xludf.DUMMYFUNCTION("""COMPUTED_VALUE"""),39630011)</f>
        <v/>
      </c>
      <c r="H109" s="27" t="n"/>
    </row>
    <row r="110" ht="17.25" customHeight="1" s="322">
      <c r="A110" s="27" t="n"/>
      <c r="B110" s="506">
        <f>IFERROR(__xludf.DUMMYFUNCTION("""COMPUTED_VALUE"""),45254.5451388888)</f>
        <v/>
      </c>
      <c r="C110" s="141">
        <f>IFERROR(__xludf.DUMMYFUNCTION("""COMPUTED_VALUE"""),190.87)</f>
        <v/>
      </c>
      <c r="D110" s="141">
        <f>IFERROR(__xludf.DUMMYFUNCTION("""COMPUTED_VALUE"""),190.9)</f>
        <v/>
      </c>
      <c r="E110" s="141">
        <f>IFERROR(__xludf.DUMMYFUNCTION("""COMPUTED_VALUE"""),189.25)</f>
        <v/>
      </c>
      <c r="F110" s="141">
        <f>IFERROR(__xludf.DUMMYFUNCTION("""COMPUTED_VALUE"""),189.97)</f>
        <v/>
      </c>
      <c r="G110" s="143">
        <f>IFERROR(__xludf.DUMMYFUNCTION("""COMPUTED_VALUE"""),24048344)</f>
        <v/>
      </c>
      <c r="H110" s="27" t="n"/>
    </row>
    <row r="111" ht="17.25" customHeight="1" s="322">
      <c r="A111" s="27" t="n"/>
      <c r="B111" s="506">
        <f>IFERROR(__xludf.DUMMYFUNCTION("""COMPUTED_VALUE"""),45257.6666666666)</f>
        <v/>
      </c>
      <c r="C111" s="141">
        <f>IFERROR(__xludf.DUMMYFUNCTION("""COMPUTED_VALUE"""),189.92)</f>
        <v/>
      </c>
      <c r="D111" s="141">
        <f>IFERROR(__xludf.DUMMYFUNCTION("""COMPUTED_VALUE"""),190.67)</f>
        <v/>
      </c>
      <c r="E111" s="141">
        <f>IFERROR(__xludf.DUMMYFUNCTION("""COMPUTED_VALUE"""),188.9)</f>
        <v/>
      </c>
      <c r="F111" s="141">
        <f>IFERROR(__xludf.DUMMYFUNCTION("""COMPUTED_VALUE"""),189.79)</f>
        <v/>
      </c>
      <c r="G111" s="143">
        <f>IFERROR(__xludf.DUMMYFUNCTION("""COMPUTED_VALUE"""),40552609)</f>
        <v/>
      </c>
      <c r="H111" s="27" t="n"/>
    </row>
    <row r="112" ht="17.25" customHeight="1" s="322">
      <c r="A112" s="27" t="n"/>
      <c r="B112" s="506">
        <f>IFERROR(__xludf.DUMMYFUNCTION("""COMPUTED_VALUE"""),45258.6666666666)</f>
        <v/>
      </c>
      <c r="C112" s="141">
        <f>IFERROR(__xludf.DUMMYFUNCTION("""COMPUTED_VALUE"""),189.78)</f>
        <v/>
      </c>
      <c r="D112" s="141">
        <f>IFERROR(__xludf.DUMMYFUNCTION("""COMPUTED_VALUE"""),191.08)</f>
        <v/>
      </c>
      <c r="E112" s="141">
        <f>IFERROR(__xludf.DUMMYFUNCTION("""COMPUTED_VALUE"""),189.4)</f>
        <v/>
      </c>
      <c r="F112" s="141">
        <f>IFERROR(__xludf.DUMMYFUNCTION("""COMPUTED_VALUE"""),190.4)</f>
        <v/>
      </c>
      <c r="G112" s="143">
        <f>IFERROR(__xludf.DUMMYFUNCTION("""COMPUTED_VALUE"""),38415419)</f>
        <v/>
      </c>
      <c r="H112" s="27" t="n"/>
    </row>
    <row r="113" ht="17.25" customHeight="1" s="322">
      <c r="A113" s="27" t="n"/>
      <c r="B113" s="506">
        <f>IFERROR(__xludf.DUMMYFUNCTION("""COMPUTED_VALUE"""),45259.6666666666)</f>
        <v/>
      </c>
      <c r="C113" s="141">
        <f>IFERROR(__xludf.DUMMYFUNCTION("""COMPUTED_VALUE"""),190.9)</f>
        <v/>
      </c>
      <c r="D113" s="141">
        <f>IFERROR(__xludf.DUMMYFUNCTION("""COMPUTED_VALUE"""),192.09)</f>
        <v/>
      </c>
      <c r="E113" s="141">
        <f>IFERROR(__xludf.DUMMYFUNCTION("""COMPUTED_VALUE"""),188.97)</f>
        <v/>
      </c>
      <c r="F113" s="141">
        <f>IFERROR(__xludf.DUMMYFUNCTION("""COMPUTED_VALUE"""),189.37)</f>
        <v/>
      </c>
      <c r="G113" s="143">
        <f>IFERROR(__xludf.DUMMYFUNCTION("""COMPUTED_VALUE"""),43014224)</f>
        <v/>
      </c>
      <c r="H113" s="27" t="n"/>
    </row>
    <row r="114" ht="17.25" customHeight="1" s="322">
      <c r="A114" s="27" t="n"/>
      <c r="B114" s="506">
        <f>IFERROR(__xludf.DUMMYFUNCTION("""COMPUTED_VALUE"""),45260.6666666666)</f>
        <v/>
      </c>
      <c r="C114" s="141">
        <f>IFERROR(__xludf.DUMMYFUNCTION("""COMPUTED_VALUE"""),189.84)</f>
        <v/>
      </c>
      <c r="D114" s="141">
        <f>IFERROR(__xludf.DUMMYFUNCTION("""COMPUTED_VALUE"""),190.32)</f>
        <v/>
      </c>
      <c r="E114" s="141">
        <f>IFERROR(__xludf.DUMMYFUNCTION("""COMPUTED_VALUE"""),188.19)</f>
        <v/>
      </c>
      <c r="F114" s="141">
        <f>IFERROR(__xludf.DUMMYFUNCTION("""COMPUTED_VALUE"""),189.95)</f>
        <v/>
      </c>
      <c r="G114" s="143">
        <f>IFERROR(__xludf.DUMMYFUNCTION("""COMPUTED_VALUE"""),48794366)</f>
        <v/>
      </c>
      <c r="H114" s="27" t="n"/>
    </row>
    <row r="115" ht="17.25" customHeight="1" s="322">
      <c r="A115" s="27" t="n"/>
      <c r="B115" s="506">
        <f>IFERROR(__xludf.DUMMYFUNCTION("""COMPUTED_VALUE"""),45261.6666666666)</f>
        <v/>
      </c>
      <c r="C115" s="141">
        <f>IFERROR(__xludf.DUMMYFUNCTION("""COMPUTED_VALUE"""),190.33)</f>
        <v/>
      </c>
      <c r="D115" s="141">
        <f>IFERROR(__xludf.DUMMYFUNCTION("""COMPUTED_VALUE"""),191.56)</f>
        <v/>
      </c>
      <c r="E115" s="141">
        <f>IFERROR(__xludf.DUMMYFUNCTION("""COMPUTED_VALUE"""),189.23)</f>
        <v/>
      </c>
      <c r="F115" s="141">
        <f>IFERROR(__xludf.DUMMYFUNCTION("""COMPUTED_VALUE"""),191.24)</f>
        <v/>
      </c>
      <c r="G115" s="143">
        <f>IFERROR(__xludf.DUMMYFUNCTION("""COMPUTED_VALUE"""),45704823)</f>
        <v/>
      </c>
      <c r="H115" s="27" t="n"/>
    </row>
    <row r="116" ht="17.25" customHeight="1" s="322">
      <c r="A116" s="27" t="n"/>
      <c r="B116" s="506">
        <f>IFERROR(__xludf.DUMMYFUNCTION("""COMPUTED_VALUE"""),45264.6666666666)</f>
        <v/>
      </c>
      <c r="C116" s="141">
        <f>IFERROR(__xludf.DUMMYFUNCTION("""COMPUTED_VALUE"""),189.98)</f>
        <v/>
      </c>
      <c r="D116" s="141">
        <f>IFERROR(__xludf.DUMMYFUNCTION("""COMPUTED_VALUE"""),190.05)</f>
        <v/>
      </c>
      <c r="E116" s="141">
        <f>IFERROR(__xludf.DUMMYFUNCTION("""COMPUTED_VALUE"""),187.45)</f>
        <v/>
      </c>
      <c r="F116" s="141">
        <f>IFERROR(__xludf.DUMMYFUNCTION("""COMPUTED_VALUE"""),189.43)</f>
        <v/>
      </c>
      <c r="G116" s="143">
        <f>IFERROR(__xludf.DUMMYFUNCTION("""COMPUTED_VALUE"""),43389519)</f>
        <v/>
      </c>
      <c r="H116" s="27" t="n"/>
    </row>
    <row r="117" ht="17.25" customHeight="1" s="322">
      <c r="A117" s="27" t="n"/>
      <c r="B117" s="506">
        <f>IFERROR(__xludf.DUMMYFUNCTION("""COMPUTED_VALUE"""),45265.6666666666)</f>
        <v/>
      </c>
      <c r="C117" s="141">
        <f>IFERROR(__xludf.DUMMYFUNCTION("""COMPUTED_VALUE"""),190.21)</f>
        <v/>
      </c>
      <c r="D117" s="141">
        <f>IFERROR(__xludf.DUMMYFUNCTION("""COMPUTED_VALUE"""),194.4)</f>
        <v/>
      </c>
      <c r="E117" s="141">
        <f>IFERROR(__xludf.DUMMYFUNCTION("""COMPUTED_VALUE"""),190.18)</f>
        <v/>
      </c>
      <c r="F117" s="141">
        <f>IFERROR(__xludf.DUMMYFUNCTION("""COMPUTED_VALUE"""),193.42)</f>
        <v/>
      </c>
      <c r="G117" s="143">
        <f>IFERROR(__xludf.DUMMYFUNCTION("""COMPUTED_VALUE"""),66628398)</f>
        <v/>
      </c>
      <c r="H117" s="27" t="n"/>
    </row>
    <row r="118" ht="17.25" customHeight="1" s="322">
      <c r="A118" s="27" t="n"/>
      <c r="B118" s="506">
        <f>IFERROR(__xludf.DUMMYFUNCTION("""COMPUTED_VALUE"""),45266.6666666666)</f>
        <v/>
      </c>
      <c r="C118" s="141">
        <f>IFERROR(__xludf.DUMMYFUNCTION("""COMPUTED_VALUE"""),194.45)</f>
        <v/>
      </c>
      <c r="D118" s="141">
        <f>IFERROR(__xludf.DUMMYFUNCTION("""COMPUTED_VALUE"""),194.76)</f>
        <v/>
      </c>
      <c r="E118" s="141">
        <f>IFERROR(__xludf.DUMMYFUNCTION("""COMPUTED_VALUE"""),192.11)</f>
        <v/>
      </c>
      <c r="F118" s="141">
        <f>IFERROR(__xludf.DUMMYFUNCTION("""COMPUTED_VALUE"""),192.32)</f>
        <v/>
      </c>
      <c r="G118" s="143">
        <f>IFERROR(__xludf.DUMMYFUNCTION("""COMPUTED_VALUE"""),41089737)</f>
        <v/>
      </c>
      <c r="H118" s="27" t="n"/>
    </row>
    <row r="119" ht="17.25" customHeight="1" s="322">
      <c r="A119" s="27" t="n"/>
      <c r="B119" s="506">
        <f>IFERROR(__xludf.DUMMYFUNCTION("""COMPUTED_VALUE"""),45267.6666666666)</f>
        <v/>
      </c>
      <c r="C119" s="141">
        <f>IFERROR(__xludf.DUMMYFUNCTION("""COMPUTED_VALUE"""),193.63)</f>
        <v/>
      </c>
      <c r="D119" s="141">
        <f>IFERROR(__xludf.DUMMYFUNCTION("""COMPUTED_VALUE"""),195)</f>
        <v/>
      </c>
      <c r="E119" s="141">
        <f>IFERROR(__xludf.DUMMYFUNCTION("""COMPUTED_VALUE"""),193.59)</f>
        <v/>
      </c>
      <c r="F119" s="141">
        <f>IFERROR(__xludf.DUMMYFUNCTION("""COMPUTED_VALUE"""),194.27)</f>
        <v/>
      </c>
      <c r="G119" s="143">
        <f>IFERROR(__xludf.DUMMYFUNCTION("""COMPUTED_VALUE"""),47477655)</f>
        <v/>
      </c>
      <c r="H119" s="27" t="n"/>
    </row>
    <row r="120" ht="17.25" customHeight="1" s="322">
      <c r="A120" s="27" t="n"/>
      <c r="B120" s="506">
        <f>IFERROR(__xludf.DUMMYFUNCTION("""COMPUTED_VALUE"""),45268.6666666666)</f>
        <v/>
      </c>
      <c r="C120" s="141">
        <f>IFERROR(__xludf.DUMMYFUNCTION("""COMPUTED_VALUE"""),194.2)</f>
        <v/>
      </c>
      <c r="D120" s="141">
        <f>IFERROR(__xludf.DUMMYFUNCTION("""COMPUTED_VALUE"""),195.99)</f>
        <v/>
      </c>
      <c r="E120" s="141">
        <f>IFERROR(__xludf.DUMMYFUNCTION("""COMPUTED_VALUE"""),193.67)</f>
        <v/>
      </c>
      <c r="F120" s="141">
        <f>IFERROR(__xludf.DUMMYFUNCTION("""COMPUTED_VALUE"""),195.71)</f>
        <v/>
      </c>
      <c r="G120" s="143">
        <f>IFERROR(__xludf.DUMMYFUNCTION("""COMPUTED_VALUE"""),53406358)</f>
        <v/>
      </c>
      <c r="H120" s="27" t="n"/>
    </row>
    <row r="121" ht="17.25" customHeight="1" s="322">
      <c r="A121" s="27" t="n"/>
      <c r="B121" s="506">
        <f>IFERROR(__xludf.DUMMYFUNCTION("""COMPUTED_VALUE"""),45271.6666666666)</f>
        <v/>
      </c>
      <c r="C121" s="141">
        <f>IFERROR(__xludf.DUMMYFUNCTION("""COMPUTED_VALUE"""),193.11)</f>
        <v/>
      </c>
      <c r="D121" s="141">
        <f>IFERROR(__xludf.DUMMYFUNCTION("""COMPUTED_VALUE"""),193.49)</f>
        <v/>
      </c>
      <c r="E121" s="141">
        <f>IFERROR(__xludf.DUMMYFUNCTION("""COMPUTED_VALUE"""),191.42)</f>
        <v/>
      </c>
      <c r="F121" s="141">
        <f>IFERROR(__xludf.DUMMYFUNCTION("""COMPUTED_VALUE"""),193.18)</f>
        <v/>
      </c>
      <c r="G121" s="143">
        <f>IFERROR(__xludf.DUMMYFUNCTION("""COMPUTED_VALUE"""),60943699)</f>
        <v/>
      </c>
      <c r="H121" s="27" t="n"/>
    </row>
    <row r="122" ht="17.25" customHeight="1" s="322">
      <c r="A122" s="27" t="n"/>
      <c r="B122" s="506">
        <f>IFERROR(__xludf.DUMMYFUNCTION("""COMPUTED_VALUE"""),45272.6666666666)</f>
        <v/>
      </c>
      <c r="C122" s="141">
        <f>IFERROR(__xludf.DUMMYFUNCTION("""COMPUTED_VALUE"""),193.08)</f>
        <v/>
      </c>
      <c r="D122" s="141">
        <f>IFERROR(__xludf.DUMMYFUNCTION("""COMPUTED_VALUE"""),194.72)</f>
        <v/>
      </c>
      <c r="E122" s="141">
        <f>IFERROR(__xludf.DUMMYFUNCTION("""COMPUTED_VALUE"""),191.72)</f>
        <v/>
      </c>
      <c r="F122" s="141">
        <f>IFERROR(__xludf.DUMMYFUNCTION("""COMPUTED_VALUE"""),194.71)</f>
        <v/>
      </c>
      <c r="G122" s="143">
        <f>IFERROR(__xludf.DUMMYFUNCTION("""COMPUTED_VALUE"""),52696900)</f>
        <v/>
      </c>
      <c r="H122" s="27" t="n"/>
    </row>
    <row r="123" ht="17.25" customHeight="1" s="322">
      <c r="A123" s="27" t="n"/>
      <c r="B123" s="506">
        <f>IFERROR(__xludf.DUMMYFUNCTION("""COMPUTED_VALUE"""),45273.6666666666)</f>
        <v/>
      </c>
      <c r="C123" s="141">
        <f>IFERROR(__xludf.DUMMYFUNCTION("""COMPUTED_VALUE"""),195.09)</f>
        <v/>
      </c>
      <c r="D123" s="141">
        <f>IFERROR(__xludf.DUMMYFUNCTION("""COMPUTED_VALUE"""),198)</f>
        <v/>
      </c>
      <c r="E123" s="141">
        <f>IFERROR(__xludf.DUMMYFUNCTION("""COMPUTED_VALUE"""),194.85)</f>
        <v/>
      </c>
      <c r="F123" s="141">
        <f>IFERROR(__xludf.DUMMYFUNCTION("""COMPUTED_VALUE"""),197.96)</f>
        <v/>
      </c>
      <c r="G123" s="143">
        <f>IFERROR(__xludf.DUMMYFUNCTION("""COMPUTED_VALUE"""),70404183)</f>
        <v/>
      </c>
      <c r="H123" s="27" t="n"/>
    </row>
    <row r="124" ht="17.25" customHeight="1" s="322">
      <c r="A124" s="27" t="n"/>
      <c r="B124" s="506">
        <f>IFERROR(__xludf.DUMMYFUNCTION("""COMPUTED_VALUE"""),45274.6666666666)</f>
        <v/>
      </c>
      <c r="C124" s="141">
        <f>IFERROR(__xludf.DUMMYFUNCTION("""COMPUTED_VALUE"""),198.02)</f>
        <v/>
      </c>
      <c r="D124" s="141">
        <f>IFERROR(__xludf.DUMMYFUNCTION("""COMPUTED_VALUE"""),199.62)</f>
        <v/>
      </c>
      <c r="E124" s="141">
        <f>IFERROR(__xludf.DUMMYFUNCTION("""COMPUTED_VALUE"""),196.16)</f>
        <v/>
      </c>
      <c r="F124" s="141">
        <f>IFERROR(__xludf.DUMMYFUNCTION("""COMPUTED_VALUE"""),198.11)</f>
        <v/>
      </c>
      <c r="G124" s="143">
        <f>IFERROR(__xludf.DUMMYFUNCTION("""COMPUTED_VALUE"""),66831572)</f>
        <v/>
      </c>
      <c r="H124" s="27" t="n"/>
    </row>
    <row r="125" ht="17.25" customHeight="1" s="322">
      <c r="A125" s="27" t="n"/>
      <c r="B125" s="506">
        <f>IFERROR(__xludf.DUMMYFUNCTION("""COMPUTED_VALUE"""),45275.6666666666)</f>
        <v/>
      </c>
      <c r="C125" s="141">
        <f>IFERROR(__xludf.DUMMYFUNCTION("""COMPUTED_VALUE"""),197.53)</f>
        <v/>
      </c>
      <c r="D125" s="141">
        <f>IFERROR(__xludf.DUMMYFUNCTION("""COMPUTED_VALUE"""),198.4)</f>
        <v/>
      </c>
      <c r="E125" s="141">
        <f>IFERROR(__xludf.DUMMYFUNCTION("""COMPUTED_VALUE"""),197)</f>
        <v/>
      </c>
      <c r="F125" s="141">
        <f>IFERROR(__xludf.DUMMYFUNCTION("""COMPUTED_VALUE"""),197.57)</f>
        <v/>
      </c>
      <c r="G125" s="143">
        <f>IFERROR(__xludf.DUMMYFUNCTION("""COMPUTED_VALUE"""),128538401)</f>
        <v/>
      </c>
      <c r="H125" s="27" t="n"/>
    </row>
    <row r="126" ht="17.25" customHeight="1" s="322">
      <c r="A126" s="27" t="n"/>
      <c r="B126" s="506">
        <f>IFERROR(__xludf.DUMMYFUNCTION("""COMPUTED_VALUE"""),45278.6666666666)</f>
        <v/>
      </c>
      <c r="C126" s="141">
        <f>IFERROR(__xludf.DUMMYFUNCTION("""COMPUTED_VALUE"""),196.09)</f>
        <v/>
      </c>
      <c r="D126" s="141">
        <f>IFERROR(__xludf.DUMMYFUNCTION("""COMPUTED_VALUE"""),196.63)</f>
        <v/>
      </c>
      <c r="E126" s="141">
        <f>IFERROR(__xludf.DUMMYFUNCTION("""COMPUTED_VALUE"""),194.39)</f>
        <v/>
      </c>
      <c r="F126" s="141">
        <f>IFERROR(__xludf.DUMMYFUNCTION("""COMPUTED_VALUE"""),195.89)</f>
        <v/>
      </c>
      <c r="G126" s="143">
        <f>IFERROR(__xludf.DUMMYFUNCTION("""COMPUTED_VALUE"""),55751861)</f>
        <v/>
      </c>
      <c r="H126" s="27" t="n"/>
    </row>
    <row r="127" ht="17.25" customHeight="1" s="322">
      <c r="A127" s="27" t="n"/>
      <c r="B127" s="506">
        <f>IFERROR(__xludf.DUMMYFUNCTION("""COMPUTED_VALUE"""),45279.6666666666)</f>
        <v/>
      </c>
      <c r="C127" s="141">
        <f>IFERROR(__xludf.DUMMYFUNCTION("""COMPUTED_VALUE"""),196.16)</f>
        <v/>
      </c>
      <c r="D127" s="141">
        <f>IFERROR(__xludf.DUMMYFUNCTION("""COMPUTED_VALUE"""),196.95)</f>
        <v/>
      </c>
      <c r="E127" s="141">
        <f>IFERROR(__xludf.DUMMYFUNCTION("""COMPUTED_VALUE"""),195.89)</f>
        <v/>
      </c>
      <c r="F127" s="141">
        <f>IFERROR(__xludf.DUMMYFUNCTION("""COMPUTED_VALUE"""),196.94)</f>
        <v/>
      </c>
      <c r="G127" s="143">
        <f>IFERROR(__xludf.DUMMYFUNCTION("""COMPUTED_VALUE"""),40714051)</f>
        <v/>
      </c>
      <c r="H127" s="27" t="n"/>
    </row>
    <row r="128" ht="17.25" customHeight="1" s="322">
      <c r="A128" s="27" t="n"/>
      <c r="B128" s="506">
        <f>IFERROR(__xludf.DUMMYFUNCTION("""COMPUTED_VALUE"""),45280.6666666666)</f>
        <v/>
      </c>
      <c r="C128" s="141">
        <f>IFERROR(__xludf.DUMMYFUNCTION("""COMPUTED_VALUE"""),196.9)</f>
        <v/>
      </c>
      <c r="D128" s="141">
        <f>IFERROR(__xludf.DUMMYFUNCTION("""COMPUTED_VALUE"""),197.68)</f>
        <v/>
      </c>
      <c r="E128" s="141">
        <f>IFERROR(__xludf.DUMMYFUNCTION("""COMPUTED_VALUE"""),194.83)</f>
        <v/>
      </c>
      <c r="F128" s="141">
        <f>IFERROR(__xludf.DUMMYFUNCTION("""COMPUTED_VALUE"""),194.83)</f>
        <v/>
      </c>
      <c r="G128" s="143">
        <f>IFERROR(__xludf.DUMMYFUNCTION("""COMPUTED_VALUE"""),52242815)</f>
        <v/>
      </c>
      <c r="H128" s="27" t="n"/>
    </row>
    <row r="129" ht="17.25" customHeight="1" s="322">
      <c r="A129" s="27" t="n"/>
      <c r="B129" s="506">
        <f>IFERROR(__xludf.DUMMYFUNCTION("""COMPUTED_VALUE"""),45281.6666666666)</f>
        <v/>
      </c>
      <c r="C129" s="141">
        <f>IFERROR(__xludf.DUMMYFUNCTION("""COMPUTED_VALUE"""),196.1)</f>
        <v/>
      </c>
      <c r="D129" s="141">
        <f>IFERROR(__xludf.DUMMYFUNCTION("""COMPUTED_VALUE"""),197.08)</f>
        <v/>
      </c>
      <c r="E129" s="141">
        <f>IFERROR(__xludf.DUMMYFUNCTION("""COMPUTED_VALUE"""),193.5)</f>
        <v/>
      </c>
      <c r="F129" s="141">
        <f>IFERROR(__xludf.DUMMYFUNCTION("""COMPUTED_VALUE"""),194.68)</f>
        <v/>
      </c>
      <c r="G129" s="143">
        <f>IFERROR(__xludf.DUMMYFUNCTION("""COMPUTED_VALUE"""),46482549)</f>
        <v/>
      </c>
      <c r="H129" s="27" t="n"/>
    </row>
    <row r="130" ht="17.25" customHeight="1" s="322">
      <c r="A130" s="27" t="n"/>
      <c r="B130" s="506">
        <f>IFERROR(__xludf.DUMMYFUNCTION("""COMPUTED_VALUE"""),45282.6666666666)</f>
        <v/>
      </c>
      <c r="C130" s="141">
        <f>IFERROR(__xludf.DUMMYFUNCTION("""COMPUTED_VALUE"""),195.18)</f>
        <v/>
      </c>
      <c r="D130" s="141">
        <f>IFERROR(__xludf.DUMMYFUNCTION("""COMPUTED_VALUE"""),195.41)</f>
        <v/>
      </c>
      <c r="E130" s="141">
        <f>IFERROR(__xludf.DUMMYFUNCTION("""COMPUTED_VALUE"""),192.97)</f>
        <v/>
      </c>
      <c r="F130" s="141">
        <f>IFERROR(__xludf.DUMMYFUNCTION("""COMPUTED_VALUE"""),193.6)</f>
        <v/>
      </c>
      <c r="G130" s="143">
        <f>IFERROR(__xludf.DUMMYFUNCTION("""COMPUTED_VALUE"""),37149570)</f>
        <v/>
      </c>
      <c r="H130" s="27" t="n"/>
    </row>
    <row r="131" ht="17.25" customHeight="1" s="322">
      <c r="A131" s="27" t="n"/>
      <c r="B131" s="506">
        <f>IFERROR(__xludf.DUMMYFUNCTION("""COMPUTED_VALUE"""),45286.6666666666)</f>
        <v/>
      </c>
      <c r="C131" s="141">
        <f>IFERROR(__xludf.DUMMYFUNCTION("""COMPUTED_VALUE"""),193.61)</f>
        <v/>
      </c>
      <c r="D131" s="141">
        <f>IFERROR(__xludf.DUMMYFUNCTION("""COMPUTED_VALUE"""),193.89)</f>
        <v/>
      </c>
      <c r="E131" s="141">
        <f>IFERROR(__xludf.DUMMYFUNCTION("""COMPUTED_VALUE"""),192.83)</f>
        <v/>
      </c>
      <c r="F131" s="141">
        <f>IFERROR(__xludf.DUMMYFUNCTION("""COMPUTED_VALUE"""),193.05)</f>
        <v/>
      </c>
      <c r="G131" s="143">
        <f>IFERROR(__xludf.DUMMYFUNCTION("""COMPUTED_VALUE"""),28919310)</f>
        <v/>
      </c>
      <c r="H131" s="27" t="n"/>
    </row>
    <row r="132" ht="17.25" customHeight="1" s="322">
      <c r="A132" s="27" t="n"/>
      <c r="B132" s="506">
        <f>IFERROR(__xludf.DUMMYFUNCTION("""COMPUTED_VALUE"""),45287.6666666666)</f>
        <v/>
      </c>
      <c r="C132" s="141">
        <f>IFERROR(__xludf.DUMMYFUNCTION("""COMPUTED_VALUE"""),192.49)</f>
        <v/>
      </c>
      <c r="D132" s="141">
        <f>IFERROR(__xludf.DUMMYFUNCTION("""COMPUTED_VALUE"""),193.5)</f>
        <v/>
      </c>
      <c r="E132" s="141">
        <f>IFERROR(__xludf.DUMMYFUNCTION("""COMPUTED_VALUE"""),191.09)</f>
        <v/>
      </c>
      <c r="F132" s="141">
        <f>IFERROR(__xludf.DUMMYFUNCTION("""COMPUTED_VALUE"""),193.15)</f>
        <v/>
      </c>
      <c r="G132" s="143">
        <f>IFERROR(__xludf.DUMMYFUNCTION("""COMPUTED_VALUE"""),48087681)</f>
        <v/>
      </c>
      <c r="H132" s="27" t="n"/>
    </row>
    <row r="133" ht="17.25" customHeight="1" s="322">
      <c r="A133" s="27" t="n"/>
      <c r="B133" s="506">
        <f>IFERROR(__xludf.DUMMYFUNCTION("""COMPUTED_VALUE"""),45288.6666666666)</f>
        <v/>
      </c>
      <c r="C133" s="141">
        <f>IFERROR(__xludf.DUMMYFUNCTION("""COMPUTED_VALUE"""),194.14)</f>
        <v/>
      </c>
      <c r="D133" s="141">
        <f>IFERROR(__xludf.DUMMYFUNCTION("""COMPUTED_VALUE"""),194.66)</f>
        <v/>
      </c>
      <c r="E133" s="141">
        <f>IFERROR(__xludf.DUMMYFUNCTION("""COMPUTED_VALUE"""),193.17)</f>
        <v/>
      </c>
      <c r="F133" s="141">
        <f>IFERROR(__xludf.DUMMYFUNCTION("""COMPUTED_VALUE"""),193.58)</f>
        <v/>
      </c>
      <c r="G133" s="143">
        <f>IFERROR(__xludf.DUMMYFUNCTION("""COMPUTED_VALUE"""),34049898)</f>
        <v/>
      </c>
      <c r="H133" s="27" t="n"/>
    </row>
    <row r="134" ht="17.25" customHeight="1" s="322">
      <c r="A134" s="27" t="n"/>
      <c r="B134" s="506">
        <f>IFERROR(__xludf.DUMMYFUNCTION("""COMPUTED_VALUE"""),45289.6666666666)</f>
        <v/>
      </c>
      <c r="C134" s="141">
        <f>IFERROR(__xludf.DUMMYFUNCTION("""COMPUTED_VALUE"""),193.9)</f>
        <v/>
      </c>
      <c r="D134" s="141">
        <f>IFERROR(__xludf.DUMMYFUNCTION("""COMPUTED_VALUE"""),194.4)</f>
        <v/>
      </c>
      <c r="E134" s="141">
        <f>IFERROR(__xludf.DUMMYFUNCTION("""COMPUTED_VALUE"""),191.73)</f>
        <v/>
      </c>
      <c r="F134" s="141">
        <f>IFERROR(__xludf.DUMMYFUNCTION("""COMPUTED_VALUE"""),192.53)</f>
        <v/>
      </c>
      <c r="G134" s="143">
        <f>IFERROR(__xludf.DUMMYFUNCTION("""COMPUTED_VALUE"""),42672148)</f>
        <v/>
      </c>
      <c r="H134" s="27" t="n"/>
    </row>
    <row r="135" ht="17.25" customHeight="1" s="322">
      <c r="A135" s="27" t="n"/>
      <c r="B135" s="506">
        <f>IFERROR(__xludf.DUMMYFUNCTION("""COMPUTED_VALUE"""),45293.6666666666)</f>
        <v/>
      </c>
      <c r="C135" s="141">
        <f>IFERROR(__xludf.DUMMYFUNCTION("""COMPUTED_VALUE"""),187.15)</f>
        <v/>
      </c>
      <c r="D135" s="141">
        <f>IFERROR(__xludf.DUMMYFUNCTION("""COMPUTED_VALUE"""),188.44)</f>
        <v/>
      </c>
      <c r="E135" s="141">
        <f>IFERROR(__xludf.DUMMYFUNCTION("""COMPUTED_VALUE"""),183.89)</f>
        <v/>
      </c>
      <c r="F135" s="141">
        <f>IFERROR(__xludf.DUMMYFUNCTION("""COMPUTED_VALUE"""),185.64)</f>
        <v/>
      </c>
      <c r="G135" s="143">
        <f>IFERROR(__xludf.DUMMYFUNCTION("""COMPUTED_VALUE"""),82488674)</f>
        <v/>
      </c>
      <c r="H135" s="27" t="n"/>
    </row>
    <row r="136" ht="17.25" customHeight="1" s="322">
      <c r="A136" s="27" t="n"/>
      <c r="B136" s="506">
        <f>IFERROR(__xludf.DUMMYFUNCTION("""COMPUTED_VALUE"""),45294.6666666666)</f>
        <v/>
      </c>
      <c r="C136" s="141">
        <f>IFERROR(__xludf.DUMMYFUNCTION("""COMPUTED_VALUE"""),184.22)</f>
        <v/>
      </c>
      <c r="D136" s="141">
        <f>IFERROR(__xludf.DUMMYFUNCTION("""COMPUTED_VALUE"""),185.88)</f>
        <v/>
      </c>
      <c r="E136" s="141">
        <f>IFERROR(__xludf.DUMMYFUNCTION("""COMPUTED_VALUE"""),183.43)</f>
        <v/>
      </c>
      <c r="F136" s="141">
        <f>IFERROR(__xludf.DUMMYFUNCTION("""COMPUTED_VALUE"""),184.25)</f>
        <v/>
      </c>
      <c r="G136" s="143">
        <f>IFERROR(__xludf.DUMMYFUNCTION("""COMPUTED_VALUE"""),58414460)</f>
        <v/>
      </c>
      <c r="H136" s="27" t="n"/>
    </row>
    <row r="137" ht="17.25" customHeight="1" s="322">
      <c r="A137" s="27" t="n"/>
      <c r="B137" s="506">
        <f>IFERROR(__xludf.DUMMYFUNCTION("""COMPUTED_VALUE"""),45295.6666666666)</f>
        <v/>
      </c>
      <c r="C137" s="141">
        <f>IFERROR(__xludf.DUMMYFUNCTION("""COMPUTED_VALUE"""),182.15)</f>
        <v/>
      </c>
      <c r="D137" s="141">
        <f>IFERROR(__xludf.DUMMYFUNCTION("""COMPUTED_VALUE"""),183.09)</f>
        <v/>
      </c>
      <c r="E137" s="141">
        <f>IFERROR(__xludf.DUMMYFUNCTION("""COMPUTED_VALUE"""),180.88)</f>
        <v/>
      </c>
      <c r="F137" s="141">
        <f>IFERROR(__xludf.DUMMYFUNCTION("""COMPUTED_VALUE"""),181.91)</f>
        <v/>
      </c>
      <c r="G137" s="143">
        <f>IFERROR(__xludf.DUMMYFUNCTION("""COMPUTED_VALUE"""),71983570)</f>
        <v/>
      </c>
      <c r="H137" s="27" t="n"/>
    </row>
    <row r="138" ht="17.25" customHeight="1" s="322">
      <c r="A138" s="27" t="n"/>
      <c r="B138" s="506">
        <f>IFERROR(__xludf.DUMMYFUNCTION("""COMPUTED_VALUE"""),45296.6666666666)</f>
        <v/>
      </c>
      <c r="C138" s="141">
        <f>IFERROR(__xludf.DUMMYFUNCTION("""COMPUTED_VALUE"""),181.99)</f>
        <v/>
      </c>
      <c r="D138" s="141">
        <f>IFERROR(__xludf.DUMMYFUNCTION("""COMPUTED_VALUE"""),182.76)</f>
        <v/>
      </c>
      <c r="E138" s="141">
        <f>IFERROR(__xludf.DUMMYFUNCTION("""COMPUTED_VALUE"""),180.17)</f>
        <v/>
      </c>
      <c r="F138" s="141">
        <f>IFERROR(__xludf.DUMMYFUNCTION("""COMPUTED_VALUE"""),181.18)</f>
        <v/>
      </c>
      <c r="G138" s="143">
        <f>IFERROR(__xludf.DUMMYFUNCTION("""COMPUTED_VALUE"""),62379661)</f>
        <v/>
      </c>
      <c r="H138" s="27" t="n"/>
    </row>
    <row r="139" ht="17.25" customHeight="1" s="322">
      <c r="A139" s="27" t="n"/>
      <c r="B139" s="506">
        <f>IFERROR(__xludf.DUMMYFUNCTION("""COMPUTED_VALUE"""),45299.6666666666)</f>
        <v/>
      </c>
      <c r="C139" s="141">
        <f>IFERROR(__xludf.DUMMYFUNCTION("""COMPUTED_VALUE"""),182.09)</f>
        <v/>
      </c>
      <c r="D139" s="141">
        <f>IFERROR(__xludf.DUMMYFUNCTION("""COMPUTED_VALUE"""),185.6)</f>
        <v/>
      </c>
      <c r="E139" s="141">
        <f>IFERROR(__xludf.DUMMYFUNCTION("""COMPUTED_VALUE"""),181.5)</f>
        <v/>
      </c>
      <c r="F139" s="141">
        <f>IFERROR(__xludf.DUMMYFUNCTION("""COMPUTED_VALUE"""),185.56)</f>
        <v/>
      </c>
      <c r="G139" s="143">
        <f>IFERROR(__xludf.DUMMYFUNCTION("""COMPUTED_VALUE"""),59144470)</f>
        <v/>
      </c>
      <c r="H139" s="27" t="n"/>
    </row>
    <row r="140" ht="17.25" customHeight="1" s="322">
      <c r="A140" s="27" t="n"/>
      <c r="B140" s="506">
        <f>IFERROR(__xludf.DUMMYFUNCTION("""COMPUTED_VALUE"""),45300.6666666666)</f>
        <v/>
      </c>
      <c r="C140" s="141">
        <f>IFERROR(__xludf.DUMMYFUNCTION("""COMPUTED_VALUE"""),183.92)</f>
        <v/>
      </c>
      <c r="D140" s="141">
        <f>IFERROR(__xludf.DUMMYFUNCTION("""COMPUTED_VALUE"""),185.15)</f>
        <v/>
      </c>
      <c r="E140" s="141">
        <f>IFERROR(__xludf.DUMMYFUNCTION("""COMPUTED_VALUE"""),182.73)</f>
        <v/>
      </c>
      <c r="F140" s="141">
        <f>IFERROR(__xludf.DUMMYFUNCTION("""COMPUTED_VALUE"""),185.14)</f>
        <v/>
      </c>
      <c r="G140" s="143">
        <f>IFERROR(__xludf.DUMMYFUNCTION("""COMPUTED_VALUE"""),42841809)</f>
        <v/>
      </c>
      <c r="H140" s="27" t="n"/>
    </row>
    <row r="141" ht="17.25" customHeight="1" s="322">
      <c r="A141" s="27" t="n"/>
      <c r="B141" s="506">
        <f>IFERROR(__xludf.DUMMYFUNCTION("""COMPUTED_VALUE"""),45301.6666666666)</f>
        <v/>
      </c>
      <c r="C141" s="141">
        <f>IFERROR(__xludf.DUMMYFUNCTION("""COMPUTED_VALUE"""),184.35)</f>
        <v/>
      </c>
      <c r="D141" s="141">
        <f>IFERROR(__xludf.DUMMYFUNCTION("""COMPUTED_VALUE"""),186.4)</f>
        <v/>
      </c>
      <c r="E141" s="141">
        <f>IFERROR(__xludf.DUMMYFUNCTION("""COMPUTED_VALUE"""),183.92)</f>
        <v/>
      </c>
      <c r="F141" s="141">
        <f>IFERROR(__xludf.DUMMYFUNCTION("""COMPUTED_VALUE"""),186.19)</f>
        <v/>
      </c>
      <c r="G141" s="143">
        <f>IFERROR(__xludf.DUMMYFUNCTION("""COMPUTED_VALUE"""),46792908)</f>
        <v/>
      </c>
      <c r="H141" s="27" t="n"/>
    </row>
    <row r="142" ht="17.25" customHeight="1" s="322">
      <c r="A142" s="27" t="n"/>
      <c r="B142" s="506">
        <f>IFERROR(__xludf.DUMMYFUNCTION("""COMPUTED_VALUE"""),45302.6666666666)</f>
        <v/>
      </c>
      <c r="C142" s="141">
        <f>IFERROR(__xludf.DUMMYFUNCTION("""COMPUTED_VALUE"""),186.54)</f>
        <v/>
      </c>
      <c r="D142" s="141">
        <f>IFERROR(__xludf.DUMMYFUNCTION("""COMPUTED_VALUE"""),187.05)</f>
        <v/>
      </c>
      <c r="E142" s="141">
        <f>IFERROR(__xludf.DUMMYFUNCTION("""COMPUTED_VALUE"""),183.62)</f>
        <v/>
      </c>
      <c r="F142" s="141">
        <f>IFERROR(__xludf.DUMMYFUNCTION("""COMPUTED_VALUE"""),185.59)</f>
        <v/>
      </c>
      <c r="G142" s="143">
        <f>IFERROR(__xludf.DUMMYFUNCTION("""COMPUTED_VALUE"""),49128408)</f>
        <v/>
      </c>
      <c r="H142" s="27" t="n"/>
    </row>
    <row r="143" ht="17.25" customHeight="1" s="322">
      <c r="A143" s="27" t="n"/>
      <c r="B143" s="506">
        <f>IFERROR(__xludf.DUMMYFUNCTION("""COMPUTED_VALUE"""),45303.6666666666)</f>
        <v/>
      </c>
      <c r="C143" s="141">
        <f>IFERROR(__xludf.DUMMYFUNCTION("""COMPUTED_VALUE"""),186.06)</f>
        <v/>
      </c>
      <c r="D143" s="141">
        <f>IFERROR(__xludf.DUMMYFUNCTION("""COMPUTED_VALUE"""),186.74)</f>
        <v/>
      </c>
      <c r="E143" s="141">
        <f>IFERROR(__xludf.DUMMYFUNCTION("""COMPUTED_VALUE"""),185.19)</f>
        <v/>
      </c>
      <c r="F143" s="141">
        <f>IFERROR(__xludf.DUMMYFUNCTION("""COMPUTED_VALUE"""),185.92)</f>
        <v/>
      </c>
      <c r="G143" s="143">
        <f>IFERROR(__xludf.DUMMYFUNCTION("""COMPUTED_VALUE"""),40477782)</f>
        <v/>
      </c>
      <c r="H143" s="27" t="n"/>
    </row>
    <row r="144" ht="17.25" customHeight="1" s="322">
      <c r="A144" s="27" t="n"/>
      <c r="B144" s="506">
        <f>IFERROR(__xludf.DUMMYFUNCTION("""COMPUTED_VALUE"""),45307.6666666666)</f>
        <v/>
      </c>
      <c r="C144" s="141">
        <f>IFERROR(__xludf.DUMMYFUNCTION("""COMPUTED_VALUE"""),182.16)</f>
        <v/>
      </c>
      <c r="D144" s="141">
        <f>IFERROR(__xludf.DUMMYFUNCTION("""COMPUTED_VALUE"""),184.26)</f>
        <v/>
      </c>
      <c r="E144" s="141">
        <f>IFERROR(__xludf.DUMMYFUNCTION("""COMPUTED_VALUE"""),180.93)</f>
        <v/>
      </c>
      <c r="F144" s="141">
        <f>IFERROR(__xludf.DUMMYFUNCTION("""COMPUTED_VALUE"""),183.63)</f>
        <v/>
      </c>
      <c r="G144" s="143">
        <f>IFERROR(__xludf.DUMMYFUNCTION("""COMPUTED_VALUE"""),65603041)</f>
        <v/>
      </c>
      <c r="H144" s="27" t="n"/>
    </row>
    <row r="145" ht="17.25" customHeight="1" s="322">
      <c r="A145" s="27" t="n"/>
      <c r="B145" s="506">
        <f>IFERROR(__xludf.DUMMYFUNCTION("""COMPUTED_VALUE"""),45308.6666666666)</f>
        <v/>
      </c>
      <c r="C145" s="141">
        <f>IFERROR(__xludf.DUMMYFUNCTION("""COMPUTED_VALUE"""),181.27)</f>
        <v/>
      </c>
      <c r="D145" s="141">
        <f>IFERROR(__xludf.DUMMYFUNCTION("""COMPUTED_VALUE"""),182.93)</f>
        <v/>
      </c>
      <c r="E145" s="141">
        <f>IFERROR(__xludf.DUMMYFUNCTION("""COMPUTED_VALUE"""),180.3)</f>
        <v/>
      </c>
      <c r="F145" s="141">
        <f>IFERROR(__xludf.DUMMYFUNCTION("""COMPUTED_VALUE"""),182.68)</f>
        <v/>
      </c>
      <c r="G145" s="143">
        <f>IFERROR(__xludf.DUMMYFUNCTION("""COMPUTED_VALUE"""),47317433)</f>
        <v/>
      </c>
      <c r="H145" s="27" t="n"/>
    </row>
    <row r="146" ht="17.25" customHeight="1" s="322">
      <c r="A146" s="27" t="n"/>
      <c r="B146" s="506">
        <f>IFERROR(__xludf.DUMMYFUNCTION("""COMPUTED_VALUE"""),45309.6666666666)</f>
        <v/>
      </c>
      <c r="C146" s="141">
        <f>IFERROR(__xludf.DUMMYFUNCTION("""COMPUTED_VALUE"""),186.09)</f>
        <v/>
      </c>
      <c r="D146" s="141">
        <f>IFERROR(__xludf.DUMMYFUNCTION("""COMPUTED_VALUE"""),189.14)</f>
        <v/>
      </c>
      <c r="E146" s="141">
        <f>IFERROR(__xludf.DUMMYFUNCTION("""COMPUTED_VALUE"""),185.83)</f>
        <v/>
      </c>
      <c r="F146" s="141">
        <f>IFERROR(__xludf.DUMMYFUNCTION("""COMPUTED_VALUE"""),188.63)</f>
        <v/>
      </c>
      <c r="G146" s="143">
        <f>IFERROR(__xludf.DUMMYFUNCTION("""COMPUTED_VALUE"""),78005754)</f>
        <v/>
      </c>
      <c r="H146" s="27" t="n"/>
    </row>
    <row r="147" ht="17.25" customHeight="1" s="322">
      <c r="A147" s="27" t="n"/>
      <c r="B147" s="506">
        <f>IFERROR(__xludf.DUMMYFUNCTION("""COMPUTED_VALUE"""),45310.6666666666)</f>
        <v/>
      </c>
      <c r="C147" s="141">
        <f>IFERROR(__xludf.DUMMYFUNCTION("""COMPUTED_VALUE"""),189.33)</f>
        <v/>
      </c>
      <c r="D147" s="141">
        <f>IFERROR(__xludf.DUMMYFUNCTION("""COMPUTED_VALUE"""),191.95)</f>
        <v/>
      </c>
      <c r="E147" s="141">
        <f>IFERROR(__xludf.DUMMYFUNCTION("""COMPUTED_VALUE"""),188.82)</f>
        <v/>
      </c>
      <c r="F147" s="141">
        <f>IFERROR(__xludf.DUMMYFUNCTION("""COMPUTED_VALUE"""),191.56)</f>
        <v/>
      </c>
      <c r="G147" s="143">
        <f>IFERROR(__xludf.DUMMYFUNCTION("""COMPUTED_VALUE"""),68902985)</f>
        <v/>
      </c>
      <c r="H147" s="27" t="n"/>
    </row>
    <row r="148" ht="17.25" customHeight="1" s="322">
      <c r="A148" s="27" t="n"/>
      <c r="B148" s="506">
        <f>IFERROR(__xludf.DUMMYFUNCTION("""COMPUTED_VALUE"""),45313.6666666666)</f>
        <v/>
      </c>
      <c r="C148" s="141">
        <f>IFERROR(__xludf.DUMMYFUNCTION("""COMPUTED_VALUE"""),192.3)</f>
        <v/>
      </c>
      <c r="D148" s="141">
        <f>IFERROR(__xludf.DUMMYFUNCTION("""COMPUTED_VALUE"""),195.33)</f>
        <v/>
      </c>
      <c r="E148" s="141">
        <f>IFERROR(__xludf.DUMMYFUNCTION("""COMPUTED_VALUE"""),192.26)</f>
        <v/>
      </c>
      <c r="F148" s="141">
        <f>IFERROR(__xludf.DUMMYFUNCTION("""COMPUTED_VALUE"""),193.89)</f>
        <v/>
      </c>
      <c r="G148" s="143">
        <f>IFERROR(__xludf.DUMMYFUNCTION("""COMPUTED_VALUE"""),60133852)</f>
        <v/>
      </c>
      <c r="H148" s="27" t="n"/>
    </row>
    <row r="149" ht="17.25" customHeight="1" s="322">
      <c r="A149" s="27" t="n"/>
      <c r="B149" s="506">
        <f>IFERROR(__xludf.DUMMYFUNCTION("""COMPUTED_VALUE"""),45314.6666666666)</f>
        <v/>
      </c>
      <c r="C149" s="141">
        <f>IFERROR(__xludf.DUMMYFUNCTION("""COMPUTED_VALUE"""),195.02)</f>
        <v/>
      </c>
      <c r="D149" s="141">
        <f>IFERROR(__xludf.DUMMYFUNCTION("""COMPUTED_VALUE"""),195.75)</f>
        <v/>
      </c>
      <c r="E149" s="141">
        <f>IFERROR(__xludf.DUMMYFUNCTION("""COMPUTED_VALUE"""),193.83)</f>
        <v/>
      </c>
      <c r="F149" s="141">
        <f>IFERROR(__xludf.DUMMYFUNCTION("""COMPUTED_VALUE"""),195.18)</f>
        <v/>
      </c>
      <c r="G149" s="143">
        <f>IFERROR(__xludf.DUMMYFUNCTION("""COMPUTED_VALUE"""),42355590)</f>
        <v/>
      </c>
      <c r="H149" s="27" t="n"/>
    </row>
    <row r="150" ht="17.25" customHeight="1" s="322">
      <c r="A150" s="27" t="n"/>
      <c r="B150" s="506">
        <f>IFERROR(__xludf.DUMMYFUNCTION("""COMPUTED_VALUE"""),45315.6666666666)</f>
        <v/>
      </c>
      <c r="C150" s="141">
        <f>IFERROR(__xludf.DUMMYFUNCTION("""COMPUTED_VALUE"""),195.42)</f>
        <v/>
      </c>
      <c r="D150" s="141">
        <f>IFERROR(__xludf.DUMMYFUNCTION("""COMPUTED_VALUE"""),196.38)</f>
        <v/>
      </c>
      <c r="E150" s="141">
        <f>IFERROR(__xludf.DUMMYFUNCTION("""COMPUTED_VALUE"""),194.34)</f>
        <v/>
      </c>
      <c r="F150" s="141">
        <f>IFERROR(__xludf.DUMMYFUNCTION("""COMPUTED_VALUE"""),194.5)</f>
        <v/>
      </c>
      <c r="G150" s="143">
        <f>IFERROR(__xludf.DUMMYFUNCTION("""COMPUTED_VALUE"""),53631316)</f>
        <v/>
      </c>
      <c r="H150" s="27" t="n"/>
    </row>
    <row r="151" ht="17.25" customHeight="1" s="322">
      <c r="A151" s="27" t="n"/>
      <c r="B151" s="506">
        <f>IFERROR(__xludf.DUMMYFUNCTION("""COMPUTED_VALUE"""),45316.6666666666)</f>
        <v/>
      </c>
      <c r="C151" s="141">
        <f>IFERROR(__xludf.DUMMYFUNCTION("""COMPUTED_VALUE"""),195.22)</f>
        <v/>
      </c>
      <c r="D151" s="141">
        <f>IFERROR(__xludf.DUMMYFUNCTION("""COMPUTED_VALUE"""),196.27)</f>
        <v/>
      </c>
      <c r="E151" s="141">
        <f>IFERROR(__xludf.DUMMYFUNCTION("""COMPUTED_VALUE"""),193.11)</f>
        <v/>
      </c>
      <c r="F151" s="141">
        <f>IFERROR(__xludf.DUMMYFUNCTION("""COMPUTED_VALUE"""),194.17)</f>
        <v/>
      </c>
      <c r="G151" s="143">
        <f>IFERROR(__xludf.DUMMYFUNCTION("""COMPUTED_VALUE"""),54822126)</f>
        <v/>
      </c>
      <c r="H151" s="27" t="n"/>
    </row>
    <row r="152" ht="17.25" customHeight="1" s="322">
      <c r="A152" s="27" t="n"/>
      <c r="B152" s="506">
        <f>IFERROR(__xludf.DUMMYFUNCTION("""COMPUTED_VALUE"""),45317.6666666666)</f>
        <v/>
      </c>
      <c r="C152" s="141">
        <f>IFERROR(__xludf.DUMMYFUNCTION("""COMPUTED_VALUE"""),194.27)</f>
        <v/>
      </c>
      <c r="D152" s="141">
        <f>IFERROR(__xludf.DUMMYFUNCTION("""COMPUTED_VALUE"""),194.76)</f>
        <v/>
      </c>
      <c r="E152" s="141">
        <f>IFERROR(__xludf.DUMMYFUNCTION("""COMPUTED_VALUE"""),191.94)</f>
        <v/>
      </c>
      <c r="F152" s="141">
        <f>IFERROR(__xludf.DUMMYFUNCTION("""COMPUTED_VALUE"""),192.42)</f>
        <v/>
      </c>
      <c r="G152" s="143">
        <f>IFERROR(__xludf.DUMMYFUNCTION("""COMPUTED_VALUE"""),44594011)</f>
        <v/>
      </c>
      <c r="H152" s="27" t="n"/>
    </row>
    <row r="153" ht="17.25" customHeight="1" s="322">
      <c r="A153" s="27" t="n"/>
      <c r="B153" s="506">
        <f>IFERROR(__xludf.DUMMYFUNCTION("""COMPUTED_VALUE"""),45320.6666666666)</f>
        <v/>
      </c>
      <c r="C153" s="141">
        <f>IFERROR(__xludf.DUMMYFUNCTION("""COMPUTED_VALUE"""),192.01)</f>
        <v/>
      </c>
      <c r="D153" s="141">
        <f>IFERROR(__xludf.DUMMYFUNCTION("""COMPUTED_VALUE"""),192.2)</f>
        <v/>
      </c>
      <c r="E153" s="141">
        <f>IFERROR(__xludf.DUMMYFUNCTION("""COMPUTED_VALUE"""),189.58)</f>
        <v/>
      </c>
      <c r="F153" s="141">
        <f>IFERROR(__xludf.DUMMYFUNCTION("""COMPUTED_VALUE"""),191.73)</f>
        <v/>
      </c>
      <c r="G153" s="143">
        <f>IFERROR(__xludf.DUMMYFUNCTION("""COMPUTED_VALUE"""),47145622)</f>
        <v/>
      </c>
      <c r="H153" s="27" t="n"/>
    </row>
    <row r="154" ht="17.25" customHeight="1" s="322">
      <c r="A154" s="27" t="n"/>
      <c r="B154" s="506">
        <f>IFERROR(__xludf.DUMMYFUNCTION("""COMPUTED_VALUE"""),45321.6666666666)</f>
        <v/>
      </c>
      <c r="C154" s="141">
        <f>IFERROR(__xludf.DUMMYFUNCTION("""COMPUTED_VALUE"""),190.94)</f>
        <v/>
      </c>
      <c r="D154" s="141">
        <f>IFERROR(__xludf.DUMMYFUNCTION("""COMPUTED_VALUE"""),191.8)</f>
        <v/>
      </c>
      <c r="E154" s="141">
        <f>IFERROR(__xludf.DUMMYFUNCTION("""COMPUTED_VALUE"""),187.47)</f>
        <v/>
      </c>
      <c r="F154" s="141">
        <f>IFERROR(__xludf.DUMMYFUNCTION("""COMPUTED_VALUE"""),188.04)</f>
        <v/>
      </c>
      <c r="G154" s="143">
        <f>IFERROR(__xludf.DUMMYFUNCTION("""COMPUTED_VALUE"""),55859370)</f>
        <v/>
      </c>
      <c r="H154" s="27" t="n"/>
    </row>
    <row r="155" ht="17.25" customHeight="1" s="322">
      <c r="A155" s="27" t="n"/>
      <c r="B155" s="506">
        <f>IFERROR(__xludf.DUMMYFUNCTION("""COMPUTED_VALUE"""),45322.6666666666)</f>
        <v/>
      </c>
      <c r="C155" s="141">
        <f>IFERROR(__xludf.DUMMYFUNCTION("""COMPUTED_VALUE"""),187.04)</f>
        <v/>
      </c>
      <c r="D155" s="141">
        <f>IFERROR(__xludf.DUMMYFUNCTION("""COMPUTED_VALUE"""),187.1)</f>
        <v/>
      </c>
      <c r="E155" s="141">
        <f>IFERROR(__xludf.DUMMYFUNCTION("""COMPUTED_VALUE"""),184.35)</f>
        <v/>
      </c>
      <c r="F155" s="141">
        <f>IFERROR(__xludf.DUMMYFUNCTION("""COMPUTED_VALUE"""),184.4)</f>
        <v/>
      </c>
      <c r="G155" s="143">
        <f>IFERROR(__xludf.DUMMYFUNCTION("""COMPUTED_VALUE"""),55467803)</f>
        <v/>
      </c>
      <c r="H155" s="27" t="n"/>
    </row>
    <row r="156" ht="17.25" customHeight="1" s="322">
      <c r="A156" s="27" t="n"/>
      <c r="B156" s="506">
        <f>IFERROR(__xludf.DUMMYFUNCTION("""COMPUTED_VALUE"""),45323.6666666666)</f>
        <v/>
      </c>
      <c r="C156" s="141">
        <f>IFERROR(__xludf.DUMMYFUNCTION("""COMPUTED_VALUE"""),183.99)</f>
        <v/>
      </c>
      <c r="D156" s="141">
        <f>IFERROR(__xludf.DUMMYFUNCTION("""COMPUTED_VALUE"""),186.95)</f>
        <v/>
      </c>
      <c r="E156" s="141">
        <f>IFERROR(__xludf.DUMMYFUNCTION("""COMPUTED_VALUE"""),183.82)</f>
        <v/>
      </c>
      <c r="F156" s="141">
        <f>IFERROR(__xludf.DUMMYFUNCTION("""COMPUTED_VALUE"""),186.86)</f>
        <v/>
      </c>
      <c r="G156" s="143">
        <f>IFERROR(__xludf.DUMMYFUNCTION("""COMPUTED_VALUE"""),64885408)</f>
        <v/>
      </c>
      <c r="H156" s="27" t="n"/>
    </row>
    <row r="157" ht="17.25" customHeight="1" s="322">
      <c r="A157" s="27" t="n"/>
      <c r="B157" s="506">
        <f>IFERROR(__xludf.DUMMYFUNCTION("""COMPUTED_VALUE"""),45324.6666666666)</f>
        <v/>
      </c>
      <c r="C157" s="141">
        <f>IFERROR(__xludf.DUMMYFUNCTION("""COMPUTED_VALUE"""),179.86)</f>
        <v/>
      </c>
      <c r="D157" s="141">
        <f>IFERROR(__xludf.DUMMYFUNCTION("""COMPUTED_VALUE"""),187.33)</f>
        <v/>
      </c>
      <c r="E157" s="141">
        <f>IFERROR(__xludf.DUMMYFUNCTION("""COMPUTED_VALUE"""),179.25)</f>
        <v/>
      </c>
      <c r="F157" s="141">
        <f>IFERROR(__xludf.DUMMYFUNCTION("""COMPUTED_VALUE"""),185.85)</f>
        <v/>
      </c>
      <c r="G157" s="143">
        <f>IFERROR(__xludf.DUMMYFUNCTION("""COMPUTED_VALUE"""),102551680)</f>
        <v/>
      </c>
      <c r="H157" s="27" t="n"/>
    </row>
    <row r="158" ht="17.25" customHeight="1" s="322">
      <c r="A158" s="27" t="n"/>
      <c r="B158" s="506">
        <f>IFERROR(__xludf.DUMMYFUNCTION("""COMPUTED_VALUE"""),45327.6666666666)</f>
        <v/>
      </c>
      <c r="C158" s="141">
        <f>IFERROR(__xludf.DUMMYFUNCTION("""COMPUTED_VALUE"""),188.15)</f>
        <v/>
      </c>
      <c r="D158" s="141">
        <f>IFERROR(__xludf.DUMMYFUNCTION("""COMPUTED_VALUE"""),189.25)</f>
        <v/>
      </c>
      <c r="E158" s="141">
        <f>IFERROR(__xludf.DUMMYFUNCTION("""COMPUTED_VALUE"""),185.84)</f>
        <v/>
      </c>
      <c r="F158" s="141">
        <f>IFERROR(__xludf.DUMMYFUNCTION("""COMPUTED_VALUE"""),187.68)</f>
        <v/>
      </c>
      <c r="G158" s="143">
        <f>IFERROR(__xludf.DUMMYFUNCTION("""COMPUTED_VALUE"""),69668820)</f>
        <v/>
      </c>
      <c r="H158" s="27" t="n"/>
    </row>
    <row r="159" ht="17.25" customHeight="1" s="322">
      <c r="A159" s="27" t="n"/>
      <c r="B159" s="506">
        <f>IFERROR(__xludf.DUMMYFUNCTION("""COMPUTED_VALUE"""),45328.6666666666)</f>
        <v/>
      </c>
      <c r="C159" s="141">
        <f>IFERROR(__xludf.DUMMYFUNCTION("""COMPUTED_VALUE"""),186.86)</f>
        <v/>
      </c>
      <c r="D159" s="141">
        <f>IFERROR(__xludf.DUMMYFUNCTION("""COMPUTED_VALUE"""),189.31)</f>
        <v/>
      </c>
      <c r="E159" s="141">
        <f>IFERROR(__xludf.DUMMYFUNCTION("""COMPUTED_VALUE"""),186.77)</f>
        <v/>
      </c>
      <c r="F159" s="141">
        <f>IFERROR(__xludf.DUMMYFUNCTION("""COMPUTED_VALUE"""),189.3)</f>
        <v/>
      </c>
      <c r="G159" s="143">
        <f>IFERROR(__xludf.DUMMYFUNCTION("""COMPUTED_VALUE"""),43490759)</f>
        <v/>
      </c>
      <c r="H159" s="27" t="n"/>
    </row>
    <row r="160" ht="17.25" customHeight="1" s="322">
      <c r="A160" s="27" t="n"/>
      <c r="B160" s="506">
        <f>IFERROR(__xludf.DUMMYFUNCTION("""COMPUTED_VALUE"""),45329.6666666666)</f>
        <v/>
      </c>
      <c r="C160" s="141">
        <f>IFERROR(__xludf.DUMMYFUNCTION("""COMPUTED_VALUE"""),190.64)</f>
        <v/>
      </c>
      <c r="D160" s="141">
        <f>IFERROR(__xludf.DUMMYFUNCTION("""COMPUTED_VALUE"""),191.05)</f>
        <v/>
      </c>
      <c r="E160" s="141">
        <f>IFERROR(__xludf.DUMMYFUNCTION("""COMPUTED_VALUE"""),188.61)</f>
        <v/>
      </c>
      <c r="F160" s="141">
        <f>IFERROR(__xludf.DUMMYFUNCTION("""COMPUTED_VALUE"""),189.41)</f>
        <v/>
      </c>
      <c r="G160" s="143">
        <f>IFERROR(__xludf.DUMMYFUNCTION("""COMPUTED_VALUE"""),53438955)</f>
        <v/>
      </c>
      <c r="H160" s="27" t="n"/>
    </row>
    <row r="161" ht="17.25" customHeight="1" s="322">
      <c r="A161" s="27" t="n"/>
      <c r="B161" s="506">
        <f>IFERROR(__xludf.DUMMYFUNCTION("""COMPUTED_VALUE"""),45330.6666666666)</f>
        <v/>
      </c>
      <c r="C161" s="141">
        <f>IFERROR(__xludf.DUMMYFUNCTION("""COMPUTED_VALUE"""),189.39)</f>
        <v/>
      </c>
      <c r="D161" s="141">
        <f>IFERROR(__xludf.DUMMYFUNCTION("""COMPUTED_VALUE"""),189.54)</f>
        <v/>
      </c>
      <c r="E161" s="141">
        <f>IFERROR(__xludf.DUMMYFUNCTION("""COMPUTED_VALUE"""),187.35)</f>
        <v/>
      </c>
      <c r="F161" s="141">
        <f>IFERROR(__xludf.DUMMYFUNCTION("""COMPUTED_VALUE"""),188.32)</f>
        <v/>
      </c>
      <c r="G161" s="143">
        <f>IFERROR(__xludf.DUMMYFUNCTION("""COMPUTED_VALUE"""),40962046)</f>
        <v/>
      </c>
      <c r="H161" s="27" t="n"/>
    </row>
    <row r="162" ht="17.25" customHeight="1" s="322">
      <c r="A162" s="27" t="n"/>
      <c r="B162" s="506">
        <f>IFERROR(__xludf.DUMMYFUNCTION("""COMPUTED_VALUE"""),45331.6666666666)</f>
        <v/>
      </c>
      <c r="C162" s="141">
        <f>IFERROR(__xludf.DUMMYFUNCTION("""COMPUTED_VALUE"""),188.65)</f>
        <v/>
      </c>
      <c r="D162" s="141">
        <f>IFERROR(__xludf.DUMMYFUNCTION("""COMPUTED_VALUE"""),189.99)</f>
        <v/>
      </c>
      <c r="E162" s="141">
        <f>IFERROR(__xludf.DUMMYFUNCTION("""COMPUTED_VALUE"""),188)</f>
        <v/>
      </c>
      <c r="F162" s="141">
        <f>IFERROR(__xludf.DUMMYFUNCTION("""COMPUTED_VALUE"""),188.85)</f>
        <v/>
      </c>
      <c r="G162" s="143">
        <f>IFERROR(__xludf.DUMMYFUNCTION("""COMPUTED_VALUE"""),45155216)</f>
        <v/>
      </c>
      <c r="H162" s="27" t="n"/>
    </row>
    <row r="163" ht="17.25" customHeight="1" s="322">
      <c r="A163" s="27" t="n"/>
      <c r="B163" s="506">
        <f>IFERROR(__xludf.DUMMYFUNCTION("""COMPUTED_VALUE"""),45334.6666666666)</f>
        <v/>
      </c>
      <c r="C163" s="141">
        <f>IFERROR(__xludf.DUMMYFUNCTION("""COMPUTED_VALUE"""),188.42)</f>
        <v/>
      </c>
      <c r="D163" s="141">
        <f>IFERROR(__xludf.DUMMYFUNCTION("""COMPUTED_VALUE"""),188.67)</f>
        <v/>
      </c>
      <c r="E163" s="141">
        <f>IFERROR(__xludf.DUMMYFUNCTION("""COMPUTED_VALUE"""),186.79)</f>
        <v/>
      </c>
      <c r="F163" s="141">
        <f>IFERROR(__xludf.DUMMYFUNCTION("""COMPUTED_VALUE"""),187.15)</f>
        <v/>
      </c>
      <c r="G163" s="143">
        <f>IFERROR(__xludf.DUMMYFUNCTION("""COMPUTED_VALUE"""),41781934)</f>
        <v/>
      </c>
      <c r="H163" s="27" t="n"/>
    </row>
    <row r="164" ht="17.25" customHeight="1" s="322">
      <c r="A164" s="27" t="n"/>
      <c r="B164" s="506">
        <f>IFERROR(__xludf.DUMMYFUNCTION("""COMPUTED_VALUE"""),45335.6666666666)</f>
        <v/>
      </c>
      <c r="C164" s="141">
        <f>IFERROR(__xludf.DUMMYFUNCTION("""COMPUTED_VALUE"""),185.77)</f>
        <v/>
      </c>
      <c r="D164" s="141">
        <f>IFERROR(__xludf.DUMMYFUNCTION("""COMPUTED_VALUE"""),186.21)</f>
        <v/>
      </c>
      <c r="E164" s="141">
        <f>IFERROR(__xludf.DUMMYFUNCTION("""COMPUTED_VALUE"""),183.51)</f>
        <v/>
      </c>
      <c r="F164" s="141">
        <f>IFERROR(__xludf.DUMMYFUNCTION("""COMPUTED_VALUE"""),185.04)</f>
        <v/>
      </c>
      <c r="G164" s="143">
        <f>IFERROR(__xludf.DUMMYFUNCTION("""COMPUTED_VALUE"""),56529529)</f>
        <v/>
      </c>
      <c r="H164" s="27" t="n"/>
    </row>
    <row r="165" ht="17.25" customHeight="1" s="322">
      <c r="A165" s="27" t="n"/>
      <c r="B165" s="506">
        <f>IFERROR(__xludf.DUMMYFUNCTION("""COMPUTED_VALUE"""),45336.6666666666)</f>
        <v/>
      </c>
      <c r="C165" s="141">
        <f>IFERROR(__xludf.DUMMYFUNCTION("""COMPUTED_VALUE"""),185.32)</f>
        <v/>
      </c>
      <c r="D165" s="141">
        <f>IFERROR(__xludf.DUMMYFUNCTION("""COMPUTED_VALUE"""),185.53)</f>
        <v/>
      </c>
      <c r="E165" s="141">
        <f>IFERROR(__xludf.DUMMYFUNCTION("""COMPUTED_VALUE"""),182.44)</f>
        <v/>
      </c>
      <c r="F165" s="141">
        <f>IFERROR(__xludf.DUMMYFUNCTION("""COMPUTED_VALUE"""),184.15)</f>
        <v/>
      </c>
      <c r="G165" s="143">
        <f>IFERROR(__xludf.DUMMYFUNCTION("""COMPUTED_VALUE"""),54630517)</f>
        <v/>
      </c>
      <c r="H165" s="27" t="n"/>
    </row>
    <row r="166" ht="17.25" customHeight="1" s="322">
      <c r="A166" s="27" t="n"/>
      <c r="B166" s="506">
        <f>IFERROR(__xludf.DUMMYFUNCTION("""COMPUTED_VALUE"""),45337.6666666666)</f>
        <v/>
      </c>
      <c r="C166" s="141">
        <f>IFERROR(__xludf.DUMMYFUNCTION("""COMPUTED_VALUE"""),183.55)</f>
        <v/>
      </c>
      <c r="D166" s="141">
        <f>IFERROR(__xludf.DUMMYFUNCTION("""COMPUTED_VALUE"""),184.49)</f>
        <v/>
      </c>
      <c r="E166" s="141">
        <f>IFERROR(__xludf.DUMMYFUNCTION("""COMPUTED_VALUE"""),181.35)</f>
        <v/>
      </c>
      <c r="F166" s="141">
        <f>IFERROR(__xludf.DUMMYFUNCTION("""COMPUTED_VALUE"""),183.86)</f>
        <v/>
      </c>
      <c r="G166" s="143">
        <f>IFERROR(__xludf.DUMMYFUNCTION("""COMPUTED_VALUE"""),65434496)</f>
        <v/>
      </c>
      <c r="H166" s="27" t="n"/>
    </row>
    <row r="167" ht="17.25" customHeight="1" s="322">
      <c r="A167" s="27" t="n"/>
      <c r="B167" s="506">
        <f>IFERROR(__xludf.DUMMYFUNCTION("""COMPUTED_VALUE"""),45338.6666666666)</f>
        <v/>
      </c>
      <c r="C167" s="141">
        <f>IFERROR(__xludf.DUMMYFUNCTION("""COMPUTED_VALUE"""),183.42)</f>
        <v/>
      </c>
      <c r="D167" s="141">
        <f>IFERROR(__xludf.DUMMYFUNCTION("""COMPUTED_VALUE"""),184.85)</f>
        <v/>
      </c>
      <c r="E167" s="141">
        <f>IFERROR(__xludf.DUMMYFUNCTION("""COMPUTED_VALUE"""),181.67)</f>
        <v/>
      </c>
      <c r="F167" s="141">
        <f>IFERROR(__xludf.DUMMYFUNCTION("""COMPUTED_VALUE"""),182.31)</f>
        <v/>
      </c>
      <c r="G167" s="143">
        <f>IFERROR(__xludf.DUMMYFUNCTION("""COMPUTED_VALUE"""),49752465)</f>
        <v/>
      </c>
      <c r="H167" s="27" t="n"/>
    </row>
    <row r="168" ht="17.25" customHeight="1" s="322">
      <c r="A168" s="27" t="n"/>
      <c r="B168" s="506">
        <f>IFERROR(__xludf.DUMMYFUNCTION("""COMPUTED_VALUE"""),45342.6666666666)</f>
        <v/>
      </c>
      <c r="C168" s="141">
        <f>IFERROR(__xludf.DUMMYFUNCTION("""COMPUTED_VALUE"""),181.79)</f>
        <v/>
      </c>
      <c r="D168" s="141">
        <f>IFERROR(__xludf.DUMMYFUNCTION("""COMPUTED_VALUE"""),182.43)</f>
        <v/>
      </c>
      <c r="E168" s="141">
        <f>IFERROR(__xludf.DUMMYFUNCTION("""COMPUTED_VALUE"""),180)</f>
        <v/>
      </c>
      <c r="F168" s="141">
        <f>IFERROR(__xludf.DUMMYFUNCTION("""COMPUTED_VALUE"""),181.56)</f>
        <v/>
      </c>
      <c r="G168" s="143">
        <f>IFERROR(__xludf.DUMMYFUNCTION("""COMPUTED_VALUE"""),53665553)</f>
        <v/>
      </c>
      <c r="H168" s="27" t="n"/>
    </row>
    <row r="169" ht="17.25" customHeight="1" s="322">
      <c r="A169" s="27" t="n"/>
      <c r="B169" s="506">
        <f>IFERROR(__xludf.DUMMYFUNCTION("""COMPUTED_VALUE"""),45343.6666666666)</f>
        <v/>
      </c>
      <c r="C169" s="141">
        <f>IFERROR(__xludf.DUMMYFUNCTION("""COMPUTED_VALUE"""),181.94)</f>
        <v/>
      </c>
      <c r="D169" s="141">
        <f>IFERROR(__xludf.DUMMYFUNCTION("""COMPUTED_VALUE"""),182.89)</f>
        <v/>
      </c>
      <c r="E169" s="141">
        <f>IFERROR(__xludf.DUMMYFUNCTION("""COMPUTED_VALUE"""),180.66)</f>
        <v/>
      </c>
      <c r="F169" s="141">
        <f>IFERROR(__xludf.DUMMYFUNCTION("""COMPUTED_VALUE"""),182.32)</f>
        <v/>
      </c>
      <c r="G169" s="143">
        <f>IFERROR(__xludf.DUMMYFUNCTION("""COMPUTED_VALUE"""),41529674)</f>
        <v/>
      </c>
      <c r="H169" s="27" t="n"/>
    </row>
    <row r="170" ht="17.25" customHeight="1" s="322">
      <c r="A170" s="27" t="n"/>
      <c r="B170" s="506">
        <f>IFERROR(__xludf.DUMMYFUNCTION("""COMPUTED_VALUE"""),45344.6666666666)</f>
        <v/>
      </c>
      <c r="C170" s="141">
        <f>IFERROR(__xludf.DUMMYFUNCTION("""COMPUTED_VALUE"""),183.48)</f>
        <v/>
      </c>
      <c r="D170" s="141">
        <f>IFERROR(__xludf.DUMMYFUNCTION("""COMPUTED_VALUE"""),184.96)</f>
        <v/>
      </c>
      <c r="E170" s="141">
        <f>IFERROR(__xludf.DUMMYFUNCTION("""COMPUTED_VALUE"""),182.46)</f>
        <v/>
      </c>
      <c r="F170" s="141">
        <f>IFERROR(__xludf.DUMMYFUNCTION("""COMPUTED_VALUE"""),184.37)</f>
        <v/>
      </c>
      <c r="G170" s="143">
        <f>IFERROR(__xludf.DUMMYFUNCTION("""COMPUTED_VALUE"""),52292208)</f>
        <v/>
      </c>
      <c r="H170" s="27" t="n"/>
    </row>
    <row r="171" ht="17.25" customHeight="1" s="322">
      <c r="A171" s="27" t="n"/>
      <c r="B171" s="506">
        <f>IFERROR(__xludf.DUMMYFUNCTION("""COMPUTED_VALUE"""),45345.6666666666)</f>
        <v/>
      </c>
      <c r="C171" s="141">
        <f>IFERROR(__xludf.DUMMYFUNCTION("""COMPUTED_VALUE"""),185.01)</f>
        <v/>
      </c>
      <c r="D171" s="141">
        <f>IFERROR(__xludf.DUMMYFUNCTION("""COMPUTED_VALUE"""),185.04)</f>
        <v/>
      </c>
      <c r="E171" s="141">
        <f>IFERROR(__xludf.DUMMYFUNCTION("""COMPUTED_VALUE"""),182.23)</f>
        <v/>
      </c>
      <c r="F171" s="141">
        <f>IFERROR(__xludf.DUMMYFUNCTION("""COMPUTED_VALUE"""),182.52)</f>
        <v/>
      </c>
      <c r="G171" s="143">
        <f>IFERROR(__xludf.DUMMYFUNCTION("""COMPUTED_VALUE"""),45119677)</f>
        <v/>
      </c>
      <c r="H171" s="27" t="n"/>
    </row>
    <row r="172" ht="17.25" customHeight="1" s="322">
      <c r="A172" s="27" t="n"/>
      <c r="B172" s="506">
        <f>IFERROR(__xludf.DUMMYFUNCTION("""COMPUTED_VALUE"""),45348.6666666666)</f>
        <v/>
      </c>
      <c r="C172" s="141">
        <f>IFERROR(__xludf.DUMMYFUNCTION("""COMPUTED_VALUE"""),182.24)</f>
        <v/>
      </c>
      <c r="D172" s="141">
        <f>IFERROR(__xludf.DUMMYFUNCTION("""COMPUTED_VALUE"""),182.76)</f>
        <v/>
      </c>
      <c r="E172" s="141">
        <f>IFERROR(__xludf.DUMMYFUNCTION("""COMPUTED_VALUE"""),180.65)</f>
        <v/>
      </c>
      <c r="F172" s="141">
        <f>IFERROR(__xludf.DUMMYFUNCTION("""COMPUTED_VALUE"""),181.16)</f>
        <v/>
      </c>
      <c r="G172" s="143">
        <f>IFERROR(__xludf.DUMMYFUNCTION("""COMPUTED_VALUE"""),40867421)</f>
        <v/>
      </c>
      <c r="H172" s="27" t="n"/>
    </row>
    <row r="173" ht="17.25" customHeight="1" s="322">
      <c r="A173" s="27" t="n"/>
      <c r="B173" s="506">
        <f>IFERROR(__xludf.DUMMYFUNCTION("""COMPUTED_VALUE"""),45349.6666666666)</f>
        <v/>
      </c>
      <c r="C173" s="141">
        <f>IFERROR(__xludf.DUMMYFUNCTION("""COMPUTED_VALUE"""),181.1)</f>
        <v/>
      </c>
      <c r="D173" s="141">
        <f>IFERROR(__xludf.DUMMYFUNCTION("""COMPUTED_VALUE"""),183.92)</f>
        <v/>
      </c>
      <c r="E173" s="141">
        <f>IFERROR(__xludf.DUMMYFUNCTION("""COMPUTED_VALUE"""),179.56)</f>
        <v/>
      </c>
      <c r="F173" s="141">
        <f>IFERROR(__xludf.DUMMYFUNCTION("""COMPUTED_VALUE"""),182.63)</f>
        <v/>
      </c>
      <c r="G173" s="143">
        <f>IFERROR(__xludf.DUMMYFUNCTION("""COMPUTED_VALUE"""),54318851)</f>
        <v/>
      </c>
      <c r="H173" s="27" t="n"/>
    </row>
    <row r="174" ht="17.25" customHeight="1" s="322">
      <c r="A174" s="27" t="n"/>
      <c r="B174" s="506">
        <f>IFERROR(__xludf.DUMMYFUNCTION("""COMPUTED_VALUE"""),45350.6666666666)</f>
        <v/>
      </c>
      <c r="C174" s="141">
        <f>IFERROR(__xludf.DUMMYFUNCTION("""COMPUTED_VALUE"""),182.51)</f>
        <v/>
      </c>
      <c r="D174" s="141">
        <f>IFERROR(__xludf.DUMMYFUNCTION("""COMPUTED_VALUE"""),183.12)</f>
        <v/>
      </c>
      <c r="E174" s="141">
        <f>IFERROR(__xludf.DUMMYFUNCTION("""COMPUTED_VALUE"""),180.13)</f>
        <v/>
      </c>
      <c r="F174" s="141">
        <f>IFERROR(__xludf.DUMMYFUNCTION("""COMPUTED_VALUE"""),181.42)</f>
        <v/>
      </c>
      <c r="G174" s="143">
        <f>IFERROR(__xludf.DUMMYFUNCTION("""COMPUTED_VALUE"""),48953939)</f>
        <v/>
      </c>
      <c r="H174" s="27" t="n"/>
    </row>
    <row r="175" ht="17.25" customHeight="1" s="322">
      <c r="A175" s="27" t="n"/>
      <c r="B175" s="506">
        <f>IFERROR(__xludf.DUMMYFUNCTION("""COMPUTED_VALUE"""),45351.6666666666)</f>
        <v/>
      </c>
      <c r="C175" s="141">
        <f>IFERROR(__xludf.DUMMYFUNCTION("""COMPUTED_VALUE"""),181.27)</f>
        <v/>
      </c>
      <c r="D175" s="141">
        <f>IFERROR(__xludf.DUMMYFUNCTION("""COMPUTED_VALUE"""),182.57)</f>
        <v/>
      </c>
      <c r="E175" s="141">
        <f>IFERROR(__xludf.DUMMYFUNCTION("""COMPUTED_VALUE"""),179.53)</f>
        <v/>
      </c>
      <c r="F175" s="141">
        <f>IFERROR(__xludf.DUMMYFUNCTION("""COMPUTED_VALUE"""),180.75)</f>
        <v/>
      </c>
      <c r="G175" s="143">
        <f>IFERROR(__xludf.DUMMYFUNCTION("""COMPUTED_VALUE"""),136682597)</f>
        <v/>
      </c>
      <c r="H175" s="27" t="n"/>
    </row>
    <row r="176" ht="17.25" customHeight="1" s="322">
      <c r="A176" s="27" t="n"/>
      <c r="B176" s="506">
        <f>IFERROR(__xludf.DUMMYFUNCTION("""COMPUTED_VALUE"""),45352.6666666666)</f>
        <v/>
      </c>
      <c r="C176" s="141">
        <f>IFERROR(__xludf.DUMMYFUNCTION("""COMPUTED_VALUE"""),179.55)</f>
        <v/>
      </c>
      <c r="D176" s="141">
        <f>IFERROR(__xludf.DUMMYFUNCTION("""COMPUTED_VALUE"""),180.53)</f>
        <v/>
      </c>
      <c r="E176" s="141">
        <f>IFERROR(__xludf.DUMMYFUNCTION("""COMPUTED_VALUE"""),177.38)</f>
        <v/>
      </c>
      <c r="F176" s="141">
        <f>IFERROR(__xludf.DUMMYFUNCTION("""COMPUTED_VALUE"""),179.66)</f>
        <v/>
      </c>
      <c r="G176" s="143">
        <f>IFERROR(__xludf.DUMMYFUNCTION("""COMPUTED_VALUE"""),73563082)</f>
        <v/>
      </c>
      <c r="H176" s="27" t="n"/>
    </row>
    <row r="177" ht="17.25" customHeight="1" s="322">
      <c r="A177" s="27" t="n"/>
      <c r="B177" s="506">
        <f>IFERROR(__xludf.DUMMYFUNCTION("""COMPUTED_VALUE"""),45355.6666666666)</f>
        <v/>
      </c>
      <c r="C177" s="141">
        <f>IFERROR(__xludf.DUMMYFUNCTION("""COMPUTED_VALUE"""),176.15)</f>
        <v/>
      </c>
      <c r="D177" s="141">
        <f>IFERROR(__xludf.DUMMYFUNCTION("""COMPUTED_VALUE"""),176.9)</f>
        <v/>
      </c>
      <c r="E177" s="141">
        <f>IFERROR(__xludf.DUMMYFUNCTION("""COMPUTED_VALUE"""),173.79)</f>
        <v/>
      </c>
      <c r="F177" s="141">
        <f>IFERROR(__xludf.DUMMYFUNCTION("""COMPUTED_VALUE"""),175.1)</f>
        <v/>
      </c>
      <c r="G177" s="143">
        <f>IFERROR(__xludf.DUMMYFUNCTION("""COMPUTED_VALUE"""),81510101)</f>
        <v/>
      </c>
      <c r="H177" s="27" t="n"/>
    </row>
    <row r="178" ht="17.25" customHeight="1" s="322">
      <c r="A178" s="27" t="n"/>
      <c r="B178" s="506">
        <f>IFERROR(__xludf.DUMMYFUNCTION("""COMPUTED_VALUE"""),45356.6666666666)</f>
        <v/>
      </c>
      <c r="C178" s="141">
        <f>IFERROR(__xludf.DUMMYFUNCTION("""COMPUTED_VALUE"""),170.76)</f>
        <v/>
      </c>
      <c r="D178" s="141">
        <f>IFERROR(__xludf.DUMMYFUNCTION("""COMPUTED_VALUE"""),172.04)</f>
        <v/>
      </c>
      <c r="E178" s="141">
        <f>IFERROR(__xludf.DUMMYFUNCTION("""COMPUTED_VALUE"""),169.62)</f>
        <v/>
      </c>
      <c r="F178" s="141">
        <f>IFERROR(__xludf.DUMMYFUNCTION("""COMPUTED_VALUE"""),170.12)</f>
        <v/>
      </c>
      <c r="G178" s="143">
        <f>IFERROR(__xludf.DUMMYFUNCTION("""COMPUTED_VALUE"""),95132355)</f>
        <v/>
      </c>
      <c r="H178" s="27" t="n"/>
    </row>
    <row r="179" ht="17.25" customHeight="1" s="322">
      <c r="A179" s="27" t="n"/>
      <c r="B179" s="506">
        <f>IFERROR(__xludf.DUMMYFUNCTION("""COMPUTED_VALUE"""),45357.6666666666)</f>
        <v/>
      </c>
      <c r="C179" s="141">
        <f>IFERROR(__xludf.DUMMYFUNCTION("""COMPUTED_VALUE"""),171.06)</f>
        <v/>
      </c>
      <c r="D179" s="141">
        <f>IFERROR(__xludf.DUMMYFUNCTION("""COMPUTED_VALUE"""),171.24)</f>
        <v/>
      </c>
      <c r="E179" s="141">
        <f>IFERROR(__xludf.DUMMYFUNCTION("""COMPUTED_VALUE"""),168.68)</f>
        <v/>
      </c>
      <c r="F179" s="141">
        <f>IFERROR(__xludf.DUMMYFUNCTION("""COMPUTED_VALUE"""),169.12)</f>
        <v/>
      </c>
      <c r="G179" s="143">
        <f>IFERROR(__xludf.DUMMYFUNCTION("""COMPUTED_VALUE"""),68587707)</f>
        <v/>
      </c>
      <c r="H179" s="27" t="n"/>
    </row>
    <row r="180" ht="17.25" customHeight="1" s="322">
      <c r="A180" s="27" t="n"/>
      <c r="B180" s="506">
        <f>IFERROR(__xludf.DUMMYFUNCTION("""COMPUTED_VALUE"""),45358.6666666666)</f>
        <v/>
      </c>
      <c r="C180" s="141">
        <f>IFERROR(__xludf.DUMMYFUNCTION("""COMPUTED_VALUE"""),169.15)</f>
        <v/>
      </c>
      <c r="D180" s="141">
        <f>IFERROR(__xludf.DUMMYFUNCTION("""COMPUTED_VALUE"""),170.73)</f>
        <v/>
      </c>
      <c r="E180" s="141">
        <f>IFERROR(__xludf.DUMMYFUNCTION("""COMPUTED_VALUE"""),168.49)</f>
        <v/>
      </c>
      <c r="F180" s="141">
        <f>IFERROR(__xludf.DUMMYFUNCTION("""COMPUTED_VALUE"""),169)</f>
        <v/>
      </c>
      <c r="G180" s="143">
        <f>IFERROR(__xludf.DUMMYFUNCTION("""COMPUTED_VALUE"""),71765061)</f>
        <v/>
      </c>
      <c r="H180" s="27" t="n"/>
    </row>
    <row r="181" ht="17.25" customHeight="1" s="322">
      <c r="A181" s="27" t="n"/>
      <c r="B181" s="506">
        <f>IFERROR(__xludf.DUMMYFUNCTION("""COMPUTED_VALUE"""),45359.6666666666)</f>
        <v/>
      </c>
      <c r="C181" s="141">
        <f>IFERROR(__xludf.DUMMYFUNCTION("""COMPUTED_VALUE"""),169)</f>
        <v/>
      </c>
      <c r="D181" s="141">
        <f>IFERROR(__xludf.DUMMYFUNCTION("""COMPUTED_VALUE"""),173.7)</f>
        <v/>
      </c>
      <c r="E181" s="141">
        <f>IFERROR(__xludf.DUMMYFUNCTION("""COMPUTED_VALUE"""),168.94)</f>
        <v/>
      </c>
      <c r="F181" s="141">
        <f>IFERROR(__xludf.DUMMYFUNCTION("""COMPUTED_VALUE"""),170.73)</f>
        <v/>
      </c>
      <c r="G181" s="143">
        <f>IFERROR(__xludf.DUMMYFUNCTION("""COMPUTED_VALUE"""),76267041)</f>
        <v/>
      </c>
      <c r="H181" s="27" t="n"/>
    </row>
    <row r="182" ht="17.25" customHeight="1" s="322">
      <c r="A182" s="27" t="n"/>
      <c r="B182" s="506">
        <f>IFERROR(__xludf.DUMMYFUNCTION("""COMPUTED_VALUE"""),45362.6666666666)</f>
        <v/>
      </c>
      <c r="C182" s="141">
        <f>IFERROR(__xludf.DUMMYFUNCTION("""COMPUTED_VALUE"""),172.94)</f>
        <v/>
      </c>
      <c r="D182" s="141">
        <f>IFERROR(__xludf.DUMMYFUNCTION("""COMPUTED_VALUE"""),174.38)</f>
        <v/>
      </c>
      <c r="E182" s="141">
        <f>IFERROR(__xludf.DUMMYFUNCTION("""COMPUTED_VALUE"""),172.05)</f>
        <v/>
      </c>
      <c r="F182" s="141">
        <f>IFERROR(__xludf.DUMMYFUNCTION("""COMPUTED_VALUE"""),172.75)</f>
        <v/>
      </c>
      <c r="G182" s="143">
        <f>IFERROR(__xludf.DUMMYFUNCTION("""COMPUTED_VALUE"""),60139473)</f>
        <v/>
      </c>
      <c r="H182" s="27" t="n"/>
    </row>
    <row r="183" ht="17.25" customHeight="1" s="322">
      <c r="A183" s="27" t="n"/>
      <c r="B183" s="506">
        <f>IFERROR(__xludf.DUMMYFUNCTION("""COMPUTED_VALUE"""),45363.6666666666)</f>
        <v/>
      </c>
      <c r="C183" s="141">
        <f>IFERROR(__xludf.DUMMYFUNCTION("""COMPUTED_VALUE"""),173.15)</f>
        <v/>
      </c>
      <c r="D183" s="141">
        <f>IFERROR(__xludf.DUMMYFUNCTION("""COMPUTED_VALUE"""),174.03)</f>
        <v/>
      </c>
      <c r="E183" s="141">
        <f>IFERROR(__xludf.DUMMYFUNCTION("""COMPUTED_VALUE"""),171.01)</f>
        <v/>
      </c>
      <c r="F183" s="141">
        <f>IFERROR(__xludf.DUMMYFUNCTION("""COMPUTED_VALUE"""),173.23)</f>
        <v/>
      </c>
      <c r="G183" s="143">
        <f>IFERROR(__xludf.DUMMYFUNCTION("""COMPUTED_VALUE"""),59825372)</f>
        <v/>
      </c>
      <c r="H183" s="27" t="n"/>
    </row>
    <row r="184" ht="17.25" customHeight="1" s="322">
      <c r="A184" s="27" t="n"/>
      <c r="B184" s="506">
        <f>IFERROR(__xludf.DUMMYFUNCTION("""COMPUTED_VALUE"""),45364.6666666666)</f>
        <v/>
      </c>
      <c r="C184" s="141">
        <f>IFERROR(__xludf.DUMMYFUNCTION("""COMPUTED_VALUE"""),172.77)</f>
        <v/>
      </c>
      <c r="D184" s="141">
        <f>IFERROR(__xludf.DUMMYFUNCTION("""COMPUTED_VALUE"""),173.19)</f>
        <v/>
      </c>
      <c r="E184" s="141">
        <f>IFERROR(__xludf.DUMMYFUNCTION("""COMPUTED_VALUE"""),170.76)</f>
        <v/>
      </c>
      <c r="F184" s="141">
        <f>IFERROR(__xludf.DUMMYFUNCTION("""COMPUTED_VALUE"""),171.13)</f>
        <v/>
      </c>
      <c r="G184" s="143">
        <f>IFERROR(__xludf.DUMMYFUNCTION("""COMPUTED_VALUE"""),52488692)</f>
        <v/>
      </c>
      <c r="H184" s="27" t="n"/>
    </row>
    <row r="185" ht="17.25" customHeight="1" s="322">
      <c r="A185" s="27" t="n"/>
      <c r="B185" s="506">
        <f>IFERROR(__xludf.DUMMYFUNCTION("""COMPUTED_VALUE"""),45365.6666666666)</f>
        <v/>
      </c>
      <c r="C185" s="141">
        <f>IFERROR(__xludf.DUMMYFUNCTION("""COMPUTED_VALUE"""),172.91)</f>
        <v/>
      </c>
      <c r="D185" s="141">
        <f>IFERROR(__xludf.DUMMYFUNCTION("""COMPUTED_VALUE"""),174.31)</f>
        <v/>
      </c>
      <c r="E185" s="141">
        <f>IFERROR(__xludf.DUMMYFUNCTION("""COMPUTED_VALUE"""),172.05)</f>
        <v/>
      </c>
      <c r="F185" s="141">
        <f>IFERROR(__xludf.DUMMYFUNCTION("""COMPUTED_VALUE"""),173)</f>
        <v/>
      </c>
      <c r="G185" s="143">
        <f>IFERROR(__xludf.DUMMYFUNCTION("""COMPUTED_VALUE"""),72913507)</f>
        <v/>
      </c>
      <c r="H185" s="27" t="n"/>
    </row>
    <row r="186" ht="17.25" customHeight="1" s="322">
      <c r="A186" s="27" t="n"/>
      <c r="B186" s="506">
        <f>IFERROR(__xludf.DUMMYFUNCTION("""COMPUTED_VALUE"""),45366.6666666666)</f>
        <v/>
      </c>
      <c r="C186" s="141">
        <f>IFERROR(__xludf.DUMMYFUNCTION("""COMPUTED_VALUE"""),171.17)</f>
        <v/>
      </c>
      <c r="D186" s="141">
        <f>IFERROR(__xludf.DUMMYFUNCTION("""COMPUTED_VALUE"""),172.62)</f>
        <v/>
      </c>
      <c r="E186" s="141">
        <f>IFERROR(__xludf.DUMMYFUNCTION("""COMPUTED_VALUE"""),170.29)</f>
        <v/>
      </c>
      <c r="F186" s="141">
        <f>IFERROR(__xludf.DUMMYFUNCTION("""COMPUTED_VALUE"""),172.62)</f>
        <v/>
      </c>
      <c r="G186" s="143">
        <f>IFERROR(__xludf.DUMMYFUNCTION("""COMPUTED_VALUE"""),121752699)</f>
        <v/>
      </c>
      <c r="H186" s="27" t="n"/>
    </row>
    <row r="187" ht="17.25" customHeight="1" s="322">
      <c r="A187" s="27" t="n"/>
      <c r="B187" s="506">
        <f>IFERROR(__xludf.DUMMYFUNCTION("""COMPUTED_VALUE"""),45369.6666666666)</f>
        <v/>
      </c>
      <c r="C187" s="141">
        <f>IFERROR(__xludf.DUMMYFUNCTION("""COMPUTED_VALUE"""),175.57)</f>
        <v/>
      </c>
      <c r="D187" s="141">
        <f>IFERROR(__xludf.DUMMYFUNCTION("""COMPUTED_VALUE"""),177.71)</f>
        <v/>
      </c>
      <c r="E187" s="141">
        <f>IFERROR(__xludf.DUMMYFUNCTION("""COMPUTED_VALUE"""),173.52)</f>
        <v/>
      </c>
      <c r="F187" s="141">
        <f>IFERROR(__xludf.DUMMYFUNCTION("""COMPUTED_VALUE"""),173.72)</f>
        <v/>
      </c>
      <c r="G187" s="143">
        <f>IFERROR(__xludf.DUMMYFUNCTION("""COMPUTED_VALUE"""),75604184)</f>
        <v/>
      </c>
      <c r="H187" s="27" t="n"/>
    </row>
    <row r="188" ht="17.25" customHeight="1" s="322">
      <c r="A188" s="27" t="n"/>
      <c r="B188" s="506">
        <f>IFERROR(__xludf.DUMMYFUNCTION("""COMPUTED_VALUE"""),45370.6666666666)</f>
        <v/>
      </c>
      <c r="C188" s="141">
        <f>IFERROR(__xludf.DUMMYFUNCTION("""COMPUTED_VALUE"""),174.34)</f>
        <v/>
      </c>
      <c r="D188" s="141">
        <f>IFERROR(__xludf.DUMMYFUNCTION("""COMPUTED_VALUE"""),176.61)</f>
        <v/>
      </c>
      <c r="E188" s="141">
        <f>IFERROR(__xludf.DUMMYFUNCTION("""COMPUTED_VALUE"""),173.03)</f>
        <v/>
      </c>
      <c r="F188" s="141">
        <f>IFERROR(__xludf.DUMMYFUNCTION("""COMPUTED_VALUE"""),176.08)</f>
        <v/>
      </c>
      <c r="G188" s="143">
        <f>IFERROR(__xludf.DUMMYFUNCTION("""COMPUTED_VALUE"""),55215244)</f>
        <v/>
      </c>
      <c r="H188" s="27" t="n"/>
    </row>
    <row r="189" ht="17.25" customHeight="1" s="322">
      <c r="A189" s="27" t="n"/>
      <c r="B189" s="506">
        <f>IFERROR(__xludf.DUMMYFUNCTION("""COMPUTED_VALUE"""),45371.6666666666)</f>
        <v/>
      </c>
      <c r="C189" s="141">
        <f>IFERROR(__xludf.DUMMYFUNCTION("""COMPUTED_VALUE"""),175.72)</f>
        <v/>
      </c>
      <c r="D189" s="141">
        <f>IFERROR(__xludf.DUMMYFUNCTION("""COMPUTED_VALUE"""),178.67)</f>
        <v/>
      </c>
      <c r="E189" s="141">
        <f>IFERROR(__xludf.DUMMYFUNCTION("""COMPUTED_VALUE"""),175.09)</f>
        <v/>
      </c>
      <c r="F189" s="141">
        <f>IFERROR(__xludf.DUMMYFUNCTION("""COMPUTED_VALUE"""),178.67)</f>
        <v/>
      </c>
      <c r="G189" s="143">
        <f>IFERROR(__xludf.DUMMYFUNCTION("""COMPUTED_VALUE"""),53423102)</f>
        <v/>
      </c>
      <c r="H189" s="27" t="n"/>
    </row>
    <row r="190" ht="17.25" customHeight="1" s="322">
      <c r="A190" s="27" t="n"/>
      <c r="B190" s="506">
        <f>IFERROR(__xludf.DUMMYFUNCTION("""COMPUTED_VALUE"""),45372.6666666666)</f>
        <v/>
      </c>
      <c r="C190" s="141">
        <f>IFERROR(__xludf.DUMMYFUNCTION("""COMPUTED_VALUE"""),177.05)</f>
        <v/>
      </c>
      <c r="D190" s="141">
        <f>IFERROR(__xludf.DUMMYFUNCTION("""COMPUTED_VALUE"""),177.49)</f>
        <v/>
      </c>
      <c r="E190" s="141">
        <f>IFERROR(__xludf.DUMMYFUNCTION("""COMPUTED_VALUE"""),170.84)</f>
        <v/>
      </c>
      <c r="F190" s="141">
        <f>IFERROR(__xludf.DUMMYFUNCTION("""COMPUTED_VALUE"""),171.37)</f>
        <v/>
      </c>
      <c r="G190" s="143">
        <f>IFERROR(__xludf.DUMMYFUNCTION("""COMPUTED_VALUE"""),106181270)</f>
        <v/>
      </c>
      <c r="H190" s="27" t="n"/>
    </row>
    <row r="191" ht="17.25" customHeight="1" s="322">
      <c r="A191" s="27" t="n"/>
      <c r="B191" s="506">
        <f>IFERROR(__xludf.DUMMYFUNCTION("""COMPUTED_VALUE"""),45373.6666666666)</f>
        <v/>
      </c>
      <c r="C191" s="141">
        <f>IFERROR(__xludf.DUMMYFUNCTION("""COMPUTED_VALUE"""),171.76)</f>
        <v/>
      </c>
      <c r="D191" s="141">
        <f>IFERROR(__xludf.DUMMYFUNCTION("""COMPUTED_VALUE"""),173.05)</f>
        <v/>
      </c>
      <c r="E191" s="141">
        <f>IFERROR(__xludf.DUMMYFUNCTION("""COMPUTED_VALUE"""),170.06)</f>
        <v/>
      </c>
      <c r="F191" s="141">
        <f>IFERROR(__xludf.DUMMYFUNCTION("""COMPUTED_VALUE"""),172.28)</f>
        <v/>
      </c>
      <c r="G191" s="143">
        <f>IFERROR(__xludf.DUMMYFUNCTION("""COMPUTED_VALUE"""),71160138)</f>
        <v/>
      </c>
      <c r="H191" s="27" t="n"/>
    </row>
    <row r="192" ht="17.25" customHeight="1" s="322">
      <c r="A192" s="27" t="n"/>
      <c r="B192" s="506">
        <f>IFERROR(__xludf.DUMMYFUNCTION("""COMPUTED_VALUE"""),45376.6666666666)</f>
        <v/>
      </c>
      <c r="C192" s="141">
        <f>IFERROR(__xludf.DUMMYFUNCTION("""COMPUTED_VALUE"""),170.57)</f>
        <v/>
      </c>
      <c r="D192" s="141">
        <f>IFERROR(__xludf.DUMMYFUNCTION("""COMPUTED_VALUE"""),171.94)</f>
        <v/>
      </c>
      <c r="E192" s="141">
        <f>IFERROR(__xludf.DUMMYFUNCTION("""COMPUTED_VALUE"""),169.45)</f>
        <v/>
      </c>
      <c r="F192" s="141">
        <f>IFERROR(__xludf.DUMMYFUNCTION("""COMPUTED_VALUE"""),170.85)</f>
        <v/>
      </c>
      <c r="G192" s="143">
        <f>IFERROR(__xludf.DUMMYFUNCTION("""COMPUTED_VALUE"""),54288328)</f>
        <v/>
      </c>
      <c r="H192" s="27" t="n"/>
    </row>
    <row r="193" ht="17.25" customHeight="1" s="322">
      <c r="A193" s="27" t="n"/>
      <c r="B193" s="506">
        <f>IFERROR(__xludf.DUMMYFUNCTION("""COMPUTED_VALUE"""),45377.6666666666)</f>
        <v/>
      </c>
      <c r="C193" s="141">
        <f>IFERROR(__xludf.DUMMYFUNCTION("""COMPUTED_VALUE"""),170)</f>
        <v/>
      </c>
      <c r="D193" s="141">
        <f>IFERROR(__xludf.DUMMYFUNCTION("""COMPUTED_VALUE"""),171.42)</f>
        <v/>
      </c>
      <c r="E193" s="141">
        <f>IFERROR(__xludf.DUMMYFUNCTION("""COMPUTED_VALUE"""),169.58)</f>
        <v/>
      </c>
      <c r="F193" s="141">
        <f>IFERROR(__xludf.DUMMYFUNCTION("""COMPUTED_VALUE"""),169.71)</f>
        <v/>
      </c>
      <c r="G193" s="143">
        <f>IFERROR(__xludf.DUMMYFUNCTION("""COMPUTED_VALUE"""),57388449)</f>
        <v/>
      </c>
      <c r="H193" s="27" t="n"/>
    </row>
    <row r="194" ht="17.25" customHeight="1" s="322">
      <c r="A194" s="27" t="n"/>
      <c r="B194" s="506">
        <f>IFERROR(__xludf.DUMMYFUNCTION("""COMPUTED_VALUE"""),45378.6666666666)</f>
        <v/>
      </c>
      <c r="C194" s="141">
        <f>IFERROR(__xludf.DUMMYFUNCTION("""COMPUTED_VALUE"""),170.41)</f>
        <v/>
      </c>
      <c r="D194" s="141">
        <f>IFERROR(__xludf.DUMMYFUNCTION("""COMPUTED_VALUE"""),173.6)</f>
        <v/>
      </c>
      <c r="E194" s="141">
        <f>IFERROR(__xludf.DUMMYFUNCTION("""COMPUTED_VALUE"""),170.11)</f>
        <v/>
      </c>
      <c r="F194" s="141">
        <f>IFERROR(__xludf.DUMMYFUNCTION("""COMPUTED_VALUE"""),173.31)</f>
        <v/>
      </c>
      <c r="G194" s="143">
        <f>IFERROR(__xludf.DUMMYFUNCTION("""COMPUTED_VALUE"""),60273265)</f>
        <v/>
      </c>
      <c r="H194" s="27" t="n"/>
    </row>
    <row r="195" ht="17.25" customHeight="1" s="322">
      <c r="A195" s="27" t="n"/>
      <c r="B195" s="506">
        <f>IFERROR(__xludf.DUMMYFUNCTION("""COMPUTED_VALUE"""),45379.6666666666)</f>
        <v/>
      </c>
      <c r="C195" s="141">
        <f>IFERROR(__xludf.DUMMYFUNCTION("""COMPUTED_VALUE"""),171.75)</f>
        <v/>
      </c>
      <c r="D195" s="141">
        <f>IFERROR(__xludf.DUMMYFUNCTION("""COMPUTED_VALUE"""),172.23)</f>
        <v/>
      </c>
      <c r="E195" s="141">
        <f>IFERROR(__xludf.DUMMYFUNCTION("""COMPUTED_VALUE"""),170.51)</f>
        <v/>
      </c>
      <c r="F195" s="141">
        <f>IFERROR(__xludf.DUMMYFUNCTION("""COMPUTED_VALUE"""),171.48)</f>
        <v/>
      </c>
      <c r="G195" s="143">
        <f>IFERROR(__xludf.DUMMYFUNCTION("""COMPUTED_VALUE"""),65672690)</f>
        <v/>
      </c>
      <c r="H195" s="27" t="n"/>
    </row>
    <row r="196" ht="17.25" customHeight="1" s="322">
      <c r="A196" s="27" t="n"/>
      <c r="B196" s="506">
        <f>IFERROR(__xludf.DUMMYFUNCTION("""COMPUTED_VALUE"""),45383.6666666666)</f>
        <v/>
      </c>
      <c r="C196" s="141">
        <f>IFERROR(__xludf.DUMMYFUNCTION("""COMPUTED_VALUE"""),171.19)</f>
        <v/>
      </c>
      <c r="D196" s="141">
        <f>IFERROR(__xludf.DUMMYFUNCTION("""COMPUTED_VALUE"""),171.25)</f>
        <v/>
      </c>
      <c r="E196" s="141">
        <f>IFERROR(__xludf.DUMMYFUNCTION("""COMPUTED_VALUE"""),169.48)</f>
        <v/>
      </c>
      <c r="F196" s="141">
        <f>IFERROR(__xludf.DUMMYFUNCTION("""COMPUTED_VALUE"""),170.03)</f>
        <v/>
      </c>
      <c r="G196" s="143">
        <f>IFERROR(__xludf.DUMMYFUNCTION("""COMPUTED_VALUE"""),46240500)</f>
        <v/>
      </c>
      <c r="H196" s="27" t="n"/>
    </row>
    <row r="197" ht="17.25" customHeight="1" s="322">
      <c r="A197" s="27" t="n"/>
      <c r="B197" s="506">
        <f>IFERROR(__xludf.DUMMYFUNCTION("""COMPUTED_VALUE"""),45384.6666666666)</f>
        <v/>
      </c>
      <c r="C197" s="141">
        <f>IFERROR(__xludf.DUMMYFUNCTION("""COMPUTED_VALUE"""),169.08)</f>
        <v/>
      </c>
      <c r="D197" s="141">
        <f>IFERROR(__xludf.DUMMYFUNCTION("""COMPUTED_VALUE"""),169.34)</f>
        <v/>
      </c>
      <c r="E197" s="141">
        <f>IFERROR(__xludf.DUMMYFUNCTION("""COMPUTED_VALUE"""),168.23)</f>
        <v/>
      </c>
      <c r="F197" s="141">
        <f>IFERROR(__xludf.DUMMYFUNCTION("""COMPUTED_VALUE"""),168.84)</f>
        <v/>
      </c>
      <c r="G197" s="143">
        <f>IFERROR(__xludf.DUMMYFUNCTION("""COMPUTED_VALUE"""),49329481)</f>
        <v/>
      </c>
      <c r="H197" s="27" t="n"/>
    </row>
    <row r="198" ht="17.25" customHeight="1" s="322">
      <c r="A198" s="27" t="n"/>
      <c r="B198" s="506">
        <f>IFERROR(__xludf.DUMMYFUNCTION("""COMPUTED_VALUE"""),45385.6666666666)</f>
        <v/>
      </c>
      <c r="C198" s="141">
        <f>IFERROR(__xludf.DUMMYFUNCTION("""COMPUTED_VALUE"""),168.79)</f>
        <v/>
      </c>
      <c r="D198" s="141">
        <f>IFERROR(__xludf.DUMMYFUNCTION("""COMPUTED_VALUE"""),170.68)</f>
        <v/>
      </c>
      <c r="E198" s="141">
        <f>IFERROR(__xludf.DUMMYFUNCTION("""COMPUTED_VALUE"""),168.58)</f>
        <v/>
      </c>
      <c r="F198" s="141">
        <f>IFERROR(__xludf.DUMMYFUNCTION("""COMPUTED_VALUE"""),169.65)</f>
        <v/>
      </c>
      <c r="G198" s="143">
        <f>IFERROR(__xludf.DUMMYFUNCTION("""COMPUTED_VALUE"""),47691715)</f>
        <v/>
      </c>
      <c r="H198" s="27" t="n"/>
    </row>
    <row r="199" ht="17.25" customHeight="1" s="322">
      <c r="A199" s="27" t="n"/>
      <c r="B199" s="506">
        <f>IFERROR(__xludf.DUMMYFUNCTION("""COMPUTED_VALUE"""),45386.6666666666)</f>
        <v/>
      </c>
      <c r="C199" s="141">
        <f>IFERROR(__xludf.DUMMYFUNCTION("""COMPUTED_VALUE"""),170.29)</f>
        <v/>
      </c>
      <c r="D199" s="141">
        <f>IFERROR(__xludf.DUMMYFUNCTION("""COMPUTED_VALUE"""),171.92)</f>
        <v/>
      </c>
      <c r="E199" s="141">
        <f>IFERROR(__xludf.DUMMYFUNCTION("""COMPUTED_VALUE"""),168.82)</f>
        <v/>
      </c>
      <c r="F199" s="141">
        <f>IFERROR(__xludf.DUMMYFUNCTION("""COMPUTED_VALUE"""),168.82)</f>
        <v/>
      </c>
      <c r="G199" s="143">
        <f>IFERROR(__xludf.DUMMYFUNCTION("""COMPUTED_VALUE"""),53704386)</f>
        <v/>
      </c>
      <c r="H199" s="27" t="n"/>
    </row>
    <row r="200" ht="17.25" customHeight="1" s="322">
      <c r="A200" s="27" t="n"/>
      <c r="B200" s="506">
        <f>IFERROR(__xludf.DUMMYFUNCTION("""COMPUTED_VALUE"""),45387.6666666666)</f>
        <v/>
      </c>
      <c r="C200" s="141">
        <f>IFERROR(__xludf.DUMMYFUNCTION("""COMPUTED_VALUE"""),169.59)</f>
        <v/>
      </c>
      <c r="D200" s="141">
        <f>IFERROR(__xludf.DUMMYFUNCTION("""COMPUTED_VALUE"""),170.39)</f>
        <v/>
      </c>
      <c r="E200" s="141">
        <f>IFERROR(__xludf.DUMMYFUNCTION("""COMPUTED_VALUE"""),168.95)</f>
        <v/>
      </c>
      <c r="F200" s="141">
        <f>IFERROR(__xludf.DUMMYFUNCTION("""COMPUTED_VALUE"""),169.58)</f>
        <v/>
      </c>
      <c r="G200" s="143">
        <f>IFERROR(__xludf.DUMMYFUNCTION("""COMPUTED_VALUE"""),42104826)</f>
        <v/>
      </c>
      <c r="H200" s="27" t="n"/>
    </row>
    <row r="201" ht="17.25" customHeight="1" s="322">
      <c r="A201" s="27" t="n"/>
      <c r="B201" s="506">
        <f>IFERROR(__xludf.DUMMYFUNCTION("""COMPUTED_VALUE"""),45390.6666666666)</f>
        <v/>
      </c>
      <c r="C201" s="141">
        <f>IFERROR(__xludf.DUMMYFUNCTION("""COMPUTED_VALUE"""),169.03)</f>
        <v/>
      </c>
      <c r="D201" s="141">
        <f>IFERROR(__xludf.DUMMYFUNCTION("""COMPUTED_VALUE"""),169.2)</f>
        <v/>
      </c>
      <c r="E201" s="141">
        <f>IFERROR(__xludf.DUMMYFUNCTION("""COMPUTED_VALUE"""),168.24)</f>
        <v/>
      </c>
      <c r="F201" s="141">
        <f>IFERROR(__xludf.DUMMYFUNCTION("""COMPUTED_VALUE"""),168.45)</f>
        <v/>
      </c>
      <c r="G201" s="143">
        <f>IFERROR(__xludf.DUMMYFUNCTION("""COMPUTED_VALUE"""),37425513)</f>
        <v/>
      </c>
      <c r="H201" s="27" t="n"/>
    </row>
    <row r="202" ht="17.25" customHeight="1" s="322">
      <c r="A202" s="27" t="n"/>
      <c r="B202" s="506">
        <f>IFERROR(__xludf.DUMMYFUNCTION("""COMPUTED_VALUE"""),45391.6666666666)</f>
        <v/>
      </c>
      <c r="C202" s="141">
        <f>IFERROR(__xludf.DUMMYFUNCTION("""COMPUTED_VALUE"""),168.7)</f>
        <v/>
      </c>
      <c r="D202" s="141">
        <f>IFERROR(__xludf.DUMMYFUNCTION("""COMPUTED_VALUE"""),170.08)</f>
        <v/>
      </c>
      <c r="E202" s="141">
        <f>IFERROR(__xludf.DUMMYFUNCTION("""COMPUTED_VALUE"""),168.35)</f>
        <v/>
      </c>
      <c r="F202" s="141">
        <f>IFERROR(__xludf.DUMMYFUNCTION("""COMPUTED_VALUE"""),169.67)</f>
        <v/>
      </c>
      <c r="G202" s="143">
        <f>IFERROR(__xludf.DUMMYFUNCTION("""COMPUTED_VALUE"""),42451209)</f>
        <v/>
      </c>
      <c r="H202" s="27" t="n"/>
    </row>
    <row r="203" ht="17.25" customHeight="1" s="322">
      <c r="A203" s="27" t="n"/>
      <c r="B203" s="506">
        <f>IFERROR(__xludf.DUMMYFUNCTION("""COMPUTED_VALUE"""),45392.6666666666)</f>
        <v/>
      </c>
      <c r="C203" s="141">
        <f>IFERROR(__xludf.DUMMYFUNCTION("""COMPUTED_VALUE"""),168.8)</f>
        <v/>
      </c>
      <c r="D203" s="141">
        <f>IFERROR(__xludf.DUMMYFUNCTION("""COMPUTED_VALUE"""),169.09)</f>
        <v/>
      </c>
      <c r="E203" s="141">
        <f>IFERROR(__xludf.DUMMYFUNCTION("""COMPUTED_VALUE"""),167.11)</f>
        <v/>
      </c>
      <c r="F203" s="141">
        <f>IFERROR(__xludf.DUMMYFUNCTION("""COMPUTED_VALUE"""),167.78)</f>
        <v/>
      </c>
      <c r="G203" s="143">
        <f>IFERROR(__xludf.DUMMYFUNCTION("""COMPUTED_VALUE"""),49709336)</f>
        <v/>
      </c>
      <c r="H203" s="27" t="n"/>
    </row>
    <row r="204" ht="17.25" customHeight="1" s="322">
      <c r="A204" s="27" t="n"/>
      <c r="B204" s="506">
        <f>IFERROR(__xludf.DUMMYFUNCTION("""COMPUTED_VALUE"""),45393.6666666666)</f>
        <v/>
      </c>
      <c r="C204" s="141">
        <f>IFERROR(__xludf.DUMMYFUNCTION("""COMPUTED_VALUE"""),168.34)</f>
        <v/>
      </c>
      <c r="D204" s="141">
        <f>IFERROR(__xludf.DUMMYFUNCTION("""COMPUTED_VALUE"""),175.46)</f>
        <v/>
      </c>
      <c r="E204" s="141">
        <f>IFERROR(__xludf.DUMMYFUNCTION("""COMPUTED_VALUE"""),168.16)</f>
        <v/>
      </c>
      <c r="F204" s="141">
        <f>IFERROR(__xludf.DUMMYFUNCTION("""COMPUTED_VALUE"""),175.04)</f>
        <v/>
      </c>
      <c r="G204" s="143">
        <f>IFERROR(__xludf.DUMMYFUNCTION("""COMPUTED_VALUE"""),91070275)</f>
        <v/>
      </c>
      <c r="H204" s="27" t="n"/>
    </row>
    <row r="205" ht="17.25" customHeight="1" s="322">
      <c r="A205" s="27" t="n"/>
      <c r="B205" s="506">
        <f>IFERROR(__xludf.DUMMYFUNCTION("""COMPUTED_VALUE"""),45394.6666666666)</f>
        <v/>
      </c>
      <c r="C205" s="141">
        <f>IFERROR(__xludf.DUMMYFUNCTION("""COMPUTED_VALUE"""),174.26)</f>
        <v/>
      </c>
      <c r="D205" s="141">
        <f>IFERROR(__xludf.DUMMYFUNCTION("""COMPUTED_VALUE"""),178.36)</f>
        <v/>
      </c>
      <c r="E205" s="141">
        <f>IFERROR(__xludf.DUMMYFUNCTION("""COMPUTED_VALUE"""),174.21)</f>
        <v/>
      </c>
      <c r="F205" s="141">
        <f>IFERROR(__xludf.DUMMYFUNCTION("""COMPUTED_VALUE"""),176.55)</f>
        <v/>
      </c>
      <c r="G205" s="143">
        <f>IFERROR(__xludf.DUMMYFUNCTION("""COMPUTED_VALUE"""),101670886)</f>
        <v/>
      </c>
      <c r="H205" s="27" t="n"/>
    </row>
    <row r="206" ht="17.25" customHeight="1" s="322">
      <c r="A206" s="27" t="n"/>
      <c r="B206" s="506">
        <f>IFERROR(__xludf.DUMMYFUNCTION("""COMPUTED_VALUE"""),45397.6666666666)</f>
        <v/>
      </c>
      <c r="C206" s="141">
        <f>IFERROR(__xludf.DUMMYFUNCTION("""COMPUTED_VALUE"""),175.36)</f>
        <v/>
      </c>
      <c r="D206" s="141">
        <f>IFERROR(__xludf.DUMMYFUNCTION("""COMPUTED_VALUE"""),176.63)</f>
        <v/>
      </c>
      <c r="E206" s="141">
        <f>IFERROR(__xludf.DUMMYFUNCTION("""COMPUTED_VALUE"""),172.5)</f>
        <v/>
      </c>
      <c r="F206" s="141">
        <f>IFERROR(__xludf.DUMMYFUNCTION("""COMPUTED_VALUE"""),172.69)</f>
        <v/>
      </c>
      <c r="G206" s="143">
        <f>IFERROR(__xludf.DUMMYFUNCTION("""COMPUTED_VALUE"""),73531773)</f>
        <v/>
      </c>
      <c r="H206" s="27" t="n"/>
    </row>
    <row r="207" ht="17.25" customHeight="1" s="322">
      <c r="A207" s="27" t="n"/>
      <c r="B207" s="506">
        <f>IFERROR(__xludf.DUMMYFUNCTION("""COMPUTED_VALUE"""),45398.6666666666)</f>
        <v/>
      </c>
      <c r="C207" s="141">
        <f>IFERROR(__xludf.DUMMYFUNCTION("""COMPUTED_VALUE"""),171.75)</f>
        <v/>
      </c>
      <c r="D207" s="141">
        <f>IFERROR(__xludf.DUMMYFUNCTION("""COMPUTED_VALUE"""),173.76)</f>
        <v/>
      </c>
      <c r="E207" s="141">
        <f>IFERROR(__xludf.DUMMYFUNCTION("""COMPUTED_VALUE"""),168.27)</f>
        <v/>
      </c>
      <c r="F207" s="141">
        <f>IFERROR(__xludf.DUMMYFUNCTION("""COMPUTED_VALUE"""),169.38)</f>
        <v/>
      </c>
      <c r="G207" s="143">
        <f>IFERROR(__xludf.DUMMYFUNCTION("""COMPUTED_VALUE"""),73711235)</f>
        <v/>
      </c>
      <c r="H207" s="27" t="n"/>
    </row>
    <row r="208" ht="17.25" customHeight="1" s="322">
      <c r="A208" s="27" t="n"/>
      <c r="B208" s="506">
        <f>IFERROR(__xludf.DUMMYFUNCTION("""COMPUTED_VALUE"""),45399.6666666666)</f>
        <v/>
      </c>
      <c r="C208" s="141">
        <f>IFERROR(__xludf.DUMMYFUNCTION("""COMPUTED_VALUE"""),169.61)</f>
        <v/>
      </c>
      <c r="D208" s="141">
        <f>IFERROR(__xludf.DUMMYFUNCTION("""COMPUTED_VALUE"""),170.65)</f>
        <v/>
      </c>
      <c r="E208" s="141">
        <f>IFERROR(__xludf.DUMMYFUNCTION("""COMPUTED_VALUE"""),168)</f>
        <v/>
      </c>
      <c r="F208" s="141">
        <f>IFERROR(__xludf.DUMMYFUNCTION("""COMPUTED_VALUE"""),168)</f>
        <v/>
      </c>
      <c r="G208" s="143">
        <f>IFERROR(__xludf.DUMMYFUNCTION("""COMPUTED_VALUE"""),50901210)</f>
        <v/>
      </c>
      <c r="H208" s="27" t="n"/>
    </row>
    <row r="209" ht="17.25" customHeight="1" s="322">
      <c r="A209" s="27" t="n"/>
      <c r="B209" s="506">
        <f>IFERROR(__xludf.DUMMYFUNCTION("""COMPUTED_VALUE"""),45400.6666666666)</f>
        <v/>
      </c>
      <c r="C209" s="141">
        <f>IFERROR(__xludf.DUMMYFUNCTION("""COMPUTED_VALUE"""),168.03)</f>
        <v/>
      </c>
      <c r="D209" s="141">
        <f>IFERROR(__xludf.DUMMYFUNCTION("""COMPUTED_VALUE"""),168.64)</f>
        <v/>
      </c>
      <c r="E209" s="141">
        <f>IFERROR(__xludf.DUMMYFUNCTION("""COMPUTED_VALUE"""),166.55)</f>
        <v/>
      </c>
      <c r="F209" s="141">
        <f>IFERROR(__xludf.DUMMYFUNCTION("""COMPUTED_VALUE"""),167.04)</f>
        <v/>
      </c>
      <c r="G209" s="143">
        <f>IFERROR(__xludf.DUMMYFUNCTION("""COMPUTED_VALUE"""),43122903)</f>
        <v/>
      </c>
      <c r="H209" s="27" t="n"/>
    </row>
    <row r="210" ht="17.25" customHeight="1" s="322">
      <c r="A210" s="27" t="n"/>
      <c r="B210" s="506">
        <f>IFERROR(__xludf.DUMMYFUNCTION("""COMPUTED_VALUE"""),45401.6666666666)</f>
        <v/>
      </c>
      <c r="C210" s="141">
        <f>IFERROR(__xludf.DUMMYFUNCTION("""COMPUTED_VALUE"""),166.21)</f>
        <v/>
      </c>
      <c r="D210" s="141">
        <f>IFERROR(__xludf.DUMMYFUNCTION("""COMPUTED_VALUE"""),166.4)</f>
        <v/>
      </c>
      <c r="E210" s="141">
        <f>IFERROR(__xludf.DUMMYFUNCTION("""COMPUTED_VALUE"""),164.08)</f>
        <v/>
      </c>
      <c r="F210" s="141">
        <f>IFERROR(__xludf.DUMMYFUNCTION("""COMPUTED_VALUE"""),165)</f>
        <v/>
      </c>
      <c r="G210" s="143">
        <f>IFERROR(__xludf.DUMMYFUNCTION("""COMPUTED_VALUE"""),68149377)</f>
        <v/>
      </c>
      <c r="H210" s="27" t="n"/>
    </row>
    <row r="211" ht="17.25" customHeight="1" s="322">
      <c r="A211" s="27" t="n"/>
      <c r="B211" s="506">
        <f>IFERROR(__xludf.DUMMYFUNCTION("""COMPUTED_VALUE"""),45404.6666666666)</f>
        <v/>
      </c>
      <c r="C211" s="141">
        <f>IFERROR(__xludf.DUMMYFUNCTION("""COMPUTED_VALUE"""),165.52)</f>
        <v/>
      </c>
      <c r="D211" s="141">
        <f>IFERROR(__xludf.DUMMYFUNCTION("""COMPUTED_VALUE"""),167.26)</f>
        <v/>
      </c>
      <c r="E211" s="141">
        <f>IFERROR(__xludf.DUMMYFUNCTION("""COMPUTED_VALUE"""),164.77)</f>
        <v/>
      </c>
      <c r="F211" s="141">
        <f>IFERROR(__xludf.DUMMYFUNCTION("""COMPUTED_VALUE"""),165.84)</f>
        <v/>
      </c>
      <c r="G211" s="143">
        <f>IFERROR(__xludf.DUMMYFUNCTION("""COMPUTED_VALUE"""),48116443)</f>
        <v/>
      </c>
      <c r="H211" s="27" t="n"/>
    </row>
    <row r="212" ht="17.25" customHeight="1" s="322">
      <c r="A212" s="27" t="n"/>
      <c r="B212" s="506">
        <f>IFERROR(__xludf.DUMMYFUNCTION("""COMPUTED_VALUE"""),45405.6666666666)</f>
        <v/>
      </c>
      <c r="C212" s="141">
        <f>IFERROR(__xludf.DUMMYFUNCTION("""COMPUTED_VALUE"""),165.35)</f>
        <v/>
      </c>
      <c r="D212" s="141">
        <f>IFERROR(__xludf.DUMMYFUNCTION("""COMPUTED_VALUE"""),167.05)</f>
        <v/>
      </c>
      <c r="E212" s="141">
        <f>IFERROR(__xludf.DUMMYFUNCTION("""COMPUTED_VALUE"""),164.92)</f>
        <v/>
      </c>
      <c r="F212" s="141">
        <f>IFERROR(__xludf.DUMMYFUNCTION("""COMPUTED_VALUE"""),166.9)</f>
        <v/>
      </c>
      <c r="G212" s="143">
        <f>IFERROR(__xludf.DUMMYFUNCTION("""COMPUTED_VALUE"""),49537761)</f>
        <v/>
      </c>
      <c r="H212" s="27" t="n"/>
    </row>
    <row r="213" ht="17.25" customHeight="1" s="322">
      <c r="A213" s="27" t="n"/>
      <c r="B213" s="506">
        <f>IFERROR(__xludf.DUMMYFUNCTION("""COMPUTED_VALUE"""),45406.6666666666)</f>
        <v/>
      </c>
      <c r="C213" s="141">
        <f>IFERROR(__xludf.DUMMYFUNCTION("""COMPUTED_VALUE"""),166.54)</f>
        <v/>
      </c>
      <c r="D213" s="141">
        <f>IFERROR(__xludf.DUMMYFUNCTION("""COMPUTED_VALUE"""),169.3)</f>
        <v/>
      </c>
      <c r="E213" s="141">
        <f>IFERROR(__xludf.DUMMYFUNCTION("""COMPUTED_VALUE"""),166.21)</f>
        <v/>
      </c>
      <c r="F213" s="141">
        <f>IFERROR(__xludf.DUMMYFUNCTION("""COMPUTED_VALUE"""),169.02)</f>
        <v/>
      </c>
      <c r="G213" s="143">
        <f>IFERROR(__xludf.DUMMYFUNCTION("""COMPUTED_VALUE"""),48251835)</f>
        <v/>
      </c>
      <c r="H213" s="27" t="n"/>
    </row>
    <row r="214" ht="17.25" customHeight="1" s="322">
      <c r="A214" s="27" t="n"/>
      <c r="B214" s="506">
        <f>IFERROR(__xludf.DUMMYFUNCTION("""COMPUTED_VALUE"""),45407.6666666666)</f>
        <v/>
      </c>
      <c r="C214" s="141">
        <f>IFERROR(__xludf.DUMMYFUNCTION("""COMPUTED_VALUE"""),169.53)</f>
        <v/>
      </c>
      <c r="D214" s="141">
        <f>IFERROR(__xludf.DUMMYFUNCTION("""COMPUTED_VALUE"""),170.61)</f>
        <v/>
      </c>
      <c r="E214" s="141">
        <f>IFERROR(__xludf.DUMMYFUNCTION("""COMPUTED_VALUE"""),168.15)</f>
        <v/>
      </c>
      <c r="F214" s="141">
        <f>IFERROR(__xludf.DUMMYFUNCTION("""COMPUTED_VALUE"""),169.89)</f>
        <v/>
      </c>
      <c r="G214" s="143">
        <f>IFERROR(__xludf.DUMMYFUNCTION("""COMPUTED_VALUE"""),50558329)</f>
        <v/>
      </c>
      <c r="H214" s="27" t="n"/>
    </row>
    <row r="215" ht="17.25" customHeight="1" s="322">
      <c r="A215" s="27" t="n"/>
      <c r="B215" s="506">
        <f>IFERROR(__xludf.DUMMYFUNCTION("""COMPUTED_VALUE"""),45408.6666666666)</f>
        <v/>
      </c>
      <c r="C215" s="141">
        <f>IFERROR(__xludf.DUMMYFUNCTION("""COMPUTED_VALUE"""),169.88)</f>
        <v/>
      </c>
      <c r="D215" s="141">
        <f>IFERROR(__xludf.DUMMYFUNCTION("""COMPUTED_VALUE"""),171.34)</f>
        <v/>
      </c>
      <c r="E215" s="141">
        <f>IFERROR(__xludf.DUMMYFUNCTION("""COMPUTED_VALUE"""),169.18)</f>
        <v/>
      </c>
      <c r="F215" s="141">
        <f>IFERROR(__xludf.DUMMYFUNCTION("""COMPUTED_VALUE"""),169.3)</f>
        <v/>
      </c>
      <c r="G215" s="143">
        <f>IFERROR(__xludf.DUMMYFUNCTION("""COMPUTED_VALUE"""),44838354)</f>
        <v/>
      </c>
      <c r="H215" s="27" t="n"/>
    </row>
    <row r="216" ht="17.25" customHeight="1" s="322">
      <c r="A216" s="27" t="n"/>
      <c r="B216" s="506">
        <f>IFERROR(__xludf.DUMMYFUNCTION("""COMPUTED_VALUE"""),45411.6666666666)</f>
        <v/>
      </c>
      <c r="C216" s="141">
        <f>IFERROR(__xludf.DUMMYFUNCTION("""COMPUTED_VALUE"""),173.37)</f>
        <v/>
      </c>
      <c r="D216" s="141">
        <f>IFERROR(__xludf.DUMMYFUNCTION("""COMPUTED_VALUE"""),176.03)</f>
        <v/>
      </c>
      <c r="E216" s="141">
        <f>IFERROR(__xludf.DUMMYFUNCTION("""COMPUTED_VALUE"""),173.1)</f>
        <v/>
      </c>
      <c r="F216" s="141">
        <f>IFERROR(__xludf.DUMMYFUNCTION("""COMPUTED_VALUE"""),173.5)</f>
        <v/>
      </c>
      <c r="G216" s="143">
        <f>IFERROR(__xludf.DUMMYFUNCTION("""COMPUTED_VALUE"""),68169419)</f>
        <v/>
      </c>
      <c r="H216" s="27" t="n"/>
    </row>
    <row r="217" ht="17.25" customHeight="1" s="322">
      <c r="A217" s="27" t="n"/>
      <c r="B217" s="506">
        <f>IFERROR(__xludf.DUMMYFUNCTION("""COMPUTED_VALUE"""),45412.6666666666)</f>
        <v/>
      </c>
      <c r="C217" s="141">
        <f>IFERROR(__xludf.DUMMYFUNCTION("""COMPUTED_VALUE"""),173.33)</f>
        <v/>
      </c>
      <c r="D217" s="141">
        <f>IFERROR(__xludf.DUMMYFUNCTION("""COMPUTED_VALUE"""),174.99)</f>
        <v/>
      </c>
      <c r="E217" s="141">
        <f>IFERROR(__xludf.DUMMYFUNCTION("""COMPUTED_VALUE"""),170)</f>
        <v/>
      </c>
      <c r="F217" s="141">
        <f>IFERROR(__xludf.DUMMYFUNCTION("""COMPUTED_VALUE"""),170.33)</f>
        <v/>
      </c>
      <c r="G217" s="143">
        <f>IFERROR(__xludf.DUMMYFUNCTION("""COMPUTED_VALUE"""),65934776)</f>
        <v/>
      </c>
      <c r="H217" s="27" t="n"/>
    </row>
    <row r="218" ht="17.25" customHeight="1" s="322">
      <c r="A218" s="27" t="n"/>
      <c r="B218" s="506">
        <f>IFERROR(__xludf.DUMMYFUNCTION("""COMPUTED_VALUE"""),45413.6666666666)</f>
        <v/>
      </c>
      <c r="C218" s="141">
        <f>IFERROR(__xludf.DUMMYFUNCTION("""COMPUTED_VALUE"""),169.58)</f>
        <v/>
      </c>
      <c r="D218" s="141">
        <f>IFERROR(__xludf.DUMMYFUNCTION("""COMPUTED_VALUE"""),172.71)</f>
        <v/>
      </c>
      <c r="E218" s="141">
        <f>IFERROR(__xludf.DUMMYFUNCTION("""COMPUTED_VALUE"""),169.11)</f>
        <v/>
      </c>
      <c r="F218" s="141">
        <f>IFERROR(__xludf.DUMMYFUNCTION("""COMPUTED_VALUE"""),169.3)</f>
        <v/>
      </c>
      <c r="G218" s="143">
        <f>IFERROR(__xludf.DUMMYFUNCTION("""COMPUTED_VALUE"""),50383147)</f>
        <v/>
      </c>
      <c r="H218" s="27" t="n"/>
    </row>
    <row r="219" ht="17.25" customHeight="1" s="322">
      <c r="A219" s="27" t="n"/>
      <c r="B219" s="506">
        <f>IFERROR(__xludf.DUMMYFUNCTION("""COMPUTED_VALUE"""),45414.6666666666)</f>
        <v/>
      </c>
      <c r="C219" s="141">
        <f>IFERROR(__xludf.DUMMYFUNCTION("""COMPUTED_VALUE"""),172.51)</f>
        <v/>
      </c>
      <c r="D219" s="141">
        <f>IFERROR(__xludf.DUMMYFUNCTION("""COMPUTED_VALUE"""),173.42)</f>
        <v/>
      </c>
      <c r="E219" s="141">
        <f>IFERROR(__xludf.DUMMYFUNCTION("""COMPUTED_VALUE"""),170.89)</f>
        <v/>
      </c>
      <c r="F219" s="141">
        <f>IFERROR(__xludf.DUMMYFUNCTION("""COMPUTED_VALUE"""),173.03)</f>
        <v/>
      </c>
      <c r="G219" s="143">
        <f>IFERROR(__xludf.DUMMYFUNCTION("""COMPUTED_VALUE"""),94214915)</f>
        <v/>
      </c>
      <c r="H219" s="27" t="n"/>
    </row>
    <row r="220" ht="17.25" customHeight="1" s="322">
      <c r="A220" s="27" t="n"/>
      <c r="B220" s="506">
        <f>IFERROR(__xludf.DUMMYFUNCTION("""COMPUTED_VALUE"""),45415.6666666666)</f>
        <v/>
      </c>
      <c r="C220" s="141">
        <f>IFERROR(__xludf.DUMMYFUNCTION("""COMPUTED_VALUE"""),186.65)</f>
        <v/>
      </c>
      <c r="D220" s="141">
        <f>IFERROR(__xludf.DUMMYFUNCTION("""COMPUTED_VALUE"""),187)</f>
        <v/>
      </c>
      <c r="E220" s="141">
        <f>IFERROR(__xludf.DUMMYFUNCTION("""COMPUTED_VALUE"""),182.66)</f>
        <v/>
      </c>
      <c r="F220" s="141">
        <f>IFERROR(__xludf.DUMMYFUNCTION("""COMPUTED_VALUE"""),183.38)</f>
        <v/>
      </c>
      <c r="G220" s="143">
        <f>IFERROR(__xludf.DUMMYFUNCTION("""COMPUTED_VALUE"""),163224109)</f>
        <v/>
      </c>
      <c r="H220" s="27" t="n"/>
    </row>
    <row r="221" ht="17.25" customHeight="1" s="322">
      <c r="A221" s="27" t="n"/>
      <c r="B221" s="506">
        <f>IFERROR(__xludf.DUMMYFUNCTION("""COMPUTED_VALUE"""),45418.6666666666)</f>
        <v/>
      </c>
      <c r="C221" s="141">
        <f>IFERROR(__xludf.DUMMYFUNCTION("""COMPUTED_VALUE"""),182.35)</f>
        <v/>
      </c>
      <c r="D221" s="141">
        <f>IFERROR(__xludf.DUMMYFUNCTION("""COMPUTED_VALUE"""),184.2)</f>
        <v/>
      </c>
      <c r="E221" s="141">
        <f>IFERROR(__xludf.DUMMYFUNCTION("""COMPUTED_VALUE"""),180.42)</f>
        <v/>
      </c>
      <c r="F221" s="141">
        <f>IFERROR(__xludf.DUMMYFUNCTION("""COMPUTED_VALUE"""),181.71)</f>
        <v/>
      </c>
      <c r="G221" s="143">
        <f>IFERROR(__xludf.DUMMYFUNCTION("""COMPUTED_VALUE"""),78569667)</f>
        <v/>
      </c>
      <c r="H221" s="27" t="n"/>
    </row>
    <row r="222" ht="17.25" customHeight="1" s="322">
      <c r="A222" s="27" t="n"/>
      <c r="B222" s="506">
        <f>IFERROR(__xludf.DUMMYFUNCTION("""COMPUTED_VALUE"""),45419.6666666666)</f>
        <v/>
      </c>
      <c r="C222" s="141">
        <f>IFERROR(__xludf.DUMMYFUNCTION("""COMPUTED_VALUE"""),183.45)</f>
        <v/>
      </c>
      <c r="D222" s="141">
        <f>IFERROR(__xludf.DUMMYFUNCTION("""COMPUTED_VALUE"""),184.9)</f>
        <v/>
      </c>
      <c r="E222" s="141">
        <f>IFERROR(__xludf.DUMMYFUNCTION("""COMPUTED_VALUE"""),181.32)</f>
        <v/>
      </c>
      <c r="F222" s="141">
        <f>IFERROR(__xludf.DUMMYFUNCTION("""COMPUTED_VALUE"""),182.4)</f>
        <v/>
      </c>
      <c r="G222" s="143">
        <f>IFERROR(__xludf.DUMMYFUNCTION("""COMPUTED_VALUE"""),77305771)</f>
        <v/>
      </c>
      <c r="H222" s="27" t="n"/>
    </row>
    <row r="223" ht="17.25" customHeight="1" s="322">
      <c r="A223" s="27" t="n"/>
      <c r="B223" s="506">
        <f>IFERROR(__xludf.DUMMYFUNCTION("""COMPUTED_VALUE"""),45420.6666666666)</f>
        <v/>
      </c>
      <c r="C223" s="141">
        <f>IFERROR(__xludf.DUMMYFUNCTION("""COMPUTED_VALUE"""),182.85)</f>
        <v/>
      </c>
      <c r="D223" s="141">
        <f>IFERROR(__xludf.DUMMYFUNCTION("""COMPUTED_VALUE"""),183.07)</f>
        <v/>
      </c>
      <c r="E223" s="141">
        <f>IFERROR(__xludf.DUMMYFUNCTION("""COMPUTED_VALUE"""),181.45)</f>
        <v/>
      </c>
      <c r="F223" s="141">
        <f>IFERROR(__xludf.DUMMYFUNCTION("""COMPUTED_VALUE"""),182.74)</f>
        <v/>
      </c>
      <c r="G223" s="143">
        <f>IFERROR(__xludf.DUMMYFUNCTION("""COMPUTED_VALUE"""),45057087)</f>
        <v/>
      </c>
      <c r="H223" s="27" t="n"/>
    </row>
    <row r="224" ht="17.25" customHeight="1" s="322">
      <c r="A224" s="27" t="n"/>
      <c r="B224" s="506">
        <f>IFERROR(__xludf.DUMMYFUNCTION("""COMPUTED_VALUE"""),45421.6666666666)</f>
        <v/>
      </c>
      <c r="C224" s="141">
        <f>IFERROR(__xludf.DUMMYFUNCTION("""COMPUTED_VALUE"""),182.56)</f>
        <v/>
      </c>
      <c r="D224" s="141">
        <f>IFERROR(__xludf.DUMMYFUNCTION("""COMPUTED_VALUE"""),184.66)</f>
        <v/>
      </c>
      <c r="E224" s="141">
        <f>IFERROR(__xludf.DUMMYFUNCTION("""COMPUTED_VALUE"""),182.11)</f>
        <v/>
      </c>
      <c r="F224" s="141">
        <f>IFERROR(__xludf.DUMMYFUNCTION("""COMPUTED_VALUE"""),184.57)</f>
        <v/>
      </c>
      <c r="G224" s="143">
        <f>IFERROR(__xludf.DUMMYFUNCTION("""COMPUTED_VALUE"""),48982972)</f>
        <v/>
      </c>
      <c r="H224" s="27" t="n"/>
    </row>
    <row r="225" ht="17.25" customHeight="1" s="322">
      <c r="A225" s="27" t="n"/>
      <c r="B225" s="506">
        <f>IFERROR(__xludf.DUMMYFUNCTION("""COMPUTED_VALUE"""),45422.6666666666)</f>
        <v/>
      </c>
      <c r="C225" s="141">
        <f>IFERROR(__xludf.DUMMYFUNCTION("""COMPUTED_VALUE"""),184.9)</f>
        <v/>
      </c>
      <c r="D225" s="141">
        <f>IFERROR(__xludf.DUMMYFUNCTION("""COMPUTED_VALUE"""),185.09)</f>
        <v/>
      </c>
      <c r="E225" s="141">
        <f>IFERROR(__xludf.DUMMYFUNCTION("""COMPUTED_VALUE"""),182.13)</f>
        <v/>
      </c>
      <c r="F225" s="141">
        <f>IFERROR(__xludf.DUMMYFUNCTION("""COMPUTED_VALUE"""),183.05)</f>
        <v/>
      </c>
      <c r="G225" s="143">
        <f>IFERROR(__xludf.DUMMYFUNCTION("""COMPUTED_VALUE"""),50759496)</f>
        <v/>
      </c>
      <c r="H225" s="27" t="n"/>
    </row>
    <row r="226" ht="17.25" customHeight="1" s="322">
      <c r="A226" s="27" t="n"/>
      <c r="B226" s="506">
        <f>IFERROR(__xludf.DUMMYFUNCTION("""COMPUTED_VALUE"""),45425.6666666666)</f>
        <v/>
      </c>
      <c r="C226" s="141">
        <f>IFERROR(__xludf.DUMMYFUNCTION("""COMPUTED_VALUE"""),185.44)</f>
        <v/>
      </c>
      <c r="D226" s="141">
        <f>IFERROR(__xludf.DUMMYFUNCTION("""COMPUTED_VALUE"""),187.1)</f>
        <v/>
      </c>
      <c r="E226" s="141">
        <f>IFERROR(__xludf.DUMMYFUNCTION("""COMPUTED_VALUE"""),184.62)</f>
        <v/>
      </c>
      <c r="F226" s="141">
        <f>IFERROR(__xludf.DUMMYFUNCTION("""COMPUTED_VALUE"""),186.28)</f>
        <v/>
      </c>
      <c r="G226" s="143">
        <f>IFERROR(__xludf.DUMMYFUNCTION("""COMPUTED_VALUE"""),72044809)</f>
        <v/>
      </c>
      <c r="H226" s="27" t="n"/>
    </row>
    <row r="227" ht="17.25" customHeight="1" s="322">
      <c r="A227" s="27" t="n"/>
      <c r="B227" s="506">
        <f>IFERROR(__xludf.DUMMYFUNCTION("""COMPUTED_VALUE"""),45426.6666666666)</f>
        <v/>
      </c>
      <c r="C227" s="141">
        <f>IFERROR(__xludf.DUMMYFUNCTION("""COMPUTED_VALUE"""),187.51)</f>
        <v/>
      </c>
      <c r="D227" s="141">
        <f>IFERROR(__xludf.DUMMYFUNCTION("""COMPUTED_VALUE"""),188.3)</f>
        <v/>
      </c>
      <c r="E227" s="141">
        <f>IFERROR(__xludf.DUMMYFUNCTION("""COMPUTED_VALUE"""),186.29)</f>
        <v/>
      </c>
      <c r="F227" s="141">
        <f>IFERROR(__xludf.DUMMYFUNCTION("""COMPUTED_VALUE"""),187.43)</f>
        <v/>
      </c>
      <c r="G227" s="143">
        <f>IFERROR(__xludf.DUMMYFUNCTION("""COMPUTED_VALUE"""),52393619)</f>
        <v/>
      </c>
      <c r="H227" s="27" t="n"/>
    </row>
    <row r="228" ht="17.25" customHeight="1" s="322">
      <c r="A228" s="27" t="n"/>
      <c r="B228" s="506">
        <f>IFERROR(__xludf.DUMMYFUNCTION("""COMPUTED_VALUE"""),45427.6666666666)</f>
        <v/>
      </c>
      <c r="C228" s="141">
        <f>IFERROR(__xludf.DUMMYFUNCTION("""COMPUTED_VALUE"""),187.91)</f>
        <v/>
      </c>
      <c r="D228" s="141">
        <f>IFERROR(__xludf.DUMMYFUNCTION("""COMPUTED_VALUE"""),190.65)</f>
        <v/>
      </c>
      <c r="E228" s="141">
        <f>IFERROR(__xludf.DUMMYFUNCTION("""COMPUTED_VALUE"""),187.37)</f>
        <v/>
      </c>
      <c r="F228" s="141">
        <f>IFERROR(__xludf.DUMMYFUNCTION("""COMPUTED_VALUE"""),189.72)</f>
        <v/>
      </c>
      <c r="G228" s="143">
        <f>IFERROR(__xludf.DUMMYFUNCTION("""COMPUTED_VALUE"""),70399988)</f>
        <v/>
      </c>
      <c r="H228" s="27" t="n"/>
    </row>
    <row r="229" ht="17.25" customHeight="1" s="322">
      <c r="A229" s="27" t="n"/>
      <c r="B229" s="506">
        <f>IFERROR(__xludf.DUMMYFUNCTION("""COMPUTED_VALUE"""),45428.6666666666)</f>
        <v/>
      </c>
      <c r="C229" s="141">
        <f>IFERROR(__xludf.DUMMYFUNCTION("""COMPUTED_VALUE"""),190.47)</f>
        <v/>
      </c>
      <c r="D229" s="141">
        <f>IFERROR(__xludf.DUMMYFUNCTION("""COMPUTED_VALUE"""),191.1)</f>
        <v/>
      </c>
      <c r="E229" s="141">
        <f>IFERROR(__xludf.DUMMYFUNCTION("""COMPUTED_VALUE"""),189.66)</f>
        <v/>
      </c>
      <c r="F229" s="141">
        <f>IFERROR(__xludf.DUMMYFUNCTION("""COMPUTED_VALUE"""),189.84)</f>
        <v/>
      </c>
      <c r="G229" s="143">
        <f>IFERROR(__xludf.DUMMYFUNCTION("""COMPUTED_VALUE"""),52845230)</f>
        <v/>
      </c>
      <c r="H229" s="27" t="n"/>
    </row>
    <row r="230" ht="17.25" customHeight="1" s="322">
      <c r="A230" s="27" t="n"/>
      <c r="B230" s="506">
        <f>IFERROR(__xludf.DUMMYFUNCTION("""COMPUTED_VALUE"""),45429.6666666666)</f>
        <v/>
      </c>
      <c r="C230" s="141">
        <f>IFERROR(__xludf.DUMMYFUNCTION("""COMPUTED_VALUE"""),189.51)</f>
        <v/>
      </c>
      <c r="D230" s="141">
        <f>IFERROR(__xludf.DUMMYFUNCTION("""COMPUTED_VALUE"""),190.81)</f>
        <v/>
      </c>
      <c r="E230" s="141">
        <f>IFERROR(__xludf.DUMMYFUNCTION("""COMPUTED_VALUE"""),189.18)</f>
        <v/>
      </c>
      <c r="F230" s="141">
        <f>IFERROR(__xludf.DUMMYFUNCTION("""COMPUTED_VALUE"""),189.87)</f>
        <v/>
      </c>
      <c r="G230" s="143">
        <f>IFERROR(__xludf.DUMMYFUNCTION("""COMPUTED_VALUE"""),41282925)</f>
        <v/>
      </c>
      <c r="H230" s="27" t="n"/>
    </row>
    <row r="231" ht="17.25" customHeight="1" s="322">
      <c r="A231" s="27" t="n"/>
      <c r="B231" s="506">
        <f>IFERROR(__xludf.DUMMYFUNCTION("""COMPUTED_VALUE"""),45432.6666666666)</f>
        <v/>
      </c>
      <c r="C231" s="141">
        <f>IFERROR(__xludf.DUMMYFUNCTION("""COMPUTED_VALUE"""),189.35)</f>
        <v/>
      </c>
      <c r="D231" s="141">
        <f>IFERROR(__xludf.DUMMYFUNCTION("""COMPUTED_VALUE"""),191.92)</f>
        <v/>
      </c>
      <c r="E231" s="141">
        <f>IFERROR(__xludf.DUMMYFUNCTION("""COMPUTED_VALUE"""),189.01)</f>
        <v/>
      </c>
      <c r="F231" s="141">
        <f>IFERROR(__xludf.DUMMYFUNCTION("""COMPUTED_VALUE"""),191.04)</f>
        <v/>
      </c>
      <c r="G231" s="143">
        <f>IFERROR(__xludf.DUMMYFUNCTION("""COMPUTED_VALUE"""),44361275)</f>
        <v/>
      </c>
      <c r="H231" s="27" t="n"/>
    </row>
    <row r="232" ht="17.25" customHeight="1" s="322">
      <c r="A232" s="27" t="n"/>
      <c r="B232" s="506">
        <f>IFERROR(__xludf.DUMMYFUNCTION("""COMPUTED_VALUE"""),45433.6666666666)</f>
        <v/>
      </c>
      <c r="C232" s="141">
        <f>IFERROR(__xludf.DUMMYFUNCTION("""COMPUTED_VALUE"""),191.09)</f>
        <v/>
      </c>
      <c r="D232" s="141">
        <f>IFERROR(__xludf.DUMMYFUNCTION("""COMPUTED_VALUE"""),192.73)</f>
        <v/>
      </c>
      <c r="E232" s="141">
        <f>IFERROR(__xludf.DUMMYFUNCTION("""COMPUTED_VALUE"""),190.92)</f>
        <v/>
      </c>
      <c r="F232" s="141">
        <f>IFERROR(__xludf.DUMMYFUNCTION("""COMPUTED_VALUE"""),192.35)</f>
        <v/>
      </c>
      <c r="G232" s="143">
        <f>IFERROR(__xludf.DUMMYFUNCTION("""COMPUTED_VALUE"""),42309401)</f>
        <v/>
      </c>
      <c r="H232" s="27" t="n"/>
    </row>
    <row r="233" ht="17.25" customHeight="1" s="322">
      <c r="A233" s="27" t="n"/>
      <c r="B233" s="506">
        <f>IFERROR(__xludf.DUMMYFUNCTION("""COMPUTED_VALUE"""),45434.6666666666)</f>
        <v/>
      </c>
      <c r="C233" s="141">
        <f>IFERROR(__xludf.DUMMYFUNCTION("""COMPUTED_VALUE"""),192.27)</f>
        <v/>
      </c>
      <c r="D233" s="141">
        <f>IFERROR(__xludf.DUMMYFUNCTION("""COMPUTED_VALUE"""),192.82)</f>
        <v/>
      </c>
      <c r="E233" s="141">
        <f>IFERROR(__xludf.DUMMYFUNCTION("""COMPUTED_VALUE"""),190.27)</f>
        <v/>
      </c>
      <c r="F233" s="141">
        <f>IFERROR(__xludf.DUMMYFUNCTION("""COMPUTED_VALUE"""),190.9)</f>
        <v/>
      </c>
      <c r="G233" s="143">
        <f>IFERROR(__xludf.DUMMYFUNCTION("""COMPUTED_VALUE"""),34648547)</f>
        <v/>
      </c>
      <c r="H233" s="27" t="n"/>
    </row>
    <row r="234" ht="17.25" customHeight="1" s="322">
      <c r="A234" s="27" t="n"/>
      <c r="B234" s="506">
        <f>IFERROR(__xludf.DUMMYFUNCTION("""COMPUTED_VALUE"""),45435.6666666666)</f>
        <v/>
      </c>
      <c r="C234" s="141">
        <f>IFERROR(__xludf.DUMMYFUNCTION("""COMPUTED_VALUE"""),190.98)</f>
        <v/>
      </c>
      <c r="D234" s="141">
        <f>IFERROR(__xludf.DUMMYFUNCTION("""COMPUTED_VALUE"""),191)</f>
        <v/>
      </c>
      <c r="E234" s="141">
        <f>IFERROR(__xludf.DUMMYFUNCTION("""COMPUTED_VALUE"""),186.63)</f>
        <v/>
      </c>
      <c r="F234" s="141">
        <f>IFERROR(__xludf.DUMMYFUNCTION("""COMPUTED_VALUE"""),186.88)</f>
        <v/>
      </c>
      <c r="G234" s="143">
        <f>IFERROR(__xludf.DUMMYFUNCTION("""COMPUTED_VALUE"""),51005924)</f>
        <v/>
      </c>
      <c r="H234" s="27" t="n"/>
    </row>
    <row r="235" ht="17.25" customHeight="1" s="322">
      <c r="A235" s="27" t="n"/>
      <c r="B235" s="506">
        <f>IFERROR(__xludf.DUMMYFUNCTION("""COMPUTED_VALUE"""),45436.6666666666)</f>
        <v/>
      </c>
      <c r="C235" s="141">
        <f>IFERROR(__xludf.DUMMYFUNCTION("""COMPUTED_VALUE"""),188.82)</f>
        <v/>
      </c>
      <c r="D235" s="141">
        <f>IFERROR(__xludf.DUMMYFUNCTION("""COMPUTED_VALUE"""),190.58)</f>
        <v/>
      </c>
      <c r="E235" s="141">
        <f>IFERROR(__xludf.DUMMYFUNCTION("""COMPUTED_VALUE"""),188.04)</f>
        <v/>
      </c>
      <c r="F235" s="141">
        <f>IFERROR(__xludf.DUMMYFUNCTION("""COMPUTED_VALUE"""),189.98)</f>
        <v/>
      </c>
      <c r="G235" s="143">
        <f>IFERROR(__xludf.DUMMYFUNCTION("""COMPUTED_VALUE"""),36326975)</f>
        <v/>
      </c>
      <c r="H235" s="27" t="n"/>
    </row>
    <row r="236" ht="17.25" customHeight="1" s="322">
      <c r="A236" s="27" t="n"/>
      <c r="B236" s="506">
        <f>IFERROR(__xludf.DUMMYFUNCTION("""COMPUTED_VALUE"""),45440.6666666666)</f>
        <v/>
      </c>
      <c r="C236" s="141">
        <f>IFERROR(__xludf.DUMMYFUNCTION("""COMPUTED_VALUE"""),191.51)</f>
        <v/>
      </c>
      <c r="D236" s="141">
        <f>IFERROR(__xludf.DUMMYFUNCTION("""COMPUTED_VALUE"""),193)</f>
        <v/>
      </c>
      <c r="E236" s="141">
        <f>IFERROR(__xludf.DUMMYFUNCTION("""COMPUTED_VALUE"""),189.1)</f>
        <v/>
      </c>
      <c r="F236" s="141">
        <f>IFERROR(__xludf.DUMMYFUNCTION("""COMPUTED_VALUE"""),189.99)</f>
        <v/>
      </c>
      <c r="G236" s="143">
        <f>IFERROR(__xludf.DUMMYFUNCTION("""COMPUTED_VALUE"""),52280051)</f>
        <v/>
      </c>
      <c r="H236" s="27" t="n"/>
    </row>
    <row r="237" ht="17.25" customHeight="1" s="322">
      <c r="A237" s="27" t="n"/>
      <c r="B237" s="506">
        <f>IFERROR(__xludf.DUMMYFUNCTION("""COMPUTED_VALUE"""),45441.6666666666)</f>
        <v/>
      </c>
      <c r="C237" s="141">
        <f>IFERROR(__xludf.DUMMYFUNCTION("""COMPUTED_VALUE"""),189.61)</f>
        <v/>
      </c>
      <c r="D237" s="141">
        <f>IFERROR(__xludf.DUMMYFUNCTION("""COMPUTED_VALUE"""),192.25)</f>
        <v/>
      </c>
      <c r="E237" s="141">
        <f>IFERROR(__xludf.DUMMYFUNCTION("""COMPUTED_VALUE"""),189.51)</f>
        <v/>
      </c>
      <c r="F237" s="141">
        <f>IFERROR(__xludf.DUMMYFUNCTION("""COMPUTED_VALUE"""),190.29)</f>
        <v/>
      </c>
      <c r="G237" s="143">
        <f>IFERROR(__xludf.DUMMYFUNCTION("""COMPUTED_VALUE"""),53068016)</f>
        <v/>
      </c>
      <c r="H237" s="27" t="n"/>
    </row>
    <row r="238" ht="17.25" customHeight="1" s="322">
      <c r="A238" s="27" t="n"/>
      <c r="B238" s="506">
        <f>IFERROR(__xludf.DUMMYFUNCTION("""COMPUTED_VALUE"""),45442.6666666666)</f>
        <v/>
      </c>
      <c r="C238" s="141">
        <f>IFERROR(__xludf.DUMMYFUNCTION("""COMPUTED_VALUE"""),190.76)</f>
        <v/>
      </c>
      <c r="D238" s="141">
        <f>IFERROR(__xludf.DUMMYFUNCTION("""COMPUTED_VALUE"""),192.18)</f>
        <v/>
      </c>
      <c r="E238" s="141">
        <f>IFERROR(__xludf.DUMMYFUNCTION("""COMPUTED_VALUE"""),190.63)</f>
        <v/>
      </c>
      <c r="F238" s="141">
        <f>IFERROR(__xludf.DUMMYFUNCTION("""COMPUTED_VALUE"""),191.29)</f>
        <v/>
      </c>
      <c r="G238" s="143">
        <f>IFERROR(__xludf.DUMMYFUNCTION("""COMPUTED_VALUE"""),49947941)</f>
        <v/>
      </c>
      <c r="H238" s="27" t="n"/>
    </row>
    <row r="239" ht="17.25" customHeight="1" s="322">
      <c r="A239" s="27" t="n"/>
      <c r="B239" s="506">
        <f>IFERROR(__xludf.DUMMYFUNCTION("""COMPUTED_VALUE"""),45443.6666666666)</f>
        <v/>
      </c>
      <c r="C239" s="141">
        <f>IFERROR(__xludf.DUMMYFUNCTION("""COMPUTED_VALUE"""),191.44)</f>
        <v/>
      </c>
      <c r="D239" s="141">
        <f>IFERROR(__xludf.DUMMYFUNCTION("""COMPUTED_VALUE"""),192.57)</f>
        <v/>
      </c>
      <c r="E239" s="141">
        <f>IFERROR(__xludf.DUMMYFUNCTION("""COMPUTED_VALUE"""),189.91)</f>
        <v/>
      </c>
      <c r="F239" s="141">
        <f>IFERROR(__xludf.DUMMYFUNCTION("""COMPUTED_VALUE"""),192.25)</f>
        <v/>
      </c>
      <c r="G239" s="143">
        <f>IFERROR(__xludf.DUMMYFUNCTION("""COMPUTED_VALUE"""),75158277)</f>
        <v/>
      </c>
      <c r="H239" s="27" t="n"/>
    </row>
    <row r="240" ht="17.25" customHeight="1" s="322">
      <c r="A240" s="27" t="n"/>
      <c r="B240" s="506">
        <f>IFERROR(__xludf.DUMMYFUNCTION("""COMPUTED_VALUE"""),45446.6666666666)</f>
        <v/>
      </c>
      <c r="C240" s="141">
        <f>IFERROR(__xludf.DUMMYFUNCTION("""COMPUTED_VALUE"""),192.9)</f>
        <v/>
      </c>
      <c r="D240" s="141">
        <f>IFERROR(__xludf.DUMMYFUNCTION("""COMPUTED_VALUE"""),194.99)</f>
        <v/>
      </c>
      <c r="E240" s="141">
        <f>IFERROR(__xludf.DUMMYFUNCTION("""COMPUTED_VALUE"""),192.52)</f>
        <v/>
      </c>
      <c r="F240" s="141">
        <f>IFERROR(__xludf.DUMMYFUNCTION("""COMPUTED_VALUE"""),194.03)</f>
        <v/>
      </c>
      <c r="G240" s="143">
        <f>IFERROR(__xludf.DUMMYFUNCTION("""COMPUTED_VALUE"""),50080539)</f>
        <v/>
      </c>
      <c r="H240" s="27" t="n"/>
    </row>
    <row r="241" ht="17.25" customHeight="1" s="322">
      <c r="A241" s="27" t="n"/>
      <c r="B241" s="506">
        <f>IFERROR(__xludf.DUMMYFUNCTION("""COMPUTED_VALUE"""),45447.6666666666)</f>
        <v/>
      </c>
      <c r="C241" s="141">
        <f>IFERROR(__xludf.DUMMYFUNCTION("""COMPUTED_VALUE"""),194.64)</f>
        <v/>
      </c>
      <c r="D241" s="141">
        <f>IFERROR(__xludf.DUMMYFUNCTION("""COMPUTED_VALUE"""),195.32)</f>
        <v/>
      </c>
      <c r="E241" s="141">
        <f>IFERROR(__xludf.DUMMYFUNCTION("""COMPUTED_VALUE"""),193.03)</f>
        <v/>
      </c>
      <c r="F241" s="141">
        <f>IFERROR(__xludf.DUMMYFUNCTION("""COMPUTED_VALUE"""),194.35)</f>
        <v/>
      </c>
      <c r="G241" s="143">
        <f>IFERROR(__xludf.DUMMYFUNCTION("""COMPUTED_VALUE"""),47471445)</f>
        <v/>
      </c>
      <c r="H241" s="27" t="n"/>
    </row>
    <row r="242" ht="17.25" customHeight="1" s="322">
      <c r="A242" s="27" t="n"/>
      <c r="B242" s="506">
        <f>IFERROR(__xludf.DUMMYFUNCTION("""COMPUTED_VALUE"""),45448.6666666666)</f>
        <v/>
      </c>
      <c r="C242" s="141">
        <f>IFERROR(__xludf.DUMMYFUNCTION("""COMPUTED_VALUE"""),195.4)</f>
        <v/>
      </c>
      <c r="D242" s="141">
        <f>IFERROR(__xludf.DUMMYFUNCTION("""COMPUTED_VALUE"""),196.9)</f>
        <v/>
      </c>
      <c r="E242" s="141">
        <f>IFERROR(__xludf.DUMMYFUNCTION("""COMPUTED_VALUE"""),194.87)</f>
        <v/>
      </c>
      <c r="F242" s="141">
        <f>IFERROR(__xludf.DUMMYFUNCTION("""COMPUTED_VALUE"""),195.87)</f>
        <v/>
      </c>
      <c r="G242" s="143">
        <f>IFERROR(__xludf.DUMMYFUNCTION("""COMPUTED_VALUE"""),54156785)</f>
        <v/>
      </c>
      <c r="H242" s="27" t="n"/>
    </row>
    <row r="243" ht="17.25" customHeight="1" s="322">
      <c r="A243" s="27" t="n"/>
      <c r="B243" s="506">
        <f>IFERROR(__xludf.DUMMYFUNCTION("""COMPUTED_VALUE"""),45449.6666666666)</f>
        <v/>
      </c>
      <c r="C243" s="141">
        <f>IFERROR(__xludf.DUMMYFUNCTION("""COMPUTED_VALUE"""),195.69)</f>
        <v/>
      </c>
      <c r="D243" s="141">
        <f>IFERROR(__xludf.DUMMYFUNCTION("""COMPUTED_VALUE"""),196.5)</f>
        <v/>
      </c>
      <c r="E243" s="141">
        <f>IFERROR(__xludf.DUMMYFUNCTION("""COMPUTED_VALUE"""),194.17)</f>
        <v/>
      </c>
      <c r="F243" s="141">
        <f>IFERROR(__xludf.DUMMYFUNCTION("""COMPUTED_VALUE"""),194.48)</f>
        <v/>
      </c>
      <c r="G243" s="143">
        <f>IFERROR(__xludf.DUMMYFUNCTION("""COMPUTED_VALUE"""),41181753)</f>
        <v/>
      </c>
      <c r="H243" s="27" t="n"/>
    </row>
    <row r="244" ht="17.25" customHeight="1" s="322">
      <c r="A244" s="27" t="n"/>
      <c r="B244" s="506">
        <f>IFERROR(__xludf.DUMMYFUNCTION("""COMPUTED_VALUE"""),45450.6666666666)</f>
        <v/>
      </c>
      <c r="C244" s="141">
        <f>IFERROR(__xludf.DUMMYFUNCTION("""COMPUTED_VALUE"""),194.65)</f>
        <v/>
      </c>
      <c r="D244" s="141">
        <f>IFERROR(__xludf.DUMMYFUNCTION("""COMPUTED_VALUE"""),196.94)</f>
        <v/>
      </c>
      <c r="E244" s="141">
        <f>IFERROR(__xludf.DUMMYFUNCTION("""COMPUTED_VALUE"""),194.14)</f>
        <v/>
      </c>
      <c r="F244" s="141">
        <f>IFERROR(__xludf.DUMMYFUNCTION("""COMPUTED_VALUE"""),196.89)</f>
        <v/>
      </c>
      <c r="G244" s="143">
        <f>IFERROR(__xludf.DUMMYFUNCTION("""COMPUTED_VALUE"""),53103912)</f>
        <v/>
      </c>
      <c r="H244" s="27" t="n"/>
    </row>
    <row r="245" ht="17.25" customHeight="1" s="322">
      <c r="A245" s="27" t="n"/>
      <c r="B245" s="506">
        <f>IFERROR(__xludf.DUMMYFUNCTION("""COMPUTED_VALUE"""),45453.6666666666)</f>
        <v/>
      </c>
      <c r="C245" s="141">
        <f>IFERROR(__xludf.DUMMYFUNCTION("""COMPUTED_VALUE"""),196.9)</f>
        <v/>
      </c>
      <c r="D245" s="141">
        <f>IFERROR(__xludf.DUMMYFUNCTION("""COMPUTED_VALUE"""),197.3)</f>
        <v/>
      </c>
      <c r="E245" s="141">
        <f>IFERROR(__xludf.DUMMYFUNCTION("""COMPUTED_VALUE"""),192.15)</f>
        <v/>
      </c>
      <c r="F245" s="141">
        <f>IFERROR(__xludf.DUMMYFUNCTION("""COMPUTED_VALUE"""),193.12)</f>
        <v/>
      </c>
      <c r="G245" s="143">
        <f>IFERROR(__xludf.DUMMYFUNCTION("""COMPUTED_VALUE"""),97262077)</f>
        <v/>
      </c>
      <c r="H245" s="27" t="n"/>
    </row>
    <row r="246" ht="17.25" customHeight="1" s="322">
      <c r="A246" s="27" t="n"/>
      <c r="B246" s="506">
        <f>IFERROR(__xludf.DUMMYFUNCTION("""COMPUTED_VALUE"""),45454.6666666666)</f>
        <v/>
      </c>
      <c r="C246" s="141">
        <f>IFERROR(__xludf.DUMMYFUNCTION("""COMPUTED_VALUE"""),193.65)</f>
        <v/>
      </c>
      <c r="D246" s="141">
        <f>IFERROR(__xludf.DUMMYFUNCTION("""COMPUTED_VALUE"""),207.16)</f>
        <v/>
      </c>
      <c r="E246" s="141">
        <f>IFERROR(__xludf.DUMMYFUNCTION("""COMPUTED_VALUE"""),193.63)</f>
        <v/>
      </c>
      <c r="F246" s="141">
        <f>IFERROR(__xludf.DUMMYFUNCTION("""COMPUTED_VALUE"""),207.15)</f>
        <v/>
      </c>
      <c r="G246" s="143">
        <f>IFERROR(__xludf.DUMMYFUNCTION("""COMPUTED_VALUE"""),172373296)</f>
        <v/>
      </c>
      <c r="H246" s="27" t="n"/>
    </row>
    <row r="247" ht="17.25" customHeight="1" s="322">
      <c r="A247" s="27" t="n"/>
      <c r="B247" s="506">
        <f>IFERROR(__xludf.DUMMYFUNCTION("""COMPUTED_VALUE"""),45455.6666666666)</f>
        <v/>
      </c>
      <c r="C247" s="141">
        <f>IFERROR(__xludf.DUMMYFUNCTION("""COMPUTED_VALUE"""),207.37)</f>
        <v/>
      </c>
      <c r="D247" s="141">
        <f>IFERROR(__xludf.DUMMYFUNCTION("""COMPUTED_VALUE"""),220.2)</f>
        <v/>
      </c>
      <c r="E247" s="141">
        <f>IFERROR(__xludf.DUMMYFUNCTION("""COMPUTED_VALUE"""),206.9)</f>
        <v/>
      </c>
      <c r="F247" s="141">
        <f>IFERROR(__xludf.DUMMYFUNCTION("""COMPUTED_VALUE"""),213.07)</f>
        <v/>
      </c>
      <c r="G247" s="143">
        <f>IFERROR(__xludf.DUMMYFUNCTION("""COMPUTED_VALUE"""),198134293)</f>
        <v/>
      </c>
      <c r="H247" s="27" t="n"/>
    </row>
    <row r="248" ht="17.25" customHeight="1" s="322">
      <c r="A248" s="27" t="n"/>
      <c r="B248" s="506">
        <f>IFERROR(__xludf.DUMMYFUNCTION("""COMPUTED_VALUE"""),45456.6666666666)</f>
        <v/>
      </c>
      <c r="C248" s="141">
        <f>IFERROR(__xludf.DUMMYFUNCTION("""COMPUTED_VALUE"""),214.74)</f>
        <v/>
      </c>
      <c r="D248" s="141">
        <f>IFERROR(__xludf.DUMMYFUNCTION("""COMPUTED_VALUE"""),216.75)</f>
        <v/>
      </c>
      <c r="E248" s="141">
        <f>IFERROR(__xludf.DUMMYFUNCTION("""COMPUTED_VALUE"""),211.6)</f>
        <v/>
      </c>
      <c r="F248" s="141">
        <f>IFERROR(__xludf.DUMMYFUNCTION("""COMPUTED_VALUE"""),214.24)</f>
        <v/>
      </c>
      <c r="G248" s="143">
        <f>IFERROR(__xludf.DUMMYFUNCTION("""COMPUTED_VALUE"""),97862729)</f>
        <v/>
      </c>
      <c r="H248" s="27" t="n"/>
    </row>
    <row r="249" ht="17.25" customHeight="1" s="322">
      <c r="A249" s="27" t="n"/>
      <c r="B249" s="506">
        <f>IFERROR(__xludf.DUMMYFUNCTION("""COMPUTED_VALUE"""),45457.6666666666)</f>
        <v/>
      </c>
      <c r="C249" s="141">
        <f>IFERROR(__xludf.DUMMYFUNCTION("""COMPUTED_VALUE"""),213.85)</f>
        <v/>
      </c>
      <c r="D249" s="141">
        <f>IFERROR(__xludf.DUMMYFUNCTION("""COMPUTED_VALUE"""),215.17)</f>
        <v/>
      </c>
      <c r="E249" s="141">
        <f>IFERROR(__xludf.DUMMYFUNCTION("""COMPUTED_VALUE"""),211.3)</f>
        <v/>
      </c>
      <c r="F249" s="141">
        <f>IFERROR(__xludf.DUMMYFUNCTION("""COMPUTED_VALUE"""),212.49)</f>
        <v/>
      </c>
      <c r="G249" s="143">
        <f>IFERROR(__xludf.DUMMYFUNCTION("""COMPUTED_VALUE"""),70122748)</f>
        <v/>
      </c>
      <c r="H249" s="27" t="n"/>
    </row>
    <row r="250" ht="17.25" customHeight="1" s="322">
      <c r="A250" s="27" t="n"/>
      <c r="B250" s="506">
        <f>IFERROR(__xludf.DUMMYFUNCTION("""COMPUTED_VALUE"""),45460.6666666666)</f>
        <v/>
      </c>
      <c r="C250" s="141">
        <f>IFERROR(__xludf.DUMMYFUNCTION("""COMPUTED_VALUE"""),213.37)</f>
        <v/>
      </c>
      <c r="D250" s="141">
        <f>IFERROR(__xludf.DUMMYFUNCTION("""COMPUTED_VALUE"""),218.95)</f>
        <v/>
      </c>
      <c r="E250" s="141">
        <f>IFERROR(__xludf.DUMMYFUNCTION("""COMPUTED_VALUE"""),212.72)</f>
        <v/>
      </c>
      <c r="F250" s="141">
        <f>IFERROR(__xludf.DUMMYFUNCTION("""COMPUTED_VALUE"""),216.67)</f>
        <v/>
      </c>
      <c r="G250" s="143">
        <f>IFERROR(__xludf.DUMMYFUNCTION("""COMPUTED_VALUE"""),93728300)</f>
        <v/>
      </c>
      <c r="H250" s="27" t="n"/>
    </row>
    <row r="251" ht="17.25" customHeight="1" s="322">
      <c r="A251" s="27" t="n"/>
      <c r="B251" s="506">
        <f>IFERROR(__xludf.DUMMYFUNCTION("""COMPUTED_VALUE"""),45461.6666666666)</f>
        <v/>
      </c>
      <c r="C251" s="141">
        <f>IFERROR(__xludf.DUMMYFUNCTION("""COMPUTED_VALUE"""),217.59)</f>
        <v/>
      </c>
      <c r="D251" s="141">
        <f>IFERROR(__xludf.DUMMYFUNCTION("""COMPUTED_VALUE"""),218.63)</f>
        <v/>
      </c>
      <c r="E251" s="141">
        <f>IFERROR(__xludf.DUMMYFUNCTION("""COMPUTED_VALUE"""),213)</f>
        <v/>
      </c>
      <c r="F251" s="141">
        <f>IFERROR(__xludf.DUMMYFUNCTION("""COMPUTED_VALUE"""),214.29)</f>
        <v/>
      </c>
      <c r="G251" s="143">
        <f>IFERROR(__xludf.DUMMYFUNCTION("""COMPUTED_VALUE"""),79943254)</f>
        <v/>
      </c>
      <c r="H251" s="27" t="n"/>
    </row>
    <row r="252" ht="17.25" customHeight="1" s="322">
      <c r="A252" s="27" t="n"/>
      <c r="B252" s="506">
        <f>IFERROR(__xludf.DUMMYFUNCTION("""COMPUTED_VALUE"""),45463.6666666666)</f>
        <v/>
      </c>
      <c r="C252" s="141">
        <f>IFERROR(__xludf.DUMMYFUNCTION("""COMPUTED_VALUE"""),213.93)</f>
        <v/>
      </c>
      <c r="D252" s="141">
        <f>IFERROR(__xludf.DUMMYFUNCTION("""COMPUTED_VALUE"""),214.24)</f>
        <v/>
      </c>
      <c r="E252" s="141">
        <f>IFERROR(__xludf.DUMMYFUNCTION("""COMPUTED_VALUE"""),208.85)</f>
        <v/>
      </c>
      <c r="F252" s="141">
        <f>IFERROR(__xludf.DUMMYFUNCTION("""COMPUTED_VALUE"""),209.68)</f>
        <v/>
      </c>
      <c r="G252" s="143">
        <f>IFERROR(__xludf.DUMMYFUNCTION("""COMPUTED_VALUE"""),86172451)</f>
        <v/>
      </c>
      <c r="H252" s="27" t="n"/>
    </row>
    <row r="253" ht="17.25" customHeight="1" s="322">
      <c r="A253" s="27" t="n"/>
      <c r="B253" s="506">
        <f>IFERROR(__xludf.DUMMYFUNCTION("""COMPUTED_VALUE"""),45464.6666666666)</f>
        <v/>
      </c>
      <c r="C253" s="141">
        <f>IFERROR(__xludf.DUMMYFUNCTION("""COMPUTED_VALUE"""),210.39)</f>
        <v/>
      </c>
      <c r="D253" s="141">
        <f>IFERROR(__xludf.DUMMYFUNCTION("""COMPUTED_VALUE"""),211.89)</f>
        <v/>
      </c>
      <c r="E253" s="141">
        <f>IFERROR(__xludf.DUMMYFUNCTION("""COMPUTED_VALUE"""),207.11)</f>
        <v/>
      </c>
      <c r="F253" s="141">
        <f>IFERROR(__xludf.DUMMYFUNCTION("""COMPUTED_VALUE"""),207.49)</f>
        <v/>
      </c>
      <c r="G253" s="143">
        <f>IFERROR(__xludf.DUMMYFUNCTION("""COMPUTED_VALUE"""),246421353)</f>
        <v/>
      </c>
      <c r="H253" s="27" t="n"/>
    </row>
    <row r="254" ht="17.25" customHeight="1" s="322">
      <c r="A254" s="27" t="n"/>
      <c r="B254" s="506">
        <f>IFERROR(__xludf.DUMMYFUNCTION("""COMPUTED_VALUE"""),45467.6666666666)</f>
        <v/>
      </c>
      <c r="C254" s="141">
        <f>IFERROR(__xludf.DUMMYFUNCTION("""COMPUTED_VALUE"""),207.72)</f>
        <v/>
      </c>
      <c r="D254" s="141">
        <f>IFERROR(__xludf.DUMMYFUNCTION("""COMPUTED_VALUE"""),212.7)</f>
        <v/>
      </c>
      <c r="E254" s="141">
        <f>IFERROR(__xludf.DUMMYFUNCTION("""COMPUTED_VALUE"""),206.59)</f>
        <v/>
      </c>
      <c r="F254" s="141">
        <f>IFERROR(__xludf.DUMMYFUNCTION("""COMPUTED_VALUE"""),208.14)</f>
        <v/>
      </c>
      <c r="G254" s="143">
        <f>IFERROR(__xludf.DUMMYFUNCTION("""COMPUTED_VALUE"""),80727006)</f>
        <v/>
      </c>
      <c r="H254" s="27" t="n"/>
    </row>
    <row r="255" ht="17.25" customHeight="1" s="322">
      <c r="A255" s="27" t="n"/>
      <c r="B255" s="506">
        <f>IFERROR(__xludf.DUMMYFUNCTION("""COMPUTED_VALUE"""),45468.6666666666)</f>
        <v/>
      </c>
      <c r="C255" s="141">
        <f>IFERROR(__xludf.DUMMYFUNCTION("""COMPUTED_VALUE"""),209.15)</f>
        <v/>
      </c>
      <c r="D255" s="141">
        <f>IFERROR(__xludf.DUMMYFUNCTION("""COMPUTED_VALUE"""),211.38)</f>
        <v/>
      </c>
      <c r="E255" s="141">
        <f>IFERROR(__xludf.DUMMYFUNCTION("""COMPUTED_VALUE"""),208.61)</f>
        <v/>
      </c>
      <c r="F255" s="141">
        <f>IFERROR(__xludf.DUMMYFUNCTION("""COMPUTED_VALUE"""),209.07)</f>
        <v/>
      </c>
      <c r="G255" s="143">
        <f>IFERROR(__xludf.DUMMYFUNCTION("""COMPUTED_VALUE"""),56713868)</f>
        <v/>
      </c>
      <c r="H255" s="27" t="n"/>
    </row>
    <row r="256" ht="17.25" customHeight="1" s="322">
      <c r="A256" s="27" t="n"/>
      <c r="B256" s="506">
        <f>IFERROR(__xludf.DUMMYFUNCTION("""COMPUTED_VALUE"""),45469.6666666666)</f>
        <v/>
      </c>
      <c r="C256" s="141">
        <f>IFERROR(__xludf.DUMMYFUNCTION("""COMPUTED_VALUE"""),211.5)</f>
        <v/>
      </c>
      <c r="D256" s="141">
        <f>IFERROR(__xludf.DUMMYFUNCTION("""COMPUTED_VALUE"""),214.86)</f>
        <v/>
      </c>
      <c r="E256" s="141">
        <f>IFERROR(__xludf.DUMMYFUNCTION("""COMPUTED_VALUE"""),210.64)</f>
        <v/>
      </c>
      <c r="F256" s="141">
        <f>IFERROR(__xludf.DUMMYFUNCTION("""COMPUTED_VALUE"""),213.25)</f>
        <v/>
      </c>
      <c r="G256" s="143">
        <f>IFERROR(__xludf.DUMMYFUNCTION("""COMPUTED_VALUE"""),66213186)</f>
        <v/>
      </c>
      <c r="H256" s="27" t="n"/>
    </row>
    <row r="257" ht="17.25" customHeight="1" s="322">
      <c r="A257" s="27" t="n"/>
      <c r="B257" s="506">
        <f>IFERROR(__xludf.DUMMYFUNCTION("""COMPUTED_VALUE"""),45470.6666666666)</f>
        <v/>
      </c>
      <c r="C257" s="141">
        <f>IFERROR(__xludf.DUMMYFUNCTION("""COMPUTED_VALUE"""),214.69)</f>
        <v/>
      </c>
      <c r="D257" s="141">
        <f>IFERROR(__xludf.DUMMYFUNCTION("""COMPUTED_VALUE"""),215.74)</f>
        <v/>
      </c>
      <c r="E257" s="141">
        <f>IFERROR(__xludf.DUMMYFUNCTION("""COMPUTED_VALUE"""),212.35)</f>
        <v/>
      </c>
      <c r="F257" s="141">
        <f>IFERROR(__xludf.DUMMYFUNCTION("""COMPUTED_VALUE"""),214.1)</f>
        <v/>
      </c>
      <c r="G257" s="143">
        <f>IFERROR(__xludf.DUMMYFUNCTION("""COMPUTED_VALUE"""),49772707)</f>
        <v/>
      </c>
      <c r="H257" s="27" t="n"/>
    </row>
    <row r="258" ht="17.25" customHeight="1" s="322">
      <c r="A258" s="27" t="n"/>
      <c r="B258" s="506">
        <f>IFERROR(__xludf.DUMMYFUNCTION("""COMPUTED_VALUE"""),45471.6666666666)</f>
        <v/>
      </c>
      <c r="C258" s="141">
        <f>IFERROR(__xludf.DUMMYFUNCTION("""COMPUTED_VALUE"""),215.77)</f>
        <v/>
      </c>
      <c r="D258" s="141">
        <f>IFERROR(__xludf.DUMMYFUNCTION("""COMPUTED_VALUE"""),216.07)</f>
        <v/>
      </c>
      <c r="E258" s="141">
        <f>IFERROR(__xludf.DUMMYFUNCTION("""COMPUTED_VALUE"""),210.3)</f>
        <v/>
      </c>
      <c r="F258" s="141">
        <f>IFERROR(__xludf.DUMMYFUNCTION("""COMPUTED_VALUE"""),210.62)</f>
        <v/>
      </c>
      <c r="G258" s="143">
        <f>IFERROR(__xludf.DUMMYFUNCTION("""COMPUTED_VALUE"""),82542718)</f>
        <v/>
      </c>
      <c r="H258" s="27" t="n"/>
    </row>
    <row r="259" ht="17.25" customHeight="1" s="322">
      <c r="A259" s="27" t="n"/>
      <c r="B259" s="506">
        <f>IFERROR(__xludf.DUMMYFUNCTION("""COMPUTED_VALUE"""),45474.6666666666)</f>
        <v/>
      </c>
      <c r="C259" s="141">
        <f>IFERROR(__xludf.DUMMYFUNCTION("""COMPUTED_VALUE"""),212.09)</f>
        <v/>
      </c>
      <c r="D259" s="141">
        <f>IFERROR(__xludf.DUMMYFUNCTION("""COMPUTED_VALUE"""),217.51)</f>
        <v/>
      </c>
      <c r="E259" s="141">
        <f>IFERROR(__xludf.DUMMYFUNCTION("""COMPUTED_VALUE"""),211.92)</f>
        <v/>
      </c>
      <c r="F259" s="141">
        <f>IFERROR(__xludf.DUMMYFUNCTION("""COMPUTED_VALUE"""),216.75)</f>
        <v/>
      </c>
      <c r="G259" s="143">
        <f>IFERROR(__xludf.DUMMYFUNCTION("""COMPUTED_VALUE"""),60402929)</f>
        <v/>
      </c>
      <c r="H259" s="27" t="n"/>
    </row>
    <row r="260" ht="17.25" customHeight="1" s="322">
      <c r="A260" s="27" t="n"/>
      <c r="B260" s="506">
        <f>IFERROR(__xludf.DUMMYFUNCTION("""COMPUTED_VALUE"""),45475.6666666666)</f>
        <v/>
      </c>
      <c r="C260" s="141">
        <f>IFERROR(__xludf.DUMMYFUNCTION("""COMPUTED_VALUE"""),216.15)</f>
        <v/>
      </c>
      <c r="D260" s="141">
        <f>IFERROR(__xludf.DUMMYFUNCTION("""COMPUTED_VALUE"""),220.38)</f>
        <v/>
      </c>
      <c r="E260" s="141">
        <f>IFERROR(__xludf.DUMMYFUNCTION("""COMPUTED_VALUE"""),215.1)</f>
        <v/>
      </c>
      <c r="F260" s="141">
        <f>IFERROR(__xludf.DUMMYFUNCTION("""COMPUTED_VALUE"""),220.27)</f>
        <v/>
      </c>
      <c r="G260" s="143">
        <f>IFERROR(__xludf.DUMMYFUNCTION("""COMPUTED_VALUE"""),58046178)</f>
        <v/>
      </c>
      <c r="H260" s="27" t="n"/>
    </row>
    <row r="261" ht="17.25" customHeight="1" s="322">
      <c r="A261" s="27" t="n"/>
      <c r="B261" s="506">
        <f>IFERROR(__xludf.DUMMYFUNCTION("""COMPUTED_VALUE"""),45476.5451388888)</f>
        <v/>
      </c>
      <c r="C261" s="141">
        <f>IFERROR(__xludf.DUMMYFUNCTION("""COMPUTED_VALUE"""),220)</f>
        <v/>
      </c>
      <c r="D261" s="141">
        <f>IFERROR(__xludf.DUMMYFUNCTION("""COMPUTED_VALUE"""),221.55)</f>
        <v/>
      </c>
      <c r="E261" s="141">
        <f>IFERROR(__xludf.DUMMYFUNCTION("""COMPUTED_VALUE"""),219.03)</f>
        <v/>
      </c>
      <c r="F261" s="141">
        <f>IFERROR(__xludf.DUMMYFUNCTION("""COMPUTED_VALUE"""),221.55)</f>
        <v/>
      </c>
      <c r="G261" s="143">
        <f>IFERROR(__xludf.DUMMYFUNCTION("""COMPUTED_VALUE"""),37369801)</f>
        <v/>
      </c>
      <c r="H261" s="27" t="n"/>
    </row>
    <row r="262" ht="17.25" customHeight="1" s="322">
      <c r="A262" s="27" t="n"/>
      <c r="B262" s="506">
        <f>IFERROR(__xludf.DUMMYFUNCTION("""COMPUTED_VALUE"""),45478.6666666666)</f>
        <v/>
      </c>
      <c r="C262" s="141">
        <f>IFERROR(__xludf.DUMMYFUNCTION("""COMPUTED_VALUE"""),221.65)</f>
        <v/>
      </c>
      <c r="D262" s="141">
        <f>IFERROR(__xludf.DUMMYFUNCTION("""COMPUTED_VALUE"""),226.45)</f>
        <v/>
      </c>
      <c r="E262" s="141">
        <f>IFERROR(__xludf.DUMMYFUNCTION("""COMPUTED_VALUE"""),221.65)</f>
        <v/>
      </c>
      <c r="F262" s="141">
        <f>IFERROR(__xludf.DUMMYFUNCTION("""COMPUTED_VALUE"""),226.34)</f>
        <v/>
      </c>
      <c r="G262" s="143">
        <f>IFERROR(__xludf.DUMMYFUNCTION("""COMPUTED_VALUE"""),60412408)</f>
        <v/>
      </c>
      <c r="H262" s="27" t="n"/>
    </row>
    <row r="263" ht="17.25" customHeight="1" s="322">
      <c r="A263" s="27" t="n"/>
      <c r="B263" s="506">
        <f>IFERROR(__xludf.DUMMYFUNCTION("""COMPUTED_VALUE"""),45481.6666666666)</f>
        <v/>
      </c>
      <c r="C263" s="141">
        <f>IFERROR(__xludf.DUMMYFUNCTION("""COMPUTED_VALUE"""),227.09)</f>
        <v/>
      </c>
      <c r="D263" s="141">
        <f>IFERROR(__xludf.DUMMYFUNCTION("""COMPUTED_VALUE"""),227.85)</f>
        <v/>
      </c>
      <c r="E263" s="141">
        <f>IFERROR(__xludf.DUMMYFUNCTION("""COMPUTED_VALUE"""),223.25)</f>
        <v/>
      </c>
      <c r="F263" s="141">
        <f>IFERROR(__xludf.DUMMYFUNCTION("""COMPUTED_VALUE"""),227.82)</f>
        <v/>
      </c>
      <c r="G263" s="143">
        <f>IFERROR(__xludf.DUMMYFUNCTION("""COMPUTED_VALUE"""),59085861)</f>
        <v/>
      </c>
      <c r="H263" s="27" t="n"/>
    </row>
    <row r="264" ht="17.25" customHeight="1" s="322">
      <c r="A264" s="27" t="n"/>
      <c r="B264" s="506">
        <f>IFERROR(__xludf.DUMMYFUNCTION("""COMPUTED_VALUE"""),45482.6666666666)</f>
        <v/>
      </c>
      <c r="C264" s="141">
        <f>IFERROR(__xludf.DUMMYFUNCTION("""COMPUTED_VALUE"""),227.93)</f>
        <v/>
      </c>
      <c r="D264" s="141">
        <f>IFERROR(__xludf.DUMMYFUNCTION("""COMPUTED_VALUE"""),229.4)</f>
        <v/>
      </c>
      <c r="E264" s="141">
        <f>IFERROR(__xludf.DUMMYFUNCTION("""COMPUTED_VALUE"""),226.37)</f>
        <v/>
      </c>
      <c r="F264" s="141">
        <f>IFERROR(__xludf.DUMMYFUNCTION("""COMPUTED_VALUE"""),228.68)</f>
        <v/>
      </c>
      <c r="G264" s="143">
        <f>IFERROR(__xludf.DUMMYFUNCTION("""COMPUTED_VALUE"""),48169822)</f>
        <v/>
      </c>
      <c r="H264" s="27" t="n"/>
    </row>
    <row r="265" ht="17.25" customHeight="1" s="322">
      <c r="A265" s="27" t="n"/>
      <c r="B265" s="506">
        <f>IFERROR(__xludf.DUMMYFUNCTION("""COMPUTED_VALUE"""),45483.6666666666)</f>
        <v/>
      </c>
      <c r="C265" s="141">
        <f>IFERROR(__xludf.DUMMYFUNCTION("""COMPUTED_VALUE"""),229.3)</f>
        <v/>
      </c>
      <c r="D265" s="141">
        <f>IFERROR(__xludf.DUMMYFUNCTION("""COMPUTED_VALUE"""),233.08)</f>
        <v/>
      </c>
      <c r="E265" s="141">
        <f>IFERROR(__xludf.DUMMYFUNCTION("""COMPUTED_VALUE"""),229.25)</f>
        <v/>
      </c>
      <c r="F265" s="141">
        <f>IFERROR(__xludf.DUMMYFUNCTION("""COMPUTED_VALUE"""),232.98)</f>
        <v/>
      </c>
      <c r="G265" s="143">
        <f>IFERROR(__xludf.DUMMYFUNCTION("""COMPUTED_VALUE"""),62627687)</f>
        <v/>
      </c>
      <c r="H265" s="27" t="n"/>
    </row>
    <row r="266" ht="17.25" customHeight="1" s="322">
      <c r="A266" s="27" t="n"/>
      <c r="B266" s="506">
        <f>IFERROR(__xludf.DUMMYFUNCTION("""COMPUTED_VALUE"""),45484.6666666666)</f>
        <v/>
      </c>
      <c r="C266" s="141">
        <f>IFERROR(__xludf.DUMMYFUNCTION("""COMPUTED_VALUE"""),231.39)</f>
        <v/>
      </c>
      <c r="D266" s="141">
        <f>IFERROR(__xludf.DUMMYFUNCTION("""COMPUTED_VALUE"""),232.39)</f>
        <v/>
      </c>
      <c r="E266" s="141">
        <f>IFERROR(__xludf.DUMMYFUNCTION("""COMPUTED_VALUE"""),225.77)</f>
        <v/>
      </c>
      <c r="F266" s="141">
        <f>IFERROR(__xludf.DUMMYFUNCTION("""COMPUTED_VALUE"""),227.57)</f>
        <v/>
      </c>
      <c r="G266" s="143">
        <f>IFERROR(__xludf.DUMMYFUNCTION("""COMPUTED_VALUE"""),64710617)</f>
        <v/>
      </c>
      <c r="H266" s="27" t="n"/>
    </row>
    <row r="267" ht="17.25" customHeight="1" s="322">
      <c r="A267" s="27" t="n"/>
      <c r="B267" s="506">
        <f>IFERROR(__xludf.DUMMYFUNCTION("""COMPUTED_VALUE"""),45485.6666666666)</f>
        <v/>
      </c>
      <c r="C267" s="141">
        <f>IFERROR(__xludf.DUMMYFUNCTION("""COMPUTED_VALUE"""),228.92)</f>
        <v/>
      </c>
      <c r="D267" s="141">
        <f>IFERROR(__xludf.DUMMYFUNCTION("""COMPUTED_VALUE"""),232.64)</f>
        <v/>
      </c>
      <c r="E267" s="141">
        <f>IFERROR(__xludf.DUMMYFUNCTION("""COMPUTED_VALUE"""),228.68)</f>
        <v/>
      </c>
      <c r="F267" s="141">
        <f>IFERROR(__xludf.DUMMYFUNCTION("""COMPUTED_VALUE"""),230.54)</f>
        <v/>
      </c>
      <c r="G267" s="143">
        <f>IFERROR(__xludf.DUMMYFUNCTION("""COMPUTED_VALUE"""),53046527)</f>
        <v/>
      </c>
      <c r="H267" s="27" t="n"/>
    </row>
    <row r="268" ht="17.25" customHeight="1" s="322">
      <c r="A268" s="27" t="n"/>
      <c r="B268" s="506">
        <f>IFERROR(__xludf.DUMMYFUNCTION("""COMPUTED_VALUE"""),45488.6666666666)</f>
        <v/>
      </c>
      <c r="C268" s="141">
        <f>IFERROR(__xludf.DUMMYFUNCTION("""COMPUTED_VALUE"""),236.48)</f>
        <v/>
      </c>
      <c r="D268" s="141">
        <f>IFERROR(__xludf.DUMMYFUNCTION("""COMPUTED_VALUE"""),237.23)</f>
        <v/>
      </c>
      <c r="E268" s="141">
        <f>IFERROR(__xludf.DUMMYFUNCTION("""COMPUTED_VALUE"""),233.09)</f>
        <v/>
      </c>
      <c r="F268" s="141">
        <f>IFERROR(__xludf.DUMMYFUNCTION("""COMPUTED_VALUE"""),234.4)</f>
        <v/>
      </c>
      <c r="G268" s="143">
        <f>IFERROR(__xludf.DUMMYFUNCTION("""COMPUTED_VALUE"""),62631252)</f>
        <v/>
      </c>
      <c r="H268" s="27" t="n"/>
    </row>
    <row r="269" ht="17.25" customHeight="1" s="322">
      <c r="A269" s="27" t="n"/>
      <c r="B269" s="506">
        <f>IFERROR(__xludf.DUMMYFUNCTION("""COMPUTED_VALUE"""),45489.6666666666)</f>
        <v/>
      </c>
      <c r="C269" s="141">
        <f>IFERROR(__xludf.DUMMYFUNCTION("""COMPUTED_VALUE"""),235)</f>
        <v/>
      </c>
      <c r="D269" s="141">
        <f>IFERROR(__xludf.DUMMYFUNCTION("""COMPUTED_VALUE"""),236.27)</f>
        <v/>
      </c>
      <c r="E269" s="141">
        <f>IFERROR(__xludf.DUMMYFUNCTION("""COMPUTED_VALUE"""),232.33)</f>
        <v/>
      </c>
      <c r="F269" s="141">
        <f>IFERROR(__xludf.DUMMYFUNCTION("""COMPUTED_VALUE"""),234.82)</f>
        <v/>
      </c>
      <c r="G269" s="143">
        <f>IFERROR(__xludf.DUMMYFUNCTION("""COMPUTED_VALUE"""),43234278)</f>
        <v/>
      </c>
      <c r="H269" s="27" t="n"/>
    </row>
    <row r="270" ht="17.25" customHeight="1" s="322">
      <c r="A270" s="27" t="n"/>
      <c r="B270" s="506">
        <f>IFERROR(__xludf.DUMMYFUNCTION("""COMPUTED_VALUE"""),45490.6666666666)</f>
        <v/>
      </c>
      <c r="C270" s="141">
        <f>IFERROR(__xludf.DUMMYFUNCTION("""COMPUTED_VALUE"""),229.45)</f>
        <v/>
      </c>
      <c r="D270" s="141">
        <f>IFERROR(__xludf.DUMMYFUNCTION("""COMPUTED_VALUE"""),231.46)</f>
        <v/>
      </c>
      <c r="E270" s="141">
        <f>IFERROR(__xludf.DUMMYFUNCTION("""COMPUTED_VALUE"""),226.64)</f>
        <v/>
      </c>
      <c r="F270" s="141">
        <f>IFERROR(__xludf.DUMMYFUNCTION("""COMPUTED_VALUE"""),228.88)</f>
        <v/>
      </c>
      <c r="G270" s="143">
        <f>IFERROR(__xludf.DUMMYFUNCTION("""COMPUTED_VALUE"""),57345884)</f>
        <v/>
      </c>
      <c r="H270" s="27" t="n"/>
    </row>
    <row r="271" ht="17.25" customHeight="1" s="322">
      <c r="A271" s="27" t="n"/>
      <c r="B271" s="506">
        <f>IFERROR(__xludf.DUMMYFUNCTION("""COMPUTED_VALUE"""),45491.6666666666)</f>
        <v/>
      </c>
      <c r="C271" s="141">
        <f>IFERROR(__xludf.DUMMYFUNCTION("""COMPUTED_VALUE"""),230.28)</f>
        <v/>
      </c>
      <c r="D271" s="141">
        <f>IFERROR(__xludf.DUMMYFUNCTION("""COMPUTED_VALUE"""),230.44)</f>
        <v/>
      </c>
      <c r="E271" s="141">
        <f>IFERROR(__xludf.DUMMYFUNCTION("""COMPUTED_VALUE"""),222.27)</f>
        <v/>
      </c>
      <c r="F271" s="141">
        <f>IFERROR(__xludf.DUMMYFUNCTION("""COMPUTED_VALUE"""),224.18)</f>
        <v/>
      </c>
      <c r="G271" s="143">
        <f>IFERROR(__xludf.DUMMYFUNCTION("""COMPUTED_VALUE"""),66034585)</f>
        <v/>
      </c>
      <c r="H271" s="27" t="n"/>
    </row>
    <row r="272" ht="17.25" customHeight="1" s="322">
      <c r="A272" s="27" t="n"/>
      <c r="B272" s="506">
        <f>IFERROR(__xludf.DUMMYFUNCTION("""COMPUTED_VALUE"""),45492.6666666666)</f>
        <v/>
      </c>
      <c r="C272" s="141">
        <f>IFERROR(__xludf.DUMMYFUNCTION("""COMPUTED_VALUE"""),224.82)</f>
        <v/>
      </c>
      <c r="D272" s="141">
        <f>IFERROR(__xludf.DUMMYFUNCTION("""COMPUTED_VALUE"""),226.8)</f>
        <v/>
      </c>
      <c r="E272" s="141">
        <f>IFERROR(__xludf.DUMMYFUNCTION("""COMPUTED_VALUE"""),223.28)</f>
        <v/>
      </c>
      <c r="F272" s="141">
        <f>IFERROR(__xludf.DUMMYFUNCTION("""COMPUTED_VALUE"""),224.31)</f>
        <v/>
      </c>
      <c r="G272" s="143">
        <f>IFERROR(__xludf.DUMMYFUNCTION("""COMPUTED_VALUE"""),49151453)</f>
        <v/>
      </c>
      <c r="H272" s="27" t="n"/>
    </row>
    <row r="273" ht="17.25" customHeight="1" s="322">
      <c r="A273" s="27" t="n"/>
      <c r="B273" s="506">
        <f>IFERROR(__xludf.DUMMYFUNCTION("""COMPUTED_VALUE"""),45495.6666666666)</f>
        <v/>
      </c>
      <c r="C273" s="141">
        <f>IFERROR(__xludf.DUMMYFUNCTION("""COMPUTED_VALUE"""),227.01)</f>
        <v/>
      </c>
      <c r="D273" s="141">
        <f>IFERROR(__xludf.DUMMYFUNCTION("""COMPUTED_VALUE"""),227.78)</f>
        <v/>
      </c>
      <c r="E273" s="141">
        <f>IFERROR(__xludf.DUMMYFUNCTION("""COMPUTED_VALUE"""),223.09)</f>
        <v/>
      </c>
      <c r="F273" s="141">
        <f>IFERROR(__xludf.DUMMYFUNCTION("""COMPUTED_VALUE"""),223.96)</f>
        <v/>
      </c>
      <c r="G273" s="143">
        <f>IFERROR(__xludf.DUMMYFUNCTION("""COMPUTED_VALUE"""),48201835)</f>
        <v/>
      </c>
      <c r="H273" s="27" t="n"/>
    </row>
    <row r="274" ht="17.25" customHeight="1" s="322">
      <c r="A274" s="27" t="n"/>
      <c r="B274" s="506">
        <f>IFERROR(__xludf.DUMMYFUNCTION("""COMPUTED_VALUE"""),45496.6666666666)</f>
        <v/>
      </c>
      <c r="C274" s="141">
        <f>IFERROR(__xludf.DUMMYFUNCTION("""COMPUTED_VALUE"""),224.37)</f>
        <v/>
      </c>
      <c r="D274" s="141">
        <f>IFERROR(__xludf.DUMMYFUNCTION("""COMPUTED_VALUE"""),226.94)</f>
        <v/>
      </c>
      <c r="E274" s="141">
        <f>IFERROR(__xludf.DUMMYFUNCTION("""COMPUTED_VALUE"""),222.68)</f>
        <v/>
      </c>
      <c r="F274" s="141">
        <f>IFERROR(__xludf.DUMMYFUNCTION("""COMPUTED_VALUE"""),225.01)</f>
        <v/>
      </c>
      <c r="G274" s="143">
        <f>IFERROR(__xludf.DUMMYFUNCTION("""COMPUTED_VALUE"""),39960260)</f>
        <v/>
      </c>
      <c r="H274" s="27" t="n"/>
    </row>
    <row r="275" ht="17.25" customHeight="1" s="322">
      <c r="A275" s="27" t="n"/>
      <c r="B275" s="506">
        <f>IFERROR(__xludf.DUMMYFUNCTION("""COMPUTED_VALUE"""),45497.6666666666)</f>
        <v/>
      </c>
      <c r="C275" s="141">
        <f>IFERROR(__xludf.DUMMYFUNCTION("""COMPUTED_VALUE"""),224)</f>
        <v/>
      </c>
      <c r="D275" s="141">
        <f>IFERROR(__xludf.DUMMYFUNCTION("""COMPUTED_VALUE"""),224.8)</f>
        <v/>
      </c>
      <c r="E275" s="141">
        <f>IFERROR(__xludf.DUMMYFUNCTION("""COMPUTED_VALUE"""),217.13)</f>
        <v/>
      </c>
      <c r="F275" s="141">
        <f>IFERROR(__xludf.DUMMYFUNCTION("""COMPUTED_VALUE"""),218.54)</f>
        <v/>
      </c>
      <c r="G275" s="143">
        <f>IFERROR(__xludf.DUMMYFUNCTION("""COMPUTED_VALUE"""),61777576)</f>
        <v/>
      </c>
      <c r="H275" s="27" t="n"/>
    </row>
    <row r="276" ht="17.25" customHeight="1" s="322">
      <c r="A276" s="27" t="n"/>
      <c r="B276" s="506">
        <f>IFERROR(__xludf.DUMMYFUNCTION("""COMPUTED_VALUE"""),45498.6666666666)</f>
        <v/>
      </c>
      <c r="C276" s="141">
        <f>IFERROR(__xludf.DUMMYFUNCTION("""COMPUTED_VALUE"""),218.93)</f>
        <v/>
      </c>
      <c r="D276" s="141">
        <f>IFERROR(__xludf.DUMMYFUNCTION("""COMPUTED_VALUE"""),220.85)</f>
        <v/>
      </c>
      <c r="E276" s="141">
        <f>IFERROR(__xludf.DUMMYFUNCTION("""COMPUTED_VALUE"""),214.62)</f>
        <v/>
      </c>
      <c r="F276" s="141">
        <f>IFERROR(__xludf.DUMMYFUNCTION("""COMPUTED_VALUE"""),217.49)</f>
        <v/>
      </c>
      <c r="G276" s="143">
        <f>IFERROR(__xludf.DUMMYFUNCTION("""COMPUTED_VALUE"""),51391199)</f>
        <v/>
      </c>
      <c r="H276" s="27" t="n"/>
    </row>
    <row r="277" ht="17.25" customHeight="1" s="322">
      <c r="A277" s="27" t="n"/>
      <c r="B277" s="506">
        <f>IFERROR(__xludf.DUMMYFUNCTION("""COMPUTED_VALUE"""),45499.6666666666)</f>
        <v/>
      </c>
      <c r="C277" s="141">
        <f>IFERROR(__xludf.DUMMYFUNCTION("""COMPUTED_VALUE"""),218.7)</f>
        <v/>
      </c>
      <c r="D277" s="141">
        <f>IFERROR(__xludf.DUMMYFUNCTION("""COMPUTED_VALUE"""),219.49)</f>
        <v/>
      </c>
      <c r="E277" s="141">
        <f>IFERROR(__xludf.DUMMYFUNCTION("""COMPUTED_VALUE"""),216.01)</f>
        <v/>
      </c>
      <c r="F277" s="141">
        <f>IFERROR(__xludf.DUMMYFUNCTION("""COMPUTED_VALUE"""),217.96)</f>
        <v/>
      </c>
      <c r="G277" s="143">
        <f>IFERROR(__xludf.DUMMYFUNCTION("""COMPUTED_VALUE"""),41601345)</f>
        <v/>
      </c>
      <c r="H277" s="27" t="n"/>
    </row>
    <row r="278" ht="17.25" customHeight="1" s="322">
      <c r="A278" s="27" t="n"/>
      <c r="B278" s="506">
        <f>IFERROR(__xludf.DUMMYFUNCTION("""COMPUTED_VALUE"""),45502.6666666666)</f>
        <v/>
      </c>
      <c r="C278" s="141">
        <f>IFERROR(__xludf.DUMMYFUNCTION("""COMPUTED_VALUE"""),216.96)</f>
        <v/>
      </c>
      <c r="D278" s="141">
        <f>IFERROR(__xludf.DUMMYFUNCTION("""COMPUTED_VALUE"""),219.3)</f>
        <v/>
      </c>
      <c r="E278" s="141">
        <f>IFERROR(__xludf.DUMMYFUNCTION("""COMPUTED_VALUE"""),215.75)</f>
        <v/>
      </c>
      <c r="F278" s="141">
        <f>IFERROR(__xludf.DUMMYFUNCTION("""COMPUTED_VALUE"""),218.24)</f>
        <v/>
      </c>
      <c r="G278" s="143">
        <f>IFERROR(__xludf.DUMMYFUNCTION("""COMPUTED_VALUE"""),36311778)</f>
        <v/>
      </c>
      <c r="H278" s="27" t="n"/>
    </row>
    <row r="279" ht="17.25" customHeight="1" s="322">
      <c r="A279" s="27" t="n"/>
      <c r="B279" s="506">
        <f>IFERROR(__xludf.DUMMYFUNCTION("""COMPUTED_VALUE"""),45503.6666666666)</f>
        <v/>
      </c>
      <c r="C279" s="141">
        <f>IFERROR(__xludf.DUMMYFUNCTION("""COMPUTED_VALUE"""),219.19)</f>
        <v/>
      </c>
      <c r="D279" s="141">
        <f>IFERROR(__xludf.DUMMYFUNCTION("""COMPUTED_VALUE"""),220.33)</f>
        <v/>
      </c>
      <c r="E279" s="141">
        <f>IFERROR(__xludf.DUMMYFUNCTION("""COMPUTED_VALUE"""),216.12)</f>
        <v/>
      </c>
      <c r="F279" s="141">
        <f>IFERROR(__xludf.DUMMYFUNCTION("""COMPUTED_VALUE"""),218.8)</f>
        <v/>
      </c>
      <c r="G279" s="143">
        <f>IFERROR(__xludf.DUMMYFUNCTION("""COMPUTED_VALUE"""),41643840)</f>
        <v/>
      </c>
      <c r="H279" s="27" t="n"/>
    </row>
    <row r="280" ht="17.25" customHeight="1" s="322">
      <c r="A280" s="27" t="n"/>
      <c r="B280" s="506">
        <f>IFERROR(__xludf.DUMMYFUNCTION("""COMPUTED_VALUE"""),45504.6666666666)</f>
        <v/>
      </c>
      <c r="C280" s="141">
        <f>IFERROR(__xludf.DUMMYFUNCTION("""COMPUTED_VALUE"""),221.44)</f>
        <v/>
      </c>
      <c r="D280" s="141">
        <f>IFERROR(__xludf.DUMMYFUNCTION("""COMPUTED_VALUE"""),223.82)</f>
        <v/>
      </c>
      <c r="E280" s="141">
        <f>IFERROR(__xludf.DUMMYFUNCTION("""COMPUTED_VALUE"""),220.63)</f>
        <v/>
      </c>
      <c r="F280" s="141">
        <f>IFERROR(__xludf.DUMMYFUNCTION("""COMPUTED_VALUE"""),222.08)</f>
        <v/>
      </c>
      <c r="G280" s="143">
        <f>IFERROR(__xludf.DUMMYFUNCTION("""COMPUTED_VALUE"""),50036262)</f>
        <v/>
      </c>
      <c r="H280" s="27" t="n"/>
    </row>
    <row r="281" ht="17.25" customHeight="1" s="322">
      <c r="A281" s="27" t="n"/>
      <c r="B281" s="506">
        <f>IFERROR(__xludf.DUMMYFUNCTION("""COMPUTED_VALUE"""),45505.6666666666)</f>
        <v/>
      </c>
      <c r="C281" s="141">
        <f>IFERROR(__xludf.DUMMYFUNCTION("""COMPUTED_VALUE"""),224.37)</f>
        <v/>
      </c>
      <c r="D281" s="141">
        <f>IFERROR(__xludf.DUMMYFUNCTION("""COMPUTED_VALUE"""),224.48)</f>
        <v/>
      </c>
      <c r="E281" s="141">
        <f>IFERROR(__xludf.DUMMYFUNCTION("""COMPUTED_VALUE"""),217.02)</f>
        <v/>
      </c>
      <c r="F281" s="141">
        <f>IFERROR(__xludf.DUMMYFUNCTION("""COMPUTED_VALUE"""),218.36)</f>
        <v/>
      </c>
      <c r="G281" s="143">
        <f>IFERROR(__xludf.DUMMYFUNCTION("""COMPUTED_VALUE"""),62500996)</f>
        <v/>
      </c>
      <c r="H281" s="27" t="n"/>
    </row>
    <row r="282" ht="17.25" customHeight="1" s="322">
      <c r="A282" s="27" t="n"/>
      <c r="B282" s="506">
        <f>IFERROR(__xludf.DUMMYFUNCTION("""COMPUTED_VALUE"""),45506.6666666666)</f>
        <v/>
      </c>
      <c r="C282" s="141">
        <f>IFERROR(__xludf.DUMMYFUNCTION("""COMPUTED_VALUE"""),219.15)</f>
        <v/>
      </c>
      <c r="D282" s="141">
        <f>IFERROR(__xludf.DUMMYFUNCTION("""COMPUTED_VALUE"""),225.6)</f>
        <v/>
      </c>
      <c r="E282" s="141">
        <f>IFERROR(__xludf.DUMMYFUNCTION("""COMPUTED_VALUE"""),217.71)</f>
        <v/>
      </c>
      <c r="F282" s="141">
        <f>IFERROR(__xludf.DUMMYFUNCTION("""COMPUTED_VALUE"""),219.86)</f>
        <v/>
      </c>
      <c r="G282" s="143">
        <f>IFERROR(__xludf.DUMMYFUNCTION("""COMPUTED_VALUE"""),105568560)</f>
        <v/>
      </c>
      <c r="H282" s="27" t="n"/>
    </row>
    <row r="283" ht="17.25" customHeight="1" s="322">
      <c r="A283" s="27" t="n"/>
      <c r="B283" s="506">
        <f>IFERROR(__xludf.DUMMYFUNCTION("""COMPUTED_VALUE"""),45509.6666666666)</f>
        <v/>
      </c>
      <c r="C283" s="141">
        <f>IFERROR(__xludf.DUMMYFUNCTION("""COMPUTED_VALUE"""),199.09)</f>
        <v/>
      </c>
      <c r="D283" s="141">
        <f>IFERROR(__xludf.DUMMYFUNCTION("""COMPUTED_VALUE"""),213.5)</f>
        <v/>
      </c>
      <c r="E283" s="141">
        <f>IFERROR(__xludf.DUMMYFUNCTION("""COMPUTED_VALUE"""),196)</f>
        <v/>
      </c>
      <c r="F283" s="141">
        <f>IFERROR(__xludf.DUMMYFUNCTION("""COMPUTED_VALUE"""),209.27)</f>
        <v/>
      </c>
      <c r="G283" s="143">
        <f>IFERROR(__xludf.DUMMYFUNCTION("""COMPUTED_VALUE"""),119548589)</f>
        <v/>
      </c>
      <c r="H283" s="27" t="n"/>
    </row>
    <row r="284" ht="17.25" customHeight="1" s="322">
      <c r="A284" s="27" t="n"/>
      <c r="B284" s="506">
        <f>IFERROR(__xludf.DUMMYFUNCTION("""COMPUTED_VALUE"""),45510.6666666666)</f>
        <v/>
      </c>
      <c r="C284" s="141">
        <f>IFERROR(__xludf.DUMMYFUNCTION("""COMPUTED_VALUE"""),205.3)</f>
        <v/>
      </c>
      <c r="D284" s="141">
        <f>IFERROR(__xludf.DUMMYFUNCTION("""COMPUTED_VALUE"""),209.99)</f>
        <v/>
      </c>
      <c r="E284" s="141">
        <f>IFERROR(__xludf.DUMMYFUNCTION("""COMPUTED_VALUE"""),201.07)</f>
        <v/>
      </c>
      <c r="F284" s="141">
        <f>IFERROR(__xludf.DUMMYFUNCTION("""COMPUTED_VALUE"""),207.23)</f>
        <v/>
      </c>
      <c r="G284" s="143">
        <f>IFERROR(__xludf.DUMMYFUNCTION("""COMPUTED_VALUE"""),69660488)</f>
        <v/>
      </c>
      <c r="H284" s="27" t="n"/>
    </row>
    <row r="285" ht="17.25" customHeight="1" s="322">
      <c r="A285" s="27" t="n"/>
      <c r="B285" s="506">
        <f>IFERROR(__xludf.DUMMYFUNCTION("""COMPUTED_VALUE"""),45511.6666666666)</f>
        <v/>
      </c>
      <c r="C285" s="141">
        <f>IFERROR(__xludf.DUMMYFUNCTION("""COMPUTED_VALUE"""),206.9)</f>
        <v/>
      </c>
      <c r="D285" s="141">
        <f>IFERROR(__xludf.DUMMYFUNCTION("""COMPUTED_VALUE"""),213.64)</f>
        <v/>
      </c>
      <c r="E285" s="141">
        <f>IFERROR(__xludf.DUMMYFUNCTION("""COMPUTED_VALUE"""),206.39)</f>
        <v/>
      </c>
      <c r="F285" s="141">
        <f>IFERROR(__xludf.DUMMYFUNCTION("""COMPUTED_VALUE"""),209.82)</f>
        <v/>
      </c>
      <c r="G285" s="143">
        <f>IFERROR(__xludf.DUMMYFUNCTION("""COMPUTED_VALUE"""),63516417)</f>
        <v/>
      </c>
      <c r="H285" s="27" t="n"/>
    </row>
    <row r="286" ht="17.25" customHeight="1" s="322">
      <c r="A286" s="27" t="n"/>
      <c r="B286" s="506">
        <f>IFERROR(__xludf.DUMMYFUNCTION("""COMPUTED_VALUE"""),45512.6666666666)</f>
        <v/>
      </c>
      <c r="C286" s="141">
        <f>IFERROR(__xludf.DUMMYFUNCTION("""COMPUTED_VALUE"""),213.11)</f>
        <v/>
      </c>
      <c r="D286" s="141">
        <f>IFERROR(__xludf.DUMMYFUNCTION("""COMPUTED_VALUE"""),214.2)</f>
        <v/>
      </c>
      <c r="E286" s="141">
        <f>IFERROR(__xludf.DUMMYFUNCTION("""COMPUTED_VALUE"""),208.83)</f>
        <v/>
      </c>
      <c r="F286" s="141">
        <f>IFERROR(__xludf.DUMMYFUNCTION("""COMPUTED_VALUE"""),213.31)</f>
        <v/>
      </c>
      <c r="G286" s="143">
        <f>IFERROR(__xludf.DUMMYFUNCTION("""COMPUTED_VALUE"""),47161149)</f>
        <v/>
      </c>
      <c r="H286" s="27" t="n"/>
    </row>
    <row r="287" ht="17.25" customHeight="1" s="322">
      <c r="A287" s="27" t="n"/>
      <c r="B287" s="506">
        <f>IFERROR(__xludf.DUMMYFUNCTION("""COMPUTED_VALUE"""),45513.6666666666)</f>
        <v/>
      </c>
      <c r="C287" s="141">
        <f>IFERROR(__xludf.DUMMYFUNCTION("""COMPUTED_VALUE"""),212.1)</f>
        <v/>
      </c>
      <c r="D287" s="141">
        <f>IFERROR(__xludf.DUMMYFUNCTION("""COMPUTED_VALUE"""),216.78)</f>
        <v/>
      </c>
      <c r="E287" s="141">
        <f>IFERROR(__xludf.DUMMYFUNCTION("""COMPUTED_VALUE"""),211.97)</f>
        <v/>
      </c>
      <c r="F287" s="141">
        <f>IFERROR(__xludf.DUMMYFUNCTION("""COMPUTED_VALUE"""),216.24)</f>
        <v/>
      </c>
      <c r="G287" s="143">
        <f>IFERROR(__xludf.DUMMYFUNCTION("""COMPUTED_VALUE"""),42201646)</f>
        <v/>
      </c>
      <c r="H287" s="27" t="n"/>
    </row>
    <row r="288" ht="17.25" customHeight="1" s="322">
      <c r="A288" s="27" t="n"/>
      <c r="B288" s="506">
        <f>IFERROR(__xludf.DUMMYFUNCTION("""COMPUTED_VALUE"""),45516.6666666666)</f>
        <v/>
      </c>
      <c r="C288" s="141">
        <f>IFERROR(__xludf.DUMMYFUNCTION("""COMPUTED_VALUE"""),216.07)</f>
        <v/>
      </c>
      <c r="D288" s="141">
        <f>IFERROR(__xludf.DUMMYFUNCTION("""COMPUTED_VALUE"""),219.51)</f>
        <v/>
      </c>
      <c r="E288" s="141">
        <f>IFERROR(__xludf.DUMMYFUNCTION("""COMPUTED_VALUE"""),215.6)</f>
        <v/>
      </c>
      <c r="F288" s="141">
        <f>IFERROR(__xludf.DUMMYFUNCTION("""COMPUTED_VALUE"""),217.53)</f>
        <v/>
      </c>
      <c r="G288" s="143">
        <f>IFERROR(__xludf.DUMMYFUNCTION("""COMPUTED_VALUE"""),38028092)</f>
        <v/>
      </c>
      <c r="H288" s="27" t="n"/>
    </row>
    <row r="289" ht="17.25" customHeight="1" s="322">
      <c r="A289" s="27" t="n"/>
      <c r="B289" s="506">
        <f>IFERROR(__xludf.DUMMYFUNCTION("""COMPUTED_VALUE"""),45517.6666666666)</f>
        <v/>
      </c>
      <c r="C289" s="141">
        <f>IFERROR(__xludf.DUMMYFUNCTION("""COMPUTED_VALUE"""),219.01)</f>
        <v/>
      </c>
      <c r="D289" s="141">
        <f>IFERROR(__xludf.DUMMYFUNCTION("""COMPUTED_VALUE"""),221.89)</f>
        <v/>
      </c>
      <c r="E289" s="141">
        <f>IFERROR(__xludf.DUMMYFUNCTION("""COMPUTED_VALUE"""),219.01)</f>
        <v/>
      </c>
      <c r="F289" s="141">
        <f>IFERROR(__xludf.DUMMYFUNCTION("""COMPUTED_VALUE"""),221.27)</f>
        <v/>
      </c>
      <c r="G289" s="143">
        <f>IFERROR(__xludf.DUMMYFUNCTION("""COMPUTED_VALUE"""),44155331)</f>
        <v/>
      </c>
      <c r="H289" s="27" t="n"/>
    </row>
    <row r="290" ht="17.25" customHeight="1" s="322">
      <c r="A290" s="27" t="n"/>
      <c r="B290" s="506">
        <f>IFERROR(__xludf.DUMMYFUNCTION("""COMPUTED_VALUE"""),45518.6666666666)</f>
        <v/>
      </c>
      <c r="C290" s="141">
        <f>IFERROR(__xludf.DUMMYFUNCTION("""COMPUTED_VALUE"""),220.57)</f>
        <v/>
      </c>
      <c r="D290" s="141">
        <f>IFERROR(__xludf.DUMMYFUNCTION("""COMPUTED_VALUE"""),223.03)</f>
        <v/>
      </c>
      <c r="E290" s="141">
        <f>IFERROR(__xludf.DUMMYFUNCTION("""COMPUTED_VALUE"""),219.7)</f>
        <v/>
      </c>
      <c r="F290" s="141">
        <f>IFERROR(__xludf.DUMMYFUNCTION("""COMPUTED_VALUE"""),221.72)</f>
        <v/>
      </c>
      <c r="G290" s="143">
        <f>IFERROR(__xludf.DUMMYFUNCTION("""COMPUTED_VALUE"""),41960574)</f>
        <v/>
      </c>
      <c r="H290" s="27" t="n"/>
    </row>
    <row r="291" ht="17.25" customHeight="1" s="322">
      <c r="A291" s="27" t="n"/>
      <c r="B291" s="506">
        <f>IFERROR(__xludf.DUMMYFUNCTION("""COMPUTED_VALUE"""),45519.6666666666)</f>
        <v/>
      </c>
      <c r="C291" s="141">
        <f>IFERROR(__xludf.DUMMYFUNCTION("""COMPUTED_VALUE"""),224.6)</f>
        <v/>
      </c>
      <c r="D291" s="141">
        <f>IFERROR(__xludf.DUMMYFUNCTION("""COMPUTED_VALUE"""),225.35)</f>
        <v/>
      </c>
      <c r="E291" s="141">
        <f>IFERROR(__xludf.DUMMYFUNCTION("""COMPUTED_VALUE"""),222.76)</f>
        <v/>
      </c>
      <c r="F291" s="141">
        <f>IFERROR(__xludf.DUMMYFUNCTION("""COMPUTED_VALUE"""),224.72)</f>
        <v/>
      </c>
      <c r="G291" s="143">
        <f>IFERROR(__xludf.DUMMYFUNCTION("""COMPUTED_VALUE"""),46414013)</f>
        <v/>
      </c>
      <c r="H291" s="27" t="n"/>
    </row>
    <row r="292" ht="17.25" customHeight="1" s="322">
      <c r="A292" s="27" t="n"/>
      <c r="B292" s="506">
        <f>IFERROR(__xludf.DUMMYFUNCTION("""COMPUTED_VALUE"""),45520.6666666666)</f>
        <v/>
      </c>
      <c r="C292" s="141">
        <f>IFERROR(__xludf.DUMMYFUNCTION("""COMPUTED_VALUE"""),223.92)</f>
        <v/>
      </c>
      <c r="D292" s="141">
        <f>IFERROR(__xludf.DUMMYFUNCTION("""COMPUTED_VALUE"""),226.83)</f>
        <v/>
      </c>
      <c r="E292" s="141">
        <f>IFERROR(__xludf.DUMMYFUNCTION("""COMPUTED_VALUE"""),223.65)</f>
        <v/>
      </c>
      <c r="F292" s="141">
        <f>IFERROR(__xludf.DUMMYFUNCTION("""COMPUTED_VALUE"""),226.05)</f>
        <v/>
      </c>
      <c r="G292" s="143">
        <f>IFERROR(__xludf.DUMMYFUNCTION("""COMPUTED_VALUE"""),44340240)</f>
        <v/>
      </c>
      <c r="H292" s="27" t="n"/>
    </row>
    <row r="293" ht="17.25" customHeight="1" s="322">
      <c r="A293" s="27" t="n"/>
      <c r="B293" s="506">
        <f>IFERROR(__xludf.DUMMYFUNCTION("""COMPUTED_VALUE"""),45523.6666666666)</f>
        <v/>
      </c>
      <c r="C293" s="141">
        <f>IFERROR(__xludf.DUMMYFUNCTION("""COMPUTED_VALUE"""),225.72)</f>
        <v/>
      </c>
      <c r="D293" s="141">
        <f>IFERROR(__xludf.DUMMYFUNCTION("""COMPUTED_VALUE"""),225.99)</f>
        <v/>
      </c>
      <c r="E293" s="141">
        <f>IFERROR(__xludf.DUMMYFUNCTION("""COMPUTED_VALUE"""),223.04)</f>
        <v/>
      </c>
      <c r="F293" s="141">
        <f>IFERROR(__xludf.DUMMYFUNCTION("""COMPUTED_VALUE"""),225.89)</f>
        <v/>
      </c>
      <c r="G293" s="143">
        <f>IFERROR(__xludf.DUMMYFUNCTION("""COMPUTED_VALUE"""),40687813)</f>
        <v/>
      </c>
      <c r="H293" s="27" t="n"/>
    </row>
    <row r="294" ht="17.25" customHeight="1" s="322">
      <c r="A294" s="27" t="n"/>
      <c r="B294" s="506">
        <f>IFERROR(__xludf.DUMMYFUNCTION("""COMPUTED_VALUE"""),45524.6666666666)</f>
        <v/>
      </c>
      <c r="C294" s="141">
        <f>IFERROR(__xludf.DUMMYFUNCTION("""COMPUTED_VALUE"""),225.77)</f>
        <v/>
      </c>
      <c r="D294" s="141">
        <f>IFERROR(__xludf.DUMMYFUNCTION("""COMPUTED_VALUE"""),227.17)</f>
        <v/>
      </c>
      <c r="E294" s="141">
        <f>IFERROR(__xludf.DUMMYFUNCTION("""COMPUTED_VALUE"""),225.45)</f>
        <v/>
      </c>
      <c r="F294" s="141">
        <f>IFERROR(__xludf.DUMMYFUNCTION("""COMPUTED_VALUE"""),226.51)</f>
        <v/>
      </c>
      <c r="G294" s="143">
        <f>IFERROR(__xludf.DUMMYFUNCTION("""COMPUTED_VALUE"""),30299033)</f>
        <v/>
      </c>
      <c r="H294" s="27" t="n"/>
    </row>
    <row r="295" ht="17.25" customHeight="1" s="322">
      <c r="A295" s="27" t="n"/>
      <c r="B295" s="506">
        <f>IFERROR(__xludf.DUMMYFUNCTION("""COMPUTED_VALUE"""),45525.6666666666)</f>
        <v/>
      </c>
      <c r="C295" s="141">
        <f>IFERROR(__xludf.DUMMYFUNCTION("""COMPUTED_VALUE"""),226.52)</f>
        <v/>
      </c>
      <c r="D295" s="141">
        <f>IFERROR(__xludf.DUMMYFUNCTION("""COMPUTED_VALUE"""),227.98)</f>
        <v/>
      </c>
      <c r="E295" s="141">
        <f>IFERROR(__xludf.DUMMYFUNCTION("""COMPUTED_VALUE"""),225.05)</f>
        <v/>
      </c>
      <c r="F295" s="141">
        <f>IFERROR(__xludf.DUMMYFUNCTION("""COMPUTED_VALUE"""),226.4)</f>
        <v/>
      </c>
      <c r="G295" s="143">
        <f>IFERROR(__xludf.DUMMYFUNCTION("""COMPUTED_VALUE"""),34765480)</f>
        <v/>
      </c>
      <c r="H295" s="27" t="n"/>
    </row>
    <row r="296" ht="17.25" customHeight="1" s="322">
      <c r="A296" s="27" t="n"/>
      <c r="B296" s="506">
        <f>IFERROR(__xludf.DUMMYFUNCTION("""COMPUTED_VALUE"""),45526.6666666666)</f>
        <v/>
      </c>
      <c r="C296" s="141">
        <f>IFERROR(__xludf.DUMMYFUNCTION("""COMPUTED_VALUE"""),227.79)</f>
        <v/>
      </c>
      <c r="D296" s="141">
        <f>IFERROR(__xludf.DUMMYFUNCTION("""COMPUTED_VALUE"""),228.34)</f>
        <v/>
      </c>
      <c r="E296" s="141">
        <f>IFERROR(__xludf.DUMMYFUNCTION("""COMPUTED_VALUE"""),223.9)</f>
        <v/>
      </c>
      <c r="F296" s="141">
        <f>IFERROR(__xludf.DUMMYFUNCTION("""COMPUTED_VALUE"""),224.53)</f>
        <v/>
      </c>
      <c r="G296" s="143">
        <f>IFERROR(__xludf.DUMMYFUNCTION("""COMPUTED_VALUE"""),43695321)</f>
        <v/>
      </c>
      <c r="H296" s="27" t="n"/>
    </row>
    <row r="297" ht="17.25" customHeight="1" s="322">
      <c r="A297" s="27" t="n"/>
      <c r="B297" s="506">
        <f>IFERROR(__xludf.DUMMYFUNCTION("""COMPUTED_VALUE"""),45527.6666666666)</f>
        <v/>
      </c>
      <c r="C297" s="141">
        <f>IFERROR(__xludf.DUMMYFUNCTION("""COMPUTED_VALUE"""),225.66)</f>
        <v/>
      </c>
      <c r="D297" s="141">
        <f>IFERROR(__xludf.DUMMYFUNCTION("""COMPUTED_VALUE"""),228.22)</f>
        <v/>
      </c>
      <c r="E297" s="141">
        <f>IFERROR(__xludf.DUMMYFUNCTION("""COMPUTED_VALUE"""),224.33)</f>
        <v/>
      </c>
      <c r="F297" s="141">
        <f>IFERROR(__xludf.DUMMYFUNCTION("""COMPUTED_VALUE"""),226.84)</f>
        <v/>
      </c>
      <c r="G297" s="143">
        <f>IFERROR(__xludf.DUMMYFUNCTION("""COMPUTED_VALUE"""),38677250)</f>
        <v/>
      </c>
      <c r="H297" s="27" t="n"/>
    </row>
    <row r="298" ht="17.25" customHeight="1" s="322">
      <c r="A298" s="27" t="n"/>
      <c r="B298" s="506">
        <f>IFERROR(__xludf.DUMMYFUNCTION("""COMPUTED_VALUE"""),45530.6666666666)</f>
        <v/>
      </c>
      <c r="C298" s="141">
        <f>IFERROR(__xludf.DUMMYFUNCTION("""COMPUTED_VALUE"""),226.76)</f>
        <v/>
      </c>
      <c r="D298" s="141">
        <f>IFERROR(__xludf.DUMMYFUNCTION("""COMPUTED_VALUE"""),227.28)</f>
        <v/>
      </c>
      <c r="E298" s="141">
        <f>IFERROR(__xludf.DUMMYFUNCTION("""COMPUTED_VALUE"""),223.89)</f>
        <v/>
      </c>
      <c r="F298" s="141">
        <f>IFERROR(__xludf.DUMMYFUNCTION("""COMPUTED_VALUE"""),227.18)</f>
        <v/>
      </c>
      <c r="G298" s="143">
        <f>IFERROR(__xludf.DUMMYFUNCTION("""COMPUTED_VALUE"""),30602208)</f>
        <v/>
      </c>
      <c r="H298" s="27" t="n"/>
    </row>
    <row r="299" ht="17.25" customHeight="1" s="322">
      <c r="A299" s="27" t="n"/>
      <c r="B299" s="506">
        <f>IFERROR(__xludf.DUMMYFUNCTION("""COMPUTED_VALUE"""),45531.6666666666)</f>
        <v/>
      </c>
      <c r="C299" s="141">
        <f>IFERROR(__xludf.DUMMYFUNCTION("""COMPUTED_VALUE"""),226)</f>
        <v/>
      </c>
      <c r="D299" s="141">
        <f>IFERROR(__xludf.DUMMYFUNCTION("""COMPUTED_VALUE"""),228.85)</f>
        <v/>
      </c>
      <c r="E299" s="141">
        <f>IFERROR(__xludf.DUMMYFUNCTION("""COMPUTED_VALUE"""),224.89)</f>
        <v/>
      </c>
      <c r="F299" s="141">
        <f>IFERROR(__xludf.DUMMYFUNCTION("""COMPUTED_VALUE"""),228.03)</f>
        <v/>
      </c>
      <c r="G299" s="143">
        <f>IFERROR(__xludf.DUMMYFUNCTION("""COMPUTED_VALUE"""),35934559)</f>
        <v/>
      </c>
      <c r="H299" s="27" t="n"/>
    </row>
    <row r="300" ht="17.25" customHeight="1" s="322">
      <c r="A300" s="27" t="n"/>
      <c r="B300" s="506">
        <f>IFERROR(__xludf.DUMMYFUNCTION("""COMPUTED_VALUE"""),45532.6666666666)</f>
        <v/>
      </c>
      <c r="C300" s="141">
        <f>IFERROR(__xludf.DUMMYFUNCTION("""COMPUTED_VALUE"""),227.92)</f>
        <v/>
      </c>
      <c r="D300" s="141">
        <f>IFERROR(__xludf.DUMMYFUNCTION("""COMPUTED_VALUE"""),229.86)</f>
        <v/>
      </c>
      <c r="E300" s="141">
        <f>IFERROR(__xludf.DUMMYFUNCTION("""COMPUTED_VALUE"""),225.68)</f>
        <v/>
      </c>
      <c r="F300" s="141">
        <f>IFERROR(__xludf.DUMMYFUNCTION("""COMPUTED_VALUE"""),226.49)</f>
        <v/>
      </c>
      <c r="G300" s="143">
        <f>IFERROR(__xludf.DUMMYFUNCTION("""COMPUTED_VALUE"""),38052167)</f>
        <v/>
      </c>
      <c r="H300" s="27" t="n"/>
    </row>
    <row r="301" ht="17.25" customHeight="1" s="322">
      <c r="A301" s="27" t="n"/>
      <c r="B301" s="506">
        <f>IFERROR(__xludf.DUMMYFUNCTION("""COMPUTED_VALUE"""),45533.6666666666)</f>
        <v/>
      </c>
      <c r="C301" s="141">
        <f>IFERROR(__xludf.DUMMYFUNCTION("""COMPUTED_VALUE"""),230.1)</f>
        <v/>
      </c>
      <c r="D301" s="141">
        <f>IFERROR(__xludf.DUMMYFUNCTION("""COMPUTED_VALUE"""),232.92)</f>
        <v/>
      </c>
      <c r="E301" s="141">
        <f>IFERROR(__xludf.DUMMYFUNCTION("""COMPUTED_VALUE"""),228.88)</f>
        <v/>
      </c>
      <c r="F301" s="141">
        <f>IFERROR(__xludf.DUMMYFUNCTION("""COMPUTED_VALUE"""),229.79)</f>
        <v/>
      </c>
      <c r="G301" s="143">
        <f>IFERROR(__xludf.DUMMYFUNCTION("""COMPUTED_VALUE"""),51906297)</f>
        <v/>
      </c>
      <c r="H301" s="27" t="n"/>
    </row>
    <row r="302" ht="17.25" customHeight="1" s="322">
      <c r="A302" s="27" t="n"/>
      <c r="B302" s="506">
        <f>IFERROR(__xludf.DUMMYFUNCTION("""COMPUTED_VALUE"""),45534.6666666666)</f>
        <v/>
      </c>
      <c r="C302" s="141">
        <f>IFERROR(__xludf.DUMMYFUNCTION("""COMPUTED_VALUE"""),230.19)</f>
        <v/>
      </c>
      <c r="D302" s="141">
        <f>IFERROR(__xludf.DUMMYFUNCTION("""COMPUTED_VALUE"""),230.4)</f>
        <v/>
      </c>
      <c r="E302" s="141">
        <f>IFERROR(__xludf.DUMMYFUNCTION("""COMPUTED_VALUE"""),227.48)</f>
        <v/>
      </c>
      <c r="F302" s="141">
        <f>IFERROR(__xludf.DUMMYFUNCTION("""COMPUTED_VALUE"""),229)</f>
        <v/>
      </c>
      <c r="G302" s="143">
        <f>IFERROR(__xludf.DUMMYFUNCTION("""COMPUTED_VALUE"""),52990770)</f>
        <v/>
      </c>
      <c r="H302" s="27" t="n"/>
    </row>
    <row r="303" ht="17.25" customHeight="1" s="322">
      <c r="A303" s="27" t="n"/>
      <c r="B303" s="506">
        <f>IFERROR(__xludf.DUMMYFUNCTION("""COMPUTED_VALUE"""),45538.6666666666)</f>
        <v/>
      </c>
      <c r="C303" s="141">
        <f>IFERROR(__xludf.DUMMYFUNCTION("""COMPUTED_VALUE"""),228.55)</f>
        <v/>
      </c>
      <c r="D303" s="141">
        <f>IFERROR(__xludf.DUMMYFUNCTION("""COMPUTED_VALUE"""),229)</f>
        <v/>
      </c>
      <c r="E303" s="141">
        <f>IFERROR(__xludf.DUMMYFUNCTION("""COMPUTED_VALUE"""),221.17)</f>
        <v/>
      </c>
      <c r="F303" s="141">
        <f>IFERROR(__xludf.DUMMYFUNCTION("""COMPUTED_VALUE"""),222.77)</f>
        <v/>
      </c>
      <c r="G303" s="143">
        <f>IFERROR(__xludf.DUMMYFUNCTION("""COMPUTED_VALUE"""),50190574)</f>
        <v/>
      </c>
      <c r="H303" s="27" t="n"/>
    </row>
    <row r="304" ht="17.25" customHeight="1" s="322">
      <c r="A304" s="27" t="n"/>
      <c r="B304" s="506">
        <f>IFERROR(__xludf.DUMMYFUNCTION("""COMPUTED_VALUE"""),45539.6666666666)</f>
        <v/>
      </c>
      <c r="C304" s="141">
        <f>IFERROR(__xludf.DUMMYFUNCTION("""COMPUTED_VALUE"""),221.66)</f>
        <v/>
      </c>
      <c r="D304" s="141">
        <f>IFERROR(__xludf.DUMMYFUNCTION("""COMPUTED_VALUE"""),221.78)</f>
        <v/>
      </c>
      <c r="E304" s="141">
        <f>IFERROR(__xludf.DUMMYFUNCTION("""COMPUTED_VALUE"""),217.48)</f>
        <v/>
      </c>
      <c r="F304" s="141">
        <f>IFERROR(__xludf.DUMMYFUNCTION("""COMPUTED_VALUE"""),220.85)</f>
        <v/>
      </c>
      <c r="G304" s="143">
        <f>IFERROR(__xludf.DUMMYFUNCTION("""COMPUTED_VALUE"""),43840196)</f>
        <v/>
      </c>
      <c r="H304" s="27" t="n"/>
    </row>
    <row r="305" ht="17.25" customHeight="1" s="322">
      <c r="A305" s="27" t="n"/>
      <c r="B305" s="506">
        <f>IFERROR(__xludf.DUMMYFUNCTION("""COMPUTED_VALUE"""),45540.6666666666)</f>
        <v/>
      </c>
      <c r="C305" s="141">
        <f>IFERROR(__xludf.DUMMYFUNCTION("""COMPUTED_VALUE"""),221.63)</f>
        <v/>
      </c>
      <c r="D305" s="141">
        <f>IFERROR(__xludf.DUMMYFUNCTION("""COMPUTED_VALUE"""),225.48)</f>
        <v/>
      </c>
      <c r="E305" s="141">
        <f>IFERROR(__xludf.DUMMYFUNCTION("""COMPUTED_VALUE"""),221.52)</f>
        <v/>
      </c>
      <c r="F305" s="141">
        <f>IFERROR(__xludf.DUMMYFUNCTION("""COMPUTED_VALUE"""),222.38)</f>
        <v/>
      </c>
      <c r="G305" s="143">
        <f>IFERROR(__xludf.DUMMYFUNCTION("""COMPUTED_VALUE"""),36615398)</f>
        <v/>
      </c>
      <c r="H305" s="27" t="n"/>
    </row>
    <row r="306" ht="17.25" customHeight="1" s="322">
      <c r="A306" s="27" t="n"/>
      <c r="B306" s="506">
        <f>IFERROR(__xludf.DUMMYFUNCTION("""COMPUTED_VALUE"""),45541.6666666666)</f>
        <v/>
      </c>
      <c r="C306" s="141">
        <f>IFERROR(__xludf.DUMMYFUNCTION("""COMPUTED_VALUE"""),223.95)</f>
        <v/>
      </c>
      <c r="D306" s="141">
        <f>IFERROR(__xludf.DUMMYFUNCTION("""COMPUTED_VALUE"""),225.24)</f>
        <v/>
      </c>
      <c r="E306" s="141">
        <f>IFERROR(__xludf.DUMMYFUNCTION("""COMPUTED_VALUE"""),219.77)</f>
        <v/>
      </c>
      <c r="F306" s="141">
        <f>IFERROR(__xludf.DUMMYFUNCTION("""COMPUTED_VALUE"""),220.82)</f>
        <v/>
      </c>
      <c r="G306" s="143">
        <f>IFERROR(__xludf.DUMMYFUNCTION("""COMPUTED_VALUE"""),48423011)</f>
        <v/>
      </c>
      <c r="H306" s="27" t="n"/>
    </row>
    <row r="307" ht="17.25" customHeight="1" s="322">
      <c r="A307" s="27" t="n"/>
      <c r="B307" s="506">
        <f>IFERROR(__xludf.DUMMYFUNCTION("""COMPUTED_VALUE"""),45544.6666666666)</f>
        <v/>
      </c>
      <c r="C307" s="141">
        <f>IFERROR(__xludf.DUMMYFUNCTION("""COMPUTED_VALUE"""),220.82)</f>
        <v/>
      </c>
      <c r="D307" s="141">
        <f>IFERROR(__xludf.DUMMYFUNCTION("""COMPUTED_VALUE"""),221.27)</f>
        <v/>
      </c>
      <c r="E307" s="141">
        <f>IFERROR(__xludf.DUMMYFUNCTION("""COMPUTED_VALUE"""),216.71)</f>
        <v/>
      </c>
      <c r="F307" s="141">
        <f>IFERROR(__xludf.DUMMYFUNCTION("""COMPUTED_VALUE"""),220.91)</f>
        <v/>
      </c>
      <c r="G307" s="143">
        <f>IFERROR(__xludf.DUMMYFUNCTION("""COMPUTED_VALUE"""),67179965)</f>
        <v/>
      </c>
      <c r="H307" s="27" t="n"/>
    </row>
    <row r="308" ht="17.25" customHeight="1" s="322">
      <c r="A308" s="27" t="n"/>
      <c r="B308" s="506">
        <f>IFERROR(__xludf.DUMMYFUNCTION("""COMPUTED_VALUE"""),45545.6666666666)</f>
        <v/>
      </c>
      <c r="C308" s="141">
        <f>IFERROR(__xludf.DUMMYFUNCTION("""COMPUTED_VALUE"""),218.92)</f>
        <v/>
      </c>
      <c r="D308" s="141">
        <f>IFERROR(__xludf.DUMMYFUNCTION("""COMPUTED_VALUE"""),221.48)</f>
        <v/>
      </c>
      <c r="E308" s="141">
        <f>IFERROR(__xludf.DUMMYFUNCTION("""COMPUTED_VALUE"""),216.73)</f>
        <v/>
      </c>
      <c r="F308" s="141">
        <f>IFERROR(__xludf.DUMMYFUNCTION("""COMPUTED_VALUE"""),220.11)</f>
        <v/>
      </c>
      <c r="G308" s="143">
        <f>IFERROR(__xludf.DUMMYFUNCTION("""COMPUTED_VALUE"""),51591033)</f>
        <v/>
      </c>
      <c r="H308" s="27" t="n"/>
    </row>
    <row r="309" ht="17.25" customHeight="1" s="322">
      <c r="A309" s="27" t="n"/>
      <c r="B309" s="506">
        <f>IFERROR(__xludf.DUMMYFUNCTION("""COMPUTED_VALUE"""),45546.6666666666)</f>
        <v/>
      </c>
      <c r="C309" s="141">
        <f>IFERROR(__xludf.DUMMYFUNCTION("""COMPUTED_VALUE"""),221.46)</f>
        <v/>
      </c>
      <c r="D309" s="141">
        <f>IFERROR(__xludf.DUMMYFUNCTION("""COMPUTED_VALUE"""),223.09)</f>
        <v/>
      </c>
      <c r="E309" s="141">
        <f>IFERROR(__xludf.DUMMYFUNCTION("""COMPUTED_VALUE"""),217.89)</f>
        <v/>
      </c>
      <c r="F309" s="141">
        <f>IFERROR(__xludf.DUMMYFUNCTION("""COMPUTED_VALUE"""),222.66)</f>
        <v/>
      </c>
      <c r="G309" s="143">
        <f>IFERROR(__xludf.DUMMYFUNCTION("""COMPUTED_VALUE"""),44587072)</f>
        <v/>
      </c>
      <c r="H309" s="27" t="n"/>
    </row>
    <row r="310" ht="17.25" customHeight="1" s="322">
      <c r="A310" s="27" t="n"/>
      <c r="B310" s="506">
        <f>IFERROR(__xludf.DUMMYFUNCTION("""COMPUTED_VALUE"""),45547.6666666666)</f>
        <v/>
      </c>
      <c r="C310" s="141">
        <f>IFERROR(__xludf.DUMMYFUNCTION("""COMPUTED_VALUE"""),222.5)</f>
        <v/>
      </c>
      <c r="D310" s="141">
        <f>IFERROR(__xludf.DUMMYFUNCTION("""COMPUTED_VALUE"""),223.55)</f>
        <v/>
      </c>
      <c r="E310" s="141">
        <f>IFERROR(__xludf.DUMMYFUNCTION("""COMPUTED_VALUE"""),219.82)</f>
        <v/>
      </c>
      <c r="F310" s="141">
        <f>IFERROR(__xludf.DUMMYFUNCTION("""COMPUTED_VALUE"""),222.77)</f>
        <v/>
      </c>
      <c r="G310" s="143">
        <f>IFERROR(__xludf.DUMMYFUNCTION("""COMPUTED_VALUE"""),37498225)</f>
        <v/>
      </c>
      <c r="H310" s="27" t="n"/>
    </row>
    <row r="311" ht="17.25" customHeight="1" s="322">
      <c r="A311" s="27" t="n"/>
      <c r="B311" s="506">
        <f>IFERROR(__xludf.DUMMYFUNCTION("""COMPUTED_VALUE"""),45548.6666666666)</f>
        <v/>
      </c>
      <c r="C311" s="141">
        <f>IFERROR(__xludf.DUMMYFUNCTION("""COMPUTED_VALUE"""),223.58)</f>
        <v/>
      </c>
      <c r="D311" s="141">
        <f>IFERROR(__xludf.DUMMYFUNCTION("""COMPUTED_VALUE"""),224.04)</f>
        <v/>
      </c>
      <c r="E311" s="141">
        <f>IFERROR(__xludf.DUMMYFUNCTION("""COMPUTED_VALUE"""),221.91)</f>
        <v/>
      </c>
      <c r="F311" s="141">
        <f>IFERROR(__xludf.DUMMYFUNCTION("""COMPUTED_VALUE"""),222.5)</f>
        <v/>
      </c>
      <c r="G311" s="143">
        <f>IFERROR(__xludf.DUMMYFUNCTION("""COMPUTED_VALUE"""),36766619)</f>
        <v/>
      </c>
      <c r="H311" s="27" t="n"/>
    </row>
    <row r="312" ht="17.25" customHeight="1" s="322">
      <c r="A312" s="27" t="n"/>
      <c r="B312" s="506">
        <f>IFERROR(__xludf.DUMMYFUNCTION("""COMPUTED_VALUE"""),45551.6666666666)</f>
        <v/>
      </c>
      <c r="C312" s="141">
        <f>IFERROR(__xludf.DUMMYFUNCTION("""COMPUTED_VALUE"""),216.54)</f>
        <v/>
      </c>
      <c r="D312" s="141">
        <f>IFERROR(__xludf.DUMMYFUNCTION("""COMPUTED_VALUE"""),217.22)</f>
        <v/>
      </c>
      <c r="E312" s="141">
        <f>IFERROR(__xludf.DUMMYFUNCTION("""COMPUTED_VALUE"""),213.92)</f>
        <v/>
      </c>
      <c r="F312" s="141">
        <f>IFERROR(__xludf.DUMMYFUNCTION("""COMPUTED_VALUE"""),216.32)</f>
        <v/>
      </c>
      <c r="G312" s="143">
        <f>IFERROR(__xludf.DUMMYFUNCTION("""COMPUTED_VALUE"""),59357427)</f>
        <v/>
      </c>
      <c r="H312" s="27" t="n"/>
    </row>
    <row r="313" ht="17.25" customHeight="1" s="322">
      <c r="A313" s="27" t="n"/>
      <c r="B313" s="506">
        <f>IFERROR(__xludf.DUMMYFUNCTION("""COMPUTED_VALUE"""),45552.6666666666)</f>
        <v/>
      </c>
      <c r="C313" s="141">
        <f>IFERROR(__xludf.DUMMYFUNCTION("""COMPUTED_VALUE"""),215.75)</f>
        <v/>
      </c>
      <c r="D313" s="141">
        <f>IFERROR(__xludf.DUMMYFUNCTION("""COMPUTED_VALUE"""),216.9)</f>
        <v/>
      </c>
      <c r="E313" s="141">
        <f>IFERROR(__xludf.DUMMYFUNCTION("""COMPUTED_VALUE"""),214.5)</f>
        <v/>
      </c>
      <c r="F313" s="141">
        <f>IFERROR(__xludf.DUMMYFUNCTION("""COMPUTED_VALUE"""),216.79)</f>
        <v/>
      </c>
      <c r="G313" s="143">
        <f>IFERROR(__xludf.DUMMYFUNCTION("""COMPUTED_VALUE"""),45519339)</f>
        <v/>
      </c>
      <c r="H313" s="27" t="n"/>
    </row>
    <row r="314" ht="17.25" customHeight="1" s="322">
      <c r="A314" s="27" t="n"/>
      <c r="B314" s="506">
        <f>IFERROR(__xludf.DUMMYFUNCTION("""COMPUTED_VALUE"""),45553.6666666666)</f>
        <v/>
      </c>
      <c r="C314" s="141">
        <f>IFERROR(__xludf.DUMMYFUNCTION("""COMPUTED_VALUE"""),217.55)</f>
        <v/>
      </c>
      <c r="D314" s="141">
        <f>IFERROR(__xludf.DUMMYFUNCTION("""COMPUTED_VALUE"""),222.71)</f>
        <v/>
      </c>
      <c r="E314" s="141">
        <f>IFERROR(__xludf.DUMMYFUNCTION("""COMPUTED_VALUE"""),217.54)</f>
        <v/>
      </c>
      <c r="F314" s="141">
        <f>IFERROR(__xludf.DUMMYFUNCTION("""COMPUTED_VALUE"""),220.69)</f>
        <v/>
      </c>
      <c r="G314" s="143">
        <f>IFERROR(__xludf.DUMMYFUNCTION("""COMPUTED_VALUE"""),59894928)</f>
        <v/>
      </c>
      <c r="H314" s="27" t="n"/>
    </row>
    <row r="315" ht="17.25" customHeight="1" s="322">
      <c r="A315" s="27" t="n"/>
      <c r="B315" s="506">
        <f>IFERROR(__xludf.DUMMYFUNCTION("""COMPUTED_VALUE"""),45554.6666666666)</f>
        <v/>
      </c>
      <c r="C315" s="141">
        <f>IFERROR(__xludf.DUMMYFUNCTION("""COMPUTED_VALUE"""),224.99)</f>
        <v/>
      </c>
      <c r="D315" s="141">
        <f>IFERROR(__xludf.DUMMYFUNCTION("""COMPUTED_VALUE"""),229.82)</f>
        <v/>
      </c>
      <c r="E315" s="141">
        <f>IFERROR(__xludf.DUMMYFUNCTION("""COMPUTED_VALUE"""),224.63)</f>
        <v/>
      </c>
      <c r="F315" s="141">
        <f>IFERROR(__xludf.DUMMYFUNCTION("""COMPUTED_VALUE"""),228.87)</f>
        <v/>
      </c>
      <c r="G315" s="143">
        <f>IFERROR(__xludf.DUMMYFUNCTION("""COMPUTED_VALUE"""),66781315)</f>
        <v/>
      </c>
      <c r="H315" s="27" t="n"/>
    </row>
    <row r="316" ht="17.25" customHeight="1" s="322">
      <c r="A316" s="27" t="n"/>
      <c r="B316" s="506">
        <f>IFERROR(__xludf.DUMMYFUNCTION("""COMPUTED_VALUE"""),45555.6666666666)</f>
        <v/>
      </c>
      <c r="C316" s="141">
        <f>IFERROR(__xludf.DUMMYFUNCTION("""COMPUTED_VALUE"""),229.97)</f>
        <v/>
      </c>
      <c r="D316" s="141">
        <f>IFERROR(__xludf.DUMMYFUNCTION("""COMPUTED_VALUE"""),233.09)</f>
        <v/>
      </c>
      <c r="E316" s="141">
        <f>IFERROR(__xludf.DUMMYFUNCTION("""COMPUTED_VALUE"""),227.62)</f>
        <v/>
      </c>
      <c r="F316" s="141">
        <f>IFERROR(__xludf.DUMMYFUNCTION("""COMPUTED_VALUE"""),228.2)</f>
        <v/>
      </c>
      <c r="G316" s="143">
        <f>IFERROR(__xludf.DUMMYFUNCTION("""COMPUTED_VALUE"""),318679888)</f>
        <v/>
      </c>
      <c r="H316" s="27" t="n"/>
    </row>
    <row r="317" ht="17.25" customHeight="1" s="322">
      <c r="A317" s="27" t="n"/>
      <c r="B317" s="506">
        <f>IFERROR(__xludf.DUMMYFUNCTION("""COMPUTED_VALUE"""),45558.6666666666)</f>
        <v/>
      </c>
      <c r="C317" s="141">
        <f>IFERROR(__xludf.DUMMYFUNCTION("""COMPUTED_VALUE"""),227.34)</f>
        <v/>
      </c>
      <c r="D317" s="141">
        <f>IFERROR(__xludf.DUMMYFUNCTION("""COMPUTED_VALUE"""),229.45)</f>
        <v/>
      </c>
      <c r="E317" s="141">
        <f>IFERROR(__xludf.DUMMYFUNCTION("""COMPUTED_VALUE"""),225.81)</f>
        <v/>
      </c>
      <c r="F317" s="141">
        <f>IFERROR(__xludf.DUMMYFUNCTION("""COMPUTED_VALUE"""),226.47)</f>
        <v/>
      </c>
      <c r="G317" s="143">
        <f>IFERROR(__xludf.DUMMYFUNCTION("""COMPUTED_VALUE"""),54146023)</f>
        <v/>
      </c>
      <c r="H317" s="27" t="n"/>
    </row>
    <row r="318" ht="17.25" customHeight="1" s="322">
      <c r="A318" s="27" t="n"/>
      <c r="B318" s="506">
        <f>IFERROR(__xludf.DUMMYFUNCTION("""COMPUTED_VALUE"""),45559.6666666666)</f>
        <v/>
      </c>
      <c r="C318" s="141">
        <f>IFERROR(__xludf.DUMMYFUNCTION("""COMPUTED_VALUE"""),228.65)</f>
        <v/>
      </c>
      <c r="D318" s="141">
        <f>IFERROR(__xludf.DUMMYFUNCTION("""COMPUTED_VALUE"""),229.35)</f>
        <v/>
      </c>
      <c r="E318" s="141">
        <f>IFERROR(__xludf.DUMMYFUNCTION("""COMPUTED_VALUE"""),225.73)</f>
        <v/>
      </c>
      <c r="F318" s="141">
        <f>IFERROR(__xludf.DUMMYFUNCTION("""COMPUTED_VALUE"""),227.37)</f>
        <v/>
      </c>
      <c r="G318" s="143">
        <f>IFERROR(__xludf.DUMMYFUNCTION("""COMPUTED_VALUE"""),43556068)</f>
        <v/>
      </c>
      <c r="H318" s="27" t="n"/>
    </row>
    <row r="319" ht="17.25" customHeight="1" s="322">
      <c r="A319" s="27" t="n"/>
      <c r="B319" s="506">
        <f>IFERROR(__xludf.DUMMYFUNCTION("""COMPUTED_VALUE"""),45560.6666666666)</f>
        <v/>
      </c>
      <c r="C319" s="141">
        <f>IFERROR(__xludf.DUMMYFUNCTION("""COMPUTED_VALUE"""),224.93)</f>
        <v/>
      </c>
      <c r="D319" s="141">
        <f>IFERROR(__xludf.DUMMYFUNCTION("""COMPUTED_VALUE"""),227.29)</f>
        <v/>
      </c>
      <c r="E319" s="141">
        <f>IFERROR(__xludf.DUMMYFUNCTION("""COMPUTED_VALUE"""),224.02)</f>
        <v/>
      </c>
      <c r="F319" s="141">
        <f>IFERROR(__xludf.DUMMYFUNCTION("""COMPUTED_VALUE"""),226.37)</f>
        <v/>
      </c>
      <c r="G319" s="143">
        <f>IFERROR(__xludf.DUMMYFUNCTION("""COMPUTED_VALUE"""),42308715)</f>
        <v/>
      </c>
      <c r="H319" s="27" t="n"/>
    </row>
    <row r="320" ht="17.25" customHeight="1" s="322">
      <c r="A320" s="27" t="n"/>
      <c r="B320" s="506">
        <f>IFERROR(__xludf.DUMMYFUNCTION("""COMPUTED_VALUE"""),45561.6666666666)</f>
        <v/>
      </c>
      <c r="C320" s="141">
        <f>IFERROR(__xludf.DUMMYFUNCTION("""COMPUTED_VALUE"""),227.3)</f>
        <v/>
      </c>
      <c r="D320" s="141">
        <f>IFERROR(__xludf.DUMMYFUNCTION("""COMPUTED_VALUE"""),228.5)</f>
        <v/>
      </c>
      <c r="E320" s="141">
        <f>IFERROR(__xludf.DUMMYFUNCTION("""COMPUTED_VALUE"""),225.41)</f>
        <v/>
      </c>
      <c r="F320" s="141">
        <f>IFERROR(__xludf.DUMMYFUNCTION("""COMPUTED_VALUE"""),227.52)</f>
        <v/>
      </c>
      <c r="G320" s="143">
        <f>IFERROR(__xludf.DUMMYFUNCTION("""COMPUTED_VALUE"""),36636707)</f>
        <v/>
      </c>
      <c r="H320" s="27" t="n"/>
    </row>
    <row r="321" ht="17.25" customHeight="1" s="322">
      <c r="A321" s="27" t="n"/>
      <c r="B321" s="506">
        <f>IFERROR(__xludf.DUMMYFUNCTION("""COMPUTED_VALUE"""),45562.6666666666)</f>
        <v/>
      </c>
      <c r="C321" s="141">
        <f>IFERROR(__xludf.DUMMYFUNCTION("""COMPUTED_VALUE"""),228.46)</f>
        <v/>
      </c>
      <c r="D321" s="141">
        <f>IFERROR(__xludf.DUMMYFUNCTION("""COMPUTED_VALUE"""),229.52)</f>
        <v/>
      </c>
      <c r="E321" s="141">
        <f>IFERROR(__xludf.DUMMYFUNCTION("""COMPUTED_VALUE"""),227.3)</f>
        <v/>
      </c>
      <c r="F321" s="141">
        <f>IFERROR(__xludf.DUMMYFUNCTION("""COMPUTED_VALUE"""),227.79)</f>
        <v/>
      </c>
      <c r="G321" s="143">
        <f>IFERROR(__xludf.DUMMYFUNCTION("""COMPUTED_VALUE"""),34025967)</f>
        <v/>
      </c>
      <c r="H321" s="27" t="n"/>
    </row>
    <row r="322" ht="17.25" customHeight="1" s="322">
      <c r="A322" s="27" t="n"/>
      <c r="B322" s="506">
        <f>IFERROR(__xludf.DUMMYFUNCTION("""COMPUTED_VALUE"""),45565.6666666666)</f>
        <v/>
      </c>
      <c r="C322" s="141">
        <f>IFERROR(__xludf.DUMMYFUNCTION("""COMPUTED_VALUE"""),230.04)</f>
        <v/>
      </c>
      <c r="D322" s="141">
        <f>IFERROR(__xludf.DUMMYFUNCTION("""COMPUTED_VALUE"""),233)</f>
        <v/>
      </c>
      <c r="E322" s="141">
        <f>IFERROR(__xludf.DUMMYFUNCTION("""COMPUTED_VALUE"""),229.65)</f>
        <v/>
      </c>
      <c r="F322" s="141">
        <f>IFERROR(__xludf.DUMMYFUNCTION("""COMPUTED_VALUE"""),233)</f>
        <v/>
      </c>
      <c r="G322" s="143">
        <f>IFERROR(__xludf.DUMMYFUNCTION("""COMPUTED_VALUE"""),54793391)</f>
        <v/>
      </c>
      <c r="H322" s="27" t="n"/>
    </row>
    <row r="323" ht="17.25" customHeight="1" s="322">
      <c r="A323" s="27" t="n"/>
      <c r="B323" s="506">
        <f>IFERROR(__xludf.DUMMYFUNCTION("""COMPUTED_VALUE"""),45566.6666666666)</f>
        <v/>
      </c>
      <c r="C323" s="141">
        <f>IFERROR(__xludf.DUMMYFUNCTION("""COMPUTED_VALUE"""),229.52)</f>
        <v/>
      </c>
      <c r="D323" s="141">
        <f>IFERROR(__xludf.DUMMYFUNCTION("""COMPUTED_VALUE"""),229.65)</f>
        <v/>
      </c>
      <c r="E323" s="141">
        <f>IFERROR(__xludf.DUMMYFUNCTION("""COMPUTED_VALUE"""),223.74)</f>
        <v/>
      </c>
      <c r="F323" s="141">
        <f>IFERROR(__xludf.DUMMYFUNCTION("""COMPUTED_VALUE"""),226.21)</f>
        <v/>
      </c>
      <c r="G323" s="143">
        <f>IFERROR(__xludf.DUMMYFUNCTION("""COMPUTED_VALUE"""),63285048)</f>
        <v/>
      </c>
      <c r="H323" s="27" t="n"/>
    </row>
    <row r="324" ht="17.25" customHeight="1" s="322">
      <c r="A324" s="27" t="n"/>
      <c r="B324" s="506">
        <f>IFERROR(__xludf.DUMMYFUNCTION("""COMPUTED_VALUE"""),45567.6666666666)</f>
        <v/>
      </c>
      <c r="C324" s="141">
        <f>IFERROR(__xludf.DUMMYFUNCTION("""COMPUTED_VALUE"""),225.89)</f>
        <v/>
      </c>
      <c r="D324" s="141">
        <f>IFERROR(__xludf.DUMMYFUNCTION("""COMPUTED_VALUE"""),227.37)</f>
        <v/>
      </c>
      <c r="E324" s="141">
        <f>IFERROR(__xludf.DUMMYFUNCTION("""COMPUTED_VALUE"""),223.02)</f>
        <v/>
      </c>
      <c r="F324" s="141">
        <f>IFERROR(__xludf.DUMMYFUNCTION("""COMPUTED_VALUE"""),226.78)</f>
        <v/>
      </c>
      <c r="G324" s="143">
        <f>IFERROR(__xludf.DUMMYFUNCTION("""COMPUTED_VALUE"""),32880605)</f>
        <v/>
      </c>
      <c r="H324" s="27" t="n"/>
    </row>
    <row r="325" ht="17.25" customHeight="1" s="322">
      <c r="A325" s="27" t="n"/>
      <c r="B325" s="506">
        <f>IFERROR(__xludf.DUMMYFUNCTION("""COMPUTED_VALUE"""),45568.6666666666)</f>
        <v/>
      </c>
      <c r="C325" s="141">
        <f>IFERROR(__xludf.DUMMYFUNCTION("""COMPUTED_VALUE"""),225.14)</f>
        <v/>
      </c>
      <c r="D325" s="141">
        <f>IFERROR(__xludf.DUMMYFUNCTION("""COMPUTED_VALUE"""),226.81)</f>
        <v/>
      </c>
      <c r="E325" s="141">
        <f>IFERROR(__xludf.DUMMYFUNCTION("""COMPUTED_VALUE"""),223.32)</f>
        <v/>
      </c>
      <c r="F325" s="141">
        <f>IFERROR(__xludf.DUMMYFUNCTION("""COMPUTED_VALUE"""),225.67)</f>
        <v/>
      </c>
      <c r="G325" s="143">
        <f>IFERROR(__xludf.DUMMYFUNCTION("""COMPUTED_VALUE"""),34044158)</f>
        <v/>
      </c>
      <c r="H325" s="27" t="n"/>
    </row>
    <row r="326" ht="17.25" customHeight="1" s="322">
      <c r="A326" s="27" t="n"/>
      <c r="B326" s="506">
        <f>IFERROR(__xludf.DUMMYFUNCTION("""COMPUTED_VALUE"""),45569.6666666666)</f>
        <v/>
      </c>
      <c r="C326" s="141">
        <f>IFERROR(__xludf.DUMMYFUNCTION("""COMPUTED_VALUE"""),227.9)</f>
        <v/>
      </c>
      <c r="D326" s="141">
        <f>IFERROR(__xludf.DUMMYFUNCTION("""COMPUTED_VALUE"""),228)</f>
        <v/>
      </c>
      <c r="E326" s="141">
        <f>IFERROR(__xludf.DUMMYFUNCTION("""COMPUTED_VALUE"""),224.13)</f>
        <v/>
      </c>
      <c r="F326" s="141">
        <f>IFERROR(__xludf.DUMMYFUNCTION("""COMPUTED_VALUE"""),226.8)</f>
        <v/>
      </c>
      <c r="G326" s="143">
        <f>IFERROR(__xludf.DUMMYFUNCTION("""COMPUTED_VALUE"""),37345098)</f>
        <v/>
      </c>
      <c r="H326" s="27" t="n"/>
    </row>
    <row r="327" ht="17.25" customHeight="1" s="322">
      <c r="A327" s="27" t="n"/>
      <c r="B327" s="506">
        <f>IFERROR(__xludf.DUMMYFUNCTION("""COMPUTED_VALUE"""),45572.6666666666)</f>
        <v/>
      </c>
      <c r="C327" s="141">
        <f>IFERROR(__xludf.DUMMYFUNCTION("""COMPUTED_VALUE"""),224.5)</f>
        <v/>
      </c>
      <c r="D327" s="141">
        <f>IFERROR(__xludf.DUMMYFUNCTION("""COMPUTED_VALUE"""),225.69)</f>
        <v/>
      </c>
      <c r="E327" s="141">
        <f>IFERROR(__xludf.DUMMYFUNCTION("""COMPUTED_VALUE"""),221.33)</f>
        <v/>
      </c>
      <c r="F327" s="141">
        <f>IFERROR(__xludf.DUMMYFUNCTION("""COMPUTED_VALUE"""),221.69)</f>
        <v/>
      </c>
      <c r="G327" s="143">
        <f>IFERROR(__xludf.DUMMYFUNCTION("""COMPUTED_VALUE"""),39505354)</f>
        <v/>
      </c>
      <c r="H327" s="27" t="n"/>
    </row>
    <row r="328" ht="17.25" customHeight="1" s="322">
      <c r="A328" s="27" t="n"/>
      <c r="B328" s="506">
        <f>IFERROR(__xludf.DUMMYFUNCTION("""COMPUTED_VALUE"""),45573.6666666666)</f>
        <v/>
      </c>
      <c r="C328" s="141">
        <f>IFERROR(__xludf.DUMMYFUNCTION("""COMPUTED_VALUE"""),224.3)</f>
        <v/>
      </c>
      <c r="D328" s="141">
        <f>IFERROR(__xludf.DUMMYFUNCTION("""COMPUTED_VALUE"""),225.98)</f>
        <v/>
      </c>
      <c r="E328" s="141">
        <f>IFERROR(__xludf.DUMMYFUNCTION("""COMPUTED_VALUE"""),223.25)</f>
        <v/>
      </c>
      <c r="F328" s="141">
        <f>IFERROR(__xludf.DUMMYFUNCTION("""COMPUTED_VALUE"""),225.77)</f>
        <v/>
      </c>
      <c r="G328" s="143">
        <f>IFERROR(__xludf.DUMMYFUNCTION("""COMPUTED_VALUE"""),31855693)</f>
        <v/>
      </c>
      <c r="H328" s="27" t="n"/>
    </row>
    <row r="329" ht="17.25" customHeight="1" s="322">
      <c r="A329" s="27" t="n"/>
      <c r="B329" s="506">
        <f>IFERROR(__xludf.DUMMYFUNCTION("""COMPUTED_VALUE"""),45574.6666666666)</f>
        <v/>
      </c>
      <c r="C329" s="141">
        <f>IFERROR(__xludf.DUMMYFUNCTION("""COMPUTED_VALUE"""),225.23)</f>
        <v/>
      </c>
      <c r="D329" s="141">
        <f>IFERROR(__xludf.DUMMYFUNCTION("""COMPUTED_VALUE"""),229.75)</f>
        <v/>
      </c>
      <c r="E329" s="141">
        <f>IFERROR(__xludf.DUMMYFUNCTION("""COMPUTED_VALUE"""),224.83)</f>
        <v/>
      </c>
      <c r="F329" s="141">
        <f>IFERROR(__xludf.DUMMYFUNCTION("""COMPUTED_VALUE"""),229.54)</f>
        <v/>
      </c>
      <c r="G329" s="143">
        <f>IFERROR(__xludf.DUMMYFUNCTION("""COMPUTED_VALUE"""),33591091)</f>
        <v/>
      </c>
      <c r="H329" s="27" t="n"/>
    </row>
    <row r="330" ht="17.25" customHeight="1" s="322">
      <c r="A330" s="27" t="n"/>
      <c r="B330" s="506">
        <f>IFERROR(__xludf.DUMMYFUNCTION("""COMPUTED_VALUE"""),45575.6666666666)</f>
        <v/>
      </c>
      <c r="C330" s="141">
        <f>IFERROR(__xludf.DUMMYFUNCTION("""COMPUTED_VALUE"""),227.78)</f>
        <v/>
      </c>
      <c r="D330" s="141">
        <f>IFERROR(__xludf.DUMMYFUNCTION("""COMPUTED_VALUE"""),229.5)</f>
        <v/>
      </c>
      <c r="E330" s="141">
        <f>IFERROR(__xludf.DUMMYFUNCTION("""COMPUTED_VALUE"""),227.17)</f>
        <v/>
      </c>
      <c r="F330" s="141">
        <f>IFERROR(__xludf.DUMMYFUNCTION("""COMPUTED_VALUE"""),229.04)</f>
        <v/>
      </c>
      <c r="G330" s="143">
        <f>IFERROR(__xludf.DUMMYFUNCTION("""COMPUTED_VALUE"""),28183544)</f>
        <v/>
      </c>
      <c r="H330" s="27" t="n"/>
    </row>
    <row r="331" ht="17.25" customHeight="1" s="322">
      <c r="A331" s="27" t="n"/>
      <c r="B331" s="506">
        <f>IFERROR(__xludf.DUMMYFUNCTION("""COMPUTED_VALUE"""),45576.6666666666)</f>
        <v/>
      </c>
      <c r="C331" s="141">
        <f>IFERROR(__xludf.DUMMYFUNCTION("""COMPUTED_VALUE"""),229.3)</f>
        <v/>
      </c>
      <c r="D331" s="141">
        <f>IFERROR(__xludf.DUMMYFUNCTION("""COMPUTED_VALUE"""),229.41)</f>
        <v/>
      </c>
      <c r="E331" s="141">
        <f>IFERROR(__xludf.DUMMYFUNCTION("""COMPUTED_VALUE"""),227.34)</f>
        <v/>
      </c>
      <c r="F331" s="141">
        <f>IFERROR(__xludf.DUMMYFUNCTION("""COMPUTED_VALUE"""),227.55)</f>
        <v/>
      </c>
      <c r="G331" s="143">
        <f>IFERROR(__xludf.DUMMYFUNCTION("""COMPUTED_VALUE"""),31759188)</f>
        <v/>
      </c>
      <c r="H331" s="27" t="n"/>
    </row>
    <row r="332" ht="17.25" customHeight="1" s="322">
      <c r="A332" s="27" t="n"/>
      <c r="B332" s="506">
        <f>IFERROR(__xludf.DUMMYFUNCTION("""COMPUTED_VALUE"""),45579.6666666666)</f>
        <v/>
      </c>
      <c r="C332" s="141">
        <f>IFERROR(__xludf.DUMMYFUNCTION("""COMPUTED_VALUE"""),228.7)</f>
        <v/>
      </c>
      <c r="D332" s="141">
        <f>IFERROR(__xludf.DUMMYFUNCTION("""COMPUTED_VALUE"""),231.73)</f>
        <v/>
      </c>
      <c r="E332" s="141">
        <f>IFERROR(__xludf.DUMMYFUNCTION("""COMPUTED_VALUE"""),228.6)</f>
        <v/>
      </c>
      <c r="F332" s="141">
        <f>IFERROR(__xludf.DUMMYFUNCTION("""COMPUTED_VALUE"""),231.3)</f>
        <v/>
      </c>
      <c r="G332" s="143">
        <f>IFERROR(__xludf.DUMMYFUNCTION("""COMPUTED_VALUE"""),39882085)</f>
        <v/>
      </c>
      <c r="H332" s="27" t="n"/>
    </row>
    <row r="333" ht="17.25" customHeight="1" s="322">
      <c r="A333" s="27" t="n"/>
      <c r="B333" s="506">
        <f>IFERROR(__xludf.DUMMYFUNCTION("""COMPUTED_VALUE"""),45580.6666666666)</f>
        <v/>
      </c>
      <c r="C333" s="141">
        <f>IFERROR(__xludf.DUMMYFUNCTION("""COMPUTED_VALUE"""),233.61)</f>
        <v/>
      </c>
      <c r="D333" s="141">
        <f>IFERROR(__xludf.DUMMYFUNCTION("""COMPUTED_VALUE"""),237.49)</f>
        <v/>
      </c>
      <c r="E333" s="141">
        <f>IFERROR(__xludf.DUMMYFUNCTION("""COMPUTED_VALUE"""),232.37)</f>
        <v/>
      </c>
      <c r="F333" s="141">
        <f>IFERROR(__xludf.DUMMYFUNCTION("""COMPUTED_VALUE"""),233.85)</f>
        <v/>
      </c>
      <c r="G333" s="143">
        <f>IFERROR(__xludf.DUMMYFUNCTION("""COMPUTED_VALUE"""),64751367)</f>
        <v/>
      </c>
      <c r="H333" s="27" t="n"/>
    </row>
    <row r="334" ht="17.25" customHeight="1" s="322">
      <c r="A334" s="27" t="n"/>
      <c r="B334" s="506">
        <f>IFERROR(__xludf.DUMMYFUNCTION("""COMPUTED_VALUE"""),45581.6666666666)</f>
        <v/>
      </c>
      <c r="C334" s="141">
        <f>IFERROR(__xludf.DUMMYFUNCTION("""COMPUTED_VALUE"""),231.6)</f>
        <v/>
      </c>
      <c r="D334" s="141">
        <f>IFERROR(__xludf.DUMMYFUNCTION("""COMPUTED_VALUE"""),232.12)</f>
        <v/>
      </c>
      <c r="E334" s="141">
        <f>IFERROR(__xludf.DUMMYFUNCTION("""COMPUTED_VALUE"""),229.84)</f>
        <v/>
      </c>
      <c r="F334" s="141">
        <f>IFERROR(__xludf.DUMMYFUNCTION("""COMPUTED_VALUE"""),231.78)</f>
        <v/>
      </c>
      <c r="G334" s="143">
        <f>IFERROR(__xludf.DUMMYFUNCTION("""COMPUTED_VALUE"""),34082240)</f>
        <v/>
      </c>
      <c r="H334" s="27" t="n"/>
    </row>
    <row r="335" ht="17.25" customHeight="1" s="322">
      <c r="A335" s="27" t="n"/>
      <c r="B335" s="506">
        <f>IFERROR(__xludf.DUMMYFUNCTION("""COMPUTED_VALUE"""),45582.6666666666)</f>
        <v/>
      </c>
      <c r="C335" s="141">
        <f>IFERROR(__xludf.DUMMYFUNCTION("""COMPUTED_VALUE"""),233.43)</f>
        <v/>
      </c>
      <c r="D335" s="141">
        <f>IFERROR(__xludf.DUMMYFUNCTION("""COMPUTED_VALUE"""),233.85)</f>
        <v/>
      </c>
      <c r="E335" s="141">
        <f>IFERROR(__xludf.DUMMYFUNCTION("""COMPUTED_VALUE"""),230.52)</f>
        <v/>
      </c>
      <c r="F335" s="141">
        <f>IFERROR(__xludf.DUMMYFUNCTION("""COMPUTED_VALUE"""),232.15)</f>
        <v/>
      </c>
      <c r="G335" s="143">
        <f>IFERROR(__xludf.DUMMYFUNCTION("""COMPUTED_VALUE"""),32993810)</f>
        <v/>
      </c>
      <c r="H335" s="27" t="n"/>
    </row>
    <row r="336" ht="17.25" customHeight="1" s="322">
      <c r="A336" s="27" t="n"/>
      <c r="B336" s="506">
        <f>IFERROR(__xludf.DUMMYFUNCTION("""COMPUTED_VALUE"""),45583.6666666666)</f>
        <v/>
      </c>
      <c r="C336" s="141">
        <f>IFERROR(__xludf.DUMMYFUNCTION("""COMPUTED_VALUE"""),236.18)</f>
        <v/>
      </c>
      <c r="D336" s="141">
        <f>IFERROR(__xludf.DUMMYFUNCTION("""COMPUTED_VALUE"""),236.18)</f>
        <v/>
      </c>
      <c r="E336" s="141">
        <f>IFERROR(__xludf.DUMMYFUNCTION("""COMPUTED_VALUE"""),234.01)</f>
        <v/>
      </c>
      <c r="F336" s="141">
        <f>IFERROR(__xludf.DUMMYFUNCTION("""COMPUTED_VALUE"""),235)</f>
        <v/>
      </c>
      <c r="G336" s="143">
        <f>IFERROR(__xludf.DUMMYFUNCTION("""COMPUTED_VALUE"""),46431472)</f>
        <v/>
      </c>
      <c r="H336" s="27" t="n"/>
    </row>
    <row r="337" ht="17.25" customHeight="1" s="322">
      <c r="A337" s="27" t="n"/>
      <c r="B337" s="506">
        <f>IFERROR(__xludf.DUMMYFUNCTION("""COMPUTED_VALUE"""),45586.6666666666)</f>
        <v/>
      </c>
      <c r="C337" s="141">
        <f>IFERROR(__xludf.DUMMYFUNCTION("""COMPUTED_VALUE"""),234.45)</f>
        <v/>
      </c>
      <c r="D337" s="141">
        <f>IFERROR(__xludf.DUMMYFUNCTION("""COMPUTED_VALUE"""),236.85)</f>
        <v/>
      </c>
      <c r="E337" s="141">
        <f>IFERROR(__xludf.DUMMYFUNCTION("""COMPUTED_VALUE"""),234.45)</f>
        <v/>
      </c>
      <c r="F337" s="141">
        <f>IFERROR(__xludf.DUMMYFUNCTION("""COMPUTED_VALUE"""),236.48)</f>
        <v/>
      </c>
      <c r="G337" s="143">
        <f>IFERROR(__xludf.DUMMYFUNCTION("""COMPUTED_VALUE"""),36254470)</f>
        <v/>
      </c>
      <c r="H337" s="27" t="n"/>
    </row>
    <row r="338" ht="17.25" customHeight="1" s="322">
      <c r="A338" s="27" t="n"/>
      <c r="B338" s="506">
        <f>IFERROR(__xludf.DUMMYFUNCTION("""COMPUTED_VALUE"""),45587.6666666666)</f>
        <v/>
      </c>
      <c r="C338" s="141">
        <f>IFERROR(__xludf.DUMMYFUNCTION("""COMPUTED_VALUE"""),233.89)</f>
        <v/>
      </c>
      <c r="D338" s="141">
        <f>IFERROR(__xludf.DUMMYFUNCTION("""COMPUTED_VALUE"""),236.22)</f>
        <v/>
      </c>
      <c r="E338" s="141">
        <f>IFERROR(__xludf.DUMMYFUNCTION("""COMPUTED_VALUE"""),232.6)</f>
        <v/>
      </c>
      <c r="F338" s="141">
        <f>IFERROR(__xludf.DUMMYFUNCTION("""COMPUTED_VALUE"""),235.86)</f>
        <v/>
      </c>
      <c r="G338" s="143">
        <f>IFERROR(__xludf.DUMMYFUNCTION("""COMPUTED_VALUE"""),38846578)</f>
        <v/>
      </c>
      <c r="H338" s="27" t="n"/>
    </row>
    <row r="339" ht="17.25" customHeight="1" s="322">
      <c r="A339" s="27" t="n"/>
      <c r="B339" s="506">
        <f>IFERROR(__xludf.DUMMYFUNCTION("""COMPUTED_VALUE"""),45588.6666666666)</f>
        <v/>
      </c>
      <c r="C339" s="141">
        <f>IFERROR(__xludf.DUMMYFUNCTION("""COMPUTED_VALUE"""),234.08)</f>
        <v/>
      </c>
      <c r="D339" s="141">
        <f>IFERROR(__xludf.DUMMYFUNCTION("""COMPUTED_VALUE"""),235.14)</f>
        <v/>
      </c>
      <c r="E339" s="141">
        <f>IFERROR(__xludf.DUMMYFUNCTION("""COMPUTED_VALUE"""),227.76)</f>
        <v/>
      </c>
      <c r="F339" s="141">
        <f>IFERROR(__xludf.DUMMYFUNCTION("""COMPUTED_VALUE"""),230.76)</f>
        <v/>
      </c>
      <c r="G339" s="143">
        <f>IFERROR(__xludf.DUMMYFUNCTION("""COMPUTED_VALUE"""),52286979)</f>
        <v/>
      </c>
      <c r="H339" s="27" t="n"/>
    </row>
    <row r="340" ht="17.25" customHeight="1" s="322">
      <c r="A340" s="27" t="n"/>
      <c r="B340" s="506">
        <f>IFERROR(__xludf.DUMMYFUNCTION("""COMPUTED_VALUE"""),45589.6666666666)</f>
        <v/>
      </c>
      <c r="C340" s="141">
        <f>IFERROR(__xludf.DUMMYFUNCTION("""COMPUTED_VALUE"""),229.98)</f>
        <v/>
      </c>
      <c r="D340" s="141">
        <f>IFERROR(__xludf.DUMMYFUNCTION("""COMPUTED_VALUE"""),230.82)</f>
        <v/>
      </c>
      <c r="E340" s="141">
        <f>IFERROR(__xludf.DUMMYFUNCTION("""COMPUTED_VALUE"""),228.41)</f>
        <v/>
      </c>
      <c r="F340" s="141">
        <f>IFERROR(__xludf.DUMMYFUNCTION("""COMPUTED_VALUE"""),230.57)</f>
        <v/>
      </c>
      <c r="G340" s="143">
        <f>IFERROR(__xludf.DUMMYFUNCTION("""COMPUTED_VALUE"""),31109503)</f>
        <v/>
      </c>
      <c r="H340" s="27" t="n"/>
    </row>
    <row r="341" ht="17.25" customHeight="1" s="322">
      <c r="A341" s="27" t="n"/>
      <c r="B341" s="506">
        <f>IFERROR(__xludf.DUMMYFUNCTION("""COMPUTED_VALUE"""),45590.6666666666)</f>
        <v/>
      </c>
      <c r="C341" s="141">
        <f>IFERROR(__xludf.DUMMYFUNCTION("""COMPUTED_VALUE"""),229.74)</f>
        <v/>
      </c>
      <c r="D341" s="141">
        <f>IFERROR(__xludf.DUMMYFUNCTION("""COMPUTED_VALUE"""),233.22)</f>
        <v/>
      </c>
      <c r="E341" s="141">
        <f>IFERROR(__xludf.DUMMYFUNCTION("""COMPUTED_VALUE"""),229.57)</f>
        <v/>
      </c>
      <c r="F341" s="141">
        <f>IFERROR(__xludf.DUMMYFUNCTION("""COMPUTED_VALUE"""),231.41)</f>
        <v/>
      </c>
      <c r="G341" s="143">
        <f>IFERROR(__xludf.DUMMYFUNCTION("""COMPUTED_VALUE"""),38802304)</f>
        <v/>
      </c>
      <c r="H341" s="27" t="n"/>
    </row>
    <row r="342" ht="17.25" customHeight="1" s="322">
      <c r="A342" s="27" t="n"/>
      <c r="B342" s="506">
        <f>IFERROR(__xludf.DUMMYFUNCTION("""COMPUTED_VALUE"""),45593.6666666666)</f>
        <v/>
      </c>
      <c r="C342" s="141">
        <f>IFERROR(__xludf.DUMMYFUNCTION("""COMPUTED_VALUE"""),233.32)</f>
        <v/>
      </c>
      <c r="D342" s="141">
        <f>IFERROR(__xludf.DUMMYFUNCTION("""COMPUTED_VALUE"""),234.73)</f>
        <v/>
      </c>
      <c r="E342" s="141">
        <f>IFERROR(__xludf.DUMMYFUNCTION("""COMPUTED_VALUE"""),232.55)</f>
        <v/>
      </c>
      <c r="F342" s="141">
        <f>IFERROR(__xludf.DUMMYFUNCTION("""COMPUTED_VALUE"""),233.4)</f>
        <v/>
      </c>
      <c r="G342" s="143">
        <f>IFERROR(__xludf.DUMMYFUNCTION("""COMPUTED_VALUE"""),36087134)</f>
        <v/>
      </c>
      <c r="H342" s="27" t="n"/>
    </row>
    <row r="343" ht="17.25" customHeight="1" s="322">
      <c r="A343" s="27" t="n"/>
      <c r="B343" s="506">
        <f>IFERROR(__xludf.DUMMYFUNCTION("""COMPUTED_VALUE"""),45594.6666666666)</f>
        <v/>
      </c>
      <c r="C343" s="141">
        <f>IFERROR(__xludf.DUMMYFUNCTION("""COMPUTED_VALUE"""),233.1)</f>
        <v/>
      </c>
      <c r="D343" s="141">
        <f>IFERROR(__xludf.DUMMYFUNCTION("""COMPUTED_VALUE"""),234.33)</f>
        <v/>
      </c>
      <c r="E343" s="141">
        <f>IFERROR(__xludf.DUMMYFUNCTION("""COMPUTED_VALUE"""),232.32)</f>
        <v/>
      </c>
      <c r="F343" s="141">
        <f>IFERROR(__xludf.DUMMYFUNCTION("""COMPUTED_VALUE"""),233.67)</f>
        <v/>
      </c>
      <c r="G343" s="143">
        <f>IFERROR(__xludf.DUMMYFUNCTION("""COMPUTED_VALUE"""),35417247)</f>
        <v/>
      </c>
      <c r="H343" s="27" t="n"/>
    </row>
    <row r="344" ht="17.25" customHeight="1" s="322">
      <c r="A344" s="27" t="n"/>
      <c r="B344" s="506">
        <f>IFERROR(__xludf.DUMMYFUNCTION("""COMPUTED_VALUE"""),45595.6666666666)</f>
        <v/>
      </c>
      <c r="C344" s="141">
        <f>IFERROR(__xludf.DUMMYFUNCTION("""COMPUTED_VALUE"""),232.61)</f>
        <v/>
      </c>
      <c r="D344" s="141">
        <f>IFERROR(__xludf.DUMMYFUNCTION("""COMPUTED_VALUE"""),233.47)</f>
        <v/>
      </c>
      <c r="E344" s="141">
        <f>IFERROR(__xludf.DUMMYFUNCTION("""COMPUTED_VALUE"""),229.55)</f>
        <v/>
      </c>
      <c r="F344" s="141">
        <f>IFERROR(__xludf.DUMMYFUNCTION("""COMPUTED_VALUE"""),230.1)</f>
        <v/>
      </c>
      <c r="G344" s="143">
        <f>IFERROR(__xludf.DUMMYFUNCTION("""COMPUTED_VALUE"""),47070907)</f>
        <v/>
      </c>
      <c r="H344" s="27" t="n"/>
    </row>
    <row r="345" ht="17.25" customHeight="1" s="322">
      <c r="A345" s="27" t="n"/>
      <c r="B345" s="506">
        <f>IFERROR(__xludf.DUMMYFUNCTION("""COMPUTED_VALUE"""),45596.6666666666)</f>
        <v/>
      </c>
      <c r="C345" s="141">
        <f>IFERROR(__xludf.DUMMYFUNCTION("""COMPUTED_VALUE"""),229.34)</f>
        <v/>
      </c>
      <c r="D345" s="141">
        <f>IFERROR(__xludf.DUMMYFUNCTION("""COMPUTED_VALUE"""),229.83)</f>
        <v/>
      </c>
      <c r="E345" s="141">
        <f>IFERROR(__xludf.DUMMYFUNCTION("""COMPUTED_VALUE"""),225.37)</f>
        <v/>
      </c>
      <c r="F345" s="141">
        <f>IFERROR(__xludf.DUMMYFUNCTION("""COMPUTED_VALUE"""),225.91)</f>
        <v/>
      </c>
      <c r="G345" s="143">
        <f>IFERROR(__xludf.DUMMYFUNCTION("""COMPUTED_VALUE"""),64370086)</f>
        <v/>
      </c>
      <c r="H345" s="27" t="n"/>
    </row>
    <row r="346" ht="17.25" customHeight="1" s="322">
      <c r="A346" s="27" t="n"/>
      <c r="B346" s="506">
        <f>IFERROR(__xludf.DUMMYFUNCTION("""COMPUTED_VALUE"""),45597.6666666666)</f>
        <v/>
      </c>
      <c r="C346" s="141">
        <f>IFERROR(__xludf.DUMMYFUNCTION("""COMPUTED_VALUE"""),220.97)</f>
        <v/>
      </c>
      <c r="D346" s="141">
        <f>IFERROR(__xludf.DUMMYFUNCTION("""COMPUTED_VALUE"""),225.35)</f>
        <v/>
      </c>
      <c r="E346" s="141">
        <f>IFERROR(__xludf.DUMMYFUNCTION("""COMPUTED_VALUE"""),220.27)</f>
        <v/>
      </c>
      <c r="F346" s="141">
        <f>IFERROR(__xludf.DUMMYFUNCTION("""COMPUTED_VALUE"""),222.91)</f>
        <v/>
      </c>
      <c r="G346" s="143">
        <f>IFERROR(__xludf.DUMMYFUNCTION("""COMPUTED_VALUE"""),65276741)</f>
        <v/>
      </c>
      <c r="H346" s="27" t="n"/>
    </row>
    <row r="347" ht="17.25" customHeight="1" s="322">
      <c r="A347" s="27" t="n"/>
      <c r="B347" s="506">
        <f>IFERROR(__xludf.DUMMYFUNCTION("""COMPUTED_VALUE"""),45600.6666666666)</f>
        <v/>
      </c>
      <c r="C347" s="141">
        <f>IFERROR(__xludf.DUMMYFUNCTION("""COMPUTED_VALUE"""),220.99)</f>
        <v/>
      </c>
      <c r="D347" s="141">
        <f>IFERROR(__xludf.DUMMYFUNCTION("""COMPUTED_VALUE"""),222.79)</f>
        <v/>
      </c>
      <c r="E347" s="141">
        <f>IFERROR(__xludf.DUMMYFUNCTION("""COMPUTED_VALUE"""),219.71)</f>
        <v/>
      </c>
      <c r="F347" s="141">
        <f>IFERROR(__xludf.DUMMYFUNCTION("""COMPUTED_VALUE"""),222.01)</f>
        <v/>
      </c>
      <c r="G347" s="143">
        <f>IFERROR(__xludf.DUMMYFUNCTION("""COMPUTED_VALUE"""),44944468)</f>
        <v/>
      </c>
      <c r="H347" s="27" t="n"/>
    </row>
    <row r="348" ht="17.25" customHeight="1" s="322">
      <c r="A348" s="27" t="n"/>
      <c r="B348" s="506">
        <f>IFERROR(__xludf.DUMMYFUNCTION("""COMPUTED_VALUE"""),45601.6666666666)</f>
        <v/>
      </c>
      <c r="C348" s="141">
        <f>IFERROR(__xludf.DUMMYFUNCTION("""COMPUTED_VALUE"""),221.8)</f>
        <v/>
      </c>
      <c r="D348" s="141">
        <f>IFERROR(__xludf.DUMMYFUNCTION("""COMPUTED_VALUE"""),223.95)</f>
        <v/>
      </c>
      <c r="E348" s="141">
        <f>IFERROR(__xludf.DUMMYFUNCTION("""COMPUTED_VALUE"""),221.14)</f>
        <v/>
      </c>
      <c r="F348" s="141">
        <f>IFERROR(__xludf.DUMMYFUNCTION("""COMPUTED_VALUE"""),223.45)</f>
        <v/>
      </c>
      <c r="G348" s="143">
        <f>IFERROR(__xludf.DUMMYFUNCTION("""COMPUTED_VALUE"""),28111338)</f>
        <v/>
      </c>
      <c r="H348" s="27" t="n"/>
    </row>
    <row r="349" ht="17.25" customHeight="1" s="322">
      <c r="A349" s="27" t="n"/>
      <c r="B349" s="506">
        <f>IFERROR(__xludf.DUMMYFUNCTION("""COMPUTED_VALUE"""),45602.6666666666)</f>
        <v/>
      </c>
      <c r="C349" s="141">
        <f>IFERROR(__xludf.DUMMYFUNCTION("""COMPUTED_VALUE"""),222.61)</f>
        <v/>
      </c>
      <c r="D349" s="141">
        <f>IFERROR(__xludf.DUMMYFUNCTION("""COMPUTED_VALUE"""),226.07)</f>
        <v/>
      </c>
      <c r="E349" s="141">
        <f>IFERROR(__xludf.DUMMYFUNCTION("""COMPUTED_VALUE"""),221.19)</f>
        <v/>
      </c>
      <c r="F349" s="141">
        <f>IFERROR(__xludf.DUMMYFUNCTION("""COMPUTED_VALUE"""),222.72)</f>
        <v/>
      </c>
      <c r="G349" s="143">
        <f>IFERROR(__xludf.DUMMYFUNCTION("""COMPUTED_VALUE"""),54561121)</f>
        <v/>
      </c>
      <c r="H349" s="27" t="n"/>
    </row>
    <row r="350" ht="17.25" customHeight="1" s="322">
      <c r="A350" s="27" t="n"/>
      <c r="B350" s="506">
        <f>IFERROR(__xludf.DUMMYFUNCTION("""COMPUTED_VALUE"""),45603.6666666666)</f>
        <v/>
      </c>
      <c r="C350" s="141">
        <f>IFERROR(__xludf.DUMMYFUNCTION("""COMPUTED_VALUE"""),224.63)</f>
        <v/>
      </c>
      <c r="D350" s="141">
        <f>IFERROR(__xludf.DUMMYFUNCTION("""COMPUTED_VALUE"""),227.88)</f>
        <v/>
      </c>
      <c r="E350" s="141">
        <f>IFERROR(__xludf.DUMMYFUNCTION("""COMPUTED_VALUE"""),224.57)</f>
        <v/>
      </c>
      <c r="F350" s="141">
        <f>IFERROR(__xludf.DUMMYFUNCTION("""COMPUTED_VALUE"""),227.48)</f>
        <v/>
      </c>
      <c r="G350" s="143">
        <f>IFERROR(__xludf.DUMMYFUNCTION("""COMPUTED_VALUE"""),42137691)</f>
        <v/>
      </c>
      <c r="H350" s="27" t="n"/>
    </row>
    <row r="351" ht="17.25" customHeight="1" s="322">
      <c r="A351" s="27" t="n"/>
      <c r="B351" s="506">
        <f>IFERROR(__xludf.DUMMYFUNCTION("""COMPUTED_VALUE"""),45604.6666666666)</f>
        <v/>
      </c>
      <c r="C351" s="141">
        <f>IFERROR(__xludf.DUMMYFUNCTION("""COMPUTED_VALUE"""),227.17)</f>
        <v/>
      </c>
      <c r="D351" s="141">
        <f>IFERROR(__xludf.DUMMYFUNCTION("""COMPUTED_VALUE"""),228.66)</f>
        <v/>
      </c>
      <c r="E351" s="141">
        <f>IFERROR(__xludf.DUMMYFUNCTION("""COMPUTED_VALUE"""),226.41)</f>
        <v/>
      </c>
      <c r="F351" s="141">
        <f>IFERROR(__xludf.DUMMYFUNCTION("""COMPUTED_VALUE"""),226.96)</f>
        <v/>
      </c>
      <c r="G351" s="143">
        <f>IFERROR(__xludf.DUMMYFUNCTION("""COMPUTED_VALUE"""),38328824)</f>
        <v/>
      </c>
      <c r="H351" s="27" t="n"/>
    </row>
    <row r="352" ht="17.25" customHeight="1" s="322">
      <c r="A352" s="27" t="n"/>
      <c r="B352" s="506">
        <f>IFERROR(__xludf.DUMMYFUNCTION("""COMPUTED_VALUE"""),45607.6666666666)</f>
        <v/>
      </c>
      <c r="C352" s="141">
        <f>IFERROR(__xludf.DUMMYFUNCTION("""COMPUTED_VALUE"""),225)</f>
        <v/>
      </c>
      <c r="D352" s="141">
        <f>IFERROR(__xludf.DUMMYFUNCTION("""COMPUTED_VALUE"""),225.7)</f>
        <v/>
      </c>
      <c r="E352" s="141">
        <f>IFERROR(__xludf.DUMMYFUNCTION("""COMPUTED_VALUE"""),221.5)</f>
        <v/>
      </c>
      <c r="F352" s="141">
        <f>IFERROR(__xludf.DUMMYFUNCTION("""COMPUTED_VALUE"""),224.23)</f>
        <v/>
      </c>
      <c r="G352" s="143">
        <f>IFERROR(__xludf.DUMMYFUNCTION("""COMPUTED_VALUE"""),42005602)</f>
        <v/>
      </c>
      <c r="H352" s="27" t="n"/>
    </row>
    <row r="353" ht="17.25" customHeight="1" s="322">
      <c r="A353" s="27" t="n"/>
      <c r="B353" s="506">
        <f>IFERROR(__xludf.DUMMYFUNCTION("""COMPUTED_VALUE"""),45608.6666666666)</f>
        <v/>
      </c>
      <c r="C353" s="141">
        <f>IFERROR(__xludf.DUMMYFUNCTION("""COMPUTED_VALUE"""),224.55)</f>
        <v/>
      </c>
      <c r="D353" s="141">
        <f>IFERROR(__xludf.DUMMYFUNCTION("""COMPUTED_VALUE"""),225.59)</f>
        <v/>
      </c>
      <c r="E353" s="141">
        <f>IFERROR(__xludf.DUMMYFUNCTION("""COMPUTED_VALUE"""),223.36)</f>
        <v/>
      </c>
      <c r="F353" s="141">
        <f>IFERROR(__xludf.DUMMYFUNCTION("""COMPUTED_VALUE"""),224.23)</f>
        <v/>
      </c>
      <c r="G353" s="143">
        <f>IFERROR(__xludf.DUMMYFUNCTION("""COMPUTED_VALUE"""),40398299)</f>
        <v/>
      </c>
      <c r="H353" s="27" t="n"/>
    </row>
    <row r="354" ht="17.25" customHeight="1" s="322">
      <c r="A354" s="27" t="n"/>
      <c r="B354" s="506">
        <f>IFERROR(__xludf.DUMMYFUNCTION("""COMPUTED_VALUE"""),45609.6666666666)</f>
        <v/>
      </c>
      <c r="C354" s="141">
        <f>IFERROR(__xludf.DUMMYFUNCTION("""COMPUTED_VALUE"""),224.01)</f>
        <v/>
      </c>
      <c r="D354" s="141">
        <f>IFERROR(__xludf.DUMMYFUNCTION("""COMPUTED_VALUE"""),226.65)</f>
        <v/>
      </c>
      <c r="E354" s="141">
        <f>IFERROR(__xludf.DUMMYFUNCTION("""COMPUTED_VALUE"""),222.76)</f>
        <v/>
      </c>
      <c r="F354" s="141">
        <f>IFERROR(__xludf.DUMMYFUNCTION("""COMPUTED_VALUE"""),225.12)</f>
        <v/>
      </c>
      <c r="G354" s="143">
        <f>IFERROR(__xludf.DUMMYFUNCTION("""COMPUTED_VALUE"""),48566217)</f>
        <v/>
      </c>
      <c r="H354" s="27" t="n"/>
    </row>
    <row r="355" ht="17.25" customHeight="1" s="322">
      <c r="A355" s="27" t="n"/>
      <c r="B355" s="506">
        <f>IFERROR(__xludf.DUMMYFUNCTION("""COMPUTED_VALUE"""),45610.6666666666)</f>
        <v/>
      </c>
      <c r="C355" s="141">
        <f>IFERROR(__xludf.DUMMYFUNCTION("""COMPUTED_VALUE"""),225.02)</f>
        <v/>
      </c>
      <c r="D355" s="141">
        <f>IFERROR(__xludf.DUMMYFUNCTION("""COMPUTED_VALUE"""),228.87)</f>
        <v/>
      </c>
      <c r="E355" s="141">
        <f>IFERROR(__xludf.DUMMYFUNCTION("""COMPUTED_VALUE"""),225)</f>
        <v/>
      </c>
      <c r="F355" s="141">
        <f>IFERROR(__xludf.DUMMYFUNCTION("""COMPUTED_VALUE"""),228.22)</f>
        <v/>
      </c>
      <c r="G355" s="143">
        <f>IFERROR(__xludf.DUMMYFUNCTION("""COMPUTED_VALUE"""),44923941)</f>
        <v/>
      </c>
      <c r="H355" s="27" t="n"/>
    </row>
    <row r="356" ht="17.25" customHeight="1" s="322">
      <c r="A356" s="27" t="n"/>
      <c r="B356" s="506">
        <f>IFERROR(__xludf.DUMMYFUNCTION("""COMPUTED_VALUE"""),45611.6666666666)</f>
        <v/>
      </c>
      <c r="C356" s="141">
        <f>IFERROR(__xludf.DUMMYFUNCTION("""COMPUTED_VALUE"""),226.4)</f>
        <v/>
      </c>
      <c r="D356" s="141">
        <f>IFERROR(__xludf.DUMMYFUNCTION("""COMPUTED_VALUE"""),226.92)</f>
        <v/>
      </c>
      <c r="E356" s="141">
        <f>IFERROR(__xludf.DUMMYFUNCTION("""COMPUTED_VALUE"""),224.27)</f>
        <v/>
      </c>
      <c r="F356" s="141">
        <f>IFERROR(__xludf.DUMMYFUNCTION("""COMPUTED_VALUE"""),225)</f>
        <v/>
      </c>
      <c r="G356" s="143">
        <f>IFERROR(__xludf.DUMMYFUNCTION("""COMPUTED_VALUE"""),47923696)</f>
        <v/>
      </c>
      <c r="H356" s="27" t="n"/>
    </row>
    <row r="357" ht="17.25" customHeight="1" s="322">
      <c r="A357" s="27" t="n"/>
      <c r="B357" s="506">
        <f>IFERROR(__xludf.DUMMYFUNCTION("""COMPUTED_VALUE"""),45614.6666666666)</f>
        <v/>
      </c>
      <c r="C357" s="141">
        <f>IFERROR(__xludf.DUMMYFUNCTION("""COMPUTED_VALUE"""),225.25)</f>
        <v/>
      </c>
      <c r="D357" s="141">
        <f>IFERROR(__xludf.DUMMYFUNCTION("""COMPUTED_VALUE"""),229.74)</f>
        <v/>
      </c>
      <c r="E357" s="141">
        <f>IFERROR(__xludf.DUMMYFUNCTION("""COMPUTED_VALUE"""),225.17)</f>
        <v/>
      </c>
      <c r="F357" s="141">
        <f>IFERROR(__xludf.DUMMYFUNCTION("""COMPUTED_VALUE"""),228.02)</f>
        <v/>
      </c>
      <c r="G357" s="143">
        <f>IFERROR(__xludf.DUMMYFUNCTION("""COMPUTED_VALUE"""),44686020)</f>
        <v/>
      </c>
      <c r="H357" s="27" t="n"/>
    </row>
    <row r="358" ht="17.25" customHeight="1" s="322">
      <c r="A358" s="27" t="n"/>
      <c r="B358" s="506">
        <f>IFERROR(__xludf.DUMMYFUNCTION("""COMPUTED_VALUE"""),45615.6666666666)</f>
        <v/>
      </c>
      <c r="C358" s="141">
        <f>IFERROR(__xludf.DUMMYFUNCTION("""COMPUTED_VALUE"""),226.98)</f>
        <v/>
      </c>
      <c r="D358" s="141">
        <f>IFERROR(__xludf.DUMMYFUNCTION("""COMPUTED_VALUE"""),230.16)</f>
        <v/>
      </c>
      <c r="E358" s="141">
        <f>IFERROR(__xludf.DUMMYFUNCTION("""COMPUTED_VALUE"""),226.66)</f>
        <v/>
      </c>
      <c r="F358" s="141">
        <f>IFERROR(__xludf.DUMMYFUNCTION("""COMPUTED_VALUE"""),228.28)</f>
        <v/>
      </c>
      <c r="G358" s="143">
        <f>IFERROR(__xludf.DUMMYFUNCTION("""COMPUTED_VALUE"""),36211774)</f>
        <v/>
      </c>
      <c r="H358" s="27" t="n"/>
    </row>
    <row r="359" ht="17.25" customHeight="1" s="322">
      <c r="A359" s="27" t="n"/>
      <c r="B359" s="506">
        <f>IFERROR(__xludf.DUMMYFUNCTION("""COMPUTED_VALUE"""),45616.6666666666)</f>
        <v/>
      </c>
      <c r="C359" s="141">
        <f>IFERROR(__xludf.DUMMYFUNCTION("""COMPUTED_VALUE"""),228.06)</f>
        <v/>
      </c>
      <c r="D359" s="141">
        <f>IFERROR(__xludf.DUMMYFUNCTION("""COMPUTED_VALUE"""),229.93)</f>
        <v/>
      </c>
      <c r="E359" s="141">
        <f>IFERROR(__xludf.DUMMYFUNCTION("""COMPUTED_VALUE"""),225.89)</f>
        <v/>
      </c>
      <c r="F359" s="141">
        <f>IFERROR(__xludf.DUMMYFUNCTION("""COMPUTED_VALUE"""),229)</f>
        <v/>
      </c>
      <c r="G359" s="143">
        <f>IFERROR(__xludf.DUMMYFUNCTION("""COMPUTED_VALUE"""),35169566)</f>
        <v/>
      </c>
      <c r="H359" s="27" t="n"/>
    </row>
    <row r="360" ht="17.25" customHeight="1" s="322">
      <c r="A360" s="27" t="n"/>
      <c r="B360" s="506">
        <f>IFERROR(__xludf.DUMMYFUNCTION("""COMPUTED_VALUE"""),45617.6666666666)</f>
        <v/>
      </c>
      <c r="C360" s="141">
        <f>IFERROR(__xludf.DUMMYFUNCTION("""COMPUTED_VALUE"""),228.88)</f>
        <v/>
      </c>
      <c r="D360" s="141">
        <f>IFERROR(__xludf.DUMMYFUNCTION("""COMPUTED_VALUE"""),230.16)</f>
        <v/>
      </c>
      <c r="E360" s="141">
        <f>IFERROR(__xludf.DUMMYFUNCTION("""COMPUTED_VALUE"""),225.71)</f>
        <v/>
      </c>
      <c r="F360" s="141">
        <f>IFERROR(__xludf.DUMMYFUNCTION("""COMPUTED_VALUE"""),228.52)</f>
        <v/>
      </c>
      <c r="G360" s="143">
        <f>IFERROR(__xludf.DUMMYFUNCTION("""COMPUTED_VALUE"""),42108327)</f>
        <v/>
      </c>
      <c r="H360" s="27" t="n"/>
    </row>
    <row r="361" ht="17.25" customHeight="1" s="322">
      <c r="A361" s="27" t="n"/>
      <c r="B361" s="506">
        <f>IFERROR(__xludf.DUMMYFUNCTION("""COMPUTED_VALUE"""),45618.6666666666)</f>
        <v/>
      </c>
      <c r="C361" s="141">
        <f>IFERROR(__xludf.DUMMYFUNCTION("""COMPUTED_VALUE"""),228.06)</f>
        <v/>
      </c>
      <c r="D361" s="141">
        <f>IFERROR(__xludf.DUMMYFUNCTION("""COMPUTED_VALUE"""),230.72)</f>
        <v/>
      </c>
      <c r="E361" s="141">
        <f>IFERROR(__xludf.DUMMYFUNCTION("""COMPUTED_VALUE"""),228.06)</f>
        <v/>
      </c>
      <c r="F361" s="141">
        <f>IFERROR(__xludf.DUMMYFUNCTION("""COMPUTED_VALUE"""),229.87)</f>
        <v/>
      </c>
      <c r="G361" s="143">
        <f>IFERROR(__xludf.DUMMYFUNCTION("""COMPUTED_VALUE"""),38168252)</f>
        <v/>
      </c>
      <c r="H361" s="27" t="n"/>
    </row>
    <row r="362" ht="17.25" customHeight="1" s="322">
      <c r="A362" s="27" t="n"/>
      <c r="B362" s="506">
        <f>IFERROR(__xludf.DUMMYFUNCTION("""COMPUTED_VALUE"""),45621.6666666666)</f>
        <v/>
      </c>
      <c r="C362" s="141">
        <f>IFERROR(__xludf.DUMMYFUNCTION("""COMPUTED_VALUE"""),231.46)</f>
        <v/>
      </c>
      <c r="D362" s="141">
        <f>IFERROR(__xludf.DUMMYFUNCTION("""COMPUTED_VALUE"""),233.25)</f>
        <v/>
      </c>
      <c r="E362" s="141">
        <f>IFERROR(__xludf.DUMMYFUNCTION("""COMPUTED_VALUE"""),229.74)</f>
        <v/>
      </c>
      <c r="F362" s="141">
        <f>IFERROR(__xludf.DUMMYFUNCTION("""COMPUTED_VALUE"""),232.87)</f>
        <v/>
      </c>
      <c r="G362" s="143">
        <f>IFERROR(__xludf.DUMMYFUNCTION("""COMPUTED_VALUE"""),90152832)</f>
        <v/>
      </c>
      <c r="H362" s="27" t="n"/>
    </row>
    <row r="363" ht="17.25" customHeight="1" s="322">
      <c r="A363" s="27" t="n"/>
      <c r="B363" s="506">
        <f>IFERROR(__xludf.DUMMYFUNCTION("""COMPUTED_VALUE"""),45622.6666666666)</f>
        <v/>
      </c>
      <c r="C363" s="141">
        <f>IFERROR(__xludf.DUMMYFUNCTION("""COMPUTED_VALUE"""),233.33)</f>
        <v/>
      </c>
      <c r="D363" s="141">
        <f>IFERROR(__xludf.DUMMYFUNCTION("""COMPUTED_VALUE"""),235.57)</f>
        <v/>
      </c>
      <c r="E363" s="141">
        <f>IFERROR(__xludf.DUMMYFUNCTION("""COMPUTED_VALUE"""),233.33)</f>
        <v/>
      </c>
      <c r="F363" s="141">
        <f>IFERROR(__xludf.DUMMYFUNCTION("""COMPUTED_VALUE"""),235.06)</f>
        <v/>
      </c>
      <c r="G363" s="143">
        <f>IFERROR(__xludf.DUMMYFUNCTION("""COMPUTED_VALUE"""),45986189)</f>
        <v/>
      </c>
      <c r="H363" s="27" t="n"/>
    </row>
    <row r="364" ht="17.25" customHeight="1" s="322">
      <c r="A364" s="27" t="n"/>
      <c r="B364" s="506">
        <f>IFERROR(__xludf.DUMMYFUNCTION("""COMPUTED_VALUE"""),45623.6666666666)</f>
        <v/>
      </c>
      <c r="C364" s="141">
        <f>IFERROR(__xludf.DUMMYFUNCTION("""COMPUTED_VALUE"""),234.47)</f>
        <v/>
      </c>
      <c r="D364" s="141">
        <f>IFERROR(__xludf.DUMMYFUNCTION("""COMPUTED_VALUE"""),235.69)</f>
        <v/>
      </c>
      <c r="E364" s="141">
        <f>IFERROR(__xludf.DUMMYFUNCTION("""COMPUTED_VALUE"""),233.81)</f>
        <v/>
      </c>
      <c r="F364" s="141">
        <f>IFERROR(__xludf.DUMMYFUNCTION("""COMPUTED_VALUE"""),234.93)</f>
        <v/>
      </c>
      <c r="G364" s="143">
        <f>IFERROR(__xludf.DUMMYFUNCTION("""COMPUTED_VALUE"""),33498439)</f>
        <v/>
      </c>
      <c r="H364" s="27" t="n"/>
    </row>
    <row r="365" ht="17.25" customHeight="1" s="322">
      <c r="A365" s="27" t="n"/>
      <c r="B365" s="506">
        <f>IFERROR(__xludf.DUMMYFUNCTION("""COMPUTED_VALUE"""),45625.5451388888)</f>
        <v/>
      </c>
      <c r="C365" s="141">
        <f>IFERROR(__xludf.DUMMYFUNCTION("""COMPUTED_VALUE"""),234.81)</f>
        <v/>
      </c>
      <c r="D365" s="141">
        <f>IFERROR(__xludf.DUMMYFUNCTION("""COMPUTED_VALUE"""),237.81)</f>
        <v/>
      </c>
      <c r="E365" s="141">
        <f>IFERROR(__xludf.DUMMYFUNCTION("""COMPUTED_VALUE"""),233.97)</f>
        <v/>
      </c>
      <c r="F365" s="141">
        <f>IFERROR(__xludf.DUMMYFUNCTION("""COMPUTED_VALUE"""),237.33)</f>
        <v/>
      </c>
      <c r="G365" s="143">
        <f>IFERROR(__xludf.DUMMYFUNCTION("""COMPUTED_VALUE"""),28481377)</f>
        <v/>
      </c>
      <c r="H365" s="27" t="n"/>
    </row>
    <row r="366" ht="17.25" customHeight="1" s="322">
      <c r="A366" s="27" t="n"/>
      <c r="B366" s="506">
        <f>IFERROR(__xludf.DUMMYFUNCTION("""COMPUTED_VALUE"""),45628.6666666666)</f>
        <v/>
      </c>
      <c r="C366" s="141">
        <f>IFERROR(__xludf.DUMMYFUNCTION("""COMPUTED_VALUE"""),237.27)</f>
        <v/>
      </c>
      <c r="D366" s="141">
        <f>IFERROR(__xludf.DUMMYFUNCTION("""COMPUTED_VALUE"""),240.79)</f>
        <v/>
      </c>
      <c r="E366" s="141">
        <f>IFERROR(__xludf.DUMMYFUNCTION("""COMPUTED_VALUE"""),237.16)</f>
        <v/>
      </c>
      <c r="F366" s="141">
        <f>IFERROR(__xludf.DUMMYFUNCTION("""COMPUTED_VALUE"""),239.59)</f>
        <v/>
      </c>
      <c r="G366" s="143">
        <f>IFERROR(__xludf.DUMMYFUNCTION("""COMPUTED_VALUE"""),48137103)</f>
        <v/>
      </c>
      <c r="H366" s="27" t="n"/>
    </row>
    <row r="367" ht="17.25" customHeight="1" s="322">
      <c r="A367" s="27" t="n"/>
      <c r="B367" s="506">
        <f>IFERROR(__xludf.DUMMYFUNCTION("""COMPUTED_VALUE"""),45629.6666666666)</f>
        <v/>
      </c>
      <c r="C367" s="141">
        <f>IFERROR(__xludf.DUMMYFUNCTION("""COMPUTED_VALUE"""),239.81)</f>
        <v/>
      </c>
      <c r="D367" s="141">
        <f>IFERROR(__xludf.DUMMYFUNCTION("""COMPUTED_VALUE"""),242.76)</f>
        <v/>
      </c>
      <c r="E367" s="141">
        <f>IFERROR(__xludf.DUMMYFUNCTION("""COMPUTED_VALUE"""),238.9)</f>
        <v/>
      </c>
      <c r="F367" s="141">
        <f>IFERROR(__xludf.DUMMYFUNCTION("""COMPUTED_VALUE"""),242.65)</f>
        <v/>
      </c>
      <c r="G367" s="143">
        <f>IFERROR(__xludf.DUMMYFUNCTION("""COMPUTED_VALUE"""),38861017)</f>
        <v/>
      </c>
      <c r="H367" s="27" t="n"/>
    </row>
    <row r="368" ht="17.25" customHeight="1" s="322">
      <c r="A368" s="27" t="n"/>
      <c r="B368" s="506">
        <f>IFERROR(__xludf.DUMMYFUNCTION("""COMPUTED_VALUE"""),45630.6666666666)</f>
        <v/>
      </c>
      <c r="C368" s="141">
        <f>IFERROR(__xludf.DUMMYFUNCTION("""COMPUTED_VALUE"""),242.87)</f>
        <v/>
      </c>
      <c r="D368" s="141">
        <f>IFERROR(__xludf.DUMMYFUNCTION("""COMPUTED_VALUE"""),244.11)</f>
        <v/>
      </c>
      <c r="E368" s="141">
        <f>IFERROR(__xludf.DUMMYFUNCTION("""COMPUTED_VALUE"""),241.25)</f>
        <v/>
      </c>
      <c r="F368" s="141">
        <f>IFERROR(__xludf.DUMMYFUNCTION("""COMPUTED_VALUE"""),243.01)</f>
        <v/>
      </c>
      <c r="G368" s="143">
        <f>IFERROR(__xludf.DUMMYFUNCTION("""COMPUTED_VALUE"""),44383935)</f>
        <v/>
      </c>
      <c r="H368" s="27" t="n"/>
    </row>
    <row r="369" ht="17.25" customHeight="1" s="322">
      <c r="A369" s="27" t="n"/>
      <c r="B369" s="506">
        <f>IFERROR(__xludf.DUMMYFUNCTION("""COMPUTED_VALUE"""),45631.6666666666)</f>
        <v/>
      </c>
      <c r="C369" s="141">
        <f>IFERROR(__xludf.DUMMYFUNCTION("""COMPUTED_VALUE"""),243.99)</f>
        <v/>
      </c>
      <c r="D369" s="141">
        <f>IFERROR(__xludf.DUMMYFUNCTION("""COMPUTED_VALUE"""),244.54)</f>
        <v/>
      </c>
      <c r="E369" s="141">
        <f>IFERROR(__xludf.DUMMYFUNCTION("""COMPUTED_VALUE"""),242.13)</f>
        <v/>
      </c>
      <c r="F369" s="141">
        <f>IFERROR(__xludf.DUMMYFUNCTION("""COMPUTED_VALUE"""),243.04)</f>
        <v/>
      </c>
      <c r="G369" s="143">
        <f>IFERROR(__xludf.DUMMYFUNCTION("""COMPUTED_VALUE"""),40033878)</f>
        <v/>
      </c>
      <c r="H369" s="27" t="n"/>
    </row>
    <row r="370" ht="17.25" customHeight="1" s="322">
      <c r="A370" s="27" t="n"/>
      <c r="B370" s="506">
        <f>IFERROR(__xludf.DUMMYFUNCTION("""COMPUTED_VALUE"""),45632.6666666666)</f>
        <v/>
      </c>
      <c r="C370" s="141">
        <f>IFERROR(__xludf.DUMMYFUNCTION("""COMPUTED_VALUE"""),242.91)</f>
        <v/>
      </c>
      <c r="D370" s="141">
        <f>IFERROR(__xludf.DUMMYFUNCTION("""COMPUTED_VALUE"""),244.63)</f>
        <v/>
      </c>
      <c r="E370" s="141">
        <f>IFERROR(__xludf.DUMMYFUNCTION("""COMPUTED_VALUE"""),242.08)</f>
        <v/>
      </c>
      <c r="F370" s="141">
        <f>IFERROR(__xludf.DUMMYFUNCTION("""COMPUTED_VALUE"""),242.84)</f>
        <v/>
      </c>
      <c r="G370" s="143">
        <f>IFERROR(__xludf.DUMMYFUNCTION("""COMPUTED_VALUE"""),36870619)</f>
        <v/>
      </c>
      <c r="H370" s="27" t="n"/>
    </row>
    <row r="371" ht="17.25" customHeight="1" s="322">
      <c r="A371" s="27" t="n"/>
      <c r="B371" s="506">
        <f>IFERROR(__xludf.DUMMYFUNCTION("""COMPUTED_VALUE"""),45635.6666666666)</f>
        <v/>
      </c>
      <c r="C371" s="141">
        <f>IFERROR(__xludf.DUMMYFUNCTION("""COMPUTED_VALUE"""),241.83)</f>
        <v/>
      </c>
      <c r="D371" s="141">
        <f>IFERROR(__xludf.DUMMYFUNCTION("""COMPUTED_VALUE"""),247.24)</f>
        <v/>
      </c>
      <c r="E371" s="141">
        <f>IFERROR(__xludf.DUMMYFUNCTION("""COMPUTED_VALUE"""),241.75)</f>
        <v/>
      </c>
      <c r="F371" s="141">
        <f>IFERROR(__xludf.DUMMYFUNCTION("""COMPUTED_VALUE"""),246.75)</f>
        <v/>
      </c>
      <c r="G371" s="143">
        <f>IFERROR(__xludf.DUMMYFUNCTION("""COMPUTED_VALUE"""),44649232)</f>
        <v/>
      </c>
      <c r="H371" s="27" t="n"/>
    </row>
    <row r="372" ht="17.25" customHeight="1" s="322">
      <c r="A372" s="27" t="n"/>
      <c r="B372" s="506">
        <f>IFERROR(__xludf.DUMMYFUNCTION("""COMPUTED_VALUE"""),45636.6666666666)</f>
        <v/>
      </c>
      <c r="C372" s="141">
        <f>IFERROR(__xludf.DUMMYFUNCTION("""COMPUTED_VALUE"""),246.89)</f>
        <v/>
      </c>
      <c r="D372" s="141">
        <f>IFERROR(__xludf.DUMMYFUNCTION("""COMPUTED_VALUE"""),248.21)</f>
        <v/>
      </c>
      <c r="E372" s="141">
        <f>IFERROR(__xludf.DUMMYFUNCTION("""COMPUTED_VALUE"""),245.34)</f>
        <v/>
      </c>
      <c r="F372" s="141">
        <f>IFERROR(__xludf.DUMMYFUNCTION("""COMPUTED_VALUE"""),247.77)</f>
        <v/>
      </c>
      <c r="G372" s="143">
        <f>IFERROR(__xludf.DUMMYFUNCTION("""COMPUTED_VALUE"""),36914806)</f>
        <v/>
      </c>
      <c r="H372" s="27" t="n"/>
    </row>
    <row r="373" ht="17.25" customHeight="1" s="322">
      <c r="A373" s="27" t="n"/>
      <c r="B373" s="506">
        <f>IFERROR(__xludf.DUMMYFUNCTION("""COMPUTED_VALUE"""),45637.6666666666)</f>
        <v/>
      </c>
      <c r="C373" s="141">
        <f>IFERROR(__xludf.DUMMYFUNCTION("""COMPUTED_VALUE"""),247.96)</f>
        <v/>
      </c>
      <c r="D373" s="141">
        <f>IFERROR(__xludf.DUMMYFUNCTION("""COMPUTED_VALUE"""),250.8)</f>
        <v/>
      </c>
      <c r="E373" s="141">
        <f>IFERROR(__xludf.DUMMYFUNCTION("""COMPUTED_VALUE"""),246.26)</f>
        <v/>
      </c>
      <c r="F373" s="141">
        <f>IFERROR(__xludf.DUMMYFUNCTION("""COMPUTED_VALUE"""),246.49)</f>
        <v/>
      </c>
      <c r="G373" s="143">
        <f>IFERROR(__xludf.DUMMYFUNCTION("""COMPUTED_VALUE"""),45205814)</f>
        <v/>
      </c>
      <c r="H373" s="27" t="n"/>
    </row>
    <row r="374" ht="17.25" customHeight="1" s="322">
      <c r="A374" s="27" t="n"/>
      <c r="B374" s="506">
        <f>IFERROR(__xludf.DUMMYFUNCTION("""COMPUTED_VALUE"""),45638.6666666666)</f>
        <v/>
      </c>
      <c r="C374" s="141">
        <f>IFERROR(__xludf.DUMMYFUNCTION("""COMPUTED_VALUE"""),246.89)</f>
        <v/>
      </c>
      <c r="D374" s="141">
        <f>IFERROR(__xludf.DUMMYFUNCTION("""COMPUTED_VALUE"""),248.74)</f>
        <v/>
      </c>
      <c r="E374" s="141">
        <f>IFERROR(__xludf.DUMMYFUNCTION("""COMPUTED_VALUE"""),245.68)</f>
        <v/>
      </c>
      <c r="F374" s="141">
        <f>IFERROR(__xludf.DUMMYFUNCTION("""COMPUTED_VALUE"""),247.96)</f>
        <v/>
      </c>
      <c r="G374" s="143">
        <f>IFERROR(__xludf.DUMMYFUNCTION("""COMPUTED_VALUE"""),32777532)</f>
        <v/>
      </c>
      <c r="H374" s="27" t="n"/>
    </row>
    <row r="375" ht="17.25" customHeight="1" s="322">
      <c r="A375" s="27" t="n"/>
      <c r="B375" s="506">
        <f>IFERROR(__xludf.DUMMYFUNCTION("""COMPUTED_VALUE"""),45639.6666666666)</f>
        <v/>
      </c>
      <c r="C375" s="141">
        <f>IFERROR(__xludf.DUMMYFUNCTION("""COMPUTED_VALUE"""),247.82)</f>
        <v/>
      </c>
      <c r="D375" s="141">
        <f>IFERROR(__xludf.DUMMYFUNCTION("""COMPUTED_VALUE"""),249.29)</f>
        <v/>
      </c>
      <c r="E375" s="141">
        <f>IFERROR(__xludf.DUMMYFUNCTION("""COMPUTED_VALUE"""),246.24)</f>
        <v/>
      </c>
      <c r="F375" s="141">
        <f>IFERROR(__xludf.DUMMYFUNCTION("""COMPUTED_VALUE"""),248.13)</f>
        <v/>
      </c>
      <c r="G375" s="143">
        <f>IFERROR(__xludf.DUMMYFUNCTION("""COMPUTED_VALUE"""),33155290)</f>
        <v/>
      </c>
      <c r="H375" s="27" t="n"/>
    </row>
    <row r="376" ht="17.25" customHeight="1" s="322">
      <c r="A376" s="27" t="n"/>
      <c r="B376" s="506">
        <f>IFERROR(__xludf.DUMMYFUNCTION("""COMPUTED_VALUE"""),45642.6666666666)</f>
        <v/>
      </c>
      <c r="C376" s="141">
        <f>IFERROR(__xludf.DUMMYFUNCTION("""COMPUTED_VALUE"""),247.99)</f>
        <v/>
      </c>
      <c r="D376" s="141">
        <f>IFERROR(__xludf.DUMMYFUNCTION("""COMPUTED_VALUE"""),251.38)</f>
        <v/>
      </c>
      <c r="E376" s="141">
        <f>IFERROR(__xludf.DUMMYFUNCTION("""COMPUTED_VALUE"""),247.65)</f>
        <v/>
      </c>
      <c r="F376" s="141">
        <f>IFERROR(__xludf.DUMMYFUNCTION("""COMPUTED_VALUE"""),251.04)</f>
        <v/>
      </c>
      <c r="G376" s="143">
        <f>IFERROR(__xludf.DUMMYFUNCTION("""COMPUTED_VALUE"""),51694753)</f>
        <v/>
      </c>
      <c r="H376" s="27" t="n"/>
    </row>
    <row r="377" ht="17.25" customHeight="1" s="322">
      <c r="A377" s="27" t="n"/>
      <c r="B377" s="506">
        <f>IFERROR(__xludf.DUMMYFUNCTION("""COMPUTED_VALUE"""),45643.6666666666)</f>
        <v/>
      </c>
      <c r="C377" s="141">
        <f>IFERROR(__xludf.DUMMYFUNCTION("""COMPUTED_VALUE"""),250.08)</f>
        <v/>
      </c>
      <c r="D377" s="141">
        <f>IFERROR(__xludf.DUMMYFUNCTION("""COMPUTED_VALUE"""),253.83)</f>
        <v/>
      </c>
      <c r="E377" s="141">
        <f>IFERROR(__xludf.DUMMYFUNCTION("""COMPUTED_VALUE"""),249.78)</f>
        <v/>
      </c>
      <c r="F377" s="141">
        <f>IFERROR(__xludf.DUMMYFUNCTION("""COMPUTED_VALUE"""),253.48)</f>
        <v/>
      </c>
      <c r="G377" s="143">
        <f>IFERROR(__xludf.DUMMYFUNCTION("""COMPUTED_VALUE"""),51356360)</f>
        <v/>
      </c>
      <c r="H377" s="27" t="n"/>
    </row>
    <row r="378" ht="17.25" customHeight="1" s="322">
      <c r="A378" s="27" t="n"/>
      <c r="B378" s="506">
        <f>IFERROR(__xludf.DUMMYFUNCTION("""COMPUTED_VALUE"""),45644.6666666666)</f>
        <v/>
      </c>
      <c r="C378" s="141">
        <f>IFERROR(__xludf.DUMMYFUNCTION("""COMPUTED_VALUE"""),252.16)</f>
        <v/>
      </c>
      <c r="D378" s="141">
        <f>IFERROR(__xludf.DUMMYFUNCTION("""COMPUTED_VALUE"""),254.28)</f>
        <v/>
      </c>
      <c r="E378" s="141">
        <f>IFERROR(__xludf.DUMMYFUNCTION("""COMPUTED_VALUE"""),247.74)</f>
        <v/>
      </c>
      <c r="F378" s="141">
        <f>IFERROR(__xludf.DUMMYFUNCTION("""COMPUTED_VALUE"""),248.05)</f>
        <v/>
      </c>
      <c r="G378" s="143">
        <f>IFERROR(__xludf.DUMMYFUNCTION("""COMPUTED_VALUE"""),56774101)</f>
        <v/>
      </c>
      <c r="H378" s="27" t="n"/>
    </row>
    <row r="379" ht="17.25" customHeight="1" s="322">
      <c r="A379" s="27" t="n"/>
      <c r="B379" s="506">
        <f>IFERROR(__xludf.DUMMYFUNCTION("""COMPUTED_VALUE"""),45645.6666666666)</f>
        <v/>
      </c>
      <c r="C379" s="141">
        <f>IFERROR(__xludf.DUMMYFUNCTION("""COMPUTED_VALUE"""),247.5)</f>
        <v/>
      </c>
      <c r="D379" s="141">
        <f>IFERROR(__xludf.DUMMYFUNCTION("""COMPUTED_VALUE"""),252)</f>
        <v/>
      </c>
      <c r="E379" s="141">
        <f>IFERROR(__xludf.DUMMYFUNCTION("""COMPUTED_VALUE"""),247.09)</f>
        <v/>
      </c>
      <c r="F379" s="141">
        <f>IFERROR(__xludf.DUMMYFUNCTION("""COMPUTED_VALUE"""),249.79)</f>
        <v/>
      </c>
      <c r="G379" s="143">
        <f>IFERROR(__xludf.DUMMYFUNCTION("""COMPUTED_VALUE"""),60882264)</f>
        <v/>
      </c>
      <c r="H379" s="27" t="n"/>
    </row>
    <row r="380" ht="17.25" customHeight="1" s="322">
      <c r="A380" s="27" t="n"/>
      <c r="B380" s="506">
        <f>IFERROR(__xludf.DUMMYFUNCTION("""COMPUTED_VALUE"""),45646.6666666666)</f>
        <v/>
      </c>
      <c r="C380" s="141">
        <f>IFERROR(__xludf.DUMMYFUNCTION("""COMPUTED_VALUE"""),248.04)</f>
        <v/>
      </c>
      <c r="D380" s="141">
        <f>IFERROR(__xludf.DUMMYFUNCTION("""COMPUTED_VALUE"""),255)</f>
        <v/>
      </c>
      <c r="E380" s="141">
        <f>IFERROR(__xludf.DUMMYFUNCTION("""COMPUTED_VALUE"""),245.69)</f>
        <v/>
      </c>
      <c r="F380" s="141">
        <f>IFERROR(__xludf.DUMMYFUNCTION("""COMPUTED_VALUE"""),254.49)</f>
        <v/>
      </c>
      <c r="G380" s="143">
        <f>IFERROR(__xludf.DUMMYFUNCTION("""COMPUTED_VALUE"""),147495267)</f>
        <v/>
      </c>
      <c r="H380" s="27" t="n"/>
    </row>
    <row r="381" ht="17.25" customHeight="1" s="322">
      <c r="A381" s="27" t="n"/>
      <c r="B381" s="506">
        <f>IFERROR(__xludf.DUMMYFUNCTION("""COMPUTED_VALUE"""),45649.6666666666)</f>
        <v/>
      </c>
      <c r="C381" s="141">
        <f>IFERROR(__xludf.DUMMYFUNCTION("""COMPUTED_VALUE"""),254.77)</f>
        <v/>
      </c>
      <c r="D381" s="141">
        <f>IFERROR(__xludf.DUMMYFUNCTION("""COMPUTED_VALUE"""),255.65)</f>
        <v/>
      </c>
      <c r="E381" s="141">
        <f>IFERROR(__xludf.DUMMYFUNCTION("""COMPUTED_VALUE"""),253.45)</f>
        <v/>
      </c>
      <c r="F381" s="141">
        <f>IFERROR(__xludf.DUMMYFUNCTION("""COMPUTED_VALUE"""),255.27)</f>
        <v/>
      </c>
      <c r="G381" s="143">
        <f>IFERROR(__xludf.DUMMYFUNCTION("""COMPUTED_VALUE"""),40858774)</f>
        <v/>
      </c>
      <c r="H381" s="27" t="n"/>
    </row>
    <row r="382" ht="17.25" customHeight="1" s="322">
      <c r="A382" s="27" t="n"/>
      <c r="B382" s="506">
        <f>IFERROR(__xludf.DUMMYFUNCTION("""COMPUTED_VALUE"""),45650.5451388888)</f>
        <v/>
      </c>
      <c r="C382" s="141">
        <f>IFERROR(__xludf.DUMMYFUNCTION("""COMPUTED_VALUE"""),255.49)</f>
        <v/>
      </c>
      <c r="D382" s="141">
        <f>IFERROR(__xludf.DUMMYFUNCTION("""COMPUTED_VALUE"""),258.21)</f>
        <v/>
      </c>
      <c r="E382" s="141">
        <f>IFERROR(__xludf.DUMMYFUNCTION("""COMPUTED_VALUE"""),255.29)</f>
        <v/>
      </c>
      <c r="F382" s="141">
        <f>IFERROR(__xludf.DUMMYFUNCTION("""COMPUTED_VALUE"""),258.2)</f>
        <v/>
      </c>
      <c r="G382" s="143">
        <f>IFERROR(__xludf.DUMMYFUNCTION("""COMPUTED_VALUE"""),23234705)</f>
        <v/>
      </c>
      <c r="H382" s="27" t="n"/>
    </row>
    <row r="383" ht="17.25" customHeight="1" s="322">
      <c r="A383" s="27" t="n"/>
      <c r="B383" s="506">
        <f>IFERROR(__xludf.DUMMYFUNCTION("""COMPUTED_VALUE"""),45652.6666666666)</f>
        <v/>
      </c>
      <c r="C383" s="141">
        <f>IFERROR(__xludf.DUMMYFUNCTION("""COMPUTED_VALUE"""),258.19)</f>
        <v/>
      </c>
      <c r="D383" s="141">
        <f>IFERROR(__xludf.DUMMYFUNCTION("""COMPUTED_VALUE"""),260.1)</f>
        <v/>
      </c>
      <c r="E383" s="141">
        <f>IFERROR(__xludf.DUMMYFUNCTION("""COMPUTED_VALUE"""),257.63)</f>
        <v/>
      </c>
      <c r="F383" s="141">
        <f>IFERROR(__xludf.DUMMYFUNCTION("""COMPUTED_VALUE"""),259.02)</f>
        <v/>
      </c>
      <c r="G383" s="143">
        <f>IFERROR(__xludf.DUMMYFUNCTION("""COMPUTED_VALUE"""),27262983)</f>
        <v/>
      </c>
      <c r="H383" s="27" t="n"/>
    </row>
    <row r="384" ht="17.25" customHeight="1" s="322">
      <c r="A384" s="27" t="n"/>
      <c r="B384" s="506">
        <f>IFERROR(__xludf.DUMMYFUNCTION("""COMPUTED_VALUE"""),45653.6666666666)</f>
        <v/>
      </c>
      <c r="C384" s="141">
        <f>IFERROR(__xludf.DUMMYFUNCTION("""COMPUTED_VALUE"""),257.83)</f>
        <v/>
      </c>
      <c r="D384" s="141">
        <f>IFERROR(__xludf.DUMMYFUNCTION("""COMPUTED_VALUE"""),258.7)</f>
        <v/>
      </c>
      <c r="E384" s="141">
        <f>IFERROR(__xludf.DUMMYFUNCTION("""COMPUTED_VALUE"""),253.06)</f>
        <v/>
      </c>
      <c r="F384" s="141">
        <f>IFERROR(__xludf.DUMMYFUNCTION("""COMPUTED_VALUE"""),255.59)</f>
        <v/>
      </c>
      <c r="G384" s="143">
        <f>IFERROR(__xludf.DUMMYFUNCTION("""COMPUTED_VALUE"""),42355321)</f>
        <v/>
      </c>
      <c r="H384" s="27" t="n"/>
    </row>
    <row r="385" ht="17.25" customHeight="1" s="322">
      <c r="A385" s="27" t="n"/>
      <c r="B385" s="506">
        <f>IFERROR(__xludf.DUMMYFUNCTION("""COMPUTED_VALUE"""),45656.6666666666)</f>
        <v/>
      </c>
      <c r="C385" s="141">
        <f>IFERROR(__xludf.DUMMYFUNCTION("""COMPUTED_VALUE"""),252.23)</f>
        <v/>
      </c>
      <c r="D385" s="141">
        <f>IFERROR(__xludf.DUMMYFUNCTION("""COMPUTED_VALUE"""),253.5)</f>
        <v/>
      </c>
      <c r="E385" s="141">
        <f>IFERROR(__xludf.DUMMYFUNCTION("""COMPUTED_VALUE"""),250.75)</f>
        <v/>
      </c>
      <c r="F385" s="141">
        <f>IFERROR(__xludf.DUMMYFUNCTION("""COMPUTED_VALUE"""),252.2)</f>
        <v/>
      </c>
      <c r="G385" s="143">
        <f>IFERROR(__xludf.DUMMYFUNCTION("""COMPUTED_VALUE"""),35557542)</f>
        <v/>
      </c>
      <c r="H385" s="27" t="n"/>
    </row>
    <row r="386" ht="17.25" customHeight="1" s="322">
      <c r="A386" s="27" t="n"/>
      <c r="B386" s="506">
        <f>IFERROR(__xludf.DUMMYFUNCTION("""COMPUTED_VALUE"""),45657.6666666666)</f>
        <v/>
      </c>
      <c r="C386" s="141">
        <f>IFERROR(__xludf.DUMMYFUNCTION("""COMPUTED_VALUE"""),252.44)</f>
        <v/>
      </c>
      <c r="D386" s="141">
        <f>IFERROR(__xludf.DUMMYFUNCTION("""COMPUTED_VALUE"""),253.28)</f>
        <v/>
      </c>
      <c r="E386" s="141">
        <f>IFERROR(__xludf.DUMMYFUNCTION("""COMPUTED_VALUE"""),249.43)</f>
        <v/>
      </c>
      <c r="F386" s="141">
        <f>IFERROR(__xludf.DUMMYFUNCTION("""COMPUTED_VALUE"""),250.42)</f>
        <v/>
      </c>
      <c r="G386" s="143">
        <f>IFERROR(__xludf.DUMMYFUNCTION("""COMPUTED_VALUE"""),39480718)</f>
        <v/>
      </c>
      <c r="H386" s="27" t="n"/>
    </row>
    <row r="387" ht="17.25" customHeight="1" s="322">
      <c r="A387" s="27" t="n"/>
      <c r="B387" s="506">
        <f>IFERROR(__xludf.DUMMYFUNCTION("""COMPUTED_VALUE"""),45659.6666666666)</f>
        <v/>
      </c>
      <c r="C387" s="141">
        <f>IFERROR(__xludf.DUMMYFUNCTION("""COMPUTED_VALUE"""),248.93)</f>
        <v/>
      </c>
      <c r="D387" s="141">
        <f>IFERROR(__xludf.DUMMYFUNCTION("""COMPUTED_VALUE"""),249.1)</f>
        <v/>
      </c>
      <c r="E387" s="141">
        <f>IFERROR(__xludf.DUMMYFUNCTION("""COMPUTED_VALUE"""),241.82)</f>
        <v/>
      </c>
      <c r="F387" s="141">
        <f>IFERROR(__xludf.DUMMYFUNCTION("""COMPUTED_VALUE"""),243.85)</f>
        <v/>
      </c>
      <c r="G387" s="143">
        <f>IFERROR(__xludf.DUMMYFUNCTION("""COMPUTED_VALUE"""),55740731)</f>
        <v/>
      </c>
      <c r="H387" s="27" t="n"/>
    </row>
    <row r="388" ht="17.25" customHeight="1" s="322">
      <c r="A388" s="27" t="n"/>
      <c r="B388" s="506">
        <f>IFERROR(__xludf.DUMMYFUNCTION("""COMPUTED_VALUE"""),45660.6666666666)</f>
        <v/>
      </c>
      <c r="C388" s="141">
        <f>IFERROR(__xludf.DUMMYFUNCTION("""COMPUTED_VALUE"""),243.36)</f>
        <v/>
      </c>
      <c r="D388" s="141">
        <f>IFERROR(__xludf.DUMMYFUNCTION("""COMPUTED_VALUE"""),244.18)</f>
        <v/>
      </c>
      <c r="E388" s="141">
        <f>IFERROR(__xludf.DUMMYFUNCTION("""COMPUTED_VALUE"""),241.89)</f>
        <v/>
      </c>
      <c r="F388" s="141">
        <f>IFERROR(__xludf.DUMMYFUNCTION("""COMPUTED_VALUE"""),243.36)</f>
        <v/>
      </c>
      <c r="G388" s="143">
        <f>IFERROR(__xludf.DUMMYFUNCTION("""COMPUTED_VALUE"""),40244114)</f>
        <v/>
      </c>
      <c r="H388" s="27" t="n"/>
    </row>
    <row r="389" ht="17.25" customHeight="1" s="322">
      <c r="A389" s="27" t="n"/>
      <c r="B389" s="506">
        <f>IFERROR(__xludf.DUMMYFUNCTION("""COMPUTED_VALUE"""),45663.6666666666)</f>
        <v/>
      </c>
      <c r="C389" s="141">
        <f>IFERROR(__xludf.DUMMYFUNCTION("""COMPUTED_VALUE"""),244.31)</f>
        <v/>
      </c>
      <c r="D389" s="141">
        <f>IFERROR(__xludf.DUMMYFUNCTION("""COMPUTED_VALUE"""),247.33)</f>
        <v/>
      </c>
      <c r="E389" s="141">
        <f>IFERROR(__xludf.DUMMYFUNCTION("""COMPUTED_VALUE"""),243.2)</f>
        <v/>
      </c>
      <c r="F389" s="141">
        <f>IFERROR(__xludf.DUMMYFUNCTION("""COMPUTED_VALUE"""),245)</f>
        <v/>
      </c>
      <c r="G389" s="143">
        <f>IFERROR(__xludf.DUMMYFUNCTION("""COMPUTED_VALUE"""),45045571)</f>
        <v/>
      </c>
      <c r="H389" s="27" t="n"/>
    </row>
    <row r="390" ht="17.25" customHeight="1" s="322">
      <c r="A390" s="27" t="n"/>
      <c r="B390" s="506">
        <f>IFERROR(__xludf.DUMMYFUNCTION("""COMPUTED_VALUE"""),45664.6666666666)</f>
        <v/>
      </c>
      <c r="C390" s="141">
        <f>IFERROR(__xludf.DUMMYFUNCTION("""COMPUTED_VALUE"""),242.98)</f>
        <v/>
      </c>
      <c r="D390" s="141">
        <f>IFERROR(__xludf.DUMMYFUNCTION("""COMPUTED_VALUE"""),245.55)</f>
        <v/>
      </c>
      <c r="E390" s="141">
        <f>IFERROR(__xludf.DUMMYFUNCTION("""COMPUTED_VALUE"""),241.35)</f>
        <v/>
      </c>
      <c r="F390" s="141">
        <f>IFERROR(__xludf.DUMMYFUNCTION("""COMPUTED_VALUE"""),242.21)</f>
        <v/>
      </c>
      <c r="G390" s="143">
        <f>IFERROR(__xludf.DUMMYFUNCTION("""COMPUTED_VALUE"""),40855960)</f>
        <v/>
      </c>
      <c r="H390" s="27" t="n"/>
    </row>
    <row r="391" ht="17.25" customHeight="1" s="322">
      <c r="A391" s="27" t="n"/>
      <c r="B391" s="506">
        <f>IFERROR(__xludf.DUMMYFUNCTION("""COMPUTED_VALUE"""),45665.6666666666)</f>
        <v/>
      </c>
      <c r="C391" s="141">
        <f>IFERROR(__xludf.DUMMYFUNCTION("""COMPUTED_VALUE"""),241.92)</f>
        <v/>
      </c>
      <c r="D391" s="141">
        <f>IFERROR(__xludf.DUMMYFUNCTION("""COMPUTED_VALUE"""),243.71)</f>
        <v/>
      </c>
      <c r="E391" s="141">
        <f>IFERROR(__xludf.DUMMYFUNCTION("""COMPUTED_VALUE"""),240.05)</f>
        <v/>
      </c>
      <c r="F391" s="141">
        <f>IFERROR(__xludf.DUMMYFUNCTION("""COMPUTED_VALUE"""),242.7)</f>
        <v/>
      </c>
      <c r="G391" s="143">
        <f>IFERROR(__xludf.DUMMYFUNCTION("""COMPUTED_VALUE"""),37628940)</f>
        <v/>
      </c>
      <c r="H391" s="27" t="n"/>
    </row>
    <row r="392" ht="17.25" customHeight="1" s="322">
      <c r="A392" s="27" t="n"/>
      <c r="B392" s="506">
        <f>IFERROR(__xludf.DUMMYFUNCTION("""COMPUTED_VALUE"""),45667.6666666666)</f>
        <v/>
      </c>
      <c r="C392" s="141">
        <f>IFERROR(__xludf.DUMMYFUNCTION("""COMPUTED_VALUE"""),240.01)</f>
        <v/>
      </c>
      <c r="D392" s="141">
        <f>IFERROR(__xludf.DUMMYFUNCTION("""COMPUTED_VALUE"""),240.16)</f>
        <v/>
      </c>
      <c r="E392" s="141">
        <f>IFERROR(__xludf.DUMMYFUNCTION("""COMPUTED_VALUE"""),233)</f>
        <v/>
      </c>
      <c r="F392" s="141">
        <f>IFERROR(__xludf.DUMMYFUNCTION("""COMPUTED_VALUE"""),236.85)</f>
        <v/>
      </c>
      <c r="G392" s="143">
        <f>IFERROR(__xludf.DUMMYFUNCTION("""COMPUTED_VALUE"""),61710856)</f>
        <v/>
      </c>
      <c r="H392" s="27" t="n"/>
    </row>
    <row r="393" ht="17.25" customHeight="1" s="322">
      <c r="A393" s="27" t="n"/>
      <c r="B393" s="506">
        <f>IFERROR(__xludf.DUMMYFUNCTION("""COMPUTED_VALUE"""),45670.6666666666)</f>
        <v/>
      </c>
      <c r="C393" s="141">
        <f>IFERROR(__xludf.DUMMYFUNCTION("""COMPUTED_VALUE"""),233.53)</f>
        <v/>
      </c>
      <c r="D393" s="141">
        <f>IFERROR(__xludf.DUMMYFUNCTION("""COMPUTED_VALUE"""),234.67)</f>
        <v/>
      </c>
      <c r="E393" s="141">
        <f>IFERROR(__xludf.DUMMYFUNCTION("""COMPUTED_VALUE"""),229.72)</f>
        <v/>
      </c>
      <c r="F393" s="141">
        <f>IFERROR(__xludf.DUMMYFUNCTION("""COMPUTED_VALUE"""),234.4)</f>
        <v/>
      </c>
      <c r="G393" s="143">
        <f>IFERROR(__xludf.DUMMYFUNCTION("""COMPUTED_VALUE"""),49630725)</f>
        <v/>
      </c>
      <c r="H393" s="27" t="n"/>
    </row>
    <row r="394" ht="17.25" customHeight="1" s="322">
      <c r="A394" s="27" t="n"/>
      <c r="B394" s="506">
        <f>IFERROR(__xludf.DUMMYFUNCTION("""COMPUTED_VALUE"""),45671.6666666666)</f>
        <v/>
      </c>
      <c r="C394" s="141">
        <f>IFERROR(__xludf.DUMMYFUNCTION("""COMPUTED_VALUE"""),234.75)</f>
        <v/>
      </c>
      <c r="D394" s="141">
        <f>IFERROR(__xludf.DUMMYFUNCTION("""COMPUTED_VALUE"""),236.12)</f>
        <v/>
      </c>
      <c r="E394" s="141">
        <f>IFERROR(__xludf.DUMMYFUNCTION("""COMPUTED_VALUE"""),232.47)</f>
        <v/>
      </c>
      <c r="F394" s="141">
        <f>IFERROR(__xludf.DUMMYFUNCTION("""COMPUTED_VALUE"""),233.28)</f>
        <v/>
      </c>
      <c r="G394" s="143">
        <f>IFERROR(__xludf.DUMMYFUNCTION("""COMPUTED_VALUE"""),39435294)</f>
        <v/>
      </c>
      <c r="H394" s="27" t="n"/>
    </row>
    <row r="395" ht="17.25" customHeight="1" s="322">
      <c r="A395" s="27" t="n"/>
      <c r="B395" s="506">
        <f>IFERROR(__xludf.DUMMYFUNCTION("""COMPUTED_VALUE"""),45672.6666666666)</f>
        <v/>
      </c>
      <c r="C395" s="141">
        <f>IFERROR(__xludf.DUMMYFUNCTION("""COMPUTED_VALUE"""),234.64)</f>
        <v/>
      </c>
      <c r="D395" s="141">
        <f>IFERROR(__xludf.DUMMYFUNCTION("""COMPUTED_VALUE"""),238.96)</f>
        <v/>
      </c>
      <c r="E395" s="141">
        <f>IFERROR(__xludf.DUMMYFUNCTION("""COMPUTED_VALUE"""),234.43)</f>
        <v/>
      </c>
      <c r="F395" s="141">
        <f>IFERROR(__xludf.DUMMYFUNCTION("""COMPUTED_VALUE"""),237.87)</f>
        <v/>
      </c>
      <c r="G395" s="143">
        <f>IFERROR(__xludf.DUMMYFUNCTION("""COMPUTED_VALUE"""),39831969)</f>
        <v/>
      </c>
      <c r="H395" s="27" t="n"/>
    </row>
    <row r="396" ht="17.25" customHeight="1" s="322">
      <c r="A396" s="27" t="n"/>
      <c r="B396" s="506">
        <f>IFERROR(__xludf.DUMMYFUNCTION("""COMPUTED_VALUE"""),45673.6666666666)</f>
        <v/>
      </c>
      <c r="C396" s="141">
        <f>IFERROR(__xludf.DUMMYFUNCTION("""COMPUTED_VALUE"""),237.35)</f>
        <v/>
      </c>
      <c r="D396" s="141">
        <f>IFERROR(__xludf.DUMMYFUNCTION("""COMPUTED_VALUE"""),238.01)</f>
        <v/>
      </c>
      <c r="E396" s="141">
        <f>IFERROR(__xludf.DUMMYFUNCTION("""COMPUTED_VALUE"""),228.03)</f>
        <v/>
      </c>
      <c r="F396" s="141">
        <f>IFERROR(__xludf.DUMMYFUNCTION("""COMPUTED_VALUE"""),228.26)</f>
        <v/>
      </c>
      <c r="G396" s="143">
        <f>IFERROR(__xludf.DUMMYFUNCTION("""COMPUTED_VALUE"""),71759052)</f>
        <v/>
      </c>
      <c r="H396" s="27" t="n"/>
    </row>
    <row r="397" ht="17.25" customHeight="1" s="322">
      <c r="A397" s="27" t="n"/>
      <c r="B397" s="506">
        <f>IFERROR(__xludf.DUMMYFUNCTION("""COMPUTED_VALUE"""),45674.6666666666)</f>
        <v/>
      </c>
      <c r="C397" s="141">
        <f>IFERROR(__xludf.DUMMYFUNCTION("""COMPUTED_VALUE"""),232.12)</f>
        <v/>
      </c>
      <c r="D397" s="141">
        <f>IFERROR(__xludf.DUMMYFUNCTION("""COMPUTED_VALUE"""),232.29)</f>
        <v/>
      </c>
      <c r="E397" s="141">
        <f>IFERROR(__xludf.DUMMYFUNCTION("""COMPUTED_VALUE"""),228.48)</f>
        <v/>
      </c>
      <c r="F397" s="141">
        <f>IFERROR(__xludf.DUMMYFUNCTION("""COMPUTED_VALUE"""),229.98)</f>
        <v/>
      </c>
      <c r="G397" s="143">
        <f>IFERROR(__xludf.DUMMYFUNCTION("""COMPUTED_VALUE"""),68488301)</f>
        <v/>
      </c>
      <c r="H397" s="27" t="n"/>
    </row>
    <row r="398" ht="17.25" customHeight="1" s="322">
      <c r="A398" s="27" t="n"/>
      <c r="B398" s="506">
        <f>IFERROR(__xludf.DUMMYFUNCTION("""COMPUTED_VALUE"""),45678.6666666666)</f>
        <v/>
      </c>
      <c r="C398" s="141">
        <f>IFERROR(__xludf.DUMMYFUNCTION("""COMPUTED_VALUE"""),224)</f>
        <v/>
      </c>
      <c r="D398" s="141">
        <f>IFERROR(__xludf.DUMMYFUNCTION("""COMPUTED_VALUE"""),224.42)</f>
        <v/>
      </c>
      <c r="E398" s="141">
        <f>IFERROR(__xludf.DUMMYFUNCTION("""COMPUTED_VALUE"""),219.38)</f>
        <v/>
      </c>
      <c r="F398" s="141">
        <f>IFERROR(__xludf.DUMMYFUNCTION("""COMPUTED_VALUE"""),222.64)</f>
        <v/>
      </c>
      <c r="G398" s="143">
        <f>IFERROR(__xludf.DUMMYFUNCTION("""COMPUTED_VALUE"""),98070429)</f>
        <v/>
      </c>
      <c r="H398" s="27" t="n"/>
    </row>
    <row r="399" ht="17.25" customHeight="1" s="322">
      <c r="A399" s="27" t="n"/>
      <c r="B399" s="506">
        <f>IFERROR(__xludf.DUMMYFUNCTION("""COMPUTED_VALUE"""),45679.6666666666)</f>
        <v/>
      </c>
      <c r="C399" s="141">
        <f>IFERROR(__xludf.DUMMYFUNCTION("""COMPUTED_VALUE"""),219.79)</f>
        <v/>
      </c>
      <c r="D399" s="141">
        <f>IFERROR(__xludf.DUMMYFUNCTION("""COMPUTED_VALUE"""),224.12)</f>
        <v/>
      </c>
      <c r="E399" s="141">
        <f>IFERROR(__xludf.DUMMYFUNCTION("""COMPUTED_VALUE"""),219.79)</f>
        <v/>
      </c>
      <c r="F399" s="141">
        <f>IFERROR(__xludf.DUMMYFUNCTION("""COMPUTED_VALUE"""),223.83)</f>
        <v/>
      </c>
      <c r="G399" s="143">
        <f>IFERROR(__xludf.DUMMYFUNCTION("""COMPUTED_VALUE"""),64126500)</f>
        <v/>
      </c>
      <c r="H399" s="27" t="n"/>
    </row>
    <row r="400" ht="17.25" customHeight="1" s="322">
      <c r="A400" s="27" t="n"/>
      <c r="B400" s="506">
        <f>IFERROR(__xludf.DUMMYFUNCTION("""COMPUTED_VALUE"""),45680.6666666666)</f>
        <v/>
      </c>
      <c r="C400" s="141">
        <f>IFERROR(__xludf.DUMMYFUNCTION("""COMPUTED_VALUE"""),224.74)</f>
        <v/>
      </c>
      <c r="D400" s="141">
        <f>IFERROR(__xludf.DUMMYFUNCTION("""COMPUTED_VALUE"""),227.03)</f>
        <v/>
      </c>
      <c r="E400" s="141">
        <f>IFERROR(__xludf.DUMMYFUNCTION("""COMPUTED_VALUE"""),222.3)</f>
        <v/>
      </c>
      <c r="F400" s="141">
        <f>IFERROR(__xludf.DUMMYFUNCTION("""COMPUTED_VALUE"""),223.66)</f>
        <v/>
      </c>
      <c r="G400" s="143">
        <f>IFERROR(__xludf.DUMMYFUNCTION("""COMPUTED_VALUE"""),60234760)</f>
        <v/>
      </c>
      <c r="H400" s="27" t="n"/>
    </row>
    <row r="401" ht="17.25" customHeight="1" s="322">
      <c r="A401" s="27" t="n"/>
      <c r="B401" s="506">
        <f>IFERROR(__xludf.DUMMYFUNCTION("""COMPUTED_VALUE"""),45681.6666666666)</f>
        <v/>
      </c>
      <c r="C401" s="141">
        <f>IFERROR(__xludf.DUMMYFUNCTION("""COMPUTED_VALUE"""),224.78)</f>
        <v/>
      </c>
      <c r="D401" s="141">
        <f>IFERROR(__xludf.DUMMYFUNCTION("""COMPUTED_VALUE"""),225.63)</f>
        <v/>
      </c>
      <c r="E401" s="141">
        <f>IFERROR(__xludf.DUMMYFUNCTION("""COMPUTED_VALUE"""),221.41)</f>
        <v/>
      </c>
      <c r="F401" s="141">
        <f>IFERROR(__xludf.DUMMYFUNCTION("""COMPUTED_VALUE"""),222.78)</f>
        <v/>
      </c>
      <c r="G401" s="143">
        <f>IFERROR(__xludf.DUMMYFUNCTION("""COMPUTED_VALUE"""),54697907)</f>
        <v/>
      </c>
      <c r="H401" s="27" t="n"/>
    </row>
    <row r="402" ht="17.25" customHeight="1" s="322">
      <c r="A402" s="27" t="n"/>
      <c r="B402" s="506">
        <f>IFERROR(__xludf.DUMMYFUNCTION("""COMPUTED_VALUE"""),45684.6666666666)</f>
        <v/>
      </c>
      <c r="C402" s="141">
        <f>IFERROR(__xludf.DUMMYFUNCTION("""COMPUTED_VALUE"""),224.02)</f>
        <v/>
      </c>
      <c r="D402" s="141">
        <f>IFERROR(__xludf.DUMMYFUNCTION("""COMPUTED_VALUE"""),232.15)</f>
        <v/>
      </c>
      <c r="E402" s="141">
        <f>IFERROR(__xludf.DUMMYFUNCTION("""COMPUTED_VALUE"""),223.98)</f>
        <v/>
      </c>
      <c r="F402" s="141">
        <f>IFERROR(__xludf.DUMMYFUNCTION("""COMPUTED_VALUE"""),229.86)</f>
        <v/>
      </c>
      <c r="G402" s="143">
        <f>IFERROR(__xludf.DUMMYFUNCTION("""COMPUTED_VALUE"""),94863418)</f>
        <v/>
      </c>
      <c r="H402" s="27" t="n"/>
    </row>
    <row r="403" ht="17.25" customHeight="1" s="322">
      <c r="A403" s="27" t="n"/>
      <c r="B403" s="506">
        <f>IFERROR(__xludf.DUMMYFUNCTION("""COMPUTED_VALUE"""),45685.6666666666)</f>
        <v/>
      </c>
      <c r="C403" s="141">
        <f>IFERROR(__xludf.DUMMYFUNCTION("""COMPUTED_VALUE"""),230.85)</f>
        <v/>
      </c>
      <c r="D403" s="141">
        <f>IFERROR(__xludf.DUMMYFUNCTION("""COMPUTED_VALUE"""),240.19)</f>
        <v/>
      </c>
      <c r="E403" s="141">
        <f>IFERROR(__xludf.DUMMYFUNCTION("""COMPUTED_VALUE"""),230.81)</f>
        <v/>
      </c>
      <c r="F403" s="141">
        <f>IFERROR(__xludf.DUMMYFUNCTION("""COMPUTED_VALUE"""),238.26)</f>
        <v/>
      </c>
      <c r="G403" s="143">
        <f>IFERROR(__xludf.DUMMYFUNCTION("""COMPUTED_VALUE"""),75707569)</f>
        <v/>
      </c>
      <c r="H403" s="27" t="n"/>
    </row>
    <row r="404" ht="17.25" customHeight="1" s="322">
      <c r="A404" s="27" t="n"/>
      <c r="B404" s="506">
        <f>IFERROR(__xludf.DUMMYFUNCTION("""COMPUTED_VALUE"""),45686.6666666666)</f>
        <v/>
      </c>
      <c r="C404" s="141">
        <f>IFERROR(__xludf.DUMMYFUNCTION("""COMPUTED_VALUE"""),234.12)</f>
        <v/>
      </c>
      <c r="D404" s="141">
        <f>IFERROR(__xludf.DUMMYFUNCTION("""COMPUTED_VALUE"""),239.86)</f>
        <v/>
      </c>
      <c r="E404" s="141">
        <f>IFERROR(__xludf.DUMMYFUNCTION("""COMPUTED_VALUE"""),234.01)</f>
        <v/>
      </c>
      <c r="F404" s="141">
        <f>IFERROR(__xludf.DUMMYFUNCTION("""COMPUTED_VALUE"""),239.36)</f>
        <v/>
      </c>
      <c r="G404" s="143">
        <f>IFERROR(__xludf.DUMMYFUNCTION("""COMPUTED_VALUE"""),45486100)</f>
        <v/>
      </c>
      <c r="H404" s="27" t="n"/>
    </row>
    <row r="405" ht="17.25" customHeight="1" s="322">
      <c r="A405" s="27" t="n"/>
      <c r="B405" s="506">
        <f>IFERROR(__xludf.DUMMYFUNCTION("""COMPUTED_VALUE"""),45687.6666666666)</f>
        <v/>
      </c>
      <c r="C405" s="141">
        <f>IFERROR(__xludf.DUMMYFUNCTION("""COMPUTED_VALUE"""),238.67)</f>
        <v/>
      </c>
      <c r="D405" s="141">
        <f>IFERROR(__xludf.DUMMYFUNCTION("""COMPUTED_VALUE"""),240.79)</f>
        <v/>
      </c>
      <c r="E405" s="141">
        <f>IFERROR(__xludf.DUMMYFUNCTION("""COMPUTED_VALUE"""),237.21)</f>
        <v/>
      </c>
      <c r="F405" s="141">
        <f>IFERROR(__xludf.DUMMYFUNCTION("""COMPUTED_VALUE"""),237.59)</f>
        <v/>
      </c>
      <c r="G405" s="143">
        <f>IFERROR(__xludf.DUMMYFUNCTION("""COMPUTED_VALUE"""),55658279)</f>
        <v/>
      </c>
      <c r="H405" s="27" t="n"/>
    </row>
    <row r="406" ht="17.25" customHeight="1" s="322">
      <c r="A406" s="27" t="n"/>
      <c r="B406" s="506">
        <f>IFERROR(__xludf.DUMMYFUNCTION("""COMPUTED_VALUE"""),45688.6666666666)</f>
        <v/>
      </c>
      <c r="C406" s="141">
        <f>IFERROR(__xludf.DUMMYFUNCTION("""COMPUTED_VALUE"""),247.19)</f>
        <v/>
      </c>
      <c r="D406" s="141">
        <f>IFERROR(__xludf.DUMMYFUNCTION("""COMPUTED_VALUE"""),247.19)</f>
        <v/>
      </c>
      <c r="E406" s="141">
        <f>IFERROR(__xludf.DUMMYFUNCTION("""COMPUTED_VALUE"""),233.44)</f>
        <v/>
      </c>
      <c r="F406" s="141">
        <f>IFERROR(__xludf.DUMMYFUNCTION("""COMPUTED_VALUE"""),236)</f>
        <v/>
      </c>
      <c r="G406" s="143">
        <f>IFERROR(__xludf.DUMMYFUNCTION("""COMPUTED_VALUE"""),101075128)</f>
        <v/>
      </c>
      <c r="H406" s="27" t="n"/>
    </row>
    <row r="407" ht="17.25" customHeight="1" s="322">
      <c r="A407" s="27" t="n"/>
      <c r="B407" s="506">
        <f>IFERROR(__xludf.DUMMYFUNCTION("""COMPUTED_VALUE"""),45691.6666666666)</f>
        <v/>
      </c>
      <c r="C407" s="141">
        <f>IFERROR(__xludf.DUMMYFUNCTION("""COMPUTED_VALUE"""),229.99)</f>
        <v/>
      </c>
      <c r="D407" s="141">
        <f>IFERROR(__xludf.DUMMYFUNCTION("""COMPUTED_VALUE"""),231.83)</f>
        <v/>
      </c>
      <c r="E407" s="141">
        <f>IFERROR(__xludf.DUMMYFUNCTION("""COMPUTED_VALUE"""),225.7)</f>
        <v/>
      </c>
      <c r="F407" s="141">
        <f>IFERROR(__xludf.DUMMYFUNCTION("""COMPUTED_VALUE"""),228.01)</f>
        <v/>
      </c>
      <c r="G407" s="143">
        <f>IFERROR(__xludf.DUMMYFUNCTION("""COMPUTED_VALUE"""),73063301)</f>
        <v/>
      </c>
      <c r="H407" s="27" t="n"/>
    </row>
    <row r="408" ht="17.25" customHeight="1" s="322">
      <c r="A408" s="27" t="n"/>
      <c r="B408" s="506">
        <f>IFERROR(__xludf.DUMMYFUNCTION("""COMPUTED_VALUE"""),45692.6666666666)</f>
        <v/>
      </c>
      <c r="C408" s="141">
        <f>IFERROR(__xludf.DUMMYFUNCTION("""COMPUTED_VALUE"""),227.25)</f>
        <v/>
      </c>
      <c r="D408" s="141">
        <f>IFERROR(__xludf.DUMMYFUNCTION("""COMPUTED_VALUE"""),233.13)</f>
        <v/>
      </c>
      <c r="E408" s="141">
        <f>IFERROR(__xludf.DUMMYFUNCTION("""COMPUTED_VALUE"""),226.65)</f>
        <v/>
      </c>
      <c r="F408" s="141">
        <f>IFERROR(__xludf.DUMMYFUNCTION("""COMPUTED_VALUE"""),232.8)</f>
        <v/>
      </c>
      <c r="G408" s="143">
        <f>IFERROR(__xludf.DUMMYFUNCTION("""COMPUTED_VALUE"""),45067301)</f>
        <v/>
      </c>
      <c r="H408" s="27" t="n"/>
    </row>
    <row r="409" ht="17.25" customHeight="1" s="322">
      <c r="A409" s="27" t="n"/>
      <c r="B409" s="506">
        <f>IFERROR(__xludf.DUMMYFUNCTION("""COMPUTED_VALUE"""),45693.6666666666)</f>
        <v/>
      </c>
      <c r="C409" s="141">
        <f>IFERROR(__xludf.DUMMYFUNCTION("""COMPUTED_VALUE"""),228.53)</f>
        <v/>
      </c>
      <c r="D409" s="141">
        <f>IFERROR(__xludf.DUMMYFUNCTION("""COMPUTED_VALUE"""),232.67)</f>
        <v/>
      </c>
      <c r="E409" s="141">
        <f>IFERROR(__xludf.DUMMYFUNCTION("""COMPUTED_VALUE"""),228.27)</f>
        <v/>
      </c>
      <c r="F409" s="141">
        <f>IFERROR(__xludf.DUMMYFUNCTION("""COMPUTED_VALUE"""),232.47)</f>
        <v/>
      </c>
      <c r="G409" s="143">
        <f>IFERROR(__xludf.DUMMYFUNCTION("""COMPUTED_VALUE"""),39664989)</f>
        <v/>
      </c>
      <c r="H409" s="27" t="n"/>
    </row>
    <row r="410" ht="17.25" customHeight="1" s="322">
      <c r="A410" s="27" t="n"/>
      <c r="B410" s="506">
        <f>IFERROR(__xludf.DUMMYFUNCTION("""COMPUTED_VALUE"""),45694.6666666666)</f>
        <v/>
      </c>
      <c r="C410" s="141">
        <f>IFERROR(__xludf.DUMMYFUNCTION("""COMPUTED_VALUE"""),231.29)</f>
        <v/>
      </c>
      <c r="D410" s="141">
        <f>IFERROR(__xludf.DUMMYFUNCTION("""COMPUTED_VALUE"""),233.8)</f>
        <v/>
      </c>
      <c r="E410" s="141">
        <f>IFERROR(__xludf.DUMMYFUNCTION("""COMPUTED_VALUE"""),230.43)</f>
        <v/>
      </c>
      <c r="F410" s="141">
        <f>IFERROR(__xludf.DUMMYFUNCTION("""COMPUTED_VALUE"""),233.22)</f>
        <v/>
      </c>
      <c r="G410" s="143">
        <f>IFERROR(__xludf.DUMMYFUNCTION("""COMPUTED_VALUE"""),29925349)</f>
        <v/>
      </c>
      <c r="H410" s="27" t="n"/>
    </row>
    <row r="411" ht="17.25" customHeight="1" s="322">
      <c r="A411" s="27" t="n"/>
      <c r="B411" s="506">
        <f>IFERROR(__xludf.DUMMYFUNCTION("""COMPUTED_VALUE"""),45695.6666666666)</f>
        <v/>
      </c>
      <c r="C411" s="141">
        <f>IFERROR(__xludf.DUMMYFUNCTION("""COMPUTED_VALUE"""),232.6)</f>
        <v/>
      </c>
      <c r="D411" s="141">
        <f>IFERROR(__xludf.DUMMYFUNCTION("""COMPUTED_VALUE"""),234)</f>
        <v/>
      </c>
      <c r="E411" s="141">
        <f>IFERROR(__xludf.DUMMYFUNCTION("""COMPUTED_VALUE"""),227.26)</f>
        <v/>
      </c>
      <c r="F411" s="141">
        <f>IFERROR(__xludf.DUMMYFUNCTION("""COMPUTED_VALUE"""),227.63)</f>
        <v/>
      </c>
      <c r="G411" s="143">
        <f>IFERROR(__xludf.DUMMYFUNCTION("""COMPUTED_VALUE"""),39707224)</f>
        <v/>
      </c>
      <c r="H411" s="27" t="n"/>
    </row>
    <row r="412" ht="17.25" customHeight="1" s="322">
      <c r="A412" s="27" t="n"/>
      <c r="B412" s="506">
        <f>IFERROR(__xludf.DUMMYFUNCTION("""COMPUTED_VALUE"""),45698.6666666666)</f>
        <v/>
      </c>
      <c r="C412" s="141">
        <f>IFERROR(__xludf.DUMMYFUNCTION("""COMPUTED_VALUE"""),229.57)</f>
        <v/>
      </c>
      <c r="D412" s="141">
        <f>IFERROR(__xludf.DUMMYFUNCTION("""COMPUTED_VALUE"""),230.59)</f>
        <v/>
      </c>
      <c r="E412" s="141">
        <f>IFERROR(__xludf.DUMMYFUNCTION("""COMPUTED_VALUE"""),227.2)</f>
        <v/>
      </c>
      <c r="F412" s="141">
        <f>IFERROR(__xludf.DUMMYFUNCTION("""COMPUTED_VALUE"""),227.65)</f>
        <v/>
      </c>
      <c r="G412" s="143">
        <f>IFERROR(__xludf.DUMMYFUNCTION("""COMPUTED_VALUE"""),33115645)</f>
        <v/>
      </c>
      <c r="H412" s="27" t="n"/>
    </row>
    <row r="413" ht="17.25" customHeight="1" s="322">
      <c r="A413" s="27" t="n"/>
      <c r="B413" s="506">
        <f>IFERROR(__xludf.DUMMYFUNCTION("""COMPUTED_VALUE"""),45699.6666666666)</f>
        <v/>
      </c>
      <c r="C413" s="141">
        <f>IFERROR(__xludf.DUMMYFUNCTION("""COMPUTED_VALUE"""),228.2)</f>
        <v/>
      </c>
      <c r="D413" s="141">
        <f>IFERROR(__xludf.DUMMYFUNCTION("""COMPUTED_VALUE"""),235.23)</f>
        <v/>
      </c>
      <c r="E413" s="141">
        <f>IFERROR(__xludf.DUMMYFUNCTION("""COMPUTED_VALUE"""),228.13)</f>
        <v/>
      </c>
      <c r="F413" s="141">
        <f>IFERROR(__xludf.DUMMYFUNCTION("""COMPUTED_VALUE"""),232.62)</f>
        <v/>
      </c>
      <c r="G413" s="143">
        <f>IFERROR(__xludf.DUMMYFUNCTION("""COMPUTED_VALUE"""),53718362)</f>
        <v/>
      </c>
      <c r="H413" s="27" t="n"/>
    </row>
    <row r="414" ht="17.25" customHeight="1" s="322">
      <c r="A414" s="27" t="n"/>
      <c r="B414" s="506">
        <f>IFERROR(__xludf.DUMMYFUNCTION("""COMPUTED_VALUE"""),45700.6666666666)</f>
        <v/>
      </c>
      <c r="C414" s="141">
        <f>IFERROR(__xludf.DUMMYFUNCTION("""COMPUTED_VALUE"""),231.2)</f>
        <v/>
      </c>
      <c r="D414" s="141">
        <f>IFERROR(__xludf.DUMMYFUNCTION("""COMPUTED_VALUE"""),236.96)</f>
        <v/>
      </c>
      <c r="E414" s="141">
        <f>IFERROR(__xludf.DUMMYFUNCTION("""COMPUTED_VALUE"""),230.68)</f>
        <v/>
      </c>
      <c r="F414" s="141">
        <f>IFERROR(__xludf.DUMMYFUNCTION("""COMPUTED_VALUE"""),236.87)</f>
        <v/>
      </c>
      <c r="G414" s="143">
        <f>IFERROR(__xludf.DUMMYFUNCTION("""COMPUTED_VALUE"""),45243292)</f>
        <v/>
      </c>
      <c r="H414" s="27" t="n"/>
    </row>
    <row r="415" ht="17.25" customHeight="1" s="322">
      <c r="A415" s="27" t="n"/>
      <c r="B415" s="506">
        <f>IFERROR(__xludf.DUMMYFUNCTION("""COMPUTED_VALUE"""),45701.6666666666)</f>
        <v/>
      </c>
      <c r="C415" s="141">
        <f>IFERROR(__xludf.DUMMYFUNCTION("""COMPUTED_VALUE"""),236.91)</f>
        <v/>
      </c>
      <c r="D415" s="141">
        <f>IFERROR(__xludf.DUMMYFUNCTION("""COMPUTED_VALUE"""),242.34)</f>
        <v/>
      </c>
      <c r="E415" s="141">
        <f>IFERROR(__xludf.DUMMYFUNCTION("""COMPUTED_VALUE"""),235.57)</f>
        <v/>
      </c>
      <c r="F415" s="141">
        <f>IFERROR(__xludf.DUMMYFUNCTION("""COMPUTED_VALUE"""),241.53)</f>
        <v/>
      </c>
      <c r="G415" s="143">
        <f>IFERROR(__xludf.DUMMYFUNCTION("""COMPUTED_VALUE"""),53614054)</f>
        <v/>
      </c>
      <c r="H415" s="27" t="n"/>
    </row>
    <row r="416" ht="17.25" customHeight="1" s="322">
      <c r="A416" s="27" t="n"/>
      <c r="B416" s="506">
        <f>IFERROR(__xludf.DUMMYFUNCTION("""COMPUTED_VALUE"""),45702.6666666666)</f>
        <v/>
      </c>
      <c r="C416" s="141">
        <f>IFERROR(__xludf.DUMMYFUNCTION("""COMPUTED_VALUE"""),241.25)</f>
        <v/>
      </c>
      <c r="D416" s="141">
        <f>IFERROR(__xludf.DUMMYFUNCTION("""COMPUTED_VALUE"""),245.55)</f>
        <v/>
      </c>
      <c r="E416" s="141">
        <f>IFERROR(__xludf.DUMMYFUNCTION("""COMPUTED_VALUE"""),240.99)</f>
        <v/>
      </c>
      <c r="F416" s="141">
        <f>IFERROR(__xludf.DUMMYFUNCTION("""COMPUTED_VALUE"""),244.6)</f>
        <v/>
      </c>
      <c r="G416" s="143">
        <f>IFERROR(__xludf.DUMMYFUNCTION("""COMPUTED_VALUE"""),40896227)</f>
        <v/>
      </c>
      <c r="H416" s="27" t="n"/>
    </row>
    <row r="417" ht="17.25" customHeight="1" s="322">
      <c r="A417" s="27" t="n"/>
      <c r="B417" s="506">
        <f>IFERROR(__xludf.DUMMYFUNCTION("""COMPUTED_VALUE"""),45706.6666666666)</f>
        <v/>
      </c>
      <c r="C417" s="141">
        <f>IFERROR(__xludf.DUMMYFUNCTION("""COMPUTED_VALUE"""),244.15)</f>
        <v/>
      </c>
      <c r="D417" s="141">
        <f>IFERROR(__xludf.DUMMYFUNCTION("""COMPUTED_VALUE"""),245.18)</f>
        <v/>
      </c>
      <c r="E417" s="141">
        <f>IFERROR(__xludf.DUMMYFUNCTION("""COMPUTED_VALUE"""),241.84)</f>
        <v/>
      </c>
      <c r="F417" s="141">
        <f>IFERROR(__xludf.DUMMYFUNCTION("""COMPUTED_VALUE"""),244.47)</f>
        <v/>
      </c>
      <c r="G417" s="143">
        <f>IFERROR(__xludf.DUMMYFUNCTION("""COMPUTED_VALUE"""),48822491)</f>
        <v/>
      </c>
      <c r="H417" s="27" t="n"/>
    </row>
    <row r="418" ht="17.25" customHeight="1" s="322">
      <c r="A418" s="27" t="n"/>
      <c r="B418" s="506">
        <f>IFERROR(__xludf.DUMMYFUNCTION("""COMPUTED_VALUE"""),45707.6666666666)</f>
        <v/>
      </c>
      <c r="C418" s="141">
        <f>IFERROR(__xludf.DUMMYFUNCTION("""COMPUTED_VALUE"""),244.66)</f>
        <v/>
      </c>
      <c r="D418" s="141">
        <f>IFERROR(__xludf.DUMMYFUNCTION("""COMPUTED_VALUE"""),246.01)</f>
        <v/>
      </c>
      <c r="E418" s="141">
        <f>IFERROR(__xludf.DUMMYFUNCTION("""COMPUTED_VALUE"""),243.16)</f>
        <v/>
      </c>
      <c r="F418" s="141">
        <f>IFERROR(__xludf.DUMMYFUNCTION("""COMPUTED_VALUE"""),244.87)</f>
        <v/>
      </c>
      <c r="G418" s="143">
        <f>IFERROR(__xludf.DUMMYFUNCTION("""COMPUTED_VALUE"""),32204215)</f>
        <v/>
      </c>
      <c r="H418" s="27" t="n"/>
    </row>
    <row r="419" ht="17.25" customHeight="1" s="322">
      <c r="A419" s="27" t="n"/>
      <c r="B419" s="506">
        <f>IFERROR(__xludf.DUMMYFUNCTION("""COMPUTED_VALUE"""),45708.6666666666)</f>
        <v/>
      </c>
      <c r="C419" s="141">
        <f>IFERROR(__xludf.DUMMYFUNCTION("""COMPUTED_VALUE"""),244.94)</f>
        <v/>
      </c>
      <c r="D419" s="141">
        <f>IFERROR(__xludf.DUMMYFUNCTION("""COMPUTED_VALUE"""),246.78)</f>
        <v/>
      </c>
      <c r="E419" s="141">
        <f>IFERROR(__xludf.DUMMYFUNCTION("""COMPUTED_VALUE"""),244.29)</f>
        <v/>
      </c>
      <c r="F419" s="141">
        <f>IFERROR(__xludf.DUMMYFUNCTION("""COMPUTED_VALUE"""),245.83)</f>
        <v/>
      </c>
      <c r="G419" s="143">
        <f>IFERROR(__xludf.DUMMYFUNCTION("""COMPUTED_VALUE"""),32316907)</f>
        <v/>
      </c>
      <c r="H419" s="27" t="n"/>
    </row>
    <row r="420" ht="17.25" customHeight="1" s="322">
      <c r="A420" s="27" t="n"/>
      <c r="B420" s="506">
        <f>IFERROR(__xludf.DUMMYFUNCTION("""COMPUTED_VALUE"""),45709.6666666666)</f>
        <v/>
      </c>
      <c r="C420" s="141">
        <f>IFERROR(__xludf.DUMMYFUNCTION("""COMPUTED_VALUE"""),245.95)</f>
        <v/>
      </c>
      <c r="D420" s="141">
        <f>IFERROR(__xludf.DUMMYFUNCTION("""COMPUTED_VALUE"""),248.69)</f>
        <v/>
      </c>
      <c r="E420" s="141">
        <f>IFERROR(__xludf.DUMMYFUNCTION("""COMPUTED_VALUE"""),245.22)</f>
        <v/>
      </c>
      <c r="F420" s="141">
        <f>IFERROR(__xludf.DUMMYFUNCTION("""COMPUTED_VALUE"""),245.55)</f>
        <v/>
      </c>
      <c r="G420" s="143">
        <f>IFERROR(__xludf.DUMMYFUNCTION("""COMPUTED_VALUE"""),53197431)</f>
        <v/>
      </c>
      <c r="H420" s="27" t="n"/>
    </row>
    <row r="421" ht="17.25" customHeight="1" s="322">
      <c r="A421" s="27" t="n"/>
      <c r="B421" s="506">
        <f>IFERROR(__xludf.DUMMYFUNCTION("""COMPUTED_VALUE"""),45712.6666666666)</f>
        <v/>
      </c>
      <c r="C421" s="141">
        <f>IFERROR(__xludf.DUMMYFUNCTION("""COMPUTED_VALUE"""),244.93)</f>
        <v/>
      </c>
      <c r="D421" s="141">
        <f>IFERROR(__xludf.DUMMYFUNCTION("""COMPUTED_VALUE"""),248.86)</f>
        <v/>
      </c>
      <c r="E421" s="141">
        <f>IFERROR(__xludf.DUMMYFUNCTION("""COMPUTED_VALUE"""),244.42)</f>
        <v/>
      </c>
      <c r="F421" s="141">
        <f>IFERROR(__xludf.DUMMYFUNCTION("""COMPUTED_VALUE"""),247.1)</f>
        <v/>
      </c>
      <c r="G421" s="143">
        <f>IFERROR(__xludf.DUMMYFUNCTION("""COMPUTED_VALUE"""),51326396)</f>
        <v/>
      </c>
      <c r="H421" s="27" t="n"/>
    </row>
    <row r="422" ht="17.25" customHeight="1" s="322">
      <c r="A422" s="27" t="n"/>
      <c r="B422" s="506">
        <f>IFERROR(__xludf.DUMMYFUNCTION("""COMPUTED_VALUE"""),45713.6666666666)</f>
        <v/>
      </c>
      <c r="C422" s="141">
        <f>IFERROR(__xludf.DUMMYFUNCTION("""COMPUTED_VALUE"""),248)</f>
        <v/>
      </c>
      <c r="D422" s="141">
        <f>IFERROR(__xludf.DUMMYFUNCTION("""COMPUTED_VALUE"""),250)</f>
        <v/>
      </c>
      <c r="E422" s="141">
        <f>IFERROR(__xludf.DUMMYFUNCTION("""COMPUTED_VALUE"""),244.91)</f>
        <v/>
      </c>
      <c r="F422" s="141">
        <f>IFERROR(__xludf.DUMMYFUNCTION("""COMPUTED_VALUE"""),247.04)</f>
        <v/>
      </c>
      <c r="G422" s="143">
        <f>IFERROR(__xludf.DUMMYFUNCTION("""COMPUTED_VALUE"""),48013272)</f>
        <v/>
      </c>
      <c r="H422" s="27" t="n"/>
    </row>
    <row r="423" ht="17.25" customHeight="1" s="322">
      <c r="A423" s="27" t="n"/>
      <c r="B423" s="506">
        <f>IFERROR(__xludf.DUMMYFUNCTION("""COMPUTED_VALUE"""),45714.6666666666)</f>
        <v/>
      </c>
      <c r="C423" s="141">
        <f>IFERROR(__xludf.DUMMYFUNCTION("""COMPUTED_VALUE"""),244.33)</f>
        <v/>
      </c>
      <c r="D423" s="141">
        <f>IFERROR(__xludf.DUMMYFUNCTION("""COMPUTED_VALUE"""),244.98)</f>
        <v/>
      </c>
      <c r="E423" s="141">
        <f>IFERROR(__xludf.DUMMYFUNCTION("""COMPUTED_VALUE"""),239.13)</f>
        <v/>
      </c>
      <c r="F423" s="141">
        <f>IFERROR(__xludf.DUMMYFUNCTION("""COMPUTED_VALUE"""),240.36)</f>
        <v/>
      </c>
      <c r="G423" s="143">
        <f>IFERROR(__xludf.DUMMYFUNCTION("""COMPUTED_VALUE"""),44433564)</f>
        <v/>
      </c>
      <c r="H423" s="27" t="n"/>
    </row>
    <row r="424" ht="17.25" customHeight="1" s="322">
      <c r="A424" s="27" t="n"/>
      <c r="B424" s="506">
        <f>IFERROR(__xludf.DUMMYFUNCTION("""COMPUTED_VALUE"""),45715.6666666666)</f>
        <v/>
      </c>
      <c r="C424" s="141">
        <f>IFERROR(__xludf.DUMMYFUNCTION("""COMPUTED_VALUE"""),239.41)</f>
        <v/>
      </c>
      <c r="D424" s="141">
        <f>IFERROR(__xludf.DUMMYFUNCTION("""COMPUTED_VALUE"""),242.46)</f>
        <v/>
      </c>
      <c r="E424" s="141">
        <f>IFERROR(__xludf.DUMMYFUNCTION("""COMPUTED_VALUE"""),237.06)</f>
        <v/>
      </c>
      <c r="F424" s="141">
        <f>IFERROR(__xludf.DUMMYFUNCTION("""COMPUTED_VALUE"""),237.3)</f>
        <v/>
      </c>
      <c r="G424" s="143">
        <f>IFERROR(__xludf.DUMMYFUNCTION("""COMPUTED_VALUE"""),41153639)</f>
        <v/>
      </c>
      <c r="H424" s="27" t="n"/>
    </row>
    <row r="425" ht="17.25" customHeight="1" s="322">
      <c r="A425" s="27" t="n"/>
      <c r="B425" s="506">
        <f>IFERROR(__xludf.DUMMYFUNCTION("""COMPUTED_VALUE"""),45716.6666666666)</f>
        <v/>
      </c>
      <c r="C425" s="141">
        <f>IFERROR(__xludf.DUMMYFUNCTION("""COMPUTED_VALUE"""),236.95)</f>
        <v/>
      </c>
      <c r="D425" s="141">
        <f>IFERROR(__xludf.DUMMYFUNCTION("""COMPUTED_VALUE"""),242.09)</f>
        <v/>
      </c>
      <c r="E425" s="141">
        <f>IFERROR(__xludf.DUMMYFUNCTION("""COMPUTED_VALUE"""),230.2)</f>
        <v/>
      </c>
      <c r="F425" s="141">
        <f>IFERROR(__xludf.DUMMYFUNCTION("""COMPUTED_VALUE"""),241.84)</f>
        <v/>
      </c>
      <c r="G425" s="143">
        <f>IFERROR(__xludf.DUMMYFUNCTION("""COMPUTED_VALUE"""),56833360)</f>
        <v/>
      </c>
      <c r="H425" s="27" t="n"/>
    </row>
    <row r="426" ht="17.25" customHeight="1" s="322">
      <c r="A426" s="27" t="n"/>
      <c r="B426" s="506">
        <f>IFERROR(__xludf.DUMMYFUNCTION("""COMPUTED_VALUE"""),45719.6666666666)</f>
        <v/>
      </c>
      <c r="C426" s="141">
        <f>IFERROR(__xludf.DUMMYFUNCTION("""COMPUTED_VALUE"""),241.79)</f>
        <v/>
      </c>
      <c r="D426" s="141">
        <f>IFERROR(__xludf.DUMMYFUNCTION("""COMPUTED_VALUE"""),244.03)</f>
        <v/>
      </c>
      <c r="E426" s="141">
        <f>IFERROR(__xludf.DUMMYFUNCTION("""COMPUTED_VALUE"""),236.11)</f>
        <v/>
      </c>
      <c r="F426" s="141">
        <f>IFERROR(__xludf.DUMMYFUNCTION("""COMPUTED_VALUE"""),238.03)</f>
        <v/>
      </c>
      <c r="G426" s="143">
        <f>IFERROR(__xludf.DUMMYFUNCTION("""COMPUTED_VALUE"""),47183985)</f>
        <v/>
      </c>
      <c r="H426" s="27" t="n"/>
    </row>
    <row r="427" ht="17.25" customHeight="1" s="322">
      <c r="A427" s="27" t="n"/>
      <c r="B427" s="506">
        <f>IFERROR(__xludf.DUMMYFUNCTION("""COMPUTED_VALUE"""),45720.6666666666)</f>
        <v/>
      </c>
      <c r="C427" s="141">
        <f>IFERROR(__xludf.DUMMYFUNCTION("""COMPUTED_VALUE"""),237.71)</f>
        <v/>
      </c>
      <c r="D427" s="141">
        <f>IFERROR(__xludf.DUMMYFUNCTION("""COMPUTED_VALUE"""),240.07)</f>
        <v/>
      </c>
      <c r="E427" s="141">
        <f>IFERROR(__xludf.DUMMYFUNCTION("""COMPUTED_VALUE"""),234.68)</f>
        <v/>
      </c>
      <c r="F427" s="141">
        <f>IFERROR(__xludf.DUMMYFUNCTION("""COMPUTED_VALUE"""),235.93)</f>
        <v/>
      </c>
      <c r="G427" s="143">
        <f>IFERROR(__xludf.DUMMYFUNCTION("""COMPUTED_VALUE"""),53798062)</f>
        <v/>
      </c>
      <c r="H427" s="27" t="n"/>
    </row>
    <row r="428" ht="17.25" customHeight="1" s="322">
      <c r="A428" s="27" t="n"/>
      <c r="B428" s="506">
        <f>IFERROR(__xludf.DUMMYFUNCTION("""COMPUTED_VALUE"""),45721.6666666666)</f>
        <v/>
      </c>
      <c r="C428" s="141">
        <f>IFERROR(__xludf.DUMMYFUNCTION("""COMPUTED_VALUE"""),235.42)</f>
        <v/>
      </c>
      <c r="D428" s="141">
        <f>IFERROR(__xludf.DUMMYFUNCTION("""COMPUTED_VALUE"""),236.55)</f>
        <v/>
      </c>
      <c r="E428" s="141">
        <f>IFERROR(__xludf.DUMMYFUNCTION("""COMPUTED_VALUE"""),229.23)</f>
        <v/>
      </c>
      <c r="F428" s="141">
        <f>IFERROR(__xludf.DUMMYFUNCTION("""COMPUTED_VALUE"""),235.74)</f>
        <v/>
      </c>
      <c r="G428" s="143">
        <f>IFERROR(__xludf.DUMMYFUNCTION("""COMPUTED_VALUE"""),47227643)</f>
        <v/>
      </c>
      <c r="H428" s="27" t="n"/>
    </row>
    <row r="429" ht="17.25" customHeight="1" s="322">
      <c r="A429" s="27" t="n"/>
      <c r="B429" s="506">
        <f>IFERROR(__xludf.DUMMYFUNCTION("""COMPUTED_VALUE"""),45722.6666666666)</f>
        <v/>
      </c>
      <c r="C429" s="141">
        <f>IFERROR(__xludf.DUMMYFUNCTION("""COMPUTED_VALUE"""),234.44)</f>
        <v/>
      </c>
      <c r="D429" s="141">
        <f>IFERROR(__xludf.DUMMYFUNCTION("""COMPUTED_VALUE"""),237.86)</f>
        <v/>
      </c>
      <c r="E429" s="141">
        <f>IFERROR(__xludf.DUMMYFUNCTION("""COMPUTED_VALUE"""),233.16)</f>
        <v/>
      </c>
      <c r="F429" s="141">
        <f>IFERROR(__xludf.DUMMYFUNCTION("""COMPUTED_VALUE"""),235.33)</f>
        <v/>
      </c>
      <c r="G429" s="143">
        <f>IFERROR(__xludf.DUMMYFUNCTION("""COMPUTED_VALUE"""),45170419)</f>
        <v/>
      </c>
      <c r="H429" s="27" t="n"/>
    </row>
    <row r="430" ht="17.25" customHeight="1" s="322">
      <c r="A430" s="27" t="n"/>
      <c r="B430" s="506">
        <f>IFERROR(__xludf.DUMMYFUNCTION("""COMPUTED_VALUE"""),45723.6666666666)</f>
        <v/>
      </c>
      <c r="C430" s="141">
        <f>IFERROR(__xludf.DUMMYFUNCTION("""COMPUTED_VALUE"""),235.11)</f>
        <v/>
      </c>
      <c r="D430" s="141">
        <f>IFERROR(__xludf.DUMMYFUNCTION("""COMPUTED_VALUE"""),241.37)</f>
        <v/>
      </c>
      <c r="E430" s="141">
        <f>IFERROR(__xludf.DUMMYFUNCTION("""COMPUTED_VALUE"""),234.76)</f>
        <v/>
      </c>
      <c r="F430" s="141">
        <f>IFERROR(__xludf.DUMMYFUNCTION("""COMPUTED_VALUE"""),239.07)</f>
        <v/>
      </c>
      <c r="G430" s="143">
        <f>IFERROR(__xludf.DUMMYFUNCTION("""COMPUTED_VALUE"""),46273565)</f>
        <v/>
      </c>
      <c r="H430" s="27" t="n"/>
    </row>
    <row r="431" ht="17.25" customHeight="1" s="322">
      <c r="A431" s="27" t="n"/>
      <c r="B431" s="506">
        <f>IFERROR(__xludf.DUMMYFUNCTION("""COMPUTED_VALUE"""),45726.6666666666)</f>
        <v/>
      </c>
      <c r="C431" s="141">
        <f>IFERROR(__xludf.DUMMYFUNCTION("""COMPUTED_VALUE"""),235.54)</f>
        <v/>
      </c>
      <c r="D431" s="141">
        <f>IFERROR(__xludf.DUMMYFUNCTION("""COMPUTED_VALUE"""),236.16)</f>
        <v/>
      </c>
      <c r="E431" s="141">
        <f>IFERROR(__xludf.DUMMYFUNCTION("""COMPUTED_VALUE"""),224.22)</f>
        <v/>
      </c>
      <c r="F431" s="141">
        <f>IFERROR(__xludf.DUMMYFUNCTION("""COMPUTED_VALUE"""),227.48)</f>
        <v/>
      </c>
      <c r="G431" s="143">
        <f>IFERROR(__xludf.DUMMYFUNCTION("""COMPUTED_VALUE"""),72071197)</f>
        <v/>
      </c>
      <c r="H431" s="27" t="n"/>
    </row>
    <row r="432" ht="17.25" customHeight="1" s="322">
      <c r="A432" s="27" t="n"/>
      <c r="B432" s="506">
        <f>IFERROR(__xludf.DUMMYFUNCTION("""COMPUTED_VALUE"""),45727.6666666666)</f>
        <v/>
      </c>
      <c r="C432" s="141">
        <f>IFERROR(__xludf.DUMMYFUNCTION("""COMPUTED_VALUE"""),223.81)</f>
        <v/>
      </c>
      <c r="D432" s="141">
        <f>IFERROR(__xludf.DUMMYFUNCTION("""COMPUTED_VALUE"""),225.84)</f>
        <v/>
      </c>
      <c r="E432" s="141">
        <f>IFERROR(__xludf.DUMMYFUNCTION("""COMPUTED_VALUE"""),217.45)</f>
        <v/>
      </c>
      <c r="F432" s="141">
        <f>IFERROR(__xludf.DUMMYFUNCTION("""COMPUTED_VALUE"""),220.84)</f>
        <v/>
      </c>
      <c r="G432" s="143">
        <f>IFERROR(__xludf.DUMMYFUNCTION("""COMPUTED_VALUE"""),76137410)</f>
        <v/>
      </c>
      <c r="H432" s="27" t="n"/>
    </row>
    <row r="433" ht="17.25" customHeight="1" s="322">
      <c r="A433" s="27" t="n"/>
      <c r="B433" s="506">
        <f>IFERROR(__xludf.DUMMYFUNCTION("""COMPUTED_VALUE"""),45728.6666666666)</f>
        <v/>
      </c>
      <c r="C433" s="141">
        <f>IFERROR(__xludf.DUMMYFUNCTION("""COMPUTED_VALUE"""),220.14)</f>
        <v/>
      </c>
      <c r="D433" s="141">
        <f>IFERROR(__xludf.DUMMYFUNCTION("""COMPUTED_VALUE"""),221.75)</f>
        <v/>
      </c>
      <c r="E433" s="141">
        <f>IFERROR(__xludf.DUMMYFUNCTION("""COMPUTED_VALUE"""),214.91)</f>
        <v/>
      </c>
      <c r="F433" s="141">
        <f>IFERROR(__xludf.DUMMYFUNCTION("""COMPUTED_VALUE"""),216.98)</f>
        <v/>
      </c>
      <c r="G433" s="143">
        <f>IFERROR(__xludf.DUMMYFUNCTION("""COMPUTED_VALUE"""),62547467)</f>
        <v/>
      </c>
      <c r="H433" s="27" t="n"/>
    </row>
    <row r="434" ht="17.25" customHeight="1" s="322">
      <c r="A434" s="27" t="n"/>
      <c r="B434" s="506">
        <f>IFERROR(__xludf.DUMMYFUNCTION("""COMPUTED_VALUE"""),45729.6666666666)</f>
        <v/>
      </c>
      <c r="C434" s="141">
        <f>IFERROR(__xludf.DUMMYFUNCTION("""COMPUTED_VALUE"""),215.95)</f>
        <v/>
      </c>
      <c r="D434" s="141">
        <f>IFERROR(__xludf.DUMMYFUNCTION("""COMPUTED_VALUE"""),216.84)</f>
        <v/>
      </c>
      <c r="E434" s="141">
        <f>IFERROR(__xludf.DUMMYFUNCTION("""COMPUTED_VALUE"""),208.42)</f>
        <v/>
      </c>
      <c r="F434" s="141">
        <f>IFERROR(__xludf.DUMMYFUNCTION("""COMPUTED_VALUE"""),209.68)</f>
        <v/>
      </c>
      <c r="G434" s="143">
        <f>IFERROR(__xludf.DUMMYFUNCTION("""COMPUTED_VALUE"""),61368330)</f>
        <v/>
      </c>
      <c r="H434" s="27" t="n"/>
    </row>
    <row r="435" ht="17.25" customHeight="1" s="322">
      <c r="A435" s="27" t="n"/>
      <c r="B435" s="506">
        <f>IFERROR(__xludf.DUMMYFUNCTION("""COMPUTED_VALUE"""),45730.6666666666)</f>
        <v/>
      </c>
      <c r="C435" s="141">
        <f>IFERROR(__xludf.DUMMYFUNCTION("""COMPUTED_VALUE"""),211.25)</f>
        <v/>
      </c>
      <c r="D435" s="141">
        <f>IFERROR(__xludf.DUMMYFUNCTION("""COMPUTED_VALUE"""),213.95)</f>
        <v/>
      </c>
      <c r="E435" s="141">
        <f>IFERROR(__xludf.DUMMYFUNCTION("""COMPUTED_VALUE"""),209.58)</f>
        <v/>
      </c>
      <c r="F435" s="141">
        <f>IFERROR(__xludf.DUMMYFUNCTION("""COMPUTED_VALUE"""),213.49)</f>
        <v/>
      </c>
      <c r="G435" s="143">
        <f>IFERROR(__xludf.DUMMYFUNCTION("""COMPUTED_VALUE"""),60107582)</f>
        <v/>
      </c>
      <c r="H435" s="27" t="n"/>
    </row>
    <row r="436" ht="17.25" customHeight="1" s="322">
      <c r="A436" s="27" t="n"/>
      <c r="B436" s="506">
        <f>IFERROR(__xludf.DUMMYFUNCTION("""COMPUTED_VALUE"""),45733.6666666666)</f>
        <v/>
      </c>
      <c r="C436" s="141">
        <f>IFERROR(__xludf.DUMMYFUNCTION("""COMPUTED_VALUE"""),213.31)</f>
        <v/>
      </c>
      <c r="D436" s="141">
        <f>IFERROR(__xludf.DUMMYFUNCTION("""COMPUTED_VALUE"""),215.22)</f>
        <v/>
      </c>
      <c r="E436" s="141">
        <f>IFERROR(__xludf.DUMMYFUNCTION("""COMPUTED_VALUE"""),209.97)</f>
        <v/>
      </c>
      <c r="F436" s="141">
        <f>IFERROR(__xludf.DUMMYFUNCTION("""COMPUTED_VALUE"""),214)</f>
        <v/>
      </c>
      <c r="G436" s="143">
        <f>IFERROR(__xludf.DUMMYFUNCTION("""COMPUTED_VALUE"""),48073426)</f>
        <v/>
      </c>
      <c r="H436" s="27" t="n"/>
    </row>
    <row r="437" ht="17.25" customHeight="1" s="322">
      <c r="A437" s="27" t="n"/>
      <c r="B437" s="506">
        <f>IFERROR(__xludf.DUMMYFUNCTION("""COMPUTED_VALUE"""),45734.6666666666)</f>
        <v/>
      </c>
      <c r="C437" s="141">
        <f>IFERROR(__xludf.DUMMYFUNCTION("""COMPUTED_VALUE"""),214.16)</f>
        <v/>
      </c>
      <c r="D437" s="141">
        <f>IFERROR(__xludf.DUMMYFUNCTION("""COMPUTED_VALUE"""),215.15)</f>
        <v/>
      </c>
      <c r="E437" s="141">
        <f>IFERROR(__xludf.DUMMYFUNCTION("""COMPUTED_VALUE"""),211.49)</f>
        <v/>
      </c>
      <c r="F437" s="141">
        <f>IFERROR(__xludf.DUMMYFUNCTION("""COMPUTED_VALUE"""),212.69)</f>
        <v/>
      </c>
      <c r="G437" s="143">
        <f>IFERROR(__xludf.DUMMYFUNCTION("""COMPUTED_VALUE"""),42432426)</f>
        <v/>
      </c>
      <c r="H437" s="27" t="n"/>
    </row>
    <row r="438" ht="17.25" customHeight="1" s="322">
      <c r="A438" s="27" t="n"/>
      <c r="B438" s="506">
        <f>IFERROR(__xludf.DUMMYFUNCTION("""COMPUTED_VALUE"""),45735.6666666666)</f>
        <v/>
      </c>
      <c r="C438" s="141">
        <f>IFERROR(__xludf.DUMMYFUNCTION("""COMPUTED_VALUE"""),214.22)</f>
        <v/>
      </c>
      <c r="D438" s="141">
        <f>IFERROR(__xludf.DUMMYFUNCTION("""COMPUTED_VALUE"""),218.76)</f>
        <v/>
      </c>
      <c r="E438" s="141">
        <f>IFERROR(__xludf.DUMMYFUNCTION("""COMPUTED_VALUE"""),213.75)</f>
        <v/>
      </c>
      <c r="F438" s="141">
        <f>IFERROR(__xludf.DUMMYFUNCTION("""COMPUTED_VALUE"""),215.24)</f>
        <v/>
      </c>
      <c r="G438" s="143">
        <f>IFERROR(__xludf.DUMMYFUNCTION("""COMPUTED_VALUE"""),54385391)</f>
        <v/>
      </c>
      <c r="H438" s="27" t="n"/>
    </row>
    <row r="439" ht="17.25" customHeight="1" s="322">
      <c r="A439" s="27" t="n"/>
      <c r="B439" s="506">
        <f>IFERROR(__xludf.DUMMYFUNCTION("""COMPUTED_VALUE"""),45736.6666666666)</f>
        <v/>
      </c>
      <c r="C439" s="141">
        <f>IFERROR(__xludf.DUMMYFUNCTION("""COMPUTED_VALUE"""),213.99)</f>
        <v/>
      </c>
      <c r="D439" s="141">
        <f>IFERROR(__xludf.DUMMYFUNCTION("""COMPUTED_VALUE"""),217.49)</f>
        <v/>
      </c>
      <c r="E439" s="141">
        <f>IFERROR(__xludf.DUMMYFUNCTION("""COMPUTED_VALUE"""),212.22)</f>
        <v/>
      </c>
      <c r="F439" s="141">
        <f>IFERROR(__xludf.DUMMYFUNCTION("""COMPUTED_VALUE"""),214.1)</f>
        <v/>
      </c>
      <c r="G439" s="143">
        <f>IFERROR(__xludf.DUMMYFUNCTION("""COMPUTED_VALUE"""),48862947)</f>
        <v/>
      </c>
      <c r="H439" s="27" t="n"/>
    </row>
    <row r="440" ht="17.25" customHeight="1" s="322">
      <c r="A440" s="27" t="n"/>
      <c r="B440" s="506">
        <f>IFERROR(__xludf.DUMMYFUNCTION("""COMPUTED_VALUE"""),45737.6666666666)</f>
        <v/>
      </c>
      <c r="C440" s="141">
        <f>IFERROR(__xludf.DUMMYFUNCTION("""COMPUTED_VALUE"""),211.56)</f>
        <v/>
      </c>
      <c r="D440" s="141">
        <f>IFERROR(__xludf.DUMMYFUNCTION("""COMPUTED_VALUE"""),218.84)</f>
        <v/>
      </c>
      <c r="E440" s="141">
        <f>IFERROR(__xludf.DUMMYFUNCTION("""COMPUTED_VALUE"""),211.28)</f>
        <v/>
      </c>
      <c r="F440" s="141">
        <f>IFERROR(__xludf.DUMMYFUNCTION("""COMPUTED_VALUE"""),218.27)</f>
        <v/>
      </c>
      <c r="G440" s="143">
        <f>IFERROR(__xludf.DUMMYFUNCTION("""COMPUTED_VALUE"""),94127768)</f>
        <v/>
      </c>
      <c r="H440" s="27" t="n"/>
    </row>
    <row r="441" ht="17.25" customHeight="1" s="322">
      <c r="A441" s="27" t="n"/>
      <c r="B441" s="506">
        <f>IFERROR(__xludf.DUMMYFUNCTION("""COMPUTED_VALUE"""),45740.6666666666)</f>
        <v/>
      </c>
      <c r="C441" s="141">
        <f>IFERROR(__xludf.DUMMYFUNCTION("""COMPUTED_VALUE"""),221)</f>
        <v/>
      </c>
      <c r="D441" s="141">
        <f>IFERROR(__xludf.DUMMYFUNCTION("""COMPUTED_VALUE"""),221.48)</f>
        <v/>
      </c>
      <c r="E441" s="141">
        <f>IFERROR(__xludf.DUMMYFUNCTION("""COMPUTED_VALUE"""),218.58)</f>
        <v/>
      </c>
      <c r="F441" s="141">
        <f>IFERROR(__xludf.DUMMYFUNCTION("""COMPUTED_VALUE"""),220.73)</f>
        <v/>
      </c>
      <c r="G441" s="143">
        <f>IFERROR(__xludf.DUMMYFUNCTION("""COMPUTED_VALUE"""),44299483)</f>
        <v/>
      </c>
      <c r="H441" s="27" t="n"/>
    </row>
    <row r="442" ht="17.25" customHeight="1" s="322">
      <c r="A442" s="27" t="n"/>
      <c r="B442" s="506">
        <f>IFERROR(__xludf.DUMMYFUNCTION("""COMPUTED_VALUE"""),45741.6666666666)</f>
        <v/>
      </c>
      <c r="C442" s="141">
        <f>IFERROR(__xludf.DUMMYFUNCTION("""COMPUTED_VALUE"""),220.77)</f>
        <v/>
      </c>
      <c r="D442" s="141">
        <f>IFERROR(__xludf.DUMMYFUNCTION("""COMPUTED_VALUE"""),224.1)</f>
        <v/>
      </c>
      <c r="E442" s="141">
        <f>IFERROR(__xludf.DUMMYFUNCTION("""COMPUTED_VALUE"""),220.08)</f>
        <v/>
      </c>
      <c r="F442" s="141">
        <f>IFERROR(__xludf.DUMMYFUNCTION("""COMPUTED_VALUE"""),223.75)</f>
        <v/>
      </c>
      <c r="G442" s="143">
        <f>IFERROR(__xludf.DUMMYFUNCTION("""COMPUTED_VALUE"""),34493583)</f>
        <v/>
      </c>
      <c r="H442" s="27" t="n"/>
    </row>
    <row r="443" ht="17.25" customHeight="1" s="322">
      <c r="A443" s="27" t="n"/>
      <c r="B443" s="506">
        <f>IFERROR(__xludf.DUMMYFUNCTION("""COMPUTED_VALUE"""),45742.6666666666)</f>
        <v/>
      </c>
      <c r="C443" s="141">
        <f>IFERROR(__xludf.DUMMYFUNCTION("""COMPUTED_VALUE"""),223.51)</f>
        <v/>
      </c>
      <c r="D443" s="141">
        <f>IFERROR(__xludf.DUMMYFUNCTION("""COMPUTED_VALUE"""),225.02)</f>
        <v/>
      </c>
      <c r="E443" s="141">
        <f>IFERROR(__xludf.DUMMYFUNCTION("""COMPUTED_VALUE"""),220.47)</f>
        <v/>
      </c>
      <c r="F443" s="141">
        <f>IFERROR(__xludf.DUMMYFUNCTION("""COMPUTED_VALUE"""),221.53)</f>
        <v/>
      </c>
      <c r="G443" s="143">
        <f>IFERROR(__xludf.DUMMYFUNCTION("""COMPUTED_VALUE"""),34532656)</f>
        <v/>
      </c>
      <c r="H443" s="27" t="n"/>
    </row>
    <row r="444" ht="17.25" customHeight="1" s="322">
      <c r="A444" s="27" t="n"/>
      <c r="B444" s="506">
        <f>IFERROR(__xludf.DUMMYFUNCTION("""COMPUTED_VALUE"""),45743.6666666666)</f>
        <v/>
      </c>
      <c r="C444" s="141">
        <f>IFERROR(__xludf.DUMMYFUNCTION("""COMPUTED_VALUE"""),221.39)</f>
        <v/>
      </c>
      <c r="D444" s="141">
        <f>IFERROR(__xludf.DUMMYFUNCTION("""COMPUTED_VALUE"""),224.99)</f>
        <v/>
      </c>
      <c r="E444" s="141">
        <f>IFERROR(__xludf.DUMMYFUNCTION("""COMPUTED_VALUE"""),220.56)</f>
        <v/>
      </c>
      <c r="F444" s="141">
        <f>IFERROR(__xludf.DUMMYFUNCTION("""COMPUTED_VALUE"""),223.85)</f>
        <v/>
      </c>
      <c r="G444" s="143">
        <f>IFERROR(__xludf.DUMMYFUNCTION("""COMPUTED_VALUE"""),37094774)</f>
        <v/>
      </c>
      <c r="H444" s="27" t="n"/>
    </row>
    <row r="445" ht="17.25" customHeight="1" s="322">
      <c r="A445" s="27" t="n"/>
      <c r="B445" s="506">
        <f>IFERROR(__xludf.DUMMYFUNCTION("""COMPUTED_VALUE"""),45744.6666666666)</f>
        <v/>
      </c>
      <c r="C445" s="141">
        <f>IFERROR(__xludf.DUMMYFUNCTION("""COMPUTED_VALUE"""),221.67)</f>
        <v/>
      </c>
      <c r="D445" s="141">
        <f>IFERROR(__xludf.DUMMYFUNCTION("""COMPUTED_VALUE"""),223.81)</f>
        <v/>
      </c>
      <c r="E445" s="141">
        <f>IFERROR(__xludf.DUMMYFUNCTION("""COMPUTED_VALUE"""),217.68)</f>
        <v/>
      </c>
      <c r="F445" s="141">
        <f>IFERROR(__xludf.DUMMYFUNCTION("""COMPUTED_VALUE"""),217.9)</f>
        <v/>
      </c>
      <c r="G445" s="143">
        <f>IFERROR(__xludf.DUMMYFUNCTION("""COMPUTED_VALUE"""),39818617)</f>
        <v/>
      </c>
      <c r="H445" s="27" t="n"/>
    </row>
    <row r="446" ht="17.25" customHeight="1" s="322">
      <c r="A446" s="27" t="n"/>
      <c r="B446" s="506">
        <f>IFERROR(__xludf.DUMMYFUNCTION("""COMPUTED_VALUE"""),45747.6666666666)</f>
        <v/>
      </c>
      <c r="C446" s="141">
        <f>IFERROR(__xludf.DUMMYFUNCTION("""COMPUTED_VALUE"""),217.01)</f>
        <v/>
      </c>
      <c r="D446" s="141">
        <f>IFERROR(__xludf.DUMMYFUNCTION("""COMPUTED_VALUE"""),225.62)</f>
        <v/>
      </c>
      <c r="E446" s="141">
        <f>IFERROR(__xludf.DUMMYFUNCTION("""COMPUTED_VALUE"""),216.23)</f>
        <v/>
      </c>
      <c r="F446" s="141">
        <f>IFERROR(__xludf.DUMMYFUNCTION("""COMPUTED_VALUE"""),222.13)</f>
        <v/>
      </c>
      <c r="G446" s="143">
        <f>IFERROR(__xludf.DUMMYFUNCTION("""COMPUTED_VALUE"""),65299321)</f>
        <v/>
      </c>
      <c r="H446" s="27" t="n"/>
    </row>
    <row r="447" ht="17.25" customHeight="1" s="322">
      <c r="A447" s="27" t="n"/>
      <c r="B447" s="506">
        <f>IFERROR(__xludf.DUMMYFUNCTION("""COMPUTED_VALUE"""),45748.6666666666)</f>
        <v/>
      </c>
      <c r="C447" s="141">
        <f>IFERROR(__xludf.DUMMYFUNCTION("""COMPUTED_VALUE"""),219.81)</f>
        <v/>
      </c>
      <c r="D447" s="141">
        <f>IFERROR(__xludf.DUMMYFUNCTION("""COMPUTED_VALUE"""),223.68)</f>
        <v/>
      </c>
      <c r="E447" s="141">
        <f>IFERROR(__xludf.DUMMYFUNCTION("""COMPUTED_VALUE"""),218.9)</f>
        <v/>
      </c>
      <c r="F447" s="141">
        <f>IFERROR(__xludf.DUMMYFUNCTION("""COMPUTED_VALUE"""),223.19)</f>
        <v/>
      </c>
      <c r="G447" s="143">
        <f>IFERROR(__xludf.DUMMYFUNCTION("""COMPUTED_VALUE"""),36412740)</f>
        <v/>
      </c>
      <c r="H447" s="27" t="n"/>
    </row>
    <row r="448" ht="17.25" customHeight="1" s="322">
      <c r="A448" s="27" t="n"/>
      <c r="B448" s="506">
        <f>IFERROR(__xludf.DUMMYFUNCTION("""COMPUTED_VALUE"""),45749.6666666666)</f>
        <v/>
      </c>
      <c r="C448" s="141">
        <f>IFERROR(__xludf.DUMMYFUNCTION("""COMPUTED_VALUE"""),221.32)</f>
        <v/>
      </c>
      <c r="D448" s="141">
        <f>IFERROR(__xludf.DUMMYFUNCTION("""COMPUTED_VALUE"""),225.19)</f>
        <v/>
      </c>
      <c r="E448" s="141">
        <f>IFERROR(__xludf.DUMMYFUNCTION("""COMPUTED_VALUE"""),221.02)</f>
        <v/>
      </c>
      <c r="F448" s="141">
        <f>IFERROR(__xludf.DUMMYFUNCTION("""COMPUTED_VALUE"""),223.89)</f>
        <v/>
      </c>
      <c r="G448" s="143">
        <f>IFERROR(__xludf.DUMMYFUNCTION("""COMPUTED_VALUE"""),35905904)</f>
        <v/>
      </c>
      <c r="H448" s="27" t="n"/>
    </row>
    <row r="449" ht="17.25" customHeight="1" s="322">
      <c r="A449" s="27" t="n"/>
      <c r="B449" s="506">
        <f>IFERROR(__xludf.DUMMYFUNCTION("""COMPUTED_VALUE"""),45750.6666666666)</f>
        <v/>
      </c>
      <c r="C449" s="141">
        <f>IFERROR(__xludf.DUMMYFUNCTION("""COMPUTED_VALUE"""),205.54)</f>
        <v/>
      </c>
      <c r="D449" s="141">
        <f>IFERROR(__xludf.DUMMYFUNCTION("""COMPUTED_VALUE"""),207.49)</f>
        <v/>
      </c>
      <c r="E449" s="141">
        <f>IFERROR(__xludf.DUMMYFUNCTION("""COMPUTED_VALUE"""),201.25)</f>
        <v/>
      </c>
      <c r="F449" s="141">
        <f>IFERROR(__xludf.DUMMYFUNCTION("""COMPUTED_VALUE"""),203.19)</f>
        <v/>
      </c>
      <c r="G449" s="143">
        <f>IFERROR(__xludf.DUMMYFUNCTION("""COMPUTED_VALUE"""),103419006)</f>
        <v/>
      </c>
      <c r="H449" s="27" t="n"/>
    </row>
    <row r="450" ht="17.25" customHeight="1" s="322">
      <c r="A450" s="27" t="n"/>
      <c r="B450" s="506">
        <f>IFERROR(__xludf.DUMMYFUNCTION("""COMPUTED_VALUE"""),45751.6666666666)</f>
        <v/>
      </c>
      <c r="C450" s="141">
        <f>IFERROR(__xludf.DUMMYFUNCTION("""COMPUTED_VALUE"""),193.89)</f>
        <v/>
      </c>
      <c r="D450" s="141">
        <f>IFERROR(__xludf.DUMMYFUNCTION("""COMPUTED_VALUE"""),199.88)</f>
        <v/>
      </c>
      <c r="E450" s="141">
        <f>IFERROR(__xludf.DUMMYFUNCTION("""COMPUTED_VALUE"""),187.34)</f>
        <v/>
      </c>
      <c r="F450" s="141">
        <f>IFERROR(__xludf.DUMMYFUNCTION("""COMPUTED_VALUE"""),188.38)</f>
        <v/>
      </c>
      <c r="G450" s="143">
        <f>IFERROR(__xludf.DUMMYFUNCTION("""COMPUTED_VALUE"""),125910913)</f>
        <v/>
      </c>
      <c r="H450" s="27" t="n"/>
    </row>
    <row r="451" ht="17.25" customHeight="1" s="322">
      <c r="A451" s="27" t="n"/>
      <c r="B451" s="506">
        <f>IFERROR(__xludf.DUMMYFUNCTION("""COMPUTED_VALUE"""),45754.6666666666)</f>
        <v/>
      </c>
      <c r="C451" s="141">
        <f>IFERROR(__xludf.DUMMYFUNCTION("""COMPUTED_VALUE"""),177.2)</f>
        <v/>
      </c>
      <c r="D451" s="141">
        <f>IFERROR(__xludf.DUMMYFUNCTION("""COMPUTED_VALUE"""),194.15)</f>
        <v/>
      </c>
      <c r="E451" s="141">
        <f>IFERROR(__xludf.DUMMYFUNCTION("""COMPUTED_VALUE"""),174.62)</f>
        <v/>
      </c>
      <c r="F451" s="141">
        <f>IFERROR(__xludf.DUMMYFUNCTION("""COMPUTED_VALUE"""),181.46)</f>
        <v/>
      </c>
      <c r="G451" s="143">
        <f>IFERROR(__xludf.DUMMYFUNCTION("""COMPUTED_VALUE"""),160466286)</f>
        <v/>
      </c>
      <c r="H451" s="27" t="n"/>
    </row>
    <row r="452" ht="17.25" customHeight="1" s="322">
      <c r="A452" s="27" t="n"/>
      <c r="B452" s="506">
        <f>IFERROR(__xludf.DUMMYFUNCTION("""COMPUTED_VALUE"""),45755.6666666666)</f>
        <v/>
      </c>
      <c r="C452" s="141">
        <f>IFERROR(__xludf.DUMMYFUNCTION("""COMPUTED_VALUE"""),186.7)</f>
        <v/>
      </c>
      <c r="D452" s="141">
        <f>IFERROR(__xludf.DUMMYFUNCTION("""COMPUTED_VALUE"""),190.34)</f>
        <v/>
      </c>
      <c r="E452" s="141">
        <f>IFERROR(__xludf.DUMMYFUNCTION("""COMPUTED_VALUE"""),169.21)</f>
        <v/>
      </c>
      <c r="F452" s="141">
        <f>IFERROR(__xludf.DUMMYFUNCTION("""COMPUTED_VALUE"""),172.42)</f>
        <v/>
      </c>
      <c r="G452" s="143">
        <f>IFERROR(__xludf.DUMMYFUNCTION("""COMPUTED_VALUE"""),120859491)</f>
        <v/>
      </c>
      <c r="H452" s="27" t="n"/>
    </row>
    <row r="453" ht="17.25" customHeight="1" s="322">
      <c r="A453" s="27" t="n"/>
      <c r="B453" s="506">
        <f>IFERROR(__xludf.DUMMYFUNCTION("""COMPUTED_VALUE"""),45756.6666666666)</f>
        <v/>
      </c>
      <c r="C453" s="141">
        <f>IFERROR(__xludf.DUMMYFUNCTION("""COMPUTED_VALUE"""),171.95)</f>
        <v/>
      </c>
      <c r="D453" s="141">
        <f>IFERROR(__xludf.DUMMYFUNCTION("""COMPUTED_VALUE"""),200.61)</f>
        <v/>
      </c>
      <c r="E453" s="141">
        <f>IFERROR(__xludf.DUMMYFUNCTION("""COMPUTED_VALUE"""),171.89)</f>
        <v/>
      </c>
      <c r="F453" s="141">
        <f>IFERROR(__xludf.DUMMYFUNCTION("""COMPUTED_VALUE"""),198.85)</f>
        <v/>
      </c>
      <c r="G453" s="143">
        <f>IFERROR(__xludf.DUMMYFUNCTION("""COMPUTED_VALUE"""),184395885)</f>
        <v/>
      </c>
      <c r="H453" s="27" t="n"/>
    </row>
    <row r="454" ht="17.25" customHeight="1" s="322">
      <c r="A454" s="27" t="n"/>
      <c r="B454" s="506">
        <f>IFERROR(__xludf.DUMMYFUNCTION("""COMPUTED_VALUE"""),45757.6666666666)</f>
        <v/>
      </c>
      <c r="C454" s="141">
        <f>IFERROR(__xludf.DUMMYFUNCTION("""COMPUTED_VALUE"""),189.07)</f>
        <v/>
      </c>
      <c r="D454" s="141">
        <f>IFERROR(__xludf.DUMMYFUNCTION("""COMPUTED_VALUE"""),194.78)</f>
        <v/>
      </c>
      <c r="E454" s="141">
        <f>IFERROR(__xludf.DUMMYFUNCTION("""COMPUTED_VALUE"""),183)</f>
        <v/>
      </c>
      <c r="F454" s="141">
        <f>IFERROR(__xludf.DUMMYFUNCTION("""COMPUTED_VALUE"""),190.42)</f>
        <v/>
      </c>
      <c r="G454" s="143">
        <f>IFERROR(__xludf.DUMMYFUNCTION("""COMPUTED_VALUE"""),121879981)</f>
        <v/>
      </c>
      <c r="H454" s="27" t="n"/>
    </row>
    <row r="455" ht="17.25" customHeight="1" s="322">
      <c r="A455" s="27" t="n"/>
      <c r="B455" s="506">
        <f>IFERROR(__xludf.DUMMYFUNCTION("""COMPUTED_VALUE"""),45758.6666666666)</f>
        <v/>
      </c>
      <c r="C455" s="141">
        <f>IFERROR(__xludf.DUMMYFUNCTION("""COMPUTED_VALUE"""),186.1)</f>
        <v/>
      </c>
      <c r="D455" s="141">
        <f>IFERROR(__xludf.DUMMYFUNCTION("""COMPUTED_VALUE"""),199.54)</f>
        <v/>
      </c>
      <c r="E455" s="141">
        <f>IFERROR(__xludf.DUMMYFUNCTION("""COMPUTED_VALUE"""),186.06)</f>
        <v/>
      </c>
      <c r="F455" s="141">
        <f>IFERROR(__xludf.DUMMYFUNCTION("""COMPUTED_VALUE"""),198.15)</f>
        <v/>
      </c>
      <c r="G455" s="143">
        <f>IFERROR(__xludf.DUMMYFUNCTION("""COMPUTED_VALUE"""),87435915)</f>
        <v/>
      </c>
      <c r="H455" s="27" t="n"/>
    </row>
    <row r="456" ht="17.25" customHeight="1" s="322">
      <c r="A456" s="27" t="n"/>
      <c r="B456" s="506">
        <f>IFERROR(__xludf.DUMMYFUNCTION("""COMPUTED_VALUE"""),45761.6666666666)</f>
        <v/>
      </c>
      <c r="C456" s="141">
        <f>IFERROR(__xludf.DUMMYFUNCTION("""COMPUTED_VALUE"""),211.44)</f>
        <v/>
      </c>
      <c r="D456" s="141">
        <f>IFERROR(__xludf.DUMMYFUNCTION("""COMPUTED_VALUE"""),212.94)</f>
        <v/>
      </c>
      <c r="E456" s="141">
        <f>IFERROR(__xludf.DUMMYFUNCTION("""COMPUTED_VALUE"""),201.16)</f>
        <v/>
      </c>
      <c r="F456" s="141">
        <f>IFERROR(__xludf.DUMMYFUNCTION("""COMPUTED_VALUE"""),202.52)</f>
        <v/>
      </c>
      <c r="G456" s="143">
        <f>IFERROR(__xludf.DUMMYFUNCTION("""COMPUTED_VALUE"""),101352911)</f>
        <v/>
      </c>
      <c r="H456" s="27" t="n"/>
    </row>
    <row r="457" ht="17.25" customHeight="1" s="322">
      <c r="A457" s="27" t="n"/>
      <c r="B457" s="506">
        <f>IFERROR(__xludf.DUMMYFUNCTION("""COMPUTED_VALUE"""),45762.6666666666)</f>
        <v/>
      </c>
      <c r="C457" s="141">
        <f>IFERROR(__xludf.DUMMYFUNCTION("""COMPUTED_VALUE"""),201.86)</f>
        <v/>
      </c>
      <c r="D457" s="141">
        <f>IFERROR(__xludf.DUMMYFUNCTION("""COMPUTED_VALUE"""),203.51)</f>
        <v/>
      </c>
      <c r="E457" s="141">
        <f>IFERROR(__xludf.DUMMYFUNCTION("""COMPUTED_VALUE"""),199.8)</f>
        <v/>
      </c>
      <c r="F457" s="141">
        <f>IFERROR(__xludf.DUMMYFUNCTION("""COMPUTED_VALUE"""),202.14)</f>
        <v/>
      </c>
      <c r="G457" s="143">
        <f>IFERROR(__xludf.DUMMYFUNCTION("""COMPUTED_VALUE"""),51343872)</f>
        <v/>
      </c>
      <c r="H457" s="27" t="n"/>
    </row>
    <row r="458" ht="17.25" customHeight="1" s="322">
      <c r="A458" s="27" t="n"/>
      <c r="B458" s="506">
        <f>IFERROR(__xludf.DUMMYFUNCTION("""COMPUTED_VALUE"""),45763.6666666666)</f>
        <v/>
      </c>
      <c r="C458" s="141">
        <f>IFERROR(__xludf.DUMMYFUNCTION("""COMPUTED_VALUE"""),198.36)</f>
        <v/>
      </c>
      <c r="D458" s="141">
        <f>IFERROR(__xludf.DUMMYFUNCTION("""COMPUTED_VALUE"""),200.7)</f>
        <v/>
      </c>
      <c r="E458" s="141">
        <f>IFERROR(__xludf.DUMMYFUNCTION("""COMPUTED_VALUE"""),192.37)</f>
        <v/>
      </c>
      <c r="F458" s="141">
        <f>IFERROR(__xludf.DUMMYFUNCTION("""COMPUTED_VALUE"""),194.27)</f>
        <v/>
      </c>
      <c r="G458" s="143">
        <f>IFERROR(__xludf.DUMMYFUNCTION("""COMPUTED_VALUE"""),59732423)</f>
        <v/>
      </c>
      <c r="H458" s="27" t="n"/>
    </row>
    <row r="459" ht="17.25" customHeight="1" s="322">
      <c r="A459" s="27" t="n"/>
      <c r="B459" s="506">
        <f>IFERROR(__xludf.DUMMYFUNCTION("""COMPUTED_VALUE"""),45764.6666666666)</f>
        <v/>
      </c>
      <c r="C459" s="141">
        <f>IFERROR(__xludf.DUMMYFUNCTION("""COMPUTED_VALUE"""),197.2)</f>
        <v/>
      </c>
      <c r="D459" s="141">
        <f>IFERROR(__xludf.DUMMYFUNCTION("""COMPUTED_VALUE"""),198.83)</f>
        <v/>
      </c>
      <c r="E459" s="141">
        <f>IFERROR(__xludf.DUMMYFUNCTION("""COMPUTED_VALUE"""),194.42)</f>
        <v/>
      </c>
      <c r="F459" s="141">
        <f>IFERROR(__xludf.DUMMYFUNCTION("""COMPUTED_VALUE"""),196.98)</f>
        <v/>
      </c>
      <c r="G459" s="143">
        <f>IFERROR(__xludf.DUMMYFUNCTION("""COMPUTED_VALUE"""),52164675)</f>
        <v/>
      </c>
      <c r="H459" s="27" t="n"/>
    </row>
    <row r="460" ht="17.25" customHeight="1" s="322">
      <c r="A460" s="27" t="n"/>
      <c r="B460" s="506">
        <f>IFERROR(__xludf.DUMMYFUNCTION("""COMPUTED_VALUE"""),45768.6666666666)</f>
        <v/>
      </c>
      <c r="C460" s="141">
        <f>IFERROR(__xludf.DUMMYFUNCTION("""COMPUTED_VALUE"""),193.27)</f>
        <v/>
      </c>
      <c r="D460" s="141">
        <f>IFERROR(__xludf.DUMMYFUNCTION("""COMPUTED_VALUE"""),193.8)</f>
        <v/>
      </c>
      <c r="E460" s="141">
        <f>IFERROR(__xludf.DUMMYFUNCTION("""COMPUTED_VALUE"""),189.81)</f>
        <v/>
      </c>
      <c r="F460" s="141">
        <f>IFERROR(__xludf.DUMMYFUNCTION("""COMPUTED_VALUE"""),193.16)</f>
        <v/>
      </c>
      <c r="G460" s="143">
        <f>IFERROR(__xludf.DUMMYFUNCTION("""COMPUTED_VALUE"""),46742537)</f>
        <v/>
      </c>
      <c r="H460" s="27" t="n"/>
    </row>
    <row r="461" ht="17.25" customHeight="1" s="322">
      <c r="A461" s="27" t="n"/>
      <c r="B461" s="506">
        <f>IFERROR(__xludf.DUMMYFUNCTION("""COMPUTED_VALUE"""),45769.6666666666)</f>
        <v/>
      </c>
      <c r="C461" s="141">
        <f>IFERROR(__xludf.DUMMYFUNCTION("""COMPUTED_VALUE"""),196.12)</f>
        <v/>
      </c>
      <c r="D461" s="141">
        <f>IFERROR(__xludf.DUMMYFUNCTION("""COMPUTED_VALUE"""),201.59)</f>
        <v/>
      </c>
      <c r="E461" s="141">
        <f>IFERROR(__xludf.DUMMYFUNCTION("""COMPUTED_VALUE"""),195.97)</f>
        <v/>
      </c>
      <c r="F461" s="141">
        <f>IFERROR(__xludf.DUMMYFUNCTION("""COMPUTED_VALUE"""),199.74)</f>
        <v/>
      </c>
      <c r="G461" s="143">
        <f>IFERROR(__xludf.DUMMYFUNCTION("""COMPUTED_VALUE"""),52976371)</f>
        <v/>
      </c>
      <c r="H461" s="27" t="n"/>
    </row>
    <row r="462" ht="17.25" customHeight="1" s="322">
      <c r="A462" s="27" t="n"/>
      <c r="B462" s="506">
        <f>IFERROR(__xludf.DUMMYFUNCTION("""COMPUTED_VALUE"""),45770.6666666666)</f>
        <v/>
      </c>
      <c r="C462" s="141">
        <f>IFERROR(__xludf.DUMMYFUNCTION("""COMPUTED_VALUE"""),206)</f>
        <v/>
      </c>
      <c r="D462" s="141">
        <f>IFERROR(__xludf.DUMMYFUNCTION("""COMPUTED_VALUE"""),208)</f>
        <v/>
      </c>
      <c r="E462" s="141">
        <f>IFERROR(__xludf.DUMMYFUNCTION("""COMPUTED_VALUE"""),202.8)</f>
        <v/>
      </c>
      <c r="F462" s="141">
        <f>IFERROR(__xludf.DUMMYFUNCTION("""COMPUTED_VALUE"""),204.6)</f>
        <v/>
      </c>
      <c r="G462" s="143">
        <f>IFERROR(__xludf.DUMMYFUNCTION("""COMPUTED_VALUE"""),52929165)</f>
        <v/>
      </c>
      <c r="H462" s="27" t="n"/>
    </row>
    <row r="463" ht="17.25" customHeight="1" s="322">
      <c r="A463" s="27" t="n"/>
      <c r="B463" s="506">
        <f>IFERROR(__xludf.DUMMYFUNCTION("""COMPUTED_VALUE"""),45771.6666666666)</f>
        <v/>
      </c>
      <c r="C463" s="141">
        <f>IFERROR(__xludf.DUMMYFUNCTION("""COMPUTED_VALUE"""),204.89)</f>
        <v/>
      </c>
      <c r="D463" s="141">
        <f>IFERROR(__xludf.DUMMYFUNCTION("""COMPUTED_VALUE"""),208.83)</f>
        <v/>
      </c>
      <c r="E463" s="141">
        <f>IFERROR(__xludf.DUMMYFUNCTION("""COMPUTED_VALUE"""),202.94)</f>
        <v/>
      </c>
      <c r="F463" s="141">
        <f>IFERROR(__xludf.DUMMYFUNCTION("""COMPUTED_VALUE"""),208.37)</f>
        <v/>
      </c>
      <c r="G463" s="143">
        <f>IFERROR(__xludf.DUMMYFUNCTION("""COMPUTED_VALUE"""),47310989)</f>
        <v/>
      </c>
      <c r="H463" s="27" t="n"/>
    </row>
    <row r="464" ht="17.25" customHeight="1" s="322">
      <c r="A464" s="27" t="n"/>
      <c r="B464" s="506">
        <f>IFERROR(__xludf.DUMMYFUNCTION("""COMPUTED_VALUE"""),45772.6666666666)</f>
        <v/>
      </c>
      <c r="C464" s="141">
        <f>IFERROR(__xludf.DUMMYFUNCTION("""COMPUTED_VALUE"""),206.37)</f>
        <v/>
      </c>
      <c r="D464" s="141">
        <f>IFERROR(__xludf.DUMMYFUNCTION("""COMPUTED_VALUE"""),209.75)</f>
        <v/>
      </c>
      <c r="E464" s="141">
        <f>IFERROR(__xludf.DUMMYFUNCTION("""COMPUTED_VALUE"""),206.2)</f>
        <v/>
      </c>
      <c r="F464" s="141">
        <f>IFERROR(__xludf.DUMMYFUNCTION("""COMPUTED_VALUE"""),209.28)</f>
        <v/>
      </c>
      <c r="G464" s="143">
        <f>IFERROR(__xludf.DUMMYFUNCTION("""COMPUTED_VALUE"""),38222258)</f>
        <v/>
      </c>
      <c r="H464" s="27" t="n"/>
    </row>
    <row r="465" ht="17.25" customHeight="1" s="322">
      <c r="A465" s="27" t="n"/>
      <c r="B465" s="506">
        <f>IFERROR(__xludf.DUMMYFUNCTION("""COMPUTED_VALUE"""),45775.6666666666)</f>
        <v/>
      </c>
      <c r="C465" s="141">
        <f>IFERROR(__xludf.DUMMYFUNCTION("""COMPUTED_VALUE"""),210)</f>
        <v/>
      </c>
      <c r="D465" s="141">
        <f>IFERROR(__xludf.DUMMYFUNCTION("""COMPUTED_VALUE"""),211.5)</f>
        <v/>
      </c>
      <c r="E465" s="141">
        <f>IFERROR(__xludf.DUMMYFUNCTION("""COMPUTED_VALUE"""),207.46)</f>
        <v/>
      </c>
      <c r="F465" s="141">
        <f>IFERROR(__xludf.DUMMYFUNCTION("""COMPUTED_VALUE"""),210.14)</f>
        <v/>
      </c>
      <c r="G465" s="143">
        <f>IFERROR(__xludf.DUMMYFUNCTION("""COMPUTED_VALUE"""),38743074)</f>
        <v/>
      </c>
      <c r="H465" s="27" t="n"/>
    </row>
    <row r="466" ht="17.25" customHeight="1" s="322">
      <c r="A466" s="27" t="n"/>
      <c r="B466" s="506">
        <f>IFERROR(__xludf.DUMMYFUNCTION("""COMPUTED_VALUE"""),45776.6666666666)</f>
        <v/>
      </c>
      <c r="C466" s="141">
        <f>IFERROR(__xludf.DUMMYFUNCTION("""COMPUTED_VALUE"""),208.69)</f>
        <v/>
      </c>
      <c r="D466" s="141">
        <f>IFERROR(__xludf.DUMMYFUNCTION("""COMPUTED_VALUE"""),212.24)</f>
        <v/>
      </c>
      <c r="E466" s="141">
        <f>IFERROR(__xludf.DUMMYFUNCTION("""COMPUTED_VALUE"""),208.37)</f>
        <v/>
      </c>
      <c r="F466" s="141">
        <f>IFERROR(__xludf.DUMMYFUNCTION("""COMPUTED_VALUE"""),211.21)</f>
        <v/>
      </c>
      <c r="G466" s="143">
        <f>IFERROR(__xludf.DUMMYFUNCTION("""COMPUTED_VALUE"""),36827633)</f>
        <v/>
      </c>
      <c r="H466" s="27" t="n"/>
    </row>
    <row r="467" ht="17.25" customHeight="1" s="322">
      <c r="A467" s="27" t="n"/>
      <c r="B467" s="506">
        <f>IFERROR(__xludf.DUMMYFUNCTION("""COMPUTED_VALUE"""),45777.6666666666)</f>
        <v/>
      </c>
      <c r="C467" s="141">
        <f>IFERROR(__xludf.DUMMYFUNCTION("""COMPUTED_VALUE"""),209.3)</f>
        <v/>
      </c>
      <c r="D467" s="141">
        <f>IFERROR(__xludf.DUMMYFUNCTION("""COMPUTED_VALUE"""),213.58)</f>
        <v/>
      </c>
      <c r="E467" s="141">
        <f>IFERROR(__xludf.DUMMYFUNCTION("""COMPUTED_VALUE"""),206.67)</f>
        <v/>
      </c>
      <c r="F467" s="141">
        <f>IFERROR(__xludf.DUMMYFUNCTION("""COMPUTED_VALUE"""),212.5)</f>
        <v/>
      </c>
      <c r="G467" s="143">
        <f>IFERROR(__xludf.DUMMYFUNCTION("""COMPUTED_VALUE"""),52286454)</f>
        <v/>
      </c>
      <c r="H467" s="27" t="n"/>
    </row>
    <row r="468" ht="17.25" customHeight="1" s="322">
      <c r="A468" s="27" t="n"/>
      <c r="B468" s="506">
        <f>IFERROR(__xludf.DUMMYFUNCTION("""COMPUTED_VALUE"""),45778.6666666666)</f>
        <v/>
      </c>
      <c r="C468" s="141">
        <f>IFERROR(__xludf.DUMMYFUNCTION("""COMPUTED_VALUE"""),209.08)</f>
        <v/>
      </c>
      <c r="D468" s="141">
        <f>IFERROR(__xludf.DUMMYFUNCTION("""COMPUTED_VALUE"""),214.56)</f>
        <v/>
      </c>
      <c r="E468" s="141">
        <f>IFERROR(__xludf.DUMMYFUNCTION("""COMPUTED_VALUE"""),208.9)</f>
        <v/>
      </c>
      <c r="F468" s="141">
        <f>IFERROR(__xludf.DUMMYFUNCTION("""COMPUTED_VALUE"""),213.32)</f>
        <v/>
      </c>
      <c r="G468" s="143">
        <f>IFERROR(__xludf.DUMMYFUNCTION("""COMPUTED_VALUE"""),57365675)</f>
        <v/>
      </c>
      <c r="H468" s="27" t="n"/>
    </row>
    <row r="469" ht="17.25" customHeight="1" s="322">
      <c r="A469" s="27" t="n"/>
      <c r="B469" s="506">
        <f>IFERROR(__xludf.DUMMYFUNCTION("""COMPUTED_VALUE"""),45779.6666666666)</f>
        <v/>
      </c>
      <c r="C469" s="141">
        <f>IFERROR(__xludf.DUMMYFUNCTION("""COMPUTED_VALUE"""),206.09)</f>
        <v/>
      </c>
      <c r="D469" s="141">
        <f>IFERROR(__xludf.DUMMYFUNCTION("""COMPUTED_VALUE"""),206.99)</f>
        <v/>
      </c>
      <c r="E469" s="141">
        <f>IFERROR(__xludf.DUMMYFUNCTION("""COMPUTED_VALUE"""),202.16)</f>
        <v/>
      </c>
      <c r="F469" s="141">
        <f>IFERROR(__xludf.DUMMYFUNCTION("""COMPUTED_VALUE"""),205.35)</f>
        <v/>
      </c>
      <c r="G469" s="143">
        <f>IFERROR(__xludf.DUMMYFUNCTION("""COMPUTED_VALUE"""),101010621)</f>
        <v/>
      </c>
      <c r="H469" s="27" t="n"/>
    </row>
    <row r="470" ht="17.25" customHeight="1" s="322">
      <c r="A470" s="27" t="n"/>
      <c r="B470" s="506">
        <f>IFERROR(__xludf.DUMMYFUNCTION("""COMPUTED_VALUE"""),45782.6666666666)</f>
        <v/>
      </c>
      <c r="C470" s="141">
        <f>IFERROR(__xludf.DUMMYFUNCTION("""COMPUTED_VALUE"""),203.1)</f>
        <v/>
      </c>
      <c r="D470" s="141">
        <f>IFERROR(__xludf.DUMMYFUNCTION("""COMPUTED_VALUE"""),204.1)</f>
        <v/>
      </c>
      <c r="E470" s="141">
        <f>IFERROR(__xludf.DUMMYFUNCTION("""COMPUTED_VALUE"""),198.21)</f>
        <v/>
      </c>
      <c r="F470" s="141">
        <f>IFERROR(__xludf.DUMMYFUNCTION("""COMPUTED_VALUE"""),198.89)</f>
        <v/>
      </c>
      <c r="G470" s="143">
        <f>IFERROR(__xludf.DUMMYFUNCTION("""COMPUTED_VALUE"""),69018452)</f>
        <v/>
      </c>
      <c r="H470" s="27" t="n"/>
    </row>
    <row r="471" ht="17.25" customHeight="1" s="322">
      <c r="A471" s="27" t="n"/>
      <c r="B471" s="506">
        <f>IFERROR(__xludf.DUMMYFUNCTION("""COMPUTED_VALUE"""),45783.6666666666)</f>
        <v/>
      </c>
      <c r="C471" s="141">
        <f>IFERROR(__xludf.DUMMYFUNCTION("""COMPUTED_VALUE"""),198.21)</f>
        <v/>
      </c>
      <c r="D471" s="141">
        <f>IFERROR(__xludf.DUMMYFUNCTION("""COMPUTED_VALUE"""),200.65)</f>
        <v/>
      </c>
      <c r="E471" s="141">
        <f>IFERROR(__xludf.DUMMYFUNCTION("""COMPUTED_VALUE"""),197.02)</f>
        <v/>
      </c>
      <c r="F471" s="141">
        <f>IFERROR(__xludf.DUMMYFUNCTION("""COMPUTED_VALUE"""),198.51)</f>
        <v/>
      </c>
      <c r="G471" s="143">
        <f>IFERROR(__xludf.DUMMYFUNCTION("""COMPUTED_VALUE"""),51216482)</f>
        <v/>
      </c>
      <c r="H471" s="27" t="n"/>
    </row>
    <row r="472" ht="17.25" customHeight="1" s="322">
      <c r="A472" s="27" t="n"/>
      <c r="B472" s="506">
        <f>IFERROR(__xludf.DUMMYFUNCTION("""COMPUTED_VALUE"""),45784.6666666666)</f>
        <v/>
      </c>
      <c r="C472" s="141">
        <f>IFERROR(__xludf.DUMMYFUNCTION("""COMPUTED_VALUE"""),199.17)</f>
        <v/>
      </c>
      <c r="D472" s="141">
        <f>IFERROR(__xludf.DUMMYFUNCTION("""COMPUTED_VALUE"""),199.44)</f>
        <v/>
      </c>
      <c r="E472" s="141">
        <f>IFERROR(__xludf.DUMMYFUNCTION("""COMPUTED_VALUE"""),193.25)</f>
        <v/>
      </c>
      <c r="F472" s="141">
        <f>IFERROR(__xludf.DUMMYFUNCTION("""COMPUTED_VALUE"""),196.25)</f>
        <v/>
      </c>
      <c r="G472" s="143">
        <f>IFERROR(__xludf.DUMMYFUNCTION("""COMPUTED_VALUE"""),68616943)</f>
        <v/>
      </c>
      <c r="H472" s="27" t="n"/>
    </row>
    <row r="473" ht="17.25" customHeight="1" s="322">
      <c r="A473" s="27" t="n"/>
      <c r="B473" s="506">
        <f>IFERROR(__xludf.DUMMYFUNCTION("""COMPUTED_VALUE"""),45785.6666666666)</f>
        <v/>
      </c>
      <c r="C473" s="141">
        <f>IFERROR(__xludf.DUMMYFUNCTION("""COMPUTED_VALUE"""),197.72)</f>
        <v/>
      </c>
      <c r="D473" s="141">
        <f>IFERROR(__xludf.DUMMYFUNCTION("""COMPUTED_VALUE"""),200.05)</f>
        <v/>
      </c>
      <c r="E473" s="141">
        <f>IFERROR(__xludf.DUMMYFUNCTION("""COMPUTED_VALUE"""),194.68)</f>
        <v/>
      </c>
      <c r="F473" s="141">
        <f>IFERROR(__xludf.DUMMYFUNCTION("""COMPUTED_VALUE"""),197.49)</f>
        <v/>
      </c>
      <c r="G473" s="143">
        <f>IFERROR(__xludf.DUMMYFUNCTION("""COMPUTED_VALUE"""),50478872)</f>
        <v/>
      </c>
      <c r="H473" s="27" t="n"/>
    </row>
    <row r="474" ht="17.25" customHeight="1" s="322">
      <c r="A474" s="27" t="n"/>
      <c r="B474" s="506">
        <f>IFERROR(__xludf.DUMMYFUNCTION("""COMPUTED_VALUE"""),45786.6666666666)</f>
        <v/>
      </c>
      <c r="C474" s="141">
        <f>IFERROR(__xludf.DUMMYFUNCTION("""COMPUTED_VALUE"""),199)</f>
        <v/>
      </c>
      <c r="D474" s="141">
        <f>IFERROR(__xludf.DUMMYFUNCTION("""COMPUTED_VALUE"""),200.54)</f>
        <v/>
      </c>
      <c r="E474" s="141">
        <f>IFERROR(__xludf.DUMMYFUNCTION("""COMPUTED_VALUE"""),197.54)</f>
        <v/>
      </c>
      <c r="F474" s="141">
        <f>IFERROR(__xludf.DUMMYFUNCTION("""COMPUTED_VALUE"""),198.53)</f>
        <v/>
      </c>
      <c r="G474" s="143">
        <f>IFERROR(__xludf.DUMMYFUNCTION("""COMPUTED_VALUE"""),36453923)</f>
        <v/>
      </c>
      <c r="H474" s="27" t="n"/>
    </row>
    <row r="475" ht="17.25" customHeight="1" s="322">
      <c r="A475" s="27" t="n"/>
      <c r="B475" s="506">
        <f>IFERROR(__xludf.DUMMYFUNCTION("""COMPUTED_VALUE"""),45789.6666666666)</f>
        <v/>
      </c>
      <c r="C475" s="141">
        <f>IFERROR(__xludf.DUMMYFUNCTION("""COMPUTED_VALUE"""),210.97)</f>
        <v/>
      </c>
      <c r="D475" s="141">
        <f>IFERROR(__xludf.DUMMYFUNCTION("""COMPUTED_VALUE"""),211.27)</f>
        <v/>
      </c>
      <c r="E475" s="141">
        <f>IFERROR(__xludf.DUMMYFUNCTION("""COMPUTED_VALUE"""),206.75)</f>
        <v/>
      </c>
      <c r="F475" s="141">
        <f>IFERROR(__xludf.DUMMYFUNCTION("""COMPUTED_VALUE"""),210.79)</f>
        <v/>
      </c>
      <c r="G475" s="143">
        <f>IFERROR(__xludf.DUMMYFUNCTION("""COMPUTED_VALUE"""),63775814)</f>
        <v/>
      </c>
      <c r="H475" s="27" t="n"/>
    </row>
    <row r="476" ht="17.25" customHeight="1" s="322">
      <c r="A476" s="27" t="n"/>
      <c r="B476" s="506">
        <f>IFERROR(__xludf.DUMMYFUNCTION("""COMPUTED_VALUE"""),45790.6666666666)</f>
        <v/>
      </c>
      <c r="C476" s="141">
        <f>IFERROR(__xludf.DUMMYFUNCTION("""COMPUTED_VALUE"""),210.43)</f>
        <v/>
      </c>
      <c r="D476" s="141">
        <f>IFERROR(__xludf.DUMMYFUNCTION("""COMPUTED_VALUE"""),213.4)</f>
        <v/>
      </c>
      <c r="E476" s="141">
        <f>IFERROR(__xludf.DUMMYFUNCTION("""COMPUTED_VALUE"""),209)</f>
        <v/>
      </c>
      <c r="F476" s="141">
        <f>IFERROR(__xludf.DUMMYFUNCTION("""COMPUTED_VALUE"""),212.93)</f>
        <v/>
      </c>
      <c r="G476" s="143">
        <f>IFERROR(__xludf.DUMMYFUNCTION("""COMPUTED_VALUE"""),51909332)</f>
        <v/>
      </c>
      <c r="H476" s="27" t="n"/>
    </row>
    <row r="477" ht="17.25" customHeight="1" s="322">
      <c r="A477" s="27" t="n"/>
      <c r="B477" s="506">
        <f>IFERROR(__xludf.DUMMYFUNCTION("""COMPUTED_VALUE"""),45791.6666666666)</f>
        <v/>
      </c>
      <c r="C477" s="141">
        <f>IFERROR(__xludf.DUMMYFUNCTION("""COMPUTED_VALUE"""),212.43)</f>
        <v/>
      </c>
      <c r="D477" s="141">
        <f>IFERROR(__xludf.DUMMYFUNCTION("""COMPUTED_VALUE"""),213.94)</f>
        <v/>
      </c>
      <c r="E477" s="141">
        <f>IFERROR(__xludf.DUMMYFUNCTION("""COMPUTED_VALUE"""),210.58)</f>
        <v/>
      </c>
      <c r="F477" s="141">
        <f>IFERROR(__xludf.DUMMYFUNCTION("""COMPUTED_VALUE"""),212.33)</f>
        <v/>
      </c>
      <c r="G477" s="143">
        <f>IFERROR(__xludf.DUMMYFUNCTION("""COMPUTED_VALUE"""),49325825)</f>
        <v/>
      </c>
      <c r="H477" s="27" t="n"/>
    </row>
    <row r="478" ht="17.25" customHeight="1" s="322">
      <c r="A478" s="27" t="n"/>
      <c r="B478" s="506">
        <f>IFERROR(__xludf.DUMMYFUNCTION("""COMPUTED_VALUE"""),45792.6666666666)</f>
        <v/>
      </c>
      <c r="C478" s="141">
        <f>IFERROR(__xludf.DUMMYFUNCTION("""COMPUTED_VALUE"""),210.95)</f>
        <v/>
      </c>
      <c r="D478" s="141">
        <f>IFERROR(__xludf.DUMMYFUNCTION("""COMPUTED_VALUE"""),212.96)</f>
        <v/>
      </c>
      <c r="E478" s="141">
        <f>IFERROR(__xludf.DUMMYFUNCTION("""COMPUTED_VALUE"""),209.54)</f>
        <v/>
      </c>
      <c r="F478" s="141">
        <f>IFERROR(__xludf.DUMMYFUNCTION("""COMPUTED_VALUE"""),211.45)</f>
        <v/>
      </c>
      <c r="G478" s="143">
        <f>IFERROR(__xludf.DUMMYFUNCTION("""COMPUTED_VALUE"""),45029473)</f>
        <v/>
      </c>
      <c r="H478" s="27" t="n"/>
    </row>
    <row r="479" ht="17.25" customHeight="1" s="322">
      <c r="A479" s="27" t="n"/>
      <c r="B479" s="506">
        <f>IFERROR(__xludf.DUMMYFUNCTION("""COMPUTED_VALUE"""),45793.6666666666)</f>
        <v/>
      </c>
      <c r="C479" s="141">
        <f>IFERROR(__xludf.DUMMYFUNCTION("""COMPUTED_VALUE"""),212.36)</f>
        <v/>
      </c>
      <c r="D479" s="141">
        <f>IFERROR(__xludf.DUMMYFUNCTION("""COMPUTED_VALUE"""),212.57)</f>
        <v/>
      </c>
      <c r="E479" s="141">
        <f>IFERROR(__xludf.DUMMYFUNCTION("""COMPUTED_VALUE"""),209.77)</f>
        <v/>
      </c>
      <c r="F479" s="141">
        <f>IFERROR(__xludf.DUMMYFUNCTION("""COMPUTED_VALUE"""),211.26)</f>
        <v/>
      </c>
      <c r="G479" s="143">
        <f>IFERROR(__xludf.DUMMYFUNCTION("""COMPUTED_VALUE"""),54737850)</f>
        <v/>
      </c>
      <c r="H479" s="27" t="n"/>
    </row>
    <row r="480" ht="17.25" customHeight="1" s="322">
      <c r="A480" s="27" t="n"/>
      <c r="B480" s="506">
        <f>IFERROR(__xludf.DUMMYFUNCTION("""COMPUTED_VALUE"""),45796.6666666666)</f>
        <v/>
      </c>
      <c r="C480" s="141">
        <f>IFERROR(__xludf.DUMMYFUNCTION("""COMPUTED_VALUE"""),207.91)</f>
        <v/>
      </c>
      <c r="D480" s="141">
        <f>IFERROR(__xludf.DUMMYFUNCTION("""COMPUTED_VALUE"""),209.48)</f>
        <v/>
      </c>
      <c r="E480" s="141">
        <f>IFERROR(__xludf.DUMMYFUNCTION("""COMPUTED_VALUE"""),204.26)</f>
        <v/>
      </c>
      <c r="F480" s="141">
        <f>IFERROR(__xludf.DUMMYFUNCTION("""COMPUTED_VALUE"""),208.78)</f>
        <v/>
      </c>
      <c r="G480" s="143">
        <f>IFERROR(__xludf.DUMMYFUNCTION("""COMPUTED_VALUE"""),46140527)</f>
        <v/>
      </c>
      <c r="H480" s="27" t="n"/>
    </row>
    <row r="481" ht="17.25" customHeight="1" s="322">
      <c r="A481" s="27" t="n"/>
      <c r="B481" s="506">
        <f>IFERROR(__xludf.DUMMYFUNCTION("""COMPUTED_VALUE"""),45797.6666666666)</f>
        <v/>
      </c>
      <c r="C481" s="141">
        <f>IFERROR(__xludf.DUMMYFUNCTION("""COMPUTED_VALUE"""),207.67)</f>
        <v/>
      </c>
      <c r="D481" s="141">
        <f>IFERROR(__xludf.DUMMYFUNCTION("""COMPUTED_VALUE"""),208.47)</f>
        <v/>
      </c>
      <c r="E481" s="141">
        <f>IFERROR(__xludf.DUMMYFUNCTION("""COMPUTED_VALUE"""),205.03)</f>
        <v/>
      </c>
      <c r="F481" s="141">
        <f>IFERROR(__xludf.DUMMYFUNCTION("""COMPUTED_VALUE"""),206.86)</f>
        <v/>
      </c>
      <c r="G481" s="143">
        <f>IFERROR(__xludf.DUMMYFUNCTION("""COMPUTED_VALUE"""),42496635)</f>
        <v/>
      </c>
      <c r="H481" s="27" t="n"/>
    </row>
    <row r="482" ht="17.25" customHeight="1" s="322">
      <c r="A482" s="27" t="n"/>
      <c r="B482" s="506">
        <f>IFERROR(__xludf.DUMMYFUNCTION("""COMPUTED_VALUE"""),45798.6666666666)</f>
        <v/>
      </c>
      <c r="C482" s="141">
        <f>IFERROR(__xludf.DUMMYFUNCTION("""COMPUTED_VALUE"""),205.17)</f>
        <v/>
      </c>
      <c r="D482" s="141">
        <f>IFERROR(__xludf.DUMMYFUNCTION("""COMPUTED_VALUE"""),207.04)</f>
        <v/>
      </c>
      <c r="E482" s="141">
        <f>IFERROR(__xludf.DUMMYFUNCTION("""COMPUTED_VALUE"""),200.71)</f>
        <v/>
      </c>
      <c r="F482" s="141">
        <f>IFERROR(__xludf.DUMMYFUNCTION("""COMPUTED_VALUE"""),202.09)</f>
        <v/>
      </c>
      <c r="G482" s="143">
        <f>IFERROR(__xludf.DUMMYFUNCTION("""COMPUTED_VALUE"""),59211774)</f>
        <v/>
      </c>
      <c r="H482" s="27" t="n"/>
    </row>
    <row r="483" ht="17.25" customHeight="1" s="322">
      <c r="A483" s="27" t="n"/>
      <c r="B483" s="506">
        <f>IFERROR(__xludf.DUMMYFUNCTION("""COMPUTED_VALUE"""),45799.6666666666)</f>
        <v/>
      </c>
      <c r="C483" s="141">
        <f>IFERROR(__xludf.DUMMYFUNCTION("""COMPUTED_VALUE"""),205.17)</f>
        <v/>
      </c>
      <c r="D483" s="141">
        <f>IFERROR(__xludf.DUMMYFUNCTION("""COMPUTED_VALUE"""),207.04)</f>
        <v/>
      </c>
      <c r="E483" s="141">
        <f>IFERROR(__xludf.DUMMYFUNCTION("""COMPUTED_VALUE"""),200.71)</f>
        <v/>
      </c>
      <c r="F483" s="141">
        <f>IFERROR(__xludf.DUMMYFUNCTION("""COMPUTED_VALUE"""),202.09)</f>
        <v/>
      </c>
      <c r="G483" s="143">
        <f>IFERROR(__xludf.DUMMYFUNCTION("""COMPUTED_VALUE"""),1536434)</f>
        <v/>
      </c>
      <c r="H483" s="27" t="n"/>
    </row>
    <row r="484" ht="17.25" customHeight="1" s="322">
      <c r="A484" s="27" t="n"/>
      <c r="B484" s="506">
        <f>IFERROR(__xludf.DUMMYFUNCTION("""COMPUTED_VALUE"""),45800.6666666666)</f>
        <v/>
      </c>
      <c r="C484" s="141">
        <f>IFERROR(__xludf.DUMMYFUNCTION("""COMPUTED_VALUE"""),193.67)</f>
        <v/>
      </c>
      <c r="D484" s="141">
        <f>IFERROR(__xludf.DUMMYFUNCTION("""COMPUTED_VALUE"""),197.7)</f>
        <v/>
      </c>
      <c r="E484" s="141">
        <f>IFERROR(__xludf.DUMMYFUNCTION("""COMPUTED_VALUE"""),193.46)</f>
        <v/>
      </c>
      <c r="F484" s="141">
        <f>IFERROR(__xludf.DUMMYFUNCTION("""COMPUTED_VALUE"""),195.27)</f>
        <v/>
      </c>
      <c r="G484" s="143">
        <f>IFERROR(__xludf.DUMMYFUNCTION("""COMPUTED_VALUE"""),78432918)</f>
        <v/>
      </c>
      <c r="H484" s="27" t="n"/>
    </row>
    <row r="485" ht="17.25" customHeight="1" s="322">
      <c r="A485" s="27" t="n"/>
      <c r="B485" s="506">
        <f>IFERROR(__xludf.DUMMYFUNCTION("""COMPUTED_VALUE"""),45804.6666666666)</f>
        <v/>
      </c>
      <c r="C485" s="141">
        <f>IFERROR(__xludf.DUMMYFUNCTION("""COMPUTED_VALUE"""),198.3)</f>
        <v/>
      </c>
      <c r="D485" s="141">
        <f>IFERROR(__xludf.DUMMYFUNCTION("""COMPUTED_VALUE"""),200.74)</f>
        <v/>
      </c>
      <c r="E485" s="141">
        <f>IFERROR(__xludf.DUMMYFUNCTION("""COMPUTED_VALUE"""),197.43)</f>
        <v/>
      </c>
      <c r="F485" s="141">
        <f>IFERROR(__xludf.DUMMYFUNCTION("""COMPUTED_VALUE"""),200.21)</f>
        <v/>
      </c>
      <c r="G485" s="143">
        <f>IFERROR(__xludf.DUMMYFUNCTION("""COMPUTED_VALUE"""),56288475)</f>
        <v/>
      </c>
      <c r="H485" s="27" t="n"/>
    </row>
    <row r="486" ht="17.25" customHeight="1" s="322">
      <c r="A486" s="27" t="n"/>
      <c r="B486" s="506">
        <f>IFERROR(__xludf.DUMMYFUNCTION("""COMPUTED_VALUE"""),45805.6666666666)</f>
        <v/>
      </c>
      <c r="C486" s="141">
        <f>IFERROR(__xludf.DUMMYFUNCTION("""COMPUTED_VALUE"""),200.59)</f>
        <v/>
      </c>
      <c r="D486" s="141">
        <f>IFERROR(__xludf.DUMMYFUNCTION("""COMPUTED_VALUE"""),202.73)</f>
        <v/>
      </c>
      <c r="E486" s="141">
        <f>IFERROR(__xludf.DUMMYFUNCTION("""COMPUTED_VALUE"""),199.9)</f>
        <v/>
      </c>
      <c r="F486" s="141">
        <f>IFERROR(__xludf.DUMMYFUNCTION("""COMPUTED_VALUE"""),200.42)</f>
        <v/>
      </c>
      <c r="G486" s="143">
        <f>IFERROR(__xludf.DUMMYFUNCTION("""COMPUTED_VALUE"""),45339678)</f>
        <v/>
      </c>
      <c r="H486" s="27" t="n"/>
    </row>
    <row r="487" ht="17.25" customHeight="1" s="322">
      <c r="A487" s="27" t="n"/>
      <c r="B487" s="506">
        <f>IFERROR(__xludf.DUMMYFUNCTION("""COMPUTED_VALUE"""),45806.6666666666)</f>
        <v/>
      </c>
      <c r="C487" s="141">
        <f>IFERROR(__xludf.DUMMYFUNCTION("""COMPUTED_VALUE"""),203.58)</f>
        <v/>
      </c>
      <c r="D487" s="141">
        <f>IFERROR(__xludf.DUMMYFUNCTION("""COMPUTED_VALUE"""),203.81)</f>
        <v/>
      </c>
      <c r="E487" s="141">
        <f>IFERROR(__xludf.DUMMYFUNCTION("""COMPUTED_VALUE"""),198.51)</f>
        <v/>
      </c>
      <c r="F487" s="141">
        <f>IFERROR(__xludf.DUMMYFUNCTION("""COMPUTED_VALUE"""),199.95)</f>
        <v/>
      </c>
      <c r="G487" s="143">
        <f>IFERROR(__xludf.DUMMYFUNCTION("""COMPUTED_VALUE"""),51477938)</f>
        <v/>
      </c>
      <c r="H487" s="27" t="n"/>
    </row>
    <row r="488" ht="17.25" customHeight="1" s="322">
      <c r="A488" s="27" t="n"/>
      <c r="B488" s="506">
        <f>IFERROR(__xludf.DUMMYFUNCTION("""COMPUTED_VALUE"""),45807.6666666666)</f>
        <v/>
      </c>
      <c r="C488" s="141">
        <f>IFERROR(__xludf.DUMMYFUNCTION("""COMPUTED_VALUE"""),199.37)</f>
        <v/>
      </c>
      <c r="D488" s="141">
        <f>IFERROR(__xludf.DUMMYFUNCTION("""COMPUTED_VALUE"""),201.96)</f>
        <v/>
      </c>
      <c r="E488" s="141">
        <f>IFERROR(__xludf.DUMMYFUNCTION("""COMPUTED_VALUE"""),196.78)</f>
        <v/>
      </c>
      <c r="F488" s="141">
        <f>IFERROR(__xludf.DUMMYFUNCTION("""COMPUTED_VALUE"""),200.85)</f>
        <v/>
      </c>
      <c r="G488" s="143">
        <f>IFERROR(__xludf.DUMMYFUNCTION("""COMPUTED_VALUE"""),70819942)</f>
        <v/>
      </c>
      <c r="H488" s="27" t="n"/>
    </row>
    <row r="489" ht="17.25" customHeight="1" s="322">
      <c r="A489" s="27" t="n"/>
      <c r="B489" s="506">
        <f>IFERROR(__xludf.DUMMYFUNCTION("""COMPUTED_VALUE"""),45810.6666666666)</f>
        <v/>
      </c>
      <c r="C489" s="141">
        <f>IFERROR(__xludf.DUMMYFUNCTION("""COMPUTED_VALUE"""),200.28)</f>
        <v/>
      </c>
      <c r="D489" s="141">
        <f>IFERROR(__xludf.DUMMYFUNCTION("""COMPUTED_VALUE"""),202.13)</f>
        <v/>
      </c>
      <c r="E489" s="141">
        <f>IFERROR(__xludf.DUMMYFUNCTION("""COMPUTED_VALUE"""),200.12)</f>
        <v/>
      </c>
      <c r="F489" s="141">
        <f>IFERROR(__xludf.DUMMYFUNCTION("""COMPUTED_VALUE"""),201.7)</f>
        <v/>
      </c>
      <c r="G489" s="143">
        <f>IFERROR(__xludf.DUMMYFUNCTION("""COMPUTED_VALUE"""),35423294)</f>
        <v/>
      </c>
      <c r="H489" s="27" t="n"/>
    </row>
    <row r="490" ht="17.25" customHeight="1" s="322">
      <c r="A490" s="27" t="n"/>
      <c r="B490" s="506">
        <f>IFERROR(__xludf.DUMMYFUNCTION("""COMPUTED_VALUE"""),45811.6666666666)</f>
        <v/>
      </c>
      <c r="C490" s="141">
        <f>IFERROR(__xludf.DUMMYFUNCTION("""COMPUTED_VALUE"""),201.35)</f>
        <v/>
      </c>
      <c r="D490" s="141">
        <f>IFERROR(__xludf.DUMMYFUNCTION("""COMPUTED_VALUE"""),203.77)</f>
        <v/>
      </c>
      <c r="E490" s="141">
        <f>IFERROR(__xludf.DUMMYFUNCTION("""COMPUTED_VALUE"""),200.96)</f>
        <v/>
      </c>
      <c r="F490" s="141">
        <f>IFERROR(__xludf.DUMMYFUNCTION("""COMPUTED_VALUE"""),203.27)</f>
        <v/>
      </c>
      <c r="G490" s="143">
        <f>IFERROR(__xludf.DUMMYFUNCTION("""COMPUTED_VALUE"""),46381567)</f>
        <v/>
      </c>
      <c r="H490" s="27" t="n"/>
    </row>
    <row r="491" ht="17.25" customHeight="1" s="322">
      <c r="A491" s="27" t="n"/>
      <c r="B491" s="506">
        <f>IFERROR(__xludf.DUMMYFUNCTION("""COMPUTED_VALUE"""),45812.6666666666)</f>
        <v/>
      </c>
      <c r="C491" s="141">
        <f>IFERROR(__xludf.DUMMYFUNCTION("""COMPUTED_VALUE"""),202.91)</f>
        <v/>
      </c>
      <c r="D491" s="141">
        <f>IFERROR(__xludf.DUMMYFUNCTION("""COMPUTED_VALUE"""),206.24)</f>
        <v/>
      </c>
      <c r="E491" s="141">
        <f>IFERROR(__xludf.DUMMYFUNCTION("""COMPUTED_VALUE"""),202.1)</f>
        <v/>
      </c>
      <c r="F491" s="141">
        <f>IFERROR(__xludf.DUMMYFUNCTION("""COMPUTED_VALUE"""),202.82)</f>
        <v/>
      </c>
      <c r="G491" s="143">
        <f>IFERROR(__xludf.DUMMYFUNCTION("""COMPUTED_VALUE"""),43603985)</f>
        <v/>
      </c>
      <c r="H491" s="27" t="n"/>
    </row>
    <row r="492" ht="17.25" customHeight="1" s="322">
      <c r="A492" s="27" t="n"/>
      <c r="B492" s="506">
        <f>IFERROR(__xludf.DUMMYFUNCTION("""COMPUTED_VALUE"""),45813.6666666666)</f>
        <v/>
      </c>
      <c r="C492" s="141">
        <f>IFERROR(__xludf.DUMMYFUNCTION("""COMPUTED_VALUE"""),203.5)</f>
        <v/>
      </c>
      <c r="D492" s="141">
        <f>IFERROR(__xludf.DUMMYFUNCTION("""COMPUTED_VALUE"""),204.75)</f>
        <v/>
      </c>
      <c r="E492" s="141">
        <f>IFERROR(__xludf.DUMMYFUNCTION("""COMPUTED_VALUE"""),200.15)</f>
        <v/>
      </c>
      <c r="F492" s="141">
        <f>IFERROR(__xludf.DUMMYFUNCTION("""COMPUTED_VALUE"""),200.63)</f>
        <v/>
      </c>
      <c r="G492" s="143">
        <f>IFERROR(__xludf.DUMMYFUNCTION("""COMPUTED_VALUE"""),55221235)</f>
        <v/>
      </c>
      <c r="H492" s="27" t="n"/>
    </row>
    <row r="493" ht="17.25" customHeight="1" s="322">
      <c r="A493" s="27" t="n"/>
      <c r="B493" s="506">
        <f>IFERROR(__xludf.DUMMYFUNCTION("""COMPUTED_VALUE"""),45814.6666666666)</f>
        <v/>
      </c>
      <c r="C493" s="141">
        <f>IFERROR(__xludf.DUMMYFUNCTION("""COMPUTED_VALUE"""),203)</f>
        <v/>
      </c>
      <c r="D493" s="141">
        <f>IFERROR(__xludf.DUMMYFUNCTION("""COMPUTED_VALUE"""),205.7)</f>
        <v/>
      </c>
      <c r="E493" s="141">
        <f>IFERROR(__xludf.DUMMYFUNCTION("""COMPUTED_VALUE"""),202.05)</f>
        <v/>
      </c>
      <c r="F493" s="141">
        <f>IFERROR(__xludf.DUMMYFUNCTION("""COMPUTED_VALUE"""),203.92)</f>
        <v/>
      </c>
      <c r="G493" s="143">
        <f>IFERROR(__xludf.DUMMYFUNCTION("""COMPUTED_VALUE"""),46607693)</f>
        <v/>
      </c>
      <c r="H493" s="27" t="n"/>
    </row>
    <row r="494" ht="17.25" customHeight="1" s="322">
      <c r="A494" s="27" t="n"/>
      <c r="B494" s="506">
        <f>IFERROR(__xludf.DUMMYFUNCTION("""COMPUTED_VALUE"""),45817.6666666666)</f>
        <v/>
      </c>
      <c r="C494" s="141">
        <f>IFERROR(__xludf.DUMMYFUNCTION("""COMPUTED_VALUE"""),204.39)</f>
        <v/>
      </c>
      <c r="D494" s="141">
        <f>IFERROR(__xludf.DUMMYFUNCTION("""COMPUTED_VALUE"""),206)</f>
        <v/>
      </c>
      <c r="E494" s="141">
        <f>IFERROR(__xludf.DUMMYFUNCTION("""COMPUTED_VALUE"""),200.02)</f>
        <v/>
      </c>
      <c r="F494" s="141">
        <f>IFERROR(__xludf.DUMMYFUNCTION("""COMPUTED_VALUE"""),201.45)</f>
        <v/>
      </c>
      <c r="G494" s="143">
        <f>IFERROR(__xludf.DUMMYFUNCTION("""COMPUTED_VALUE"""),72862557)</f>
        <v/>
      </c>
      <c r="H494" s="27" t="n"/>
    </row>
    <row r="495" ht="17.25" customHeight="1" s="322">
      <c r="A495" s="27" t="n"/>
      <c r="B495" s="506">
        <f>IFERROR(__xludf.DUMMYFUNCTION("""COMPUTED_VALUE"""),45818.6666666666)</f>
        <v/>
      </c>
      <c r="C495" s="141">
        <f>IFERROR(__xludf.DUMMYFUNCTION("""COMPUTED_VALUE"""),200.6)</f>
        <v/>
      </c>
      <c r="D495" s="141">
        <f>IFERROR(__xludf.DUMMYFUNCTION("""COMPUTED_VALUE"""),204.35)</f>
        <v/>
      </c>
      <c r="E495" s="141">
        <f>IFERROR(__xludf.DUMMYFUNCTION("""COMPUTED_VALUE"""),200.57)</f>
        <v/>
      </c>
      <c r="F495" s="141">
        <f>IFERROR(__xludf.DUMMYFUNCTION("""COMPUTED_VALUE"""),202.67)</f>
        <v/>
      </c>
      <c r="G495" s="143">
        <f>IFERROR(__xludf.DUMMYFUNCTION("""COMPUTED_VALUE"""),54672608)</f>
        <v/>
      </c>
      <c r="H495" s="27" t="n"/>
    </row>
    <row r="496" ht="17.25" customHeight="1" s="322">
      <c r="A496" s="27" t="n"/>
      <c r="B496" s="506">
        <f>IFERROR(__xludf.DUMMYFUNCTION("""COMPUTED_VALUE"""),45819.6666666666)</f>
        <v/>
      </c>
      <c r="C496" s="141">
        <f>IFERROR(__xludf.DUMMYFUNCTION("""COMPUTED_VALUE"""),203.5)</f>
        <v/>
      </c>
      <c r="D496" s="141">
        <f>IFERROR(__xludf.DUMMYFUNCTION("""COMPUTED_VALUE"""),204.5)</f>
        <v/>
      </c>
      <c r="E496" s="141">
        <f>IFERROR(__xludf.DUMMYFUNCTION("""COMPUTED_VALUE"""),198.41)</f>
        <v/>
      </c>
      <c r="F496" s="141">
        <f>IFERROR(__xludf.DUMMYFUNCTION("""COMPUTED_VALUE"""),198.78)</f>
        <v/>
      </c>
      <c r="G496" s="143">
        <f>IFERROR(__xludf.DUMMYFUNCTION("""COMPUTED_VALUE"""),60989857)</f>
        <v/>
      </c>
      <c r="H496" s="27" t="n"/>
    </row>
    <row r="497" ht="17.25" customHeight="1" s="322">
      <c r="A497" s="27" t="n"/>
      <c r="B497" s="506">
        <f>IFERROR(__xludf.DUMMYFUNCTION("""COMPUTED_VALUE"""),45820.6666666666)</f>
        <v/>
      </c>
      <c r="C497" s="141">
        <f>IFERROR(__xludf.DUMMYFUNCTION("""COMPUTED_VALUE"""),199.08)</f>
        <v/>
      </c>
      <c r="D497" s="141">
        <f>IFERROR(__xludf.DUMMYFUNCTION("""COMPUTED_VALUE"""),199.68)</f>
        <v/>
      </c>
      <c r="E497" s="141">
        <f>IFERROR(__xludf.DUMMYFUNCTION("""COMPUTED_VALUE"""),197.36)</f>
        <v/>
      </c>
      <c r="F497" s="141">
        <f>IFERROR(__xludf.DUMMYFUNCTION("""COMPUTED_VALUE"""),199.2)</f>
        <v/>
      </c>
      <c r="G497" s="143">
        <f>IFERROR(__xludf.DUMMYFUNCTION("""COMPUTED_VALUE"""),43904635)</f>
        <v/>
      </c>
      <c r="H497" s="27" t="n"/>
    </row>
    <row r="498" ht="17.25" customHeight="1" s="322">
      <c r="A498" s="27" t="n"/>
      <c r="B498" s="506">
        <f>IFERROR(__xludf.DUMMYFUNCTION("""COMPUTED_VALUE"""),45821.6666666666)</f>
        <v/>
      </c>
      <c r="C498" s="141">
        <f>IFERROR(__xludf.DUMMYFUNCTION("""COMPUTED_VALUE"""),199.73)</f>
        <v/>
      </c>
      <c r="D498" s="141">
        <f>IFERROR(__xludf.DUMMYFUNCTION("""COMPUTED_VALUE"""),200.37)</f>
        <v/>
      </c>
      <c r="E498" s="141">
        <f>IFERROR(__xludf.DUMMYFUNCTION("""COMPUTED_VALUE"""),195.7)</f>
        <v/>
      </c>
      <c r="F498" s="141">
        <f>IFERROR(__xludf.DUMMYFUNCTION("""COMPUTED_VALUE"""),196.45)</f>
        <v/>
      </c>
      <c r="G498" s="143">
        <f>IFERROR(__xludf.DUMMYFUNCTION("""COMPUTED_VALUE"""),51447349)</f>
        <v/>
      </c>
      <c r="H498" s="27" t="n"/>
    </row>
    <row r="499" ht="17.25" customHeight="1" s="322">
      <c r="A499" s="27" t="n"/>
      <c r="B499" s="506">
        <f>IFERROR(__xludf.DUMMYFUNCTION("""COMPUTED_VALUE"""),45824.6666666666)</f>
        <v/>
      </c>
      <c r="C499" s="141">
        <f>IFERROR(__xludf.DUMMYFUNCTION("""COMPUTED_VALUE"""),197.3)</f>
        <v/>
      </c>
      <c r="D499" s="141">
        <f>IFERROR(__xludf.DUMMYFUNCTION("""COMPUTED_VALUE"""),198.69)</f>
        <v/>
      </c>
      <c r="E499" s="141">
        <f>IFERROR(__xludf.DUMMYFUNCTION("""COMPUTED_VALUE"""),196.56)</f>
        <v/>
      </c>
      <c r="F499" s="141">
        <f>IFERROR(__xludf.DUMMYFUNCTION("""COMPUTED_VALUE"""),198.42)</f>
        <v/>
      </c>
      <c r="G499" s="143">
        <f>IFERROR(__xludf.DUMMYFUNCTION("""COMPUTED_VALUE"""),43020691)</f>
        <v/>
      </c>
      <c r="H499" s="27" t="n"/>
    </row>
    <row r="500" ht="17.25" customHeight="1" s="322">
      <c r="A500" s="27" t="n"/>
      <c r="B500" s="506">
        <f>IFERROR(__xludf.DUMMYFUNCTION("""COMPUTED_VALUE"""),45825.6666666666)</f>
        <v/>
      </c>
      <c r="C500" s="141">
        <f>IFERROR(__xludf.DUMMYFUNCTION("""COMPUTED_VALUE"""),197.2)</f>
        <v/>
      </c>
      <c r="D500" s="141">
        <f>IFERROR(__xludf.DUMMYFUNCTION("""COMPUTED_VALUE"""),198.39)</f>
        <v/>
      </c>
      <c r="E500" s="141">
        <f>IFERROR(__xludf.DUMMYFUNCTION("""COMPUTED_VALUE"""),195.21)</f>
        <v/>
      </c>
      <c r="F500" s="141">
        <f>IFERROR(__xludf.DUMMYFUNCTION("""COMPUTED_VALUE"""),195.64)</f>
        <v/>
      </c>
      <c r="G500" s="143">
        <f>IFERROR(__xludf.DUMMYFUNCTION("""COMPUTED_VALUE"""),38856152)</f>
        <v/>
      </c>
      <c r="H500" s="27" t="n"/>
    </row>
    <row r="501" ht="17.25" customHeight="1" s="322">
      <c r="A501" s="27" t="n"/>
      <c r="B501" s="506">
        <f>IFERROR(__xludf.DUMMYFUNCTION("""COMPUTED_VALUE"""),45826.6666666666)</f>
        <v/>
      </c>
      <c r="C501" s="141">
        <f>IFERROR(__xludf.DUMMYFUNCTION("""COMPUTED_VALUE"""),195.94)</f>
        <v/>
      </c>
      <c r="D501" s="141">
        <f>IFERROR(__xludf.DUMMYFUNCTION("""COMPUTED_VALUE"""),197.57)</f>
        <v/>
      </c>
      <c r="E501" s="141">
        <f>IFERROR(__xludf.DUMMYFUNCTION("""COMPUTED_VALUE"""),195.07)</f>
        <v/>
      </c>
      <c r="F501" s="141">
        <f>IFERROR(__xludf.DUMMYFUNCTION("""COMPUTED_VALUE"""),196.58)</f>
        <v/>
      </c>
      <c r="G501" s="143">
        <f>IFERROR(__xludf.DUMMYFUNCTION("""COMPUTED_VALUE"""),45394689)</f>
        <v/>
      </c>
      <c r="H501" s="27" t="n"/>
    </row>
    <row r="502" ht="17.25" customHeight="1" s="322">
      <c r="A502" s="27" t="n"/>
      <c r="B502" s="506">
        <f>IFERROR(__xludf.DUMMYFUNCTION("""COMPUTED_VALUE"""),45828.6666666666)</f>
        <v/>
      </c>
      <c r="C502" s="141">
        <f>IFERROR(__xludf.DUMMYFUNCTION("""COMPUTED_VALUE"""),198.24)</f>
        <v/>
      </c>
      <c r="D502" s="141">
        <f>IFERROR(__xludf.DUMMYFUNCTION("""COMPUTED_VALUE"""),201.7)</f>
        <v/>
      </c>
      <c r="E502" s="141">
        <f>IFERROR(__xludf.DUMMYFUNCTION("""COMPUTED_VALUE"""),196.86)</f>
        <v/>
      </c>
      <c r="F502" s="141">
        <f>IFERROR(__xludf.DUMMYFUNCTION("""COMPUTED_VALUE"""),201)</f>
        <v/>
      </c>
      <c r="G502" s="143">
        <f>IFERROR(__xludf.DUMMYFUNCTION("""COMPUTED_VALUE"""),96813542)</f>
        <v/>
      </c>
      <c r="H502" s="27" t="n"/>
    </row>
    <row r="503" ht="17.25" customHeight="1" s="322">
      <c r="A503" s="27" t="n"/>
      <c r="B503" s="506">
        <f>IFERROR(__xludf.DUMMYFUNCTION("""COMPUTED_VALUE"""),45831.6666666666)</f>
        <v/>
      </c>
      <c r="C503" s="141">
        <f>IFERROR(__xludf.DUMMYFUNCTION("""COMPUTED_VALUE"""),201.63)</f>
        <v/>
      </c>
      <c r="D503" s="141">
        <f>IFERROR(__xludf.DUMMYFUNCTION("""COMPUTED_VALUE"""),202.3)</f>
        <v/>
      </c>
      <c r="E503" s="141">
        <f>IFERROR(__xludf.DUMMYFUNCTION("""COMPUTED_VALUE"""),198.96)</f>
        <v/>
      </c>
      <c r="F503" s="141">
        <f>IFERROR(__xludf.DUMMYFUNCTION("""COMPUTED_VALUE"""),201.5)</f>
        <v/>
      </c>
      <c r="G503" s="143">
        <f>IFERROR(__xludf.DUMMYFUNCTION("""COMPUTED_VALUE"""),55814272)</f>
        <v/>
      </c>
      <c r="H503" s="27" t="n"/>
    </row>
    <row r="504" ht="17.25" customHeight="1" s="322">
      <c r="A504" s="27" t="n"/>
      <c r="B504" s="506">
        <f>IFERROR(__xludf.DUMMYFUNCTION("""COMPUTED_VALUE"""),45832.6666666666)</f>
        <v/>
      </c>
      <c r="C504" s="141">
        <f>IFERROR(__xludf.DUMMYFUNCTION("""COMPUTED_VALUE"""),202.59)</f>
        <v/>
      </c>
      <c r="D504" s="141">
        <f>IFERROR(__xludf.DUMMYFUNCTION("""COMPUTED_VALUE"""),203.44)</f>
        <v/>
      </c>
      <c r="E504" s="141">
        <f>IFERROR(__xludf.DUMMYFUNCTION("""COMPUTED_VALUE"""),200.2)</f>
        <v/>
      </c>
      <c r="F504" s="141">
        <f>IFERROR(__xludf.DUMMYFUNCTION("""COMPUTED_VALUE"""),200.3)</f>
        <v/>
      </c>
      <c r="G504" s="143">
        <f>IFERROR(__xludf.DUMMYFUNCTION("""COMPUTED_VALUE"""),54064033)</f>
        <v/>
      </c>
      <c r="H504" s="27" t="n"/>
    </row>
    <row r="505" ht="17.25" customHeight="1" s="322">
      <c r="A505" s="27" t="n"/>
      <c r="B505" s="506">
        <f>IFERROR(__xludf.DUMMYFUNCTION("""COMPUTED_VALUE"""),45833.6666666666)</f>
        <v/>
      </c>
      <c r="C505" s="141">
        <f>IFERROR(__xludf.DUMMYFUNCTION("""COMPUTED_VALUE"""),201.45)</f>
        <v/>
      </c>
      <c r="D505" s="141">
        <f>IFERROR(__xludf.DUMMYFUNCTION("""COMPUTED_VALUE"""),203.67)</f>
        <v/>
      </c>
      <c r="E505" s="141">
        <f>IFERROR(__xludf.DUMMYFUNCTION("""COMPUTED_VALUE"""),200.62)</f>
        <v/>
      </c>
      <c r="F505" s="141">
        <f>IFERROR(__xludf.DUMMYFUNCTION("""COMPUTED_VALUE"""),201.56)</f>
        <v/>
      </c>
      <c r="G505" s="143">
        <f>IFERROR(__xludf.DUMMYFUNCTION("""COMPUTED_VALUE"""),39525730)</f>
        <v/>
      </c>
      <c r="H505" s="27" t="n"/>
    </row>
    <row r="506" ht="17.25" customHeight="1" s="322">
      <c r="A506" s="27" t="n"/>
      <c r="B506" s="506">
        <f>IFERROR(__xludf.DUMMYFUNCTION("""COMPUTED_VALUE"""),45834.6666666666)</f>
        <v/>
      </c>
      <c r="C506" s="141">
        <f>IFERROR(__xludf.DUMMYFUNCTION("""COMPUTED_VALUE"""),201.43)</f>
        <v/>
      </c>
      <c r="D506" s="141">
        <f>IFERROR(__xludf.DUMMYFUNCTION("""COMPUTED_VALUE"""),202.64)</f>
        <v/>
      </c>
      <c r="E506" s="141">
        <f>IFERROR(__xludf.DUMMYFUNCTION("""COMPUTED_VALUE"""),199.46)</f>
        <v/>
      </c>
      <c r="F506" s="141">
        <f>IFERROR(__xludf.DUMMYFUNCTION("""COMPUTED_VALUE"""),201)</f>
        <v/>
      </c>
      <c r="G506" s="143">
        <f>IFERROR(__xludf.DUMMYFUNCTION("""COMPUTED_VALUE"""),50799121)</f>
        <v/>
      </c>
      <c r="H506" s="27" t="n"/>
    </row>
    <row r="507" ht="17.25" customHeight="1" s="322">
      <c r="A507" s="27" t="n"/>
      <c r="B507" s="506">
        <f>IFERROR(__xludf.DUMMYFUNCTION("""COMPUTED_VALUE"""),45835.6666666666)</f>
        <v/>
      </c>
      <c r="C507" s="141">
        <f>IFERROR(__xludf.DUMMYFUNCTION("""COMPUTED_VALUE"""),201.89)</f>
        <v/>
      </c>
      <c r="D507" s="141">
        <f>IFERROR(__xludf.DUMMYFUNCTION("""COMPUTED_VALUE"""),203.22)</f>
        <v/>
      </c>
      <c r="E507" s="141">
        <f>IFERROR(__xludf.DUMMYFUNCTION("""COMPUTED_VALUE"""),200)</f>
        <v/>
      </c>
      <c r="F507" s="141">
        <f>IFERROR(__xludf.DUMMYFUNCTION("""COMPUTED_VALUE"""),201.08)</f>
        <v/>
      </c>
      <c r="G507" s="143">
        <f>IFERROR(__xludf.DUMMYFUNCTION("""COMPUTED_VALUE"""),73188571)</f>
        <v/>
      </c>
      <c r="H507" s="27" t="n"/>
    </row>
    <row r="508" ht="17.25" customHeight="1" s="322">
      <c r="A508" s="27" t="n"/>
      <c r="B508" s="506">
        <f>IFERROR(__xludf.DUMMYFUNCTION("""COMPUTED_VALUE"""),45838.6666666666)</f>
        <v/>
      </c>
      <c r="C508" s="141">
        <f>IFERROR(__xludf.DUMMYFUNCTION("""COMPUTED_VALUE"""),202.01)</f>
        <v/>
      </c>
      <c r="D508" s="141">
        <f>IFERROR(__xludf.DUMMYFUNCTION("""COMPUTED_VALUE"""),207.39)</f>
        <v/>
      </c>
      <c r="E508" s="141">
        <f>IFERROR(__xludf.DUMMYFUNCTION("""COMPUTED_VALUE"""),199.26)</f>
        <v/>
      </c>
      <c r="F508" s="141">
        <f>IFERROR(__xludf.DUMMYFUNCTION("""COMPUTED_VALUE"""),205.17)</f>
        <v/>
      </c>
      <c r="G508" s="143">
        <f>IFERROR(__xludf.DUMMYFUNCTION("""COMPUTED_VALUE"""),91912816)</f>
        <v/>
      </c>
      <c r="H508" s="27" t="n"/>
    </row>
    <row r="509" ht="17.25" customHeight="1" s="322">
      <c r="A509" s="27" t="n"/>
      <c r="B509" s="506">
        <f>IFERROR(__xludf.DUMMYFUNCTION("""COMPUTED_VALUE"""),45839.6666666666)</f>
        <v/>
      </c>
      <c r="C509" s="141">
        <f>IFERROR(__xludf.DUMMYFUNCTION("""COMPUTED_VALUE"""),206.67)</f>
        <v/>
      </c>
      <c r="D509" s="141">
        <f>IFERROR(__xludf.DUMMYFUNCTION("""COMPUTED_VALUE"""),210.19)</f>
        <v/>
      </c>
      <c r="E509" s="141">
        <f>IFERROR(__xludf.DUMMYFUNCTION("""COMPUTED_VALUE"""),206.14)</f>
        <v/>
      </c>
      <c r="F509" s="141">
        <f>IFERROR(__xludf.DUMMYFUNCTION("""COMPUTED_VALUE"""),207.82)</f>
        <v/>
      </c>
      <c r="G509" s="143">
        <f>IFERROR(__xludf.DUMMYFUNCTION("""COMPUTED_VALUE"""),78788867)</f>
        <v/>
      </c>
      <c r="H509" s="27" t="n"/>
    </row>
    <row r="510" ht="17.25" customHeight="1" s="322">
      <c r="A510" s="27" t="n"/>
      <c r="B510" s="506">
        <f>IFERROR(__xludf.DUMMYFUNCTION("""COMPUTED_VALUE"""),45840.6666666666)</f>
        <v/>
      </c>
      <c r="C510" s="141">
        <f>IFERROR(__xludf.DUMMYFUNCTION("""COMPUTED_VALUE"""),208.91)</f>
        <v/>
      </c>
      <c r="D510" s="141">
        <f>IFERROR(__xludf.DUMMYFUNCTION("""COMPUTED_VALUE"""),213.34)</f>
        <v/>
      </c>
      <c r="E510" s="141">
        <f>IFERROR(__xludf.DUMMYFUNCTION("""COMPUTED_VALUE"""),208.14)</f>
        <v/>
      </c>
      <c r="F510" s="141">
        <f>IFERROR(__xludf.DUMMYFUNCTION("""COMPUTED_VALUE"""),212.44)</f>
        <v/>
      </c>
      <c r="G510" s="143">
        <f>IFERROR(__xludf.DUMMYFUNCTION("""COMPUTED_VALUE"""),67941811)</f>
        <v/>
      </c>
      <c r="H510" s="27" t="n"/>
    </row>
    <row r="511" ht="17.25" customHeight="1" s="322">
      <c r="A511" s="27" t="n"/>
      <c r="B511" s="506">
        <f>IFERROR(__xludf.DUMMYFUNCTION("""COMPUTED_VALUE"""),45841.5451388888)</f>
        <v/>
      </c>
      <c r="C511" s="141">
        <f>IFERROR(__xludf.DUMMYFUNCTION("""COMPUTED_VALUE"""),212.15)</f>
        <v/>
      </c>
      <c r="D511" s="141">
        <f>IFERROR(__xludf.DUMMYFUNCTION("""COMPUTED_VALUE"""),214.65)</f>
        <v/>
      </c>
      <c r="E511" s="141">
        <f>IFERROR(__xludf.DUMMYFUNCTION("""COMPUTED_VALUE"""),211.81)</f>
        <v/>
      </c>
      <c r="F511" s="141">
        <f>IFERROR(__xludf.DUMMYFUNCTION("""COMPUTED_VALUE"""),213.55)</f>
        <v/>
      </c>
      <c r="G511" s="143">
        <f>IFERROR(__xludf.DUMMYFUNCTION("""COMPUTED_VALUE"""),34955836)</f>
        <v/>
      </c>
      <c r="H511" s="27" t="n"/>
    </row>
    <row r="512" ht="17.25" customHeight="1" s="322">
      <c r="A512" s="27" t="n"/>
      <c r="B512" s="506">
        <f>IFERROR(__xludf.DUMMYFUNCTION("""COMPUTED_VALUE"""),45845.6666666666)</f>
        <v/>
      </c>
      <c r="C512" s="141">
        <f>IFERROR(__xludf.DUMMYFUNCTION("""COMPUTED_VALUE"""),212.68)</f>
        <v/>
      </c>
      <c r="D512" s="141">
        <f>IFERROR(__xludf.DUMMYFUNCTION("""COMPUTED_VALUE"""),216.23)</f>
        <v/>
      </c>
      <c r="E512" s="141">
        <f>IFERROR(__xludf.DUMMYFUNCTION("""COMPUTED_VALUE"""),208.8)</f>
        <v/>
      </c>
      <c r="F512" s="141">
        <f>IFERROR(__xludf.DUMMYFUNCTION("""COMPUTED_VALUE"""),209.95)</f>
        <v/>
      </c>
      <c r="G512" s="143">
        <f>IFERROR(__xludf.DUMMYFUNCTION("""COMPUTED_VALUE"""),50228984)</f>
        <v/>
      </c>
      <c r="H512" s="27" t="n"/>
    </row>
    <row r="513" ht="17.25" customHeight="1" s="322">
      <c r="A513" s="27" t="n"/>
      <c r="B513" s="506">
        <f>IFERROR(__xludf.DUMMYFUNCTION("""COMPUTED_VALUE"""),45846.6666666666)</f>
        <v/>
      </c>
      <c r="C513" s="141">
        <f>IFERROR(__xludf.DUMMYFUNCTION("""COMPUTED_VALUE"""),210.1)</f>
        <v/>
      </c>
      <c r="D513" s="141">
        <f>IFERROR(__xludf.DUMMYFUNCTION("""COMPUTED_VALUE"""),211.43)</f>
        <v/>
      </c>
      <c r="E513" s="141">
        <f>IFERROR(__xludf.DUMMYFUNCTION("""COMPUTED_VALUE"""),208.45)</f>
        <v/>
      </c>
      <c r="F513" s="141">
        <f>IFERROR(__xludf.DUMMYFUNCTION("""COMPUTED_VALUE"""),210.01)</f>
        <v/>
      </c>
      <c r="G513" s="143">
        <f>IFERROR(__xludf.DUMMYFUNCTION("""COMPUTED_VALUE"""),42848928)</f>
        <v/>
      </c>
      <c r="H513" s="27" t="n"/>
    </row>
    <row r="514" ht="17.25" customHeight="1" s="322">
      <c r="A514" s="27" t="n"/>
      <c r="B514" s="506">
        <f>IFERROR(__xludf.DUMMYFUNCTION("""COMPUTED_VALUE"""),45847.6666666666)</f>
        <v/>
      </c>
      <c r="C514" s="141">
        <f>IFERROR(__xludf.DUMMYFUNCTION("""COMPUTED_VALUE"""),209.53)</f>
        <v/>
      </c>
      <c r="D514" s="141">
        <f>IFERROR(__xludf.DUMMYFUNCTION("""COMPUTED_VALUE"""),211.33)</f>
        <v/>
      </c>
      <c r="E514" s="141">
        <f>IFERROR(__xludf.DUMMYFUNCTION("""COMPUTED_VALUE"""),207.22)</f>
        <v/>
      </c>
      <c r="F514" s="141">
        <f>IFERROR(__xludf.DUMMYFUNCTION("""COMPUTED_VALUE"""),211.14)</f>
        <v/>
      </c>
      <c r="G514" s="143">
        <f>IFERROR(__xludf.DUMMYFUNCTION("""COMPUTED_VALUE"""),48749367)</f>
        <v/>
      </c>
      <c r="H514" s="27" t="n"/>
    </row>
    <row r="515" ht="17.25" customHeight="1" s="322">
      <c r="A515" s="27" t="n"/>
      <c r="B515" s="506">
        <f>IFERROR(__xludf.DUMMYFUNCTION("""COMPUTED_VALUE"""),45848.6666666666)</f>
        <v/>
      </c>
      <c r="C515" s="141">
        <f>IFERROR(__xludf.DUMMYFUNCTION("""COMPUTED_VALUE"""),210.51)</f>
        <v/>
      </c>
      <c r="D515" s="141">
        <f>IFERROR(__xludf.DUMMYFUNCTION("""COMPUTED_VALUE"""),213.48)</f>
        <v/>
      </c>
      <c r="E515" s="141">
        <f>IFERROR(__xludf.DUMMYFUNCTION("""COMPUTED_VALUE"""),210.03)</f>
        <v/>
      </c>
      <c r="F515" s="141">
        <f>IFERROR(__xludf.DUMMYFUNCTION("""COMPUTED_VALUE"""),212.41)</f>
        <v/>
      </c>
      <c r="G515" s="143">
        <f>IFERROR(__xludf.DUMMYFUNCTION("""COMPUTED_VALUE"""),44443635)</f>
        <v/>
      </c>
      <c r="H515" s="27" t="n"/>
    </row>
    <row r="516" ht="17.25" customHeight="1" s="322">
      <c r="A516" s="27" t="n"/>
      <c r="B516" s="506">
        <f>IFERROR(__xludf.DUMMYFUNCTION("""COMPUTED_VALUE"""),45849.6666666666)</f>
        <v/>
      </c>
      <c r="C516" s="141">
        <f>IFERROR(__xludf.DUMMYFUNCTION("""COMPUTED_VALUE"""),210.57)</f>
        <v/>
      </c>
      <c r="D516" s="141">
        <f>IFERROR(__xludf.DUMMYFUNCTION("""COMPUTED_VALUE"""),212.13)</f>
        <v/>
      </c>
      <c r="E516" s="141">
        <f>IFERROR(__xludf.DUMMYFUNCTION("""COMPUTED_VALUE"""),209.86)</f>
        <v/>
      </c>
      <c r="F516" s="141">
        <f>IFERROR(__xludf.DUMMYFUNCTION("""COMPUTED_VALUE"""),211.16)</f>
        <v/>
      </c>
      <c r="G516" s="143">
        <f>IFERROR(__xludf.DUMMYFUNCTION("""COMPUTED_VALUE"""),39765812)</f>
        <v/>
      </c>
      <c r="H516" s="27" t="n"/>
    </row>
    <row r="517" ht="17.25" customHeight="1" s="322">
      <c r="A517" s="27" t="n"/>
      <c r="B517" s="506">
        <f>IFERROR(__xludf.DUMMYFUNCTION("""COMPUTED_VALUE"""),45852.6666666666)</f>
        <v/>
      </c>
      <c r="C517" s="141">
        <f>IFERROR(__xludf.DUMMYFUNCTION("""COMPUTED_VALUE"""),209.93)</f>
        <v/>
      </c>
      <c r="D517" s="141">
        <f>IFERROR(__xludf.DUMMYFUNCTION("""COMPUTED_VALUE"""),210.91)</f>
        <v/>
      </c>
      <c r="E517" s="141">
        <f>IFERROR(__xludf.DUMMYFUNCTION("""COMPUTED_VALUE"""),207.54)</f>
        <v/>
      </c>
      <c r="F517" s="141">
        <f>IFERROR(__xludf.DUMMYFUNCTION("""COMPUTED_VALUE"""),208.62)</f>
        <v/>
      </c>
      <c r="G517" s="143">
        <f>IFERROR(__xludf.DUMMYFUNCTION("""COMPUTED_VALUE"""),38840111)</f>
        <v/>
      </c>
      <c r="H517" s="27" t="n"/>
    </row>
    <row r="518" ht="17.25" customHeight="1" s="322">
      <c r="A518" s="27" t="n"/>
      <c r="B518" s="506">
        <f>IFERROR(__xludf.DUMMYFUNCTION("""COMPUTED_VALUE"""),45853.6666666666)</f>
        <v/>
      </c>
      <c r="C518" s="141">
        <f>IFERROR(__xludf.DUMMYFUNCTION("""COMPUTED_VALUE"""),209.22)</f>
        <v/>
      </c>
      <c r="D518" s="141">
        <f>IFERROR(__xludf.DUMMYFUNCTION("""COMPUTED_VALUE"""),211.89)</f>
        <v/>
      </c>
      <c r="E518" s="141">
        <f>IFERROR(__xludf.DUMMYFUNCTION("""COMPUTED_VALUE"""),208.92)</f>
        <v/>
      </c>
      <c r="F518" s="141">
        <f>IFERROR(__xludf.DUMMYFUNCTION("""COMPUTED_VALUE"""),209.11)</f>
        <v/>
      </c>
      <c r="G518" s="143">
        <f>IFERROR(__xludf.DUMMYFUNCTION("""COMPUTED_VALUE"""),42296339)</f>
        <v/>
      </c>
      <c r="H518" s="27" t="n"/>
    </row>
    <row r="519" ht="17.25" customHeight="1" s="322">
      <c r="A519" s="27" t="n"/>
      <c r="B519" s="506">
        <f>IFERROR(__xludf.DUMMYFUNCTION("""COMPUTED_VALUE"""),45854.6666666666)</f>
        <v/>
      </c>
      <c r="C519" s="141">
        <f>IFERROR(__xludf.DUMMYFUNCTION("""COMPUTED_VALUE"""),210.3)</f>
        <v/>
      </c>
      <c r="D519" s="141">
        <f>IFERROR(__xludf.DUMMYFUNCTION("""COMPUTED_VALUE"""),212.4)</f>
        <v/>
      </c>
      <c r="E519" s="141">
        <f>IFERROR(__xludf.DUMMYFUNCTION("""COMPUTED_VALUE"""),208.64)</f>
        <v/>
      </c>
      <c r="F519" s="141">
        <f>IFERROR(__xludf.DUMMYFUNCTION("""COMPUTED_VALUE"""),210.16)</f>
        <v/>
      </c>
      <c r="G519" s="143">
        <f>IFERROR(__xludf.DUMMYFUNCTION("""COMPUTED_VALUE"""),47490532)</f>
        <v/>
      </c>
      <c r="H519" s="27" t="n"/>
    </row>
    <row r="520" ht="17.25" customHeight="1" s="322">
      <c r="A520" s="27" t="n"/>
      <c r="B520" s="506">
        <f>IFERROR(__xludf.DUMMYFUNCTION("""COMPUTED_VALUE"""),45855.6666666666)</f>
        <v/>
      </c>
      <c r="C520" s="141">
        <f>IFERROR(__xludf.DUMMYFUNCTION("""COMPUTED_VALUE"""),210.57)</f>
        <v/>
      </c>
      <c r="D520" s="141">
        <f>IFERROR(__xludf.DUMMYFUNCTION("""COMPUTED_VALUE"""),211.8)</f>
        <v/>
      </c>
      <c r="E520" s="141">
        <f>IFERROR(__xludf.DUMMYFUNCTION("""COMPUTED_VALUE"""),209.59)</f>
        <v/>
      </c>
      <c r="F520" s="141">
        <f>IFERROR(__xludf.DUMMYFUNCTION("""COMPUTED_VALUE"""),210.02)</f>
        <v/>
      </c>
      <c r="G520" s="143">
        <f>IFERROR(__xludf.DUMMYFUNCTION("""COMPUTED_VALUE"""),48068141)</f>
        <v/>
      </c>
      <c r="H520" s="27" t="n"/>
    </row>
    <row r="521" ht="17.25" customHeight="1" s="322">
      <c r="A521" s="27" t="n"/>
      <c r="B521" s="506">
        <f>IFERROR(__xludf.DUMMYFUNCTION("""COMPUTED_VALUE"""),45856.6666666666)</f>
        <v/>
      </c>
      <c r="C521" s="141">
        <f>IFERROR(__xludf.DUMMYFUNCTION("""COMPUTED_VALUE"""),210.87)</f>
        <v/>
      </c>
      <c r="D521" s="141">
        <f>IFERROR(__xludf.DUMMYFUNCTION("""COMPUTED_VALUE"""),211.79)</f>
        <v/>
      </c>
      <c r="E521" s="141">
        <f>IFERROR(__xludf.DUMMYFUNCTION("""COMPUTED_VALUE"""),209.7)</f>
        <v/>
      </c>
      <c r="F521" s="141">
        <f>IFERROR(__xludf.DUMMYFUNCTION("""COMPUTED_VALUE"""),211.18)</f>
        <v/>
      </c>
      <c r="G521" s="143">
        <f>IFERROR(__xludf.DUMMYFUNCTION("""COMPUTED_VALUE"""),48974591)</f>
        <v/>
      </c>
      <c r="H521" s="27" t="n"/>
    </row>
    <row r="522" ht="17.25" customHeight="1" s="322">
      <c r="A522" s="27" t="n"/>
      <c r="B522" s="506">
        <f>IFERROR(__xludf.DUMMYFUNCTION("""COMPUTED_VALUE"""),45859.6666666666)</f>
        <v/>
      </c>
      <c r="C522" s="141">
        <f>IFERROR(__xludf.DUMMYFUNCTION("""COMPUTED_VALUE"""),212.1)</f>
        <v/>
      </c>
      <c r="D522" s="141">
        <f>IFERROR(__xludf.DUMMYFUNCTION("""COMPUTED_VALUE"""),215.78)</f>
        <v/>
      </c>
      <c r="E522" s="141">
        <f>IFERROR(__xludf.DUMMYFUNCTION("""COMPUTED_VALUE"""),211.63)</f>
        <v/>
      </c>
      <c r="F522" s="141">
        <f>IFERROR(__xludf.DUMMYFUNCTION("""COMPUTED_VALUE"""),212.48)</f>
        <v/>
      </c>
      <c r="G522" s="143">
        <f>IFERROR(__xludf.DUMMYFUNCTION("""COMPUTED_VALUE"""),51377434)</f>
        <v/>
      </c>
      <c r="H522" s="27" t="n"/>
    </row>
    <row r="523" ht="17.25" customHeight="1" s="322">
      <c r="A523" s="27" t="n"/>
      <c r="B523" s="506">
        <f>IFERROR(__xludf.DUMMYFUNCTION("""COMPUTED_VALUE"""),45860.6666666666)</f>
        <v/>
      </c>
      <c r="C523" s="141">
        <f>IFERROR(__xludf.DUMMYFUNCTION("""COMPUTED_VALUE"""),213.14)</f>
        <v/>
      </c>
      <c r="D523" s="141">
        <f>IFERROR(__xludf.DUMMYFUNCTION("""COMPUTED_VALUE"""),214.95)</f>
        <v/>
      </c>
      <c r="E523" s="141">
        <f>IFERROR(__xludf.DUMMYFUNCTION("""COMPUTED_VALUE"""),212.23)</f>
        <v/>
      </c>
      <c r="F523" s="141">
        <f>IFERROR(__xludf.DUMMYFUNCTION("""COMPUTED_VALUE"""),214.4)</f>
        <v/>
      </c>
      <c r="G523" s="143">
        <f>IFERROR(__xludf.DUMMYFUNCTION("""COMPUTED_VALUE"""),46404072)</f>
        <v/>
      </c>
      <c r="H523" s="27" t="n"/>
    </row>
    <row r="524" ht="17.25" customHeight="1" s="322">
      <c r="A524" s="27" t="n"/>
      <c r="B524" s="506">
        <f>IFERROR(__xludf.DUMMYFUNCTION("""COMPUTED_VALUE"""),45861.6666666666)</f>
        <v/>
      </c>
      <c r="C524" s="141">
        <f>IFERROR(__xludf.DUMMYFUNCTION("""COMPUTED_VALUE"""),215)</f>
        <v/>
      </c>
      <c r="D524" s="141">
        <f>IFERROR(__xludf.DUMMYFUNCTION("""COMPUTED_VALUE"""),215.15)</f>
        <v/>
      </c>
      <c r="E524" s="141">
        <f>IFERROR(__xludf.DUMMYFUNCTION("""COMPUTED_VALUE"""),212.41)</f>
        <v/>
      </c>
      <c r="F524" s="141">
        <f>IFERROR(__xludf.DUMMYFUNCTION("""COMPUTED_VALUE"""),214.15)</f>
        <v/>
      </c>
      <c r="G524" s="143">
        <f>IFERROR(__xludf.DUMMYFUNCTION("""COMPUTED_VALUE"""),46989301)</f>
        <v/>
      </c>
      <c r="H524" s="27" t="n"/>
    </row>
    <row r="525" ht="17.25" customHeight="1" s="322">
      <c r="A525" s="27" t="n"/>
      <c r="B525" s="506">
        <f>IFERROR(__xludf.DUMMYFUNCTION("""COMPUTED_VALUE"""),45862.6666666666)</f>
        <v/>
      </c>
      <c r="C525" s="141">
        <f>IFERROR(__xludf.DUMMYFUNCTION("""COMPUTED_VALUE"""),213.9)</f>
        <v/>
      </c>
      <c r="D525" s="141">
        <f>IFERROR(__xludf.DUMMYFUNCTION("""COMPUTED_VALUE"""),215.69)</f>
        <v/>
      </c>
      <c r="E525" s="141">
        <f>IFERROR(__xludf.DUMMYFUNCTION("""COMPUTED_VALUE"""),213.53)</f>
        <v/>
      </c>
      <c r="F525" s="141">
        <f>IFERROR(__xludf.DUMMYFUNCTION("""COMPUTED_VALUE"""),213.76)</f>
        <v/>
      </c>
      <c r="G525" s="143">
        <f>IFERROR(__xludf.DUMMYFUNCTION("""COMPUTED_VALUE"""),46022620)</f>
        <v/>
      </c>
      <c r="H525" s="27" t="n"/>
    </row>
    <row r="526" ht="17.25" customHeight="1" s="322">
      <c r="A526" s="27" t="n"/>
      <c r="B526" s="506">
        <f>IFERROR(__xludf.DUMMYFUNCTION("""COMPUTED_VALUE"""),45863.6666666666)</f>
        <v/>
      </c>
      <c r="C526" s="141">
        <f>IFERROR(__xludf.DUMMYFUNCTION("""COMPUTED_VALUE"""),214.7)</f>
        <v/>
      </c>
      <c r="D526" s="141">
        <f>IFERROR(__xludf.DUMMYFUNCTION("""COMPUTED_VALUE"""),215.24)</f>
        <v/>
      </c>
      <c r="E526" s="141">
        <f>IFERROR(__xludf.DUMMYFUNCTION("""COMPUTED_VALUE"""),213.4)</f>
        <v/>
      </c>
      <c r="F526" s="141">
        <f>IFERROR(__xludf.DUMMYFUNCTION("""COMPUTED_VALUE"""),213.88)</f>
        <v/>
      </c>
      <c r="G526" s="143">
        <f>IFERROR(__xludf.DUMMYFUNCTION("""COMPUTED_VALUE"""),40268781)</f>
        <v/>
      </c>
      <c r="H526" s="27" t="n"/>
    </row>
    <row r="527" ht="17.25" customHeight="1" s="322">
      <c r="A527" s="27" t="n"/>
      <c r="B527" s="506">
        <f>IFERROR(__xludf.DUMMYFUNCTION("""COMPUTED_VALUE"""),45866.6666666666)</f>
        <v/>
      </c>
      <c r="C527" s="141">
        <f>IFERROR(__xludf.DUMMYFUNCTION("""COMPUTED_VALUE"""),214.03)</f>
        <v/>
      </c>
      <c r="D527" s="141">
        <f>IFERROR(__xludf.DUMMYFUNCTION("""COMPUTED_VALUE"""),214.85)</f>
        <v/>
      </c>
      <c r="E527" s="141">
        <f>IFERROR(__xludf.DUMMYFUNCTION("""COMPUTED_VALUE"""),213.06)</f>
        <v/>
      </c>
      <c r="F527" s="141">
        <f>IFERROR(__xludf.DUMMYFUNCTION("""COMPUTED_VALUE"""),214.05)</f>
        <v/>
      </c>
      <c r="G527" s="143">
        <f>IFERROR(__xludf.DUMMYFUNCTION("""COMPUTED_VALUE"""),37858017)</f>
        <v/>
      </c>
      <c r="H527" s="27" t="n"/>
    </row>
    <row r="528" ht="17.25" customHeight="1" s="322">
      <c r="A528" s="27" t="n"/>
      <c r="B528" s="506">
        <f>IFERROR(__xludf.DUMMYFUNCTION("""COMPUTED_VALUE"""),45867.6666666666)</f>
        <v/>
      </c>
      <c r="C528" s="141">
        <f>IFERROR(__xludf.DUMMYFUNCTION("""COMPUTED_VALUE"""),214.18)</f>
        <v/>
      </c>
      <c r="D528" s="141">
        <f>IFERROR(__xludf.DUMMYFUNCTION("""COMPUTED_VALUE"""),214.81)</f>
        <v/>
      </c>
      <c r="E528" s="141">
        <f>IFERROR(__xludf.DUMMYFUNCTION("""COMPUTED_VALUE"""),210.82)</f>
        <v/>
      </c>
      <c r="F528" s="141">
        <f>IFERROR(__xludf.DUMMYFUNCTION("""COMPUTED_VALUE"""),211.27)</f>
        <v/>
      </c>
      <c r="G528" s="143">
        <f>IFERROR(__xludf.DUMMYFUNCTION("""COMPUTED_VALUE"""),51411723)</f>
        <v/>
      </c>
      <c r="H528" s="27" t="n"/>
    </row>
    <row r="529" ht="17.25" customHeight="1" s="322">
      <c r="A529" s="27" t="n"/>
      <c r="B529" s="506">
        <f>IFERROR(__xludf.DUMMYFUNCTION("""COMPUTED_VALUE"""),45868.6666666666)</f>
        <v/>
      </c>
      <c r="C529" s="141">
        <f>IFERROR(__xludf.DUMMYFUNCTION("""COMPUTED_VALUE"""),211.9)</f>
        <v/>
      </c>
      <c r="D529" s="141">
        <f>IFERROR(__xludf.DUMMYFUNCTION("""COMPUTED_VALUE"""),212.39)</f>
        <v/>
      </c>
      <c r="E529" s="141">
        <f>IFERROR(__xludf.DUMMYFUNCTION("""COMPUTED_VALUE"""),207.72)</f>
        <v/>
      </c>
      <c r="F529" s="141">
        <f>IFERROR(__xludf.DUMMYFUNCTION("""COMPUTED_VALUE"""),209.05)</f>
        <v/>
      </c>
      <c r="G529" s="143">
        <f>IFERROR(__xludf.DUMMYFUNCTION("""COMPUTED_VALUE"""),45512514)</f>
        <v/>
      </c>
      <c r="H529" s="27" t="n"/>
    </row>
    <row r="530" ht="17.25" customHeight="1" s="322">
      <c r="A530" s="27" t="n"/>
      <c r="B530" s="506">
        <f>IFERROR(__xludf.DUMMYFUNCTION("""COMPUTED_VALUE"""),45869.6666666666)</f>
        <v/>
      </c>
      <c r="C530" s="141">
        <f>IFERROR(__xludf.DUMMYFUNCTION("""COMPUTED_VALUE"""),208.49)</f>
        <v/>
      </c>
      <c r="D530" s="141">
        <f>IFERROR(__xludf.DUMMYFUNCTION("""COMPUTED_VALUE"""),209.84)</f>
        <v/>
      </c>
      <c r="E530" s="141">
        <f>IFERROR(__xludf.DUMMYFUNCTION("""COMPUTED_VALUE"""),207.16)</f>
        <v/>
      </c>
      <c r="F530" s="141">
        <f>IFERROR(__xludf.DUMMYFUNCTION("""COMPUTED_VALUE"""),207.57)</f>
        <v/>
      </c>
      <c r="G530" s="143">
        <f>IFERROR(__xludf.DUMMYFUNCTION("""COMPUTED_VALUE"""),80698431)</f>
        <v/>
      </c>
      <c r="H530" s="27" t="n"/>
    </row>
    <row r="531" ht="17.25" customHeight="1" s="322">
      <c r="A531" s="27" t="n"/>
      <c r="B531" s="506">
        <f>IFERROR(__xludf.DUMMYFUNCTION("""COMPUTED_VALUE"""),45870.6666666666)</f>
        <v/>
      </c>
      <c r="C531" s="141">
        <f>IFERROR(__xludf.DUMMYFUNCTION("""COMPUTED_VALUE"""),210.87)</f>
        <v/>
      </c>
      <c r="D531" s="141">
        <f>IFERROR(__xludf.DUMMYFUNCTION("""COMPUTED_VALUE"""),213.58)</f>
        <v/>
      </c>
      <c r="E531" s="141">
        <f>IFERROR(__xludf.DUMMYFUNCTION("""COMPUTED_VALUE"""),201.5)</f>
        <v/>
      </c>
      <c r="F531" s="141">
        <f>IFERROR(__xludf.DUMMYFUNCTION("""COMPUTED_VALUE"""),202.38)</f>
        <v/>
      </c>
      <c r="G531" s="143">
        <f>IFERROR(__xludf.DUMMYFUNCTION("""COMPUTED_VALUE"""),104434473)</f>
        <v/>
      </c>
      <c r="H531" s="27" t="n"/>
    </row>
    <row r="532" ht="17.25" customHeight="1" s="322">
      <c r="A532" s="27" t="n"/>
      <c r="B532" s="506">
        <f>IFERROR(__xludf.DUMMYFUNCTION("""COMPUTED_VALUE"""),45873.6666666666)</f>
        <v/>
      </c>
      <c r="C532" s="141">
        <f>IFERROR(__xludf.DUMMYFUNCTION("""COMPUTED_VALUE"""),204.51)</f>
        <v/>
      </c>
      <c r="D532" s="141">
        <f>IFERROR(__xludf.DUMMYFUNCTION("""COMPUTED_VALUE"""),207.88)</f>
        <v/>
      </c>
      <c r="E532" s="141">
        <f>IFERROR(__xludf.DUMMYFUNCTION("""COMPUTED_VALUE"""),201.68)</f>
        <v/>
      </c>
      <c r="F532" s="141">
        <f>IFERROR(__xludf.DUMMYFUNCTION("""COMPUTED_VALUE"""),203.35)</f>
        <v/>
      </c>
      <c r="G532" s="143">
        <f>IFERROR(__xludf.DUMMYFUNCTION("""COMPUTED_VALUE"""),75109298)</f>
        <v/>
      </c>
      <c r="H532" s="27" t="n"/>
    </row>
    <row r="533" ht="17.25" customHeight="1" s="322">
      <c r="A533" s="27" t="n"/>
      <c r="B533" s="506">
        <f>IFERROR(__xludf.DUMMYFUNCTION("""COMPUTED_VALUE"""),45874.6666666666)</f>
        <v/>
      </c>
      <c r="C533" s="141">
        <f>IFERROR(__xludf.DUMMYFUNCTION("""COMPUTED_VALUE"""),203.4)</f>
        <v/>
      </c>
      <c r="D533" s="141">
        <f>IFERROR(__xludf.DUMMYFUNCTION("""COMPUTED_VALUE"""),205.34)</f>
        <v/>
      </c>
      <c r="E533" s="141">
        <f>IFERROR(__xludf.DUMMYFUNCTION("""COMPUTED_VALUE"""),202.16)</f>
        <v/>
      </c>
      <c r="F533" s="141">
        <f>IFERROR(__xludf.DUMMYFUNCTION("""COMPUTED_VALUE"""),202.92)</f>
        <v/>
      </c>
      <c r="G533" s="143">
        <f>IFERROR(__xludf.DUMMYFUNCTION("""COMPUTED_VALUE"""),44155079)</f>
        <v/>
      </c>
      <c r="H533" s="27" t="n"/>
    </row>
    <row r="534" ht="17.25" customHeight="1" s="322">
      <c r="A534" s="27" t="n"/>
      <c r="B534" s="506">
        <f>IFERROR(__xludf.DUMMYFUNCTION("""COMPUTED_VALUE"""),45875.6666666666)</f>
        <v/>
      </c>
      <c r="C534" s="141">
        <f>IFERROR(__xludf.DUMMYFUNCTION("""COMPUTED_VALUE"""),205.63)</f>
        <v/>
      </c>
      <c r="D534" s="141">
        <f>IFERROR(__xludf.DUMMYFUNCTION("""COMPUTED_VALUE"""),215.38)</f>
        <v/>
      </c>
      <c r="E534" s="141">
        <f>IFERROR(__xludf.DUMMYFUNCTION("""COMPUTED_VALUE"""),205.59)</f>
        <v/>
      </c>
      <c r="F534" s="141">
        <f>IFERROR(__xludf.DUMMYFUNCTION("""COMPUTED_VALUE"""),213.25)</f>
        <v/>
      </c>
      <c r="G534" s="143">
        <f>IFERROR(__xludf.DUMMYFUNCTION("""COMPUTED_VALUE"""),108483103)</f>
        <v/>
      </c>
      <c r="H534" s="27" t="n"/>
    </row>
    <row r="535" ht="17.25" customHeight="1" s="322">
      <c r="A535" s="27" t="n"/>
      <c r="B535" s="506">
        <f>IFERROR(__xludf.DUMMYFUNCTION("""COMPUTED_VALUE"""),45876.6666666666)</f>
        <v/>
      </c>
      <c r="C535" s="141">
        <f>IFERROR(__xludf.DUMMYFUNCTION("""COMPUTED_VALUE"""),218.88)</f>
        <v/>
      </c>
      <c r="D535" s="141">
        <f>IFERROR(__xludf.DUMMYFUNCTION("""COMPUTED_VALUE"""),220.85)</f>
        <v/>
      </c>
      <c r="E535" s="141">
        <f>IFERROR(__xludf.DUMMYFUNCTION("""COMPUTED_VALUE"""),216.58)</f>
        <v/>
      </c>
      <c r="F535" s="141">
        <f>IFERROR(__xludf.DUMMYFUNCTION("""COMPUTED_VALUE"""),220.03)</f>
        <v/>
      </c>
      <c r="G535" s="143">
        <f>IFERROR(__xludf.DUMMYFUNCTION("""COMPUTED_VALUE"""),90224834)</f>
        <v/>
      </c>
      <c r="H535" s="27" t="n"/>
    </row>
    <row r="536" ht="17.25" customHeight="1" s="322">
      <c r="A536" s="27" t="n"/>
      <c r="B536" s="506">
        <f>IFERROR(__xludf.DUMMYFUNCTION("""COMPUTED_VALUE"""),45877.6666666666)</f>
        <v/>
      </c>
      <c r="C536" s="141">
        <f>IFERROR(__xludf.DUMMYFUNCTION("""COMPUTED_VALUE"""),220.83)</f>
        <v/>
      </c>
      <c r="D536" s="141">
        <f>IFERROR(__xludf.DUMMYFUNCTION("""COMPUTED_VALUE"""),231)</f>
        <v/>
      </c>
      <c r="E536" s="141">
        <f>IFERROR(__xludf.DUMMYFUNCTION("""COMPUTED_VALUE"""),219.25)</f>
        <v/>
      </c>
      <c r="F536" s="141">
        <f>IFERROR(__xludf.DUMMYFUNCTION("""COMPUTED_VALUE"""),229.35)</f>
        <v/>
      </c>
      <c r="G536" s="143">
        <f>IFERROR(__xludf.DUMMYFUNCTION("""COMPUTED_VALUE"""),113853967)</f>
        <v/>
      </c>
      <c r="H536" s="27" t="n"/>
    </row>
    <row r="537" ht="17.25" customHeight="1" s="322">
      <c r="A537" s="27" t="n"/>
      <c r="B537" s="506">
        <f>IFERROR(__xludf.DUMMYFUNCTION("""COMPUTED_VALUE"""),45880.6666666666)</f>
        <v/>
      </c>
      <c r="C537" s="141">
        <f>IFERROR(__xludf.DUMMYFUNCTION("""COMPUTED_VALUE"""),227.92)</f>
        <v/>
      </c>
      <c r="D537" s="141">
        <f>IFERROR(__xludf.DUMMYFUNCTION("""COMPUTED_VALUE"""),229.56)</f>
        <v/>
      </c>
      <c r="E537" s="141">
        <f>IFERROR(__xludf.DUMMYFUNCTION("""COMPUTED_VALUE"""),224.76)</f>
        <v/>
      </c>
      <c r="F537" s="141">
        <f>IFERROR(__xludf.DUMMYFUNCTION("""COMPUTED_VALUE"""),227.18)</f>
        <v/>
      </c>
      <c r="G537" s="143">
        <f>IFERROR(__xludf.DUMMYFUNCTION("""COMPUTED_VALUE"""),61806132)</f>
        <v/>
      </c>
      <c r="H537" s="27" t="n"/>
    </row>
    <row r="538" ht="17.25" customHeight="1" s="322">
      <c r="A538" s="27" t="n"/>
      <c r="B538" s="506">
        <f>IFERROR(__xludf.DUMMYFUNCTION("""COMPUTED_VALUE"""),45881.6666666666)</f>
        <v/>
      </c>
      <c r="C538" s="141">
        <f>IFERROR(__xludf.DUMMYFUNCTION("""COMPUTED_VALUE"""),228.01)</f>
        <v/>
      </c>
      <c r="D538" s="141">
        <f>IFERROR(__xludf.DUMMYFUNCTION("""COMPUTED_VALUE"""),230.8)</f>
        <v/>
      </c>
      <c r="E538" s="141">
        <f>IFERROR(__xludf.DUMMYFUNCTION("""COMPUTED_VALUE"""),227.07)</f>
        <v/>
      </c>
      <c r="F538" s="141">
        <f>IFERROR(__xludf.DUMMYFUNCTION("""COMPUTED_VALUE"""),229.65)</f>
        <v/>
      </c>
      <c r="G538" s="143">
        <f>IFERROR(__xludf.DUMMYFUNCTION("""COMPUTED_VALUE"""),55672301)</f>
        <v/>
      </c>
      <c r="H538" s="27" t="n"/>
    </row>
    <row r="539" ht="17.25" customHeight="1" s="322">
      <c r="A539" s="27" t="n"/>
      <c r="B539" s="506">
        <f>IFERROR(__xludf.DUMMYFUNCTION("""COMPUTED_VALUE"""),45882.6666666666)</f>
        <v/>
      </c>
      <c r="C539" s="141">
        <f>IFERROR(__xludf.DUMMYFUNCTION("""COMPUTED_VALUE"""),231.07)</f>
        <v/>
      </c>
      <c r="D539" s="141">
        <f>IFERROR(__xludf.DUMMYFUNCTION("""COMPUTED_VALUE"""),235)</f>
        <v/>
      </c>
      <c r="E539" s="141">
        <f>IFERROR(__xludf.DUMMYFUNCTION("""COMPUTED_VALUE"""),230.43)</f>
        <v/>
      </c>
      <c r="F539" s="141">
        <f>IFERROR(__xludf.DUMMYFUNCTION("""COMPUTED_VALUE"""),233.33)</f>
        <v/>
      </c>
      <c r="G539" s="143">
        <f>IFERROR(__xludf.DUMMYFUNCTION("""COMPUTED_VALUE"""),69878546)</f>
        <v/>
      </c>
      <c r="H539" s="27" t="n"/>
    </row>
    <row r="540" ht="17.25" customHeight="1" s="322">
      <c r="A540" s="27" t="n"/>
      <c r="B540" s="506">
        <f>IFERROR(__xludf.DUMMYFUNCTION("""COMPUTED_VALUE"""),45883.6666666666)</f>
        <v/>
      </c>
      <c r="C540" s="141">
        <f>IFERROR(__xludf.DUMMYFUNCTION("""COMPUTED_VALUE"""),234.06)</f>
        <v/>
      </c>
      <c r="D540" s="141">
        <f>IFERROR(__xludf.DUMMYFUNCTION("""COMPUTED_VALUE"""),235.12)</f>
        <v/>
      </c>
      <c r="E540" s="141">
        <f>IFERROR(__xludf.DUMMYFUNCTION("""COMPUTED_VALUE"""),230.85)</f>
        <v/>
      </c>
      <c r="F540" s="141">
        <f>IFERROR(__xludf.DUMMYFUNCTION("""COMPUTED_VALUE"""),232.78)</f>
        <v/>
      </c>
      <c r="G540" s="143">
        <f>IFERROR(__xludf.DUMMYFUNCTION("""COMPUTED_VALUE"""),51916275)</f>
        <v/>
      </c>
      <c r="H540" s="27" t="n"/>
    </row>
    <row r="541" ht="17.25" customHeight="1" s="322">
      <c r="A541" s="27" t="n"/>
      <c r="B541" s="506">
        <f>IFERROR(__xludf.DUMMYFUNCTION("""COMPUTED_VALUE"""),45884.6666666666)</f>
        <v/>
      </c>
      <c r="C541" s="141">
        <f>IFERROR(__xludf.DUMMYFUNCTION("""COMPUTED_VALUE"""),234)</f>
        <v/>
      </c>
      <c r="D541" s="141">
        <f>IFERROR(__xludf.DUMMYFUNCTION("""COMPUTED_VALUE"""),234.28)</f>
        <v/>
      </c>
      <c r="E541" s="141">
        <f>IFERROR(__xludf.DUMMYFUNCTION("""COMPUTED_VALUE"""),229.34)</f>
        <v/>
      </c>
      <c r="F541" s="141">
        <f>IFERROR(__xludf.DUMMYFUNCTION("""COMPUTED_VALUE"""),231.59)</f>
        <v/>
      </c>
      <c r="G541" s="143">
        <f>IFERROR(__xludf.DUMMYFUNCTION("""COMPUTED_VALUE"""),56038657)</f>
        <v/>
      </c>
      <c r="H541" s="27" t="n"/>
    </row>
    <row r="542" ht="17.25" customHeight="1" s="322">
      <c r="A542" s="27" t="n"/>
      <c r="B542" s="506">
        <f>IFERROR(__xludf.DUMMYFUNCTION("""COMPUTED_VALUE"""),45887.6666666666)</f>
        <v/>
      </c>
      <c r="C542" s="141">
        <f>IFERROR(__xludf.DUMMYFUNCTION("""COMPUTED_VALUE"""),231.7)</f>
        <v/>
      </c>
      <c r="D542" s="141">
        <f>IFERROR(__xludf.DUMMYFUNCTION("""COMPUTED_VALUE"""),233.12)</f>
        <v/>
      </c>
      <c r="E542" s="141">
        <f>IFERROR(__xludf.DUMMYFUNCTION("""COMPUTED_VALUE"""),230.11)</f>
        <v/>
      </c>
      <c r="F542" s="141">
        <f>IFERROR(__xludf.DUMMYFUNCTION("""COMPUTED_VALUE"""),230.89)</f>
        <v/>
      </c>
      <c r="G542" s="143">
        <f>IFERROR(__xludf.DUMMYFUNCTION("""COMPUTED_VALUE"""),37476188)</f>
        <v/>
      </c>
      <c r="H542" s="27" t="n"/>
    </row>
    <row r="543" ht="17.25" customHeight="1" s="322">
      <c r="A543" s="27" t="n"/>
      <c r="B543" s="506">
        <f>IFERROR(__xludf.DUMMYFUNCTION("""COMPUTED_VALUE"""),45888.6666666666)</f>
        <v/>
      </c>
      <c r="C543" s="141">
        <f>IFERROR(__xludf.DUMMYFUNCTION("""COMPUTED_VALUE"""),231.28)</f>
        <v/>
      </c>
      <c r="D543" s="141">
        <f>IFERROR(__xludf.DUMMYFUNCTION("""COMPUTED_VALUE"""),232.87)</f>
        <v/>
      </c>
      <c r="E543" s="141">
        <f>IFERROR(__xludf.DUMMYFUNCTION("""COMPUTED_VALUE"""),229.35)</f>
        <v/>
      </c>
      <c r="F543" s="141">
        <f>IFERROR(__xludf.DUMMYFUNCTION("""COMPUTED_VALUE"""),230.56)</f>
        <v/>
      </c>
      <c r="G543" s="143">
        <f>IFERROR(__xludf.DUMMYFUNCTION("""COMPUTED_VALUE"""),39402564)</f>
        <v/>
      </c>
      <c r="H543" s="27" t="n"/>
    </row>
    <row r="544" ht="17.25" customHeight="1" s="322">
      <c r="A544" s="27" t="n"/>
      <c r="B544" s="506">
        <f>IFERROR(__xludf.DUMMYFUNCTION("""COMPUTED_VALUE"""),45889.6666666666)</f>
        <v/>
      </c>
      <c r="C544" s="141">
        <f>IFERROR(__xludf.DUMMYFUNCTION("""COMPUTED_VALUE"""),229.98)</f>
        <v/>
      </c>
      <c r="D544" s="141">
        <f>IFERROR(__xludf.DUMMYFUNCTION("""COMPUTED_VALUE"""),230.47)</f>
        <v/>
      </c>
      <c r="E544" s="141">
        <f>IFERROR(__xludf.DUMMYFUNCTION("""COMPUTED_VALUE"""),225.77)</f>
        <v/>
      </c>
      <c r="F544" s="141">
        <f>IFERROR(__xludf.DUMMYFUNCTION("""COMPUTED_VALUE"""),226.01)</f>
        <v/>
      </c>
      <c r="G544" s="143">
        <f>IFERROR(__xludf.DUMMYFUNCTION("""COMPUTED_VALUE"""),42263865)</f>
        <v/>
      </c>
      <c r="H544" s="27" t="n"/>
    </row>
    <row r="545" ht="17.25" customHeight="1" s="322">
      <c r="A545" s="27" t="n"/>
      <c r="B545" s="506">
        <f>IFERROR(__xludf.DUMMYFUNCTION("""COMPUTED_VALUE"""),45890.6666666666)</f>
        <v/>
      </c>
      <c r="C545" s="141">
        <f>IFERROR(__xludf.DUMMYFUNCTION("""COMPUTED_VALUE"""),226.27)</f>
        <v/>
      </c>
      <c r="D545" s="141">
        <f>IFERROR(__xludf.DUMMYFUNCTION("""COMPUTED_VALUE"""),226.52)</f>
        <v/>
      </c>
      <c r="E545" s="141">
        <f>IFERROR(__xludf.DUMMYFUNCTION("""COMPUTED_VALUE"""),223.78)</f>
        <v/>
      </c>
      <c r="F545" s="141">
        <f>IFERROR(__xludf.DUMMYFUNCTION("""COMPUTED_VALUE"""),224.9)</f>
        <v/>
      </c>
      <c r="G545" s="143">
        <f>IFERROR(__xludf.DUMMYFUNCTION("""COMPUTED_VALUE"""),30621249)</f>
        <v/>
      </c>
      <c r="H545" s="27" t="n"/>
    </row>
    <row r="546" ht="17.25" customHeight="1" s="322">
      <c r="A546" s="27" t="n"/>
      <c r="B546" s="506">
        <f>IFERROR(__xludf.DUMMYFUNCTION("""COMPUTED_VALUE"""),45891.6666666666)</f>
        <v/>
      </c>
      <c r="C546" s="141">
        <f>IFERROR(__xludf.DUMMYFUNCTION("""COMPUTED_VALUE"""),226.17)</f>
        <v/>
      </c>
      <c r="D546" s="141">
        <f>IFERROR(__xludf.DUMMYFUNCTION("""COMPUTED_VALUE"""),229.09)</f>
        <v/>
      </c>
      <c r="E546" s="141">
        <f>IFERROR(__xludf.DUMMYFUNCTION("""COMPUTED_VALUE"""),225.41)</f>
        <v/>
      </c>
      <c r="F546" s="141">
        <f>IFERROR(__xludf.DUMMYFUNCTION("""COMPUTED_VALUE"""),227.76)</f>
        <v/>
      </c>
      <c r="G546" s="143">
        <f>IFERROR(__xludf.DUMMYFUNCTION("""COMPUTED_VALUE"""),42477811)</f>
        <v/>
      </c>
      <c r="H546" s="27" t="n"/>
    </row>
    <row r="547" ht="17.25" customHeight="1" s="322">
      <c r="A547" s="27" t="n"/>
      <c r="B547" s="506">
        <f>IFERROR(__xludf.DUMMYFUNCTION("""COMPUTED_VALUE"""),45894.6666666666)</f>
        <v/>
      </c>
      <c r="C547" s="141">
        <f>IFERROR(__xludf.DUMMYFUNCTION("""COMPUTED_VALUE"""),226.48)</f>
        <v/>
      </c>
      <c r="D547" s="141">
        <f>IFERROR(__xludf.DUMMYFUNCTION("""COMPUTED_VALUE"""),229.3)</f>
        <v/>
      </c>
      <c r="E547" s="141">
        <f>IFERROR(__xludf.DUMMYFUNCTION("""COMPUTED_VALUE"""),226.23)</f>
        <v/>
      </c>
      <c r="F547" s="141">
        <f>IFERROR(__xludf.DUMMYFUNCTION("""COMPUTED_VALUE"""),227.16)</f>
        <v/>
      </c>
      <c r="G547" s="143">
        <f>IFERROR(__xludf.DUMMYFUNCTION("""COMPUTED_VALUE"""),30983133)</f>
        <v/>
      </c>
      <c r="H547" s="27" t="n"/>
    </row>
    <row r="548" ht="17.25" customHeight="1" s="322">
      <c r="A548" s="27" t="n"/>
      <c r="B548" s="506">
        <f>IFERROR(__xludf.DUMMYFUNCTION("""COMPUTED_VALUE"""),45895.6666666666)</f>
        <v/>
      </c>
      <c r="C548" s="141">
        <f>IFERROR(__xludf.DUMMYFUNCTION("""COMPUTED_VALUE"""),226.87)</f>
        <v/>
      </c>
      <c r="D548" s="141">
        <f>IFERROR(__xludf.DUMMYFUNCTION("""COMPUTED_VALUE"""),229.49)</f>
        <v/>
      </c>
      <c r="E548" s="141">
        <f>IFERROR(__xludf.DUMMYFUNCTION("""COMPUTED_VALUE"""),224.69)</f>
        <v/>
      </c>
      <c r="F548" s="141">
        <f>IFERROR(__xludf.DUMMYFUNCTION("""COMPUTED_VALUE"""),229.31)</f>
        <v/>
      </c>
      <c r="G548" s="143">
        <f>IFERROR(__xludf.DUMMYFUNCTION("""COMPUTED_VALUE"""),54575107)</f>
        <v/>
      </c>
      <c r="H548" s="27" t="n"/>
    </row>
    <row r="549" ht="17.25" customHeight="1" s="322">
      <c r="A549" s="27" t="n"/>
      <c r="B549" s="506">
        <f>IFERROR(__xludf.DUMMYFUNCTION("""COMPUTED_VALUE"""),45896.6666666666)</f>
        <v/>
      </c>
      <c r="C549" s="141">
        <f>IFERROR(__xludf.DUMMYFUNCTION("""COMPUTED_VALUE"""),228.61)</f>
        <v/>
      </c>
      <c r="D549" s="141">
        <f>IFERROR(__xludf.DUMMYFUNCTION("""COMPUTED_VALUE"""),230.9)</f>
        <v/>
      </c>
      <c r="E549" s="141">
        <f>IFERROR(__xludf.DUMMYFUNCTION("""COMPUTED_VALUE"""),228.26)</f>
        <v/>
      </c>
      <c r="F549" s="141">
        <f>IFERROR(__xludf.DUMMYFUNCTION("""COMPUTED_VALUE"""),230.49)</f>
        <v/>
      </c>
      <c r="G549" s="143">
        <f>IFERROR(__xludf.DUMMYFUNCTION("""COMPUTED_VALUE"""),31259513)</f>
        <v/>
      </c>
      <c r="H549" s="27" t="n"/>
    </row>
    <row r="550" ht="17.25" customHeight="1" s="322">
      <c r="A550" s="27" t="n"/>
      <c r="B550" s="506">
        <f>IFERROR(__xludf.DUMMYFUNCTION("""COMPUTED_VALUE"""),45897.6666666666)</f>
        <v/>
      </c>
      <c r="C550" s="141">
        <f>IFERROR(__xludf.DUMMYFUNCTION("""COMPUTED_VALUE"""),230.82)</f>
        <v/>
      </c>
      <c r="D550" s="141">
        <f>IFERROR(__xludf.DUMMYFUNCTION("""COMPUTED_VALUE"""),233.41)</f>
        <v/>
      </c>
      <c r="E550" s="141">
        <f>IFERROR(__xludf.DUMMYFUNCTION("""COMPUTED_VALUE"""),229.34)</f>
        <v/>
      </c>
      <c r="F550" s="141">
        <f>IFERROR(__xludf.DUMMYFUNCTION("""COMPUTED_VALUE"""),232.56)</f>
        <v/>
      </c>
      <c r="G550" s="143">
        <f>IFERROR(__xludf.DUMMYFUNCTION("""COMPUTED_VALUE"""),38074700)</f>
        <v/>
      </c>
      <c r="H550" s="27" t="n"/>
    </row>
    <row r="551" ht="17.25" customHeight="1" s="322">
      <c r="A551" s="27" t="n"/>
      <c r="B551" s="506">
        <f>IFERROR(__xludf.DUMMYFUNCTION("""COMPUTED_VALUE"""),45898.6666666666)</f>
        <v/>
      </c>
      <c r="C551" s="141">
        <f>IFERROR(__xludf.DUMMYFUNCTION("""COMPUTED_VALUE"""),232.51)</f>
        <v/>
      </c>
      <c r="D551" s="141">
        <f>IFERROR(__xludf.DUMMYFUNCTION("""COMPUTED_VALUE"""),233.38)</f>
        <v/>
      </c>
      <c r="E551" s="141">
        <f>IFERROR(__xludf.DUMMYFUNCTION("""COMPUTED_VALUE"""),231.37)</f>
        <v/>
      </c>
      <c r="F551" s="141">
        <f>IFERROR(__xludf.DUMMYFUNCTION("""COMPUTED_VALUE"""),232.14)</f>
        <v/>
      </c>
      <c r="G551" s="143">
        <f>IFERROR(__xludf.DUMMYFUNCTION("""COMPUTED_VALUE"""),39418437)</f>
        <v/>
      </c>
      <c r="H551" s="27" t="n"/>
    </row>
    <row r="552" ht="17.25" customHeight="1" s="322">
      <c r="A552" s="27" t="n"/>
      <c r="B552" s="506">
        <f>IFERROR(__xludf.DUMMYFUNCTION("""COMPUTED_VALUE"""),45902.6666666666)</f>
        <v/>
      </c>
      <c r="C552" s="141">
        <f>IFERROR(__xludf.DUMMYFUNCTION("""COMPUTED_VALUE"""),229.25)</f>
        <v/>
      </c>
      <c r="D552" s="141">
        <f>IFERROR(__xludf.DUMMYFUNCTION("""COMPUTED_VALUE"""),230.85)</f>
        <v/>
      </c>
      <c r="E552" s="141">
        <f>IFERROR(__xludf.DUMMYFUNCTION("""COMPUTED_VALUE"""),226.97)</f>
        <v/>
      </c>
      <c r="F552" s="141">
        <f>IFERROR(__xludf.DUMMYFUNCTION("""COMPUTED_VALUE"""),229.72)</f>
        <v/>
      </c>
      <c r="G552" s="143">
        <f>IFERROR(__xludf.DUMMYFUNCTION("""COMPUTED_VALUE"""),44075638)</f>
        <v/>
      </c>
      <c r="H552" s="27" t="n"/>
    </row>
    <row r="553" ht="17.25" customHeight="1" s="322">
      <c r="A553" s="27" t="n"/>
      <c r="B553" s="506">
        <f>IFERROR(__xludf.DUMMYFUNCTION("""COMPUTED_VALUE"""),45903.6666666666)</f>
        <v/>
      </c>
      <c r="C553" s="141">
        <f>IFERROR(__xludf.DUMMYFUNCTION("""COMPUTED_VALUE"""),237.21)</f>
        <v/>
      </c>
      <c r="D553" s="141">
        <f>IFERROR(__xludf.DUMMYFUNCTION("""COMPUTED_VALUE"""),238.85)</f>
        <v/>
      </c>
      <c r="E553" s="141">
        <f>IFERROR(__xludf.DUMMYFUNCTION("""COMPUTED_VALUE"""),234.36)</f>
        <v/>
      </c>
      <c r="F553" s="141">
        <f>IFERROR(__xludf.DUMMYFUNCTION("""COMPUTED_VALUE"""),238.47)</f>
        <v/>
      </c>
      <c r="G553" s="143">
        <f>IFERROR(__xludf.DUMMYFUNCTION("""COMPUTED_VALUE"""),66427835)</f>
        <v/>
      </c>
      <c r="H553" s="27" t="n"/>
    </row>
    <row r="554" ht="17.25" customHeight="1" s="322">
      <c r="A554" s="27" t="n"/>
      <c r="B554" s="506">
        <f>IFERROR(__xludf.DUMMYFUNCTION("""COMPUTED_VALUE"""),45904.6666666666)</f>
        <v/>
      </c>
      <c r="C554" s="141">
        <f>IFERROR(__xludf.DUMMYFUNCTION("""COMPUTED_VALUE"""),238.45)</f>
        <v/>
      </c>
      <c r="D554" s="141">
        <f>IFERROR(__xludf.DUMMYFUNCTION("""COMPUTED_VALUE"""),239.9)</f>
        <v/>
      </c>
      <c r="E554" s="141">
        <f>IFERROR(__xludf.DUMMYFUNCTION("""COMPUTED_VALUE"""),236.74)</f>
        <v/>
      </c>
      <c r="F554" s="141">
        <f>IFERROR(__xludf.DUMMYFUNCTION("""COMPUTED_VALUE"""),239.78)</f>
        <v/>
      </c>
      <c r="G554" s="143">
        <f>IFERROR(__xludf.DUMMYFUNCTION("""COMPUTED_VALUE"""),47549429)</f>
        <v/>
      </c>
      <c r="H554" s="27" t="n"/>
    </row>
    <row r="555" ht="17.25" customHeight="1" s="322">
      <c r="A555" s="27" t="n"/>
      <c r="B555" s="506">
        <f>IFERROR(__xludf.DUMMYFUNCTION("""COMPUTED_VALUE"""),45905.6666666666)</f>
        <v/>
      </c>
      <c r="C555" s="141">
        <f>IFERROR(__xludf.DUMMYFUNCTION("""COMPUTED_VALUE"""),240)</f>
        <v/>
      </c>
      <c r="D555" s="141">
        <f>IFERROR(__xludf.DUMMYFUNCTION("""COMPUTED_VALUE"""),241.32)</f>
        <v/>
      </c>
      <c r="E555" s="141">
        <f>IFERROR(__xludf.DUMMYFUNCTION("""COMPUTED_VALUE"""),238.49)</f>
        <v/>
      </c>
      <c r="F555" s="141">
        <f>IFERROR(__xludf.DUMMYFUNCTION("""COMPUTED_VALUE"""),239.69)</f>
        <v/>
      </c>
      <c r="G555" s="143">
        <f>IFERROR(__xludf.DUMMYFUNCTION("""COMPUTED_VALUE"""),54870397)</f>
        <v/>
      </c>
      <c r="H555" s="27" t="n"/>
    </row>
    <row r="556" ht="17.25" customHeight="1" s="322">
      <c r="A556" s="27" t="n"/>
      <c r="B556" s="506">
        <f>IFERROR(__xludf.DUMMYFUNCTION("""COMPUTED_VALUE"""),45908.6666666666)</f>
        <v/>
      </c>
      <c r="C556" s="141">
        <f>IFERROR(__xludf.DUMMYFUNCTION("""COMPUTED_VALUE"""),239.3)</f>
        <v/>
      </c>
      <c r="D556" s="141">
        <f>IFERROR(__xludf.DUMMYFUNCTION("""COMPUTED_VALUE"""),240.15)</f>
        <v/>
      </c>
      <c r="E556" s="141">
        <f>IFERROR(__xludf.DUMMYFUNCTION("""COMPUTED_VALUE"""),236.34)</f>
        <v/>
      </c>
      <c r="F556" s="141">
        <f>IFERROR(__xludf.DUMMYFUNCTION("""COMPUTED_VALUE"""),237.88)</f>
        <v/>
      </c>
      <c r="G556" s="143">
        <f>IFERROR(__xludf.DUMMYFUNCTION("""COMPUTED_VALUE"""),48999495)</f>
        <v/>
      </c>
      <c r="H556" s="27" t="n"/>
    </row>
    <row r="557" ht="17.25" customHeight="1" s="322">
      <c r="A557" s="27" t="n"/>
      <c r="B557" s="506">
        <f>IFERROR(__xludf.DUMMYFUNCTION("""COMPUTED_VALUE"""),45909.6666666666)</f>
        <v/>
      </c>
      <c r="C557" s="141">
        <f>IFERROR(__xludf.DUMMYFUNCTION("""COMPUTED_VALUE"""),237)</f>
        <v/>
      </c>
      <c r="D557" s="141">
        <f>IFERROR(__xludf.DUMMYFUNCTION("""COMPUTED_VALUE"""),238.78)</f>
        <v/>
      </c>
      <c r="E557" s="141">
        <f>IFERROR(__xludf.DUMMYFUNCTION("""COMPUTED_VALUE"""),233.36)</f>
        <v/>
      </c>
      <c r="F557" s="141">
        <f>IFERROR(__xludf.DUMMYFUNCTION("""COMPUTED_VALUE"""),234.35)</f>
        <v/>
      </c>
      <c r="G557" s="143">
        <f>IFERROR(__xludf.DUMMYFUNCTION("""COMPUTED_VALUE"""),66313918)</f>
        <v/>
      </c>
      <c r="H557" s="27" t="n"/>
    </row>
    <row r="558" ht="17.25" customHeight="1" s="322">
      <c r="A558" s="27" t="n"/>
      <c r="B558" s="506">
        <f>IFERROR(__xludf.DUMMYFUNCTION("""COMPUTED_VALUE"""),45910.6666666666)</f>
        <v/>
      </c>
      <c r="C558" s="141">
        <f>IFERROR(__xludf.DUMMYFUNCTION("""COMPUTED_VALUE"""),232.19)</f>
        <v/>
      </c>
      <c r="D558" s="141">
        <f>IFERROR(__xludf.DUMMYFUNCTION("""COMPUTED_VALUE"""),232.42)</f>
        <v/>
      </c>
      <c r="E558" s="141">
        <f>IFERROR(__xludf.DUMMYFUNCTION("""COMPUTED_VALUE"""),225.95)</f>
        <v/>
      </c>
      <c r="F558" s="141">
        <f>IFERROR(__xludf.DUMMYFUNCTION("""COMPUTED_VALUE"""),226.79)</f>
        <v/>
      </c>
      <c r="G558" s="143">
        <f>IFERROR(__xludf.DUMMYFUNCTION("""COMPUTED_VALUE"""),83440810)</f>
        <v/>
      </c>
      <c r="H558" s="27" t="n"/>
    </row>
    <row r="559" ht="17.25" customHeight="1" s="322">
      <c r="A559" s="27" t="n"/>
      <c r="B559" s="506">
        <f>IFERROR(__xludf.DUMMYFUNCTION("""COMPUTED_VALUE"""),45911.6666666666)</f>
        <v/>
      </c>
      <c r="C559" s="141">
        <f>IFERROR(__xludf.DUMMYFUNCTION("""COMPUTED_VALUE"""),226.88)</f>
        <v/>
      </c>
      <c r="D559" s="141">
        <f>IFERROR(__xludf.DUMMYFUNCTION("""COMPUTED_VALUE"""),230.45)</f>
        <v/>
      </c>
      <c r="E559" s="141">
        <f>IFERROR(__xludf.DUMMYFUNCTION("""COMPUTED_VALUE"""),226.65)</f>
        <v/>
      </c>
      <c r="F559" s="141">
        <f>IFERROR(__xludf.DUMMYFUNCTION("""COMPUTED_VALUE"""),230.03)</f>
        <v/>
      </c>
      <c r="G559" s="143">
        <f>IFERROR(__xludf.DUMMYFUNCTION("""COMPUTED_VALUE"""),50208578)</f>
        <v/>
      </c>
      <c r="H559" s="27" t="n"/>
    </row>
    <row r="560" ht="17.25" customHeight="1" s="322">
      <c r="A560" s="27" t="n"/>
      <c r="B560" s="506">
        <f>IFERROR(__xludf.DUMMYFUNCTION("""COMPUTED_VALUE"""),45912.6666666666)</f>
        <v/>
      </c>
      <c r="C560" s="141">
        <f>IFERROR(__xludf.DUMMYFUNCTION("""COMPUTED_VALUE"""),229.22)</f>
        <v/>
      </c>
      <c r="D560" s="141">
        <f>IFERROR(__xludf.DUMMYFUNCTION("""COMPUTED_VALUE"""),234.51)</f>
        <v/>
      </c>
      <c r="E560" s="141">
        <f>IFERROR(__xludf.DUMMYFUNCTION("""COMPUTED_VALUE"""),229.02)</f>
        <v/>
      </c>
      <c r="F560" s="141">
        <f>IFERROR(__xludf.DUMMYFUNCTION("""COMPUTED_VALUE"""),234.07)</f>
        <v/>
      </c>
      <c r="G560" s="143">
        <f>IFERROR(__xludf.DUMMYFUNCTION("""COMPUTED_VALUE"""),55824216)</f>
        <v/>
      </c>
      <c r="H560" s="27" t="n"/>
    </row>
    <row r="561" ht="17.25" customHeight="1" s="322">
      <c r="A561" s="27" t="n"/>
      <c r="B561" s="506">
        <f>IFERROR(__xludf.DUMMYFUNCTION("""COMPUTED_VALUE"""),45915.6666666666)</f>
        <v/>
      </c>
      <c r="C561" s="141">
        <f>IFERROR(__xludf.DUMMYFUNCTION("""COMPUTED_VALUE"""),237)</f>
        <v/>
      </c>
      <c r="D561" s="141">
        <f>IFERROR(__xludf.DUMMYFUNCTION("""COMPUTED_VALUE"""),238.19)</f>
        <v/>
      </c>
      <c r="E561" s="141">
        <f>IFERROR(__xludf.DUMMYFUNCTION("""COMPUTED_VALUE"""),235.03)</f>
        <v/>
      </c>
      <c r="F561" s="141">
        <f>IFERROR(__xludf.DUMMYFUNCTION("""COMPUTED_VALUE"""),236.7)</f>
        <v/>
      </c>
      <c r="G561" s="143">
        <f>IFERROR(__xludf.DUMMYFUNCTION("""COMPUTED_VALUE"""),42699524)</f>
        <v/>
      </c>
      <c r="H561" s="27" t="n"/>
    </row>
    <row r="562" ht="17.25" customHeight="1" s="322">
      <c r="A562" s="27" t="n"/>
      <c r="B562" s="506">
        <f>IFERROR(__xludf.DUMMYFUNCTION("""COMPUTED_VALUE"""),45916.6666666666)</f>
        <v/>
      </c>
      <c r="C562" s="141">
        <f>IFERROR(__xludf.DUMMYFUNCTION("""COMPUTED_VALUE"""),237.18)</f>
        <v/>
      </c>
      <c r="D562" s="141">
        <f>IFERROR(__xludf.DUMMYFUNCTION("""COMPUTED_VALUE"""),241.22)</f>
        <v/>
      </c>
      <c r="E562" s="141">
        <f>IFERROR(__xludf.DUMMYFUNCTION("""COMPUTED_VALUE"""),236.32)</f>
        <v/>
      </c>
      <c r="F562" s="141">
        <f>IFERROR(__xludf.DUMMYFUNCTION("""COMPUTED_VALUE"""),238.15)</f>
        <v/>
      </c>
      <c r="G562" s="143">
        <f>IFERROR(__xludf.DUMMYFUNCTION("""COMPUTED_VALUE"""),63421099)</f>
        <v/>
      </c>
      <c r="H562" s="27" t="n"/>
    </row>
    <row r="563" ht="17.25" customHeight="1" s="322">
      <c r="A563" s="27" t="n"/>
      <c r="B563" s="506">
        <f>IFERROR(__xludf.DUMMYFUNCTION("""COMPUTED_VALUE"""),45917.6666666666)</f>
        <v/>
      </c>
      <c r="C563" s="141">
        <f>IFERROR(__xludf.DUMMYFUNCTION("""COMPUTED_VALUE"""),238.97)</f>
        <v/>
      </c>
      <c r="D563" s="141">
        <f>IFERROR(__xludf.DUMMYFUNCTION("""COMPUTED_VALUE"""),240.1)</f>
        <v/>
      </c>
      <c r="E563" s="141">
        <f>IFERROR(__xludf.DUMMYFUNCTION("""COMPUTED_VALUE"""),237.73)</f>
        <v/>
      </c>
      <c r="F563" s="141">
        <f>IFERROR(__xludf.DUMMYFUNCTION("""COMPUTED_VALUE"""),238.99)</f>
        <v/>
      </c>
      <c r="G563" s="143">
        <f>IFERROR(__xludf.DUMMYFUNCTION("""COMPUTED_VALUE"""),46508017)</f>
        <v/>
      </c>
      <c r="H563" s="27" t="n"/>
    </row>
    <row r="564" ht="17.25" customHeight="1" s="322">
      <c r="A564" s="27" t="n"/>
      <c r="B564" s="506">
        <f>IFERROR(__xludf.DUMMYFUNCTION("""COMPUTED_VALUE"""),45918.6666666666)</f>
        <v/>
      </c>
      <c r="C564" s="141">
        <f>IFERROR(__xludf.DUMMYFUNCTION("""COMPUTED_VALUE"""),239.97)</f>
        <v/>
      </c>
      <c r="D564" s="141">
        <f>IFERROR(__xludf.DUMMYFUNCTION("""COMPUTED_VALUE"""),241.2)</f>
        <v/>
      </c>
      <c r="E564" s="141">
        <f>IFERROR(__xludf.DUMMYFUNCTION("""COMPUTED_VALUE"""),236.65)</f>
        <v/>
      </c>
      <c r="F564" s="141">
        <f>IFERROR(__xludf.DUMMYFUNCTION("""COMPUTED_VALUE"""),237.88)</f>
        <v/>
      </c>
      <c r="G564" s="143">
        <f>IFERROR(__xludf.DUMMYFUNCTION("""COMPUTED_VALUE"""),44249576)</f>
        <v/>
      </c>
      <c r="H564" s="27" t="n"/>
    </row>
    <row r="565" ht="17.25" customHeight="1" s="322">
      <c r="A565" s="27" t="n"/>
      <c r="B565" s="506">
        <f>IFERROR(__xludf.DUMMYFUNCTION("""COMPUTED_VALUE"""),45919.6666666666)</f>
        <v/>
      </c>
      <c r="C565" s="141">
        <f>IFERROR(__xludf.DUMMYFUNCTION("""COMPUTED_VALUE"""),241.23)</f>
        <v/>
      </c>
      <c r="D565" s="141">
        <f>IFERROR(__xludf.DUMMYFUNCTION("""COMPUTED_VALUE"""),246.3)</f>
        <v/>
      </c>
      <c r="E565" s="141">
        <f>IFERROR(__xludf.DUMMYFUNCTION("""COMPUTED_VALUE"""),240.21)</f>
        <v/>
      </c>
      <c r="F565" s="141">
        <f>IFERROR(__xludf.DUMMYFUNCTION("""COMPUTED_VALUE"""),245.5)</f>
        <v/>
      </c>
      <c r="G565" s="143">
        <f>IFERROR(__xludf.DUMMYFUNCTION("""COMPUTED_VALUE"""),163741314)</f>
        <v/>
      </c>
      <c r="H565" s="27" t="n"/>
    </row>
    <row r="566" ht="17.25" customHeight="1" s="322">
      <c r="A566" s="27" t="n"/>
      <c r="B566" s="506">
        <f>IFERROR(__xludf.DUMMYFUNCTION("""COMPUTED_VALUE"""),45922.6666666666)</f>
        <v/>
      </c>
      <c r="C566" s="141">
        <f>IFERROR(__xludf.DUMMYFUNCTION("""COMPUTED_VALUE"""),248.3)</f>
        <v/>
      </c>
      <c r="D566" s="141">
        <f>IFERROR(__xludf.DUMMYFUNCTION("""COMPUTED_VALUE"""),256.64)</f>
        <v/>
      </c>
      <c r="E566" s="141">
        <f>IFERROR(__xludf.DUMMYFUNCTION("""COMPUTED_VALUE"""),248.12)</f>
        <v/>
      </c>
      <c r="F566" s="141">
        <f>IFERROR(__xludf.DUMMYFUNCTION("""COMPUTED_VALUE"""),256.08)</f>
        <v/>
      </c>
      <c r="G566" s="143">
        <f>IFERROR(__xludf.DUMMYFUNCTION("""COMPUTED_VALUE"""),105517416)</f>
        <v/>
      </c>
      <c r="H566" s="27" t="n"/>
    </row>
    <row r="567" ht="17.25" customHeight="1" s="322">
      <c r="A567" s="27" t="n"/>
      <c r="B567" s="506">
        <f>IFERROR(__xludf.DUMMYFUNCTION("""COMPUTED_VALUE"""),45923.6666666666)</f>
        <v/>
      </c>
      <c r="C567" s="141">
        <f>IFERROR(__xludf.DUMMYFUNCTION("""COMPUTED_VALUE"""),255.88)</f>
        <v/>
      </c>
      <c r="D567" s="141">
        <f>IFERROR(__xludf.DUMMYFUNCTION("""COMPUTED_VALUE"""),257.34)</f>
        <v/>
      </c>
      <c r="E567" s="141">
        <f>IFERROR(__xludf.DUMMYFUNCTION("""COMPUTED_VALUE"""),253.58)</f>
        <v/>
      </c>
      <c r="F567" s="141">
        <f>IFERROR(__xludf.DUMMYFUNCTION("""COMPUTED_VALUE"""),254.43)</f>
        <v/>
      </c>
      <c r="G567" s="143">
        <f>IFERROR(__xludf.DUMMYFUNCTION("""COMPUTED_VALUE"""),60275187)</f>
        <v/>
      </c>
      <c r="H567" s="27" t="n"/>
    </row>
    <row r="568" ht="17.25" customHeight="1" s="322">
      <c r="A568" s="27" t="n"/>
      <c r="B568" s="506">
        <f>IFERROR(__xludf.DUMMYFUNCTION("""COMPUTED_VALUE"""),45924.6666666666)</f>
        <v/>
      </c>
      <c r="C568" s="141">
        <f>IFERROR(__xludf.DUMMYFUNCTION("""COMPUTED_VALUE"""),255.22)</f>
        <v/>
      </c>
      <c r="D568" s="141">
        <f>IFERROR(__xludf.DUMMYFUNCTION("""COMPUTED_VALUE"""),255.74)</f>
        <v/>
      </c>
      <c r="E568" s="141">
        <f>IFERROR(__xludf.DUMMYFUNCTION("""COMPUTED_VALUE"""),251.04)</f>
        <v/>
      </c>
      <c r="F568" s="141">
        <f>IFERROR(__xludf.DUMMYFUNCTION("""COMPUTED_VALUE"""),252.31)</f>
        <v/>
      </c>
      <c r="G568" s="143">
        <f>IFERROR(__xludf.DUMMYFUNCTION("""COMPUTED_VALUE"""),42303710)</f>
        <v/>
      </c>
      <c r="H568" s="27" t="n"/>
    </row>
    <row r="569" ht="17.25" customHeight="1" s="322">
      <c r="A569" s="27" t="n"/>
      <c r="B569" s="506">
        <f>IFERROR(__xludf.DUMMYFUNCTION("""COMPUTED_VALUE"""),45925.6666666666)</f>
        <v/>
      </c>
      <c r="C569" s="141">
        <f>IFERROR(__xludf.DUMMYFUNCTION("""COMPUTED_VALUE"""),253.21)</f>
        <v/>
      </c>
      <c r="D569" s="141">
        <f>IFERROR(__xludf.DUMMYFUNCTION("""COMPUTED_VALUE"""),257.17)</f>
        <v/>
      </c>
      <c r="E569" s="141">
        <f>IFERROR(__xludf.DUMMYFUNCTION("""COMPUTED_VALUE"""),251.71)</f>
        <v/>
      </c>
      <c r="F569" s="141">
        <f>IFERROR(__xludf.DUMMYFUNCTION("""COMPUTED_VALUE"""),256.87)</f>
        <v/>
      </c>
      <c r="G569" s="143">
        <f>IFERROR(__xludf.DUMMYFUNCTION("""COMPUTED_VALUE"""),55202075)</f>
        <v/>
      </c>
      <c r="H569" s="27" t="n"/>
    </row>
    <row r="570" ht="17.25" customHeight="1" s="322">
      <c r="A570" s="27" t="n"/>
      <c r="B570" s="506">
        <f>IFERROR(__xludf.DUMMYFUNCTION("""COMPUTED_VALUE"""),45926.6666666666)</f>
        <v/>
      </c>
      <c r="C570" s="141">
        <f>IFERROR(__xludf.DUMMYFUNCTION("""COMPUTED_VALUE"""),254.1)</f>
        <v/>
      </c>
      <c r="D570" s="141">
        <f>IFERROR(__xludf.DUMMYFUNCTION("""COMPUTED_VALUE"""),257.6)</f>
        <v/>
      </c>
      <c r="E570" s="141">
        <f>IFERROR(__xludf.DUMMYFUNCTION("""COMPUTED_VALUE"""),253.78)</f>
        <v/>
      </c>
      <c r="F570" s="141">
        <f>IFERROR(__xludf.DUMMYFUNCTION("""COMPUTED_VALUE"""),255.46)</f>
        <v/>
      </c>
      <c r="G570" s="143">
        <f>IFERROR(__xludf.DUMMYFUNCTION("""COMPUTED_VALUE"""),46076258)</f>
        <v/>
      </c>
      <c r="H570" s="27" t="n"/>
    </row>
    <row r="571" ht="17.25" customHeight="1" s="322">
      <c r="A571" s="27" t="n"/>
      <c r="B571" s="506">
        <f>IFERROR(__xludf.DUMMYFUNCTION("""COMPUTED_VALUE"""),45929.6666666666)</f>
        <v/>
      </c>
      <c r="C571" s="141">
        <f>IFERROR(__xludf.DUMMYFUNCTION("""COMPUTED_VALUE"""),254.56)</f>
        <v/>
      </c>
      <c r="D571" s="141">
        <f>IFERROR(__xludf.DUMMYFUNCTION("""COMPUTED_VALUE"""),255)</f>
        <v/>
      </c>
      <c r="E571" s="141">
        <f>IFERROR(__xludf.DUMMYFUNCTION("""COMPUTED_VALUE"""),253.01)</f>
        <v/>
      </c>
      <c r="F571" s="141">
        <f>IFERROR(__xludf.DUMMYFUNCTION("""COMPUTED_VALUE"""),254.43)</f>
        <v/>
      </c>
      <c r="G571" s="143">
        <f>IFERROR(__xludf.DUMMYFUNCTION("""COMPUTED_VALUE"""),40127687)</f>
        <v/>
      </c>
      <c r="H571" s="27" t="n"/>
    </row>
    <row r="572" ht="17.25" customHeight="1" s="322">
      <c r="A572" s="27" t="n"/>
      <c r="B572" s="506">
        <f>IFERROR(__xludf.DUMMYFUNCTION("""COMPUTED_VALUE"""),45930.6666666666)</f>
        <v/>
      </c>
      <c r="C572" s="141">
        <f>IFERROR(__xludf.DUMMYFUNCTION("""COMPUTED_VALUE"""),254.86)</f>
        <v/>
      </c>
      <c r="D572" s="141">
        <f>IFERROR(__xludf.DUMMYFUNCTION("""COMPUTED_VALUE"""),255.92)</f>
        <v/>
      </c>
      <c r="E572" s="141">
        <f>IFERROR(__xludf.DUMMYFUNCTION("""COMPUTED_VALUE"""),253.11)</f>
        <v/>
      </c>
      <c r="F572" s="141">
        <f>IFERROR(__xludf.DUMMYFUNCTION("""COMPUTED_VALUE"""),254.63)</f>
        <v/>
      </c>
      <c r="G572" s="143">
        <f>IFERROR(__xludf.DUMMYFUNCTION("""COMPUTED_VALUE"""),37704259)</f>
        <v/>
      </c>
      <c r="H572" s="27" t="n"/>
    </row>
    <row r="573" ht="17.25" customHeight="1" s="322">
      <c r="A573" s="27" t="n"/>
      <c r="B573" s="506">
        <f>IFERROR(__xludf.DUMMYFUNCTION("""COMPUTED_VALUE"""),45931.6666666666)</f>
        <v/>
      </c>
      <c r="C573" s="141">
        <f>IFERROR(__xludf.DUMMYFUNCTION("""COMPUTED_VALUE"""),255.04)</f>
        <v/>
      </c>
      <c r="D573" s="141">
        <f>IFERROR(__xludf.DUMMYFUNCTION("""COMPUTED_VALUE"""),258.79)</f>
        <v/>
      </c>
      <c r="E573" s="141">
        <f>IFERROR(__xludf.DUMMYFUNCTION("""COMPUTED_VALUE"""),254.93)</f>
        <v/>
      </c>
      <c r="F573" s="141">
        <f>IFERROR(__xludf.DUMMYFUNCTION("""COMPUTED_VALUE"""),255.45)</f>
        <v/>
      </c>
      <c r="G573" s="143">
        <f>IFERROR(__xludf.DUMMYFUNCTION("""COMPUTED_VALUE"""),48713940)</f>
        <v/>
      </c>
      <c r="H573" s="27" t="n"/>
    </row>
    <row r="574" ht="17.25" customHeight="1" s="322">
      <c r="A574" s="27" t="n"/>
      <c r="B574" s="506">
        <f>IFERROR(__xludf.DUMMYFUNCTION("""COMPUTED_VALUE"""),45932.6666666666)</f>
        <v/>
      </c>
      <c r="C574" s="141">
        <f>IFERROR(__xludf.DUMMYFUNCTION("""COMPUTED_VALUE"""),256.58)</f>
        <v/>
      </c>
      <c r="D574" s="141">
        <f>IFERROR(__xludf.DUMMYFUNCTION("""COMPUTED_VALUE"""),258.18)</f>
        <v/>
      </c>
      <c r="E574" s="141">
        <f>IFERROR(__xludf.DUMMYFUNCTION("""COMPUTED_VALUE"""),254.15)</f>
        <v/>
      </c>
      <c r="F574" s="141">
        <f>IFERROR(__xludf.DUMMYFUNCTION("""COMPUTED_VALUE"""),257.13)</f>
        <v/>
      </c>
      <c r="G574" s="143">
        <f>IFERROR(__xludf.DUMMYFUNCTION("""COMPUTED_VALUE"""),42630239)</f>
        <v/>
      </c>
      <c r="H574" s="27" t="n"/>
    </row>
    <row r="575" ht="17.25" customHeight="1" s="322">
      <c r="A575" s="27" t="n"/>
      <c r="B575" s="506">
        <f>IFERROR(__xludf.DUMMYFUNCTION("""COMPUTED_VALUE"""),45933.6666666666)</f>
        <v/>
      </c>
      <c r="C575" s="141">
        <f>IFERROR(__xludf.DUMMYFUNCTION("""COMPUTED_VALUE"""),254.67)</f>
        <v/>
      </c>
      <c r="D575" s="141">
        <f>IFERROR(__xludf.DUMMYFUNCTION("""COMPUTED_VALUE"""),259.24)</f>
        <v/>
      </c>
      <c r="E575" s="141">
        <f>IFERROR(__xludf.DUMMYFUNCTION("""COMPUTED_VALUE"""),253.95)</f>
        <v/>
      </c>
      <c r="F575" s="141">
        <f>IFERROR(__xludf.DUMMYFUNCTION("""COMPUTED_VALUE"""),258.02)</f>
        <v/>
      </c>
      <c r="G575" s="143">
        <f>IFERROR(__xludf.DUMMYFUNCTION("""COMPUTED_VALUE"""),49155614)</f>
        <v/>
      </c>
      <c r="H575" s="27" t="n"/>
    </row>
    <row r="576" ht="17.25" customHeight="1" s="322">
      <c r="A576" s="27" t="n"/>
      <c r="B576" s="506">
        <f>IFERROR(__xludf.DUMMYFUNCTION("""COMPUTED_VALUE"""),45936.6666666666)</f>
        <v/>
      </c>
      <c r="C576" s="141">
        <f>IFERROR(__xludf.DUMMYFUNCTION("""COMPUTED_VALUE"""),257.99)</f>
        <v/>
      </c>
      <c r="D576" s="141">
        <f>IFERROR(__xludf.DUMMYFUNCTION("""COMPUTED_VALUE"""),259.07)</f>
        <v/>
      </c>
      <c r="E576" s="141">
        <f>IFERROR(__xludf.DUMMYFUNCTION("""COMPUTED_VALUE"""),255.05)</f>
        <v/>
      </c>
      <c r="F576" s="141">
        <f>IFERROR(__xludf.DUMMYFUNCTION("""COMPUTED_VALUE"""),256.69)</f>
        <v/>
      </c>
      <c r="G576" s="143">
        <f>IFERROR(__xludf.DUMMYFUNCTION("""COMPUTED_VALUE"""),44664118)</f>
        <v/>
      </c>
      <c r="H576" s="27" t="n"/>
    </row>
    <row r="577" ht="17.25" customHeight="1" s="322">
      <c r="A577" s="27" t="n"/>
      <c r="B577" s="506">
        <f>IFERROR(__xludf.DUMMYFUNCTION("""COMPUTED_VALUE"""),45937.6666666666)</f>
        <v/>
      </c>
      <c r="C577" s="141">
        <f>IFERROR(__xludf.DUMMYFUNCTION("""COMPUTED_VALUE"""),256.81)</f>
        <v/>
      </c>
      <c r="D577" s="141">
        <f>IFERROR(__xludf.DUMMYFUNCTION("""COMPUTED_VALUE"""),257.4)</f>
        <v/>
      </c>
      <c r="E577" s="141">
        <f>IFERROR(__xludf.DUMMYFUNCTION("""COMPUTED_VALUE"""),255.43)</f>
        <v/>
      </c>
      <c r="F577" s="141">
        <f>IFERROR(__xludf.DUMMYFUNCTION("""COMPUTED_VALUE"""),256.48)</f>
        <v/>
      </c>
      <c r="G577" s="143">
        <f>IFERROR(__xludf.DUMMYFUNCTION("""COMPUTED_VALUE"""),31955776)</f>
        <v/>
      </c>
      <c r="H577" s="27" t="n"/>
    </row>
    <row r="578" ht="17.25" customHeight="1" s="322">
      <c r="A578" s="27" t="n"/>
      <c r="B578" s="506">
        <f>IFERROR(__xludf.DUMMYFUNCTION("""COMPUTED_VALUE"""),45938.6666666666)</f>
        <v/>
      </c>
      <c r="C578" s="141">
        <f>IFERROR(__xludf.DUMMYFUNCTION("""COMPUTED_VALUE"""),256.52)</f>
        <v/>
      </c>
      <c r="D578" s="141">
        <f>IFERROR(__xludf.DUMMYFUNCTION("""COMPUTED_VALUE"""),258.52)</f>
        <v/>
      </c>
      <c r="E578" s="141">
        <f>IFERROR(__xludf.DUMMYFUNCTION("""COMPUTED_VALUE"""),256.11)</f>
        <v/>
      </c>
      <c r="F578" s="141">
        <f>IFERROR(__xludf.DUMMYFUNCTION("""COMPUTED_VALUE"""),258.06)</f>
        <v/>
      </c>
      <c r="G578" s="143">
        <f>IFERROR(__xludf.DUMMYFUNCTION("""COMPUTED_VALUE"""),36496895)</f>
        <v/>
      </c>
      <c r="H578" s="27" t="n"/>
    </row>
    <row r="579" ht="17.25" customHeight="1" s="322">
      <c r="A579" s="27" t="n"/>
      <c r="B579" s="506">
        <f>IFERROR(__xludf.DUMMYFUNCTION("""COMPUTED_VALUE"""),45939.6666666666)</f>
        <v/>
      </c>
      <c r="C579" s="141">
        <f>IFERROR(__xludf.DUMMYFUNCTION("""COMPUTED_VALUE"""),257.81)</f>
        <v/>
      </c>
      <c r="D579" s="141">
        <f>IFERROR(__xludf.DUMMYFUNCTION("""COMPUTED_VALUE"""),258)</f>
        <v/>
      </c>
      <c r="E579" s="141">
        <f>IFERROR(__xludf.DUMMYFUNCTION("""COMPUTED_VALUE"""),253.14)</f>
        <v/>
      </c>
      <c r="F579" s="141">
        <f>IFERROR(__xludf.DUMMYFUNCTION("""COMPUTED_VALUE"""),254.04)</f>
        <v/>
      </c>
      <c r="G579" s="143">
        <f>IFERROR(__xludf.DUMMYFUNCTION("""COMPUTED_VALUE"""),38322012)</f>
        <v/>
      </c>
      <c r="H579" s="27" t="n"/>
    </row>
    <row r="580" ht="17.25" customHeight="1" s="322">
      <c r="A580" s="27" t="n"/>
      <c r="B580" s="506">
        <f>IFERROR(__xludf.DUMMYFUNCTION("""COMPUTED_VALUE"""),45940.6666666666)</f>
        <v/>
      </c>
      <c r="C580" s="141">
        <f>IFERROR(__xludf.DUMMYFUNCTION("""COMPUTED_VALUE"""),254.94)</f>
        <v/>
      </c>
      <c r="D580" s="141">
        <f>IFERROR(__xludf.DUMMYFUNCTION("""COMPUTED_VALUE"""),256.38)</f>
        <v/>
      </c>
      <c r="E580" s="141">
        <f>IFERROR(__xludf.DUMMYFUNCTION("""COMPUTED_VALUE"""),244)</f>
        <v/>
      </c>
      <c r="F580" s="141">
        <f>IFERROR(__xludf.DUMMYFUNCTION("""COMPUTED_VALUE"""),245.27)</f>
        <v/>
      </c>
      <c r="G580" s="143">
        <f>IFERROR(__xludf.DUMMYFUNCTION("""COMPUTED_VALUE"""),61999098)</f>
        <v/>
      </c>
      <c r="H580" s="27" t="n"/>
    </row>
    <row r="581" ht="17.25" customHeight="1" s="322">
      <c r="A581" s="27" t="n"/>
      <c r="B581" s="506">
        <f>IFERROR(__xludf.DUMMYFUNCTION("""COMPUTED_VALUE"""),45943.6666666666)</f>
        <v/>
      </c>
      <c r="C581" s="141">
        <f>IFERROR(__xludf.DUMMYFUNCTION("""COMPUTED_VALUE"""),249.38)</f>
        <v/>
      </c>
      <c r="D581" s="141">
        <f>IFERROR(__xludf.DUMMYFUNCTION("""COMPUTED_VALUE"""),249.69)</f>
        <v/>
      </c>
      <c r="E581" s="141">
        <f>IFERROR(__xludf.DUMMYFUNCTION("""COMPUTED_VALUE"""),245.56)</f>
        <v/>
      </c>
      <c r="F581" s="141">
        <f>IFERROR(__xludf.DUMMYFUNCTION("""COMPUTED_VALUE"""),247.66)</f>
        <v/>
      </c>
      <c r="G581" s="143">
        <f>IFERROR(__xludf.DUMMYFUNCTION("""COMPUTED_VALUE"""),38142942)</f>
        <v/>
      </c>
      <c r="H581" s="27" t="n"/>
    </row>
    <row r="582" ht="17.25" customHeight="1" s="322">
      <c r="A582" s="27" t="n"/>
      <c r="B582" s="506">
        <f>IFERROR(__xludf.DUMMYFUNCTION("""COMPUTED_VALUE"""),45944.6666666666)</f>
        <v/>
      </c>
      <c r="C582" s="141">
        <f>IFERROR(__xludf.DUMMYFUNCTION("""COMPUTED_VALUE"""),246.6)</f>
        <v/>
      </c>
      <c r="D582" s="141">
        <f>IFERROR(__xludf.DUMMYFUNCTION("""COMPUTED_VALUE"""),248.85)</f>
        <v/>
      </c>
      <c r="E582" s="141">
        <f>IFERROR(__xludf.DUMMYFUNCTION("""COMPUTED_VALUE"""),244.7)</f>
        <v/>
      </c>
      <c r="F582" s="141">
        <f>IFERROR(__xludf.DUMMYFUNCTION("""COMPUTED_VALUE"""),247.77)</f>
        <v/>
      </c>
      <c r="G582" s="143">
        <f>IFERROR(__xludf.DUMMYFUNCTION("""COMPUTED_VALUE"""),35477986)</f>
        <v/>
      </c>
      <c r="H582" s="27" t="n"/>
    </row>
    <row r="583" ht="17.25" customHeight="1" s="322">
      <c r="A583" s="27" t="n"/>
      <c r="B583" s="506">
        <f>IFERROR(__xludf.DUMMYFUNCTION("""COMPUTED_VALUE"""),45945.6666666666)</f>
        <v/>
      </c>
      <c r="C583" s="141">
        <f>IFERROR(__xludf.DUMMYFUNCTION("""COMPUTED_VALUE"""),249.49)</f>
        <v/>
      </c>
      <c r="D583" s="141">
        <f>IFERROR(__xludf.DUMMYFUNCTION("""COMPUTED_VALUE"""),251.82)</f>
        <v/>
      </c>
      <c r="E583" s="141">
        <f>IFERROR(__xludf.DUMMYFUNCTION("""COMPUTED_VALUE"""),247.47)</f>
        <v/>
      </c>
      <c r="F583" s="141">
        <f>IFERROR(__xludf.DUMMYFUNCTION("""COMPUTED_VALUE"""),249.34)</f>
        <v/>
      </c>
      <c r="G583" s="143">
        <f>IFERROR(__xludf.DUMMYFUNCTION("""COMPUTED_VALUE"""),33893611)</f>
        <v/>
      </c>
      <c r="H583" s="27" t="n"/>
    </row>
    <row r="584" ht="17.25" customHeight="1" s="322">
      <c r="A584" s="27" t="n"/>
      <c r="B584" s="506">
        <f>IFERROR(__xludf.DUMMYFUNCTION("""COMPUTED_VALUE"""),45946.6666666666)</f>
        <v/>
      </c>
      <c r="C584" s="141">
        <f>IFERROR(__xludf.DUMMYFUNCTION("""COMPUTED_VALUE"""),248.25)</f>
        <v/>
      </c>
      <c r="D584" s="141">
        <f>IFERROR(__xludf.DUMMYFUNCTION("""COMPUTED_VALUE"""),249.04)</f>
        <v/>
      </c>
      <c r="E584" s="141">
        <f>IFERROR(__xludf.DUMMYFUNCTION("""COMPUTED_VALUE"""),245.13)</f>
        <v/>
      </c>
      <c r="F584" s="141">
        <f>IFERROR(__xludf.DUMMYFUNCTION("""COMPUTED_VALUE"""),247.45)</f>
        <v/>
      </c>
      <c r="G584" s="143">
        <f>IFERROR(__xludf.DUMMYFUNCTION("""COMPUTED_VALUE"""),39776974)</f>
        <v/>
      </c>
      <c r="H584" s="27" t="n"/>
    </row>
    <row r="585" ht="17.25" customHeight="1" s="322">
      <c r="A585" s="27" t="n"/>
      <c r="B585" s="506">
        <f>IFERROR(__xludf.DUMMYFUNCTION("""COMPUTED_VALUE"""),45947.6666666666)</f>
        <v/>
      </c>
      <c r="C585" s="141">
        <f>IFERROR(__xludf.DUMMYFUNCTION("""COMPUTED_VALUE"""),248.02)</f>
        <v/>
      </c>
      <c r="D585" s="141">
        <f>IFERROR(__xludf.DUMMYFUNCTION("""COMPUTED_VALUE"""),253.38)</f>
        <v/>
      </c>
      <c r="E585" s="141">
        <f>IFERROR(__xludf.DUMMYFUNCTION("""COMPUTED_VALUE"""),247.27)</f>
        <v/>
      </c>
      <c r="F585" s="141">
        <f>IFERROR(__xludf.DUMMYFUNCTION("""COMPUTED_VALUE"""),252.29)</f>
        <v/>
      </c>
      <c r="G585" s="143">
        <f>IFERROR(__xludf.DUMMYFUNCTION("""COMPUTED_VALUE"""),49146961)</f>
        <v/>
      </c>
      <c r="H585" s="27" t="n"/>
    </row>
    <row r="586" ht="17.25" customHeight="1" s="322">
      <c r="A586" s="27" t="n"/>
      <c r="B586" s="506">
        <f>IFERROR(__xludf.DUMMYFUNCTION("""COMPUTED_VALUE"""),45950.6666666666)</f>
        <v/>
      </c>
      <c r="C586" s="141">
        <f>IFERROR(__xludf.DUMMYFUNCTION("""COMPUTED_VALUE"""),255.89)</f>
        <v/>
      </c>
      <c r="D586" s="141">
        <f>IFERROR(__xludf.DUMMYFUNCTION("""COMPUTED_VALUE"""),264.38)</f>
        <v/>
      </c>
      <c r="E586" s="141">
        <f>IFERROR(__xludf.DUMMYFUNCTION("""COMPUTED_VALUE"""),255.63)</f>
        <v/>
      </c>
      <c r="F586" s="141">
        <f>IFERROR(__xludf.DUMMYFUNCTION("""COMPUTED_VALUE"""),262.24)</f>
        <v/>
      </c>
      <c r="G586" s="143">
        <f>IFERROR(__xludf.DUMMYFUNCTION("""COMPUTED_VALUE"""),90483029)</f>
        <v/>
      </c>
      <c r="H586" s="27" t="n"/>
    </row>
    <row r="587" ht="17.25" customHeight="1" s="322">
      <c r="A587" s="27" t="n"/>
      <c r="B587" s="506">
        <f>IFERROR(__xludf.DUMMYFUNCTION("""COMPUTED_VALUE"""),45951.6666666666)</f>
        <v/>
      </c>
      <c r="C587" s="141">
        <f>IFERROR(__xludf.DUMMYFUNCTION("""COMPUTED_VALUE"""),261.88)</f>
        <v/>
      </c>
      <c r="D587" s="141">
        <f>IFERROR(__xludf.DUMMYFUNCTION("""COMPUTED_VALUE"""),265.29)</f>
        <v/>
      </c>
      <c r="E587" s="141">
        <f>IFERROR(__xludf.DUMMYFUNCTION("""COMPUTED_VALUE"""),261.83)</f>
        <v/>
      </c>
      <c r="F587" s="141">
        <f>IFERROR(__xludf.DUMMYFUNCTION("""COMPUTED_VALUE"""),262.77)</f>
        <v/>
      </c>
      <c r="G587" s="143">
        <f>IFERROR(__xludf.DUMMYFUNCTION("""COMPUTED_VALUE"""),46695948)</f>
        <v/>
      </c>
      <c r="H587" s="27" t="n"/>
    </row>
    <row r="588" ht="17.25" customHeight="1" s="322">
      <c r="A588" s="27" t="n"/>
      <c r="B588" s="506">
        <f>IFERROR(__xludf.DUMMYFUNCTION("""COMPUTED_VALUE"""),45952.6666666666)</f>
        <v/>
      </c>
      <c r="C588" s="141">
        <f>IFERROR(__xludf.DUMMYFUNCTION("""COMPUTED_VALUE"""),262.65)</f>
        <v/>
      </c>
      <c r="D588" s="141">
        <f>IFERROR(__xludf.DUMMYFUNCTION("""COMPUTED_VALUE"""),262.85)</f>
        <v/>
      </c>
      <c r="E588" s="141">
        <f>IFERROR(__xludf.DUMMYFUNCTION("""COMPUTED_VALUE"""),255.43)</f>
        <v/>
      </c>
      <c r="F588" s="141">
        <f>IFERROR(__xludf.DUMMYFUNCTION("""COMPUTED_VALUE"""),258.45)</f>
        <v/>
      </c>
      <c r="G588" s="143">
        <f>IFERROR(__xludf.DUMMYFUNCTION("""COMPUTED_VALUE"""),45015254)</f>
        <v/>
      </c>
      <c r="H588" s="27" t="n"/>
    </row>
    <row r="589" ht="17.25" customHeight="1" s="322">
      <c r="A589" s="27" t="n"/>
      <c r="B589" s="506">
        <f>IFERROR(__xludf.DUMMYFUNCTION("""COMPUTED_VALUE"""),45953.6666666666)</f>
        <v/>
      </c>
      <c r="C589" s="141">
        <f>IFERROR(__xludf.DUMMYFUNCTION("""COMPUTED_VALUE"""),259.94)</f>
        <v/>
      </c>
      <c r="D589" s="141">
        <f>IFERROR(__xludf.DUMMYFUNCTION("""COMPUTED_VALUE"""),260.62)</f>
        <v/>
      </c>
      <c r="E589" s="141">
        <f>IFERROR(__xludf.DUMMYFUNCTION("""COMPUTED_VALUE"""),258.01)</f>
        <v/>
      </c>
      <c r="F589" s="141">
        <f>IFERROR(__xludf.DUMMYFUNCTION("""COMPUTED_VALUE"""),259.58)</f>
        <v/>
      </c>
      <c r="G589" s="143">
        <f>IFERROR(__xludf.DUMMYFUNCTION("""COMPUTED_VALUE"""),32754941)</f>
        <v/>
      </c>
      <c r="H589" s="27" t="n"/>
    </row>
    <row r="590" ht="17.25" customHeight="1" s="322">
      <c r="A590" s="27" t="n"/>
      <c r="B590" s="506">
        <f>IFERROR(__xludf.DUMMYFUNCTION("""COMPUTED_VALUE"""),45954.6666666666)</f>
        <v/>
      </c>
      <c r="C590" s="141">
        <f>IFERROR(__xludf.DUMMYFUNCTION("""COMPUTED_VALUE"""),261.19)</f>
        <v/>
      </c>
      <c r="D590" s="141">
        <f>IFERROR(__xludf.DUMMYFUNCTION("""COMPUTED_VALUE"""),264.13)</f>
        <v/>
      </c>
      <c r="E590" s="141">
        <f>IFERROR(__xludf.DUMMYFUNCTION("""COMPUTED_VALUE"""),259.18)</f>
        <v/>
      </c>
      <c r="F590" s="141">
        <f>IFERROR(__xludf.DUMMYFUNCTION("""COMPUTED_VALUE"""),262.82)</f>
        <v/>
      </c>
      <c r="G590" s="143">
        <f>IFERROR(__xludf.DUMMYFUNCTION("""COMPUTED_VALUE"""),38253717)</f>
        <v/>
      </c>
      <c r="H590" s="27" t="n"/>
    </row>
    <row r="591" ht="17.25" customHeight="1" s="322">
      <c r="A591" s="27" t="n"/>
      <c r="B591" s="506">
        <f>IFERROR(__xludf.DUMMYFUNCTION("""COMPUTED_VALUE"""),45957.6666666666)</f>
        <v/>
      </c>
      <c r="C591" s="141">
        <f>IFERROR(__xludf.DUMMYFUNCTION("""COMPUTED_VALUE"""),264.88)</f>
        <v/>
      </c>
      <c r="D591" s="141">
        <f>IFERROR(__xludf.DUMMYFUNCTION("""COMPUTED_VALUE"""),269.12)</f>
        <v/>
      </c>
      <c r="E591" s="141">
        <f>IFERROR(__xludf.DUMMYFUNCTION("""COMPUTED_VALUE"""),264.65)</f>
        <v/>
      </c>
      <c r="F591" s="141">
        <f>IFERROR(__xludf.DUMMYFUNCTION("""COMPUTED_VALUE"""),268.81)</f>
        <v/>
      </c>
      <c r="G591" s="143">
        <f>IFERROR(__xludf.DUMMYFUNCTION("""COMPUTED_VALUE"""),44888152)</f>
        <v/>
      </c>
      <c r="H591" s="27" t="n"/>
    </row>
    <row r="592" ht="17.25" customHeight="1" s="322">
      <c r="A592" s="27" t="n"/>
      <c r="B592" s="506">
        <f>IFERROR(__xludf.DUMMYFUNCTION("""COMPUTED_VALUE"""),45958.6666666666)</f>
        <v/>
      </c>
      <c r="C592" s="141">
        <f>IFERROR(__xludf.DUMMYFUNCTION("""COMPUTED_VALUE"""),268.99)</f>
        <v/>
      </c>
      <c r="D592" s="141">
        <f>IFERROR(__xludf.DUMMYFUNCTION("""COMPUTED_VALUE"""),269.89)</f>
        <v/>
      </c>
      <c r="E592" s="141">
        <f>IFERROR(__xludf.DUMMYFUNCTION("""COMPUTED_VALUE"""),268.15)</f>
        <v/>
      </c>
      <c r="F592" s="141">
        <f>IFERROR(__xludf.DUMMYFUNCTION("""COMPUTED_VALUE"""),269)</f>
        <v/>
      </c>
      <c r="G592" s="143">
        <f>IFERROR(__xludf.DUMMYFUNCTION("""COMPUTED_VALUE"""),41534759)</f>
        <v/>
      </c>
      <c r="H592" s="27" t="n"/>
    </row>
    <row r="593" ht="17.25" customHeight="1" s="322">
      <c r="A593" s="27" t="n"/>
      <c r="B593" s="506">
        <f>IFERROR(__xludf.DUMMYFUNCTION("""COMPUTED_VALUE"""),45959.6666666666)</f>
        <v/>
      </c>
      <c r="C593" s="141">
        <f>IFERROR(__xludf.DUMMYFUNCTION("""COMPUTED_VALUE"""),269.27)</f>
        <v/>
      </c>
      <c r="D593" s="141">
        <f>IFERROR(__xludf.DUMMYFUNCTION("""COMPUTED_VALUE"""),271.41)</f>
        <v/>
      </c>
      <c r="E593" s="141">
        <f>IFERROR(__xludf.DUMMYFUNCTION("""COMPUTED_VALUE"""),267.11)</f>
        <v/>
      </c>
      <c r="F593" s="141">
        <f>IFERROR(__xludf.DUMMYFUNCTION("""COMPUTED_VALUE"""),269.7)</f>
        <v/>
      </c>
      <c r="G593" s="143">
        <f>IFERROR(__xludf.DUMMYFUNCTION("""COMPUTED_VALUE"""),51086742)</f>
        <v/>
      </c>
      <c r="H593" s="27" t="n"/>
    </row>
    <row r="594" ht="17.25" customHeight="1" s="322">
      <c r="A594" s="27" t="n"/>
      <c r="B594" s="506">
        <f>IFERROR(__xludf.DUMMYFUNCTION("""COMPUTED_VALUE"""),45960.6666666666)</f>
        <v/>
      </c>
      <c r="C594" s="141">
        <f>IFERROR(__xludf.DUMMYFUNCTION("""COMPUTED_VALUE"""),271.99)</f>
        <v/>
      </c>
      <c r="D594" s="141">
        <f>IFERROR(__xludf.DUMMYFUNCTION("""COMPUTED_VALUE"""),274.14)</f>
        <v/>
      </c>
      <c r="E594" s="141">
        <f>IFERROR(__xludf.DUMMYFUNCTION("""COMPUTED_VALUE"""),268.48)</f>
        <v/>
      </c>
      <c r="F594" s="141">
        <f>IFERROR(__xludf.DUMMYFUNCTION("""COMPUTED_VALUE"""),271.4)</f>
        <v/>
      </c>
      <c r="G594" s="143">
        <f>IFERROR(__xludf.DUMMYFUNCTION("""COMPUTED_VALUE"""),69886534)</f>
        <v/>
      </c>
      <c r="H594" s="27" t="n"/>
    </row>
    <row r="595" ht="17.25" customHeight="1" s="322">
      <c r="A595" s="27" t="n"/>
      <c r="B595" s="506">
        <f>IFERROR(__xludf.DUMMYFUNCTION("""COMPUTED_VALUE"""),45961.6666666666)</f>
        <v/>
      </c>
      <c r="C595" s="141">
        <f>IFERROR(__xludf.DUMMYFUNCTION("""COMPUTED_VALUE"""),276.99)</f>
        <v/>
      </c>
      <c r="D595" s="141">
        <f>IFERROR(__xludf.DUMMYFUNCTION("""COMPUTED_VALUE"""),277.32)</f>
        <v/>
      </c>
      <c r="E595" s="141">
        <f>IFERROR(__xludf.DUMMYFUNCTION("""COMPUTED_VALUE"""),269.16)</f>
        <v/>
      </c>
      <c r="F595" s="141">
        <f>IFERROR(__xludf.DUMMYFUNCTION("""COMPUTED_VALUE"""),270.37)</f>
        <v/>
      </c>
      <c r="G595" s="143">
        <f>IFERROR(__xludf.DUMMYFUNCTION("""COMPUTED_VALUE"""),86167123)</f>
        <v/>
      </c>
      <c r="H595" s="27" t="n"/>
    </row>
    <row r="596" ht="17.25" customHeight="1" s="322">
      <c r="A596" s="27" t="n"/>
      <c r="B596" s="506">
        <f>IFERROR(__xludf.DUMMYFUNCTION("""COMPUTED_VALUE"""),45964.6666666666)</f>
        <v/>
      </c>
      <c r="C596" s="141">
        <f>IFERROR(__xludf.DUMMYFUNCTION("""COMPUTED_VALUE"""),270.42)</f>
        <v/>
      </c>
      <c r="D596" s="141">
        <f>IFERROR(__xludf.DUMMYFUNCTION("""COMPUTED_VALUE"""),270.85)</f>
        <v/>
      </c>
      <c r="E596" s="141">
        <f>IFERROR(__xludf.DUMMYFUNCTION("""COMPUTED_VALUE"""),266.25)</f>
        <v/>
      </c>
      <c r="F596" s="141">
        <f>IFERROR(__xludf.DUMMYFUNCTION("""COMPUTED_VALUE"""),269.05)</f>
        <v/>
      </c>
      <c r="G596" s="143">
        <f>IFERROR(__xludf.DUMMYFUNCTION("""COMPUTED_VALUE"""),50194583)</f>
        <v/>
      </c>
      <c r="H596" s="27" t="n"/>
    </row>
    <row r="597" ht="17.25" customHeight="1" s="322">
      <c r="A597" s="27" t="n"/>
      <c r="B597" s="506">
        <f>IFERROR(__xludf.DUMMYFUNCTION("""COMPUTED_VALUE"""),45965.6666666666)</f>
        <v/>
      </c>
      <c r="C597" s="141">
        <f>IFERROR(__xludf.DUMMYFUNCTION("""COMPUTED_VALUE"""),268.33)</f>
        <v/>
      </c>
      <c r="D597" s="141">
        <f>IFERROR(__xludf.DUMMYFUNCTION("""COMPUTED_VALUE"""),271.49)</f>
        <v/>
      </c>
      <c r="E597" s="141">
        <f>IFERROR(__xludf.DUMMYFUNCTION("""COMPUTED_VALUE"""),267.62)</f>
        <v/>
      </c>
      <c r="F597" s="141">
        <f>IFERROR(__xludf.DUMMYFUNCTION("""COMPUTED_VALUE"""),270.04)</f>
        <v/>
      </c>
      <c r="G597" s="143">
        <f>IFERROR(__xludf.DUMMYFUNCTION("""COMPUTED_VALUE"""),49274846)</f>
        <v/>
      </c>
      <c r="H597" s="27" t="n"/>
    </row>
    <row r="598" ht="17.25" customHeight="1" s="322">
      <c r="A598" s="27" t="n"/>
      <c r="B598" s="506">
        <f>IFERROR(__xludf.DUMMYFUNCTION("""COMPUTED_VALUE"""),45966.6666666666)</f>
        <v/>
      </c>
      <c r="C598" s="141">
        <f>IFERROR(__xludf.DUMMYFUNCTION("""COMPUTED_VALUE"""),268.61)</f>
        <v/>
      </c>
      <c r="D598" s="141">
        <f>IFERROR(__xludf.DUMMYFUNCTION("""COMPUTED_VALUE"""),271.7)</f>
        <v/>
      </c>
      <c r="E598" s="141">
        <f>IFERROR(__xludf.DUMMYFUNCTION("""COMPUTED_VALUE"""),266.93)</f>
        <v/>
      </c>
      <c r="F598" s="141">
        <f>IFERROR(__xludf.DUMMYFUNCTION("""COMPUTED_VALUE"""),270.14)</f>
        <v/>
      </c>
      <c r="G598" s="143">
        <f>IFERROR(__xludf.DUMMYFUNCTION("""COMPUTED_VALUE"""),43683072)</f>
        <v/>
      </c>
      <c r="H598" s="27" t="n"/>
    </row>
    <row r="599" ht="17.25" customHeight="1" s="322">
      <c r="A599" s="27" t="n"/>
      <c r="B599" s="506">
        <f>IFERROR(__xludf.DUMMYFUNCTION("""COMPUTED_VALUE"""),45967.6666666666)</f>
        <v/>
      </c>
      <c r="C599" s="141">
        <f>IFERROR(__xludf.DUMMYFUNCTION("""COMPUTED_VALUE"""),267.89)</f>
        <v/>
      </c>
      <c r="D599" s="141">
        <f>IFERROR(__xludf.DUMMYFUNCTION("""COMPUTED_VALUE"""),273.4)</f>
        <v/>
      </c>
      <c r="E599" s="141">
        <f>IFERROR(__xludf.DUMMYFUNCTION("""COMPUTED_VALUE"""),267.89)</f>
        <v/>
      </c>
      <c r="F599" s="141">
        <f>IFERROR(__xludf.DUMMYFUNCTION("""COMPUTED_VALUE"""),269.77)</f>
        <v/>
      </c>
      <c r="G599" s="143">
        <f>IFERROR(__xludf.DUMMYFUNCTION("""COMPUTED_VALUE"""),51204045)</f>
        <v/>
      </c>
      <c r="H599" s="27" t="n"/>
    </row>
    <row r="600" ht="17.25" customHeight="1" s="322">
      <c r="A600" s="27" t="n"/>
      <c r="B600" s="506">
        <f>IFERROR(__xludf.DUMMYFUNCTION("""COMPUTED_VALUE"""),45968.6666666666)</f>
        <v/>
      </c>
      <c r="C600" s="141">
        <f>IFERROR(__xludf.DUMMYFUNCTION("""COMPUTED_VALUE"""),269.8)</f>
        <v/>
      </c>
      <c r="D600" s="141">
        <f>IFERROR(__xludf.DUMMYFUNCTION("""COMPUTED_VALUE"""),272.29)</f>
        <v/>
      </c>
      <c r="E600" s="141">
        <f>IFERROR(__xludf.DUMMYFUNCTION("""COMPUTED_VALUE"""),266.77)</f>
        <v/>
      </c>
      <c r="F600" s="141">
        <f>IFERROR(__xludf.DUMMYFUNCTION("""COMPUTED_VALUE"""),268.47)</f>
        <v/>
      </c>
      <c r="G600" s="143">
        <f>IFERROR(__xludf.DUMMYFUNCTION("""COMPUTED_VALUE"""),48227365)</f>
        <v/>
      </c>
      <c r="H600" s="27" t="n"/>
    </row>
    <row r="601" ht="17.25" customHeight="1" s="322">
      <c r="A601" s="27" t="n"/>
      <c r="B601" s="506">
        <f>IFERROR(__xludf.DUMMYFUNCTION("""COMPUTED_VALUE"""),45971.6666666666)</f>
        <v/>
      </c>
      <c r="C601" s="141">
        <f>IFERROR(__xludf.DUMMYFUNCTION("""COMPUTED_VALUE"""),268.96)</f>
        <v/>
      </c>
      <c r="D601" s="141">
        <f>IFERROR(__xludf.DUMMYFUNCTION("""COMPUTED_VALUE"""),273.73)</f>
        <v/>
      </c>
      <c r="E601" s="141">
        <f>IFERROR(__xludf.DUMMYFUNCTION("""COMPUTED_VALUE"""),267.46)</f>
        <v/>
      </c>
      <c r="F601" s="141">
        <f>IFERROR(__xludf.DUMMYFUNCTION("""COMPUTED_VALUE"""),269.43)</f>
        <v/>
      </c>
      <c r="G601" s="143">
        <f>IFERROR(__xludf.DUMMYFUNCTION("""COMPUTED_VALUE"""),41312412)</f>
        <v/>
      </c>
      <c r="H601" s="27" t="n"/>
    </row>
    <row r="602" ht="17.25" customHeight="1" s="322">
      <c r="A602" s="27" t="n"/>
      <c r="B602" s="506">
        <f>IFERROR(__xludf.DUMMYFUNCTION("""COMPUTED_VALUE"""),45972.6666666666)</f>
        <v/>
      </c>
      <c r="C602" s="141">
        <f>IFERROR(__xludf.DUMMYFUNCTION("""COMPUTED_VALUE"""),269.81)</f>
        <v/>
      </c>
      <c r="D602" s="141">
        <f>IFERROR(__xludf.DUMMYFUNCTION("""COMPUTED_VALUE"""),275.91)</f>
        <v/>
      </c>
      <c r="E602" s="141">
        <f>IFERROR(__xludf.DUMMYFUNCTION("""COMPUTED_VALUE"""),269.8)</f>
        <v/>
      </c>
      <c r="F602" s="141">
        <f>IFERROR(__xludf.DUMMYFUNCTION("""COMPUTED_VALUE"""),275.25)</f>
        <v/>
      </c>
      <c r="G602" s="143">
        <f>IFERROR(__xludf.DUMMYFUNCTION("""COMPUTED_VALUE"""),46208318)</f>
        <v/>
      </c>
      <c r="H602" s="27" t="n"/>
    </row>
    <row r="603" ht="17.25" customHeight="1" s="322">
      <c r="A603" s="27" t="n"/>
      <c r="B603" s="506">
        <f>IFERROR(__xludf.DUMMYFUNCTION("""COMPUTED_VALUE"""),45973.6666666666)</f>
        <v/>
      </c>
      <c r="C603" s="141">
        <f>IFERROR(__xludf.DUMMYFUNCTION("""COMPUTED_VALUE"""),275)</f>
        <v/>
      </c>
      <c r="D603" s="141">
        <f>IFERROR(__xludf.DUMMYFUNCTION("""COMPUTED_VALUE"""),275.73)</f>
        <v/>
      </c>
      <c r="E603" s="141">
        <f>IFERROR(__xludf.DUMMYFUNCTION("""COMPUTED_VALUE"""),271.7)</f>
        <v/>
      </c>
      <c r="F603" s="141">
        <f>IFERROR(__xludf.DUMMYFUNCTION("""COMPUTED_VALUE"""),273.47)</f>
        <v/>
      </c>
      <c r="G603" s="143">
        <f>IFERROR(__xludf.DUMMYFUNCTION("""COMPUTED_VALUE"""),48397982)</f>
        <v/>
      </c>
      <c r="H603" s="27" t="n"/>
    </row>
    <row r="604" ht="17.25" customHeight="1" s="322">
      <c r="A604" s="27" t="n"/>
      <c r="B604" s="506">
        <f>IFERROR(__xludf.DUMMYFUNCTION("""COMPUTED_VALUE"""),45974.6666666666)</f>
        <v/>
      </c>
      <c r="C604" s="141">
        <f>IFERROR(__xludf.DUMMYFUNCTION("""COMPUTED_VALUE"""),274.11)</f>
        <v/>
      </c>
      <c r="D604" s="141">
        <f>IFERROR(__xludf.DUMMYFUNCTION("""COMPUTED_VALUE"""),276.7)</f>
        <v/>
      </c>
      <c r="E604" s="141">
        <f>IFERROR(__xludf.DUMMYFUNCTION("""COMPUTED_VALUE"""),272.09)</f>
        <v/>
      </c>
      <c r="F604" s="141">
        <f>IFERROR(__xludf.DUMMYFUNCTION("""COMPUTED_VALUE"""),272.95)</f>
        <v/>
      </c>
      <c r="G604" s="143">
        <f>IFERROR(__xludf.DUMMYFUNCTION("""COMPUTED_VALUE"""),49602794)</f>
        <v/>
      </c>
      <c r="H604" s="27" t="n"/>
    </row>
    <row r="605" ht="17.25" customHeight="1" s="322">
      <c r="A605" s="27" t="n"/>
      <c r="B605" s="506">
        <f>IFERROR(__xludf.DUMMYFUNCTION("""COMPUTED_VALUE"""),45975.6666666666)</f>
        <v/>
      </c>
      <c r="C605" s="141">
        <f>IFERROR(__xludf.DUMMYFUNCTION("""COMPUTED_VALUE"""),271.05)</f>
        <v/>
      </c>
      <c r="D605" s="141">
        <f>IFERROR(__xludf.DUMMYFUNCTION("""COMPUTED_VALUE"""),275.96)</f>
        <v/>
      </c>
      <c r="E605" s="141">
        <f>IFERROR(__xludf.DUMMYFUNCTION("""COMPUTED_VALUE"""),269.6)</f>
        <v/>
      </c>
      <c r="F605" s="141">
        <f>IFERROR(__xludf.DUMMYFUNCTION("""COMPUTED_VALUE"""),272.41)</f>
        <v/>
      </c>
      <c r="G605" s="143">
        <f>IFERROR(__xludf.DUMMYFUNCTION("""COMPUTED_VALUE"""),47431331)</f>
        <v/>
      </c>
      <c r="H605" s="27" t="n"/>
    </row>
    <row r="606" ht="17.25" customHeight="1" s="322">
      <c r="A606" s="27" t="n"/>
      <c r="B606" s="506">
        <f>IFERROR(__xludf.DUMMYFUNCTION("""COMPUTED_VALUE"""),45978.6666666666)</f>
        <v/>
      </c>
      <c r="C606" s="141">
        <f>IFERROR(__xludf.DUMMYFUNCTION("""COMPUTED_VALUE"""),268.82)</f>
        <v/>
      </c>
      <c r="D606" s="141">
        <f>IFERROR(__xludf.DUMMYFUNCTION("""COMPUTED_VALUE"""),270.49)</f>
        <v/>
      </c>
      <c r="E606" s="141">
        <f>IFERROR(__xludf.DUMMYFUNCTION("""COMPUTED_VALUE"""),265.73)</f>
        <v/>
      </c>
      <c r="F606" s="141">
        <f>IFERROR(__xludf.DUMMYFUNCTION("""COMPUTED_VALUE"""),267.46)</f>
        <v/>
      </c>
      <c r="G606" s="143">
        <f>IFERROR(__xludf.DUMMYFUNCTION("""COMPUTED_VALUE"""),45018260)</f>
        <v/>
      </c>
      <c r="H606" s="27" t="n"/>
    </row>
    <row r="607" ht="17.25" customHeight="1" s="322">
      <c r="A607" s="27" t="n"/>
      <c r="B607" s="506">
        <f>IFERROR(__xludf.DUMMYFUNCTION("""COMPUTED_VALUE"""),45979.6666666666)</f>
        <v/>
      </c>
      <c r="C607" s="141">
        <f>IFERROR(__xludf.DUMMYFUNCTION("""COMPUTED_VALUE"""),269.99)</f>
        <v/>
      </c>
      <c r="D607" s="141">
        <f>IFERROR(__xludf.DUMMYFUNCTION("""COMPUTED_VALUE"""),270.71)</f>
        <v/>
      </c>
      <c r="E607" s="141">
        <f>IFERROR(__xludf.DUMMYFUNCTION("""COMPUTED_VALUE"""),265.32)</f>
        <v/>
      </c>
      <c r="F607" s="141">
        <f>IFERROR(__xludf.DUMMYFUNCTION("""COMPUTED_VALUE"""),267.44)</f>
        <v/>
      </c>
      <c r="G607" s="143">
        <f>IFERROR(__xludf.DUMMYFUNCTION("""COMPUTED_VALUE"""),45677278)</f>
        <v/>
      </c>
      <c r="H607" s="27" t="n"/>
    </row>
    <row r="608" ht="17.25" customHeight="1" s="322">
      <c r="A608" s="27" t="n"/>
      <c r="B608" s="506">
        <f>IFERROR(__xludf.DUMMYFUNCTION("""COMPUTED_VALUE"""),45980.6666666666)</f>
        <v/>
      </c>
      <c r="C608" s="141">
        <f>IFERROR(__xludf.DUMMYFUNCTION("""COMPUTED_VALUE"""),265.52)</f>
        <v/>
      </c>
      <c r="D608" s="141">
        <f>IFERROR(__xludf.DUMMYFUNCTION("""COMPUTED_VALUE"""),272.21)</f>
        <v/>
      </c>
      <c r="E608" s="141">
        <f>IFERROR(__xludf.DUMMYFUNCTION("""COMPUTED_VALUE"""),265.5)</f>
        <v/>
      </c>
      <c r="F608" s="141">
        <f>IFERROR(__xludf.DUMMYFUNCTION("""COMPUTED_VALUE"""),268.56)</f>
        <v/>
      </c>
      <c r="G608" s="143">
        <f>IFERROR(__xludf.DUMMYFUNCTION("""COMPUTED_VALUE"""),40424492)</f>
        <v/>
      </c>
      <c r="H608" s="27" t="n"/>
    </row>
    <row r="609" ht="17.25" customHeight="1" s="322">
      <c r="A609" s="27" t="n"/>
      <c r="B609" s="506">
        <f>IFERROR(__xludf.DUMMYFUNCTION("""COMPUTED_VALUE"""),45981.6666666666)</f>
        <v/>
      </c>
      <c r="C609" s="141">
        <f>IFERROR(__xludf.DUMMYFUNCTION("""COMPUTED_VALUE"""),270.83)</f>
        <v/>
      </c>
      <c r="D609" s="141">
        <f>IFERROR(__xludf.DUMMYFUNCTION("""COMPUTED_VALUE"""),275.43)</f>
        <v/>
      </c>
      <c r="E609" s="141">
        <f>IFERROR(__xludf.DUMMYFUNCTION("""COMPUTED_VALUE"""),265.92)</f>
        <v/>
      </c>
      <c r="F609" s="141">
        <f>IFERROR(__xludf.DUMMYFUNCTION("""COMPUTED_VALUE"""),266.25)</f>
        <v/>
      </c>
      <c r="G609" s="143">
        <f>IFERROR(__xludf.DUMMYFUNCTION("""COMPUTED_VALUE"""),45823568)</f>
        <v/>
      </c>
      <c r="H609" s="27" t="n"/>
    </row>
    <row r="610" ht="17.25" customHeight="1" s="322">
      <c r="A610" s="27" t="n"/>
      <c r="B610" s="506">
        <f>IFERROR(__xludf.DUMMYFUNCTION("""COMPUTED_VALUE"""),45982.6666666666)</f>
        <v/>
      </c>
      <c r="C610" s="141">
        <f>IFERROR(__xludf.DUMMYFUNCTION("""COMPUTED_VALUE"""),265.95)</f>
        <v/>
      </c>
      <c r="D610" s="141">
        <f>IFERROR(__xludf.DUMMYFUNCTION("""COMPUTED_VALUE"""),273.33)</f>
        <v/>
      </c>
      <c r="E610" s="141">
        <f>IFERROR(__xludf.DUMMYFUNCTION("""COMPUTED_VALUE"""),265.67)</f>
        <v/>
      </c>
      <c r="F610" s="141">
        <f>IFERROR(__xludf.DUMMYFUNCTION("""COMPUTED_VALUE"""),271.49)</f>
        <v/>
      </c>
      <c r="G610" s="143">
        <f>IFERROR(__xludf.DUMMYFUNCTION("""COMPUTED_VALUE"""),59030832)</f>
        <v/>
      </c>
      <c r="H610" s="27" t="n"/>
    </row>
    <row r="611" ht="17.25" customHeight="1" s="322">
      <c r="A611" s="27" t="n"/>
      <c r="B611" s="506">
        <f>IFERROR(__xludf.DUMMYFUNCTION("""COMPUTED_VALUE"""),45985.6666666666)</f>
        <v/>
      </c>
      <c r="C611" s="141">
        <f>IFERROR(__xludf.DUMMYFUNCTION("""COMPUTED_VALUE"""),270.9)</f>
        <v/>
      </c>
      <c r="D611" s="141">
        <f>IFERROR(__xludf.DUMMYFUNCTION("""COMPUTED_VALUE"""),277)</f>
        <v/>
      </c>
      <c r="E611" s="141">
        <f>IFERROR(__xludf.DUMMYFUNCTION("""COMPUTED_VALUE"""),270.9)</f>
        <v/>
      </c>
      <c r="F611" s="141">
        <f>IFERROR(__xludf.DUMMYFUNCTION("""COMPUTED_VALUE"""),275.92)</f>
        <v/>
      </c>
      <c r="G611" s="143">
        <f>IFERROR(__xludf.DUMMYFUNCTION("""COMPUTED_VALUE"""),65585796)</f>
        <v/>
      </c>
      <c r="H611" s="27" t="n"/>
    </row>
    <row r="612" ht="17.25" customHeight="1" s="322">
      <c r="A612" s="27" t="n"/>
      <c r="B612" s="506">
        <f>IFERROR(__xludf.DUMMYFUNCTION("""COMPUTED_VALUE"""),45986.6666666666)</f>
        <v/>
      </c>
      <c r="C612" s="141">
        <f>IFERROR(__xludf.DUMMYFUNCTION("""COMPUTED_VALUE"""),275.27)</f>
        <v/>
      </c>
      <c r="D612" s="141">
        <f>IFERROR(__xludf.DUMMYFUNCTION("""COMPUTED_VALUE"""),280.38)</f>
        <v/>
      </c>
      <c r="E612" s="141">
        <f>IFERROR(__xludf.DUMMYFUNCTION("""COMPUTED_VALUE"""),275.25)</f>
        <v/>
      </c>
      <c r="F612" s="141">
        <f>IFERROR(__xludf.DUMMYFUNCTION("""COMPUTED_VALUE"""),276.97)</f>
        <v/>
      </c>
      <c r="G612" s="143">
        <f>IFERROR(__xludf.DUMMYFUNCTION("""COMPUTED_VALUE"""),46914220)</f>
        <v/>
      </c>
      <c r="H612" s="27" t="n"/>
    </row>
    <row r="613" ht="17.25" customHeight="1" s="322">
      <c r="A613" s="27" t="n"/>
      <c r="B613" s="506">
        <f>IFERROR(__xludf.DUMMYFUNCTION("""COMPUTED_VALUE"""),45987.6666666666)</f>
        <v/>
      </c>
      <c r="C613" s="141">
        <f>IFERROR(__xludf.DUMMYFUNCTION("""COMPUTED_VALUE"""),276.96)</f>
        <v/>
      </c>
      <c r="D613" s="141">
        <f>IFERROR(__xludf.DUMMYFUNCTION("""COMPUTED_VALUE"""),279.53)</f>
        <v/>
      </c>
      <c r="E613" s="141">
        <f>IFERROR(__xludf.DUMMYFUNCTION("""COMPUTED_VALUE"""),276.63)</f>
        <v/>
      </c>
      <c r="F613" s="141">
        <f>IFERROR(__xludf.DUMMYFUNCTION("""COMPUTED_VALUE"""),277.55)</f>
        <v/>
      </c>
      <c r="G613" s="143">
        <f>IFERROR(__xludf.DUMMYFUNCTION("""COMPUTED_VALUE"""),33431423)</f>
        <v/>
      </c>
      <c r="H613" s="27" t="n"/>
    </row>
    <row r="614" ht="17.25" customHeight="1" s="322">
      <c r="A614" s="27" t="n"/>
      <c r="B614" s="506">
        <f>IFERROR(__xludf.DUMMYFUNCTION("""COMPUTED_VALUE"""),45989.5451388888)</f>
        <v/>
      </c>
      <c r="C614" s="141">
        <f>IFERROR(__xludf.DUMMYFUNCTION("""COMPUTED_VALUE"""),277.26)</f>
        <v/>
      </c>
      <c r="D614" s="141">
        <f>IFERROR(__xludf.DUMMYFUNCTION("""COMPUTED_VALUE"""),279)</f>
        <v/>
      </c>
      <c r="E614" s="141">
        <f>IFERROR(__xludf.DUMMYFUNCTION("""COMPUTED_VALUE"""),275.99)</f>
        <v/>
      </c>
      <c r="F614" s="141">
        <f>IFERROR(__xludf.DUMMYFUNCTION("""COMPUTED_VALUE"""),278.85)</f>
        <v/>
      </c>
      <c r="G614" s="143">
        <f>IFERROR(__xludf.DUMMYFUNCTION("""COMPUTED_VALUE"""),20135620)</f>
        <v/>
      </c>
      <c r="H614" s="27" t="n"/>
    </row>
    <row r="615" ht="17.25" customHeight="1" s="322">
      <c r="A615" s="27" t="n"/>
      <c r="B615" s="506">
        <f>IFERROR(__xludf.DUMMYFUNCTION("""COMPUTED_VALUE"""),45992.6666666666)</f>
        <v/>
      </c>
      <c r="C615" s="141">
        <f>IFERROR(__xludf.DUMMYFUNCTION("""COMPUTED_VALUE"""),278.01)</f>
        <v/>
      </c>
      <c r="D615" s="141">
        <f>IFERROR(__xludf.DUMMYFUNCTION("""COMPUTED_VALUE"""),283.42)</f>
        <v/>
      </c>
      <c r="E615" s="141">
        <f>IFERROR(__xludf.DUMMYFUNCTION("""COMPUTED_VALUE"""),276.14)</f>
        <v/>
      </c>
      <c r="F615" s="141">
        <f>IFERROR(__xludf.DUMMYFUNCTION("""COMPUTED_VALUE"""),283.1)</f>
        <v/>
      </c>
      <c r="G615" s="143">
        <f>IFERROR(__xludf.DUMMYFUNCTION("""COMPUTED_VALUE"""),46587722)</f>
        <v/>
      </c>
      <c r="H615" s="27" t="n"/>
    </row>
    <row r="616" ht="17.25" customHeight="1" s="322">
      <c r="A616" s="27" t="n"/>
      <c r="B616" s="506">
        <f>IFERROR(__xludf.DUMMYFUNCTION("""COMPUTED_VALUE"""),45993.6666666666)</f>
        <v/>
      </c>
      <c r="C616" s="141">
        <f>IFERROR(__xludf.DUMMYFUNCTION("""COMPUTED_VALUE"""),283)</f>
        <v/>
      </c>
      <c r="D616" s="141">
        <f>IFERROR(__xludf.DUMMYFUNCTION("""COMPUTED_VALUE"""),287.4)</f>
        <v/>
      </c>
      <c r="E616" s="141">
        <f>IFERROR(__xludf.DUMMYFUNCTION("""COMPUTED_VALUE"""),282.63)</f>
        <v/>
      </c>
      <c r="F616" s="141">
        <f>IFERROR(__xludf.DUMMYFUNCTION("""COMPUTED_VALUE"""),286.19)</f>
        <v/>
      </c>
      <c r="G616" s="143">
        <f>IFERROR(__xludf.DUMMYFUNCTION("""COMPUTED_VALUE"""),53669532)</f>
        <v/>
      </c>
      <c r="H616" s="27" t="n"/>
    </row>
    <row r="617" ht="17.25" customHeight="1" s="322">
      <c r="A617" s="27" t="n"/>
      <c r="B617" s="506">
        <f>IFERROR(__xludf.DUMMYFUNCTION("""COMPUTED_VALUE"""),45994.6666666666)</f>
        <v/>
      </c>
      <c r="C617" s="141">
        <f>IFERROR(__xludf.DUMMYFUNCTION("""COMPUTED_VALUE"""),286.2)</f>
        <v/>
      </c>
      <c r="D617" s="141">
        <f>IFERROR(__xludf.DUMMYFUNCTION("""COMPUTED_VALUE"""),288.62)</f>
        <v/>
      </c>
      <c r="E617" s="141">
        <f>IFERROR(__xludf.DUMMYFUNCTION("""COMPUTED_VALUE"""),283.3)</f>
        <v/>
      </c>
      <c r="F617" s="141">
        <f>IFERROR(__xludf.DUMMYFUNCTION("""COMPUTED_VALUE"""),284.15)</f>
        <v/>
      </c>
      <c r="G617" s="143">
        <f>IFERROR(__xludf.DUMMYFUNCTION("""COMPUTED_VALUE"""),43538687)</f>
        <v/>
      </c>
      <c r="H617" s="27" t="n"/>
    </row>
    <row r="618" ht="17.25" customHeight="1" s="322">
      <c r="A618" s="27" t="n"/>
      <c r="B618" s="506">
        <f>IFERROR(__xludf.DUMMYFUNCTION("""COMPUTED_VALUE"""),45995.6666666666)</f>
        <v/>
      </c>
      <c r="C618" s="141">
        <f>IFERROR(__xludf.DUMMYFUNCTION("""COMPUTED_VALUE"""),284.1)</f>
        <v/>
      </c>
      <c r="D618" s="141">
        <f>IFERROR(__xludf.DUMMYFUNCTION("""COMPUTED_VALUE"""),284.73)</f>
        <v/>
      </c>
      <c r="E618" s="141">
        <f>IFERROR(__xludf.DUMMYFUNCTION("""COMPUTED_VALUE"""),278.59)</f>
        <v/>
      </c>
      <c r="F618" s="141">
        <f>IFERROR(__xludf.DUMMYFUNCTION("""COMPUTED_VALUE"""),280.7)</f>
        <v/>
      </c>
      <c r="G618" s="143">
        <f>IFERROR(__xludf.DUMMYFUNCTION("""COMPUTED_VALUE"""),43989056)</f>
        <v/>
      </c>
      <c r="H618" s="27" t="n"/>
    </row>
    <row r="619" ht="17.25" customHeight="1" s="322">
      <c r="A619" s="27" t="n"/>
      <c r="B619" s="506">
        <f>IFERROR(__xludf.DUMMYFUNCTION("""COMPUTED_VALUE"""),45996.6666666666)</f>
        <v/>
      </c>
      <c r="C619" s="141">
        <f>IFERROR(__xludf.DUMMYFUNCTION("""COMPUTED_VALUE"""),280.54)</f>
        <v/>
      </c>
      <c r="D619" s="141">
        <f>IFERROR(__xludf.DUMMYFUNCTION("""COMPUTED_VALUE"""),281.14)</f>
        <v/>
      </c>
      <c r="E619" s="141">
        <f>IFERROR(__xludf.DUMMYFUNCTION("""COMPUTED_VALUE"""),278.05)</f>
        <v/>
      </c>
      <c r="F619" s="141">
        <f>IFERROR(__xludf.DUMMYFUNCTION("""COMPUTED_VALUE"""),278.78)</f>
        <v/>
      </c>
      <c r="G619" s="143">
        <f>IFERROR(__xludf.DUMMYFUNCTION("""COMPUTED_VALUE"""),47265845)</f>
        <v/>
      </c>
      <c r="H619" s="27" t="n"/>
    </row>
    <row r="620" ht="17.25" customHeight="1" s="322">
      <c r="A620" s="27" t="n"/>
      <c r="B620" s="506">
        <f>IFERROR(__xludf.DUMMYFUNCTION("""COMPUTED_VALUE"""),45999.6666666666)</f>
        <v/>
      </c>
      <c r="C620" s="141">
        <f>IFERROR(__xludf.DUMMYFUNCTION("""COMPUTED_VALUE"""),278.13)</f>
        <v/>
      </c>
      <c r="D620" s="141">
        <f>IFERROR(__xludf.DUMMYFUNCTION("""COMPUTED_VALUE"""),279.67)</f>
        <v/>
      </c>
      <c r="E620" s="141">
        <f>IFERROR(__xludf.DUMMYFUNCTION("""COMPUTED_VALUE"""),276.15)</f>
        <v/>
      </c>
      <c r="F620" s="141">
        <f>IFERROR(__xludf.DUMMYFUNCTION("""COMPUTED_VALUE"""),277.89)</f>
        <v/>
      </c>
      <c r="G620" s="143">
        <f>IFERROR(__xludf.DUMMYFUNCTION("""COMPUTED_VALUE"""),38211832)</f>
        <v/>
      </c>
      <c r="H620" s="27" t="n"/>
    </row>
    <row r="621" ht="17.25" customHeight="1" s="322">
      <c r="A621" s="27" t="n"/>
      <c r="B621" s="506">
        <f>IFERROR(__xludf.DUMMYFUNCTION("""COMPUTED_VALUE"""),46000.6666666666)</f>
        <v/>
      </c>
      <c r="C621" s="141">
        <f>IFERROR(__xludf.DUMMYFUNCTION("""COMPUTED_VALUE"""),278.16)</f>
        <v/>
      </c>
      <c r="D621" s="141">
        <f>IFERROR(__xludf.DUMMYFUNCTION("""COMPUTED_VALUE"""),280.03)</f>
        <v/>
      </c>
      <c r="E621" s="141">
        <f>IFERROR(__xludf.DUMMYFUNCTION("""COMPUTED_VALUE"""),276.92)</f>
        <v/>
      </c>
      <c r="F621" s="141">
        <f>IFERROR(__xludf.DUMMYFUNCTION("""COMPUTED_VALUE"""),277.18)</f>
        <v/>
      </c>
      <c r="G621" s="143">
        <f>IFERROR(__xludf.DUMMYFUNCTION("""COMPUTED_VALUE"""),32193256)</f>
        <v/>
      </c>
      <c r="H621" s="27" t="n"/>
    </row>
    <row r="622" ht="17.25" customHeight="1" s="322">
      <c r="A622" s="27" t="n"/>
      <c r="B622" s="506">
        <f>IFERROR(__xludf.DUMMYFUNCTION("""COMPUTED_VALUE"""),46001.6666666666)</f>
        <v/>
      </c>
      <c r="C622" s="141">
        <f>IFERROR(__xludf.DUMMYFUNCTION("""COMPUTED_VALUE"""),277.75)</f>
        <v/>
      </c>
      <c r="D622" s="141">
        <f>IFERROR(__xludf.DUMMYFUNCTION("""COMPUTED_VALUE"""),279.75)</f>
        <v/>
      </c>
      <c r="E622" s="141">
        <f>IFERROR(__xludf.DUMMYFUNCTION("""COMPUTED_VALUE"""),276.44)</f>
        <v/>
      </c>
      <c r="F622" s="141">
        <f>IFERROR(__xludf.DUMMYFUNCTION("""COMPUTED_VALUE"""),278.78)</f>
        <v/>
      </c>
      <c r="G622" s="143">
        <f>IFERROR(__xludf.DUMMYFUNCTION("""COMPUTED_VALUE"""),33038318)</f>
        <v/>
      </c>
      <c r="H622" s="27" t="n"/>
    </row>
    <row r="623" ht="17.25" customHeight="1" s="322">
      <c r="A623" s="27" t="n"/>
      <c r="B623" s="506">
        <f>IFERROR(__xludf.DUMMYFUNCTION("""COMPUTED_VALUE"""),46002.6666666666)</f>
        <v/>
      </c>
      <c r="C623" s="141">
        <f>IFERROR(__xludf.DUMMYFUNCTION("""COMPUTED_VALUE"""),279.1)</f>
        <v/>
      </c>
      <c r="D623" s="141">
        <f>IFERROR(__xludf.DUMMYFUNCTION("""COMPUTED_VALUE"""),279.59)</f>
        <v/>
      </c>
      <c r="E623" s="141">
        <f>IFERROR(__xludf.DUMMYFUNCTION("""COMPUTED_VALUE"""),273.81)</f>
        <v/>
      </c>
      <c r="F623" s="141">
        <f>IFERROR(__xludf.DUMMYFUNCTION("""COMPUTED_VALUE"""),278.03)</f>
        <v/>
      </c>
      <c r="G623" s="143">
        <f>IFERROR(__xludf.DUMMYFUNCTION("""COMPUTED_VALUE"""),33247986)</f>
        <v/>
      </c>
      <c r="H623" s="27" t="n"/>
    </row>
    <row r="624" ht="17.25" customHeight="1" s="322">
      <c r="A624" s="27" t="n"/>
      <c r="B624" s="506">
        <f>IFERROR(__xludf.DUMMYFUNCTION("""COMPUTED_VALUE"""),46003.6666666666)</f>
        <v/>
      </c>
      <c r="C624" s="141">
        <f>IFERROR(__xludf.DUMMYFUNCTION("""COMPUTED_VALUE"""),277.9)</f>
        <v/>
      </c>
      <c r="D624" s="141">
        <f>IFERROR(__xludf.DUMMYFUNCTION("""COMPUTED_VALUE"""),279.22)</f>
        <v/>
      </c>
      <c r="E624" s="141">
        <f>IFERROR(__xludf.DUMMYFUNCTION("""COMPUTED_VALUE"""),276.82)</f>
        <v/>
      </c>
      <c r="F624" s="141">
        <f>IFERROR(__xludf.DUMMYFUNCTION("""COMPUTED_VALUE"""),278.28)</f>
        <v/>
      </c>
      <c r="G624" s="143">
        <f>IFERROR(__xludf.DUMMYFUNCTION("""COMPUTED_VALUE"""),39532887)</f>
        <v/>
      </c>
      <c r="H624" s="27" t="n"/>
    </row>
    <row r="625" ht="17.25" customHeight="1" s="322">
      <c r="A625" s="27" t="n"/>
      <c r="B625" s="506">
        <f>IFERROR(__xludf.DUMMYFUNCTION("""COMPUTED_VALUE"""),46006.6666666666)</f>
        <v/>
      </c>
      <c r="C625" s="141">
        <f>IFERROR(__xludf.DUMMYFUNCTION("""COMPUTED_VALUE"""),280.15)</f>
        <v/>
      </c>
      <c r="D625" s="141">
        <f>IFERROR(__xludf.DUMMYFUNCTION("""COMPUTED_VALUE"""),280.15)</f>
        <v/>
      </c>
      <c r="E625" s="141">
        <f>IFERROR(__xludf.DUMMYFUNCTION("""COMPUTED_VALUE"""),272.84)</f>
        <v/>
      </c>
      <c r="F625" s="141">
        <f>IFERROR(__xludf.DUMMYFUNCTION("""COMPUTED_VALUE"""),274.11)</f>
        <v/>
      </c>
      <c r="G625" s="143">
        <f>IFERROR(__xludf.DUMMYFUNCTION("""COMPUTED_VALUE"""),50409078)</f>
        <v/>
      </c>
      <c r="H625" s="27" t="n"/>
    </row>
    <row r="626" ht="17.25" customHeight="1" s="322">
      <c r="A626" s="27" t="n"/>
      <c r="B626" s="506">
        <f>IFERROR(__xludf.DUMMYFUNCTION("""COMPUTED_VALUE"""),46007.6666666666)</f>
        <v/>
      </c>
      <c r="C626" s="141">
        <f>IFERROR(__xludf.DUMMYFUNCTION("""COMPUTED_VALUE"""),272.82)</f>
        <v/>
      </c>
      <c r="D626" s="141">
        <f>IFERROR(__xludf.DUMMYFUNCTION("""COMPUTED_VALUE"""),275.5)</f>
        <v/>
      </c>
      <c r="E626" s="141">
        <f>IFERROR(__xludf.DUMMYFUNCTION("""COMPUTED_VALUE"""),271.79)</f>
        <v/>
      </c>
      <c r="F626" s="141">
        <f>IFERROR(__xludf.DUMMYFUNCTION("""COMPUTED_VALUE"""),274.61)</f>
        <v/>
      </c>
      <c r="G626" s="143">
        <f>IFERROR(__xludf.DUMMYFUNCTION("""COMPUTED_VALUE"""),37648628)</f>
        <v/>
      </c>
      <c r="H626" s="27" t="n"/>
    </row>
    <row r="627" ht="17.25" customHeight="1" s="322">
      <c r="A627" s="27" t="n"/>
      <c r="B627" s="506">
        <f>IFERROR(__xludf.DUMMYFUNCTION("""COMPUTED_VALUE"""),46008.6666666666)</f>
        <v/>
      </c>
      <c r="C627" s="141">
        <f>IFERROR(__xludf.DUMMYFUNCTION("""COMPUTED_VALUE"""),275.01)</f>
        <v/>
      </c>
      <c r="D627" s="141">
        <f>IFERROR(__xludf.DUMMYFUNCTION("""COMPUTED_VALUE"""),276.16)</f>
        <v/>
      </c>
      <c r="E627" s="141">
        <f>IFERROR(__xludf.DUMMYFUNCTION("""COMPUTED_VALUE"""),271.64)</f>
        <v/>
      </c>
      <c r="F627" s="141">
        <f>IFERROR(__xludf.DUMMYFUNCTION("""COMPUTED_VALUE"""),271.84)</f>
        <v/>
      </c>
      <c r="G627" s="143">
        <f>IFERROR(__xludf.DUMMYFUNCTION("""COMPUTED_VALUE"""),50138743)</f>
        <v/>
      </c>
      <c r="H627" s="27" t="n"/>
    </row>
    <row r="628" ht="17.25" customHeight="1" s="322">
      <c r="A628" s="27" t="n"/>
      <c r="B628" s="506">
        <f>IFERROR(__xludf.DUMMYFUNCTION("""COMPUTED_VALUE"""),46009.6666666666)</f>
        <v/>
      </c>
      <c r="C628" s="141">
        <f>IFERROR(__xludf.DUMMYFUNCTION("""COMPUTED_VALUE"""),273.61)</f>
        <v/>
      </c>
      <c r="D628" s="141">
        <f>IFERROR(__xludf.DUMMYFUNCTION("""COMPUTED_VALUE"""),273.63)</f>
        <v/>
      </c>
      <c r="E628" s="141">
        <f>IFERROR(__xludf.DUMMYFUNCTION("""COMPUTED_VALUE"""),266.95)</f>
        <v/>
      </c>
      <c r="F628" s="141">
        <f>IFERROR(__xludf.DUMMYFUNCTION("""COMPUTED_VALUE"""),272.19)</f>
        <v/>
      </c>
      <c r="G628" s="143">
        <f>IFERROR(__xludf.DUMMYFUNCTION("""COMPUTED_VALUE"""),51630721)</f>
        <v/>
      </c>
      <c r="H628" s="27" t="n"/>
    </row>
    <row r="629" ht="17.25" customHeight="1" s="322">
      <c r="A629" s="27" t="n"/>
      <c r="B629" s="506">
        <f>IFERROR(__xludf.DUMMYFUNCTION("""COMPUTED_VALUE"""),46010.6666666666)</f>
        <v/>
      </c>
      <c r="C629" s="141">
        <f>IFERROR(__xludf.DUMMYFUNCTION("""COMPUTED_VALUE"""),272.15)</f>
        <v/>
      </c>
      <c r="D629" s="141">
        <f>IFERROR(__xludf.DUMMYFUNCTION("""COMPUTED_VALUE"""),274.6)</f>
        <v/>
      </c>
      <c r="E629" s="141">
        <f>IFERROR(__xludf.DUMMYFUNCTION("""COMPUTED_VALUE"""),269.9)</f>
        <v/>
      </c>
      <c r="F629" s="141">
        <f>IFERROR(__xludf.DUMMYFUNCTION("""COMPUTED_VALUE"""),273.67)</f>
        <v/>
      </c>
      <c r="G629" s="143">
        <f>IFERROR(__xludf.DUMMYFUNCTION("""COMPUTED_VALUE"""),144632048)</f>
        <v/>
      </c>
      <c r="H629" s="27" t="n"/>
    </row>
    <row r="630" ht="17.25" customHeight="1" s="322">
      <c r="A630" s="27" t="n"/>
      <c r="B630" s="506">
        <f>IFERROR(__xludf.DUMMYFUNCTION("""COMPUTED_VALUE"""),46013.6666666666)</f>
        <v/>
      </c>
      <c r="C630" s="141">
        <f>IFERROR(__xludf.DUMMYFUNCTION("""COMPUTED_VALUE"""),272.86)</f>
        <v/>
      </c>
      <c r="D630" s="141">
        <f>IFERROR(__xludf.DUMMYFUNCTION("""COMPUTED_VALUE"""),273.88)</f>
        <v/>
      </c>
      <c r="E630" s="141">
        <f>IFERROR(__xludf.DUMMYFUNCTION("""COMPUTED_VALUE"""),270.51)</f>
        <v/>
      </c>
      <c r="F630" s="141">
        <f>IFERROR(__xludf.DUMMYFUNCTION("""COMPUTED_VALUE"""),270.97)</f>
        <v/>
      </c>
      <c r="G630" s="143">
        <f>IFERROR(__xludf.DUMMYFUNCTION("""COMPUTED_VALUE"""),36571827)</f>
        <v/>
      </c>
      <c r="H630" s="27" t="n"/>
    </row>
    <row r="631" ht="17.25" customHeight="1" s="322">
      <c r="A631" s="27" t="n"/>
      <c r="B631" s="506">
        <f>IFERROR(__xludf.DUMMYFUNCTION("""COMPUTED_VALUE"""),46014.6666666666)</f>
        <v/>
      </c>
      <c r="C631" s="141">
        <f>IFERROR(__xludf.DUMMYFUNCTION("""COMPUTED_VALUE"""),270.84)</f>
        <v/>
      </c>
      <c r="D631" s="141">
        <f>IFERROR(__xludf.DUMMYFUNCTION("""COMPUTED_VALUE"""),272.5)</f>
        <v/>
      </c>
      <c r="E631" s="141">
        <f>IFERROR(__xludf.DUMMYFUNCTION("""COMPUTED_VALUE"""),269.56)</f>
        <v/>
      </c>
      <c r="F631" s="141">
        <f>IFERROR(__xludf.DUMMYFUNCTION("""COMPUTED_VALUE"""),272.36)</f>
        <v/>
      </c>
      <c r="G631" s="143">
        <f>IFERROR(__xludf.DUMMYFUNCTION("""COMPUTED_VALUE"""),29641999)</f>
        <v/>
      </c>
      <c r="H631" s="27" t="n"/>
    </row>
    <row r="632" ht="17.25" customHeight="1" s="322">
      <c r="A632" s="27" t="n"/>
      <c r="B632" s="506">
        <f>IFERROR(__xludf.DUMMYFUNCTION("""COMPUTED_VALUE"""),46015.5451388888)</f>
        <v/>
      </c>
      <c r="C632" s="141">
        <f>IFERROR(__xludf.DUMMYFUNCTION("""COMPUTED_VALUE"""),272.34)</f>
        <v/>
      </c>
      <c r="D632" s="141">
        <f>IFERROR(__xludf.DUMMYFUNCTION("""COMPUTED_VALUE"""),275.43)</f>
        <v/>
      </c>
      <c r="E632" s="141">
        <f>IFERROR(__xludf.DUMMYFUNCTION("""COMPUTED_VALUE"""),272.2)</f>
        <v/>
      </c>
      <c r="F632" s="141">
        <f>IFERROR(__xludf.DUMMYFUNCTION("""COMPUTED_VALUE"""),273.81)</f>
        <v/>
      </c>
      <c r="G632" s="143">
        <f>IFERROR(__xludf.DUMMYFUNCTION("""COMPUTED_VALUE"""),17910574)</f>
        <v/>
      </c>
      <c r="H632" s="27" t="n"/>
    </row>
    <row r="633" ht="17.25" customHeight="1" s="322">
      <c r="A633" s="27" t="n"/>
      <c r="B633" s="506">
        <f>IFERROR(__xludf.DUMMYFUNCTION("""COMPUTED_VALUE"""),46017.6666666666)</f>
        <v/>
      </c>
      <c r="C633" s="141">
        <f>IFERROR(__xludf.DUMMYFUNCTION("""COMPUTED_VALUE"""),274.16)</f>
        <v/>
      </c>
      <c r="D633" s="141">
        <f>IFERROR(__xludf.DUMMYFUNCTION("""COMPUTED_VALUE"""),275.37)</f>
        <v/>
      </c>
      <c r="E633" s="141">
        <f>IFERROR(__xludf.DUMMYFUNCTION("""COMPUTED_VALUE"""),272.86)</f>
        <v/>
      </c>
      <c r="F633" s="141">
        <f>IFERROR(__xludf.DUMMYFUNCTION("""COMPUTED_VALUE"""),273.4)</f>
        <v/>
      </c>
      <c r="G633" s="143">
        <f>IFERROR(__xludf.DUMMYFUNCTION("""COMPUTED_VALUE"""),21521802)</f>
        <v/>
      </c>
      <c r="H633" s="27" t="n"/>
    </row>
    <row r="634" ht="17.25" customHeight="1" s="322">
      <c r="A634" s="27" t="n"/>
      <c r="B634" s="506">
        <f>IFERROR(__xludf.DUMMYFUNCTION("""COMPUTED_VALUE"""),46020.6666666666)</f>
        <v/>
      </c>
      <c r="C634" s="141">
        <f>IFERROR(__xludf.DUMMYFUNCTION("""COMPUTED_VALUE"""),272.69)</f>
        <v/>
      </c>
      <c r="D634" s="141">
        <f>IFERROR(__xludf.DUMMYFUNCTION("""COMPUTED_VALUE"""),274.36)</f>
        <v/>
      </c>
      <c r="E634" s="141">
        <f>IFERROR(__xludf.DUMMYFUNCTION("""COMPUTED_VALUE"""),272.35)</f>
        <v/>
      </c>
      <c r="F634" s="141">
        <f>IFERROR(__xludf.DUMMYFUNCTION("""COMPUTED_VALUE"""),273.76)</f>
        <v/>
      </c>
      <c r="G634" s="143">
        <f>IFERROR(__xludf.DUMMYFUNCTION("""COMPUTED_VALUE"""),23715213)</f>
        <v/>
      </c>
      <c r="H634" s="27" t="n"/>
    </row>
    <row r="635" ht="17.25" customHeight="1" s="322">
      <c r="A635" s="27" t="n"/>
      <c r="B635" s="506">
        <f>IFERROR(__xludf.DUMMYFUNCTION("""COMPUTED_VALUE"""),46021.6666666666)</f>
        <v/>
      </c>
      <c r="C635" s="141">
        <f>IFERROR(__xludf.DUMMYFUNCTION("""COMPUTED_VALUE"""),272.81)</f>
        <v/>
      </c>
      <c r="D635" s="141">
        <f>IFERROR(__xludf.DUMMYFUNCTION("""COMPUTED_VALUE"""),274.08)</f>
        <v/>
      </c>
      <c r="E635" s="141">
        <f>IFERROR(__xludf.DUMMYFUNCTION("""COMPUTED_VALUE"""),272.28)</f>
        <v/>
      </c>
      <c r="F635" s="141">
        <f>IFERROR(__xludf.DUMMYFUNCTION("""COMPUTED_VALUE"""),273.08)</f>
        <v/>
      </c>
      <c r="G635" s="143">
        <f>IFERROR(__xludf.DUMMYFUNCTION("""COMPUTED_VALUE"""),22139617)</f>
        <v/>
      </c>
      <c r="H635" s="27" t="n"/>
    </row>
    <row r="636" ht="17.25" customHeight="1" s="322">
      <c r="A636" s="27" t="n"/>
      <c r="B636" s="506">
        <f>IFERROR(__xludf.DUMMYFUNCTION("""COMPUTED_VALUE"""),46022.6666666666)</f>
        <v/>
      </c>
      <c r="C636" s="141">
        <f>IFERROR(__xludf.DUMMYFUNCTION("""COMPUTED_VALUE"""),273.06)</f>
        <v/>
      </c>
      <c r="D636" s="141">
        <f>IFERROR(__xludf.DUMMYFUNCTION("""COMPUTED_VALUE"""),273.68)</f>
        <v/>
      </c>
      <c r="E636" s="141">
        <f>IFERROR(__xludf.DUMMYFUNCTION("""COMPUTED_VALUE"""),271.75)</f>
        <v/>
      </c>
      <c r="F636" s="141">
        <f>IFERROR(__xludf.DUMMYFUNCTION("""COMPUTED_VALUE"""),271.86)</f>
        <v/>
      </c>
      <c r="G636" s="143">
        <f>IFERROR(__xludf.DUMMYFUNCTION("""COMPUTED_VALUE"""),27293639)</f>
        <v/>
      </c>
      <c r="H636" s="27" t="n"/>
    </row>
    <row r="637" ht="17.25" customHeight="1" s="322">
      <c r="A637" s="27" t="n"/>
      <c r="B637" s="506">
        <f>IFERROR(__xludf.DUMMYFUNCTION("""COMPUTED_VALUE"""),46024.6666666666)</f>
        <v/>
      </c>
      <c r="C637" s="141">
        <f>IFERROR(__xludf.DUMMYFUNCTION("""COMPUTED_VALUE"""),272.26)</f>
        <v/>
      </c>
      <c r="D637" s="141">
        <f>IFERROR(__xludf.DUMMYFUNCTION("""COMPUTED_VALUE"""),277.84)</f>
        <v/>
      </c>
      <c r="E637" s="141">
        <f>IFERROR(__xludf.DUMMYFUNCTION("""COMPUTED_VALUE"""),269)</f>
        <v/>
      </c>
      <c r="F637" s="141">
        <f>IFERROR(__xludf.DUMMYFUNCTION("""COMPUTED_VALUE"""),271.01)</f>
        <v/>
      </c>
      <c r="G637" s="143">
        <f>IFERROR(__xludf.DUMMYFUNCTION("""COMPUTED_VALUE"""),37838054)</f>
        <v/>
      </c>
      <c r="H637" s="27" t="n"/>
    </row>
    <row r="638" ht="17.25" customHeight="1" s="322">
      <c r="A638" s="27" t="n"/>
      <c r="B638" s="506">
        <f>IFERROR(__xludf.DUMMYFUNCTION("""COMPUTED_VALUE"""),46027.6666666666)</f>
        <v/>
      </c>
      <c r="C638" s="141">
        <f>IFERROR(__xludf.DUMMYFUNCTION("""COMPUTED_VALUE"""),270.64)</f>
        <v/>
      </c>
      <c r="D638" s="141">
        <f>IFERROR(__xludf.DUMMYFUNCTION("""COMPUTED_VALUE"""),271.51)</f>
        <v/>
      </c>
      <c r="E638" s="141">
        <f>IFERROR(__xludf.DUMMYFUNCTION("""COMPUTED_VALUE"""),266.14)</f>
        <v/>
      </c>
      <c r="F638" s="141">
        <f>IFERROR(__xludf.DUMMYFUNCTION("""COMPUTED_VALUE"""),267.26)</f>
        <v/>
      </c>
      <c r="G638" s="143">
        <f>IFERROR(__xludf.DUMMYFUNCTION("""COMPUTED_VALUE"""),45647190)</f>
        <v/>
      </c>
      <c r="H638" s="27" t="n"/>
    </row>
    <row r="639" ht="17.25" customHeight="1" s="322">
      <c r="A639" s="27" t="n"/>
      <c r="B639" s="506">
        <f>IFERROR(__xludf.DUMMYFUNCTION("""COMPUTED_VALUE"""),46028.6666666666)</f>
        <v/>
      </c>
      <c r="C639" s="141">
        <f>IFERROR(__xludf.DUMMYFUNCTION("""COMPUTED_VALUE"""),267)</f>
        <v/>
      </c>
      <c r="D639" s="141">
        <f>IFERROR(__xludf.DUMMYFUNCTION("""COMPUTED_VALUE"""),267.55)</f>
        <v/>
      </c>
      <c r="E639" s="141">
        <f>IFERROR(__xludf.DUMMYFUNCTION("""COMPUTED_VALUE"""),262.12)</f>
        <v/>
      </c>
      <c r="F639" s="141">
        <f>IFERROR(__xludf.DUMMYFUNCTION("""COMPUTED_VALUE"""),262.36)</f>
        <v/>
      </c>
      <c r="G639" s="143">
        <f>IFERROR(__xludf.DUMMYFUNCTION("""COMPUTED_VALUE"""),52352090)</f>
        <v/>
      </c>
      <c r="H639" s="27" t="n"/>
    </row>
    <row r="640" ht="17.25" customHeight="1" s="322">
      <c r="A640" s="27" t="n"/>
      <c r="B640" s="506">
        <f>IFERROR(__xludf.DUMMYFUNCTION("""COMPUTED_VALUE"""),46029.6666666666)</f>
        <v/>
      </c>
      <c r="C640" s="141">
        <f>IFERROR(__xludf.DUMMYFUNCTION("""COMPUTED_VALUE"""),263.2)</f>
        <v/>
      </c>
      <c r="D640" s="141">
        <f>IFERROR(__xludf.DUMMYFUNCTION("""COMPUTED_VALUE"""),263.68)</f>
        <v/>
      </c>
      <c r="E640" s="141">
        <f>IFERROR(__xludf.DUMMYFUNCTION("""COMPUTED_VALUE"""),259.81)</f>
        <v/>
      </c>
      <c r="F640" s="141">
        <f>IFERROR(__xludf.DUMMYFUNCTION("""COMPUTED_VALUE"""),260.33)</f>
        <v/>
      </c>
      <c r="G640" s="143">
        <f>IFERROR(__xludf.DUMMYFUNCTION("""COMPUTED_VALUE"""),48309804)</f>
        <v/>
      </c>
      <c r="H640" s="27" t="n"/>
    </row>
    <row r="641" ht="17.25" customHeight="1" s="322">
      <c r="A641" s="27" t="n"/>
      <c r="B641" s="506">
        <f>IFERROR(__xludf.DUMMYFUNCTION("""COMPUTED_VALUE"""),46030.6666666666)</f>
        <v/>
      </c>
      <c r="C641" s="141">
        <f>IFERROR(__xludf.DUMMYFUNCTION("""COMPUTED_VALUE"""),257.02)</f>
        <v/>
      </c>
      <c r="D641" s="141">
        <f>IFERROR(__xludf.DUMMYFUNCTION("""COMPUTED_VALUE"""),259.29)</f>
        <v/>
      </c>
      <c r="E641" s="141">
        <f>IFERROR(__xludf.DUMMYFUNCTION("""COMPUTED_VALUE"""),255.7)</f>
        <v/>
      </c>
      <c r="F641" s="141">
        <f>IFERROR(__xludf.DUMMYFUNCTION("""COMPUTED_VALUE"""),259.04)</f>
        <v/>
      </c>
      <c r="G641" s="143">
        <f>IFERROR(__xludf.DUMMYFUNCTION("""COMPUTED_VALUE"""),50419337)</f>
        <v/>
      </c>
      <c r="H641" s="27" t="n"/>
    </row>
    <row r="642" ht="17.25" customHeight="1" s="322">
      <c r="A642" s="27" t="n"/>
      <c r="B642" s="506">
        <f>IFERROR(__xludf.DUMMYFUNCTION("""COMPUTED_VALUE"""),46031.6666666666)</f>
        <v/>
      </c>
      <c r="C642" s="141">
        <f>IFERROR(__xludf.DUMMYFUNCTION("""COMPUTED_VALUE"""),259.08)</f>
        <v/>
      </c>
      <c r="D642" s="141">
        <f>IFERROR(__xludf.DUMMYFUNCTION("""COMPUTED_VALUE"""),260.21)</f>
        <v/>
      </c>
      <c r="E642" s="141">
        <f>IFERROR(__xludf.DUMMYFUNCTION("""COMPUTED_VALUE"""),256.22)</f>
        <v/>
      </c>
      <c r="F642" s="141">
        <f>IFERROR(__xludf.DUMMYFUNCTION("""COMPUTED_VALUE"""),259.37)</f>
        <v/>
      </c>
      <c r="G642" s="143">
        <f>IFERROR(__xludf.DUMMYFUNCTION("""COMPUTED_VALUE"""),39996967)</f>
        <v/>
      </c>
      <c r="H642" s="27" t="n"/>
    </row>
    <row r="643" ht="17.25" customHeight="1" s="322">
      <c r="A643" s="27" t="n"/>
      <c r="B643" s="506">
        <f>IFERROR(__xludf.DUMMYFUNCTION("""COMPUTED_VALUE"""),46034.6666666666)</f>
        <v/>
      </c>
      <c r="C643" s="141">
        <f>IFERROR(__xludf.DUMMYFUNCTION("""COMPUTED_VALUE"""),259.16)</f>
        <v/>
      </c>
      <c r="D643" s="141">
        <f>IFERROR(__xludf.DUMMYFUNCTION("""COMPUTED_VALUE"""),261.3)</f>
        <v/>
      </c>
      <c r="E643" s="141">
        <f>IFERROR(__xludf.DUMMYFUNCTION("""COMPUTED_VALUE"""),256.8)</f>
        <v/>
      </c>
      <c r="F643" s="141">
        <f>IFERROR(__xludf.DUMMYFUNCTION("""COMPUTED_VALUE"""),260.25)</f>
        <v/>
      </c>
      <c r="G643" s="143">
        <f>IFERROR(__xludf.DUMMYFUNCTION("""COMPUTED_VALUE"""),45263767)</f>
        <v/>
      </c>
      <c r="H643" s="27" t="n"/>
    </row>
    <row r="644" ht="17.25" customHeight="1" s="322">
      <c r="A644" s="27" t="n"/>
      <c r="B644" s="506">
        <f>IFERROR(__xludf.DUMMYFUNCTION("""COMPUTED_VALUE"""),46035.6666666666)</f>
        <v/>
      </c>
      <c r="C644" s="141">
        <f>IFERROR(__xludf.DUMMYFUNCTION("""COMPUTED_VALUE"""),258.72)</f>
        <v/>
      </c>
      <c r="D644" s="141">
        <f>IFERROR(__xludf.DUMMYFUNCTION("""COMPUTED_VALUE"""),261.81)</f>
        <v/>
      </c>
      <c r="E644" s="141">
        <f>IFERROR(__xludf.DUMMYFUNCTION("""COMPUTED_VALUE"""),258.39)</f>
        <v/>
      </c>
      <c r="F644" s="141">
        <f>IFERROR(__xludf.DUMMYFUNCTION("""COMPUTED_VALUE"""),261.05)</f>
        <v/>
      </c>
      <c r="G644" s="143">
        <f>IFERROR(__xludf.DUMMYFUNCTION("""COMPUTED_VALUE"""),45730847)</f>
        <v/>
      </c>
      <c r="H644" s="27" t="n"/>
    </row>
    <row r="645" ht="17.25" customHeight="1" s="322">
      <c r="A645" s="27" t="n"/>
      <c r="B645" s="506">
        <f>IFERROR(__xludf.DUMMYFUNCTION("""COMPUTED_VALUE"""),46036.6666666666)</f>
        <v/>
      </c>
      <c r="C645" s="141">
        <f>IFERROR(__xludf.DUMMYFUNCTION("""COMPUTED_VALUE"""),259.49)</f>
        <v/>
      </c>
      <c r="D645" s="141">
        <f>IFERROR(__xludf.DUMMYFUNCTION("""COMPUTED_VALUE"""),261.82)</f>
        <v/>
      </c>
      <c r="E645" s="141">
        <f>IFERROR(__xludf.DUMMYFUNCTION("""COMPUTED_VALUE"""),256.71)</f>
        <v/>
      </c>
      <c r="F645" s="141">
        <f>IFERROR(__xludf.DUMMYFUNCTION("""COMPUTED_VALUE"""),259.96)</f>
        <v/>
      </c>
      <c r="G645" s="143">
        <f>IFERROR(__xludf.DUMMYFUNCTION("""COMPUTED_VALUE"""),40019421)</f>
        <v/>
      </c>
      <c r="H645" s="27" t="n"/>
    </row>
    <row r="646" ht="17.25" customHeight="1" s="322">
      <c r="A646" s="27" t="n"/>
      <c r="B646" s="506">
        <f>IFERROR(__xludf.DUMMYFUNCTION("""COMPUTED_VALUE"""),46037.6666666666)</f>
        <v/>
      </c>
      <c r="C646" s="141">
        <f>IFERROR(__xludf.DUMMYFUNCTION("""COMPUTED_VALUE"""),260.65)</f>
        <v/>
      </c>
      <c r="D646" s="141">
        <f>IFERROR(__xludf.DUMMYFUNCTION("""COMPUTED_VALUE"""),261.04)</f>
        <v/>
      </c>
      <c r="E646" s="141">
        <f>IFERROR(__xludf.DUMMYFUNCTION("""COMPUTED_VALUE"""),257.05)</f>
        <v/>
      </c>
      <c r="F646" s="141">
        <f>IFERROR(__xludf.DUMMYFUNCTION("""COMPUTED_VALUE"""),258.21)</f>
        <v/>
      </c>
      <c r="G646" s="143">
        <f>IFERROR(__xludf.DUMMYFUNCTION("""COMPUTED_VALUE"""),39388564)</f>
        <v/>
      </c>
      <c r="H646" s="27" t="n"/>
    </row>
    <row r="647" ht="17.25" customHeight="1" s="322">
      <c r="A647" s="27" t="n"/>
      <c r="B647" s="506">
        <f>IFERROR(__xludf.DUMMYFUNCTION("""COMPUTED_VALUE"""),46038.6666666666)</f>
        <v/>
      </c>
      <c r="C647" s="141">
        <f>IFERROR(__xludf.DUMMYFUNCTION("""COMPUTED_VALUE"""),257.9)</f>
        <v/>
      </c>
      <c r="D647" s="141">
        <f>IFERROR(__xludf.DUMMYFUNCTION("""COMPUTED_VALUE"""),258.9)</f>
        <v/>
      </c>
      <c r="E647" s="141">
        <f>IFERROR(__xludf.DUMMYFUNCTION("""COMPUTED_VALUE"""),254.93)</f>
        <v/>
      </c>
      <c r="F647" s="141">
        <f>IFERROR(__xludf.DUMMYFUNCTION("""COMPUTED_VALUE"""),255.53)</f>
        <v/>
      </c>
      <c r="G647" s="143">
        <f>IFERROR(__xludf.DUMMYFUNCTION("""COMPUTED_VALUE"""),72142773)</f>
        <v/>
      </c>
      <c r="H647" s="27" t="n"/>
    </row>
    <row r="648" ht="17.25" customHeight="1" s="322">
      <c r="A648" s="27" t="n"/>
      <c r="B648" s="506">
        <f>IFERROR(__xludf.DUMMYFUNCTION("""COMPUTED_VALUE"""),46042.6666666666)</f>
        <v/>
      </c>
      <c r="C648" s="141">
        <f>IFERROR(__xludf.DUMMYFUNCTION("""COMPUTED_VALUE"""),252.73)</f>
        <v/>
      </c>
      <c r="D648" s="141">
        <f>IFERROR(__xludf.DUMMYFUNCTION("""COMPUTED_VALUE"""),254.79)</f>
        <v/>
      </c>
      <c r="E648" s="141">
        <f>IFERROR(__xludf.DUMMYFUNCTION("""COMPUTED_VALUE"""),243.42)</f>
        <v/>
      </c>
      <c r="F648" s="141">
        <f>IFERROR(__xludf.DUMMYFUNCTION("""COMPUTED_VALUE"""),246.7)</f>
        <v/>
      </c>
      <c r="G648" s="143">
        <f>IFERROR(__xludf.DUMMYFUNCTION("""COMPUTED_VALUE"""),80267517)</f>
        <v/>
      </c>
      <c r="H648" s="27" t="n"/>
    </row>
    <row r="649" ht="17.25" customHeight="1" s="322">
      <c r="A649" s="27" t="n"/>
      <c r="B649" s="506">
        <f>IFERROR(__xludf.DUMMYFUNCTION("""COMPUTED_VALUE"""),46043.6666666666)</f>
        <v/>
      </c>
      <c r="C649" s="141">
        <f>IFERROR(__xludf.DUMMYFUNCTION("""COMPUTED_VALUE"""),248.7)</f>
        <v/>
      </c>
      <c r="D649" s="141">
        <f>IFERROR(__xludf.DUMMYFUNCTION("""COMPUTED_VALUE"""),251.56)</f>
        <v/>
      </c>
      <c r="E649" s="141">
        <f>IFERROR(__xludf.DUMMYFUNCTION("""COMPUTED_VALUE"""),245.18)</f>
        <v/>
      </c>
      <c r="F649" s="141">
        <f>IFERROR(__xludf.DUMMYFUNCTION("""COMPUTED_VALUE"""),247.65)</f>
        <v/>
      </c>
      <c r="G649" s="143">
        <f>IFERROR(__xludf.DUMMYFUNCTION("""COMPUTED_VALUE"""),54641725)</f>
        <v/>
      </c>
      <c r="H649" s="27" t="n"/>
    </row>
    <row r="650" ht="17.25" customHeight="1" s="322">
      <c r="A650" s="27" t="n"/>
      <c r="B650" s="506">
        <f>IFERROR(__xludf.DUMMYFUNCTION("""COMPUTED_VALUE"""),46044.6666666666)</f>
        <v/>
      </c>
      <c r="C650" s="141">
        <f>IFERROR(__xludf.DUMMYFUNCTION("""COMPUTED_VALUE"""),249.2)</f>
        <v/>
      </c>
      <c r="D650" s="141">
        <f>IFERROR(__xludf.DUMMYFUNCTION("""COMPUTED_VALUE"""),251)</f>
        <v/>
      </c>
      <c r="E650" s="141">
        <f>IFERROR(__xludf.DUMMYFUNCTION("""COMPUTED_VALUE"""),248.15)</f>
        <v/>
      </c>
      <c r="F650" s="141">
        <f>IFERROR(__xludf.DUMMYFUNCTION("""COMPUTED_VALUE"""),248.35)</f>
        <v/>
      </c>
      <c r="G650" s="143">
        <f>IFERROR(__xludf.DUMMYFUNCTION("""COMPUTED_VALUE"""),39708340)</f>
        <v/>
      </c>
      <c r="H650" s="27" t="n"/>
    </row>
    <row r="651" ht="17.25" customHeight="1" s="322">
      <c r="A651" s="27" t="n"/>
      <c r="B651" s="506">
        <f>IFERROR(__xludf.DUMMYFUNCTION("""COMPUTED_VALUE"""),46045.6666666666)</f>
        <v/>
      </c>
      <c r="C651" s="141">
        <f>IFERROR(__xludf.DUMMYFUNCTION("""COMPUTED_VALUE"""),247.32)</f>
        <v/>
      </c>
      <c r="D651" s="141">
        <f>IFERROR(__xludf.DUMMYFUNCTION("""COMPUTED_VALUE"""),249.41)</f>
        <v/>
      </c>
      <c r="E651" s="141">
        <f>IFERROR(__xludf.DUMMYFUNCTION("""COMPUTED_VALUE"""),244.68)</f>
        <v/>
      </c>
      <c r="F651" s="141">
        <f>IFERROR(__xludf.DUMMYFUNCTION("""COMPUTED_VALUE"""),248.04)</f>
        <v/>
      </c>
      <c r="G651" s="143">
        <f>IFERROR(__xludf.DUMMYFUNCTION("""COMPUTED_VALUE"""),41688982)</f>
        <v/>
      </c>
      <c r="H651" s="27" t="n"/>
    </row>
    <row r="652" ht="17.25" customHeight="1" s="322">
      <c r="A652" s="27" t="n"/>
      <c r="B652" s="506">
        <f>IFERROR(__xludf.DUMMYFUNCTION("""COMPUTED_VALUE"""),46048.6666666666)</f>
        <v/>
      </c>
      <c r="C652" s="141">
        <f>IFERROR(__xludf.DUMMYFUNCTION("""COMPUTED_VALUE"""),251.48)</f>
        <v/>
      </c>
      <c r="D652" s="141">
        <f>IFERROR(__xludf.DUMMYFUNCTION("""COMPUTED_VALUE"""),256.56)</f>
        <v/>
      </c>
      <c r="E652" s="141">
        <f>IFERROR(__xludf.DUMMYFUNCTION("""COMPUTED_VALUE"""),249.8)</f>
        <v/>
      </c>
      <c r="F652" s="141">
        <f>IFERROR(__xludf.DUMMYFUNCTION("""COMPUTED_VALUE"""),255.41)</f>
        <v/>
      </c>
      <c r="G652" s="143">
        <f>IFERROR(__xludf.DUMMYFUNCTION("""COMPUTED_VALUE"""),55969234)</f>
        <v/>
      </c>
      <c r="H652" s="27" t="n"/>
    </row>
    <row r="653" ht="17.25" customHeight="1" s="322">
      <c r="A653" s="27" t="n"/>
      <c r="B653" s="506">
        <f>IFERROR(__xludf.DUMMYFUNCTION("""COMPUTED_VALUE"""),46049.6666666666)</f>
        <v/>
      </c>
      <c r="C653" s="141">
        <f>IFERROR(__xludf.DUMMYFUNCTION("""COMPUTED_VALUE"""),259.17)</f>
        <v/>
      </c>
      <c r="D653" s="141">
        <f>IFERROR(__xludf.DUMMYFUNCTION("""COMPUTED_VALUE"""),261.95)</f>
        <v/>
      </c>
      <c r="E653" s="141">
        <f>IFERROR(__xludf.DUMMYFUNCTION("""COMPUTED_VALUE"""),258.21)</f>
        <v/>
      </c>
      <c r="F653" s="141">
        <f>IFERROR(__xludf.DUMMYFUNCTION("""COMPUTED_VALUE"""),258.27)</f>
        <v/>
      </c>
      <c r="G653" s="143">
        <f>IFERROR(__xludf.DUMMYFUNCTION("""COMPUTED_VALUE"""),49648271)</f>
        <v/>
      </c>
      <c r="H653" s="27" t="n"/>
    </row>
    <row r="654" ht="17.25" customHeight="1" s="322">
      <c r="A654" s="27" t="n"/>
      <c r="B654" s="506">
        <f>IFERROR(__xludf.DUMMYFUNCTION("""COMPUTED_VALUE"""),46050.6666666666)</f>
        <v/>
      </c>
      <c r="C654" s="141">
        <f>IFERROR(__xludf.DUMMYFUNCTION("""COMPUTED_VALUE"""),257.65)</f>
        <v/>
      </c>
      <c r="D654" s="141">
        <f>IFERROR(__xludf.DUMMYFUNCTION("""COMPUTED_VALUE"""),258.86)</f>
        <v/>
      </c>
      <c r="E654" s="141">
        <f>IFERROR(__xludf.DUMMYFUNCTION("""COMPUTED_VALUE"""),254.51)</f>
        <v/>
      </c>
      <c r="F654" s="141">
        <f>IFERROR(__xludf.DUMMYFUNCTION("""COMPUTED_VALUE"""),256.44)</f>
        <v/>
      </c>
      <c r="G654" s="143">
        <f>IFERROR(__xludf.DUMMYFUNCTION("""COMPUTED_VALUE"""),41287971)</f>
        <v/>
      </c>
      <c r="H654" s="27" t="n"/>
    </row>
    <row r="655" ht="17.25" customHeight="1" s="322">
      <c r="A655" s="27" t="n"/>
      <c r="B655" s="506">
        <f>IFERROR(__xludf.DUMMYFUNCTION("""COMPUTED_VALUE"""),46051.6666666666)</f>
        <v/>
      </c>
      <c r="C655" s="141">
        <f>IFERROR(__xludf.DUMMYFUNCTION("""COMPUTED_VALUE"""),258)</f>
        <v/>
      </c>
      <c r="D655" s="141">
        <f>IFERROR(__xludf.DUMMYFUNCTION("""COMPUTED_VALUE"""),259.65)</f>
        <v/>
      </c>
      <c r="E655" s="141">
        <f>IFERROR(__xludf.DUMMYFUNCTION("""COMPUTED_VALUE"""),254.41)</f>
        <v/>
      </c>
      <c r="F655" s="141">
        <f>IFERROR(__xludf.DUMMYFUNCTION("""COMPUTED_VALUE"""),258.28)</f>
        <v/>
      </c>
      <c r="G655" s="143">
        <f>IFERROR(__xludf.DUMMYFUNCTION("""COMPUTED_VALUE"""),67253009)</f>
        <v/>
      </c>
      <c r="H655" s="27" t="n"/>
    </row>
    <row r="656" ht="17.25" customHeight="1" s="322">
      <c r="A656" s="27" t="n"/>
      <c r="B656" s="506">
        <f>IFERROR(__xludf.DUMMYFUNCTION("""COMPUTED_VALUE"""),46052.6666666666)</f>
        <v/>
      </c>
      <c r="C656" s="141">
        <f>IFERROR(__xludf.DUMMYFUNCTION("""COMPUTED_VALUE"""),255.17)</f>
        <v/>
      </c>
      <c r="D656" s="141">
        <f>IFERROR(__xludf.DUMMYFUNCTION("""COMPUTED_VALUE"""),261.9)</f>
        <v/>
      </c>
      <c r="E656" s="141">
        <f>IFERROR(__xludf.DUMMYFUNCTION("""COMPUTED_VALUE"""),252.18)</f>
        <v/>
      </c>
      <c r="F656" s="141">
        <f>IFERROR(__xludf.DUMMYFUNCTION("""COMPUTED_VALUE"""),259.48)</f>
        <v/>
      </c>
      <c r="G656" s="143">
        <f>IFERROR(__xludf.DUMMYFUNCTION("""COMPUTED_VALUE"""),92443408)</f>
        <v/>
      </c>
      <c r="H656" s="27" t="n"/>
    </row>
    <row r="657" ht="17.25" customHeight="1" s="322">
      <c r="A657" s="27" t="n"/>
      <c r="B657" s="506">
        <f>IFERROR(__xludf.DUMMYFUNCTION("""COMPUTED_VALUE"""),46055.6666666666)</f>
        <v/>
      </c>
      <c r="C657" s="141">
        <f>IFERROR(__xludf.DUMMYFUNCTION("""COMPUTED_VALUE"""),260.03)</f>
        <v/>
      </c>
      <c r="D657" s="141">
        <f>IFERROR(__xludf.DUMMYFUNCTION("""COMPUTED_VALUE"""),270.49)</f>
        <v/>
      </c>
      <c r="E657" s="141">
        <f>IFERROR(__xludf.DUMMYFUNCTION("""COMPUTED_VALUE"""),259.21)</f>
        <v/>
      </c>
      <c r="F657" s="141">
        <f>IFERROR(__xludf.DUMMYFUNCTION("""COMPUTED_VALUE"""),270.01)</f>
        <v/>
      </c>
      <c r="G657" s="143">
        <f>IFERROR(__xludf.DUMMYFUNCTION("""COMPUTED_VALUE"""),73913425)</f>
        <v/>
      </c>
      <c r="H657" s="27" t="n"/>
    </row>
    <row r="658" ht="17.25" customHeight="1" s="322">
      <c r="A658" s="27" t="n"/>
      <c r="B658" s="506">
        <f>IFERROR(__xludf.DUMMYFUNCTION("""COMPUTED_VALUE"""),46056.6666666666)</f>
        <v/>
      </c>
      <c r="C658" s="141">
        <f>IFERROR(__xludf.DUMMYFUNCTION("""COMPUTED_VALUE"""),269.2)</f>
        <v/>
      </c>
      <c r="D658" s="141">
        <f>IFERROR(__xludf.DUMMYFUNCTION("""COMPUTED_VALUE"""),271.88)</f>
        <v/>
      </c>
      <c r="E658" s="141">
        <f>IFERROR(__xludf.DUMMYFUNCTION("""COMPUTED_VALUE"""),267.61)</f>
        <v/>
      </c>
      <c r="F658" s="141">
        <f>IFERROR(__xludf.DUMMYFUNCTION("""COMPUTED_VALUE"""),269.48)</f>
        <v/>
      </c>
      <c r="G658" s="143">
        <f>IFERROR(__xludf.DUMMYFUNCTION("""COMPUTED_VALUE"""),64394655)</f>
        <v/>
      </c>
      <c r="H658" s="27" t="n"/>
    </row>
    <row r="659" ht="17.25" customHeight="1" s="322">
      <c r="A659" s="27" t="n"/>
      <c r="B659" s="506">
        <f>IFERROR(__xludf.DUMMYFUNCTION("""COMPUTED_VALUE"""),46057.6666666666)</f>
        <v/>
      </c>
      <c r="C659" s="141">
        <f>IFERROR(__xludf.DUMMYFUNCTION("""COMPUTED_VALUE"""),272.29)</f>
        <v/>
      </c>
      <c r="D659" s="141">
        <f>IFERROR(__xludf.DUMMYFUNCTION("""COMPUTED_VALUE"""),278.95)</f>
        <v/>
      </c>
      <c r="E659" s="141">
        <f>IFERROR(__xludf.DUMMYFUNCTION("""COMPUTED_VALUE"""),272.29)</f>
        <v/>
      </c>
      <c r="F659" s="141">
        <f>IFERROR(__xludf.DUMMYFUNCTION("""COMPUTED_VALUE"""),276.49)</f>
        <v/>
      </c>
      <c r="G659" s="143">
        <f>IFERROR(__xludf.DUMMYFUNCTION("""COMPUTED_VALUE"""),90545710)</f>
        <v/>
      </c>
      <c r="H659" s="27" t="n"/>
    </row>
    <row r="660" ht="17.25" customHeight="1" s="322">
      <c r="A660" s="27" t="n"/>
      <c r="B660" s="506">
        <f>IFERROR(__xludf.DUMMYFUNCTION("""COMPUTED_VALUE"""),46058.6666666666)</f>
        <v/>
      </c>
      <c r="C660" s="141">
        <f>IFERROR(__xludf.DUMMYFUNCTION("""COMPUTED_VALUE"""),278.13)</f>
        <v/>
      </c>
      <c r="D660" s="141">
        <f>IFERROR(__xludf.DUMMYFUNCTION("""COMPUTED_VALUE"""),279.5)</f>
        <v/>
      </c>
      <c r="E660" s="141">
        <f>IFERROR(__xludf.DUMMYFUNCTION("""COMPUTED_VALUE"""),273.23)</f>
        <v/>
      </c>
      <c r="F660" s="141">
        <f>IFERROR(__xludf.DUMMYFUNCTION("""COMPUTED_VALUE"""),275.91)</f>
        <v/>
      </c>
      <c r="G660" s="143">
        <f>IFERROR(__xludf.DUMMYFUNCTION("""COMPUTED_VALUE"""),52977441)</f>
        <v/>
      </c>
      <c r="H660" s="27" t="n"/>
    </row>
    <row r="661" ht="17.25" customHeight="1" s="322">
      <c r="A661" s="27" t="n"/>
      <c r="B661" s="506">
        <f>IFERROR(__xludf.DUMMYFUNCTION("""COMPUTED_VALUE"""),46059.6666666666)</f>
        <v/>
      </c>
      <c r="C661" s="141">
        <f>IFERROR(__xludf.DUMMYFUNCTION("""COMPUTED_VALUE"""),277.12)</f>
        <v/>
      </c>
      <c r="D661" s="141">
        <f>IFERROR(__xludf.DUMMYFUNCTION("""COMPUTED_VALUE"""),280.9)</f>
        <v/>
      </c>
      <c r="E661" s="141">
        <f>IFERROR(__xludf.DUMMYFUNCTION("""COMPUTED_VALUE"""),276.93)</f>
        <v/>
      </c>
      <c r="F661" s="141">
        <f>IFERROR(__xludf.DUMMYFUNCTION("""COMPUTED_VALUE"""),278.12)</f>
        <v/>
      </c>
      <c r="G661" s="143">
        <f>IFERROR(__xludf.DUMMYFUNCTION("""COMPUTED_VALUE"""),50453414)</f>
        <v/>
      </c>
      <c r="H661" s="27" t="n"/>
    </row>
    <row r="662" ht="17.25" customHeight="1" s="322">
      <c r="A662" s="27" t="n"/>
      <c r="B662" s="506">
        <f>IFERROR(__xludf.DUMMYFUNCTION("""COMPUTED_VALUE"""),46062.6666666666)</f>
        <v/>
      </c>
      <c r="C662" s="141">
        <f>IFERROR(__xludf.DUMMYFUNCTION("""COMPUTED_VALUE"""),277.9)</f>
        <v/>
      </c>
      <c r="D662" s="141">
        <f>IFERROR(__xludf.DUMMYFUNCTION("""COMPUTED_VALUE"""),278.2)</f>
        <v/>
      </c>
      <c r="E662" s="141">
        <f>IFERROR(__xludf.DUMMYFUNCTION("""COMPUTED_VALUE"""),271.7)</f>
        <v/>
      </c>
      <c r="F662" s="141">
        <f>IFERROR(__xludf.DUMMYFUNCTION("""COMPUTED_VALUE"""),274.62)</f>
        <v/>
      </c>
      <c r="G662" s="143">
        <f>IFERROR(__xludf.DUMMYFUNCTION("""COMPUTED_VALUE"""),44623396)</f>
        <v/>
      </c>
      <c r="H662" s="27" t="n"/>
    </row>
    <row r="663" ht="17.25" customHeight="1" s="322">
      <c r="A663" s="27" t="n"/>
      <c r="B663" s="506">
        <f>IFERROR(__xludf.DUMMYFUNCTION("""COMPUTED_VALUE"""),46063.6666666666)</f>
        <v/>
      </c>
      <c r="C663" s="141">
        <f>IFERROR(__xludf.DUMMYFUNCTION("""COMPUTED_VALUE"""),274.89)</f>
        <v/>
      </c>
      <c r="D663" s="141">
        <f>IFERROR(__xludf.DUMMYFUNCTION("""COMPUTED_VALUE"""),275.37)</f>
        <v/>
      </c>
      <c r="E663" s="141">
        <f>IFERROR(__xludf.DUMMYFUNCTION("""COMPUTED_VALUE"""),272.94)</f>
        <v/>
      </c>
      <c r="F663" s="141">
        <f>IFERROR(__xludf.DUMMYFUNCTION("""COMPUTED_VALUE"""),273.68)</f>
        <v/>
      </c>
      <c r="G663" s="143">
        <f>IFERROR(__xludf.DUMMYFUNCTION("""COMPUTED_VALUE"""),34376898)</f>
        <v/>
      </c>
      <c r="H663" s="27" t="n"/>
    </row>
    <row r="664" ht="17.25" customHeight="1" s="322">
      <c r="A664" s="27" t="n"/>
      <c r="B664" s="506">
        <f>IFERROR(__xludf.DUMMYFUNCTION("""COMPUTED_VALUE"""),46064.6666666666)</f>
        <v/>
      </c>
      <c r="C664" s="141">
        <f>IFERROR(__xludf.DUMMYFUNCTION("""COMPUTED_VALUE"""),274.7)</f>
        <v/>
      </c>
      <c r="D664" s="141">
        <f>IFERROR(__xludf.DUMMYFUNCTION("""COMPUTED_VALUE"""),280.18)</f>
        <v/>
      </c>
      <c r="E664" s="141">
        <f>IFERROR(__xludf.DUMMYFUNCTION("""COMPUTED_VALUE"""),274.45)</f>
        <v/>
      </c>
      <c r="F664" s="141">
        <f>IFERROR(__xludf.DUMMYFUNCTION("""COMPUTED_VALUE"""),275.5)</f>
        <v/>
      </c>
      <c r="G664" s="143">
        <f>IFERROR(__xludf.DUMMYFUNCTION("""COMPUTED_VALUE"""),51931283)</f>
        <v/>
      </c>
      <c r="H664" s="27" t="n"/>
    </row>
    <row r="665" ht="17.25" customHeight="1" s="322">
      <c r="A665" s="27" t="n"/>
      <c r="B665" s="506">
        <f>IFERROR(__xludf.DUMMYFUNCTION("""COMPUTED_VALUE"""),46065.6666666666)</f>
        <v/>
      </c>
      <c r="C665" s="141">
        <f>IFERROR(__xludf.DUMMYFUNCTION("""COMPUTED_VALUE"""),275.59)</f>
        <v/>
      </c>
      <c r="D665" s="141">
        <f>IFERROR(__xludf.DUMMYFUNCTION("""COMPUTED_VALUE"""),275.72)</f>
        <v/>
      </c>
      <c r="E665" s="141">
        <f>IFERROR(__xludf.DUMMYFUNCTION("""COMPUTED_VALUE"""),260.18)</f>
        <v/>
      </c>
      <c r="F665" s="141">
        <f>IFERROR(__xludf.DUMMYFUNCTION("""COMPUTED_VALUE"""),261.73)</f>
        <v/>
      </c>
      <c r="G665" s="143">
        <f>IFERROR(__xludf.DUMMYFUNCTION("""COMPUTED_VALUE"""),81077229)</f>
        <v/>
      </c>
      <c r="H665" s="27" t="n"/>
    </row>
    <row r="666" ht="17.25" customHeight="1" s="322">
      <c r="A666" s="27" t="n"/>
      <c r="B666" s="506">
        <f>IFERROR(__xludf.DUMMYFUNCTION("""COMPUTED_VALUE"""),46066.6666666666)</f>
        <v/>
      </c>
      <c r="C666" s="141">
        <f>IFERROR(__xludf.DUMMYFUNCTION("""COMPUTED_VALUE"""),262.01)</f>
        <v/>
      </c>
      <c r="D666" s="141">
        <f>IFERROR(__xludf.DUMMYFUNCTION("""COMPUTED_VALUE"""),262.23)</f>
        <v/>
      </c>
      <c r="E666" s="141">
        <f>IFERROR(__xludf.DUMMYFUNCTION("""COMPUTED_VALUE"""),255.45)</f>
        <v/>
      </c>
      <c r="F666" s="141">
        <f>IFERROR(__xludf.DUMMYFUNCTION("""COMPUTED_VALUE"""),255.78)</f>
        <v/>
      </c>
      <c r="G666" s="143">
        <f>IFERROR(__xludf.DUMMYFUNCTION("""COMPUTED_VALUE"""),56290673)</f>
        <v/>
      </c>
      <c r="H666" s="27" t="n"/>
    </row>
    <row r="667" ht="17.25" customHeight="1" s="322">
      <c r="A667" s="27" t="n"/>
      <c r="B667" s="506">
        <f>IFERROR(__xludf.DUMMYFUNCTION("""COMPUTED_VALUE"""),46070.6666666666)</f>
        <v/>
      </c>
      <c r="C667" s="141">
        <f>IFERROR(__xludf.DUMMYFUNCTION("""COMPUTED_VALUE"""),258.05)</f>
        <v/>
      </c>
      <c r="D667" s="141">
        <f>IFERROR(__xludf.DUMMYFUNCTION("""COMPUTED_VALUE"""),266.29)</f>
        <v/>
      </c>
      <c r="E667" s="141">
        <f>IFERROR(__xludf.DUMMYFUNCTION("""COMPUTED_VALUE"""),255.54)</f>
        <v/>
      </c>
      <c r="F667" s="141">
        <f>IFERROR(__xludf.DUMMYFUNCTION("""COMPUTED_VALUE"""),263.88)</f>
        <v/>
      </c>
      <c r="G667" s="143">
        <f>IFERROR(__xludf.DUMMYFUNCTION("""COMPUTED_VALUE"""),58469094)</f>
        <v/>
      </c>
      <c r="H667" s="27" t="n"/>
    </row>
    <row r="668" ht="17.25" customHeight="1" s="322">
      <c r="A668" s="27" t="n"/>
      <c r="B668" s="506">
        <f>IFERROR(__xludf.DUMMYFUNCTION("""COMPUTED_VALUE"""),46071.6666666666)</f>
        <v/>
      </c>
      <c r="C668" s="141">
        <f>IFERROR(__xludf.DUMMYFUNCTION("""COMPUTED_VALUE"""),263.6)</f>
        <v/>
      </c>
      <c r="D668" s="141">
        <f>IFERROR(__xludf.DUMMYFUNCTION("""COMPUTED_VALUE"""),266.82)</f>
        <v/>
      </c>
      <c r="E668" s="141">
        <f>IFERROR(__xludf.DUMMYFUNCTION("""COMPUTED_VALUE"""),262.45)</f>
        <v/>
      </c>
      <c r="F668" s="141">
        <f>IFERROR(__xludf.DUMMYFUNCTION("""COMPUTED_VALUE"""),264.35)</f>
        <v/>
      </c>
      <c r="G668" s="143">
        <f>IFERROR(__xludf.DUMMYFUNCTION("""COMPUTED_VALUE"""),34203337)</f>
        <v/>
      </c>
      <c r="H668" s="27" t="n"/>
    </row>
    <row r="669" ht="17.25" customHeight="1" s="322">
      <c r="A669" s="27" t="n"/>
      <c r="B669" s="506">
        <f>IFERROR(__xludf.DUMMYFUNCTION("""COMPUTED_VALUE"""),46072.6666666666)</f>
        <v/>
      </c>
      <c r="C669" s="141">
        <f>IFERROR(__xludf.DUMMYFUNCTION("""COMPUTED_VALUE"""),262.6)</f>
        <v/>
      </c>
      <c r="D669" s="141">
        <f>IFERROR(__xludf.DUMMYFUNCTION("""COMPUTED_VALUE"""),264.48)</f>
        <v/>
      </c>
      <c r="E669" s="141">
        <f>IFERROR(__xludf.DUMMYFUNCTION("""COMPUTED_VALUE"""),260.05)</f>
        <v/>
      </c>
      <c r="F669" s="141">
        <f>IFERROR(__xludf.DUMMYFUNCTION("""COMPUTED_VALUE"""),260.58)</f>
        <v/>
      </c>
      <c r="G669" s="143">
        <f>IFERROR(__xludf.DUMMYFUNCTION("""COMPUTED_VALUE"""),30845294)</f>
        <v/>
      </c>
      <c r="H669" s="27" t="n"/>
    </row>
    <row r="670" ht="17.25" customHeight="1" s="322">
      <c r="A670" s="27" t="n"/>
      <c r="B670" s="506">
        <f>IFERROR(__xludf.DUMMYFUNCTION("""COMPUTED_VALUE"""),46073.6666666666)</f>
        <v/>
      </c>
      <c r="C670" s="141">
        <f>IFERROR(__xludf.DUMMYFUNCTION("""COMPUTED_VALUE"""),258.97)</f>
        <v/>
      </c>
      <c r="D670" s="141">
        <f>IFERROR(__xludf.DUMMYFUNCTION("""COMPUTED_VALUE"""),264.75)</f>
        <v/>
      </c>
      <c r="E670" s="141">
        <f>IFERROR(__xludf.DUMMYFUNCTION("""COMPUTED_VALUE"""),258.16)</f>
        <v/>
      </c>
      <c r="F670" s="141">
        <f>IFERROR(__xludf.DUMMYFUNCTION("""COMPUTED_VALUE"""),264.58)</f>
        <v/>
      </c>
      <c r="G670" s="143">
        <f>IFERROR(__xludf.DUMMYFUNCTION("""COMPUTED_VALUE"""),42070499)</f>
        <v/>
      </c>
      <c r="H670" s="27" t="n"/>
    </row>
    <row r="671" ht="17.25" customHeight="1" s="322">
      <c r="A671" s="27" t="n"/>
      <c r="B671" s="506">
        <f>IFERROR(__xludf.DUMMYFUNCTION("""COMPUTED_VALUE"""),46076.6666666666)</f>
        <v/>
      </c>
      <c r="C671" s="141">
        <f>IFERROR(__xludf.DUMMYFUNCTION("""COMPUTED_VALUE"""),263.49)</f>
        <v/>
      </c>
      <c r="D671" s="141">
        <f>IFERROR(__xludf.DUMMYFUNCTION("""COMPUTED_VALUE"""),269.43)</f>
        <v/>
      </c>
      <c r="E671" s="141">
        <f>IFERROR(__xludf.DUMMYFUNCTION("""COMPUTED_VALUE"""),263.38)</f>
        <v/>
      </c>
      <c r="F671" s="141">
        <f>IFERROR(__xludf.DUMMYFUNCTION("""COMPUTED_VALUE"""),266.18)</f>
        <v/>
      </c>
      <c r="G671" s="143">
        <f>IFERROR(__xludf.DUMMYFUNCTION("""COMPUTED_VALUE"""),37037423)</f>
        <v/>
      </c>
      <c r="H671" s="27" t="n"/>
    </row>
    <row r="672" ht="17.25" customHeight="1" s="322">
      <c r="A672" s="27" t="n"/>
      <c r="B672" s="506">
        <f>IFERROR(__xludf.DUMMYFUNCTION("""COMPUTED_VALUE"""),46077.6666666666)</f>
        <v/>
      </c>
      <c r="C672" s="141">
        <f>IFERROR(__xludf.DUMMYFUNCTION("""COMPUTED_VALUE"""),267.86)</f>
        <v/>
      </c>
      <c r="D672" s="141">
        <f>IFERROR(__xludf.DUMMYFUNCTION("""COMPUTED_VALUE"""),274.89)</f>
        <v/>
      </c>
      <c r="E672" s="141">
        <f>IFERROR(__xludf.DUMMYFUNCTION("""COMPUTED_VALUE"""),267.71)</f>
        <v/>
      </c>
      <c r="F672" s="141">
        <f>IFERROR(__xludf.DUMMYFUNCTION("""COMPUTED_VALUE"""),272.14)</f>
        <v/>
      </c>
      <c r="G672" s="143">
        <f>IFERROR(__xludf.DUMMYFUNCTION("""COMPUTED_VALUE"""),46640212)</f>
        <v/>
      </c>
      <c r="H672" s="27" t="n"/>
    </row>
    <row r="673" ht="17.25" customHeight="1" s="322">
      <c r="A673" s="27" t="n"/>
      <c r="B673" s="506">
        <f>IFERROR(__xludf.DUMMYFUNCTION("""COMPUTED_VALUE"""),46078.6666666666)</f>
        <v/>
      </c>
      <c r="C673" s="141">
        <f>IFERROR(__xludf.DUMMYFUNCTION("""COMPUTED_VALUE"""),271.78)</f>
        <v/>
      </c>
      <c r="D673" s="141">
        <f>IFERROR(__xludf.DUMMYFUNCTION("""COMPUTED_VALUE"""),274.94)</f>
        <v/>
      </c>
      <c r="E673" s="141">
        <f>IFERROR(__xludf.DUMMYFUNCTION("""COMPUTED_VALUE"""),271.05)</f>
        <v/>
      </c>
      <c r="F673" s="141">
        <f>IFERROR(__xludf.DUMMYFUNCTION("""COMPUTED_VALUE"""),274.23)</f>
        <v/>
      </c>
      <c r="G673" s="143">
        <f>IFERROR(__xludf.DUMMYFUNCTION("""COMPUTED_VALUE"""),32901326)</f>
        <v/>
      </c>
      <c r="H673" s="27" t="n"/>
    </row>
    <row r="674" ht="17.25" customHeight="1" s="322">
      <c r="A674" s="27" t="n"/>
      <c r="B674" s="506">
        <f>IFERROR(__xludf.DUMMYFUNCTION("""COMPUTED_VALUE"""),46079.6666666666)</f>
        <v/>
      </c>
      <c r="C674" s="141">
        <f>IFERROR(__xludf.DUMMYFUNCTION("""COMPUTED_VALUE"""),274.95)</f>
        <v/>
      </c>
      <c r="D674" s="141">
        <f>IFERROR(__xludf.DUMMYFUNCTION("""COMPUTED_VALUE"""),276.11)</f>
        <v/>
      </c>
      <c r="E674" s="141">
        <f>IFERROR(__xludf.DUMMYFUNCTION("""COMPUTED_VALUE"""),270.8)</f>
        <v/>
      </c>
      <c r="F674" s="141">
        <f>IFERROR(__xludf.DUMMYFUNCTION("""COMPUTED_VALUE"""),272.95)</f>
        <v/>
      </c>
      <c r="G674" s="143">
        <f>IFERROR(__xludf.DUMMYFUNCTION("""COMPUTED_VALUE"""),32020158)</f>
        <v/>
      </c>
      <c r="H674" s="27" t="n"/>
    </row>
    <row r="675" ht="17.25" customHeight="1" s="322">
      <c r="A675" s="27" t="n"/>
      <c r="B675" s="506">
        <f>IFERROR(__xludf.DUMMYFUNCTION("""COMPUTED_VALUE"""),46080.6666666666)</f>
        <v/>
      </c>
      <c r="C675" s="141">
        <f>IFERROR(__xludf.DUMMYFUNCTION("""COMPUTED_VALUE"""),272.81)</f>
        <v/>
      </c>
      <c r="D675" s="141">
        <f>IFERROR(__xludf.DUMMYFUNCTION("""COMPUTED_VALUE"""),272.81)</f>
        <v/>
      </c>
      <c r="E675" s="141">
        <f>IFERROR(__xludf.DUMMYFUNCTION("""COMPUTED_VALUE"""),262.89)</f>
        <v/>
      </c>
      <c r="F675" s="141">
        <f>IFERROR(__xludf.DUMMYFUNCTION("""COMPUTED_VALUE"""),264.18)</f>
        <v/>
      </c>
      <c r="G675" s="143">
        <f>IFERROR(__xludf.DUMMYFUNCTION("""COMPUTED_VALUE"""),71865217)</f>
        <v/>
      </c>
      <c r="H675" s="27" t="n"/>
    </row>
    <row r="676" ht="17.25" customHeight="1" s="322">
      <c r="A676" s="27" t="n"/>
      <c r="B676" s="506">
        <f>IFERROR(__xludf.DUMMYFUNCTION("""COMPUTED_VALUE"""),46083.6666666666)</f>
        <v/>
      </c>
      <c r="C676" s="141">
        <f>IFERROR(__xludf.DUMMYFUNCTION("""COMPUTED_VALUE"""),262.41)</f>
        <v/>
      </c>
      <c r="D676" s="141">
        <f>IFERROR(__xludf.DUMMYFUNCTION("""COMPUTED_VALUE"""),266.53)</f>
        <v/>
      </c>
      <c r="E676" s="141">
        <f>IFERROR(__xludf.DUMMYFUNCTION("""COMPUTED_VALUE"""),260.2)</f>
        <v/>
      </c>
      <c r="F676" s="141">
        <f>IFERROR(__xludf.DUMMYFUNCTION("""COMPUTED_VALUE"""),264.72)</f>
        <v/>
      </c>
      <c r="G676" s="143">
        <f>IFERROR(__xludf.DUMMYFUNCTION("""COMPUTED_VALUE"""),41615354)</f>
        <v/>
      </c>
      <c r="H676" s="27" t="n"/>
    </row>
    <row r="677" ht="17.25" customHeight="1" s="322">
      <c r="A677" s="27" t="n"/>
      <c r="B677" s="506">
        <f>IFERROR(__xludf.DUMMYFUNCTION("""COMPUTED_VALUE"""),46084.6666666666)</f>
        <v/>
      </c>
      <c r="C677" s="141">
        <f>IFERROR(__xludf.DUMMYFUNCTION("""COMPUTED_VALUE"""),263.48)</f>
        <v/>
      </c>
      <c r="D677" s="141">
        <f>IFERROR(__xludf.DUMMYFUNCTION("""COMPUTED_VALUE"""),265.56)</f>
        <v/>
      </c>
      <c r="E677" s="141">
        <f>IFERROR(__xludf.DUMMYFUNCTION("""COMPUTED_VALUE"""),260.13)</f>
        <v/>
      </c>
      <c r="F677" s="141">
        <f>IFERROR(__xludf.DUMMYFUNCTION("""COMPUTED_VALUE"""),263.75)</f>
        <v/>
      </c>
      <c r="G677" s="143">
        <f>IFERROR(__xludf.DUMMYFUNCTION("""COMPUTED_VALUE"""),38009511)</f>
        <v/>
      </c>
      <c r="H677" s="27" t="n"/>
    </row>
    <row r="678" ht="17.25" customHeight="1" s="322">
      <c r="A678" s="27" t="n"/>
      <c r="B678" s="506">
        <f>IFERROR(__xludf.DUMMYFUNCTION("""COMPUTED_VALUE"""),46085.6666666666)</f>
        <v/>
      </c>
      <c r="C678" s="141">
        <f>IFERROR(__xludf.DUMMYFUNCTION("""COMPUTED_VALUE"""),264.65)</f>
        <v/>
      </c>
      <c r="D678" s="141">
        <f>IFERROR(__xludf.DUMMYFUNCTION("""COMPUTED_VALUE"""),266.15)</f>
        <v/>
      </c>
      <c r="E678" s="141">
        <f>IFERROR(__xludf.DUMMYFUNCTION("""COMPUTED_VALUE"""),261.42)</f>
        <v/>
      </c>
      <c r="F678" s="141">
        <f>IFERROR(__xludf.DUMMYFUNCTION("""COMPUTED_VALUE"""),262.52)</f>
        <v/>
      </c>
      <c r="G678" s="143">
        <f>IFERROR(__xludf.DUMMYFUNCTION("""COMPUTED_VALUE"""),39272558)</f>
        <v/>
      </c>
      <c r="H678" s="27" t="n"/>
    </row>
    <row r="679" ht="17.25" customHeight="1" s="322">
      <c r="A679" s="27" t="n"/>
      <c r="B679" s="506">
        <f>IFERROR(__xludf.DUMMYFUNCTION("""COMPUTED_VALUE"""),46086.6666666666)</f>
        <v/>
      </c>
      <c r="C679" s="141">
        <f>IFERROR(__xludf.DUMMYFUNCTION("""COMPUTED_VALUE"""),260.79)</f>
        <v/>
      </c>
      <c r="D679" s="141">
        <f>IFERROR(__xludf.DUMMYFUNCTION("""COMPUTED_VALUE"""),261.56)</f>
        <v/>
      </c>
      <c r="E679" s="141">
        <f>IFERROR(__xludf.DUMMYFUNCTION("""COMPUTED_VALUE"""),257.25)</f>
        <v/>
      </c>
      <c r="F679" s="141">
        <f>IFERROR(__xludf.DUMMYFUNCTION("""COMPUTED_VALUE"""),260.29)</f>
        <v/>
      </c>
      <c r="G679" s="143">
        <f>IFERROR(__xludf.DUMMYFUNCTION("""COMPUTED_VALUE"""),49183362)</f>
        <v/>
      </c>
      <c r="H679" s="27" t="n"/>
    </row>
    <row r="680" ht="17.25" customHeight="1" s="322">
      <c r="A680" s="27" t="n"/>
      <c r="B680" s="506">
        <f>IFERROR(__xludf.DUMMYFUNCTION("""COMPUTED_VALUE"""),46087.6666666666)</f>
        <v/>
      </c>
      <c r="C680" s="141">
        <f>IFERROR(__xludf.DUMMYFUNCTION("""COMPUTED_VALUE"""),258.63)</f>
        <v/>
      </c>
      <c r="D680" s="141">
        <f>IFERROR(__xludf.DUMMYFUNCTION("""COMPUTED_VALUE"""),258.77)</f>
        <v/>
      </c>
      <c r="E680" s="141">
        <f>IFERROR(__xludf.DUMMYFUNCTION("""COMPUTED_VALUE"""),254.37)</f>
        <v/>
      </c>
      <c r="F680" s="141">
        <f>IFERROR(__xludf.DUMMYFUNCTION("""COMPUTED_VALUE"""),257.46)</f>
        <v/>
      </c>
      <c r="G680" s="143">
        <f>IFERROR(__xludf.DUMMYFUNCTION("""COMPUTED_VALUE"""),40506869)</f>
        <v/>
      </c>
      <c r="H680" s="27" t="n"/>
    </row>
    <row r="681" ht="17.25" customHeight="1" s="322">
      <c r="A681" s="27" t="n"/>
      <c r="B681" s="506">
        <f>IFERROR(__xludf.DUMMYFUNCTION("""COMPUTED_VALUE"""),46090.6666666666)</f>
        <v/>
      </c>
      <c r="C681" s="141">
        <f>IFERROR(__xludf.DUMMYFUNCTION("""COMPUTED_VALUE"""),255.69)</f>
        <v/>
      </c>
      <c r="D681" s="141">
        <f>IFERROR(__xludf.DUMMYFUNCTION("""COMPUTED_VALUE"""),261.15)</f>
        <v/>
      </c>
      <c r="E681" s="141">
        <f>IFERROR(__xludf.DUMMYFUNCTION("""COMPUTED_VALUE"""),253.68)</f>
        <v/>
      </c>
      <c r="F681" s="141">
        <f>IFERROR(__xludf.DUMMYFUNCTION("""COMPUTED_VALUE"""),259.88)</f>
        <v/>
      </c>
      <c r="G681" s="143">
        <f>IFERROR(__xludf.DUMMYFUNCTION("""COMPUTED_VALUE"""),37993948)</f>
        <v/>
      </c>
      <c r="H681" s="27" t="n"/>
    </row>
    <row r="682" ht="17.25" customHeight="1" s="322">
      <c r="A682" s="27" t="n"/>
      <c r="B682" s="506">
        <f>IFERROR(__xludf.DUMMYFUNCTION("""COMPUTED_VALUE"""),46091.6666666666)</f>
        <v/>
      </c>
      <c r="C682" s="141">
        <f>IFERROR(__xludf.DUMMYFUNCTION("""COMPUTED_VALUE"""),257.65)</f>
        <v/>
      </c>
      <c r="D682" s="141">
        <f>IFERROR(__xludf.DUMMYFUNCTION("""COMPUTED_VALUE"""),262.48)</f>
        <v/>
      </c>
      <c r="E682" s="141">
        <f>IFERROR(__xludf.DUMMYFUNCTION("""COMPUTED_VALUE"""),256.95)</f>
        <v/>
      </c>
      <c r="F682" s="141">
        <f>IFERROR(__xludf.DUMMYFUNCTION("""COMPUTED_VALUE"""),260.83)</f>
        <v/>
      </c>
      <c r="G682" s="143">
        <f>IFERROR(__xludf.DUMMYFUNCTION("""COMPUTED_VALUE"""),28555212)</f>
        <v/>
      </c>
      <c r="H682" s="27" t="n"/>
    </row>
    <row r="683" ht="17.25" customHeight="1" s="322">
      <c r="A683" s="27" t="n"/>
      <c r="B683" s="506">
        <f>IFERROR(__xludf.DUMMYFUNCTION("""COMPUTED_VALUE"""),46092.6666666666)</f>
        <v/>
      </c>
      <c r="C683" s="141">
        <f>IFERROR(__xludf.DUMMYFUNCTION("""COMPUTED_VALUE"""),261.09)</f>
        <v/>
      </c>
      <c r="D683" s="141">
        <f>IFERROR(__xludf.DUMMYFUNCTION("""COMPUTED_VALUE"""),262.13)</f>
        <v/>
      </c>
      <c r="E683" s="141">
        <f>IFERROR(__xludf.DUMMYFUNCTION("""COMPUTED_VALUE"""),259.55)</f>
        <v/>
      </c>
      <c r="F683" s="141">
        <f>IFERROR(__xludf.DUMMYFUNCTION("""COMPUTED_VALUE"""),260.81)</f>
        <v/>
      </c>
      <c r="G683" s="143">
        <f>IFERROR(__xludf.DUMMYFUNCTION("""COMPUTED_VALUE"""),26218927)</f>
        <v/>
      </c>
      <c r="H683" s="27" t="n"/>
    </row>
    <row r="684" ht="17.25" customHeight="1" s="322">
      <c r="A684" s="27" t="n"/>
      <c r="B684" s="506">
        <f>IFERROR(__xludf.DUMMYFUNCTION("""COMPUTED_VALUE"""),46093.6666666666)</f>
        <v/>
      </c>
      <c r="C684" s="141">
        <f>IFERROR(__xludf.DUMMYFUNCTION("""COMPUTED_VALUE"""),258.66)</f>
        <v/>
      </c>
      <c r="D684" s="141">
        <f>IFERROR(__xludf.DUMMYFUNCTION("""COMPUTED_VALUE"""),258.95)</f>
        <v/>
      </c>
      <c r="E684" s="141">
        <f>IFERROR(__xludf.DUMMYFUNCTION("""COMPUTED_VALUE"""),254.18)</f>
        <v/>
      </c>
      <c r="F684" s="141">
        <f>IFERROR(__xludf.DUMMYFUNCTION("""COMPUTED_VALUE"""),255.76)</f>
        <v/>
      </c>
      <c r="G684" s="143">
        <f>IFERROR(__xludf.DUMMYFUNCTION("""COMPUTED_VALUE"""),40794020)</f>
        <v/>
      </c>
      <c r="H684" s="27" t="n"/>
    </row>
    <row r="685" ht="17.25" customHeight="1" s="322">
      <c r="A685" s="27" t="n"/>
      <c r="B685" s="506">
        <f>IFERROR(__xludf.DUMMYFUNCTION("""COMPUTED_VALUE"""),46094.6666666666)</f>
        <v/>
      </c>
      <c r="C685" s="141">
        <f>IFERROR(__xludf.DUMMYFUNCTION("""COMPUTED_VALUE"""),255.48)</f>
        <v/>
      </c>
      <c r="D685" s="141">
        <f>IFERROR(__xludf.DUMMYFUNCTION("""COMPUTED_VALUE"""),256.33)</f>
        <v/>
      </c>
      <c r="E685" s="141">
        <f>IFERROR(__xludf.DUMMYFUNCTION("""COMPUTED_VALUE"""),249.52)</f>
        <v/>
      </c>
      <c r="F685" s="141">
        <f>IFERROR(__xludf.DUMMYFUNCTION("""COMPUTED_VALUE"""),250.12)</f>
        <v/>
      </c>
      <c r="G685" s="143">
        <f>IFERROR(__xludf.DUMMYFUNCTION("""COMPUTED_VALUE"""),36929988)</f>
        <v/>
      </c>
      <c r="H685" s="27" t="n"/>
    </row>
    <row r="686" ht="17.25" customHeight="1" s="322">
      <c r="A686" s="27" t="n"/>
      <c r="B686" s="506">
        <f>IFERROR(__xludf.DUMMYFUNCTION("""COMPUTED_VALUE"""),46097.6666666666)</f>
        <v/>
      </c>
      <c r="C686" s="141">
        <f>IFERROR(__xludf.DUMMYFUNCTION("""COMPUTED_VALUE"""),252.11)</f>
        <v/>
      </c>
      <c r="D686" s="141">
        <f>IFERROR(__xludf.DUMMYFUNCTION("""COMPUTED_VALUE"""),253.89)</f>
        <v/>
      </c>
      <c r="E686" s="141">
        <f>IFERROR(__xludf.DUMMYFUNCTION("""COMPUTED_VALUE"""),249.88)</f>
        <v/>
      </c>
      <c r="F686" s="141">
        <f>IFERROR(__xludf.DUMMYFUNCTION("""COMPUTED_VALUE"""),252.82)</f>
        <v/>
      </c>
      <c r="G686" s="143">
        <f>IFERROR(__xludf.DUMMYFUNCTION("""COMPUTED_VALUE"""),32074210)</f>
        <v/>
      </c>
      <c r="H686" s="27" t="n"/>
    </row>
    <row r="687" ht="17.25" customHeight="1" s="322">
      <c r="A687" s="27" t="n"/>
      <c r="B687" s="506">
        <f>IFERROR(__xludf.DUMMYFUNCTION("""COMPUTED_VALUE"""),46098.6666666666)</f>
        <v/>
      </c>
      <c r="C687" s="141">
        <f>IFERROR(__xludf.DUMMYFUNCTION("""COMPUTED_VALUE"""),252.96)</f>
        <v/>
      </c>
      <c r="D687" s="141">
        <f>IFERROR(__xludf.DUMMYFUNCTION("""COMPUTED_VALUE"""),255.13)</f>
        <v/>
      </c>
      <c r="E687" s="141">
        <f>IFERROR(__xludf.DUMMYFUNCTION("""COMPUTED_VALUE"""),252.18)</f>
        <v/>
      </c>
      <c r="F687" s="141">
        <f>IFERROR(__xludf.DUMMYFUNCTION("""COMPUTED_VALUE"""),254.23)</f>
        <v/>
      </c>
      <c r="G687" s="143">
        <f>IFERROR(__xludf.DUMMYFUNCTION("""COMPUTED_VALUE"""),32361607)</f>
        <v/>
      </c>
      <c r="H687" s="27" t="n"/>
    </row>
    <row r="688" ht="17.25" customHeight="1" s="322">
      <c r="A688" s="27" t="n"/>
      <c r="B688" s="506">
        <f>IFERROR(__xludf.DUMMYFUNCTION("""COMPUTED_VALUE"""),46099.6666666666)</f>
        <v/>
      </c>
      <c r="C688" s="141">
        <f>IFERROR(__xludf.DUMMYFUNCTION("""COMPUTED_VALUE"""),252.63)</f>
        <v/>
      </c>
      <c r="D688" s="141">
        <f>IFERROR(__xludf.DUMMYFUNCTION("""COMPUTED_VALUE"""),254.94)</f>
        <v/>
      </c>
      <c r="E688" s="141">
        <f>IFERROR(__xludf.DUMMYFUNCTION("""COMPUTED_VALUE"""),249)</f>
        <v/>
      </c>
      <c r="F688" s="141">
        <f>IFERROR(__xludf.DUMMYFUNCTION("""COMPUTED_VALUE"""),249.94)</f>
        <v/>
      </c>
      <c r="G688" s="143">
        <f>IFERROR(__xludf.DUMMYFUNCTION("""COMPUTED_VALUE"""),35757874)</f>
        <v/>
      </c>
      <c r="H688" s="27" t="n"/>
    </row>
    <row r="689" ht="17.25" customHeight="1" s="322">
      <c r="A689" s="27" t="n"/>
      <c r="B689" s="506">
        <f>IFERROR(__xludf.DUMMYFUNCTION("""COMPUTED_VALUE"""),46100.6666666666)</f>
        <v/>
      </c>
      <c r="C689" s="141">
        <f>IFERROR(__xludf.DUMMYFUNCTION("""COMPUTED_VALUE"""),249.4)</f>
        <v/>
      </c>
      <c r="D689" s="141">
        <f>IFERROR(__xludf.DUMMYFUNCTION("""COMPUTED_VALUE"""),251.83)</f>
        <v/>
      </c>
      <c r="E689" s="141">
        <f>IFERROR(__xludf.DUMMYFUNCTION("""COMPUTED_VALUE"""),247.3)</f>
        <v/>
      </c>
      <c r="F689" s="141">
        <f>IFERROR(__xludf.DUMMYFUNCTION("""COMPUTED_VALUE"""),248.96)</f>
        <v/>
      </c>
      <c r="G689" s="143">
        <f>IFERROR(__xludf.DUMMYFUNCTION("""COMPUTED_VALUE"""),34864082)</f>
        <v/>
      </c>
      <c r="H689" s="27" t="n"/>
    </row>
    <row r="690" ht="17.25" customHeight="1" s="322">
      <c r="A690" s="27" t="n"/>
      <c r="B690" s="506">
        <f>IFERROR(__xludf.DUMMYFUNCTION("""COMPUTED_VALUE"""),46101.6666666666)</f>
        <v/>
      </c>
      <c r="C690" s="141">
        <f>IFERROR(__xludf.DUMMYFUNCTION("""COMPUTED_VALUE"""),247.98)</f>
        <v/>
      </c>
      <c r="D690" s="141">
        <f>IFERROR(__xludf.DUMMYFUNCTION("""COMPUTED_VALUE"""),249.2)</f>
        <v/>
      </c>
      <c r="E690" s="141">
        <f>IFERROR(__xludf.DUMMYFUNCTION("""COMPUTED_VALUE"""),246)</f>
        <v/>
      </c>
      <c r="F690" s="141">
        <f>IFERROR(__xludf.DUMMYFUNCTION("""COMPUTED_VALUE"""),247.99)</f>
        <v/>
      </c>
      <c r="G690" s="143">
        <f>IFERROR(__xludf.DUMMYFUNCTION("""COMPUTED_VALUE"""),88331081)</f>
        <v/>
      </c>
      <c r="H690" s="27" t="n"/>
    </row>
    <row r="691" ht="17.25" customHeight="1" s="322">
      <c r="A691" s="27" t="n"/>
      <c r="B691" s="506">
        <f>IFERROR(__xludf.DUMMYFUNCTION("""COMPUTED_VALUE"""),46104.6666666666)</f>
        <v/>
      </c>
      <c r="C691" s="141">
        <f>IFERROR(__xludf.DUMMYFUNCTION("""COMPUTED_VALUE"""),253.97)</f>
        <v/>
      </c>
      <c r="D691" s="141">
        <f>IFERROR(__xludf.DUMMYFUNCTION("""COMPUTED_VALUE"""),254.6)</f>
        <v/>
      </c>
      <c r="E691" s="141">
        <f>IFERROR(__xludf.DUMMYFUNCTION("""COMPUTED_VALUE"""),250.28)</f>
        <v/>
      </c>
      <c r="F691" s="141">
        <f>IFERROR(__xludf.DUMMYFUNCTION("""COMPUTED_VALUE"""),251.49)</f>
        <v/>
      </c>
      <c r="G691" s="143">
        <f>IFERROR(__xludf.DUMMYFUNCTION("""COMPUTED_VALUE"""),40546109)</f>
        <v/>
      </c>
      <c r="H691" s="27" t="n"/>
    </row>
    <row r="692" ht="17.25" customHeight="1" s="322">
      <c r="A692" s="27" t="n"/>
      <c r="B692" s="506">
        <f>IFERROR(__xludf.DUMMYFUNCTION("""COMPUTED_VALUE"""),46105.6666666666)</f>
        <v/>
      </c>
      <c r="C692" s="141">
        <f>IFERROR(__xludf.DUMMYFUNCTION("""COMPUTED_VALUE"""),250.35)</f>
        <v/>
      </c>
      <c r="D692" s="141">
        <f>IFERROR(__xludf.DUMMYFUNCTION("""COMPUTED_VALUE"""),254.83)</f>
        <v/>
      </c>
      <c r="E692" s="141">
        <f>IFERROR(__xludf.DUMMYFUNCTION("""COMPUTED_VALUE"""),249.55)</f>
        <v/>
      </c>
      <c r="F692" s="141">
        <f>IFERROR(__xludf.DUMMYFUNCTION("""COMPUTED_VALUE"""),251.64)</f>
        <v/>
      </c>
      <c r="G692" s="143">
        <f>IFERROR(__xludf.DUMMYFUNCTION("""COMPUTED_VALUE"""),45152289)</f>
        <v/>
      </c>
      <c r="H692" s="27" t="n"/>
    </row>
    <row r="693" ht="17.25" customHeight="1" s="322">
      <c r="A693" s="27" t="n"/>
      <c r="B693" s="506">
        <f>IFERROR(__xludf.DUMMYFUNCTION("""COMPUTED_VALUE"""),46106.6666666666)</f>
        <v/>
      </c>
      <c r="C693" s="141">
        <f>IFERROR(__xludf.DUMMYFUNCTION("""COMPUTED_VALUE"""),254.1)</f>
        <v/>
      </c>
      <c r="D693" s="141">
        <f>IFERROR(__xludf.DUMMYFUNCTION("""COMPUTED_VALUE"""),255)</f>
        <v/>
      </c>
      <c r="E693" s="141">
        <f>IFERROR(__xludf.DUMMYFUNCTION("""COMPUTED_VALUE"""),251.6)</f>
        <v/>
      </c>
      <c r="F693" s="141">
        <f>IFERROR(__xludf.DUMMYFUNCTION("""COMPUTED_VALUE"""),252.62)</f>
        <v/>
      </c>
      <c r="G693" s="143">
        <f>IFERROR(__xludf.DUMMYFUNCTION("""COMPUTED_VALUE"""),28476668)</f>
        <v/>
      </c>
      <c r="H693" s="27" t="n"/>
    </row>
    <row r="694" ht="17.25" customHeight="1" s="322">
      <c r="A694" s="27" t="n"/>
      <c r="B694" s="506">
        <f>IFERROR(__xludf.DUMMYFUNCTION("""COMPUTED_VALUE"""),46107.6666666666)</f>
        <v/>
      </c>
      <c r="C694" s="141">
        <f>IFERROR(__xludf.DUMMYFUNCTION("""COMPUTED_VALUE"""),252.12)</f>
        <v/>
      </c>
      <c r="D694" s="141">
        <f>IFERROR(__xludf.DUMMYFUNCTION("""COMPUTED_VALUE"""),257)</f>
        <v/>
      </c>
      <c r="E694" s="141">
        <f>IFERROR(__xludf.DUMMYFUNCTION("""COMPUTED_VALUE"""),250.77)</f>
        <v/>
      </c>
      <c r="F694" s="141">
        <f>IFERROR(__xludf.DUMMYFUNCTION("""COMPUTED_VALUE"""),252.89)</f>
        <v/>
      </c>
      <c r="G694" s="143">
        <f>IFERROR(__xludf.DUMMYFUNCTION("""COMPUTED_VALUE"""),41796650)</f>
        <v/>
      </c>
      <c r="H694" s="27" t="n"/>
    </row>
    <row r="695" ht="17.25" customHeight="1" s="322">
      <c r="A695" s="27" t="n"/>
      <c r="B695" s="506">
        <f>IFERROR(__xludf.DUMMYFUNCTION("""COMPUTED_VALUE"""),46108.6666666666)</f>
        <v/>
      </c>
      <c r="C695" s="141">
        <f>IFERROR(__xludf.DUMMYFUNCTION("""COMPUTED_VALUE"""),253.9)</f>
        <v/>
      </c>
      <c r="D695" s="141">
        <f>IFERROR(__xludf.DUMMYFUNCTION("""COMPUTED_VALUE"""),255.49)</f>
        <v/>
      </c>
      <c r="E695" s="141">
        <f>IFERROR(__xludf.DUMMYFUNCTION("""COMPUTED_VALUE"""),248.07)</f>
        <v/>
      </c>
      <c r="F695" s="141">
        <f>IFERROR(__xludf.DUMMYFUNCTION("""COMPUTED_VALUE"""),248.8)</f>
        <v/>
      </c>
      <c r="G695" s="143">
        <f>IFERROR(__xludf.DUMMYFUNCTION("""COMPUTED_VALUE"""),47899998)</f>
        <v/>
      </c>
      <c r="H695" s="27" t="n"/>
    </row>
    <row r="696" ht="17.25" customHeight="1" s="322">
      <c r="A696" s="27" t="n"/>
      <c r="B696" s="506">
        <f>IFERROR(__xludf.DUMMYFUNCTION("""COMPUTED_VALUE"""),46111.6666666666)</f>
        <v/>
      </c>
      <c r="C696" s="141">
        <f>IFERROR(__xludf.DUMMYFUNCTION("""COMPUTED_VALUE"""),250.07)</f>
        <v/>
      </c>
      <c r="D696" s="141">
        <f>IFERROR(__xludf.DUMMYFUNCTION("""COMPUTED_VALUE"""),250.87)</f>
        <v/>
      </c>
      <c r="E696" s="141">
        <f>IFERROR(__xludf.DUMMYFUNCTION("""COMPUTED_VALUE"""),245.51)</f>
        <v/>
      </c>
      <c r="F696" s="141">
        <f>IFERROR(__xludf.DUMMYFUNCTION("""COMPUTED_VALUE"""),246.63)</f>
        <v/>
      </c>
      <c r="G696" s="143">
        <f>IFERROR(__xludf.DUMMYFUNCTION("""COMPUTED_VALUE"""),39446213)</f>
        <v/>
      </c>
      <c r="H696" s="27" t="n"/>
    </row>
    <row r="697" ht="17.25" customHeight="1" s="322">
      <c r="A697" s="27" t="n"/>
      <c r="B697" s="506">
        <f>IFERROR(__xludf.DUMMYFUNCTION("""COMPUTED_VALUE"""),46112.6666666666)</f>
        <v/>
      </c>
      <c r="C697" s="141">
        <f>IFERROR(__xludf.DUMMYFUNCTION("""COMPUTED_VALUE"""),247.91)</f>
        <v/>
      </c>
      <c r="D697" s="141">
        <f>IFERROR(__xludf.DUMMYFUNCTION("""COMPUTED_VALUE"""),255.48)</f>
        <v/>
      </c>
      <c r="E697" s="141">
        <f>IFERROR(__xludf.DUMMYFUNCTION("""COMPUTED_VALUE"""),247.1)</f>
        <v/>
      </c>
      <c r="F697" s="141">
        <f>IFERROR(__xludf.DUMMYFUNCTION("""COMPUTED_VALUE"""),253.79)</f>
        <v/>
      </c>
      <c r="G697" s="143">
        <f>IFERROR(__xludf.DUMMYFUNCTION("""COMPUTED_VALUE"""),49598091)</f>
        <v/>
      </c>
      <c r="H697" s="27" t="n"/>
    </row>
    <row r="698" ht="17.25" customHeight="1" s="322">
      <c r="A698" s="27" t="n"/>
      <c r="B698" s="506">
        <f>IFERROR(__xludf.DUMMYFUNCTION("""COMPUTED_VALUE"""),46113.6666666666)</f>
        <v/>
      </c>
      <c r="C698" s="141">
        <f>IFERROR(__xludf.DUMMYFUNCTION("""COMPUTED_VALUE"""),254.08)</f>
        <v/>
      </c>
      <c r="D698" s="141">
        <f>IFERROR(__xludf.DUMMYFUNCTION("""COMPUTED_VALUE"""),256.18)</f>
        <v/>
      </c>
      <c r="E698" s="141">
        <f>IFERROR(__xludf.DUMMYFUNCTION("""COMPUTED_VALUE"""),253.33)</f>
        <v/>
      </c>
      <c r="F698" s="141">
        <f>IFERROR(__xludf.DUMMYFUNCTION("""COMPUTED_VALUE"""),255.63)</f>
        <v/>
      </c>
      <c r="G698" s="143">
        <f>IFERROR(__xludf.DUMMYFUNCTION("""COMPUTED_VALUE"""),40059432)</f>
        <v/>
      </c>
      <c r="H698" s="27" t="n"/>
    </row>
    <row r="699" ht="17.25" customHeight="1" s="322">
      <c r="A699" s="27" t="n"/>
      <c r="B699" s="506">
        <f>IFERROR(__xludf.DUMMYFUNCTION("""COMPUTED_VALUE"""),46114.6666666666)</f>
        <v/>
      </c>
      <c r="C699" s="141">
        <f>IFERROR(__xludf.DUMMYFUNCTION("""COMPUTED_VALUE"""),254.2)</f>
        <v/>
      </c>
      <c r="D699" s="141">
        <f>IFERROR(__xludf.DUMMYFUNCTION("""COMPUTED_VALUE"""),256.13)</f>
        <v/>
      </c>
      <c r="E699" s="141">
        <f>IFERROR(__xludf.DUMMYFUNCTION("""COMPUTED_VALUE"""),250.65)</f>
        <v/>
      </c>
      <c r="F699" s="141">
        <f>IFERROR(__xludf.DUMMYFUNCTION("""COMPUTED_VALUE"""),255.92)</f>
        <v/>
      </c>
      <c r="G699" s="143">
        <f>IFERROR(__xludf.DUMMYFUNCTION("""COMPUTED_VALUE"""),31289370)</f>
        <v/>
      </c>
      <c r="H699" s="27" t="n"/>
    </row>
    <row r="700" ht="17.25" customHeight="1" s="322">
      <c r="A700" s="27" t="n"/>
      <c r="B700" s="506">
        <f>IFERROR(__xludf.DUMMYFUNCTION("""COMPUTED_VALUE"""),46118.6666666666)</f>
        <v/>
      </c>
      <c r="C700" s="141">
        <f>IFERROR(__xludf.DUMMYFUNCTION("""COMPUTED_VALUE"""),256.51)</f>
        <v/>
      </c>
      <c r="D700" s="141">
        <f>IFERROR(__xludf.DUMMYFUNCTION("""COMPUTED_VALUE"""),262.16)</f>
        <v/>
      </c>
      <c r="E700" s="141">
        <f>IFERROR(__xludf.DUMMYFUNCTION("""COMPUTED_VALUE"""),256.46)</f>
        <v/>
      </c>
      <c r="F700" s="141">
        <f>IFERROR(__xludf.DUMMYFUNCTION("""COMPUTED_VALUE"""),258.86)</f>
        <v/>
      </c>
      <c r="G700" s="143">
        <f>IFERROR(__xludf.DUMMYFUNCTION("""COMPUTED_VALUE"""),29329911)</f>
        <v/>
      </c>
      <c r="H700" s="27" t="n"/>
    </row>
    <row r="701" ht="17.25" customHeight="1" s="322">
      <c r="A701" s="27" t="n"/>
      <c r="B701" s="506">
        <f>IFERROR(__xludf.DUMMYFUNCTION("""COMPUTED_VALUE"""),46119.6666666666)</f>
        <v/>
      </c>
      <c r="C701" s="141">
        <f>IFERROR(__xludf.DUMMYFUNCTION("""COMPUTED_VALUE"""),256.15)</f>
        <v/>
      </c>
      <c r="D701" s="141">
        <f>IFERROR(__xludf.DUMMYFUNCTION("""COMPUTED_VALUE"""),256.2)</f>
        <v/>
      </c>
      <c r="E701" s="141">
        <f>IFERROR(__xludf.DUMMYFUNCTION("""COMPUTED_VALUE"""),245.7)</f>
        <v/>
      </c>
      <c r="F701" s="141">
        <f>IFERROR(__xludf.DUMMYFUNCTION("""COMPUTED_VALUE"""),253.5)</f>
        <v/>
      </c>
      <c r="G701" s="143">
        <f>IFERROR(__xludf.DUMMYFUNCTION("""COMPUTED_VALUE"""),62148009)</f>
        <v/>
      </c>
      <c r="H701" s="27" t="n"/>
    </row>
    <row r="702" ht="17.25" customHeight="1" s="322">
      <c r="A702" s="27" t="n"/>
      <c r="B702" s="506">
        <f>IFERROR(__xludf.DUMMYFUNCTION("""COMPUTED_VALUE"""),46120.6666666666)</f>
        <v/>
      </c>
      <c r="C702" s="141">
        <f>IFERROR(__xludf.DUMMYFUNCTION("""COMPUTED_VALUE"""),258.45)</f>
        <v/>
      </c>
      <c r="D702" s="141">
        <f>IFERROR(__xludf.DUMMYFUNCTION("""COMPUTED_VALUE"""),259.75)</f>
        <v/>
      </c>
      <c r="E702" s="141">
        <f>IFERROR(__xludf.DUMMYFUNCTION("""COMPUTED_VALUE"""),256.53)</f>
        <v/>
      </c>
      <c r="F702" s="141">
        <f>IFERROR(__xludf.DUMMYFUNCTION("""COMPUTED_VALUE"""),258.9)</f>
        <v/>
      </c>
      <c r="G702" s="143">
        <f>IFERROR(__xludf.DUMMYFUNCTION("""COMPUTED_VALUE"""),41032773)</f>
        <v/>
      </c>
      <c r="H702" s="27" t="n"/>
    </row>
    <row r="703" ht="17.25" customHeight="1" s="322">
      <c r="A703" s="27" t="n"/>
      <c r="B703" s="506">
        <f>IFERROR(__xludf.DUMMYFUNCTION("""COMPUTED_VALUE"""),46121.6666666666)</f>
        <v/>
      </c>
      <c r="C703" s="141">
        <f>IFERROR(__xludf.DUMMYFUNCTION("""COMPUTED_VALUE"""),259)</f>
        <v/>
      </c>
      <c r="D703" s="141">
        <f>IFERROR(__xludf.DUMMYFUNCTION("""COMPUTED_VALUE"""),261.12)</f>
        <v/>
      </c>
      <c r="E703" s="141">
        <f>IFERROR(__xludf.DUMMYFUNCTION("""COMPUTED_VALUE"""),256.07)</f>
        <v/>
      </c>
      <c r="F703" s="141">
        <f>IFERROR(__xludf.DUMMYFUNCTION("""COMPUTED_VALUE"""),260.49)</f>
        <v/>
      </c>
      <c r="G703" s="143">
        <f>IFERROR(__xludf.DUMMYFUNCTION("""COMPUTED_VALUE"""),28121574)</f>
        <v/>
      </c>
      <c r="H703" s="27" t="n"/>
    </row>
    <row r="704" ht="17.25" customHeight="1" s="322">
      <c r="A704" s="27" t="n"/>
      <c r="B704" s="506">
        <f>IFERROR(__xludf.DUMMYFUNCTION("""COMPUTED_VALUE"""),46122.6666666666)</f>
        <v/>
      </c>
      <c r="C704" s="141">
        <f>IFERROR(__xludf.DUMMYFUNCTION("""COMPUTED_VALUE"""),259.98)</f>
        <v/>
      </c>
      <c r="D704" s="141">
        <f>IFERROR(__xludf.DUMMYFUNCTION("""COMPUTED_VALUE"""),262.19)</f>
        <v/>
      </c>
      <c r="E704" s="141">
        <f>IFERROR(__xludf.DUMMYFUNCTION("""COMPUTED_VALUE"""),259.02)</f>
        <v/>
      </c>
      <c r="F704" s="141">
        <f>IFERROR(__xludf.DUMMYFUNCTION("""COMPUTED_VALUE"""),260.48)</f>
        <v/>
      </c>
      <c r="G704" s="143">
        <f>IFERROR(__xludf.DUMMYFUNCTION("""COMPUTED_VALUE"""),31291474)</f>
        <v/>
      </c>
      <c r="H704" s="27" t="n"/>
    </row>
    <row r="705" ht="17.25" customHeight="1" s="322">
      <c r="A705" s="27" t="n"/>
      <c r="B705" s="506">
        <f>IFERROR(__xludf.DUMMYFUNCTION("""COMPUTED_VALUE"""),46125.6666666666)</f>
        <v/>
      </c>
      <c r="C705" s="141">
        <f>IFERROR(__xludf.DUMMYFUNCTION("""COMPUTED_VALUE"""),259.73)</f>
        <v/>
      </c>
      <c r="D705" s="141">
        <f>IFERROR(__xludf.DUMMYFUNCTION("""COMPUTED_VALUE"""),260.18)</f>
        <v/>
      </c>
      <c r="E705" s="141">
        <f>IFERROR(__xludf.DUMMYFUNCTION("""COMPUTED_VALUE"""),256.66)</f>
        <v/>
      </c>
      <c r="F705" s="141">
        <f>IFERROR(__xludf.DUMMYFUNCTION("""COMPUTED_VALUE"""),259.2)</f>
        <v/>
      </c>
      <c r="G705" s="143">
        <f>IFERROR(__xludf.DUMMYFUNCTION("""COMPUTED_VALUE"""),36234698)</f>
        <v/>
      </c>
      <c r="H705" s="27" t="n"/>
    </row>
    <row r="706" ht="17.25" customHeight="1" s="322">
      <c r="A706" s="27" t="n"/>
      <c r="B706" s="506">
        <f>IFERROR(__xludf.DUMMYFUNCTION("""COMPUTED_VALUE"""),46126.6666666666)</f>
        <v/>
      </c>
      <c r="C706" s="141">
        <f>IFERROR(__xludf.DUMMYFUNCTION("""COMPUTED_VALUE"""),259.25)</f>
        <v/>
      </c>
      <c r="D706" s="141">
        <f>IFERROR(__xludf.DUMMYFUNCTION("""COMPUTED_VALUE"""),261.93)</f>
        <v/>
      </c>
      <c r="E706" s="141">
        <f>IFERROR(__xludf.DUMMYFUNCTION("""COMPUTED_VALUE"""),257.19)</f>
        <v/>
      </c>
      <c r="F706" s="141">
        <f>IFERROR(__xludf.DUMMYFUNCTION("""COMPUTED_VALUE"""),258.83)</f>
        <v/>
      </c>
      <c r="G706" s="143">
        <f>IFERROR(__xludf.DUMMYFUNCTION("""COMPUTED_VALUE"""),48370710)</f>
        <v/>
      </c>
      <c r="H706" s="27" t="n"/>
    </row>
    <row r="707" ht="17.25" customHeight="1" s="322">
      <c r="A707" s="27" t="n"/>
      <c r="B707" s="506">
        <f>IFERROR(__xludf.DUMMYFUNCTION("""COMPUTED_VALUE"""),46127.6666666666)</f>
        <v/>
      </c>
      <c r="C707" s="141">
        <f>IFERROR(__xludf.DUMMYFUNCTION("""COMPUTED_VALUE"""),258.16)</f>
        <v/>
      </c>
      <c r="D707" s="141">
        <f>IFERROR(__xludf.DUMMYFUNCTION("""COMPUTED_VALUE"""),266.56)</f>
        <v/>
      </c>
      <c r="E707" s="141">
        <f>IFERROR(__xludf.DUMMYFUNCTION("""COMPUTED_VALUE"""),257.81)</f>
        <v/>
      </c>
      <c r="F707" s="141">
        <f>IFERROR(__xludf.DUMMYFUNCTION("""COMPUTED_VALUE"""),266.43)</f>
        <v/>
      </c>
      <c r="G707" s="143">
        <f>IFERROR(__xludf.DUMMYFUNCTION("""COMPUTED_VALUE"""),49913511)</f>
        <v/>
      </c>
      <c r="H707" s="27" t="n"/>
    </row>
    <row r="708" ht="17.25" customHeight="1" s="322">
      <c r="A708" s="27" t="n"/>
      <c r="B708" s="506">
        <f>IFERROR(__xludf.DUMMYFUNCTION("""COMPUTED_VALUE"""),46128.6666666666)</f>
        <v/>
      </c>
      <c r="C708" s="141">
        <f>IFERROR(__xludf.DUMMYFUNCTION("""COMPUTED_VALUE"""),266.8)</f>
        <v/>
      </c>
      <c r="D708" s="141">
        <f>IFERROR(__xludf.DUMMYFUNCTION("""COMPUTED_VALUE"""),267.16)</f>
        <v/>
      </c>
      <c r="E708" s="141">
        <f>IFERROR(__xludf.DUMMYFUNCTION("""COMPUTED_VALUE"""),261.27)</f>
        <v/>
      </c>
      <c r="F708" s="141">
        <f>IFERROR(__xludf.DUMMYFUNCTION("""COMPUTED_VALUE"""),263.4)</f>
        <v/>
      </c>
      <c r="G708" s="143">
        <f>IFERROR(__xludf.DUMMYFUNCTION("""COMPUTED_VALUE"""),43323112)</f>
        <v/>
      </c>
      <c r="H708" s="27" t="n"/>
    </row>
    <row r="709" ht="17.25" customHeight="1" s="322">
      <c r="A709" s="27" t="n"/>
      <c r="B709" s="506">
        <f>IFERROR(__xludf.DUMMYFUNCTION("""COMPUTED_VALUE"""),46129.6666666666)</f>
        <v/>
      </c>
      <c r="C709" s="141">
        <f>IFERROR(__xludf.DUMMYFUNCTION("""COMPUTED_VALUE"""),266.96)</f>
        <v/>
      </c>
      <c r="D709" s="141">
        <f>IFERROR(__xludf.DUMMYFUNCTION("""COMPUTED_VALUE"""),272.3)</f>
        <v/>
      </c>
      <c r="E709" s="141">
        <f>IFERROR(__xludf.DUMMYFUNCTION("""COMPUTED_VALUE"""),266.72)</f>
        <v/>
      </c>
      <c r="F709" s="141">
        <f>IFERROR(__xludf.DUMMYFUNCTION("""COMPUTED_VALUE"""),270.23)</f>
        <v/>
      </c>
      <c r="G709" s="143">
        <f>IFERROR(__xludf.DUMMYFUNCTION("""COMPUTED_VALUE"""),61436228)</f>
        <v/>
      </c>
      <c r="H709" s="27" t="n"/>
    </row>
    <row r="710" ht="17.25" customHeight="1" s="322">
      <c r="A710" s="27" t="n"/>
      <c r="B710" s="506">
        <f>IFERROR(__xludf.DUMMYFUNCTION("""COMPUTED_VALUE"""),46132.6666666666)</f>
        <v/>
      </c>
      <c r="C710" s="141">
        <f>IFERROR(__xludf.DUMMYFUNCTION("""COMPUTED_VALUE"""),270.33)</f>
        <v/>
      </c>
      <c r="D710" s="141">
        <f>IFERROR(__xludf.DUMMYFUNCTION("""COMPUTED_VALUE"""),274.27)</f>
        <v/>
      </c>
      <c r="E710" s="141">
        <f>IFERROR(__xludf.DUMMYFUNCTION("""COMPUTED_VALUE"""),270.29)</f>
        <v/>
      </c>
      <c r="F710" s="141">
        <f>IFERROR(__xludf.DUMMYFUNCTION("""COMPUTED_VALUE"""),273.05)</f>
        <v/>
      </c>
      <c r="G710" s="143">
        <f>IFERROR(__xludf.DUMMYFUNCTION("""COMPUTED_VALUE"""),36590170)</f>
        <v/>
      </c>
      <c r="H710" s="27" t="n"/>
    </row>
    <row r="711" ht="17.25" customHeight="1" s="322">
      <c r="A711" s="27" t="n"/>
      <c r="B711" s="506">
        <f>IFERROR(__xludf.DUMMYFUNCTION("""COMPUTED_VALUE"""),46133.6666666666)</f>
        <v/>
      </c>
      <c r="C711" s="141">
        <f>IFERROR(__xludf.DUMMYFUNCTION("""COMPUTED_VALUE"""),271.5)</f>
        <v/>
      </c>
      <c r="D711" s="141">
        <f>IFERROR(__xludf.DUMMYFUNCTION("""COMPUTED_VALUE"""),272.8)</f>
        <v/>
      </c>
      <c r="E711" s="141">
        <f>IFERROR(__xludf.DUMMYFUNCTION("""COMPUTED_VALUE"""),265.4)</f>
        <v/>
      </c>
      <c r="F711" s="141">
        <f>IFERROR(__xludf.DUMMYFUNCTION("""COMPUTED_VALUE"""),266.17)</f>
        <v/>
      </c>
      <c r="G711" s="143">
        <f>IFERROR(__xludf.DUMMYFUNCTION("""COMPUTED_VALUE"""),50209756)</f>
        <v/>
      </c>
      <c r="H711" s="27" t="n"/>
    </row>
    <row r="712" ht="17.25" customHeight="1" s="322">
      <c r="A712" s="27" t="n"/>
      <c r="B712" s="506">
        <f>IFERROR(__xludf.DUMMYFUNCTION("""COMPUTED_VALUE"""),46134.6666666666)</f>
        <v/>
      </c>
      <c r="C712" s="141">
        <f>IFERROR(__xludf.DUMMYFUNCTION("""COMPUTED_VALUE"""),267.82)</f>
        <v/>
      </c>
      <c r="D712" s="141">
        <f>IFERROR(__xludf.DUMMYFUNCTION("""COMPUTED_VALUE"""),273.74)</f>
        <v/>
      </c>
      <c r="E712" s="141">
        <f>IFERROR(__xludf.DUMMYFUNCTION("""COMPUTED_VALUE"""),266.87)</f>
        <v/>
      </c>
      <c r="F712" s="141">
        <f>IFERROR(__xludf.DUMMYFUNCTION("""COMPUTED_VALUE"""),273.17)</f>
        <v/>
      </c>
      <c r="G712" s="143">
        <f>IFERROR(__xludf.DUMMYFUNCTION("""COMPUTED_VALUE"""),43249205)</f>
        <v/>
      </c>
      <c r="H712" s="27" t="n"/>
    </row>
    <row r="713" ht="17.25" customHeight="1" s="322">
      <c r="A713" s="27" t="n"/>
      <c r="B713" s="506">
        <f>IFERROR(__xludf.DUMMYFUNCTION("""COMPUTED_VALUE"""),46135.6666666666)</f>
        <v/>
      </c>
      <c r="C713" s="141">
        <f>IFERROR(__xludf.DUMMYFUNCTION("""COMPUTED_VALUE"""),275.05)</f>
        <v/>
      </c>
      <c r="D713" s="141">
        <f>IFERROR(__xludf.DUMMYFUNCTION("""COMPUTED_VALUE"""),275.77)</f>
        <v/>
      </c>
      <c r="E713" s="141">
        <f>IFERROR(__xludf.DUMMYFUNCTION("""COMPUTED_VALUE"""),271.65)</f>
        <v/>
      </c>
      <c r="F713" s="141">
        <f>IFERROR(__xludf.DUMMYFUNCTION("""COMPUTED_VALUE"""),273.43)</f>
        <v/>
      </c>
      <c r="G713" s="143">
        <f>IFERROR(__xludf.DUMMYFUNCTION("""COMPUTED_VALUE"""),33399639)</f>
        <v/>
      </c>
      <c r="H713" s="27" t="n"/>
    </row>
    <row r="714" ht="17.25" customHeight="1" s="322">
      <c r="A714" s="27" t="n"/>
      <c r="B714" s="506">
        <f>IFERROR(__xludf.DUMMYFUNCTION("""COMPUTED_VALUE"""),46136.6666666666)</f>
        <v/>
      </c>
      <c r="C714" s="141">
        <f>IFERROR(__xludf.DUMMYFUNCTION("""COMPUTED_VALUE"""),272.76)</f>
        <v/>
      </c>
      <c r="D714" s="141">
        <f>IFERROR(__xludf.DUMMYFUNCTION("""COMPUTED_VALUE"""),273.06)</f>
        <v/>
      </c>
      <c r="E714" s="141">
        <f>IFERROR(__xludf.DUMMYFUNCTION("""COMPUTED_VALUE"""),269.65)</f>
        <v/>
      </c>
      <c r="F714" s="141">
        <f>IFERROR(__xludf.DUMMYFUNCTION("""COMPUTED_VALUE"""),271.06)</f>
        <v/>
      </c>
      <c r="G714" s="143">
        <f>IFERROR(__xludf.DUMMYFUNCTION("""COMPUTED_VALUE"""),38157110)</f>
        <v/>
      </c>
      <c r="H714" s="27" t="n"/>
    </row>
    <row r="715" ht="17.25" customHeight="1" s="322">
      <c r="A715" s="27" t="n"/>
      <c r="B715" s="506">
        <f>IFERROR(__xludf.DUMMYFUNCTION("""COMPUTED_VALUE"""),46139.6666666666)</f>
        <v/>
      </c>
      <c r="C715" s="141">
        <f>IFERROR(__xludf.DUMMYFUNCTION("""COMPUTED_VALUE"""),266.09)</f>
        <v/>
      </c>
      <c r="D715" s="141">
        <f>IFERROR(__xludf.DUMMYFUNCTION("""COMPUTED_VALUE"""),268.36)</f>
        <v/>
      </c>
      <c r="E715" s="141">
        <f>IFERROR(__xludf.DUMMYFUNCTION("""COMPUTED_VALUE"""),265.07)</f>
        <v/>
      </c>
      <c r="F715" s="141">
        <f>IFERROR(__xludf.DUMMYFUNCTION("""COMPUTED_VALUE"""),267.61)</f>
        <v/>
      </c>
      <c r="G715" s="143">
        <f>IFERROR(__xludf.DUMMYFUNCTION("""COMPUTED_VALUE"""),41466763)</f>
        <v/>
      </c>
      <c r="H715" s="27" t="n"/>
    </row>
    <row r="716" ht="17.25" customHeight="1" s="322">
      <c r="A716" s="27" t="n"/>
      <c r="B716" s="506">
        <f>IFERROR(__xludf.DUMMYFUNCTION("""COMPUTED_VALUE"""),46140.6666666666)</f>
        <v/>
      </c>
      <c r="C716" s="141">
        <f>IFERROR(__xludf.DUMMYFUNCTION("""COMPUTED_VALUE"""),272.33)</f>
        <v/>
      </c>
      <c r="D716" s="141">
        <f>IFERROR(__xludf.DUMMYFUNCTION("""COMPUTED_VALUE"""),273.23)</f>
        <v/>
      </c>
      <c r="E716" s="141">
        <f>IFERROR(__xludf.DUMMYFUNCTION("""COMPUTED_VALUE"""),268.66)</f>
        <v/>
      </c>
      <c r="F716" s="141">
        <f>IFERROR(__xludf.DUMMYFUNCTION("""COMPUTED_VALUE"""),270.71)</f>
        <v/>
      </c>
      <c r="G716" s="143">
        <f>IFERROR(__xludf.DUMMYFUNCTION("""COMPUTED_VALUE"""),40018940)</f>
        <v/>
      </c>
      <c r="H716" s="27" t="n"/>
    </row>
    <row r="717" ht="17.25" customHeight="1" s="322">
      <c r="A717" s="27" t="n"/>
      <c r="B717" s="506">
        <f>IFERROR(__xludf.DUMMYFUNCTION("""COMPUTED_VALUE"""),46141.6666666666)</f>
        <v/>
      </c>
      <c r="C717" s="141">
        <f>IFERROR(__xludf.DUMMYFUNCTION("""COMPUTED_VALUE"""),267.55)</f>
        <v/>
      </c>
      <c r="D717" s="141">
        <f>IFERROR(__xludf.DUMMYFUNCTION("""COMPUTED_VALUE"""),271.04)</f>
        <v/>
      </c>
      <c r="E717" s="141">
        <f>IFERROR(__xludf.DUMMYFUNCTION("""COMPUTED_VALUE"""),267.04)</f>
        <v/>
      </c>
      <c r="F717" s="141">
        <f>IFERROR(__xludf.DUMMYFUNCTION("""COMPUTED_VALUE"""),270.17)</f>
        <v/>
      </c>
      <c r="G717" s="143">
        <f>IFERROR(__xludf.DUMMYFUNCTION("""COMPUTED_VALUE"""),30047870)</f>
        <v/>
      </c>
      <c r="H717" s="27" t="n"/>
    </row>
    <row r="718" ht="17.25" customHeight="1" s="322">
      <c r="A718" s="27" t="n"/>
      <c r="B718" s="506">
        <f>IFERROR(__xludf.DUMMYFUNCTION("""COMPUTED_VALUE"""),46142.6666666666)</f>
        <v/>
      </c>
      <c r="C718" s="141">
        <f>IFERROR(__xludf.DUMMYFUNCTION("""COMPUTED_VALUE"""),270.5)</f>
        <v/>
      </c>
      <c r="D718" s="141">
        <f>IFERROR(__xludf.DUMMYFUNCTION("""COMPUTED_VALUE"""),276)</f>
        <v/>
      </c>
      <c r="E718" s="141">
        <f>IFERROR(__xludf.DUMMYFUNCTION("""COMPUTED_VALUE"""),268.14)</f>
        <v/>
      </c>
      <c r="F718" s="141">
        <f>IFERROR(__xludf.DUMMYFUNCTION("""COMPUTED_VALUE"""),271.35)</f>
        <v/>
      </c>
      <c r="G718" s="143">
        <f>IFERROR(__xludf.DUMMYFUNCTION("""COMPUTED_VALUE"""),91848231)</f>
        <v/>
      </c>
      <c r="H718" s="27" t="n"/>
    </row>
    <row r="719" ht="17.25" customHeight="1" s="322">
      <c r="A719" s="27" t="n"/>
      <c r="B719" s="506">
        <f>IFERROR(__xludf.DUMMYFUNCTION("""COMPUTED_VALUE"""),46143.6666666666)</f>
        <v/>
      </c>
      <c r="C719" s="141">
        <f>IFERROR(__xludf.DUMMYFUNCTION("""COMPUTED_VALUE"""),278.86)</f>
        <v/>
      </c>
      <c r="D719" s="141">
        <f>IFERROR(__xludf.DUMMYFUNCTION("""COMPUTED_VALUE"""),287.22)</f>
        <v/>
      </c>
      <c r="E719" s="141">
        <f>IFERROR(__xludf.DUMMYFUNCTION("""COMPUTED_VALUE"""),278.37)</f>
        <v/>
      </c>
      <c r="F719" s="141">
        <f>IFERROR(__xludf.DUMMYFUNCTION("""COMPUTED_VALUE"""),280.14)</f>
        <v/>
      </c>
      <c r="G719" s="143">
        <f>IFERROR(__xludf.DUMMYFUNCTION("""COMPUTED_VALUE"""),79915442)</f>
        <v/>
      </c>
      <c r="H719" s="27" t="n"/>
    </row>
    <row r="720" ht="17.25" customHeight="1" s="322">
      <c r="A720" s="27" t="n"/>
      <c r="B720" s="506">
        <f>IFERROR(__xludf.DUMMYFUNCTION("""COMPUTED_VALUE"""),46146.6666666666)</f>
        <v/>
      </c>
      <c r="C720" s="141">
        <f>IFERROR(__xludf.DUMMYFUNCTION("""COMPUTED_VALUE"""),279.65)</f>
        <v/>
      </c>
      <c r="D720" s="141">
        <f>IFERROR(__xludf.DUMMYFUNCTION("""COMPUTED_VALUE"""),280.63)</f>
        <v/>
      </c>
      <c r="E720" s="141">
        <f>IFERROR(__xludf.DUMMYFUNCTION("""COMPUTED_VALUE"""),274.86)</f>
        <v/>
      </c>
      <c r="F720" s="141">
        <f>IFERROR(__xludf.DUMMYFUNCTION("""COMPUTED_VALUE"""),276.83)</f>
        <v/>
      </c>
      <c r="G720" s="143">
        <f>IFERROR(__xludf.DUMMYFUNCTION("""COMPUTED_VALUE"""),46668401)</f>
        <v/>
      </c>
      <c r="H720" s="27" t="n"/>
    </row>
    <row r="721" ht="17.25" customHeight="1" s="322">
      <c r="A721" s="27" t="n"/>
      <c r="B721" s="506">
        <f>IFERROR(__xludf.DUMMYFUNCTION("""COMPUTED_VALUE"""),46147.6666666666)</f>
        <v/>
      </c>
      <c r="C721" s="141">
        <f>IFERROR(__xludf.DUMMYFUNCTION("""COMPUTED_VALUE"""),276.93)</f>
        <v/>
      </c>
      <c r="D721" s="141">
        <f>IFERROR(__xludf.DUMMYFUNCTION("""COMPUTED_VALUE"""),284.57)</f>
        <v/>
      </c>
      <c r="E721" s="141">
        <f>IFERROR(__xludf.DUMMYFUNCTION("""COMPUTED_VALUE"""),276.5)</f>
        <v/>
      </c>
      <c r="F721" s="141">
        <f>IFERROR(__xludf.DUMMYFUNCTION("""COMPUTED_VALUE"""),284.18)</f>
        <v/>
      </c>
      <c r="G721" s="143">
        <f>IFERROR(__xludf.DUMMYFUNCTION("""COMPUTED_VALUE"""),49311712)</f>
        <v/>
      </c>
      <c r="H721" s="27" t="n"/>
    </row>
    <row r="722" ht="17.25" customHeight="1" s="322">
      <c r="A722" s="27" t="n"/>
      <c r="B722" s="506">
        <f>IFERROR(__xludf.DUMMYFUNCTION("""COMPUTED_VALUE"""),46148.6666666666)</f>
        <v/>
      </c>
      <c r="C722" s="141">
        <f>IFERROR(__xludf.DUMMYFUNCTION("""COMPUTED_VALUE"""),281.92)</f>
        <v/>
      </c>
      <c r="D722" s="141">
        <f>IFERROR(__xludf.DUMMYFUNCTION("""COMPUTED_VALUE"""),288.03)</f>
        <v/>
      </c>
      <c r="E722" s="141">
        <f>IFERROR(__xludf.DUMMYFUNCTION("""COMPUTED_VALUE"""),281.07)</f>
        <v/>
      </c>
      <c r="F722" s="141">
        <f>IFERROR(__xludf.DUMMYFUNCTION("""COMPUTED_VALUE"""),287.51)</f>
        <v/>
      </c>
      <c r="G722" s="143">
        <f>IFERROR(__xludf.DUMMYFUNCTION("""COMPUTED_VALUE"""),58336072)</f>
        <v/>
      </c>
      <c r="H722" s="27" t="n"/>
    </row>
    <row r="723" ht="17.25" customHeight="1" s="322">
      <c r="A723" s="27" t="n"/>
      <c r="B723" s="506">
        <f>IFERROR(__xludf.DUMMYFUNCTION("""COMPUTED_VALUE"""),46149.6666666666)</f>
        <v/>
      </c>
      <c r="C723" s="141">
        <f>IFERROR(__xludf.DUMMYFUNCTION("""COMPUTED_VALUE"""),289.27)</f>
        <v/>
      </c>
      <c r="D723" s="141">
        <f>IFERROR(__xludf.DUMMYFUNCTION("""COMPUTED_VALUE"""),292.13)</f>
        <v/>
      </c>
      <c r="E723" s="141">
        <f>IFERROR(__xludf.DUMMYFUNCTION("""COMPUTED_VALUE"""),285.78)</f>
        <v/>
      </c>
      <c r="F723" s="141">
        <f>IFERROR(__xludf.DUMMYFUNCTION("""COMPUTED_VALUE"""),287.44)</f>
        <v/>
      </c>
      <c r="G723" s="143">
        <f>IFERROR(__xludf.DUMMYFUNCTION("""COMPUTED_VALUE"""),45224301)</f>
        <v/>
      </c>
      <c r="H723" s="27" t="n"/>
    </row>
    <row r="724" ht="17.25" customHeight="1" s="322">
      <c r="A724" s="27" t="n"/>
      <c r="B724" s="506">
        <f>IFERROR(__xludf.DUMMYFUNCTION("""COMPUTED_VALUE"""),46150.6666666666)</f>
        <v/>
      </c>
      <c r="C724" s="141">
        <f>IFERROR(__xludf.DUMMYFUNCTION("""COMPUTED_VALUE"""),290.01)</f>
        <v/>
      </c>
      <c r="D724" s="141">
        <f>IFERROR(__xludf.DUMMYFUNCTION("""COMPUTED_VALUE"""),294.76)</f>
        <v/>
      </c>
      <c r="E724" s="141">
        <f>IFERROR(__xludf.DUMMYFUNCTION("""COMPUTED_VALUE"""),290)</f>
        <v/>
      </c>
      <c r="F724" s="141">
        <f>IFERROR(__xludf.DUMMYFUNCTION("""COMPUTED_VALUE"""),293.32)</f>
        <v/>
      </c>
      <c r="G724" s="143">
        <f>IFERROR(__xludf.DUMMYFUNCTION("""COMPUTED_VALUE"""),52692761)</f>
        <v/>
      </c>
      <c r="H724" s="27" t="n"/>
    </row>
    <row r="725" ht="17.25" customHeight="1" s="322">
      <c r="A725" s="27" t="n"/>
      <c r="B725" s="506">
        <f>IFERROR(__xludf.DUMMYFUNCTION("""COMPUTED_VALUE"""),46153.6666666666)</f>
        <v/>
      </c>
      <c r="C725" s="141">
        <f>IFERROR(__xludf.DUMMYFUNCTION("""COMPUTED_VALUE"""),291.98)</f>
        <v/>
      </c>
      <c r="D725" s="141">
        <f>IFERROR(__xludf.DUMMYFUNCTION("""COMPUTED_VALUE"""),293.88)</f>
        <v/>
      </c>
      <c r="E725" s="141">
        <f>IFERROR(__xludf.DUMMYFUNCTION("""COMPUTED_VALUE"""),290.23)</f>
        <v/>
      </c>
      <c r="F725" s="141">
        <f>IFERROR(__xludf.DUMMYFUNCTION("""COMPUTED_VALUE"""),292.68)</f>
        <v/>
      </c>
      <c r="G725" s="143">
        <f>IFERROR(__xludf.DUMMYFUNCTION("""COMPUTED_VALUE"""),42247286)</f>
        <v/>
      </c>
      <c r="H725" s="27" t="n"/>
    </row>
    <row r="726" ht="17.25" customHeight="1" s="322">
      <c r="A726" s="27" t="n"/>
      <c r="B726" s="506">
        <f>IFERROR(__xludf.DUMMYFUNCTION("""COMPUTED_VALUE"""),46154.6666666666)</f>
        <v/>
      </c>
      <c r="C726" s="141">
        <f>IFERROR(__xludf.DUMMYFUNCTION("""COMPUTED_VALUE"""),292.56)</f>
        <v/>
      </c>
      <c r="D726" s="141">
        <f>IFERROR(__xludf.DUMMYFUNCTION("""COMPUTED_VALUE"""),295.27)</f>
        <v/>
      </c>
      <c r="E726" s="141">
        <f>IFERROR(__xludf.DUMMYFUNCTION("""COMPUTED_VALUE"""),292.56)</f>
        <v/>
      </c>
      <c r="F726" s="141">
        <f>IFERROR(__xludf.DUMMYFUNCTION("""COMPUTED_VALUE"""),294.8)</f>
        <v/>
      </c>
      <c r="G726" s="143">
        <f>IFERROR(__xludf.DUMMYFUNCTION("""COMPUTED_VALUE"""),45748129)</f>
        <v/>
      </c>
      <c r="H726" s="27" t="n"/>
    </row>
    <row r="727" ht="17.25" customHeight="1" s="322">
      <c r="A727" s="27" t="n"/>
      <c r="B727" s="506">
        <f>IFERROR(__xludf.DUMMYFUNCTION("""COMPUTED_VALUE"""),46155.6666666666)</f>
        <v/>
      </c>
      <c r="C727" s="141">
        <f>IFERROR(__xludf.DUMMYFUNCTION("""COMPUTED_VALUE"""),293.5)</f>
        <v/>
      </c>
      <c r="D727" s="141">
        <f>IFERROR(__xludf.DUMMYFUNCTION("""COMPUTED_VALUE"""),300.92)</f>
        <v/>
      </c>
      <c r="E727" s="141">
        <f>IFERROR(__xludf.DUMMYFUNCTION("""COMPUTED_VALUE"""),293.5)</f>
        <v/>
      </c>
      <c r="F727" s="141">
        <f>IFERROR(__xludf.DUMMYFUNCTION("""COMPUTED_VALUE"""),298.87)</f>
        <v/>
      </c>
      <c r="G727" s="143">
        <f>IFERROR(__xludf.DUMMYFUNCTION("""COMPUTED_VALUE"""),52684260)</f>
        <v/>
      </c>
      <c r="H727" s="27" t="n"/>
    </row>
    <row r="728" ht="17.25" customHeight="1" s="322">
      <c r="A728" s="27" t="n"/>
      <c r="B728" s="506">
        <f>IFERROR(__xludf.DUMMYFUNCTION("""COMPUTED_VALUE"""),46156.6666666666)</f>
        <v/>
      </c>
      <c r="C728" s="141">
        <f>IFERROR(__xludf.DUMMYFUNCTION("""COMPUTED_VALUE"""),299.82)</f>
        <v/>
      </c>
      <c r="D728" s="141">
        <f>IFERROR(__xludf.DUMMYFUNCTION("""COMPUTED_VALUE"""),300.45)</f>
        <v/>
      </c>
      <c r="E728" s="141">
        <f>IFERROR(__xludf.DUMMYFUNCTION("""COMPUTED_VALUE"""),295.38)</f>
        <v/>
      </c>
      <c r="F728" s="141">
        <f>IFERROR(__xludf.DUMMYFUNCTION("""COMPUTED_VALUE"""),298.21)</f>
        <v/>
      </c>
      <c r="G728" s="143">
        <f>IFERROR(__xludf.DUMMYFUNCTION("""COMPUTED_VALUE"""),35324922)</f>
        <v/>
      </c>
      <c r="H728" s="27" t="n"/>
    </row>
    <row r="729" ht="17.25" customHeight="1" s="322">
      <c r="A729" s="27" t="n"/>
      <c r="B729" s="506">
        <f>IFERROR(__xludf.DUMMYFUNCTION("""COMPUTED_VALUE"""),46157.6666666666)</f>
        <v/>
      </c>
      <c r="C729" s="141">
        <f>IFERROR(__xludf.DUMMYFUNCTION("""COMPUTED_VALUE"""),297.9)</f>
        <v/>
      </c>
      <c r="D729" s="141">
        <f>IFERROR(__xludf.DUMMYFUNCTION("""COMPUTED_VALUE"""),303.2)</f>
        <v/>
      </c>
      <c r="E729" s="141">
        <f>IFERROR(__xludf.DUMMYFUNCTION("""COMPUTED_VALUE"""),296.52)</f>
        <v/>
      </c>
      <c r="F729" s="141">
        <f>IFERROR(__xludf.DUMMYFUNCTION("""COMPUTED_VALUE"""),300.23)</f>
        <v/>
      </c>
      <c r="G729" s="143">
        <f>IFERROR(__xludf.DUMMYFUNCTION("""COMPUTED_VALUE"""),54862836)</f>
        <v/>
      </c>
      <c r="H729" s="27" t="n"/>
    </row>
    <row r="730" ht="17.25" customHeight="1" s="322">
      <c r="A730" s="27" t="n"/>
      <c r="B730" s="506">
        <f>IFERROR(__xludf.DUMMYFUNCTION("""COMPUTED_VALUE"""),46160.6666666666)</f>
        <v/>
      </c>
      <c r="C730" s="141">
        <f>IFERROR(__xludf.DUMMYFUNCTION("""COMPUTED_VALUE"""),300.24)</f>
        <v/>
      </c>
      <c r="D730" s="141">
        <f>IFERROR(__xludf.DUMMYFUNCTION("""COMPUTED_VALUE"""),300.66)</f>
        <v/>
      </c>
      <c r="E730" s="141">
        <f>IFERROR(__xludf.DUMMYFUNCTION("""COMPUTED_VALUE"""),294.91)</f>
        <v/>
      </c>
      <c r="F730" s="141">
        <f>IFERROR(__xludf.DUMMYFUNCTION("""COMPUTED_VALUE"""),297.84)</f>
        <v/>
      </c>
      <c r="G730" s="143">
        <f>IFERROR(__xludf.DUMMYFUNCTION("""COMPUTED_VALUE"""),34482960)</f>
        <v/>
      </c>
      <c r="H730" s="27" t="n"/>
    </row>
    <row r="731" ht="17.25" customHeight="1" s="322">
      <c r="A731" s="27" t="n"/>
      <c r="B731" s="506">
        <f>IFERROR(__xludf.DUMMYFUNCTION("""COMPUTED_VALUE"""),46161.6666666666)</f>
        <v/>
      </c>
      <c r="C731" s="141">
        <f>IFERROR(__xludf.DUMMYFUNCTION("""COMPUTED_VALUE"""),296.97)</f>
        <v/>
      </c>
      <c r="D731" s="141">
        <f>IFERROR(__xludf.DUMMYFUNCTION("""COMPUTED_VALUE"""),300.51)</f>
        <v/>
      </c>
      <c r="E731" s="141">
        <f>IFERROR(__xludf.DUMMYFUNCTION("""COMPUTED_VALUE"""),296.35)</f>
        <v/>
      </c>
      <c r="F731" s="141">
        <f>IFERROR(__xludf.DUMMYFUNCTION("""COMPUTED_VALUE"""),298.97)</f>
        <v/>
      </c>
      <c r="G731" s="143">
        <f>IFERROR(__xludf.DUMMYFUNCTION("""COMPUTED_VALUE"""),42243562)</f>
        <v/>
      </c>
      <c r="H731" s="27" t="n"/>
    </row>
    <row r="732" ht="17.25" customHeight="1" s="322">
      <c r="A732" s="27" t="n"/>
      <c r="B732" s="506">
        <f>IFERROR(__xludf.DUMMYFUNCTION("""COMPUTED_VALUE"""),46162.6666666666)</f>
        <v/>
      </c>
      <c r="C732" s="141">
        <f>IFERROR(__xludf.DUMMYFUNCTION("""COMPUTED_VALUE"""),298.18)</f>
        <v/>
      </c>
      <c r="D732" s="141">
        <f>IFERROR(__xludf.DUMMYFUNCTION("""COMPUTED_VALUE"""),302.8)</f>
        <v/>
      </c>
      <c r="E732" s="141">
        <f>IFERROR(__xludf.DUMMYFUNCTION("""COMPUTED_VALUE"""),298.08)</f>
        <v/>
      </c>
      <c r="F732" s="141">
        <f>IFERROR(__xludf.DUMMYFUNCTION("""COMPUTED_VALUE"""),302.25)</f>
        <v/>
      </c>
      <c r="G732" s="143">
        <f>IFERROR(__xludf.DUMMYFUNCTION("""COMPUTED_VALUE"""),38229844)</f>
        <v/>
      </c>
      <c r="H732" s="27" t="n"/>
    </row>
    <row r="733" ht="17.25" customHeight="1" s="322">
      <c r="A733" s="27" t="n"/>
      <c r="B733" s="506">
        <f>IFERROR(__xludf.DUMMYFUNCTION("""COMPUTED_VALUE"""),46163.6666666666)</f>
        <v/>
      </c>
      <c r="C733" s="141">
        <f>IFERROR(__xludf.DUMMYFUNCTION("""COMPUTED_VALUE"""),301.06)</f>
        <v/>
      </c>
      <c r="D733" s="141">
        <f>IFERROR(__xludf.DUMMYFUNCTION("""COMPUTED_VALUE"""),305.54)</f>
        <v/>
      </c>
      <c r="E733" s="141">
        <f>IFERROR(__xludf.DUMMYFUNCTION("""COMPUTED_VALUE"""),300.4)</f>
        <v/>
      </c>
      <c r="F733" s="141">
        <f>IFERROR(__xludf.DUMMYFUNCTION("""COMPUTED_VALUE"""),304.99)</f>
        <v/>
      </c>
      <c r="G733" s="143">
        <f>IFERROR(__xludf.DUMMYFUNCTION("""COMPUTED_VALUE"""),42965127)</f>
        <v/>
      </c>
      <c r="H733" s="27" t="n"/>
    </row>
    <row r="734" ht="17.25" customHeight="1" s="322">
      <c r="A734" s="27" t="n"/>
      <c r="B734" s="506">
        <f>IFERROR(__xludf.DUMMYFUNCTION("""COMPUTED_VALUE"""),46164.6666666666)</f>
        <v/>
      </c>
      <c r="C734" s="141">
        <f>IFERROR(__xludf.DUMMYFUNCTION("""COMPUTED_VALUE"""),306.12)</f>
        <v/>
      </c>
      <c r="D734" s="141">
        <f>IFERROR(__xludf.DUMMYFUNCTION("""COMPUTED_VALUE"""),311.4)</f>
        <v/>
      </c>
      <c r="E734" s="141">
        <f>IFERROR(__xludf.DUMMYFUNCTION("""COMPUTED_VALUE"""),305.84)</f>
        <v/>
      </c>
      <c r="F734" s="141">
        <f>IFERROR(__xludf.DUMMYFUNCTION("""COMPUTED_VALUE"""),308.82)</f>
        <v/>
      </c>
      <c r="G734" s="143">
        <f>IFERROR(__xludf.DUMMYFUNCTION("""COMPUTED_VALUE"""),43670224)</f>
        <v/>
      </c>
      <c r="H734" s="27" t="n"/>
    </row>
    <row r="735" ht="17.25" customHeight="1" s="322">
      <c r="A735" s="27" t="n"/>
      <c r="B735" s="506">
        <f>IFERROR(__xludf.DUMMYFUNCTION("""COMPUTED_VALUE"""),46168.6666666666)</f>
        <v/>
      </c>
      <c r="C735" s="141">
        <f>IFERROR(__xludf.DUMMYFUNCTION("""COMPUTED_VALUE"""),309.56)</f>
        <v/>
      </c>
      <c r="D735" s="141">
        <f>IFERROR(__xludf.DUMMYFUNCTION("""COMPUTED_VALUE"""),311.82)</f>
        <v/>
      </c>
      <c r="E735" s="141">
        <f>IFERROR(__xludf.DUMMYFUNCTION("""COMPUTED_VALUE"""),307.67)</f>
        <v/>
      </c>
      <c r="F735" s="141">
        <f>IFERROR(__xludf.DUMMYFUNCTION("""COMPUTED_VALUE"""),308.33)</f>
        <v/>
      </c>
      <c r="G735" s="143">
        <f>IFERROR(__xludf.DUMMYFUNCTION("""COMPUTED_VALUE"""),48000494)</f>
        <v/>
      </c>
      <c r="H735" s="27" t="n"/>
    </row>
    <row r="736" ht="17.25" customHeight="1" s="322">
      <c r="A736" s="27" t="n"/>
      <c r="B736" s="506">
        <f>IFERROR(__xludf.DUMMYFUNCTION("""COMPUTED_VALUE"""),46169.6666666666)</f>
        <v/>
      </c>
      <c r="C736" s="141">
        <f>IFERROR(__xludf.DUMMYFUNCTION("""COMPUTED_VALUE"""),308.33)</f>
        <v/>
      </c>
      <c r="D736" s="141">
        <f>IFERROR(__xludf.DUMMYFUNCTION("""COMPUTED_VALUE"""),313.26)</f>
        <v/>
      </c>
      <c r="E736" s="141">
        <f>IFERROR(__xludf.DUMMYFUNCTION("""COMPUTED_VALUE"""),308.3)</f>
        <v/>
      </c>
      <c r="F736" s="141">
        <f>IFERROR(__xludf.DUMMYFUNCTION("""COMPUTED_VALUE"""),310.85)</f>
        <v/>
      </c>
      <c r="G736" s="143">
        <f>IFERROR(__xludf.DUMMYFUNCTION("""COMPUTED_VALUE"""),50430920)</f>
        <v/>
      </c>
      <c r="H736" s="27" t="n"/>
    </row>
    <row r="737" ht="17.25" customHeight="1" s="322">
      <c r="A737" s="27" t="n"/>
      <c r="B737" s="506">
        <f>IFERROR(__xludf.DUMMYFUNCTION("""COMPUTED_VALUE"""),46170.6666666666)</f>
        <v/>
      </c>
      <c r="C737" s="141">
        <f>IFERROR(__xludf.DUMMYFUNCTION("""COMPUTED_VALUE"""),310.68)</f>
        <v/>
      </c>
      <c r="D737" s="141">
        <f>IFERROR(__xludf.DUMMYFUNCTION("""COMPUTED_VALUE"""),312.8)</f>
        <v/>
      </c>
      <c r="E737" s="141">
        <f>IFERROR(__xludf.DUMMYFUNCTION("""COMPUTED_VALUE"""),309.57)</f>
        <v/>
      </c>
      <c r="F737" s="141">
        <f>IFERROR(__xludf.DUMMYFUNCTION("""COMPUTED_VALUE"""),312.51)</f>
        <v/>
      </c>
      <c r="G737" s="143">
        <f>IFERROR(__xludf.DUMMYFUNCTION("""COMPUTED_VALUE"""),48220390)</f>
        <v/>
      </c>
      <c r="H737" s="27" t="n"/>
    </row>
    <row r="738" ht="17.25" customHeight="1" s="322">
      <c r="A738" s="27" t="n"/>
      <c r="B738" s="506">
        <f>IFERROR(__xludf.DUMMYFUNCTION("""COMPUTED_VALUE"""),46171.6666666666)</f>
        <v/>
      </c>
      <c r="C738" s="141">
        <f>IFERROR(__xludf.DUMMYFUNCTION("""COMPUTED_VALUE"""),311.77)</f>
        <v/>
      </c>
      <c r="D738" s="141">
        <f>IFERROR(__xludf.DUMMYFUNCTION("""COMPUTED_VALUE"""),315)</f>
        <v/>
      </c>
      <c r="E738" s="141">
        <f>IFERROR(__xludf.DUMMYFUNCTION("""COMPUTED_VALUE"""),309.53)</f>
        <v/>
      </c>
      <c r="F738" s="141">
        <f>IFERROR(__xludf.DUMMYFUNCTION("""COMPUTED_VALUE"""),312.06)</f>
        <v/>
      </c>
      <c r="G738" s="143">
        <f>IFERROR(__xludf.DUMMYFUNCTION("""COMPUTED_VALUE"""),70026753)</f>
        <v/>
      </c>
      <c r="H738" s="27" t="n"/>
    </row>
    <row r="739" ht="17.25" customHeight="1" s="322">
      <c r="A739" s="27" t="n"/>
      <c r="B739" s="506">
        <f>IFERROR(__xludf.DUMMYFUNCTION("""COMPUTED_VALUE"""),46174.6666666666)</f>
        <v/>
      </c>
      <c r="C739" s="141">
        <f>IFERROR(__xludf.DUMMYFUNCTION("""COMPUTED_VALUE"""),309.63)</f>
        <v/>
      </c>
      <c r="D739" s="141">
        <f>IFERROR(__xludf.DUMMYFUNCTION("""COMPUTED_VALUE"""),310.94)</f>
        <v/>
      </c>
      <c r="E739" s="141">
        <f>IFERROR(__xludf.DUMMYFUNCTION("""COMPUTED_VALUE"""),305.02)</f>
        <v/>
      </c>
      <c r="F739" s="141">
        <f>IFERROR(__xludf.DUMMYFUNCTION("""COMPUTED_VALUE"""),306.31)</f>
        <v/>
      </c>
      <c r="G739" s="143">
        <f>IFERROR(__xludf.DUMMYFUNCTION("""COMPUTED_VALUE"""),48849934)</f>
        <v/>
      </c>
      <c r="H739" s="27" t="n"/>
    </row>
    <row r="740" ht="17.25" customHeight="1" s="322">
      <c r="A740" s="27" t="n"/>
      <c r="B740" s="506">
        <f>IFERROR(__xludf.DUMMYFUNCTION("""COMPUTED_VALUE"""),46175.6666666666)</f>
        <v/>
      </c>
      <c r="C740" s="141">
        <f>IFERROR(__xludf.DUMMYFUNCTION("""COMPUTED_VALUE"""),307.46)</f>
        <v/>
      </c>
      <c r="D740" s="141">
        <f>IFERROR(__xludf.DUMMYFUNCTION("""COMPUTED_VALUE"""),315.45)</f>
        <v/>
      </c>
      <c r="E740" s="141">
        <f>IFERROR(__xludf.DUMMYFUNCTION("""COMPUTED_VALUE"""),306.69)</f>
        <v/>
      </c>
      <c r="F740" s="141">
        <f>IFERROR(__xludf.DUMMYFUNCTION("""COMPUTED_VALUE"""),315.2)</f>
        <v/>
      </c>
      <c r="G740" s="143">
        <f>IFERROR(__xludf.DUMMYFUNCTION("""COMPUTED_VALUE"""),44534716)</f>
        <v/>
      </c>
      <c r="H740" s="27" t="n"/>
    </row>
    <row r="741" ht="17.25" customHeight="1" s="322">
      <c r="A741" s="27" t="n"/>
      <c r="B741" s="506">
        <f>IFERROR(__xludf.DUMMYFUNCTION("""COMPUTED_VALUE"""),46176.6666666666)</f>
        <v/>
      </c>
      <c r="C741" s="141">
        <f>IFERROR(__xludf.DUMMYFUNCTION("""COMPUTED_VALUE"""),314.18)</f>
        <v/>
      </c>
      <c r="D741" s="141">
        <f>IFERROR(__xludf.DUMMYFUNCTION("""COMPUTED_VALUE"""),316.94)</f>
        <v/>
      </c>
      <c r="E741" s="141">
        <f>IFERROR(__xludf.DUMMYFUNCTION("""COMPUTED_VALUE"""),308.85)</f>
        <v/>
      </c>
      <c r="F741" s="141">
        <f>IFERROR(__xludf.DUMMYFUNCTION("""COMPUTED_VALUE"""),310.26)</f>
        <v/>
      </c>
      <c r="G741" s="143">
        <f>IFERROR(__xludf.DUMMYFUNCTION("""COMPUTED_VALUE"""),50836705)</f>
        <v/>
      </c>
      <c r="H741" s="27" t="n"/>
    </row>
    <row r="742" ht="17.25" customHeight="1" s="322">
      <c r="A742" s="27" t="n"/>
      <c r="B742" s="506">
        <f>IFERROR(__xludf.DUMMYFUNCTION("""COMPUTED_VALUE"""),46177.6666666666)</f>
        <v/>
      </c>
      <c r="C742" s="141">
        <f>IFERROR(__xludf.DUMMYFUNCTION("""COMPUTED_VALUE"""),313.23)</f>
        <v/>
      </c>
      <c r="D742" s="141">
        <f>IFERROR(__xludf.DUMMYFUNCTION("""COMPUTED_VALUE"""),313.54)</f>
        <v/>
      </c>
      <c r="E742" s="141">
        <f>IFERROR(__xludf.DUMMYFUNCTION("""COMPUTED_VALUE"""),309.65)</f>
        <v/>
      </c>
      <c r="F742" s="141">
        <f>IFERROR(__xludf.DUMMYFUNCTION("""COMPUTED_VALUE"""),311.23)</f>
        <v/>
      </c>
      <c r="G742" s="143">
        <f>IFERROR(__xludf.DUMMYFUNCTION("""COMPUTED_VALUE"""),44869134)</f>
        <v/>
      </c>
      <c r="H742" s="27" t="n"/>
    </row>
    <row r="743" ht="17.25" customHeight="1" s="322">
      <c r="A743" s="27" t="n"/>
      <c r="B743" s="506">
        <f>IFERROR(__xludf.DUMMYFUNCTION("""COMPUTED_VALUE"""),46178.6666666666)</f>
        <v/>
      </c>
      <c r="C743" s="141">
        <f>IFERROR(__xludf.DUMMYFUNCTION("""COMPUTED_VALUE"""),312.86)</f>
        <v/>
      </c>
      <c r="D743" s="141">
        <f>IFERROR(__xludf.DUMMYFUNCTION("""COMPUTED_VALUE"""),315.17)</f>
        <v/>
      </c>
      <c r="E743" s="141">
        <f>IFERROR(__xludf.DUMMYFUNCTION("""COMPUTED_VALUE"""),307.15)</f>
        <v/>
      </c>
      <c r="F743" s="141">
        <f>IFERROR(__xludf.DUMMYFUNCTION("""COMPUTED_VALUE"""),307.34)</f>
        <v/>
      </c>
      <c r="G743" s="143">
        <f>IFERROR(__xludf.DUMMYFUNCTION("""COMPUTED_VALUE"""),65310503)</f>
        <v/>
      </c>
      <c r="H743" s="27" t="n"/>
    </row>
    <row r="744" ht="17.25" customHeight="1" s="322">
      <c r="A744" s="27" t="n"/>
      <c r="B744" s="506">
        <f>IFERROR(__xludf.DUMMYFUNCTION("""COMPUTED_VALUE"""),46181.6666666666)</f>
        <v/>
      </c>
      <c r="C744" s="141">
        <f>IFERROR(__xludf.DUMMYFUNCTION("""COMPUTED_VALUE"""),308.74)</f>
        <v/>
      </c>
      <c r="D744" s="141">
        <f>IFERROR(__xludf.DUMMYFUNCTION("""COMPUTED_VALUE"""),317.4)</f>
        <v/>
      </c>
      <c r="E744" s="141">
        <f>IFERROR(__xludf.DUMMYFUNCTION("""COMPUTED_VALUE"""),301.17)</f>
        <v/>
      </c>
      <c r="F744" s="141">
        <f>IFERROR(__xludf.DUMMYFUNCTION("""COMPUTED_VALUE"""),301.54)</f>
        <v/>
      </c>
      <c r="G744" s="143">
        <f>IFERROR(__xludf.DUMMYFUNCTION("""COMPUTED_VALUE"""),77949082)</f>
        <v/>
      </c>
      <c r="H744" s="27" t="n"/>
    </row>
    <row r="745" ht="17.25" customHeight="1" s="322">
      <c r="A745" s="27" t="n"/>
      <c r="B745" s="506">
        <f>IFERROR(__xludf.DUMMYFUNCTION("""COMPUTED_VALUE"""),46182.6666666666)</f>
        <v/>
      </c>
      <c r="C745" s="141">
        <f>IFERROR(__xludf.DUMMYFUNCTION("""COMPUTED_VALUE"""),300.27)</f>
        <v/>
      </c>
      <c r="D745" s="141">
        <f>IFERROR(__xludf.DUMMYFUNCTION("""COMPUTED_VALUE"""),300.75)</f>
        <v/>
      </c>
      <c r="E745" s="141">
        <f>IFERROR(__xludf.DUMMYFUNCTION("""COMPUTED_VALUE"""),287.78)</f>
        <v/>
      </c>
      <c r="F745" s="141">
        <f>IFERROR(__xludf.DUMMYFUNCTION("""COMPUTED_VALUE"""),290.55)</f>
        <v/>
      </c>
      <c r="G745" s="143">
        <f>IFERROR(__xludf.DUMMYFUNCTION("""COMPUTED_VALUE"""),70108848)</f>
        <v/>
      </c>
      <c r="H745" s="27" t="n"/>
    </row>
    <row r="746" ht="17.25" customHeight="1" s="322">
      <c r="A746" s="27" t="n"/>
      <c r="B746" s="506">
        <f>IFERROR(__xludf.DUMMYFUNCTION("""COMPUTED_VALUE"""),46183.6666666666)</f>
        <v/>
      </c>
      <c r="C746" s="141">
        <f>IFERROR(__xludf.DUMMYFUNCTION("""COMPUTED_VALUE"""),290.74)</f>
        <v/>
      </c>
      <c r="D746" s="141">
        <f>IFERROR(__xludf.DUMMYFUNCTION("""COMPUTED_VALUE"""),294.75)</f>
        <v/>
      </c>
      <c r="E746" s="141">
        <f>IFERROR(__xludf.DUMMYFUNCTION("""COMPUTED_VALUE"""),287.38)</f>
        <v/>
      </c>
      <c r="F746" s="141">
        <f>IFERROR(__xludf.DUMMYFUNCTION("""COMPUTED_VALUE"""),291.58)</f>
        <v/>
      </c>
      <c r="G746" s="143">
        <f>IFERROR(__xludf.DUMMYFUNCTION("""COMPUTED_VALUE"""),52793266)</f>
        <v/>
      </c>
      <c r="H746" s="27" t="n"/>
    </row>
    <row r="747" ht="17.25" customHeight="1" s="322">
      <c r="A747" s="27" t="n"/>
      <c r="B747" s="506">
        <f>IFERROR(__xludf.DUMMYFUNCTION("""COMPUTED_VALUE"""),46184.6666666666)</f>
        <v/>
      </c>
      <c r="C747" s="141">
        <f>IFERROR(__xludf.DUMMYFUNCTION("""COMPUTED_VALUE"""),293.72)</f>
        <v/>
      </c>
      <c r="D747" s="141">
        <f>IFERROR(__xludf.DUMMYFUNCTION("""COMPUTED_VALUE"""),297)</f>
        <v/>
      </c>
      <c r="E747" s="141">
        <f>IFERROR(__xludf.DUMMYFUNCTION("""COMPUTED_VALUE"""),289.59)</f>
        <v/>
      </c>
      <c r="F747" s="141">
        <f>IFERROR(__xludf.DUMMYFUNCTION("""COMPUTED_VALUE"""),295.63)</f>
        <v/>
      </c>
      <c r="G747" s="143">
        <f>IFERROR(__xludf.DUMMYFUNCTION("""COMPUTED_VALUE"""),42572498)</f>
        <v/>
      </c>
      <c r="H747" s="27" t="n"/>
    </row>
    <row r="748" ht="17.25" customHeight="1" s="322">
      <c r="A748" s="27" t="n"/>
      <c r="B748" s="506">
        <f>IFERROR(__xludf.DUMMYFUNCTION("""COMPUTED_VALUE"""),46185.6666666666)</f>
        <v/>
      </c>
      <c r="C748" s="141">
        <f>IFERROR(__xludf.DUMMYFUNCTION("""COMPUTED_VALUE"""),296.03)</f>
        <v/>
      </c>
      <c r="D748" s="141">
        <f>IFERROR(__xludf.DUMMYFUNCTION("""COMPUTED_VALUE"""),297.14)</f>
        <v/>
      </c>
      <c r="E748" s="141">
        <f>IFERROR(__xludf.DUMMYFUNCTION("""COMPUTED_VALUE"""),289.62)</f>
        <v/>
      </c>
      <c r="F748" s="141">
        <f>IFERROR(__xludf.DUMMYFUNCTION("""COMPUTED_VALUE"""),291.13)</f>
        <v/>
      </c>
      <c r="G748" s="143">
        <f>IFERROR(__xludf.DUMMYFUNCTION("""COMPUTED_VALUE"""),38784790)</f>
        <v/>
      </c>
      <c r="H748" s="27" t="n"/>
    </row>
    <row r="749" ht="17.25" customHeight="1" s="322">
      <c r="A749" s="27" t="n"/>
      <c r="B749" s="506">
        <f>IFERROR(__xludf.DUMMYFUNCTION("""COMPUTED_VALUE"""),46188.6666666666)</f>
        <v/>
      </c>
      <c r="C749" s="141">
        <f>IFERROR(__xludf.DUMMYFUNCTION("""COMPUTED_VALUE"""),294.12)</f>
        <v/>
      </c>
      <c r="D749" s="141">
        <f>IFERROR(__xludf.DUMMYFUNCTION("""COMPUTED_VALUE"""),297.78)</f>
        <v/>
      </c>
      <c r="E749" s="141">
        <f>IFERROR(__xludf.DUMMYFUNCTION("""COMPUTED_VALUE"""),291.7)</f>
        <v/>
      </c>
      <c r="F749" s="141">
        <f>IFERROR(__xludf.DUMMYFUNCTION("""COMPUTED_VALUE"""),296.42)</f>
        <v/>
      </c>
      <c r="G749" s="143">
        <f>IFERROR(__xludf.DUMMYFUNCTION("""COMPUTED_VALUE"""),45732573)</f>
        <v/>
      </c>
      <c r="H749" s="27" t="n"/>
    </row>
    <row r="750" ht="17.25" customHeight="1" s="322">
      <c r="A750" s="27" t="n"/>
      <c r="B750" s="506">
        <f>IFERROR(__xludf.DUMMYFUNCTION("""COMPUTED_VALUE"""),46189.6666666666)</f>
        <v/>
      </c>
      <c r="C750" s="141">
        <f>IFERROR(__xludf.DUMMYFUNCTION("""COMPUTED_VALUE"""),295.25)</f>
        <v/>
      </c>
      <c r="D750" s="141">
        <f>IFERROR(__xludf.DUMMYFUNCTION("""COMPUTED_VALUE"""),300.48)</f>
        <v/>
      </c>
      <c r="E750" s="141">
        <f>IFERROR(__xludf.DUMMYFUNCTION("""COMPUTED_VALUE"""),293.97)</f>
        <v/>
      </c>
      <c r="F750" s="141">
        <f>IFERROR(__xludf.DUMMYFUNCTION("""COMPUTED_VALUE"""),299.24)</f>
        <v/>
      </c>
      <c r="G750" s="143">
        <f>IFERROR(__xludf.DUMMYFUNCTION("""COMPUTED_VALUE"""),39874404)</f>
        <v/>
      </c>
      <c r="H750" s="27" t="n"/>
    </row>
    <row r="751" ht="17.25" customHeight="1" s="322">
      <c r="A751" s="27" t="n"/>
      <c r="B751" s="506">
        <f>IFERROR(__xludf.DUMMYFUNCTION("""COMPUTED_VALUE"""),46190.6666666666)</f>
        <v/>
      </c>
      <c r="C751" s="141">
        <f>IFERROR(__xludf.DUMMYFUNCTION("""COMPUTED_VALUE"""),300.85)</f>
        <v/>
      </c>
      <c r="D751" s="141">
        <f>IFERROR(__xludf.DUMMYFUNCTION("""COMPUTED_VALUE"""),302.07)</f>
        <v/>
      </c>
      <c r="E751" s="141">
        <f>IFERROR(__xludf.DUMMYFUNCTION("""COMPUTED_VALUE"""),294.36)</f>
        <v/>
      </c>
      <c r="F751" s="141">
        <f>IFERROR(__xludf.DUMMYFUNCTION("""COMPUTED_VALUE"""),295.95)</f>
        <v/>
      </c>
      <c r="G751" s="143">
        <f>IFERROR(__xludf.DUMMYFUNCTION("""COMPUTED_VALUE"""),42745060)</f>
        <v/>
      </c>
      <c r="H751" s="27" t="n"/>
    </row>
    <row r="752" ht="17.25" customHeight="1" s="322">
      <c r="A752" s="27" t="n"/>
      <c r="B752" s="506">
        <f>IFERROR(__xludf.DUMMYFUNCTION("""COMPUTED_VALUE"""),46191.6666666666)</f>
        <v/>
      </c>
      <c r="C752" s="141">
        <f>IFERROR(__xludf.DUMMYFUNCTION("""COMPUTED_VALUE"""),298.11)</f>
        <v/>
      </c>
      <c r="D752" s="141">
        <f>IFERROR(__xludf.DUMMYFUNCTION("""COMPUTED_VALUE"""),300.57)</f>
        <v/>
      </c>
      <c r="E752" s="141">
        <f>IFERROR(__xludf.DUMMYFUNCTION("""COMPUTED_VALUE"""),295.62)</f>
        <v/>
      </c>
      <c r="F752" s="141">
        <f>IFERROR(__xludf.DUMMYFUNCTION("""COMPUTED_VALUE"""),298.01)</f>
        <v/>
      </c>
      <c r="G752" s="143">
        <f>IFERROR(__xludf.DUMMYFUNCTION("""COMPUTED_VALUE"""),85962202)</f>
        <v/>
      </c>
      <c r="H752" s="27" t="n"/>
    </row>
    <row r="753" ht="17.25" customHeight="1" s="322">
      <c r="A753" s="27" t="n"/>
      <c r="B753" s="506">
        <f>IFERROR(__xludf.DUMMYFUNCTION("""COMPUTED_VALUE"""),46195.6666666666)</f>
        <v/>
      </c>
      <c r="C753" s="141">
        <f>IFERROR(__xludf.DUMMYFUNCTION("""COMPUTED_VALUE"""),297.31)</f>
        <v/>
      </c>
      <c r="D753" s="141">
        <f>IFERROR(__xludf.DUMMYFUNCTION("""COMPUTED_VALUE"""),302.42)</f>
        <v/>
      </c>
      <c r="E753" s="141">
        <f>IFERROR(__xludf.DUMMYFUNCTION("""COMPUTED_VALUE"""),296.76)</f>
        <v/>
      </c>
      <c r="F753" s="141">
        <f>IFERROR(__xludf.DUMMYFUNCTION("""COMPUTED_VALUE"""),297.01)</f>
        <v/>
      </c>
      <c r="G753" s="143">
        <f>IFERROR(__xludf.DUMMYFUNCTION("""COMPUTED_VALUE"""),44879915)</f>
        <v/>
      </c>
      <c r="H753" s="27" t="n"/>
    </row>
    <row r="754" ht="17.25" customHeight="1" s="322">
      <c r="A754" s="27" t="n"/>
      <c r="B754" s="506">
        <f>IFERROR(__xludf.DUMMYFUNCTION("""COMPUTED_VALUE"""),46196.6666666666)</f>
        <v/>
      </c>
      <c r="C754" s="141">
        <f>IFERROR(__xludf.DUMMYFUNCTION("""COMPUTED_VALUE"""),297.54)</f>
        <v/>
      </c>
      <c r="D754" s="141">
        <f>IFERROR(__xludf.DUMMYFUNCTION("""COMPUTED_VALUE"""),301.64)</f>
        <v/>
      </c>
      <c r="E754" s="141">
        <f>IFERROR(__xludf.DUMMYFUNCTION("""COMPUTED_VALUE"""),294.18)</f>
        <v/>
      </c>
      <c r="F754" s="141">
        <f>IFERROR(__xludf.DUMMYFUNCTION("""COMPUTED_VALUE"""),294.3)</f>
        <v/>
      </c>
      <c r="G754" s="143">
        <f>IFERROR(__xludf.DUMMYFUNCTION("""COMPUTED_VALUE"""),52010930)</f>
        <v/>
      </c>
      <c r="H754" s="27" t="n"/>
    </row>
    <row r="755" ht="17.25" customHeight="1" s="322">
      <c r="A755" s="27" t="n"/>
      <c r="B755" s="506">
        <f>IFERROR(__xludf.DUMMYFUNCTION("""COMPUTED_VALUE"""),46197.6666666666)</f>
        <v/>
      </c>
      <c r="C755" s="141">
        <f>IFERROR(__xludf.DUMMYFUNCTION("""COMPUTED_VALUE"""),295.36)</f>
        <v/>
      </c>
      <c r="D755" s="141">
        <f>IFERROR(__xludf.DUMMYFUNCTION("""COMPUTED_VALUE"""),299.7)</f>
        <v/>
      </c>
      <c r="E755" s="141">
        <f>IFERROR(__xludf.DUMMYFUNCTION("""COMPUTED_VALUE"""),292.94)</f>
        <v/>
      </c>
      <c r="F755" s="141">
        <f>IFERROR(__xludf.DUMMYFUNCTION("""COMPUTED_VALUE"""),293.08)</f>
        <v/>
      </c>
      <c r="G755" s="143">
        <f>IFERROR(__xludf.DUMMYFUNCTION("""COMPUTED_VALUE"""),53081860)</f>
        <v/>
      </c>
      <c r="H755" s="27" t="n"/>
    </row>
    <row r="756" ht="17.25" customHeight="1" s="322">
      <c r="A756" s="27" t="n"/>
      <c r="B756" s="506">
        <f>IFERROR(__xludf.DUMMYFUNCTION("""COMPUTED_VALUE"""),46198.6666666666)</f>
        <v/>
      </c>
      <c r="C756" s="141">
        <f>IFERROR(__xludf.DUMMYFUNCTION("""COMPUTED_VALUE"""),287.4)</f>
        <v/>
      </c>
      <c r="D756" s="141">
        <f>IFERROR(__xludf.DUMMYFUNCTION("""COMPUTED_VALUE"""),288.8)</f>
        <v/>
      </c>
      <c r="E756" s="141">
        <f>IFERROR(__xludf.DUMMYFUNCTION("""COMPUTED_VALUE"""),273.75)</f>
        <v/>
      </c>
      <c r="F756" s="141">
        <f>IFERROR(__xludf.DUMMYFUNCTION("""COMPUTED_VALUE"""),275.15)</f>
        <v/>
      </c>
      <c r="G756" s="143">
        <f>IFERROR(__xludf.DUMMYFUNCTION("""COMPUTED_VALUE"""),107253660)</f>
        <v/>
      </c>
      <c r="H756" s="27" t="n"/>
    </row>
    <row r="757" ht="17.25" customHeight="1" s="322">
      <c r="A757" s="27" t="n"/>
      <c r="B757" s="506">
        <f>IFERROR(__xludf.DUMMYFUNCTION("""COMPUTED_VALUE"""),46199.6666666666)</f>
        <v/>
      </c>
      <c r="C757" s="141">
        <f>IFERROR(__xludf.DUMMYFUNCTION("""COMPUTED_VALUE"""),275)</f>
        <v/>
      </c>
      <c r="D757" s="141">
        <f>IFERROR(__xludf.DUMMYFUNCTION("""COMPUTED_VALUE"""),285.95)</f>
        <v/>
      </c>
      <c r="E757" s="141">
        <f>IFERROR(__xludf.DUMMYFUNCTION("""COMPUTED_VALUE"""),274.21)</f>
        <v/>
      </c>
      <c r="F757" s="141">
        <f>IFERROR(__xludf.DUMMYFUNCTION("""COMPUTED_VALUE"""),283.78)</f>
        <v/>
      </c>
      <c r="G757" s="143">
        <f>IFERROR(__xludf.DUMMYFUNCTION("""COMPUTED_VALUE"""),261775450)</f>
        <v/>
      </c>
      <c r="H757" s="27" t="n"/>
    </row>
    <row r="758" ht="17.25" customHeight="1" s="322">
      <c r="A758" s="27" t="n"/>
      <c r="B758" s="506">
        <f>IFERROR(__xludf.DUMMYFUNCTION("""COMPUTED_VALUE"""),46202.6666666666)</f>
        <v/>
      </c>
      <c r="C758" s="141">
        <f>IFERROR(__xludf.DUMMYFUNCTION("""COMPUTED_VALUE"""),286.73)</f>
        <v/>
      </c>
      <c r="D758" s="141">
        <f>IFERROR(__xludf.DUMMYFUNCTION("""COMPUTED_VALUE"""),288.37)</f>
        <v/>
      </c>
      <c r="E758" s="141">
        <f>IFERROR(__xludf.DUMMYFUNCTION("""COMPUTED_VALUE"""),279.85)</f>
        <v/>
      </c>
      <c r="F758" s="141">
        <f>IFERROR(__xludf.DUMMYFUNCTION("""COMPUTED_VALUE"""),281.74)</f>
        <v/>
      </c>
      <c r="G758" s="143">
        <f>IFERROR(__xludf.DUMMYFUNCTION("""COMPUTED_VALUE"""),66427002)</f>
        <v/>
      </c>
      <c r="H758" s="27" t="n"/>
    </row>
    <row r="759" ht="17.25" customHeight="1" s="322">
      <c r="A759" s="27" t="n"/>
      <c r="B759" s="506">
        <f>IFERROR(__xludf.DUMMYFUNCTION("""COMPUTED_VALUE"""),46203.6666666666)</f>
        <v/>
      </c>
      <c r="C759" s="141">
        <f>IFERROR(__xludf.DUMMYFUNCTION("""COMPUTED_VALUE"""),281.17)</f>
        <v/>
      </c>
      <c r="D759" s="141">
        <f>IFERROR(__xludf.DUMMYFUNCTION("""COMPUTED_VALUE"""),289.94)</f>
        <v/>
      </c>
      <c r="E759" s="141">
        <f>IFERROR(__xludf.DUMMYFUNCTION("""COMPUTED_VALUE"""),280.7)</f>
        <v/>
      </c>
      <c r="F759" s="141">
        <f>IFERROR(__xludf.DUMMYFUNCTION("""COMPUTED_VALUE"""),289.36)</f>
        <v/>
      </c>
      <c r="G759" s="143">
        <f>IFERROR(__xludf.DUMMYFUNCTION("""COMPUTED_VALUE"""),65100156)</f>
        <v/>
      </c>
      <c r="H759" s="27" t="n"/>
    </row>
    <row r="760" ht="17.25" customHeight="1" s="322">
      <c r="A760" s="27" t="n"/>
      <c r="B760" s="506">
        <f>IFERROR(__xludf.DUMMYFUNCTION("""COMPUTED_VALUE"""),46204.6666666666)</f>
        <v/>
      </c>
      <c r="C760" s="141">
        <f>IFERROR(__xludf.DUMMYFUNCTION("""COMPUTED_VALUE"""),293.44)</f>
        <v/>
      </c>
      <c r="D760" s="141">
        <f>IFERROR(__xludf.DUMMYFUNCTION("""COMPUTED_VALUE"""),296.59)</f>
        <v/>
      </c>
      <c r="E760" s="141">
        <f>IFERROR(__xludf.DUMMYFUNCTION("""COMPUTED_VALUE"""),289.2)</f>
        <v/>
      </c>
      <c r="F760" s="141">
        <f>IFERROR(__xludf.DUMMYFUNCTION("""COMPUTED_VALUE"""),294.38)</f>
        <v/>
      </c>
      <c r="G760" s="143">
        <f>IFERROR(__xludf.DUMMYFUNCTION("""COMPUTED_VALUE"""),50164232)</f>
        <v/>
      </c>
      <c r="H760" s="27" t="n"/>
    </row>
    <row r="761" ht="17.25" customHeight="1" s="322">
      <c r="A761" s="27" t="n"/>
      <c r="B761" s="506">
        <f>IFERROR(__xludf.DUMMYFUNCTION("""COMPUTED_VALUE"""),46205.6666666666)</f>
        <v/>
      </c>
      <c r="C761" s="141">
        <f>IFERROR(__xludf.DUMMYFUNCTION("""COMPUTED_VALUE"""),294.12)</f>
        <v/>
      </c>
      <c r="D761" s="141">
        <f>IFERROR(__xludf.DUMMYFUNCTION("""COMPUTED_VALUE"""),309.42)</f>
        <v/>
      </c>
      <c r="E761" s="141">
        <f>IFERROR(__xludf.DUMMYFUNCTION("""COMPUTED_VALUE"""),293.68)</f>
        <v/>
      </c>
      <c r="F761" s="141">
        <f>IFERROR(__xludf.DUMMYFUNCTION("""COMPUTED_VALUE"""),308.63)</f>
        <v/>
      </c>
      <c r="G761" s="143">
        <f>IFERROR(__xludf.DUMMYFUNCTION("""COMPUTED_VALUE"""),75400626)</f>
        <v/>
      </c>
      <c r="H761" s="27" t="n"/>
    </row>
    <row r="762" ht="17.25" customHeight="1" s="322">
      <c r="A762" s="27" t="n"/>
      <c r="B762" s="506">
        <f>IFERROR(__xludf.DUMMYFUNCTION("""COMPUTED_VALUE"""),46209.6666666666)</f>
        <v/>
      </c>
      <c r="C762" s="141">
        <f>IFERROR(__xludf.DUMMYFUNCTION("""COMPUTED_VALUE"""),307.36)</f>
        <v/>
      </c>
      <c r="D762" s="141">
        <f>IFERROR(__xludf.DUMMYFUNCTION("""COMPUTED_VALUE"""),314.2)</f>
        <v/>
      </c>
      <c r="E762" s="141">
        <f>IFERROR(__xludf.DUMMYFUNCTION("""COMPUTED_VALUE"""),307)</f>
        <v/>
      </c>
      <c r="F762" s="141">
        <f>IFERROR(__xludf.DUMMYFUNCTION("""COMPUTED_VALUE"""),312.66)</f>
        <v/>
      </c>
      <c r="G762" s="143">
        <f>IFERROR(__xludf.DUMMYFUNCTION("""COMPUTED_VALUE"""),53589978)</f>
        <v/>
      </c>
      <c r="H762" s="27" t="n"/>
    </row>
    <row r="763" ht="17.25" customHeight="1" s="322">
      <c r="A763" s="27" t="n"/>
      <c r="B763" s="506">
        <f>IFERROR(__xludf.DUMMYFUNCTION("""COMPUTED_VALUE"""),46210.6666666666)</f>
        <v/>
      </c>
      <c r="C763" s="141">
        <f>IFERROR(__xludf.DUMMYFUNCTION("""COMPUTED_VALUE"""),315.29)</f>
        <v/>
      </c>
      <c r="D763" s="141">
        <f>IFERROR(__xludf.DUMMYFUNCTION("""COMPUTED_VALUE"""),315.48)</f>
        <v/>
      </c>
      <c r="E763" s="141">
        <f>IFERROR(__xludf.DUMMYFUNCTION("""COMPUTED_VALUE"""),310.15)</f>
        <v/>
      </c>
      <c r="F763" s="141">
        <f>IFERROR(__xludf.DUMMYFUNCTION("""COMPUTED_VALUE"""),310.66)</f>
        <v/>
      </c>
      <c r="G763" s="143">
        <f>IFERROR(__xludf.DUMMYFUNCTION("""COMPUTED_VALUE"""),42490003)</f>
        <v/>
      </c>
      <c r="H763" s="27" t="n"/>
    </row>
    <row r="764" ht="17.25" customHeight="1" s="322">
      <c r="A764" s="27" t="n"/>
      <c r="B764" s="506">
        <f>IFERROR(__xludf.DUMMYFUNCTION("""COMPUTED_VALUE"""),46211.6666666666)</f>
        <v/>
      </c>
      <c r="C764" s="141">
        <f>IFERROR(__xludf.DUMMYFUNCTION("""COMPUTED_VALUE"""),311.91)</f>
        <v/>
      </c>
      <c r="D764" s="141">
        <f>IFERROR(__xludf.DUMMYFUNCTION("""COMPUTED_VALUE"""),314.82)</f>
        <v/>
      </c>
      <c r="E764" s="141">
        <f>IFERROR(__xludf.DUMMYFUNCTION("""COMPUTED_VALUE"""),307.05)</f>
        <v/>
      </c>
      <c r="F764" s="141">
        <f>IFERROR(__xludf.DUMMYFUNCTION("""COMPUTED_VALUE"""),313.39)</f>
        <v/>
      </c>
      <c r="G764" s="143">
        <f>IFERROR(__xludf.DUMMYFUNCTION("""COMPUTED_VALUE"""),41323480)</f>
        <v/>
      </c>
      <c r="H764" s="27" t="n"/>
    </row>
    <row r="765" ht="17.25" customHeight="1" s="322">
      <c r="A765" s="27" t="n"/>
      <c r="B765" s="506">
        <f>IFERROR(__xludf.DUMMYFUNCTION("""COMPUTED_VALUE"""),46212.6666666666)</f>
        <v/>
      </c>
      <c r="C765" s="141">
        <f>IFERROR(__xludf.DUMMYFUNCTION("""COMPUTED_VALUE"""),310.51)</f>
        <v/>
      </c>
      <c r="D765" s="141">
        <f>IFERROR(__xludf.DUMMYFUNCTION("""COMPUTED_VALUE"""),316.53)</f>
        <v/>
      </c>
      <c r="E765" s="141">
        <f>IFERROR(__xludf.DUMMYFUNCTION("""COMPUTED_VALUE"""),308.16)</f>
        <v/>
      </c>
      <c r="F765" s="141">
        <f>IFERROR(__xludf.DUMMYFUNCTION("""COMPUTED_VALUE"""),316.22)</f>
        <v/>
      </c>
      <c r="G765" s="143">
        <f>IFERROR(__xludf.DUMMYFUNCTION("""COMPUTED_VALUE"""),48124490)</f>
        <v/>
      </c>
      <c r="H765" s="27" t="n"/>
    </row>
    <row r="766" ht="17.25" customHeight="1" s="322">
      <c r="A766" s="27" t="n"/>
      <c r="B766" s="506">
        <f>IFERROR(__xludf.DUMMYFUNCTION("""COMPUTED_VALUE"""),46213.6666666666)</f>
        <v/>
      </c>
      <c r="C766" s="141">
        <f>IFERROR(__xludf.DUMMYFUNCTION("""COMPUTED_VALUE"""),314.72)</f>
        <v/>
      </c>
      <c r="D766" s="141">
        <f>IFERROR(__xludf.DUMMYFUNCTION("""COMPUTED_VALUE"""),316.91)</f>
        <v/>
      </c>
      <c r="E766" s="141">
        <f>IFERROR(__xludf.DUMMYFUNCTION("""COMPUTED_VALUE"""),312.17)</f>
        <v/>
      </c>
      <c r="F766" s="141">
        <f>IFERROR(__xludf.DUMMYFUNCTION("""COMPUTED_VALUE"""),315.32)</f>
        <v/>
      </c>
      <c r="G766" s="143">
        <f>IFERROR(__xludf.DUMMYFUNCTION("""COMPUTED_VALUE"""),34132322)</f>
        <v/>
      </c>
      <c r="H766" s="27" t="n"/>
    </row>
    <row r="767" ht="17.25" customHeight="1" s="322">
      <c r="A767" s="27" t="n"/>
      <c r="B767" s="506">
        <f>IFERROR(__xludf.DUMMYFUNCTION("""COMPUTED_VALUE"""),46216.6666666666)</f>
        <v/>
      </c>
      <c r="C767" s="141">
        <f>IFERROR(__xludf.DUMMYFUNCTION("""COMPUTED_VALUE"""),317.02)</f>
        <v/>
      </c>
      <c r="D767" s="141">
        <f>IFERROR(__xludf.DUMMYFUNCTION("""COMPUTED_VALUE"""),323.45)</f>
        <v/>
      </c>
      <c r="E767" s="141">
        <f>IFERROR(__xludf.DUMMYFUNCTION("""COMPUTED_VALUE"""),315.78)</f>
        <v/>
      </c>
      <c r="F767" s="141">
        <f>IFERROR(__xludf.DUMMYFUNCTION("""COMPUTED_VALUE"""),317.31)</f>
        <v/>
      </c>
      <c r="G767" s="143">
        <f>IFERROR(__xludf.DUMMYFUNCTION("""COMPUTED_VALUE"""),43257804)</f>
        <v/>
      </c>
      <c r="H767" s="27" t="n"/>
    </row>
    <row r="768" ht="17.25" customHeight="1" s="322">
      <c r="A768" s="27" t="n"/>
      <c r="B768" s="506">
        <f>IFERROR(__xludf.DUMMYFUNCTION("""COMPUTED_VALUE"""),46217.6666666666)</f>
        <v/>
      </c>
      <c r="C768" s="141">
        <f>IFERROR(__xludf.DUMMYFUNCTION("""COMPUTED_VALUE"""),313.76)</f>
        <v/>
      </c>
      <c r="D768" s="141">
        <f>IFERROR(__xludf.DUMMYFUNCTION("""COMPUTED_VALUE"""),316.19)</f>
        <v/>
      </c>
      <c r="E768" s="141">
        <f>IFERROR(__xludf.DUMMYFUNCTION("""COMPUTED_VALUE"""),311.91)</f>
        <v/>
      </c>
      <c r="F768" s="141">
        <f>IFERROR(__xludf.DUMMYFUNCTION("""COMPUTED_VALUE"""),314.86)</f>
        <v/>
      </c>
      <c r="G768" s="143">
        <f>IFERROR(__xludf.DUMMYFUNCTION("""COMPUTED_VALUE"""),36336830)</f>
        <v/>
      </c>
      <c r="H768" s="27" t="n"/>
    </row>
    <row r="769" ht="17.25" customHeight="1" s="322">
      <c r="A769" s="27" t="n"/>
      <c r="B769" s="506">
        <f>IFERROR(__xludf.DUMMYFUNCTION("""COMPUTED_VALUE"""),46218.6666666666)</f>
        <v/>
      </c>
      <c r="C769" s="141">
        <f>IFERROR(__xludf.DUMMYFUNCTION("""COMPUTED_VALUE"""),317.62)</f>
        <v/>
      </c>
      <c r="D769" s="141">
        <f>IFERROR(__xludf.DUMMYFUNCTION("""COMPUTED_VALUE"""),328.73)</f>
        <v/>
      </c>
      <c r="E769" s="141">
        <f>IFERROR(__xludf.DUMMYFUNCTION("""COMPUTED_VALUE"""),317.32)</f>
        <v/>
      </c>
      <c r="F769" s="141">
        <f>IFERROR(__xludf.DUMMYFUNCTION("""COMPUTED_VALUE"""),327.5)</f>
        <v/>
      </c>
      <c r="G769" s="143">
        <f>IFERROR(__xludf.DUMMYFUNCTION("""COMPUTED_VALUE"""),60957644)</f>
        <v/>
      </c>
      <c r="H769" s="27" t="n"/>
    </row>
    <row r="770" ht="17.25" customHeight="1" s="322">
      <c r="A770" s="27" t="n"/>
      <c r="B770" s="506">
        <f>IFERROR(__xludf.DUMMYFUNCTION("""COMPUTED_VALUE"""),46219.6666666666)</f>
        <v/>
      </c>
      <c r="C770" s="141">
        <f>IFERROR(__xludf.DUMMYFUNCTION("""COMPUTED_VALUE"""),328.01)</f>
        <v/>
      </c>
      <c r="D770" s="141">
        <f>IFERROR(__xludf.DUMMYFUNCTION("""COMPUTED_VALUE"""),334.68)</f>
        <v/>
      </c>
      <c r="E770" s="141">
        <f>IFERROR(__xludf.DUMMYFUNCTION("""COMPUTED_VALUE"""),326.79)</f>
        <v/>
      </c>
      <c r="F770" s="141">
        <f>IFERROR(__xludf.DUMMYFUNCTION("""COMPUTED_VALUE"""),333.26)</f>
        <v/>
      </c>
      <c r="G770" s="143">
        <f>IFERROR(__xludf.DUMMYFUNCTION("""COMPUTED_VALUE"""),62970617)</f>
        <v/>
      </c>
      <c r="H770" s="27" t="n"/>
    </row>
    <row r="771" ht="17.25" customHeight="1" s="322">
      <c r="A771" s="27" t="n"/>
      <c r="B771" s="506">
        <f>IFERROR(__xludf.DUMMYFUNCTION("""COMPUTED_VALUE"""),46220.6666666666)</f>
        <v/>
      </c>
      <c r="C771" s="141">
        <f>IFERROR(__xludf.DUMMYFUNCTION("""COMPUTED_VALUE"""),331.98)</f>
        <v/>
      </c>
      <c r="D771" s="141">
        <f>IFERROR(__xludf.DUMMYFUNCTION("""COMPUTED_VALUE"""),334.99)</f>
        <v/>
      </c>
      <c r="E771" s="141">
        <f>IFERROR(__xludf.DUMMYFUNCTION("""COMPUTED_VALUE"""),329)</f>
        <v/>
      </c>
      <c r="F771" s="141">
        <f>IFERROR(__xludf.DUMMYFUNCTION("""COMPUTED_VALUE"""),333.74)</f>
        <v/>
      </c>
      <c r="G771" s="143">
        <f>IFERROR(__xludf.DUMMYFUNCTION("""COMPUTED_VALUE"""),63407059)</f>
        <v/>
      </c>
      <c r="H771" s="27" t="n"/>
    </row>
    <row r="772" ht="17.25" customHeight="1" s="322">
      <c r="A772" s="27" t="n"/>
      <c r="B772" s="506">
        <f>IFERROR(__xludf.DUMMYFUNCTION("""COMPUTED_VALUE"""),46223.6666666666)</f>
        <v/>
      </c>
      <c r="C772" s="141">
        <f>IFERROR(__xludf.DUMMYFUNCTION("""COMPUTED_VALUE"""),333.51)</f>
        <v/>
      </c>
      <c r="D772" s="141">
        <f>IFERROR(__xludf.DUMMYFUNCTION("""COMPUTED_VALUE"""),333.71)</f>
        <v/>
      </c>
      <c r="E772" s="141">
        <f>IFERROR(__xludf.DUMMYFUNCTION("""COMPUTED_VALUE"""),323.68)</f>
        <v/>
      </c>
      <c r="F772" s="141">
        <f>IFERROR(__xludf.DUMMYFUNCTION("""COMPUTED_VALUE"""),326.59)</f>
        <v/>
      </c>
      <c r="G772" s="143">
        <f>IFERROR(__xludf.DUMMYFUNCTION("""COMPUTED_VALUE"""),53468008)</f>
        <v/>
      </c>
      <c r="H772" s="27" t="n"/>
    </row>
    <row r="773" ht="17.25" customHeight="1" s="322">
      <c r="A773" s="27" t="n"/>
      <c r="B773" s="506">
        <f>IFERROR(__xludf.DUMMYFUNCTION("""COMPUTED_VALUE"""),46224.6666666666)</f>
        <v/>
      </c>
      <c r="C773" s="141">
        <f>IFERROR(__xludf.DUMMYFUNCTION("""COMPUTED_VALUE"""),323.13)</f>
        <v/>
      </c>
      <c r="D773" s="141">
        <f>IFERROR(__xludf.DUMMYFUNCTION("""COMPUTED_VALUE"""),329.6)</f>
        <v/>
      </c>
      <c r="E773" s="141">
        <f>IFERROR(__xludf.DUMMYFUNCTION("""COMPUTED_VALUE"""),322.22)</f>
        <v/>
      </c>
      <c r="F773" s="141">
        <f>IFERROR(__xludf.DUMMYFUNCTION("""COMPUTED_VALUE"""),327.74)</f>
        <v/>
      </c>
      <c r="G773" s="143">
        <f>IFERROR(__xludf.DUMMYFUNCTION("""COMPUTED_VALUE"""),41338918)</f>
        <v/>
      </c>
      <c r="H773" s="27" t="n"/>
    </row>
    <row r="774" ht="17.25" customHeight="1" s="322">
      <c r="A774" s="27" t="n"/>
      <c r="B774" s="506">
        <f>IFERROR(__xludf.DUMMYFUNCTION("""COMPUTED_VALUE"""),46225.6666666666)</f>
        <v/>
      </c>
      <c r="C774" s="141">
        <f>IFERROR(__xludf.DUMMYFUNCTION("""COMPUTED_VALUE"""),327.87)</f>
        <v/>
      </c>
      <c r="D774" s="141">
        <f>IFERROR(__xludf.DUMMYFUNCTION("""COMPUTED_VALUE"""),329)</f>
        <v/>
      </c>
      <c r="E774" s="141">
        <f>IFERROR(__xludf.DUMMYFUNCTION("""COMPUTED_VALUE"""),323.34)</f>
        <v/>
      </c>
      <c r="F774" s="141">
        <f>IFERROR(__xludf.DUMMYFUNCTION("""COMPUTED_VALUE"""),325.89)</f>
        <v/>
      </c>
      <c r="G774" s="143">
        <f>IFERROR(__xludf.DUMMYFUNCTION("""COMPUTED_VALUE"""),38755930)</f>
        <v/>
      </c>
      <c r="H774" s="27" t="n"/>
    </row>
    <row r="775" ht="17.25" customHeight="1" s="322">
      <c r="A775" s="27" t="n"/>
      <c r="B775" s="506">
        <f>IFERROR(__xludf.DUMMYFUNCTION("""COMPUTED_VALUE"""),46226.6666666666)</f>
        <v/>
      </c>
      <c r="C775" s="141">
        <f>IFERROR(__xludf.DUMMYFUNCTION("""COMPUTED_VALUE"""),321.73)</f>
        <v/>
      </c>
      <c r="D775" s="141">
        <f>IFERROR(__xludf.DUMMYFUNCTION("""COMPUTED_VALUE"""),323.3)</f>
        <v/>
      </c>
      <c r="E775" s="141">
        <f>IFERROR(__xludf.DUMMYFUNCTION("""COMPUTED_VALUE"""),319.35)</f>
        <v/>
      </c>
      <c r="F775" s="141">
        <f>IFERROR(__xludf.DUMMYFUNCTION("""COMPUTED_VALUE"""),321.66)</f>
        <v/>
      </c>
      <c r="G775" s="143">
        <f>IFERROR(__xludf.DUMMYFUNCTION("""COMPUTED_VALUE"""),40840779)</f>
        <v/>
      </c>
      <c r="H775" s="27" t="n"/>
    </row>
    <row r="776" ht="17.25" customHeight="1" s="322">
      <c r="A776" s="27" t="n"/>
      <c r="B776" s="506">
        <f>IFERROR(__xludf.DUMMYFUNCTION("""COMPUTED_VALUE"""),46227.6666666666)</f>
        <v/>
      </c>
      <c r="C776" s="141">
        <f>IFERROR(__xludf.DUMMYFUNCTION("""COMPUTED_VALUE"""),321.79)</f>
        <v/>
      </c>
      <c r="D776" s="141">
        <f>IFERROR(__xludf.DUMMYFUNCTION("""COMPUTED_VALUE"""),334.37)</f>
        <v/>
      </c>
      <c r="E776" s="141">
        <f>IFERROR(__xludf.DUMMYFUNCTION("""COMPUTED_VALUE"""),321.62)</f>
        <v/>
      </c>
      <c r="F776" s="141">
        <f>IFERROR(__xludf.DUMMYFUNCTION("""COMPUTED_VALUE"""),333.02)</f>
        <v/>
      </c>
      <c r="G776" s="143">
        <f>IFERROR(__xludf.DUMMYFUNCTION("""COMPUTED_VALUE"""),47489416)</f>
        <v/>
      </c>
      <c r="H776" s="27" t="n"/>
    </row>
    <row r="777" ht="17.25" customHeight="1" s="322">
      <c r="A777" s="27" t="n"/>
      <c r="B777" s="506">
        <f>IFERROR(__xludf.DUMMYFUNCTION("""COMPUTED_VALUE"""),46230.6666666666)</f>
        <v/>
      </c>
      <c r="C777" s="141">
        <f>IFERROR(__xludf.DUMMYFUNCTION("""COMPUTED_VALUE"""),334.54)</f>
        <v/>
      </c>
      <c r="D777" s="141">
        <f>IFERROR(__xludf.DUMMYFUNCTION("""COMPUTED_VALUE"""),339.57)</f>
        <v/>
      </c>
      <c r="E777" s="141">
        <f>IFERROR(__xludf.DUMMYFUNCTION("""COMPUTED_VALUE"""),334.02)</f>
        <v/>
      </c>
      <c r="F777" s="141">
        <f>IFERROR(__xludf.DUMMYFUNCTION("""COMPUTED_VALUE"""),336.91)</f>
        <v/>
      </c>
      <c r="G777" s="143">
        <f>IFERROR(__xludf.DUMMYFUNCTION("""COMPUTED_VALUE"""),49604297)</f>
        <v/>
      </c>
      <c r="H777" s="27" t="n"/>
    </row>
    <row r="778" ht="17.25" customHeight="1" s="322">
      <c r="A778" s="27" t="n"/>
      <c r="B778" s="506">
        <f>IFERROR(__xludf.DUMMYFUNCTION("""COMPUTED_VALUE"""),46231.6666666666)</f>
        <v/>
      </c>
      <c r="C778" s="141">
        <f>IFERROR(__xludf.DUMMYFUNCTION("""COMPUTED_VALUE"""),340.03)</f>
        <v/>
      </c>
      <c r="D778" s="141">
        <f>IFERROR(__xludf.DUMMYFUNCTION("""COMPUTED_VALUE"""),342.89)</f>
        <v/>
      </c>
      <c r="E778" s="141">
        <f>IFERROR(__xludf.DUMMYFUNCTION("""COMPUTED_VALUE"""),335.6)</f>
        <v/>
      </c>
      <c r="F778" s="141">
        <f>IFERROR(__xludf.DUMMYFUNCTION("""COMPUTED_VALUE"""),340.08)</f>
        <v/>
      </c>
      <c r="G778" s="143">
        <f>IFERROR(__xludf.DUMMYFUNCTION("""COMPUTED_VALUE"""),51859043)</f>
        <v/>
      </c>
      <c r="H778" s="27" t="n"/>
    </row>
    <row r="779" ht="17.25" customHeight="1" s="322">
      <c r="A779" s="27" t="n"/>
      <c r="B779" s="506">
        <f>IFERROR(__xludf.DUMMYFUNCTION("""COMPUTED_VALUE"""),46232.6666666666)</f>
        <v/>
      </c>
      <c r="C779" s="141">
        <f>IFERROR(__xludf.DUMMYFUNCTION("""COMPUTED_VALUE"""),339.73)</f>
        <v/>
      </c>
      <c r="D779" s="141">
        <f>IFERROR(__xludf.DUMMYFUNCTION("""COMPUTED_VALUE"""),344.57)</f>
        <v/>
      </c>
      <c r="E779" s="141">
        <f>IFERROR(__xludf.DUMMYFUNCTION("""COMPUTED_VALUE"""),337.35)</f>
        <v/>
      </c>
      <c r="F779" s="141">
        <f>IFERROR(__xludf.DUMMYFUNCTION("""COMPUTED_VALUE"""),338.19)</f>
        <v/>
      </c>
      <c r="G779" s="143">
        <f>IFERROR(__xludf.DUMMYFUNCTION("""COMPUTED_VALUE"""),55263399)</f>
        <v/>
      </c>
      <c r="H779" s="27" t="n"/>
    </row>
    <row r="780" ht="17.25" customHeight="1" s="322">
      <c r="A780" s="27" t="n"/>
      <c r="B780" s="506" t="n"/>
      <c r="C780" s="141" t="n"/>
      <c r="D780" s="141" t="n"/>
      <c r="E780" s="141" t="n"/>
      <c r="F780" s="141" t="n"/>
      <c r="G780" s="143" t="n"/>
      <c r="H780" s="27" t="n"/>
    </row>
    <row r="781" ht="17.25" customHeight="1" s="322">
      <c r="A781" s="27" t="n"/>
      <c r="B781" s="506" t="n"/>
      <c r="C781" s="141" t="n"/>
      <c r="D781" s="141" t="n"/>
      <c r="E781" s="141" t="n"/>
      <c r="F781" s="141" t="n"/>
      <c r="G781" s="143" t="n"/>
      <c r="H781" s="27" t="n"/>
    </row>
    <row r="782" ht="17.25" customHeight="1" s="322">
      <c r="A782" s="27" t="n"/>
      <c r="B782" s="506" t="n"/>
      <c r="C782" s="141" t="n"/>
      <c r="D782" s="141" t="n"/>
      <c r="E782" s="141" t="n"/>
      <c r="F782" s="141" t="n"/>
      <c r="G782" s="143" t="n"/>
      <c r="H782" s="27" t="n"/>
    </row>
    <row r="783" ht="17.25" customHeight="1" s="322">
      <c r="A783" s="27" t="n"/>
      <c r="B783" s="506" t="n"/>
      <c r="C783" s="141" t="n"/>
      <c r="D783" s="141" t="n"/>
      <c r="E783" s="141" t="n"/>
      <c r="F783" s="141" t="n"/>
      <c r="G783" s="143" t="n"/>
      <c r="H783" s="27" t="n"/>
    </row>
    <row r="784" ht="17.25" customHeight="1" s="322">
      <c r="A784" s="27" t="n"/>
      <c r="B784" s="506" t="n"/>
      <c r="C784" s="141" t="n"/>
      <c r="D784" s="141" t="n"/>
      <c r="E784" s="141" t="n"/>
      <c r="F784" s="141" t="n"/>
      <c r="G784" s="143" t="n"/>
      <c r="H784" s="27" t="n"/>
    </row>
    <row r="785" ht="17.25" customHeight="1" s="322">
      <c r="A785" s="27" t="n"/>
      <c r="B785" s="506" t="n"/>
      <c r="C785" s="141" t="n"/>
      <c r="D785" s="141" t="n"/>
      <c r="E785" s="141" t="n"/>
      <c r="F785" s="141" t="n"/>
      <c r="G785" s="143" t="n"/>
      <c r="H785" s="27" t="n"/>
    </row>
    <row r="786" ht="17.25" customHeight="1" s="322">
      <c r="A786" s="27" t="n"/>
      <c r="B786" s="506" t="n"/>
      <c r="C786" s="141" t="n"/>
      <c r="D786" s="141" t="n"/>
      <c r="E786" s="141" t="n"/>
      <c r="F786" s="141" t="n"/>
      <c r="G786" s="143" t="n"/>
      <c r="H786" s="27" t="n"/>
    </row>
    <row r="787" ht="17.25" customHeight="1" s="322">
      <c r="A787" s="27" t="n"/>
      <c r="B787" s="506" t="n"/>
      <c r="C787" s="141" t="n"/>
      <c r="D787" s="141" t="n"/>
      <c r="E787" s="141" t="n"/>
      <c r="F787" s="141" t="n"/>
      <c r="G787" s="143" t="n"/>
      <c r="H787" s="27" t="n"/>
    </row>
    <row r="788" ht="17.25" customHeight="1" s="322">
      <c r="A788" s="27" t="n"/>
      <c r="B788" s="506" t="n"/>
      <c r="C788" s="141" t="n"/>
      <c r="D788" s="141" t="n"/>
      <c r="E788" s="141" t="n"/>
      <c r="F788" s="141" t="n"/>
      <c r="G788" s="143" t="n"/>
      <c r="H788" s="27" t="n"/>
    </row>
    <row r="789" ht="17.25" customHeight="1" s="322">
      <c r="A789" s="27" t="n"/>
      <c r="B789" s="506" t="n"/>
      <c r="C789" s="141" t="n"/>
      <c r="D789" s="141" t="n"/>
      <c r="E789" s="141" t="n"/>
      <c r="F789" s="141" t="n"/>
      <c r="G789" s="143" t="n"/>
      <c r="H789" s="27" t="n"/>
    </row>
    <row r="790" ht="17.25" customHeight="1" s="322">
      <c r="A790" s="27" t="n"/>
      <c r="B790" s="506" t="n"/>
      <c r="C790" s="141" t="n"/>
      <c r="D790" s="141" t="n"/>
      <c r="E790" s="141" t="n"/>
      <c r="F790" s="141" t="n"/>
      <c r="G790" s="143" t="n"/>
      <c r="H790" s="27" t="n"/>
    </row>
    <row r="791" ht="17.25" customHeight="1" s="322">
      <c r="A791" s="27" t="n"/>
      <c r="B791" s="506" t="n"/>
      <c r="C791" s="141" t="n"/>
      <c r="D791" s="141" t="n"/>
      <c r="E791" s="141" t="n"/>
      <c r="F791" s="141" t="n"/>
      <c r="G791" s="143" t="n"/>
      <c r="H791" s="27" t="n"/>
    </row>
    <row r="792" ht="17.25" customHeight="1" s="322">
      <c r="A792" s="27" t="n"/>
      <c r="B792" s="506" t="n"/>
      <c r="C792" s="141" t="n"/>
      <c r="D792" s="141" t="n"/>
      <c r="E792" s="141" t="n"/>
      <c r="F792" s="141" t="n"/>
      <c r="G792" s="143" t="n"/>
      <c r="H792" s="27" t="n"/>
    </row>
    <row r="793" ht="17.25" customHeight="1" s="322">
      <c r="A793" s="27" t="n"/>
      <c r="B793" s="506" t="n"/>
      <c r="C793" s="141" t="n"/>
      <c r="D793" s="141" t="n"/>
      <c r="E793" s="141" t="n"/>
      <c r="F793" s="141" t="n"/>
      <c r="G793" s="143" t="n"/>
      <c r="H793" s="27" t="n"/>
    </row>
    <row r="794" ht="17.25" customHeight="1" s="322">
      <c r="A794" s="27" t="n"/>
      <c r="B794" s="506" t="n"/>
      <c r="C794" s="141" t="n"/>
      <c r="D794" s="141" t="n"/>
      <c r="E794" s="141" t="n"/>
      <c r="F794" s="141" t="n"/>
      <c r="G794" s="143" t="n"/>
      <c r="H794" s="27" t="n"/>
    </row>
    <row r="795" ht="17.25" customHeight="1" s="322">
      <c r="A795" s="27" t="n"/>
      <c r="B795" s="506" t="n"/>
      <c r="C795" s="141" t="n"/>
      <c r="D795" s="141" t="n"/>
      <c r="E795" s="141" t="n"/>
      <c r="F795" s="141" t="n"/>
      <c r="G795" s="143" t="n"/>
      <c r="H795" s="27" t="n"/>
    </row>
    <row r="796" ht="17.25" customHeight="1" s="322">
      <c r="A796" s="27" t="n"/>
      <c r="B796" s="506" t="n"/>
      <c r="C796" s="141" t="n"/>
      <c r="D796" s="141" t="n"/>
      <c r="E796" s="141" t="n"/>
      <c r="F796" s="141" t="n"/>
      <c r="G796" s="143" t="n"/>
      <c r="H796" s="27" t="n"/>
    </row>
    <row r="797" ht="17.25" customHeight="1" s="322">
      <c r="A797" s="27" t="n"/>
      <c r="B797" s="506" t="n"/>
      <c r="C797" s="141" t="n"/>
      <c r="D797" s="141" t="n"/>
      <c r="E797" s="141" t="n"/>
      <c r="F797" s="141" t="n"/>
      <c r="G797" s="143" t="n"/>
      <c r="H797" s="27" t="n"/>
    </row>
    <row r="798" ht="17.25" customHeight="1" s="322">
      <c r="A798" s="27" t="n"/>
      <c r="B798" s="506" t="n"/>
      <c r="C798" s="141" t="n"/>
      <c r="D798" s="141" t="n"/>
      <c r="E798" s="141" t="n"/>
      <c r="F798" s="141" t="n"/>
      <c r="G798" s="143" t="n"/>
      <c r="H798" s="27" t="n"/>
    </row>
    <row r="799" ht="17.25" customHeight="1" s="322">
      <c r="A799" s="27" t="n"/>
      <c r="B799" s="506" t="n"/>
      <c r="C799" s="141" t="n"/>
      <c r="D799" s="141" t="n"/>
      <c r="E799" s="141" t="n"/>
      <c r="F799" s="141" t="n"/>
      <c r="G799" s="143" t="n"/>
      <c r="H799" s="27" t="n"/>
    </row>
    <row r="800" ht="17.25" customHeight="1" s="322">
      <c r="A800" s="27" t="n"/>
      <c r="B800" s="506" t="n"/>
      <c r="C800" s="141" t="n"/>
      <c r="D800" s="141" t="n"/>
      <c r="E800" s="141" t="n"/>
      <c r="F800" s="141" t="n"/>
      <c r="G800" s="143" t="n"/>
      <c r="H800" s="27" t="n"/>
    </row>
    <row r="801" ht="17.25" customHeight="1" s="322">
      <c r="A801" s="27" t="n"/>
      <c r="B801" s="506" t="n"/>
      <c r="C801" s="141" t="n"/>
      <c r="D801" s="141" t="n"/>
      <c r="E801" s="141" t="n"/>
      <c r="F801" s="141" t="n"/>
      <c r="G801" s="143" t="n"/>
      <c r="H801" s="27" t="n"/>
    </row>
    <row r="802" ht="17.25" customHeight="1" s="322">
      <c r="A802" s="27" t="n"/>
      <c r="B802" s="506" t="n"/>
      <c r="C802" s="141" t="n"/>
      <c r="D802" s="141" t="n"/>
      <c r="E802" s="141" t="n"/>
      <c r="F802" s="141" t="n"/>
      <c r="G802" s="143" t="n"/>
      <c r="H802" s="27" t="n"/>
    </row>
    <row r="803" ht="17.25" customHeight="1" s="322">
      <c r="A803" s="27" t="n"/>
      <c r="B803" s="506" t="n"/>
      <c r="C803" s="141" t="n"/>
      <c r="D803" s="141" t="n"/>
      <c r="E803" s="141" t="n"/>
      <c r="F803" s="141" t="n"/>
      <c r="G803" s="143" t="n"/>
      <c r="H803" s="27" t="n"/>
    </row>
    <row r="804" ht="17.25" customHeight="1" s="322">
      <c r="A804" s="27" t="n"/>
      <c r="B804" s="506" t="n"/>
      <c r="C804" s="141" t="n"/>
      <c r="D804" s="141" t="n"/>
      <c r="E804" s="141" t="n"/>
      <c r="F804" s="141" t="n"/>
      <c r="G804" s="143" t="n"/>
      <c r="H804" s="27" t="n"/>
    </row>
    <row r="805" ht="17.25" customHeight="1" s="322">
      <c r="A805" s="27" t="n"/>
      <c r="B805" s="506" t="n"/>
      <c r="C805" s="141" t="n"/>
      <c r="D805" s="141" t="n"/>
      <c r="E805" s="141" t="n"/>
      <c r="F805" s="141" t="n"/>
      <c r="G805" s="143" t="n"/>
      <c r="H805" s="27" t="n"/>
    </row>
    <row r="806" ht="17.25" customHeight="1" s="322">
      <c r="A806" s="27" t="n"/>
      <c r="B806" s="506" t="n"/>
      <c r="C806" s="141" t="n"/>
      <c r="D806" s="141" t="n"/>
      <c r="E806" s="141" t="n"/>
      <c r="F806" s="141" t="n"/>
      <c r="G806" s="143" t="n"/>
      <c r="H806" s="27" t="n"/>
    </row>
    <row r="807" ht="17.25" customHeight="1" s="322">
      <c r="A807" s="27" t="n"/>
      <c r="B807" s="506" t="n"/>
      <c r="C807" s="141" t="n"/>
      <c r="D807" s="141" t="n"/>
      <c r="E807" s="141" t="n"/>
      <c r="F807" s="141" t="n"/>
      <c r="G807" s="143" t="n"/>
      <c r="H807" s="27" t="n"/>
    </row>
    <row r="808" ht="17.25" customHeight="1" s="322">
      <c r="A808" s="27" t="n"/>
      <c r="B808" s="506" t="n"/>
      <c r="C808" s="141" t="n"/>
      <c r="D808" s="141" t="n"/>
      <c r="E808" s="141" t="n"/>
      <c r="F808" s="141" t="n"/>
      <c r="G808" s="143" t="n"/>
      <c r="H808" s="27" t="n"/>
    </row>
    <row r="809" ht="17.25" customHeight="1" s="322">
      <c r="A809" s="27" t="n"/>
      <c r="B809" s="506" t="n"/>
      <c r="C809" s="141" t="n"/>
      <c r="D809" s="141" t="n"/>
      <c r="E809" s="141" t="n"/>
      <c r="F809" s="141" t="n"/>
      <c r="G809" s="143" t="n"/>
      <c r="H809" s="27" t="n"/>
    </row>
    <row r="810" ht="17.25" customHeight="1" s="322">
      <c r="A810" s="27" t="n"/>
      <c r="B810" s="506" t="n"/>
      <c r="C810" s="141" t="n"/>
      <c r="D810" s="141" t="n"/>
      <c r="E810" s="141" t="n"/>
      <c r="F810" s="141" t="n"/>
      <c r="G810" s="143" t="n"/>
      <c r="H810" s="27" t="n"/>
    </row>
    <row r="811" ht="17.25" customHeight="1" s="322">
      <c r="A811" s="27" t="n"/>
      <c r="B811" s="506" t="n"/>
      <c r="C811" s="141" t="n"/>
      <c r="D811" s="141" t="n"/>
      <c r="E811" s="141" t="n"/>
      <c r="F811" s="141" t="n"/>
      <c r="G811" s="143" t="n"/>
      <c r="H811" s="27" t="n"/>
    </row>
    <row r="812" ht="17.25" customHeight="1" s="322">
      <c r="A812" s="27" t="n"/>
      <c r="B812" s="506" t="n"/>
      <c r="C812" s="141" t="n"/>
      <c r="D812" s="141" t="n"/>
      <c r="E812" s="141" t="n"/>
      <c r="F812" s="141" t="n"/>
      <c r="G812" s="143" t="n"/>
      <c r="H812" s="27" t="n"/>
    </row>
    <row r="813" ht="17.25" customHeight="1" s="322">
      <c r="A813" s="27" t="n"/>
      <c r="B813" s="506" t="n"/>
      <c r="C813" s="141" t="n"/>
      <c r="D813" s="141" t="n"/>
      <c r="E813" s="141" t="n"/>
      <c r="F813" s="141" t="n"/>
      <c r="G813" s="143" t="n"/>
      <c r="H813" s="27" t="n"/>
    </row>
    <row r="814" ht="17.25" customHeight="1" s="322">
      <c r="A814" s="27" t="n"/>
      <c r="B814" s="506" t="n"/>
      <c r="C814" s="141" t="n"/>
      <c r="D814" s="141" t="n"/>
      <c r="E814" s="141" t="n"/>
      <c r="F814" s="141" t="n"/>
      <c r="G814" s="143" t="n"/>
      <c r="H814" s="27" t="n"/>
    </row>
    <row r="815" ht="17.25" customHeight="1" s="322">
      <c r="A815" s="27" t="n"/>
      <c r="B815" s="506" t="n"/>
      <c r="C815" s="141" t="n"/>
      <c r="D815" s="141" t="n"/>
      <c r="E815" s="141" t="n"/>
      <c r="F815" s="141" t="n"/>
      <c r="G815" s="143" t="n"/>
      <c r="H815" s="27" t="n"/>
    </row>
    <row r="816" ht="17.25" customHeight="1" s="322">
      <c r="A816" s="27" t="n"/>
      <c r="B816" s="506" t="n"/>
      <c r="C816" s="141" t="n"/>
      <c r="D816" s="141" t="n"/>
      <c r="E816" s="141" t="n"/>
      <c r="F816" s="141" t="n"/>
      <c r="G816" s="143" t="n"/>
      <c r="H816" s="27" t="n"/>
    </row>
    <row r="817" ht="17.25" customHeight="1" s="322">
      <c r="A817" s="27" t="n"/>
      <c r="B817" s="506" t="n"/>
      <c r="C817" s="141" t="n"/>
      <c r="D817" s="141" t="n"/>
      <c r="E817" s="141" t="n"/>
      <c r="F817" s="141" t="n"/>
      <c r="G817" s="143" t="n"/>
      <c r="H817" s="27" t="n"/>
    </row>
    <row r="818" ht="17.25" customHeight="1" s="322">
      <c r="A818" s="27" t="n"/>
      <c r="B818" s="506" t="n"/>
      <c r="C818" s="141" t="n"/>
      <c r="D818" s="141" t="n"/>
      <c r="E818" s="141" t="n"/>
      <c r="F818" s="141" t="n"/>
      <c r="G818" s="143" t="n"/>
      <c r="H818" s="27" t="n"/>
    </row>
    <row r="819" ht="17.25" customHeight="1" s="322">
      <c r="A819" s="27" t="n"/>
      <c r="B819" s="506" t="n"/>
      <c r="C819" s="141" t="n"/>
      <c r="D819" s="141" t="n"/>
      <c r="E819" s="141" t="n"/>
      <c r="F819" s="141" t="n"/>
      <c r="G819" s="143" t="n"/>
      <c r="H819" s="27" t="n"/>
    </row>
    <row r="820" ht="17.25" customHeight="1" s="322">
      <c r="A820" s="27" t="n"/>
      <c r="B820" s="506" t="n"/>
      <c r="C820" s="141" t="n"/>
      <c r="D820" s="141" t="n"/>
      <c r="E820" s="141" t="n"/>
      <c r="F820" s="141" t="n"/>
      <c r="G820" s="143" t="n"/>
      <c r="H820" s="27" t="n"/>
    </row>
    <row r="821" ht="17.25" customHeight="1" s="322">
      <c r="A821" s="27" t="n"/>
      <c r="B821" s="506" t="n"/>
      <c r="C821" s="141" t="n"/>
      <c r="D821" s="141" t="n"/>
      <c r="E821" s="141" t="n"/>
      <c r="F821" s="141" t="n"/>
      <c r="G821" s="143" t="n"/>
      <c r="H821" s="27" t="n"/>
    </row>
    <row r="822" ht="17.25" customHeight="1" s="322">
      <c r="A822" s="27" t="n"/>
      <c r="B822" s="506" t="n"/>
      <c r="C822" s="141" t="n"/>
      <c r="D822" s="141" t="n"/>
      <c r="E822" s="141" t="n"/>
      <c r="F822" s="141" t="n"/>
      <c r="G822" s="143" t="n"/>
      <c r="H822" s="27" t="n"/>
    </row>
    <row r="823" ht="17.25" customHeight="1" s="322">
      <c r="A823" s="27" t="n"/>
      <c r="B823" s="506" t="n"/>
      <c r="C823" s="141" t="n"/>
      <c r="D823" s="141" t="n"/>
      <c r="E823" s="141" t="n"/>
      <c r="F823" s="141" t="n"/>
      <c r="G823" s="143" t="n"/>
      <c r="H823" s="27" t="n"/>
    </row>
    <row r="824" ht="17.25" customHeight="1" s="322">
      <c r="A824" s="27" t="n"/>
      <c r="B824" s="506" t="n"/>
      <c r="C824" s="141" t="n"/>
      <c r="D824" s="141" t="n"/>
      <c r="E824" s="141" t="n"/>
      <c r="F824" s="141" t="n"/>
      <c r="G824" s="143" t="n"/>
      <c r="H824" s="27" t="n"/>
    </row>
    <row r="825" ht="17.25" customHeight="1" s="322">
      <c r="A825" s="27" t="n"/>
      <c r="B825" s="506" t="n"/>
      <c r="C825" s="141" t="n"/>
      <c r="D825" s="141" t="n"/>
      <c r="E825" s="141" t="n"/>
      <c r="F825" s="141" t="n"/>
      <c r="G825" s="143" t="n"/>
      <c r="H825" s="27" t="n"/>
    </row>
    <row r="826" ht="17.25" customHeight="1" s="322">
      <c r="A826" s="27" t="n"/>
      <c r="B826" s="506" t="n"/>
      <c r="C826" s="141" t="n"/>
      <c r="D826" s="141" t="n"/>
      <c r="E826" s="141" t="n"/>
      <c r="F826" s="141" t="n"/>
      <c r="G826" s="143" t="n"/>
      <c r="H826" s="27" t="n"/>
    </row>
    <row r="827" ht="17.25" customHeight="1" s="322">
      <c r="A827" s="27" t="n"/>
      <c r="B827" s="506" t="n"/>
      <c r="C827" s="141" t="n"/>
      <c r="D827" s="141" t="n"/>
      <c r="E827" s="141" t="n"/>
      <c r="F827" s="141" t="n"/>
      <c r="G827" s="143" t="n"/>
      <c r="H827" s="27" t="n"/>
    </row>
    <row r="828" ht="17.25" customHeight="1" s="322">
      <c r="A828" s="27" t="n"/>
      <c r="B828" s="506" t="n"/>
      <c r="C828" s="141" t="n"/>
      <c r="D828" s="141" t="n"/>
      <c r="E828" s="141" t="n"/>
      <c r="F828" s="141" t="n"/>
      <c r="G828" s="143" t="n"/>
      <c r="H828" s="27" t="n"/>
    </row>
    <row r="829" ht="17.25" customHeight="1" s="322">
      <c r="A829" s="27" t="n"/>
      <c r="B829" s="506" t="n"/>
      <c r="C829" s="141" t="n"/>
      <c r="D829" s="141" t="n"/>
      <c r="E829" s="141" t="n"/>
      <c r="F829" s="141" t="n"/>
      <c r="G829" s="143" t="n"/>
      <c r="H829" s="27" t="n"/>
    </row>
    <row r="830" ht="17.25" customHeight="1" s="322">
      <c r="A830" s="27" t="n"/>
      <c r="B830" s="506" t="n"/>
      <c r="C830" s="141" t="n"/>
      <c r="D830" s="141" t="n"/>
      <c r="E830" s="141" t="n"/>
      <c r="F830" s="141" t="n"/>
      <c r="G830" s="143" t="n"/>
      <c r="H830" s="27" t="n"/>
    </row>
    <row r="831" ht="17.25" customHeight="1" s="322">
      <c r="A831" s="27" t="n"/>
      <c r="B831" s="506" t="n"/>
      <c r="C831" s="141" t="n"/>
      <c r="D831" s="141" t="n"/>
      <c r="E831" s="141" t="n"/>
      <c r="F831" s="141" t="n"/>
      <c r="G831" s="143" t="n"/>
      <c r="H831" s="27" t="n"/>
    </row>
    <row r="832" ht="17.25" customHeight="1" s="322">
      <c r="A832" s="27" t="n"/>
      <c r="B832" s="506" t="n"/>
      <c r="C832" s="141" t="n"/>
      <c r="D832" s="141" t="n"/>
      <c r="E832" s="141" t="n"/>
      <c r="F832" s="141" t="n"/>
      <c r="G832" s="143" t="n"/>
      <c r="H832" s="27" t="n"/>
    </row>
    <row r="833" ht="17.25" customHeight="1" s="322">
      <c r="A833" s="27" t="n"/>
      <c r="B833" s="506" t="n"/>
      <c r="C833" s="141" t="n"/>
      <c r="D833" s="141" t="n"/>
      <c r="E833" s="141" t="n"/>
      <c r="F833" s="141" t="n"/>
      <c r="G833" s="143" t="n"/>
      <c r="H833" s="27" t="n"/>
    </row>
    <row r="834" ht="17.25" customHeight="1" s="322">
      <c r="A834" s="27" t="n"/>
      <c r="B834" s="506" t="n"/>
      <c r="C834" s="141" t="n"/>
      <c r="D834" s="141" t="n"/>
      <c r="E834" s="141" t="n"/>
      <c r="F834" s="141" t="n"/>
      <c r="G834" s="143" t="n"/>
      <c r="H834" s="27" t="n"/>
    </row>
    <row r="835" ht="17.25" customHeight="1" s="322">
      <c r="A835" s="27" t="n"/>
      <c r="B835" s="506" t="n"/>
      <c r="C835" s="141" t="n"/>
      <c r="D835" s="141" t="n"/>
      <c r="E835" s="141" t="n"/>
      <c r="F835" s="141" t="n"/>
      <c r="G835" s="143" t="n"/>
      <c r="H835" s="27" t="n"/>
    </row>
    <row r="836" ht="17.25" customHeight="1" s="322">
      <c r="A836" s="27" t="n"/>
      <c r="B836" s="506" t="n"/>
      <c r="C836" s="141" t="n"/>
      <c r="D836" s="141" t="n"/>
      <c r="E836" s="141" t="n"/>
      <c r="F836" s="141" t="n"/>
      <c r="G836" s="143" t="n"/>
      <c r="H836" s="27" t="n"/>
    </row>
    <row r="837" ht="17.25" customHeight="1" s="322">
      <c r="A837" s="27" t="n"/>
      <c r="B837" s="506" t="n"/>
      <c r="C837" s="141" t="n"/>
      <c r="D837" s="141" t="n"/>
      <c r="E837" s="141" t="n"/>
      <c r="F837" s="141" t="n"/>
      <c r="G837" s="143" t="n"/>
      <c r="H837" s="27" t="n"/>
    </row>
    <row r="838" ht="17.25" customHeight="1" s="322">
      <c r="A838" s="27" t="n"/>
      <c r="B838" s="506" t="n"/>
      <c r="C838" s="141" t="n"/>
      <c r="D838" s="141" t="n"/>
      <c r="E838" s="141" t="n"/>
      <c r="F838" s="141" t="n"/>
      <c r="G838" s="143" t="n"/>
      <c r="H838" s="27" t="n"/>
    </row>
    <row r="839" ht="17.25" customHeight="1" s="322">
      <c r="A839" s="27" t="n"/>
      <c r="B839" s="506" t="n"/>
      <c r="C839" s="141" t="n"/>
      <c r="D839" s="141" t="n"/>
      <c r="E839" s="141" t="n"/>
      <c r="F839" s="141" t="n"/>
      <c r="G839" s="143" t="n"/>
      <c r="H839" s="27" t="n"/>
    </row>
    <row r="840" ht="17.25" customHeight="1" s="322">
      <c r="A840" s="27" t="n"/>
      <c r="B840" s="506" t="n"/>
      <c r="C840" s="141" t="n"/>
      <c r="D840" s="141" t="n"/>
      <c r="E840" s="141" t="n"/>
      <c r="F840" s="141" t="n"/>
      <c r="G840" s="143" t="n"/>
      <c r="H840" s="27" t="n"/>
    </row>
    <row r="841" ht="17.25" customHeight="1" s="322">
      <c r="A841" s="27" t="n"/>
      <c r="B841" s="506" t="n"/>
      <c r="C841" s="141" t="n"/>
      <c r="D841" s="141" t="n"/>
      <c r="E841" s="141" t="n"/>
      <c r="F841" s="141" t="n"/>
      <c r="G841" s="143" t="n"/>
      <c r="H841" s="27" t="n"/>
    </row>
    <row r="842" ht="17.25" customHeight="1" s="322">
      <c r="A842" s="27" t="n"/>
      <c r="B842" s="506" t="n"/>
      <c r="C842" s="141" t="n"/>
      <c r="D842" s="141" t="n"/>
      <c r="E842" s="141" t="n"/>
      <c r="F842" s="141" t="n"/>
      <c r="G842" s="143" t="n"/>
      <c r="H842" s="27" t="n"/>
    </row>
    <row r="843" ht="17.25" customHeight="1" s="322">
      <c r="A843" s="27" t="n"/>
      <c r="B843" s="506" t="n"/>
      <c r="C843" s="141" t="n"/>
      <c r="D843" s="141" t="n"/>
      <c r="E843" s="141" t="n"/>
      <c r="F843" s="141" t="n"/>
      <c r="G843" s="143" t="n"/>
      <c r="H843" s="27" t="n"/>
    </row>
    <row r="844" ht="17.25" customHeight="1" s="322">
      <c r="A844" s="27" t="n"/>
      <c r="B844" s="506" t="n"/>
      <c r="C844" s="141" t="n"/>
      <c r="D844" s="141" t="n"/>
      <c r="E844" s="141" t="n"/>
      <c r="F844" s="141" t="n"/>
      <c r="G844" s="143" t="n"/>
      <c r="H844" s="27" t="n"/>
    </row>
    <row r="845" ht="17.25" customHeight="1" s="322">
      <c r="A845" s="27" t="n"/>
      <c r="B845" s="506" t="n"/>
      <c r="C845" s="141" t="n"/>
      <c r="D845" s="141" t="n"/>
      <c r="E845" s="141" t="n"/>
      <c r="F845" s="141" t="n"/>
      <c r="G845" s="143" t="n"/>
      <c r="H845" s="27" t="n"/>
    </row>
    <row r="846" ht="17.25" customHeight="1" s="322">
      <c r="A846" s="27" t="n"/>
      <c r="B846" s="506" t="n"/>
      <c r="C846" s="141" t="n"/>
      <c r="D846" s="141" t="n"/>
      <c r="E846" s="141" t="n"/>
      <c r="F846" s="141" t="n"/>
      <c r="G846" s="143" t="n"/>
      <c r="H846" s="27" t="n"/>
    </row>
    <row r="847" ht="17.25" customHeight="1" s="322">
      <c r="A847" s="27" t="n"/>
      <c r="B847" s="506" t="n"/>
      <c r="C847" s="141" t="n"/>
      <c r="D847" s="141" t="n"/>
      <c r="E847" s="141" t="n"/>
      <c r="F847" s="141" t="n"/>
      <c r="G847" s="143" t="n"/>
      <c r="H847" s="27" t="n"/>
    </row>
    <row r="848" ht="17.25" customHeight="1" s="322">
      <c r="A848" s="27" t="n"/>
      <c r="B848" s="506" t="n"/>
      <c r="C848" s="141" t="n"/>
      <c r="D848" s="141" t="n"/>
      <c r="E848" s="141" t="n"/>
      <c r="F848" s="141" t="n"/>
      <c r="G848" s="143" t="n"/>
      <c r="H848" s="27" t="n"/>
    </row>
    <row r="849" ht="17.25" customHeight="1" s="322">
      <c r="A849" s="27" t="n"/>
      <c r="B849" s="506" t="n"/>
      <c r="C849" s="141" t="n"/>
      <c r="D849" s="141" t="n"/>
      <c r="E849" s="141" t="n"/>
      <c r="F849" s="141" t="n"/>
      <c r="G849" s="143" t="n"/>
      <c r="H849" s="27" t="n"/>
    </row>
    <row r="850" ht="17.25" customHeight="1" s="322">
      <c r="A850" s="27" t="n"/>
      <c r="B850" s="506" t="n"/>
      <c r="C850" s="141" t="n"/>
      <c r="D850" s="141" t="n"/>
      <c r="E850" s="141" t="n"/>
      <c r="F850" s="141" t="n"/>
      <c r="G850" s="143" t="n"/>
      <c r="H850" s="27" t="n"/>
    </row>
    <row r="851" ht="17.25" customHeight="1" s="322">
      <c r="A851" s="27" t="n"/>
      <c r="B851" s="506" t="n"/>
      <c r="C851" s="141" t="n"/>
      <c r="D851" s="141" t="n"/>
      <c r="E851" s="141" t="n"/>
      <c r="F851" s="141" t="n"/>
      <c r="G851" s="143" t="n"/>
      <c r="H851" s="27" t="n"/>
    </row>
    <row r="852" ht="17.25" customHeight="1" s="322">
      <c r="A852" s="27" t="n"/>
      <c r="B852" s="506" t="n"/>
      <c r="C852" s="141" t="n"/>
      <c r="D852" s="141" t="n"/>
      <c r="E852" s="141" t="n"/>
      <c r="F852" s="141" t="n"/>
      <c r="G852" s="143" t="n"/>
      <c r="H852" s="27" t="n"/>
    </row>
    <row r="853" ht="17.25" customHeight="1" s="322">
      <c r="A853" s="27" t="n"/>
      <c r="B853" s="506" t="n"/>
      <c r="C853" s="141" t="n"/>
      <c r="D853" s="141" t="n"/>
      <c r="E853" s="141" t="n"/>
      <c r="F853" s="141" t="n"/>
      <c r="G853" s="143" t="n"/>
      <c r="H853" s="27" t="n"/>
    </row>
    <row r="854" ht="17.25" customHeight="1" s="322">
      <c r="A854" s="27" t="n"/>
      <c r="B854" s="506" t="n"/>
      <c r="C854" s="141" t="n"/>
      <c r="D854" s="141" t="n"/>
      <c r="E854" s="141" t="n"/>
      <c r="F854" s="141" t="n"/>
      <c r="G854" s="143" t="n"/>
      <c r="H854" s="27" t="n"/>
    </row>
    <row r="855" ht="17.25" customHeight="1" s="322">
      <c r="A855" s="27" t="n"/>
      <c r="B855" s="506" t="n"/>
      <c r="C855" s="141" t="n"/>
      <c r="D855" s="141" t="n"/>
      <c r="E855" s="141" t="n"/>
      <c r="F855" s="141" t="n"/>
      <c r="G855" s="143" t="n"/>
      <c r="H855" s="27" t="n"/>
    </row>
    <row r="856" ht="17.25" customHeight="1" s="322">
      <c r="A856" s="27" t="n"/>
      <c r="B856" s="506" t="n"/>
      <c r="C856" s="141" t="n"/>
      <c r="D856" s="141" t="n"/>
      <c r="E856" s="141" t="n"/>
      <c r="F856" s="141" t="n"/>
      <c r="G856" s="143" t="n"/>
      <c r="H856" s="27" t="n"/>
    </row>
    <row r="857" ht="17.25" customHeight="1" s="322">
      <c r="A857" s="27" t="n"/>
      <c r="B857" s="506" t="n"/>
      <c r="C857" s="141" t="n"/>
      <c r="D857" s="141" t="n"/>
      <c r="E857" s="141" t="n"/>
      <c r="F857" s="141" t="n"/>
      <c r="G857" s="143" t="n"/>
      <c r="H857" s="27" t="n"/>
    </row>
    <row r="858" ht="17.25" customHeight="1" s="322">
      <c r="A858" s="27" t="n"/>
      <c r="B858" s="506" t="n"/>
      <c r="C858" s="141" t="n"/>
      <c r="D858" s="141" t="n"/>
      <c r="E858" s="141" t="n"/>
      <c r="F858" s="141" t="n"/>
      <c r="G858" s="143" t="n"/>
      <c r="H858" s="27" t="n"/>
    </row>
    <row r="859" ht="17.25" customHeight="1" s="322">
      <c r="A859" s="27" t="n"/>
      <c r="B859" s="506" t="n"/>
      <c r="C859" s="141" t="n"/>
      <c r="D859" s="141" t="n"/>
      <c r="E859" s="141" t="n"/>
      <c r="F859" s="141" t="n"/>
      <c r="G859" s="143" t="n"/>
      <c r="H859" s="27" t="n"/>
    </row>
    <row r="860" ht="17.25" customHeight="1" s="322">
      <c r="A860" s="27" t="n"/>
      <c r="B860" s="506" t="n"/>
      <c r="C860" s="141" t="n"/>
      <c r="D860" s="141" t="n"/>
      <c r="E860" s="141" t="n"/>
      <c r="F860" s="141" t="n"/>
      <c r="G860" s="143" t="n"/>
      <c r="H860" s="27" t="n"/>
    </row>
    <row r="861" ht="17.25" customHeight="1" s="322">
      <c r="A861" s="27" t="n"/>
      <c r="B861" s="506" t="n"/>
      <c r="C861" s="141" t="n"/>
      <c r="D861" s="141" t="n"/>
      <c r="E861" s="141" t="n"/>
      <c r="F861" s="141" t="n"/>
      <c r="G861" s="143" t="n"/>
      <c r="H861" s="27" t="n"/>
    </row>
    <row r="862" ht="17.25" customHeight="1" s="322">
      <c r="A862" s="27" t="n"/>
      <c r="B862" s="506" t="n"/>
      <c r="C862" s="141" t="n"/>
      <c r="D862" s="141" t="n"/>
      <c r="E862" s="141" t="n"/>
      <c r="F862" s="141" t="n"/>
      <c r="G862" s="143" t="n"/>
      <c r="H862" s="27" t="n"/>
    </row>
    <row r="863" ht="17.25" customHeight="1" s="322">
      <c r="A863" s="27" t="n"/>
      <c r="B863" s="506" t="n"/>
      <c r="C863" s="141" t="n"/>
      <c r="D863" s="141" t="n"/>
      <c r="E863" s="141" t="n"/>
      <c r="F863" s="141" t="n"/>
      <c r="G863" s="143" t="n"/>
      <c r="H863" s="27" t="n"/>
    </row>
    <row r="864" ht="17.25" customHeight="1" s="322">
      <c r="A864" s="27" t="n"/>
      <c r="B864" s="506" t="n"/>
      <c r="C864" s="141" t="n"/>
      <c r="D864" s="141" t="n"/>
      <c r="E864" s="141" t="n"/>
      <c r="F864" s="141" t="n"/>
      <c r="G864" s="143" t="n"/>
      <c r="H864" s="27" t="n"/>
    </row>
    <row r="865" ht="17.25" customHeight="1" s="322">
      <c r="A865" s="27" t="n"/>
      <c r="B865" s="506" t="n"/>
      <c r="C865" s="141" t="n"/>
      <c r="D865" s="141" t="n"/>
      <c r="E865" s="141" t="n"/>
      <c r="F865" s="141" t="n"/>
      <c r="G865" s="143" t="n"/>
      <c r="H865" s="27" t="n"/>
    </row>
    <row r="866" ht="17.25" customHeight="1" s="322">
      <c r="A866" s="27" t="n"/>
      <c r="B866" s="506" t="n"/>
      <c r="C866" s="141" t="n"/>
      <c r="D866" s="141" t="n"/>
      <c r="E866" s="141" t="n"/>
      <c r="F866" s="141" t="n"/>
      <c r="G866" s="143" t="n"/>
      <c r="H866" s="27" t="n"/>
    </row>
    <row r="867" ht="17.25" customHeight="1" s="322">
      <c r="A867" s="27" t="n"/>
      <c r="B867" s="506" t="n"/>
      <c r="C867" s="141" t="n"/>
      <c r="D867" s="141" t="n"/>
      <c r="E867" s="141" t="n"/>
      <c r="F867" s="141" t="n"/>
      <c r="G867" s="143" t="n"/>
      <c r="H867" s="27" t="n"/>
    </row>
    <row r="868" ht="17.25" customHeight="1" s="322">
      <c r="A868" s="27" t="n"/>
      <c r="B868" s="506" t="n"/>
      <c r="C868" s="141" t="n"/>
      <c r="D868" s="141" t="n"/>
      <c r="E868" s="141" t="n"/>
      <c r="F868" s="141" t="n"/>
      <c r="G868" s="143" t="n"/>
      <c r="H868" s="27" t="n"/>
    </row>
    <row r="869" ht="17.25" customHeight="1" s="322">
      <c r="A869" s="27" t="n"/>
      <c r="B869" s="506" t="n"/>
      <c r="C869" s="141" t="n"/>
      <c r="D869" s="141" t="n"/>
      <c r="E869" s="141" t="n"/>
      <c r="F869" s="141" t="n"/>
      <c r="G869" s="143" t="n"/>
      <c r="H869" s="27" t="n"/>
    </row>
    <row r="870" ht="17.25" customHeight="1" s="322">
      <c r="A870" s="27" t="n"/>
      <c r="B870" s="506" t="n"/>
      <c r="C870" s="141" t="n"/>
      <c r="D870" s="141" t="n"/>
      <c r="E870" s="141" t="n"/>
      <c r="F870" s="141" t="n"/>
      <c r="G870" s="143" t="n"/>
      <c r="H870" s="27" t="n"/>
    </row>
    <row r="871" ht="17.25" customHeight="1" s="322">
      <c r="A871" s="27" t="n"/>
      <c r="B871" s="506" t="n"/>
      <c r="C871" s="141" t="n"/>
      <c r="D871" s="141" t="n"/>
      <c r="E871" s="141" t="n"/>
      <c r="F871" s="141" t="n"/>
      <c r="G871" s="143" t="n"/>
      <c r="H871" s="27" t="n"/>
    </row>
    <row r="872" ht="17.25" customHeight="1" s="322">
      <c r="A872" s="27" t="n"/>
      <c r="B872" s="506" t="n"/>
      <c r="C872" s="141" t="n"/>
      <c r="D872" s="141" t="n"/>
      <c r="E872" s="141" t="n"/>
      <c r="F872" s="141" t="n"/>
      <c r="G872" s="143" t="n"/>
      <c r="H872" s="27" t="n"/>
    </row>
    <row r="873" ht="17.25" customHeight="1" s="322">
      <c r="A873" s="27" t="n"/>
      <c r="B873" s="506" t="n"/>
      <c r="C873" s="141" t="n"/>
      <c r="D873" s="141" t="n"/>
      <c r="E873" s="141" t="n"/>
      <c r="F873" s="141" t="n"/>
      <c r="G873" s="143" t="n"/>
      <c r="H873" s="27" t="n"/>
    </row>
    <row r="874" ht="17.25" customHeight="1" s="322">
      <c r="A874" s="27" t="n"/>
      <c r="B874" s="506" t="n"/>
      <c r="C874" s="141" t="n"/>
      <c r="D874" s="141" t="n"/>
      <c r="E874" s="141" t="n"/>
      <c r="F874" s="141" t="n"/>
      <c r="G874" s="143" t="n"/>
      <c r="H874" s="27" t="n"/>
    </row>
    <row r="875" ht="17.25" customHeight="1" s="322">
      <c r="A875" s="27" t="n"/>
      <c r="B875" s="506" t="n"/>
      <c r="C875" s="141" t="n"/>
      <c r="D875" s="141" t="n"/>
      <c r="E875" s="141" t="n"/>
      <c r="F875" s="141" t="n"/>
      <c r="G875" s="143" t="n"/>
      <c r="H875" s="27" t="n"/>
    </row>
    <row r="876" ht="17.25" customHeight="1" s="322">
      <c r="A876" s="27" t="n"/>
      <c r="B876" s="506" t="n"/>
      <c r="C876" s="141" t="n"/>
      <c r="D876" s="141" t="n"/>
      <c r="E876" s="141" t="n"/>
      <c r="F876" s="141" t="n"/>
      <c r="G876" s="143" t="n"/>
      <c r="H876" s="27" t="n"/>
    </row>
    <row r="877" ht="17.25" customHeight="1" s="322">
      <c r="A877" s="27" t="n"/>
      <c r="B877" s="506" t="n"/>
      <c r="C877" s="141" t="n"/>
      <c r="D877" s="141" t="n"/>
      <c r="E877" s="141" t="n"/>
      <c r="F877" s="141" t="n"/>
      <c r="G877" s="143" t="n"/>
      <c r="H877" s="27" t="n"/>
    </row>
    <row r="878" ht="17.25" customHeight="1" s="322">
      <c r="A878" s="27" t="n"/>
      <c r="B878" s="506" t="n"/>
      <c r="C878" s="141" t="n"/>
      <c r="D878" s="141" t="n"/>
      <c r="E878" s="141" t="n"/>
      <c r="F878" s="141" t="n"/>
      <c r="G878" s="143" t="n"/>
      <c r="H878" s="27" t="n"/>
    </row>
    <row r="879" ht="17.25" customHeight="1" s="322">
      <c r="A879" s="27" t="n"/>
      <c r="B879" s="506" t="n"/>
      <c r="C879" s="141" t="n"/>
      <c r="D879" s="141" t="n"/>
      <c r="E879" s="141" t="n"/>
      <c r="F879" s="141" t="n"/>
      <c r="G879" s="143" t="n"/>
      <c r="H879" s="27" t="n"/>
    </row>
    <row r="880" ht="17.25" customHeight="1" s="322">
      <c r="A880" s="27" t="n"/>
      <c r="B880" s="506" t="n"/>
      <c r="C880" s="141" t="n"/>
      <c r="D880" s="141" t="n"/>
      <c r="E880" s="141" t="n"/>
      <c r="F880" s="141" t="n"/>
      <c r="G880" s="143" t="n"/>
      <c r="H880" s="27" t="n"/>
    </row>
    <row r="881" ht="17.25" customHeight="1" s="322">
      <c r="A881" s="27" t="n"/>
      <c r="B881" s="506" t="n"/>
      <c r="C881" s="141" t="n"/>
      <c r="D881" s="141" t="n"/>
      <c r="E881" s="141" t="n"/>
      <c r="F881" s="141" t="n"/>
      <c r="G881" s="143" t="n"/>
      <c r="H881" s="27" t="n"/>
    </row>
    <row r="882" ht="17.25" customHeight="1" s="322">
      <c r="A882" s="27" t="n"/>
      <c r="B882" s="506" t="n"/>
      <c r="C882" s="141" t="n"/>
      <c r="D882" s="141" t="n"/>
      <c r="E882" s="141" t="n"/>
      <c r="F882" s="141" t="n"/>
      <c r="G882" s="143" t="n"/>
      <c r="H882" s="27" t="n"/>
    </row>
    <row r="883" ht="17.25" customHeight="1" s="322">
      <c r="A883" s="27" t="n"/>
      <c r="B883" s="506" t="n"/>
      <c r="C883" s="141" t="n"/>
      <c r="D883" s="141" t="n"/>
      <c r="E883" s="141" t="n"/>
      <c r="F883" s="141" t="n"/>
      <c r="G883" s="143" t="n"/>
      <c r="H883" s="27" t="n"/>
    </row>
    <row r="884" ht="17.25" customHeight="1" s="322">
      <c r="A884" s="27" t="n"/>
      <c r="B884" s="506" t="n"/>
      <c r="C884" s="141" t="n"/>
      <c r="D884" s="141" t="n"/>
      <c r="E884" s="141" t="n"/>
      <c r="F884" s="141" t="n"/>
      <c r="G884" s="143" t="n"/>
      <c r="H884" s="27" t="n"/>
    </row>
    <row r="885" ht="17.25" customHeight="1" s="322">
      <c r="A885" s="27" t="n"/>
      <c r="B885" s="506" t="n"/>
      <c r="C885" s="141" t="n"/>
      <c r="D885" s="141" t="n"/>
      <c r="E885" s="141" t="n"/>
      <c r="F885" s="141" t="n"/>
      <c r="G885" s="143" t="n"/>
      <c r="H885" s="27" t="n"/>
    </row>
    <row r="886" ht="17.25" customHeight="1" s="322">
      <c r="A886" s="27" t="n"/>
      <c r="B886" s="506" t="n"/>
      <c r="C886" s="141" t="n"/>
      <c r="D886" s="141" t="n"/>
      <c r="E886" s="141" t="n"/>
      <c r="F886" s="141" t="n"/>
      <c r="G886" s="143" t="n"/>
      <c r="H886" s="27" t="n"/>
    </row>
    <row r="887" ht="17.25" customHeight="1" s="322">
      <c r="A887" s="27" t="n"/>
      <c r="B887" s="506" t="n"/>
      <c r="C887" s="141" t="n"/>
      <c r="D887" s="141" t="n"/>
      <c r="E887" s="141" t="n"/>
      <c r="F887" s="141" t="n"/>
      <c r="G887" s="143" t="n"/>
      <c r="H887" s="27" t="n"/>
    </row>
    <row r="888" ht="17.25" customHeight="1" s="322">
      <c r="A888" s="27" t="n"/>
      <c r="B888" s="506" t="n"/>
      <c r="C888" s="141" t="n"/>
      <c r="D888" s="141" t="n"/>
      <c r="E888" s="141" t="n"/>
      <c r="F888" s="141" t="n"/>
      <c r="G888" s="143" t="n"/>
      <c r="H888" s="27" t="n"/>
    </row>
    <row r="889" ht="17.25" customHeight="1" s="322">
      <c r="A889" s="27" t="n"/>
      <c r="B889" s="506" t="n"/>
      <c r="C889" s="141" t="n"/>
      <c r="D889" s="141" t="n"/>
      <c r="E889" s="141" t="n"/>
      <c r="F889" s="141" t="n"/>
      <c r="G889" s="143" t="n"/>
      <c r="H889" s="27" t="n"/>
    </row>
    <row r="890" ht="17.25" customHeight="1" s="322">
      <c r="A890" s="27" t="n"/>
      <c r="B890" s="506" t="n"/>
      <c r="C890" s="141" t="n"/>
      <c r="D890" s="141" t="n"/>
      <c r="E890" s="141" t="n"/>
      <c r="F890" s="141" t="n"/>
      <c r="G890" s="143" t="n"/>
      <c r="H890" s="27" t="n"/>
    </row>
    <row r="891" ht="17.25" customHeight="1" s="322">
      <c r="A891" s="27" t="n"/>
      <c r="B891" s="506" t="n"/>
      <c r="C891" s="141" t="n"/>
      <c r="D891" s="141" t="n"/>
      <c r="E891" s="141" t="n"/>
      <c r="F891" s="141" t="n"/>
      <c r="G891" s="143" t="n"/>
      <c r="H891" s="27" t="n"/>
    </row>
    <row r="892" ht="17.25" customHeight="1" s="322">
      <c r="A892" s="27" t="n"/>
      <c r="B892" s="506" t="n"/>
      <c r="C892" s="141" t="n"/>
      <c r="D892" s="141" t="n"/>
      <c r="E892" s="141" t="n"/>
      <c r="F892" s="141" t="n"/>
      <c r="G892" s="143" t="n"/>
      <c r="H892" s="27" t="n"/>
    </row>
    <row r="893" ht="17.25" customHeight="1" s="322">
      <c r="A893" s="27" t="n"/>
      <c r="B893" s="506" t="n"/>
      <c r="C893" s="141" t="n"/>
      <c r="D893" s="141" t="n"/>
      <c r="E893" s="141" t="n"/>
      <c r="F893" s="141" t="n"/>
      <c r="G893" s="143" t="n"/>
      <c r="H893" s="27" t="n"/>
    </row>
    <row r="894" ht="17.25" customHeight="1" s="322">
      <c r="A894" s="27" t="n"/>
      <c r="B894" s="506" t="n"/>
      <c r="C894" s="141" t="n"/>
      <c r="D894" s="141" t="n"/>
      <c r="E894" s="141" t="n"/>
      <c r="F894" s="141" t="n"/>
      <c r="G894" s="143" t="n"/>
      <c r="H894" s="27" t="n"/>
    </row>
    <row r="895" ht="17.25" customHeight="1" s="322">
      <c r="A895" s="27" t="n"/>
      <c r="B895" s="506" t="n"/>
      <c r="C895" s="141" t="n"/>
      <c r="D895" s="141" t="n"/>
      <c r="E895" s="141" t="n"/>
      <c r="F895" s="141" t="n"/>
      <c r="G895" s="143" t="n"/>
      <c r="H895" s="27" t="n"/>
    </row>
    <row r="896" ht="17.25" customHeight="1" s="322">
      <c r="A896" s="27" t="n"/>
      <c r="B896" s="506" t="n"/>
      <c r="C896" s="141" t="n"/>
      <c r="D896" s="141" t="n"/>
      <c r="E896" s="141" t="n"/>
      <c r="F896" s="141" t="n"/>
      <c r="G896" s="143" t="n"/>
      <c r="H896" s="27" t="n"/>
    </row>
    <row r="897" ht="17.25" customHeight="1" s="322">
      <c r="A897" s="27" t="n"/>
      <c r="B897" s="506" t="n"/>
      <c r="C897" s="141" t="n"/>
      <c r="D897" s="141" t="n"/>
      <c r="E897" s="141" t="n"/>
      <c r="F897" s="141" t="n"/>
      <c r="G897" s="143" t="n"/>
      <c r="H897" s="27" t="n"/>
    </row>
    <row r="898" ht="17.25" customHeight="1" s="322">
      <c r="A898" s="27" t="n"/>
      <c r="B898" s="506" t="n"/>
      <c r="C898" s="141" t="n"/>
      <c r="D898" s="141" t="n"/>
      <c r="E898" s="141" t="n"/>
      <c r="F898" s="141" t="n"/>
      <c r="G898" s="143" t="n"/>
      <c r="H898" s="27" t="n"/>
    </row>
    <row r="899" ht="17.25" customHeight="1" s="322">
      <c r="A899" s="27" t="n"/>
      <c r="B899" s="506" t="n"/>
      <c r="C899" s="141" t="n"/>
      <c r="D899" s="141" t="n"/>
      <c r="E899" s="141" t="n"/>
      <c r="F899" s="141" t="n"/>
      <c r="G899" s="143" t="n"/>
      <c r="H899" s="27" t="n"/>
    </row>
    <row r="900" ht="17.25" customHeight="1" s="322">
      <c r="A900" s="27" t="n"/>
      <c r="B900" s="506" t="n"/>
      <c r="C900" s="141" t="n"/>
      <c r="D900" s="141" t="n"/>
      <c r="E900" s="141" t="n"/>
      <c r="F900" s="141" t="n"/>
      <c r="G900" s="143" t="n"/>
      <c r="H900" s="27" t="n"/>
    </row>
    <row r="901" ht="17.25" customHeight="1" s="322">
      <c r="A901" s="27" t="n"/>
      <c r="B901" s="506" t="n"/>
      <c r="C901" s="141" t="n"/>
      <c r="D901" s="141" t="n"/>
      <c r="E901" s="141" t="n"/>
      <c r="F901" s="141" t="n"/>
      <c r="G901" s="143" t="n"/>
      <c r="H901" s="27" t="n"/>
    </row>
    <row r="902" ht="17.25" customHeight="1" s="322">
      <c r="A902" s="27" t="n"/>
      <c r="B902" s="506" t="n"/>
      <c r="C902" s="141" t="n"/>
      <c r="D902" s="141" t="n"/>
      <c r="E902" s="141" t="n"/>
      <c r="F902" s="141" t="n"/>
      <c r="G902" s="143" t="n"/>
      <c r="H902" s="27" t="n"/>
    </row>
    <row r="903" ht="17.25" customHeight="1" s="322">
      <c r="A903" s="27" t="n"/>
      <c r="B903" s="506" t="n"/>
      <c r="C903" s="141" t="n"/>
      <c r="D903" s="141" t="n"/>
      <c r="E903" s="141" t="n"/>
      <c r="F903" s="141" t="n"/>
      <c r="G903" s="143" t="n"/>
      <c r="H903" s="27" t="n"/>
    </row>
    <row r="904" ht="17.25" customHeight="1" s="322">
      <c r="A904" s="27" t="n"/>
      <c r="B904" s="506" t="n"/>
      <c r="C904" s="141" t="n"/>
      <c r="D904" s="141" t="n"/>
      <c r="E904" s="141" t="n"/>
      <c r="F904" s="141" t="n"/>
      <c r="G904" s="143" t="n"/>
      <c r="H904" s="27" t="n"/>
    </row>
    <row r="905" ht="17.25" customHeight="1" s="322">
      <c r="A905" s="27" t="n"/>
      <c r="B905" s="506" t="n"/>
      <c r="C905" s="141" t="n"/>
      <c r="D905" s="141" t="n"/>
      <c r="E905" s="141" t="n"/>
      <c r="F905" s="141" t="n"/>
      <c r="G905" s="143" t="n"/>
      <c r="H905" s="27" t="n"/>
    </row>
    <row r="906" ht="17.25" customHeight="1" s="322">
      <c r="A906" s="27" t="n"/>
      <c r="B906" s="506" t="n"/>
      <c r="C906" s="141" t="n"/>
      <c r="D906" s="141" t="n"/>
      <c r="E906" s="141" t="n"/>
      <c r="F906" s="141" t="n"/>
      <c r="G906" s="143" t="n"/>
      <c r="H906" s="27" t="n"/>
    </row>
    <row r="907" ht="17.25" customHeight="1" s="322">
      <c r="A907" s="27" t="n"/>
      <c r="B907" s="506" t="n"/>
      <c r="C907" s="141" t="n"/>
      <c r="D907" s="141" t="n"/>
      <c r="E907" s="141" t="n"/>
      <c r="F907" s="141" t="n"/>
      <c r="G907" s="143" t="n"/>
      <c r="H907" s="27" t="n"/>
    </row>
    <row r="908" ht="17.25" customHeight="1" s="322">
      <c r="A908" s="27" t="n"/>
      <c r="B908" s="506" t="n"/>
      <c r="C908" s="141" t="n"/>
      <c r="D908" s="141" t="n"/>
      <c r="E908" s="141" t="n"/>
      <c r="F908" s="141" t="n"/>
      <c r="G908" s="143" t="n"/>
      <c r="H908" s="27" t="n"/>
    </row>
    <row r="909" ht="17.25" customHeight="1" s="322">
      <c r="A909" s="27" t="n"/>
      <c r="B909" s="506" t="n"/>
      <c r="C909" s="141" t="n"/>
      <c r="D909" s="141" t="n"/>
      <c r="E909" s="141" t="n"/>
      <c r="F909" s="141" t="n"/>
      <c r="G909" s="143" t="n"/>
      <c r="H909" s="27" t="n"/>
    </row>
    <row r="910" ht="17.25" customHeight="1" s="322">
      <c r="A910" s="27" t="n"/>
      <c r="B910" s="506" t="n"/>
      <c r="C910" s="141" t="n"/>
      <c r="D910" s="141" t="n"/>
      <c r="E910" s="141" t="n"/>
      <c r="F910" s="141" t="n"/>
      <c r="G910" s="143" t="n"/>
      <c r="H910" s="27" t="n"/>
    </row>
    <row r="911" ht="17.25" customHeight="1" s="322">
      <c r="A911" s="27" t="n"/>
      <c r="B911" s="506" t="n"/>
      <c r="C911" s="141" t="n"/>
      <c r="D911" s="141" t="n"/>
      <c r="E911" s="141" t="n"/>
      <c r="F911" s="141" t="n"/>
      <c r="G911" s="143" t="n"/>
      <c r="H911" s="27" t="n"/>
    </row>
    <row r="912" ht="17.25" customHeight="1" s="322">
      <c r="A912" s="27" t="n"/>
      <c r="B912" s="506" t="n"/>
      <c r="C912" s="141" t="n"/>
      <c r="D912" s="141" t="n"/>
      <c r="E912" s="141" t="n"/>
      <c r="F912" s="141" t="n"/>
      <c r="G912" s="143" t="n"/>
      <c r="H912" s="27" t="n"/>
    </row>
    <row r="913" ht="17.25" customHeight="1" s="322">
      <c r="A913" s="27" t="n"/>
      <c r="B913" s="506" t="n"/>
      <c r="C913" s="141" t="n"/>
      <c r="D913" s="141" t="n"/>
      <c r="E913" s="141" t="n"/>
      <c r="F913" s="141" t="n"/>
      <c r="G913" s="143" t="n"/>
      <c r="H913" s="27" t="n"/>
    </row>
    <row r="914" ht="17.25" customHeight="1" s="322">
      <c r="A914" s="27" t="n"/>
      <c r="B914" s="506" t="n"/>
      <c r="C914" s="141" t="n"/>
      <c r="D914" s="141" t="n"/>
      <c r="E914" s="141" t="n"/>
      <c r="F914" s="141" t="n"/>
      <c r="G914" s="143" t="n"/>
      <c r="H914" s="27" t="n"/>
    </row>
    <row r="915" ht="17.25" customHeight="1" s="322">
      <c r="A915" s="27" t="n"/>
      <c r="B915" s="506" t="n"/>
      <c r="C915" s="141" t="n"/>
      <c r="D915" s="141" t="n"/>
      <c r="E915" s="141" t="n"/>
      <c r="F915" s="141" t="n"/>
      <c r="G915" s="143" t="n"/>
      <c r="H915" s="27" t="n"/>
    </row>
    <row r="916" ht="17.25" customHeight="1" s="322">
      <c r="A916" s="27" t="n"/>
      <c r="B916" s="506" t="n"/>
      <c r="C916" s="141" t="n"/>
      <c r="D916" s="141" t="n"/>
      <c r="E916" s="141" t="n"/>
      <c r="F916" s="141" t="n"/>
      <c r="G916" s="143" t="n"/>
      <c r="H916" s="27" t="n"/>
    </row>
    <row r="917" ht="17.25" customHeight="1" s="322">
      <c r="A917" s="27" t="n"/>
      <c r="B917" s="506" t="n"/>
      <c r="C917" s="141" t="n"/>
      <c r="D917" s="141" t="n"/>
      <c r="E917" s="141" t="n"/>
      <c r="F917" s="141" t="n"/>
      <c r="G917" s="143" t="n"/>
      <c r="H917" s="27" t="n"/>
    </row>
    <row r="918" ht="17.25" customHeight="1" s="322">
      <c r="A918" s="27" t="n"/>
      <c r="B918" s="506" t="n"/>
      <c r="C918" s="141" t="n"/>
      <c r="D918" s="141" t="n"/>
      <c r="E918" s="141" t="n"/>
      <c r="F918" s="141" t="n"/>
      <c r="G918" s="143" t="n"/>
      <c r="H918" s="27" t="n"/>
    </row>
    <row r="919" ht="17.25" customHeight="1" s="322">
      <c r="A919" s="27" t="n"/>
      <c r="B919" s="506" t="n"/>
      <c r="C919" s="141" t="n"/>
      <c r="D919" s="141" t="n"/>
      <c r="E919" s="141" t="n"/>
      <c r="F919" s="141" t="n"/>
      <c r="G919" s="143" t="n"/>
      <c r="H919" s="27" t="n"/>
    </row>
    <row r="920" ht="17.25" customHeight="1" s="322">
      <c r="A920" s="27" t="n"/>
      <c r="B920" s="506" t="n"/>
      <c r="C920" s="141" t="n"/>
      <c r="D920" s="141" t="n"/>
      <c r="E920" s="141" t="n"/>
      <c r="F920" s="141" t="n"/>
      <c r="G920" s="143" t="n"/>
      <c r="H920" s="27" t="n"/>
    </row>
    <row r="921" ht="17.25" customHeight="1" s="322">
      <c r="A921" s="27" t="n"/>
      <c r="B921" s="506" t="n"/>
      <c r="C921" s="141" t="n"/>
      <c r="D921" s="141" t="n"/>
      <c r="E921" s="141" t="n"/>
      <c r="F921" s="141" t="n"/>
      <c r="G921" s="143" t="n"/>
      <c r="H921" s="27" t="n"/>
    </row>
    <row r="922" ht="17.25" customHeight="1" s="322">
      <c r="A922" s="27" t="n"/>
      <c r="B922" s="506" t="n"/>
      <c r="C922" s="141" t="n"/>
      <c r="D922" s="141" t="n"/>
      <c r="E922" s="141" t="n"/>
      <c r="F922" s="141" t="n"/>
      <c r="G922" s="143" t="n"/>
      <c r="H922" s="27" t="n"/>
    </row>
    <row r="923" ht="17.25" customHeight="1" s="322">
      <c r="A923" s="27" t="n"/>
      <c r="B923" s="506" t="n"/>
      <c r="C923" s="141" t="n"/>
      <c r="D923" s="141" t="n"/>
      <c r="E923" s="141" t="n"/>
      <c r="F923" s="141" t="n"/>
      <c r="G923" s="143" t="n"/>
      <c r="H923" s="27" t="n"/>
    </row>
    <row r="924" ht="17.25" customHeight="1" s="322">
      <c r="A924" s="27" t="n"/>
      <c r="B924" s="506" t="n"/>
      <c r="C924" s="141" t="n"/>
      <c r="D924" s="141" t="n"/>
      <c r="E924" s="141" t="n"/>
      <c r="F924" s="141" t="n"/>
      <c r="G924" s="143" t="n"/>
      <c r="H924" s="27" t="n"/>
    </row>
    <row r="925" ht="17.25" customHeight="1" s="322">
      <c r="A925" s="27" t="n"/>
      <c r="B925" s="506" t="n"/>
      <c r="C925" s="141" t="n"/>
      <c r="D925" s="141" t="n"/>
      <c r="E925" s="141" t="n"/>
      <c r="F925" s="141" t="n"/>
      <c r="G925" s="143" t="n"/>
      <c r="H925" s="27" t="n"/>
    </row>
    <row r="926" ht="17.25" customHeight="1" s="322">
      <c r="A926" s="27" t="n"/>
      <c r="B926" s="506" t="n"/>
      <c r="C926" s="141" t="n"/>
      <c r="D926" s="141" t="n"/>
      <c r="E926" s="141" t="n"/>
      <c r="F926" s="141" t="n"/>
      <c r="G926" s="143" t="n"/>
      <c r="H926" s="27" t="n"/>
    </row>
    <row r="927" ht="17.25" customHeight="1" s="322">
      <c r="A927" s="27" t="n"/>
      <c r="B927" s="506" t="n"/>
      <c r="C927" s="141" t="n"/>
      <c r="D927" s="141" t="n"/>
      <c r="E927" s="141" t="n"/>
      <c r="F927" s="141" t="n"/>
      <c r="G927" s="143" t="n"/>
      <c r="H927" s="27" t="n"/>
    </row>
    <row r="928" ht="17.25" customHeight="1" s="322">
      <c r="A928" s="27" t="n"/>
      <c r="B928" s="506" t="n"/>
      <c r="C928" s="141" t="n"/>
      <c r="D928" s="141" t="n"/>
      <c r="E928" s="141" t="n"/>
      <c r="F928" s="141" t="n"/>
      <c r="G928" s="143" t="n"/>
      <c r="H928" s="27" t="n"/>
    </row>
    <row r="929" ht="17.25" customHeight="1" s="322">
      <c r="A929" s="27" t="n"/>
      <c r="B929" s="506" t="n"/>
      <c r="C929" s="141" t="n"/>
      <c r="D929" s="141" t="n"/>
      <c r="E929" s="141" t="n"/>
      <c r="F929" s="141" t="n"/>
      <c r="G929" s="143" t="n"/>
      <c r="H929" s="27" t="n"/>
    </row>
    <row r="930" ht="17.25" customHeight="1" s="322">
      <c r="A930" s="27" t="n"/>
      <c r="B930" s="506" t="n"/>
      <c r="C930" s="141" t="n"/>
      <c r="D930" s="141" t="n"/>
      <c r="E930" s="141" t="n"/>
      <c r="F930" s="141" t="n"/>
      <c r="G930" s="143" t="n"/>
      <c r="H930" s="27" t="n"/>
    </row>
    <row r="931" ht="17.25" customHeight="1" s="322">
      <c r="A931" s="27" t="n"/>
      <c r="B931" s="506" t="n"/>
      <c r="C931" s="141" t="n"/>
      <c r="D931" s="141" t="n"/>
      <c r="E931" s="141" t="n"/>
      <c r="F931" s="141" t="n"/>
      <c r="G931" s="143" t="n"/>
      <c r="H931" s="27" t="n"/>
    </row>
    <row r="932" ht="17.25" customHeight="1" s="322">
      <c r="A932" s="27" t="n"/>
      <c r="B932" s="506" t="n"/>
      <c r="C932" s="141" t="n"/>
      <c r="D932" s="141" t="n"/>
      <c r="E932" s="141" t="n"/>
      <c r="F932" s="141" t="n"/>
      <c r="G932" s="143" t="n"/>
      <c r="H932" s="27" t="n"/>
    </row>
    <row r="933" ht="17.25" customHeight="1" s="322">
      <c r="A933" s="27" t="n"/>
      <c r="B933" s="506" t="n"/>
      <c r="C933" s="141" t="n"/>
      <c r="D933" s="141" t="n"/>
      <c r="E933" s="141" t="n"/>
      <c r="F933" s="141" t="n"/>
      <c r="G933" s="143" t="n"/>
      <c r="H933" s="27" t="n"/>
    </row>
    <row r="934" ht="17.25" customHeight="1" s="322">
      <c r="A934" s="27" t="n"/>
      <c r="B934" s="506" t="n"/>
      <c r="C934" s="141" t="n"/>
      <c r="D934" s="141" t="n"/>
      <c r="E934" s="141" t="n"/>
      <c r="F934" s="141" t="n"/>
      <c r="G934" s="143" t="n"/>
      <c r="H934" s="27" t="n"/>
    </row>
    <row r="935" ht="17.25" customHeight="1" s="322">
      <c r="A935" s="27" t="n"/>
      <c r="B935" s="506" t="n"/>
      <c r="C935" s="141" t="n"/>
      <c r="D935" s="141" t="n"/>
      <c r="E935" s="141" t="n"/>
      <c r="F935" s="141" t="n"/>
      <c r="G935" s="143" t="n"/>
      <c r="H935" s="27" t="n"/>
    </row>
    <row r="936" ht="17.25" customHeight="1" s="322">
      <c r="A936" s="27" t="n"/>
      <c r="B936" s="506" t="n"/>
      <c r="C936" s="141" t="n"/>
      <c r="D936" s="141" t="n"/>
      <c r="E936" s="141" t="n"/>
      <c r="F936" s="141" t="n"/>
      <c r="G936" s="143" t="n"/>
      <c r="H936" s="27" t="n"/>
    </row>
    <row r="937" ht="17.25" customHeight="1" s="322">
      <c r="A937" s="27" t="n"/>
      <c r="B937" s="506" t="n"/>
      <c r="C937" s="141" t="n"/>
      <c r="D937" s="141" t="n"/>
      <c r="E937" s="141" t="n"/>
      <c r="F937" s="141" t="n"/>
      <c r="G937" s="143" t="n"/>
      <c r="H937" s="27" t="n"/>
    </row>
    <row r="938" ht="17.25" customHeight="1" s="322">
      <c r="A938" s="27" t="n"/>
      <c r="B938" s="506" t="n"/>
      <c r="C938" s="141" t="n"/>
      <c r="D938" s="141" t="n"/>
      <c r="E938" s="141" t="n"/>
      <c r="F938" s="141" t="n"/>
      <c r="G938" s="143" t="n"/>
      <c r="H938" s="27" t="n"/>
    </row>
    <row r="939" ht="17.25" customHeight="1" s="322">
      <c r="A939" s="27" t="n"/>
      <c r="B939" s="506" t="n"/>
      <c r="C939" s="141" t="n"/>
      <c r="D939" s="141" t="n"/>
      <c r="E939" s="141" t="n"/>
      <c r="F939" s="141" t="n"/>
      <c r="G939" s="143" t="n"/>
      <c r="H939" s="27" t="n"/>
    </row>
    <row r="940" ht="17.25" customHeight="1" s="322">
      <c r="A940" s="27" t="n"/>
      <c r="B940" s="506" t="n"/>
      <c r="C940" s="141" t="n"/>
      <c r="D940" s="141" t="n"/>
      <c r="E940" s="141" t="n"/>
      <c r="F940" s="141" t="n"/>
      <c r="G940" s="143" t="n"/>
      <c r="H940" s="27" t="n"/>
    </row>
    <row r="941" ht="17.25" customHeight="1" s="322">
      <c r="A941" s="27" t="n"/>
      <c r="B941" s="506" t="n"/>
      <c r="C941" s="141" t="n"/>
      <c r="D941" s="141" t="n"/>
      <c r="E941" s="141" t="n"/>
      <c r="F941" s="141" t="n"/>
      <c r="G941" s="143" t="n"/>
      <c r="H941" s="27" t="n"/>
    </row>
    <row r="942" ht="17.25" customHeight="1" s="322">
      <c r="A942" s="27" t="n"/>
      <c r="B942" s="506" t="n"/>
      <c r="C942" s="141" t="n"/>
      <c r="D942" s="141" t="n"/>
      <c r="E942" s="141" t="n"/>
      <c r="F942" s="141" t="n"/>
      <c r="G942" s="143" t="n"/>
      <c r="H942" s="27" t="n"/>
    </row>
    <row r="943" ht="17.25" customHeight="1" s="322">
      <c r="A943" s="27" t="n"/>
      <c r="B943" s="506" t="n"/>
      <c r="C943" s="141" t="n"/>
      <c r="D943" s="141" t="n"/>
      <c r="E943" s="141" t="n"/>
      <c r="F943" s="141" t="n"/>
      <c r="G943" s="143" t="n"/>
      <c r="H943" s="27" t="n"/>
    </row>
    <row r="944" ht="17.25" customHeight="1" s="322">
      <c r="A944" s="27" t="n"/>
      <c r="B944" s="506" t="n"/>
      <c r="C944" s="141" t="n"/>
      <c r="D944" s="141" t="n"/>
      <c r="E944" s="141" t="n"/>
      <c r="F944" s="141" t="n"/>
      <c r="G944" s="143" t="n"/>
      <c r="H944" s="27" t="n"/>
    </row>
    <row r="945" ht="17.25" customHeight="1" s="322">
      <c r="A945" s="27" t="n"/>
      <c r="B945" s="506" t="n"/>
      <c r="C945" s="141" t="n"/>
      <c r="D945" s="141" t="n"/>
      <c r="E945" s="141" t="n"/>
      <c r="F945" s="141" t="n"/>
      <c r="G945" s="143" t="n"/>
      <c r="H945" s="27" t="n"/>
    </row>
    <row r="946" ht="17.25" customHeight="1" s="322">
      <c r="A946" s="27" t="n"/>
      <c r="B946" s="506" t="n"/>
      <c r="C946" s="141" t="n"/>
      <c r="D946" s="141" t="n"/>
      <c r="E946" s="141" t="n"/>
      <c r="F946" s="141" t="n"/>
      <c r="G946" s="143" t="n"/>
      <c r="H946" s="27" t="n"/>
    </row>
    <row r="947" ht="17.25" customHeight="1" s="322">
      <c r="A947" s="27" t="n"/>
      <c r="B947" s="506" t="n"/>
      <c r="C947" s="141" t="n"/>
      <c r="D947" s="141" t="n"/>
      <c r="E947" s="141" t="n"/>
      <c r="F947" s="141" t="n"/>
      <c r="G947" s="143" t="n"/>
      <c r="H947" s="27" t="n"/>
    </row>
    <row r="948" ht="17.25" customHeight="1" s="322">
      <c r="A948" s="27" t="n"/>
      <c r="B948" s="506" t="n"/>
      <c r="C948" s="141" t="n"/>
      <c r="D948" s="141" t="n"/>
      <c r="E948" s="141" t="n"/>
      <c r="F948" s="141" t="n"/>
      <c r="G948" s="143" t="n"/>
      <c r="H948" s="27" t="n"/>
    </row>
    <row r="949" ht="17.25" customHeight="1" s="322">
      <c r="A949" s="27" t="n"/>
      <c r="B949" s="506" t="n"/>
      <c r="C949" s="141" t="n"/>
      <c r="D949" s="141" t="n"/>
      <c r="E949" s="141" t="n"/>
      <c r="F949" s="141" t="n"/>
      <c r="G949" s="143" t="n"/>
      <c r="H949" s="27" t="n"/>
    </row>
    <row r="950" ht="17.25" customHeight="1" s="322">
      <c r="A950" s="27" t="n"/>
      <c r="B950" s="506" t="n"/>
      <c r="C950" s="141" t="n"/>
      <c r="D950" s="141" t="n"/>
      <c r="E950" s="141" t="n"/>
      <c r="F950" s="141" t="n"/>
      <c r="G950" s="143" t="n"/>
      <c r="H950" s="27" t="n"/>
    </row>
    <row r="951" ht="17.25" customHeight="1" s="322">
      <c r="A951" s="27" t="n"/>
      <c r="B951" s="506" t="n"/>
      <c r="C951" s="141" t="n"/>
      <c r="D951" s="141" t="n"/>
      <c r="E951" s="141" t="n"/>
      <c r="F951" s="141" t="n"/>
      <c r="G951" s="143" t="n"/>
      <c r="H951" s="27" t="n"/>
    </row>
    <row r="952" ht="17.25" customHeight="1" s="322">
      <c r="A952" s="27" t="n"/>
      <c r="B952" s="506" t="n"/>
      <c r="C952" s="141" t="n"/>
      <c r="D952" s="141" t="n"/>
      <c r="E952" s="141" t="n"/>
      <c r="F952" s="141" t="n"/>
      <c r="G952" s="143" t="n"/>
      <c r="H952" s="27" t="n"/>
    </row>
    <row r="953" ht="17.25" customHeight="1" s="322">
      <c r="A953" s="27" t="n"/>
      <c r="B953" s="506" t="n"/>
      <c r="C953" s="141" t="n"/>
      <c r="D953" s="141" t="n"/>
      <c r="E953" s="141" t="n"/>
      <c r="F953" s="141" t="n"/>
      <c r="G953" s="143" t="n"/>
      <c r="H953" s="27" t="n"/>
    </row>
    <row r="954" ht="17.25" customHeight="1" s="322">
      <c r="A954" s="27" t="n"/>
      <c r="B954" s="506" t="n"/>
      <c r="C954" s="141" t="n"/>
      <c r="D954" s="141" t="n"/>
      <c r="E954" s="141" t="n"/>
      <c r="F954" s="141" t="n"/>
      <c r="G954" s="143" t="n"/>
      <c r="H954" s="27" t="n"/>
    </row>
    <row r="955" ht="17.25" customHeight="1" s="322">
      <c r="A955" s="27" t="n"/>
      <c r="B955" s="506" t="n"/>
      <c r="C955" s="141" t="n"/>
      <c r="D955" s="141" t="n"/>
      <c r="E955" s="141" t="n"/>
      <c r="F955" s="141" t="n"/>
      <c r="G955" s="143" t="n"/>
      <c r="H955" s="27" t="n"/>
    </row>
    <row r="956" ht="17.25" customHeight="1" s="322">
      <c r="A956" s="27" t="n"/>
      <c r="B956" s="506" t="n"/>
      <c r="C956" s="141" t="n"/>
      <c r="D956" s="141" t="n"/>
      <c r="E956" s="141" t="n"/>
      <c r="F956" s="141" t="n"/>
      <c r="G956" s="143" t="n"/>
      <c r="H956" s="27" t="n"/>
    </row>
    <row r="957" ht="17.25" customHeight="1" s="322">
      <c r="A957" s="27" t="n"/>
      <c r="B957" s="506" t="n"/>
      <c r="C957" s="141" t="n"/>
      <c r="D957" s="141" t="n"/>
      <c r="E957" s="141" t="n"/>
      <c r="F957" s="141" t="n"/>
      <c r="G957" s="143" t="n"/>
      <c r="H957" s="27" t="n"/>
    </row>
    <row r="958" ht="17.25" customHeight="1" s="322">
      <c r="A958" s="27" t="n"/>
      <c r="B958" s="506" t="n"/>
      <c r="C958" s="141" t="n"/>
      <c r="D958" s="141" t="n"/>
      <c r="E958" s="141" t="n"/>
      <c r="F958" s="141" t="n"/>
      <c r="G958" s="143" t="n"/>
      <c r="H958" s="27" t="n"/>
    </row>
    <row r="959" ht="17.25" customHeight="1" s="322">
      <c r="A959" s="27" t="n"/>
      <c r="B959" s="506" t="n"/>
      <c r="C959" s="141" t="n"/>
      <c r="D959" s="141" t="n"/>
      <c r="E959" s="141" t="n"/>
      <c r="F959" s="141" t="n"/>
      <c r="G959" s="143" t="n"/>
      <c r="H959" s="27" t="n"/>
    </row>
    <row r="960" ht="17.25" customHeight="1" s="322">
      <c r="A960" s="27" t="n"/>
      <c r="B960" s="506" t="n"/>
      <c r="C960" s="141" t="n"/>
      <c r="D960" s="141" t="n"/>
      <c r="E960" s="141" t="n"/>
      <c r="F960" s="141" t="n"/>
      <c r="G960" s="143" t="n"/>
      <c r="H960" s="27" t="n"/>
    </row>
    <row r="961" ht="17.25" customHeight="1" s="322">
      <c r="A961" s="27" t="n"/>
      <c r="B961" s="506" t="n"/>
      <c r="C961" s="141" t="n"/>
      <c r="D961" s="141" t="n"/>
      <c r="E961" s="141" t="n"/>
      <c r="F961" s="141" t="n"/>
      <c r="G961" s="143" t="n"/>
      <c r="H961" s="27" t="n"/>
    </row>
    <row r="962" ht="17.25" customHeight="1" s="322">
      <c r="A962" s="27" t="n"/>
      <c r="B962" s="506" t="n"/>
      <c r="C962" s="141" t="n"/>
      <c r="D962" s="141" t="n"/>
      <c r="E962" s="141" t="n"/>
      <c r="F962" s="141" t="n"/>
      <c r="G962" s="143" t="n"/>
      <c r="H962" s="27" t="n"/>
    </row>
    <row r="963" ht="17.25" customHeight="1" s="322">
      <c r="A963" s="27" t="n"/>
      <c r="B963" s="506" t="n"/>
      <c r="C963" s="141" t="n"/>
      <c r="D963" s="141" t="n"/>
      <c r="E963" s="141" t="n"/>
      <c r="F963" s="141" t="n"/>
      <c r="G963" s="143" t="n"/>
      <c r="H963" s="27" t="n"/>
    </row>
    <row r="964" ht="17.25" customHeight="1" s="322">
      <c r="A964" s="27" t="n"/>
      <c r="B964" s="506" t="n"/>
      <c r="C964" s="141" t="n"/>
      <c r="D964" s="141" t="n"/>
      <c r="E964" s="141" t="n"/>
      <c r="F964" s="141" t="n"/>
      <c r="G964" s="143" t="n"/>
      <c r="H964" s="27" t="n"/>
    </row>
    <row r="965" ht="17.25" customHeight="1" s="322">
      <c r="A965" s="27" t="n"/>
      <c r="B965" s="506" t="n"/>
      <c r="C965" s="141" t="n"/>
      <c r="D965" s="141" t="n"/>
      <c r="E965" s="141" t="n"/>
      <c r="F965" s="141" t="n"/>
      <c r="G965" s="143" t="n"/>
      <c r="H965" s="27" t="n"/>
    </row>
    <row r="966" ht="17.25" customHeight="1" s="322">
      <c r="A966" s="27" t="n"/>
      <c r="B966" s="506" t="n"/>
      <c r="C966" s="141" t="n"/>
      <c r="D966" s="141" t="n"/>
      <c r="E966" s="141" t="n"/>
      <c r="F966" s="141" t="n"/>
      <c r="G966" s="143" t="n"/>
      <c r="H966" s="27" t="n"/>
    </row>
    <row r="967" ht="17.25" customHeight="1" s="322">
      <c r="A967" s="27" t="n"/>
      <c r="B967" s="506" t="n"/>
      <c r="C967" s="141" t="n"/>
      <c r="D967" s="141" t="n"/>
      <c r="E967" s="141" t="n"/>
      <c r="F967" s="141" t="n"/>
      <c r="G967" s="143" t="n"/>
      <c r="H967" s="27" t="n"/>
    </row>
    <row r="968" ht="17.25" customHeight="1" s="322">
      <c r="A968" s="27" t="n"/>
      <c r="B968" s="506" t="n"/>
      <c r="C968" s="141" t="n"/>
      <c r="D968" s="141" t="n"/>
      <c r="E968" s="141" t="n"/>
      <c r="F968" s="141" t="n"/>
      <c r="G968" s="143" t="n"/>
      <c r="H968" s="27" t="n"/>
    </row>
    <row r="969" ht="17.25" customHeight="1" s="322">
      <c r="A969" s="27" t="n"/>
      <c r="B969" s="506" t="n"/>
      <c r="C969" s="141" t="n"/>
      <c r="D969" s="141" t="n"/>
      <c r="E969" s="141" t="n"/>
      <c r="F969" s="141" t="n"/>
      <c r="G969" s="143" t="n"/>
      <c r="H969" s="27" t="n"/>
    </row>
    <row r="970" ht="17.25" customHeight="1" s="322">
      <c r="A970" s="27" t="n"/>
      <c r="B970" s="506" t="n"/>
      <c r="C970" s="141" t="n"/>
      <c r="D970" s="141" t="n"/>
      <c r="E970" s="141" t="n"/>
      <c r="F970" s="141" t="n"/>
      <c r="G970" s="143" t="n"/>
      <c r="H970" s="27" t="n"/>
    </row>
    <row r="971" ht="17.25" customHeight="1" s="322">
      <c r="A971" s="27" t="n"/>
      <c r="B971" s="506" t="n"/>
      <c r="C971" s="141" t="n"/>
      <c r="D971" s="141" t="n"/>
      <c r="E971" s="141" t="n"/>
      <c r="F971" s="141" t="n"/>
      <c r="G971" s="143" t="n"/>
      <c r="H971" s="27" t="n"/>
    </row>
    <row r="972" ht="17.25" customHeight="1" s="322">
      <c r="A972" s="27" t="n"/>
      <c r="B972" s="506" t="n"/>
      <c r="C972" s="141" t="n"/>
      <c r="D972" s="141" t="n"/>
      <c r="E972" s="141" t="n"/>
      <c r="F972" s="141" t="n"/>
      <c r="G972" s="143" t="n"/>
      <c r="H972" s="27" t="n"/>
    </row>
    <row r="973" ht="17.25" customHeight="1" s="322">
      <c r="A973" s="27" t="n"/>
      <c r="B973" s="506" t="n"/>
      <c r="C973" s="141" t="n"/>
      <c r="D973" s="141" t="n"/>
      <c r="E973" s="141" t="n"/>
      <c r="F973" s="141" t="n"/>
      <c r="G973" s="143" t="n"/>
      <c r="H973" s="27" t="n"/>
    </row>
    <row r="974" ht="17.25" customHeight="1" s="322">
      <c r="A974" s="27" t="n"/>
      <c r="B974" s="506" t="n"/>
      <c r="C974" s="141" t="n"/>
      <c r="D974" s="141" t="n"/>
      <c r="E974" s="141" t="n"/>
      <c r="F974" s="141" t="n"/>
      <c r="G974" s="143" t="n"/>
      <c r="H974" s="27" t="n"/>
    </row>
    <row r="975" ht="17.25" customHeight="1" s="322">
      <c r="A975" s="27" t="n"/>
      <c r="B975" s="506" t="n"/>
      <c r="C975" s="141" t="n"/>
      <c r="D975" s="141" t="n"/>
      <c r="E975" s="141" t="n"/>
      <c r="F975" s="141" t="n"/>
      <c r="G975" s="143" t="n"/>
      <c r="H975" s="27" t="n"/>
    </row>
    <row r="976" ht="17.25" customHeight="1" s="322">
      <c r="A976" s="27" t="n"/>
      <c r="B976" s="506" t="n"/>
      <c r="C976" s="141" t="n"/>
      <c r="D976" s="141" t="n"/>
      <c r="E976" s="141" t="n"/>
      <c r="F976" s="141" t="n"/>
      <c r="G976" s="143" t="n"/>
      <c r="H976" s="27" t="n"/>
    </row>
    <row r="977" ht="17.25" customHeight="1" s="322">
      <c r="A977" s="27" t="n"/>
      <c r="B977" s="506" t="n"/>
      <c r="C977" s="141" t="n"/>
      <c r="D977" s="141" t="n"/>
      <c r="E977" s="141" t="n"/>
      <c r="F977" s="141" t="n"/>
      <c r="G977" s="143" t="n"/>
      <c r="H977" s="27" t="n"/>
    </row>
    <row r="978" ht="17.25" customHeight="1" s="322">
      <c r="A978" s="27" t="n"/>
      <c r="B978" s="506" t="n"/>
      <c r="C978" s="141" t="n"/>
      <c r="D978" s="141" t="n"/>
      <c r="E978" s="141" t="n"/>
      <c r="F978" s="141" t="n"/>
      <c r="G978" s="143" t="n"/>
      <c r="H978" s="27" t="n"/>
    </row>
    <row r="979" ht="17.25" customHeight="1" s="322">
      <c r="A979" s="27" t="n"/>
      <c r="B979" s="506" t="n"/>
      <c r="C979" s="141" t="n"/>
      <c r="D979" s="141" t="n"/>
      <c r="E979" s="141" t="n"/>
      <c r="F979" s="141" t="n"/>
      <c r="G979" s="143" t="n"/>
      <c r="H979" s="27" t="n"/>
    </row>
    <row r="980" ht="17.25" customHeight="1" s="322">
      <c r="A980" s="27" t="n"/>
      <c r="B980" s="506" t="n"/>
      <c r="C980" s="141" t="n"/>
      <c r="D980" s="141" t="n"/>
      <c r="E980" s="141" t="n"/>
      <c r="F980" s="141" t="n"/>
      <c r="G980" s="143" t="n"/>
      <c r="H980" s="27" t="n"/>
    </row>
    <row r="981" ht="17.25" customHeight="1" s="322">
      <c r="A981" s="27" t="n"/>
      <c r="B981" s="506" t="n"/>
      <c r="C981" s="141" t="n"/>
      <c r="D981" s="141" t="n"/>
      <c r="E981" s="141" t="n"/>
      <c r="F981" s="141" t="n"/>
      <c r="G981" s="143" t="n"/>
      <c r="H981" s="27" t="n"/>
    </row>
    <row r="982" ht="17.25" customHeight="1" s="322">
      <c r="A982" s="27" t="n"/>
      <c r="B982" s="506" t="n"/>
      <c r="C982" s="141" t="n"/>
      <c r="D982" s="141" t="n"/>
      <c r="E982" s="141" t="n"/>
      <c r="F982" s="141" t="n"/>
      <c r="G982" s="143" t="n"/>
      <c r="H982" s="27" t="n"/>
    </row>
    <row r="983" ht="17.25" customHeight="1" s="322">
      <c r="A983" s="27" t="n"/>
      <c r="B983" s="506" t="n"/>
      <c r="C983" s="141" t="n"/>
      <c r="D983" s="141" t="n"/>
      <c r="E983" s="141" t="n"/>
      <c r="F983" s="141" t="n"/>
      <c r="G983" s="143" t="n"/>
      <c r="H983" s="27" t="n"/>
    </row>
    <row r="984" ht="17.25" customHeight="1" s="322">
      <c r="A984" s="27" t="n"/>
      <c r="B984" s="506" t="n"/>
      <c r="C984" s="141" t="n"/>
      <c r="D984" s="141" t="n"/>
      <c r="E984" s="141" t="n"/>
      <c r="F984" s="141" t="n"/>
      <c r="G984" s="143" t="n"/>
      <c r="H984" s="27" t="n"/>
    </row>
    <row r="985" ht="17.25" customHeight="1" s="322">
      <c r="A985" s="27" t="n"/>
      <c r="B985" s="506" t="n"/>
      <c r="C985" s="141" t="n"/>
      <c r="D985" s="141" t="n"/>
      <c r="E985" s="141" t="n"/>
      <c r="F985" s="141" t="n"/>
      <c r="G985" s="143" t="n"/>
      <c r="H985" s="27" t="n"/>
    </row>
    <row r="986" ht="17.25" customHeight="1" s="322">
      <c r="A986" s="27" t="n"/>
      <c r="B986" s="506" t="n"/>
      <c r="C986" s="141" t="n"/>
      <c r="D986" s="141" t="n"/>
      <c r="E986" s="141" t="n"/>
      <c r="F986" s="141" t="n"/>
      <c r="G986" s="143" t="n"/>
      <c r="H986" s="27" t="n"/>
    </row>
    <row r="987" ht="17.25" customHeight="1" s="322">
      <c r="A987" s="27" t="n"/>
      <c r="B987" s="506" t="n"/>
      <c r="C987" s="141" t="n"/>
      <c r="D987" s="141" t="n"/>
      <c r="E987" s="141" t="n"/>
      <c r="F987" s="141" t="n"/>
      <c r="G987" s="143" t="n"/>
      <c r="H987" s="27" t="n"/>
    </row>
    <row r="988" ht="17.25" customHeight="1" s="322">
      <c r="A988" s="27" t="n"/>
      <c r="B988" s="506" t="n"/>
      <c r="C988" s="141" t="n"/>
      <c r="D988" s="141" t="n"/>
      <c r="E988" s="141" t="n"/>
      <c r="F988" s="141" t="n"/>
      <c r="G988" s="143" t="n"/>
      <c r="H988" s="27" t="n"/>
    </row>
    <row r="989" ht="17.25" customHeight="1" s="322">
      <c r="A989" s="27" t="n"/>
      <c r="B989" s="506" t="n"/>
      <c r="C989" s="141" t="n"/>
      <c r="D989" s="141" t="n"/>
      <c r="E989" s="141" t="n"/>
      <c r="F989" s="141" t="n"/>
      <c r="G989" s="143" t="n"/>
      <c r="H989" s="27" t="n"/>
    </row>
    <row r="990" ht="17.25" customHeight="1" s="322">
      <c r="A990" s="27" t="n"/>
      <c r="B990" s="506" t="n"/>
      <c r="C990" s="141" t="n"/>
      <c r="D990" s="141" t="n"/>
      <c r="E990" s="141" t="n"/>
      <c r="F990" s="141" t="n"/>
      <c r="G990" s="143" t="n"/>
      <c r="H990" s="27" t="n"/>
    </row>
    <row r="991" ht="17.25" customHeight="1" s="322">
      <c r="A991" s="27" t="n"/>
      <c r="B991" s="506" t="n"/>
      <c r="C991" s="141" t="n"/>
      <c r="D991" s="141" t="n"/>
      <c r="E991" s="141" t="n"/>
      <c r="F991" s="141" t="n"/>
      <c r="G991" s="143" t="n"/>
      <c r="H991" s="27" t="n"/>
    </row>
    <row r="992" ht="17.25" customHeight="1" s="322">
      <c r="A992" s="27" t="n"/>
      <c r="B992" s="506" t="n"/>
      <c r="C992" s="141" t="n"/>
      <c r="D992" s="141" t="n"/>
      <c r="E992" s="141" t="n"/>
      <c r="F992" s="141" t="n"/>
      <c r="G992" s="143" t="n"/>
      <c r="H992" s="27" t="n"/>
    </row>
    <row r="993" ht="17.25" customHeight="1" s="322">
      <c r="A993" s="27" t="n"/>
      <c r="B993" s="506" t="n"/>
      <c r="C993" s="141" t="n"/>
      <c r="D993" s="141" t="n"/>
      <c r="E993" s="141" t="n"/>
      <c r="F993" s="141" t="n"/>
      <c r="G993" s="143" t="n"/>
      <c r="H993" s="27" t="n"/>
    </row>
    <row r="994" ht="17.25" customHeight="1" s="322">
      <c r="A994" s="27" t="n"/>
      <c r="B994" s="506" t="n"/>
      <c r="C994" s="141" t="n"/>
      <c r="D994" s="141" t="n"/>
      <c r="E994" s="141" t="n"/>
      <c r="F994" s="141" t="n"/>
      <c r="G994" s="143" t="n"/>
      <c r="H994" s="27" t="n"/>
    </row>
    <row r="995" ht="17.25" customHeight="1" s="322">
      <c r="A995" s="27" t="n"/>
      <c r="B995" s="506" t="n"/>
      <c r="C995" s="141" t="n"/>
      <c r="D995" s="141" t="n"/>
      <c r="E995" s="141" t="n"/>
      <c r="F995" s="141" t="n"/>
      <c r="G995" s="143" t="n"/>
      <c r="H995" s="27" t="n"/>
    </row>
    <row r="996" ht="17.25" customHeight="1" s="322">
      <c r="A996" s="27" t="n"/>
      <c r="B996" s="506" t="n"/>
      <c r="C996" s="141" t="n"/>
      <c r="D996" s="141" t="n"/>
      <c r="E996" s="141" t="n"/>
      <c r="F996" s="141" t="n"/>
      <c r="G996" s="143" t="n"/>
      <c r="H996" s="27" t="n"/>
    </row>
    <row r="997" ht="17.25" customHeight="1" s="322">
      <c r="A997" s="27" t="n"/>
      <c r="B997" s="506" t="n"/>
      <c r="C997" s="141" t="n"/>
      <c r="D997" s="141" t="n"/>
      <c r="E997" s="141" t="n"/>
      <c r="F997" s="141" t="n"/>
      <c r="G997" s="143" t="n"/>
      <c r="H997" s="27" t="n"/>
    </row>
    <row r="998" ht="17.25" customHeight="1" s="322">
      <c r="A998" s="27" t="n"/>
      <c r="B998" s="506" t="n"/>
      <c r="C998" s="141" t="n"/>
      <c r="D998" s="141" t="n"/>
      <c r="E998" s="141" t="n"/>
      <c r="F998" s="141" t="n"/>
      <c r="G998" s="143" t="n"/>
      <c r="H998" s="27" t="n"/>
    </row>
    <row r="999" ht="17.25" customHeight="1" s="322">
      <c r="A999" s="27" t="n"/>
      <c r="B999" s="506" t="n"/>
      <c r="C999" s="141" t="n"/>
      <c r="D999" s="141" t="n"/>
      <c r="E999" s="141" t="n"/>
      <c r="F999" s="141" t="n"/>
      <c r="G999" s="143" t="n"/>
      <c r="H999" s="27" t="n"/>
    </row>
    <row r="1000" ht="17.25" customHeight="1" s="322">
      <c r="A1000" s="27" t="n"/>
      <c r="B1000" s="506" t="n"/>
      <c r="C1000" s="141" t="n"/>
      <c r="D1000" s="141" t="n"/>
      <c r="E1000" s="141" t="n"/>
      <c r="F1000" s="141" t="n"/>
      <c r="G1000" s="143" t="n"/>
      <c r="H1000" s="27" t="n"/>
    </row>
  </sheetData>
  <mergeCells count="3">
    <mergeCell ref="B1:F2"/>
    <mergeCell ref="B7:G7"/>
    <mergeCell ref="B10:C10"/>
  </mergeCells>
  <conditionalFormatting sqref="D10:E10">
    <cfRule type="cellIs" priority="5" operator="lessThan" dxfId="5">
      <formula>0</formula>
    </cfRule>
    <cfRule type="cellIs" priority="6" operator="greaterThan" dxfId="4">
      <formula>0</formula>
    </cfRule>
  </conditionalFormatting>
  <conditionalFormatting sqref="F28:F1000">
    <cfRule type="expression" priority="1" dxfId="3">
      <formula>AND(F28=MAX(F$28:F$1000),F28&gt;0)</formula>
    </cfRule>
    <cfRule type="expression" priority="2" dxfId="2">
      <formula>AND(F28=MIN(F$28:F$1000),F28&gt;0)</formula>
    </cfRule>
  </conditionalFormatting>
  <conditionalFormatting sqref="F29:F1000">
    <cfRule type="expression" priority="3" dxfId="1">
      <formula>F29&gt;F27</formula>
    </cfRule>
    <cfRule type="expression" priority="4" dxfId="0">
      <formula>F29&lt;F27</formula>
    </cfRule>
  </conditionalFormatting>
  <conditionalFormatting sqref="G15">
    <cfRule type="colorScale" priority="7">
      <colorScale>
        <cfvo type="min"/>
        <cfvo type="max"/>
        <color rgb="FF57BB8A"/>
        <color rgb="FFFFFFFF"/>
      </colorScale>
    </cfRule>
  </conditionalFormatting>
  <dataValidations count="1">
    <dataValidation sqref="G15" showDropDown="0" showInputMessage="1" showErrorMessage="1" allowBlank="1" prompt="Click and enter a value from the list of items" type="list">
      <formula1>"1 Month,3 Months,6 Months,12 Months,36 Months"</formula1>
    </dataValidation>
  </dataValidations>
  <hyperlinks>
    <hyperlink xmlns:r="http://schemas.openxmlformats.org/officeDocument/2006/relationships" ref="B1" r:id="rId1"/>
    <hyperlink xmlns:r="http://schemas.openxmlformats.org/officeDocument/2006/relationships" ref="G2" r:id="rId2"/>
  </hyperlinks>
  <pageMargins left="0.7" right="0.7" top="0.75" bottom="0.75" header="0.3" footer="0.3"/>
  <drawing xmlns:r="http://schemas.openxmlformats.org/officeDocument/2006/relationships" r:id="rId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H1000"/>
  <sheetViews>
    <sheetView showGridLines="0" workbookViewId="0">
      <selection activeCell="A1" sqref="A1"/>
    </sheetView>
  </sheetViews>
  <sheetFormatPr baseColWidth="8" defaultColWidth="12.5703125" defaultRowHeight="15.75" customHeight="1"/>
  <cols>
    <col width="5.42578125" customWidth="1" style="322" min="1" max="1"/>
    <col width="15.7109375" customWidth="1" style="322" min="2" max="2"/>
    <col width="5.42578125" customWidth="1" style="322" min="8" max="8"/>
  </cols>
  <sheetData>
    <row r="1" ht="22.5" customHeight="1" s="322">
      <c r="A1" s="69" t="n"/>
      <c r="B1" s="455" t="inlineStr">
        <is>
          <t>← 관심종목으로 돌아가기</t>
        </is>
      </c>
      <c r="G1" s="72" t="inlineStr">
        <is>
          <t>제공:</t>
        </is>
      </c>
      <c r="H1" s="69" t="n"/>
    </row>
    <row r="2" ht="22.5" customHeight="1" s="322">
      <c r="A2" s="69" t="n"/>
      <c r="G2" s="77" t="inlineStr">
        <is>
          <t>Google Finance</t>
        </is>
      </c>
      <c r="H2" s="69" t="n"/>
    </row>
    <row r="3" ht="11.25" customHeight="1" s="322">
      <c r="A3" s="1" t="n"/>
      <c r="B3" s="1" t="n"/>
      <c r="C3" s="1" t="n"/>
      <c r="D3" s="1" t="n"/>
      <c r="E3" s="1" t="n"/>
      <c r="F3" s="1" t="n"/>
      <c r="G3" s="1" t="n"/>
      <c r="H3" s="1" t="n"/>
    </row>
    <row r="4" ht="15.75" customHeight="1" s="322">
      <c r="A4" s="1" t="n"/>
      <c r="B4" s="80" t="inlineStr">
        <is>
          <t>dbc</t>
        </is>
      </c>
      <c r="C4" s="81" t="inlineStr">
        <is>
          <t>&lt;&lt; 종목코드 입력</t>
        </is>
      </c>
      <c r="D4" s="1" t="n"/>
      <c r="E4" s="1" t="n"/>
      <c r="F4" s="1" t="n"/>
      <c r="G4" s="1" t="n"/>
      <c r="H4" s="1" t="n"/>
    </row>
    <row r="5" ht="15.75" customHeight="1" s="322">
      <c r="A5" s="1" t="n"/>
      <c r="B5" s="82" t="n"/>
      <c r="C5" s="81" t="inlineStr">
        <is>
          <t>&lt;&lt; 필요한 경우 거래소 입력(예: NASDAQ, NYSE)</t>
        </is>
      </c>
      <c r="D5" s="85" t="n"/>
      <c r="E5" s="1" t="n"/>
      <c r="F5" s="1" t="n"/>
      <c r="G5" s="1" t="n"/>
      <c r="H5" s="1" t="n"/>
    </row>
    <row r="6" ht="11.25" customHeight="1" s="322">
      <c r="A6" s="27" t="n"/>
      <c r="B6" s="27" t="n"/>
      <c r="C6" s="27" t="n"/>
      <c r="D6" s="27" t="n"/>
      <c r="E6" s="27" t="n"/>
      <c r="F6" s="27" t="n"/>
      <c r="G6" s="27" t="n"/>
      <c r="H6" s="27" t="n"/>
    </row>
    <row r="7" ht="20.25" customHeight="1" s="322">
      <c r="A7" s="12" t="n"/>
      <c r="B7" s="501">
        <f>IFERROR(__xludf.DUMMYFUNCTION("GOOGLEFINANCE(B18,""name"")"),"Invesco DB Commodity Index Tracking Fund")</f>
        <v/>
      </c>
      <c r="H7" s="12" t="n"/>
    </row>
    <row r="8" ht="11.25" customHeight="1" s="322">
      <c r="A8" s="12" t="n"/>
      <c r="B8" s="12" t="n"/>
      <c r="C8" s="12" t="n"/>
      <c r="D8" s="12" t="n"/>
      <c r="E8" s="12" t="n"/>
      <c r="F8" s="12" t="n"/>
      <c r="G8" s="12" t="n"/>
      <c r="H8" s="12" t="n"/>
    </row>
    <row r="9" ht="12" customHeight="1" s="322">
      <c r="A9" s="1" t="n"/>
      <c r="B9" s="90" t="inlineStr">
        <is>
          <t>현재가</t>
        </is>
      </c>
      <c r="C9" s="1" t="n"/>
      <c r="D9" s="90" t="inlineStr">
        <is>
          <t>전일대비</t>
        </is>
      </c>
      <c r="E9" s="90" t="inlineStr">
        <is>
          <t>등락률(%)</t>
        </is>
      </c>
      <c r="F9" s="1" t="n"/>
      <c r="G9" s="1" t="n"/>
      <c r="H9" s="1" t="n"/>
    </row>
    <row r="10" ht="31.5" customHeight="1" s="322">
      <c r="A10" s="12" t="n"/>
      <c r="B10" s="502">
        <f>IFERROR(__xludf.DUMMYFUNCTION("GOOGLEFINANCE(B18,""price"")"),29.42)</f>
        <v/>
      </c>
      <c r="D10" s="503">
        <f>IFERROR(__xludf.DUMMYFUNCTION("IFERROR(GOOGLEFINANCE(B18,""change""),""-"")"),0.82)</f>
        <v/>
      </c>
      <c r="E10" s="504">
        <f>IFERROR(__xludf.DUMMYFUNCTION("IFERROR(GOOGLEFINANCE(B18,""changepct"")/100,""-"")"),0.0287)</f>
        <v/>
      </c>
      <c r="F10" s="12" t="n"/>
      <c r="G10" s="12" t="n"/>
      <c r="H10" s="12" t="n"/>
    </row>
    <row r="11" ht="11.25" customHeight="1" s="322">
      <c r="A11" s="12" t="n"/>
      <c r="B11" s="106" t="n"/>
      <c r="C11" s="106" t="n"/>
      <c r="D11" s="106" t="n"/>
      <c r="E11" s="106" t="n"/>
      <c r="F11" s="106" t="n"/>
      <c r="G11" s="106" t="n"/>
      <c r="H11" s="12" t="n"/>
    </row>
    <row r="12" ht="11.25" customHeight="1" s="322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 ht="12" customHeight="1" s="322">
      <c r="A13" s="1" t="n"/>
      <c r="B13" s="90" t="inlineStr">
        <is>
          <t>시가총액</t>
        </is>
      </c>
      <c r="C13" s="90" t="inlineStr">
        <is>
          <t>PER</t>
        </is>
      </c>
      <c r="D13" s="90" t="inlineStr">
        <is>
          <t>베타계수</t>
        </is>
      </c>
      <c r="E13" s="1" t="n"/>
      <c r="F13" s="1" t="n"/>
      <c r="G13" s="1" t="n"/>
      <c r="H13" s="1" t="n"/>
    </row>
    <row r="14">
      <c r="A14" s="113" t="n"/>
      <c r="B14" s="505">
        <f>IFERROR(__xludf.DUMMYFUNCTION("IFERROR(GOOGLEFINANCE(B18,""marketcap""),""-"")"),2753712007)</f>
        <v/>
      </c>
      <c r="C14" s="115">
        <f>IFERROR(__xludf.DUMMYFUNCTION("IFERROR(GOOGLEFINANCE(B18,""pe""),""-"")"),"-")</f>
        <v/>
      </c>
      <c r="D14" s="115">
        <f>IFERROR(__xludf.DUMMYFUNCTION("IFERROR(GOOGLEFINANCE(B18,""beta""),""-"")"),"-")</f>
        <v/>
      </c>
      <c r="E14" s="113" t="n"/>
      <c r="F14" s="113" t="n"/>
      <c r="G14" s="113" t="n"/>
      <c r="H14" s="113" t="n"/>
    </row>
    <row r="15" ht="15.75" customHeight="1" s="322">
      <c r="A15" s="12" t="n"/>
      <c r="B15" s="12" t="n"/>
      <c r="C15" s="12" t="n"/>
      <c r="D15" s="12" t="n"/>
      <c r="E15" s="12" t="n"/>
      <c r="F15" s="12" t="n"/>
      <c r="G15" s="123" t="inlineStr">
        <is>
          <t>12 Months</t>
        </is>
      </c>
      <c r="H15" s="12" t="n"/>
    </row>
    <row r="16" ht="15.75" customHeight="1" s="322">
      <c r="A16" s="12" t="n"/>
      <c r="B16" s="12" t="n"/>
      <c r="C16" s="12" t="n"/>
      <c r="D16" s="12" t="n"/>
      <c r="E16" s="12" t="n"/>
      <c r="F16" s="12" t="n"/>
      <c r="G16" s="12" t="n"/>
      <c r="H16" s="12" t="n"/>
    </row>
    <row r="17" ht="15.75" customHeight="1" s="322">
      <c r="A17" s="12" t="n"/>
      <c r="B17" s="12" t="n"/>
      <c r="C17" s="12" t="n"/>
      <c r="D17" s="12" t="n"/>
      <c r="E17" s="12" t="n"/>
      <c r="F17" s="12" t="n"/>
      <c r="G17" s="12" t="n"/>
      <c r="H17" s="12" t="n"/>
    </row>
    <row r="18" ht="15.75" customHeight="1" s="322">
      <c r="A18" s="12" t="n"/>
      <c r="B18" s="127">
        <f>IF(ISBLANK(B5),"",B5&amp;":")&amp;B4</f>
        <v/>
      </c>
      <c r="C18" s="12" t="n"/>
      <c r="D18" s="12" t="n"/>
      <c r="E18" s="12" t="n"/>
      <c r="F18" s="12" t="n"/>
      <c r="G18" s="12" t="n"/>
      <c r="H18" s="12" t="n"/>
    </row>
    <row r="19" ht="15.75" customHeight="1" s="322">
      <c r="A19" s="12" t="n"/>
      <c r="B19" s="12" t="n"/>
      <c r="C19" s="12" t="n"/>
      <c r="D19" s="12" t="n"/>
      <c r="E19" s="12" t="n"/>
      <c r="F19" s="12" t="n"/>
      <c r="G19" s="12" t="n"/>
      <c r="H19" s="12" t="n"/>
    </row>
    <row r="20" ht="15.75" customHeight="1" s="322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1" ht="15.75" customHeight="1" s="322">
      <c r="A21" s="12" t="n"/>
      <c r="B21" s="12" t="n"/>
      <c r="C21" s="12" t="n"/>
      <c r="D21" s="12" t="n"/>
      <c r="E21" s="12" t="n"/>
      <c r="F21" s="12" t="n"/>
      <c r="G21" s="12" t="n"/>
      <c r="H21" s="12" t="n"/>
    </row>
    <row r="22" ht="15.75" customHeight="1" s="322">
      <c r="A22" s="12" t="n"/>
      <c r="B22" s="12" t="n"/>
      <c r="C22" s="12" t="n"/>
      <c r="D22" s="12" t="n"/>
      <c r="E22" s="12" t="n"/>
      <c r="F22" s="12" t="n"/>
      <c r="G22" s="12" t="n"/>
      <c r="H22" s="12" t="n"/>
    </row>
    <row r="23" ht="15.75" customHeight="1" s="322">
      <c r="A23" s="12" t="n"/>
      <c r="B23" s="12" t="n"/>
      <c r="C23" s="12" t="n"/>
      <c r="D23" s="12" t="n"/>
      <c r="E23" s="12" t="n"/>
      <c r="F23" s="12" t="n"/>
      <c r="G23" s="12" t="n"/>
      <c r="H23" s="12" t="n"/>
    </row>
    <row r="24" ht="15.75" customHeight="1" s="322">
      <c r="A24" s="12" t="n"/>
      <c r="B24" s="12" t="n"/>
      <c r="C24" s="12" t="n"/>
      <c r="D24" s="12" t="n"/>
      <c r="E24" s="12" t="n"/>
      <c r="F24" s="12" t="n"/>
      <c r="G24" s="12" t="n"/>
      <c r="H24" s="12" t="n"/>
    </row>
    <row r="25" ht="15.75" customHeight="1" s="322">
      <c r="A25" s="12" t="n"/>
      <c r="B25" s="12" t="n"/>
      <c r="C25" s="12" t="n"/>
      <c r="D25" s="12" t="n"/>
      <c r="E25" s="12" t="n"/>
      <c r="F25" s="12" t="n"/>
      <c r="G25" s="12" t="n"/>
      <c r="H25" s="12" t="n"/>
    </row>
    <row r="26" ht="15.75" customHeight="1" s="322">
      <c r="A26" s="12" t="n"/>
      <c r="B26" s="12" t="n"/>
      <c r="C26" s="12" t="n"/>
      <c r="D26" s="12" t="n"/>
      <c r="E26" s="12" t="n"/>
      <c r="F26" s="12" t="n"/>
      <c r="G26" s="12" t="n"/>
      <c r="H26" s="12" t="n"/>
    </row>
    <row r="27" ht="15.75" customHeight="1" s="322">
      <c r="A27" s="133" t="n"/>
      <c r="B27" s="136">
        <f>IFERROR(__xludf.DUMMYFUNCTION("GOOGLEFINANCE(B18, ""all"", EDATE(TODAY(), -LEFT(G15, FIND("" "", G15))), TODAY(), ""DAILY"")"),"Date")</f>
        <v/>
      </c>
      <c r="C27" s="137">
        <f>IFERROR(__xludf.DUMMYFUNCTION("""COMPUTED_VALUE"""),"Open")</f>
        <v/>
      </c>
      <c r="D27" s="137">
        <f>IFERROR(__xludf.DUMMYFUNCTION("""COMPUTED_VALUE"""),"High")</f>
        <v/>
      </c>
      <c r="E27" s="137">
        <f>IFERROR(__xludf.DUMMYFUNCTION("""COMPUTED_VALUE"""),"Low")</f>
        <v/>
      </c>
      <c r="F27" s="137">
        <f>IFERROR(__xludf.DUMMYFUNCTION("""COMPUTED_VALUE"""),"Close")</f>
        <v/>
      </c>
      <c r="G27" s="137">
        <f>IFERROR(__xludf.DUMMYFUNCTION("""COMPUTED_VALUE"""),"Volume")</f>
        <v/>
      </c>
      <c r="H27" s="133" t="n"/>
    </row>
    <row r="28" ht="17.25" customHeight="1" s="322">
      <c r="A28" s="27" t="n"/>
      <c r="B28" s="506">
        <f>IFERROR(__xludf.DUMMYFUNCTION("""COMPUTED_VALUE"""),45868.6666666666)</f>
        <v/>
      </c>
      <c r="C28" s="141">
        <f>IFERROR(__xludf.DUMMYFUNCTION("""COMPUTED_VALUE"""),22.59)</f>
        <v/>
      </c>
      <c r="D28" s="141">
        <f>IFERROR(__xludf.DUMMYFUNCTION("""COMPUTED_VALUE"""),22.75)</f>
        <v/>
      </c>
      <c r="E28" s="141">
        <f>IFERROR(__xludf.DUMMYFUNCTION("""COMPUTED_VALUE"""),22.44)</f>
        <v/>
      </c>
      <c r="F28" s="141">
        <f>IFERROR(__xludf.DUMMYFUNCTION("""COMPUTED_VALUE"""),22.64)</f>
        <v/>
      </c>
      <c r="G28" s="143">
        <f>IFERROR(__xludf.DUMMYFUNCTION("""COMPUTED_VALUE"""),1038818)</f>
        <v/>
      </c>
      <c r="H28" s="27" t="n"/>
    </row>
    <row r="29" ht="17.25" customHeight="1" s="322">
      <c r="A29" s="27" t="n"/>
      <c r="B29" s="506">
        <f>IFERROR(__xludf.DUMMYFUNCTION("""COMPUTED_VALUE"""),45869.6666666666)</f>
        <v/>
      </c>
      <c r="C29" s="141">
        <f>IFERROR(__xludf.DUMMYFUNCTION("""COMPUTED_VALUE"""),22.45)</f>
        <v/>
      </c>
      <c r="D29" s="141">
        <f>IFERROR(__xludf.DUMMYFUNCTION("""COMPUTED_VALUE"""),22.52)</f>
        <v/>
      </c>
      <c r="E29" s="141">
        <f>IFERROR(__xludf.DUMMYFUNCTION("""COMPUTED_VALUE"""),22.36)</f>
        <v/>
      </c>
      <c r="F29" s="141">
        <f>IFERROR(__xludf.DUMMYFUNCTION("""COMPUTED_VALUE"""),22.45)</f>
        <v/>
      </c>
      <c r="G29" s="143">
        <f>IFERROR(__xludf.DUMMYFUNCTION("""COMPUTED_VALUE"""),656768)</f>
        <v/>
      </c>
      <c r="H29" s="27" t="n"/>
    </row>
    <row r="30" ht="17.25" customHeight="1" s="322">
      <c r="A30" s="27" t="n"/>
      <c r="B30" s="506">
        <f>IFERROR(__xludf.DUMMYFUNCTION("""COMPUTED_VALUE"""),45870.6666666666)</f>
        <v/>
      </c>
      <c r="C30" s="141">
        <f>IFERROR(__xludf.DUMMYFUNCTION("""COMPUTED_VALUE"""),22.45)</f>
        <v/>
      </c>
      <c r="D30" s="141">
        <f>IFERROR(__xludf.DUMMYFUNCTION("""COMPUTED_VALUE"""),22.45)</f>
        <v/>
      </c>
      <c r="E30" s="141">
        <f>IFERROR(__xludf.DUMMYFUNCTION("""COMPUTED_VALUE"""),22.06)</f>
        <v/>
      </c>
      <c r="F30" s="141">
        <f>IFERROR(__xludf.DUMMYFUNCTION("""COMPUTED_VALUE"""),22.09)</f>
        <v/>
      </c>
      <c r="G30" s="143">
        <f>IFERROR(__xludf.DUMMYFUNCTION("""COMPUTED_VALUE"""),505937)</f>
        <v/>
      </c>
      <c r="H30" s="27" t="n"/>
    </row>
    <row r="31" ht="17.25" customHeight="1" s="322">
      <c r="A31" s="27" t="n"/>
      <c r="B31" s="506">
        <f>IFERROR(__xludf.DUMMYFUNCTION("""COMPUTED_VALUE"""),45873.6666666666)</f>
        <v/>
      </c>
      <c r="C31" s="141">
        <f>IFERROR(__xludf.DUMMYFUNCTION("""COMPUTED_VALUE"""),21.94)</f>
        <v/>
      </c>
      <c r="D31" s="141">
        <f>IFERROR(__xludf.DUMMYFUNCTION("""COMPUTED_VALUE"""),22.12)</f>
        <v/>
      </c>
      <c r="E31" s="141">
        <f>IFERROR(__xludf.DUMMYFUNCTION("""COMPUTED_VALUE"""),21.91)</f>
        <v/>
      </c>
      <c r="F31" s="141">
        <f>IFERROR(__xludf.DUMMYFUNCTION("""COMPUTED_VALUE"""),22.01)</f>
        <v/>
      </c>
      <c r="G31" s="143">
        <f>IFERROR(__xludf.DUMMYFUNCTION("""COMPUTED_VALUE"""),558276)</f>
        <v/>
      </c>
      <c r="H31" s="27" t="n"/>
    </row>
    <row r="32" ht="17.25" customHeight="1" s="322">
      <c r="A32" s="27" t="n"/>
      <c r="B32" s="506">
        <f>IFERROR(__xludf.DUMMYFUNCTION("""COMPUTED_VALUE"""),45874.6666666666)</f>
        <v/>
      </c>
      <c r="C32" s="141">
        <f>IFERROR(__xludf.DUMMYFUNCTION("""COMPUTED_VALUE"""),21.94)</f>
        <v/>
      </c>
      <c r="D32" s="141">
        <f>IFERROR(__xludf.DUMMYFUNCTION("""COMPUTED_VALUE"""),21.96)</f>
        <v/>
      </c>
      <c r="E32" s="141">
        <f>IFERROR(__xludf.DUMMYFUNCTION("""COMPUTED_VALUE"""),21.82)</f>
        <v/>
      </c>
      <c r="F32" s="141">
        <f>IFERROR(__xludf.DUMMYFUNCTION("""COMPUTED_VALUE"""),21.82)</f>
        <v/>
      </c>
      <c r="G32" s="143">
        <f>IFERROR(__xludf.DUMMYFUNCTION("""COMPUTED_VALUE"""),225270)</f>
        <v/>
      </c>
      <c r="H32" s="27" t="n"/>
    </row>
    <row r="33" ht="17.25" customHeight="1" s="322">
      <c r="A33" s="27" t="n"/>
      <c r="B33" s="506">
        <f>IFERROR(__xludf.DUMMYFUNCTION("""COMPUTED_VALUE"""),45875.6666666666)</f>
        <v/>
      </c>
      <c r="C33" s="141">
        <f>IFERROR(__xludf.DUMMYFUNCTION("""COMPUTED_VALUE"""),22.04)</f>
        <v/>
      </c>
      <c r="D33" s="141">
        <f>IFERROR(__xludf.DUMMYFUNCTION("""COMPUTED_VALUE"""),22.12)</f>
        <v/>
      </c>
      <c r="E33" s="141">
        <f>IFERROR(__xludf.DUMMYFUNCTION("""COMPUTED_VALUE"""),21.72)</f>
        <v/>
      </c>
      <c r="F33" s="141">
        <f>IFERROR(__xludf.DUMMYFUNCTION("""COMPUTED_VALUE"""),21.77)</f>
        <v/>
      </c>
      <c r="G33" s="143">
        <f>IFERROR(__xludf.DUMMYFUNCTION("""COMPUTED_VALUE"""),530074)</f>
        <v/>
      </c>
      <c r="H33" s="27" t="n"/>
    </row>
    <row r="34" ht="17.25" customHeight="1" s="322">
      <c r="A34" s="27" t="n"/>
      <c r="B34" s="506">
        <f>IFERROR(__xludf.DUMMYFUNCTION("""COMPUTED_VALUE"""),45876.6666666666)</f>
        <v/>
      </c>
      <c r="C34" s="141">
        <f>IFERROR(__xludf.DUMMYFUNCTION("""COMPUTED_VALUE"""),21.89)</f>
        <v/>
      </c>
      <c r="D34" s="141">
        <f>IFERROR(__xludf.DUMMYFUNCTION("""COMPUTED_VALUE"""),21.96)</f>
        <v/>
      </c>
      <c r="E34" s="141">
        <f>IFERROR(__xludf.DUMMYFUNCTION("""COMPUTED_VALUE"""),21.83)</f>
        <v/>
      </c>
      <c r="F34" s="141">
        <f>IFERROR(__xludf.DUMMYFUNCTION("""COMPUTED_VALUE"""),21.84)</f>
        <v/>
      </c>
      <c r="G34" s="143">
        <f>IFERROR(__xludf.DUMMYFUNCTION("""COMPUTED_VALUE"""),332836)</f>
        <v/>
      </c>
      <c r="H34" s="27" t="n"/>
    </row>
    <row r="35" ht="17.25" customHeight="1" s="322">
      <c r="A35" s="27" t="n"/>
      <c r="B35" s="506">
        <f>IFERROR(__xludf.DUMMYFUNCTION("""COMPUTED_VALUE"""),45877.6666666666)</f>
        <v/>
      </c>
      <c r="C35" s="141">
        <f>IFERROR(__xludf.DUMMYFUNCTION("""COMPUTED_VALUE"""),21.91)</f>
        <v/>
      </c>
      <c r="D35" s="141">
        <f>IFERROR(__xludf.DUMMYFUNCTION("""COMPUTED_VALUE"""),22)</f>
        <v/>
      </c>
      <c r="E35" s="141">
        <f>IFERROR(__xludf.DUMMYFUNCTION("""COMPUTED_VALUE"""),21.76)</f>
        <v/>
      </c>
      <c r="F35" s="141">
        <f>IFERROR(__xludf.DUMMYFUNCTION("""COMPUTED_VALUE"""),21.84)</f>
        <v/>
      </c>
      <c r="G35" s="143">
        <f>IFERROR(__xludf.DUMMYFUNCTION("""COMPUTED_VALUE"""),536670)</f>
        <v/>
      </c>
      <c r="H35" s="27" t="n"/>
    </row>
    <row r="36" ht="17.25" customHeight="1" s="322">
      <c r="A36" s="27" t="n"/>
      <c r="B36" s="506">
        <f>IFERROR(__xludf.DUMMYFUNCTION("""COMPUTED_VALUE"""),45880.6666666666)</f>
        <v/>
      </c>
      <c r="C36" s="141">
        <f>IFERROR(__xludf.DUMMYFUNCTION("""COMPUTED_VALUE"""),21.84)</f>
        <v/>
      </c>
      <c r="D36" s="141">
        <f>IFERROR(__xludf.DUMMYFUNCTION("""COMPUTED_VALUE"""),21.91)</f>
        <v/>
      </c>
      <c r="E36" s="141">
        <f>IFERROR(__xludf.DUMMYFUNCTION("""COMPUTED_VALUE"""),21.79)</f>
        <v/>
      </c>
      <c r="F36" s="141">
        <f>IFERROR(__xludf.DUMMYFUNCTION("""COMPUTED_VALUE"""),21.87)</f>
        <v/>
      </c>
      <c r="G36" s="143">
        <f>IFERROR(__xludf.DUMMYFUNCTION("""COMPUTED_VALUE"""),220765)</f>
        <v/>
      </c>
      <c r="H36" s="27" t="n"/>
    </row>
    <row r="37" ht="17.25" customHeight="1" s="322">
      <c r="A37" s="27" t="n"/>
      <c r="B37" s="506">
        <f>IFERROR(__xludf.DUMMYFUNCTION("""COMPUTED_VALUE"""),45881.6666666666)</f>
        <v/>
      </c>
      <c r="C37" s="141">
        <f>IFERROR(__xludf.DUMMYFUNCTION("""COMPUTED_VALUE"""),21.82)</f>
        <v/>
      </c>
      <c r="D37" s="141">
        <f>IFERROR(__xludf.DUMMYFUNCTION("""COMPUTED_VALUE"""),21.83)</f>
        <v/>
      </c>
      <c r="E37" s="141">
        <f>IFERROR(__xludf.DUMMYFUNCTION("""COMPUTED_VALUE"""),21.76)</f>
        <v/>
      </c>
      <c r="F37" s="141">
        <f>IFERROR(__xludf.DUMMYFUNCTION("""COMPUTED_VALUE"""),21.78)</f>
        <v/>
      </c>
      <c r="G37" s="143">
        <f>IFERROR(__xludf.DUMMYFUNCTION("""COMPUTED_VALUE"""),201064)</f>
        <v/>
      </c>
      <c r="H37" s="27" t="n"/>
    </row>
    <row r="38" ht="17.25" customHeight="1" s="322">
      <c r="A38" s="27" t="n"/>
      <c r="B38" s="506">
        <f>IFERROR(__xludf.DUMMYFUNCTION("""COMPUTED_VALUE"""),45882.6666666666)</f>
        <v/>
      </c>
      <c r="C38" s="141">
        <f>IFERROR(__xludf.DUMMYFUNCTION("""COMPUTED_VALUE"""),21.81)</f>
        <v/>
      </c>
      <c r="D38" s="141">
        <f>IFERROR(__xludf.DUMMYFUNCTION("""COMPUTED_VALUE"""),21.82)</f>
        <v/>
      </c>
      <c r="E38" s="141">
        <f>IFERROR(__xludf.DUMMYFUNCTION("""COMPUTED_VALUE"""),21.62)</f>
        <v/>
      </c>
      <c r="F38" s="141">
        <f>IFERROR(__xludf.DUMMYFUNCTION("""COMPUTED_VALUE"""),21.75)</f>
        <v/>
      </c>
      <c r="G38" s="143">
        <f>IFERROR(__xludf.DUMMYFUNCTION("""COMPUTED_VALUE"""),527123)</f>
        <v/>
      </c>
      <c r="H38" s="27" t="n"/>
    </row>
    <row r="39" ht="17.25" customHeight="1" s="322">
      <c r="A39" s="27" t="n"/>
      <c r="B39" s="506">
        <f>IFERROR(__xludf.DUMMYFUNCTION("""COMPUTED_VALUE"""),45883.6666666666)</f>
        <v/>
      </c>
      <c r="C39" s="141">
        <f>IFERROR(__xludf.DUMMYFUNCTION("""COMPUTED_VALUE"""),21.79)</f>
        <v/>
      </c>
      <c r="D39" s="141">
        <f>IFERROR(__xludf.DUMMYFUNCTION("""COMPUTED_VALUE"""),21.85)</f>
        <v/>
      </c>
      <c r="E39" s="141">
        <f>IFERROR(__xludf.DUMMYFUNCTION("""COMPUTED_VALUE"""),21.73)</f>
        <v/>
      </c>
      <c r="F39" s="141">
        <f>IFERROR(__xludf.DUMMYFUNCTION("""COMPUTED_VALUE"""),21.84)</f>
        <v/>
      </c>
      <c r="G39" s="143">
        <f>IFERROR(__xludf.DUMMYFUNCTION("""COMPUTED_VALUE"""),394348)</f>
        <v/>
      </c>
      <c r="H39" s="27" t="n"/>
    </row>
    <row r="40" ht="17.25" customHeight="1" s="322">
      <c r="A40" s="27" t="n"/>
      <c r="B40" s="506">
        <f>IFERROR(__xludf.DUMMYFUNCTION("""COMPUTED_VALUE"""),45884.6666666666)</f>
        <v/>
      </c>
      <c r="C40" s="141">
        <f>IFERROR(__xludf.DUMMYFUNCTION("""COMPUTED_VALUE"""),21.71)</f>
        <v/>
      </c>
      <c r="D40" s="141">
        <f>IFERROR(__xludf.DUMMYFUNCTION("""COMPUTED_VALUE"""),21.83)</f>
        <v/>
      </c>
      <c r="E40" s="141">
        <f>IFERROR(__xludf.DUMMYFUNCTION("""COMPUTED_VALUE"""),21.71)</f>
        <v/>
      </c>
      <c r="F40" s="141">
        <f>IFERROR(__xludf.DUMMYFUNCTION("""COMPUTED_VALUE"""),21.77)</f>
        <v/>
      </c>
      <c r="G40" s="143">
        <f>IFERROR(__xludf.DUMMYFUNCTION("""COMPUTED_VALUE"""),192706)</f>
        <v/>
      </c>
      <c r="H40" s="27" t="n"/>
    </row>
    <row r="41" ht="17.25" customHeight="1" s="322">
      <c r="A41" s="27" t="n"/>
      <c r="B41" s="506">
        <f>IFERROR(__xludf.DUMMYFUNCTION("""COMPUTED_VALUE"""),45887.6666666666)</f>
        <v/>
      </c>
      <c r="C41" s="141">
        <f>IFERROR(__xludf.DUMMYFUNCTION("""COMPUTED_VALUE"""),21.65)</f>
        <v/>
      </c>
      <c r="D41" s="141">
        <f>IFERROR(__xludf.DUMMYFUNCTION("""COMPUTED_VALUE"""),21.86)</f>
        <v/>
      </c>
      <c r="E41" s="141">
        <f>IFERROR(__xludf.DUMMYFUNCTION("""COMPUTED_VALUE"""),21.61)</f>
        <v/>
      </c>
      <c r="F41" s="141">
        <f>IFERROR(__xludf.DUMMYFUNCTION("""COMPUTED_VALUE"""),21.79)</f>
        <v/>
      </c>
      <c r="G41" s="143">
        <f>IFERROR(__xludf.DUMMYFUNCTION("""COMPUTED_VALUE"""),658691)</f>
        <v/>
      </c>
      <c r="H41" s="27" t="n"/>
    </row>
    <row r="42" ht="17.25" customHeight="1" s="322">
      <c r="A42" s="27" t="n"/>
      <c r="B42" s="506">
        <f>IFERROR(__xludf.DUMMYFUNCTION("""COMPUTED_VALUE"""),45888.6666666666)</f>
        <v/>
      </c>
      <c r="C42" s="141">
        <f>IFERROR(__xludf.DUMMYFUNCTION("""COMPUTED_VALUE"""),21.7)</f>
        <v/>
      </c>
      <c r="D42" s="141">
        <f>IFERROR(__xludf.DUMMYFUNCTION("""COMPUTED_VALUE"""),21.71)</f>
        <v/>
      </c>
      <c r="E42" s="141">
        <f>IFERROR(__xludf.DUMMYFUNCTION("""COMPUTED_VALUE"""),21.59)</f>
        <v/>
      </c>
      <c r="F42" s="141">
        <f>IFERROR(__xludf.DUMMYFUNCTION("""COMPUTED_VALUE"""),21.62)</f>
        <v/>
      </c>
      <c r="G42" s="143">
        <f>IFERROR(__xludf.DUMMYFUNCTION("""COMPUTED_VALUE"""),379662)</f>
        <v/>
      </c>
      <c r="H42" s="27" t="n"/>
    </row>
    <row r="43" ht="17.25" customHeight="1" s="322">
      <c r="A43" s="27" t="n"/>
      <c r="B43" s="506">
        <f>IFERROR(__xludf.DUMMYFUNCTION("""COMPUTED_VALUE"""),45889.6666666666)</f>
        <v/>
      </c>
      <c r="C43" s="141">
        <f>IFERROR(__xludf.DUMMYFUNCTION("""COMPUTED_VALUE"""),21.77)</f>
        <v/>
      </c>
      <c r="D43" s="141">
        <f>IFERROR(__xludf.DUMMYFUNCTION("""COMPUTED_VALUE"""),21.87)</f>
        <v/>
      </c>
      <c r="E43" s="141">
        <f>IFERROR(__xludf.DUMMYFUNCTION("""COMPUTED_VALUE"""),21.75)</f>
        <v/>
      </c>
      <c r="F43" s="141">
        <f>IFERROR(__xludf.DUMMYFUNCTION("""COMPUTED_VALUE"""),21.86)</f>
        <v/>
      </c>
      <c r="G43" s="143">
        <f>IFERROR(__xludf.DUMMYFUNCTION("""COMPUTED_VALUE"""),444106)</f>
        <v/>
      </c>
      <c r="H43" s="27" t="n"/>
    </row>
    <row r="44" ht="17.25" customHeight="1" s="322">
      <c r="A44" s="27" t="n"/>
      <c r="B44" s="506">
        <f>IFERROR(__xludf.DUMMYFUNCTION("""COMPUTED_VALUE"""),45890.6666666666)</f>
        <v/>
      </c>
      <c r="C44" s="141">
        <f>IFERROR(__xludf.DUMMYFUNCTION("""COMPUTED_VALUE"""),21.86)</f>
        <v/>
      </c>
      <c r="D44" s="141">
        <f>IFERROR(__xludf.DUMMYFUNCTION("""COMPUTED_VALUE"""),22.02)</f>
        <v/>
      </c>
      <c r="E44" s="141">
        <f>IFERROR(__xludf.DUMMYFUNCTION("""COMPUTED_VALUE"""),21.83)</f>
        <v/>
      </c>
      <c r="F44" s="141">
        <f>IFERROR(__xludf.DUMMYFUNCTION("""COMPUTED_VALUE"""),21.99)</f>
        <v/>
      </c>
      <c r="G44" s="143">
        <f>IFERROR(__xludf.DUMMYFUNCTION("""COMPUTED_VALUE"""),545995)</f>
        <v/>
      </c>
      <c r="H44" s="27" t="n"/>
    </row>
    <row r="45" ht="17.25" customHeight="1" s="322">
      <c r="A45" s="27" t="n"/>
      <c r="B45" s="506">
        <f>IFERROR(__xludf.DUMMYFUNCTION("""COMPUTED_VALUE"""),45891.6666666666)</f>
        <v/>
      </c>
      <c r="C45" s="141">
        <f>IFERROR(__xludf.DUMMYFUNCTION("""COMPUTED_VALUE"""),21.97)</f>
        <v/>
      </c>
      <c r="D45" s="141">
        <f>IFERROR(__xludf.DUMMYFUNCTION("""COMPUTED_VALUE"""),22.12)</f>
        <v/>
      </c>
      <c r="E45" s="141">
        <f>IFERROR(__xludf.DUMMYFUNCTION("""COMPUTED_VALUE"""),21.97)</f>
        <v/>
      </c>
      <c r="F45" s="141">
        <f>IFERROR(__xludf.DUMMYFUNCTION("""COMPUTED_VALUE"""),22.08)</f>
        <v/>
      </c>
      <c r="G45" s="143">
        <f>IFERROR(__xludf.DUMMYFUNCTION("""COMPUTED_VALUE"""),252190)</f>
        <v/>
      </c>
      <c r="H45" s="27" t="n"/>
    </row>
    <row r="46" ht="17.25" customHeight="1" s="322">
      <c r="A46" s="27" t="n"/>
      <c r="B46" s="506">
        <f>IFERROR(__xludf.DUMMYFUNCTION("""COMPUTED_VALUE"""),45894.6666666666)</f>
        <v/>
      </c>
      <c r="C46" s="141">
        <f>IFERROR(__xludf.DUMMYFUNCTION("""COMPUTED_VALUE"""),22.13)</f>
        <v/>
      </c>
      <c r="D46" s="141">
        <f>IFERROR(__xludf.DUMMYFUNCTION("""COMPUTED_VALUE"""),22.26)</f>
        <v/>
      </c>
      <c r="E46" s="141">
        <f>IFERROR(__xludf.DUMMYFUNCTION("""COMPUTED_VALUE"""),22.11)</f>
        <v/>
      </c>
      <c r="F46" s="141">
        <f>IFERROR(__xludf.DUMMYFUNCTION("""COMPUTED_VALUE"""),22.19)</f>
        <v/>
      </c>
      <c r="G46" s="143">
        <f>IFERROR(__xludf.DUMMYFUNCTION("""COMPUTED_VALUE"""),162394)</f>
        <v/>
      </c>
      <c r="H46" s="27" t="n"/>
    </row>
    <row r="47" ht="17.25" customHeight="1" s="322">
      <c r="A47" s="27" t="n"/>
      <c r="B47" s="506">
        <f>IFERROR(__xludf.DUMMYFUNCTION("""COMPUTED_VALUE"""),45895.6666666666)</f>
        <v/>
      </c>
      <c r="C47" s="141">
        <f>IFERROR(__xludf.DUMMYFUNCTION("""COMPUTED_VALUE"""),22.05)</f>
        <v/>
      </c>
      <c r="D47" s="141">
        <f>IFERROR(__xludf.DUMMYFUNCTION("""COMPUTED_VALUE"""),22.12)</f>
        <v/>
      </c>
      <c r="E47" s="141">
        <f>IFERROR(__xludf.DUMMYFUNCTION("""COMPUTED_VALUE"""),21.99)</f>
        <v/>
      </c>
      <c r="F47" s="141">
        <f>IFERROR(__xludf.DUMMYFUNCTION("""COMPUTED_VALUE"""),22.02)</f>
        <v/>
      </c>
      <c r="G47" s="143">
        <f>IFERROR(__xludf.DUMMYFUNCTION("""COMPUTED_VALUE"""),236283)</f>
        <v/>
      </c>
      <c r="H47" s="27" t="n"/>
    </row>
    <row r="48" ht="17.25" customHeight="1" s="322">
      <c r="A48" s="27" t="n"/>
      <c r="B48" s="506">
        <f>IFERROR(__xludf.DUMMYFUNCTION("""COMPUTED_VALUE"""),45896.6666666666)</f>
        <v/>
      </c>
      <c r="C48" s="141">
        <f>IFERROR(__xludf.DUMMYFUNCTION("""COMPUTED_VALUE"""),22)</f>
        <v/>
      </c>
      <c r="D48" s="141">
        <f>IFERROR(__xludf.DUMMYFUNCTION("""COMPUTED_VALUE"""),22.1)</f>
        <v/>
      </c>
      <c r="E48" s="141">
        <f>IFERROR(__xludf.DUMMYFUNCTION("""COMPUTED_VALUE"""),21.98)</f>
        <v/>
      </c>
      <c r="F48" s="141">
        <f>IFERROR(__xludf.DUMMYFUNCTION("""COMPUTED_VALUE"""),22.04)</f>
        <v/>
      </c>
      <c r="G48" s="143">
        <f>IFERROR(__xludf.DUMMYFUNCTION("""COMPUTED_VALUE"""),565613)</f>
        <v/>
      </c>
      <c r="H48" s="27" t="n"/>
    </row>
    <row r="49" ht="17.25" customHeight="1" s="322">
      <c r="A49" s="27" t="n"/>
      <c r="B49" s="506">
        <f>IFERROR(__xludf.DUMMYFUNCTION("""COMPUTED_VALUE"""),45897.6666666666)</f>
        <v/>
      </c>
      <c r="C49" s="141">
        <f>IFERROR(__xludf.DUMMYFUNCTION("""COMPUTED_VALUE"""),22.06)</f>
        <v/>
      </c>
      <c r="D49" s="141">
        <f>IFERROR(__xludf.DUMMYFUNCTION("""COMPUTED_VALUE"""),22.25)</f>
        <v/>
      </c>
      <c r="E49" s="141">
        <f>IFERROR(__xludf.DUMMYFUNCTION("""COMPUTED_VALUE"""),21.99)</f>
        <v/>
      </c>
      <c r="F49" s="141">
        <f>IFERROR(__xludf.DUMMYFUNCTION("""COMPUTED_VALUE"""),22.18)</f>
        <v/>
      </c>
      <c r="G49" s="143">
        <f>IFERROR(__xludf.DUMMYFUNCTION("""COMPUTED_VALUE"""),146967)</f>
        <v/>
      </c>
      <c r="H49" s="27" t="n"/>
    </row>
    <row r="50" ht="17.25" customHeight="1" s="322">
      <c r="A50" s="27" t="n"/>
      <c r="B50" s="506">
        <f>IFERROR(__xludf.DUMMYFUNCTION("""COMPUTED_VALUE"""),45898.6666666666)</f>
        <v/>
      </c>
      <c r="C50" s="141">
        <f>IFERROR(__xludf.DUMMYFUNCTION("""COMPUTED_VALUE"""),22.23)</f>
        <v/>
      </c>
      <c r="D50" s="141">
        <f>IFERROR(__xludf.DUMMYFUNCTION("""COMPUTED_VALUE"""),22.23)</f>
        <v/>
      </c>
      <c r="E50" s="141">
        <f>IFERROR(__xludf.DUMMYFUNCTION("""COMPUTED_VALUE"""),22.15)</f>
        <v/>
      </c>
      <c r="F50" s="141">
        <f>IFERROR(__xludf.DUMMYFUNCTION("""COMPUTED_VALUE"""),22.21)</f>
        <v/>
      </c>
      <c r="G50" s="143">
        <f>IFERROR(__xludf.DUMMYFUNCTION("""COMPUTED_VALUE"""),447521)</f>
        <v/>
      </c>
      <c r="H50" s="27" t="n"/>
    </row>
    <row r="51" ht="17.25" customHeight="1" s="322">
      <c r="A51" s="27" t="n"/>
      <c r="B51" s="506">
        <f>IFERROR(__xludf.DUMMYFUNCTION("""COMPUTED_VALUE"""),45902.6666666666)</f>
        <v/>
      </c>
      <c r="C51" s="141">
        <f>IFERROR(__xludf.DUMMYFUNCTION("""COMPUTED_VALUE"""),22.42)</f>
        <v/>
      </c>
      <c r="D51" s="141">
        <f>IFERROR(__xludf.DUMMYFUNCTION("""COMPUTED_VALUE"""),22.59)</f>
        <v/>
      </c>
      <c r="E51" s="141">
        <f>IFERROR(__xludf.DUMMYFUNCTION("""COMPUTED_VALUE"""),22.34)</f>
        <v/>
      </c>
      <c r="F51" s="141">
        <f>IFERROR(__xludf.DUMMYFUNCTION("""COMPUTED_VALUE"""),22.57)</f>
        <v/>
      </c>
      <c r="G51" s="143">
        <f>IFERROR(__xludf.DUMMYFUNCTION("""COMPUTED_VALUE"""),630083)</f>
        <v/>
      </c>
      <c r="H51" s="27" t="n"/>
    </row>
    <row r="52" ht="17.25" customHeight="1" s="322">
      <c r="A52" s="27" t="n"/>
      <c r="B52" s="506">
        <f>IFERROR(__xludf.DUMMYFUNCTION("""COMPUTED_VALUE"""),45903.6666666666)</f>
        <v/>
      </c>
      <c r="C52" s="141">
        <f>IFERROR(__xludf.DUMMYFUNCTION("""COMPUTED_VALUE"""),22.5)</f>
        <v/>
      </c>
      <c r="D52" s="141">
        <f>IFERROR(__xludf.DUMMYFUNCTION("""COMPUTED_VALUE"""),22.52)</f>
        <v/>
      </c>
      <c r="E52" s="141">
        <f>IFERROR(__xludf.DUMMYFUNCTION("""COMPUTED_VALUE"""),22.34)</f>
        <v/>
      </c>
      <c r="F52" s="141">
        <f>IFERROR(__xludf.DUMMYFUNCTION("""COMPUTED_VALUE"""),22.37)</f>
        <v/>
      </c>
      <c r="G52" s="143">
        <f>IFERROR(__xludf.DUMMYFUNCTION("""COMPUTED_VALUE"""),820084)</f>
        <v/>
      </c>
      <c r="H52" s="27" t="n"/>
    </row>
    <row r="53" ht="17.25" customHeight="1" s="322">
      <c r="A53" s="27" t="n"/>
      <c r="B53" s="506">
        <f>IFERROR(__xludf.DUMMYFUNCTION("""COMPUTED_VALUE"""),45904.6666666666)</f>
        <v/>
      </c>
      <c r="C53" s="141">
        <f>IFERROR(__xludf.DUMMYFUNCTION("""COMPUTED_VALUE"""),22.2)</f>
        <v/>
      </c>
      <c r="D53" s="141">
        <f>IFERROR(__xludf.DUMMYFUNCTION("""COMPUTED_VALUE"""),22.25)</f>
        <v/>
      </c>
      <c r="E53" s="141">
        <f>IFERROR(__xludf.DUMMYFUNCTION("""COMPUTED_VALUE"""),22.14)</f>
        <v/>
      </c>
      <c r="F53" s="141">
        <f>IFERROR(__xludf.DUMMYFUNCTION("""COMPUTED_VALUE"""),22.21)</f>
        <v/>
      </c>
      <c r="G53" s="143">
        <f>IFERROR(__xludf.DUMMYFUNCTION("""COMPUTED_VALUE"""),414410)</f>
        <v/>
      </c>
      <c r="H53" s="27" t="n"/>
    </row>
    <row r="54" ht="17.25" customHeight="1" s="322">
      <c r="A54" s="27" t="n"/>
      <c r="B54" s="506">
        <f>IFERROR(__xludf.DUMMYFUNCTION("""COMPUTED_VALUE"""),45905.6666666666)</f>
        <v/>
      </c>
      <c r="C54" s="141">
        <f>IFERROR(__xludf.DUMMYFUNCTION("""COMPUTED_VALUE"""),22.14)</f>
        <v/>
      </c>
      <c r="D54" s="141">
        <f>IFERROR(__xludf.DUMMYFUNCTION("""COMPUTED_VALUE"""),22.14)</f>
        <v/>
      </c>
      <c r="E54" s="141">
        <f>IFERROR(__xludf.DUMMYFUNCTION("""COMPUTED_VALUE"""),21.97)</f>
        <v/>
      </c>
      <c r="F54" s="141">
        <f>IFERROR(__xludf.DUMMYFUNCTION("""COMPUTED_VALUE"""),22.03)</f>
        <v/>
      </c>
      <c r="G54" s="143">
        <f>IFERROR(__xludf.DUMMYFUNCTION("""COMPUTED_VALUE"""),419071)</f>
        <v/>
      </c>
      <c r="H54" s="27" t="n"/>
    </row>
    <row r="55" ht="17.25" customHeight="1" s="322">
      <c r="A55" s="27" t="n"/>
      <c r="B55" s="506">
        <f>IFERROR(__xludf.DUMMYFUNCTION("""COMPUTED_VALUE"""),45908.6666666666)</f>
        <v/>
      </c>
      <c r="C55" s="141">
        <f>IFERROR(__xludf.DUMMYFUNCTION("""COMPUTED_VALUE"""),22.2)</f>
        <v/>
      </c>
      <c r="D55" s="141">
        <f>IFERROR(__xludf.DUMMYFUNCTION("""COMPUTED_VALUE"""),22.21)</f>
        <v/>
      </c>
      <c r="E55" s="141">
        <f>IFERROR(__xludf.DUMMYFUNCTION("""COMPUTED_VALUE"""),22.08)</f>
        <v/>
      </c>
      <c r="F55" s="141">
        <f>IFERROR(__xludf.DUMMYFUNCTION("""COMPUTED_VALUE"""),22.18)</f>
        <v/>
      </c>
      <c r="G55" s="143">
        <f>IFERROR(__xludf.DUMMYFUNCTION("""COMPUTED_VALUE"""),316634)</f>
        <v/>
      </c>
      <c r="H55" s="27" t="n"/>
    </row>
    <row r="56" ht="17.25" customHeight="1" s="322">
      <c r="A56" s="27" t="n"/>
      <c r="B56" s="506">
        <f>IFERROR(__xludf.DUMMYFUNCTION("""COMPUTED_VALUE"""),45909.6666666666)</f>
        <v/>
      </c>
      <c r="C56" s="141">
        <f>IFERROR(__xludf.DUMMYFUNCTION("""COMPUTED_VALUE"""),22.32)</f>
        <v/>
      </c>
      <c r="D56" s="141">
        <f>IFERROR(__xludf.DUMMYFUNCTION("""COMPUTED_VALUE"""),22.38)</f>
        <v/>
      </c>
      <c r="E56" s="141">
        <f>IFERROR(__xludf.DUMMYFUNCTION("""COMPUTED_VALUE"""),22.23)</f>
        <v/>
      </c>
      <c r="F56" s="141">
        <f>IFERROR(__xludf.DUMMYFUNCTION("""COMPUTED_VALUE"""),22.24)</f>
        <v/>
      </c>
      <c r="G56" s="143">
        <f>IFERROR(__xludf.DUMMYFUNCTION("""COMPUTED_VALUE"""),252999)</f>
        <v/>
      </c>
      <c r="H56" s="27" t="n"/>
    </row>
    <row r="57" ht="17.25" customHeight="1" s="322">
      <c r="A57" s="27" t="n"/>
      <c r="B57" s="506">
        <f>IFERROR(__xludf.DUMMYFUNCTION("""COMPUTED_VALUE"""),45910.6666666666)</f>
        <v/>
      </c>
      <c r="C57" s="141">
        <f>IFERROR(__xludf.DUMMYFUNCTION("""COMPUTED_VALUE"""),22.28)</f>
        <v/>
      </c>
      <c r="D57" s="141">
        <f>IFERROR(__xludf.DUMMYFUNCTION("""COMPUTED_VALUE"""),22.42)</f>
        <v/>
      </c>
      <c r="E57" s="141">
        <f>IFERROR(__xludf.DUMMYFUNCTION("""COMPUTED_VALUE"""),22.27)</f>
        <v/>
      </c>
      <c r="F57" s="141">
        <f>IFERROR(__xludf.DUMMYFUNCTION("""COMPUTED_VALUE"""),22.39)</f>
        <v/>
      </c>
      <c r="G57" s="143">
        <f>IFERROR(__xludf.DUMMYFUNCTION("""COMPUTED_VALUE"""),282107)</f>
        <v/>
      </c>
      <c r="H57" s="27" t="n"/>
    </row>
    <row r="58" ht="17.25" customHeight="1" s="322">
      <c r="A58" s="27" t="n"/>
      <c r="B58" s="506">
        <f>IFERROR(__xludf.DUMMYFUNCTION("""COMPUTED_VALUE"""),45911.6666666666)</f>
        <v/>
      </c>
      <c r="C58" s="141">
        <f>IFERROR(__xludf.DUMMYFUNCTION("""COMPUTED_VALUE"""),22.18)</f>
        <v/>
      </c>
      <c r="D58" s="141">
        <f>IFERROR(__xludf.DUMMYFUNCTION("""COMPUTED_VALUE"""),22.28)</f>
        <v/>
      </c>
      <c r="E58" s="141">
        <f>IFERROR(__xludf.DUMMYFUNCTION("""COMPUTED_VALUE"""),22.15)</f>
        <v/>
      </c>
      <c r="F58" s="141">
        <f>IFERROR(__xludf.DUMMYFUNCTION("""COMPUTED_VALUE"""),22.22)</f>
        <v/>
      </c>
      <c r="G58" s="143">
        <f>IFERROR(__xludf.DUMMYFUNCTION("""COMPUTED_VALUE"""),251090)</f>
        <v/>
      </c>
      <c r="H58" s="27" t="n"/>
    </row>
    <row r="59" ht="17.25" customHeight="1" s="322">
      <c r="A59" s="27" t="n"/>
      <c r="B59" s="506">
        <f>IFERROR(__xludf.DUMMYFUNCTION("""COMPUTED_VALUE"""),45912.6666666666)</f>
        <v/>
      </c>
      <c r="C59" s="141">
        <f>IFERROR(__xludf.DUMMYFUNCTION("""COMPUTED_VALUE"""),22.39)</f>
        <v/>
      </c>
      <c r="D59" s="141">
        <f>IFERROR(__xludf.DUMMYFUNCTION("""COMPUTED_VALUE"""),22.46)</f>
        <v/>
      </c>
      <c r="E59" s="141">
        <f>IFERROR(__xludf.DUMMYFUNCTION("""COMPUTED_VALUE"""),22.33)</f>
        <v/>
      </c>
      <c r="F59" s="141">
        <f>IFERROR(__xludf.DUMMYFUNCTION("""COMPUTED_VALUE"""),22.35)</f>
        <v/>
      </c>
      <c r="G59" s="143">
        <f>IFERROR(__xludf.DUMMYFUNCTION("""COMPUTED_VALUE"""),300711)</f>
        <v/>
      </c>
      <c r="H59" s="27" t="n"/>
    </row>
    <row r="60" ht="17.25" customHeight="1" s="322">
      <c r="A60" s="27" t="n"/>
      <c r="B60" s="506">
        <f>IFERROR(__xludf.DUMMYFUNCTION("""COMPUTED_VALUE"""),45915.6666666666)</f>
        <v/>
      </c>
      <c r="C60" s="141">
        <f>IFERROR(__xludf.DUMMYFUNCTION("""COMPUTED_VALUE"""),22.5)</f>
        <v/>
      </c>
      <c r="D60" s="141">
        <f>IFERROR(__xludf.DUMMYFUNCTION("""COMPUTED_VALUE"""),22.57)</f>
        <v/>
      </c>
      <c r="E60" s="141">
        <f>IFERROR(__xludf.DUMMYFUNCTION("""COMPUTED_VALUE"""),22.48)</f>
        <v/>
      </c>
      <c r="F60" s="141">
        <f>IFERROR(__xludf.DUMMYFUNCTION("""COMPUTED_VALUE"""),22.55)</f>
        <v/>
      </c>
      <c r="G60" s="143">
        <f>IFERROR(__xludf.DUMMYFUNCTION("""COMPUTED_VALUE"""),267021)</f>
        <v/>
      </c>
      <c r="H60" s="27" t="n"/>
    </row>
    <row r="61" ht="17.25" customHeight="1" s="322">
      <c r="A61" s="27" t="n"/>
      <c r="B61" s="506">
        <f>IFERROR(__xludf.DUMMYFUNCTION("""COMPUTED_VALUE"""),45916.6666666666)</f>
        <v/>
      </c>
      <c r="C61" s="141">
        <f>IFERROR(__xludf.DUMMYFUNCTION("""COMPUTED_VALUE"""),22.69)</f>
        <v/>
      </c>
      <c r="D61" s="141">
        <f>IFERROR(__xludf.DUMMYFUNCTION("""COMPUTED_VALUE"""),22.79)</f>
        <v/>
      </c>
      <c r="E61" s="141">
        <f>IFERROR(__xludf.DUMMYFUNCTION("""COMPUTED_VALUE"""),22.67)</f>
        <v/>
      </c>
      <c r="F61" s="141">
        <f>IFERROR(__xludf.DUMMYFUNCTION("""COMPUTED_VALUE"""),22.78)</f>
        <v/>
      </c>
      <c r="G61" s="143">
        <f>IFERROR(__xludf.DUMMYFUNCTION("""COMPUTED_VALUE"""),195779)</f>
        <v/>
      </c>
      <c r="H61" s="27" t="n"/>
    </row>
    <row r="62" ht="17.25" customHeight="1" s="322">
      <c r="A62" s="27" t="n"/>
      <c r="B62" s="506">
        <f>IFERROR(__xludf.DUMMYFUNCTION("""COMPUTED_VALUE"""),45917.6666666666)</f>
        <v/>
      </c>
      <c r="C62" s="141">
        <f>IFERROR(__xludf.DUMMYFUNCTION("""COMPUTED_VALUE"""),22.71)</f>
        <v/>
      </c>
      <c r="D62" s="141">
        <f>IFERROR(__xludf.DUMMYFUNCTION("""COMPUTED_VALUE"""),22.74)</f>
        <v/>
      </c>
      <c r="E62" s="141">
        <f>IFERROR(__xludf.DUMMYFUNCTION("""COMPUTED_VALUE"""),22.5)</f>
        <v/>
      </c>
      <c r="F62" s="141">
        <f>IFERROR(__xludf.DUMMYFUNCTION("""COMPUTED_VALUE"""),22.54)</f>
        <v/>
      </c>
      <c r="G62" s="143">
        <f>IFERROR(__xludf.DUMMYFUNCTION("""COMPUTED_VALUE"""),448115)</f>
        <v/>
      </c>
      <c r="H62" s="27" t="n"/>
    </row>
    <row r="63" ht="17.25" customHeight="1" s="322">
      <c r="A63" s="27" t="n"/>
      <c r="B63" s="506">
        <f>IFERROR(__xludf.DUMMYFUNCTION("""COMPUTED_VALUE"""),45918.6666666666)</f>
        <v/>
      </c>
      <c r="C63" s="141">
        <f>IFERROR(__xludf.DUMMYFUNCTION("""COMPUTED_VALUE"""),22.55)</f>
        <v/>
      </c>
      <c r="D63" s="141">
        <f>IFERROR(__xludf.DUMMYFUNCTION("""COMPUTED_VALUE"""),22.58)</f>
        <v/>
      </c>
      <c r="E63" s="141">
        <f>IFERROR(__xludf.DUMMYFUNCTION("""COMPUTED_VALUE"""),22.39)</f>
        <v/>
      </c>
      <c r="F63" s="141">
        <f>IFERROR(__xludf.DUMMYFUNCTION("""COMPUTED_VALUE"""),22.44)</f>
        <v/>
      </c>
      <c r="G63" s="143">
        <f>IFERROR(__xludf.DUMMYFUNCTION("""COMPUTED_VALUE"""),190662)</f>
        <v/>
      </c>
      <c r="H63" s="27" t="n"/>
    </row>
    <row r="64" ht="17.25" customHeight="1" s="322">
      <c r="A64" s="27" t="n"/>
      <c r="B64" s="506">
        <f>IFERROR(__xludf.DUMMYFUNCTION("""COMPUTED_VALUE"""),45919.6666666666)</f>
        <v/>
      </c>
      <c r="C64" s="141">
        <f>IFERROR(__xludf.DUMMYFUNCTION("""COMPUTED_VALUE"""),22.35)</f>
        <v/>
      </c>
      <c r="D64" s="141">
        <f>IFERROR(__xludf.DUMMYFUNCTION("""COMPUTED_VALUE"""),22.41)</f>
        <v/>
      </c>
      <c r="E64" s="141">
        <f>IFERROR(__xludf.DUMMYFUNCTION("""COMPUTED_VALUE"""),22.25)</f>
        <v/>
      </c>
      <c r="F64" s="141">
        <f>IFERROR(__xludf.DUMMYFUNCTION("""COMPUTED_VALUE"""),22.26)</f>
        <v/>
      </c>
      <c r="G64" s="143">
        <f>IFERROR(__xludf.DUMMYFUNCTION("""COMPUTED_VALUE"""),205197)</f>
        <v/>
      </c>
      <c r="H64" s="27" t="n"/>
    </row>
    <row r="65" ht="17.25" customHeight="1" s="322">
      <c r="A65" s="27" t="n"/>
      <c r="B65" s="506">
        <f>IFERROR(__xludf.DUMMYFUNCTION("""COMPUTED_VALUE"""),45922.6666666666)</f>
        <v/>
      </c>
      <c r="C65" s="141">
        <f>IFERROR(__xludf.DUMMYFUNCTION("""COMPUTED_VALUE"""),22.17)</f>
        <v/>
      </c>
      <c r="D65" s="141">
        <f>IFERROR(__xludf.DUMMYFUNCTION("""COMPUTED_VALUE"""),22.27)</f>
        <v/>
      </c>
      <c r="E65" s="141">
        <f>IFERROR(__xludf.DUMMYFUNCTION("""COMPUTED_VALUE"""),22.16)</f>
        <v/>
      </c>
      <c r="F65" s="141">
        <f>IFERROR(__xludf.DUMMYFUNCTION("""COMPUTED_VALUE"""),22.26)</f>
        <v/>
      </c>
      <c r="G65" s="143">
        <f>IFERROR(__xludf.DUMMYFUNCTION("""COMPUTED_VALUE"""),325682)</f>
        <v/>
      </c>
      <c r="H65" s="27" t="n"/>
    </row>
    <row r="66" ht="17.25" customHeight="1" s="322">
      <c r="A66" s="27" t="n"/>
      <c r="B66" s="506">
        <f>IFERROR(__xludf.DUMMYFUNCTION("""COMPUTED_VALUE"""),45923.6666666666)</f>
        <v/>
      </c>
      <c r="C66" s="141">
        <f>IFERROR(__xludf.DUMMYFUNCTION("""COMPUTED_VALUE"""),22.34)</f>
        <v/>
      </c>
      <c r="D66" s="141">
        <f>IFERROR(__xludf.DUMMYFUNCTION("""COMPUTED_VALUE"""),22.5)</f>
        <v/>
      </c>
      <c r="E66" s="141">
        <f>IFERROR(__xludf.DUMMYFUNCTION("""COMPUTED_VALUE"""),22.34)</f>
        <v/>
      </c>
      <c r="F66" s="141">
        <f>IFERROR(__xludf.DUMMYFUNCTION("""COMPUTED_VALUE"""),22.49)</f>
        <v/>
      </c>
      <c r="G66" s="143">
        <f>IFERROR(__xludf.DUMMYFUNCTION("""COMPUTED_VALUE"""),318513)</f>
        <v/>
      </c>
      <c r="H66" s="27" t="n"/>
    </row>
    <row r="67" ht="17.25" customHeight="1" s="322">
      <c r="A67" s="27" t="n"/>
      <c r="B67" s="506">
        <f>IFERROR(__xludf.DUMMYFUNCTION("""COMPUTED_VALUE"""),45924.6666666666)</f>
        <v/>
      </c>
      <c r="C67" s="141">
        <f>IFERROR(__xludf.DUMMYFUNCTION("""COMPUTED_VALUE"""),22.56)</f>
        <v/>
      </c>
      <c r="D67" s="141">
        <f>IFERROR(__xludf.DUMMYFUNCTION("""COMPUTED_VALUE"""),22.66)</f>
        <v/>
      </c>
      <c r="E67" s="141">
        <f>IFERROR(__xludf.DUMMYFUNCTION("""COMPUTED_VALUE"""),22.52)</f>
        <v/>
      </c>
      <c r="F67" s="141">
        <f>IFERROR(__xludf.DUMMYFUNCTION("""COMPUTED_VALUE"""),22.64)</f>
        <v/>
      </c>
      <c r="G67" s="143">
        <f>IFERROR(__xludf.DUMMYFUNCTION("""COMPUTED_VALUE"""),309298)</f>
        <v/>
      </c>
      <c r="H67" s="27" t="n"/>
    </row>
    <row r="68" ht="17.25" customHeight="1" s="322">
      <c r="A68" s="27" t="n"/>
      <c r="B68" s="506">
        <f>IFERROR(__xludf.DUMMYFUNCTION("""COMPUTED_VALUE"""),45925.6666666666)</f>
        <v/>
      </c>
      <c r="C68" s="141">
        <f>IFERROR(__xludf.DUMMYFUNCTION("""COMPUTED_VALUE"""),22.65)</f>
        <v/>
      </c>
      <c r="D68" s="141">
        <f>IFERROR(__xludf.DUMMYFUNCTION("""COMPUTED_VALUE"""),22.8)</f>
        <v/>
      </c>
      <c r="E68" s="141">
        <f>IFERROR(__xludf.DUMMYFUNCTION("""COMPUTED_VALUE"""),22.58)</f>
        <v/>
      </c>
      <c r="F68" s="141">
        <f>IFERROR(__xludf.DUMMYFUNCTION("""COMPUTED_VALUE"""),22.8)</f>
        <v/>
      </c>
      <c r="G68" s="143">
        <f>IFERROR(__xludf.DUMMYFUNCTION("""COMPUTED_VALUE"""),1415145)</f>
        <v/>
      </c>
      <c r="H68" s="27" t="n"/>
    </row>
    <row r="69" ht="17.25" customHeight="1" s="322">
      <c r="A69" s="27" t="n"/>
      <c r="B69" s="506">
        <f>IFERROR(__xludf.DUMMYFUNCTION("""COMPUTED_VALUE"""),45926.6666666666)</f>
        <v/>
      </c>
      <c r="C69" s="141">
        <f>IFERROR(__xludf.DUMMYFUNCTION("""COMPUTED_VALUE"""),22.78)</f>
        <v/>
      </c>
      <c r="D69" s="141">
        <f>IFERROR(__xludf.DUMMYFUNCTION("""COMPUTED_VALUE"""),22.97)</f>
        <v/>
      </c>
      <c r="E69" s="141">
        <f>IFERROR(__xludf.DUMMYFUNCTION("""COMPUTED_VALUE"""),22.76)</f>
        <v/>
      </c>
      <c r="F69" s="141">
        <f>IFERROR(__xludf.DUMMYFUNCTION("""COMPUTED_VALUE"""),22.81)</f>
        <v/>
      </c>
      <c r="G69" s="143">
        <f>IFERROR(__xludf.DUMMYFUNCTION("""COMPUTED_VALUE"""),407553)</f>
        <v/>
      </c>
      <c r="H69" s="27" t="n"/>
    </row>
    <row r="70" ht="17.25" customHeight="1" s="322">
      <c r="A70" s="27" t="n"/>
      <c r="B70" s="506">
        <f>IFERROR(__xludf.DUMMYFUNCTION("""COMPUTED_VALUE"""),45929.6666666666)</f>
        <v/>
      </c>
      <c r="C70" s="141">
        <f>IFERROR(__xludf.DUMMYFUNCTION("""COMPUTED_VALUE"""),22.67)</f>
        <v/>
      </c>
      <c r="D70" s="141">
        <f>IFERROR(__xludf.DUMMYFUNCTION("""COMPUTED_VALUE"""),22.7)</f>
        <v/>
      </c>
      <c r="E70" s="141">
        <f>IFERROR(__xludf.DUMMYFUNCTION("""COMPUTED_VALUE"""),22.59)</f>
        <v/>
      </c>
      <c r="F70" s="141">
        <f>IFERROR(__xludf.DUMMYFUNCTION("""COMPUTED_VALUE"""),22.62)</f>
        <v/>
      </c>
      <c r="G70" s="143">
        <f>IFERROR(__xludf.DUMMYFUNCTION("""COMPUTED_VALUE"""),192203)</f>
        <v/>
      </c>
      <c r="H70" s="27" t="n"/>
    </row>
    <row r="71" ht="17.25" customHeight="1" s="322">
      <c r="A71" s="27" t="n"/>
      <c r="B71" s="506">
        <f>IFERROR(__xludf.DUMMYFUNCTION("""COMPUTED_VALUE"""),45930.6666666666)</f>
        <v/>
      </c>
      <c r="C71" s="141">
        <f>IFERROR(__xludf.DUMMYFUNCTION("""COMPUTED_VALUE"""),22.5)</f>
        <v/>
      </c>
      <c r="D71" s="141">
        <f>IFERROR(__xludf.DUMMYFUNCTION("""COMPUTED_VALUE"""),22.58)</f>
        <v/>
      </c>
      <c r="E71" s="141">
        <f>IFERROR(__xludf.DUMMYFUNCTION("""COMPUTED_VALUE"""),22.47)</f>
        <v/>
      </c>
      <c r="F71" s="141">
        <f>IFERROR(__xludf.DUMMYFUNCTION("""COMPUTED_VALUE"""),22.53)</f>
        <v/>
      </c>
      <c r="G71" s="143">
        <f>IFERROR(__xludf.DUMMYFUNCTION("""COMPUTED_VALUE"""),377478)</f>
        <v/>
      </c>
      <c r="H71" s="27" t="n"/>
    </row>
    <row r="72" ht="17.25" customHeight="1" s="322">
      <c r="A72" s="27" t="n"/>
      <c r="B72" s="506">
        <f>IFERROR(__xludf.DUMMYFUNCTION("""COMPUTED_VALUE"""),45931.6666666666)</f>
        <v/>
      </c>
      <c r="C72" s="141">
        <f>IFERROR(__xludf.DUMMYFUNCTION("""COMPUTED_VALUE"""),22.34)</f>
        <v/>
      </c>
      <c r="D72" s="141">
        <f>IFERROR(__xludf.DUMMYFUNCTION("""COMPUTED_VALUE"""),22.52)</f>
        <v/>
      </c>
      <c r="E72" s="141">
        <f>IFERROR(__xludf.DUMMYFUNCTION("""COMPUTED_VALUE"""),22.3)</f>
        <v/>
      </c>
      <c r="F72" s="141">
        <f>IFERROR(__xludf.DUMMYFUNCTION("""COMPUTED_VALUE"""),22.49)</f>
        <v/>
      </c>
      <c r="G72" s="143">
        <f>IFERROR(__xludf.DUMMYFUNCTION("""COMPUTED_VALUE"""),565696)</f>
        <v/>
      </c>
      <c r="H72" s="27" t="n"/>
    </row>
    <row r="73" ht="17.25" customHeight="1" s="322">
      <c r="A73" s="27" t="n"/>
      <c r="B73" s="506">
        <f>IFERROR(__xludf.DUMMYFUNCTION("""COMPUTED_VALUE"""),45932.6666666666)</f>
        <v/>
      </c>
      <c r="C73" s="141">
        <f>IFERROR(__xludf.DUMMYFUNCTION("""COMPUTED_VALUE"""),22.45)</f>
        <v/>
      </c>
      <c r="D73" s="141">
        <f>IFERROR(__xludf.DUMMYFUNCTION("""COMPUTED_VALUE"""),22.52)</f>
        <v/>
      </c>
      <c r="E73" s="141">
        <f>IFERROR(__xludf.DUMMYFUNCTION("""COMPUTED_VALUE"""),22.28)</f>
        <v/>
      </c>
      <c r="F73" s="141">
        <f>IFERROR(__xludf.DUMMYFUNCTION("""COMPUTED_VALUE"""),22.34)</f>
        <v/>
      </c>
      <c r="G73" s="143">
        <f>IFERROR(__xludf.DUMMYFUNCTION("""COMPUTED_VALUE"""),303270)</f>
        <v/>
      </c>
      <c r="H73" s="27" t="n"/>
    </row>
    <row r="74" ht="17.25" customHeight="1" s="322">
      <c r="A74" s="27" t="n"/>
      <c r="B74" s="506">
        <f>IFERROR(__xludf.DUMMYFUNCTION("""COMPUTED_VALUE"""),45933.6666666666)</f>
        <v/>
      </c>
      <c r="C74" s="141">
        <f>IFERROR(__xludf.DUMMYFUNCTION("""COMPUTED_VALUE"""),22.41)</f>
        <v/>
      </c>
      <c r="D74" s="141">
        <f>IFERROR(__xludf.DUMMYFUNCTION("""COMPUTED_VALUE"""),22.49)</f>
        <v/>
      </c>
      <c r="E74" s="141">
        <f>IFERROR(__xludf.DUMMYFUNCTION("""COMPUTED_VALUE"""),22.39)</f>
        <v/>
      </c>
      <c r="F74" s="141">
        <f>IFERROR(__xludf.DUMMYFUNCTION("""COMPUTED_VALUE"""),22.41)</f>
        <v/>
      </c>
      <c r="G74" s="143">
        <f>IFERROR(__xludf.DUMMYFUNCTION("""COMPUTED_VALUE"""),356980)</f>
        <v/>
      </c>
      <c r="H74" s="27" t="n"/>
    </row>
    <row r="75" ht="17.25" customHeight="1" s="322">
      <c r="A75" s="27" t="n"/>
      <c r="B75" s="506">
        <f>IFERROR(__xludf.DUMMYFUNCTION("""COMPUTED_VALUE"""),45936.6666666666)</f>
        <v/>
      </c>
      <c r="C75" s="141">
        <f>IFERROR(__xludf.DUMMYFUNCTION("""COMPUTED_VALUE"""),22.55)</f>
        <v/>
      </c>
      <c r="D75" s="141">
        <f>IFERROR(__xludf.DUMMYFUNCTION("""COMPUTED_VALUE"""),22.66)</f>
        <v/>
      </c>
      <c r="E75" s="141">
        <f>IFERROR(__xludf.DUMMYFUNCTION("""COMPUTED_VALUE"""),22.55)</f>
        <v/>
      </c>
      <c r="F75" s="141">
        <f>IFERROR(__xludf.DUMMYFUNCTION("""COMPUTED_VALUE"""),22.64)</f>
        <v/>
      </c>
      <c r="G75" s="143">
        <f>IFERROR(__xludf.DUMMYFUNCTION("""COMPUTED_VALUE"""),179613)</f>
        <v/>
      </c>
      <c r="H75" s="27" t="n"/>
    </row>
    <row r="76" ht="17.25" customHeight="1" s="322">
      <c r="A76" s="27" t="n"/>
      <c r="B76" s="506">
        <f>IFERROR(__xludf.DUMMYFUNCTION("""COMPUTED_VALUE"""),45937.6666666666)</f>
        <v/>
      </c>
      <c r="C76" s="141">
        <f>IFERROR(__xludf.DUMMYFUNCTION("""COMPUTED_VALUE"""),22.62)</f>
        <v/>
      </c>
      <c r="D76" s="141">
        <f>IFERROR(__xludf.DUMMYFUNCTION("""COMPUTED_VALUE"""),22.73)</f>
        <v/>
      </c>
      <c r="E76" s="141">
        <f>IFERROR(__xludf.DUMMYFUNCTION("""COMPUTED_VALUE"""),22.57)</f>
        <v/>
      </c>
      <c r="F76" s="141">
        <f>IFERROR(__xludf.DUMMYFUNCTION("""COMPUTED_VALUE"""),22.73)</f>
        <v/>
      </c>
      <c r="G76" s="143">
        <f>IFERROR(__xludf.DUMMYFUNCTION("""COMPUTED_VALUE"""),241765)</f>
        <v/>
      </c>
      <c r="H76" s="27" t="n"/>
    </row>
    <row r="77" ht="17.25" customHeight="1" s="322">
      <c r="A77" s="27" t="n"/>
      <c r="B77" s="506">
        <f>IFERROR(__xludf.DUMMYFUNCTION("""COMPUTED_VALUE"""),45938.6666666666)</f>
        <v/>
      </c>
      <c r="C77" s="141">
        <f>IFERROR(__xludf.DUMMYFUNCTION("""COMPUTED_VALUE"""),22.76)</f>
        <v/>
      </c>
      <c r="D77" s="141">
        <f>IFERROR(__xludf.DUMMYFUNCTION("""COMPUTED_VALUE"""),22.84)</f>
        <v/>
      </c>
      <c r="E77" s="141">
        <f>IFERROR(__xludf.DUMMYFUNCTION("""COMPUTED_VALUE"""),22.73)</f>
        <v/>
      </c>
      <c r="F77" s="141">
        <f>IFERROR(__xludf.DUMMYFUNCTION("""COMPUTED_VALUE"""),22.76)</f>
        <v/>
      </c>
      <c r="G77" s="143">
        <f>IFERROR(__xludf.DUMMYFUNCTION("""COMPUTED_VALUE"""),292551)</f>
        <v/>
      </c>
      <c r="H77" s="27" t="n"/>
    </row>
    <row r="78" ht="17.25" customHeight="1" s="322">
      <c r="A78" s="27" t="n"/>
      <c r="B78" s="506">
        <f>IFERROR(__xludf.DUMMYFUNCTION("""COMPUTED_VALUE"""),45939.6666666666)</f>
        <v/>
      </c>
      <c r="C78" s="141">
        <f>IFERROR(__xludf.DUMMYFUNCTION("""COMPUTED_VALUE"""),22.85)</f>
        <v/>
      </c>
      <c r="D78" s="141">
        <f>IFERROR(__xludf.DUMMYFUNCTION("""COMPUTED_VALUE"""),22.85)</f>
        <v/>
      </c>
      <c r="E78" s="141">
        <f>IFERROR(__xludf.DUMMYFUNCTION("""COMPUTED_VALUE"""),22.52)</f>
        <v/>
      </c>
      <c r="F78" s="141">
        <f>IFERROR(__xludf.DUMMYFUNCTION("""COMPUTED_VALUE"""),22.55)</f>
        <v/>
      </c>
      <c r="G78" s="143">
        <f>IFERROR(__xludf.DUMMYFUNCTION("""COMPUTED_VALUE"""),168419)</f>
        <v/>
      </c>
      <c r="H78" s="27" t="n"/>
    </row>
    <row r="79" ht="17.25" customHeight="1" s="322">
      <c r="A79" s="27" t="n"/>
      <c r="B79" s="506">
        <f>IFERROR(__xludf.DUMMYFUNCTION("""COMPUTED_VALUE"""),45940.6666666666)</f>
        <v/>
      </c>
      <c r="C79" s="141">
        <f>IFERROR(__xludf.DUMMYFUNCTION("""COMPUTED_VALUE"""),22.36)</f>
        <v/>
      </c>
      <c r="D79" s="141">
        <f>IFERROR(__xludf.DUMMYFUNCTION("""COMPUTED_VALUE"""),22.41)</f>
        <v/>
      </c>
      <c r="E79" s="141">
        <f>IFERROR(__xludf.DUMMYFUNCTION("""COMPUTED_VALUE"""),22.04)</f>
        <v/>
      </c>
      <c r="F79" s="141">
        <f>IFERROR(__xludf.DUMMYFUNCTION("""COMPUTED_VALUE"""),22.07)</f>
        <v/>
      </c>
      <c r="G79" s="143">
        <f>IFERROR(__xludf.DUMMYFUNCTION("""COMPUTED_VALUE"""),464290)</f>
        <v/>
      </c>
      <c r="H79" s="27" t="n"/>
    </row>
    <row r="80" ht="17.25" customHeight="1" s="322">
      <c r="A80" s="27" t="n"/>
      <c r="B80" s="506">
        <f>IFERROR(__xludf.DUMMYFUNCTION("""COMPUTED_VALUE"""),45943.6666666666)</f>
        <v/>
      </c>
      <c r="C80" s="141">
        <f>IFERROR(__xludf.DUMMYFUNCTION("""COMPUTED_VALUE"""),22.3)</f>
        <v/>
      </c>
      <c r="D80" s="141">
        <f>IFERROR(__xludf.DUMMYFUNCTION("""COMPUTED_VALUE"""),22.38)</f>
        <v/>
      </c>
      <c r="E80" s="141">
        <f>IFERROR(__xludf.DUMMYFUNCTION("""COMPUTED_VALUE"""),22.23)</f>
        <v/>
      </c>
      <c r="F80" s="141">
        <f>IFERROR(__xludf.DUMMYFUNCTION("""COMPUTED_VALUE"""),22.35)</f>
        <v/>
      </c>
      <c r="G80" s="143">
        <f>IFERROR(__xludf.DUMMYFUNCTION("""COMPUTED_VALUE"""),282742)</f>
        <v/>
      </c>
      <c r="H80" s="27" t="n"/>
    </row>
    <row r="81" ht="17.25" customHeight="1" s="322">
      <c r="A81" s="27" t="n"/>
      <c r="B81" s="506">
        <f>IFERROR(__xludf.DUMMYFUNCTION("""COMPUTED_VALUE"""),45944.6666666666)</f>
        <v/>
      </c>
      <c r="C81" s="141">
        <f>IFERROR(__xludf.DUMMYFUNCTION("""COMPUTED_VALUE"""),22.06)</f>
        <v/>
      </c>
      <c r="D81" s="141">
        <f>IFERROR(__xludf.DUMMYFUNCTION("""COMPUTED_VALUE"""),22.2)</f>
        <v/>
      </c>
      <c r="E81" s="141">
        <f>IFERROR(__xludf.DUMMYFUNCTION("""COMPUTED_VALUE"""),22.02)</f>
        <v/>
      </c>
      <c r="F81" s="141">
        <f>IFERROR(__xludf.DUMMYFUNCTION("""COMPUTED_VALUE"""),22.1)</f>
        <v/>
      </c>
      <c r="G81" s="143">
        <f>IFERROR(__xludf.DUMMYFUNCTION("""COMPUTED_VALUE"""),205307)</f>
        <v/>
      </c>
      <c r="H81" s="27" t="n"/>
    </row>
    <row r="82" ht="17.25" customHeight="1" s="322">
      <c r="A82" s="27" t="n"/>
      <c r="B82" s="506">
        <f>IFERROR(__xludf.DUMMYFUNCTION("""COMPUTED_VALUE"""),45945.6666666666)</f>
        <v/>
      </c>
      <c r="C82" s="141">
        <f>IFERROR(__xludf.DUMMYFUNCTION("""COMPUTED_VALUE"""),22.21)</f>
        <v/>
      </c>
      <c r="D82" s="141">
        <f>IFERROR(__xludf.DUMMYFUNCTION("""COMPUTED_VALUE"""),22.23)</f>
        <v/>
      </c>
      <c r="E82" s="141">
        <f>IFERROR(__xludf.DUMMYFUNCTION("""COMPUTED_VALUE"""),22.1)</f>
        <v/>
      </c>
      <c r="F82" s="141">
        <f>IFERROR(__xludf.DUMMYFUNCTION("""COMPUTED_VALUE"""),22.18)</f>
        <v/>
      </c>
      <c r="G82" s="143">
        <f>IFERROR(__xludf.DUMMYFUNCTION("""COMPUTED_VALUE"""),164516)</f>
        <v/>
      </c>
      <c r="H82" s="27" t="n"/>
    </row>
    <row r="83" ht="17.25" customHeight="1" s="322">
      <c r="A83" s="27" t="n"/>
      <c r="B83" s="506">
        <f>IFERROR(__xludf.DUMMYFUNCTION("""COMPUTED_VALUE"""),45946.6666666666)</f>
        <v/>
      </c>
      <c r="C83" s="141">
        <f>IFERROR(__xludf.DUMMYFUNCTION("""COMPUTED_VALUE"""),22.22)</f>
        <v/>
      </c>
      <c r="D83" s="141">
        <f>IFERROR(__xludf.DUMMYFUNCTION("""COMPUTED_VALUE"""),22.32)</f>
        <v/>
      </c>
      <c r="E83" s="141">
        <f>IFERROR(__xludf.DUMMYFUNCTION("""COMPUTED_VALUE"""),22.09)</f>
        <v/>
      </c>
      <c r="F83" s="141">
        <f>IFERROR(__xludf.DUMMYFUNCTION("""COMPUTED_VALUE"""),22.14)</f>
        <v/>
      </c>
      <c r="G83" s="143">
        <f>IFERROR(__xludf.DUMMYFUNCTION("""COMPUTED_VALUE"""),279238)</f>
        <v/>
      </c>
      <c r="H83" s="27" t="n"/>
    </row>
    <row r="84" ht="17.25" customHeight="1" s="322">
      <c r="A84" s="27" t="n"/>
      <c r="B84" s="506">
        <f>IFERROR(__xludf.DUMMYFUNCTION("""COMPUTED_VALUE"""),45947.6666666666)</f>
        <v/>
      </c>
      <c r="C84" s="141">
        <f>IFERROR(__xludf.DUMMYFUNCTION("""COMPUTED_VALUE"""),22.13)</f>
        <v/>
      </c>
      <c r="D84" s="141">
        <f>IFERROR(__xludf.DUMMYFUNCTION("""COMPUTED_VALUE"""),22.16)</f>
        <v/>
      </c>
      <c r="E84" s="141">
        <f>IFERROR(__xludf.DUMMYFUNCTION("""COMPUTED_VALUE"""),22.04)</f>
        <v/>
      </c>
      <c r="F84" s="141">
        <f>IFERROR(__xludf.DUMMYFUNCTION("""COMPUTED_VALUE"""),22.12)</f>
        <v/>
      </c>
      <c r="G84" s="143">
        <f>IFERROR(__xludf.DUMMYFUNCTION("""COMPUTED_VALUE"""),1650633)</f>
        <v/>
      </c>
      <c r="H84" s="27" t="n"/>
    </row>
    <row r="85" ht="17.25" customHeight="1" s="322">
      <c r="A85" s="27" t="n"/>
      <c r="B85" s="506">
        <f>IFERROR(__xludf.DUMMYFUNCTION("""COMPUTED_VALUE"""),45950.6666666666)</f>
        <v/>
      </c>
      <c r="C85" s="141">
        <f>IFERROR(__xludf.DUMMYFUNCTION("""COMPUTED_VALUE"""),22.16)</f>
        <v/>
      </c>
      <c r="D85" s="141">
        <f>IFERROR(__xludf.DUMMYFUNCTION("""COMPUTED_VALUE"""),22.34)</f>
        <v/>
      </c>
      <c r="E85" s="141">
        <f>IFERROR(__xludf.DUMMYFUNCTION("""COMPUTED_VALUE"""),22.16)</f>
        <v/>
      </c>
      <c r="F85" s="141">
        <f>IFERROR(__xludf.DUMMYFUNCTION("""COMPUTED_VALUE"""),22.34)</f>
        <v/>
      </c>
      <c r="G85" s="143">
        <f>IFERROR(__xludf.DUMMYFUNCTION("""COMPUTED_VALUE"""),185162)</f>
        <v/>
      </c>
      <c r="H85" s="27" t="n"/>
    </row>
    <row r="86" ht="17.25" customHeight="1" s="322">
      <c r="A86" s="27" t="n"/>
      <c r="B86" s="506">
        <f>IFERROR(__xludf.DUMMYFUNCTION("""COMPUTED_VALUE"""),45951.6666666666)</f>
        <v/>
      </c>
      <c r="C86" s="141">
        <f>IFERROR(__xludf.DUMMYFUNCTION("""COMPUTED_VALUE"""),22.17)</f>
        <v/>
      </c>
      <c r="D86" s="141">
        <f>IFERROR(__xludf.DUMMYFUNCTION("""COMPUTED_VALUE"""),22.21)</f>
        <v/>
      </c>
      <c r="E86" s="141">
        <f>IFERROR(__xludf.DUMMYFUNCTION("""COMPUTED_VALUE"""),21.98)</f>
        <v/>
      </c>
      <c r="F86" s="141">
        <f>IFERROR(__xludf.DUMMYFUNCTION("""COMPUTED_VALUE"""),22.11)</f>
        <v/>
      </c>
      <c r="G86" s="143">
        <f>IFERROR(__xludf.DUMMYFUNCTION("""COMPUTED_VALUE"""),534234)</f>
        <v/>
      </c>
      <c r="H86" s="27" t="n"/>
    </row>
    <row r="87" ht="17.25" customHeight="1" s="322">
      <c r="A87" s="27" t="n"/>
      <c r="B87" s="506">
        <f>IFERROR(__xludf.DUMMYFUNCTION("""COMPUTED_VALUE"""),45952.6666666666)</f>
        <v/>
      </c>
      <c r="C87" s="141">
        <f>IFERROR(__xludf.DUMMYFUNCTION("""COMPUTED_VALUE"""),22.27)</f>
        <v/>
      </c>
      <c r="D87" s="141">
        <f>IFERROR(__xludf.DUMMYFUNCTION("""COMPUTED_VALUE"""),22.52)</f>
        <v/>
      </c>
      <c r="E87" s="141">
        <f>IFERROR(__xludf.DUMMYFUNCTION("""COMPUTED_VALUE"""),22.24)</f>
        <v/>
      </c>
      <c r="F87" s="141">
        <f>IFERROR(__xludf.DUMMYFUNCTION("""COMPUTED_VALUE"""),22.46)</f>
        <v/>
      </c>
      <c r="G87" s="143">
        <f>IFERROR(__xludf.DUMMYFUNCTION("""COMPUTED_VALUE"""),397210)</f>
        <v/>
      </c>
      <c r="H87" s="27" t="n"/>
    </row>
    <row r="88" ht="17.25" customHeight="1" s="322">
      <c r="A88" s="27" t="n"/>
      <c r="B88" s="506">
        <f>IFERROR(__xludf.DUMMYFUNCTION("""COMPUTED_VALUE"""),45953.6666666666)</f>
        <v/>
      </c>
      <c r="C88" s="141">
        <f>IFERROR(__xludf.DUMMYFUNCTION("""COMPUTED_VALUE"""),22.79)</f>
        <v/>
      </c>
      <c r="D88" s="141">
        <f>IFERROR(__xludf.DUMMYFUNCTION("""COMPUTED_VALUE"""),22.96)</f>
        <v/>
      </c>
      <c r="E88" s="141">
        <f>IFERROR(__xludf.DUMMYFUNCTION("""COMPUTED_VALUE"""),22.79)</f>
        <v/>
      </c>
      <c r="F88" s="141">
        <f>IFERROR(__xludf.DUMMYFUNCTION("""COMPUTED_VALUE"""),22.84)</f>
        <v/>
      </c>
      <c r="G88" s="143">
        <f>IFERROR(__xludf.DUMMYFUNCTION("""COMPUTED_VALUE"""),472366)</f>
        <v/>
      </c>
      <c r="H88" s="27" t="n"/>
    </row>
    <row r="89" ht="17.25" customHeight="1" s="322">
      <c r="A89" s="27" t="n"/>
      <c r="B89" s="506">
        <f>IFERROR(__xludf.DUMMYFUNCTION("""COMPUTED_VALUE"""),45954.6666666666)</f>
        <v/>
      </c>
      <c r="C89" s="141">
        <f>IFERROR(__xludf.DUMMYFUNCTION("""COMPUTED_VALUE"""),22.86)</f>
        <v/>
      </c>
      <c r="D89" s="141">
        <f>IFERROR(__xludf.DUMMYFUNCTION("""COMPUTED_VALUE"""),22.96)</f>
        <v/>
      </c>
      <c r="E89" s="141">
        <f>IFERROR(__xludf.DUMMYFUNCTION("""COMPUTED_VALUE"""),22.84)</f>
        <v/>
      </c>
      <c r="F89" s="141">
        <f>IFERROR(__xludf.DUMMYFUNCTION("""COMPUTED_VALUE"""),22.85)</f>
        <v/>
      </c>
      <c r="G89" s="143">
        <f>IFERROR(__xludf.DUMMYFUNCTION("""COMPUTED_VALUE"""),269009)</f>
        <v/>
      </c>
      <c r="H89" s="27" t="n"/>
    </row>
    <row r="90" ht="17.25" customHeight="1" s="322">
      <c r="A90" s="27" t="n"/>
      <c r="B90" s="506">
        <f>IFERROR(__xludf.DUMMYFUNCTION("""COMPUTED_VALUE"""),45957.6666666666)</f>
        <v/>
      </c>
      <c r="C90" s="141">
        <f>IFERROR(__xludf.DUMMYFUNCTION("""COMPUTED_VALUE"""),22.83)</f>
        <v/>
      </c>
      <c r="D90" s="141">
        <f>IFERROR(__xludf.DUMMYFUNCTION("""COMPUTED_VALUE"""),22.89)</f>
        <v/>
      </c>
      <c r="E90" s="141">
        <f>IFERROR(__xludf.DUMMYFUNCTION("""COMPUTED_VALUE"""),22.78)</f>
        <v/>
      </c>
      <c r="F90" s="141">
        <f>IFERROR(__xludf.DUMMYFUNCTION("""COMPUTED_VALUE"""),22.8)</f>
        <v/>
      </c>
      <c r="G90" s="143">
        <f>IFERROR(__xludf.DUMMYFUNCTION("""COMPUTED_VALUE"""),294997)</f>
        <v/>
      </c>
      <c r="H90" s="27" t="n"/>
    </row>
    <row r="91" ht="17.25" customHeight="1" s="322">
      <c r="A91" s="27" t="n"/>
      <c r="B91" s="506">
        <f>IFERROR(__xludf.DUMMYFUNCTION("""COMPUTED_VALUE"""),45958.6666666666)</f>
        <v/>
      </c>
      <c r="C91" s="141">
        <f>IFERROR(__xludf.DUMMYFUNCTION("""COMPUTED_VALUE"""),22.63)</f>
        <v/>
      </c>
      <c r="D91" s="141">
        <f>IFERROR(__xludf.DUMMYFUNCTION("""COMPUTED_VALUE"""),22.7)</f>
        <v/>
      </c>
      <c r="E91" s="141">
        <f>IFERROR(__xludf.DUMMYFUNCTION("""COMPUTED_VALUE"""),22.58)</f>
        <v/>
      </c>
      <c r="F91" s="141">
        <f>IFERROR(__xludf.DUMMYFUNCTION("""COMPUTED_VALUE"""),22.59)</f>
        <v/>
      </c>
      <c r="G91" s="143">
        <f>IFERROR(__xludf.DUMMYFUNCTION("""COMPUTED_VALUE"""),181299)</f>
        <v/>
      </c>
      <c r="H91" s="27" t="n"/>
    </row>
    <row r="92" ht="17.25" customHeight="1" s="322">
      <c r="A92" s="27" t="n"/>
      <c r="B92" s="506">
        <f>IFERROR(__xludf.DUMMYFUNCTION("""COMPUTED_VALUE"""),45959.6666666666)</f>
        <v/>
      </c>
      <c r="C92" s="141">
        <f>IFERROR(__xludf.DUMMYFUNCTION("""COMPUTED_VALUE"""),22.72)</f>
        <v/>
      </c>
      <c r="D92" s="141">
        <f>IFERROR(__xludf.DUMMYFUNCTION("""COMPUTED_VALUE"""),22.85)</f>
        <v/>
      </c>
      <c r="E92" s="141">
        <f>IFERROR(__xludf.DUMMYFUNCTION("""COMPUTED_VALUE"""),22.69)</f>
        <v/>
      </c>
      <c r="F92" s="141">
        <f>IFERROR(__xludf.DUMMYFUNCTION("""COMPUTED_VALUE"""),22.71)</f>
        <v/>
      </c>
      <c r="G92" s="143">
        <f>IFERROR(__xludf.DUMMYFUNCTION("""COMPUTED_VALUE"""),191010)</f>
        <v/>
      </c>
      <c r="H92" s="27" t="n"/>
    </row>
    <row r="93" ht="17.25" customHeight="1" s="322">
      <c r="A93" s="27" t="n"/>
      <c r="B93" s="506">
        <f>IFERROR(__xludf.DUMMYFUNCTION("""COMPUTED_VALUE"""),45960.6666666666)</f>
        <v/>
      </c>
      <c r="C93" s="141">
        <f>IFERROR(__xludf.DUMMYFUNCTION("""COMPUTED_VALUE"""),22.63)</f>
        <v/>
      </c>
      <c r="D93" s="141">
        <f>IFERROR(__xludf.DUMMYFUNCTION("""COMPUTED_VALUE"""),22.79)</f>
        <v/>
      </c>
      <c r="E93" s="141">
        <f>IFERROR(__xludf.DUMMYFUNCTION("""COMPUTED_VALUE"""),22.55)</f>
        <v/>
      </c>
      <c r="F93" s="141">
        <f>IFERROR(__xludf.DUMMYFUNCTION("""COMPUTED_VALUE"""),22.72)</f>
        <v/>
      </c>
      <c r="G93" s="143">
        <f>IFERROR(__xludf.DUMMYFUNCTION("""COMPUTED_VALUE"""),183028)</f>
        <v/>
      </c>
      <c r="H93" s="27" t="n"/>
    </row>
    <row r="94" ht="17.25" customHeight="1" s="322">
      <c r="A94" s="27" t="n"/>
      <c r="B94" s="506">
        <f>IFERROR(__xludf.DUMMYFUNCTION("""COMPUTED_VALUE"""),45961.6666666666)</f>
        <v/>
      </c>
      <c r="C94" s="141">
        <f>IFERROR(__xludf.DUMMYFUNCTION("""COMPUTED_VALUE"""),22.83)</f>
        <v/>
      </c>
      <c r="D94" s="141">
        <f>IFERROR(__xludf.DUMMYFUNCTION("""COMPUTED_VALUE"""),22.9)</f>
        <v/>
      </c>
      <c r="E94" s="141">
        <f>IFERROR(__xludf.DUMMYFUNCTION("""COMPUTED_VALUE"""),22.76)</f>
        <v/>
      </c>
      <c r="F94" s="141">
        <f>IFERROR(__xludf.DUMMYFUNCTION("""COMPUTED_VALUE"""),22.88)</f>
        <v/>
      </c>
      <c r="G94" s="143">
        <f>IFERROR(__xludf.DUMMYFUNCTION("""COMPUTED_VALUE"""),610963)</f>
        <v/>
      </c>
      <c r="H94" s="27" t="n"/>
    </row>
    <row r="95" ht="17.25" customHeight="1" s="322">
      <c r="A95" s="27" t="n"/>
      <c r="B95" s="506">
        <f>IFERROR(__xludf.DUMMYFUNCTION("""COMPUTED_VALUE"""),45964.6666666666)</f>
        <v/>
      </c>
      <c r="C95" s="141">
        <f>IFERROR(__xludf.DUMMYFUNCTION("""COMPUTED_VALUE"""),22.96)</f>
        <v/>
      </c>
      <c r="D95" s="141">
        <f>IFERROR(__xludf.DUMMYFUNCTION("""COMPUTED_VALUE"""),23.07)</f>
        <v/>
      </c>
      <c r="E95" s="141">
        <f>IFERROR(__xludf.DUMMYFUNCTION("""COMPUTED_VALUE"""),22.84)</f>
        <v/>
      </c>
      <c r="F95" s="141">
        <f>IFERROR(__xludf.DUMMYFUNCTION("""COMPUTED_VALUE"""),23.05)</f>
        <v/>
      </c>
      <c r="G95" s="143">
        <f>IFERROR(__xludf.DUMMYFUNCTION("""COMPUTED_VALUE"""),786244)</f>
        <v/>
      </c>
      <c r="H95" s="27" t="n"/>
    </row>
    <row r="96" ht="17.25" customHeight="1" s="322">
      <c r="A96" s="27" t="n"/>
      <c r="B96" s="506">
        <f>IFERROR(__xludf.DUMMYFUNCTION("""COMPUTED_VALUE"""),45965.6666666666)</f>
        <v/>
      </c>
      <c r="C96" s="141">
        <f>IFERROR(__xludf.DUMMYFUNCTION("""COMPUTED_VALUE"""),22.83)</f>
        <v/>
      </c>
      <c r="D96" s="141">
        <f>IFERROR(__xludf.DUMMYFUNCTION("""COMPUTED_VALUE"""),22.97)</f>
        <v/>
      </c>
      <c r="E96" s="141">
        <f>IFERROR(__xludf.DUMMYFUNCTION("""COMPUTED_VALUE"""),22.77)</f>
        <v/>
      </c>
      <c r="F96" s="141">
        <f>IFERROR(__xludf.DUMMYFUNCTION("""COMPUTED_VALUE"""),22.89)</f>
        <v/>
      </c>
      <c r="G96" s="143">
        <f>IFERROR(__xludf.DUMMYFUNCTION("""COMPUTED_VALUE"""),480290)</f>
        <v/>
      </c>
      <c r="H96" s="27" t="n"/>
    </row>
    <row r="97" ht="17.25" customHeight="1" s="322">
      <c r="A97" s="27" t="n"/>
      <c r="B97" s="506">
        <f>IFERROR(__xludf.DUMMYFUNCTION("""COMPUTED_VALUE"""),45966.6666666666)</f>
        <v/>
      </c>
      <c r="C97" s="141">
        <f>IFERROR(__xludf.DUMMYFUNCTION("""COMPUTED_VALUE"""),22.88)</f>
        <v/>
      </c>
      <c r="D97" s="141">
        <f>IFERROR(__xludf.DUMMYFUNCTION("""COMPUTED_VALUE"""),22.99)</f>
        <v/>
      </c>
      <c r="E97" s="141">
        <f>IFERROR(__xludf.DUMMYFUNCTION("""COMPUTED_VALUE"""),22.8)</f>
        <v/>
      </c>
      <c r="F97" s="141">
        <f>IFERROR(__xludf.DUMMYFUNCTION("""COMPUTED_VALUE"""),22.82)</f>
        <v/>
      </c>
      <c r="G97" s="143">
        <f>IFERROR(__xludf.DUMMYFUNCTION("""COMPUTED_VALUE"""),375635)</f>
        <v/>
      </c>
      <c r="H97" s="27" t="n"/>
    </row>
    <row r="98" ht="17.25" customHeight="1" s="322">
      <c r="A98" s="27" t="n"/>
      <c r="B98" s="506">
        <f>IFERROR(__xludf.DUMMYFUNCTION("""COMPUTED_VALUE"""),45967.6666666666)</f>
        <v/>
      </c>
      <c r="C98" s="141">
        <f>IFERROR(__xludf.DUMMYFUNCTION("""COMPUTED_VALUE"""),22.84)</f>
        <v/>
      </c>
      <c r="D98" s="141">
        <f>IFERROR(__xludf.DUMMYFUNCTION("""COMPUTED_VALUE"""),22.88)</f>
        <v/>
      </c>
      <c r="E98" s="141">
        <f>IFERROR(__xludf.DUMMYFUNCTION("""COMPUTED_VALUE"""),22.73)</f>
        <v/>
      </c>
      <c r="F98" s="141">
        <f>IFERROR(__xludf.DUMMYFUNCTION("""COMPUTED_VALUE"""),22.85)</f>
        <v/>
      </c>
      <c r="G98" s="143">
        <f>IFERROR(__xludf.DUMMYFUNCTION("""COMPUTED_VALUE"""),555979)</f>
        <v/>
      </c>
      <c r="H98" s="27" t="n"/>
    </row>
    <row r="99" ht="17.25" customHeight="1" s="322">
      <c r="A99" s="27" t="n"/>
      <c r="B99" s="506">
        <f>IFERROR(__xludf.DUMMYFUNCTION("""COMPUTED_VALUE"""),45968.6666666666)</f>
        <v/>
      </c>
      <c r="C99" s="141">
        <f>IFERROR(__xludf.DUMMYFUNCTION("""COMPUTED_VALUE"""),22.93)</f>
        <v/>
      </c>
      <c r="D99" s="141">
        <f>IFERROR(__xludf.DUMMYFUNCTION("""COMPUTED_VALUE"""),22.94)</f>
        <v/>
      </c>
      <c r="E99" s="141">
        <f>IFERROR(__xludf.DUMMYFUNCTION("""COMPUTED_VALUE"""),22.81)</f>
        <v/>
      </c>
      <c r="F99" s="141">
        <f>IFERROR(__xludf.DUMMYFUNCTION("""COMPUTED_VALUE"""),22.9)</f>
        <v/>
      </c>
      <c r="G99" s="143">
        <f>IFERROR(__xludf.DUMMYFUNCTION("""COMPUTED_VALUE"""),306041)</f>
        <v/>
      </c>
      <c r="H99" s="27" t="n"/>
    </row>
    <row r="100" ht="17.25" customHeight="1" s="322">
      <c r="A100" s="27" t="n"/>
      <c r="B100" s="506">
        <f>IFERROR(__xludf.DUMMYFUNCTION("""COMPUTED_VALUE"""),45971.6666666666)</f>
        <v/>
      </c>
      <c r="C100" s="141">
        <f>IFERROR(__xludf.DUMMYFUNCTION("""COMPUTED_VALUE"""),23.03)</f>
        <v/>
      </c>
      <c r="D100" s="141">
        <f>IFERROR(__xludf.DUMMYFUNCTION("""COMPUTED_VALUE"""),23.16)</f>
        <v/>
      </c>
      <c r="E100" s="141">
        <f>IFERROR(__xludf.DUMMYFUNCTION("""COMPUTED_VALUE"""),22.95)</f>
        <v/>
      </c>
      <c r="F100" s="141">
        <f>IFERROR(__xludf.DUMMYFUNCTION("""COMPUTED_VALUE"""),23.15)</f>
        <v/>
      </c>
      <c r="G100" s="143">
        <f>IFERROR(__xludf.DUMMYFUNCTION("""COMPUTED_VALUE"""),254404)</f>
        <v/>
      </c>
      <c r="H100" s="27" t="n"/>
    </row>
    <row r="101" ht="17.25" customHeight="1" s="322">
      <c r="A101" s="27" t="n"/>
      <c r="B101" s="506">
        <f>IFERROR(__xludf.DUMMYFUNCTION("""COMPUTED_VALUE"""),45972.6666666666)</f>
        <v/>
      </c>
      <c r="C101" s="141">
        <f>IFERROR(__xludf.DUMMYFUNCTION("""COMPUTED_VALUE"""),23.2)</f>
        <v/>
      </c>
      <c r="D101" s="141">
        <f>IFERROR(__xludf.DUMMYFUNCTION("""COMPUTED_VALUE"""),23.32)</f>
        <v/>
      </c>
      <c r="E101" s="141">
        <f>IFERROR(__xludf.DUMMYFUNCTION("""COMPUTED_VALUE"""),23.2)</f>
        <v/>
      </c>
      <c r="F101" s="141">
        <f>IFERROR(__xludf.DUMMYFUNCTION("""COMPUTED_VALUE"""),23.3)</f>
        <v/>
      </c>
      <c r="G101" s="143">
        <f>IFERROR(__xludf.DUMMYFUNCTION("""COMPUTED_VALUE"""),268477)</f>
        <v/>
      </c>
      <c r="H101" s="27" t="n"/>
    </row>
    <row r="102" ht="17.25" customHeight="1" s="322">
      <c r="A102" s="27" t="n"/>
      <c r="B102" s="506">
        <f>IFERROR(__xludf.DUMMYFUNCTION("""COMPUTED_VALUE"""),45973.6666666666)</f>
        <v/>
      </c>
      <c r="C102" s="141">
        <f>IFERROR(__xludf.DUMMYFUNCTION("""COMPUTED_VALUE"""),23.11)</f>
        <v/>
      </c>
      <c r="D102" s="141">
        <f>IFERROR(__xludf.DUMMYFUNCTION("""COMPUTED_VALUE"""),23.13)</f>
        <v/>
      </c>
      <c r="E102" s="141">
        <f>IFERROR(__xludf.DUMMYFUNCTION("""COMPUTED_VALUE"""),23)</f>
        <v/>
      </c>
      <c r="F102" s="141">
        <f>IFERROR(__xludf.DUMMYFUNCTION("""COMPUTED_VALUE"""),23.04)</f>
        <v/>
      </c>
      <c r="G102" s="143">
        <f>IFERROR(__xludf.DUMMYFUNCTION("""COMPUTED_VALUE"""),808974)</f>
        <v/>
      </c>
      <c r="H102" s="27" t="n"/>
    </row>
    <row r="103" ht="17.25" customHeight="1" s="322">
      <c r="A103" s="27" t="n"/>
      <c r="B103" s="506">
        <f>IFERROR(__xludf.DUMMYFUNCTION("""COMPUTED_VALUE"""),45974.6666666666)</f>
        <v/>
      </c>
      <c r="C103" s="141">
        <f>IFERROR(__xludf.DUMMYFUNCTION("""COMPUTED_VALUE"""),23.09)</f>
        <v/>
      </c>
      <c r="D103" s="141">
        <f>IFERROR(__xludf.DUMMYFUNCTION("""COMPUTED_VALUE"""),23.14)</f>
        <v/>
      </c>
      <c r="E103" s="141">
        <f>IFERROR(__xludf.DUMMYFUNCTION("""COMPUTED_VALUE"""),22.92)</f>
        <v/>
      </c>
      <c r="F103" s="141">
        <f>IFERROR(__xludf.DUMMYFUNCTION("""COMPUTED_VALUE"""),22.92)</f>
        <v/>
      </c>
      <c r="G103" s="143">
        <f>IFERROR(__xludf.DUMMYFUNCTION("""COMPUTED_VALUE"""),291185)</f>
        <v/>
      </c>
      <c r="H103" s="27" t="n"/>
    </row>
    <row r="104" ht="17.25" customHeight="1" s="322">
      <c r="A104" s="27" t="n"/>
      <c r="B104" s="506">
        <f>IFERROR(__xludf.DUMMYFUNCTION("""COMPUTED_VALUE"""),45975.6666666666)</f>
        <v/>
      </c>
      <c r="C104" s="141">
        <f>IFERROR(__xludf.DUMMYFUNCTION("""COMPUTED_VALUE"""),22.95)</f>
        <v/>
      </c>
      <c r="D104" s="141">
        <f>IFERROR(__xludf.DUMMYFUNCTION("""COMPUTED_VALUE"""),23.1)</f>
        <v/>
      </c>
      <c r="E104" s="141">
        <f>IFERROR(__xludf.DUMMYFUNCTION("""COMPUTED_VALUE"""),22.88)</f>
        <v/>
      </c>
      <c r="F104" s="141">
        <f>IFERROR(__xludf.DUMMYFUNCTION("""COMPUTED_VALUE"""),22.97)</f>
        <v/>
      </c>
      <c r="G104" s="143">
        <f>IFERROR(__xludf.DUMMYFUNCTION("""COMPUTED_VALUE"""),787877)</f>
        <v/>
      </c>
      <c r="H104" s="27" t="n"/>
    </row>
    <row r="105" ht="17.25" customHeight="1" s="322">
      <c r="A105" s="27" t="n"/>
      <c r="B105" s="506">
        <f>IFERROR(__xludf.DUMMYFUNCTION("""COMPUTED_VALUE"""),45978.6666666666)</f>
        <v/>
      </c>
      <c r="C105" s="141">
        <f>IFERROR(__xludf.DUMMYFUNCTION("""COMPUTED_VALUE"""),22.95)</f>
        <v/>
      </c>
      <c r="D105" s="141">
        <f>IFERROR(__xludf.DUMMYFUNCTION("""COMPUTED_VALUE"""),23.05)</f>
        <v/>
      </c>
      <c r="E105" s="141">
        <f>IFERROR(__xludf.DUMMYFUNCTION("""COMPUTED_VALUE"""),22.92)</f>
        <v/>
      </c>
      <c r="F105" s="141">
        <f>IFERROR(__xludf.DUMMYFUNCTION("""COMPUTED_VALUE"""),22.94)</f>
        <v/>
      </c>
      <c r="G105" s="143">
        <f>IFERROR(__xludf.DUMMYFUNCTION("""COMPUTED_VALUE"""),353363)</f>
        <v/>
      </c>
      <c r="H105" s="27" t="n"/>
    </row>
    <row r="106" ht="17.25" customHeight="1" s="322">
      <c r="A106" s="27" t="n"/>
      <c r="B106" s="506">
        <f>IFERROR(__xludf.DUMMYFUNCTION("""COMPUTED_VALUE"""),45979.6666666666)</f>
        <v/>
      </c>
      <c r="C106" s="141">
        <f>IFERROR(__xludf.DUMMYFUNCTION("""COMPUTED_VALUE"""),22.97)</f>
        <v/>
      </c>
      <c r="D106" s="141">
        <f>IFERROR(__xludf.DUMMYFUNCTION("""COMPUTED_VALUE"""),23.15)</f>
        <v/>
      </c>
      <c r="E106" s="141">
        <f>IFERROR(__xludf.DUMMYFUNCTION("""COMPUTED_VALUE"""),22.89)</f>
        <v/>
      </c>
      <c r="F106" s="141">
        <f>IFERROR(__xludf.DUMMYFUNCTION("""COMPUTED_VALUE"""),23.13)</f>
        <v/>
      </c>
      <c r="G106" s="143">
        <f>IFERROR(__xludf.DUMMYFUNCTION("""COMPUTED_VALUE"""),352369)</f>
        <v/>
      </c>
      <c r="H106" s="27" t="n"/>
    </row>
    <row r="107" ht="17.25" customHeight="1" s="322">
      <c r="A107" s="27" t="n"/>
      <c r="B107" s="506">
        <f>IFERROR(__xludf.DUMMYFUNCTION("""COMPUTED_VALUE"""),45980.6666666666)</f>
        <v/>
      </c>
      <c r="C107" s="141">
        <f>IFERROR(__xludf.DUMMYFUNCTION("""COMPUTED_VALUE"""),22.94)</f>
        <v/>
      </c>
      <c r="D107" s="141">
        <f>IFERROR(__xludf.DUMMYFUNCTION("""COMPUTED_VALUE"""),22.97)</f>
        <v/>
      </c>
      <c r="E107" s="141">
        <f>IFERROR(__xludf.DUMMYFUNCTION("""COMPUTED_VALUE"""),22.8)</f>
        <v/>
      </c>
      <c r="F107" s="141">
        <f>IFERROR(__xludf.DUMMYFUNCTION("""COMPUTED_VALUE"""),22.9)</f>
        <v/>
      </c>
      <c r="G107" s="143">
        <f>IFERROR(__xludf.DUMMYFUNCTION("""COMPUTED_VALUE"""),964995)</f>
        <v/>
      </c>
      <c r="H107" s="27" t="n"/>
    </row>
    <row r="108" ht="17.25" customHeight="1" s="322">
      <c r="A108" s="27" t="n"/>
      <c r="B108" s="506">
        <f>IFERROR(__xludf.DUMMYFUNCTION("""COMPUTED_VALUE"""),45981.6666666666)</f>
        <v/>
      </c>
      <c r="C108" s="141">
        <f>IFERROR(__xludf.DUMMYFUNCTION("""COMPUTED_VALUE"""),22.99)</f>
        <v/>
      </c>
      <c r="D108" s="141">
        <f>IFERROR(__xludf.DUMMYFUNCTION("""COMPUTED_VALUE"""),22.99)</f>
        <v/>
      </c>
      <c r="E108" s="141">
        <f>IFERROR(__xludf.DUMMYFUNCTION("""COMPUTED_VALUE"""),22.67)</f>
        <v/>
      </c>
      <c r="F108" s="141">
        <f>IFERROR(__xludf.DUMMYFUNCTION("""COMPUTED_VALUE"""),22.68)</f>
        <v/>
      </c>
      <c r="G108" s="143">
        <f>IFERROR(__xludf.DUMMYFUNCTION("""COMPUTED_VALUE"""),287051)</f>
        <v/>
      </c>
      <c r="H108" s="27" t="n"/>
    </row>
    <row r="109" ht="17.25" customHeight="1" s="322">
      <c r="A109" s="27" t="n"/>
      <c r="B109" s="506">
        <f>IFERROR(__xludf.DUMMYFUNCTION("""COMPUTED_VALUE"""),45982.6666666666)</f>
        <v/>
      </c>
      <c r="C109" s="141">
        <f>IFERROR(__xludf.DUMMYFUNCTION("""COMPUTED_VALUE"""),22.51)</f>
        <v/>
      </c>
      <c r="D109" s="141">
        <f>IFERROR(__xludf.DUMMYFUNCTION("""COMPUTED_VALUE"""),22.6)</f>
        <v/>
      </c>
      <c r="E109" s="141">
        <f>IFERROR(__xludf.DUMMYFUNCTION("""COMPUTED_VALUE"""),22.41)</f>
        <v/>
      </c>
      <c r="F109" s="141">
        <f>IFERROR(__xludf.DUMMYFUNCTION("""COMPUTED_VALUE"""),22.53)</f>
        <v/>
      </c>
      <c r="G109" s="143">
        <f>IFERROR(__xludf.DUMMYFUNCTION("""COMPUTED_VALUE"""),528717)</f>
        <v/>
      </c>
      <c r="H109" s="27" t="n"/>
    </row>
    <row r="110" ht="17.25" customHeight="1" s="322">
      <c r="A110" s="27" t="n"/>
      <c r="B110" s="506">
        <f>IFERROR(__xludf.DUMMYFUNCTION("""COMPUTED_VALUE"""),45985.6666666666)</f>
        <v/>
      </c>
      <c r="C110" s="141">
        <f>IFERROR(__xludf.DUMMYFUNCTION("""COMPUTED_VALUE"""),22.45)</f>
        <v/>
      </c>
      <c r="D110" s="141">
        <f>IFERROR(__xludf.DUMMYFUNCTION("""COMPUTED_VALUE"""),22.66)</f>
        <v/>
      </c>
      <c r="E110" s="141">
        <f>IFERROR(__xludf.DUMMYFUNCTION("""COMPUTED_VALUE"""),22.4)</f>
        <v/>
      </c>
      <c r="F110" s="141">
        <f>IFERROR(__xludf.DUMMYFUNCTION("""COMPUTED_VALUE"""),22.64)</f>
        <v/>
      </c>
      <c r="G110" s="143">
        <f>IFERROR(__xludf.DUMMYFUNCTION("""COMPUTED_VALUE"""),516255)</f>
        <v/>
      </c>
      <c r="H110" s="27" t="n"/>
    </row>
    <row r="111" ht="17.25" customHeight="1" s="322">
      <c r="A111" s="27" t="n"/>
      <c r="B111" s="506">
        <f>IFERROR(__xludf.DUMMYFUNCTION("""COMPUTED_VALUE"""),45986.6666666666)</f>
        <v/>
      </c>
      <c r="C111" s="141">
        <f>IFERROR(__xludf.DUMMYFUNCTION("""COMPUTED_VALUE"""),22.47)</f>
        <v/>
      </c>
      <c r="D111" s="141">
        <f>IFERROR(__xludf.DUMMYFUNCTION("""COMPUTED_VALUE"""),22.56)</f>
        <v/>
      </c>
      <c r="E111" s="141">
        <f>IFERROR(__xludf.DUMMYFUNCTION("""COMPUTED_VALUE"""),22.37)</f>
        <v/>
      </c>
      <c r="F111" s="141">
        <f>IFERROR(__xludf.DUMMYFUNCTION("""COMPUTED_VALUE"""),22.52)</f>
        <v/>
      </c>
      <c r="G111" s="143">
        <f>IFERROR(__xludf.DUMMYFUNCTION("""COMPUTED_VALUE"""),224622)</f>
        <v/>
      </c>
      <c r="H111" s="27" t="n"/>
    </row>
    <row r="112" ht="17.25" customHeight="1" s="322">
      <c r="A112" s="27" t="n"/>
      <c r="B112" s="506">
        <f>IFERROR(__xludf.DUMMYFUNCTION("""COMPUTED_VALUE"""),45987.6666666666)</f>
        <v/>
      </c>
      <c r="C112" s="141">
        <f>IFERROR(__xludf.DUMMYFUNCTION("""COMPUTED_VALUE"""),22.57)</f>
        <v/>
      </c>
      <c r="D112" s="141">
        <f>IFERROR(__xludf.DUMMYFUNCTION("""COMPUTED_VALUE"""),22.79)</f>
        <v/>
      </c>
      <c r="E112" s="141">
        <f>IFERROR(__xludf.DUMMYFUNCTION("""COMPUTED_VALUE"""),22.57)</f>
        <v/>
      </c>
      <c r="F112" s="141">
        <f>IFERROR(__xludf.DUMMYFUNCTION("""COMPUTED_VALUE"""),22.76)</f>
        <v/>
      </c>
      <c r="G112" s="143">
        <f>IFERROR(__xludf.DUMMYFUNCTION("""COMPUTED_VALUE"""),983463)</f>
        <v/>
      </c>
      <c r="H112" s="27" t="n"/>
    </row>
    <row r="113" ht="17.25" customHeight="1" s="322">
      <c r="A113" s="27" t="n"/>
      <c r="B113" s="506">
        <f>IFERROR(__xludf.DUMMYFUNCTION("""COMPUTED_VALUE"""),45989.5520833333)</f>
        <v/>
      </c>
      <c r="C113" s="141">
        <f>IFERROR(__xludf.DUMMYFUNCTION("""COMPUTED_VALUE"""),22.94)</f>
        <v/>
      </c>
      <c r="D113" s="141">
        <f>IFERROR(__xludf.DUMMYFUNCTION("""COMPUTED_VALUE"""),23.09)</f>
        <v/>
      </c>
      <c r="E113" s="141">
        <f>IFERROR(__xludf.DUMMYFUNCTION("""COMPUTED_VALUE"""),22.92)</f>
        <v/>
      </c>
      <c r="F113" s="141">
        <f>IFERROR(__xludf.DUMMYFUNCTION("""COMPUTED_VALUE"""),23.06)</f>
        <v/>
      </c>
      <c r="G113" s="143">
        <f>IFERROR(__xludf.DUMMYFUNCTION("""COMPUTED_VALUE"""),236096)</f>
        <v/>
      </c>
      <c r="H113" s="27" t="n"/>
    </row>
    <row r="114" ht="17.25" customHeight="1" s="322">
      <c r="A114" s="27" t="n"/>
      <c r="B114" s="506">
        <f>IFERROR(__xludf.DUMMYFUNCTION("""COMPUTED_VALUE"""),45992.6666666666)</f>
        <v/>
      </c>
      <c r="C114" s="141">
        <f>IFERROR(__xludf.DUMMYFUNCTION("""COMPUTED_VALUE"""),23.11)</f>
        <v/>
      </c>
      <c r="D114" s="141">
        <f>IFERROR(__xludf.DUMMYFUNCTION("""COMPUTED_VALUE"""),23.16)</f>
        <v/>
      </c>
      <c r="E114" s="141">
        <f>IFERROR(__xludf.DUMMYFUNCTION("""COMPUTED_VALUE"""),23.07)</f>
        <v/>
      </c>
      <c r="F114" s="141">
        <f>IFERROR(__xludf.DUMMYFUNCTION("""COMPUTED_VALUE"""),23.12)</f>
        <v/>
      </c>
      <c r="G114" s="143">
        <f>IFERROR(__xludf.DUMMYFUNCTION("""COMPUTED_VALUE"""),679904)</f>
        <v/>
      </c>
      <c r="H114" s="27" t="n"/>
    </row>
    <row r="115" ht="17.25" customHeight="1" s="322">
      <c r="A115" s="27" t="n"/>
      <c r="B115" s="506">
        <f>IFERROR(__xludf.DUMMYFUNCTION("""COMPUTED_VALUE"""),45993.6666666666)</f>
        <v/>
      </c>
      <c r="C115" s="141">
        <f>IFERROR(__xludf.DUMMYFUNCTION("""COMPUTED_VALUE"""),23.07)</f>
        <v/>
      </c>
      <c r="D115" s="141">
        <f>IFERROR(__xludf.DUMMYFUNCTION("""COMPUTED_VALUE"""),23.12)</f>
        <v/>
      </c>
      <c r="E115" s="141">
        <f>IFERROR(__xludf.DUMMYFUNCTION("""COMPUTED_VALUE"""),22.98)</f>
        <v/>
      </c>
      <c r="F115" s="141">
        <f>IFERROR(__xludf.DUMMYFUNCTION("""COMPUTED_VALUE"""),23.02)</f>
        <v/>
      </c>
      <c r="G115" s="143">
        <f>IFERROR(__xludf.DUMMYFUNCTION("""COMPUTED_VALUE"""),525035)</f>
        <v/>
      </c>
      <c r="H115" s="27" t="n"/>
    </row>
    <row r="116" ht="17.25" customHeight="1" s="322">
      <c r="A116" s="27" t="n"/>
      <c r="B116" s="506">
        <f>IFERROR(__xludf.DUMMYFUNCTION("""COMPUTED_VALUE"""),45994.6666666666)</f>
        <v/>
      </c>
      <c r="C116" s="141">
        <f>IFERROR(__xludf.DUMMYFUNCTION("""COMPUTED_VALUE"""),23.15)</f>
        <v/>
      </c>
      <c r="D116" s="141">
        <f>IFERROR(__xludf.DUMMYFUNCTION("""COMPUTED_VALUE"""),23.2)</f>
        <v/>
      </c>
      <c r="E116" s="141">
        <f>IFERROR(__xludf.DUMMYFUNCTION("""COMPUTED_VALUE"""),23.07)</f>
        <v/>
      </c>
      <c r="F116" s="141">
        <f>IFERROR(__xludf.DUMMYFUNCTION("""COMPUTED_VALUE"""),23.13)</f>
        <v/>
      </c>
      <c r="G116" s="143">
        <f>IFERROR(__xludf.DUMMYFUNCTION("""COMPUTED_VALUE"""),140776)</f>
        <v/>
      </c>
      <c r="H116" s="27" t="n"/>
    </row>
    <row r="117" ht="17.25" customHeight="1" s="322">
      <c r="A117" s="27" t="n"/>
      <c r="B117" s="506">
        <f>IFERROR(__xludf.DUMMYFUNCTION("""COMPUTED_VALUE"""),45995.6666666666)</f>
        <v/>
      </c>
      <c r="C117" s="141">
        <f>IFERROR(__xludf.DUMMYFUNCTION("""COMPUTED_VALUE"""),23.12)</f>
        <v/>
      </c>
      <c r="D117" s="141">
        <f>IFERROR(__xludf.DUMMYFUNCTION("""COMPUTED_VALUE"""),23.22)</f>
        <v/>
      </c>
      <c r="E117" s="141">
        <f>IFERROR(__xludf.DUMMYFUNCTION("""COMPUTED_VALUE"""),23.05)</f>
        <v/>
      </c>
      <c r="F117" s="141">
        <f>IFERROR(__xludf.DUMMYFUNCTION("""COMPUTED_VALUE"""),23.19)</f>
        <v/>
      </c>
      <c r="G117" s="143">
        <f>IFERROR(__xludf.DUMMYFUNCTION("""COMPUTED_VALUE"""),195747)</f>
        <v/>
      </c>
      <c r="H117" s="27" t="n"/>
    </row>
    <row r="118" ht="17.25" customHeight="1" s="322">
      <c r="A118" s="27" t="n"/>
      <c r="B118" s="506">
        <f>IFERROR(__xludf.DUMMYFUNCTION("""COMPUTED_VALUE"""),45996.6666666666)</f>
        <v/>
      </c>
      <c r="C118" s="141">
        <f>IFERROR(__xludf.DUMMYFUNCTION("""COMPUTED_VALUE"""),23.3)</f>
        <v/>
      </c>
      <c r="D118" s="141">
        <f>IFERROR(__xludf.DUMMYFUNCTION("""COMPUTED_VALUE"""),23.44)</f>
        <v/>
      </c>
      <c r="E118" s="141">
        <f>IFERROR(__xludf.DUMMYFUNCTION("""COMPUTED_VALUE"""),23.3)</f>
        <v/>
      </c>
      <c r="F118" s="141">
        <f>IFERROR(__xludf.DUMMYFUNCTION("""COMPUTED_VALUE"""),23.33)</f>
        <v/>
      </c>
      <c r="G118" s="143">
        <f>IFERROR(__xludf.DUMMYFUNCTION("""COMPUTED_VALUE"""),502740)</f>
        <v/>
      </c>
      <c r="H118" s="27" t="n"/>
    </row>
    <row r="119" ht="17.25" customHeight="1" s="322">
      <c r="A119" s="27" t="n"/>
      <c r="B119" s="506">
        <f>IFERROR(__xludf.DUMMYFUNCTION("""COMPUTED_VALUE"""),45999.6666666666)</f>
        <v/>
      </c>
      <c r="C119" s="141">
        <f>IFERROR(__xludf.DUMMYFUNCTION("""COMPUTED_VALUE"""),23.17)</f>
        <v/>
      </c>
      <c r="D119" s="141">
        <f>IFERROR(__xludf.DUMMYFUNCTION("""COMPUTED_VALUE"""),23.19)</f>
        <v/>
      </c>
      <c r="E119" s="141">
        <f>IFERROR(__xludf.DUMMYFUNCTION("""COMPUTED_VALUE"""),23.04)</f>
        <v/>
      </c>
      <c r="F119" s="141">
        <f>IFERROR(__xludf.DUMMYFUNCTION("""COMPUTED_VALUE"""),23.04)</f>
        <v/>
      </c>
      <c r="G119" s="143">
        <f>IFERROR(__xludf.DUMMYFUNCTION("""COMPUTED_VALUE"""),784767)</f>
        <v/>
      </c>
      <c r="H119" s="27" t="n"/>
    </row>
    <row r="120" ht="17.25" customHeight="1" s="322">
      <c r="A120" s="27" t="n"/>
      <c r="B120" s="506">
        <f>IFERROR(__xludf.DUMMYFUNCTION("""COMPUTED_VALUE"""),46000.6666666666)</f>
        <v/>
      </c>
      <c r="C120" s="141">
        <f>IFERROR(__xludf.DUMMYFUNCTION("""COMPUTED_VALUE"""),23.03)</f>
        <v/>
      </c>
      <c r="D120" s="141">
        <f>IFERROR(__xludf.DUMMYFUNCTION("""COMPUTED_VALUE"""),23.04)</f>
        <v/>
      </c>
      <c r="E120" s="141">
        <f>IFERROR(__xludf.DUMMYFUNCTION("""COMPUTED_VALUE"""),22.95)</f>
        <v/>
      </c>
      <c r="F120" s="141">
        <f>IFERROR(__xludf.DUMMYFUNCTION("""COMPUTED_VALUE"""),22.99)</f>
        <v/>
      </c>
      <c r="G120" s="143">
        <f>IFERROR(__xludf.DUMMYFUNCTION("""COMPUTED_VALUE"""),294690)</f>
        <v/>
      </c>
      <c r="H120" s="27" t="n"/>
    </row>
    <row r="121" ht="17.25" customHeight="1" s="322">
      <c r="A121" s="27" t="n"/>
      <c r="B121" s="506">
        <f>IFERROR(__xludf.DUMMYFUNCTION("""COMPUTED_VALUE"""),46001.6666666666)</f>
        <v/>
      </c>
      <c r="C121" s="141">
        <f>IFERROR(__xludf.DUMMYFUNCTION("""COMPUTED_VALUE"""),22.98)</f>
        <v/>
      </c>
      <c r="D121" s="141">
        <f>IFERROR(__xludf.DUMMYFUNCTION("""COMPUTED_VALUE"""),23.16)</f>
        <v/>
      </c>
      <c r="E121" s="141">
        <f>IFERROR(__xludf.DUMMYFUNCTION("""COMPUTED_VALUE"""),22.93)</f>
        <v/>
      </c>
      <c r="F121" s="141">
        <f>IFERROR(__xludf.DUMMYFUNCTION("""COMPUTED_VALUE"""),23.13)</f>
        <v/>
      </c>
      <c r="G121" s="143">
        <f>IFERROR(__xludf.DUMMYFUNCTION("""COMPUTED_VALUE"""),387553)</f>
        <v/>
      </c>
      <c r="H121" s="27" t="n"/>
    </row>
    <row r="122" ht="17.25" customHeight="1" s="322">
      <c r="A122" s="27" t="n"/>
      <c r="B122" s="506">
        <f>IFERROR(__xludf.DUMMYFUNCTION("""COMPUTED_VALUE"""),46002.6666666666)</f>
        <v/>
      </c>
      <c r="C122" s="141">
        <f>IFERROR(__xludf.DUMMYFUNCTION("""COMPUTED_VALUE"""),22.95)</f>
        <v/>
      </c>
      <c r="D122" s="141">
        <f>IFERROR(__xludf.DUMMYFUNCTION("""COMPUTED_VALUE"""),23.12)</f>
        <v/>
      </c>
      <c r="E122" s="141">
        <f>IFERROR(__xludf.DUMMYFUNCTION("""COMPUTED_VALUE"""),22.95)</f>
        <v/>
      </c>
      <c r="F122" s="141">
        <f>IFERROR(__xludf.DUMMYFUNCTION("""COMPUTED_VALUE"""),23.11)</f>
        <v/>
      </c>
      <c r="G122" s="143">
        <f>IFERROR(__xludf.DUMMYFUNCTION("""COMPUTED_VALUE"""),534913)</f>
        <v/>
      </c>
      <c r="H122" s="27" t="n"/>
    </row>
    <row r="123" ht="17.25" customHeight="1" s="322">
      <c r="A123" s="27" t="n"/>
      <c r="B123" s="506">
        <f>IFERROR(__xludf.DUMMYFUNCTION("""COMPUTED_VALUE"""),46003.6666666666)</f>
        <v/>
      </c>
      <c r="C123" s="141">
        <f>IFERROR(__xludf.DUMMYFUNCTION("""COMPUTED_VALUE"""),23.12)</f>
        <v/>
      </c>
      <c r="D123" s="141">
        <f>IFERROR(__xludf.DUMMYFUNCTION("""COMPUTED_VALUE"""),23.12)</f>
        <v/>
      </c>
      <c r="E123" s="141">
        <f>IFERROR(__xludf.DUMMYFUNCTION("""COMPUTED_VALUE"""),22.86)</f>
        <v/>
      </c>
      <c r="F123" s="141">
        <f>IFERROR(__xludf.DUMMYFUNCTION("""COMPUTED_VALUE"""),22.92)</f>
        <v/>
      </c>
      <c r="G123" s="143">
        <f>IFERROR(__xludf.DUMMYFUNCTION("""COMPUTED_VALUE"""),425856)</f>
        <v/>
      </c>
      <c r="H123" s="27" t="n"/>
    </row>
    <row r="124" ht="17.25" customHeight="1" s="322">
      <c r="A124" s="27" t="n"/>
      <c r="B124" s="506">
        <f>IFERROR(__xludf.DUMMYFUNCTION("""COMPUTED_VALUE"""),46006.6666666666)</f>
        <v/>
      </c>
      <c r="C124" s="141">
        <f>IFERROR(__xludf.DUMMYFUNCTION("""COMPUTED_VALUE"""),22.88)</f>
        <v/>
      </c>
      <c r="D124" s="141">
        <f>IFERROR(__xludf.DUMMYFUNCTION("""COMPUTED_VALUE"""),22.9)</f>
        <v/>
      </c>
      <c r="E124" s="141">
        <f>IFERROR(__xludf.DUMMYFUNCTION("""COMPUTED_VALUE"""),22.73)</f>
        <v/>
      </c>
      <c r="F124" s="141">
        <f>IFERROR(__xludf.DUMMYFUNCTION("""COMPUTED_VALUE"""),22.81)</f>
        <v/>
      </c>
      <c r="G124" s="143">
        <f>IFERROR(__xludf.DUMMYFUNCTION("""COMPUTED_VALUE"""),252667)</f>
        <v/>
      </c>
      <c r="H124" s="27" t="n"/>
    </row>
    <row r="125" ht="17.25" customHeight="1" s="322">
      <c r="A125" s="27" t="n"/>
      <c r="B125" s="506">
        <f>IFERROR(__xludf.DUMMYFUNCTION("""COMPUTED_VALUE"""),46007.6666666666)</f>
        <v/>
      </c>
      <c r="C125" s="141">
        <f>IFERROR(__xludf.DUMMYFUNCTION("""COMPUTED_VALUE"""),22.65)</f>
        <v/>
      </c>
      <c r="D125" s="141">
        <f>IFERROR(__xludf.DUMMYFUNCTION("""COMPUTED_VALUE"""),22.68)</f>
        <v/>
      </c>
      <c r="E125" s="141">
        <f>IFERROR(__xludf.DUMMYFUNCTION("""COMPUTED_VALUE"""),22.56)</f>
        <v/>
      </c>
      <c r="F125" s="141">
        <f>IFERROR(__xludf.DUMMYFUNCTION("""COMPUTED_VALUE"""),22.58)</f>
        <v/>
      </c>
      <c r="G125" s="143">
        <f>IFERROR(__xludf.DUMMYFUNCTION("""COMPUTED_VALUE"""),392547)</f>
        <v/>
      </c>
      <c r="H125" s="27" t="n"/>
    </row>
    <row r="126" ht="17.25" customHeight="1" s="322">
      <c r="A126" s="27" t="n"/>
      <c r="B126" s="506">
        <f>IFERROR(__xludf.DUMMYFUNCTION("""COMPUTED_VALUE"""),46008.6666666666)</f>
        <v/>
      </c>
      <c r="C126" s="141">
        <f>IFERROR(__xludf.DUMMYFUNCTION("""COMPUTED_VALUE"""),22.74)</f>
        <v/>
      </c>
      <c r="D126" s="141">
        <f>IFERROR(__xludf.DUMMYFUNCTION("""COMPUTED_VALUE"""),22.86)</f>
        <v/>
      </c>
      <c r="E126" s="141">
        <f>IFERROR(__xludf.DUMMYFUNCTION("""COMPUTED_VALUE"""),22.71)</f>
        <v/>
      </c>
      <c r="F126" s="141">
        <f>IFERROR(__xludf.DUMMYFUNCTION("""COMPUTED_VALUE"""),22.85)</f>
        <v/>
      </c>
      <c r="G126" s="143">
        <f>IFERROR(__xludf.DUMMYFUNCTION("""COMPUTED_VALUE"""),504025)</f>
        <v/>
      </c>
      <c r="H126" s="27" t="n"/>
    </row>
    <row r="127" ht="17.25" customHeight="1" s="322">
      <c r="A127" s="27" t="n"/>
      <c r="B127" s="506">
        <f>IFERROR(__xludf.DUMMYFUNCTION("""COMPUTED_VALUE"""),46009.6666666666)</f>
        <v/>
      </c>
      <c r="C127" s="141">
        <f>IFERROR(__xludf.DUMMYFUNCTION("""COMPUTED_VALUE"""),22.79)</f>
        <v/>
      </c>
      <c r="D127" s="141">
        <f>IFERROR(__xludf.DUMMYFUNCTION("""COMPUTED_VALUE"""),22.84)</f>
        <v/>
      </c>
      <c r="E127" s="141">
        <f>IFERROR(__xludf.DUMMYFUNCTION("""COMPUTED_VALUE"""),22.67)</f>
        <v/>
      </c>
      <c r="F127" s="141">
        <f>IFERROR(__xludf.DUMMYFUNCTION("""COMPUTED_VALUE"""),22.69)</f>
        <v/>
      </c>
      <c r="G127" s="143">
        <f>IFERROR(__xludf.DUMMYFUNCTION("""COMPUTED_VALUE"""),211506)</f>
        <v/>
      </c>
      <c r="H127" s="27" t="n"/>
    </row>
    <row r="128" ht="17.25" customHeight="1" s="322">
      <c r="A128" s="27" t="n"/>
      <c r="B128" s="506">
        <f>IFERROR(__xludf.DUMMYFUNCTION("""COMPUTED_VALUE"""),46010.6666666666)</f>
        <v/>
      </c>
      <c r="C128" s="141">
        <f>IFERROR(__xludf.DUMMYFUNCTION("""COMPUTED_VALUE"""),22.77)</f>
        <v/>
      </c>
      <c r="D128" s="141">
        <f>IFERROR(__xludf.DUMMYFUNCTION("""COMPUTED_VALUE"""),22.88)</f>
        <v/>
      </c>
      <c r="E128" s="141">
        <f>IFERROR(__xludf.DUMMYFUNCTION("""COMPUTED_VALUE"""),22.72)</f>
        <v/>
      </c>
      <c r="F128" s="141">
        <f>IFERROR(__xludf.DUMMYFUNCTION("""COMPUTED_VALUE"""),22.85)</f>
        <v/>
      </c>
      <c r="G128" s="143">
        <f>IFERROR(__xludf.DUMMYFUNCTION("""COMPUTED_VALUE"""),282655)</f>
        <v/>
      </c>
      <c r="H128" s="27" t="n"/>
    </row>
    <row r="129" ht="17.25" customHeight="1" s="322">
      <c r="A129" s="27" t="n"/>
      <c r="B129" s="506">
        <f>IFERROR(__xludf.DUMMYFUNCTION("""COMPUTED_VALUE"""),46013.6666666666)</f>
        <v/>
      </c>
      <c r="C129" s="141">
        <f>IFERROR(__xludf.DUMMYFUNCTION("""COMPUTED_VALUE"""),22.38)</f>
        <v/>
      </c>
      <c r="D129" s="141">
        <f>IFERROR(__xludf.DUMMYFUNCTION("""COMPUTED_VALUE"""),22.41)</f>
        <v/>
      </c>
      <c r="E129" s="141">
        <f>IFERROR(__xludf.DUMMYFUNCTION("""COMPUTED_VALUE"""),22.34)</f>
        <v/>
      </c>
      <c r="F129" s="141">
        <f>IFERROR(__xludf.DUMMYFUNCTION("""COMPUTED_VALUE"""),22.39)</f>
        <v/>
      </c>
      <c r="G129" s="143">
        <f>IFERROR(__xludf.DUMMYFUNCTION("""COMPUTED_VALUE"""),511634)</f>
        <v/>
      </c>
      <c r="H129" s="27" t="n"/>
    </row>
    <row r="130" ht="17.25" customHeight="1" s="322">
      <c r="A130" s="27" t="n"/>
      <c r="B130" s="506">
        <f>IFERROR(__xludf.DUMMYFUNCTION("""COMPUTED_VALUE"""),46014.6666666666)</f>
        <v/>
      </c>
      <c r="C130" s="141">
        <f>IFERROR(__xludf.DUMMYFUNCTION("""COMPUTED_VALUE"""),22.48)</f>
        <v/>
      </c>
      <c r="D130" s="141">
        <f>IFERROR(__xludf.DUMMYFUNCTION("""COMPUTED_VALUE"""),22.65)</f>
        <v/>
      </c>
      <c r="E130" s="141">
        <f>IFERROR(__xludf.DUMMYFUNCTION("""COMPUTED_VALUE"""),22.42)</f>
        <v/>
      </c>
      <c r="F130" s="141">
        <f>IFERROR(__xludf.DUMMYFUNCTION("""COMPUTED_VALUE"""),22.64)</f>
        <v/>
      </c>
      <c r="G130" s="143">
        <f>IFERROR(__xludf.DUMMYFUNCTION("""COMPUTED_VALUE"""),642474)</f>
        <v/>
      </c>
      <c r="H130" s="27" t="n"/>
    </row>
    <row r="131" ht="17.25" customHeight="1" s="322">
      <c r="A131" s="27" t="n"/>
      <c r="B131" s="506">
        <f>IFERROR(__xludf.DUMMYFUNCTION("""COMPUTED_VALUE"""),46015.5416666666)</f>
        <v/>
      </c>
      <c r="C131" s="141">
        <f>IFERROR(__xludf.DUMMYFUNCTION("""COMPUTED_VALUE"""),22.67)</f>
        <v/>
      </c>
      <c r="D131" s="141">
        <f>IFERROR(__xludf.DUMMYFUNCTION("""COMPUTED_VALUE"""),22.67)</f>
        <v/>
      </c>
      <c r="E131" s="141">
        <f>IFERROR(__xludf.DUMMYFUNCTION("""COMPUTED_VALUE"""),22.56)</f>
        <v/>
      </c>
      <c r="F131" s="141">
        <f>IFERROR(__xludf.DUMMYFUNCTION("""COMPUTED_VALUE"""),22.63)</f>
        <v/>
      </c>
      <c r="G131" s="143">
        <f>IFERROR(__xludf.DUMMYFUNCTION("""COMPUTED_VALUE"""),362828)</f>
        <v/>
      </c>
      <c r="H131" s="27" t="n"/>
    </row>
    <row r="132" ht="17.25" customHeight="1" s="322">
      <c r="A132" s="27" t="n"/>
      <c r="B132" s="506">
        <f>IFERROR(__xludf.DUMMYFUNCTION("""COMPUTED_VALUE"""),46017.6666666666)</f>
        <v/>
      </c>
      <c r="C132" s="141">
        <f>IFERROR(__xludf.DUMMYFUNCTION("""COMPUTED_VALUE"""),22.71)</f>
        <v/>
      </c>
      <c r="D132" s="141">
        <f>IFERROR(__xludf.DUMMYFUNCTION("""COMPUTED_VALUE"""),22.76)</f>
        <v/>
      </c>
      <c r="E132" s="141">
        <f>IFERROR(__xludf.DUMMYFUNCTION("""COMPUTED_VALUE"""),22.63)</f>
        <v/>
      </c>
      <c r="F132" s="141">
        <f>IFERROR(__xludf.DUMMYFUNCTION("""COMPUTED_VALUE"""),22.7)</f>
        <v/>
      </c>
      <c r="G132" s="143">
        <f>IFERROR(__xludf.DUMMYFUNCTION("""COMPUTED_VALUE"""),686632)</f>
        <v/>
      </c>
      <c r="H132" s="27" t="n"/>
    </row>
    <row r="133" ht="17.25" customHeight="1" s="322">
      <c r="A133" s="27" t="n"/>
      <c r="B133" s="506">
        <f>IFERROR(__xludf.DUMMYFUNCTION("""COMPUTED_VALUE"""),46020.6666666666)</f>
        <v/>
      </c>
      <c r="C133" s="141">
        <f>IFERROR(__xludf.DUMMYFUNCTION("""COMPUTED_VALUE"""),22.59)</f>
        <v/>
      </c>
      <c r="D133" s="141">
        <f>IFERROR(__xludf.DUMMYFUNCTION("""COMPUTED_VALUE"""),22.61)</f>
        <v/>
      </c>
      <c r="E133" s="141">
        <f>IFERROR(__xludf.DUMMYFUNCTION("""COMPUTED_VALUE"""),22.47)</f>
        <v/>
      </c>
      <c r="F133" s="141">
        <f>IFERROR(__xludf.DUMMYFUNCTION("""COMPUTED_VALUE"""),22.49)</f>
        <v/>
      </c>
      <c r="G133" s="143">
        <f>IFERROR(__xludf.DUMMYFUNCTION("""COMPUTED_VALUE"""),539425)</f>
        <v/>
      </c>
      <c r="H133" s="27" t="n"/>
    </row>
    <row r="134" ht="17.25" customHeight="1" s="322">
      <c r="A134" s="27" t="n"/>
      <c r="B134" s="506">
        <f>IFERROR(__xludf.DUMMYFUNCTION("""COMPUTED_VALUE"""),46021.6666666666)</f>
        <v/>
      </c>
      <c r="C134" s="141">
        <f>IFERROR(__xludf.DUMMYFUNCTION("""COMPUTED_VALUE"""),22.72)</f>
        <v/>
      </c>
      <c r="D134" s="141">
        <f>IFERROR(__xludf.DUMMYFUNCTION("""COMPUTED_VALUE"""),22.73)</f>
        <v/>
      </c>
      <c r="E134" s="141">
        <f>IFERROR(__xludf.DUMMYFUNCTION("""COMPUTED_VALUE"""),22.62)</f>
        <v/>
      </c>
      <c r="F134" s="141">
        <f>IFERROR(__xludf.DUMMYFUNCTION("""COMPUTED_VALUE"""),22.64)</f>
        <v/>
      </c>
      <c r="G134" s="143">
        <f>IFERROR(__xludf.DUMMYFUNCTION("""COMPUTED_VALUE"""),597569)</f>
        <v/>
      </c>
      <c r="H134" s="27" t="n"/>
    </row>
    <row r="135" ht="17.25" customHeight="1" s="322">
      <c r="A135" s="27" t="n"/>
      <c r="B135" s="506">
        <f>IFERROR(__xludf.DUMMYFUNCTION("""COMPUTED_VALUE"""),46022.6666666666)</f>
        <v/>
      </c>
      <c r="C135" s="141">
        <f>IFERROR(__xludf.DUMMYFUNCTION("""COMPUTED_VALUE"""),22.52)</f>
        <v/>
      </c>
      <c r="D135" s="141">
        <f>IFERROR(__xludf.DUMMYFUNCTION("""COMPUTED_VALUE"""),22.56)</f>
        <v/>
      </c>
      <c r="E135" s="141">
        <f>IFERROR(__xludf.DUMMYFUNCTION("""COMPUTED_VALUE"""),22.35)</f>
        <v/>
      </c>
      <c r="F135" s="141">
        <f>IFERROR(__xludf.DUMMYFUNCTION("""COMPUTED_VALUE"""),22.36)</f>
        <v/>
      </c>
      <c r="G135" s="143">
        <f>IFERROR(__xludf.DUMMYFUNCTION("""COMPUTED_VALUE"""),931406)</f>
        <v/>
      </c>
      <c r="H135" s="27" t="n"/>
    </row>
    <row r="136" ht="17.25" customHeight="1" s="322">
      <c r="A136" s="27" t="n"/>
      <c r="B136" s="506">
        <f>IFERROR(__xludf.DUMMYFUNCTION("""COMPUTED_VALUE"""),46024.6666666666)</f>
        <v/>
      </c>
      <c r="C136" s="141">
        <f>IFERROR(__xludf.DUMMYFUNCTION("""COMPUTED_VALUE"""),22.42)</f>
        <v/>
      </c>
      <c r="D136" s="141">
        <f>IFERROR(__xludf.DUMMYFUNCTION("""COMPUTED_VALUE"""),22.42)</f>
        <v/>
      </c>
      <c r="E136" s="141">
        <f>IFERROR(__xludf.DUMMYFUNCTION("""COMPUTED_VALUE"""),22.29)</f>
        <v/>
      </c>
      <c r="F136" s="141">
        <f>IFERROR(__xludf.DUMMYFUNCTION("""COMPUTED_VALUE"""),22.39)</f>
        <v/>
      </c>
      <c r="G136" s="143">
        <f>IFERROR(__xludf.DUMMYFUNCTION("""COMPUTED_VALUE"""),825363)</f>
        <v/>
      </c>
      <c r="H136" s="27" t="n"/>
    </row>
    <row r="137" ht="17.25" customHeight="1" s="322">
      <c r="A137" s="27" t="n"/>
      <c r="B137" s="506">
        <f>IFERROR(__xludf.DUMMYFUNCTION("""COMPUTED_VALUE"""),46027.6666666666)</f>
        <v/>
      </c>
      <c r="C137" s="141">
        <f>IFERROR(__xludf.DUMMYFUNCTION("""COMPUTED_VALUE"""),22.63)</f>
        <v/>
      </c>
      <c r="D137" s="141">
        <f>IFERROR(__xludf.DUMMYFUNCTION("""COMPUTED_VALUE"""),22.82)</f>
        <v/>
      </c>
      <c r="E137" s="141">
        <f>IFERROR(__xludf.DUMMYFUNCTION("""COMPUTED_VALUE"""),22.63)</f>
        <v/>
      </c>
      <c r="F137" s="141">
        <f>IFERROR(__xludf.DUMMYFUNCTION("""COMPUTED_VALUE"""),22.81)</f>
        <v/>
      </c>
      <c r="G137" s="143">
        <f>IFERROR(__xludf.DUMMYFUNCTION("""COMPUTED_VALUE"""),860101)</f>
        <v/>
      </c>
      <c r="H137" s="27" t="n"/>
    </row>
    <row r="138" ht="17.25" customHeight="1" s="322">
      <c r="A138" s="27" t="n"/>
      <c r="B138" s="506">
        <f>IFERROR(__xludf.DUMMYFUNCTION("""COMPUTED_VALUE"""),46028.6666666666)</f>
        <v/>
      </c>
      <c r="C138" s="141">
        <f>IFERROR(__xludf.DUMMYFUNCTION("""COMPUTED_VALUE"""),22.94)</f>
        <v/>
      </c>
      <c r="D138" s="141">
        <f>IFERROR(__xludf.DUMMYFUNCTION("""COMPUTED_VALUE"""),22.98)</f>
        <v/>
      </c>
      <c r="E138" s="141">
        <f>IFERROR(__xludf.DUMMYFUNCTION("""COMPUTED_VALUE"""),22.78)</f>
        <v/>
      </c>
      <c r="F138" s="141">
        <f>IFERROR(__xludf.DUMMYFUNCTION("""COMPUTED_VALUE"""),22.8)</f>
        <v/>
      </c>
      <c r="G138" s="143">
        <f>IFERROR(__xludf.DUMMYFUNCTION("""COMPUTED_VALUE"""),581850)</f>
        <v/>
      </c>
      <c r="H138" s="27" t="n"/>
    </row>
    <row r="139" ht="17.25" customHeight="1" s="322">
      <c r="A139" s="27" t="n"/>
      <c r="B139" s="506">
        <f>IFERROR(__xludf.DUMMYFUNCTION("""COMPUTED_VALUE"""),46029.6666666666)</f>
        <v/>
      </c>
      <c r="C139" s="141">
        <f>IFERROR(__xludf.DUMMYFUNCTION("""COMPUTED_VALUE"""),22.71)</f>
        <v/>
      </c>
      <c r="D139" s="141">
        <f>IFERROR(__xludf.DUMMYFUNCTION("""COMPUTED_VALUE"""),22.71)</f>
        <v/>
      </c>
      <c r="E139" s="141">
        <f>IFERROR(__xludf.DUMMYFUNCTION("""COMPUTED_VALUE"""),22.51)</f>
        <v/>
      </c>
      <c r="F139" s="141">
        <f>IFERROR(__xludf.DUMMYFUNCTION("""COMPUTED_VALUE"""),22.59)</f>
        <v/>
      </c>
      <c r="G139" s="143">
        <f>IFERROR(__xludf.DUMMYFUNCTION("""COMPUTED_VALUE"""),660034)</f>
        <v/>
      </c>
      <c r="H139" s="27" t="n"/>
    </row>
    <row r="140" ht="17.25" customHeight="1" s="322">
      <c r="A140" s="27" t="n"/>
      <c r="B140" s="506">
        <f>IFERROR(__xludf.DUMMYFUNCTION("""COMPUTED_VALUE"""),46030.6666666666)</f>
        <v/>
      </c>
      <c r="C140" s="141">
        <f>IFERROR(__xludf.DUMMYFUNCTION("""COMPUTED_VALUE"""),22.61)</f>
        <v/>
      </c>
      <c r="D140" s="141">
        <f>IFERROR(__xludf.DUMMYFUNCTION("""COMPUTED_VALUE"""),22.9)</f>
        <v/>
      </c>
      <c r="E140" s="141">
        <f>IFERROR(__xludf.DUMMYFUNCTION("""COMPUTED_VALUE"""),22.6)</f>
        <v/>
      </c>
      <c r="F140" s="141">
        <f>IFERROR(__xludf.DUMMYFUNCTION("""COMPUTED_VALUE"""),22.88)</f>
        <v/>
      </c>
      <c r="G140" s="143">
        <f>IFERROR(__xludf.DUMMYFUNCTION("""COMPUTED_VALUE"""),776577)</f>
        <v/>
      </c>
      <c r="H140" s="27" t="n"/>
    </row>
    <row r="141" ht="17.25" customHeight="1" s="322">
      <c r="A141" s="27" t="n"/>
      <c r="B141" s="506">
        <f>IFERROR(__xludf.DUMMYFUNCTION("""COMPUTED_VALUE"""),46031.6666666666)</f>
        <v/>
      </c>
      <c r="C141" s="141">
        <f>IFERROR(__xludf.DUMMYFUNCTION("""COMPUTED_VALUE"""),22.97)</f>
        <v/>
      </c>
      <c r="D141" s="141">
        <f>IFERROR(__xludf.DUMMYFUNCTION("""COMPUTED_VALUE"""),23.06)</f>
        <v/>
      </c>
      <c r="E141" s="141">
        <f>IFERROR(__xludf.DUMMYFUNCTION("""COMPUTED_VALUE"""),22.89)</f>
        <v/>
      </c>
      <c r="F141" s="141">
        <f>IFERROR(__xludf.DUMMYFUNCTION("""COMPUTED_VALUE"""),22.9)</f>
        <v/>
      </c>
      <c r="G141" s="143">
        <f>IFERROR(__xludf.DUMMYFUNCTION("""COMPUTED_VALUE"""),220537)</f>
        <v/>
      </c>
      <c r="H141" s="27" t="n"/>
    </row>
    <row r="142" ht="17.25" customHeight="1" s="322">
      <c r="A142" s="27" t="n"/>
      <c r="B142" s="506">
        <f>IFERROR(__xludf.DUMMYFUNCTION("""COMPUTED_VALUE"""),46034.6666666666)</f>
        <v/>
      </c>
      <c r="C142" s="141">
        <f>IFERROR(__xludf.DUMMYFUNCTION("""COMPUTED_VALUE"""),23.06)</f>
        <v/>
      </c>
      <c r="D142" s="141">
        <f>IFERROR(__xludf.DUMMYFUNCTION("""COMPUTED_VALUE"""),23.25)</f>
        <v/>
      </c>
      <c r="E142" s="141">
        <f>IFERROR(__xludf.DUMMYFUNCTION("""COMPUTED_VALUE"""),23.06)</f>
        <v/>
      </c>
      <c r="F142" s="141">
        <f>IFERROR(__xludf.DUMMYFUNCTION("""COMPUTED_VALUE"""),23.19)</f>
        <v/>
      </c>
      <c r="G142" s="143">
        <f>IFERROR(__xludf.DUMMYFUNCTION("""COMPUTED_VALUE"""),320991)</f>
        <v/>
      </c>
      <c r="H142" s="27" t="n"/>
    </row>
    <row r="143" ht="17.25" customHeight="1" s="322">
      <c r="A143" s="27" t="n"/>
      <c r="B143" s="506">
        <f>IFERROR(__xludf.DUMMYFUNCTION("""COMPUTED_VALUE"""),46035.6666666666)</f>
        <v/>
      </c>
      <c r="C143" s="141">
        <f>IFERROR(__xludf.DUMMYFUNCTION("""COMPUTED_VALUE"""),23.35)</f>
        <v/>
      </c>
      <c r="D143" s="141">
        <f>IFERROR(__xludf.DUMMYFUNCTION("""COMPUTED_VALUE"""),23.47)</f>
        <v/>
      </c>
      <c r="E143" s="141">
        <f>IFERROR(__xludf.DUMMYFUNCTION("""COMPUTED_VALUE"""),23.3)</f>
        <v/>
      </c>
      <c r="F143" s="141">
        <f>IFERROR(__xludf.DUMMYFUNCTION("""COMPUTED_VALUE"""),23.37)</f>
        <v/>
      </c>
      <c r="G143" s="143">
        <f>IFERROR(__xludf.DUMMYFUNCTION("""COMPUTED_VALUE"""),826236)</f>
        <v/>
      </c>
      <c r="H143" s="27" t="n"/>
    </row>
    <row r="144" ht="17.25" customHeight="1" s="322">
      <c r="A144" s="27" t="n"/>
      <c r="B144" s="506">
        <f>IFERROR(__xludf.DUMMYFUNCTION("""COMPUTED_VALUE"""),46036.6666666666)</f>
        <v/>
      </c>
      <c r="C144" s="141">
        <f>IFERROR(__xludf.DUMMYFUNCTION("""COMPUTED_VALUE"""),23.57)</f>
        <v/>
      </c>
      <c r="D144" s="141">
        <f>IFERROR(__xludf.DUMMYFUNCTION("""COMPUTED_VALUE"""),23.65)</f>
        <v/>
      </c>
      <c r="E144" s="141">
        <f>IFERROR(__xludf.DUMMYFUNCTION("""COMPUTED_VALUE"""),23.26)</f>
        <v/>
      </c>
      <c r="F144" s="141">
        <f>IFERROR(__xludf.DUMMYFUNCTION("""COMPUTED_VALUE"""),23.39)</f>
        <v/>
      </c>
      <c r="G144" s="143">
        <f>IFERROR(__xludf.DUMMYFUNCTION("""COMPUTED_VALUE"""),1316504)</f>
        <v/>
      </c>
      <c r="H144" s="27" t="n"/>
    </row>
    <row r="145" ht="17.25" customHeight="1" s="322">
      <c r="A145" s="27" t="n"/>
      <c r="B145" s="506">
        <f>IFERROR(__xludf.DUMMYFUNCTION("""COMPUTED_VALUE"""),46037.6666666666)</f>
        <v/>
      </c>
      <c r="C145" s="141">
        <f>IFERROR(__xludf.DUMMYFUNCTION("""COMPUTED_VALUE"""),23.18)</f>
        <v/>
      </c>
      <c r="D145" s="141">
        <f>IFERROR(__xludf.DUMMYFUNCTION("""COMPUTED_VALUE"""),23.31)</f>
        <v/>
      </c>
      <c r="E145" s="141">
        <f>IFERROR(__xludf.DUMMYFUNCTION("""COMPUTED_VALUE"""),23.12)</f>
        <v/>
      </c>
      <c r="F145" s="141">
        <f>IFERROR(__xludf.DUMMYFUNCTION("""COMPUTED_VALUE"""),23.2)</f>
        <v/>
      </c>
      <c r="G145" s="143">
        <f>IFERROR(__xludf.DUMMYFUNCTION("""COMPUTED_VALUE"""),490532)</f>
        <v/>
      </c>
      <c r="H145" s="27" t="n"/>
    </row>
    <row r="146" ht="17.25" customHeight="1" s="322">
      <c r="A146" s="27" t="n"/>
      <c r="B146" s="506">
        <f>IFERROR(__xludf.DUMMYFUNCTION("""COMPUTED_VALUE"""),46038.6666666666)</f>
        <v/>
      </c>
      <c r="C146" s="141">
        <f>IFERROR(__xludf.DUMMYFUNCTION("""COMPUTED_VALUE"""),23.2)</f>
        <v/>
      </c>
      <c r="D146" s="141">
        <f>IFERROR(__xludf.DUMMYFUNCTION("""COMPUTED_VALUE"""),23.24)</f>
        <v/>
      </c>
      <c r="E146" s="141">
        <f>IFERROR(__xludf.DUMMYFUNCTION("""COMPUTED_VALUE"""),23.09)</f>
        <v/>
      </c>
      <c r="F146" s="141">
        <f>IFERROR(__xludf.DUMMYFUNCTION("""COMPUTED_VALUE"""),23.16)</f>
        <v/>
      </c>
      <c r="G146" s="143">
        <f>IFERROR(__xludf.DUMMYFUNCTION("""COMPUTED_VALUE"""),506880)</f>
        <v/>
      </c>
      <c r="H146" s="27" t="n"/>
    </row>
    <row r="147" ht="17.25" customHeight="1" s="322">
      <c r="A147" s="27" t="n"/>
      <c r="B147" s="506">
        <f>IFERROR(__xludf.DUMMYFUNCTION("""COMPUTED_VALUE"""),46042.6666666666)</f>
        <v/>
      </c>
      <c r="C147" s="141">
        <f>IFERROR(__xludf.DUMMYFUNCTION("""COMPUTED_VALUE"""),23.54)</f>
        <v/>
      </c>
      <c r="D147" s="141">
        <f>IFERROR(__xludf.DUMMYFUNCTION("""COMPUTED_VALUE"""),23.59)</f>
        <v/>
      </c>
      <c r="E147" s="141">
        <f>IFERROR(__xludf.DUMMYFUNCTION("""COMPUTED_VALUE"""),23.45)</f>
        <v/>
      </c>
      <c r="F147" s="141">
        <f>IFERROR(__xludf.DUMMYFUNCTION("""COMPUTED_VALUE"""),23.48)</f>
        <v/>
      </c>
      <c r="G147" s="143">
        <f>IFERROR(__xludf.DUMMYFUNCTION("""COMPUTED_VALUE"""),428189)</f>
        <v/>
      </c>
      <c r="H147" s="27" t="n"/>
    </row>
    <row r="148" ht="17.25" customHeight="1" s="322">
      <c r="A148" s="27" t="n"/>
      <c r="B148" s="506">
        <f>IFERROR(__xludf.DUMMYFUNCTION("""COMPUTED_VALUE"""),46043.6666666666)</f>
        <v/>
      </c>
      <c r="C148" s="141">
        <f>IFERROR(__xludf.DUMMYFUNCTION("""COMPUTED_VALUE"""),23.78)</f>
        <v/>
      </c>
      <c r="D148" s="141">
        <f>IFERROR(__xludf.DUMMYFUNCTION("""COMPUTED_VALUE"""),23.79)</f>
        <v/>
      </c>
      <c r="E148" s="141">
        <f>IFERROR(__xludf.DUMMYFUNCTION("""COMPUTED_VALUE"""),23.65)</f>
        <v/>
      </c>
      <c r="F148" s="141">
        <f>IFERROR(__xludf.DUMMYFUNCTION("""COMPUTED_VALUE"""),23.75)</f>
        <v/>
      </c>
      <c r="G148" s="143">
        <f>IFERROR(__xludf.DUMMYFUNCTION("""COMPUTED_VALUE"""),693409)</f>
        <v/>
      </c>
      <c r="H148" s="27" t="n"/>
    </row>
    <row r="149" ht="17.25" customHeight="1" s="322">
      <c r="A149" s="27" t="n"/>
      <c r="B149" s="506">
        <f>IFERROR(__xludf.DUMMYFUNCTION("""COMPUTED_VALUE"""),46044.6666666666)</f>
        <v/>
      </c>
      <c r="C149" s="141">
        <f>IFERROR(__xludf.DUMMYFUNCTION("""COMPUTED_VALUE"""),23.72)</f>
        <v/>
      </c>
      <c r="D149" s="141">
        <f>IFERROR(__xludf.DUMMYFUNCTION("""COMPUTED_VALUE"""),23.76)</f>
        <v/>
      </c>
      <c r="E149" s="141">
        <f>IFERROR(__xludf.DUMMYFUNCTION("""COMPUTED_VALUE"""),23.65)</f>
        <v/>
      </c>
      <c r="F149" s="141">
        <f>IFERROR(__xludf.DUMMYFUNCTION("""COMPUTED_VALUE"""),23.74)</f>
        <v/>
      </c>
      <c r="G149" s="143">
        <f>IFERROR(__xludf.DUMMYFUNCTION("""COMPUTED_VALUE"""),409448)</f>
        <v/>
      </c>
      <c r="H149" s="27" t="n"/>
    </row>
    <row r="150" ht="17.25" customHeight="1" s="322">
      <c r="A150" s="27" t="n"/>
      <c r="B150" s="506">
        <f>IFERROR(__xludf.DUMMYFUNCTION("""COMPUTED_VALUE"""),46045.6666666666)</f>
        <v/>
      </c>
      <c r="C150" s="141">
        <f>IFERROR(__xludf.DUMMYFUNCTION("""COMPUTED_VALUE"""),24.05)</f>
        <v/>
      </c>
      <c r="D150" s="141">
        <f>IFERROR(__xludf.DUMMYFUNCTION("""COMPUTED_VALUE"""),24.2)</f>
        <v/>
      </c>
      <c r="E150" s="141">
        <f>IFERROR(__xludf.DUMMYFUNCTION("""COMPUTED_VALUE"""),24.05)</f>
        <v/>
      </c>
      <c r="F150" s="141">
        <f>IFERROR(__xludf.DUMMYFUNCTION("""COMPUTED_VALUE"""),24.18)</f>
        <v/>
      </c>
      <c r="G150" s="143">
        <f>IFERROR(__xludf.DUMMYFUNCTION("""COMPUTED_VALUE"""),890598)</f>
        <v/>
      </c>
      <c r="H150" s="27" t="n"/>
    </row>
    <row r="151" ht="17.25" customHeight="1" s="322">
      <c r="A151" s="27" t="n"/>
      <c r="B151" s="506">
        <f>IFERROR(__xludf.DUMMYFUNCTION("""COMPUTED_VALUE"""),46048.6666666666)</f>
        <v/>
      </c>
      <c r="C151" s="141">
        <f>IFERROR(__xludf.DUMMYFUNCTION("""COMPUTED_VALUE"""),24.35)</f>
        <v/>
      </c>
      <c r="D151" s="141">
        <f>IFERROR(__xludf.DUMMYFUNCTION("""COMPUTED_VALUE"""),24.5)</f>
        <v/>
      </c>
      <c r="E151" s="141">
        <f>IFERROR(__xludf.DUMMYFUNCTION("""COMPUTED_VALUE"""),24.19)</f>
        <v/>
      </c>
      <c r="F151" s="141">
        <f>IFERROR(__xludf.DUMMYFUNCTION("""COMPUTED_VALUE"""),24.29)</f>
        <v/>
      </c>
      <c r="G151" s="143">
        <f>IFERROR(__xludf.DUMMYFUNCTION("""COMPUTED_VALUE"""),749098)</f>
        <v/>
      </c>
      <c r="H151" s="27" t="n"/>
    </row>
    <row r="152" ht="17.25" customHeight="1" s="322">
      <c r="A152" s="27" t="n"/>
      <c r="B152" s="506">
        <f>IFERROR(__xludf.DUMMYFUNCTION("""COMPUTED_VALUE"""),46049.6666666666)</f>
        <v/>
      </c>
      <c r="C152" s="141">
        <f>IFERROR(__xludf.DUMMYFUNCTION("""COMPUTED_VALUE"""),24.3)</f>
        <v/>
      </c>
      <c r="D152" s="141">
        <f>IFERROR(__xludf.DUMMYFUNCTION("""COMPUTED_VALUE"""),24.63)</f>
        <v/>
      </c>
      <c r="E152" s="141">
        <f>IFERROR(__xludf.DUMMYFUNCTION("""COMPUTED_VALUE"""),24.23)</f>
        <v/>
      </c>
      <c r="F152" s="141">
        <f>IFERROR(__xludf.DUMMYFUNCTION("""COMPUTED_VALUE"""),24.62)</f>
        <v/>
      </c>
      <c r="G152" s="143">
        <f>IFERROR(__xludf.DUMMYFUNCTION("""COMPUTED_VALUE"""),928571)</f>
        <v/>
      </c>
      <c r="H152" s="27" t="n"/>
    </row>
    <row r="153" ht="17.25" customHeight="1" s="322">
      <c r="A153" s="27" t="n"/>
      <c r="B153" s="506">
        <f>IFERROR(__xludf.DUMMYFUNCTION("""COMPUTED_VALUE"""),46050.6666666666)</f>
        <v/>
      </c>
      <c r="C153" s="141">
        <f>IFERROR(__xludf.DUMMYFUNCTION("""COMPUTED_VALUE"""),24.77)</f>
        <v/>
      </c>
      <c r="D153" s="141">
        <f>IFERROR(__xludf.DUMMYFUNCTION("""COMPUTED_VALUE"""),24.97)</f>
        <v/>
      </c>
      <c r="E153" s="141">
        <f>IFERROR(__xludf.DUMMYFUNCTION("""COMPUTED_VALUE"""),24.71)</f>
        <v/>
      </c>
      <c r="F153" s="141">
        <f>IFERROR(__xludf.DUMMYFUNCTION("""COMPUTED_VALUE"""),24.94)</f>
        <v/>
      </c>
      <c r="G153" s="143">
        <f>IFERROR(__xludf.DUMMYFUNCTION("""COMPUTED_VALUE"""),557417)</f>
        <v/>
      </c>
      <c r="H153" s="27" t="n"/>
    </row>
    <row r="154" ht="17.25" customHeight="1" s="322">
      <c r="A154" s="27" t="n"/>
      <c r="B154" s="506">
        <f>IFERROR(__xludf.DUMMYFUNCTION("""COMPUTED_VALUE"""),46051.6666666666)</f>
        <v/>
      </c>
      <c r="C154" s="141">
        <f>IFERROR(__xludf.DUMMYFUNCTION("""COMPUTED_VALUE"""),25.67)</f>
        <v/>
      </c>
      <c r="D154" s="141">
        <f>IFERROR(__xludf.DUMMYFUNCTION("""COMPUTED_VALUE"""),25.69)</f>
        <v/>
      </c>
      <c r="E154" s="141">
        <f>IFERROR(__xludf.DUMMYFUNCTION("""COMPUTED_VALUE"""),24.77)</f>
        <v/>
      </c>
      <c r="F154" s="141">
        <f>IFERROR(__xludf.DUMMYFUNCTION("""COMPUTED_VALUE"""),25.3)</f>
        <v/>
      </c>
      <c r="G154" s="143">
        <f>IFERROR(__xludf.DUMMYFUNCTION("""COMPUTED_VALUE"""),1001618)</f>
        <v/>
      </c>
      <c r="H154" s="27" t="n"/>
    </row>
    <row r="155" ht="17.25" customHeight="1" s="322">
      <c r="A155" s="27" t="n"/>
      <c r="B155" s="506">
        <f>IFERROR(__xludf.DUMMYFUNCTION("""COMPUTED_VALUE"""),46052.6666666666)</f>
        <v/>
      </c>
      <c r="C155" s="141">
        <f>IFERROR(__xludf.DUMMYFUNCTION("""COMPUTED_VALUE"""),24.79)</f>
        <v/>
      </c>
      <c r="D155" s="141">
        <f>IFERROR(__xludf.DUMMYFUNCTION("""COMPUTED_VALUE"""),24.86)</f>
        <v/>
      </c>
      <c r="E155" s="141">
        <f>IFERROR(__xludf.DUMMYFUNCTION("""COMPUTED_VALUE"""),23.95)</f>
        <v/>
      </c>
      <c r="F155" s="141">
        <f>IFERROR(__xludf.DUMMYFUNCTION("""COMPUTED_VALUE"""),24.43)</f>
        <v/>
      </c>
      <c r="G155" s="143">
        <f>IFERROR(__xludf.DUMMYFUNCTION("""COMPUTED_VALUE"""),2266805)</f>
        <v/>
      </c>
      <c r="H155" s="27" t="n"/>
    </row>
    <row r="156" ht="17.25" customHeight="1" s="322">
      <c r="A156" s="27" t="n"/>
      <c r="B156" s="506">
        <f>IFERROR(__xludf.DUMMYFUNCTION("""COMPUTED_VALUE"""),46055.6666666666)</f>
        <v/>
      </c>
      <c r="C156" s="141">
        <f>IFERROR(__xludf.DUMMYFUNCTION("""COMPUTED_VALUE"""),23.66)</f>
        <v/>
      </c>
      <c r="D156" s="141">
        <f>IFERROR(__xludf.DUMMYFUNCTION("""COMPUTED_VALUE"""),23.76)</f>
        <v/>
      </c>
      <c r="E156" s="141">
        <f>IFERROR(__xludf.DUMMYFUNCTION("""COMPUTED_VALUE"""),23.39)</f>
        <v/>
      </c>
      <c r="F156" s="141">
        <f>IFERROR(__xludf.DUMMYFUNCTION("""COMPUTED_VALUE"""),23.54)</f>
        <v/>
      </c>
      <c r="G156" s="143">
        <f>IFERROR(__xludf.DUMMYFUNCTION("""COMPUTED_VALUE"""),3064343)</f>
        <v/>
      </c>
      <c r="H156" s="27" t="n"/>
    </row>
    <row r="157" ht="17.25" customHeight="1" s="322">
      <c r="A157" s="27" t="n"/>
      <c r="B157" s="506">
        <f>IFERROR(__xludf.DUMMYFUNCTION("""COMPUTED_VALUE"""),46056.6666666666)</f>
        <v/>
      </c>
      <c r="C157" s="141">
        <f>IFERROR(__xludf.DUMMYFUNCTION("""COMPUTED_VALUE"""),23.97)</f>
        <v/>
      </c>
      <c r="D157" s="141">
        <f>IFERROR(__xludf.DUMMYFUNCTION("""COMPUTED_VALUE"""),24.17)</f>
        <v/>
      </c>
      <c r="E157" s="141">
        <f>IFERROR(__xludf.DUMMYFUNCTION("""COMPUTED_VALUE"""),23.87)</f>
        <v/>
      </c>
      <c r="F157" s="141">
        <f>IFERROR(__xludf.DUMMYFUNCTION("""COMPUTED_VALUE"""),24.15)</f>
        <v/>
      </c>
      <c r="G157" s="143">
        <f>IFERROR(__xludf.DUMMYFUNCTION("""COMPUTED_VALUE"""),1165230)</f>
        <v/>
      </c>
      <c r="H157" s="27" t="n"/>
    </row>
    <row r="158" ht="17.25" customHeight="1" s="322">
      <c r="A158" s="27" t="n"/>
      <c r="B158" s="506">
        <f>IFERROR(__xludf.DUMMYFUNCTION("""COMPUTED_VALUE"""),46057.6666666666)</f>
        <v/>
      </c>
      <c r="C158" s="141">
        <f>IFERROR(__xludf.DUMMYFUNCTION("""COMPUTED_VALUE"""),24.18)</f>
        <v/>
      </c>
      <c r="D158" s="141">
        <f>IFERROR(__xludf.DUMMYFUNCTION("""COMPUTED_VALUE"""),24.27)</f>
        <v/>
      </c>
      <c r="E158" s="141">
        <f>IFERROR(__xludf.DUMMYFUNCTION("""COMPUTED_VALUE"""),23.93)</f>
        <v/>
      </c>
      <c r="F158" s="141">
        <f>IFERROR(__xludf.DUMMYFUNCTION("""COMPUTED_VALUE"""),24.19)</f>
        <v/>
      </c>
      <c r="G158" s="143">
        <f>IFERROR(__xludf.DUMMYFUNCTION("""COMPUTED_VALUE"""),1310352)</f>
        <v/>
      </c>
      <c r="H158" s="27" t="n"/>
    </row>
    <row r="159" ht="17.25" customHeight="1" s="322">
      <c r="A159" s="27" t="n"/>
      <c r="B159" s="506">
        <f>IFERROR(__xludf.DUMMYFUNCTION("""COMPUTED_VALUE"""),46058.6666666666)</f>
        <v/>
      </c>
      <c r="C159" s="141">
        <f>IFERROR(__xludf.DUMMYFUNCTION("""COMPUTED_VALUE"""),23.86)</f>
        <v/>
      </c>
      <c r="D159" s="141">
        <f>IFERROR(__xludf.DUMMYFUNCTION("""COMPUTED_VALUE"""),24.01)</f>
        <v/>
      </c>
      <c r="E159" s="141">
        <f>IFERROR(__xludf.DUMMYFUNCTION("""COMPUTED_VALUE"""),23.64)</f>
        <v/>
      </c>
      <c r="F159" s="141">
        <f>IFERROR(__xludf.DUMMYFUNCTION("""COMPUTED_VALUE"""),23.76)</f>
        <v/>
      </c>
      <c r="G159" s="143">
        <f>IFERROR(__xludf.DUMMYFUNCTION("""COMPUTED_VALUE"""),916089)</f>
        <v/>
      </c>
      <c r="H159" s="27" t="n"/>
    </row>
    <row r="160" ht="17.25" customHeight="1" s="322">
      <c r="A160" s="27" t="n"/>
      <c r="B160" s="506">
        <f>IFERROR(__xludf.DUMMYFUNCTION("""COMPUTED_VALUE"""),46059.6666666666)</f>
        <v/>
      </c>
      <c r="C160" s="141">
        <f>IFERROR(__xludf.DUMMYFUNCTION("""COMPUTED_VALUE"""),23.84)</f>
        <v/>
      </c>
      <c r="D160" s="141">
        <f>IFERROR(__xludf.DUMMYFUNCTION("""COMPUTED_VALUE"""),24.15)</f>
        <v/>
      </c>
      <c r="E160" s="141">
        <f>IFERROR(__xludf.DUMMYFUNCTION("""COMPUTED_VALUE"""),23.83)</f>
        <v/>
      </c>
      <c r="F160" s="141">
        <f>IFERROR(__xludf.DUMMYFUNCTION("""COMPUTED_VALUE"""),24.01)</f>
        <v/>
      </c>
      <c r="G160" s="143">
        <f>IFERROR(__xludf.DUMMYFUNCTION("""COMPUTED_VALUE"""),913122)</f>
        <v/>
      </c>
      <c r="H160" s="27" t="n"/>
    </row>
    <row r="161" ht="17.25" customHeight="1" s="322">
      <c r="A161" s="27" t="n"/>
      <c r="B161" s="506">
        <f>IFERROR(__xludf.DUMMYFUNCTION("""COMPUTED_VALUE"""),46062.6666666666)</f>
        <v/>
      </c>
      <c r="C161" s="141">
        <f>IFERROR(__xludf.DUMMYFUNCTION("""COMPUTED_VALUE"""),23.98)</f>
        <v/>
      </c>
      <c r="D161" s="141">
        <f>IFERROR(__xludf.DUMMYFUNCTION("""COMPUTED_VALUE"""),24.29)</f>
        <v/>
      </c>
      <c r="E161" s="141">
        <f>IFERROR(__xludf.DUMMYFUNCTION("""COMPUTED_VALUE"""),23.97)</f>
        <v/>
      </c>
      <c r="F161" s="141">
        <f>IFERROR(__xludf.DUMMYFUNCTION("""COMPUTED_VALUE"""),24.25)</f>
        <v/>
      </c>
      <c r="G161" s="143">
        <f>IFERROR(__xludf.DUMMYFUNCTION("""COMPUTED_VALUE"""),630402)</f>
        <v/>
      </c>
      <c r="H161" s="27" t="n"/>
    </row>
    <row r="162" ht="17.25" customHeight="1" s="322">
      <c r="A162" s="27" t="n"/>
      <c r="B162" s="506">
        <f>IFERROR(__xludf.DUMMYFUNCTION("""COMPUTED_VALUE"""),46063.6666666666)</f>
        <v/>
      </c>
      <c r="C162" s="141">
        <f>IFERROR(__xludf.DUMMYFUNCTION("""COMPUTED_VALUE"""),24.23)</f>
        <v/>
      </c>
      <c r="D162" s="141">
        <f>IFERROR(__xludf.DUMMYFUNCTION("""COMPUTED_VALUE"""),24.23)</f>
        <v/>
      </c>
      <c r="E162" s="141">
        <f>IFERROR(__xludf.DUMMYFUNCTION("""COMPUTED_VALUE"""),24.03)</f>
        <v/>
      </c>
      <c r="F162" s="141">
        <f>IFERROR(__xludf.DUMMYFUNCTION("""COMPUTED_VALUE"""),24.14)</f>
        <v/>
      </c>
      <c r="G162" s="143">
        <f>IFERROR(__xludf.DUMMYFUNCTION("""COMPUTED_VALUE"""),383488)</f>
        <v/>
      </c>
      <c r="H162" s="27" t="n"/>
    </row>
    <row r="163" ht="17.25" customHeight="1" s="322">
      <c r="A163" s="27" t="n"/>
      <c r="B163" s="506">
        <f>IFERROR(__xludf.DUMMYFUNCTION("""COMPUTED_VALUE"""),46064.6666666666)</f>
        <v/>
      </c>
      <c r="C163" s="141">
        <f>IFERROR(__xludf.DUMMYFUNCTION("""COMPUTED_VALUE"""),24.43)</f>
        <v/>
      </c>
      <c r="D163" s="141">
        <f>IFERROR(__xludf.DUMMYFUNCTION("""COMPUTED_VALUE"""),24.43)</f>
        <v/>
      </c>
      <c r="E163" s="141">
        <f>IFERROR(__xludf.DUMMYFUNCTION("""COMPUTED_VALUE"""),24.25)</f>
        <v/>
      </c>
      <c r="F163" s="141">
        <f>IFERROR(__xludf.DUMMYFUNCTION("""COMPUTED_VALUE"""),24.37)</f>
        <v/>
      </c>
      <c r="G163" s="143">
        <f>IFERROR(__xludf.DUMMYFUNCTION("""COMPUTED_VALUE"""),1026015)</f>
        <v/>
      </c>
      <c r="H163" s="27" t="n"/>
    </row>
    <row r="164" ht="17.25" customHeight="1" s="322">
      <c r="A164" s="27" t="n"/>
      <c r="B164" s="506">
        <f>IFERROR(__xludf.DUMMYFUNCTION("""COMPUTED_VALUE"""),46065.6666666666)</f>
        <v/>
      </c>
      <c r="C164" s="141">
        <f>IFERROR(__xludf.DUMMYFUNCTION("""COMPUTED_VALUE"""),24.28)</f>
        <v/>
      </c>
      <c r="D164" s="141">
        <f>IFERROR(__xludf.DUMMYFUNCTION("""COMPUTED_VALUE"""),24.3)</f>
        <v/>
      </c>
      <c r="E164" s="141">
        <f>IFERROR(__xludf.DUMMYFUNCTION("""COMPUTED_VALUE"""),23.77)</f>
        <v/>
      </c>
      <c r="F164" s="141">
        <f>IFERROR(__xludf.DUMMYFUNCTION("""COMPUTED_VALUE"""),23.8)</f>
        <v/>
      </c>
      <c r="G164" s="143">
        <f>IFERROR(__xludf.DUMMYFUNCTION("""COMPUTED_VALUE"""),1756512)</f>
        <v/>
      </c>
      <c r="H164" s="27" t="n"/>
    </row>
    <row r="165" ht="17.25" customHeight="1" s="322">
      <c r="A165" s="27" t="n"/>
      <c r="B165" s="506">
        <f>IFERROR(__xludf.DUMMYFUNCTION("""COMPUTED_VALUE"""),46066.6666666666)</f>
        <v/>
      </c>
      <c r="C165" s="141">
        <f>IFERROR(__xludf.DUMMYFUNCTION("""COMPUTED_VALUE"""),23.85)</f>
        <v/>
      </c>
      <c r="D165" s="141">
        <f>IFERROR(__xludf.DUMMYFUNCTION("""COMPUTED_VALUE"""),23.95)</f>
        <v/>
      </c>
      <c r="E165" s="141">
        <f>IFERROR(__xludf.DUMMYFUNCTION("""COMPUTED_VALUE"""),23.74)</f>
        <v/>
      </c>
      <c r="F165" s="141">
        <f>IFERROR(__xludf.DUMMYFUNCTION("""COMPUTED_VALUE"""),23.88)</f>
        <v/>
      </c>
      <c r="G165" s="143">
        <f>IFERROR(__xludf.DUMMYFUNCTION("""COMPUTED_VALUE"""),250740)</f>
        <v/>
      </c>
      <c r="H165" s="27" t="n"/>
    </row>
    <row r="166" ht="17.25" customHeight="1" s="322">
      <c r="A166" s="27" t="n"/>
      <c r="B166" s="506">
        <f>IFERROR(__xludf.DUMMYFUNCTION("""COMPUTED_VALUE"""),46070.6666666666)</f>
        <v/>
      </c>
      <c r="C166" s="141">
        <f>IFERROR(__xludf.DUMMYFUNCTION("""COMPUTED_VALUE"""),23.61)</f>
        <v/>
      </c>
      <c r="D166" s="141">
        <f>IFERROR(__xludf.DUMMYFUNCTION("""COMPUTED_VALUE"""),23.69)</f>
        <v/>
      </c>
      <c r="E166" s="141">
        <f>IFERROR(__xludf.DUMMYFUNCTION("""COMPUTED_VALUE"""),23.52)</f>
        <v/>
      </c>
      <c r="F166" s="141">
        <f>IFERROR(__xludf.DUMMYFUNCTION("""COMPUTED_VALUE"""),23.59)</f>
        <v/>
      </c>
      <c r="G166" s="143">
        <f>IFERROR(__xludf.DUMMYFUNCTION("""COMPUTED_VALUE"""),387599)</f>
        <v/>
      </c>
      <c r="H166" s="27" t="n"/>
    </row>
    <row r="167" ht="17.25" customHeight="1" s="322">
      <c r="A167" s="27" t="n"/>
      <c r="B167" s="506">
        <f>IFERROR(__xludf.DUMMYFUNCTION("""COMPUTED_VALUE"""),46071.6666666666)</f>
        <v/>
      </c>
      <c r="C167" s="141">
        <f>IFERROR(__xludf.DUMMYFUNCTION("""COMPUTED_VALUE"""),23.97)</f>
        <v/>
      </c>
      <c r="D167" s="141">
        <f>IFERROR(__xludf.DUMMYFUNCTION("""COMPUTED_VALUE"""),24.24)</f>
        <v/>
      </c>
      <c r="E167" s="141">
        <f>IFERROR(__xludf.DUMMYFUNCTION("""COMPUTED_VALUE"""),23.97)</f>
        <v/>
      </c>
      <c r="F167" s="141">
        <f>IFERROR(__xludf.DUMMYFUNCTION("""COMPUTED_VALUE"""),24.21)</f>
        <v/>
      </c>
      <c r="G167" s="143">
        <f>IFERROR(__xludf.DUMMYFUNCTION("""COMPUTED_VALUE"""),408503)</f>
        <v/>
      </c>
      <c r="H167" s="27" t="n"/>
    </row>
    <row r="168" ht="17.25" customHeight="1" s="322">
      <c r="A168" s="27" t="n"/>
      <c r="B168" s="506">
        <f>IFERROR(__xludf.DUMMYFUNCTION("""COMPUTED_VALUE"""),46072.6666666666)</f>
        <v/>
      </c>
      <c r="C168" s="141">
        <f>IFERROR(__xludf.DUMMYFUNCTION("""COMPUTED_VALUE"""),24.29)</f>
        <v/>
      </c>
      <c r="D168" s="141">
        <f>IFERROR(__xludf.DUMMYFUNCTION("""COMPUTED_VALUE"""),24.43)</f>
        <v/>
      </c>
      <c r="E168" s="141">
        <f>IFERROR(__xludf.DUMMYFUNCTION("""COMPUTED_VALUE"""),24.21)</f>
        <v/>
      </c>
      <c r="F168" s="141">
        <f>IFERROR(__xludf.DUMMYFUNCTION("""COMPUTED_VALUE"""),24.43)</f>
        <v/>
      </c>
      <c r="G168" s="143">
        <f>IFERROR(__xludf.DUMMYFUNCTION("""COMPUTED_VALUE"""),278783)</f>
        <v/>
      </c>
      <c r="H168" s="27" t="n"/>
    </row>
    <row r="169" ht="17.25" customHeight="1" s="322">
      <c r="A169" s="27" t="n"/>
      <c r="B169" s="506">
        <f>IFERROR(__xludf.DUMMYFUNCTION("""COMPUTED_VALUE"""),46073.6666666666)</f>
        <v/>
      </c>
      <c r="C169" s="141">
        <f>IFERROR(__xludf.DUMMYFUNCTION("""COMPUTED_VALUE"""),24.45)</f>
        <v/>
      </c>
      <c r="D169" s="141">
        <f>IFERROR(__xludf.DUMMYFUNCTION("""COMPUTED_VALUE"""),24.64)</f>
        <v/>
      </c>
      <c r="E169" s="141">
        <f>IFERROR(__xludf.DUMMYFUNCTION("""COMPUTED_VALUE"""),24.41)</f>
        <v/>
      </c>
      <c r="F169" s="141">
        <f>IFERROR(__xludf.DUMMYFUNCTION("""COMPUTED_VALUE"""),24.6)</f>
        <v/>
      </c>
      <c r="G169" s="143">
        <f>IFERROR(__xludf.DUMMYFUNCTION("""COMPUTED_VALUE"""),350529)</f>
        <v/>
      </c>
      <c r="H169" s="27" t="n"/>
    </row>
    <row r="170" ht="17.25" customHeight="1" s="322">
      <c r="A170" s="27" t="n"/>
      <c r="B170" s="506">
        <f>IFERROR(__xludf.DUMMYFUNCTION("""COMPUTED_VALUE"""),46076.6666666666)</f>
        <v/>
      </c>
      <c r="C170" s="141">
        <f>IFERROR(__xludf.DUMMYFUNCTION("""COMPUTED_VALUE"""),24.74)</f>
        <v/>
      </c>
      <c r="D170" s="141">
        <f>IFERROR(__xludf.DUMMYFUNCTION("""COMPUTED_VALUE"""),24.85)</f>
        <v/>
      </c>
      <c r="E170" s="141">
        <f>IFERROR(__xludf.DUMMYFUNCTION("""COMPUTED_VALUE"""),24.64)</f>
        <v/>
      </c>
      <c r="F170" s="141">
        <f>IFERROR(__xludf.DUMMYFUNCTION("""COMPUTED_VALUE"""),24.75)</f>
        <v/>
      </c>
      <c r="G170" s="143">
        <f>IFERROR(__xludf.DUMMYFUNCTION("""COMPUTED_VALUE"""),743103)</f>
        <v/>
      </c>
      <c r="H170" s="27" t="n"/>
    </row>
    <row r="171" ht="17.25" customHeight="1" s="322">
      <c r="A171" s="27" t="n"/>
      <c r="B171" s="506">
        <f>IFERROR(__xludf.DUMMYFUNCTION("""COMPUTED_VALUE"""),46077.6666666666)</f>
        <v/>
      </c>
      <c r="C171" s="141">
        <f>IFERROR(__xludf.DUMMYFUNCTION("""COMPUTED_VALUE"""),24.69)</f>
        <v/>
      </c>
      <c r="D171" s="141">
        <f>IFERROR(__xludf.DUMMYFUNCTION("""COMPUTED_VALUE"""),24.75)</f>
        <v/>
      </c>
      <c r="E171" s="141">
        <f>IFERROR(__xludf.DUMMYFUNCTION("""COMPUTED_VALUE"""),24.62)</f>
        <v/>
      </c>
      <c r="F171" s="141">
        <f>IFERROR(__xludf.DUMMYFUNCTION("""COMPUTED_VALUE"""),24.72)</f>
        <v/>
      </c>
      <c r="G171" s="143">
        <f>IFERROR(__xludf.DUMMYFUNCTION("""COMPUTED_VALUE"""),778325)</f>
        <v/>
      </c>
      <c r="H171" s="27" t="n"/>
    </row>
    <row r="172" ht="17.25" customHeight="1" s="322">
      <c r="A172" s="27" t="n"/>
      <c r="B172" s="506">
        <f>IFERROR(__xludf.DUMMYFUNCTION("""COMPUTED_VALUE"""),46078.6666666666)</f>
        <v/>
      </c>
      <c r="C172" s="141">
        <f>IFERROR(__xludf.DUMMYFUNCTION("""COMPUTED_VALUE"""),24.76)</f>
        <v/>
      </c>
      <c r="D172" s="141">
        <f>IFERROR(__xludf.DUMMYFUNCTION("""COMPUTED_VALUE"""),24.93)</f>
        <v/>
      </c>
      <c r="E172" s="141">
        <f>IFERROR(__xludf.DUMMYFUNCTION("""COMPUTED_VALUE"""),24.68)</f>
        <v/>
      </c>
      <c r="F172" s="141">
        <f>IFERROR(__xludf.DUMMYFUNCTION("""COMPUTED_VALUE"""),24.75)</f>
        <v/>
      </c>
      <c r="G172" s="143">
        <f>IFERROR(__xludf.DUMMYFUNCTION("""COMPUTED_VALUE"""),784992)</f>
        <v/>
      </c>
      <c r="H172" s="27" t="n"/>
    </row>
    <row r="173" ht="17.25" customHeight="1" s="322">
      <c r="A173" s="27" t="n"/>
      <c r="B173" s="506">
        <f>IFERROR(__xludf.DUMMYFUNCTION("""COMPUTED_VALUE"""),46079.6666666666)</f>
        <v/>
      </c>
      <c r="C173" s="141">
        <f>IFERROR(__xludf.DUMMYFUNCTION("""COMPUTED_VALUE"""),24.59)</f>
        <v/>
      </c>
      <c r="D173" s="141">
        <f>IFERROR(__xludf.DUMMYFUNCTION("""COMPUTED_VALUE"""),24.87)</f>
        <v/>
      </c>
      <c r="E173" s="141">
        <f>IFERROR(__xludf.DUMMYFUNCTION("""COMPUTED_VALUE"""),24.51)</f>
        <v/>
      </c>
      <c r="F173" s="141">
        <f>IFERROR(__xludf.DUMMYFUNCTION("""COMPUTED_VALUE"""),24.76)</f>
        <v/>
      </c>
      <c r="G173" s="143">
        <f>IFERROR(__xludf.DUMMYFUNCTION("""COMPUTED_VALUE"""),385751)</f>
        <v/>
      </c>
      <c r="H173" s="27" t="n"/>
    </row>
    <row r="174" ht="17.25" customHeight="1" s="322">
      <c r="A174" s="27" t="n"/>
      <c r="B174" s="506">
        <f>IFERROR(__xludf.DUMMYFUNCTION("""COMPUTED_VALUE"""),46080.6666666666)</f>
        <v/>
      </c>
      <c r="C174" s="141">
        <f>IFERROR(__xludf.DUMMYFUNCTION("""COMPUTED_VALUE"""),25.1)</f>
        <v/>
      </c>
      <c r="D174" s="141">
        <f>IFERROR(__xludf.DUMMYFUNCTION("""COMPUTED_VALUE"""),25.11)</f>
        <v/>
      </c>
      <c r="E174" s="141">
        <f>IFERROR(__xludf.DUMMYFUNCTION("""COMPUTED_VALUE"""),24.94)</f>
        <v/>
      </c>
      <c r="F174" s="141">
        <f>IFERROR(__xludf.DUMMYFUNCTION("""COMPUTED_VALUE"""),25.1)</f>
        <v/>
      </c>
      <c r="G174" s="143">
        <f>IFERROR(__xludf.DUMMYFUNCTION("""COMPUTED_VALUE"""),467847)</f>
        <v/>
      </c>
      <c r="H174" s="27" t="n"/>
    </row>
    <row r="175" ht="17.25" customHeight="1" s="322">
      <c r="A175" s="27" t="n"/>
      <c r="B175" s="506">
        <f>IFERROR(__xludf.DUMMYFUNCTION("""COMPUTED_VALUE"""),46083.6666666666)</f>
        <v/>
      </c>
      <c r="C175" s="141">
        <f>IFERROR(__xludf.DUMMYFUNCTION("""COMPUTED_VALUE"""),25.89)</f>
        <v/>
      </c>
      <c r="D175" s="141">
        <f>IFERROR(__xludf.DUMMYFUNCTION("""COMPUTED_VALUE"""),25.95)</f>
        <v/>
      </c>
      <c r="E175" s="141">
        <f>IFERROR(__xludf.DUMMYFUNCTION("""COMPUTED_VALUE"""),25.51)</f>
        <v/>
      </c>
      <c r="F175" s="141">
        <f>IFERROR(__xludf.DUMMYFUNCTION("""COMPUTED_VALUE"""),25.81)</f>
        <v/>
      </c>
      <c r="G175" s="143">
        <f>IFERROR(__xludf.DUMMYFUNCTION("""COMPUTED_VALUE"""),1706370)</f>
        <v/>
      </c>
      <c r="H175" s="27" t="n"/>
    </row>
    <row r="176" ht="17.25" customHeight="1" s="322">
      <c r="A176" s="27" t="n"/>
      <c r="B176" s="506">
        <f>IFERROR(__xludf.DUMMYFUNCTION("""COMPUTED_VALUE"""),46084.6666666666)</f>
        <v/>
      </c>
      <c r="C176" s="141">
        <f>IFERROR(__xludf.DUMMYFUNCTION("""COMPUTED_VALUE"""),26.37)</f>
        <v/>
      </c>
      <c r="D176" s="141">
        <f>IFERROR(__xludf.DUMMYFUNCTION("""COMPUTED_VALUE"""),26.39)</f>
        <v/>
      </c>
      <c r="E176" s="141">
        <f>IFERROR(__xludf.DUMMYFUNCTION("""COMPUTED_VALUE"""),25.58)</f>
        <v/>
      </c>
      <c r="F176" s="141">
        <f>IFERROR(__xludf.DUMMYFUNCTION("""COMPUTED_VALUE"""),25.91)</f>
        <v/>
      </c>
      <c r="G176" s="143">
        <f>IFERROR(__xludf.DUMMYFUNCTION("""COMPUTED_VALUE"""),1297754)</f>
        <v/>
      </c>
      <c r="H176" s="27" t="n"/>
    </row>
    <row r="177" ht="17.25" customHeight="1" s="322">
      <c r="A177" s="27" t="n"/>
      <c r="B177" s="506">
        <f>IFERROR(__xludf.DUMMYFUNCTION("""COMPUTED_VALUE"""),46085.6666666666)</f>
        <v/>
      </c>
      <c r="C177" s="141">
        <f>IFERROR(__xludf.DUMMYFUNCTION("""COMPUTED_VALUE"""),26.04)</f>
        <v/>
      </c>
      <c r="D177" s="141">
        <f>IFERROR(__xludf.DUMMYFUNCTION("""COMPUTED_VALUE"""),26.19)</f>
        <v/>
      </c>
      <c r="E177" s="141">
        <f>IFERROR(__xludf.DUMMYFUNCTION("""COMPUTED_VALUE"""),25.92)</f>
        <v/>
      </c>
      <c r="F177" s="141">
        <f>IFERROR(__xludf.DUMMYFUNCTION("""COMPUTED_VALUE"""),26.14)</f>
        <v/>
      </c>
      <c r="G177" s="143">
        <f>IFERROR(__xludf.DUMMYFUNCTION("""COMPUTED_VALUE"""),539433)</f>
        <v/>
      </c>
      <c r="H177" s="27" t="n"/>
    </row>
    <row r="178" ht="17.25" customHeight="1" s="322">
      <c r="A178" s="27" t="n"/>
      <c r="B178" s="506">
        <f>IFERROR(__xludf.DUMMYFUNCTION("""COMPUTED_VALUE"""),46086.6666666666)</f>
        <v/>
      </c>
      <c r="C178" s="141">
        <f>IFERROR(__xludf.DUMMYFUNCTION("""COMPUTED_VALUE"""),26.35)</f>
        <v/>
      </c>
      <c r="D178" s="141">
        <f>IFERROR(__xludf.DUMMYFUNCTION("""COMPUTED_VALUE"""),26.74)</f>
        <v/>
      </c>
      <c r="E178" s="141">
        <f>IFERROR(__xludf.DUMMYFUNCTION("""COMPUTED_VALUE"""),26.32)</f>
        <v/>
      </c>
      <c r="F178" s="141">
        <f>IFERROR(__xludf.DUMMYFUNCTION("""COMPUTED_VALUE"""),26.52)</f>
        <v/>
      </c>
      <c r="G178" s="143">
        <f>IFERROR(__xludf.DUMMYFUNCTION("""COMPUTED_VALUE"""),1299576)</f>
        <v/>
      </c>
      <c r="H178" s="27" t="n"/>
    </row>
    <row r="179" ht="17.25" customHeight="1" s="322">
      <c r="A179" s="27" t="n"/>
      <c r="B179" s="506">
        <f>IFERROR(__xludf.DUMMYFUNCTION("""COMPUTED_VALUE"""),46087.6666666666)</f>
        <v/>
      </c>
      <c r="C179" s="141">
        <f>IFERROR(__xludf.DUMMYFUNCTION("""COMPUTED_VALUE"""),27.31)</f>
        <v/>
      </c>
      <c r="D179" s="141">
        <f>IFERROR(__xludf.DUMMYFUNCTION("""COMPUTED_VALUE"""),27.66)</f>
        <v/>
      </c>
      <c r="E179" s="141">
        <f>IFERROR(__xludf.DUMMYFUNCTION("""COMPUTED_VALUE"""),27.25)</f>
        <v/>
      </c>
      <c r="F179" s="141">
        <f>IFERROR(__xludf.DUMMYFUNCTION("""COMPUTED_VALUE"""),27.51)</f>
        <v/>
      </c>
      <c r="G179" s="143">
        <f>IFERROR(__xludf.DUMMYFUNCTION("""COMPUTED_VALUE"""),4460325)</f>
        <v/>
      </c>
      <c r="H179" s="27" t="n"/>
    </row>
    <row r="180" ht="17.25" customHeight="1" s="322">
      <c r="A180" s="27" t="n"/>
      <c r="B180" s="506">
        <f>IFERROR(__xludf.DUMMYFUNCTION("""COMPUTED_VALUE"""),46090.6666666666)</f>
        <v/>
      </c>
      <c r="C180" s="141">
        <f>IFERROR(__xludf.DUMMYFUNCTION("""COMPUTED_VALUE"""),28.38)</f>
        <v/>
      </c>
      <c r="D180" s="141">
        <f>IFERROR(__xludf.DUMMYFUNCTION("""COMPUTED_VALUE"""),28.61)</f>
        <v/>
      </c>
      <c r="E180" s="141">
        <f>IFERROR(__xludf.DUMMYFUNCTION("""COMPUTED_VALUE"""),26.69)</f>
        <v/>
      </c>
      <c r="F180" s="141">
        <f>IFERROR(__xludf.DUMMYFUNCTION("""COMPUTED_VALUE"""),27.14)</f>
        <v/>
      </c>
      <c r="G180" s="143">
        <f>IFERROR(__xludf.DUMMYFUNCTION("""COMPUTED_VALUE"""),5111096)</f>
        <v/>
      </c>
      <c r="H180" s="27" t="n"/>
    </row>
    <row r="181" ht="17.25" customHeight="1" s="322">
      <c r="A181" s="27" t="n"/>
      <c r="B181" s="506">
        <f>IFERROR(__xludf.DUMMYFUNCTION("""COMPUTED_VALUE"""),46091.6666666666)</f>
        <v/>
      </c>
      <c r="C181" s="141">
        <f>IFERROR(__xludf.DUMMYFUNCTION("""COMPUTED_VALUE"""),27.57)</f>
        <v/>
      </c>
      <c r="D181" s="141">
        <f>IFERROR(__xludf.DUMMYFUNCTION("""COMPUTED_VALUE"""),27.64)</f>
        <v/>
      </c>
      <c r="E181" s="141">
        <f>IFERROR(__xludf.DUMMYFUNCTION("""COMPUTED_VALUE"""),26.6)</f>
        <v/>
      </c>
      <c r="F181" s="141">
        <f>IFERROR(__xludf.DUMMYFUNCTION("""COMPUTED_VALUE"""),27.6)</f>
        <v/>
      </c>
      <c r="G181" s="143">
        <f>IFERROR(__xludf.DUMMYFUNCTION("""COMPUTED_VALUE"""),2495986)</f>
        <v/>
      </c>
      <c r="H181" s="27" t="n"/>
    </row>
    <row r="182" ht="17.25" customHeight="1" s="322">
      <c r="A182" s="27" t="n"/>
      <c r="B182" s="506">
        <f>IFERROR(__xludf.DUMMYFUNCTION("""COMPUTED_VALUE"""),46092.6666666666)</f>
        <v/>
      </c>
      <c r="C182" s="141">
        <f>IFERROR(__xludf.DUMMYFUNCTION("""COMPUTED_VALUE"""),27.71)</f>
        <v/>
      </c>
      <c r="D182" s="141">
        <f>IFERROR(__xludf.DUMMYFUNCTION("""COMPUTED_VALUE"""),28.15)</f>
        <v/>
      </c>
      <c r="E182" s="141">
        <f>IFERROR(__xludf.DUMMYFUNCTION("""COMPUTED_VALUE"""),27.35)</f>
        <v/>
      </c>
      <c r="F182" s="141">
        <f>IFERROR(__xludf.DUMMYFUNCTION("""COMPUTED_VALUE"""),28.13)</f>
        <v/>
      </c>
      <c r="G182" s="143">
        <f>IFERROR(__xludf.DUMMYFUNCTION("""COMPUTED_VALUE"""),1227160)</f>
        <v/>
      </c>
      <c r="H182" s="27" t="n"/>
    </row>
    <row r="183" ht="17.25" customHeight="1" s="322">
      <c r="A183" s="27" t="n"/>
      <c r="B183" s="506">
        <f>IFERROR(__xludf.DUMMYFUNCTION("""COMPUTED_VALUE"""),46093.6666666666)</f>
        <v/>
      </c>
      <c r="C183" s="141">
        <f>IFERROR(__xludf.DUMMYFUNCTION("""COMPUTED_VALUE"""),28.73)</f>
        <v/>
      </c>
      <c r="D183" s="141">
        <f>IFERROR(__xludf.DUMMYFUNCTION("""COMPUTED_VALUE"""),28.93)</f>
        <v/>
      </c>
      <c r="E183" s="141">
        <f>IFERROR(__xludf.DUMMYFUNCTION("""COMPUTED_VALUE"""),28.49)</f>
        <v/>
      </c>
      <c r="F183" s="141">
        <f>IFERROR(__xludf.DUMMYFUNCTION("""COMPUTED_VALUE"""),28.86)</f>
        <v/>
      </c>
      <c r="G183" s="143">
        <f>IFERROR(__xludf.DUMMYFUNCTION("""COMPUTED_VALUE"""),1770054)</f>
        <v/>
      </c>
      <c r="H183" s="27" t="n"/>
    </row>
    <row r="184" ht="17.25" customHeight="1" s="322">
      <c r="A184" s="27" t="n"/>
      <c r="B184" s="506">
        <f>IFERROR(__xludf.DUMMYFUNCTION("""COMPUTED_VALUE"""),46094.6666666666)</f>
        <v/>
      </c>
      <c r="C184" s="141">
        <f>IFERROR(__xludf.DUMMYFUNCTION("""COMPUTED_VALUE"""),28.51)</f>
        <v/>
      </c>
      <c r="D184" s="141">
        <f>IFERROR(__xludf.DUMMYFUNCTION("""COMPUTED_VALUE"""),28.79)</f>
        <v/>
      </c>
      <c r="E184" s="141">
        <f>IFERROR(__xludf.DUMMYFUNCTION("""COMPUTED_VALUE"""),28.22)</f>
        <v/>
      </c>
      <c r="F184" s="141">
        <f>IFERROR(__xludf.DUMMYFUNCTION("""COMPUTED_VALUE"""),28.71)</f>
        <v/>
      </c>
      <c r="G184" s="143">
        <f>IFERROR(__xludf.DUMMYFUNCTION("""COMPUTED_VALUE"""),1135614)</f>
        <v/>
      </c>
      <c r="H184" s="27" t="n"/>
    </row>
    <row r="185" ht="17.25" customHeight="1" s="322">
      <c r="A185" s="27" t="n"/>
      <c r="B185" s="506">
        <f>IFERROR(__xludf.DUMMYFUNCTION("""COMPUTED_VALUE"""),46097.6666666666)</f>
        <v/>
      </c>
      <c r="C185" s="141">
        <f>IFERROR(__xludf.DUMMYFUNCTION("""COMPUTED_VALUE"""),28.64)</f>
        <v/>
      </c>
      <c r="D185" s="141">
        <f>IFERROR(__xludf.DUMMYFUNCTION("""COMPUTED_VALUE"""),28.7)</f>
        <v/>
      </c>
      <c r="E185" s="141">
        <f>IFERROR(__xludf.DUMMYFUNCTION("""COMPUTED_VALUE"""),28.2)</f>
        <v/>
      </c>
      <c r="F185" s="141">
        <f>IFERROR(__xludf.DUMMYFUNCTION("""COMPUTED_VALUE"""),28.31)</f>
        <v/>
      </c>
      <c r="G185" s="143">
        <f>IFERROR(__xludf.DUMMYFUNCTION("""COMPUTED_VALUE"""),1232029)</f>
        <v/>
      </c>
      <c r="H185" s="27" t="n"/>
    </row>
    <row r="186" ht="17.25" customHeight="1" s="322">
      <c r="A186" s="27" t="n"/>
      <c r="B186" s="506">
        <f>IFERROR(__xludf.DUMMYFUNCTION("""COMPUTED_VALUE"""),46098.6666666666)</f>
        <v/>
      </c>
      <c r="C186" s="141">
        <f>IFERROR(__xludf.DUMMYFUNCTION("""COMPUTED_VALUE"""),28.71)</f>
        <v/>
      </c>
      <c r="D186" s="141">
        <f>IFERROR(__xludf.DUMMYFUNCTION("""COMPUTED_VALUE"""),28.77)</f>
        <v/>
      </c>
      <c r="E186" s="141">
        <f>IFERROR(__xludf.DUMMYFUNCTION("""COMPUTED_VALUE"""),28.54)</f>
        <v/>
      </c>
      <c r="F186" s="141">
        <f>IFERROR(__xludf.DUMMYFUNCTION("""COMPUTED_VALUE"""),28.76)</f>
        <v/>
      </c>
      <c r="G186" s="143">
        <f>IFERROR(__xludf.DUMMYFUNCTION("""COMPUTED_VALUE"""),449843)</f>
        <v/>
      </c>
      <c r="H186" s="27" t="n"/>
    </row>
    <row r="187" ht="17.25" customHeight="1" s="322">
      <c r="A187" s="27" t="n"/>
      <c r="B187" s="506">
        <f>IFERROR(__xludf.DUMMYFUNCTION("""COMPUTED_VALUE"""),46099.6666666666)</f>
        <v/>
      </c>
      <c r="C187" s="141">
        <f>IFERROR(__xludf.DUMMYFUNCTION("""COMPUTED_VALUE"""),28.98)</f>
        <v/>
      </c>
      <c r="D187" s="141">
        <f>IFERROR(__xludf.DUMMYFUNCTION("""COMPUTED_VALUE"""),29.3)</f>
        <v/>
      </c>
      <c r="E187" s="141">
        <f>IFERROR(__xludf.DUMMYFUNCTION("""COMPUTED_VALUE"""),28.89)</f>
        <v/>
      </c>
      <c r="F187" s="141">
        <f>IFERROR(__xludf.DUMMYFUNCTION("""COMPUTED_VALUE"""),29.27)</f>
        <v/>
      </c>
      <c r="G187" s="143">
        <f>IFERROR(__xludf.DUMMYFUNCTION("""COMPUTED_VALUE"""),873354)</f>
        <v/>
      </c>
      <c r="H187" s="27" t="n"/>
    </row>
    <row r="188" ht="17.25" customHeight="1" s="322">
      <c r="A188" s="27" t="n"/>
      <c r="B188" s="506">
        <f>IFERROR(__xludf.DUMMYFUNCTION("""COMPUTED_VALUE"""),46100.6666666666)</f>
        <v/>
      </c>
      <c r="C188" s="141">
        <f>IFERROR(__xludf.DUMMYFUNCTION("""COMPUTED_VALUE"""),29.05)</f>
        <v/>
      </c>
      <c r="D188" s="141">
        <f>IFERROR(__xludf.DUMMYFUNCTION("""COMPUTED_VALUE"""),29.25)</f>
        <v/>
      </c>
      <c r="E188" s="141">
        <f>IFERROR(__xludf.DUMMYFUNCTION("""COMPUTED_VALUE"""),28.54)</f>
        <v/>
      </c>
      <c r="F188" s="141">
        <f>IFERROR(__xludf.DUMMYFUNCTION("""COMPUTED_VALUE"""),28.84)</f>
        <v/>
      </c>
      <c r="G188" s="143">
        <f>IFERROR(__xludf.DUMMYFUNCTION("""COMPUTED_VALUE"""),1052102)</f>
        <v/>
      </c>
      <c r="H188" s="27" t="n"/>
    </row>
    <row r="189" ht="17.25" customHeight="1" s="322">
      <c r="A189" s="27" t="n"/>
      <c r="B189" s="506">
        <f>IFERROR(__xludf.DUMMYFUNCTION("""COMPUTED_VALUE"""),46101.6666666666)</f>
        <v/>
      </c>
      <c r="C189" s="141">
        <f>IFERROR(__xludf.DUMMYFUNCTION("""COMPUTED_VALUE"""),28.88)</f>
        <v/>
      </c>
      <c r="D189" s="141">
        <f>IFERROR(__xludf.DUMMYFUNCTION("""COMPUTED_VALUE"""),29.14)</f>
        <v/>
      </c>
      <c r="E189" s="141">
        <f>IFERROR(__xludf.DUMMYFUNCTION("""COMPUTED_VALUE"""),28.74)</f>
        <v/>
      </c>
      <c r="F189" s="141">
        <f>IFERROR(__xludf.DUMMYFUNCTION("""COMPUTED_VALUE"""),28.94)</f>
        <v/>
      </c>
      <c r="G189" s="143">
        <f>IFERROR(__xludf.DUMMYFUNCTION("""COMPUTED_VALUE"""),1960062)</f>
        <v/>
      </c>
      <c r="H189" s="27" t="n"/>
    </row>
    <row r="190" ht="17.25" customHeight="1" s="322">
      <c r="A190" s="27" t="n"/>
      <c r="B190" s="506">
        <f>IFERROR(__xludf.DUMMYFUNCTION("""COMPUTED_VALUE"""),46104.6666666666)</f>
        <v/>
      </c>
      <c r="C190" s="141">
        <f>IFERROR(__xludf.DUMMYFUNCTION("""COMPUTED_VALUE"""),28.06)</f>
        <v/>
      </c>
      <c r="D190" s="141">
        <f>IFERROR(__xludf.DUMMYFUNCTION("""COMPUTED_VALUE"""),28.13)</f>
        <v/>
      </c>
      <c r="E190" s="141">
        <f>IFERROR(__xludf.DUMMYFUNCTION("""COMPUTED_VALUE"""),27.41)</f>
        <v/>
      </c>
      <c r="F190" s="141">
        <f>IFERROR(__xludf.DUMMYFUNCTION("""COMPUTED_VALUE"""),27.75)</f>
        <v/>
      </c>
      <c r="G190" s="143">
        <f>IFERROR(__xludf.DUMMYFUNCTION("""COMPUTED_VALUE"""),2131397)</f>
        <v/>
      </c>
      <c r="H190" s="27" t="n"/>
    </row>
    <row r="191" ht="17.25" customHeight="1" s="322">
      <c r="A191" s="27" t="n"/>
      <c r="B191" s="506">
        <f>IFERROR(__xludf.DUMMYFUNCTION("""COMPUTED_VALUE"""),46105.6666666666)</f>
        <v/>
      </c>
      <c r="C191" s="141">
        <f>IFERROR(__xludf.DUMMYFUNCTION("""COMPUTED_VALUE"""),28.2)</f>
        <v/>
      </c>
      <c r="D191" s="141">
        <f>IFERROR(__xludf.DUMMYFUNCTION("""COMPUTED_VALUE"""),28.4)</f>
        <v/>
      </c>
      <c r="E191" s="141">
        <f>IFERROR(__xludf.DUMMYFUNCTION("""COMPUTED_VALUE"""),28.06)</f>
        <v/>
      </c>
      <c r="F191" s="141">
        <f>IFERROR(__xludf.DUMMYFUNCTION("""COMPUTED_VALUE"""),28.24)</f>
        <v/>
      </c>
      <c r="G191" s="143">
        <f>IFERROR(__xludf.DUMMYFUNCTION("""COMPUTED_VALUE"""),1491971)</f>
        <v/>
      </c>
      <c r="H191" s="27" t="n"/>
    </row>
    <row r="192" ht="17.25" customHeight="1" s="322">
      <c r="A192" s="27" t="n"/>
      <c r="B192" s="506">
        <f>IFERROR(__xludf.DUMMYFUNCTION("""COMPUTED_VALUE"""),46106.6666666666)</f>
        <v/>
      </c>
      <c r="C192" s="141">
        <f>IFERROR(__xludf.DUMMYFUNCTION("""COMPUTED_VALUE"""),27.8)</f>
        <v/>
      </c>
      <c r="D192" s="141">
        <f>IFERROR(__xludf.DUMMYFUNCTION("""COMPUTED_VALUE"""),28.24)</f>
        <v/>
      </c>
      <c r="E192" s="141">
        <f>IFERROR(__xludf.DUMMYFUNCTION("""COMPUTED_VALUE"""),27.78)</f>
        <v/>
      </c>
      <c r="F192" s="141">
        <f>IFERROR(__xludf.DUMMYFUNCTION("""COMPUTED_VALUE"""),28.17)</f>
        <v/>
      </c>
      <c r="G192" s="143">
        <f>IFERROR(__xludf.DUMMYFUNCTION("""COMPUTED_VALUE"""),910097)</f>
        <v/>
      </c>
      <c r="H192" s="27" t="n"/>
    </row>
    <row r="193" ht="17.25" customHeight="1" s="322">
      <c r="A193" s="27" t="n"/>
      <c r="B193" s="506">
        <f>IFERROR(__xludf.DUMMYFUNCTION("""COMPUTED_VALUE"""),46107.6666666666)</f>
        <v/>
      </c>
      <c r="C193" s="141">
        <f>IFERROR(__xludf.DUMMYFUNCTION("""COMPUTED_VALUE"""),28.44)</f>
        <v/>
      </c>
      <c r="D193" s="141">
        <f>IFERROR(__xludf.DUMMYFUNCTION("""COMPUTED_VALUE"""),28.66)</f>
        <v/>
      </c>
      <c r="E193" s="141">
        <f>IFERROR(__xludf.DUMMYFUNCTION("""COMPUTED_VALUE"""),28.4)</f>
        <v/>
      </c>
      <c r="F193" s="141">
        <f>IFERROR(__xludf.DUMMYFUNCTION("""COMPUTED_VALUE"""),28.44)</f>
        <v/>
      </c>
      <c r="G193" s="143">
        <f>IFERROR(__xludf.DUMMYFUNCTION("""COMPUTED_VALUE"""),569865)</f>
        <v/>
      </c>
      <c r="H193" s="27" t="n"/>
    </row>
    <row r="194" ht="17.25" customHeight="1" s="322">
      <c r="A194" s="27" t="n"/>
      <c r="B194" s="506">
        <f>IFERROR(__xludf.DUMMYFUNCTION("""COMPUTED_VALUE"""),46108.6666666666)</f>
        <v/>
      </c>
      <c r="C194" s="141">
        <f>IFERROR(__xludf.DUMMYFUNCTION("""COMPUTED_VALUE"""),28.85)</f>
        <v/>
      </c>
      <c r="D194" s="141">
        <f>IFERROR(__xludf.DUMMYFUNCTION("""COMPUTED_VALUE"""),29.22)</f>
        <v/>
      </c>
      <c r="E194" s="141">
        <f>IFERROR(__xludf.DUMMYFUNCTION("""COMPUTED_VALUE"""),28.8)</f>
        <v/>
      </c>
      <c r="F194" s="141">
        <f>IFERROR(__xludf.DUMMYFUNCTION("""COMPUTED_VALUE"""),29.1)</f>
        <v/>
      </c>
      <c r="G194" s="143">
        <f>IFERROR(__xludf.DUMMYFUNCTION("""COMPUTED_VALUE"""),595396)</f>
        <v/>
      </c>
      <c r="H194" s="27" t="n"/>
    </row>
    <row r="195" ht="17.25" customHeight="1" s="322">
      <c r="A195" s="27" t="n"/>
      <c r="B195" s="506">
        <f>IFERROR(__xludf.DUMMYFUNCTION("""COMPUTED_VALUE"""),46111.6666666666)</f>
        <v/>
      </c>
      <c r="C195" s="141">
        <f>IFERROR(__xludf.DUMMYFUNCTION("""COMPUTED_VALUE"""),29.39)</f>
        <v/>
      </c>
      <c r="D195" s="141">
        <f>IFERROR(__xludf.DUMMYFUNCTION("""COMPUTED_VALUE"""),29.44)</f>
        <v/>
      </c>
      <c r="E195" s="141">
        <f>IFERROR(__xludf.DUMMYFUNCTION("""COMPUTED_VALUE"""),29.14)</f>
        <v/>
      </c>
      <c r="F195" s="141">
        <f>IFERROR(__xludf.DUMMYFUNCTION("""COMPUTED_VALUE"""),29.26)</f>
        <v/>
      </c>
      <c r="G195" s="143">
        <f>IFERROR(__xludf.DUMMYFUNCTION("""COMPUTED_VALUE"""),1067805)</f>
        <v/>
      </c>
      <c r="H195" s="27" t="n"/>
    </row>
    <row r="196" ht="17.25" customHeight="1" s="322">
      <c r="A196" s="27" t="n"/>
      <c r="B196" s="506">
        <f>IFERROR(__xludf.DUMMYFUNCTION("""COMPUTED_VALUE"""),46112.6666666666)</f>
        <v/>
      </c>
      <c r="C196" s="141">
        <f>IFERROR(__xludf.DUMMYFUNCTION("""COMPUTED_VALUE"""),29.28)</f>
        <v/>
      </c>
      <c r="D196" s="141">
        <f>IFERROR(__xludf.DUMMYFUNCTION("""COMPUTED_VALUE"""),29.38)</f>
        <v/>
      </c>
      <c r="E196" s="141">
        <f>IFERROR(__xludf.DUMMYFUNCTION("""COMPUTED_VALUE"""),28.83)</f>
        <v/>
      </c>
      <c r="F196" s="141">
        <f>IFERROR(__xludf.DUMMYFUNCTION("""COMPUTED_VALUE"""),28.95)</f>
        <v/>
      </c>
      <c r="G196" s="143">
        <f>IFERROR(__xludf.DUMMYFUNCTION("""COMPUTED_VALUE"""),6393700)</f>
        <v/>
      </c>
      <c r="H196" s="27" t="n"/>
    </row>
    <row r="197" ht="17.25" customHeight="1" s="322">
      <c r="A197" s="27" t="n"/>
      <c r="B197" s="506">
        <f>IFERROR(__xludf.DUMMYFUNCTION("""COMPUTED_VALUE"""),46113.6666666666)</f>
        <v/>
      </c>
      <c r="C197" s="141">
        <f>IFERROR(__xludf.DUMMYFUNCTION("""COMPUTED_VALUE"""),28.72)</f>
        <v/>
      </c>
      <c r="D197" s="141">
        <f>IFERROR(__xludf.DUMMYFUNCTION("""COMPUTED_VALUE"""),28.8)</f>
        <v/>
      </c>
      <c r="E197" s="141">
        <f>IFERROR(__xludf.DUMMYFUNCTION("""COMPUTED_VALUE"""),28.51)</f>
        <v/>
      </c>
      <c r="F197" s="141">
        <f>IFERROR(__xludf.DUMMYFUNCTION("""COMPUTED_VALUE"""),28.68)</f>
        <v/>
      </c>
      <c r="G197" s="143">
        <f>IFERROR(__xludf.DUMMYFUNCTION("""COMPUTED_VALUE"""),7867014)</f>
        <v/>
      </c>
      <c r="H197" s="27" t="n"/>
    </row>
    <row r="198" ht="17.25" customHeight="1" s="322">
      <c r="A198" s="27" t="n"/>
      <c r="B198" s="506">
        <f>IFERROR(__xludf.DUMMYFUNCTION("""COMPUTED_VALUE"""),46114.6666666666)</f>
        <v/>
      </c>
      <c r="C198" s="141">
        <f>IFERROR(__xludf.DUMMYFUNCTION("""COMPUTED_VALUE"""),29.47)</f>
        <v/>
      </c>
      <c r="D198" s="141">
        <f>IFERROR(__xludf.DUMMYFUNCTION("""COMPUTED_VALUE"""),29.48)</f>
        <v/>
      </c>
      <c r="E198" s="141">
        <f>IFERROR(__xludf.DUMMYFUNCTION("""COMPUTED_VALUE"""),29.03)</f>
        <v/>
      </c>
      <c r="F198" s="141">
        <f>IFERROR(__xludf.DUMMYFUNCTION("""COMPUTED_VALUE"""),29.33)</f>
        <v/>
      </c>
      <c r="G198" s="143">
        <f>IFERROR(__xludf.DUMMYFUNCTION("""COMPUTED_VALUE"""),1765341)</f>
        <v/>
      </c>
      <c r="H198" s="27" t="n"/>
    </row>
    <row r="199" ht="17.25" customHeight="1" s="322">
      <c r="A199" s="27" t="n"/>
      <c r="B199" s="506">
        <f>IFERROR(__xludf.DUMMYFUNCTION("""COMPUTED_VALUE"""),46118.6666666666)</f>
        <v/>
      </c>
      <c r="C199" s="141">
        <f>IFERROR(__xludf.DUMMYFUNCTION("""COMPUTED_VALUE"""),29.39)</f>
        <v/>
      </c>
      <c r="D199" s="141">
        <f>IFERROR(__xludf.DUMMYFUNCTION("""COMPUTED_VALUE"""),29.61)</f>
        <v/>
      </c>
      <c r="E199" s="141">
        <f>IFERROR(__xludf.DUMMYFUNCTION("""COMPUTED_VALUE"""),29.27)</f>
        <v/>
      </c>
      <c r="F199" s="141">
        <f>IFERROR(__xludf.DUMMYFUNCTION("""COMPUTED_VALUE"""),29.48)</f>
        <v/>
      </c>
      <c r="G199" s="143">
        <f>IFERROR(__xludf.DUMMYFUNCTION("""COMPUTED_VALUE"""),1310961)</f>
        <v/>
      </c>
      <c r="H199" s="27" t="n"/>
    </row>
    <row r="200" ht="17.25" customHeight="1" s="322">
      <c r="A200" s="27" t="n"/>
      <c r="B200" s="506">
        <f>IFERROR(__xludf.DUMMYFUNCTION("""COMPUTED_VALUE"""),46119.6666666666)</f>
        <v/>
      </c>
      <c r="C200" s="141">
        <f>IFERROR(__xludf.DUMMYFUNCTION("""COMPUTED_VALUE"""),29.61)</f>
        <v/>
      </c>
      <c r="D200" s="141">
        <f>IFERROR(__xludf.DUMMYFUNCTION("""COMPUTED_VALUE"""),29.76)</f>
        <v/>
      </c>
      <c r="E200" s="141">
        <f>IFERROR(__xludf.DUMMYFUNCTION("""COMPUTED_VALUE"""),29.11)</f>
        <v/>
      </c>
      <c r="F200" s="141">
        <f>IFERROR(__xludf.DUMMYFUNCTION("""COMPUTED_VALUE"""),29.37)</f>
        <v/>
      </c>
      <c r="G200" s="143">
        <f>IFERROR(__xludf.DUMMYFUNCTION("""COMPUTED_VALUE"""),2210052)</f>
        <v/>
      </c>
      <c r="H200" s="27" t="n"/>
    </row>
    <row r="201" ht="17.25" customHeight="1" s="322">
      <c r="A201" s="27" t="n"/>
      <c r="B201" s="506">
        <f>IFERROR(__xludf.DUMMYFUNCTION("""COMPUTED_VALUE"""),46120.6666666666)</f>
        <v/>
      </c>
      <c r="C201" s="141">
        <f>IFERROR(__xludf.DUMMYFUNCTION("""COMPUTED_VALUE"""),28.03)</f>
        <v/>
      </c>
      <c r="D201" s="141">
        <f>IFERROR(__xludf.DUMMYFUNCTION("""COMPUTED_VALUE"""),28.64)</f>
        <v/>
      </c>
      <c r="E201" s="141">
        <f>IFERROR(__xludf.DUMMYFUNCTION("""COMPUTED_VALUE"""),28)</f>
        <v/>
      </c>
      <c r="F201" s="141">
        <f>IFERROR(__xludf.DUMMYFUNCTION("""COMPUTED_VALUE"""),28.56)</f>
        <v/>
      </c>
      <c r="G201" s="143">
        <f>IFERROR(__xludf.DUMMYFUNCTION("""COMPUTED_VALUE"""),3558293)</f>
        <v/>
      </c>
      <c r="H201" s="27" t="n"/>
    </row>
    <row r="202" ht="17.25" customHeight="1" s="322">
      <c r="A202" s="27" t="n"/>
      <c r="B202" s="506">
        <f>IFERROR(__xludf.DUMMYFUNCTION("""COMPUTED_VALUE"""),46121.6666666666)</f>
        <v/>
      </c>
      <c r="C202" s="141">
        <f>IFERROR(__xludf.DUMMYFUNCTION("""COMPUTED_VALUE"""),28.8)</f>
        <v/>
      </c>
      <c r="D202" s="141">
        <f>IFERROR(__xludf.DUMMYFUNCTION("""COMPUTED_VALUE"""),28.95)</f>
        <v/>
      </c>
      <c r="E202" s="141">
        <f>IFERROR(__xludf.DUMMYFUNCTION("""COMPUTED_VALUE"""),28.45)</f>
        <v/>
      </c>
      <c r="F202" s="141">
        <f>IFERROR(__xludf.DUMMYFUNCTION("""COMPUTED_VALUE"""),28.71)</f>
        <v/>
      </c>
      <c r="G202" s="143">
        <f>IFERROR(__xludf.DUMMYFUNCTION("""COMPUTED_VALUE"""),948338)</f>
        <v/>
      </c>
      <c r="H202" s="27" t="n"/>
    </row>
    <row r="203" ht="17.25" customHeight="1" s="322">
      <c r="A203" s="27" t="n"/>
      <c r="B203" s="506">
        <f>IFERROR(__xludf.DUMMYFUNCTION("""COMPUTED_VALUE"""),46122.6666666666)</f>
        <v/>
      </c>
      <c r="C203" s="141">
        <f>IFERROR(__xludf.DUMMYFUNCTION("""COMPUTED_VALUE"""),28.63)</f>
        <v/>
      </c>
      <c r="D203" s="141">
        <f>IFERROR(__xludf.DUMMYFUNCTION("""COMPUTED_VALUE"""),28.78)</f>
        <v/>
      </c>
      <c r="E203" s="141">
        <f>IFERROR(__xludf.DUMMYFUNCTION("""COMPUTED_VALUE"""),28.47)</f>
        <v/>
      </c>
      <c r="F203" s="141">
        <f>IFERROR(__xludf.DUMMYFUNCTION("""COMPUTED_VALUE"""),28.5)</f>
        <v/>
      </c>
      <c r="G203" s="143">
        <f>IFERROR(__xludf.DUMMYFUNCTION("""COMPUTED_VALUE"""),496803)</f>
        <v/>
      </c>
      <c r="H203" s="27" t="n"/>
    </row>
    <row r="204" ht="17.25" customHeight="1" s="322">
      <c r="A204" s="27" t="n"/>
      <c r="B204" s="506">
        <f>IFERROR(__xludf.DUMMYFUNCTION("""COMPUTED_VALUE"""),46125.6666666666)</f>
        <v/>
      </c>
      <c r="C204" s="141">
        <f>IFERROR(__xludf.DUMMYFUNCTION("""COMPUTED_VALUE"""),29.21)</f>
        <v/>
      </c>
      <c r="D204" s="141">
        <f>IFERROR(__xludf.DUMMYFUNCTION("""COMPUTED_VALUE"""),29.34)</f>
        <v/>
      </c>
      <c r="E204" s="141">
        <f>IFERROR(__xludf.DUMMYFUNCTION("""COMPUTED_VALUE"""),28.88)</f>
        <v/>
      </c>
      <c r="F204" s="141">
        <f>IFERROR(__xludf.DUMMYFUNCTION("""COMPUTED_VALUE"""),28.96)</f>
        <v/>
      </c>
      <c r="G204" s="143">
        <f>IFERROR(__xludf.DUMMYFUNCTION("""COMPUTED_VALUE"""),1207038)</f>
        <v/>
      </c>
      <c r="H204" s="27" t="n"/>
    </row>
    <row r="205" ht="17.25" customHeight="1" s="322">
      <c r="A205" s="27" t="n"/>
      <c r="B205" s="506">
        <f>IFERROR(__xludf.DUMMYFUNCTION("""COMPUTED_VALUE"""),46126.6666666666)</f>
        <v/>
      </c>
      <c r="C205" s="141">
        <f>IFERROR(__xludf.DUMMYFUNCTION("""COMPUTED_VALUE"""),29.04)</f>
        <v/>
      </c>
      <c r="D205" s="141">
        <f>IFERROR(__xludf.DUMMYFUNCTION("""COMPUTED_VALUE"""),29.07)</f>
        <v/>
      </c>
      <c r="E205" s="141">
        <f>IFERROR(__xludf.DUMMYFUNCTION("""COMPUTED_VALUE"""),28.73)</f>
        <v/>
      </c>
      <c r="F205" s="141">
        <f>IFERROR(__xludf.DUMMYFUNCTION("""COMPUTED_VALUE"""),28.84)</f>
        <v/>
      </c>
      <c r="G205" s="143">
        <f>IFERROR(__xludf.DUMMYFUNCTION("""COMPUTED_VALUE"""),957997)</f>
        <v/>
      </c>
      <c r="H205" s="27" t="n"/>
    </row>
    <row r="206" ht="17.25" customHeight="1" s="322">
      <c r="A206" s="27" t="n"/>
      <c r="B206" s="506">
        <f>IFERROR(__xludf.DUMMYFUNCTION("""COMPUTED_VALUE"""),46127.6666666666)</f>
        <v/>
      </c>
      <c r="C206" s="141">
        <f>IFERROR(__xludf.DUMMYFUNCTION("""COMPUTED_VALUE"""),28.84)</f>
        <v/>
      </c>
      <c r="D206" s="141">
        <f>IFERROR(__xludf.DUMMYFUNCTION("""COMPUTED_VALUE"""),29.04)</f>
        <v/>
      </c>
      <c r="E206" s="141">
        <f>IFERROR(__xludf.DUMMYFUNCTION("""COMPUTED_VALUE"""),28.8)</f>
        <v/>
      </c>
      <c r="F206" s="141">
        <f>IFERROR(__xludf.DUMMYFUNCTION("""COMPUTED_VALUE"""),28.89)</f>
        <v/>
      </c>
      <c r="G206" s="143">
        <f>IFERROR(__xludf.DUMMYFUNCTION("""COMPUTED_VALUE"""),770325)</f>
        <v/>
      </c>
      <c r="H206" s="27" t="n"/>
    </row>
    <row r="207" ht="17.25" customHeight="1" s="322">
      <c r="A207" s="27" t="n"/>
      <c r="B207" s="506">
        <f>IFERROR(__xludf.DUMMYFUNCTION("""COMPUTED_VALUE"""),46128.6666666666)</f>
        <v/>
      </c>
      <c r="C207" s="141">
        <f>IFERROR(__xludf.DUMMYFUNCTION("""COMPUTED_VALUE"""),29.05)</f>
        <v/>
      </c>
      <c r="D207" s="141">
        <f>IFERROR(__xludf.DUMMYFUNCTION("""COMPUTED_VALUE"""),29.27)</f>
        <v/>
      </c>
      <c r="E207" s="141">
        <f>IFERROR(__xludf.DUMMYFUNCTION("""COMPUTED_VALUE"""),29.05)</f>
        <v/>
      </c>
      <c r="F207" s="141">
        <f>IFERROR(__xludf.DUMMYFUNCTION("""COMPUTED_VALUE"""),29.11)</f>
        <v/>
      </c>
      <c r="G207" s="143">
        <f>IFERROR(__xludf.DUMMYFUNCTION("""COMPUTED_VALUE"""),556973)</f>
        <v/>
      </c>
      <c r="H207" s="27" t="n"/>
    </row>
    <row r="208" ht="17.25" customHeight="1" s="322">
      <c r="A208" s="27" t="n"/>
      <c r="B208" s="506">
        <f>IFERROR(__xludf.DUMMYFUNCTION("""COMPUTED_VALUE"""),46129.6666666666)</f>
        <v/>
      </c>
      <c r="C208" s="141">
        <f>IFERROR(__xludf.DUMMYFUNCTION("""COMPUTED_VALUE"""),28.08)</f>
        <v/>
      </c>
      <c r="D208" s="141">
        <f>IFERROR(__xludf.DUMMYFUNCTION("""COMPUTED_VALUE"""),28.35)</f>
        <v/>
      </c>
      <c r="E208" s="141">
        <f>IFERROR(__xludf.DUMMYFUNCTION("""COMPUTED_VALUE"""),27.84)</f>
        <v/>
      </c>
      <c r="F208" s="141">
        <f>IFERROR(__xludf.DUMMYFUNCTION("""COMPUTED_VALUE"""),28.29)</f>
        <v/>
      </c>
      <c r="G208" s="143">
        <f>IFERROR(__xludf.DUMMYFUNCTION("""COMPUTED_VALUE"""),4703481)</f>
        <v/>
      </c>
      <c r="H208" s="27" t="n"/>
    </row>
    <row r="209" ht="17.25" customHeight="1" s="322">
      <c r="A209" s="27" t="n"/>
      <c r="B209" s="506">
        <f>IFERROR(__xludf.DUMMYFUNCTION("""COMPUTED_VALUE"""),46132.6666666666)</f>
        <v/>
      </c>
      <c r="C209" s="141">
        <f>IFERROR(__xludf.DUMMYFUNCTION("""COMPUTED_VALUE"""),28.54)</f>
        <v/>
      </c>
      <c r="D209" s="141">
        <f>IFERROR(__xludf.DUMMYFUNCTION("""COMPUTED_VALUE"""),28.82)</f>
        <v/>
      </c>
      <c r="E209" s="141">
        <f>IFERROR(__xludf.DUMMYFUNCTION("""COMPUTED_VALUE"""),28.52)</f>
        <v/>
      </c>
      <c r="F209" s="141">
        <f>IFERROR(__xludf.DUMMYFUNCTION("""COMPUTED_VALUE"""),28.67)</f>
        <v/>
      </c>
      <c r="G209" s="143">
        <f>IFERROR(__xludf.DUMMYFUNCTION("""COMPUTED_VALUE"""),1226279)</f>
        <v/>
      </c>
      <c r="H209" s="27" t="n"/>
    </row>
    <row r="210" ht="17.25" customHeight="1" s="322">
      <c r="A210" s="27" t="n"/>
      <c r="B210" s="506">
        <f>IFERROR(__xludf.DUMMYFUNCTION("""COMPUTED_VALUE"""),46133.6666666666)</f>
        <v/>
      </c>
      <c r="C210" s="141">
        <f>IFERROR(__xludf.DUMMYFUNCTION("""COMPUTED_VALUE"""),28.77)</f>
        <v/>
      </c>
      <c r="D210" s="141">
        <f>IFERROR(__xludf.DUMMYFUNCTION("""COMPUTED_VALUE"""),29.28)</f>
        <v/>
      </c>
      <c r="E210" s="141">
        <f>IFERROR(__xludf.DUMMYFUNCTION("""COMPUTED_VALUE"""),28.73)</f>
        <v/>
      </c>
      <c r="F210" s="141">
        <f>IFERROR(__xludf.DUMMYFUNCTION("""COMPUTED_VALUE"""),29.21)</f>
        <v/>
      </c>
      <c r="G210" s="143">
        <f>IFERROR(__xludf.DUMMYFUNCTION("""COMPUTED_VALUE"""),804295)</f>
        <v/>
      </c>
      <c r="H210" s="27" t="n"/>
    </row>
    <row r="211" ht="17.25" customHeight="1" s="322">
      <c r="A211" s="27" t="n"/>
      <c r="B211" s="506">
        <f>IFERROR(__xludf.DUMMYFUNCTION("""COMPUTED_VALUE"""),46134.6666666666)</f>
        <v/>
      </c>
      <c r="C211" s="141">
        <f>IFERROR(__xludf.DUMMYFUNCTION("""COMPUTED_VALUE"""),29.33)</f>
        <v/>
      </c>
      <c r="D211" s="141">
        <f>IFERROR(__xludf.DUMMYFUNCTION("""COMPUTED_VALUE"""),29.58)</f>
        <v/>
      </c>
      <c r="E211" s="141">
        <f>IFERROR(__xludf.DUMMYFUNCTION("""COMPUTED_VALUE"""),29.33)</f>
        <v/>
      </c>
      <c r="F211" s="141">
        <f>IFERROR(__xludf.DUMMYFUNCTION("""COMPUTED_VALUE"""),29.51)</f>
        <v/>
      </c>
      <c r="G211" s="143">
        <f>IFERROR(__xludf.DUMMYFUNCTION("""COMPUTED_VALUE"""),1232902)</f>
        <v/>
      </c>
      <c r="H211" s="27" t="n"/>
    </row>
    <row r="212" ht="17.25" customHeight="1" s="322">
      <c r="A212" s="27" t="n"/>
      <c r="B212" s="506">
        <f>IFERROR(__xludf.DUMMYFUNCTION("""COMPUTED_VALUE"""),46135.6666666666)</f>
        <v/>
      </c>
      <c r="C212" s="141">
        <f>IFERROR(__xludf.DUMMYFUNCTION("""COMPUTED_VALUE"""),29.52)</f>
        <v/>
      </c>
      <c r="D212" s="141">
        <f>IFERROR(__xludf.DUMMYFUNCTION("""COMPUTED_VALUE"""),30.04)</f>
        <v/>
      </c>
      <c r="E212" s="141">
        <f>IFERROR(__xludf.DUMMYFUNCTION("""COMPUTED_VALUE"""),29.5)</f>
        <v/>
      </c>
      <c r="F212" s="141">
        <f>IFERROR(__xludf.DUMMYFUNCTION("""COMPUTED_VALUE"""),29.89)</f>
        <v/>
      </c>
      <c r="G212" s="143">
        <f>IFERROR(__xludf.DUMMYFUNCTION("""COMPUTED_VALUE"""),1074291)</f>
        <v/>
      </c>
      <c r="H212" s="27" t="n"/>
    </row>
    <row r="213" ht="17.25" customHeight="1" s="322">
      <c r="A213" s="27" t="n"/>
      <c r="B213" s="506">
        <f>IFERROR(__xludf.DUMMYFUNCTION("""COMPUTED_VALUE"""),46136.6666666666)</f>
        <v/>
      </c>
      <c r="C213" s="141">
        <f>IFERROR(__xludf.DUMMYFUNCTION("""COMPUTED_VALUE"""),29.74)</f>
        <v/>
      </c>
      <c r="D213" s="141">
        <f>IFERROR(__xludf.DUMMYFUNCTION("""COMPUTED_VALUE"""),29.9)</f>
        <v/>
      </c>
      <c r="E213" s="141">
        <f>IFERROR(__xludf.DUMMYFUNCTION("""COMPUTED_VALUE"""),29.58)</f>
        <v/>
      </c>
      <c r="F213" s="141">
        <f>IFERROR(__xludf.DUMMYFUNCTION("""COMPUTED_VALUE"""),29.86)</f>
        <v/>
      </c>
      <c r="G213" s="143">
        <f>IFERROR(__xludf.DUMMYFUNCTION("""COMPUTED_VALUE"""),974037)</f>
        <v/>
      </c>
      <c r="H213" s="27" t="n"/>
    </row>
    <row r="214" ht="17.25" customHeight="1" s="322">
      <c r="A214" s="27" t="n"/>
      <c r="B214" s="506">
        <f>IFERROR(__xludf.DUMMYFUNCTION("""COMPUTED_VALUE"""),46139.6666666666)</f>
        <v/>
      </c>
      <c r="C214" s="141">
        <f>IFERROR(__xludf.DUMMYFUNCTION("""COMPUTED_VALUE"""),30)</f>
        <v/>
      </c>
      <c r="D214" s="141">
        <f>IFERROR(__xludf.DUMMYFUNCTION("""COMPUTED_VALUE"""),30.25)</f>
        <v/>
      </c>
      <c r="E214" s="141">
        <f>IFERROR(__xludf.DUMMYFUNCTION("""COMPUTED_VALUE"""),29.97)</f>
        <v/>
      </c>
      <c r="F214" s="141">
        <f>IFERROR(__xludf.DUMMYFUNCTION("""COMPUTED_VALUE"""),30.09)</f>
        <v/>
      </c>
      <c r="G214" s="143">
        <f>IFERROR(__xludf.DUMMYFUNCTION("""COMPUTED_VALUE"""),1478863)</f>
        <v/>
      </c>
      <c r="H214" s="27" t="n"/>
    </row>
    <row r="215" ht="17.25" customHeight="1" s="322">
      <c r="A215" s="27" t="n"/>
      <c r="B215" s="506">
        <f>IFERROR(__xludf.DUMMYFUNCTION("""COMPUTED_VALUE"""),46140.6666666666)</f>
        <v/>
      </c>
      <c r="C215" s="141">
        <f>IFERROR(__xludf.DUMMYFUNCTION("""COMPUTED_VALUE"""),30.19)</f>
        <v/>
      </c>
      <c r="D215" s="141">
        <f>IFERROR(__xludf.DUMMYFUNCTION("""COMPUTED_VALUE"""),30.35)</f>
        <v/>
      </c>
      <c r="E215" s="141">
        <f>IFERROR(__xludf.DUMMYFUNCTION("""COMPUTED_VALUE"""),30.11)</f>
        <v/>
      </c>
      <c r="F215" s="141">
        <f>IFERROR(__xludf.DUMMYFUNCTION("""COMPUTED_VALUE"""),30.34)</f>
        <v/>
      </c>
      <c r="G215" s="143">
        <f>IFERROR(__xludf.DUMMYFUNCTION("""COMPUTED_VALUE"""),1564688)</f>
        <v/>
      </c>
      <c r="H215" s="27" t="n"/>
    </row>
    <row r="216" ht="17.25" customHeight="1" s="322">
      <c r="A216" s="27" t="n"/>
      <c r="B216" s="506">
        <f>IFERROR(__xludf.DUMMYFUNCTION("""COMPUTED_VALUE"""),46141.6666666666)</f>
        <v/>
      </c>
      <c r="C216" s="141">
        <f>IFERROR(__xludf.DUMMYFUNCTION("""COMPUTED_VALUE"""),30.83)</f>
        <v/>
      </c>
      <c r="D216" s="141">
        <f>IFERROR(__xludf.DUMMYFUNCTION("""COMPUTED_VALUE"""),31.11)</f>
        <v/>
      </c>
      <c r="E216" s="141">
        <f>IFERROR(__xludf.DUMMYFUNCTION("""COMPUTED_VALUE"""),30.83)</f>
        <v/>
      </c>
      <c r="F216" s="141">
        <f>IFERROR(__xludf.DUMMYFUNCTION("""COMPUTED_VALUE"""),31.08)</f>
        <v/>
      </c>
      <c r="G216" s="143">
        <f>IFERROR(__xludf.DUMMYFUNCTION("""COMPUTED_VALUE"""),1886209)</f>
        <v/>
      </c>
      <c r="H216" s="27" t="n"/>
    </row>
    <row r="217" ht="17.25" customHeight="1" s="322">
      <c r="A217" s="27" t="n"/>
      <c r="B217" s="506">
        <f>IFERROR(__xludf.DUMMYFUNCTION("""COMPUTED_VALUE"""),46142.6666666666)</f>
        <v/>
      </c>
      <c r="C217" s="141">
        <f>IFERROR(__xludf.DUMMYFUNCTION("""COMPUTED_VALUE"""),30.79)</f>
        <v/>
      </c>
      <c r="D217" s="141">
        <f>IFERROR(__xludf.DUMMYFUNCTION("""COMPUTED_VALUE"""),31.11)</f>
        <v/>
      </c>
      <c r="E217" s="141">
        <f>IFERROR(__xludf.DUMMYFUNCTION("""COMPUTED_VALUE"""),30.79)</f>
        <v/>
      </c>
      <c r="F217" s="141">
        <f>IFERROR(__xludf.DUMMYFUNCTION("""COMPUTED_VALUE"""),31.1)</f>
        <v/>
      </c>
      <c r="G217" s="143">
        <f>IFERROR(__xludf.DUMMYFUNCTION("""COMPUTED_VALUE"""),2145566)</f>
        <v/>
      </c>
      <c r="H217" s="27" t="n"/>
    </row>
    <row r="218" ht="17.25" customHeight="1" s="322">
      <c r="A218" s="27" t="n"/>
      <c r="B218" s="506">
        <f>IFERROR(__xludf.DUMMYFUNCTION("""COMPUTED_VALUE"""),46143.6666666666)</f>
        <v/>
      </c>
      <c r="C218" s="141">
        <f>IFERROR(__xludf.DUMMYFUNCTION("""COMPUTED_VALUE"""),30.88)</f>
        <v/>
      </c>
      <c r="D218" s="141">
        <f>IFERROR(__xludf.DUMMYFUNCTION("""COMPUTED_VALUE"""),30.91)</f>
        <v/>
      </c>
      <c r="E218" s="141">
        <f>IFERROR(__xludf.DUMMYFUNCTION("""COMPUTED_VALUE"""),30.59)</f>
        <v/>
      </c>
      <c r="F218" s="141">
        <f>IFERROR(__xludf.DUMMYFUNCTION("""COMPUTED_VALUE"""),30.81)</f>
        <v/>
      </c>
      <c r="G218" s="143">
        <f>IFERROR(__xludf.DUMMYFUNCTION("""COMPUTED_VALUE"""),1626322)</f>
        <v/>
      </c>
      <c r="H218" s="27" t="n"/>
    </row>
    <row r="219" ht="17.25" customHeight="1" s="322">
      <c r="A219" s="27" t="n"/>
      <c r="B219" s="506">
        <f>IFERROR(__xludf.DUMMYFUNCTION("""COMPUTED_VALUE"""),46146.6666666666)</f>
        <v/>
      </c>
      <c r="C219" s="141">
        <f>IFERROR(__xludf.DUMMYFUNCTION("""COMPUTED_VALUE"""),30.89)</f>
        <v/>
      </c>
      <c r="D219" s="141">
        <f>IFERROR(__xludf.DUMMYFUNCTION("""COMPUTED_VALUE"""),31.46)</f>
        <v/>
      </c>
      <c r="E219" s="141">
        <f>IFERROR(__xludf.DUMMYFUNCTION("""COMPUTED_VALUE"""),30.87)</f>
        <v/>
      </c>
      <c r="F219" s="141">
        <f>IFERROR(__xludf.DUMMYFUNCTION("""COMPUTED_VALUE"""),31.33)</f>
        <v/>
      </c>
      <c r="G219" s="143">
        <f>IFERROR(__xludf.DUMMYFUNCTION("""COMPUTED_VALUE"""),2479719)</f>
        <v/>
      </c>
      <c r="H219" s="27" t="n"/>
    </row>
    <row r="220" ht="17.25" customHeight="1" s="322">
      <c r="A220" s="27" t="n"/>
      <c r="B220" s="506">
        <f>IFERROR(__xludf.DUMMYFUNCTION("""COMPUTED_VALUE"""),46147.6666666666)</f>
        <v/>
      </c>
      <c r="C220" s="141">
        <f>IFERROR(__xludf.DUMMYFUNCTION("""COMPUTED_VALUE"""),31.19)</f>
        <v/>
      </c>
      <c r="D220" s="141">
        <f>IFERROR(__xludf.DUMMYFUNCTION("""COMPUTED_VALUE"""),31.27)</f>
        <v/>
      </c>
      <c r="E220" s="141">
        <f>IFERROR(__xludf.DUMMYFUNCTION("""COMPUTED_VALUE"""),31.06)</f>
        <v/>
      </c>
      <c r="F220" s="141">
        <f>IFERROR(__xludf.DUMMYFUNCTION("""COMPUTED_VALUE"""),31.2)</f>
        <v/>
      </c>
      <c r="G220" s="143">
        <f>IFERROR(__xludf.DUMMYFUNCTION("""COMPUTED_VALUE"""),699719)</f>
        <v/>
      </c>
      <c r="H220" s="27" t="n"/>
    </row>
    <row r="221" ht="17.25" customHeight="1" s="322">
      <c r="A221" s="27" t="n"/>
      <c r="B221" s="506">
        <f>IFERROR(__xludf.DUMMYFUNCTION("""COMPUTED_VALUE"""),46148.6666666666)</f>
        <v/>
      </c>
      <c r="C221" s="141">
        <f>IFERROR(__xludf.DUMMYFUNCTION("""COMPUTED_VALUE"""),30.37)</f>
        <v/>
      </c>
      <c r="D221" s="141">
        <f>IFERROR(__xludf.DUMMYFUNCTION("""COMPUTED_VALUE"""),30.43)</f>
        <v/>
      </c>
      <c r="E221" s="141">
        <f>IFERROR(__xludf.DUMMYFUNCTION("""COMPUTED_VALUE"""),30.12)</f>
        <v/>
      </c>
      <c r="F221" s="141">
        <f>IFERROR(__xludf.DUMMYFUNCTION("""COMPUTED_VALUE"""),30.21)</f>
        <v/>
      </c>
      <c r="G221" s="143">
        <f>IFERROR(__xludf.DUMMYFUNCTION("""COMPUTED_VALUE"""),1739858)</f>
        <v/>
      </c>
      <c r="H221" s="27" t="n"/>
    </row>
    <row r="222" ht="17.25" customHeight="1" s="322">
      <c r="A222" s="27" t="n"/>
      <c r="B222" s="506">
        <f>IFERROR(__xludf.DUMMYFUNCTION("""COMPUTED_VALUE"""),46149.6666666666)</f>
        <v/>
      </c>
      <c r="C222" s="141">
        <f>IFERROR(__xludf.DUMMYFUNCTION("""COMPUTED_VALUE"""),29.74)</f>
        <v/>
      </c>
      <c r="D222" s="141">
        <f>IFERROR(__xludf.DUMMYFUNCTION("""COMPUTED_VALUE"""),30.37)</f>
        <v/>
      </c>
      <c r="E222" s="141">
        <f>IFERROR(__xludf.DUMMYFUNCTION("""COMPUTED_VALUE"""),29.57)</f>
        <v/>
      </c>
      <c r="F222" s="141">
        <f>IFERROR(__xludf.DUMMYFUNCTION("""COMPUTED_VALUE"""),30.25)</f>
        <v/>
      </c>
      <c r="G222" s="143">
        <f>IFERROR(__xludf.DUMMYFUNCTION("""COMPUTED_VALUE"""),5368613)</f>
        <v/>
      </c>
      <c r="H222" s="27" t="n"/>
    </row>
    <row r="223" ht="17.25" customHeight="1" s="322">
      <c r="A223" s="27" t="n"/>
      <c r="B223" s="506">
        <f>IFERROR(__xludf.DUMMYFUNCTION("""COMPUTED_VALUE"""),46150.6666666666)</f>
        <v/>
      </c>
      <c r="C223" s="141">
        <f>IFERROR(__xludf.DUMMYFUNCTION("""COMPUTED_VALUE"""),30.13)</f>
        <v/>
      </c>
      <c r="D223" s="141">
        <f>IFERROR(__xludf.DUMMYFUNCTION("""COMPUTED_VALUE"""),30.42)</f>
        <v/>
      </c>
      <c r="E223" s="141">
        <f>IFERROR(__xludf.DUMMYFUNCTION("""COMPUTED_VALUE"""),30.13)</f>
        <v/>
      </c>
      <c r="F223" s="141">
        <f>IFERROR(__xludf.DUMMYFUNCTION("""COMPUTED_VALUE"""),30.3)</f>
        <v/>
      </c>
      <c r="G223" s="143">
        <f>IFERROR(__xludf.DUMMYFUNCTION("""COMPUTED_VALUE"""),1309990)</f>
        <v/>
      </c>
      <c r="H223" s="27" t="n"/>
    </row>
    <row r="224" ht="17.25" customHeight="1" s="322">
      <c r="A224" s="27" t="n"/>
      <c r="B224" s="506">
        <f>IFERROR(__xludf.DUMMYFUNCTION("""COMPUTED_VALUE"""),46153.6666666666)</f>
        <v/>
      </c>
      <c r="C224" s="141">
        <f>IFERROR(__xludf.DUMMYFUNCTION("""COMPUTED_VALUE"""),30.74)</f>
        <v/>
      </c>
      <c r="D224" s="141">
        <f>IFERROR(__xludf.DUMMYFUNCTION("""COMPUTED_VALUE"""),31.17)</f>
        <v/>
      </c>
      <c r="E224" s="141">
        <f>IFERROR(__xludf.DUMMYFUNCTION("""COMPUTED_VALUE"""),30.74)</f>
        <v/>
      </c>
      <c r="F224" s="141">
        <f>IFERROR(__xludf.DUMMYFUNCTION("""COMPUTED_VALUE"""),31.06)</f>
        <v/>
      </c>
      <c r="G224" s="143">
        <f>IFERROR(__xludf.DUMMYFUNCTION("""COMPUTED_VALUE"""),3213644)</f>
        <v/>
      </c>
      <c r="H224" s="27" t="n"/>
    </row>
    <row r="225" ht="17.25" customHeight="1" s="322">
      <c r="A225" s="27" t="n"/>
      <c r="B225" s="506">
        <f>IFERROR(__xludf.DUMMYFUNCTION("""COMPUTED_VALUE"""),46154.6666666666)</f>
        <v/>
      </c>
      <c r="C225" s="141">
        <f>IFERROR(__xludf.DUMMYFUNCTION("""COMPUTED_VALUE"""),31.48)</f>
        <v/>
      </c>
      <c r="D225" s="141">
        <f>IFERROR(__xludf.DUMMYFUNCTION("""COMPUTED_VALUE"""),31.7)</f>
        <v/>
      </c>
      <c r="E225" s="141">
        <f>IFERROR(__xludf.DUMMYFUNCTION("""COMPUTED_VALUE"""),31.37)</f>
        <v/>
      </c>
      <c r="F225" s="141">
        <f>IFERROR(__xludf.DUMMYFUNCTION("""COMPUTED_VALUE"""),31.69)</f>
        <v/>
      </c>
      <c r="G225" s="143">
        <f>IFERROR(__xludf.DUMMYFUNCTION("""COMPUTED_VALUE"""),1301873)</f>
        <v/>
      </c>
      <c r="H225" s="27" t="n"/>
    </row>
    <row r="226" ht="17.25" customHeight="1" s="322">
      <c r="A226" s="27" t="n"/>
      <c r="B226" s="506">
        <f>IFERROR(__xludf.DUMMYFUNCTION("""COMPUTED_VALUE"""),46155.6666666666)</f>
        <v/>
      </c>
      <c r="C226" s="141">
        <f>IFERROR(__xludf.DUMMYFUNCTION("""COMPUTED_VALUE"""),31.6)</f>
        <v/>
      </c>
      <c r="D226" s="141">
        <f>IFERROR(__xludf.DUMMYFUNCTION("""COMPUTED_VALUE"""),31.72)</f>
        <v/>
      </c>
      <c r="E226" s="141">
        <f>IFERROR(__xludf.DUMMYFUNCTION("""COMPUTED_VALUE"""),31.31)</f>
        <v/>
      </c>
      <c r="F226" s="141">
        <f>IFERROR(__xludf.DUMMYFUNCTION("""COMPUTED_VALUE"""),31.37)</f>
        <v/>
      </c>
      <c r="G226" s="143">
        <f>IFERROR(__xludf.DUMMYFUNCTION("""COMPUTED_VALUE"""),777791)</f>
        <v/>
      </c>
      <c r="H226" s="27" t="n"/>
    </row>
    <row r="227" ht="17.25" customHeight="1" s="322">
      <c r="A227" s="27" t="n"/>
      <c r="B227" s="506">
        <f>IFERROR(__xludf.DUMMYFUNCTION("""COMPUTED_VALUE"""),46156.6666666666)</f>
        <v/>
      </c>
      <c r="C227" s="141">
        <f>IFERROR(__xludf.DUMMYFUNCTION("""COMPUTED_VALUE"""),31.05)</f>
        <v/>
      </c>
      <c r="D227" s="141">
        <f>IFERROR(__xludf.DUMMYFUNCTION("""COMPUTED_VALUE"""),31.19)</f>
        <v/>
      </c>
      <c r="E227" s="141">
        <f>IFERROR(__xludf.DUMMYFUNCTION("""COMPUTED_VALUE"""),30.96)</f>
        <v/>
      </c>
      <c r="F227" s="141">
        <f>IFERROR(__xludf.DUMMYFUNCTION("""COMPUTED_VALUE"""),31.15)</f>
        <v/>
      </c>
      <c r="G227" s="143">
        <f>IFERROR(__xludf.DUMMYFUNCTION("""COMPUTED_VALUE"""),679250)</f>
        <v/>
      </c>
      <c r="H227" s="27" t="n"/>
    </row>
    <row r="228" ht="17.25" customHeight="1" s="322">
      <c r="A228" s="27" t="n"/>
      <c r="B228" s="506">
        <f>IFERROR(__xludf.DUMMYFUNCTION("""COMPUTED_VALUE"""),46157.6666666666)</f>
        <v/>
      </c>
      <c r="C228" s="141">
        <f>IFERROR(__xludf.DUMMYFUNCTION("""COMPUTED_VALUE"""),31.03)</f>
        <v/>
      </c>
      <c r="D228" s="141">
        <f>IFERROR(__xludf.DUMMYFUNCTION("""COMPUTED_VALUE"""),31.24)</f>
        <v/>
      </c>
      <c r="E228" s="141">
        <f>IFERROR(__xludf.DUMMYFUNCTION("""COMPUTED_VALUE"""),30.99)</f>
        <v/>
      </c>
      <c r="F228" s="141">
        <f>IFERROR(__xludf.DUMMYFUNCTION("""COMPUTED_VALUE"""),31.19)</f>
        <v/>
      </c>
      <c r="G228" s="143">
        <f>IFERROR(__xludf.DUMMYFUNCTION("""COMPUTED_VALUE"""),832187)</f>
        <v/>
      </c>
      <c r="H228" s="27" t="n"/>
    </row>
    <row r="229" ht="17.25" customHeight="1" s="322">
      <c r="A229" s="27" t="n"/>
      <c r="B229" s="506">
        <f>IFERROR(__xludf.DUMMYFUNCTION("""COMPUTED_VALUE"""),46160.6666666666)</f>
        <v/>
      </c>
      <c r="C229" s="141">
        <f>IFERROR(__xludf.DUMMYFUNCTION("""COMPUTED_VALUE"""),31.24)</f>
        <v/>
      </c>
      <c r="D229" s="141">
        <f>IFERROR(__xludf.DUMMYFUNCTION("""COMPUTED_VALUE"""),31.79)</f>
        <v/>
      </c>
      <c r="E229" s="141">
        <f>IFERROR(__xludf.DUMMYFUNCTION("""COMPUTED_VALUE"""),31.19)</f>
        <v/>
      </c>
      <c r="F229" s="141">
        <f>IFERROR(__xludf.DUMMYFUNCTION("""COMPUTED_VALUE"""),31.38)</f>
        <v/>
      </c>
      <c r="G229" s="143">
        <f>IFERROR(__xludf.DUMMYFUNCTION("""COMPUTED_VALUE"""),1514520)</f>
        <v/>
      </c>
      <c r="H229" s="27" t="n"/>
    </row>
    <row r="230" ht="17.25" customHeight="1" s="322">
      <c r="A230" s="27" t="n"/>
      <c r="B230" s="506">
        <f>IFERROR(__xludf.DUMMYFUNCTION("""COMPUTED_VALUE"""),46161.6666666666)</f>
        <v/>
      </c>
      <c r="C230" s="141">
        <f>IFERROR(__xludf.DUMMYFUNCTION("""COMPUTED_VALUE"""),31.62)</f>
        <v/>
      </c>
      <c r="D230" s="141">
        <f>IFERROR(__xludf.DUMMYFUNCTION("""COMPUTED_VALUE"""),31.69)</f>
        <v/>
      </c>
      <c r="E230" s="141">
        <f>IFERROR(__xludf.DUMMYFUNCTION("""COMPUTED_VALUE"""),31.41)</f>
        <v/>
      </c>
      <c r="F230" s="141">
        <f>IFERROR(__xludf.DUMMYFUNCTION("""COMPUTED_VALUE"""),31.61)</f>
        <v/>
      </c>
      <c r="G230" s="143">
        <f>IFERROR(__xludf.DUMMYFUNCTION("""COMPUTED_VALUE"""),960037)</f>
        <v/>
      </c>
      <c r="H230" s="27" t="n"/>
    </row>
    <row r="231" ht="17.25" customHeight="1" s="322">
      <c r="A231" s="27" t="n"/>
      <c r="B231" s="506">
        <f>IFERROR(__xludf.DUMMYFUNCTION("""COMPUTED_VALUE"""),46162.6666666666)</f>
        <v/>
      </c>
      <c r="C231" s="141">
        <f>IFERROR(__xludf.DUMMYFUNCTION("""COMPUTED_VALUE"""),31.36)</f>
        <v/>
      </c>
      <c r="D231" s="141">
        <f>IFERROR(__xludf.DUMMYFUNCTION("""COMPUTED_VALUE"""),31.41)</f>
        <v/>
      </c>
      <c r="E231" s="141">
        <f>IFERROR(__xludf.DUMMYFUNCTION("""COMPUTED_VALUE"""),30.67)</f>
        <v/>
      </c>
      <c r="F231" s="141">
        <f>IFERROR(__xludf.DUMMYFUNCTION("""COMPUTED_VALUE"""),30.88)</f>
        <v/>
      </c>
      <c r="G231" s="143">
        <f>IFERROR(__xludf.DUMMYFUNCTION("""COMPUTED_VALUE"""),1344201)</f>
        <v/>
      </c>
      <c r="H231" s="27" t="n"/>
    </row>
    <row r="232" ht="17.25" customHeight="1" s="322">
      <c r="A232" s="27" t="n"/>
      <c r="B232" s="506">
        <f>IFERROR(__xludf.DUMMYFUNCTION("""COMPUTED_VALUE"""),46163.6666666666)</f>
        <v/>
      </c>
      <c r="C232" s="141">
        <f>IFERROR(__xludf.DUMMYFUNCTION("""COMPUTED_VALUE"""),31.29)</f>
        <v/>
      </c>
      <c r="D232" s="141">
        <f>IFERROR(__xludf.DUMMYFUNCTION("""COMPUTED_VALUE"""),31.29)</f>
        <v/>
      </c>
      <c r="E232" s="141">
        <f>IFERROR(__xludf.DUMMYFUNCTION("""COMPUTED_VALUE"""),30.43)</f>
        <v/>
      </c>
      <c r="F232" s="141">
        <f>IFERROR(__xludf.DUMMYFUNCTION("""COMPUTED_VALUE"""),30.7)</f>
        <v/>
      </c>
      <c r="G232" s="143">
        <f>IFERROR(__xludf.DUMMYFUNCTION("""COMPUTED_VALUE"""),751921)</f>
        <v/>
      </c>
      <c r="H232" s="27" t="n"/>
    </row>
    <row r="233" ht="17.25" customHeight="1" s="322">
      <c r="A233" s="27" t="n"/>
      <c r="B233" s="506">
        <f>IFERROR(__xludf.DUMMYFUNCTION("""COMPUTED_VALUE"""),46164.6666666666)</f>
        <v/>
      </c>
      <c r="C233" s="141">
        <f>IFERROR(__xludf.DUMMYFUNCTION("""COMPUTED_VALUE"""),30.6)</f>
        <v/>
      </c>
      <c r="D233" s="141">
        <f>IFERROR(__xludf.DUMMYFUNCTION("""COMPUTED_VALUE"""),30.78)</f>
        <v/>
      </c>
      <c r="E233" s="141">
        <f>IFERROR(__xludf.DUMMYFUNCTION("""COMPUTED_VALUE"""),30.32)</f>
        <v/>
      </c>
      <c r="F233" s="141">
        <f>IFERROR(__xludf.DUMMYFUNCTION("""COMPUTED_VALUE"""),30.54)</f>
        <v/>
      </c>
      <c r="G233" s="143">
        <f>IFERROR(__xludf.DUMMYFUNCTION("""COMPUTED_VALUE"""),863154)</f>
        <v/>
      </c>
      <c r="H233" s="27" t="n"/>
    </row>
    <row r="234" ht="17.25" customHeight="1" s="322">
      <c r="A234" s="27" t="n"/>
      <c r="B234" s="506">
        <f>IFERROR(__xludf.DUMMYFUNCTION("""COMPUTED_VALUE"""),46168.6666666666)</f>
        <v/>
      </c>
      <c r="C234" s="141">
        <f>IFERROR(__xludf.DUMMYFUNCTION("""COMPUTED_VALUE"""),30.13)</f>
        <v/>
      </c>
      <c r="D234" s="141">
        <f>IFERROR(__xludf.DUMMYFUNCTION("""COMPUTED_VALUE"""),30.31)</f>
        <v/>
      </c>
      <c r="E234" s="141">
        <f>IFERROR(__xludf.DUMMYFUNCTION("""COMPUTED_VALUE"""),29.99)</f>
        <v/>
      </c>
      <c r="F234" s="141">
        <f>IFERROR(__xludf.DUMMYFUNCTION("""COMPUTED_VALUE"""),30.03)</f>
        <v/>
      </c>
      <c r="G234" s="143">
        <f>IFERROR(__xludf.DUMMYFUNCTION("""COMPUTED_VALUE"""),1488904)</f>
        <v/>
      </c>
      <c r="H234" s="27" t="n"/>
    </row>
    <row r="235" ht="17.25" customHeight="1" s="322">
      <c r="A235" s="27" t="n"/>
      <c r="B235" s="506">
        <f>IFERROR(__xludf.DUMMYFUNCTION("""COMPUTED_VALUE"""),46169.6666666666)</f>
        <v/>
      </c>
      <c r="C235" s="141">
        <f>IFERROR(__xludf.DUMMYFUNCTION("""COMPUTED_VALUE"""),29.42)</f>
        <v/>
      </c>
      <c r="D235" s="141">
        <f>IFERROR(__xludf.DUMMYFUNCTION("""COMPUTED_VALUE"""),29.68)</f>
        <v/>
      </c>
      <c r="E235" s="141">
        <f>IFERROR(__xludf.DUMMYFUNCTION("""COMPUTED_VALUE"""),29.4)</f>
        <v/>
      </c>
      <c r="F235" s="141">
        <f>IFERROR(__xludf.DUMMYFUNCTION("""COMPUTED_VALUE"""),29.49)</f>
        <v/>
      </c>
      <c r="G235" s="143">
        <f>IFERROR(__xludf.DUMMYFUNCTION("""COMPUTED_VALUE"""),936837)</f>
        <v/>
      </c>
      <c r="H235" s="27" t="n"/>
    </row>
    <row r="236" ht="17.25" customHeight="1" s="322">
      <c r="A236" s="27" t="n"/>
      <c r="B236" s="506">
        <f>IFERROR(__xludf.DUMMYFUNCTION("""COMPUTED_VALUE"""),46170.6666666666)</f>
        <v/>
      </c>
      <c r="C236" s="141">
        <f>IFERROR(__xludf.DUMMYFUNCTION("""COMPUTED_VALUE"""),29.68)</f>
        <v/>
      </c>
      <c r="D236" s="141">
        <f>IFERROR(__xludf.DUMMYFUNCTION("""COMPUTED_VALUE"""),29.73)</f>
        <v/>
      </c>
      <c r="E236" s="141">
        <f>IFERROR(__xludf.DUMMYFUNCTION("""COMPUTED_VALUE"""),29.27)</f>
        <v/>
      </c>
      <c r="F236" s="141">
        <f>IFERROR(__xludf.DUMMYFUNCTION("""COMPUTED_VALUE"""),29.72)</f>
        <v/>
      </c>
      <c r="G236" s="143">
        <f>IFERROR(__xludf.DUMMYFUNCTION("""COMPUTED_VALUE"""),918815)</f>
        <v/>
      </c>
      <c r="H236" s="27" t="n"/>
    </row>
    <row r="237" ht="17.25" customHeight="1" s="322">
      <c r="A237" s="27" t="n"/>
      <c r="B237" s="506">
        <f>IFERROR(__xludf.DUMMYFUNCTION("""COMPUTED_VALUE"""),46171.6666666666)</f>
        <v/>
      </c>
      <c r="C237" s="141">
        <f>IFERROR(__xludf.DUMMYFUNCTION("""COMPUTED_VALUE"""),29.53)</f>
        <v/>
      </c>
      <c r="D237" s="141">
        <f>IFERROR(__xludf.DUMMYFUNCTION("""COMPUTED_VALUE"""),29.59)</f>
        <v/>
      </c>
      <c r="E237" s="141">
        <f>IFERROR(__xludf.DUMMYFUNCTION("""COMPUTED_VALUE"""),29.29)</f>
        <v/>
      </c>
      <c r="F237" s="141">
        <f>IFERROR(__xludf.DUMMYFUNCTION("""COMPUTED_VALUE"""),29.48)</f>
        <v/>
      </c>
      <c r="G237" s="143">
        <f>IFERROR(__xludf.DUMMYFUNCTION("""COMPUTED_VALUE"""),1035719)</f>
        <v/>
      </c>
      <c r="H237" s="27" t="n"/>
    </row>
    <row r="238" ht="17.25" customHeight="1" s="322">
      <c r="A238" s="27" t="n"/>
      <c r="B238" s="506">
        <f>IFERROR(__xludf.DUMMYFUNCTION("""COMPUTED_VALUE"""),46174.6666666666)</f>
        <v/>
      </c>
      <c r="C238" s="141">
        <f>IFERROR(__xludf.DUMMYFUNCTION("""COMPUTED_VALUE"""),30.04)</f>
        <v/>
      </c>
      <c r="D238" s="141">
        <f>IFERROR(__xludf.DUMMYFUNCTION("""COMPUTED_VALUE"""),30.31)</f>
        <v/>
      </c>
      <c r="E238" s="141">
        <f>IFERROR(__xludf.DUMMYFUNCTION("""COMPUTED_VALUE"""),29.84)</f>
        <v/>
      </c>
      <c r="F238" s="141">
        <f>IFERROR(__xludf.DUMMYFUNCTION("""COMPUTED_VALUE"""),29.99)</f>
        <v/>
      </c>
      <c r="G238" s="143">
        <f>IFERROR(__xludf.DUMMYFUNCTION("""COMPUTED_VALUE"""),1643014)</f>
        <v/>
      </c>
      <c r="H238" s="27" t="n"/>
    </row>
    <row r="239" ht="17.25" customHeight="1" s="322">
      <c r="A239" s="27" t="n"/>
      <c r="B239" s="506">
        <f>IFERROR(__xludf.DUMMYFUNCTION("""COMPUTED_VALUE"""),46175.6666666666)</f>
        <v/>
      </c>
      <c r="C239" s="141">
        <f>IFERROR(__xludf.DUMMYFUNCTION("""COMPUTED_VALUE"""),30)</f>
        <v/>
      </c>
      <c r="D239" s="141">
        <f>IFERROR(__xludf.DUMMYFUNCTION("""COMPUTED_VALUE"""),30.15)</f>
        <v/>
      </c>
      <c r="E239" s="141">
        <f>IFERROR(__xludf.DUMMYFUNCTION("""COMPUTED_VALUE"""),29.95)</f>
        <v/>
      </c>
      <c r="F239" s="141">
        <f>IFERROR(__xludf.DUMMYFUNCTION("""COMPUTED_VALUE"""),30.12)</f>
        <v/>
      </c>
      <c r="G239" s="143">
        <f>IFERROR(__xludf.DUMMYFUNCTION("""COMPUTED_VALUE"""),715884)</f>
        <v/>
      </c>
      <c r="H239" s="27" t="n"/>
    </row>
    <row r="240" ht="17.25" customHeight="1" s="322">
      <c r="A240" s="27" t="n"/>
      <c r="B240" s="506">
        <f>IFERROR(__xludf.DUMMYFUNCTION("""COMPUTED_VALUE"""),46176.6666666666)</f>
        <v/>
      </c>
      <c r="C240" s="141">
        <f>IFERROR(__xludf.DUMMYFUNCTION("""COMPUTED_VALUE"""),30.3)</f>
        <v/>
      </c>
      <c r="D240" s="141">
        <f>IFERROR(__xludf.DUMMYFUNCTION("""COMPUTED_VALUE"""),30.37)</f>
        <v/>
      </c>
      <c r="E240" s="141">
        <f>IFERROR(__xludf.DUMMYFUNCTION("""COMPUTED_VALUE"""),30.17)</f>
        <v/>
      </c>
      <c r="F240" s="141">
        <f>IFERROR(__xludf.DUMMYFUNCTION("""COMPUTED_VALUE"""),30.29)</f>
        <v/>
      </c>
      <c r="G240" s="143">
        <f>IFERROR(__xludf.DUMMYFUNCTION("""COMPUTED_VALUE"""),507491)</f>
        <v/>
      </c>
      <c r="H240" s="27" t="n"/>
    </row>
    <row r="241" ht="17.25" customHeight="1" s="322">
      <c r="A241" s="27" t="n"/>
      <c r="B241" s="506">
        <f>IFERROR(__xludf.DUMMYFUNCTION("""COMPUTED_VALUE"""),46177.6666666666)</f>
        <v/>
      </c>
      <c r="C241" s="141">
        <f>IFERROR(__xludf.DUMMYFUNCTION("""COMPUTED_VALUE"""),29.96)</f>
        <v/>
      </c>
      <c r="D241" s="141">
        <f>IFERROR(__xludf.DUMMYFUNCTION("""COMPUTED_VALUE"""),29.97)</f>
        <v/>
      </c>
      <c r="E241" s="141">
        <f>IFERROR(__xludf.DUMMYFUNCTION("""COMPUTED_VALUE"""),29.75)</f>
        <v/>
      </c>
      <c r="F241" s="141">
        <f>IFERROR(__xludf.DUMMYFUNCTION("""COMPUTED_VALUE"""),29.88)</f>
        <v/>
      </c>
      <c r="G241" s="143">
        <f>IFERROR(__xludf.DUMMYFUNCTION("""COMPUTED_VALUE"""),781531)</f>
        <v/>
      </c>
      <c r="H241" s="27" t="n"/>
    </row>
    <row r="242" ht="17.25" customHeight="1" s="322">
      <c r="A242" s="27" t="n"/>
      <c r="B242" s="506">
        <f>IFERROR(__xludf.DUMMYFUNCTION("""COMPUTED_VALUE"""),46178.6666666666)</f>
        <v/>
      </c>
      <c r="C242" s="141">
        <f>IFERROR(__xludf.DUMMYFUNCTION("""COMPUTED_VALUE"""),29.61)</f>
        <v/>
      </c>
      <c r="D242" s="141">
        <f>IFERROR(__xludf.DUMMYFUNCTION("""COMPUTED_VALUE"""),29.62)</f>
        <v/>
      </c>
      <c r="E242" s="141">
        <f>IFERROR(__xludf.DUMMYFUNCTION("""COMPUTED_VALUE"""),29.2)</f>
        <v/>
      </c>
      <c r="F242" s="141">
        <f>IFERROR(__xludf.DUMMYFUNCTION("""COMPUTED_VALUE"""),29.23)</f>
        <v/>
      </c>
      <c r="G242" s="143">
        <f>IFERROR(__xludf.DUMMYFUNCTION("""COMPUTED_VALUE"""),1126241)</f>
        <v/>
      </c>
      <c r="H242" s="27" t="n"/>
    </row>
    <row r="243" ht="17.25" customHeight="1" s="322">
      <c r="A243" s="27" t="n"/>
      <c r="B243" s="506">
        <f>IFERROR(__xludf.DUMMYFUNCTION("""COMPUTED_VALUE"""),46181.6666666666)</f>
        <v/>
      </c>
      <c r="C243" s="141">
        <f>IFERROR(__xludf.DUMMYFUNCTION("""COMPUTED_VALUE"""),29.48)</f>
        <v/>
      </c>
      <c r="D243" s="141">
        <f>IFERROR(__xludf.DUMMYFUNCTION("""COMPUTED_VALUE"""),29.58)</f>
        <v/>
      </c>
      <c r="E243" s="141">
        <f>IFERROR(__xludf.DUMMYFUNCTION("""COMPUTED_VALUE"""),29.41)</f>
        <v/>
      </c>
      <c r="F243" s="141">
        <f>IFERROR(__xludf.DUMMYFUNCTION("""COMPUTED_VALUE"""),29.47)</f>
        <v/>
      </c>
      <c r="G243" s="143">
        <f>IFERROR(__xludf.DUMMYFUNCTION("""COMPUTED_VALUE"""),654202)</f>
        <v/>
      </c>
      <c r="H243" s="27" t="n"/>
    </row>
    <row r="244" ht="17.25" customHeight="1" s="322">
      <c r="A244" s="27" t="n"/>
      <c r="B244" s="506">
        <f>IFERROR(__xludf.DUMMYFUNCTION("""COMPUTED_VALUE"""),46182.6666666666)</f>
        <v/>
      </c>
      <c r="C244" s="141">
        <f>IFERROR(__xludf.DUMMYFUNCTION("""COMPUTED_VALUE"""),29.27)</f>
        <v/>
      </c>
      <c r="D244" s="141">
        <f>IFERROR(__xludf.DUMMYFUNCTION("""COMPUTED_VALUE"""),29.33)</f>
        <v/>
      </c>
      <c r="E244" s="141">
        <f>IFERROR(__xludf.DUMMYFUNCTION("""COMPUTED_VALUE"""),28.82)</f>
        <v/>
      </c>
      <c r="F244" s="141">
        <f>IFERROR(__xludf.DUMMYFUNCTION("""COMPUTED_VALUE"""),29.07)</f>
        <v/>
      </c>
      <c r="G244" s="143">
        <f>IFERROR(__xludf.DUMMYFUNCTION("""COMPUTED_VALUE"""),2689263)</f>
        <v/>
      </c>
      <c r="H244" s="27" t="n"/>
    </row>
    <row r="245" ht="17.25" customHeight="1" s="322">
      <c r="A245" s="27" t="n"/>
      <c r="B245" s="506">
        <f>IFERROR(__xludf.DUMMYFUNCTION("""COMPUTED_VALUE"""),46183.6666666666)</f>
        <v/>
      </c>
      <c r="C245" s="141">
        <f>IFERROR(__xludf.DUMMYFUNCTION("""COMPUTED_VALUE"""),29.12)</f>
        <v/>
      </c>
      <c r="D245" s="141">
        <f>IFERROR(__xludf.DUMMYFUNCTION("""COMPUTED_VALUE"""),29.39)</f>
        <v/>
      </c>
      <c r="E245" s="141">
        <f>IFERROR(__xludf.DUMMYFUNCTION("""COMPUTED_VALUE"""),29.12)</f>
        <v/>
      </c>
      <c r="F245" s="141">
        <f>IFERROR(__xludf.DUMMYFUNCTION("""COMPUTED_VALUE"""),29.17)</f>
        <v/>
      </c>
      <c r="G245" s="143">
        <f>IFERROR(__xludf.DUMMYFUNCTION("""COMPUTED_VALUE"""),930791)</f>
        <v/>
      </c>
      <c r="H245" s="27" t="n"/>
    </row>
    <row r="246" ht="17.25" customHeight="1" s="322">
      <c r="A246" s="27" t="n"/>
      <c r="B246" s="506">
        <f>IFERROR(__xludf.DUMMYFUNCTION("""COMPUTED_VALUE"""),46184.6666666666)</f>
        <v/>
      </c>
      <c r="C246" s="141">
        <f>IFERROR(__xludf.DUMMYFUNCTION("""COMPUTED_VALUE"""),29.17)</f>
        <v/>
      </c>
      <c r="D246" s="141">
        <f>IFERROR(__xludf.DUMMYFUNCTION("""COMPUTED_VALUE"""),29.32)</f>
        <v/>
      </c>
      <c r="E246" s="141">
        <f>IFERROR(__xludf.DUMMYFUNCTION("""COMPUTED_VALUE"""),28.77)</f>
        <v/>
      </c>
      <c r="F246" s="141">
        <f>IFERROR(__xludf.DUMMYFUNCTION("""COMPUTED_VALUE"""),28.85)</f>
        <v/>
      </c>
      <c r="G246" s="143">
        <f>IFERROR(__xludf.DUMMYFUNCTION("""COMPUTED_VALUE"""),1377838)</f>
        <v/>
      </c>
      <c r="H246" s="27" t="n"/>
    </row>
    <row r="247" ht="17.25" customHeight="1" s="322">
      <c r="A247" s="27" t="n"/>
      <c r="B247" s="506">
        <f>IFERROR(__xludf.DUMMYFUNCTION("""COMPUTED_VALUE"""),46185.6666666666)</f>
        <v/>
      </c>
      <c r="C247" s="141">
        <f>IFERROR(__xludf.DUMMYFUNCTION("""COMPUTED_VALUE"""),28.63)</f>
        <v/>
      </c>
      <c r="D247" s="141">
        <f>IFERROR(__xludf.DUMMYFUNCTION("""COMPUTED_VALUE"""),28.88)</f>
        <v/>
      </c>
      <c r="E247" s="141">
        <f>IFERROR(__xludf.DUMMYFUNCTION("""COMPUTED_VALUE"""),28.51)</f>
        <v/>
      </c>
      <c r="F247" s="141">
        <f>IFERROR(__xludf.DUMMYFUNCTION("""COMPUTED_VALUE"""),28.55)</f>
        <v/>
      </c>
      <c r="G247" s="143">
        <f>IFERROR(__xludf.DUMMYFUNCTION("""COMPUTED_VALUE"""),1080726)</f>
        <v/>
      </c>
      <c r="H247" s="27" t="n"/>
    </row>
    <row r="248" ht="17.25" customHeight="1" s="322">
      <c r="A248" s="27" t="n"/>
      <c r="B248" s="506">
        <f>IFERROR(__xludf.DUMMYFUNCTION("""COMPUTED_VALUE"""),46188.6666666666)</f>
        <v/>
      </c>
      <c r="C248" s="141">
        <f>IFERROR(__xludf.DUMMYFUNCTION("""COMPUTED_VALUE"""),28.18)</f>
        <v/>
      </c>
      <c r="D248" s="141">
        <f>IFERROR(__xludf.DUMMYFUNCTION("""COMPUTED_VALUE"""),28.25)</f>
        <v/>
      </c>
      <c r="E248" s="141">
        <f>IFERROR(__xludf.DUMMYFUNCTION("""COMPUTED_VALUE"""),28.1)</f>
        <v/>
      </c>
      <c r="F248" s="141">
        <f>IFERROR(__xludf.DUMMYFUNCTION("""COMPUTED_VALUE"""),28.22)</f>
        <v/>
      </c>
      <c r="G248" s="143">
        <f>IFERROR(__xludf.DUMMYFUNCTION("""COMPUTED_VALUE"""),1070297)</f>
        <v/>
      </c>
      <c r="H248" s="27" t="n"/>
    </row>
    <row r="249" ht="17.25" customHeight="1" s="322">
      <c r="A249" s="27" t="n"/>
      <c r="B249" s="506">
        <f>IFERROR(__xludf.DUMMYFUNCTION("""COMPUTED_VALUE"""),46189.6666666666)</f>
        <v/>
      </c>
      <c r="C249" s="141">
        <f>IFERROR(__xludf.DUMMYFUNCTION("""COMPUTED_VALUE"""),27.9)</f>
        <v/>
      </c>
      <c r="D249" s="141">
        <f>IFERROR(__xludf.DUMMYFUNCTION("""COMPUTED_VALUE"""),28.04)</f>
        <v/>
      </c>
      <c r="E249" s="141">
        <f>IFERROR(__xludf.DUMMYFUNCTION("""COMPUTED_VALUE"""),27.76)</f>
        <v/>
      </c>
      <c r="F249" s="141">
        <f>IFERROR(__xludf.DUMMYFUNCTION("""COMPUTED_VALUE"""),27.9)</f>
        <v/>
      </c>
      <c r="G249" s="143">
        <f>IFERROR(__xludf.DUMMYFUNCTION("""COMPUTED_VALUE"""),463890)</f>
        <v/>
      </c>
      <c r="H249" s="27" t="n"/>
    </row>
    <row r="250" ht="17.25" customHeight="1" s="322">
      <c r="A250" s="27" t="n"/>
      <c r="B250" s="506">
        <f>IFERROR(__xludf.DUMMYFUNCTION("""COMPUTED_VALUE"""),46190.6666666666)</f>
        <v/>
      </c>
      <c r="C250" s="141">
        <f>IFERROR(__xludf.DUMMYFUNCTION("""COMPUTED_VALUE"""),27.97)</f>
        <v/>
      </c>
      <c r="D250" s="141">
        <f>IFERROR(__xludf.DUMMYFUNCTION("""COMPUTED_VALUE"""),28.35)</f>
        <v/>
      </c>
      <c r="E250" s="141">
        <f>IFERROR(__xludf.DUMMYFUNCTION("""COMPUTED_VALUE"""),27.68)</f>
        <v/>
      </c>
      <c r="F250" s="141">
        <f>IFERROR(__xludf.DUMMYFUNCTION("""COMPUTED_VALUE"""),27.71)</f>
        <v/>
      </c>
      <c r="G250" s="143">
        <f>IFERROR(__xludf.DUMMYFUNCTION("""COMPUTED_VALUE"""),1454959)</f>
        <v/>
      </c>
      <c r="H250" s="27" t="n"/>
    </row>
    <row r="251" ht="17.25" customHeight="1" s="322">
      <c r="A251" s="27" t="n"/>
      <c r="B251" s="506">
        <f>IFERROR(__xludf.DUMMYFUNCTION("""COMPUTED_VALUE"""),46191.6666666666)</f>
        <v/>
      </c>
      <c r="C251" s="141">
        <f>IFERROR(__xludf.DUMMYFUNCTION("""COMPUTED_VALUE"""),27.53)</f>
        <v/>
      </c>
      <c r="D251" s="141">
        <f>IFERROR(__xludf.DUMMYFUNCTION("""COMPUTED_VALUE"""),27.7)</f>
        <v/>
      </c>
      <c r="E251" s="141">
        <f>IFERROR(__xludf.DUMMYFUNCTION("""COMPUTED_VALUE"""),27.28)</f>
        <v/>
      </c>
      <c r="F251" s="141">
        <f>IFERROR(__xludf.DUMMYFUNCTION("""COMPUTED_VALUE"""),27.63)</f>
        <v/>
      </c>
      <c r="G251" s="143">
        <f>IFERROR(__xludf.DUMMYFUNCTION("""COMPUTED_VALUE"""),1121213)</f>
        <v/>
      </c>
      <c r="H251" s="27" t="n"/>
    </row>
    <row r="252" ht="17.25" customHeight="1" s="322">
      <c r="A252" s="27" t="n"/>
      <c r="B252" s="506">
        <f>IFERROR(__xludf.DUMMYFUNCTION("""COMPUTED_VALUE"""),46195.6666666666)</f>
        <v/>
      </c>
      <c r="C252" s="141">
        <f>IFERROR(__xludf.DUMMYFUNCTION("""COMPUTED_VALUE"""),27.51)</f>
        <v/>
      </c>
      <c r="D252" s="141">
        <f>IFERROR(__xludf.DUMMYFUNCTION("""COMPUTED_VALUE"""),27.54)</f>
        <v/>
      </c>
      <c r="E252" s="141">
        <f>IFERROR(__xludf.DUMMYFUNCTION("""COMPUTED_VALUE"""),27.32)</f>
        <v/>
      </c>
      <c r="F252" s="141">
        <f>IFERROR(__xludf.DUMMYFUNCTION("""COMPUTED_VALUE"""),27.41)</f>
        <v/>
      </c>
      <c r="G252" s="143">
        <f>IFERROR(__xludf.DUMMYFUNCTION("""COMPUTED_VALUE"""),585408)</f>
        <v/>
      </c>
      <c r="H252" s="27" t="n"/>
    </row>
    <row r="253" ht="17.25" customHeight="1" s="322">
      <c r="A253" s="27" t="n"/>
      <c r="B253" s="506">
        <f>IFERROR(__xludf.DUMMYFUNCTION("""COMPUTED_VALUE"""),46196.6666666666)</f>
        <v/>
      </c>
      <c r="C253" s="141">
        <f>IFERROR(__xludf.DUMMYFUNCTION("""COMPUTED_VALUE"""),27.09)</f>
        <v/>
      </c>
      <c r="D253" s="141">
        <f>IFERROR(__xludf.DUMMYFUNCTION("""COMPUTED_VALUE"""),27.18)</f>
        <v/>
      </c>
      <c r="E253" s="141">
        <f>IFERROR(__xludf.DUMMYFUNCTION("""COMPUTED_VALUE"""),27.03)</f>
        <v/>
      </c>
      <c r="F253" s="141">
        <f>IFERROR(__xludf.DUMMYFUNCTION("""COMPUTED_VALUE"""),27.12)</f>
        <v/>
      </c>
      <c r="G253" s="143">
        <f>IFERROR(__xludf.DUMMYFUNCTION("""COMPUTED_VALUE"""),573259)</f>
        <v/>
      </c>
      <c r="H253" s="27" t="n"/>
    </row>
    <row r="254" ht="17.25" customHeight="1" s="322">
      <c r="A254" s="27" t="n"/>
      <c r="B254" s="506">
        <f>IFERROR(__xludf.DUMMYFUNCTION("""COMPUTED_VALUE"""),46197.6666666666)</f>
        <v/>
      </c>
      <c r="C254" s="141">
        <f>IFERROR(__xludf.DUMMYFUNCTION("""COMPUTED_VALUE"""),26.53)</f>
        <v/>
      </c>
      <c r="D254" s="141">
        <f>IFERROR(__xludf.DUMMYFUNCTION("""COMPUTED_VALUE"""),26.66)</f>
        <v/>
      </c>
      <c r="E254" s="141">
        <f>IFERROR(__xludf.DUMMYFUNCTION("""COMPUTED_VALUE"""),26.41)</f>
        <v/>
      </c>
      <c r="F254" s="141">
        <f>IFERROR(__xludf.DUMMYFUNCTION("""COMPUTED_VALUE"""),26.45)</f>
        <v/>
      </c>
      <c r="G254" s="143">
        <f>IFERROR(__xludf.DUMMYFUNCTION("""COMPUTED_VALUE"""),1050788)</f>
        <v/>
      </c>
      <c r="H254" s="27" t="n"/>
    </row>
    <row r="255" ht="17.25" customHeight="1" s="322">
      <c r="A255" s="27" t="n"/>
      <c r="B255" s="506">
        <f>IFERROR(__xludf.DUMMYFUNCTION("""COMPUTED_VALUE"""),46198.6666666666)</f>
        <v/>
      </c>
      <c r="C255" s="141">
        <f>IFERROR(__xludf.DUMMYFUNCTION("""COMPUTED_VALUE"""),26.55)</f>
        <v/>
      </c>
      <c r="D255" s="141">
        <f>IFERROR(__xludf.DUMMYFUNCTION("""COMPUTED_VALUE"""),27)</f>
        <v/>
      </c>
      <c r="E255" s="141">
        <f>IFERROR(__xludf.DUMMYFUNCTION("""COMPUTED_VALUE"""),26.53)</f>
        <v/>
      </c>
      <c r="F255" s="141">
        <f>IFERROR(__xludf.DUMMYFUNCTION("""COMPUTED_VALUE"""),26.93)</f>
        <v/>
      </c>
      <c r="G255" s="143">
        <f>IFERROR(__xludf.DUMMYFUNCTION("""COMPUTED_VALUE"""),529561)</f>
        <v/>
      </c>
      <c r="H255" s="27" t="n"/>
    </row>
    <row r="256" ht="17.25" customHeight="1" s="322">
      <c r="A256" s="27" t="n"/>
      <c r="B256" s="506">
        <f>IFERROR(__xludf.DUMMYFUNCTION("""COMPUTED_VALUE"""),46199.6666666666)</f>
        <v/>
      </c>
      <c r="C256" s="141">
        <f>IFERROR(__xludf.DUMMYFUNCTION("""COMPUTED_VALUE"""),26.61)</f>
        <v/>
      </c>
      <c r="D256" s="141">
        <f>IFERROR(__xludf.DUMMYFUNCTION("""COMPUTED_VALUE"""),26.64)</f>
        <v/>
      </c>
      <c r="E256" s="141">
        <f>IFERROR(__xludf.DUMMYFUNCTION("""COMPUTED_VALUE"""),26.49)</f>
        <v/>
      </c>
      <c r="F256" s="141">
        <f>IFERROR(__xludf.DUMMYFUNCTION("""COMPUTED_VALUE"""),26.57)</f>
        <v/>
      </c>
      <c r="G256" s="143">
        <f>IFERROR(__xludf.DUMMYFUNCTION("""COMPUTED_VALUE"""),522315)</f>
        <v/>
      </c>
      <c r="H256" s="27" t="n"/>
    </row>
    <row r="257" ht="17.25" customHeight="1" s="322">
      <c r="A257" s="27" t="n"/>
      <c r="B257" s="506">
        <f>IFERROR(__xludf.DUMMYFUNCTION("""COMPUTED_VALUE"""),46202.6666666666)</f>
        <v/>
      </c>
      <c r="C257" s="141">
        <f>IFERROR(__xludf.DUMMYFUNCTION("""COMPUTED_VALUE"""),26.62)</f>
        <v/>
      </c>
      <c r="D257" s="141">
        <f>IFERROR(__xludf.DUMMYFUNCTION("""COMPUTED_VALUE"""),26.65)</f>
        <v/>
      </c>
      <c r="E257" s="141">
        <f>IFERROR(__xludf.DUMMYFUNCTION("""COMPUTED_VALUE"""),26.5)</f>
        <v/>
      </c>
      <c r="F257" s="141">
        <f>IFERROR(__xludf.DUMMYFUNCTION("""COMPUTED_VALUE"""),26.56)</f>
        <v/>
      </c>
      <c r="G257" s="143">
        <f>IFERROR(__xludf.DUMMYFUNCTION("""COMPUTED_VALUE"""),728739)</f>
        <v/>
      </c>
      <c r="H257" s="27" t="n"/>
    </row>
    <row r="258" ht="17.25" customHeight="1" s="322">
      <c r="A258" s="27" t="n"/>
      <c r="B258" s="506">
        <f>IFERROR(__xludf.DUMMYFUNCTION("""COMPUTED_VALUE"""),46203.6666666666)</f>
        <v/>
      </c>
      <c r="C258" s="141">
        <f>IFERROR(__xludf.DUMMYFUNCTION("""COMPUTED_VALUE"""),26.76)</f>
        <v/>
      </c>
      <c r="D258" s="141">
        <f>IFERROR(__xludf.DUMMYFUNCTION("""COMPUTED_VALUE"""),26.79)</f>
        <v/>
      </c>
      <c r="E258" s="141">
        <f>IFERROR(__xludf.DUMMYFUNCTION("""COMPUTED_VALUE"""),26.57)</f>
        <v/>
      </c>
      <c r="F258" s="141">
        <f>IFERROR(__xludf.DUMMYFUNCTION("""COMPUTED_VALUE"""),26.66)</f>
        <v/>
      </c>
      <c r="G258" s="143">
        <f>IFERROR(__xludf.DUMMYFUNCTION("""COMPUTED_VALUE"""),1480308)</f>
        <v/>
      </c>
      <c r="H258" s="27" t="n"/>
    </row>
    <row r="259" ht="17.25" customHeight="1" s="322">
      <c r="A259" s="27" t="n"/>
      <c r="B259" s="506">
        <f>IFERROR(__xludf.DUMMYFUNCTION("""COMPUTED_VALUE"""),46204.6666666666)</f>
        <v/>
      </c>
      <c r="C259" s="141">
        <f>IFERROR(__xludf.DUMMYFUNCTION("""COMPUTED_VALUE"""),26.58)</f>
        <v/>
      </c>
      <c r="D259" s="141">
        <f>IFERROR(__xludf.DUMMYFUNCTION("""COMPUTED_VALUE"""),26.71)</f>
        <v/>
      </c>
      <c r="E259" s="141">
        <f>IFERROR(__xludf.DUMMYFUNCTION("""COMPUTED_VALUE"""),26.44)</f>
        <v/>
      </c>
      <c r="F259" s="141">
        <f>IFERROR(__xludf.DUMMYFUNCTION("""COMPUTED_VALUE"""),26.45)</f>
        <v/>
      </c>
      <c r="G259" s="143">
        <f>IFERROR(__xludf.DUMMYFUNCTION("""COMPUTED_VALUE"""),1940150)</f>
        <v/>
      </c>
      <c r="H259" s="27" t="n"/>
    </row>
    <row r="260" ht="17.25" customHeight="1" s="322">
      <c r="A260" s="27" t="n"/>
      <c r="B260" s="506">
        <f>IFERROR(__xludf.DUMMYFUNCTION("""COMPUTED_VALUE"""),46205.6666666666)</f>
        <v/>
      </c>
      <c r="C260" s="141">
        <f>IFERROR(__xludf.DUMMYFUNCTION("""COMPUTED_VALUE"""),26.47)</f>
        <v/>
      </c>
      <c r="D260" s="141">
        <f>IFERROR(__xludf.DUMMYFUNCTION("""COMPUTED_VALUE"""),26.6)</f>
        <v/>
      </c>
      <c r="E260" s="141">
        <f>IFERROR(__xludf.DUMMYFUNCTION("""COMPUTED_VALUE"""),26.43)</f>
        <v/>
      </c>
      <c r="F260" s="141">
        <f>IFERROR(__xludf.DUMMYFUNCTION("""COMPUTED_VALUE"""),26.57)</f>
        <v/>
      </c>
      <c r="G260" s="143">
        <f>IFERROR(__xludf.DUMMYFUNCTION("""COMPUTED_VALUE"""),830230)</f>
        <v/>
      </c>
      <c r="H260" s="27" t="n"/>
    </row>
    <row r="261" ht="17.25" customHeight="1" s="322">
      <c r="A261" s="27" t="n"/>
      <c r="B261" s="506">
        <f>IFERROR(__xludf.DUMMYFUNCTION("""COMPUTED_VALUE"""),46209.6666666666)</f>
        <v/>
      </c>
      <c r="C261" s="141">
        <f>IFERROR(__xludf.DUMMYFUNCTION("""COMPUTED_VALUE"""),26.75)</f>
        <v/>
      </c>
      <c r="D261" s="141">
        <f>IFERROR(__xludf.DUMMYFUNCTION("""COMPUTED_VALUE"""),27.02)</f>
        <v/>
      </c>
      <c r="E261" s="141">
        <f>IFERROR(__xludf.DUMMYFUNCTION("""COMPUTED_VALUE"""),26.75)</f>
        <v/>
      </c>
      <c r="F261" s="141">
        <f>IFERROR(__xludf.DUMMYFUNCTION("""COMPUTED_VALUE"""),27)</f>
        <v/>
      </c>
      <c r="G261" s="143">
        <f>IFERROR(__xludf.DUMMYFUNCTION("""COMPUTED_VALUE"""),775072)</f>
        <v/>
      </c>
      <c r="H261" s="27" t="n"/>
    </row>
    <row r="262" ht="17.25" customHeight="1" s="322">
      <c r="A262" s="27" t="n"/>
      <c r="B262" s="506">
        <f>IFERROR(__xludf.DUMMYFUNCTION("""COMPUTED_VALUE"""),46210.6666666666)</f>
        <v/>
      </c>
      <c r="C262" s="141">
        <f>IFERROR(__xludf.DUMMYFUNCTION("""COMPUTED_VALUE"""),27.09)</f>
        <v/>
      </c>
      <c r="D262" s="141">
        <f>IFERROR(__xludf.DUMMYFUNCTION("""COMPUTED_VALUE"""),27.39)</f>
        <v/>
      </c>
      <c r="E262" s="141">
        <f>IFERROR(__xludf.DUMMYFUNCTION("""COMPUTED_VALUE"""),27.06)</f>
        <v/>
      </c>
      <c r="F262" s="141">
        <f>IFERROR(__xludf.DUMMYFUNCTION("""COMPUTED_VALUE"""),27.35)</f>
        <v/>
      </c>
      <c r="G262" s="143">
        <f>IFERROR(__xludf.DUMMYFUNCTION("""COMPUTED_VALUE"""),780993)</f>
        <v/>
      </c>
      <c r="H262" s="27" t="n"/>
    </row>
    <row r="263" ht="17.25" customHeight="1" s="322">
      <c r="A263" s="27" t="n"/>
      <c r="B263" s="506">
        <f>IFERROR(__xludf.DUMMYFUNCTION("""COMPUTED_VALUE"""),46211.6666666666)</f>
        <v/>
      </c>
      <c r="C263" s="141">
        <f>IFERROR(__xludf.DUMMYFUNCTION("""COMPUTED_VALUE"""),27.67)</f>
        <v/>
      </c>
      <c r="D263" s="141">
        <f>IFERROR(__xludf.DUMMYFUNCTION("""COMPUTED_VALUE"""),27.96)</f>
        <v/>
      </c>
      <c r="E263" s="141">
        <f>IFERROR(__xludf.DUMMYFUNCTION("""COMPUTED_VALUE"""),27.56)</f>
        <v/>
      </c>
      <c r="F263" s="141">
        <f>IFERROR(__xludf.DUMMYFUNCTION("""COMPUTED_VALUE"""),27.8)</f>
        <v/>
      </c>
      <c r="G263" s="143">
        <f>IFERROR(__xludf.DUMMYFUNCTION("""COMPUTED_VALUE"""),1394381)</f>
        <v/>
      </c>
      <c r="H263" s="27" t="n"/>
    </row>
    <row r="264" ht="17.25" customHeight="1" s="322">
      <c r="A264" s="27" t="n"/>
      <c r="B264" s="506">
        <f>IFERROR(__xludf.DUMMYFUNCTION("""COMPUTED_VALUE"""),46212.6666666666)</f>
        <v/>
      </c>
      <c r="C264" s="141">
        <f>IFERROR(__xludf.DUMMYFUNCTION("""COMPUTED_VALUE"""),27.75)</f>
        <v/>
      </c>
      <c r="D264" s="141">
        <f>IFERROR(__xludf.DUMMYFUNCTION("""COMPUTED_VALUE"""),27.76)</f>
        <v/>
      </c>
      <c r="E264" s="141">
        <f>IFERROR(__xludf.DUMMYFUNCTION("""COMPUTED_VALUE"""),27.51)</f>
        <v/>
      </c>
      <c r="F264" s="141">
        <f>IFERROR(__xludf.DUMMYFUNCTION("""COMPUTED_VALUE"""),27.58)</f>
        <v/>
      </c>
      <c r="G264" s="143">
        <f>IFERROR(__xludf.DUMMYFUNCTION("""COMPUTED_VALUE"""),448814)</f>
        <v/>
      </c>
      <c r="H264" s="27" t="n"/>
    </row>
    <row r="265" ht="17.25" customHeight="1" s="322">
      <c r="A265" s="27" t="n"/>
      <c r="B265" s="506">
        <f>IFERROR(__xludf.DUMMYFUNCTION("""COMPUTED_VALUE"""),46213.6666666666)</f>
        <v/>
      </c>
      <c r="C265" s="141">
        <f>IFERROR(__xludf.DUMMYFUNCTION("""COMPUTED_VALUE"""),27.5)</f>
        <v/>
      </c>
      <c r="D265" s="141">
        <f>IFERROR(__xludf.DUMMYFUNCTION("""COMPUTED_VALUE"""),27.67)</f>
        <v/>
      </c>
      <c r="E265" s="141">
        <f>IFERROR(__xludf.DUMMYFUNCTION("""COMPUTED_VALUE"""),27.42)</f>
        <v/>
      </c>
      <c r="F265" s="141">
        <f>IFERROR(__xludf.DUMMYFUNCTION("""COMPUTED_VALUE"""),27.52)</f>
        <v/>
      </c>
      <c r="G265" s="143">
        <f>IFERROR(__xludf.DUMMYFUNCTION("""COMPUTED_VALUE"""),509672)</f>
        <v/>
      </c>
      <c r="H265" s="27" t="n"/>
    </row>
    <row r="266" ht="17.25" customHeight="1" s="322">
      <c r="A266" s="27" t="n"/>
      <c r="B266" s="506">
        <f>IFERROR(__xludf.DUMMYFUNCTION("""COMPUTED_VALUE"""),46216.6666666666)</f>
        <v/>
      </c>
      <c r="C266" s="141">
        <f>IFERROR(__xludf.DUMMYFUNCTION("""COMPUTED_VALUE"""),27.85)</f>
        <v/>
      </c>
      <c r="D266" s="141">
        <f>IFERROR(__xludf.DUMMYFUNCTION("""COMPUTED_VALUE"""),28.39)</f>
        <v/>
      </c>
      <c r="E266" s="141">
        <f>IFERROR(__xludf.DUMMYFUNCTION("""COMPUTED_VALUE"""),27.79)</f>
        <v/>
      </c>
      <c r="F266" s="141">
        <f>IFERROR(__xludf.DUMMYFUNCTION("""COMPUTED_VALUE"""),28.33)</f>
        <v/>
      </c>
      <c r="G266" s="143">
        <f>IFERROR(__xludf.DUMMYFUNCTION("""COMPUTED_VALUE"""),770666)</f>
        <v/>
      </c>
      <c r="H266" s="27" t="n"/>
    </row>
    <row r="267" ht="17.25" customHeight="1" s="322">
      <c r="A267" s="27" t="n"/>
      <c r="B267" s="506">
        <f>IFERROR(__xludf.DUMMYFUNCTION("""COMPUTED_VALUE"""),46217.6666666666)</f>
        <v/>
      </c>
      <c r="C267" s="141">
        <f>IFERROR(__xludf.DUMMYFUNCTION("""COMPUTED_VALUE"""),28.66)</f>
        <v/>
      </c>
      <c r="D267" s="141">
        <f>IFERROR(__xludf.DUMMYFUNCTION("""COMPUTED_VALUE"""),28.72)</f>
        <v/>
      </c>
      <c r="E267" s="141">
        <f>IFERROR(__xludf.DUMMYFUNCTION("""COMPUTED_VALUE"""),28.4)</f>
        <v/>
      </c>
      <c r="F267" s="141">
        <f>IFERROR(__xludf.DUMMYFUNCTION("""COMPUTED_VALUE"""),28.63)</f>
        <v/>
      </c>
      <c r="G267" s="143">
        <f>IFERROR(__xludf.DUMMYFUNCTION("""COMPUTED_VALUE"""),868084)</f>
        <v/>
      </c>
      <c r="H267" s="27" t="n"/>
    </row>
    <row r="268" ht="17.25" customHeight="1" s="322">
      <c r="A268" s="27" t="n"/>
      <c r="B268" s="506">
        <f>IFERROR(__xludf.DUMMYFUNCTION("""COMPUTED_VALUE"""),46218.6666666666)</f>
        <v/>
      </c>
      <c r="C268" s="141">
        <f>IFERROR(__xludf.DUMMYFUNCTION("""COMPUTED_VALUE"""),28.75)</f>
        <v/>
      </c>
      <c r="D268" s="141">
        <f>IFERROR(__xludf.DUMMYFUNCTION("""COMPUTED_VALUE"""),28.82)</f>
        <v/>
      </c>
      <c r="E268" s="141">
        <f>IFERROR(__xludf.DUMMYFUNCTION("""COMPUTED_VALUE"""),28.47)</f>
        <v/>
      </c>
      <c r="F268" s="141">
        <f>IFERROR(__xludf.DUMMYFUNCTION("""COMPUTED_VALUE"""),28.79)</f>
        <v/>
      </c>
      <c r="G268" s="143">
        <f>IFERROR(__xludf.DUMMYFUNCTION("""COMPUTED_VALUE"""),609489)</f>
        <v/>
      </c>
      <c r="H268" s="27" t="n"/>
    </row>
    <row r="269" ht="17.25" customHeight="1" s="322">
      <c r="A269" s="27" t="n"/>
      <c r="B269" s="506">
        <f>IFERROR(__xludf.DUMMYFUNCTION("""COMPUTED_VALUE"""),46219.6666666666)</f>
        <v/>
      </c>
      <c r="C269" s="141">
        <f>IFERROR(__xludf.DUMMYFUNCTION("""COMPUTED_VALUE"""),28.72)</f>
        <v/>
      </c>
      <c r="D269" s="141">
        <f>IFERROR(__xludf.DUMMYFUNCTION("""COMPUTED_VALUE"""),28.73)</f>
        <v/>
      </c>
      <c r="E269" s="141">
        <f>IFERROR(__xludf.DUMMYFUNCTION("""COMPUTED_VALUE"""),28.42)</f>
        <v/>
      </c>
      <c r="F269" s="141">
        <f>IFERROR(__xludf.DUMMYFUNCTION("""COMPUTED_VALUE"""),28.46)</f>
        <v/>
      </c>
      <c r="G269" s="143">
        <f>IFERROR(__xludf.DUMMYFUNCTION("""COMPUTED_VALUE"""),521652)</f>
        <v/>
      </c>
      <c r="H269" s="27" t="n"/>
    </row>
    <row r="270" ht="17.25" customHeight="1" s="322">
      <c r="A270" s="27" t="n"/>
      <c r="B270" s="506">
        <f>IFERROR(__xludf.DUMMYFUNCTION("""COMPUTED_VALUE"""),46220.6666666666)</f>
        <v/>
      </c>
      <c r="C270" s="141">
        <f>IFERROR(__xludf.DUMMYFUNCTION("""COMPUTED_VALUE"""),28.74)</f>
        <v/>
      </c>
      <c r="D270" s="141">
        <f>IFERROR(__xludf.DUMMYFUNCTION("""COMPUTED_VALUE"""),29.02)</f>
        <v/>
      </c>
      <c r="E270" s="141">
        <f>IFERROR(__xludf.DUMMYFUNCTION("""COMPUTED_VALUE"""),28.72)</f>
        <v/>
      </c>
      <c r="F270" s="141">
        <f>IFERROR(__xludf.DUMMYFUNCTION("""COMPUTED_VALUE"""),28.98)</f>
        <v/>
      </c>
      <c r="G270" s="143">
        <f>IFERROR(__xludf.DUMMYFUNCTION("""COMPUTED_VALUE"""),4318854)</f>
        <v/>
      </c>
      <c r="H270" s="27" t="n"/>
    </row>
    <row r="271" ht="17.25" customHeight="1" s="322">
      <c r="A271" s="27" t="n"/>
      <c r="B271" s="506">
        <f>IFERROR(__xludf.DUMMYFUNCTION("""COMPUTED_VALUE"""),46223.6666666666)</f>
        <v/>
      </c>
      <c r="C271" s="141">
        <f>IFERROR(__xludf.DUMMYFUNCTION("""COMPUTED_VALUE"""),28.99)</f>
        <v/>
      </c>
      <c r="D271" s="141">
        <f>IFERROR(__xludf.DUMMYFUNCTION("""COMPUTED_VALUE"""),29.22)</f>
        <v/>
      </c>
      <c r="E271" s="141">
        <f>IFERROR(__xludf.DUMMYFUNCTION("""COMPUTED_VALUE"""),28.93)</f>
        <v/>
      </c>
      <c r="F271" s="141">
        <f>IFERROR(__xludf.DUMMYFUNCTION("""COMPUTED_VALUE"""),29.14)</f>
        <v/>
      </c>
      <c r="G271" s="143">
        <f>IFERROR(__xludf.DUMMYFUNCTION("""COMPUTED_VALUE"""),808960)</f>
        <v/>
      </c>
      <c r="H271" s="27" t="n"/>
    </row>
    <row r="272" ht="17.25" customHeight="1" s="322">
      <c r="A272" s="27" t="n"/>
      <c r="B272" s="506">
        <f>IFERROR(__xludf.DUMMYFUNCTION("""COMPUTED_VALUE"""),46224.6666666666)</f>
        <v/>
      </c>
      <c r="C272" s="141">
        <f>IFERROR(__xludf.DUMMYFUNCTION("""COMPUTED_VALUE"""),29.45)</f>
        <v/>
      </c>
      <c r="D272" s="141">
        <f>IFERROR(__xludf.DUMMYFUNCTION("""COMPUTED_VALUE"""),29.6)</f>
        <v/>
      </c>
      <c r="E272" s="141">
        <f>IFERROR(__xludf.DUMMYFUNCTION("""COMPUTED_VALUE"""),29.43)</f>
        <v/>
      </c>
      <c r="F272" s="141">
        <f>IFERROR(__xludf.DUMMYFUNCTION("""COMPUTED_VALUE"""),29.57)</f>
        <v/>
      </c>
      <c r="G272" s="143">
        <f>IFERROR(__xludf.DUMMYFUNCTION("""COMPUTED_VALUE"""),924818)</f>
        <v/>
      </c>
      <c r="H272" s="27" t="n"/>
    </row>
    <row r="273" ht="17.25" customHeight="1" s="322">
      <c r="A273" s="27" t="n"/>
      <c r="B273" s="506">
        <f>IFERROR(__xludf.DUMMYFUNCTION("""COMPUTED_VALUE"""),46225.6666666666)</f>
        <v/>
      </c>
      <c r="C273" s="141">
        <f>IFERROR(__xludf.DUMMYFUNCTION("""COMPUTED_VALUE"""),29.86)</f>
        <v/>
      </c>
      <c r="D273" s="141">
        <f>IFERROR(__xludf.DUMMYFUNCTION("""COMPUTED_VALUE"""),29.96)</f>
        <v/>
      </c>
      <c r="E273" s="141">
        <f>IFERROR(__xludf.DUMMYFUNCTION("""COMPUTED_VALUE"""),29.79)</f>
        <v/>
      </c>
      <c r="F273" s="141">
        <f>IFERROR(__xludf.DUMMYFUNCTION("""COMPUTED_VALUE"""),29.86)</f>
        <v/>
      </c>
      <c r="G273" s="143">
        <f>IFERROR(__xludf.DUMMYFUNCTION("""COMPUTED_VALUE"""),1198445)</f>
        <v/>
      </c>
      <c r="H273" s="27" t="n"/>
    </row>
    <row r="274" ht="17.25" customHeight="1" s="322">
      <c r="A274" s="27" t="n"/>
      <c r="B274" s="506">
        <f>IFERROR(__xludf.DUMMYFUNCTION("""COMPUTED_VALUE"""),46226.6666666666)</f>
        <v/>
      </c>
      <c r="C274" s="141">
        <f>IFERROR(__xludf.DUMMYFUNCTION("""COMPUTED_VALUE"""),30.28)</f>
        <v/>
      </c>
      <c r="D274" s="141">
        <f>IFERROR(__xludf.DUMMYFUNCTION("""COMPUTED_VALUE"""),30.57)</f>
        <v/>
      </c>
      <c r="E274" s="141">
        <f>IFERROR(__xludf.DUMMYFUNCTION("""COMPUTED_VALUE"""),30.28)</f>
        <v/>
      </c>
      <c r="F274" s="141">
        <f>IFERROR(__xludf.DUMMYFUNCTION("""COMPUTED_VALUE"""),30.31)</f>
        <v/>
      </c>
      <c r="G274" s="143">
        <f>IFERROR(__xludf.DUMMYFUNCTION("""COMPUTED_VALUE"""),1267979)</f>
        <v/>
      </c>
      <c r="H274" s="27" t="n"/>
    </row>
    <row r="275" ht="17.25" customHeight="1" s="322">
      <c r="A275" s="27" t="n"/>
      <c r="B275" s="506">
        <f>IFERROR(__xludf.DUMMYFUNCTION("""COMPUTED_VALUE"""),46227.6666666666)</f>
        <v/>
      </c>
      <c r="C275" s="141">
        <f>IFERROR(__xludf.DUMMYFUNCTION("""COMPUTED_VALUE"""),30.08)</f>
        <v/>
      </c>
      <c r="D275" s="141">
        <f>IFERROR(__xludf.DUMMYFUNCTION("""COMPUTED_VALUE"""),30.15)</f>
        <v/>
      </c>
      <c r="E275" s="141">
        <f>IFERROR(__xludf.DUMMYFUNCTION("""COMPUTED_VALUE"""),29.87)</f>
        <v/>
      </c>
      <c r="F275" s="141">
        <f>IFERROR(__xludf.DUMMYFUNCTION("""COMPUTED_VALUE"""),30.1)</f>
        <v/>
      </c>
      <c r="G275" s="143">
        <f>IFERROR(__xludf.DUMMYFUNCTION("""COMPUTED_VALUE"""),817489)</f>
        <v/>
      </c>
      <c r="H275" s="27" t="n"/>
    </row>
    <row r="276" ht="17.25" customHeight="1" s="322">
      <c r="A276" s="27" t="n"/>
      <c r="B276" s="506">
        <f>IFERROR(__xludf.DUMMYFUNCTION("""COMPUTED_VALUE"""),46230.6666666666)</f>
        <v/>
      </c>
      <c r="C276" s="141">
        <f>IFERROR(__xludf.DUMMYFUNCTION("""COMPUTED_VALUE"""),29.43)</f>
        <v/>
      </c>
      <c r="D276" s="141">
        <f>IFERROR(__xludf.DUMMYFUNCTION("""COMPUTED_VALUE"""),29.43)</f>
        <v/>
      </c>
      <c r="E276" s="141">
        <f>IFERROR(__xludf.DUMMYFUNCTION("""COMPUTED_VALUE"""),29.01)</f>
        <v/>
      </c>
      <c r="F276" s="141">
        <f>IFERROR(__xludf.DUMMYFUNCTION("""COMPUTED_VALUE"""),29.01)</f>
        <v/>
      </c>
      <c r="G276" s="143">
        <f>IFERROR(__xludf.DUMMYFUNCTION("""COMPUTED_VALUE"""),820904)</f>
        <v/>
      </c>
      <c r="H276" s="27" t="n"/>
    </row>
    <row r="277" ht="17.25" customHeight="1" s="322">
      <c r="A277" s="27" t="n"/>
      <c r="B277" s="506">
        <f>IFERROR(__xludf.DUMMYFUNCTION("""COMPUTED_VALUE"""),46231.6666666666)</f>
        <v/>
      </c>
      <c r="C277" s="141">
        <f>IFERROR(__xludf.DUMMYFUNCTION("""COMPUTED_VALUE"""),28.88)</f>
        <v/>
      </c>
      <c r="D277" s="141">
        <f>IFERROR(__xludf.DUMMYFUNCTION("""COMPUTED_VALUE"""),28.92)</f>
        <v/>
      </c>
      <c r="E277" s="141">
        <f>IFERROR(__xludf.DUMMYFUNCTION("""COMPUTED_VALUE"""),28.46)</f>
        <v/>
      </c>
      <c r="F277" s="141">
        <f>IFERROR(__xludf.DUMMYFUNCTION("""COMPUTED_VALUE"""),28.6)</f>
        <v/>
      </c>
      <c r="G277" s="143">
        <f>IFERROR(__xludf.DUMMYFUNCTION("""COMPUTED_VALUE"""),533166)</f>
        <v/>
      </c>
      <c r="H277" s="27" t="n"/>
    </row>
    <row r="278" ht="17.25" customHeight="1" s="322">
      <c r="A278" s="27" t="n"/>
      <c r="B278" s="506">
        <f>IFERROR(__xludf.DUMMYFUNCTION("""COMPUTED_VALUE"""),46232.6666666666)</f>
        <v/>
      </c>
      <c r="C278" s="141">
        <f>IFERROR(__xludf.DUMMYFUNCTION("""COMPUTED_VALUE"""),29.25)</f>
        <v/>
      </c>
      <c r="D278" s="141">
        <f>IFERROR(__xludf.DUMMYFUNCTION("""COMPUTED_VALUE"""),29.5)</f>
        <v/>
      </c>
      <c r="E278" s="141">
        <f>IFERROR(__xludf.DUMMYFUNCTION("""COMPUTED_VALUE"""),29.22)</f>
        <v/>
      </c>
      <c r="F278" s="141">
        <f>IFERROR(__xludf.DUMMYFUNCTION("""COMPUTED_VALUE"""),29.42)</f>
        <v/>
      </c>
      <c r="G278" s="143">
        <f>IFERROR(__xludf.DUMMYFUNCTION("""COMPUTED_VALUE"""),1143572)</f>
        <v/>
      </c>
      <c r="H278" s="27" t="n"/>
    </row>
    <row r="279" ht="17.25" customHeight="1" s="322">
      <c r="A279" s="27" t="n"/>
      <c r="B279" s="506" t="n"/>
      <c r="C279" s="141" t="n"/>
      <c r="D279" s="141" t="n"/>
      <c r="E279" s="141" t="n"/>
      <c r="F279" s="141" t="n"/>
      <c r="G279" s="143" t="n"/>
      <c r="H279" s="27" t="n"/>
    </row>
    <row r="280" ht="17.25" customHeight="1" s="322">
      <c r="A280" s="27" t="n"/>
      <c r="B280" s="506" t="n"/>
      <c r="C280" s="141" t="n"/>
      <c r="D280" s="141" t="n"/>
      <c r="E280" s="141" t="n"/>
      <c r="F280" s="141" t="n"/>
      <c r="G280" s="143" t="n"/>
      <c r="H280" s="27" t="n"/>
    </row>
    <row r="281" ht="17.25" customHeight="1" s="322">
      <c r="A281" s="27" t="n"/>
      <c r="B281" s="506" t="n"/>
      <c r="C281" s="141" t="n"/>
      <c r="D281" s="141" t="n"/>
      <c r="E281" s="141" t="n"/>
      <c r="F281" s="141" t="n"/>
      <c r="G281" s="143" t="n"/>
      <c r="H281" s="27" t="n"/>
    </row>
    <row r="282" ht="17.25" customHeight="1" s="322">
      <c r="A282" s="27" t="n"/>
      <c r="B282" s="506" t="n"/>
      <c r="C282" s="141" t="n"/>
      <c r="D282" s="141" t="n"/>
      <c r="E282" s="141" t="n"/>
      <c r="F282" s="141" t="n"/>
      <c r="G282" s="143" t="n"/>
      <c r="H282" s="27" t="n"/>
    </row>
    <row r="283" ht="17.25" customHeight="1" s="322">
      <c r="A283" s="27" t="n"/>
      <c r="B283" s="506" t="n"/>
      <c r="C283" s="141" t="n"/>
      <c r="D283" s="141" t="n"/>
      <c r="E283" s="141" t="n"/>
      <c r="F283" s="141" t="n"/>
      <c r="G283" s="143" t="n"/>
      <c r="H283" s="27" t="n"/>
    </row>
    <row r="284" ht="17.25" customHeight="1" s="322">
      <c r="A284" s="27" t="n"/>
      <c r="B284" s="506" t="n"/>
      <c r="C284" s="141" t="n"/>
      <c r="D284" s="141" t="n"/>
      <c r="E284" s="141" t="n"/>
      <c r="F284" s="141" t="n"/>
      <c r="G284" s="143" t="n"/>
      <c r="H284" s="27" t="n"/>
    </row>
    <row r="285" ht="17.25" customHeight="1" s="322">
      <c r="A285" s="27" t="n"/>
      <c r="B285" s="506" t="n"/>
      <c r="C285" s="141" t="n"/>
      <c r="D285" s="141" t="n"/>
      <c r="E285" s="141" t="n"/>
      <c r="F285" s="141" t="n"/>
      <c r="G285" s="143" t="n"/>
      <c r="H285" s="27" t="n"/>
    </row>
    <row r="286" ht="17.25" customHeight="1" s="322">
      <c r="A286" s="27" t="n"/>
      <c r="B286" s="506" t="n"/>
      <c r="C286" s="141" t="n"/>
      <c r="D286" s="141" t="n"/>
      <c r="E286" s="141" t="n"/>
      <c r="F286" s="141" t="n"/>
      <c r="G286" s="143" t="n"/>
      <c r="H286" s="27" t="n"/>
    </row>
    <row r="287" ht="17.25" customHeight="1" s="322">
      <c r="A287" s="27" t="n"/>
      <c r="B287" s="506" t="n"/>
      <c r="C287" s="141" t="n"/>
      <c r="D287" s="141" t="n"/>
      <c r="E287" s="141" t="n"/>
      <c r="F287" s="141" t="n"/>
      <c r="G287" s="143" t="n"/>
      <c r="H287" s="27" t="n"/>
    </row>
    <row r="288" ht="17.25" customHeight="1" s="322">
      <c r="A288" s="27" t="n"/>
      <c r="B288" s="506" t="n"/>
      <c r="C288" s="141" t="n"/>
      <c r="D288" s="141" t="n"/>
      <c r="E288" s="141" t="n"/>
      <c r="F288" s="141" t="n"/>
      <c r="G288" s="143" t="n"/>
      <c r="H288" s="27" t="n"/>
    </row>
    <row r="289" ht="17.25" customHeight="1" s="322">
      <c r="A289" s="27" t="n"/>
      <c r="B289" s="506" t="n"/>
      <c r="C289" s="141" t="n"/>
      <c r="D289" s="141" t="n"/>
      <c r="E289" s="141" t="n"/>
      <c r="F289" s="141" t="n"/>
      <c r="G289" s="143" t="n"/>
      <c r="H289" s="27" t="n"/>
    </row>
    <row r="290" ht="17.25" customHeight="1" s="322">
      <c r="A290" s="27" t="n"/>
      <c r="B290" s="506" t="n"/>
      <c r="C290" s="141" t="n"/>
      <c r="D290" s="141" t="n"/>
      <c r="E290" s="141" t="n"/>
      <c r="F290" s="141" t="n"/>
      <c r="G290" s="143" t="n"/>
      <c r="H290" s="27" t="n"/>
    </row>
    <row r="291" ht="17.25" customHeight="1" s="322">
      <c r="A291" s="27" t="n"/>
      <c r="B291" s="506" t="n"/>
      <c r="C291" s="141" t="n"/>
      <c r="D291" s="141" t="n"/>
      <c r="E291" s="141" t="n"/>
      <c r="F291" s="141" t="n"/>
      <c r="G291" s="143" t="n"/>
      <c r="H291" s="27" t="n"/>
    </row>
    <row r="292" ht="17.25" customHeight="1" s="322">
      <c r="A292" s="27" t="n"/>
      <c r="B292" s="506" t="n"/>
      <c r="C292" s="141" t="n"/>
      <c r="D292" s="141" t="n"/>
      <c r="E292" s="141" t="n"/>
      <c r="F292" s="141" t="n"/>
      <c r="G292" s="143" t="n"/>
      <c r="H292" s="27" t="n"/>
    </row>
    <row r="293" ht="17.25" customHeight="1" s="322">
      <c r="A293" s="27" t="n"/>
      <c r="B293" s="506" t="n"/>
      <c r="C293" s="141" t="n"/>
      <c r="D293" s="141" t="n"/>
      <c r="E293" s="141" t="n"/>
      <c r="F293" s="141" t="n"/>
      <c r="G293" s="143" t="n"/>
      <c r="H293" s="27" t="n"/>
    </row>
    <row r="294" ht="17.25" customHeight="1" s="322">
      <c r="A294" s="27" t="n"/>
      <c r="B294" s="506" t="n"/>
      <c r="C294" s="141" t="n"/>
      <c r="D294" s="141" t="n"/>
      <c r="E294" s="141" t="n"/>
      <c r="F294" s="141" t="n"/>
      <c r="G294" s="143" t="n"/>
      <c r="H294" s="27" t="n"/>
    </row>
    <row r="295" ht="17.25" customHeight="1" s="322">
      <c r="A295" s="27" t="n"/>
      <c r="B295" s="506" t="n"/>
      <c r="C295" s="141" t="n"/>
      <c r="D295" s="141" t="n"/>
      <c r="E295" s="141" t="n"/>
      <c r="F295" s="141" t="n"/>
      <c r="G295" s="143" t="n"/>
      <c r="H295" s="27" t="n"/>
    </row>
    <row r="296" ht="17.25" customHeight="1" s="322">
      <c r="A296" s="27" t="n"/>
      <c r="B296" s="506" t="n"/>
      <c r="C296" s="141" t="n"/>
      <c r="D296" s="141" t="n"/>
      <c r="E296" s="141" t="n"/>
      <c r="F296" s="141" t="n"/>
      <c r="G296" s="143" t="n"/>
      <c r="H296" s="27" t="n"/>
    </row>
    <row r="297" ht="17.25" customHeight="1" s="322">
      <c r="A297" s="27" t="n"/>
      <c r="B297" s="506" t="n"/>
      <c r="C297" s="141" t="n"/>
      <c r="D297" s="141" t="n"/>
      <c r="E297" s="141" t="n"/>
      <c r="F297" s="141" t="n"/>
      <c r="G297" s="143" t="n"/>
      <c r="H297" s="27" t="n"/>
    </row>
    <row r="298" ht="17.25" customHeight="1" s="322">
      <c r="A298" s="27" t="n"/>
      <c r="B298" s="506" t="n"/>
      <c r="C298" s="141" t="n"/>
      <c r="D298" s="141" t="n"/>
      <c r="E298" s="141" t="n"/>
      <c r="F298" s="141" t="n"/>
      <c r="G298" s="143" t="n"/>
      <c r="H298" s="27" t="n"/>
    </row>
    <row r="299" ht="17.25" customHeight="1" s="322">
      <c r="A299" s="27" t="n"/>
      <c r="B299" s="506" t="n"/>
      <c r="C299" s="141" t="n"/>
      <c r="D299" s="141" t="n"/>
      <c r="E299" s="141" t="n"/>
      <c r="F299" s="141" t="n"/>
      <c r="G299" s="143" t="n"/>
      <c r="H299" s="27" t="n"/>
    </row>
    <row r="300" ht="17.25" customHeight="1" s="322">
      <c r="A300" s="27" t="n"/>
      <c r="B300" s="506" t="n"/>
      <c r="C300" s="141" t="n"/>
      <c r="D300" s="141" t="n"/>
      <c r="E300" s="141" t="n"/>
      <c r="F300" s="141" t="n"/>
      <c r="G300" s="143" t="n"/>
      <c r="H300" s="27" t="n"/>
    </row>
    <row r="301" ht="17.25" customHeight="1" s="322">
      <c r="A301" s="27" t="n"/>
      <c r="B301" s="506" t="n"/>
      <c r="C301" s="141" t="n"/>
      <c r="D301" s="141" t="n"/>
      <c r="E301" s="141" t="n"/>
      <c r="F301" s="141" t="n"/>
      <c r="G301" s="143" t="n"/>
      <c r="H301" s="27" t="n"/>
    </row>
    <row r="302" ht="17.25" customHeight="1" s="322">
      <c r="A302" s="27" t="n"/>
      <c r="B302" s="506" t="n"/>
      <c r="C302" s="141" t="n"/>
      <c r="D302" s="141" t="n"/>
      <c r="E302" s="141" t="n"/>
      <c r="F302" s="141" t="n"/>
      <c r="G302" s="143" t="n"/>
      <c r="H302" s="27" t="n"/>
    </row>
    <row r="303" ht="17.25" customHeight="1" s="322">
      <c r="A303" s="27" t="n"/>
      <c r="B303" s="506" t="n"/>
      <c r="C303" s="141" t="n"/>
      <c r="D303" s="141" t="n"/>
      <c r="E303" s="141" t="n"/>
      <c r="F303" s="141" t="n"/>
      <c r="G303" s="143" t="n"/>
      <c r="H303" s="27" t="n"/>
    </row>
    <row r="304" ht="17.25" customHeight="1" s="322">
      <c r="A304" s="27" t="n"/>
      <c r="B304" s="506" t="n"/>
      <c r="C304" s="141" t="n"/>
      <c r="D304" s="141" t="n"/>
      <c r="E304" s="141" t="n"/>
      <c r="F304" s="141" t="n"/>
      <c r="G304" s="143" t="n"/>
      <c r="H304" s="27" t="n"/>
    </row>
    <row r="305" ht="17.25" customHeight="1" s="322">
      <c r="A305" s="27" t="n"/>
      <c r="B305" s="506" t="n"/>
      <c r="C305" s="141" t="n"/>
      <c r="D305" s="141" t="n"/>
      <c r="E305" s="141" t="n"/>
      <c r="F305" s="141" t="n"/>
      <c r="G305" s="143" t="n"/>
      <c r="H305" s="27" t="n"/>
    </row>
    <row r="306" ht="17.25" customHeight="1" s="322">
      <c r="A306" s="27" t="n"/>
      <c r="B306" s="506" t="n"/>
      <c r="C306" s="141" t="n"/>
      <c r="D306" s="141" t="n"/>
      <c r="E306" s="141" t="n"/>
      <c r="F306" s="141" t="n"/>
      <c r="G306" s="143" t="n"/>
      <c r="H306" s="27" t="n"/>
    </row>
    <row r="307" ht="17.25" customHeight="1" s="322">
      <c r="A307" s="27" t="n"/>
      <c r="B307" s="506" t="n"/>
      <c r="C307" s="141" t="n"/>
      <c r="D307" s="141" t="n"/>
      <c r="E307" s="141" t="n"/>
      <c r="F307" s="141" t="n"/>
      <c r="G307" s="143" t="n"/>
      <c r="H307" s="27" t="n"/>
    </row>
    <row r="308" ht="17.25" customHeight="1" s="322">
      <c r="A308" s="27" t="n"/>
      <c r="B308" s="506" t="n"/>
      <c r="C308" s="141" t="n"/>
      <c r="D308" s="141" t="n"/>
      <c r="E308" s="141" t="n"/>
      <c r="F308" s="141" t="n"/>
      <c r="G308" s="143" t="n"/>
      <c r="H308" s="27" t="n"/>
    </row>
    <row r="309" ht="17.25" customHeight="1" s="322">
      <c r="A309" s="27" t="n"/>
      <c r="B309" s="506" t="n"/>
      <c r="C309" s="141" t="n"/>
      <c r="D309" s="141" t="n"/>
      <c r="E309" s="141" t="n"/>
      <c r="F309" s="141" t="n"/>
      <c r="G309" s="143" t="n"/>
      <c r="H309" s="27" t="n"/>
    </row>
    <row r="310" ht="17.25" customHeight="1" s="322">
      <c r="A310" s="27" t="n"/>
      <c r="B310" s="506" t="n"/>
      <c r="C310" s="141" t="n"/>
      <c r="D310" s="141" t="n"/>
      <c r="E310" s="141" t="n"/>
      <c r="F310" s="141" t="n"/>
      <c r="G310" s="143" t="n"/>
      <c r="H310" s="27" t="n"/>
    </row>
    <row r="311" ht="17.25" customHeight="1" s="322">
      <c r="A311" s="27" t="n"/>
      <c r="B311" s="506" t="n"/>
      <c r="C311" s="141" t="n"/>
      <c r="D311" s="141" t="n"/>
      <c r="E311" s="141" t="n"/>
      <c r="F311" s="141" t="n"/>
      <c r="G311" s="143" t="n"/>
      <c r="H311" s="27" t="n"/>
    </row>
    <row r="312" ht="17.25" customHeight="1" s="322">
      <c r="A312" s="27" t="n"/>
      <c r="B312" s="506" t="n"/>
      <c r="C312" s="141" t="n"/>
      <c r="D312" s="141" t="n"/>
      <c r="E312" s="141" t="n"/>
      <c r="F312" s="141" t="n"/>
      <c r="G312" s="143" t="n"/>
      <c r="H312" s="27" t="n"/>
    </row>
    <row r="313" ht="17.25" customHeight="1" s="322">
      <c r="A313" s="27" t="n"/>
      <c r="B313" s="506" t="n"/>
      <c r="C313" s="141" t="n"/>
      <c r="D313" s="141" t="n"/>
      <c r="E313" s="141" t="n"/>
      <c r="F313" s="141" t="n"/>
      <c r="G313" s="143" t="n"/>
      <c r="H313" s="27" t="n"/>
    </row>
    <row r="314" ht="17.25" customHeight="1" s="322">
      <c r="A314" s="27" t="n"/>
      <c r="B314" s="506" t="n"/>
      <c r="C314" s="141" t="n"/>
      <c r="D314" s="141" t="n"/>
      <c r="E314" s="141" t="n"/>
      <c r="F314" s="141" t="n"/>
      <c r="G314" s="143" t="n"/>
      <c r="H314" s="27" t="n"/>
    </row>
    <row r="315" ht="17.25" customHeight="1" s="322">
      <c r="A315" s="27" t="n"/>
      <c r="B315" s="506" t="n"/>
      <c r="C315" s="141" t="n"/>
      <c r="D315" s="141" t="n"/>
      <c r="E315" s="141" t="n"/>
      <c r="F315" s="141" t="n"/>
      <c r="G315" s="143" t="n"/>
      <c r="H315" s="27" t="n"/>
    </row>
    <row r="316" ht="17.25" customHeight="1" s="322">
      <c r="A316" s="27" t="n"/>
      <c r="B316" s="506" t="n"/>
      <c r="C316" s="141" t="n"/>
      <c r="D316" s="141" t="n"/>
      <c r="E316" s="141" t="n"/>
      <c r="F316" s="141" t="n"/>
      <c r="G316" s="143" t="n"/>
      <c r="H316" s="27" t="n"/>
    </row>
    <row r="317" ht="17.25" customHeight="1" s="322">
      <c r="A317" s="27" t="n"/>
      <c r="B317" s="506" t="n"/>
      <c r="C317" s="141" t="n"/>
      <c r="D317" s="141" t="n"/>
      <c r="E317" s="141" t="n"/>
      <c r="F317" s="141" t="n"/>
      <c r="G317" s="143" t="n"/>
      <c r="H317" s="27" t="n"/>
    </row>
    <row r="318" ht="17.25" customHeight="1" s="322">
      <c r="A318" s="27" t="n"/>
      <c r="B318" s="506" t="n"/>
      <c r="C318" s="141" t="n"/>
      <c r="D318" s="141" t="n"/>
      <c r="E318" s="141" t="n"/>
      <c r="F318" s="141" t="n"/>
      <c r="G318" s="143" t="n"/>
      <c r="H318" s="27" t="n"/>
    </row>
    <row r="319" ht="17.25" customHeight="1" s="322">
      <c r="A319" s="27" t="n"/>
      <c r="B319" s="506" t="n"/>
      <c r="C319" s="141" t="n"/>
      <c r="D319" s="141" t="n"/>
      <c r="E319" s="141" t="n"/>
      <c r="F319" s="141" t="n"/>
      <c r="G319" s="143" t="n"/>
      <c r="H319" s="27" t="n"/>
    </row>
    <row r="320" ht="17.25" customHeight="1" s="322">
      <c r="A320" s="27" t="n"/>
      <c r="B320" s="506" t="n"/>
      <c r="C320" s="141" t="n"/>
      <c r="D320" s="141" t="n"/>
      <c r="E320" s="141" t="n"/>
      <c r="F320" s="141" t="n"/>
      <c r="G320" s="143" t="n"/>
      <c r="H320" s="27" t="n"/>
    </row>
    <row r="321" ht="17.25" customHeight="1" s="322">
      <c r="A321" s="27" t="n"/>
      <c r="B321" s="506" t="n"/>
      <c r="C321" s="141" t="n"/>
      <c r="D321" s="141" t="n"/>
      <c r="E321" s="141" t="n"/>
      <c r="F321" s="141" t="n"/>
      <c r="G321" s="143" t="n"/>
      <c r="H321" s="27" t="n"/>
    </row>
    <row r="322" ht="17.25" customHeight="1" s="322">
      <c r="A322" s="27" t="n"/>
      <c r="B322" s="506" t="n"/>
      <c r="C322" s="141" t="n"/>
      <c r="D322" s="141" t="n"/>
      <c r="E322" s="141" t="n"/>
      <c r="F322" s="141" t="n"/>
      <c r="G322" s="143" t="n"/>
      <c r="H322" s="27" t="n"/>
    </row>
    <row r="323" ht="17.25" customHeight="1" s="322">
      <c r="A323" s="27" t="n"/>
      <c r="B323" s="506" t="n"/>
      <c r="C323" s="141" t="n"/>
      <c r="D323" s="141" t="n"/>
      <c r="E323" s="141" t="n"/>
      <c r="F323" s="141" t="n"/>
      <c r="G323" s="143" t="n"/>
      <c r="H323" s="27" t="n"/>
    </row>
    <row r="324" ht="17.25" customHeight="1" s="322">
      <c r="A324" s="27" t="n"/>
      <c r="B324" s="506" t="n"/>
      <c r="C324" s="141" t="n"/>
      <c r="D324" s="141" t="n"/>
      <c r="E324" s="141" t="n"/>
      <c r="F324" s="141" t="n"/>
      <c r="G324" s="143" t="n"/>
      <c r="H324" s="27" t="n"/>
    </row>
    <row r="325" ht="17.25" customHeight="1" s="322">
      <c r="A325" s="27" t="n"/>
      <c r="B325" s="506" t="n"/>
      <c r="C325" s="141" t="n"/>
      <c r="D325" s="141" t="n"/>
      <c r="E325" s="141" t="n"/>
      <c r="F325" s="141" t="n"/>
      <c r="G325" s="143" t="n"/>
      <c r="H325" s="27" t="n"/>
    </row>
    <row r="326" ht="17.25" customHeight="1" s="322">
      <c r="A326" s="27" t="n"/>
      <c r="B326" s="506" t="n"/>
      <c r="C326" s="141" t="n"/>
      <c r="D326" s="141" t="n"/>
      <c r="E326" s="141" t="n"/>
      <c r="F326" s="141" t="n"/>
      <c r="G326" s="143" t="n"/>
      <c r="H326" s="27" t="n"/>
    </row>
    <row r="327" ht="17.25" customHeight="1" s="322">
      <c r="A327" s="27" t="n"/>
      <c r="B327" s="506" t="n"/>
      <c r="C327" s="141" t="n"/>
      <c r="D327" s="141" t="n"/>
      <c r="E327" s="141" t="n"/>
      <c r="F327" s="141" t="n"/>
      <c r="G327" s="143" t="n"/>
      <c r="H327" s="27" t="n"/>
    </row>
    <row r="328" ht="17.25" customHeight="1" s="322">
      <c r="A328" s="27" t="n"/>
      <c r="B328" s="506" t="n"/>
      <c r="C328" s="141" t="n"/>
      <c r="D328" s="141" t="n"/>
      <c r="E328" s="141" t="n"/>
      <c r="F328" s="141" t="n"/>
      <c r="G328" s="143" t="n"/>
      <c r="H328" s="27" t="n"/>
    </row>
    <row r="329" ht="17.25" customHeight="1" s="322">
      <c r="A329" s="27" t="n"/>
      <c r="B329" s="506" t="n"/>
      <c r="C329" s="141" t="n"/>
      <c r="D329" s="141" t="n"/>
      <c r="E329" s="141" t="n"/>
      <c r="F329" s="141" t="n"/>
      <c r="G329" s="143" t="n"/>
      <c r="H329" s="27" t="n"/>
    </row>
    <row r="330" ht="17.25" customHeight="1" s="322">
      <c r="A330" s="27" t="n"/>
      <c r="B330" s="506" t="n"/>
      <c r="C330" s="141" t="n"/>
      <c r="D330" s="141" t="n"/>
      <c r="E330" s="141" t="n"/>
      <c r="F330" s="141" t="n"/>
      <c r="G330" s="143" t="n"/>
      <c r="H330" s="27" t="n"/>
    </row>
    <row r="331" ht="17.25" customHeight="1" s="322">
      <c r="A331" s="27" t="n"/>
      <c r="B331" s="506" t="n"/>
      <c r="C331" s="141" t="n"/>
      <c r="D331" s="141" t="n"/>
      <c r="E331" s="141" t="n"/>
      <c r="F331" s="141" t="n"/>
      <c r="G331" s="143" t="n"/>
      <c r="H331" s="27" t="n"/>
    </row>
    <row r="332" ht="17.25" customHeight="1" s="322">
      <c r="A332" s="27" t="n"/>
      <c r="B332" s="506" t="n"/>
      <c r="C332" s="141" t="n"/>
      <c r="D332" s="141" t="n"/>
      <c r="E332" s="141" t="n"/>
      <c r="F332" s="141" t="n"/>
      <c r="G332" s="143" t="n"/>
      <c r="H332" s="27" t="n"/>
    </row>
    <row r="333" ht="17.25" customHeight="1" s="322">
      <c r="A333" s="27" t="n"/>
      <c r="B333" s="506" t="n"/>
      <c r="C333" s="141" t="n"/>
      <c r="D333" s="141" t="n"/>
      <c r="E333" s="141" t="n"/>
      <c r="F333" s="141" t="n"/>
      <c r="G333" s="143" t="n"/>
      <c r="H333" s="27" t="n"/>
    </row>
    <row r="334" ht="17.25" customHeight="1" s="322">
      <c r="A334" s="27" t="n"/>
      <c r="B334" s="506" t="n"/>
      <c r="C334" s="141" t="n"/>
      <c r="D334" s="141" t="n"/>
      <c r="E334" s="141" t="n"/>
      <c r="F334" s="141" t="n"/>
      <c r="G334" s="143" t="n"/>
      <c r="H334" s="27" t="n"/>
    </row>
    <row r="335" ht="17.25" customHeight="1" s="322">
      <c r="A335" s="27" t="n"/>
      <c r="B335" s="506" t="n"/>
      <c r="C335" s="141" t="n"/>
      <c r="D335" s="141" t="n"/>
      <c r="E335" s="141" t="n"/>
      <c r="F335" s="141" t="n"/>
      <c r="G335" s="143" t="n"/>
      <c r="H335" s="27" t="n"/>
    </row>
    <row r="336" ht="17.25" customHeight="1" s="322">
      <c r="A336" s="27" t="n"/>
      <c r="B336" s="506" t="n"/>
      <c r="C336" s="141" t="n"/>
      <c r="D336" s="141" t="n"/>
      <c r="E336" s="141" t="n"/>
      <c r="F336" s="141" t="n"/>
      <c r="G336" s="143" t="n"/>
      <c r="H336" s="27" t="n"/>
    </row>
    <row r="337" ht="17.25" customHeight="1" s="322">
      <c r="A337" s="27" t="n"/>
      <c r="B337" s="506" t="n"/>
      <c r="C337" s="141" t="n"/>
      <c r="D337" s="141" t="n"/>
      <c r="E337" s="141" t="n"/>
      <c r="F337" s="141" t="n"/>
      <c r="G337" s="143" t="n"/>
      <c r="H337" s="27" t="n"/>
    </row>
    <row r="338" ht="17.25" customHeight="1" s="322">
      <c r="A338" s="27" t="n"/>
      <c r="B338" s="506" t="n"/>
      <c r="C338" s="141" t="n"/>
      <c r="D338" s="141" t="n"/>
      <c r="E338" s="141" t="n"/>
      <c r="F338" s="141" t="n"/>
      <c r="G338" s="143" t="n"/>
      <c r="H338" s="27" t="n"/>
    </row>
    <row r="339" ht="17.25" customHeight="1" s="322">
      <c r="A339" s="27" t="n"/>
      <c r="B339" s="506" t="n"/>
      <c r="C339" s="141" t="n"/>
      <c r="D339" s="141" t="n"/>
      <c r="E339" s="141" t="n"/>
      <c r="F339" s="141" t="n"/>
      <c r="G339" s="143" t="n"/>
      <c r="H339" s="27" t="n"/>
    </row>
    <row r="340" ht="17.25" customHeight="1" s="322">
      <c r="A340" s="27" t="n"/>
      <c r="B340" s="506" t="n"/>
      <c r="C340" s="141" t="n"/>
      <c r="D340" s="141" t="n"/>
      <c r="E340" s="141" t="n"/>
      <c r="F340" s="141" t="n"/>
      <c r="G340" s="143" t="n"/>
      <c r="H340" s="27" t="n"/>
    </row>
    <row r="341" ht="17.25" customHeight="1" s="322">
      <c r="A341" s="27" t="n"/>
      <c r="B341" s="506" t="n"/>
      <c r="C341" s="141" t="n"/>
      <c r="D341" s="141" t="n"/>
      <c r="E341" s="141" t="n"/>
      <c r="F341" s="141" t="n"/>
      <c r="G341" s="143" t="n"/>
      <c r="H341" s="27" t="n"/>
    </row>
    <row r="342" ht="17.25" customHeight="1" s="322">
      <c r="A342" s="27" t="n"/>
      <c r="B342" s="506" t="n"/>
      <c r="C342" s="141" t="n"/>
      <c r="D342" s="141" t="n"/>
      <c r="E342" s="141" t="n"/>
      <c r="F342" s="141" t="n"/>
      <c r="G342" s="143" t="n"/>
      <c r="H342" s="27" t="n"/>
    </row>
    <row r="343" ht="17.25" customHeight="1" s="322">
      <c r="A343" s="27" t="n"/>
      <c r="B343" s="506" t="n"/>
      <c r="C343" s="141" t="n"/>
      <c r="D343" s="141" t="n"/>
      <c r="E343" s="141" t="n"/>
      <c r="F343" s="141" t="n"/>
      <c r="G343" s="143" t="n"/>
      <c r="H343" s="27" t="n"/>
    </row>
    <row r="344" ht="17.25" customHeight="1" s="322">
      <c r="A344" s="27" t="n"/>
      <c r="B344" s="506" t="n"/>
      <c r="C344" s="141" t="n"/>
      <c r="D344" s="141" t="n"/>
      <c r="E344" s="141" t="n"/>
      <c r="F344" s="141" t="n"/>
      <c r="G344" s="143" t="n"/>
      <c r="H344" s="27" t="n"/>
    </row>
    <row r="345" ht="17.25" customHeight="1" s="322">
      <c r="A345" s="27" t="n"/>
      <c r="B345" s="506" t="n"/>
      <c r="C345" s="141" t="n"/>
      <c r="D345" s="141" t="n"/>
      <c r="E345" s="141" t="n"/>
      <c r="F345" s="141" t="n"/>
      <c r="G345" s="143" t="n"/>
      <c r="H345" s="27" t="n"/>
    </row>
    <row r="346" ht="17.25" customHeight="1" s="322">
      <c r="A346" s="27" t="n"/>
      <c r="B346" s="506" t="n"/>
      <c r="C346" s="141" t="n"/>
      <c r="D346" s="141" t="n"/>
      <c r="E346" s="141" t="n"/>
      <c r="F346" s="141" t="n"/>
      <c r="G346" s="143" t="n"/>
      <c r="H346" s="27" t="n"/>
    </row>
    <row r="347" ht="17.25" customHeight="1" s="322">
      <c r="A347" s="27" t="n"/>
      <c r="B347" s="506" t="n"/>
      <c r="C347" s="141" t="n"/>
      <c r="D347" s="141" t="n"/>
      <c r="E347" s="141" t="n"/>
      <c r="F347" s="141" t="n"/>
      <c r="G347" s="143" t="n"/>
      <c r="H347" s="27" t="n"/>
    </row>
    <row r="348" ht="17.25" customHeight="1" s="322">
      <c r="A348" s="27" t="n"/>
      <c r="B348" s="506" t="n"/>
      <c r="C348" s="141" t="n"/>
      <c r="D348" s="141" t="n"/>
      <c r="E348" s="141" t="n"/>
      <c r="F348" s="141" t="n"/>
      <c r="G348" s="143" t="n"/>
      <c r="H348" s="27" t="n"/>
    </row>
    <row r="349" ht="17.25" customHeight="1" s="322">
      <c r="A349" s="27" t="n"/>
      <c r="B349" s="506" t="n"/>
      <c r="C349" s="141" t="n"/>
      <c r="D349" s="141" t="n"/>
      <c r="E349" s="141" t="n"/>
      <c r="F349" s="141" t="n"/>
      <c r="G349" s="143" t="n"/>
      <c r="H349" s="27" t="n"/>
    </row>
    <row r="350" ht="17.25" customHeight="1" s="322">
      <c r="A350" s="27" t="n"/>
      <c r="B350" s="506" t="n"/>
      <c r="C350" s="141" t="n"/>
      <c r="D350" s="141" t="n"/>
      <c r="E350" s="141" t="n"/>
      <c r="F350" s="141" t="n"/>
      <c r="G350" s="143" t="n"/>
      <c r="H350" s="27" t="n"/>
    </row>
    <row r="351" ht="17.25" customHeight="1" s="322">
      <c r="A351" s="27" t="n"/>
      <c r="B351" s="506" t="n"/>
      <c r="C351" s="141" t="n"/>
      <c r="D351" s="141" t="n"/>
      <c r="E351" s="141" t="n"/>
      <c r="F351" s="141" t="n"/>
      <c r="G351" s="143" t="n"/>
      <c r="H351" s="27" t="n"/>
    </row>
    <row r="352" ht="17.25" customHeight="1" s="322">
      <c r="A352" s="27" t="n"/>
      <c r="B352" s="506" t="n"/>
      <c r="C352" s="141" t="n"/>
      <c r="D352" s="141" t="n"/>
      <c r="E352" s="141" t="n"/>
      <c r="F352" s="141" t="n"/>
      <c r="G352" s="143" t="n"/>
      <c r="H352" s="27" t="n"/>
    </row>
    <row r="353" ht="17.25" customHeight="1" s="322">
      <c r="A353" s="27" t="n"/>
      <c r="B353" s="506" t="n"/>
      <c r="C353" s="141" t="n"/>
      <c r="D353" s="141" t="n"/>
      <c r="E353" s="141" t="n"/>
      <c r="F353" s="141" t="n"/>
      <c r="G353" s="143" t="n"/>
      <c r="H353" s="27" t="n"/>
    </row>
    <row r="354" ht="17.25" customHeight="1" s="322">
      <c r="A354" s="27" t="n"/>
      <c r="B354" s="506" t="n"/>
      <c r="C354" s="141" t="n"/>
      <c r="D354" s="141" t="n"/>
      <c r="E354" s="141" t="n"/>
      <c r="F354" s="141" t="n"/>
      <c r="G354" s="143" t="n"/>
      <c r="H354" s="27" t="n"/>
    </row>
    <row r="355" ht="17.25" customHeight="1" s="322">
      <c r="A355" s="27" t="n"/>
      <c r="B355" s="506" t="n"/>
      <c r="C355" s="141" t="n"/>
      <c r="D355" s="141" t="n"/>
      <c r="E355" s="141" t="n"/>
      <c r="F355" s="141" t="n"/>
      <c r="G355" s="143" t="n"/>
      <c r="H355" s="27" t="n"/>
    </row>
    <row r="356" ht="17.25" customHeight="1" s="322">
      <c r="A356" s="27" t="n"/>
      <c r="B356" s="506" t="n"/>
      <c r="C356" s="141" t="n"/>
      <c r="D356" s="141" t="n"/>
      <c r="E356" s="141" t="n"/>
      <c r="F356" s="141" t="n"/>
      <c r="G356" s="143" t="n"/>
      <c r="H356" s="27" t="n"/>
    </row>
    <row r="357" ht="17.25" customHeight="1" s="322">
      <c r="A357" s="27" t="n"/>
      <c r="B357" s="506" t="n"/>
      <c r="C357" s="141" t="n"/>
      <c r="D357" s="141" t="n"/>
      <c r="E357" s="141" t="n"/>
      <c r="F357" s="141" t="n"/>
      <c r="G357" s="143" t="n"/>
      <c r="H357" s="27" t="n"/>
    </row>
    <row r="358" ht="17.25" customHeight="1" s="322">
      <c r="A358" s="27" t="n"/>
      <c r="B358" s="506" t="n"/>
      <c r="C358" s="141" t="n"/>
      <c r="D358" s="141" t="n"/>
      <c r="E358" s="141" t="n"/>
      <c r="F358" s="141" t="n"/>
      <c r="G358" s="143" t="n"/>
      <c r="H358" s="27" t="n"/>
    </row>
    <row r="359" ht="17.25" customHeight="1" s="322">
      <c r="A359" s="27" t="n"/>
      <c r="B359" s="506" t="n"/>
      <c r="C359" s="141" t="n"/>
      <c r="D359" s="141" t="n"/>
      <c r="E359" s="141" t="n"/>
      <c r="F359" s="141" t="n"/>
      <c r="G359" s="143" t="n"/>
      <c r="H359" s="27" t="n"/>
    </row>
    <row r="360" ht="17.25" customHeight="1" s="322">
      <c r="A360" s="27" t="n"/>
      <c r="B360" s="506" t="n"/>
      <c r="C360" s="141" t="n"/>
      <c r="D360" s="141" t="n"/>
      <c r="E360" s="141" t="n"/>
      <c r="F360" s="141" t="n"/>
      <c r="G360" s="143" t="n"/>
      <c r="H360" s="27" t="n"/>
    </row>
    <row r="361" ht="17.25" customHeight="1" s="322">
      <c r="A361" s="27" t="n"/>
      <c r="B361" s="506" t="n"/>
      <c r="C361" s="141" t="n"/>
      <c r="D361" s="141" t="n"/>
      <c r="E361" s="141" t="n"/>
      <c r="F361" s="141" t="n"/>
      <c r="G361" s="143" t="n"/>
      <c r="H361" s="27" t="n"/>
    </row>
    <row r="362" ht="17.25" customHeight="1" s="322">
      <c r="A362" s="27" t="n"/>
      <c r="B362" s="506" t="n"/>
      <c r="C362" s="141" t="n"/>
      <c r="D362" s="141" t="n"/>
      <c r="E362" s="141" t="n"/>
      <c r="F362" s="141" t="n"/>
      <c r="G362" s="143" t="n"/>
      <c r="H362" s="27" t="n"/>
    </row>
    <row r="363" ht="17.25" customHeight="1" s="322">
      <c r="A363" s="27" t="n"/>
      <c r="B363" s="506" t="n"/>
      <c r="C363" s="141" t="n"/>
      <c r="D363" s="141" t="n"/>
      <c r="E363" s="141" t="n"/>
      <c r="F363" s="141" t="n"/>
      <c r="G363" s="143" t="n"/>
      <c r="H363" s="27" t="n"/>
    </row>
    <row r="364" ht="17.25" customHeight="1" s="322">
      <c r="A364" s="27" t="n"/>
      <c r="B364" s="506" t="n"/>
      <c r="C364" s="141" t="n"/>
      <c r="D364" s="141" t="n"/>
      <c r="E364" s="141" t="n"/>
      <c r="F364" s="141" t="n"/>
      <c r="G364" s="143" t="n"/>
      <c r="H364" s="27" t="n"/>
    </row>
    <row r="365" ht="17.25" customHeight="1" s="322">
      <c r="A365" s="27" t="n"/>
      <c r="B365" s="506" t="n"/>
      <c r="C365" s="141" t="n"/>
      <c r="D365" s="141" t="n"/>
      <c r="E365" s="141" t="n"/>
      <c r="F365" s="141" t="n"/>
      <c r="G365" s="143" t="n"/>
      <c r="H365" s="27" t="n"/>
    </row>
    <row r="366" ht="17.25" customHeight="1" s="322">
      <c r="A366" s="27" t="n"/>
      <c r="B366" s="506" t="n"/>
      <c r="C366" s="141" t="n"/>
      <c r="D366" s="141" t="n"/>
      <c r="E366" s="141" t="n"/>
      <c r="F366" s="141" t="n"/>
      <c r="G366" s="143" t="n"/>
      <c r="H366" s="27" t="n"/>
    </row>
    <row r="367" ht="17.25" customHeight="1" s="322">
      <c r="A367" s="27" t="n"/>
      <c r="B367" s="506" t="n"/>
      <c r="C367" s="141" t="n"/>
      <c r="D367" s="141" t="n"/>
      <c r="E367" s="141" t="n"/>
      <c r="F367" s="141" t="n"/>
      <c r="G367" s="143" t="n"/>
      <c r="H367" s="27" t="n"/>
    </row>
    <row r="368" ht="17.25" customHeight="1" s="322">
      <c r="A368" s="27" t="n"/>
      <c r="B368" s="506" t="n"/>
      <c r="C368" s="141" t="n"/>
      <c r="D368" s="141" t="n"/>
      <c r="E368" s="141" t="n"/>
      <c r="F368" s="141" t="n"/>
      <c r="G368" s="143" t="n"/>
      <c r="H368" s="27" t="n"/>
    </row>
    <row r="369" ht="17.25" customHeight="1" s="322">
      <c r="A369" s="27" t="n"/>
      <c r="B369" s="506" t="n"/>
      <c r="C369" s="141" t="n"/>
      <c r="D369" s="141" t="n"/>
      <c r="E369" s="141" t="n"/>
      <c r="F369" s="141" t="n"/>
      <c r="G369" s="143" t="n"/>
      <c r="H369" s="27" t="n"/>
    </row>
    <row r="370" ht="17.25" customHeight="1" s="322">
      <c r="A370" s="27" t="n"/>
      <c r="B370" s="506" t="n"/>
      <c r="C370" s="141" t="n"/>
      <c r="D370" s="141" t="n"/>
      <c r="E370" s="141" t="n"/>
      <c r="F370" s="141" t="n"/>
      <c r="G370" s="143" t="n"/>
      <c r="H370" s="27" t="n"/>
    </row>
    <row r="371" ht="17.25" customHeight="1" s="322">
      <c r="A371" s="27" t="n"/>
      <c r="B371" s="506" t="n"/>
      <c r="C371" s="141" t="n"/>
      <c r="D371" s="141" t="n"/>
      <c r="E371" s="141" t="n"/>
      <c r="F371" s="141" t="n"/>
      <c r="G371" s="143" t="n"/>
      <c r="H371" s="27" t="n"/>
    </row>
    <row r="372" ht="17.25" customHeight="1" s="322">
      <c r="A372" s="27" t="n"/>
      <c r="B372" s="506" t="n"/>
      <c r="C372" s="141" t="n"/>
      <c r="D372" s="141" t="n"/>
      <c r="E372" s="141" t="n"/>
      <c r="F372" s="141" t="n"/>
      <c r="G372" s="143" t="n"/>
      <c r="H372" s="27" t="n"/>
    </row>
    <row r="373" ht="17.25" customHeight="1" s="322">
      <c r="A373" s="27" t="n"/>
      <c r="B373" s="506" t="n"/>
      <c r="C373" s="141" t="n"/>
      <c r="D373" s="141" t="n"/>
      <c r="E373" s="141" t="n"/>
      <c r="F373" s="141" t="n"/>
      <c r="G373" s="143" t="n"/>
      <c r="H373" s="27" t="n"/>
    </row>
    <row r="374" ht="17.25" customHeight="1" s="322">
      <c r="A374" s="27" t="n"/>
      <c r="B374" s="506" t="n"/>
      <c r="C374" s="141" t="n"/>
      <c r="D374" s="141" t="n"/>
      <c r="E374" s="141" t="n"/>
      <c r="F374" s="141" t="n"/>
      <c r="G374" s="143" t="n"/>
      <c r="H374" s="27" t="n"/>
    </row>
    <row r="375" ht="17.25" customHeight="1" s="322">
      <c r="A375" s="27" t="n"/>
      <c r="B375" s="506" t="n"/>
      <c r="C375" s="141" t="n"/>
      <c r="D375" s="141" t="n"/>
      <c r="E375" s="141" t="n"/>
      <c r="F375" s="141" t="n"/>
      <c r="G375" s="143" t="n"/>
      <c r="H375" s="27" t="n"/>
    </row>
    <row r="376" ht="17.25" customHeight="1" s="322">
      <c r="A376" s="27" t="n"/>
      <c r="B376" s="506" t="n"/>
      <c r="C376" s="141" t="n"/>
      <c r="D376" s="141" t="n"/>
      <c r="E376" s="141" t="n"/>
      <c r="F376" s="141" t="n"/>
      <c r="G376" s="143" t="n"/>
      <c r="H376" s="27" t="n"/>
    </row>
    <row r="377" ht="17.25" customHeight="1" s="322">
      <c r="A377" s="27" t="n"/>
      <c r="B377" s="506" t="n"/>
      <c r="C377" s="141" t="n"/>
      <c r="D377" s="141" t="n"/>
      <c r="E377" s="141" t="n"/>
      <c r="F377" s="141" t="n"/>
      <c r="G377" s="143" t="n"/>
      <c r="H377" s="27" t="n"/>
    </row>
    <row r="378" ht="17.25" customHeight="1" s="322">
      <c r="A378" s="27" t="n"/>
      <c r="B378" s="506" t="n"/>
      <c r="C378" s="141" t="n"/>
      <c r="D378" s="141" t="n"/>
      <c r="E378" s="141" t="n"/>
      <c r="F378" s="141" t="n"/>
      <c r="G378" s="143" t="n"/>
      <c r="H378" s="27" t="n"/>
    </row>
    <row r="379" ht="17.25" customHeight="1" s="322">
      <c r="A379" s="27" t="n"/>
      <c r="B379" s="506" t="n"/>
      <c r="C379" s="141" t="n"/>
      <c r="D379" s="141" t="n"/>
      <c r="E379" s="141" t="n"/>
      <c r="F379" s="141" t="n"/>
      <c r="G379" s="143" t="n"/>
      <c r="H379" s="27" t="n"/>
    </row>
    <row r="380" ht="17.25" customHeight="1" s="322">
      <c r="A380" s="27" t="n"/>
      <c r="B380" s="506" t="n"/>
      <c r="C380" s="141" t="n"/>
      <c r="D380" s="141" t="n"/>
      <c r="E380" s="141" t="n"/>
      <c r="F380" s="141" t="n"/>
      <c r="G380" s="143" t="n"/>
      <c r="H380" s="27" t="n"/>
    </row>
    <row r="381" ht="17.25" customHeight="1" s="322">
      <c r="A381" s="27" t="n"/>
      <c r="B381" s="506" t="n"/>
      <c r="C381" s="141" t="n"/>
      <c r="D381" s="141" t="n"/>
      <c r="E381" s="141" t="n"/>
      <c r="F381" s="141" t="n"/>
      <c r="G381" s="143" t="n"/>
      <c r="H381" s="27" t="n"/>
    </row>
    <row r="382" ht="17.25" customHeight="1" s="322">
      <c r="A382" s="27" t="n"/>
      <c r="B382" s="506" t="n"/>
      <c r="C382" s="141" t="n"/>
      <c r="D382" s="141" t="n"/>
      <c r="E382" s="141" t="n"/>
      <c r="F382" s="141" t="n"/>
      <c r="G382" s="143" t="n"/>
      <c r="H382" s="27" t="n"/>
    </row>
    <row r="383" ht="17.25" customHeight="1" s="322">
      <c r="A383" s="27" t="n"/>
      <c r="B383" s="506" t="n"/>
      <c r="C383" s="141" t="n"/>
      <c r="D383" s="141" t="n"/>
      <c r="E383" s="141" t="n"/>
      <c r="F383" s="141" t="n"/>
      <c r="G383" s="143" t="n"/>
      <c r="H383" s="27" t="n"/>
    </row>
    <row r="384" ht="17.25" customHeight="1" s="322">
      <c r="A384" s="27" t="n"/>
      <c r="B384" s="506" t="n"/>
      <c r="C384" s="141" t="n"/>
      <c r="D384" s="141" t="n"/>
      <c r="E384" s="141" t="n"/>
      <c r="F384" s="141" t="n"/>
      <c r="G384" s="143" t="n"/>
      <c r="H384" s="27" t="n"/>
    </row>
    <row r="385" ht="17.25" customHeight="1" s="322">
      <c r="A385" s="27" t="n"/>
      <c r="B385" s="506" t="n"/>
      <c r="C385" s="141" t="n"/>
      <c r="D385" s="141" t="n"/>
      <c r="E385" s="141" t="n"/>
      <c r="F385" s="141" t="n"/>
      <c r="G385" s="143" t="n"/>
      <c r="H385" s="27" t="n"/>
    </row>
    <row r="386" ht="17.25" customHeight="1" s="322">
      <c r="A386" s="27" t="n"/>
      <c r="B386" s="506" t="n"/>
      <c r="C386" s="141" t="n"/>
      <c r="D386" s="141" t="n"/>
      <c r="E386" s="141" t="n"/>
      <c r="F386" s="141" t="n"/>
      <c r="G386" s="143" t="n"/>
      <c r="H386" s="27" t="n"/>
    </row>
    <row r="387" ht="17.25" customHeight="1" s="322">
      <c r="A387" s="27" t="n"/>
      <c r="B387" s="506" t="n"/>
      <c r="C387" s="141" t="n"/>
      <c r="D387" s="141" t="n"/>
      <c r="E387" s="141" t="n"/>
      <c r="F387" s="141" t="n"/>
      <c r="G387" s="143" t="n"/>
      <c r="H387" s="27" t="n"/>
    </row>
    <row r="388" ht="17.25" customHeight="1" s="322">
      <c r="A388" s="27" t="n"/>
      <c r="B388" s="506" t="n"/>
      <c r="C388" s="141" t="n"/>
      <c r="D388" s="141" t="n"/>
      <c r="E388" s="141" t="n"/>
      <c r="F388" s="141" t="n"/>
      <c r="G388" s="143" t="n"/>
      <c r="H388" s="27" t="n"/>
    </row>
    <row r="389" ht="17.25" customHeight="1" s="322">
      <c r="A389" s="27" t="n"/>
      <c r="B389" s="506" t="n"/>
      <c r="C389" s="141" t="n"/>
      <c r="D389" s="141" t="n"/>
      <c r="E389" s="141" t="n"/>
      <c r="F389" s="141" t="n"/>
      <c r="G389" s="143" t="n"/>
      <c r="H389" s="27" t="n"/>
    </row>
    <row r="390" ht="17.25" customHeight="1" s="322">
      <c r="A390" s="27" t="n"/>
      <c r="B390" s="506" t="n"/>
      <c r="C390" s="141" t="n"/>
      <c r="D390" s="141" t="n"/>
      <c r="E390" s="141" t="n"/>
      <c r="F390" s="141" t="n"/>
      <c r="G390" s="143" t="n"/>
      <c r="H390" s="27" t="n"/>
    </row>
    <row r="391" ht="17.25" customHeight="1" s="322">
      <c r="A391" s="27" t="n"/>
      <c r="B391" s="506" t="n"/>
      <c r="C391" s="141" t="n"/>
      <c r="D391" s="141" t="n"/>
      <c r="E391" s="141" t="n"/>
      <c r="F391" s="141" t="n"/>
      <c r="G391" s="143" t="n"/>
      <c r="H391" s="27" t="n"/>
    </row>
    <row r="392" ht="17.25" customHeight="1" s="322">
      <c r="A392" s="27" t="n"/>
      <c r="B392" s="506" t="n"/>
      <c r="C392" s="141" t="n"/>
      <c r="D392" s="141" t="n"/>
      <c r="E392" s="141" t="n"/>
      <c r="F392" s="141" t="n"/>
      <c r="G392" s="143" t="n"/>
      <c r="H392" s="27" t="n"/>
    </row>
    <row r="393" ht="17.25" customHeight="1" s="322">
      <c r="A393" s="27" t="n"/>
      <c r="B393" s="506" t="n"/>
      <c r="C393" s="141" t="n"/>
      <c r="D393" s="141" t="n"/>
      <c r="E393" s="141" t="n"/>
      <c r="F393" s="141" t="n"/>
      <c r="G393" s="143" t="n"/>
      <c r="H393" s="27" t="n"/>
    </row>
    <row r="394" ht="17.25" customHeight="1" s="322">
      <c r="A394" s="27" t="n"/>
      <c r="B394" s="506" t="n"/>
      <c r="C394" s="141" t="n"/>
      <c r="D394" s="141" t="n"/>
      <c r="E394" s="141" t="n"/>
      <c r="F394" s="141" t="n"/>
      <c r="G394" s="143" t="n"/>
      <c r="H394" s="27" t="n"/>
    </row>
    <row r="395" ht="17.25" customHeight="1" s="322">
      <c r="A395" s="27" t="n"/>
      <c r="B395" s="506" t="n"/>
      <c r="C395" s="141" t="n"/>
      <c r="D395" s="141" t="n"/>
      <c r="E395" s="141" t="n"/>
      <c r="F395" s="141" t="n"/>
      <c r="G395" s="143" t="n"/>
      <c r="H395" s="27" t="n"/>
    </row>
    <row r="396" ht="17.25" customHeight="1" s="322">
      <c r="A396" s="27" t="n"/>
      <c r="B396" s="506" t="n"/>
      <c r="C396" s="141" t="n"/>
      <c r="D396" s="141" t="n"/>
      <c r="E396" s="141" t="n"/>
      <c r="F396" s="141" t="n"/>
      <c r="G396" s="143" t="n"/>
      <c r="H396" s="27" t="n"/>
    </row>
    <row r="397" ht="17.25" customHeight="1" s="322">
      <c r="A397" s="27" t="n"/>
      <c r="B397" s="506" t="n"/>
      <c r="C397" s="141" t="n"/>
      <c r="D397" s="141" t="n"/>
      <c r="E397" s="141" t="n"/>
      <c r="F397" s="141" t="n"/>
      <c r="G397" s="143" t="n"/>
      <c r="H397" s="27" t="n"/>
    </row>
    <row r="398" ht="17.25" customHeight="1" s="322">
      <c r="A398" s="27" t="n"/>
      <c r="B398" s="506" t="n"/>
      <c r="C398" s="141" t="n"/>
      <c r="D398" s="141" t="n"/>
      <c r="E398" s="141" t="n"/>
      <c r="F398" s="141" t="n"/>
      <c r="G398" s="143" t="n"/>
      <c r="H398" s="27" t="n"/>
    </row>
    <row r="399" ht="17.25" customHeight="1" s="322">
      <c r="A399" s="27" t="n"/>
      <c r="B399" s="506" t="n"/>
      <c r="C399" s="141" t="n"/>
      <c r="D399" s="141" t="n"/>
      <c r="E399" s="141" t="n"/>
      <c r="F399" s="141" t="n"/>
      <c r="G399" s="143" t="n"/>
      <c r="H399" s="27" t="n"/>
    </row>
    <row r="400" ht="17.25" customHeight="1" s="322">
      <c r="A400" s="27" t="n"/>
      <c r="B400" s="506" t="n"/>
      <c r="C400" s="141" t="n"/>
      <c r="D400" s="141" t="n"/>
      <c r="E400" s="141" t="n"/>
      <c r="F400" s="141" t="n"/>
      <c r="G400" s="143" t="n"/>
      <c r="H400" s="27" t="n"/>
    </row>
    <row r="401" ht="17.25" customHeight="1" s="322">
      <c r="A401" s="27" t="n"/>
      <c r="B401" s="506" t="n"/>
      <c r="C401" s="141" t="n"/>
      <c r="D401" s="141" t="n"/>
      <c r="E401" s="141" t="n"/>
      <c r="F401" s="141" t="n"/>
      <c r="G401" s="143" t="n"/>
      <c r="H401" s="27" t="n"/>
    </row>
    <row r="402" ht="17.25" customHeight="1" s="322">
      <c r="A402" s="27" t="n"/>
      <c r="B402" s="506" t="n"/>
      <c r="C402" s="141" t="n"/>
      <c r="D402" s="141" t="n"/>
      <c r="E402" s="141" t="n"/>
      <c r="F402" s="141" t="n"/>
      <c r="G402" s="143" t="n"/>
      <c r="H402" s="27" t="n"/>
    </row>
    <row r="403" ht="17.25" customHeight="1" s="322">
      <c r="A403" s="27" t="n"/>
      <c r="B403" s="506" t="n"/>
      <c r="C403" s="141" t="n"/>
      <c r="D403" s="141" t="n"/>
      <c r="E403" s="141" t="n"/>
      <c r="F403" s="141" t="n"/>
      <c r="G403" s="143" t="n"/>
      <c r="H403" s="27" t="n"/>
    </row>
    <row r="404" ht="17.25" customHeight="1" s="322">
      <c r="A404" s="27" t="n"/>
      <c r="B404" s="506" t="n"/>
      <c r="C404" s="141" t="n"/>
      <c r="D404" s="141" t="n"/>
      <c r="E404" s="141" t="n"/>
      <c r="F404" s="141" t="n"/>
      <c r="G404" s="143" t="n"/>
      <c r="H404" s="27" t="n"/>
    </row>
    <row r="405" ht="17.25" customHeight="1" s="322">
      <c r="A405" s="27" t="n"/>
      <c r="B405" s="506" t="n"/>
      <c r="C405" s="141" t="n"/>
      <c r="D405" s="141" t="n"/>
      <c r="E405" s="141" t="n"/>
      <c r="F405" s="141" t="n"/>
      <c r="G405" s="143" t="n"/>
      <c r="H405" s="27" t="n"/>
    </row>
    <row r="406" ht="17.25" customHeight="1" s="322">
      <c r="A406" s="27" t="n"/>
      <c r="B406" s="506" t="n"/>
      <c r="C406" s="141" t="n"/>
      <c r="D406" s="141" t="n"/>
      <c r="E406" s="141" t="n"/>
      <c r="F406" s="141" t="n"/>
      <c r="G406" s="143" t="n"/>
      <c r="H406" s="27" t="n"/>
    </row>
    <row r="407" ht="17.25" customHeight="1" s="322">
      <c r="A407" s="27" t="n"/>
      <c r="B407" s="506" t="n"/>
      <c r="C407" s="141" t="n"/>
      <c r="D407" s="141" t="n"/>
      <c r="E407" s="141" t="n"/>
      <c r="F407" s="141" t="n"/>
      <c r="G407" s="143" t="n"/>
      <c r="H407" s="27" t="n"/>
    </row>
    <row r="408" ht="17.25" customHeight="1" s="322">
      <c r="A408" s="27" t="n"/>
      <c r="B408" s="506" t="n"/>
      <c r="C408" s="141" t="n"/>
      <c r="D408" s="141" t="n"/>
      <c r="E408" s="141" t="n"/>
      <c r="F408" s="141" t="n"/>
      <c r="G408" s="143" t="n"/>
      <c r="H408" s="27" t="n"/>
    </row>
    <row r="409" ht="17.25" customHeight="1" s="322">
      <c r="A409" s="27" t="n"/>
      <c r="B409" s="506" t="n"/>
      <c r="C409" s="141" t="n"/>
      <c r="D409" s="141" t="n"/>
      <c r="E409" s="141" t="n"/>
      <c r="F409" s="141" t="n"/>
      <c r="G409" s="143" t="n"/>
      <c r="H409" s="27" t="n"/>
    </row>
    <row r="410" ht="17.25" customHeight="1" s="322">
      <c r="A410" s="27" t="n"/>
      <c r="B410" s="506" t="n"/>
      <c r="C410" s="141" t="n"/>
      <c r="D410" s="141" t="n"/>
      <c r="E410" s="141" t="n"/>
      <c r="F410" s="141" t="n"/>
      <c r="G410" s="143" t="n"/>
      <c r="H410" s="27" t="n"/>
    </row>
    <row r="411" ht="17.25" customHeight="1" s="322">
      <c r="A411" s="27" t="n"/>
      <c r="B411" s="506" t="n"/>
      <c r="C411" s="141" t="n"/>
      <c r="D411" s="141" t="n"/>
      <c r="E411" s="141" t="n"/>
      <c r="F411" s="141" t="n"/>
      <c r="G411" s="143" t="n"/>
      <c r="H411" s="27" t="n"/>
    </row>
    <row r="412" ht="17.25" customHeight="1" s="322">
      <c r="A412" s="27" t="n"/>
      <c r="B412" s="506" t="n"/>
      <c r="C412" s="141" t="n"/>
      <c r="D412" s="141" t="n"/>
      <c r="E412" s="141" t="n"/>
      <c r="F412" s="141" t="n"/>
      <c r="G412" s="143" t="n"/>
      <c r="H412" s="27" t="n"/>
    </row>
    <row r="413" ht="17.25" customHeight="1" s="322">
      <c r="A413" s="27" t="n"/>
      <c r="B413" s="506" t="n"/>
      <c r="C413" s="141" t="n"/>
      <c r="D413" s="141" t="n"/>
      <c r="E413" s="141" t="n"/>
      <c r="F413" s="141" t="n"/>
      <c r="G413" s="143" t="n"/>
      <c r="H413" s="27" t="n"/>
    </row>
    <row r="414" ht="17.25" customHeight="1" s="322">
      <c r="A414" s="27" t="n"/>
      <c r="B414" s="506" t="n"/>
      <c r="C414" s="141" t="n"/>
      <c r="D414" s="141" t="n"/>
      <c r="E414" s="141" t="n"/>
      <c r="F414" s="141" t="n"/>
      <c r="G414" s="143" t="n"/>
      <c r="H414" s="27" t="n"/>
    </row>
    <row r="415" ht="17.25" customHeight="1" s="322">
      <c r="A415" s="27" t="n"/>
      <c r="B415" s="506" t="n"/>
      <c r="C415" s="141" t="n"/>
      <c r="D415" s="141" t="n"/>
      <c r="E415" s="141" t="n"/>
      <c r="F415" s="141" t="n"/>
      <c r="G415" s="143" t="n"/>
      <c r="H415" s="27" t="n"/>
    </row>
    <row r="416" ht="17.25" customHeight="1" s="322">
      <c r="A416" s="27" t="n"/>
      <c r="B416" s="506" t="n"/>
      <c r="C416" s="141" t="n"/>
      <c r="D416" s="141" t="n"/>
      <c r="E416" s="141" t="n"/>
      <c r="F416" s="141" t="n"/>
      <c r="G416" s="143" t="n"/>
      <c r="H416" s="27" t="n"/>
    </row>
    <row r="417" ht="17.25" customHeight="1" s="322">
      <c r="A417" s="27" t="n"/>
      <c r="B417" s="506" t="n"/>
      <c r="C417" s="141" t="n"/>
      <c r="D417" s="141" t="n"/>
      <c r="E417" s="141" t="n"/>
      <c r="F417" s="141" t="n"/>
      <c r="G417" s="143" t="n"/>
      <c r="H417" s="27" t="n"/>
    </row>
    <row r="418" ht="17.25" customHeight="1" s="322">
      <c r="A418" s="27" t="n"/>
      <c r="B418" s="506" t="n"/>
      <c r="C418" s="141" t="n"/>
      <c r="D418" s="141" t="n"/>
      <c r="E418" s="141" t="n"/>
      <c r="F418" s="141" t="n"/>
      <c r="G418" s="143" t="n"/>
      <c r="H418" s="27" t="n"/>
    </row>
    <row r="419" ht="17.25" customHeight="1" s="322">
      <c r="A419" s="27" t="n"/>
      <c r="B419" s="506" t="n"/>
      <c r="C419" s="141" t="n"/>
      <c r="D419" s="141" t="n"/>
      <c r="E419" s="141" t="n"/>
      <c r="F419" s="141" t="n"/>
      <c r="G419" s="143" t="n"/>
      <c r="H419" s="27" t="n"/>
    </row>
    <row r="420" ht="17.25" customHeight="1" s="322">
      <c r="A420" s="27" t="n"/>
      <c r="B420" s="506" t="n"/>
      <c r="C420" s="141" t="n"/>
      <c r="D420" s="141" t="n"/>
      <c r="E420" s="141" t="n"/>
      <c r="F420" s="141" t="n"/>
      <c r="G420" s="143" t="n"/>
      <c r="H420" s="27" t="n"/>
    </row>
    <row r="421" ht="17.25" customHeight="1" s="322">
      <c r="A421" s="27" t="n"/>
      <c r="B421" s="506" t="n"/>
      <c r="C421" s="141" t="n"/>
      <c r="D421" s="141" t="n"/>
      <c r="E421" s="141" t="n"/>
      <c r="F421" s="141" t="n"/>
      <c r="G421" s="143" t="n"/>
      <c r="H421" s="27" t="n"/>
    </row>
    <row r="422" ht="17.25" customHeight="1" s="322">
      <c r="A422" s="27" t="n"/>
      <c r="B422" s="506" t="n"/>
      <c r="C422" s="141" t="n"/>
      <c r="D422" s="141" t="n"/>
      <c r="E422" s="141" t="n"/>
      <c r="F422" s="141" t="n"/>
      <c r="G422" s="143" t="n"/>
      <c r="H422" s="27" t="n"/>
    </row>
    <row r="423" ht="17.25" customHeight="1" s="322">
      <c r="A423" s="27" t="n"/>
      <c r="B423" s="506" t="n"/>
      <c r="C423" s="141" t="n"/>
      <c r="D423" s="141" t="n"/>
      <c r="E423" s="141" t="n"/>
      <c r="F423" s="141" t="n"/>
      <c r="G423" s="143" t="n"/>
      <c r="H423" s="27" t="n"/>
    </row>
    <row r="424" ht="17.25" customHeight="1" s="322">
      <c r="A424" s="27" t="n"/>
      <c r="B424" s="506" t="n"/>
      <c r="C424" s="141" t="n"/>
      <c r="D424" s="141" t="n"/>
      <c r="E424" s="141" t="n"/>
      <c r="F424" s="141" t="n"/>
      <c r="G424" s="143" t="n"/>
      <c r="H424" s="27" t="n"/>
    </row>
    <row r="425" ht="17.25" customHeight="1" s="322">
      <c r="A425" s="27" t="n"/>
      <c r="B425" s="506" t="n"/>
      <c r="C425" s="141" t="n"/>
      <c r="D425" s="141" t="n"/>
      <c r="E425" s="141" t="n"/>
      <c r="F425" s="141" t="n"/>
      <c r="G425" s="143" t="n"/>
      <c r="H425" s="27" t="n"/>
    </row>
    <row r="426" ht="17.25" customHeight="1" s="322">
      <c r="A426" s="27" t="n"/>
      <c r="B426" s="506" t="n"/>
      <c r="C426" s="141" t="n"/>
      <c r="D426" s="141" t="n"/>
      <c r="E426" s="141" t="n"/>
      <c r="F426" s="141" t="n"/>
      <c r="G426" s="143" t="n"/>
      <c r="H426" s="27" t="n"/>
    </row>
    <row r="427" ht="17.25" customHeight="1" s="322">
      <c r="A427" s="27" t="n"/>
      <c r="B427" s="506" t="n"/>
      <c r="C427" s="141" t="n"/>
      <c r="D427" s="141" t="n"/>
      <c r="E427" s="141" t="n"/>
      <c r="F427" s="141" t="n"/>
      <c r="G427" s="143" t="n"/>
      <c r="H427" s="27" t="n"/>
    </row>
    <row r="428" ht="17.25" customHeight="1" s="322">
      <c r="A428" s="27" t="n"/>
      <c r="B428" s="506" t="n"/>
      <c r="C428" s="141" t="n"/>
      <c r="D428" s="141" t="n"/>
      <c r="E428" s="141" t="n"/>
      <c r="F428" s="141" t="n"/>
      <c r="G428" s="143" t="n"/>
      <c r="H428" s="27" t="n"/>
    </row>
    <row r="429" ht="17.25" customHeight="1" s="322">
      <c r="A429" s="27" t="n"/>
      <c r="B429" s="506" t="n"/>
      <c r="C429" s="141" t="n"/>
      <c r="D429" s="141" t="n"/>
      <c r="E429" s="141" t="n"/>
      <c r="F429" s="141" t="n"/>
      <c r="G429" s="143" t="n"/>
      <c r="H429" s="27" t="n"/>
    </row>
    <row r="430" ht="17.25" customHeight="1" s="322">
      <c r="A430" s="27" t="n"/>
      <c r="B430" s="506" t="n"/>
      <c r="C430" s="141" t="n"/>
      <c r="D430" s="141" t="n"/>
      <c r="E430" s="141" t="n"/>
      <c r="F430" s="141" t="n"/>
      <c r="G430" s="143" t="n"/>
      <c r="H430" s="27" t="n"/>
    </row>
    <row r="431" ht="17.25" customHeight="1" s="322">
      <c r="A431" s="27" t="n"/>
      <c r="B431" s="506" t="n"/>
      <c r="C431" s="141" t="n"/>
      <c r="D431" s="141" t="n"/>
      <c r="E431" s="141" t="n"/>
      <c r="F431" s="141" t="n"/>
      <c r="G431" s="143" t="n"/>
      <c r="H431" s="27" t="n"/>
    </row>
    <row r="432" ht="17.25" customHeight="1" s="322">
      <c r="A432" s="27" t="n"/>
      <c r="B432" s="506" t="n"/>
      <c r="C432" s="141" t="n"/>
      <c r="D432" s="141" t="n"/>
      <c r="E432" s="141" t="n"/>
      <c r="F432" s="141" t="n"/>
      <c r="G432" s="143" t="n"/>
      <c r="H432" s="27" t="n"/>
    </row>
    <row r="433" ht="17.25" customHeight="1" s="322">
      <c r="A433" s="27" t="n"/>
      <c r="B433" s="506" t="n"/>
      <c r="C433" s="141" t="n"/>
      <c r="D433" s="141" t="n"/>
      <c r="E433" s="141" t="n"/>
      <c r="F433" s="141" t="n"/>
      <c r="G433" s="143" t="n"/>
      <c r="H433" s="27" t="n"/>
    </row>
    <row r="434" ht="17.25" customHeight="1" s="322">
      <c r="A434" s="27" t="n"/>
      <c r="B434" s="506" t="n"/>
      <c r="C434" s="141" t="n"/>
      <c r="D434" s="141" t="n"/>
      <c r="E434" s="141" t="n"/>
      <c r="F434" s="141" t="n"/>
      <c r="G434" s="143" t="n"/>
      <c r="H434" s="27" t="n"/>
    </row>
    <row r="435" ht="17.25" customHeight="1" s="322">
      <c r="A435" s="27" t="n"/>
      <c r="B435" s="506" t="n"/>
      <c r="C435" s="141" t="n"/>
      <c r="D435" s="141" t="n"/>
      <c r="E435" s="141" t="n"/>
      <c r="F435" s="141" t="n"/>
      <c r="G435" s="143" t="n"/>
      <c r="H435" s="27" t="n"/>
    </row>
    <row r="436" ht="17.25" customHeight="1" s="322">
      <c r="A436" s="27" t="n"/>
      <c r="B436" s="506" t="n"/>
      <c r="C436" s="141" t="n"/>
      <c r="D436" s="141" t="n"/>
      <c r="E436" s="141" t="n"/>
      <c r="F436" s="141" t="n"/>
      <c r="G436" s="143" t="n"/>
      <c r="H436" s="27" t="n"/>
    </row>
    <row r="437" ht="17.25" customHeight="1" s="322">
      <c r="A437" s="27" t="n"/>
      <c r="B437" s="506" t="n"/>
      <c r="C437" s="141" t="n"/>
      <c r="D437" s="141" t="n"/>
      <c r="E437" s="141" t="n"/>
      <c r="F437" s="141" t="n"/>
      <c r="G437" s="143" t="n"/>
      <c r="H437" s="27" t="n"/>
    </row>
    <row r="438" ht="17.25" customHeight="1" s="322">
      <c r="A438" s="27" t="n"/>
      <c r="B438" s="506" t="n"/>
      <c r="C438" s="141" t="n"/>
      <c r="D438" s="141" t="n"/>
      <c r="E438" s="141" t="n"/>
      <c r="F438" s="141" t="n"/>
      <c r="G438" s="143" t="n"/>
      <c r="H438" s="27" t="n"/>
    </row>
    <row r="439" ht="17.25" customHeight="1" s="322">
      <c r="A439" s="27" t="n"/>
      <c r="B439" s="506" t="n"/>
      <c r="C439" s="141" t="n"/>
      <c r="D439" s="141" t="n"/>
      <c r="E439" s="141" t="n"/>
      <c r="F439" s="141" t="n"/>
      <c r="G439" s="143" t="n"/>
      <c r="H439" s="27" t="n"/>
    </row>
    <row r="440" ht="17.25" customHeight="1" s="322">
      <c r="A440" s="27" t="n"/>
      <c r="B440" s="506" t="n"/>
      <c r="C440" s="141" t="n"/>
      <c r="D440" s="141" t="n"/>
      <c r="E440" s="141" t="n"/>
      <c r="F440" s="141" t="n"/>
      <c r="G440" s="143" t="n"/>
      <c r="H440" s="27" t="n"/>
    </row>
    <row r="441" ht="17.25" customHeight="1" s="322">
      <c r="A441" s="27" t="n"/>
      <c r="B441" s="506" t="n"/>
      <c r="C441" s="141" t="n"/>
      <c r="D441" s="141" t="n"/>
      <c r="E441" s="141" t="n"/>
      <c r="F441" s="141" t="n"/>
      <c r="G441" s="143" t="n"/>
      <c r="H441" s="27" t="n"/>
    </row>
    <row r="442" ht="17.25" customHeight="1" s="322">
      <c r="A442" s="27" t="n"/>
      <c r="B442" s="506" t="n"/>
      <c r="C442" s="141" t="n"/>
      <c r="D442" s="141" t="n"/>
      <c r="E442" s="141" t="n"/>
      <c r="F442" s="141" t="n"/>
      <c r="G442" s="143" t="n"/>
      <c r="H442" s="27" t="n"/>
    </row>
    <row r="443" ht="17.25" customHeight="1" s="322">
      <c r="A443" s="27" t="n"/>
      <c r="B443" s="506" t="n"/>
      <c r="C443" s="141" t="n"/>
      <c r="D443" s="141" t="n"/>
      <c r="E443" s="141" t="n"/>
      <c r="F443" s="141" t="n"/>
      <c r="G443" s="143" t="n"/>
      <c r="H443" s="27" t="n"/>
    </row>
    <row r="444" ht="17.25" customHeight="1" s="322">
      <c r="A444" s="27" t="n"/>
      <c r="B444" s="506" t="n"/>
      <c r="C444" s="141" t="n"/>
      <c r="D444" s="141" t="n"/>
      <c r="E444" s="141" t="n"/>
      <c r="F444" s="141" t="n"/>
      <c r="G444" s="143" t="n"/>
      <c r="H444" s="27" t="n"/>
    </row>
    <row r="445" ht="17.25" customHeight="1" s="322">
      <c r="A445" s="27" t="n"/>
      <c r="B445" s="506" t="n"/>
      <c r="C445" s="141" t="n"/>
      <c r="D445" s="141" t="n"/>
      <c r="E445" s="141" t="n"/>
      <c r="F445" s="141" t="n"/>
      <c r="G445" s="143" t="n"/>
      <c r="H445" s="27" t="n"/>
    </row>
    <row r="446" ht="17.25" customHeight="1" s="322">
      <c r="A446" s="27" t="n"/>
      <c r="B446" s="506" t="n"/>
      <c r="C446" s="141" t="n"/>
      <c r="D446" s="141" t="n"/>
      <c r="E446" s="141" t="n"/>
      <c r="F446" s="141" t="n"/>
      <c r="G446" s="143" t="n"/>
      <c r="H446" s="27" t="n"/>
    </row>
    <row r="447" ht="17.25" customHeight="1" s="322">
      <c r="A447" s="27" t="n"/>
      <c r="B447" s="506" t="n"/>
      <c r="C447" s="141" t="n"/>
      <c r="D447" s="141" t="n"/>
      <c r="E447" s="141" t="n"/>
      <c r="F447" s="141" t="n"/>
      <c r="G447" s="143" t="n"/>
      <c r="H447" s="27" t="n"/>
    </row>
    <row r="448" ht="17.25" customHeight="1" s="322">
      <c r="A448" s="27" t="n"/>
      <c r="B448" s="506" t="n"/>
      <c r="C448" s="141" t="n"/>
      <c r="D448" s="141" t="n"/>
      <c r="E448" s="141" t="n"/>
      <c r="F448" s="141" t="n"/>
      <c r="G448" s="143" t="n"/>
      <c r="H448" s="27" t="n"/>
    </row>
    <row r="449" ht="17.25" customHeight="1" s="322">
      <c r="A449" s="27" t="n"/>
      <c r="B449" s="506" t="n"/>
      <c r="C449" s="141" t="n"/>
      <c r="D449" s="141" t="n"/>
      <c r="E449" s="141" t="n"/>
      <c r="F449" s="141" t="n"/>
      <c r="G449" s="143" t="n"/>
      <c r="H449" s="27" t="n"/>
    </row>
    <row r="450" ht="17.25" customHeight="1" s="322">
      <c r="A450" s="27" t="n"/>
      <c r="B450" s="506" t="n"/>
      <c r="C450" s="141" t="n"/>
      <c r="D450" s="141" t="n"/>
      <c r="E450" s="141" t="n"/>
      <c r="F450" s="141" t="n"/>
      <c r="G450" s="143" t="n"/>
      <c r="H450" s="27" t="n"/>
    </row>
    <row r="451" ht="17.25" customHeight="1" s="322">
      <c r="A451" s="27" t="n"/>
      <c r="B451" s="506" t="n"/>
      <c r="C451" s="141" t="n"/>
      <c r="D451" s="141" t="n"/>
      <c r="E451" s="141" t="n"/>
      <c r="F451" s="141" t="n"/>
      <c r="G451" s="143" t="n"/>
      <c r="H451" s="27" t="n"/>
    </row>
    <row r="452" ht="17.25" customHeight="1" s="322">
      <c r="A452" s="27" t="n"/>
      <c r="B452" s="506" t="n"/>
      <c r="C452" s="141" t="n"/>
      <c r="D452" s="141" t="n"/>
      <c r="E452" s="141" t="n"/>
      <c r="F452" s="141" t="n"/>
      <c r="G452" s="143" t="n"/>
      <c r="H452" s="27" t="n"/>
    </row>
    <row r="453" ht="17.25" customHeight="1" s="322">
      <c r="A453" s="27" t="n"/>
      <c r="B453" s="506" t="n"/>
      <c r="C453" s="141" t="n"/>
      <c r="D453" s="141" t="n"/>
      <c r="E453" s="141" t="n"/>
      <c r="F453" s="141" t="n"/>
      <c r="G453" s="143" t="n"/>
      <c r="H453" s="27" t="n"/>
    </row>
    <row r="454" ht="17.25" customHeight="1" s="322">
      <c r="A454" s="27" t="n"/>
      <c r="B454" s="506" t="n"/>
      <c r="C454" s="141" t="n"/>
      <c r="D454" s="141" t="n"/>
      <c r="E454" s="141" t="n"/>
      <c r="F454" s="141" t="n"/>
      <c r="G454" s="143" t="n"/>
      <c r="H454" s="27" t="n"/>
    </row>
    <row r="455" ht="17.25" customHeight="1" s="322">
      <c r="A455" s="27" t="n"/>
      <c r="B455" s="506" t="n"/>
      <c r="C455" s="141" t="n"/>
      <c r="D455" s="141" t="n"/>
      <c r="E455" s="141" t="n"/>
      <c r="F455" s="141" t="n"/>
      <c r="G455" s="143" t="n"/>
      <c r="H455" s="27" t="n"/>
    </row>
    <row r="456" ht="17.25" customHeight="1" s="322">
      <c r="A456" s="27" t="n"/>
      <c r="B456" s="506" t="n"/>
      <c r="C456" s="141" t="n"/>
      <c r="D456" s="141" t="n"/>
      <c r="E456" s="141" t="n"/>
      <c r="F456" s="141" t="n"/>
      <c r="G456" s="143" t="n"/>
      <c r="H456" s="27" t="n"/>
    </row>
    <row r="457" ht="17.25" customHeight="1" s="322">
      <c r="A457" s="27" t="n"/>
      <c r="B457" s="506" t="n"/>
      <c r="C457" s="141" t="n"/>
      <c r="D457" s="141" t="n"/>
      <c r="E457" s="141" t="n"/>
      <c r="F457" s="141" t="n"/>
      <c r="G457" s="143" t="n"/>
      <c r="H457" s="27" t="n"/>
    </row>
    <row r="458" ht="17.25" customHeight="1" s="322">
      <c r="A458" s="27" t="n"/>
      <c r="B458" s="506" t="n"/>
      <c r="C458" s="141" t="n"/>
      <c r="D458" s="141" t="n"/>
      <c r="E458" s="141" t="n"/>
      <c r="F458" s="141" t="n"/>
      <c r="G458" s="143" t="n"/>
      <c r="H458" s="27" t="n"/>
    </row>
    <row r="459" ht="17.25" customHeight="1" s="322">
      <c r="A459" s="27" t="n"/>
      <c r="B459" s="506" t="n"/>
      <c r="C459" s="141" t="n"/>
      <c r="D459" s="141" t="n"/>
      <c r="E459" s="141" t="n"/>
      <c r="F459" s="141" t="n"/>
      <c r="G459" s="143" t="n"/>
      <c r="H459" s="27" t="n"/>
    </row>
    <row r="460" ht="17.25" customHeight="1" s="322">
      <c r="A460" s="27" t="n"/>
      <c r="B460" s="506" t="n"/>
      <c r="C460" s="141" t="n"/>
      <c r="D460" s="141" t="n"/>
      <c r="E460" s="141" t="n"/>
      <c r="F460" s="141" t="n"/>
      <c r="G460" s="143" t="n"/>
      <c r="H460" s="27" t="n"/>
    </row>
    <row r="461" ht="17.25" customHeight="1" s="322">
      <c r="A461" s="27" t="n"/>
      <c r="B461" s="506" t="n"/>
      <c r="C461" s="141" t="n"/>
      <c r="D461" s="141" t="n"/>
      <c r="E461" s="141" t="n"/>
      <c r="F461" s="141" t="n"/>
      <c r="G461" s="143" t="n"/>
      <c r="H461" s="27" t="n"/>
    </row>
    <row r="462" ht="17.25" customHeight="1" s="322">
      <c r="A462" s="27" t="n"/>
      <c r="B462" s="506" t="n"/>
      <c r="C462" s="141" t="n"/>
      <c r="D462" s="141" t="n"/>
      <c r="E462" s="141" t="n"/>
      <c r="F462" s="141" t="n"/>
      <c r="G462" s="143" t="n"/>
      <c r="H462" s="27" t="n"/>
    </row>
    <row r="463" ht="17.25" customHeight="1" s="322">
      <c r="A463" s="27" t="n"/>
      <c r="B463" s="506" t="n"/>
      <c r="C463" s="141" t="n"/>
      <c r="D463" s="141" t="n"/>
      <c r="E463" s="141" t="n"/>
      <c r="F463" s="141" t="n"/>
      <c r="G463" s="143" t="n"/>
      <c r="H463" s="27" t="n"/>
    </row>
    <row r="464" ht="17.25" customHeight="1" s="322">
      <c r="A464" s="27" t="n"/>
      <c r="B464" s="506" t="n"/>
      <c r="C464" s="141" t="n"/>
      <c r="D464" s="141" t="n"/>
      <c r="E464" s="141" t="n"/>
      <c r="F464" s="141" t="n"/>
      <c r="G464" s="143" t="n"/>
      <c r="H464" s="27" t="n"/>
    </row>
    <row r="465" ht="17.25" customHeight="1" s="322">
      <c r="A465" s="27" t="n"/>
      <c r="B465" s="506" t="n"/>
      <c r="C465" s="141" t="n"/>
      <c r="D465" s="141" t="n"/>
      <c r="E465" s="141" t="n"/>
      <c r="F465" s="141" t="n"/>
      <c r="G465" s="143" t="n"/>
      <c r="H465" s="27" t="n"/>
    </row>
    <row r="466" ht="17.25" customHeight="1" s="322">
      <c r="A466" s="27" t="n"/>
      <c r="B466" s="506" t="n"/>
      <c r="C466" s="141" t="n"/>
      <c r="D466" s="141" t="n"/>
      <c r="E466" s="141" t="n"/>
      <c r="F466" s="141" t="n"/>
      <c r="G466" s="143" t="n"/>
      <c r="H466" s="27" t="n"/>
    </row>
    <row r="467" ht="17.25" customHeight="1" s="322">
      <c r="A467" s="27" t="n"/>
      <c r="B467" s="506" t="n"/>
      <c r="C467" s="141" t="n"/>
      <c r="D467" s="141" t="n"/>
      <c r="E467" s="141" t="n"/>
      <c r="F467" s="141" t="n"/>
      <c r="G467" s="143" t="n"/>
      <c r="H467" s="27" t="n"/>
    </row>
    <row r="468" ht="17.25" customHeight="1" s="322">
      <c r="A468" s="27" t="n"/>
      <c r="B468" s="506" t="n"/>
      <c r="C468" s="141" t="n"/>
      <c r="D468" s="141" t="n"/>
      <c r="E468" s="141" t="n"/>
      <c r="F468" s="141" t="n"/>
      <c r="G468" s="143" t="n"/>
      <c r="H468" s="27" t="n"/>
    </row>
    <row r="469" ht="17.25" customHeight="1" s="322">
      <c r="A469" s="27" t="n"/>
      <c r="B469" s="506" t="n"/>
      <c r="C469" s="141" t="n"/>
      <c r="D469" s="141" t="n"/>
      <c r="E469" s="141" t="n"/>
      <c r="F469" s="141" t="n"/>
      <c r="G469" s="143" t="n"/>
      <c r="H469" s="27" t="n"/>
    </row>
    <row r="470" ht="17.25" customHeight="1" s="322">
      <c r="A470" s="27" t="n"/>
      <c r="B470" s="506" t="n"/>
      <c r="C470" s="141" t="n"/>
      <c r="D470" s="141" t="n"/>
      <c r="E470" s="141" t="n"/>
      <c r="F470" s="141" t="n"/>
      <c r="G470" s="143" t="n"/>
      <c r="H470" s="27" t="n"/>
    </row>
    <row r="471" ht="17.25" customHeight="1" s="322">
      <c r="A471" s="27" t="n"/>
      <c r="B471" s="506" t="n"/>
      <c r="C471" s="141" t="n"/>
      <c r="D471" s="141" t="n"/>
      <c r="E471" s="141" t="n"/>
      <c r="F471" s="141" t="n"/>
      <c r="G471" s="143" t="n"/>
      <c r="H471" s="27" t="n"/>
    </row>
    <row r="472" ht="17.25" customHeight="1" s="322">
      <c r="A472" s="27" t="n"/>
      <c r="B472" s="506" t="n"/>
      <c r="C472" s="141" t="n"/>
      <c r="D472" s="141" t="n"/>
      <c r="E472" s="141" t="n"/>
      <c r="F472" s="141" t="n"/>
      <c r="G472" s="143" t="n"/>
      <c r="H472" s="27" t="n"/>
    </row>
    <row r="473" ht="17.25" customHeight="1" s="322">
      <c r="A473" s="27" t="n"/>
      <c r="B473" s="506" t="n"/>
      <c r="C473" s="141" t="n"/>
      <c r="D473" s="141" t="n"/>
      <c r="E473" s="141" t="n"/>
      <c r="F473" s="141" t="n"/>
      <c r="G473" s="143" t="n"/>
      <c r="H473" s="27" t="n"/>
    </row>
    <row r="474" ht="17.25" customHeight="1" s="322">
      <c r="A474" s="27" t="n"/>
      <c r="B474" s="506" t="n"/>
      <c r="C474" s="141" t="n"/>
      <c r="D474" s="141" t="n"/>
      <c r="E474" s="141" t="n"/>
      <c r="F474" s="141" t="n"/>
      <c r="G474" s="143" t="n"/>
      <c r="H474" s="27" t="n"/>
    </row>
    <row r="475" ht="17.25" customHeight="1" s="322">
      <c r="A475" s="27" t="n"/>
      <c r="B475" s="506" t="n"/>
      <c r="C475" s="141" t="n"/>
      <c r="D475" s="141" t="n"/>
      <c r="E475" s="141" t="n"/>
      <c r="F475" s="141" t="n"/>
      <c r="G475" s="143" t="n"/>
      <c r="H475" s="27" t="n"/>
    </row>
    <row r="476" ht="17.25" customHeight="1" s="322">
      <c r="A476" s="27" t="n"/>
      <c r="B476" s="506" t="n"/>
      <c r="C476" s="141" t="n"/>
      <c r="D476" s="141" t="n"/>
      <c r="E476" s="141" t="n"/>
      <c r="F476" s="141" t="n"/>
      <c r="G476" s="143" t="n"/>
      <c r="H476" s="27" t="n"/>
    </row>
    <row r="477" ht="17.25" customHeight="1" s="322">
      <c r="A477" s="27" t="n"/>
      <c r="B477" s="506" t="n"/>
      <c r="C477" s="141" t="n"/>
      <c r="D477" s="141" t="n"/>
      <c r="E477" s="141" t="n"/>
      <c r="F477" s="141" t="n"/>
      <c r="G477" s="143" t="n"/>
      <c r="H477" s="27" t="n"/>
    </row>
    <row r="478" ht="17.25" customHeight="1" s="322">
      <c r="A478" s="27" t="n"/>
      <c r="B478" s="506" t="n"/>
      <c r="C478" s="141" t="n"/>
      <c r="D478" s="141" t="n"/>
      <c r="E478" s="141" t="n"/>
      <c r="F478" s="141" t="n"/>
      <c r="G478" s="143" t="n"/>
      <c r="H478" s="27" t="n"/>
    </row>
    <row r="479" ht="17.25" customHeight="1" s="322">
      <c r="A479" s="27" t="n"/>
      <c r="B479" s="506" t="n"/>
      <c r="C479" s="141" t="n"/>
      <c r="D479" s="141" t="n"/>
      <c r="E479" s="141" t="n"/>
      <c r="F479" s="141" t="n"/>
      <c r="G479" s="143" t="n"/>
      <c r="H479" s="27" t="n"/>
    </row>
    <row r="480" ht="17.25" customHeight="1" s="322">
      <c r="A480" s="27" t="n"/>
      <c r="B480" s="506" t="n"/>
      <c r="C480" s="141" t="n"/>
      <c r="D480" s="141" t="n"/>
      <c r="E480" s="141" t="n"/>
      <c r="F480" s="141" t="n"/>
      <c r="G480" s="143" t="n"/>
      <c r="H480" s="27" t="n"/>
    </row>
    <row r="481" ht="17.25" customHeight="1" s="322">
      <c r="A481" s="27" t="n"/>
      <c r="B481" s="506" t="n"/>
      <c r="C481" s="141" t="n"/>
      <c r="D481" s="141" t="n"/>
      <c r="E481" s="141" t="n"/>
      <c r="F481" s="141" t="n"/>
      <c r="G481" s="143" t="n"/>
      <c r="H481" s="27" t="n"/>
    </row>
    <row r="482" ht="17.25" customHeight="1" s="322">
      <c r="A482" s="27" t="n"/>
      <c r="B482" s="506" t="n"/>
      <c r="C482" s="141" t="n"/>
      <c r="D482" s="141" t="n"/>
      <c r="E482" s="141" t="n"/>
      <c r="F482" s="141" t="n"/>
      <c r="G482" s="143" t="n"/>
      <c r="H482" s="27" t="n"/>
    </row>
    <row r="483" ht="17.25" customHeight="1" s="322">
      <c r="A483" s="27" t="n"/>
      <c r="B483" s="506" t="n"/>
      <c r="C483" s="141" t="n"/>
      <c r="D483" s="141" t="n"/>
      <c r="E483" s="141" t="n"/>
      <c r="F483" s="141" t="n"/>
      <c r="G483" s="143" t="n"/>
      <c r="H483" s="27" t="n"/>
    </row>
    <row r="484" ht="17.25" customHeight="1" s="322">
      <c r="A484" s="27" t="n"/>
      <c r="B484" s="506" t="n"/>
      <c r="C484" s="141" t="n"/>
      <c r="D484" s="141" t="n"/>
      <c r="E484" s="141" t="n"/>
      <c r="F484" s="141" t="n"/>
      <c r="G484" s="143" t="n"/>
      <c r="H484" s="27" t="n"/>
    </row>
    <row r="485" ht="17.25" customHeight="1" s="322">
      <c r="A485" s="27" t="n"/>
      <c r="B485" s="506" t="n"/>
      <c r="C485" s="141" t="n"/>
      <c r="D485" s="141" t="n"/>
      <c r="E485" s="141" t="n"/>
      <c r="F485" s="141" t="n"/>
      <c r="G485" s="143" t="n"/>
      <c r="H485" s="27" t="n"/>
    </row>
    <row r="486" ht="17.25" customHeight="1" s="322">
      <c r="A486" s="27" t="n"/>
      <c r="B486" s="506" t="n"/>
      <c r="C486" s="141" t="n"/>
      <c r="D486" s="141" t="n"/>
      <c r="E486" s="141" t="n"/>
      <c r="F486" s="141" t="n"/>
      <c r="G486" s="143" t="n"/>
      <c r="H486" s="27" t="n"/>
    </row>
    <row r="487" ht="17.25" customHeight="1" s="322">
      <c r="A487" s="27" t="n"/>
      <c r="B487" s="506" t="n"/>
      <c r="C487" s="141" t="n"/>
      <c r="D487" s="141" t="n"/>
      <c r="E487" s="141" t="n"/>
      <c r="F487" s="141" t="n"/>
      <c r="G487" s="143" t="n"/>
      <c r="H487" s="27" t="n"/>
    </row>
    <row r="488" ht="17.25" customHeight="1" s="322">
      <c r="A488" s="27" t="n"/>
      <c r="B488" s="506" t="n"/>
      <c r="C488" s="141" t="n"/>
      <c r="D488" s="141" t="n"/>
      <c r="E488" s="141" t="n"/>
      <c r="F488" s="141" t="n"/>
      <c r="G488" s="143" t="n"/>
      <c r="H488" s="27" t="n"/>
    </row>
    <row r="489" ht="17.25" customHeight="1" s="322">
      <c r="A489" s="27" t="n"/>
      <c r="B489" s="506" t="n"/>
      <c r="C489" s="141" t="n"/>
      <c r="D489" s="141" t="n"/>
      <c r="E489" s="141" t="n"/>
      <c r="F489" s="141" t="n"/>
      <c r="G489" s="143" t="n"/>
      <c r="H489" s="27" t="n"/>
    </row>
    <row r="490" ht="17.25" customHeight="1" s="322">
      <c r="A490" s="27" t="n"/>
      <c r="B490" s="506" t="n"/>
      <c r="C490" s="141" t="n"/>
      <c r="D490" s="141" t="n"/>
      <c r="E490" s="141" t="n"/>
      <c r="F490" s="141" t="n"/>
      <c r="G490" s="143" t="n"/>
      <c r="H490" s="27" t="n"/>
    </row>
    <row r="491" ht="17.25" customHeight="1" s="322">
      <c r="A491" s="27" t="n"/>
      <c r="B491" s="506" t="n"/>
      <c r="C491" s="141" t="n"/>
      <c r="D491" s="141" t="n"/>
      <c r="E491" s="141" t="n"/>
      <c r="F491" s="141" t="n"/>
      <c r="G491" s="143" t="n"/>
      <c r="H491" s="27" t="n"/>
    </row>
    <row r="492" ht="17.25" customHeight="1" s="322">
      <c r="A492" s="27" t="n"/>
      <c r="B492" s="506" t="n"/>
      <c r="C492" s="141" t="n"/>
      <c r="D492" s="141" t="n"/>
      <c r="E492" s="141" t="n"/>
      <c r="F492" s="141" t="n"/>
      <c r="G492" s="143" t="n"/>
      <c r="H492" s="27" t="n"/>
    </row>
    <row r="493" ht="17.25" customHeight="1" s="322">
      <c r="A493" s="27" t="n"/>
      <c r="B493" s="506" t="n"/>
      <c r="C493" s="141" t="n"/>
      <c r="D493" s="141" t="n"/>
      <c r="E493" s="141" t="n"/>
      <c r="F493" s="141" t="n"/>
      <c r="G493" s="143" t="n"/>
      <c r="H493" s="27" t="n"/>
    </row>
    <row r="494" ht="17.25" customHeight="1" s="322">
      <c r="A494" s="27" t="n"/>
      <c r="B494" s="506" t="n"/>
      <c r="C494" s="141" t="n"/>
      <c r="D494" s="141" t="n"/>
      <c r="E494" s="141" t="n"/>
      <c r="F494" s="141" t="n"/>
      <c r="G494" s="143" t="n"/>
      <c r="H494" s="27" t="n"/>
    </row>
    <row r="495" ht="17.25" customHeight="1" s="322">
      <c r="A495" s="27" t="n"/>
      <c r="B495" s="506" t="n"/>
      <c r="C495" s="141" t="n"/>
      <c r="D495" s="141" t="n"/>
      <c r="E495" s="141" t="n"/>
      <c r="F495" s="141" t="n"/>
      <c r="G495" s="143" t="n"/>
      <c r="H495" s="27" t="n"/>
    </row>
    <row r="496" ht="17.25" customHeight="1" s="322">
      <c r="A496" s="27" t="n"/>
      <c r="B496" s="506" t="n"/>
      <c r="C496" s="141" t="n"/>
      <c r="D496" s="141" t="n"/>
      <c r="E496" s="141" t="n"/>
      <c r="F496" s="141" t="n"/>
      <c r="G496" s="143" t="n"/>
      <c r="H496" s="27" t="n"/>
    </row>
    <row r="497" ht="17.25" customHeight="1" s="322">
      <c r="A497" s="27" t="n"/>
      <c r="B497" s="506" t="n"/>
      <c r="C497" s="141" t="n"/>
      <c r="D497" s="141" t="n"/>
      <c r="E497" s="141" t="n"/>
      <c r="F497" s="141" t="n"/>
      <c r="G497" s="143" t="n"/>
      <c r="H497" s="27" t="n"/>
    </row>
    <row r="498" ht="17.25" customHeight="1" s="322">
      <c r="A498" s="27" t="n"/>
      <c r="B498" s="506" t="n"/>
      <c r="C498" s="141" t="n"/>
      <c r="D498" s="141" t="n"/>
      <c r="E498" s="141" t="n"/>
      <c r="F498" s="141" t="n"/>
      <c r="G498" s="143" t="n"/>
      <c r="H498" s="27" t="n"/>
    </row>
    <row r="499" ht="17.25" customHeight="1" s="322">
      <c r="A499" s="27" t="n"/>
      <c r="B499" s="506" t="n"/>
      <c r="C499" s="141" t="n"/>
      <c r="D499" s="141" t="n"/>
      <c r="E499" s="141" t="n"/>
      <c r="F499" s="141" t="n"/>
      <c r="G499" s="143" t="n"/>
      <c r="H499" s="27" t="n"/>
    </row>
    <row r="500" ht="17.25" customHeight="1" s="322">
      <c r="A500" s="27" t="n"/>
      <c r="B500" s="506" t="n"/>
      <c r="C500" s="141" t="n"/>
      <c r="D500" s="141" t="n"/>
      <c r="E500" s="141" t="n"/>
      <c r="F500" s="141" t="n"/>
      <c r="G500" s="143" t="n"/>
      <c r="H500" s="27" t="n"/>
    </row>
    <row r="501" ht="17.25" customHeight="1" s="322">
      <c r="A501" s="27" t="n"/>
      <c r="B501" s="506" t="n"/>
      <c r="C501" s="141" t="n"/>
      <c r="D501" s="141" t="n"/>
      <c r="E501" s="141" t="n"/>
      <c r="F501" s="141" t="n"/>
      <c r="G501" s="143" t="n"/>
      <c r="H501" s="27" t="n"/>
    </row>
    <row r="502" ht="17.25" customHeight="1" s="322">
      <c r="A502" s="27" t="n"/>
      <c r="B502" s="506" t="n"/>
      <c r="C502" s="141" t="n"/>
      <c r="D502" s="141" t="n"/>
      <c r="E502" s="141" t="n"/>
      <c r="F502" s="141" t="n"/>
      <c r="G502" s="143" t="n"/>
      <c r="H502" s="27" t="n"/>
    </row>
    <row r="503" ht="17.25" customHeight="1" s="322">
      <c r="A503" s="27" t="n"/>
      <c r="B503" s="506" t="n"/>
      <c r="C503" s="141" t="n"/>
      <c r="D503" s="141" t="n"/>
      <c r="E503" s="141" t="n"/>
      <c r="F503" s="141" t="n"/>
      <c r="G503" s="143" t="n"/>
      <c r="H503" s="27" t="n"/>
    </row>
    <row r="504" ht="17.25" customHeight="1" s="322">
      <c r="A504" s="27" t="n"/>
      <c r="B504" s="506" t="n"/>
      <c r="C504" s="141" t="n"/>
      <c r="D504" s="141" t="n"/>
      <c r="E504" s="141" t="n"/>
      <c r="F504" s="141" t="n"/>
      <c r="G504" s="143" t="n"/>
      <c r="H504" s="27" t="n"/>
    </row>
    <row r="505" ht="17.25" customHeight="1" s="322">
      <c r="A505" s="27" t="n"/>
      <c r="B505" s="506" t="n"/>
      <c r="C505" s="141" t="n"/>
      <c r="D505" s="141" t="n"/>
      <c r="E505" s="141" t="n"/>
      <c r="F505" s="141" t="n"/>
      <c r="G505" s="143" t="n"/>
      <c r="H505" s="27" t="n"/>
    </row>
    <row r="506" ht="17.25" customHeight="1" s="322">
      <c r="A506" s="27" t="n"/>
      <c r="B506" s="506" t="n"/>
      <c r="C506" s="141" t="n"/>
      <c r="D506" s="141" t="n"/>
      <c r="E506" s="141" t="n"/>
      <c r="F506" s="141" t="n"/>
      <c r="G506" s="143" t="n"/>
      <c r="H506" s="27" t="n"/>
    </row>
    <row r="507" ht="17.25" customHeight="1" s="322">
      <c r="A507" s="27" t="n"/>
      <c r="B507" s="506" t="n"/>
      <c r="C507" s="141" t="n"/>
      <c r="D507" s="141" t="n"/>
      <c r="E507" s="141" t="n"/>
      <c r="F507" s="141" t="n"/>
      <c r="G507" s="143" t="n"/>
      <c r="H507" s="27" t="n"/>
    </row>
    <row r="508" ht="17.25" customHeight="1" s="322">
      <c r="A508" s="27" t="n"/>
      <c r="B508" s="506" t="n"/>
      <c r="C508" s="141" t="n"/>
      <c r="D508" s="141" t="n"/>
      <c r="E508" s="141" t="n"/>
      <c r="F508" s="141" t="n"/>
      <c r="G508" s="143" t="n"/>
      <c r="H508" s="27" t="n"/>
    </row>
    <row r="509" ht="17.25" customHeight="1" s="322">
      <c r="A509" s="27" t="n"/>
      <c r="B509" s="506" t="n"/>
      <c r="C509" s="141" t="n"/>
      <c r="D509" s="141" t="n"/>
      <c r="E509" s="141" t="n"/>
      <c r="F509" s="141" t="n"/>
      <c r="G509" s="143" t="n"/>
      <c r="H509" s="27" t="n"/>
    </row>
    <row r="510" ht="17.25" customHeight="1" s="322">
      <c r="A510" s="27" t="n"/>
      <c r="B510" s="506" t="n"/>
      <c r="C510" s="141" t="n"/>
      <c r="D510" s="141" t="n"/>
      <c r="E510" s="141" t="n"/>
      <c r="F510" s="141" t="n"/>
      <c r="G510" s="143" t="n"/>
      <c r="H510" s="27" t="n"/>
    </row>
    <row r="511" ht="17.25" customHeight="1" s="322">
      <c r="A511" s="27" t="n"/>
      <c r="B511" s="506" t="n"/>
      <c r="C511" s="141" t="n"/>
      <c r="D511" s="141" t="n"/>
      <c r="E511" s="141" t="n"/>
      <c r="F511" s="141" t="n"/>
      <c r="G511" s="143" t="n"/>
      <c r="H511" s="27" t="n"/>
    </row>
    <row r="512" ht="17.25" customHeight="1" s="322">
      <c r="A512" s="27" t="n"/>
      <c r="B512" s="506" t="n"/>
      <c r="C512" s="141" t="n"/>
      <c r="D512" s="141" t="n"/>
      <c r="E512" s="141" t="n"/>
      <c r="F512" s="141" t="n"/>
      <c r="G512" s="143" t="n"/>
      <c r="H512" s="27" t="n"/>
    </row>
    <row r="513" ht="17.25" customHeight="1" s="322">
      <c r="A513" s="27" t="n"/>
      <c r="B513" s="506" t="n"/>
      <c r="C513" s="141" t="n"/>
      <c r="D513" s="141" t="n"/>
      <c r="E513" s="141" t="n"/>
      <c r="F513" s="141" t="n"/>
      <c r="G513" s="143" t="n"/>
      <c r="H513" s="27" t="n"/>
    </row>
    <row r="514" ht="17.25" customHeight="1" s="322">
      <c r="A514" s="27" t="n"/>
      <c r="B514" s="506" t="n"/>
      <c r="C514" s="141" t="n"/>
      <c r="D514" s="141" t="n"/>
      <c r="E514" s="141" t="n"/>
      <c r="F514" s="141" t="n"/>
      <c r="G514" s="143" t="n"/>
      <c r="H514" s="27" t="n"/>
    </row>
    <row r="515" ht="17.25" customHeight="1" s="322">
      <c r="A515" s="27" t="n"/>
      <c r="B515" s="506" t="n"/>
      <c r="C515" s="141" t="n"/>
      <c r="D515" s="141" t="n"/>
      <c r="E515" s="141" t="n"/>
      <c r="F515" s="141" t="n"/>
      <c r="G515" s="143" t="n"/>
      <c r="H515" s="27" t="n"/>
    </row>
    <row r="516" ht="17.25" customHeight="1" s="322">
      <c r="A516" s="27" t="n"/>
      <c r="B516" s="506" t="n"/>
      <c r="C516" s="141" t="n"/>
      <c r="D516" s="141" t="n"/>
      <c r="E516" s="141" t="n"/>
      <c r="F516" s="141" t="n"/>
      <c r="G516" s="143" t="n"/>
      <c r="H516" s="27" t="n"/>
    </row>
    <row r="517" ht="17.25" customHeight="1" s="322">
      <c r="A517" s="27" t="n"/>
      <c r="B517" s="506" t="n"/>
      <c r="C517" s="141" t="n"/>
      <c r="D517" s="141" t="n"/>
      <c r="E517" s="141" t="n"/>
      <c r="F517" s="141" t="n"/>
      <c r="G517" s="143" t="n"/>
      <c r="H517" s="27" t="n"/>
    </row>
    <row r="518" ht="17.25" customHeight="1" s="322">
      <c r="A518" s="27" t="n"/>
      <c r="B518" s="506" t="n"/>
      <c r="C518" s="141" t="n"/>
      <c r="D518" s="141" t="n"/>
      <c r="E518" s="141" t="n"/>
      <c r="F518" s="141" t="n"/>
      <c r="G518" s="143" t="n"/>
      <c r="H518" s="27" t="n"/>
    </row>
    <row r="519" ht="17.25" customHeight="1" s="322">
      <c r="A519" s="27" t="n"/>
      <c r="B519" s="506" t="n"/>
      <c r="C519" s="141" t="n"/>
      <c r="D519" s="141" t="n"/>
      <c r="E519" s="141" t="n"/>
      <c r="F519" s="141" t="n"/>
      <c r="G519" s="143" t="n"/>
      <c r="H519" s="27" t="n"/>
    </row>
    <row r="520" ht="17.25" customHeight="1" s="322">
      <c r="A520" s="27" t="n"/>
      <c r="B520" s="506" t="n"/>
      <c r="C520" s="141" t="n"/>
      <c r="D520" s="141" t="n"/>
      <c r="E520" s="141" t="n"/>
      <c r="F520" s="141" t="n"/>
      <c r="G520" s="143" t="n"/>
      <c r="H520" s="27" t="n"/>
    </row>
    <row r="521" ht="17.25" customHeight="1" s="322">
      <c r="A521" s="27" t="n"/>
      <c r="B521" s="506" t="n"/>
      <c r="C521" s="141" t="n"/>
      <c r="D521" s="141" t="n"/>
      <c r="E521" s="141" t="n"/>
      <c r="F521" s="141" t="n"/>
      <c r="G521" s="143" t="n"/>
      <c r="H521" s="27" t="n"/>
    </row>
    <row r="522" ht="17.25" customHeight="1" s="322">
      <c r="A522" s="27" t="n"/>
      <c r="B522" s="506" t="n"/>
      <c r="C522" s="141" t="n"/>
      <c r="D522" s="141" t="n"/>
      <c r="E522" s="141" t="n"/>
      <c r="F522" s="141" t="n"/>
      <c r="G522" s="143" t="n"/>
      <c r="H522" s="27" t="n"/>
    </row>
    <row r="523" ht="17.25" customHeight="1" s="322">
      <c r="A523" s="27" t="n"/>
      <c r="B523" s="506" t="n"/>
      <c r="C523" s="141" t="n"/>
      <c r="D523" s="141" t="n"/>
      <c r="E523" s="141" t="n"/>
      <c r="F523" s="141" t="n"/>
      <c r="G523" s="143" t="n"/>
      <c r="H523" s="27" t="n"/>
    </row>
    <row r="524" ht="17.25" customHeight="1" s="322">
      <c r="A524" s="27" t="n"/>
      <c r="B524" s="506" t="n"/>
      <c r="C524" s="141" t="n"/>
      <c r="D524" s="141" t="n"/>
      <c r="E524" s="141" t="n"/>
      <c r="F524" s="141" t="n"/>
      <c r="G524" s="143" t="n"/>
      <c r="H524" s="27" t="n"/>
    </row>
    <row r="525" ht="17.25" customHeight="1" s="322">
      <c r="A525" s="27" t="n"/>
      <c r="B525" s="506" t="n"/>
      <c r="C525" s="141" t="n"/>
      <c r="D525" s="141" t="n"/>
      <c r="E525" s="141" t="n"/>
      <c r="F525" s="141" t="n"/>
      <c r="G525" s="143" t="n"/>
      <c r="H525" s="27" t="n"/>
    </row>
    <row r="526" ht="17.25" customHeight="1" s="322">
      <c r="A526" s="27" t="n"/>
      <c r="B526" s="506" t="n"/>
      <c r="C526" s="141" t="n"/>
      <c r="D526" s="141" t="n"/>
      <c r="E526" s="141" t="n"/>
      <c r="F526" s="141" t="n"/>
      <c r="G526" s="143" t="n"/>
      <c r="H526" s="27" t="n"/>
    </row>
    <row r="527" ht="17.25" customHeight="1" s="322">
      <c r="A527" s="27" t="n"/>
      <c r="B527" s="506" t="n"/>
      <c r="C527" s="141" t="n"/>
      <c r="D527" s="141" t="n"/>
      <c r="E527" s="141" t="n"/>
      <c r="F527" s="141" t="n"/>
      <c r="G527" s="143" t="n"/>
      <c r="H527" s="27" t="n"/>
    </row>
    <row r="528" ht="17.25" customHeight="1" s="322">
      <c r="A528" s="27" t="n"/>
      <c r="B528" s="506" t="n"/>
      <c r="C528" s="141" t="n"/>
      <c r="D528" s="141" t="n"/>
      <c r="E528" s="141" t="n"/>
      <c r="F528" s="141" t="n"/>
      <c r="G528" s="143" t="n"/>
      <c r="H528" s="27" t="n"/>
    </row>
    <row r="529" ht="17.25" customHeight="1" s="322">
      <c r="A529" s="27" t="n"/>
      <c r="B529" s="506" t="n"/>
      <c r="C529" s="141" t="n"/>
      <c r="D529" s="141" t="n"/>
      <c r="E529" s="141" t="n"/>
      <c r="F529" s="141" t="n"/>
      <c r="G529" s="143" t="n"/>
      <c r="H529" s="27" t="n"/>
    </row>
    <row r="530" ht="17.25" customHeight="1" s="322">
      <c r="A530" s="27" t="n"/>
      <c r="B530" s="506" t="n"/>
      <c r="C530" s="141" t="n"/>
      <c r="D530" s="141" t="n"/>
      <c r="E530" s="141" t="n"/>
      <c r="F530" s="141" t="n"/>
      <c r="G530" s="143" t="n"/>
      <c r="H530" s="27" t="n"/>
    </row>
    <row r="531" ht="17.25" customHeight="1" s="322">
      <c r="A531" s="27" t="n"/>
      <c r="B531" s="506" t="n"/>
      <c r="C531" s="141" t="n"/>
      <c r="D531" s="141" t="n"/>
      <c r="E531" s="141" t="n"/>
      <c r="F531" s="141" t="n"/>
      <c r="G531" s="143" t="n"/>
      <c r="H531" s="27" t="n"/>
    </row>
    <row r="532" ht="17.25" customHeight="1" s="322">
      <c r="A532" s="27" t="n"/>
      <c r="B532" s="506" t="n"/>
      <c r="C532" s="141" t="n"/>
      <c r="D532" s="141" t="n"/>
      <c r="E532" s="141" t="n"/>
      <c r="F532" s="141" t="n"/>
      <c r="G532" s="143" t="n"/>
      <c r="H532" s="27" t="n"/>
    </row>
    <row r="533" ht="17.25" customHeight="1" s="322">
      <c r="A533" s="27" t="n"/>
      <c r="B533" s="506" t="n"/>
      <c r="C533" s="141" t="n"/>
      <c r="D533" s="141" t="n"/>
      <c r="E533" s="141" t="n"/>
      <c r="F533" s="141" t="n"/>
      <c r="G533" s="143" t="n"/>
      <c r="H533" s="27" t="n"/>
    </row>
    <row r="534" ht="17.25" customHeight="1" s="322">
      <c r="A534" s="27" t="n"/>
      <c r="B534" s="506" t="n"/>
      <c r="C534" s="141" t="n"/>
      <c r="D534" s="141" t="n"/>
      <c r="E534" s="141" t="n"/>
      <c r="F534" s="141" t="n"/>
      <c r="G534" s="143" t="n"/>
      <c r="H534" s="27" t="n"/>
    </row>
    <row r="535" ht="17.25" customHeight="1" s="322">
      <c r="A535" s="27" t="n"/>
      <c r="B535" s="506" t="n"/>
      <c r="C535" s="141" t="n"/>
      <c r="D535" s="141" t="n"/>
      <c r="E535" s="141" t="n"/>
      <c r="F535" s="141" t="n"/>
      <c r="G535" s="143" t="n"/>
      <c r="H535" s="27" t="n"/>
    </row>
    <row r="536" ht="17.25" customHeight="1" s="322">
      <c r="A536" s="27" t="n"/>
      <c r="B536" s="506" t="n"/>
      <c r="C536" s="141" t="n"/>
      <c r="D536" s="141" t="n"/>
      <c r="E536" s="141" t="n"/>
      <c r="F536" s="141" t="n"/>
      <c r="G536" s="143" t="n"/>
      <c r="H536" s="27" t="n"/>
    </row>
    <row r="537" ht="17.25" customHeight="1" s="322">
      <c r="A537" s="27" t="n"/>
      <c r="B537" s="506" t="n"/>
      <c r="C537" s="141" t="n"/>
      <c r="D537" s="141" t="n"/>
      <c r="E537" s="141" t="n"/>
      <c r="F537" s="141" t="n"/>
      <c r="G537" s="143" t="n"/>
      <c r="H537" s="27" t="n"/>
    </row>
    <row r="538" ht="17.25" customHeight="1" s="322">
      <c r="A538" s="27" t="n"/>
      <c r="B538" s="506" t="n"/>
      <c r="C538" s="141" t="n"/>
      <c r="D538" s="141" t="n"/>
      <c r="E538" s="141" t="n"/>
      <c r="F538" s="141" t="n"/>
      <c r="G538" s="143" t="n"/>
      <c r="H538" s="27" t="n"/>
    </row>
    <row r="539" ht="17.25" customHeight="1" s="322">
      <c r="A539" s="27" t="n"/>
      <c r="B539" s="506" t="n"/>
      <c r="C539" s="141" t="n"/>
      <c r="D539" s="141" t="n"/>
      <c r="E539" s="141" t="n"/>
      <c r="F539" s="141" t="n"/>
      <c r="G539" s="143" t="n"/>
      <c r="H539" s="27" t="n"/>
    </row>
    <row r="540" ht="17.25" customHeight="1" s="322">
      <c r="A540" s="27" t="n"/>
      <c r="B540" s="506" t="n"/>
      <c r="C540" s="141" t="n"/>
      <c r="D540" s="141" t="n"/>
      <c r="E540" s="141" t="n"/>
      <c r="F540" s="141" t="n"/>
      <c r="G540" s="143" t="n"/>
      <c r="H540" s="27" t="n"/>
    </row>
    <row r="541" ht="17.25" customHeight="1" s="322">
      <c r="A541" s="27" t="n"/>
      <c r="B541" s="506" t="n"/>
      <c r="C541" s="141" t="n"/>
      <c r="D541" s="141" t="n"/>
      <c r="E541" s="141" t="n"/>
      <c r="F541" s="141" t="n"/>
      <c r="G541" s="143" t="n"/>
      <c r="H541" s="27" t="n"/>
    </row>
    <row r="542" ht="17.25" customHeight="1" s="322">
      <c r="A542" s="27" t="n"/>
      <c r="B542" s="506" t="n"/>
      <c r="C542" s="141" t="n"/>
      <c r="D542" s="141" t="n"/>
      <c r="E542" s="141" t="n"/>
      <c r="F542" s="141" t="n"/>
      <c r="G542" s="143" t="n"/>
      <c r="H542" s="27" t="n"/>
    </row>
    <row r="543" ht="17.25" customHeight="1" s="322">
      <c r="A543" s="27" t="n"/>
      <c r="B543" s="506" t="n"/>
      <c r="C543" s="141" t="n"/>
      <c r="D543" s="141" t="n"/>
      <c r="E543" s="141" t="n"/>
      <c r="F543" s="141" t="n"/>
      <c r="G543" s="143" t="n"/>
      <c r="H543" s="27" t="n"/>
    </row>
    <row r="544" ht="17.25" customHeight="1" s="322">
      <c r="A544" s="27" t="n"/>
      <c r="B544" s="506" t="n"/>
      <c r="C544" s="141" t="n"/>
      <c r="D544" s="141" t="n"/>
      <c r="E544" s="141" t="n"/>
      <c r="F544" s="141" t="n"/>
      <c r="G544" s="143" t="n"/>
      <c r="H544" s="27" t="n"/>
    </row>
    <row r="545" ht="17.25" customHeight="1" s="322">
      <c r="A545" s="27" t="n"/>
      <c r="B545" s="506" t="n"/>
      <c r="C545" s="141" t="n"/>
      <c r="D545" s="141" t="n"/>
      <c r="E545" s="141" t="n"/>
      <c r="F545" s="141" t="n"/>
      <c r="G545" s="143" t="n"/>
      <c r="H545" s="27" t="n"/>
    </row>
    <row r="546" ht="17.25" customHeight="1" s="322">
      <c r="A546" s="27" t="n"/>
      <c r="B546" s="506" t="n"/>
      <c r="C546" s="141" t="n"/>
      <c r="D546" s="141" t="n"/>
      <c r="E546" s="141" t="n"/>
      <c r="F546" s="141" t="n"/>
      <c r="G546" s="143" t="n"/>
      <c r="H546" s="27" t="n"/>
    </row>
    <row r="547" ht="17.25" customHeight="1" s="322">
      <c r="A547" s="27" t="n"/>
      <c r="B547" s="506" t="n"/>
      <c r="C547" s="141" t="n"/>
      <c r="D547" s="141" t="n"/>
      <c r="E547" s="141" t="n"/>
      <c r="F547" s="141" t="n"/>
      <c r="G547" s="143" t="n"/>
      <c r="H547" s="27" t="n"/>
    </row>
    <row r="548" ht="17.25" customHeight="1" s="322">
      <c r="A548" s="27" t="n"/>
      <c r="B548" s="506" t="n"/>
      <c r="C548" s="141" t="n"/>
      <c r="D548" s="141" t="n"/>
      <c r="E548" s="141" t="n"/>
      <c r="F548" s="141" t="n"/>
      <c r="G548" s="143" t="n"/>
      <c r="H548" s="27" t="n"/>
    </row>
    <row r="549" ht="17.25" customHeight="1" s="322">
      <c r="A549" s="27" t="n"/>
      <c r="B549" s="506" t="n"/>
      <c r="C549" s="141" t="n"/>
      <c r="D549" s="141" t="n"/>
      <c r="E549" s="141" t="n"/>
      <c r="F549" s="141" t="n"/>
      <c r="G549" s="143" t="n"/>
      <c r="H549" s="27" t="n"/>
    </row>
    <row r="550" ht="17.25" customHeight="1" s="322">
      <c r="A550" s="27" t="n"/>
      <c r="B550" s="506" t="n"/>
      <c r="C550" s="141" t="n"/>
      <c r="D550" s="141" t="n"/>
      <c r="E550" s="141" t="n"/>
      <c r="F550" s="141" t="n"/>
      <c r="G550" s="143" t="n"/>
      <c r="H550" s="27" t="n"/>
    </row>
    <row r="551" ht="17.25" customHeight="1" s="322">
      <c r="A551" s="27" t="n"/>
      <c r="B551" s="506" t="n"/>
      <c r="C551" s="141" t="n"/>
      <c r="D551" s="141" t="n"/>
      <c r="E551" s="141" t="n"/>
      <c r="F551" s="141" t="n"/>
      <c r="G551" s="143" t="n"/>
      <c r="H551" s="27" t="n"/>
    </row>
    <row r="552" ht="17.25" customHeight="1" s="322">
      <c r="A552" s="27" t="n"/>
      <c r="B552" s="506" t="n"/>
      <c r="C552" s="141" t="n"/>
      <c r="D552" s="141" t="n"/>
      <c r="E552" s="141" t="n"/>
      <c r="F552" s="141" t="n"/>
      <c r="G552" s="143" t="n"/>
      <c r="H552" s="27" t="n"/>
    </row>
    <row r="553" ht="17.25" customHeight="1" s="322">
      <c r="A553" s="27" t="n"/>
      <c r="B553" s="506" t="n"/>
      <c r="C553" s="141" t="n"/>
      <c r="D553" s="141" t="n"/>
      <c r="E553" s="141" t="n"/>
      <c r="F553" s="141" t="n"/>
      <c r="G553" s="143" t="n"/>
      <c r="H553" s="27" t="n"/>
    </row>
    <row r="554" ht="17.25" customHeight="1" s="322">
      <c r="A554" s="27" t="n"/>
      <c r="B554" s="506" t="n"/>
      <c r="C554" s="141" t="n"/>
      <c r="D554" s="141" t="n"/>
      <c r="E554" s="141" t="n"/>
      <c r="F554" s="141" t="n"/>
      <c r="G554" s="143" t="n"/>
      <c r="H554" s="27" t="n"/>
    </row>
    <row r="555" ht="17.25" customHeight="1" s="322">
      <c r="A555" s="27" t="n"/>
      <c r="B555" s="506" t="n"/>
      <c r="C555" s="141" t="n"/>
      <c r="D555" s="141" t="n"/>
      <c r="E555" s="141" t="n"/>
      <c r="F555" s="141" t="n"/>
      <c r="G555" s="143" t="n"/>
      <c r="H555" s="27" t="n"/>
    </row>
    <row r="556" ht="17.25" customHeight="1" s="322">
      <c r="A556" s="27" t="n"/>
      <c r="B556" s="506" t="n"/>
      <c r="C556" s="141" t="n"/>
      <c r="D556" s="141" t="n"/>
      <c r="E556" s="141" t="n"/>
      <c r="F556" s="141" t="n"/>
      <c r="G556" s="143" t="n"/>
      <c r="H556" s="27" t="n"/>
    </row>
    <row r="557" ht="17.25" customHeight="1" s="322">
      <c r="A557" s="27" t="n"/>
      <c r="B557" s="506" t="n"/>
      <c r="C557" s="141" t="n"/>
      <c r="D557" s="141" t="n"/>
      <c r="E557" s="141" t="n"/>
      <c r="F557" s="141" t="n"/>
      <c r="G557" s="143" t="n"/>
      <c r="H557" s="27" t="n"/>
    </row>
    <row r="558" ht="17.25" customHeight="1" s="322">
      <c r="A558" s="27" t="n"/>
      <c r="B558" s="506" t="n"/>
      <c r="C558" s="141" t="n"/>
      <c r="D558" s="141" t="n"/>
      <c r="E558" s="141" t="n"/>
      <c r="F558" s="141" t="n"/>
      <c r="G558" s="143" t="n"/>
      <c r="H558" s="27" t="n"/>
    </row>
    <row r="559" ht="17.25" customHeight="1" s="322">
      <c r="A559" s="27" t="n"/>
      <c r="B559" s="506" t="n"/>
      <c r="C559" s="141" t="n"/>
      <c r="D559" s="141" t="n"/>
      <c r="E559" s="141" t="n"/>
      <c r="F559" s="141" t="n"/>
      <c r="G559" s="143" t="n"/>
      <c r="H559" s="27" t="n"/>
    </row>
    <row r="560" ht="17.25" customHeight="1" s="322">
      <c r="A560" s="27" t="n"/>
      <c r="B560" s="506" t="n"/>
      <c r="C560" s="141" t="n"/>
      <c r="D560" s="141" t="n"/>
      <c r="E560" s="141" t="n"/>
      <c r="F560" s="141" t="n"/>
      <c r="G560" s="143" t="n"/>
      <c r="H560" s="27" t="n"/>
    </row>
    <row r="561" ht="17.25" customHeight="1" s="322">
      <c r="A561" s="27" t="n"/>
      <c r="B561" s="506" t="n"/>
      <c r="C561" s="141" t="n"/>
      <c r="D561" s="141" t="n"/>
      <c r="E561" s="141" t="n"/>
      <c r="F561" s="141" t="n"/>
      <c r="G561" s="143" t="n"/>
      <c r="H561" s="27" t="n"/>
    </row>
    <row r="562" ht="17.25" customHeight="1" s="322">
      <c r="A562" s="27" t="n"/>
      <c r="B562" s="506" t="n"/>
      <c r="C562" s="141" t="n"/>
      <c r="D562" s="141" t="n"/>
      <c r="E562" s="141" t="n"/>
      <c r="F562" s="141" t="n"/>
      <c r="G562" s="143" t="n"/>
      <c r="H562" s="27" t="n"/>
    </row>
    <row r="563" ht="17.25" customHeight="1" s="322">
      <c r="A563" s="27" t="n"/>
      <c r="B563" s="506" t="n"/>
      <c r="C563" s="141" t="n"/>
      <c r="D563" s="141" t="n"/>
      <c r="E563" s="141" t="n"/>
      <c r="F563" s="141" t="n"/>
      <c r="G563" s="143" t="n"/>
      <c r="H563" s="27" t="n"/>
    </row>
    <row r="564" ht="17.25" customHeight="1" s="322">
      <c r="A564" s="27" t="n"/>
      <c r="B564" s="506" t="n"/>
      <c r="C564" s="141" t="n"/>
      <c r="D564" s="141" t="n"/>
      <c r="E564" s="141" t="n"/>
      <c r="F564" s="141" t="n"/>
      <c r="G564" s="143" t="n"/>
      <c r="H564" s="27" t="n"/>
    </row>
    <row r="565" ht="17.25" customHeight="1" s="322">
      <c r="A565" s="27" t="n"/>
      <c r="B565" s="506" t="n"/>
      <c r="C565" s="141" t="n"/>
      <c r="D565" s="141" t="n"/>
      <c r="E565" s="141" t="n"/>
      <c r="F565" s="141" t="n"/>
      <c r="G565" s="143" t="n"/>
      <c r="H565" s="27" t="n"/>
    </row>
    <row r="566" ht="17.25" customHeight="1" s="322">
      <c r="A566" s="27" t="n"/>
      <c r="B566" s="506" t="n"/>
      <c r="C566" s="141" t="n"/>
      <c r="D566" s="141" t="n"/>
      <c r="E566" s="141" t="n"/>
      <c r="F566" s="141" t="n"/>
      <c r="G566" s="143" t="n"/>
      <c r="H566" s="27" t="n"/>
    </row>
    <row r="567" ht="17.25" customHeight="1" s="322">
      <c r="A567" s="27" t="n"/>
      <c r="B567" s="506" t="n"/>
      <c r="C567" s="141" t="n"/>
      <c r="D567" s="141" t="n"/>
      <c r="E567" s="141" t="n"/>
      <c r="F567" s="141" t="n"/>
      <c r="G567" s="143" t="n"/>
      <c r="H567" s="27" t="n"/>
    </row>
    <row r="568" ht="17.25" customHeight="1" s="322">
      <c r="A568" s="27" t="n"/>
      <c r="B568" s="506" t="n"/>
      <c r="C568" s="141" t="n"/>
      <c r="D568" s="141" t="n"/>
      <c r="E568" s="141" t="n"/>
      <c r="F568" s="141" t="n"/>
      <c r="G568" s="143" t="n"/>
      <c r="H568" s="27" t="n"/>
    </row>
    <row r="569" ht="17.25" customHeight="1" s="322">
      <c r="A569" s="27" t="n"/>
      <c r="B569" s="506" t="n"/>
      <c r="C569" s="141" t="n"/>
      <c r="D569" s="141" t="n"/>
      <c r="E569" s="141" t="n"/>
      <c r="F569" s="141" t="n"/>
      <c r="G569" s="143" t="n"/>
      <c r="H569" s="27" t="n"/>
    </row>
    <row r="570" ht="17.25" customHeight="1" s="322">
      <c r="A570" s="27" t="n"/>
      <c r="B570" s="506" t="n"/>
      <c r="C570" s="141" t="n"/>
      <c r="D570" s="141" t="n"/>
      <c r="E570" s="141" t="n"/>
      <c r="F570" s="141" t="n"/>
      <c r="G570" s="143" t="n"/>
      <c r="H570" s="27" t="n"/>
    </row>
    <row r="571" ht="17.25" customHeight="1" s="322">
      <c r="A571" s="27" t="n"/>
      <c r="B571" s="506" t="n"/>
      <c r="C571" s="141" t="n"/>
      <c r="D571" s="141" t="n"/>
      <c r="E571" s="141" t="n"/>
      <c r="F571" s="141" t="n"/>
      <c r="G571" s="143" t="n"/>
      <c r="H571" s="27" t="n"/>
    </row>
    <row r="572" ht="17.25" customHeight="1" s="322">
      <c r="A572" s="27" t="n"/>
      <c r="B572" s="506" t="n"/>
      <c r="C572" s="141" t="n"/>
      <c r="D572" s="141" t="n"/>
      <c r="E572" s="141" t="n"/>
      <c r="F572" s="141" t="n"/>
      <c r="G572" s="143" t="n"/>
      <c r="H572" s="27" t="n"/>
    </row>
    <row r="573" ht="17.25" customHeight="1" s="322">
      <c r="A573" s="27" t="n"/>
      <c r="B573" s="506" t="n"/>
      <c r="C573" s="141" t="n"/>
      <c r="D573" s="141" t="n"/>
      <c r="E573" s="141" t="n"/>
      <c r="F573" s="141" t="n"/>
      <c r="G573" s="143" t="n"/>
      <c r="H573" s="27" t="n"/>
    </row>
    <row r="574" ht="17.25" customHeight="1" s="322">
      <c r="A574" s="27" t="n"/>
      <c r="B574" s="506" t="n"/>
      <c r="C574" s="141" t="n"/>
      <c r="D574" s="141" t="n"/>
      <c r="E574" s="141" t="n"/>
      <c r="F574" s="141" t="n"/>
      <c r="G574" s="143" t="n"/>
      <c r="H574" s="27" t="n"/>
    </row>
    <row r="575" ht="17.25" customHeight="1" s="322">
      <c r="A575" s="27" t="n"/>
      <c r="B575" s="506" t="n"/>
      <c r="C575" s="141" t="n"/>
      <c r="D575" s="141" t="n"/>
      <c r="E575" s="141" t="n"/>
      <c r="F575" s="141" t="n"/>
      <c r="G575" s="143" t="n"/>
      <c r="H575" s="27" t="n"/>
    </row>
    <row r="576" ht="17.25" customHeight="1" s="322">
      <c r="A576" s="27" t="n"/>
      <c r="B576" s="506" t="n"/>
      <c r="C576" s="141" t="n"/>
      <c r="D576" s="141" t="n"/>
      <c r="E576" s="141" t="n"/>
      <c r="F576" s="141" t="n"/>
      <c r="G576" s="143" t="n"/>
      <c r="H576" s="27" t="n"/>
    </row>
    <row r="577" ht="17.25" customHeight="1" s="322">
      <c r="A577" s="27" t="n"/>
      <c r="B577" s="506" t="n"/>
      <c r="C577" s="141" t="n"/>
      <c r="D577" s="141" t="n"/>
      <c r="E577" s="141" t="n"/>
      <c r="F577" s="141" t="n"/>
      <c r="G577" s="143" t="n"/>
      <c r="H577" s="27" t="n"/>
    </row>
    <row r="578" ht="17.25" customHeight="1" s="322">
      <c r="A578" s="27" t="n"/>
      <c r="B578" s="506" t="n"/>
      <c r="C578" s="141" t="n"/>
      <c r="D578" s="141" t="n"/>
      <c r="E578" s="141" t="n"/>
      <c r="F578" s="141" t="n"/>
      <c r="G578" s="143" t="n"/>
      <c r="H578" s="27" t="n"/>
    </row>
    <row r="579" ht="17.25" customHeight="1" s="322">
      <c r="A579" s="27" t="n"/>
      <c r="B579" s="506" t="n"/>
      <c r="C579" s="141" t="n"/>
      <c r="D579" s="141" t="n"/>
      <c r="E579" s="141" t="n"/>
      <c r="F579" s="141" t="n"/>
      <c r="G579" s="143" t="n"/>
      <c r="H579" s="27" t="n"/>
    </row>
    <row r="580" ht="17.25" customHeight="1" s="322">
      <c r="A580" s="27" t="n"/>
      <c r="B580" s="506" t="n"/>
      <c r="C580" s="141" t="n"/>
      <c r="D580" s="141" t="n"/>
      <c r="E580" s="141" t="n"/>
      <c r="F580" s="141" t="n"/>
      <c r="G580" s="143" t="n"/>
      <c r="H580" s="27" t="n"/>
    </row>
    <row r="581" ht="17.25" customHeight="1" s="322">
      <c r="A581" s="27" t="n"/>
      <c r="B581" s="506" t="n"/>
      <c r="C581" s="141" t="n"/>
      <c r="D581" s="141" t="n"/>
      <c r="E581" s="141" t="n"/>
      <c r="F581" s="141" t="n"/>
      <c r="G581" s="143" t="n"/>
      <c r="H581" s="27" t="n"/>
    </row>
    <row r="582" ht="17.25" customHeight="1" s="322">
      <c r="A582" s="27" t="n"/>
      <c r="B582" s="506" t="n"/>
      <c r="C582" s="141" t="n"/>
      <c r="D582" s="141" t="n"/>
      <c r="E582" s="141" t="n"/>
      <c r="F582" s="141" t="n"/>
      <c r="G582" s="143" t="n"/>
      <c r="H582" s="27" t="n"/>
    </row>
    <row r="583" ht="17.25" customHeight="1" s="322">
      <c r="A583" s="27" t="n"/>
      <c r="B583" s="506" t="n"/>
      <c r="C583" s="141" t="n"/>
      <c r="D583" s="141" t="n"/>
      <c r="E583" s="141" t="n"/>
      <c r="F583" s="141" t="n"/>
      <c r="G583" s="143" t="n"/>
      <c r="H583" s="27" t="n"/>
    </row>
    <row r="584" ht="17.25" customHeight="1" s="322">
      <c r="A584" s="27" t="n"/>
      <c r="B584" s="506" t="n"/>
      <c r="C584" s="141" t="n"/>
      <c r="D584" s="141" t="n"/>
      <c r="E584" s="141" t="n"/>
      <c r="F584" s="141" t="n"/>
      <c r="G584" s="143" t="n"/>
      <c r="H584" s="27" t="n"/>
    </row>
    <row r="585" ht="17.25" customHeight="1" s="322">
      <c r="A585" s="27" t="n"/>
      <c r="B585" s="506" t="n"/>
      <c r="C585" s="141" t="n"/>
      <c r="D585" s="141" t="n"/>
      <c r="E585" s="141" t="n"/>
      <c r="F585" s="141" t="n"/>
      <c r="G585" s="143" t="n"/>
      <c r="H585" s="27" t="n"/>
    </row>
    <row r="586" ht="17.25" customHeight="1" s="322">
      <c r="A586" s="27" t="n"/>
      <c r="B586" s="506" t="n"/>
      <c r="C586" s="141" t="n"/>
      <c r="D586" s="141" t="n"/>
      <c r="E586" s="141" t="n"/>
      <c r="F586" s="141" t="n"/>
      <c r="G586" s="143" t="n"/>
      <c r="H586" s="27" t="n"/>
    </row>
    <row r="587" ht="17.25" customHeight="1" s="322">
      <c r="A587" s="27" t="n"/>
      <c r="B587" s="506" t="n"/>
      <c r="C587" s="141" t="n"/>
      <c r="D587" s="141" t="n"/>
      <c r="E587" s="141" t="n"/>
      <c r="F587" s="141" t="n"/>
      <c r="G587" s="143" t="n"/>
      <c r="H587" s="27" t="n"/>
    </row>
    <row r="588" ht="17.25" customHeight="1" s="322">
      <c r="A588" s="27" t="n"/>
      <c r="B588" s="506" t="n"/>
      <c r="C588" s="141" t="n"/>
      <c r="D588" s="141" t="n"/>
      <c r="E588" s="141" t="n"/>
      <c r="F588" s="141" t="n"/>
      <c r="G588" s="143" t="n"/>
      <c r="H588" s="27" t="n"/>
    </row>
    <row r="589" ht="17.25" customHeight="1" s="322">
      <c r="A589" s="27" t="n"/>
      <c r="B589" s="506" t="n"/>
      <c r="C589" s="141" t="n"/>
      <c r="D589" s="141" t="n"/>
      <c r="E589" s="141" t="n"/>
      <c r="F589" s="141" t="n"/>
      <c r="G589" s="143" t="n"/>
      <c r="H589" s="27" t="n"/>
    </row>
    <row r="590" ht="17.25" customHeight="1" s="322">
      <c r="A590" s="27" t="n"/>
      <c r="B590" s="506" t="n"/>
      <c r="C590" s="141" t="n"/>
      <c r="D590" s="141" t="n"/>
      <c r="E590" s="141" t="n"/>
      <c r="F590" s="141" t="n"/>
      <c r="G590" s="143" t="n"/>
      <c r="H590" s="27" t="n"/>
    </row>
    <row r="591" ht="17.25" customHeight="1" s="322">
      <c r="A591" s="27" t="n"/>
      <c r="B591" s="506" t="n"/>
      <c r="C591" s="141" t="n"/>
      <c r="D591" s="141" t="n"/>
      <c r="E591" s="141" t="n"/>
      <c r="F591" s="141" t="n"/>
      <c r="G591" s="143" t="n"/>
      <c r="H591" s="27" t="n"/>
    </row>
    <row r="592" ht="17.25" customHeight="1" s="322">
      <c r="A592" s="27" t="n"/>
      <c r="B592" s="506" t="n"/>
      <c r="C592" s="141" t="n"/>
      <c r="D592" s="141" t="n"/>
      <c r="E592" s="141" t="n"/>
      <c r="F592" s="141" t="n"/>
      <c r="G592" s="143" t="n"/>
      <c r="H592" s="27" t="n"/>
    </row>
    <row r="593" ht="17.25" customHeight="1" s="322">
      <c r="A593" s="27" t="n"/>
      <c r="B593" s="506" t="n"/>
      <c r="C593" s="141" t="n"/>
      <c r="D593" s="141" t="n"/>
      <c r="E593" s="141" t="n"/>
      <c r="F593" s="141" t="n"/>
      <c r="G593" s="143" t="n"/>
      <c r="H593" s="27" t="n"/>
    </row>
    <row r="594" ht="17.25" customHeight="1" s="322">
      <c r="A594" s="27" t="n"/>
      <c r="B594" s="506" t="n"/>
      <c r="C594" s="141" t="n"/>
      <c r="D594" s="141" t="n"/>
      <c r="E594" s="141" t="n"/>
      <c r="F594" s="141" t="n"/>
      <c r="G594" s="143" t="n"/>
      <c r="H594" s="27" t="n"/>
    </row>
    <row r="595" ht="17.25" customHeight="1" s="322">
      <c r="A595" s="27" t="n"/>
      <c r="B595" s="506" t="n"/>
      <c r="C595" s="141" t="n"/>
      <c r="D595" s="141" t="n"/>
      <c r="E595" s="141" t="n"/>
      <c r="F595" s="141" t="n"/>
      <c r="G595" s="143" t="n"/>
      <c r="H595" s="27" t="n"/>
    </row>
    <row r="596" ht="17.25" customHeight="1" s="322">
      <c r="A596" s="27" t="n"/>
      <c r="B596" s="506" t="n"/>
      <c r="C596" s="141" t="n"/>
      <c r="D596" s="141" t="n"/>
      <c r="E596" s="141" t="n"/>
      <c r="F596" s="141" t="n"/>
      <c r="G596" s="143" t="n"/>
      <c r="H596" s="27" t="n"/>
    </row>
    <row r="597" ht="17.25" customHeight="1" s="322">
      <c r="A597" s="27" t="n"/>
      <c r="B597" s="506" t="n"/>
      <c r="C597" s="141" t="n"/>
      <c r="D597" s="141" t="n"/>
      <c r="E597" s="141" t="n"/>
      <c r="F597" s="141" t="n"/>
      <c r="G597" s="143" t="n"/>
      <c r="H597" s="27" t="n"/>
    </row>
    <row r="598" ht="17.25" customHeight="1" s="322">
      <c r="A598" s="27" t="n"/>
      <c r="B598" s="506" t="n"/>
      <c r="C598" s="141" t="n"/>
      <c r="D598" s="141" t="n"/>
      <c r="E598" s="141" t="n"/>
      <c r="F598" s="141" t="n"/>
      <c r="G598" s="143" t="n"/>
      <c r="H598" s="27" t="n"/>
    </row>
    <row r="599" ht="17.25" customHeight="1" s="322">
      <c r="A599" s="27" t="n"/>
      <c r="B599" s="506" t="n"/>
      <c r="C599" s="141" t="n"/>
      <c r="D599" s="141" t="n"/>
      <c r="E599" s="141" t="n"/>
      <c r="F599" s="141" t="n"/>
      <c r="G599" s="143" t="n"/>
      <c r="H599" s="27" t="n"/>
    </row>
    <row r="600" ht="17.25" customHeight="1" s="322">
      <c r="A600" s="27" t="n"/>
      <c r="B600" s="506" t="n"/>
      <c r="C600" s="141" t="n"/>
      <c r="D600" s="141" t="n"/>
      <c r="E600" s="141" t="n"/>
      <c r="F600" s="141" t="n"/>
      <c r="G600" s="143" t="n"/>
      <c r="H600" s="27" t="n"/>
    </row>
    <row r="601" ht="17.25" customHeight="1" s="322">
      <c r="A601" s="27" t="n"/>
      <c r="B601" s="506" t="n"/>
      <c r="C601" s="141" t="n"/>
      <c r="D601" s="141" t="n"/>
      <c r="E601" s="141" t="n"/>
      <c r="F601" s="141" t="n"/>
      <c r="G601" s="143" t="n"/>
      <c r="H601" s="27" t="n"/>
    </row>
    <row r="602" ht="17.25" customHeight="1" s="322">
      <c r="A602" s="27" t="n"/>
      <c r="B602" s="506" t="n"/>
      <c r="C602" s="141" t="n"/>
      <c r="D602" s="141" t="n"/>
      <c r="E602" s="141" t="n"/>
      <c r="F602" s="141" t="n"/>
      <c r="G602" s="143" t="n"/>
      <c r="H602" s="27" t="n"/>
    </row>
    <row r="603" ht="17.25" customHeight="1" s="322">
      <c r="A603" s="27" t="n"/>
      <c r="B603" s="506" t="n"/>
      <c r="C603" s="141" t="n"/>
      <c r="D603" s="141" t="n"/>
      <c r="E603" s="141" t="n"/>
      <c r="F603" s="141" t="n"/>
      <c r="G603" s="143" t="n"/>
      <c r="H603" s="27" t="n"/>
    </row>
    <row r="604" ht="17.25" customHeight="1" s="322">
      <c r="A604" s="27" t="n"/>
      <c r="B604" s="506" t="n"/>
      <c r="C604" s="141" t="n"/>
      <c r="D604" s="141" t="n"/>
      <c r="E604" s="141" t="n"/>
      <c r="F604" s="141" t="n"/>
      <c r="G604" s="143" t="n"/>
      <c r="H604" s="27" t="n"/>
    </row>
    <row r="605" ht="17.25" customHeight="1" s="322">
      <c r="A605" s="27" t="n"/>
      <c r="B605" s="506" t="n"/>
      <c r="C605" s="141" t="n"/>
      <c r="D605" s="141" t="n"/>
      <c r="E605" s="141" t="n"/>
      <c r="F605" s="141" t="n"/>
      <c r="G605" s="143" t="n"/>
      <c r="H605" s="27" t="n"/>
    </row>
    <row r="606" ht="17.25" customHeight="1" s="322">
      <c r="A606" s="27" t="n"/>
      <c r="B606" s="506" t="n"/>
      <c r="C606" s="141" t="n"/>
      <c r="D606" s="141" t="n"/>
      <c r="E606" s="141" t="n"/>
      <c r="F606" s="141" t="n"/>
      <c r="G606" s="143" t="n"/>
      <c r="H606" s="27" t="n"/>
    </row>
    <row r="607" ht="17.25" customHeight="1" s="322">
      <c r="A607" s="27" t="n"/>
      <c r="B607" s="506" t="n"/>
      <c r="C607" s="141" t="n"/>
      <c r="D607" s="141" t="n"/>
      <c r="E607" s="141" t="n"/>
      <c r="F607" s="141" t="n"/>
      <c r="G607" s="143" t="n"/>
      <c r="H607" s="27" t="n"/>
    </row>
    <row r="608" ht="17.25" customHeight="1" s="322">
      <c r="A608" s="27" t="n"/>
      <c r="B608" s="506" t="n"/>
      <c r="C608" s="141" t="n"/>
      <c r="D608" s="141" t="n"/>
      <c r="E608" s="141" t="n"/>
      <c r="F608" s="141" t="n"/>
      <c r="G608" s="143" t="n"/>
      <c r="H608" s="27" t="n"/>
    </row>
    <row r="609" ht="17.25" customHeight="1" s="322">
      <c r="A609" s="27" t="n"/>
      <c r="B609" s="506" t="n"/>
      <c r="C609" s="141" t="n"/>
      <c r="D609" s="141" t="n"/>
      <c r="E609" s="141" t="n"/>
      <c r="F609" s="141" t="n"/>
      <c r="G609" s="143" t="n"/>
      <c r="H609" s="27" t="n"/>
    </row>
    <row r="610" ht="17.25" customHeight="1" s="322">
      <c r="A610" s="27" t="n"/>
      <c r="B610" s="506" t="n"/>
      <c r="C610" s="141" t="n"/>
      <c r="D610" s="141" t="n"/>
      <c r="E610" s="141" t="n"/>
      <c r="F610" s="141" t="n"/>
      <c r="G610" s="143" t="n"/>
      <c r="H610" s="27" t="n"/>
    </row>
    <row r="611" ht="17.25" customHeight="1" s="322">
      <c r="A611" s="27" t="n"/>
      <c r="B611" s="506" t="n"/>
      <c r="C611" s="141" t="n"/>
      <c r="D611" s="141" t="n"/>
      <c r="E611" s="141" t="n"/>
      <c r="F611" s="141" t="n"/>
      <c r="G611" s="143" t="n"/>
      <c r="H611" s="27" t="n"/>
    </row>
    <row r="612" ht="17.25" customHeight="1" s="322">
      <c r="A612" s="27" t="n"/>
      <c r="B612" s="506" t="n"/>
      <c r="C612" s="141" t="n"/>
      <c r="D612" s="141" t="n"/>
      <c r="E612" s="141" t="n"/>
      <c r="F612" s="141" t="n"/>
      <c r="G612" s="143" t="n"/>
      <c r="H612" s="27" t="n"/>
    </row>
    <row r="613" ht="17.25" customHeight="1" s="322">
      <c r="A613" s="27" t="n"/>
      <c r="B613" s="506" t="n"/>
      <c r="C613" s="141" t="n"/>
      <c r="D613" s="141" t="n"/>
      <c r="E613" s="141" t="n"/>
      <c r="F613" s="141" t="n"/>
      <c r="G613" s="143" t="n"/>
      <c r="H613" s="27" t="n"/>
    </row>
    <row r="614" ht="17.25" customHeight="1" s="322">
      <c r="A614" s="27" t="n"/>
      <c r="B614" s="506" t="n"/>
      <c r="C614" s="141" t="n"/>
      <c r="D614" s="141" t="n"/>
      <c r="E614" s="141" t="n"/>
      <c r="F614" s="141" t="n"/>
      <c r="G614" s="143" t="n"/>
      <c r="H614" s="27" t="n"/>
    </row>
    <row r="615" ht="17.25" customHeight="1" s="322">
      <c r="A615" s="27" t="n"/>
      <c r="B615" s="506" t="n"/>
      <c r="C615" s="141" t="n"/>
      <c r="D615" s="141" t="n"/>
      <c r="E615" s="141" t="n"/>
      <c r="F615" s="141" t="n"/>
      <c r="G615" s="143" t="n"/>
      <c r="H615" s="27" t="n"/>
    </row>
    <row r="616" ht="17.25" customHeight="1" s="322">
      <c r="A616" s="27" t="n"/>
      <c r="B616" s="506" t="n"/>
      <c r="C616" s="141" t="n"/>
      <c r="D616" s="141" t="n"/>
      <c r="E616" s="141" t="n"/>
      <c r="F616" s="141" t="n"/>
      <c r="G616" s="143" t="n"/>
      <c r="H616" s="27" t="n"/>
    </row>
    <row r="617" ht="17.25" customHeight="1" s="322">
      <c r="A617" s="27" t="n"/>
      <c r="B617" s="506" t="n"/>
      <c r="C617" s="141" t="n"/>
      <c r="D617" s="141" t="n"/>
      <c r="E617" s="141" t="n"/>
      <c r="F617" s="141" t="n"/>
      <c r="G617" s="143" t="n"/>
      <c r="H617" s="27" t="n"/>
    </row>
    <row r="618" ht="17.25" customHeight="1" s="322">
      <c r="A618" s="27" t="n"/>
      <c r="B618" s="506" t="n"/>
      <c r="C618" s="141" t="n"/>
      <c r="D618" s="141" t="n"/>
      <c r="E618" s="141" t="n"/>
      <c r="F618" s="141" t="n"/>
      <c r="G618" s="143" t="n"/>
      <c r="H618" s="27" t="n"/>
    </row>
    <row r="619" ht="17.25" customHeight="1" s="322">
      <c r="A619" s="27" t="n"/>
      <c r="B619" s="506" t="n"/>
      <c r="C619" s="141" t="n"/>
      <c r="D619" s="141" t="n"/>
      <c r="E619" s="141" t="n"/>
      <c r="F619" s="141" t="n"/>
      <c r="G619" s="143" t="n"/>
      <c r="H619" s="27" t="n"/>
    </row>
    <row r="620" ht="17.25" customHeight="1" s="322">
      <c r="A620" s="27" t="n"/>
      <c r="B620" s="506" t="n"/>
      <c r="C620" s="141" t="n"/>
      <c r="D620" s="141" t="n"/>
      <c r="E620" s="141" t="n"/>
      <c r="F620" s="141" t="n"/>
      <c r="G620" s="143" t="n"/>
      <c r="H620" s="27" t="n"/>
    </row>
    <row r="621" ht="17.25" customHeight="1" s="322">
      <c r="A621" s="27" t="n"/>
      <c r="B621" s="506" t="n"/>
      <c r="C621" s="141" t="n"/>
      <c r="D621" s="141" t="n"/>
      <c r="E621" s="141" t="n"/>
      <c r="F621" s="141" t="n"/>
      <c r="G621" s="143" t="n"/>
      <c r="H621" s="27" t="n"/>
    </row>
    <row r="622" ht="17.25" customHeight="1" s="322">
      <c r="A622" s="27" t="n"/>
      <c r="B622" s="506" t="n"/>
      <c r="C622" s="141" t="n"/>
      <c r="D622" s="141" t="n"/>
      <c r="E622" s="141" t="n"/>
      <c r="F622" s="141" t="n"/>
      <c r="G622" s="143" t="n"/>
      <c r="H622" s="27" t="n"/>
    </row>
    <row r="623" ht="17.25" customHeight="1" s="322">
      <c r="A623" s="27" t="n"/>
      <c r="B623" s="506" t="n"/>
      <c r="C623" s="141" t="n"/>
      <c r="D623" s="141" t="n"/>
      <c r="E623" s="141" t="n"/>
      <c r="F623" s="141" t="n"/>
      <c r="G623" s="143" t="n"/>
      <c r="H623" s="27" t="n"/>
    </row>
    <row r="624" ht="17.25" customHeight="1" s="322">
      <c r="A624" s="27" t="n"/>
      <c r="B624" s="506" t="n"/>
      <c r="C624" s="141" t="n"/>
      <c r="D624" s="141" t="n"/>
      <c r="E624" s="141" t="n"/>
      <c r="F624" s="141" t="n"/>
      <c r="G624" s="143" t="n"/>
      <c r="H624" s="27" t="n"/>
    </row>
    <row r="625" ht="17.25" customHeight="1" s="322">
      <c r="A625" s="27" t="n"/>
      <c r="B625" s="506" t="n"/>
      <c r="C625" s="141" t="n"/>
      <c r="D625" s="141" t="n"/>
      <c r="E625" s="141" t="n"/>
      <c r="F625" s="141" t="n"/>
      <c r="G625" s="143" t="n"/>
      <c r="H625" s="27" t="n"/>
    </row>
    <row r="626" ht="17.25" customHeight="1" s="322">
      <c r="A626" s="27" t="n"/>
      <c r="B626" s="506" t="n"/>
      <c r="C626" s="141" t="n"/>
      <c r="D626" s="141" t="n"/>
      <c r="E626" s="141" t="n"/>
      <c r="F626" s="141" t="n"/>
      <c r="G626" s="143" t="n"/>
      <c r="H626" s="27" t="n"/>
    </row>
    <row r="627" ht="17.25" customHeight="1" s="322">
      <c r="A627" s="27" t="n"/>
      <c r="B627" s="506" t="n"/>
      <c r="C627" s="141" t="n"/>
      <c r="D627" s="141" t="n"/>
      <c r="E627" s="141" t="n"/>
      <c r="F627" s="141" t="n"/>
      <c r="G627" s="143" t="n"/>
      <c r="H627" s="27" t="n"/>
    </row>
    <row r="628" ht="17.25" customHeight="1" s="322">
      <c r="A628" s="27" t="n"/>
      <c r="B628" s="506" t="n"/>
      <c r="C628" s="141" t="n"/>
      <c r="D628" s="141" t="n"/>
      <c r="E628" s="141" t="n"/>
      <c r="F628" s="141" t="n"/>
      <c r="G628" s="143" t="n"/>
      <c r="H628" s="27" t="n"/>
    </row>
    <row r="629" ht="17.25" customHeight="1" s="322">
      <c r="A629" s="27" t="n"/>
      <c r="B629" s="506" t="n"/>
      <c r="C629" s="141" t="n"/>
      <c r="D629" s="141" t="n"/>
      <c r="E629" s="141" t="n"/>
      <c r="F629" s="141" t="n"/>
      <c r="G629" s="143" t="n"/>
      <c r="H629" s="27" t="n"/>
    </row>
    <row r="630" ht="17.25" customHeight="1" s="322">
      <c r="A630" s="27" t="n"/>
      <c r="B630" s="506" t="n"/>
      <c r="C630" s="141" t="n"/>
      <c r="D630" s="141" t="n"/>
      <c r="E630" s="141" t="n"/>
      <c r="F630" s="141" t="n"/>
      <c r="G630" s="143" t="n"/>
      <c r="H630" s="27" t="n"/>
    </row>
    <row r="631" ht="17.25" customHeight="1" s="322">
      <c r="A631" s="27" t="n"/>
      <c r="B631" s="506" t="n"/>
      <c r="C631" s="141" t="n"/>
      <c r="D631" s="141" t="n"/>
      <c r="E631" s="141" t="n"/>
      <c r="F631" s="141" t="n"/>
      <c r="G631" s="143" t="n"/>
      <c r="H631" s="27" t="n"/>
    </row>
    <row r="632" ht="17.25" customHeight="1" s="322">
      <c r="A632" s="27" t="n"/>
      <c r="B632" s="506" t="n"/>
      <c r="C632" s="141" t="n"/>
      <c r="D632" s="141" t="n"/>
      <c r="E632" s="141" t="n"/>
      <c r="F632" s="141" t="n"/>
      <c r="G632" s="143" t="n"/>
      <c r="H632" s="27" t="n"/>
    </row>
    <row r="633" ht="17.25" customHeight="1" s="322">
      <c r="A633" s="27" t="n"/>
      <c r="B633" s="506" t="n"/>
      <c r="C633" s="141" t="n"/>
      <c r="D633" s="141" t="n"/>
      <c r="E633" s="141" t="n"/>
      <c r="F633" s="141" t="n"/>
      <c r="G633" s="143" t="n"/>
      <c r="H633" s="27" t="n"/>
    </row>
    <row r="634" ht="17.25" customHeight="1" s="322">
      <c r="A634" s="27" t="n"/>
      <c r="B634" s="506" t="n"/>
      <c r="C634" s="141" t="n"/>
      <c r="D634" s="141" t="n"/>
      <c r="E634" s="141" t="n"/>
      <c r="F634" s="141" t="n"/>
      <c r="G634" s="143" t="n"/>
      <c r="H634" s="27" t="n"/>
    </row>
    <row r="635" ht="17.25" customHeight="1" s="322">
      <c r="A635" s="27" t="n"/>
      <c r="B635" s="506" t="n"/>
      <c r="C635" s="141" t="n"/>
      <c r="D635" s="141" t="n"/>
      <c r="E635" s="141" t="n"/>
      <c r="F635" s="141" t="n"/>
      <c r="G635" s="143" t="n"/>
      <c r="H635" s="27" t="n"/>
    </row>
    <row r="636" ht="17.25" customHeight="1" s="322">
      <c r="A636" s="27" t="n"/>
      <c r="B636" s="506" t="n"/>
      <c r="C636" s="141" t="n"/>
      <c r="D636" s="141" t="n"/>
      <c r="E636" s="141" t="n"/>
      <c r="F636" s="141" t="n"/>
      <c r="G636" s="143" t="n"/>
      <c r="H636" s="27" t="n"/>
    </row>
    <row r="637" ht="17.25" customHeight="1" s="322">
      <c r="A637" s="27" t="n"/>
      <c r="B637" s="506" t="n"/>
      <c r="C637" s="141" t="n"/>
      <c r="D637" s="141" t="n"/>
      <c r="E637" s="141" t="n"/>
      <c r="F637" s="141" t="n"/>
      <c r="G637" s="143" t="n"/>
      <c r="H637" s="27" t="n"/>
    </row>
    <row r="638" ht="17.25" customHeight="1" s="322">
      <c r="A638" s="27" t="n"/>
      <c r="B638" s="506" t="n"/>
      <c r="C638" s="141" t="n"/>
      <c r="D638" s="141" t="n"/>
      <c r="E638" s="141" t="n"/>
      <c r="F638" s="141" t="n"/>
      <c r="G638" s="143" t="n"/>
      <c r="H638" s="27" t="n"/>
    </row>
    <row r="639" ht="17.25" customHeight="1" s="322">
      <c r="A639" s="27" t="n"/>
      <c r="B639" s="506" t="n"/>
      <c r="C639" s="141" t="n"/>
      <c r="D639" s="141" t="n"/>
      <c r="E639" s="141" t="n"/>
      <c r="F639" s="141" t="n"/>
      <c r="G639" s="143" t="n"/>
      <c r="H639" s="27" t="n"/>
    </row>
    <row r="640" ht="17.25" customHeight="1" s="322">
      <c r="A640" s="27" t="n"/>
      <c r="B640" s="506" t="n"/>
      <c r="C640" s="141" t="n"/>
      <c r="D640" s="141" t="n"/>
      <c r="E640" s="141" t="n"/>
      <c r="F640" s="141" t="n"/>
      <c r="G640" s="143" t="n"/>
      <c r="H640" s="27" t="n"/>
    </row>
    <row r="641" ht="17.25" customHeight="1" s="322">
      <c r="A641" s="27" t="n"/>
      <c r="B641" s="506" t="n"/>
      <c r="C641" s="141" t="n"/>
      <c r="D641" s="141" t="n"/>
      <c r="E641" s="141" t="n"/>
      <c r="F641" s="141" t="n"/>
      <c r="G641" s="143" t="n"/>
      <c r="H641" s="27" t="n"/>
    </row>
    <row r="642" ht="17.25" customHeight="1" s="322">
      <c r="A642" s="27" t="n"/>
      <c r="B642" s="506" t="n"/>
      <c r="C642" s="141" t="n"/>
      <c r="D642" s="141" t="n"/>
      <c r="E642" s="141" t="n"/>
      <c r="F642" s="141" t="n"/>
      <c r="G642" s="143" t="n"/>
      <c r="H642" s="27" t="n"/>
    </row>
    <row r="643" ht="17.25" customHeight="1" s="322">
      <c r="A643" s="27" t="n"/>
      <c r="B643" s="506" t="n"/>
      <c r="C643" s="141" t="n"/>
      <c r="D643" s="141" t="n"/>
      <c r="E643" s="141" t="n"/>
      <c r="F643" s="141" t="n"/>
      <c r="G643" s="143" t="n"/>
      <c r="H643" s="27" t="n"/>
    </row>
    <row r="644" ht="17.25" customHeight="1" s="322">
      <c r="A644" s="27" t="n"/>
      <c r="B644" s="506" t="n"/>
      <c r="C644" s="141" t="n"/>
      <c r="D644" s="141" t="n"/>
      <c r="E644" s="141" t="n"/>
      <c r="F644" s="141" t="n"/>
      <c r="G644" s="143" t="n"/>
      <c r="H644" s="27" t="n"/>
    </row>
    <row r="645" ht="17.25" customHeight="1" s="322">
      <c r="A645" s="27" t="n"/>
      <c r="B645" s="506" t="n"/>
      <c r="C645" s="141" t="n"/>
      <c r="D645" s="141" t="n"/>
      <c r="E645" s="141" t="n"/>
      <c r="F645" s="141" t="n"/>
      <c r="G645" s="143" t="n"/>
      <c r="H645" s="27" t="n"/>
    </row>
    <row r="646" ht="17.25" customHeight="1" s="322">
      <c r="A646" s="27" t="n"/>
      <c r="B646" s="506" t="n"/>
      <c r="C646" s="141" t="n"/>
      <c r="D646" s="141" t="n"/>
      <c r="E646" s="141" t="n"/>
      <c r="F646" s="141" t="n"/>
      <c r="G646" s="143" t="n"/>
      <c r="H646" s="27" t="n"/>
    </row>
    <row r="647" ht="17.25" customHeight="1" s="322">
      <c r="A647" s="27" t="n"/>
      <c r="B647" s="506" t="n"/>
      <c r="C647" s="141" t="n"/>
      <c r="D647" s="141" t="n"/>
      <c r="E647" s="141" t="n"/>
      <c r="F647" s="141" t="n"/>
      <c r="G647" s="143" t="n"/>
      <c r="H647" s="27" t="n"/>
    </row>
    <row r="648" ht="17.25" customHeight="1" s="322">
      <c r="A648" s="27" t="n"/>
      <c r="B648" s="506" t="n"/>
      <c r="C648" s="141" t="n"/>
      <c r="D648" s="141" t="n"/>
      <c r="E648" s="141" t="n"/>
      <c r="F648" s="141" t="n"/>
      <c r="G648" s="143" t="n"/>
      <c r="H648" s="27" t="n"/>
    </row>
    <row r="649" ht="17.25" customHeight="1" s="322">
      <c r="A649" s="27" t="n"/>
      <c r="B649" s="506" t="n"/>
      <c r="C649" s="141" t="n"/>
      <c r="D649" s="141" t="n"/>
      <c r="E649" s="141" t="n"/>
      <c r="F649" s="141" t="n"/>
      <c r="G649" s="143" t="n"/>
      <c r="H649" s="27" t="n"/>
    </row>
    <row r="650" ht="17.25" customHeight="1" s="322">
      <c r="A650" s="27" t="n"/>
      <c r="B650" s="506" t="n"/>
      <c r="C650" s="141" t="n"/>
      <c r="D650" s="141" t="n"/>
      <c r="E650" s="141" t="n"/>
      <c r="F650" s="141" t="n"/>
      <c r="G650" s="143" t="n"/>
      <c r="H650" s="27" t="n"/>
    </row>
    <row r="651" ht="17.25" customHeight="1" s="322">
      <c r="A651" s="27" t="n"/>
      <c r="B651" s="506" t="n"/>
      <c r="C651" s="141" t="n"/>
      <c r="D651" s="141" t="n"/>
      <c r="E651" s="141" t="n"/>
      <c r="F651" s="141" t="n"/>
      <c r="G651" s="143" t="n"/>
      <c r="H651" s="27" t="n"/>
    </row>
    <row r="652" ht="17.25" customHeight="1" s="322">
      <c r="A652" s="27" t="n"/>
      <c r="B652" s="506" t="n"/>
      <c r="C652" s="141" t="n"/>
      <c r="D652" s="141" t="n"/>
      <c r="E652" s="141" t="n"/>
      <c r="F652" s="141" t="n"/>
      <c r="G652" s="143" t="n"/>
      <c r="H652" s="27" t="n"/>
    </row>
    <row r="653" ht="17.25" customHeight="1" s="322">
      <c r="A653" s="27" t="n"/>
      <c r="B653" s="506" t="n"/>
      <c r="C653" s="141" t="n"/>
      <c r="D653" s="141" t="n"/>
      <c r="E653" s="141" t="n"/>
      <c r="F653" s="141" t="n"/>
      <c r="G653" s="143" t="n"/>
      <c r="H653" s="27" t="n"/>
    </row>
    <row r="654" ht="17.25" customHeight="1" s="322">
      <c r="A654" s="27" t="n"/>
      <c r="B654" s="506" t="n"/>
      <c r="C654" s="141" t="n"/>
      <c r="D654" s="141" t="n"/>
      <c r="E654" s="141" t="n"/>
      <c r="F654" s="141" t="n"/>
      <c r="G654" s="143" t="n"/>
      <c r="H654" s="27" t="n"/>
    </row>
    <row r="655" ht="17.25" customHeight="1" s="322">
      <c r="A655" s="27" t="n"/>
      <c r="B655" s="506" t="n"/>
      <c r="C655" s="141" t="n"/>
      <c r="D655" s="141" t="n"/>
      <c r="E655" s="141" t="n"/>
      <c r="F655" s="141" t="n"/>
      <c r="G655" s="143" t="n"/>
      <c r="H655" s="27" t="n"/>
    </row>
    <row r="656" ht="17.25" customHeight="1" s="322">
      <c r="A656" s="27" t="n"/>
      <c r="B656" s="506" t="n"/>
      <c r="C656" s="141" t="n"/>
      <c r="D656" s="141" t="n"/>
      <c r="E656" s="141" t="n"/>
      <c r="F656" s="141" t="n"/>
      <c r="G656" s="143" t="n"/>
      <c r="H656" s="27" t="n"/>
    </row>
    <row r="657" ht="17.25" customHeight="1" s="322">
      <c r="A657" s="27" t="n"/>
      <c r="B657" s="506" t="n"/>
      <c r="C657" s="141" t="n"/>
      <c r="D657" s="141" t="n"/>
      <c r="E657" s="141" t="n"/>
      <c r="F657" s="141" t="n"/>
      <c r="G657" s="143" t="n"/>
      <c r="H657" s="27" t="n"/>
    </row>
    <row r="658" ht="17.25" customHeight="1" s="322">
      <c r="A658" s="27" t="n"/>
      <c r="B658" s="506" t="n"/>
      <c r="C658" s="141" t="n"/>
      <c r="D658" s="141" t="n"/>
      <c r="E658" s="141" t="n"/>
      <c r="F658" s="141" t="n"/>
      <c r="G658" s="143" t="n"/>
      <c r="H658" s="27" t="n"/>
    </row>
    <row r="659" ht="17.25" customHeight="1" s="322">
      <c r="A659" s="27" t="n"/>
      <c r="B659" s="506" t="n"/>
      <c r="C659" s="141" t="n"/>
      <c r="D659" s="141" t="n"/>
      <c r="E659" s="141" t="n"/>
      <c r="F659" s="141" t="n"/>
      <c r="G659" s="143" t="n"/>
      <c r="H659" s="27" t="n"/>
    </row>
    <row r="660" ht="17.25" customHeight="1" s="322">
      <c r="A660" s="27" t="n"/>
      <c r="B660" s="506" t="n"/>
      <c r="C660" s="141" t="n"/>
      <c r="D660" s="141" t="n"/>
      <c r="E660" s="141" t="n"/>
      <c r="F660" s="141" t="n"/>
      <c r="G660" s="143" t="n"/>
      <c r="H660" s="27" t="n"/>
    </row>
    <row r="661" ht="17.25" customHeight="1" s="322">
      <c r="A661" s="27" t="n"/>
      <c r="B661" s="506" t="n"/>
      <c r="C661" s="141" t="n"/>
      <c r="D661" s="141" t="n"/>
      <c r="E661" s="141" t="n"/>
      <c r="F661" s="141" t="n"/>
      <c r="G661" s="143" t="n"/>
      <c r="H661" s="27" t="n"/>
    </row>
    <row r="662" ht="17.25" customHeight="1" s="322">
      <c r="A662" s="27" t="n"/>
      <c r="B662" s="506" t="n"/>
      <c r="C662" s="141" t="n"/>
      <c r="D662" s="141" t="n"/>
      <c r="E662" s="141" t="n"/>
      <c r="F662" s="141" t="n"/>
      <c r="G662" s="143" t="n"/>
      <c r="H662" s="27" t="n"/>
    </row>
    <row r="663" ht="17.25" customHeight="1" s="322">
      <c r="A663" s="27" t="n"/>
      <c r="B663" s="506" t="n"/>
      <c r="C663" s="141" t="n"/>
      <c r="D663" s="141" t="n"/>
      <c r="E663" s="141" t="n"/>
      <c r="F663" s="141" t="n"/>
      <c r="G663" s="143" t="n"/>
      <c r="H663" s="27" t="n"/>
    </row>
    <row r="664" ht="17.25" customHeight="1" s="322">
      <c r="A664" s="27" t="n"/>
      <c r="B664" s="506" t="n"/>
      <c r="C664" s="141" t="n"/>
      <c r="D664" s="141" t="n"/>
      <c r="E664" s="141" t="n"/>
      <c r="F664" s="141" t="n"/>
      <c r="G664" s="143" t="n"/>
      <c r="H664" s="27" t="n"/>
    </row>
    <row r="665" ht="17.25" customHeight="1" s="322">
      <c r="A665" s="27" t="n"/>
      <c r="B665" s="506" t="n"/>
      <c r="C665" s="141" t="n"/>
      <c r="D665" s="141" t="n"/>
      <c r="E665" s="141" t="n"/>
      <c r="F665" s="141" t="n"/>
      <c r="G665" s="143" t="n"/>
      <c r="H665" s="27" t="n"/>
    </row>
    <row r="666" ht="17.25" customHeight="1" s="322">
      <c r="A666" s="27" t="n"/>
      <c r="B666" s="506" t="n"/>
      <c r="C666" s="141" t="n"/>
      <c r="D666" s="141" t="n"/>
      <c r="E666" s="141" t="n"/>
      <c r="F666" s="141" t="n"/>
      <c r="G666" s="143" t="n"/>
      <c r="H666" s="27" t="n"/>
    </row>
    <row r="667" ht="17.25" customHeight="1" s="322">
      <c r="A667" s="27" t="n"/>
      <c r="B667" s="506" t="n"/>
      <c r="C667" s="141" t="n"/>
      <c r="D667" s="141" t="n"/>
      <c r="E667" s="141" t="n"/>
      <c r="F667" s="141" t="n"/>
      <c r="G667" s="143" t="n"/>
      <c r="H667" s="27" t="n"/>
    </row>
    <row r="668" ht="17.25" customHeight="1" s="322">
      <c r="A668" s="27" t="n"/>
      <c r="B668" s="506" t="n"/>
      <c r="C668" s="141" t="n"/>
      <c r="D668" s="141" t="n"/>
      <c r="E668" s="141" t="n"/>
      <c r="F668" s="141" t="n"/>
      <c r="G668" s="143" t="n"/>
      <c r="H668" s="27" t="n"/>
    </row>
    <row r="669" ht="17.25" customHeight="1" s="322">
      <c r="A669" s="27" t="n"/>
      <c r="B669" s="506" t="n"/>
      <c r="C669" s="141" t="n"/>
      <c r="D669" s="141" t="n"/>
      <c r="E669" s="141" t="n"/>
      <c r="F669" s="141" t="n"/>
      <c r="G669" s="143" t="n"/>
      <c r="H669" s="27" t="n"/>
    </row>
    <row r="670" ht="17.25" customHeight="1" s="322">
      <c r="A670" s="27" t="n"/>
      <c r="B670" s="506" t="n"/>
      <c r="C670" s="141" t="n"/>
      <c r="D670" s="141" t="n"/>
      <c r="E670" s="141" t="n"/>
      <c r="F670" s="141" t="n"/>
      <c r="G670" s="143" t="n"/>
      <c r="H670" s="27" t="n"/>
    </row>
    <row r="671" ht="17.25" customHeight="1" s="322">
      <c r="A671" s="27" t="n"/>
      <c r="B671" s="506" t="n"/>
      <c r="C671" s="141" t="n"/>
      <c r="D671" s="141" t="n"/>
      <c r="E671" s="141" t="n"/>
      <c r="F671" s="141" t="n"/>
      <c r="G671" s="143" t="n"/>
      <c r="H671" s="27" t="n"/>
    </row>
    <row r="672" ht="17.25" customHeight="1" s="322">
      <c r="A672" s="27" t="n"/>
      <c r="B672" s="506" t="n"/>
      <c r="C672" s="141" t="n"/>
      <c r="D672" s="141" t="n"/>
      <c r="E672" s="141" t="n"/>
      <c r="F672" s="141" t="n"/>
      <c r="G672" s="143" t="n"/>
      <c r="H672" s="27" t="n"/>
    </row>
    <row r="673" ht="17.25" customHeight="1" s="322">
      <c r="A673" s="27" t="n"/>
      <c r="B673" s="506" t="n"/>
      <c r="C673" s="141" t="n"/>
      <c r="D673" s="141" t="n"/>
      <c r="E673" s="141" t="n"/>
      <c r="F673" s="141" t="n"/>
      <c r="G673" s="143" t="n"/>
      <c r="H673" s="27" t="n"/>
    </row>
    <row r="674" ht="17.25" customHeight="1" s="322">
      <c r="A674" s="27" t="n"/>
      <c r="B674" s="506" t="n"/>
      <c r="C674" s="141" t="n"/>
      <c r="D674" s="141" t="n"/>
      <c r="E674" s="141" t="n"/>
      <c r="F674" s="141" t="n"/>
      <c r="G674" s="143" t="n"/>
      <c r="H674" s="27" t="n"/>
    </row>
    <row r="675" ht="17.25" customHeight="1" s="322">
      <c r="A675" s="27" t="n"/>
      <c r="B675" s="506" t="n"/>
      <c r="C675" s="141" t="n"/>
      <c r="D675" s="141" t="n"/>
      <c r="E675" s="141" t="n"/>
      <c r="F675" s="141" t="n"/>
      <c r="G675" s="143" t="n"/>
      <c r="H675" s="27" t="n"/>
    </row>
    <row r="676" ht="17.25" customHeight="1" s="322">
      <c r="A676" s="27" t="n"/>
      <c r="B676" s="506" t="n"/>
      <c r="C676" s="141" t="n"/>
      <c r="D676" s="141" t="n"/>
      <c r="E676" s="141" t="n"/>
      <c r="F676" s="141" t="n"/>
      <c r="G676" s="143" t="n"/>
      <c r="H676" s="27" t="n"/>
    </row>
    <row r="677" ht="17.25" customHeight="1" s="322">
      <c r="A677" s="27" t="n"/>
      <c r="B677" s="506" t="n"/>
      <c r="C677" s="141" t="n"/>
      <c r="D677" s="141" t="n"/>
      <c r="E677" s="141" t="n"/>
      <c r="F677" s="141" t="n"/>
      <c r="G677" s="143" t="n"/>
      <c r="H677" s="27" t="n"/>
    </row>
    <row r="678" ht="17.25" customHeight="1" s="322">
      <c r="A678" s="27" t="n"/>
      <c r="B678" s="506" t="n"/>
      <c r="C678" s="141" t="n"/>
      <c r="D678" s="141" t="n"/>
      <c r="E678" s="141" t="n"/>
      <c r="F678" s="141" t="n"/>
      <c r="G678" s="143" t="n"/>
      <c r="H678" s="27" t="n"/>
    </row>
    <row r="679" ht="17.25" customHeight="1" s="322">
      <c r="A679" s="27" t="n"/>
      <c r="B679" s="506" t="n"/>
      <c r="C679" s="141" t="n"/>
      <c r="D679" s="141" t="n"/>
      <c r="E679" s="141" t="n"/>
      <c r="F679" s="141" t="n"/>
      <c r="G679" s="143" t="n"/>
      <c r="H679" s="27" t="n"/>
    </row>
    <row r="680" ht="17.25" customHeight="1" s="322">
      <c r="A680" s="27" t="n"/>
      <c r="B680" s="506" t="n"/>
      <c r="C680" s="141" t="n"/>
      <c r="D680" s="141" t="n"/>
      <c r="E680" s="141" t="n"/>
      <c r="F680" s="141" t="n"/>
      <c r="G680" s="143" t="n"/>
      <c r="H680" s="27" t="n"/>
    </row>
    <row r="681" ht="17.25" customHeight="1" s="322">
      <c r="A681" s="27" t="n"/>
      <c r="B681" s="506" t="n"/>
      <c r="C681" s="141" t="n"/>
      <c r="D681" s="141" t="n"/>
      <c r="E681" s="141" t="n"/>
      <c r="F681" s="141" t="n"/>
      <c r="G681" s="143" t="n"/>
      <c r="H681" s="27" t="n"/>
    </row>
    <row r="682" ht="17.25" customHeight="1" s="322">
      <c r="A682" s="27" t="n"/>
      <c r="B682" s="506" t="n"/>
      <c r="C682" s="141" t="n"/>
      <c r="D682" s="141" t="n"/>
      <c r="E682" s="141" t="n"/>
      <c r="F682" s="141" t="n"/>
      <c r="G682" s="143" t="n"/>
      <c r="H682" s="27" t="n"/>
    </row>
    <row r="683" ht="17.25" customHeight="1" s="322">
      <c r="A683" s="27" t="n"/>
      <c r="B683" s="506" t="n"/>
      <c r="C683" s="141" t="n"/>
      <c r="D683" s="141" t="n"/>
      <c r="E683" s="141" t="n"/>
      <c r="F683" s="141" t="n"/>
      <c r="G683" s="143" t="n"/>
      <c r="H683" s="27" t="n"/>
    </row>
    <row r="684" ht="17.25" customHeight="1" s="322">
      <c r="A684" s="27" t="n"/>
      <c r="B684" s="506" t="n"/>
      <c r="C684" s="141" t="n"/>
      <c r="D684" s="141" t="n"/>
      <c r="E684" s="141" t="n"/>
      <c r="F684" s="141" t="n"/>
      <c r="G684" s="143" t="n"/>
      <c r="H684" s="27" t="n"/>
    </row>
    <row r="685" ht="17.25" customHeight="1" s="322">
      <c r="A685" s="27" t="n"/>
      <c r="B685" s="506" t="n"/>
      <c r="C685" s="141" t="n"/>
      <c r="D685" s="141" t="n"/>
      <c r="E685" s="141" t="n"/>
      <c r="F685" s="141" t="n"/>
      <c r="G685" s="143" t="n"/>
      <c r="H685" s="27" t="n"/>
    </row>
    <row r="686" ht="17.25" customHeight="1" s="322">
      <c r="A686" s="27" t="n"/>
      <c r="B686" s="506" t="n"/>
      <c r="C686" s="141" t="n"/>
      <c r="D686" s="141" t="n"/>
      <c r="E686" s="141" t="n"/>
      <c r="F686" s="141" t="n"/>
      <c r="G686" s="143" t="n"/>
      <c r="H686" s="27" t="n"/>
    </row>
    <row r="687" ht="17.25" customHeight="1" s="322">
      <c r="A687" s="27" t="n"/>
      <c r="B687" s="506" t="n"/>
      <c r="C687" s="141" t="n"/>
      <c r="D687" s="141" t="n"/>
      <c r="E687" s="141" t="n"/>
      <c r="F687" s="141" t="n"/>
      <c r="G687" s="143" t="n"/>
      <c r="H687" s="27" t="n"/>
    </row>
    <row r="688" ht="17.25" customHeight="1" s="322">
      <c r="A688" s="27" t="n"/>
      <c r="B688" s="506" t="n"/>
      <c r="C688" s="141" t="n"/>
      <c r="D688" s="141" t="n"/>
      <c r="E688" s="141" t="n"/>
      <c r="F688" s="141" t="n"/>
      <c r="G688" s="143" t="n"/>
      <c r="H688" s="27" t="n"/>
    </row>
    <row r="689" ht="17.25" customHeight="1" s="322">
      <c r="A689" s="27" t="n"/>
      <c r="B689" s="506" t="n"/>
      <c r="C689" s="141" t="n"/>
      <c r="D689" s="141" t="n"/>
      <c r="E689" s="141" t="n"/>
      <c r="F689" s="141" t="n"/>
      <c r="G689" s="143" t="n"/>
      <c r="H689" s="27" t="n"/>
    </row>
    <row r="690" ht="17.25" customHeight="1" s="322">
      <c r="A690" s="27" t="n"/>
      <c r="B690" s="506" t="n"/>
      <c r="C690" s="141" t="n"/>
      <c r="D690" s="141" t="n"/>
      <c r="E690" s="141" t="n"/>
      <c r="F690" s="141" t="n"/>
      <c r="G690" s="143" t="n"/>
      <c r="H690" s="27" t="n"/>
    </row>
    <row r="691" ht="17.25" customHeight="1" s="322">
      <c r="A691" s="27" t="n"/>
      <c r="B691" s="506" t="n"/>
      <c r="C691" s="141" t="n"/>
      <c r="D691" s="141" t="n"/>
      <c r="E691" s="141" t="n"/>
      <c r="F691" s="141" t="n"/>
      <c r="G691" s="143" t="n"/>
      <c r="H691" s="27" t="n"/>
    </row>
    <row r="692" ht="17.25" customHeight="1" s="322">
      <c r="A692" s="27" t="n"/>
      <c r="B692" s="506" t="n"/>
      <c r="C692" s="141" t="n"/>
      <c r="D692" s="141" t="n"/>
      <c r="E692" s="141" t="n"/>
      <c r="F692" s="141" t="n"/>
      <c r="G692" s="143" t="n"/>
      <c r="H692" s="27" t="n"/>
    </row>
    <row r="693" ht="17.25" customHeight="1" s="322">
      <c r="A693" s="27" t="n"/>
      <c r="B693" s="506" t="n"/>
      <c r="C693" s="141" t="n"/>
      <c r="D693" s="141" t="n"/>
      <c r="E693" s="141" t="n"/>
      <c r="F693" s="141" t="n"/>
      <c r="G693" s="143" t="n"/>
      <c r="H693" s="27" t="n"/>
    </row>
    <row r="694" ht="17.25" customHeight="1" s="322">
      <c r="A694" s="27" t="n"/>
      <c r="B694" s="506" t="n"/>
      <c r="C694" s="141" t="n"/>
      <c r="D694" s="141" t="n"/>
      <c r="E694" s="141" t="n"/>
      <c r="F694" s="141" t="n"/>
      <c r="G694" s="143" t="n"/>
      <c r="H694" s="27" t="n"/>
    </row>
    <row r="695" ht="17.25" customHeight="1" s="322">
      <c r="A695" s="27" t="n"/>
      <c r="B695" s="506" t="n"/>
      <c r="C695" s="141" t="n"/>
      <c r="D695" s="141" t="n"/>
      <c r="E695" s="141" t="n"/>
      <c r="F695" s="141" t="n"/>
      <c r="G695" s="143" t="n"/>
      <c r="H695" s="27" t="n"/>
    </row>
    <row r="696" ht="17.25" customHeight="1" s="322">
      <c r="A696" s="27" t="n"/>
      <c r="B696" s="506" t="n"/>
      <c r="C696" s="141" t="n"/>
      <c r="D696" s="141" t="n"/>
      <c r="E696" s="141" t="n"/>
      <c r="F696" s="141" t="n"/>
      <c r="G696" s="143" t="n"/>
      <c r="H696" s="27" t="n"/>
    </row>
    <row r="697" ht="17.25" customHeight="1" s="322">
      <c r="A697" s="27" t="n"/>
      <c r="B697" s="506" t="n"/>
      <c r="C697" s="141" t="n"/>
      <c r="D697" s="141" t="n"/>
      <c r="E697" s="141" t="n"/>
      <c r="F697" s="141" t="n"/>
      <c r="G697" s="143" t="n"/>
      <c r="H697" s="27" t="n"/>
    </row>
    <row r="698" ht="17.25" customHeight="1" s="322">
      <c r="A698" s="27" t="n"/>
      <c r="B698" s="506" t="n"/>
      <c r="C698" s="141" t="n"/>
      <c r="D698" s="141" t="n"/>
      <c r="E698" s="141" t="n"/>
      <c r="F698" s="141" t="n"/>
      <c r="G698" s="143" t="n"/>
      <c r="H698" s="27" t="n"/>
    </row>
    <row r="699" ht="17.25" customHeight="1" s="322">
      <c r="A699" s="27" t="n"/>
      <c r="B699" s="506" t="n"/>
      <c r="C699" s="141" t="n"/>
      <c r="D699" s="141" t="n"/>
      <c r="E699" s="141" t="n"/>
      <c r="F699" s="141" t="n"/>
      <c r="G699" s="143" t="n"/>
      <c r="H699" s="27" t="n"/>
    </row>
    <row r="700" ht="17.25" customHeight="1" s="322">
      <c r="A700" s="27" t="n"/>
      <c r="B700" s="506" t="n"/>
      <c r="C700" s="141" t="n"/>
      <c r="D700" s="141" t="n"/>
      <c r="E700" s="141" t="n"/>
      <c r="F700" s="141" t="n"/>
      <c r="G700" s="143" t="n"/>
      <c r="H700" s="27" t="n"/>
    </row>
    <row r="701" ht="17.25" customHeight="1" s="322">
      <c r="A701" s="27" t="n"/>
      <c r="B701" s="506" t="n"/>
      <c r="C701" s="141" t="n"/>
      <c r="D701" s="141" t="n"/>
      <c r="E701" s="141" t="n"/>
      <c r="F701" s="141" t="n"/>
      <c r="G701" s="143" t="n"/>
      <c r="H701" s="27" t="n"/>
    </row>
    <row r="702" ht="17.25" customHeight="1" s="322">
      <c r="A702" s="27" t="n"/>
      <c r="B702" s="506" t="n"/>
      <c r="C702" s="141" t="n"/>
      <c r="D702" s="141" t="n"/>
      <c r="E702" s="141" t="n"/>
      <c r="F702" s="141" t="n"/>
      <c r="G702" s="143" t="n"/>
      <c r="H702" s="27" t="n"/>
    </row>
    <row r="703" ht="17.25" customHeight="1" s="322">
      <c r="A703" s="27" t="n"/>
      <c r="B703" s="506" t="n"/>
      <c r="C703" s="141" t="n"/>
      <c r="D703" s="141" t="n"/>
      <c r="E703" s="141" t="n"/>
      <c r="F703" s="141" t="n"/>
      <c r="G703" s="143" t="n"/>
      <c r="H703" s="27" t="n"/>
    </row>
    <row r="704" ht="17.25" customHeight="1" s="322">
      <c r="A704" s="27" t="n"/>
      <c r="B704" s="506" t="n"/>
      <c r="C704" s="141" t="n"/>
      <c r="D704" s="141" t="n"/>
      <c r="E704" s="141" t="n"/>
      <c r="F704" s="141" t="n"/>
      <c r="G704" s="143" t="n"/>
      <c r="H704" s="27" t="n"/>
    </row>
    <row r="705" ht="17.25" customHeight="1" s="322">
      <c r="A705" s="27" t="n"/>
      <c r="B705" s="506" t="n"/>
      <c r="C705" s="141" t="n"/>
      <c r="D705" s="141" t="n"/>
      <c r="E705" s="141" t="n"/>
      <c r="F705" s="141" t="n"/>
      <c r="G705" s="143" t="n"/>
      <c r="H705" s="27" t="n"/>
    </row>
    <row r="706" ht="17.25" customHeight="1" s="322">
      <c r="A706" s="27" t="n"/>
      <c r="B706" s="506" t="n"/>
      <c r="C706" s="141" t="n"/>
      <c r="D706" s="141" t="n"/>
      <c r="E706" s="141" t="n"/>
      <c r="F706" s="141" t="n"/>
      <c r="G706" s="143" t="n"/>
      <c r="H706" s="27" t="n"/>
    </row>
    <row r="707" ht="17.25" customHeight="1" s="322">
      <c r="A707" s="27" t="n"/>
      <c r="B707" s="506" t="n"/>
      <c r="C707" s="141" t="n"/>
      <c r="D707" s="141" t="n"/>
      <c r="E707" s="141" t="n"/>
      <c r="F707" s="141" t="n"/>
      <c r="G707" s="143" t="n"/>
      <c r="H707" s="27" t="n"/>
    </row>
    <row r="708" ht="17.25" customHeight="1" s="322">
      <c r="A708" s="27" t="n"/>
      <c r="B708" s="506" t="n"/>
      <c r="C708" s="141" t="n"/>
      <c r="D708" s="141" t="n"/>
      <c r="E708" s="141" t="n"/>
      <c r="F708" s="141" t="n"/>
      <c r="G708" s="143" t="n"/>
      <c r="H708" s="27" t="n"/>
    </row>
    <row r="709" ht="17.25" customHeight="1" s="322">
      <c r="A709" s="27" t="n"/>
      <c r="B709" s="506" t="n"/>
      <c r="C709" s="141" t="n"/>
      <c r="D709" s="141" t="n"/>
      <c r="E709" s="141" t="n"/>
      <c r="F709" s="141" t="n"/>
      <c r="G709" s="143" t="n"/>
      <c r="H709" s="27" t="n"/>
    </row>
    <row r="710" ht="17.25" customHeight="1" s="322">
      <c r="A710" s="27" t="n"/>
      <c r="B710" s="506" t="n"/>
      <c r="C710" s="141" t="n"/>
      <c r="D710" s="141" t="n"/>
      <c r="E710" s="141" t="n"/>
      <c r="F710" s="141" t="n"/>
      <c r="G710" s="143" t="n"/>
      <c r="H710" s="27" t="n"/>
    </row>
    <row r="711" ht="17.25" customHeight="1" s="322">
      <c r="A711" s="27" t="n"/>
      <c r="B711" s="506" t="n"/>
      <c r="C711" s="141" t="n"/>
      <c r="D711" s="141" t="n"/>
      <c r="E711" s="141" t="n"/>
      <c r="F711" s="141" t="n"/>
      <c r="G711" s="143" t="n"/>
      <c r="H711" s="27" t="n"/>
    </row>
    <row r="712" ht="17.25" customHeight="1" s="322">
      <c r="A712" s="27" t="n"/>
      <c r="B712" s="506" t="n"/>
      <c r="C712" s="141" t="n"/>
      <c r="D712" s="141" t="n"/>
      <c r="E712" s="141" t="n"/>
      <c r="F712" s="141" t="n"/>
      <c r="G712" s="143" t="n"/>
      <c r="H712" s="27" t="n"/>
    </row>
    <row r="713" ht="17.25" customHeight="1" s="322">
      <c r="A713" s="27" t="n"/>
      <c r="B713" s="506" t="n"/>
      <c r="C713" s="141" t="n"/>
      <c r="D713" s="141" t="n"/>
      <c r="E713" s="141" t="n"/>
      <c r="F713" s="141" t="n"/>
      <c r="G713" s="143" t="n"/>
      <c r="H713" s="27" t="n"/>
    </row>
    <row r="714" ht="17.25" customHeight="1" s="322">
      <c r="A714" s="27" t="n"/>
      <c r="B714" s="506" t="n"/>
      <c r="C714" s="141" t="n"/>
      <c r="D714" s="141" t="n"/>
      <c r="E714" s="141" t="n"/>
      <c r="F714" s="141" t="n"/>
      <c r="G714" s="143" t="n"/>
      <c r="H714" s="27" t="n"/>
    </row>
    <row r="715" ht="17.25" customHeight="1" s="322">
      <c r="A715" s="27" t="n"/>
      <c r="B715" s="506" t="n"/>
      <c r="C715" s="141" t="n"/>
      <c r="D715" s="141" t="n"/>
      <c r="E715" s="141" t="n"/>
      <c r="F715" s="141" t="n"/>
      <c r="G715" s="143" t="n"/>
      <c r="H715" s="27" t="n"/>
    </row>
    <row r="716" ht="17.25" customHeight="1" s="322">
      <c r="A716" s="27" t="n"/>
      <c r="B716" s="506" t="n"/>
      <c r="C716" s="141" t="n"/>
      <c r="D716" s="141" t="n"/>
      <c r="E716" s="141" t="n"/>
      <c r="F716" s="141" t="n"/>
      <c r="G716" s="143" t="n"/>
      <c r="H716" s="27" t="n"/>
    </row>
    <row r="717" ht="17.25" customHeight="1" s="322">
      <c r="A717" s="27" t="n"/>
      <c r="B717" s="506" t="n"/>
      <c r="C717" s="141" t="n"/>
      <c r="D717" s="141" t="n"/>
      <c r="E717" s="141" t="n"/>
      <c r="F717" s="141" t="n"/>
      <c r="G717" s="143" t="n"/>
      <c r="H717" s="27" t="n"/>
    </row>
    <row r="718" ht="17.25" customHeight="1" s="322">
      <c r="A718" s="27" t="n"/>
      <c r="B718" s="506" t="n"/>
      <c r="C718" s="141" t="n"/>
      <c r="D718" s="141" t="n"/>
      <c r="E718" s="141" t="n"/>
      <c r="F718" s="141" t="n"/>
      <c r="G718" s="143" t="n"/>
      <c r="H718" s="27" t="n"/>
    </row>
    <row r="719" ht="17.25" customHeight="1" s="322">
      <c r="A719" s="27" t="n"/>
      <c r="B719" s="506" t="n"/>
      <c r="C719" s="141" t="n"/>
      <c r="D719" s="141" t="n"/>
      <c r="E719" s="141" t="n"/>
      <c r="F719" s="141" t="n"/>
      <c r="G719" s="143" t="n"/>
      <c r="H719" s="27" t="n"/>
    </row>
    <row r="720" ht="17.25" customHeight="1" s="322">
      <c r="A720" s="27" t="n"/>
      <c r="B720" s="506" t="n"/>
      <c r="C720" s="141" t="n"/>
      <c r="D720" s="141" t="n"/>
      <c r="E720" s="141" t="n"/>
      <c r="F720" s="141" t="n"/>
      <c r="G720" s="143" t="n"/>
      <c r="H720" s="27" t="n"/>
    </row>
    <row r="721" ht="17.25" customHeight="1" s="322">
      <c r="A721" s="27" t="n"/>
      <c r="B721" s="506" t="n"/>
      <c r="C721" s="141" t="n"/>
      <c r="D721" s="141" t="n"/>
      <c r="E721" s="141" t="n"/>
      <c r="F721" s="141" t="n"/>
      <c r="G721" s="143" t="n"/>
      <c r="H721" s="27" t="n"/>
    </row>
    <row r="722" ht="17.25" customHeight="1" s="322">
      <c r="A722" s="27" t="n"/>
      <c r="B722" s="506" t="n"/>
      <c r="C722" s="141" t="n"/>
      <c r="D722" s="141" t="n"/>
      <c r="E722" s="141" t="n"/>
      <c r="F722" s="141" t="n"/>
      <c r="G722" s="143" t="n"/>
      <c r="H722" s="27" t="n"/>
    </row>
    <row r="723" ht="17.25" customHeight="1" s="322">
      <c r="A723" s="27" t="n"/>
      <c r="B723" s="506" t="n"/>
      <c r="C723" s="141" t="n"/>
      <c r="D723" s="141" t="n"/>
      <c r="E723" s="141" t="n"/>
      <c r="F723" s="141" t="n"/>
      <c r="G723" s="143" t="n"/>
      <c r="H723" s="27" t="n"/>
    </row>
    <row r="724" ht="17.25" customHeight="1" s="322">
      <c r="A724" s="27" t="n"/>
      <c r="B724" s="506" t="n"/>
      <c r="C724" s="141" t="n"/>
      <c r="D724" s="141" t="n"/>
      <c r="E724" s="141" t="n"/>
      <c r="F724" s="141" t="n"/>
      <c r="G724" s="143" t="n"/>
      <c r="H724" s="27" t="n"/>
    </row>
    <row r="725" ht="17.25" customHeight="1" s="322">
      <c r="A725" s="27" t="n"/>
      <c r="B725" s="506" t="n"/>
      <c r="C725" s="141" t="n"/>
      <c r="D725" s="141" t="n"/>
      <c r="E725" s="141" t="n"/>
      <c r="F725" s="141" t="n"/>
      <c r="G725" s="143" t="n"/>
      <c r="H725" s="27" t="n"/>
    </row>
    <row r="726" ht="17.25" customHeight="1" s="322">
      <c r="A726" s="27" t="n"/>
      <c r="B726" s="506" t="n"/>
      <c r="C726" s="141" t="n"/>
      <c r="D726" s="141" t="n"/>
      <c r="E726" s="141" t="n"/>
      <c r="F726" s="141" t="n"/>
      <c r="G726" s="143" t="n"/>
      <c r="H726" s="27" t="n"/>
    </row>
    <row r="727" ht="17.25" customHeight="1" s="322">
      <c r="A727" s="27" t="n"/>
      <c r="B727" s="506" t="n"/>
      <c r="C727" s="141" t="n"/>
      <c r="D727" s="141" t="n"/>
      <c r="E727" s="141" t="n"/>
      <c r="F727" s="141" t="n"/>
      <c r="G727" s="143" t="n"/>
      <c r="H727" s="27" t="n"/>
    </row>
    <row r="728" ht="17.25" customHeight="1" s="322">
      <c r="A728" s="27" t="n"/>
      <c r="B728" s="506" t="n"/>
      <c r="C728" s="141" t="n"/>
      <c r="D728" s="141" t="n"/>
      <c r="E728" s="141" t="n"/>
      <c r="F728" s="141" t="n"/>
      <c r="G728" s="143" t="n"/>
      <c r="H728" s="27" t="n"/>
    </row>
    <row r="729" ht="17.25" customHeight="1" s="322">
      <c r="A729" s="27" t="n"/>
      <c r="B729" s="506" t="n"/>
      <c r="C729" s="141" t="n"/>
      <c r="D729" s="141" t="n"/>
      <c r="E729" s="141" t="n"/>
      <c r="F729" s="141" t="n"/>
      <c r="G729" s="143" t="n"/>
      <c r="H729" s="27" t="n"/>
    </row>
    <row r="730" ht="17.25" customHeight="1" s="322">
      <c r="A730" s="27" t="n"/>
      <c r="B730" s="506" t="n"/>
      <c r="C730" s="141" t="n"/>
      <c r="D730" s="141" t="n"/>
      <c r="E730" s="141" t="n"/>
      <c r="F730" s="141" t="n"/>
      <c r="G730" s="143" t="n"/>
      <c r="H730" s="27" t="n"/>
    </row>
    <row r="731" ht="17.25" customHeight="1" s="322">
      <c r="A731" s="27" t="n"/>
      <c r="B731" s="506" t="n"/>
      <c r="C731" s="141" t="n"/>
      <c r="D731" s="141" t="n"/>
      <c r="E731" s="141" t="n"/>
      <c r="F731" s="141" t="n"/>
      <c r="G731" s="143" t="n"/>
      <c r="H731" s="27" t="n"/>
    </row>
    <row r="732" ht="17.25" customHeight="1" s="322">
      <c r="A732" s="27" t="n"/>
      <c r="B732" s="506" t="n"/>
      <c r="C732" s="141" t="n"/>
      <c r="D732" s="141" t="n"/>
      <c r="E732" s="141" t="n"/>
      <c r="F732" s="141" t="n"/>
      <c r="G732" s="143" t="n"/>
      <c r="H732" s="27" t="n"/>
    </row>
    <row r="733" ht="17.25" customHeight="1" s="322">
      <c r="A733" s="27" t="n"/>
      <c r="B733" s="506" t="n"/>
      <c r="C733" s="141" t="n"/>
      <c r="D733" s="141" t="n"/>
      <c r="E733" s="141" t="n"/>
      <c r="F733" s="141" t="n"/>
      <c r="G733" s="143" t="n"/>
      <c r="H733" s="27" t="n"/>
    </row>
    <row r="734" ht="17.25" customHeight="1" s="322">
      <c r="A734" s="27" t="n"/>
      <c r="B734" s="506" t="n"/>
      <c r="C734" s="141" t="n"/>
      <c r="D734" s="141" t="n"/>
      <c r="E734" s="141" t="n"/>
      <c r="F734" s="141" t="n"/>
      <c r="G734" s="143" t="n"/>
      <c r="H734" s="27" t="n"/>
    </row>
    <row r="735" ht="17.25" customHeight="1" s="322">
      <c r="A735" s="27" t="n"/>
      <c r="B735" s="506" t="n"/>
      <c r="C735" s="141" t="n"/>
      <c r="D735" s="141" t="n"/>
      <c r="E735" s="141" t="n"/>
      <c r="F735" s="141" t="n"/>
      <c r="G735" s="143" t="n"/>
      <c r="H735" s="27" t="n"/>
    </row>
    <row r="736" ht="17.25" customHeight="1" s="322">
      <c r="A736" s="27" t="n"/>
      <c r="B736" s="506" t="n"/>
      <c r="C736" s="141" t="n"/>
      <c r="D736" s="141" t="n"/>
      <c r="E736" s="141" t="n"/>
      <c r="F736" s="141" t="n"/>
      <c r="G736" s="143" t="n"/>
      <c r="H736" s="27" t="n"/>
    </row>
    <row r="737" ht="17.25" customHeight="1" s="322">
      <c r="A737" s="27" t="n"/>
      <c r="B737" s="506" t="n"/>
      <c r="C737" s="141" t="n"/>
      <c r="D737" s="141" t="n"/>
      <c r="E737" s="141" t="n"/>
      <c r="F737" s="141" t="n"/>
      <c r="G737" s="143" t="n"/>
      <c r="H737" s="27" t="n"/>
    </row>
    <row r="738" ht="17.25" customHeight="1" s="322">
      <c r="A738" s="27" t="n"/>
      <c r="B738" s="506" t="n"/>
      <c r="C738" s="141" t="n"/>
      <c r="D738" s="141" t="n"/>
      <c r="E738" s="141" t="n"/>
      <c r="F738" s="141" t="n"/>
      <c r="G738" s="143" t="n"/>
      <c r="H738" s="27" t="n"/>
    </row>
    <row r="739" ht="17.25" customHeight="1" s="322">
      <c r="A739" s="27" t="n"/>
      <c r="B739" s="506" t="n"/>
      <c r="C739" s="141" t="n"/>
      <c r="D739" s="141" t="n"/>
      <c r="E739" s="141" t="n"/>
      <c r="F739" s="141" t="n"/>
      <c r="G739" s="143" t="n"/>
      <c r="H739" s="27" t="n"/>
    </row>
    <row r="740" ht="17.25" customHeight="1" s="322">
      <c r="A740" s="27" t="n"/>
      <c r="B740" s="506" t="n"/>
      <c r="C740" s="141" t="n"/>
      <c r="D740" s="141" t="n"/>
      <c r="E740" s="141" t="n"/>
      <c r="F740" s="141" t="n"/>
      <c r="G740" s="143" t="n"/>
      <c r="H740" s="27" t="n"/>
    </row>
    <row r="741" ht="17.25" customHeight="1" s="322">
      <c r="A741" s="27" t="n"/>
      <c r="B741" s="506" t="n"/>
      <c r="C741" s="141" t="n"/>
      <c r="D741" s="141" t="n"/>
      <c r="E741" s="141" t="n"/>
      <c r="F741" s="141" t="n"/>
      <c r="G741" s="143" t="n"/>
      <c r="H741" s="27" t="n"/>
    </row>
    <row r="742" ht="17.25" customHeight="1" s="322">
      <c r="A742" s="27" t="n"/>
      <c r="B742" s="506" t="n"/>
      <c r="C742" s="141" t="n"/>
      <c r="D742" s="141" t="n"/>
      <c r="E742" s="141" t="n"/>
      <c r="F742" s="141" t="n"/>
      <c r="G742" s="143" t="n"/>
      <c r="H742" s="27" t="n"/>
    </row>
    <row r="743" ht="17.25" customHeight="1" s="322">
      <c r="A743" s="27" t="n"/>
      <c r="B743" s="506" t="n"/>
      <c r="C743" s="141" t="n"/>
      <c r="D743" s="141" t="n"/>
      <c r="E743" s="141" t="n"/>
      <c r="F743" s="141" t="n"/>
      <c r="G743" s="143" t="n"/>
      <c r="H743" s="27" t="n"/>
    </row>
    <row r="744" ht="17.25" customHeight="1" s="322">
      <c r="A744" s="27" t="n"/>
      <c r="B744" s="506" t="n"/>
      <c r="C744" s="141" t="n"/>
      <c r="D744" s="141" t="n"/>
      <c r="E744" s="141" t="n"/>
      <c r="F744" s="141" t="n"/>
      <c r="G744" s="143" t="n"/>
      <c r="H744" s="27" t="n"/>
    </row>
    <row r="745" ht="17.25" customHeight="1" s="322">
      <c r="A745" s="27" t="n"/>
      <c r="B745" s="506" t="n"/>
      <c r="C745" s="141" t="n"/>
      <c r="D745" s="141" t="n"/>
      <c r="E745" s="141" t="n"/>
      <c r="F745" s="141" t="n"/>
      <c r="G745" s="143" t="n"/>
      <c r="H745" s="27" t="n"/>
    </row>
    <row r="746" ht="17.25" customHeight="1" s="322">
      <c r="A746" s="27" t="n"/>
      <c r="B746" s="506" t="n"/>
      <c r="C746" s="141" t="n"/>
      <c r="D746" s="141" t="n"/>
      <c r="E746" s="141" t="n"/>
      <c r="F746" s="141" t="n"/>
      <c r="G746" s="143" t="n"/>
      <c r="H746" s="27" t="n"/>
    </row>
    <row r="747" ht="17.25" customHeight="1" s="322">
      <c r="A747" s="27" t="n"/>
      <c r="B747" s="506" t="n"/>
      <c r="C747" s="141" t="n"/>
      <c r="D747" s="141" t="n"/>
      <c r="E747" s="141" t="n"/>
      <c r="F747" s="141" t="n"/>
      <c r="G747" s="143" t="n"/>
      <c r="H747" s="27" t="n"/>
    </row>
    <row r="748" ht="17.25" customHeight="1" s="322">
      <c r="A748" s="27" t="n"/>
      <c r="B748" s="506" t="n"/>
      <c r="C748" s="141" t="n"/>
      <c r="D748" s="141" t="n"/>
      <c r="E748" s="141" t="n"/>
      <c r="F748" s="141" t="n"/>
      <c r="G748" s="143" t="n"/>
      <c r="H748" s="27" t="n"/>
    </row>
    <row r="749" ht="17.25" customHeight="1" s="322">
      <c r="A749" s="27" t="n"/>
      <c r="B749" s="506" t="n"/>
      <c r="C749" s="141" t="n"/>
      <c r="D749" s="141" t="n"/>
      <c r="E749" s="141" t="n"/>
      <c r="F749" s="141" t="n"/>
      <c r="G749" s="143" t="n"/>
      <c r="H749" s="27" t="n"/>
    </row>
    <row r="750" ht="17.25" customHeight="1" s="322">
      <c r="A750" s="27" t="n"/>
      <c r="B750" s="506" t="n"/>
      <c r="C750" s="141" t="n"/>
      <c r="D750" s="141" t="n"/>
      <c r="E750" s="141" t="n"/>
      <c r="F750" s="141" t="n"/>
      <c r="G750" s="143" t="n"/>
      <c r="H750" s="27" t="n"/>
    </row>
    <row r="751" ht="17.25" customHeight="1" s="322">
      <c r="A751" s="27" t="n"/>
      <c r="B751" s="506" t="n"/>
      <c r="C751" s="141" t="n"/>
      <c r="D751" s="141" t="n"/>
      <c r="E751" s="141" t="n"/>
      <c r="F751" s="141" t="n"/>
      <c r="G751" s="143" t="n"/>
      <c r="H751" s="27" t="n"/>
    </row>
    <row r="752" ht="17.25" customHeight="1" s="322">
      <c r="A752" s="27" t="n"/>
      <c r="B752" s="506" t="n"/>
      <c r="C752" s="141" t="n"/>
      <c r="D752" s="141" t="n"/>
      <c r="E752" s="141" t="n"/>
      <c r="F752" s="141" t="n"/>
      <c r="G752" s="143" t="n"/>
      <c r="H752" s="27" t="n"/>
    </row>
    <row r="753" ht="17.25" customHeight="1" s="322">
      <c r="A753" s="27" t="n"/>
      <c r="B753" s="506" t="n"/>
      <c r="C753" s="141" t="n"/>
      <c r="D753" s="141" t="n"/>
      <c r="E753" s="141" t="n"/>
      <c r="F753" s="141" t="n"/>
      <c r="G753" s="143" t="n"/>
      <c r="H753" s="27" t="n"/>
    </row>
    <row r="754" ht="17.25" customHeight="1" s="322">
      <c r="A754" s="27" t="n"/>
      <c r="B754" s="506" t="n"/>
      <c r="C754" s="141" t="n"/>
      <c r="D754" s="141" t="n"/>
      <c r="E754" s="141" t="n"/>
      <c r="F754" s="141" t="n"/>
      <c r="G754" s="143" t="n"/>
      <c r="H754" s="27" t="n"/>
    </row>
    <row r="755" ht="17.25" customHeight="1" s="322">
      <c r="A755" s="27" t="n"/>
      <c r="B755" s="506" t="n"/>
      <c r="C755" s="141" t="n"/>
      <c r="D755" s="141" t="n"/>
      <c r="E755" s="141" t="n"/>
      <c r="F755" s="141" t="n"/>
      <c r="G755" s="143" t="n"/>
      <c r="H755" s="27" t="n"/>
    </row>
    <row r="756" ht="17.25" customHeight="1" s="322">
      <c r="A756" s="27" t="n"/>
      <c r="B756" s="506" t="n"/>
      <c r="C756" s="141" t="n"/>
      <c r="D756" s="141" t="n"/>
      <c r="E756" s="141" t="n"/>
      <c r="F756" s="141" t="n"/>
      <c r="G756" s="143" t="n"/>
      <c r="H756" s="27" t="n"/>
    </row>
    <row r="757" ht="17.25" customHeight="1" s="322">
      <c r="A757" s="27" t="n"/>
      <c r="B757" s="506" t="n"/>
      <c r="C757" s="141" t="n"/>
      <c r="D757" s="141" t="n"/>
      <c r="E757" s="141" t="n"/>
      <c r="F757" s="141" t="n"/>
      <c r="G757" s="143" t="n"/>
      <c r="H757" s="27" t="n"/>
    </row>
    <row r="758" ht="17.25" customHeight="1" s="322">
      <c r="A758" s="27" t="n"/>
      <c r="B758" s="506" t="n"/>
      <c r="C758" s="141" t="n"/>
      <c r="D758" s="141" t="n"/>
      <c r="E758" s="141" t="n"/>
      <c r="F758" s="141" t="n"/>
      <c r="G758" s="143" t="n"/>
      <c r="H758" s="27" t="n"/>
    </row>
    <row r="759" ht="17.25" customHeight="1" s="322">
      <c r="A759" s="27" t="n"/>
      <c r="B759" s="506" t="n"/>
      <c r="C759" s="141" t="n"/>
      <c r="D759" s="141" t="n"/>
      <c r="E759" s="141" t="n"/>
      <c r="F759" s="141" t="n"/>
      <c r="G759" s="143" t="n"/>
      <c r="H759" s="27" t="n"/>
    </row>
    <row r="760" ht="17.25" customHeight="1" s="322">
      <c r="A760" s="27" t="n"/>
      <c r="B760" s="506" t="n"/>
      <c r="C760" s="141" t="n"/>
      <c r="D760" s="141" t="n"/>
      <c r="E760" s="141" t="n"/>
      <c r="F760" s="141" t="n"/>
      <c r="G760" s="143" t="n"/>
      <c r="H760" s="27" t="n"/>
    </row>
    <row r="761" ht="17.25" customHeight="1" s="322">
      <c r="A761" s="27" t="n"/>
      <c r="B761" s="506" t="n"/>
      <c r="C761" s="141" t="n"/>
      <c r="D761" s="141" t="n"/>
      <c r="E761" s="141" t="n"/>
      <c r="F761" s="141" t="n"/>
      <c r="G761" s="143" t="n"/>
      <c r="H761" s="27" t="n"/>
    </row>
    <row r="762" ht="17.25" customHeight="1" s="322">
      <c r="A762" s="27" t="n"/>
      <c r="B762" s="506" t="n"/>
      <c r="C762" s="141" t="n"/>
      <c r="D762" s="141" t="n"/>
      <c r="E762" s="141" t="n"/>
      <c r="F762" s="141" t="n"/>
      <c r="G762" s="143" t="n"/>
      <c r="H762" s="27" t="n"/>
    </row>
    <row r="763" ht="17.25" customHeight="1" s="322">
      <c r="A763" s="27" t="n"/>
      <c r="B763" s="506" t="n"/>
      <c r="C763" s="141" t="n"/>
      <c r="D763" s="141" t="n"/>
      <c r="E763" s="141" t="n"/>
      <c r="F763" s="141" t="n"/>
      <c r="G763" s="143" t="n"/>
      <c r="H763" s="27" t="n"/>
    </row>
    <row r="764" ht="17.25" customHeight="1" s="322">
      <c r="A764" s="27" t="n"/>
      <c r="B764" s="506" t="n"/>
      <c r="C764" s="141" t="n"/>
      <c r="D764" s="141" t="n"/>
      <c r="E764" s="141" t="n"/>
      <c r="F764" s="141" t="n"/>
      <c r="G764" s="143" t="n"/>
      <c r="H764" s="27" t="n"/>
    </row>
    <row r="765" ht="17.25" customHeight="1" s="322">
      <c r="A765" s="27" t="n"/>
      <c r="B765" s="506" t="n"/>
      <c r="C765" s="141" t="n"/>
      <c r="D765" s="141" t="n"/>
      <c r="E765" s="141" t="n"/>
      <c r="F765" s="141" t="n"/>
      <c r="G765" s="143" t="n"/>
      <c r="H765" s="27" t="n"/>
    </row>
    <row r="766" ht="17.25" customHeight="1" s="322">
      <c r="A766" s="27" t="n"/>
      <c r="B766" s="506" t="n"/>
      <c r="C766" s="141" t="n"/>
      <c r="D766" s="141" t="n"/>
      <c r="E766" s="141" t="n"/>
      <c r="F766" s="141" t="n"/>
      <c r="G766" s="143" t="n"/>
      <c r="H766" s="27" t="n"/>
    </row>
    <row r="767" ht="17.25" customHeight="1" s="322">
      <c r="A767" s="27" t="n"/>
      <c r="B767" s="506" t="n"/>
      <c r="C767" s="141" t="n"/>
      <c r="D767" s="141" t="n"/>
      <c r="E767" s="141" t="n"/>
      <c r="F767" s="141" t="n"/>
      <c r="G767" s="143" t="n"/>
      <c r="H767" s="27" t="n"/>
    </row>
    <row r="768" ht="17.25" customHeight="1" s="322">
      <c r="A768" s="27" t="n"/>
      <c r="B768" s="506" t="n"/>
      <c r="C768" s="141" t="n"/>
      <c r="D768" s="141" t="n"/>
      <c r="E768" s="141" t="n"/>
      <c r="F768" s="141" t="n"/>
      <c r="G768" s="143" t="n"/>
      <c r="H768" s="27" t="n"/>
    </row>
    <row r="769" ht="17.25" customHeight="1" s="322">
      <c r="A769" s="27" t="n"/>
      <c r="B769" s="506" t="n"/>
      <c r="C769" s="141" t="n"/>
      <c r="D769" s="141" t="n"/>
      <c r="E769" s="141" t="n"/>
      <c r="F769" s="141" t="n"/>
      <c r="G769" s="143" t="n"/>
      <c r="H769" s="27" t="n"/>
    </row>
    <row r="770" ht="17.25" customHeight="1" s="322">
      <c r="A770" s="27" t="n"/>
      <c r="B770" s="506" t="n"/>
      <c r="C770" s="141" t="n"/>
      <c r="D770" s="141" t="n"/>
      <c r="E770" s="141" t="n"/>
      <c r="F770" s="141" t="n"/>
      <c r="G770" s="143" t="n"/>
      <c r="H770" s="27" t="n"/>
    </row>
    <row r="771" ht="17.25" customHeight="1" s="322">
      <c r="A771" s="27" t="n"/>
      <c r="B771" s="506" t="n"/>
      <c r="C771" s="141" t="n"/>
      <c r="D771" s="141" t="n"/>
      <c r="E771" s="141" t="n"/>
      <c r="F771" s="141" t="n"/>
      <c r="G771" s="143" t="n"/>
      <c r="H771" s="27" t="n"/>
    </row>
    <row r="772" ht="17.25" customHeight="1" s="322">
      <c r="A772" s="27" t="n"/>
      <c r="B772" s="506" t="n"/>
      <c r="C772" s="141" t="n"/>
      <c r="D772" s="141" t="n"/>
      <c r="E772" s="141" t="n"/>
      <c r="F772" s="141" t="n"/>
      <c r="G772" s="143" t="n"/>
      <c r="H772" s="27" t="n"/>
    </row>
    <row r="773" ht="17.25" customHeight="1" s="322">
      <c r="A773" s="27" t="n"/>
      <c r="B773" s="506" t="n"/>
      <c r="C773" s="141" t="n"/>
      <c r="D773" s="141" t="n"/>
      <c r="E773" s="141" t="n"/>
      <c r="F773" s="141" t="n"/>
      <c r="G773" s="143" t="n"/>
      <c r="H773" s="27" t="n"/>
    </row>
    <row r="774" ht="17.25" customHeight="1" s="322">
      <c r="A774" s="27" t="n"/>
      <c r="B774" s="506" t="n"/>
      <c r="C774" s="141" t="n"/>
      <c r="D774" s="141" t="n"/>
      <c r="E774" s="141" t="n"/>
      <c r="F774" s="141" t="n"/>
      <c r="G774" s="143" t="n"/>
      <c r="H774" s="27" t="n"/>
    </row>
    <row r="775" ht="17.25" customHeight="1" s="322">
      <c r="A775" s="27" t="n"/>
      <c r="B775" s="506" t="n"/>
      <c r="C775" s="141" t="n"/>
      <c r="D775" s="141" t="n"/>
      <c r="E775" s="141" t="n"/>
      <c r="F775" s="141" t="n"/>
      <c r="G775" s="143" t="n"/>
      <c r="H775" s="27" t="n"/>
    </row>
    <row r="776" ht="17.25" customHeight="1" s="322">
      <c r="A776" s="27" t="n"/>
      <c r="B776" s="506" t="n"/>
      <c r="C776" s="141" t="n"/>
      <c r="D776" s="141" t="n"/>
      <c r="E776" s="141" t="n"/>
      <c r="F776" s="141" t="n"/>
      <c r="G776" s="143" t="n"/>
      <c r="H776" s="27" t="n"/>
    </row>
    <row r="777" ht="17.25" customHeight="1" s="322">
      <c r="A777" s="27" t="n"/>
      <c r="B777" s="506" t="n"/>
      <c r="C777" s="141" t="n"/>
      <c r="D777" s="141" t="n"/>
      <c r="E777" s="141" t="n"/>
      <c r="F777" s="141" t="n"/>
      <c r="G777" s="143" t="n"/>
      <c r="H777" s="27" t="n"/>
    </row>
    <row r="778" ht="17.25" customHeight="1" s="322">
      <c r="A778" s="27" t="n"/>
      <c r="B778" s="506" t="n"/>
      <c r="C778" s="141" t="n"/>
      <c r="D778" s="141" t="n"/>
      <c r="E778" s="141" t="n"/>
      <c r="F778" s="141" t="n"/>
      <c r="G778" s="143" t="n"/>
      <c r="H778" s="27" t="n"/>
    </row>
    <row r="779" ht="17.25" customHeight="1" s="322">
      <c r="A779" s="27" t="n"/>
      <c r="B779" s="506" t="n"/>
      <c r="C779" s="141" t="n"/>
      <c r="D779" s="141" t="n"/>
      <c r="E779" s="141" t="n"/>
      <c r="F779" s="141" t="n"/>
      <c r="G779" s="143" t="n"/>
      <c r="H779" s="27" t="n"/>
    </row>
    <row r="780" ht="17.25" customHeight="1" s="322">
      <c r="A780" s="27" t="n"/>
      <c r="B780" s="506" t="n"/>
      <c r="C780" s="141" t="n"/>
      <c r="D780" s="141" t="n"/>
      <c r="E780" s="141" t="n"/>
      <c r="F780" s="141" t="n"/>
      <c r="G780" s="143" t="n"/>
      <c r="H780" s="27" t="n"/>
    </row>
    <row r="781" ht="17.25" customHeight="1" s="322">
      <c r="A781" s="27" t="n"/>
      <c r="B781" s="506" t="n"/>
      <c r="C781" s="141" t="n"/>
      <c r="D781" s="141" t="n"/>
      <c r="E781" s="141" t="n"/>
      <c r="F781" s="141" t="n"/>
      <c r="G781" s="143" t="n"/>
      <c r="H781" s="27" t="n"/>
    </row>
    <row r="782" ht="17.25" customHeight="1" s="322">
      <c r="A782" s="27" t="n"/>
      <c r="B782" s="506" t="n"/>
      <c r="C782" s="141" t="n"/>
      <c r="D782" s="141" t="n"/>
      <c r="E782" s="141" t="n"/>
      <c r="F782" s="141" t="n"/>
      <c r="G782" s="143" t="n"/>
      <c r="H782" s="27" t="n"/>
    </row>
    <row r="783" ht="17.25" customHeight="1" s="322">
      <c r="A783" s="27" t="n"/>
      <c r="B783" s="506" t="n"/>
      <c r="C783" s="141" t="n"/>
      <c r="D783" s="141" t="n"/>
      <c r="E783" s="141" t="n"/>
      <c r="F783" s="141" t="n"/>
      <c r="G783" s="143" t="n"/>
      <c r="H783" s="27" t="n"/>
    </row>
    <row r="784" ht="17.25" customHeight="1" s="322">
      <c r="A784" s="27" t="n"/>
      <c r="B784" s="506" t="n"/>
      <c r="C784" s="141" t="n"/>
      <c r="D784" s="141" t="n"/>
      <c r="E784" s="141" t="n"/>
      <c r="F784" s="141" t="n"/>
      <c r="G784" s="143" t="n"/>
      <c r="H784" s="27" t="n"/>
    </row>
    <row r="785" ht="17.25" customHeight="1" s="322">
      <c r="A785" s="27" t="n"/>
      <c r="B785" s="506" t="n"/>
      <c r="C785" s="141" t="n"/>
      <c r="D785" s="141" t="n"/>
      <c r="E785" s="141" t="n"/>
      <c r="F785" s="141" t="n"/>
      <c r="G785" s="143" t="n"/>
      <c r="H785" s="27" t="n"/>
    </row>
    <row r="786" ht="17.25" customHeight="1" s="322">
      <c r="A786" s="27" t="n"/>
      <c r="B786" s="506" t="n"/>
      <c r="C786" s="141" t="n"/>
      <c r="D786" s="141" t="n"/>
      <c r="E786" s="141" t="n"/>
      <c r="F786" s="141" t="n"/>
      <c r="G786" s="143" t="n"/>
      <c r="H786" s="27" t="n"/>
    </row>
    <row r="787" ht="17.25" customHeight="1" s="322">
      <c r="A787" s="27" t="n"/>
      <c r="B787" s="506" t="n"/>
      <c r="C787" s="141" t="n"/>
      <c r="D787" s="141" t="n"/>
      <c r="E787" s="141" t="n"/>
      <c r="F787" s="141" t="n"/>
      <c r="G787" s="143" t="n"/>
      <c r="H787" s="27" t="n"/>
    </row>
    <row r="788" ht="17.25" customHeight="1" s="322">
      <c r="A788" s="27" t="n"/>
      <c r="B788" s="506" t="n"/>
      <c r="C788" s="141" t="n"/>
      <c r="D788" s="141" t="n"/>
      <c r="E788" s="141" t="n"/>
      <c r="F788" s="141" t="n"/>
      <c r="G788" s="143" t="n"/>
      <c r="H788" s="27" t="n"/>
    </row>
    <row r="789" ht="17.25" customHeight="1" s="322">
      <c r="A789" s="27" t="n"/>
      <c r="B789" s="506" t="n"/>
      <c r="C789" s="141" t="n"/>
      <c r="D789" s="141" t="n"/>
      <c r="E789" s="141" t="n"/>
      <c r="F789" s="141" t="n"/>
      <c r="G789" s="143" t="n"/>
      <c r="H789" s="27" t="n"/>
    </row>
    <row r="790" ht="17.25" customHeight="1" s="322">
      <c r="A790" s="27" t="n"/>
      <c r="B790" s="506" t="n"/>
      <c r="C790" s="141" t="n"/>
      <c r="D790" s="141" t="n"/>
      <c r="E790" s="141" t="n"/>
      <c r="F790" s="141" t="n"/>
      <c r="G790" s="143" t="n"/>
      <c r="H790" s="27" t="n"/>
    </row>
    <row r="791" ht="17.25" customHeight="1" s="322">
      <c r="A791" s="27" t="n"/>
      <c r="B791" s="506" t="n"/>
      <c r="C791" s="141" t="n"/>
      <c r="D791" s="141" t="n"/>
      <c r="E791" s="141" t="n"/>
      <c r="F791" s="141" t="n"/>
      <c r="G791" s="143" t="n"/>
      <c r="H791" s="27" t="n"/>
    </row>
    <row r="792" ht="17.25" customHeight="1" s="322">
      <c r="A792" s="27" t="n"/>
      <c r="B792" s="506" t="n"/>
      <c r="C792" s="141" t="n"/>
      <c r="D792" s="141" t="n"/>
      <c r="E792" s="141" t="n"/>
      <c r="F792" s="141" t="n"/>
      <c r="G792" s="143" t="n"/>
      <c r="H792" s="27" t="n"/>
    </row>
    <row r="793" ht="17.25" customHeight="1" s="322">
      <c r="A793" s="27" t="n"/>
      <c r="B793" s="506" t="n"/>
      <c r="C793" s="141" t="n"/>
      <c r="D793" s="141" t="n"/>
      <c r="E793" s="141" t="n"/>
      <c r="F793" s="141" t="n"/>
      <c r="G793" s="143" t="n"/>
      <c r="H793" s="27" t="n"/>
    </row>
    <row r="794" ht="17.25" customHeight="1" s="322">
      <c r="A794" s="27" t="n"/>
      <c r="B794" s="506" t="n"/>
      <c r="C794" s="141" t="n"/>
      <c r="D794" s="141" t="n"/>
      <c r="E794" s="141" t="n"/>
      <c r="F794" s="141" t="n"/>
      <c r="G794" s="143" t="n"/>
      <c r="H794" s="27" t="n"/>
    </row>
    <row r="795" ht="17.25" customHeight="1" s="322">
      <c r="A795" s="27" t="n"/>
      <c r="B795" s="506" t="n"/>
      <c r="C795" s="141" t="n"/>
      <c r="D795" s="141" t="n"/>
      <c r="E795" s="141" t="n"/>
      <c r="F795" s="141" t="n"/>
      <c r="G795" s="143" t="n"/>
      <c r="H795" s="27" t="n"/>
    </row>
    <row r="796" ht="17.25" customHeight="1" s="322">
      <c r="A796" s="27" t="n"/>
      <c r="B796" s="506" t="n"/>
      <c r="C796" s="141" t="n"/>
      <c r="D796" s="141" t="n"/>
      <c r="E796" s="141" t="n"/>
      <c r="F796" s="141" t="n"/>
      <c r="G796" s="143" t="n"/>
      <c r="H796" s="27" t="n"/>
    </row>
    <row r="797" ht="17.25" customHeight="1" s="322">
      <c r="A797" s="27" t="n"/>
      <c r="B797" s="506" t="n"/>
      <c r="C797" s="141" t="n"/>
      <c r="D797" s="141" t="n"/>
      <c r="E797" s="141" t="n"/>
      <c r="F797" s="141" t="n"/>
      <c r="G797" s="143" t="n"/>
      <c r="H797" s="27" t="n"/>
    </row>
    <row r="798" ht="17.25" customHeight="1" s="322">
      <c r="A798" s="27" t="n"/>
      <c r="B798" s="506" t="n"/>
      <c r="C798" s="141" t="n"/>
      <c r="D798" s="141" t="n"/>
      <c r="E798" s="141" t="n"/>
      <c r="F798" s="141" t="n"/>
      <c r="G798" s="143" t="n"/>
      <c r="H798" s="27" t="n"/>
    </row>
    <row r="799" ht="17.25" customHeight="1" s="322">
      <c r="A799" s="27" t="n"/>
      <c r="B799" s="506" t="n"/>
      <c r="C799" s="141" t="n"/>
      <c r="D799" s="141" t="n"/>
      <c r="E799" s="141" t="n"/>
      <c r="F799" s="141" t="n"/>
      <c r="G799" s="143" t="n"/>
      <c r="H799" s="27" t="n"/>
    </row>
    <row r="800" ht="17.25" customHeight="1" s="322">
      <c r="A800" s="27" t="n"/>
      <c r="B800" s="506" t="n"/>
      <c r="C800" s="141" t="n"/>
      <c r="D800" s="141" t="n"/>
      <c r="E800" s="141" t="n"/>
      <c r="F800" s="141" t="n"/>
      <c r="G800" s="143" t="n"/>
      <c r="H800" s="27" t="n"/>
    </row>
    <row r="801" ht="17.25" customHeight="1" s="322">
      <c r="A801" s="27" t="n"/>
      <c r="B801" s="506" t="n"/>
      <c r="C801" s="141" t="n"/>
      <c r="D801" s="141" t="n"/>
      <c r="E801" s="141" t="n"/>
      <c r="F801" s="141" t="n"/>
      <c r="G801" s="143" t="n"/>
      <c r="H801" s="27" t="n"/>
    </row>
    <row r="802" ht="17.25" customHeight="1" s="322">
      <c r="A802" s="27" t="n"/>
      <c r="B802" s="506" t="n"/>
      <c r="C802" s="141" t="n"/>
      <c r="D802" s="141" t="n"/>
      <c r="E802" s="141" t="n"/>
      <c r="F802" s="141" t="n"/>
      <c r="G802" s="143" t="n"/>
      <c r="H802" s="27" t="n"/>
    </row>
    <row r="803" ht="17.25" customHeight="1" s="322">
      <c r="A803" s="27" t="n"/>
      <c r="B803" s="506" t="n"/>
      <c r="C803" s="141" t="n"/>
      <c r="D803" s="141" t="n"/>
      <c r="E803" s="141" t="n"/>
      <c r="F803" s="141" t="n"/>
      <c r="G803" s="143" t="n"/>
      <c r="H803" s="27" t="n"/>
    </row>
    <row r="804" ht="17.25" customHeight="1" s="322">
      <c r="A804" s="27" t="n"/>
      <c r="B804" s="506" t="n"/>
      <c r="C804" s="141" t="n"/>
      <c r="D804" s="141" t="n"/>
      <c r="E804" s="141" t="n"/>
      <c r="F804" s="141" t="n"/>
      <c r="G804" s="143" t="n"/>
      <c r="H804" s="27" t="n"/>
    </row>
    <row r="805" ht="17.25" customHeight="1" s="322">
      <c r="A805" s="27" t="n"/>
      <c r="B805" s="506" t="n"/>
      <c r="C805" s="141" t="n"/>
      <c r="D805" s="141" t="n"/>
      <c r="E805" s="141" t="n"/>
      <c r="F805" s="141" t="n"/>
      <c r="G805" s="143" t="n"/>
      <c r="H805" s="27" t="n"/>
    </row>
    <row r="806" ht="17.25" customHeight="1" s="322">
      <c r="A806" s="27" t="n"/>
      <c r="B806" s="506" t="n"/>
      <c r="C806" s="141" t="n"/>
      <c r="D806" s="141" t="n"/>
      <c r="E806" s="141" t="n"/>
      <c r="F806" s="141" t="n"/>
      <c r="G806" s="143" t="n"/>
      <c r="H806" s="27" t="n"/>
    </row>
    <row r="807" ht="17.25" customHeight="1" s="322">
      <c r="A807" s="27" t="n"/>
      <c r="B807" s="506" t="n"/>
      <c r="C807" s="141" t="n"/>
      <c r="D807" s="141" t="n"/>
      <c r="E807" s="141" t="n"/>
      <c r="F807" s="141" t="n"/>
      <c r="G807" s="143" t="n"/>
      <c r="H807" s="27" t="n"/>
    </row>
    <row r="808" ht="17.25" customHeight="1" s="322">
      <c r="A808" s="27" t="n"/>
      <c r="B808" s="506" t="n"/>
      <c r="C808" s="141" t="n"/>
      <c r="D808" s="141" t="n"/>
      <c r="E808" s="141" t="n"/>
      <c r="F808" s="141" t="n"/>
      <c r="G808" s="143" t="n"/>
      <c r="H808" s="27" t="n"/>
    </row>
    <row r="809" ht="17.25" customHeight="1" s="322">
      <c r="A809" s="27" t="n"/>
      <c r="B809" s="506" t="n"/>
      <c r="C809" s="141" t="n"/>
      <c r="D809" s="141" t="n"/>
      <c r="E809" s="141" t="n"/>
      <c r="F809" s="141" t="n"/>
      <c r="G809" s="143" t="n"/>
      <c r="H809" s="27" t="n"/>
    </row>
    <row r="810" ht="17.25" customHeight="1" s="322">
      <c r="A810" s="27" t="n"/>
      <c r="B810" s="506" t="n"/>
      <c r="C810" s="141" t="n"/>
      <c r="D810" s="141" t="n"/>
      <c r="E810" s="141" t="n"/>
      <c r="F810" s="141" t="n"/>
      <c r="G810" s="143" t="n"/>
      <c r="H810" s="27" t="n"/>
    </row>
    <row r="811" ht="17.25" customHeight="1" s="322">
      <c r="A811" s="27" t="n"/>
      <c r="B811" s="506" t="n"/>
      <c r="C811" s="141" t="n"/>
      <c r="D811" s="141" t="n"/>
      <c r="E811" s="141" t="n"/>
      <c r="F811" s="141" t="n"/>
      <c r="G811" s="143" t="n"/>
      <c r="H811" s="27" t="n"/>
    </row>
    <row r="812" ht="17.25" customHeight="1" s="322">
      <c r="A812" s="27" t="n"/>
      <c r="B812" s="506" t="n"/>
      <c r="C812" s="141" t="n"/>
      <c r="D812" s="141" t="n"/>
      <c r="E812" s="141" t="n"/>
      <c r="F812" s="141" t="n"/>
      <c r="G812" s="143" t="n"/>
      <c r="H812" s="27" t="n"/>
    </row>
    <row r="813" ht="17.25" customHeight="1" s="322">
      <c r="A813" s="27" t="n"/>
      <c r="B813" s="506" t="n"/>
      <c r="C813" s="141" t="n"/>
      <c r="D813" s="141" t="n"/>
      <c r="E813" s="141" t="n"/>
      <c r="F813" s="141" t="n"/>
      <c r="G813" s="143" t="n"/>
      <c r="H813" s="27" t="n"/>
    </row>
    <row r="814" ht="17.25" customHeight="1" s="322">
      <c r="A814" s="27" t="n"/>
      <c r="B814" s="506" t="n"/>
      <c r="C814" s="141" t="n"/>
      <c r="D814" s="141" t="n"/>
      <c r="E814" s="141" t="n"/>
      <c r="F814" s="141" t="n"/>
      <c r="G814" s="143" t="n"/>
      <c r="H814" s="27" t="n"/>
    </row>
    <row r="815" ht="17.25" customHeight="1" s="322">
      <c r="A815" s="27" t="n"/>
      <c r="B815" s="506" t="n"/>
      <c r="C815" s="141" t="n"/>
      <c r="D815" s="141" t="n"/>
      <c r="E815" s="141" t="n"/>
      <c r="F815" s="141" t="n"/>
      <c r="G815" s="143" t="n"/>
      <c r="H815" s="27" t="n"/>
    </row>
    <row r="816" ht="17.25" customHeight="1" s="322">
      <c r="A816" s="27" t="n"/>
      <c r="B816" s="506" t="n"/>
      <c r="C816" s="141" t="n"/>
      <c r="D816" s="141" t="n"/>
      <c r="E816" s="141" t="n"/>
      <c r="F816" s="141" t="n"/>
      <c r="G816" s="143" t="n"/>
      <c r="H816" s="27" t="n"/>
    </row>
    <row r="817" ht="17.25" customHeight="1" s="322">
      <c r="A817" s="27" t="n"/>
      <c r="B817" s="506" t="n"/>
      <c r="C817" s="141" t="n"/>
      <c r="D817" s="141" t="n"/>
      <c r="E817" s="141" t="n"/>
      <c r="F817" s="141" t="n"/>
      <c r="G817" s="143" t="n"/>
      <c r="H817" s="27" t="n"/>
    </row>
    <row r="818" ht="17.25" customHeight="1" s="322">
      <c r="A818" s="27" t="n"/>
      <c r="B818" s="506" t="n"/>
      <c r="C818" s="141" t="n"/>
      <c r="D818" s="141" t="n"/>
      <c r="E818" s="141" t="n"/>
      <c r="F818" s="141" t="n"/>
      <c r="G818" s="143" t="n"/>
      <c r="H818" s="27" t="n"/>
    </row>
    <row r="819" ht="17.25" customHeight="1" s="322">
      <c r="A819" s="27" t="n"/>
      <c r="B819" s="506" t="n"/>
      <c r="C819" s="141" t="n"/>
      <c r="D819" s="141" t="n"/>
      <c r="E819" s="141" t="n"/>
      <c r="F819" s="141" t="n"/>
      <c r="G819" s="143" t="n"/>
      <c r="H819" s="27" t="n"/>
    </row>
    <row r="820" ht="17.25" customHeight="1" s="322">
      <c r="A820" s="27" t="n"/>
      <c r="B820" s="506" t="n"/>
      <c r="C820" s="141" t="n"/>
      <c r="D820" s="141" t="n"/>
      <c r="E820" s="141" t="n"/>
      <c r="F820" s="141" t="n"/>
      <c r="G820" s="143" t="n"/>
      <c r="H820" s="27" t="n"/>
    </row>
    <row r="821" ht="17.25" customHeight="1" s="322">
      <c r="A821" s="27" t="n"/>
      <c r="B821" s="506" t="n"/>
      <c r="C821" s="141" t="n"/>
      <c r="D821" s="141" t="n"/>
      <c r="E821" s="141" t="n"/>
      <c r="F821" s="141" t="n"/>
      <c r="G821" s="143" t="n"/>
      <c r="H821" s="27" t="n"/>
    </row>
    <row r="822" ht="17.25" customHeight="1" s="322">
      <c r="A822" s="27" t="n"/>
      <c r="B822" s="506" t="n"/>
      <c r="C822" s="141" t="n"/>
      <c r="D822" s="141" t="n"/>
      <c r="E822" s="141" t="n"/>
      <c r="F822" s="141" t="n"/>
      <c r="G822" s="143" t="n"/>
      <c r="H822" s="27" t="n"/>
    </row>
    <row r="823" ht="17.25" customHeight="1" s="322">
      <c r="A823" s="27" t="n"/>
      <c r="B823" s="506" t="n"/>
      <c r="C823" s="141" t="n"/>
      <c r="D823" s="141" t="n"/>
      <c r="E823" s="141" t="n"/>
      <c r="F823" s="141" t="n"/>
      <c r="G823" s="143" t="n"/>
      <c r="H823" s="27" t="n"/>
    </row>
    <row r="824" ht="17.25" customHeight="1" s="322">
      <c r="A824" s="27" t="n"/>
      <c r="B824" s="506" t="n"/>
      <c r="C824" s="141" t="n"/>
      <c r="D824" s="141" t="n"/>
      <c r="E824" s="141" t="n"/>
      <c r="F824" s="141" t="n"/>
      <c r="G824" s="143" t="n"/>
      <c r="H824" s="27" t="n"/>
    </row>
    <row r="825" ht="17.25" customHeight="1" s="322">
      <c r="A825" s="27" t="n"/>
      <c r="B825" s="506" t="n"/>
      <c r="C825" s="141" t="n"/>
      <c r="D825" s="141" t="n"/>
      <c r="E825" s="141" t="n"/>
      <c r="F825" s="141" t="n"/>
      <c r="G825" s="143" t="n"/>
      <c r="H825" s="27" t="n"/>
    </row>
    <row r="826" ht="17.25" customHeight="1" s="322">
      <c r="A826" s="27" t="n"/>
      <c r="B826" s="506" t="n"/>
      <c r="C826" s="141" t="n"/>
      <c r="D826" s="141" t="n"/>
      <c r="E826" s="141" t="n"/>
      <c r="F826" s="141" t="n"/>
      <c r="G826" s="143" t="n"/>
      <c r="H826" s="27" t="n"/>
    </row>
    <row r="827" ht="17.25" customHeight="1" s="322">
      <c r="A827" s="27" t="n"/>
      <c r="B827" s="506" t="n"/>
      <c r="C827" s="141" t="n"/>
      <c r="D827" s="141" t="n"/>
      <c r="E827" s="141" t="n"/>
      <c r="F827" s="141" t="n"/>
      <c r="G827" s="143" t="n"/>
      <c r="H827" s="27" t="n"/>
    </row>
    <row r="828" ht="17.25" customHeight="1" s="322">
      <c r="A828" s="27" t="n"/>
      <c r="B828" s="506" t="n"/>
      <c r="C828" s="141" t="n"/>
      <c r="D828" s="141" t="n"/>
      <c r="E828" s="141" t="n"/>
      <c r="F828" s="141" t="n"/>
      <c r="G828" s="143" t="n"/>
      <c r="H828" s="27" t="n"/>
    </row>
    <row r="829" ht="17.25" customHeight="1" s="322">
      <c r="A829" s="27" t="n"/>
      <c r="B829" s="506" t="n"/>
      <c r="C829" s="141" t="n"/>
      <c r="D829" s="141" t="n"/>
      <c r="E829" s="141" t="n"/>
      <c r="F829" s="141" t="n"/>
      <c r="G829" s="143" t="n"/>
      <c r="H829" s="27" t="n"/>
    </row>
    <row r="830" ht="17.25" customHeight="1" s="322">
      <c r="A830" s="27" t="n"/>
      <c r="B830" s="506" t="n"/>
      <c r="C830" s="141" t="n"/>
      <c r="D830" s="141" t="n"/>
      <c r="E830" s="141" t="n"/>
      <c r="F830" s="141" t="n"/>
      <c r="G830" s="143" t="n"/>
      <c r="H830" s="27" t="n"/>
    </row>
    <row r="831" ht="17.25" customHeight="1" s="322">
      <c r="A831" s="27" t="n"/>
      <c r="B831" s="506" t="n"/>
      <c r="C831" s="141" t="n"/>
      <c r="D831" s="141" t="n"/>
      <c r="E831" s="141" t="n"/>
      <c r="F831" s="141" t="n"/>
      <c r="G831" s="143" t="n"/>
      <c r="H831" s="27" t="n"/>
    </row>
    <row r="832" ht="17.25" customHeight="1" s="322">
      <c r="A832" s="27" t="n"/>
      <c r="B832" s="506" t="n"/>
      <c r="C832" s="141" t="n"/>
      <c r="D832" s="141" t="n"/>
      <c r="E832" s="141" t="n"/>
      <c r="F832" s="141" t="n"/>
      <c r="G832" s="143" t="n"/>
      <c r="H832" s="27" t="n"/>
    </row>
    <row r="833" ht="17.25" customHeight="1" s="322">
      <c r="A833" s="27" t="n"/>
      <c r="B833" s="506" t="n"/>
      <c r="C833" s="141" t="n"/>
      <c r="D833" s="141" t="n"/>
      <c r="E833" s="141" t="n"/>
      <c r="F833" s="141" t="n"/>
      <c r="G833" s="143" t="n"/>
      <c r="H833" s="27" t="n"/>
    </row>
    <row r="834" ht="17.25" customHeight="1" s="322">
      <c r="A834" s="27" t="n"/>
      <c r="B834" s="506" t="n"/>
      <c r="C834" s="141" t="n"/>
      <c r="D834" s="141" t="n"/>
      <c r="E834" s="141" t="n"/>
      <c r="F834" s="141" t="n"/>
      <c r="G834" s="143" t="n"/>
      <c r="H834" s="27" t="n"/>
    </row>
    <row r="835" ht="17.25" customHeight="1" s="322">
      <c r="A835" s="27" t="n"/>
      <c r="B835" s="506" t="n"/>
      <c r="C835" s="141" t="n"/>
      <c r="D835" s="141" t="n"/>
      <c r="E835" s="141" t="n"/>
      <c r="F835" s="141" t="n"/>
      <c r="G835" s="143" t="n"/>
      <c r="H835" s="27" t="n"/>
    </row>
    <row r="836" ht="17.25" customHeight="1" s="322">
      <c r="A836" s="27" t="n"/>
      <c r="B836" s="506" t="n"/>
      <c r="C836" s="141" t="n"/>
      <c r="D836" s="141" t="n"/>
      <c r="E836" s="141" t="n"/>
      <c r="F836" s="141" t="n"/>
      <c r="G836" s="143" t="n"/>
      <c r="H836" s="27" t="n"/>
    </row>
    <row r="837" ht="17.25" customHeight="1" s="322">
      <c r="A837" s="27" t="n"/>
      <c r="B837" s="506" t="n"/>
      <c r="C837" s="141" t="n"/>
      <c r="D837" s="141" t="n"/>
      <c r="E837" s="141" t="n"/>
      <c r="F837" s="141" t="n"/>
      <c r="G837" s="143" t="n"/>
      <c r="H837" s="27" t="n"/>
    </row>
    <row r="838" ht="17.25" customHeight="1" s="322">
      <c r="A838" s="27" t="n"/>
      <c r="B838" s="506" t="n"/>
      <c r="C838" s="141" t="n"/>
      <c r="D838" s="141" t="n"/>
      <c r="E838" s="141" t="n"/>
      <c r="F838" s="141" t="n"/>
      <c r="G838" s="143" t="n"/>
      <c r="H838" s="27" t="n"/>
    </row>
    <row r="839" ht="17.25" customHeight="1" s="322">
      <c r="A839" s="27" t="n"/>
      <c r="B839" s="506" t="n"/>
      <c r="C839" s="141" t="n"/>
      <c r="D839" s="141" t="n"/>
      <c r="E839" s="141" t="n"/>
      <c r="F839" s="141" t="n"/>
      <c r="G839" s="143" t="n"/>
      <c r="H839" s="27" t="n"/>
    </row>
    <row r="840" ht="17.25" customHeight="1" s="322">
      <c r="A840" s="27" t="n"/>
      <c r="B840" s="506" t="n"/>
      <c r="C840" s="141" t="n"/>
      <c r="D840" s="141" t="n"/>
      <c r="E840" s="141" t="n"/>
      <c r="F840" s="141" t="n"/>
      <c r="G840" s="143" t="n"/>
      <c r="H840" s="27" t="n"/>
    </row>
    <row r="841" ht="17.25" customHeight="1" s="322">
      <c r="A841" s="27" t="n"/>
      <c r="B841" s="506" t="n"/>
      <c r="C841" s="141" t="n"/>
      <c r="D841" s="141" t="n"/>
      <c r="E841" s="141" t="n"/>
      <c r="F841" s="141" t="n"/>
      <c r="G841" s="143" t="n"/>
      <c r="H841" s="27" t="n"/>
    </row>
    <row r="842" ht="17.25" customHeight="1" s="322">
      <c r="A842" s="27" t="n"/>
      <c r="B842" s="506" t="n"/>
      <c r="C842" s="141" t="n"/>
      <c r="D842" s="141" t="n"/>
      <c r="E842" s="141" t="n"/>
      <c r="F842" s="141" t="n"/>
      <c r="G842" s="143" t="n"/>
      <c r="H842" s="27" t="n"/>
    </row>
    <row r="843" ht="17.25" customHeight="1" s="322">
      <c r="A843" s="27" t="n"/>
      <c r="B843" s="506" t="n"/>
      <c r="C843" s="141" t="n"/>
      <c r="D843" s="141" t="n"/>
      <c r="E843" s="141" t="n"/>
      <c r="F843" s="141" t="n"/>
      <c r="G843" s="143" t="n"/>
      <c r="H843" s="27" t="n"/>
    </row>
    <row r="844" ht="17.25" customHeight="1" s="322">
      <c r="A844" s="27" t="n"/>
      <c r="B844" s="506" t="n"/>
      <c r="C844" s="141" t="n"/>
      <c r="D844" s="141" t="n"/>
      <c r="E844" s="141" t="n"/>
      <c r="F844" s="141" t="n"/>
      <c r="G844" s="143" t="n"/>
      <c r="H844" s="27" t="n"/>
    </row>
    <row r="845" ht="17.25" customHeight="1" s="322">
      <c r="A845" s="27" t="n"/>
      <c r="B845" s="506" t="n"/>
      <c r="C845" s="141" t="n"/>
      <c r="D845" s="141" t="n"/>
      <c r="E845" s="141" t="n"/>
      <c r="F845" s="141" t="n"/>
      <c r="G845" s="143" t="n"/>
      <c r="H845" s="27" t="n"/>
    </row>
    <row r="846" ht="17.25" customHeight="1" s="322">
      <c r="A846" s="27" t="n"/>
      <c r="B846" s="506" t="n"/>
      <c r="C846" s="141" t="n"/>
      <c r="D846" s="141" t="n"/>
      <c r="E846" s="141" t="n"/>
      <c r="F846" s="141" t="n"/>
      <c r="G846" s="143" t="n"/>
      <c r="H846" s="27" t="n"/>
    </row>
    <row r="847" ht="17.25" customHeight="1" s="322">
      <c r="A847" s="27" t="n"/>
      <c r="B847" s="506" t="n"/>
      <c r="C847" s="141" t="n"/>
      <c r="D847" s="141" t="n"/>
      <c r="E847" s="141" t="n"/>
      <c r="F847" s="141" t="n"/>
      <c r="G847" s="143" t="n"/>
      <c r="H847" s="27" t="n"/>
    </row>
    <row r="848" ht="17.25" customHeight="1" s="322">
      <c r="A848" s="27" t="n"/>
      <c r="B848" s="506" t="n"/>
      <c r="C848" s="141" t="n"/>
      <c r="D848" s="141" t="n"/>
      <c r="E848" s="141" t="n"/>
      <c r="F848" s="141" t="n"/>
      <c r="G848" s="143" t="n"/>
      <c r="H848" s="27" t="n"/>
    </row>
    <row r="849" ht="17.25" customHeight="1" s="322">
      <c r="A849" s="27" t="n"/>
      <c r="B849" s="506" t="n"/>
      <c r="C849" s="141" t="n"/>
      <c r="D849" s="141" t="n"/>
      <c r="E849" s="141" t="n"/>
      <c r="F849" s="141" t="n"/>
      <c r="G849" s="143" t="n"/>
      <c r="H849" s="27" t="n"/>
    </row>
    <row r="850" ht="17.25" customHeight="1" s="322">
      <c r="A850" s="27" t="n"/>
      <c r="B850" s="506" t="n"/>
      <c r="C850" s="141" t="n"/>
      <c r="D850" s="141" t="n"/>
      <c r="E850" s="141" t="n"/>
      <c r="F850" s="141" t="n"/>
      <c r="G850" s="143" t="n"/>
      <c r="H850" s="27" t="n"/>
    </row>
    <row r="851" ht="17.25" customHeight="1" s="322">
      <c r="A851" s="27" t="n"/>
      <c r="B851" s="506" t="n"/>
      <c r="C851" s="141" t="n"/>
      <c r="D851" s="141" t="n"/>
      <c r="E851" s="141" t="n"/>
      <c r="F851" s="141" t="n"/>
      <c r="G851" s="143" t="n"/>
      <c r="H851" s="27" t="n"/>
    </row>
    <row r="852" ht="17.25" customHeight="1" s="322">
      <c r="A852" s="27" t="n"/>
      <c r="B852" s="506" t="n"/>
      <c r="C852" s="141" t="n"/>
      <c r="D852" s="141" t="n"/>
      <c r="E852" s="141" t="n"/>
      <c r="F852" s="141" t="n"/>
      <c r="G852" s="143" t="n"/>
      <c r="H852" s="27" t="n"/>
    </row>
    <row r="853" ht="17.25" customHeight="1" s="322">
      <c r="A853" s="27" t="n"/>
      <c r="B853" s="506" t="n"/>
      <c r="C853" s="141" t="n"/>
      <c r="D853" s="141" t="n"/>
      <c r="E853" s="141" t="n"/>
      <c r="F853" s="141" t="n"/>
      <c r="G853" s="143" t="n"/>
      <c r="H853" s="27" t="n"/>
    </row>
    <row r="854" ht="17.25" customHeight="1" s="322">
      <c r="A854" s="27" t="n"/>
      <c r="B854" s="506" t="n"/>
      <c r="C854" s="141" t="n"/>
      <c r="D854" s="141" t="n"/>
      <c r="E854" s="141" t="n"/>
      <c r="F854" s="141" t="n"/>
      <c r="G854" s="143" t="n"/>
      <c r="H854" s="27" t="n"/>
    </row>
    <row r="855" ht="17.25" customHeight="1" s="322">
      <c r="A855" s="27" t="n"/>
      <c r="B855" s="506" t="n"/>
      <c r="C855" s="141" t="n"/>
      <c r="D855" s="141" t="n"/>
      <c r="E855" s="141" t="n"/>
      <c r="F855" s="141" t="n"/>
      <c r="G855" s="143" t="n"/>
      <c r="H855" s="27" t="n"/>
    </row>
    <row r="856" ht="17.25" customHeight="1" s="322">
      <c r="A856" s="27" t="n"/>
      <c r="B856" s="506" t="n"/>
      <c r="C856" s="141" t="n"/>
      <c r="D856" s="141" t="n"/>
      <c r="E856" s="141" t="n"/>
      <c r="F856" s="141" t="n"/>
      <c r="G856" s="143" t="n"/>
      <c r="H856" s="27" t="n"/>
    </row>
    <row r="857" ht="17.25" customHeight="1" s="322">
      <c r="A857" s="27" t="n"/>
      <c r="B857" s="506" t="n"/>
      <c r="C857" s="141" t="n"/>
      <c r="D857" s="141" t="n"/>
      <c r="E857" s="141" t="n"/>
      <c r="F857" s="141" t="n"/>
      <c r="G857" s="143" t="n"/>
      <c r="H857" s="27" t="n"/>
    </row>
    <row r="858" ht="17.25" customHeight="1" s="322">
      <c r="A858" s="27" t="n"/>
      <c r="B858" s="506" t="n"/>
      <c r="C858" s="141" t="n"/>
      <c r="D858" s="141" t="n"/>
      <c r="E858" s="141" t="n"/>
      <c r="F858" s="141" t="n"/>
      <c r="G858" s="143" t="n"/>
      <c r="H858" s="27" t="n"/>
    </row>
    <row r="859" ht="17.25" customHeight="1" s="322">
      <c r="A859" s="27" t="n"/>
      <c r="B859" s="506" t="n"/>
      <c r="C859" s="141" t="n"/>
      <c r="D859" s="141" t="n"/>
      <c r="E859" s="141" t="n"/>
      <c r="F859" s="141" t="n"/>
      <c r="G859" s="143" t="n"/>
      <c r="H859" s="27" t="n"/>
    </row>
    <row r="860" ht="17.25" customHeight="1" s="322">
      <c r="A860" s="27" t="n"/>
      <c r="B860" s="506" t="n"/>
      <c r="C860" s="141" t="n"/>
      <c r="D860" s="141" t="n"/>
      <c r="E860" s="141" t="n"/>
      <c r="F860" s="141" t="n"/>
      <c r="G860" s="143" t="n"/>
      <c r="H860" s="27" t="n"/>
    </row>
    <row r="861" ht="17.25" customHeight="1" s="322">
      <c r="A861" s="27" t="n"/>
      <c r="B861" s="506" t="n"/>
      <c r="C861" s="141" t="n"/>
      <c r="D861" s="141" t="n"/>
      <c r="E861" s="141" t="n"/>
      <c r="F861" s="141" t="n"/>
      <c r="G861" s="143" t="n"/>
      <c r="H861" s="27" t="n"/>
    </row>
    <row r="862" ht="17.25" customHeight="1" s="322">
      <c r="A862" s="27" t="n"/>
      <c r="B862" s="506" t="n"/>
      <c r="C862" s="141" t="n"/>
      <c r="D862" s="141" t="n"/>
      <c r="E862" s="141" t="n"/>
      <c r="F862" s="141" t="n"/>
      <c r="G862" s="143" t="n"/>
      <c r="H862" s="27" t="n"/>
    </row>
    <row r="863" ht="17.25" customHeight="1" s="322">
      <c r="A863" s="27" t="n"/>
      <c r="B863" s="506" t="n"/>
      <c r="C863" s="141" t="n"/>
      <c r="D863" s="141" t="n"/>
      <c r="E863" s="141" t="n"/>
      <c r="F863" s="141" t="n"/>
      <c r="G863" s="143" t="n"/>
      <c r="H863" s="27" t="n"/>
    </row>
    <row r="864" ht="17.25" customHeight="1" s="322">
      <c r="A864" s="27" t="n"/>
      <c r="B864" s="506" t="n"/>
      <c r="C864" s="141" t="n"/>
      <c r="D864" s="141" t="n"/>
      <c r="E864" s="141" t="n"/>
      <c r="F864" s="141" t="n"/>
      <c r="G864" s="143" t="n"/>
      <c r="H864" s="27" t="n"/>
    </row>
    <row r="865" ht="17.25" customHeight="1" s="322">
      <c r="A865" s="27" t="n"/>
      <c r="B865" s="506" t="n"/>
      <c r="C865" s="141" t="n"/>
      <c r="D865" s="141" t="n"/>
      <c r="E865" s="141" t="n"/>
      <c r="F865" s="141" t="n"/>
      <c r="G865" s="143" t="n"/>
      <c r="H865" s="27" t="n"/>
    </row>
    <row r="866" ht="17.25" customHeight="1" s="322">
      <c r="A866" s="27" t="n"/>
      <c r="B866" s="506" t="n"/>
      <c r="C866" s="141" t="n"/>
      <c r="D866" s="141" t="n"/>
      <c r="E866" s="141" t="n"/>
      <c r="F866" s="141" t="n"/>
      <c r="G866" s="143" t="n"/>
      <c r="H866" s="27" t="n"/>
    </row>
    <row r="867" ht="17.25" customHeight="1" s="322">
      <c r="A867" s="27" t="n"/>
      <c r="B867" s="506" t="n"/>
      <c r="C867" s="141" t="n"/>
      <c r="D867" s="141" t="n"/>
      <c r="E867" s="141" t="n"/>
      <c r="F867" s="141" t="n"/>
      <c r="G867" s="143" t="n"/>
      <c r="H867" s="27" t="n"/>
    </row>
    <row r="868" ht="17.25" customHeight="1" s="322">
      <c r="A868" s="27" t="n"/>
      <c r="B868" s="506" t="n"/>
      <c r="C868" s="141" t="n"/>
      <c r="D868" s="141" t="n"/>
      <c r="E868" s="141" t="n"/>
      <c r="F868" s="141" t="n"/>
      <c r="G868" s="143" t="n"/>
      <c r="H868" s="27" t="n"/>
    </row>
    <row r="869" ht="17.25" customHeight="1" s="322">
      <c r="A869" s="27" t="n"/>
      <c r="B869" s="506" t="n"/>
      <c r="C869" s="141" t="n"/>
      <c r="D869" s="141" t="n"/>
      <c r="E869" s="141" t="n"/>
      <c r="F869" s="141" t="n"/>
      <c r="G869" s="143" t="n"/>
      <c r="H869" s="27" t="n"/>
    </row>
    <row r="870" ht="17.25" customHeight="1" s="322">
      <c r="A870" s="27" t="n"/>
      <c r="B870" s="506" t="n"/>
      <c r="C870" s="141" t="n"/>
      <c r="D870" s="141" t="n"/>
      <c r="E870" s="141" t="n"/>
      <c r="F870" s="141" t="n"/>
      <c r="G870" s="143" t="n"/>
      <c r="H870" s="27" t="n"/>
    </row>
    <row r="871" ht="17.25" customHeight="1" s="322">
      <c r="A871" s="27" t="n"/>
      <c r="B871" s="506" t="n"/>
      <c r="C871" s="141" t="n"/>
      <c r="D871" s="141" t="n"/>
      <c r="E871" s="141" t="n"/>
      <c r="F871" s="141" t="n"/>
      <c r="G871" s="143" t="n"/>
      <c r="H871" s="27" t="n"/>
    </row>
    <row r="872" ht="17.25" customHeight="1" s="322">
      <c r="A872" s="27" t="n"/>
      <c r="B872" s="506" t="n"/>
      <c r="C872" s="141" t="n"/>
      <c r="D872" s="141" t="n"/>
      <c r="E872" s="141" t="n"/>
      <c r="F872" s="141" t="n"/>
      <c r="G872" s="143" t="n"/>
      <c r="H872" s="27" t="n"/>
    </row>
    <row r="873" ht="17.25" customHeight="1" s="322">
      <c r="A873" s="27" t="n"/>
      <c r="B873" s="506" t="n"/>
      <c r="C873" s="141" t="n"/>
      <c r="D873" s="141" t="n"/>
      <c r="E873" s="141" t="n"/>
      <c r="F873" s="141" t="n"/>
      <c r="G873" s="143" t="n"/>
      <c r="H873" s="27" t="n"/>
    </row>
    <row r="874" ht="17.25" customHeight="1" s="322">
      <c r="A874" s="27" t="n"/>
      <c r="B874" s="506" t="n"/>
      <c r="C874" s="141" t="n"/>
      <c r="D874" s="141" t="n"/>
      <c r="E874" s="141" t="n"/>
      <c r="F874" s="141" t="n"/>
      <c r="G874" s="143" t="n"/>
      <c r="H874" s="27" t="n"/>
    </row>
    <row r="875" ht="17.25" customHeight="1" s="322">
      <c r="A875" s="27" t="n"/>
      <c r="B875" s="506" t="n"/>
      <c r="C875" s="141" t="n"/>
      <c r="D875" s="141" t="n"/>
      <c r="E875" s="141" t="n"/>
      <c r="F875" s="141" t="n"/>
      <c r="G875" s="143" t="n"/>
      <c r="H875" s="27" t="n"/>
    </row>
    <row r="876" ht="17.25" customHeight="1" s="322">
      <c r="A876" s="27" t="n"/>
      <c r="B876" s="506" t="n"/>
      <c r="C876" s="141" t="n"/>
      <c r="D876" s="141" t="n"/>
      <c r="E876" s="141" t="n"/>
      <c r="F876" s="141" t="n"/>
      <c r="G876" s="143" t="n"/>
      <c r="H876" s="27" t="n"/>
    </row>
    <row r="877" ht="17.25" customHeight="1" s="322">
      <c r="A877" s="27" t="n"/>
      <c r="B877" s="506" t="n"/>
      <c r="C877" s="141" t="n"/>
      <c r="D877" s="141" t="n"/>
      <c r="E877" s="141" t="n"/>
      <c r="F877" s="141" t="n"/>
      <c r="G877" s="143" t="n"/>
      <c r="H877" s="27" t="n"/>
    </row>
    <row r="878" ht="17.25" customHeight="1" s="322">
      <c r="A878" s="27" t="n"/>
      <c r="B878" s="506" t="n"/>
      <c r="C878" s="141" t="n"/>
      <c r="D878" s="141" t="n"/>
      <c r="E878" s="141" t="n"/>
      <c r="F878" s="141" t="n"/>
      <c r="G878" s="143" t="n"/>
      <c r="H878" s="27" t="n"/>
    </row>
    <row r="879" ht="17.25" customHeight="1" s="322">
      <c r="A879" s="27" t="n"/>
      <c r="B879" s="506" t="n"/>
      <c r="C879" s="141" t="n"/>
      <c r="D879" s="141" t="n"/>
      <c r="E879" s="141" t="n"/>
      <c r="F879" s="141" t="n"/>
      <c r="G879" s="143" t="n"/>
      <c r="H879" s="27" t="n"/>
    </row>
    <row r="880" ht="17.25" customHeight="1" s="322">
      <c r="A880" s="27" t="n"/>
      <c r="B880" s="506" t="n"/>
      <c r="C880" s="141" t="n"/>
      <c r="D880" s="141" t="n"/>
      <c r="E880" s="141" t="n"/>
      <c r="F880" s="141" t="n"/>
      <c r="G880" s="143" t="n"/>
      <c r="H880" s="27" t="n"/>
    </row>
    <row r="881" ht="17.25" customHeight="1" s="322">
      <c r="A881" s="27" t="n"/>
      <c r="B881" s="506" t="n"/>
      <c r="C881" s="141" t="n"/>
      <c r="D881" s="141" t="n"/>
      <c r="E881" s="141" t="n"/>
      <c r="F881" s="141" t="n"/>
      <c r="G881" s="143" t="n"/>
      <c r="H881" s="27" t="n"/>
    </row>
    <row r="882" ht="17.25" customHeight="1" s="322">
      <c r="A882" s="27" t="n"/>
      <c r="B882" s="506" t="n"/>
      <c r="C882" s="141" t="n"/>
      <c r="D882" s="141" t="n"/>
      <c r="E882" s="141" t="n"/>
      <c r="F882" s="141" t="n"/>
      <c r="G882" s="143" t="n"/>
      <c r="H882" s="27" t="n"/>
    </row>
    <row r="883" ht="17.25" customHeight="1" s="322">
      <c r="A883" s="27" t="n"/>
      <c r="B883" s="506" t="n"/>
      <c r="C883" s="141" t="n"/>
      <c r="D883" s="141" t="n"/>
      <c r="E883" s="141" t="n"/>
      <c r="F883" s="141" t="n"/>
      <c r="G883" s="143" t="n"/>
      <c r="H883" s="27" t="n"/>
    </row>
    <row r="884" ht="17.25" customHeight="1" s="322">
      <c r="A884" s="27" t="n"/>
      <c r="B884" s="506" t="n"/>
      <c r="C884" s="141" t="n"/>
      <c r="D884" s="141" t="n"/>
      <c r="E884" s="141" t="n"/>
      <c r="F884" s="141" t="n"/>
      <c r="G884" s="143" t="n"/>
      <c r="H884" s="27" t="n"/>
    </row>
    <row r="885" ht="17.25" customHeight="1" s="322">
      <c r="A885" s="27" t="n"/>
      <c r="B885" s="506" t="n"/>
      <c r="C885" s="141" t="n"/>
      <c r="D885" s="141" t="n"/>
      <c r="E885" s="141" t="n"/>
      <c r="F885" s="141" t="n"/>
      <c r="G885" s="143" t="n"/>
      <c r="H885" s="27" t="n"/>
    </row>
    <row r="886" ht="17.25" customHeight="1" s="322">
      <c r="A886" s="27" t="n"/>
      <c r="B886" s="506" t="n"/>
      <c r="C886" s="141" t="n"/>
      <c r="D886" s="141" t="n"/>
      <c r="E886" s="141" t="n"/>
      <c r="F886" s="141" t="n"/>
      <c r="G886" s="143" t="n"/>
      <c r="H886" s="27" t="n"/>
    </row>
    <row r="887" ht="17.25" customHeight="1" s="322">
      <c r="A887" s="27" t="n"/>
      <c r="B887" s="506" t="n"/>
      <c r="C887" s="141" t="n"/>
      <c r="D887" s="141" t="n"/>
      <c r="E887" s="141" t="n"/>
      <c r="F887" s="141" t="n"/>
      <c r="G887" s="143" t="n"/>
      <c r="H887" s="27" t="n"/>
    </row>
    <row r="888" ht="17.25" customHeight="1" s="322">
      <c r="A888" s="27" t="n"/>
      <c r="B888" s="506" t="n"/>
      <c r="C888" s="141" t="n"/>
      <c r="D888" s="141" t="n"/>
      <c r="E888" s="141" t="n"/>
      <c r="F888" s="141" t="n"/>
      <c r="G888" s="143" t="n"/>
      <c r="H888" s="27" t="n"/>
    </row>
    <row r="889" ht="17.25" customHeight="1" s="322">
      <c r="A889" s="27" t="n"/>
      <c r="B889" s="506" t="n"/>
      <c r="C889" s="141" t="n"/>
      <c r="D889" s="141" t="n"/>
      <c r="E889" s="141" t="n"/>
      <c r="F889" s="141" t="n"/>
      <c r="G889" s="143" t="n"/>
      <c r="H889" s="27" t="n"/>
    </row>
    <row r="890" ht="17.25" customHeight="1" s="322">
      <c r="A890" s="27" t="n"/>
      <c r="B890" s="506" t="n"/>
      <c r="C890" s="141" t="n"/>
      <c r="D890" s="141" t="n"/>
      <c r="E890" s="141" t="n"/>
      <c r="F890" s="141" t="n"/>
      <c r="G890" s="143" t="n"/>
      <c r="H890" s="27" t="n"/>
    </row>
    <row r="891" ht="17.25" customHeight="1" s="322">
      <c r="A891" s="27" t="n"/>
      <c r="B891" s="506" t="n"/>
      <c r="C891" s="141" t="n"/>
      <c r="D891" s="141" t="n"/>
      <c r="E891" s="141" t="n"/>
      <c r="F891" s="141" t="n"/>
      <c r="G891" s="143" t="n"/>
      <c r="H891" s="27" t="n"/>
    </row>
    <row r="892" ht="17.25" customHeight="1" s="322">
      <c r="A892" s="27" t="n"/>
      <c r="B892" s="506" t="n"/>
      <c r="C892" s="141" t="n"/>
      <c r="D892" s="141" t="n"/>
      <c r="E892" s="141" t="n"/>
      <c r="F892" s="141" t="n"/>
      <c r="G892" s="143" t="n"/>
      <c r="H892" s="27" t="n"/>
    </row>
    <row r="893" ht="17.25" customHeight="1" s="322">
      <c r="A893" s="27" t="n"/>
      <c r="B893" s="506" t="n"/>
      <c r="C893" s="141" t="n"/>
      <c r="D893" s="141" t="n"/>
      <c r="E893" s="141" t="n"/>
      <c r="F893" s="141" t="n"/>
      <c r="G893" s="143" t="n"/>
      <c r="H893" s="27" t="n"/>
    </row>
    <row r="894" ht="17.25" customHeight="1" s="322">
      <c r="A894" s="27" t="n"/>
      <c r="B894" s="506" t="n"/>
      <c r="C894" s="141" t="n"/>
      <c r="D894" s="141" t="n"/>
      <c r="E894" s="141" t="n"/>
      <c r="F894" s="141" t="n"/>
      <c r="G894" s="143" t="n"/>
      <c r="H894" s="27" t="n"/>
    </row>
    <row r="895" ht="17.25" customHeight="1" s="322">
      <c r="A895" s="27" t="n"/>
      <c r="B895" s="506" t="n"/>
      <c r="C895" s="141" t="n"/>
      <c r="D895" s="141" t="n"/>
      <c r="E895" s="141" t="n"/>
      <c r="F895" s="141" t="n"/>
      <c r="G895" s="143" t="n"/>
      <c r="H895" s="27" t="n"/>
    </row>
    <row r="896" ht="17.25" customHeight="1" s="322">
      <c r="A896" s="27" t="n"/>
      <c r="B896" s="506" t="n"/>
      <c r="C896" s="141" t="n"/>
      <c r="D896" s="141" t="n"/>
      <c r="E896" s="141" t="n"/>
      <c r="F896" s="141" t="n"/>
      <c r="G896" s="143" t="n"/>
      <c r="H896" s="27" t="n"/>
    </row>
    <row r="897" ht="17.25" customHeight="1" s="322">
      <c r="A897" s="27" t="n"/>
      <c r="B897" s="506" t="n"/>
      <c r="C897" s="141" t="n"/>
      <c r="D897" s="141" t="n"/>
      <c r="E897" s="141" t="n"/>
      <c r="F897" s="141" t="n"/>
      <c r="G897" s="143" t="n"/>
      <c r="H897" s="27" t="n"/>
    </row>
    <row r="898" ht="17.25" customHeight="1" s="322">
      <c r="A898" s="27" t="n"/>
      <c r="B898" s="506" t="n"/>
      <c r="C898" s="141" t="n"/>
      <c r="D898" s="141" t="n"/>
      <c r="E898" s="141" t="n"/>
      <c r="F898" s="141" t="n"/>
      <c r="G898" s="143" t="n"/>
      <c r="H898" s="27" t="n"/>
    </row>
    <row r="899" ht="17.25" customHeight="1" s="322">
      <c r="A899" s="27" t="n"/>
      <c r="B899" s="506" t="n"/>
      <c r="C899" s="141" t="n"/>
      <c r="D899" s="141" t="n"/>
      <c r="E899" s="141" t="n"/>
      <c r="F899" s="141" t="n"/>
      <c r="G899" s="143" t="n"/>
      <c r="H899" s="27" t="n"/>
    </row>
    <row r="900" ht="17.25" customHeight="1" s="322">
      <c r="A900" s="27" t="n"/>
      <c r="B900" s="506" t="n"/>
      <c r="C900" s="141" t="n"/>
      <c r="D900" s="141" t="n"/>
      <c r="E900" s="141" t="n"/>
      <c r="F900" s="141" t="n"/>
      <c r="G900" s="143" t="n"/>
      <c r="H900" s="27" t="n"/>
    </row>
    <row r="901" ht="17.25" customHeight="1" s="322">
      <c r="A901" s="27" t="n"/>
      <c r="B901" s="506" t="n"/>
      <c r="C901" s="141" t="n"/>
      <c r="D901" s="141" t="n"/>
      <c r="E901" s="141" t="n"/>
      <c r="F901" s="141" t="n"/>
      <c r="G901" s="143" t="n"/>
      <c r="H901" s="27" t="n"/>
    </row>
    <row r="902" ht="17.25" customHeight="1" s="322">
      <c r="A902" s="27" t="n"/>
      <c r="B902" s="506" t="n"/>
      <c r="C902" s="141" t="n"/>
      <c r="D902" s="141" t="n"/>
      <c r="E902" s="141" t="n"/>
      <c r="F902" s="141" t="n"/>
      <c r="G902" s="143" t="n"/>
      <c r="H902" s="27" t="n"/>
    </row>
    <row r="903" ht="17.25" customHeight="1" s="322">
      <c r="A903" s="27" t="n"/>
      <c r="B903" s="506" t="n"/>
      <c r="C903" s="141" t="n"/>
      <c r="D903" s="141" t="n"/>
      <c r="E903" s="141" t="n"/>
      <c r="F903" s="141" t="n"/>
      <c r="G903" s="143" t="n"/>
      <c r="H903" s="27" t="n"/>
    </row>
    <row r="904" ht="17.25" customHeight="1" s="322">
      <c r="A904" s="27" t="n"/>
      <c r="B904" s="506" t="n"/>
      <c r="C904" s="141" t="n"/>
      <c r="D904" s="141" t="n"/>
      <c r="E904" s="141" t="n"/>
      <c r="F904" s="141" t="n"/>
      <c r="G904" s="143" t="n"/>
      <c r="H904" s="27" t="n"/>
    </row>
    <row r="905" ht="17.25" customHeight="1" s="322">
      <c r="A905" s="27" t="n"/>
      <c r="B905" s="506" t="n"/>
      <c r="C905" s="141" t="n"/>
      <c r="D905" s="141" t="n"/>
      <c r="E905" s="141" t="n"/>
      <c r="F905" s="141" t="n"/>
      <c r="G905" s="143" t="n"/>
      <c r="H905" s="27" t="n"/>
    </row>
    <row r="906" ht="17.25" customHeight="1" s="322">
      <c r="A906" s="27" t="n"/>
      <c r="B906" s="506" t="n"/>
      <c r="C906" s="141" t="n"/>
      <c r="D906" s="141" t="n"/>
      <c r="E906" s="141" t="n"/>
      <c r="F906" s="141" t="n"/>
      <c r="G906" s="143" t="n"/>
      <c r="H906" s="27" t="n"/>
    </row>
    <row r="907" ht="17.25" customHeight="1" s="322">
      <c r="A907" s="27" t="n"/>
      <c r="B907" s="506" t="n"/>
      <c r="C907" s="141" t="n"/>
      <c r="D907" s="141" t="n"/>
      <c r="E907" s="141" t="n"/>
      <c r="F907" s="141" t="n"/>
      <c r="G907" s="143" t="n"/>
      <c r="H907" s="27" t="n"/>
    </row>
    <row r="908" ht="17.25" customHeight="1" s="322">
      <c r="A908" s="27" t="n"/>
      <c r="B908" s="506" t="n"/>
      <c r="C908" s="141" t="n"/>
      <c r="D908" s="141" t="n"/>
      <c r="E908" s="141" t="n"/>
      <c r="F908" s="141" t="n"/>
      <c r="G908" s="143" t="n"/>
      <c r="H908" s="27" t="n"/>
    </row>
    <row r="909" ht="17.25" customHeight="1" s="322">
      <c r="A909" s="27" t="n"/>
      <c r="B909" s="506" t="n"/>
      <c r="C909" s="141" t="n"/>
      <c r="D909" s="141" t="n"/>
      <c r="E909" s="141" t="n"/>
      <c r="F909" s="141" t="n"/>
      <c r="G909" s="143" t="n"/>
      <c r="H909" s="27" t="n"/>
    </row>
    <row r="910" ht="17.25" customHeight="1" s="322">
      <c r="A910" s="27" t="n"/>
      <c r="B910" s="506" t="n"/>
      <c r="C910" s="141" t="n"/>
      <c r="D910" s="141" t="n"/>
      <c r="E910" s="141" t="n"/>
      <c r="F910" s="141" t="n"/>
      <c r="G910" s="143" t="n"/>
      <c r="H910" s="27" t="n"/>
    </row>
    <row r="911" ht="17.25" customHeight="1" s="322">
      <c r="A911" s="27" t="n"/>
      <c r="B911" s="506" t="n"/>
      <c r="C911" s="141" t="n"/>
      <c r="D911" s="141" t="n"/>
      <c r="E911" s="141" t="n"/>
      <c r="F911" s="141" t="n"/>
      <c r="G911" s="143" t="n"/>
      <c r="H911" s="27" t="n"/>
    </row>
    <row r="912" ht="17.25" customHeight="1" s="322">
      <c r="A912" s="27" t="n"/>
      <c r="B912" s="506" t="n"/>
      <c r="C912" s="141" t="n"/>
      <c r="D912" s="141" t="n"/>
      <c r="E912" s="141" t="n"/>
      <c r="F912" s="141" t="n"/>
      <c r="G912" s="143" t="n"/>
      <c r="H912" s="27" t="n"/>
    </row>
    <row r="913" ht="17.25" customHeight="1" s="322">
      <c r="A913" s="27" t="n"/>
      <c r="B913" s="506" t="n"/>
      <c r="C913" s="141" t="n"/>
      <c r="D913" s="141" t="n"/>
      <c r="E913" s="141" t="n"/>
      <c r="F913" s="141" t="n"/>
      <c r="G913" s="143" t="n"/>
      <c r="H913" s="27" t="n"/>
    </row>
    <row r="914" ht="17.25" customHeight="1" s="322">
      <c r="A914" s="27" t="n"/>
      <c r="B914" s="506" t="n"/>
      <c r="C914" s="141" t="n"/>
      <c r="D914" s="141" t="n"/>
      <c r="E914" s="141" t="n"/>
      <c r="F914" s="141" t="n"/>
      <c r="G914" s="143" t="n"/>
      <c r="H914" s="27" t="n"/>
    </row>
    <row r="915" ht="17.25" customHeight="1" s="322">
      <c r="A915" s="27" t="n"/>
      <c r="B915" s="506" t="n"/>
      <c r="C915" s="141" t="n"/>
      <c r="D915" s="141" t="n"/>
      <c r="E915" s="141" t="n"/>
      <c r="F915" s="141" t="n"/>
      <c r="G915" s="143" t="n"/>
      <c r="H915" s="27" t="n"/>
    </row>
    <row r="916" ht="17.25" customHeight="1" s="322">
      <c r="A916" s="27" t="n"/>
      <c r="B916" s="506" t="n"/>
      <c r="C916" s="141" t="n"/>
      <c r="D916" s="141" t="n"/>
      <c r="E916" s="141" t="n"/>
      <c r="F916" s="141" t="n"/>
      <c r="G916" s="143" t="n"/>
      <c r="H916" s="27" t="n"/>
    </row>
    <row r="917" ht="17.25" customHeight="1" s="322">
      <c r="A917" s="27" t="n"/>
      <c r="B917" s="506" t="n"/>
      <c r="C917" s="141" t="n"/>
      <c r="D917" s="141" t="n"/>
      <c r="E917" s="141" t="n"/>
      <c r="F917" s="141" t="n"/>
      <c r="G917" s="143" t="n"/>
      <c r="H917" s="27" t="n"/>
    </row>
    <row r="918" ht="17.25" customHeight="1" s="322">
      <c r="A918" s="27" t="n"/>
      <c r="B918" s="506" t="n"/>
      <c r="C918" s="141" t="n"/>
      <c r="D918" s="141" t="n"/>
      <c r="E918" s="141" t="n"/>
      <c r="F918" s="141" t="n"/>
      <c r="G918" s="143" t="n"/>
      <c r="H918" s="27" t="n"/>
    </row>
    <row r="919" ht="17.25" customHeight="1" s="322">
      <c r="A919" s="27" t="n"/>
      <c r="B919" s="506" t="n"/>
      <c r="C919" s="141" t="n"/>
      <c r="D919" s="141" t="n"/>
      <c r="E919" s="141" t="n"/>
      <c r="F919" s="141" t="n"/>
      <c r="G919" s="143" t="n"/>
      <c r="H919" s="27" t="n"/>
    </row>
    <row r="920" ht="17.25" customHeight="1" s="322">
      <c r="A920" s="27" t="n"/>
      <c r="B920" s="506" t="n"/>
      <c r="C920" s="141" t="n"/>
      <c r="D920" s="141" t="n"/>
      <c r="E920" s="141" t="n"/>
      <c r="F920" s="141" t="n"/>
      <c r="G920" s="143" t="n"/>
      <c r="H920" s="27" t="n"/>
    </row>
    <row r="921" ht="17.25" customHeight="1" s="322">
      <c r="A921" s="27" t="n"/>
      <c r="B921" s="506" t="n"/>
      <c r="C921" s="141" t="n"/>
      <c r="D921" s="141" t="n"/>
      <c r="E921" s="141" t="n"/>
      <c r="F921" s="141" t="n"/>
      <c r="G921" s="143" t="n"/>
      <c r="H921" s="27" t="n"/>
    </row>
    <row r="922" ht="17.25" customHeight="1" s="322">
      <c r="A922" s="27" t="n"/>
      <c r="B922" s="506" t="n"/>
      <c r="C922" s="141" t="n"/>
      <c r="D922" s="141" t="n"/>
      <c r="E922" s="141" t="n"/>
      <c r="F922" s="141" t="n"/>
      <c r="G922" s="143" t="n"/>
      <c r="H922" s="27" t="n"/>
    </row>
    <row r="923" ht="17.25" customHeight="1" s="322">
      <c r="A923" s="27" t="n"/>
      <c r="B923" s="506" t="n"/>
      <c r="C923" s="141" t="n"/>
      <c r="D923" s="141" t="n"/>
      <c r="E923" s="141" t="n"/>
      <c r="F923" s="141" t="n"/>
      <c r="G923" s="143" t="n"/>
      <c r="H923" s="27" t="n"/>
    </row>
    <row r="924" ht="17.25" customHeight="1" s="322">
      <c r="A924" s="27" t="n"/>
      <c r="B924" s="506" t="n"/>
      <c r="C924" s="141" t="n"/>
      <c r="D924" s="141" t="n"/>
      <c r="E924" s="141" t="n"/>
      <c r="F924" s="141" t="n"/>
      <c r="G924" s="143" t="n"/>
      <c r="H924" s="27" t="n"/>
    </row>
    <row r="925" ht="17.25" customHeight="1" s="322">
      <c r="A925" s="27" t="n"/>
      <c r="B925" s="506" t="n"/>
      <c r="C925" s="141" t="n"/>
      <c r="D925" s="141" t="n"/>
      <c r="E925" s="141" t="n"/>
      <c r="F925" s="141" t="n"/>
      <c r="G925" s="143" t="n"/>
      <c r="H925" s="27" t="n"/>
    </row>
    <row r="926" ht="17.25" customHeight="1" s="322">
      <c r="A926" s="27" t="n"/>
      <c r="B926" s="506" t="n"/>
      <c r="C926" s="141" t="n"/>
      <c r="D926" s="141" t="n"/>
      <c r="E926" s="141" t="n"/>
      <c r="F926" s="141" t="n"/>
      <c r="G926" s="143" t="n"/>
      <c r="H926" s="27" t="n"/>
    </row>
    <row r="927" ht="17.25" customHeight="1" s="322">
      <c r="A927" s="27" t="n"/>
      <c r="B927" s="506" t="n"/>
      <c r="C927" s="141" t="n"/>
      <c r="D927" s="141" t="n"/>
      <c r="E927" s="141" t="n"/>
      <c r="F927" s="141" t="n"/>
      <c r="G927" s="143" t="n"/>
      <c r="H927" s="27" t="n"/>
    </row>
    <row r="928" ht="17.25" customHeight="1" s="322">
      <c r="A928" s="27" t="n"/>
      <c r="B928" s="506" t="n"/>
      <c r="C928" s="141" t="n"/>
      <c r="D928" s="141" t="n"/>
      <c r="E928" s="141" t="n"/>
      <c r="F928" s="141" t="n"/>
      <c r="G928" s="143" t="n"/>
      <c r="H928" s="27" t="n"/>
    </row>
    <row r="929" ht="17.25" customHeight="1" s="322">
      <c r="A929" s="27" t="n"/>
      <c r="B929" s="506" t="n"/>
      <c r="C929" s="141" t="n"/>
      <c r="D929" s="141" t="n"/>
      <c r="E929" s="141" t="n"/>
      <c r="F929" s="141" t="n"/>
      <c r="G929" s="143" t="n"/>
      <c r="H929" s="27" t="n"/>
    </row>
    <row r="930" ht="17.25" customHeight="1" s="322">
      <c r="A930" s="27" t="n"/>
      <c r="B930" s="506" t="n"/>
      <c r="C930" s="141" t="n"/>
      <c r="D930" s="141" t="n"/>
      <c r="E930" s="141" t="n"/>
      <c r="F930" s="141" t="n"/>
      <c r="G930" s="143" t="n"/>
      <c r="H930" s="27" t="n"/>
    </row>
    <row r="931" ht="17.25" customHeight="1" s="322">
      <c r="A931" s="27" t="n"/>
      <c r="B931" s="506" t="n"/>
      <c r="C931" s="141" t="n"/>
      <c r="D931" s="141" t="n"/>
      <c r="E931" s="141" t="n"/>
      <c r="F931" s="141" t="n"/>
      <c r="G931" s="143" t="n"/>
      <c r="H931" s="27" t="n"/>
    </row>
    <row r="932" ht="17.25" customHeight="1" s="322">
      <c r="A932" s="27" t="n"/>
      <c r="B932" s="506" t="n"/>
      <c r="C932" s="141" t="n"/>
      <c r="D932" s="141" t="n"/>
      <c r="E932" s="141" t="n"/>
      <c r="F932" s="141" t="n"/>
      <c r="G932" s="143" t="n"/>
      <c r="H932" s="27" t="n"/>
    </row>
    <row r="933" ht="17.25" customHeight="1" s="322">
      <c r="A933" s="27" t="n"/>
      <c r="B933" s="506" t="n"/>
      <c r="C933" s="141" t="n"/>
      <c r="D933" s="141" t="n"/>
      <c r="E933" s="141" t="n"/>
      <c r="F933" s="141" t="n"/>
      <c r="G933" s="143" t="n"/>
      <c r="H933" s="27" t="n"/>
    </row>
    <row r="934" ht="17.25" customHeight="1" s="322">
      <c r="A934" s="27" t="n"/>
      <c r="B934" s="506" t="n"/>
      <c r="C934" s="141" t="n"/>
      <c r="D934" s="141" t="n"/>
      <c r="E934" s="141" t="n"/>
      <c r="F934" s="141" t="n"/>
      <c r="G934" s="143" t="n"/>
      <c r="H934" s="27" t="n"/>
    </row>
    <row r="935" ht="17.25" customHeight="1" s="322">
      <c r="A935" s="27" t="n"/>
      <c r="B935" s="506" t="n"/>
      <c r="C935" s="141" t="n"/>
      <c r="D935" s="141" t="n"/>
      <c r="E935" s="141" t="n"/>
      <c r="F935" s="141" t="n"/>
      <c r="G935" s="143" t="n"/>
      <c r="H935" s="27" t="n"/>
    </row>
    <row r="936" ht="17.25" customHeight="1" s="322">
      <c r="A936" s="27" t="n"/>
      <c r="B936" s="506" t="n"/>
      <c r="C936" s="141" t="n"/>
      <c r="D936" s="141" t="n"/>
      <c r="E936" s="141" t="n"/>
      <c r="F936" s="141" t="n"/>
      <c r="G936" s="143" t="n"/>
      <c r="H936" s="27" t="n"/>
    </row>
    <row r="937" ht="17.25" customHeight="1" s="322">
      <c r="A937" s="27" t="n"/>
      <c r="B937" s="506" t="n"/>
      <c r="C937" s="141" t="n"/>
      <c r="D937" s="141" t="n"/>
      <c r="E937" s="141" t="n"/>
      <c r="F937" s="141" t="n"/>
      <c r="G937" s="143" t="n"/>
      <c r="H937" s="27" t="n"/>
    </row>
    <row r="938" ht="17.25" customHeight="1" s="322">
      <c r="A938" s="27" t="n"/>
      <c r="B938" s="506" t="n"/>
      <c r="C938" s="141" t="n"/>
      <c r="D938" s="141" t="n"/>
      <c r="E938" s="141" t="n"/>
      <c r="F938" s="141" t="n"/>
      <c r="G938" s="143" t="n"/>
      <c r="H938" s="27" t="n"/>
    </row>
    <row r="939" ht="17.25" customHeight="1" s="322">
      <c r="A939" s="27" t="n"/>
      <c r="B939" s="506" t="n"/>
      <c r="C939" s="141" t="n"/>
      <c r="D939" s="141" t="n"/>
      <c r="E939" s="141" t="n"/>
      <c r="F939" s="141" t="n"/>
      <c r="G939" s="143" t="n"/>
      <c r="H939" s="27" t="n"/>
    </row>
    <row r="940" ht="17.25" customHeight="1" s="322">
      <c r="A940" s="27" t="n"/>
      <c r="B940" s="506" t="n"/>
      <c r="C940" s="141" t="n"/>
      <c r="D940" s="141" t="n"/>
      <c r="E940" s="141" t="n"/>
      <c r="F940" s="141" t="n"/>
      <c r="G940" s="143" t="n"/>
      <c r="H940" s="27" t="n"/>
    </row>
    <row r="941" ht="17.25" customHeight="1" s="322">
      <c r="A941" s="27" t="n"/>
      <c r="B941" s="506" t="n"/>
      <c r="C941" s="141" t="n"/>
      <c r="D941" s="141" t="n"/>
      <c r="E941" s="141" t="n"/>
      <c r="F941" s="141" t="n"/>
      <c r="G941" s="143" t="n"/>
      <c r="H941" s="27" t="n"/>
    </row>
    <row r="942" ht="17.25" customHeight="1" s="322">
      <c r="A942" s="27" t="n"/>
      <c r="B942" s="506" t="n"/>
      <c r="C942" s="141" t="n"/>
      <c r="D942" s="141" t="n"/>
      <c r="E942" s="141" t="n"/>
      <c r="F942" s="141" t="n"/>
      <c r="G942" s="143" t="n"/>
      <c r="H942" s="27" t="n"/>
    </row>
    <row r="943" ht="17.25" customHeight="1" s="322">
      <c r="A943" s="27" t="n"/>
      <c r="B943" s="506" t="n"/>
      <c r="C943" s="141" t="n"/>
      <c r="D943" s="141" t="n"/>
      <c r="E943" s="141" t="n"/>
      <c r="F943" s="141" t="n"/>
      <c r="G943" s="143" t="n"/>
      <c r="H943" s="27" t="n"/>
    </row>
    <row r="944" ht="17.25" customHeight="1" s="322">
      <c r="A944" s="27" t="n"/>
      <c r="B944" s="506" t="n"/>
      <c r="C944" s="141" t="n"/>
      <c r="D944" s="141" t="n"/>
      <c r="E944" s="141" t="n"/>
      <c r="F944" s="141" t="n"/>
      <c r="G944" s="143" t="n"/>
      <c r="H944" s="27" t="n"/>
    </row>
    <row r="945" ht="17.25" customHeight="1" s="322">
      <c r="A945" s="27" t="n"/>
      <c r="B945" s="506" t="n"/>
      <c r="C945" s="141" t="n"/>
      <c r="D945" s="141" t="n"/>
      <c r="E945" s="141" t="n"/>
      <c r="F945" s="141" t="n"/>
      <c r="G945" s="143" t="n"/>
      <c r="H945" s="27" t="n"/>
    </row>
    <row r="946" ht="17.25" customHeight="1" s="322">
      <c r="A946" s="27" t="n"/>
      <c r="B946" s="506" t="n"/>
      <c r="C946" s="141" t="n"/>
      <c r="D946" s="141" t="n"/>
      <c r="E946" s="141" t="n"/>
      <c r="F946" s="141" t="n"/>
      <c r="G946" s="143" t="n"/>
      <c r="H946" s="27" t="n"/>
    </row>
    <row r="947" ht="17.25" customHeight="1" s="322">
      <c r="A947" s="27" t="n"/>
      <c r="B947" s="506" t="n"/>
      <c r="C947" s="141" t="n"/>
      <c r="D947" s="141" t="n"/>
      <c r="E947" s="141" t="n"/>
      <c r="F947" s="141" t="n"/>
      <c r="G947" s="143" t="n"/>
      <c r="H947" s="27" t="n"/>
    </row>
    <row r="948" ht="17.25" customHeight="1" s="322">
      <c r="A948" s="27" t="n"/>
      <c r="B948" s="506" t="n"/>
      <c r="C948" s="141" t="n"/>
      <c r="D948" s="141" t="n"/>
      <c r="E948" s="141" t="n"/>
      <c r="F948" s="141" t="n"/>
      <c r="G948" s="143" t="n"/>
      <c r="H948" s="27" t="n"/>
    </row>
    <row r="949" ht="17.25" customHeight="1" s="322">
      <c r="A949" s="27" t="n"/>
      <c r="B949" s="506" t="n"/>
      <c r="C949" s="141" t="n"/>
      <c r="D949" s="141" t="n"/>
      <c r="E949" s="141" t="n"/>
      <c r="F949" s="141" t="n"/>
      <c r="G949" s="143" t="n"/>
      <c r="H949" s="27" t="n"/>
    </row>
    <row r="950" ht="17.25" customHeight="1" s="322">
      <c r="A950" s="27" t="n"/>
      <c r="B950" s="506" t="n"/>
      <c r="C950" s="141" t="n"/>
      <c r="D950" s="141" t="n"/>
      <c r="E950" s="141" t="n"/>
      <c r="F950" s="141" t="n"/>
      <c r="G950" s="143" t="n"/>
      <c r="H950" s="27" t="n"/>
    </row>
    <row r="951" ht="17.25" customHeight="1" s="322">
      <c r="A951" s="27" t="n"/>
      <c r="B951" s="506" t="n"/>
      <c r="C951" s="141" t="n"/>
      <c r="D951" s="141" t="n"/>
      <c r="E951" s="141" t="n"/>
      <c r="F951" s="141" t="n"/>
      <c r="G951" s="143" t="n"/>
      <c r="H951" s="27" t="n"/>
    </row>
    <row r="952" ht="17.25" customHeight="1" s="322">
      <c r="A952" s="27" t="n"/>
      <c r="B952" s="506" t="n"/>
      <c r="C952" s="141" t="n"/>
      <c r="D952" s="141" t="n"/>
      <c r="E952" s="141" t="n"/>
      <c r="F952" s="141" t="n"/>
      <c r="G952" s="143" t="n"/>
      <c r="H952" s="27" t="n"/>
    </row>
    <row r="953" ht="17.25" customHeight="1" s="322">
      <c r="A953" s="27" t="n"/>
      <c r="B953" s="506" t="n"/>
      <c r="C953" s="141" t="n"/>
      <c r="D953" s="141" t="n"/>
      <c r="E953" s="141" t="n"/>
      <c r="F953" s="141" t="n"/>
      <c r="G953" s="143" t="n"/>
      <c r="H953" s="27" t="n"/>
    </row>
    <row r="954" ht="17.25" customHeight="1" s="322">
      <c r="A954" s="27" t="n"/>
      <c r="B954" s="506" t="n"/>
      <c r="C954" s="141" t="n"/>
      <c r="D954" s="141" t="n"/>
      <c r="E954" s="141" t="n"/>
      <c r="F954" s="141" t="n"/>
      <c r="G954" s="143" t="n"/>
      <c r="H954" s="27" t="n"/>
    </row>
    <row r="955" ht="17.25" customHeight="1" s="322">
      <c r="A955" s="27" t="n"/>
      <c r="B955" s="506" t="n"/>
      <c r="C955" s="141" t="n"/>
      <c r="D955" s="141" t="n"/>
      <c r="E955" s="141" t="n"/>
      <c r="F955" s="141" t="n"/>
      <c r="G955" s="143" t="n"/>
      <c r="H955" s="27" t="n"/>
    </row>
    <row r="956" ht="17.25" customHeight="1" s="322">
      <c r="A956" s="27" t="n"/>
      <c r="B956" s="506" t="n"/>
      <c r="C956" s="141" t="n"/>
      <c r="D956" s="141" t="n"/>
      <c r="E956" s="141" t="n"/>
      <c r="F956" s="141" t="n"/>
      <c r="G956" s="143" t="n"/>
      <c r="H956" s="27" t="n"/>
    </row>
    <row r="957" ht="17.25" customHeight="1" s="322">
      <c r="A957" s="27" t="n"/>
      <c r="B957" s="506" t="n"/>
      <c r="C957" s="141" t="n"/>
      <c r="D957" s="141" t="n"/>
      <c r="E957" s="141" t="n"/>
      <c r="F957" s="141" t="n"/>
      <c r="G957" s="143" t="n"/>
      <c r="H957" s="27" t="n"/>
    </row>
    <row r="958" ht="17.25" customHeight="1" s="322">
      <c r="A958" s="27" t="n"/>
      <c r="B958" s="506" t="n"/>
      <c r="C958" s="141" t="n"/>
      <c r="D958" s="141" t="n"/>
      <c r="E958" s="141" t="n"/>
      <c r="F958" s="141" t="n"/>
      <c r="G958" s="143" t="n"/>
      <c r="H958" s="27" t="n"/>
    </row>
    <row r="959" ht="17.25" customHeight="1" s="322">
      <c r="A959" s="27" t="n"/>
      <c r="B959" s="506" t="n"/>
      <c r="C959" s="141" t="n"/>
      <c r="D959" s="141" t="n"/>
      <c r="E959" s="141" t="n"/>
      <c r="F959" s="141" t="n"/>
      <c r="G959" s="143" t="n"/>
      <c r="H959" s="27" t="n"/>
    </row>
    <row r="960" ht="17.25" customHeight="1" s="322">
      <c r="A960" s="27" t="n"/>
      <c r="B960" s="506" t="n"/>
      <c r="C960" s="141" t="n"/>
      <c r="D960" s="141" t="n"/>
      <c r="E960" s="141" t="n"/>
      <c r="F960" s="141" t="n"/>
      <c r="G960" s="143" t="n"/>
      <c r="H960" s="27" t="n"/>
    </row>
    <row r="961" ht="17.25" customHeight="1" s="322">
      <c r="A961" s="27" t="n"/>
      <c r="B961" s="506" t="n"/>
      <c r="C961" s="141" t="n"/>
      <c r="D961" s="141" t="n"/>
      <c r="E961" s="141" t="n"/>
      <c r="F961" s="141" t="n"/>
      <c r="G961" s="143" t="n"/>
      <c r="H961" s="27" t="n"/>
    </row>
    <row r="962" ht="17.25" customHeight="1" s="322">
      <c r="A962" s="27" t="n"/>
      <c r="B962" s="506" t="n"/>
      <c r="C962" s="141" t="n"/>
      <c r="D962" s="141" t="n"/>
      <c r="E962" s="141" t="n"/>
      <c r="F962" s="141" t="n"/>
      <c r="G962" s="143" t="n"/>
      <c r="H962" s="27" t="n"/>
    </row>
    <row r="963" ht="17.25" customHeight="1" s="322">
      <c r="A963" s="27" t="n"/>
      <c r="B963" s="506" t="n"/>
      <c r="C963" s="141" t="n"/>
      <c r="D963" s="141" t="n"/>
      <c r="E963" s="141" t="n"/>
      <c r="F963" s="141" t="n"/>
      <c r="G963" s="143" t="n"/>
      <c r="H963" s="27" t="n"/>
    </row>
    <row r="964" ht="17.25" customHeight="1" s="322">
      <c r="A964" s="27" t="n"/>
      <c r="B964" s="506" t="n"/>
      <c r="C964" s="141" t="n"/>
      <c r="D964" s="141" t="n"/>
      <c r="E964" s="141" t="n"/>
      <c r="F964" s="141" t="n"/>
      <c r="G964" s="143" t="n"/>
      <c r="H964" s="27" t="n"/>
    </row>
    <row r="965" ht="17.25" customHeight="1" s="322">
      <c r="A965" s="27" t="n"/>
      <c r="B965" s="506" t="n"/>
      <c r="C965" s="141" t="n"/>
      <c r="D965" s="141" t="n"/>
      <c r="E965" s="141" t="n"/>
      <c r="F965" s="141" t="n"/>
      <c r="G965" s="143" t="n"/>
      <c r="H965" s="27" t="n"/>
    </row>
    <row r="966" ht="17.25" customHeight="1" s="322">
      <c r="A966" s="27" t="n"/>
      <c r="B966" s="506" t="n"/>
      <c r="C966" s="141" t="n"/>
      <c r="D966" s="141" t="n"/>
      <c r="E966" s="141" t="n"/>
      <c r="F966" s="141" t="n"/>
      <c r="G966" s="143" t="n"/>
      <c r="H966" s="27" t="n"/>
    </row>
    <row r="967" ht="17.25" customHeight="1" s="322">
      <c r="A967" s="27" t="n"/>
      <c r="B967" s="506" t="n"/>
      <c r="C967" s="141" t="n"/>
      <c r="D967" s="141" t="n"/>
      <c r="E967" s="141" t="n"/>
      <c r="F967" s="141" t="n"/>
      <c r="G967" s="143" t="n"/>
      <c r="H967" s="27" t="n"/>
    </row>
    <row r="968" ht="17.25" customHeight="1" s="322">
      <c r="A968" s="27" t="n"/>
      <c r="B968" s="506" t="n"/>
      <c r="C968" s="141" t="n"/>
      <c r="D968" s="141" t="n"/>
      <c r="E968" s="141" t="n"/>
      <c r="F968" s="141" t="n"/>
      <c r="G968" s="143" t="n"/>
      <c r="H968" s="27" t="n"/>
    </row>
    <row r="969" ht="17.25" customHeight="1" s="322">
      <c r="A969" s="27" t="n"/>
      <c r="B969" s="506" t="n"/>
      <c r="C969" s="141" t="n"/>
      <c r="D969" s="141" t="n"/>
      <c r="E969" s="141" t="n"/>
      <c r="F969" s="141" t="n"/>
      <c r="G969" s="143" t="n"/>
      <c r="H969" s="27" t="n"/>
    </row>
    <row r="970" ht="17.25" customHeight="1" s="322">
      <c r="A970" s="27" t="n"/>
      <c r="B970" s="506" t="n"/>
      <c r="C970" s="141" t="n"/>
      <c r="D970" s="141" t="n"/>
      <c r="E970" s="141" t="n"/>
      <c r="F970" s="141" t="n"/>
      <c r="G970" s="143" t="n"/>
      <c r="H970" s="27" t="n"/>
    </row>
    <row r="971" ht="17.25" customHeight="1" s="322">
      <c r="A971" s="27" t="n"/>
      <c r="B971" s="506" t="n"/>
      <c r="C971" s="141" t="n"/>
      <c r="D971" s="141" t="n"/>
      <c r="E971" s="141" t="n"/>
      <c r="F971" s="141" t="n"/>
      <c r="G971" s="143" t="n"/>
      <c r="H971" s="27" t="n"/>
    </row>
    <row r="972" ht="17.25" customHeight="1" s="322">
      <c r="A972" s="27" t="n"/>
      <c r="B972" s="506" t="n"/>
      <c r="C972" s="141" t="n"/>
      <c r="D972" s="141" t="n"/>
      <c r="E972" s="141" t="n"/>
      <c r="F972" s="141" t="n"/>
      <c r="G972" s="143" t="n"/>
      <c r="H972" s="27" t="n"/>
    </row>
    <row r="973" ht="17.25" customHeight="1" s="322">
      <c r="A973" s="27" t="n"/>
      <c r="B973" s="506" t="n"/>
      <c r="C973" s="141" t="n"/>
      <c r="D973" s="141" t="n"/>
      <c r="E973" s="141" t="n"/>
      <c r="F973" s="141" t="n"/>
      <c r="G973" s="143" t="n"/>
      <c r="H973" s="27" t="n"/>
    </row>
    <row r="974" ht="17.25" customHeight="1" s="322">
      <c r="A974" s="27" t="n"/>
      <c r="B974" s="506" t="n"/>
      <c r="C974" s="141" t="n"/>
      <c r="D974" s="141" t="n"/>
      <c r="E974" s="141" t="n"/>
      <c r="F974" s="141" t="n"/>
      <c r="G974" s="143" t="n"/>
      <c r="H974" s="27" t="n"/>
    </row>
    <row r="975" ht="17.25" customHeight="1" s="322">
      <c r="A975" s="27" t="n"/>
      <c r="B975" s="506" t="n"/>
      <c r="C975" s="141" t="n"/>
      <c r="D975" s="141" t="n"/>
      <c r="E975" s="141" t="n"/>
      <c r="F975" s="141" t="n"/>
      <c r="G975" s="143" t="n"/>
      <c r="H975" s="27" t="n"/>
    </row>
    <row r="976" ht="17.25" customHeight="1" s="322">
      <c r="A976" s="27" t="n"/>
      <c r="B976" s="506" t="n"/>
      <c r="C976" s="141" t="n"/>
      <c r="D976" s="141" t="n"/>
      <c r="E976" s="141" t="n"/>
      <c r="F976" s="141" t="n"/>
      <c r="G976" s="143" t="n"/>
      <c r="H976" s="27" t="n"/>
    </row>
    <row r="977" ht="17.25" customHeight="1" s="322">
      <c r="A977" s="27" t="n"/>
      <c r="B977" s="506" t="n"/>
      <c r="C977" s="141" t="n"/>
      <c r="D977" s="141" t="n"/>
      <c r="E977" s="141" t="n"/>
      <c r="F977" s="141" t="n"/>
      <c r="G977" s="143" t="n"/>
      <c r="H977" s="27" t="n"/>
    </row>
    <row r="978" ht="17.25" customHeight="1" s="322">
      <c r="A978" s="27" t="n"/>
      <c r="B978" s="506" t="n"/>
      <c r="C978" s="141" t="n"/>
      <c r="D978" s="141" t="n"/>
      <c r="E978" s="141" t="n"/>
      <c r="F978" s="141" t="n"/>
      <c r="G978" s="143" t="n"/>
      <c r="H978" s="27" t="n"/>
    </row>
    <row r="979" ht="17.25" customHeight="1" s="322">
      <c r="A979" s="27" t="n"/>
      <c r="B979" s="506" t="n"/>
      <c r="C979" s="141" t="n"/>
      <c r="D979" s="141" t="n"/>
      <c r="E979" s="141" t="n"/>
      <c r="F979" s="141" t="n"/>
      <c r="G979" s="143" t="n"/>
      <c r="H979" s="27" t="n"/>
    </row>
    <row r="980" ht="17.25" customHeight="1" s="322">
      <c r="A980" s="27" t="n"/>
      <c r="B980" s="506" t="n"/>
      <c r="C980" s="141" t="n"/>
      <c r="D980" s="141" t="n"/>
      <c r="E980" s="141" t="n"/>
      <c r="F980" s="141" t="n"/>
      <c r="G980" s="143" t="n"/>
      <c r="H980" s="27" t="n"/>
    </row>
    <row r="981" ht="17.25" customHeight="1" s="322">
      <c r="A981" s="27" t="n"/>
      <c r="B981" s="506" t="n"/>
      <c r="C981" s="141" t="n"/>
      <c r="D981" s="141" t="n"/>
      <c r="E981" s="141" t="n"/>
      <c r="F981" s="141" t="n"/>
      <c r="G981" s="143" t="n"/>
      <c r="H981" s="27" t="n"/>
    </row>
    <row r="982" ht="17.25" customHeight="1" s="322">
      <c r="A982" s="27" t="n"/>
      <c r="B982" s="506" t="n"/>
      <c r="C982" s="141" t="n"/>
      <c r="D982" s="141" t="n"/>
      <c r="E982" s="141" t="n"/>
      <c r="F982" s="141" t="n"/>
      <c r="G982" s="143" t="n"/>
      <c r="H982" s="27" t="n"/>
    </row>
    <row r="983" ht="17.25" customHeight="1" s="322">
      <c r="A983" s="27" t="n"/>
      <c r="B983" s="506" t="n"/>
      <c r="C983" s="141" t="n"/>
      <c r="D983" s="141" t="n"/>
      <c r="E983" s="141" t="n"/>
      <c r="F983" s="141" t="n"/>
      <c r="G983" s="143" t="n"/>
      <c r="H983" s="27" t="n"/>
    </row>
    <row r="984" ht="17.25" customHeight="1" s="322">
      <c r="A984" s="27" t="n"/>
      <c r="B984" s="506" t="n"/>
      <c r="C984" s="141" t="n"/>
      <c r="D984" s="141" t="n"/>
      <c r="E984" s="141" t="n"/>
      <c r="F984" s="141" t="n"/>
      <c r="G984" s="143" t="n"/>
      <c r="H984" s="27" t="n"/>
    </row>
    <row r="985" ht="17.25" customHeight="1" s="322">
      <c r="A985" s="27" t="n"/>
      <c r="B985" s="506" t="n"/>
      <c r="C985" s="141" t="n"/>
      <c r="D985" s="141" t="n"/>
      <c r="E985" s="141" t="n"/>
      <c r="F985" s="141" t="n"/>
      <c r="G985" s="143" t="n"/>
      <c r="H985" s="27" t="n"/>
    </row>
    <row r="986" ht="17.25" customHeight="1" s="322">
      <c r="A986" s="27" t="n"/>
      <c r="B986" s="506" t="n"/>
      <c r="C986" s="141" t="n"/>
      <c r="D986" s="141" t="n"/>
      <c r="E986" s="141" t="n"/>
      <c r="F986" s="141" t="n"/>
      <c r="G986" s="143" t="n"/>
      <c r="H986" s="27" t="n"/>
    </row>
    <row r="987" ht="17.25" customHeight="1" s="322">
      <c r="A987" s="27" t="n"/>
      <c r="B987" s="506" t="n"/>
      <c r="C987" s="141" t="n"/>
      <c r="D987" s="141" t="n"/>
      <c r="E987" s="141" t="n"/>
      <c r="F987" s="141" t="n"/>
      <c r="G987" s="143" t="n"/>
      <c r="H987" s="27" t="n"/>
    </row>
    <row r="988" ht="17.25" customHeight="1" s="322">
      <c r="A988" s="27" t="n"/>
      <c r="B988" s="506" t="n"/>
      <c r="C988" s="141" t="n"/>
      <c r="D988" s="141" t="n"/>
      <c r="E988" s="141" t="n"/>
      <c r="F988" s="141" t="n"/>
      <c r="G988" s="143" t="n"/>
      <c r="H988" s="27" t="n"/>
    </row>
    <row r="989" ht="17.25" customHeight="1" s="322">
      <c r="A989" s="27" t="n"/>
      <c r="B989" s="506" t="n"/>
      <c r="C989" s="141" t="n"/>
      <c r="D989" s="141" t="n"/>
      <c r="E989" s="141" t="n"/>
      <c r="F989" s="141" t="n"/>
      <c r="G989" s="143" t="n"/>
      <c r="H989" s="27" t="n"/>
    </row>
    <row r="990" ht="17.25" customHeight="1" s="322">
      <c r="A990" s="27" t="n"/>
      <c r="B990" s="506" t="n"/>
      <c r="C990" s="141" t="n"/>
      <c r="D990" s="141" t="n"/>
      <c r="E990" s="141" t="n"/>
      <c r="F990" s="141" t="n"/>
      <c r="G990" s="143" t="n"/>
      <c r="H990" s="27" t="n"/>
    </row>
    <row r="991" ht="17.25" customHeight="1" s="322">
      <c r="A991" s="27" t="n"/>
      <c r="B991" s="506" t="n"/>
      <c r="C991" s="141" t="n"/>
      <c r="D991" s="141" t="n"/>
      <c r="E991" s="141" t="n"/>
      <c r="F991" s="141" t="n"/>
      <c r="G991" s="143" t="n"/>
      <c r="H991" s="27" t="n"/>
    </row>
    <row r="992" ht="17.25" customHeight="1" s="322">
      <c r="A992" s="27" t="n"/>
      <c r="B992" s="506" t="n"/>
      <c r="C992" s="141" t="n"/>
      <c r="D992" s="141" t="n"/>
      <c r="E992" s="141" t="n"/>
      <c r="F992" s="141" t="n"/>
      <c r="G992" s="143" t="n"/>
      <c r="H992" s="27" t="n"/>
    </row>
    <row r="993" ht="17.25" customHeight="1" s="322">
      <c r="A993" s="27" t="n"/>
      <c r="B993" s="506" t="n"/>
      <c r="C993" s="141" t="n"/>
      <c r="D993" s="141" t="n"/>
      <c r="E993" s="141" t="n"/>
      <c r="F993" s="141" t="n"/>
      <c r="G993" s="143" t="n"/>
      <c r="H993" s="27" t="n"/>
    </row>
    <row r="994" ht="17.25" customHeight="1" s="322">
      <c r="A994" s="27" t="n"/>
      <c r="B994" s="506" t="n"/>
      <c r="C994" s="141" t="n"/>
      <c r="D994" s="141" t="n"/>
      <c r="E994" s="141" t="n"/>
      <c r="F994" s="141" t="n"/>
      <c r="G994" s="143" t="n"/>
      <c r="H994" s="27" t="n"/>
    </row>
    <row r="995" ht="17.25" customHeight="1" s="322">
      <c r="A995" s="27" t="n"/>
      <c r="B995" s="506" t="n"/>
      <c r="C995" s="141" t="n"/>
      <c r="D995" s="141" t="n"/>
      <c r="E995" s="141" t="n"/>
      <c r="F995" s="141" t="n"/>
      <c r="G995" s="143" t="n"/>
      <c r="H995" s="27" t="n"/>
    </row>
    <row r="996" ht="17.25" customHeight="1" s="322">
      <c r="A996" s="27" t="n"/>
      <c r="B996" s="506" t="n"/>
      <c r="C996" s="141" t="n"/>
      <c r="D996" s="141" t="n"/>
      <c r="E996" s="141" t="n"/>
      <c r="F996" s="141" t="n"/>
      <c r="G996" s="143" t="n"/>
      <c r="H996" s="27" t="n"/>
    </row>
    <row r="997" ht="17.25" customHeight="1" s="322">
      <c r="A997" s="27" t="n"/>
      <c r="B997" s="506" t="n"/>
      <c r="C997" s="141" t="n"/>
      <c r="D997" s="141" t="n"/>
      <c r="E997" s="141" t="n"/>
      <c r="F997" s="141" t="n"/>
      <c r="G997" s="143" t="n"/>
      <c r="H997" s="27" t="n"/>
    </row>
    <row r="998" ht="17.25" customHeight="1" s="322">
      <c r="A998" s="27" t="n"/>
      <c r="B998" s="506" t="n"/>
      <c r="C998" s="141" t="n"/>
      <c r="D998" s="141" t="n"/>
      <c r="E998" s="141" t="n"/>
      <c r="F998" s="141" t="n"/>
      <c r="G998" s="143" t="n"/>
      <c r="H998" s="27" t="n"/>
    </row>
    <row r="999" ht="17.25" customHeight="1" s="322">
      <c r="A999" s="27" t="n"/>
      <c r="B999" s="506" t="n"/>
      <c r="C999" s="141" t="n"/>
      <c r="D999" s="141" t="n"/>
      <c r="E999" s="141" t="n"/>
      <c r="F999" s="141" t="n"/>
      <c r="G999" s="143" t="n"/>
      <c r="H999" s="27" t="n"/>
    </row>
    <row r="1000" ht="17.25" customHeight="1" s="322">
      <c r="A1000" s="27" t="n"/>
      <c r="B1000" s="506" t="n"/>
      <c r="C1000" s="141" t="n"/>
      <c r="D1000" s="141" t="n"/>
      <c r="E1000" s="141" t="n"/>
      <c r="F1000" s="141" t="n"/>
      <c r="G1000" s="143" t="n"/>
      <c r="H1000" s="27" t="n"/>
    </row>
  </sheetData>
  <mergeCells count="3">
    <mergeCell ref="B1:F2"/>
    <mergeCell ref="B7:G7"/>
    <mergeCell ref="B10:C10"/>
  </mergeCells>
  <conditionalFormatting sqref="D10:E10">
    <cfRule type="cellIs" priority="5" operator="lessThan" dxfId="5">
      <formula>0</formula>
    </cfRule>
    <cfRule type="cellIs" priority="6" operator="greaterThan" dxfId="4">
      <formula>0</formula>
    </cfRule>
  </conditionalFormatting>
  <conditionalFormatting sqref="F28:F1000">
    <cfRule type="expression" priority="1" dxfId="3">
      <formula>AND(F28=MAX(F$28:F$1000),F28&gt;0)</formula>
    </cfRule>
    <cfRule type="expression" priority="2" dxfId="2">
      <formula>AND(F28=MIN(F$28:F$1000),F28&gt;0)</formula>
    </cfRule>
  </conditionalFormatting>
  <conditionalFormatting sqref="F29:F1000">
    <cfRule type="expression" priority="3" dxfId="1">
      <formula>F29&gt;F27</formula>
    </cfRule>
    <cfRule type="expression" priority="4" dxfId="0">
      <formula>F29&lt;F27</formula>
    </cfRule>
  </conditionalFormatting>
  <conditionalFormatting sqref="G15">
    <cfRule type="colorScale" priority="7">
      <colorScale>
        <cfvo type="min"/>
        <cfvo type="max"/>
        <color rgb="FF57BB8A"/>
        <color rgb="FFFFFFFF"/>
      </colorScale>
    </cfRule>
  </conditionalFormatting>
  <dataValidations count="1">
    <dataValidation sqref="G15" showDropDown="0" showInputMessage="1" showErrorMessage="1" allowBlank="1" prompt="Click and enter a value from the list of items" type="list">
      <formula1>"1 Month,3 Months,6 Months,12 Months,36 Months"</formula1>
    </dataValidation>
  </dataValidations>
  <hyperlinks>
    <hyperlink xmlns:r="http://schemas.openxmlformats.org/officeDocument/2006/relationships" ref="B1" r:id="rId1"/>
    <hyperlink xmlns:r="http://schemas.openxmlformats.org/officeDocument/2006/relationships" ref="G2" r:id="rId2"/>
  </hyperlinks>
  <pageMargins left="0.7" right="0.7" top="0.75" bottom="0.75" header="0.3" footer="0.3"/>
  <drawing xmlns:r="http://schemas.openxmlformats.org/officeDocument/2006/relationships" r:id="rId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H1000"/>
  <sheetViews>
    <sheetView showGridLines="0" workbookViewId="0">
      <selection activeCell="A1" sqref="A1"/>
    </sheetView>
  </sheetViews>
  <sheetFormatPr baseColWidth="8" defaultColWidth="12.5703125" defaultRowHeight="15.75" customHeight="1"/>
  <cols>
    <col width="5.42578125" customWidth="1" style="322" min="1" max="1"/>
    <col width="15.7109375" customWidth="1" style="322" min="2" max="2"/>
    <col width="5.42578125" customWidth="1" style="322" min="8" max="8"/>
  </cols>
  <sheetData>
    <row r="1" ht="22.5" customHeight="1" s="322">
      <c r="A1" s="69" t="n"/>
      <c r="B1" s="455" t="inlineStr">
        <is>
          <t>← 관심종목으로 돌아가기</t>
        </is>
      </c>
      <c r="G1" s="72" t="inlineStr">
        <is>
          <t>제공:</t>
        </is>
      </c>
      <c r="H1" s="69" t="n"/>
    </row>
    <row r="2" ht="22.5" customHeight="1" s="322">
      <c r="A2" s="69" t="n"/>
      <c r="G2" s="77" t="inlineStr">
        <is>
          <t>Google Finance</t>
        </is>
      </c>
      <c r="H2" s="69" t="n"/>
    </row>
    <row r="3" ht="11.25" customHeight="1" s="322">
      <c r="A3" s="1" t="n"/>
      <c r="B3" s="1" t="n"/>
      <c r="C3" s="1" t="n"/>
      <c r="D3" s="1" t="n"/>
      <c r="E3" s="1" t="n"/>
      <c r="F3" s="1" t="n"/>
      <c r="G3" s="1" t="n"/>
      <c r="H3" s="1" t="n"/>
    </row>
    <row r="4" ht="15.75" customHeight="1" s="322">
      <c r="A4" s="1" t="n"/>
      <c r="B4" s="80" t="inlineStr">
        <is>
          <t>bnd</t>
        </is>
      </c>
      <c r="C4" s="81" t="inlineStr">
        <is>
          <t>&lt;&lt; 종목코드 입력</t>
        </is>
      </c>
      <c r="D4" s="1" t="n"/>
      <c r="E4" s="1" t="n"/>
      <c r="F4" s="1" t="n"/>
      <c r="G4" s="1" t="n"/>
      <c r="H4" s="1" t="n"/>
    </row>
    <row r="5" ht="15.75" customHeight="1" s="322">
      <c r="A5" s="1" t="n"/>
      <c r="B5" s="82" t="n"/>
      <c r="C5" s="81" t="inlineStr">
        <is>
          <t>&lt;&lt; 필요한 경우 거래소 입력(예: NASDAQ, NYSE)</t>
        </is>
      </c>
      <c r="D5" s="85" t="n"/>
      <c r="E5" s="1" t="n"/>
      <c r="F5" s="1" t="n"/>
      <c r="G5" s="1" t="n"/>
      <c r="H5" s="1" t="n"/>
    </row>
    <row r="6" ht="11.25" customHeight="1" s="322">
      <c r="A6" s="27" t="n"/>
      <c r="B6" s="27" t="n"/>
      <c r="C6" s="27" t="n"/>
      <c r="D6" s="27" t="n"/>
      <c r="E6" s="27" t="n"/>
      <c r="F6" s="27" t="n"/>
      <c r="G6" s="27" t="n"/>
      <c r="H6" s="27" t="n"/>
    </row>
    <row r="7" ht="20.25" customHeight="1" s="322">
      <c r="A7" s="12" t="n"/>
      <c r="B7" s="501">
        <f>IFERROR(__xludf.DUMMYFUNCTION("GOOGLEFINANCE(B18,""name"")"),"Vanguard Total Bond Market Index Fund ETF")</f>
        <v/>
      </c>
      <c r="H7" s="12" t="n"/>
    </row>
    <row r="8" ht="11.25" customHeight="1" s="322">
      <c r="A8" s="12" t="n"/>
      <c r="B8" s="12" t="n"/>
      <c r="C8" s="12" t="n"/>
      <c r="D8" s="12" t="n"/>
      <c r="E8" s="12" t="n"/>
      <c r="F8" s="12" t="n"/>
      <c r="G8" s="12" t="n"/>
      <c r="H8" s="12" t="n"/>
    </row>
    <row r="9" ht="12" customHeight="1" s="322">
      <c r="A9" s="1" t="n"/>
      <c r="B9" s="90" t="inlineStr">
        <is>
          <t>현재가</t>
        </is>
      </c>
      <c r="C9" s="1" t="n"/>
      <c r="D9" s="90" t="inlineStr">
        <is>
          <t>전일대비</t>
        </is>
      </c>
      <c r="E9" s="90" t="inlineStr">
        <is>
          <t>등락률(%)</t>
        </is>
      </c>
      <c r="F9" s="1" t="n"/>
      <c r="G9" s="1" t="n"/>
      <c r="H9" s="1" t="n"/>
    </row>
    <row r="10" ht="31.5" customHeight="1" s="322">
      <c r="A10" s="12" t="n"/>
      <c r="B10" s="502">
        <f>IFERROR(__xludf.DUMMYFUNCTION("GOOGLEFINANCE(B18,""price"")"),72.38)</f>
        <v/>
      </c>
      <c r="D10" s="503">
        <f>IFERROR(__xludf.DUMMYFUNCTION("IFERROR(GOOGLEFINANCE(B18,""change""),""-"")"),-0.26)</f>
        <v/>
      </c>
      <c r="E10" s="504">
        <f>IFERROR(__xludf.DUMMYFUNCTION("IFERROR(GOOGLEFINANCE(B18,""changepct"")/100,""-"")"),-0.0036)</f>
        <v/>
      </c>
      <c r="F10" s="12" t="n"/>
      <c r="G10" s="12" t="n"/>
      <c r="H10" s="12" t="n"/>
    </row>
    <row r="11" ht="11.25" customHeight="1" s="322">
      <c r="A11" s="12" t="n"/>
      <c r="B11" s="106" t="n"/>
      <c r="C11" s="106" t="n"/>
      <c r="D11" s="106" t="n"/>
      <c r="E11" s="106" t="n"/>
      <c r="F11" s="106" t="n"/>
      <c r="G11" s="106" t="n"/>
      <c r="H11" s="12" t="n"/>
    </row>
    <row r="12" ht="11.25" customHeight="1" s="322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 ht="12" customHeight="1" s="322">
      <c r="A13" s="1" t="n"/>
      <c r="B13" s="90" t="inlineStr">
        <is>
          <t>시가총액</t>
        </is>
      </c>
      <c r="C13" s="90" t="inlineStr">
        <is>
          <t>PER</t>
        </is>
      </c>
      <c r="D13" s="90" t="inlineStr">
        <is>
          <t>베타계수</t>
        </is>
      </c>
      <c r="E13" s="1" t="n"/>
      <c r="F13" s="1" t="n"/>
      <c r="G13" s="1" t="n"/>
      <c r="H13" s="1" t="n"/>
    </row>
    <row r="14">
      <c r="A14" s="113" t="n"/>
      <c r="B14" s="505">
        <f>IFERROR(__xludf.DUMMYFUNCTION("IFERROR(GOOGLEFINANCE(B18,""marketcap""),""-"")"),"-")</f>
        <v/>
      </c>
      <c r="C14" s="115">
        <f>IFERROR(__xludf.DUMMYFUNCTION("IFERROR(GOOGLEFINANCE(B18,""pe""),""-"")"),"-")</f>
        <v/>
      </c>
      <c r="D14" s="115">
        <f>IFERROR(__xludf.DUMMYFUNCTION("IFERROR(GOOGLEFINANCE(B18,""beta""),""-"")"),0.25)</f>
        <v/>
      </c>
      <c r="E14" s="113" t="n"/>
      <c r="F14" s="113" t="n"/>
      <c r="G14" s="113" t="n"/>
      <c r="H14" s="113" t="n"/>
    </row>
    <row r="15" ht="15.75" customHeight="1" s="322">
      <c r="A15" s="12" t="n"/>
      <c r="B15" s="12" t="n"/>
      <c r="C15" s="12" t="n"/>
      <c r="D15" s="12" t="n"/>
      <c r="E15" s="12" t="n"/>
      <c r="F15" s="12" t="n"/>
      <c r="G15" s="123" t="inlineStr">
        <is>
          <t>12 Months</t>
        </is>
      </c>
      <c r="H15" s="12" t="n"/>
    </row>
    <row r="16" ht="15.75" customHeight="1" s="322">
      <c r="A16" s="12" t="n"/>
      <c r="B16" s="12" t="n"/>
      <c r="C16" s="12" t="n"/>
      <c r="D16" s="12" t="n"/>
      <c r="E16" s="12" t="n"/>
      <c r="F16" s="12" t="n"/>
      <c r="G16" s="12" t="n"/>
      <c r="H16" s="12" t="n"/>
    </row>
    <row r="17" ht="15.75" customHeight="1" s="322">
      <c r="A17" s="12" t="n"/>
      <c r="B17" s="12" t="n"/>
      <c r="C17" s="12" t="n"/>
      <c r="D17" s="12" t="n"/>
      <c r="E17" s="12" t="n"/>
      <c r="F17" s="12" t="n"/>
      <c r="G17" s="12" t="n"/>
      <c r="H17" s="12" t="n"/>
    </row>
    <row r="18" ht="15.75" customHeight="1" s="322">
      <c r="A18" s="12" t="n"/>
      <c r="B18" s="127">
        <f>IF(ISBLANK(B5),"",B5&amp;":")&amp;B4</f>
        <v/>
      </c>
      <c r="C18" s="12" t="n"/>
      <c r="D18" s="12" t="n"/>
      <c r="E18" s="12" t="n"/>
      <c r="F18" s="12" t="n"/>
      <c r="G18" s="12" t="n"/>
      <c r="H18" s="12" t="n"/>
    </row>
    <row r="19" ht="15.75" customHeight="1" s="322">
      <c r="A19" s="12" t="n"/>
      <c r="B19" s="12" t="n"/>
      <c r="C19" s="12" t="n"/>
      <c r="D19" s="12" t="n"/>
      <c r="E19" s="12" t="n"/>
      <c r="F19" s="12" t="n"/>
      <c r="G19" s="12" t="n"/>
      <c r="H19" s="12" t="n"/>
    </row>
    <row r="20" ht="15.75" customHeight="1" s="322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1" ht="15.75" customHeight="1" s="322">
      <c r="A21" s="12" t="n"/>
      <c r="B21" s="12" t="n"/>
      <c r="C21" s="12" t="n"/>
      <c r="D21" s="12" t="n"/>
      <c r="E21" s="12" t="n"/>
      <c r="F21" s="12" t="n"/>
      <c r="G21" s="12" t="n"/>
      <c r="H21" s="12" t="n"/>
    </row>
    <row r="22" ht="15.75" customHeight="1" s="322">
      <c r="A22" s="12" t="n"/>
      <c r="B22" s="12" t="n"/>
      <c r="C22" s="12" t="n"/>
      <c r="D22" s="12" t="n"/>
      <c r="E22" s="12" t="n"/>
      <c r="F22" s="12" t="n"/>
      <c r="G22" s="12" t="n"/>
      <c r="H22" s="12" t="n"/>
    </row>
    <row r="23" ht="15.75" customHeight="1" s="322">
      <c r="A23" s="12" t="n"/>
      <c r="B23" s="12" t="n"/>
      <c r="C23" s="12" t="n"/>
      <c r="D23" s="12" t="n"/>
      <c r="E23" s="12" t="n"/>
      <c r="F23" s="12" t="n"/>
      <c r="G23" s="12" t="n"/>
      <c r="H23" s="12" t="n"/>
    </row>
    <row r="24" ht="15.75" customHeight="1" s="322">
      <c r="A24" s="12" t="n"/>
      <c r="B24" s="12" t="n"/>
      <c r="C24" s="12" t="n"/>
      <c r="D24" s="12" t="n"/>
      <c r="E24" s="12" t="n"/>
      <c r="F24" s="12" t="n"/>
      <c r="G24" s="12" t="n"/>
      <c r="H24" s="12" t="n"/>
    </row>
    <row r="25" ht="15.75" customHeight="1" s="322">
      <c r="A25" s="12" t="n"/>
      <c r="B25" s="12" t="n"/>
      <c r="C25" s="12" t="n"/>
      <c r="D25" s="12" t="n"/>
      <c r="E25" s="12" t="n"/>
      <c r="F25" s="12" t="n"/>
      <c r="G25" s="12" t="n"/>
      <c r="H25" s="12" t="n"/>
    </row>
    <row r="26" ht="15.75" customHeight="1" s="322">
      <c r="A26" s="12" t="n"/>
      <c r="B26" s="12" t="n"/>
      <c r="C26" s="12" t="n"/>
      <c r="D26" s="12" t="n"/>
      <c r="E26" s="12" t="n"/>
      <c r="F26" s="12" t="n"/>
      <c r="G26" s="12" t="n"/>
      <c r="H26" s="12" t="n"/>
    </row>
    <row r="27" ht="15.75" customHeight="1" s="322">
      <c r="A27" s="133" t="n"/>
      <c r="B27" s="136">
        <f>IFERROR(__xludf.DUMMYFUNCTION("GOOGLEFINANCE(B18, ""all"", EDATE(TODAY(), -LEFT(G15, FIND("" "", G15))), TODAY(), ""DAILY"")"),"Date")</f>
        <v/>
      </c>
      <c r="C27" s="137">
        <f>IFERROR(__xludf.DUMMYFUNCTION("""COMPUTED_VALUE"""),"Open")</f>
        <v/>
      </c>
      <c r="D27" s="137">
        <f>IFERROR(__xludf.DUMMYFUNCTION("""COMPUTED_VALUE"""),"High")</f>
        <v/>
      </c>
      <c r="E27" s="137">
        <f>IFERROR(__xludf.DUMMYFUNCTION("""COMPUTED_VALUE"""),"Low")</f>
        <v/>
      </c>
      <c r="F27" s="137">
        <f>IFERROR(__xludf.DUMMYFUNCTION("""COMPUTED_VALUE"""),"Close")</f>
        <v/>
      </c>
      <c r="G27" s="137">
        <f>IFERROR(__xludf.DUMMYFUNCTION("""COMPUTED_VALUE"""),"Volume")</f>
        <v/>
      </c>
      <c r="H27" s="133" t="n"/>
    </row>
    <row r="28" ht="17.25" customHeight="1" s="322">
      <c r="A28" s="27" t="n"/>
      <c r="B28" s="506">
        <f>IFERROR(__xludf.DUMMYFUNCTION("""COMPUTED_VALUE"""),45868.6666666666)</f>
        <v/>
      </c>
      <c r="C28" s="141">
        <f>IFERROR(__xludf.DUMMYFUNCTION("""COMPUTED_VALUE"""),73.19)</f>
        <v/>
      </c>
      <c r="D28" s="141">
        <f>IFERROR(__xludf.DUMMYFUNCTION("""COMPUTED_VALUE"""),73.35)</f>
        <v/>
      </c>
      <c r="E28" s="141">
        <f>IFERROR(__xludf.DUMMYFUNCTION("""COMPUTED_VALUE"""),73.13)</f>
        <v/>
      </c>
      <c r="F28" s="141">
        <f>IFERROR(__xludf.DUMMYFUNCTION("""COMPUTED_VALUE"""),73.19)</f>
        <v/>
      </c>
      <c r="G28" s="143">
        <f>IFERROR(__xludf.DUMMYFUNCTION("""COMPUTED_VALUE"""),5554978)</f>
        <v/>
      </c>
      <c r="H28" s="27" t="n"/>
    </row>
    <row r="29" ht="17.25" customHeight="1" s="322">
      <c r="A29" s="27" t="n"/>
      <c r="B29" s="506">
        <f>IFERROR(__xludf.DUMMYFUNCTION("""COMPUTED_VALUE"""),45869.6666666666)</f>
        <v/>
      </c>
      <c r="C29" s="141">
        <f>IFERROR(__xludf.DUMMYFUNCTION("""COMPUTED_VALUE"""),73.35)</f>
        <v/>
      </c>
      <c r="D29" s="141">
        <f>IFERROR(__xludf.DUMMYFUNCTION("""COMPUTED_VALUE"""),73.36)</f>
        <v/>
      </c>
      <c r="E29" s="141">
        <f>IFERROR(__xludf.DUMMYFUNCTION("""COMPUTED_VALUE"""),73.18)</f>
        <v/>
      </c>
      <c r="F29" s="141">
        <f>IFERROR(__xludf.DUMMYFUNCTION("""COMPUTED_VALUE"""),73.2)</f>
        <v/>
      </c>
      <c r="G29" s="143">
        <f>IFERROR(__xludf.DUMMYFUNCTION("""COMPUTED_VALUE"""),6463220)</f>
        <v/>
      </c>
      <c r="H29" s="27" t="n"/>
    </row>
    <row r="30" ht="17.25" customHeight="1" s="322">
      <c r="A30" s="27" t="n"/>
      <c r="B30" s="506">
        <f>IFERROR(__xludf.DUMMYFUNCTION("""COMPUTED_VALUE"""),45870.6666666666)</f>
        <v/>
      </c>
      <c r="C30" s="141">
        <f>IFERROR(__xludf.DUMMYFUNCTION("""COMPUTED_VALUE"""),73.5)</f>
        <v/>
      </c>
      <c r="D30" s="141">
        <f>IFERROR(__xludf.DUMMYFUNCTION("""COMPUTED_VALUE"""),73.61)</f>
        <v/>
      </c>
      <c r="E30" s="141">
        <f>IFERROR(__xludf.DUMMYFUNCTION("""COMPUTED_VALUE"""),73.38)</f>
        <v/>
      </c>
      <c r="F30" s="141">
        <f>IFERROR(__xludf.DUMMYFUNCTION("""COMPUTED_VALUE"""),73.59)</f>
        <v/>
      </c>
      <c r="G30" s="143">
        <f>IFERROR(__xludf.DUMMYFUNCTION("""COMPUTED_VALUE"""),10782336)</f>
        <v/>
      </c>
      <c r="H30" s="27" t="n"/>
    </row>
    <row r="31" ht="17.25" customHeight="1" s="322">
      <c r="A31" s="27" t="n"/>
      <c r="B31" s="506">
        <f>IFERROR(__xludf.DUMMYFUNCTION("""COMPUTED_VALUE"""),45873.6666666666)</f>
        <v/>
      </c>
      <c r="C31" s="141">
        <f>IFERROR(__xludf.DUMMYFUNCTION("""COMPUTED_VALUE"""),73.63)</f>
        <v/>
      </c>
      <c r="D31" s="141">
        <f>IFERROR(__xludf.DUMMYFUNCTION("""COMPUTED_VALUE"""),73.65)</f>
        <v/>
      </c>
      <c r="E31" s="141">
        <f>IFERROR(__xludf.DUMMYFUNCTION("""COMPUTED_VALUE"""),73.5)</f>
        <v/>
      </c>
      <c r="F31" s="141">
        <f>IFERROR(__xludf.DUMMYFUNCTION("""COMPUTED_VALUE"""),73.64)</f>
        <v/>
      </c>
      <c r="G31" s="143">
        <f>IFERROR(__xludf.DUMMYFUNCTION("""COMPUTED_VALUE"""),6834381)</f>
        <v/>
      </c>
      <c r="H31" s="27" t="n"/>
    </row>
    <row r="32" ht="17.25" customHeight="1" s="322">
      <c r="A32" s="27" t="n"/>
      <c r="B32" s="506">
        <f>IFERROR(__xludf.DUMMYFUNCTION("""COMPUTED_VALUE"""),45874.6666666666)</f>
        <v/>
      </c>
      <c r="C32" s="141">
        <f>IFERROR(__xludf.DUMMYFUNCTION("""COMPUTED_VALUE"""),73.56)</f>
        <v/>
      </c>
      <c r="D32" s="141">
        <f>IFERROR(__xludf.DUMMYFUNCTION("""COMPUTED_VALUE"""),73.7)</f>
        <v/>
      </c>
      <c r="E32" s="141">
        <f>IFERROR(__xludf.DUMMYFUNCTION("""COMPUTED_VALUE"""),73.54)</f>
        <v/>
      </c>
      <c r="F32" s="141">
        <f>IFERROR(__xludf.DUMMYFUNCTION("""COMPUTED_VALUE"""),73.67)</f>
        <v/>
      </c>
      <c r="G32" s="143">
        <f>IFERROR(__xludf.DUMMYFUNCTION("""COMPUTED_VALUE"""),8145334)</f>
        <v/>
      </c>
      <c r="H32" s="27" t="n"/>
    </row>
    <row r="33" ht="17.25" customHeight="1" s="322">
      <c r="A33" s="27" t="n"/>
      <c r="B33" s="506">
        <f>IFERROR(__xludf.DUMMYFUNCTION("""COMPUTED_VALUE"""),45875.6666666666)</f>
        <v/>
      </c>
      <c r="C33" s="141">
        <f>IFERROR(__xludf.DUMMYFUNCTION("""COMPUTED_VALUE"""),73.57)</f>
        <v/>
      </c>
      <c r="D33" s="141">
        <f>IFERROR(__xludf.DUMMYFUNCTION("""COMPUTED_VALUE"""),73.65)</f>
        <v/>
      </c>
      <c r="E33" s="141">
        <f>IFERROR(__xludf.DUMMYFUNCTION("""COMPUTED_VALUE"""),73.34)</f>
        <v/>
      </c>
      <c r="F33" s="141">
        <f>IFERROR(__xludf.DUMMYFUNCTION("""COMPUTED_VALUE"""),73.61)</f>
        <v/>
      </c>
      <c r="G33" s="143">
        <f>IFERROR(__xludf.DUMMYFUNCTION("""COMPUTED_VALUE"""),8082200)</f>
        <v/>
      </c>
      <c r="H33" s="27" t="n"/>
    </row>
    <row r="34" ht="17.25" customHeight="1" s="322">
      <c r="A34" s="27" t="n"/>
      <c r="B34" s="506">
        <f>IFERROR(__xludf.DUMMYFUNCTION("""COMPUTED_VALUE"""),45876.6666666666)</f>
        <v/>
      </c>
      <c r="C34" s="141">
        <f>IFERROR(__xludf.DUMMYFUNCTION("""COMPUTED_VALUE"""),73.7)</f>
        <v/>
      </c>
      <c r="D34" s="141">
        <f>IFERROR(__xludf.DUMMYFUNCTION("""COMPUTED_VALUE"""),73.7)</f>
        <v/>
      </c>
      <c r="E34" s="141">
        <f>IFERROR(__xludf.DUMMYFUNCTION("""COMPUTED_VALUE"""),73.53)</f>
        <v/>
      </c>
      <c r="F34" s="141">
        <f>IFERROR(__xludf.DUMMYFUNCTION("""COMPUTED_VALUE"""),73.58)</f>
        <v/>
      </c>
      <c r="G34" s="143">
        <f>IFERROR(__xludf.DUMMYFUNCTION("""COMPUTED_VALUE"""),4193068)</f>
        <v/>
      </c>
      <c r="H34" s="27" t="n"/>
    </row>
    <row r="35" ht="17.25" customHeight="1" s="322">
      <c r="A35" s="27" t="n"/>
      <c r="B35" s="506">
        <f>IFERROR(__xludf.DUMMYFUNCTION("""COMPUTED_VALUE"""),45877.6666666666)</f>
        <v/>
      </c>
      <c r="C35" s="141">
        <f>IFERROR(__xludf.DUMMYFUNCTION("""COMPUTED_VALUE"""),73.5)</f>
        <v/>
      </c>
      <c r="D35" s="141">
        <f>IFERROR(__xludf.DUMMYFUNCTION("""COMPUTED_VALUE"""),73.51)</f>
        <v/>
      </c>
      <c r="E35" s="141">
        <f>IFERROR(__xludf.DUMMYFUNCTION("""COMPUTED_VALUE"""),73.4)</f>
        <v/>
      </c>
      <c r="F35" s="141">
        <f>IFERROR(__xludf.DUMMYFUNCTION("""COMPUTED_VALUE"""),73.42)</f>
        <v/>
      </c>
      <c r="G35" s="143">
        <f>IFERROR(__xludf.DUMMYFUNCTION("""COMPUTED_VALUE"""),5566313)</f>
        <v/>
      </c>
      <c r="H35" s="27" t="n"/>
    </row>
    <row r="36" ht="17.25" customHeight="1" s="322">
      <c r="A36" s="27" t="n"/>
      <c r="B36" s="506">
        <f>IFERROR(__xludf.DUMMYFUNCTION("""COMPUTED_VALUE"""),45880.6666666666)</f>
        <v/>
      </c>
      <c r="C36" s="141">
        <f>IFERROR(__xludf.DUMMYFUNCTION("""COMPUTED_VALUE"""),73.49)</f>
        <v/>
      </c>
      <c r="D36" s="141">
        <f>IFERROR(__xludf.DUMMYFUNCTION("""COMPUTED_VALUE"""),73.55)</f>
        <v/>
      </c>
      <c r="E36" s="141">
        <f>IFERROR(__xludf.DUMMYFUNCTION("""COMPUTED_VALUE"""),73.44)</f>
        <v/>
      </c>
      <c r="F36" s="141">
        <f>IFERROR(__xludf.DUMMYFUNCTION("""COMPUTED_VALUE"""),73.47)</f>
        <v/>
      </c>
      <c r="G36" s="143">
        <f>IFERROR(__xludf.DUMMYFUNCTION("""COMPUTED_VALUE"""),8668285)</f>
        <v/>
      </c>
      <c r="H36" s="27" t="n"/>
    </row>
    <row r="37" ht="17.25" customHeight="1" s="322">
      <c r="A37" s="27" t="n"/>
      <c r="B37" s="506">
        <f>IFERROR(__xludf.DUMMYFUNCTION("""COMPUTED_VALUE"""),45881.6666666666)</f>
        <v/>
      </c>
      <c r="C37" s="141">
        <f>IFERROR(__xludf.DUMMYFUNCTION("""COMPUTED_VALUE"""),73.39)</f>
        <v/>
      </c>
      <c r="D37" s="141">
        <f>IFERROR(__xludf.DUMMYFUNCTION("""COMPUTED_VALUE"""),73.48)</f>
        <v/>
      </c>
      <c r="E37" s="141">
        <f>IFERROR(__xludf.DUMMYFUNCTION("""COMPUTED_VALUE"""),73.33)</f>
        <v/>
      </c>
      <c r="F37" s="141">
        <f>IFERROR(__xludf.DUMMYFUNCTION("""COMPUTED_VALUE"""),73.48)</f>
        <v/>
      </c>
      <c r="G37" s="143">
        <f>IFERROR(__xludf.DUMMYFUNCTION("""COMPUTED_VALUE"""),5493957)</f>
        <v/>
      </c>
      <c r="H37" s="27" t="n"/>
    </row>
    <row r="38" ht="17.25" customHeight="1" s="322">
      <c r="A38" s="27" t="n"/>
      <c r="B38" s="506">
        <f>IFERROR(__xludf.DUMMYFUNCTION("""COMPUTED_VALUE"""),45882.6666666666)</f>
        <v/>
      </c>
      <c r="C38" s="141">
        <f>IFERROR(__xludf.DUMMYFUNCTION("""COMPUTED_VALUE"""),73.69)</f>
        <v/>
      </c>
      <c r="D38" s="141">
        <f>IFERROR(__xludf.DUMMYFUNCTION("""COMPUTED_VALUE"""),73.78)</f>
        <v/>
      </c>
      <c r="E38" s="141">
        <f>IFERROR(__xludf.DUMMYFUNCTION("""COMPUTED_VALUE"""),73.67)</f>
        <v/>
      </c>
      <c r="F38" s="141">
        <f>IFERROR(__xludf.DUMMYFUNCTION("""COMPUTED_VALUE"""),73.75)</f>
        <v/>
      </c>
      <c r="G38" s="143">
        <f>IFERROR(__xludf.DUMMYFUNCTION("""COMPUTED_VALUE"""),6208874)</f>
        <v/>
      </c>
      <c r="H38" s="27" t="n"/>
    </row>
    <row r="39" ht="17.25" customHeight="1" s="322">
      <c r="A39" s="27" t="n"/>
      <c r="B39" s="506">
        <f>IFERROR(__xludf.DUMMYFUNCTION("""COMPUTED_VALUE"""),45883.6666666666)</f>
        <v/>
      </c>
      <c r="C39" s="141">
        <f>IFERROR(__xludf.DUMMYFUNCTION("""COMPUTED_VALUE"""),73.75)</f>
        <v/>
      </c>
      <c r="D39" s="141">
        <f>IFERROR(__xludf.DUMMYFUNCTION("""COMPUTED_VALUE"""),73.75)</f>
        <v/>
      </c>
      <c r="E39" s="141">
        <f>IFERROR(__xludf.DUMMYFUNCTION("""COMPUTED_VALUE"""),73.49)</f>
        <v/>
      </c>
      <c r="F39" s="141">
        <f>IFERROR(__xludf.DUMMYFUNCTION("""COMPUTED_VALUE"""),73.54)</f>
        <v/>
      </c>
      <c r="G39" s="143">
        <f>IFERROR(__xludf.DUMMYFUNCTION("""COMPUTED_VALUE"""),6818486)</f>
        <v/>
      </c>
      <c r="H39" s="27" t="n"/>
    </row>
    <row r="40" ht="17.25" customHeight="1" s="322">
      <c r="A40" s="27" t="n"/>
      <c r="B40" s="506">
        <f>IFERROR(__xludf.DUMMYFUNCTION("""COMPUTED_VALUE"""),45884.6666666666)</f>
        <v/>
      </c>
      <c r="C40" s="141">
        <f>IFERROR(__xludf.DUMMYFUNCTION("""COMPUTED_VALUE"""),73.53)</f>
        <v/>
      </c>
      <c r="D40" s="141">
        <f>IFERROR(__xludf.DUMMYFUNCTION("""COMPUTED_VALUE"""),73.59)</f>
        <v/>
      </c>
      <c r="E40" s="141">
        <f>IFERROR(__xludf.DUMMYFUNCTION("""COMPUTED_VALUE"""),73.39)</f>
        <v/>
      </c>
      <c r="F40" s="141">
        <f>IFERROR(__xludf.DUMMYFUNCTION("""COMPUTED_VALUE"""),73.44)</f>
        <v/>
      </c>
      <c r="G40" s="143">
        <f>IFERROR(__xludf.DUMMYFUNCTION("""COMPUTED_VALUE"""),4309079)</f>
        <v/>
      </c>
      <c r="H40" s="27" t="n"/>
    </row>
    <row r="41" ht="17.25" customHeight="1" s="322">
      <c r="A41" s="27" t="n"/>
      <c r="B41" s="506">
        <f>IFERROR(__xludf.DUMMYFUNCTION("""COMPUTED_VALUE"""),45887.6666666666)</f>
        <v/>
      </c>
      <c r="C41" s="141">
        <f>IFERROR(__xludf.DUMMYFUNCTION("""COMPUTED_VALUE"""),73.47)</f>
        <v/>
      </c>
      <c r="D41" s="141">
        <f>IFERROR(__xludf.DUMMYFUNCTION("""COMPUTED_VALUE"""),73.64)</f>
        <v/>
      </c>
      <c r="E41" s="141">
        <f>IFERROR(__xludf.DUMMYFUNCTION("""COMPUTED_VALUE"""),73.31)</f>
        <v/>
      </c>
      <c r="F41" s="141">
        <f>IFERROR(__xludf.DUMMYFUNCTION("""COMPUTED_VALUE"""),73.36)</f>
        <v/>
      </c>
      <c r="G41" s="143">
        <f>IFERROR(__xludf.DUMMYFUNCTION("""COMPUTED_VALUE"""),6941556)</f>
        <v/>
      </c>
      <c r="H41" s="27" t="n"/>
    </row>
    <row r="42" ht="17.25" customHeight="1" s="322">
      <c r="A42" s="27" t="n"/>
      <c r="B42" s="506">
        <f>IFERROR(__xludf.DUMMYFUNCTION("""COMPUTED_VALUE"""),45888.6666666666)</f>
        <v/>
      </c>
      <c r="C42" s="141">
        <f>IFERROR(__xludf.DUMMYFUNCTION("""COMPUTED_VALUE"""),73.44)</f>
        <v/>
      </c>
      <c r="D42" s="141">
        <f>IFERROR(__xludf.DUMMYFUNCTION("""COMPUTED_VALUE"""),73.51)</f>
        <v/>
      </c>
      <c r="E42" s="141">
        <f>IFERROR(__xludf.DUMMYFUNCTION("""COMPUTED_VALUE"""),73.44)</f>
        <v/>
      </c>
      <c r="F42" s="141">
        <f>IFERROR(__xludf.DUMMYFUNCTION("""COMPUTED_VALUE"""),73.5)</f>
        <v/>
      </c>
      <c r="G42" s="143">
        <f>IFERROR(__xludf.DUMMYFUNCTION("""COMPUTED_VALUE"""),5098530)</f>
        <v/>
      </c>
      <c r="H42" s="27" t="n"/>
    </row>
    <row r="43" ht="17.25" customHeight="1" s="322">
      <c r="A43" s="27" t="n"/>
      <c r="B43" s="506">
        <f>IFERROR(__xludf.DUMMYFUNCTION("""COMPUTED_VALUE"""),45889.6666666666)</f>
        <v/>
      </c>
      <c r="C43" s="141">
        <f>IFERROR(__xludf.DUMMYFUNCTION("""COMPUTED_VALUE"""),73.49)</f>
        <v/>
      </c>
      <c r="D43" s="141">
        <f>IFERROR(__xludf.DUMMYFUNCTION("""COMPUTED_VALUE"""),73.6)</f>
        <v/>
      </c>
      <c r="E43" s="141">
        <f>IFERROR(__xludf.DUMMYFUNCTION("""COMPUTED_VALUE"""),73.46)</f>
        <v/>
      </c>
      <c r="F43" s="141">
        <f>IFERROR(__xludf.DUMMYFUNCTION("""COMPUTED_VALUE"""),73.55)</f>
        <v/>
      </c>
      <c r="G43" s="143">
        <f>IFERROR(__xludf.DUMMYFUNCTION("""COMPUTED_VALUE"""),5512795)</f>
        <v/>
      </c>
      <c r="H43" s="27" t="n"/>
    </row>
    <row r="44" ht="17.25" customHeight="1" s="322">
      <c r="A44" s="27" t="n"/>
      <c r="B44" s="506">
        <f>IFERROR(__xludf.DUMMYFUNCTION("""COMPUTED_VALUE"""),45890.6666666666)</f>
        <v/>
      </c>
      <c r="C44" s="141">
        <f>IFERROR(__xludf.DUMMYFUNCTION("""COMPUTED_VALUE"""),73.44)</f>
        <v/>
      </c>
      <c r="D44" s="141">
        <f>IFERROR(__xludf.DUMMYFUNCTION("""COMPUTED_VALUE"""),73.47)</f>
        <v/>
      </c>
      <c r="E44" s="141">
        <f>IFERROR(__xludf.DUMMYFUNCTION("""COMPUTED_VALUE"""),73.29)</f>
        <v/>
      </c>
      <c r="F44" s="141">
        <f>IFERROR(__xludf.DUMMYFUNCTION("""COMPUTED_VALUE"""),73.37)</f>
        <v/>
      </c>
      <c r="G44" s="143">
        <f>IFERROR(__xludf.DUMMYFUNCTION("""COMPUTED_VALUE"""),5695498)</f>
        <v/>
      </c>
      <c r="H44" s="27" t="n"/>
    </row>
    <row r="45" ht="17.25" customHeight="1" s="322">
      <c r="A45" s="27" t="n"/>
      <c r="B45" s="506">
        <f>IFERROR(__xludf.DUMMYFUNCTION("""COMPUTED_VALUE"""),45891.6666666666)</f>
        <v/>
      </c>
      <c r="C45" s="141">
        <f>IFERROR(__xludf.DUMMYFUNCTION("""COMPUTED_VALUE"""),73.5)</f>
        <v/>
      </c>
      <c r="D45" s="141">
        <f>IFERROR(__xludf.DUMMYFUNCTION("""COMPUTED_VALUE"""),73.81)</f>
        <v/>
      </c>
      <c r="E45" s="141">
        <f>IFERROR(__xludf.DUMMYFUNCTION("""COMPUTED_VALUE"""),73.48)</f>
        <v/>
      </c>
      <c r="F45" s="141">
        <f>IFERROR(__xludf.DUMMYFUNCTION("""COMPUTED_VALUE"""),73.74)</f>
        <v/>
      </c>
      <c r="G45" s="143">
        <f>IFERROR(__xludf.DUMMYFUNCTION("""COMPUTED_VALUE"""),5828735)</f>
        <v/>
      </c>
      <c r="H45" s="27" t="n"/>
    </row>
    <row r="46" ht="17.25" customHeight="1" s="322">
      <c r="A46" s="27" t="n"/>
      <c r="B46" s="506">
        <f>IFERROR(__xludf.DUMMYFUNCTION("""COMPUTED_VALUE"""),45894.6666666666)</f>
        <v/>
      </c>
      <c r="C46" s="141">
        <f>IFERROR(__xludf.DUMMYFUNCTION("""COMPUTED_VALUE"""),73.63)</f>
        <v/>
      </c>
      <c r="D46" s="141">
        <f>IFERROR(__xludf.DUMMYFUNCTION("""COMPUTED_VALUE"""),73.72)</f>
        <v/>
      </c>
      <c r="E46" s="141">
        <f>IFERROR(__xludf.DUMMYFUNCTION("""COMPUTED_VALUE"""),73.59)</f>
        <v/>
      </c>
      <c r="F46" s="141">
        <f>IFERROR(__xludf.DUMMYFUNCTION("""COMPUTED_VALUE"""),73.64)</f>
        <v/>
      </c>
      <c r="G46" s="143">
        <f>IFERROR(__xludf.DUMMYFUNCTION("""COMPUTED_VALUE"""),5362095)</f>
        <v/>
      </c>
      <c r="H46" s="27" t="n"/>
    </row>
    <row r="47" ht="17.25" customHeight="1" s="322">
      <c r="A47" s="27" t="n"/>
      <c r="B47" s="506">
        <f>IFERROR(__xludf.DUMMYFUNCTION("""COMPUTED_VALUE"""),45895.6666666666)</f>
        <v/>
      </c>
      <c r="C47" s="141">
        <f>IFERROR(__xludf.DUMMYFUNCTION("""COMPUTED_VALUE"""),73.65)</f>
        <v/>
      </c>
      <c r="D47" s="141">
        <f>IFERROR(__xludf.DUMMYFUNCTION("""COMPUTED_VALUE"""),73.76)</f>
        <v/>
      </c>
      <c r="E47" s="141">
        <f>IFERROR(__xludf.DUMMYFUNCTION("""COMPUTED_VALUE"""),73.59)</f>
        <v/>
      </c>
      <c r="F47" s="141">
        <f>IFERROR(__xludf.DUMMYFUNCTION("""COMPUTED_VALUE"""),73.73)</f>
        <v/>
      </c>
      <c r="G47" s="143">
        <f>IFERROR(__xludf.DUMMYFUNCTION("""COMPUTED_VALUE"""),4648298)</f>
        <v/>
      </c>
      <c r="H47" s="27" t="n"/>
    </row>
    <row r="48" ht="17.25" customHeight="1" s="322">
      <c r="A48" s="27" t="n"/>
      <c r="B48" s="506">
        <f>IFERROR(__xludf.DUMMYFUNCTION("""COMPUTED_VALUE"""),45896.6666666666)</f>
        <v/>
      </c>
      <c r="C48" s="141">
        <f>IFERROR(__xludf.DUMMYFUNCTION("""COMPUTED_VALUE"""),73.66)</f>
        <v/>
      </c>
      <c r="D48" s="141">
        <f>IFERROR(__xludf.DUMMYFUNCTION("""COMPUTED_VALUE"""),73.81)</f>
        <v/>
      </c>
      <c r="E48" s="141">
        <f>IFERROR(__xludf.DUMMYFUNCTION("""COMPUTED_VALUE"""),73.59)</f>
        <v/>
      </c>
      <c r="F48" s="141">
        <f>IFERROR(__xludf.DUMMYFUNCTION("""COMPUTED_VALUE"""),73.8)</f>
        <v/>
      </c>
      <c r="G48" s="143">
        <f>IFERROR(__xludf.DUMMYFUNCTION("""COMPUTED_VALUE"""),6053945)</f>
        <v/>
      </c>
      <c r="H48" s="27" t="n"/>
    </row>
    <row r="49" ht="17.25" customHeight="1" s="322">
      <c r="A49" s="27" t="n"/>
      <c r="B49" s="506">
        <f>IFERROR(__xludf.DUMMYFUNCTION("""COMPUTED_VALUE"""),45897.6666666666)</f>
        <v/>
      </c>
      <c r="C49" s="141">
        <f>IFERROR(__xludf.DUMMYFUNCTION("""COMPUTED_VALUE"""),73.79)</f>
        <v/>
      </c>
      <c r="D49" s="141">
        <f>IFERROR(__xludf.DUMMYFUNCTION("""COMPUTED_VALUE"""),73.92)</f>
        <v/>
      </c>
      <c r="E49" s="141">
        <f>IFERROR(__xludf.DUMMYFUNCTION("""COMPUTED_VALUE"""),73.76)</f>
        <v/>
      </c>
      <c r="F49" s="141">
        <f>IFERROR(__xludf.DUMMYFUNCTION("""COMPUTED_VALUE"""),73.89)</f>
        <v/>
      </c>
      <c r="G49" s="143">
        <f>IFERROR(__xludf.DUMMYFUNCTION("""COMPUTED_VALUE"""),5857310)</f>
        <v/>
      </c>
      <c r="H49" s="27" t="n"/>
    </row>
    <row r="50" ht="17.25" customHeight="1" s="322">
      <c r="A50" s="27" t="n"/>
      <c r="B50" s="506">
        <f>IFERROR(__xludf.DUMMYFUNCTION("""COMPUTED_VALUE"""),45898.6666666666)</f>
        <v/>
      </c>
      <c r="C50" s="141">
        <f>IFERROR(__xludf.DUMMYFUNCTION("""COMPUTED_VALUE"""),73.82)</f>
        <v/>
      </c>
      <c r="D50" s="141">
        <f>IFERROR(__xludf.DUMMYFUNCTION("""COMPUTED_VALUE"""),73.87)</f>
        <v/>
      </c>
      <c r="E50" s="141">
        <f>IFERROR(__xludf.DUMMYFUNCTION("""COMPUTED_VALUE"""),73.76)</f>
        <v/>
      </c>
      <c r="F50" s="141">
        <f>IFERROR(__xludf.DUMMYFUNCTION("""COMPUTED_VALUE"""),73.8)</f>
        <v/>
      </c>
      <c r="G50" s="143">
        <f>IFERROR(__xludf.DUMMYFUNCTION("""COMPUTED_VALUE"""),7736482)</f>
        <v/>
      </c>
      <c r="H50" s="27" t="n"/>
    </row>
    <row r="51" ht="17.25" customHeight="1" s="322">
      <c r="A51" s="27" t="n"/>
      <c r="B51" s="506">
        <f>IFERROR(__xludf.DUMMYFUNCTION("""COMPUTED_VALUE"""),45902.6666666666)</f>
        <v/>
      </c>
      <c r="C51" s="141">
        <f>IFERROR(__xludf.DUMMYFUNCTION("""COMPUTED_VALUE"""),73.34)</f>
        <v/>
      </c>
      <c r="D51" s="141">
        <f>IFERROR(__xludf.DUMMYFUNCTION("""COMPUTED_VALUE"""),73.43)</f>
        <v/>
      </c>
      <c r="E51" s="141">
        <f>IFERROR(__xludf.DUMMYFUNCTION("""COMPUTED_VALUE"""),73.31)</f>
        <v/>
      </c>
      <c r="F51" s="141">
        <f>IFERROR(__xludf.DUMMYFUNCTION("""COMPUTED_VALUE"""),73.4)</f>
        <v/>
      </c>
      <c r="G51" s="143">
        <f>IFERROR(__xludf.DUMMYFUNCTION("""COMPUTED_VALUE"""),6222391)</f>
        <v/>
      </c>
      <c r="H51" s="27" t="n"/>
    </row>
    <row r="52" ht="17.25" customHeight="1" s="322">
      <c r="A52" s="27" t="n"/>
      <c r="B52" s="506">
        <f>IFERROR(__xludf.DUMMYFUNCTION("""COMPUTED_VALUE"""),45903.6666666666)</f>
        <v/>
      </c>
      <c r="C52" s="141">
        <f>IFERROR(__xludf.DUMMYFUNCTION("""COMPUTED_VALUE"""),73.45)</f>
        <v/>
      </c>
      <c r="D52" s="141">
        <f>IFERROR(__xludf.DUMMYFUNCTION("""COMPUTED_VALUE"""),73.72)</f>
        <v/>
      </c>
      <c r="E52" s="141">
        <f>IFERROR(__xludf.DUMMYFUNCTION("""COMPUTED_VALUE"""),73.44)</f>
        <v/>
      </c>
      <c r="F52" s="141">
        <f>IFERROR(__xludf.DUMMYFUNCTION("""COMPUTED_VALUE"""),73.64)</f>
        <v/>
      </c>
      <c r="G52" s="143">
        <f>IFERROR(__xludf.DUMMYFUNCTION("""COMPUTED_VALUE"""),6005492)</f>
        <v/>
      </c>
      <c r="H52" s="27" t="n"/>
    </row>
    <row r="53" ht="17.25" customHeight="1" s="322">
      <c r="A53" s="27" t="n"/>
      <c r="B53" s="506">
        <f>IFERROR(__xludf.DUMMYFUNCTION("""COMPUTED_VALUE"""),45904.6666666666)</f>
        <v/>
      </c>
      <c r="C53" s="141">
        <f>IFERROR(__xludf.DUMMYFUNCTION("""COMPUTED_VALUE"""),73.8)</f>
        <v/>
      </c>
      <c r="D53" s="141">
        <f>IFERROR(__xludf.DUMMYFUNCTION("""COMPUTED_VALUE"""),73.93)</f>
        <v/>
      </c>
      <c r="E53" s="141">
        <f>IFERROR(__xludf.DUMMYFUNCTION("""COMPUTED_VALUE"""),73.72)</f>
        <v/>
      </c>
      <c r="F53" s="141">
        <f>IFERROR(__xludf.DUMMYFUNCTION("""COMPUTED_VALUE"""),73.92)</f>
        <v/>
      </c>
      <c r="G53" s="143">
        <f>IFERROR(__xludf.DUMMYFUNCTION("""COMPUTED_VALUE"""),8842621)</f>
        <v/>
      </c>
      <c r="H53" s="27" t="n"/>
    </row>
    <row r="54" ht="17.25" customHeight="1" s="322">
      <c r="A54" s="27" t="n"/>
      <c r="B54" s="506">
        <f>IFERROR(__xludf.DUMMYFUNCTION("""COMPUTED_VALUE"""),45905.6666666666)</f>
        <v/>
      </c>
      <c r="C54" s="141">
        <f>IFERROR(__xludf.DUMMYFUNCTION("""COMPUTED_VALUE"""),74.29)</f>
        <v/>
      </c>
      <c r="D54" s="141">
        <f>IFERROR(__xludf.DUMMYFUNCTION("""COMPUTED_VALUE"""),74.37)</f>
        <v/>
      </c>
      <c r="E54" s="141">
        <f>IFERROR(__xludf.DUMMYFUNCTION("""COMPUTED_VALUE"""),74.25)</f>
        <v/>
      </c>
      <c r="F54" s="141">
        <f>IFERROR(__xludf.DUMMYFUNCTION("""COMPUTED_VALUE"""),74.27)</f>
        <v/>
      </c>
      <c r="G54" s="143">
        <f>IFERROR(__xludf.DUMMYFUNCTION("""COMPUTED_VALUE"""),6321761)</f>
        <v/>
      </c>
      <c r="H54" s="27" t="n"/>
    </row>
    <row r="55" ht="17.25" customHeight="1" s="322">
      <c r="A55" s="27" t="n"/>
      <c r="B55" s="506">
        <f>IFERROR(__xludf.DUMMYFUNCTION("""COMPUTED_VALUE"""),45908.6666666666)</f>
        <v/>
      </c>
      <c r="C55" s="141">
        <f>IFERROR(__xludf.DUMMYFUNCTION("""COMPUTED_VALUE"""),74.43)</f>
        <v/>
      </c>
      <c r="D55" s="141">
        <f>IFERROR(__xludf.DUMMYFUNCTION("""COMPUTED_VALUE"""),74.52)</f>
        <v/>
      </c>
      <c r="E55" s="141">
        <f>IFERROR(__xludf.DUMMYFUNCTION("""COMPUTED_VALUE"""),74.41)</f>
        <v/>
      </c>
      <c r="F55" s="141">
        <f>IFERROR(__xludf.DUMMYFUNCTION("""COMPUTED_VALUE"""),74.51)</f>
        <v/>
      </c>
      <c r="G55" s="143">
        <f>IFERROR(__xludf.DUMMYFUNCTION("""COMPUTED_VALUE"""),6414673)</f>
        <v/>
      </c>
      <c r="H55" s="27" t="n"/>
    </row>
    <row r="56" ht="17.25" customHeight="1" s="322">
      <c r="A56" s="27" t="n"/>
      <c r="B56" s="506">
        <f>IFERROR(__xludf.DUMMYFUNCTION("""COMPUTED_VALUE"""),45909.6666666666)</f>
        <v/>
      </c>
      <c r="C56" s="141">
        <f>IFERROR(__xludf.DUMMYFUNCTION("""COMPUTED_VALUE"""),74.47)</f>
        <v/>
      </c>
      <c r="D56" s="141">
        <f>IFERROR(__xludf.DUMMYFUNCTION("""COMPUTED_VALUE"""),74.52)</f>
        <v/>
      </c>
      <c r="E56" s="141">
        <f>IFERROR(__xludf.DUMMYFUNCTION("""COMPUTED_VALUE"""),74.3)</f>
        <v/>
      </c>
      <c r="F56" s="141">
        <f>IFERROR(__xludf.DUMMYFUNCTION("""COMPUTED_VALUE"""),74.37)</f>
        <v/>
      </c>
      <c r="G56" s="143">
        <f>IFERROR(__xludf.DUMMYFUNCTION("""COMPUTED_VALUE"""),6613239)</f>
        <v/>
      </c>
      <c r="H56" s="27" t="n"/>
    </row>
    <row r="57" ht="17.25" customHeight="1" s="322">
      <c r="A57" s="27" t="n"/>
      <c r="B57" s="506">
        <f>IFERROR(__xludf.DUMMYFUNCTION("""COMPUTED_VALUE"""),45910.6666666666)</f>
        <v/>
      </c>
      <c r="C57" s="141">
        <f>IFERROR(__xludf.DUMMYFUNCTION("""COMPUTED_VALUE"""),74.49)</f>
        <v/>
      </c>
      <c r="D57" s="141">
        <f>IFERROR(__xludf.DUMMYFUNCTION("""COMPUTED_VALUE"""),74.62)</f>
        <v/>
      </c>
      <c r="E57" s="141">
        <f>IFERROR(__xludf.DUMMYFUNCTION("""COMPUTED_VALUE"""),74.44)</f>
        <v/>
      </c>
      <c r="F57" s="141">
        <f>IFERROR(__xludf.DUMMYFUNCTION("""COMPUTED_VALUE"""),74.5)</f>
        <v/>
      </c>
      <c r="G57" s="143">
        <f>IFERROR(__xludf.DUMMYFUNCTION("""COMPUTED_VALUE"""),5680852)</f>
        <v/>
      </c>
      <c r="H57" s="27" t="n"/>
    </row>
    <row r="58" ht="17.25" customHeight="1" s="322">
      <c r="A58" s="27" t="n"/>
      <c r="B58" s="506">
        <f>IFERROR(__xludf.DUMMYFUNCTION("""COMPUTED_VALUE"""),45911.6666666666)</f>
        <v/>
      </c>
      <c r="C58" s="141">
        <f>IFERROR(__xludf.DUMMYFUNCTION("""COMPUTED_VALUE"""),74.57)</f>
        <v/>
      </c>
      <c r="D58" s="141">
        <f>IFERROR(__xludf.DUMMYFUNCTION("""COMPUTED_VALUE"""),74.76)</f>
        <v/>
      </c>
      <c r="E58" s="141">
        <f>IFERROR(__xludf.DUMMYFUNCTION("""COMPUTED_VALUE"""),74.57)</f>
        <v/>
      </c>
      <c r="F58" s="141">
        <f>IFERROR(__xludf.DUMMYFUNCTION("""COMPUTED_VALUE"""),74.66)</f>
        <v/>
      </c>
      <c r="G58" s="143">
        <f>IFERROR(__xludf.DUMMYFUNCTION("""COMPUTED_VALUE"""),6437156)</f>
        <v/>
      </c>
      <c r="H58" s="27" t="n"/>
    </row>
    <row r="59" ht="17.25" customHeight="1" s="322">
      <c r="A59" s="27" t="n"/>
      <c r="B59" s="506">
        <f>IFERROR(__xludf.DUMMYFUNCTION("""COMPUTED_VALUE"""),45912.6666666666)</f>
        <v/>
      </c>
      <c r="C59" s="141">
        <f>IFERROR(__xludf.DUMMYFUNCTION("""COMPUTED_VALUE"""),74.54)</f>
        <v/>
      </c>
      <c r="D59" s="141">
        <f>IFERROR(__xludf.DUMMYFUNCTION("""COMPUTED_VALUE"""),74.58)</f>
        <v/>
      </c>
      <c r="E59" s="141">
        <f>IFERROR(__xludf.DUMMYFUNCTION("""COMPUTED_VALUE"""),74.43)</f>
        <v/>
      </c>
      <c r="F59" s="141">
        <f>IFERROR(__xludf.DUMMYFUNCTION("""COMPUTED_VALUE"""),74.57)</f>
        <v/>
      </c>
      <c r="G59" s="143">
        <f>IFERROR(__xludf.DUMMYFUNCTION("""COMPUTED_VALUE"""),5492955)</f>
        <v/>
      </c>
      <c r="H59" s="27" t="n"/>
    </row>
    <row r="60" ht="17.25" customHeight="1" s="322">
      <c r="A60" s="27" t="n"/>
      <c r="B60" s="506">
        <f>IFERROR(__xludf.DUMMYFUNCTION("""COMPUTED_VALUE"""),45915.6666666666)</f>
        <v/>
      </c>
      <c r="C60" s="141">
        <f>IFERROR(__xludf.DUMMYFUNCTION("""COMPUTED_VALUE"""),74.66)</f>
        <v/>
      </c>
      <c r="D60" s="141">
        <f>IFERROR(__xludf.DUMMYFUNCTION("""COMPUTED_VALUE"""),74.73)</f>
        <v/>
      </c>
      <c r="E60" s="141">
        <f>IFERROR(__xludf.DUMMYFUNCTION("""COMPUTED_VALUE"""),74.65)</f>
        <v/>
      </c>
      <c r="F60" s="141">
        <f>IFERROR(__xludf.DUMMYFUNCTION("""COMPUTED_VALUE"""),74.71)</f>
        <v/>
      </c>
      <c r="G60" s="143">
        <f>IFERROR(__xludf.DUMMYFUNCTION("""COMPUTED_VALUE"""),7193648)</f>
        <v/>
      </c>
      <c r="H60" s="27" t="n"/>
    </row>
    <row r="61" ht="17.25" customHeight="1" s="322">
      <c r="A61" s="27" t="n"/>
      <c r="B61" s="506">
        <f>IFERROR(__xludf.DUMMYFUNCTION("""COMPUTED_VALUE"""),45916.6666666666)</f>
        <v/>
      </c>
      <c r="C61" s="141">
        <f>IFERROR(__xludf.DUMMYFUNCTION("""COMPUTED_VALUE"""),74.71)</f>
        <v/>
      </c>
      <c r="D61" s="141">
        <f>IFERROR(__xludf.DUMMYFUNCTION("""COMPUTED_VALUE"""),74.77)</f>
        <v/>
      </c>
      <c r="E61" s="141">
        <f>IFERROR(__xludf.DUMMYFUNCTION("""COMPUTED_VALUE"""),74.65)</f>
        <v/>
      </c>
      <c r="F61" s="141">
        <f>IFERROR(__xludf.DUMMYFUNCTION("""COMPUTED_VALUE"""),74.72)</f>
        <v/>
      </c>
      <c r="G61" s="143">
        <f>IFERROR(__xludf.DUMMYFUNCTION("""COMPUTED_VALUE"""),7012190)</f>
        <v/>
      </c>
      <c r="H61" s="27" t="n"/>
    </row>
    <row r="62" ht="17.25" customHeight="1" s="322">
      <c r="A62" s="27" t="n"/>
      <c r="B62" s="506">
        <f>IFERROR(__xludf.DUMMYFUNCTION("""COMPUTED_VALUE"""),45917.6666666666)</f>
        <v/>
      </c>
      <c r="C62" s="141">
        <f>IFERROR(__xludf.DUMMYFUNCTION("""COMPUTED_VALUE"""),74.8)</f>
        <v/>
      </c>
      <c r="D62" s="141">
        <f>IFERROR(__xludf.DUMMYFUNCTION("""COMPUTED_VALUE"""),74.92)</f>
        <v/>
      </c>
      <c r="E62" s="141">
        <f>IFERROR(__xludf.DUMMYFUNCTION("""COMPUTED_VALUE"""),74.53)</f>
        <v/>
      </c>
      <c r="F62" s="141">
        <f>IFERROR(__xludf.DUMMYFUNCTION("""COMPUTED_VALUE"""),74.59)</f>
        <v/>
      </c>
      <c r="G62" s="143">
        <f>IFERROR(__xludf.DUMMYFUNCTION("""COMPUTED_VALUE"""),8872301)</f>
        <v/>
      </c>
      <c r="H62" s="27" t="n"/>
    </row>
    <row r="63" ht="17.25" customHeight="1" s="322">
      <c r="A63" s="27" t="n"/>
      <c r="B63" s="506">
        <f>IFERROR(__xludf.DUMMYFUNCTION("""COMPUTED_VALUE"""),45918.6666666666)</f>
        <v/>
      </c>
      <c r="C63" s="141">
        <f>IFERROR(__xludf.DUMMYFUNCTION("""COMPUTED_VALUE"""),74.39)</f>
        <v/>
      </c>
      <c r="D63" s="141">
        <f>IFERROR(__xludf.DUMMYFUNCTION("""COMPUTED_VALUE"""),74.48)</f>
        <v/>
      </c>
      <c r="E63" s="141">
        <f>IFERROR(__xludf.DUMMYFUNCTION("""COMPUTED_VALUE"""),74.29)</f>
        <v/>
      </c>
      <c r="F63" s="141">
        <f>IFERROR(__xludf.DUMMYFUNCTION("""COMPUTED_VALUE"""),74.4)</f>
        <v/>
      </c>
      <c r="G63" s="143">
        <f>IFERROR(__xludf.DUMMYFUNCTION("""COMPUTED_VALUE"""),7641811)</f>
        <v/>
      </c>
      <c r="H63" s="27" t="n"/>
    </row>
    <row r="64" ht="17.25" customHeight="1" s="322">
      <c r="A64" s="27" t="n"/>
      <c r="B64" s="506">
        <f>IFERROR(__xludf.DUMMYFUNCTION("""COMPUTED_VALUE"""),45919.6666666666)</f>
        <v/>
      </c>
      <c r="C64" s="141">
        <f>IFERROR(__xludf.DUMMYFUNCTION("""COMPUTED_VALUE"""),74.41)</f>
        <v/>
      </c>
      <c r="D64" s="141">
        <f>IFERROR(__xludf.DUMMYFUNCTION("""COMPUTED_VALUE"""),74.45)</f>
        <v/>
      </c>
      <c r="E64" s="141">
        <f>IFERROR(__xludf.DUMMYFUNCTION("""COMPUTED_VALUE"""),74.34)</f>
        <v/>
      </c>
      <c r="F64" s="141">
        <f>IFERROR(__xludf.DUMMYFUNCTION("""COMPUTED_VALUE"""),74.43)</f>
        <v/>
      </c>
      <c r="G64" s="143">
        <f>IFERROR(__xludf.DUMMYFUNCTION("""COMPUTED_VALUE"""),5295717)</f>
        <v/>
      </c>
      <c r="H64" s="27" t="n"/>
    </row>
    <row r="65" ht="17.25" customHeight="1" s="322">
      <c r="A65" s="27" t="n"/>
      <c r="B65" s="506">
        <f>IFERROR(__xludf.DUMMYFUNCTION("""COMPUTED_VALUE"""),45922.6666666666)</f>
        <v/>
      </c>
      <c r="C65" s="141">
        <f>IFERROR(__xludf.DUMMYFUNCTION("""COMPUTED_VALUE"""),74.39)</f>
        <v/>
      </c>
      <c r="D65" s="141">
        <f>IFERROR(__xludf.DUMMYFUNCTION("""COMPUTED_VALUE"""),74.41)</f>
        <v/>
      </c>
      <c r="E65" s="141">
        <f>IFERROR(__xludf.DUMMYFUNCTION("""COMPUTED_VALUE"""),74.27)</f>
        <v/>
      </c>
      <c r="F65" s="141">
        <f>IFERROR(__xludf.DUMMYFUNCTION("""COMPUTED_VALUE"""),74.29)</f>
        <v/>
      </c>
      <c r="G65" s="143">
        <f>IFERROR(__xludf.DUMMYFUNCTION("""COMPUTED_VALUE"""),7814325)</f>
        <v/>
      </c>
      <c r="H65" s="27" t="n"/>
    </row>
    <row r="66" ht="17.25" customHeight="1" s="322">
      <c r="A66" s="27" t="n"/>
      <c r="B66" s="506">
        <f>IFERROR(__xludf.DUMMYFUNCTION("""COMPUTED_VALUE"""),45923.6666666666)</f>
        <v/>
      </c>
      <c r="C66" s="141">
        <f>IFERROR(__xludf.DUMMYFUNCTION("""COMPUTED_VALUE"""),74.37)</f>
        <v/>
      </c>
      <c r="D66" s="141">
        <f>IFERROR(__xludf.DUMMYFUNCTION("""COMPUTED_VALUE"""),74.45)</f>
        <v/>
      </c>
      <c r="E66" s="141">
        <f>IFERROR(__xludf.DUMMYFUNCTION("""COMPUTED_VALUE"""),74.31)</f>
        <v/>
      </c>
      <c r="F66" s="141">
        <f>IFERROR(__xludf.DUMMYFUNCTION("""COMPUTED_VALUE"""),74.44)</f>
        <v/>
      </c>
      <c r="G66" s="143">
        <f>IFERROR(__xludf.DUMMYFUNCTION("""COMPUTED_VALUE"""),6492249)</f>
        <v/>
      </c>
      <c r="H66" s="27" t="n"/>
    </row>
    <row r="67" ht="17.25" customHeight="1" s="322">
      <c r="A67" s="27" t="n"/>
      <c r="B67" s="506">
        <f>IFERROR(__xludf.DUMMYFUNCTION("""COMPUTED_VALUE"""),45924.6666666666)</f>
        <v/>
      </c>
      <c r="C67" s="141">
        <f>IFERROR(__xludf.DUMMYFUNCTION("""COMPUTED_VALUE"""),74.37)</f>
        <v/>
      </c>
      <c r="D67" s="141">
        <f>IFERROR(__xludf.DUMMYFUNCTION("""COMPUTED_VALUE"""),74.38)</f>
        <v/>
      </c>
      <c r="E67" s="141">
        <f>IFERROR(__xludf.DUMMYFUNCTION("""COMPUTED_VALUE"""),74.26)</f>
        <v/>
      </c>
      <c r="F67" s="141">
        <f>IFERROR(__xludf.DUMMYFUNCTION("""COMPUTED_VALUE"""),74.29)</f>
        <v/>
      </c>
      <c r="G67" s="143">
        <f>IFERROR(__xludf.DUMMYFUNCTION("""COMPUTED_VALUE"""),5158444)</f>
        <v/>
      </c>
      <c r="H67" s="27" t="n"/>
    </row>
    <row r="68" ht="17.25" customHeight="1" s="322">
      <c r="A68" s="27" t="n"/>
      <c r="B68" s="506">
        <f>IFERROR(__xludf.DUMMYFUNCTION("""COMPUTED_VALUE"""),45925.6666666666)</f>
        <v/>
      </c>
      <c r="C68" s="141">
        <f>IFERROR(__xludf.DUMMYFUNCTION("""COMPUTED_VALUE"""),74.19)</f>
        <v/>
      </c>
      <c r="D68" s="141">
        <f>IFERROR(__xludf.DUMMYFUNCTION("""COMPUTED_VALUE"""),74.22)</f>
        <v/>
      </c>
      <c r="E68" s="141">
        <f>IFERROR(__xludf.DUMMYFUNCTION("""COMPUTED_VALUE"""),74.07)</f>
        <v/>
      </c>
      <c r="F68" s="141">
        <f>IFERROR(__xludf.DUMMYFUNCTION("""COMPUTED_VALUE"""),74.21)</f>
        <v/>
      </c>
      <c r="G68" s="143">
        <f>IFERROR(__xludf.DUMMYFUNCTION("""COMPUTED_VALUE"""),7402658)</f>
        <v/>
      </c>
      <c r="H68" s="27" t="n"/>
    </row>
    <row r="69" ht="17.25" customHeight="1" s="322">
      <c r="A69" s="27" t="n"/>
      <c r="B69" s="506">
        <f>IFERROR(__xludf.DUMMYFUNCTION("""COMPUTED_VALUE"""),45926.6666666666)</f>
        <v/>
      </c>
      <c r="C69" s="141">
        <f>IFERROR(__xludf.DUMMYFUNCTION("""COMPUTED_VALUE"""),74.22)</f>
        <v/>
      </c>
      <c r="D69" s="141">
        <f>IFERROR(__xludf.DUMMYFUNCTION("""COMPUTED_VALUE"""),74.33)</f>
        <v/>
      </c>
      <c r="E69" s="141">
        <f>IFERROR(__xludf.DUMMYFUNCTION("""COMPUTED_VALUE"""),74.15)</f>
        <v/>
      </c>
      <c r="F69" s="141">
        <f>IFERROR(__xludf.DUMMYFUNCTION("""COMPUTED_VALUE"""),74.21)</f>
        <v/>
      </c>
      <c r="G69" s="143">
        <f>IFERROR(__xludf.DUMMYFUNCTION("""COMPUTED_VALUE"""),5531414)</f>
        <v/>
      </c>
      <c r="H69" s="27" t="n"/>
    </row>
    <row r="70" ht="17.25" customHeight="1" s="322">
      <c r="A70" s="27" t="n"/>
      <c r="B70" s="506">
        <f>IFERROR(__xludf.DUMMYFUNCTION("""COMPUTED_VALUE"""),45929.6666666666)</f>
        <v/>
      </c>
      <c r="C70" s="141">
        <f>IFERROR(__xludf.DUMMYFUNCTION("""COMPUTED_VALUE"""),74.31)</f>
        <v/>
      </c>
      <c r="D70" s="141">
        <f>IFERROR(__xludf.DUMMYFUNCTION("""COMPUTED_VALUE"""),74.44)</f>
        <v/>
      </c>
      <c r="E70" s="141">
        <f>IFERROR(__xludf.DUMMYFUNCTION("""COMPUTED_VALUE"""),74.29)</f>
        <v/>
      </c>
      <c r="F70" s="141">
        <f>IFERROR(__xludf.DUMMYFUNCTION("""COMPUTED_VALUE"""),74.4)</f>
        <v/>
      </c>
      <c r="G70" s="143">
        <f>IFERROR(__xludf.DUMMYFUNCTION("""COMPUTED_VALUE"""),5534451)</f>
        <v/>
      </c>
      <c r="H70" s="27" t="n"/>
    </row>
    <row r="71" ht="17.25" customHeight="1" s="322">
      <c r="A71" s="27" t="n"/>
      <c r="B71" s="506">
        <f>IFERROR(__xludf.DUMMYFUNCTION("""COMPUTED_VALUE"""),45930.6666666666)</f>
        <v/>
      </c>
      <c r="C71" s="141">
        <f>IFERROR(__xludf.DUMMYFUNCTION("""COMPUTED_VALUE"""),74.43)</f>
        <v/>
      </c>
      <c r="D71" s="141">
        <f>IFERROR(__xludf.DUMMYFUNCTION("""COMPUTED_VALUE"""),74.54)</f>
        <v/>
      </c>
      <c r="E71" s="141">
        <f>IFERROR(__xludf.DUMMYFUNCTION("""COMPUTED_VALUE"""),74.34)</f>
        <v/>
      </c>
      <c r="F71" s="141">
        <f>IFERROR(__xludf.DUMMYFUNCTION("""COMPUTED_VALUE"""),74.37)</f>
        <v/>
      </c>
      <c r="G71" s="143">
        <f>IFERROR(__xludf.DUMMYFUNCTION("""COMPUTED_VALUE"""),8840688)</f>
        <v/>
      </c>
      <c r="H71" s="27" t="n"/>
    </row>
    <row r="72" ht="17.25" customHeight="1" s="322">
      <c r="A72" s="27" t="n"/>
      <c r="B72" s="506">
        <f>IFERROR(__xludf.DUMMYFUNCTION("""COMPUTED_VALUE"""),45931.6666666666)</f>
        <v/>
      </c>
      <c r="C72" s="141">
        <f>IFERROR(__xludf.DUMMYFUNCTION("""COMPUTED_VALUE"""),74.32)</f>
        <v/>
      </c>
      <c r="D72" s="141">
        <f>IFERROR(__xludf.DUMMYFUNCTION("""COMPUTED_VALUE"""),74.36)</f>
        <v/>
      </c>
      <c r="E72" s="141">
        <f>IFERROR(__xludf.DUMMYFUNCTION("""COMPUTED_VALUE"""),74.21)</f>
        <v/>
      </c>
      <c r="F72" s="141">
        <f>IFERROR(__xludf.DUMMYFUNCTION("""COMPUTED_VALUE"""),74.32)</f>
        <v/>
      </c>
      <c r="G72" s="143">
        <f>IFERROR(__xludf.DUMMYFUNCTION("""COMPUTED_VALUE"""),8762908)</f>
        <v/>
      </c>
      <c r="H72" s="27" t="n"/>
    </row>
    <row r="73" ht="17.25" customHeight="1" s="322">
      <c r="A73" s="27" t="n"/>
      <c r="B73" s="506">
        <f>IFERROR(__xludf.DUMMYFUNCTION("""COMPUTED_VALUE"""),45932.6666666666)</f>
        <v/>
      </c>
      <c r="C73" s="141">
        <f>IFERROR(__xludf.DUMMYFUNCTION("""COMPUTED_VALUE"""),74.29)</f>
        <v/>
      </c>
      <c r="D73" s="141">
        <f>IFERROR(__xludf.DUMMYFUNCTION("""COMPUTED_VALUE"""),74.42)</f>
        <v/>
      </c>
      <c r="E73" s="141">
        <f>IFERROR(__xludf.DUMMYFUNCTION("""COMPUTED_VALUE"""),74.25)</f>
        <v/>
      </c>
      <c r="F73" s="141">
        <f>IFERROR(__xludf.DUMMYFUNCTION("""COMPUTED_VALUE"""),74.4)</f>
        <v/>
      </c>
      <c r="G73" s="143">
        <f>IFERROR(__xludf.DUMMYFUNCTION("""COMPUTED_VALUE"""),7155608)</f>
        <v/>
      </c>
      <c r="H73" s="27" t="n"/>
    </row>
    <row r="74" ht="17.25" customHeight="1" s="322">
      <c r="A74" s="27" t="n"/>
      <c r="B74" s="506">
        <f>IFERROR(__xludf.DUMMYFUNCTION("""COMPUTED_VALUE"""),45933.6666666666)</f>
        <v/>
      </c>
      <c r="C74" s="141">
        <f>IFERROR(__xludf.DUMMYFUNCTION("""COMPUTED_VALUE"""),74.42)</f>
        <v/>
      </c>
      <c r="D74" s="141">
        <f>IFERROR(__xludf.DUMMYFUNCTION("""COMPUTED_VALUE"""),74.45)</f>
        <v/>
      </c>
      <c r="E74" s="141">
        <f>IFERROR(__xludf.DUMMYFUNCTION("""COMPUTED_VALUE"""),74.29)</f>
        <v/>
      </c>
      <c r="F74" s="141">
        <f>IFERROR(__xludf.DUMMYFUNCTION("""COMPUTED_VALUE"""),74.31)</f>
        <v/>
      </c>
      <c r="G74" s="143">
        <f>IFERROR(__xludf.DUMMYFUNCTION("""COMPUTED_VALUE"""),8372377)</f>
        <v/>
      </c>
      <c r="H74" s="27" t="n"/>
    </row>
    <row r="75" ht="17.25" customHeight="1" s="322">
      <c r="A75" s="27" t="n"/>
      <c r="B75" s="506">
        <f>IFERROR(__xludf.DUMMYFUNCTION("""COMPUTED_VALUE"""),45936.6666666666)</f>
        <v/>
      </c>
      <c r="C75" s="141">
        <f>IFERROR(__xludf.DUMMYFUNCTION("""COMPUTED_VALUE"""),74.17)</f>
        <v/>
      </c>
      <c r="D75" s="141">
        <f>IFERROR(__xludf.DUMMYFUNCTION("""COMPUTED_VALUE"""),74.28)</f>
        <v/>
      </c>
      <c r="E75" s="141">
        <f>IFERROR(__xludf.DUMMYFUNCTION("""COMPUTED_VALUE"""),74.13)</f>
        <v/>
      </c>
      <c r="F75" s="141">
        <f>IFERROR(__xludf.DUMMYFUNCTION("""COMPUTED_VALUE"""),74.14)</f>
        <v/>
      </c>
      <c r="G75" s="143">
        <f>IFERROR(__xludf.DUMMYFUNCTION("""COMPUTED_VALUE"""),8688812)</f>
        <v/>
      </c>
      <c r="H75" s="27" t="n"/>
    </row>
    <row r="76" ht="17.25" customHeight="1" s="322">
      <c r="A76" s="27" t="n"/>
      <c r="B76" s="506">
        <f>IFERROR(__xludf.DUMMYFUNCTION("""COMPUTED_VALUE"""),45937.6666666666)</f>
        <v/>
      </c>
      <c r="C76" s="141">
        <f>IFERROR(__xludf.DUMMYFUNCTION("""COMPUTED_VALUE"""),74.22)</f>
        <v/>
      </c>
      <c r="D76" s="141">
        <f>IFERROR(__xludf.DUMMYFUNCTION("""COMPUTED_VALUE"""),74.35)</f>
        <v/>
      </c>
      <c r="E76" s="141">
        <f>IFERROR(__xludf.DUMMYFUNCTION("""COMPUTED_VALUE"""),74.19)</f>
        <v/>
      </c>
      <c r="F76" s="141">
        <f>IFERROR(__xludf.DUMMYFUNCTION("""COMPUTED_VALUE"""),74.28)</f>
        <v/>
      </c>
      <c r="G76" s="143">
        <f>IFERROR(__xludf.DUMMYFUNCTION("""COMPUTED_VALUE"""),7229511)</f>
        <v/>
      </c>
      <c r="H76" s="27" t="n"/>
    </row>
    <row r="77" ht="17.25" customHeight="1" s="322">
      <c r="A77" s="27" t="n"/>
      <c r="B77" s="506">
        <f>IFERROR(__xludf.DUMMYFUNCTION("""COMPUTED_VALUE"""),45938.6666666666)</f>
        <v/>
      </c>
      <c r="C77" s="141">
        <f>IFERROR(__xludf.DUMMYFUNCTION("""COMPUTED_VALUE"""),74.4)</f>
        <v/>
      </c>
      <c r="D77" s="141">
        <f>IFERROR(__xludf.DUMMYFUNCTION("""COMPUTED_VALUE"""),74.41)</f>
        <v/>
      </c>
      <c r="E77" s="141">
        <f>IFERROR(__xludf.DUMMYFUNCTION("""COMPUTED_VALUE"""),74.26)</f>
        <v/>
      </c>
      <c r="F77" s="141">
        <f>IFERROR(__xludf.DUMMYFUNCTION("""COMPUTED_VALUE"""),74.28)</f>
        <v/>
      </c>
      <c r="G77" s="143">
        <f>IFERROR(__xludf.DUMMYFUNCTION("""COMPUTED_VALUE"""),6298430)</f>
        <v/>
      </c>
      <c r="H77" s="27" t="n"/>
    </row>
    <row r="78" ht="17.25" customHeight="1" s="322">
      <c r="A78" s="27" t="n"/>
      <c r="B78" s="506">
        <f>IFERROR(__xludf.DUMMYFUNCTION("""COMPUTED_VALUE"""),45939.6666666666)</f>
        <v/>
      </c>
      <c r="C78" s="141">
        <f>IFERROR(__xludf.DUMMYFUNCTION("""COMPUTED_VALUE"""),74.24)</f>
        <v/>
      </c>
      <c r="D78" s="141">
        <f>IFERROR(__xludf.DUMMYFUNCTION("""COMPUTED_VALUE"""),74.26)</f>
        <v/>
      </c>
      <c r="E78" s="141">
        <f>IFERROR(__xludf.DUMMYFUNCTION("""COMPUTED_VALUE"""),74.18)</f>
        <v/>
      </c>
      <c r="F78" s="141">
        <f>IFERROR(__xludf.DUMMYFUNCTION("""COMPUTED_VALUE"""),74.23)</f>
        <v/>
      </c>
      <c r="G78" s="143">
        <f>IFERROR(__xludf.DUMMYFUNCTION("""COMPUTED_VALUE"""),9071047)</f>
        <v/>
      </c>
      <c r="H78" s="27" t="n"/>
    </row>
    <row r="79" ht="17.25" customHeight="1" s="322">
      <c r="A79" s="27" t="n"/>
      <c r="B79" s="506">
        <f>IFERROR(__xludf.DUMMYFUNCTION("""COMPUTED_VALUE"""),45940.6666666666)</f>
        <v/>
      </c>
      <c r="C79" s="141">
        <f>IFERROR(__xludf.DUMMYFUNCTION("""COMPUTED_VALUE"""),74.43)</f>
        <v/>
      </c>
      <c r="D79" s="141">
        <f>IFERROR(__xludf.DUMMYFUNCTION("""COMPUTED_VALUE"""),74.58)</f>
        <v/>
      </c>
      <c r="E79" s="141">
        <f>IFERROR(__xludf.DUMMYFUNCTION("""COMPUTED_VALUE"""),74.36)</f>
        <v/>
      </c>
      <c r="F79" s="141">
        <f>IFERROR(__xludf.DUMMYFUNCTION("""COMPUTED_VALUE"""),74.52)</f>
        <v/>
      </c>
      <c r="G79" s="143">
        <f>IFERROR(__xludf.DUMMYFUNCTION("""COMPUTED_VALUE"""),7202569)</f>
        <v/>
      </c>
      <c r="H79" s="27" t="n"/>
    </row>
    <row r="80" ht="17.25" customHeight="1" s="322">
      <c r="A80" s="27" t="n"/>
      <c r="B80" s="506">
        <f>IFERROR(__xludf.DUMMYFUNCTION("""COMPUTED_VALUE"""),45943.6666666666)</f>
        <v/>
      </c>
      <c r="C80" s="141">
        <f>IFERROR(__xludf.DUMMYFUNCTION("""COMPUTED_VALUE"""),74.54)</f>
        <v/>
      </c>
      <c r="D80" s="141">
        <f>IFERROR(__xludf.DUMMYFUNCTION("""COMPUTED_VALUE"""),74.64)</f>
        <v/>
      </c>
      <c r="E80" s="141">
        <f>IFERROR(__xludf.DUMMYFUNCTION("""COMPUTED_VALUE"""),74.45)</f>
        <v/>
      </c>
      <c r="F80" s="141">
        <f>IFERROR(__xludf.DUMMYFUNCTION("""COMPUTED_VALUE"""),74.64)</f>
        <v/>
      </c>
      <c r="G80" s="143">
        <f>IFERROR(__xludf.DUMMYFUNCTION("""COMPUTED_VALUE"""),4358678)</f>
        <v/>
      </c>
      <c r="H80" s="27" t="n"/>
    </row>
    <row r="81" ht="17.25" customHeight="1" s="322">
      <c r="A81" s="27" t="n"/>
      <c r="B81" s="506">
        <f>IFERROR(__xludf.DUMMYFUNCTION("""COMPUTED_VALUE"""),45944.6666666666)</f>
        <v/>
      </c>
      <c r="C81" s="141">
        <f>IFERROR(__xludf.DUMMYFUNCTION("""COMPUTED_VALUE"""),74.63)</f>
        <v/>
      </c>
      <c r="D81" s="141">
        <f>IFERROR(__xludf.DUMMYFUNCTION("""COMPUTED_VALUE"""),74.78)</f>
        <v/>
      </c>
      <c r="E81" s="141">
        <f>IFERROR(__xludf.DUMMYFUNCTION("""COMPUTED_VALUE"""),74.57)</f>
        <v/>
      </c>
      <c r="F81" s="141">
        <f>IFERROR(__xludf.DUMMYFUNCTION("""COMPUTED_VALUE"""),74.75)</f>
        <v/>
      </c>
      <c r="G81" s="143">
        <f>IFERROR(__xludf.DUMMYFUNCTION("""COMPUTED_VALUE"""),6550097)</f>
        <v/>
      </c>
      <c r="H81" s="27" t="n"/>
    </row>
    <row r="82" ht="17.25" customHeight="1" s="322">
      <c r="A82" s="27" t="n"/>
      <c r="B82" s="506">
        <f>IFERROR(__xludf.DUMMYFUNCTION("""COMPUTED_VALUE"""),45945.6666666666)</f>
        <v/>
      </c>
      <c r="C82" s="141">
        <f>IFERROR(__xludf.DUMMYFUNCTION("""COMPUTED_VALUE"""),74.77)</f>
        <v/>
      </c>
      <c r="D82" s="141">
        <f>IFERROR(__xludf.DUMMYFUNCTION("""COMPUTED_VALUE"""),74.87)</f>
        <v/>
      </c>
      <c r="E82" s="141">
        <f>IFERROR(__xludf.DUMMYFUNCTION("""COMPUTED_VALUE"""),74.66)</f>
        <v/>
      </c>
      <c r="F82" s="141">
        <f>IFERROR(__xludf.DUMMYFUNCTION("""COMPUTED_VALUE"""),74.7)</f>
        <v/>
      </c>
      <c r="G82" s="143">
        <f>IFERROR(__xludf.DUMMYFUNCTION("""COMPUTED_VALUE"""),6264829)</f>
        <v/>
      </c>
      <c r="H82" s="27" t="n"/>
    </row>
    <row r="83" ht="17.25" customHeight="1" s="322">
      <c r="A83" s="27" t="n"/>
      <c r="B83" s="506">
        <f>IFERROR(__xludf.DUMMYFUNCTION("""COMPUTED_VALUE"""),45946.6666666666)</f>
        <v/>
      </c>
      <c r="C83" s="141">
        <f>IFERROR(__xludf.DUMMYFUNCTION("""COMPUTED_VALUE"""),74.67)</f>
        <v/>
      </c>
      <c r="D83" s="141">
        <f>IFERROR(__xludf.DUMMYFUNCTION("""COMPUTED_VALUE"""),75)</f>
        <v/>
      </c>
      <c r="E83" s="141">
        <f>IFERROR(__xludf.DUMMYFUNCTION("""COMPUTED_VALUE"""),74.67)</f>
        <v/>
      </c>
      <c r="F83" s="141">
        <f>IFERROR(__xludf.DUMMYFUNCTION("""COMPUTED_VALUE"""),74.98)</f>
        <v/>
      </c>
      <c r="G83" s="143">
        <f>IFERROR(__xludf.DUMMYFUNCTION("""COMPUTED_VALUE"""),8485054)</f>
        <v/>
      </c>
      <c r="H83" s="27" t="n"/>
    </row>
    <row r="84" ht="17.25" customHeight="1" s="322">
      <c r="A84" s="27" t="n"/>
      <c r="B84" s="506">
        <f>IFERROR(__xludf.DUMMYFUNCTION("""COMPUTED_VALUE"""),45947.6666666666)</f>
        <v/>
      </c>
      <c r="C84" s="141">
        <f>IFERROR(__xludf.DUMMYFUNCTION("""COMPUTED_VALUE"""),74.91)</f>
        <v/>
      </c>
      <c r="D84" s="141">
        <f>IFERROR(__xludf.DUMMYFUNCTION("""COMPUTED_VALUE"""),74.92)</f>
        <v/>
      </c>
      <c r="E84" s="141">
        <f>IFERROR(__xludf.DUMMYFUNCTION("""COMPUTED_VALUE"""),74.81)</f>
        <v/>
      </c>
      <c r="F84" s="141">
        <f>IFERROR(__xludf.DUMMYFUNCTION("""COMPUTED_VALUE"""),74.88)</f>
        <v/>
      </c>
      <c r="G84" s="143">
        <f>IFERROR(__xludf.DUMMYFUNCTION("""COMPUTED_VALUE"""),20337487)</f>
        <v/>
      </c>
      <c r="H84" s="27" t="n"/>
    </row>
    <row r="85" ht="17.25" customHeight="1" s="322">
      <c r="A85" s="27" t="n"/>
      <c r="B85" s="506">
        <f>IFERROR(__xludf.DUMMYFUNCTION("""COMPUTED_VALUE"""),45950.6666666666)</f>
        <v/>
      </c>
      <c r="C85" s="141">
        <f>IFERROR(__xludf.DUMMYFUNCTION("""COMPUTED_VALUE"""),74.95)</f>
        <v/>
      </c>
      <c r="D85" s="141">
        <f>IFERROR(__xludf.DUMMYFUNCTION("""COMPUTED_VALUE"""),74.99)</f>
        <v/>
      </c>
      <c r="E85" s="141">
        <f>IFERROR(__xludf.DUMMYFUNCTION("""COMPUTED_VALUE"""),74.91)</f>
        <v/>
      </c>
      <c r="F85" s="141">
        <f>IFERROR(__xludf.DUMMYFUNCTION("""COMPUTED_VALUE"""),74.98)</f>
        <v/>
      </c>
      <c r="G85" s="143">
        <f>IFERROR(__xludf.DUMMYFUNCTION("""COMPUTED_VALUE"""),6287206)</f>
        <v/>
      </c>
      <c r="H85" s="27" t="n"/>
    </row>
    <row r="86" ht="17.25" customHeight="1" s="322">
      <c r="A86" s="27" t="n"/>
      <c r="B86" s="506">
        <f>IFERROR(__xludf.DUMMYFUNCTION("""COMPUTED_VALUE"""),45951.6666666666)</f>
        <v/>
      </c>
      <c r="C86" s="141">
        <f>IFERROR(__xludf.DUMMYFUNCTION("""COMPUTED_VALUE"""),75.1)</f>
        <v/>
      </c>
      <c r="D86" s="141">
        <f>IFERROR(__xludf.DUMMYFUNCTION("""COMPUTED_VALUE"""),75.15)</f>
        <v/>
      </c>
      <c r="E86" s="141">
        <f>IFERROR(__xludf.DUMMYFUNCTION("""COMPUTED_VALUE"""),75.05)</f>
        <v/>
      </c>
      <c r="F86" s="141">
        <f>IFERROR(__xludf.DUMMYFUNCTION("""COMPUTED_VALUE"""),75.07)</f>
        <v/>
      </c>
      <c r="G86" s="143">
        <f>IFERROR(__xludf.DUMMYFUNCTION("""COMPUTED_VALUE"""),6179948)</f>
        <v/>
      </c>
      <c r="H86" s="27" t="n"/>
    </row>
    <row r="87" ht="17.25" customHeight="1" s="322">
      <c r="A87" s="27" t="n"/>
      <c r="B87" s="506">
        <f>IFERROR(__xludf.DUMMYFUNCTION("""COMPUTED_VALUE"""),45952.6666666666)</f>
        <v/>
      </c>
      <c r="C87" s="141">
        <f>IFERROR(__xludf.DUMMYFUNCTION("""COMPUTED_VALUE"""),75.03)</f>
        <v/>
      </c>
      <c r="D87" s="141">
        <f>IFERROR(__xludf.DUMMYFUNCTION("""COMPUTED_VALUE"""),75.08)</f>
        <v/>
      </c>
      <c r="E87" s="141">
        <f>IFERROR(__xludf.DUMMYFUNCTION("""COMPUTED_VALUE"""),74.97)</f>
        <v/>
      </c>
      <c r="F87" s="141">
        <f>IFERROR(__xludf.DUMMYFUNCTION("""COMPUTED_VALUE"""),75.07)</f>
        <v/>
      </c>
      <c r="G87" s="143">
        <f>IFERROR(__xludf.DUMMYFUNCTION("""COMPUTED_VALUE"""),7164496)</f>
        <v/>
      </c>
      <c r="H87" s="27" t="n"/>
    </row>
    <row r="88" ht="17.25" customHeight="1" s="322">
      <c r="A88" s="27" t="n"/>
      <c r="B88" s="506">
        <f>IFERROR(__xludf.DUMMYFUNCTION("""COMPUTED_VALUE"""),45953.6666666666)</f>
        <v/>
      </c>
      <c r="C88" s="141">
        <f>IFERROR(__xludf.DUMMYFUNCTION("""COMPUTED_VALUE"""),74.99)</f>
        <v/>
      </c>
      <c r="D88" s="141">
        <f>IFERROR(__xludf.DUMMYFUNCTION("""COMPUTED_VALUE"""),75.02)</f>
        <v/>
      </c>
      <c r="E88" s="141">
        <f>IFERROR(__xludf.DUMMYFUNCTION("""COMPUTED_VALUE"""),74.9)</f>
        <v/>
      </c>
      <c r="F88" s="141">
        <f>IFERROR(__xludf.DUMMYFUNCTION("""COMPUTED_VALUE"""),74.92)</f>
        <v/>
      </c>
      <c r="G88" s="143">
        <f>IFERROR(__xludf.DUMMYFUNCTION("""COMPUTED_VALUE"""),6041657)</f>
        <v/>
      </c>
      <c r="H88" s="27" t="n"/>
    </row>
    <row r="89" ht="17.25" customHeight="1" s="322">
      <c r="A89" s="27" t="n"/>
      <c r="B89" s="506">
        <f>IFERROR(__xludf.DUMMYFUNCTION("""COMPUTED_VALUE"""),45954.6666666666)</f>
        <v/>
      </c>
      <c r="C89" s="141">
        <f>IFERROR(__xludf.DUMMYFUNCTION("""COMPUTED_VALUE"""),75.04)</f>
        <v/>
      </c>
      <c r="D89" s="141">
        <f>IFERROR(__xludf.DUMMYFUNCTION("""COMPUTED_VALUE"""),75.05)</f>
        <v/>
      </c>
      <c r="E89" s="141">
        <f>IFERROR(__xludf.DUMMYFUNCTION("""COMPUTED_VALUE"""),74.91)</f>
        <v/>
      </c>
      <c r="F89" s="141">
        <f>IFERROR(__xludf.DUMMYFUNCTION("""COMPUTED_VALUE"""),75.02)</f>
        <v/>
      </c>
      <c r="G89" s="143">
        <f>IFERROR(__xludf.DUMMYFUNCTION("""COMPUTED_VALUE"""),6912339)</f>
        <v/>
      </c>
      <c r="H89" s="27" t="n"/>
    </row>
    <row r="90" ht="17.25" customHeight="1" s="322">
      <c r="A90" s="27" t="n"/>
      <c r="B90" s="506">
        <f>IFERROR(__xludf.DUMMYFUNCTION("""COMPUTED_VALUE"""),45957.6666666666)</f>
        <v/>
      </c>
      <c r="C90" s="141">
        <f>IFERROR(__xludf.DUMMYFUNCTION("""COMPUTED_VALUE"""),74.96)</f>
        <v/>
      </c>
      <c r="D90" s="141">
        <f>IFERROR(__xludf.DUMMYFUNCTION("""COMPUTED_VALUE"""),75.06)</f>
        <v/>
      </c>
      <c r="E90" s="141">
        <f>IFERROR(__xludf.DUMMYFUNCTION("""COMPUTED_VALUE"""),74.89)</f>
        <v/>
      </c>
      <c r="F90" s="141">
        <f>IFERROR(__xludf.DUMMYFUNCTION("""COMPUTED_VALUE"""),75.06)</f>
        <v/>
      </c>
      <c r="G90" s="143">
        <f>IFERROR(__xludf.DUMMYFUNCTION("""COMPUTED_VALUE"""),7706623)</f>
        <v/>
      </c>
      <c r="H90" s="27" t="n"/>
    </row>
    <row r="91" ht="17.25" customHeight="1" s="322">
      <c r="A91" s="27" t="n"/>
      <c r="B91" s="506">
        <f>IFERROR(__xludf.DUMMYFUNCTION("""COMPUTED_VALUE"""),45958.6666666666)</f>
        <v/>
      </c>
      <c r="C91" s="141">
        <f>IFERROR(__xludf.DUMMYFUNCTION("""COMPUTED_VALUE"""),75.04)</f>
        <v/>
      </c>
      <c r="D91" s="141">
        <f>IFERROR(__xludf.DUMMYFUNCTION("""COMPUTED_VALUE"""),75.12)</f>
        <v/>
      </c>
      <c r="E91" s="141">
        <f>IFERROR(__xludf.DUMMYFUNCTION("""COMPUTED_VALUE"""),75.01)</f>
        <v/>
      </c>
      <c r="F91" s="141">
        <f>IFERROR(__xludf.DUMMYFUNCTION("""COMPUTED_VALUE"""),75.1)</f>
        <v/>
      </c>
      <c r="G91" s="143">
        <f>IFERROR(__xludf.DUMMYFUNCTION("""COMPUTED_VALUE"""),7399731)</f>
        <v/>
      </c>
      <c r="H91" s="27" t="n"/>
    </row>
    <row r="92" ht="17.25" customHeight="1" s="322">
      <c r="A92" s="27" t="n"/>
      <c r="B92" s="506">
        <f>IFERROR(__xludf.DUMMYFUNCTION("""COMPUTED_VALUE"""),45959.6666666666)</f>
        <v/>
      </c>
      <c r="C92" s="141">
        <f>IFERROR(__xludf.DUMMYFUNCTION("""COMPUTED_VALUE"""),75.07)</f>
        <v/>
      </c>
      <c r="D92" s="141">
        <f>IFERROR(__xludf.DUMMYFUNCTION("""COMPUTED_VALUE"""),75.08)</f>
        <v/>
      </c>
      <c r="E92" s="141">
        <f>IFERROR(__xludf.DUMMYFUNCTION("""COMPUTED_VALUE"""),74.71)</f>
        <v/>
      </c>
      <c r="F92" s="141">
        <f>IFERROR(__xludf.DUMMYFUNCTION("""COMPUTED_VALUE"""),74.73)</f>
        <v/>
      </c>
      <c r="G92" s="143">
        <f>IFERROR(__xludf.DUMMYFUNCTION("""COMPUTED_VALUE"""),8938694)</f>
        <v/>
      </c>
      <c r="H92" s="27" t="n"/>
    </row>
    <row r="93" ht="17.25" customHeight="1" s="322">
      <c r="A93" s="27" t="n"/>
      <c r="B93" s="506">
        <f>IFERROR(__xludf.DUMMYFUNCTION("""COMPUTED_VALUE"""),45960.6666666666)</f>
        <v/>
      </c>
      <c r="C93" s="141">
        <f>IFERROR(__xludf.DUMMYFUNCTION("""COMPUTED_VALUE"""),74.51)</f>
        <v/>
      </c>
      <c r="D93" s="141">
        <f>IFERROR(__xludf.DUMMYFUNCTION("""COMPUTED_VALUE"""),74.72)</f>
        <v/>
      </c>
      <c r="E93" s="141">
        <f>IFERROR(__xludf.DUMMYFUNCTION("""COMPUTED_VALUE"""),74.5)</f>
        <v/>
      </c>
      <c r="F93" s="141">
        <f>IFERROR(__xludf.DUMMYFUNCTION("""COMPUTED_VALUE"""),74.6)</f>
        <v/>
      </c>
      <c r="G93" s="143">
        <f>IFERROR(__xludf.DUMMYFUNCTION("""COMPUTED_VALUE"""),7109490)</f>
        <v/>
      </c>
      <c r="H93" s="27" t="n"/>
    </row>
    <row r="94" ht="17.25" customHeight="1" s="322">
      <c r="A94" s="27" t="n"/>
      <c r="B94" s="506">
        <f>IFERROR(__xludf.DUMMYFUNCTION("""COMPUTED_VALUE"""),45961.6666666666)</f>
        <v/>
      </c>
      <c r="C94" s="141">
        <f>IFERROR(__xludf.DUMMYFUNCTION("""COMPUTED_VALUE"""),74.66)</f>
        <v/>
      </c>
      <c r="D94" s="141">
        <f>IFERROR(__xludf.DUMMYFUNCTION("""COMPUTED_VALUE"""),74.68)</f>
        <v/>
      </c>
      <c r="E94" s="141">
        <f>IFERROR(__xludf.DUMMYFUNCTION("""COMPUTED_VALUE"""),74.54)</f>
        <v/>
      </c>
      <c r="F94" s="141">
        <f>IFERROR(__xludf.DUMMYFUNCTION("""COMPUTED_VALUE"""),74.58)</f>
        <v/>
      </c>
      <c r="G94" s="143">
        <f>IFERROR(__xludf.DUMMYFUNCTION("""COMPUTED_VALUE"""),7106704)</f>
        <v/>
      </c>
      <c r="H94" s="27" t="n"/>
    </row>
    <row r="95" ht="17.25" customHeight="1" s="322">
      <c r="A95" s="27" t="n"/>
      <c r="B95" s="506">
        <f>IFERROR(__xludf.DUMMYFUNCTION("""COMPUTED_VALUE"""),45964.6666666666)</f>
        <v/>
      </c>
      <c r="C95" s="141">
        <f>IFERROR(__xludf.DUMMYFUNCTION("""COMPUTED_VALUE"""),74.24)</f>
        <v/>
      </c>
      <c r="D95" s="141">
        <f>IFERROR(__xludf.DUMMYFUNCTION("""COMPUTED_VALUE"""),74.29)</f>
        <v/>
      </c>
      <c r="E95" s="141">
        <f>IFERROR(__xludf.DUMMYFUNCTION("""COMPUTED_VALUE"""),74.17)</f>
        <v/>
      </c>
      <c r="F95" s="141">
        <f>IFERROR(__xludf.DUMMYFUNCTION("""COMPUTED_VALUE"""),74.25)</f>
        <v/>
      </c>
      <c r="G95" s="143">
        <f>IFERROR(__xludf.DUMMYFUNCTION("""COMPUTED_VALUE"""),7085098)</f>
        <v/>
      </c>
      <c r="H95" s="27" t="n"/>
    </row>
    <row r="96" ht="17.25" customHeight="1" s="322">
      <c r="A96" s="27" t="n"/>
      <c r="B96" s="506">
        <f>IFERROR(__xludf.DUMMYFUNCTION("""COMPUTED_VALUE"""),45965.6666666666)</f>
        <v/>
      </c>
      <c r="C96" s="141">
        <f>IFERROR(__xludf.DUMMYFUNCTION("""COMPUTED_VALUE"""),74.26)</f>
        <v/>
      </c>
      <c r="D96" s="141">
        <f>IFERROR(__xludf.DUMMYFUNCTION("""COMPUTED_VALUE"""),74.37)</f>
        <v/>
      </c>
      <c r="E96" s="141">
        <f>IFERROR(__xludf.DUMMYFUNCTION("""COMPUTED_VALUE"""),74.24)</f>
        <v/>
      </c>
      <c r="F96" s="141">
        <f>IFERROR(__xludf.DUMMYFUNCTION("""COMPUTED_VALUE"""),74.29)</f>
        <v/>
      </c>
      <c r="G96" s="143">
        <f>IFERROR(__xludf.DUMMYFUNCTION("""COMPUTED_VALUE"""),11476211)</f>
        <v/>
      </c>
      <c r="H96" s="27" t="n"/>
    </row>
    <row r="97" ht="17.25" customHeight="1" s="322">
      <c r="A97" s="27" t="n"/>
      <c r="B97" s="506">
        <f>IFERROR(__xludf.DUMMYFUNCTION("""COMPUTED_VALUE"""),45966.6666666666)</f>
        <v/>
      </c>
      <c r="C97" s="141">
        <f>IFERROR(__xludf.DUMMYFUNCTION("""COMPUTED_VALUE"""),74.24)</f>
        <v/>
      </c>
      <c r="D97" s="141">
        <f>IFERROR(__xludf.DUMMYFUNCTION("""COMPUTED_VALUE"""),74.26)</f>
        <v/>
      </c>
      <c r="E97" s="141">
        <f>IFERROR(__xludf.DUMMYFUNCTION("""COMPUTED_VALUE"""),74.04)</f>
        <v/>
      </c>
      <c r="F97" s="141">
        <f>IFERROR(__xludf.DUMMYFUNCTION("""COMPUTED_VALUE"""),74.08)</f>
        <v/>
      </c>
      <c r="G97" s="143">
        <f>IFERROR(__xludf.DUMMYFUNCTION("""COMPUTED_VALUE"""),10862842)</f>
        <v/>
      </c>
      <c r="H97" s="27" t="n"/>
    </row>
    <row r="98" ht="17.25" customHeight="1" s="322">
      <c r="A98" s="27" t="n"/>
      <c r="B98" s="506">
        <f>IFERROR(__xludf.DUMMYFUNCTION("""COMPUTED_VALUE"""),45967.6666666666)</f>
        <v/>
      </c>
      <c r="C98" s="141">
        <f>IFERROR(__xludf.DUMMYFUNCTION("""COMPUTED_VALUE"""),74.3)</f>
        <v/>
      </c>
      <c r="D98" s="141">
        <f>IFERROR(__xludf.DUMMYFUNCTION("""COMPUTED_VALUE"""),74.4)</f>
        <v/>
      </c>
      <c r="E98" s="141">
        <f>IFERROR(__xludf.DUMMYFUNCTION("""COMPUTED_VALUE"""),74.28)</f>
        <v/>
      </c>
      <c r="F98" s="141">
        <f>IFERROR(__xludf.DUMMYFUNCTION("""COMPUTED_VALUE"""),74.37)</f>
        <v/>
      </c>
      <c r="G98" s="143">
        <f>IFERROR(__xludf.DUMMYFUNCTION("""COMPUTED_VALUE"""),6461208)</f>
        <v/>
      </c>
      <c r="H98" s="27" t="n"/>
    </row>
    <row r="99" ht="17.25" customHeight="1" s="322">
      <c r="A99" s="27" t="n"/>
      <c r="B99" s="506">
        <f>IFERROR(__xludf.DUMMYFUNCTION("""COMPUTED_VALUE"""),45968.6666666666)</f>
        <v/>
      </c>
      <c r="C99" s="141">
        <f>IFERROR(__xludf.DUMMYFUNCTION("""COMPUTED_VALUE"""),74.26)</f>
        <v/>
      </c>
      <c r="D99" s="141">
        <f>IFERROR(__xludf.DUMMYFUNCTION("""COMPUTED_VALUE"""),74.43)</f>
        <v/>
      </c>
      <c r="E99" s="141">
        <f>IFERROR(__xludf.DUMMYFUNCTION("""COMPUTED_VALUE"""),74.26)</f>
        <v/>
      </c>
      <c r="F99" s="141">
        <f>IFERROR(__xludf.DUMMYFUNCTION("""COMPUTED_VALUE"""),74.33)</f>
        <v/>
      </c>
      <c r="G99" s="143">
        <f>IFERROR(__xludf.DUMMYFUNCTION("""COMPUTED_VALUE"""),7073176)</f>
        <v/>
      </c>
      <c r="H99" s="27" t="n"/>
    </row>
    <row r="100" ht="17.25" customHeight="1" s="322">
      <c r="A100" s="27" t="n"/>
      <c r="B100" s="506">
        <f>IFERROR(__xludf.DUMMYFUNCTION("""COMPUTED_VALUE"""),45971.6666666666)</f>
        <v/>
      </c>
      <c r="C100" s="141">
        <f>IFERROR(__xludf.DUMMYFUNCTION("""COMPUTED_VALUE"""),74.32)</f>
        <v/>
      </c>
      <c r="D100" s="141">
        <f>IFERROR(__xludf.DUMMYFUNCTION("""COMPUTED_VALUE"""),74.37)</f>
        <v/>
      </c>
      <c r="E100" s="141">
        <f>IFERROR(__xludf.DUMMYFUNCTION("""COMPUTED_VALUE"""),74.28)</f>
        <v/>
      </c>
      <c r="F100" s="141">
        <f>IFERROR(__xludf.DUMMYFUNCTION("""COMPUTED_VALUE"""),74.31)</f>
        <v/>
      </c>
      <c r="G100" s="143">
        <f>IFERROR(__xludf.DUMMYFUNCTION("""COMPUTED_VALUE"""),7235146)</f>
        <v/>
      </c>
      <c r="H100" s="27" t="n"/>
    </row>
    <row r="101" ht="17.25" customHeight="1" s="322">
      <c r="A101" s="27" t="n"/>
      <c r="B101" s="506">
        <f>IFERROR(__xludf.DUMMYFUNCTION("""COMPUTED_VALUE"""),45972.6666666666)</f>
        <v/>
      </c>
      <c r="C101" s="141">
        <f>IFERROR(__xludf.DUMMYFUNCTION("""COMPUTED_VALUE"""),74.46)</f>
        <v/>
      </c>
      <c r="D101" s="141">
        <f>IFERROR(__xludf.DUMMYFUNCTION("""COMPUTED_VALUE"""),74.53)</f>
        <v/>
      </c>
      <c r="E101" s="141">
        <f>IFERROR(__xludf.DUMMYFUNCTION("""COMPUTED_VALUE"""),74.42)</f>
        <v/>
      </c>
      <c r="F101" s="141">
        <f>IFERROR(__xludf.DUMMYFUNCTION("""COMPUTED_VALUE"""),74.52)</f>
        <v/>
      </c>
      <c r="G101" s="143">
        <f>IFERROR(__xludf.DUMMYFUNCTION("""COMPUTED_VALUE"""),5229393)</f>
        <v/>
      </c>
      <c r="H101" s="27" t="n"/>
    </row>
    <row r="102" ht="17.25" customHeight="1" s="322">
      <c r="A102" s="27" t="n"/>
      <c r="B102" s="506">
        <f>IFERROR(__xludf.DUMMYFUNCTION("""COMPUTED_VALUE"""),45973.6666666666)</f>
        <v/>
      </c>
      <c r="C102" s="141">
        <f>IFERROR(__xludf.DUMMYFUNCTION("""COMPUTED_VALUE"""),74.48)</f>
        <v/>
      </c>
      <c r="D102" s="141">
        <f>IFERROR(__xludf.DUMMYFUNCTION("""COMPUTED_VALUE"""),74.54)</f>
        <v/>
      </c>
      <c r="E102" s="141">
        <f>IFERROR(__xludf.DUMMYFUNCTION("""COMPUTED_VALUE"""),74.44)</f>
        <v/>
      </c>
      <c r="F102" s="141">
        <f>IFERROR(__xludf.DUMMYFUNCTION("""COMPUTED_VALUE"""),74.49)</f>
        <v/>
      </c>
      <c r="G102" s="143">
        <f>IFERROR(__xludf.DUMMYFUNCTION("""COMPUTED_VALUE"""),7129742)</f>
        <v/>
      </c>
      <c r="H102" s="27" t="n"/>
    </row>
    <row r="103" ht="17.25" customHeight="1" s="322">
      <c r="A103" s="27" t="n"/>
      <c r="B103" s="506">
        <f>IFERROR(__xludf.DUMMYFUNCTION("""COMPUTED_VALUE"""),45974.6666666666)</f>
        <v/>
      </c>
      <c r="C103" s="141">
        <f>IFERROR(__xludf.DUMMYFUNCTION("""COMPUTED_VALUE"""),74.36)</f>
        <v/>
      </c>
      <c r="D103" s="141">
        <f>IFERROR(__xludf.DUMMYFUNCTION("""COMPUTED_VALUE"""),74.41)</f>
        <v/>
      </c>
      <c r="E103" s="141">
        <f>IFERROR(__xludf.DUMMYFUNCTION("""COMPUTED_VALUE"""),74.27)</f>
        <v/>
      </c>
      <c r="F103" s="141">
        <f>IFERROR(__xludf.DUMMYFUNCTION("""COMPUTED_VALUE"""),74.27)</f>
        <v/>
      </c>
      <c r="G103" s="143">
        <f>IFERROR(__xludf.DUMMYFUNCTION("""COMPUTED_VALUE"""),7105106)</f>
        <v/>
      </c>
      <c r="H103" s="27" t="n"/>
    </row>
    <row r="104" ht="17.25" customHeight="1" s="322">
      <c r="A104" s="27" t="n"/>
      <c r="B104" s="506">
        <f>IFERROR(__xludf.DUMMYFUNCTION("""COMPUTED_VALUE"""),45975.6666666666)</f>
        <v/>
      </c>
      <c r="C104" s="141">
        <f>IFERROR(__xludf.DUMMYFUNCTION("""COMPUTED_VALUE"""),74.4)</f>
        <v/>
      </c>
      <c r="D104" s="141">
        <f>IFERROR(__xludf.DUMMYFUNCTION("""COMPUTED_VALUE"""),74.42)</f>
        <v/>
      </c>
      <c r="E104" s="141">
        <f>IFERROR(__xludf.DUMMYFUNCTION("""COMPUTED_VALUE"""),74.16)</f>
        <v/>
      </c>
      <c r="F104" s="141">
        <f>IFERROR(__xludf.DUMMYFUNCTION("""COMPUTED_VALUE"""),74.16)</f>
        <v/>
      </c>
      <c r="G104" s="143">
        <f>IFERROR(__xludf.DUMMYFUNCTION("""COMPUTED_VALUE"""),6473412)</f>
        <v/>
      </c>
      <c r="H104" s="27" t="n"/>
    </row>
    <row r="105" ht="17.25" customHeight="1" s="322">
      <c r="A105" s="27" t="n"/>
      <c r="B105" s="506">
        <f>IFERROR(__xludf.DUMMYFUNCTION("""COMPUTED_VALUE"""),45978.6666666666)</f>
        <v/>
      </c>
      <c r="C105" s="141">
        <f>IFERROR(__xludf.DUMMYFUNCTION("""COMPUTED_VALUE"""),74.21)</f>
        <v/>
      </c>
      <c r="D105" s="141">
        <f>IFERROR(__xludf.DUMMYFUNCTION("""COMPUTED_VALUE"""),74.28)</f>
        <v/>
      </c>
      <c r="E105" s="141">
        <f>IFERROR(__xludf.DUMMYFUNCTION("""COMPUTED_VALUE"""),74.19)</f>
        <v/>
      </c>
      <c r="F105" s="141">
        <f>IFERROR(__xludf.DUMMYFUNCTION("""COMPUTED_VALUE"""),74.2)</f>
        <v/>
      </c>
      <c r="G105" s="143">
        <f>IFERROR(__xludf.DUMMYFUNCTION("""COMPUTED_VALUE"""),6908725)</f>
        <v/>
      </c>
      <c r="H105" s="27" t="n"/>
    </row>
    <row r="106" ht="17.25" customHeight="1" s="322">
      <c r="A106" s="27" t="n"/>
      <c r="B106" s="506">
        <f>IFERROR(__xludf.DUMMYFUNCTION("""COMPUTED_VALUE"""),45979.6666666666)</f>
        <v/>
      </c>
      <c r="C106" s="141">
        <f>IFERROR(__xludf.DUMMYFUNCTION("""COMPUTED_VALUE"""),74.33)</f>
        <v/>
      </c>
      <c r="D106" s="141">
        <f>IFERROR(__xludf.DUMMYFUNCTION("""COMPUTED_VALUE"""),74.38)</f>
        <v/>
      </c>
      <c r="E106" s="141">
        <f>IFERROR(__xludf.DUMMYFUNCTION("""COMPUTED_VALUE"""),74.18)</f>
        <v/>
      </c>
      <c r="F106" s="141">
        <f>IFERROR(__xludf.DUMMYFUNCTION("""COMPUTED_VALUE"""),74.26)</f>
        <v/>
      </c>
      <c r="G106" s="143">
        <f>IFERROR(__xludf.DUMMYFUNCTION("""COMPUTED_VALUE"""),8009243)</f>
        <v/>
      </c>
      <c r="H106" s="27" t="n"/>
    </row>
    <row r="107" ht="17.25" customHeight="1" s="322">
      <c r="A107" s="27" t="n"/>
      <c r="B107" s="506">
        <f>IFERROR(__xludf.DUMMYFUNCTION("""COMPUTED_VALUE"""),45980.6666666666)</f>
        <v/>
      </c>
      <c r="C107" s="141">
        <f>IFERROR(__xludf.DUMMYFUNCTION("""COMPUTED_VALUE"""),74.34)</f>
        <v/>
      </c>
      <c r="D107" s="141">
        <f>IFERROR(__xludf.DUMMYFUNCTION("""COMPUTED_VALUE"""),74.36)</f>
        <v/>
      </c>
      <c r="E107" s="141">
        <f>IFERROR(__xludf.DUMMYFUNCTION("""COMPUTED_VALUE"""),74.2)</f>
        <v/>
      </c>
      <c r="F107" s="141">
        <f>IFERROR(__xludf.DUMMYFUNCTION("""COMPUTED_VALUE"""),74.23)</f>
        <v/>
      </c>
      <c r="G107" s="143">
        <f>IFERROR(__xludf.DUMMYFUNCTION("""COMPUTED_VALUE"""),7527455)</f>
        <v/>
      </c>
      <c r="H107" s="27" t="n"/>
    </row>
    <row r="108" ht="17.25" customHeight="1" s="322">
      <c r="A108" s="27" t="n"/>
      <c r="B108" s="506">
        <f>IFERROR(__xludf.DUMMYFUNCTION("""COMPUTED_VALUE"""),45981.6666666666)</f>
        <v/>
      </c>
      <c r="C108" s="141">
        <f>IFERROR(__xludf.DUMMYFUNCTION("""COMPUTED_VALUE"""),74.31)</f>
        <v/>
      </c>
      <c r="D108" s="141">
        <f>IFERROR(__xludf.DUMMYFUNCTION("""COMPUTED_VALUE"""),74.4)</f>
        <v/>
      </c>
      <c r="E108" s="141">
        <f>IFERROR(__xludf.DUMMYFUNCTION("""COMPUTED_VALUE"""),74.29)</f>
        <v/>
      </c>
      <c r="F108" s="141">
        <f>IFERROR(__xludf.DUMMYFUNCTION("""COMPUTED_VALUE"""),74.34)</f>
        <v/>
      </c>
      <c r="G108" s="143">
        <f>IFERROR(__xludf.DUMMYFUNCTION("""COMPUTED_VALUE"""),8461082)</f>
        <v/>
      </c>
      <c r="H108" s="27" t="n"/>
    </row>
    <row r="109" ht="17.25" customHeight="1" s="322">
      <c r="A109" s="27" t="n"/>
      <c r="B109" s="506">
        <f>IFERROR(__xludf.DUMMYFUNCTION("""COMPUTED_VALUE"""),45982.6666666666)</f>
        <v/>
      </c>
      <c r="C109" s="141">
        <f>IFERROR(__xludf.DUMMYFUNCTION("""COMPUTED_VALUE"""),74.55)</f>
        <v/>
      </c>
      <c r="D109" s="141">
        <f>IFERROR(__xludf.DUMMYFUNCTION("""COMPUTED_VALUE"""),74.55)</f>
        <v/>
      </c>
      <c r="E109" s="141">
        <f>IFERROR(__xludf.DUMMYFUNCTION("""COMPUTED_VALUE"""),74.4)</f>
        <v/>
      </c>
      <c r="F109" s="141">
        <f>IFERROR(__xludf.DUMMYFUNCTION("""COMPUTED_VALUE"""),74.52)</f>
        <v/>
      </c>
      <c r="G109" s="143">
        <f>IFERROR(__xludf.DUMMYFUNCTION("""COMPUTED_VALUE"""),6818362)</f>
        <v/>
      </c>
      <c r="H109" s="27" t="n"/>
    </row>
    <row r="110" ht="17.25" customHeight="1" s="322">
      <c r="A110" s="27" t="n"/>
      <c r="B110" s="506">
        <f>IFERROR(__xludf.DUMMYFUNCTION("""COMPUTED_VALUE"""),45985.6666666666)</f>
        <v/>
      </c>
      <c r="C110" s="141">
        <f>IFERROR(__xludf.DUMMYFUNCTION("""COMPUTED_VALUE"""),74.62)</f>
        <v/>
      </c>
      <c r="D110" s="141">
        <f>IFERROR(__xludf.DUMMYFUNCTION("""COMPUTED_VALUE"""),74.68)</f>
        <v/>
      </c>
      <c r="E110" s="141">
        <f>IFERROR(__xludf.DUMMYFUNCTION("""COMPUTED_VALUE"""),74.55)</f>
        <v/>
      </c>
      <c r="F110" s="141">
        <f>IFERROR(__xludf.DUMMYFUNCTION("""COMPUTED_VALUE"""),74.65)</f>
        <v/>
      </c>
      <c r="G110" s="143">
        <f>IFERROR(__xludf.DUMMYFUNCTION("""COMPUTED_VALUE"""),5734438)</f>
        <v/>
      </c>
      <c r="H110" s="27" t="n"/>
    </row>
    <row r="111" ht="17.25" customHeight="1" s="322">
      <c r="A111" s="27" t="n"/>
      <c r="B111" s="506">
        <f>IFERROR(__xludf.DUMMYFUNCTION("""COMPUTED_VALUE"""),45986.6666666666)</f>
        <v/>
      </c>
      <c r="C111" s="141">
        <f>IFERROR(__xludf.DUMMYFUNCTION("""COMPUTED_VALUE"""),74.7)</f>
        <v/>
      </c>
      <c r="D111" s="141">
        <f>IFERROR(__xludf.DUMMYFUNCTION("""COMPUTED_VALUE"""),74.89)</f>
        <v/>
      </c>
      <c r="E111" s="141">
        <f>IFERROR(__xludf.DUMMYFUNCTION("""COMPUTED_VALUE"""),74.7)</f>
        <v/>
      </c>
      <c r="F111" s="141">
        <f>IFERROR(__xludf.DUMMYFUNCTION("""COMPUTED_VALUE"""),74.82)</f>
        <v/>
      </c>
      <c r="G111" s="143">
        <f>IFERROR(__xludf.DUMMYFUNCTION("""COMPUTED_VALUE"""),7446483)</f>
        <v/>
      </c>
      <c r="H111" s="27" t="n"/>
    </row>
    <row r="112" ht="17.25" customHeight="1" s="322">
      <c r="A112" s="27" t="n"/>
      <c r="B112" s="506">
        <f>IFERROR(__xludf.DUMMYFUNCTION("""COMPUTED_VALUE"""),45987.6666666666)</f>
        <v/>
      </c>
      <c r="C112" s="141">
        <f>IFERROR(__xludf.DUMMYFUNCTION("""COMPUTED_VALUE"""),74.78)</f>
        <v/>
      </c>
      <c r="D112" s="141">
        <f>IFERROR(__xludf.DUMMYFUNCTION("""COMPUTED_VALUE"""),74.9)</f>
        <v/>
      </c>
      <c r="E112" s="141">
        <f>IFERROR(__xludf.DUMMYFUNCTION("""COMPUTED_VALUE"""),74.68)</f>
        <v/>
      </c>
      <c r="F112" s="141">
        <f>IFERROR(__xludf.DUMMYFUNCTION("""COMPUTED_VALUE"""),74.9)</f>
        <v/>
      </c>
      <c r="G112" s="143">
        <f>IFERROR(__xludf.DUMMYFUNCTION("""COMPUTED_VALUE"""),7327056)</f>
        <v/>
      </c>
      <c r="H112" s="27" t="n"/>
    </row>
    <row r="113" ht="17.25" customHeight="1" s="322">
      <c r="A113" s="27" t="n"/>
      <c r="B113" s="506">
        <f>IFERROR(__xludf.DUMMYFUNCTION("""COMPUTED_VALUE"""),45989.5451388888)</f>
        <v/>
      </c>
      <c r="C113" s="141">
        <f>IFERROR(__xludf.DUMMYFUNCTION("""COMPUTED_VALUE"""),74.86)</f>
        <v/>
      </c>
      <c r="D113" s="141">
        <f>IFERROR(__xludf.DUMMYFUNCTION("""COMPUTED_VALUE"""),74.88)</f>
        <v/>
      </c>
      <c r="E113" s="141">
        <f>IFERROR(__xludf.DUMMYFUNCTION("""COMPUTED_VALUE"""),74.71)</f>
        <v/>
      </c>
      <c r="F113" s="141">
        <f>IFERROR(__xludf.DUMMYFUNCTION("""COMPUTED_VALUE"""),74.78)</f>
        <v/>
      </c>
      <c r="G113" s="143">
        <f>IFERROR(__xludf.DUMMYFUNCTION("""COMPUTED_VALUE"""),4812064)</f>
        <v/>
      </c>
      <c r="H113" s="27" t="n"/>
    </row>
    <row r="114" ht="17.25" customHeight="1" s="322">
      <c r="A114" s="27" t="n"/>
      <c r="B114" s="506">
        <f>IFERROR(__xludf.DUMMYFUNCTION("""COMPUTED_VALUE"""),45992.6666666666)</f>
        <v/>
      </c>
      <c r="C114" s="141">
        <f>IFERROR(__xludf.DUMMYFUNCTION("""COMPUTED_VALUE"""),74.27)</f>
        <v/>
      </c>
      <c r="D114" s="141">
        <f>IFERROR(__xludf.DUMMYFUNCTION("""COMPUTED_VALUE"""),74.3)</f>
        <v/>
      </c>
      <c r="E114" s="141">
        <f>IFERROR(__xludf.DUMMYFUNCTION("""COMPUTED_VALUE"""),74.21)</f>
        <v/>
      </c>
      <c r="F114" s="141">
        <f>IFERROR(__xludf.DUMMYFUNCTION("""COMPUTED_VALUE"""),74.25)</f>
        <v/>
      </c>
      <c r="G114" s="143">
        <f>IFERROR(__xludf.DUMMYFUNCTION("""COMPUTED_VALUE"""),6891545)</f>
        <v/>
      </c>
      <c r="H114" s="27" t="n"/>
    </row>
    <row r="115" ht="17.25" customHeight="1" s="322">
      <c r="A115" s="27" t="n"/>
      <c r="B115" s="506">
        <f>IFERROR(__xludf.DUMMYFUNCTION("""COMPUTED_VALUE"""),45993.6666666666)</f>
        <v/>
      </c>
      <c r="C115" s="141">
        <f>IFERROR(__xludf.DUMMYFUNCTION("""COMPUTED_VALUE"""),74.25)</f>
        <v/>
      </c>
      <c r="D115" s="141">
        <f>IFERROR(__xludf.DUMMYFUNCTION("""COMPUTED_VALUE"""),74.36)</f>
        <v/>
      </c>
      <c r="E115" s="141">
        <f>IFERROR(__xludf.DUMMYFUNCTION("""COMPUTED_VALUE"""),74.22)</f>
        <v/>
      </c>
      <c r="F115" s="141">
        <f>IFERROR(__xludf.DUMMYFUNCTION("""COMPUTED_VALUE"""),74.32)</f>
        <v/>
      </c>
      <c r="G115" s="143">
        <f>IFERROR(__xludf.DUMMYFUNCTION("""COMPUTED_VALUE"""),6756934)</f>
        <v/>
      </c>
      <c r="H115" s="27" t="n"/>
    </row>
    <row r="116" ht="17.25" customHeight="1" s="322">
      <c r="A116" s="27" t="n"/>
      <c r="B116" s="506">
        <f>IFERROR(__xludf.DUMMYFUNCTION("""COMPUTED_VALUE"""),45994.6666666666)</f>
        <v/>
      </c>
      <c r="C116" s="141">
        <f>IFERROR(__xludf.DUMMYFUNCTION("""COMPUTED_VALUE"""),74.41)</f>
        <v/>
      </c>
      <c r="D116" s="141">
        <f>IFERROR(__xludf.DUMMYFUNCTION("""COMPUTED_VALUE"""),74.47)</f>
        <v/>
      </c>
      <c r="E116" s="141">
        <f>IFERROR(__xludf.DUMMYFUNCTION("""COMPUTED_VALUE"""),74.34)</f>
        <v/>
      </c>
      <c r="F116" s="141">
        <f>IFERROR(__xludf.DUMMYFUNCTION("""COMPUTED_VALUE"""),74.43)</f>
        <v/>
      </c>
      <c r="G116" s="143">
        <f>IFERROR(__xludf.DUMMYFUNCTION("""COMPUTED_VALUE"""),9774004)</f>
        <v/>
      </c>
      <c r="H116" s="27" t="n"/>
    </row>
    <row r="117" ht="17.25" customHeight="1" s="322">
      <c r="A117" s="27" t="n"/>
      <c r="B117" s="506">
        <f>IFERROR(__xludf.DUMMYFUNCTION("""COMPUTED_VALUE"""),45995.6666666666)</f>
        <v/>
      </c>
      <c r="C117" s="141">
        <f>IFERROR(__xludf.DUMMYFUNCTION("""COMPUTED_VALUE"""),74.36)</f>
        <v/>
      </c>
      <c r="D117" s="141">
        <f>IFERROR(__xludf.DUMMYFUNCTION("""COMPUTED_VALUE"""),74.37)</f>
        <v/>
      </c>
      <c r="E117" s="141">
        <f>IFERROR(__xludf.DUMMYFUNCTION("""COMPUTED_VALUE"""),74.26)</f>
        <v/>
      </c>
      <c r="F117" s="141">
        <f>IFERROR(__xludf.DUMMYFUNCTION("""COMPUTED_VALUE"""),74.29)</f>
        <v/>
      </c>
      <c r="G117" s="143">
        <f>IFERROR(__xludf.DUMMYFUNCTION("""COMPUTED_VALUE"""),7337759)</f>
        <v/>
      </c>
      <c r="H117" s="27" t="n"/>
    </row>
    <row r="118" ht="17.25" customHeight="1" s="322">
      <c r="A118" s="27" t="n"/>
      <c r="B118" s="506">
        <f>IFERROR(__xludf.DUMMYFUNCTION("""COMPUTED_VALUE"""),45996.6666666666)</f>
        <v/>
      </c>
      <c r="C118" s="141">
        <f>IFERROR(__xludf.DUMMYFUNCTION("""COMPUTED_VALUE"""),74.31)</f>
        <v/>
      </c>
      <c r="D118" s="141">
        <f>IFERROR(__xludf.DUMMYFUNCTION("""COMPUTED_VALUE"""),74.33)</f>
        <v/>
      </c>
      <c r="E118" s="141">
        <f>IFERROR(__xludf.DUMMYFUNCTION("""COMPUTED_VALUE"""),74.15)</f>
        <v/>
      </c>
      <c r="F118" s="141">
        <f>IFERROR(__xludf.DUMMYFUNCTION("""COMPUTED_VALUE"""),74.2)</f>
        <v/>
      </c>
      <c r="G118" s="143">
        <f>IFERROR(__xludf.DUMMYFUNCTION("""COMPUTED_VALUE"""),7270931)</f>
        <v/>
      </c>
      <c r="H118" s="27" t="n"/>
    </row>
    <row r="119" ht="17.25" customHeight="1" s="322">
      <c r="A119" s="27" t="n"/>
      <c r="B119" s="506">
        <f>IFERROR(__xludf.DUMMYFUNCTION("""COMPUTED_VALUE"""),45999.6666666666)</f>
        <v/>
      </c>
      <c r="C119" s="141">
        <f>IFERROR(__xludf.DUMMYFUNCTION("""COMPUTED_VALUE"""),74.2)</f>
        <v/>
      </c>
      <c r="D119" s="141">
        <f>IFERROR(__xludf.DUMMYFUNCTION("""COMPUTED_VALUE"""),74.21)</f>
        <v/>
      </c>
      <c r="E119" s="141">
        <f>IFERROR(__xludf.DUMMYFUNCTION("""COMPUTED_VALUE"""),73.98)</f>
        <v/>
      </c>
      <c r="F119" s="141">
        <f>IFERROR(__xludf.DUMMYFUNCTION("""COMPUTED_VALUE"""),74.09)</f>
        <v/>
      </c>
      <c r="G119" s="143">
        <f>IFERROR(__xludf.DUMMYFUNCTION("""COMPUTED_VALUE"""),8585743)</f>
        <v/>
      </c>
      <c r="H119" s="27" t="n"/>
    </row>
    <row r="120" ht="17.25" customHeight="1" s="322">
      <c r="A120" s="27" t="n"/>
      <c r="B120" s="506">
        <f>IFERROR(__xludf.DUMMYFUNCTION("""COMPUTED_VALUE"""),46000.6666666666)</f>
        <v/>
      </c>
      <c r="C120" s="141">
        <f>IFERROR(__xludf.DUMMYFUNCTION("""COMPUTED_VALUE"""),74.21)</f>
        <v/>
      </c>
      <c r="D120" s="141">
        <f>IFERROR(__xludf.DUMMYFUNCTION("""COMPUTED_VALUE"""),74.21)</f>
        <v/>
      </c>
      <c r="E120" s="141">
        <f>IFERROR(__xludf.DUMMYFUNCTION("""COMPUTED_VALUE"""),74.01)</f>
        <v/>
      </c>
      <c r="F120" s="141">
        <f>IFERROR(__xludf.DUMMYFUNCTION("""COMPUTED_VALUE"""),74.04)</f>
        <v/>
      </c>
      <c r="G120" s="143">
        <f>IFERROR(__xludf.DUMMYFUNCTION("""COMPUTED_VALUE"""),6665233)</f>
        <v/>
      </c>
      <c r="H120" s="27" t="n"/>
    </row>
    <row r="121" ht="17.25" customHeight="1" s="322">
      <c r="A121" s="27" t="n"/>
      <c r="B121" s="506">
        <f>IFERROR(__xludf.DUMMYFUNCTION("""COMPUTED_VALUE"""),46001.6666666666)</f>
        <v/>
      </c>
      <c r="C121" s="141">
        <f>IFERROR(__xludf.DUMMYFUNCTION("""COMPUTED_VALUE"""),74.01)</f>
        <v/>
      </c>
      <c r="D121" s="141">
        <f>IFERROR(__xludf.DUMMYFUNCTION("""COMPUTED_VALUE"""),74.27)</f>
        <v/>
      </c>
      <c r="E121" s="141">
        <f>IFERROR(__xludf.DUMMYFUNCTION("""COMPUTED_VALUE"""),74)</f>
        <v/>
      </c>
      <c r="F121" s="141">
        <f>IFERROR(__xludf.DUMMYFUNCTION("""COMPUTED_VALUE"""),74.26)</f>
        <v/>
      </c>
      <c r="G121" s="143">
        <f>IFERROR(__xludf.DUMMYFUNCTION("""COMPUTED_VALUE"""),8771110)</f>
        <v/>
      </c>
      <c r="H121" s="27" t="n"/>
    </row>
    <row r="122" ht="17.25" customHeight="1" s="322">
      <c r="A122" s="27" t="n"/>
      <c r="B122" s="506">
        <f>IFERROR(__xludf.DUMMYFUNCTION("""COMPUTED_VALUE"""),46002.6666666666)</f>
        <v/>
      </c>
      <c r="C122" s="141">
        <f>IFERROR(__xludf.DUMMYFUNCTION("""COMPUTED_VALUE"""),74.41)</f>
        <v/>
      </c>
      <c r="D122" s="141">
        <f>IFERROR(__xludf.DUMMYFUNCTION("""COMPUTED_VALUE"""),74.43)</f>
        <v/>
      </c>
      <c r="E122" s="141">
        <f>IFERROR(__xludf.DUMMYFUNCTION("""COMPUTED_VALUE"""),74.24)</f>
        <v/>
      </c>
      <c r="F122" s="141">
        <f>IFERROR(__xludf.DUMMYFUNCTION("""COMPUTED_VALUE"""),74.26)</f>
        <v/>
      </c>
      <c r="G122" s="143">
        <f>IFERROR(__xludf.DUMMYFUNCTION("""COMPUTED_VALUE"""),8924551)</f>
        <v/>
      </c>
      <c r="H122" s="27" t="n"/>
    </row>
    <row r="123" ht="17.25" customHeight="1" s="322">
      <c r="A123" s="27" t="n"/>
      <c r="B123" s="506">
        <f>IFERROR(__xludf.DUMMYFUNCTION("""COMPUTED_VALUE"""),46003.6666666666)</f>
        <v/>
      </c>
      <c r="C123" s="141">
        <f>IFERROR(__xludf.DUMMYFUNCTION("""COMPUTED_VALUE"""),74.05)</f>
        <v/>
      </c>
      <c r="D123" s="141">
        <f>IFERROR(__xludf.DUMMYFUNCTION("""COMPUTED_VALUE"""),74.09)</f>
        <v/>
      </c>
      <c r="E123" s="141">
        <f>IFERROR(__xludf.DUMMYFUNCTION("""COMPUTED_VALUE"""),74.01)</f>
        <v/>
      </c>
      <c r="F123" s="141">
        <f>IFERROR(__xludf.DUMMYFUNCTION("""COMPUTED_VALUE"""),74.03)</f>
        <v/>
      </c>
      <c r="G123" s="143">
        <f>IFERROR(__xludf.DUMMYFUNCTION("""COMPUTED_VALUE"""),8117594)</f>
        <v/>
      </c>
      <c r="H123" s="27" t="n"/>
    </row>
    <row r="124" ht="17.25" customHeight="1" s="322">
      <c r="A124" s="27" t="n"/>
      <c r="B124" s="506">
        <f>IFERROR(__xludf.DUMMYFUNCTION("""COMPUTED_VALUE"""),46006.6666666666)</f>
        <v/>
      </c>
      <c r="C124" s="141">
        <f>IFERROR(__xludf.DUMMYFUNCTION("""COMPUTED_VALUE"""),74.17)</f>
        <v/>
      </c>
      <c r="D124" s="141">
        <f>IFERROR(__xludf.DUMMYFUNCTION("""COMPUTED_VALUE"""),74.24)</f>
        <v/>
      </c>
      <c r="E124" s="141">
        <f>IFERROR(__xludf.DUMMYFUNCTION("""COMPUTED_VALUE"""),74.08)</f>
        <v/>
      </c>
      <c r="F124" s="141">
        <f>IFERROR(__xludf.DUMMYFUNCTION("""COMPUTED_VALUE"""),74.12)</f>
        <v/>
      </c>
      <c r="G124" s="143">
        <f>IFERROR(__xludf.DUMMYFUNCTION("""COMPUTED_VALUE"""),10495849)</f>
        <v/>
      </c>
      <c r="H124" s="27" t="n"/>
    </row>
    <row r="125" ht="17.25" customHeight="1" s="322">
      <c r="A125" s="27" t="n"/>
      <c r="B125" s="506">
        <f>IFERROR(__xludf.DUMMYFUNCTION("""COMPUTED_VALUE"""),46007.6666666666)</f>
        <v/>
      </c>
      <c r="C125" s="141">
        <f>IFERROR(__xludf.DUMMYFUNCTION("""COMPUTED_VALUE"""),74.12)</f>
        <v/>
      </c>
      <c r="D125" s="141">
        <f>IFERROR(__xludf.DUMMYFUNCTION("""COMPUTED_VALUE"""),74.27)</f>
        <v/>
      </c>
      <c r="E125" s="141">
        <f>IFERROR(__xludf.DUMMYFUNCTION("""COMPUTED_VALUE"""),74.06)</f>
        <v/>
      </c>
      <c r="F125" s="141">
        <f>IFERROR(__xludf.DUMMYFUNCTION("""COMPUTED_VALUE"""),74.26)</f>
        <v/>
      </c>
      <c r="G125" s="143">
        <f>IFERROR(__xludf.DUMMYFUNCTION("""COMPUTED_VALUE"""),6999456)</f>
        <v/>
      </c>
      <c r="H125" s="27" t="n"/>
    </row>
    <row r="126" ht="17.25" customHeight="1" s="322">
      <c r="A126" s="27" t="n"/>
      <c r="B126" s="506">
        <f>IFERROR(__xludf.DUMMYFUNCTION("""COMPUTED_VALUE"""),46008.6666666666)</f>
        <v/>
      </c>
      <c r="C126" s="141">
        <f>IFERROR(__xludf.DUMMYFUNCTION("""COMPUTED_VALUE"""),74.18)</f>
        <v/>
      </c>
      <c r="D126" s="141">
        <f>IFERROR(__xludf.DUMMYFUNCTION("""COMPUTED_VALUE"""),74.27)</f>
        <v/>
      </c>
      <c r="E126" s="141">
        <f>IFERROR(__xludf.DUMMYFUNCTION("""COMPUTED_VALUE"""),74.17)</f>
        <v/>
      </c>
      <c r="F126" s="141">
        <f>IFERROR(__xludf.DUMMYFUNCTION("""COMPUTED_VALUE"""),74.24)</f>
        <v/>
      </c>
      <c r="G126" s="143">
        <f>IFERROR(__xludf.DUMMYFUNCTION("""COMPUTED_VALUE"""),10071296)</f>
        <v/>
      </c>
      <c r="H126" s="27" t="n"/>
    </row>
    <row r="127" ht="17.25" customHeight="1" s="322">
      <c r="A127" s="27" t="n"/>
      <c r="B127" s="506">
        <f>IFERROR(__xludf.DUMMYFUNCTION("""COMPUTED_VALUE"""),46009.6666666666)</f>
        <v/>
      </c>
      <c r="C127" s="141">
        <f>IFERROR(__xludf.DUMMYFUNCTION("""COMPUTED_VALUE"""),74.15)</f>
        <v/>
      </c>
      <c r="D127" s="141">
        <f>IFERROR(__xludf.DUMMYFUNCTION("""COMPUTED_VALUE"""),74.2)</f>
        <v/>
      </c>
      <c r="E127" s="141">
        <f>IFERROR(__xludf.DUMMYFUNCTION("""COMPUTED_VALUE"""),74.08)</f>
        <v/>
      </c>
      <c r="F127" s="141">
        <f>IFERROR(__xludf.DUMMYFUNCTION("""COMPUTED_VALUE"""),74.15)</f>
        <v/>
      </c>
      <c r="G127" s="143">
        <f>IFERROR(__xludf.DUMMYFUNCTION("""COMPUTED_VALUE"""),6940506)</f>
        <v/>
      </c>
      <c r="H127" s="27" t="n"/>
    </row>
    <row r="128" ht="17.25" customHeight="1" s="322">
      <c r="A128" s="27" t="n"/>
      <c r="B128" s="506">
        <f>IFERROR(__xludf.DUMMYFUNCTION("""COMPUTED_VALUE"""),46010.6666666666)</f>
        <v/>
      </c>
      <c r="C128" s="141">
        <f>IFERROR(__xludf.DUMMYFUNCTION("""COMPUTED_VALUE"""),74.07)</f>
        <v/>
      </c>
      <c r="D128" s="141">
        <f>IFERROR(__xludf.DUMMYFUNCTION("""COMPUTED_VALUE"""),74.13)</f>
        <v/>
      </c>
      <c r="E128" s="141">
        <f>IFERROR(__xludf.DUMMYFUNCTION("""COMPUTED_VALUE"""),74.02)</f>
        <v/>
      </c>
      <c r="F128" s="141">
        <f>IFERROR(__xludf.DUMMYFUNCTION("""COMPUTED_VALUE"""),74.04)</f>
        <v/>
      </c>
      <c r="G128" s="143">
        <f>IFERROR(__xludf.DUMMYFUNCTION("""COMPUTED_VALUE"""),7540430)</f>
        <v/>
      </c>
      <c r="H128" s="27" t="n"/>
    </row>
    <row r="129" ht="17.25" customHeight="1" s="322">
      <c r="A129" s="27" t="n"/>
      <c r="B129" s="506">
        <f>IFERROR(__xludf.DUMMYFUNCTION("""COMPUTED_VALUE"""),46013.6666666666)</f>
        <v/>
      </c>
      <c r="C129" s="141">
        <f>IFERROR(__xludf.DUMMYFUNCTION("""COMPUTED_VALUE"""),74.03)</f>
        <v/>
      </c>
      <c r="D129" s="141">
        <f>IFERROR(__xludf.DUMMYFUNCTION("""COMPUTED_VALUE"""),74.04)</f>
        <v/>
      </c>
      <c r="E129" s="141">
        <f>IFERROR(__xludf.DUMMYFUNCTION("""COMPUTED_VALUE"""),73.97)</f>
        <v/>
      </c>
      <c r="F129" s="141">
        <f>IFERROR(__xludf.DUMMYFUNCTION("""COMPUTED_VALUE"""),74.02)</f>
        <v/>
      </c>
      <c r="G129" s="143">
        <f>IFERROR(__xludf.DUMMYFUNCTION("""COMPUTED_VALUE"""),9855296)</f>
        <v/>
      </c>
      <c r="H129" s="27" t="n"/>
    </row>
    <row r="130" ht="17.25" customHeight="1" s="322">
      <c r="A130" s="27" t="n"/>
      <c r="B130" s="506">
        <f>IFERROR(__xludf.DUMMYFUNCTION("""COMPUTED_VALUE"""),46014.6666666666)</f>
        <v/>
      </c>
      <c r="C130" s="141">
        <f>IFERROR(__xludf.DUMMYFUNCTION("""COMPUTED_VALUE"""),73.86)</f>
        <v/>
      </c>
      <c r="D130" s="141">
        <f>IFERROR(__xludf.DUMMYFUNCTION("""COMPUTED_VALUE"""),74.02)</f>
        <v/>
      </c>
      <c r="E130" s="141">
        <f>IFERROR(__xludf.DUMMYFUNCTION("""COMPUTED_VALUE"""),73.85)</f>
        <v/>
      </c>
      <c r="F130" s="141">
        <f>IFERROR(__xludf.DUMMYFUNCTION("""COMPUTED_VALUE"""),74.01)</f>
        <v/>
      </c>
      <c r="G130" s="143">
        <f>IFERROR(__xludf.DUMMYFUNCTION("""COMPUTED_VALUE"""),10188700)</f>
        <v/>
      </c>
      <c r="H130" s="27" t="n"/>
    </row>
    <row r="131" ht="17.25" customHeight="1" s="322">
      <c r="A131" s="27" t="n"/>
      <c r="B131" s="506">
        <f>IFERROR(__xludf.DUMMYFUNCTION("""COMPUTED_VALUE"""),46015.5451388888)</f>
        <v/>
      </c>
      <c r="C131" s="141">
        <f>IFERROR(__xludf.DUMMYFUNCTION("""COMPUTED_VALUE"""),74.08)</f>
        <v/>
      </c>
      <c r="D131" s="141">
        <f>IFERROR(__xludf.DUMMYFUNCTION("""COMPUTED_VALUE"""),74.19)</f>
        <v/>
      </c>
      <c r="E131" s="141">
        <f>IFERROR(__xludf.DUMMYFUNCTION("""COMPUTED_VALUE"""),74.05)</f>
        <v/>
      </c>
      <c r="F131" s="141">
        <f>IFERROR(__xludf.DUMMYFUNCTION("""COMPUTED_VALUE"""),74.19)</f>
        <v/>
      </c>
      <c r="G131" s="143">
        <f>IFERROR(__xludf.DUMMYFUNCTION("""COMPUTED_VALUE"""),5341691)</f>
        <v/>
      </c>
      <c r="H131" s="27" t="n"/>
    </row>
    <row r="132" ht="17.25" customHeight="1" s="322">
      <c r="A132" s="27" t="n"/>
      <c r="B132" s="506">
        <f>IFERROR(__xludf.DUMMYFUNCTION("""COMPUTED_VALUE"""),46017.6666666666)</f>
        <v/>
      </c>
      <c r="C132" s="141">
        <f>IFERROR(__xludf.DUMMYFUNCTION("""COMPUTED_VALUE"""),74.25)</f>
        <v/>
      </c>
      <c r="D132" s="141">
        <f>IFERROR(__xludf.DUMMYFUNCTION("""COMPUTED_VALUE"""),74.28)</f>
        <v/>
      </c>
      <c r="E132" s="141">
        <f>IFERROR(__xludf.DUMMYFUNCTION("""COMPUTED_VALUE"""),74.14)</f>
        <v/>
      </c>
      <c r="F132" s="141">
        <f>IFERROR(__xludf.DUMMYFUNCTION("""COMPUTED_VALUE"""),74.19)</f>
        <v/>
      </c>
      <c r="G132" s="143">
        <f>IFERROR(__xludf.DUMMYFUNCTION("""COMPUTED_VALUE"""),6730489)</f>
        <v/>
      </c>
      <c r="H132" s="27" t="n"/>
    </row>
    <row r="133" ht="17.25" customHeight="1" s="322">
      <c r="A133" s="27" t="n"/>
      <c r="B133" s="506">
        <f>IFERROR(__xludf.DUMMYFUNCTION("""COMPUTED_VALUE"""),46020.6666666666)</f>
        <v/>
      </c>
      <c r="C133" s="141">
        <f>IFERROR(__xludf.DUMMYFUNCTION("""COMPUTED_VALUE"""),74.26)</f>
        <v/>
      </c>
      <c r="D133" s="141">
        <f>IFERROR(__xludf.DUMMYFUNCTION("""COMPUTED_VALUE"""),74.3)</f>
        <v/>
      </c>
      <c r="E133" s="141">
        <f>IFERROR(__xludf.DUMMYFUNCTION("""COMPUTED_VALUE"""),74.21)</f>
        <v/>
      </c>
      <c r="F133" s="141">
        <f>IFERROR(__xludf.DUMMYFUNCTION("""COMPUTED_VALUE"""),74.3)</f>
        <v/>
      </c>
      <c r="G133" s="143">
        <f>IFERROR(__xludf.DUMMYFUNCTION("""COMPUTED_VALUE"""),9105681)</f>
        <v/>
      </c>
      <c r="H133" s="27" t="n"/>
    </row>
    <row r="134" ht="17.25" customHeight="1" s="322">
      <c r="A134" s="27" t="n"/>
      <c r="B134" s="506">
        <f>IFERROR(__xludf.DUMMYFUNCTION("""COMPUTED_VALUE"""),46021.6666666666)</f>
        <v/>
      </c>
      <c r="C134" s="141">
        <f>IFERROR(__xludf.DUMMYFUNCTION("""COMPUTED_VALUE"""),74.22)</f>
        <v/>
      </c>
      <c r="D134" s="141">
        <f>IFERROR(__xludf.DUMMYFUNCTION("""COMPUTED_VALUE"""),74.29)</f>
        <v/>
      </c>
      <c r="E134" s="141">
        <f>IFERROR(__xludf.DUMMYFUNCTION("""COMPUTED_VALUE"""),74.18)</f>
        <v/>
      </c>
      <c r="F134" s="141">
        <f>IFERROR(__xludf.DUMMYFUNCTION("""COMPUTED_VALUE"""),74.27)</f>
        <v/>
      </c>
      <c r="G134" s="143">
        <f>IFERROR(__xludf.DUMMYFUNCTION("""COMPUTED_VALUE"""),7743230)</f>
        <v/>
      </c>
      <c r="H134" s="27" t="n"/>
    </row>
    <row r="135" ht="17.25" customHeight="1" s="322">
      <c r="A135" s="27" t="n"/>
      <c r="B135" s="506">
        <f>IFERROR(__xludf.DUMMYFUNCTION("""COMPUTED_VALUE"""),46022.6666666666)</f>
        <v/>
      </c>
      <c r="C135" s="141">
        <f>IFERROR(__xludf.DUMMYFUNCTION("""COMPUTED_VALUE"""),74.17)</f>
        <v/>
      </c>
      <c r="D135" s="141">
        <f>IFERROR(__xludf.DUMMYFUNCTION("""COMPUTED_VALUE"""),74.25)</f>
        <v/>
      </c>
      <c r="E135" s="141">
        <f>IFERROR(__xludf.DUMMYFUNCTION("""COMPUTED_VALUE"""),74.06)</f>
        <v/>
      </c>
      <c r="F135" s="141">
        <f>IFERROR(__xludf.DUMMYFUNCTION("""COMPUTED_VALUE"""),74.07)</f>
        <v/>
      </c>
      <c r="G135" s="143">
        <f>IFERROR(__xludf.DUMMYFUNCTION("""COMPUTED_VALUE"""),8846925)</f>
        <v/>
      </c>
      <c r="H135" s="27" t="n"/>
    </row>
    <row r="136" ht="17.25" customHeight="1" s="322">
      <c r="A136" s="27" t="n"/>
      <c r="B136" s="506">
        <f>IFERROR(__xludf.DUMMYFUNCTION("""COMPUTED_VALUE"""),46024.6666666666)</f>
        <v/>
      </c>
      <c r="C136" s="141">
        <f>IFERROR(__xludf.DUMMYFUNCTION("""COMPUTED_VALUE"""),74.13)</f>
        <v/>
      </c>
      <c r="D136" s="141">
        <f>IFERROR(__xludf.DUMMYFUNCTION("""COMPUTED_VALUE"""),74.16)</f>
        <v/>
      </c>
      <c r="E136" s="141">
        <f>IFERROR(__xludf.DUMMYFUNCTION("""COMPUTED_VALUE"""),74.02)</f>
        <v/>
      </c>
      <c r="F136" s="141">
        <f>IFERROR(__xludf.DUMMYFUNCTION("""COMPUTED_VALUE"""),74.04)</f>
        <v/>
      </c>
      <c r="G136" s="143">
        <f>IFERROR(__xludf.DUMMYFUNCTION("""COMPUTED_VALUE"""),7453517)</f>
        <v/>
      </c>
      <c r="H136" s="27" t="n"/>
    </row>
    <row r="137" ht="17.25" customHeight="1" s="322">
      <c r="A137" s="27" t="n"/>
      <c r="B137" s="506">
        <f>IFERROR(__xludf.DUMMYFUNCTION("""COMPUTED_VALUE"""),46027.6666666666)</f>
        <v/>
      </c>
      <c r="C137" s="141">
        <f>IFERROR(__xludf.DUMMYFUNCTION("""COMPUTED_VALUE"""),74.11)</f>
        <v/>
      </c>
      <c r="D137" s="141">
        <f>IFERROR(__xludf.DUMMYFUNCTION("""COMPUTED_VALUE"""),74.21)</f>
        <v/>
      </c>
      <c r="E137" s="141">
        <f>IFERROR(__xludf.DUMMYFUNCTION("""COMPUTED_VALUE"""),74.08)</f>
        <v/>
      </c>
      <c r="F137" s="141">
        <f>IFERROR(__xludf.DUMMYFUNCTION("""COMPUTED_VALUE"""),74.18)</f>
        <v/>
      </c>
      <c r="G137" s="143">
        <f>IFERROR(__xludf.DUMMYFUNCTION("""COMPUTED_VALUE"""),11059141)</f>
        <v/>
      </c>
      <c r="H137" s="27" t="n"/>
    </row>
    <row r="138" ht="17.25" customHeight="1" s="322">
      <c r="A138" s="27" t="n"/>
      <c r="B138" s="506">
        <f>IFERROR(__xludf.DUMMYFUNCTION("""COMPUTED_VALUE"""),46028.6666666666)</f>
        <v/>
      </c>
      <c r="C138" s="141">
        <f>IFERROR(__xludf.DUMMYFUNCTION("""COMPUTED_VALUE"""),74.13)</f>
        <v/>
      </c>
      <c r="D138" s="141">
        <f>IFERROR(__xludf.DUMMYFUNCTION("""COMPUTED_VALUE"""),74.19)</f>
        <v/>
      </c>
      <c r="E138" s="141">
        <f>IFERROR(__xludf.DUMMYFUNCTION("""COMPUTED_VALUE"""),74.03)</f>
        <v/>
      </c>
      <c r="F138" s="141">
        <f>IFERROR(__xludf.DUMMYFUNCTION("""COMPUTED_VALUE"""),74.18)</f>
        <v/>
      </c>
      <c r="G138" s="143">
        <f>IFERROR(__xludf.DUMMYFUNCTION("""COMPUTED_VALUE"""),9078967)</f>
        <v/>
      </c>
      <c r="H138" s="27" t="n"/>
    </row>
    <row r="139" ht="17.25" customHeight="1" s="322">
      <c r="A139" s="27" t="n"/>
      <c r="B139" s="506">
        <f>IFERROR(__xludf.DUMMYFUNCTION("""COMPUTED_VALUE"""),46029.6666666666)</f>
        <v/>
      </c>
      <c r="C139" s="141">
        <f>IFERROR(__xludf.DUMMYFUNCTION("""COMPUTED_VALUE"""),74.3)</f>
        <v/>
      </c>
      <c r="D139" s="141">
        <f>IFERROR(__xludf.DUMMYFUNCTION("""COMPUTED_VALUE"""),74.32)</f>
        <v/>
      </c>
      <c r="E139" s="141">
        <f>IFERROR(__xludf.DUMMYFUNCTION("""COMPUTED_VALUE"""),74.2)</f>
        <v/>
      </c>
      <c r="F139" s="141">
        <f>IFERROR(__xludf.DUMMYFUNCTION("""COMPUTED_VALUE"""),74.26)</f>
        <v/>
      </c>
      <c r="G139" s="143">
        <f>IFERROR(__xludf.DUMMYFUNCTION("""COMPUTED_VALUE"""),11576554)</f>
        <v/>
      </c>
      <c r="H139" s="27" t="n"/>
    </row>
    <row r="140" ht="17.25" customHeight="1" s="322">
      <c r="A140" s="27" t="n"/>
      <c r="B140" s="506">
        <f>IFERROR(__xludf.DUMMYFUNCTION("""COMPUTED_VALUE"""),46030.6666666666)</f>
        <v/>
      </c>
      <c r="C140" s="141">
        <f>IFERROR(__xludf.DUMMYFUNCTION("""COMPUTED_VALUE"""),74.12)</f>
        <v/>
      </c>
      <c r="D140" s="141">
        <f>IFERROR(__xludf.DUMMYFUNCTION("""COMPUTED_VALUE"""),74.18)</f>
        <v/>
      </c>
      <c r="E140" s="141">
        <f>IFERROR(__xludf.DUMMYFUNCTION("""COMPUTED_VALUE"""),74.1)</f>
        <v/>
      </c>
      <c r="F140" s="141">
        <f>IFERROR(__xludf.DUMMYFUNCTION("""COMPUTED_VALUE"""),74.13)</f>
        <v/>
      </c>
      <c r="G140" s="143">
        <f>IFERROR(__xludf.DUMMYFUNCTION("""COMPUTED_VALUE"""),9906798)</f>
        <v/>
      </c>
      <c r="H140" s="27" t="n"/>
    </row>
    <row r="141" ht="17.25" customHeight="1" s="322">
      <c r="A141" s="27" t="n"/>
      <c r="B141" s="506">
        <f>IFERROR(__xludf.DUMMYFUNCTION("""COMPUTED_VALUE"""),46031.6666666666)</f>
        <v/>
      </c>
      <c r="C141" s="141">
        <f>IFERROR(__xludf.DUMMYFUNCTION("""COMPUTED_VALUE"""),74.18)</f>
        <v/>
      </c>
      <c r="D141" s="141">
        <f>IFERROR(__xludf.DUMMYFUNCTION("""COMPUTED_VALUE"""),74.36)</f>
        <v/>
      </c>
      <c r="E141" s="141">
        <f>IFERROR(__xludf.DUMMYFUNCTION("""COMPUTED_VALUE"""),74.13)</f>
        <v/>
      </c>
      <c r="F141" s="141">
        <f>IFERROR(__xludf.DUMMYFUNCTION("""COMPUTED_VALUE"""),74.29)</f>
        <v/>
      </c>
      <c r="G141" s="143">
        <f>IFERROR(__xludf.DUMMYFUNCTION("""COMPUTED_VALUE"""),10536750)</f>
        <v/>
      </c>
      <c r="H141" s="27" t="n"/>
    </row>
    <row r="142" ht="17.25" customHeight="1" s="322">
      <c r="A142" s="27" t="n"/>
      <c r="B142" s="506">
        <f>IFERROR(__xludf.DUMMYFUNCTION("""COMPUTED_VALUE"""),46034.6666666666)</f>
        <v/>
      </c>
      <c r="C142" s="141">
        <f>IFERROR(__xludf.DUMMYFUNCTION("""COMPUTED_VALUE"""),74.21)</f>
        <v/>
      </c>
      <c r="D142" s="141">
        <f>IFERROR(__xludf.DUMMYFUNCTION("""COMPUTED_VALUE"""),74.3)</f>
        <v/>
      </c>
      <c r="E142" s="141">
        <f>IFERROR(__xludf.DUMMYFUNCTION("""COMPUTED_VALUE"""),74.16)</f>
        <v/>
      </c>
      <c r="F142" s="141">
        <f>IFERROR(__xludf.DUMMYFUNCTION("""COMPUTED_VALUE"""),74.22)</f>
        <v/>
      </c>
      <c r="G142" s="143">
        <f>IFERROR(__xludf.DUMMYFUNCTION("""COMPUTED_VALUE"""),9851026)</f>
        <v/>
      </c>
      <c r="H142" s="27" t="n"/>
    </row>
    <row r="143" ht="17.25" customHeight="1" s="322">
      <c r="A143" s="27" t="n"/>
      <c r="B143" s="506">
        <f>IFERROR(__xludf.DUMMYFUNCTION("""COMPUTED_VALUE"""),46035.6666666666)</f>
        <v/>
      </c>
      <c r="C143" s="141">
        <f>IFERROR(__xludf.DUMMYFUNCTION("""COMPUTED_VALUE"""),74.31)</f>
        <v/>
      </c>
      <c r="D143" s="141">
        <f>IFERROR(__xludf.DUMMYFUNCTION("""COMPUTED_VALUE"""),74.32)</f>
        <v/>
      </c>
      <c r="E143" s="141">
        <f>IFERROR(__xludf.DUMMYFUNCTION("""COMPUTED_VALUE"""),74.22)</f>
        <v/>
      </c>
      <c r="F143" s="141">
        <f>IFERROR(__xludf.DUMMYFUNCTION("""COMPUTED_VALUE"""),74.28)</f>
        <v/>
      </c>
      <c r="G143" s="143">
        <f>IFERROR(__xludf.DUMMYFUNCTION("""COMPUTED_VALUE"""),11835203)</f>
        <v/>
      </c>
      <c r="H143" s="27" t="n"/>
    </row>
    <row r="144" ht="17.25" customHeight="1" s="322">
      <c r="A144" s="27" t="n"/>
      <c r="B144" s="506">
        <f>IFERROR(__xludf.DUMMYFUNCTION("""COMPUTED_VALUE"""),46036.6666666666)</f>
        <v/>
      </c>
      <c r="C144" s="141">
        <f>IFERROR(__xludf.DUMMYFUNCTION("""COMPUTED_VALUE"""),74.32)</f>
        <v/>
      </c>
      <c r="D144" s="141">
        <f>IFERROR(__xludf.DUMMYFUNCTION("""COMPUTED_VALUE"""),74.46)</f>
        <v/>
      </c>
      <c r="E144" s="141">
        <f>IFERROR(__xludf.DUMMYFUNCTION("""COMPUTED_VALUE"""),74.32)</f>
        <v/>
      </c>
      <c r="F144" s="141">
        <f>IFERROR(__xludf.DUMMYFUNCTION("""COMPUTED_VALUE"""),74.43)</f>
        <v/>
      </c>
      <c r="G144" s="143">
        <f>IFERROR(__xludf.DUMMYFUNCTION("""COMPUTED_VALUE"""),8765864)</f>
        <v/>
      </c>
      <c r="H144" s="27" t="n"/>
    </row>
    <row r="145" ht="17.25" customHeight="1" s="322">
      <c r="A145" s="27" t="n"/>
      <c r="B145" s="506">
        <f>IFERROR(__xludf.DUMMYFUNCTION("""COMPUTED_VALUE"""),46037.6666666666)</f>
        <v/>
      </c>
      <c r="C145" s="141">
        <f>IFERROR(__xludf.DUMMYFUNCTION("""COMPUTED_VALUE"""),74.45)</f>
        <v/>
      </c>
      <c r="D145" s="141">
        <f>IFERROR(__xludf.DUMMYFUNCTION("""COMPUTED_VALUE"""),74.47)</f>
        <v/>
      </c>
      <c r="E145" s="141">
        <f>IFERROR(__xludf.DUMMYFUNCTION("""COMPUTED_VALUE"""),74.32)</f>
        <v/>
      </c>
      <c r="F145" s="141">
        <f>IFERROR(__xludf.DUMMYFUNCTION("""COMPUTED_VALUE"""),74.32)</f>
        <v/>
      </c>
      <c r="G145" s="143">
        <f>IFERROR(__xludf.DUMMYFUNCTION("""COMPUTED_VALUE"""),9959630)</f>
        <v/>
      </c>
      <c r="H145" s="27" t="n"/>
    </row>
    <row r="146" ht="17.25" customHeight="1" s="322">
      <c r="A146" s="27" t="n"/>
      <c r="B146" s="506">
        <f>IFERROR(__xludf.DUMMYFUNCTION("""COMPUTED_VALUE"""),46038.6666666666)</f>
        <v/>
      </c>
      <c r="C146" s="141">
        <f>IFERROR(__xludf.DUMMYFUNCTION("""COMPUTED_VALUE"""),74.32)</f>
        <v/>
      </c>
      <c r="D146" s="141">
        <f>IFERROR(__xludf.DUMMYFUNCTION("""COMPUTED_VALUE"""),74.33)</f>
        <v/>
      </c>
      <c r="E146" s="141">
        <f>IFERROR(__xludf.DUMMYFUNCTION("""COMPUTED_VALUE"""),74.18)</f>
        <v/>
      </c>
      <c r="F146" s="141">
        <f>IFERROR(__xludf.DUMMYFUNCTION("""COMPUTED_VALUE"""),74.2)</f>
        <v/>
      </c>
      <c r="G146" s="143">
        <f>IFERROR(__xludf.DUMMYFUNCTION("""COMPUTED_VALUE"""),16105148)</f>
        <v/>
      </c>
      <c r="H146" s="27" t="n"/>
    </row>
    <row r="147" ht="17.25" customHeight="1" s="322">
      <c r="A147" s="27" t="n"/>
      <c r="B147" s="506">
        <f>IFERROR(__xludf.DUMMYFUNCTION("""COMPUTED_VALUE"""),46042.6666666666)</f>
        <v/>
      </c>
      <c r="C147" s="141">
        <f>IFERROR(__xludf.DUMMYFUNCTION("""COMPUTED_VALUE"""),73.91)</f>
        <v/>
      </c>
      <c r="D147" s="141">
        <f>IFERROR(__xludf.DUMMYFUNCTION("""COMPUTED_VALUE"""),74.03)</f>
        <v/>
      </c>
      <c r="E147" s="141">
        <f>IFERROR(__xludf.DUMMYFUNCTION("""COMPUTED_VALUE"""),73.9)</f>
        <v/>
      </c>
      <c r="F147" s="141">
        <f>IFERROR(__xludf.DUMMYFUNCTION("""COMPUTED_VALUE"""),73.93)</f>
        <v/>
      </c>
      <c r="G147" s="143">
        <f>IFERROR(__xludf.DUMMYFUNCTION("""COMPUTED_VALUE"""),12982677)</f>
        <v/>
      </c>
      <c r="H147" s="27" t="n"/>
    </row>
    <row r="148" ht="17.25" customHeight="1" s="322">
      <c r="A148" s="27" t="n"/>
      <c r="B148" s="506">
        <f>IFERROR(__xludf.DUMMYFUNCTION("""COMPUTED_VALUE"""),46043.6666666666)</f>
        <v/>
      </c>
      <c r="C148" s="141">
        <f>IFERROR(__xludf.DUMMYFUNCTION("""COMPUTED_VALUE"""),74.01)</f>
        <v/>
      </c>
      <c r="D148" s="141">
        <f>IFERROR(__xludf.DUMMYFUNCTION("""COMPUTED_VALUE"""),74.16)</f>
        <v/>
      </c>
      <c r="E148" s="141">
        <f>IFERROR(__xludf.DUMMYFUNCTION("""COMPUTED_VALUE"""),73.95)</f>
        <v/>
      </c>
      <c r="F148" s="141">
        <f>IFERROR(__xludf.DUMMYFUNCTION("""COMPUTED_VALUE"""),74.14)</f>
        <v/>
      </c>
      <c r="G148" s="143">
        <f>IFERROR(__xludf.DUMMYFUNCTION("""COMPUTED_VALUE"""),11453175)</f>
        <v/>
      </c>
      <c r="H148" s="27" t="n"/>
    </row>
    <row r="149" ht="17.25" customHeight="1" s="322">
      <c r="A149" s="27" t="n"/>
      <c r="B149" s="506">
        <f>IFERROR(__xludf.DUMMYFUNCTION("""COMPUTED_VALUE"""),46044.6666666666)</f>
        <v/>
      </c>
      <c r="C149" s="141">
        <f>IFERROR(__xludf.DUMMYFUNCTION("""COMPUTED_VALUE"""),74.09)</f>
        <v/>
      </c>
      <c r="D149" s="141">
        <f>IFERROR(__xludf.DUMMYFUNCTION("""COMPUTED_VALUE"""),74.21)</f>
        <v/>
      </c>
      <c r="E149" s="141">
        <f>IFERROR(__xludf.DUMMYFUNCTION("""COMPUTED_VALUE"""),74.05)</f>
        <v/>
      </c>
      <c r="F149" s="141">
        <f>IFERROR(__xludf.DUMMYFUNCTION("""COMPUTED_VALUE"""),74.17)</f>
        <v/>
      </c>
      <c r="G149" s="143">
        <f>IFERROR(__xludf.DUMMYFUNCTION("""COMPUTED_VALUE"""),13512416)</f>
        <v/>
      </c>
      <c r="H149" s="27" t="n"/>
    </row>
    <row r="150" ht="17.25" customHeight="1" s="322">
      <c r="A150" s="27" t="n"/>
      <c r="B150" s="506">
        <f>IFERROR(__xludf.DUMMYFUNCTION("""COMPUTED_VALUE"""),46045.6666666666)</f>
        <v/>
      </c>
      <c r="C150" s="141">
        <f>IFERROR(__xludf.DUMMYFUNCTION("""COMPUTED_VALUE"""),74.2)</f>
        <v/>
      </c>
      <c r="D150" s="141">
        <f>IFERROR(__xludf.DUMMYFUNCTION("""COMPUTED_VALUE"""),74.26)</f>
        <v/>
      </c>
      <c r="E150" s="141">
        <f>IFERROR(__xludf.DUMMYFUNCTION("""COMPUTED_VALUE"""),74.12)</f>
        <v/>
      </c>
      <c r="F150" s="141">
        <f>IFERROR(__xludf.DUMMYFUNCTION("""COMPUTED_VALUE"""),74.25)</f>
        <v/>
      </c>
      <c r="G150" s="143">
        <f>IFERROR(__xludf.DUMMYFUNCTION("""COMPUTED_VALUE"""),8079852)</f>
        <v/>
      </c>
      <c r="H150" s="27" t="n"/>
    </row>
    <row r="151" ht="17.25" customHeight="1" s="322">
      <c r="A151" s="27" t="n"/>
      <c r="B151" s="506">
        <f>IFERROR(__xludf.DUMMYFUNCTION("""COMPUTED_VALUE"""),46048.6666666666)</f>
        <v/>
      </c>
      <c r="C151" s="141">
        <f>IFERROR(__xludf.DUMMYFUNCTION("""COMPUTED_VALUE"""),74.34)</f>
        <v/>
      </c>
      <c r="D151" s="141">
        <f>IFERROR(__xludf.DUMMYFUNCTION("""COMPUTED_VALUE"""),74.38)</f>
        <v/>
      </c>
      <c r="E151" s="141">
        <f>IFERROR(__xludf.DUMMYFUNCTION("""COMPUTED_VALUE"""),74.31)</f>
        <v/>
      </c>
      <c r="F151" s="141">
        <f>IFERROR(__xludf.DUMMYFUNCTION("""COMPUTED_VALUE"""),74.34)</f>
        <v/>
      </c>
      <c r="G151" s="143">
        <f>IFERROR(__xludf.DUMMYFUNCTION("""COMPUTED_VALUE"""),7137288)</f>
        <v/>
      </c>
      <c r="H151" s="27" t="n"/>
    </row>
    <row r="152" ht="17.25" customHeight="1" s="322">
      <c r="A152" s="27" t="n"/>
      <c r="B152" s="506">
        <f>IFERROR(__xludf.DUMMYFUNCTION("""COMPUTED_VALUE"""),46049.6666666666)</f>
        <v/>
      </c>
      <c r="C152" s="141">
        <f>IFERROR(__xludf.DUMMYFUNCTION("""COMPUTED_VALUE"""),74.31)</f>
        <v/>
      </c>
      <c r="D152" s="141">
        <f>IFERROR(__xludf.DUMMYFUNCTION("""COMPUTED_VALUE"""),74.38)</f>
        <v/>
      </c>
      <c r="E152" s="141">
        <f>IFERROR(__xludf.DUMMYFUNCTION("""COMPUTED_VALUE"""),74.25)</f>
        <v/>
      </c>
      <c r="F152" s="141">
        <f>IFERROR(__xludf.DUMMYFUNCTION("""COMPUTED_VALUE"""),74.28)</f>
        <v/>
      </c>
      <c r="G152" s="143">
        <f>IFERROR(__xludf.DUMMYFUNCTION("""COMPUTED_VALUE"""),9827943)</f>
        <v/>
      </c>
      <c r="H152" s="27" t="n"/>
    </row>
    <row r="153" ht="17.25" customHeight="1" s="322">
      <c r="A153" s="27" t="n"/>
      <c r="B153" s="506">
        <f>IFERROR(__xludf.DUMMYFUNCTION("""COMPUTED_VALUE"""),46050.6666666666)</f>
        <v/>
      </c>
      <c r="C153" s="141">
        <f>IFERROR(__xludf.DUMMYFUNCTION("""COMPUTED_VALUE"""),74.24)</f>
        <v/>
      </c>
      <c r="D153" s="141">
        <f>IFERROR(__xludf.DUMMYFUNCTION("""COMPUTED_VALUE"""),74.26)</f>
        <v/>
      </c>
      <c r="E153" s="141">
        <f>IFERROR(__xludf.DUMMYFUNCTION("""COMPUTED_VALUE"""),74.15)</f>
        <v/>
      </c>
      <c r="F153" s="141">
        <f>IFERROR(__xludf.DUMMYFUNCTION("""COMPUTED_VALUE"""),74.25)</f>
        <v/>
      </c>
      <c r="G153" s="143">
        <f>IFERROR(__xludf.DUMMYFUNCTION("""COMPUTED_VALUE"""),9328279)</f>
        <v/>
      </c>
      <c r="H153" s="27" t="n"/>
    </row>
    <row r="154" ht="17.25" customHeight="1" s="322">
      <c r="A154" s="27" t="n"/>
      <c r="B154" s="506">
        <f>IFERROR(__xludf.DUMMYFUNCTION("""COMPUTED_VALUE"""),46051.6666666666)</f>
        <v/>
      </c>
      <c r="C154" s="141">
        <f>IFERROR(__xludf.DUMMYFUNCTION("""COMPUTED_VALUE"""),74.15)</f>
        <v/>
      </c>
      <c r="D154" s="141">
        <f>IFERROR(__xludf.DUMMYFUNCTION("""COMPUTED_VALUE"""),74.32)</f>
        <v/>
      </c>
      <c r="E154" s="141">
        <f>IFERROR(__xludf.DUMMYFUNCTION("""COMPUTED_VALUE"""),74.14)</f>
        <v/>
      </c>
      <c r="F154" s="141">
        <f>IFERROR(__xludf.DUMMYFUNCTION("""COMPUTED_VALUE"""),74.26)</f>
        <v/>
      </c>
      <c r="G154" s="143">
        <f>IFERROR(__xludf.DUMMYFUNCTION("""COMPUTED_VALUE"""),16397326)</f>
        <v/>
      </c>
      <c r="H154" s="27" t="n"/>
    </row>
    <row r="155" ht="17.25" customHeight="1" s="322">
      <c r="A155" s="27" t="n"/>
      <c r="B155" s="506">
        <f>IFERROR(__xludf.DUMMYFUNCTION("""COMPUTED_VALUE"""),46052.6666666666)</f>
        <v/>
      </c>
      <c r="C155" s="141">
        <f>IFERROR(__xludf.DUMMYFUNCTION("""COMPUTED_VALUE"""),74.25)</f>
        <v/>
      </c>
      <c r="D155" s="141">
        <f>IFERROR(__xludf.DUMMYFUNCTION("""COMPUTED_VALUE"""),74.3)</f>
        <v/>
      </c>
      <c r="E155" s="141">
        <f>IFERROR(__xludf.DUMMYFUNCTION("""COMPUTED_VALUE"""),74.17)</f>
        <v/>
      </c>
      <c r="F155" s="141">
        <f>IFERROR(__xludf.DUMMYFUNCTION("""COMPUTED_VALUE"""),74.23)</f>
        <v/>
      </c>
      <c r="G155" s="143">
        <f>IFERROR(__xludf.DUMMYFUNCTION("""COMPUTED_VALUE"""),8977461)</f>
        <v/>
      </c>
      <c r="H155" s="27" t="n"/>
    </row>
    <row r="156" ht="17.25" customHeight="1" s="322">
      <c r="A156" s="27" t="n"/>
      <c r="B156" s="506">
        <f>IFERROR(__xludf.DUMMYFUNCTION("""COMPUTED_VALUE"""),46055.6666666666)</f>
        <v/>
      </c>
      <c r="C156" s="141">
        <f>IFERROR(__xludf.DUMMYFUNCTION("""COMPUTED_VALUE"""),74.03)</f>
        <v/>
      </c>
      <c r="D156" s="141">
        <f>IFERROR(__xludf.DUMMYFUNCTION("""COMPUTED_VALUE"""),74.04)</f>
        <v/>
      </c>
      <c r="E156" s="141">
        <f>IFERROR(__xludf.DUMMYFUNCTION("""COMPUTED_VALUE"""),73.89)</f>
        <v/>
      </c>
      <c r="F156" s="141">
        <f>IFERROR(__xludf.DUMMYFUNCTION("""COMPUTED_VALUE"""),73.91)</f>
        <v/>
      </c>
      <c r="G156" s="143">
        <f>IFERROR(__xludf.DUMMYFUNCTION("""COMPUTED_VALUE"""),8636352)</f>
        <v/>
      </c>
      <c r="H156" s="27" t="n"/>
    </row>
    <row r="157" ht="17.25" customHeight="1" s="322">
      <c r="A157" s="27" t="n"/>
      <c r="B157" s="506">
        <f>IFERROR(__xludf.DUMMYFUNCTION("""COMPUTED_VALUE"""),46056.6666666666)</f>
        <v/>
      </c>
      <c r="C157" s="141">
        <f>IFERROR(__xludf.DUMMYFUNCTION("""COMPUTED_VALUE"""),73.86)</f>
        <v/>
      </c>
      <c r="D157" s="141">
        <f>IFERROR(__xludf.DUMMYFUNCTION("""COMPUTED_VALUE"""),73.94)</f>
        <v/>
      </c>
      <c r="E157" s="141">
        <f>IFERROR(__xludf.DUMMYFUNCTION("""COMPUTED_VALUE"""),73.84)</f>
        <v/>
      </c>
      <c r="F157" s="141">
        <f>IFERROR(__xludf.DUMMYFUNCTION("""COMPUTED_VALUE"""),73.93)</f>
        <v/>
      </c>
      <c r="G157" s="143">
        <f>IFERROR(__xludf.DUMMYFUNCTION("""COMPUTED_VALUE"""),11287100)</f>
        <v/>
      </c>
      <c r="H157" s="27" t="n"/>
    </row>
    <row r="158" ht="17.25" customHeight="1" s="322">
      <c r="A158" s="27" t="n"/>
      <c r="B158" s="506">
        <f>IFERROR(__xludf.DUMMYFUNCTION("""COMPUTED_VALUE"""),46057.6666666666)</f>
        <v/>
      </c>
      <c r="C158" s="141">
        <f>IFERROR(__xludf.DUMMYFUNCTION("""COMPUTED_VALUE"""),73.89)</f>
        <v/>
      </c>
      <c r="D158" s="141">
        <f>IFERROR(__xludf.DUMMYFUNCTION("""COMPUTED_VALUE"""),73.96)</f>
        <v/>
      </c>
      <c r="E158" s="141">
        <f>IFERROR(__xludf.DUMMYFUNCTION("""COMPUTED_VALUE"""),73.85)</f>
        <v/>
      </c>
      <c r="F158" s="141">
        <f>IFERROR(__xludf.DUMMYFUNCTION("""COMPUTED_VALUE"""),73.9)</f>
        <v/>
      </c>
      <c r="G158" s="143">
        <f>IFERROR(__xludf.DUMMYFUNCTION("""COMPUTED_VALUE"""),11709972)</f>
        <v/>
      </c>
      <c r="H158" s="27" t="n"/>
    </row>
    <row r="159" ht="17.25" customHeight="1" s="322">
      <c r="A159" s="27" t="n"/>
      <c r="B159" s="506">
        <f>IFERROR(__xludf.DUMMYFUNCTION("""COMPUTED_VALUE"""),46058.6666666666)</f>
        <v/>
      </c>
      <c r="C159" s="141">
        <f>IFERROR(__xludf.DUMMYFUNCTION("""COMPUTED_VALUE"""),74.06)</f>
        <v/>
      </c>
      <c r="D159" s="141">
        <f>IFERROR(__xludf.DUMMYFUNCTION("""COMPUTED_VALUE"""),74.24)</f>
        <v/>
      </c>
      <c r="E159" s="141">
        <f>IFERROR(__xludf.DUMMYFUNCTION("""COMPUTED_VALUE"""),74.01)</f>
        <v/>
      </c>
      <c r="F159" s="141">
        <f>IFERROR(__xludf.DUMMYFUNCTION("""COMPUTED_VALUE"""),74.22)</f>
        <v/>
      </c>
      <c r="G159" s="143">
        <f>IFERROR(__xludf.DUMMYFUNCTION("""COMPUTED_VALUE"""),12216651)</f>
        <v/>
      </c>
      <c r="H159" s="27" t="n"/>
    </row>
    <row r="160" ht="17.25" customHeight="1" s="322">
      <c r="A160" s="27" t="n"/>
      <c r="B160" s="506">
        <f>IFERROR(__xludf.DUMMYFUNCTION("""COMPUTED_VALUE"""),46059.6666666666)</f>
        <v/>
      </c>
      <c r="C160" s="141">
        <f>IFERROR(__xludf.DUMMYFUNCTION("""COMPUTED_VALUE"""),74.23)</f>
        <v/>
      </c>
      <c r="D160" s="141">
        <f>IFERROR(__xludf.DUMMYFUNCTION("""COMPUTED_VALUE"""),74.25)</f>
        <v/>
      </c>
      <c r="E160" s="141">
        <f>IFERROR(__xludf.DUMMYFUNCTION("""COMPUTED_VALUE"""),74.13)</f>
        <v/>
      </c>
      <c r="F160" s="141">
        <f>IFERROR(__xludf.DUMMYFUNCTION("""COMPUTED_VALUE"""),74.23)</f>
        <v/>
      </c>
      <c r="G160" s="143">
        <f>IFERROR(__xludf.DUMMYFUNCTION("""COMPUTED_VALUE"""),8257231)</f>
        <v/>
      </c>
      <c r="H160" s="27" t="n"/>
    </row>
    <row r="161" ht="17.25" customHeight="1" s="322">
      <c r="A161" s="27" t="n"/>
      <c r="B161" s="506">
        <f>IFERROR(__xludf.DUMMYFUNCTION("""COMPUTED_VALUE"""),46062.6666666666)</f>
        <v/>
      </c>
      <c r="C161" s="141">
        <f>IFERROR(__xludf.DUMMYFUNCTION("""COMPUTED_VALUE"""),74.17)</f>
        <v/>
      </c>
      <c r="D161" s="141">
        <f>IFERROR(__xludf.DUMMYFUNCTION("""COMPUTED_VALUE"""),74.27)</f>
        <v/>
      </c>
      <c r="E161" s="141">
        <f>IFERROR(__xludf.DUMMYFUNCTION("""COMPUTED_VALUE"""),74.14)</f>
        <v/>
      </c>
      <c r="F161" s="141">
        <f>IFERROR(__xludf.DUMMYFUNCTION("""COMPUTED_VALUE"""),74.25)</f>
        <v/>
      </c>
      <c r="G161" s="143">
        <f>IFERROR(__xludf.DUMMYFUNCTION("""COMPUTED_VALUE"""),9429759)</f>
        <v/>
      </c>
      <c r="H161" s="27" t="n"/>
    </row>
    <row r="162" ht="17.25" customHeight="1" s="322">
      <c r="A162" s="27" t="n"/>
      <c r="B162" s="506">
        <f>IFERROR(__xludf.DUMMYFUNCTION("""COMPUTED_VALUE"""),46063.6666666666)</f>
        <v/>
      </c>
      <c r="C162" s="141">
        <f>IFERROR(__xludf.DUMMYFUNCTION("""COMPUTED_VALUE"""),74.45)</f>
        <v/>
      </c>
      <c r="D162" s="141">
        <f>IFERROR(__xludf.DUMMYFUNCTION("""COMPUTED_VALUE"""),74.52)</f>
        <v/>
      </c>
      <c r="E162" s="141">
        <f>IFERROR(__xludf.DUMMYFUNCTION("""COMPUTED_VALUE"""),74.43)</f>
        <v/>
      </c>
      <c r="F162" s="141">
        <f>IFERROR(__xludf.DUMMYFUNCTION("""COMPUTED_VALUE"""),74.47)</f>
        <v/>
      </c>
      <c r="G162" s="143">
        <f>IFERROR(__xludf.DUMMYFUNCTION("""COMPUTED_VALUE"""),8288737)</f>
        <v/>
      </c>
      <c r="H162" s="27" t="n"/>
    </row>
    <row r="163" ht="17.25" customHeight="1" s="322">
      <c r="A163" s="27" t="n"/>
      <c r="B163" s="506">
        <f>IFERROR(__xludf.DUMMYFUNCTION("""COMPUTED_VALUE"""),46064.6666666666)</f>
        <v/>
      </c>
      <c r="C163" s="141">
        <f>IFERROR(__xludf.DUMMYFUNCTION("""COMPUTED_VALUE"""),74.31)</f>
        <v/>
      </c>
      <c r="D163" s="141">
        <f>IFERROR(__xludf.DUMMYFUNCTION("""COMPUTED_VALUE"""),74.48)</f>
        <v/>
      </c>
      <c r="E163" s="141">
        <f>IFERROR(__xludf.DUMMYFUNCTION("""COMPUTED_VALUE"""),74.29)</f>
        <v/>
      </c>
      <c r="F163" s="141">
        <f>IFERROR(__xludf.DUMMYFUNCTION("""COMPUTED_VALUE"""),74.32)</f>
        <v/>
      </c>
      <c r="G163" s="143">
        <f>IFERROR(__xludf.DUMMYFUNCTION("""COMPUTED_VALUE"""),7968828)</f>
        <v/>
      </c>
      <c r="H163" s="27" t="n"/>
    </row>
    <row r="164" ht="17.25" customHeight="1" s="322">
      <c r="A164" s="27" t="n"/>
      <c r="B164" s="506">
        <f>IFERROR(__xludf.DUMMYFUNCTION("""COMPUTED_VALUE"""),46065.6666666666)</f>
        <v/>
      </c>
      <c r="C164" s="141">
        <f>IFERROR(__xludf.DUMMYFUNCTION("""COMPUTED_VALUE"""),74.46)</f>
        <v/>
      </c>
      <c r="D164" s="141">
        <f>IFERROR(__xludf.DUMMYFUNCTION("""COMPUTED_VALUE"""),74.68)</f>
        <v/>
      </c>
      <c r="E164" s="141">
        <f>IFERROR(__xludf.DUMMYFUNCTION("""COMPUTED_VALUE"""),74.43)</f>
        <v/>
      </c>
      <c r="F164" s="141">
        <f>IFERROR(__xludf.DUMMYFUNCTION("""COMPUTED_VALUE"""),74.66)</f>
        <v/>
      </c>
      <c r="G164" s="143">
        <f>IFERROR(__xludf.DUMMYFUNCTION("""COMPUTED_VALUE"""),9884338)</f>
        <v/>
      </c>
      <c r="H164" s="27" t="n"/>
    </row>
    <row r="165" ht="17.25" customHeight="1" s="322">
      <c r="A165" s="27" t="n"/>
      <c r="B165" s="506">
        <f>IFERROR(__xludf.DUMMYFUNCTION("""COMPUTED_VALUE"""),46066.6666666666)</f>
        <v/>
      </c>
      <c r="C165" s="141">
        <f>IFERROR(__xludf.DUMMYFUNCTION("""COMPUTED_VALUE"""),74.84)</f>
        <v/>
      </c>
      <c r="D165" s="141">
        <f>IFERROR(__xludf.DUMMYFUNCTION("""COMPUTED_VALUE"""),74.9)</f>
        <v/>
      </c>
      <c r="E165" s="141">
        <f>IFERROR(__xludf.DUMMYFUNCTION("""COMPUTED_VALUE"""),74.81)</f>
        <v/>
      </c>
      <c r="F165" s="141">
        <f>IFERROR(__xludf.DUMMYFUNCTION("""COMPUTED_VALUE"""),74.88)</f>
        <v/>
      </c>
      <c r="G165" s="143">
        <f>IFERROR(__xludf.DUMMYFUNCTION("""COMPUTED_VALUE"""),8307935)</f>
        <v/>
      </c>
      <c r="H165" s="27" t="n"/>
    </row>
    <row r="166" ht="17.25" customHeight="1" s="322">
      <c r="A166" s="27" t="n"/>
      <c r="B166" s="506">
        <f>IFERROR(__xludf.DUMMYFUNCTION("""COMPUTED_VALUE"""),46070.6666666666)</f>
        <v/>
      </c>
      <c r="C166" s="141">
        <f>IFERROR(__xludf.DUMMYFUNCTION("""COMPUTED_VALUE"""),74.89)</f>
        <v/>
      </c>
      <c r="D166" s="141">
        <f>IFERROR(__xludf.DUMMYFUNCTION("""COMPUTED_VALUE"""),74.91)</f>
        <v/>
      </c>
      <c r="E166" s="141">
        <f>IFERROR(__xludf.DUMMYFUNCTION("""COMPUTED_VALUE"""),74.83)</f>
        <v/>
      </c>
      <c r="F166" s="141">
        <f>IFERROR(__xludf.DUMMYFUNCTION("""COMPUTED_VALUE"""),74.87)</f>
        <v/>
      </c>
      <c r="G166" s="143">
        <f>IFERROR(__xludf.DUMMYFUNCTION("""COMPUTED_VALUE"""),9689024)</f>
        <v/>
      </c>
      <c r="H166" s="27" t="n"/>
    </row>
    <row r="167" ht="17.25" customHeight="1" s="322">
      <c r="A167" s="27" t="n"/>
      <c r="B167" s="506">
        <f>IFERROR(__xludf.DUMMYFUNCTION("""COMPUTED_VALUE"""),46071.6666666666)</f>
        <v/>
      </c>
      <c r="C167" s="141">
        <f>IFERROR(__xludf.DUMMYFUNCTION("""COMPUTED_VALUE"""),74.79)</f>
        <v/>
      </c>
      <c r="D167" s="141">
        <f>IFERROR(__xludf.DUMMYFUNCTION("""COMPUTED_VALUE"""),74.86)</f>
        <v/>
      </c>
      <c r="E167" s="141">
        <f>IFERROR(__xludf.DUMMYFUNCTION("""COMPUTED_VALUE"""),74.77)</f>
        <v/>
      </c>
      <c r="F167" s="141">
        <f>IFERROR(__xludf.DUMMYFUNCTION("""COMPUTED_VALUE"""),74.79)</f>
        <v/>
      </c>
      <c r="G167" s="143">
        <f>IFERROR(__xludf.DUMMYFUNCTION("""COMPUTED_VALUE"""),6972463)</f>
        <v/>
      </c>
      <c r="H167" s="27" t="n"/>
    </row>
    <row r="168" ht="17.25" customHeight="1" s="322">
      <c r="A168" s="27" t="n"/>
      <c r="B168" s="506">
        <f>IFERROR(__xludf.DUMMYFUNCTION("""COMPUTED_VALUE"""),46072.6666666666)</f>
        <v/>
      </c>
      <c r="C168" s="141">
        <f>IFERROR(__xludf.DUMMYFUNCTION("""COMPUTED_VALUE"""),74.72)</f>
        <v/>
      </c>
      <c r="D168" s="141">
        <f>IFERROR(__xludf.DUMMYFUNCTION("""COMPUTED_VALUE"""),74.85)</f>
        <v/>
      </c>
      <c r="E168" s="141">
        <f>IFERROR(__xludf.DUMMYFUNCTION("""COMPUTED_VALUE"""),74.72)</f>
        <v/>
      </c>
      <c r="F168" s="141">
        <f>IFERROR(__xludf.DUMMYFUNCTION("""COMPUTED_VALUE"""),74.82)</f>
        <v/>
      </c>
      <c r="G168" s="143">
        <f>IFERROR(__xludf.DUMMYFUNCTION("""COMPUTED_VALUE"""),8147869)</f>
        <v/>
      </c>
      <c r="H168" s="27" t="n"/>
    </row>
    <row r="169" ht="17.25" customHeight="1" s="322">
      <c r="A169" s="27" t="n"/>
      <c r="B169" s="506">
        <f>IFERROR(__xludf.DUMMYFUNCTION("""COMPUTED_VALUE"""),46073.6666666666)</f>
        <v/>
      </c>
      <c r="C169" s="141">
        <f>IFERROR(__xludf.DUMMYFUNCTION("""COMPUTED_VALUE"""),74.83)</f>
        <v/>
      </c>
      <c r="D169" s="141">
        <f>IFERROR(__xludf.DUMMYFUNCTION("""COMPUTED_VALUE"""),74.84)</f>
        <v/>
      </c>
      <c r="E169" s="141">
        <f>IFERROR(__xludf.DUMMYFUNCTION("""COMPUTED_VALUE"""),74.69)</f>
        <v/>
      </c>
      <c r="F169" s="141">
        <f>IFERROR(__xludf.DUMMYFUNCTION("""COMPUTED_VALUE"""),74.81)</f>
        <v/>
      </c>
      <c r="G169" s="143">
        <f>IFERROR(__xludf.DUMMYFUNCTION("""COMPUTED_VALUE"""),9131324)</f>
        <v/>
      </c>
      <c r="H169" s="27" t="n"/>
    </row>
    <row r="170" ht="17.25" customHeight="1" s="322">
      <c r="A170" s="27" t="n"/>
      <c r="B170" s="506">
        <f>IFERROR(__xludf.DUMMYFUNCTION("""COMPUTED_VALUE"""),46076.6666666666)</f>
        <v/>
      </c>
      <c r="C170" s="141">
        <f>IFERROR(__xludf.DUMMYFUNCTION("""COMPUTED_VALUE"""),74.84)</f>
        <v/>
      </c>
      <c r="D170" s="141">
        <f>IFERROR(__xludf.DUMMYFUNCTION("""COMPUTED_VALUE"""),75.02)</f>
        <v/>
      </c>
      <c r="E170" s="141">
        <f>IFERROR(__xludf.DUMMYFUNCTION("""COMPUTED_VALUE"""),74.84)</f>
        <v/>
      </c>
      <c r="F170" s="141">
        <f>IFERROR(__xludf.DUMMYFUNCTION("""COMPUTED_VALUE"""),74.97)</f>
        <v/>
      </c>
      <c r="G170" s="143">
        <f>IFERROR(__xludf.DUMMYFUNCTION("""COMPUTED_VALUE"""),6282861)</f>
        <v/>
      </c>
      <c r="H170" s="27" t="n"/>
    </row>
    <row r="171" ht="17.25" customHeight="1" s="322">
      <c r="A171" s="27" t="n"/>
      <c r="B171" s="506">
        <f>IFERROR(__xludf.DUMMYFUNCTION("""COMPUTED_VALUE"""),46077.6666666666)</f>
        <v/>
      </c>
      <c r="C171" s="141">
        <f>IFERROR(__xludf.DUMMYFUNCTION("""COMPUTED_VALUE"""),74.95)</f>
        <v/>
      </c>
      <c r="D171" s="141">
        <f>IFERROR(__xludf.DUMMYFUNCTION("""COMPUTED_VALUE"""),74.97)</f>
        <v/>
      </c>
      <c r="E171" s="141">
        <f>IFERROR(__xludf.DUMMYFUNCTION("""COMPUTED_VALUE"""),74.89)</f>
        <v/>
      </c>
      <c r="F171" s="141">
        <f>IFERROR(__xludf.DUMMYFUNCTION("""COMPUTED_VALUE"""),74.93)</f>
        <v/>
      </c>
      <c r="G171" s="143">
        <f>IFERROR(__xludf.DUMMYFUNCTION("""COMPUTED_VALUE"""),9848838)</f>
        <v/>
      </c>
      <c r="H171" s="27" t="n"/>
    </row>
    <row r="172" ht="17.25" customHeight="1" s="322">
      <c r="A172" s="27" t="n"/>
      <c r="B172" s="506">
        <f>IFERROR(__xludf.DUMMYFUNCTION("""COMPUTED_VALUE"""),46078.6666666666)</f>
        <v/>
      </c>
      <c r="C172" s="141">
        <f>IFERROR(__xludf.DUMMYFUNCTION("""COMPUTED_VALUE"""),74.88)</f>
        <v/>
      </c>
      <c r="D172" s="141">
        <f>IFERROR(__xludf.DUMMYFUNCTION("""COMPUTED_VALUE"""),74.97)</f>
        <v/>
      </c>
      <c r="E172" s="141">
        <f>IFERROR(__xludf.DUMMYFUNCTION("""COMPUTED_VALUE"""),74.87)</f>
        <v/>
      </c>
      <c r="F172" s="141">
        <f>IFERROR(__xludf.DUMMYFUNCTION("""COMPUTED_VALUE"""),74.91)</f>
        <v/>
      </c>
      <c r="G172" s="143">
        <f>IFERROR(__xludf.DUMMYFUNCTION("""COMPUTED_VALUE"""),6998886)</f>
        <v/>
      </c>
      <c r="H172" s="27" t="n"/>
    </row>
    <row r="173" ht="17.25" customHeight="1" s="322">
      <c r="A173" s="27" t="n"/>
      <c r="B173" s="506">
        <f>IFERROR(__xludf.DUMMYFUNCTION("""COMPUTED_VALUE"""),46079.6666666666)</f>
        <v/>
      </c>
      <c r="C173" s="141">
        <f>IFERROR(__xludf.DUMMYFUNCTION("""COMPUTED_VALUE"""),74.93)</f>
        <v/>
      </c>
      <c r="D173" s="141">
        <f>IFERROR(__xludf.DUMMYFUNCTION("""COMPUTED_VALUE"""),75.03)</f>
        <v/>
      </c>
      <c r="E173" s="141">
        <f>IFERROR(__xludf.DUMMYFUNCTION("""COMPUTED_VALUE"""),74.93)</f>
        <v/>
      </c>
      <c r="F173" s="141">
        <f>IFERROR(__xludf.DUMMYFUNCTION("""COMPUTED_VALUE"""),75.02)</f>
        <v/>
      </c>
      <c r="G173" s="143">
        <f>IFERROR(__xludf.DUMMYFUNCTION("""COMPUTED_VALUE"""),14870824)</f>
        <v/>
      </c>
      <c r="H173" s="27" t="n"/>
    </row>
    <row r="174" ht="17.25" customHeight="1" s="322">
      <c r="A174" s="27" t="n"/>
      <c r="B174" s="506">
        <f>IFERROR(__xludf.DUMMYFUNCTION("""COMPUTED_VALUE"""),46080.6666666666)</f>
        <v/>
      </c>
      <c r="C174" s="141">
        <f>IFERROR(__xludf.DUMMYFUNCTION("""COMPUTED_VALUE"""),75.15)</f>
        <v/>
      </c>
      <c r="D174" s="141">
        <f>IFERROR(__xludf.DUMMYFUNCTION("""COMPUTED_VALUE"""),75.23)</f>
        <v/>
      </c>
      <c r="E174" s="141">
        <f>IFERROR(__xludf.DUMMYFUNCTION("""COMPUTED_VALUE"""),75.13)</f>
        <v/>
      </c>
      <c r="F174" s="141">
        <f>IFERROR(__xludf.DUMMYFUNCTION("""COMPUTED_VALUE"""),75.17)</f>
        <v/>
      </c>
      <c r="G174" s="143">
        <f>IFERROR(__xludf.DUMMYFUNCTION("""COMPUTED_VALUE"""),8494995)</f>
        <v/>
      </c>
      <c r="H174" s="27" t="n"/>
    </row>
    <row r="175" ht="17.25" customHeight="1" s="322">
      <c r="A175" s="27" t="n"/>
      <c r="B175" s="506">
        <f>IFERROR(__xludf.DUMMYFUNCTION("""COMPUTED_VALUE"""),46083.6666666666)</f>
        <v/>
      </c>
      <c r="C175" s="141">
        <f>IFERROR(__xludf.DUMMYFUNCTION("""COMPUTED_VALUE"""),74.72)</f>
        <v/>
      </c>
      <c r="D175" s="141">
        <f>IFERROR(__xludf.DUMMYFUNCTION("""COMPUTED_VALUE"""),74.74)</f>
        <v/>
      </c>
      <c r="E175" s="141">
        <f>IFERROR(__xludf.DUMMYFUNCTION("""COMPUTED_VALUE"""),74.55)</f>
        <v/>
      </c>
      <c r="F175" s="141">
        <f>IFERROR(__xludf.DUMMYFUNCTION("""COMPUTED_VALUE"""),74.64)</f>
        <v/>
      </c>
      <c r="G175" s="143">
        <f>IFERROR(__xludf.DUMMYFUNCTION("""COMPUTED_VALUE"""),7881030)</f>
        <v/>
      </c>
      <c r="H175" s="27" t="n"/>
    </row>
    <row r="176" ht="17.25" customHeight="1" s="322">
      <c r="A176" s="27" t="n"/>
      <c r="B176" s="506">
        <f>IFERROR(__xludf.DUMMYFUNCTION("""COMPUTED_VALUE"""),46084.6666666666)</f>
        <v/>
      </c>
      <c r="C176" s="141">
        <f>IFERROR(__xludf.DUMMYFUNCTION("""COMPUTED_VALUE"""),74.33)</f>
        <v/>
      </c>
      <c r="D176" s="141">
        <f>IFERROR(__xludf.DUMMYFUNCTION("""COMPUTED_VALUE"""),74.66)</f>
        <v/>
      </c>
      <c r="E176" s="141">
        <f>IFERROR(__xludf.DUMMYFUNCTION("""COMPUTED_VALUE"""),74.31)</f>
        <v/>
      </c>
      <c r="F176" s="141">
        <f>IFERROR(__xludf.DUMMYFUNCTION("""COMPUTED_VALUE"""),74.56)</f>
        <v/>
      </c>
      <c r="G176" s="143">
        <f>IFERROR(__xludf.DUMMYFUNCTION("""COMPUTED_VALUE"""),8934162)</f>
        <v/>
      </c>
      <c r="H176" s="27" t="n"/>
    </row>
    <row r="177" ht="17.25" customHeight="1" s="322">
      <c r="A177" s="27" t="n"/>
      <c r="B177" s="506">
        <f>IFERROR(__xludf.DUMMYFUNCTION("""COMPUTED_VALUE"""),46085.6666666666)</f>
        <v/>
      </c>
      <c r="C177" s="141">
        <f>IFERROR(__xludf.DUMMYFUNCTION("""COMPUTED_VALUE"""),74.57)</f>
        <v/>
      </c>
      <c r="D177" s="141">
        <f>IFERROR(__xludf.DUMMYFUNCTION("""COMPUTED_VALUE"""),74.6)</f>
        <v/>
      </c>
      <c r="E177" s="141">
        <f>IFERROR(__xludf.DUMMYFUNCTION("""COMPUTED_VALUE"""),74.5)</f>
        <v/>
      </c>
      <c r="F177" s="141">
        <f>IFERROR(__xludf.DUMMYFUNCTION("""COMPUTED_VALUE"""),74.51)</f>
        <v/>
      </c>
      <c r="G177" s="143">
        <f>IFERROR(__xludf.DUMMYFUNCTION("""COMPUTED_VALUE"""),11300622)</f>
        <v/>
      </c>
      <c r="H177" s="27" t="n"/>
    </row>
    <row r="178" ht="17.25" customHeight="1" s="322">
      <c r="A178" s="27" t="n"/>
      <c r="B178" s="506">
        <f>IFERROR(__xludf.DUMMYFUNCTION("""COMPUTED_VALUE"""),46086.6666666666)</f>
        <v/>
      </c>
      <c r="C178" s="141">
        <f>IFERROR(__xludf.DUMMYFUNCTION("""COMPUTED_VALUE"""),74.28)</f>
        <v/>
      </c>
      <c r="D178" s="141">
        <f>IFERROR(__xludf.DUMMYFUNCTION("""COMPUTED_VALUE"""),74.37)</f>
        <v/>
      </c>
      <c r="E178" s="141">
        <f>IFERROR(__xludf.DUMMYFUNCTION("""COMPUTED_VALUE"""),74.24)</f>
        <v/>
      </c>
      <c r="F178" s="141">
        <f>IFERROR(__xludf.DUMMYFUNCTION("""COMPUTED_VALUE"""),74.34)</f>
        <v/>
      </c>
      <c r="G178" s="143">
        <f>IFERROR(__xludf.DUMMYFUNCTION("""COMPUTED_VALUE"""),10009663)</f>
        <v/>
      </c>
      <c r="H178" s="27" t="n"/>
    </row>
    <row r="179" ht="17.25" customHeight="1" s="322">
      <c r="A179" s="27" t="n"/>
      <c r="B179" s="506">
        <f>IFERROR(__xludf.DUMMYFUNCTION("""COMPUTED_VALUE"""),46087.6666666666)</f>
        <v/>
      </c>
      <c r="C179" s="141">
        <f>IFERROR(__xludf.DUMMYFUNCTION("""COMPUTED_VALUE"""),74.12)</f>
        <v/>
      </c>
      <c r="D179" s="141">
        <f>IFERROR(__xludf.DUMMYFUNCTION("""COMPUTED_VALUE"""),74.42)</f>
        <v/>
      </c>
      <c r="E179" s="141">
        <f>IFERROR(__xludf.DUMMYFUNCTION("""COMPUTED_VALUE"""),74.07)</f>
        <v/>
      </c>
      <c r="F179" s="141">
        <f>IFERROR(__xludf.DUMMYFUNCTION("""COMPUTED_VALUE"""),74.24)</f>
        <v/>
      </c>
      <c r="G179" s="143">
        <f>IFERROR(__xludf.DUMMYFUNCTION("""COMPUTED_VALUE"""),10876348)</f>
        <v/>
      </c>
      <c r="H179" s="27" t="n"/>
    </row>
    <row r="180" ht="17.25" customHeight="1" s="322">
      <c r="A180" s="27" t="n"/>
      <c r="B180" s="506">
        <f>IFERROR(__xludf.DUMMYFUNCTION("""COMPUTED_VALUE"""),46090.6666666666)</f>
        <v/>
      </c>
      <c r="C180" s="141">
        <f>IFERROR(__xludf.DUMMYFUNCTION("""COMPUTED_VALUE"""),74.15)</f>
        <v/>
      </c>
      <c r="D180" s="141">
        <f>IFERROR(__xludf.DUMMYFUNCTION("""COMPUTED_VALUE"""),74.5)</f>
        <v/>
      </c>
      <c r="E180" s="141">
        <f>IFERROR(__xludf.DUMMYFUNCTION("""COMPUTED_VALUE"""),74.11)</f>
        <v/>
      </c>
      <c r="F180" s="141">
        <f>IFERROR(__xludf.DUMMYFUNCTION("""COMPUTED_VALUE"""),74.45)</f>
        <v/>
      </c>
      <c r="G180" s="143">
        <f>IFERROR(__xludf.DUMMYFUNCTION("""COMPUTED_VALUE"""),8198482)</f>
        <v/>
      </c>
      <c r="H180" s="27" t="n"/>
    </row>
    <row r="181" ht="17.25" customHeight="1" s="322">
      <c r="A181" s="27" t="n"/>
      <c r="B181" s="506">
        <f>IFERROR(__xludf.DUMMYFUNCTION("""COMPUTED_VALUE"""),46091.6666666666)</f>
        <v/>
      </c>
      <c r="C181" s="141">
        <f>IFERROR(__xludf.DUMMYFUNCTION("""COMPUTED_VALUE"""),74.39)</f>
        <v/>
      </c>
      <c r="D181" s="141">
        <f>IFERROR(__xludf.DUMMYFUNCTION("""COMPUTED_VALUE"""),74.45)</f>
        <v/>
      </c>
      <c r="E181" s="141">
        <f>IFERROR(__xludf.DUMMYFUNCTION("""COMPUTED_VALUE"""),74.21)</f>
        <v/>
      </c>
      <c r="F181" s="141">
        <f>IFERROR(__xludf.DUMMYFUNCTION("""COMPUTED_VALUE"""),74.22)</f>
        <v/>
      </c>
      <c r="G181" s="143">
        <f>IFERROR(__xludf.DUMMYFUNCTION("""COMPUTED_VALUE"""),8586491)</f>
        <v/>
      </c>
      <c r="H181" s="27" t="n"/>
    </row>
    <row r="182" ht="17.25" customHeight="1" s="322">
      <c r="A182" s="27" t="n"/>
      <c r="B182" s="506">
        <f>IFERROR(__xludf.DUMMYFUNCTION("""COMPUTED_VALUE"""),46092.6666666666)</f>
        <v/>
      </c>
      <c r="C182" s="141">
        <f>IFERROR(__xludf.DUMMYFUNCTION("""COMPUTED_VALUE"""),74.08)</f>
        <v/>
      </c>
      <c r="D182" s="141">
        <f>IFERROR(__xludf.DUMMYFUNCTION("""COMPUTED_VALUE"""),74.1)</f>
        <v/>
      </c>
      <c r="E182" s="141">
        <f>IFERROR(__xludf.DUMMYFUNCTION("""COMPUTED_VALUE"""),73.85)</f>
        <v/>
      </c>
      <c r="F182" s="141">
        <f>IFERROR(__xludf.DUMMYFUNCTION("""COMPUTED_VALUE"""),73.89)</f>
        <v/>
      </c>
      <c r="G182" s="143">
        <f>IFERROR(__xludf.DUMMYFUNCTION("""COMPUTED_VALUE"""),9009616)</f>
        <v/>
      </c>
      <c r="H182" s="27" t="n"/>
    </row>
    <row r="183" ht="17.25" customHeight="1" s="322">
      <c r="A183" s="27" t="n"/>
      <c r="B183" s="506">
        <f>IFERROR(__xludf.DUMMYFUNCTION("""COMPUTED_VALUE"""),46093.6666666666)</f>
        <v/>
      </c>
      <c r="C183" s="141">
        <f>IFERROR(__xludf.DUMMYFUNCTION("""COMPUTED_VALUE"""),73.78)</f>
        <v/>
      </c>
      <c r="D183" s="141">
        <f>IFERROR(__xludf.DUMMYFUNCTION("""COMPUTED_VALUE"""),73.83)</f>
        <v/>
      </c>
      <c r="E183" s="141">
        <f>IFERROR(__xludf.DUMMYFUNCTION("""COMPUTED_VALUE"""),73.56)</f>
        <v/>
      </c>
      <c r="F183" s="141">
        <f>IFERROR(__xludf.DUMMYFUNCTION("""COMPUTED_VALUE"""),73.62)</f>
        <v/>
      </c>
      <c r="G183" s="143">
        <f>IFERROR(__xludf.DUMMYFUNCTION("""COMPUTED_VALUE"""),12383450)</f>
        <v/>
      </c>
      <c r="H183" s="27" t="n"/>
    </row>
    <row r="184" ht="17.25" customHeight="1" s="322">
      <c r="A184" s="27" t="n"/>
      <c r="B184" s="506">
        <f>IFERROR(__xludf.DUMMYFUNCTION("""COMPUTED_VALUE"""),46094.6666666666)</f>
        <v/>
      </c>
      <c r="C184" s="141">
        <f>IFERROR(__xludf.DUMMYFUNCTION("""COMPUTED_VALUE"""),73.74)</f>
        <v/>
      </c>
      <c r="D184" s="141">
        <f>IFERROR(__xludf.DUMMYFUNCTION("""COMPUTED_VALUE"""),73.8)</f>
        <v/>
      </c>
      <c r="E184" s="141">
        <f>IFERROR(__xludf.DUMMYFUNCTION("""COMPUTED_VALUE"""),73.51)</f>
        <v/>
      </c>
      <c r="F184" s="141">
        <f>IFERROR(__xludf.DUMMYFUNCTION("""COMPUTED_VALUE"""),73.55)</f>
        <v/>
      </c>
      <c r="G184" s="143">
        <f>IFERROR(__xludf.DUMMYFUNCTION("""COMPUTED_VALUE"""),7060142)</f>
        <v/>
      </c>
      <c r="H184" s="27" t="n"/>
    </row>
    <row r="185" ht="17.25" customHeight="1" s="322">
      <c r="A185" s="27" t="n"/>
      <c r="B185" s="506">
        <f>IFERROR(__xludf.DUMMYFUNCTION("""COMPUTED_VALUE"""),46097.6666666666)</f>
        <v/>
      </c>
      <c r="C185" s="141">
        <f>IFERROR(__xludf.DUMMYFUNCTION("""COMPUTED_VALUE"""),73.83)</f>
        <v/>
      </c>
      <c r="D185" s="141">
        <f>IFERROR(__xludf.DUMMYFUNCTION("""COMPUTED_VALUE"""),73.88)</f>
        <v/>
      </c>
      <c r="E185" s="141">
        <f>IFERROR(__xludf.DUMMYFUNCTION("""COMPUTED_VALUE"""),73.74)</f>
        <v/>
      </c>
      <c r="F185" s="141">
        <f>IFERROR(__xludf.DUMMYFUNCTION("""COMPUTED_VALUE"""),73.83)</f>
        <v/>
      </c>
      <c r="G185" s="143">
        <f>IFERROR(__xludf.DUMMYFUNCTION("""COMPUTED_VALUE"""),7716574)</f>
        <v/>
      </c>
      <c r="H185" s="27" t="n"/>
    </row>
    <row r="186" ht="17.25" customHeight="1" s="322">
      <c r="A186" s="27" t="n"/>
      <c r="B186" s="506">
        <f>IFERROR(__xludf.DUMMYFUNCTION("""COMPUTED_VALUE"""),46098.6666666666)</f>
        <v/>
      </c>
      <c r="C186" s="141">
        <f>IFERROR(__xludf.DUMMYFUNCTION("""COMPUTED_VALUE"""),73.93)</f>
        <v/>
      </c>
      <c r="D186" s="141">
        <f>IFERROR(__xludf.DUMMYFUNCTION("""COMPUTED_VALUE"""),74.01)</f>
        <v/>
      </c>
      <c r="E186" s="141">
        <f>IFERROR(__xludf.DUMMYFUNCTION("""COMPUTED_VALUE"""),73.93)</f>
        <v/>
      </c>
      <c r="F186" s="141">
        <f>IFERROR(__xludf.DUMMYFUNCTION("""COMPUTED_VALUE"""),73.98)</f>
        <v/>
      </c>
      <c r="G186" s="143">
        <f>IFERROR(__xludf.DUMMYFUNCTION("""COMPUTED_VALUE"""),5948527)</f>
        <v/>
      </c>
      <c r="H186" s="27" t="n"/>
    </row>
    <row r="187" ht="17.25" customHeight="1" s="322">
      <c r="A187" s="27" t="n"/>
      <c r="B187" s="506">
        <f>IFERROR(__xludf.DUMMYFUNCTION("""COMPUTED_VALUE"""),46099.6666666666)</f>
        <v/>
      </c>
      <c r="C187" s="141">
        <f>IFERROR(__xludf.DUMMYFUNCTION("""COMPUTED_VALUE"""),73.89)</f>
        <v/>
      </c>
      <c r="D187" s="141">
        <f>IFERROR(__xludf.DUMMYFUNCTION("""COMPUTED_VALUE"""),73.95)</f>
        <v/>
      </c>
      <c r="E187" s="141">
        <f>IFERROR(__xludf.DUMMYFUNCTION("""COMPUTED_VALUE"""),73.67)</f>
        <v/>
      </c>
      <c r="F187" s="141">
        <f>IFERROR(__xludf.DUMMYFUNCTION("""COMPUTED_VALUE"""),73.68)</f>
        <v/>
      </c>
      <c r="G187" s="143">
        <f>IFERROR(__xludf.DUMMYFUNCTION("""COMPUTED_VALUE"""),9210941)</f>
        <v/>
      </c>
      <c r="H187" s="27" t="n"/>
    </row>
    <row r="188" ht="17.25" customHeight="1" s="322">
      <c r="A188" s="27" t="n"/>
      <c r="B188" s="506">
        <f>IFERROR(__xludf.DUMMYFUNCTION("""COMPUTED_VALUE"""),46100.6666666666)</f>
        <v/>
      </c>
      <c r="C188" s="141">
        <f>IFERROR(__xludf.DUMMYFUNCTION("""COMPUTED_VALUE"""),73.52)</f>
        <v/>
      </c>
      <c r="D188" s="141">
        <f>IFERROR(__xludf.DUMMYFUNCTION("""COMPUTED_VALUE"""),73.86)</f>
        <v/>
      </c>
      <c r="E188" s="141">
        <f>IFERROR(__xludf.DUMMYFUNCTION("""COMPUTED_VALUE"""),73.5)</f>
        <v/>
      </c>
      <c r="F188" s="141">
        <f>IFERROR(__xludf.DUMMYFUNCTION("""COMPUTED_VALUE"""),73.76)</f>
        <v/>
      </c>
      <c r="G188" s="143">
        <f>IFERROR(__xludf.DUMMYFUNCTION("""COMPUTED_VALUE"""),8861681)</f>
        <v/>
      </c>
      <c r="H188" s="27" t="n"/>
    </row>
    <row r="189" ht="17.25" customHeight="1" s="322">
      <c r="A189" s="27" t="n"/>
      <c r="B189" s="506">
        <f>IFERROR(__xludf.DUMMYFUNCTION("""COMPUTED_VALUE"""),46101.6666666666)</f>
        <v/>
      </c>
      <c r="C189" s="141">
        <f>IFERROR(__xludf.DUMMYFUNCTION("""COMPUTED_VALUE"""),73.52)</f>
        <v/>
      </c>
      <c r="D189" s="141">
        <f>IFERROR(__xludf.DUMMYFUNCTION("""COMPUTED_VALUE"""),73.53)</f>
        <v/>
      </c>
      <c r="E189" s="141">
        <f>IFERROR(__xludf.DUMMYFUNCTION("""COMPUTED_VALUE"""),73.16)</f>
        <v/>
      </c>
      <c r="F189" s="141">
        <f>IFERROR(__xludf.DUMMYFUNCTION("""COMPUTED_VALUE"""),73.17)</f>
        <v/>
      </c>
      <c r="G189" s="143">
        <f>IFERROR(__xludf.DUMMYFUNCTION("""COMPUTED_VALUE"""),12983191)</f>
        <v/>
      </c>
      <c r="H189" s="27" t="n"/>
    </row>
    <row r="190" ht="17.25" customHeight="1" s="322">
      <c r="A190" s="27" t="n"/>
      <c r="B190" s="506">
        <f>IFERROR(__xludf.DUMMYFUNCTION("""COMPUTED_VALUE"""),46104.6666666666)</f>
        <v/>
      </c>
      <c r="C190" s="141">
        <f>IFERROR(__xludf.DUMMYFUNCTION("""COMPUTED_VALUE"""),73.3)</f>
        <v/>
      </c>
      <c r="D190" s="141">
        <f>IFERROR(__xludf.DUMMYFUNCTION("""COMPUTED_VALUE"""),73.61)</f>
        <v/>
      </c>
      <c r="E190" s="141">
        <f>IFERROR(__xludf.DUMMYFUNCTION("""COMPUTED_VALUE"""),73.24)</f>
        <v/>
      </c>
      <c r="F190" s="141">
        <f>IFERROR(__xludf.DUMMYFUNCTION("""COMPUTED_VALUE"""),73.45)</f>
        <v/>
      </c>
      <c r="G190" s="143">
        <f>IFERROR(__xludf.DUMMYFUNCTION("""COMPUTED_VALUE"""),14898763)</f>
        <v/>
      </c>
      <c r="H190" s="27" t="n"/>
    </row>
    <row r="191" ht="17.25" customHeight="1" s="322">
      <c r="A191" s="27" t="n"/>
      <c r="B191" s="506">
        <f>IFERROR(__xludf.DUMMYFUNCTION("""COMPUTED_VALUE"""),46105.6666666666)</f>
        <v/>
      </c>
      <c r="C191" s="141">
        <f>IFERROR(__xludf.DUMMYFUNCTION("""COMPUTED_VALUE"""),73.18)</f>
        <v/>
      </c>
      <c r="D191" s="141">
        <f>IFERROR(__xludf.DUMMYFUNCTION("""COMPUTED_VALUE"""),73.41)</f>
        <v/>
      </c>
      <c r="E191" s="141">
        <f>IFERROR(__xludf.DUMMYFUNCTION("""COMPUTED_VALUE"""),73.12)</f>
        <v/>
      </c>
      <c r="F191" s="141">
        <f>IFERROR(__xludf.DUMMYFUNCTION("""COMPUTED_VALUE"""),73.26)</f>
        <v/>
      </c>
      <c r="G191" s="143">
        <f>IFERROR(__xludf.DUMMYFUNCTION("""COMPUTED_VALUE"""),11800758)</f>
        <v/>
      </c>
      <c r="H191" s="27" t="n"/>
    </row>
    <row r="192" ht="17.25" customHeight="1" s="322">
      <c r="A192" s="27" t="n"/>
      <c r="B192" s="506">
        <f>IFERROR(__xludf.DUMMYFUNCTION("""COMPUTED_VALUE"""),46106.6666666666)</f>
        <v/>
      </c>
      <c r="C192" s="141">
        <f>IFERROR(__xludf.DUMMYFUNCTION("""COMPUTED_VALUE"""),73.57)</f>
        <v/>
      </c>
      <c r="D192" s="141">
        <f>IFERROR(__xludf.DUMMYFUNCTION("""COMPUTED_VALUE"""),73.62)</f>
        <v/>
      </c>
      <c r="E192" s="141">
        <f>IFERROR(__xludf.DUMMYFUNCTION("""COMPUTED_VALUE"""),73.45)</f>
        <v/>
      </c>
      <c r="F192" s="141">
        <f>IFERROR(__xludf.DUMMYFUNCTION("""COMPUTED_VALUE"""),73.54)</f>
        <v/>
      </c>
      <c r="G192" s="143">
        <f>IFERROR(__xludf.DUMMYFUNCTION("""COMPUTED_VALUE"""),9313456)</f>
        <v/>
      </c>
      <c r="H192" s="27" t="n"/>
    </row>
    <row r="193" ht="17.25" customHeight="1" s="322">
      <c r="A193" s="27" t="n"/>
      <c r="B193" s="506">
        <f>IFERROR(__xludf.DUMMYFUNCTION("""COMPUTED_VALUE"""),46107.6666666666)</f>
        <v/>
      </c>
      <c r="C193" s="141">
        <f>IFERROR(__xludf.DUMMYFUNCTION("""COMPUTED_VALUE"""),73.33)</f>
        <v/>
      </c>
      <c r="D193" s="141">
        <f>IFERROR(__xludf.DUMMYFUNCTION("""COMPUTED_VALUE"""),73.43)</f>
        <v/>
      </c>
      <c r="E193" s="141">
        <f>IFERROR(__xludf.DUMMYFUNCTION("""COMPUTED_VALUE"""),73.1)</f>
        <v/>
      </c>
      <c r="F193" s="141">
        <f>IFERROR(__xludf.DUMMYFUNCTION("""COMPUTED_VALUE"""),73.11)</f>
        <v/>
      </c>
      <c r="G193" s="143">
        <f>IFERROR(__xludf.DUMMYFUNCTION("""COMPUTED_VALUE"""),8602893)</f>
        <v/>
      </c>
      <c r="H193" s="27" t="n"/>
    </row>
    <row r="194" ht="17.25" customHeight="1" s="322">
      <c r="A194" s="27" t="n"/>
      <c r="B194" s="506">
        <f>IFERROR(__xludf.DUMMYFUNCTION("""COMPUTED_VALUE"""),46108.6666666666)</f>
        <v/>
      </c>
      <c r="C194" s="141">
        <f>IFERROR(__xludf.DUMMYFUNCTION("""COMPUTED_VALUE"""),72.98)</f>
        <v/>
      </c>
      <c r="D194" s="141">
        <f>IFERROR(__xludf.DUMMYFUNCTION("""COMPUTED_VALUE"""),73.21)</f>
        <v/>
      </c>
      <c r="E194" s="141">
        <f>IFERROR(__xludf.DUMMYFUNCTION("""COMPUTED_VALUE"""),72.94)</f>
        <v/>
      </c>
      <c r="F194" s="141">
        <f>IFERROR(__xludf.DUMMYFUNCTION("""COMPUTED_VALUE"""),73.11)</f>
        <v/>
      </c>
      <c r="G194" s="143">
        <f>IFERROR(__xludf.DUMMYFUNCTION("""COMPUTED_VALUE"""),13021837)</f>
        <v/>
      </c>
      <c r="H194" s="27" t="n"/>
    </row>
    <row r="195" ht="17.25" customHeight="1" s="322">
      <c r="A195" s="27" t="n"/>
      <c r="B195" s="506">
        <f>IFERROR(__xludf.DUMMYFUNCTION("""COMPUTED_VALUE"""),46111.6666666666)</f>
        <v/>
      </c>
      <c r="C195" s="141">
        <f>IFERROR(__xludf.DUMMYFUNCTION("""COMPUTED_VALUE"""),73.48)</f>
        <v/>
      </c>
      <c r="D195" s="141">
        <f>IFERROR(__xludf.DUMMYFUNCTION("""COMPUTED_VALUE"""),73.6)</f>
        <v/>
      </c>
      <c r="E195" s="141">
        <f>IFERROR(__xludf.DUMMYFUNCTION("""COMPUTED_VALUE"""),73.42)</f>
        <v/>
      </c>
      <c r="F195" s="141">
        <f>IFERROR(__xludf.DUMMYFUNCTION("""COMPUTED_VALUE"""),73.48)</f>
        <v/>
      </c>
      <c r="G195" s="143">
        <f>IFERROR(__xludf.DUMMYFUNCTION("""COMPUTED_VALUE"""),10353779)</f>
        <v/>
      </c>
      <c r="H195" s="27" t="n"/>
    </row>
    <row r="196" ht="17.25" customHeight="1" s="322">
      <c r="A196" s="27" t="n"/>
      <c r="B196" s="506">
        <f>IFERROR(__xludf.DUMMYFUNCTION("""COMPUTED_VALUE"""),46112.6666666666)</f>
        <v/>
      </c>
      <c r="C196" s="141">
        <f>IFERROR(__xludf.DUMMYFUNCTION("""COMPUTED_VALUE"""),73.67)</f>
        <v/>
      </c>
      <c r="D196" s="141">
        <f>IFERROR(__xludf.DUMMYFUNCTION("""COMPUTED_VALUE"""),73.78)</f>
        <v/>
      </c>
      <c r="E196" s="141">
        <f>IFERROR(__xludf.DUMMYFUNCTION("""COMPUTED_VALUE"""),73.57)</f>
        <v/>
      </c>
      <c r="F196" s="141">
        <f>IFERROR(__xludf.DUMMYFUNCTION("""COMPUTED_VALUE"""),73.64)</f>
        <v/>
      </c>
      <c r="G196" s="143">
        <f>IFERROR(__xludf.DUMMYFUNCTION("""COMPUTED_VALUE"""),10948304)</f>
        <v/>
      </c>
      <c r="H196" s="27" t="n"/>
    </row>
    <row r="197" ht="17.25" customHeight="1" s="322">
      <c r="A197" s="27" t="n"/>
      <c r="B197" s="506">
        <f>IFERROR(__xludf.DUMMYFUNCTION("""COMPUTED_VALUE"""),46113.6666666666)</f>
        <v/>
      </c>
      <c r="C197" s="141">
        <f>IFERROR(__xludf.DUMMYFUNCTION("""COMPUTED_VALUE"""),73.43)</f>
        <v/>
      </c>
      <c r="D197" s="141">
        <f>IFERROR(__xludf.DUMMYFUNCTION("""COMPUTED_VALUE"""),73.56)</f>
        <v/>
      </c>
      <c r="E197" s="141">
        <f>IFERROR(__xludf.DUMMYFUNCTION("""COMPUTED_VALUE"""),73.39)</f>
        <v/>
      </c>
      <c r="F197" s="141">
        <f>IFERROR(__xludf.DUMMYFUNCTION("""COMPUTED_VALUE"""),73.42)</f>
        <v/>
      </c>
      <c r="G197" s="143">
        <f>IFERROR(__xludf.DUMMYFUNCTION("""COMPUTED_VALUE"""),9624795)</f>
        <v/>
      </c>
      <c r="H197" s="27" t="n"/>
    </row>
    <row r="198" ht="17.25" customHeight="1" s="322">
      <c r="A198" s="27" t="n"/>
      <c r="B198" s="506">
        <f>IFERROR(__xludf.DUMMYFUNCTION("""COMPUTED_VALUE"""),46114.6666666666)</f>
        <v/>
      </c>
      <c r="C198" s="141">
        <f>IFERROR(__xludf.DUMMYFUNCTION("""COMPUTED_VALUE"""),73.36)</f>
        <v/>
      </c>
      <c r="D198" s="141">
        <f>IFERROR(__xludf.DUMMYFUNCTION("""COMPUTED_VALUE"""),73.65)</f>
        <v/>
      </c>
      <c r="E198" s="141">
        <f>IFERROR(__xludf.DUMMYFUNCTION("""COMPUTED_VALUE"""),73.34)</f>
        <v/>
      </c>
      <c r="F198" s="141">
        <f>IFERROR(__xludf.DUMMYFUNCTION("""COMPUTED_VALUE"""),73.58)</f>
        <v/>
      </c>
      <c r="G198" s="143">
        <f>IFERROR(__xludf.DUMMYFUNCTION("""COMPUTED_VALUE"""),7975625)</f>
        <v/>
      </c>
      <c r="H198" s="27" t="n"/>
    </row>
    <row r="199" ht="17.25" customHeight="1" s="322">
      <c r="A199" s="27" t="n"/>
      <c r="B199" s="506">
        <f>IFERROR(__xludf.DUMMYFUNCTION("""COMPUTED_VALUE"""),46118.6666666666)</f>
        <v/>
      </c>
      <c r="C199" s="141">
        <f>IFERROR(__xludf.DUMMYFUNCTION("""COMPUTED_VALUE"""),73.44)</f>
        <v/>
      </c>
      <c r="D199" s="141">
        <f>IFERROR(__xludf.DUMMYFUNCTION("""COMPUTED_VALUE"""),73.56)</f>
        <v/>
      </c>
      <c r="E199" s="141">
        <f>IFERROR(__xludf.DUMMYFUNCTION("""COMPUTED_VALUE"""),73.42)</f>
        <v/>
      </c>
      <c r="F199" s="141">
        <f>IFERROR(__xludf.DUMMYFUNCTION("""COMPUTED_VALUE"""),73.47)</f>
        <v/>
      </c>
      <c r="G199" s="143">
        <f>IFERROR(__xludf.DUMMYFUNCTION("""COMPUTED_VALUE"""),9844314)</f>
        <v/>
      </c>
      <c r="H199" s="27" t="n"/>
    </row>
    <row r="200" ht="17.25" customHeight="1" s="322">
      <c r="A200" s="27" t="n"/>
      <c r="B200" s="506">
        <f>IFERROR(__xludf.DUMMYFUNCTION("""COMPUTED_VALUE"""),46119.6666666666)</f>
        <v/>
      </c>
      <c r="C200" s="141">
        <f>IFERROR(__xludf.DUMMYFUNCTION("""COMPUTED_VALUE"""),73.49)</f>
        <v/>
      </c>
      <c r="D200" s="141">
        <f>IFERROR(__xludf.DUMMYFUNCTION("""COMPUTED_VALUE"""),73.6)</f>
        <v/>
      </c>
      <c r="E200" s="141">
        <f>IFERROR(__xludf.DUMMYFUNCTION("""COMPUTED_VALUE"""),73.25)</f>
        <v/>
      </c>
      <c r="F200" s="141">
        <f>IFERROR(__xludf.DUMMYFUNCTION("""COMPUTED_VALUE"""),73.58)</f>
        <v/>
      </c>
      <c r="G200" s="143">
        <f>IFERROR(__xludf.DUMMYFUNCTION("""COMPUTED_VALUE"""),7269993)</f>
        <v/>
      </c>
      <c r="H200" s="27" t="n"/>
    </row>
    <row r="201" ht="17.25" customHeight="1" s="322">
      <c r="A201" s="27" t="n"/>
      <c r="B201" s="506">
        <f>IFERROR(__xludf.DUMMYFUNCTION("""COMPUTED_VALUE"""),46120.6666666666)</f>
        <v/>
      </c>
      <c r="C201" s="141">
        <f>IFERROR(__xludf.DUMMYFUNCTION("""COMPUTED_VALUE"""),73.94)</f>
        <v/>
      </c>
      <c r="D201" s="141">
        <f>IFERROR(__xludf.DUMMYFUNCTION("""COMPUTED_VALUE"""),73.95)</f>
        <v/>
      </c>
      <c r="E201" s="141">
        <f>IFERROR(__xludf.DUMMYFUNCTION("""COMPUTED_VALUE"""),73.67)</f>
        <v/>
      </c>
      <c r="F201" s="141">
        <f>IFERROR(__xludf.DUMMYFUNCTION("""COMPUTED_VALUE"""),73.72)</f>
        <v/>
      </c>
      <c r="G201" s="143">
        <f>IFERROR(__xludf.DUMMYFUNCTION("""COMPUTED_VALUE"""),5760154)</f>
        <v/>
      </c>
      <c r="H201" s="27" t="n"/>
    </row>
    <row r="202" ht="17.25" customHeight="1" s="322">
      <c r="A202" s="27" t="n"/>
      <c r="B202" s="506">
        <f>IFERROR(__xludf.DUMMYFUNCTION("""COMPUTED_VALUE"""),46121.6666666666)</f>
        <v/>
      </c>
      <c r="C202" s="141">
        <f>IFERROR(__xludf.DUMMYFUNCTION("""COMPUTED_VALUE"""),73.68)</f>
        <v/>
      </c>
      <c r="D202" s="141">
        <f>IFERROR(__xludf.DUMMYFUNCTION("""COMPUTED_VALUE"""),73.89)</f>
        <v/>
      </c>
      <c r="E202" s="141">
        <f>IFERROR(__xludf.DUMMYFUNCTION("""COMPUTED_VALUE"""),73.58)</f>
        <v/>
      </c>
      <c r="F202" s="141">
        <f>IFERROR(__xludf.DUMMYFUNCTION("""COMPUTED_VALUE"""),73.75)</f>
        <v/>
      </c>
      <c r="G202" s="143">
        <f>IFERROR(__xludf.DUMMYFUNCTION("""COMPUTED_VALUE"""),5646825)</f>
        <v/>
      </c>
      <c r="H202" s="27" t="n"/>
    </row>
    <row r="203" ht="17.25" customHeight="1" s="322">
      <c r="A203" s="27" t="n"/>
      <c r="B203" s="506">
        <f>IFERROR(__xludf.DUMMYFUNCTION("""COMPUTED_VALUE"""),46122.6666666666)</f>
        <v/>
      </c>
      <c r="C203" s="141">
        <f>IFERROR(__xludf.DUMMYFUNCTION("""COMPUTED_VALUE"""),73.74)</f>
        <v/>
      </c>
      <c r="D203" s="141">
        <f>IFERROR(__xludf.DUMMYFUNCTION("""COMPUTED_VALUE"""),73.77)</f>
        <v/>
      </c>
      <c r="E203" s="141">
        <f>IFERROR(__xludf.DUMMYFUNCTION("""COMPUTED_VALUE"""),73.63)</f>
        <v/>
      </c>
      <c r="F203" s="141">
        <f>IFERROR(__xludf.DUMMYFUNCTION("""COMPUTED_VALUE"""),73.64)</f>
        <v/>
      </c>
      <c r="G203" s="143">
        <f>IFERROR(__xludf.DUMMYFUNCTION("""COMPUTED_VALUE"""),6334275)</f>
        <v/>
      </c>
      <c r="H203" s="27" t="n"/>
    </row>
    <row r="204" ht="17.25" customHeight="1" s="322">
      <c r="A204" s="27" t="n"/>
      <c r="B204" s="506">
        <f>IFERROR(__xludf.DUMMYFUNCTION("""COMPUTED_VALUE"""),46125.6666666666)</f>
        <v/>
      </c>
      <c r="C204" s="141">
        <f>IFERROR(__xludf.DUMMYFUNCTION("""COMPUTED_VALUE"""),73.64)</f>
        <v/>
      </c>
      <c r="D204" s="141">
        <f>IFERROR(__xludf.DUMMYFUNCTION("""COMPUTED_VALUE"""),73.82)</f>
        <v/>
      </c>
      <c r="E204" s="141">
        <f>IFERROR(__xludf.DUMMYFUNCTION("""COMPUTED_VALUE"""),73.6)</f>
        <v/>
      </c>
      <c r="F204" s="141">
        <f>IFERROR(__xludf.DUMMYFUNCTION("""COMPUTED_VALUE"""),73.8)</f>
        <v/>
      </c>
      <c r="G204" s="143">
        <f>IFERROR(__xludf.DUMMYFUNCTION("""COMPUTED_VALUE"""),6438078)</f>
        <v/>
      </c>
      <c r="H204" s="27" t="n"/>
    </row>
    <row r="205" ht="17.25" customHeight="1" s="322">
      <c r="A205" s="27" t="n"/>
      <c r="B205" s="506">
        <f>IFERROR(__xludf.DUMMYFUNCTION("""COMPUTED_VALUE"""),46126.6666666666)</f>
        <v/>
      </c>
      <c r="C205" s="141">
        <f>IFERROR(__xludf.DUMMYFUNCTION("""COMPUTED_VALUE"""),73.84)</f>
        <v/>
      </c>
      <c r="D205" s="141">
        <f>IFERROR(__xludf.DUMMYFUNCTION("""COMPUTED_VALUE"""),73.99)</f>
        <v/>
      </c>
      <c r="E205" s="141">
        <f>IFERROR(__xludf.DUMMYFUNCTION("""COMPUTED_VALUE"""),73.78)</f>
        <v/>
      </c>
      <c r="F205" s="141">
        <f>IFERROR(__xludf.DUMMYFUNCTION("""COMPUTED_VALUE"""),73.98)</f>
        <v/>
      </c>
      <c r="G205" s="143">
        <f>IFERROR(__xludf.DUMMYFUNCTION("""COMPUTED_VALUE"""),5600139)</f>
        <v/>
      </c>
      <c r="H205" s="27" t="n"/>
    </row>
    <row r="206" ht="17.25" customHeight="1" s="322">
      <c r="A206" s="27" t="n"/>
      <c r="B206" s="506">
        <f>IFERROR(__xludf.DUMMYFUNCTION("""COMPUTED_VALUE"""),46127.6666666666)</f>
        <v/>
      </c>
      <c r="C206" s="141">
        <f>IFERROR(__xludf.DUMMYFUNCTION("""COMPUTED_VALUE"""),73.9)</f>
        <v/>
      </c>
      <c r="D206" s="141">
        <f>IFERROR(__xludf.DUMMYFUNCTION("""COMPUTED_VALUE"""),73.93)</f>
        <v/>
      </c>
      <c r="E206" s="141">
        <f>IFERROR(__xludf.DUMMYFUNCTION("""COMPUTED_VALUE"""),73.82)</f>
        <v/>
      </c>
      <c r="F206" s="141">
        <f>IFERROR(__xludf.DUMMYFUNCTION("""COMPUTED_VALUE"""),73.88)</f>
        <v/>
      </c>
      <c r="G206" s="143">
        <f>IFERROR(__xludf.DUMMYFUNCTION("""COMPUTED_VALUE"""),6724343)</f>
        <v/>
      </c>
      <c r="H206" s="27" t="n"/>
    </row>
    <row r="207" ht="17.25" customHeight="1" s="322">
      <c r="A207" s="27" t="n"/>
      <c r="B207" s="506">
        <f>IFERROR(__xludf.DUMMYFUNCTION("""COMPUTED_VALUE"""),46128.6666666666)</f>
        <v/>
      </c>
      <c r="C207" s="141">
        <f>IFERROR(__xludf.DUMMYFUNCTION("""COMPUTED_VALUE"""),73.94)</f>
        <v/>
      </c>
      <c r="D207" s="141">
        <f>IFERROR(__xludf.DUMMYFUNCTION("""COMPUTED_VALUE"""),73.96)</f>
        <v/>
      </c>
      <c r="E207" s="141">
        <f>IFERROR(__xludf.DUMMYFUNCTION("""COMPUTED_VALUE"""),73.72)</f>
        <v/>
      </c>
      <c r="F207" s="141">
        <f>IFERROR(__xludf.DUMMYFUNCTION("""COMPUTED_VALUE"""),73.77)</f>
        <v/>
      </c>
      <c r="G207" s="143">
        <f>IFERROR(__xludf.DUMMYFUNCTION("""COMPUTED_VALUE"""),7582499)</f>
        <v/>
      </c>
      <c r="H207" s="27" t="n"/>
    </row>
    <row r="208" ht="17.25" customHeight="1" s="322">
      <c r="A208" s="27" t="n"/>
      <c r="B208" s="506">
        <f>IFERROR(__xludf.DUMMYFUNCTION("""COMPUTED_VALUE"""),46129.6666666666)</f>
        <v/>
      </c>
      <c r="C208" s="141">
        <f>IFERROR(__xludf.DUMMYFUNCTION("""COMPUTED_VALUE"""),74.06)</f>
        <v/>
      </c>
      <c r="D208" s="141">
        <f>IFERROR(__xludf.DUMMYFUNCTION("""COMPUTED_VALUE"""),74.15)</f>
        <v/>
      </c>
      <c r="E208" s="141">
        <f>IFERROR(__xludf.DUMMYFUNCTION("""COMPUTED_VALUE"""),74.01)</f>
        <v/>
      </c>
      <c r="F208" s="141">
        <f>IFERROR(__xludf.DUMMYFUNCTION("""COMPUTED_VALUE"""),74.06)</f>
        <v/>
      </c>
      <c r="G208" s="143">
        <f>IFERROR(__xludf.DUMMYFUNCTION("""COMPUTED_VALUE"""),5806931)</f>
        <v/>
      </c>
      <c r="H208" s="27" t="n"/>
    </row>
    <row r="209" ht="17.25" customHeight="1" s="322">
      <c r="A209" s="27" t="n"/>
      <c r="B209" s="506">
        <f>IFERROR(__xludf.DUMMYFUNCTION("""COMPUTED_VALUE"""),46132.6666666666)</f>
        <v/>
      </c>
      <c r="C209" s="141">
        <f>IFERROR(__xludf.DUMMYFUNCTION("""COMPUTED_VALUE"""),74.05)</f>
        <v/>
      </c>
      <c r="D209" s="141">
        <f>IFERROR(__xludf.DUMMYFUNCTION("""COMPUTED_VALUE"""),74.06)</f>
        <v/>
      </c>
      <c r="E209" s="141">
        <f>IFERROR(__xludf.DUMMYFUNCTION("""COMPUTED_VALUE"""),73.93)</f>
        <v/>
      </c>
      <c r="F209" s="141">
        <f>IFERROR(__xludf.DUMMYFUNCTION("""COMPUTED_VALUE"""),74.01)</f>
        <v/>
      </c>
      <c r="G209" s="143">
        <f>IFERROR(__xludf.DUMMYFUNCTION("""COMPUTED_VALUE"""),7609616)</f>
        <v/>
      </c>
      <c r="H209" s="27" t="n"/>
    </row>
    <row r="210" ht="17.25" customHeight="1" s="322">
      <c r="A210" s="27" t="n"/>
      <c r="B210" s="506">
        <f>IFERROR(__xludf.DUMMYFUNCTION("""COMPUTED_VALUE"""),46133.6666666666)</f>
        <v/>
      </c>
      <c r="C210" s="141">
        <f>IFERROR(__xludf.DUMMYFUNCTION("""COMPUTED_VALUE"""),73.94)</f>
        <v/>
      </c>
      <c r="D210" s="141">
        <f>IFERROR(__xludf.DUMMYFUNCTION("""COMPUTED_VALUE"""),73.97)</f>
        <v/>
      </c>
      <c r="E210" s="141">
        <f>IFERROR(__xludf.DUMMYFUNCTION("""COMPUTED_VALUE"""),73.77)</f>
        <v/>
      </c>
      <c r="F210" s="141">
        <f>IFERROR(__xludf.DUMMYFUNCTION("""COMPUTED_VALUE"""),73.78)</f>
        <v/>
      </c>
      <c r="G210" s="143">
        <f>IFERROR(__xludf.DUMMYFUNCTION("""COMPUTED_VALUE"""),5852614)</f>
        <v/>
      </c>
      <c r="H210" s="27" t="n"/>
    </row>
    <row r="211" ht="17.25" customHeight="1" s="322">
      <c r="A211" s="27" t="n"/>
      <c r="B211" s="506">
        <f>IFERROR(__xludf.DUMMYFUNCTION("""COMPUTED_VALUE"""),46134.6666666666)</f>
        <v/>
      </c>
      <c r="C211" s="141">
        <f>IFERROR(__xludf.DUMMYFUNCTION("""COMPUTED_VALUE"""),73.96)</f>
        <v/>
      </c>
      <c r="D211" s="141">
        <f>IFERROR(__xludf.DUMMYFUNCTION("""COMPUTED_VALUE"""),73.98)</f>
        <v/>
      </c>
      <c r="E211" s="141">
        <f>IFERROR(__xludf.DUMMYFUNCTION("""COMPUTED_VALUE"""),73.85)</f>
        <v/>
      </c>
      <c r="F211" s="141">
        <f>IFERROR(__xludf.DUMMYFUNCTION("""COMPUTED_VALUE"""),73.86)</f>
        <v/>
      </c>
      <c r="G211" s="143">
        <f>IFERROR(__xludf.DUMMYFUNCTION("""COMPUTED_VALUE"""),5936814)</f>
        <v/>
      </c>
      <c r="H211" s="27" t="n"/>
    </row>
    <row r="212" ht="17.25" customHeight="1" s="322">
      <c r="A212" s="27" t="n"/>
      <c r="B212" s="506">
        <f>IFERROR(__xludf.DUMMYFUNCTION("""COMPUTED_VALUE"""),46135.6666666666)</f>
        <v/>
      </c>
      <c r="C212" s="141">
        <f>IFERROR(__xludf.DUMMYFUNCTION("""COMPUTED_VALUE"""),73.86)</f>
        <v/>
      </c>
      <c r="D212" s="141">
        <f>IFERROR(__xludf.DUMMYFUNCTION("""COMPUTED_VALUE"""),73.93)</f>
        <v/>
      </c>
      <c r="E212" s="141">
        <f>IFERROR(__xludf.DUMMYFUNCTION("""COMPUTED_VALUE"""),73.62)</f>
        <v/>
      </c>
      <c r="F212" s="141">
        <f>IFERROR(__xludf.DUMMYFUNCTION("""COMPUTED_VALUE"""),73.73)</f>
        <v/>
      </c>
      <c r="G212" s="143">
        <f>IFERROR(__xludf.DUMMYFUNCTION("""COMPUTED_VALUE"""),6181452)</f>
        <v/>
      </c>
      <c r="H212" s="27" t="n"/>
    </row>
    <row r="213" ht="17.25" customHeight="1" s="322">
      <c r="A213" s="27" t="n"/>
      <c r="B213" s="506">
        <f>IFERROR(__xludf.DUMMYFUNCTION("""COMPUTED_VALUE"""),46136.6666666666)</f>
        <v/>
      </c>
      <c r="C213" s="141">
        <f>IFERROR(__xludf.DUMMYFUNCTION("""COMPUTED_VALUE"""),73.75)</f>
        <v/>
      </c>
      <c r="D213" s="141">
        <f>IFERROR(__xludf.DUMMYFUNCTION("""COMPUTED_VALUE"""),73.89)</f>
        <v/>
      </c>
      <c r="E213" s="141">
        <f>IFERROR(__xludf.DUMMYFUNCTION("""COMPUTED_VALUE"""),73.66)</f>
        <v/>
      </c>
      <c r="F213" s="141">
        <f>IFERROR(__xludf.DUMMYFUNCTION("""COMPUTED_VALUE"""),73.86)</f>
        <v/>
      </c>
      <c r="G213" s="143">
        <f>IFERROR(__xludf.DUMMYFUNCTION("""COMPUTED_VALUE"""),5118167)</f>
        <v/>
      </c>
      <c r="H213" s="27" t="n"/>
    </row>
    <row r="214" ht="17.25" customHeight="1" s="322">
      <c r="A214" s="27" t="n"/>
      <c r="B214" s="506">
        <f>IFERROR(__xludf.DUMMYFUNCTION("""COMPUTED_VALUE"""),46139.6666666666)</f>
        <v/>
      </c>
      <c r="C214" s="141">
        <f>IFERROR(__xludf.DUMMYFUNCTION("""COMPUTED_VALUE"""),73.8)</f>
        <v/>
      </c>
      <c r="D214" s="141">
        <f>IFERROR(__xludf.DUMMYFUNCTION("""COMPUTED_VALUE"""),73.85)</f>
        <v/>
      </c>
      <c r="E214" s="141">
        <f>IFERROR(__xludf.DUMMYFUNCTION("""COMPUTED_VALUE"""),73.7)</f>
        <v/>
      </c>
      <c r="F214" s="141">
        <f>IFERROR(__xludf.DUMMYFUNCTION("""COMPUTED_VALUE"""),73.74)</f>
        <v/>
      </c>
      <c r="G214" s="143">
        <f>IFERROR(__xludf.DUMMYFUNCTION("""COMPUTED_VALUE"""),6095172)</f>
        <v/>
      </c>
      <c r="H214" s="27" t="n"/>
    </row>
    <row r="215" ht="17.25" customHeight="1" s="322">
      <c r="A215" s="27" t="n"/>
      <c r="B215" s="506">
        <f>IFERROR(__xludf.DUMMYFUNCTION("""COMPUTED_VALUE"""),46140.6666666666)</f>
        <v/>
      </c>
      <c r="C215" s="141">
        <f>IFERROR(__xludf.DUMMYFUNCTION("""COMPUTED_VALUE"""),73.65)</f>
        <v/>
      </c>
      <c r="D215" s="141">
        <f>IFERROR(__xludf.DUMMYFUNCTION("""COMPUTED_VALUE"""),73.72)</f>
        <v/>
      </c>
      <c r="E215" s="141">
        <f>IFERROR(__xludf.DUMMYFUNCTION("""COMPUTED_VALUE"""),73.6)</f>
        <v/>
      </c>
      <c r="F215" s="141">
        <f>IFERROR(__xludf.DUMMYFUNCTION("""COMPUTED_VALUE"""),73.72)</f>
        <v/>
      </c>
      <c r="G215" s="143">
        <f>IFERROR(__xludf.DUMMYFUNCTION("""COMPUTED_VALUE"""),7241980)</f>
        <v/>
      </c>
      <c r="H215" s="27" t="n"/>
    </row>
    <row r="216" ht="17.25" customHeight="1" s="322">
      <c r="A216" s="27" t="n"/>
      <c r="B216" s="506">
        <f>IFERROR(__xludf.DUMMYFUNCTION("""COMPUTED_VALUE"""),46141.6666666666)</f>
        <v/>
      </c>
      <c r="C216" s="141">
        <f>IFERROR(__xludf.DUMMYFUNCTION("""COMPUTED_VALUE"""),73.55)</f>
        <v/>
      </c>
      <c r="D216" s="141">
        <f>IFERROR(__xludf.DUMMYFUNCTION("""COMPUTED_VALUE"""),73.55)</f>
        <v/>
      </c>
      <c r="E216" s="141">
        <f>IFERROR(__xludf.DUMMYFUNCTION("""COMPUTED_VALUE"""),73.32)</f>
        <v/>
      </c>
      <c r="F216" s="141">
        <f>IFERROR(__xludf.DUMMYFUNCTION("""COMPUTED_VALUE"""),73.39)</f>
        <v/>
      </c>
      <c r="G216" s="143">
        <f>IFERROR(__xludf.DUMMYFUNCTION("""COMPUTED_VALUE"""),7206969)</f>
        <v/>
      </c>
      <c r="H216" s="27" t="n"/>
    </row>
    <row r="217" ht="17.25" customHeight="1" s="322">
      <c r="A217" s="27" t="n"/>
      <c r="B217" s="506">
        <f>IFERROR(__xludf.DUMMYFUNCTION("""COMPUTED_VALUE"""),46142.6666666666)</f>
        <v/>
      </c>
      <c r="C217" s="141">
        <f>IFERROR(__xludf.DUMMYFUNCTION("""COMPUTED_VALUE"""),73.53)</f>
        <v/>
      </c>
      <c r="D217" s="141">
        <f>IFERROR(__xludf.DUMMYFUNCTION("""COMPUTED_VALUE"""),73.58)</f>
        <v/>
      </c>
      <c r="E217" s="141">
        <f>IFERROR(__xludf.DUMMYFUNCTION("""COMPUTED_VALUE"""),73.44)</f>
        <v/>
      </c>
      <c r="F217" s="141">
        <f>IFERROR(__xludf.DUMMYFUNCTION("""COMPUTED_VALUE"""),73.5)</f>
        <v/>
      </c>
      <c r="G217" s="143">
        <f>IFERROR(__xludf.DUMMYFUNCTION("""COMPUTED_VALUE"""),7829147)</f>
        <v/>
      </c>
      <c r="H217" s="27" t="n"/>
    </row>
    <row r="218" ht="17.25" customHeight="1" s="322">
      <c r="A218" s="27" t="n"/>
      <c r="B218" s="506">
        <f>IFERROR(__xludf.DUMMYFUNCTION("""COMPUTED_VALUE"""),46143.6666666666)</f>
        <v/>
      </c>
      <c r="C218" s="141">
        <f>IFERROR(__xludf.DUMMYFUNCTION("""COMPUTED_VALUE"""),73.3)</f>
        <v/>
      </c>
      <c r="D218" s="141">
        <f>IFERROR(__xludf.DUMMYFUNCTION("""COMPUTED_VALUE"""),73.53)</f>
        <v/>
      </c>
      <c r="E218" s="141">
        <f>IFERROR(__xludf.DUMMYFUNCTION("""COMPUTED_VALUE"""),73.26)</f>
        <v/>
      </c>
      <c r="F218" s="141">
        <f>IFERROR(__xludf.DUMMYFUNCTION("""COMPUTED_VALUE"""),73.36)</f>
        <v/>
      </c>
      <c r="G218" s="143">
        <f>IFERROR(__xludf.DUMMYFUNCTION("""COMPUTED_VALUE"""),6933061)</f>
        <v/>
      </c>
      <c r="H218" s="27" t="n"/>
    </row>
    <row r="219" ht="17.25" customHeight="1" s="322">
      <c r="A219" s="27" t="n"/>
      <c r="B219" s="506">
        <f>IFERROR(__xludf.DUMMYFUNCTION("""COMPUTED_VALUE"""),46146.6666666666)</f>
        <v/>
      </c>
      <c r="C219" s="141">
        <f>IFERROR(__xludf.DUMMYFUNCTION("""COMPUTED_VALUE"""),73.26)</f>
        <v/>
      </c>
      <c r="D219" s="141">
        <f>IFERROR(__xludf.DUMMYFUNCTION("""COMPUTED_VALUE"""),73.28)</f>
        <v/>
      </c>
      <c r="E219" s="141">
        <f>IFERROR(__xludf.DUMMYFUNCTION("""COMPUTED_VALUE"""),72.98)</f>
        <v/>
      </c>
      <c r="F219" s="141">
        <f>IFERROR(__xludf.DUMMYFUNCTION("""COMPUTED_VALUE"""),73.11)</f>
        <v/>
      </c>
      <c r="G219" s="143">
        <f>IFERROR(__xludf.DUMMYFUNCTION("""COMPUTED_VALUE"""),7912179)</f>
        <v/>
      </c>
      <c r="H219" s="27" t="n"/>
    </row>
    <row r="220" ht="17.25" customHeight="1" s="322">
      <c r="A220" s="27" t="n"/>
      <c r="B220" s="506">
        <f>IFERROR(__xludf.DUMMYFUNCTION("""COMPUTED_VALUE"""),46147.6666666666)</f>
        <v/>
      </c>
      <c r="C220" s="141">
        <f>IFERROR(__xludf.DUMMYFUNCTION("""COMPUTED_VALUE"""),73.19)</f>
        <v/>
      </c>
      <c r="D220" s="141">
        <f>IFERROR(__xludf.DUMMYFUNCTION("""COMPUTED_VALUE"""),73.31)</f>
        <v/>
      </c>
      <c r="E220" s="141">
        <f>IFERROR(__xludf.DUMMYFUNCTION("""COMPUTED_VALUE"""),73.18)</f>
        <v/>
      </c>
      <c r="F220" s="141">
        <f>IFERROR(__xludf.DUMMYFUNCTION("""COMPUTED_VALUE"""),73.24)</f>
        <v/>
      </c>
      <c r="G220" s="143">
        <f>IFERROR(__xludf.DUMMYFUNCTION("""COMPUTED_VALUE"""),8336196)</f>
        <v/>
      </c>
      <c r="H220" s="27" t="n"/>
    </row>
    <row r="221" ht="17.25" customHeight="1" s="322">
      <c r="A221" s="27" t="n"/>
      <c r="B221" s="506">
        <f>IFERROR(__xludf.DUMMYFUNCTION("""COMPUTED_VALUE"""),46148.6666666666)</f>
        <v/>
      </c>
      <c r="C221" s="141">
        <f>IFERROR(__xludf.DUMMYFUNCTION("""COMPUTED_VALUE"""),73.5)</f>
        <v/>
      </c>
      <c r="D221" s="141">
        <f>IFERROR(__xludf.DUMMYFUNCTION("""COMPUTED_VALUE"""),73.57)</f>
        <v/>
      </c>
      <c r="E221" s="141">
        <f>IFERROR(__xludf.DUMMYFUNCTION("""COMPUTED_VALUE"""),73.47)</f>
        <v/>
      </c>
      <c r="F221" s="141">
        <f>IFERROR(__xludf.DUMMYFUNCTION("""COMPUTED_VALUE"""),73.55)</f>
        <v/>
      </c>
      <c r="G221" s="143">
        <f>IFERROR(__xludf.DUMMYFUNCTION("""COMPUTED_VALUE"""),7658318)</f>
        <v/>
      </c>
      <c r="H221" s="27" t="n"/>
    </row>
    <row r="222" ht="17.25" customHeight="1" s="322">
      <c r="A222" s="27" t="n"/>
      <c r="B222" s="506">
        <f>IFERROR(__xludf.DUMMYFUNCTION("""COMPUTED_VALUE"""),46149.6666666666)</f>
        <v/>
      </c>
      <c r="C222" s="141">
        <f>IFERROR(__xludf.DUMMYFUNCTION("""COMPUTED_VALUE"""),73.65)</f>
        <v/>
      </c>
      <c r="D222" s="141">
        <f>IFERROR(__xludf.DUMMYFUNCTION("""COMPUTED_VALUE"""),73.65)</f>
        <v/>
      </c>
      <c r="E222" s="141">
        <f>IFERROR(__xludf.DUMMYFUNCTION("""COMPUTED_VALUE"""),73.32)</f>
        <v/>
      </c>
      <c r="F222" s="141">
        <f>IFERROR(__xludf.DUMMYFUNCTION("""COMPUTED_VALUE"""),73.36)</f>
        <v/>
      </c>
      <c r="G222" s="143">
        <f>IFERROR(__xludf.DUMMYFUNCTION("""COMPUTED_VALUE"""),9777000)</f>
        <v/>
      </c>
      <c r="H222" s="27" t="n"/>
    </row>
    <row r="223" ht="17.25" customHeight="1" s="322">
      <c r="A223" s="27" t="n"/>
      <c r="B223" s="506">
        <f>IFERROR(__xludf.DUMMYFUNCTION("""COMPUTED_VALUE"""),46150.6666666666)</f>
        <v/>
      </c>
      <c r="C223" s="141">
        <f>IFERROR(__xludf.DUMMYFUNCTION("""COMPUTED_VALUE"""),73.56)</f>
        <v/>
      </c>
      <c r="D223" s="141">
        <f>IFERROR(__xludf.DUMMYFUNCTION("""COMPUTED_VALUE"""),73.61)</f>
        <v/>
      </c>
      <c r="E223" s="141">
        <f>IFERROR(__xludf.DUMMYFUNCTION("""COMPUTED_VALUE"""),73.52)</f>
        <v/>
      </c>
      <c r="F223" s="141">
        <f>IFERROR(__xludf.DUMMYFUNCTION("""COMPUTED_VALUE"""),73.55)</f>
        <v/>
      </c>
      <c r="G223" s="143">
        <f>IFERROR(__xludf.DUMMYFUNCTION("""COMPUTED_VALUE"""),7382796)</f>
        <v/>
      </c>
      <c r="H223" s="27" t="n"/>
    </row>
    <row r="224" ht="17.25" customHeight="1" s="322">
      <c r="A224" s="27" t="n"/>
      <c r="B224" s="506">
        <f>IFERROR(__xludf.DUMMYFUNCTION("""COMPUTED_VALUE"""),46153.6666666666)</f>
        <v/>
      </c>
      <c r="C224" s="141">
        <f>IFERROR(__xludf.DUMMYFUNCTION("""COMPUTED_VALUE"""),73.47)</f>
        <v/>
      </c>
      <c r="D224" s="141">
        <f>IFERROR(__xludf.DUMMYFUNCTION("""COMPUTED_VALUE"""),73.5)</f>
        <v/>
      </c>
      <c r="E224" s="141">
        <f>IFERROR(__xludf.DUMMYFUNCTION("""COMPUTED_VALUE"""),73.36)</f>
        <v/>
      </c>
      <c r="F224" s="141">
        <f>IFERROR(__xludf.DUMMYFUNCTION("""COMPUTED_VALUE"""),73.37)</f>
        <v/>
      </c>
      <c r="G224" s="143">
        <f>IFERROR(__xludf.DUMMYFUNCTION("""COMPUTED_VALUE"""),9494208)</f>
        <v/>
      </c>
      <c r="H224" s="27" t="n"/>
    </row>
    <row r="225" ht="17.25" customHeight="1" s="322">
      <c r="A225" s="27" t="n"/>
      <c r="B225" s="506">
        <f>IFERROR(__xludf.DUMMYFUNCTION("""COMPUTED_VALUE"""),46154.6666666666)</f>
        <v/>
      </c>
      <c r="C225" s="141">
        <f>IFERROR(__xludf.DUMMYFUNCTION("""COMPUTED_VALUE"""),73.21)</f>
        <v/>
      </c>
      <c r="D225" s="141">
        <f>IFERROR(__xludf.DUMMYFUNCTION("""COMPUTED_VALUE"""),73.22)</f>
        <v/>
      </c>
      <c r="E225" s="141">
        <f>IFERROR(__xludf.DUMMYFUNCTION("""COMPUTED_VALUE"""),73.13)</f>
        <v/>
      </c>
      <c r="F225" s="141">
        <f>IFERROR(__xludf.DUMMYFUNCTION("""COMPUTED_VALUE"""),73.15)</f>
        <v/>
      </c>
      <c r="G225" s="143">
        <f>IFERROR(__xludf.DUMMYFUNCTION("""COMPUTED_VALUE"""),7431708)</f>
        <v/>
      </c>
      <c r="H225" s="27" t="n"/>
    </row>
    <row r="226" ht="17.25" customHeight="1" s="322">
      <c r="A226" s="27" t="n"/>
      <c r="B226" s="506">
        <f>IFERROR(__xludf.DUMMYFUNCTION("""COMPUTED_VALUE"""),46155.6666666666)</f>
        <v/>
      </c>
      <c r="C226" s="141">
        <f>IFERROR(__xludf.DUMMYFUNCTION("""COMPUTED_VALUE"""),73.13)</f>
        <v/>
      </c>
      <c r="D226" s="141">
        <f>IFERROR(__xludf.DUMMYFUNCTION("""COMPUTED_VALUE"""),73.19)</f>
        <v/>
      </c>
      <c r="E226" s="141">
        <f>IFERROR(__xludf.DUMMYFUNCTION("""COMPUTED_VALUE"""),73.03)</f>
        <v/>
      </c>
      <c r="F226" s="141">
        <f>IFERROR(__xludf.DUMMYFUNCTION("""COMPUTED_VALUE"""),73.18)</f>
        <v/>
      </c>
      <c r="G226" s="143">
        <f>IFERROR(__xludf.DUMMYFUNCTION("""COMPUTED_VALUE"""),10760977)</f>
        <v/>
      </c>
      <c r="H226" s="27" t="n"/>
    </row>
    <row r="227" ht="17.25" customHeight="1" s="322">
      <c r="A227" s="27" t="n"/>
      <c r="B227" s="506">
        <f>IFERROR(__xludf.DUMMYFUNCTION("""COMPUTED_VALUE"""),46156.6666666666)</f>
        <v/>
      </c>
      <c r="C227" s="141">
        <f>IFERROR(__xludf.DUMMYFUNCTION("""COMPUTED_VALUE"""),73.22)</f>
        <v/>
      </c>
      <c r="D227" s="141">
        <f>IFERROR(__xludf.DUMMYFUNCTION("""COMPUTED_VALUE"""),73.38)</f>
        <v/>
      </c>
      <c r="E227" s="141">
        <f>IFERROR(__xludf.DUMMYFUNCTION("""COMPUTED_VALUE"""),73.15)</f>
        <v/>
      </c>
      <c r="F227" s="141">
        <f>IFERROR(__xludf.DUMMYFUNCTION("""COMPUTED_VALUE"""),73.16)</f>
        <v/>
      </c>
      <c r="G227" s="143">
        <f>IFERROR(__xludf.DUMMYFUNCTION("""COMPUTED_VALUE"""),6262495)</f>
        <v/>
      </c>
      <c r="H227" s="27" t="n"/>
    </row>
    <row r="228" ht="17.25" customHeight="1" s="322">
      <c r="A228" s="27" t="n"/>
      <c r="B228" s="506">
        <f>IFERROR(__xludf.DUMMYFUNCTION("""COMPUTED_VALUE"""),46157.6666666666)</f>
        <v/>
      </c>
      <c r="C228" s="141">
        <f>IFERROR(__xludf.DUMMYFUNCTION("""COMPUTED_VALUE"""),72.82)</f>
        <v/>
      </c>
      <c r="D228" s="141">
        <f>IFERROR(__xludf.DUMMYFUNCTION("""COMPUTED_VALUE"""),72.83)</f>
        <v/>
      </c>
      <c r="E228" s="141">
        <f>IFERROR(__xludf.DUMMYFUNCTION("""COMPUTED_VALUE"""),72.69)</f>
        <v/>
      </c>
      <c r="F228" s="141">
        <f>IFERROR(__xludf.DUMMYFUNCTION("""COMPUTED_VALUE"""),72.74)</f>
        <v/>
      </c>
      <c r="G228" s="143">
        <f>IFERROR(__xludf.DUMMYFUNCTION("""COMPUTED_VALUE"""),12189889)</f>
        <v/>
      </c>
      <c r="H228" s="27" t="n"/>
    </row>
    <row r="229" ht="17.25" customHeight="1" s="322">
      <c r="A229" s="27" t="n"/>
      <c r="B229" s="506">
        <f>IFERROR(__xludf.DUMMYFUNCTION("""COMPUTED_VALUE"""),46160.6666666666)</f>
        <v/>
      </c>
      <c r="C229" s="141">
        <f>IFERROR(__xludf.DUMMYFUNCTION("""COMPUTED_VALUE"""),72.78)</f>
        <v/>
      </c>
      <c r="D229" s="141">
        <f>IFERROR(__xludf.DUMMYFUNCTION("""COMPUTED_VALUE"""),72.86)</f>
        <v/>
      </c>
      <c r="E229" s="141">
        <f>IFERROR(__xludf.DUMMYFUNCTION("""COMPUTED_VALUE"""),72.59)</f>
        <v/>
      </c>
      <c r="F229" s="141">
        <f>IFERROR(__xludf.DUMMYFUNCTION("""COMPUTED_VALUE"""),72.69)</f>
        <v/>
      </c>
      <c r="G229" s="143">
        <f>IFERROR(__xludf.DUMMYFUNCTION("""COMPUTED_VALUE"""),8771711)</f>
        <v/>
      </c>
      <c r="H229" s="27" t="n"/>
    </row>
    <row r="230" ht="17.25" customHeight="1" s="322">
      <c r="A230" s="27" t="n"/>
      <c r="B230" s="506">
        <f>IFERROR(__xludf.DUMMYFUNCTION("""COMPUTED_VALUE"""),46161.6666666666)</f>
        <v/>
      </c>
      <c r="C230" s="141">
        <f>IFERROR(__xludf.DUMMYFUNCTION("""COMPUTED_VALUE"""),72.47)</f>
        <v/>
      </c>
      <c r="D230" s="141">
        <f>IFERROR(__xludf.DUMMYFUNCTION("""COMPUTED_VALUE"""),72.55)</f>
        <v/>
      </c>
      <c r="E230" s="141">
        <f>IFERROR(__xludf.DUMMYFUNCTION("""COMPUTED_VALUE"""),72.34)</f>
        <v/>
      </c>
      <c r="F230" s="141">
        <f>IFERROR(__xludf.DUMMYFUNCTION("""COMPUTED_VALUE"""),72.45)</f>
        <v/>
      </c>
      <c r="G230" s="143">
        <f>IFERROR(__xludf.DUMMYFUNCTION("""COMPUTED_VALUE"""),13221170)</f>
        <v/>
      </c>
      <c r="H230" s="27" t="n"/>
    </row>
    <row r="231" ht="17.25" customHeight="1" s="322">
      <c r="A231" s="27" t="n"/>
      <c r="B231" s="506">
        <f>IFERROR(__xludf.DUMMYFUNCTION("""COMPUTED_VALUE"""),46162.6666666666)</f>
        <v/>
      </c>
      <c r="C231" s="141">
        <f>IFERROR(__xludf.DUMMYFUNCTION("""COMPUTED_VALUE"""),72.47)</f>
        <v/>
      </c>
      <c r="D231" s="141">
        <f>IFERROR(__xludf.DUMMYFUNCTION("""COMPUTED_VALUE"""),72.9)</f>
        <v/>
      </c>
      <c r="E231" s="141">
        <f>IFERROR(__xludf.DUMMYFUNCTION("""COMPUTED_VALUE"""),72.46)</f>
        <v/>
      </c>
      <c r="F231" s="141">
        <f>IFERROR(__xludf.DUMMYFUNCTION("""COMPUTED_VALUE"""),72.85)</f>
        <v/>
      </c>
      <c r="G231" s="143">
        <f>IFERROR(__xludf.DUMMYFUNCTION("""COMPUTED_VALUE"""),11123006)</f>
        <v/>
      </c>
      <c r="H231" s="27" t="n"/>
    </row>
    <row r="232" ht="17.25" customHeight="1" s="322">
      <c r="A232" s="27" t="n"/>
      <c r="B232" s="506">
        <f>IFERROR(__xludf.DUMMYFUNCTION("""COMPUTED_VALUE"""),46163.6666666666)</f>
        <v/>
      </c>
      <c r="C232" s="141">
        <f>IFERROR(__xludf.DUMMYFUNCTION("""COMPUTED_VALUE"""),72.65)</f>
        <v/>
      </c>
      <c r="D232" s="141">
        <f>IFERROR(__xludf.DUMMYFUNCTION("""COMPUTED_VALUE"""),72.94)</f>
        <v/>
      </c>
      <c r="E232" s="141">
        <f>IFERROR(__xludf.DUMMYFUNCTION("""COMPUTED_VALUE"""),72.58)</f>
        <v/>
      </c>
      <c r="F232" s="141">
        <f>IFERROR(__xludf.DUMMYFUNCTION("""COMPUTED_VALUE"""),72.93)</f>
        <v/>
      </c>
      <c r="G232" s="143">
        <f>IFERROR(__xludf.DUMMYFUNCTION("""COMPUTED_VALUE"""),10364598)</f>
        <v/>
      </c>
      <c r="H232" s="27" t="n"/>
    </row>
    <row r="233" ht="17.25" customHeight="1" s="322">
      <c r="A233" s="27" t="n"/>
      <c r="B233" s="506">
        <f>IFERROR(__xludf.DUMMYFUNCTION("""COMPUTED_VALUE"""),46164.6666666666)</f>
        <v/>
      </c>
      <c r="C233" s="141">
        <f>IFERROR(__xludf.DUMMYFUNCTION("""COMPUTED_VALUE"""),73.04)</f>
        <v/>
      </c>
      <c r="D233" s="141">
        <f>IFERROR(__xludf.DUMMYFUNCTION("""COMPUTED_VALUE"""),73.05)</f>
        <v/>
      </c>
      <c r="E233" s="141">
        <f>IFERROR(__xludf.DUMMYFUNCTION("""COMPUTED_VALUE"""),72.82)</f>
        <v/>
      </c>
      <c r="F233" s="141">
        <f>IFERROR(__xludf.DUMMYFUNCTION("""COMPUTED_VALUE"""),73)</f>
        <v/>
      </c>
      <c r="G233" s="143">
        <f>IFERROR(__xludf.DUMMYFUNCTION("""COMPUTED_VALUE"""),6824183)</f>
        <v/>
      </c>
      <c r="H233" s="27" t="n"/>
    </row>
    <row r="234" ht="17.25" customHeight="1" s="322">
      <c r="A234" s="27" t="n"/>
      <c r="B234" s="506">
        <f>IFERROR(__xludf.DUMMYFUNCTION("""COMPUTED_VALUE"""),46168.6666666666)</f>
        <v/>
      </c>
      <c r="C234" s="141">
        <f>IFERROR(__xludf.DUMMYFUNCTION("""COMPUTED_VALUE"""),73.26)</f>
        <v/>
      </c>
      <c r="D234" s="141">
        <f>IFERROR(__xludf.DUMMYFUNCTION("""COMPUTED_VALUE"""),73.28)</f>
        <v/>
      </c>
      <c r="E234" s="141">
        <f>IFERROR(__xludf.DUMMYFUNCTION("""COMPUTED_VALUE"""),73.13)</f>
        <v/>
      </c>
      <c r="F234" s="141">
        <f>IFERROR(__xludf.DUMMYFUNCTION("""COMPUTED_VALUE"""),73.21)</f>
        <v/>
      </c>
      <c r="G234" s="143">
        <f>IFERROR(__xludf.DUMMYFUNCTION("""COMPUTED_VALUE"""),7379325)</f>
        <v/>
      </c>
      <c r="H234" s="27" t="n"/>
    </row>
    <row r="235" ht="17.25" customHeight="1" s="322">
      <c r="A235" s="27" t="n"/>
      <c r="B235" s="506">
        <f>IFERROR(__xludf.DUMMYFUNCTION("""COMPUTED_VALUE"""),46169.6666666666)</f>
        <v/>
      </c>
      <c r="C235" s="141">
        <f>IFERROR(__xludf.DUMMYFUNCTION("""COMPUTED_VALUE"""),73.29)</f>
        <v/>
      </c>
      <c r="D235" s="141">
        <f>IFERROR(__xludf.DUMMYFUNCTION("""COMPUTED_VALUE"""),73.34)</f>
        <v/>
      </c>
      <c r="E235" s="141">
        <f>IFERROR(__xludf.DUMMYFUNCTION("""COMPUTED_VALUE"""),73.24)</f>
        <v/>
      </c>
      <c r="F235" s="141">
        <f>IFERROR(__xludf.DUMMYFUNCTION("""COMPUTED_VALUE"""),73.28)</f>
        <v/>
      </c>
      <c r="G235" s="143">
        <f>IFERROR(__xludf.DUMMYFUNCTION("""COMPUTED_VALUE"""),7353305)</f>
        <v/>
      </c>
      <c r="H235" s="27" t="n"/>
    </row>
    <row r="236" ht="17.25" customHeight="1" s="322">
      <c r="A236" s="27" t="n"/>
      <c r="B236" s="506">
        <f>IFERROR(__xludf.DUMMYFUNCTION("""COMPUTED_VALUE"""),46170.6666666666)</f>
        <v/>
      </c>
      <c r="C236" s="141">
        <f>IFERROR(__xludf.DUMMYFUNCTION("""COMPUTED_VALUE"""),73.29)</f>
        <v/>
      </c>
      <c r="D236" s="141">
        <f>IFERROR(__xludf.DUMMYFUNCTION("""COMPUTED_VALUE"""),73.47)</f>
        <v/>
      </c>
      <c r="E236" s="141">
        <f>IFERROR(__xludf.DUMMYFUNCTION("""COMPUTED_VALUE"""),73.24)</f>
        <v/>
      </c>
      <c r="F236" s="141">
        <f>IFERROR(__xludf.DUMMYFUNCTION("""COMPUTED_VALUE"""),73.42)</f>
        <v/>
      </c>
      <c r="G236" s="143">
        <f>IFERROR(__xludf.DUMMYFUNCTION("""COMPUTED_VALUE"""),7245494)</f>
        <v/>
      </c>
      <c r="H236" s="27" t="n"/>
    </row>
    <row r="237" ht="17.25" customHeight="1" s="322">
      <c r="A237" s="27" t="n"/>
      <c r="B237" s="506">
        <f>IFERROR(__xludf.DUMMYFUNCTION("""COMPUTED_VALUE"""),46171.6666666666)</f>
        <v/>
      </c>
      <c r="C237" s="141">
        <f>IFERROR(__xludf.DUMMYFUNCTION("""COMPUTED_VALUE"""),73.47)</f>
        <v/>
      </c>
      <c r="D237" s="141">
        <f>IFERROR(__xludf.DUMMYFUNCTION("""COMPUTED_VALUE"""),73.55)</f>
        <v/>
      </c>
      <c r="E237" s="141">
        <f>IFERROR(__xludf.DUMMYFUNCTION("""COMPUTED_VALUE"""),73.38)</f>
        <v/>
      </c>
      <c r="F237" s="141">
        <f>IFERROR(__xludf.DUMMYFUNCTION("""COMPUTED_VALUE"""),73.46)</f>
        <v/>
      </c>
      <c r="G237" s="143">
        <f>IFERROR(__xludf.DUMMYFUNCTION("""COMPUTED_VALUE"""),9178332)</f>
        <v/>
      </c>
      <c r="H237" s="27" t="n"/>
    </row>
    <row r="238" ht="17.25" customHeight="1" s="322">
      <c r="A238" s="27" t="n"/>
      <c r="B238" s="506">
        <f>IFERROR(__xludf.DUMMYFUNCTION("""COMPUTED_VALUE"""),46174.6666666666)</f>
        <v/>
      </c>
      <c r="C238" s="141">
        <f>IFERROR(__xludf.DUMMYFUNCTION("""COMPUTED_VALUE"""),73)</f>
        <v/>
      </c>
      <c r="D238" s="141">
        <f>IFERROR(__xludf.DUMMYFUNCTION("""COMPUTED_VALUE"""),73.19)</f>
        <v/>
      </c>
      <c r="E238" s="141">
        <f>IFERROR(__xludf.DUMMYFUNCTION("""COMPUTED_VALUE"""),72.94)</f>
        <v/>
      </c>
      <c r="F238" s="141">
        <f>IFERROR(__xludf.DUMMYFUNCTION("""COMPUTED_VALUE"""),73.18)</f>
        <v/>
      </c>
      <c r="G238" s="143">
        <f>IFERROR(__xludf.DUMMYFUNCTION("""COMPUTED_VALUE"""),7268319)</f>
        <v/>
      </c>
      <c r="H238" s="27" t="n"/>
    </row>
    <row r="239" ht="17.25" customHeight="1" s="322">
      <c r="A239" s="27" t="n"/>
      <c r="B239" s="506">
        <f>IFERROR(__xludf.DUMMYFUNCTION("""COMPUTED_VALUE"""),46175.6666666666)</f>
        <v/>
      </c>
      <c r="C239" s="141">
        <f>IFERROR(__xludf.DUMMYFUNCTION("""COMPUTED_VALUE"""),73.27)</f>
        <v/>
      </c>
      <c r="D239" s="141">
        <f>IFERROR(__xludf.DUMMYFUNCTION("""COMPUTED_VALUE"""),73.3)</f>
        <v/>
      </c>
      <c r="E239" s="141">
        <f>IFERROR(__xludf.DUMMYFUNCTION("""COMPUTED_VALUE"""),73.16)</f>
        <v/>
      </c>
      <c r="F239" s="141">
        <f>IFERROR(__xludf.DUMMYFUNCTION("""COMPUTED_VALUE"""),73.2)</f>
        <v/>
      </c>
      <c r="G239" s="143">
        <f>IFERROR(__xludf.DUMMYFUNCTION("""COMPUTED_VALUE"""),7682672)</f>
        <v/>
      </c>
      <c r="H239" s="27" t="n"/>
    </row>
    <row r="240" ht="17.25" customHeight="1" s="322">
      <c r="A240" s="27" t="n"/>
      <c r="B240" s="506">
        <f>IFERROR(__xludf.DUMMYFUNCTION("""COMPUTED_VALUE"""),46176.6666666666)</f>
        <v/>
      </c>
      <c r="C240" s="141">
        <f>IFERROR(__xludf.DUMMYFUNCTION("""COMPUTED_VALUE"""),73.04)</f>
        <v/>
      </c>
      <c r="D240" s="141">
        <f>IFERROR(__xludf.DUMMYFUNCTION("""COMPUTED_VALUE"""),73.12)</f>
        <v/>
      </c>
      <c r="E240" s="141">
        <f>IFERROR(__xludf.DUMMYFUNCTION("""COMPUTED_VALUE"""),72.98)</f>
        <v/>
      </c>
      <c r="F240" s="141">
        <f>IFERROR(__xludf.DUMMYFUNCTION("""COMPUTED_VALUE"""),73.06)</f>
        <v/>
      </c>
      <c r="G240" s="143">
        <f>IFERROR(__xludf.DUMMYFUNCTION("""COMPUTED_VALUE"""),9330688)</f>
        <v/>
      </c>
      <c r="H240" s="27" t="n"/>
    </row>
    <row r="241" ht="17.25" customHeight="1" s="322">
      <c r="A241" s="27" t="n"/>
      <c r="B241" s="506">
        <f>IFERROR(__xludf.DUMMYFUNCTION("""COMPUTED_VALUE"""),46177.6666666666)</f>
        <v/>
      </c>
      <c r="C241" s="141">
        <f>IFERROR(__xludf.DUMMYFUNCTION("""COMPUTED_VALUE"""),73.19)</f>
        <v/>
      </c>
      <c r="D241" s="141">
        <f>IFERROR(__xludf.DUMMYFUNCTION("""COMPUTED_VALUE"""),73.23)</f>
        <v/>
      </c>
      <c r="E241" s="141">
        <f>IFERROR(__xludf.DUMMYFUNCTION("""COMPUTED_VALUE"""),73.13)</f>
        <v/>
      </c>
      <c r="F241" s="141">
        <f>IFERROR(__xludf.DUMMYFUNCTION("""COMPUTED_VALUE"""),73.16)</f>
        <v/>
      </c>
      <c r="G241" s="143">
        <f>IFERROR(__xludf.DUMMYFUNCTION("""COMPUTED_VALUE"""),6815030)</f>
        <v/>
      </c>
      <c r="H241" s="27" t="n"/>
    </row>
    <row r="242" ht="17.25" customHeight="1" s="322">
      <c r="A242" s="27" t="n"/>
      <c r="B242" s="506">
        <f>IFERROR(__xludf.DUMMYFUNCTION("""COMPUTED_VALUE"""),46178.6666666666)</f>
        <v/>
      </c>
      <c r="C242" s="141">
        <f>IFERROR(__xludf.DUMMYFUNCTION("""COMPUTED_VALUE"""),72.94)</f>
        <v/>
      </c>
      <c r="D242" s="141">
        <f>IFERROR(__xludf.DUMMYFUNCTION("""COMPUTED_VALUE"""),72.95)</f>
        <v/>
      </c>
      <c r="E242" s="141">
        <f>IFERROR(__xludf.DUMMYFUNCTION("""COMPUTED_VALUE"""),72.82)</f>
        <v/>
      </c>
      <c r="F242" s="141">
        <f>IFERROR(__xludf.DUMMYFUNCTION("""COMPUTED_VALUE"""),72.83)</f>
        <v/>
      </c>
      <c r="G242" s="143">
        <f>IFERROR(__xludf.DUMMYFUNCTION("""COMPUTED_VALUE"""),8487197)</f>
        <v/>
      </c>
      <c r="H242" s="27" t="n"/>
    </row>
    <row r="243" ht="17.25" customHeight="1" s="322">
      <c r="A243" s="27" t="n"/>
      <c r="B243" s="506">
        <f>IFERROR(__xludf.DUMMYFUNCTION("""COMPUTED_VALUE"""),46181.6666666666)</f>
        <v/>
      </c>
      <c r="C243" s="141">
        <f>IFERROR(__xludf.DUMMYFUNCTION("""COMPUTED_VALUE"""),72.98)</f>
        <v/>
      </c>
      <c r="D243" s="141">
        <f>IFERROR(__xludf.DUMMYFUNCTION("""COMPUTED_VALUE"""),73.01)</f>
        <v/>
      </c>
      <c r="E243" s="141">
        <f>IFERROR(__xludf.DUMMYFUNCTION("""COMPUTED_VALUE"""),72.8)</f>
        <v/>
      </c>
      <c r="F243" s="141">
        <f>IFERROR(__xludf.DUMMYFUNCTION("""COMPUTED_VALUE"""),72.81)</f>
        <v/>
      </c>
      <c r="G243" s="143">
        <f>IFERROR(__xludf.DUMMYFUNCTION("""COMPUTED_VALUE"""),14018969)</f>
        <v/>
      </c>
      <c r="H243" s="27" t="n"/>
    </row>
    <row r="244" ht="17.25" customHeight="1" s="322">
      <c r="A244" s="27" t="n"/>
      <c r="B244" s="506">
        <f>IFERROR(__xludf.DUMMYFUNCTION("""COMPUTED_VALUE"""),46182.6666666666)</f>
        <v/>
      </c>
      <c r="C244" s="141">
        <f>IFERROR(__xludf.DUMMYFUNCTION("""COMPUTED_VALUE"""),72.92)</f>
        <v/>
      </c>
      <c r="D244" s="141">
        <f>IFERROR(__xludf.DUMMYFUNCTION("""COMPUTED_VALUE"""),73)</f>
        <v/>
      </c>
      <c r="E244" s="141">
        <f>IFERROR(__xludf.DUMMYFUNCTION("""COMPUTED_VALUE"""),72.84)</f>
        <v/>
      </c>
      <c r="F244" s="141">
        <f>IFERROR(__xludf.DUMMYFUNCTION("""COMPUTED_VALUE"""),72.97)</f>
        <v/>
      </c>
      <c r="G244" s="143">
        <f>IFERROR(__xludf.DUMMYFUNCTION("""COMPUTED_VALUE"""),8703469)</f>
        <v/>
      </c>
      <c r="H244" s="27" t="n"/>
    </row>
    <row r="245" ht="17.25" customHeight="1" s="322">
      <c r="A245" s="27" t="n"/>
      <c r="B245" s="506">
        <f>IFERROR(__xludf.DUMMYFUNCTION("""COMPUTED_VALUE"""),46183.6666666666)</f>
        <v/>
      </c>
      <c r="C245" s="141">
        <f>IFERROR(__xludf.DUMMYFUNCTION("""COMPUTED_VALUE"""),72.97)</f>
        <v/>
      </c>
      <c r="D245" s="141">
        <f>IFERROR(__xludf.DUMMYFUNCTION("""COMPUTED_VALUE"""),73.04)</f>
        <v/>
      </c>
      <c r="E245" s="141">
        <f>IFERROR(__xludf.DUMMYFUNCTION("""COMPUTED_VALUE"""),72.84)</f>
        <v/>
      </c>
      <c r="F245" s="141">
        <f>IFERROR(__xludf.DUMMYFUNCTION("""COMPUTED_VALUE"""),72.91)</f>
        <v/>
      </c>
      <c r="G245" s="143">
        <f>IFERROR(__xludf.DUMMYFUNCTION("""COMPUTED_VALUE"""),5252524)</f>
        <v/>
      </c>
      <c r="H245" s="27" t="n"/>
    </row>
    <row r="246" ht="17.25" customHeight="1" s="322">
      <c r="A246" s="27" t="n"/>
      <c r="B246" s="506">
        <f>IFERROR(__xludf.DUMMYFUNCTION("""COMPUTED_VALUE"""),46184.6666666666)</f>
        <v/>
      </c>
      <c r="C246" s="141">
        <f>IFERROR(__xludf.DUMMYFUNCTION("""COMPUTED_VALUE"""),72.98)</f>
        <v/>
      </c>
      <c r="D246" s="141">
        <f>IFERROR(__xludf.DUMMYFUNCTION("""COMPUTED_VALUE"""),73.36)</f>
        <v/>
      </c>
      <c r="E246" s="141">
        <f>IFERROR(__xludf.DUMMYFUNCTION("""COMPUTED_VALUE"""),72.93)</f>
        <v/>
      </c>
      <c r="F246" s="141">
        <f>IFERROR(__xludf.DUMMYFUNCTION("""COMPUTED_VALUE"""),73.33)</f>
        <v/>
      </c>
      <c r="G246" s="143">
        <f>IFERROR(__xludf.DUMMYFUNCTION("""COMPUTED_VALUE"""),9058743)</f>
        <v/>
      </c>
      <c r="H246" s="27" t="n"/>
    </row>
    <row r="247" ht="17.25" customHeight="1" s="322">
      <c r="A247" s="27" t="n"/>
      <c r="B247" s="506">
        <f>IFERROR(__xludf.DUMMYFUNCTION("""COMPUTED_VALUE"""),46185.6666666666)</f>
        <v/>
      </c>
      <c r="C247" s="141">
        <f>IFERROR(__xludf.DUMMYFUNCTION("""COMPUTED_VALUE"""),73.21)</f>
        <v/>
      </c>
      <c r="D247" s="141">
        <f>IFERROR(__xludf.DUMMYFUNCTION("""COMPUTED_VALUE"""),73.29)</f>
        <v/>
      </c>
      <c r="E247" s="141">
        <f>IFERROR(__xludf.DUMMYFUNCTION("""COMPUTED_VALUE"""),73.11)</f>
        <v/>
      </c>
      <c r="F247" s="141">
        <f>IFERROR(__xludf.DUMMYFUNCTION("""COMPUTED_VALUE"""),73.24)</f>
        <v/>
      </c>
      <c r="G247" s="143">
        <f>IFERROR(__xludf.DUMMYFUNCTION("""COMPUTED_VALUE"""),7381030)</f>
        <v/>
      </c>
      <c r="H247" s="27" t="n"/>
    </row>
    <row r="248" ht="17.25" customHeight="1" s="322">
      <c r="A248" s="27" t="n"/>
      <c r="B248" s="506">
        <f>IFERROR(__xludf.DUMMYFUNCTION("""COMPUTED_VALUE"""),46188.6666666666)</f>
        <v/>
      </c>
      <c r="C248" s="141">
        <f>IFERROR(__xludf.DUMMYFUNCTION("""COMPUTED_VALUE"""),73.38)</f>
        <v/>
      </c>
      <c r="D248" s="141">
        <f>IFERROR(__xludf.DUMMYFUNCTION("""COMPUTED_VALUE"""),73.43)</f>
        <v/>
      </c>
      <c r="E248" s="141">
        <f>IFERROR(__xludf.DUMMYFUNCTION("""COMPUTED_VALUE"""),73.29)</f>
        <v/>
      </c>
      <c r="F248" s="141">
        <f>IFERROR(__xludf.DUMMYFUNCTION("""COMPUTED_VALUE"""),73.3)</f>
        <v/>
      </c>
      <c r="G248" s="143">
        <f>IFERROR(__xludf.DUMMYFUNCTION("""COMPUTED_VALUE"""),7738295)</f>
        <v/>
      </c>
      <c r="H248" s="27" t="n"/>
    </row>
    <row r="249" ht="17.25" customHeight="1" s="322">
      <c r="A249" s="27" t="n"/>
      <c r="B249" s="506">
        <f>IFERROR(__xludf.DUMMYFUNCTION("""COMPUTED_VALUE"""),46189.6666666666)</f>
        <v/>
      </c>
      <c r="C249" s="141">
        <f>IFERROR(__xludf.DUMMYFUNCTION("""COMPUTED_VALUE"""),73.34)</f>
        <v/>
      </c>
      <c r="D249" s="141">
        <f>IFERROR(__xludf.DUMMYFUNCTION("""COMPUTED_VALUE"""),73.48)</f>
        <v/>
      </c>
      <c r="E249" s="141">
        <f>IFERROR(__xludf.DUMMYFUNCTION("""COMPUTED_VALUE"""),73.32)</f>
        <v/>
      </c>
      <c r="F249" s="141">
        <f>IFERROR(__xludf.DUMMYFUNCTION("""COMPUTED_VALUE"""),73.41)</f>
        <v/>
      </c>
      <c r="G249" s="143">
        <f>IFERROR(__xludf.DUMMYFUNCTION("""COMPUTED_VALUE"""),5902839)</f>
        <v/>
      </c>
      <c r="H249" s="27" t="n"/>
    </row>
    <row r="250" ht="17.25" customHeight="1" s="322">
      <c r="A250" s="27" t="n"/>
      <c r="B250" s="506">
        <f>IFERROR(__xludf.DUMMYFUNCTION("""COMPUTED_VALUE"""),46190.6666666666)</f>
        <v/>
      </c>
      <c r="C250" s="141">
        <f>IFERROR(__xludf.DUMMYFUNCTION("""COMPUTED_VALUE"""),73.42)</f>
        <v/>
      </c>
      <c r="D250" s="141">
        <f>IFERROR(__xludf.DUMMYFUNCTION("""COMPUTED_VALUE"""),73.47)</f>
        <v/>
      </c>
      <c r="E250" s="141">
        <f>IFERROR(__xludf.DUMMYFUNCTION("""COMPUTED_VALUE"""),73.12)</f>
        <v/>
      </c>
      <c r="F250" s="141">
        <f>IFERROR(__xludf.DUMMYFUNCTION("""COMPUTED_VALUE"""),73.14)</f>
        <v/>
      </c>
      <c r="G250" s="143">
        <f>IFERROR(__xludf.DUMMYFUNCTION("""COMPUTED_VALUE"""),8531607)</f>
        <v/>
      </c>
      <c r="H250" s="27" t="n"/>
    </row>
    <row r="251" ht="17.25" customHeight="1" s="322">
      <c r="A251" s="27" t="n"/>
      <c r="B251" s="506">
        <f>IFERROR(__xludf.DUMMYFUNCTION("""COMPUTED_VALUE"""),46191.6666666666)</f>
        <v/>
      </c>
      <c r="C251" s="141">
        <f>IFERROR(__xludf.DUMMYFUNCTION("""COMPUTED_VALUE"""),73.32)</f>
        <v/>
      </c>
      <c r="D251" s="141">
        <f>IFERROR(__xludf.DUMMYFUNCTION("""COMPUTED_VALUE"""),73.5)</f>
        <v/>
      </c>
      <c r="E251" s="141">
        <f>IFERROR(__xludf.DUMMYFUNCTION("""COMPUTED_VALUE"""),73.32)</f>
        <v/>
      </c>
      <c r="F251" s="141">
        <f>IFERROR(__xludf.DUMMYFUNCTION("""COMPUTED_VALUE"""),73.34)</f>
        <v/>
      </c>
      <c r="G251" s="143">
        <f>IFERROR(__xludf.DUMMYFUNCTION("""COMPUTED_VALUE"""),6312453)</f>
        <v/>
      </c>
      <c r="H251" s="27" t="n"/>
    </row>
    <row r="252" ht="17.25" customHeight="1" s="322">
      <c r="A252" s="27" t="n"/>
      <c r="B252" s="506">
        <f>IFERROR(__xludf.DUMMYFUNCTION("""COMPUTED_VALUE"""),46195.6666666666)</f>
        <v/>
      </c>
      <c r="C252" s="141">
        <f>IFERROR(__xludf.DUMMYFUNCTION("""COMPUTED_VALUE"""),73.17)</f>
        <v/>
      </c>
      <c r="D252" s="141">
        <f>IFERROR(__xludf.DUMMYFUNCTION("""COMPUTED_VALUE"""),73.22)</f>
        <v/>
      </c>
      <c r="E252" s="141">
        <f>IFERROR(__xludf.DUMMYFUNCTION("""COMPUTED_VALUE"""),73.11)</f>
        <v/>
      </c>
      <c r="F252" s="141">
        <f>IFERROR(__xludf.DUMMYFUNCTION("""COMPUTED_VALUE"""),73.14)</f>
        <v/>
      </c>
      <c r="G252" s="143">
        <f>IFERROR(__xludf.DUMMYFUNCTION("""COMPUTED_VALUE"""),7359409)</f>
        <v/>
      </c>
      <c r="H252" s="27" t="n"/>
    </row>
    <row r="253" ht="17.25" customHeight="1" s="322">
      <c r="A253" s="27" t="n"/>
      <c r="B253" s="506">
        <f>IFERROR(__xludf.DUMMYFUNCTION("""COMPUTED_VALUE"""),46196.6666666666)</f>
        <v/>
      </c>
      <c r="C253" s="141">
        <f>IFERROR(__xludf.DUMMYFUNCTION("""COMPUTED_VALUE"""),73.18)</f>
        <v/>
      </c>
      <c r="D253" s="141">
        <f>IFERROR(__xludf.DUMMYFUNCTION("""COMPUTED_VALUE"""),73.3)</f>
        <v/>
      </c>
      <c r="E253" s="141">
        <f>IFERROR(__xludf.DUMMYFUNCTION("""COMPUTED_VALUE"""),73.18)</f>
        <v/>
      </c>
      <c r="F253" s="141">
        <f>IFERROR(__xludf.DUMMYFUNCTION("""COMPUTED_VALUE"""),73.22)</f>
        <v/>
      </c>
      <c r="G253" s="143">
        <f>IFERROR(__xludf.DUMMYFUNCTION("""COMPUTED_VALUE"""),7081818)</f>
        <v/>
      </c>
      <c r="H253" s="27" t="n"/>
    </row>
    <row r="254" ht="17.25" customHeight="1" s="322">
      <c r="A254" s="27" t="n"/>
      <c r="B254" s="506">
        <f>IFERROR(__xludf.DUMMYFUNCTION("""COMPUTED_VALUE"""),46197.6666666666)</f>
        <v/>
      </c>
      <c r="C254" s="141">
        <f>IFERROR(__xludf.DUMMYFUNCTION("""COMPUTED_VALUE"""),73.48)</f>
        <v/>
      </c>
      <c r="D254" s="141">
        <f>IFERROR(__xludf.DUMMYFUNCTION("""COMPUTED_VALUE"""),73.6)</f>
        <v/>
      </c>
      <c r="E254" s="141">
        <f>IFERROR(__xludf.DUMMYFUNCTION("""COMPUTED_VALUE"""),73.46)</f>
        <v/>
      </c>
      <c r="F254" s="141">
        <f>IFERROR(__xludf.DUMMYFUNCTION("""COMPUTED_VALUE"""),73.55)</f>
        <v/>
      </c>
      <c r="G254" s="143">
        <f>IFERROR(__xludf.DUMMYFUNCTION("""COMPUTED_VALUE"""),7819390)</f>
        <v/>
      </c>
      <c r="H254" s="27" t="n"/>
    </row>
    <row r="255" ht="17.25" customHeight="1" s="322">
      <c r="A255" s="27" t="n"/>
      <c r="B255" s="506">
        <f>IFERROR(__xludf.DUMMYFUNCTION("""COMPUTED_VALUE"""),46198.6666666666)</f>
        <v/>
      </c>
      <c r="C255" s="141">
        <f>IFERROR(__xludf.DUMMYFUNCTION("""COMPUTED_VALUE"""),73.65)</f>
        <v/>
      </c>
      <c r="D255" s="141">
        <f>IFERROR(__xludf.DUMMYFUNCTION("""COMPUTED_VALUE"""),73.73)</f>
        <v/>
      </c>
      <c r="E255" s="141">
        <f>IFERROR(__xludf.DUMMYFUNCTION("""COMPUTED_VALUE"""),73.59)</f>
        <v/>
      </c>
      <c r="F255" s="141">
        <f>IFERROR(__xludf.DUMMYFUNCTION("""COMPUTED_VALUE"""),73.6)</f>
        <v/>
      </c>
      <c r="G255" s="143">
        <f>IFERROR(__xludf.DUMMYFUNCTION("""COMPUTED_VALUE"""),7639062)</f>
        <v/>
      </c>
      <c r="H255" s="27" t="n"/>
    </row>
    <row r="256" ht="17.25" customHeight="1" s="322">
      <c r="A256" s="27" t="n"/>
      <c r="B256" s="506">
        <f>IFERROR(__xludf.DUMMYFUNCTION("""COMPUTED_VALUE"""),46199.6666666666)</f>
        <v/>
      </c>
      <c r="C256" s="141">
        <f>IFERROR(__xludf.DUMMYFUNCTION("""COMPUTED_VALUE"""),73.57)</f>
        <v/>
      </c>
      <c r="D256" s="141">
        <f>IFERROR(__xludf.DUMMYFUNCTION("""COMPUTED_VALUE"""),73.72)</f>
        <v/>
      </c>
      <c r="E256" s="141">
        <f>IFERROR(__xludf.DUMMYFUNCTION("""COMPUTED_VALUE"""),73.56)</f>
        <v/>
      </c>
      <c r="F256" s="141">
        <f>IFERROR(__xludf.DUMMYFUNCTION("""COMPUTED_VALUE"""),73.67)</f>
        <v/>
      </c>
      <c r="G256" s="143">
        <f>IFERROR(__xludf.DUMMYFUNCTION("""COMPUTED_VALUE"""),5965074)</f>
        <v/>
      </c>
      <c r="H256" s="27" t="n"/>
    </row>
    <row r="257" ht="17.25" customHeight="1" s="322">
      <c r="A257" s="27" t="n"/>
      <c r="B257" s="506">
        <f>IFERROR(__xludf.DUMMYFUNCTION("""COMPUTED_VALUE"""),46202.6666666666)</f>
        <v/>
      </c>
      <c r="C257" s="141">
        <f>IFERROR(__xludf.DUMMYFUNCTION("""COMPUTED_VALUE"""),73.69)</f>
        <v/>
      </c>
      <c r="D257" s="141">
        <f>IFERROR(__xludf.DUMMYFUNCTION("""COMPUTED_VALUE"""),73.73)</f>
        <v/>
      </c>
      <c r="E257" s="141">
        <f>IFERROR(__xludf.DUMMYFUNCTION("""COMPUTED_VALUE"""),73.64)</f>
        <v/>
      </c>
      <c r="F257" s="141">
        <f>IFERROR(__xludf.DUMMYFUNCTION("""COMPUTED_VALUE"""),73.71)</f>
        <v/>
      </c>
      <c r="G257" s="143">
        <f>IFERROR(__xludf.DUMMYFUNCTION("""COMPUTED_VALUE"""),7224769)</f>
        <v/>
      </c>
      <c r="H257" s="27" t="n"/>
    </row>
    <row r="258" ht="17.25" customHeight="1" s="322">
      <c r="A258" s="27" t="n"/>
      <c r="B258" s="506">
        <f>IFERROR(__xludf.DUMMYFUNCTION("""COMPUTED_VALUE"""),46203.6666666666)</f>
        <v/>
      </c>
      <c r="C258" s="141">
        <f>IFERROR(__xludf.DUMMYFUNCTION("""COMPUTED_VALUE"""),73.61)</f>
        <v/>
      </c>
      <c r="D258" s="141">
        <f>IFERROR(__xludf.DUMMYFUNCTION("""COMPUTED_VALUE"""),73.62)</f>
        <v/>
      </c>
      <c r="E258" s="141">
        <f>IFERROR(__xludf.DUMMYFUNCTION("""COMPUTED_VALUE"""),73.4)</f>
        <v/>
      </c>
      <c r="F258" s="141">
        <f>IFERROR(__xludf.DUMMYFUNCTION("""COMPUTED_VALUE"""),73.41)</f>
        <v/>
      </c>
      <c r="G258" s="143">
        <f>IFERROR(__xludf.DUMMYFUNCTION("""COMPUTED_VALUE"""),11653176)</f>
        <v/>
      </c>
      <c r="H258" s="27" t="n"/>
    </row>
    <row r="259" ht="17.25" customHeight="1" s="322">
      <c r="A259" s="27" t="n"/>
      <c r="B259" s="506">
        <f>IFERROR(__xludf.DUMMYFUNCTION("""COMPUTED_VALUE"""),46204.6666666666)</f>
        <v/>
      </c>
      <c r="C259" s="141">
        <f>IFERROR(__xludf.DUMMYFUNCTION("""COMPUTED_VALUE"""),73.03)</f>
        <v/>
      </c>
      <c r="D259" s="141">
        <f>IFERROR(__xludf.DUMMYFUNCTION("""COMPUTED_VALUE"""),73.14)</f>
        <v/>
      </c>
      <c r="E259" s="141">
        <f>IFERROR(__xludf.DUMMYFUNCTION("""COMPUTED_VALUE"""),72.99)</f>
        <v/>
      </c>
      <c r="F259" s="141">
        <f>IFERROR(__xludf.DUMMYFUNCTION("""COMPUTED_VALUE"""),73.06)</f>
        <v/>
      </c>
      <c r="G259" s="143">
        <f>IFERROR(__xludf.DUMMYFUNCTION("""COMPUTED_VALUE"""),20719005)</f>
        <v/>
      </c>
      <c r="H259" s="27" t="n"/>
    </row>
    <row r="260" ht="17.25" customHeight="1" s="322">
      <c r="A260" s="27" t="n"/>
      <c r="B260" s="506">
        <f>IFERROR(__xludf.DUMMYFUNCTION("""COMPUTED_VALUE"""),46205.6666666666)</f>
        <v/>
      </c>
      <c r="C260" s="141">
        <f>IFERROR(__xludf.DUMMYFUNCTION("""COMPUTED_VALUE"""),73.06)</f>
        <v/>
      </c>
      <c r="D260" s="141">
        <f>IFERROR(__xludf.DUMMYFUNCTION("""COMPUTED_VALUE"""),73.17)</f>
        <v/>
      </c>
      <c r="E260" s="141">
        <f>IFERROR(__xludf.DUMMYFUNCTION("""COMPUTED_VALUE"""),73.04)</f>
        <v/>
      </c>
      <c r="F260" s="141">
        <f>IFERROR(__xludf.DUMMYFUNCTION("""COMPUTED_VALUE"""),73.11)</f>
        <v/>
      </c>
      <c r="G260" s="143">
        <f>IFERROR(__xludf.DUMMYFUNCTION("""COMPUTED_VALUE"""),7628300)</f>
        <v/>
      </c>
      <c r="H260" s="27" t="n"/>
    </row>
    <row r="261" ht="17.25" customHeight="1" s="322">
      <c r="A261" s="27" t="n"/>
      <c r="B261" s="506">
        <f>IFERROR(__xludf.DUMMYFUNCTION("""COMPUTED_VALUE"""),46209.6666666666)</f>
        <v/>
      </c>
      <c r="C261" s="141">
        <f>IFERROR(__xludf.DUMMYFUNCTION("""COMPUTED_VALUE"""),73.07)</f>
        <v/>
      </c>
      <c r="D261" s="141">
        <f>IFERROR(__xludf.DUMMYFUNCTION("""COMPUTED_VALUE"""),73.14)</f>
        <v/>
      </c>
      <c r="E261" s="141">
        <f>IFERROR(__xludf.DUMMYFUNCTION("""COMPUTED_VALUE"""),73.03)</f>
        <v/>
      </c>
      <c r="F261" s="141">
        <f>IFERROR(__xludf.DUMMYFUNCTION("""COMPUTED_VALUE"""),73.14)</f>
        <v/>
      </c>
      <c r="G261" s="143">
        <f>IFERROR(__xludf.DUMMYFUNCTION("""COMPUTED_VALUE"""),10192105)</f>
        <v/>
      </c>
      <c r="H261" s="27" t="n"/>
    </row>
    <row r="262" ht="17.25" customHeight="1" s="322">
      <c r="A262" s="27" t="n"/>
      <c r="B262" s="506">
        <f>IFERROR(__xludf.DUMMYFUNCTION("""COMPUTED_VALUE"""),46210.6666666666)</f>
        <v/>
      </c>
      <c r="C262" s="141">
        <f>IFERROR(__xludf.DUMMYFUNCTION("""COMPUTED_VALUE"""),73.01)</f>
        <v/>
      </c>
      <c r="D262" s="141">
        <f>IFERROR(__xludf.DUMMYFUNCTION("""COMPUTED_VALUE"""),73.04)</f>
        <v/>
      </c>
      <c r="E262" s="141">
        <f>IFERROR(__xludf.DUMMYFUNCTION("""COMPUTED_VALUE"""),72.8)</f>
        <v/>
      </c>
      <c r="F262" s="141">
        <f>IFERROR(__xludf.DUMMYFUNCTION("""COMPUTED_VALUE"""),72.85)</f>
        <v/>
      </c>
      <c r="G262" s="143">
        <f>IFERROR(__xludf.DUMMYFUNCTION("""COMPUTED_VALUE"""),8412402)</f>
        <v/>
      </c>
      <c r="H262" s="27" t="n"/>
    </row>
    <row r="263" ht="17.25" customHeight="1" s="322">
      <c r="A263" s="27" t="n"/>
      <c r="B263" s="506">
        <f>IFERROR(__xludf.DUMMYFUNCTION("""COMPUTED_VALUE"""),46211.6666666666)</f>
        <v/>
      </c>
      <c r="C263" s="141">
        <f>IFERROR(__xludf.DUMMYFUNCTION("""COMPUTED_VALUE"""),72.73)</f>
        <v/>
      </c>
      <c r="D263" s="141">
        <f>IFERROR(__xludf.DUMMYFUNCTION("""COMPUTED_VALUE"""),72.74)</f>
        <v/>
      </c>
      <c r="E263" s="141">
        <f>IFERROR(__xludf.DUMMYFUNCTION("""COMPUTED_VALUE"""),72.59)</f>
        <v/>
      </c>
      <c r="F263" s="141">
        <f>IFERROR(__xludf.DUMMYFUNCTION("""COMPUTED_VALUE"""),72.7)</f>
        <v/>
      </c>
      <c r="G263" s="143">
        <f>IFERROR(__xludf.DUMMYFUNCTION("""COMPUTED_VALUE"""),8944897)</f>
        <v/>
      </c>
      <c r="H263" s="27" t="n"/>
    </row>
    <row r="264" ht="17.25" customHeight="1" s="322">
      <c r="A264" s="27" t="n"/>
      <c r="B264" s="506">
        <f>IFERROR(__xludf.DUMMYFUNCTION("""COMPUTED_VALUE"""),46212.6666666666)</f>
        <v/>
      </c>
      <c r="C264" s="141">
        <f>IFERROR(__xludf.DUMMYFUNCTION("""COMPUTED_VALUE"""),72.75)</f>
        <v/>
      </c>
      <c r="D264" s="141">
        <f>IFERROR(__xludf.DUMMYFUNCTION("""COMPUTED_VALUE"""),72.92)</f>
        <v/>
      </c>
      <c r="E264" s="141">
        <f>IFERROR(__xludf.DUMMYFUNCTION("""COMPUTED_VALUE"""),72.75)</f>
        <v/>
      </c>
      <c r="F264" s="141">
        <f>IFERROR(__xludf.DUMMYFUNCTION("""COMPUTED_VALUE"""),72.83)</f>
        <v/>
      </c>
      <c r="G264" s="143">
        <f>IFERROR(__xludf.DUMMYFUNCTION("""COMPUTED_VALUE"""),8250731)</f>
        <v/>
      </c>
      <c r="H264" s="27" t="n"/>
    </row>
    <row r="265" ht="17.25" customHeight="1" s="322">
      <c r="A265" s="27" t="n"/>
      <c r="B265" s="506">
        <f>IFERROR(__xludf.DUMMYFUNCTION("""COMPUTED_VALUE"""),46213.6666666666)</f>
        <v/>
      </c>
      <c r="C265" s="141">
        <f>IFERROR(__xludf.DUMMYFUNCTION("""COMPUTED_VALUE"""),72.83)</f>
        <v/>
      </c>
      <c r="D265" s="141">
        <f>IFERROR(__xludf.DUMMYFUNCTION("""COMPUTED_VALUE"""),72.85)</f>
        <v/>
      </c>
      <c r="E265" s="141">
        <f>IFERROR(__xludf.DUMMYFUNCTION("""COMPUTED_VALUE"""),72.7)</f>
        <v/>
      </c>
      <c r="F265" s="141">
        <f>IFERROR(__xludf.DUMMYFUNCTION("""COMPUTED_VALUE"""),72.77)</f>
        <v/>
      </c>
      <c r="G265" s="143">
        <f>IFERROR(__xludf.DUMMYFUNCTION("""COMPUTED_VALUE"""),7170799)</f>
        <v/>
      </c>
      <c r="H265" s="27" t="n"/>
    </row>
    <row r="266" ht="17.25" customHeight="1" s="322">
      <c r="A266" s="27" t="n"/>
      <c r="B266" s="506">
        <f>IFERROR(__xludf.DUMMYFUNCTION("""COMPUTED_VALUE"""),46216.6666666666)</f>
        <v/>
      </c>
      <c r="C266" s="141">
        <f>IFERROR(__xludf.DUMMYFUNCTION("""COMPUTED_VALUE"""),72.65)</f>
        <v/>
      </c>
      <c r="D266" s="141">
        <f>IFERROR(__xludf.DUMMYFUNCTION("""COMPUTED_VALUE"""),72.75)</f>
        <v/>
      </c>
      <c r="E266" s="141">
        <f>IFERROR(__xludf.DUMMYFUNCTION("""COMPUTED_VALUE"""),72.49)</f>
        <v/>
      </c>
      <c r="F266" s="141">
        <f>IFERROR(__xludf.DUMMYFUNCTION("""COMPUTED_VALUE"""),72.5)</f>
        <v/>
      </c>
      <c r="G266" s="143">
        <f>IFERROR(__xludf.DUMMYFUNCTION("""COMPUTED_VALUE"""),7595502)</f>
        <v/>
      </c>
      <c r="H266" s="27" t="n"/>
    </row>
    <row r="267" ht="17.25" customHeight="1" s="322">
      <c r="A267" s="27" t="n"/>
      <c r="B267" s="506">
        <f>IFERROR(__xludf.DUMMYFUNCTION("""COMPUTED_VALUE"""),46217.6666666666)</f>
        <v/>
      </c>
      <c r="C267" s="141">
        <f>IFERROR(__xludf.DUMMYFUNCTION("""COMPUTED_VALUE"""),72.69)</f>
        <v/>
      </c>
      <c r="D267" s="141">
        <f>IFERROR(__xludf.DUMMYFUNCTION("""COMPUTED_VALUE"""),72.79)</f>
        <v/>
      </c>
      <c r="E267" s="141">
        <f>IFERROR(__xludf.DUMMYFUNCTION("""COMPUTED_VALUE"""),72.63)</f>
        <v/>
      </c>
      <c r="F267" s="141">
        <f>IFERROR(__xludf.DUMMYFUNCTION("""COMPUTED_VALUE"""),72.7)</f>
        <v/>
      </c>
      <c r="G267" s="143">
        <f>IFERROR(__xludf.DUMMYFUNCTION("""COMPUTED_VALUE"""),8081122)</f>
        <v/>
      </c>
      <c r="H267" s="27" t="n"/>
    </row>
    <row r="268" ht="17.25" customHeight="1" s="322">
      <c r="A268" s="27" t="n"/>
      <c r="B268" s="506">
        <f>IFERROR(__xludf.DUMMYFUNCTION("""COMPUTED_VALUE"""),46218.6666666666)</f>
        <v/>
      </c>
      <c r="C268" s="141">
        <f>IFERROR(__xludf.DUMMYFUNCTION("""COMPUTED_VALUE"""),72.75)</f>
        <v/>
      </c>
      <c r="D268" s="141">
        <f>IFERROR(__xludf.DUMMYFUNCTION("""COMPUTED_VALUE"""),72.89)</f>
        <v/>
      </c>
      <c r="E268" s="141">
        <f>IFERROR(__xludf.DUMMYFUNCTION("""COMPUTED_VALUE"""),72.72)</f>
        <v/>
      </c>
      <c r="F268" s="141">
        <f>IFERROR(__xludf.DUMMYFUNCTION("""COMPUTED_VALUE"""),72.82)</f>
        <v/>
      </c>
      <c r="G268" s="143">
        <f>IFERROR(__xludf.DUMMYFUNCTION("""COMPUTED_VALUE"""),6181227)</f>
        <v/>
      </c>
      <c r="H268" s="27" t="n"/>
    </row>
    <row r="269" ht="17.25" customHeight="1" s="322">
      <c r="A269" s="27" t="n"/>
      <c r="B269" s="506">
        <f>IFERROR(__xludf.DUMMYFUNCTION("""COMPUTED_VALUE"""),46219.6666666666)</f>
        <v/>
      </c>
      <c r="C269" s="141">
        <f>IFERROR(__xludf.DUMMYFUNCTION("""COMPUTED_VALUE"""),72.72)</f>
        <v/>
      </c>
      <c r="D269" s="141">
        <f>IFERROR(__xludf.DUMMYFUNCTION("""COMPUTED_VALUE"""),72.83)</f>
        <v/>
      </c>
      <c r="E269" s="141">
        <f>IFERROR(__xludf.DUMMYFUNCTION("""COMPUTED_VALUE"""),72.69)</f>
        <v/>
      </c>
      <c r="F269" s="141">
        <f>IFERROR(__xludf.DUMMYFUNCTION("""COMPUTED_VALUE"""),72.81)</f>
        <v/>
      </c>
      <c r="G269" s="143">
        <f>IFERROR(__xludf.DUMMYFUNCTION("""COMPUTED_VALUE"""),6109044)</f>
        <v/>
      </c>
      <c r="H269" s="27" t="n"/>
    </row>
    <row r="270" ht="17.25" customHeight="1" s="322">
      <c r="A270" s="27" t="n"/>
      <c r="B270" s="506">
        <f>IFERROR(__xludf.DUMMYFUNCTION("""COMPUTED_VALUE"""),46220.6666666666)</f>
        <v/>
      </c>
      <c r="C270" s="141">
        <f>IFERROR(__xludf.DUMMYFUNCTION("""COMPUTED_VALUE"""),72.89)</f>
        <v/>
      </c>
      <c r="D270" s="141">
        <f>IFERROR(__xludf.DUMMYFUNCTION("""COMPUTED_VALUE"""),73)</f>
        <v/>
      </c>
      <c r="E270" s="141">
        <f>IFERROR(__xludf.DUMMYFUNCTION("""COMPUTED_VALUE"""),72.83)</f>
        <v/>
      </c>
      <c r="F270" s="141">
        <f>IFERROR(__xludf.DUMMYFUNCTION("""COMPUTED_VALUE"""),72.86)</f>
        <v/>
      </c>
      <c r="G270" s="143">
        <f>IFERROR(__xludf.DUMMYFUNCTION("""COMPUTED_VALUE"""),5836038)</f>
        <v/>
      </c>
      <c r="H270" s="27" t="n"/>
    </row>
    <row r="271" ht="17.25" customHeight="1" s="322">
      <c r="A271" s="27" t="n"/>
      <c r="B271" s="506">
        <f>IFERROR(__xludf.DUMMYFUNCTION("""COMPUTED_VALUE"""),46223.6666666666)</f>
        <v/>
      </c>
      <c r="C271" s="141">
        <f>IFERROR(__xludf.DUMMYFUNCTION("""COMPUTED_VALUE"""),72.83)</f>
        <v/>
      </c>
      <c r="D271" s="141">
        <f>IFERROR(__xludf.DUMMYFUNCTION("""COMPUTED_VALUE"""),72.84)</f>
        <v/>
      </c>
      <c r="E271" s="141">
        <f>IFERROR(__xludf.DUMMYFUNCTION("""COMPUTED_VALUE"""),72.62)</f>
        <v/>
      </c>
      <c r="F271" s="141">
        <f>IFERROR(__xludf.DUMMYFUNCTION("""COMPUTED_VALUE"""),72.68)</f>
        <v/>
      </c>
      <c r="G271" s="143">
        <f>IFERROR(__xludf.DUMMYFUNCTION("""COMPUTED_VALUE"""),5578254)</f>
        <v/>
      </c>
      <c r="H271" s="27" t="n"/>
    </row>
    <row r="272" ht="17.25" customHeight="1" s="322">
      <c r="A272" s="27" t="n"/>
      <c r="B272" s="506">
        <f>IFERROR(__xludf.DUMMYFUNCTION("""COMPUTED_VALUE"""),46224.6666666666)</f>
        <v/>
      </c>
      <c r="C272" s="141">
        <f>IFERROR(__xludf.DUMMYFUNCTION("""COMPUTED_VALUE"""),72.57)</f>
        <v/>
      </c>
      <c r="D272" s="141">
        <f>IFERROR(__xludf.DUMMYFUNCTION("""COMPUTED_VALUE"""),72.58)</f>
        <v/>
      </c>
      <c r="E272" s="141">
        <f>IFERROR(__xludf.DUMMYFUNCTION("""COMPUTED_VALUE"""),72.48)</f>
        <v/>
      </c>
      <c r="F272" s="141">
        <f>IFERROR(__xludf.DUMMYFUNCTION("""COMPUTED_VALUE"""),72.52)</f>
        <v/>
      </c>
      <c r="G272" s="143">
        <f>IFERROR(__xludf.DUMMYFUNCTION("""COMPUTED_VALUE"""),5679138)</f>
        <v/>
      </c>
      <c r="H272" s="27" t="n"/>
    </row>
    <row r="273" ht="17.25" customHeight="1" s="322">
      <c r="A273" s="27" t="n"/>
      <c r="B273" s="506">
        <f>IFERROR(__xludf.DUMMYFUNCTION("""COMPUTED_VALUE"""),46225.6666666666)</f>
        <v/>
      </c>
      <c r="C273" s="141">
        <f>IFERROR(__xludf.DUMMYFUNCTION("""COMPUTED_VALUE"""),72.49)</f>
        <v/>
      </c>
      <c r="D273" s="141">
        <f>IFERROR(__xludf.DUMMYFUNCTION("""COMPUTED_VALUE"""),72.52)</f>
        <v/>
      </c>
      <c r="E273" s="141">
        <f>IFERROR(__xludf.DUMMYFUNCTION("""COMPUTED_VALUE"""),72.38)</f>
        <v/>
      </c>
      <c r="F273" s="141">
        <f>IFERROR(__xludf.DUMMYFUNCTION("""COMPUTED_VALUE"""),72.4)</f>
        <v/>
      </c>
      <c r="G273" s="143">
        <f>IFERROR(__xludf.DUMMYFUNCTION("""COMPUTED_VALUE"""),5862969)</f>
        <v/>
      </c>
      <c r="H273" s="27" t="n"/>
    </row>
    <row r="274" ht="17.25" customHeight="1" s="322">
      <c r="A274" s="27" t="n"/>
      <c r="B274" s="506">
        <f>IFERROR(__xludf.DUMMYFUNCTION("""COMPUTED_VALUE"""),46226.6666666666)</f>
        <v/>
      </c>
      <c r="C274" s="141">
        <f>IFERROR(__xludf.DUMMYFUNCTION("""COMPUTED_VALUE"""),72.2)</f>
        <v/>
      </c>
      <c r="D274" s="141">
        <f>IFERROR(__xludf.DUMMYFUNCTION("""COMPUTED_VALUE"""),72.27)</f>
        <v/>
      </c>
      <c r="E274" s="141">
        <f>IFERROR(__xludf.DUMMYFUNCTION("""COMPUTED_VALUE"""),72.17)</f>
        <v/>
      </c>
      <c r="F274" s="141">
        <f>IFERROR(__xludf.DUMMYFUNCTION("""COMPUTED_VALUE"""),72.25)</f>
        <v/>
      </c>
      <c r="G274" s="143">
        <f>IFERROR(__xludf.DUMMYFUNCTION("""COMPUTED_VALUE"""),7641631)</f>
        <v/>
      </c>
      <c r="H274" s="27" t="n"/>
    </row>
    <row r="275" ht="17.25" customHeight="1" s="322">
      <c r="A275" s="27" t="n"/>
      <c r="B275" s="506">
        <f>IFERROR(__xludf.DUMMYFUNCTION("""COMPUTED_VALUE"""),46227.6666666666)</f>
        <v/>
      </c>
      <c r="C275" s="141">
        <f>IFERROR(__xludf.DUMMYFUNCTION("""COMPUTED_VALUE"""),72.27)</f>
        <v/>
      </c>
      <c r="D275" s="141">
        <f>IFERROR(__xludf.DUMMYFUNCTION("""COMPUTED_VALUE"""),72.43)</f>
        <v/>
      </c>
      <c r="E275" s="141">
        <f>IFERROR(__xludf.DUMMYFUNCTION("""COMPUTED_VALUE"""),72.27)</f>
        <v/>
      </c>
      <c r="F275" s="141">
        <f>IFERROR(__xludf.DUMMYFUNCTION("""COMPUTED_VALUE"""),72.31)</f>
        <v/>
      </c>
      <c r="G275" s="143">
        <f>IFERROR(__xludf.DUMMYFUNCTION("""COMPUTED_VALUE"""),5695844)</f>
        <v/>
      </c>
      <c r="H275" s="27" t="n"/>
    </row>
    <row r="276" ht="17.25" customHeight="1" s="322">
      <c r="A276" s="27" t="n"/>
      <c r="B276" s="506">
        <f>IFERROR(__xludf.DUMMYFUNCTION("""COMPUTED_VALUE"""),46230.6666666666)</f>
        <v/>
      </c>
      <c r="C276" s="141">
        <f>IFERROR(__xludf.DUMMYFUNCTION("""COMPUTED_VALUE"""),72.43)</f>
        <v/>
      </c>
      <c r="D276" s="141">
        <f>IFERROR(__xludf.DUMMYFUNCTION("""COMPUTED_VALUE"""),72.5)</f>
        <v/>
      </c>
      <c r="E276" s="141">
        <f>IFERROR(__xludf.DUMMYFUNCTION("""COMPUTED_VALUE"""),72.39)</f>
        <v/>
      </c>
      <c r="F276" s="141">
        <f>IFERROR(__xludf.DUMMYFUNCTION("""COMPUTED_VALUE"""),72.46)</f>
        <v/>
      </c>
      <c r="G276" s="143">
        <f>IFERROR(__xludf.DUMMYFUNCTION("""COMPUTED_VALUE"""),5667460)</f>
        <v/>
      </c>
      <c r="H276" s="27" t="n"/>
    </row>
    <row r="277" ht="17.25" customHeight="1" s="322">
      <c r="A277" s="27" t="n"/>
      <c r="B277" s="506">
        <f>IFERROR(__xludf.DUMMYFUNCTION("""COMPUTED_VALUE"""),46231.6666666666)</f>
        <v/>
      </c>
      <c r="C277" s="141">
        <f>IFERROR(__xludf.DUMMYFUNCTION("""COMPUTED_VALUE"""),72.53)</f>
        <v/>
      </c>
      <c r="D277" s="141">
        <f>IFERROR(__xludf.DUMMYFUNCTION("""COMPUTED_VALUE"""),72.7)</f>
        <v/>
      </c>
      <c r="E277" s="141">
        <f>IFERROR(__xludf.DUMMYFUNCTION("""COMPUTED_VALUE"""),72.51)</f>
        <v/>
      </c>
      <c r="F277" s="141">
        <f>IFERROR(__xludf.DUMMYFUNCTION("""COMPUTED_VALUE"""),72.64)</f>
        <v/>
      </c>
      <c r="G277" s="143">
        <f>IFERROR(__xludf.DUMMYFUNCTION("""COMPUTED_VALUE"""),5279684)</f>
        <v/>
      </c>
      <c r="H277" s="27" t="n"/>
    </row>
    <row r="278" ht="17.25" customHeight="1" s="322">
      <c r="A278" s="27" t="n"/>
      <c r="B278" s="506">
        <f>IFERROR(__xludf.DUMMYFUNCTION("""COMPUTED_VALUE"""),46232.6666666666)</f>
        <v/>
      </c>
      <c r="C278" s="141">
        <f>IFERROR(__xludf.DUMMYFUNCTION("""COMPUTED_VALUE"""),72.56)</f>
        <v/>
      </c>
      <c r="D278" s="141">
        <f>IFERROR(__xludf.DUMMYFUNCTION("""COMPUTED_VALUE"""),72.63)</f>
        <v/>
      </c>
      <c r="E278" s="141">
        <f>IFERROR(__xludf.DUMMYFUNCTION("""COMPUTED_VALUE"""),72.37)</f>
        <v/>
      </c>
      <c r="F278" s="141">
        <f>IFERROR(__xludf.DUMMYFUNCTION("""COMPUTED_VALUE"""),72.38)</f>
        <v/>
      </c>
      <c r="G278" s="143">
        <f>IFERROR(__xludf.DUMMYFUNCTION("""COMPUTED_VALUE"""),6747183)</f>
        <v/>
      </c>
      <c r="H278" s="27" t="n"/>
    </row>
    <row r="279" ht="17.25" customHeight="1" s="322">
      <c r="A279" s="27" t="n"/>
      <c r="B279" s="506" t="n"/>
      <c r="C279" s="141" t="n"/>
      <c r="D279" s="141" t="n"/>
      <c r="E279" s="141" t="n"/>
      <c r="F279" s="141" t="n"/>
      <c r="G279" s="143" t="n"/>
      <c r="H279" s="27" t="n"/>
    </row>
    <row r="280" ht="17.25" customHeight="1" s="322">
      <c r="A280" s="27" t="n"/>
      <c r="B280" s="506" t="n"/>
      <c r="C280" s="141" t="n"/>
      <c r="D280" s="141" t="n"/>
      <c r="E280" s="141" t="n"/>
      <c r="F280" s="141" t="n"/>
      <c r="G280" s="143" t="n"/>
      <c r="H280" s="27" t="n"/>
    </row>
    <row r="281" ht="17.25" customHeight="1" s="322">
      <c r="A281" s="27" t="n"/>
      <c r="B281" s="506" t="n"/>
      <c r="C281" s="141" t="n"/>
      <c r="D281" s="141" t="n"/>
      <c r="E281" s="141" t="n"/>
      <c r="F281" s="141" t="n"/>
      <c r="G281" s="143" t="n"/>
      <c r="H281" s="27" t="n"/>
    </row>
    <row r="282" ht="17.25" customHeight="1" s="322">
      <c r="A282" s="27" t="n"/>
      <c r="B282" s="506" t="n"/>
      <c r="C282" s="141" t="n"/>
      <c r="D282" s="141" t="n"/>
      <c r="E282" s="141" t="n"/>
      <c r="F282" s="141" t="n"/>
      <c r="G282" s="143" t="n"/>
      <c r="H282" s="27" t="n"/>
    </row>
    <row r="283" ht="17.25" customHeight="1" s="322">
      <c r="A283" s="27" t="n"/>
      <c r="B283" s="506" t="n"/>
      <c r="C283" s="141" t="n"/>
      <c r="D283" s="141" t="n"/>
      <c r="E283" s="141" t="n"/>
      <c r="F283" s="141" t="n"/>
      <c r="G283" s="143" t="n"/>
      <c r="H283" s="27" t="n"/>
    </row>
    <row r="284" ht="17.25" customHeight="1" s="322">
      <c r="A284" s="27" t="n"/>
      <c r="B284" s="506" t="n"/>
      <c r="C284" s="141" t="n"/>
      <c r="D284" s="141" t="n"/>
      <c r="E284" s="141" t="n"/>
      <c r="F284" s="141" t="n"/>
      <c r="G284" s="143" t="n"/>
      <c r="H284" s="27" t="n"/>
    </row>
    <row r="285" ht="17.25" customHeight="1" s="322">
      <c r="A285" s="27" t="n"/>
      <c r="B285" s="506" t="n"/>
      <c r="C285" s="141" t="n"/>
      <c r="D285" s="141" t="n"/>
      <c r="E285" s="141" t="n"/>
      <c r="F285" s="141" t="n"/>
      <c r="G285" s="143" t="n"/>
      <c r="H285" s="27" t="n"/>
    </row>
    <row r="286" ht="17.25" customHeight="1" s="322">
      <c r="A286" s="27" t="n"/>
      <c r="B286" s="506" t="n"/>
      <c r="C286" s="141" t="n"/>
      <c r="D286" s="141" t="n"/>
      <c r="E286" s="141" t="n"/>
      <c r="F286" s="141" t="n"/>
      <c r="G286" s="143" t="n"/>
      <c r="H286" s="27" t="n"/>
    </row>
    <row r="287" ht="17.25" customHeight="1" s="322">
      <c r="A287" s="27" t="n"/>
      <c r="B287" s="506" t="n"/>
      <c r="C287" s="141" t="n"/>
      <c r="D287" s="141" t="n"/>
      <c r="E287" s="141" t="n"/>
      <c r="F287" s="141" t="n"/>
      <c r="G287" s="143" t="n"/>
      <c r="H287" s="27" t="n"/>
    </row>
    <row r="288" ht="17.25" customHeight="1" s="322">
      <c r="A288" s="27" t="n"/>
      <c r="B288" s="506" t="n"/>
      <c r="C288" s="141" t="n"/>
      <c r="D288" s="141" t="n"/>
      <c r="E288" s="141" t="n"/>
      <c r="F288" s="141" t="n"/>
      <c r="G288" s="143" t="n"/>
      <c r="H288" s="27" t="n"/>
    </row>
    <row r="289" ht="17.25" customHeight="1" s="322">
      <c r="A289" s="27" t="n"/>
      <c r="B289" s="506" t="n"/>
      <c r="C289" s="141" t="n"/>
      <c r="D289" s="141" t="n"/>
      <c r="E289" s="141" t="n"/>
      <c r="F289" s="141" t="n"/>
      <c r="G289" s="143" t="n"/>
      <c r="H289" s="27" t="n"/>
    </row>
    <row r="290" ht="17.25" customHeight="1" s="322">
      <c r="A290" s="27" t="n"/>
      <c r="B290" s="506" t="n"/>
      <c r="C290" s="141" t="n"/>
      <c r="D290" s="141" t="n"/>
      <c r="E290" s="141" t="n"/>
      <c r="F290" s="141" t="n"/>
      <c r="G290" s="143" t="n"/>
      <c r="H290" s="27" t="n"/>
    </row>
    <row r="291" ht="17.25" customHeight="1" s="322">
      <c r="A291" s="27" t="n"/>
      <c r="B291" s="506" t="n"/>
      <c r="C291" s="141" t="n"/>
      <c r="D291" s="141" t="n"/>
      <c r="E291" s="141" t="n"/>
      <c r="F291" s="141" t="n"/>
      <c r="G291" s="143" t="n"/>
      <c r="H291" s="27" t="n"/>
    </row>
    <row r="292" ht="17.25" customHeight="1" s="322">
      <c r="A292" s="27" t="n"/>
      <c r="B292" s="506" t="n"/>
      <c r="C292" s="141" t="n"/>
      <c r="D292" s="141" t="n"/>
      <c r="E292" s="141" t="n"/>
      <c r="F292" s="141" t="n"/>
      <c r="G292" s="143" t="n"/>
      <c r="H292" s="27" t="n"/>
    </row>
    <row r="293" ht="17.25" customHeight="1" s="322">
      <c r="A293" s="27" t="n"/>
      <c r="B293" s="506" t="n"/>
      <c r="C293" s="141" t="n"/>
      <c r="D293" s="141" t="n"/>
      <c r="E293" s="141" t="n"/>
      <c r="F293" s="141" t="n"/>
      <c r="G293" s="143" t="n"/>
      <c r="H293" s="27" t="n"/>
    </row>
    <row r="294" ht="17.25" customHeight="1" s="322">
      <c r="A294" s="27" t="n"/>
      <c r="B294" s="506" t="n"/>
      <c r="C294" s="141" t="n"/>
      <c r="D294" s="141" t="n"/>
      <c r="E294" s="141" t="n"/>
      <c r="F294" s="141" t="n"/>
      <c r="G294" s="143" t="n"/>
      <c r="H294" s="27" t="n"/>
    </row>
    <row r="295" ht="17.25" customHeight="1" s="322">
      <c r="A295" s="27" t="n"/>
      <c r="B295" s="506" t="n"/>
      <c r="C295" s="141" t="n"/>
      <c r="D295" s="141" t="n"/>
      <c r="E295" s="141" t="n"/>
      <c r="F295" s="141" t="n"/>
      <c r="G295" s="143" t="n"/>
      <c r="H295" s="27" t="n"/>
    </row>
    <row r="296" ht="17.25" customHeight="1" s="322">
      <c r="A296" s="27" t="n"/>
      <c r="B296" s="506" t="n"/>
      <c r="C296" s="141" t="n"/>
      <c r="D296" s="141" t="n"/>
      <c r="E296" s="141" t="n"/>
      <c r="F296" s="141" t="n"/>
      <c r="G296" s="143" t="n"/>
      <c r="H296" s="27" t="n"/>
    </row>
    <row r="297" ht="17.25" customHeight="1" s="322">
      <c r="A297" s="27" t="n"/>
      <c r="B297" s="506" t="n"/>
      <c r="C297" s="141" t="n"/>
      <c r="D297" s="141" t="n"/>
      <c r="E297" s="141" t="n"/>
      <c r="F297" s="141" t="n"/>
      <c r="G297" s="143" t="n"/>
      <c r="H297" s="27" t="n"/>
    </row>
    <row r="298" ht="17.25" customHeight="1" s="322">
      <c r="A298" s="27" t="n"/>
      <c r="B298" s="506" t="n"/>
      <c r="C298" s="141" t="n"/>
      <c r="D298" s="141" t="n"/>
      <c r="E298" s="141" t="n"/>
      <c r="F298" s="141" t="n"/>
      <c r="G298" s="143" t="n"/>
      <c r="H298" s="27" t="n"/>
    </row>
    <row r="299" ht="17.25" customHeight="1" s="322">
      <c r="A299" s="27" t="n"/>
      <c r="B299" s="506" t="n"/>
      <c r="C299" s="141" t="n"/>
      <c r="D299" s="141" t="n"/>
      <c r="E299" s="141" t="n"/>
      <c r="F299" s="141" t="n"/>
      <c r="G299" s="143" t="n"/>
      <c r="H299" s="27" t="n"/>
    </row>
    <row r="300" ht="17.25" customHeight="1" s="322">
      <c r="A300" s="27" t="n"/>
      <c r="B300" s="506" t="n"/>
      <c r="C300" s="141" t="n"/>
      <c r="D300" s="141" t="n"/>
      <c r="E300" s="141" t="n"/>
      <c r="F300" s="141" t="n"/>
      <c r="G300" s="143" t="n"/>
      <c r="H300" s="27" t="n"/>
    </row>
    <row r="301" ht="17.25" customHeight="1" s="322">
      <c r="A301" s="27" t="n"/>
      <c r="B301" s="506" t="n"/>
      <c r="C301" s="141" t="n"/>
      <c r="D301" s="141" t="n"/>
      <c r="E301" s="141" t="n"/>
      <c r="F301" s="141" t="n"/>
      <c r="G301" s="143" t="n"/>
      <c r="H301" s="27" t="n"/>
    </row>
    <row r="302" ht="17.25" customHeight="1" s="322">
      <c r="A302" s="27" t="n"/>
      <c r="B302" s="506" t="n"/>
      <c r="C302" s="141" t="n"/>
      <c r="D302" s="141" t="n"/>
      <c r="E302" s="141" t="n"/>
      <c r="F302" s="141" t="n"/>
      <c r="G302" s="143" t="n"/>
      <c r="H302" s="27" t="n"/>
    </row>
    <row r="303" ht="17.25" customHeight="1" s="322">
      <c r="A303" s="27" t="n"/>
      <c r="B303" s="506" t="n"/>
      <c r="C303" s="141" t="n"/>
      <c r="D303" s="141" t="n"/>
      <c r="E303" s="141" t="n"/>
      <c r="F303" s="141" t="n"/>
      <c r="G303" s="143" t="n"/>
      <c r="H303" s="27" t="n"/>
    </row>
    <row r="304" ht="17.25" customHeight="1" s="322">
      <c r="A304" s="27" t="n"/>
      <c r="B304" s="506" t="n"/>
      <c r="C304" s="141" t="n"/>
      <c r="D304" s="141" t="n"/>
      <c r="E304" s="141" t="n"/>
      <c r="F304" s="141" t="n"/>
      <c r="G304" s="143" t="n"/>
      <c r="H304" s="27" t="n"/>
    </row>
    <row r="305" ht="17.25" customHeight="1" s="322">
      <c r="A305" s="27" t="n"/>
      <c r="B305" s="506" t="n"/>
      <c r="C305" s="141" t="n"/>
      <c r="D305" s="141" t="n"/>
      <c r="E305" s="141" t="n"/>
      <c r="F305" s="141" t="n"/>
      <c r="G305" s="143" t="n"/>
      <c r="H305" s="27" t="n"/>
    </row>
    <row r="306" ht="17.25" customHeight="1" s="322">
      <c r="A306" s="27" t="n"/>
      <c r="B306" s="506" t="n"/>
      <c r="C306" s="141" t="n"/>
      <c r="D306" s="141" t="n"/>
      <c r="E306" s="141" t="n"/>
      <c r="F306" s="141" t="n"/>
      <c r="G306" s="143" t="n"/>
      <c r="H306" s="27" t="n"/>
    </row>
    <row r="307" ht="17.25" customHeight="1" s="322">
      <c r="A307" s="27" t="n"/>
      <c r="B307" s="506" t="n"/>
      <c r="C307" s="141" t="n"/>
      <c r="D307" s="141" t="n"/>
      <c r="E307" s="141" t="n"/>
      <c r="F307" s="141" t="n"/>
      <c r="G307" s="143" t="n"/>
      <c r="H307" s="27" t="n"/>
    </row>
    <row r="308" ht="17.25" customHeight="1" s="322">
      <c r="A308" s="27" t="n"/>
      <c r="B308" s="506" t="n"/>
      <c r="C308" s="141" t="n"/>
      <c r="D308" s="141" t="n"/>
      <c r="E308" s="141" t="n"/>
      <c r="F308" s="141" t="n"/>
      <c r="G308" s="143" t="n"/>
      <c r="H308" s="27" t="n"/>
    </row>
    <row r="309" ht="17.25" customHeight="1" s="322">
      <c r="A309" s="27" t="n"/>
      <c r="B309" s="506" t="n"/>
      <c r="C309" s="141" t="n"/>
      <c r="D309" s="141" t="n"/>
      <c r="E309" s="141" t="n"/>
      <c r="F309" s="141" t="n"/>
      <c r="G309" s="143" t="n"/>
      <c r="H309" s="27" t="n"/>
    </row>
    <row r="310" ht="17.25" customHeight="1" s="322">
      <c r="A310" s="27" t="n"/>
      <c r="B310" s="506" t="n"/>
      <c r="C310" s="141" t="n"/>
      <c r="D310" s="141" t="n"/>
      <c r="E310" s="141" t="n"/>
      <c r="F310" s="141" t="n"/>
      <c r="G310" s="143" t="n"/>
      <c r="H310" s="27" t="n"/>
    </row>
    <row r="311" ht="17.25" customHeight="1" s="322">
      <c r="A311" s="27" t="n"/>
      <c r="B311" s="506" t="n"/>
      <c r="C311" s="141" t="n"/>
      <c r="D311" s="141" t="n"/>
      <c r="E311" s="141" t="n"/>
      <c r="F311" s="141" t="n"/>
      <c r="G311" s="143" t="n"/>
      <c r="H311" s="27" t="n"/>
    </row>
    <row r="312" ht="17.25" customHeight="1" s="322">
      <c r="A312" s="27" t="n"/>
      <c r="B312" s="506" t="n"/>
      <c r="C312" s="141" t="n"/>
      <c r="D312" s="141" t="n"/>
      <c r="E312" s="141" t="n"/>
      <c r="F312" s="141" t="n"/>
      <c r="G312" s="143" t="n"/>
      <c r="H312" s="27" t="n"/>
    </row>
    <row r="313" ht="17.25" customHeight="1" s="322">
      <c r="A313" s="27" t="n"/>
      <c r="B313" s="506" t="n"/>
      <c r="C313" s="141" t="n"/>
      <c r="D313" s="141" t="n"/>
      <c r="E313" s="141" t="n"/>
      <c r="F313" s="141" t="n"/>
      <c r="G313" s="143" t="n"/>
      <c r="H313" s="27" t="n"/>
    </row>
    <row r="314" ht="17.25" customHeight="1" s="322">
      <c r="A314" s="27" t="n"/>
      <c r="B314" s="506" t="n"/>
      <c r="C314" s="141" t="n"/>
      <c r="D314" s="141" t="n"/>
      <c r="E314" s="141" t="n"/>
      <c r="F314" s="141" t="n"/>
      <c r="G314" s="143" t="n"/>
      <c r="H314" s="27" t="n"/>
    </row>
    <row r="315" ht="17.25" customHeight="1" s="322">
      <c r="A315" s="27" t="n"/>
      <c r="B315" s="506" t="n"/>
      <c r="C315" s="141" t="n"/>
      <c r="D315" s="141" t="n"/>
      <c r="E315" s="141" t="n"/>
      <c r="F315" s="141" t="n"/>
      <c r="G315" s="143" t="n"/>
      <c r="H315" s="27" t="n"/>
    </row>
    <row r="316" ht="17.25" customHeight="1" s="322">
      <c r="A316" s="27" t="n"/>
      <c r="B316" s="506" t="n"/>
      <c r="C316" s="141" t="n"/>
      <c r="D316" s="141" t="n"/>
      <c r="E316" s="141" t="n"/>
      <c r="F316" s="141" t="n"/>
      <c r="G316" s="143" t="n"/>
      <c r="H316" s="27" t="n"/>
    </row>
    <row r="317" ht="17.25" customHeight="1" s="322">
      <c r="A317" s="27" t="n"/>
      <c r="B317" s="506" t="n"/>
      <c r="C317" s="141" t="n"/>
      <c r="D317" s="141" t="n"/>
      <c r="E317" s="141" t="n"/>
      <c r="F317" s="141" t="n"/>
      <c r="G317" s="143" t="n"/>
      <c r="H317" s="27" t="n"/>
    </row>
    <row r="318" ht="17.25" customHeight="1" s="322">
      <c r="A318" s="27" t="n"/>
      <c r="B318" s="506" t="n"/>
      <c r="C318" s="141" t="n"/>
      <c r="D318" s="141" t="n"/>
      <c r="E318" s="141" t="n"/>
      <c r="F318" s="141" t="n"/>
      <c r="G318" s="143" t="n"/>
      <c r="H318" s="27" t="n"/>
    </row>
    <row r="319" ht="17.25" customHeight="1" s="322">
      <c r="A319" s="27" t="n"/>
      <c r="B319" s="506" t="n"/>
      <c r="C319" s="141" t="n"/>
      <c r="D319" s="141" t="n"/>
      <c r="E319" s="141" t="n"/>
      <c r="F319" s="141" t="n"/>
      <c r="G319" s="143" t="n"/>
      <c r="H319" s="27" t="n"/>
    </row>
    <row r="320" ht="17.25" customHeight="1" s="322">
      <c r="A320" s="27" t="n"/>
      <c r="B320" s="506" t="n"/>
      <c r="C320" s="141" t="n"/>
      <c r="D320" s="141" t="n"/>
      <c r="E320" s="141" t="n"/>
      <c r="F320" s="141" t="n"/>
      <c r="G320" s="143" t="n"/>
      <c r="H320" s="27" t="n"/>
    </row>
    <row r="321" ht="17.25" customHeight="1" s="322">
      <c r="A321" s="27" t="n"/>
      <c r="B321" s="506" t="n"/>
      <c r="C321" s="141" t="n"/>
      <c r="D321" s="141" t="n"/>
      <c r="E321" s="141" t="n"/>
      <c r="F321" s="141" t="n"/>
      <c r="G321" s="143" t="n"/>
      <c r="H321" s="27" t="n"/>
    </row>
    <row r="322" ht="17.25" customHeight="1" s="322">
      <c r="A322" s="27" t="n"/>
      <c r="B322" s="506" t="n"/>
      <c r="C322" s="141" t="n"/>
      <c r="D322" s="141" t="n"/>
      <c r="E322" s="141" t="n"/>
      <c r="F322" s="141" t="n"/>
      <c r="G322" s="143" t="n"/>
      <c r="H322" s="27" t="n"/>
    </row>
    <row r="323" ht="17.25" customHeight="1" s="322">
      <c r="A323" s="27" t="n"/>
      <c r="B323" s="506" t="n"/>
      <c r="C323" s="141" t="n"/>
      <c r="D323" s="141" t="n"/>
      <c r="E323" s="141" t="n"/>
      <c r="F323" s="141" t="n"/>
      <c r="G323" s="143" t="n"/>
      <c r="H323" s="27" t="n"/>
    </row>
    <row r="324" ht="17.25" customHeight="1" s="322">
      <c r="A324" s="27" t="n"/>
      <c r="B324" s="506" t="n"/>
      <c r="C324" s="141" t="n"/>
      <c r="D324" s="141" t="n"/>
      <c r="E324" s="141" t="n"/>
      <c r="F324" s="141" t="n"/>
      <c r="G324" s="143" t="n"/>
      <c r="H324" s="27" t="n"/>
    </row>
    <row r="325" ht="17.25" customHeight="1" s="322">
      <c r="A325" s="27" t="n"/>
      <c r="B325" s="506" t="n"/>
      <c r="C325" s="141" t="n"/>
      <c r="D325" s="141" t="n"/>
      <c r="E325" s="141" t="n"/>
      <c r="F325" s="141" t="n"/>
      <c r="G325" s="143" t="n"/>
      <c r="H325" s="27" t="n"/>
    </row>
    <row r="326" ht="17.25" customHeight="1" s="322">
      <c r="A326" s="27" t="n"/>
      <c r="B326" s="506" t="n"/>
      <c r="C326" s="141" t="n"/>
      <c r="D326" s="141" t="n"/>
      <c r="E326" s="141" t="n"/>
      <c r="F326" s="141" t="n"/>
      <c r="G326" s="143" t="n"/>
      <c r="H326" s="27" t="n"/>
    </row>
    <row r="327" ht="17.25" customHeight="1" s="322">
      <c r="A327" s="27" t="n"/>
      <c r="B327" s="506" t="n"/>
      <c r="C327" s="141" t="n"/>
      <c r="D327" s="141" t="n"/>
      <c r="E327" s="141" t="n"/>
      <c r="F327" s="141" t="n"/>
      <c r="G327" s="143" t="n"/>
      <c r="H327" s="27" t="n"/>
    </row>
    <row r="328" ht="17.25" customHeight="1" s="322">
      <c r="A328" s="27" t="n"/>
      <c r="B328" s="506" t="n"/>
      <c r="C328" s="141" t="n"/>
      <c r="D328" s="141" t="n"/>
      <c r="E328" s="141" t="n"/>
      <c r="F328" s="141" t="n"/>
      <c r="G328" s="143" t="n"/>
      <c r="H328" s="27" t="n"/>
    </row>
    <row r="329" ht="17.25" customHeight="1" s="322">
      <c r="A329" s="27" t="n"/>
      <c r="B329" s="506" t="n"/>
      <c r="C329" s="141" t="n"/>
      <c r="D329" s="141" t="n"/>
      <c r="E329" s="141" t="n"/>
      <c r="F329" s="141" t="n"/>
      <c r="G329" s="143" t="n"/>
      <c r="H329" s="27" t="n"/>
    </row>
    <row r="330" ht="17.25" customHeight="1" s="322">
      <c r="A330" s="27" t="n"/>
      <c r="B330" s="506" t="n"/>
      <c r="C330" s="141" t="n"/>
      <c r="D330" s="141" t="n"/>
      <c r="E330" s="141" t="n"/>
      <c r="F330" s="141" t="n"/>
      <c r="G330" s="143" t="n"/>
      <c r="H330" s="27" t="n"/>
    </row>
    <row r="331" ht="17.25" customHeight="1" s="322">
      <c r="A331" s="27" t="n"/>
      <c r="B331" s="506" t="n"/>
      <c r="C331" s="141" t="n"/>
      <c r="D331" s="141" t="n"/>
      <c r="E331" s="141" t="n"/>
      <c r="F331" s="141" t="n"/>
      <c r="G331" s="143" t="n"/>
      <c r="H331" s="27" t="n"/>
    </row>
    <row r="332" ht="17.25" customHeight="1" s="322">
      <c r="A332" s="27" t="n"/>
      <c r="B332" s="506" t="n"/>
      <c r="C332" s="141" t="n"/>
      <c r="D332" s="141" t="n"/>
      <c r="E332" s="141" t="n"/>
      <c r="F332" s="141" t="n"/>
      <c r="G332" s="143" t="n"/>
      <c r="H332" s="27" t="n"/>
    </row>
    <row r="333" ht="17.25" customHeight="1" s="322">
      <c r="A333" s="27" t="n"/>
      <c r="B333" s="506" t="n"/>
      <c r="C333" s="141" t="n"/>
      <c r="D333" s="141" t="n"/>
      <c r="E333" s="141" t="n"/>
      <c r="F333" s="141" t="n"/>
      <c r="G333" s="143" t="n"/>
      <c r="H333" s="27" t="n"/>
    </row>
    <row r="334" ht="17.25" customHeight="1" s="322">
      <c r="A334" s="27" t="n"/>
      <c r="B334" s="506" t="n"/>
      <c r="C334" s="141" t="n"/>
      <c r="D334" s="141" t="n"/>
      <c r="E334" s="141" t="n"/>
      <c r="F334" s="141" t="n"/>
      <c r="G334" s="143" t="n"/>
      <c r="H334" s="27" t="n"/>
    </row>
    <row r="335" ht="17.25" customHeight="1" s="322">
      <c r="A335" s="27" t="n"/>
      <c r="B335" s="506" t="n"/>
      <c r="C335" s="141" t="n"/>
      <c r="D335" s="141" t="n"/>
      <c r="E335" s="141" t="n"/>
      <c r="F335" s="141" t="n"/>
      <c r="G335" s="143" t="n"/>
      <c r="H335" s="27" t="n"/>
    </row>
    <row r="336" ht="17.25" customHeight="1" s="322">
      <c r="A336" s="27" t="n"/>
      <c r="B336" s="506" t="n"/>
      <c r="C336" s="141" t="n"/>
      <c r="D336" s="141" t="n"/>
      <c r="E336" s="141" t="n"/>
      <c r="F336" s="141" t="n"/>
      <c r="G336" s="143" t="n"/>
      <c r="H336" s="27" t="n"/>
    </row>
    <row r="337" ht="17.25" customHeight="1" s="322">
      <c r="A337" s="27" t="n"/>
      <c r="B337" s="506" t="n"/>
      <c r="C337" s="141" t="n"/>
      <c r="D337" s="141" t="n"/>
      <c r="E337" s="141" t="n"/>
      <c r="F337" s="141" t="n"/>
      <c r="G337" s="143" t="n"/>
      <c r="H337" s="27" t="n"/>
    </row>
    <row r="338" ht="17.25" customHeight="1" s="322">
      <c r="A338" s="27" t="n"/>
      <c r="B338" s="506" t="n"/>
      <c r="C338" s="141" t="n"/>
      <c r="D338" s="141" t="n"/>
      <c r="E338" s="141" t="n"/>
      <c r="F338" s="141" t="n"/>
      <c r="G338" s="143" t="n"/>
      <c r="H338" s="27" t="n"/>
    </row>
    <row r="339" ht="17.25" customHeight="1" s="322">
      <c r="A339" s="27" t="n"/>
      <c r="B339" s="506" t="n"/>
      <c r="C339" s="141" t="n"/>
      <c r="D339" s="141" t="n"/>
      <c r="E339" s="141" t="n"/>
      <c r="F339" s="141" t="n"/>
      <c r="G339" s="143" t="n"/>
      <c r="H339" s="27" t="n"/>
    </row>
    <row r="340" ht="17.25" customHeight="1" s="322">
      <c r="A340" s="27" t="n"/>
      <c r="B340" s="506" t="n"/>
      <c r="C340" s="141" t="n"/>
      <c r="D340" s="141" t="n"/>
      <c r="E340" s="141" t="n"/>
      <c r="F340" s="141" t="n"/>
      <c r="G340" s="143" t="n"/>
      <c r="H340" s="27" t="n"/>
    </row>
    <row r="341" ht="17.25" customHeight="1" s="322">
      <c r="A341" s="27" t="n"/>
      <c r="B341" s="506" t="n"/>
      <c r="C341" s="141" t="n"/>
      <c r="D341" s="141" t="n"/>
      <c r="E341" s="141" t="n"/>
      <c r="F341" s="141" t="n"/>
      <c r="G341" s="143" t="n"/>
      <c r="H341" s="27" t="n"/>
    </row>
    <row r="342" ht="17.25" customHeight="1" s="322">
      <c r="A342" s="27" t="n"/>
      <c r="B342" s="506" t="n"/>
      <c r="C342" s="141" t="n"/>
      <c r="D342" s="141" t="n"/>
      <c r="E342" s="141" t="n"/>
      <c r="F342" s="141" t="n"/>
      <c r="G342" s="143" t="n"/>
      <c r="H342" s="27" t="n"/>
    </row>
    <row r="343" ht="17.25" customHeight="1" s="322">
      <c r="A343" s="27" t="n"/>
      <c r="B343" s="506" t="n"/>
      <c r="C343" s="141" t="n"/>
      <c r="D343" s="141" t="n"/>
      <c r="E343" s="141" t="n"/>
      <c r="F343" s="141" t="n"/>
      <c r="G343" s="143" t="n"/>
      <c r="H343" s="27" t="n"/>
    </row>
    <row r="344" ht="17.25" customHeight="1" s="322">
      <c r="A344" s="27" t="n"/>
      <c r="B344" s="506" t="n"/>
      <c r="C344" s="141" t="n"/>
      <c r="D344" s="141" t="n"/>
      <c r="E344" s="141" t="n"/>
      <c r="F344" s="141" t="n"/>
      <c r="G344" s="143" t="n"/>
      <c r="H344" s="27" t="n"/>
    </row>
    <row r="345" ht="17.25" customHeight="1" s="322">
      <c r="A345" s="27" t="n"/>
      <c r="B345" s="506" t="n"/>
      <c r="C345" s="141" t="n"/>
      <c r="D345" s="141" t="n"/>
      <c r="E345" s="141" t="n"/>
      <c r="F345" s="141" t="n"/>
      <c r="G345" s="143" t="n"/>
      <c r="H345" s="27" t="n"/>
    </row>
    <row r="346" ht="17.25" customHeight="1" s="322">
      <c r="A346" s="27" t="n"/>
      <c r="B346" s="506" t="n"/>
      <c r="C346" s="141" t="n"/>
      <c r="D346" s="141" t="n"/>
      <c r="E346" s="141" t="n"/>
      <c r="F346" s="141" t="n"/>
      <c r="G346" s="143" t="n"/>
      <c r="H346" s="27" t="n"/>
    </row>
    <row r="347" ht="17.25" customHeight="1" s="322">
      <c r="A347" s="27" t="n"/>
      <c r="B347" s="506" t="n"/>
      <c r="C347" s="141" t="n"/>
      <c r="D347" s="141" t="n"/>
      <c r="E347" s="141" t="n"/>
      <c r="F347" s="141" t="n"/>
      <c r="G347" s="143" t="n"/>
      <c r="H347" s="27" t="n"/>
    </row>
    <row r="348" ht="17.25" customHeight="1" s="322">
      <c r="A348" s="27" t="n"/>
      <c r="B348" s="506" t="n"/>
      <c r="C348" s="141" t="n"/>
      <c r="D348" s="141" t="n"/>
      <c r="E348" s="141" t="n"/>
      <c r="F348" s="141" t="n"/>
      <c r="G348" s="143" t="n"/>
      <c r="H348" s="27" t="n"/>
    </row>
    <row r="349" ht="17.25" customHeight="1" s="322">
      <c r="A349" s="27" t="n"/>
      <c r="B349" s="506" t="n"/>
      <c r="C349" s="141" t="n"/>
      <c r="D349" s="141" t="n"/>
      <c r="E349" s="141" t="n"/>
      <c r="F349" s="141" t="n"/>
      <c r="G349" s="143" t="n"/>
      <c r="H349" s="27" t="n"/>
    </row>
    <row r="350" ht="17.25" customHeight="1" s="322">
      <c r="A350" s="27" t="n"/>
      <c r="B350" s="506" t="n"/>
      <c r="C350" s="141" t="n"/>
      <c r="D350" s="141" t="n"/>
      <c r="E350" s="141" t="n"/>
      <c r="F350" s="141" t="n"/>
      <c r="G350" s="143" t="n"/>
      <c r="H350" s="27" t="n"/>
    </row>
    <row r="351" ht="17.25" customHeight="1" s="322">
      <c r="A351" s="27" t="n"/>
      <c r="B351" s="506" t="n"/>
      <c r="C351" s="141" t="n"/>
      <c r="D351" s="141" t="n"/>
      <c r="E351" s="141" t="n"/>
      <c r="F351" s="141" t="n"/>
      <c r="G351" s="143" t="n"/>
      <c r="H351" s="27" t="n"/>
    </row>
    <row r="352" ht="17.25" customHeight="1" s="322">
      <c r="A352" s="27" t="n"/>
      <c r="B352" s="506" t="n"/>
      <c r="C352" s="141" t="n"/>
      <c r="D352" s="141" t="n"/>
      <c r="E352" s="141" t="n"/>
      <c r="F352" s="141" t="n"/>
      <c r="G352" s="143" t="n"/>
      <c r="H352" s="27" t="n"/>
    </row>
    <row r="353" ht="17.25" customHeight="1" s="322">
      <c r="A353" s="27" t="n"/>
      <c r="B353" s="506" t="n"/>
      <c r="C353" s="141" t="n"/>
      <c r="D353" s="141" t="n"/>
      <c r="E353" s="141" t="n"/>
      <c r="F353" s="141" t="n"/>
      <c r="G353" s="143" t="n"/>
      <c r="H353" s="27" t="n"/>
    </row>
    <row r="354" ht="17.25" customHeight="1" s="322">
      <c r="A354" s="27" t="n"/>
      <c r="B354" s="506" t="n"/>
      <c r="C354" s="141" t="n"/>
      <c r="D354" s="141" t="n"/>
      <c r="E354" s="141" t="n"/>
      <c r="F354" s="141" t="n"/>
      <c r="G354" s="143" t="n"/>
      <c r="H354" s="27" t="n"/>
    </row>
    <row r="355" ht="17.25" customHeight="1" s="322">
      <c r="A355" s="27" t="n"/>
      <c r="B355" s="506" t="n"/>
      <c r="C355" s="141" t="n"/>
      <c r="D355" s="141" t="n"/>
      <c r="E355" s="141" t="n"/>
      <c r="F355" s="141" t="n"/>
      <c r="G355" s="143" t="n"/>
      <c r="H355" s="27" t="n"/>
    </row>
    <row r="356" ht="17.25" customHeight="1" s="322">
      <c r="A356" s="27" t="n"/>
      <c r="B356" s="506" t="n"/>
      <c r="C356" s="141" t="n"/>
      <c r="D356" s="141" t="n"/>
      <c r="E356" s="141" t="n"/>
      <c r="F356" s="141" t="n"/>
      <c r="G356" s="143" t="n"/>
      <c r="H356" s="27" t="n"/>
    </row>
    <row r="357" ht="17.25" customHeight="1" s="322">
      <c r="A357" s="27" t="n"/>
      <c r="B357" s="506" t="n"/>
      <c r="C357" s="141" t="n"/>
      <c r="D357" s="141" t="n"/>
      <c r="E357" s="141" t="n"/>
      <c r="F357" s="141" t="n"/>
      <c r="G357" s="143" t="n"/>
      <c r="H357" s="27" t="n"/>
    </row>
    <row r="358" ht="17.25" customHeight="1" s="322">
      <c r="A358" s="27" t="n"/>
      <c r="B358" s="506" t="n"/>
      <c r="C358" s="141" t="n"/>
      <c r="D358" s="141" t="n"/>
      <c r="E358" s="141" t="n"/>
      <c r="F358" s="141" t="n"/>
      <c r="G358" s="143" t="n"/>
      <c r="H358" s="27" t="n"/>
    </row>
    <row r="359" ht="17.25" customHeight="1" s="322">
      <c r="A359" s="27" t="n"/>
      <c r="B359" s="506" t="n"/>
      <c r="C359" s="141" t="n"/>
      <c r="D359" s="141" t="n"/>
      <c r="E359" s="141" t="n"/>
      <c r="F359" s="141" t="n"/>
      <c r="G359" s="143" t="n"/>
      <c r="H359" s="27" t="n"/>
    </row>
    <row r="360" ht="17.25" customHeight="1" s="322">
      <c r="A360" s="27" t="n"/>
      <c r="B360" s="506" t="n"/>
      <c r="C360" s="141" t="n"/>
      <c r="D360" s="141" t="n"/>
      <c r="E360" s="141" t="n"/>
      <c r="F360" s="141" t="n"/>
      <c r="G360" s="143" t="n"/>
      <c r="H360" s="27" t="n"/>
    </row>
    <row r="361" ht="17.25" customHeight="1" s="322">
      <c r="A361" s="27" t="n"/>
      <c r="B361" s="506" t="n"/>
      <c r="C361" s="141" t="n"/>
      <c r="D361" s="141" t="n"/>
      <c r="E361" s="141" t="n"/>
      <c r="F361" s="141" t="n"/>
      <c r="G361" s="143" t="n"/>
      <c r="H361" s="27" t="n"/>
    </row>
    <row r="362" ht="17.25" customHeight="1" s="322">
      <c r="A362" s="27" t="n"/>
      <c r="B362" s="506" t="n"/>
      <c r="C362" s="141" t="n"/>
      <c r="D362" s="141" t="n"/>
      <c r="E362" s="141" t="n"/>
      <c r="F362" s="141" t="n"/>
      <c r="G362" s="143" t="n"/>
      <c r="H362" s="27" t="n"/>
    </row>
    <row r="363" ht="17.25" customHeight="1" s="322">
      <c r="A363" s="27" t="n"/>
      <c r="B363" s="506" t="n"/>
      <c r="C363" s="141" t="n"/>
      <c r="D363" s="141" t="n"/>
      <c r="E363" s="141" t="n"/>
      <c r="F363" s="141" t="n"/>
      <c r="G363" s="143" t="n"/>
      <c r="H363" s="27" t="n"/>
    </row>
    <row r="364" ht="17.25" customHeight="1" s="322">
      <c r="A364" s="27" t="n"/>
      <c r="B364" s="506" t="n"/>
      <c r="C364" s="141" t="n"/>
      <c r="D364" s="141" t="n"/>
      <c r="E364" s="141" t="n"/>
      <c r="F364" s="141" t="n"/>
      <c r="G364" s="143" t="n"/>
      <c r="H364" s="27" t="n"/>
    </row>
    <row r="365" ht="17.25" customHeight="1" s="322">
      <c r="A365" s="27" t="n"/>
      <c r="B365" s="506" t="n"/>
      <c r="C365" s="141" t="n"/>
      <c r="D365" s="141" t="n"/>
      <c r="E365" s="141" t="n"/>
      <c r="F365" s="141" t="n"/>
      <c r="G365" s="143" t="n"/>
      <c r="H365" s="27" t="n"/>
    </row>
    <row r="366" ht="17.25" customHeight="1" s="322">
      <c r="A366" s="27" t="n"/>
      <c r="B366" s="506" t="n"/>
      <c r="C366" s="141" t="n"/>
      <c r="D366" s="141" t="n"/>
      <c r="E366" s="141" t="n"/>
      <c r="F366" s="141" t="n"/>
      <c r="G366" s="143" t="n"/>
      <c r="H366" s="27" t="n"/>
    </row>
    <row r="367" ht="17.25" customHeight="1" s="322">
      <c r="A367" s="27" t="n"/>
      <c r="B367" s="506" t="n"/>
      <c r="C367" s="141" t="n"/>
      <c r="D367" s="141" t="n"/>
      <c r="E367" s="141" t="n"/>
      <c r="F367" s="141" t="n"/>
      <c r="G367" s="143" t="n"/>
      <c r="H367" s="27" t="n"/>
    </row>
    <row r="368" ht="17.25" customHeight="1" s="322">
      <c r="A368" s="27" t="n"/>
      <c r="B368" s="506" t="n"/>
      <c r="C368" s="141" t="n"/>
      <c r="D368" s="141" t="n"/>
      <c r="E368" s="141" t="n"/>
      <c r="F368" s="141" t="n"/>
      <c r="G368" s="143" t="n"/>
      <c r="H368" s="27" t="n"/>
    </row>
    <row r="369" ht="17.25" customHeight="1" s="322">
      <c r="A369" s="27" t="n"/>
      <c r="B369" s="506" t="n"/>
      <c r="C369" s="141" t="n"/>
      <c r="D369" s="141" t="n"/>
      <c r="E369" s="141" t="n"/>
      <c r="F369" s="141" t="n"/>
      <c r="G369" s="143" t="n"/>
      <c r="H369" s="27" t="n"/>
    </row>
    <row r="370" ht="17.25" customHeight="1" s="322">
      <c r="A370" s="27" t="n"/>
      <c r="B370" s="506" t="n"/>
      <c r="C370" s="141" t="n"/>
      <c r="D370" s="141" t="n"/>
      <c r="E370" s="141" t="n"/>
      <c r="F370" s="141" t="n"/>
      <c r="G370" s="143" t="n"/>
      <c r="H370" s="27" t="n"/>
    </row>
    <row r="371" ht="17.25" customHeight="1" s="322">
      <c r="A371" s="27" t="n"/>
      <c r="B371" s="506" t="n"/>
      <c r="C371" s="141" t="n"/>
      <c r="D371" s="141" t="n"/>
      <c r="E371" s="141" t="n"/>
      <c r="F371" s="141" t="n"/>
      <c r="G371" s="143" t="n"/>
      <c r="H371" s="27" t="n"/>
    </row>
    <row r="372" ht="17.25" customHeight="1" s="322">
      <c r="A372" s="27" t="n"/>
      <c r="B372" s="506" t="n"/>
      <c r="C372" s="141" t="n"/>
      <c r="D372" s="141" t="n"/>
      <c r="E372" s="141" t="n"/>
      <c r="F372" s="141" t="n"/>
      <c r="G372" s="143" t="n"/>
      <c r="H372" s="27" t="n"/>
    </row>
    <row r="373" ht="17.25" customHeight="1" s="322">
      <c r="A373" s="27" t="n"/>
      <c r="B373" s="506" t="n"/>
      <c r="C373" s="141" t="n"/>
      <c r="D373" s="141" t="n"/>
      <c r="E373" s="141" t="n"/>
      <c r="F373" s="141" t="n"/>
      <c r="G373" s="143" t="n"/>
      <c r="H373" s="27" t="n"/>
    </row>
    <row r="374" ht="17.25" customHeight="1" s="322">
      <c r="A374" s="27" t="n"/>
      <c r="B374" s="506" t="n"/>
      <c r="C374" s="141" t="n"/>
      <c r="D374" s="141" t="n"/>
      <c r="E374" s="141" t="n"/>
      <c r="F374" s="141" t="n"/>
      <c r="G374" s="143" t="n"/>
      <c r="H374" s="27" t="n"/>
    </row>
    <row r="375" ht="17.25" customHeight="1" s="322">
      <c r="A375" s="27" t="n"/>
      <c r="B375" s="506" t="n"/>
      <c r="C375" s="141" t="n"/>
      <c r="D375" s="141" t="n"/>
      <c r="E375" s="141" t="n"/>
      <c r="F375" s="141" t="n"/>
      <c r="G375" s="143" t="n"/>
      <c r="H375" s="27" t="n"/>
    </row>
    <row r="376" ht="17.25" customHeight="1" s="322">
      <c r="A376" s="27" t="n"/>
      <c r="B376" s="506" t="n"/>
      <c r="C376" s="141" t="n"/>
      <c r="D376" s="141" t="n"/>
      <c r="E376" s="141" t="n"/>
      <c r="F376" s="141" t="n"/>
      <c r="G376" s="143" t="n"/>
      <c r="H376" s="27" t="n"/>
    </row>
    <row r="377" ht="17.25" customHeight="1" s="322">
      <c r="A377" s="27" t="n"/>
      <c r="B377" s="506" t="n"/>
      <c r="C377" s="141" t="n"/>
      <c r="D377" s="141" t="n"/>
      <c r="E377" s="141" t="n"/>
      <c r="F377" s="141" t="n"/>
      <c r="G377" s="143" t="n"/>
      <c r="H377" s="27" t="n"/>
    </row>
    <row r="378" ht="17.25" customHeight="1" s="322">
      <c r="A378" s="27" t="n"/>
      <c r="B378" s="506" t="n"/>
      <c r="C378" s="141" t="n"/>
      <c r="D378" s="141" t="n"/>
      <c r="E378" s="141" t="n"/>
      <c r="F378" s="141" t="n"/>
      <c r="G378" s="143" t="n"/>
      <c r="H378" s="27" t="n"/>
    </row>
    <row r="379" ht="17.25" customHeight="1" s="322">
      <c r="A379" s="27" t="n"/>
      <c r="B379" s="506" t="n"/>
      <c r="C379" s="141" t="n"/>
      <c r="D379" s="141" t="n"/>
      <c r="E379" s="141" t="n"/>
      <c r="F379" s="141" t="n"/>
      <c r="G379" s="143" t="n"/>
      <c r="H379" s="27" t="n"/>
    </row>
    <row r="380" ht="17.25" customHeight="1" s="322">
      <c r="A380" s="27" t="n"/>
      <c r="B380" s="506" t="n"/>
      <c r="C380" s="141" t="n"/>
      <c r="D380" s="141" t="n"/>
      <c r="E380" s="141" t="n"/>
      <c r="F380" s="141" t="n"/>
      <c r="G380" s="143" t="n"/>
      <c r="H380" s="27" t="n"/>
    </row>
    <row r="381" ht="17.25" customHeight="1" s="322">
      <c r="A381" s="27" t="n"/>
      <c r="B381" s="506" t="n"/>
      <c r="C381" s="141" t="n"/>
      <c r="D381" s="141" t="n"/>
      <c r="E381" s="141" t="n"/>
      <c r="F381" s="141" t="n"/>
      <c r="G381" s="143" t="n"/>
      <c r="H381" s="27" t="n"/>
    </row>
    <row r="382" ht="17.25" customHeight="1" s="322">
      <c r="A382" s="27" t="n"/>
      <c r="B382" s="506" t="n"/>
      <c r="C382" s="141" t="n"/>
      <c r="D382" s="141" t="n"/>
      <c r="E382" s="141" t="n"/>
      <c r="F382" s="141" t="n"/>
      <c r="G382" s="143" t="n"/>
      <c r="H382" s="27" t="n"/>
    </row>
    <row r="383" ht="17.25" customHeight="1" s="322">
      <c r="A383" s="27" t="n"/>
      <c r="B383" s="506" t="n"/>
      <c r="C383" s="141" t="n"/>
      <c r="D383" s="141" t="n"/>
      <c r="E383" s="141" t="n"/>
      <c r="F383" s="141" t="n"/>
      <c r="G383" s="143" t="n"/>
      <c r="H383" s="27" t="n"/>
    </row>
    <row r="384" ht="17.25" customHeight="1" s="322">
      <c r="A384" s="27" t="n"/>
      <c r="B384" s="506" t="n"/>
      <c r="C384" s="141" t="n"/>
      <c r="D384" s="141" t="n"/>
      <c r="E384" s="141" t="n"/>
      <c r="F384" s="141" t="n"/>
      <c r="G384" s="143" t="n"/>
      <c r="H384" s="27" t="n"/>
    </row>
    <row r="385" ht="17.25" customHeight="1" s="322">
      <c r="A385" s="27" t="n"/>
      <c r="B385" s="506" t="n"/>
      <c r="C385" s="141" t="n"/>
      <c r="D385" s="141" t="n"/>
      <c r="E385" s="141" t="n"/>
      <c r="F385" s="141" t="n"/>
      <c r="G385" s="143" t="n"/>
      <c r="H385" s="27" t="n"/>
    </row>
    <row r="386" ht="17.25" customHeight="1" s="322">
      <c r="A386" s="27" t="n"/>
      <c r="B386" s="506" t="n"/>
      <c r="C386" s="141" t="n"/>
      <c r="D386" s="141" t="n"/>
      <c r="E386" s="141" t="n"/>
      <c r="F386" s="141" t="n"/>
      <c r="G386" s="143" t="n"/>
      <c r="H386" s="27" t="n"/>
    </row>
    <row r="387" ht="17.25" customHeight="1" s="322">
      <c r="A387" s="27" t="n"/>
      <c r="B387" s="506" t="n"/>
      <c r="C387" s="141" t="n"/>
      <c r="D387" s="141" t="n"/>
      <c r="E387" s="141" t="n"/>
      <c r="F387" s="141" t="n"/>
      <c r="G387" s="143" t="n"/>
      <c r="H387" s="27" t="n"/>
    </row>
    <row r="388" ht="17.25" customHeight="1" s="322">
      <c r="A388" s="27" t="n"/>
      <c r="B388" s="506" t="n"/>
      <c r="C388" s="141" t="n"/>
      <c r="D388" s="141" t="n"/>
      <c r="E388" s="141" t="n"/>
      <c r="F388" s="141" t="n"/>
      <c r="G388" s="143" t="n"/>
      <c r="H388" s="27" t="n"/>
    </row>
    <row r="389" ht="17.25" customHeight="1" s="322">
      <c r="A389" s="27" t="n"/>
      <c r="B389" s="506" t="n"/>
      <c r="C389" s="141" t="n"/>
      <c r="D389" s="141" t="n"/>
      <c r="E389" s="141" t="n"/>
      <c r="F389" s="141" t="n"/>
      <c r="G389" s="143" t="n"/>
      <c r="H389" s="27" t="n"/>
    </row>
    <row r="390" ht="17.25" customHeight="1" s="322">
      <c r="A390" s="27" t="n"/>
      <c r="B390" s="506" t="n"/>
      <c r="C390" s="141" t="n"/>
      <c r="D390" s="141" t="n"/>
      <c r="E390" s="141" t="n"/>
      <c r="F390" s="141" t="n"/>
      <c r="G390" s="143" t="n"/>
      <c r="H390" s="27" t="n"/>
    </row>
    <row r="391" ht="17.25" customHeight="1" s="322">
      <c r="A391" s="27" t="n"/>
      <c r="B391" s="506" t="n"/>
      <c r="C391" s="141" t="n"/>
      <c r="D391" s="141" t="n"/>
      <c r="E391" s="141" t="n"/>
      <c r="F391" s="141" t="n"/>
      <c r="G391" s="143" t="n"/>
      <c r="H391" s="27" t="n"/>
    </row>
    <row r="392" ht="17.25" customHeight="1" s="322">
      <c r="A392" s="27" t="n"/>
      <c r="B392" s="506" t="n"/>
      <c r="C392" s="141" t="n"/>
      <c r="D392" s="141" t="n"/>
      <c r="E392" s="141" t="n"/>
      <c r="F392" s="141" t="n"/>
      <c r="G392" s="143" t="n"/>
      <c r="H392" s="27" t="n"/>
    </row>
    <row r="393" ht="17.25" customHeight="1" s="322">
      <c r="A393" s="27" t="n"/>
      <c r="B393" s="506" t="n"/>
      <c r="C393" s="141" t="n"/>
      <c r="D393" s="141" t="n"/>
      <c r="E393" s="141" t="n"/>
      <c r="F393" s="141" t="n"/>
      <c r="G393" s="143" t="n"/>
      <c r="H393" s="27" t="n"/>
    </row>
    <row r="394" ht="17.25" customHeight="1" s="322">
      <c r="A394" s="27" t="n"/>
      <c r="B394" s="506" t="n"/>
      <c r="C394" s="141" t="n"/>
      <c r="D394" s="141" t="n"/>
      <c r="E394" s="141" t="n"/>
      <c r="F394" s="141" t="n"/>
      <c r="G394" s="143" t="n"/>
      <c r="H394" s="27" t="n"/>
    </row>
    <row r="395" ht="17.25" customHeight="1" s="322">
      <c r="A395" s="27" t="n"/>
      <c r="B395" s="506" t="n"/>
      <c r="C395" s="141" t="n"/>
      <c r="D395" s="141" t="n"/>
      <c r="E395" s="141" t="n"/>
      <c r="F395" s="141" t="n"/>
      <c r="G395" s="143" t="n"/>
      <c r="H395" s="27" t="n"/>
    </row>
    <row r="396" ht="17.25" customHeight="1" s="322">
      <c r="A396" s="27" t="n"/>
      <c r="B396" s="506" t="n"/>
      <c r="C396" s="141" t="n"/>
      <c r="D396" s="141" t="n"/>
      <c r="E396" s="141" t="n"/>
      <c r="F396" s="141" t="n"/>
      <c r="G396" s="143" t="n"/>
      <c r="H396" s="27" t="n"/>
    </row>
    <row r="397" ht="17.25" customHeight="1" s="322">
      <c r="A397" s="27" t="n"/>
      <c r="B397" s="506" t="n"/>
      <c r="C397" s="141" t="n"/>
      <c r="D397" s="141" t="n"/>
      <c r="E397" s="141" t="n"/>
      <c r="F397" s="141" t="n"/>
      <c r="G397" s="143" t="n"/>
      <c r="H397" s="27" t="n"/>
    </row>
    <row r="398" ht="17.25" customHeight="1" s="322">
      <c r="A398" s="27" t="n"/>
      <c r="B398" s="506" t="n"/>
      <c r="C398" s="141" t="n"/>
      <c r="D398" s="141" t="n"/>
      <c r="E398" s="141" t="n"/>
      <c r="F398" s="141" t="n"/>
      <c r="G398" s="143" t="n"/>
      <c r="H398" s="27" t="n"/>
    </row>
    <row r="399" ht="17.25" customHeight="1" s="322">
      <c r="A399" s="27" t="n"/>
      <c r="B399" s="506" t="n"/>
      <c r="C399" s="141" t="n"/>
      <c r="D399" s="141" t="n"/>
      <c r="E399" s="141" t="n"/>
      <c r="F399" s="141" t="n"/>
      <c r="G399" s="143" t="n"/>
      <c r="H399" s="27" t="n"/>
    </row>
    <row r="400" ht="17.25" customHeight="1" s="322">
      <c r="A400" s="27" t="n"/>
      <c r="B400" s="506" t="n"/>
      <c r="C400" s="141" t="n"/>
      <c r="D400" s="141" t="n"/>
      <c r="E400" s="141" t="n"/>
      <c r="F400" s="141" t="n"/>
      <c r="G400" s="143" t="n"/>
      <c r="H400" s="27" t="n"/>
    </row>
    <row r="401" ht="17.25" customHeight="1" s="322">
      <c r="A401" s="27" t="n"/>
      <c r="B401" s="506" t="n"/>
      <c r="C401" s="141" t="n"/>
      <c r="D401" s="141" t="n"/>
      <c r="E401" s="141" t="n"/>
      <c r="F401" s="141" t="n"/>
      <c r="G401" s="143" t="n"/>
      <c r="H401" s="27" t="n"/>
    </row>
    <row r="402" ht="17.25" customHeight="1" s="322">
      <c r="A402" s="27" t="n"/>
      <c r="B402" s="506" t="n"/>
      <c r="C402" s="141" t="n"/>
      <c r="D402" s="141" t="n"/>
      <c r="E402" s="141" t="n"/>
      <c r="F402" s="141" t="n"/>
      <c r="G402" s="143" t="n"/>
      <c r="H402" s="27" t="n"/>
    </row>
    <row r="403" ht="17.25" customHeight="1" s="322">
      <c r="A403" s="27" t="n"/>
      <c r="B403" s="506" t="n"/>
      <c r="C403" s="141" t="n"/>
      <c r="D403" s="141" t="n"/>
      <c r="E403" s="141" t="n"/>
      <c r="F403" s="141" t="n"/>
      <c r="G403" s="143" t="n"/>
      <c r="H403" s="27" t="n"/>
    </row>
    <row r="404" ht="17.25" customHeight="1" s="322">
      <c r="A404" s="27" t="n"/>
      <c r="B404" s="506" t="n"/>
      <c r="C404" s="141" t="n"/>
      <c r="D404" s="141" t="n"/>
      <c r="E404" s="141" t="n"/>
      <c r="F404" s="141" t="n"/>
      <c r="G404" s="143" t="n"/>
      <c r="H404" s="27" t="n"/>
    </row>
    <row r="405" ht="17.25" customHeight="1" s="322">
      <c r="A405" s="27" t="n"/>
      <c r="B405" s="506" t="n"/>
      <c r="C405" s="141" t="n"/>
      <c r="D405" s="141" t="n"/>
      <c r="E405" s="141" t="n"/>
      <c r="F405" s="141" t="n"/>
      <c r="G405" s="143" t="n"/>
      <c r="H405" s="27" t="n"/>
    </row>
    <row r="406" ht="17.25" customHeight="1" s="322">
      <c r="A406" s="27" t="n"/>
      <c r="B406" s="506" t="n"/>
      <c r="C406" s="141" t="n"/>
      <c r="D406" s="141" t="n"/>
      <c r="E406" s="141" t="n"/>
      <c r="F406" s="141" t="n"/>
      <c r="G406" s="143" t="n"/>
      <c r="H406" s="27" t="n"/>
    </row>
    <row r="407" ht="17.25" customHeight="1" s="322">
      <c r="A407" s="27" t="n"/>
      <c r="B407" s="506" t="n"/>
      <c r="C407" s="141" t="n"/>
      <c r="D407" s="141" t="n"/>
      <c r="E407" s="141" t="n"/>
      <c r="F407" s="141" t="n"/>
      <c r="G407" s="143" t="n"/>
      <c r="H407" s="27" t="n"/>
    </row>
    <row r="408" ht="17.25" customHeight="1" s="322">
      <c r="A408" s="27" t="n"/>
      <c r="B408" s="506" t="n"/>
      <c r="C408" s="141" t="n"/>
      <c r="D408" s="141" t="n"/>
      <c r="E408" s="141" t="n"/>
      <c r="F408" s="141" t="n"/>
      <c r="G408" s="143" t="n"/>
      <c r="H408" s="27" t="n"/>
    </row>
    <row r="409" ht="17.25" customHeight="1" s="322">
      <c r="A409" s="27" t="n"/>
      <c r="B409" s="506" t="n"/>
      <c r="C409" s="141" t="n"/>
      <c r="D409" s="141" t="n"/>
      <c r="E409" s="141" t="n"/>
      <c r="F409" s="141" t="n"/>
      <c r="G409" s="143" t="n"/>
      <c r="H409" s="27" t="n"/>
    </row>
    <row r="410" ht="17.25" customHeight="1" s="322">
      <c r="A410" s="27" t="n"/>
      <c r="B410" s="506" t="n"/>
      <c r="C410" s="141" t="n"/>
      <c r="D410" s="141" t="n"/>
      <c r="E410" s="141" t="n"/>
      <c r="F410" s="141" t="n"/>
      <c r="G410" s="143" t="n"/>
      <c r="H410" s="27" t="n"/>
    </row>
    <row r="411" ht="17.25" customHeight="1" s="322">
      <c r="A411" s="27" t="n"/>
      <c r="B411" s="506" t="n"/>
      <c r="C411" s="141" t="n"/>
      <c r="D411" s="141" t="n"/>
      <c r="E411" s="141" t="n"/>
      <c r="F411" s="141" t="n"/>
      <c r="G411" s="143" t="n"/>
      <c r="H411" s="27" t="n"/>
    </row>
    <row r="412" ht="17.25" customHeight="1" s="322">
      <c r="A412" s="27" t="n"/>
      <c r="B412" s="506" t="n"/>
      <c r="C412" s="141" t="n"/>
      <c r="D412" s="141" t="n"/>
      <c r="E412" s="141" t="n"/>
      <c r="F412" s="141" t="n"/>
      <c r="G412" s="143" t="n"/>
      <c r="H412" s="27" t="n"/>
    </row>
    <row r="413" ht="17.25" customHeight="1" s="322">
      <c r="A413" s="27" t="n"/>
      <c r="B413" s="506" t="n"/>
      <c r="C413" s="141" t="n"/>
      <c r="D413" s="141" t="n"/>
      <c r="E413" s="141" t="n"/>
      <c r="F413" s="141" t="n"/>
      <c r="G413" s="143" t="n"/>
      <c r="H413" s="27" t="n"/>
    </row>
    <row r="414" ht="17.25" customHeight="1" s="322">
      <c r="A414" s="27" t="n"/>
      <c r="B414" s="506" t="n"/>
      <c r="C414" s="141" t="n"/>
      <c r="D414" s="141" t="n"/>
      <c r="E414" s="141" t="n"/>
      <c r="F414" s="141" t="n"/>
      <c r="G414" s="143" t="n"/>
      <c r="H414" s="27" t="n"/>
    </row>
    <row r="415" ht="17.25" customHeight="1" s="322">
      <c r="A415" s="27" t="n"/>
      <c r="B415" s="506" t="n"/>
      <c r="C415" s="141" t="n"/>
      <c r="D415" s="141" t="n"/>
      <c r="E415" s="141" t="n"/>
      <c r="F415" s="141" t="n"/>
      <c r="G415" s="143" t="n"/>
      <c r="H415" s="27" t="n"/>
    </row>
    <row r="416" ht="17.25" customHeight="1" s="322">
      <c r="A416" s="27" t="n"/>
      <c r="B416" s="506" t="n"/>
      <c r="C416" s="141" t="n"/>
      <c r="D416" s="141" t="n"/>
      <c r="E416" s="141" t="n"/>
      <c r="F416" s="141" t="n"/>
      <c r="G416" s="143" t="n"/>
      <c r="H416" s="27" t="n"/>
    </row>
    <row r="417" ht="17.25" customHeight="1" s="322">
      <c r="A417" s="27" t="n"/>
      <c r="B417" s="506" t="n"/>
      <c r="C417" s="141" t="n"/>
      <c r="D417" s="141" t="n"/>
      <c r="E417" s="141" t="n"/>
      <c r="F417" s="141" t="n"/>
      <c r="G417" s="143" t="n"/>
      <c r="H417" s="27" t="n"/>
    </row>
    <row r="418" ht="17.25" customHeight="1" s="322">
      <c r="A418" s="27" t="n"/>
      <c r="B418" s="506" t="n"/>
      <c r="C418" s="141" t="n"/>
      <c r="D418" s="141" t="n"/>
      <c r="E418" s="141" t="n"/>
      <c r="F418" s="141" t="n"/>
      <c r="G418" s="143" t="n"/>
      <c r="H418" s="27" t="n"/>
    </row>
    <row r="419" ht="17.25" customHeight="1" s="322">
      <c r="A419" s="27" t="n"/>
      <c r="B419" s="506" t="n"/>
      <c r="C419" s="141" t="n"/>
      <c r="D419" s="141" t="n"/>
      <c r="E419" s="141" t="n"/>
      <c r="F419" s="141" t="n"/>
      <c r="G419" s="143" t="n"/>
      <c r="H419" s="27" t="n"/>
    </row>
    <row r="420" ht="17.25" customHeight="1" s="322">
      <c r="A420" s="27" t="n"/>
      <c r="B420" s="506" t="n"/>
      <c r="C420" s="141" t="n"/>
      <c r="D420" s="141" t="n"/>
      <c r="E420" s="141" t="n"/>
      <c r="F420" s="141" t="n"/>
      <c r="G420" s="143" t="n"/>
      <c r="H420" s="27" t="n"/>
    </row>
    <row r="421" ht="17.25" customHeight="1" s="322">
      <c r="A421" s="27" t="n"/>
      <c r="B421" s="506" t="n"/>
      <c r="C421" s="141" t="n"/>
      <c r="D421" s="141" t="n"/>
      <c r="E421" s="141" t="n"/>
      <c r="F421" s="141" t="n"/>
      <c r="G421" s="143" t="n"/>
      <c r="H421" s="27" t="n"/>
    </row>
    <row r="422" ht="17.25" customHeight="1" s="322">
      <c r="A422" s="27" t="n"/>
      <c r="B422" s="506" t="n"/>
      <c r="C422" s="141" t="n"/>
      <c r="D422" s="141" t="n"/>
      <c r="E422" s="141" t="n"/>
      <c r="F422" s="141" t="n"/>
      <c r="G422" s="143" t="n"/>
      <c r="H422" s="27" t="n"/>
    </row>
    <row r="423" ht="17.25" customHeight="1" s="322">
      <c r="A423" s="27" t="n"/>
      <c r="B423" s="506" t="n"/>
      <c r="C423" s="141" t="n"/>
      <c r="D423" s="141" t="n"/>
      <c r="E423" s="141" t="n"/>
      <c r="F423" s="141" t="n"/>
      <c r="G423" s="143" t="n"/>
      <c r="H423" s="27" t="n"/>
    </row>
    <row r="424" ht="17.25" customHeight="1" s="322">
      <c r="A424" s="27" t="n"/>
      <c r="B424" s="506" t="n"/>
      <c r="C424" s="141" t="n"/>
      <c r="D424" s="141" t="n"/>
      <c r="E424" s="141" t="n"/>
      <c r="F424" s="141" t="n"/>
      <c r="G424" s="143" t="n"/>
      <c r="H424" s="27" t="n"/>
    </row>
    <row r="425" ht="17.25" customHeight="1" s="322">
      <c r="A425" s="27" t="n"/>
      <c r="B425" s="506" t="n"/>
      <c r="C425" s="141" t="n"/>
      <c r="D425" s="141" t="n"/>
      <c r="E425" s="141" t="n"/>
      <c r="F425" s="141" t="n"/>
      <c r="G425" s="143" t="n"/>
      <c r="H425" s="27" t="n"/>
    </row>
    <row r="426" ht="17.25" customHeight="1" s="322">
      <c r="A426" s="27" t="n"/>
      <c r="B426" s="506" t="n"/>
      <c r="C426" s="141" t="n"/>
      <c r="D426" s="141" t="n"/>
      <c r="E426" s="141" t="n"/>
      <c r="F426" s="141" t="n"/>
      <c r="G426" s="143" t="n"/>
      <c r="H426" s="27" t="n"/>
    </row>
    <row r="427" ht="17.25" customHeight="1" s="322">
      <c r="A427" s="27" t="n"/>
      <c r="B427" s="506" t="n"/>
      <c r="C427" s="141" t="n"/>
      <c r="D427" s="141" t="n"/>
      <c r="E427" s="141" t="n"/>
      <c r="F427" s="141" t="n"/>
      <c r="G427" s="143" t="n"/>
      <c r="H427" s="27" t="n"/>
    </row>
    <row r="428" ht="17.25" customHeight="1" s="322">
      <c r="A428" s="27" t="n"/>
      <c r="B428" s="506" t="n"/>
      <c r="C428" s="141" t="n"/>
      <c r="D428" s="141" t="n"/>
      <c r="E428" s="141" t="n"/>
      <c r="F428" s="141" t="n"/>
      <c r="G428" s="143" t="n"/>
      <c r="H428" s="27" t="n"/>
    </row>
    <row r="429" ht="17.25" customHeight="1" s="322">
      <c r="A429" s="27" t="n"/>
      <c r="B429" s="506" t="n"/>
      <c r="C429" s="141" t="n"/>
      <c r="D429" s="141" t="n"/>
      <c r="E429" s="141" t="n"/>
      <c r="F429" s="141" t="n"/>
      <c r="G429" s="143" t="n"/>
      <c r="H429" s="27" t="n"/>
    </row>
    <row r="430" ht="17.25" customHeight="1" s="322">
      <c r="A430" s="27" t="n"/>
      <c r="B430" s="506" t="n"/>
      <c r="C430" s="141" t="n"/>
      <c r="D430" s="141" t="n"/>
      <c r="E430" s="141" t="n"/>
      <c r="F430" s="141" t="n"/>
      <c r="G430" s="143" t="n"/>
      <c r="H430" s="27" t="n"/>
    </row>
    <row r="431" ht="17.25" customHeight="1" s="322">
      <c r="A431" s="27" t="n"/>
      <c r="B431" s="506" t="n"/>
      <c r="C431" s="141" t="n"/>
      <c r="D431" s="141" t="n"/>
      <c r="E431" s="141" t="n"/>
      <c r="F431" s="141" t="n"/>
      <c r="G431" s="143" t="n"/>
      <c r="H431" s="27" t="n"/>
    </row>
    <row r="432" ht="17.25" customHeight="1" s="322">
      <c r="A432" s="27" t="n"/>
      <c r="B432" s="506" t="n"/>
      <c r="C432" s="141" t="n"/>
      <c r="D432" s="141" t="n"/>
      <c r="E432" s="141" t="n"/>
      <c r="F432" s="141" t="n"/>
      <c r="G432" s="143" t="n"/>
      <c r="H432" s="27" t="n"/>
    </row>
    <row r="433" ht="17.25" customHeight="1" s="322">
      <c r="A433" s="27" t="n"/>
      <c r="B433" s="506" t="n"/>
      <c r="C433" s="141" t="n"/>
      <c r="D433" s="141" t="n"/>
      <c r="E433" s="141" t="n"/>
      <c r="F433" s="141" t="n"/>
      <c r="G433" s="143" t="n"/>
      <c r="H433" s="27" t="n"/>
    </row>
    <row r="434" ht="17.25" customHeight="1" s="322">
      <c r="A434" s="27" t="n"/>
      <c r="B434" s="506" t="n"/>
      <c r="C434" s="141" t="n"/>
      <c r="D434" s="141" t="n"/>
      <c r="E434" s="141" t="n"/>
      <c r="F434" s="141" t="n"/>
      <c r="G434" s="143" t="n"/>
      <c r="H434" s="27" t="n"/>
    </row>
    <row r="435" ht="17.25" customHeight="1" s="322">
      <c r="A435" s="27" t="n"/>
      <c r="B435" s="506" t="n"/>
      <c r="C435" s="141" t="n"/>
      <c r="D435" s="141" t="n"/>
      <c r="E435" s="141" t="n"/>
      <c r="F435" s="141" t="n"/>
      <c r="G435" s="143" t="n"/>
      <c r="H435" s="27" t="n"/>
    </row>
    <row r="436" ht="17.25" customHeight="1" s="322">
      <c r="A436" s="27" t="n"/>
      <c r="B436" s="506" t="n"/>
      <c r="C436" s="141" t="n"/>
      <c r="D436" s="141" t="n"/>
      <c r="E436" s="141" t="n"/>
      <c r="F436" s="141" t="n"/>
      <c r="G436" s="143" t="n"/>
      <c r="H436" s="27" t="n"/>
    </row>
    <row r="437" ht="17.25" customHeight="1" s="322">
      <c r="A437" s="27" t="n"/>
      <c r="B437" s="506" t="n"/>
      <c r="C437" s="141" t="n"/>
      <c r="D437" s="141" t="n"/>
      <c r="E437" s="141" t="n"/>
      <c r="F437" s="141" t="n"/>
      <c r="G437" s="143" t="n"/>
      <c r="H437" s="27" t="n"/>
    </row>
    <row r="438" ht="17.25" customHeight="1" s="322">
      <c r="A438" s="27" t="n"/>
      <c r="B438" s="506" t="n"/>
      <c r="C438" s="141" t="n"/>
      <c r="D438" s="141" t="n"/>
      <c r="E438" s="141" t="n"/>
      <c r="F438" s="141" t="n"/>
      <c r="G438" s="143" t="n"/>
      <c r="H438" s="27" t="n"/>
    </row>
    <row r="439" ht="17.25" customHeight="1" s="322">
      <c r="A439" s="27" t="n"/>
      <c r="B439" s="506" t="n"/>
      <c r="C439" s="141" t="n"/>
      <c r="D439" s="141" t="n"/>
      <c r="E439" s="141" t="n"/>
      <c r="F439" s="141" t="n"/>
      <c r="G439" s="143" t="n"/>
      <c r="H439" s="27" t="n"/>
    </row>
    <row r="440" ht="17.25" customHeight="1" s="322">
      <c r="A440" s="27" t="n"/>
      <c r="B440" s="506" t="n"/>
      <c r="C440" s="141" t="n"/>
      <c r="D440" s="141" t="n"/>
      <c r="E440" s="141" t="n"/>
      <c r="F440" s="141" t="n"/>
      <c r="G440" s="143" t="n"/>
      <c r="H440" s="27" t="n"/>
    </row>
    <row r="441" ht="17.25" customHeight="1" s="322">
      <c r="A441" s="27" t="n"/>
      <c r="B441" s="506" t="n"/>
      <c r="C441" s="141" t="n"/>
      <c r="D441" s="141" t="n"/>
      <c r="E441" s="141" t="n"/>
      <c r="F441" s="141" t="n"/>
      <c r="G441" s="143" t="n"/>
      <c r="H441" s="27" t="n"/>
    </row>
    <row r="442" ht="17.25" customHeight="1" s="322">
      <c r="A442" s="27" t="n"/>
      <c r="B442" s="506" t="n"/>
      <c r="C442" s="141" t="n"/>
      <c r="D442" s="141" t="n"/>
      <c r="E442" s="141" t="n"/>
      <c r="F442" s="141" t="n"/>
      <c r="G442" s="143" t="n"/>
      <c r="H442" s="27" t="n"/>
    </row>
    <row r="443" ht="17.25" customHeight="1" s="322">
      <c r="A443" s="27" t="n"/>
      <c r="B443" s="506" t="n"/>
      <c r="C443" s="141" t="n"/>
      <c r="D443" s="141" t="n"/>
      <c r="E443" s="141" t="n"/>
      <c r="F443" s="141" t="n"/>
      <c r="G443" s="143" t="n"/>
      <c r="H443" s="27" t="n"/>
    </row>
    <row r="444" ht="17.25" customHeight="1" s="322">
      <c r="A444" s="27" t="n"/>
      <c r="B444" s="506" t="n"/>
      <c r="C444" s="141" t="n"/>
      <c r="D444" s="141" t="n"/>
      <c r="E444" s="141" t="n"/>
      <c r="F444" s="141" t="n"/>
      <c r="G444" s="143" t="n"/>
      <c r="H444" s="27" t="n"/>
    </row>
    <row r="445" ht="17.25" customHeight="1" s="322">
      <c r="A445" s="27" t="n"/>
      <c r="B445" s="506" t="n"/>
      <c r="C445" s="141" t="n"/>
      <c r="D445" s="141" t="n"/>
      <c r="E445" s="141" t="n"/>
      <c r="F445" s="141" t="n"/>
      <c r="G445" s="143" t="n"/>
      <c r="H445" s="27" t="n"/>
    </row>
    <row r="446" ht="17.25" customHeight="1" s="322">
      <c r="A446" s="27" t="n"/>
      <c r="B446" s="506" t="n"/>
      <c r="C446" s="141" t="n"/>
      <c r="D446" s="141" t="n"/>
      <c r="E446" s="141" t="n"/>
      <c r="F446" s="141" t="n"/>
      <c r="G446" s="143" t="n"/>
      <c r="H446" s="27" t="n"/>
    </row>
    <row r="447" ht="17.25" customHeight="1" s="322">
      <c r="A447" s="27" t="n"/>
      <c r="B447" s="506" t="n"/>
      <c r="C447" s="141" t="n"/>
      <c r="D447" s="141" t="n"/>
      <c r="E447" s="141" t="n"/>
      <c r="F447" s="141" t="n"/>
      <c r="G447" s="143" t="n"/>
      <c r="H447" s="27" t="n"/>
    </row>
    <row r="448" ht="17.25" customHeight="1" s="322">
      <c r="A448" s="27" t="n"/>
      <c r="B448" s="506" t="n"/>
      <c r="C448" s="141" t="n"/>
      <c r="D448" s="141" t="n"/>
      <c r="E448" s="141" t="n"/>
      <c r="F448" s="141" t="n"/>
      <c r="G448" s="143" t="n"/>
      <c r="H448" s="27" t="n"/>
    </row>
    <row r="449" ht="17.25" customHeight="1" s="322">
      <c r="A449" s="27" t="n"/>
      <c r="B449" s="506" t="n"/>
      <c r="C449" s="141" t="n"/>
      <c r="D449" s="141" t="n"/>
      <c r="E449" s="141" t="n"/>
      <c r="F449" s="141" t="n"/>
      <c r="G449" s="143" t="n"/>
      <c r="H449" s="27" t="n"/>
    </row>
    <row r="450" ht="17.25" customHeight="1" s="322">
      <c r="A450" s="27" t="n"/>
      <c r="B450" s="506" t="n"/>
      <c r="C450" s="141" t="n"/>
      <c r="D450" s="141" t="n"/>
      <c r="E450" s="141" t="n"/>
      <c r="F450" s="141" t="n"/>
      <c r="G450" s="143" t="n"/>
      <c r="H450" s="27" t="n"/>
    </row>
    <row r="451" ht="17.25" customHeight="1" s="322">
      <c r="A451" s="27" t="n"/>
      <c r="B451" s="506" t="n"/>
      <c r="C451" s="141" t="n"/>
      <c r="D451" s="141" t="n"/>
      <c r="E451" s="141" t="n"/>
      <c r="F451" s="141" t="n"/>
      <c r="G451" s="143" t="n"/>
      <c r="H451" s="27" t="n"/>
    </row>
    <row r="452" ht="17.25" customHeight="1" s="322">
      <c r="A452" s="27" t="n"/>
      <c r="B452" s="506" t="n"/>
      <c r="C452" s="141" t="n"/>
      <c r="D452" s="141" t="n"/>
      <c r="E452" s="141" t="n"/>
      <c r="F452" s="141" t="n"/>
      <c r="G452" s="143" t="n"/>
      <c r="H452" s="27" t="n"/>
    </row>
    <row r="453" ht="17.25" customHeight="1" s="322">
      <c r="A453" s="27" t="n"/>
      <c r="B453" s="506" t="n"/>
      <c r="C453" s="141" t="n"/>
      <c r="D453" s="141" t="n"/>
      <c r="E453" s="141" t="n"/>
      <c r="F453" s="141" t="n"/>
      <c r="G453" s="143" t="n"/>
      <c r="H453" s="27" t="n"/>
    </row>
    <row r="454" ht="17.25" customHeight="1" s="322">
      <c r="A454" s="27" t="n"/>
      <c r="B454" s="506" t="n"/>
      <c r="C454" s="141" t="n"/>
      <c r="D454" s="141" t="n"/>
      <c r="E454" s="141" t="n"/>
      <c r="F454" s="141" t="n"/>
      <c r="G454" s="143" t="n"/>
      <c r="H454" s="27" t="n"/>
    </row>
    <row r="455" ht="17.25" customHeight="1" s="322">
      <c r="A455" s="27" t="n"/>
      <c r="B455" s="506" t="n"/>
      <c r="C455" s="141" t="n"/>
      <c r="D455" s="141" t="n"/>
      <c r="E455" s="141" t="n"/>
      <c r="F455" s="141" t="n"/>
      <c r="G455" s="143" t="n"/>
      <c r="H455" s="27" t="n"/>
    </row>
    <row r="456" ht="17.25" customHeight="1" s="322">
      <c r="A456" s="27" t="n"/>
      <c r="B456" s="506" t="n"/>
      <c r="C456" s="141" t="n"/>
      <c r="D456" s="141" t="n"/>
      <c r="E456" s="141" t="n"/>
      <c r="F456" s="141" t="n"/>
      <c r="G456" s="143" t="n"/>
      <c r="H456" s="27" t="n"/>
    </row>
    <row r="457" ht="17.25" customHeight="1" s="322">
      <c r="A457" s="27" t="n"/>
      <c r="B457" s="506" t="n"/>
      <c r="C457" s="141" t="n"/>
      <c r="D457" s="141" t="n"/>
      <c r="E457" s="141" t="n"/>
      <c r="F457" s="141" t="n"/>
      <c r="G457" s="143" t="n"/>
      <c r="H457" s="27" t="n"/>
    </row>
    <row r="458" ht="17.25" customHeight="1" s="322">
      <c r="A458" s="27" t="n"/>
      <c r="B458" s="506" t="n"/>
      <c r="C458" s="141" t="n"/>
      <c r="D458" s="141" t="n"/>
      <c r="E458" s="141" t="n"/>
      <c r="F458" s="141" t="n"/>
      <c r="G458" s="143" t="n"/>
      <c r="H458" s="27" t="n"/>
    </row>
    <row r="459" ht="17.25" customHeight="1" s="322">
      <c r="A459" s="27" t="n"/>
      <c r="B459" s="506" t="n"/>
      <c r="C459" s="141" t="n"/>
      <c r="D459" s="141" t="n"/>
      <c r="E459" s="141" t="n"/>
      <c r="F459" s="141" t="n"/>
      <c r="G459" s="143" t="n"/>
      <c r="H459" s="27" t="n"/>
    </row>
    <row r="460" ht="17.25" customHeight="1" s="322">
      <c r="A460" s="27" t="n"/>
      <c r="B460" s="506" t="n"/>
      <c r="C460" s="141" t="n"/>
      <c r="D460" s="141" t="n"/>
      <c r="E460" s="141" t="n"/>
      <c r="F460" s="141" t="n"/>
      <c r="G460" s="143" t="n"/>
      <c r="H460" s="27" t="n"/>
    </row>
    <row r="461" ht="17.25" customHeight="1" s="322">
      <c r="A461" s="27" t="n"/>
      <c r="B461" s="506" t="n"/>
      <c r="C461" s="141" t="n"/>
      <c r="D461" s="141" t="n"/>
      <c r="E461" s="141" t="n"/>
      <c r="F461" s="141" t="n"/>
      <c r="G461" s="143" t="n"/>
      <c r="H461" s="27" t="n"/>
    </row>
    <row r="462" ht="17.25" customHeight="1" s="322">
      <c r="A462" s="27" t="n"/>
      <c r="B462" s="506" t="n"/>
      <c r="C462" s="141" t="n"/>
      <c r="D462" s="141" t="n"/>
      <c r="E462" s="141" t="n"/>
      <c r="F462" s="141" t="n"/>
      <c r="G462" s="143" t="n"/>
      <c r="H462" s="27" t="n"/>
    </row>
    <row r="463" ht="17.25" customHeight="1" s="322">
      <c r="A463" s="27" t="n"/>
      <c r="B463" s="506" t="n"/>
      <c r="C463" s="141" t="n"/>
      <c r="D463" s="141" t="n"/>
      <c r="E463" s="141" t="n"/>
      <c r="F463" s="141" t="n"/>
      <c r="G463" s="143" t="n"/>
      <c r="H463" s="27" t="n"/>
    </row>
    <row r="464" ht="17.25" customHeight="1" s="322">
      <c r="A464" s="27" t="n"/>
      <c r="B464" s="506" t="n"/>
      <c r="C464" s="141" t="n"/>
      <c r="D464" s="141" t="n"/>
      <c r="E464" s="141" t="n"/>
      <c r="F464" s="141" t="n"/>
      <c r="G464" s="143" t="n"/>
      <c r="H464" s="27" t="n"/>
    </row>
    <row r="465" ht="17.25" customHeight="1" s="322">
      <c r="A465" s="27" t="n"/>
      <c r="B465" s="506" t="n"/>
      <c r="C465" s="141" t="n"/>
      <c r="D465" s="141" t="n"/>
      <c r="E465" s="141" t="n"/>
      <c r="F465" s="141" t="n"/>
      <c r="G465" s="143" t="n"/>
      <c r="H465" s="27" t="n"/>
    </row>
    <row r="466" ht="17.25" customHeight="1" s="322">
      <c r="A466" s="27" t="n"/>
      <c r="B466" s="506" t="n"/>
      <c r="C466" s="141" t="n"/>
      <c r="D466" s="141" t="n"/>
      <c r="E466" s="141" t="n"/>
      <c r="F466" s="141" t="n"/>
      <c r="G466" s="143" t="n"/>
      <c r="H466" s="27" t="n"/>
    </row>
    <row r="467" ht="17.25" customHeight="1" s="322">
      <c r="A467" s="27" t="n"/>
      <c r="B467" s="506" t="n"/>
      <c r="C467" s="141" t="n"/>
      <c r="D467" s="141" t="n"/>
      <c r="E467" s="141" t="n"/>
      <c r="F467" s="141" t="n"/>
      <c r="G467" s="143" t="n"/>
      <c r="H467" s="27" t="n"/>
    </row>
    <row r="468" ht="17.25" customHeight="1" s="322">
      <c r="A468" s="27" t="n"/>
      <c r="B468" s="506" t="n"/>
      <c r="C468" s="141" t="n"/>
      <c r="D468" s="141" t="n"/>
      <c r="E468" s="141" t="n"/>
      <c r="F468" s="141" t="n"/>
      <c r="G468" s="143" t="n"/>
      <c r="H468" s="27" t="n"/>
    </row>
    <row r="469" ht="17.25" customHeight="1" s="322">
      <c r="A469" s="27" t="n"/>
      <c r="B469" s="506" t="n"/>
      <c r="C469" s="141" t="n"/>
      <c r="D469" s="141" t="n"/>
      <c r="E469" s="141" t="n"/>
      <c r="F469" s="141" t="n"/>
      <c r="G469" s="143" t="n"/>
      <c r="H469" s="27" t="n"/>
    </row>
    <row r="470" ht="17.25" customHeight="1" s="322">
      <c r="A470" s="27" t="n"/>
      <c r="B470" s="506" t="n"/>
      <c r="C470" s="141" t="n"/>
      <c r="D470" s="141" t="n"/>
      <c r="E470" s="141" t="n"/>
      <c r="F470" s="141" t="n"/>
      <c r="G470" s="143" t="n"/>
      <c r="H470" s="27" t="n"/>
    </row>
    <row r="471" ht="17.25" customHeight="1" s="322">
      <c r="A471" s="27" t="n"/>
      <c r="B471" s="506" t="n"/>
      <c r="C471" s="141" t="n"/>
      <c r="D471" s="141" t="n"/>
      <c r="E471" s="141" t="n"/>
      <c r="F471" s="141" t="n"/>
      <c r="G471" s="143" t="n"/>
      <c r="H471" s="27" t="n"/>
    </row>
    <row r="472" ht="17.25" customHeight="1" s="322">
      <c r="A472" s="27" t="n"/>
      <c r="B472" s="506" t="n"/>
      <c r="C472" s="141" t="n"/>
      <c r="D472" s="141" t="n"/>
      <c r="E472" s="141" t="n"/>
      <c r="F472" s="141" t="n"/>
      <c r="G472" s="143" t="n"/>
      <c r="H472" s="27" t="n"/>
    </row>
    <row r="473" ht="17.25" customHeight="1" s="322">
      <c r="A473" s="27" t="n"/>
      <c r="B473" s="506" t="n"/>
      <c r="C473" s="141" t="n"/>
      <c r="D473" s="141" t="n"/>
      <c r="E473" s="141" t="n"/>
      <c r="F473" s="141" t="n"/>
      <c r="G473" s="143" t="n"/>
      <c r="H473" s="27" t="n"/>
    </row>
    <row r="474" ht="17.25" customHeight="1" s="322">
      <c r="A474" s="27" t="n"/>
      <c r="B474" s="506" t="n"/>
      <c r="C474" s="141" t="n"/>
      <c r="D474" s="141" t="n"/>
      <c r="E474" s="141" t="n"/>
      <c r="F474" s="141" t="n"/>
      <c r="G474" s="143" t="n"/>
      <c r="H474" s="27" t="n"/>
    </row>
    <row r="475" ht="17.25" customHeight="1" s="322">
      <c r="A475" s="27" t="n"/>
      <c r="B475" s="506" t="n"/>
      <c r="C475" s="141" t="n"/>
      <c r="D475" s="141" t="n"/>
      <c r="E475" s="141" t="n"/>
      <c r="F475" s="141" t="n"/>
      <c r="G475" s="143" t="n"/>
      <c r="H475" s="27" t="n"/>
    </row>
    <row r="476" ht="17.25" customHeight="1" s="322">
      <c r="A476" s="27" t="n"/>
      <c r="B476" s="506" t="n"/>
      <c r="C476" s="141" t="n"/>
      <c r="D476" s="141" t="n"/>
      <c r="E476" s="141" t="n"/>
      <c r="F476" s="141" t="n"/>
      <c r="G476" s="143" t="n"/>
      <c r="H476" s="27" t="n"/>
    </row>
    <row r="477" ht="17.25" customHeight="1" s="322">
      <c r="A477" s="27" t="n"/>
      <c r="B477" s="506" t="n"/>
      <c r="C477" s="141" t="n"/>
      <c r="D477" s="141" t="n"/>
      <c r="E477" s="141" t="n"/>
      <c r="F477" s="141" t="n"/>
      <c r="G477" s="143" t="n"/>
      <c r="H477" s="27" t="n"/>
    </row>
    <row r="478" ht="17.25" customHeight="1" s="322">
      <c r="A478" s="27" t="n"/>
      <c r="B478" s="506" t="n"/>
      <c r="C478" s="141" t="n"/>
      <c r="D478" s="141" t="n"/>
      <c r="E478" s="141" t="n"/>
      <c r="F478" s="141" t="n"/>
      <c r="G478" s="143" t="n"/>
      <c r="H478" s="27" t="n"/>
    </row>
    <row r="479" ht="17.25" customHeight="1" s="322">
      <c r="A479" s="27" t="n"/>
      <c r="B479" s="506" t="n"/>
      <c r="C479" s="141" t="n"/>
      <c r="D479" s="141" t="n"/>
      <c r="E479" s="141" t="n"/>
      <c r="F479" s="141" t="n"/>
      <c r="G479" s="143" t="n"/>
      <c r="H479" s="27" t="n"/>
    </row>
    <row r="480" ht="17.25" customHeight="1" s="322">
      <c r="A480" s="27" t="n"/>
      <c r="B480" s="506" t="n"/>
      <c r="C480" s="141" t="n"/>
      <c r="D480" s="141" t="n"/>
      <c r="E480" s="141" t="n"/>
      <c r="F480" s="141" t="n"/>
      <c r="G480" s="143" t="n"/>
      <c r="H480" s="27" t="n"/>
    </row>
    <row r="481" ht="17.25" customHeight="1" s="322">
      <c r="A481" s="27" t="n"/>
      <c r="B481" s="506" t="n"/>
      <c r="C481" s="141" t="n"/>
      <c r="D481" s="141" t="n"/>
      <c r="E481" s="141" t="n"/>
      <c r="F481" s="141" t="n"/>
      <c r="G481" s="143" t="n"/>
      <c r="H481" s="27" t="n"/>
    </row>
    <row r="482" ht="17.25" customHeight="1" s="322">
      <c r="A482" s="27" t="n"/>
      <c r="B482" s="506" t="n"/>
      <c r="C482" s="141" t="n"/>
      <c r="D482" s="141" t="n"/>
      <c r="E482" s="141" t="n"/>
      <c r="F482" s="141" t="n"/>
      <c r="G482" s="143" t="n"/>
      <c r="H482" s="27" t="n"/>
    </row>
    <row r="483" ht="17.25" customHeight="1" s="322">
      <c r="A483" s="27" t="n"/>
      <c r="B483" s="506" t="n"/>
      <c r="C483" s="141" t="n"/>
      <c r="D483" s="141" t="n"/>
      <c r="E483" s="141" t="n"/>
      <c r="F483" s="141" t="n"/>
      <c r="G483" s="143" t="n"/>
      <c r="H483" s="27" t="n"/>
    </row>
    <row r="484" ht="17.25" customHeight="1" s="322">
      <c r="A484" s="27" t="n"/>
      <c r="B484" s="506" t="n"/>
      <c r="C484" s="141" t="n"/>
      <c r="D484" s="141" t="n"/>
      <c r="E484" s="141" t="n"/>
      <c r="F484" s="141" t="n"/>
      <c r="G484" s="143" t="n"/>
      <c r="H484" s="27" t="n"/>
    </row>
    <row r="485" ht="17.25" customHeight="1" s="322">
      <c r="A485" s="27" t="n"/>
      <c r="B485" s="506" t="n"/>
      <c r="C485" s="141" t="n"/>
      <c r="D485" s="141" t="n"/>
      <c r="E485" s="141" t="n"/>
      <c r="F485" s="141" t="n"/>
      <c r="G485" s="143" t="n"/>
      <c r="H485" s="27" t="n"/>
    </row>
    <row r="486" ht="17.25" customHeight="1" s="322">
      <c r="A486" s="27" t="n"/>
      <c r="B486" s="506" t="n"/>
      <c r="C486" s="141" t="n"/>
      <c r="D486" s="141" t="n"/>
      <c r="E486" s="141" t="n"/>
      <c r="F486" s="141" t="n"/>
      <c r="G486" s="143" t="n"/>
      <c r="H486" s="27" t="n"/>
    </row>
    <row r="487" ht="17.25" customHeight="1" s="322">
      <c r="A487" s="27" t="n"/>
      <c r="B487" s="506" t="n"/>
      <c r="C487" s="141" t="n"/>
      <c r="D487" s="141" t="n"/>
      <c r="E487" s="141" t="n"/>
      <c r="F487" s="141" t="n"/>
      <c r="G487" s="143" t="n"/>
      <c r="H487" s="27" t="n"/>
    </row>
    <row r="488" ht="17.25" customHeight="1" s="322">
      <c r="A488" s="27" t="n"/>
      <c r="B488" s="506" t="n"/>
      <c r="C488" s="141" t="n"/>
      <c r="D488" s="141" t="n"/>
      <c r="E488" s="141" t="n"/>
      <c r="F488" s="141" t="n"/>
      <c r="G488" s="143" t="n"/>
      <c r="H488" s="27" t="n"/>
    </row>
    <row r="489" ht="17.25" customHeight="1" s="322">
      <c r="A489" s="27" t="n"/>
      <c r="B489" s="506" t="n"/>
      <c r="C489" s="141" t="n"/>
      <c r="D489" s="141" t="n"/>
      <c r="E489" s="141" t="n"/>
      <c r="F489" s="141" t="n"/>
      <c r="G489" s="143" t="n"/>
      <c r="H489" s="27" t="n"/>
    </row>
    <row r="490" ht="17.25" customHeight="1" s="322">
      <c r="A490" s="27" t="n"/>
      <c r="B490" s="506" t="n"/>
      <c r="C490" s="141" t="n"/>
      <c r="D490" s="141" t="n"/>
      <c r="E490" s="141" t="n"/>
      <c r="F490" s="141" t="n"/>
      <c r="G490" s="143" t="n"/>
      <c r="H490" s="27" t="n"/>
    </row>
    <row r="491" ht="17.25" customHeight="1" s="322">
      <c r="A491" s="27" t="n"/>
      <c r="B491" s="506" t="n"/>
      <c r="C491" s="141" t="n"/>
      <c r="D491" s="141" t="n"/>
      <c r="E491" s="141" t="n"/>
      <c r="F491" s="141" t="n"/>
      <c r="G491" s="143" t="n"/>
      <c r="H491" s="27" t="n"/>
    </row>
    <row r="492" ht="17.25" customHeight="1" s="322">
      <c r="A492" s="27" t="n"/>
      <c r="B492" s="506" t="n"/>
      <c r="C492" s="141" t="n"/>
      <c r="D492" s="141" t="n"/>
      <c r="E492" s="141" t="n"/>
      <c r="F492" s="141" t="n"/>
      <c r="G492" s="143" t="n"/>
      <c r="H492" s="27" t="n"/>
    </row>
    <row r="493" ht="17.25" customHeight="1" s="322">
      <c r="A493" s="27" t="n"/>
      <c r="B493" s="506" t="n"/>
      <c r="C493" s="141" t="n"/>
      <c r="D493" s="141" t="n"/>
      <c r="E493" s="141" t="n"/>
      <c r="F493" s="141" t="n"/>
      <c r="G493" s="143" t="n"/>
      <c r="H493" s="27" t="n"/>
    </row>
    <row r="494" ht="17.25" customHeight="1" s="322">
      <c r="A494" s="27" t="n"/>
      <c r="B494" s="506" t="n"/>
      <c r="C494" s="141" t="n"/>
      <c r="D494" s="141" t="n"/>
      <c r="E494" s="141" t="n"/>
      <c r="F494" s="141" t="n"/>
      <c r="G494" s="143" t="n"/>
      <c r="H494" s="27" t="n"/>
    </row>
    <row r="495" ht="17.25" customHeight="1" s="322">
      <c r="A495" s="27" t="n"/>
      <c r="B495" s="506" t="n"/>
      <c r="C495" s="141" t="n"/>
      <c r="D495" s="141" t="n"/>
      <c r="E495" s="141" t="n"/>
      <c r="F495" s="141" t="n"/>
      <c r="G495" s="143" t="n"/>
      <c r="H495" s="27" t="n"/>
    </row>
    <row r="496" ht="17.25" customHeight="1" s="322">
      <c r="A496" s="27" t="n"/>
      <c r="B496" s="506" t="n"/>
      <c r="C496" s="141" t="n"/>
      <c r="D496" s="141" t="n"/>
      <c r="E496" s="141" t="n"/>
      <c r="F496" s="141" t="n"/>
      <c r="G496" s="143" t="n"/>
      <c r="H496" s="27" t="n"/>
    </row>
    <row r="497" ht="17.25" customHeight="1" s="322">
      <c r="A497" s="27" t="n"/>
      <c r="B497" s="506" t="n"/>
      <c r="C497" s="141" t="n"/>
      <c r="D497" s="141" t="n"/>
      <c r="E497" s="141" t="n"/>
      <c r="F497" s="141" t="n"/>
      <c r="G497" s="143" t="n"/>
      <c r="H497" s="27" t="n"/>
    </row>
    <row r="498" ht="17.25" customHeight="1" s="322">
      <c r="A498" s="27" t="n"/>
      <c r="B498" s="506" t="n"/>
      <c r="C498" s="141" t="n"/>
      <c r="D498" s="141" t="n"/>
      <c r="E498" s="141" t="n"/>
      <c r="F498" s="141" t="n"/>
      <c r="G498" s="143" t="n"/>
      <c r="H498" s="27" t="n"/>
    </row>
    <row r="499" ht="17.25" customHeight="1" s="322">
      <c r="A499" s="27" t="n"/>
      <c r="B499" s="506" t="n"/>
      <c r="C499" s="141" t="n"/>
      <c r="D499" s="141" t="n"/>
      <c r="E499" s="141" t="n"/>
      <c r="F499" s="141" t="n"/>
      <c r="G499" s="143" t="n"/>
      <c r="H499" s="27" t="n"/>
    </row>
    <row r="500" ht="17.25" customHeight="1" s="322">
      <c r="A500" s="27" t="n"/>
      <c r="B500" s="506" t="n"/>
      <c r="C500" s="141" t="n"/>
      <c r="D500" s="141" t="n"/>
      <c r="E500" s="141" t="n"/>
      <c r="F500" s="141" t="n"/>
      <c r="G500" s="143" t="n"/>
      <c r="H500" s="27" t="n"/>
    </row>
    <row r="501" ht="17.25" customHeight="1" s="322">
      <c r="A501" s="27" t="n"/>
      <c r="B501" s="506" t="n"/>
      <c r="C501" s="141" t="n"/>
      <c r="D501" s="141" t="n"/>
      <c r="E501" s="141" t="n"/>
      <c r="F501" s="141" t="n"/>
      <c r="G501" s="143" t="n"/>
      <c r="H501" s="27" t="n"/>
    </row>
    <row r="502" ht="17.25" customHeight="1" s="322">
      <c r="A502" s="27" t="n"/>
      <c r="B502" s="506" t="n"/>
      <c r="C502" s="141" t="n"/>
      <c r="D502" s="141" t="n"/>
      <c r="E502" s="141" t="n"/>
      <c r="F502" s="141" t="n"/>
      <c r="G502" s="143" t="n"/>
      <c r="H502" s="27" t="n"/>
    </row>
    <row r="503" ht="17.25" customHeight="1" s="322">
      <c r="A503" s="27" t="n"/>
      <c r="B503" s="506" t="n"/>
      <c r="C503" s="141" t="n"/>
      <c r="D503" s="141" t="n"/>
      <c r="E503" s="141" t="n"/>
      <c r="F503" s="141" t="n"/>
      <c r="G503" s="143" t="n"/>
      <c r="H503" s="27" t="n"/>
    </row>
    <row r="504" ht="17.25" customHeight="1" s="322">
      <c r="A504" s="27" t="n"/>
      <c r="B504" s="506" t="n"/>
      <c r="C504" s="141" t="n"/>
      <c r="D504" s="141" t="n"/>
      <c r="E504" s="141" t="n"/>
      <c r="F504" s="141" t="n"/>
      <c r="G504" s="143" t="n"/>
      <c r="H504" s="27" t="n"/>
    </row>
    <row r="505" ht="17.25" customHeight="1" s="322">
      <c r="A505" s="27" t="n"/>
      <c r="B505" s="506" t="n"/>
      <c r="C505" s="141" t="n"/>
      <c r="D505" s="141" t="n"/>
      <c r="E505" s="141" t="n"/>
      <c r="F505" s="141" t="n"/>
      <c r="G505" s="143" t="n"/>
      <c r="H505" s="27" t="n"/>
    </row>
    <row r="506" ht="17.25" customHeight="1" s="322">
      <c r="A506" s="27" t="n"/>
      <c r="B506" s="506" t="n"/>
      <c r="C506" s="141" t="n"/>
      <c r="D506" s="141" t="n"/>
      <c r="E506" s="141" t="n"/>
      <c r="F506" s="141" t="n"/>
      <c r="G506" s="143" t="n"/>
      <c r="H506" s="27" t="n"/>
    </row>
    <row r="507" ht="17.25" customHeight="1" s="322">
      <c r="A507" s="27" t="n"/>
      <c r="B507" s="506" t="n"/>
      <c r="C507" s="141" t="n"/>
      <c r="D507" s="141" t="n"/>
      <c r="E507" s="141" t="n"/>
      <c r="F507" s="141" t="n"/>
      <c r="G507" s="143" t="n"/>
      <c r="H507" s="27" t="n"/>
    </row>
    <row r="508" ht="17.25" customHeight="1" s="322">
      <c r="A508" s="27" t="n"/>
      <c r="B508" s="506" t="n"/>
      <c r="C508" s="141" t="n"/>
      <c r="D508" s="141" t="n"/>
      <c r="E508" s="141" t="n"/>
      <c r="F508" s="141" t="n"/>
      <c r="G508" s="143" t="n"/>
      <c r="H508" s="27" t="n"/>
    </row>
    <row r="509" ht="17.25" customHeight="1" s="322">
      <c r="A509" s="27" t="n"/>
      <c r="B509" s="506" t="n"/>
      <c r="C509" s="141" t="n"/>
      <c r="D509" s="141" t="n"/>
      <c r="E509" s="141" t="n"/>
      <c r="F509" s="141" t="n"/>
      <c r="G509" s="143" t="n"/>
      <c r="H509" s="27" t="n"/>
    </row>
    <row r="510" ht="17.25" customHeight="1" s="322">
      <c r="A510" s="27" t="n"/>
      <c r="B510" s="506" t="n"/>
      <c r="C510" s="141" t="n"/>
      <c r="D510" s="141" t="n"/>
      <c r="E510" s="141" t="n"/>
      <c r="F510" s="141" t="n"/>
      <c r="G510" s="143" t="n"/>
      <c r="H510" s="27" t="n"/>
    </row>
    <row r="511" ht="17.25" customHeight="1" s="322">
      <c r="A511" s="27" t="n"/>
      <c r="B511" s="506" t="n"/>
      <c r="C511" s="141" t="n"/>
      <c r="D511" s="141" t="n"/>
      <c r="E511" s="141" t="n"/>
      <c r="F511" s="141" t="n"/>
      <c r="G511" s="143" t="n"/>
      <c r="H511" s="27" t="n"/>
    </row>
    <row r="512" ht="17.25" customHeight="1" s="322">
      <c r="A512" s="27" t="n"/>
      <c r="B512" s="506" t="n"/>
      <c r="C512" s="141" t="n"/>
      <c r="D512" s="141" t="n"/>
      <c r="E512" s="141" t="n"/>
      <c r="F512" s="141" t="n"/>
      <c r="G512" s="143" t="n"/>
      <c r="H512" s="27" t="n"/>
    </row>
    <row r="513" ht="17.25" customHeight="1" s="322">
      <c r="A513" s="27" t="n"/>
      <c r="B513" s="506" t="n"/>
      <c r="C513" s="141" t="n"/>
      <c r="D513" s="141" t="n"/>
      <c r="E513" s="141" t="n"/>
      <c r="F513" s="141" t="n"/>
      <c r="G513" s="143" t="n"/>
      <c r="H513" s="27" t="n"/>
    </row>
    <row r="514" ht="17.25" customHeight="1" s="322">
      <c r="A514" s="27" t="n"/>
      <c r="B514" s="506" t="n"/>
      <c r="C514" s="141" t="n"/>
      <c r="D514" s="141" t="n"/>
      <c r="E514" s="141" t="n"/>
      <c r="F514" s="141" t="n"/>
      <c r="G514" s="143" t="n"/>
      <c r="H514" s="27" t="n"/>
    </row>
    <row r="515" ht="17.25" customHeight="1" s="322">
      <c r="A515" s="27" t="n"/>
      <c r="B515" s="506" t="n"/>
      <c r="C515" s="141" t="n"/>
      <c r="D515" s="141" t="n"/>
      <c r="E515" s="141" t="n"/>
      <c r="F515" s="141" t="n"/>
      <c r="G515" s="143" t="n"/>
      <c r="H515" s="27" t="n"/>
    </row>
    <row r="516" ht="17.25" customHeight="1" s="322">
      <c r="A516" s="27" t="n"/>
      <c r="B516" s="506" t="n"/>
      <c r="C516" s="141" t="n"/>
      <c r="D516" s="141" t="n"/>
      <c r="E516" s="141" t="n"/>
      <c r="F516" s="141" t="n"/>
      <c r="G516" s="143" t="n"/>
      <c r="H516" s="27" t="n"/>
    </row>
    <row r="517" ht="17.25" customHeight="1" s="322">
      <c r="A517" s="27" t="n"/>
      <c r="B517" s="506" t="n"/>
      <c r="C517" s="141" t="n"/>
      <c r="D517" s="141" t="n"/>
      <c r="E517" s="141" t="n"/>
      <c r="F517" s="141" t="n"/>
      <c r="G517" s="143" t="n"/>
      <c r="H517" s="27" t="n"/>
    </row>
    <row r="518" ht="17.25" customHeight="1" s="322">
      <c r="A518" s="27" t="n"/>
      <c r="B518" s="506" t="n"/>
      <c r="C518" s="141" t="n"/>
      <c r="D518" s="141" t="n"/>
      <c r="E518" s="141" t="n"/>
      <c r="F518" s="141" t="n"/>
      <c r="G518" s="143" t="n"/>
      <c r="H518" s="27" t="n"/>
    </row>
    <row r="519" ht="17.25" customHeight="1" s="322">
      <c r="A519" s="27" t="n"/>
      <c r="B519" s="506" t="n"/>
      <c r="C519" s="141" t="n"/>
      <c r="D519" s="141" t="n"/>
      <c r="E519" s="141" t="n"/>
      <c r="F519" s="141" t="n"/>
      <c r="G519" s="143" t="n"/>
      <c r="H519" s="27" t="n"/>
    </row>
    <row r="520" ht="17.25" customHeight="1" s="322">
      <c r="A520" s="27" t="n"/>
      <c r="B520" s="506" t="n"/>
      <c r="C520" s="141" t="n"/>
      <c r="D520" s="141" t="n"/>
      <c r="E520" s="141" t="n"/>
      <c r="F520" s="141" t="n"/>
      <c r="G520" s="143" t="n"/>
      <c r="H520" s="27" t="n"/>
    </row>
    <row r="521" ht="17.25" customHeight="1" s="322">
      <c r="A521" s="27" t="n"/>
      <c r="B521" s="506" t="n"/>
      <c r="C521" s="141" t="n"/>
      <c r="D521" s="141" t="n"/>
      <c r="E521" s="141" t="n"/>
      <c r="F521" s="141" t="n"/>
      <c r="G521" s="143" t="n"/>
      <c r="H521" s="27" t="n"/>
    </row>
    <row r="522" ht="17.25" customHeight="1" s="322">
      <c r="A522" s="27" t="n"/>
      <c r="B522" s="506" t="n"/>
      <c r="C522" s="141" t="n"/>
      <c r="D522" s="141" t="n"/>
      <c r="E522" s="141" t="n"/>
      <c r="F522" s="141" t="n"/>
      <c r="G522" s="143" t="n"/>
      <c r="H522" s="27" t="n"/>
    </row>
    <row r="523" ht="17.25" customHeight="1" s="322">
      <c r="A523" s="27" t="n"/>
      <c r="B523" s="506" t="n"/>
      <c r="C523" s="141" t="n"/>
      <c r="D523" s="141" t="n"/>
      <c r="E523" s="141" t="n"/>
      <c r="F523" s="141" t="n"/>
      <c r="G523" s="143" t="n"/>
      <c r="H523" s="27" t="n"/>
    </row>
    <row r="524" ht="17.25" customHeight="1" s="322">
      <c r="A524" s="27" t="n"/>
      <c r="B524" s="506" t="n"/>
      <c r="C524" s="141" t="n"/>
      <c r="D524" s="141" t="n"/>
      <c r="E524" s="141" t="n"/>
      <c r="F524" s="141" t="n"/>
      <c r="G524" s="143" t="n"/>
      <c r="H524" s="27" t="n"/>
    </row>
    <row r="525" ht="17.25" customHeight="1" s="322">
      <c r="A525" s="27" t="n"/>
      <c r="B525" s="506" t="n"/>
      <c r="C525" s="141" t="n"/>
      <c r="D525" s="141" t="n"/>
      <c r="E525" s="141" t="n"/>
      <c r="F525" s="141" t="n"/>
      <c r="G525" s="143" t="n"/>
      <c r="H525" s="27" t="n"/>
    </row>
    <row r="526" ht="17.25" customHeight="1" s="322">
      <c r="A526" s="27" t="n"/>
      <c r="B526" s="506" t="n"/>
      <c r="C526" s="141" t="n"/>
      <c r="D526" s="141" t="n"/>
      <c r="E526" s="141" t="n"/>
      <c r="F526" s="141" t="n"/>
      <c r="G526" s="143" t="n"/>
      <c r="H526" s="27" t="n"/>
    </row>
    <row r="527" ht="17.25" customHeight="1" s="322">
      <c r="A527" s="27" t="n"/>
      <c r="B527" s="506" t="n"/>
      <c r="C527" s="141" t="n"/>
      <c r="D527" s="141" t="n"/>
      <c r="E527" s="141" t="n"/>
      <c r="F527" s="141" t="n"/>
      <c r="G527" s="143" t="n"/>
      <c r="H527" s="27" t="n"/>
    </row>
    <row r="528" ht="17.25" customHeight="1" s="322">
      <c r="A528" s="27" t="n"/>
      <c r="B528" s="506" t="n"/>
      <c r="C528" s="141" t="n"/>
      <c r="D528" s="141" t="n"/>
      <c r="E528" s="141" t="n"/>
      <c r="F528" s="141" t="n"/>
      <c r="G528" s="143" t="n"/>
      <c r="H528" s="27" t="n"/>
    </row>
    <row r="529" ht="17.25" customHeight="1" s="322">
      <c r="A529" s="27" t="n"/>
      <c r="B529" s="506" t="n"/>
      <c r="C529" s="141" t="n"/>
      <c r="D529" s="141" t="n"/>
      <c r="E529" s="141" t="n"/>
      <c r="F529" s="141" t="n"/>
      <c r="G529" s="143" t="n"/>
      <c r="H529" s="27" t="n"/>
    </row>
    <row r="530" ht="17.25" customHeight="1" s="322">
      <c r="A530" s="27" t="n"/>
      <c r="B530" s="506" t="n"/>
      <c r="C530" s="141" t="n"/>
      <c r="D530" s="141" t="n"/>
      <c r="E530" s="141" t="n"/>
      <c r="F530" s="141" t="n"/>
      <c r="G530" s="143" t="n"/>
      <c r="H530" s="27" t="n"/>
    </row>
    <row r="531" ht="17.25" customHeight="1" s="322">
      <c r="A531" s="27" t="n"/>
      <c r="B531" s="506" t="n"/>
      <c r="C531" s="141" t="n"/>
      <c r="D531" s="141" t="n"/>
      <c r="E531" s="141" t="n"/>
      <c r="F531" s="141" t="n"/>
      <c r="G531" s="143" t="n"/>
      <c r="H531" s="27" t="n"/>
    </row>
    <row r="532" ht="17.25" customHeight="1" s="322">
      <c r="A532" s="27" t="n"/>
      <c r="B532" s="506" t="n"/>
      <c r="C532" s="141" t="n"/>
      <c r="D532" s="141" t="n"/>
      <c r="E532" s="141" t="n"/>
      <c r="F532" s="141" t="n"/>
      <c r="G532" s="143" t="n"/>
      <c r="H532" s="27" t="n"/>
    </row>
    <row r="533" ht="17.25" customHeight="1" s="322">
      <c r="A533" s="27" t="n"/>
      <c r="B533" s="506" t="n"/>
      <c r="C533" s="141" t="n"/>
      <c r="D533" s="141" t="n"/>
      <c r="E533" s="141" t="n"/>
      <c r="F533" s="141" t="n"/>
      <c r="G533" s="143" t="n"/>
      <c r="H533" s="27" t="n"/>
    </row>
    <row r="534" ht="17.25" customHeight="1" s="322">
      <c r="A534" s="27" t="n"/>
      <c r="B534" s="506" t="n"/>
      <c r="C534" s="141" t="n"/>
      <c r="D534" s="141" t="n"/>
      <c r="E534" s="141" t="n"/>
      <c r="F534" s="141" t="n"/>
      <c r="G534" s="143" t="n"/>
      <c r="H534" s="27" t="n"/>
    </row>
    <row r="535" ht="17.25" customHeight="1" s="322">
      <c r="A535" s="27" t="n"/>
      <c r="B535" s="506" t="n"/>
      <c r="C535" s="141" t="n"/>
      <c r="D535" s="141" t="n"/>
      <c r="E535" s="141" t="n"/>
      <c r="F535" s="141" t="n"/>
      <c r="G535" s="143" t="n"/>
      <c r="H535" s="27" t="n"/>
    </row>
    <row r="536" ht="17.25" customHeight="1" s="322">
      <c r="A536" s="27" t="n"/>
      <c r="B536" s="506" t="n"/>
      <c r="C536" s="141" t="n"/>
      <c r="D536" s="141" t="n"/>
      <c r="E536" s="141" t="n"/>
      <c r="F536" s="141" t="n"/>
      <c r="G536" s="143" t="n"/>
      <c r="H536" s="27" t="n"/>
    </row>
    <row r="537" ht="17.25" customHeight="1" s="322">
      <c r="A537" s="27" t="n"/>
      <c r="B537" s="506" t="n"/>
      <c r="C537" s="141" t="n"/>
      <c r="D537" s="141" t="n"/>
      <c r="E537" s="141" t="n"/>
      <c r="F537" s="141" t="n"/>
      <c r="G537" s="143" t="n"/>
      <c r="H537" s="27" t="n"/>
    </row>
    <row r="538" ht="17.25" customHeight="1" s="322">
      <c r="A538" s="27" t="n"/>
      <c r="B538" s="506" t="n"/>
      <c r="C538" s="141" t="n"/>
      <c r="D538" s="141" t="n"/>
      <c r="E538" s="141" t="n"/>
      <c r="F538" s="141" t="n"/>
      <c r="G538" s="143" t="n"/>
      <c r="H538" s="27" t="n"/>
    </row>
    <row r="539" ht="17.25" customHeight="1" s="322">
      <c r="A539" s="27" t="n"/>
      <c r="B539" s="506" t="n"/>
      <c r="C539" s="141" t="n"/>
      <c r="D539" s="141" t="n"/>
      <c r="E539" s="141" t="n"/>
      <c r="F539" s="141" t="n"/>
      <c r="G539" s="143" t="n"/>
      <c r="H539" s="27" t="n"/>
    </row>
    <row r="540" ht="17.25" customHeight="1" s="322">
      <c r="A540" s="27" t="n"/>
      <c r="B540" s="506" t="n"/>
      <c r="C540" s="141" t="n"/>
      <c r="D540" s="141" t="n"/>
      <c r="E540" s="141" t="n"/>
      <c r="F540" s="141" t="n"/>
      <c r="G540" s="143" t="n"/>
      <c r="H540" s="27" t="n"/>
    </row>
    <row r="541" ht="17.25" customHeight="1" s="322">
      <c r="A541" s="27" t="n"/>
      <c r="B541" s="506" t="n"/>
      <c r="C541" s="141" t="n"/>
      <c r="D541" s="141" t="n"/>
      <c r="E541" s="141" t="n"/>
      <c r="F541" s="141" t="n"/>
      <c r="G541" s="143" t="n"/>
      <c r="H541" s="27" t="n"/>
    </row>
    <row r="542" ht="17.25" customHeight="1" s="322">
      <c r="A542" s="27" t="n"/>
      <c r="B542" s="506" t="n"/>
      <c r="C542" s="141" t="n"/>
      <c r="D542" s="141" t="n"/>
      <c r="E542" s="141" t="n"/>
      <c r="F542" s="141" t="n"/>
      <c r="G542" s="143" t="n"/>
      <c r="H542" s="27" t="n"/>
    </row>
    <row r="543" ht="17.25" customHeight="1" s="322">
      <c r="A543" s="27" t="n"/>
      <c r="B543" s="506" t="n"/>
      <c r="C543" s="141" t="n"/>
      <c r="D543" s="141" t="n"/>
      <c r="E543" s="141" t="n"/>
      <c r="F543" s="141" t="n"/>
      <c r="G543" s="143" t="n"/>
      <c r="H543" s="27" t="n"/>
    </row>
    <row r="544" ht="17.25" customHeight="1" s="322">
      <c r="A544" s="27" t="n"/>
      <c r="B544" s="506" t="n"/>
      <c r="C544" s="141" t="n"/>
      <c r="D544" s="141" t="n"/>
      <c r="E544" s="141" t="n"/>
      <c r="F544" s="141" t="n"/>
      <c r="G544" s="143" t="n"/>
      <c r="H544" s="27" t="n"/>
    </row>
    <row r="545" ht="17.25" customHeight="1" s="322">
      <c r="A545" s="27" t="n"/>
      <c r="B545" s="506" t="n"/>
      <c r="C545" s="141" t="n"/>
      <c r="D545" s="141" t="n"/>
      <c r="E545" s="141" t="n"/>
      <c r="F545" s="141" t="n"/>
      <c r="G545" s="143" t="n"/>
      <c r="H545" s="27" t="n"/>
    </row>
    <row r="546" ht="17.25" customHeight="1" s="322">
      <c r="A546" s="27" t="n"/>
      <c r="B546" s="506" t="n"/>
      <c r="C546" s="141" t="n"/>
      <c r="D546" s="141" t="n"/>
      <c r="E546" s="141" t="n"/>
      <c r="F546" s="141" t="n"/>
      <c r="G546" s="143" t="n"/>
      <c r="H546" s="27" t="n"/>
    </row>
    <row r="547" ht="17.25" customHeight="1" s="322">
      <c r="A547" s="27" t="n"/>
      <c r="B547" s="506" t="n"/>
      <c r="C547" s="141" t="n"/>
      <c r="D547" s="141" t="n"/>
      <c r="E547" s="141" t="n"/>
      <c r="F547" s="141" t="n"/>
      <c r="G547" s="143" t="n"/>
      <c r="H547" s="27" t="n"/>
    </row>
    <row r="548" ht="17.25" customHeight="1" s="322">
      <c r="A548" s="27" t="n"/>
      <c r="B548" s="506" t="n"/>
      <c r="C548" s="141" t="n"/>
      <c r="D548" s="141" t="n"/>
      <c r="E548" s="141" t="n"/>
      <c r="F548" s="141" t="n"/>
      <c r="G548" s="143" t="n"/>
      <c r="H548" s="27" t="n"/>
    </row>
    <row r="549" ht="17.25" customHeight="1" s="322">
      <c r="A549" s="27" t="n"/>
      <c r="B549" s="506" t="n"/>
      <c r="C549" s="141" t="n"/>
      <c r="D549" s="141" t="n"/>
      <c r="E549" s="141" t="n"/>
      <c r="F549" s="141" t="n"/>
      <c r="G549" s="143" t="n"/>
      <c r="H549" s="27" t="n"/>
    </row>
    <row r="550" ht="17.25" customHeight="1" s="322">
      <c r="A550" s="27" t="n"/>
      <c r="B550" s="506" t="n"/>
      <c r="C550" s="141" t="n"/>
      <c r="D550" s="141" t="n"/>
      <c r="E550" s="141" t="n"/>
      <c r="F550" s="141" t="n"/>
      <c r="G550" s="143" t="n"/>
      <c r="H550" s="27" t="n"/>
    </row>
    <row r="551" ht="17.25" customHeight="1" s="322">
      <c r="A551" s="27" t="n"/>
      <c r="B551" s="506" t="n"/>
      <c r="C551" s="141" t="n"/>
      <c r="D551" s="141" t="n"/>
      <c r="E551" s="141" t="n"/>
      <c r="F551" s="141" t="n"/>
      <c r="G551" s="143" t="n"/>
      <c r="H551" s="27" t="n"/>
    </row>
    <row r="552" ht="17.25" customHeight="1" s="322">
      <c r="A552" s="27" t="n"/>
      <c r="B552" s="506" t="n"/>
      <c r="C552" s="141" t="n"/>
      <c r="D552" s="141" t="n"/>
      <c r="E552" s="141" t="n"/>
      <c r="F552" s="141" t="n"/>
      <c r="G552" s="143" t="n"/>
      <c r="H552" s="27" t="n"/>
    </row>
    <row r="553" ht="17.25" customHeight="1" s="322">
      <c r="A553" s="27" t="n"/>
      <c r="B553" s="506" t="n"/>
      <c r="C553" s="141" t="n"/>
      <c r="D553" s="141" t="n"/>
      <c r="E553" s="141" t="n"/>
      <c r="F553" s="141" t="n"/>
      <c r="G553" s="143" t="n"/>
      <c r="H553" s="27" t="n"/>
    </row>
    <row r="554" ht="17.25" customHeight="1" s="322">
      <c r="A554" s="27" t="n"/>
      <c r="B554" s="506" t="n"/>
      <c r="C554" s="141" t="n"/>
      <c r="D554" s="141" t="n"/>
      <c r="E554" s="141" t="n"/>
      <c r="F554" s="141" t="n"/>
      <c r="G554" s="143" t="n"/>
      <c r="H554" s="27" t="n"/>
    </row>
    <row r="555" ht="17.25" customHeight="1" s="322">
      <c r="A555" s="27" t="n"/>
      <c r="B555" s="506" t="n"/>
      <c r="C555" s="141" t="n"/>
      <c r="D555" s="141" t="n"/>
      <c r="E555" s="141" t="n"/>
      <c r="F555" s="141" t="n"/>
      <c r="G555" s="143" t="n"/>
      <c r="H555" s="27" t="n"/>
    </row>
    <row r="556" ht="17.25" customHeight="1" s="322">
      <c r="A556" s="27" t="n"/>
      <c r="B556" s="506" t="n"/>
      <c r="C556" s="141" t="n"/>
      <c r="D556" s="141" t="n"/>
      <c r="E556" s="141" t="n"/>
      <c r="F556" s="141" t="n"/>
      <c r="G556" s="143" t="n"/>
      <c r="H556" s="27" t="n"/>
    </row>
    <row r="557" ht="17.25" customHeight="1" s="322">
      <c r="A557" s="27" t="n"/>
      <c r="B557" s="506" t="n"/>
      <c r="C557" s="141" t="n"/>
      <c r="D557" s="141" t="n"/>
      <c r="E557" s="141" t="n"/>
      <c r="F557" s="141" t="n"/>
      <c r="G557" s="143" t="n"/>
      <c r="H557" s="27" t="n"/>
    </row>
    <row r="558" ht="17.25" customHeight="1" s="322">
      <c r="A558" s="27" t="n"/>
      <c r="B558" s="506" t="n"/>
      <c r="C558" s="141" t="n"/>
      <c r="D558" s="141" t="n"/>
      <c r="E558" s="141" t="n"/>
      <c r="F558" s="141" t="n"/>
      <c r="G558" s="143" t="n"/>
      <c r="H558" s="27" t="n"/>
    </row>
    <row r="559" ht="17.25" customHeight="1" s="322">
      <c r="A559" s="27" t="n"/>
      <c r="B559" s="506" t="n"/>
      <c r="C559" s="141" t="n"/>
      <c r="D559" s="141" t="n"/>
      <c r="E559" s="141" t="n"/>
      <c r="F559" s="141" t="n"/>
      <c r="G559" s="143" t="n"/>
      <c r="H559" s="27" t="n"/>
    </row>
    <row r="560" ht="17.25" customHeight="1" s="322">
      <c r="A560" s="27" t="n"/>
      <c r="B560" s="506" t="n"/>
      <c r="C560" s="141" t="n"/>
      <c r="D560" s="141" t="n"/>
      <c r="E560" s="141" t="n"/>
      <c r="F560" s="141" t="n"/>
      <c r="G560" s="143" t="n"/>
      <c r="H560" s="27" t="n"/>
    </row>
    <row r="561" ht="17.25" customHeight="1" s="322">
      <c r="A561" s="27" t="n"/>
      <c r="B561" s="506" t="n"/>
      <c r="C561" s="141" t="n"/>
      <c r="D561" s="141" t="n"/>
      <c r="E561" s="141" t="n"/>
      <c r="F561" s="141" t="n"/>
      <c r="G561" s="143" t="n"/>
      <c r="H561" s="27" t="n"/>
    </row>
    <row r="562" ht="17.25" customHeight="1" s="322">
      <c r="A562" s="27" t="n"/>
      <c r="B562" s="506" t="n"/>
      <c r="C562" s="141" t="n"/>
      <c r="D562" s="141" t="n"/>
      <c r="E562" s="141" t="n"/>
      <c r="F562" s="141" t="n"/>
      <c r="G562" s="143" t="n"/>
      <c r="H562" s="27" t="n"/>
    </row>
    <row r="563" ht="17.25" customHeight="1" s="322">
      <c r="A563" s="27" t="n"/>
      <c r="B563" s="506" t="n"/>
      <c r="C563" s="141" t="n"/>
      <c r="D563" s="141" t="n"/>
      <c r="E563" s="141" t="n"/>
      <c r="F563" s="141" t="n"/>
      <c r="G563" s="143" t="n"/>
      <c r="H563" s="27" t="n"/>
    </row>
    <row r="564" ht="17.25" customHeight="1" s="322">
      <c r="A564" s="27" t="n"/>
      <c r="B564" s="506" t="n"/>
      <c r="C564" s="141" t="n"/>
      <c r="D564" s="141" t="n"/>
      <c r="E564" s="141" t="n"/>
      <c r="F564" s="141" t="n"/>
      <c r="G564" s="143" t="n"/>
      <c r="H564" s="27" t="n"/>
    </row>
    <row r="565" ht="17.25" customHeight="1" s="322">
      <c r="A565" s="27" t="n"/>
      <c r="B565" s="506" t="n"/>
      <c r="C565" s="141" t="n"/>
      <c r="D565" s="141" t="n"/>
      <c r="E565" s="141" t="n"/>
      <c r="F565" s="141" t="n"/>
      <c r="G565" s="143" t="n"/>
      <c r="H565" s="27" t="n"/>
    </row>
    <row r="566" ht="17.25" customHeight="1" s="322">
      <c r="A566" s="27" t="n"/>
      <c r="B566" s="506" t="n"/>
      <c r="C566" s="141" t="n"/>
      <c r="D566" s="141" t="n"/>
      <c r="E566" s="141" t="n"/>
      <c r="F566" s="141" t="n"/>
      <c r="G566" s="143" t="n"/>
      <c r="H566" s="27" t="n"/>
    </row>
    <row r="567" ht="17.25" customHeight="1" s="322">
      <c r="A567" s="27" t="n"/>
      <c r="B567" s="506" t="n"/>
      <c r="C567" s="141" t="n"/>
      <c r="D567" s="141" t="n"/>
      <c r="E567" s="141" t="n"/>
      <c r="F567" s="141" t="n"/>
      <c r="G567" s="143" t="n"/>
      <c r="H567" s="27" t="n"/>
    </row>
    <row r="568" ht="17.25" customHeight="1" s="322">
      <c r="A568" s="27" t="n"/>
      <c r="B568" s="506" t="n"/>
      <c r="C568" s="141" t="n"/>
      <c r="D568" s="141" t="n"/>
      <c r="E568" s="141" t="n"/>
      <c r="F568" s="141" t="n"/>
      <c r="G568" s="143" t="n"/>
      <c r="H568" s="27" t="n"/>
    </row>
    <row r="569" ht="17.25" customHeight="1" s="322">
      <c r="A569" s="27" t="n"/>
      <c r="B569" s="506" t="n"/>
      <c r="C569" s="141" t="n"/>
      <c r="D569" s="141" t="n"/>
      <c r="E569" s="141" t="n"/>
      <c r="F569" s="141" t="n"/>
      <c r="G569" s="143" t="n"/>
      <c r="H569" s="27" t="n"/>
    </row>
    <row r="570" ht="17.25" customHeight="1" s="322">
      <c r="A570" s="27" t="n"/>
      <c r="B570" s="506" t="n"/>
      <c r="C570" s="141" t="n"/>
      <c r="D570" s="141" t="n"/>
      <c r="E570" s="141" t="n"/>
      <c r="F570" s="141" t="n"/>
      <c r="G570" s="143" t="n"/>
      <c r="H570" s="27" t="n"/>
    </row>
    <row r="571" ht="17.25" customHeight="1" s="322">
      <c r="A571" s="27" t="n"/>
      <c r="B571" s="506" t="n"/>
      <c r="C571" s="141" t="n"/>
      <c r="D571" s="141" t="n"/>
      <c r="E571" s="141" t="n"/>
      <c r="F571" s="141" t="n"/>
      <c r="G571" s="143" t="n"/>
      <c r="H571" s="27" t="n"/>
    </row>
    <row r="572" ht="17.25" customHeight="1" s="322">
      <c r="A572" s="27" t="n"/>
      <c r="B572" s="506" t="n"/>
      <c r="C572" s="141" t="n"/>
      <c r="D572" s="141" t="n"/>
      <c r="E572" s="141" t="n"/>
      <c r="F572" s="141" t="n"/>
      <c r="G572" s="143" t="n"/>
      <c r="H572" s="27" t="n"/>
    </row>
    <row r="573" ht="17.25" customHeight="1" s="322">
      <c r="A573" s="27" t="n"/>
      <c r="B573" s="506" t="n"/>
      <c r="C573" s="141" t="n"/>
      <c r="D573" s="141" t="n"/>
      <c r="E573" s="141" t="n"/>
      <c r="F573" s="141" t="n"/>
      <c r="G573" s="143" t="n"/>
      <c r="H573" s="27" t="n"/>
    </row>
    <row r="574" ht="17.25" customHeight="1" s="322">
      <c r="A574" s="27" t="n"/>
      <c r="B574" s="506" t="n"/>
      <c r="C574" s="141" t="n"/>
      <c r="D574" s="141" t="n"/>
      <c r="E574" s="141" t="n"/>
      <c r="F574" s="141" t="n"/>
      <c r="G574" s="143" t="n"/>
      <c r="H574" s="27" t="n"/>
    </row>
    <row r="575" ht="17.25" customHeight="1" s="322">
      <c r="A575" s="27" t="n"/>
      <c r="B575" s="506" t="n"/>
      <c r="C575" s="141" t="n"/>
      <c r="D575" s="141" t="n"/>
      <c r="E575" s="141" t="n"/>
      <c r="F575" s="141" t="n"/>
      <c r="G575" s="143" t="n"/>
      <c r="H575" s="27" t="n"/>
    </row>
    <row r="576" ht="17.25" customHeight="1" s="322">
      <c r="A576" s="27" t="n"/>
      <c r="B576" s="506" t="n"/>
      <c r="C576" s="141" t="n"/>
      <c r="D576" s="141" t="n"/>
      <c r="E576" s="141" t="n"/>
      <c r="F576" s="141" t="n"/>
      <c r="G576" s="143" t="n"/>
      <c r="H576" s="27" t="n"/>
    </row>
    <row r="577" ht="17.25" customHeight="1" s="322">
      <c r="A577" s="27" t="n"/>
      <c r="B577" s="506" t="n"/>
      <c r="C577" s="141" t="n"/>
      <c r="D577" s="141" t="n"/>
      <c r="E577" s="141" t="n"/>
      <c r="F577" s="141" t="n"/>
      <c r="G577" s="143" t="n"/>
      <c r="H577" s="27" t="n"/>
    </row>
    <row r="578" ht="17.25" customHeight="1" s="322">
      <c r="A578" s="27" t="n"/>
      <c r="B578" s="506" t="n"/>
      <c r="C578" s="141" t="n"/>
      <c r="D578" s="141" t="n"/>
      <c r="E578" s="141" t="n"/>
      <c r="F578" s="141" t="n"/>
      <c r="G578" s="143" t="n"/>
      <c r="H578" s="27" t="n"/>
    </row>
    <row r="579" ht="17.25" customHeight="1" s="322">
      <c r="A579" s="27" t="n"/>
      <c r="B579" s="506" t="n"/>
      <c r="C579" s="141" t="n"/>
      <c r="D579" s="141" t="n"/>
      <c r="E579" s="141" t="n"/>
      <c r="F579" s="141" t="n"/>
      <c r="G579" s="143" t="n"/>
      <c r="H579" s="27" t="n"/>
    </row>
    <row r="580" ht="17.25" customHeight="1" s="322">
      <c r="A580" s="27" t="n"/>
      <c r="B580" s="506" t="n"/>
      <c r="C580" s="141" t="n"/>
      <c r="D580" s="141" t="n"/>
      <c r="E580" s="141" t="n"/>
      <c r="F580" s="141" t="n"/>
      <c r="G580" s="143" t="n"/>
      <c r="H580" s="27" t="n"/>
    </row>
    <row r="581" ht="17.25" customHeight="1" s="322">
      <c r="A581" s="27" t="n"/>
      <c r="B581" s="506" t="n"/>
      <c r="C581" s="141" t="n"/>
      <c r="D581" s="141" t="n"/>
      <c r="E581" s="141" t="n"/>
      <c r="F581" s="141" t="n"/>
      <c r="G581" s="143" t="n"/>
      <c r="H581" s="27" t="n"/>
    </row>
    <row r="582" ht="17.25" customHeight="1" s="322">
      <c r="A582" s="27" t="n"/>
      <c r="B582" s="506" t="n"/>
      <c r="C582" s="141" t="n"/>
      <c r="D582" s="141" t="n"/>
      <c r="E582" s="141" t="n"/>
      <c r="F582" s="141" t="n"/>
      <c r="G582" s="143" t="n"/>
      <c r="H582" s="27" t="n"/>
    </row>
    <row r="583" ht="17.25" customHeight="1" s="322">
      <c r="A583" s="27" t="n"/>
      <c r="B583" s="506" t="n"/>
      <c r="C583" s="141" t="n"/>
      <c r="D583" s="141" t="n"/>
      <c r="E583" s="141" t="n"/>
      <c r="F583" s="141" t="n"/>
      <c r="G583" s="143" t="n"/>
      <c r="H583" s="27" t="n"/>
    </row>
    <row r="584" ht="17.25" customHeight="1" s="322">
      <c r="A584" s="27" t="n"/>
      <c r="B584" s="506" t="n"/>
      <c r="C584" s="141" t="n"/>
      <c r="D584" s="141" t="n"/>
      <c r="E584" s="141" t="n"/>
      <c r="F584" s="141" t="n"/>
      <c r="G584" s="143" t="n"/>
      <c r="H584" s="27" t="n"/>
    </row>
    <row r="585" ht="17.25" customHeight="1" s="322">
      <c r="A585" s="27" t="n"/>
      <c r="B585" s="506" t="n"/>
      <c r="C585" s="141" t="n"/>
      <c r="D585" s="141" t="n"/>
      <c r="E585" s="141" t="n"/>
      <c r="F585" s="141" t="n"/>
      <c r="G585" s="143" t="n"/>
      <c r="H585" s="27" t="n"/>
    </row>
    <row r="586" ht="17.25" customHeight="1" s="322">
      <c r="A586" s="27" t="n"/>
      <c r="B586" s="506" t="n"/>
      <c r="C586" s="141" t="n"/>
      <c r="D586" s="141" t="n"/>
      <c r="E586" s="141" t="n"/>
      <c r="F586" s="141" t="n"/>
      <c r="G586" s="143" t="n"/>
      <c r="H586" s="27" t="n"/>
    </row>
    <row r="587" ht="17.25" customHeight="1" s="322">
      <c r="A587" s="27" t="n"/>
      <c r="B587" s="506" t="n"/>
      <c r="C587" s="141" t="n"/>
      <c r="D587" s="141" t="n"/>
      <c r="E587" s="141" t="n"/>
      <c r="F587" s="141" t="n"/>
      <c r="G587" s="143" t="n"/>
      <c r="H587" s="27" t="n"/>
    </row>
    <row r="588" ht="17.25" customHeight="1" s="322">
      <c r="A588" s="27" t="n"/>
      <c r="B588" s="506" t="n"/>
      <c r="C588" s="141" t="n"/>
      <c r="D588" s="141" t="n"/>
      <c r="E588" s="141" t="n"/>
      <c r="F588" s="141" t="n"/>
      <c r="G588" s="143" t="n"/>
      <c r="H588" s="27" t="n"/>
    </row>
    <row r="589" ht="17.25" customHeight="1" s="322">
      <c r="A589" s="27" t="n"/>
      <c r="B589" s="506" t="n"/>
      <c r="C589" s="141" t="n"/>
      <c r="D589" s="141" t="n"/>
      <c r="E589" s="141" t="n"/>
      <c r="F589" s="141" t="n"/>
      <c r="G589" s="143" t="n"/>
      <c r="H589" s="27" t="n"/>
    </row>
    <row r="590" ht="17.25" customHeight="1" s="322">
      <c r="A590" s="27" t="n"/>
      <c r="B590" s="506" t="n"/>
      <c r="C590" s="141" t="n"/>
      <c r="D590" s="141" t="n"/>
      <c r="E590" s="141" t="n"/>
      <c r="F590" s="141" t="n"/>
      <c r="G590" s="143" t="n"/>
      <c r="H590" s="27" t="n"/>
    </row>
    <row r="591" ht="17.25" customHeight="1" s="322">
      <c r="A591" s="27" t="n"/>
      <c r="B591" s="506" t="n"/>
      <c r="C591" s="141" t="n"/>
      <c r="D591" s="141" t="n"/>
      <c r="E591" s="141" t="n"/>
      <c r="F591" s="141" t="n"/>
      <c r="G591" s="143" t="n"/>
      <c r="H591" s="27" t="n"/>
    </row>
    <row r="592" ht="17.25" customHeight="1" s="322">
      <c r="A592" s="27" t="n"/>
      <c r="B592" s="506" t="n"/>
      <c r="C592" s="141" t="n"/>
      <c r="D592" s="141" t="n"/>
      <c r="E592" s="141" t="n"/>
      <c r="F592" s="141" t="n"/>
      <c r="G592" s="143" t="n"/>
      <c r="H592" s="27" t="n"/>
    </row>
    <row r="593" ht="17.25" customHeight="1" s="322">
      <c r="A593" s="27" t="n"/>
      <c r="B593" s="506" t="n"/>
      <c r="C593" s="141" t="n"/>
      <c r="D593" s="141" t="n"/>
      <c r="E593" s="141" t="n"/>
      <c r="F593" s="141" t="n"/>
      <c r="G593" s="143" t="n"/>
      <c r="H593" s="27" t="n"/>
    </row>
    <row r="594" ht="17.25" customHeight="1" s="322">
      <c r="A594" s="27" t="n"/>
      <c r="B594" s="506" t="n"/>
      <c r="C594" s="141" t="n"/>
      <c r="D594" s="141" t="n"/>
      <c r="E594" s="141" t="n"/>
      <c r="F594" s="141" t="n"/>
      <c r="G594" s="143" t="n"/>
      <c r="H594" s="27" t="n"/>
    </row>
    <row r="595" ht="17.25" customHeight="1" s="322">
      <c r="A595" s="27" t="n"/>
      <c r="B595" s="506" t="n"/>
      <c r="C595" s="141" t="n"/>
      <c r="D595" s="141" t="n"/>
      <c r="E595" s="141" t="n"/>
      <c r="F595" s="141" t="n"/>
      <c r="G595" s="143" t="n"/>
      <c r="H595" s="27" t="n"/>
    </row>
    <row r="596" ht="17.25" customHeight="1" s="322">
      <c r="A596" s="27" t="n"/>
      <c r="B596" s="506" t="n"/>
      <c r="C596" s="141" t="n"/>
      <c r="D596" s="141" t="n"/>
      <c r="E596" s="141" t="n"/>
      <c r="F596" s="141" t="n"/>
      <c r="G596" s="143" t="n"/>
      <c r="H596" s="27" t="n"/>
    </row>
    <row r="597" ht="17.25" customHeight="1" s="322">
      <c r="A597" s="27" t="n"/>
      <c r="B597" s="506" t="n"/>
      <c r="C597" s="141" t="n"/>
      <c r="D597" s="141" t="n"/>
      <c r="E597" s="141" t="n"/>
      <c r="F597" s="141" t="n"/>
      <c r="G597" s="143" t="n"/>
      <c r="H597" s="27" t="n"/>
    </row>
    <row r="598" ht="17.25" customHeight="1" s="322">
      <c r="A598" s="27" t="n"/>
      <c r="B598" s="506" t="n"/>
      <c r="C598" s="141" t="n"/>
      <c r="D598" s="141" t="n"/>
      <c r="E598" s="141" t="n"/>
      <c r="F598" s="141" t="n"/>
      <c r="G598" s="143" t="n"/>
      <c r="H598" s="27" t="n"/>
    </row>
    <row r="599" ht="17.25" customHeight="1" s="322">
      <c r="A599" s="27" t="n"/>
      <c r="B599" s="506" t="n"/>
      <c r="C599" s="141" t="n"/>
      <c r="D599" s="141" t="n"/>
      <c r="E599" s="141" t="n"/>
      <c r="F599" s="141" t="n"/>
      <c r="G599" s="143" t="n"/>
      <c r="H599" s="27" t="n"/>
    </row>
    <row r="600" ht="17.25" customHeight="1" s="322">
      <c r="A600" s="27" t="n"/>
      <c r="B600" s="506" t="n"/>
      <c r="C600" s="141" t="n"/>
      <c r="D600" s="141" t="n"/>
      <c r="E600" s="141" t="n"/>
      <c r="F600" s="141" t="n"/>
      <c r="G600" s="143" t="n"/>
      <c r="H600" s="27" t="n"/>
    </row>
    <row r="601" ht="17.25" customHeight="1" s="322">
      <c r="A601" s="27" t="n"/>
      <c r="B601" s="506" t="n"/>
      <c r="C601" s="141" t="n"/>
      <c r="D601" s="141" t="n"/>
      <c r="E601" s="141" t="n"/>
      <c r="F601" s="141" t="n"/>
      <c r="G601" s="143" t="n"/>
      <c r="H601" s="27" t="n"/>
    </row>
    <row r="602" ht="17.25" customHeight="1" s="322">
      <c r="A602" s="27" t="n"/>
      <c r="B602" s="506" t="n"/>
      <c r="C602" s="141" t="n"/>
      <c r="D602" s="141" t="n"/>
      <c r="E602" s="141" t="n"/>
      <c r="F602" s="141" t="n"/>
      <c r="G602" s="143" t="n"/>
      <c r="H602" s="27" t="n"/>
    </row>
    <row r="603" ht="17.25" customHeight="1" s="322">
      <c r="A603" s="27" t="n"/>
      <c r="B603" s="506" t="n"/>
      <c r="C603" s="141" t="n"/>
      <c r="D603" s="141" t="n"/>
      <c r="E603" s="141" t="n"/>
      <c r="F603" s="141" t="n"/>
      <c r="G603" s="143" t="n"/>
      <c r="H603" s="27" t="n"/>
    </row>
    <row r="604" ht="17.25" customHeight="1" s="322">
      <c r="A604" s="27" t="n"/>
      <c r="B604" s="506" t="n"/>
      <c r="C604" s="141" t="n"/>
      <c r="D604" s="141" t="n"/>
      <c r="E604" s="141" t="n"/>
      <c r="F604" s="141" t="n"/>
      <c r="G604" s="143" t="n"/>
      <c r="H604" s="27" t="n"/>
    </row>
    <row r="605" ht="17.25" customHeight="1" s="322">
      <c r="A605" s="27" t="n"/>
      <c r="B605" s="506" t="n"/>
      <c r="C605" s="141" t="n"/>
      <c r="D605" s="141" t="n"/>
      <c r="E605" s="141" t="n"/>
      <c r="F605" s="141" t="n"/>
      <c r="G605" s="143" t="n"/>
      <c r="H605" s="27" t="n"/>
    </row>
    <row r="606" ht="17.25" customHeight="1" s="322">
      <c r="A606" s="27" t="n"/>
      <c r="B606" s="506" t="n"/>
      <c r="C606" s="141" t="n"/>
      <c r="D606" s="141" t="n"/>
      <c r="E606" s="141" t="n"/>
      <c r="F606" s="141" t="n"/>
      <c r="G606" s="143" t="n"/>
      <c r="H606" s="27" t="n"/>
    </row>
    <row r="607" ht="17.25" customHeight="1" s="322">
      <c r="A607" s="27" t="n"/>
      <c r="B607" s="506" t="n"/>
      <c r="C607" s="141" t="n"/>
      <c r="D607" s="141" t="n"/>
      <c r="E607" s="141" t="n"/>
      <c r="F607" s="141" t="n"/>
      <c r="G607" s="143" t="n"/>
      <c r="H607" s="27" t="n"/>
    </row>
    <row r="608" ht="17.25" customHeight="1" s="322">
      <c r="A608" s="27" t="n"/>
      <c r="B608" s="506" t="n"/>
      <c r="C608" s="141" t="n"/>
      <c r="D608" s="141" t="n"/>
      <c r="E608" s="141" t="n"/>
      <c r="F608" s="141" t="n"/>
      <c r="G608" s="143" t="n"/>
      <c r="H608" s="27" t="n"/>
    </row>
    <row r="609" ht="17.25" customHeight="1" s="322">
      <c r="A609" s="27" t="n"/>
      <c r="B609" s="506" t="n"/>
      <c r="C609" s="141" t="n"/>
      <c r="D609" s="141" t="n"/>
      <c r="E609" s="141" t="n"/>
      <c r="F609" s="141" t="n"/>
      <c r="G609" s="143" t="n"/>
      <c r="H609" s="27" t="n"/>
    </row>
    <row r="610" ht="17.25" customHeight="1" s="322">
      <c r="A610" s="27" t="n"/>
      <c r="B610" s="506" t="n"/>
      <c r="C610" s="141" t="n"/>
      <c r="D610" s="141" t="n"/>
      <c r="E610" s="141" t="n"/>
      <c r="F610" s="141" t="n"/>
      <c r="G610" s="143" t="n"/>
      <c r="H610" s="27" t="n"/>
    </row>
    <row r="611" ht="17.25" customHeight="1" s="322">
      <c r="A611" s="27" t="n"/>
      <c r="B611" s="506" t="n"/>
      <c r="C611" s="141" t="n"/>
      <c r="D611" s="141" t="n"/>
      <c r="E611" s="141" t="n"/>
      <c r="F611" s="141" t="n"/>
      <c r="G611" s="143" t="n"/>
      <c r="H611" s="27" t="n"/>
    </row>
    <row r="612" ht="17.25" customHeight="1" s="322">
      <c r="A612" s="27" t="n"/>
      <c r="B612" s="506" t="n"/>
      <c r="C612" s="141" t="n"/>
      <c r="D612" s="141" t="n"/>
      <c r="E612" s="141" t="n"/>
      <c r="F612" s="141" t="n"/>
      <c r="G612" s="143" t="n"/>
      <c r="H612" s="27" t="n"/>
    </row>
    <row r="613" ht="17.25" customHeight="1" s="322">
      <c r="A613" s="27" t="n"/>
      <c r="B613" s="506" t="n"/>
      <c r="C613" s="141" t="n"/>
      <c r="D613" s="141" t="n"/>
      <c r="E613" s="141" t="n"/>
      <c r="F613" s="141" t="n"/>
      <c r="G613" s="143" t="n"/>
      <c r="H613" s="27" t="n"/>
    </row>
    <row r="614" ht="17.25" customHeight="1" s="322">
      <c r="A614" s="27" t="n"/>
      <c r="B614" s="506" t="n"/>
      <c r="C614" s="141" t="n"/>
      <c r="D614" s="141" t="n"/>
      <c r="E614" s="141" t="n"/>
      <c r="F614" s="141" t="n"/>
      <c r="G614" s="143" t="n"/>
      <c r="H614" s="27" t="n"/>
    </row>
    <row r="615" ht="17.25" customHeight="1" s="322">
      <c r="A615" s="27" t="n"/>
      <c r="B615" s="506" t="n"/>
      <c r="C615" s="141" t="n"/>
      <c r="D615" s="141" t="n"/>
      <c r="E615" s="141" t="n"/>
      <c r="F615" s="141" t="n"/>
      <c r="G615" s="143" t="n"/>
      <c r="H615" s="27" t="n"/>
    </row>
    <row r="616" ht="17.25" customHeight="1" s="322">
      <c r="A616" s="27" t="n"/>
      <c r="B616" s="506" t="n"/>
      <c r="C616" s="141" t="n"/>
      <c r="D616" s="141" t="n"/>
      <c r="E616" s="141" t="n"/>
      <c r="F616" s="141" t="n"/>
      <c r="G616" s="143" t="n"/>
      <c r="H616" s="27" t="n"/>
    </row>
    <row r="617" ht="17.25" customHeight="1" s="322">
      <c r="A617" s="27" t="n"/>
      <c r="B617" s="506" t="n"/>
      <c r="C617" s="141" t="n"/>
      <c r="D617" s="141" t="n"/>
      <c r="E617" s="141" t="n"/>
      <c r="F617" s="141" t="n"/>
      <c r="G617" s="143" t="n"/>
      <c r="H617" s="27" t="n"/>
    </row>
    <row r="618" ht="17.25" customHeight="1" s="322">
      <c r="A618" s="27" t="n"/>
      <c r="B618" s="506" t="n"/>
      <c r="C618" s="141" t="n"/>
      <c r="D618" s="141" t="n"/>
      <c r="E618" s="141" t="n"/>
      <c r="F618" s="141" t="n"/>
      <c r="G618" s="143" t="n"/>
      <c r="H618" s="27" t="n"/>
    </row>
    <row r="619" ht="17.25" customHeight="1" s="322">
      <c r="A619" s="27" t="n"/>
      <c r="B619" s="506" t="n"/>
      <c r="C619" s="141" t="n"/>
      <c r="D619" s="141" t="n"/>
      <c r="E619" s="141" t="n"/>
      <c r="F619" s="141" t="n"/>
      <c r="G619" s="143" t="n"/>
      <c r="H619" s="27" t="n"/>
    </row>
    <row r="620" ht="17.25" customHeight="1" s="322">
      <c r="A620" s="27" t="n"/>
      <c r="B620" s="506" t="n"/>
      <c r="C620" s="141" t="n"/>
      <c r="D620" s="141" t="n"/>
      <c r="E620" s="141" t="n"/>
      <c r="F620" s="141" t="n"/>
      <c r="G620" s="143" t="n"/>
      <c r="H620" s="27" t="n"/>
    </row>
    <row r="621" ht="17.25" customHeight="1" s="322">
      <c r="A621" s="27" t="n"/>
      <c r="B621" s="506" t="n"/>
      <c r="C621" s="141" t="n"/>
      <c r="D621" s="141" t="n"/>
      <c r="E621" s="141" t="n"/>
      <c r="F621" s="141" t="n"/>
      <c r="G621" s="143" t="n"/>
      <c r="H621" s="27" t="n"/>
    </row>
    <row r="622" ht="17.25" customHeight="1" s="322">
      <c r="A622" s="27" t="n"/>
      <c r="B622" s="506" t="n"/>
      <c r="C622" s="141" t="n"/>
      <c r="D622" s="141" t="n"/>
      <c r="E622" s="141" t="n"/>
      <c r="F622" s="141" t="n"/>
      <c r="G622" s="143" t="n"/>
      <c r="H622" s="27" t="n"/>
    </row>
    <row r="623" ht="17.25" customHeight="1" s="322">
      <c r="A623" s="27" t="n"/>
      <c r="B623" s="506" t="n"/>
      <c r="C623" s="141" t="n"/>
      <c r="D623" s="141" t="n"/>
      <c r="E623" s="141" t="n"/>
      <c r="F623" s="141" t="n"/>
      <c r="G623" s="143" t="n"/>
      <c r="H623" s="27" t="n"/>
    </row>
    <row r="624" ht="17.25" customHeight="1" s="322">
      <c r="A624" s="27" t="n"/>
      <c r="B624" s="506" t="n"/>
      <c r="C624" s="141" t="n"/>
      <c r="D624" s="141" t="n"/>
      <c r="E624" s="141" t="n"/>
      <c r="F624" s="141" t="n"/>
      <c r="G624" s="143" t="n"/>
      <c r="H624" s="27" t="n"/>
    </row>
    <row r="625" ht="17.25" customHeight="1" s="322">
      <c r="A625" s="27" t="n"/>
      <c r="B625" s="506" t="n"/>
      <c r="C625" s="141" t="n"/>
      <c r="D625" s="141" t="n"/>
      <c r="E625" s="141" t="n"/>
      <c r="F625" s="141" t="n"/>
      <c r="G625" s="143" t="n"/>
      <c r="H625" s="27" t="n"/>
    </row>
    <row r="626" ht="17.25" customHeight="1" s="322">
      <c r="A626" s="27" t="n"/>
      <c r="B626" s="506" t="n"/>
      <c r="C626" s="141" t="n"/>
      <c r="D626" s="141" t="n"/>
      <c r="E626" s="141" t="n"/>
      <c r="F626" s="141" t="n"/>
      <c r="G626" s="143" t="n"/>
      <c r="H626" s="27" t="n"/>
    </row>
    <row r="627" ht="17.25" customHeight="1" s="322">
      <c r="A627" s="27" t="n"/>
      <c r="B627" s="506" t="n"/>
      <c r="C627" s="141" t="n"/>
      <c r="D627" s="141" t="n"/>
      <c r="E627" s="141" t="n"/>
      <c r="F627" s="141" t="n"/>
      <c r="G627" s="143" t="n"/>
      <c r="H627" s="27" t="n"/>
    </row>
    <row r="628" ht="17.25" customHeight="1" s="322">
      <c r="A628" s="27" t="n"/>
      <c r="B628" s="506" t="n"/>
      <c r="C628" s="141" t="n"/>
      <c r="D628" s="141" t="n"/>
      <c r="E628" s="141" t="n"/>
      <c r="F628" s="141" t="n"/>
      <c r="G628" s="143" t="n"/>
      <c r="H628" s="27" t="n"/>
    </row>
    <row r="629" ht="17.25" customHeight="1" s="322">
      <c r="A629" s="27" t="n"/>
      <c r="B629" s="506" t="n"/>
      <c r="C629" s="141" t="n"/>
      <c r="D629" s="141" t="n"/>
      <c r="E629" s="141" t="n"/>
      <c r="F629" s="141" t="n"/>
      <c r="G629" s="143" t="n"/>
      <c r="H629" s="27" t="n"/>
    </row>
    <row r="630" ht="17.25" customHeight="1" s="322">
      <c r="A630" s="27" t="n"/>
      <c r="B630" s="506" t="n"/>
      <c r="C630" s="141" t="n"/>
      <c r="D630" s="141" t="n"/>
      <c r="E630" s="141" t="n"/>
      <c r="F630" s="141" t="n"/>
      <c r="G630" s="143" t="n"/>
      <c r="H630" s="27" t="n"/>
    </row>
    <row r="631" ht="17.25" customHeight="1" s="322">
      <c r="A631" s="27" t="n"/>
      <c r="B631" s="506" t="n"/>
      <c r="C631" s="141" t="n"/>
      <c r="D631" s="141" t="n"/>
      <c r="E631" s="141" t="n"/>
      <c r="F631" s="141" t="n"/>
      <c r="G631" s="143" t="n"/>
      <c r="H631" s="27" t="n"/>
    </row>
    <row r="632" ht="17.25" customHeight="1" s="322">
      <c r="A632" s="27" t="n"/>
      <c r="B632" s="506" t="n"/>
      <c r="C632" s="141" t="n"/>
      <c r="D632" s="141" t="n"/>
      <c r="E632" s="141" t="n"/>
      <c r="F632" s="141" t="n"/>
      <c r="G632" s="143" t="n"/>
      <c r="H632" s="27" t="n"/>
    </row>
    <row r="633" ht="17.25" customHeight="1" s="322">
      <c r="A633" s="27" t="n"/>
      <c r="B633" s="506" t="n"/>
      <c r="C633" s="141" t="n"/>
      <c r="D633" s="141" t="n"/>
      <c r="E633" s="141" t="n"/>
      <c r="F633" s="141" t="n"/>
      <c r="G633" s="143" t="n"/>
      <c r="H633" s="27" t="n"/>
    </row>
    <row r="634" ht="17.25" customHeight="1" s="322">
      <c r="A634" s="27" t="n"/>
      <c r="B634" s="506" t="n"/>
      <c r="C634" s="141" t="n"/>
      <c r="D634" s="141" t="n"/>
      <c r="E634" s="141" t="n"/>
      <c r="F634" s="141" t="n"/>
      <c r="G634" s="143" t="n"/>
      <c r="H634" s="27" t="n"/>
    </row>
    <row r="635" ht="17.25" customHeight="1" s="322">
      <c r="A635" s="27" t="n"/>
      <c r="B635" s="506" t="n"/>
      <c r="C635" s="141" t="n"/>
      <c r="D635" s="141" t="n"/>
      <c r="E635" s="141" t="n"/>
      <c r="F635" s="141" t="n"/>
      <c r="G635" s="143" t="n"/>
      <c r="H635" s="27" t="n"/>
    </row>
    <row r="636" ht="17.25" customHeight="1" s="322">
      <c r="A636" s="27" t="n"/>
      <c r="B636" s="506" t="n"/>
      <c r="C636" s="141" t="n"/>
      <c r="D636" s="141" t="n"/>
      <c r="E636" s="141" t="n"/>
      <c r="F636" s="141" t="n"/>
      <c r="G636" s="143" t="n"/>
      <c r="H636" s="27" t="n"/>
    </row>
    <row r="637" ht="17.25" customHeight="1" s="322">
      <c r="A637" s="27" t="n"/>
      <c r="B637" s="506" t="n"/>
      <c r="C637" s="141" t="n"/>
      <c r="D637" s="141" t="n"/>
      <c r="E637" s="141" t="n"/>
      <c r="F637" s="141" t="n"/>
      <c r="G637" s="143" t="n"/>
      <c r="H637" s="27" t="n"/>
    </row>
    <row r="638" ht="17.25" customHeight="1" s="322">
      <c r="A638" s="27" t="n"/>
      <c r="B638" s="506" t="n"/>
      <c r="C638" s="141" t="n"/>
      <c r="D638" s="141" t="n"/>
      <c r="E638" s="141" t="n"/>
      <c r="F638" s="141" t="n"/>
      <c r="G638" s="143" t="n"/>
      <c r="H638" s="27" t="n"/>
    </row>
    <row r="639" ht="17.25" customHeight="1" s="322">
      <c r="A639" s="27" t="n"/>
      <c r="B639" s="506" t="n"/>
      <c r="C639" s="141" t="n"/>
      <c r="D639" s="141" t="n"/>
      <c r="E639" s="141" t="n"/>
      <c r="F639" s="141" t="n"/>
      <c r="G639" s="143" t="n"/>
      <c r="H639" s="27" t="n"/>
    </row>
    <row r="640" ht="17.25" customHeight="1" s="322">
      <c r="A640" s="27" t="n"/>
      <c r="B640" s="506" t="n"/>
      <c r="C640" s="141" t="n"/>
      <c r="D640" s="141" t="n"/>
      <c r="E640" s="141" t="n"/>
      <c r="F640" s="141" t="n"/>
      <c r="G640" s="143" t="n"/>
      <c r="H640" s="27" t="n"/>
    </row>
    <row r="641" ht="17.25" customHeight="1" s="322">
      <c r="A641" s="27" t="n"/>
      <c r="B641" s="506" t="n"/>
      <c r="C641" s="141" t="n"/>
      <c r="D641" s="141" t="n"/>
      <c r="E641" s="141" t="n"/>
      <c r="F641" s="141" t="n"/>
      <c r="G641" s="143" t="n"/>
      <c r="H641" s="27" t="n"/>
    </row>
    <row r="642" ht="17.25" customHeight="1" s="322">
      <c r="A642" s="27" t="n"/>
      <c r="B642" s="506" t="n"/>
      <c r="C642" s="141" t="n"/>
      <c r="D642" s="141" t="n"/>
      <c r="E642" s="141" t="n"/>
      <c r="F642" s="141" t="n"/>
      <c r="G642" s="143" t="n"/>
      <c r="H642" s="27" t="n"/>
    </row>
    <row r="643" ht="17.25" customHeight="1" s="322">
      <c r="A643" s="27" t="n"/>
      <c r="B643" s="506" t="n"/>
      <c r="C643" s="141" t="n"/>
      <c r="D643" s="141" t="n"/>
      <c r="E643" s="141" t="n"/>
      <c r="F643" s="141" t="n"/>
      <c r="G643" s="143" t="n"/>
      <c r="H643" s="27" t="n"/>
    </row>
    <row r="644" ht="17.25" customHeight="1" s="322">
      <c r="A644" s="27" t="n"/>
      <c r="B644" s="506" t="n"/>
      <c r="C644" s="141" t="n"/>
      <c r="D644" s="141" t="n"/>
      <c r="E644" s="141" t="n"/>
      <c r="F644" s="141" t="n"/>
      <c r="G644" s="143" t="n"/>
      <c r="H644" s="27" t="n"/>
    </row>
    <row r="645" ht="17.25" customHeight="1" s="322">
      <c r="A645" s="27" t="n"/>
      <c r="B645" s="506" t="n"/>
      <c r="C645" s="141" t="n"/>
      <c r="D645" s="141" t="n"/>
      <c r="E645" s="141" t="n"/>
      <c r="F645" s="141" t="n"/>
      <c r="G645" s="143" t="n"/>
      <c r="H645" s="27" t="n"/>
    </row>
    <row r="646" ht="17.25" customHeight="1" s="322">
      <c r="A646" s="27" t="n"/>
      <c r="B646" s="506" t="n"/>
      <c r="C646" s="141" t="n"/>
      <c r="D646" s="141" t="n"/>
      <c r="E646" s="141" t="n"/>
      <c r="F646" s="141" t="n"/>
      <c r="G646" s="143" t="n"/>
      <c r="H646" s="27" t="n"/>
    </row>
    <row r="647" ht="17.25" customHeight="1" s="322">
      <c r="A647" s="27" t="n"/>
      <c r="B647" s="506" t="n"/>
      <c r="C647" s="141" t="n"/>
      <c r="D647" s="141" t="n"/>
      <c r="E647" s="141" t="n"/>
      <c r="F647" s="141" t="n"/>
      <c r="G647" s="143" t="n"/>
      <c r="H647" s="27" t="n"/>
    </row>
    <row r="648" ht="17.25" customHeight="1" s="322">
      <c r="A648" s="27" t="n"/>
      <c r="B648" s="506" t="n"/>
      <c r="C648" s="141" t="n"/>
      <c r="D648" s="141" t="n"/>
      <c r="E648" s="141" t="n"/>
      <c r="F648" s="141" t="n"/>
      <c r="G648" s="143" t="n"/>
      <c r="H648" s="27" t="n"/>
    </row>
    <row r="649" ht="17.25" customHeight="1" s="322">
      <c r="A649" s="27" t="n"/>
      <c r="B649" s="506" t="n"/>
      <c r="C649" s="141" t="n"/>
      <c r="D649" s="141" t="n"/>
      <c r="E649" s="141" t="n"/>
      <c r="F649" s="141" t="n"/>
      <c r="G649" s="143" t="n"/>
      <c r="H649" s="27" t="n"/>
    </row>
    <row r="650" ht="17.25" customHeight="1" s="322">
      <c r="A650" s="27" t="n"/>
      <c r="B650" s="506" t="n"/>
      <c r="C650" s="141" t="n"/>
      <c r="D650" s="141" t="n"/>
      <c r="E650" s="141" t="n"/>
      <c r="F650" s="141" t="n"/>
      <c r="G650" s="143" t="n"/>
      <c r="H650" s="27" t="n"/>
    </row>
    <row r="651" ht="17.25" customHeight="1" s="322">
      <c r="A651" s="27" t="n"/>
      <c r="B651" s="506" t="n"/>
      <c r="C651" s="141" t="n"/>
      <c r="D651" s="141" t="n"/>
      <c r="E651" s="141" t="n"/>
      <c r="F651" s="141" t="n"/>
      <c r="G651" s="143" t="n"/>
      <c r="H651" s="27" t="n"/>
    </row>
    <row r="652" ht="17.25" customHeight="1" s="322">
      <c r="A652" s="27" t="n"/>
      <c r="B652" s="506" t="n"/>
      <c r="C652" s="141" t="n"/>
      <c r="D652" s="141" t="n"/>
      <c r="E652" s="141" t="n"/>
      <c r="F652" s="141" t="n"/>
      <c r="G652" s="143" t="n"/>
      <c r="H652" s="27" t="n"/>
    </row>
    <row r="653" ht="17.25" customHeight="1" s="322">
      <c r="A653" s="27" t="n"/>
      <c r="B653" s="506" t="n"/>
      <c r="C653" s="141" t="n"/>
      <c r="D653" s="141" t="n"/>
      <c r="E653" s="141" t="n"/>
      <c r="F653" s="141" t="n"/>
      <c r="G653" s="143" t="n"/>
      <c r="H653" s="27" t="n"/>
    </row>
    <row r="654" ht="17.25" customHeight="1" s="322">
      <c r="A654" s="27" t="n"/>
      <c r="B654" s="506" t="n"/>
      <c r="C654" s="141" t="n"/>
      <c r="D654" s="141" t="n"/>
      <c r="E654" s="141" t="n"/>
      <c r="F654" s="141" t="n"/>
      <c r="G654" s="143" t="n"/>
      <c r="H654" s="27" t="n"/>
    </row>
    <row r="655" ht="17.25" customHeight="1" s="322">
      <c r="A655" s="27" t="n"/>
      <c r="B655" s="506" t="n"/>
      <c r="C655" s="141" t="n"/>
      <c r="D655" s="141" t="n"/>
      <c r="E655" s="141" t="n"/>
      <c r="F655" s="141" t="n"/>
      <c r="G655" s="143" t="n"/>
      <c r="H655" s="27" t="n"/>
    </row>
    <row r="656" ht="17.25" customHeight="1" s="322">
      <c r="A656" s="27" t="n"/>
      <c r="B656" s="506" t="n"/>
      <c r="C656" s="141" t="n"/>
      <c r="D656" s="141" t="n"/>
      <c r="E656" s="141" t="n"/>
      <c r="F656" s="141" t="n"/>
      <c r="G656" s="143" t="n"/>
      <c r="H656" s="27" t="n"/>
    </row>
    <row r="657" ht="17.25" customHeight="1" s="322">
      <c r="A657" s="27" t="n"/>
      <c r="B657" s="506" t="n"/>
      <c r="C657" s="141" t="n"/>
      <c r="D657" s="141" t="n"/>
      <c r="E657" s="141" t="n"/>
      <c r="F657" s="141" t="n"/>
      <c r="G657" s="143" t="n"/>
      <c r="H657" s="27" t="n"/>
    </row>
    <row r="658" ht="17.25" customHeight="1" s="322">
      <c r="A658" s="27" t="n"/>
      <c r="B658" s="506" t="n"/>
      <c r="C658" s="141" t="n"/>
      <c r="D658" s="141" t="n"/>
      <c r="E658" s="141" t="n"/>
      <c r="F658" s="141" t="n"/>
      <c r="G658" s="143" t="n"/>
      <c r="H658" s="27" t="n"/>
    </row>
    <row r="659" ht="17.25" customHeight="1" s="322">
      <c r="A659" s="27" t="n"/>
      <c r="B659" s="506" t="n"/>
      <c r="C659" s="141" t="n"/>
      <c r="D659" s="141" t="n"/>
      <c r="E659" s="141" t="n"/>
      <c r="F659" s="141" t="n"/>
      <c r="G659" s="143" t="n"/>
      <c r="H659" s="27" t="n"/>
    </row>
    <row r="660" ht="17.25" customHeight="1" s="322">
      <c r="A660" s="27" t="n"/>
      <c r="B660" s="506" t="n"/>
      <c r="C660" s="141" t="n"/>
      <c r="D660" s="141" t="n"/>
      <c r="E660" s="141" t="n"/>
      <c r="F660" s="141" t="n"/>
      <c r="G660" s="143" t="n"/>
      <c r="H660" s="27" t="n"/>
    </row>
    <row r="661" ht="17.25" customHeight="1" s="322">
      <c r="A661" s="27" t="n"/>
      <c r="B661" s="506" t="n"/>
      <c r="C661" s="141" t="n"/>
      <c r="D661" s="141" t="n"/>
      <c r="E661" s="141" t="n"/>
      <c r="F661" s="141" t="n"/>
      <c r="G661" s="143" t="n"/>
      <c r="H661" s="27" t="n"/>
    </row>
    <row r="662" ht="17.25" customHeight="1" s="322">
      <c r="A662" s="27" t="n"/>
      <c r="B662" s="506" t="n"/>
      <c r="C662" s="141" t="n"/>
      <c r="D662" s="141" t="n"/>
      <c r="E662" s="141" t="n"/>
      <c r="F662" s="141" t="n"/>
      <c r="G662" s="143" t="n"/>
      <c r="H662" s="27" t="n"/>
    </row>
    <row r="663" ht="17.25" customHeight="1" s="322">
      <c r="A663" s="27" t="n"/>
      <c r="B663" s="506" t="n"/>
      <c r="C663" s="141" t="n"/>
      <c r="D663" s="141" t="n"/>
      <c r="E663" s="141" t="n"/>
      <c r="F663" s="141" t="n"/>
      <c r="G663" s="143" t="n"/>
      <c r="H663" s="27" t="n"/>
    </row>
    <row r="664" ht="17.25" customHeight="1" s="322">
      <c r="A664" s="27" t="n"/>
      <c r="B664" s="506" t="n"/>
      <c r="C664" s="141" t="n"/>
      <c r="D664" s="141" t="n"/>
      <c r="E664" s="141" t="n"/>
      <c r="F664" s="141" t="n"/>
      <c r="G664" s="143" t="n"/>
      <c r="H664" s="27" t="n"/>
    </row>
    <row r="665" ht="17.25" customHeight="1" s="322">
      <c r="A665" s="27" t="n"/>
      <c r="B665" s="506" t="n"/>
      <c r="C665" s="141" t="n"/>
      <c r="D665" s="141" t="n"/>
      <c r="E665" s="141" t="n"/>
      <c r="F665" s="141" t="n"/>
      <c r="G665" s="143" t="n"/>
      <c r="H665" s="27" t="n"/>
    </row>
    <row r="666" ht="17.25" customHeight="1" s="322">
      <c r="A666" s="27" t="n"/>
      <c r="B666" s="506" t="n"/>
      <c r="C666" s="141" t="n"/>
      <c r="D666" s="141" t="n"/>
      <c r="E666" s="141" t="n"/>
      <c r="F666" s="141" t="n"/>
      <c r="G666" s="143" t="n"/>
      <c r="H666" s="27" t="n"/>
    </row>
    <row r="667" ht="17.25" customHeight="1" s="322">
      <c r="A667" s="27" t="n"/>
      <c r="B667" s="506" t="n"/>
      <c r="C667" s="141" t="n"/>
      <c r="D667" s="141" t="n"/>
      <c r="E667" s="141" t="n"/>
      <c r="F667" s="141" t="n"/>
      <c r="G667" s="143" t="n"/>
      <c r="H667" s="27" t="n"/>
    </row>
    <row r="668" ht="17.25" customHeight="1" s="322">
      <c r="A668" s="27" t="n"/>
      <c r="B668" s="506" t="n"/>
      <c r="C668" s="141" t="n"/>
      <c r="D668" s="141" t="n"/>
      <c r="E668" s="141" t="n"/>
      <c r="F668" s="141" t="n"/>
      <c r="G668" s="143" t="n"/>
      <c r="H668" s="27" t="n"/>
    </row>
    <row r="669" ht="17.25" customHeight="1" s="322">
      <c r="A669" s="27" t="n"/>
      <c r="B669" s="506" t="n"/>
      <c r="C669" s="141" t="n"/>
      <c r="D669" s="141" t="n"/>
      <c r="E669" s="141" t="n"/>
      <c r="F669" s="141" t="n"/>
      <c r="G669" s="143" t="n"/>
      <c r="H669" s="27" t="n"/>
    </row>
    <row r="670" ht="17.25" customHeight="1" s="322">
      <c r="A670" s="27" t="n"/>
      <c r="B670" s="506" t="n"/>
      <c r="C670" s="141" t="n"/>
      <c r="D670" s="141" t="n"/>
      <c r="E670" s="141" t="n"/>
      <c r="F670" s="141" t="n"/>
      <c r="G670" s="143" t="n"/>
      <c r="H670" s="27" t="n"/>
    </row>
    <row r="671" ht="17.25" customHeight="1" s="322">
      <c r="A671" s="27" t="n"/>
      <c r="B671" s="506" t="n"/>
      <c r="C671" s="141" t="n"/>
      <c r="D671" s="141" t="n"/>
      <c r="E671" s="141" t="n"/>
      <c r="F671" s="141" t="n"/>
      <c r="G671" s="143" t="n"/>
      <c r="H671" s="27" t="n"/>
    </row>
    <row r="672" ht="17.25" customHeight="1" s="322">
      <c r="A672" s="27" t="n"/>
      <c r="B672" s="506" t="n"/>
      <c r="C672" s="141" t="n"/>
      <c r="D672" s="141" t="n"/>
      <c r="E672" s="141" t="n"/>
      <c r="F672" s="141" t="n"/>
      <c r="G672" s="143" t="n"/>
      <c r="H672" s="27" t="n"/>
    </row>
    <row r="673" ht="17.25" customHeight="1" s="322">
      <c r="A673" s="27" t="n"/>
      <c r="B673" s="506" t="n"/>
      <c r="C673" s="141" t="n"/>
      <c r="D673" s="141" t="n"/>
      <c r="E673" s="141" t="n"/>
      <c r="F673" s="141" t="n"/>
      <c r="G673" s="143" t="n"/>
      <c r="H673" s="27" t="n"/>
    </row>
    <row r="674" ht="17.25" customHeight="1" s="322">
      <c r="A674" s="27" t="n"/>
      <c r="B674" s="506" t="n"/>
      <c r="C674" s="141" t="n"/>
      <c r="D674" s="141" t="n"/>
      <c r="E674" s="141" t="n"/>
      <c r="F674" s="141" t="n"/>
      <c r="G674" s="143" t="n"/>
      <c r="H674" s="27" t="n"/>
    </row>
    <row r="675" ht="17.25" customHeight="1" s="322">
      <c r="A675" s="27" t="n"/>
      <c r="B675" s="506" t="n"/>
      <c r="C675" s="141" t="n"/>
      <c r="D675" s="141" t="n"/>
      <c r="E675" s="141" t="n"/>
      <c r="F675" s="141" t="n"/>
      <c r="G675" s="143" t="n"/>
      <c r="H675" s="27" t="n"/>
    </row>
    <row r="676" ht="17.25" customHeight="1" s="322">
      <c r="A676" s="27" t="n"/>
      <c r="B676" s="506" t="n"/>
      <c r="C676" s="141" t="n"/>
      <c r="D676" s="141" t="n"/>
      <c r="E676" s="141" t="n"/>
      <c r="F676" s="141" t="n"/>
      <c r="G676" s="143" t="n"/>
      <c r="H676" s="27" t="n"/>
    </row>
    <row r="677" ht="17.25" customHeight="1" s="322">
      <c r="A677" s="27" t="n"/>
      <c r="B677" s="506" t="n"/>
      <c r="C677" s="141" t="n"/>
      <c r="D677" s="141" t="n"/>
      <c r="E677" s="141" t="n"/>
      <c r="F677" s="141" t="n"/>
      <c r="G677" s="143" t="n"/>
      <c r="H677" s="27" t="n"/>
    </row>
    <row r="678" ht="17.25" customHeight="1" s="322">
      <c r="A678" s="27" t="n"/>
      <c r="B678" s="506" t="n"/>
      <c r="C678" s="141" t="n"/>
      <c r="D678" s="141" t="n"/>
      <c r="E678" s="141" t="n"/>
      <c r="F678" s="141" t="n"/>
      <c r="G678" s="143" t="n"/>
      <c r="H678" s="27" t="n"/>
    </row>
    <row r="679" ht="17.25" customHeight="1" s="322">
      <c r="A679" s="27" t="n"/>
      <c r="B679" s="506" t="n"/>
      <c r="C679" s="141" t="n"/>
      <c r="D679" s="141" t="n"/>
      <c r="E679" s="141" t="n"/>
      <c r="F679" s="141" t="n"/>
      <c r="G679" s="143" t="n"/>
      <c r="H679" s="27" t="n"/>
    </row>
    <row r="680" ht="17.25" customHeight="1" s="322">
      <c r="A680" s="27" t="n"/>
      <c r="B680" s="506" t="n"/>
      <c r="C680" s="141" t="n"/>
      <c r="D680" s="141" t="n"/>
      <c r="E680" s="141" t="n"/>
      <c r="F680" s="141" t="n"/>
      <c r="G680" s="143" t="n"/>
      <c r="H680" s="27" t="n"/>
    </row>
    <row r="681" ht="17.25" customHeight="1" s="322">
      <c r="A681" s="27" t="n"/>
      <c r="B681" s="506" t="n"/>
      <c r="C681" s="141" t="n"/>
      <c r="D681" s="141" t="n"/>
      <c r="E681" s="141" t="n"/>
      <c r="F681" s="141" t="n"/>
      <c r="G681" s="143" t="n"/>
      <c r="H681" s="27" t="n"/>
    </row>
    <row r="682" ht="17.25" customHeight="1" s="322">
      <c r="A682" s="27" t="n"/>
      <c r="B682" s="506" t="n"/>
      <c r="C682" s="141" t="n"/>
      <c r="D682" s="141" t="n"/>
      <c r="E682" s="141" t="n"/>
      <c r="F682" s="141" t="n"/>
      <c r="G682" s="143" t="n"/>
      <c r="H682" s="27" t="n"/>
    </row>
    <row r="683" ht="17.25" customHeight="1" s="322">
      <c r="A683" s="27" t="n"/>
      <c r="B683" s="506" t="n"/>
      <c r="C683" s="141" t="n"/>
      <c r="D683" s="141" t="n"/>
      <c r="E683" s="141" t="n"/>
      <c r="F683" s="141" t="n"/>
      <c r="G683" s="143" t="n"/>
      <c r="H683" s="27" t="n"/>
    </row>
    <row r="684" ht="17.25" customHeight="1" s="322">
      <c r="A684" s="27" t="n"/>
      <c r="B684" s="506" t="n"/>
      <c r="C684" s="141" t="n"/>
      <c r="D684" s="141" t="n"/>
      <c r="E684" s="141" t="n"/>
      <c r="F684" s="141" t="n"/>
      <c r="G684" s="143" t="n"/>
      <c r="H684" s="27" t="n"/>
    </row>
    <row r="685" ht="17.25" customHeight="1" s="322">
      <c r="A685" s="27" t="n"/>
      <c r="B685" s="506" t="n"/>
      <c r="C685" s="141" t="n"/>
      <c r="D685" s="141" t="n"/>
      <c r="E685" s="141" t="n"/>
      <c r="F685" s="141" t="n"/>
      <c r="G685" s="143" t="n"/>
      <c r="H685" s="27" t="n"/>
    </row>
    <row r="686" ht="17.25" customHeight="1" s="322">
      <c r="A686" s="27" t="n"/>
      <c r="B686" s="506" t="n"/>
      <c r="C686" s="141" t="n"/>
      <c r="D686" s="141" t="n"/>
      <c r="E686" s="141" t="n"/>
      <c r="F686" s="141" t="n"/>
      <c r="G686" s="143" t="n"/>
      <c r="H686" s="27" t="n"/>
    </row>
    <row r="687" ht="17.25" customHeight="1" s="322">
      <c r="A687" s="27" t="n"/>
      <c r="B687" s="506" t="n"/>
      <c r="C687" s="141" t="n"/>
      <c r="D687" s="141" t="n"/>
      <c r="E687" s="141" t="n"/>
      <c r="F687" s="141" t="n"/>
      <c r="G687" s="143" t="n"/>
      <c r="H687" s="27" t="n"/>
    </row>
    <row r="688" ht="17.25" customHeight="1" s="322">
      <c r="A688" s="27" t="n"/>
      <c r="B688" s="506" t="n"/>
      <c r="C688" s="141" t="n"/>
      <c r="D688" s="141" t="n"/>
      <c r="E688" s="141" t="n"/>
      <c r="F688" s="141" t="n"/>
      <c r="G688" s="143" t="n"/>
      <c r="H688" s="27" t="n"/>
    </row>
    <row r="689" ht="17.25" customHeight="1" s="322">
      <c r="A689" s="27" t="n"/>
      <c r="B689" s="506" t="n"/>
      <c r="C689" s="141" t="n"/>
      <c r="D689" s="141" t="n"/>
      <c r="E689" s="141" t="n"/>
      <c r="F689" s="141" t="n"/>
      <c r="G689" s="143" t="n"/>
      <c r="H689" s="27" t="n"/>
    </row>
    <row r="690" ht="17.25" customHeight="1" s="322">
      <c r="A690" s="27" t="n"/>
      <c r="B690" s="506" t="n"/>
      <c r="C690" s="141" t="n"/>
      <c r="D690" s="141" t="n"/>
      <c r="E690" s="141" t="n"/>
      <c r="F690" s="141" t="n"/>
      <c r="G690" s="143" t="n"/>
      <c r="H690" s="27" t="n"/>
    </row>
    <row r="691" ht="17.25" customHeight="1" s="322">
      <c r="A691" s="27" t="n"/>
      <c r="B691" s="506" t="n"/>
      <c r="C691" s="141" t="n"/>
      <c r="D691" s="141" t="n"/>
      <c r="E691" s="141" t="n"/>
      <c r="F691" s="141" t="n"/>
      <c r="G691" s="143" t="n"/>
      <c r="H691" s="27" t="n"/>
    </row>
    <row r="692" ht="17.25" customHeight="1" s="322">
      <c r="A692" s="27" t="n"/>
      <c r="B692" s="506" t="n"/>
      <c r="C692" s="141" t="n"/>
      <c r="D692" s="141" t="n"/>
      <c r="E692" s="141" t="n"/>
      <c r="F692" s="141" t="n"/>
      <c r="G692" s="143" t="n"/>
      <c r="H692" s="27" t="n"/>
    </row>
    <row r="693" ht="17.25" customHeight="1" s="322">
      <c r="A693" s="27" t="n"/>
      <c r="B693" s="506" t="n"/>
      <c r="C693" s="141" t="n"/>
      <c r="D693" s="141" t="n"/>
      <c r="E693" s="141" t="n"/>
      <c r="F693" s="141" t="n"/>
      <c r="G693" s="143" t="n"/>
      <c r="H693" s="27" t="n"/>
    </row>
    <row r="694" ht="17.25" customHeight="1" s="322">
      <c r="A694" s="27" t="n"/>
      <c r="B694" s="506" t="n"/>
      <c r="C694" s="141" t="n"/>
      <c r="D694" s="141" t="n"/>
      <c r="E694" s="141" t="n"/>
      <c r="F694" s="141" t="n"/>
      <c r="G694" s="143" t="n"/>
      <c r="H694" s="27" t="n"/>
    </row>
    <row r="695" ht="17.25" customHeight="1" s="322">
      <c r="A695" s="27" t="n"/>
      <c r="B695" s="506" t="n"/>
      <c r="C695" s="141" t="n"/>
      <c r="D695" s="141" t="n"/>
      <c r="E695" s="141" t="n"/>
      <c r="F695" s="141" t="n"/>
      <c r="G695" s="143" t="n"/>
      <c r="H695" s="27" t="n"/>
    </row>
    <row r="696" ht="17.25" customHeight="1" s="322">
      <c r="A696" s="27" t="n"/>
      <c r="B696" s="506" t="n"/>
      <c r="C696" s="141" t="n"/>
      <c r="D696" s="141" t="n"/>
      <c r="E696" s="141" t="n"/>
      <c r="F696" s="141" t="n"/>
      <c r="G696" s="143" t="n"/>
      <c r="H696" s="27" t="n"/>
    </row>
    <row r="697" ht="17.25" customHeight="1" s="322">
      <c r="A697" s="27" t="n"/>
      <c r="B697" s="506" t="n"/>
      <c r="C697" s="141" t="n"/>
      <c r="D697" s="141" t="n"/>
      <c r="E697" s="141" t="n"/>
      <c r="F697" s="141" t="n"/>
      <c r="G697" s="143" t="n"/>
      <c r="H697" s="27" t="n"/>
    </row>
    <row r="698" ht="17.25" customHeight="1" s="322">
      <c r="A698" s="27" t="n"/>
      <c r="B698" s="506" t="n"/>
      <c r="C698" s="141" t="n"/>
      <c r="D698" s="141" t="n"/>
      <c r="E698" s="141" t="n"/>
      <c r="F698" s="141" t="n"/>
      <c r="G698" s="143" t="n"/>
      <c r="H698" s="27" t="n"/>
    </row>
    <row r="699" ht="17.25" customHeight="1" s="322">
      <c r="A699" s="27" t="n"/>
      <c r="B699" s="506" t="n"/>
      <c r="C699" s="141" t="n"/>
      <c r="D699" s="141" t="n"/>
      <c r="E699" s="141" t="n"/>
      <c r="F699" s="141" t="n"/>
      <c r="G699" s="143" t="n"/>
      <c r="H699" s="27" t="n"/>
    </row>
    <row r="700" ht="17.25" customHeight="1" s="322">
      <c r="A700" s="27" t="n"/>
      <c r="B700" s="506" t="n"/>
      <c r="C700" s="141" t="n"/>
      <c r="D700" s="141" t="n"/>
      <c r="E700" s="141" t="n"/>
      <c r="F700" s="141" t="n"/>
      <c r="G700" s="143" t="n"/>
      <c r="H700" s="27" t="n"/>
    </row>
    <row r="701" ht="17.25" customHeight="1" s="322">
      <c r="A701" s="27" t="n"/>
      <c r="B701" s="506" t="n"/>
      <c r="C701" s="141" t="n"/>
      <c r="D701" s="141" t="n"/>
      <c r="E701" s="141" t="n"/>
      <c r="F701" s="141" t="n"/>
      <c r="G701" s="143" t="n"/>
      <c r="H701" s="27" t="n"/>
    </row>
    <row r="702" ht="17.25" customHeight="1" s="322">
      <c r="A702" s="27" t="n"/>
      <c r="B702" s="506" t="n"/>
      <c r="C702" s="141" t="n"/>
      <c r="D702" s="141" t="n"/>
      <c r="E702" s="141" t="n"/>
      <c r="F702" s="141" t="n"/>
      <c r="G702" s="143" t="n"/>
      <c r="H702" s="27" t="n"/>
    </row>
    <row r="703" ht="17.25" customHeight="1" s="322">
      <c r="A703" s="27" t="n"/>
      <c r="B703" s="506" t="n"/>
      <c r="C703" s="141" t="n"/>
      <c r="D703" s="141" t="n"/>
      <c r="E703" s="141" t="n"/>
      <c r="F703" s="141" t="n"/>
      <c r="G703" s="143" t="n"/>
      <c r="H703" s="27" t="n"/>
    </row>
    <row r="704" ht="17.25" customHeight="1" s="322">
      <c r="A704" s="27" t="n"/>
      <c r="B704" s="506" t="n"/>
      <c r="C704" s="141" t="n"/>
      <c r="D704" s="141" t="n"/>
      <c r="E704" s="141" t="n"/>
      <c r="F704" s="141" t="n"/>
      <c r="G704" s="143" t="n"/>
      <c r="H704" s="27" t="n"/>
    </row>
    <row r="705" ht="17.25" customHeight="1" s="322">
      <c r="A705" s="27" t="n"/>
      <c r="B705" s="506" t="n"/>
      <c r="C705" s="141" t="n"/>
      <c r="D705" s="141" t="n"/>
      <c r="E705" s="141" t="n"/>
      <c r="F705" s="141" t="n"/>
      <c r="G705" s="143" t="n"/>
      <c r="H705" s="27" t="n"/>
    </row>
    <row r="706" ht="17.25" customHeight="1" s="322">
      <c r="A706" s="27" t="n"/>
      <c r="B706" s="506" t="n"/>
      <c r="C706" s="141" t="n"/>
      <c r="D706" s="141" t="n"/>
      <c r="E706" s="141" t="n"/>
      <c r="F706" s="141" t="n"/>
      <c r="G706" s="143" t="n"/>
      <c r="H706" s="27" t="n"/>
    </row>
    <row r="707" ht="17.25" customHeight="1" s="322">
      <c r="A707" s="27" t="n"/>
      <c r="B707" s="506" t="n"/>
      <c r="C707" s="141" t="n"/>
      <c r="D707" s="141" t="n"/>
      <c r="E707" s="141" t="n"/>
      <c r="F707" s="141" t="n"/>
      <c r="G707" s="143" t="n"/>
      <c r="H707" s="27" t="n"/>
    </row>
    <row r="708" ht="17.25" customHeight="1" s="322">
      <c r="A708" s="27" t="n"/>
      <c r="B708" s="506" t="n"/>
      <c r="C708" s="141" t="n"/>
      <c r="D708" s="141" t="n"/>
      <c r="E708" s="141" t="n"/>
      <c r="F708" s="141" t="n"/>
      <c r="G708" s="143" t="n"/>
      <c r="H708" s="27" t="n"/>
    </row>
    <row r="709" ht="17.25" customHeight="1" s="322">
      <c r="A709" s="27" t="n"/>
      <c r="B709" s="506" t="n"/>
      <c r="C709" s="141" t="n"/>
      <c r="D709" s="141" t="n"/>
      <c r="E709" s="141" t="n"/>
      <c r="F709" s="141" t="n"/>
      <c r="G709" s="143" t="n"/>
      <c r="H709" s="27" t="n"/>
    </row>
    <row r="710" ht="17.25" customHeight="1" s="322">
      <c r="A710" s="27" t="n"/>
      <c r="B710" s="506" t="n"/>
      <c r="C710" s="141" t="n"/>
      <c r="D710" s="141" t="n"/>
      <c r="E710" s="141" t="n"/>
      <c r="F710" s="141" t="n"/>
      <c r="G710" s="143" t="n"/>
      <c r="H710" s="27" t="n"/>
    </row>
    <row r="711" ht="17.25" customHeight="1" s="322">
      <c r="A711" s="27" t="n"/>
      <c r="B711" s="506" t="n"/>
      <c r="C711" s="141" t="n"/>
      <c r="D711" s="141" t="n"/>
      <c r="E711" s="141" t="n"/>
      <c r="F711" s="141" t="n"/>
      <c r="G711" s="143" t="n"/>
      <c r="H711" s="27" t="n"/>
    </row>
    <row r="712" ht="17.25" customHeight="1" s="322">
      <c r="A712" s="27" t="n"/>
      <c r="B712" s="506" t="n"/>
      <c r="C712" s="141" t="n"/>
      <c r="D712" s="141" t="n"/>
      <c r="E712" s="141" t="n"/>
      <c r="F712" s="141" t="n"/>
      <c r="G712" s="143" t="n"/>
      <c r="H712" s="27" t="n"/>
    </row>
    <row r="713" ht="17.25" customHeight="1" s="322">
      <c r="A713" s="27" t="n"/>
      <c r="B713" s="506" t="n"/>
      <c r="C713" s="141" t="n"/>
      <c r="D713" s="141" t="n"/>
      <c r="E713" s="141" t="n"/>
      <c r="F713" s="141" t="n"/>
      <c r="G713" s="143" t="n"/>
      <c r="H713" s="27" t="n"/>
    </row>
    <row r="714" ht="17.25" customHeight="1" s="322">
      <c r="A714" s="27" t="n"/>
      <c r="B714" s="506" t="n"/>
      <c r="C714" s="141" t="n"/>
      <c r="D714" s="141" t="n"/>
      <c r="E714" s="141" t="n"/>
      <c r="F714" s="141" t="n"/>
      <c r="G714" s="143" t="n"/>
      <c r="H714" s="27" t="n"/>
    </row>
    <row r="715" ht="17.25" customHeight="1" s="322">
      <c r="A715" s="27" t="n"/>
      <c r="B715" s="506" t="n"/>
      <c r="C715" s="141" t="n"/>
      <c r="D715" s="141" t="n"/>
      <c r="E715" s="141" t="n"/>
      <c r="F715" s="141" t="n"/>
      <c r="G715" s="143" t="n"/>
      <c r="H715" s="27" t="n"/>
    </row>
    <row r="716" ht="17.25" customHeight="1" s="322">
      <c r="A716" s="27" t="n"/>
      <c r="B716" s="506" t="n"/>
      <c r="C716" s="141" t="n"/>
      <c r="D716" s="141" t="n"/>
      <c r="E716" s="141" t="n"/>
      <c r="F716" s="141" t="n"/>
      <c r="G716" s="143" t="n"/>
      <c r="H716" s="27" t="n"/>
    </row>
    <row r="717" ht="17.25" customHeight="1" s="322">
      <c r="A717" s="27" t="n"/>
      <c r="B717" s="506" t="n"/>
      <c r="C717" s="141" t="n"/>
      <c r="D717" s="141" t="n"/>
      <c r="E717" s="141" t="n"/>
      <c r="F717" s="141" t="n"/>
      <c r="G717" s="143" t="n"/>
      <c r="H717" s="27" t="n"/>
    </row>
    <row r="718" ht="17.25" customHeight="1" s="322">
      <c r="A718" s="27" t="n"/>
      <c r="B718" s="506" t="n"/>
      <c r="C718" s="141" t="n"/>
      <c r="D718" s="141" t="n"/>
      <c r="E718" s="141" t="n"/>
      <c r="F718" s="141" t="n"/>
      <c r="G718" s="143" t="n"/>
      <c r="H718" s="27" t="n"/>
    </row>
    <row r="719" ht="17.25" customHeight="1" s="322">
      <c r="A719" s="27" t="n"/>
      <c r="B719" s="506" t="n"/>
      <c r="C719" s="141" t="n"/>
      <c r="D719" s="141" t="n"/>
      <c r="E719" s="141" t="n"/>
      <c r="F719" s="141" t="n"/>
      <c r="G719" s="143" t="n"/>
      <c r="H719" s="27" t="n"/>
    </row>
    <row r="720" ht="17.25" customHeight="1" s="322">
      <c r="A720" s="27" t="n"/>
      <c r="B720" s="506" t="n"/>
      <c r="C720" s="141" t="n"/>
      <c r="D720" s="141" t="n"/>
      <c r="E720" s="141" t="n"/>
      <c r="F720" s="141" t="n"/>
      <c r="G720" s="143" t="n"/>
      <c r="H720" s="27" t="n"/>
    </row>
    <row r="721" ht="17.25" customHeight="1" s="322">
      <c r="A721" s="27" t="n"/>
      <c r="B721" s="506" t="n"/>
      <c r="C721" s="141" t="n"/>
      <c r="D721" s="141" t="n"/>
      <c r="E721" s="141" t="n"/>
      <c r="F721" s="141" t="n"/>
      <c r="G721" s="143" t="n"/>
      <c r="H721" s="27" t="n"/>
    </row>
    <row r="722" ht="17.25" customHeight="1" s="322">
      <c r="A722" s="27" t="n"/>
      <c r="B722" s="506" t="n"/>
      <c r="C722" s="141" t="n"/>
      <c r="D722" s="141" t="n"/>
      <c r="E722" s="141" t="n"/>
      <c r="F722" s="141" t="n"/>
      <c r="G722" s="143" t="n"/>
      <c r="H722" s="27" t="n"/>
    </row>
    <row r="723" ht="17.25" customHeight="1" s="322">
      <c r="A723" s="27" t="n"/>
      <c r="B723" s="506" t="n"/>
      <c r="C723" s="141" t="n"/>
      <c r="D723" s="141" t="n"/>
      <c r="E723" s="141" t="n"/>
      <c r="F723" s="141" t="n"/>
      <c r="G723" s="143" t="n"/>
      <c r="H723" s="27" t="n"/>
    </row>
    <row r="724" ht="17.25" customHeight="1" s="322">
      <c r="A724" s="27" t="n"/>
      <c r="B724" s="506" t="n"/>
      <c r="C724" s="141" t="n"/>
      <c r="D724" s="141" t="n"/>
      <c r="E724" s="141" t="n"/>
      <c r="F724" s="141" t="n"/>
      <c r="G724" s="143" t="n"/>
      <c r="H724" s="27" t="n"/>
    </row>
    <row r="725" ht="17.25" customHeight="1" s="322">
      <c r="A725" s="27" t="n"/>
      <c r="B725" s="506" t="n"/>
      <c r="C725" s="141" t="n"/>
      <c r="D725" s="141" t="n"/>
      <c r="E725" s="141" t="n"/>
      <c r="F725" s="141" t="n"/>
      <c r="G725" s="143" t="n"/>
      <c r="H725" s="27" t="n"/>
    </row>
    <row r="726" ht="17.25" customHeight="1" s="322">
      <c r="A726" s="27" t="n"/>
      <c r="B726" s="506" t="n"/>
      <c r="C726" s="141" t="n"/>
      <c r="D726" s="141" t="n"/>
      <c r="E726" s="141" t="n"/>
      <c r="F726" s="141" t="n"/>
      <c r="G726" s="143" t="n"/>
      <c r="H726" s="27" t="n"/>
    </row>
    <row r="727" ht="17.25" customHeight="1" s="322">
      <c r="A727" s="27" t="n"/>
      <c r="B727" s="506" t="n"/>
      <c r="C727" s="141" t="n"/>
      <c r="D727" s="141" t="n"/>
      <c r="E727" s="141" t="n"/>
      <c r="F727" s="141" t="n"/>
      <c r="G727" s="143" t="n"/>
      <c r="H727" s="27" t="n"/>
    </row>
    <row r="728" ht="17.25" customHeight="1" s="322">
      <c r="A728" s="27" t="n"/>
      <c r="B728" s="506" t="n"/>
      <c r="C728" s="141" t="n"/>
      <c r="D728" s="141" t="n"/>
      <c r="E728" s="141" t="n"/>
      <c r="F728" s="141" t="n"/>
      <c r="G728" s="143" t="n"/>
      <c r="H728" s="27" t="n"/>
    </row>
    <row r="729" ht="17.25" customHeight="1" s="322">
      <c r="A729" s="27" t="n"/>
      <c r="B729" s="506" t="n"/>
      <c r="C729" s="141" t="n"/>
      <c r="D729" s="141" t="n"/>
      <c r="E729" s="141" t="n"/>
      <c r="F729" s="141" t="n"/>
      <c r="G729" s="143" t="n"/>
      <c r="H729" s="27" t="n"/>
    </row>
    <row r="730" ht="17.25" customHeight="1" s="322">
      <c r="A730" s="27" t="n"/>
      <c r="B730" s="506" t="n"/>
      <c r="C730" s="141" t="n"/>
      <c r="D730" s="141" t="n"/>
      <c r="E730" s="141" t="n"/>
      <c r="F730" s="141" t="n"/>
      <c r="G730" s="143" t="n"/>
      <c r="H730" s="27" t="n"/>
    </row>
    <row r="731" ht="17.25" customHeight="1" s="322">
      <c r="A731" s="27" t="n"/>
      <c r="B731" s="506" t="n"/>
      <c r="C731" s="141" t="n"/>
      <c r="D731" s="141" t="n"/>
      <c r="E731" s="141" t="n"/>
      <c r="F731" s="141" t="n"/>
      <c r="G731" s="143" t="n"/>
      <c r="H731" s="27" t="n"/>
    </row>
    <row r="732" ht="17.25" customHeight="1" s="322">
      <c r="A732" s="27" t="n"/>
      <c r="B732" s="506" t="n"/>
      <c r="C732" s="141" t="n"/>
      <c r="D732" s="141" t="n"/>
      <c r="E732" s="141" t="n"/>
      <c r="F732" s="141" t="n"/>
      <c r="G732" s="143" t="n"/>
      <c r="H732" s="27" t="n"/>
    </row>
    <row r="733" ht="17.25" customHeight="1" s="322">
      <c r="A733" s="27" t="n"/>
      <c r="B733" s="506" t="n"/>
      <c r="C733" s="141" t="n"/>
      <c r="D733" s="141" t="n"/>
      <c r="E733" s="141" t="n"/>
      <c r="F733" s="141" t="n"/>
      <c r="G733" s="143" t="n"/>
      <c r="H733" s="27" t="n"/>
    </row>
    <row r="734" ht="17.25" customHeight="1" s="322">
      <c r="A734" s="27" t="n"/>
      <c r="B734" s="506" t="n"/>
      <c r="C734" s="141" t="n"/>
      <c r="D734" s="141" t="n"/>
      <c r="E734" s="141" t="n"/>
      <c r="F734" s="141" t="n"/>
      <c r="G734" s="143" t="n"/>
      <c r="H734" s="27" t="n"/>
    </row>
    <row r="735" ht="17.25" customHeight="1" s="322">
      <c r="A735" s="27" t="n"/>
      <c r="B735" s="506" t="n"/>
      <c r="C735" s="141" t="n"/>
      <c r="D735" s="141" t="n"/>
      <c r="E735" s="141" t="n"/>
      <c r="F735" s="141" t="n"/>
      <c r="G735" s="143" t="n"/>
      <c r="H735" s="27" t="n"/>
    </row>
    <row r="736" ht="17.25" customHeight="1" s="322">
      <c r="A736" s="27" t="n"/>
      <c r="B736" s="506" t="n"/>
      <c r="C736" s="141" t="n"/>
      <c r="D736" s="141" t="n"/>
      <c r="E736" s="141" t="n"/>
      <c r="F736" s="141" t="n"/>
      <c r="G736" s="143" t="n"/>
      <c r="H736" s="27" t="n"/>
    </row>
    <row r="737" ht="17.25" customHeight="1" s="322">
      <c r="A737" s="27" t="n"/>
      <c r="B737" s="506" t="n"/>
      <c r="C737" s="141" t="n"/>
      <c r="D737" s="141" t="n"/>
      <c r="E737" s="141" t="n"/>
      <c r="F737" s="141" t="n"/>
      <c r="G737" s="143" t="n"/>
      <c r="H737" s="27" t="n"/>
    </row>
    <row r="738" ht="17.25" customHeight="1" s="322">
      <c r="A738" s="27" t="n"/>
      <c r="B738" s="506" t="n"/>
      <c r="C738" s="141" t="n"/>
      <c r="D738" s="141" t="n"/>
      <c r="E738" s="141" t="n"/>
      <c r="F738" s="141" t="n"/>
      <c r="G738" s="143" t="n"/>
      <c r="H738" s="27" t="n"/>
    </row>
    <row r="739" ht="17.25" customHeight="1" s="322">
      <c r="A739" s="27" t="n"/>
      <c r="B739" s="506" t="n"/>
      <c r="C739" s="141" t="n"/>
      <c r="D739" s="141" t="n"/>
      <c r="E739" s="141" t="n"/>
      <c r="F739" s="141" t="n"/>
      <c r="G739" s="143" t="n"/>
      <c r="H739" s="27" t="n"/>
    </row>
    <row r="740" ht="17.25" customHeight="1" s="322">
      <c r="A740" s="27" t="n"/>
      <c r="B740" s="506" t="n"/>
      <c r="C740" s="141" t="n"/>
      <c r="D740" s="141" t="n"/>
      <c r="E740" s="141" t="n"/>
      <c r="F740" s="141" t="n"/>
      <c r="G740" s="143" t="n"/>
      <c r="H740" s="27" t="n"/>
    </row>
    <row r="741" ht="17.25" customHeight="1" s="322">
      <c r="A741" s="27" t="n"/>
      <c r="B741" s="506" t="n"/>
      <c r="C741" s="141" t="n"/>
      <c r="D741" s="141" t="n"/>
      <c r="E741" s="141" t="n"/>
      <c r="F741" s="141" t="n"/>
      <c r="G741" s="143" t="n"/>
      <c r="H741" s="27" t="n"/>
    </row>
    <row r="742" ht="17.25" customHeight="1" s="322">
      <c r="A742" s="27" t="n"/>
      <c r="B742" s="506" t="n"/>
      <c r="C742" s="141" t="n"/>
      <c r="D742" s="141" t="n"/>
      <c r="E742" s="141" t="n"/>
      <c r="F742" s="141" t="n"/>
      <c r="G742" s="143" t="n"/>
      <c r="H742" s="27" t="n"/>
    </row>
    <row r="743" ht="17.25" customHeight="1" s="322">
      <c r="A743" s="27" t="n"/>
      <c r="B743" s="506" t="n"/>
      <c r="C743" s="141" t="n"/>
      <c r="D743" s="141" t="n"/>
      <c r="E743" s="141" t="n"/>
      <c r="F743" s="141" t="n"/>
      <c r="G743" s="143" t="n"/>
      <c r="H743" s="27" t="n"/>
    </row>
    <row r="744" ht="17.25" customHeight="1" s="322">
      <c r="A744" s="27" t="n"/>
      <c r="B744" s="506" t="n"/>
      <c r="C744" s="141" t="n"/>
      <c r="D744" s="141" t="n"/>
      <c r="E744" s="141" t="n"/>
      <c r="F744" s="141" t="n"/>
      <c r="G744" s="143" t="n"/>
      <c r="H744" s="27" t="n"/>
    </row>
    <row r="745" ht="17.25" customHeight="1" s="322">
      <c r="A745" s="27" t="n"/>
      <c r="B745" s="506" t="n"/>
      <c r="C745" s="141" t="n"/>
      <c r="D745" s="141" t="n"/>
      <c r="E745" s="141" t="n"/>
      <c r="F745" s="141" t="n"/>
      <c r="G745" s="143" t="n"/>
      <c r="H745" s="27" t="n"/>
    </row>
    <row r="746" ht="17.25" customHeight="1" s="322">
      <c r="A746" s="27" t="n"/>
      <c r="B746" s="506" t="n"/>
      <c r="C746" s="141" t="n"/>
      <c r="D746" s="141" t="n"/>
      <c r="E746" s="141" t="n"/>
      <c r="F746" s="141" t="n"/>
      <c r="G746" s="143" t="n"/>
      <c r="H746" s="27" t="n"/>
    </row>
    <row r="747" ht="17.25" customHeight="1" s="322">
      <c r="A747" s="27" t="n"/>
      <c r="B747" s="506" t="n"/>
      <c r="C747" s="141" t="n"/>
      <c r="D747" s="141" t="n"/>
      <c r="E747" s="141" t="n"/>
      <c r="F747" s="141" t="n"/>
      <c r="G747" s="143" t="n"/>
      <c r="H747" s="27" t="n"/>
    </row>
    <row r="748" ht="17.25" customHeight="1" s="322">
      <c r="A748" s="27" t="n"/>
      <c r="B748" s="506" t="n"/>
      <c r="C748" s="141" t="n"/>
      <c r="D748" s="141" t="n"/>
      <c r="E748" s="141" t="n"/>
      <c r="F748" s="141" t="n"/>
      <c r="G748" s="143" t="n"/>
      <c r="H748" s="27" t="n"/>
    </row>
    <row r="749" ht="17.25" customHeight="1" s="322">
      <c r="A749" s="27" t="n"/>
      <c r="B749" s="506" t="n"/>
      <c r="C749" s="141" t="n"/>
      <c r="D749" s="141" t="n"/>
      <c r="E749" s="141" t="n"/>
      <c r="F749" s="141" t="n"/>
      <c r="G749" s="143" t="n"/>
      <c r="H749" s="27" t="n"/>
    </row>
    <row r="750" ht="17.25" customHeight="1" s="322">
      <c r="A750" s="27" t="n"/>
      <c r="B750" s="506" t="n"/>
      <c r="C750" s="141" t="n"/>
      <c r="D750" s="141" t="n"/>
      <c r="E750" s="141" t="n"/>
      <c r="F750" s="141" t="n"/>
      <c r="G750" s="143" t="n"/>
      <c r="H750" s="27" t="n"/>
    </row>
    <row r="751" ht="17.25" customHeight="1" s="322">
      <c r="A751" s="27" t="n"/>
      <c r="B751" s="506" t="n"/>
      <c r="C751" s="141" t="n"/>
      <c r="D751" s="141" t="n"/>
      <c r="E751" s="141" t="n"/>
      <c r="F751" s="141" t="n"/>
      <c r="G751" s="143" t="n"/>
      <c r="H751" s="27" t="n"/>
    </row>
    <row r="752" ht="17.25" customHeight="1" s="322">
      <c r="A752" s="27" t="n"/>
      <c r="B752" s="506" t="n"/>
      <c r="C752" s="141" t="n"/>
      <c r="D752" s="141" t="n"/>
      <c r="E752" s="141" t="n"/>
      <c r="F752" s="141" t="n"/>
      <c r="G752" s="143" t="n"/>
      <c r="H752" s="27" t="n"/>
    </row>
    <row r="753" ht="17.25" customHeight="1" s="322">
      <c r="A753" s="27" t="n"/>
      <c r="B753" s="506" t="n"/>
      <c r="C753" s="141" t="n"/>
      <c r="D753" s="141" t="n"/>
      <c r="E753" s="141" t="n"/>
      <c r="F753" s="141" t="n"/>
      <c r="G753" s="143" t="n"/>
      <c r="H753" s="27" t="n"/>
    </row>
    <row r="754" ht="17.25" customHeight="1" s="322">
      <c r="A754" s="27" t="n"/>
      <c r="B754" s="506" t="n"/>
      <c r="C754" s="141" t="n"/>
      <c r="D754" s="141" t="n"/>
      <c r="E754" s="141" t="n"/>
      <c r="F754" s="141" t="n"/>
      <c r="G754" s="143" t="n"/>
      <c r="H754" s="27" t="n"/>
    </row>
    <row r="755" ht="17.25" customHeight="1" s="322">
      <c r="A755" s="27" t="n"/>
      <c r="B755" s="506" t="n"/>
      <c r="C755" s="141" t="n"/>
      <c r="D755" s="141" t="n"/>
      <c r="E755" s="141" t="n"/>
      <c r="F755" s="141" t="n"/>
      <c r="G755" s="143" t="n"/>
      <c r="H755" s="27" t="n"/>
    </row>
    <row r="756" ht="17.25" customHeight="1" s="322">
      <c r="A756" s="27" t="n"/>
      <c r="B756" s="506" t="n"/>
      <c r="C756" s="141" t="n"/>
      <c r="D756" s="141" t="n"/>
      <c r="E756" s="141" t="n"/>
      <c r="F756" s="141" t="n"/>
      <c r="G756" s="143" t="n"/>
      <c r="H756" s="27" t="n"/>
    </row>
    <row r="757" ht="17.25" customHeight="1" s="322">
      <c r="A757" s="27" t="n"/>
      <c r="B757" s="506" t="n"/>
      <c r="C757" s="141" t="n"/>
      <c r="D757" s="141" t="n"/>
      <c r="E757" s="141" t="n"/>
      <c r="F757" s="141" t="n"/>
      <c r="G757" s="143" t="n"/>
      <c r="H757" s="27" t="n"/>
    </row>
    <row r="758" ht="17.25" customHeight="1" s="322">
      <c r="A758" s="27" t="n"/>
      <c r="B758" s="506" t="n"/>
      <c r="C758" s="141" t="n"/>
      <c r="D758" s="141" t="n"/>
      <c r="E758" s="141" t="n"/>
      <c r="F758" s="141" t="n"/>
      <c r="G758" s="143" t="n"/>
      <c r="H758" s="27" t="n"/>
    </row>
    <row r="759" ht="17.25" customHeight="1" s="322">
      <c r="A759" s="27" t="n"/>
      <c r="B759" s="506" t="n"/>
      <c r="C759" s="141" t="n"/>
      <c r="D759" s="141" t="n"/>
      <c r="E759" s="141" t="n"/>
      <c r="F759" s="141" t="n"/>
      <c r="G759" s="143" t="n"/>
      <c r="H759" s="27" t="n"/>
    </row>
    <row r="760" ht="17.25" customHeight="1" s="322">
      <c r="A760" s="27" t="n"/>
      <c r="B760" s="506" t="n"/>
      <c r="C760" s="141" t="n"/>
      <c r="D760" s="141" t="n"/>
      <c r="E760" s="141" t="n"/>
      <c r="F760" s="141" t="n"/>
      <c r="G760" s="143" t="n"/>
      <c r="H760" s="27" t="n"/>
    </row>
    <row r="761" ht="17.25" customHeight="1" s="322">
      <c r="A761" s="27" t="n"/>
      <c r="B761" s="506" t="n"/>
      <c r="C761" s="141" t="n"/>
      <c r="D761" s="141" t="n"/>
      <c r="E761" s="141" t="n"/>
      <c r="F761" s="141" t="n"/>
      <c r="G761" s="143" t="n"/>
      <c r="H761" s="27" t="n"/>
    </row>
    <row r="762" ht="17.25" customHeight="1" s="322">
      <c r="A762" s="27" t="n"/>
      <c r="B762" s="506" t="n"/>
      <c r="C762" s="141" t="n"/>
      <c r="D762" s="141" t="n"/>
      <c r="E762" s="141" t="n"/>
      <c r="F762" s="141" t="n"/>
      <c r="G762" s="143" t="n"/>
      <c r="H762" s="27" t="n"/>
    </row>
    <row r="763" ht="17.25" customHeight="1" s="322">
      <c r="A763" s="27" t="n"/>
      <c r="B763" s="506" t="n"/>
      <c r="C763" s="141" t="n"/>
      <c r="D763" s="141" t="n"/>
      <c r="E763" s="141" t="n"/>
      <c r="F763" s="141" t="n"/>
      <c r="G763" s="143" t="n"/>
      <c r="H763" s="27" t="n"/>
    </row>
    <row r="764" ht="17.25" customHeight="1" s="322">
      <c r="A764" s="27" t="n"/>
      <c r="B764" s="506" t="n"/>
      <c r="C764" s="141" t="n"/>
      <c r="D764" s="141" t="n"/>
      <c r="E764" s="141" t="n"/>
      <c r="F764" s="141" t="n"/>
      <c r="G764" s="143" t="n"/>
      <c r="H764" s="27" t="n"/>
    </row>
    <row r="765" ht="17.25" customHeight="1" s="322">
      <c r="A765" s="27" t="n"/>
      <c r="B765" s="506" t="n"/>
      <c r="C765" s="141" t="n"/>
      <c r="D765" s="141" t="n"/>
      <c r="E765" s="141" t="n"/>
      <c r="F765" s="141" t="n"/>
      <c r="G765" s="143" t="n"/>
      <c r="H765" s="27" t="n"/>
    </row>
    <row r="766" ht="17.25" customHeight="1" s="322">
      <c r="A766" s="27" t="n"/>
      <c r="B766" s="506" t="n"/>
      <c r="C766" s="141" t="n"/>
      <c r="D766" s="141" t="n"/>
      <c r="E766" s="141" t="n"/>
      <c r="F766" s="141" t="n"/>
      <c r="G766" s="143" t="n"/>
      <c r="H766" s="27" t="n"/>
    </row>
    <row r="767" ht="17.25" customHeight="1" s="322">
      <c r="A767" s="27" t="n"/>
      <c r="B767" s="506" t="n"/>
      <c r="C767" s="141" t="n"/>
      <c r="D767" s="141" t="n"/>
      <c r="E767" s="141" t="n"/>
      <c r="F767" s="141" t="n"/>
      <c r="G767" s="143" t="n"/>
      <c r="H767" s="27" t="n"/>
    </row>
    <row r="768" ht="17.25" customHeight="1" s="322">
      <c r="A768" s="27" t="n"/>
      <c r="B768" s="506" t="n"/>
      <c r="C768" s="141" t="n"/>
      <c r="D768" s="141" t="n"/>
      <c r="E768" s="141" t="n"/>
      <c r="F768" s="141" t="n"/>
      <c r="G768" s="143" t="n"/>
      <c r="H768" s="27" t="n"/>
    </row>
    <row r="769" ht="17.25" customHeight="1" s="322">
      <c r="A769" s="27" t="n"/>
      <c r="B769" s="506" t="n"/>
      <c r="C769" s="141" t="n"/>
      <c r="D769" s="141" t="n"/>
      <c r="E769" s="141" t="n"/>
      <c r="F769" s="141" t="n"/>
      <c r="G769" s="143" t="n"/>
      <c r="H769" s="27" t="n"/>
    </row>
    <row r="770" ht="17.25" customHeight="1" s="322">
      <c r="A770" s="27" t="n"/>
      <c r="B770" s="506" t="n"/>
      <c r="C770" s="141" t="n"/>
      <c r="D770" s="141" t="n"/>
      <c r="E770" s="141" t="n"/>
      <c r="F770" s="141" t="n"/>
      <c r="G770" s="143" t="n"/>
      <c r="H770" s="27" t="n"/>
    </row>
    <row r="771" ht="17.25" customHeight="1" s="322">
      <c r="A771" s="27" t="n"/>
      <c r="B771" s="506" t="n"/>
      <c r="C771" s="141" t="n"/>
      <c r="D771" s="141" t="n"/>
      <c r="E771" s="141" t="n"/>
      <c r="F771" s="141" t="n"/>
      <c r="G771" s="143" t="n"/>
      <c r="H771" s="27" t="n"/>
    </row>
    <row r="772" ht="17.25" customHeight="1" s="322">
      <c r="A772" s="27" t="n"/>
      <c r="B772" s="506" t="n"/>
      <c r="C772" s="141" t="n"/>
      <c r="D772" s="141" t="n"/>
      <c r="E772" s="141" t="n"/>
      <c r="F772" s="141" t="n"/>
      <c r="G772" s="143" t="n"/>
      <c r="H772" s="27" t="n"/>
    </row>
    <row r="773" ht="17.25" customHeight="1" s="322">
      <c r="A773" s="27" t="n"/>
      <c r="B773" s="506" t="n"/>
      <c r="C773" s="141" t="n"/>
      <c r="D773" s="141" t="n"/>
      <c r="E773" s="141" t="n"/>
      <c r="F773" s="141" t="n"/>
      <c r="G773" s="143" t="n"/>
      <c r="H773" s="27" t="n"/>
    </row>
    <row r="774" ht="17.25" customHeight="1" s="322">
      <c r="A774" s="27" t="n"/>
      <c r="B774" s="506" t="n"/>
      <c r="C774" s="141" t="n"/>
      <c r="D774" s="141" t="n"/>
      <c r="E774" s="141" t="n"/>
      <c r="F774" s="141" t="n"/>
      <c r="G774" s="143" t="n"/>
      <c r="H774" s="27" t="n"/>
    </row>
    <row r="775" ht="17.25" customHeight="1" s="322">
      <c r="A775" s="27" t="n"/>
      <c r="B775" s="506" t="n"/>
      <c r="C775" s="141" t="n"/>
      <c r="D775" s="141" t="n"/>
      <c r="E775" s="141" t="n"/>
      <c r="F775" s="141" t="n"/>
      <c r="G775" s="143" t="n"/>
      <c r="H775" s="27" t="n"/>
    </row>
    <row r="776" ht="17.25" customHeight="1" s="322">
      <c r="A776" s="27" t="n"/>
      <c r="B776" s="506" t="n"/>
      <c r="C776" s="141" t="n"/>
      <c r="D776" s="141" t="n"/>
      <c r="E776" s="141" t="n"/>
      <c r="F776" s="141" t="n"/>
      <c r="G776" s="143" t="n"/>
      <c r="H776" s="27" t="n"/>
    </row>
    <row r="777" ht="17.25" customHeight="1" s="322">
      <c r="A777" s="27" t="n"/>
      <c r="B777" s="506" t="n"/>
      <c r="C777" s="141" t="n"/>
      <c r="D777" s="141" t="n"/>
      <c r="E777" s="141" t="n"/>
      <c r="F777" s="141" t="n"/>
      <c r="G777" s="143" t="n"/>
      <c r="H777" s="27" t="n"/>
    </row>
    <row r="778" ht="17.25" customHeight="1" s="322">
      <c r="A778" s="27" t="n"/>
      <c r="B778" s="506" t="n"/>
      <c r="C778" s="141" t="n"/>
      <c r="D778" s="141" t="n"/>
      <c r="E778" s="141" t="n"/>
      <c r="F778" s="141" t="n"/>
      <c r="G778" s="143" t="n"/>
      <c r="H778" s="27" t="n"/>
    </row>
    <row r="779" ht="17.25" customHeight="1" s="322">
      <c r="A779" s="27" t="n"/>
      <c r="B779" s="506" t="n"/>
      <c r="C779" s="141" t="n"/>
      <c r="D779" s="141" t="n"/>
      <c r="E779" s="141" t="n"/>
      <c r="F779" s="141" t="n"/>
      <c r="G779" s="143" t="n"/>
      <c r="H779" s="27" t="n"/>
    </row>
    <row r="780" ht="17.25" customHeight="1" s="322">
      <c r="A780" s="27" t="n"/>
      <c r="B780" s="506" t="n"/>
      <c r="C780" s="141" t="n"/>
      <c r="D780" s="141" t="n"/>
      <c r="E780" s="141" t="n"/>
      <c r="F780" s="141" t="n"/>
      <c r="G780" s="143" t="n"/>
      <c r="H780" s="27" t="n"/>
    </row>
    <row r="781" ht="17.25" customHeight="1" s="322">
      <c r="A781" s="27" t="n"/>
      <c r="B781" s="506" t="n"/>
      <c r="C781" s="141" t="n"/>
      <c r="D781" s="141" t="n"/>
      <c r="E781" s="141" t="n"/>
      <c r="F781" s="141" t="n"/>
      <c r="G781" s="143" t="n"/>
      <c r="H781" s="27" t="n"/>
    </row>
    <row r="782" ht="17.25" customHeight="1" s="322">
      <c r="A782" s="27" t="n"/>
      <c r="B782" s="506" t="n"/>
      <c r="C782" s="141" t="n"/>
      <c r="D782" s="141" t="n"/>
      <c r="E782" s="141" t="n"/>
      <c r="F782" s="141" t="n"/>
      <c r="G782" s="143" t="n"/>
      <c r="H782" s="27" t="n"/>
    </row>
    <row r="783" ht="17.25" customHeight="1" s="322">
      <c r="A783" s="27" t="n"/>
      <c r="B783" s="506" t="n"/>
      <c r="C783" s="141" t="n"/>
      <c r="D783" s="141" t="n"/>
      <c r="E783" s="141" t="n"/>
      <c r="F783" s="141" t="n"/>
      <c r="G783" s="143" t="n"/>
      <c r="H783" s="27" t="n"/>
    </row>
    <row r="784" ht="17.25" customHeight="1" s="322">
      <c r="A784" s="27" t="n"/>
      <c r="B784" s="506" t="n"/>
      <c r="C784" s="141" t="n"/>
      <c r="D784" s="141" t="n"/>
      <c r="E784" s="141" t="n"/>
      <c r="F784" s="141" t="n"/>
      <c r="G784" s="143" t="n"/>
      <c r="H784" s="27" t="n"/>
    </row>
    <row r="785" ht="17.25" customHeight="1" s="322">
      <c r="A785" s="27" t="n"/>
      <c r="B785" s="506" t="n"/>
      <c r="C785" s="141" t="n"/>
      <c r="D785" s="141" t="n"/>
      <c r="E785" s="141" t="n"/>
      <c r="F785" s="141" t="n"/>
      <c r="G785" s="143" t="n"/>
      <c r="H785" s="27" t="n"/>
    </row>
    <row r="786" ht="17.25" customHeight="1" s="322">
      <c r="A786" s="27" t="n"/>
      <c r="B786" s="506" t="n"/>
      <c r="C786" s="141" t="n"/>
      <c r="D786" s="141" t="n"/>
      <c r="E786" s="141" t="n"/>
      <c r="F786" s="141" t="n"/>
      <c r="G786" s="143" t="n"/>
      <c r="H786" s="27" t="n"/>
    </row>
    <row r="787" ht="17.25" customHeight="1" s="322">
      <c r="A787" s="27" t="n"/>
      <c r="B787" s="506" t="n"/>
      <c r="C787" s="141" t="n"/>
      <c r="D787" s="141" t="n"/>
      <c r="E787" s="141" t="n"/>
      <c r="F787" s="141" t="n"/>
      <c r="G787" s="143" t="n"/>
      <c r="H787" s="27" t="n"/>
    </row>
    <row r="788" ht="17.25" customHeight="1" s="322">
      <c r="A788" s="27" t="n"/>
      <c r="B788" s="506" t="n"/>
      <c r="C788" s="141" t="n"/>
      <c r="D788" s="141" t="n"/>
      <c r="E788" s="141" t="n"/>
      <c r="F788" s="141" t="n"/>
      <c r="G788" s="143" t="n"/>
      <c r="H788" s="27" t="n"/>
    </row>
    <row r="789" ht="17.25" customHeight="1" s="322">
      <c r="A789" s="27" t="n"/>
      <c r="B789" s="506" t="n"/>
      <c r="C789" s="141" t="n"/>
      <c r="D789" s="141" t="n"/>
      <c r="E789" s="141" t="n"/>
      <c r="F789" s="141" t="n"/>
      <c r="G789" s="143" t="n"/>
      <c r="H789" s="27" t="n"/>
    </row>
    <row r="790" ht="17.25" customHeight="1" s="322">
      <c r="A790" s="27" t="n"/>
      <c r="B790" s="506" t="n"/>
      <c r="C790" s="141" t="n"/>
      <c r="D790" s="141" t="n"/>
      <c r="E790" s="141" t="n"/>
      <c r="F790" s="141" t="n"/>
      <c r="G790" s="143" t="n"/>
      <c r="H790" s="27" t="n"/>
    </row>
    <row r="791" ht="17.25" customHeight="1" s="322">
      <c r="A791" s="27" t="n"/>
      <c r="B791" s="506" t="n"/>
      <c r="C791" s="141" t="n"/>
      <c r="D791" s="141" t="n"/>
      <c r="E791" s="141" t="n"/>
      <c r="F791" s="141" t="n"/>
      <c r="G791" s="143" t="n"/>
      <c r="H791" s="27" t="n"/>
    </row>
    <row r="792" ht="17.25" customHeight="1" s="322">
      <c r="A792" s="27" t="n"/>
      <c r="B792" s="506" t="n"/>
      <c r="C792" s="141" t="n"/>
      <c r="D792" s="141" t="n"/>
      <c r="E792" s="141" t="n"/>
      <c r="F792" s="141" t="n"/>
      <c r="G792" s="143" t="n"/>
      <c r="H792" s="27" t="n"/>
    </row>
    <row r="793" ht="17.25" customHeight="1" s="322">
      <c r="A793" s="27" t="n"/>
      <c r="B793" s="506" t="n"/>
      <c r="C793" s="141" t="n"/>
      <c r="D793" s="141" t="n"/>
      <c r="E793" s="141" t="n"/>
      <c r="F793" s="141" t="n"/>
      <c r="G793" s="143" t="n"/>
      <c r="H793" s="27" t="n"/>
    </row>
    <row r="794" ht="17.25" customHeight="1" s="322">
      <c r="A794" s="27" t="n"/>
      <c r="B794" s="506" t="n"/>
      <c r="C794" s="141" t="n"/>
      <c r="D794" s="141" t="n"/>
      <c r="E794" s="141" t="n"/>
      <c r="F794" s="141" t="n"/>
      <c r="G794" s="143" t="n"/>
      <c r="H794" s="27" t="n"/>
    </row>
    <row r="795" ht="17.25" customHeight="1" s="322">
      <c r="A795" s="27" t="n"/>
      <c r="B795" s="506" t="n"/>
      <c r="C795" s="141" t="n"/>
      <c r="D795" s="141" t="n"/>
      <c r="E795" s="141" t="n"/>
      <c r="F795" s="141" t="n"/>
      <c r="G795" s="143" t="n"/>
      <c r="H795" s="27" t="n"/>
    </row>
    <row r="796" ht="17.25" customHeight="1" s="322">
      <c r="A796" s="27" t="n"/>
      <c r="B796" s="506" t="n"/>
      <c r="C796" s="141" t="n"/>
      <c r="D796" s="141" t="n"/>
      <c r="E796" s="141" t="n"/>
      <c r="F796" s="141" t="n"/>
      <c r="G796" s="143" t="n"/>
      <c r="H796" s="27" t="n"/>
    </row>
    <row r="797" ht="17.25" customHeight="1" s="322">
      <c r="A797" s="27" t="n"/>
      <c r="B797" s="506" t="n"/>
      <c r="C797" s="141" t="n"/>
      <c r="D797" s="141" t="n"/>
      <c r="E797" s="141" t="n"/>
      <c r="F797" s="141" t="n"/>
      <c r="G797" s="143" t="n"/>
      <c r="H797" s="27" t="n"/>
    </row>
    <row r="798" ht="17.25" customHeight="1" s="322">
      <c r="A798" s="27" t="n"/>
      <c r="B798" s="506" t="n"/>
      <c r="C798" s="141" t="n"/>
      <c r="D798" s="141" t="n"/>
      <c r="E798" s="141" t="n"/>
      <c r="F798" s="141" t="n"/>
      <c r="G798" s="143" t="n"/>
      <c r="H798" s="27" t="n"/>
    </row>
    <row r="799" ht="17.25" customHeight="1" s="322">
      <c r="A799" s="27" t="n"/>
      <c r="B799" s="506" t="n"/>
      <c r="C799" s="141" t="n"/>
      <c r="D799" s="141" t="n"/>
      <c r="E799" s="141" t="n"/>
      <c r="F799" s="141" t="n"/>
      <c r="G799" s="143" t="n"/>
      <c r="H799" s="27" t="n"/>
    </row>
    <row r="800" ht="17.25" customHeight="1" s="322">
      <c r="A800" s="27" t="n"/>
      <c r="B800" s="506" t="n"/>
      <c r="C800" s="141" t="n"/>
      <c r="D800" s="141" t="n"/>
      <c r="E800" s="141" t="n"/>
      <c r="F800" s="141" t="n"/>
      <c r="G800" s="143" t="n"/>
      <c r="H800" s="27" t="n"/>
    </row>
    <row r="801" ht="17.25" customHeight="1" s="322">
      <c r="A801" s="27" t="n"/>
      <c r="B801" s="506" t="n"/>
      <c r="C801" s="141" t="n"/>
      <c r="D801" s="141" t="n"/>
      <c r="E801" s="141" t="n"/>
      <c r="F801" s="141" t="n"/>
      <c r="G801" s="143" t="n"/>
      <c r="H801" s="27" t="n"/>
    </row>
    <row r="802" ht="17.25" customHeight="1" s="322">
      <c r="A802" s="27" t="n"/>
      <c r="B802" s="506" t="n"/>
      <c r="C802" s="141" t="n"/>
      <c r="D802" s="141" t="n"/>
      <c r="E802" s="141" t="n"/>
      <c r="F802" s="141" t="n"/>
      <c r="G802" s="143" t="n"/>
      <c r="H802" s="27" t="n"/>
    </row>
    <row r="803" ht="17.25" customHeight="1" s="322">
      <c r="A803" s="27" t="n"/>
      <c r="B803" s="506" t="n"/>
      <c r="C803" s="141" t="n"/>
      <c r="D803" s="141" t="n"/>
      <c r="E803" s="141" t="n"/>
      <c r="F803" s="141" t="n"/>
      <c r="G803" s="143" t="n"/>
      <c r="H803" s="27" t="n"/>
    </row>
    <row r="804" ht="17.25" customHeight="1" s="322">
      <c r="A804" s="27" t="n"/>
      <c r="B804" s="506" t="n"/>
      <c r="C804" s="141" t="n"/>
      <c r="D804" s="141" t="n"/>
      <c r="E804" s="141" t="n"/>
      <c r="F804" s="141" t="n"/>
      <c r="G804" s="143" t="n"/>
      <c r="H804" s="27" t="n"/>
    </row>
    <row r="805" ht="17.25" customHeight="1" s="322">
      <c r="A805" s="27" t="n"/>
      <c r="B805" s="506" t="n"/>
      <c r="C805" s="141" t="n"/>
      <c r="D805" s="141" t="n"/>
      <c r="E805" s="141" t="n"/>
      <c r="F805" s="141" t="n"/>
      <c r="G805" s="143" t="n"/>
      <c r="H805" s="27" t="n"/>
    </row>
    <row r="806" ht="17.25" customHeight="1" s="322">
      <c r="A806" s="27" t="n"/>
      <c r="B806" s="506" t="n"/>
      <c r="C806" s="141" t="n"/>
      <c r="D806" s="141" t="n"/>
      <c r="E806" s="141" t="n"/>
      <c r="F806" s="141" t="n"/>
      <c r="G806" s="143" t="n"/>
      <c r="H806" s="27" t="n"/>
    </row>
    <row r="807" ht="17.25" customHeight="1" s="322">
      <c r="A807" s="27" t="n"/>
      <c r="B807" s="506" t="n"/>
      <c r="C807" s="141" t="n"/>
      <c r="D807" s="141" t="n"/>
      <c r="E807" s="141" t="n"/>
      <c r="F807" s="141" t="n"/>
      <c r="G807" s="143" t="n"/>
      <c r="H807" s="27" t="n"/>
    </row>
    <row r="808" ht="17.25" customHeight="1" s="322">
      <c r="A808" s="27" t="n"/>
      <c r="B808" s="506" t="n"/>
      <c r="C808" s="141" t="n"/>
      <c r="D808" s="141" t="n"/>
      <c r="E808" s="141" t="n"/>
      <c r="F808" s="141" t="n"/>
      <c r="G808" s="143" t="n"/>
      <c r="H808" s="27" t="n"/>
    </row>
    <row r="809" ht="17.25" customHeight="1" s="322">
      <c r="A809" s="27" t="n"/>
      <c r="B809" s="506" t="n"/>
      <c r="C809" s="141" t="n"/>
      <c r="D809" s="141" t="n"/>
      <c r="E809" s="141" t="n"/>
      <c r="F809" s="141" t="n"/>
      <c r="G809" s="143" t="n"/>
      <c r="H809" s="27" t="n"/>
    </row>
    <row r="810" ht="17.25" customHeight="1" s="322">
      <c r="A810" s="27" t="n"/>
      <c r="B810" s="506" t="n"/>
      <c r="C810" s="141" t="n"/>
      <c r="D810" s="141" t="n"/>
      <c r="E810" s="141" t="n"/>
      <c r="F810" s="141" t="n"/>
      <c r="G810" s="143" t="n"/>
      <c r="H810" s="27" t="n"/>
    </row>
    <row r="811" ht="17.25" customHeight="1" s="322">
      <c r="A811" s="27" t="n"/>
      <c r="B811" s="506" t="n"/>
      <c r="C811" s="141" t="n"/>
      <c r="D811" s="141" t="n"/>
      <c r="E811" s="141" t="n"/>
      <c r="F811" s="141" t="n"/>
      <c r="G811" s="143" t="n"/>
      <c r="H811" s="27" t="n"/>
    </row>
    <row r="812" ht="17.25" customHeight="1" s="322">
      <c r="A812" s="27" t="n"/>
      <c r="B812" s="506" t="n"/>
      <c r="C812" s="141" t="n"/>
      <c r="D812" s="141" t="n"/>
      <c r="E812" s="141" t="n"/>
      <c r="F812" s="141" t="n"/>
      <c r="G812" s="143" t="n"/>
      <c r="H812" s="27" t="n"/>
    </row>
    <row r="813" ht="17.25" customHeight="1" s="322">
      <c r="A813" s="27" t="n"/>
      <c r="B813" s="506" t="n"/>
      <c r="C813" s="141" t="n"/>
      <c r="D813" s="141" t="n"/>
      <c r="E813" s="141" t="n"/>
      <c r="F813" s="141" t="n"/>
      <c r="G813" s="143" t="n"/>
      <c r="H813" s="27" t="n"/>
    </row>
    <row r="814" ht="17.25" customHeight="1" s="322">
      <c r="A814" s="27" t="n"/>
      <c r="B814" s="506" t="n"/>
      <c r="C814" s="141" t="n"/>
      <c r="D814" s="141" t="n"/>
      <c r="E814" s="141" t="n"/>
      <c r="F814" s="141" t="n"/>
      <c r="G814" s="143" t="n"/>
      <c r="H814" s="27" t="n"/>
    </row>
    <row r="815" ht="17.25" customHeight="1" s="322">
      <c r="A815" s="27" t="n"/>
      <c r="B815" s="506" t="n"/>
      <c r="C815" s="141" t="n"/>
      <c r="D815" s="141" t="n"/>
      <c r="E815" s="141" t="n"/>
      <c r="F815" s="141" t="n"/>
      <c r="G815" s="143" t="n"/>
      <c r="H815" s="27" t="n"/>
    </row>
    <row r="816" ht="17.25" customHeight="1" s="322">
      <c r="A816" s="27" t="n"/>
      <c r="B816" s="506" t="n"/>
      <c r="C816" s="141" t="n"/>
      <c r="D816" s="141" t="n"/>
      <c r="E816" s="141" t="n"/>
      <c r="F816" s="141" t="n"/>
      <c r="G816" s="143" t="n"/>
      <c r="H816" s="27" t="n"/>
    </row>
    <row r="817" ht="17.25" customHeight="1" s="322">
      <c r="A817" s="27" t="n"/>
      <c r="B817" s="506" t="n"/>
      <c r="C817" s="141" t="n"/>
      <c r="D817" s="141" t="n"/>
      <c r="E817" s="141" t="n"/>
      <c r="F817" s="141" t="n"/>
      <c r="G817" s="143" t="n"/>
      <c r="H817" s="27" t="n"/>
    </row>
    <row r="818" ht="17.25" customHeight="1" s="322">
      <c r="A818" s="27" t="n"/>
      <c r="B818" s="506" t="n"/>
      <c r="C818" s="141" t="n"/>
      <c r="D818" s="141" t="n"/>
      <c r="E818" s="141" t="n"/>
      <c r="F818" s="141" t="n"/>
      <c r="G818" s="143" t="n"/>
      <c r="H818" s="27" t="n"/>
    </row>
    <row r="819" ht="17.25" customHeight="1" s="322">
      <c r="A819" s="27" t="n"/>
      <c r="B819" s="506" t="n"/>
      <c r="C819" s="141" t="n"/>
      <c r="D819" s="141" t="n"/>
      <c r="E819" s="141" t="n"/>
      <c r="F819" s="141" t="n"/>
      <c r="G819" s="143" t="n"/>
      <c r="H819" s="27" t="n"/>
    </row>
    <row r="820" ht="17.25" customHeight="1" s="322">
      <c r="A820" s="27" t="n"/>
      <c r="B820" s="506" t="n"/>
      <c r="C820" s="141" t="n"/>
      <c r="D820" s="141" t="n"/>
      <c r="E820" s="141" t="n"/>
      <c r="F820" s="141" t="n"/>
      <c r="G820" s="143" t="n"/>
      <c r="H820" s="27" t="n"/>
    </row>
    <row r="821" ht="17.25" customHeight="1" s="322">
      <c r="A821" s="27" t="n"/>
      <c r="B821" s="506" t="n"/>
      <c r="C821" s="141" t="n"/>
      <c r="D821" s="141" t="n"/>
      <c r="E821" s="141" t="n"/>
      <c r="F821" s="141" t="n"/>
      <c r="G821" s="143" t="n"/>
      <c r="H821" s="27" t="n"/>
    </row>
    <row r="822" ht="17.25" customHeight="1" s="322">
      <c r="A822" s="27" t="n"/>
      <c r="B822" s="506" t="n"/>
      <c r="C822" s="141" t="n"/>
      <c r="D822" s="141" t="n"/>
      <c r="E822" s="141" t="n"/>
      <c r="F822" s="141" t="n"/>
      <c r="G822" s="143" t="n"/>
      <c r="H822" s="27" t="n"/>
    </row>
    <row r="823" ht="17.25" customHeight="1" s="322">
      <c r="A823" s="27" t="n"/>
      <c r="B823" s="506" t="n"/>
      <c r="C823" s="141" t="n"/>
      <c r="D823" s="141" t="n"/>
      <c r="E823" s="141" t="n"/>
      <c r="F823" s="141" t="n"/>
      <c r="G823" s="143" t="n"/>
      <c r="H823" s="27" t="n"/>
    </row>
    <row r="824" ht="17.25" customHeight="1" s="322">
      <c r="A824" s="27" t="n"/>
      <c r="B824" s="506" t="n"/>
      <c r="C824" s="141" t="n"/>
      <c r="D824" s="141" t="n"/>
      <c r="E824" s="141" t="n"/>
      <c r="F824" s="141" t="n"/>
      <c r="G824" s="143" t="n"/>
      <c r="H824" s="27" t="n"/>
    </row>
    <row r="825" ht="17.25" customHeight="1" s="322">
      <c r="A825" s="27" t="n"/>
      <c r="B825" s="506" t="n"/>
      <c r="C825" s="141" t="n"/>
      <c r="D825" s="141" t="n"/>
      <c r="E825" s="141" t="n"/>
      <c r="F825" s="141" t="n"/>
      <c r="G825" s="143" t="n"/>
      <c r="H825" s="27" t="n"/>
    </row>
    <row r="826" ht="17.25" customHeight="1" s="322">
      <c r="A826" s="27" t="n"/>
      <c r="B826" s="506" t="n"/>
      <c r="C826" s="141" t="n"/>
      <c r="D826" s="141" t="n"/>
      <c r="E826" s="141" t="n"/>
      <c r="F826" s="141" t="n"/>
      <c r="G826" s="143" t="n"/>
      <c r="H826" s="27" t="n"/>
    </row>
    <row r="827" ht="17.25" customHeight="1" s="322">
      <c r="A827" s="27" t="n"/>
      <c r="B827" s="506" t="n"/>
      <c r="C827" s="141" t="n"/>
      <c r="D827" s="141" t="n"/>
      <c r="E827" s="141" t="n"/>
      <c r="F827" s="141" t="n"/>
      <c r="G827" s="143" t="n"/>
      <c r="H827" s="27" t="n"/>
    </row>
    <row r="828" ht="17.25" customHeight="1" s="322">
      <c r="A828" s="27" t="n"/>
      <c r="B828" s="506" t="n"/>
      <c r="C828" s="141" t="n"/>
      <c r="D828" s="141" t="n"/>
      <c r="E828" s="141" t="n"/>
      <c r="F828" s="141" t="n"/>
      <c r="G828" s="143" t="n"/>
      <c r="H828" s="27" t="n"/>
    </row>
    <row r="829" ht="17.25" customHeight="1" s="322">
      <c r="A829" s="27" t="n"/>
      <c r="B829" s="506" t="n"/>
      <c r="C829" s="141" t="n"/>
      <c r="D829" s="141" t="n"/>
      <c r="E829" s="141" t="n"/>
      <c r="F829" s="141" t="n"/>
      <c r="G829" s="143" t="n"/>
      <c r="H829" s="27" t="n"/>
    </row>
    <row r="830" ht="17.25" customHeight="1" s="322">
      <c r="A830" s="27" t="n"/>
      <c r="B830" s="506" t="n"/>
      <c r="C830" s="141" t="n"/>
      <c r="D830" s="141" t="n"/>
      <c r="E830" s="141" t="n"/>
      <c r="F830" s="141" t="n"/>
      <c r="G830" s="143" t="n"/>
      <c r="H830" s="27" t="n"/>
    </row>
    <row r="831" ht="17.25" customHeight="1" s="322">
      <c r="A831" s="27" t="n"/>
      <c r="B831" s="506" t="n"/>
      <c r="C831" s="141" t="n"/>
      <c r="D831" s="141" t="n"/>
      <c r="E831" s="141" t="n"/>
      <c r="F831" s="141" t="n"/>
      <c r="G831" s="143" t="n"/>
      <c r="H831" s="27" t="n"/>
    </row>
    <row r="832" ht="17.25" customHeight="1" s="322">
      <c r="A832" s="27" t="n"/>
      <c r="B832" s="506" t="n"/>
      <c r="C832" s="141" t="n"/>
      <c r="D832" s="141" t="n"/>
      <c r="E832" s="141" t="n"/>
      <c r="F832" s="141" t="n"/>
      <c r="G832" s="143" t="n"/>
      <c r="H832" s="27" t="n"/>
    </row>
    <row r="833" ht="17.25" customHeight="1" s="322">
      <c r="A833" s="27" t="n"/>
      <c r="B833" s="506" t="n"/>
      <c r="C833" s="141" t="n"/>
      <c r="D833" s="141" t="n"/>
      <c r="E833" s="141" t="n"/>
      <c r="F833" s="141" t="n"/>
      <c r="G833" s="143" t="n"/>
      <c r="H833" s="27" t="n"/>
    </row>
    <row r="834" ht="17.25" customHeight="1" s="322">
      <c r="A834" s="27" t="n"/>
      <c r="B834" s="506" t="n"/>
      <c r="C834" s="141" t="n"/>
      <c r="D834" s="141" t="n"/>
      <c r="E834" s="141" t="n"/>
      <c r="F834" s="141" t="n"/>
      <c r="G834" s="143" t="n"/>
      <c r="H834" s="27" t="n"/>
    </row>
    <row r="835" ht="17.25" customHeight="1" s="322">
      <c r="A835" s="27" t="n"/>
      <c r="B835" s="506" t="n"/>
      <c r="C835" s="141" t="n"/>
      <c r="D835" s="141" t="n"/>
      <c r="E835" s="141" t="n"/>
      <c r="F835" s="141" t="n"/>
      <c r="G835" s="143" t="n"/>
      <c r="H835" s="27" t="n"/>
    </row>
    <row r="836" ht="17.25" customHeight="1" s="322">
      <c r="A836" s="27" t="n"/>
      <c r="B836" s="506" t="n"/>
      <c r="C836" s="141" t="n"/>
      <c r="D836" s="141" t="n"/>
      <c r="E836" s="141" t="n"/>
      <c r="F836" s="141" t="n"/>
      <c r="G836" s="143" t="n"/>
      <c r="H836" s="27" t="n"/>
    </row>
    <row r="837" ht="17.25" customHeight="1" s="322">
      <c r="A837" s="27" t="n"/>
      <c r="B837" s="506" t="n"/>
      <c r="C837" s="141" t="n"/>
      <c r="D837" s="141" t="n"/>
      <c r="E837" s="141" t="n"/>
      <c r="F837" s="141" t="n"/>
      <c r="G837" s="143" t="n"/>
      <c r="H837" s="27" t="n"/>
    </row>
    <row r="838" ht="17.25" customHeight="1" s="322">
      <c r="A838" s="27" t="n"/>
      <c r="B838" s="506" t="n"/>
      <c r="C838" s="141" t="n"/>
      <c r="D838" s="141" t="n"/>
      <c r="E838" s="141" t="n"/>
      <c r="F838" s="141" t="n"/>
      <c r="G838" s="143" t="n"/>
      <c r="H838" s="27" t="n"/>
    </row>
    <row r="839" ht="17.25" customHeight="1" s="322">
      <c r="A839" s="27" t="n"/>
      <c r="B839" s="506" t="n"/>
      <c r="C839" s="141" t="n"/>
      <c r="D839" s="141" t="n"/>
      <c r="E839" s="141" t="n"/>
      <c r="F839" s="141" t="n"/>
      <c r="G839" s="143" t="n"/>
      <c r="H839" s="27" t="n"/>
    </row>
    <row r="840" ht="17.25" customHeight="1" s="322">
      <c r="A840" s="27" t="n"/>
      <c r="B840" s="506" t="n"/>
      <c r="C840" s="141" t="n"/>
      <c r="D840" s="141" t="n"/>
      <c r="E840" s="141" t="n"/>
      <c r="F840" s="141" t="n"/>
      <c r="G840" s="143" t="n"/>
      <c r="H840" s="27" t="n"/>
    </row>
    <row r="841" ht="17.25" customHeight="1" s="322">
      <c r="A841" s="27" t="n"/>
      <c r="B841" s="506" t="n"/>
      <c r="C841" s="141" t="n"/>
      <c r="D841" s="141" t="n"/>
      <c r="E841" s="141" t="n"/>
      <c r="F841" s="141" t="n"/>
      <c r="G841" s="143" t="n"/>
      <c r="H841" s="27" t="n"/>
    </row>
    <row r="842" ht="17.25" customHeight="1" s="322">
      <c r="A842" s="27" t="n"/>
      <c r="B842" s="506" t="n"/>
      <c r="C842" s="141" t="n"/>
      <c r="D842" s="141" t="n"/>
      <c r="E842" s="141" t="n"/>
      <c r="F842" s="141" t="n"/>
      <c r="G842" s="143" t="n"/>
      <c r="H842" s="27" t="n"/>
    </row>
    <row r="843" ht="17.25" customHeight="1" s="322">
      <c r="A843" s="27" t="n"/>
      <c r="B843" s="506" t="n"/>
      <c r="C843" s="141" t="n"/>
      <c r="D843" s="141" t="n"/>
      <c r="E843" s="141" t="n"/>
      <c r="F843" s="141" t="n"/>
      <c r="G843" s="143" t="n"/>
      <c r="H843" s="27" t="n"/>
    </row>
    <row r="844" ht="17.25" customHeight="1" s="322">
      <c r="A844" s="27" t="n"/>
      <c r="B844" s="506" t="n"/>
      <c r="C844" s="141" t="n"/>
      <c r="D844" s="141" t="n"/>
      <c r="E844" s="141" t="n"/>
      <c r="F844" s="141" t="n"/>
      <c r="G844" s="143" t="n"/>
      <c r="H844" s="27" t="n"/>
    </row>
    <row r="845" ht="17.25" customHeight="1" s="322">
      <c r="A845" s="27" t="n"/>
      <c r="B845" s="506" t="n"/>
      <c r="C845" s="141" t="n"/>
      <c r="D845" s="141" t="n"/>
      <c r="E845" s="141" t="n"/>
      <c r="F845" s="141" t="n"/>
      <c r="G845" s="143" t="n"/>
      <c r="H845" s="27" t="n"/>
    </row>
    <row r="846" ht="17.25" customHeight="1" s="322">
      <c r="A846" s="27" t="n"/>
      <c r="B846" s="506" t="n"/>
      <c r="C846" s="141" t="n"/>
      <c r="D846" s="141" t="n"/>
      <c r="E846" s="141" t="n"/>
      <c r="F846" s="141" t="n"/>
      <c r="G846" s="143" t="n"/>
      <c r="H846" s="27" t="n"/>
    </row>
    <row r="847" ht="17.25" customHeight="1" s="322">
      <c r="A847" s="27" t="n"/>
      <c r="B847" s="506" t="n"/>
      <c r="C847" s="141" t="n"/>
      <c r="D847" s="141" t="n"/>
      <c r="E847" s="141" t="n"/>
      <c r="F847" s="141" t="n"/>
      <c r="G847" s="143" t="n"/>
      <c r="H847" s="27" t="n"/>
    </row>
    <row r="848" ht="17.25" customHeight="1" s="322">
      <c r="A848" s="27" t="n"/>
      <c r="B848" s="506" t="n"/>
      <c r="C848" s="141" t="n"/>
      <c r="D848" s="141" t="n"/>
      <c r="E848" s="141" t="n"/>
      <c r="F848" s="141" t="n"/>
      <c r="G848" s="143" t="n"/>
      <c r="H848" s="27" t="n"/>
    </row>
    <row r="849" ht="17.25" customHeight="1" s="322">
      <c r="A849" s="27" t="n"/>
      <c r="B849" s="506" t="n"/>
      <c r="C849" s="141" t="n"/>
      <c r="D849" s="141" t="n"/>
      <c r="E849" s="141" t="n"/>
      <c r="F849" s="141" t="n"/>
      <c r="G849" s="143" t="n"/>
      <c r="H849" s="27" t="n"/>
    </row>
    <row r="850" ht="17.25" customHeight="1" s="322">
      <c r="A850" s="27" t="n"/>
      <c r="B850" s="506" t="n"/>
      <c r="C850" s="141" t="n"/>
      <c r="D850" s="141" t="n"/>
      <c r="E850" s="141" t="n"/>
      <c r="F850" s="141" t="n"/>
      <c r="G850" s="143" t="n"/>
      <c r="H850" s="27" t="n"/>
    </row>
    <row r="851" ht="17.25" customHeight="1" s="322">
      <c r="A851" s="27" t="n"/>
      <c r="B851" s="506" t="n"/>
      <c r="C851" s="141" t="n"/>
      <c r="D851" s="141" t="n"/>
      <c r="E851" s="141" t="n"/>
      <c r="F851" s="141" t="n"/>
      <c r="G851" s="143" t="n"/>
      <c r="H851" s="27" t="n"/>
    </row>
    <row r="852" ht="17.25" customHeight="1" s="322">
      <c r="A852" s="27" t="n"/>
      <c r="B852" s="506" t="n"/>
      <c r="C852" s="141" t="n"/>
      <c r="D852" s="141" t="n"/>
      <c r="E852" s="141" t="n"/>
      <c r="F852" s="141" t="n"/>
      <c r="G852" s="143" t="n"/>
      <c r="H852" s="27" t="n"/>
    </row>
    <row r="853" ht="17.25" customHeight="1" s="322">
      <c r="A853" s="27" t="n"/>
      <c r="B853" s="506" t="n"/>
      <c r="C853" s="141" t="n"/>
      <c r="D853" s="141" t="n"/>
      <c r="E853" s="141" t="n"/>
      <c r="F853" s="141" t="n"/>
      <c r="G853" s="143" t="n"/>
      <c r="H853" s="27" t="n"/>
    </row>
    <row r="854" ht="17.25" customHeight="1" s="322">
      <c r="A854" s="27" t="n"/>
      <c r="B854" s="506" t="n"/>
      <c r="C854" s="141" t="n"/>
      <c r="D854" s="141" t="n"/>
      <c r="E854" s="141" t="n"/>
      <c r="F854" s="141" t="n"/>
      <c r="G854" s="143" t="n"/>
      <c r="H854" s="27" t="n"/>
    </row>
    <row r="855" ht="17.25" customHeight="1" s="322">
      <c r="A855" s="27" t="n"/>
      <c r="B855" s="506" t="n"/>
      <c r="C855" s="141" t="n"/>
      <c r="D855" s="141" t="n"/>
      <c r="E855" s="141" t="n"/>
      <c r="F855" s="141" t="n"/>
      <c r="G855" s="143" t="n"/>
      <c r="H855" s="27" t="n"/>
    </row>
    <row r="856" ht="17.25" customHeight="1" s="322">
      <c r="A856" s="27" t="n"/>
      <c r="B856" s="506" t="n"/>
      <c r="C856" s="141" t="n"/>
      <c r="D856" s="141" t="n"/>
      <c r="E856" s="141" t="n"/>
      <c r="F856" s="141" t="n"/>
      <c r="G856" s="143" t="n"/>
      <c r="H856" s="27" t="n"/>
    </row>
    <row r="857" ht="17.25" customHeight="1" s="322">
      <c r="A857" s="27" t="n"/>
      <c r="B857" s="506" t="n"/>
      <c r="C857" s="141" t="n"/>
      <c r="D857" s="141" t="n"/>
      <c r="E857" s="141" t="n"/>
      <c r="F857" s="141" t="n"/>
      <c r="G857" s="143" t="n"/>
      <c r="H857" s="27" t="n"/>
    </row>
    <row r="858" ht="17.25" customHeight="1" s="322">
      <c r="A858" s="27" t="n"/>
      <c r="B858" s="506" t="n"/>
      <c r="C858" s="141" t="n"/>
      <c r="D858" s="141" t="n"/>
      <c r="E858" s="141" t="n"/>
      <c r="F858" s="141" t="n"/>
      <c r="G858" s="143" t="n"/>
      <c r="H858" s="27" t="n"/>
    </row>
    <row r="859" ht="17.25" customHeight="1" s="322">
      <c r="A859" s="27" t="n"/>
      <c r="B859" s="506" t="n"/>
      <c r="C859" s="141" t="n"/>
      <c r="D859" s="141" t="n"/>
      <c r="E859" s="141" t="n"/>
      <c r="F859" s="141" t="n"/>
      <c r="G859" s="143" t="n"/>
      <c r="H859" s="27" t="n"/>
    </row>
    <row r="860" ht="17.25" customHeight="1" s="322">
      <c r="A860" s="27" t="n"/>
      <c r="B860" s="506" t="n"/>
      <c r="C860" s="141" t="n"/>
      <c r="D860" s="141" t="n"/>
      <c r="E860" s="141" t="n"/>
      <c r="F860" s="141" t="n"/>
      <c r="G860" s="143" t="n"/>
      <c r="H860" s="27" t="n"/>
    </row>
    <row r="861" ht="17.25" customHeight="1" s="322">
      <c r="A861" s="27" t="n"/>
      <c r="B861" s="506" t="n"/>
      <c r="C861" s="141" t="n"/>
      <c r="D861" s="141" t="n"/>
      <c r="E861" s="141" t="n"/>
      <c r="F861" s="141" t="n"/>
      <c r="G861" s="143" t="n"/>
      <c r="H861" s="27" t="n"/>
    </row>
    <row r="862" ht="17.25" customHeight="1" s="322">
      <c r="A862" s="27" t="n"/>
      <c r="B862" s="506" t="n"/>
      <c r="C862" s="141" t="n"/>
      <c r="D862" s="141" t="n"/>
      <c r="E862" s="141" t="n"/>
      <c r="F862" s="141" t="n"/>
      <c r="G862" s="143" t="n"/>
      <c r="H862" s="27" t="n"/>
    </row>
    <row r="863" ht="17.25" customHeight="1" s="322">
      <c r="A863" s="27" t="n"/>
      <c r="B863" s="506" t="n"/>
      <c r="C863" s="141" t="n"/>
      <c r="D863" s="141" t="n"/>
      <c r="E863" s="141" t="n"/>
      <c r="F863" s="141" t="n"/>
      <c r="G863" s="143" t="n"/>
      <c r="H863" s="27" t="n"/>
    </row>
    <row r="864" ht="17.25" customHeight="1" s="322">
      <c r="A864" s="27" t="n"/>
      <c r="B864" s="506" t="n"/>
      <c r="C864" s="141" t="n"/>
      <c r="D864" s="141" t="n"/>
      <c r="E864" s="141" t="n"/>
      <c r="F864" s="141" t="n"/>
      <c r="G864" s="143" t="n"/>
      <c r="H864" s="27" t="n"/>
    </row>
    <row r="865" ht="17.25" customHeight="1" s="322">
      <c r="A865" s="27" t="n"/>
      <c r="B865" s="506" t="n"/>
      <c r="C865" s="141" t="n"/>
      <c r="D865" s="141" t="n"/>
      <c r="E865" s="141" t="n"/>
      <c r="F865" s="141" t="n"/>
      <c r="G865" s="143" t="n"/>
      <c r="H865" s="27" t="n"/>
    </row>
    <row r="866" ht="17.25" customHeight="1" s="322">
      <c r="A866" s="27" t="n"/>
      <c r="B866" s="506" t="n"/>
      <c r="C866" s="141" t="n"/>
      <c r="D866" s="141" t="n"/>
      <c r="E866" s="141" t="n"/>
      <c r="F866" s="141" t="n"/>
      <c r="G866" s="143" t="n"/>
      <c r="H866" s="27" t="n"/>
    </row>
    <row r="867" ht="17.25" customHeight="1" s="322">
      <c r="A867" s="27" t="n"/>
      <c r="B867" s="506" t="n"/>
      <c r="C867" s="141" t="n"/>
      <c r="D867" s="141" t="n"/>
      <c r="E867" s="141" t="n"/>
      <c r="F867" s="141" t="n"/>
      <c r="G867" s="143" t="n"/>
      <c r="H867" s="27" t="n"/>
    </row>
    <row r="868" ht="17.25" customHeight="1" s="322">
      <c r="A868" s="27" t="n"/>
      <c r="B868" s="506" t="n"/>
      <c r="C868" s="141" t="n"/>
      <c r="D868" s="141" t="n"/>
      <c r="E868" s="141" t="n"/>
      <c r="F868" s="141" t="n"/>
      <c r="G868" s="143" t="n"/>
      <c r="H868" s="27" t="n"/>
    </row>
    <row r="869" ht="17.25" customHeight="1" s="322">
      <c r="A869" s="27" t="n"/>
      <c r="B869" s="506" t="n"/>
      <c r="C869" s="141" t="n"/>
      <c r="D869" s="141" t="n"/>
      <c r="E869" s="141" t="n"/>
      <c r="F869" s="141" t="n"/>
      <c r="G869" s="143" t="n"/>
      <c r="H869" s="27" t="n"/>
    </row>
    <row r="870" ht="17.25" customHeight="1" s="322">
      <c r="A870" s="27" t="n"/>
      <c r="B870" s="506" t="n"/>
      <c r="C870" s="141" t="n"/>
      <c r="D870" s="141" t="n"/>
      <c r="E870" s="141" t="n"/>
      <c r="F870" s="141" t="n"/>
      <c r="G870" s="143" t="n"/>
      <c r="H870" s="27" t="n"/>
    </row>
    <row r="871" ht="17.25" customHeight="1" s="322">
      <c r="A871" s="27" t="n"/>
      <c r="B871" s="506" t="n"/>
      <c r="C871" s="141" t="n"/>
      <c r="D871" s="141" t="n"/>
      <c r="E871" s="141" t="n"/>
      <c r="F871" s="141" t="n"/>
      <c r="G871" s="143" t="n"/>
      <c r="H871" s="27" t="n"/>
    </row>
    <row r="872" ht="17.25" customHeight="1" s="322">
      <c r="A872" s="27" t="n"/>
      <c r="B872" s="506" t="n"/>
      <c r="C872" s="141" t="n"/>
      <c r="D872" s="141" t="n"/>
      <c r="E872" s="141" t="n"/>
      <c r="F872" s="141" t="n"/>
      <c r="G872" s="143" t="n"/>
      <c r="H872" s="27" t="n"/>
    </row>
    <row r="873" ht="17.25" customHeight="1" s="322">
      <c r="A873" s="27" t="n"/>
      <c r="B873" s="506" t="n"/>
      <c r="C873" s="141" t="n"/>
      <c r="D873" s="141" t="n"/>
      <c r="E873" s="141" t="n"/>
      <c r="F873" s="141" t="n"/>
      <c r="G873" s="143" t="n"/>
      <c r="H873" s="27" t="n"/>
    </row>
    <row r="874" ht="17.25" customHeight="1" s="322">
      <c r="A874" s="27" t="n"/>
      <c r="B874" s="506" t="n"/>
      <c r="C874" s="141" t="n"/>
      <c r="D874" s="141" t="n"/>
      <c r="E874" s="141" t="n"/>
      <c r="F874" s="141" t="n"/>
      <c r="G874" s="143" t="n"/>
      <c r="H874" s="27" t="n"/>
    </row>
    <row r="875" ht="17.25" customHeight="1" s="322">
      <c r="A875" s="27" t="n"/>
      <c r="B875" s="506" t="n"/>
      <c r="C875" s="141" t="n"/>
      <c r="D875" s="141" t="n"/>
      <c r="E875" s="141" t="n"/>
      <c r="F875" s="141" t="n"/>
      <c r="G875" s="143" t="n"/>
      <c r="H875" s="27" t="n"/>
    </row>
    <row r="876" ht="17.25" customHeight="1" s="322">
      <c r="A876" s="27" t="n"/>
      <c r="B876" s="506" t="n"/>
      <c r="C876" s="141" t="n"/>
      <c r="D876" s="141" t="n"/>
      <c r="E876" s="141" t="n"/>
      <c r="F876" s="141" t="n"/>
      <c r="G876" s="143" t="n"/>
      <c r="H876" s="27" t="n"/>
    </row>
    <row r="877" ht="17.25" customHeight="1" s="322">
      <c r="A877" s="27" t="n"/>
      <c r="B877" s="506" t="n"/>
      <c r="C877" s="141" t="n"/>
      <c r="D877" s="141" t="n"/>
      <c r="E877" s="141" t="n"/>
      <c r="F877" s="141" t="n"/>
      <c r="G877" s="143" t="n"/>
      <c r="H877" s="27" t="n"/>
    </row>
    <row r="878" ht="17.25" customHeight="1" s="322">
      <c r="A878" s="27" t="n"/>
      <c r="B878" s="506" t="n"/>
      <c r="C878" s="141" t="n"/>
      <c r="D878" s="141" t="n"/>
      <c r="E878" s="141" t="n"/>
      <c r="F878" s="141" t="n"/>
      <c r="G878" s="143" t="n"/>
      <c r="H878" s="27" t="n"/>
    </row>
    <row r="879" ht="17.25" customHeight="1" s="322">
      <c r="A879" s="27" t="n"/>
      <c r="B879" s="506" t="n"/>
      <c r="C879" s="141" t="n"/>
      <c r="D879" s="141" t="n"/>
      <c r="E879" s="141" t="n"/>
      <c r="F879" s="141" t="n"/>
      <c r="G879" s="143" t="n"/>
      <c r="H879" s="27" t="n"/>
    </row>
    <row r="880" ht="17.25" customHeight="1" s="322">
      <c r="A880" s="27" t="n"/>
      <c r="B880" s="506" t="n"/>
      <c r="C880" s="141" t="n"/>
      <c r="D880" s="141" t="n"/>
      <c r="E880" s="141" t="n"/>
      <c r="F880" s="141" t="n"/>
      <c r="G880" s="143" t="n"/>
      <c r="H880" s="27" t="n"/>
    </row>
    <row r="881" ht="17.25" customHeight="1" s="322">
      <c r="A881" s="27" t="n"/>
      <c r="B881" s="506" t="n"/>
      <c r="C881" s="141" t="n"/>
      <c r="D881" s="141" t="n"/>
      <c r="E881" s="141" t="n"/>
      <c r="F881" s="141" t="n"/>
      <c r="G881" s="143" t="n"/>
      <c r="H881" s="27" t="n"/>
    </row>
    <row r="882" ht="17.25" customHeight="1" s="322">
      <c r="A882" s="27" t="n"/>
      <c r="B882" s="506" t="n"/>
      <c r="C882" s="141" t="n"/>
      <c r="D882" s="141" t="n"/>
      <c r="E882" s="141" t="n"/>
      <c r="F882" s="141" t="n"/>
      <c r="G882" s="143" t="n"/>
      <c r="H882" s="27" t="n"/>
    </row>
    <row r="883" ht="17.25" customHeight="1" s="322">
      <c r="A883" s="27" t="n"/>
      <c r="B883" s="506" t="n"/>
      <c r="C883" s="141" t="n"/>
      <c r="D883" s="141" t="n"/>
      <c r="E883" s="141" t="n"/>
      <c r="F883" s="141" t="n"/>
      <c r="G883" s="143" t="n"/>
      <c r="H883" s="27" t="n"/>
    </row>
    <row r="884" ht="17.25" customHeight="1" s="322">
      <c r="A884" s="27" t="n"/>
      <c r="B884" s="506" t="n"/>
      <c r="C884" s="141" t="n"/>
      <c r="D884" s="141" t="n"/>
      <c r="E884" s="141" t="n"/>
      <c r="F884" s="141" t="n"/>
      <c r="G884" s="143" t="n"/>
      <c r="H884" s="27" t="n"/>
    </row>
    <row r="885" ht="17.25" customHeight="1" s="322">
      <c r="A885" s="27" t="n"/>
      <c r="B885" s="506" t="n"/>
      <c r="C885" s="141" t="n"/>
      <c r="D885" s="141" t="n"/>
      <c r="E885" s="141" t="n"/>
      <c r="F885" s="141" t="n"/>
      <c r="G885" s="143" t="n"/>
      <c r="H885" s="27" t="n"/>
    </row>
    <row r="886" ht="17.25" customHeight="1" s="322">
      <c r="A886" s="27" t="n"/>
      <c r="B886" s="506" t="n"/>
      <c r="C886" s="141" t="n"/>
      <c r="D886" s="141" t="n"/>
      <c r="E886" s="141" t="n"/>
      <c r="F886" s="141" t="n"/>
      <c r="G886" s="143" t="n"/>
      <c r="H886" s="27" t="n"/>
    </row>
    <row r="887" ht="17.25" customHeight="1" s="322">
      <c r="A887" s="27" t="n"/>
      <c r="B887" s="506" t="n"/>
      <c r="C887" s="141" t="n"/>
      <c r="D887" s="141" t="n"/>
      <c r="E887" s="141" t="n"/>
      <c r="F887" s="141" t="n"/>
      <c r="G887" s="143" t="n"/>
      <c r="H887" s="27" t="n"/>
    </row>
    <row r="888" ht="17.25" customHeight="1" s="322">
      <c r="A888" s="27" t="n"/>
      <c r="B888" s="506" t="n"/>
      <c r="C888" s="141" t="n"/>
      <c r="D888" s="141" t="n"/>
      <c r="E888" s="141" t="n"/>
      <c r="F888" s="141" t="n"/>
      <c r="G888" s="143" t="n"/>
      <c r="H888" s="27" t="n"/>
    </row>
    <row r="889" ht="17.25" customHeight="1" s="322">
      <c r="A889" s="27" t="n"/>
      <c r="B889" s="506" t="n"/>
      <c r="C889" s="141" t="n"/>
      <c r="D889" s="141" t="n"/>
      <c r="E889" s="141" t="n"/>
      <c r="F889" s="141" t="n"/>
      <c r="G889" s="143" t="n"/>
      <c r="H889" s="27" t="n"/>
    </row>
    <row r="890" ht="17.25" customHeight="1" s="322">
      <c r="A890" s="27" t="n"/>
      <c r="B890" s="506" t="n"/>
      <c r="C890" s="141" t="n"/>
      <c r="D890" s="141" t="n"/>
      <c r="E890" s="141" t="n"/>
      <c r="F890" s="141" t="n"/>
      <c r="G890" s="143" t="n"/>
      <c r="H890" s="27" t="n"/>
    </row>
    <row r="891" ht="17.25" customHeight="1" s="322">
      <c r="A891" s="27" t="n"/>
      <c r="B891" s="506" t="n"/>
      <c r="C891" s="141" t="n"/>
      <c r="D891" s="141" t="n"/>
      <c r="E891" s="141" t="n"/>
      <c r="F891" s="141" t="n"/>
      <c r="G891" s="143" t="n"/>
      <c r="H891" s="27" t="n"/>
    </row>
    <row r="892" ht="17.25" customHeight="1" s="322">
      <c r="A892" s="27" t="n"/>
      <c r="B892" s="506" t="n"/>
      <c r="C892" s="141" t="n"/>
      <c r="D892" s="141" t="n"/>
      <c r="E892" s="141" t="n"/>
      <c r="F892" s="141" t="n"/>
      <c r="G892" s="143" t="n"/>
      <c r="H892" s="27" t="n"/>
    </row>
    <row r="893" ht="17.25" customHeight="1" s="322">
      <c r="A893" s="27" t="n"/>
      <c r="B893" s="506" t="n"/>
      <c r="C893" s="141" t="n"/>
      <c r="D893" s="141" t="n"/>
      <c r="E893" s="141" t="n"/>
      <c r="F893" s="141" t="n"/>
      <c r="G893" s="143" t="n"/>
      <c r="H893" s="27" t="n"/>
    </row>
    <row r="894" ht="17.25" customHeight="1" s="322">
      <c r="A894" s="27" t="n"/>
      <c r="B894" s="506" t="n"/>
      <c r="C894" s="141" t="n"/>
      <c r="D894" s="141" t="n"/>
      <c r="E894" s="141" t="n"/>
      <c r="F894" s="141" t="n"/>
      <c r="G894" s="143" t="n"/>
      <c r="H894" s="27" t="n"/>
    </row>
    <row r="895" ht="17.25" customHeight="1" s="322">
      <c r="A895" s="27" t="n"/>
      <c r="B895" s="506" t="n"/>
      <c r="C895" s="141" t="n"/>
      <c r="D895" s="141" t="n"/>
      <c r="E895" s="141" t="n"/>
      <c r="F895" s="141" t="n"/>
      <c r="G895" s="143" t="n"/>
      <c r="H895" s="27" t="n"/>
    </row>
    <row r="896" ht="17.25" customHeight="1" s="322">
      <c r="A896" s="27" t="n"/>
      <c r="B896" s="506" t="n"/>
      <c r="C896" s="141" t="n"/>
      <c r="D896" s="141" t="n"/>
      <c r="E896" s="141" t="n"/>
      <c r="F896" s="141" t="n"/>
      <c r="G896" s="143" t="n"/>
      <c r="H896" s="27" t="n"/>
    </row>
    <row r="897" ht="17.25" customHeight="1" s="322">
      <c r="A897" s="27" t="n"/>
      <c r="B897" s="506" t="n"/>
      <c r="C897" s="141" t="n"/>
      <c r="D897" s="141" t="n"/>
      <c r="E897" s="141" t="n"/>
      <c r="F897" s="141" t="n"/>
      <c r="G897" s="143" t="n"/>
      <c r="H897" s="27" t="n"/>
    </row>
    <row r="898" ht="17.25" customHeight="1" s="322">
      <c r="A898" s="27" t="n"/>
      <c r="B898" s="506" t="n"/>
      <c r="C898" s="141" t="n"/>
      <c r="D898" s="141" t="n"/>
      <c r="E898" s="141" t="n"/>
      <c r="F898" s="141" t="n"/>
      <c r="G898" s="143" t="n"/>
      <c r="H898" s="27" t="n"/>
    </row>
    <row r="899" ht="17.25" customHeight="1" s="322">
      <c r="A899" s="27" t="n"/>
      <c r="B899" s="506" t="n"/>
      <c r="C899" s="141" t="n"/>
      <c r="D899" s="141" t="n"/>
      <c r="E899" s="141" t="n"/>
      <c r="F899" s="141" t="n"/>
      <c r="G899" s="143" t="n"/>
      <c r="H899" s="27" t="n"/>
    </row>
    <row r="900" ht="17.25" customHeight="1" s="322">
      <c r="A900" s="27" t="n"/>
      <c r="B900" s="506" t="n"/>
      <c r="C900" s="141" t="n"/>
      <c r="D900" s="141" t="n"/>
      <c r="E900" s="141" t="n"/>
      <c r="F900" s="141" t="n"/>
      <c r="G900" s="143" t="n"/>
      <c r="H900" s="27" t="n"/>
    </row>
    <row r="901" ht="17.25" customHeight="1" s="322">
      <c r="A901" s="27" t="n"/>
      <c r="B901" s="506" t="n"/>
      <c r="C901" s="141" t="n"/>
      <c r="D901" s="141" t="n"/>
      <c r="E901" s="141" t="n"/>
      <c r="F901" s="141" t="n"/>
      <c r="G901" s="143" t="n"/>
      <c r="H901" s="27" t="n"/>
    </row>
    <row r="902" ht="17.25" customHeight="1" s="322">
      <c r="A902" s="27" t="n"/>
      <c r="B902" s="506" t="n"/>
      <c r="C902" s="141" t="n"/>
      <c r="D902" s="141" t="n"/>
      <c r="E902" s="141" t="n"/>
      <c r="F902" s="141" t="n"/>
      <c r="G902" s="143" t="n"/>
      <c r="H902" s="27" t="n"/>
    </row>
    <row r="903" ht="17.25" customHeight="1" s="322">
      <c r="A903" s="27" t="n"/>
      <c r="B903" s="506" t="n"/>
      <c r="C903" s="141" t="n"/>
      <c r="D903" s="141" t="n"/>
      <c r="E903" s="141" t="n"/>
      <c r="F903" s="141" t="n"/>
      <c r="G903" s="143" t="n"/>
      <c r="H903" s="27" t="n"/>
    </row>
    <row r="904" ht="17.25" customHeight="1" s="322">
      <c r="A904" s="27" t="n"/>
      <c r="B904" s="506" t="n"/>
      <c r="C904" s="141" t="n"/>
      <c r="D904" s="141" t="n"/>
      <c r="E904" s="141" t="n"/>
      <c r="F904" s="141" t="n"/>
      <c r="G904" s="143" t="n"/>
      <c r="H904" s="27" t="n"/>
    </row>
    <row r="905" ht="17.25" customHeight="1" s="322">
      <c r="A905" s="27" t="n"/>
      <c r="B905" s="506" t="n"/>
      <c r="C905" s="141" t="n"/>
      <c r="D905" s="141" t="n"/>
      <c r="E905" s="141" t="n"/>
      <c r="F905" s="141" t="n"/>
      <c r="G905" s="143" t="n"/>
      <c r="H905" s="27" t="n"/>
    </row>
    <row r="906" ht="17.25" customHeight="1" s="322">
      <c r="A906" s="27" t="n"/>
      <c r="B906" s="506" t="n"/>
      <c r="C906" s="141" t="n"/>
      <c r="D906" s="141" t="n"/>
      <c r="E906" s="141" t="n"/>
      <c r="F906" s="141" t="n"/>
      <c r="G906" s="143" t="n"/>
      <c r="H906" s="27" t="n"/>
    </row>
    <row r="907" ht="17.25" customHeight="1" s="322">
      <c r="A907" s="27" t="n"/>
      <c r="B907" s="506" t="n"/>
      <c r="C907" s="141" t="n"/>
      <c r="D907" s="141" t="n"/>
      <c r="E907" s="141" t="n"/>
      <c r="F907" s="141" t="n"/>
      <c r="G907" s="143" t="n"/>
      <c r="H907" s="27" t="n"/>
    </row>
    <row r="908" ht="17.25" customHeight="1" s="322">
      <c r="A908" s="27" t="n"/>
      <c r="B908" s="506" t="n"/>
      <c r="C908" s="141" t="n"/>
      <c r="D908" s="141" t="n"/>
      <c r="E908" s="141" t="n"/>
      <c r="F908" s="141" t="n"/>
      <c r="G908" s="143" t="n"/>
      <c r="H908" s="27" t="n"/>
    </row>
    <row r="909" ht="17.25" customHeight="1" s="322">
      <c r="A909" s="27" t="n"/>
      <c r="B909" s="506" t="n"/>
      <c r="C909" s="141" t="n"/>
      <c r="D909" s="141" t="n"/>
      <c r="E909" s="141" t="n"/>
      <c r="F909" s="141" t="n"/>
      <c r="G909" s="143" t="n"/>
      <c r="H909" s="27" t="n"/>
    </row>
    <row r="910" ht="17.25" customHeight="1" s="322">
      <c r="A910" s="27" t="n"/>
      <c r="B910" s="506" t="n"/>
      <c r="C910" s="141" t="n"/>
      <c r="D910" s="141" t="n"/>
      <c r="E910" s="141" t="n"/>
      <c r="F910" s="141" t="n"/>
      <c r="G910" s="143" t="n"/>
      <c r="H910" s="27" t="n"/>
    </row>
    <row r="911" ht="17.25" customHeight="1" s="322">
      <c r="A911" s="27" t="n"/>
      <c r="B911" s="506" t="n"/>
      <c r="C911" s="141" t="n"/>
      <c r="D911" s="141" t="n"/>
      <c r="E911" s="141" t="n"/>
      <c r="F911" s="141" t="n"/>
      <c r="G911" s="143" t="n"/>
      <c r="H911" s="27" t="n"/>
    </row>
    <row r="912" ht="17.25" customHeight="1" s="322">
      <c r="A912" s="27" t="n"/>
      <c r="B912" s="506" t="n"/>
      <c r="C912" s="141" t="n"/>
      <c r="D912" s="141" t="n"/>
      <c r="E912" s="141" t="n"/>
      <c r="F912" s="141" t="n"/>
      <c r="G912" s="143" t="n"/>
      <c r="H912" s="27" t="n"/>
    </row>
    <row r="913" ht="17.25" customHeight="1" s="322">
      <c r="A913" s="27" t="n"/>
      <c r="B913" s="506" t="n"/>
      <c r="C913" s="141" t="n"/>
      <c r="D913" s="141" t="n"/>
      <c r="E913" s="141" t="n"/>
      <c r="F913" s="141" t="n"/>
      <c r="G913" s="143" t="n"/>
      <c r="H913" s="27" t="n"/>
    </row>
    <row r="914" ht="17.25" customHeight="1" s="322">
      <c r="A914" s="27" t="n"/>
      <c r="B914" s="506" t="n"/>
      <c r="C914" s="141" t="n"/>
      <c r="D914" s="141" t="n"/>
      <c r="E914" s="141" t="n"/>
      <c r="F914" s="141" t="n"/>
      <c r="G914" s="143" t="n"/>
      <c r="H914" s="27" t="n"/>
    </row>
    <row r="915" ht="17.25" customHeight="1" s="322">
      <c r="A915" s="27" t="n"/>
      <c r="B915" s="506" t="n"/>
      <c r="C915" s="141" t="n"/>
      <c r="D915" s="141" t="n"/>
      <c r="E915" s="141" t="n"/>
      <c r="F915" s="141" t="n"/>
      <c r="G915" s="143" t="n"/>
      <c r="H915" s="27" t="n"/>
    </row>
    <row r="916" ht="17.25" customHeight="1" s="322">
      <c r="A916" s="27" t="n"/>
      <c r="B916" s="506" t="n"/>
      <c r="C916" s="141" t="n"/>
      <c r="D916" s="141" t="n"/>
      <c r="E916" s="141" t="n"/>
      <c r="F916" s="141" t="n"/>
      <c r="G916" s="143" t="n"/>
      <c r="H916" s="27" t="n"/>
    </row>
    <row r="917" ht="17.25" customHeight="1" s="322">
      <c r="A917" s="27" t="n"/>
      <c r="B917" s="506" t="n"/>
      <c r="C917" s="141" t="n"/>
      <c r="D917" s="141" t="n"/>
      <c r="E917" s="141" t="n"/>
      <c r="F917" s="141" t="n"/>
      <c r="G917" s="143" t="n"/>
      <c r="H917" s="27" t="n"/>
    </row>
    <row r="918" ht="17.25" customHeight="1" s="322">
      <c r="A918" s="27" t="n"/>
      <c r="B918" s="506" t="n"/>
      <c r="C918" s="141" t="n"/>
      <c r="D918" s="141" t="n"/>
      <c r="E918" s="141" t="n"/>
      <c r="F918" s="141" t="n"/>
      <c r="G918" s="143" t="n"/>
      <c r="H918" s="27" t="n"/>
    </row>
    <row r="919" ht="17.25" customHeight="1" s="322">
      <c r="A919" s="27" t="n"/>
      <c r="B919" s="506" t="n"/>
      <c r="C919" s="141" t="n"/>
      <c r="D919" s="141" t="n"/>
      <c r="E919" s="141" t="n"/>
      <c r="F919" s="141" t="n"/>
      <c r="G919" s="143" t="n"/>
      <c r="H919" s="27" t="n"/>
    </row>
    <row r="920" ht="17.25" customHeight="1" s="322">
      <c r="A920" s="27" t="n"/>
      <c r="B920" s="506" t="n"/>
      <c r="C920" s="141" t="n"/>
      <c r="D920" s="141" t="n"/>
      <c r="E920" s="141" t="n"/>
      <c r="F920" s="141" t="n"/>
      <c r="G920" s="143" t="n"/>
      <c r="H920" s="27" t="n"/>
    </row>
    <row r="921" ht="17.25" customHeight="1" s="322">
      <c r="A921" s="27" t="n"/>
      <c r="B921" s="506" t="n"/>
      <c r="C921" s="141" t="n"/>
      <c r="D921" s="141" t="n"/>
      <c r="E921" s="141" t="n"/>
      <c r="F921" s="141" t="n"/>
      <c r="G921" s="143" t="n"/>
      <c r="H921" s="27" t="n"/>
    </row>
    <row r="922" ht="17.25" customHeight="1" s="322">
      <c r="A922" s="27" t="n"/>
      <c r="B922" s="506" t="n"/>
      <c r="C922" s="141" t="n"/>
      <c r="D922" s="141" t="n"/>
      <c r="E922" s="141" t="n"/>
      <c r="F922" s="141" t="n"/>
      <c r="G922" s="143" t="n"/>
      <c r="H922" s="27" t="n"/>
    </row>
    <row r="923" ht="17.25" customHeight="1" s="322">
      <c r="A923" s="27" t="n"/>
      <c r="B923" s="506" t="n"/>
      <c r="C923" s="141" t="n"/>
      <c r="D923" s="141" t="n"/>
      <c r="E923" s="141" t="n"/>
      <c r="F923" s="141" t="n"/>
      <c r="G923" s="143" t="n"/>
      <c r="H923" s="27" t="n"/>
    </row>
    <row r="924" ht="17.25" customHeight="1" s="322">
      <c r="A924" s="27" t="n"/>
      <c r="B924" s="506" t="n"/>
      <c r="C924" s="141" t="n"/>
      <c r="D924" s="141" t="n"/>
      <c r="E924" s="141" t="n"/>
      <c r="F924" s="141" t="n"/>
      <c r="G924" s="143" t="n"/>
      <c r="H924" s="27" t="n"/>
    </row>
    <row r="925" ht="17.25" customHeight="1" s="322">
      <c r="A925" s="27" t="n"/>
      <c r="B925" s="506" t="n"/>
      <c r="C925" s="141" t="n"/>
      <c r="D925" s="141" t="n"/>
      <c r="E925" s="141" t="n"/>
      <c r="F925" s="141" t="n"/>
      <c r="G925" s="143" t="n"/>
      <c r="H925" s="27" t="n"/>
    </row>
    <row r="926" ht="17.25" customHeight="1" s="322">
      <c r="A926" s="27" t="n"/>
      <c r="B926" s="506" t="n"/>
      <c r="C926" s="141" t="n"/>
      <c r="D926" s="141" t="n"/>
      <c r="E926" s="141" t="n"/>
      <c r="F926" s="141" t="n"/>
      <c r="G926" s="143" t="n"/>
      <c r="H926" s="27" t="n"/>
    </row>
    <row r="927" ht="17.25" customHeight="1" s="322">
      <c r="A927" s="27" t="n"/>
      <c r="B927" s="506" t="n"/>
      <c r="C927" s="141" t="n"/>
      <c r="D927" s="141" t="n"/>
      <c r="E927" s="141" t="n"/>
      <c r="F927" s="141" t="n"/>
      <c r="G927" s="143" t="n"/>
      <c r="H927" s="27" t="n"/>
    </row>
    <row r="928" ht="17.25" customHeight="1" s="322">
      <c r="A928" s="27" t="n"/>
      <c r="B928" s="506" t="n"/>
      <c r="C928" s="141" t="n"/>
      <c r="D928" s="141" t="n"/>
      <c r="E928" s="141" t="n"/>
      <c r="F928" s="141" t="n"/>
      <c r="G928" s="143" t="n"/>
      <c r="H928" s="27" t="n"/>
    </row>
    <row r="929" ht="17.25" customHeight="1" s="322">
      <c r="A929" s="27" t="n"/>
      <c r="B929" s="506" t="n"/>
      <c r="C929" s="141" t="n"/>
      <c r="D929" s="141" t="n"/>
      <c r="E929" s="141" t="n"/>
      <c r="F929" s="141" t="n"/>
      <c r="G929" s="143" t="n"/>
      <c r="H929" s="27" t="n"/>
    </row>
    <row r="930" ht="17.25" customHeight="1" s="322">
      <c r="A930" s="27" t="n"/>
      <c r="B930" s="506" t="n"/>
      <c r="C930" s="141" t="n"/>
      <c r="D930" s="141" t="n"/>
      <c r="E930" s="141" t="n"/>
      <c r="F930" s="141" t="n"/>
      <c r="G930" s="143" t="n"/>
      <c r="H930" s="27" t="n"/>
    </row>
    <row r="931" ht="17.25" customHeight="1" s="322">
      <c r="A931" s="27" t="n"/>
      <c r="B931" s="506" t="n"/>
      <c r="C931" s="141" t="n"/>
      <c r="D931" s="141" t="n"/>
      <c r="E931" s="141" t="n"/>
      <c r="F931" s="141" t="n"/>
      <c r="G931" s="143" t="n"/>
      <c r="H931" s="27" t="n"/>
    </row>
    <row r="932" ht="17.25" customHeight="1" s="322">
      <c r="A932" s="27" t="n"/>
      <c r="B932" s="506" t="n"/>
      <c r="C932" s="141" t="n"/>
      <c r="D932" s="141" t="n"/>
      <c r="E932" s="141" t="n"/>
      <c r="F932" s="141" t="n"/>
      <c r="G932" s="143" t="n"/>
      <c r="H932" s="27" t="n"/>
    </row>
    <row r="933" ht="17.25" customHeight="1" s="322">
      <c r="A933" s="27" t="n"/>
      <c r="B933" s="506" t="n"/>
      <c r="C933" s="141" t="n"/>
      <c r="D933" s="141" t="n"/>
      <c r="E933" s="141" t="n"/>
      <c r="F933" s="141" t="n"/>
      <c r="G933" s="143" t="n"/>
      <c r="H933" s="27" t="n"/>
    </row>
    <row r="934" ht="17.25" customHeight="1" s="322">
      <c r="A934" s="27" t="n"/>
      <c r="B934" s="506" t="n"/>
      <c r="C934" s="141" t="n"/>
      <c r="D934" s="141" t="n"/>
      <c r="E934" s="141" t="n"/>
      <c r="F934" s="141" t="n"/>
      <c r="G934" s="143" t="n"/>
      <c r="H934" s="27" t="n"/>
    </row>
    <row r="935" ht="17.25" customHeight="1" s="322">
      <c r="A935" s="27" t="n"/>
      <c r="B935" s="506" t="n"/>
      <c r="C935" s="141" t="n"/>
      <c r="D935" s="141" t="n"/>
      <c r="E935" s="141" t="n"/>
      <c r="F935" s="141" t="n"/>
      <c r="G935" s="143" t="n"/>
      <c r="H935" s="27" t="n"/>
    </row>
    <row r="936" ht="17.25" customHeight="1" s="322">
      <c r="A936" s="27" t="n"/>
      <c r="B936" s="506" t="n"/>
      <c r="C936" s="141" t="n"/>
      <c r="D936" s="141" t="n"/>
      <c r="E936" s="141" t="n"/>
      <c r="F936" s="141" t="n"/>
      <c r="G936" s="143" t="n"/>
      <c r="H936" s="27" t="n"/>
    </row>
    <row r="937" ht="17.25" customHeight="1" s="322">
      <c r="A937" s="27" t="n"/>
      <c r="B937" s="506" t="n"/>
      <c r="C937" s="141" t="n"/>
      <c r="D937" s="141" t="n"/>
      <c r="E937" s="141" t="n"/>
      <c r="F937" s="141" t="n"/>
      <c r="G937" s="143" t="n"/>
      <c r="H937" s="27" t="n"/>
    </row>
    <row r="938" ht="17.25" customHeight="1" s="322">
      <c r="A938" s="27" t="n"/>
      <c r="B938" s="506" t="n"/>
      <c r="C938" s="141" t="n"/>
      <c r="D938" s="141" t="n"/>
      <c r="E938" s="141" t="n"/>
      <c r="F938" s="141" t="n"/>
      <c r="G938" s="143" t="n"/>
      <c r="H938" s="27" t="n"/>
    </row>
    <row r="939" ht="17.25" customHeight="1" s="322">
      <c r="A939" s="27" t="n"/>
      <c r="B939" s="506" t="n"/>
      <c r="C939" s="141" t="n"/>
      <c r="D939" s="141" t="n"/>
      <c r="E939" s="141" t="n"/>
      <c r="F939" s="141" t="n"/>
      <c r="G939" s="143" t="n"/>
      <c r="H939" s="27" t="n"/>
    </row>
    <row r="940" ht="17.25" customHeight="1" s="322">
      <c r="A940" s="27" t="n"/>
      <c r="B940" s="506" t="n"/>
      <c r="C940" s="141" t="n"/>
      <c r="D940" s="141" t="n"/>
      <c r="E940" s="141" t="n"/>
      <c r="F940" s="141" t="n"/>
      <c r="G940" s="143" t="n"/>
      <c r="H940" s="27" t="n"/>
    </row>
    <row r="941" ht="17.25" customHeight="1" s="322">
      <c r="A941" s="27" t="n"/>
      <c r="B941" s="506" t="n"/>
      <c r="C941" s="141" t="n"/>
      <c r="D941" s="141" t="n"/>
      <c r="E941" s="141" t="n"/>
      <c r="F941" s="141" t="n"/>
      <c r="G941" s="143" t="n"/>
      <c r="H941" s="27" t="n"/>
    </row>
    <row r="942" ht="17.25" customHeight="1" s="322">
      <c r="A942" s="27" t="n"/>
      <c r="B942" s="506" t="n"/>
      <c r="C942" s="141" t="n"/>
      <c r="D942" s="141" t="n"/>
      <c r="E942" s="141" t="n"/>
      <c r="F942" s="141" t="n"/>
      <c r="G942" s="143" t="n"/>
      <c r="H942" s="27" t="n"/>
    </row>
    <row r="943" ht="17.25" customHeight="1" s="322">
      <c r="A943" s="27" t="n"/>
      <c r="B943" s="506" t="n"/>
      <c r="C943" s="141" t="n"/>
      <c r="D943" s="141" t="n"/>
      <c r="E943" s="141" t="n"/>
      <c r="F943" s="141" t="n"/>
      <c r="G943" s="143" t="n"/>
      <c r="H943" s="27" t="n"/>
    </row>
    <row r="944" ht="17.25" customHeight="1" s="322">
      <c r="A944" s="27" t="n"/>
      <c r="B944" s="506" t="n"/>
      <c r="C944" s="141" t="n"/>
      <c r="D944" s="141" t="n"/>
      <c r="E944" s="141" t="n"/>
      <c r="F944" s="141" t="n"/>
      <c r="G944" s="143" t="n"/>
      <c r="H944" s="27" t="n"/>
    </row>
    <row r="945" ht="17.25" customHeight="1" s="322">
      <c r="A945" s="27" t="n"/>
      <c r="B945" s="506" t="n"/>
      <c r="C945" s="141" t="n"/>
      <c r="D945" s="141" t="n"/>
      <c r="E945" s="141" t="n"/>
      <c r="F945" s="141" t="n"/>
      <c r="G945" s="143" t="n"/>
      <c r="H945" s="27" t="n"/>
    </row>
    <row r="946" ht="17.25" customHeight="1" s="322">
      <c r="A946" s="27" t="n"/>
      <c r="B946" s="506" t="n"/>
      <c r="C946" s="141" t="n"/>
      <c r="D946" s="141" t="n"/>
      <c r="E946" s="141" t="n"/>
      <c r="F946" s="141" t="n"/>
      <c r="G946" s="143" t="n"/>
      <c r="H946" s="27" t="n"/>
    </row>
    <row r="947" ht="17.25" customHeight="1" s="322">
      <c r="A947" s="27" t="n"/>
      <c r="B947" s="506" t="n"/>
      <c r="C947" s="141" t="n"/>
      <c r="D947" s="141" t="n"/>
      <c r="E947" s="141" t="n"/>
      <c r="F947" s="141" t="n"/>
      <c r="G947" s="143" t="n"/>
      <c r="H947" s="27" t="n"/>
    </row>
    <row r="948" ht="17.25" customHeight="1" s="322">
      <c r="A948" s="27" t="n"/>
      <c r="B948" s="506" t="n"/>
      <c r="C948" s="141" t="n"/>
      <c r="D948" s="141" t="n"/>
      <c r="E948" s="141" t="n"/>
      <c r="F948" s="141" t="n"/>
      <c r="G948" s="143" t="n"/>
      <c r="H948" s="27" t="n"/>
    </row>
    <row r="949" ht="17.25" customHeight="1" s="322">
      <c r="A949" s="27" t="n"/>
      <c r="B949" s="506" t="n"/>
      <c r="C949" s="141" t="n"/>
      <c r="D949" s="141" t="n"/>
      <c r="E949" s="141" t="n"/>
      <c r="F949" s="141" t="n"/>
      <c r="G949" s="143" t="n"/>
      <c r="H949" s="27" t="n"/>
    </row>
    <row r="950" ht="17.25" customHeight="1" s="322">
      <c r="A950" s="27" t="n"/>
      <c r="B950" s="506" t="n"/>
      <c r="C950" s="141" t="n"/>
      <c r="D950" s="141" t="n"/>
      <c r="E950" s="141" t="n"/>
      <c r="F950" s="141" t="n"/>
      <c r="G950" s="143" t="n"/>
      <c r="H950" s="27" t="n"/>
    </row>
    <row r="951" ht="17.25" customHeight="1" s="322">
      <c r="A951" s="27" t="n"/>
      <c r="B951" s="506" t="n"/>
      <c r="C951" s="141" t="n"/>
      <c r="D951" s="141" t="n"/>
      <c r="E951" s="141" t="n"/>
      <c r="F951" s="141" t="n"/>
      <c r="G951" s="143" t="n"/>
      <c r="H951" s="27" t="n"/>
    </row>
    <row r="952" ht="17.25" customHeight="1" s="322">
      <c r="A952" s="27" t="n"/>
      <c r="B952" s="506" t="n"/>
      <c r="C952" s="141" t="n"/>
      <c r="D952" s="141" t="n"/>
      <c r="E952" s="141" t="n"/>
      <c r="F952" s="141" t="n"/>
      <c r="G952" s="143" t="n"/>
      <c r="H952" s="27" t="n"/>
    </row>
    <row r="953" ht="17.25" customHeight="1" s="322">
      <c r="A953" s="27" t="n"/>
      <c r="B953" s="506" t="n"/>
      <c r="C953" s="141" t="n"/>
      <c r="D953" s="141" t="n"/>
      <c r="E953" s="141" t="n"/>
      <c r="F953" s="141" t="n"/>
      <c r="G953" s="143" t="n"/>
      <c r="H953" s="27" t="n"/>
    </row>
    <row r="954" ht="17.25" customHeight="1" s="322">
      <c r="A954" s="27" t="n"/>
      <c r="B954" s="506" t="n"/>
      <c r="C954" s="141" t="n"/>
      <c r="D954" s="141" t="n"/>
      <c r="E954" s="141" t="n"/>
      <c r="F954" s="141" t="n"/>
      <c r="G954" s="143" t="n"/>
      <c r="H954" s="27" t="n"/>
    </row>
    <row r="955" ht="17.25" customHeight="1" s="322">
      <c r="A955" s="27" t="n"/>
      <c r="B955" s="506" t="n"/>
      <c r="C955" s="141" t="n"/>
      <c r="D955" s="141" t="n"/>
      <c r="E955" s="141" t="n"/>
      <c r="F955" s="141" t="n"/>
      <c r="G955" s="143" t="n"/>
      <c r="H955" s="27" t="n"/>
    </row>
    <row r="956" ht="17.25" customHeight="1" s="322">
      <c r="A956" s="27" t="n"/>
      <c r="B956" s="506" t="n"/>
      <c r="C956" s="141" t="n"/>
      <c r="D956" s="141" t="n"/>
      <c r="E956" s="141" t="n"/>
      <c r="F956" s="141" t="n"/>
      <c r="G956" s="143" t="n"/>
      <c r="H956" s="27" t="n"/>
    </row>
    <row r="957" ht="17.25" customHeight="1" s="322">
      <c r="A957" s="27" t="n"/>
      <c r="B957" s="506" t="n"/>
      <c r="C957" s="141" t="n"/>
      <c r="D957" s="141" t="n"/>
      <c r="E957" s="141" t="n"/>
      <c r="F957" s="141" t="n"/>
      <c r="G957" s="143" t="n"/>
      <c r="H957" s="27" t="n"/>
    </row>
    <row r="958" ht="17.25" customHeight="1" s="322">
      <c r="A958" s="27" t="n"/>
      <c r="B958" s="506" t="n"/>
      <c r="C958" s="141" t="n"/>
      <c r="D958" s="141" t="n"/>
      <c r="E958" s="141" t="n"/>
      <c r="F958" s="141" t="n"/>
      <c r="G958" s="143" t="n"/>
      <c r="H958" s="27" t="n"/>
    </row>
    <row r="959" ht="17.25" customHeight="1" s="322">
      <c r="A959" s="27" t="n"/>
      <c r="B959" s="506" t="n"/>
      <c r="C959" s="141" t="n"/>
      <c r="D959" s="141" t="n"/>
      <c r="E959" s="141" t="n"/>
      <c r="F959" s="141" t="n"/>
      <c r="G959" s="143" t="n"/>
      <c r="H959" s="27" t="n"/>
    </row>
    <row r="960" ht="17.25" customHeight="1" s="322">
      <c r="A960" s="27" t="n"/>
      <c r="B960" s="506" t="n"/>
      <c r="C960" s="141" t="n"/>
      <c r="D960" s="141" t="n"/>
      <c r="E960" s="141" t="n"/>
      <c r="F960" s="141" t="n"/>
      <c r="G960" s="143" t="n"/>
      <c r="H960" s="27" t="n"/>
    </row>
    <row r="961" ht="17.25" customHeight="1" s="322">
      <c r="A961" s="27" t="n"/>
      <c r="B961" s="506" t="n"/>
      <c r="C961" s="141" t="n"/>
      <c r="D961" s="141" t="n"/>
      <c r="E961" s="141" t="n"/>
      <c r="F961" s="141" t="n"/>
      <c r="G961" s="143" t="n"/>
      <c r="H961" s="27" t="n"/>
    </row>
    <row r="962" ht="17.25" customHeight="1" s="322">
      <c r="A962" s="27" t="n"/>
      <c r="B962" s="506" t="n"/>
      <c r="C962" s="141" t="n"/>
      <c r="D962" s="141" t="n"/>
      <c r="E962" s="141" t="n"/>
      <c r="F962" s="141" t="n"/>
      <c r="G962" s="143" t="n"/>
      <c r="H962" s="27" t="n"/>
    </row>
    <row r="963" ht="17.25" customHeight="1" s="322">
      <c r="A963" s="27" t="n"/>
      <c r="B963" s="506" t="n"/>
      <c r="C963" s="141" t="n"/>
      <c r="D963" s="141" t="n"/>
      <c r="E963" s="141" t="n"/>
      <c r="F963" s="141" t="n"/>
      <c r="G963" s="143" t="n"/>
      <c r="H963" s="27" t="n"/>
    </row>
    <row r="964" ht="17.25" customHeight="1" s="322">
      <c r="A964" s="27" t="n"/>
      <c r="B964" s="506" t="n"/>
      <c r="C964" s="141" t="n"/>
      <c r="D964" s="141" t="n"/>
      <c r="E964" s="141" t="n"/>
      <c r="F964" s="141" t="n"/>
      <c r="G964" s="143" t="n"/>
      <c r="H964" s="27" t="n"/>
    </row>
    <row r="965" ht="17.25" customHeight="1" s="322">
      <c r="A965" s="27" t="n"/>
      <c r="B965" s="506" t="n"/>
      <c r="C965" s="141" t="n"/>
      <c r="D965" s="141" t="n"/>
      <c r="E965" s="141" t="n"/>
      <c r="F965" s="141" t="n"/>
      <c r="G965" s="143" t="n"/>
      <c r="H965" s="27" t="n"/>
    </row>
    <row r="966" ht="17.25" customHeight="1" s="322">
      <c r="A966" s="27" t="n"/>
      <c r="B966" s="506" t="n"/>
      <c r="C966" s="141" t="n"/>
      <c r="D966" s="141" t="n"/>
      <c r="E966" s="141" t="n"/>
      <c r="F966" s="141" t="n"/>
      <c r="G966" s="143" t="n"/>
      <c r="H966" s="27" t="n"/>
    </row>
    <row r="967" ht="17.25" customHeight="1" s="322">
      <c r="A967" s="27" t="n"/>
      <c r="B967" s="506" t="n"/>
      <c r="C967" s="141" t="n"/>
      <c r="D967" s="141" t="n"/>
      <c r="E967" s="141" t="n"/>
      <c r="F967" s="141" t="n"/>
      <c r="G967" s="143" t="n"/>
      <c r="H967" s="27" t="n"/>
    </row>
    <row r="968" ht="17.25" customHeight="1" s="322">
      <c r="A968" s="27" t="n"/>
      <c r="B968" s="506" t="n"/>
      <c r="C968" s="141" t="n"/>
      <c r="D968" s="141" t="n"/>
      <c r="E968" s="141" t="n"/>
      <c r="F968" s="141" t="n"/>
      <c r="G968" s="143" t="n"/>
      <c r="H968" s="27" t="n"/>
    </row>
    <row r="969" ht="17.25" customHeight="1" s="322">
      <c r="A969" s="27" t="n"/>
      <c r="B969" s="506" t="n"/>
      <c r="C969" s="141" t="n"/>
      <c r="D969" s="141" t="n"/>
      <c r="E969" s="141" t="n"/>
      <c r="F969" s="141" t="n"/>
      <c r="G969" s="143" t="n"/>
      <c r="H969" s="27" t="n"/>
    </row>
    <row r="970" ht="17.25" customHeight="1" s="322">
      <c r="A970" s="27" t="n"/>
      <c r="B970" s="506" t="n"/>
      <c r="C970" s="141" t="n"/>
      <c r="D970" s="141" t="n"/>
      <c r="E970" s="141" t="n"/>
      <c r="F970" s="141" t="n"/>
      <c r="G970" s="143" t="n"/>
      <c r="H970" s="27" t="n"/>
    </row>
    <row r="971" ht="17.25" customHeight="1" s="322">
      <c r="A971" s="27" t="n"/>
      <c r="B971" s="506" t="n"/>
      <c r="C971" s="141" t="n"/>
      <c r="D971" s="141" t="n"/>
      <c r="E971" s="141" t="n"/>
      <c r="F971" s="141" t="n"/>
      <c r="G971" s="143" t="n"/>
      <c r="H971" s="27" t="n"/>
    </row>
    <row r="972" ht="17.25" customHeight="1" s="322">
      <c r="A972" s="27" t="n"/>
      <c r="B972" s="506" t="n"/>
      <c r="C972" s="141" t="n"/>
      <c r="D972" s="141" t="n"/>
      <c r="E972" s="141" t="n"/>
      <c r="F972" s="141" t="n"/>
      <c r="G972" s="143" t="n"/>
      <c r="H972" s="27" t="n"/>
    </row>
    <row r="973" ht="17.25" customHeight="1" s="322">
      <c r="A973" s="27" t="n"/>
      <c r="B973" s="506" t="n"/>
      <c r="C973" s="141" t="n"/>
      <c r="D973" s="141" t="n"/>
      <c r="E973" s="141" t="n"/>
      <c r="F973" s="141" t="n"/>
      <c r="G973" s="143" t="n"/>
      <c r="H973" s="27" t="n"/>
    </row>
    <row r="974" ht="17.25" customHeight="1" s="322">
      <c r="A974" s="27" t="n"/>
      <c r="B974" s="506" t="n"/>
      <c r="C974" s="141" t="n"/>
      <c r="D974" s="141" t="n"/>
      <c r="E974" s="141" t="n"/>
      <c r="F974" s="141" t="n"/>
      <c r="G974" s="143" t="n"/>
      <c r="H974" s="27" t="n"/>
    </row>
    <row r="975" ht="17.25" customHeight="1" s="322">
      <c r="A975" s="27" t="n"/>
      <c r="B975" s="506" t="n"/>
      <c r="C975" s="141" t="n"/>
      <c r="D975" s="141" t="n"/>
      <c r="E975" s="141" t="n"/>
      <c r="F975" s="141" t="n"/>
      <c r="G975" s="143" t="n"/>
      <c r="H975" s="27" t="n"/>
    </row>
    <row r="976" ht="17.25" customHeight="1" s="322">
      <c r="A976" s="27" t="n"/>
      <c r="B976" s="506" t="n"/>
      <c r="C976" s="141" t="n"/>
      <c r="D976" s="141" t="n"/>
      <c r="E976" s="141" t="n"/>
      <c r="F976" s="141" t="n"/>
      <c r="G976" s="143" t="n"/>
      <c r="H976" s="27" t="n"/>
    </row>
    <row r="977" ht="17.25" customHeight="1" s="322">
      <c r="A977" s="27" t="n"/>
      <c r="B977" s="506" t="n"/>
      <c r="C977" s="141" t="n"/>
      <c r="D977" s="141" t="n"/>
      <c r="E977" s="141" t="n"/>
      <c r="F977" s="141" t="n"/>
      <c r="G977" s="143" t="n"/>
      <c r="H977" s="27" t="n"/>
    </row>
    <row r="978" ht="17.25" customHeight="1" s="322">
      <c r="A978" s="27" t="n"/>
      <c r="B978" s="506" t="n"/>
      <c r="C978" s="141" t="n"/>
      <c r="D978" s="141" t="n"/>
      <c r="E978" s="141" t="n"/>
      <c r="F978" s="141" t="n"/>
      <c r="G978" s="143" t="n"/>
      <c r="H978" s="27" t="n"/>
    </row>
    <row r="979" ht="17.25" customHeight="1" s="322">
      <c r="A979" s="27" t="n"/>
      <c r="B979" s="506" t="n"/>
      <c r="C979" s="141" t="n"/>
      <c r="D979" s="141" t="n"/>
      <c r="E979" s="141" t="n"/>
      <c r="F979" s="141" t="n"/>
      <c r="G979" s="143" t="n"/>
      <c r="H979" s="27" t="n"/>
    </row>
    <row r="980" ht="17.25" customHeight="1" s="322">
      <c r="A980" s="27" t="n"/>
      <c r="B980" s="506" t="n"/>
      <c r="C980" s="141" t="n"/>
      <c r="D980" s="141" t="n"/>
      <c r="E980" s="141" t="n"/>
      <c r="F980" s="141" t="n"/>
      <c r="G980" s="143" t="n"/>
      <c r="H980" s="27" t="n"/>
    </row>
    <row r="981" ht="17.25" customHeight="1" s="322">
      <c r="A981" s="27" t="n"/>
      <c r="B981" s="506" t="n"/>
      <c r="C981" s="141" t="n"/>
      <c r="D981" s="141" t="n"/>
      <c r="E981" s="141" t="n"/>
      <c r="F981" s="141" t="n"/>
      <c r="G981" s="143" t="n"/>
      <c r="H981" s="27" t="n"/>
    </row>
    <row r="982" ht="17.25" customHeight="1" s="322">
      <c r="A982" s="27" t="n"/>
      <c r="B982" s="506" t="n"/>
      <c r="C982" s="141" t="n"/>
      <c r="D982" s="141" t="n"/>
      <c r="E982" s="141" t="n"/>
      <c r="F982" s="141" t="n"/>
      <c r="G982" s="143" t="n"/>
      <c r="H982" s="27" t="n"/>
    </row>
    <row r="983" ht="17.25" customHeight="1" s="322">
      <c r="A983" s="27" t="n"/>
      <c r="B983" s="506" t="n"/>
      <c r="C983" s="141" t="n"/>
      <c r="D983" s="141" t="n"/>
      <c r="E983" s="141" t="n"/>
      <c r="F983" s="141" t="n"/>
      <c r="G983" s="143" t="n"/>
      <c r="H983" s="27" t="n"/>
    </row>
    <row r="984" ht="17.25" customHeight="1" s="322">
      <c r="A984" s="27" t="n"/>
      <c r="B984" s="506" t="n"/>
      <c r="C984" s="141" t="n"/>
      <c r="D984" s="141" t="n"/>
      <c r="E984" s="141" t="n"/>
      <c r="F984" s="141" t="n"/>
      <c r="G984" s="143" t="n"/>
      <c r="H984" s="27" t="n"/>
    </row>
    <row r="985" ht="17.25" customHeight="1" s="322">
      <c r="A985" s="27" t="n"/>
      <c r="B985" s="506" t="n"/>
      <c r="C985" s="141" t="n"/>
      <c r="D985" s="141" t="n"/>
      <c r="E985" s="141" t="n"/>
      <c r="F985" s="141" t="n"/>
      <c r="G985" s="143" t="n"/>
      <c r="H985" s="27" t="n"/>
    </row>
    <row r="986" ht="17.25" customHeight="1" s="322">
      <c r="A986" s="27" t="n"/>
      <c r="B986" s="506" t="n"/>
      <c r="C986" s="141" t="n"/>
      <c r="D986" s="141" t="n"/>
      <c r="E986" s="141" t="n"/>
      <c r="F986" s="141" t="n"/>
      <c r="G986" s="143" t="n"/>
      <c r="H986" s="27" t="n"/>
    </row>
    <row r="987" ht="17.25" customHeight="1" s="322">
      <c r="A987" s="27" t="n"/>
      <c r="B987" s="506" t="n"/>
      <c r="C987" s="141" t="n"/>
      <c r="D987" s="141" t="n"/>
      <c r="E987" s="141" t="n"/>
      <c r="F987" s="141" t="n"/>
      <c r="G987" s="143" t="n"/>
      <c r="H987" s="27" t="n"/>
    </row>
    <row r="988" ht="17.25" customHeight="1" s="322">
      <c r="A988" s="27" t="n"/>
      <c r="B988" s="506" t="n"/>
      <c r="C988" s="141" t="n"/>
      <c r="D988" s="141" t="n"/>
      <c r="E988" s="141" t="n"/>
      <c r="F988" s="141" t="n"/>
      <c r="G988" s="143" t="n"/>
      <c r="H988" s="27" t="n"/>
    </row>
    <row r="989" ht="17.25" customHeight="1" s="322">
      <c r="A989" s="27" t="n"/>
      <c r="B989" s="506" t="n"/>
      <c r="C989" s="141" t="n"/>
      <c r="D989" s="141" t="n"/>
      <c r="E989" s="141" t="n"/>
      <c r="F989" s="141" t="n"/>
      <c r="G989" s="143" t="n"/>
      <c r="H989" s="27" t="n"/>
    </row>
    <row r="990" ht="17.25" customHeight="1" s="322">
      <c r="A990" s="27" t="n"/>
      <c r="B990" s="506" t="n"/>
      <c r="C990" s="141" t="n"/>
      <c r="D990" s="141" t="n"/>
      <c r="E990" s="141" t="n"/>
      <c r="F990" s="141" t="n"/>
      <c r="G990" s="143" t="n"/>
      <c r="H990" s="27" t="n"/>
    </row>
    <row r="991" ht="17.25" customHeight="1" s="322">
      <c r="A991" s="27" t="n"/>
      <c r="B991" s="506" t="n"/>
      <c r="C991" s="141" t="n"/>
      <c r="D991" s="141" t="n"/>
      <c r="E991" s="141" t="n"/>
      <c r="F991" s="141" t="n"/>
      <c r="G991" s="143" t="n"/>
      <c r="H991" s="27" t="n"/>
    </row>
    <row r="992" ht="17.25" customHeight="1" s="322">
      <c r="A992" s="27" t="n"/>
      <c r="B992" s="506" t="n"/>
      <c r="C992" s="141" t="n"/>
      <c r="D992" s="141" t="n"/>
      <c r="E992" s="141" t="n"/>
      <c r="F992" s="141" t="n"/>
      <c r="G992" s="143" t="n"/>
      <c r="H992" s="27" t="n"/>
    </row>
    <row r="993" ht="17.25" customHeight="1" s="322">
      <c r="A993" s="27" t="n"/>
      <c r="B993" s="506" t="n"/>
      <c r="C993" s="141" t="n"/>
      <c r="D993" s="141" t="n"/>
      <c r="E993" s="141" t="n"/>
      <c r="F993" s="141" t="n"/>
      <c r="G993" s="143" t="n"/>
      <c r="H993" s="27" t="n"/>
    </row>
    <row r="994" ht="17.25" customHeight="1" s="322">
      <c r="A994" s="27" t="n"/>
      <c r="B994" s="506" t="n"/>
      <c r="C994" s="141" t="n"/>
      <c r="D994" s="141" t="n"/>
      <c r="E994" s="141" t="n"/>
      <c r="F994" s="141" t="n"/>
      <c r="G994" s="143" t="n"/>
      <c r="H994" s="27" t="n"/>
    </row>
    <row r="995" ht="17.25" customHeight="1" s="322">
      <c r="A995" s="27" t="n"/>
      <c r="B995" s="506" t="n"/>
      <c r="C995" s="141" t="n"/>
      <c r="D995" s="141" t="n"/>
      <c r="E995" s="141" t="n"/>
      <c r="F995" s="141" t="n"/>
      <c r="G995" s="143" t="n"/>
      <c r="H995" s="27" t="n"/>
    </row>
    <row r="996" ht="17.25" customHeight="1" s="322">
      <c r="A996" s="27" t="n"/>
      <c r="B996" s="506" t="n"/>
      <c r="C996" s="141" t="n"/>
      <c r="D996" s="141" t="n"/>
      <c r="E996" s="141" t="n"/>
      <c r="F996" s="141" t="n"/>
      <c r="G996" s="143" t="n"/>
      <c r="H996" s="27" t="n"/>
    </row>
    <row r="997" ht="17.25" customHeight="1" s="322">
      <c r="A997" s="27" t="n"/>
      <c r="B997" s="506" t="n"/>
      <c r="C997" s="141" t="n"/>
      <c r="D997" s="141" t="n"/>
      <c r="E997" s="141" t="n"/>
      <c r="F997" s="141" t="n"/>
      <c r="G997" s="143" t="n"/>
      <c r="H997" s="27" t="n"/>
    </row>
    <row r="998" ht="17.25" customHeight="1" s="322">
      <c r="A998" s="27" t="n"/>
      <c r="B998" s="506" t="n"/>
      <c r="C998" s="141" t="n"/>
      <c r="D998" s="141" t="n"/>
      <c r="E998" s="141" t="n"/>
      <c r="F998" s="141" t="n"/>
      <c r="G998" s="143" t="n"/>
      <c r="H998" s="27" t="n"/>
    </row>
    <row r="999" ht="17.25" customHeight="1" s="322">
      <c r="A999" s="27" t="n"/>
      <c r="B999" s="506" t="n"/>
      <c r="C999" s="141" t="n"/>
      <c r="D999" s="141" t="n"/>
      <c r="E999" s="141" t="n"/>
      <c r="F999" s="141" t="n"/>
      <c r="G999" s="143" t="n"/>
      <c r="H999" s="27" t="n"/>
    </row>
    <row r="1000" ht="17.25" customHeight="1" s="322">
      <c r="A1000" s="27" t="n"/>
      <c r="B1000" s="506" t="n"/>
      <c r="C1000" s="141" t="n"/>
      <c r="D1000" s="141" t="n"/>
      <c r="E1000" s="141" t="n"/>
      <c r="F1000" s="141" t="n"/>
      <c r="G1000" s="143" t="n"/>
      <c r="H1000" s="27" t="n"/>
    </row>
  </sheetData>
  <mergeCells count="3">
    <mergeCell ref="B1:F2"/>
    <mergeCell ref="B7:G7"/>
    <mergeCell ref="B10:C10"/>
  </mergeCells>
  <conditionalFormatting sqref="D10:E10">
    <cfRule type="cellIs" priority="5" operator="lessThan" dxfId="5">
      <formula>0</formula>
    </cfRule>
    <cfRule type="cellIs" priority="6" operator="greaterThan" dxfId="4">
      <formula>0</formula>
    </cfRule>
  </conditionalFormatting>
  <conditionalFormatting sqref="F28:F1000">
    <cfRule type="expression" priority="1" dxfId="3">
      <formula>AND(F28=MAX(F$28:F$1000),F28&gt;0)</formula>
    </cfRule>
    <cfRule type="expression" priority="2" dxfId="2">
      <formula>AND(F28=MIN(F$28:F$1000),F28&gt;0)</formula>
    </cfRule>
  </conditionalFormatting>
  <conditionalFormatting sqref="F29:F1000">
    <cfRule type="expression" priority="3" dxfId="1">
      <formula>F29&gt;F27</formula>
    </cfRule>
    <cfRule type="expression" priority="4" dxfId="0">
      <formula>F29&lt;F27</formula>
    </cfRule>
  </conditionalFormatting>
  <conditionalFormatting sqref="G15">
    <cfRule type="colorScale" priority="7">
      <colorScale>
        <cfvo type="min"/>
        <cfvo type="max"/>
        <color rgb="FF57BB8A"/>
        <color rgb="FFFFFFFF"/>
      </colorScale>
    </cfRule>
  </conditionalFormatting>
  <dataValidations count="1">
    <dataValidation sqref="G15" showDropDown="0" showInputMessage="1" showErrorMessage="1" allowBlank="1" prompt="Click and enter a value from the list of items" type="list">
      <formula1>"1 Month,3 Months,6 Months,12 Months,36 Months"</formula1>
    </dataValidation>
  </dataValidations>
  <hyperlinks>
    <hyperlink xmlns:r="http://schemas.openxmlformats.org/officeDocument/2006/relationships" ref="B1" r:id="rId1"/>
    <hyperlink xmlns:r="http://schemas.openxmlformats.org/officeDocument/2006/relationships" ref="G2" r:id="rId2"/>
  </hyperlinks>
  <pageMargins left="0.7" right="0.7" top="0.75" bottom="0.75" header="0.3" footer="0.3"/>
  <drawing xmlns:r="http://schemas.openxmlformats.org/officeDocument/2006/relationships" r:id="rId3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H1000"/>
  <sheetViews>
    <sheetView showGridLines="0" workbookViewId="0">
      <selection activeCell="A1" sqref="A1"/>
    </sheetView>
  </sheetViews>
  <sheetFormatPr baseColWidth="8" defaultColWidth="12.5703125" defaultRowHeight="15.75" customHeight="1"/>
  <cols>
    <col width="5.42578125" customWidth="1" style="322" min="1" max="1"/>
    <col width="15.7109375" customWidth="1" style="322" min="2" max="2"/>
    <col width="5.42578125" customWidth="1" style="322" min="8" max="8"/>
  </cols>
  <sheetData>
    <row r="1" ht="22.5" customHeight="1" s="322">
      <c r="A1" s="69" t="n"/>
      <c r="B1" s="455" t="inlineStr">
        <is>
          <t>← 관심종목으로 돌아가기</t>
        </is>
      </c>
      <c r="G1" s="72" t="inlineStr">
        <is>
          <t>제공:</t>
        </is>
      </c>
      <c r="H1" s="69" t="n"/>
    </row>
    <row r="2" ht="22.5" customHeight="1" s="322">
      <c r="A2" s="69" t="n"/>
      <c r="G2" s="77" t="inlineStr">
        <is>
          <t>Google Finance</t>
        </is>
      </c>
      <c r="H2" s="69" t="n"/>
    </row>
    <row r="3" ht="11.25" customHeight="1" s="322">
      <c r="A3" s="1" t="n"/>
      <c r="B3" s="1" t="n"/>
      <c r="C3" s="1" t="n"/>
      <c r="D3" s="1" t="n"/>
      <c r="E3" s="1" t="n"/>
      <c r="F3" s="1" t="n"/>
      <c r="G3" s="1" t="n"/>
      <c r="H3" s="1" t="n"/>
    </row>
    <row r="4" ht="15.75" customHeight="1" s="322">
      <c r="A4" s="1" t="n"/>
      <c r="B4" s="305" t="inlineStr">
        <is>
          <t>VWO</t>
        </is>
      </c>
      <c r="C4" s="81" t="inlineStr">
        <is>
          <t>&lt;&lt; 종목코드 입력</t>
        </is>
      </c>
      <c r="D4" s="1" t="n"/>
      <c r="E4" s="1" t="n"/>
      <c r="F4" s="1" t="n"/>
      <c r="G4" s="1" t="n"/>
      <c r="H4" s="1" t="n"/>
    </row>
    <row r="5" ht="15.75" customHeight="1" s="322">
      <c r="A5" s="1" t="n"/>
      <c r="B5" s="82" t="n"/>
      <c r="C5" s="81" t="inlineStr">
        <is>
          <t>&lt;&lt; 필요한 경우 거래소 입력(예: NASDAQ, NYSE)</t>
        </is>
      </c>
      <c r="D5" s="85" t="n"/>
      <c r="E5" s="1" t="n"/>
      <c r="F5" s="1" t="n"/>
      <c r="G5" s="1" t="n"/>
      <c r="H5" s="1" t="n"/>
    </row>
    <row r="6" ht="11.25" customHeight="1" s="322">
      <c r="A6" s="27" t="n"/>
      <c r="B6" s="27" t="n"/>
      <c r="C6" s="27" t="n"/>
      <c r="D6" s="27" t="n"/>
      <c r="E6" s="27" t="n"/>
      <c r="F6" s="27" t="n"/>
      <c r="G6" s="27" t="n"/>
      <c r="H6" s="27" t="n"/>
    </row>
    <row r="7" ht="20.25" customHeight="1" s="322">
      <c r="A7" s="12" t="n"/>
      <c r="B7" s="501">
        <f>IFERROR(__xludf.DUMMYFUNCTION("GOOGLEFINANCE(B18,""name"")"),"Vanguard Emerging Markets Stock Index Fund ETF")</f>
        <v/>
      </c>
      <c r="H7" s="12" t="n"/>
    </row>
    <row r="8" ht="11.25" customHeight="1" s="322">
      <c r="A8" s="12" t="n"/>
      <c r="B8" s="12" t="n"/>
      <c r="C8" s="12" t="n"/>
      <c r="D8" s="12" t="n"/>
      <c r="E8" s="12" t="n"/>
      <c r="F8" s="12" t="n"/>
      <c r="G8" s="12" t="n"/>
      <c r="H8" s="12" t="n"/>
    </row>
    <row r="9" ht="12" customHeight="1" s="322">
      <c r="A9" s="1" t="n"/>
      <c r="B9" s="90" t="inlineStr">
        <is>
          <t>현재가</t>
        </is>
      </c>
      <c r="C9" s="1" t="n"/>
      <c r="D9" s="90" t="inlineStr">
        <is>
          <t>전일대비</t>
        </is>
      </c>
      <c r="E9" s="90" t="inlineStr">
        <is>
          <t>등락률(%)</t>
        </is>
      </c>
      <c r="F9" s="1" t="n"/>
      <c r="G9" s="1" t="n"/>
      <c r="H9" s="1" t="n"/>
    </row>
    <row r="10" ht="31.5" customHeight="1" s="322">
      <c r="A10" s="12" t="n"/>
      <c r="B10" s="502">
        <f>IFERROR(__xludf.DUMMYFUNCTION("GOOGLEFINANCE(B18,""price"")"),56.92)</f>
        <v/>
      </c>
      <c r="D10" s="503">
        <f>IFERROR(__xludf.DUMMYFUNCTION("IFERROR(GOOGLEFINANCE(B18,""change""),""-"")"),-0.82)</f>
        <v/>
      </c>
      <c r="E10" s="504">
        <f>IFERROR(__xludf.DUMMYFUNCTION("IFERROR(GOOGLEFINANCE(B18,""changepct"")/100,""-"")"),-0.0141999999999999)</f>
        <v/>
      </c>
      <c r="F10" s="12" t="n"/>
      <c r="G10" s="12" t="n"/>
      <c r="H10" s="12" t="n"/>
    </row>
    <row r="11" ht="11.25" customHeight="1" s="322">
      <c r="A11" s="12" t="n"/>
      <c r="B11" s="106" t="n"/>
      <c r="C11" s="106" t="n"/>
      <c r="D11" s="106" t="n"/>
      <c r="E11" s="106" t="n"/>
      <c r="F11" s="106" t="n"/>
      <c r="G11" s="106" t="n"/>
      <c r="H11" s="12" t="n"/>
    </row>
    <row r="12" ht="11.25" customHeight="1" s="322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 ht="12" customHeight="1" s="322">
      <c r="A13" s="1" t="n"/>
      <c r="B13" s="90" t="inlineStr">
        <is>
          <t>시가총액</t>
        </is>
      </c>
      <c r="C13" s="90" t="inlineStr">
        <is>
          <t>PER</t>
        </is>
      </c>
      <c r="D13" s="90" t="inlineStr">
        <is>
          <t>베타계수</t>
        </is>
      </c>
      <c r="E13" s="1" t="n"/>
      <c r="F13" s="1" t="n"/>
      <c r="G13" s="1" t="n"/>
      <c r="H13" s="1" t="n"/>
    </row>
    <row r="14">
      <c r="A14" s="113" t="n"/>
      <c r="B14" s="505">
        <f>IFERROR(__xludf.DUMMYFUNCTION("IFERROR(GOOGLEFINANCE(B18,""marketcap""),""-"")"),85532656688)</f>
        <v/>
      </c>
      <c r="C14" s="115">
        <f>IFERROR(__xludf.DUMMYFUNCTION("IFERROR(GOOGLEFINANCE(B18,""pe""),""-"")"),"-")</f>
        <v/>
      </c>
      <c r="D14" s="115">
        <f>IFERROR(__xludf.DUMMYFUNCTION("IFERROR(GOOGLEFINANCE(B18,""beta""),""-"")"),"-")</f>
        <v/>
      </c>
      <c r="E14" s="113" t="n"/>
      <c r="F14" s="113" t="n"/>
      <c r="G14" s="113" t="n"/>
      <c r="H14" s="113" t="n"/>
    </row>
    <row r="15" ht="15.75" customHeight="1" s="322">
      <c r="A15" s="12" t="n"/>
      <c r="B15" s="12" t="n"/>
      <c r="C15" s="12" t="n"/>
      <c r="D15" s="12" t="n"/>
      <c r="E15" s="12" t="n"/>
      <c r="F15" s="12" t="n"/>
      <c r="G15" s="123" t="inlineStr">
        <is>
          <t>12 Months</t>
        </is>
      </c>
      <c r="H15" s="12" t="n"/>
    </row>
    <row r="16" ht="15.75" customHeight="1" s="322">
      <c r="A16" s="12" t="n"/>
      <c r="B16" s="12" t="n"/>
      <c r="C16" s="12" t="n"/>
      <c r="D16" s="12" t="n"/>
      <c r="E16" s="12" t="n"/>
      <c r="F16" s="12" t="n"/>
      <c r="G16" s="12" t="n"/>
      <c r="H16" s="12" t="n"/>
    </row>
    <row r="17" ht="15.75" customHeight="1" s="322">
      <c r="A17" s="12" t="n"/>
      <c r="B17" s="12" t="n"/>
      <c r="C17" s="12" t="n"/>
      <c r="D17" s="12" t="n"/>
      <c r="E17" s="12" t="n"/>
      <c r="F17" s="12" t="n"/>
      <c r="G17" s="12" t="n"/>
      <c r="H17" s="12" t="n"/>
    </row>
    <row r="18" ht="15.75" customHeight="1" s="322">
      <c r="A18" s="12" t="n"/>
      <c r="B18" s="127">
        <f>IF(ISBLANK(B5),"",B5&amp;":")&amp;B4</f>
        <v/>
      </c>
      <c r="C18" s="12" t="n"/>
      <c r="D18" s="12" t="n"/>
      <c r="E18" s="12" t="n"/>
      <c r="F18" s="12" t="n"/>
      <c r="G18" s="12" t="n"/>
      <c r="H18" s="12" t="n"/>
    </row>
    <row r="19" ht="15.75" customHeight="1" s="322">
      <c r="A19" s="12" t="n"/>
      <c r="B19" s="12" t="n"/>
      <c r="C19" s="12" t="n"/>
      <c r="D19" s="12" t="n"/>
      <c r="E19" s="12" t="n"/>
      <c r="F19" s="12" t="n"/>
      <c r="G19" s="12" t="n"/>
      <c r="H19" s="12" t="n"/>
    </row>
    <row r="20" ht="15.75" customHeight="1" s="322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1" ht="15.75" customHeight="1" s="322">
      <c r="A21" s="12" t="n"/>
      <c r="B21" s="12" t="n"/>
      <c r="C21" s="12" t="n"/>
      <c r="D21" s="12" t="n"/>
      <c r="E21" s="12" t="n"/>
      <c r="F21" s="12" t="n"/>
      <c r="G21" s="12" t="n"/>
      <c r="H21" s="12" t="n"/>
    </row>
    <row r="22" ht="15.75" customHeight="1" s="322">
      <c r="A22" s="12" t="n"/>
      <c r="B22" s="12" t="n"/>
      <c r="C22" s="12" t="n"/>
      <c r="D22" s="12" t="n"/>
      <c r="E22" s="12" t="n"/>
      <c r="F22" s="12" t="n"/>
      <c r="G22" s="12" t="n"/>
      <c r="H22" s="12" t="n"/>
    </row>
    <row r="23" ht="15.75" customHeight="1" s="322">
      <c r="A23" s="12" t="n"/>
      <c r="B23" s="12" t="n"/>
      <c r="C23" s="12" t="n"/>
      <c r="D23" s="12" t="n"/>
      <c r="E23" s="12" t="n"/>
      <c r="F23" s="12" t="n"/>
      <c r="G23" s="12" t="n"/>
      <c r="H23" s="12" t="n"/>
    </row>
    <row r="24" ht="15.75" customHeight="1" s="322">
      <c r="A24" s="12" t="n"/>
      <c r="B24" s="12" t="n"/>
      <c r="C24" s="12" t="n"/>
      <c r="D24" s="12" t="n"/>
      <c r="E24" s="12" t="n"/>
      <c r="F24" s="12" t="n"/>
      <c r="G24" s="12" t="n"/>
      <c r="H24" s="12" t="n"/>
    </row>
    <row r="25" ht="15.75" customHeight="1" s="322">
      <c r="A25" s="12" t="n"/>
      <c r="B25" s="12" t="n"/>
      <c r="C25" s="12" t="n"/>
      <c r="D25" s="12" t="n"/>
      <c r="E25" s="12" t="n"/>
      <c r="F25" s="12" t="n"/>
      <c r="G25" s="12" t="n"/>
      <c r="H25" s="12" t="n"/>
    </row>
    <row r="26" ht="15.75" customHeight="1" s="322">
      <c r="A26" s="12" t="n"/>
      <c r="B26" s="12" t="n"/>
      <c r="C26" s="12" t="n"/>
      <c r="D26" s="12" t="n"/>
      <c r="E26" s="12" t="n"/>
      <c r="F26" s="12" t="n"/>
      <c r="G26" s="12" t="n"/>
      <c r="H26" s="12" t="n"/>
    </row>
    <row r="27" ht="15.75" customHeight="1" s="322">
      <c r="A27" s="133" t="n"/>
      <c r="B27" s="136">
        <f>IFERROR(__xludf.DUMMYFUNCTION("GOOGLEFINANCE(B18, ""all"", EDATE(TODAY(), -LEFT(G15, FIND("" "", G15))), TODAY(), ""DAILY"")"),"Date")</f>
        <v/>
      </c>
      <c r="C27" s="137">
        <f>IFERROR(__xludf.DUMMYFUNCTION("""COMPUTED_VALUE"""),"Open")</f>
        <v/>
      </c>
      <c r="D27" s="137">
        <f>IFERROR(__xludf.DUMMYFUNCTION("""COMPUTED_VALUE"""),"High")</f>
        <v/>
      </c>
      <c r="E27" s="137">
        <f>IFERROR(__xludf.DUMMYFUNCTION("""COMPUTED_VALUE"""),"Low")</f>
        <v/>
      </c>
      <c r="F27" s="137">
        <f>IFERROR(__xludf.DUMMYFUNCTION("""COMPUTED_VALUE"""),"Close")</f>
        <v/>
      </c>
      <c r="G27" s="137">
        <f>IFERROR(__xludf.DUMMYFUNCTION("""COMPUTED_VALUE"""),"Volume")</f>
        <v/>
      </c>
      <c r="H27" s="133" t="n"/>
    </row>
    <row r="28" ht="17.25" customHeight="1" s="322">
      <c r="A28" s="27" t="n"/>
      <c r="B28" s="506">
        <f>IFERROR(__xludf.DUMMYFUNCTION("""COMPUTED_VALUE"""),45868.6666666666)</f>
        <v/>
      </c>
      <c r="C28" s="141">
        <f>IFERROR(__xludf.DUMMYFUNCTION("""COMPUTED_VALUE"""),50.26)</f>
        <v/>
      </c>
      <c r="D28" s="141">
        <f>IFERROR(__xludf.DUMMYFUNCTION("""COMPUTED_VALUE"""),50.33)</f>
        <v/>
      </c>
      <c r="E28" s="141">
        <f>IFERROR(__xludf.DUMMYFUNCTION("""COMPUTED_VALUE"""),49.98)</f>
        <v/>
      </c>
      <c r="F28" s="141">
        <f>IFERROR(__xludf.DUMMYFUNCTION("""COMPUTED_VALUE"""),50.06)</f>
        <v/>
      </c>
      <c r="G28" s="143">
        <f>IFERROR(__xludf.DUMMYFUNCTION("""COMPUTED_VALUE"""),10545616)</f>
        <v/>
      </c>
      <c r="H28" s="27" t="n"/>
    </row>
    <row r="29" ht="17.25" customHeight="1" s="322">
      <c r="A29" s="27" t="n"/>
      <c r="B29" s="506">
        <f>IFERROR(__xludf.DUMMYFUNCTION("""COMPUTED_VALUE"""),45869.6666666666)</f>
        <v/>
      </c>
      <c r="C29" s="141">
        <f>IFERROR(__xludf.DUMMYFUNCTION("""COMPUTED_VALUE"""),49.89)</f>
        <v/>
      </c>
      <c r="D29" s="141">
        <f>IFERROR(__xludf.DUMMYFUNCTION("""COMPUTED_VALUE"""),50.05)</f>
        <v/>
      </c>
      <c r="E29" s="141">
        <f>IFERROR(__xludf.DUMMYFUNCTION("""COMPUTED_VALUE"""),49.71)</f>
        <v/>
      </c>
      <c r="F29" s="141">
        <f>IFERROR(__xludf.DUMMYFUNCTION("""COMPUTED_VALUE"""),49.8)</f>
        <v/>
      </c>
      <c r="G29" s="143">
        <f>IFERROR(__xludf.DUMMYFUNCTION("""COMPUTED_VALUE"""),6256496)</f>
        <v/>
      </c>
      <c r="H29" s="27" t="n"/>
    </row>
    <row r="30" ht="17.25" customHeight="1" s="322">
      <c r="A30" s="27" t="n"/>
      <c r="B30" s="506">
        <f>IFERROR(__xludf.DUMMYFUNCTION("""COMPUTED_VALUE"""),45870.6666666666)</f>
        <v/>
      </c>
      <c r="C30" s="141">
        <f>IFERROR(__xludf.DUMMYFUNCTION("""COMPUTED_VALUE"""),49.77)</f>
        <v/>
      </c>
      <c r="D30" s="141">
        <f>IFERROR(__xludf.DUMMYFUNCTION("""COMPUTED_VALUE"""),49.79)</f>
        <v/>
      </c>
      <c r="E30" s="141">
        <f>IFERROR(__xludf.DUMMYFUNCTION("""COMPUTED_VALUE"""),49.37)</f>
        <v/>
      </c>
      <c r="F30" s="141">
        <f>IFERROR(__xludf.DUMMYFUNCTION("""COMPUTED_VALUE"""),49.54)</f>
        <v/>
      </c>
      <c r="G30" s="143">
        <f>IFERROR(__xludf.DUMMYFUNCTION("""COMPUTED_VALUE"""),14479361)</f>
        <v/>
      </c>
      <c r="H30" s="27" t="n"/>
    </row>
    <row r="31" ht="17.25" customHeight="1" s="322">
      <c r="A31" s="27" t="n"/>
      <c r="B31" s="506">
        <f>IFERROR(__xludf.DUMMYFUNCTION("""COMPUTED_VALUE"""),45873.6666666666)</f>
        <v/>
      </c>
      <c r="C31" s="141">
        <f>IFERROR(__xludf.DUMMYFUNCTION("""COMPUTED_VALUE"""),50.11)</f>
        <v/>
      </c>
      <c r="D31" s="141">
        <f>IFERROR(__xludf.DUMMYFUNCTION("""COMPUTED_VALUE"""),50.12)</f>
        <v/>
      </c>
      <c r="E31" s="141">
        <f>IFERROR(__xludf.DUMMYFUNCTION("""COMPUTED_VALUE"""),49.87)</f>
        <v/>
      </c>
      <c r="F31" s="141">
        <f>IFERROR(__xludf.DUMMYFUNCTION("""COMPUTED_VALUE"""),50)</f>
        <v/>
      </c>
      <c r="G31" s="143">
        <f>IFERROR(__xludf.DUMMYFUNCTION("""COMPUTED_VALUE"""),7863418)</f>
        <v/>
      </c>
      <c r="H31" s="27" t="n"/>
    </row>
    <row r="32" ht="17.25" customHeight="1" s="322">
      <c r="A32" s="27" t="n"/>
      <c r="B32" s="506">
        <f>IFERROR(__xludf.DUMMYFUNCTION("""COMPUTED_VALUE"""),45874.6666666666)</f>
        <v/>
      </c>
      <c r="C32" s="141">
        <f>IFERROR(__xludf.DUMMYFUNCTION("""COMPUTED_VALUE"""),50.23)</f>
        <v/>
      </c>
      <c r="D32" s="141">
        <f>IFERROR(__xludf.DUMMYFUNCTION("""COMPUTED_VALUE"""),50.33)</f>
        <v/>
      </c>
      <c r="E32" s="141">
        <f>IFERROR(__xludf.DUMMYFUNCTION("""COMPUTED_VALUE"""),50.07)</f>
        <v/>
      </c>
      <c r="F32" s="141">
        <f>IFERROR(__xludf.DUMMYFUNCTION("""COMPUTED_VALUE"""),50.16)</f>
        <v/>
      </c>
      <c r="G32" s="143">
        <f>IFERROR(__xludf.DUMMYFUNCTION("""COMPUTED_VALUE"""),9528826)</f>
        <v/>
      </c>
      <c r="H32" s="27" t="n"/>
    </row>
    <row r="33" ht="17.25" customHeight="1" s="322">
      <c r="A33" s="27" t="n"/>
      <c r="B33" s="506">
        <f>IFERROR(__xludf.DUMMYFUNCTION("""COMPUTED_VALUE"""),45875.6666666666)</f>
        <v/>
      </c>
      <c r="C33" s="141">
        <f>IFERROR(__xludf.DUMMYFUNCTION("""COMPUTED_VALUE"""),50.27)</f>
        <v/>
      </c>
      <c r="D33" s="141">
        <f>IFERROR(__xludf.DUMMYFUNCTION("""COMPUTED_VALUE"""),50.42)</f>
        <v/>
      </c>
      <c r="E33" s="141">
        <f>IFERROR(__xludf.DUMMYFUNCTION("""COMPUTED_VALUE"""),50.12)</f>
        <v/>
      </c>
      <c r="F33" s="141">
        <f>IFERROR(__xludf.DUMMYFUNCTION("""COMPUTED_VALUE"""),50.38)</f>
        <v/>
      </c>
      <c r="G33" s="143">
        <f>IFERROR(__xludf.DUMMYFUNCTION("""COMPUTED_VALUE"""),6444001)</f>
        <v/>
      </c>
      <c r="H33" s="27" t="n"/>
    </row>
    <row r="34" ht="17.25" customHeight="1" s="322">
      <c r="A34" s="27" t="n"/>
      <c r="B34" s="506">
        <f>IFERROR(__xludf.DUMMYFUNCTION("""COMPUTED_VALUE"""),45876.6666666666)</f>
        <v/>
      </c>
      <c r="C34" s="141">
        <f>IFERROR(__xludf.DUMMYFUNCTION("""COMPUTED_VALUE"""),50.83)</f>
        <v/>
      </c>
      <c r="D34" s="141">
        <f>IFERROR(__xludf.DUMMYFUNCTION("""COMPUTED_VALUE"""),50.94)</f>
        <v/>
      </c>
      <c r="E34" s="141">
        <f>IFERROR(__xludf.DUMMYFUNCTION("""COMPUTED_VALUE"""),50.65)</f>
        <v/>
      </c>
      <c r="F34" s="141">
        <f>IFERROR(__xludf.DUMMYFUNCTION("""COMPUTED_VALUE"""),50.75)</f>
        <v/>
      </c>
      <c r="G34" s="143">
        <f>IFERROR(__xludf.DUMMYFUNCTION("""COMPUTED_VALUE"""),5728731)</f>
        <v/>
      </c>
      <c r="H34" s="27" t="n"/>
    </row>
    <row r="35" ht="17.25" customHeight="1" s="322">
      <c r="A35" s="27" t="n"/>
      <c r="B35" s="506">
        <f>IFERROR(__xludf.DUMMYFUNCTION("""COMPUTED_VALUE"""),45877.6666666666)</f>
        <v/>
      </c>
      <c r="C35" s="141">
        <f>IFERROR(__xludf.DUMMYFUNCTION("""COMPUTED_VALUE"""),50.6)</f>
        <v/>
      </c>
      <c r="D35" s="141">
        <f>IFERROR(__xludf.DUMMYFUNCTION("""COMPUTED_VALUE"""),50.73)</f>
        <v/>
      </c>
      <c r="E35" s="141">
        <f>IFERROR(__xludf.DUMMYFUNCTION("""COMPUTED_VALUE"""),50.57)</f>
        <v/>
      </c>
      <c r="F35" s="141">
        <f>IFERROR(__xludf.DUMMYFUNCTION("""COMPUTED_VALUE"""),50.69)</f>
        <v/>
      </c>
      <c r="G35" s="143">
        <f>IFERROR(__xludf.DUMMYFUNCTION("""COMPUTED_VALUE"""),5063943)</f>
        <v/>
      </c>
      <c r="H35" s="27" t="n"/>
    </row>
    <row r="36" ht="17.25" customHeight="1" s="322">
      <c r="A36" s="27" t="n"/>
      <c r="B36" s="506">
        <f>IFERROR(__xludf.DUMMYFUNCTION("""COMPUTED_VALUE"""),45880.6666666666)</f>
        <v/>
      </c>
      <c r="C36" s="141">
        <f>IFERROR(__xludf.DUMMYFUNCTION("""COMPUTED_VALUE"""),50.59)</f>
        <v/>
      </c>
      <c r="D36" s="141">
        <f>IFERROR(__xludf.DUMMYFUNCTION("""COMPUTED_VALUE"""),50.77)</f>
        <v/>
      </c>
      <c r="E36" s="141">
        <f>IFERROR(__xludf.DUMMYFUNCTION("""COMPUTED_VALUE"""),50.5)</f>
        <v/>
      </c>
      <c r="F36" s="141">
        <f>IFERROR(__xludf.DUMMYFUNCTION("""COMPUTED_VALUE"""),50.63)</f>
        <v/>
      </c>
      <c r="G36" s="143">
        <f>IFERROR(__xludf.DUMMYFUNCTION("""COMPUTED_VALUE"""),5237230)</f>
        <v/>
      </c>
      <c r="H36" s="27" t="n"/>
    </row>
    <row r="37" ht="17.25" customHeight="1" s="322">
      <c r="A37" s="27" t="n"/>
      <c r="B37" s="506">
        <f>IFERROR(__xludf.DUMMYFUNCTION("""COMPUTED_VALUE"""),45881.6666666666)</f>
        <v/>
      </c>
      <c r="C37" s="141">
        <f>IFERROR(__xludf.DUMMYFUNCTION("""COMPUTED_VALUE"""),50.84)</f>
        <v/>
      </c>
      <c r="D37" s="141">
        <f>IFERROR(__xludf.DUMMYFUNCTION("""COMPUTED_VALUE"""),51.25)</f>
        <v/>
      </c>
      <c r="E37" s="141">
        <f>IFERROR(__xludf.DUMMYFUNCTION("""COMPUTED_VALUE"""),50.81)</f>
        <v/>
      </c>
      <c r="F37" s="141">
        <f>IFERROR(__xludf.DUMMYFUNCTION("""COMPUTED_VALUE"""),51.21)</f>
        <v/>
      </c>
      <c r="G37" s="143">
        <f>IFERROR(__xludf.DUMMYFUNCTION("""COMPUTED_VALUE"""),6045856)</f>
        <v/>
      </c>
      <c r="H37" s="27" t="n"/>
    </row>
    <row r="38" ht="17.25" customHeight="1" s="322">
      <c r="A38" s="27" t="n"/>
      <c r="B38" s="506">
        <f>IFERROR(__xludf.DUMMYFUNCTION("""COMPUTED_VALUE"""),45882.6666666666)</f>
        <v/>
      </c>
      <c r="C38" s="141">
        <f>IFERROR(__xludf.DUMMYFUNCTION("""COMPUTED_VALUE"""),51.73)</f>
        <v/>
      </c>
      <c r="D38" s="141">
        <f>IFERROR(__xludf.DUMMYFUNCTION("""COMPUTED_VALUE"""),51.87)</f>
        <v/>
      </c>
      <c r="E38" s="141">
        <f>IFERROR(__xludf.DUMMYFUNCTION("""COMPUTED_VALUE"""),51.7)</f>
        <v/>
      </c>
      <c r="F38" s="141">
        <f>IFERROR(__xludf.DUMMYFUNCTION("""COMPUTED_VALUE"""),51.79)</f>
        <v/>
      </c>
      <c r="G38" s="143">
        <f>IFERROR(__xludf.DUMMYFUNCTION("""COMPUTED_VALUE"""),7072379)</f>
        <v/>
      </c>
      <c r="H38" s="27" t="n"/>
    </row>
    <row r="39" ht="17.25" customHeight="1" s="322">
      <c r="A39" s="27" t="n"/>
      <c r="B39" s="506">
        <f>IFERROR(__xludf.DUMMYFUNCTION("""COMPUTED_VALUE"""),45883.6666666666)</f>
        <v/>
      </c>
      <c r="C39" s="141">
        <f>IFERROR(__xludf.DUMMYFUNCTION("""COMPUTED_VALUE"""),51.26)</f>
        <v/>
      </c>
      <c r="D39" s="141">
        <f>IFERROR(__xludf.DUMMYFUNCTION("""COMPUTED_VALUE"""),51.35)</f>
        <v/>
      </c>
      <c r="E39" s="141">
        <f>IFERROR(__xludf.DUMMYFUNCTION("""COMPUTED_VALUE"""),51.06)</f>
        <v/>
      </c>
      <c r="F39" s="141">
        <f>IFERROR(__xludf.DUMMYFUNCTION("""COMPUTED_VALUE"""),51.21)</f>
        <v/>
      </c>
      <c r="G39" s="143">
        <f>IFERROR(__xludf.DUMMYFUNCTION("""COMPUTED_VALUE"""),9942435)</f>
        <v/>
      </c>
      <c r="H39" s="27" t="n"/>
    </row>
    <row r="40" ht="17.25" customHeight="1" s="322">
      <c r="A40" s="27" t="n"/>
      <c r="B40" s="506">
        <f>IFERROR(__xludf.DUMMYFUNCTION("""COMPUTED_VALUE"""),45884.6666666666)</f>
        <v/>
      </c>
      <c r="C40" s="141">
        <f>IFERROR(__xludf.DUMMYFUNCTION("""COMPUTED_VALUE"""),51.42)</f>
        <v/>
      </c>
      <c r="D40" s="141">
        <f>IFERROR(__xludf.DUMMYFUNCTION("""COMPUTED_VALUE"""),51.5)</f>
        <v/>
      </c>
      <c r="E40" s="141">
        <f>IFERROR(__xludf.DUMMYFUNCTION("""COMPUTED_VALUE"""),51.32)</f>
        <v/>
      </c>
      <c r="F40" s="141">
        <f>IFERROR(__xludf.DUMMYFUNCTION("""COMPUTED_VALUE"""),51.36)</f>
        <v/>
      </c>
      <c r="G40" s="143">
        <f>IFERROR(__xludf.DUMMYFUNCTION("""COMPUTED_VALUE"""),5513083)</f>
        <v/>
      </c>
      <c r="H40" s="27" t="n"/>
    </row>
    <row r="41" ht="17.25" customHeight="1" s="322">
      <c r="A41" s="27" t="n"/>
      <c r="B41" s="506">
        <f>IFERROR(__xludf.DUMMYFUNCTION("""COMPUTED_VALUE"""),45887.6666666666)</f>
        <v/>
      </c>
      <c r="C41" s="141">
        <f>IFERROR(__xludf.DUMMYFUNCTION("""COMPUTED_VALUE"""),51.69)</f>
        <v/>
      </c>
      <c r="D41" s="141">
        <f>IFERROR(__xludf.DUMMYFUNCTION("""COMPUTED_VALUE"""),51.78)</f>
        <v/>
      </c>
      <c r="E41" s="141">
        <f>IFERROR(__xludf.DUMMYFUNCTION("""COMPUTED_VALUE"""),51.61)</f>
        <v/>
      </c>
      <c r="F41" s="141">
        <f>IFERROR(__xludf.DUMMYFUNCTION("""COMPUTED_VALUE"""),51.75)</f>
        <v/>
      </c>
      <c r="G41" s="143">
        <f>IFERROR(__xludf.DUMMYFUNCTION("""COMPUTED_VALUE"""),7465866)</f>
        <v/>
      </c>
      <c r="H41" s="27" t="n"/>
    </row>
    <row r="42" ht="17.25" customHeight="1" s="322">
      <c r="A42" s="27" t="n"/>
      <c r="B42" s="506">
        <f>IFERROR(__xludf.DUMMYFUNCTION("""COMPUTED_VALUE"""),45888.6666666666)</f>
        <v/>
      </c>
      <c r="C42" s="141">
        <f>IFERROR(__xludf.DUMMYFUNCTION("""COMPUTED_VALUE"""),51.67)</f>
        <v/>
      </c>
      <c r="D42" s="141">
        <f>IFERROR(__xludf.DUMMYFUNCTION("""COMPUTED_VALUE"""),51.67)</f>
        <v/>
      </c>
      <c r="E42" s="141">
        <f>IFERROR(__xludf.DUMMYFUNCTION("""COMPUTED_VALUE"""),51.34)</f>
        <v/>
      </c>
      <c r="F42" s="141">
        <f>IFERROR(__xludf.DUMMYFUNCTION("""COMPUTED_VALUE"""),51.38)</f>
        <v/>
      </c>
      <c r="G42" s="143">
        <f>IFERROR(__xludf.DUMMYFUNCTION("""COMPUTED_VALUE"""),7113545)</f>
        <v/>
      </c>
      <c r="H42" s="27" t="n"/>
    </row>
    <row r="43" ht="17.25" customHeight="1" s="322">
      <c r="A43" s="27" t="n"/>
      <c r="B43" s="506">
        <f>IFERROR(__xludf.DUMMYFUNCTION("""COMPUTED_VALUE"""),45889.6666666666)</f>
        <v/>
      </c>
      <c r="C43" s="141">
        <f>IFERROR(__xludf.DUMMYFUNCTION("""COMPUTED_VALUE"""),51.35)</f>
        <v/>
      </c>
      <c r="D43" s="141">
        <f>IFERROR(__xludf.DUMMYFUNCTION("""COMPUTED_VALUE"""),51.39)</f>
        <v/>
      </c>
      <c r="E43" s="141">
        <f>IFERROR(__xludf.DUMMYFUNCTION("""COMPUTED_VALUE"""),51.07)</f>
        <v/>
      </c>
      <c r="F43" s="141">
        <f>IFERROR(__xludf.DUMMYFUNCTION("""COMPUTED_VALUE"""),51.36)</f>
        <v/>
      </c>
      <c r="G43" s="143">
        <f>IFERROR(__xludf.DUMMYFUNCTION("""COMPUTED_VALUE"""),8344299)</f>
        <v/>
      </c>
      <c r="H43" s="27" t="n"/>
    </row>
    <row r="44" ht="17.25" customHeight="1" s="322">
      <c r="A44" s="27" t="n"/>
      <c r="B44" s="506">
        <f>IFERROR(__xludf.DUMMYFUNCTION("""COMPUTED_VALUE"""),45890.6666666666)</f>
        <v/>
      </c>
      <c r="C44" s="141">
        <f>IFERROR(__xludf.DUMMYFUNCTION("""COMPUTED_VALUE"""),51.23)</f>
        <v/>
      </c>
      <c r="D44" s="141">
        <f>IFERROR(__xludf.DUMMYFUNCTION("""COMPUTED_VALUE"""),51.35)</f>
        <v/>
      </c>
      <c r="E44" s="141">
        <f>IFERROR(__xludf.DUMMYFUNCTION("""COMPUTED_VALUE"""),51.15)</f>
        <v/>
      </c>
      <c r="F44" s="141">
        <f>IFERROR(__xludf.DUMMYFUNCTION("""COMPUTED_VALUE"""),51.27)</f>
        <v/>
      </c>
      <c r="G44" s="143">
        <f>IFERROR(__xludf.DUMMYFUNCTION("""COMPUTED_VALUE"""),5551782)</f>
        <v/>
      </c>
      <c r="H44" s="27" t="n"/>
    </row>
    <row r="45" ht="17.25" customHeight="1" s="322">
      <c r="A45" s="27" t="n"/>
      <c r="B45" s="506">
        <f>IFERROR(__xludf.DUMMYFUNCTION("""COMPUTED_VALUE"""),45891.6666666666)</f>
        <v/>
      </c>
      <c r="C45" s="141">
        <f>IFERROR(__xludf.DUMMYFUNCTION("""COMPUTED_VALUE"""),51.53)</f>
        <v/>
      </c>
      <c r="D45" s="141">
        <f>IFERROR(__xludf.DUMMYFUNCTION("""COMPUTED_VALUE"""),52.2)</f>
        <v/>
      </c>
      <c r="E45" s="141">
        <f>IFERROR(__xludf.DUMMYFUNCTION("""COMPUTED_VALUE"""),51.47)</f>
        <v/>
      </c>
      <c r="F45" s="141">
        <f>IFERROR(__xludf.DUMMYFUNCTION("""COMPUTED_VALUE"""),52.17)</f>
        <v/>
      </c>
      <c r="G45" s="143">
        <f>IFERROR(__xludf.DUMMYFUNCTION("""COMPUTED_VALUE"""),6505437)</f>
        <v/>
      </c>
      <c r="H45" s="27" t="n"/>
    </row>
    <row r="46" ht="17.25" customHeight="1" s="322">
      <c r="A46" s="27" t="n"/>
      <c r="B46" s="506">
        <f>IFERROR(__xludf.DUMMYFUNCTION("""COMPUTED_VALUE"""),45894.6666666666)</f>
        <v/>
      </c>
      <c r="C46" s="141">
        <f>IFERROR(__xludf.DUMMYFUNCTION("""COMPUTED_VALUE"""),52.11)</f>
        <v/>
      </c>
      <c r="D46" s="141">
        <f>IFERROR(__xludf.DUMMYFUNCTION("""COMPUTED_VALUE"""),52.25)</f>
        <v/>
      </c>
      <c r="E46" s="141">
        <f>IFERROR(__xludf.DUMMYFUNCTION("""COMPUTED_VALUE"""),51.95)</f>
        <v/>
      </c>
      <c r="F46" s="141">
        <f>IFERROR(__xludf.DUMMYFUNCTION("""COMPUTED_VALUE"""),51.95)</f>
        <v/>
      </c>
      <c r="G46" s="143">
        <f>IFERROR(__xludf.DUMMYFUNCTION("""COMPUTED_VALUE"""),6631294)</f>
        <v/>
      </c>
      <c r="H46" s="27" t="n"/>
    </row>
    <row r="47" ht="17.25" customHeight="1" s="322">
      <c r="A47" s="27" t="n"/>
      <c r="B47" s="506">
        <f>IFERROR(__xludf.DUMMYFUNCTION("""COMPUTED_VALUE"""),45895.6666666666)</f>
        <v/>
      </c>
      <c r="C47" s="141">
        <f>IFERROR(__xludf.DUMMYFUNCTION("""COMPUTED_VALUE"""),51.92)</f>
        <v/>
      </c>
      <c r="D47" s="141">
        <f>IFERROR(__xludf.DUMMYFUNCTION("""COMPUTED_VALUE"""),51.94)</f>
        <v/>
      </c>
      <c r="E47" s="141">
        <f>IFERROR(__xludf.DUMMYFUNCTION("""COMPUTED_VALUE"""),51.76)</f>
        <v/>
      </c>
      <c r="F47" s="141">
        <f>IFERROR(__xludf.DUMMYFUNCTION("""COMPUTED_VALUE"""),51.84)</f>
        <v/>
      </c>
      <c r="G47" s="143">
        <f>IFERROR(__xludf.DUMMYFUNCTION("""COMPUTED_VALUE"""),8479257)</f>
        <v/>
      </c>
      <c r="H47" s="27" t="n"/>
    </row>
    <row r="48" ht="17.25" customHeight="1" s="322">
      <c r="A48" s="27" t="n"/>
      <c r="B48" s="506">
        <f>IFERROR(__xludf.DUMMYFUNCTION("""COMPUTED_VALUE"""),45896.6666666666)</f>
        <v/>
      </c>
      <c r="C48" s="141">
        <f>IFERROR(__xludf.DUMMYFUNCTION("""COMPUTED_VALUE"""),51.25)</f>
        <v/>
      </c>
      <c r="D48" s="141">
        <f>IFERROR(__xludf.DUMMYFUNCTION("""COMPUTED_VALUE"""),51.51)</f>
        <v/>
      </c>
      <c r="E48" s="141">
        <f>IFERROR(__xludf.DUMMYFUNCTION("""COMPUTED_VALUE"""),51.18)</f>
        <v/>
      </c>
      <c r="F48" s="141">
        <f>IFERROR(__xludf.DUMMYFUNCTION("""COMPUTED_VALUE"""),51.49)</f>
        <v/>
      </c>
      <c r="G48" s="143">
        <f>IFERROR(__xludf.DUMMYFUNCTION("""COMPUTED_VALUE"""),5998662)</f>
        <v/>
      </c>
      <c r="H48" s="27" t="n"/>
    </row>
    <row r="49" ht="17.25" customHeight="1" s="322">
      <c r="A49" s="27" t="n"/>
      <c r="B49" s="506">
        <f>IFERROR(__xludf.DUMMYFUNCTION("""COMPUTED_VALUE"""),45897.6666666666)</f>
        <v/>
      </c>
      <c r="C49" s="141">
        <f>IFERROR(__xludf.DUMMYFUNCTION("""COMPUTED_VALUE"""),51.46)</f>
        <v/>
      </c>
      <c r="D49" s="141">
        <f>IFERROR(__xludf.DUMMYFUNCTION("""COMPUTED_VALUE"""),51.68)</f>
        <v/>
      </c>
      <c r="E49" s="141">
        <f>IFERROR(__xludf.DUMMYFUNCTION("""COMPUTED_VALUE"""),51.41)</f>
        <v/>
      </c>
      <c r="F49" s="141">
        <f>IFERROR(__xludf.DUMMYFUNCTION("""COMPUTED_VALUE"""),51.68)</f>
        <v/>
      </c>
      <c r="G49" s="143">
        <f>IFERROR(__xludf.DUMMYFUNCTION("""COMPUTED_VALUE"""),5949836)</f>
        <v/>
      </c>
      <c r="H49" s="27" t="n"/>
    </row>
    <row r="50" ht="17.25" customHeight="1" s="322">
      <c r="A50" s="27" t="n"/>
      <c r="B50" s="506">
        <f>IFERROR(__xludf.DUMMYFUNCTION("""COMPUTED_VALUE"""),45898.6666666666)</f>
        <v/>
      </c>
      <c r="C50" s="141">
        <f>IFERROR(__xludf.DUMMYFUNCTION("""COMPUTED_VALUE"""),51.5)</f>
        <v/>
      </c>
      <c r="D50" s="141">
        <f>IFERROR(__xludf.DUMMYFUNCTION("""COMPUTED_VALUE"""),51.59)</f>
        <v/>
      </c>
      <c r="E50" s="141">
        <f>IFERROR(__xludf.DUMMYFUNCTION("""COMPUTED_VALUE"""),51.33)</f>
        <v/>
      </c>
      <c r="F50" s="141">
        <f>IFERROR(__xludf.DUMMYFUNCTION("""COMPUTED_VALUE"""),51.53)</f>
        <v/>
      </c>
      <c r="G50" s="143">
        <f>IFERROR(__xludf.DUMMYFUNCTION("""COMPUTED_VALUE"""),6356606)</f>
        <v/>
      </c>
      <c r="H50" s="27" t="n"/>
    </row>
    <row r="51" ht="17.25" customHeight="1" s="322">
      <c r="A51" s="27" t="n"/>
      <c r="B51" s="506">
        <f>IFERROR(__xludf.DUMMYFUNCTION("""COMPUTED_VALUE"""),45902.6666666666)</f>
        <v/>
      </c>
      <c r="C51" s="141">
        <f>IFERROR(__xludf.DUMMYFUNCTION("""COMPUTED_VALUE"""),51.07)</f>
        <v/>
      </c>
      <c r="D51" s="141">
        <f>IFERROR(__xludf.DUMMYFUNCTION("""COMPUTED_VALUE"""),51.49)</f>
        <v/>
      </c>
      <c r="E51" s="141">
        <f>IFERROR(__xludf.DUMMYFUNCTION("""COMPUTED_VALUE"""),51.01)</f>
        <v/>
      </c>
      <c r="F51" s="141">
        <f>IFERROR(__xludf.DUMMYFUNCTION("""COMPUTED_VALUE"""),51.46)</f>
        <v/>
      </c>
      <c r="G51" s="143">
        <f>IFERROR(__xludf.DUMMYFUNCTION("""COMPUTED_VALUE"""),10064647)</f>
        <v/>
      </c>
      <c r="H51" s="27" t="n"/>
    </row>
    <row r="52" ht="17.25" customHeight="1" s="322">
      <c r="A52" s="27" t="n"/>
      <c r="B52" s="506">
        <f>IFERROR(__xludf.DUMMYFUNCTION("""COMPUTED_VALUE"""),45903.6666666666)</f>
        <v/>
      </c>
      <c r="C52" s="141">
        <f>IFERROR(__xludf.DUMMYFUNCTION("""COMPUTED_VALUE"""),51.56)</f>
        <v/>
      </c>
      <c r="D52" s="141">
        <f>IFERROR(__xludf.DUMMYFUNCTION("""COMPUTED_VALUE"""),51.62)</f>
        <v/>
      </c>
      <c r="E52" s="141">
        <f>IFERROR(__xludf.DUMMYFUNCTION("""COMPUTED_VALUE"""),51.44)</f>
        <v/>
      </c>
      <c r="F52" s="141">
        <f>IFERROR(__xludf.DUMMYFUNCTION("""COMPUTED_VALUE"""),51.6)</f>
        <v/>
      </c>
      <c r="G52" s="143">
        <f>IFERROR(__xludf.DUMMYFUNCTION("""COMPUTED_VALUE"""),10285328)</f>
        <v/>
      </c>
      <c r="H52" s="27" t="n"/>
    </row>
    <row r="53" ht="17.25" customHeight="1" s="322">
      <c r="A53" s="27" t="n"/>
      <c r="B53" s="506">
        <f>IFERROR(__xludf.DUMMYFUNCTION("""COMPUTED_VALUE"""),45904.6666666666)</f>
        <v/>
      </c>
      <c r="C53" s="141">
        <f>IFERROR(__xludf.DUMMYFUNCTION("""COMPUTED_VALUE"""),51.23)</f>
        <v/>
      </c>
      <c r="D53" s="141">
        <f>IFERROR(__xludf.DUMMYFUNCTION("""COMPUTED_VALUE"""),51.4)</f>
        <v/>
      </c>
      <c r="E53" s="141">
        <f>IFERROR(__xludf.DUMMYFUNCTION("""COMPUTED_VALUE"""),51.1)</f>
        <v/>
      </c>
      <c r="F53" s="141">
        <f>IFERROR(__xludf.DUMMYFUNCTION("""COMPUTED_VALUE"""),51.38)</f>
        <v/>
      </c>
      <c r="G53" s="143">
        <f>IFERROR(__xludf.DUMMYFUNCTION("""COMPUTED_VALUE"""),10215594)</f>
        <v/>
      </c>
      <c r="H53" s="27" t="n"/>
    </row>
    <row r="54" ht="17.25" customHeight="1" s="322">
      <c r="A54" s="27" t="n"/>
      <c r="B54" s="506">
        <f>IFERROR(__xludf.DUMMYFUNCTION("""COMPUTED_VALUE"""),45905.6666666666)</f>
        <v/>
      </c>
      <c r="C54" s="141">
        <f>IFERROR(__xludf.DUMMYFUNCTION("""COMPUTED_VALUE"""),52.09)</f>
        <v/>
      </c>
      <c r="D54" s="141">
        <f>IFERROR(__xludf.DUMMYFUNCTION("""COMPUTED_VALUE"""),52.18)</f>
        <v/>
      </c>
      <c r="E54" s="141">
        <f>IFERROR(__xludf.DUMMYFUNCTION("""COMPUTED_VALUE"""),51.77)</f>
        <v/>
      </c>
      <c r="F54" s="141">
        <f>IFERROR(__xludf.DUMMYFUNCTION("""COMPUTED_VALUE"""),51.97)</f>
        <v/>
      </c>
      <c r="G54" s="143">
        <f>IFERROR(__xludf.DUMMYFUNCTION("""COMPUTED_VALUE"""),11562221)</f>
        <v/>
      </c>
      <c r="H54" s="27" t="n"/>
    </row>
    <row r="55" ht="17.25" customHeight="1" s="322">
      <c r="A55" s="27" t="n"/>
      <c r="B55" s="506">
        <f>IFERROR(__xludf.DUMMYFUNCTION("""COMPUTED_VALUE"""),45908.6666666666)</f>
        <v/>
      </c>
      <c r="C55" s="141">
        <f>IFERROR(__xludf.DUMMYFUNCTION("""COMPUTED_VALUE"""),52.29)</f>
        <v/>
      </c>
      <c r="D55" s="141">
        <f>IFERROR(__xludf.DUMMYFUNCTION("""COMPUTED_VALUE"""),52.48)</f>
        <v/>
      </c>
      <c r="E55" s="141">
        <f>IFERROR(__xludf.DUMMYFUNCTION("""COMPUTED_VALUE"""),52.22)</f>
        <v/>
      </c>
      <c r="F55" s="141">
        <f>IFERROR(__xludf.DUMMYFUNCTION("""COMPUTED_VALUE"""),52.48)</f>
        <v/>
      </c>
      <c r="G55" s="143">
        <f>IFERROR(__xludf.DUMMYFUNCTION("""COMPUTED_VALUE"""),8471704)</f>
        <v/>
      </c>
      <c r="H55" s="27" t="n"/>
    </row>
    <row r="56" ht="17.25" customHeight="1" s="322">
      <c r="A56" s="27" t="n"/>
      <c r="B56" s="506">
        <f>IFERROR(__xludf.DUMMYFUNCTION("""COMPUTED_VALUE"""),45909.6666666666)</f>
        <v/>
      </c>
      <c r="C56" s="141">
        <f>IFERROR(__xludf.DUMMYFUNCTION("""COMPUTED_VALUE"""),52.65)</f>
        <v/>
      </c>
      <c r="D56" s="141">
        <f>IFERROR(__xludf.DUMMYFUNCTION("""COMPUTED_VALUE"""),52.78)</f>
        <v/>
      </c>
      <c r="E56" s="141">
        <f>IFERROR(__xludf.DUMMYFUNCTION("""COMPUTED_VALUE"""),52.61)</f>
        <v/>
      </c>
      <c r="F56" s="141">
        <f>IFERROR(__xludf.DUMMYFUNCTION("""COMPUTED_VALUE"""),52.68)</f>
        <v/>
      </c>
      <c r="G56" s="143">
        <f>IFERROR(__xludf.DUMMYFUNCTION("""COMPUTED_VALUE"""),9703131)</f>
        <v/>
      </c>
      <c r="H56" s="27" t="n"/>
    </row>
    <row r="57" ht="17.25" customHeight="1" s="322">
      <c r="A57" s="27" t="n"/>
      <c r="B57" s="506">
        <f>IFERROR(__xludf.DUMMYFUNCTION("""COMPUTED_VALUE"""),45910.6666666666)</f>
        <v/>
      </c>
      <c r="C57" s="141">
        <f>IFERROR(__xludf.DUMMYFUNCTION("""COMPUTED_VALUE"""),52.98)</f>
        <v/>
      </c>
      <c r="D57" s="141">
        <f>IFERROR(__xludf.DUMMYFUNCTION("""COMPUTED_VALUE"""),53.11)</f>
        <v/>
      </c>
      <c r="E57" s="141">
        <f>IFERROR(__xludf.DUMMYFUNCTION("""COMPUTED_VALUE"""),52.88)</f>
        <v/>
      </c>
      <c r="F57" s="141">
        <f>IFERROR(__xludf.DUMMYFUNCTION("""COMPUTED_VALUE"""),52.92)</f>
        <v/>
      </c>
      <c r="G57" s="143">
        <f>IFERROR(__xludf.DUMMYFUNCTION("""COMPUTED_VALUE"""),9247558)</f>
        <v/>
      </c>
      <c r="H57" s="27" t="n"/>
    </row>
    <row r="58" ht="17.25" customHeight="1" s="322">
      <c r="A58" s="27" t="n"/>
      <c r="B58" s="506">
        <f>IFERROR(__xludf.DUMMYFUNCTION("""COMPUTED_VALUE"""),45911.6666666666)</f>
        <v/>
      </c>
      <c r="C58" s="141">
        <f>IFERROR(__xludf.DUMMYFUNCTION("""COMPUTED_VALUE"""),53.24)</f>
        <v/>
      </c>
      <c r="D58" s="141">
        <f>IFERROR(__xludf.DUMMYFUNCTION("""COMPUTED_VALUE"""),53.59)</f>
        <v/>
      </c>
      <c r="E58" s="141">
        <f>IFERROR(__xludf.DUMMYFUNCTION("""COMPUTED_VALUE"""),53.2)</f>
        <v/>
      </c>
      <c r="F58" s="141">
        <f>IFERROR(__xludf.DUMMYFUNCTION("""COMPUTED_VALUE"""),53.58)</f>
        <v/>
      </c>
      <c r="G58" s="143">
        <f>IFERROR(__xludf.DUMMYFUNCTION("""COMPUTED_VALUE"""),8570795)</f>
        <v/>
      </c>
      <c r="H58" s="27" t="n"/>
    </row>
    <row r="59" ht="17.25" customHeight="1" s="322">
      <c r="A59" s="27" t="n"/>
      <c r="B59" s="506">
        <f>IFERROR(__xludf.DUMMYFUNCTION("""COMPUTED_VALUE"""),45912.6666666666)</f>
        <v/>
      </c>
      <c r="C59" s="141">
        <f>IFERROR(__xludf.DUMMYFUNCTION("""COMPUTED_VALUE"""),53.52)</f>
        <v/>
      </c>
      <c r="D59" s="141">
        <f>IFERROR(__xludf.DUMMYFUNCTION("""COMPUTED_VALUE"""),53.6)</f>
        <v/>
      </c>
      <c r="E59" s="141">
        <f>IFERROR(__xludf.DUMMYFUNCTION("""COMPUTED_VALUE"""),53.43)</f>
        <v/>
      </c>
      <c r="F59" s="141">
        <f>IFERROR(__xludf.DUMMYFUNCTION("""COMPUTED_VALUE"""),53.48)</f>
        <v/>
      </c>
      <c r="G59" s="143">
        <f>IFERROR(__xludf.DUMMYFUNCTION("""COMPUTED_VALUE"""),7096344)</f>
        <v/>
      </c>
      <c r="H59" s="27" t="n"/>
    </row>
    <row r="60" ht="17.25" customHeight="1" s="322">
      <c r="A60" s="27" t="n"/>
      <c r="B60" s="506">
        <f>IFERROR(__xludf.DUMMYFUNCTION("""COMPUTED_VALUE"""),45915.6666666666)</f>
        <v/>
      </c>
      <c r="C60" s="141">
        <f>IFERROR(__xludf.DUMMYFUNCTION("""COMPUTED_VALUE"""),53.82)</f>
        <v/>
      </c>
      <c r="D60" s="141">
        <f>IFERROR(__xludf.DUMMYFUNCTION("""COMPUTED_VALUE"""),53.9)</f>
        <v/>
      </c>
      <c r="E60" s="141">
        <f>IFERROR(__xludf.DUMMYFUNCTION("""COMPUTED_VALUE"""),53.7)</f>
        <v/>
      </c>
      <c r="F60" s="141">
        <f>IFERROR(__xludf.DUMMYFUNCTION("""COMPUTED_VALUE"""),53.84)</f>
        <v/>
      </c>
      <c r="G60" s="143">
        <f>IFERROR(__xludf.DUMMYFUNCTION("""COMPUTED_VALUE"""),11818355)</f>
        <v/>
      </c>
      <c r="H60" s="27" t="n"/>
    </row>
    <row r="61" ht="17.25" customHeight="1" s="322">
      <c r="A61" s="27" t="n"/>
      <c r="B61" s="506">
        <f>IFERROR(__xludf.DUMMYFUNCTION("""COMPUTED_VALUE"""),45916.6666666666)</f>
        <v/>
      </c>
      <c r="C61" s="141">
        <f>IFERROR(__xludf.DUMMYFUNCTION("""COMPUTED_VALUE"""),54.06)</f>
        <v/>
      </c>
      <c r="D61" s="141">
        <f>IFERROR(__xludf.DUMMYFUNCTION("""COMPUTED_VALUE"""),54.23)</f>
        <v/>
      </c>
      <c r="E61" s="141">
        <f>IFERROR(__xludf.DUMMYFUNCTION("""COMPUTED_VALUE"""),53.93)</f>
        <v/>
      </c>
      <c r="F61" s="141">
        <f>IFERROR(__xludf.DUMMYFUNCTION("""COMPUTED_VALUE"""),54.18)</f>
        <v/>
      </c>
      <c r="G61" s="143">
        <f>IFERROR(__xludf.DUMMYFUNCTION("""COMPUTED_VALUE"""),9032522)</f>
        <v/>
      </c>
      <c r="H61" s="27" t="n"/>
    </row>
    <row r="62" ht="17.25" customHeight="1" s="322">
      <c r="A62" s="27" t="n"/>
      <c r="B62" s="506">
        <f>IFERROR(__xludf.DUMMYFUNCTION("""COMPUTED_VALUE"""),45917.6666666666)</f>
        <v/>
      </c>
      <c r="C62" s="141">
        <f>IFERROR(__xludf.DUMMYFUNCTION("""COMPUTED_VALUE"""),54.5)</f>
        <v/>
      </c>
      <c r="D62" s="141">
        <f>IFERROR(__xludf.DUMMYFUNCTION("""COMPUTED_VALUE"""),54.86)</f>
        <v/>
      </c>
      <c r="E62" s="141">
        <f>IFERROR(__xludf.DUMMYFUNCTION("""COMPUTED_VALUE"""),54.26)</f>
        <v/>
      </c>
      <c r="F62" s="141">
        <f>IFERROR(__xludf.DUMMYFUNCTION("""COMPUTED_VALUE"""),54.52)</f>
        <v/>
      </c>
      <c r="G62" s="143">
        <f>IFERROR(__xludf.DUMMYFUNCTION("""COMPUTED_VALUE"""),11018133)</f>
        <v/>
      </c>
      <c r="H62" s="27" t="n"/>
    </row>
    <row r="63" ht="17.25" customHeight="1" s="322">
      <c r="A63" s="27" t="n"/>
      <c r="B63" s="506">
        <f>IFERROR(__xludf.DUMMYFUNCTION("""COMPUTED_VALUE"""),45918.6666666666)</f>
        <v/>
      </c>
      <c r="C63" s="141">
        <f>IFERROR(__xludf.DUMMYFUNCTION("""COMPUTED_VALUE"""),54.15)</f>
        <v/>
      </c>
      <c r="D63" s="141">
        <f>IFERROR(__xludf.DUMMYFUNCTION("""COMPUTED_VALUE"""),54.34)</f>
        <v/>
      </c>
      <c r="E63" s="141">
        <f>IFERROR(__xludf.DUMMYFUNCTION("""COMPUTED_VALUE"""),54.01)</f>
        <v/>
      </c>
      <c r="F63" s="141">
        <f>IFERROR(__xludf.DUMMYFUNCTION("""COMPUTED_VALUE"""),54.27)</f>
        <v/>
      </c>
      <c r="G63" s="143">
        <f>IFERROR(__xludf.DUMMYFUNCTION("""COMPUTED_VALUE"""),10529879)</f>
        <v/>
      </c>
      <c r="H63" s="27" t="n"/>
    </row>
    <row r="64" ht="17.25" customHeight="1" s="322">
      <c r="A64" s="27" t="n"/>
      <c r="B64" s="506">
        <f>IFERROR(__xludf.DUMMYFUNCTION("""COMPUTED_VALUE"""),45919.6666666666)</f>
        <v/>
      </c>
      <c r="C64" s="141">
        <f>IFERROR(__xludf.DUMMYFUNCTION("""COMPUTED_VALUE"""),54.1)</f>
        <v/>
      </c>
      <c r="D64" s="141">
        <f>IFERROR(__xludf.DUMMYFUNCTION("""COMPUTED_VALUE"""),54.1)</f>
        <v/>
      </c>
      <c r="E64" s="141">
        <f>IFERROR(__xludf.DUMMYFUNCTION("""COMPUTED_VALUE"""),53.87)</f>
        <v/>
      </c>
      <c r="F64" s="141">
        <f>IFERROR(__xludf.DUMMYFUNCTION("""COMPUTED_VALUE"""),53.92)</f>
        <v/>
      </c>
      <c r="G64" s="143">
        <f>IFERROR(__xludf.DUMMYFUNCTION("""COMPUTED_VALUE"""),8883521)</f>
        <v/>
      </c>
      <c r="H64" s="27" t="n"/>
    </row>
    <row r="65" ht="17.25" customHeight="1" s="322">
      <c r="A65" s="27" t="n"/>
      <c r="B65" s="506">
        <f>IFERROR(__xludf.DUMMYFUNCTION("""COMPUTED_VALUE"""),45922.6666666666)</f>
        <v/>
      </c>
      <c r="C65" s="141">
        <f>IFERROR(__xludf.DUMMYFUNCTION("""COMPUTED_VALUE"""),53.94)</f>
        <v/>
      </c>
      <c r="D65" s="141">
        <f>IFERROR(__xludf.DUMMYFUNCTION("""COMPUTED_VALUE"""),54.11)</f>
        <v/>
      </c>
      <c r="E65" s="141">
        <f>IFERROR(__xludf.DUMMYFUNCTION("""COMPUTED_VALUE"""),53.87)</f>
        <v/>
      </c>
      <c r="F65" s="141">
        <f>IFERROR(__xludf.DUMMYFUNCTION("""COMPUTED_VALUE"""),54.07)</f>
        <v/>
      </c>
      <c r="G65" s="143">
        <f>IFERROR(__xludf.DUMMYFUNCTION("""COMPUTED_VALUE"""),7307040)</f>
        <v/>
      </c>
      <c r="H65" s="27" t="n"/>
    </row>
    <row r="66" ht="17.25" customHeight="1" s="322">
      <c r="A66" s="27" t="n"/>
      <c r="B66" s="506">
        <f>IFERROR(__xludf.DUMMYFUNCTION("""COMPUTED_VALUE"""),45923.6666666666)</f>
        <v/>
      </c>
      <c r="C66" s="141">
        <f>IFERROR(__xludf.DUMMYFUNCTION("""COMPUTED_VALUE"""),54.15)</f>
        <v/>
      </c>
      <c r="D66" s="141">
        <f>IFERROR(__xludf.DUMMYFUNCTION("""COMPUTED_VALUE"""),54.28)</f>
        <v/>
      </c>
      <c r="E66" s="141">
        <f>IFERROR(__xludf.DUMMYFUNCTION("""COMPUTED_VALUE"""),54.01)</f>
        <v/>
      </c>
      <c r="F66" s="141">
        <f>IFERROR(__xludf.DUMMYFUNCTION("""COMPUTED_VALUE"""),54.06)</f>
        <v/>
      </c>
      <c r="G66" s="143">
        <f>IFERROR(__xludf.DUMMYFUNCTION("""COMPUTED_VALUE"""),7974110)</f>
        <v/>
      </c>
      <c r="H66" s="27" t="n"/>
    </row>
    <row r="67" ht="17.25" customHeight="1" s="322">
      <c r="A67" s="27" t="n"/>
      <c r="B67" s="506">
        <f>IFERROR(__xludf.DUMMYFUNCTION("""COMPUTED_VALUE"""),45924.6666666666)</f>
        <v/>
      </c>
      <c r="C67" s="141">
        <f>IFERROR(__xludf.DUMMYFUNCTION("""COMPUTED_VALUE"""),54.02)</f>
        <v/>
      </c>
      <c r="D67" s="141">
        <f>IFERROR(__xludf.DUMMYFUNCTION("""COMPUTED_VALUE"""),54.17)</f>
        <v/>
      </c>
      <c r="E67" s="141">
        <f>IFERROR(__xludf.DUMMYFUNCTION("""COMPUTED_VALUE"""),53.9)</f>
        <v/>
      </c>
      <c r="F67" s="141">
        <f>IFERROR(__xludf.DUMMYFUNCTION("""COMPUTED_VALUE"""),53.96)</f>
        <v/>
      </c>
      <c r="G67" s="143">
        <f>IFERROR(__xludf.DUMMYFUNCTION("""COMPUTED_VALUE"""),12004363)</f>
        <v/>
      </c>
      <c r="H67" s="27" t="n"/>
    </row>
    <row r="68" ht="17.25" customHeight="1" s="322">
      <c r="A68" s="27" t="n"/>
      <c r="B68" s="506">
        <f>IFERROR(__xludf.DUMMYFUNCTION("""COMPUTED_VALUE"""),45925.6666666666)</f>
        <v/>
      </c>
      <c r="C68" s="141">
        <f>IFERROR(__xludf.DUMMYFUNCTION("""COMPUTED_VALUE"""),53.63)</f>
        <v/>
      </c>
      <c r="D68" s="141">
        <f>IFERROR(__xludf.DUMMYFUNCTION("""COMPUTED_VALUE"""),53.8)</f>
        <v/>
      </c>
      <c r="E68" s="141">
        <f>IFERROR(__xludf.DUMMYFUNCTION("""COMPUTED_VALUE"""),53.5)</f>
        <v/>
      </c>
      <c r="F68" s="141">
        <f>IFERROR(__xludf.DUMMYFUNCTION("""COMPUTED_VALUE"""),53.65)</f>
        <v/>
      </c>
      <c r="G68" s="143">
        <f>IFERROR(__xludf.DUMMYFUNCTION("""COMPUTED_VALUE"""),7593738)</f>
        <v/>
      </c>
      <c r="H68" s="27" t="n"/>
    </row>
    <row r="69" ht="17.25" customHeight="1" s="322">
      <c r="A69" s="27" t="n"/>
      <c r="B69" s="506">
        <f>IFERROR(__xludf.DUMMYFUNCTION("""COMPUTED_VALUE"""),45926.6666666666)</f>
        <v/>
      </c>
      <c r="C69" s="141">
        <f>IFERROR(__xludf.DUMMYFUNCTION("""COMPUTED_VALUE"""),53.3)</f>
        <v/>
      </c>
      <c r="D69" s="141">
        <f>IFERROR(__xludf.DUMMYFUNCTION("""COMPUTED_VALUE"""),53.56)</f>
        <v/>
      </c>
      <c r="E69" s="141">
        <f>IFERROR(__xludf.DUMMYFUNCTION("""COMPUTED_VALUE"""),53.24)</f>
        <v/>
      </c>
      <c r="F69" s="141">
        <f>IFERROR(__xludf.DUMMYFUNCTION("""COMPUTED_VALUE"""),53.55)</f>
        <v/>
      </c>
      <c r="G69" s="143">
        <f>IFERROR(__xludf.DUMMYFUNCTION("""COMPUTED_VALUE"""),8561443)</f>
        <v/>
      </c>
      <c r="H69" s="27" t="n"/>
    </row>
    <row r="70" ht="17.25" customHeight="1" s="322">
      <c r="A70" s="27" t="n"/>
      <c r="B70" s="506">
        <f>IFERROR(__xludf.DUMMYFUNCTION("""COMPUTED_VALUE"""),45929.6666666666)</f>
        <v/>
      </c>
      <c r="C70" s="141">
        <f>IFERROR(__xludf.DUMMYFUNCTION("""COMPUTED_VALUE"""),53.98)</f>
        <v/>
      </c>
      <c r="D70" s="141">
        <f>IFERROR(__xludf.DUMMYFUNCTION("""COMPUTED_VALUE"""),54.18)</f>
        <v/>
      </c>
      <c r="E70" s="141">
        <f>IFERROR(__xludf.DUMMYFUNCTION("""COMPUTED_VALUE"""),53.92)</f>
        <v/>
      </c>
      <c r="F70" s="141">
        <f>IFERROR(__xludf.DUMMYFUNCTION("""COMPUTED_VALUE"""),53.94)</f>
        <v/>
      </c>
      <c r="G70" s="143">
        <f>IFERROR(__xludf.DUMMYFUNCTION("""COMPUTED_VALUE"""),7232751)</f>
        <v/>
      </c>
      <c r="H70" s="27" t="n"/>
    </row>
    <row r="71" ht="17.25" customHeight="1" s="322">
      <c r="A71" s="27" t="n"/>
      <c r="B71" s="506">
        <f>IFERROR(__xludf.DUMMYFUNCTION("""COMPUTED_VALUE"""),45930.6666666666)</f>
        <v/>
      </c>
      <c r="C71" s="141">
        <f>IFERROR(__xludf.DUMMYFUNCTION("""COMPUTED_VALUE"""),54.13)</f>
        <v/>
      </c>
      <c r="D71" s="141">
        <f>IFERROR(__xludf.DUMMYFUNCTION("""COMPUTED_VALUE"""),54.25)</f>
        <v/>
      </c>
      <c r="E71" s="141">
        <f>IFERROR(__xludf.DUMMYFUNCTION("""COMPUTED_VALUE"""),54.05)</f>
        <v/>
      </c>
      <c r="F71" s="141">
        <f>IFERROR(__xludf.DUMMYFUNCTION("""COMPUTED_VALUE"""),54.18)</f>
        <v/>
      </c>
      <c r="G71" s="143">
        <f>IFERROR(__xludf.DUMMYFUNCTION("""COMPUTED_VALUE"""),15944258)</f>
        <v/>
      </c>
      <c r="H71" s="27" t="n"/>
    </row>
    <row r="72" ht="17.25" customHeight="1" s="322">
      <c r="A72" s="27" t="n"/>
      <c r="B72" s="506">
        <f>IFERROR(__xludf.DUMMYFUNCTION("""COMPUTED_VALUE"""),45931.6666666666)</f>
        <v/>
      </c>
      <c r="C72" s="141">
        <f>IFERROR(__xludf.DUMMYFUNCTION("""COMPUTED_VALUE"""),54.35)</f>
        <v/>
      </c>
      <c r="D72" s="141">
        <f>IFERROR(__xludf.DUMMYFUNCTION("""COMPUTED_VALUE"""),54.58)</f>
        <v/>
      </c>
      <c r="E72" s="141">
        <f>IFERROR(__xludf.DUMMYFUNCTION("""COMPUTED_VALUE"""),54.35)</f>
        <v/>
      </c>
      <c r="F72" s="141">
        <f>IFERROR(__xludf.DUMMYFUNCTION("""COMPUTED_VALUE"""),54.52)</f>
        <v/>
      </c>
      <c r="G72" s="143">
        <f>IFERROR(__xludf.DUMMYFUNCTION("""COMPUTED_VALUE"""),11431179)</f>
        <v/>
      </c>
      <c r="H72" s="27" t="n"/>
    </row>
    <row r="73" ht="17.25" customHeight="1" s="322">
      <c r="A73" s="27" t="n"/>
      <c r="B73" s="506">
        <f>IFERROR(__xludf.DUMMYFUNCTION("""COMPUTED_VALUE"""),45932.6666666666)</f>
        <v/>
      </c>
      <c r="C73" s="141">
        <f>IFERROR(__xludf.DUMMYFUNCTION("""COMPUTED_VALUE"""),54.9)</f>
        <v/>
      </c>
      <c r="D73" s="141">
        <f>IFERROR(__xludf.DUMMYFUNCTION("""COMPUTED_VALUE"""),54.94)</f>
        <v/>
      </c>
      <c r="E73" s="141">
        <f>IFERROR(__xludf.DUMMYFUNCTION("""COMPUTED_VALUE"""),54.48)</f>
        <v/>
      </c>
      <c r="F73" s="141">
        <f>IFERROR(__xludf.DUMMYFUNCTION("""COMPUTED_VALUE"""),54.67)</f>
        <v/>
      </c>
      <c r="G73" s="143">
        <f>IFERROR(__xludf.DUMMYFUNCTION("""COMPUTED_VALUE"""),9704403)</f>
        <v/>
      </c>
      <c r="H73" s="27" t="n"/>
    </row>
    <row r="74" ht="17.25" customHeight="1" s="322">
      <c r="A74" s="27" t="n"/>
      <c r="B74" s="506">
        <f>IFERROR(__xludf.DUMMYFUNCTION("""COMPUTED_VALUE"""),45933.6666666666)</f>
        <v/>
      </c>
      <c r="C74" s="141">
        <f>IFERROR(__xludf.DUMMYFUNCTION("""COMPUTED_VALUE"""),54.88)</f>
        <v/>
      </c>
      <c r="D74" s="141">
        <f>IFERROR(__xludf.DUMMYFUNCTION("""COMPUTED_VALUE"""),54.94)</f>
        <v/>
      </c>
      <c r="E74" s="141">
        <f>IFERROR(__xludf.DUMMYFUNCTION("""COMPUTED_VALUE"""),54.64)</f>
        <v/>
      </c>
      <c r="F74" s="141">
        <f>IFERROR(__xludf.DUMMYFUNCTION("""COMPUTED_VALUE"""),54.79)</f>
        <v/>
      </c>
      <c r="G74" s="143">
        <f>IFERROR(__xludf.DUMMYFUNCTION("""COMPUTED_VALUE"""),8221974)</f>
        <v/>
      </c>
      <c r="H74" s="27" t="n"/>
    </row>
    <row r="75" ht="17.25" customHeight="1" s="322">
      <c r="A75" s="27" t="n"/>
      <c r="B75" s="506">
        <f>IFERROR(__xludf.DUMMYFUNCTION("""COMPUTED_VALUE"""),45936.6666666666)</f>
        <v/>
      </c>
      <c r="C75" s="141">
        <f>IFERROR(__xludf.DUMMYFUNCTION("""COMPUTED_VALUE"""),54.88)</f>
        <v/>
      </c>
      <c r="D75" s="141">
        <f>IFERROR(__xludf.DUMMYFUNCTION("""COMPUTED_VALUE"""),55.04)</f>
        <v/>
      </c>
      <c r="E75" s="141">
        <f>IFERROR(__xludf.DUMMYFUNCTION("""COMPUTED_VALUE"""),54.82)</f>
        <v/>
      </c>
      <c r="F75" s="141">
        <f>IFERROR(__xludf.DUMMYFUNCTION("""COMPUTED_VALUE"""),54.98)</f>
        <v/>
      </c>
      <c r="G75" s="143">
        <f>IFERROR(__xludf.DUMMYFUNCTION("""COMPUTED_VALUE"""),8798675)</f>
        <v/>
      </c>
      <c r="H75" s="27" t="n"/>
    </row>
    <row r="76" ht="17.25" customHeight="1" s="322">
      <c r="A76" s="27" t="n"/>
      <c r="B76" s="506">
        <f>IFERROR(__xludf.DUMMYFUNCTION("""COMPUTED_VALUE"""),45937.6666666666)</f>
        <v/>
      </c>
      <c r="C76" s="141">
        <f>IFERROR(__xludf.DUMMYFUNCTION("""COMPUTED_VALUE"""),55.19)</f>
        <v/>
      </c>
      <c r="D76" s="141">
        <f>IFERROR(__xludf.DUMMYFUNCTION("""COMPUTED_VALUE"""),55.19)</f>
        <v/>
      </c>
      <c r="E76" s="141">
        <f>IFERROR(__xludf.DUMMYFUNCTION("""COMPUTED_VALUE"""),54.62)</f>
        <v/>
      </c>
      <c r="F76" s="141">
        <f>IFERROR(__xludf.DUMMYFUNCTION("""COMPUTED_VALUE"""),54.68)</f>
        <v/>
      </c>
      <c r="G76" s="143">
        <f>IFERROR(__xludf.DUMMYFUNCTION("""COMPUTED_VALUE"""),8179912)</f>
        <v/>
      </c>
      <c r="H76" s="27" t="n"/>
    </row>
    <row r="77" ht="17.25" customHeight="1" s="322">
      <c r="A77" s="27" t="n"/>
      <c r="B77" s="506">
        <f>IFERROR(__xludf.DUMMYFUNCTION("""COMPUTED_VALUE"""),45938.6666666666)</f>
        <v/>
      </c>
      <c r="C77" s="141">
        <f>IFERROR(__xludf.DUMMYFUNCTION("""COMPUTED_VALUE"""),54.84)</f>
        <v/>
      </c>
      <c r="D77" s="141">
        <f>IFERROR(__xludf.DUMMYFUNCTION("""COMPUTED_VALUE"""),55)</f>
        <v/>
      </c>
      <c r="E77" s="141">
        <f>IFERROR(__xludf.DUMMYFUNCTION("""COMPUTED_VALUE"""),54.72)</f>
        <v/>
      </c>
      <c r="F77" s="141">
        <f>IFERROR(__xludf.DUMMYFUNCTION("""COMPUTED_VALUE"""),54.99)</f>
        <v/>
      </c>
      <c r="G77" s="143">
        <f>IFERROR(__xludf.DUMMYFUNCTION("""COMPUTED_VALUE"""),7099910)</f>
        <v/>
      </c>
      <c r="H77" s="27" t="n"/>
    </row>
    <row r="78" ht="17.25" customHeight="1" s="322">
      <c r="A78" s="27" t="n"/>
      <c r="B78" s="506">
        <f>IFERROR(__xludf.DUMMYFUNCTION("""COMPUTED_VALUE"""),45939.6666666666)</f>
        <v/>
      </c>
      <c r="C78" s="141">
        <f>IFERROR(__xludf.DUMMYFUNCTION("""COMPUTED_VALUE"""),55.09)</f>
        <v/>
      </c>
      <c r="D78" s="141">
        <f>IFERROR(__xludf.DUMMYFUNCTION("""COMPUTED_VALUE"""),55.09)</f>
        <v/>
      </c>
      <c r="E78" s="141">
        <f>IFERROR(__xludf.DUMMYFUNCTION("""COMPUTED_VALUE"""),54.39)</f>
        <v/>
      </c>
      <c r="F78" s="141">
        <f>IFERROR(__xludf.DUMMYFUNCTION("""COMPUTED_VALUE"""),54.51)</f>
        <v/>
      </c>
      <c r="G78" s="143">
        <f>IFERROR(__xludf.DUMMYFUNCTION("""COMPUTED_VALUE"""),9095663)</f>
        <v/>
      </c>
      <c r="H78" s="27" t="n"/>
    </row>
    <row r="79" ht="17.25" customHeight="1" s="322">
      <c r="A79" s="27" t="n"/>
      <c r="B79" s="506">
        <f>IFERROR(__xludf.DUMMYFUNCTION("""COMPUTED_VALUE"""),45940.6666666666)</f>
        <v/>
      </c>
      <c r="C79" s="141">
        <f>IFERROR(__xludf.DUMMYFUNCTION("""COMPUTED_VALUE"""),54.47)</f>
        <v/>
      </c>
      <c r="D79" s="141">
        <f>IFERROR(__xludf.DUMMYFUNCTION("""COMPUTED_VALUE"""),54.52)</f>
        <v/>
      </c>
      <c r="E79" s="141">
        <f>IFERROR(__xludf.DUMMYFUNCTION("""COMPUTED_VALUE"""),52.41)</f>
        <v/>
      </c>
      <c r="F79" s="141">
        <f>IFERROR(__xludf.DUMMYFUNCTION("""COMPUTED_VALUE"""),52.54)</f>
        <v/>
      </c>
      <c r="G79" s="143">
        <f>IFERROR(__xludf.DUMMYFUNCTION("""COMPUTED_VALUE"""),20103538)</f>
        <v/>
      </c>
      <c r="H79" s="27" t="n"/>
    </row>
    <row r="80" ht="17.25" customHeight="1" s="322">
      <c r="A80" s="27" t="n"/>
      <c r="B80" s="506">
        <f>IFERROR(__xludf.DUMMYFUNCTION("""COMPUTED_VALUE"""),45943.6666666666)</f>
        <v/>
      </c>
      <c r="C80" s="141">
        <f>IFERROR(__xludf.DUMMYFUNCTION("""COMPUTED_VALUE"""),54)</f>
        <v/>
      </c>
      <c r="D80" s="141">
        <f>IFERROR(__xludf.DUMMYFUNCTION("""COMPUTED_VALUE"""),54.19)</f>
        <v/>
      </c>
      <c r="E80" s="141">
        <f>IFERROR(__xludf.DUMMYFUNCTION("""COMPUTED_VALUE"""),53.76)</f>
        <v/>
      </c>
      <c r="F80" s="141">
        <f>IFERROR(__xludf.DUMMYFUNCTION("""COMPUTED_VALUE"""),54)</f>
        <v/>
      </c>
      <c r="G80" s="143">
        <f>IFERROR(__xludf.DUMMYFUNCTION("""COMPUTED_VALUE"""),7688763)</f>
        <v/>
      </c>
      <c r="H80" s="27" t="n"/>
    </row>
    <row r="81" ht="17.25" customHeight="1" s="322">
      <c r="A81" s="27" t="n"/>
      <c r="B81" s="506">
        <f>IFERROR(__xludf.DUMMYFUNCTION("""COMPUTED_VALUE"""),45944.6666666666)</f>
        <v/>
      </c>
      <c r="C81" s="141">
        <f>IFERROR(__xludf.DUMMYFUNCTION("""COMPUTED_VALUE"""),53.2)</f>
        <v/>
      </c>
      <c r="D81" s="141">
        <f>IFERROR(__xludf.DUMMYFUNCTION("""COMPUTED_VALUE"""),53.86)</f>
        <v/>
      </c>
      <c r="E81" s="141">
        <f>IFERROR(__xludf.DUMMYFUNCTION("""COMPUTED_VALUE"""),53.11)</f>
        <v/>
      </c>
      <c r="F81" s="141">
        <f>IFERROR(__xludf.DUMMYFUNCTION("""COMPUTED_VALUE"""),53.52)</f>
        <v/>
      </c>
      <c r="G81" s="143">
        <f>IFERROR(__xludf.DUMMYFUNCTION("""COMPUTED_VALUE"""),11937526)</f>
        <v/>
      </c>
      <c r="H81" s="27" t="n"/>
    </row>
    <row r="82" ht="17.25" customHeight="1" s="322">
      <c r="A82" s="27" t="n"/>
      <c r="B82" s="506">
        <f>IFERROR(__xludf.DUMMYFUNCTION("""COMPUTED_VALUE"""),45945.6666666666)</f>
        <v/>
      </c>
      <c r="C82" s="141">
        <f>IFERROR(__xludf.DUMMYFUNCTION("""COMPUTED_VALUE"""),54.36)</f>
        <v/>
      </c>
      <c r="D82" s="141">
        <f>IFERROR(__xludf.DUMMYFUNCTION("""COMPUTED_VALUE"""),54.52)</f>
        <v/>
      </c>
      <c r="E82" s="141">
        <f>IFERROR(__xludf.DUMMYFUNCTION("""COMPUTED_VALUE"""),54.01)</f>
        <v/>
      </c>
      <c r="F82" s="141">
        <f>IFERROR(__xludf.DUMMYFUNCTION("""COMPUTED_VALUE"""),54.33)</f>
        <v/>
      </c>
      <c r="G82" s="143">
        <f>IFERROR(__xludf.DUMMYFUNCTION("""COMPUTED_VALUE"""),9740043)</f>
        <v/>
      </c>
      <c r="H82" s="27" t="n"/>
    </row>
    <row r="83" ht="17.25" customHeight="1" s="322">
      <c r="A83" s="27" t="n"/>
      <c r="B83" s="506">
        <f>IFERROR(__xludf.DUMMYFUNCTION("""COMPUTED_VALUE"""),45946.6666666666)</f>
        <v/>
      </c>
      <c r="C83" s="141">
        <f>IFERROR(__xludf.DUMMYFUNCTION("""COMPUTED_VALUE"""),54.64)</f>
        <v/>
      </c>
      <c r="D83" s="141">
        <f>IFERROR(__xludf.DUMMYFUNCTION("""COMPUTED_VALUE"""),54.87)</f>
        <v/>
      </c>
      <c r="E83" s="141">
        <f>IFERROR(__xludf.DUMMYFUNCTION("""COMPUTED_VALUE"""),54.39)</f>
        <v/>
      </c>
      <c r="F83" s="141">
        <f>IFERROR(__xludf.DUMMYFUNCTION("""COMPUTED_VALUE"""),54.51)</f>
        <v/>
      </c>
      <c r="G83" s="143">
        <f>IFERROR(__xludf.DUMMYFUNCTION("""COMPUTED_VALUE"""),11303663)</f>
        <v/>
      </c>
      <c r="H83" s="27" t="n"/>
    </row>
    <row r="84" ht="17.25" customHeight="1" s="322">
      <c r="A84" s="27" t="n"/>
      <c r="B84" s="506">
        <f>IFERROR(__xludf.DUMMYFUNCTION("""COMPUTED_VALUE"""),45947.6666666666)</f>
        <v/>
      </c>
      <c r="C84" s="141">
        <f>IFERROR(__xludf.DUMMYFUNCTION("""COMPUTED_VALUE"""),54.06)</f>
        <v/>
      </c>
      <c r="D84" s="141">
        <f>IFERROR(__xludf.DUMMYFUNCTION("""COMPUTED_VALUE"""),54.5)</f>
        <v/>
      </c>
      <c r="E84" s="141">
        <f>IFERROR(__xludf.DUMMYFUNCTION("""COMPUTED_VALUE"""),54.01)</f>
        <v/>
      </c>
      <c r="F84" s="141">
        <f>IFERROR(__xludf.DUMMYFUNCTION("""COMPUTED_VALUE"""),54.38)</f>
        <v/>
      </c>
      <c r="G84" s="143">
        <f>IFERROR(__xludf.DUMMYFUNCTION("""COMPUTED_VALUE"""),7325494)</f>
        <v/>
      </c>
      <c r="H84" s="27" t="n"/>
    </row>
    <row r="85" ht="17.25" customHeight="1" s="322">
      <c r="A85" s="27" t="n"/>
      <c r="B85" s="506">
        <f>IFERROR(__xludf.DUMMYFUNCTION("""COMPUTED_VALUE"""),45950.6666666666)</f>
        <v/>
      </c>
      <c r="C85" s="141">
        <f>IFERROR(__xludf.DUMMYFUNCTION("""COMPUTED_VALUE"""),54.65)</f>
        <v/>
      </c>
      <c r="D85" s="141">
        <f>IFERROR(__xludf.DUMMYFUNCTION("""COMPUTED_VALUE"""),55.09)</f>
        <v/>
      </c>
      <c r="E85" s="141">
        <f>IFERROR(__xludf.DUMMYFUNCTION("""COMPUTED_VALUE"""),54.62)</f>
        <v/>
      </c>
      <c r="F85" s="141">
        <f>IFERROR(__xludf.DUMMYFUNCTION("""COMPUTED_VALUE"""),55.03)</f>
        <v/>
      </c>
      <c r="G85" s="143">
        <f>IFERROR(__xludf.DUMMYFUNCTION("""COMPUTED_VALUE"""),6237546)</f>
        <v/>
      </c>
      <c r="H85" s="27" t="n"/>
    </row>
    <row r="86" ht="17.25" customHeight="1" s="322">
      <c r="A86" s="27" t="n"/>
      <c r="B86" s="506">
        <f>IFERROR(__xludf.DUMMYFUNCTION("""COMPUTED_VALUE"""),45951.6666666666)</f>
        <v/>
      </c>
      <c r="C86" s="141">
        <f>IFERROR(__xludf.DUMMYFUNCTION("""COMPUTED_VALUE"""),54.76)</f>
        <v/>
      </c>
      <c r="D86" s="141">
        <f>IFERROR(__xludf.DUMMYFUNCTION("""COMPUTED_VALUE"""),54.77)</f>
        <v/>
      </c>
      <c r="E86" s="141">
        <f>IFERROR(__xludf.DUMMYFUNCTION("""COMPUTED_VALUE"""),54.54)</f>
        <v/>
      </c>
      <c r="F86" s="141">
        <f>IFERROR(__xludf.DUMMYFUNCTION("""COMPUTED_VALUE"""),54.54)</f>
        <v/>
      </c>
      <c r="G86" s="143">
        <f>IFERROR(__xludf.DUMMYFUNCTION("""COMPUTED_VALUE"""),6480865)</f>
        <v/>
      </c>
      <c r="H86" s="27" t="n"/>
    </row>
    <row r="87" ht="17.25" customHeight="1" s="322">
      <c r="A87" s="27" t="n"/>
      <c r="B87" s="506">
        <f>IFERROR(__xludf.DUMMYFUNCTION("""COMPUTED_VALUE"""),45952.6666666666)</f>
        <v/>
      </c>
      <c r="C87" s="141">
        <f>IFERROR(__xludf.DUMMYFUNCTION("""COMPUTED_VALUE"""),54.64)</f>
        <v/>
      </c>
      <c r="D87" s="141">
        <f>IFERROR(__xludf.DUMMYFUNCTION("""COMPUTED_VALUE"""),54.85)</f>
        <v/>
      </c>
      <c r="E87" s="141">
        <f>IFERROR(__xludf.DUMMYFUNCTION("""COMPUTED_VALUE"""),54.24)</f>
        <v/>
      </c>
      <c r="F87" s="141">
        <f>IFERROR(__xludf.DUMMYFUNCTION("""COMPUTED_VALUE"""),54.51)</f>
        <v/>
      </c>
      <c r="G87" s="143">
        <f>IFERROR(__xludf.DUMMYFUNCTION("""COMPUTED_VALUE"""),7893752)</f>
        <v/>
      </c>
      <c r="H87" s="27" t="n"/>
    </row>
    <row r="88" ht="17.25" customHeight="1" s="322">
      <c r="A88" s="27" t="n"/>
      <c r="B88" s="506">
        <f>IFERROR(__xludf.DUMMYFUNCTION("""COMPUTED_VALUE"""),45953.6666666666)</f>
        <v/>
      </c>
      <c r="C88" s="141">
        <f>IFERROR(__xludf.DUMMYFUNCTION("""COMPUTED_VALUE"""),54.72)</f>
        <v/>
      </c>
      <c r="D88" s="141">
        <f>IFERROR(__xludf.DUMMYFUNCTION("""COMPUTED_VALUE"""),55.04)</f>
        <v/>
      </c>
      <c r="E88" s="141">
        <f>IFERROR(__xludf.DUMMYFUNCTION("""COMPUTED_VALUE"""),54.68)</f>
        <v/>
      </c>
      <c r="F88" s="141">
        <f>IFERROR(__xludf.DUMMYFUNCTION("""COMPUTED_VALUE"""),54.92)</f>
        <v/>
      </c>
      <c r="G88" s="143">
        <f>IFERROR(__xludf.DUMMYFUNCTION("""COMPUTED_VALUE"""),5989288)</f>
        <v/>
      </c>
      <c r="H88" s="27" t="n"/>
    </row>
    <row r="89" ht="17.25" customHeight="1" s="322">
      <c r="A89" s="27" t="n"/>
      <c r="B89" s="506">
        <f>IFERROR(__xludf.DUMMYFUNCTION("""COMPUTED_VALUE"""),45954.6666666666)</f>
        <v/>
      </c>
      <c r="C89" s="141">
        <f>IFERROR(__xludf.DUMMYFUNCTION("""COMPUTED_VALUE"""),55.24)</f>
        <v/>
      </c>
      <c r="D89" s="141">
        <f>IFERROR(__xludf.DUMMYFUNCTION("""COMPUTED_VALUE"""),55.31)</f>
        <v/>
      </c>
      <c r="E89" s="141">
        <f>IFERROR(__xludf.DUMMYFUNCTION("""COMPUTED_VALUE"""),55.13)</f>
        <v/>
      </c>
      <c r="F89" s="141">
        <f>IFERROR(__xludf.DUMMYFUNCTION("""COMPUTED_VALUE"""),55.18)</f>
        <v/>
      </c>
      <c r="G89" s="143">
        <f>IFERROR(__xludf.DUMMYFUNCTION("""COMPUTED_VALUE"""),5573330)</f>
        <v/>
      </c>
      <c r="H89" s="27" t="n"/>
    </row>
    <row r="90" ht="17.25" customHeight="1" s="322">
      <c r="A90" s="27" t="n"/>
      <c r="B90" s="506">
        <f>IFERROR(__xludf.DUMMYFUNCTION("""COMPUTED_VALUE"""),45957.6666666666)</f>
        <v/>
      </c>
      <c r="C90" s="141">
        <f>IFERROR(__xludf.DUMMYFUNCTION("""COMPUTED_VALUE"""),55.62)</f>
        <v/>
      </c>
      <c r="D90" s="141">
        <f>IFERROR(__xludf.DUMMYFUNCTION("""COMPUTED_VALUE"""),55.67)</f>
        <v/>
      </c>
      <c r="E90" s="141">
        <f>IFERROR(__xludf.DUMMYFUNCTION("""COMPUTED_VALUE"""),55.46)</f>
        <v/>
      </c>
      <c r="F90" s="141">
        <f>IFERROR(__xludf.DUMMYFUNCTION("""COMPUTED_VALUE"""),55.64)</f>
        <v/>
      </c>
      <c r="G90" s="143">
        <f>IFERROR(__xludf.DUMMYFUNCTION("""COMPUTED_VALUE"""),5513351)</f>
        <v/>
      </c>
      <c r="H90" s="27" t="n"/>
    </row>
    <row r="91" ht="17.25" customHeight="1" s="322">
      <c r="A91" s="27" t="n"/>
      <c r="B91" s="506">
        <f>IFERROR(__xludf.DUMMYFUNCTION("""COMPUTED_VALUE"""),45958.6666666666)</f>
        <v/>
      </c>
      <c r="C91" s="141">
        <f>IFERROR(__xludf.DUMMYFUNCTION("""COMPUTED_VALUE"""),55.36)</f>
        <v/>
      </c>
      <c r="D91" s="141">
        <f>IFERROR(__xludf.DUMMYFUNCTION("""COMPUTED_VALUE"""),55.66)</f>
        <v/>
      </c>
      <c r="E91" s="141">
        <f>IFERROR(__xludf.DUMMYFUNCTION("""COMPUTED_VALUE"""),55.27)</f>
        <v/>
      </c>
      <c r="F91" s="141">
        <f>IFERROR(__xludf.DUMMYFUNCTION("""COMPUTED_VALUE"""),55.61)</f>
        <v/>
      </c>
      <c r="G91" s="143">
        <f>IFERROR(__xludf.DUMMYFUNCTION("""COMPUTED_VALUE"""),7194319)</f>
        <v/>
      </c>
      <c r="H91" s="27" t="n"/>
    </row>
    <row r="92" ht="17.25" customHeight="1" s="322">
      <c r="A92" s="27" t="n"/>
      <c r="B92" s="506">
        <f>IFERROR(__xludf.DUMMYFUNCTION("""COMPUTED_VALUE"""),45959.6666666666)</f>
        <v/>
      </c>
      <c r="C92" s="141">
        <f>IFERROR(__xludf.DUMMYFUNCTION("""COMPUTED_VALUE"""),55.98)</f>
        <v/>
      </c>
      <c r="D92" s="141">
        <f>IFERROR(__xludf.DUMMYFUNCTION("""COMPUTED_VALUE"""),56.04)</f>
        <v/>
      </c>
      <c r="E92" s="141">
        <f>IFERROR(__xludf.DUMMYFUNCTION("""COMPUTED_VALUE"""),55.53)</f>
        <v/>
      </c>
      <c r="F92" s="141">
        <f>IFERROR(__xludf.DUMMYFUNCTION("""COMPUTED_VALUE"""),55.77)</f>
        <v/>
      </c>
      <c r="G92" s="143">
        <f>IFERROR(__xludf.DUMMYFUNCTION("""COMPUTED_VALUE"""),11930283)</f>
        <v/>
      </c>
      <c r="H92" s="27" t="n"/>
    </row>
    <row r="93" ht="17.25" customHeight="1" s="322">
      <c r="A93" s="27" t="n"/>
      <c r="B93" s="506">
        <f>IFERROR(__xludf.DUMMYFUNCTION("""COMPUTED_VALUE"""),45960.6666666666)</f>
        <v/>
      </c>
      <c r="C93" s="141">
        <f>IFERROR(__xludf.DUMMYFUNCTION("""COMPUTED_VALUE"""),55.23)</f>
        <v/>
      </c>
      <c r="D93" s="141">
        <f>IFERROR(__xludf.DUMMYFUNCTION("""COMPUTED_VALUE"""),55.43)</f>
        <v/>
      </c>
      <c r="E93" s="141">
        <f>IFERROR(__xludf.DUMMYFUNCTION("""COMPUTED_VALUE"""),55.1)</f>
        <v/>
      </c>
      <c r="F93" s="141">
        <f>IFERROR(__xludf.DUMMYFUNCTION("""COMPUTED_VALUE"""),55.19)</f>
        <v/>
      </c>
      <c r="G93" s="143">
        <f>IFERROR(__xludf.DUMMYFUNCTION("""COMPUTED_VALUE"""),6294233)</f>
        <v/>
      </c>
      <c r="H93" s="27" t="n"/>
    </row>
    <row r="94" ht="17.25" customHeight="1" s="322">
      <c r="A94" s="27" t="n"/>
      <c r="B94" s="506">
        <f>IFERROR(__xludf.DUMMYFUNCTION("""COMPUTED_VALUE"""),45961.6666666666)</f>
        <v/>
      </c>
      <c r="C94" s="141">
        <f>IFERROR(__xludf.DUMMYFUNCTION("""COMPUTED_VALUE"""),55.01)</f>
        <v/>
      </c>
      <c r="D94" s="141">
        <f>IFERROR(__xludf.DUMMYFUNCTION("""COMPUTED_VALUE"""),55.03)</f>
        <v/>
      </c>
      <c r="E94" s="141">
        <f>IFERROR(__xludf.DUMMYFUNCTION("""COMPUTED_VALUE"""),54.76)</f>
        <v/>
      </c>
      <c r="F94" s="141">
        <f>IFERROR(__xludf.DUMMYFUNCTION("""COMPUTED_VALUE"""),54.97)</f>
        <v/>
      </c>
      <c r="G94" s="143">
        <f>IFERROR(__xludf.DUMMYFUNCTION("""COMPUTED_VALUE"""),9610505)</f>
        <v/>
      </c>
      <c r="H94" s="27" t="n"/>
    </row>
    <row r="95" ht="17.25" customHeight="1" s="322">
      <c r="A95" s="27" t="n"/>
      <c r="B95" s="506">
        <f>IFERROR(__xludf.DUMMYFUNCTION("""COMPUTED_VALUE"""),45964.6666666666)</f>
        <v/>
      </c>
      <c r="C95" s="141">
        <f>IFERROR(__xludf.DUMMYFUNCTION("""COMPUTED_VALUE"""),55.09)</f>
        <v/>
      </c>
      <c r="D95" s="141">
        <f>IFERROR(__xludf.DUMMYFUNCTION("""COMPUTED_VALUE"""),55.15)</f>
        <v/>
      </c>
      <c r="E95" s="141">
        <f>IFERROR(__xludf.DUMMYFUNCTION("""COMPUTED_VALUE"""),54.83)</f>
        <v/>
      </c>
      <c r="F95" s="141">
        <f>IFERROR(__xludf.DUMMYFUNCTION("""COMPUTED_VALUE"""),55.09)</f>
        <v/>
      </c>
      <c r="G95" s="143">
        <f>IFERROR(__xludf.DUMMYFUNCTION("""COMPUTED_VALUE"""),6643053)</f>
        <v/>
      </c>
      <c r="H95" s="27" t="n"/>
    </row>
    <row r="96" ht="17.25" customHeight="1" s="322">
      <c r="A96" s="27" t="n"/>
      <c r="B96" s="506">
        <f>IFERROR(__xludf.DUMMYFUNCTION("""COMPUTED_VALUE"""),45965.6666666666)</f>
        <v/>
      </c>
      <c r="C96" s="141">
        <f>IFERROR(__xludf.DUMMYFUNCTION("""COMPUTED_VALUE"""),54.36)</f>
        <v/>
      </c>
      <c r="D96" s="141">
        <f>IFERROR(__xludf.DUMMYFUNCTION("""COMPUTED_VALUE"""),54.68)</f>
        <v/>
      </c>
      <c r="E96" s="141">
        <f>IFERROR(__xludf.DUMMYFUNCTION("""COMPUTED_VALUE"""),54.32)</f>
        <v/>
      </c>
      <c r="F96" s="141">
        <f>IFERROR(__xludf.DUMMYFUNCTION("""COMPUTED_VALUE"""),54.32)</f>
        <v/>
      </c>
      <c r="G96" s="143">
        <f>IFERROR(__xludf.DUMMYFUNCTION("""COMPUTED_VALUE"""),6179320)</f>
        <v/>
      </c>
      <c r="H96" s="27" t="n"/>
    </row>
    <row r="97" ht="17.25" customHeight="1" s="322">
      <c r="A97" s="27" t="n"/>
      <c r="B97" s="506">
        <f>IFERROR(__xludf.DUMMYFUNCTION("""COMPUTED_VALUE"""),45966.6666666666)</f>
        <v/>
      </c>
      <c r="C97" s="141">
        <f>IFERROR(__xludf.DUMMYFUNCTION("""COMPUTED_VALUE"""),54.52)</f>
        <v/>
      </c>
      <c r="D97" s="141">
        <f>IFERROR(__xludf.DUMMYFUNCTION("""COMPUTED_VALUE"""),54.93)</f>
        <v/>
      </c>
      <c r="E97" s="141">
        <f>IFERROR(__xludf.DUMMYFUNCTION("""COMPUTED_VALUE"""),54.4)</f>
        <v/>
      </c>
      <c r="F97" s="141">
        <f>IFERROR(__xludf.DUMMYFUNCTION("""COMPUTED_VALUE"""),54.8)</f>
        <v/>
      </c>
      <c r="G97" s="143">
        <f>IFERROR(__xludf.DUMMYFUNCTION("""COMPUTED_VALUE"""),7337957)</f>
        <v/>
      </c>
      <c r="H97" s="27" t="n"/>
    </row>
    <row r="98" ht="17.25" customHeight="1" s="322">
      <c r="A98" s="27" t="n"/>
      <c r="B98" s="506">
        <f>IFERROR(__xludf.DUMMYFUNCTION("""COMPUTED_VALUE"""),45967.6666666666)</f>
        <v/>
      </c>
      <c r="C98" s="141">
        <f>IFERROR(__xludf.DUMMYFUNCTION("""COMPUTED_VALUE"""),54.89)</f>
        <v/>
      </c>
      <c r="D98" s="141">
        <f>IFERROR(__xludf.DUMMYFUNCTION("""COMPUTED_VALUE"""),55.03)</f>
        <v/>
      </c>
      <c r="E98" s="141">
        <f>IFERROR(__xludf.DUMMYFUNCTION("""COMPUTED_VALUE"""),54.46)</f>
        <v/>
      </c>
      <c r="F98" s="141">
        <f>IFERROR(__xludf.DUMMYFUNCTION("""COMPUTED_VALUE"""),54.59)</f>
        <v/>
      </c>
      <c r="G98" s="143">
        <f>IFERROR(__xludf.DUMMYFUNCTION("""COMPUTED_VALUE"""),6675818)</f>
        <v/>
      </c>
      <c r="H98" s="27" t="n"/>
    </row>
    <row r="99" ht="17.25" customHeight="1" s="322">
      <c r="A99" s="27" t="n"/>
      <c r="B99" s="506">
        <f>IFERROR(__xludf.DUMMYFUNCTION("""COMPUTED_VALUE"""),45968.6666666666)</f>
        <v/>
      </c>
      <c r="C99" s="141">
        <f>IFERROR(__xludf.DUMMYFUNCTION("""COMPUTED_VALUE"""),54.22)</f>
        <v/>
      </c>
      <c r="D99" s="141">
        <f>IFERROR(__xludf.DUMMYFUNCTION("""COMPUTED_VALUE"""),54.55)</f>
        <v/>
      </c>
      <c r="E99" s="141">
        <f>IFERROR(__xludf.DUMMYFUNCTION("""COMPUTED_VALUE"""),53.94)</f>
        <v/>
      </c>
      <c r="F99" s="141">
        <f>IFERROR(__xludf.DUMMYFUNCTION("""COMPUTED_VALUE"""),54.54)</f>
        <v/>
      </c>
      <c r="G99" s="143">
        <f>IFERROR(__xludf.DUMMYFUNCTION("""COMPUTED_VALUE"""),10780572)</f>
        <v/>
      </c>
      <c r="H99" s="27" t="n"/>
    </row>
    <row r="100" ht="17.25" customHeight="1" s="322">
      <c r="A100" s="27" t="n"/>
      <c r="B100" s="506">
        <f>IFERROR(__xludf.DUMMYFUNCTION("""COMPUTED_VALUE"""),45971.6666666666)</f>
        <v/>
      </c>
      <c r="C100" s="141">
        <f>IFERROR(__xludf.DUMMYFUNCTION("""COMPUTED_VALUE"""),55.09)</f>
        <v/>
      </c>
      <c r="D100" s="141">
        <f>IFERROR(__xludf.DUMMYFUNCTION("""COMPUTED_VALUE"""),55.3)</f>
        <v/>
      </c>
      <c r="E100" s="141">
        <f>IFERROR(__xludf.DUMMYFUNCTION("""COMPUTED_VALUE"""),54.91)</f>
        <v/>
      </c>
      <c r="F100" s="141">
        <f>IFERROR(__xludf.DUMMYFUNCTION("""COMPUTED_VALUE"""),55.27)</f>
        <v/>
      </c>
      <c r="G100" s="143">
        <f>IFERROR(__xludf.DUMMYFUNCTION("""COMPUTED_VALUE"""),5852813)</f>
        <v/>
      </c>
      <c r="H100" s="27" t="n"/>
    </row>
    <row r="101" ht="17.25" customHeight="1" s="322">
      <c r="A101" s="27" t="n"/>
      <c r="B101" s="506">
        <f>IFERROR(__xludf.DUMMYFUNCTION("""COMPUTED_VALUE"""),45972.6666666666)</f>
        <v/>
      </c>
      <c r="C101" s="141">
        <f>IFERROR(__xludf.DUMMYFUNCTION("""COMPUTED_VALUE"""),55.26)</f>
        <v/>
      </c>
      <c r="D101" s="141">
        <f>IFERROR(__xludf.DUMMYFUNCTION("""COMPUTED_VALUE"""),55.44)</f>
        <v/>
      </c>
      <c r="E101" s="141">
        <f>IFERROR(__xludf.DUMMYFUNCTION("""COMPUTED_VALUE"""),55.17)</f>
        <v/>
      </c>
      <c r="F101" s="141">
        <f>IFERROR(__xludf.DUMMYFUNCTION("""COMPUTED_VALUE"""),55.33)</f>
        <v/>
      </c>
      <c r="G101" s="143">
        <f>IFERROR(__xludf.DUMMYFUNCTION("""COMPUTED_VALUE"""),6931798)</f>
        <v/>
      </c>
      <c r="H101" s="27" t="n"/>
    </row>
    <row r="102" ht="17.25" customHeight="1" s="322">
      <c r="A102" s="27" t="n"/>
      <c r="B102" s="506">
        <f>IFERROR(__xludf.DUMMYFUNCTION("""COMPUTED_VALUE"""),45973.6666666666)</f>
        <v/>
      </c>
      <c r="C102" s="141">
        <f>IFERROR(__xludf.DUMMYFUNCTION("""COMPUTED_VALUE"""),55.3)</f>
        <v/>
      </c>
      <c r="D102" s="141">
        <f>IFERROR(__xludf.DUMMYFUNCTION("""COMPUTED_VALUE"""),55.36)</f>
        <v/>
      </c>
      <c r="E102" s="141">
        <f>IFERROR(__xludf.DUMMYFUNCTION("""COMPUTED_VALUE"""),55.07)</f>
        <v/>
      </c>
      <c r="F102" s="141">
        <f>IFERROR(__xludf.DUMMYFUNCTION("""COMPUTED_VALUE"""),55.32)</f>
        <v/>
      </c>
      <c r="G102" s="143">
        <f>IFERROR(__xludf.DUMMYFUNCTION("""COMPUTED_VALUE"""),11239309)</f>
        <v/>
      </c>
      <c r="H102" s="27" t="n"/>
    </row>
    <row r="103" ht="17.25" customHeight="1" s="322">
      <c r="A103" s="27" t="n"/>
      <c r="B103" s="506">
        <f>IFERROR(__xludf.DUMMYFUNCTION("""COMPUTED_VALUE"""),45974.6666666666)</f>
        <v/>
      </c>
      <c r="C103" s="141">
        <f>IFERROR(__xludf.DUMMYFUNCTION("""COMPUTED_VALUE"""),55.45)</f>
        <v/>
      </c>
      <c r="D103" s="141">
        <f>IFERROR(__xludf.DUMMYFUNCTION("""COMPUTED_VALUE"""),55.45)</f>
        <v/>
      </c>
      <c r="E103" s="141">
        <f>IFERROR(__xludf.DUMMYFUNCTION("""COMPUTED_VALUE"""),54.72)</f>
        <v/>
      </c>
      <c r="F103" s="141">
        <f>IFERROR(__xludf.DUMMYFUNCTION("""COMPUTED_VALUE"""),54.83)</f>
        <v/>
      </c>
      <c r="G103" s="143">
        <f>IFERROR(__xludf.DUMMYFUNCTION("""COMPUTED_VALUE"""),6675718)</f>
        <v/>
      </c>
      <c r="H103" s="27" t="n"/>
    </row>
    <row r="104" ht="17.25" customHeight="1" s="322">
      <c r="A104" s="27" t="n"/>
      <c r="B104" s="506">
        <f>IFERROR(__xludf.DUMMYFUNCTION("""COMPUTED_VALUE"""),45975.6666666666)</f>
        <v/>
      </c>
      <c r="C104" s="141">
        <f>IFERROR(__xludf.DUMMYFUNCTION("""COMPUTED_VALUE"""),54.53)</f>
        <v/>
      </c>
      <c r="D104" s="141">
        <f>IFERROR(__xludf.DUMMYFUNCTION("""COMPUTED_VALUE"""),55.15)</f>
        <v/>
      </c>
      <c r="E104" s="141">
        <f>IFERROR(__xludf.DUMMYFUNCTION("""COMPUTED_VALUE"""),54.41)</f>
        <v/>
      </c>
      <c r="F104" s="141">
        <f>IFERROR(__xludf.DUMMYFUNCTION("""COMPUTED_VALUE"""),54.85)</f>
        <v/>
      </c>
      <c r="G104" s="143">
        <f>IFERROR(__xludf.DUMMYFUNCTION("""COMPUTED_VALUE"""),7539911)</f>
        <v/>
      </c>
      <c r="H104" s="27" t="n"/>
    </row>
    <row r="105" ht="17.25" customHeight="1" s="322">
      <c r="A105" s="27" t="n"/>
      <c r="B105" s="506">
        <f>IFERROR(__xludf.DUMMYFUNCTION("""COMPUTED_VALUE"""),45978.6666666666)</f>
        <v/>
      </c>
      <c r="C105" s="141">
        <f>IFERROR(__xludf.DUMMYFUNCTION("""COMPUTED_VALUE"""),54.42)</f>
        <v/>
      </c>
      <c r="D105" s="141">
        <f>IFERROR(__xludf.DUMMYFUNCTION("""COMPUTED_VALUE"""),54.7)</f>
        <v/>
      </c>
      <c r="E105" s="141">
        <f>IFERROR(__xludf.DUMMYFUNCTION("""COMPUTED_VALUE"""),54.06)</f>
        <v/>
      </c>
      <c r="F105" s="141">
        <f>IFERROR(__xludf.DUMMYFUNCTION("""COMPUTED_VALUE"""),54.22)</f>
        <v/>
      </c>
      <c r="G105" s="143">
        <f>IFERROR(__xludf.DUMMYFUNCTION("""COMPUTED_VALUE"""),13415328)</f>
        <v/>
      </c>
      <c r="H105" s="27" t="n"/>
    </row>
    <row r="106" ht="17.25" customHeight="1" s="322">
      <c r="A106" s="27" t="n"/>
      <c r="B106" s="506">
        <f>IFERROR(__xludf.DUMMYFUNCTION("""COMPUTED_VALUE"""),45979.6666666666)</f>
        <v/>
      </c>
      <c r="C106" s="141">
        <f>IFERROR(__xludf.DUMMYFUNCTION("""COMPUTED_VALUE"""),53.86)</f>
        <v/>
      </c>
      <c r="D106" s="141">
        <f>IFERROR(__xludf.DUMMYFUNCTION("""COMPUTED_VALUE"""),54.2)</f>
        <v/>
      </c>
      <c r="E106" s="141">
        <f>IFERROR(__xludf.DUMMYFUNCTION("""COMPUTED_VALUE"""),53.69)</f>
        <v/>
      </c>
      <c r="F106" s="141">
        <f>IFERROR(__xludf.DUMMYFUNCTION("""COMPUTED_VALUE"""),54.04)</f>
        <v/>
      </c>
      <c r="G106" s="143">
        <f>IFERROR(__xludf.DUMMYFUNCTION("""COMPUTED_VALUE"""),10004825)</f>
        <v/>
      </c>
      <c r="H106" s="27" t="n"/>
    </row>
    <row r="107" ht="17.25" customHeight="1" s="322">
      <c r="A107" s="27" t="n"/>
      <c r="B107" s="506">
        <f>IFERROR(__xludf.DUMMYFUNCTION("""COMPUTED_VALUE"""),45980.6666666666)</f>
        <v/>
      </c>
      <c r="C107" s="141">
        <f>IFERROR(__xludf.DUMMYFUNCTION("""COMPUTED_VALUE"""),53.9)</f>
        <v/>
      </c>
      <c r="D107" s="141">
        <f>IFERROR(__xludf.DUMMYFUNCTION("""COMPUTED_VALUE"""),54.17)</f>
        <v/>
      </c>
      <c r="E107" s="141">
        <f>IFERROR(__xludf.DUMMYFUNCTION("""COMPUTED_VALUE"""),53.71)</f>
        <v/>
      </c>
      <c r="F107" s="141">
        <f>IFERROR(__xludf.DUMMYFUNCTION("""COMPUTED_VALUE"""),53.92)</f>
        <v/>
      </c>
      <c r="G107" s="143">
        <f>IFERROR(__xludf.DUMMYFUNCTION("""COMPUTED_VALUE"""),7686025)</f>
        <v/>
      </c>
      <c r="H107" s="27" t="n"/>
    </row>
    <row r="108" ht="17.25" customHeight="1" s="322">
      <c r="A108" s="27" t="n"/>
      <c r="B108" s="506">
        <f>IFERROR(__xludf.DUMMYFUNCTION("""COMPUTED_VALUE"""),45981.6666666666)</f>
        <v/>
      </c>
      <c r="C108" s="141">
        <f>IFERROR(__xludf.DUMMYFUNCTION("""COMPUTED_VALUE"""),54.33)</f>
        <v/>
      </c>
      <c r="D108" s="141">
        <f>IFERROR(__xludf.DUMMYFUNCTION("""COMPUTED_VALUE"""),54.41)</f>
        <v/>
      </c>
      <c r="E108" s="141">
        <f>IFERROR(__xludf.DUMMYFUNCTION("""COMPUTED_VALUE"""),53.26)</f>
        <v/>
      </c>
      <c r="F108" s="141">
        <f>IFERROR(__xludf.DUMMYFUNCTION("""COMPUTED_VALUE"""),53.28)</f>
        <v/>
      </c>
      <c r="G108" s="143">
        <f>IFERROR(__xludf.DUMMYFUNCTION("""COMPUTED_VALUE"""),10361065)</f>
        <v/>
      </c>
      <c r="H108" s="27" t="n"/>
    </row>
    <row r="109" ht="17.25" customHeight="1" s="322">
      <c r="A109" s="27" t="n"/>
      <c r="B109" s="506">
        <f>IFERROR(__xludf.DUMMYFUNCTION("""COMPUTED_VALUE"""),45982.6666666666)</f>
        <v/>
      </c>
      <c r="C109" s="141">
        <f>IFERROR(__xludf.DUMMYFUNCTION("""COMPUTED_VALUE"""),52.76)</f>
        <v/>
      </c>
      <c r="D109" s="141">
        <f>IFERROR(__xludf.DUMMYFUNCTION("""COMPUTED_VALUE"""),53.31)</f>
        <v/>
      </c>
      <c r="E109" s="141">
        <f>IFERROR(__xludf.DUMMYFUNCTION("""COMPUTED_VALUE"""),52.5)</f>
        <v/>
      </c>
      <c r="F109" s="141">
        <f>IFERROR(__xludf.DUMMYFUNCTION("""COMPUTED_VALUE"""),53.07)</f>
        <v/>
      </c>
      <c r="G109" s="143">
        <f>IFERROR(__xludf.DUMMYFUNCTION("""COMPUTED_VALUE"""),9722854)</f>
        <v/>
      </c>
      <c r="H109" s="27" t="n"/>
    </row>
    <row r="110" ht="17.25" customHeight="1" s="322">
      <c r="A110" s="27" t="n"/>
      <c r="B110" s="506">
        <f>IFERROR(__xludf.DUMMYFUNCTION("""COMPUTED_VALUE"""),45985.6666666666)</f>
        <v/>
      </c>
      <c r="C110" s="141">
        <f>IFERROR(__xludf.DUMMYFUNCTION("""COMPUTED_VALUE"""),53.23)</f>
        <v/>
      </c>
      <c r="D110" s="141">
        <f>IFERROR(__xludf.DUMMYFUNCTION("""COMPUTED_VALUE"""),53.65)</f>
        <v/>
      </c>
      <c r="E110" s="141">
        <f>IFERROR(__xludf.DUMMYFUNCTION("""COMPUTED_VALUE"""),53.2)</f>
        <v/>
      </c>
      <c r="F110" s="141">
        <f>IFERROR(__xludf.DUMMYFUNCTION("""COMPUTED_VALUE"""),53.61)</f>
        <v/>
      </c>
      <c r="G110" s="143">
        <f>IFERROR(__xludf.DUMMYFUNCTION("""COMPUTED_VALUE"""),10067931)</f>
        <v/>
      </c>
      <c r="H110" s="27" t="n"/>
    </row>
    <row r="111" ht="17.25" customHeight="1" s="322">
      <c r="A111" s="27" t="n"/>
      <c r="B111" s="506">
        <f>IFERROR(__xludf.DUMMYFUNCTION("""COMPUTED_VALUE"""),45986.6666666666)</f>
        <v/>
      </c>
      <c r="C111" s="141">
        <f>IFERROR(__xludf.DUMMYFUNCTION("""COMPUTED_VALUE"""),53.69)</f>
        <v/>
      </c>
      <c r="D111" s="141">
        <f>IFERROR(__xludf.DUMMYFUNCTION("""COMPUTED_VALUE"""),53.87)</f>
        <v/>
      </c>
      <c r="E111" s="141">
        <f>IFERROR(__xludf.DUMMYFUNCTION("""COMPUTED_VALUE"""),53.33)</f>
        <v/>
      </c>
      <c r="F111" s="141">
        <f>IFERROR(__xludf.DUMMYFUNCTION("""COMPUTED_VALUE"""),53.85)</f>
        <v/>
      </c>
      <c r="G111" s="143">
        <f>IFERROR(__xludf.DUMMYFUNCTION("""COMPUTED_VALUE"""),7508048)</f>
        <v/>
      </c>
      <c r="H111" s="27" t="n"/>
    </row>
    <row r="112" ht="17.25" customHeight="1" s="322">
      <c r="A112" s="27" t="n"/>
      <c r="B112" s="506">
        <f>IFERROR(__xludf.DUMMYFUNCTION("""COMPUTED_VALUE"""),45987.6666666666)</f>
        <v/>
      </c>
      <c r="C112" s="141">
        <f>IFERROR(__xludf.DUMMYFUNCTION("""COMPUTED_VALUE"""),54)</f>
        <v/>
      </c>
      <c r="D112" s="141">
        <f>IFERROR(__xludf.DUMMYFUNCTION("""COMPUTED_VALUE"""),54.21)</f>
        <v/>
      </c>
      <c r="E112" s="141">
        <f>IFERROR(__xludf.DUMMYFUNCTION("""COMPUTED_VALUE"""),53.89)</f>
        <v/>
      </c>
      <c r="F112" s="141">
        <f>IFERROR(__xludf.DUMMYFUNCTION("""COMPUTED_VALUE"""),54.11)</f>
        <v/>
      </c>
      <c r="G112" s="143">
        <f>IFERROR(__xludf.DUMMYFUNCTION("""COMPUTED_VALUE"""),7627781)</f>
        <v/>
      </c>
      <c r="H112" s="27" t="n"/>
    </row>
    <row r="113" ht="17.25" customHeight="1" s="322">
      <c r="A113" s="27" t="n"/>
      <c r="B113" s="506">
        <f>IFERROR(__xludf.DUMMYFUNCTION("""COMPUTED_VALUE"""),45989.5520833333)</f>
        <v/>
      </c>
      <c r="C113" s="141">
        <f>IFERROR(__xludf.DUMMYFUNCTION("""COMPUTED_VALUE"""),54.18)</f>
        <v/>
      </c>
      <c r="D113" s="141">
        <f>IFERROR(__xludf.DUMMYFUNCTION("""COMPUTED_VALUE"""),54.32)</f>
        <v/>
      </c>
      <c r="E113" s="141">
        <f>IFERROR(__xludf.DUMMYFUNCTION("""COMPUTED_VALUE"""),54.09)</f>
        <v/>
      </c>
      <c r="F113" s="141">
        <f>IFERROR(__xludf.DUMMYFUNCTION("""COMPUTED_VALUE"""),54.3)</f>
        <v/>
      </c>
      <c r="G113" s="143">
        <f>IFERROR(__xludf.DUMMYFUNCTION("""COMPUTED_VALUE"""),4432113)</f>
        <v/>
      </c>
      <c r="H113" s="27" t="n"/>
    </row>
    <row r="114" ht="17.25" customHeight="1" s="322">
      <c r="A114" s="27" t="n"/>
      <c r="B114" s="506">
        <f>IFERROR(__xludf.DUMMYFUNCTION("""COMPUTED_VALUE"""),45992.6666666666)</f>
        <v/>
      </c>
      <c r="C114" s="141">
        <f>IFERROR(__xludf.DUMMYFUNCTION("""COMPUTED_VALUE"""),54.13)</f>
        <v/>
      </c>
      <c r="D114" s="141">
        <f>IFERROR(__xludf.DUMMYFUNCTION("""COMPUTED_VALUE"""),54.44)</f>
        <v/>
      </c>
      <c r="E114" s="141">
        <f>IFERROR(__xludf.DUMMYFUNCTION("""COMPUTED_VALUE"""),54.12)</f>
        <v/>
      </c>
      <c r="F114" s="141">
        <f>IFERROR(__xludf.DUMMYFUNCTION("""COMPUTED_VALUE"""),54.25)</f>
        <v/>
      </c>
      <c r="G114" s="143">
        <f>IFERROR(__xludf.DUMMYFUNCTION("""COMPUTED_VALUE"""),9267383)</f>
        <v/>
      </c>
      <c r="H114" s="27" t="n"/>
    </row>
    <row r="115" ht="17.25" customHeight="1" s="322">
      <c r="A115" s="27" t="n"/>
      <c r="B115" s="506">
        <f>IFERROR(__xludf.DUMMYFUNCTION("""COMPUTED_VALUE"""),45993.6666666666)</f>
        <v/>
      </c>
      <c r="C115" s="141">
        <f>IFERROR(__xludf.DUMMYFUNCTION("""COMPUTED_VALUE"""),54.15)</f>
        <v/>
      </c>
      <c r="D115" s="141">
        <f>IFERROR(__xludf.DUMMYFUNCTION("""COMPUTED_VALUE"""),54.19)</f>
        <v/>
      </c>
      <c r="E115" s="141">
        <f>IFERROR(__xludf.DUMMYFUNCTION("""COMPUTED_VALUE"""),53.9)</f>
        <v/>
      </c>
      <c r="F115" s="141">
        <f>IFERROR(__xludf.DUMMYFUNCTION("""COMPUTED_VALUE"""),54.13)</f>
        <v/>
      </c>
      <c r="G115" s="143">
        <f>IFERROR(__xludf.DUMMYFUNCTION("""COMPUTED_VALUE"""),7200280)</f>
        <v/>
      </c>
      <c r="H115" s="27" t="n"/>
    </row>
    <row r="116" ht="17.25" customHeight="1" s="322">
      <c r="A116" s="27" t="n"/>
      <c r="B116" s="506">
        <f>IFERROR(__xludf.DUMMYFUNCTION("""COMPUTED_VALUE"""),45994.6666666666)</f>
        <v/>
      </c>
      <c r="C116" s="141">
        <f>IFERROR(__xludf.DUMMYFUNCTION("""COMPUTED_VALUE"""),53.9)</f>
        <v/>
      </c>
      <c r="D116" s="141">
        <f>IFERROR(__xludf.DUMMYFUNCTION("""COMPUTED_VALUE"""),54.11)</f>
        <v/>
      </c>
      <c r="E116" s="141">
        <f>IFERROR(__xludf.DUMMYFUNCTION("""COMPUTED_VALUE"""),53.84)</f>
        <v/>
      </c>
      <c r="F116" s="141">
        <f>IFERROR(__xludf.DUMMYFUNCTION("""COMPUTED_VALUE"""),54.06)</f>
        <v/>
      </c>
      <c r="G116" s="143">
        <f>IFERROR(__xludf.DUMMYFUNCTION("""COMPUTED_VALUE"""),6788829)</f>
        <v/>
      </c>
      <c r="H116" s="27" t="n"/>
    </row>
    <row r="117" ht="17.25" customHeight="1" s="322">
      <c r="A117" s="27" t="n"/>
      <c r="B117" s="506">
        <f>IFERROR(__xludf.DUMMYFUNCTION("""COMPUTED_VALUE"""),45995.6666666666)</f>
        <v/>
      </c>
      <c r="C117" s="141">
        <f>IFERROR(__xludf.DUMMYFUNCTION("""COMPUTED_VALUE"""),54.25)</f>
        <v/>
      </c>
      <c r="D117" s="141">
        <f>IFERROR(__xludf.DUMMYFUNCTION("""COMPUTED_VALUE"""),54.25)</f>
        <v/>
      </c>
      <c r="E117" s="141">
        <f>IFERROR(__xludf.DUMMYFUNCTION("""COMPUTED_VALUE"""),54.02)</f>
        <v/>
      </c>
      <c r="F117" s="141">
        <f>IFERROR(__xludf.DUMMYFUNCTION("""COMPUTED_VALUE"""),54.18)</f>
        <v/>
      </c>
      <c r="G117" s="143">
        <f>IFERROR(__xludf.DUMMYFUNCTION("""COMPUTED_VALUE"""),7373047)</f>
        <v/>
      </c>
      <c r="H117" s="27" t="n"/>
    </row>
    <row r="118" ht="17.25" customHeight="1" s="322">
      <c r="A118" s="27" t="n"/>
      <c r="B118" s="506">
        <f>IFERROR(__xludf.DUMMYFUNCTION("""COMPUTED_VALUE"""),45996.6666666666)</f>
        <v/>
      </c>
      <c r="C118" s="141">
        <f>IFERROR(__xludf.DUMMYFUNCTION("""COMPUTED_VALUE"""),54.55)</f>
        <v/>
      </c>
      <c r="D118" s="141">
        <f>IFERROR(__xludf.DUMMYFUNCTION("""COMPUTED_VALUE"""),54.75)</f>
        <v/>
      </c>
      <c r="E118" s="141">
        <f>IFERROR(__xludf.DUMMYFUNCTION("""COMPUTED_VALUE"""),54.34)</f>
        <v/>
      </c>
      <c r="F118" s="141">
        <f>IFERROR(__xludf.DUMMYFUNCTION("""COMPUTED_VALUE"""),54.4)</f>
        <v/>
      </c>
      <c r="G118" s="143">
        <f>IFERROR(__xludf.DUMMYFUNCTION("""COMPUTED_VALUE"""),7700563)</f>
        <v/>
      </c>
      <c r="H118" s="27" t="n"/>
    </row>
    <row r="119" ht="17.25" customHeight="1" s="322">
      <c r="A119" s="27" t="n"/>
      <c r="B119" s="506">
        <f>IFERROR(__xludf.DUMMYFUNCTION("""COMPUTED_VALUE"""),45999.6666666666)</f>
        <v/>
      </c>
      <c r="C119" s="141">
        <f>IFERROR(__xludf.DUMMYFUNCTION("""COMPUTED_VALUE"""),54.19)</f>
        <v/>
      </c>
      <c r="D119" s="141">
        <f>IFERROR(__xludf.DUMMYFUNCTION("""COMPUTED_VALUE"""),54.37)</f>
        <v/>
      </c>
      <c r="E119" s="141">
        <f>IFERROR(__xludf.DUMMYFUNCTION("""COMPUTED_VALUE"""),54.06)</f>
        <v/>
      </c>
      <c r="F119" s="141">
        <f>IFERROR(__xludf.DUMMYFUNCTION("""COMPUTED_VALUE"""),54.2)</f>
        <v/>
      </c>
      <c r="G119" s="143">
        <f>IFERROR(__xludf.DUMMYFUNCTION("""COMPUTED_VALUE"""),10205974)</f>
        <v/>
      </c>
      <c r="H119" s="27" t="n"/>
    </row>
    <row r="120" ht="17.25" customHeight="1" s="322">
      <c r="A120" s="27" t="n"/>
      <c r="B120" s="506">
        <f>IFERROR(__xludf.DUMMYFUNCTION("""COMPUTED_VALUE"""),46000.6666666666)</f>
        <v/>
      </c>
      <c r="C120" s="141">
        <f>IFERROR(__xludf.DUMMYFUNCTION("""COMPUTED_VALUE"""),53.91)</f>
        <v/>
      </c>
      <c r="D120" s="141">
        <f>IFERROR(__xludf.DUMMYFUNCTION("""COMPUTED_VALUE"""),54.13)</f>
        <v/>
      </c>
      <c r="E120" s="141">
        <f>IFERROR(__xludf.DUMMYFUNCTION("""COMPUTED_VALUE"""),53.85)</f>
        <v/>
      </c>
      <c r="F120" s="141">
        <f>IFERROR(__xludf.DUMMYFUNCTION("""COMPUTED_VALUE"""),54.11)</f>
        <v/>
      </c>
      <c r="G120" s="143">
        <f>IFERROR(__xludf.DUMMYFUNCTION("""COMPUTED_VALUE"""),9442791)</f>
        <v/>
      </c>
      <c r="H120" s="27" t="n"/>
    </row>
    <row r="121" ht="17.25" customHeight="1" s="322">
      <c r="A121" s="27" t="n"/>
      <c r="B121" s="506">
        <f>IFERROR(__xludf.DUMMYFUNCTION("""COMPUTED_VALUE"""),46001.6666666666)</f>
        <v/>
      </c>
      <c r="C121" s="141">
        <f>IFERROR(__xludf.DUMMYFUNCTION("""COMPUTED_VALUE"""),54.2)</f>
        <v/>
      </c>
      <c r="D121" s="141">
        <f>IFERROR(__xludf.DUMMYFUNCTION("""COMPUTED_VALUE"""),54.67)</f>
        <v/>
      </c>
      <c r="E121" s="141">
        <f>IFERROR(__xludf.DUMMYFUNCTION("""COMPUTED_VALUE"""),54.1)</f>
        <v/>
      </c>
      <c r="F121" s="141">
        <f>IFERROR(__xludf.DUMMYFUNCTION("""COMPUTED_VALUE"""),54.56)</f>
        <v/>
      </c>
      <c r="G121" s="143">
        <f>IFERROR(__xludf.DUMMYFUNCTION("""COMPUTED_VALUE"""),11644102)</f>
        <v/>
      </c>
      <c r="H121" s="27" t="n"/>
    </row>
    <row r="122" ht="17.25" customHeight="1" s="322">
      <c r="A122" s="27" t="n"/>
      <c r="B122" s="506">
        <f>IFERROR(__xludf.DUMMYFUNCTION("""COMPUTED_VALUE"""),46002.6666666666)</f>
        <v/>
      </c>
      <c r="C122" s="141">
        <f>IFERROR(__xludf.DUMMYFUNCTION("""COMPUTED_VALUE"""),54.21)</f>
        <v/>
      </c>
      <c r="D122" s="141">
        <f>IFERROR(__xludf.DUMMYFUNCTION("""COMPUTED_VALUE"""),54.48)</f>
        <v/>
      </c>
      <c r="E122" s="141">
        <f>IFERROR(__xludf.DUMMYFUNCTION("""COMPUTED_VALUE"""),54.05)</f>
        <v/>
      </c>
      <c r="F122" s="141">
        <f>IFERROR(__xludf.DUMMYFUNCTION("""COMPUTED_VALUE"""),54.44)</f>
        <v/>
      </c>
      <c r="G122" s="143">
        <f>IFERROR(__xludf.DUMMYFUNCTION("""COMPUTED_VALUE"""),11380046)</f>
        <v/>
      </c>
      <c r="H122" s="27" t="n"/>
    </row>
    <row r="123" ht="17.25" customHeight="1" s="322">
      <c r="A123" s="27" t="n"/>
      <c r="B123" s="506">
        <f>IFERROR(__xludf.DUMMYFUNCTION("""COMPUTED_VALUE"""),46003.6666666666)</f>
        <v/>
      </c>
      <c r="C123" s="141">
        <f>IFERROR(__xludf.DUMMYFUNCTION("""COMPUTED_VALUE"""),54.51)</f>
        <v/>
      </c>
      <c r="D123" s="141">
        <f>IFERROR(__xludf.DUMMYFUNCTION("""COMPUTED_VALUE"""),54.53)</f>
        <v/>
      </c>
      <c r="E123" s="141">
        <f>IFERROR(__xludf.DUMMYFUNCTION("""COMPUTED_VALUE"""),53.78)</f>
        <v/>
      </c>
      <c r="F123" s="141">
        <f>IFERROR(__xludf.DUMMYFUNCTION("""COMPUTED_VALUE"""),53.94)</f>
        <v/>
      </c>
      <c r="G123" s="143">
        <f>IFERROR(__xludf.DUMMYFUNCTION("""COMPUTED_VALUE"""),13708343)</f>
        <v/>
      </c>
      <c r="H123" s="27" t="n"/>
    </row>
    <row r="124" ht="17.25" customHeight="1" s="322">
      <c r="A124" s="27" t="n"/>
      <c r="B124" s="506">
        <f>IFERROR(__xludf.DUMMYFUNCTION("""COMPUTED_VALUE"""),46006.6666666666)</f>
        <v/>
      </c>
      <c r="C124" s="141">
        <f>IFERROR(__xludf.DUMMYFUNCTION("""COMPUTED_VALUE"""),54.19)</f>
        <v/>
      </c>
      <c r="D124" s="141">
        <f>IFERROR(__xludf.DUMMYFUNCTION("""COMPUTED_VALUE"""),54.19)</f>
        <v/>
      </c>
      <c r="E124" s="141">
        <f>IFERROR(__xludf.DUMMYFUNCTION("""COMPUTED_VALUE"""),53.77)</f>
        <v/>
      </c>
      <c r="F124" s="141">
        <f>IFERROR(__xludf.DUMMYFUNCTION("""COMPUTED_VALUE"""),53.78)</f>
        <v/>
      </c>
      <c r="G124" s="143">
        <f>IFERROR(__xludf.DUMMYFUNCTION("""COMPUTED_VALUE"""),9770130)</f>
        <v/>
      </c>
      <c r="H124" s="27" t="n"/>
    </row>
    <row r="125" ht="17.25" customHeight="1" s="322">
      <c r="A125" s="27" t="n"/>
      <c r="B125" s="506">
        <f>IFERROR(__xludf.DUMMYFUNCTION("""COMPUTED_VALUE"""),46007.6666666666)</f>
        <v/>
      </c>
      <c r="C125" s="141">
        <f>IFERROR(__xludf.DUMMYFUNCTION("""COMPUTED_VALUE"""),53.5)</f>
        <v/>
      </c>
      <c r="D125" s="141">
        <f>IFERROR(__xludf.DUMMYFUNCTION("""COMPUTED_VALUE"""),53.6)</f>
        <v/>
      </c>
      <c r="E125" s="141">
        <f>IFERROR(__xludf.DUMMYFUNCTION("""COMPUTED_VALUE"""),53.29)</f>
        <v/>
      </c>
      <c r="F125" s="141">
        <f>IFERROR(__xludf.DUMMYFUNCTION("""COMPUTED_VALUE"""),53.48)</f>
        <v/>
      </c>
      <c r="G125" s="143">
        <f>IFERROR(__xludf.DUMMYFUNCTION("""COMPUTED_VALUE"""),11144920)</f>
        <v/>
      </c>
      <c r="H125" s="27" t="n"/>
    </row>
    <row r="126" ht="17.25" customHeight="1" s="322">
      <c r="A126" s="27" t="n"/>
      <c r="B126" s="506">
        <f>IFERROR(__xludf.DUMMYFUNCTION("""COMPUTED_VALUE"""),46008.6666666666)</f>
        <v/>
      </c>
      <c r="C126" s="141">
        <f>IFERROR(__xludf.DUMMYFUNCTION("""COMPUTED_VALUE"""),53.67)</f>
        <v/>
      </c>
      <c r="D126" s="141">
        <f>IFERROR(__xludf.DUMMYFUNCTION("""COMPUTED_VALUE"""),53.73)</f>
        <v/>
      </c>
      <c r="E126" s="141">
        <f>IFERROR(__xludf.DUMMYFUNCTION("""COMPUTED_VALUE"""),53.09)</f>
        <v/>
      </c>
      <c r="F126" s="141">
        <f>IFERROR(__xludf.DUMMYFUNCTION("""COMPUTED_VALUE"""),53.13)</f>
        <v/>
      </c>
      <c r="G126" s="143">
        <f>IFERROR(__xludf.DUMMYFUNCTION("""COMPUTED_VALUE"""),13055679)</f>
        <v/>
      </c>
      <c r="H126" s="27" t="n"/>
    </row>
    <row r="127" ht="17.25" customHeight="1" s="322">
      <c r="A127" s="27" t="n"/>
      <c r="B127" s="506">
        <f>IFERROR(__xludf.DUMMYFUNCTION("""COMPUTED_VALUE"""),46009.6666666666)</f>
        <v/>
      </c>
      <c r="C127" s="141">
        <f>IFERROR(__xludf.DUMMYFUNCTION("""COMPUTED_VALUE"""),53.7)</f>
        <v/>
      </c>
      <c r="D127" s="141">
        <f>IFERROR(__xludf.DUMMYFUNCTION("""COMPUTED_VALUE"""),53.89)</f>
        <v/>
      </c>
      <c r="E127" s="141">
        <f>IFERROR(__xludf.DUMMYFUNCTION("""COMPUTED_VALUE"""),53.56)</f>
        <v/>
      </c>
      <c r="F127" s="141">
        <f>IFERROR(__xludf.DUMMYFUNCTION("""COMPUTED_VALUE"""),53.58)</f>
        <v/>
      </c>
      <c r="G127" s="143">
        <f>IFERROR(__xludf.DUMMYFUNCTION("""COMPUTED_VALUE"""),12956143)</f>
        <v/>
      </c>
      <c r="H127" s="27" t="n"/>
    </row>
    <row r="128" ht="17.25" customHeight="1" s="322">
      <c r="A128" s="27" t="n"/>
      <c r="B128" s="506">
        <f>IFERROR(__xludf.DUMMYFUNCTION("""COMPUTED_VALUE"""),46010.6666666666)</f>
        <v/>
      </c>
      <c r="C128" s="141">
        <f>IFERROR(__xludf.DUMMYFUNCTION("""COMPUTED_VALUE"""),53.03)</f>
        <v/>
      </c>
      <c r="D128" s="141">
        <f>IFERROR(__xludf.DUMMYFUNCTION("""COMPUTED_VALUE"""),53.28)</f>
        <v/>
      </c>
      <c r="E128" s="141">
        <f>IFERROR(__xludf.DUMMYFUNCTION("""COMPUTED_VALUE"""),52.96)</f>
        <v/>
      </c>
      <c r="F128" s="141">
        <f>IFERROR(__xludf.DUMMYFUNCTION("""COMPUTED_VALUE"""),53.11)</f>
        <v/>
      </c>
      <c r="G128" s="143">
        <f>IFERROR(__xludf.DUMMYFUNCTION("""COMPUTED_VALUE"""),12086556)</f>
        <v/>
      </c>
      <c r="H128" s="27" t="n"/>
    </row>
    <row r="129" ht="17.25" customHeight="1" s="322">
      <c r="A129" s="27" t="n"/>
      <c r="B129" s="506">
        <f>IFERROR(__xludf.DUMMYFUNCTION("""COMPUTED_VALUE"""),46013.6666666666)</f>
        <v/>
      </c>
      <c r="C129" s="141">
        <f>IFERROR(__xludf.DUMMYFUNCTION("""COMPUTED_VALUE"""),53.43)</f>
        <v/>
      </c>
      <c r="D129" s="141">
        <f>IFERROR(__xludf.DUMMYFUNCTION("""COMPUTED_VALUE"""),53.5)</f>
        <v/>
      </c>
      <c r="E129" s="141">
        <f>IFERROR(__xludf.DUMMYFUNCTION("""COMPUTED_VALUE"""),53.3)</f>
        <v/>
      </c>
      <c r="F129" s="141">
        <f>IFERROR(__xludf.DUMMYFUNCTION("""COMPUTED_VALUE"""),53.45)</f>
        <v/>
      </c>
      <c r="G129" s="143">
        <f>IFERROR(__xludf.DUMMYFUNCTION("""COMPUTED_VALUE"""),11853234)</f>
        <v/>
      </c>
      <c r="H129" s="27" t="n"/>
    </row>
    <row r="130" ht="17.25" customHeight="1" s="322">
      <c r="A130" s="27" t="n"/>
      <c r="B130" s="506">
        <f>IFERROR(__xludf.DUMMYFUNCTION("""COMPUTED_VALUE"""),46014.6666666666)</f>
        <v/>
      </c>
      <c r="C130" s="141">
        <f>IFERROR(__xludf.DUMMYFUNCTION("""COMPUTED_VALUE"""),53.4)</f>
        <v/>
      </c>
      <c r="D130" s="141">
        <f>IFERROR(__xludf.DUMMYFUNCTION("""COMPUTED_VALUE"""),53.72)</f>
        <v/>
      </c>
      <c r="E130" s="141">
        <f>IFERROR(__xludf.DUMMYFUNCTION("""COMPUTED_VALUE"""),53.28)</f>
        <v/>
      </c>
      <c r="F130" s="141">
        <f>IFERROR(__xludf.DUMMYFUNCTION("""COMPUTED_VALUE"""),53.7)</f>
        <v/>
      </c>
      <c r="G130" s="143">
        <f>IFERROR(__xludf.DUMMYFUNCTION("""COMPUTED_VALUE"""),12384776)</f>
        <v/>
      </c>
      <c r="H130" s="27" t="n"/>
    </row>
    <row r="131" ht="17.25" customHeight="1" s="322">
      <c r="A131" s="27" t="n"/>
      <c r="B131" s="506">
        <f>IFERROR(__xludf.DUMMYFUNCTION("""COMPUTED_VALUE"""),46015.5416666666)</f>
        <v/>
      </c>
      <c r="C131" s="141">
        <f>IFERROR(__xludf.DUMMYFUNCTION("""COMPUTED_VALUE"""),53.68)</f>
        <v/>
      </c>
      <c r="D131" s="141">
        <f>IFERROR(__xludf.DUMMYFUNCTION("""COMPUTED_VALUE"""),53.73)</f>
        <v/>
      </c>
      <c r="E131" s="141">
        <f>IFERROR(__xludf.DUMMYFUNCTION("""COMPUTED_VALUE"""),53.62)</f>
        <v/>
      </c>
      <c r="F131" s="141">
        <f>IFERROR(__xludf.DUMMYFUNCTION("""COMPUTED_VALUE"""),53.68)</f>
        <v/>
      </c>
      <c r="G131" s="143">
        <f>IFERROR(__xludf.DUMMYFUNCTION("""COMPUTED_VALUE"""),4991611)</f>
        <v/>
      </c>
      <c r="H131" s="27" t="n"/>
    </row>
    <row r="132" ht="17.25" customHeight="1" s="322">
      <c r="A132" s="27" t="n"/>
      <c r="B132" s="506">
        <f>IFERROR(__xludf.DUMMYFUNCTION("""COMPUTED_VALUE"""),46017.6666666666)</f>
        <v/>
      </c>
      <c r="C132" s="141">
        <f>IFERROR(__xludf.DUMMYFUNCTION("""COMPUTED_VALUE"""),53.84)</f>
        <v/>
      </c>
      <c r="D132" s="141">
        <f>IFERROR(__xludf.DUMMYFUNCTION("""COMPUTED_VALUE"""),54.02)</f>
        <v/>
      </c>
      <c r="E132" s="141">
        <f>IFERROR(__xludf.DUMMYFUNCTION("""COMPUTED_VALUE"""),53.75)</f>
        <v/>
      </c>
      <c r="F132" s="141">
        <f>IFERROR(__xludf.DUMMYFUNCTION("""COMPUTED_VALUE"""),54.02)</f>
        <v/>
      </c>
      <c r="G132" s="143">
        <f>IFERROR(__xludf.DUMMYFUNCTION("""COMPUTED_VALUE"""),8210022)</f>
        <v/>
      </c>
      <c r="H132" s="27" t="n"/>
    </row>
    <row r="133" ht="17.25" customHeight="1" s="322">
      <c r="A133" s="27" t="n"/>
      <c r="B133" s="506">
        <f>IFERROR(__xludf.DUMMYFUNCTION("""COMPUTED_VALUE"""),46020.6666666666)</f>
        <v/>
      </c>
      <c r="C133" s="141">
        <f>IFERROR(__xludf.DUMMYFUNCTION("""COMPUTED_VALUE"""),53.5)</f>
        <v/>
      </c>
      <c r="D133" s="141">
        <f>IFERROR(__xludf.DUMMYFUNCTION("""COMPUTED_VALUE"""),53.63)</f>
        <v/>
      </c>
      <c r="E133" s="141">
        <f>IFERROR(__xludf.DUMMYFUNCTION("""COMPUTED_VALUE"""),53.44)</f>
        <v/>
      </c>
      <c r="F133" s="141">
        <f>IFERROR(__xludf.DUMMYFUNCTION("""COMPUTED_VALUE"""),53.61)</f>
        <v/>
      </c>
      <c r="G133" s="143">
        <f>IFERROR(__xludf.DUMMYFUNCTION("""COMPUTED_VALUE"""),11570865)</f>
        <v/>
      </c>
      <c r="H133" s="27" t="n"/>
    </row>
    <row r="134" ht="17.25" customHeight="1" s="322">
      <c r="A134" s="27" t="n"/>
      <c r="B134" s="506">
        <f>IFERROR(__xludf.DUMMYFUNCTION("""COMPUTED_VALUE"""),46021.6666666666)</f>
        <v/>
      </c>
      <c r="C134" s="141">
        <f>IFERROR(__xludf.DUMMYFUNCTION("""COMPUTED_VALUE"""),53.82)</f>
        <v/>
      </c>
      <c r="D134" s="141">
        <f>IFERROR(__xludf.DUMMYFUNCTION("""COMPUTED_VALUE"""),53.91)</f>
        <v/>
      </c>
      <c r="E134" s="141">
        <f>IFERROR(__xludf.DUMMYFUNCTION("""COMPUTED_VALUE"""),53.76)</f>
        <v/>
      </c>
      <c r="F134" s="141">
        <f>IFERROR(__xludf.DUMMYFUNCTION("""COMPUTED_VALUE"""),53.81)</f>
        <v/>
      </c>
      <c r="G134" s="143">
        <f>IFERROR(__xludf.DUMMYFUNCTION("""COMPUTED_VALUE"""),6283480)</f>
        <v/>
      </c>
      <c r="H134" s="27" t="n"/>
    </row>
    <row r="135" ht="17.25" customHeight="1" s="322">
      <c r="A135" s="27" t="n"/>
      <c r="B135" s="506">
        <f>IFERROR(__xludf.DUMMYFUNCTION("""COMPUTED_VALUE"""),46022.6666666666)</f>
        <v/>
      </c>
      <c r="C135" s="141">
        <f>IFERROR(__xludf.DUMMYFUNCTION("""COMPUTED_VALUE"""),53.93)</f>
        <v/>
      </c>
      <c r="D135" s="141">
        <f>IFERROR(__xludf.DUMMYFUNCTION("""COMPUTED_VALUE"""),53.93)</f>
        <v/>
      </c>
      <c r="E135" s="141">
        <f>IFERROR(__xludf.DUMMYFUNCTION("""COMPUTED_VALUE"""),53.72)</f>
        <v/>
      </c>
      <c r="F135" s="141">
        <f>IFERROR(__xludf.DUMMYFUNCTION("""COMPUTED_VALUE"""),53.76)</f>
        <v/>
      </c>
      <c r="G135" s="143">
        <f>IFERROR(__xludf.DUMMYFUNCTION("""COMPUTED_VALUE"""),7619998)</f>
        <v/>
      </c>
      <c r="H135" s="27" t="n"/>
    </row>
    <row r="136" ht="17.25" customHeight="1" s="322">
      <c r="A136" s="27" t="n"/>
      <c r="B136" s="506">
        <f>IFERROR(__xludf.DUMMYFUNCTION("""COMPUTED_VALUE"""),46024.6666666666)</f>
        <v/>
      </c>
      <c r="C136" s="141">
        <f>IFERROR(__xludf.DUMMYFUNCTION("""COMPUTED_VALUE"""),54.7)</f>
        <v/>
      </c>
      <c r="D136" s="141">
        <f>IFERROR(__xludf.DUMMYFUNCTION("""COMPUTED_VALUE"""),54.95)</f>
        <v/>
      </c>
      <c r="E136" s="141">
        <f>IFERROR(__xludf.DUMMYFUNCTION("""COMPUTED_VALUE"""),54.64)</f>
        <v/>
      </c>
      <c r="F136" s="141">
        <f>IFERROR(__xludf.DUMMYFUNCTION("""COMPUTED_VALUE"""),54.93)</f>
        <v/>
      </c>
      <c r="G136" s="143">
        <f>IFERROR(__xludf.DUMMYFUNCTION("""COMPUTED_VALUE"""),13654025)</f>
        <v/>
      </c>
      <c r="H136" s="27" t="n"/>
    </row>
    <row r="137" ht="17.25" customHeight="1" s="322">
      <c r="A137" s="27" t="n"/>
      <c r="B137" s="506">
        <f>IFERROR(__xludf.DUMMYFUNCTION("""COMPUTED_VALUE"""),46027.6666666666)</f>
        <v/>
      </c>
      <c r="C137" s="141">
        <f>IFERROR(__xludf.DUMMYFUNCTION("""COMPUTED_VALUE"""),55.04)</f>
        <v/>
      </c>
      <c r="D137" s="141">
        <f>IFERROR(__xludf.DUMMYFUNCTION("""COMPUTED_VALUE"""),55.3)</f>
        <v/>
      </c>
      <c r="E137" s="141">
        <f>IFERROR(__xludf.DUMMYFUNCTION("""COMPUTED_VALUE"""),54.85)</f>
        <v/>
      </c>
      <c r="F137" s="141">
        <f>IFERROR(__xludf.DUMMYFUNCTION("""COMPUTED_VALUE"""),55.29)</f>
        <v/>
      </c>
      <c r="G137" s="143">
        <f>IFERROR(__xludf.DUMMYFUNCTION("""COMPUTED_VALUE"""),17010636)</f>
        <v/>
      </c>
      <c r="H137" s="27" t="n"/>
    </row>
    <row r="138" ht="17.25" customHeight="1" s="322">
      <c r="A138" s="27" t="n"/>
      <c r="B138" s="506">
        <f>IFERROR(__xludf.DUMMYFUNCTION("""COMPUTED_VALUE"""),46028.6666666666)</f>
        <v/>
      </c>
      <c r="C138" s="141">
        <f>IFERROR(__xludf.DUMMYFUNCTION("""COMPUTED_VALUE"""),55.61)</f>
        <v/>
      </c>
      <c r="D138" s="141">
        <f>IFERROR(__xludf.DUMMYFUNCTION("""COMPUTED_VALUE"""),55.82)</f>
        <v/>
      </c>
      <c r="E138" s="141">
        <f>IFERROR(__xludf.DUMMYFUNCTION("""COMPUTED_VALUE"""),55.56)</f>
        <v/>
      </c>
      <c r="F138" s="141">
        <f>IFERROR(__xludf.DUMMYFUNCTION("""COMPUTED_VALUE"""),55.59)</f>
        <v/>
      </c>
      <c r="G138" s="143">
        <f>IFERROR(__xludf.DUMMYFUNCTION("""COMPUTED_VALUE"""),16666023)</f>
        <v/>
      </c>
      <c r="H138" s="27" t="n"/>
    </row>
    <row r="139" ht="17.25" customHeight="1" s="322">
      <c r="A139" s="27" t="n"/>
      <c r="B139" s="506">
        <f>IFERROR(__xludf.DUMMYFUNCTION("""COMPUTED_VALUE"""),46029.6666666666)</f>
        <v/>
      </c>
      <c r="C139" s="141">
        <f>IFERROR(__xludf.DUMMYFUNCTION("""COMPUTED_VALUE"""),55.37)</f>
        <v/>
      </c>
      <c r="D139" s="141">
        <f>IFERROR(__xludf.DUMMYFUNCTION("""COMPUTED_VALUE"""),55.42)</f>
        <v/>
      </c>
      <c r="E139" s="141">
        <f>IFERROR(__xludf.DUMMYFUNCTION("""COMPUTED_VALUE"""),55.19)</f>
        <v/>
      </c>
      <c r="F139" s="141">
        <f>IFERROR(__xludf.DUMMYFUNCTION("""COMPUTED_VALUE"""),55.25)</f>
        <v/>
      </c>
      <c r="G139" s="143">
        <f>IFERROR(__xludf.DUMMYFUNCTION("""COMPUTED_VALUE"""),11228503)</f>
        <v/>
      </c>
      <c r="H139" s="27" t="n"/>
    </row>
    <row r="140" ht="17.25" customHeight="1" s="322">
      <c r="A140" s="27" t="n"/>
      <c r="B140" s="506">
        <f>IFERROR(__xludf.DUMMYFUNCTION("""COMPUTED_VALUE"""),46030.6666666666)</f>
        <v/>
      </c>
      <c r="C140" s="141">
        <f>IFERROR(__xludf.DUMMYFUNCTION("""COMPUTED_VALUE"""),55.05)</f>
        <v/>
      </c>
      <c r="D140" s="141">
        <f>IFERROR(__xludf.DUMMYFUNCTION("""COMPUTED_VALUE"""),55.34)</f>
        <v/>
      </c>
      <c r="E140" s="141">
        <f>IFERROR(__xludf.DUMMYFUNCTION("""COMPUTED_VALUE"""),55.01)</f>
        <v/>
      </c>
      <c r="F140" s="141">
        <f>IFERROR(__xludf.DUMMYFUNCTION("""COMPUTED_VALUE"""),55.31)</f>
        <v/>
      </c>
      <c r="G140" s="143">
        <f>IFERROR(__xludf.DUMMYFUNCTION("""COMPUTED_VALUE"""),10794907)</f>
        <v/>
      </c>
      <c r="H140" s="27" t="n"/>
    </row>
    <row r="141" ht="17.25" customHeight="1" s="322">
      <c r="A141" s="27" t="n"/>
      <c r="B141" s="506">
        <f>IFERROR(__xludf.DUMMYFUNCTION("""COMPUTED_VALUE"""),46031.6666666666)</f>
        <v/>
      </c>
      <c r="C141" s="141">
        <f>IFERROR(__xludf.DUMMYFUNCTION("""COMPUTED_VALUE"""),55.24)</f>
        <v/>
      </c>
      <c r="D141" s="141">
        <f>IFERROR(__xludf.DUMMYFUNCTION("""COMPUTED_VALUE"""),55.44)</f>
        <v/>
      </c>
      <c r="E141" s="141">
        <f>IFERROR(__xludf.DUMMYFUNCTION("""COMPUTED_VALUE"""),55.06)</f>
        <v/>
      </c>
      <c r="F141" s="141">
        <f>IFERROR(__xludf.DUMMYFUNCTION("""COMPUTED_VALUE"""),55.43)</f>
        <v/>
      </c>
      <c r="G141" s="143">
        <f>IFERROR(__xludf.DUMMYFUNCTION("""COMPUTED_VALUE"""),8923826)</f>
        <v/>
      </c>
      <c r="H141" s="27" t="n"/>
    </row>
    <row r="142" ht="17.25" customHeight="1" s="322">
      <c r="A142" s="27" t="n"/>
      <c r="B142" s="506">
        <f>IFERROR(__xludf.DUMMYFUNCTION("""COMPUTED_VALUE"""),46034.6666666666)</f>
        <v/>
      </c>
      <c r="C142" s="141">
        <f>IFERROR(__xludf.DUMMYFUNCTION("""COMPUTED_VALUE"""),55.63)</f>
        <v/>
      </c>
      <c r="D142" s="141">
        <f>IFERROR(__xludf.DUMMYFUNCTION("""COMPUTED_VALUE"""),56.34)</f>
        <v/>
      </c>
      <c r="E142" s="141">
        <f>IFERROR(__xludf.DUMMYFUNCTION("""COMPUTED_VALUE"""),55.63)</f>
        <v/>
      </c>
      <c r="F142" s="141">
        <f>IFERROR(__xludf.DUMMYFUNCTION("""COMPUTED_VALUE"""),56.29)</f>
        <v/>
      </c>
      <c r="G142" s="143">
        <f>IFERROR(__xludf.DUMMYFUNCTION("""COMPUTED_VALUE"""),10116945)</f>
        <v/>
      </c>
      <c r="H142" s="27" t="n"/>
    </row>
    <row r="143" ht="17.25" customHeight="1" s="322">
      <c r="A143" s="27" t="n"/>
      <c r="B143" s="506">
        <f>IFERROR(__xludf.DUMMYFUNCTION("""COMPUTED_VALUE"""),46035.6666666666)</f>
        <v/>
      </c>
      <c r="C143" s="141">
        <f>IFERROR(__xludf.DUMMYFUNCTION("""COMPUTED_VALUE"""),56.14)</f>
        <v/>
      </c>
      <c r="D143" s="141">
        <f>IFERROR(__xludf.DUMMYFUNCTION("""COMPUTED_VALUE"""),56.19)</f>
        <v/>
      </c>
      <c r="E143" s="141">
        <f>IFERROR(__xludf.DUMMYFUNCTION("""COMPUTED_VALUE"""),55.83)</f>
        <v/>
      </c>
      <c r="F143" s="141">
        <f>IFERROR(__xludf.DUMMYFUNCTION("""COMPUTED_VALUE"""),55.96)</f>
        <v/>
      </c>
      <c r="G143" s="143">
        <f>IFERROR(__xludf.DUMMYFUNCTION("""COMPUTED_VALUE"""),18907196)</f>
        <v/>
      </c>
      <c r="H143" s="27" t="n"/>
    </row>
    <row r="144" ht="17.25" customHeight="1" s="322">
      <c r="A144" s="27" t="n"/>
      <c r="B144" s="506">
        <f>IFERROR(__xludf.DUMMYFUNCTION("""COMPUTED_VALUE"""),46036.6666666666)</f>
        <v/>
      </c>
      <c r="C144" s="141">
        <f>IFERROR(__xludf.DUMMYFUNCTION("""COMPUTED_VALUE"""),55.95)</f>
        <v/>
      </c>
      <c r="D144" s="141">
        <f>IFERROR(__xludf.DUMMYFUNCTION("""COMPUTED_VALUE"""),56.1)</f>
        <v/>
      </c>
      <c r="E144" s="141">
        <f>IFERROR(__xludf.DUMMYFUNCTION("""COMPUTED_VALUE"""),55.84)</f>
        <v/>
      </c>
      <c r="F144" s="141">
        <f>IFERROR(__xludf.DUMMYFUNCTION("""COMPUTED_VALUE"""),56.08)</f>
        <v/>
      </c>
      <c r="G144" s="143">
        <f>IFERROR(__xludf.DUMMYFUNCTION("""COMPUTED_VALUE"""),22873511)</f>
        <v/>
      </c>
      <c r="H144" s="27" t="n"/>
    </row>
    <row r="145" ht="17.25" customHeight="1" s="322">
      <c r="A145" s="27" t="n"/>
      <c r="B145" s="506">
        <f>IFERROR(__xludf.DUMMYFUNCTION("""COMPUTED_VALUE"""),46037.6666666666)</f>
        <v/>
      </c>
      <c r="C145" s="141">
        <f>IFERROR(__xludf.DUMMYFUNCTION("""COMPUTED_VALUE"""),56.31)</f>
        <v/>
      </c>
      <c r="D145" s="141">
        <f>IFERROR(__xludf.DUMMYFUNCTION("""COMPUTED_VALUE"""),56.57)</f>
        <v/>
      </c>
      <c r="E145" s="141">
        <f>IFERROR(__xludf.DUMMYFUNCTION("""COMPUTED_VALUE"""),56.12)</f>
        <v/>
      </c>
      <c r="F145" s="141">
        <f>IFERROR(__xludf.DUMMYFUNCTION("""COMPUTED_VALUE"""),56.34)</f>
        <v/>
      </c>
      <c r="G145" s="143">
        <f>IFERROR(__xludf.DUMMYFUNCTION("""COMPUTED_VALUE"""),17565667)</f>
        <v/>
      </c>
      <c r="H145" s="27" t="n"/>
    </row>
    <row r="146" ht="17.25" customHeight="1" s="322">
      <c r="A146" s="27" t="n"/>
      <c r="B146" s="506">
        <f>IFERROR(__xludf.DUMMYFUNCTION("""COMPUTED_VALUE"""),46038.6666666666)</f>
        <v/>
      </c>
      <c r="C146" s="141">
        <f>IFERROR(__xludf.DUMMYFUNCTION("""COMPUTED_VALUE"""),56.09)</f>
        <v/>
      </c>
      <c r="D146" s="141">
        <f>IFERROR(__xludf.DUMMYFUNCTION("""COMPUTED_VALUE"""),56.15)</f>
        <v/>
      </c>
      <c r="E146" s="141">
        <f>IFERROR(__xludf.DUMMYFUNCTION("""COMPUTED_VALUE"""),55.78)</f>
        <v/>
      </c>
      <c r="F146" s="141">
        <f>IFERROR(__xludf.DUMMYFUNCTION("""COMPUTED_VALUE"""),56)</f>
        <v/>
      </c>
      <c r="G146" s="143">
        <f>IFERROR(__xludf.DUMMYFUNCTION("""COMPUTED_VALUE"""),12321372)</f>
        <v/>
      </c>
      <c r="H146" s="27" t="n"/>
    </row>
    <row r="147" ht="17.25" customHeight="1" s="322">
      <c r="A147" s="27" t="n"/>
      <c r="B147" s="506">
        <f>IFERROR(__xludf.DUMMYFUNCTION("""COMPUTED_VALUE"""),46042.6666666666)</f>
        <v/>
      </c>
      <c r="C147" s="141">
        <f>IFERROR(__xludf.DUMMYFUNCTION("""COMPUTED_VALUE"""),55.64)</f>
        <v/>
      </c>
      <c r="D147" s="141">
        <f>IFERROR(__xludf.DUMMYFUNCTION("""COMPUTED_VALUE"""),55.89)</f>
        <v/>
      </c>
      <c r="E147" s="141">
        <f>IFERROR(__xludf.DUMMYFUNCTION("""COMPUTED_VALUE"""),55.48)</f>
        <v/>
      </c>
      <c r="F147" s="141">
        <f>IFERROR(__xludf.DUMMYFUNCTION("""COMPUTED_VALUE"""),55.54)</f>
        <v/>
      </c>
      <c r="G147" s="143">
        <f>IFERROR(__xludf.DUMMYFUNCTION("""COMPUTED_VALUE"""),13740920)</f>
        <v/>
      </c>
      <c r="H147" s="27" t="n"/>
    </row>
    <row r="148" ht="17.25" customHeight="1" s="322">
      <c r="A148" s="27" t="n"/>
      <c r="B148" s="506">
        <f>IFERROR(__xludf.DUMMYFUNCTION("""COMPUTED_VALUE"""),46043.6666666666)</f>
        <v/>
      </c>
      <c r="C148" s="141">
        <f>IFERROR(__xludf.DUMMYFUNCTION("""COMPUTED_VALUE"""),56.01)</f>
        <v/>
      </c>
      <c r="D148" s="141">
        <f>IFERROR(__xludf.DUMMYFUNCTION("""COMPUTED_VALUE"""),56.32)</f>
        <v/>
      </c>
      <c r="E148" s="141">
        <f>IFERROR(__xludf.DUMMYFUNCTION("""COMPUTED_VALUE"""),55.82)</f>
        <v/>
      </c>
      <c r="F148" s="141">
        <f>IFERROR(__xludf.DUMMYFUNCTION("""COMPUTED_VALUE"""),56.11)</f>
        <v/>
      </c>
      <c r="G148" s="143">
        <f>IFERROR(__xludf.DUMMYFUNCTION("""COMPUTED_VALUE"""),17088624)</f>
        <v/>
      </c>
      <c r="H148" s="27" t="n"/>
    </row>
    <row r="149" ht="17.25" customHeight="1" s="322">
      <c r="A149" s="27" t="n"/>
      <c r="B149" s="506">
        <f>IFERROR(__xludf.DUMMYFUNCTION("""COMPUTED_VALUE"""),46044.6666666666)</f>
        <v/>
      </c>
      <c r="C149" s="141">
        <f>IFERROR(__xludf.DUMMYFUNCTION("""COMPUTED_VALUE"""),56.52)</f>
        <v/>
      </c>
      <c r="D149" s="141">
        <f>IFERROR(__xludf.DUMMYFUNCTION("""COMPUTED_VALUE"""),56.79)</f>
        <v/>
      </c>
      <c r="E149" s="141">
        <f>IFERROR(__xludf.DUMMYFUNCTION("""COMPUTED_VALUE"""),56.43)</f>
        <v/>
      </c>
      <c r="F149" s="141">
        <f>IFERROR(__xludf.DUMMYFUNCTION("""COMPUTED_VALUE"""),56.55)</f>
        <v/>
      </c>
      <c r="G149" s="143">
        <f>IFERROR(__xludf.DUMMYFUNCTION("""COMPUTED_VALUE"""),11880533)</f>
        <v/>
      </c>
      <c r="H149" s="27" t="n"/>
    </row>
    <row r="150" ht="17.25" customHeight="1" s="322">
      <c r="A150" s="27" t="n"/>
      <c r="B150" s="506">
        <f>IFERROR(__xludf.DUMMYFUNCTION("""COMPUTED_VALUE"""),46045.6666666666)</f>
        <v/>
      </c>
      <c r="C150" s="141">
        <f>IFERROR(__xludf.DUMMYFUNCTION("""COMPUTED_VALUE"""),56.42)</f>
        <v/>
      </c>
      <c r="D150" s="141">
        <f>IFERROR(__xludf.DUMMYFUNCTION("""COMPUTED_VALUE"""),56.86)</f>
        <v/>
      </c>
      <c r="E150" s="141">
        <f>IFERROR(__xludf.DUMMYFUNCTION("""COMPUTED_VALUE"""),56.33)</f>
        <v/>
      </c>
      <c r="F150" s="141">
        <f>IFERROR(__xludf.DUMMYFUNCTION("""COMPUTED_VALUE"""),56.77)</f>
        <v/>
      </c>
      <c r="G150" s="143">
        <f>IFERROR(__xludf.DUMMYFUNCTION("""COMPUTED_VALUE"""),15530367)</f>
        <v/>
      </c>
      <c r="H150" s="27" t="n"/>
    </row>
    <row r="151" ht="17.25" customHeight="1" s="322">
      <c r="A151" s="27" t="n"/>
      <c r="B151" s="506">
        <f>IFERROR(__xludf.DUMMYFUNCTION("""COMPUTED_VALUE"""),46048.6666666666)</f>
        <v/>
      </c>
      <c r="C151" s="141">
        <f>IFERROR(__xludf.DUMMYFUNCTION("""COMPUTED_VALUE"""),56.84)</f>
        <v/>
      </c>
      <c r="D151" s="141">
        <f>IFERROR(__xludf.DUMMYFUNCTION("""COMPUTED_VALUE"""),57.1)</f>
        <v/>
      </c>
      <c r="E151" s="141">
        <f>IFERROR(__xludf.DUMMYFUNCTION("""COMPUTED_VALUE"""),56.8)</f>
        <v/>
      </c>
      <c r="F151" s="141">
        <f>IFERROR(__xludf.DUMMYFUNCTION("""COMPUTED_VALUE"""),56.93)</f>
        <v/>
      </c>
      <c r="G151" s="143">
        <f>IFERROR(__xludf.DUMMYFUNCTION("""COMPUTED_VALUE"""),11402603)</f>
        <v/>
      </c>
      <c r="H151" s="27" t="n"/>
    </row>
    <row r="152" ht="17.25" customHeight="1" s="322">
      <c r="A152" s="27" t="n"/>
      <c r="B152" s="506">
        <f>IFERROR(__xludf.DUMMYFUNCTION("""COMPUTED_VALUE"""),46049.6666666666)</f>
        <v/>
      </c>
      <c r="C152" s="141">
        <f>IFERROR(__xludf.DUMMYFUNCTION("""COMPUTED_VALUE"""),57.37)</f>
        <v/>
      </c>
      <c r="D152" s="141">
        <f>IFERROR(__xludf.DUMMYFUNCTION("""COMPUTED_VALUE"""),57.69)</f>
        <v/>
      </c>
      <c r="E152" s="141">
        <f>IFERROR(__xludf.DUMMYFUNCTION("""COMPUTED_VALUE"""),57.28)</f>
        <v/>
      </c>
      <c r="F152" s="141">
        <f>IFERROR(__xludf.DUMMYFUNCTION("""COMPUTED_VALUE"""),57.64)</f>
        <v/>
      </c>
      <c r="G152" s="143">
        <f>IFERROR(__xludf.DUMMYFUNCTION("""COMPUTED_VALUE"""),12136766)</f>
        <v/>
      </c>
      <c r="H152" s="27" t="n"/>
    </row>
    <row r="153" ht="17.25" customHeight="1" s="322">
      <c r="A153" s="27" t="n"/>
      <c r="B153" s="506">
        <f>IFERROR(__xludf.DUMMYFUNCTION("""COMPUTED_VALUE"""),46050.6666666666)</f>
        <v/>
      </c>
      <c r="C153" s="141">
        <f>IFERROR(__xludf.DUMMYFUNCTION("""COMPUTED_VALUE"""),58.03)</f>
        <v/>
      </c>
      <c r="D153" s="141">
        <f>IFERROR(__xludf.DUMMYFUNCTION("""COMPUTED_VALUE"""),58.1)</f>
        <v/>
      </c>
      <c r="E153" s="141">
        <f>IFERROR(__xludf.DUMMYFUNCTION("""COMPUTED_VALUE"""),57.62)</f>
        <v/>
      </c>
      <c r="F153" s="141">
        <f>IFERROR(__xludf.DUMMYFUNCTION("""COMPUTED_VALUE"""),57.86)</f>
        <v/>
      </c>
      <c r="G153" s="143">
        <f>IFERROR(__xludf.DUMMYFUNCTION("""COMPUTED_VALUE"""),11659204)</f>
        <v/>
      </c>
      <c r="H153" s="27" t="n"/>
    </row>
    <row r="154" ht="17.25" customHeight="1" s="322">
      <c r="A154" s="27" t="n"/>
      <c r="B154" s="506">
        <f>IFERROR(__xludf.DUMMYFUNCTION("""COMPUTED_VALUE"""),46051.6666666666)</f>
        <v/>
      </c>
      <c r="C154" s="141">
        <f>IFERROR(__xludf.DUMMYFUNCTION("""COMPUTED_VALUE"""),58)</f>
        <v/>
      </c>
      <c r="D154" s="141">
        <f>IFERROR(__xludf.DUMMYFUNCTION("""COMPUTED_VALUE"""),58.06)</f>
        <v/>
      </c>
      <c r="E154" s="141">
        <f>IFERROR(__xludf.DUMMYFUNCTION("""COMPUTED_VALUE"""),56.89)</f>
        <v/>
      </c>
      <c r="F154" s="141">
        <f>IFERROR(__xludf.DUMMYFUNCTION("""COMPUTED_VALUE"""),57.64)</f>
        <v/>
      </c>
      <c r="G154" s="143">
        <f>IFERROR(__xludf.DUMMYFUNCTION("""COMPUTED_VALUE"""),19033295)</f>
        <v/>
      </c>
      <c r="H154" s="27" t="n"/>
    </row>
    <row r="155" ht="17.25" customHeight="1" s="322">
      <c r="A155" s="27" t="n"/>
      <c r="B155" s="506">
        <f>IFERROR(__xludf.DUMMYFUNCTION("""COMPUTED_VALUE"""),46052.6666666666)</f>
        <v/>
      </c>
      <c r="C155" s="141">
        <f>IFERROR(__xludf.DUMMYFUNCTION("""COMPUTED_VALUE"""),56.96)</f>
        <v/>
      </c>
      <c r="D155" s="141">
        <f>IFERROR(__xludf.DUMMYFUNCTION("""COMPUTED_VALUE"""),57.12)</f>
        <v/>
      </c>
      <c r="E155" s="141">
        <f>IFERROR(__xludf.DUMMYFUNCTION("""COMPUTED_VALUE"""),56.18)</f>
        <v/>
      </c>
      <c r="F155" s="141">
        <f>IFERROR(__xludf.DUMMYFUNCTION("""COMPUTED_VALUE"""),56.47)</f>
        <v/>
      </c>
      <c r="G155" s="143">
        <f>IFERROR(__xludf.DUMMYFUNCTION("""COMPUTED_VALUE"""),21105093)</f>
        <v/>
      </c>
      <c r="H155" s="27" t="n"/>
    </row>
    <row r="156" ht="17.25" customHeight="1" s="322">
      <c r="A156" s="27" t="n"/>
      <c r="B156" s="506">
        <f>IFERROR(__xludf.DUMMYFUNCTION("""COMPUTED_VALUE"""),46055.6666666666)</f>
        <v/>
      </c>
      <c r="C156" s="141">
        <f>IFERROR(__xludf.DUMMYFUNCTION("""COMPUTED_VALUE"""),56.08)</f>
        <v/>
      </c>
      <c r="D156" s="141">
        <f>IFERROR(__xludf.DUMMYFUNCTION("""COMPUTED_VALUE"""),56.91)</f>
        <v/>
      </c>
      <c r="E156" s="141">
        <f>IFERROR(__xludf.DUMMYFUNCTION("""COMPUTED_VALUE"""),56.06)</f>
        <v/>
      </c>
      <c r="F156" s="141">
        <f>IFERROR(__xludf.DUMMYFUNCTION("""COMPUTED_VALUE"""),56.78)</f>
        <v/>
      </c>
      <c r="G156" s="143">
        <f>IFERROR(__xludf.DUMMYFUNCTION("""COMPUTED_VALUE"""),25274994)</f>
        <v/>
      </c>
      <c r="H156" s="27" t="n"/>
    </row>
    <row r="157" ht="17.25" customHeight="1" s="322">
      <c r="A157" s="27" t="n"/>
      <c r="B157" s="506">
        <f>IFERROR(__xludf.DUMMYFUNCTION("""COMPUTED_VALUE"""),46056.6666666666)</f>
        <v/>
      </c>
      <c r="C157" s="141">
        <f>IFERROR(__xludf.DUMMYFUNCTION("""COMPUTED_VALUE"""),57.01)</f>
        <v/>
      </c>
      <c r="D157" s="141">
        <f>IFERROR(__xludf.DUMMYFUNCTION("""COMPUTED_VALUE"""),57.08)</f>
        <v/>
      </c>
      <c r="E157" s="141">
        <f>IFERROR(__xludf.DUMMYFUNCTION("""COMPUTED_VALUE"""),56.3)</f>
        <v/>
      </c>
      <c r="F157" s="141">
        <f>IFERROR(__xludf.DUMMYFUNCTION("""COMPUTED_VALUE"""),56.75)</f>
        <v/>
      </c>
      <c r="G157" s="143">
        <f>IFERROR(__xludf.DUMMYFUNCTION("""COMPUTED_VALUE"""),19002742)</f>
        <v/>
      </c>
      <c r="H157" s="27" t="n"/>
    </row>
    <row r="158" ht="17.25" customHeight="1" s="322">
      <c r="A158" s="27" t="n"/>
      <c r="B158" s="506">
        <f>IFERROR(__xludf.DUMMYFUNCTION("""COMPUTED_VALUE"""),46057.6666666666)</f>
        <v/>
      </c>
      <c r="C158" s="141">
        <f>IFERROR(__xludf.DUMMYFUNCTION("""COMPUTED_VALUE"""),57.05)</f>
        <v/>
      </c>
      <c r="D158" s="141">
        <f>IFERROR(__xludf.DUMMYFUNCTION("""COMPUTED_VALUE"""),57.05)</f>
        <v/>
      </c>
      <c r="E158" s="141">
        <f>IFERROR(__xludf.DUMMYFUNCTION("""COMPUTED_VALUE"""),56.12)</f>
        <v/>
      </c>
      <c r="F158" s="141">
        <f>IFERROR(__xludf.DUMMYFUNCTION("""COMPUTED_VALUE"""),56.41)</f>
        <v/>
      </c>
      <c r="G158" s="143">
        <f>IFERROR(__xludf.DUMMYFUNCTION("""COMPUTED_VALUE"""),15093745)</f>
        <v/>
      </c>
      <c r="H158" s="27" t="n"/>
    </row>
    <row r="159" ht="17.25" customHeight="1" s="322">
      <c r="A159" s="27" t="n"/>
      <c r="B159" s="506">
        <f>IFERROR(__xludf.DUMMYFUNCTION("""COMPUTED_VALUE"""),46058.6666666666)</f>
        <v/>
      </c>
      <c r="C159" s="141">
        <f>IFERROR(__xludf.DUMMYFUNCTION("""COMPUTED_VALUE"""),56.16)</f>
        <v/>
      </c>
      <c r="D159" s="141">
        <f>IFERROR(__xludf.DUMMYFUNCTION("""COMPUTED_VALUE"""),56.52)</f>
        <v/>
      </c>
      <c r="E159" s="141">
        <f>IFERROR(__xludf.DUMMYFUNCTION("""COMPUTED_VALUE"""),55.9)</f>
        <v/>
      </c>
      <c r="F159" s="141">
        <f>IFERROR(__xludf.DUMMYFUNCTION("""COMPUTED_VALUE"""),56.04)</f>
        <v/>
      </c>
      <c r="G159" s="143">
        <f>IFERROR(__xludf.DUMMYFUNCTION("""COMPUTED_VALUE"""),11123640)</f>
        <v/>
      </c>
      <c r="H159" s="27" t="n"/>
    </row>
    <row r="160" ht="17.25" customHeight="1" s="322">
      <c r="A160" s="27" t="n"/>
      <c r="B160" s="506">
        <f>IFERROR(__xludf.DUMMYFUNCTION("""COMPUTED_VALUE"""),46059.6666666666)</f>
        <v/>
      </c>
      <c r="C160" s="141">
        <f>IFERROR(__xludf.DUMMYFUNCTION("""COMPUTED_VALUE"""),56.66)</f>
        <v/>
      </c>
      <c r="D160" s="141">
        <f>IFERROR(__xludf.DUMMYFUNCTION("""COMPUTED_VALUE"""),57.29)</f>
        <v/>
      </c>
      <c r="E160" s="141">
        <f>IFERROR(__xludf.DUMMYFUNCTION("""COMPUTED_VALUE"""),56.66)</f>
        <v/>
      </c>
      <c r="F160" s="141">
        <f>IFERROR(__xludf.DUMMYFUNCTION("""COMPUTED_VALUE"""),57.26)</f>
        <v/>
      </c>
      <c r="G160" s="143">
        <f>IFERROR(__xludf.DUMMYFUNCTION("""COMPUTED_VALUE"""),10467315)</f>
        <v/>
      </c>
      <c r="H160" s="27" t="n"/>
    </row>
    <row r="161" ht="17.25" customHeight="1" s="322">
      <c r="A161" s="27" t="n"/>
      <c r="B161" s="506">
        <f>IFERROR(__xludf.DUMMYFUNCTION("""COMPUTED_VALUE"""),46062.6666666666)</f>
        <v/>
      </c>
      <c r="C161" s="141">
        <f>IFERROR(__xludf.DUMMYFUNCTION("""COMPUTED_VALUE"""),57.32)</f>
        <v/>
      </c>
      <c r="D161" s="141">
        <f>IFERROR(__xludf.DUMMYFUNCTION("""COMPUTED_VALUE"""),57.86)</f>
        <v/>
      </c>
      <c r="E161" s="141">
        <f>IFERROR(__xludf.DUMMYFUNCTION("""COMPUTED_VALUE"""),57.29)</f>
        <v/>
      </c>
      <c r="F161" s="141">
        <f>IFERROR(__xludf.DUMMYFUNCTION("""COMPUTED_VALUE"""),57.75)</f>
        <v/>
      </c>
      <c r="G161" s="143">
        <f>IFERROR(__xludf.DUMMYFUNCTION("""COMPUTED_VALUE"""),11064392)</f>
        <v/>
      </c>
      <c r="H161" s="27" t="n"/>
    </row>
    <row r="162" ht="17.25" customHeight="1" s="322">
      <c r="A162" s="27" t="n"/>
      <c r="B162" s="506">
        <f>IFERROR(__xludf.DUMMYFUNCTION("""COMPUTED_VALUE"""),46063.6666666666)</f>
        <v/>
      </c>
      <c r="C162" s="141">
        <f>IFERROR(__xludf.DUMMYFUNCTION("""COMPUTED_VALUE"""),58.02)</f>
        <v/>
      </c>
      <c r="D162" s="141">
        <f>IFERROR(__xludf.DUMMYFUNCTION("""COMPUTED_VALUE"""),58.15)</f>
        <v/>
      </c>
      <c r="E162" s="141">
        <f>IFERROR(__xludf.DUMMYFUNCTION("""COMPUTED_VALUE"""),57.83)</f>
        <v/>
      </c>
      <c r="F162" s="141">
        <f>IFERROR(__xludf.DUMMYFUNCTION("""COMPUTED_VALUE"""),58.01)</f>
        <v/>
      </c>
      <c r="G162" s="143">
        <f>IFERROR(__xludf.DUMMYFUNCTION("""COMPUTED_VALUE"""),9922936)</f>
        <v/>
      </c>
      <c r="H162" s="27" t="n"/>
    </row>
    <row r="163" ht="17.25" customHeight="1" s="322">
      <c r="A163" s="27" t="n"/>
      <c r="B163" s="506">
        <f>IFERROR(__xludf.DUMMYFUNCTION("""COMPUTED_VALUE"""),46064.6666666666)</f>
        <v/>
      </c>
      <c r="C163" s="141">
        <f>IFERROR(__xludf.DUMMYFUNCTION("""COMPUTED_VALUE"""),58.33)</f>
        <v/>
      </c>
      <c r="D163" s="141">
        <f>IFERROR(__xludf.DUMMYFUNCTION("""COMPUTED_VALUE"""),58.6)</f>
        <v/>
      </c>
      <c r="E163" s="141">
        <f>IFERROR(__xludf.DUMMYFUNCTION("""COMPUTED_VALUE"""),58)</f>
        <v/>
      </c>
      <c r="F163" s="141">
        <f>IFERROR(__xludf.DUMMYFUNCTION("""COMPUTED_VALUE"""),58.51)</f>
        <v/>
      </c>
      <c r="G163" s="143">
        <f>IFERROR(__xludf.DUMMYFUNCTION("""COMPUTED_VALUE"""),8333106)</f>
        <v/>
      </c>
      <c r="H163" s="27" t="n"/>
    </row>
    <row r="164" ht="17.25" customHeight="1" s="322">
      <c r="A164" s="27" t="n"/>
      <c r="B164" s="506">
        <f>IFERROR(__xludf.DUMMYFUNCTION("""COMPUTED_VALUE"""),46065.6666666666)</f>
        <v/>
      </c>
      <c r="C164" s="141">
        <f>IFERROR(__xludf.DUMMYFUNCTION("""COMPUTED_VALUE"""),58.61)</f>
        <v/>
      </c>
      <c r="D164" s="141">
        <f>IFERROR(__xludf.DUMMYFUNCTION("""COMPUTED_VALUE"""),58.61)</f>
        <v/>
      </c>
      <c r="E164" s="141">
        <f>IFERROR(__xludf.DUMMYFUNCTION("""COMPUTED_VALUE"""),57.65)</f>
        <v/>
      </c>
      <c r="F164" s="141">
        <f>IFERROR(__xludf.DUMMYFUNCTION("""COMPUTED_VALUE"""),57.76)</f>
        <v/>
      </c>
      <c r="G164" s="143">
        <f>IFERROR(__xludf.DUMMYFUNCTION("""COMPUTED_VALUE"""),10097616)</f>
        <v/>
      </c>
      <c r="H164" s="27" t="n"/>
    </row>
    <row r="165" ht="17.25" customHeight="1" s="322">
      <c r="A165" s="27" t="n"/>
      <c r="B165" s="506">
        <f>IFERROR(__xludf.DUMMYFUNCTION("""COMPUTED_VALUE"""),46066.6666666666)</f>
        <v/>
      </c>
      <c r="C165" s="141">
        <f>IFERROR(__xludf.DUMMYFUNCTION("""COMPUTED_VALUE"""),57.46)</f>
        <v/>
      </c>
      <c r="D165" s="141">
        <f>IFERROR(__xludf.DUMMYFUNCTION("""COMPUTED_VALUE"""),57.85)</f>
        <v/>
      </c>
      <c r="E165" s="141">
        <f>IFERROR(__xludf.DUMMYFUNCTION("""COMPUTED_VALUE"""),57.18)</f>
        <v/>
      </c>
      <c r="F165" s="141">
        <f>IFERROR(__xludf.DUMMYFUNCTION("""COMPUTED_VALUE"""),57.75)</f>
        <v/>
      </c>
      <c r="G165" s="143">
        <f>IFERROR(__xludf.DUMMYFUNCTION("""COMPUTED_VALUE"""),9795435)</f>
        <v/>
      </c>
      <c r="H165" s="27" t="n"/>
    </row>
    <row r="166" ht="17.25" customHeight="1" s="322">
      <c r="A166" s="27" t="n"/>
      <c r="B166" s="506">
        <f>IFERROR(__xludf.DUMMYFUNCTION("""COMPUTED_VALUE"""),46070.6666666666)</f>
        <v/>
      </c>
      <c r="C166" s="141">
        <f>IFERROR(__xludf.DUMMYFUNCTION("""COMPUTED_VALUE"""),57.51)</f>
        <v/>
      </c>
      <c r="D166" s="141">
        <f>IFERROR(__xludf.DUMMYFUNCTION("""COMPUTED_VALUE"""),57.88)</f>
        <v/>
      </c>
      <c r="E166" s="141">
        <f>IFERROR(__xludf.DUMMYFUNCTION("""COMPUTED_VALUE"""),57.15)</f>
        <v/>
      </c>
      <c r="F166" s="141">
        <f>IFERROR(__xludf.DUMMYFUNCTION("""COMPUTED_VALUE"""),57.79)</f>
        <v/>
      </c>
      <c r="G166" s="143">
        <f>IFERROR(__xludf.DUMMYFUNCTION("""COMPUTED_VALUE"""),9303304)</f>
        <v/>
      </c>
      <c r="H166" s="27" t="n"/>
    </row>
    <row r="167" ht="17.25" customHeight="1" s="322">
      <c r="A167" s="27" t="n"/>
      <c r="B167" s="506">
        <f>IFERROR(__xludf.DUMMYFUNCTION("""COMPUTED_VALUE"""),46071.6666666666)</f>
        <v/>
      </c>
      <c r="C167" s="141">
        <f>IFERROR(__xludf.DUMMYFUNCTION("""COMPUTED_VALUE"""),57.99)</f>
        <v/>
      </c>
      <c r="D167" s="141">
        <f>IFERROR(__xludf.DUMMYFUNCTION("""COMPUTED_VALUE"""),58.29)</f>
        <v/>
      </c>
      <c r="E167" s="141">
        <f>IFERROR(__xludf.DUMMYFUNCTION("""COMPUTED_VALUE"""),57.78)</f>
        <v/>
      </c>
      <c r="F167" s="141">
        <f>IFERROR(__xludf.DUMMYFUNCTION("""COMPUTED_VALUE"""),57.95)</f>
        <v/>
      </c>
      <c r="G167" s="143">
        <f>IFERROR(__xludf.DUMMYFUNCTION("""COMPUTED_VALUE"""),8544772)</f>
        <v/>
      </c>
      <c r="H167" s="27" t="n"/>
    </row>
    <row r="168" ht="17.25" customHeight="1" s="322">
      <c r="A168" s="27" t="n"/>
      <c r="B168" s="506">
        <f>IFERROR(__xludf.DUMMYFUNCTION("""COMPUTED_VALUE"""),46072.6666666666)</f>
        <v/>
      </c>
      <c r="C168" s="141">
        <f>IFERROR(__xludf.DUMMYFUNCTION("""COMPUTED_VALUE"""),57.47)</f>
        <v/>
      </c>
      <c r="D168" s="141">
        <f>IFERROR(__xludf.DUMMYFUNCTION("""COMPUTED_VALUE"""),57.6)</f>
        <v/>
      </c>
      <c r="E168" s="141">
        <f>IFERROR(__xludf.DUMMYFUNCTION("""COMPUTED_VALUE"""),57.24)</f>
        <v/>
      </c>
      <c r="F168" s="141">
        <f>IFERROR(__xludf.DUMMYFUNCTION("""COMPUTED_VALUE"""),57.59)</f>
        <v/>
      </c>
      <c r="G168" s="143">
        <f>IFERROR(__xludf.DUMMYFUNCTION("""COMPUTED_VALUE"""),6588403)</f>
        <v/>
      </c>
      <c r="H168" s="27" t="n"/>
    </row>
    <row r="169" ht="17.25" customHeight="1" s="322">
      <c r="A169" s="27" t="n"/>
      <c r="B169" s="506">
        <f>IFERROR(__xludf.DUMMYFUNCTION("""COMPUTED_VALUE"""),46073.6666666666)</f>
        <v/>
      </c>
      <c r="C169" s="141">
        <f>IFERROR(__xludf.DUMMYFUNCTION("""COMPUTED_VALUE"""),57.48)</f>
        <v/>
      </c>
      <c r="D169" s="141">
        <f>IFERROR(__xludf.DUMMYFUNCTION("""COMPUTED_VALUE"""),58.54)</f>
        <v/>
      </c>
      <c r="E169" s="141">
        <f>IFERROR(__xludf.DUMMYFUNCTION("""COMPUTED_VALUE"""),57.42)</f>
        <v/>
      </c>
      <c r="F169" s="141">
        <f>IFERROR(__xludf.DUMMYFUNCTION("""COMPUTED_VALUE"""),58.53)</f>
        <v/>
      </c>
      <c r="G169" s="143">
        <f>IFERROR(__xludf.DUMMYFUNCTION("""COMPUTED_VALUE"""),7897368)</f>
        <v/>
      </c>
      <c r="H169" s="27" t="n"/>
    </row>
    <row r="170" ht="17.25" customHeight="1" s="322">
      <c r="A170" s="27" t="n"/>
      <c r="B170" s="506">
        <f>IFERROR(__xludf.DUMMYFUNCTION("""COMPUTED_VALUE"""),46076.6666666666)</f>
        <v/>
      </c>
      <c r="C170" s="141">
        <f>IFERROR(__xludf.DUMMYFUNCTION("""COMPUTED_VALUE"""),58.35)</f>
        <v/>
      </c>
      <c r="D170" s="141">
        <f>IFERROR(__xludf.DUMMYFUNCTION("""COMPUTED_VALUE"""),58.53)</f>
        <v/>
      </c>
      <c r="E170" s="141">
        <f>IFERROR(__xludf.DUMMYFUNCTION("""COMPUTED_VALUE"""),57.95)</f>
        <v/>
      </c>
      <c r="F170" s="141">
        <f>IFERROR(__xludf.DUMMYFUNCTION("""COMPUTED_VALUE"""),58.06)</f>
        <v/>
      </c>
      <c r="G170" s="143">
        <f>IFERROR(__xludf.DUMMYFUNCTION("""COMPUTED_VALUE"""),8689867)</f>
        <v/>
      </c>
      <c r="H170" s="27" t="n"/>
    </row>
    <row r="171" ht="17.25" customHeight="1" s="322">
      <c r="A171" s="27" t="n"/>
      <c r="B171" s="506">
        <f>IFERROR(__xludf.DUMMYFUNCTION("""COMPUTED_VALUE"""),46077.6666666666)</f>
        <v/>
      </c>
      <c r="C171" s="141">
        <f>IFERROR(__xludf.DUMMYFUNCTION("""COMPUTED_VALUE"""),58.36)</f>
        <v/>
      </c>
      <c r="D171" s="141">
        <f>IFERROR(__xludf.DUMMYFUNCTION("""COMPUTED_VALUE"""),58.82)</f>
        <v/>
      </c>
      <c r="E171" s="141">
        <f>IFERROR(__xludf.DUMMYFUNCTION("""COMPUTED_VALUE"""),58.25)</f>
        <v/>
      </c>
      <c r="F171" s="141">
        <f>IFERROR(__xludf.DUMMYFUNCTION("""COMPUTED_VALUE"""),58.68)</f>
        <v/>
      </c>
      <c r="G171" s="143">
        <f>IFERROR(__xludf.DUMMYFUNCTION("""COMPUTED_VALUE"""),9332108)</f>
        <v/>
      </c>
      <c r="H171" s="27" t="n"/>
    </row>
    <row r="172" ht="17.25" customHeight="1" s="322">
      <c r="A172" s="27" t="n"/>
      <c r="B172" s="506">
        <f>IFERROR(__xludf.DUMMYFUNCTION("""COMPUTED_VALUE"""),46078.6666666666)</f>
        <v/>
      </c>
      <c r="C172" s="141">
        <f>IFERROR(__xludf.DUMMYFUNCTION("""COMPUTED_VALUE"""),59.09)</f>
        <v/>
      </c>
      <c r="D172" s="141">
        <f>IFERROR(__xludf.DUMMYFUNCTION("""COMPUTED_VALUE"""),59.09)</f>
        <v/>
      </c>
      <c r="E172" s="141">
        <f>IFERROR(__xludf.DUMMYFUNCTION("""COMPUTED_VALUE"""),58.74)</f>
        <v/>
      </c>
      <c r="F172" s="141">
        <f>IFERROR(__xludf.DUMMYFUNCTION("""COMPUTED_VALUE"""),59.01)</f>
        <v/>
      </c>
      <c r="G172" s="143">
        <f>IFERROR(__xludf.DUMMYFUNCTION("""COMPUTED_VALUE"""),6891660)</f>
        <v/>
      </c>
      <c r="H172" s="27" t="n"/>
    </row>
    <row r="173" ht="17.25" customHeight="1" s="322">
      <c r="A173" s="27" t="n"/>
      <c r="B173" s="506">
        <f>IFERROR(__xludf.DUMMYFUNCTION("""COMPUTED_VALUE"""),46079.6666666666)</f>
        <v/>
      </c>
      <c r="C173" s="141">
        <f>IFERROR(__xludf.DUMMYFUNCTION("""COMPUTED_VALUE"""),58.65)</f>
        <v/>
      </c>
      <c r="D173" s="141">
        <f>IFERROR(__xludf.DUMMYFUNCTION("""COMPUTED_VALUE"""),58.65)</f>
        <v/>
      </c>
      <c r="E173" s="141">
        <f>IFERROR(__xludf.DUMMYFUNCTION("""COMPUTED_VALUE"""),57.88)</f>
        <v/>
      </c>
      <c r="F173" s="141">
        <f>IFERROR(__xludf.DUMMYFUNCTION("""COMPUTED_VALUE"""),58.27)</f>
        <v/>
      </c>
      <c r="G173" s="143">
        <f>IFERROR(__xludf.DUMMYFUNCTION("""COMPUTED_VALUE"""),10223729)</f>
        <v/>
      </c>
      <c r="H173" s="27" t="n"/>
    </row>
    <row r="174" ht="17.25" customHeight="1" s="322">
      <c r="A174" s="27" t="n"/>
      <c r="B174" s="506">
        <f>IFERROR(__xludf.DUMMYFUNCTION("""COMPUTED_VALUE"""),46080.6666666666)</f>
        <v/>
      </c>
      <c r="C174" s="141">
        <f>IFERROR(__xludf.DUMMYFUNCTION("""COMPUTED_VALUE"""),57.92)</f>
        <v/>
      </c>
      <c r="D174" s="141">
        <f>IFERROR(__xludf.DUMMYFUNCTION("""COMPUTED_VALUE"""),58.22)</f>
        <v/>
      </c>
      <c r="E174" s="141">
        <f>IFERROR(__xludf.DUMMYFUNCTION("""COMPUTED_VALUE"""),57.83)</f>
        <v/>
      </c>
      <c r="F174" s="141">
        <f>IFERROR(__xludf.DUMMYFUNCTION("""COMPUTED_VALUE"""),58.1)</f>
        <v/>
      </c>
      <c r="G174" s="143">
        <f>IFERROR(__xludf.DUMMYFUNCTION("""COMPUTED_VALUE"""),10694556)</f>
        <v/>
      </c>
      <c r="H174" s="27" t="n"/>
    </row>
    <row r="175" ht="17.25" customHeight="1" s="322">
      <c r="A175" s="27" t="n"/>
      <c r="B175" s="506">
        <f>IFERROR(__xludf.DUMMYFUNCTION("""COMPUTED_VALUE"""),46083.6666666666)</f>
        <v/>
      </c>
      <c r="C175" s="141">
        <f>IFERROR(__xludf.DUMMYFUNCTION("""COMPUTED_VALUE"""),56.81)</f>
        <v/>
      </c>
      <c r="D175" s="141">
        <f>IFERROR(__xludf.DUMMYFUNCTION("""COMPUTED_VALUE"""),57.5)</f>
        <v/>
      </c>
      <c r="E175" s="141">
        <f>IFERROR(__xludf.DUMMYFUNCTION("""COMPUTED_VALUE"""),56.76)</f>
        <v/>
      </c>
      <c r="F175" s="141">
        <f>IFERROR(__xludf.DUMMYFUNCTION("""COMPUTED_VALUE"""),57.24)</f>
        <v/>
      </c>
      <c r="G175" s="143">
        <f>IFERROR(__xludf.DUMMYFUNCTION("""COMPUTED_VALUE"""),12715575)</f>
        <v/>
      </c>
      <c r="H175" s="27" t="n"/>
    </row>
    <row r="176" ht="17.25" customHeight="1" s="322">
      <c r="A176" s="27" t="n"/>
      <c r="B176" s="506">
        <f>IFERROR(__xludf.DUMMYFUNCTION("""COMPUTED_VALUE"""),46084.6666666666)</f>
        <v/>
      </c>
      <c r="C176" s="141">
        <f>IFERROR(__xludf.DUMMYFUNCTION("""COMPUTED_VALUE"""),54.88)</f>
        <v/>
      </c>
      <c r="D176" s="141">
        <f>IFERROR(__xludf.DUMMYFUNCTION("""COMPUTED_VALUE"""),55.48)</f>
        <v/>
      </c>
      <c r="E176" s="141">
        <f>IFERROR(__xludf.DUMMYFUNCTION("""COMPUTED_VALUE"""),53.94)</f>
        <v/>
      </c>
      <c r="F176" s="141">
        <f>IFERROR(__xludf.DUMMYFUNCTION("""COMPUTED_VALUE"""),55.23)</f>
        <v/>
      </c>
      <c r="G176" s="143">
        <f>IFERROR(__xludf.DUMMYFUNCTION("""COMPUTED_VALUE"""),31761578)</f>
        <v/>
      </c>
      <c r="H176" s="27" t="n"/>
    </row>
    <row r="177" ht="17.25" customHeight="1" s="322">
      <c r="A177" s="27" t="n"/>
      <c r="B177" s="506">
        <f>IFERROR(__xludf.DUMMYFUNCTION("""COMPUTED_VALUE"""),46085.6666666666)</f>
        <v/>
      </c>
      <c r="C177" s="141">
        <f>IFERROR(__xludf.DUMMYFUNCTION("""COMPUTED_VALUE"""),55.42)</f>
        <v/>
      </c>
      <c r="D177" s="141">
        <f>IFERROR(__xludf.DUMMYFUNCTION("""COMPUTED_VALUE"""),55.67)</f>
        <v/>
      </c>
      <c r="E177" s="141">
        <f>IFERROR(__xludf.DUMMYFUNCTION("""COMPUTED_VALUE"""),55.09)</f>
        <v/>
      </c>
      <c r="F177" s="141">
        <f>IFERROR(__xludf.DUMMYFUNCTION("""COMPUTED_VALUE"""),55.58)</f>
        <v/>
      </c>
      <c r="G177" s="143">
        <f>IFERROR(__xludf.DUMMYFUNCTION("""COMPUTED_VALUE"""),21492590)</f>
        <v/>
      </c>
      <c r="H177" s="27" t="n"/>
    </row>
    <row r="178" ht="17.25" customHeight="1" s="322">
      <c r="A178" s="27" t="n"/>
      <c r="B178" s="506">
        <f>IFERROR(__xludf.DUMMYFUNCTION("""COMPUTED_VALUE"""),46086.6666666666)</f>
        <v/>
      </c>
      <c r="C178" s="141">
        <f>IFERROR(__xludf.DUMMYFUNCTION("""COMPUTED_VALUE"""),54.94)</f>
        <v/>
      </c>
      <c r="D178" s="141">
        <f>IFERROR(__xludf.DUMMYFUNCTION("""COMPUTED_VALUE"""),55.35)</f>
        <v/>
      </c>
      <c r="E178" s="141">
        <f>IFERROR(__xludf.DUMMYFUNCTION("""COMPUTED_VALUE"""),54.24)</f>
        <v/>
      </c>
      <c r="F178" s="141">
        <f>IFERROR(__xludf.DUMMYFUNCTION("""COMPUTED_VALUE"""),54.85)</f>
        <v/>
      </c>
      <c r="G178" s="143">
        <f>IFERROR(__xludf.DUMMYFUNCTION("""COMPUTED_VALUE"""),15355283)</f>
        <v/>
      </c>
      <c r="H178" s="27" t="n"/>
    </row>
    <row r="179" ht="17.25" customHeight="1" s="322">
      <c r="A179" s="27" t="n"/>
      <c r="B179" s="506">
        <f>IFERROR(__xludf.DUMMYFUNCTION("""COMPUTED_VALUE"""),46087.6666666666)</f>
        <v/>
      </c>
      <c r="C179" s="141">
        <f>IFERROR(__xludf.DUMMYFUNCTION("""COMPUTED_VALUE"""),54.33)</f>
        <v/>
      </c>
      <c r="D179" s="141">
        <f>IFERROR(__xludf.DUMMYFUNCTION("""COMPUTED_VALUE"""),54.78)</f>
        <v/>
      </c>
      <c r="E179" s="141">
        <f>IFERROR(__xludf.DUMMYFUNCTION("""COMPUTED_VALUE"""),54.12)</f>
        <v/>
      </c>
      <c r="F179" s="141">
        <f>IFERROR(__xludf.DUMMYFUNCTION("""COMPUTED_VALUE"""),54.47)</f>
        <v/>
      </c>
      <c r="G179" s="143">
        <f>IFERROR(__xludf.DUMMYFUNCTION("""COMPUTED_VALUE"""),9825557)</f>
        <v/>
      </c>
      <c r="H179" s="27" t="n"/>
    </row>
    <row r="180" ht="17.25" customHeight="1" s="322">
      <c r="A180" s="27" t="n"/>
      <c r="B180" s="506">
        <f>IFERROR(__xludf.DUMMYFUNCTION("""COMPUTED_VALUE"""),46090.6666666666)</f>
        <v/>
      </c>
      <c r="C180" s="141">
        <f>IFERROR(__xludf.DUMMYFUNCTION("""COMPUTED_VALUE"""),53.98)</f>
        <v/>
      </c>
      <c r="D180" s="141">
        <f>IFERROR(__xludf.DUMMYFUNCTION("""COMPUTED_VALUE"""),55.34)</f>
        <v/>
      </c>
      <c r="E180" s="141">
        <f>IFERROR(__xludf.DUMMYFUNCTION("""COMPUTED_VALUE"""),53.66)</f>
        <v/>
      </c>
      <c r="F180" s="141">
        <f>IFERROR(__xludf.DUMMYFUNCTION("""COMPUTED_VALUE"""),55.13)</f>
        <v/>
      </c>
      <c r="G180" s="143">
        <f>IFERROR(__xludf.DUMMYFUNCTION("""COMPUTED_VALUE"""),21263364)</f>
        <v/>
      </c>
      <c r="H180" s="27" t="n"/>
    </row>
    <row r="181" ht="17.25" customHeight="1" s="322">
      <c r="A181" s="27" t="n"/>
      <c r="B181" s="506">
        <f>IFERROR(__xludf.DUMMYFUNCTION("""COMPUTED_VALUE"""),46091.6666666666)</f>
        <v/>
      </c>
      <c r="C181" s="141">
        <f>IFERROR(__xludf.DUMMYFUNCTION("""COMPUTED_VALUE"""),55.39)</f>
        <v/>
      </c>
      <c r="D181" s="141">
        <f>IFERROR(__xludf.DUMMYFUNCTION("""COMPUTED_VALUE"""),56.27)</f>
        <v/>
      </c>
      <c r="E181" s="141">
        <f>IFERROR(__xludf.DUMMYFUNCTION("""COMPUTED_VALUE"""),55.2)</f>
        <v/>
      </c>
      <c r="F181" s="141">
        <f>IFERROR(__xludf.DUMMYFUNCTION("""COMPUTED_VALUE"""),55.51)</f>
        <v/>
      </c>
      <c r="G181" s="143">
        <f>IFERROR(__xludf.DUMMYFUNCTION("""COMPUTED_VALUE"""),14294916)</f>
        <v/>
      </c>
      <c r="H181" s="27" t="n"/>
    </row>
    <row r="182" ht="17.25" customHeight="1" s="322">
      <c r="A182" s="27" t="n"/>
      <c r="B182" s="506">
        <f>IFERROR(__xludf.DUMMYFUNCTION("""COMPUTED_VALUE"""),46092.6666666666)</f>
        <v/>
      </c>
      <c r="C182" s="141">
        <f>IFERROR(__xludf.DUMMYFUNCTION("""COMPUTED_VALUE"""),55.52)</f>
        <v/>
      </c>
      <c r="D182" s="141">
        <f>IFERROR(__xludf.DUMMYFUNCTION("""COMPUTED_VALUE"""),55.81)</f>
        <v/>
      </c>
      <c r="E182" s="141">
        <f>IFERROR(__xludf.DUMMYFUNCTION("""COMPUTED_VALUE"""),55.27)</f>
        <v/>
      </c>
      <c r="F182" s="141">
        <f>IFERROR(__xludf.DUMMYFUNCTION("""COMPUTED_VALUE"""),55.56)</f>
        <v/>
      </c>
      <c r="G182" s="143">
        <f>IFERROR(__xludf.DUMMYFUNCTION("""COMPUTED_VALUE"""),12627210)</f>
        <v/>
      </c>
      <c r="H182" s="27" t="n"/>
    </row>
    <row r="183" ht="17.25" customHeight="1" s="322">
      <c r="A183" s="27" t="n"/>
      <c r="B183" s="506">
        <f>IFERROR(__xludf.DUMMYFUNCTION("""COMPUTED_VALUE"""),46093.6666666666)</f>
        <v/>
      </c>
      <c r="C183" s="141">
        <f>IFERROR(__xludf.DUMMYFUNCTION("""COMPUTED_VALUE"""),55.06)</f>
        <v/>
      </c>
      <c r="D183" s="141">
        <f>IFERROR(__xludf.DUMMYFUNCTION("""COMPUTED_VALUE"""),55.09)</f>
        <v/>
      </c>
      <c r="E183" s="141">
        <f>IFERROR(__xludf.DUMMYFUNCTION("""COMPUTED_VALUE"""),54.2)</f>
        <v/>
      </c>
      <c r="F183" s="141">
        <f>IFERROR(__xludf.DUMMYFUNCTION("""COMPUTED_VALUE"""),54.31)</f>
        <v/>
      </c>
      <c r="G183" s="143">
        <f>IFERROR(__xludf.DUMMYFUNCTION("""COMPUTED_VALUE"""),12484537)</f>
        <v/>
      </c>
      <c r="H183" s="27" t="n"/>
    </row>
    <row r="184" ht="17.25" customHeight="1" s="322">
      <c r="A184" s="27" t="n"/>
      <c r="B184" s="506">
        <f>IFERROR(__xludf.DUMMYFUNCTION("""COMPUTED_VALUE"""),46094.6666666666)</f>
        <v/>
      </c>
      <c r="C184" s="141">
        <f>IFERROR(__xludf.DUMMYFUNCTION("""COMPUTED_VALUE"""),54.66)</f>
        <v/>
      </c>
      <c r="D184" s="141">
        <f>IFERROR(__xludf.DUMMYFUNCTION("""COMPUTED_VALUE"""),54.96)</f>
        <v/>
      </c>
      <c r="E184" s="141">
        <f>IFERROR(__xludf.DUMMYFUNCTION("""COMPUTED_VALUE"""),53.89)</f>
        <v/>
      </c>
      <c r="F184" s="141">
        <f>IFERROR(__xludf.DUMMYFUNCTION("""COMPUTED_VALUE"""),54.02)</f>
        <v/>
      </c>
      <c r="G184" s="143">
        <f>IFERROR(__xludf.DUMMYFUNCTION("""COMPUTED_VALUE"""),12987417)</f>
        <v/>
      </c>
      <c r="H184" s="27" t="n"/>
    </row>
    <row r="185" ht="17.25" customHeight="1" s="322">
      <c r="A185" s="27" t="n"/>
      <c r="B185" s="506">
        <f>IFERROR(__xludf.DUMMYFUNCTION("""COMPUTED_VALUE"""),46097.6666666666)</f>
        <v/>
      </c>
      <c r="C185" s="141">
        <f>IFERROR(__xludf.DUMMYFUNCTION("""COMPUTED_VALUE"""),54.79)</f>
        <v/>
      </c>
      <c r="D185" s="141">
        <f>IFERROR(__xludf.DUMMYFUNCTION("""COMPUTED_VALUE"""),55.2)</f>
        <v/>
      </c>
      <c r="E185" s="141">
        <f>IFERROR(__xludf.DUMMYFUNCTION("""COMPUTED_VALUE"""),54.73)</f>
        <v/>
      </c>
      <c r="F185" s="141">
        <f>IFERROR(__xludf.DUMMYFUNCTION("""COMPUTED_VALUE"""),55.02)</f>
        <v/>
      </c>
      <c r="G185" s="143">
        <f>IFERROR(__xludf.DUMMYFUNCTION("""COMPUTED_VALUE"""),10707478)</f>
        <v/>
      </c>
      <c r="H185" s="27" t="n"/>
    </row>
    <row r="186" ht="17.25" customHeight="1" s="322">
      <c r="A186" s="27" t="n"/>
      <c r="B186" s="506">
        <f>IFERROR(__xludf.DUMMYFUNCTION("""COMPUTED_VALUE"""),46098.6666666666)</f>
        <v/>
      </c>
      <c r="C186" s="141">
        <f>IFERROR(__xludf.DUMMYFUNCTION("""COMPUTED_VALUE"""),55.43)</f>
        <v/>
      </c>
      <c r="D186" s="141">
        <f>IFERROR(__xludf.DUMMYFUNCTION("""COMPUTED_VALUE"""),55.48)</f>
        <v/>
      </c>
      <c r="E186" s="141">
        <f>IFERROR(__xludf.DUMMYFUNCTION("""COMPUTED_VALUE"""),55.1)</f>
        <v/>
      </c>
      <c r="F186" s="141">
        <f>IFERROR(__xludf.DUMMYFUNCTION("""COMPUTED_VALUE"""),55.26)</f>
        <v/>
      </c>
      <c r="G186" s="143">
        <f>IFERROR(__xludf.DUMMYFUNCTION("""COMPUTED_VALUE"""),6363806)</f>
        <v/>
      </c>
      <c r="H186" s="27" t="n"/>
    </row>
    <row r="187" ht="17.25" customHeight="1" s="322">
      <c r="A187" s="27" t="n"/>
      <c r="B187" s="506">
        <f>IFERROR(__xludf.DUMMYFUNCTION("""COMPUTED_VALUE"""),46099.6666666666)</f>
        <v/>
      </c>
      <c r="C187" s="141">
        <f>IFERROR(__xludf.DUMMYFUNCTION("""COMPUTED_VALUE"""),54.88)</f>
        <v/>
      </c>
      <c r="D187" s="141">
        <f>IFERROR(__xludf.DUMMYFUNCTION("""COMPUTED_VALUE"""),55.06)</f>
        <v/>
      </c>
      <c r="E187" s="141">
        <f>IFERROR(__xludf.DUMMYFUNCTION("""COMPUTED_VALUE"""),54.2)</f>
        <v/>
      </c>
      <c r="F187" s="141">
        <f>IFERROR(__xludf.DUMMYFUNCTION("""COMPUTED_VALUE"""),54.21)</f>
        <v/>
      </c>
      <c r="G187" s="143">
        <f>IFERROR(__xludf.DUMMYFUNCTION("""COMPUTED_VALUE"""),8065494)</f>
        <v/>
      </c>
      <c r="H187" s="27" t="n"/>
    </row>
    <row r="188" ht="17.25" customHeight="1" s="322">
      <c r="A188" s="27" t="n"/>
      <c r="B188" s="506">
        <f>IFERROR(__xludf.DUMMYFUNCTION("""COMPUTED_VALUE"""),46100.6666666666)</f>
        <v/>
      </c>
      <c r="C188" s="141">
        <f>IFERROR(__xludf.DUMMYFUNCTION("""COMPUTED_VALUE"""),53.32)</f>
        <v/>
      </c>
      <c r="D188" s="141">
        <f>IFERROR(__xludf.DUMMYFUNCTION("""COMPUTED_VALUE"""),54.25)</f>
        <v/>
      </c>
      <c r="E188" s="141">
        <f>IFERROR(__xludf.DUMMYFUNCTION("""COMPUTED_VALUE"""),53.15)</f>
        <v/>
      </c>
      <c r="F188" s="141">
        <f>IFERROR(__xludf.DUMMYFUNCTION("""COMPUTED_VALUE"""),54.01)</f>
        <v/>
      </c>
      <c r="G188" s="143">
        <f>IFERROR(__xludf.DUMMYFUNCTION("""COMPUTED_VALUE"""),17655839)</f>
        <v/>
      </c>
      <c r="H188" s="27" t="n"/>
    </row>
    <row r="189" ht="17.25" customHeight="1" s="322">
      <c r="A189" s="27" t="n"/>
      <c r="B189" s="506">
        <f>IFERROR(__xludf.DUMMYFUNCTION("""COMPUTED_VALUE"""),46101.6666666666)</f>
        <v/>
      </c>
      <c r="C189" s="141">
        <f>IFERROR(__xludf.DUMMYFUNCTION("""COMPUTED_VALUE"""),53.55)</f>
        <v/>
      </c>
      <c r="D189" s="141">
        <f>IFERROR(__xludf.DUMMYFUNCTION("""COMPUTED_VALUE"""),53.61)</f>
        <v/>
      </c>
      <c r="E189" s="141">
        <f>IFERROR(__xludf.DUMMYFUNCTION("""COMPUTED_VALUE"""),52.39)</f>
        <v/>
      </c>
      <c r="F189" s="141">
        <f>IFERROR(__xludf.DUMMYFUNCTION("""COMPUTED_VALUE"""),52.56)</f>
        <v/>
      </c>
      <c r="G189" s="143">
        <f>IFERROR(__xludf.DUMMYFUNCTION("""COMPUTED_VALUE"""),15722763)</f>
        <v/>
      </c>
      <c r="H189" s="27" t="n"/>
    </row>
    <row r="190" ht="17.25" customHeight="1" s="322">
      <c r="A190" s="27" t="n"/>
      <c r="B190" s="506">
        <f>IFERROR(__xludf.DUMMYFUNCTION("""COMPUTED_VALUE"""),46104.6666666666)</f>
        <v/>
      </c>
      <c r="C190" s="141">
        <f>IFERROR(__xludf.DUMMYFUNCTION("""COMPUTED_VALUE"""),53.32)</f>
        <v/>
      </c>
      <c r="D190" s="141">
        <f>IFERROR(__xludf.DUMMYFUNCTION("""COMPUTED_VALUE"""),54.27)</f>
        <v/>
      </c>
      <c r="E190" s="141">
        <f>IFERROR(__xludf.DUMMYFUNCTION("""COMPUTED_VALUE"""),53.25)</f>
        <v/>
      </c>
      <c r="F190" s="141">
        <f>IFERROR(__xludf.DUMMYFUNCTION("""COMPUTED_VALUE"""),53.8)</f>
        <v/>
      </c>
      <c r="G190" s="143">
        <f>IFERROR(__xludf.DUMMYFUNCTION("""COMPUTED_VALUE"""),21109511)</f>
        <v/>
      </c>
      <c r="H190" s="27" t="n"/>
    </row>
    <row r="191" ht="17.25" customHeight="1" s="322">
      <c r="A191" s="27" t="n"/>
      <c r="B191" s="506">
        <f>IFERROR(__xludf.DUMMYFUNCTION("""COMPUTED_VALUE"""),46105.6666666666)</f>
        <v/>
      </c>
      <c r="C191" s="141">
        <f>IFERROR(__xludf.DUMMYFUNCTION("""COMPUTED_VALUE"""),53)</f>
        <v/>
      </c>
      <c r="D191" s="141">
        <f>IFERROR(__xludf.DUMMYFUNCTION("""COMPUTED_VALUE"""),53.56)</f>
        <v/>
      </c>
      <c r="E191" s="141">
        <f>IFERROR(__xludf.DUMMYFUNCTION("""COMPUTED_VALUE"""),52.91)</f>
        <v/>
      </c>
      <c r="F191" s="141">
        <f>IFERROR(__xludf.DUMMYFUNCTION("""COMPUTED_VALUE"""),53.31)</f>
        <v/>
      </c>
      <c r="G191" s="143">
        <f>IFERROR(__xludf.DUMMYFUNCTION("""COMPUTED_VALUE"""),15654684)</f>
        <v/>
      </c>
      <c r="H191" s="27" t="n"/>
    </row>
    <row r="192" ht="17.25" customHeight="1" s="322">
      <c r="A192" s="27" t="n"/>
      <c r="B192" s="506">
        <f>IFERROR(__xludf.DUMMYFUNCTION("""COMPUTED_VALUE"""),46106.6666666666)</f>
        <v/>
      </c>
      <c r="C192" s="141">
        <f>IFERROR(__xludf.DUMMYFUNCTION("""COMPUTED_VALUE"""),54.32)</f>
        <v/>
      </c>
      <c r="D192" s="141">
        <f>IFERROR(__xludf.DUMMYFUNCTION("""COMPUTED_VALUE"""),54.6)</f>
        <v/>
      </c>
      <c r="E192" s="141">
        <f>IFERROR(__xludf.DUMMYFUNCTION("""COMPUTED_VALUE"""),54.06)</f>
        <v/>
      </c>
      <c r="F192" s="141">
        <f>IFERROR(__xludf.DUMMYFUNCTION("""COMPUTED_VALUE"""),54.34)</f>
        <v/>
      </c>
      <c r="G192" s="143">
        <f>IFERROR(__xludf.DUMMYFUNCTION("""COMPUTED_VALUE"""),9518763)</f>
        <v/>
      </c>
      <c r="H192" s="27" t="n"/>
    </row>
    <row r="193" ht="17.25" customHeight="1" s="322">
      <c r="A193" s="27" t="n"/>
      <c r="B193" s="506">
        <f>IFERROR(__xludf.DUMMYFUNCTION("""COMPUTED_VALUE"""),46107.6666666666)</f>
        <v/>
      </c>
      <c r="C193" s="141">
        <f>IFERROR(__xludf.DUMMYFUNCTION("""COMPUTED_VALUE"""),53.37)</f>
        <v/>
      </c>
      <c r="D193" s="141">
        <f>IFERROR(__xludf.DUMMYFUNCTION("""COMPUTED_VALUE"""),53.74)</f>
        <v/>
      </c>
      <c r="E193" s="141">
        <f>IFERROR(__xludf.DUMMYFUNCTION("""COMPUTED_VALUE"""),52.84)</f>
        <v/>
      </c>
      <c r="F193" s="141">
        <f>IFERROR(__xludf.DUMMYFUNCTION("""COMPUTED_VALUE"""),52.85)</f>
        <v/>
      </c>
      <c r="G193" s="143">
        <f>IFERROR(__xludf.DUMMYFUNCTION("""COMPUTED_VALUE"""),11508013)</f>
        <v/>
      </c>
      <c r="H193" s="27" t="n"/>
    </row>
    <row r="194" ht="17.25" customHeight="1" s="322">
      <c r="A194" s="27" t="n"/>
      <c r="B194" s="506">
        <f>IFERROR(__xludf.DUMMYFUNCTION("""COMPUTED_VALUE"""),46108.6666666666)</f>
        <v/>
      </c>
      <c r="C194" s="141">
        <f>IFERROR(__xludf.DUMMYFUNCTION("""COMPUTED_VALUE"""),52.71)</f>
        <v/>
      </c>
      <c r="D194" s="141">
        <f>IFERROR(__xludf.DUMMYFUNCTION("""COMPUTED_VALUE"""),52.95)</f>
        <v/>
      </c>
      <c r="E194" s="141">
        <f>IFERROR(__xludf.DUMMYFUNCTION("""COMPUTED_VALUE"""),52.39)</f>
        <v/>
      </c>
      <c r="F194" s="141">
        <f>IFERROR(__xludf.DUMMYFUNCTION("""COMPUTED_VALUE"""),52.49)</f>
        <v/>
      </c>
      <c r="G194" s="143">
        <f>IFERROR(__xludf.DUMMYFUNCTION("""COMPUTED_VALUE"""),13712943)</f>
        <v/>
      </c>
      <c r="H194" s="27" t="n"/>
    </row>
    <row r="195" ht="17.25" customHeight="1" s="322">
      <c r="A195" s="27" t="n"/>
      <c r="B195" s="506">
        <f>IFERROR(__xludf.DUMMYFUNCTION("""COMPUTED_VALUE"""),46111.6666666666)</f>
        <v/>
      </c>
      <c r="C195" s="141">
        <f>IFERROR(__xludf.DUMMYFUNCTION("""COMPUTED_VALUE"""),52.81)</f>
        <v/>
      </c>
      <c r="D195" s="141">
        <f>IFERROR(__xludf.DUMMYFUNCTION("""COMPUTED_VALUE"""),52.85)</f>
        <v/>
      </c>
      <c r="E195" s="141">
        <f>IFERROR(__xludf.DUMMYFUNCTION("""COMPUTED_VALUE"""),52.2)</f>
        <v/>
      </c>
      <c r="F195" s="141">
        <f>IFERROR(__xludf.DUMMYFUNCTION("""COMPUTED_VALUE"""),52.42)</f>
        <v/>
      </c>
      <c r="G195" s="143">
        <f>IFERROR(__xludf.DUMMYFUNCTION("""COMPUTED_VALUE"""),11231250)</f>
        <v/>
      </c>
      <c r="H195" s="27" t="n"/>
    </row>
    <row r="196" ht="17.25" customHeight="1" s="322">
      <c r="A196" s="27" t="n"/>
      <c r="B196" s="506">
        <f>IFERROR(__xludf.DUMMYFUNCTION("""COMPUTED_VALUE"""),46112.6666666666)</f>
        <v/>
      </c>
      <c r="C196" s="141">
        <f>IFERROR(__xludf.DUMMYFUNCTION("""COMPUTED_VALUE"""),52.67)</f>
        <v/>
      </c>
      <c r="D196" s="141">
        <f>IFERROR(__xludf.DUMMYFUNCTION("""COMPUTED_VALUE"""),54.1)</f>
        <v/>
      </c>
      <c r="E196" s="141">
        <f>IFERROR(__xludf.DUMMYFUNCTION("""COMPUTED_VALUE"""),52.67)</f>
        <v/>
      </c>
      <c r="F196" s="141">
        <f>IFERROR(__xludf.DUMMYFUNCTION("""COMPUTED_VALUE"""),54.05)</f>
        <v/>
      </c>
      <c r="G196" s="143">
        <f>IFERROR(__xludf.DUMMYFUNCTION("""COMPUTED_VALUE"""),15494813)</f>
        <v/>
      </c>
      <c r="H196" s="27" t="n"/>
    </row>
    <row r="197" ht="17.25" customHeight="1" s="322">
      <c r="A197" s="27" t="n"/>
      <c r="B197" s="506">
        <f>IFERROR(__xludf.DUMMYFUNCTION("""COMPUTED_VALUE"""),46113.6666666666)</f>
        <v/>
      </c>
      <c r="C197" s="141">
        <f>IFERROR(__xludf.DUMMYFUNCTION("""COMPUTED_VALUE"""),54.21)</f>
        <v/>
      </c>
      <c r="D197" s="141">
        <f>IFERROR(__xludf.DUMMYFUNCTION("""COMPUTED_VALUE"""),54.62)</f>
        <v/>
      </c>
      <c r="E197" s="141">
        <f>IFERROR(__xludf.DUMMYFUNCTION("""COMPUTED_VALUE"""),54.09)</f>
        <v/>
      </c>
      <c r="F197" s="141">
        <f>IFERROR(__xludf.DUMMYFUNCTION("""COMPUTED_VALUE"""),54.21)</f>
        <v/>
      </c>
      <c r="G197" s="143">
        <f>IFERROR(__xludf.DUMMYFUNCTION("""COMPUTED_VALUE"""),20099845)</f>
        <v/>
      </c>
      <c r="H197" s="27" t="n"/>
    </row>
    <row r="198" ht="17.25" customHeight="1" s="322">
      <c r="A198" s="27" t="n"/>
      <c r="B198" s="506">
        <f>IFERROR(__xludf.DUMMYFUNCTION("""COMPUTED_VALUE"""),46114.6666666666)</f>
        <v/>
      </c>
      <c r="C198" s="141">
        <f>IFERROR(__xludf.DUMMYFUNCTION("""COMPUTED_VALUE"""),53.18)</f>
        <v/>
      </c>
      <c r="D198" s="141">
        <f>IFERROR(__xludf.DUMMYFUNCTION("""COMPUTED_VALUE"""),54.15)</f>
        <v/>
      </c>
      <c r="E198" s="141">
        <f>IFERROR(__xludf.DUMMYFUNCTION("""COMPUTED_VALUE"""),53.05)</f>
        <v/>
      </c>
      <c r="F198" s="141">
        <f>IFERROR(__xludf.DUMMYFUNCTION("""COMPUTED_VALUE"""),53.82)</f>
        <v/>
      </c>
      <c r="G198" s="143">
        <f>IFERROR(__xludf.DUMMYFUNCTION("""COMPUTED_VALUE"""),10256106)</f>
        <v/>
      </c>
      <c r="H198" s="27" t="n"/>
    </row>
    <row r="199" ht="17.25" customHeight="1" s="322">
      <c r="A199" s="27" t="n"/>
      <c r="B199" s="506">
        <f>IFERROR(__xludf.DUMMYFUNCTION("""COMPUTED_VALUE"""),46118.6666666666)</f>
        <v/>
      </c>
      <c r="C199" s="141">
        <f>IFERROR(__xludf.DUMMYFUNCTION("""COMPUTED_VALUE"""),53.89)</f>
        <v/>
      </c>
      <c r="D199" s="141">
        <f>IFERROR(__xludf.DUMMYFUNCTION("""COMPUTED_VALUE"""),54.3)</f>
        <v/>
      </c>
      <c r="E199" s="141">
        <f>IFERROR(__xludf.DUMMYFUNCTION("""COMPUTED_VALUE"""),53.79)</f>
        <v/>
      </c>
      <c r="F199" s="141">
        <f>IFERROR(__xludf.DUMMYFUNCTION("""COMPUTED_VALUE"""),54.01)</f>
        <v/>
      </c>
      <c r="G199" s="143">
        <f>IFERROR(__xludf.DUMMYFUNCTION("""COMPUTED_VALUE"""),8924269)</f>
        <v/>
      </c>
      <c r="H199" s="27" t="n"/>
    </row>
    <row r="200" ht="17.25" customHeight="1" s="322">
      <c r="A200" s="27" t="n"/>
      <c r="B200" s="506">
        <f>IFERROR(__xludf.DUMMYFUNCTION("""COMPUTED_VALUE"""),46119.6666666666)</f>
        <v/>
      </c>
      <c r="C200" s="141">
        <f>IFERROR(__xludf.DUMMYFUNCTION("""COMPUTED_VALUE"""),53.92)</f>
        <v/>
      </c>
      <c r="D200" s="141">
        <f>IFERROR(__xludf.DUMMYFUNCTION("""COMPUTED_VALUE"""),54.11)</f>
        <v/>
      </c>
      <c r="E200" s="141">
        <f>IFERROR(__xludf.DUMMYFUNCTION("""COMPUTED_VALUE"""),53.41)</f>
        <v/>
      </c>
      <c r="F200" s="141">
        <f>IFERROR(__xludf.DUMMYFUNCTION("""COMPUTED_VALUE"""),54.09)</f>
        <v/>
      </c>
      <c r="G200" s="143">
        <f>IFERROR(__xludf.DUMMYFUNCTION("""COMPUTED_VALUE"""),7711418)</f>
        <v/>
      </c>
      <c r="H200" s="27" t="n"/>
    </row>
    <row r="201" ht="17.25" customHeight="1" s="322">
      <c r="A201" s="27" t="n"/>
      <c r="B201" s="506">
        <f>IFERROR(__xludf.DUMMYFUNCTION("""COMPUTED_VALUE"""),46120.6666666666)</f>
        <v/>
      </c>
      <c r="C201" s="141">
        <f>IFERROR(__xludf.DUMMYFUNCTION("""COMPUTED_VALUE"""),56.82)</f>
        <v/>
      </c>
      <c r="D201" s="141">
        <f>IFERROR(__xludf.DUMMYFUNCTION("""COMPUTED_VALUE"""),56.93)</f>
        <v/>
      </c>
      <c r="E201" s="141">
        <f>IFERROR(__xludf.DUMMYFUNCTION("""COMPUTED_VALUE"""),56.16)</f>
        <v/>
      </c>
      <c r="F201" s="141">
        <f>IFERROR(__xludf.DUMMYFUNCTION("""COMPUTED_VALUE"""),56.5)</f>
        <v/>
      </c>
      <c r="G201" s="143">
        <f>IFERROR(__xludf.DUMMYFUNCTION("""COMPUTED_VALUE"""),13739178)</f>
        <v/>
      </c>
      <c r="H201" s="27" t="n"/>
    </row>
    <row r="202" ht="17.25" customHeight="1" s="322">
      <c r="A202" s="27" t="n"/>
      <c r="B202" s="506">
        <f>IFERROR(__xludf.DUMMYFUNCTION("""COMPUTED_VALUE"""),46121.6666666666)</f>
        <v/>
      </c>
      <c r="C202" s="141">
        <f>IFERROR(__xludf.DUMMYFUNCTION("""COMPUTED_VALUE"""),56.12)</f>
        <v/>
      </c>
      <c r="D202" s="141">
        <f>IFERROR(__xludf.DUMMYFUNCTION("""COMPUTED_VALUE"""),56.62)</f>
        <v/>
      </c>
      <c r="E202" s="141">
        <f>IFERROR(__xludf.DUMMYFUNCTION("""COMPUTED_VALUE"""),55.9)</f>
        <v/>
      </c>
      <c r="F202" s="141">
        <f>IFERROR(__xludf.DUMMYFUNCTION("""COMPUTED_VALUE"""),56.44)</f>
        <v/>
      </c>
      <c r="G202" s="143">
        <f>IFERROR(__xludf.DUMMYFUNCTION("""COMPUTED_VALUE"""),6776772)</f>
        <v/>
      </c>
      <c r="H202" s="27" t="n"/>
    </row>
    <row r="203" ht="17.25" customHeight="1" s="322">
      <c r="A203" s="27" t="n"/>
      <c r="B203" s="506">
        <f>IFERROR(__xludf.DUMMYFUNCTION("""COMPUTED_VALUE"""),46122.6666666666)</f>
        <v/>
      </c>
      <c r="C203" s="141">
        <f>IFERROR(__xludf.DUMMYFUNCTION("""COMPUTED_VALUE"""),56.94)</f>
        <v/>
      </c>
      <c r="D203" s="141">
        <f>IFERROR(__xludf.DUMMYFUNCTION("""COMPUTED_VALUE"""),57.07)</f>
        <v/>
      </c>
      <c r="E203" s="141">
        <f>IFERROR(__xludf.DUMMYFUNCTION("""COMPUTED_VALUE"""),56.65)</f>
        <v/>
      </c>
      <c r="F203" s="141">
        <f>IFERROR(__xludf.DUMMYFUNCTION("""COMPUTED_VALUE"""),56.75)</f>
        <v/>
      </c>
      <c r="G203" s="143">
        <f>IFERROR(__xludf.DUMMYFUNCTION("""COMPUTED_VALUE"""),7160575)</f>
        <v/>
      </c>
      <c r="H203" s="27" t="n"/>
    </row>
    <row r="204" ht="17.25" customHeight="1" s="322">
      <c r="A204" s="27" t="n"/>
      <c r="B204" s="506">
        <f>IFERROR(__xludf.DUMMYFUNCTION("""COMPUTED_VALUE"""),46125.6666666666)</f>
        <v/>
      </c>
      <c r="C204" s="141">
        <f>IFERROR(__xludf.DUMMYFUNCTION("""COMPUTED_VALUE"""),56.45)</f>
        <v/>
      </c>
      <c r="D204" s="141">
        <f>IFERROR(__xludf.DUMMYFUNCTION("""COMPUTED_VALUE"""),57.23)</f>
        <v/>
      </c>
      <c r="E204" s="141">
        <f>IFERROR(__xludf.DUMMYFUNCTION("""COMPUTED_VALUE"""),56.45)</f>
        <v/>
      </c>
      <c r="F204" s="141">
        <f>IFERROR(__xludf.DUMMYFUNCTION("""COMPUTED_VALUE"""),57.18)</f>
        <v/>
      </c>
      <c r="G204" s="143">
        <f>IFERROR(__xludf.DUMMYFUNCTION("""COMPUTED_VALUE"""),6327891)</f>
        <v/>
      </c>
      <c r="H204" s="27" t="n"/>
    </row>
    <row r="205" ht="17.25" customHeight="1" s="322">
      <c r="A205" s="27" t="n"/>
      <c r="B205" s="506">
        <f>IFERROR(__xludf.DUMMYFUNCTION("""COMPUTED_VALUE"""),46126.6666666666)</f>
        <v/>
      </c>
      <c r="C205" s="141">
        <f>IFERROR(__xludf.DUMMYFUNCTION("""COMPUTED_VALUE"""),57.65)</f>
        <v/>
      </c>
      <c r="D205" s="141">
        <f>IFERROR(__xludf.DUMMYFUNCTION("""COMPUTED_VALUE"""),58.03)</f>
        <v/>
      </c>
      <c r="E205" s="141">
        <f>IFERROR(__xludf.DUMMYFUNCTION("""COMPUTED_VALUE"""),57.59)</f>
        <v/>
      </c>
      <c r="F205" s="141">
        <f>IFERROR(__xludf.DUMMYFUNCTION("""COMPUTED_VALUE"""),57.98)</f>
        <v/>
      </c>
      <c r="G205" s="143">
        <f>IFERROR(__xludf.DUMMYFUNCTION("""COMPUTED_VALUE"""),4706306)</f>
        <v/>
      </c>
      <c r="H205" s="27" t="n"/>
    </row>
    <row r="206" ht="17.25" customHeight="1" s="322">
      <c r="A206" s="27" t="n"/>
      <c r="B206" s="506">
        <f>IFERROR(__xludf.DUMMYFUNCTION("""COMPUTED_VALUE"""),46127.6666666666)</f>
        <v/>
      </c>
      <c r="C206" s="141">
        <f>IFERROR(__xludf.DUMMYFUNCTION("""COMPUTED_VALUE"""),57.97)</f>
        <v/>
      </c>
      <c r="D206" s="141">
        <f>IFERROR(__xludf.DUMMYFUNCTION("""COMPUTED_VALUE"""),58.19)</f>
        <v/>
      </c>
      <c r="E206" s="141">
        <f>IFERROR(__xludf.DUMMYFUNCTION("""COMPUTED_VALUE"""),57.81)</f>
        <v/>
      </c>
      <c r="F206" s="141">
        <f>IFERROR(__xludf.DUMMYFUNCTION("""COMPUTED_VALUE"""),58.09)</f>
        <v/>
      </c>
      <c r="G206" s="143">
        <f>IFERROR(__xludf.DUMMYFUNCTION("""COMPUTED_VALUE"""),7012436)</f>
        <v/>
      </c>
      <c r="H206" s="27" t="n"/>
    </row>
    <row r="207" ht="17.25" customHeight="1" s="322">
      <c r="A207" s="27" t="n"/>
      <c r="B207" s="506">
        <f>IFERROR(__xludf.DUMMYFUNCTION("""COMPUTED_VALUE"""),46128.6666666666)</f>
        <v/>
      </c>
      <c r="C207" s="141">
        <f>IFERROR(__xludf.DUMMYFUNCTION("""COMPUTED_VALUE"""),58.27)</f>
        <v/>
      </c>
      <c r="D207" s="141">
        <f>IFERROR(__xludf.DUMMYFUNCTION("""COMPUTED_VALUE"""),58.45)</f>
        <v/>
      </c>
      <c r="E207" s="141">
        <f>IFERROR(__xludf.DUMMYFUNCTION("""COMPUTED_VALUE"""),57.95)</f>
        <v/>
      </c>
      <c r="F207" s="141">
        <f>IFERROR(__xludf.DUMMYFUNCTION("""COMPUTED_VALUE"""),58.21)</f>
        <v/>
      </c>
      <c r="G207" s="143">
        <f>IFERROR(__xludf.DUMMYFUNCTION("""COMPUTED_VALUE"""),4837738)</f>
        <v/>
      </c>
      <c r="H207" s="27" t="n"/>
    </row>
    <row r="208" ht="17.25" customHeight="1" s="322">
      <c r="A208" s="27" t="n"/>
      <c r="B208" s="506">
        <f>IFERROR(__xludf.DUMMYFUNCTION("""COMPUTED_VALUE"""),46129.6666666666)</f>
        <v/>
      </c>
      <c r="C208" s="141">
        <f>IFERROR(__xludf.DUMMYFUNCTION("""COMPUTED_VALUE"""),59.1)</f>
        <v/>
      </c>
      <c r="D208" s="141">
        <f>IFERROR(__xludf.DUMMYFUNCTION("""COMPUTED_VALUE"""),59.62)</f>
        <v/>
      </c>
      <c r="E208" s="141">
        <f>IFERROR(__xludf.DUMMYFUNCTION("""COMPUTED_VALUE"""),59.04)</f>
        <v/>
      </c>
      <c r="F208" s="141">
        <f>IFERROR(__xludf.DUMMYFUNCTION("""COMPUTED_VALUE"""),59.18)</f>
        <v/>
      </c>
      <c r="G208" s="143">
        <f>IFERROR(__xludf.DUMMYFUNCTION("""COMPUTED_VALUE"""),7123765)</f>
        <v/>
      </c>
      <c r="H208" s="27" t="n"/>
    </row>
    <row r="209" ht="17.25" customHeight="1" s="322">
      <c r="A209" s="27" t="n"/>
      <c r="B209" s="506">
        <f>IFERROR(__xludf.DUMMYFUNCTION("""COMPUTED_VALUE"""),46132.6666666666)</f>
        <v/>
      </c>
      <c r="C209" s="141">
        <f>IFERROR(__xludf.DUMMYFUNCTION("""COMPUTED_VALUE"""),58.81)</f>
        <v/>
      </c>
      <c r="D209" s="141">
        <f>IFERROR(__xludf.DUMMYFUNCTION("""COMPUTED_VALUE"""),58.95)</f>
        <v/>
      </c>
      <c r="E209" s="141">
        <f>IFERROR(__xludf.DUMMYFUNCTION("""COMPUTED_VALUE"""),58.59)</f>
        <v/>
      </c>
      <c r="F209" s="141">
        <f>IFERROR(__xludf.DUMMYFUNCTION("""COMPUTED_VALUE"""),58.91)</f>
        <v/>
      </c>
      <c r="G209" s="143">
        <f>IFERROR(__xludf.DUMMYFUNCTION("""COMPUTED_VALUE"""),6691710)</f>
        <v/>
      </c>
      <c r="H209" s="27" t="n"/>
    </row>
    <row r="210" ht="17.25" customHeight="1" s="322">
      <c r="A210" s="27" t="n"/>
      <c r="B210" s="506">
        <f>IFERROR(__xludf.DUMMYFUNCTION("""COMPUTED_VALUE"""),46133.6666666666)</f>
        <v/>
      </c>
      <c r="C210" s="141">
        <f>IFERROR(__xludf.DUMMYFUNCTION("""COMPUTED_VALUE"""),58.94)</f>
        <v/>
      </c>
      <c r="D210" s="141">
        <f>IFERROR(__xludf.DUMMYFUNCTION("""COMPUTED_VALUE"""),58.95)</f>
        <v/>
      </c>
      <c r="E210" s="141">
        <f>IFERROR(__xludf.DUMMYFUNCTION("""COMPUTED_VALUE"""),58.12)</f>
        <v/>
      </c>
      <c r="F210" s="141">
        <f>IFERROR(__xludf.DUMMYFUNCTION("""COMPUTED_VALUE"""),58.2)</f>
        <v/>
      </c>
      <c r="G210" s="143">
        <f>IFERROR(__xludf.DUMMYFUNCTION("""COMPUTED_VALUE"""),7712687)</f>
        <v/>
      </c>
      <c r="H210" s="27" t="n"/>
    </row>
    <row r="211" ht="17.25" customHeight="1" s="322">
      <c r="A211" s="27" t="n"/>
      <c r="B211" s="506">
        <f>IFERROR(__xludf.DUMMYFUNCTION("""COMPUTED_VALUE"""),46134.6666666666)</f>
        <v/>
      </c>
      <c r="C211" s="141">
        <f>IFERROR(__xludf.DUMMYFUNCTION("""COMPUTED_VALUE"""),58.6)</f>
        <v/>
      </c>
      <c r="D211" s="141">
        <f>IFERROR(__xludf.DUMMYFUNCTION("""COMPUTED_VALUE"""),58.82)</f>
        <v/>
      </c>
      <c r="E211" s="141">
        <f>IFERROR(__xludf.DUMMYFUNCTION("""COMPUTED_VALUE"""),58.54)</f>
        <v/>
      </c>
      <c r="F211" s="141">
        <f>IFERROR(__xludf.DUMMYFUNCTION("""COMPUTED_VALUE"""),58.76)</f>
        <v/>
      </c>
      <c r="G211" s="143">
        <f>IFERROR(__xludf.DUMMYFUNCTION("""COMPUTED_VALUE"""),4763689)</f>
        <v/>
      </c>
      <c r="H211" s="27" t="n"/>
    </row>
    <row r="212" ht="17.25" customHeight="1" s="322">
      <c r="A212" s="27" t="n"/>
      <c r="B212" s="506">
        <f>IFERROR(__xludf.DUMMYFUNCTION("""COMPUTED_VALUE"""),46135.6666666666)</f>
        <v/>
      </c>
      <c r="C212" s="141">
        <f>IFERROR(__xludf.DUMMYFUNCTION("""COMPUTED_VALUE"""),58.22)</f>
        <v/>
      </c>
      <c r="D212" s="141">
        <f>IFERROR(__xludf.DUMMYFUNCTION("""COMPUTED_VALUE"""),58.4)</f>
        <v/>
      </c>
      <c r="E212" s="141">
        <f>IFERROR(__xludf.DUMMYFUNCTION("""COMPUTED_VALUE"""),57.42)</f>
        <v/>
      </c>
      <c r="F212" s="141">
        <f>IFERROR(__xludf.DUMMYFUNCTION("""COMPUTED_VALUE"""),57.92)</f>
        <v/>
      </c>
      <c r="G212" s="143">
        <f>IFERROR(__xludf.DUMMYFUNCTION("""COMPUTED_VALUE"""),6906593)</f>
        <v/>
      </c>
      <c r="H212" s="27" t="n"/>
    </row>
    <row r="213" ht="17.25" customHeight="1" s="322">
      <c r="A213" s="27" t="n"/>
      <c r="B213" s="506">
        <f>IFERROR(__xludf.DUMMYFUNCTION("""COMPUTED_VALUE"""),46136.6666666666)</f>
        <v/>
      </c>
      <c r="C213" s="141">
        <f>IFERROR(__xludf.DUMMYFUNCTION("""COMPUTED_VALUE"""),58.61)</f>
        <v/>
      </c>
      <c r="D213" s="141">
        <f>IFERROR(__xludf.DUMMYFUNCTION("""COMPUTED_VALUE"""),59.07)</f>
        <v/>
      </c>
      <c r="E213" s="141">
        <f>IFERROR(__xludf.DUMMYFUNCTION("""COMPUTED_VALUE"""),58.53)</f>
        <v/>
      </c>
      <c r="F213" s="141">
        <f>IFERROR(__xludf.DUMMYFUNCTION("""COMPUTED_VALUE"""),59.02)</f>
        <v/>
      </c>
      <c r="G213" s="143">
        <f>IFERROR(__xludf.DUMMYFUNCTION("""COMPUTED_VALUE"""),5426629)</f>
        <v/>
      </c>
      <c r="H213" s="27" t="n"/>
    </row>
    <row r="214" ht="17.25" customHeight="1" s="322">
      <c r="A214" s="27" t="n"/>
      <c r="B214" s="506">
        <f>IFERROR(__xludf.DUMMYFUNCTION("""COMPUTED_VALUE"""),46139.6666666666)</f>
        <v/>
      </c>
      <c r="C214" s="141">
        <f>IFERROR(__xludf.DUMMYFUNCTION("""COMPUTED_VALUE"""),58.95)</f>
        <v/>
      </c>
      <c r="D214" s="141">
        <f>IFERROR(__xludf.DUMMYFUNCTION("""COMPUTED_VALUE"""),58.96)</f>
        <v/>
      </c>
      <c r="E214" s="141">
        <f>IFERROR(__xludf.DUMMYFUNCTION("""COMPUTED_VALUE"""),58.62)</f>
        <v/>
      </c>
      <c r="F214" s="141">
        <f>IFERROR(__xludf.DUMMYFUNCTION("""COMPUTED_VALUE"""),58.73)</f>
        <v/>
      </c>
      <c r="G214" s="143">
        <f>IFERROR(__xludf.DUMMYFUNCTION("""COMPUTED_VALUE"""),5036449)</f>
        <v/>
      </c>
      <c r="H214" s="27" t="n"/>
    </row>
    <row r="215" ht="17.25" customHeight="1" s="322">
      <c r="A215" s="27" t="n"/>
      <c r="B215" s="506">
        <f>IFERROR(__xludf.DUMMYFUNCTION("""COMPUTED_VALUE"""),46140.6666666666)</f>
        <v/>
      </c>
      <c r="C215" s="141">
        <f>IFERROR(__xludf.DUMMYFUNCTION("""COMPUTED_VALUE"""),58.13)</f>
        <v/>
      </c>
      <c r="D215" s="141">
        <f>IFERROR(__xludf.DUMMYFUNCTION("""COMPUTED_VALUE"""),58.37)</f>
        <v/>
      </c>
      <c r="E215" s="141">
        <f>IFERROR(__xludf.DUMMYFUNCTION("""COMPUTED_VALUE"""),58)</f>
        <v/>
      </c>
      <c r="F215" s="141">
        <f>IFERROR(__xludf.DUMMYFUNCTION("""COMPUTED_VALUE"""),58.32)</f>
        <v/>
      </c>
      <c r="G215" s="143">
        <f>IFERROR(__xludf.DUMMYFUNCTION("""COMPUTED_VALUE"""),8274013)</f>
        <v/>
      </c>
      <c r="H215" s="27" t="n"/>
    </row>
    <row r="216" ht="17.25" customHeight="1" s="322">
      <c r="A216" s="27" t="n"/>
      <c r="B216" s="506">
        <f>IFERROR(__xludf.DUMMYFUNCTION("""COMPUTED_VALUE"""),46141.6666666666)</f>
        <v/>
      </c>
      <c r="C216" s="141">
        <f>IFERROR(__xludf.DUMMYFUNCTION("""COMPUTED_VALUE"""),58.25)</f>
        <v/>
      </c>
      <c r="D216" s="141">
        <f>IFERROR(__xludf.DUMMYFUNCTION("""COMPUTED_VALUE"""),58.32)</f>
        <v/>
      </c>
      <c r="E216" s="141">
        <f>IFERROR(__xludf.DUMMYFUNCTION("""COMPUTED_VALUE"""),57.87)</f>
        <v/>
      </c>
      <c r="F216" s="141">
        <f>IFERROR(__xludf.DUMMYFUNCTION("""COMPUTED_VALUE"""),58.08)</f>
        <v/>
      </c>
      <c r="G216" s="143">
        <f>IFERROR(__xludf.DUMMYFUNCTION("""COMPUTED_VALUE"""),7061626)</f>
        <v/>
      </c>
      <c r="H216" s="27" t="n"/>
    </row>
    <row r="217" ht="17.25" customHeight="1" s="322">
      <c r="A217" s="27" t="n"/>
      <c r="B217" s="506">
        <f>IFERROR(__xludf.DUMMYFUNCTION("""COMPUTED_VALUE"""),46142.6666666666)</f>
        <v/>
      </c>
      <c r="C217" s="141">
        <f>IFERROR(__xludf.DUMMYFUNCTION("""COMPUTED_VALUE"""),58.38)</f>
        <v/>
      </c>
      <c r="D217" s="141">
        <f>IFERROR(__xludf.DUMMYFUNCTION("""COMPUTED_VALUE"""),59.03)</f>
        <v/>
      </c>
      <c r="E217" s="141">
        <f>IFERROR(__xludf.DUMMYFUNCTION("""COMPUTED_VALUE"""),58.17)</f>
        <v/>
      </c>
      <c r="F217" s="141">
        <f>IFERROR(__xludf.DUMMYFUNCTION("""COMPUTED_VALUE"""),58.93)</f>
        <v/>
      </c>
      <c r="G217" s="143">
        <f>IFERROR(__xludf.DUMMYFUNCTION("""COMPUTED_VALUE"""),7341721)</f>
        <v/>
      </c>
      <c r="H217" s="27" t="n"/>
    </row>
    <row r="218" ht="17.25" customHeight="1" s="322">
      <c r="A218" s="27" t="n"/>
      <c r="B218" s="506">
        <f>IFERROR(__xludf.DUMMYFUNCTION("""COMPUTED_VALUE"""),46143.6666666666)</f>
        <v/>
      </c>
      <c r="C218" s="141">
        <f>IFERROR(__xludf.DUMMYFUNCTION("""COMPUTED_VALUE"""),58.89)</f>
        <v/>
      </c>
      <c r="D218" s="141">
        <f>IFERROR(__xludf.DUMMYFUNCTION("""COMPUTED_VALUE"""),59.43)</f>
        <v/>
      </c>
      <c r="E218" s="141">
        <f>IFERROR(__xludf.DUMMYFUNCTION("""COMPUTED_VALUE"""),58.86)</f>
        <v/>
      </c>
      <c r="F218" s="141">
        <f>IFERROR(__xludf.DUMMYFUNCTION("""COMPUTED_VALUE"""),58.99)</f>
        <v/>
      </c>
      <c r="G218" s="143">
        <f>IFERROR(__xludf.DUMMYFUNCTION("""COMPUTED_VALUE"""),10537806)</f>
        <v/>
      </c>
      <c r="H218" s="27" t="n"/>
    </row>
    <row r="219" ht="17.25" customHeight="1" s="322">
      <c r="A219" s="27" t="n"/>
      <c r="B219" s="506">
        <f>IFERROR(__xludf.DUMMYFUNCTION("""COMPUTED_VALUE"""),46146.6666666666)</f>
        <v/>
      </c>
      <c r="C219" s="141">
        <f>IFERROR(__xludf.DUMMYFUNCTION("""COMPUTED_VALUE"""),58.99)</f>
        <v/>
      </c>
      <c r="D219" s="141">
        <f>IFERROR(__xludf.DUMMYFUNCTION("""COMPUTED_VALUE"""),59.23)</f>
        <v/>
      </c>
      <c r="E219" s="141">
        <f>IFERROR(__xludf.DUMMYFUNCTION("""COMPUTED_VALUE"""),58.5)</f>
        <v/>
      </c>
      <c r="F219" s="141">
        <f>IFERROR(__xludf.DUMMYFUNCTION("""COMPUTED_VALUE"""),58.73)</f>
        <v/>
      </c>
      <c r="G219" s="143">
        <f>IFERROR(__xludf.DUMMYFUNCTION("""COMPUTED_VALUE"""),7068033)</f>
        <v/>
      </c>
      <c r="H219" s="27" t="n"/>
    </row>
    <row r="220" ht="17.25" customHeight="1" s="322">
      <c r="A220" s="27" t="n"/>
      <c r="B220" s="506">
        <f>IFERROR(__xludf.DUMMYFUNCTION("""COMPUTED_VALUE"""),46147.6666666666)</f>
        <v/>
      </c>
      <c r="C220" s="141">
        <f>IFERROR(__xludf.DUMMYFUNCTION("""COMPUTED_VALUE"""),59.28)</f>
        <v/>
      </c>
      <c r="D220" s="141">
        <f>IFERROR(__xludf.DUMMYFUNCTION("""COMPUTED_VALUE"""),59.48)</f>
        <v/>
      </c>
      <c r="E220" s="141">
        <f>IFERROR(__xludf.DUMMYFUNCTION("""COMPUTED_VALUE"""),59.17)</f>
        <v/>
      </c>
      <c r="F220" s="141">
        <f>IFERROR(__xludf.DUMMYFUNCTION("""COMPUTED_VALUE"""),59.36)</f>
        <v/>
      </c>
      <c r="G220" s="143">
        <f>IFERROR(__xludf.DUMMYFUNCTION("""COMPUTED_VALUE"""),7505651)</f>
        <v/>
      </c>
      <c r="H220" s="27" t="n"/>
    </row>
    <row r="221" ht="17.25" customHeight="1" s="322">
      <c r="A221" s="27" t="n"/>
      <c r="B221" s="506">
        <f>IFERROR(__xludf.DUMMYFUNCTION("""COMPUTED_VALUE"""),46148.6666666666)</f>
        <v/>
      </c>
      <c r="C221" s="141">
        <f>IFERROR(__xludf.DUMMYFUNCTION("""COMPUTED_VALUE"""),60.11)</f>
        <v/>
      </c>
      <c r="D221" s="141">
        <f>IFERROR(__xludf.DUMMYFUNCTION("""COMPUTED_VALUE"""),60.8)</f>
        <v/>
      </c>
      <c r="E221" s="141">
        <f>IFERROR(__xludf.DUMMYFUNCTION("""COMPUTED_VALUE"""),60.09)</f>
        <v/>
      </c>
      <c r="F221" s="141">
        <f>IFERROR(__xludf.DUMMYFUNCTION("""COMPUTED_VALUE"""),60.75)</f>
        <v/>
      </c>
      <c r="G221" s="143">
        <f>IFERROR(__xludf.DUMMYFUNCTION("""COMPUTED_VALUE"""),11277605)</f>
        <v/>
      </c>
      <c r="H221" s="27" t="n"/>
    </row>
    <row r="222" ht="17.25" customHeight="1" s="322">
      <c r="A222" s="27" t="n"/>
      <c r="B222" s="506">
        <f>IFERROR(__xludf.DUMMYFUNCTION("""COMPUTED_VALUE"""),46149.6666666666)</f>
        <v/>
      </c>
      <c r="C222" s="141">
        <f>IFERROR(__xludf.DUMMYFUNCTION("""COMPUTED_VALUE"""),60.99)</f>
        <v/>
      </c>
      <c r="D222" s="141">
        <f>IFERROR(__xludf.DUMMYFUNCTION("""COMPUTED_VALUE"""),61.03)</f>
        <v/>
      </c>
      <c r="E222" s="141">
        <f>IFERROR(__xludf.DUMMYFUNCTION("""COMPUTED_VALUE"""),60.16)</f>
        <v/>
      </c>
      <c r="F222" s="141">
        <f>IFERROR(__xludf.DUMMYFUNCTION("""COMPUTED_VALUE"""),60.21)</f>
        <v/>
      </c>
      <c r="G222" s="143">
        <f>IFERROR(__xludf.DUMMYFUNCTION("""COMPUTED_VALUE"""),7522883)</f>
        <v/>
      </c>
      <c r="H222" s="27" t="n"/>
    </row>
    <row r="223" ht="17.25" customHeight="1" s="322">
      <c r="A223" s="27" t="n"/>
      <c r="B223" s="506">
        <f>IFERROR(__xludf.DUMMYFUNCTION("""COMPUTED_VALUE"""),46150.6666666666)</f>
        <v/>
      </c>
      <c r="C223" s="141">
        <f>IFERROR(__xludf.DUMMYFUNCTION("""COMPUTED_VALUE"""),60.51)</f>
        <v/>
      </c>
      <c r="D223" s="141">
        <f>IFERROR(__xludf.DUMMYFUNCTION("""COMPUTED_VALUE"""),60.7)</f>
        <v/>
      </c>
      <c r="E223" s="141">
        <f>IFERROR(__xludf.DUMMYFUNCTION("""COMPUTED_VALUE"""),60.39)</f>
        <v/>
      </c>
      <c r="F223" s="141">
        <f>IFERROR(__xludf.DUMMYFUNCTION("""COMPUTED_VALUE"""),60.54)</f>
        <v/>
      </c>
      <c r="G223" s="143">
        <f>IFERROR(__xludf.DUMMYFUNCTION("""COMPUTED_VALUE"""),7629590)</f>
        <v/>
      </c>
      <c r="H223" s="27" t="n"/>
    </row>
    <row r="224" ht="17.25" customHeight="1" s="322">
      <c r="A224" s="27" t="n"/>
      <c r="B224" s="506">
        <f>IFERROR(__xludf.DUMMYFUNCTION("""COMPUTED_VALUE"""),46153.6666666666)</f>
        <v/>
      </c>
      <c r="C224" s="141">
        <f>IFERROR(__xludf.DUMMYFUNCTION("""COMPUTED_VALUE"""),60.42)</f>
        <v/>
      </c>
      <c r="D224" s="141">
        <f>IFERROR(__xludf.DUMMYFUNCTION("""COMPUTED_VALUE"""),60.55)</f>
        <v/>
      </c>
      <c r="E224" s="141">
        <f>IFERROR(__xludf.DUMMYFUNCTION("""COMPUTED_VALUE"""),60.28)</f>
        <v/>
      </c>
      <c r="F224" s="141">
        <f>IFERROR(__xludf.DUMMYFUNCTION("""COMPUTED_VALUE"""),60.39)</f>
        <v/>
      </c>
      <c r="G224" s="143">
        <f>IFERROR(__xludf.DUMMYFUNCTION("""COMPUTED_VALUE"""),5425696)</f>
        <v/>
      </c>
      <c r="H224" s="27" t="n"/>
    </row>
    <row r="225" ht="17.25" customHeight="1" s="322">
      <c r="A225" s="27" t="n"/>
      <c r="B225" s="506">
        <f>IFERROR(__xludf.DUMMYFUNCTION("""COMPUTED_VALUE"""),46154.6666666666)</f>
        <v/>
      </c>
      <c r="C225" s="141">
        <f>IFERROR(__xludf.DUMMYFUNCTION("""COMPUTED_VALUE"""),59.56)</f>
        <v/>
      </c>
      <c r="D225" s="141">
        <f>IFERROR(__xludf.DUMMYFUNCTION("""COMPUTED_VALUE"""),59.63)</f>
        <v/>
      </c>
      <c r="E225" s="141">
        <f>IFERROR(__xludf.DUMMYFUNCTION("""COMPUTED_VALUE"""),58.9)</f>
        <v/>
      </c>
      <c r="F225" s="141">
        <f>IFERROR(__xludf.DUMMYFUNCTION("""COMPUTED_VALUE"""),59.39)</f>
        <v/>
      </c>
      <c r="G225" s="143">
        <f>IFERROR(__xludf.DUMMYFUNCTION("""COMPUTED_VALUE"""),8088127)</f>
        <v/>
      </c>
      <c r="H225" s="27" t="n"/>
    </row>
    <row r="226" ht="17.25" customHeight="1" s="322">
      <c r="A226" s="27" t="n"/>
      <c r="B226" s="506">
        <f>IFERROR(__xludf.DUMMYFUNCTION("""COMPUTED_VALUE"""),46155.6666666666)</f>
        <v/>
      </c>
      <c r="C226" s="141">
        <f>IFERROR(__xludf.DUMMYFUNCTION("""COMPUTED_VALUE"""),59.39)</f>
        <v/>
      </c>
      <c r="D226" s="141">
        <f>IFERROR(__xludf.DUMMYFUNCTION("""COMPUTED_VALUE"""),60.1)</f>
        <v/>
      </c>
      <c r="E226" s="141">
        <f>IFERROR(__xludf.DUMMYFUNCTION("""COMPUTED_VALUE"""),59.29)</f>
        <v/>
      </c>
      <c r="F226" s="141">
        <f>IFERROR(__xludf.DUMMYFUNCTION("""COMPUTED_VALUE"""),59.94)</f>
        <v/>
      </c>
      <c r="G226" s="143">
        <f>IFERROR(__xludf.DUMMYFUNCTION("""COMPUTED_VALUE"""),10806914)</f>
        <v/>
      </c>
      <c r="H226" s="27" t="n"/>
    </row>
    <row r="227" ht="17.25" customHeight="1" s="322">
      <c r="A227" s="27" t="n"/>
      <c r="B227" s="506">
        <f>IFERROR(__xludf.DUMMYFUNCTION("""COMPUTED_VALUE"""),46156.6666666666)</f>
        <v/>
      </c>
      <c r="C227" s="141">
        <f>IFERROR(__xludf.DUMMYFUNCTION("""COMPUTED_VALUE"""),59.66)</f>
        <v/>
      </c>
      <c r="D227" s="141">
        <f>IFERROR(__xludf.DUMMYFUNCTION("""COMPUTED_VALUE"""),60.05)</f>
        <v/>
      </c>
      <c r="E227" s="141">
        <f>IFERROR(__xludf.DUMMYFUNCTION("""COMPUTED_VALUE"""),59.56)</f>
        <v/>
      </c>
      <c r="F227" s="141">
        <f>IFERROR(__xludf.DUMMYFUNCTION("""COMPUTED_VALUE"""),59.96)</f>
        <v/>
      </c>
      <c r="G227" s="143">
        <f>IFERROR(__xludf.DUMMYFUNCTION("""COMPUTED_VALUE"""),6763783)</f>
        <v/>
      </c>
      <c r="H227" s="27" t="n"/>
    </row>
    <row r="228" ht="17.25" customHeight="1" s="322">
      <c r="A228" s="27" t="n"/>
      <c r="B228" s="506">
        <f>IFERROR(__xludf.DUMMYFUNCTION("""COMPUTED_VALUE"""),46157.6666666666)</f>
        <v/>
      </c>
      <c r="C228" s="141">
        <f>IFERROR(__xludf.DUMMYFUNCTION("""COMPUTED_VALUE"""),58.61)</f>
        <v/>
      </c>
      <c r="D228" s="141">
        <f>IFERROR(__xludf.DUMMYFUNCTION("""COMPUTED_VALUE"""),58.72)</f>
        <v/>
      </c>
      <c r="E228" s="141">
        <f>IFERROR(__xludf.DUMMYFUNCTION("""COMPUTED_VALUE"""),58.22)</f>
        <v/>
      </c>
      <c r="F228" s="141">
        <f>IFERROR(__xludf.DUMMYFUNCTION("""COMPUTED_VALUE"""),58.44)</f>
        <v/>
      </c>
      <c r="G228" s="143">
        <f>IFERROR(__xludf.DUMMYFUNCTION("""COMPUTED_VALUE"""),6194214)</f>
        <v/>
      </c>
      <c r="H228" s="27" t="n"/>
    </row>
    <row r="229" ht="17.25" customHeight="1" s="322">
      <c r="A229" s="27" t="n"/>
      <c r="B229" s="506">
        <f>IFERROR(__xludf.DUMMYFUNCTION("""COMPUTED_VALUE"""),46160.6666666666)</f>
        <v/>
      </c>
      <c r="C229" s="141">
        <f>IFERROR(__xludf.DUMMYFUNCTION("""COMPUTED_VALUE"""),58.76)</f>
        <v/>
      </c>
      <c r="D229" s="141">
        <f>IFERROR(__xludf.DUMMYFUNCTION("""COMPUTED_VALUE"""),58.77)</f>
        <v/>
      </c>
      <c r="E229" s="141">
        <f>IFERROR(__xludf.DUMMYFUNCTION("""COMPUTED_VALUE"""),58.11)</f>
        <v/>
      </c>
      <c r="F229" s="141">
        <f>IFERROR(__xludf.DUMMYFUNCTION("""COMPUTED_VALUE"""),58.48)</f>
        <v/>
      </c>
      <c r="G229" s="143">
        <f>IFERROR(__xludf.DUMMYFUNCTION("""COMPUTED_VALUE"""),6597420)</f>
        <v/>
      </c>
      <c r="H229" s="27" t="n"/>
    </row>
    <row r="230" ht="17.25" customHeight="1" s="322">
      <c r="A230" s="27" t="n"/>
      <c r="B230" s="506">
        <f>IFERROR(__xludf.DUMMYFUNCTION("""COMPUTED_VALUE"""),46161.6666666666)</f>
        <v/>
      </c>
      <c r="C230" s="141">
        <f>IFERROR(__xludf.DUMMYFUNCTION("""COMPUTED_VALUE"""),57.66)</f>
        <v/>
      </c>
      <c r="D230" s="141">
        <f>IFERROR(__xludf.DUMMYFUNCTION("""COMPUTED_VALUE"""),58.19)</f>
        <v/>
      </c>
      <c r="E230" s="141">
        <f>IFERROR(__xludf.DUMMYFUNCTION("""COMPUTED_VALUE"""),57.58)</f>
        <v/>
      </c>
      <c r="F230" s="141">
        <f>IFERROR(__xludf.DUMMYFUNCTION("""COMPUTED_VALUE"""),57.87)</f>
        <v/>
      </c>
      <c r="G230" s="143">
        <f>IFERROR(__xludf.DUMMYFUNCTION("""COMPUTED_VALUE"""),5940671)</f>
        <v/>
      </c>
      <c r="H230" s="27" t="n"/>
    </row>
    <row r="231" ht="17.25" customHeight="1" s="322">
      <c r="A231" s="27" t="n"/>
      <c r="B231" s="506">
        <f>IFERROR(__xludf.DUMMYFUNCTION("""COMPUTED_VALUE"""),46162.6666666666)</f>
        <v/>
      </c>
      <c r="C231" s="141">
        <f>IFERROR(__xludf.DUMMYFUNCTION("""COMPUTED_VALUE"""),58.14)</f>
        <v/>
      </c>
      <c r="D231" s="141">
        <f>IFERROR(__xludf.DUMMYFUNCTION("""COMPUTED_VALUE"""),58.75)</f>
        <v/>
      </c>
      <c r="E231" s="141">
        <f>IFERROR(__xludf.DUMMYFUNCTION("""COMPUTED_VALUE"""),57.92)</f>
        <v/>
      </c>
      <c r="F231" s="141">
        <f>IFERROR(__xludf.DUMMYFUNCTION("""COMPUTED_VALUE"""),58.67)</f>
        <v/>
      </c>
      <c r="G231" s="143">
        <f>IFERROR(__xludf.DUMMYFUNCTION("""COMPUTED_VALUE"""),18616268)</f>
        <v/>
      </c>
      <c r="H231" s="27" t="n"/>
    </row>
    <row r="232" ht="17.25" customHeight="1" s="322">
      <c r="A232" s="27" t="n"/>
      <c r="B232" s="506">
        <f>IFERROR(__xludf.DUMMYFUNCTION("""COMPUTED_VALUE"""),46163.6666666666)</f>
        <v/>
      </c>
      <c r="C232" s="141">
        <f>IFERROR(__xludf.DUMMYFUNCTION("""COMPUTED_VALUE"""),58.22)</f>
        <v/>
      </c>
      <c r="D232" s="141">
        <f>IFERROR(__xludf.DUMMYFUNCTION("""COMPUTED_VALUE"""),58.92)</f>
        <v/>
      </c>
      <c r="E232" s="141">
        <f>IFERROR(__xludf.DUMMYFUNCTION("""COMPUTED_VALUE"""),58.08)</f>
        <v/>
      </c>
      <c r="F232" s="141">
        <f>IFERROR(__xludf.DUMMYFUNCTION("""COMPUTED_VALUE"""),58.7)</f>
        <v/>
      </c>
      <c r="G232" s="143">
        <f>IFERROR(__xludf.DUMMYFUNCTION("""COMPUTED_VALUE"""),11031589)</f>
        <v/>
      </c>
      <c r="H232" s="27" t="n"/>
    </row>
    <row r="233" ht="17.25" customHeight="1" s="322">
      <c r="A233" s="27" t="n"/>
      <c r="B233" s="506">
        <f>IFERROR(__xludf.DUMMYFUNCTION("""COMPUTED_VALUE"""),46164.6666666666)</f>
        <v/>
      </c>
      <c r="C233" s="141">
        <f>IFERROR(__xludf.DUMMYFUNCTION("""COMPUTED_VALUE"""),58.91)</f>
        <v/>
      </c>
      <c r="D233" s="141">
        <f>IFERROR(__xludf.DUMMYFUNCTION("""COMPUTED_VALUE"""),59.28)</f>
        <v/>
      </c>
      <c r="E233" s="141">
        <f>IFERROR(__xludf.DUMMYFUNCTION("""COMPUTED_VALUE"""),58.79)</f>
        <v/>
      </c>
      <c r="F233" s="141">
        <f>IFERROR(__xludf.DUMMYFUNCTION("""COMPUTED_VALUE"""),58.98)</f>
        <v/>
      </c>
      <c r="G233" s="143">
        <f>IFERROR(__xludf.DUMMYFUNCTION("""COMPUTED_VALUE"""),7554066)</f>
        <v/>
      </c>
      <c r="H233" s="27" t="n"/>
    </row>
    <row r="234" ht="17.25" customHeight="1" s="322">
      <c r="A234" s="27" t="n"/>
      <c r="B234" s="506">
        <f>IFERROR(__xludf.DUMMYFUNCTION("""COMPUTED_VALUE"""),46168.6666666666)</f>
        <v/>
      </c>
      <c r="C234" s="141">
        <f>IFERROR(__xludf.DUMMYFUNCTION("""COMPUTED_VALUE"""),60.02)</f>
        <v/>
      </c>
      <c r="D234" s="141">
        <f>IFERROR(__xludf.DUMMYFUNCTION("""COMPUTED_VALUE"""),60.29)</f>
        <v/>
      </c>
      <c r="E234" s="141">
        <f>IFERROR(__xludf.DUMMYFUNCTION("""COMPUTED_VALUE"""),59.99)</f>
        <v/>
      </c>
      <c r="F234" s="141">
        <f>IFERROR(__xludf.DUMMYFUNCTION("""COMPUTED_VALUE"""),60.23)</f>
        <v/>
      </c>
      <c r="G234" s="143">
        <f>IFERROR(__xludf.DUMMYFUNCTION("""COMPUTED_VALUE"""),5974414)</f>
        <v/>
      </c>
      <c r="H234" s="27" t="n"/>
    </row>
    <row r="235" ht="17.25" customHeight="1" s="322">
      <c r="A235" s="27" t="n"/>
      <c r="B235" s="506">
        <f>IFERROR(__xludf.DUMMYFUNCTION("""COMPUTED_VALUE"""),46169.6666666666)</f>
        <v/>
      </c>
      <c r="C235" s="141">
        <f>IFERROR(__xludf.DUMMYFUNCTION("""COMPUTED_VALUE"""),60.36)</f>
        <v/>
      </c>
      <c r="D235" s="141">
        <f>IFERROR(__xludf.DUMMYFUNCTION("""COMPUTED_VALUE"""),60.57)</f>
        <v/>
      </c>
      <c r="E235" s="141">
        <f>IFERROR(__xludf.DUMMYFUNCTION("""COMPUTED_VALUE"""),60.06)</f>
        <v/>
      </c>
      <c r="F235" s="141">
        <f>IFERROR(__xludf.DUMMYFUNCTION("""COMPUTED_VALUE"""),60.29)</f>
        <v/>
      </c>
      <c r="G235" s="143">
        <f>IFERROR(__xludf.DUMMYFUNCTION("""COMPUTED_VALUE"""),5130424)</f>
        <v/>
      </c>
      <c r="H235" s="27" t="n"/>
    </row>
    <row r="236" ht="17.25" customHeight="1" s="322">
      <c r="A236" s="27" t="n"/>
      <c r="B236" s="506">
        <f>IFERROR(__xludf.DUMMYFUNCTION("""COMPUTED_VALUE"""),46170.6666666666)</f>
        <v/>
      </c>
      <c r="C236" s="141">
        <f>IFERROR(__xludf.DUMMYFUNCTION("""COMPUTED_VALUE"""),59.57)</f>
        <v/>
      </c>
      <c r="D236" s="141">
        <f>IFERROR(__xludf.DUMMYFUNCTION("""COMPUTED_VALUE"""),60.13)</f>
        <v/>
      </c>
      <c r="E236" s="141">
        <f>IFERROR(__xludf.DUMMYFUNCTION("""COMPUTED_VALUE"""),59.41)</f>
        <v/>
      </c>
      <c r="F236" s="141">
        <f>IFERROR(__xludf.DUMMYFUNCTION("""COMPUTED_VALUE"""),59.9)</f>
        <v/>
      </c>
      <c r="G236" s="143">
        <f>IFERROR(__xludf.DUMMYFUNCTION("""COMPUTED_VALUE"""),8935399)</f>
        <v/>
      </c>
      <c r="H236" s="27" t="n"/>
    </row>
    <row r="237" ht="17.25" customHeight="1" s="322">
      <c r="A237" s="27" t="n"/>
      <c r="B237" s="506">
        <f>IFERROR(__xludf.DUMMYFUNCTION("""COMPUTED_VALUE"""),46171.6666666666)</f>
        <v/>
      </c>
      <c r="C237" s="141">
        <f>IFERROR(__xludf.DUMMYFUNCTION("""COMPUTED_VALUE"""),60.22)</f>
        <v/>
      </c>
      <c r="D237" s="141">
        <f>IFERROR(__xludf.DUMMYFUNCTION("""COMPUTED_VALUE"""),60.27)</f>
        <v/>
      </c>
      <c r="E237" s="141">
        <f>IFERROR(__xludf.DUMMYFUNCTION("""COMPUTED_VALUE"""),59.87)</f>
        <v/>
      </c>
      <c r="F237" s="141">
        <f>IFERROR(__xludf.DUMMYFUNCTION("""COMPUTED_VALUE"""),59.88)</f>
        <v/>
      </c>
      <c r="G237" s="143">
        <f>IFERROR(__xludf.DUMMYFUNCTION("""COMPUTED_VALUE"""),7541833)</f>
        <v/>
      </c>
      <c r="H237" s="27" t="n"/>
    </row>
    <row r="238" ht="17.25" customHeight="1" s="322">
      <c r="A238" s="27" t="n"/>
      <c r="B238" s="506">
        <f>IFERROR(__xludf.DUMMYFUNCTION("""COMPUTED_VALUE"""),46174.6666666666)</f>
        <v/>
      </c>
      <c r="C238" s="141">
        <f>IFERROR(__xludf.DUMMYFUNCTION("""COMPUTED_VALUE"""),60.02)</f>
        <v/>
      </c>
      <c r="D238" s="141">
        <f>IFERROR(__xludf.DUMMYFUNCTION("""COMPUTED_VALUE"""),60.79)</f>
        <v/>
      </c>
      <c r="E238" s="141">
        <f>IFERROR(__xludf.DUMMYFUNCTION("""COMPUTED_VALUE"""),59.96)</f>
        <v/>
      </c>
      <c r="F238" s="141">
        <f>IFERROR(__xludf.DUMMYFUNCTION("""COMPUTED_VALUE"""),60.42)</f>
        <v/>
      </c>
      <c r="G238" s="143">
        <f>IFERROR(__xludf.DUMMYFUNCTION("""COMPUTED_VALUE"""),11002083)</f>
        <v/>
      </c>
      <c r="H238" s="27" t="n"/>
    </row>
    <row r="239" ht="17.25" customHeight="1" s="322">
      <c r="A239" s="27" t="n"/>
      <c r="B239" s="506">
        <f>IFERROR(__xludf.DUMMYFUNCTION("""COMPUTED_VALUE"""),46175.6666666666)</f>
        <v/>
      </c>
      <c r="C239" s="141">
        <f>IFERROR(__xludf.DUMMYFUNCTION("""COMPUTED_VALUE"""),60.94)</f>
        <v/>
      </c>
      <c r="D239" s="141">
        <f>IFERROR(__xludf.DUMMYFUNCTION("""COMPUTED_VALUE"""),61.35)</f>
        <v/>
      </c>
      <c r="E239" s="141">
        <f>IFERROR(__xludf.DUMMYFUNCTION("""COMPUTED_VALUE"""),60.82)</f>
        <v/>
      </c>
      <c r="F239" s="141">
        <f>IFERROR(__xludf.DUMMYFUNCTION("""COMPUTED_VALUE"""),61.19)</f>
        <v/>
      </c>
      <c r="G239" s="143">
        <f>IFERROR(__xludf.DUMMYFUNCTION("""COMPUTED_VALUE"""),6992716)</f>
        <v/>
      </c>
      <c r="H239" s="27" t="n"/>
    </row>
    <row r="240" ht="17.25" customHeight="1" s="322">
      <c r="A240" s="27" t="n"/>
      <c r="B240" s="506">
        <f>IFERROR(__xludf.DUMMYFUNCTION("""COMPUTED_VALUE"""),46176.6666666666)</f>
        <v/>
      </c>
      <c r="C240" s="141">
        <f>IFERROR(__xludf.DUMMYFUNCTION("""COMPUTED_VALUE"""),60.73)</f>
        <v/>
      </c>
      <c r="D240" s="141">
        <f>IFERROR(__xludf.DUMMYFUNCTION("""COMPUTED_VALUE"""),60.8)</f>
        <v/>
      </c>
      <c r="E240" s="141">
        <f>IFERROR(__xludf.DUMMYFUNCTION("""COMPUTED_VALUE"""),60.23)</f>
        <v/>
      </c>
      <c r="F240" s="141">
        <f>IFERROR(__xludf.DUMMYFUNCTION("""COMPUTED_VALUE"""),60.33)</f>
        <v/>
      </c>
      <c r="G240" s="143">
        <f>IFERROR(__xludf.DUMMYFUNCTION("""COMPUTED_VALUE"""),5139617)</f>
        <v/>
      </c>
      <c r="H240" s="27" t="n"/>
    </row>
    <row r="241" ht="17.25" customHeight="1" s="322">
      <c r="A241" s="27" t="n"/>
      <c r="B241" s="506">
        <f>IFERROR(__xludf.DUMMYFUNCTION("""COMPUTED_VALUE"""),46177.6666666666)</f>
        <v/>
      </c>
      <c r="C241" s="141">
        <f>IFERROR(__xludf.DUMMYFUNCTION("""COMPUTED_VALUE"""),60.11)</f>
        <v/>
      </c>
      <c r="D241" s="141">
        <f>IFERROR(__xludf.DUMMYFUNCTION("""COMPUTED_VALUE"""),60.41)</f>
        <v/>
      </c>
      <c r="E241" s="141">
        <f>IFERROR(__xludf.DUMMYFUNCTION("""COMPUTED_VALUE"""),59.89)</f>
        <v/>
      </c>
      <c r="F241" s="141">
        <f>IFERROR(__xludf.DUMMYFUNCTION("""COMPUTED_VALUE"""),60.31)</f>
        <v/>
      </c>
      <c r="G241" s="143">
        <f>IFERROR(__xludf.DUMMYFUNCTION("""COMPUTED_VALUE"""),4979555)</f>
        <v/>
      </c>
      <c r="H241" s="27" t="n"/>
    </row>
    <row r="242" ht="17.25" customHeight="1" s="322">
      <c r="A242" s="27" t="n"/>
      <c r="B242" s="506">
        <f>IFERROR(__xludf.DUMMYFUNCTION("""COMPUTED_VALUE"""),46178.6666666666)</f>
        <v/>
      </c>
      <c r="C242" s="141">
        <f>IFERROR(__xludf.DUMMYFUNCTION("""COMPUTED_VALUE"""),59.22)</f>
        <v/>
      </c>
      <c r="D242" s="141">
        <f>IFERROR(__xludf.DUMMYFUNCTION("""COMPUTED_VALUE"""),59.25)</f>
        <v/>
      </c>
      <c r="E242" s="141">
        <f>IFERROR(__xludf.DUMMYFUNCTION("""COMPUTED_VALUE"""),57.78)</f>
        <v/>
      </c>
      <c r="F242" s="141">
        <f>IFERROR(__xludf.DUMMYFUNCTION("""COMPUTED_VALUE"""),58.03)</f>
        <v/>
      </c>
      <c r="G242" s="143">
        <f>IFERROR(__xludf.DUMMYFUNCTION("""COMPUTED_VALUE"""),10811118)</f>
        <v/>
      </c>
      <c r="H242" s="27" t="n"/>
    </row>
    <row r="243" ht="17.25" customHeight="1" s="322">
      <c r="A243" s="27" t="n"/>
      <c r="B243" s="506">
        <f>IFERROR(__xludf.DUMMYFUNCTION("""COMPUTED_VALUE"""),46181.6666666666)</f>
        <v/>
      </c>
      <c r="C243" s="141">
        <f>IFERROR(__xludf.DUMMYFUNCTION("""COMPUTED_VALUE"""),58.57)</f>
        <v/>
      </c>
      <c r="D243" s="141">
        <f>IFERROR(__xludf.DUMMYFUNCTION("""COMPUTED_VALUE"""),58.73)</f>
        <v/>
      </c>
      <c r="E243" s="141">
        <f>IFERROR(__xludf.DUMMYFUNCTION("""COMPUTED_VALUE"""),58.21)</f>
        <v/>
      </c>
      <c r="F243" s="141">
        <f>IFERROR(__xludf.DUMMYFUNCTION("""COMPUTED_VALUE"""),58.33)</f>
        <v/>
      </c>
      <c r="G243" s="143">
        <f>IFERROR(__xludf.DUMMYFUNCTION("""COMPUTED_VALUE"""),9265630)</f>
        <v/>
      </c>
      <c r="H243" s="27" t="n"/>
    </row>
    <row r="244" ht="17.25" customHeight="1" s="322">
      <c r="A244" s="27" t="n"/>
      <c r="B244" s="506">
        <f>IFERROR(__xludf.DUMMYFUNCTION("""COMPUTED_VALUE"""),46182.6666666666)</f>
        <v/>
      </c>
      <c r="C244" s="141">
        <f>IFERROR(__xludf.DUMMYFUNCTION("""COMPUTED_VALUE"""),59.2)</f>
        <v/>
      </c>
      <c r="D244" s="141">
        <f>IFERROR(__xludf.DUMMYFUNCTION("""COMPUTED_VALUE"""),59.42)</f>
        <v/>
      </c>
      <c r="E244" s="141">
        <f>IFERROR(__xludf.DUMMYFUNCTION("""COMPUTED_VALUE"""),57.36)</f>
        <v/>
      </c>
      <c r="F244" s="141">
        <f>IFERROR(__xludf.DUMMYFUNCTION("""COMPUTED_VALUE"""),58.45)</f>
        <v/>
      </c>
      <c r="G244" s="143">
        <f>IFERROR(__xludf.DUMMYFUNCTION("""COMPUTED_VALUE"""),10154817)</f>
        <v/>
      </c>
      <c r="H244" s="27" t="n"/>
    </row>
    <row r="245" ht="17.25" customHeight="1" s="322">
      <c r="A245" s="27" t="n"/>
      <c r="B245" s="506">
        <f>IFERROR(__xludf.DUMMYFUNCTION("""COMPUTED_VALUE"""),46183.6666666666)</f>
        <v/>
      </c>
      <c r="C245" s="141">
        <f>IFERROR(__xludf.DUMMYFUNCTION("""COMPUTED_VALUE"""),58.12)</f>
        <v/>
      </c>
      <c r="D245" s="141">
        <f>IFERROR(__xludf.DUMMYFUNCTION("""COMPUTED_VALUE"""),58.64)</f>
        <v/>
      </c>
      <c r="E245" s="141">
        <f>IFERROR(__xludf.DUMMYFUNCTION("""COMPUTED_VALUE"""),57.69)</f>
        <v/>
      </c>
      <c r="F245" s="141">
        <f>IFERROR(__xludf.DUMMYFUNCTION("""COMPUTED_VALUE"""),57.72)</f>
        <v/>
      </c>
      <c r="G245" s="143">
        <f>IFERROR(__xludf.DUMMYFUNCTION("""COMPUTED_VALUE"""),8099635)</f>
        <v/>
      </c>
      <c r="H245" s="27" t="n"/>
    </row>
    <row r="246" ht="17.25" customHeight="1" s="322">
      <c r="A246" s="27" t="n"/>
      <c r="B246" s="506">
        <f>IFERROR(__xludf.DUMMYFUNCTION("""COMPUTED_VALUE"""),46184.6666666666)</f>
        <v/>
      </c>
      <c r="C246" s="141">
        <f>IFERROR(__xludf.DUMMYFUNCTION("""COMPUTED_VALUE"""),57.84)</f>
        <v/>
      </c>
      <c r="D246" s="141">
        <f>IFERROR(__xludf.DUMMYFUNCTION("""COMPUTED_VALUE"""),59.17)</f>
        <v/>
      </c>
      <c r="E246" s="141">
        <f>IFERROR(__xludf.DUMMYFUNCTION("""COMPUTED_VALUE"""),57.76)</f>
        <v/>
      </c>
      <c r="F246" s="141">
        <f>IFERROR(__xludf.DUMMYFUNCTION("""COMPUTED_VALUE"""),59.1)</f>
        <v/>
      </c>
      <c r="G246" s="143">
        <f>IFERROR(__xludf.DUMMYFUNCTION("""COMPUTED_VALUE"""),12401626)</f>
        <v/>
      </c>
      <c r="H246" s="27" t="n"/>
    </row>
    <row r="247" ht="17.25" customHeight="1" s="322">
      <c r="A247" s="27" t="n"/>
      <c r="B247" s="506">
        <f>IFERROR(__xludf.DUMMYFUNCTION("""COMPUTED_VALUE"""),46185.6666666666)</f>
        <v/>
      </c>
      <c r="C247" s="141">
        <f>IFERROR(__xludf.DUMMYFUNCTION("""COMPUTED_VALUE"""),59.46)</f>
        <v/>
      </c>
      <c r="D247" s="141">
        <f>IFERROR(__xludf.DUMMYFUNCTION("""COMPUTED_VALUE"""),59.66)</f>
        <v/>
      </c>
      <c r="E247" s="141">
        <f>IFERROR(__xludf.DUMMYFUNCTION("""COMPUTED_VALUE"""),59.11)</f>
        <v/>
      </c>
      <c r="F247" s="141">
        <f>IFERROR(__xludf.DUMMYFUNCTION("""COMPUTED_VALUE"""),59.55)</f>
        <v/>
      </c>
      <c r="G247" s="143">
        <f>IFERROR(__xludf.DUMMYFUNCTION("""COMPUTED_VALUE"""),9644973)</f>
        <v/>
      </c>
      <c r="H247" s="27" t="n"/>
    </row>
    <row r="248" ht="17.25" customHeight="1" s="322">
      <c r="A248" s="27" t="n"/>
      <c r="B248" s="506">
        <f>IFERROR(__xludf.DUMMYFUNCTION("""COMPUTED_VALUE"""),46188.6666666666)</f>
        <v/>
      </c>
      <c r="C248" s="141">
        <f>IFERROR(__xludf.DUMMYFUNCTION("""COMPUTED_VALUE"""),60.85)</f>
        <v/>
      </c>
      <c r="D248" s="141">
        <f>IFERROR(__xludf.DUMMYFUNCTION("""COMPUTED_VALUE"""),60.99)</f>
        <v/>
      </c>
      <c r="E248" s="141">
        <f>IFERROR(__xludf.DUMMYFUNCTION("""COMPUTED_VALUE"""),60.8)</f>
        <v/>
      </c>
      <c r="F248" s="141">
        <f>IFERROR(__xludf.DUMMYFUNCTION("""COMPUTED_VALUE"""),60.84)</f>
        <v/>
      </c>
      <c r="G248" s="143">
        <f>IFERROR(__xludf.DUMMYFUNCTION("""COMPUTED_VALUE"""),9120339)</f>
        <v/>
      </c>
      <c r="H248" s="27" t="n"/>
    </row>
    <row r="249" ht="17.25" customHeight="1" s="322">
      <c r="A249" s="27" t="n"/>
      <c r="B249" s="506">
        <f>IFERROR(__xludf.DUMMYFUNCTION("""COMPUTED_VALUE"""),46189.6666666666)</f>
        <v/>
      </c>
      <c r="C249" s="141">
        <f>IFERROR(__xludf.DUMMYFUNCTION("""COMPUTED_VALUE"""),60.38)</f>
        <v/>
      </c>
      <c r="D249" s="141">
        <f>IFERROR(__xludf.DUMMYFUNCTION("""COMPUTED_VALUE"""),60.59)</f>
        <v/>
      </c>
      <c r="E249" s="141">
        <f>IFERROR(__xludf.DUMMYFUNCTION("""COMPUTED_VALUE"""),60.12)</f>
        <v/>
      </c>
      <c r="F249" s="141">
        <f>IFERROR(__xludf.DUMMYFUNCTION("""COMPUTED_VALUE"""),60.16)</f>
        <v/>
      </c>
      <c r="G249" s="143">
        <f>IFERROR(__xludf.DUMMYFUNCTION("""COMPUTED_VALUE"""),5986295)</f>
        <v/>
      </c>
      <c r="H249" s="27" t="n"/>
    </row>
    <row r="250" ht="17.25" customHeight="1" s="322">
      <c r="A250" s="27" t="n"/>
      <c r="B250" s="506">
        <f>IFERROR(__xludf.DUMMYFUNCTION("""COMPUTED_VALUE"""),46190.6666666666)</f>
        <v/>
      </c>
      <c r="C250" s="141">
        <f>IFERROR(__xludf.DUMMYFUNCTION("""COMPUTED_VALUE"""),60.58)</f>
        <v/>
      </c>
      <c r="D250" s="141">
        <f>IFERROR(__xludf.DUMMYFUNCTION("""COMPUTED_VALUE"""),60.88)</f>
        <v/>
      </c>
      <c r="E250" s="141">
        <f>IFERROR(__xludf.DUMMYFUNCTION("""COMPUTED_VALUE"""),59.75)</f>
        <v/>
      </c>
      <c r="F250" s="141">
        <f>IFERROR(__xludf.DUMMYFUNCTION("""COMPUTED_VALUE"""),59.81)</f>
        <v/>
      </c>
      <c r="G250" s="143">
        <f>IFERROR(__xludf.DUMMYFUNCTION("""COMPUTED_VALUE"""),14107732)</f>
        <v/>
      </c>
      <c r="H250" s="27" t="n"/>
    </row>
    <row r="251" ht="17.25" customHeight="1" s="322">
      <c r="A251" s="27" t="n"/>
      <c r="B251" s="506">
        <f>IFERROR(__xludf.DUMMYFUNCTION("""COMPUTED_VALUE"""),46191.6666666666)</f>
        <v/>
      </c>
      <c r="C251" s="141">
        <f>IFERROR(__xludf.DUMMYFUNCTION("""COMPUTED_VALUE"""),60.56)</f>
        <v/>
      </c>
      <c r="D251" s="141">
        <f>IFERROR(__xludf.DUMMYFUNCTION("""COMPUTED_VALUE"""),60.86)</f>
        <v/>
      </c>
      <c r="E251" s="141">
        <f>IFERROR(__xludf.DUMMYFUNCTION("""COMPUTED_VALUE"""),60.53)</f>
        <v/>
      </c>
      <c r="F251" s="141">
        <f>IFERROR(__xludf.DUMMYFUNCTION("""COMPUTED_VALUE"""),60.77)</f>
        <v/>
      </c>
      <c r="G251" s="143">
        <f>IFERROR(__xludf.DUMMYFUNCTION("""COMPUTED_VALUE"""),7991372)</f>
        <v/>
      </c>
      <c r="H251" s="27" t="n"/>
    </row>
    <row r="252" ht="17.25" customHeight="1" s="322">
      <c r="A252" s="27" t="n"/>
      <c r="B252" s="506">
        <f>IFERROR(__xludf.DUMMYFUNCTION("""COMPUTED_VALUE"""),46195.6666666666)</f>
        <v/>
      </c>
      <c r="C252" s="141">
        <f>IFERROR(__xludf.DUMMYFUNCTION("""COMPUTED_VALUE"""),61.39)</f>
        <v/>
      </c>
      <c r="D252" s="141">
        <f>IFERROR(__xludf.DUMMYFUNCTION("""COMPUTED_VALUE"""),61.52)</f>
        <v/>
      </c>
      <c r="E252" s="141">
        <f>IFERROR(__xludf.DUMMYFUNCTION("""COMPUTED_VALUE"""),61.16)</f>
        <v/>
      </c>
      <c r="F252" s="141">
        <f>IFERROR(__xludf.DUMMYFUNCTION("""COMPUTED_VALUE"""),61.24)</f>
        <v/>
      </c>
      <c r="G252" s="143">
        <f>IFERROR(__xludf.DUMMYFUNCTION("""COMPUTED_VALUE"""),14098279)</f>
        <v/>
      </c>
      <c r="H252" s="27" t="n"/>
    </row>
    <row r="253" ht="17.25" customHeight="1" s="322">
      <c r="A253" s="27" t="n"/>
      <c r="B253" s="506">
        <f>IFERROR(__xludf.DUMMYFUNCTION("""COMPUTED_VALUE"""),46196.6666666666)</f>
        <v/>
      </c>
      <c r="C253" s="141">
        <f>IFERROR(__xludf.DUMMYFUNCTION("""COMPUTED_VALUE"""),59.4)</f>
        <v/>
      </c>
      <c r="D253" s="141">
        <f>IFERROR(__xludf.DUMMYFUNCTION("""COMPUTED_VALUE"""),59.79)</f>
        <v/>
      </c>
      <c r="E253" s="141">
        <f>IFERROR(__xludf.DUMMYFUNCTION("""COMPUTED_VALUE"""),59.29)</f>
        <v/>
      </c>
      <c r="F253" s="141">
        <f>IFERROR(__xludf.DUMMYFUNCTION("""COMPUTED_VALUE"""),59.36)</f>
        <v/>
      </c>
      <c r="G253" s="143">
        <f>IFERROR(__xludf.DUMMYFUNCTION("""COMPUTED_VALUE"""),6988390)</f>
        <v/>
      </c>
      <c r="H253" s="27" t="n"/>
    </row>
    <row r="254" ht="17.25" customHeight="1" s="322">
      <c r="A254" s="27" t="n"/>
      <c r="B254" s="506">
        <f>IFERROR(__xludf.DUMMYFUNCTION("""COMPUTED_VALUE"""),46197.6666666666)</f>
        <v/>
      </c>
      <c r="C254" s="141">
        <f>IFERROR(__xludf.DUMMYFUNCTION("""COMPUTED_VALUE"""),58.88)</f>
        <v/>
      </c>
      <c r="D254" s="141">
        <f>IFERROR(__xludf.DUMMYFUNCTION("""COMPUTED_VALUE"""),59.18)</f>
        <v/>
      </c>
      <c r="E254" s="141">
        <f>IFERROR(__xludf.DUMMYFUNCTION("""COMPUTED_VALUE"""),58.66)</f>
        <v/>
      </c>
      <c r="F254" s="141">
        <f>IFERROR(__xludf.DUMMYFUNCTION("""COMPUTED_VALUE"""),58.97)</f>
        <v/>
      </c>
      <c r="G254" s="143">
        <f>IFERROR(__xludf.DUMMYFUNCTION("""COMPUTED_VALUE"""),7250915)</f>
        <v/>
      </c>
      <c r="H254" s="27" t="n"/>
    </row>
    <row r="255" ht="17.25" customHeight="1" s="322">
      <c r="A255" s="27" t="n"/>
      <c r="B255" s="506">
        <f>IFERROR(__xludf.DUMMYFUNCTION("""COMPUTED_VALUE"""),46198.6666666666)</f>
        <v/>
      </c>
      <c r="C255" s="141">
        <f>IFERROR(__xludf.DUMMYFUNCTION("""COMPUTED_VALUE"""),59.39)</f>
        <v/>
      </c>
      <c r="D255" s="141">
        <f>IFERROR(__xludf.DUMMYFUNCTION("""COMPUTED_VALUE"""),59.45)</f>
        <v/>
      </c>
      <c r="E255" s="141">
        <f>IFERROR(__xludf.DUMMYFUNCTION("""COMPUTED_VALUE"""),58.53)</f>
        <v/>
      </c>
      <c r="F255" s="141">
        <f>IFERROR(__xludf.DUMMYFUNCTION("""COMPUTED_VALUE"""),58.8)</f>
        <v/>
      </c>
      <c r="G255" s="143">
        <f>IFERROR(__xludf.DUMMYFUNCTION("""COMPUTED_VALUE"""),6943926)</f>
        <v/>
      </c>
      <c r="H255" s="27" t="n"/>
    </row>
    <row r="256" ht="17.25" customHeight="1" s="322">
      <c r="A256" s="27" t="n"/>
      <c r="B256" s="506">
        <f>IFERROR(__xludf.DUMMYFUNCTION("""COMPUTED_VALUE"""),46199.6666666666)</f>
        <v/>
      </c>
      <c r="C256" s="141">
        <f>IFERROR(__xludf.DUMMYFUNCTION("""COMPUTED_VALUE"""),57.99)</f>
        <v/>
      </c>
      <c r="D256" s="141">
        <f>IFERROR(__xludf.DUMMYFUNCTION("""COMPUTED_VALUE"""),58.79)</f>
        <v/>
      </c>
      <c r="E256" s="141">
        <f>IFERROR(__xludf.DUMMYFUNCTION("""COMPUTED_VALUE"""),57.91)</f>
        <v/>
      </c>
      <c r="F256" s="141">
        <f>IFERROR(__xludf.DUMMYFUNCTION("""COMPUTED_VALUE"""),58.58)</f>
        <v/>
      </c>
      <c r="G256" s="143">
        <f>IFERROR(__xludf.DUMMYFUNCTION("""COMPUTED_VALUE"""),7418911)</f>
        <v/>
      </c>
      <c r="H256" s="27" t="n"/>
    </row>
    <row r="257" ht="17.25" customHeight="1" s="322">
      <c r="A257" s="27" t="n"/>
      <c r="B257" s="506">
        <f>IFERROR(__xludf.DUMMYFUNCTION("""COMPUTED_VALUE"""),46202.6666666666)</f>
        <v/>
      </c>
      <c r="C257" s="141">
        <f>IFERROR(__xludf.DUMMYFUNCTION("""COMPUTED_VALUE"""),58.82)</f>
        <v/>
      </c>
      <c r="D257" s="141">
        <f>IFERROR(__xludf.DUMMYFUNCTION("""COMPUTED_VALUE"""),59.21)</f>
        <v/>
      </c>
      <c r="E257" s="141">
        <f>IFERROR(__xludf.DUMMYFUNCTION("""COMPUTED_VALUE"""),58.37)</f>
        <v/>
      </c>
      <c r="F257" s="141">
        <f>IFERROR(__xludf.DUMMYFUNCTION("""COMPUTED_VALUE"""),59.18)</f>
        <v/>
      </c>
      <c r="G257" s="143">
        <f>IFERROR(__xludf.DUMMYFUNCTION("""COMPUTED_VALUE"""),6535982)</f>
        <v/>
      </c>
      <c r="H257" s="27" t="n"/>
    </row>
    <row r="258" ht="17.25" customHeight="1" s="322">
      <c r="A258" s="27" t="n"/>
      <c r="B258" s="506">
        <f>IFERROR(__xludf.DUMMYFUNCTION("""COMPUTED_VALUE"""),46203.6666666666)</f>
        <v/>
      </c>
      <c r="C258" s="141">
        <f>IFERROR(__xludf.DUMMYFUNCTION("""COMPUTED_VALUE"""),59.23)</f>
        <v/>
      </c>
      <c r="D258" s="141">
        <f>IFERROR(__xludf.DUMMYFUNCTION("""COMPUTED_VALUE"""),59.79)</f>
        <v/>
      </c>
      <c r="E258" s="141">
        <f>IFERROR(__xludf.DUMMYFUNCTION("""COMPUTED_VALUE"""),59.13)</f>
        <v/>
      </c>
      <c r="F258" s="141">
        <f>IFERROR(__xludf.DUMMYFUNCTION("""COMPUTED_VALUE"""),59.69)</f>
        <v/>
      </c>
      <c r="G258" s="143">
        <f>IFERROR(__xludf.DUMMYFUNCTION("""COMPUTED_VALUE"""),12279001)</f>
        <v/>
      </c>
      <c r="H258" s="27" t="n"/>
    </row>
    <row r="259" ht="17.25" customHeight="1" s="322">
      <c r="A259" s="27" t="n"/>
      <c r="B259" s="506">
        <f>IFERROR(__xludf.DUMMYFUNCTION("""COMPUTED_VALUE"""),46204.6666666666)</f>
        <v/>
      </c>
      <c r="C259" s="141">
        <f>IFERROR(__xludf.DUMMYFUNCTION("""COMPUTED_VALUE"""),59.26)</f>
        <v/>
      </c>
      <c r="D259" s="141">
        <f>IFERROR(__xludf.DUMMYFUNCTION("""COMPUTED_VALUE"""),59.65)</f>
        <v/>
      </c>
      <c r="E259" s="141">
        <f>IFERROR(__xludf.DUMMYFUNCTION("""COMPUTED_VALUE"""),59.17)</f>
        <v/>
      </c>
      <c r="F259" s="141">
        <f>IFERROR(__xludf.DUMMYFUNCTION("""COMPUTED_VALUE"""),59.22)</f>
        <v/>
      </c>
      <c r="G259" s="143">
        <f>IFERROR(__xludf.DUMMYFUNCTION("""COMPUTED_VALUE"""),12331766)</f>
        <v/>
      </c>
      <c r="H259" s="27" t="n"/>
    </row>
    <row r="260" ht="17.25" customHeight="1" s="322">
      <c r="A260" s="27" t="n"/>
      <c r="B260" s="506">
        <f>IFERROR(__xludf.DUMMYFUNCTION("""COMPUTED_VALUE"""),46205.6666666666)</f>
        <v/>
      </c>
      <c r="C260" s="141">
        <f>IFERROR(__xludf.DUMMYFUNCTION("""COMPUTED_VALUE"""),59.54)</f>
        <v/>
      </c>
      <c r="D260" s="141">
        <f>IFERROR(__xludf.DUMMYFUNCTION("""COMPUTED_VALUE"""),59.95)</f>
        <v/>
      </c>
      <c r="E260" s="141">
        <f>IFERROR(__xludf.DUMMYFUNCTION("""COMPUTED_VALUE"""),58.59)</f>
        <v/>
      </c>
      <c r="F260" s="141">
        <f>IFERROR(__xludf.DUMMYFUNCTION("""COMPUTED_VALUE"""),59.04)</f>
        <v/>
      </c>
      <c r="G260" s="143">
        <f>IFERROR(__xludf.DUMMYFUNCTION("""COMPUTED_VALUE"""),9268756)</f>
        <v/>
      </c>
      <c r="H260" s="27" t="n"/>
    </row>
    <row r="261" ht="17.25" customHeight="1" s="322">
      <c r="A261" s="27" t="n"/>
      <c r="B261" s="506">
        <f>IFERROR(__xludf.DUMMYFUNCTION("""COMPUTED_VALUE"""),46209.6666666666)</f>
        <v/>
      </c>
      <c r="C261" s="141">
        <f>IFERROR(__xludf.DUMMYFUNCTION("""COMPUTED_VALUE"""),59.68)</f>
        <v/>
      </c>
      <c r="D261" s="141">
        <f>IFERROR(__xludf.DUMMYFUNCTION("""COMPUTED_VALUE"""),60.15)</f>
        <v/>
      </c>
      <c r="E261" s="141">
        <f>IFERROR(__xludf.DUMMYFUNCTION("""COMPUTED_VALUE"""),59.61)</f>
        <v/>
      </c>
      <c r="F261" s="141">
        <f>IFERROR(__xludf.DUMMYFUNCTION("""COMPUTED_VALUE"""),60.07)</f>
        <v/>
      </c>
      <c r="G261" s="143">
        <f>IFERROR(__xludf.DUMMYFUNCTION("""COMPUTED_VALUE"""),6413976)</f>
        <v/>
      </c>
      <c r="H261" s="27" t="n"/>
    </row>
    <row r="262" ht="17.25" customHeight="1" s="322">
      <c r="A262" s="27" t="n"/>
      <c r="B262" s="506">
        <f>IFERROR(__xludf.DUMMYFUNCTION("""COMPUTED_VALUE"""),46210.6666666666)</f>
        <v/>
      </c>
      <c r="C262" s="141">
        <f>IFERROR(__xludf.DUMMYFUNCTION("""COMPUTED_VALUE"""),59.17)</f>
        <v/>
      </c>
      <c r="D262" s="141">
        <f>IFERROR(__xludf.DUMMYFUNCTION("""COMPUTED_VALUE"""),59.39)</f>
        <v/>
      </c>
      <c r="E262" s="141">
        <f>IFERROR(__xludf.DUMMYFUNCTION("""COMPUTED_VALUE"""),58.63)</f>
        <v/>
      </c>
      <c r="F262" s="141">
        <f>IFERROR(__xludf.DUMMYFUNCTION("""COMPUTED_VALUE"""),58.88)</f>
        <v/>
      </c>
      <c r="G262" s="143">
        <f>IFERROR(__xludf.DUMMYFUNCTION("""COMPUTED_VALUE"""),6948009)</f>
        <v/>
      </c>
      <c r="H262" s="27" t="n"/>
    </row>
    <row r="263" ht="17.25" customHeight="1" s="322">
      <c r="A263" s="27" t="n"/>
      <c r="B263" s="506">
        <f>IFERROR(__xludf.DUMMYFUNCTION("""COMPUTED_VALUE"""),46211.6666666666)</f>
        <v/>
      </c>
      <c r="C263" s="141">
        <f>IFERROR(__xludf.DUMMYFUNCTION("""COMPUTED_VALUE"""),58.8)</f>
        <v/>
      </c>
      <c r="D263" s="141">
        <f>IFERROR(__xludf.DUMMYFUNCTION("""COMPUTED_VALUE"""),59.19)</f>
        <v/>
      </c>
      <c r="E263" s="141">
        <f>IFERROR(__xludf.DUMMYFUNCTION("""COMPUTED_VALUE"""),58.58)</f>
        <v/>
      </c>
      <c r="F263" s="141">
        <f>IFERROR(__xludf.DUMMYFUNCTION("""COMPUTED_VALUE"""),59.17)</f>
        <v/>
      </c>
      <c r="G263" s="143">
        <f>IFERROR(__xludf.DUMMYFUNCTION("""COMPUTED_VALUE"""),12304934)</f>
        <v/>
      </c>
      <c r="H263" s="27" t="n"/>
    </row>
    <row r="264" ht="17.25" customHeight="1" s="322">
      <c r="A264" s="27" t="n"/>
      <c r="B264" s="506">
        <f>IFERROR(__xludf.DUMMYFUNCTION("""COMPUTED_VALUE"""),46212.6666666666)</f>
        <v/>
      </c>
      <c r="C264" s="141">
        <f>IFERROR(__xludf.DUMMYFUNCTION("""COMPUTED_VALUE"""),59.4)</f>
        <v/>
      </c>
      <c r="D264" s="141">
        <f>IFERROR(__xludf.DUMMYFUNCTION("""COMPUTED_VALUE"""),59.71)</f>
        <v/>
      </c>
      <c r="E264" s="141">
        <f>IFERROR(__xludf.DUMMYFUNCTION("""COMPUTED_VALUE"""),59.3)</f>
        <v/>
      </c>
      <c r="F264" s="141">
        <f>IFERROR(__xludf.DUMMYFUNCTION("""COMPUTED_VALUE"""),59.49)</f>
        <v/>
      </c>
      <c r="G264" s="143">
        <f>IFERROR(__xludf.DUMMYFUNCTION("""COMPUTED_VALUE"""),9659225)</f>
        <v/>
      </c>
      <c r="H264" s="27" t="n"/>
    </row>
    <row r="265" ht="17.25" customHeight="1" s="322">
      <c r="A265" s="27" t="n"/>
      <c r="B265" s="506">
        <f>IFERROR(__xludf.DUMMYFUNCTION("""COMPUTED_VALUE"""),46213.6666666666)</f>
        <v/>
      </c>
      <c r="C265" s="141">
        <f>IFERROR(__xludf.DUMMYFUNCTION("""COMPUTED_VALUE"""),59.73)</f>
        <v/>
      </c>
      <c r="D265" s="141">
        <f>IFERROR(__xludf.DUMMYFUNCTION("""COMPUTED_VALUE"""),60.04)</f>
        <v/>
      </c>
      <c r="E265" s="141">
        <f>IFERROR(__xludf.DUMMYFUNCTION("""COMPUTED_VALUE"""),59.45)</f>
        <v/>
      </c>
      <c r="F265" s="141">
        <f>IFERROR(__xludf.DUMMYFUNCTION("""COMPUTED_VALUE"""),59.89)</f>
        <v/>
      </c>
      <c r="G265" s="143">
        <f>IFERROR(__xludf.DUMMYFUNCTION("""COMPUTED_VALUE"""),12054999)</f>
        <v/>
      </c>
      <c r="H265" s="27" t="n"/>
    </row>
    <row r="266" ht="17.25" customHeight="1" s="322">
      <c r="A266" s="27" t="n"/>
      <c r="B266" s="506">
        <f>IFERROR(__xludf.DUMMYFUNCTION("""COMPUTED_VALUE"""),46216.6666666666)</f>
        <v/>
      </c>
      <c r="C266" s="141">
        <f>IFERROR(__xludf.DUMMYFUNCTION("""COMPUTED_VALUE"""),59.32)</f>
        <v/>
      </c>
      <c r="D266" s="141">
        <f>IFERROR(__xludf.DUMMYFUNCTION("""COMPUTED_VALUE"""),59.4)</f>
        <v/>
      </c>
      <c r="E266" s="141">
        <f>IFERROR(__xludf.DUMMYFUNCTION("""COMPUTED_VALUE"""),58.72)</f>
        <v/>
      </c>
      <c r="F266" s="141">
        <f>IFERROR(__xludf.DUMMYFUNCTION("""COMPUTED_VALUE"""),58.79)</f>
        <v/>
      </c>
      <c r="G266" s="143">
        <f>IFERROR(__xludf.DUMMYFUNCTION("""COMPUTED_VALUE"""),7809496)</f>
        <v/>
      </c>
      <c r="H266" s="27" t="n"/>
    </row>
    <row r="267" ht="17.25" customHeight="1" s="322">
      <c r="A267" s="27" t="n"/>
      <c r="B267" s="506">
        <f>IFERROR(__xludf.DUMMYFUNCTION("""COMPUTED_VALUE"""),46217.6666666666)</f>
        <v/>
      </c>
      <c r="C267" s="141">
        <f>IFERROR(__xludf.DUMMYFUNCTION("""COMPUTED_VALUE"""),59.09)</f>
        <v/>
      </c>
      <c r="D267" s="141">
        <f>IFERROR(__xludf.DUMMYFUNCTION("""COMPUTED_VALUE"""),59.26)</f>
        <v/>
      </c>
      <c r="E267" s="141">
        <f>IFERROR(__xludf.DUMMYFUNCTION("""COMPUTED_VALUE"""),58.91)</f>
        <v/>
      </c>
      <c r="F267" s="141">
        <f>IFERROR(__xludf.DUMMYFUNCTION("""COMPUTED_VALUE"""),59.08)</f>
        <v/>
      </c>
      <c r="G267" s="143">
        <f>IFERROR(__xludf.DUMMYFUNCTION("""COMPUTED_VALUE"""),12487308)</f>
        <v/>
      </c>
      <c r="H267" s="27" t="n"/>
    </row>
    <row r="268" ht="17.25" customHeight="1" s="322">
      <c r="A268" s="27" t="n"/>
      <c r="B268" s="506">
        <f>IFERROR(__xludf.DUMMYFUNCTION("""COMPUTED_VALUE"""),46218.6666666666)</f>
        <v/>
      </c>
      <c r="C268" s="141">
        <f>IFERROR(__xludf.DUMMYFUNCTION("""COMPUTED_VALUE"""),59.43)</f>
        <v/>
      </c>
      <c r="D268" s="141">
        <f>IFERROR(__xludf.DUMMYFUNCTION("""COMPUTED_VALUE"""),59.64)</f>
        <v/>
      </c>
      <c r="E268" s="141">
        <f>IFERROR(__xludf.DUMMYFUNCTION("""COMPUTED_VALUE"""),59.03)</f>
        <v/>
      </c>
      <c r="F268" s="141">
        <f>IFERROR(__xludf.DUMMYFUNCTION("""COMPUTED_VALUE"""),59.48)</f>
        <v/>
      </c>
      <c r="G268" s="143">
        <f>IFERROR(__xludf.DUMMYFUNCTION("""COMPUTED_VALUE"""),7850465)</f>
        <v/>
      </c>
      <c r="H268" s="27" t="n"/>
    </row>
    <row r="269" ht="17.25" customHeight="1" s="322">
      <c r="A269" s="27" t="n"/>
      <c r="B269" s="506">
        <f>IFERROR(__xludf.DUMMYFUNCTION("""COMPUTED_VALUE"""),46219.6666666666)</f>
        <v/>
      </c>
      <c r="C269" s="141">
        <f>IFERROR(__xludf.DUMMYFUNCTION("""COMPUTED_VALUE"""),58.88)</f>
        <v/>
      </c>
      <c r="D269" s="141">
        <f>IFERROR(__xludf.DUMMYFUNCTION("""COMPUTED_VALUE"""),59.03)</f>
        <v/>
      </c>
      <c r="E269" s="141">
        <f>IFERROR(__xludf.DUMMYFUNCTION("""COMPUTED_VALUE"""),58.67)</f>
        <v/>
      </c>
      <c r="F269" s="141">
        <f>IFERROR(__xludf.DUMMYFUNCTION("""COMPUTED_VALUE"""),58.84)</f>
        <v/>
      </c>
      <c r="G269" s="143">
        <f>IFERROR(__xludf.DUMMYFUNCTION("""COMPUTED_VALUE"""),6467219)</f>
        <v/>
      </c>
      <c r="H269" s="27" t="n"/>
    </row>
    <row r="270" ht="17.25" customHeight="1" s="322">
      <c r="A270" s="27" t="n"/>
      <c r="B270" s="506">
        <f>IFERROR(__xludf.DUMMYFUNCTION("""COMPUTED_VALUE"""),46220.6666666666)</f>
        <v/>
      </c>
      <c r="C270" s="141">
        <f>IFERROR(__xludf.DUMMYFUNCTION("""COMPUTED_VALUE"""),57.33)</f>
        <v/>
      </c>
      <c r="D270" s="141">
        <f>IFERROR(__xludf.DUMMYFUNCTION("""COMPUTED_VALUE"""),57.97)</f>
        <v/>
      </c>
      <c r="E270" s="141">
        <f>IFERROR(__xludf.DUMMYFUNCTION("""COMPUTED_VALUE"""),57.26)</f>
        <v/>
      </c>
      <c r="F270" s="141">
        <f>IFERROR(__xludf.DUMMYFUNCTION("""COMPUTED_VALUE"""),57.84)</f>
        <v/>
      </c>
      <c r="G270" s="143">
        <f>IFERROR(__xludf.DUMMYFUNCTION("""COMPUTED_VALUE"""),10037852)</f>
        <v/>
      </c>
      <c r="H270" s="27" t="n"/>
    </row>
    <row r="271" ht="17.25" customHeight="1" s="322">
      <c r="A271" s="27" t="n"/>
      <c r="B271" s="506">
        <f>IFERROR(__xludf.DUMMYFUNCTION("""COMPUTED_VALUE"""),46223.6666666666)</f>
        <v/>
      </c>
      <c r="C271" s="141">
        <f>IFERROR(__xludf.DUMMYFUNCTION("""COMPUTED_VALUE"""),58.22)</f>
        <v/>
      </c>
      <c r="D271" s="141">
        <f>IFERROR(__xludf.DUMMYFUNCTION("""COMPUTED_VALUE"""),58.28)</f>
        <v/>
      </c>
      <c r="E271" s="141">
        <f>IFERROR(__xludf.DUMMYFUNCTION("""COMPUTED_VALUE"""),57.85)</f>
        <v/>
      </c>
      <c r="F271" s="141">
        <f>IFERROR(__xludf.DUMMYFUNCTION("""COMPUTED_VALUE"""),57.93)</f>
        <v/>
      </c>
      <c r="G271" s="143">
        <f>IFERROR(__xludf.DUMMYFUNCTION("""COMPUTED_VALUE"""),6693911)</f>
        <v/>
      </c>
      <c r="H271" s="27" t="n"/>
    </row>
    <row r="272" ht="17.25" customHeight="1" s="322">
      <c r="A272" s="27" t="n"/>
      <c r="B272" s="506">
        <f>IFERROR(__xludf.DUMMYFUNCTION("""COMPUTED_VALUE"""),46224.6666666666)</f>
        <v/>
      </c>
      <c r="C272" s="141">
        <f>IFERROR(__xludf.DUMMYFUNCTION("""COMPUTED_VALUE"""),58.8)</f>
        <v/>
      </c>
      <c r="D272" s="141">
        <f>IFERROR(__xludf.DUMMYFUNCTION("""COMPUTED_VALUE"""),58.94)</f>
        <v/>
      </c>
      <c r="E272" s="141">
        <f>IFERROR(__xludf.DUMMYFUNCTION("""COMPUTED_VALUE"""),58.62)</f>
        <v/>
      </c>
      <c r="F272" s="141">
        <f>IFERROR(__xludf.DUMMYFUNCTION("""COMPUTED_VALUE"""),58.86)</f>
        <v/>
      </c>
      <c r="G272" s="143">
        <f>IFERROR(__xludf.DUMMYFUNCTION("""COMPUTED_VALUE"""),6840040)</f>
        <v/>
      </c>
      <c r="H272" s="27" t="n"/>
    </row>
    <row r="273" ht="17.25" customHeight="1" s="322">
      <c r="A273" s="27" t="n"/>
      <c r="B273" s="506">
        <f>IFERROR(__xludf.DUMMYFUNCTION("""COMPUTED_VALUE"""),46225.6666666666)</f>
        <v/>
      </c>
      <c r="C273" s="141">
        <f>IFERROR(__xludf.DUMMYFUNCTION("""COMPUTED_VALUE"""),58.71)</f>
        <v/>
      </c>
      <c r="D273" s="141">
        <f>IFERROR(__xludf.DUMMYFUNCTION("""COMPUTED_VALUE"""),58.95)</f>
        <v/>
      </c>
      <c r="E273" s="141">
        <f>IFERROR(__xludf.DUMMYFUNCTION("""COMPUTED_VALUE"""),58.67)</f>
        <v/>
      </c>
      <c r="F273" s="141">
        <f>IFERROR(__xludf.DUMMYFUNCTION("""COMPUTED_VALUE"""),58.81)</f>
        <v/>
      </c>
      <c r="G273" s="143">
        <f>IFERROR(__xludf.DUMMYFUNCTION("""COMPUTED_VALUE"""),5395067)</f>
        <v/>
      </c>
      <c r="H273" s="27" t="n"/>
    </row>
    <row r="274" ht="17.25" customHeight="1" s="322">
      <c r="A274" s="27" t="n"/>
      <c r="B274" s="506">
        <f>IFERROR(__xludf.DUMMYFUNCTION("""COMPUTED_VALUE"""),46226.6666666666)</f>
        <v/>
      </c>
      <c r="C274" s="141">
        <f>IFERROR(__xludf.DUMMYFUNCTION("""COMPUTED_VALUE"""),58.18)</f>
        <v/>
      </c>
      <c r="D274" s="141">
        <f>IFERROR(__xludf.DUMMYFUNCTION("""COMPUTED_VALUE"""),58.43)</f>
        <v/>
      </c>
      <c r="E274" s="141">
        <f>IFERROR(__xludf.DUMMYFUNCTION("""COMPUTED_VALUE"""),57.82)</f>
        <v/>
      </c>
      <c r="F274" s="141">
        <f>IFERROR(__xludf.DUMMYFUNCTION("""COMPUTED_VALUE"""),58.1)</f>
        <v/>
      </c>
      <c r="G274" s="143">
        <f>IFERROR(__xludf.DUMMYFUNCTION("""COMPUTED_VALUE"""),5733087)</f>
        <v/>
      </c>
      <c r="H274" s="27" t="n"/>
    </row>
    <row r="275" ht="17.25" customHeight="1" s="322">
      <c r="A275" s="27" t="n"/>
      <c r="B275" s="506">
        <f>IFERROR(__xludf.DUMMYFUNCTION("""COMPUTED_VALUE"""),46227.6666666666)</f>
        <v/>
      </c>
      <c r="C275" s="141">
        <f>IFERROR(__xludf.DUMMYFUNCTION("""COMPUTED_VALUE"""),58)</f>
        <v/>
      </c>
      <c r="D275" s="141">
        <f>IFERROR(__xludf.DUMMYFUNCTION("""COMPUTED_VALUE"""),58.28)</f>
        <v/>
      </c>
      <c r="E275" s="141">
        <f>IFERROR(__xludf.DUMMYFUNCTION("""COMPUTED_VALUE"""),57.73)</f>
        <v/>
      </c>
      <c r="F275" s="141">
        <f>IFERROR(__xludf.DUMMYFUNCTION("""COMPUTED_VALUE"""),57.8)</f>
        <v/>
      </c>
      <c r="G275" s="143">
        <f>IFERROR(__xludf.DUMMYFUNCTION("""COMPUTED_VALUE"""),6078848)</f>
        <v/>
      </c>
      <c r="H275" s="27" t="n"/>
    </row>
    <row r="276" ht="17.25" customHeight="1" s="322">
      <c r="A276" s="27" t="n"/>
      <c r="B276" s="506">
        <f>IFERROR(__xludf.DUMMYFUNCTION("""COMPUTED_VALUE"""),46230.6666666666)</f>
        <v/>
      </c>
      <c r="C276" s="141">
        <f>IFERROR(__xludf.DUMMYFUNCTION("""COMPUTED_VALUE"""),58.37)</f>
        <v/>
      </c>
      <c r="D276" s="141">
        <f>IFERROR(__xludf.DUMMYFUNCTION("""COMPUTED_VALUE"""),58.43)</f>
        <v/>
      </c>
      <c r="E276" s="141">
        <f>IFERROR(__xludf.DUMMYFUNCTION("""COMPUTED_VALUE"""),57.72)</f>
        <v/>
      </c>
      <c r="F276" s="141">
        <f>IFERROR(__xludf.DUMMYFUNCTION("""COMPUTED_VALUE"""),58.23)</f>
        <v/>
      </c>
      <c r="G276" s="143">
        <f>IFERROR(__xludf.DUMMYFUNCTION("""COMPUTED_VALUE"""),6416654)</f>
        <v/>
      </c>
      <c r="H276" s="27" t="n"/>
    </row>
    <row r="277" ht="17.25" customHeight="1" s="322">
      <c r="A277" s="27" t="n"/>
      <c r="B277" s="506">
        <f>IFERROR(__xludf.DUMMYFUNCTION("""COMPUTED_VALUE"""),46231.6666666666)</f>
        <v/>
      </c>
      <c r="C277" s="141">
        <f>IFERROR(__xludf.DUMMYFUNCTION("""COMPUTED_VALUE"""),57.4)</f>
        <v/>
      </c>
      <c r="D277" s="141">
        <f>IFERROR(__xludf.DUMMYFUNCTION("""COMPUTED_VALUE"""),57.95)</f>
        <v/>
      </c>
      <c r="E277" s="141">
        <f>IFERROR(__xludf.DUMMYFUNCTION("""COMPUTED_VALUE"""),57.23)</f>
        <v/>
      </c>
      <c r="F277" s="141">
        <f>IFERROR(__xludf.DUMMYFUNCTION("""COMPUTED_VALUE"""),57.74)</f>
        <v/>
      </c>
      <c r="G277" s="143">
        <f>IFERROR(__xludf.DUMMYFUNCTION("""COMPUTED_VALUE"""),5828156)</f>
        <v/>
      </c>
      <c r="H277" s="27" t="n"/>
    </row>
    <row r="278" ht="17.25" customHeight="1" s="322">
      <c r="A278" s="27" t="n"/>
      <c r="B278" s="506">
        <f>IFERROR(__xludf.DUMMYFUNCTION("""COMPUTED_VALUE"""),46232.6666666666)</f>
        <v/>
      </c>
      <c r="C278" s="141">
        <f>IFERROR(__xludf.DUMMYFUNCTION("""COMPUTED_VALUE"""),57.24)</f>
        <v/>
      </c>
      <c r="D278" s="141">
        <f>IFERROR(__xludf.DUMMYFUNCTION("""COMPUTED_VALUE"""),57.92)</f>
        <v/>
      </c>
      <c r="E278" s="141">
        <f>IFERROR(__xludf.DUMMYFUNCTION("""COMPUTED_VALUE"""),56.79)</f>
        <v/>
      </c>
      <c r="F278" s="141">
        <f>IFERROR(__xludf.DUMMYFUNCTION("""COMPUTED_VALUE"""),56.92)</f>
        <v/>
      </c>
      <c r="G278" s="143">
        <f>IFERROR(__xludf.DUMMYFUNCTION("""COMPUTED_VALUE"""),6851364)</f>
        <v/>
      </c>
      <c r="H278" s="27" t="n"/>
    </row>
    <row r="279" ht="17.25" customHeight="1" s="322">
      <c r="A279" s="27" t="n"/>
      <c r="B279" s="506" t="n"/>
      <c r="C279" s="141" t="n"/>
      <c r="D279" s="141" t="n"/>
      <c r="E279" s="141" t="n"/>
      <c r="F279" s="141" t="n"/>
      <c r="G279" s="143" t="n"/>
      <c r="H279" s="27" t="n"/>
    </row>
    <row r="280" ht="17.25" customHeight="1" s="322">
      <c r="A280" s="27" t="n"/>
      <c r="B280" s="506" t="n"/>
      <c r="C280" s="141" t="n"/>
      <c r="D280" s="141" t="n"/>
      <c r="E280" s="141" t="n"/>
      <c r="F280" s="141" t="n"/>
      <c r="G280" s="143" t="n"/>
      <c r="H280" s="27" t="n"/>
    </row>
    <row r="281" ht="17.25" customHeight="1" s="322">
      <c r="A281" s="27" t="n"/>
      <c r="B281" s="506" t="n"/>
      <c r="C281" s="141" t="n"/>
      <c r="D281" s="141" t="n"/>
      <c r="E281" s="141" t="n"/>
      <c r="F281" s="141" t="n"/>
      <c r="G281" s="143" t="n"/>
      <c r="H281" s="27" t="n"/>
    </row>
    <row r="282" ht="17.25" customHeight="1" s="322">
      <c r="A282" s="27" t="n"/>
      <c r="B282" s="506" t="n"/>
      <c r="C282" s="141" t="n"/>
      <c r="D282" s="141" t="n"/>
      <c r="E282" s="141" t="n"/>
      <c r="F282" s="141" t="n"/>
      <c r="G282" s="143" t="n"/>
      <c r="H282" s="27" t="n"/>
    </row>
    <row r="283" ht="17.25" customHeight="1" s="322">
      <c r="A283" s="27" t="n"/>
      <c r="B283" s="506" t="n"/>
      <c r="C283" s="141" t="n"/>
      <c r="D283" s="141" t="n"/>
      <c r="E283" s="141" t="n"/>
      <c r="F283" s="141" t="n"/>
      <c r="G283" s="143" t="n"/>
      <c r="H283" s="27" t="n"/>
    </row>
    <row r="284" ht="17.25" customHeight="1" s="322">
      <c r="A284" s="27" t="n"/>
      <c r="B284" s="506" t="n"/>
      <c r="C284" s="141" t="n"/>
      <c r="D284" s="141" t="n"/>
      <c r="E284" s="141" t="n"/>
      <c r="F284" s="141" t="n"/>
      <c r="G284" s="143" t="n"/>
      <c r="H284" s="27" t="n"/>
    </row>
    <row r="285" ht="17.25" customHeight="1" s="322">
      <c r="A285" s="27" t="n"/>
      <c r="B285" s="506" t="n"/>
      <c r="C285" s="141" t="n"/>
      <c r="D285" s="141" t="n"/>
      <c r="E285" s="141" t="n"/>
      <c r="F285" s="141" t="n"/>
      <c r="G285" s="143" t="n"/>
      <c r="H285" s="27" t="n"/>
    </row>
    <row r="286" ht="17.25" customHeight="1" s="322">
      <c r="A286" s="27" t="n"/>
      <c r="B286" s="506" t="n"/>
      <c r="C286" s="141" t="n"/>
      <c r="D286" s="141" t="n"/>
      <c r="E286" s="141" t="n"/>
      <c r="F286" s="141" t="n"/>
      <c r="G286" s="143" t="n"/>
      <c r="H286" s="27" t="n"/>
    </row>
    <row r="287" ht="17.25" customHeight="1" s="322">
      <c r="A287" s="27" t="n"/>
      <c r="B287" s="506" t="n"/>
      <c r="C287" s="141" t="n"/>
      <c r="D287" s="141" t="n"/>
      <c r="E287" s="141" t="n"/>
      <c r="F287" s="141" t="n"/>
      <c r="G287" s="143" t="n"/>
      <c r="H287" s="27" t="n"/>
    </row>
    <row r="288" ht="17.25" customHeight="1" s="322">
      <c r="A288" s="27" t="n"/>
      <c r="B288" s="506" t="n"/>
      <c r="C288" s="141" t="n"/>
      <c r="D288" s="141" t="n"/>
      <c r="E288" s="141" t="n"/>
      <c r="F288" s="141" t="n"/>
      <c r="G288" s="143" t="n"/>
      <c r="H288" s="27" t="n"/>
    </row>
    <row r="289" ht="17.25" customHeight="1" s="322">
      <c r="A289" s="27" t="n"/>
      <c r="B289" s="506" t="n"/>
      <c r="C289" s="141" t="n"/>
      <c r="D289" s="141" t="n"/>
      <c r="E289" s="141" t="n"/>
      <c r="F289" s="141" t="n"/>
      <c r="G289" s="143" t="n"/>
      <c r="H289" s="27" t="n"/>
    </row>
    <row r="290" ht="17.25" customHeight="1" s="322">
      <c r="A290" s="27" t="n"/>
      <c r="B290" s="506" t="n"/>
      <c r="C290" s="141" t="n"/>
      <c r="D290" s="141" t="n"/>
      <c r="E290" s="141" t="n"/>
      <c r="F290" s="141" t="n"/>
      <c r="G290" s="143" t="n"/>
      <c r="H290" s="27" t="n"/>
    </row>
    <row r="291" ht="17.25" customHeight="1" s="322">
      <c r="A291" s="27" t="n"/>
      <c r="B291" s="506" t="n"/>
      <c r="C291" s="141" t="n"/>
      <c r="D291" s="141" t="n"/>
      <c r="E291" s="141" t="n"/>
      <c r="F291" s="141" t="n"/>
      <c r="G291" s="143" t="n"/>
      <c r="H291" s="27" t="n"/>
    </row>
    <row r="292" ht="17.25" customHeight="1" s="322">
      <c r="A292" s="27" t="n"/>
      <c r="B292" s="506" t="n"/>
      <c r="C292" s="141" t="n"/>
      <c r="D292" s="141" t="n"/>
      <c r="E292" s="141" t="n"/>
      <c r="F292" s="141" t="n"/>
      <c r="G292" s="143" t="n"/>
      <c r="H292" s="27" t="n"/>
    </row>
    <row r="293" ht="17.25" customHeight="1" s="322">
      <c r="A293" s="27" t="n"/>
      <c r="B293" s="506" t="n"/>
      <c r="C293" s="141" t="n"/>
      <c r="D293" s="141" t="n"/>
      <c r="E293" s="141" t="n"/>
      <c r="F293" s="141" t="n"/>
      <c r="G293" s="143" t="n"/>
      <c r="H293" s="27" t="n"/>
    </row>
    <row r="294" ht="17.25" customHeight="1" s="322">
      <c r="A294" s="27" t="n"/>
      <c r="B294" s="506" t="n"/>
      <c r="C294" s="141" t="n"/>
      <c r="D294" s="141" t="n"/>
      <c r="E294" s="141" t="n"/>
      <c r="F294" s="141" t="n"/>
      <c r="G294" s="143" t="n"/>
      <c r="H294" s="27" t="n"/>
    </row>
    <row r="295" ht="17.25" customHeight="1" s="322">
      <c r="A295" s="27" t="n"/>
      <c r="B295" s="506" t="n"/>
      <c r="C295" s="141" t="n"/>
      <c r="D295" s="141" t="n"/>
      <c r="E295" s="141" t="n"/>
      <c r="F295" s="141" t="n"/>
      <c r="G295" s="143" t="n"/>
      <c r="H295" s="27" t="n"/>
    </row>
    <row r="296" ht="17.25" customHeight="1" s="322">
      <c r="A296" s="27" t="n"/>
      <c r="B296" s="506" t="n"/>
      <c r="C296" s="141" t="n"/>
      <c r="D296" s="141" t="n"/>
      <c r="E296" s="141" t="n"/>
      <c r="F296" s="141" t="n"/>
      <c r="G296" s="143" t="n"/>
      <c r="H296" s="27" t="n"/>
    </row>
    <row r="297" ht="17.25" customHeight="1" s="322">
      <c r="A297" s="27" t="n"/>
      <c r="B297" s="506" t="n"/>
      <c r="C297" s="141" t="n"/>
      <c r="D297" s="141" t="n"/>
      <c r="E297" s="141" t="n"/>
      <c r="F297" s="141" t="n"/>
      <c r="G297" s="143" t="n"/>
      <c r="H297" s="27" t="n"/>
    </row>
    <row r="298" ht="17.25" customHeight="1" s="322">
      <c r="A298" s="27" t="n"/>
      <c r="B298" s="506" t="n"/>
      <c r="C298" s="141" t="n"/>
      <c r="D298" s="141" t="n"/>
      <c r="E298" s="141" t="n"/>
      <c r="F298" s="141" t="n"/>
      <c r="G298" s="143" t="n"/>
      <c r="H298" s="27" t="n"/>
    </row>
    <row r="299" ht="17.25" customHeight="1" s="322">
      <c r="A299" s="27" t="n"/>
      <c r="B299" s="506" t="n"/>
      <c r="C299" s="141" t="n"/>
      <c r="D299" s="141" t="n"/>
      <c r="E299" s="141" t="n"/>
      <c r="F299" s="141" t="n"/>
      <c r="G299" s="143" t="n"/>
      <c r="H299" s="27" t="n"/>
    </row>
    <row r="300" ht="17.25" customHeight="1" s="322">
      <c r="A300" s="27" t="n"/>
      <c r="B300" s="506" t="n"/>
      <c r="C300" s="141" t="n"/>
      <c r="D300" s="141" t="n"/>
      <c r="E300" s="141" t="n"/>
      <c r="F300" s="141" t="n"/>
      <c r="G300" s="143" t="n"/>
      <c r="H300" s="27" t="n"/>
    </row>
    <row r="301" ht="17.25" customHeight="1" s="322">
      <c r="A301" s="27" t="n"/>
      <c r="B301" s="506" t="n"/>
      <c r="C301" s="141" t="n"/>
      <c r="D301" s="141" t="n"/>
      <c r="E301" s="141" t="n"/>
      <c r="F301" s="141" t="n"/>
      <c r="G301" s="143" t="n"/>
      <c r="H301" s="27" t="n"/>
    </row>
    <row r="302" ht="17.25" customHeight="1" s="322">
      <c r="A302" s="27" t="n"/>
      <c r="B302" s="506" t="n"/>
      <c r="C302" s="141" t="n"/>
      <c r="D302" s="141" t="n"/>
      <c r="E302" s="141" t="n"/>
      <c r="F302" s="141" t="n"/>
      <c r="G302" s="143" t="n"/>
      <c r="H302" s="27" t="n"/>
    </row>
    <row r="303" ht="17.25" customHeight="1" s="322">
      <c r="A303" s="27" t="n"/>
      <c r="B303" s="506" t="n"/>
      <c r="C303" s="141" t="n"/>
      <c r="D303" s="141" t="n"/>
      <c r="E303" s="141" t="n"/>
      <c r="F303" s="141" t="n"/>
      <c r="G303" s="143" t="n"/>
      <c r="H303" s="27" t="n"/>
    </row>
    <row r="304" ht="17.25" customHeight="1" s="322">
      <c r="A304" s="27" t="n"/>
      <c r="B304" s="506" t="n"/>
      <c r="C304" s="141" t="n"/>
      <c r="D304" s="141" t="n"/>
      <c r="E304" s="141" t="n"/>
      <c r="F304" s="141" t="n"/>
      <c r="G304" s="143" t="n"/>
      <c r="H304" s="27" t="n"/>
    </row>
    <row r="305" ht="17.25" customHeight="1" s="322">
      <c r="A305" s="27" t="n"/>
      <c r="B305" s="506" t="n"/>
      <c r="C305" s="141" t="n"/>
      <c r="D305" s="141" t="n"/>
      <c r="E305" s="141" t="n"/>
      <c r="F305" s="141" t="n"/>
      <c r="G305" s="143" t="n"/>
      <c r="H305" s="27" t="n"/>
    </row>
    <row r="306" ht="17.25" customHeight="1" s="322">
      <c r="A306" s="27" t="n"/>
      <c r="B306" s="506" t="n"/>
      <c r="C306" s="141" t="n"/>
      <c r="D306" s="141" t="n"/>
      <c r="E306" s="141" t="n"/>
      <c r="F306" s="141" t="n"/>
      <c r="G306" s="143" t="n"/>
      <c r="H306" s="27" t="n"/>
    </row>
    <row r="307" ht="17.25" customHeight="1" s="322">
      <c r="A307" s="27" t="n"/>
      <c r="B307" s="506" t="n"/>
      <c r="C307" s="141" t="n"/>
      <c r="D307" s="141" t="n"/>
      <c r="E307" s="141" t="n"/>
      <c r="F307" s="141" t="n"/>
      <c r="G307" s="143" t="n"/>
      <c r="H307" s="27" t="n"/>
    </row>
    <row r="308" ht="17.25" customHeight="1" s="322">
      <c r="A308" s="27" t="n"/>
      <c r="B308" s="506" t="n"/>
      <c r="C308" s="141" t="n"/>
      <c r="D308" s="141" t="n"/>
      <c r="E308" s="141" t="n"/>
      <c r="F308" s="141" t="n"/>
      <c r="G308" s="143" t="n"/>
      <c r="H308" s="27" t="n"/>
    </row>
    <row r="309" ht="17.25" customHeight="1" s="322">
      <c r="A309" s="27" t="n"/>
      <c r="B309" s="506" t="n"/>
      <c r="C309" s="141" t="n"/>
      <c r="D309" s="141" t="n"/>
      <c r="E309" s="141" t="n"/>
      <c r="F309" s="141" t="n"/>
      <c r="G309" s="143" t="n"/>
      <c r="H309" s="27" t="n"/>
    </row>
    <row r="310" ht="17.25" customHeight="1" s="322">
      <c r="A310" s="27" t="n"/>
      <c r="B310" s="506" t="n"/>
      <c r="C310" s="141" t="n"/>
      <c r="D310" s="141" t="n"/>
      <c r="E310" s="141" t="n"/>
      <c r="F310" s="141" t="n"/>
      <c r="G310" s="143" t="n"/>
      <c r="H310" s="27" t="n"/>
    </row>
    <row r="311" ht="17.25" customHeight="1" s="322">
      <c r="A311" s="27" t="n"/>
      <c r="B311" s="506" t="n"/>
      <c r="C311" s="141" t="n"/>
      <c r="D311" s="141" t="n"/>
      <c r="E311" s="141" t="n"/>
      <c r="F311" s="141" t="n"/>
      <c r="G311" s="143" t="n"/>
      <c r="H311" s="27" t="n"/>
    </row>
    <row r="312" ht="17.25" customHeight="1" s="322">
      <c r="A312" s="27" t="n"/>
      <c r="B312" s="506" t="n"/>
      <c r="C312" s="141" t="n"/>
      <c r="D312" s="141" t="n"/>
      <c r="E312" s="141" t="n"/>
      <c r="F312" s="141" t="n"/>
      <c r="G312" s="143" t="n"/>
      <c r="H312" s="27" t="n"/>
    </row>
    <row r="313" ht="17.25" customHeight="1" s="322">
      <c r="A313" s="27" t="n"/>
      <c r="B313" s="506" t="n"/>
      <c r="C313" s="141" t="n"/>
      <c r="D313" s="141" t="n"/>
      <c r="E313" s="141" t="n"/>
      <c r="F313" s="141" t="n"/>
      <c r="G313" s="143" t="n"/>
      <c r="H313" s="27" t="n"/>
    </row>
    <row r="314" ht="17.25" customHeight="1" s="322">
      <c r="A314" s="27" t="n"/>
      <c r="B314" s="506" t="n"/>
      <c r="C314" s="141" t="n"/>
      <c r="D314" s="141" t="n"/>
      <c r="E314" s="141" t="n"/>
      <c r="F314" s="141" t="n"/>
      <c r="G314" s="143" t="n"/>
      <c r="H314" s="27" t="n"/>
    </row>
    <row r="315" ht="17.25" customHeight="1" s="322">
      <c r="A315" s="27" t="n"/>
      <c r="B315" s="506" t="n"/>
      <c r="C315" s="141" t="n"/>
      <c r="D315" s="141" t="n"/>
      <c r="E315" s="141" t="n"/>
      <c r="F315" s="141" t="n"/>
      <c r="G315" s="143" t="n"/>
      <c r="H315" s="27" t="n"/>
    </row>
    <row r="316" ht="17.25" customHeight="1" s="322">
      <c r="A316" s="27" t="n"/>
      <c r="B316" s="506" t="n"/>
      <c r="C316" s="141" t="n"/>
      <c r="D316" s="141" t="n"/>
      <c r="E316" s="141" t="n"/>
      <c r="F316" s="141" t="n"/>
      <c r="G316" s="143" t="n"/>
      <c r="H316" s="27" t="n"/>
    </row>
    <row r="317" ht="17.25" customHeight="1" s="322">
      <c r="A317" s="27" t="n"/>
      <c r="B317" s="506" t="n"/>
      <c r="C317" s="141" t="n"/>
      <c r="D317" s="141" t="n"/>
      <c r="E317" s="141" t="n"/>
      <c r="F317" s="141" t="n"/>
      <c r="G317" s="143" t="n"/>
      <c r="H317" s="27" t="n"/>
    </row>
    <row r="318" ht="17.25" customHeight="1" s="322">
      <c r="A318" s="27" t="n"/>
      <c r="B318" s="506" t="n"/>
      <c r="C318" s="141" t="n"/>
      <c r="D318" s="141" t="n"/>
      <c r="E318" s="141" t="n"/>
      <c r="F318" s="141" t="n"/>
      <c r="G318" s="143" t="n"/>
      <c r="H318" s="27" t="n"/>
    </row>
    <row r="319" ht="17.25" customHeight="1" s="322">
      <c r="A319" s="27" t="n"/>
      <c r="B319" s="506" t="n"/>
      <c r="C319" s="141" t="n"/>
      <c r="D319" s="141" t="n"/>
      <c r="E319" s="141" t="n"/>
      <c r="F319" s="141" t="n"/>
      <c r="G319" s="143" t="n"/>
      <c r="H319" s="27" t="n"/>
    </row>
    <row r="320" ht="17.25" customHeight="1" s="322">
      <c r="A320" s="27" t="n"/>
      <c r="B320" s="506" t="n"/>
      <c r="C320" s="141" t="n"/>
      <c r="D320" s="141" t="n"/>
      <c r="E320" s="141" t="n"/>
      <c r="F320" s="141" t="n"/>
      <c r="G320" s="143" t="n"/>
      <c r="H320" s="27" t="n"/>
    </row>
    <row r="321" ht="17.25" customHeight="1" s="322">
      <c r="A321" s="27" t="n"/>
      <c r="B321" s="506" t="n"/>
      <c r="C321" s="141" t="n"/>
      <c r="D321" s="141" t="n"/>
      <c r="E321" s="141" t="n"/>
      <c r="F321" s="141" t="n"/>
      <c r="G321" s="143" t="n"/>
      <c r="H321" s="27" t="n"/>
    </row>
    <row r="322" ht="17.25" customHeight="1" s="322">
      <c r="A322" s="27" t="n"/>
      <c r="B322" s="506" t="n"/>
      <c r="C322" s="141" t="n"/>
      <c r="D322" s="141" t="n"/>
      <c r="E322" s="141" t="n"/>
      <c r="F322" s="141" t="n"/>
      <c r="G322" s="143" t="n"/>
      <c r="H322" s="27" t="n"/>
    </row>
    <row r="323" ht="17.25" customHeight="1" s="322">
      <c r="A323" s="27" t="n"/>
      <c r="B323" s="506" t="n"/>
      <c r="C323" s="141" t="n"/>
      <c r="D323" s="141" t="n"/>
      <c r="E323" s="141" t="n"/>
      <c r="F323" s="141" t="n"/>
      <c r="G323" s="143" t="n"/>
      <c r="H323" s="27" t="n"/>
    </row>
    <row r="324" ht="17.25" customHeight="1" s="322">
      <c r="A324" s="27" t="n"/>
      <c r="B324" s="506" t="n"/>
      <c r="C324" s="141" t="n"/>
      <c r="D324" s="141" t="n"/>
      <c r="E324" s="141" t="n"/>
      <c r="F324" s="141" t="n"/>
      <c r="G324" s="143" t="n"/>
      <c r="H324" s="27" t="n"/>
    </row>
    <row r="325" ht="17.25" customHeight="1" s="322">
      <c r="A325" s="27" t="n"/>
      <c r="B325" s="506" t="n"/>
      <c r="C325" s="141" t="n"/>
      <c r="D325" s="141" t="n"/>
      <c r="E325" s="141" t="n"/>
      <c r="F325" s="141" t="n"/>
      <c r="G325" s="143" t="n"/>
      <c r="H325" s="27" t="n"/>
    </row>
    <row r="326" ht="17.25" customHeight="1" s="322">
      <c r="A326" s="27" t="n"/>
      <c r="B326" s="506" t="n"/>
      <c r="C326" s="141" t="n"/>
      <c r="D326" s="141" t="n"/>
      <c r="E326" s="141" t="n"/>
      <c r="F326" s="141" t="n"/>
      <c r="G326" s="143" t="n"/>
      <c r="H326" s="27" t="n"/>
    </row>
    <row r="327" ht="17.25" customHeight="1" s="322">
      <c r="A327" s="27" t="n"/>
      <c r="B327" s="506" t="n"/>
      <c r="C327" s="141" t="n"/>
      <c r="D327" s="141" t="n"/>
      <c r="E327" s="141" t="n"/>
      <c r="F327" s="141" t="n"/>
      <c r="G327" s="143" t="n"/>
      <c r="H327" s="27" t="n"/>
    </row>
    <row r="328" ht="17.25" customHeight="1" s="322">
      <c r="A328" s="27" t="n"/>
      <c r="B328" s="506" t="n"/>
      <c r="C328" s="141" t="n"/>
      <c r="D328" s="141" t="n"/>
      <c r="E328" s="141" t="n"/>
      <c r="F328" s="141" t="n"/>
      <c r="G328" s="143" t="n"/>
      <c r="H328" s="27" t="n"/>
    </row>
    <row r="329" ht="17.25" customHeight="1" s="322">
      <c r="A329" s="27" t="n"/>
      <c r="B329" s="506" t="n"/>
      <c r="C329" s="141" t="n"/>
      <c r="D329" s="141" t="n"/>
      <c r="E329" s="141" t="n"/>
      <c r="F329" s="141" t="n"/>
      <c r="G329" s="143" t="n"/>
      <c r="H329" s="27" t="n"/>
    </row>
    <row r="330" ht="17.25" customHeight="1" s="322">
      <c r="A330" s="27" t="n"/>
      <c r="B330" s="506" t="n"/>
      <c r="C330" s="141" t="n"/>
      <c r="D330" s="141" t="n"/>
      <c r="E330" s="141" t="n"/>
      <c r="F330" s="141" t="n"/>
      <c r="G330" s="143" t="n"/>
      <c r="H330" s="27" t="n"/>
    </row>
    <row r="331" ht="17.25" customHeight="1" s="322">
      <c r="A331" s="27" t="n"/>
      <c r="B331" s="506" t="n"/>
      <c r="C331" s="141" t="n"/>
      <c r="D331" s="141" t="n"/>
      <c r="E331" s="141" t="n"/>
      <c r="F331" s="141" t="n"/>
      <c r="G331" s="143" t="n"/>
      <c r="H331" s="27" t="n"/>
    </row>
    <row r="332" ht="17.25" customHeight="1" s="322">
      <c r="A332" s="27" t="n"/>
      <c r="B332" s="506" t="n"/>
      <c r="C332" s="141" t="n"/>
      <c r="D332" s="141" t="n"/>
      <c r="E332" s="141" t="n"/>
      <c r="F332" s="141" t="n"/>
      <c r="G332" s="143" t="n"/>
      <c r="H332" s="27" t="n"/>
    </row>
    <row r="333" ht="17.25" customHeight="1" s="322">
      <c r="A333" s="27" t="n"/>
      <c r="B333" s="506" t="n"/>
      <c r="C333" s="141" t="n"/>
      <c r="D333" s="141" t="n"/>
      <c r="E333" s="141" t="n"/>
      <c r="F333" s="141" t="n"/>
      <c r="G333" s="143" t="n"/>
      <c r="H333" s="27" t="n"/>
    </row>
    <row r="334" ht="17.25" customHeight="1" s="322">
      <c r="A334" s="27" t="n"/>
      <c r="B334" s="506" t="n"/>
      <c r="C334" s="141" t="n"/>
      <c r="D334" s="141" t="n"/>
      <c r="E334" s="141" t="n"/>
      <c r="F334" s="141" t="n"/>
      <c r="G334" s="143" t="n"/>
      <c r="H334" s="27" t="n"/>
    </row>
    <row r="335" ht="17.25" customHeight="1" s="322">
      <c r="A335" s="27" t="n"/>
      <c r="B335" s="506" t="n"/>
      <c r="C335" s="141" t="n"/>
      <c r="D335" s="141" t="n"/>
      <c r="E335" s="141" t="n"/>
      <c r="F335" s="141" t="n"/>
      <c r="G335" s="143" t="n"/>
      <c r="H335" s="27" t="n"/>
    </row>
    <row r="336" ht="17.25" customHeight="1" s="322">
      <c r="A336" s="27" t="n"/>
      <c r="B336" s="506" t="n"/>
      <c r="C336" s="141" t="n"/>
      <c r="D336" s="141" t="n"/>
      <c r="E336" s="141" t="n"/>
      <c r="F336" s="141" t="n"/>
      <c r="G336" s="143" t="n"/>
      <c r="H336" s="27" t="n"/>
    </row>
    <row r="337" ht="17.25" customHeight="1" s="322">
      <c r="A337" s="27" t="n"/>
      <c r="B337" s="506" t="n"/>
      <c r="C337" s="141" t="n"/>
      <c r="D337" s="141" t="n"/>
      <c r="E337" s="141" t="n"/>
      <c r="F337" s="141" t="n"/>
      <c r="G337" s="143" t="n"/>
      <c r="H337" s="27" t="n"/>
    </row>
    <row r="338" ht="17.25" customHeight="1" s="322">
      <c r="A338" s="27" t="n"/>
      <c r="B338" s="506" t="n"/>
      <c r="C338" s="141" t="n"/>
      <c r="D338" s="141" t="n"/>
      <c r="E338" s="141" t="n"/>
      <c r="F338" s="141" t="n"/>
      <c r="G338" s="143" t="n"/>
      <c r="H338" s="27" t="n"/>
    </row>
    <row r="339" ht="17.25" customHeight="1" s="322">
      <c r="A339" s="27" t="n"/>
      <c r="B339" s="506" t="n"/>
      <c r="C339" s="141" t="n"/>
      <c r="D339" s="141" t="n"/>
      <c r="E339" s="141" t="n"/>
      <c r="F339" s="141" t="n"/>
      <c r="G339" s="143" t="n"/>
      <c r="H339" s="27" t="n"/>
    </row>
    <row r="340" ht="17.25" customHeight="1" s="322">
      <c r="A340" s="27" t="n"/>
      <c r="B340" s="506" t="n"/>
      <c r="C340" s="141" t="n"/>
      <c r="D340" s="141" t="n"/>
      <c r="E340" s="141" t="n"/>
      <c r="F340" s="141" t="n"/>
      <c r="G340" s="143" t="n"/>
      <c r="H340" s="27" t="n"/>
    </row>
    <row r="341" ht="17.25" customHeight="1" s="322">
      <c r="A341" s="27" t="n"/>
      <c r="B341" s="506" t="n"/>
      <c r="C341" s="141" t="n"/>
      <c r="D341" s="141" t="n"/>
      <c r="E341" s="141" t="n"/>
      <c r="F341" s="141" t="n"/>
      <c r="G341" s="143" t="n"/>
      <c r="H341" s="27" t="n"/>
    </row>
    <row r="342" ht="17.25" customHeight="1" s="322">
      <c r="A342" s="27" t="n"/>
      <c r="B342" s="506" t="n"/>
      <c r="C342" s="141" t="n"/>
      <c r="D342" s="141" t="n"/>
      <c r="E342" s="141" t="n"/>
      <c r="F342" s="141" t="n"/>
      <c r="G342" s="143" t="n"/>
      <c r="H342" s="27" t="n"/>
    </row>
    <row r="343" ht="17.25" customHeight="1" s="322">
      <c r="A343" s="27" t="n"/>
      <c r="B343" s="506" t="n"/>
      <c r="C343" s="141" t="n"/>
      <c r="D343" s="141" t="n"/>
      <c r="E343" s="141" t="n"/>
      <c r="F343" s="141" t="n"/>
      <c r="G343" s="143" t="n"/>
      <c r="H343" s="27" t="n"/>
    </row>
    <row r="344" ht="17.25" customHeight="1" s="322">
      <c r="A344" s="27" t="n"/>
      <c r="B344" s="506" t="n"/>
      <c r="C344" s="141" t="n"/>
      <c r="D344" s="141" t="n"/>
      <c r="E344" s="141" t="n"/>
      <c r="F344" s="141" t="n"/>
      <c r="G344" s="143" t="n"/>
      <c r="H344" s="27" t="n"/>
    </row>
    <row r="345" ht="17.25" customHeight="1" s="322">
      <c r="A345" s="27" t="n"/>
      <c r="B345" s="506" t="n"/>
      <c r="C345" s="141" t="n"/>
      <c r="D345" s="141" t="n"/>
      <c r="E345" s="141" t="n"/>
      <c r="F345" s="141" t="n"/>
      <c r="G345" s="143" t="n"/>
      <c r="H345" s="27" t="n"/>
    </row>
    <row r="346" ht="17.25" customHeight="1" s="322">
      <c r="A346" s="27" t="n"/>
      <c r="B346" s="506" t="n"/>
      <c r="C346" s="141" t="n"/>
      <c r="D346" s="141" t="n"/>
      <c r="E346" s="141" t="n"/>
      <c r="F346" s="141" t="n"/>
      <c r="G346" s="143" t="n"/>
      <c r="H346" s="27" t="n"/>
    </row>
    <row r="347" ht="17.25" customHeight="1" s="322">
      <c r="A347" s="27" t="n"/>
      <c r="B347" s="506" t="n"/>
      <c r="C347" s="141" t="n"/>
      <c r="D347" s="141" t="n"/>
      <c r="E347" s="141" t="n"/>
      <c r="F347" s="141" t="n"/>
      <c r="G347" s="143" t="n"/>
      <c r="H347" s="27" t="n"/>
    </row>
    <row r="348" ht="17.25" customHeight="1" s="322">
      <c r="A348" s="27" t="n"/>
      <c r="B348" s="506" t="n"/>
      <c r="C348" s="141" t="n"/>
      <c r="D348" s="141" t="n"/>
      <c r="E348" s="141" t="n"/>
      <c r="F348" s="141" t="n"/>
      <c r="G348" s="143" t="n"/>
      <c r="H348" s="27" t="n"/>
    </row>
    <row r="349" ht="17.25" customHeight="1" s="322">
      <c r="A349" s="27" t="n"/>
      <c r="B349" s="506" t="n"/>
      <c r="C349" s="141" t="n"/>
      <c r="D349" s="141" t="n"/>
      <c r="E349" s="141" t="n"/>
      <c r="F349" s="141" t="n"/>
      <c r="G349" s="143" t="n"/>
      <c r="H349" s="27" t="n"/>
    </row>
    <row r="350" ht="17.25" customHeight="1" s="322">
      <c r="A350" s="27" t="n"/>
      <c r="B350" s="506" t="n"/>
      <c r="C350" s="141" t="n"/>
      <c r="D350" s="141" t="n"/>
      <c r="E350" s="141" t="n"/>
      <c r="F350" s="141" t="n"/>
      <c r="G350" s="143" t="n"/>
      <c r="H350" s="27" t="n"/>
    </row>
    <row r="351" ht="17.25" customHeight="1" s="322">
      <c r="A351" s="27" t="n"/>
      <c r="B351" s="506" t="n"/>
      <c r="C351" s="141" t="n"/>
      <c r="D351" s="141" t="n"/>
      <c r="E351" s="141" t="n"/>
      <c r="F351" s="141" t="n"/>
      <c r="G351" s="143" t="n"/>
      <c r="H351" s="27" t="n"/>
    </row>
    <row r="352" ht="17.25" customHeight="1" s="322">
      <c r="A352" s="27" t="n"/>
      <c r="B352" s="506" t="n"/>
      <c r="C352" s="141" t="n"/>
      <c r="D352" s="141" t="n"/>
      <c r="E352" s="141" t="n"/>
      <c r="F352" s="141" t="n"/>
      <c r="G352" s="143" t="n"/>
      <c r="H352" s="27" t="n"/>
    </row>
    <row r="353" ht="17.25" customHeight="1" s="322">
      <c r="A353" s="27" t="n"/>
      <c r="B353" s="506" t="n"/>
      <c r="C353" s="141" t="n"/>
      <c r="D353" s="141" t="n"/>
      <c r="E353" s="141" t="n"/>
      <c r="F353" s="141" t="n"/>
      <c r="G353" s="143" t="n"/>
      <c r="H353" s="27" t="n"/>
    </row>
    <row r="354" ht="17.25" customHeight="1" s="322">
      <c r="A354" s="27" t="n"/>
      <c r="B354" s="506" t="n"/>
      <c r="C354" s="141" t="n"/>
      <c r="D354" s="141" t="n"/>
      <c r="E354" s="141" t="n"/>
      <c r="F354" s="141" t="n"/>
      <c r="G354" s="143" t="n"/>
      <c r="H354" s="27" t="n"/>
    </row>
    <row r="355" ht="17.25" customHeight="1" s="322">
      <c r="A355" s="27" t="n"/>
      <c r="B355" s="506" t="n"/>
      <c r="C355" s="141" t="n"/>
      <c r="D355" s="141" t="n"/>
      <c r="E355" s="141" t="n"/>
      <c r="F355" s="141" t="n"/>
      <c r="G355" s="143" t="n"/>
      <c r="H355" s="27" t="n"/>
    </row>
    <row r="356" ht="17.25" customHeight="1" s="322">
      <c r="A356" s="27" t="n"/>
      <c r="B356" s="506" t="n"/>
      <c r="C356" s="141" t="n"/>
      <c r="D356" s="141" t="n"/>
      <c r="E356" s="141" t="n"/>
      <c r="F356" s="141" t="n"/>
      <c r="G356" s="143" t="n"/>
      <c r="H356" s="27" t="n"/>
    </row>
    <row r="357" ht="17.25" customHeight="1" s="322">
      <c r="A357" s="27" t="n"/>
      <c r="B357" s="506" t="n"/>
      <c r="C357" s="141" t="n"/>
      <c r="D357" s="141" t="n"/>
      <c r="E357" s="141" t="n"/>
      <c r="F357" s="141" t="n"/>
      <c r="G357" s="143" t="n"/>
      <c r="H357" s="27" t="n"/>
    </row>
    <row r="358" ht="17.25" customHeight="1" s="322">
      <c r="A358" s="27" t="n"/>
      <c r="B358" s="506" t="n"/>
      <c r="C358" s="141" t="n"/>
      <c r="D358" s="141" t="n"/>
      <c r="E358" s="141" t="n"/>
      <c r="F358" s="141" t="n"/>
      <c r="G358" s="143" t="n"/>
      <c r="H358" s="27" t="n"/>
    </row>
    <row r="359" ht="17.25" customHeight="1" s="322">
      <c r="A359" s="27" t="n"/>
      <c r="B359" s="506" t="n"/>
      <c r="C359" s="141" t="n"/>
      <c r="D359" s="141" t="n"/>
      <c r="E359" s="141" t="n"/>
      <c r="F359" s="141" t="n"/>
      <c r="G359" s="143" t="n"/>
      <c r="H359" s="27" t="n"/>
    </row>
    <row r="360" ht="17.25" customHeight="1" s="322">
      <c r="A360" s="27" t="n"/>
      <c r="B360" s="506" t="n"/>
      <c r="C360" s="141" t="n"/>
      <c r="D360" s="141" t="n"/>
      <c r="E360" s="141" t="n"/>
      <c r="F360" s="141" t="n"/>
      <c r="G360" s="143" t="n"/>
      <c r="H360" s="27" t="n"/>
    </row>
    <row r="361" ht="17.25" customHeight="1" s="322">
      <c r="A361" s="27" t="n"/>
      <c r="B361" s="506" t="n"/>
      <c r="C361" s="141" t="n"/>
      <c r="D361" s="141" t="n"/>
      <c r="E361" s="141" t="n"/>
      <c r="F361" s="141" t="n"/>
      <c r="G361" s="143" t="n"/>
      <c r="H361" s="27" t="n"/>
    </row>
    <row r="362" ht="17.25" customHeight="1" s="322">
      <c r="A362" s="27" t="n"/>
      <c r="B362" s="506" t="n"/>
      <c r="C362" s="141" t="n"/>
      <c r="D362" s="141" t="n"/>
      <c r="E362" s="141" t="n"/>
      <c r="F362" s="141" t="n"/>
      <c r="G362" s="143" t="n"/>
      <c r="H362" s="27" t="n"/>
    </row>
    <row r="363" ht="17.25" customHeight="1" s="322">
      <c r="A363" s="27" t="n"/>
      <c r="B363" s="506" t="n"/>
      <c r="C363" s="141" t="n"/>
      <c r="D363" s="141" t="n"/>
      <c r="E363" s="141" t="n"/>
      <c r="F363" s="141" t="n"/>
      <c r="G363" s="143" t="n"/>
      <c r="H363" s="27" t="n"/>
    </row>
    <row r="364" ht="17.25" customHeight="1" s="322">
      <c r="A364" s="27" t="n"/>
      <c r="B364" s="506" t="n"/>
      <c r="C364" s="141" t="n"/>
      <c r="D364" s="141" t="n"/>
      <c r="E364" s="141" t="n"/>
      <c r="F364" s="141" t="n"/>
      <c r="G364" s="143" t="n"/>
      <c r="H364" s="27" t="n"/>
    </row>
    <row r="365" ht="17.25" customHeight="1" s="322">
      <c r="A365" s="27" t="n"/>
      <c r="B365" s="506" t="n"/>
      <c r="C365" s="141" t="n"/>
      <c r="D365" s="141" t="n"/>
      <c r="E365" s="141" t="n"/>
      <c r="F365" s="141" t="n"/>
      <c r="G365" s="143" t="n"/>
      <c r="H365" s="27" t="n"/>
    </row>
    <row r="366" ht="17.25" customHeight="1" s="322">
      <c r="A366" s="27" t="n"/>
      <c r="B366" s="506" t="n"/>
      <c r="C366" s="141" t="n"/>
      <c r="D366" s="141" t="n"/>
      <c r="E366" s="141" t="n"/>
      <c r="F366" s="141" t="n"/>
      <c r="G366" s="143" t="n"/>
      <c r="H366" s="27" t="n"/>
    </row>
    <row r="367" ht="17.25" customHeight="1" s="322">
      <c r="A367" s="27" t="n"/>
      <c r="B367" s="506" t="n"/>
      <c r="C367" s="141" t="n"/>
      <c r="D367" s="141" t="n"/>
      <c r="E367" s="141" t="n"/>
      <c r="F367" s="141" t="n"/>
      <c r="G367" s="143" t="n"/>
      <c r="H367" s="27" t="n"/>
    </row>
    <row r="368" ht="17.25" customHeight="1" s="322">
      <c r="A368" s="27" t="n"/>
      <c r="B368" s="506" t="n"/>
      <c r="C368" s="141" t="n"/>
      <c r="D368" s="141" t="n"/>
      <c r="E368" s="141" t="n"/>
      <c r="F368" s="141" t="n"/>
      <c r="G368" s="143" t="n"/>
      <c r="H368" s="27" t="n"/>
    </row>
    <row r="369" ht="17.25" customHeight="1" s="322">
      <c r="A369" s="27" t="n"/>
      <c r="B369" s="506" t="n"/>
      <c r="C369" s="141" t="n"/>
      <c r="D369" s="141" t="n"/>
      <c r="E369" s="141" t="n"/>
      <c r="F369" s="141" t="n"/>
      <c r="G369" s="143" t="n"/>
      <c r="H369" s="27" t="n"/>
    </row>
    <row r="370" ht="17.25" customHeight="1" s="322">
      <c r="A370" s="27" t="n"/>
      <c r="B370" s="506" t="n"/>
      <c r="C370" s="141" t="n"/>
      <c r="D370" s="141" t="n"/>
      <c r="E370" s="141" t="n"/>
      <c r="F370" s="141" t="n"/>
      <c r="G370" s="143" t="n"/>
      <c r="H370" s="27" t="n"/>
    </row>
    <row r="371" ht="17.25" customHeight="1" s="322">
      <c r="A371" s="27" t="n"/>
      <c r="B371" s="506" t="n"/>
      <c r="C371" s="141" t="n"/>
      <c r="D371" s="141" t="n"/>
      <c r="E371" s="141" t="n"/>
      <c r="F371" s="141" t="n"/>
      <c r="G371" s="143" t="n"/>
      <c r="H371" s="27" t="n"/>
    </row>
    <row r="372" ht="17.25" customHeight="1" s="322">
      <c r="A372" s="27" t="n"/>
      <c r="B372" s="506" t="n"/>
      <c r="C372" s="141" t="n"/>
      <c r="D372" s="141" t="n"/>
      <c r="E372" s="141" t="n"/>
      <c r="F372" s="141" t="n"/>
      <c r="G372" s="143" t="n"/>
      <c r="H372" s="27" t="n"/>
    </row>
    <row r="373" ht="17.25" customHeight="1" s="322">
      <c r="A373" s="27" t="n"/>
      <c r="B373" s="506" t="n"/>
      <c r="C373" s="141" t="n"/>
      <c r="D373" s="141" t="n"/>
      <c r="E373" s="141" t="n"/>
      <c r="F373" s="141" t="n"/>
      <c r="G373" s="143" t="n"/>
      <c r="H373" s="27" t="n"/>
    </row>
    <row r="374" ht="17.25" customHeight="1" s="322">
      <c r="A374" s="27" t="n"/>
      <c r="B374" s="506" t="n"/>
      <c r="C374" s="141" t="n"/>
      <c r="D374" s="141" t="n"/>
      <c r="E374" s="141" t="n"/>
      <c r="F374" s="141" t="n"/>
      <c r="G374" s="143" t="n"/>
      <c r="H374" s="27" t="n"/>
    </row>
    <row r="375" ht="17.25" customHeight="1" s="322">
      <c r="A375" s="27" t="n"/>
      <c r="B375" s="506" t="n"/>
      <c r="C375" s="141" t="n"/>
      <c r="D375" s="141" t="n"/>
      <c r="E375" s="141" t="n"/>
      <c r="F375" s="141" t="n"/>
      <c r="G375" s="143" t="n"/>
      <c r="H375" s="27" t="n"/>
    </row>
    <row r="376" ht="17.25" customHeight="1" s="322">
      <c r="A376" s="27" t="n"/>
      <c r="B376" s="506" t="n"/>
      <c r="C376" s="141" t="n"/>
      <c r="D376" s="141" t="n"/>
      <c r="E376" s="141" t="n"/>
      <c r="F376" s="141" t="n"/>
      <c r="G376" s="143" t="n"/>
      <c r="H376" s="27" t="n"/>
    </row>
    <row r="377" ht="17.25" customHeight="1" s="322">
      <c r="A377" s="27" t="n"/>
      <c r="B377" s="506" t="n"/>
      <c r="C377" s="141" t="n"/>
      <c r="D377" s="141" t="n"/>
      <c r="E377" s="141" t="n"/>
      <c r="F377" s="141" t="n"/>
      <c r="G377" s="143" t="n"/>
      <c r="H377" s="27" t="n"/>
    </row>
    <row r="378" ht="17.25" customHeight="1" s="322">
      <c r="A378" s="27" t="n"/>
      <c r="B378" s="506" t="n"/>
      <c r="C378" s="141" t="n"/>
      <c r="D378" s="141" t="n"/>
      <c r="E378" s="141" t="n"/>
      <c r="F378" s="141" t="n"/>
      <c r="G378" s="143" t="n"/>
      <c r="H378" s="27" t="n"/>
    </row>
    <row r="379" ht="17.25" customHeight="1" s="322">
      <c r="A379" s="27" t="n"/>
      <c r="B379" s="506" t="n"/>
      <c r="C379" s="141" t="n"/>
      <c r="D379" s="141" t="n"/>
      <c r="E379" s="141" t="n"/>
      <c r="F379" s="141" t="n"/>
      <c r="G379" s="143" t="n"/>
      <c r="H379" s="27" t="n"/>
    </row>
    <row r="380" ht="17.25" customHeight="1" s="322">
      <c r="A380" s="27" t="n"/>
      <c r="B380" s="506" t="n"/>
      <c r="C380" s="141" t="n"/>
      <c r="D380" s="141" t="n"/>
      <c r="E380" s="141" t="n"/>
      <c r="F380" s="141" t="n"/>
      <c r="G380" s="143" t="n"/>
      <c r="H380" s="27" t="n"/>
    </row>
    <row r="381" ht="17.25" customHeight="1" s="322">
      <c r="A381" s="27" t="n"/>
      <c r="B381" s="506" t="n"/>
      <c r="C381" s="141" t="n"/>
      <c r="D381" s="141" t="n"/>
      <c r="E381" s="141" t="n"/>
      <c r="F381" s="141" t="n"/>
      <c r="G381" s="143" t="n"/>
      <c r="H381" s="27" t="n"/>
    </row>
    <row r="382" ht="17.25" customHeight="1" s="322">
      <c r="A382" s="27" t="n"/>
      <c r="B382" s="506" t="n"/>
      <c r="C382" s="141" t="n"/>
      <c r="D382" s="141" t="n"/>
      <c r="E382" s="141" t="n"/>
      <c r="F382" s="141" t="n"/>
      <c r="G382" s="143" t="n"/>
      <c r="H382" s="27" t="n"/>
    </row>
    <row r="383" ht="17.25" customHeight="1" s="322">
      <c r="A383" s="27" t="n"/>
      <c r="B383" s="506" t="n"/>
      <c r="C383" s="141" t="n"/>
      <c r="D383" s="141" t="n"/>
      <c r="E383" s="141" t="n"/>
      <c r="F383" s="141" t="n"/>
      <c r="G383" s="143" t="n"/>
      <c r="H383" s="27" t="n"/>
    </row>
    <row r="384" ht="17.25" customHeight="1" s="322">
      <c r="A384" s="27" t="n"/>
      <c r="B384" s="506" t="n"/>
      <c r="C384" s="141" t="n"/>
      <c r="D384" s="141" t="n"/>
      <c r="E384" s="141" t="n"/>
      <c r="F384" s="141" t="n"/>
      <c r="G384" s="143" t="n"/>
      <c r="H384" s="27" t="n"/>
    </row>
    <row r="385" ht="17.25" customHeight="1" s="322">
      <c r="A385" s="27" t="n"/>
      <c r="B385" s="506" t="n"/>
      <c r="C385" s="141" t="n"/>
      <c r="D385" s="141" t="n"/>
      <c r="E385" s="141" t="n"/>
      <c r="F385" s="141" t="n"/>
      <c r="G385" s="143" t="n"/>
      <c r="H385" s="27" t="n"/>
    </row>
    <row r="386" ht="17.25" customHeight="1" s="322">
      <c r="A386" s="27" t="n"/>
      <c r="B386" s="506" t="n"/>
      <c r="C386" s="141" t="n"/>
      <c r="D386" s="141" t="n"/>
      <c r="E386" s="141" t="n"/>
      <c r="F386" s="141" t="n"/>
      <c r="G386" s="143" t="n"/>
      <c r="H386" s="27" t="n"/>
    </row>
    <row r="387" ht="17.25" customHeight="1" s="322">
      <c r="A387" s="27" t="n"/>
      <c r="B387" s="506" t="n"/>
      <c r="C387" s="141" t="n"/>
      <c r="D387" s="141" t="n"/>
      <c r="E387" s="141" t="n"/>
      <c r="F387" s="141" t="n"/>
      <c r="G387" s="143" t="n"/>
      <c r="H387" s="27" t="n"/>
    </row>
    <row r="388" ht="17.25" customHeight="1" s="322">
      <c r="A388" s="27" t="n"/>
      <c r="B388" s="506" t="n"/>
      <c r="C388" s="141" t="n"/>
      <c r="D388" s="141" t="n"/>
      <c r="E388" s="141" t="n"/>
      <c r="F388" s="141" t="n"/>
      <c r="G388" s="143" t="n"/>
      <c r="H388" s="27" t="n"/>
    </row>
    <row r="389" ht="17.25" customHeight="1" s="322">
      <c r="A389" s="27" t="n"/>
      <c r="B389" s="506" t="n"/>
      <c r="C389" s="141" t="n"/>
      <c r="D389" s="141" t="n"/>
      <c r="E389" s="141" t="n"/>
      <c r="F389" s="141" t="n"/>
      <c r="G389" s="143" t="n"/>
      <c r="H389" s="27" t="n"/>
    </row>
    <row r="390" ht="17.25" customHeight="1" s="322">
      <c r="A390" s="27" t="n"/>
      <c r="B390" s="506" t="n"/>
      <c r="C390" s="141" t="n"/>
      <c r="D390" s="141" t="n"/>
      <c r="E390" s="141" t="n"/>
      <c r="F390" s="141" t="n"/>
      <c r="G390" s="143" t="n"/>
      <c r="H390" s="27" t="n"/>
    </row>
    <row r="391" ht="17.25" customHeight="1" s="322">
      <c r="A391" s="27" t="n"/>
      <c r="B391" s="506" t="n"/>
      <c r="C391" s="141" t="n"/>
      <c r="D391" s="141" t="n"/>
      <c r="E391" s="141" t="n"/>
      <c r="F391" s="141" t="n"/>
      <c r="G391" s="143" t="n"/>
      <c r="H391" s="27" t="n"/>
    </row>
    <row r="392" ht="17.25" customHeight="1" s="322">
      <c r="A392" s="27" t="n"/>
      <c r="B392" s="506" t="n"/>
      <c r="C392" s="141" t="n"/>
      <c r="D392" s="141" t="n"/>
      <c r="E392" s="141" t="n"/>
      <c r="F392" s="141" t="n"/>
      <c r="G392" s="143" t="n"/>
      <c r="H392" s="27" t="n"/>
    </row>
    <row r="393" ht="17.25" customHeight="1" s="322">
      <c r="A393" s="27" t="n"/>
      <c r="B393" s="506" t="n"/>
      <c r="C393" s="141" t="n"/>
      <c r="D393" s="141" t="n"/>
      <c r="E393" s="141" t="n"/>
      <c r="F393" s="141" t="n"/>
      <c r="G393" s="143" t="n"/>
      <c r="H393" s="27" t="n"/>
    </row>
    <row r="394" ht="17.25" customHeight="1" s="322">
      <c r="A394" s="27" t="n"/>
      <c r="B394" s="506" t="n"/>
      <c r="C394" s="141" t="n"/>
      <c r="D394" s="141" t="n"/>
      <c r="E394" s="141" t="n"/>
      <c r="F394" s="141" t="n"/>
      <c r="G394" s="143" t="n"/>
      <c r="H394" s="27" t="n"/>
    </row>
    <row r="395" ht="17.25" customHeight="1" s="322">
      <c r="A395" s="27" t="n"/>
      <c r="B395" s="506" t="n"/>
      <c r="C395" s="141" t="n"/>
      <c r="D395" s="141" t="n"/>
      <c r="E395" s="141" t="n"/>
      <c r="F395" s="141" t="n"/>
      <c r="G395" s="143" t="n"/>
      <c r="H395" s="27" t="n"/>
    </row>
    <row r="396" ht="17.25" customHeight="1" s="322">
      <c r="A396" s="27" t="n"/>
      <c r="B396" s="506" t="n"/>
      <c r="C396" s="141" t="n"/>
      <c r="D396" s="141" t="n"/>
      <c r="E396" s="141" t="n"/>
      <c r="F396" s="141" t="n"/>
      <c r="G396" s="143" t="n"/>
      <c r="H396" s="27" t="n"/>
    </row>
    <row r="397" ht="17.25" customHeight="1" s="322">
      <c r="A397" s="27" t="n"/>
      <c r="B397" s="506" t="n"/>
      <c r="C397" s="141" t="n"/>
      <c r="D397" s="141" t="n"/>
      <c r="E397" s="141" t="n"/>
      <c r="F397" s="141" t="n"/>
      <c r="G397" s="143" t="n"/>
      <c r="H397" s="27" t="n"/>
    </row>
    <row r="398" ht="17.25" customHeight="1" s="322">
      <c r="A398" s="27" t="n"/>
      <c r="B398" s="506" t="n"/>
      <c r="C398" s="141" t="n"/>
      <c r="D398" s="141" t="n"/>
      <c r="E398" s="141" t="n"/>
      <c r="F398" s="141" t="n"/>
      <c r="G398" s="143" t="n"/>
      <c r="H398" s="27" t="n"/>
    </row>
    <row r="399" ht="17.25" customHeight="1" s="322">
      <c r="A399" s="27" t="n"/>
      <c r="B399" s="506" t="n"/>
      <c r="C399" s="141" t="n"/>
      <c r="D399" s="141" t="n"/>
      <c r="E399" s="141" t="n"/>
      <c r="F399" s="141" t="n"/>
      <c r="G399" s="143" t="n"/>
      <c r="H399" s="27" t="n"/>
    </row>
    <row r="400" ht="17.25" customHeight="1" s="322">
      <c r="A400" s="27" t="n"/>
      <c r="B400" s="506" t="n"/>
      <c r="C400" s="141" t="n"/>
      <c r="D400" s="141" t="n"/>
      <c r="E400" s="141" t="n"/>
      <c r="F400" s="141" t="n"/>
      <c r="G400" s="143" t="n"/>
      <c r="H400" s="27" t="n"/>
    </row>
    <row r="401" ht="17.25" customHeight="1" s="322">
      <c r="A401" s="27" t="n"/>
      <c r="B401" s="506" t="n"/>
      <c r="C401" s="141" t="n"/>
      <c r="D401" s="141" t="n"/>
      <c r="E401" s="141" t="n"/>
      <c r="F401" s="141" t="n"/>
      <c r="G401" s="143" t="n"/>
      <c r="H401" s="27" t="n"/>
    </row>
    <row r="402" ht="17.25" customHeight="1" s="322">
      <c r="A402" s="27" t="n"/>
      <c r="B402" s="506" t="n"/>
      <c r="C402" s="141" t="n"/>
      <c r="D402" s="141" t="n"/>
      <c r="E402" s="141" t="n"/>
      <c r="F402" s="141" t="n"/>
      <c r="G402" s="143" t="n"/>
      <c r="H402" s="27" t="n"/>
    </row>
    <row r="403" ht="17.25" customHeight="1" s="322">
      <c r="A403" s="27" t="n"/>
      <c r="B403" s="506" t="n"/>
      <c r="C403" s="141" t="n"/>
      <c r="D403" s="141" t="n"/>
      <c r="E403" s="141" t="n"/>
      <c r="F403" s="141" t="n"/>
      <c r="G403" s="143" t="n"/>
      <c r="H403" s="27" t="n"/>
    </row>
    <row r="404" ht="17.25" customHeight="1" s="322">
      <c r="A404" s="27" t="n"/>
      <c r="B404" s="506" t="n"/>
      <c r="C404" s="141" t="n"/>
      <c r="D404" s="141" t="n"/>
      <c r="E404" s="141" t="n"/>
      <c r="F404" s="141" t="n"/>
      <c r="G404" s="143" t="n"/>
      <c r="H404" s="27" t="n"/>
    </row>
    <row r="405" ht="17.25" customHeight="1" s="322">
      <c r="A405" s="27" t="n"/>
      <c r="B405" s="506" t="n"/>
      <c r="C405" s="141" t="n"/>
      <c r="D405" s="141" t="n"/>
      <c r="E405" s="141" t="n"/>
      <c r="F405" s="141" t="n"/>
      <c r="G405" s="143" t="n"/>
      <c r="H405" s="27" t="n"/>
    </row>
    <row r="406" ht="17.25" customHeight="1" s="322">
      <c r="A406" s="27" t="n"/>
      <c r="B406" s="506" t="n"/>
      <c r="C406" s="141" t="n"/>
      <c r="D406" s="141" t="n"/>
      <c r="E406" s="141" t="n"/>
      <c r="F406" s="141" t="n"/>
      <c r="G406" s="143" t="n"/>
      <c r="H406" s="27" t="n"/>
    </row>
    <row r="407" ht="17.25" customHeight="1" s="322">
      <c r="A407" s="27" t="n"/>
      <c r="B407" s="506" t="n"/>
      <c r="C407" s="141" t="n"/>
      <c r="D407" s="141" t="n"/>
      <c r="E407" s="141" t="n"/>
      <c r="F407" s="141" t="n"/>
      <c r="G407" s="143" t="n"/>
      <c r="H407" s="27" t="n"/>
    </row>
    <row r="408" ht="17.25" customHeight="1" s="322">
      <c r="A408" s="27" t="n"/>
      <c r="B408" s="506" t="n"/>
      <c r="C408" s="141" t="n"/>
      <c r="D408" s="141" t="n"/>
      <c r="E408" s="141" t="n"/>
      <c r="F408" s="141" t="n"/>
      <c r="G408" s="143" t="n"/>
      <c r="H408" s="27" t="n"/>
    </row>
    <row r="409" ht="17.25" customHeight="1" s="322">
      <c r="A409" s="27" t="n"/>
      <c r="B409" s="506" t="n"/>
      <c r="C409" s="141" t="n"/>
      <c r="D409" s="141" t="n"/>
      <c r="E409" s="141" t="n"/>
      <c r="F409" s="141" t="n"/>
      <c r="G409" s="143" t="n"/>
      <c r="H409" s="27" t="n"/>
    </row>
    <row r="410" ht="17.25" customHeight="1" s="322">
      <c r="A410" s="27" t="n"/>
      <c r="B410" s="506" t="n"/>
      <c r="C410" s="141" t="n"/>
      <c r="D410" s="141" t="n"/>
      <c r="E410" s="141" t="n"/>
      <c r="F410" s="141" t="n"/>
      <c r="G410" s="143" t="n"/>
      <c r="H410" s="27" t="n"/>
    </row>
    <row r="411" ht="17.25" customHeight="1" s="322">
      <c r="A411" s="27" t="n"/>
      <c r="B411" s="506" t="n"/>
      <c r="C411" s="141" t="n"/>
      <c r="D411" s="141" t="n"/>
      <c r="E411" s="141" t="n"/>
      <c r="F411" s="141" t="n"/>
      <c r="G411" s="143" t="n"/>
      <c r="H411" s="27" t="n"/>
    </row>
    <row r="412" ht="17.25" customHeight="1" s="322">
      <c r="A412" s="27" t="n"/>
      <c r="B412" s="506" t="n"/>
      <c r="C412" s="141" t="n"/>
      <c r="D412" s="141" t="n"/>
      <c r="E412" s="141" t="n"/>
      <c r="F412" s="141" t="n"/>
      <c r="G412" s="143" t="n"/>
      <c r="H412" s="27" t="n"/>
    </row>
    <row r="413" ht="17.25" customHeight="1" s="322">
      <c r="A413" s="27" t="n"/>
      <c r="B413" s="506" t="n"/>
      <c r="C413" s="141" t="n"/>
      <c r="D413" s="141" t="n"/>
      <c r="E413" s="141" t="n"/>
      <c r="F413" s="141" t="n"/>
      <c r="G413" s="143" t="n"/>
      <c r="H413" s="27" t="n"/>
    </row>
    <row r="414" ht="17.25" customHeight="1" s="322">
      <c r="A414" s="27" t="n"/>
      <c r="B414" s="506" t="n"/>
      <c r="C414" s="141" t="n"/>
      <c r="D414" s="141" t="n"/>
      <c r="E414" s="141" t="n"/>
      <c r="F414" s="141" t="n"/>
      <c r="G414" s="143" t="n"/>
      <c r="H414" s="27" t="n"/>
    </row>
    <row r="415" ht="17.25" customHeight="1" s="322">
      <c r="A415" s="27" t="n"/>
      <c r="B415" s="506" t="n"/>
      <c r="C415" s="141" t="n"/>
      <c r="D415" s="141" t="n"/>
      <c r="E415" s="141" t="n"/>
      <c r="F415" s="141" t="n"/>
      <c r="G415" s="143" t="n"/>
      <c r="H415" s="27" t="n"/>
    </row>
    <row r="416" ht="17.25" customHeight="1" s="322">
      <c r="A416" s="27" t="n"/>
      <c r="B416" s="506" t="n"/>
      <c r="C416" s="141" t="n"/>
      <c r="D416" s="141" t="n"/>
      <c r="E416" s="141" t="n"/>
      <c r="F416" s="141" t="n"/>
      <c r="G416" s="143" t="n"/>
      <c r="H416" s="27" t="n"/>
    </row>
    <row r="417" ht="17.25" customHeight="1" s="322">
      <c r="A417" s="27" t="n"/>
      <c r="B417" s="506" t="n"/>
      <c r="C417" s="141" t="n"/>
      <c r="D417" s="141" t="n"/>
      <c r="E417" s="141" t="n"/>
      <c r="F417" s="141" t="n"/>
      <c r="G417" s="143" t="n"/>
      <c r="H417" s="27" t="n"/>
    </row>
    <row r="418" ht="17.25" customHeight="1" s="322">
      <c r="A418" s="27" t="n"/>
      <c r="B418" s="506" t="n"/>
      <c r="C418" s="141" t="n"/>
      <c r="D418" s="141" t="n"/>
      <c r="E418" s="141" t="n"/>
      <c r="F418" s="141" t="n"/>
      <c r="G418" s="143" t="n"/>
      <c r="H418" s="27" t="n"/>
    </row>
    <row r="419" ht="17.25" customHeight="1" s="322">
      <c r="A419" s="27" t="n"/>
      <c r="B419" s="506" t="n"/>
      <c r="C419" s="141" t="n"/>
      <c r="D419" s="141" t="n"/>
      <c r="E419" s="141" t="n"/>
      <c r="F419" s="141" t="n"/>
      <c r="G419" s="143" t="n"/>
      <c r="H419" s="27" t="n"/>
    </row>
    <row r="420" ht="17.25" customHeight="1" s="322">
      <c r="A420" s="27" t="n"/>
      <c r="B420" s="506" t="n"/>
      <c r="C420" s="141" t="n"/>
      <c r="D420" s="141" t="n"/>
      <c r="E420" s="141" t="n"/>
      <c r="F420" s="141" t="n"/>
      <c r="G420" s="143" t="n"/>
      <c r="H420" s="27" t="n"/>
    </row>
    <row r="421" ht="17.25" customHeight="1" s="322">
      <c r="A421" s="27" t="n"/>
      <c r="B421" s="506" t="n"/>
      <c r="C421" s="141" t="n"/>
      <c r="D421" s="141" t="n"/>
      <c r="E421" s="141" t="n"/>
      <c r="F421" s="141" t="n"/>
      <c r="G421" s="143" t="n"/>
      <c r="H421" s="27" t="n"/>
    </row>
    <row r="422" ht="17.25" customHeight="1" s="322">
      <c r="A422" s="27" t="n"/>
      <c r="B422" s="506" t="n"/>
      <c r="C422" s="141" t="n"/>
      <c r="D422" s="141" t="n"/>
      <c r="E422" s="141" t="n"/>
      <c r="F422" s="141" t="n"/>
      <c r="G422" s="143" t="n"/>
      <c r="H422" s="27" t="n"/>
    </row>
    <row r="423" ht="17.25" customHeight="1" s="322">
      <c r="A423" s="27" t="n"/>
      <c r="B423" s="506" t="n"/>
      <c r="C423" s="141" t="n"/>
      <c r="D423" s="141" t="n"/>
      <c r="E423" s="141" t="n"/>
      <c r="F423" s="141" t="n"/>
      <c r="G423" s="143" t="n"/>
      <c r="H423" s="27" t="n"/>
    </row>
    <row r="424" ht="17.25" customHeight="1" s="322">
      <c r="A424" s="27" t="n"/>
      <c r="B424" s="506" t="n"/>
      <c r="C424" s="141" t="n"/>
      <c r="D424" s="141" t="n"/>
      <c r="E424" s="141" t="n"/>
      <c r="F424" s="141" t="n"/>
      <c r="G424" s="143" t="n"/>
      <c r="H424" s="27" t="n"/>
    </row>
    <row r="425" ht="17.25" customHeight="1" s="322">
      <c r="A425" s="27" t="n"/>
      <c r="B425" s="506" t="n"/>
      <c r="C425" s="141" t="n"/>
      <c r="D425" s="141" t="n"/>
      <c r="E425" s="141" t="n"/>
      <c r="F425" s="141" t="n"/>
      <c r="G425" s="143" t="n"/>
      <c r="H425" s="27" t="n"/>
    </row>
    <row r="426" ht="17.25" customHeight="1" s="322">
      <c r="A426" s="27" t="n"/>
      <c r="B426" s="506" t="n"/>
      <c r="C426" s="141" t="n"/>
      <c r="D426" s="141" t="n"/>
      <c r="E426" s="141" t="n"/>
      <c r="F426" s="141" t="n"/>
      <c r="G426" s="143" t="n"/>
      <c r="H426" s="27" t="n"/>
    </row>
    <row r="427" ht="17.25" customHeight="1" s="322">
      <c r="A427" s="27" t="n"/>
      <c r="B427" s="506" t="n"/>
      <c r="C427" s="141" t="n"/>
      <c r="D427" s="141" t="n"/>
      <c r="E427" s="141" t="n"/>
      <c r="F427" s="141" t="n"/>
      <c r="G427" s="143" t="n"/>
      <c r="H427" s="27" t="n"/>
    </row>
    <row r="428" ht="17.25" customHeight="1" s="322">
      <c r="A428" s="27" t="n"/>
      <c r="B428" s="506" t="n"/>
      <c r="C428" s="141" t="n"/>
      <c r="D428" s="141" t="n"/>
      <c r="E428" s="141" t="n"/>
      <c r="F428" s="141" t="n"/>
      <c r="G428" s="143" t="n"/>
      <c r="H428" s="27" t="n"/>
    </row>
    <row r="429" ht="17.25" customHeight="1" s="322">
      <c r="A429" s="27" t="n"/>
      <c r="B429" s="506" t="n"/>
      <c r="C429" s="141" t="n"/>
      <c r="D429" s="141" t="n"/>
      <c r="E429" s="141" t="n"/>
      <c r="F429" s="141" t="n"/>
      <c r="G429" s="143" t="n"/>
      <c r="H429" s="27" t="n"/>
    </row>
    <row r="430" ht="17.25" customHeight="1" s="322">
      <c r="A430" s="27" t="n"/>
      <c r="B430" s="506" t="n"/>
      <c r="C430" s="141" t="n"/>
      <c r="D430" s="141" t="n"/>
      <c r="E430" s="141" t="n"/>
      <c r="F430" s="141" t="n"/>
      <c r="G430" s="143" t="n"/>
      <c r="H430" s="27" t="n"/>
    </row>
    <row r="431" ht="17.25" customHeight="1" s="322">
      <c r="A431" s="27" t="n"/>
      <c r="B431" s="506" t="n"/>
      <c r="C431" s="141" t="n"/>
      <c r="D431" s="141" t="n"/>
      <c r="E431" s="141" t="n"/>
      <c r="F431" s="141" t="n"/>
      <c r="G431" s="143" t="n"/>
      <c r="H431" s="27" t="n"/>
    </row>
    <row r="432" ht="17.25" customHeight="1" s="322">
      <c r="A432" s="27" t="n"/>
      <c r="B432" s="506" t="n"/>
      <c r="C432" s="141" t="n"/>
      <c r="D432" s="141" t="n"/>
      <c r="E432" s="141" t="n"/>
      <c r="F432" s="141" t="n"/>
      <c r="G432" s="143" t="n"/>
      <c r="H432" s="27" t="n"/>
    </row>
    <row r="433" ht="17.25" customHeight="1" s="322">
      <c r="A433" s="27" t="n"/>
      <c r="B433" s="506" t="n"/>
      <c r="C433" s="141" t="n"/>
      <c r="D433" s="141" t="n"/>
      <c r="E433" s="141" t="n"/>
      <c r="F433" s="141" t="n"/>
      <c r="G433" s="143" t="n"/>
      <c r="H433" s="27" t="n"/>
    </row>
    <row r="434" ht="17.25" customHeight="1" s="322">
      <c r="A434" s="27" t="n"/>
      <c r="B434" s="506" t="n"/>
      <c r="C434" s="141" t="n"/>
      <c r="D434" s="141" t="n"/>
      <c r="E434" s="141" t="n"/>
      <c r="F434" s="141" t="n"/>
      <c r="G434" s="143" t="n"/>
      <c r="H434" s="27" t="n"/>
    </row>
    <row r="435" ht="17.25" customHeight="1" s="322">
      <c r="A435" s="27" t="n"/>
      <c r="B435" s="506" t="n"/>
      <c r="C435" s="141" t="n"/>
      <c r="D435" s="141" t="n"/>
      <c r="E435" s="141" t="n"/>
      <c r="F435" s="141" t="n"/>
      <c r="G435" s="143" t="n"/>
      <c r="H435" s="27" t="n"/>
    </row>
    <row r="436" ht="17.25" customHeight="1" s="322">
      <c r="A436" s="27" t="n"/>
      <c r="B436" s="506" t="n"/>
      <c r="C436" s="141" t="n"/>
      <c r="D436" s="141" t="n"/>
      <c r="E436" s="141" t="n"/>
      <c r="F436" s="141" t="n"/>
      <c r="G436" s="143" t="n"/>
      <c r="H436" s="27" t="n"/>
    </row>
    <row r="437" ht="17.25" customHeight="1" s="322">
      <c r="A437" s="27" t="n"/>
      <c r="B437" s="506" t="n"/>
      <c r="C437" s="141" t="n"/>
      <c r="D437" s="141" t="n"/>
      <c r="E437" s="141" t="n"/>
      <c r="F437" s="141" t="n"/>
      <c r="G437" s="143" t="n"/>
      <c r="H437" s="27" t="n"/>
    </row>
    <row r="438" ht="17.25" customHeight="1" s="322">
      <c r="A438" s="27" t="n"/>
      <c r="B438" s="506" t="n"/>
      <c r="C438" s="141" t="n"/>
      <c r="D438" s="141" t="n"/>
      <c r="E438" s="141" t="n"/>
      <c r="F438" s="141" t="n"/>
      <c r="G438" s="143" t="n"/>
      <c r="H438" s="27" t="n"/>
    </row>
    <row r="439" ht="17.25" customHeight="1" s="322">
      <c r="A439" s="27" t="n"/>
      <c r="B439" s="506" t="n"/>
      <c r="C439" s="141" t="n"/>
      <c r="D439" s="141" t="n"/>
      <c r="E439" s="141" t="n"/>
      <c r="F439" s="141" t="n"/>
      <c r="G439" s="143" t="n"/>
      <c r="H439" s="27" t="n"/>
    </row>
    <row r="440" ht="17.25" customHeight="1" s="322">
      <c r="A440" s="27" t="n"/>
      <c r="B440" s="506" t="n"/>
      <c r="C440" s="141" t="n"/>
      <c r="D440" s="141" t="n"/>
      <c r="E440" s="141" t="n"/>
      <c r="F440" s="141" t="n"/>
      <c r="G440" s="143" t="n"/>
      <c r="H440" s="27" t="n"/>
    </row>
    <row r="441" ht="17.25" customHeight="1" s="322">
      <c r="A441" s="27" t="n"/>
      <c r="B441" s="506" t="n"/>
      <c r="C441" s="141" t="n"/>
      <c r="D441" s="141" t="n"/>
      <c r="E441" s="141" t="n"/>
      <c r="F441" s="141" t="n"/>
      <c r="G441" s="143" t="n"/>
      <c r="H441" s="27" t="n"/>
    </row>
    <row r="442" ht="17.25" customHeight="1" s="322">
      <c r="A442" s="27" t="n"/>
      <c r="B442" s="506" t="n"/>
      <c r="C442" s="141" t="n"/>
      <c r="D442" s="141" t="n"/>
      <c r="E442" s="141" t="n"/>
      <c r="F442" s="141" t="n"/>
      <c r="G442" s="143" t="n"/>
      <c r="H442" s="27" t="n"/>
    </row>
    <row r="443" ht="17.25" customHeight="1" s="322">
      <c r="A443" s="27" t="n"/>
      <c r="B443" s="506" t="n"/>
      <c r="C443" s="141" t="n"/>
      <c r="D443" s="141" t="n"/>
      <c r="E443" s="141" t="n"/>
      <c r="F443" s="141" t="n"/>
      <c r="G443" s="143" t="n"/>
      <c r="H443" s="27" t="n"/>
    </row>
    <row r="444" ht="17.25" customHeight="1" s="322">
      <c r="A444" s="27" t="n"/>
      <c r="B444" s="506" t="n"/>
      <c r="C444" s="141" t="n"/>
      <c r="D444" s="141" t="n"/>
      <c r="E444" s="141" t="n"/>
      <c r="F444" s="141" t="n"/>
      <c r="G444" s="143" t="n"/>
      <c r="H444" s="27" t="n"/>
    </row>
    <row r="445" ht="17.25" customHeight="1" s="322">
      <c r="A445" s="27" t="n"/>
      <c r="B445" s="506" t="n"/>
      <c r="C445" s="141" t="n"/>
      <c r="D445" s="141" t="n"/>
      <c r="E445" s="141" t="n"/>
      <c r="F445" s="141" t="n"/>
      <c r="G445" s="143" t="n"/>
      <c r="H445" s="27" t="n"/>
    </row>
    <row r="446" ht="17.25" customHeight="1" s="322">
      <c r="A446" s="27" t="n"/>
      <c r="B446" s="506" t="n"/>
      <c r="C446" s="141" t="n"/>
      <c r="D446" s="141" t="n"/>
      <c r="E446" s="141" t="n"/>
      <c r="F446" s="141" t="n"/>
      <c r="G446" s="143" t="n"/>
      <c r="H446" s="27" t="n"/>
    </row>
    <row r="447" ht="17.25" customHeight="1" s="322">
      <c r="A447" s="27" t="n"/>
      <c r="B447" s="506" t="n"/>
      <c r="C447" s="141" t="n"/>
      <c r="D447" s="141" t="n"/>
      <c r="E447" s="141" t="n"/>
      <c r="F447" s="141" t="n"/>
      <c r="G447" s="143" t="n"/>
      <c r="H447" s="27" t="n"/>
    </row>
    <row r="448" ht="17.25" customHeight="1" s="322">
      <c r="A448" s="27" t="n"/>
      <c r="B448" s="506" t="n"/>
      <c r="C448" s="141" t="n"/>
      <c r="D448" s="141" t="n"/>
      <c r="E448" s="141" t="n"/>
      <c r="F448" s="141" t="n"/>
      <c r="G448" s="143" t="n"/>
      <c r="H448" s="27" t="n"/>
    </row>
    <row r="449" ht="17.25" customHeight="1" s="322">
      <c r="A449" s="27" t="n"/>
      <c r="B449" s="506" t="n"/>
      <c r="C449" s="141" t="n"/>
      <c r="D449" s="141" t="n"/>
      <c r="E449" s="141" t="n"/>
      <c r="F449" s="141" t="n"/>
      <c r="G449" s="143" t="n"/>
      <c r="H449" s="27" t="n"/>
    </row>
    <row r="450" ht="17.25" customHeight="1" s="322">
      <c r="A450" s="27" t="n"/>
      <c r="B450" s="506" t="n"/>
      <c r="C450" s="141" t="n"/>
      <c r="D450" s="141" t="n"/>
      <c r="E450" s="141" t="n"/>
      <c r="F450" s="141" t="n"/>
      <c r="G450" s="143" t="n"/>
      <c r="H450" s="27" t="n"/>
    </row>
    <row r="451" ht="17.25" customHeight="1" s="322">
      <c r="A451" s="27" t="n"/>
      <c r="B451" s="506" t="n"/>
      <c r="C451" s="141" t="n"/>
      <c r="D451" s="141" t="n"/>
      <c r="E451" s="141" t="n"/>
      <c r="F451" s="141" t="n"/>
      <c r="G451" s="143" t="n"/>
      <c r="H451" s="27" t="n"/>
    </row>
    <row r="452" ht="17.25" customHeight="1" s="322">
      <c r="A452" s="27" t="n"/>
      <c r="B452" s="506" t="n"/>
      <c r="C452" s="141" t="n"/>
      <c r="D452" s="141" t="n"/>
      <c r="E452" s="141" t="n"/>
      <c r="F452" s="141" t="n"/>
      <c r="G452" s="143" t="n"/>
      <c r="H452" s="27" t="n"/>
    </row>
    <row r="453" ht="17.25" customHeight="1" s="322">
      <c r="A453" s="27" t="n"/>
      <c r="B453" s="506" t="n"/>
      <c r="C453" s="141" t="n"/>
      <c r="D453" s="141" t="n"/>
      <c r="E453" s="141" t="n"/>
      <c r="F453" s="141" t="n"/>
      <c r="G453" s="143" t="n"/>
      <c r="H453" s="27" t="n"/>
    </row>
    <row r="454" ht="17.25" customHeight="1" s="322">
      <c r="A454" s="27" t="n"/>
      <c r="B454" s="506" t="n"/>
      <c r="C454" s="141" t="n"/>
      <c r="D454" s="141" t="n"/>
      <c r="E454" s="141" t="n"/>
      <c r="F454" s="141" t="n"/>
      <c r="G454" s="143" t="n"/>
      <c r="H454" s="27" t="n"/>
    </row>
    <row r="455" ht="17.25" customHeight="1" s="322">
      <c r="A455" s="27" t="n"/>
      <c r="B455" s="506" t="n"/>
      <c r="C455" s="141" t="n"/>
      <c r="D455" s="141" t="n"/>
      <c r="E455" s="141" t="n"/>
      <c r="F455" s="141" t="n"/>
      <c r="G455" s="143" t="n"/>
      <c r="H455" s="27" t="n"/>
    </row>
    <row r="456" ht="17.25" customHeight="1" s="322">
      <c r="A456" s="27" t="n"/>
      <c r="B456" s="506" t="n"/>
      <c r="C456" s="141" t="n"/>
      <c r="D456" s="141" t="n"/>
      <c r="E456" s="141" t="n"/>
      <c r="F456" s="141" t="n"/>
      <c r="G456" s="143" t="n"/>
      <c r="H456" s="27" t="n"/>
    </row>
    <row r="457" ht="17.25" customHeight="1" s="322">
      <c r="A457" s="27" t="n"/>
      <c r="B457" s="506" t="n"/>
      <c r="C457" s="141" t="n"/>
      <c r="D457" s="141" t="n"/>
      <c r="E457" s="141" t="n"/>
      <c r="F457" s="141" t="n"/>
      <c r="G457" s="143" t="n"/>
      <c r="H457" s="27" t="n"/>
    </row>
    <row r="458" ht="17.25" customHeight="1" s="322">
      <c r="A458" s="27" t="n"/>
      <c r="B458" s="506" t="n"/>
      <c r="C458" s="141" t="n"/>
      <c r="D458" s="141" t="n"/>
      <c r="E458" s="141" t="n"/>
      <c r="F458" s="141" t="n"/>
      <c r="G458" s="143" t="n"/>
      <c r="H458" s="27" t="n"/>
    </row>
    <row r="459" ht="17.25" customHeight="1" s="322">
      <c r="A459" s="27" t="n"/>
      <c r="B459" s="506" t="n"/>
      <c r="C459" s="141" t="n"/>
      <c r="D459" s="141" t="n"/>
      <c r="E459" s="141" t="n"/>
      <c r="F459" s="141" t="n"/>
      <c r="G459" s="143" t="n"/>
      <c r="H459" s="27" t="n"/>
    </row>
    <row r="460" ht="17.25" customHeight="1" s="322">
      <c r="A460" s="27" t="n"/>
      <c r="B460" s="506" t="n"/>
      <c r="C460" s="141" t="n"/>
      <c r="D460" s="141" t="n"/>
      <c r="E460" s="141" t="n"/>
      <c r="F460" s="141" t="n"/>
      <c r="G460" s="143" t="n"/>
      <c r="H460" s="27" t="n"/>
    </row>
    <row r="461" ht="17.25" customHeight="1" s="322">
      <c r="A461" s="27" t="n"/>
      <c r="B461" s="506" t="n"/>
      <c r="C461" s="141" t="n"/>
      <c r="D461" s="141" t="n"/>
      <c r="E461" s="141" t="n"/>
      <c r="F461" s="141" t="n"/>
      <c r="G461" s="143" t="n"/>
      <c r="H461" s="27" t="n"/>
    </row>
    <row r="462" ht="17.25" customHeight="1" s="322">
      <c r="A462" s="27" t="n"/>
      <c r="B462" s="506" t="n"/>
      <c r="C462" s="141" t="n"/>
      <c r="D462" s="141" t="n"/>
      <c r="E462" s="141" t="n"/>
      <c r="F462" s="141" t="n"/>
      <c r="G462" s="143" t="n"/>
      <c r="H462" s="27" t="n"/>
    </row>
    <row r="463" ht="17.25" customHeight="1" s="322">
      <c r="A463" s="27" t="n"/>
      <c r="B463" s="506" t="n"/>
      <c r="C463" s="141" t="n"/>
      <c r="D463" s="141" t="n"/>
      <c r="E463" s="141" t="n"/>
      <c r="F463" s="141" t="n"/>
      <c r="G463" s="143" t="n"/>
      <c r="H463" s="27" t="n"/>
    </row>
    <row r="464" ht="17.25" customHeight="1" s="322">
      <c r="A464" s="27" t="n"/>
      <c r="B464" s="506" t="n"/>
      <c r="C464" s="141" t="n"/>
      <c r="D464" s="141" t="n"/>
      <c r="E464" s="141" t="n"/>
      <c r="F464" s="141" t="n"/>
      <c r="G464" s="143" t="n"/>
      <c r="H464" s="27" t="n"/>
    </row>
    <row r="465" ht="17.25" customHeight="1" s="322">
      <c r="A465" s="27" t="n"/>
      <c r="B465" s="506" t="n"/>
      <c r="C465" s="141" t="n"/>
      <c r="D465" s="141" t="n"/>
      <c r="E465" s="141" t="n"/>
      <c r="F465" s="141" t="n"/>
      <c r="G465" s="143" t="n"/>
      <c r="H465" s="27" t="n"/>
    </row>
    <row r="466" ht="17.25" customHeight="1" s="322">
      <c r="A466" s="27" t="n"/>
      <c r="B466" s="506" t="n"/>
      <c r="C466" s="141" t="n"/>
      <c r="D466" s="141" t="n"/>
      <c r="E466" s="141" t="n"/>
      <c r="F466" s="141" t="n"/>
      <c r="G466" s="143" t="n"/>
      <c r="H466" s="27" t="n"/>
    </row>
    <row r="467" ht="17.25" customHeight="1" s="322">
      <c r="A467" s="27" t="n"/>
      <c r="B467" s="506" t="n"/>
      <c r="C467" s="141" t="n"/>
      <c r="D467" s="141" t="n"/>
      <c r="E467" s="141" t="n"/>
      <c r="F467" s="141" t="n"/>
      <c r="G467" s="143" t="n"/>
      <c r="H467" s="27" t="n"/>
    </row>
    <row r="468" ht="17.25" customHeight="1" s="322">
      <c r="A468" s="27" t="n"/>
      <c r="B468" s="506" t="n"/>
      <c r="C468" s="141" t="n"/>
      <c r="D468" s="141" t="n"/>
      <c r="E468" s="141" t="n"/>
      <c r="F468" s="141" t="n"/>
      <c r="G468" s="143" t="n"/>
      <c r="H468" s="27" t="n"/>
    </row>
    <row r="469" ht="17.25" customHeight="1" s="322">
      <c r="A469" s="27" t="n"/>
      <c r="B469" s="506" t="n"/>
      <c r="C469" s="141" t="n"/>
      <c r="D469" s="141" t="n"/>
      <c r="E469" s="141" t="n"/>
      <c r="F469" s="141" t="n"/>
      <c r="G469" s="143" t="n"/>
      <c r="H469" s="27" t="n"/>
    </row>
    <row r="470" ht="17.25" customHeight="1" s="322">
      <c r="A470" s="27" t="n"/>
      <c r="B470" s="506" t="n"/>
      <c r="C470" s="141" t="n"/>
      <c r="D470" s="141" t="n"/>
      <c r="E470" s="141" t="n"/>
      <c r="F470" s="141" t="n"/>
      <c r="G470" s="143" t="n"/>
      <c r="H470" s="27" t="n"/>
    </row>
    <row r="471" ht="17.25" customHeight="1" s="322">
      <c r="A471" s="27" t="n"/>
      <c r="B471" s="506" t="n"/>
      <c r="C471" s="141" t="n"/>
      <c r="D471" s="141" t="n"/>
      <c r="E471" s="141" t="n"/>
      <c r="F471" s="141" t="n"/>
      <c r="G471" s="143" t="n"/>
      <c r="H471" s="27" t="n"/>
    </row>
    <row r="472" ht="17.25" customHeight="1" s="322">
      <c r="A472" s="27" t="n"/>
      <c r="B472" s="506" t="n"/>
      <c r="C472" s="141" t="n"/>
      <c r="D472" s="141" t="n"/>
      <c r="E472" s="141" t="n"/>
      <c r="F472" s="141" t="n"/>
      <c r="G472" s="143" t="n"/>
      <c r="H472" s="27" t="n"/>
    </row>
    <row r="473" ht="17.25" customHeight="1" s="322">
      <c r="A473" s="27" t="n"/>
      <c r="B473" s="506" t="n"/>
      <c r="C473" s="141" t="n"/>
      <c r="D473" s="141" t="n"/>
      <c r="E473" s="141" t="n"/>
      <c r="F473" s="141" t="n"/>
      <c r="G473" s="143" t="n"/>
      <c r="H473" s="27" t="n"/>
    </row>
    <row r="474" ht="17.25" customHeight="1" s="322">
      <c r="A474" s="27" t="n"/>
      <c r="B474" s="506" t="n"/>
      <c r="C474" s="141" t="n"/>
      <c r="D474" s="141" t="n"/>
      <c r="E474" s="141" t="n"/>
      <c r="F474" s="141" t="n"/>
      <c r="G474" s="143" t="n"/>
      <c r="H474" s="27" t="n"/>
    </row>
    <row r="475" ht="17.25" customHeight="1" s="322">
      <c r="A475" s="27" t="n"/>
      <c r="B475" s="506" t="n"/>
      <c r="C475" s="141" t="n"/>
      <c r="D475" s="141" t="n"/>
      <c r="E475" s="141" t="n"/>
      <c r="F475" s="141" t="n"/>
      <c r="G475" s="143" t="n"/>
      <c r="H475" s="27" t="n"/>
    </row>
    <row r="476" ht="17.25" customHeight="1" s="322">
      <c r="A476" s="27" t="n"/>
      <c r="B476" s="506" t="n"/>
      <c r="C476" s="141" t="n"/>
      <c r="D476" s="141" t="n"/>
      <c r="E476" s="141" t="n"/>
      <c r="F476" s="141" t="n"/>
      <c r="G476" s="143" t="n"/>
      <c r="H476" s="27" t="n"/>
    </row>
    <row r="477" ht="17.25" customHeight="1" s="322">
      <c r="A477" s="27" t="n"/>
      <c r="B477" s="506" t="n"/>
      <c r="C477" s="141" t="n"/>
      <c r="D477" s="141" t="n"/>
      <c r="E477" s="141" t="n"/>
      <c r="F477" s="141" t="n"/>
      <c r="G477" s="143" t="n"/>
      <c r="H477" s="27" t="n"/>
    </row>
    <row r="478" ht="17.25" customHeight="1" s="322">
      <c r="A478" s="27" t="n"/>
      <c r="B478" s="506" t="n"/>
      <c r="C478" s="141" t="n"/>
      <c r="D478" s="141" t="n"/>
      <c r="E478" s="141" t="n"/>
      <c r="F478" s="141" t="n"/>
      <c r="G478" s="143" t="n"/>
      <c r="H478" s="27" t="n"/>
    </row>
    <row r="479" ht="17.25" customHeight="1" s="322">
      <c r="A479" s="27" t="n"/>
      <c r="B479" s="506" t="n"/>
      <c r="C479" s="141" t="n"/>
      <c r="D479" s="141" t="n"/>
      <c r="E479" s="141" t="n"/>
      <c r="F479" s="141" t="n"/>
      <c r="G479" s="143" t="n"/>
      <c r="H479" s="27" t="n"/>
    </row>
    <row r="480" ht="17.25" customHeight="1" s="322">
      <c r="A480" s="27" t="n"/>
      <c r="B480" s="506" t="n"/>
      <c r="C480" s="141" t="n"/>
      <c r="D480" s="141" t="n"/>
      <c r="E480" s="141" t="n"/>
      <c r="F480" s="141" t="n"/>
      <c r="G480" s="143" t="n"/>
      <c r="H480" s="27" t="n"/>
    </row>
    <row r="481" ht="17.25" customHeight="1" s="322">
      <c r="A481" s="27" t="n"/>
      <c r="B481" s="506" t="n"/>
      <c r="C481" s="141" t="n"/>
      <c r="D481" s="141" t="n"/>
      <c r="E481" s="141" t="n"/>
      <c r="F481" s="141" t="n"/>
      <c r="G481" s="143" t="n"/>
      <c r="H481" s="27" t="n"/>
    </row>
    <row r="482" ht="17.25" customHeight="1" s="322">
      <c r="A482" s="27" t="n"/>
      <c r="B482" s="506" t="n"/>
      <c r="C482" s="141" t="n"/>
      <c r="D482" s="141" t="n"/>
      <c r="E482" s="141" t="n"/>
      <c r="F482" s="141" t="n"/>
      <c r="G482" s="143" t="n"/>
      <c r="H482" s="27" t="n"/>
    </row>
    <row r="483" ht="17.25" customHeight="1" s="322">
      <c r="A483" s="27" t="n"/>
      <c r="B483" s="506" t="n"/>
      <c r="C483" s="141" t="n"/>
      <c r="D483" s="141" t="n"/>
      <c r="E483" s="141" t="n"/>
      <c r="F483" s="141" t="n"/>
      <c r="G483" s="143" t="n"/>
      <c r="H483" s="27" t="n"/>
    </row>
    <row r="484" ht="17.25" customHeight="1" s="322">
      <c r="A484" s="27" t="n"/>
      <c r="B484" s="506" t="n"/>
      <c r="C484" s="141" t="n"/>
      <c r="D484" s="141" t="n"/>
      <c r="E484" s="141" t="n"/>
      <c r="F484" s="141" t="n"/>
      <c r="G484" s="143" t="n"/>
      <c r="H484" s="27" t="n"/>
    </row>
    <row r="485" ht="17.25" customHeight="1" s="322">
      <c r="A485" s="27" t="n"/>
      <c r="B485" s="506" t="n"/>
      <c r="C485" s="141" t="n"/>
      <c r="D485" s="141" t="n"/>
      <c r="E485" s="141" t="n"/>
      <c r="F485" s="141" t="n"/>
      <c r="G485" s="143" t="n"/>
      <c r="H485" s="27" t="n"/>
    </row>
    <row r="486" ht="17.25" customHeight="1" s="322">
      <c r="A486" s="27" t="n"/>
      <c r="B486" s="506" t="n"/>
      <c r="C486" s="141" t="n"/>
      <c r="D486" s="141" t="n"/>
      <c r="E486" s="141" t="n"/>
      <c r="F486" s="141" t="n"/>
      <c r="G486" s="143" t="n"/>
      <c r="H486" s="27" t="n"/>
    </row>
    <row r="487" ht="17.25" customHeight="1" s="322">
      <c r="A487" s="27" t="n"/>
      <c r="B487" s="506" t="n"/>
      <c r="C487" s="141" t="n"/>
      <c r="D487" s="141" t="n"/>
      <c r="E487" s="141" t="n"/>
      <c r="F487" s="141" t="n"/>
      <c r="G487" s="143" t="n"/>
      <c r="H487" s="27" t="n"/>
    </row>
    <row r="488" ht="17.25" customHeight="1" s="322">
      <c r="A488" s="27" t="n"/>
      <c r="B488" s="506" t="n"/>
      <c r="C488" s="141" t="n"/>
      <c r="D488" s="141" t="n"/>
      <c r="E488" s="141" t="n"/>
      <c r="F488" s="141" t="n"/>
      <c r="G488" s="143" t="n"/>
      <c r="H488" s="27" t="n"/>
    </row>
    <row r="489" ht="17.25" customHeight="1" s="322">
      <c r="A489" s="27" t="n"/>
      <c r="B489" s="506" t="n"/>
      <c r="C489" s="141" t="n"/>
      <c r="D489" s="141" t="n"/>
      <c r="E489" s="141" t="n"/>
      <c r="F489" s="141" t="n"/>
      <c r="G489" s="143" t="n"/>
      <c r="H489" s="27" t="n"/>
    </row>
    <row r="490" ht="17.25" customHeight="1" s="322">
      <c r="A490" s="27" t="n"/>
      <c r="B490" s="506" t="n"/>
      <c r="C490" s="141" t="n"/>
      <c r="D490" s="141" t="n"/>
      <c r="E490" s="141" t="n"/>
      <c r="F490" s="141" t="n"/>
      <c r="G490" s="143" t="n"/>
      <c r="H490" s="27" t="n"/>
    </row>
    <row r="491" ht="17.25" customHeight="1" s="322">
      <c r="A491" s="27" t="n"/>
      <c r="B491" s="506" t="n"/>
      <c r="C491" s="141" t="n"/>
      <c r="D491" s="141" t="n"/>
      <c r="E491" s="141" t="n"/>
      <c r="F491" s="141" t="n"/>
      <c r="G491" s="143" t="n"/>
      <c r="H491" s="27" t="n"/>
    </row>
    <row r="492" ht="17.25" customHeight="1" s="322">
      <c r="A492" s="27" t="n"/>
      <c r="B492" s="506" t="n"/>
      <c r="C492" s="141" t="n"/>
      <c r="D492" s="141" t="n"/>
      <c r="E492" s="141" t="n"/>
      <c r="F492" s="141" t="n"/>
      <c r="G492" s="143" t="n"/>
      <c r="H492" s="27" t="n"/>
    </row>
    <row r="493" ht="17.25" customHeight="1" s="322">
      <c r="A493" s="27" t="n"/>
      <c r="B493" s="506" t="n"/>
      <c r="C493" s="141" t="n"/>
      <c r="D493" s="141" t="n"/>
      <c r="E493" s="141" t="n"/>
      <c r="F493" s="141" t="n"/>
      <c r="G493" s="143" t="n"/>
      <c r="H493" s="27" t="n"/>
    </row>
    <row r="494" ht="17.25" customHeight="1" s="322">
      <c r="A494" s="27" t="n"/>
      <c r="B494" s="506" t="n"/>
      <c r="C494" s="141" t="n"/>
      <c r="D494" s="141" t="n"/>
      <c r="E494" s="141" t="n"/>
      <c r="F494" s="141" t="n"/>
      <c r="G494" s="143" t="n"/>
      <c r="H494" s="27" t="n"/>
    </row>
    <row r="495" ht="17.25" customHeight="1" s="322">
      <c r="A495" s="27" t="n"/>
      <c r="B495" s="506" t="n"/>
      <c r="C495" s="141" t="n"/>
      <c r="D495" s="141" t="n"/>
      <c r="E495" s="141" t="n"/>
      <c r="F495" s="141" t="n"/>
      <c r="G495" s="143" t="n"/>
      <c r="H495" s="27" t="n"/>
    </row>
    <row r="496" ht="17.25" customHeight="1" s="322">
      <c r="A496" s="27" t="n"/>
      <c r="B496" s="506" t="n"/>
      <c r="C496" s="141" t="n"/>
      <c r="D496" s="141" t="n"/>
      <c r="E496" s="141" t="n"/>
      <c r="F496" s="141" t="n"/>
      <c r="G496" s="143" t="n"/>
      <c r="H496" s="27" t="n"/>
    </row>
    <row r="497" ht="17.25" customHeight="1" s="322">
      <c r="A497" s="27" t="n"/>
      <c r="B497" s="506" t="n"/>
      <c r="C497" s="141" t="n"/>
      <c r="D497" s="141" t="n"/>
      <c r="E497" s="141" t="n"/>
      <c r="F497" s="141" t="n"/>
      <c r="G497" s="143" t="n"/>
      <c r="H497" s="27" t="n"/>
    </row>
    <row r="498" ht="17.25" customHeight="1" s="322">
      <c r="A498" s="27" t="n"/>
      <c r="B498" s="506" t="n"/>
      <c r="C498" s="141" t="n"/>
      <c r="D498" s="141" t="n"/>
      <c r="E498" s="141" t="n"/>
      <c r="F498" s="141" t="n"/>
      <c r="G498" s="143" t="n"/>
      <c r="H498" s="27" t="n"/>
    </row>
    <row r="499" ht="17.25" customHeight="1" s="322">
      <c r="A499" s="27" t="n"/>
      <c r="B499" s="506" t="n"/>
      <c r="C499" s="141" t="n"/>
      <c r="D499" s="141" t="n"/>
      <c r="E499" s="141" t="n"/>
      <c r="F499" s="141" t="n"/>
      <c r="G499" s="143" t="n"/>
      <c r="H499" s="27" t="n"/>
    </row>
    <row r="500" ht="17.25" customHeight="1" s="322">
      <c r="A500" s="27" t="n"/>
      <c r="B500" s="506" t="n"/>
      <c r="C500" s="141" t="n"/>
      <c r="D500" s="141" t="n"/>
      <c r="E500" s="141" t="n"/>
      <c r="F500" s="141" t="n"/>
      <c r="G500" s="143" t="n"/>
      <c r="H500" s="27" t="n"/>
    </row>
    <row r="501" ht="17.25" customHeight="1" s="322">
      <c r="A501" s="27" t="n"/>
      <c r="B501" s="506" t="n"/>
      <c r="C501" s="141" t="n"/>
      <c r="D501" s="141" t="n"/>
      <c r="E501" s="141" t="n"/>
      <c r="F501" s="141" t="n"/>
      <c r="G501" s="143" t="n"/>
      <c r="H501" s="27" t="n"/>
    </row>
    <row r="502" ht="17.25" customHeight="1" s="322">
      <c r="A502" s="27" t="n"/>
      <c r="B502" s="506" t="n"/>
      <c r="C502" s="141" t="n"/>
      <c r="D502" s="141" t="n"/>
      <c r="E502" s="141" t="n"/>
      <c r="F502" s="141" t="n"/>
      <c r="G502" s="143" t="n"/>
      <c r="H502" s="27" t="n"/>
    </row>
    <row r="503" ht="17.25" customHeight="1" s="322">
      <c r="A503" s="27" t="n"/>
      <c r="B503" s="506" t="n"/>
      <c r="C503" s="141" t="n"/>
      <c r="D503" s="141" t="n"/>
      <c r="E503" s="141" t="n"/>
      <c r="F503" s="141" t="n"/>
      <c r="G503" s="143" t="n"/>
      <c r="H503" s="27" t="n"/>
    </row>
    <row r="504" ht="17.25" customHeight="1" s="322">
      <c r="A504" s="27" t="n"/>
      <c r="B504" s="506" t="n"/>
      <c r="C504" s="141" t="n"/>
      <c r="D504" s="141" t="n"/>
      <c r="E504" s="141" t="n"/>
      <c r="F504" s="141" t="n"/>
      <c r="G504" s="143" t="n"/>
      <c r="H504" s="27" t="n"/>
    </row>
    <row r="505" ht="17.25" customHeight="1" s="322">
      <c r="A505" s="27" t="n"/>
      <c r="B505" s="506" t="n"/>
      <c r="C505" s="141" t="n"/>
      <c r="D505" s="141" t="n"/>
      <c r="E505" s="141" t="n"/>
      <c r="F505" s="141" t="n"/>
      <c r="G505" s="143" t="n"/>
      <c r="H505" s="27" t="n"/>
    </row>
    <row r="506" ht="17.25" customHeight="1" s="322">
      <c r="A506" s="27" t="n"/>
      <c r="B506" s="506" t="n"/>
      <c r="C506" s="141" t="n"/>
      <c r="D506" s="141" t="n"/>
      <c r="E506" s="141" t="n"/>
      <c r="F506" s="141" t="n"/>
      <c r="G506" s="143" t="n"/>
      <c r="H506" s="27" t="n"/>
    </row>
    <row r="507" ht="17.25" customHeight="1" s="322">
      <c r="A507" s="27" t="n"/>
      <c r="B507" s="506" t="n"/>
      <c r="C507" s="141" t="n"/>
      <c r="D507" s="141" t="n"/>
      <c r="E507" s="141" t="n"/>
      <c r="F507" s="141" t="n"/>
      <c r="G507" s="143" t="n"/>
      <c r="H507" s="27" t="n"/>
    </row>
    <row r="508" ht="17.25" customHeight="1" s="322">
      <c r="A508" s="27" t="n"/>
      <c r="B508" s="506" t="n"/>
      <c r="C508" s="141" t="n"/>
      <c r="D508" s="141" t="n"/>
      <c r="E508" s="141" t="n"/>
      <c r="F508" s="141" t="n"/>
      <c r="G508" s="143" t="n"/>
      <c r="H508" s="27" t="n"/>
    </row>
    <row r="509" ht="17.25" customHeight="1" s="322">
      <c r="A509" s="27" t="n"/>
      <c r="B509" s="506" t="n"/>
      <c r="C509" s="141" t="n"/>
      <c r="D509" s="141" t="n"/>
      <c r="E509" s="141" t="n"/>
      <c r="F509" s="141" t="n"/>
      <c r="G509" s="143" t="n"/>
      <c r="H509" s="27" t="n"/>
    </row>
    <row r="510" ht="17.25" customHeight="1" s="322">
      <c r="A510" s="27" t="n"/>
      <c r="B510" s="506" t="n"/>
      <c r="C510" s="141" t="n"/>
      <c r="D510" s="141" t="n"/>
      <c r="E510" s="141" t="n"/>
      <c r="F510" s="141" t="n"/>
      <c r="G510" s="143" t="n"/>
      <c r="H510" s="27" t="n"/>
    </row>
    <row r="511" ht="17.25" customHeight="1" s="322">
      <c r="A511" s="27" t="n"/>
      <c r="B511" s="506" t="n"/>
      <c r="C511" s="141" t="n"/>
      <c r="D511" s="141" t="n"/>
      <c r="E511" s="141" t="n"/>
      <c r="F511" s="141" t="n"/>
      <c r="G511" s="143" t="n"/>
      <c r="H511" s="27" t="n"/>
    </row>
    <row r="512" ht="17.25" customHeight="1" s="322">
      <c r="A512" s="27" t="n"/>
      <c r="B512" s="506" t="n"/>
      <c r="C512" s="141" t="n"/>
      <c r="D512" s="141" t="n"/>
      <c r="E512" s="141" t="n"/>
      <c r="F512" s="141" t="n"/>
      <c r="G512" s="143" t="n"/>
      <c r="H512" s="27" t="n"/>
    </row>
    <row r="513" ht="17.25" customHeight="1" s="322">
      <c r="A513" s="27" t="n"/>
      <c r="B513" s="506" t="n"/>
      <c r="C513" s="141" t="n"/>
      <c r="D513" s="141" t="n"/>
      <c r="E513" s="141" t="n"/>
      <c r="F513" s="141" t="n"/>
      <c r="G513" s="143" t="n"/>
      <c r="H513" s="27" t="n"/>
    </row>
    <row r="514" ht="17.25" customHeight="1" s="322">
      <c r="A514" s="27" t="n"/>
      <c r="B514" s="506" t="n"/>
      <c r="C514" s="141" t="n"/>
      <c r="D514" s="141" t="n"/>
      <c r="E514" s="141" t="n"/>
      <c r="F514" s="141" t="n"/>
      <c r="G514" s="143" t="n"/>
      <c r="H514" s="27" t="n"/>
    </row>
    <row r="515" ht="17.25" customHeight="1" s="322">
      <c r="A515" s="27" t="n"/>
      <c r="B515" s="506" t="n"/>
      <c r="C515" s="141" t="n"/>
      <c r="D515" s="141" t="n"/>
      <c r="E515" s="141" t="n"/>
      <c r="F515" s="141" t="n"/>
      <c r="G515" s="143" t="n"/>
      <c r="H515" s="27" t="n"/>
    </row>
    <row r="516" ht="17.25" customHeight="1" s="322">
      <c r="A516" s="27" t="n"/>
      <c r="B516" s="506" t="n"/>
      <c r="C516" s="141" t="n"/>
      <c r="D516" s="141" t="n"/>
      <c r="E516" s="141" t="n"/>
      <c r="F516" s="141" t="n"/>
      <c r="G516" s="143" t="n"/>
      <c r="H516" s="27" t="n"/>
    </row>
    <row r="517" ht="17.25" customHeight="1" s="322">
      <c r="A517" s="27" t="n"/>
      <c r="B517" s="506" t="n"/>
      <c r="C517" s="141" t="n"/>
      <c r="D517" s="141" t="n"/>
      <c r="E517" s="141" t="n"/>
      <c r="F517" s="141" t="n"/>
      <c r="G517" s="143" t="n"/>
      <c r="H517" s="27" t="n"/>
    </row>
    <row r="518" ht="17.25" customHeight="1" s="322">
      <c r="A518" s="27" t="n"/>
      <c r="B518" s="506" t="n"/>
      <c r="C518" s="141" t="n"/>
      <c r="D518" s="141" t="n"/>
      <c r="E518" s="141" t="n"/>
      <c r="F518" s="141" t="n"/>
      <c r="G518" s="143" t="n"/>
      <c r="H518" s="27" t="n"/>
    </row>
    <row r="519" ht="17.25" customHeight="1" s="322">
      <c r="A519" s="27" t="n"/>
      <c r="B519" s="506" t="n"/>
      <c r="C519" s="141" t="n"/>
      <c r="D519" s="141" t="n"/>
      <c r="E519" s="141" t="n"/>
      <c r="F519" s="141" t="n"/>
      <c r="G519" s="143" t="n"/>
      <c r="H519" s="27" t="n"/>
    </row>
    <row r="520" ht="17.25" customHeight="1" s="322">
      <c r="A520" s="27" t="n"/>
      <c r="B520" s="506" t="n"/>
      <c r="C520" s="141" t="n"/>
      <c r="D520" s="141" t="n"/>
      <c r="E520" s="141" t="n"/>
      <c r="F520" s="141" t="n"/>
      <c r="G520" s="143" t="n"/>
      <c r="H520" s="27" t="n"/>
    </row>
    <row r="521" ht="17.25" customHeight="1" s="322">
      <c r="A521" s="27" t="n"/>
      <c r="B521" s="506" t="n"/>
      <c r="C521" s="141" t="n"/>
      <c r="D521" s="141" t="n"/>
      <c r="E521" s="141" t="n"/>
      <c r="F521" s="141" t="n"/>
      <c r="G521" s="143" t="n"/>
      <c r="H521" s="27" t="n"/>
    </row>
    <row r="522" ht="17.25" customHeight="1" s="322">
      <c r="A522" s="27" t="n"/>
      <c r="B522" s="506" t="n"/>
      <c r="C522" s="141" t="n"/>
      <c r="D522" s="141" t="n"/>
      <c r="E522" s="141" t="n"/>
      <c r="F522" s="141" t="n"/>
      <c r="G522" s="143" t="n"/>
      <c r="H522" s="27" t="n"/>
    </row>
    <row r="523" ht="17.25" customHeight="1" s="322">
      <c r="A523" s="27" t="n"/>
      <c r="B523" s="506" t="n"/>
      <c r="C523" s="141" t="n"/>
      <c r="D523" s="141" t="n"/>
      <c r="E523" s="141" t="n"/>
      <c r="F523" s="141" t="n"/>
      <c r="G523" s="143" t="n"/>
      <c r="H523" s="27" t="n"/>
    </row>
    <row r="524" ht="17.25" customHeight="1" s="322">
      <c r="A524" s="27" t="n"/>
      <c r="B524" s="506" t="n"/>
      <c r="C524" s="141" t="n"/>
      <c r="D524" s="141" t="n"/>
      <c r="E524" s="141" t="n"/>
      <c r="F524" s="141" t="n"/>
      <c r="G524" s="143" t="n"/>
      <c r="H524" s="27" t="n"/>
    </row>
    <row r="525" ht="17.25" customHeight="1" s="322">
      <c r="A525" s="27" t="n"/>
      <c r="B525" s="506" t="n"/>
      <c r="C525" s="141" t="n"/>
      <c r="D525" s="141" t="n"/>
      <c r="E525" s="141" t="n"/>
      <c r="F525" s="141" t="n"/>
      <c r="G525" s="143" t="n"/>
      <c r="H525" s="27" t="n"/>
    </row>
    <row r="526" ht="17.25" customHeight="1" s="322">
      <c r="A526" s="27" t="n"/>
      <c r="B526" s="506" t="n"/>
      <c r="C526" s="141" t="n"/>
      <c r="D526" s="141" t="n"/>
      <c r="E526" s="141" t="n"/>
      <c r="F526" s="141" t="n"/>
      <c r="G526" s="143" t="n"/>
      <c r="H526" s="27" t="n"/>
    </row>
    <row r="527" ht="17.25" customHeight="1" s="322">
      <c r="A527" s="27" t="n"/>
      <c r="B527" s="506" t="n"/>
      <c r="C527" s="141" t="n"/>
      <c r="D527" s="141" t="n"/>
      <c r="E527" s="141" t="n"/>
      <c r="F527" s="141" t="n"/>
      <c r="G527" s="143" t="n"/>
      <c r="H527" s="27" t="n"/>
    </row>
    <row r="528" ht="17.25" customHeight="1" s="322">
      <c r="A528" s="27" t="n"/>
      <c r="B528" s="506" t="n"/>
      <c r="C528" s="141" t="n"/>
      <c r="D528" s="141" t="n"/>
      <c r="E528" s="141" t="n"/>
      <c r="F528" s="141" t="n"/>
      <c r="G528" s="143" t="n"/>
      <c r="H528" s="27" t="n"/>
    </row>
    <row r="529" ht="17.25" customHeight="1" s="322">
      <c r="A529" s="27" t="n"/>
      <c r="B529" s="506" t="n"/>
      <c r="C529" s="141" t="n"/>
      <c r="D529" s="141" t="n"/>
      <c r="E529" s="141" t="n"/>
      <c r="F529" s="141" t="n"/>
      <c r="G529" s="143" t="n"/>
      <c r="H529" s="27" t="n"/>
    </row>
    <row r="530" ht="17.25" customHeight="1" s="322">
      <c r="A530" s="27" t="n"/>
      <c r="B530" s="506" t="n"/>
      <c r="C530" s="141" t="n"/>
      <c r="D530" s="141" t="n"/>
      <c r="E530" s="141" t="n"/>
      <c r="F530" s="141" t="n"/>
      <c r="G530" s="143" t="n"/>
      <c r="H530" s="27" t="n"/>
    </row>
    <row r="531" ht="17.25" customHeight="1" s="322">
      <c r="A531" s="27" t="n"/>
      <c r="B531" s="506" t="n"/>
      <c r="C531" s="141" t="n"/>
      <c r="D531" s="141" t="n"/>
      <c r="E531" s="141" t="n"/>
      <c r="F531" s="141" t="n"/>
      <c r="G531" s="143" t="n"/>
      <c r="H531" s="27" t="n"/>
    </row>
    <row r="532" ht="17.25" customHeight="1" s="322">
      <c r="A532" s="27" t="n"/>
      <c r="B532" s="506" t="n"/>
      <c r="C532" s="141" t="n"/>
      <c r="D532" s="141" t="n"/>
      <c r="E532" s="141" t="n"/>
      <c r="F532" s="141" t="n"/>
      <c r="G532" s="143" t="n"/>
      <c r="H532" s="27" t="n"/>
    </row>
    <row r="533" ht="17.25" customHeight="1" s="322">
      <c r="A533" s="27" t="n"/>
      <c r="B533" s="506" t="n"/>
      <c r="C533" s="141" t="n"/>
      <c r="D533" s="141" t="n"/>
      <c r="E533" s="141" t="n"/>
      <c r="F533" s="141" t="n"/>
      <c r="G533" s="143" t="n"/>
      <c r="H533" s="27" t="n"/>
    </row>
    <row r="534" ht="17.25" customHeight="1" s="322">
      <c r="A534" s="27" t="n"/>
      <c r="B534" s="506" t="n"/>
      <c r="C534" s="141" t="n"/>
      <c r="D534" s="141" t="n"/>
      <c r="E534" s="141" t="n"/>
      <c r="F534" s="141" t="n"/>
      <c r="G534" s="143" t="n"/>
      <c r="H534" s="27" t="n"/>
    </row>
    <row r="535" ht="17.25" customHeight="1" s="322">
      <c r="A535" s="27" t="n"/>
      <c r="B535" s="506" t="n"/>
      <c r="C535" s="141" t="n"/>
      <c r="D535" s="141" t="n"/>
      <c r="E535" s="141" t="n"/>
      <c r="F535" s="141" t="n"/>
      <c r="G535" s="143" t="n"/>
      <c r="H535" s="27" t="n"/>
    </row>
    <row r="536" ht="17.25" customHeight="1" s="322">
      <c r="A536" s="27" t="n"/>
      <c r="B536" s="506" t="n"/>
      <c r="C536" s="141" t="n"/>
      <c r="D536" s="141" t="n"/>
      <c r="E536" s="141" t="n"/>
      <c r="F536" s="141" t="n"/>
      <c r="G536" s="143" t="n"/>
      <c r="H536" s="27" t="n"/>
    </row>
    <row r="537" ht="17.25" customHeight="1" s="322">
      <c r="A537" s="27" t="n"/>
      <c r="B537" s="506" t="n"/>
      <c r="C537" s="141" t="n"/>
      <c r="D537" s="141" t="n"/>
      <c r="E537" s="141" t="n"/>
      <c r="F537" s="141" t="n"/>
      <c r="G537" s="143" t="n"/>
      <c r="H537" s="27" t="n"/>
    </row>
    <row r="538" ht="17.25" customHeight="1" s="322">
      <c r="A538" s="27" t="n"/>
      <c r="B538" s="506" t="n"/>
      <c r="C538" s="141" t="n"/>
      <c r="D538" s="141" t="n"/>
      <c r="E538" s="141" t="n"/>
      <c r="F538" s="141" t="n"/>
      <c r="G538" s="143" t="n"/>
      <c r="H538" s="27" t="n"/>
    </row>
    <row r="539" ht="17.25" customHeight="1" s="322">
      <c r="A539" s="27" t="n"/>
      <c r="B539" s="506" t="n"/>
      <c r="C539" s="141" t="n"/>
      <c r="D539" s="141" t="n"/>
      <c r="E539" s="141" t="n"/>
      <c r="F539" s="141" t="n"/>
      <c r="G539" s="143" t="n"/>
      <c r="H539" s="27" t="n"/>
    </row>
    <row r="540" ht="17.25" customHeight="1" s="322">
      <c r="A540" s="27" t="n"/>
      <c r="B540" s="506" t="n"/>
      <c r="C540" s="141" t="n"/>
      <c r="D540" s="141" t="n"/>
      <c r="E540" s="141" t="n"/>
      <c r="F540" s="141" t="n"/>
      <c r="G540" s="143" t="n"/>
      <c r="H540" s="27" t="n"/>
    </row>
    <row r="541" ht="17.25" customHeight="1" s="322">
      <c r="A541" s="27" t="n"/>
      <c r="B541" s="506" t="n"/>
      <c r="C541" s="141" t="n"/>
      <c r="D541" s="141" t="n"/>
      <c r="E541" s="141" t="n"/>
      <c r="F541" s="141" t="n"/>
      <c r="G541" s="143" t="n"/>
      <c r="H541" s="27" t="n"/>
    </row>
    <row r="542" ht="17.25" customHeight="1" s="322">
      <c r="A542" s="27" t="n"/>
      <c r="B542" s="506" t="n"/>
      <c r="C542" s="141" t="n"/>
      <c r="D542" s="141" t="n"/>
      <c r="E542" s="141" t="n"/>
      <c r="F542" s="141" t="n"/>
      <c r="G542" s="143" t="n"/>
      <c r="H542" s="27" t="n"/>
    </row>
    <row r="543" ht="17.25" customHeight="1" s="322">
      <c r="A543" s="27" t="n"/>
      <c r="B543" s="506" t="n"/>
      <c r="C543" s="141" t="n"/>
      <c r="D543" s="141" t="n"/>
      <c r="E543" s="141" t="n"/>
      <c r="F543" s="141" t="n"/>
      <c r="G543" s="143" t="n"/>
      <c r="H543" s="27" t="n"/>
    </row>
    <row r="544" ht="17.25" customHeight="1" s="322">
      <c r="A544" s="27" t="n"/>
      <c r="B544" s="506" t="n"/>
      <c r="C544" s="141" t="n"/>
      <c r="D544" s="141" t="n"/>
      <c r="E544" s="141" t="n"/>
      <c r="F544" s="141" t="n"/>
      <c r="G544" s="143" t="n"/>
      <c r="H544" s="27" t="n"/>
    </row>
    <row r="545" ht="17.25" customHeight="1" s="322">
      <c r="A545" s="27" t="n"/>
      <c r="B545" s="506" t="n"/>
      <c r="C545" s="141" t="n"/>
      <c r="D545" s="141" t="n"/>
      <c r="E545" s="141" t="n"/>
      <c r="F545" s="141" t="n"/>
      <c r="G545" s="143" t="n"/>
      <c r="H545" s="27" t="n"/>
    </row>
    <row r="546" ht="17.25" customHeight="1" s="322">
      <c r="A546" s="27" t="n"/>
      <c r="B546" s="506" t="n"/>
      <c r="C546" s="141" t="n"/>
      <c r="D546" s="141" t="n"/>
      <c r="E546" s="141" t="n"/>
      <c r="F546" s="141" t="n"/>
      <c r="G546" s="143" t="n"/>
      <c r="H546" s="27" t="n"/>
    </row>
    <row r="547" ht="17.25" customHeight="1" s="322">
      <c r="A547" s="27" t="n"/>
      <c r="B547" s="506" t="n"/>
      <c r="C547" s="141" t="n"/>
      <c r="D547" s="141" t="n"/>
      <c r="E547" s="141" t="n"/>
      <c r="F547" s="141" t="n"/>
      <c r="G547" s="143" t="n"/>
      <c r="H547" s="27" t="n"/>
    </row>
    <row r="548" ht="17.25" customHeight="1" s="322">
      <c r="A548" s="27" t="n"/>
      <c r="B548" s="506" t="n"/>
      <c r="C548" s="141" t="n"/>
      <c r="D548" s="141" t="n"/>
      <c r="E548" s="141" t="n"/>
      <c r="F548" s="141" t="n"/>
      <c r="G548" s="143" t="n"/>
      <c r="H548" s="27" t="n"/>
    </row>
    <row r="549" ht="17.25" customHeight="1" s="322">
      <c r="A549" s="27" t="n"/>
      <c r="B549" s="506" t="n"/>
      <c r="C549" s="141" t="n"/>
      <c r="D549" s="141" t="n"/>
      <c r="E549" s="141" t="n"/>
      <c r="F549" s="141" t="n"/>
      <c r="G549" s="143" t="n"/>
      <c r="H549" s="27" t="n"/>
    </row>
    <row r="550" ht="17.25" customHeight="1" s="322">
      <c r="A550" s="27" t="n"/>
      <c r="B550" s="506" t="n"/>
      <c r="C550" s="141" t="n"/>
      <c r="D550" s="141" t="n"/>
      <c r="E550" s="141" t="n"/>
      <c r="F550" s="141" t="n"/>
      <c r="G550" s="143" t="n"/>
      <c r="H550" s="27" t="n"/>
    </row>
    <row r="551" ht="17.25" customHeight="1" s="322">
      <c r="A551" s="27" t="n"/>
      <c r="B551" s="506" t="n"/>
      <c r="C551" s="141" t="n"/>
      <c r="D551" s="141" t="n"/>
      <c r="E551" s="141" t="n"/>
      <c r="F551" s="141" t="n"/>
      <c r="G551" s="143" t="n"/>
      <c r="H551" s="27" t="n"/>
    </row>
    <row r="552" ht="17.25" customHeight="1" s="322">
      <c r="A552" s="27" t="n"/>
      <c r="B552" s="506" t="n"/>
      <c r="C552" s="141" t="n"/>
      <c r="D552" s="141" t="n"/>
      <c r="E552" s="141" t="n"/>
      <c r="F552" s="141" t="n"/>
      <c r="G552" s="143" t="n"/>
      <c r="H552" s="27" t="n"/>
    </row>
    <row r="553" ht="17.25" customHeight="1" s="322">
      <c r="A553" s="27" t="n"/>
      <c r="B553" s="506" t="n"/>
      <c r="C553" s="141" t="n"/>
      <c r="D553" s="141" t="n"/>
      <c r="E553" s="141" t="n"/>
      <c r="F553" s="141" t="n"/>
      <c r="G553" s="143" t="n"/>
      <c r="H553" s="27" t="n"/>
    </row>
    <row r="554" ht="17.25" customHeight="1" s="322">
      <c r="A554" s="27" t="n"/>
      <c r="B554" s="506" t="n"/>
      <c r="C554" s="141" t="n"/>
      <c r="D554" s="141" t="n"/>
      <c r="E554" s="141" t="n"/>
      <c r="F554" s="141" t="n"/>
      <c r="G554" s="143" t="n"/>
      <c r="H554" s="27" t="n"/>
    </row>
    <row r="555" ht="17.25" customHeight="1" s="322">
      <c r="A555" s="27" t="n"/>
      <c r="B555" s="506" t="n"/>
      <c r="C555" s="141" t="n"/>
      <c r="D555" s="141" t="n"/>
      <c r="E555" s="141" t="n"/>
      <c r="F555" s="141" t="n"/>
      <c r="G555" s="143" t="n"/>
      <c r="H555" s="27" t="n"/>
    </row>
    <row r="556" ht="17.25" customHeight="1" s="322">
      <c r="A556" s="27" t="n"/>
      <c r="B556" s="506" t="n"/>
      <c r="C556" s="141" t="n"/>
      <c r="D556" s="141" t="n"/>
      <c r="E556" s="141" t="n"/>
      <c r="F556" s="141" t="n"/>
      <c r="G556" s="143" t="n"/>
      <c r="H556" s="27" t="n"/>
    </row>
    <row r="557" ht="17.25" customHeight="1" s="322">
      <c r="A557" s="27" t="n"/>
      <c r="B557" s="506" t="n"/>
      <c r="C557" s="141" t="n"/>
      <c r="D557" s="141" t="n"/>
      <c r="E557" s="141" t="n"/>
      <c r="F557" s="141" t="n"/>
      <c r="G557" s="143" t="n"/>
      <c r="H557" s="27" t="n"/>
    </row>
    <row r="558" ht="17.25" customHeight="1" s="322">
      <c r="A558" s="27" t="n"/>
      <c r="B558" s="506" t="n"/>
      <c r="C558" s="141" t="n"/>
      <c r="D558" s="141" t="n"/>
      <c r="E558" s="141" t="n"/>
      <c r="F558" s="141" t="n"/>
      <c r="G558" s="143" t="n"/>
      <c r="H558" s="27" t="n"/>
    </row>
    <row r="559" ht="17.25" customHeight="1" s="322">
      <c r="A559" s="27" t="n"/>
      <c r="B559" s="506" t="n"/>
      <c r="C559" s="141" t="n"/>
      <c r="D559" s="141" t="n"/>
      <c r="E559" s="141" t="n"/>
      <c r="F559" s="141" t="n"/>
      <c r="G559" s="143" t="n"/>
      <c r="H559" s="27" t="n"/>
    </row>
    <row r="560" ht="17.25" customHeight="1" s="322">
      <c r="A560" s="27" t="n"/>
      <c r="B560" s="506" t="n"/>
      <c r="C560" s="141" t="n"/>
      <c r="D560" s="141" t="n"/>
      <c r="E560" s="141" t="n"/>
      <c r="F560" s="141" t="n"/>
      <c r="G560" s="143" t="n"/>
      <c r="H560" s="27" t="n"/>
    </row>
    <row r="561" ht="17.25" customHeight="1" s="322">
      <c r="A561" s="27" t="n"/>
      <c r="B561" s="506" t="n"/>
      <c r="C561" s="141" t="n"/>
      <c r="D561" s="141" t="n"/>
      <c r="E561" s="141" t="n"/>
      <c r="F561" s="141" t="n"/>
      <c r="G561" s="143" t="n"/>
      <c r="H561" s="27" t="n"/>
    </row>
    <row r="562" ht="17.25" customHeight="1" s="322">
      <c r="A562" s="27" t="n"/>
      <c r="B562" s="506" t="n"/>
      <c r="C562" s="141" t="n"/>
      <c r="D562" s="141" t="n"/>
      <c r="E562" s="141" t="n"/>
      <c r="F562" s="141" t="n"/>
      <c r="G562" s="143" t="n"/>
      <c r="H562" s="27" t="n"/>
    </row>
    <row r="563" ht="17.25" customHeight="1" s="322">
      <c r="A563" s="27" t="n"/>
      <c r="B563" s="506" t="n"/>
      <c r="C563" s="141" t="n"/>
      <c r="D563" s="141" t="n"/>
      <c r="E563" s="141" t="n"/>
      <c r="F563" s="141" t="n"/>
      <c r="G563" s="143" t="n"/>
      <c r="H563" s="27" t="n"/>
    </row>
    <row r="564" ht="17.25" customHeight="1" s="322">
      <c r="A564" s="27" t="n"/>
      <c r="B564" s="506" t="n"/>
      <c r="C564" s="141" t="n"/>
      <c r="D564" s="141" t="n"/>
      <c r="E564" s="141" t="n"/>
      <c r="F564" s="141" t="n"/>
      <c r="G564" s="143" t="n"/>
      <c r="H564" s="27" t="n"/>
    </row>
    <row r="565" ht="17.25" customHeight="1" s="322">
      <c r="A565" s="27" t="n"/>
      <c r="B565" s="506" t="n"/>
      <c r="C565" s="141" t="n"/>
      <c r="D565" s="141" t="n"/>
      <c r="E565" s="141" t="n"/>
      <c r="F565" s="141" t="n"/>
      <c r="G565" s="143" t="n"/>
      <c r="H565" s="27" t="n"/>
    </row>
    <row r="566" ht="17.25" customHeight="1" s="322">
      <c r="A566" s="27" t="n"/>
      <c r="B566" s="506" t="n"/>
      <c r="C566" s="141" t="n"/>
      <c r="D566" s="141" t="n"/>
      <c r="E566" s="141" t="n"/>
      <c r="F566" s="141" t="n"/>
      <c r="G566" s="143" t="n"/>
      <c r="H566" s="27" t="n"/>
    </row>
    <row r="567" ht="17.25" customHeight="1" s="322">
      <c r="A567" s="27" t="n"/>
      <c r="B567" s="506" t="n"/>
      <c r="C567" s="141" t="n"/>
      <c r="D567" s="141" t="n"/>
      <c r="E567" s="141" t="n"/>
      <c r="F567" s="141" t="n"/>
      <c r="G567" s="143" t="n"/>
      <c r="H567" s="27" t="n"/>
    </row>
    <row r="568" ht="17.25" customHeight="1" s="322">
      <c r="A568" s="27" t="n"/>
      <c r="B568" s="506" t="n"/>
      <c r="C568" s="141" t="n"/>
      <c r="D568" s="141" t="n"/>
      <c r="E568" s="141" t="n"/>
      <c r="F568" s="141" t="n"/>
      <c r="G568" s="143" t="n"/>
      <c r="H568" s="27" t="n"/>
    </row>
    <row r="569" ht="17.25" customHeight="1" s="322">
      <c r="A569" s="27" t="n"/>
      <c r="B569" s="506" t="n"/>
      <c r="C569" s="141" t="n"/>
      <c r="D569" s="141" t="n"/>
      <c r="E569" s="141" t="n"/>
      <c r="F569" s="141" t="n"/>
      <c r="G569" s="143" t="n"/>
      <c r="H569" s="27" t="n"/>
    </row>
    <row r="570" ht="17.25" customHeight="1" s="322">
      <c r="A570" s="27" t="n"/>
      <c r="B570" s="506" t="n"/>
      <c r="C570" s="141" t="n"/>
      <c r="D570" s="141" t="n"/>
      <c r="E570" s="141" t="n"/>
      <c r="F570" s="141" t="n"/>
      <c r="G570" s="143" t="n"/>
      <c r="H570" s="27" t="n"/>
    </row>
    <row r="571" ht="17.25" customHeight="1" s="322">
      <c r="A571" s="27" t="n"/>
      <c r="B571" s="506" t="n"/>
      <c r="C571" s="141" t="n"/>
      <c r="D571" s="141" t="n"/>
      <c r="E571" s="141" t="n"/>
      <c r="F571" s="141" t="n"/>
      <c r="G571" s="143" t="n"/>
      <c r="H571" s="27" t="n"/>
    </row>
    <row r="572" ht="17.25" customHeight="1" s="322">
      <c r="A572" s="27" t="n"/>
      <c r="B572" s="506" t="n"/>
      <c r="C572" s="141" t="n"/>
      <c r="D572" s="141" t="n"/>
      <c r="E572" s="141" t="n"/>
      <c r="F572" s="141" t="n"/>
      <c r="G572" s="143" t="n"/>
      <c r="H572" s="27" t="n"/>
    </row>
    <row r="573" ht="17.25" customHeight="1" s="322">
      <c r="A573" s="27" t="n"/>
      <c r="B573" s="506" t="n"/>
      <c r="C573" s="141" t="n"/>
      <c r="D573" s="141" t="n"/>
      <c r="E573" s="141" t="n"/>
      <c r="F573" s="141" t="n"/>
      <c r="G573" s="143" t="n"/>
      <c r="H573" s="27" t="n"/>
    </row>
    <row r="574" ht="17.25" customHeight="1" s="322">
      <c r="A574" s="27" t="n"/>
      <c r="B574" s="506" t="n"/>
      <c r="C574" s="141" t="n"/>
      <c r="D574" s="141" t="n"/>
      <c r="E574" s="141" t="n"/>
      <c r="F574" s="141" t="n"/>
      <c r="G574" s="143" t="n"/>
      <c r="H574" s="27" t="n"/>
    </row>
    <row r="575" ht="17.25" customHeight="1" s="322">
      <c r="A575" s="27" t="n"/>
      <c r="B575" s="506" t="n"/>
      <c r="C575" s="141" t="n"/>
      <c r="D575" s="141" t="n"/>
      <c r="E575" s="141" t="n"/>
      <c r="F575" s="141" t="n"/>
      <c r="G575" s="143" t="n"/>
      <c r="H575" s="27" t="n"/>
    </row>
    <row r="576" ht="17.25" customHeight="1" s="322">
      <c r="A576" s="27" t="n"/>
      <c r="B576" s="506" t="n"/>
      <c r="C576" s="141" t="n"/>
      <c r="D576" s="141" t="n"/>
      <c r="E576" s="141" t="n"/>
      <c r="F576" s="141" t="n"/>
      <c r="G576" s="143" t="n"/>
      <c r="H576" s="27" t="n"/>
    </row>
    <row r="577" ht="17.25" customHeight="1" s="322">
      <c r="A577" s="27" t="n"/>
      <c r="B577" s="506" t="n"/>
      <c r="C577" s="141" t="n"/>
      <c r="D577" s="141" t="n"/>
      <c r="E577" s="141" t="n"/>
      <c r="F577" s="141" t="n"/>
      <c r="G577" s="143" t="n"/>
      <c r="H577" s="27" t="n"/>
    </row>
    <row r="578" ht="17.25" customHeight="1" s="322">
      <c r="A578" s="27" t="n"/>
      <c r="B578" s="506" t="n"/>
      <c r="C578" s="141" t="n"/>
      <c r="D578" s="141" t="n"/>
      <c r="E578" s="141" t="n"/>
      <c r="F578" s="141" t="n"/>
      <c r="G578" s="143" t="n"/>
      <c r="H578" s="27" t="n"/>
    </row>
    <row r="579" ht="17.25" customHeight="1" s="322">
      <c r="A579" s="27" t="n"/>
      <c r="B579" s="506" t="n"/>
      <c r="C579" s="141" t="n"/>
      <c r="D579" s="141" t="n"/>
      <c r="E579" s="141" t="n"/>
      <c r="F579" s="141" t="n"/>
      <c r="G579" s="143" t="n"/>
      <c r="H579" s="27" t="n"/>
    </row>
    <row r="580" ht="17.25" customHeight="1" s="322">
      <c r="A580" s="27" t="n"/>
      <c r="B580" s="506" t="n"/>
      <c r="C580" s="141" t="n"/>
      <c r="D580" s="141" t="n"/>
      <c r="E580" s="141" t="n"/>
      <c r="F580" s="141" t="n"/>
      <c r="G580" s="143" t="n"/>
      <c r="H580" s="27" t="n"/>
    </row>
    <row r="581" ht="17.25" customHeight="1" s="322">
      <c r="A581" s="27" t="n"/>
      <c r="B581" s="506" t="n"/>
      <c r="C581" s="141" t="n"/>
      <c r="D581" s="141" t="n"/>
      <c r="E581" s="141" t="n"/>
      <c r="F581" s="141" t="n"/>
      <c r="G581" s="143" t="n"/>
      <c r="H581" s="27" t="n"/>
    </row>
    <row r="582" ht="17.25" customHeight="1" s="322">
      <c r="A582" s="27" t="n"/>
      <c r="B582" s="506" t="n"/>
      <c r="C582" s="141" t="n"/>
      <c r="D582" s="141" t="n"/>
      <c r="E582" s="141" t="n"/>
      <c r="F582" s="141" t="n"/>
      <c r="G582" s="143" t="n"/>
      <c r="H582" s="27" t="n"/>
    </row>
    <row r="583" ht="17.25" customHeight="1" s="322">
      <c r="A583" s="27" t="n"/>
      <c r="B583" s="506" t="n"/>
      <c r="C583" s="141" t="n"/>
      <c r="D583" s="141" t="n"/>
      <c r="E583" s="141" t="n"/>
      <c r="F583" s="141" t="n"/>
      <c r="G583" s="143" t="n"/>
      <c r="H583" s="27" t="n"/>
    </row>
    <row r="584" ht="17.25" customHeight="1" s="322">
      <c r="A584" s="27" t="n"/>
      <c r="B584" s="506" t="n"/>
      <c r="C584" s="141" t="n"/>
      <c r="D584" s="141" t="n"/>
      <c r="E584" s="141" t="n"/>
      <c r="F584" s="141" t="n"/>
      <c r="G584" s="143" t="n"/>
      <c r="H584" s="27" t="n"/>
    </row>
    <row r="585" ht="17.25" customHeight="1" s="322">
      <c r="A585" s="27" t="n"/>
      <c r="B585" s="506" t="n"/>
      <c r="C585" s="141" t="n"/>
      <c r="D585" s="141" t="n"/>
      <c r="E585" s="141" t="n"/>
      <c r="F585" s="141" t="n"/>
      <c r="G585" s="143" t="n"/>
      <c r="H585" s="27" t="n"/>
    </row>
    <row r="586" ht="17.25" customHeight="1" s="322">
      <c r="A586" s="27" t="n"/>
      <c r="B586" s="506" t="n"/>
      <c r="C586" s="141" t="n"/>
      <c r="D586" s="141" t="n"/>
      <c r="E586" s="141" t="n"/>
      <c r="F586" s="141" t="n"/>
      <c r="G586" s="143" t="n"/>
      <c r="H586" s="27" t="n"/>
    </row>
    <row r="587" ht="17.25" customHeight="1" s="322">
      <c r="A587" s="27" t="n"/>
      <c r="B587" s="506" t="n"/>
      <c r="C587" s="141" t="n"/>
      <c r="D587" s="141" t="n"/>
      <c r="E587" s="141" t="n"/>
      <c r="F587" s="141" t="n"/>
      <c r="G587" s="143" t="n"/>
      <c r="H587" s="27" t="n"/>
    </row>
    <row r="588" ht="17.25" customHeight="1" s="322">
      <c r="A588" s="27" t="n"/>
      <c r="B588" s="506" t="n"/>
      <c r="C588" s="141" t="n"/>
      <c r="D588" s="141" t="n"/>
      <c r="E588" s="141" t="n"/>
      <c r="F588" s="141" t="n"/>
      <c r="G588" s="143" t="n"/>
      <c r="H588" s="27" t="n"/>
    </row>
    <row r="589" ht="17.25" customHeight="1" s="322">
      <c r="A589" s="27" t="n"/>
      <c r="B589" s="506" t="n"/>
      <c r="C589" s="141" t="n"/>
      <c r="D589" s="141" t="n"/>
      <c r="E589" s="141" t="n"/>
      <c r="F589" s="141" t="n"/>
      <c r="G589" s="143" t="n"/>
      <c r="H589" s="27" t="n"/>
    </row>
    <row r="590" ht="17.25" customHeight="1" s="322">
      <c r="A590" s="27" t="n"/>
      <c r="B590" s="506" t="n"/>
      <c r="C590" s="141" t="n"/>
      <c r="D590" s="141" t="n"/>
      <c r="E590" s="141" t="n"/>
      <c r="F590" s="141" t="n"/>
      <c r="G590" s="143" t="n"/>
      <c r="H590" s="27" t="n"/>
    </row>
    <row r="591" ht="17.25" customHeight="1" s="322">
      <c r="A591" s="27" t="n"/>
      <c r="B591" s="506" t="n"/>
      <c r="C591" s="141" t="n"/>
      <c r="D591" s="141" t="n"/>
      <c r="E591" s="141" t="n"/>
      <c r="F591" s="141" t="n"/>
      <c r="G591" s="143" t="n"/>
      <c r="H591" s="27" t="n"/>
    </row>
    <row r="592" ht="17.25" customHeight="1" s="322">
      <c r="A592" s="27" t="n"/>
      <c r="B592" s="506" t="n"/>
      <c r="C592" s="141" t="n"/>
      <c r="D592" s="141" t="n"/>
      <c r="E592" s="141" t="n"/>
      <c r="F592" s="141" t="n"/>
      <c r="G592" s="143" t="n"/>
      <c r="H592" s="27" t="n"/>
    </row>
    <row r="593" ht="17.25" customHeight="1" s="322">
      <c r="A593" s="27" t="n"/>
      <c r="B593" s="506" t="n"/>
      <c r="C593" s="141" t="n"/>
      <c r="D593" s="141" t="n"/>
      <c r="E593" s="141" t="n"/>
      <c r="F593" s="141" t="n"/>
      <c r="G593" s="143" t="n"/>
      <c r="H593" s="27" t="n"/>
    </row>
    <row r="594" ht="17.25" customHeight="1" s="322">
      <c r="A594" s="27" t="n"/>
      <c r="B594" s="506" t="n"/>
      <c r="C594" s="141" t="n"/>
      <c r="D594" s="141" t="n"/>
      <c r="E594" s="141" t="n"/>
      <c r="F594" s="141" t="n"/>
      <c r="G594" s="143" t="n"/>
      <c r="H594" s="27" t="n"/>
    </row>
    <row r="595" ht="17.25" customHeight="1" s="322">
      <c r="A595" s="27" t="n"/>
      <c r="B595" s="506" t="n"/>
      <c r="C595" s="141" t="n"/>
      <c r="D595" s="141" t="n"/>
      <c r="E595" s="141" t="n"/>
      <c r="F595" s="141" t="n"/>
      <c r="G595" s="143" t="n"/>
      <c r="H595" s="27" t="n"/>
    </row>
    <row r="596" ht="17.25" customHeight="1" s="322">
      <c r="A596" s="27" t="n"/>
      <c r="B596" s="506" t="n"/>
      <c r="C596" s="141" t="n"/>
      <c r="D596" s="141" t="n"/>
      <c r="E596" s="141" t="n"/>
      <c r="F596" s="141" t="n"/>
      <c r="G596" s="143" t="n"/>
      <c r="H596" s="27" t="n"/>
    </row>
    <row r="597" ht="17.25" customHeight="1" s="322">
      <c r="A597" s="27" t="n"/>
      <c r="B597" s="506" t="n"/>
      <c r="C597" s="141" t="n"/>
      <c r="D597" s="141" t="n"/>
      <c r="E597" s="141" t="n"/>
      <c r="F597" s="141" t="n"/>
      <c r="G597" s="143" t="n"/>
      <c r="H597" s="27" t="n"/>
    </row>
    <row r="598" ht="17.25" customHeight="1" s="322">
      <c r="A598" s="27" t="n"/>
      <c r="B598" s="506" t="n"/>
      <c r="C598" s="141" t="n"/>
      <c r="D598" s="141" t="n"/>
      <c r="E598" s="141" t="n"/>
      <c r="F598" s="141" t="n"/>
      <c r="G598" s="143" t="n"/>
      <c r="H598" s="27" t="n"/>
    </row>
    <row r="599" ht="17.25" customHeight="1" s="322">
      <c r="A599" s="27" t="n"/>
      <c r="B599" s="506" t="n"/>
      <c r="C599" s="141" t="n"/>
      <c r="D599" s="141" t="n"/>
      <c r="E599" s="141" t="n"/>
      <c r="F599" s="141" t="n"/>
      <c r="G599" s="143" t="n"/>
      <c r="H599" s="27" t="n"/>
    </row>
    <row r="600" ht="17.25" customHeight="1" s="322">
      <c r="A600" s="27" t="n"/>
      <c r="B600" s="506" t="n"/>
      <c r="C600" s="141" t="n"/>
      <c r="D600" s="141" t="n"/>
      <c r="E600" s="141" t="n"/>
      <c r="F600" s="141" t="n"/>
      <c r="G600" s="143" t="n"/>
      <c r="H600" s="27" t="n"/>
    </row>
    <row r="601" ht="17.25" customHeight="1" s="322">
      <c r="A601" s="27" t="n"/>
      <c r="B601" s="506" t="n"/>
      <c r="C601" s="141" t="n"/>
      <c r="D601" s="141" t="n"/>
      <c r="E601" s="141" t="n"/>
      <c r="F601" s="141" t="n"/>
      <c r="G601" s="143" t="n"/>
      <c r="H601" s="27" t="n"/>
    </row>
    <row r="602" ht="17.25" customHeight="1" s="322">
      <c r="A602" s="27" t="n"/>
      <c r="B602" s="506" t="n"/>
      <c r="C602" s="141" t="n"/>
      <c r="D602" s="141" t="n"/>
      <c r="E602" s="141" t="n"/>
      <c r="F602" s="141" t="n"/>
      <c r="G602" s="143" t="n"/>
      <c r="H602" s="27" t="n"/>
    </row>
    <row r="603" ht="17.25" customHeight="1" s="322">
      <c r="A603" s="27" t="n"/>
      <c r="B603" s="506" t="n"/>
      <c r="C603" s="141" t="n"/>
      <c r="D603" s="141" t="n"/>
      <c r="E603" s="141" t="n"/>
      <c r="F603" s="141" t="n"/>
      <c r="G603" s="143" t="n"/>
      <c r="H603" s="27" t="n"/>
    </row>
    <row r="604" ht="17.25" customHeight="1" s="322">
      <c r="A604" s="27" t="n"/>
      <c r="B604" s="506" t="n"/>
      <c r="C604" s="141" t="n"/>
      <c r="D604" s="141" t="n"/>
      <c r="E604" s="141" t="n"/>
      <c r="F604" s="141" t="n"/>
      <c r="G604" s="143" t="n"/>
      <c r="H604" s="27" t="n"/>
    </row>
    <row r="605" ht="17.25" customHeight="1" s="322">
      <c r="A605" s="27" t="n"/>
      <c r="B605" s="506" t="n"/>
      <c r="C605" s="141" t="n"/>
      <c r="D605" s="141" t="n"/>
      <c r="E605" s="141" t="n"/>
      <c r="F605" s="141" t="n"/>
      <c r="G605" s="143" t="n"/>
      <c r="H605" s="27" t="n"/>
    </row>
    <row r="606" ht="17.25" customHeight="1" s="322">
      <c r="A606" s="27" t="n"/>
      <c r="B606" s="506" t="n"/>
      <c r="C606" s="141" t="n"/>
      <c r="D606" s="141" t="n"/>
      <c r="E606" s="141" t="n"/>
      <c r="F606" s="141" t="n"/>
      <c r="G606" s="143" t="n"/>
      <c r="H606" s="27" t="n"/>
    </row>
    <row r="607" ht="17.25" customHeight="1" s="322">
      <c r="A607" s="27" t="n"/>
      <c r="B607" s="506" t="n"/>
      <c r="C607" s="141" t="n"/>
      <c r="D607" s="141" t="n"/>
      <c r="E607" s="141" t="n"/>
      <c r="F607" s="141" t="n"/>
      <c r="G607" s="143" t="n"/>
      <c r="H607" s="27" t="n"/>
    </row>
    <row r="608" ht="17.25" customHeight="1" s="322">
      <c r="A608" s="27" t="n"/>
      <c r="B608" s="506" t="n"/>
      <c r="C608" s="141" t="n"/>
      <c r="D608" s="141" t="n"/>
      <c r="E608" s="141" t="n"/>
      <c r="F608" s="141" t="n"/>
      <c r="G608" s="143" t="n"/>
      <c r="H608" s="27" t="n"/>
    </row>
    <row r="609" ht="17.25" customHeight="1" s="322">
      <c r="A609" s="27" t="n"/>
      <c r="B609" s="506" t="n"/>
      <c r="C609" s="141" t="n"/>
      <c r="D609" s="141" t="n"/>
      <c r="E609" s="141" t="n"/>
      <c r="F609" s="141" t="n"/>
      <c r="G609" s="143" t="n"/>
      <c r="H609" s="27" t="n"/>
    </row>
    <row r="610" ht="17.25" customHeight="1" s="322">
      <c r="A610" s="27" t="n"/>
      <c r="B610" s="506" t="n"/>
      <c r="C610" s="141" t="n"/>
      <c r="D610" s="141" t="n"/>
      <c r="E610" s="141" t="n"/>
      <c r="F610" s="141" t="n"/>
      <c r="G610" s="143" t="n"/>
      <c r="H610" s="27" t="n"/>
    </row>
    <row r="611" ht="17.25" customHeight="1" s="322">
      <c r="A611" s="27" t="n"/>
      <c r="B611" s="506" t="n"/>
      <c r="C611" s="141" t="n"/>
      <c r="D611" s="141" t="n"/>
      <c r="E611" s="141" t="n"/>
      <c r="F611" s="141" t="n"/>
      <c r="G611" s="143" t="n"/>
      <c r="H611" s="27" t="n"/>
    </row>
    <row r="612" ht="17.25" customHeight="1" s="322">
      <c r="A612" s="27" t="n"/>
      <c r="B612" s="506" t="n"/>
      <c r="C612" s="141" t="n"/>
      <c r="D612" s="141" t="n"/>
      <c r="E612" s="141" t="n"/>
      <c r="F612" s="141" t="n"/>
      <c r="G612" s="143" t="n"/>
      <c r="H612" s="27" t="n"/>
    </row>
    <row r="613" ht="17.25" customHeight="1" s="322">
      <c r="A613" s="27" t="n"/>
      <c r="B613" s="506" t="n"/>
      <c r="C613" s="141" t="n"/>
      <c r="D613" s="141" t="n"/>
      <c r="E613" s="141" t="n"/>
      <c r="F613" s="141" t="n"/>
      <c r="G613" s="143" t="n"/>
      <c r="H613" s="27" t="n"/>
    </row>
    <row r="614" ht="17.25" customHeight="1" s="322">
      <c r="A614" s="27" t="n"/>
      <c r="B614" s="506" t="n"/>
      <c r="C614" s="141" t="n"/>
      <c r="D614" s="141" t="n"/>
      <c r="E614" s="141" t="n"/>
      <c r="F614" s="141" t="n"/>
      <c r="G614" s="143" t="n"/>
      <c r="H614" s="27" t="n"/>
    </row>
    <row r="615" ht="17.25" customHeight="1" s="322">
      <c r="A615" s="27" t="n"/>
      <c r="B615" s="506" t="n"/>
      <c r="C615" s="141" t="n"/>
      <c r="D615" s="141" t="n"/>
      <c r="E615" s="141" t="n"/>
      <c r="F615" s="141" t="n"/>
      <c r="G615" s="143" t="n"/>
      <c r="H615" s="27" t="n"/>
    </row>
    <row r="616" ht="17.25" customHeight="1" s="322">
      <c r="A616" s="27" t="n"/>
      <c r="B616" s="506" t="n"/>
      <c r="C616" s="141" t="n"/>
      <c r="D616" s="141" t="n"/>
      <c r="E616" s="141" t="n"/>
      <c r="F616" s="141" t="n"/>
      <c r="G616" s="143" t="n"/>
      <c r="H616" s="27" t="n"/>
    </row>
    <row r="617" ht="17.25" customHeight="1" s="322">
      <c r="A617" s="27" t="n"/>
      <c r="B617" s="506" t="n"/>
      <c r="C617" s="141" t="n"/>
      <c r="D617" s="141" t="n"/>
      <c r="E617" s="141" t="n"/>
      <c r="F617" s="141" t="n"/>
      <c r="G617" s="143" t="n"/>
      <c r="H617" s="27" t="n"/>
    </row>
    <row r="618" ht="17.25" customHeight="1" s="322">
      <c r="A618" s="27" t="n"/>
      <c r="B618" s="506" t="n"/>
      <c r="C618" s="141" t="n"/>
      <c r="D618" s="141" t="n"/>
      <c r="E618" s="141" t="n"/>
      <c r="F618" s="141" t="n"/>
      <c r="G618" s="143" t="n"/>
      <c r="H618" s="27" t="n"/>
    </row>
    <row r="619" ht="17.25" customHeight="1" s="322">
      <c r="A619" s="27" t="n"/>
      <c r="B619" s="506" t="n"/>
      <c r="C619" s="141" t="n"/>
      <c r="D619" s="141" t="n"/>
      <c r="E619" s="141" t="n"/>
      <c r="F619" s="141" t="n"/>
      <c r="G619" s="143" t="n"/>
      <c r="H619" s="27" t="n"/>
    </row>
    <row r="620" ht="17.25" customHeight="1" s="322">
      <c r="A620" s="27" t="n"/>
      <c r="B620" s="506" t="n"/>
      <c r="C620" s="141" t="n"/>
      <c r="D620" s="141" t="n"/>
      <c r="E620" s="141" t="n"/>
      <c r="F620" s="141" t="n"/>
      <c r="G620" s="143" t="n"/>
      <c r="H620" s="27" t="n"/>
    </row>
    <row r="621" ht="17.25" customHeight="1" s="322">
      <c r="A621" s="27" t="n"/>
      <c r="B621" s="506" t="n"/>
      <c r="C621" s="141" t="n"/>
      <c r="D621" s="141" t="n"/>
      <c r="E621" s="141" t="n"/>
      <c r="F621" s="141" t="n"/>
      <c r="G621" s="143" t="n"/>
      <c r="H621" s="27" t="n"/>
    </row>
    <row r="622" ht="17.25" customHeight="1" s="322">
      <c r="A622" s="27" t="n"/>
      <c r="B622" s="506" t="n"/>
      <c r="C622" s="141" t="n"/>
      <c r="D622" s="141" t="n"/>
      <c r="E622" s="141" t="n"/>
      <c r="F622" s="141" t="n"/>
      <c r="G622" s="143" t="n"/>
      <c r="H622" s="27" t="n"/>
    </row>
    <row r="623" ht="17.25" customHeight="1" s="322">
      <c r="A623" s="27" t="n"/>
      <c r="B623" s="506" t="n"/>
      <c r="C623" s="141" t="n"/>
      <c r="D623" s="141" t="n"/>
      <c r="E623" s="141" t="n"/>
      <c r="F623" s="141" t="n"/>
      <c r="G623" s="143" t="n"/>
      <c r="H623" s="27" t="n"/>
    </row>
    <row r="624" ht="17.25" customHeight="1" s="322">
      <c r="A624" s="27" t="n"/>
      <c r="B624" s="506" t="n"/>
      <c r="C624" s="141" t="n"/>
      <c r="D624" s="141" t="n"/>
      <c r="E624" s="141" t="n"/>
      <c r="F624" s="141" t="n"/>
      <c r="G624" s="143" t="n"/>
      <c r="H624" s="27" t="n"/>
    </row>
    <row r="625" ht="17.25" customHeight="1" s="322">
      <c r="A625" s="27" t="n"/>
      <c r="B625" s="506" t="n"/>
      <c r="C625" s="141" t="n"/>
      <c r="D625" s="141" t="n"/>
      <c r="E625" s="141" t="n"/>
      <c r="F625" s="141" t="n"/>
      <c r="G625" s="143" t="n"/>
      <c r="H625" s="27" t="n"/>
    </row>
    <row r="626" ht="17.25" customHeight="1" s="322">
      <c r="A626" s="27" t="n"/>
      <c r="B626" s="506" t="n"/>
      <c r="C626" s="141" t="n"/>
      <c r="D626" s="141" t="n"/>
      <c r="E626" s="141" t="n"/>
      <c r="F626" s="141" t="n"/>
      <c r="G626" s="143" t="n"/>
      <c r="H626" s="27" t="n"/>
    </row>
    <row r="627" ht="17.25" customHeight="1" s="322">
      <c r="A627" s="27" t="n"/>
      <c r="B627" s="506" t="n"/>
      <c r="C627" s="141" t="n"/>
      <c r="D627" s="141" t="n"/>
      <c r="E627" s="141" t="n"/>
      <c r="F627" s="141" t="n"/>
      <c r="G627" s="143" t="n"/>
      <c r="H627" s="27" t="n"/>
    </row>
    <row r="628" ht="17.25" customHeight="1" s="322">
      <c r="A628" s="27" t="n"/>
      <c r="B628" s="506" t="n"/>
      <c r="C628" s="141" t="n"/>
      <c r="D628" s="141" t="n"/>
      <c r="E628" s="141" t="n"/>
      <c r="F628" s="141" t="n"/>
      <c r="G628" s="143" t="n"/>
      <c r="H628" s="27" t="n"/>
    </row>
    <row r="629" ht="17.25" customHeight="1" s="322">
      <c r="A629" s="27" t="n"/>
      <c r="B629" s="506" t="n"/>
      <c r="C629" s="141" t="n"/>
      <c r="D629" s="141" t="n"/>
      <c r="E629" s="141" t="n"/>
      <c r="F629" s="141" t="n"/>
      <c r="G629" s="143" t="n"/>
      <c r="H629" s="27" t="n"/>
    </row>
    <row r="630" ht="17.25" customHeight="1" s="322">
      <c r="A630" s="27" t="n"/>
      <c r="B630" s="506" t="n"/>
      <c r="C630" s="141" t="n"/>
      <c r="D630" s="141" t="n"/>
      <c r="E630" s="141" t="n"/>
      <c r="F630" s="141" t="n"/>
      <c r="G630" s="143" t="n"/>
      <c r="H630" s="27" t="n"/>
    </row>
    <row r="631" ht="17.25" customHeight="1" s="322">
      <c r="A631" s="27" t="n"/>
      <c r="B631" s="506" t="n"/>
      <c r="C631" s="141" t="n"/>
      <c r="D631" s="141" t="n"/>
      <c r="E631" s="141" t="n"/>
      <c r="F631" s="141" t="n"/>
      <c r="G631" s="143" t="n"/>
      <c r="H631" s="27" t="n"/>
    </row>
    <row r="632" ht="17.25" customHeight="1" s="322">
      <c r="A632" s="27" t="n"/>
      <c r="B632" s="506" t="n"/>
      <c r="C632" s="141" t="n"/>
      <c r="D632" s="141" t="n"/>
      <c r="E632" s="141" t="n"/>
      <c r="F632" s="141" t="n"/>
      <c r="G632" s="143" t="n"/>
      <c r="H632" s="27" t="n"/>
    </row>
    <row r="633" ht="17.25" customHeight="1" s="322">
      <c r="A633" s="27" t="n"/>
      <c r="B633" s="506" t="n"/>
      <c r="C633" s="141" t="n"/>
      <c r="D633" s="141" t="n"/>
      <c r="E633" s="141" t="n"/>
      <c r="F633" s="141" t="n"/>
      <c r="G633" s="143" t="n"/>
      <c r="H633" s="27" t="n"/>
    </row>
    <row r="634" ht="17.25" customHeight="1" s="322">
      <c r="A634" s="27" t="n"/>
      <c r="B634" s="506" t="n"/>
      <c r="C634" s="141" t="n"/>
      <c r="D634" s="141" t="n"/>
      <c r="E634" s="141" t="n"/>
      <c r="F634" s="141" t="n"/>
      <c r="G634" s="143" t="n"/>
      <c r="H634" s="27" t="n"/>
    </row>
    <row r="635" ht="17.25" customHeight="1" s="322">
      <c r="A635" s="27" t="n"/>
      <c r="B635" s="506" t="n"/>
      <c r="C635" s="141" t="n"/>
      <c r="D635" s="141" t="n"/>
      <c r="E635" s="141" t="n"/>
      <c r="F635" s="141" t="n"/>
      <c r="G635" s="143" t="n"/>
      <c r="H635" s="27" t="n"/>
    </row>
    <row r="636" ht="17.25" customHeight="1" s="322">
      <c r="A636" s="27" t="n"/>
      <c r="B636" s="506" t="n"/>
      <c r="C636" s="141" t="n"/>
      <c r="D636" s="141" t="n"/>
      <c r="E636" s="141" t="n"/>
      <c r="F636" s="141" t="n"/>
      <c r="G636" s="143" t="n"/>
      <c r="H636" s="27" t="n"/>
    </row>
    <row r="637" ht="17.25" customHeight="1" s="322">
      <c r="A637" s="27" t="n"/>
      <c r="B637" s="506" t="n"/>
      <c r="C637" s="141" t="n"/>
      <c r="D637" s="141" t="n"/>
      <c r="E637" s="141" t="n"/>
      <c r="F637" s="141" t="n"/>
      <c r="G637" s="143" t="n"/>
      <c r="H637" s="27" t="n"/>
    </row>
    <row r="638" ht="17.25" customHeight="1" s="322">
      <c r="A638" s="27" t="n"/>
      <c r="B638" s="506" t="n"/>
      <c r="C638" s="141" t="n"/>
      <c r="D638" s="141" t="n"/>
      <c r="E638" s="141" t="n"/>
      <c r="F638" s="141" t="n"/>
      <c r="G638" s="143" t="n"/>
      <c r="H638" s="27" t="n"/>
    </row>
    <row r="639" ht="17.25" customHeight="1" s="322">
      <c r="A639" s="27" t="n"/>
      <c r="B639" s="506" t="n"/>
      <c r="C639" s="141" t="n"/>
      <c r="D639" s="141" t="n"/>
      <c r="E639" s="141" t="n"/>
      <c r="F639" s="141" t="n"/>
      <c r="G639" s="143" t="n"/>
      <c r="H639" s="27" t="n"/>
    </row>
    <row r="640" ht="17.25" customHeight="1" s="322">
      <c r="A640" s="27" t="n"/>
      <c r="B640" s="506" t="n"/>
      <c r="C640" s="141" t="n"/>
      <c r="D640" s="141" t="n"/>
      <c r="E640" s="141" t="n"/>
      <c r="F640" s="141" t="n"/>
      <c r="G640" s="143" t="n"/>
      <c r="H640" s="27" t="n"/>
    </row>
    <row r="641" ht="17.25" customHeight="1" s="322">
      <c r="A641" s="27" t="n"/>
      <c r="B641" s="506" t="n"/>
      <c r="C641" s="141" t="n"/>
      <c r="D641" s="141" t="n"/>
      <c r="E641" s="141" t="n"/>
      <c r="F641" s="141" t="n"/>
      <c r="G641" s="143" t="n"/>
      <c r="H641" s="27" t="n"/>
    </row>
    <row r="642" ht="17.25" customHeight="1" s="322">
      <c r="A642" s="27" t="n"/>
      <c r="B642" s="506" t="n"/>
      <c r="C642" s="141" t="n"/>
      <c r="D642" s="141" t="n"/>
      <c r="E642" s="141" t="n"/>
      <c r="F642" s="141" t="n"/>
      <c r="G642" s="143" t="n"/>
      <c r="H642" s="27" t="n"/>
    </row>
    <row r="643" ht="17.25" customHeight="1" s="322">
      <c r="A643" s="27" t="n"/>
      <c r="B643" s="506" t="n"/>
      <c r="C643" s="141" t="n"/>
      <c r="D643" s="141" t="n"/>
      <c r="E643" s="141" t="n"/>
      <c r="F643" s="141" t="n"/>
      <c r="G643" s="143" t="n"/>
      <c r="H643" s="27" t="n"/>
    </row>
    <row r="644" ht="17.25" customHeight="1" s="322">
      <c r="A644" s="27" t="n"/>
      <c r="B644" s="506" t="n"/>
      <c r="C644" s="141" t="n"/>
      <c r="D644" s="141" t="n"/>
      <c r="E644" s="141" t="n"/>
      <c r="F644" s="141" t="n"/>
      <c r="G644" s="143" t="n"/>
      <c r="H644" s="27" t="n"/>
    </row>
    <row r="645" ht="17.25" customHeight="1" s="322">
      <c r="A645" s="27" t="n"/>
      <c r="B645" s="506" t="n"/>
      <c r="C645" s="141" t="n"/>
      <c r="D645" s="141" t="n"/>
      <c r="E645" s="141" t="n"/>
      <c r="F645" s="141" t="n"/>
      <c r="G645" s="143" t="n"/>
      <c r="H645" s="27" t="n"/>
    </row>
    <row r="646" ht="17.25" customHeight="1" s="322">
      <c r="A646" s="27" t="n"/>
      <c r="B646" s="506" t="n"/>
      <c r="C646" s="141" t="n"/>
      <c r="D646" s="141" t="n"/>
      <c r="E646" s="141" t="n"/>
      <c r="F646" s="141" t="n"/>
      <c r="G646" s="143" t="n"/>
      <c r="H646" s="27" t="n"/>
    </row>
    <row r="647" ht="17.25" customHeight="1" s="322">
      <c r="A647" s="27" t="n"/>
      <c r="B647" s="506" t="n"/>
      <c r="C647" s="141" t="n"/>
      <c r="D647" s="141" t="n"/>
      <c r="E647" s="141" t="n"/>
      <c r="F647" s="141" t="n"/>
      <c r="G647" s="143" t="n"/>
      <c r="H647" s="27" t="n"/>
    </row>
    <row r="648" ht="17.25" customHeight="1" s="322">
      <c r="A648" s="27" t="n"/>
      <c r="B648" s="506" t="n"/>
      <c r="C648" s="141" t="n"/>
      <c r="D648" s="141" t="n"/>
      <c r="E648" s="141" t="n"/>
      <c r="F648" s="141" t="n"/>
      <c r="G648" s="143" t="n"/>
      <c r="H648" s="27" t="n"/>
    </row>
    <row r="649" ht="17.25" customHeight="1" s="322">
      <c r="A649" s="27" t="n"/>
      <c r="B649" s="506" t="n"/>
      <c r="C649" s="141" t="n"/>
      <c r="D649" s="141" t="n"/>
      <c r="E649" s="141" t="n"/>
      <c r="F649" s="141" t="n"/>
      <c r="G649" s="143" t="n"/>
      <c r="H649" s="27" t="n"/>
    </row>
    <row r="650" ht="17.25" customHeight="1" s="322">
      <c r="A650" s="27" t="n"/>
      <c r="B650" s="506" t="n"/>
      <c r="C650" s="141" t="n"/>
      <c r="D650" s="141" t="n"/>
      <c r="E650" s="141" t="n"/>
      <c r="F650" s="141" t="n"/>
      <c r="G650" s="143" t="n"/>
      <c r="H650" s="27" t="n"/>
    </row>
    <row r="651" ht="17.25" customHeight="1" s="322">
      <c r="A651" s="27" t="n"/>
      <c r="B651" s="506" t="n"/>
      <c r="C651" s="141" t="n"/>
      <c r="D651" s="141" t="n"/>
      <c r="E651" s="141" t="n"/>
      <c r="F651" s="141" t="n"/>
      <c r="G651" s="143" t="n"/>
      <c r="H651" s="27" t="n"/>
    </row>
    <row r="652" ht="17.25" customHeight="1" s="322">
      <c r="A652" s="27" t="n"/>
      <c r="B652" s="506" t="n"/>
      <c r="C652" s="141" t="n"/>
      <c r="D652" s="141" t="n"/>
      <c r="E652" s="141" t="n"/>
      <c r="F652" s="141" t="n"/>
      <c r="G652" s="143" t="n"/>
      <c r="H652" s="27" t="n"/>
    </row>
    <row r="653" ht="17.25" customHeight="1" s="322">
      <c r="A653" s="27" t="n"/>
      <c r="B653" s="506" t="n"/>
      <c r="C653" s="141" t="n"/>
      <c r="D653" s="141" t="n"/>
      <c r="E653" s="141" t="n"/>
      <c r="F653" s="141" t="n"/>
      <c r="G653" s="143" t="n"/>
      <c r="H653" s="27" t="n"/>
    </row>
    <row r="654" ht="17.25" customHeight="1" s="322">
      <c r="A654" s="27" t="n"/>
      <c r="B654" s="506" t="n"/>
      <c r="C654" s="141" t="n"/>
      <c r="D654" s="141" t="n"/>
      <c r="E654" s="141" t="n"/>
      <c r="F654" s="141" t="n"/>
      <c r="G654" s="143" t="n"/>
      <c r="H654" s="27" t="n"/>
    </row>
    <row r="655" ht="17.25" customHeight="1" s="322">
      <c r="A655" s="27" t="n"/>
      <c r="B655" s="506" t="n"/>
      <c r="C655" s="141" t="n"/>
      <c r="D655" s="141" t="n"/>
      <c r="E655" s="141" t="n"/>
      <c r="F655" s="141" t="n"/>
      <c r="G655" s="143" t="n"/>
      <c r="H655" s="27" t="n"/>
    </row>
    <row r="656" ht="17.25" customHeight="1" s="322">
      <c r="A656" s="27" t="n"/>
      <c r="B656" s="506" t="n"/>
      <c r="C656" s="141" t="n"/>
      <c r="D656" s="141" t="n"/>
      <c r="E656" s="141" t="n"/>
      <c r="F656" s="141" t="n"/>
      <c r="G656" s="143" t="n"/>
      <c r="H656" s="27" t="n"/>
    </row>
    <row r="657" ht="17.25" customHeight="1" s="322">
      <c r="A657" s="27" t="n"/>
      <c r="B657" s="506" t="n"/>
      <c r="C657" s="141" t="n"/>
      <c r="D657" s="141" t="n"/>
      <c r="E657" s="141" t="n"/>
      <c r="F657" s="141" t="n"/>
      <c r="G657" s="143" t="n"/>
      <c r="H657" s="27" t="n"/>
    </row>
    <row r="658" ht="17.25" customHeight="1" s="322">
      <c r="A658" s="27" t="n"/>
      <c r="B658" s="506" t="n"/>
      <c r="C658" s="141" t="n"/>
      <c r="D658" s="141" t="n"/>
      <c r="E658" s="141" t="n"/>
      <c r="F658" s="141" t="n"/>
      <c r="G658" s="143" t="n"/>
      <c r="H658" s="27" t="n"/>
    </row>
    <row r="659" ht="17.25" customHeight="1" s="322">
      <c r="A659" s="27" t="n"/>
      <c r="B659" s="506" t="n"/>
      <c r="C659" s="141" t="n"/>
      <c r="D659" s="141" t="n"/>
      <c r="E659" s="141" t="n"/>
      <c r="F659" s="141" t="n"/>
      <c r="G659" s="143" t="n"/>
      <c r="H659" s="27" t="n"/>
    </row>
    <row r="660" ht="17.25" customHeight="1" s="322">
      <c r="A660" s="27" t="n"/>
      <c r="B660" s="506" t="n"/>
      <c r="C660" s="141" t="n"/>
      <c r="D660" s="141" t="n"/>
      <c r="E660" s="141" t="n"/>
      <c r="F660" s="141" t="n"/>
      <c r="G660" s="143" t="n"/>
      <c r="H660" s="27" t="n"/>
    </row>
    <row r="661" ht="17.25" customHeight="1" s="322">
      <c r="A661" s="27" t="n"/>
      <c r="B661" s="506" t="n"/>
      <c r="C661" s="141" t="n"/>
      <c r="D661" s="141" t="n"/>
      <c r="E661" s="141" t="n"/>
      <c r="F661" s="141" t="n"/>
      <c r="G661" s="143" t="n"/>
      <c r="H661" s="27" t="n"/>
    </row>
    <row r="662" ht="17.25" customHeight="1" s="322">
      <c r="A662" s="27" t="n"/>
      <c r="B662" s="506" t="n"/>
      <c r="C662" s="141" t="n"/>
      <c r="D662" s="141" t="n"/>
      <c r="E662" s="141" t="n"/>
      <c r="F662" s="141" t="n"/>
      <c r="G662" s="143" t="n"/>
      <c r="H662" s="27" t="n"/>
    </row>
    <row r="663" ht="17.25" customHeight="1" s="322">
      <c r="A663" s="27" t="n"/>
      <c r="B663" s="506" t="n"/>
      <c r="C663" s="141" t="n"/>
      <c r="D663" s="141" t="n"/>
      <c r="E663" s="141" t="n"/>
      <c r="F663" s="141" t="n"/>
      <c r="G663" s="143" t="n"/>
      <c r="H663" s="27" t="n"/>
    </row>
    <row r="664" ht="17.25" customHeight="1" s="322">
      <c r="A664" s="27" t="n"/>
      <c r="B664" s="506" t="n"/>
      <c r="C664" s="141" t="n"/>
      <c r="D664" s="141" t="n"/>
      <c r="E664" s="141" t="n"/>
      <c r="F664" s="141" t="n"/>
      <c r="G664" s="143" t="n"/>
      <c r="H664" s="27" t="n"/>
    </row>
    <row r="665" ht="17.25" customHeight="1" s="322">
      <c r="A665" s="27" t="n"/>
      <c r="B665" s="506" t="n"/>
      <c r="C665" s="141" t="n"/>
      <c r="D665" s="141" t="n"/>
      <c r="E665" s="141" t="n"/>
      <c r="F665" s="141" t="n"/>
      <c r="G665" s="143" t="n"/>
      <c r="H665" s="27" t="n"/>
    </row>
    <row r="666" ht="17.25" customHeight="1" s="322">
      <c r="A666" s="27" t="n"/>
      <c r="B666" s="506" t="n"/>
      <c r="C666" s="141" t="n"/>
      <c r="D666" s="141" t="n"/>
      <c r="E666" s="141" t="n"/>
      <c r="F666" s="141" t="n"/>
      <c r="G666" s="143" t="n"/>
      <c r="H666" s="27" t="n"/>
    </row>
    <row r="667" ht="17.25" customHeight="1" s="322">
      <c r="A667" s="27" t="n"/>
      <c r="B667" s="506" t="n"/>
      <c r="C667" s="141" t="n"/>
      <c r="D667" s="141" t="n"/>
      <c r="E667" s="141" t="n"/>
      <c r="F667" s="141" t="n"/>
      <c r="G667" s="143" t="n"/>
      <c r="H667" s="27" t="n"/>
    </row>
    <row r="668" ht="17.25" customHeight="1" s="322">
      <c r="A668" s="27" t="n"/>
      <c r="B668" s="506" t="n"/>
      <c r="C668" s="141" t="n"/>
      <c r="D668" s="141" t="n"/>
      <c r="E668" s="141" t="n"/>
      <c r="F668" s="141" t="n"/>
      <c r="G668" s="143" t="n"/>
      <c r="H668" s="27" t="n"/>
    </row>
    <row r="669" ht="17.25" customHeight="1" s="322">
      <c r="A669" s="27" t="n"/>
      <c r="B669" s="506" t="n"/>
      <c r="C669" s="141" t="n"/>
      <c r="D669" s="141" t="n"/>
      <c r="E669" s="141" t="n"/>
      <c r="F669" s="141" t="n"/>
      <c r="G669" s="143" t="n"/>
      <c r="H669" s="27" t="n"/>
    </row>
    <row r="670" ht="17.25" customHeight="1" s="322">
      <c r="A670" s="27" t="n"/>
      <c r="B670" s="506" t="n"/>
      <c r="C670" s="141" t="n"/>
      <c r="D670" s="141" t="n"/>
      <c r="E670" s="141" t="n"/>
      <c r="F670" s="141" t="n"/>
      <c r="G670" s="143" t="n"/>
      <c r="H670" s="27" t="n"/>
    </row>
    <row r="671" ht="17.25" customHeight="1" s="322">
      <c r="A671" s="27" t="n"/>
      <c r="B671" s="506" t="n"/>
      <c r="C671" s="141" t="n"/>
      <c r="D671" s="141" t="n"/>
      <c r="E671" s="141" t="n"/>
      <c r="F671" s="141" t="n"/>
      <c r="G671" s="143" t="n"/>
      <c r="H671" s="27" t="n"/>
    </row>
    <row r="672" ht="17.25" customHeight="1" s="322">
      <c r="A672" s="27" t="n"/>
      <c r="B672" s="506" t="n"/>
      <c r="C672" s="141" t="n"/>
      <c r="D672" s="141" t="n"/>
      <c r="E672" s="141" t="n"/>
      <c r="F672" s="141" t="n"/>
      <c r="G672" s="143" t="n"/>
      <c r="H672" s="27" t="n"/>
    </row>
    <row r="673" ht="17.25" customHeight="1" s="322">
      <c r="A673" s="27" t="n"/>
      <c r="B673" s="506" t="n"/>
      <c r="C673" s="141" t="n"/>
      <c r="D673" s="141" t="n"/>
      <c r="E673" s="141" t="n"/>
      <c r="F673" s="141" t="n"/>
      <c r="G673" s="143" t="n"/>
      <c r="H673" s="27" t="n"/>
    </row>
    <row r="674" ht="17.25" customHeight="1" s="322">
      <c r="A674" s="27" t="n"/>
      <c r="B674" s="506" t="n"/>
      <c r="C674" s="141" t="n"/>
      <c r="D674" s="141" t="n"/>
      <c r="E674" s="141" t="n"/>
      <c r="F674" s="141" t="n"/>
      <c r="G674" s="143" t="n"/>
      <c r="H674" s="27" t="n"/>
    </row>
    <row r="675" ht="17.25" customHeight="1" s="322">
      <c r="A675" s="27" t="n"/>
      <c r="B675" s="506" t="n"/>
      <c r="C675" s="141" t="n"/>
      <c r="D675" s="141" t="n"/>
      <c r="E675" s="141" t="n"/>
      <c r="F675" s="141" t="n"/>
      <c r="G675" s="143" t="n"/>
      <c r="H675" s="27" t="n"/>
    </row>
    <row r="676" ht="17.25" customHeight="1" s="322">
      <c r="A676" s="27" t="n"/>
      <c r="B676" s="506" t="n"/>
      <c r="C676" s="141" t="n"/>
      <c r="D676" s="141" t="n"/>
      <c r="E676" s="141" t="n"/>
      <c r="F676" s="141" t="n"/>
      <c r="G676" s="143" t="n"/>
      <c r="H676" s="27" t="n"/>
    </row>
    <row r="677" ht="17.25" customHeight="1" s="322">
      <c r="A677" s="27" t="n"/>
      <c r="B677" s="506" t="n"/>
      <c r="C677" s="141" t="n"/>
      <c r="D677" s="141" t="n"/>
      <c r="E677" s="141" t="n"/>
      <c r="F677" s="141" t="n"/>
      <c r="G677" s="143" t="n"/>
      <c r="H677" s="27" t="n"/>
    </row>
    <row r="678" ht="17.25" customHeight="1" s="322">
      <c r="A678" s="27" t="n"/>
      <c r="B678" s="506" t="n"/>
      <c r="C678" s="141" t="n"/>
      <c r="D678" s="141" t="n"/>
      <c r="E678" s="141" t="n"/>
      <c r="F678" s="141" t="n"/>
      <c r="G678" s="143" t="n"/>
      <c r="H678" s="27" t="n"/>
    </row>
    <row r="679" ht="17.25" customHeight="1" s="322">
      <c r="A679" s="27" t="n"/>
      <c r="B679" s="506" t="n"/>
      <c r="C679" s="141" t="n"/>
      <c r="D679" s="141" t="n"/>
      <c r="E679" s="141" t="n"/>
      <c r="F679" s="141" t="n"/>
      <c r="G679" s="143" t="n"/>
      <c r="H679" s="27" t="n"/>
    </row>
    <row r="680" ht="17.25" customHeight="1" s="322">
      <c r="A680" s="27" t="n"/>
      <c r="B680" s="506" t="n"/>
      <c r="C680" s="141" t="n"/>
      <c r="D680" s="141" t="n"/>
      <c r="E680" s="141" t="n"/>
      <c r="F680" s="141" t="n"/>
      <c r="G680" s="143" t="n"/>
      <c r="H680" s="27" t="n"/>
    </row>
    <row r="681" ht="17.25" customHeight="1" s="322">
      <c r="A681" s="27" t="n"/>
      <c r="B681" s="506" t="n"/>
      <c r="C681" s="141" t="n"/>
      <c r="D681" s="141" t="n"/>
      <c r="E681" s="141" t="n"/>
      <c r="F681" s="141" t="n"/>
      <c r="G681" s="143" t="n"/>
      <c r="H681" s="27" t="n"/>
    </row>
    <row r="682" ht="17.25" customHeight="1" s="322">
      <c r="A682" s="27" t="n"/>
      <c r="B682" s="506" t="n"/>
      <c r="C682" s="141" t="n"/>
      <c r="D682" s="141" t="n"/>
      <c r="E682" s="141" t="n"/>
      <c r="F682" s="141" t="n"/>
      <c r="G682" s="143" t="n"/>
      <c r="H682" s="27" t="n"/>
    </row>
    <row r="683" ht="17.25" customHeight="1" s="322">
      <c r="A683" s="27" t="n"/>
      <c r="B683" s="506" t="n"/>
      <c r="C683" s="141" t="n"/>
      <c r="D683" s="141" t="n"/>
      <c r="E683" s="141" t="n"/>
      <c r="F683" s="141" t="n"/>
      <c r="G683" s="143" t="n"/>
      <c r="H683" s="27" t="n"/>
    </row>
    <row r="684" ht="17.25" customHeight="1" s="322">
      <c r="A684" s="27" t="n"/>
      <c r="B684" s="506" t="n"/>
      <c r="C684" s="141" t="n"/>
      <c r="D684" s="141" t="n"/>
      <c r="E684" s="141" t="n"/>
      <c r="F684" s="141" t="n"/>
      <c r="G684" s="143" t="n"/>
      <c r="H684" s="27" t="n"/>
    </row>
    <row r="685" ht="17.25" customHeight="1" s="322">
      <c r="A685" s="27" t="n"/>
      <c r="B685" s="506" t="n"/>
      <c r="C685" s="141" t="n"/>
      <c r="D685" s="141" t="n"/>
      <c r="E685" s="141" t="n"/>
      <c r="F685" s="141" t="n"/>
      <c r="G685" s="143" t="n"/>
      <c r="H685" s="27" t="n"/>
    </row>
    <row r="686" ht="17.25" customHeight="1" s="322">
      <c r="A686" s="27" t="n"/>
      <c r="B686" s="506" t="n"/>
      <c r="C686" s="141" t="n"/>
      <c r="D686" s="141" t="n"/>
      <c r="E686" s="141" t="n"/>
      <c r="F686" s="141" t="n"/>
      <c r="G686" s="143" t="n"/>
      <c r="H686" s="27" t="n"/>
    </row>
    <row r="687" ht="17.25" customHeight="1" s="322">
      <c r="A687" s="27" t="n"/>
      <c r="B687" s="506" t="n"/>
      <c r="C687" s="141" t="n"/>
      <c r="D687" s="141" t="n"/>
      <c r="E687" s="141" t="n"/>
      <c r="F687" s="141" t="n"/>
      <c r="G687" s="143" t="n"/>
      <c r="H687" s="27" t="n"/>
    </row>
    <row r="688" ht="17.25" customHeight="1" s="322">
      <c r="A688" s="27" t="n"/>
      <c r="B688" s="506" t="n"/>
      <c r="C688" s="141" t="n"/>
      <c r="D688" s="141" t="n"/>
      <c r="E688" s="141" t="n"/>
      <c r="F688" s="141" t="n"/>
      <c r="G688" s="143" t="n"/>
      <c r="H688" s="27" t="n"/>
    </row>
    <row r="689" ht="17.25" customHeight="1" s="322">
      <c r="A689" s="27" t="n"/>
      <c r="B689" s="506" t="n"/>
      <c r="C689" s="141" t="n"/>
      <c r="D689" s="141" t="n"/>
      <c r="E689" s="141" t="n"/>
      <c r="F689" s="141" t="n"/>
      <c r="G689" s="143" t="n"/>
      <c r="H689" s="27" t="n"/>
    </row>
    <row r="690" ht="17.25" customHeight="1" s="322">
      <c r="A690" s="27" t="n"/>
      <c r="B690" s="506" t="n"/>
      <c r="C690" s="141" t="n"/>
      <c r="D690" s="141" t="n"/>
      <c r="E690" s="141" t="n"/>
      <c r="F690" s="141" t="n"/>
      <c r="G690" s="143" t="n"/>
      <c r="H690" s="27" t="n"/>
    </row>
    <row r="691" ht="17.25" customHeight="1" s="322">
      <c r="A691" s="27" t="n"/>
      <c r="B691" s="506" t="n"/>
      <c r="C691" s="141" t="n"/>
      <c r="D691" s="141" t="n"/>
      <c r="E691" s="141" t="n"/>
      <c r="F691" s="141" t="n"/>
      <c r="G691" s="143" t="n"/>
      <c r="H691" s="27" t="n"/>
    </row>
    <row r="692" ht="17.25" customHeight="1" s="322">
      <c r="A692" s="27" t="n"/>
      <c r="B692" s="506" t="n"/>
      <c r="C692" s="141" t="n"/>
      <c r="D692" s="141" t="n"/>
      <c r="E692" s="141" t="n"/>
      <c r="F692" s="141" t="n"/>
      <c r="G692" s="143" t="n"/>
      <c r="H692" s="27" t="n"/>
    </row>
    <row r="693" ht="17.25" customHeight="1" s="322">
      <c r="A693" s="27" t="n"/>
      <c r="B693" s="506" t="n"/>
      <c r="C693" s="141" t="n"/>
      <c r="D693" s="141" t="n"/>
      <c r="E693" s="141" t="n"/>
      <c r="F693" s="141" t="n"/>
      <c r="G693" s="143" t="n"/>
      <c r="H693" s="27" t="n"/>
    </row>
    <row r="694" ht="17.25" customHeight="1" s="322">
      <c r="A694" s="27" t="n"/>
      <c r="B694" s="506" t="n"/>
      <c r="C694" s="141" t="n"/>
      <c r="D694" s="141" t="n"/>
      <c r="E694" s="141" t="n"/>
      <c r="F694" s="141" t="n"/>
      <c r="G694" s="143" t="n"/>
      <c r="H694" s="27" t="n"/>
    </row>
    <row r="695" ht="17.25" customHeight="1" s="322">
      <c r="A695" s="27" t="n"/>
      <c r="B695" s="506" t="n"/>
      <c r="C695" s="141" t="n"/>
      <c r="D695" s="141" t="n"/>
      <c r="E695" s="141" t="n"/>
      <c r="F695" s="141" t="n"/>
      <c r="G695" s="143" t="n"/>
      <c r="H695" s="27" t="n"/>
    </row>
    <row r="696" ht="17.25" customHeight="1" s="322">
      <c r="A696" s="27" t="n"/>
      <c r="B696" s="506" t="n"/>
      <c r="C696" s="141" t="n"/>
      <c r="D696" s="141" t="n"/>
      <c r="E696" s="141" t="n"/>
      <c r="F696" s="141" t="n"/>
      <c r="G696" s="143" t="n"/>
      <c r="H696" s="27" t="n"/>
    </row>
    <row r="697" ht="17.25" customHeight="1" s="322">
      <c r="A697" s="27" t="n"/>
      <c r="B697" s="506" t="n"/>
      <c r="C697" s="141" t="n"/>
      <c r="D697" s="141" t="n"/>
      <c r="E697" s="141" t="n"/>
      <c r="F697" s="141" t="n"/>
      <c r="G697" s="143" t="n"/>
      <c r="H697" s="27" t="n"/>
    </row>
    <row r="698" ht="17.25" customHeight="1" s="322">
      <c r="A698" s="27" t="n"/>
      <c r="B698" s="506" t="n"/>
      <c r="C698" s="141" t="n"/>
      <c r="D698" s="141" t="n"/>
      <c r="E698" s="141" t="n"/>
      <c r="F698" s="141" t="n"/>
      <c r="G698" s="143" t="n"/>
      <c r="H698" s="27" t="n"/>
    </row>
    <row r="699" ht="17.25" customHeight="1" s="322">
      <c r="A699" s="27" t="n"/>
      <c r="B699" s="506" t="n"/>
      <c r="C699" s="141" t="n"/>
      <c r="D699" s="141" t="n"/>
      <c r="E699" s="141" t="n"/>
      <c r="F699" s="141" t="n"/>
      <c r="G699" s="143" t="n"/>
      <c r="H699" s="27" t="n"/>
    </row>
    <row r="700" ht="17.25" customHeight="1" s="322">
      <c r="A700" s="27" t="n"/>
      <c r="B700" s="506" t="n"/>
      <c r="C700" s="141" t="n"/>
      <c r="D700" s="141" t="n"/>
      <c r="E700" s="141" t="n"/>
      <c r="F700" s="141" t="n"/>
      <c r="G700" s="143" t="n"/>
      <c r="H700" s="27" t="n"/>
    </row>
    <row r="701" ht="17.25" customHeight="1" s="322">
      <c r="A701" s="27" t="n"/>
      <c r="B701" s="506" t="n"/>
      <c r="C701" s="141" t="n"/>
      <c r="D701" s="141" t="n"/>
      <c r="E701" s="141" t="n"/>
      <c r="F701" s="141" t="n"/>
      <c r="G701" s="143" t="n"/>
      <c r="H701" s="27" t="n"/>
    </row>
    <row r="702" ht="17.25" customHeight="1" s="322">
      <c r="A702" s="27" t="n"/>
      <c r="B702" s="506" t="n"/>
      <c r="C702" s="141" t="n"/>
      <c r="D702" s="141" t="n"/>
      <c r="E702" s="141" t="n"/>
      <c r="F702" s="141" t="n"/>
      <c r="G702" s="143" t="n"/>
      <c r="H702" s="27" t="n"/>
    </row>
    <row r="703" ht="17.25" customHeight="1" s="322">
      <c r="A703" s="27" t="n"/>
      <c r="B703" s="506" t="n"/>
      <c r="C703" s="141" t="n"/>
      <c r="D703" s="141" t="n"/>
      <c r="E703" s="141" t="n"/>
      <c r="F703" s="141" t="n"/>
      <c r="G703" s="143" t="n"/>
      <c r="H703" s="27" t="n"/>
    </row>
    <row r="704" ht="17.25" customHeight="1" s="322">
      <c r="A704" s="27" t="n"/>
      <c r="B704" s="506" t="n"/>
      <c r="C704" s="141" t="n"/>
      <c r="D704" s="141" t="n"/>
      <c r="E704" s="141" t="n"/>
      <c r="F704" s="141" t="n"/>
      <c r="G704" s="143" t="n"/>
      <c r="H704" s="27" t="n"/>
    </row>
    <row r="705" ht="17.25" customHeight="1" s="322">
      <c r="A705" s="27" t="n"/>
      <c r="B705" s="506" t="n"/>
      <c r="C705" s="141" t="n"/>
      <c r="D705" s="141" t="n"/>
      <c r="E705" s="141" t="n"/>
      <c r="F705" s="141" t="n"/>
      <c r="G705" s="143" t="n"/>
      <c r="H705" s="27" t="n"/>
    </row>
    <row r="706" ht="17.25" customHeight="1" s="322">
      <c r="A706" s="27" t="n"/>
      <c r="B706" s="506" t="n"/>
      <c r="C706" s="141" t="n"/>
      <c r="D706" s="141" t="n"/>
      <c r="E706" s="141" t="n"/>
      <c r="F706" s="141" t="n"/>
      <c r="G706" s="143" t="n"/>
      <c r="H706" s="27" t="n"/>
    </row>
    <row r="707" ht="17.25" customHeight="1" s="322">
      <c r="A707" s="27" t="n"/>
      <c r="B707" s="506" t="n"/>
      <c r="C707" s="141" t="n"/>
      <c r="D707" s="141" t="n"/>
      <c r="E707" s="141" t="n"/>
      <c r="F707" s="141" t="n"/>
      <c r="G707" s="143" t="n"/>
      <c r="H707" s="27" t="n"/>
    </row>
    <row r="708" ht="17.25" customHeight="1" s="322">
      <c r="A708" s="27" t="n"/>
      <c r="B708" s="506" t="n"/>
      <c r="C708" s="141" t="n"/>
      <c r="D708" s="141" t="n"/>
      <c r="E708" s="141" t="n"/>
      <c r="F708" s="141" t="n"/>
      <c r="G708" s="143" t="n"/>
      <c r="H708" s="27" t="n"/>
    </row>
    <row r="709" ht="17.25" customHeight="1" s="322">
      <c r="A709" s="27" t="n"/>
      <c r="B709" s="506" t="n"/>
      <c r="C709" s="141" t="n"/>
      <c r="D709" s="141" t="n"/>
      <c r="E709" s="141" t="n"/>
      <c r="F709" s="141" t="n"/>
      <c r="G709" s="143" t="n"/>
      <c r="H709" s="27" t="n"/>
    </row>
    <row r="710" ht="17.25" customHeight="1" s="322">
      <c r="A710" s="27" t="n"/>
      <c r="B710" s="506" t="n"/>
      <c r="C710" s="141" t="n"/>
      <c r="D710" s="141" t="n"/>
      <c r="E710" s="141" t="n"/>
      <c r="F710" s="141" t="n"/>
      <c r="G710" s="143" t="n"/>
      <c r="H710" s="27" t="n"/>
    </row>
    <row r="711" ht="17.25" customHeight="1" s="322">
      <c r="A711" s="27" t="n"/>
      <c r="B711" s="506" t="n"/>
      <c r="C711" s="141" t="n"/>
      <c r="D711" s="141" t="n"/>
      <c r="E711" s="141" t="n"/>
      <c r="F711" s="141" t="n"/>
      <c r="G711" s="143" t="n"/>
      <c r="H711" s="27" t="n"/>
    </row>
    <row r="712" ht="17.25" customHeight="1" s="322">
      <c r="A712" s="27" t="n"/>
      <c r="B712" s="506" t="n"/>
      <c r="C712" s="141" t="n"/>
      <c r="D712" s="141" t="n"/>
      <c r="E712" s="141" t="n"/>
      <c r="F712" s="141" t="n"/>
      <c r="G712" s="143" t="n"/>
      <c r="H712" s="27" t="n"/>
    </row>
    <row r="713" ht="17.25" customHeight="1" s="322">
      <c r="A713" s="27" t="n"/>
      <c r="B713" s="506" t="n"/>
      <c r="C713" s="141" t="n"/>
      <c r="D713" s="141" t="n"/>
      <c r="E713" s="141" t="n"/>
      <c r="F713" s="141" t="n"/>
      <c r="G713" s="143" t="n"/>
      <c r="H713" s="27" t="n"/>
    </row>
    <row r="714" ht="17.25" customHeight="1" s="322">
      <c r="A714" s="27" t="n"/>
      <c r="B714" s="506" t="n"/>
      <c r="C714" s="141" t="n"/>
      <c r="D714" s="141" t="n"/>
      <c r="E714" s="141" t="n"/>
      <c r="F714" s="141" t="n"/>
      <c r="G714" s="143" t="n"/>
      <c r="H714" s="27" t="n"/>
    </row>
    <row r="715" ht="17.25" customHeight="1" s="322">
      <c r="A715" s="27" t="n"/>
      <c r="B715" s="506" t="n"/>
      <c r="C715" s="141" t="n"/>
      <c r="D715" s="141" t="n"/>
      <c r="E715" s="141" t="n"/>
      <c r="F715" s="141" t="n"/>
      <c r="G715" s="143" t="n"/>
      <c r="H715" s="27" t="n"/>
    </row>
    <row r="716" ht="17.25" customHeight="1" s="322">
      <c r="A716" s="27" t="n"/>
      <c r="B716" s="506" t="n"/>
      <c r="C716" s="141" t="n"/>
      <c r="D716" s="141" t="n"/>
      <c r="E716" s="141" t="n"/>
      <c r="F716" s="141" t="n"/>
      <c r="G716" s="143" t="n"/>
      <c r="H716" s="27" t="n"/>
    </row>
    <row r="717" ht="17.25" customHeight="1" s="322">
      <c r="A717" s="27" t="n"/>
      <c r="B717" s="506" t="n"/>
      <c r="C717" s="141" t="n"/>
      <c r="D717" s="141" t="n"/>
      <c r="E717" s="141" t="n"/>
      <c r="F717" s="141" t="n"/>
      <c r="G717" s="143" t="n"/>
      <c r="H717" s="27" t="n"/>
    </row>
    <row r="718" ht="17.25" customHeight="1" s="322">
      <c r="A718" s="27" t="n"/>
      <c r="B718" s="506" t="n"/>
      <c r="C718" s="141" t="n"/>
      <c r="D718" s="141" t="n"/>
      <c r="E718" s="141" t="n"/>
      <c r="F718" s="141" t="n"/>
      <c r="G718" s="143" t="n"/>
      <c r="H718" s="27" t="n"/>
    </row>
    <row r="719" ht="17.25" customHeight="1" s="322">
      <c r="A719" s="27" t="n"/>
      <c r="B719" s="506" t="n"/>
      <c r="C719" s="141" t="n"/>
      <c r="D719" s="141" t="n"/>
      <c r="E719" s="141" t="n"/>
      <c r="F719" s="141" t="n"/>
      <c r="G719" s="143" t="n"/>
      <c r="H719" s="27" t="n"/>
    </row>
    <row r="720" ht="17.25" customHeight="1" s="322">
      <c r="A720" s="27" t="n"/>
      <c r="B720" s="506" t="n"/>
      <c r="C720" s="141" t="n"/>
      <c r="D720" s="141" t="n"/>
      <c r="E720" s="141" t="n"/>
      <c r="F720" s="141" t="n"/>
      <c r="G720" s="143" t="n"/>
      <c r="H720" s="27" t="n"/>
    </row>
    <row r="721" ht="17.25" customHeight="1" s="322">
      <c r="A721" s="27" t="n"/>
      <c r="B721" s="506" t="n"/>
      <c r="C721" s="141" t="n"/>
      <c r="D721" s="141" t="n"/>
      <c r="E721" s="141" t="n"/>
      <c r="F721" s="141" t="n"/>
      <c r="G721" s="143" t="n"/>
      <c r="H721" s="27" t="n"/>
    </row>
    <row r="722" ht="17.25" customHeight="1" s="322">
      <c r="A722" s="27" t="n"/>
      <c r="B722" s="506" t="n"/>
      <c r="C722" s="141" t="n"/>
      <c r="D722" s="141" t="n"/>
      <c r="E722" s="141" t="n"/>
      <c r="F722" s="141" t="n"/>
      <c r="G722" s="143" t="n"/>
      <c r="H722" s="27" t="n"/>
    </row>
    <row r="723" ht="17.25" customHeight="1" s="322">
      <c r="A723" s="27" t="n"/>
      <c r="B723" s="506" t="n"/>
      <c r="C723" s="141" t="n"/>
      <c r="D723" s="141" t="n"/>
      <c r="E723" s="141" t="n"/>
      <c r="F723" s="141" t="n"/>
      <c r="G723" s="143" t="n"/>
      <c r="H723" s="27" t="n"/>
    </row>
    <row r="724" ht="17.25" customHeight="1" s="322">
      <c r="A724" s="27" t="n"/>
      <c r="B724" s="506" t="n"/>
      <c r="C724" s="141" t="n"/>
      <c r="D724" s="141" t="n"/>
      <c r="E724" s="141" t="n"/>
      <c r="F724" s="141" t="n"/>
      <c r="G724" s="143" t="n"/>
      <c r="H724" s="27" t="n"/>
    </row>
    <row r="725" ht="17.25" customHeight="1" s="322">
      <c r="A725" s="27" t="n"/>
      <c r="B725" s="506" t="n"/>
      <c r="C725" s="141" t="n"/>
      <c r="D725" s="141" t="n"/>
      <c r="E725" s="141" t="n"/>
      <c r="F725" s="141" t="n"/>
      <c r="G725" s="143" t="n"/>
      <c r="H725" s="27" t="n"/>
    </row>
    <row r="726" ht="17.25" customHeight="1" s="322">
      <c r="A726" s="27" t="n"/>
      <c r="B726" s="506" t="n"/>
      <c r="C726" s="141" t="n"/>
      <c r="D726" s="141" t="n"/>
      <c r="E726" s="141" t="n"/>
      <c r="F726" s="141" t="n"/>
      <c r="G726" s="143" t="n"/>
      <c r="H726" s="27" t="n"/>
    </row>
    <row r="727" ht="17.25" customHeight="1" s="322">
      <c r="A727" s="27" t="n"/>
      <c r="B727" s="506" t="n"/>
      <c r="C727" s="141" t="n"/>
      <c r="D727" s="141" t="n"/>
      <c r="E727" s="141" t="n"/>
      <c r="F727" s="141" t="n"/>
      <c r="G727" s="143" t="n"/>
      <c r="H727" s="27" t="n"/>
    </row>
    <row r="728" ht="17.25" customHeight="1" s="322">
      <c r="A728" s="27" t="n"/>
      <c r="B728" s="506" t="n"/>
      <c r="C728" s="141" t="n"/>
      <c r="D728" s="141" t="n"/>
      <c r="E728" s="141" t="n"/>
      <c r="F728" s="141" t="n"/>
      <c r="G728" s="143" t="n"/>
      <c r="H728" s="27" t="n"/>
    </row>
    <row r="729" ht="17.25" customHeight="1" s="322">
      <c r="A729" s="27" t="n"/>
      <c r="B729" s="506" t="n"/>
      <c r="C729" s="141" t="n"/>
      <c r="D729" s="141" t="n"/>
      <c r="E729" s="141" t="n"/>
      <c r="F729" s="141" t="n"/>
      <c r="G729" s="143" t="n"/>
      <c r="H729" s="27" t="n"/>
    </row>
    <row r="730" ht="17.25" customHeight="1" s="322">
      <c r="A730" s="27" t="n"/>
      <c r="B730" s="506" t="n"/>
      <c r="C730" s="141" t="n"/>
      <c r="D730" s="141" t="n"/>
      <c r="E730" s="141" t="n"/>
      <c r="F730" s="141" t="n"/>
      <c r="G730" s="143" t="n"/>
      <c r="H730" s="27" t="n"/>
    </row>
    <row r="731" ht="17.25" customHeight="1" s="322">
      <c r="A731" s="27" t="n"/>
      <c r="B731" s="506" t="n"/>
      <c r="C731" s="141" t="n"/>
      <c r="D731" s="141" t="n"/>
      <c r="E731" s="141" t="n"/>
      <c r="F731" s="141" t="n"/>
      <c r="G731" s="143" t="n"/>
      <c r="H731" s="27" t="n"/>
    </row>
    <row r="732" ht="17.25" customHeight="1" s="322">
      <c r="A732" s="27" t="n"/>
      <c r="B732" s="506" t="n"/>
      <c r="C732" s="141" t="n"/>
      <c r="D732" s="141" t="n"/>
      <c r="E732" s="141" t="n"/>
      <c r="F732" s="141" t="n"/>
      <c r="G732" s="143" t="n"/>
      <c r="H732" s="27" t="n"/>
    </row>
    <row r="733" ht="17.25" customHeight="1" s="322">
      <c r="A733" s="27" t="n"/>
      <c r="B733" s="506" t="n"/>
      <c r="C733" s="141" t="n"/>
      <c r="D733" s="141" t="n"/>
      <c r="E733" s="141" t="n"/>
      <c r="F733" s="141" t="n"/>
      <c r="G733" s="143" t="n"/>
      <c r="H733" s="27" t="n"/>
    </row>
    <row r="734" ht="17.25" customHeight="1" s="322">
      <c r="A734" s="27" t="n"/>
      <c r="B734" s="506" t="n"/>
      <c r="C734" s="141" t="n"/>
      <c r="D734" s="141" t="n"/>
      <c r="E734" s="141" t="n"/>
      <c r="F734" s="141" t="n"/>
      <c r="G734" s="143" t="n"/>
      <c r="H734" s="27" t="n"/>
    </row>
    <row r="735" ht="17.25" customHeight="1" s="322">
      <c r="A735" s="27" t="n"/>
      <c r="B735" s="506" t="n"/>
      <c r="C735" s="141" t="n"/>
      <c r="D735" s="141" t="n"/>
      <c r="E735" s="141" t="n"/>
      <c r="F735" s="141" t="n"/>
      <c r="G735" s="143" t="n"/>
      <c r="H735" s="27" t="n"/>
    </row>
    <row r="736" ht="17.25" customHeight="1" s="322">
      <c r="A736" s="27" t="n"/>
      <c r="B736" s="506" t="n"/>
      <c r="C736" s="141" t="n"/>
      <c r="D736" s="141" t="n"/>
      <c r="E736" s="141" t="n"/>
      <c r="F736" s="141" t="n"/>
      <c r="G736" s="143" t="n"/>
      <c r="H736" s="27" t="n"/>
    </row>
    <row r="737" ht="17.25" customHeight="1" s="322">
      <c r="A737" s="27" t="n"/>
      <c r="B737" s="506" t="n"/>
      <c r="C737" s="141" t="n"/>
      <c r="D737" s="141" t="n"/>
      <c r="E737" s="141" t="n"/>
      <c r="F737" s="141" t="n"/>
      <c r="G737" s="143" t="n"/>
      <c r="H737" s="27" t="n"/>
    </row>
    <row r="738" ht="17.25" customHeight="1" s="322">
      <c r="A738" s="27" t="n"/>
      <c r="B738" s="506" t="n"/>
      <c r="C738" s="141" t="n"/>
      <c r="D738" s="141" t="n"/>
      <c r="E738" s="141" t="n"/>
      <c r="F738" s="141" t="n"/>
      <c r="G738" s="143" t="n"/>
      <c r="H738" s="27" t="n"/>
    </row>
    <row r="739" ht="17.25" customHeight="1" s="322">
      <c r="A739" s="27" t="n"/>
      <c r="B739" s="506" t="n"/>
      <c r="C739" s="141" t="n"/>
      <c r="D739" s="141" t="n"/>
      <c r="E739" s="141" t="n"/>
      <c r="F739" s="141" t="n"/>
      <c r="G739" s="143" t="n"/>
      <c r="H739" s="27" t="n"/>
    </row>
    <row r="740" ht="17.25" customHeight="1" s="322">
      <c r="A740" s="27" t="n"/>
      <c r="B740" s="506" t="n"/>
      <c r="C740" s="141" t="n"/>
      <c r="D740" s="141" t="n"/>
      <c r="E740" s="141" t="n"/>
      <c r="F740" s="141" t="n"/>
      <c r="G740" s="143" t="n"/>
      <c r="H740" s="27" t="n"/>
    </row>
    <row r="741" ht="17.25" customHeight="1" s="322">
      <c r="A741" s="27" t="n"/>
      <c r="B741" s="506" t="n"/>
      <c r="C741" s="141" t="n"/>
      <c r="D741" s="141" t="n"/>
      <c r="E741" s="141" t="n"/>
      <c r="F741" s="141" t="n"/>
      <c r="G741" s="143" t="n"/>
      <c r="H741" s="27" t="n"/>
    </row>
    <row r="742" ht="17.25" customHeight="1" s="322">
      <c r="A742" s="27" t="n"/>
      <c r="B742" s="506" t="n"/>
      <c r="C742" s="141" t="n"/>
      <c r="D742" s="141" t="n"/>
      <c r="E742" s="141" t="n"/>
      <c r="F742" s="141" t="n"/>
      <c r="G742" s="143" t="n"/>
      <c r="H742" s="27" t="n"/>
    </row>
    <row r="743" ht="17.25" customHeight="1" s="322">
      <c r="A743" s="27" t="n"/>
      <c r="B743" s="506" t="n"/>
      <c r="C743" s="141" t="n"/>
      <c r="D743" s="141" t="n"/>
      <c r="E743" s="141" t="n"/>
      <c r="F743" s="141" t="n"/>
      <c r="G743" s="143" t="n"/>
      <c r="H743" s="27" t="n"/>
    </row>
    <row r="744" ht="17.25" customHeight="1" s="322">
      <c r="A744" s="27" t="n"/>
      <c r="B744" s="506" t="n"/>
      <c r="C744" s="141" t="n"/>
      <c r="D744" s="141" t="n"/>
      <c r="E744" s="141" t="n"/>
      <c r="F744" s="141" t="n"/>
      <c r="G744" s="143" t="n"/>
      <c r="H744" s="27" t="n"/>
    </row>
    <row r="745" ht="17.25" customHeight="1" s="322">
      <c r="A745" s="27" t="n"/>
      <c r="B745" s="506" t="n"/>
      <c r="C745" s="141" t="n"/>
      <c r="D745" s="141" t="n"/>
      <c r="E745" s="141" t="n"/>
      <c r="F745" s="141" t="n"/>
      <c r="G745" s="143" t="n"/>
      <c r="H745" s="27" t="n"/>
    </row>
    <row r="746" ht="17.25" customHeight="1" s="322">
      <c r="A746" s="27" t="n"/>
      <c r="B746" s="506" t="n"/>
      <c r="C746" s="141" t="n"/>
      <c r="D746" s="141" t="n"/>
      <c r="E746" s="141" t="n"/>
      <c r="F746" s="141" t="n"/>
      <c r="G746" s="143" t="n"/>
      <c r="H746" s="27" t="n"/>
    </row>
    <row r="747" ht="17.25" customHeight="1" s="322">
      <c r="A747" s="27" t="n"/>
      <c r="B747" s="506" t="n"/>
      <c r="C747" s="141" t="n"/>
      <c r="D747" s="141" t="n"/>
      <c r="E747" s="141" t="n"/>
      <c r="F747" s="141" t="n"/>
      <c r="G747" s="143" t="n"/>
      <c r="H747" s="27" t="n"/>
    </row>
    <row r="748" ht="17.25" customHeight="1" s="322">
      <c r="A748" s="27" t="n"/>
      <c r="B748" s="506" t="n"/>
      <c r="C748" s="141" t="n"/>
      <c r="D748" s="141" t="n"/>
      <c r="E748" s="141" t="n"/>
      <c r="F748" s="141" t="n"/>
      <c r="G748" s="143" t="n"/>
      <c r="H748" s="27" t="n"/>
    </row>
    <row r="749" ht="17.25" customHeight="1" s="322">
      <c r="A749" s="27" t="n"/>
      <c r="B749" s="506" t="n"/>
      <c r="C749" s="141" t="n"/>
      <c r="D749" s="141" t="n"/>
      <c r="E749" s="141" t="n"/>
      <c r="F749" s="141" t="n"/>
      <c r="G749" s="143" t="n"/>
      <c r="H749" s="27" t="n"/>
    </row>
    <row r="750" ht="17.25" customHeight="1" s="322">
      <c r="A750" s="27" t="n"/>
      <c r="B750" s="506" t="n"/>
      <c r="C750" s="141" t="n"/>
      <c r="D750" s="141" t="n"/>
      <c r="E750" s="141" t="n"/>
      <c r="F750" s="141" t="n"/>
      <c r="G750" s="143" t="n"/>
      <c r="H750" s="27" t="n"/>
    </row>
    <row r="751" ht="17.25" customHeight="1" s="322">
      <c r="A751" s="27" t="n"/>
      <c r="B751" s="506" t="n"/>
      <c r="C751" s="141" t="n"/>
      <c r="D751" s="141" t="n"/>
      <c r="E751" s="141" t="n"/>
      <c r="F751" s="141" t="n"/>
      <c r="G751" s="143" t="n"/>
      <c r="H751" s="27" t="n"/>
    </row>
    <row r="752" ht="17.25" customHeight="1" s="322">
      <c r="A752" s="27" t="n"/>
      <c r="B752" s="506" t="n"/>
      <c r="C752" s="141" t="n"/>
      <c r="D752" s="141" t="n"/>
      <c r="E752" s="141" t="n"/>
      <c r="F752" s="141" t="n"/>
      <c r="G752" s="143" t="n"/>
      <c r="H752" s="27" t="n"/>
    </row>
    <row r="753" ht="17.25" customHeight="1" s="322">
      <c r="A753" s="27" t="n"/>
      <c r="B753" s="506" t="n"/>
      <c r="C753" s="141" t="n"/>
      <c r="D753" s="141" t="n"/>
      <c r="E753" s="141" t="n"/>
      <c r="F753" s="141" t="n"/>
      <c r="G753" s="143" t="n"/>
      <c r="H753" s="27" t="n"/>
    </row>
    <row r="754" ht="17.25" customHeight="1" s="322">
      <c r="A754" s="27" t="n"/>
      <c r="B754" s="506" t="n"/>
      <c r="C754" s="141" t="n"/>
      <c r="D754" s="141" t="n"/>
      <c r="E754" s="141" t="n"/>
      <c r="F754" s="141" t="n"/>
      <c r="G754" s="143" t="n"/>
      <c r="H754" s="27" t="n"/>
    </row>
    <row r="755" ht="17.25" customHeight="1" s="322">
      <c r="A755" s="27" t="n"/>
      <c r="B755" s="506" t="n"/>
      <c r="C755" s="141" t="n"/>
      <c r="D755" s="141" t="n"/>
      <c r="E755" s="141" t="n"/>
      <c r="F755" s="141" t="n"/>
      <c r="G755" s="143" t="n"/>
      <c r="H755" s="27" t="n"/>
    </row>
    <row r="756" ht="17.25" customHeight="1" s="322">
      <c r="A756" s="27" t="n"/>
      <c r="B756" s="506" t="n"/>
      <c r="C756" s="141" t="n"/>
      <c r="D756" s="141" t="n"/>
      <c r="E756" s="141" t="n"/>
      <c r="F756" s="141" t="n"/>
      <c r="G756" s="143" t="n"/>
      <c r="H756" s="27" t="n"/>
    </row>
    <row r="757" ht="17.25" customHeight="1" s="322">
      <c r="A757" s="27" t="n"/>
      <c r="B757" s="506" t="n"/>
      <c r="C757" s="141" t="n"/>
      <c r="D757" s="141" t="n"/>
      <c r="E757" s="141" t="n"/>
      <c r="F757" s="141" t="n"/>
      <c r="G757" s="143" t="n"/>
      <c r="H757" s="27" t="n"/>
    </row>
    <row r="758" ht="17.25" customHeight="1" s="322">
      <c r="A758" s="27" t="n"/>
      <c r="B758" s="506" t="n"/>
      <c r="C758" s="141" t="n"/>
      <c r="D758" s="141" t="n"/>
      <c r="E758" s="141" t="n"/>
      <c r="F758" s="141" t="n"/>
      <c r="G758" s="143" t="n"/>
      <c r="H758" s="27" t="n"/>
    </row>
    <row r="759" ht="17.25" customHeight="1" s="322">
      <c r="A759" s="27" t="n"/>
      <c r="B759" s="506" t="n"/>
      <c r="C759" s="141" t="n"/>
      <c r="D759" s="141" t="n"/>
      <c r="E759" s="141" t="n"/>
      <c r="F759" s="141" t="n"/>
      <c r="G759" s="143" t="n"/>
      <c r="H759" s="27" t="n"/>
    </row>
    <row r="760" ht="17.25" customHeight="1" s="322">
      <c r="A760" s="27" t="n"/>
      <c r="B760" s="506" t="n"/>
      <c r="C760" s="141" t="n"/>
      <c r="D760" s="141" t="n"/>
      <c r="E760" s="141" t="n"/>
      <c r="F760" s="141" t="n"/>
      <c r="G760" s="143" t="n"/>
      <c r="H760" s="27" t="n"/>
    </row>
    <row r="761" ht="17.25" customHeight="1" s="322">
      <c r="A761" s="27" t="n"/>
      <c r="B761" s="506" t="n"/>
      <c r="C761" s="141" t="n"/>
      <c r="D761" s="141" t="n"/>
      <c r="E761" s="141" t="n"/>
      <c r="F761" s="141" t="n"/>
      <c r="G761" s="143" t="n"/>
      <c r="H761" s="27" t="n"/>
    </row>
    <row r="762" ht="17.25" customHeight="1" s="322">
      <c r="A762" s="27" t="n"/>
      <c r="B762" s="506" t="n"/>
      <c r="C762" s="141" t="n"/>
      <c r="D762" s="141" t="n"/>
      <c r="E762" s="141" t="n"/>
      <c r="F762" s="141" t="n"/>
      <c r="G762" s="143" t="n"/>
      <c r="H762" s="27" t="n"/>
    </row>
    <row r="763" ht="17.25" customHeight="1" s="322">
      <c r="A763" s="27" t="n"/>
      <c r="B763" s="506" t="n"/>
      <c r="C763" s="141" t="n"/>
      <c r="D763" s="141" t="n"/>
      <c r="E763" s="141" t="n"/>
      <c r="F763" s="141" t="n"/>
      <c r="G763" s="143" t="n"/>
      <c r="H763" s="27" t="n"/>
    </row>
    <row r="764" ht="17.25" customHeight="1" s="322">
      <c r="A764" s="27" t="n"/>
      <c r="B764" s="506" t="n"/>
      <c r="C764" s="141" t="n"/>
      <c r="D764" s="141" t="n"/>
      <c r="E764" s="141" t="n"/>
      <c r="F764" s="141" t="n"/>
      <c r="G764" s="143" t="n"/>
      <c r="H764" s="27" t="n"/>
    </row>
    <row r="765" ht="17.25" customHeight="1" s="322">
      <c r="A765" s="27" t="n"/>
      <c r="B765" s="506" t="n"/>
      <c r="C765" s="141" t="n"/>
      <c r="D765" s="141" t="n"/>
      <c r="E765" s="141" t="n"/>
      <c r="F765" s="141" t="n"/>
      <c r="G765" s="143" t="n"/>
      <c r="H765" s="27" t="n"/>
    </row>
    <row r="766" ht="17.25" customHeight="1" s="322">
      <c r="A766" s="27" t="n"/>
      <c r="B766" s="506" t="n"/>
      <c r="C766" s="141" t="n"/>
      <c r="D766" s="141" t="n"/>
      <c r="E766" s="141" t="n"/>
      <c r="F766" s="141" t="n"/>
      <c r="G766" s="143" t="n"/>
      <c r="H766" s="27" t="n"/>
    </row>
    <row r="767" ht="17.25" customHeight="1" s="322">
      <c r="A767" s="27" t="n"/>
      <c r="B767" s="506" t="n"/>
      <c r="C767" s="141" t="n"/>
      <c r="D767" s="141" t="n"/>
      <c r="E767" s="141" t="n"/>
      <c r="F767" s="141" t="n"/>
      <c r="G767" s="143" t="n"/>
      <c r="H767" s="27" t="n"/>
    </row>
    <row r="768" ht="17.25" customHeight="1" s="322">
      <c r="A768" s="27" t="n"/>
      <c r="B768" s="506" t="n"/>
      <c r="C768" s="141" t="n"/>
      <c r="D768" s="141" t="n"/>
      <c r="E768" s="141" t="n"/>
      <c r="F768" s="141" t="n"/>
      <c r="G768" s="143" t="n"/>
      <c r="H768" s="27" t="n"/>
    </row>
    <row r="769" ht="17.25" customHeight="1" s="322">
      <c r="A769" s="27" t="n"/>
      <c r="B769" s="506" t="n"/>
      <c r="C769" s="141" t="n"/>
      <c r="D769" s="141" t="n"/>
      <c r="E769" s="141" t="n"/>
      <c r="F769" s="141" t="n"/>
      <c r="G769" s="143" t="n"/>
      <c r="H769" s="27" t="n"/>
    </row>
    <row r="770" ht="17.25" customHeight="1" s="322">
      <c r="A770" s="27" t="n"/>
      <c r="B770" s="506" t="n"/>
      <c r="C770" s="141" t="n"/>
      <c r="D770" s="141" t="n"/>
      <c r="E770" s="141" t="n"/>
      <c r="F770" s="141" t="n"/>
      <c r="G770" s="143" t="n"/>
      <c r="H770" s="27" t="n"/>
    </row>
    <row r="771" ht="17.25" customHeight="1" s="322">
      <c r="A771" s="27" t="n"/>
      <c r="B771" s="506" t="n"/>
      <c r="C771" s="141" t="n"/>
      <c r="D771" s="141" t="n"/>
      <c r="E771" s="141" t="n"/>
      <c r="F771" s="141" t="n"/>
      <c r="G771" s="143" t="n"/>
      <c r="H771" s="27" t="n"/>
    </row>
    <row r="772" ht="17.25" customHeight="1" s="322">
      <c r="A772" s="27" t="n"/>
      <c r="B772" s="506" t="n"/>
      <c r="C772" s="141" t="n"/>
      <c r="D772" s="141" t="n"/>
      <c r="E772" s="141" t="n"/>
      <c r="F772" s="141" t="n"/>
      <c r="G772" s="143" t="n"/>
      <c r="H772" s="27" t="n"/>
    </row>
    <row r="773" ht="17.25" customHeight="1" s="322">
      <c r="A773" s="27" t="n"/>
      <c r="B773" s="506" t="n"/>
      <c r="C773" s="141" t="n"/>
      <c r="D773" s="141" t="n"/>
      <c r="E773" s="141" t="n"/>
      <c r="F773" s="141" t="n"/>
      <c r="G773" s="143" t="n"/>
      <c r="H773" s="27" t="n"/>
    </row>
    <row r="774" ht="17.25" customHeight="1" s="322">
      <c r="A774" s="27" t="n"/>
      <c r="B774" s="506" t="n"/>
      <c r="C774" s="141" t="n"/>
      <c r="D774" s="141" t="n"/>
      <c r="E774" s="141" t="n"/>
      <c r="F774" s="141" t="n"/>
      <c r="G774" s="143" t="n"/>
      <c r="H774" s="27" t="n"/>
    </row>
    <row r="775" ht="17.25" customHeight="1" s="322">
      <c r="A775" s="27" t="n"/>
      <c r="B775" s="506" t="n"/>
      <c r="C775" s="141" t="n"/>
      <c r="D775" s="141" t="n"/>
      <c r="E775" s="141" t="n"/>
      <c r="F775" s="141" t="n"/>
      <c r="G775" s="143" t="n"/>
      <c r="H775" s="27" t="n"/>
    </row>
    <row r="776" ht="17.25" customHeight="1" s="322">
      <c r="A776" s="27" t="n"/>
      <c r="B776" s="506" t="n"/>
      <c r="C776" s="141" t="n"/>
      <c r="D776" s="141" t="n"/>
      <c r="E776" s="141" t="n"/>
      <c r="F776" s="141" t="n"/>
      <c r="G776" s="143" t="n"/>
      <c r="H776" s="27" t="n"/>
    </row>
    <row r="777" ht="17.25" customHeight="1" s="322">
      <c r="A777" s="27" t="n"/>
      <c r="B777" s="506" t="n"/>
      <c r="C777" s="141" t="n"/>
      <c r="D777" s="141" t="n"/>
      <c r="E777" s="141" t="n"/>
      <c r="F777" s="141" t="n"/>
      <c r="G777" s="143" t="n"/>
      <c r="H777" s="27" t="n"/>
    </row>
    <row r="778" ht="17.25" customHeight="1" s="322">
      <c r="A778" s="27" t="n"/>
      <c r="B778" s="506" t="n"/>
      <c r="C778" s="141" t="n"/>
      <c r="D778" s="141" t="n"/>
      <c r="E778" s="141" t="n"/>
      <c r="F778" s="141" t="n"/>
      <c r="G778" s="143" t="n"/>
      <c r="H778" s="27" t="n"/>
    </row>
    <row r="779" ht="17.25" customHeight="1" s="322">
      <c r="A779" s="27" t="n"/>
      <c r="B779" s="506" t="n"/>
      <c r="C779" s="141" t="n"/>
      <c r="D779" s="141" t="n"/>
      <c r="E779" s="141" t="n"/>
      <c r="F779" s="141" t="n"/>
      <c r="G779" s="143" t="n"/>
      <c r="H779" s="27" t="n"/>
    </row>
    <row r="780" ht="17.25" customHeight="1" s="322">
      <c r="A780" s="27" t="n"/>
      <c r="B780" s="506" t="n"/>
      <c r="C780" s="141" t="n"/>
      <c r="D780" s="141" t="n"/>
      <c r="E780" s="141" t="n"/>
      <c r="F780" s="141" t="n"/>
      <c r="G780" s="143" t="n"/>
      <c r="H780" s="27" t="n"/>
    </row>
    <row r="781" ht="17.25" customHeight="1" s="322">
      <c r="A781" s="27" t="n"/>
      <c r="B781" s="506" t="n"/>
      <c r="C781" s="141" t="n"/>
      <c r="D781" s="141" t="n"/>
      <c r="E781" s="141" t="n"/>
      <c r="F781" s="141" t="n"/>
      <c r="G781" s="143" t="n"/>
      <c r="H781" s="27" t="n"/>
    </row>
    <row r="782" ht="17.25" customHeight="1" s="322">
      <c r="A782" s="27" t="n"/>
      <c r="B782" s="506" t="n"/>
      <c r="C782" s="141" t="n"/>
      <c r="D782" s="141" t="n"/>
      <c r="E782" s="141" t="n"/>
      <c r="F782" s="141" t="n"/>
      <c r="G782" s="143" t="n"/>
      <c r="H782" s="27" t="n"/>
    </row>
    <row r="783" ht="17.25" customHeight="1" s="322">
      <c r="A783" s="27" t="n"/>
      <c r="B783" s="506" t="n"/>
      <c r="C783" s="141" t="n"/>
      <c r="D783" s="141" t="n"/>
      <c r="E783" s="141" t="n"/>
      <c r="F783" s="141" t="n"/>
      <c r="G783" s="143" t="n"/>
      <c r="H783" s="27" t="n"/>
    </row>
    <row r="784" ht="17.25" customHeight="1" s="322">
      <c r="A784" s="27" t="n"/>
      <c r="B784" s="506" t="n"/>
      <c r="C784" s="141" t="n"/>
      <c r="D784" s="141" t="n"/>
      <c r="E784" s="141" t="n"/>
      <c r="F784" s="141" t="n"/>
      <c r="G784" s="143" t="n"/>
      <c r="H784" s="27" t="n"/>
    </row>
    <row r="785" ht="17.25" customHeight="1" s="322">
      <c r="A785" s="27" t="n"/>
      <c r="B785" s="506" t="n"/>
      <c r="C785" s="141" t="n"/>
      <c r="D785" s="141" t="n"/>
      <c r="E785" s="141" t="n"/>
      <c r="F785" s="141" t="n"/>
      <c r="G785" s="143" t="n"/>
      <c r="H785" s="27" t="n"/>
    </row>
    <row r="786" ht="17.25" customHeight="1" s="322">
      <c r="A786" s="27" t="n"/>
      <c r="B786" s="506" t="n"/>
      <c r="C786" s="141" t="n"/>
      <c r="D786" s="141" t="n"/>
      <c r="E786" s="141" t="n"/>
      <c r="F786" s="141" t="n"/>
      <c r="G786" s="143" t="n"/>
      <c r="H786" s="27" t="n"/>
    </row>
    <row r="787" ht="17.25" customHeight="1" s="322">
      <c r="A787" s="27" t="n"/>
      <c r="B787" s="506" t="n"/>
      <c r="C787" s="141" t="n"/>
      <c r="D787" s="141" t="n"/>
      <c r="E787" s="141" t="n"/>
      <c r="F787" s="141" t="n"/>
      <c r="G787" s="143" t="n"/>
      <c r="H787" s="27" t="n"/>
    </row>
    <row r="788" ht="17.25" customHeight="1" s="322">
      <c r="A788" s="27" t="n"/>
      <c r="B788" s="506" t="n"/>
      <c r="C788" s="141" t="n"/>
      <c r="D788" s="141" t="n"/>
      <c r="E788" s="141" t="n"/>
      <c r="F788" s="141" t="n"/>
      <c r="G788" s="143" t="n"/>
      <c r="H788" s="27" t="n"/>
    </row>
    <row r="789" ht="17.25" customHeight="1" s="322">
      <c r="A789" s="27" t="n"/>
      <c r="B789" s="506" t="n"/>
      <c r="C789" s="141" t="n"/>
      <c r="D789" s="141" t="n"/>
      <c r="E789" s="141" t="n"/>
      <c r="F789" s="141" t="n"/>
      <c r="G789" s="143" t="n"/>
      <c r="H789" s="27" t="n"/>
    </row>
    <row r="790" ht="17.25" customHeight="1" s="322">
      <c r="A790" s="27" t="n"/>
      <c r="B790" s="506" t="n"/>
      <c r="C790" s="141" t="n"/>
      <c r="D790" s="141" t="n"/>
      <c r="E790" s="141" t="n"/>
      <c r="F790" s="141" t="n"/>
      <c r="G790" s="143" t="n"/>
      <c r="H790" s="27" t="n"/>
    </row>
    <row r="791" ht="17.25" customHeight="1" s="322">
      <c r="A791" s="27" t="n"/>
      <c r="B791" s="506" t="n"/>
      <c r="C791" s="141" t="n"/>
      <c r="D791" s="141" t="n"/>
      <c r="E791" s="141" t="n"/>
      <c r="F791" s="141" t="n"/>
      <c r="G791" s="143" t="n"/>
      <c r="H791" s="27" t="n"/>
    </row>
    <row r="792" ht="17.25" customHeight="1" s="322">
      <c r="A792" s="27" t="n"/>
      <c r="B792" s="506" t="n"/>
      <c r="C792" s="141" t="n"/>
      <c r="D792" s="141" t="n"/>
      <c r="E792" s="141" t="n"/>
      <c r="F792" s="141" t="n"/>
      <c r="G792" s="143" t="n"/>
      <c r="H792" s="27" t="n"/>
    </row>
    <row r="793" ht="17.25" customHeight="1" s="322">
      <c r="A793" s="27" t="n"/>
      <c r="B793" s="506" t="n"/>
      <c r="C793" s="141" t="n"/>
      <c r="D793" s="141" t="n"/>
      <c r="E793" s="141" t="n"/>
      <c r="F793" s="141" t="n"/>
      <c r="G793" s="143" t="n"/>
      <c r="H793" s="27" t="n"/>
    </row>
    <row r="794" ht="17.25" customHeight="1" s="322">
      <c r="A794" s="27" t="n"/>
      <c r="B794" s="506" t="n"/>
      <c r="C794" s="141" t="n"/>
      <c r="D794" s="141" t="n"/>
      <c r="E794" s="141" t="n"/>
      <c r="F794" s="141" t="n"/>
      <c r="G794" s="143" t="n"/>
      <c r="H794" s="27" t="n"/>
    </row>
    <row r="795" ht="17.25" customHeight="1" s="322">
      <c r="A795" s="27" t="n"/>
      <c r="B795" s="506" t="n"/>
      <c r="C795" s="141" t="n"/>
      <c r="D795" s="141" t="n"/>
      <c r="E795" s="141" t="n"/>
      <c r="F795" s="141" t="n"/>
      <c r="G795" s="143" t="n"/>
      <c r="H795" s="27" t="n"/>
    </row>
    <row r="796" ht="17.25" customHeight="1" s="322">
      <c r="A796" s="27" t="n"/>
      <c r="B796" s="506" t="n"/>
      <c r="C796" s="141" t="n"/>
      <c r="D796" s="141" t="n"/>
      <c r="E796" s="141" t="n"/>
      <c r="F796" s="141" t="n"/>
      <c r="G796" s="143" t="n"/>
      <c r="H796" s="27" t="n"/>
    </row>
    <row r="797" ht="17.25" customHeight="1" s="322">
      <c r="A797" s="27" t="n"/>
      <c r="B797" s="506" t="n"/>
      <c r="C797" s="141" t="n"/>
      <c r="D797" s="141" t="n"/>
      <c r="E797" s="141" t="n"/>
      <c r="F797" s="141" t="n"/>
      <c r="G797" s="143" t="n"/>
      <c r="H797" s="27" t="n"/>
    </row>
    <row r="798" ht="17.25" customHeight="1" s="322">
      <c r="A798" s="27" t="n"/>
      <c r="B798" s="506" t="n"/>
      <c r="C798" s="141" t="n"/>
      <c r="D798" s="141" t="n"/>
      <c r="E798" s="141" t="n"/>
      <c r="F798" s="141" t="n"/>
      <c r="G798" s="143" t="n"/>
      <c r="H798" s="27" t="n"/>
    </row>
    <row r="799" ht="17.25" customHeight="1" s="322">
      <c r="A799" s="27" t="n"/>
      <c r="B799" s="506" t="n"/>
      <c r="C799" s="141" t="n"/>
      <c r="D799" s="141" t="n"/>
      <c r="E799" s="141" t="n"/>
      <c r="F799" s="141" t="n"/>
      <c r="G799" s="143" t="n"/>
      <c r="H799" s="27" t="n"/>
    </row>
    <row r="800" ht="17.25" customHeight="1" s="322">
      <c r="A800" s="27" t="n"/>
      <c r="B800" s="506" t="n"/>
      <c r="C800" s="141" t="n"/>
      <c r="D800" s="141" t="n"/>
      <c r="E800" s="141" t="n"/>
      <c r="F800" s="141" t="n"/>
      <c r="G800" s="143" t="n"/>
      <c r="H800" s="27" t="n"/>
    </row>
    <row r="801" ht="17.25" customHeight="1" s="322">
      <c r="A801" s="27" t="n"/>
      <c r="B801" s="506" t="n"/>
      <c r="C801" s="141" t="n"/>
      <c r="D801" s="141" t="n"/>
      <c r="E801" s="141" t="n"/>
      <c r="F801" s="141" t="n"/>
      <c r="G801" s="143" t="n"/>
      <c r="H801" s="27" t="n"/>
    </row>
    <row r="802" ht="17.25" customHeight="1" s="322">
      <c r="A802" s="27" t="n"/>
      <c r="B802" s="506" t="n"/>
      <c r="C802" s="141" t="n"/>
      <c r="D802" s="141" t="n"/>
      <c r="E802" s="141" t="n"/>
      <c r="F802" s="141" t="n"/>
      <c r="G802" s="143" t="n"/>
      <c r="H802" s="27" t="n"/>
    </row>
    <row r="803" ht="17.25" customHeight="1" s="322">
      <c r="A803" s="27" t="n"/>
      <c r="B803" s="506" t="n"/>
      <c r="C803" s="141" t="n"/>
      <c r="D803" s="141" t="n"/>
      <c r="E803" s="141" t="n"/>
      <c r="F803" s="141" t="n"/>
      <c r="G803" s="143" t="n"/>
      <c r="H803" s="27" t="n"/>
    </row>
    <row r="804" ht="17.25" customHeight="1" s="322">
      <c r="A804" s="27" t="n"/>
      <c r="B804" s="506" t="n"/>
      <c r="C804" s="141" t="n"/>
      <c r="D804" s="141" t="n"/>
      <c r="E804" s="141" t="n"/>
      <c r="F804" s="141" t="n"/>
      <c r="G804" s="143" t="n"/>
      <c r="H804" s="27" t="n"/>
    </row>
    <row r="805" ht="17.25" customHeight="1" s="322">
      <c r="A805" s="27" t="n"/>
      <c r="B805" s="506" t="n"/>
      <c r="C805" s="141" t="n"/>
      <c r="D805" s="141" t="n"/>
      <c r="E805" s="141" t="n"/>
      <c r="F805" s="141" t="n"/>
      <c r="G805" s="143" t="n"/>
      <c r="H805" s="27" t="n"/>
    </row>
    <row r="806" ht="17.25" customHeight="1" s="322">
      <c r="A806" s="27" t="n"/>
      <c r="B806" s="506" t="n"/>
      <c r="C806" s="141" t="n"/>
      <c r="D806" s="141" t="n"/>
      <c r="E806" s="141" t="n"/>
      <c r="F806" s="141" t="n"/>
      <c r="G806" s="143" t="n"/>
      <c r="H806" s="27" t="n"/>
    </row>
    <row r="807" ht="17.25" customHeight="1" s="322">
      <c r="A807" s="27" t="n"/>
      <c r="B807" s="506" t="n"/>
      <c r="C807" s="141" t="n"/>
      <c r="D807" s="141" t="n"/>
      <c r="E807" s="141" t="n"/>
      <c r="F807" s="141" t="n"/>
      <c r="G807" s="143" t="n"/>
      <c r="H807" s="27" t="n"/>
    </row>
    <row r="808" ht="17.25" customHeight="1" s="322">
      <c r="A808" s="27" t="n"/>
      <c r="B808" s="506" t="n"/>
      <c r="C808" s="141" t="n"/>
      <c r="D808" s="141" t="n"/>
      <c r="E808" s="141" t="n"/>
      <c r="F808" s="141" t="n"/>
      <c r="G808" s="143" t="n"/>
      <c r="H808" s="27" t="n"/>
    </row>
    <row r="809" ht="17.25" customHeight="1" s="322">
      <c r="A809" s="27" t="n"/>
      <c r="B809" s="506" t="n"/>
      <c r="C809" s="141" t="n"/>
      <c r="D809" s="141" t="n"/>
      <c r="E809" s="141" t="n"/>
      <c r="F809" s="141" t="n"/>
      <c r="G809" s="143" t="n"/>
      <c r="H809" s="27" t="n"/>
    </row>
    <row r="810" ht="17.25" customHeight="1" s="322">
      <c r="A810" s="27" t="n"/>
      <c r="B810" s="506" t="n"/>
      <c r="C810" s="141" t="n"/>
      <c r="D810" s="141" t="n"/>
      <c r="E810" s="141" t="n"/>
      <c r="F810" s="141" t="n"/>
      <c r="G810" s="143" t="n"/>
      <c r="H810" s="27" t="n"/>
    </row>
    <row r="811" ht="17.25" customHeight="1" s="322">
      <c r="A811" s="27" t="n"/>
      <c r="B811" s="506" t="n"/>
      <c r="C811" s="141" t="n"/>
      <c r="D811" s="141" t="n"/>
      <c r="E811" s="141" t="n"/>
      <c r="F811" s="141" t="n"/>
      <c r="G811" s="143" t="n"/>
      <c r="H811" s="27" t="n"/>
    </row>
    <row r="812" ht="17.25" customHeight="1" s="322">
      <c r="A812" s="27" t="n"/>
      <c r="B812" s="506" t="n"/>
      <c r="C812" s="141" t="n"/>
      <c r="D812" s="141" t="n"/>
      <c r="E812" s="141" t="n"/>
      <c r="F812" s="141" t="n"/>
      <c r="G812" s="143" t="n"/>
      <c r="H812" s="27" t="n"/>
    </row>
    <row r="813" ht="17.25" customHeight="1" s="322">
      <c r="A813" s="27" t="n"/>
      <c r="B813" s="506" t="n"/>
      <c r="C813" s="141" t="n"/>
      <c r="D813" s="141" t="n"/>
      <c r="E813" s="141" t="n"/>
      <c r="F813" s="141" t="n"/>
      <c r="G813" s="143" t="n"/>
      <c r="H813" s="27" t="n"/>
    </row>
    <row r="814" ht="17.25" customHeight="1" s="322">
      <c r="A814" s="27" t="n"/>
      <c r="B814" s="506" t="n"/>
      <c r="C814" s="141" t="n"/>
      <c r="D814" s="141" t="n"/>
      <c r="E814" s="141" t="n"/>
      <c r="F814" s="141" t="n"/>
      <c r="G814" s="143" t="n"/>
      <c r="H814" s="27" t="n"/>
    </row>
    <row r="815" ht="17.25" customHeight="1" s="322">
      <c r="A815" s="27" t="n"/>
      <c r="B815" s="506" t="n"/>
      <c r="C815" s="141" t="n"/>
      <c r="D815" s="141" t="n"/>
      <c r="E815" s="141" t="n"/>
      <c r="F815" s="141" t="n"/>
      <c r="G815" s="143" t="n"/>
      <c r="H815" s="27" t="n"/>
    </row>
    <row r="816" ht="17.25" customHeight="1" s="322">
      <c r="A816" s="27" t="n"/>
      <c r="B816" s="506" t="n"/>
      <c r="C816" s="141" t="n"/>
      <c r="D816" s="141" t="n"/>
      <c r="E816" s="141" t="n"/>
      <c r="F816" s="141" t="n"/>
      <c r="G816" s="143" t="n"/>
      <c r="H816" s="27" t="n"/>
    </row>
    <row r="817" ht="17.25" customHeight="1" s="322">
      <c r="A817" s="27" t="n"/>
      <c r="B817" s="506" t="n"/>
      <c r="C817" s="141" t="n"/>
      <c r="D817" s="141" t="n"/>
      <c r="E817" s="141" t="n"/>
      <c r="F817" s="141" t="n"/>
      <c r="G817" s="143" t="n"/>
      <c r="H817" s="27" t="n"/>
    </row>
    <row r="818" ht="17.25" customHeight="1" s="322">
      <c r="A818" s="27" t="n"/>
      <c r="B818" s="506" t="n"/>
      <c r="C818" s="141" t="n"/>
      <c r="D818" s="141" t="n"/>
      <c r="E818" s="141" t="n"/>
      <c r="F818" s="141" t="n"/>
      <c r="G818" s="143" t="n"/>
      <c r="H818" s="27" t="n"/>
    </row>
    <row r="819" ht="17.25" customHeight="1" s="322">
      <c r="A819" s="27" t="n"/>
      <c r="B819" s="506" t="n"/>
      <c r="C819" s="141" t="n"/>
      <c r="D819" s="141" t="n"/>
      <c r="E819" s="141" t="n"/>
      <c r="F819" s="141" t="n"/>
      <c r="G819" s="143" t="n"/>
      <c r="H819" s="27" t="n"/>
    </row>
    <row r="820" ht="17.25" customHeight="1" s="322">
      <c r="A820" s="27" t="n"/>
      <c r="B820" s="506" t="n"/>
      <c r="C820" s="141" t="n"/>
      <c r="D820" s="141" t="n"/>
      <c r="E820" s="141" t="n"/>
      <c r="F820" s="141" t="n"/>
      <c r="G820" s="143" t="n"/>
      <c r="H820" s="27" t="n"/>
    </row>
    <row r="821" ht="17.25" customHeight="1" s="322">
      <c r="A821" s="27" t="n"/>
      <c r="B821" s="506" t="n"/>
      <c r="C821" s="141" t="n"/>
      <c r="D821" s="141" t="n"/>
      <c r="E821" s="141" t="n"/>
      <c r="F821" s="141" t="n"/>
      <c r="G821" s="143" t="n"/>
      <c r="H821" s="27" t="n"/>
    </row>
    <row r="822" ht="17.25" customHeight="1" s="322">
      <c r="A822" s="27" t="n"/>
      <c r="B822" s="506" t="n"/>
      <c r="C822" s="141" t="n"/>
      <c r="D822" s="141" t="n"/>
      <c r="E822" s="141" t="n"/>
      <c r="F822" s="141" t="n"/>
      <c r="G822" s="143" t="n"/>
      <c r="H822" s="27" t="n"/>
    </row>
    <row r="823" ht="17.25" customHeight="1" s="322">
      <c r="A823" s="27" t="n"/>
      <c r="B823" s="506" t="n"/>
      <c r="C823" s="141" t="n"/>
      <c r="D823" s="141" t="n"/>
      <c r="E823" s="141" t="n"/>
      <c r="F823" s="141" t="n"/>
      <c r="G823" s="143" t="n"/>
      <c r="H823" s="27" t="n"/>
    </row>
    <row r="824" ht="17.25" customHeight="1" s="322">
      <c r="A824" s="27" t="n"/>
      <c r="B824" s="506" t="n"/>
      <c r="C824" s="141" t="n"/>
      <c r="D824" s="141" t="n"/>
      <c r="E824" s="141" t="n"/>
      <c r="F824" s="141" t="n"/>
      <c r="G824" s="143" t="n"/>
      <c r="H824" s="27" t="n"/>
    </row>
    <row r="825" ht="17.25" customHeight="1" s="322">
      <c r="A825" s="27" t="n"/>
      <c r="B825" s="506" t="n"/>
      <c r="C825" s="141" t="n"/>
      <c r="D825" s="141" t="n"/>
      <c r="E825" s="141" t="n"/>
      <c r="F825" s="141" t="n"/>
      <c r="G825" s="143" t="n"/>
      <c r="H825" s="27" t="n"/>
    </row>
    <row r="826" ht="17.25" customHeight="1" s="322">
      <c r="A826" s="27" t="n"/>
      <c r="B826" s="506" t="n"/>
      <c r="C826" s="141" t="n"/>
      <c r="D826" s="141" t="n"/>
      <c r="E826" s="141" t="n"/>
      <c r="F826" s="141" t="n"/>
      <c r="G826" s="143" t="n"/>
      <c r="H826" s="27" t="n"/>
    </row>
    <row r="827" ht="17.25" customHeight="1" s="322">
      <c r="A827" s="27" t="n"/>
      <c r="B827" s="506" t="n"/>
      <c r="C827" s="141" t="n"/>
      <c r="D827" s="141" t="n"/>
      <c r="E827" s="141" t="n"/>
      <c r="F827" s="141" t="n"/>
      <c r="G827" s="143" t="n"/>
      <c r="H827" s="27" t="n"/>
    </row>
    <row r="828" ht="17.25" customHeight="1" s="322">
      <c r="A828" s="27" t="n"/>
      <c r="B828" s="506" t="n"/>
      <c r="C828" s="141" t="n"/>
      <c r="D828" s="141" t="n"/>
      <c r="E828" s="141" t="n"/>
      <c r="F828" s="141" t="n"/>
      <c r="G828" s="143" t="n"/>
      <c r="H828" s="27" t="n"/>
    </row>
    <row r="829" ht="17.25" customHeight="1" s="322">
      <c r="A829" s="27" t="n"/>
      <c r="B829" s="506" t="n"/>
      <c r="C829" s="141" t="n"/>
      <c r="D829" s="141" t="n"/>
      <c r="E829" s="141" t="n"/>
      <c r="F829" s="141" t="n"/>
      <c r="G829" s="143" t="n"/>
      <c r="H829" s="27" t="n"/>
    </row>
    <row r="830" ht="17.25" customHeight="1" s="322">
      <c r="A830" s="27" t="n"/>
      <c r="B830" s="506" t="n"/>
      <c r="C830" s="141" t="n"/>
      <c r="D830" s="141" t="n"/>
      <c r="E830" s="141" t="n"/>
      <c r="F830" s="141" t="n"/>
      <c r="G830" s="143" t="n"/>
      <c r="H830" s="27" t="n"/>
    </row>
    <row r="831" ht="17.25" customHeight="1" s="322">
      <c r="A831" s="27" t="n"/>
      <c r="B831" s="506" t="n"/>
      <c r="C831" s="141" t="n"/>
      <c r="D831" s="141" t="n"/>
      <c r="E831" s="141" t="n"/>
      <c r="F831" s="141" t="n"/>
      <c r="G831" s="143" t="n"/>
      <c r="H831" s="27" t="n"/>
    </row>
    <row r="832" ht="17.25" customHeight="1" s="322">
      <c r="A832" s="27" t="n"/>
      <c r="B832" s="506" t="n"/>
      <c r="C832" s="141" t="n"/>
      <c r="D832" s="141" t="n"/>
      <c r="E832" s="141" t="n"/>
      <c r="F832" s="141" t="n"/>
      <c r="G832" s="143" t="n"/>
      <c r="H832" s="27" t="n"/>
    </row>
    <row r="833" ht="17.25" customHeight="1" s="322">
      <c r="A833" s="27" t="n"/>
      <c r="B833" s="506" t="n"/>
      <c r="C833" s="141" t="n"/>
      <c r="D833" s="141" t="n"/>
      <c r="E833" s="141" t="n"/>
      <c r="F833" s="141" t="n"/>
      <c r="G833" s="143" t="n"/>
      <c r="H833" s="27" t="n"/>
    </row>
    <row r="834" ht="17.25" customHeight="1" s="322">
      <c r="A834" s="27" t="n"/>
      <c r="B834" s="506" t="n"/>
      <c r="C834" s="141" t="n"/>
      <c r="D834" s="141" t="n"/>
      <c r="E834" s="141" t="n"/>
      <c r="F834" s="141" t="n"/>
      <c r="G834" s="143" t="n"/>
      <c r="H834" s="27" t="n"/>
    </row>
    <row r="835" ht="17.25" customHeight="1" s="322">
      <c r="A835" s="27" t="n"/>
      <c r="B835" s="506" t="n"/>
      <c r="C835" s="141" t="n"/>
      <c r="D835" s="141" t="n"/>
      <c r="E835" s="141" t="n"/>
      <c r="F835" s="141" t="n"/>
      <c r="G835" s="143" t="n"/>
      <c r="H835" s="27" t="n"/>
    </row>
    <row r="836" ht="17.25" customHeight="1" s="322">
      <c r="A836" s="27" t="n"/>
      <c r="B836" s="506" t="n"/>
      <c r="C836" s="141" t="n"/>
      <c r="D836" s="141" t="n"/>
      <c r="E836" s="141" t="n"/>
      <c r="F836" s="141" t="n"/>
      <c r="G836" s="143" t="n"/>
      <c r="H836" s="27" t="n"/>
    </row>
    <row r="837" ht="17.25" customHeight="1" s="322">
      <c r="A837" s="27" t="n"/>
      <c r="B837" s="506" t="n"/>
      <c r="C837" s="141" t="n"/>
      <c r="D837" s="141" t="n"/>
      <c r="E837" s="141" t="n"/>
      <c r="F837" s="141" t="n"/>
      <c r="G837" s="143" t="n"/>
      <c r="H837" s="27" t="n"/>
    </row>
    <row r="838" ht="17.25" customHeight="1" s="322">
      <c r="A838" s="27" t="n"/>
      <c r="B838" s="506" t="n"/>
      <c r="C838" s="141" t="n"/>
      <c r="D838" s="141" t="n"/>
      <c r="E838" s="141" t="n"/>
      <c r="F838" s="141" t="n"/>
      <c r="G838" s="143" t="n"/>
      <c r="H838" s="27" t="n"/>
    </row>
    <row r="839" ht="17.25" customHeight="1" s="322">
      <c r="A839" s="27" t="n"/>
      <c r="B839" s="506" t="n"/>
      <c r="C839" s="141" t="n"/>
      <c r="D839" s="141" t="n"/>
      <c r="E839" s="141" t="n"/>
      <c r="F839" s="141" t="n"/>
      <c r="G839" s="143" t="n"/>
      <c r="H839" s="27" t="n"/>
    </row>
    <row r="840" ht="17.25" customHeight="1" s="322">
      <c r="A840" s="27" t="n"/>
      <c r="B840" s="506" t="n"/>
      <c r="C840" s="141" t="n"/>
      <c r="D840" s="141" t="n"/>
      <c r="E840" s="141" t="n"/>
      <c r="F840" s="141" t="n"/>
      <c r="G840" s="143" t="n"/>
      <c r="H840" s="27" t="n"/>
    </row>
    <row r="841" ht="17.25" customHeight="1" s="322">
      <c r="A841" s="27" t="n"/>
      <c r="B841" s="506" t="n"/>
      <c r="C841" s="141" t="n"/>
      <c r="D841" s="141" t="n"/>
      <c r="E841" s="141" t="n"/>
      <c r="F841" s="141" t="n"/>
      <c r="G841" s="143" t="n"/>
      <c r="H841" s="27" t="n"/>
    </row>
    <row r="842" ht="17.25" customHeight="1" s="322">
      <c r="A842" s="27" t="n"/>
      <c r="B842" s="506" t="n"/>
      <c r="C842" s="141" t="n"/>
      <c r="D842" s="141" t="n"/>
      <c r="E842" s="141" t="n"/>
      <c r="F842" s="141" t="n"/>
      <c r="G842" s="143" t="n"/>
      <c r="H842" s="27" t="n"/>
    </row>
    <row r="843" ht="17.25" customHeight="1" s="322">
      <c r="A843" s="27" t="n"/>
      <c r="B843" s="506" t="n"/>
      <c r="C843" s="141" t="n"/>
      <c r="D843" s="141" t="n"/>
      <c r="E843" s="141" t="n"/>
      <c r="F843" s="141" t="n"/>
      <c r="G843" s="143" t="n"/>
      <c r="H843" s="27" t="n"/>
    </row>
    <row r="844" ht="17.25" customHeight="1" s="322">
      <c r="A844" s="27" t="n"/>
      <c r="B844" s="506" t="n"/>
      <c r="C844" s="141" t="n"/>
      <c r="D844" s="141" t="n"/>
      <c r="E844" s="141" t="n"/>
      <c r="F844" s="141" t="n"/>
      <c r="G844" s="143" t="n"/>
      <c r="H844" s="27" t="n"/>
    </row>
    <row r="845" ht="17.25" customHeight="1" s="322">
      <c r="A845" s="27" t="n"/>
      <c r="B845" s="506" t="n"/>
      <c r="C845" s="141" t="n"/>
      <c r="D845" s="141" t="n"/>
      <c r="E845" s="141" t="n"/>
      <c r="F845" s="141" t="n"/>
      <c r="G845" s="143" t="n"/>
      <c r="H845" s="27" t="n"/>
    </row>
    <row r="846" ht="17.25" customHeight="1" s="322">
      <c r="A846" s="27" t="n"/>
      <c r="B846" s="506" t="n"/>
      <c r="C846" s="141" t="n"/>
      <c r="D846" s="141" t="n"/>
      <c r="E846" s="141" t="n"/>
      <c r="F846" s="141" t="n"/>
      <c r="G846" s="143" t="n"/>
      <c r="H846" s="27" t="n"/>
    </row>
    <row r="847" ht="17.25" customHeight="1" s="322">
      <c r="A847" s="27" t="n"/>
      <c r="B847" s="506" t="n"/>
      <c r="C847" s="141" t="n"/>
      <c r="D847" s="141" t="n"/>
      <c r="E847" s="141" t="n"/>
      <c r="F847" s="141" t="n"/>
      <c r="G847" s="143" t="n"/>
      <c r="H847" s="27" t="n"/>
    </row>
    <row r="848" ht="17.25" customHeight="1" s="322">
      <c r="A848" s="27" t="n"/>
      <c r="B848" s="506" t="n"/>
      <c r="C848" s="141" t="n"/>
      <c r="D848" s="141" t="n"/>
      <c r="E848" s="141" t="n"/>
      <c r="F848" s="141" t="n"/>
      <c r="G848" s="143" t="n"/>
      <c r="H848" s="27" t="n"/>
    </row>
    <row r="849" ht="17.25" customHeight="1" s="322">
      <c r="A849" s="27" t="n"/>
      <c r="B849" s="506" t="n"/>
      <c r="C849" s="141" t="n"/>
      <c r="D849" s="141" t="n"/>
      <c r="E849" s="141" t="n"/>
      <c r="F849" s="141" t="n"/>
      <c r="G849" s="143" t="n"/>
      <c r="H849" s="27" t="n"/>
    </row>
    <row r="850" ht="17.25" customHeight="1" s="322">
      <c r="A850" s="27" t="n"/>
      <c r="B850" s="506" t="n"/>
      <c r="C850" s="141" t="n"/>
      <c r="D850" s="141" t="n"/>
      <c r="E850" s="141" t="n"/>
      <c r="F850" s="141" t="n"/>
      <c r="G850" s="143" t="n"/>
      <c r="H850" s="27" t="n"/>
    </row>
    <row r="851" ht="17.25" customHeight="1" s="322">
      <c r="A851" s="27" t="n"/>
      <c r="B851" s="506" t="n"/>
      <c r="C851" s="141" t="n"/>
      <c r="D851" s="141" t="n"/>
      <c r="E851" s="141" t="n"/>
      <c r="F851" s="141" t="n"/>
      <c r="G851" s="143" t="n"/>
      <c r="H851" s="27" t="n"/>
    </row>
    <row r="852" ht="17.25" customHeight="1" s="322">
      <c r="A852" s="27" t="n"/>
      <c r="B852" s="506" t="n"/>
      <c r="C852" s="141" t="n"/>
      <c r="D852" s="141" t="n"/>
      <c r="E852" s="141" t="n"/>
      <c r="F852" s="141" t="n"/>
      <c r="G852" s="143" t="n"/>
      <c r="H852" s="27" t="n"/>
    </row>
    <row r="853" ht="17.25" customHeight="1" s="322">
      <c r="A853" s="27" t="n"/>
      <c r="B853" s="506" t="n"/>
      <c r="C853" s="141" t="n"/>
      <c r="D853" s="141" t="n"/>
      <c r="E853" s="141" t="n"/>
      <c r="F853" s="141" t="n"/>
      <c r="G853" s="143" t="n"/>
      <c r="H853" s="27" t="n"/>
    </row>
    <row r="854" ht="17.25" customHeight="1" s="322">
      <c r="A854" s="27" t="n"/>
      <c r="B854" s="506" t="n"/>
      <c r="C854" s="141" t="n"/>
      <c r="D854" s="141" t="n"/>
      <c r="E854" s="141" t="n"/>
      <c r="F854" s="141" t="n"/>
      <c r="G854" s="143" t="n"/>
      <c r="H854" s="27" t="n"/>
    </row>
    <row r="855" ht="17.25" customHeight="1" s="322">
      <c r="A855" s="27" t="n"/>
      <c r="B855" s="506" t="n"/>
      <c r="C855" s="141" t="n"/>
      <c r="D855" s="141" t="n"/>
      <c r="E855" s="141" t="n"/>
      <c r="F855" s="141" t="n"/>
      <c r="G855" s="143" t="n"/>
      <c r="H855" s="27" t="n"/>
    </row>
    <row r="856" ht="17.25" customHeight="1" s="322">
      <c r="A856" s="27" t="n"/>
      <c r="B856" s="506" t="n"/>
      <c r="C856" s="141" t="n"/>
      <c r="D856" s="141" t="n"/>
      <c r="E856" s="141" t="n"/>
      <c r="F856" s="141" t="n"/>
      <c r="G856" s="143" t="n"/>
      <c r="H856" s="27" t="n"/>
    </row>
    <row r="857" ht="17.25" customHeight="1" s="322">
      <c r="A857" s="27" t="n"/>
      <c r="B857" s="506" t="n"/>
      <c r="C857" s="141" t="n"/>
      <c r="D857" s="141" t="n"/>
      <c r="E857" s="141" t="n"/>
      <c r="F857" s="141" t="n"/>
      <c r="G857" s="143" t="n"/>
      <c r="H857" s="27" t="n"/>
    </row>
    <row r="858" ht="17.25" customHeight="1" s="322">
      <c r="A858" s="27" t="n"/>
      <c r="B858" s="506" t="n"/>
      <c r="C858" s="141" t="n"/>
      <c r="D858" s="141" t="n"/>
      <c r="E858" s="141" t="n"/>
      <c r="F858" s="141" t="n"/>
      <c r="G858" s="143" t="n"/>
      <c r="H858" s="27" t="n"/>
    </row>
    <row r="859" ht="17.25" customHeight="1" s="322">
      <c r="A859" s="27" t="n"/>
      <c r="B859" s="506" t="n"/>
      <c r="C859" s="141" t="n"/>
      <c r="D859" s="141" t="n"/>
      <c r="E859" s="141" t="n"/>
      <c r="F859" s="141" t="n"/>
      <c r="G859" s="143" t="n"/>
      <c r="H859" s="27" t="n"/>
    </row>
    <row r="860" ht="17.25" customHeight="1" s="322">
      <c r="A860" s="27" t="n"/>
      <c r="B860" s="506" t="n"/>
      <c r="C860" s="141" t="n"/>
      <c r="D860" s="141" t="n"/>
      <c r="E860" s="141" t="n"/>
      <c r="F860" s="141" t="n"/>
      <c r="G860" s="143" t="n"/>
      <c r="H860" s="27" t="n"/>
    </row>
    <row r="861" ht="17.25" customHeight="1" s="322">
      <c r="A861" s="27" t="n"/>
      <c r="B861" s="506" t="n"/>
      <c r="C861" s="141" t="n"/>
      <c r="D861" s="141" t="n"/>
      <c r="E861" s="141" t="n"/>
      <c r="F861" s="141" t="n"/>
      <c r="G861" s="143" t="n"/>
      <c r="H861" s="27" t="n"/>
    </row>
    <row r="862" ht="17.25" customHeight="1" s="322">
      <c r="A862" s="27" t="n"/>
      <c r="B862" s="506" t="n"/>
      <c r="C862" s="141" t="n"/>
      <c r="D862" s="141" t="n"/>
      <c r="E862" s="141" t="n"/>
      <c r="F862" s="141" t="n"/>
      <c r="G862" s="143" t="n"/>
      <c r="H862" s="27" t="n"/>
    </row>
    <row r="863" ht="17.25" customHeight="1" s="322">
      <c r="A863" s="27" t="n"/>
      <c r="B863" s="506" t="n"/>
      <c r="C863" s="141" t="n"/>
      <c r="D863" s="141" t="n"/>
      <c r="E863" s="141" t="n"/>
      <c r="F863" s="141" t="n"/>
      <c r="G863" s="143" t="n"/>
      <c r="H863" s="27" t="n"/>
    </row>
    <row r="864" ht="17.25" customHeight="1" s="322">
      <c r="A864" s="27" t="n"/>
      <c r="B864" s="506" t="n"/>
      <c r="C864" s="141" t="n"/>
      <c r="D864" s="141" t="n"/>
      <c r="E864" s="141" t="n"/>
      <c r="F864" s="141" t="n"/>
      <c r="G864" s="143" t="n"/>
      <c r="H864" s="27" t="n"/>
    </row>
    <row r="865" ht="17.25" customHeight="1" s="322">
      <c r="A865" s="27" t="n"/>
      <c r="B865" s="506" t="n"/>
      <c r="C865" s="141" t="n"/>
      <c r="D865" s="141" t="n"/>
      <c r="E865" s="141" t="n"/>
      <c r="F865" s="141" t="n"/>
      <c r="G865" s="143" t="n"/>
      <c r="H865" s="27" t="n"/>
    </row>
    <row r="866" ht="17.25" customHeight="1" s="322">
      <c r="A866" s="27" t="n"/>
      <c r="B866" s="506" t="n"/>
      <c r="C866" s="141" t="n"/>
      <c r="D866" s="141" t="n"/>
      <c r="E866" s="141" t="n"/>
      <c r="F866" s="141" t="n"/>
      <c r="G866" s="143" t="n"/>
      <c r="H866" s="27" t="n"/>
    </row>
    <row r="867" ht="17.25" customHeight="1" s="322">
      <c r="A867" s="27" t="n"/>
      <c r="B867" s="506" t="n"/>
      <c r="C867" s="141" t="n"/>
      <c r="D867" s="141" t="n"/>
      <c r="E867" s="141" t="n"/>
      <c r="F867" s="141" t="n"/>
      <c r="G867" s="143" t="n"/>
      <c r="H867" s="27" t="n"/>
    </row>
    <row r="868" ht="17.25" customHeight="1" s="322">
      <c r="A868" s="27" t="n"/>
      <c r="B868" s="506" t="n"/>
      <c r="C868" s="141" t="n"/>
      <c r="D868" s="141" t="n"/>
      <c r="E868" s="141" t="n"/>
      <c r="F868" s="141" t="n"/>
      <c r="G868" s="143" t="n"/>
      <c r="H868" s="27" t="n"/>
    </row>
    <row r="869" ht="17.25" customHeight="1" s="322">
      <c r="A869" s="27" t="n"/>
      <c r="B869" s="506" t="n"/>
      <c r="C869" s="141" t="n"/>
      <c r="D869" s="141" t="n"/>
      <c r="E869" s="141" t="n"/>
      <c r="F869" s="141" t="n"/>
      <c r="G869" s="143" t="n"/>
      <c r="H869" s="27" t="n"/>
    </row>
    <row r="870" ht="17.25" customHeight="1" s="322">
      <c r="A870" s="27" t="n"/>
      <c r="B870" s="506" t="n"/>
      <c r="C870" s="141" t="n"/>
      <c r="D870" s="141" t="n"/>
      <c r="E870" s="141" t="n"/>
      <c r="F870" s="141" t="n"/>
      <c r="G870" s="143" t="n"/>
      <c r="H870" s="27" t="n"/>
    </row>
    <row r="871" ht="17.25" customHeight="1" s="322">
      <c r="A871" s="27" t="n"/>
      <c r="B871" s="506" t="n"/>
      <c r="C871" s="141" t="n"/>
      <c r="D871" s="141" t="n"/>
      <c r="E871" s="141" t="n"/>
      <c r="F871" s="141" t="n"/>
      <c r="G871" s="143" t="n"/>
      <c r="H871" s="27" t="n"/>
    </row>
    <row r="872" ht="17.25" customHeight="1" s="322">
      <c r="A872" s="27" t="n"/>
      <c r="B872" s="506" t="n"/>
      <c r="C872" s="141" t="n"/>
      <c r="D872" s="141" t="n"/>
      <c r="E872" s="141" t="n"/>
      <c r="F872" s="141" t="n"/>
      <c r="G872" s="143" t="n"/>
      <c r="H872" s="27" t="n"/>
    </row>
    <row r="873" ht="17.25" customHeight="1" s="322">
      <c r="A873" s="27" t="n"/>
      <c r="B873" s="506" t="n"/>
      <c r="C873" s="141" t="n"/>
      <c r="D873" s="141" t="n"/>
      <c r="E873" s="141" t="n"/>
      <c r="F873" s="141" t="n"/>
      <c r="G873" s="143" t="n"/>
      <c r="H873" s="27" t="n"/>
    </row>
    <row r="874" ht="17.25" customHeight="1" s="322">
      <c r="A874" s="27" t="n"/>
      <c r="B874" s="506" t="n"/>
      <c r="C874" s="141" t="n"/>
      <c r="D874" s="141" t="n"/>
      <c r="E874" s="141" t="n"/>
      <c r="F874" s="141" t="n"/>
      <c r="G874" s="143" t="n"/>
      <c r="H874" s="27" t="n"/>
    </row>
    <row r="875" ht="17.25" customHeight="1" s="322">
      <c r="A875" s="27" t="n"/>
      <c r="B875" s="506" t="n"/>
      <c r="C875" s="141" t="n"/>
      <c r="D875" s="141" t="n"/>
      <c r="E875" s="141" t="n"/>
      <c r="F875" s="141" t="n"/>
      <c r="G875" s="143" t="n"/>
      <c r="H875" s="27" t="n"/>
    </row>
    <row r="876" ht="17.25" customHeight="1" s="322">
      <c r="A876" s="27" t="n"/>
      <c r="B876" s="506" t="n"/>
      <c r="C876" s="141" t="n"/>
      <c r="D876" s="141" t="n"/>
      <c r="E876" s="141" t="n"/>
      <c r="F876" s="141" t="n"/>
      <c r="G876" s="143" t="n"/>
      <c r="H876" s="27" t="n"/>
    </row>
    <row r="877" ht="17.25" customHeight="1" s="322">
      <c r="A877" s="27" t="n"/>
      <c r="B877" s="506" t="n"/>
      <c r="C877" s="141" t="n"/>
      <c r="D877" s="141" t="n"/>
      <c r="E877" s="141" t="n"/>
      <c r="F877" s="141" t="n"/>
      <c r="G877" s="143" t="n"/>
      <c r="H877" s="27" t="n"/>
    </row>
    <row r="878" ht="17.25" customHeight="1" s="322">
      <c r="A878" s="27" t="n"/>
      <c r="B878" s="506" t="n"/>
      <c r="C878" s="141" t="n"/>
      <c r="D878" s="141" t="n"/>
      <c r="E878" s="141" t="n"/>
      <c r="F878" s="141" t="n"/>
      <c r="G878" s="143" t="n"/>
      <c r="H878" s="27" t="n"/>
    </row>
    <row r="879" ht="17.25" customHeight="1" s="322">
      <c r="A879" s="27" t="n"/>
      <c r="B879" s="506" t="n"/>
      <c r="C879" s="141" t="n"/>
      <c r="D879" s="141" t="n"/>
      <c r="E879" s="141" t="n"/>
      <c r="F879" s="141" t="n"/>
      <c r="G879" s="143" t="n"/>
      <c r="H879" s="27" t="n"/>
    </row>
    <row r="880" ht="17.25" customHeight="1" s="322">
      <c r="A880" s="27" t="n"/>
      <c r="B880" s="506" t="n"/>
      <c r="C880" s="141" t="n"/>
      <c r="D880" s="141" t="n"/>
      <c r="E880" s="141" t="n"/>
      <c r="F880" s="141" t="n"/>
      <c r="G880" s="143" t="n"/>
      <c r="H880" s="27" t="n"/>
    </row>
    <row r="881" ht="17.25" customHeight="1" s="322">
      <c r="A881" s="27" t="n"/>
      <c r="B881" s="506" t="n"/>
      <c r="C881" s="141" t="n"/>
      <c r="D881" s="141" t="n"/>
      <c r="E881" s="141" t="n"/>
      <c r="F881" s="141" t="n"/>
      <c r="G881" s="143" t="n"/>
      <c r="H881" s="27" t="n"/>
    </row>
    <row r="882" ht="17.25" customHeight="1" s="322">
      <c r="A882" s="27" t="n"/>
      <c r="B882" s="506" t="n"/>
      <c r="C882" s="141" t="n"/>
      <c r="D882" s="141" t="n"/>
      <c r="E882" s="141" t="n"/>
      <c r="F882" s="141" t="n"/>
      <c r="G882" s="143" t="n"/>
      <c r="H882" s="27" t="n"/>
    </row>
    <row r="883" ht="17.25" customHeight="1" s="322">
      <c r="A883" s="27" t="n"/>
      <c r="B883" s="506" t="n"/>
      <c r="C883" s="141" t="n"/>
      <c r="D883" s="141" t="n"/>
      <c r="E883" s="141" t="n"/>
      <c r="F883" s="141" t="n"/>
      <c r="G883" s="143" t="n"/>
      <c r="H883" s="27" t="n"/>
    </row>
    <row r="884" ht="17.25" customHeight="1" s="322">
      <c r="A884" s="27" t="n"/>
      <c r="B884" s="506" t="n"/>
      <c r="C884" s="141" t="n"/>
      <c r="D884" s="141" t="n"/>
      <c r="E884" s="141" t="n"/>
      <c r="F884" s="141" t="n"/>
      <c r="G884" s="143" t="n"/>
      <c r="H884" s="27" t="n"/>
    </row>
    <row r="885" ht="17.25" customHeight="1" s="322">
      <c r="A885" s="27" t="n"/>
      <c r="B885" s="506" t="n"/>
      <c r="C885" s="141" t="n"/>
      <c r="D885" s="141" t="n"/>
      <c r="E885" s="141" t="n"/>
      <c r="F885" s="141" t="n"/>
      <c r="G885" s="143" t="n"/>
      <c r="H885" s="27" t="n"/>
    </row>
    <row r="886" ht="17.25" customHeight="1" s="322">
      <c r="A886" s="27" t="n"/>
      <c r="B886" s="506" t="n"/>
      <c r="C886" s="141" t="n"/>
      <c r="D886" s="141" t="n"/>
      <c r="E886" s="141" t="n"/>
      <c r="F886" s="141" t="n"/>
      <c r="G886" s="143" t="n"/>
      <c r="H886" s="27" t="n"/>
    </row>
    <row r="887" ht="17.25" customHeight="1" s="322">
      <c r="A887" s="27" t="n"/>
      <c r="B887" s="506" t="n"/>
      <c r="C887" s="141" t="n"/>
      <c r="D887" s="141" t="n"/>
      <c r="E887" s="141" t="n"/>
      <c r="F887" s="141" t="n"/>
      <c r="G887" s="143" t="n"/>
      <c r="H887" s="27" t="n"/>
    </row>
    <row r="888" ht="17.25" customHeight="1" s="322">
      <c r="A888" s="27" t="n"/>
      <c r="B888" s="506" t="n"/>
      <c r="C888" s="141" t="n"/>
      <c r="D888" s="141" t="n"/>
      <c r="E888" s="141" t="n"/>
      <c r="F888" s="141" t="n"/>
      <c r="G888" s="143" t="n"/>
      <c r="H888" s="27" t="n"/>
    </row>
    <row r="889" ht="17.25" customHeight="1" s="322">
      <c r="A889" s="27" t="n"/>
      <c r="B889" s="506" t="n"/>
      <c r="C889" s="141" t="n"/>
      <c r="D889" s="141" t="n"/>
      <c r="E889" s="141" t="n"/>
      <c r="F889" s="141" t="n"/>
      <c r="G889" s="143" t="n"/>
      <c r="H889" s="27" t="n"/>
    </row>
    <row r="890" ht="17.25" customHeight="1" s="322">
      <c r="A890" s="27" t="n"/>
      <c r="B890" s="506" t="n"/>
      <c r="C890" s="141" t="n"/>
      <c r="D890" s="141" t="n"/>
      <c r="E890" s="141" t="n"/>
      <c r="F890" s="141" t="n"/>
      <c r="G890" s="143" t="n"/>
      <c r="H890" s="27" t="n"/>
    </row>
    <row r="891" ht="17.25" customHeight="1" s="322">
      <c r="A891" s="27" t="n"/>
      <c r="B891" s="506" t="n"/>
      <c r="C891" s="141" t="n"/>
      <c r="D891" s="141" t="n"/>
      <c r="E891" s="141" t="n"/>
      <c r="F891" s="141" t="n"/>
      <c r="G891" s="143" t="n"/>
      <c r="H891" s="27" t="n"/>
    </row>
    <row r="892" ht="17.25" customHeight="1" s="322">
      <c r="A892" s="27" t="n"/>
      <c r="B892" s="506" t="n"/>
      <c r="C892" s="141" t="n"/>
      <c r="D892" s="141" t="n"/>
      <c r="E892" s="141" t="n"/>
      <c r="F892" s="141" t="n"/>
      <c r="G892" s="143" t="n"/>
      <c r="H892" s="27" t="n"/>
    </row>
    <row r="893" ht="17.25" customHeight="1" s="322">
      <c r="A893" s="27" t="n"/>
      <c r="B893" s="506" t="n"/>
      <c r="C893" s="141" t="n"/>
      <c r="D893" s="141" t="n"/>
      <c r="E893" s="141" t="n"/>
      <c r="F893" s="141" t="n"/>
      <c r="G893" s="143" t="n"/>
      <c r="H893" s="27" t="n"/>
    </row>
    <row r="894" ht="17.25" customHeight="1" s="322">
      <c r="A894" s="27" t="n"/>
      <c r="B894" s="506" t="n"/>
      <c r="C894" s="141" t="n"/>
      <c r="D894" s="141" t="n"/>
      <c r="E894" s="141" t="n"/>
      <c r="F894" s="141" t="n"/>
      <c r="G894" s="143" t="n"/>
      <c r="H894" s="27" t="n"/>
    </row>
    <row r="895" ht="17.25" customHeight="1" s="322">
      <c r="A895" s="27" t="n"/>
      <c r="B895" s="506" t="n"/>
      <c r="C895" s="141" t="n"/>
      <c r="D895" s="141" t="n"/>
      <c r="E895" s="141" t="n"/>
      <c r="F895" s="141" t="n"/>
      <c r="G895" s="143" t="n"/>
      <c r="H895" s="27" t="n"/>
    </row>
    <row r="896" ht="17.25" customHeight="1" s="322">
      <c r="A896" s="27" t="n"/>
      <c r="B896" s="506" t="n"/>
      <c r="C896" s="141" t="n"/>
      <c r="D896" s="141" t="n"/>
      <c r="E896" s="141" t="n"/>
      <c r="F896" s="141" t="n"/>
      <c r="G896" s="143" t="n"/>
      <c r="H896" s="27" t="n"/>
    </row>
    <row r="897" ht="17.25" customHeight="1" s="322">
      <c r="A897" s="27" t="n"/>
      <c r="B897" s="506" t="n"/>
      <c r="C897" s="141" t="n"/>
      <c r="D897" s="141" t="n"/>
      <c r="E897" s="141" t="n"/>
      <c r="F897" s="141" t="n"/>
      <c r="G897" s="143" t="n"/>
      <c r="H897" s="27" t="n"/>
    </row>
    <row r="898" ht="17.25" customHeight="1" s="322">
      <c r="A898" s="27" t="n"/>
      <c r="B898" s="506" t="n"/>
      <c r="C898" s="141" t="n"/>
      <c r="D898" s="141" t="n"/>
      <c r="E898" s="141" t="n"/>
      <c r="F898" s="141" t="n"/>
      <c r="G898" s="143" t="n"/>
      <c r="H898" s="27" t="n"/>
    </row>
    <row r="899" ht="17.25" customHeight="1" s="322">
      <c r="A899" s="27" t="n"/>
      <c r="B899" s="506" t="n"/>
      <c r="C899" s="141" t="n"/>
      <c r="D899" s="141" t="n"/>
      <c r="E899" s="141" t="n"/>
      <c r="F899" s="141" t="n"/>
      <c r="G899" s="143" t="n"/>
      <c r="H899" s="27" t="n"/>
    </row>
    <row r="900" ht="17.25" customHeight="1" s="322">
      <c r="A900" s="27" t="n"/>
      <c r="B900" s="506" t="n"/>
      <c r="C900" s="141" t="n"/>
      <c r="D900" s="141" t="n"/>
      <c r="E900" s="141" t="n"/>
      <c r="F900" s="141" t="n"/>
      <c r="G900" s="143" t="n"/>
      <c r="H900" s="27" t="n"/>
    </row>
    <row r="901" ht="17.25" customHeight="1" s="322">
      <c r="A901" s="27" t="n"/>
      <c r="B901" s="506" t="n"/>
      <c r="C901" s="141" t="n"/>
      <c r="D901" s="141" t="n"/>
      <c r="E901" s="141" t="n"/>
      <c r="F901" s="141" t="n"/>
      <c r="G901" s="143" t="n"/>
      <c r="H901" s="27" t="n"/>
    </row>
    <row r="902" ht="17.25" customHeight="1" s="322">
      <c r="A902" s="27" t="n"/>
      <c r="B902" s="506" t="n"/>
      <c r="C902" s="141" t="n"/>
      <c r="D902" s="141" t="n"/>
      <c r="E902" s="141" t="n"/>
      <c r="F902" s="141" t="n"/>
      <c r="G902" s="143" t="n"/>
      <c r="H902" s="27" t="n"/>
    </row>
    <row r="903" ht="17.25" customHeight="1" s="322">
      <c r="A903" s="27" t="n"/>
      <c r="B903" s="506" t="n"/>
      <c r="C903" s="141" t="n"/>
      <c r="D903" s="141" t="n"/>
      <c r="E903" s="141" t="n"/>
      <c r="F903" s="141" t="n"/>
      <c r="G903" s="143" t="n"/>
      <c r="H903" s="27" t="n"/>
    </row>
    <row r="904" ht="17.25" customHeight="1" s="322">
      <c r="A904" s="27" t="n"/>
      <c r="B904" s="506" t="n"/>
      <c r="C904" s="141" t="n"/>
      <c r="D904" s="141" t="n"/>
      <c r="E904" s="141" t="n"/>
      <c r="F904" s="141" t="n"/>
      <c r="G904" s="143" t="n"/>
      <c r="H904" s="27" t="n"/>
    </row>
    <row r="905" ht="17.25" customHeight="1" s="322">
      <c r="A905" s="27" t="n"/>
      <c r="B905" s="506" t="n"/>
      <c r="C905" s="141" t="n"/>
      <c r="D905" s="141" t="n"/>
      <c r="E905" s="141" t="n"/>
      <c r="F905" s="141" t="n"/>
      <c r="G905" s="143" t="n"/>
      <c r="H905" s="27" t="n"/>
    </row>
    <row r="906" ht="17.25" customHeight="1" s="322">
      <c r="A906" s="27" t="n"/>
      <c r="B906" s="506" t="n"/>
      <c r="C906" s="141" t="n"/>
      <c r="D906" s="141" t="n"/>
      <c r="E906" s="141" t="n"/>
      <c r="F906" s="141" t="n"/>
      <c r="G906" s="143" t="n"/>
      <c r="H906" s="27" t="n"/>
    </row>
    <row r="907" ht="17.25" customHeight="1" s="322">
      <c r="A907" s="27" t="n"/>
      <c r="B907" s="506" t="n"/>
      <c r="C907" s="141" t="n"/>
      <c r="D907" s="141" t="n"/>
      <c r="E907" s="141" t="n"/>
      <c r="F907" s="141" t="n"/>
      <c r="G907" s="143" t="n"/>
      <c r="H907" s="27" t="n"/>
    </row>
    <row r="908" ht="17.25" customHeight="1" s="322">
      <c r="A908" s="27" t="n"/>
      <c r="B908" s="506" t="n"/>
      <c r="C908" s="141" t="n"/>
      <c r="D908" s="141" t="n"/>
      <c r="E908" s="141" t="n"/>
      <c r="F908" s="141" t="n"/>
      <c r="G908" s="143" t="n"/>
      <c r="H908" s="27" t="n"/>
    </row>
    <row r="909" ht="17.25" customHeight="1" s="322">
      <c r="A909" s="27" t="n"/>
      <c r="B909" s="506" t="n"/>
      <c r="C909" s="141" t="n"/>
      <c r="D909" s="141" t="n"/>
      <c r="E909" s="141" t="n"/>
      <c r="F909" s="141" t="n"/>
      <c r="G909" s="143" t="n"/>
      <c r="H909" s="27" t="n"/>
    </row>
    <row r="910" ht="17.25" customHeight="1" s="322">
      <c r="A910" s="27" t="n"/>
      <c r="B910" s="506" t="n"/>
      <c r="C910" s="141" t="n"/>
      <c r="D910" s="141" t="n"/>
      <c r="E910" s="141" t="n"/>
      <c r="F910" s="141" t="n"/>
      <c r="G910" s="143" t="n"/>
      <c r="H910" s="27" t="n"/>
    </row>
    <row r="911" ht="17.25" customHeight="1" s="322">
      <c r="A911" s="27" t="n"/>
      <c r="B911" s="506" t="n"/>
      <c r="C911" s="141" t="n"/>
      <c r="D911" s="141" t="n"/>
      <c r="E911" s="141" t="n"/>
      <c r="F911" s="141" t="n"/>
      <c r="G911" s="143" t="n"/>
      <c r="H911" s="27" t="n"/>
    </row>
    <row r="912" ht="17.25" customHeight="1" s="322">
      <c r="A912" s="27" t="n"/>
      <c r="B912" s="506" t="n"/>
      <c r="C912" s="141" t="n"/>
      <c r="D912" s="141" t="n"/>
      <c r="E912" s="141" t="n"/>
      <c r="F912" s="141" t="n"/>
      <c r="G912" s="143" t="n"/>
      <c r="H912" s="27" t="n"/>
    </row>
    <row r="913" ht="17.25" customHeight="1" s="322">
      <c r="A913" s="27" t="n"/>
      <c r="B913" s="506" t="n"/>
      <c r="C913" s="141" t="n"/>
      <c r="D913" s="141" t="n"/>
      <c r="E913" s="141" t="n"/>
      <c r="F913" s="141" t="n"/>
      <c r="G913" s="143" t="n"/>
      <c r="H913" s="27" t="n"/>
    </row>
    <row r="914" ht="17.25" customHeight="1" s="322">
      <c r="A914" s="27" t="n"/>
      <c r="B914" s="506" t="n"/>
      <c r="C914" s="141" t="n"/>
      <c r="D914" s="141" t="n"/>
      <c r="E914" s="141" t="n"/>
      <c r="F914" s="141" t="n"/>
      <c r="G914" s="143" t="n"/>
      <c r="H914" s="27" t="n"/>
    </row>
    <row r="915" ht="17.25" customHeight="1" s="322">
      <c r="A915" s="27" t="n"/>
      <c r="B915" s="506" t="n"/>
      <c r="C915" s="141" t="n"/>
      <c r="D915" s="141" t="n"/>
      <c r="E915" s="141" t="n"/>
      <c r="F915" s="141" t="n"/>
      <c r="G915" s="143" t="n"/>
      <c r="H915" s="27" t="n"/>
    </row>
    <row r="916" ht="17.25" customHeight="1" s="322">
      <c r="A916" s="27" t="n"/>
      <c r="B916" s="506" t="n"/>
      <c r="C916" s="141" t="n"/>
      <c r="D916" s="141" t="n"/>
      <c r="E916" s="141" t="n"/>
      <c r="F916" s="141" t="n"/>
      <c r="G916" s="143" t="n"/>
      <c r="H916" s="27" t="n"/>
    </row>
    <row r="917" ht="17.25" customHeight="1" s="322">
      <c r="A917" s="27" t="n"/>
      <c r="B917" s="506" t="n"/>
      <c r="C917" s="141" t="n"/>
      <c r="D917" s="141" t="n"/>
      <c r="E917" s="141" t="n"/>
      <c r="F917" s="141" t="n"/>
      <c r="G917" s="143" t="n"/>
      <c r="H917" s="27" t="n"/>
    </row>
    <row r="918" ht="17.25" customHeight="1" s="322">
      <c r="A918" s="27" t="n"/>
      <c r="B918" s="506" t="n"/>
      <c r="C918" s="141" t="n"/>
      <c r="D918" s="141" t="n"/>
      <c r="E918" s="141" t="n"/>
      <c r="F918" s="141" t="n"/>
      <c r="G918" s="143" t="n"/>
      <c r="H918" s="27" t="n"/>
    </row>
    <row r="919" ht="17.25" customHeight="1" s="322">
      <c r="A919" s="27" t="n"/>
      <c r="B919" s="506" t="n"/>
      <c r="C919" s="141" t="n"/>
      <c r="D919" s="141" t="n"/>
      <c r="E919" s="141" t="n"/>
      <c r="F919" s="141" t="n"/>
      <c r="G919" s="143" t="n"/>
      <c r="H919" s="27" t="n"/>
    </row>
    <row r="920" ht="17.25" customHeight="1" s="322">
      <c r="A920" s="27" t="n"/>
      <c r="B920" s="506" t="n"/>
      <c r="C920" s="141" t="n"/>
      <c r="D920" s="141" t="n"/>
      <c r="E920" s="141" t="n"/>
      <c r="F920" s="141" t="n"/>
      <c r="G920" s="143" t="n"/>
      <c r="H920" s="27" t="n"/>
    </row>
    <row r="921" ht="17.25" customHeight="1" s="322">
      <c r="A921" s="27" t="n"/>
      <c r="B921" s="506" t="n"/>
      <c r="C921" s="141" t="n"/>
      <c r="D921" s="141" t="n"/>
      <c r="E921" s="141" t="n"/>
      <c r="F921" s="141" t="n"/>
      <c r="G921" s="143" t="n"/>
      <c r="H921" s="27" t="n"/>
    </row>
    <row r="922" ht="17.25" customHeight="1" s="322">
      <c r="A922" s="27" t="n"/>
      <c r="B922" s="506" t="n"/>
      <c r="C922" s="141" t="n"/>
      <c r="D922" s="141" t="n"/>
      <c r="E922" s="141" t="n"/>
      <c r="F922" s="141" t="n"/>
      <c r="G922" s="143" t="n"/>
      <c r="H922" s="27" t="n"/>
    </row>
    <row r="923" ht="17.25" customHeight="1" s="322">
      <c r="A923" s="27" t="n"/>
      <c r="B923" s="506" t="n"/>
      <c r="C923" s="141" t="n"/>
      <c r="D923" s="141" t="n"/>
      <c r="E923" s="141" t="n"/>
      <c r="F923" s="141" t="n"/>
      <c r="G923" s="143" t="n"/>
      <c r="H923" s="27" t="n"/>
    </row>
    <row r="924" ht="17.25" customHeight="1" s="322">
      <c r="A924" s="27" t="n"/>
      <c r="B924" s="506" t="n"/>
      <c r="C924" s="141" t="n"/>
      <c r="D924" s="141" t="n"/>
      <c r="E924" s="141" t="n"/>
      <c r="F924" s="141" t="n"/>
      <c r="G924" s="143" t="n"/>
      <c r="H924" s="27" t="n"/>
    </row>
    <row r="925" ht="17.25" customHeight="1" s="322">
      <c r="A925" s="27" t="n"/>
      <c r="B925" s="506" t="n"/>
      <c r="C925" s="141" t="n"/>
      <c r="D925" s="141" t="n"/>
      <c r="E925" s="141" t="n"/>
      <c r="F925" s="141" t="n"/>
      <c r="G925" s="143" t="n"/>
      <c r="H925" s="27" t="n"/>
    </row>
    <row r="926" ht="17.25" customHeight="1" s="322">
      <c r="A926" s="27" t="n"/>
      <c r="B926" s="506" t="n"/>
      <c r="C926" s="141" t="n"/>
      <c r="D926" s="141" t="n"/>
      <c r="E926" s="141" t="n"/>
      <c r="F926" s="141" t="n"/>
      <c r="G926" s="143" t="n"/>
      <c r="H926" s="27" t="n"/>
    </row>
    <row r="927" ht="17.25" customHeight="1" s="322">
      <c r="A927" s="27" t="n"/>
      <c r="B927" s="506" t="n"/>
      <c r="C927" s="141" t="n"/>
      <c r="D927" s="141" t="n"/>
      <c r="E927" s="141" t="n"/>
      <c r="F927" s="141" t="n"/>
      <c r="G927" s="143" t="n"/>
      <c r="H927" s="27" t="n"/>
    </row>
    <row r="928" ht="17.25" customHeight="1" s="322">
      <c r="A928" s="27" t="n"/>
      <c r="B928" s="506" t="n"/>
      <c r="C928" s="141" t="n"/>
      <c r="D928" s="141" t="n"/>
      <c r="E928" s="141" t="n"/>
      <c r="F928" s="141" t="n"/>
      <c r="G928" s="143" t="n"/>
      <c r="H928" s="27" t="n"/>
    </row>
    <row r="929" ht="17.25" customHeight="1" s="322">
      <c r="A929" s="27" t="n"/>
      <c r="B929" s="506" t="n"/>
      <c r="C929" s="141" t="n"/>
      <c r="D929" s="141" t="n"/>
      <c r="E929" s="141" t="n"/>
      <c r="F929" s="141" t="n"/>
      <c r="G929" s="143" t="n"/>
      <c r="H929" s="27" t="n"/>
    </row>
    <row r="930" ht="17.25" customHeight="1" s="322">
      <c r="A930" s="27" t="n"/>
      <c r="B930" s="506" t="n"/>
      <c r="C930" s="141" t="n"/>
      <c r="D930" s="141" t="n"/>
      <c r="E930" s="141" t="n"/>
      <c r="F930" s="141" t="n"/>
      <c r="G930" s="143" t="n"/>
      <c r="H930" s="27" t="n"/>
    </row>
    <row r="931" ht="17.25" customHeight="1" s="322">
      <c r="A931" s="27" t="n"/>
      <c r="B931" s="506" t="n"/>
      <c r="C931" s="141" t="n"/>
      <c r="D931" s="141" t="n"/>
      <c r="E931" s="141" t="n"/>
      <c r="F931" s="141" t="n"/>
      <c r="G931" s="143" t="n"/>
      <c r="H931" s="27" t="n"/>
    </row>
    <row r="932" ht="17.25" customHeight="1" s="322">
      <c r="A932" s="27" t="n"/>
      <c r="B932" s="506" t="n"/>
      <c r="C932" s="141" t="n"/>
      <c r="D932" s="141" t="n"/>
      <c r="E932" s="141" t="n"/>
      <c r="F932" s="141" t="n"/>
      <c r="G932" s="143" t="n"/>
      <c r="H932" s="27" t="n"/>
    </row>
    <row r="933" ht="17.25" customHeight="1" s="322">
      <c r="A933" s="27" t="n"/>
      <c r="B933" s="506" t="n"/>
      <c r="C933" s="141" t="n"/>
      <c r="D933" s="141" t="n"/>
      <c r="E933" s="141" t="n"/>
      <c r="F933" s="141" t="n"/>
      <c r="G933" s="143" t="n"/>
      <c r="H933" s="27" t="n"/>
    </row>
    <row r="934" ht="17.25" customHeight="1" s="322">
      <c r="A934" s="27" t="n"/>
      <c r="B934" s="506" t="n"/>
      <c r="C934" s="141" t="n"/>
      <c r="D934" s="141" t="n"/>
      <c r="E934" s="141" t="n"/>
      <c r="F934" s="141" t="n"/>
      <c r="G934" s="143" t="n"/>
      <c r="H934" s="27" t="n"/>
    </row>
    <row r="935" ht="17.25" customHeight="1" s="322">
      <c r="A935" s="27" t="n"/>
      <c r="B935" s="506" t="n"/>
      <c r="C935" s="141" t="n"/>
      <c r="D935" s="141" t="n"/>
      <c r="E935" s="141" t="n"/>
      <c r="F935" s="141" t="n"/>
      <c r="G935" s="143" t="n"/>
      <c r="H935" s="27" t="n"/>
    </row>
    <row r="936" ht="17.25" customHeight="1" s="322">
      <c r="A936" s="27" t="n"/>
      <c r="B936" s="506" t="n"/>
      <c r="C936" s="141" t="n"/>
      <c r="D936" s="141" t="n"/>
      <c r="E936" s="141" t="n"/>
      <c r="F936" s="141" t="n"/>
      <c r="G936" s="143" t="n"/>
      <c r="H936" s="27" t="n"/>
    </row>
    <row r="937" ht="17.25" customHeight="1" s="322">
      <c r="A937" s="27" t="n"/>
      <c r="B937" s="506" t="n"/>
      <c r="C937" s="141" t="n"/>
      <c r="D937" s="141" t="n"/>
      <c r="E937" s="141" t="n"/>
      <c r="F937" s="141" t="n"/>
      <c r="G937" s="143" t="n"/>
      <c r="H937" s="27" t="n"/>
    </row>
    <row r="938" ht="17.25" customHeight="1" s="322">
      <c r="A938" s="27" t="n"/>
      <c r="B938" s="506" t="n"/>
      <c r="C938" s="141" t="n"/>
      <c r="D938" s="141" t="n"/>
      <c r="E938" s="141" t="n"/>
      <c r="F938" s="141" t="n"/>
      <c r="G938" s="143" t="n"/>
      <c r="H938" s="27" t="n"/>
    </row>
    <row r="939" ht="17.25" customHeight="1" s="322">
      <c r="A939" s="27" t="n"/>
      <c r="B939" s="506" t="n"/>
      <c r="C939" s="141" t="n"/>
      <c r="D939" s="141" t="n"/>
      <c r="E939" s="141" t="n"/>
      <c r="F939" s="141" t="n"/>
      <c r="G939" s="143" t="n"/>
      <c r="H939" s="27" t="n"/>
    </row>
    <row r="940" ht="17.25" customHeight="1" s="322">
      <c r="A940" s="27" t="n"/>
      <c r="B940" s="506" t="n"/>
      <c r="C940" s="141" t="n"/>
      <c r="D940" s="141" t="n"/>
      <c r="E940" s="141" t="n"/>
      <c r="F940" s="141" t="n"/>
      <c r="G940" s="143" t="n"/>
      <c r="H940" s="27" t="n"/>
    </row>
    <row r="941" ht="17.25" customHeight="1" s="322">
      <c r="A941" s="27" t="n"/>
      <c r="B941" s="506" t="n"/>
      <c r="C941" s="141" t="n"/>
      <c r="D941" s="141" t="n"/>
      <c r="E941" s="141" t="n"/>
      <c r="F941" s="141" t="n"/>
      <c r="G941" s="143" t="n"/>
      <c r="H941" s="27" t="n"/>
    </row>
    <row r="942" ht="17.25" customHeight="1" s="322">
      <c r="A942" s="27" t="n"/>
      <c r="B942" s="506" t="n"/>
      <c r="C942" s="141" t="n"/>
      <c r="D942" s="141" t="n"/>
      <c r="E942" s="141" t="n"/>
      <c r="F942" s="141" t="n"/>
      <c r="G942" s="143" t="n"/>
      <c r="H942" s="27" t="n"/>
    </row>
    <row r="943" ht="17.25" customHeight="1" s="322">
      <c r="A943" s="27" t="n"/>
      <c r="B943" s="506" t="n"/>
      <c r="C943" s="141" t="n"/>
      <c r="D943" s="141" t="n"/>
      <c r="E943" s="141" t="n"/>
      <c r="F943" s="141" t="n"/>
      <c r="G943" s="143" t="n"/>
      <c r="H943" s="27" t="n"/>
    </row>
    <row r="944" ht="17.25" customHeight="1" s="322">
      <c r="A944" s="27" t="n"/>
      <c r="B944" s="506" t="n"/>
      <c r="C944" s="141" t="n"/>
      <c r="D944" s="141" t="n"/>
      <c r="E944" s="141" t="n"/>
      <c r="F944" s="141" t="n"/>
      <c r="G944" s="143" t="n"/>
      <c r="H944" s="27" t="n"/>
    </row>
    <row r="945" ht="17.25" customHeight="1" s="322">
      <c r="A945" s="27" t="n"/>
      <c r="B945" s="506" t="n"/>
      <c r="C945" s="141" t="n"/>
      <c r="D945" s="141" t="n"/>
      <c r="E945" s="141" t="n"/>
      <c r="F945" s="141" t="n"/>
      <c r="G945" s="143" t="n"/>
      <c r="H945" s="27" t="n"/>
    </row>
    <row r="946" ht="17.25" customHeight="1" s="322">
      <c r="A946" s="27" t="n"/>
      <c r="B946" s="506" t="n"/>
      <c r="C946" s="141" t="n"/>
      <c r="D946" s="141" t="n"/>
      <c r="E946" s="141" t="n"/>
      <c r="F946" s="141" t="n"/>
      <c r="G946" s="143" t="n"/>
      <c r="H946" s="27" t="n"/>
    </row>
    <row r="947" ht="17.25" customHeight="1" s="322">
      <c r="A947" s="27" t="n"/>
      <c r="B947" s="506" t="n"/>
      <c r="C947" s="141" t="n"/>
      <c r="D947" s="141" t="n"/>
      <c r="E947" s="141" t="n"/>
      <c r="F947" s="141" t="n"/>
      <c r="G947" s="143" t="n"/>
      <c r="H947" s="27" t="n"/>
    </row>
    <row r="948" ht="17.25" customHeight="1" s="322">
      <c r="A948" s="27" t="n"/>
      <c r="B948" s="506" t="n"/>
      <c r="C948" s="141" t="n"/>
      <c r="D948" s="141" t="n"/>
      <c r="E948" s="141" t="n"/>
      <c r="F948" s="141" t="n"/>
      <c r="G948" s="143" t="n"/>
      <c r="H948" s="27" t="n"/>
    </row>
    <row r="949" ht="17.25" customHeight="1" s="322">
      <c r="A949" s="27" t="n"/>
      <c r="B949" s="506" t="n"/>
      <c r="C949" s="141" t="n"/>
      <c r="D949" s="141" t="n"/>
      <c r="E949" s="141" t="n"/>
      <c r="F949" s="141" t="n"/>
      <c r="G949" s="143" t="n"/>
      <c r="H949" s="27" t="n"/>
    </row>
    <row r="950" ht="17.25" customHeight="1" s="322">
      <c r="A950" s="27" t="n"/>
      <c r="B950" s="506" t="n"/>
      <c r="C950" s="141" t="n"/>
      <c r="D950" s="141" t="n"/>
      <c r="E950" s="141" t="n"/>
      <c r="F950" s="141" t="n"/>
      <c r="G950" s="143" t="n"/>
      <c r="H950" s="27" t="n"/>
    </row>
    <row r="951" ht="17.25" customHeight="1" s="322">
      <c r="A951" s="27" t="n"/>
      <c r="B951" s="506" t="n"/>
      <c r="C951" s="141" t="n"/>
      <c r="D951" s="141" t="n"/>
      <c r="E951" s="141" t="n"/>
      <c r="F951" s="141" t="n"/>
      <c r="G951" s="143" t="n"/>
      <c r="H951" s="27" t="n"/>
    </row>
    <row r="952" ht="17.25" customHeight="1" s="322">
      <c r="A952" s="27" t="n"/>
      <c r="B952" s="506" t="n"/>
      <c r="C952" s="141" t="n"/>
      <c r="D952" s="141" t="n"/>
      <c r="E952" s="141" t="n"/>
      <c r="F952" s="141" t="n"/>
      <c r="G952" s="143" t="n"/>
      <c r="H952" s="27" t="n"/>
    </row>
    <row r="953" ht="17.25" customHeight="1" s="322">
      <c r="A953" s="27" t="n"/>
      <c r="B953" s="506" t="n"/>
      <c r="C953" s="141" t="n"/>
      <c r="D953" s="141" t="n"/>
      <c r="E953" s="141" t="n"/>
      <c r="F953" s="141" t="n"/>
      <c r="G953" s="143" t="n"/>
      <c r="H953" s="27" t="n"/>
    </row>
    <row r="954" ht="17.25" customHeight="1" s="322">
      <c r="A954" s="27" t="n"/>
      <c r="B954" s="506" t="n"/>
      <c r="C954" s="141" t="n"/>
      <c r="D954" s="141" t="n"/>
      <c r="E954" s="141" t="n"/>
      <c r="F954" s="141" t="n"/>
      <c r="G954" s="143" t="n"/>
      <c r="H954" s="27" t="n"/>
    </row>
    <row r="955" ht="17.25" customHeight="1" s="322">
      <c r="A955" s="27" t="n"/>
      <c r="B955" s="506" t="n"/>
      <c r="C955" s="141" t="n"/>
      <c r="D955" s="141" t="n"/>
      <c r="E955" s="141" t="n"/>
      <c r="F955" s="141" t="n"/>
      <c r="G955" s="143" t="n"/>
      <c r="H955" s="27" t="n"/>
    </row>
    <row r="956" ht="17.25" customHeight="1" s="322">
      <c r="A956" s="27" t="n"/>
      <c r="B956" s="506" t="n"/>
      <c r="C956" s="141" t="n"/>
      <c r="D956" s="141" t="n"/>
      <c r="E956" s="141" t="n"/>
      <c r="F956" s="141" t="n"/>
      <c r="G956" s="143" t="n"/>
      <c r="H956" s="27" t="n"/>
    </row>
    <row r="957" ht="17.25" customHeight="1" s="322">
      <c r="A957" s="27" t="n"/>
      <c r="B957" s="506" t="n"/>
      <c r="C957" s="141" t="n"/>
      <c r="D957" s="141" t="n"/>
      <c r="E957" s="141" t="n"/>
      <c r="F957" s="141" t="n"/>
      <c r="G957" s="143" t="n"/>
      <c r="H957" s="27" t="n"/>
    </row>
    <row r="958" ht="17.25" customHeight="1" s="322">
      <c r="A958" s="27" t="n"/>
      <c r="B958" s="506" t="n"/>
      <c r="C958" s="141" t="n"/>
      <c r="D958" s="141" t="n"/>
      <c r="E958" s="141" t="n"/>
      <c r="F958" s="141" t="n"/>
      <c r="G958" s="143" t="n"/>
      <c r="H958" s="27" t="n"/>
    </row>
    <row r="959" ht="17.25" customHeight="1" s="322">
      <c r="A959" s="27" t="n"/>
      <c r="B959" s="506" t="n"/>
      <c r="C959" s="141" t="n"/>
      <c r="D959" s="141" t="n"/>
      <c r="E959" s="141" t="n"/>
      <c r="F959" s="141" t="n"/>
      <c r="G959" s="143" t="n"/>
      <c r="H959" s="27" t="n"/>
    </row>
    <row r="960" ht="17.25" customHeight="1" s="322">
      <c r="A960" s="27" t="n"/>
      <c r="B960" s="506" t="n"/>
      <c r="C960" s="141" t="n"/>
      <c r="D960" s="141" t="n"/>
      <c r="E960" s="141" t="n"/>
      <c r="F960" s="141" t="n"/>
      <c r="G960" s="143" t="n"/>
      <c r="H960" s="27" t="n"/>
    </row>
    <row r="961" ht="17.25" customHeight="1" s="322">
      <c r="A961" s="27" t="n"/>
      <c r="B961" s="506" t="n"/>
      <c r="C961" s="141" t="n"/>
      <c r="D961" s="141" t="n"/>
      <c r="E961" s="141" t="n"/>
      <c r="F961" s="141" t="n"/>
      <c r="G961" s="143" t="n"/>
      <c r="H961" s="27" t="n"/>
    </row>
    <row r="962" ht="17.25" customHeight="1" s="322">
      <c r="A962" s="27" t="n"/>
      <c r="B962" s="506" t="n"/>
      <c r="C962" s="141" t="n"/>
      <c r="D962" s="141" t="n"/>
      <c r="E962" s="141" t="n"/>
      <c r="F962" s="141" t="n"/>
      <c r="G962" s="143" t="n"/>
      <c r="H962" s="27" t="n"/>
    </row>
    <row r="963" ht="17.25" customHeight="1" s="322">
      <c r="A963" s="27" t="n"/>
      <c r="B963" s="506" t="n"/>
      <c r="C963" s="141" t="n"/>
      <c r="D963" s="141" t="n"/>
      <c r="E963" s="141" t="n"/>
      <c r="F963" s="141" t="n"/>
      <c r="G963" s="143" t="n"/>
      <c r="H963" s="27" t="n"/>
    </row>
    <row r="964" ht="17.25" customHeight="1" s="322">
      <c r="A964" s="27" t="n"/>
      <c r="B964" s="506" t="n"/>
      <c r="C964" s="141" t="n"/>
      <c r="D964" s="141" t="n"/>
      <c r="E964" s="141" t="n"/>
      <c r="F964" s="141" t="n"/>
      <c r="G964" s="143" t="n"/>
      <c r="H964" s="27" t="n"/>
    </row>
    <row r="965" ht="17.25" customHeight="1" s="322">
      <c r="A965" s="27" t="n"/>
      <c r="B965" s="506" t="n"/>
      <c r="C965" s="141" t="n"/>
      <c r="D965" s="141" t="n"/>
      <c r="E965" s="141" t="n"/>
      <c r="F965" s="141" t="n"/>
      <c r="G965" s="143" t="n"/>
      <c r="H965" s="27" t="n"/>
    </row>
    <row r="966" ht="17.25" customHeight="1" s="322">
      <c r="A966" s="27" t="n"/>
      <c r="B966" s="506" t="n"/>
      <c r="C966" s="141" t="n"/>
      <c r="D966" s="141" t="n"/>
      <c r="E966" s="141" t="n"/>
      <c r="F966" s="141" t="n"/>
      <c r="G966" s="143" t="n"/>
      <c r="H966" s="27" t="n"/>
    </row>
    <row r="967" ht="17.25" customHeight="1" s="322">
      <c r="A967" s="27" t="n"/>
      <c r="B967" s="506" t="n"/>
      <c r="C967" s="141" t="n"/>
      <c r="D967" s="141" t="n"/>
      <c r="E967" s="141" t="n"/>
      <c r="F967" s="141" t="n"/>
      <c r="G967" s="143" t="n"/>
      <c r="H967" s="27" t="n"/>
    </row>
    <row r="968" ht="17.25" customHeight="1" s="322">
      <c r="A968" s="27" t="n"/>
      <c r="B968" s="506" t="n"/>
      <c r="C968" s="141" t="n"/>
      <c r="D968" s="141" t="n"/>
      <c r="E968" s="141" t="n"/>
      <c r="F968" s="141" t="n"/>
      <c r="G968" s="143" t="n"/>
      <c r="H968" s="27" t="n"/>
    </row>
    <row r="969" ht="17.25" customHeight="1" s="322">
      <c r="A969" s="27" t="n"/>
      <c r="B969" s="506" t="n"/>
      <c r="C969" s="141" t="n"/>
      <c r="D969" s="141" t="n"/>
      <c r="E969" s="141" t="n"/>
      <c r="F969" s="141" t="n"/>
      <c r="G969" s="143" t="n"/>
      <c r="H969" s="27" t="n"/>
    </row>
    <row r="970" ht="17.25" customHeight="1" s="322">
      <c r="A970" s="27" t="n"/>
      <c r="B970" s="506" t="n"/>
      <c r="C970" s="141" t="n"/>
      <c r="D970" s="141" t="n"/>
      <c r="E970" s="141" t="n"/>
      <c r="F970" s="141" t="n"/>
      <c r="G970" s="143" t="n"/>
      <c r="H970" s="27" t="n"/>
    </row>
    <row r="971" ht="17.25" customHeight="1" s="322">
      <c r="A971" s="27" t="n"/>
      <c r="B971" s="506" t="n"/>
      <c r="C971" s="141" t="n"/>
      <c r="D971" s="141" t="n"/>
      <c r="E971" s="141" t="n"/>
      <c r="F971" s="141" t="n"/>
      <c r="G971" s="143" t="n"/>
      <c r="H971" s="27" t="n"/>
    </row>
    <row r="972" ht="17.25" customHeight="1" s="322">
      <c r="A972" s="27" t="n"/>
      <c r="B972" s="506" t="n"/>
      <c r="C972" s="141" t="n"/>
      <c r="D972" s="141" t="n"/>
      <c r="E972" s="141" t="n"/>
      <c r="F972" s="141" t="n"/>
      <c r="G972" s="143" t="n"/>
      <c r="H972" s="27" t="n"/>
    </row>
    <row r="973" ht="17.25" customHeight="1" s="322">
      <c r="A973" s="27" t="n"/>
      <c r="B973" s="506" t="n"/>
      <c r="C973" s="141" t="n"/>
      <c r="D973" s="141" t="n"/>
      <c r="E973" s="141" t="n"/>
      <c r="F973" s="141" t="n"/>
      <c r="G973" s="143" t="n"/>
      <c r="H973" s="27" t="n"/>
    </row>
    <row r="974" ht="17.25" customHeight="1" s="322">
      <c r="A974" s="27" t="n"/>
      <c r="B974" s="506" t="n"/>
      <c r="C974" s="141" t="n"/>
      <c r="D974" s="141" t="n"/>
      <c r="E974" s="141" t="n"/>
      <c r="F974" s="141" t="n"/>
      <c r="G974" s="143" t="n"/>
      <c r="H974" s="27" t="n"/>
    </row>
    <row r="975" ht="17.25" customHeight="1" s="322">
      <c r="A975" s="27" t="n"/>
      <c r="B975" s="506" t="n"/>
      <c r="C975" s="141" t="n"/>
      <c r="D975" s="141" t="n"/>
      <c r="E975" s="141" t="n"/>
      <c r="F975" s="141" t="n"/>
      <c r="G975" s="143" t="n"/>
      <c r="H975" s="27" t="n"/>
    </row>
    <row r="976" ht="17.25" customHeight="1" s="322">
      <c r="A976" s="27" t="n"/>
      <c r="B976" s="506" t="n"/>
      <c r="C976" s="141" t="n"/>
      <c r="D976" s="141" t="n"/>
      <c r="E976" s="141" t="n"/>
      <c r="F976" s="141" t="n"/>
      <c r="G976" s="143" t="n"/>
      <c r="H976" s="27" t="n"/>
    </row>
    <row r="977" ht="17.25" customHeight="1" s="322">
      <c r="A977" s="27" t="n"/>
      <c r="B977" s="506" t="n"/>
      <c r="C977" s="141" t="n"/>
      <c r="D977" s="141" t="n"/>
      <c r="E977" s="141" t="n"/>
      <c r="F977" s="141" t="n"/>
      <c r="G977" s="143" t="n"/>
      <c r="H977" s="27" t="n"/>
    </row>
    <row r="978" ht="17.25" customHeight="1" s="322">
      <c r="A978" s="27" t="n"/>
      <c r="B978" s="506" t="n"/>
      <c r="C978" s="141" t="n"/>
      <c r="D978" s="141" t="n"/>
      <c r="E978" s="141" t="n"/>
      <c r="F978" s="141" t="n"/>
      <c r="G978" s="143" t="n"/>
      <c r="H978" s="27" t="n"/>
    </row>
    <row r="979" ht="17.25" customHeight="1" s="322">
      <c r="A979" s="27" t="n"/>
      <c r="B979" s="506" t="n"/>
      <c r="C979" s="141" t="n"/>
      <c r="D979" s="141" t="n"/>
      <c r="E979" s="141" t="n"/>
      <c r="F979" s="141" t="n"/>
      <c r="G979" s="143" t="n"/>
      <c r="H979" s="27" t="n"/>
    </row>
    <row r="980" ht="17.25" customHeight="1" s="322">
      <c r="A980" s="27" t="n"/>
      <c r="B980" s="506" t="n"/>
      <c r="C980" s="141" t="n"/>
      <c r="D980" s="141" t="n"/>
      <c r="E980" s="141" t="n"/>
      <c r="F980" s="141" t="n"/>
      <c r="G980" s="143" t="n"/>
      <c r="H980" s="27" t="n"/>
    </row>
    <row r="981" ht="17.25" customHeight="1" s="322">
      <c r="A981" s="27" t="n"/>
      <c r="B981" s="506" t="n"/>
      <c r="C981" s="141" t="n"/>
      <c r="D981" s="141" t="n"/>
      <c r="E981" s="141" t="n"/>
      <c r="F981" s="141" t="n"/>
      <c r="G981" s="143" t="n"/>
      <c r="H981" s="27" t="n"/>
    </row>
    <row r="982" ht="17.25" customHeight="1" s="322">
      <c r="A982" s="27" t="n"/>
      <c r="B982" s="506" t="n"/>
      <c r="C982" s="141" t="n"/>
      <c r="D982" s="141" t="n"/>
      <c r="E982" s="141" t="n"/>
      <c r="F982" s="141" t="n"/>
      <c r="G982" s="143" t="n"/>
      <c r="H982" s="27" t="n"/>
    </row>
    <row r="983" ht="17.25" customHeight="1" s="322">
      <c r="A983" s="27" t="n"/>
      <c r="B983" s="506" t="n"/>
      <c r="C983" s="141" t="n"/>
      <c r="D983" s="141" t="n"/>
      <c r="E983" s="141" t="n"/>
      <c r="F983" s="141" t="n"/>
      <c r="G983" s="143" t="n"/>
      <c r="H983" s="27" t="n"/>
    </row>
    <row r="984" ht="17.25" customHeight="1" s="322">
      <c r="A984" s="27" t="n"/>
      <c r="B984" s="506" t="n"/>
      <c r="C984" s="141" t="n"/>
      <c r="D984" s="141" t="n"/>
      <c r="E984" s="141" t="n"/>
      <c r="F984" s="141" t="n"/>
      <c r="G984" s="143" t="n"/>
      <c r="H984" s="27" t="n"/>
    </row>
    <row r="985" ht="17.25" customHeight="1" s="322">
      <c r="A985" s="27" t="n"/>
      <c r="B985" s="506" t="n"/>
      <c r="C985" s="141" t="n"/>
      <c r="D985" s="141" t="n"/>
      <c r="E985" s="141" t="n"/>
      <c r="F985" s="141" t="n"/>
      <c r="G985" s="143" t="n"/>
      <c r="H985" s="27" t="n"/>
    </row>
    <row r="986" ht="17.25" customHeight="1" s="322">
      <c r="A986" s="27" t="n"/>
      <c r="B986" s="506" t="n"/>
      <c r="C986" s="141" t="n"/>
      <c r="D986" s="141" t="n"/>
      <c r="E986" s="141" t="n"/>
      <c r="F986" s="141" t="n"/>
      <c r="G986" s="143" t="n"/>
      <c r="H986" s="27" t="n"/>
    </row>
    <row r="987" ht="17.25" customHeight="1" s="322">
      <c r="A987" s="27" t="n"/>
      <c r="B987" s="506" t="n"/>
      <c r="C987" s="141" t="n"/>
      <c r="D987" s="141" t="n"/>
      <c r="E987" s="141" t="n"/>
      <c r="F987" s="141" t="n"/>
      <c r="G987" s="143" t="n"/>
      <c r="H987" s="27" t="n"/>
    </row>
    <row r="988" ht="17.25" customHeight="1" s="322">
      <c r="A988" s="27" t="n"/>
      <c r="B988" s="506" t="n"/>
      <c r="C988" s="141" t="n"/>
      <c r="D988" s="141" t="n"/>
      <c r="E988" s="141" t="n"/>
      <c r="F988" s="141" t="n"/>
      <c r="G988" s="143" t="n"/>
      <c r="H988" s="27" t="n"/>
    </row>
    <row r="989" ht="17.25" customHeight="1" s="322">
      <c r="A989" s="27" t="n"/>
      <c r="B989" s="506" t="n"/>
      <c r="C989" s="141" t="n"/>
      <c r="D989" s="141" t="n"/>
      <c r="E989" s="141" t="n"/>
      <c r="F989" s="141" t="n"/>
      <c r="G989" s="143" t="n"/>
      <c r="H989" s="27" t="n"/>
    </row>
    <row r="990" ht="17.25" customHeight="1" s="322">
      <c r="A990" s="27" t="n"/>
      <c r="B990" s="506" t="n"/>
      <c r="C990" s="141" t="n"/>
      <c r="D990" s="141" t="n"/>
      <c r="E990" s="141" t="n"/>
      <c r="F990" s="141" t="n"/>
      <c r="G990" s="143" t="n"/>
      <c r="H990" s="27" t="n"/>
    </row>
    <row r="991" ht="17.25" customHeight="1" s="322">
      <c r="A991" s="27" t="n"/>
      <c r="B991" s="506" t="n"/>
      <c r="C991" s="141" t="n"/>
      <c r="D991" s="141" t="n"/>
      <c r="E991" s="141" t="n"/>
      <c r="F991" s="141" t="n"/>
      <c r="G991" s="143" t="n"/>
      <c r="H991" s="27" t="n"/>
    </row>
    <row r="992" ht="17.25" customHeight="1" s="322">
      <c r="A992" s="27" t="n"/>
      <c r="B992" s="506" t="n"/>
      <c r="C992" s="141" t="n"/>
      <c r="D992" s="141" t="n"/>
      <c r="E992" s="141" t="n"/>
      <c r="F992" s="141" t="n"/>
      <c r="G992" s="143" t="n"/>
      <c r="H992" s="27" t="n"/>
    </row>
    <row r="993" ht="17.25" customHeight="1" s="322">
      <c r="A993" s="27" t="n"/>
      <c r="B993" s="506" t="n"/>
      <c r="C993" s="141" t="n"/>
      <c r="D993" s="141" t="n"/>
      <c r="E993" s="141" t="n"/>
      <c r="F993" s="141" t="n"/>
      <c r="G993" s="143" t="n"/>
      <c r="H993" s="27" t="n"/>
    </row>
    <row r="994" ht="17.25" customHeight="1" s="322">
      <c r="A994" s="27" t="n"/>
      <c r="B994" s="506" t="n"/>
      <c r="C994" s="141" t="n"/>
      <c r="D994" s="141" t="n"/>
      <c r="E994" s="141" t="n"/>
      <c r="F994" s="141" t="n"/>
      <c r="G994" s="143" t="n"/>
      <c r="H994" s="27" t="n"/>
    </row>
    <row r="995" ht="17.25" customHeight="1" s="322">
      <c r="A995" s="27" t="n"/>
      <c r="B995" s="506" t="n"/>
      <c r="C995" s="141" t="n"/>
      <c r="D995" s="141" t="n"/>
      <c r="E995" s="141" t="n"/>
      <c r="F995" s="141" t="n"/>
      <c r="G995" s="143" t="n"/>
      <c r="H995" s="27" t="n"/>
    </row>
    <row r="996" ht="17.25" customHeight="1" s="322">
      <c r="A996" s="27" t="n"/>
      <c r="B996" s="506" t="n"/>
      <c r="C996" s="141" t="n"/>
      <c r="D996" s="141" t="n"/>
      <c r="E996" s="141" t="n"/>
      <c r="F996" s="141" t="n"/>
      <c r="G996" s="143" t="n"/>
      <c r="H996" s="27" t="n"/>
    </row>
    <row r="997" ht="17.25" customHeight="1" s="322">
      <c r="A997" s="27" t="n"/>
      <c r="B997" s="506" t="n"/>
      <c r="C997" s="141" t="n"/>
      <c r="D997" s="141" t="n"/>
      <c r="E997" s="141" t="n"/>
      <c r="F997" s="141" t="n"/>
      <c r="G997" s="143" t="n"/>
      <c r="H997" s="27" t="n"/>
    </row>
    <row r="998" ht="17.25" customHeight="1" s="322">
      <c r="A998" s="27" t="n"/>
      <c r="B998" s="506" t="n"/>
      <c r="C998" s="141" t="n"/>
      <c r="D998" s="141" t="n"/>
      <c r="E998" s="141" t="n"/>
      <c r="F998" s="141" t="n"/>
      <c r="G998" s="143" t="n"/>
      <c r="H998" s="27" t="n"/>
    </row>
    <row r="999" ht="17.25" customHeight="1" s="322">
      <c r="A999" s="27" t="n"/>
      <c r="B999" s="506" t="n"/>
      <c r="C999" s="141" t="n"/>
      <c r="D999" s="141" t="n"/>
      <c r="E999" s="141" t="n"/>
      <c r="F999" s="141" t="n"/>
      <c r="G999" s="143" t="n"/>
      <c r="H999" s="27" t="n"/>
    </row>
    <row r="1000" ht="17.25" customHeight="1" s="322">
      <c r="A1000" s="27" t="n"/>
      <c r="B1000" s="506" t="n"/>
      <c r="C1000" s="141" t="n"/>
      <c r="D1000" s="141" t="n"/>
      <c r="E1000" s="141" t="n"/>
      <c r="F1000" s="141" t="n"/>
      <c r="G1000" s="143" t="n"/>
      <c r="H1000" s="27" t="n"/>
    </row>
  </sheetData>
  <mergeCells count="3">
    <mergeCell ref="B1:F2"/>
    <mergeCell ref="B7:G7"/>
    <mergeCell ref="B10:C10"/>
  </mergeCells>
  <conditionalFormatting sqref="D10:E10">
    <cfRule type="cellIs" priority="5" operator="lessThan" dxfId="5">
      <formula>0</formula>
    </cfRule>
    <cfRule type="cellIs" priority="6" operator="greaterThan" dxfId="4">
      <formula>0</formula>
    </cfRule>
  </conditionalFormatting>
  <conditionalFormatting sqref="F28:F1000">
    <cfRule type="expression" priority="1" dxfId="3">
      <formula>AND(F28=MAX(F$28:F$1000),F28&gt;0)</formula>
    </cfRule>
    <cfRule type="expression" priority="2" dxfId="2">
      <formula>AND(F28=MIN(F$28:F$1000),F28&gt;0)</formula>
    </cfRule>
  </conditionalFormatting>
  <conditionalFormatting sqref="F29:F1000">
    <cfRule type="expression" priority="3" dxfId="1">
      <formula>F29&gt;F27</formula>
    </cfRule>
    <cfRule type="expression" priority="4" dxfId="0">
      <formula>F29&lt;F27</formula>
    </cfRule>
  </conditionalFormatting>
  <conditionalFormatting sqref="G15">
    <cfRule type="colorScale" priority="7">
      <colorScale>
        <cfvo type="min"/>
        <cfvo type="max"/>
        <color rgb="FF57BB8A"/>
        <color rgb="FFFFFFFF"/>
      </colorScale>
    </cfRule>
  </conditionalFormatting>
  <dataValidations count="1">
    <dataValidation sqref="G15" showDropDown="0" showInputMessage="1" showErrorMessage="1" allowBlank="1" prompt="Click and enter a value from the list of items" type="list">
      <formula1>"1 Month,3 Months,6 Months,12 Months,36 Months"</formula1>
    </dataValidation>
  </dataValidations>
  <hyperlinks>
    <hyperlink xmlns:r="http://schemas.openxmlformats.org/officeDocument/2006/relationships" ref="B1" r:id="rId1"/>
    <hyperlink xmlns:r="http://schemas.openxmlformats.org/officeDocument/2006/relationships" ref="G2" r:id="rId2"/>
  </hyperlinks>
  <pageMargins left="0.7" right="0.7" top="0.75" bottom="0.75" header="0.3" footer="0.3"/>
  <drawing xmlns:r="http://schemas.openxmlformats.org/officeDocument/2006/relationships" r:id="rId3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H1000"/>
  <sheetViews>
    <sheetView showGridLines="0" workbookViewId="0">
      <selection activeCell="A1" sqref="A1"/>
    </sheetView>
  </sheetViews>
  <sheetFormatPr baseColWidth="8" defaultColWidth="12.5703125" defaultRowHeight="15.75" customHeight="1"/>
  <cols>
    <col width="5.42578125" customWidth="1" style="322" min="1" max="1"/>
    <col width="15.7109375" customWidth="1" style="322" min="2" max="2"/>
    <col width="5.42578125" customWidth="1" style="322" min="8" max="8"/>
  </cols>
  <sheetData>
    <row r="1" ht="22.5" customHeight="1" s="322">
      <c r="A1" s="69" t="n"/>
      <c r="B1" s="455" t="inlineStr">
        <is>
          <t>← 관심종목으로 돌아가기</t>
        </is>
      </c>
      <c r="G1" s="72" t="inlineStr">
        <is>
          <t>제공:</t>
        </is>
      </c>
      <c r="H1" s="69" t="n"/>
    </row>
    <row r="2" ht="22.5" customHeight="1" s="322">
      <c r="A2" s="69" t="n"/>
      <c r="G2" s="77" t="inlineStr">
        <is>
          <t>Google Finance</t>
        </is>
      </c>
      <c r="H2" s="69" t="n"/>
    </row>
    <row r="3" ht="11.25" customHeight="1" s="322">
      <c r="A3" s="1" t="n"/>
      <c r="B3" s="1" t="n"/>
      <c r="C3" s="1" t="n"/>
      <c r="D3" s="1" t="n"/>
      <c r="E3" s="1" t="n"/>
      <c r="F3" s="1" t="n"/>
      <c r="G3" s="1" t="n"/>
      <c r="H3" s="1" t="n"/>
    </row>
    <row r="4" ht="15.75" customHeight="1" s="322">
      <c r="A4" s="1" t="n"/>
      <c r="B4" s="80" t="inlineStr">
        <is>
          <t>emb</t>
        </is>
      </c>
      <c r="C4" s="81" t="inlineStr">
        <is>
          <t>&lt;&lt; 종목코드 입력</t>
        </is>
      </c>
      <c r="D4" s="1" t="n"/>
      <c r="E4" s="1" t="n"/>
      <c r="F4" s="1" t="n"/>
      <c r="G4" s="1" t="n"/>
      <c r="H4" s="1" t="n"/>
    </row>
    <row r="5" ht="15.75" customHeight="1" s="322">
      <c r="A5" s="1" t="n"/>
      <c r="B5" s="82" t="n"/>
      <c r="C5" s="81" t="inlineStr">
        <is>
          <t>&lt;&lt; 필요한 경우 거래소 입력(예: NASDAQ, NYSE)</t>
        </is>
      </c>
      <c r="D5" s="85" t="n"/>
      <c r="E5" s="1" t="n"/>
      <c r="F5" s="1" t="n"/>
      <c r="G5" s="1" t="n"/>
      <c r="H5" s="1" t="n"/>
    </row>
    <row r="6" ht="11.25" customHeight="1" s="322">
      <c r="A6" s="27" t="n"/>
      <c r="B6" s="27" t="n"/>
      <c r="C6" s="27" t="n"/>
      <c r="D6" s="27" t="n"/>
      <c r="E6" s="27" t="n"/>
      <c r="F6" s="27" t="n"/>
      <c r="G6" s="27" t="n"/>
      <c r="H6" s="27" t="n"/>
    </row>
    <row r="7" ht="20.25" customHeight="1" s="322">
      <c r="A7" s="12" t="n"/>
      <c r="B7" s="501">
        <f>IFERROR(__xludf.DUMMYFUNCTION("GOOGLEFINANCE(B18,""name"")"),"iShares JPMorgan USD Emerging Markets Bond ETF")</f>
        <v/>
      </c>
      <c r="H7" s="12" t="n"/>
    </row>
    <row r="8" ht="11.25" customHeight="1" s="322">
      <c r="A8" s="12" t="n"/>
      <c r="B8" s="12" t="n"/>
      <c r="C8" s="12" t="n"/>
      <c r="D8" s="12" t="n"/>
      <c r="E8" s="12" t="n"/>
      <c r="F8" s="12" t="n"/>
      <c r="G8" s="12" t="n"/>
      <c r="H8" s="12" t="n"/>
    </row>
    <row r="9" ht="12" customHeight="1" s="322">
      <c r="A9" s="1" t="n"/>
      <c r="B9" s="90" t="inlineStr">
        <is>
          <t>현재가</t>
        </is>
      </c>
      <c r="C9" s="1" t="n"/>
      <c r="D9" s="90" t="inlineStr">
        <is>
          <t>전일대비</t>
        </is>
      </c>
      <c r="E9" s="90" t="inlineStr">
        <is>
          <t>등락률(%)</t>
        </is>
      </c>
      <c r="F9" s="1" t="n"/>
      <c r="G9" s="1" t="n"/>
      <c r="H9" s="1" t="n"/>
    </row>
    <row r="10" ht="31.5" customHeight="1" s="322">
      <c r="A10" s="12" t="n"/>
      <c r="B10" s="502">
        <f>IFERROR(__xludf.DUMMYFUNCTION("GOOGLEFINANCE(B18,""price"")"),94.56)</f>
        <v/>
      </c>
      <c r="D10" s="503">
        <f>IFERROR(__xludf.DUMMYFUNCTION("IFERROR(GOOGLEFINANCE(B18,""change""),""-"")"),-0.63)</f>
        <v/>
      </c>
      <c r="E10" s="504">
        <f>IFERROR(__xludf.DUMMYFUNCTION("IFERROR(GOOGLEFINANCE(B18,""changepct"")/100,""-"")"),-0.0066)</f>
        <v/>
      </c>
      <c r="F10" s="12" t="n"/>
      <c r="G10" s="12" t="n"/>
      <c r="H10" s="12" t="n"/>
    </row>
    <row r="11" ht="11.25" customHeight="1" s="322">
      <c r="A11" s="12" t="n"/>
      <c r="B11" s="106" t="n"/>
      <c r="C11" s="106" t="n"/>
      <c r="D11" s="106" t="n"/>
      <c r="E11" s="106" t="n"/>
      <c r="F11" s="106" t="n"/>
      <c r="G11" s="106" t="n"/>
      <c r="H11" s="12" t="n"/>
    </row>
    <row r="12" ht="11.25" customHeight="1" s="322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 ht="12" customHeight="1" s="322">
      <c r="A13" s="1" t="n"/>
      <c r="B13" s="90" t="inlineStr">
        <is>
          <t>시가총액</t>
        </is>
      </c>
      <c r="C13" s="90" t="inlineStr">
        <is>
          <t>PER</t>
        </is>
      </c>
      <c r="D13" s="90" t="inlineStr">
        <is>
          <t>베타계수</t>
        </is>
      </c>
      <c r="E13" s="1" t="n"/>
      <c r="F13" s="1" t="n"/>
      <c r="G13" s="1" t="n"/>
      <c r="H13" s="1" t="n"/>
    </row>
    <row r="14">
      <c r="A14" s="113" t="n"/>
      <c r="B14" s="505">
        <f>IFERROR(__xludf.DUMMYFUNCTION("IFERROR(GOOGLEFINANCE(B18,""marketcap""),""-"")"),"-")</f>
        <v/>
      </c>
      <c r="C14" s="115">
        <f>IFERROR(__xludf.DUMMYFUNCTION("IFERROR(GOOGLEFINANCE(B18,""pe""),""-"")"),"-")</f>
        <v/>
      </c>
      <c r="D14" s="115">
        <f>IFERROR(__xludf.DUMMYFUNCTION("IFERROR(GOOGLEFINANCE(B18,""beta""),""-"")"),0.52)</f>
        <v/>
      </c>
      <c r="E14" s="113" t="n"/>
      <c r="F14" s="113" t="n"/>
      <c r="G14" s="113" t="n"/>
      <c r="H14" s="113" t="n"/>
    </row>
    <row r="15" ht="15.75" customHeight="1" s="322">
      <c r="A15" s="12" t="n"/>
      <c r="B15" s="12" t="n"/>
      <c r="C15" s="12" t="n"/>
      <c r="D15" s="12" t="n"/>
      <c r="E15" s="12" t="n"/>
      <c r="F15" s="12" t="n"/>
      <c r="G15" s="123" t="inlineStr">
        <is>
          <t>12 Months</t>
        </is>
      </c>
      <c r="H15" s="12" t="n"/>
    </row>
    <row r="16" ht="15.75" customHeight="1" s="322">
      <c r="A16" s="12" t="n"/>
      <c r="B16" s="12" t="n"/>
      <c r="C16" s="12" t="n"/>
      <c r="D16" s="12" t="n"/>
      <c r="E16" s="12" t="n"/>
      <c r="F16" s="12" t="n"/>
      <c r="G16" s="12" t="n"/>
      <c r="H16" s="12" t="n"/>
    </row>
    <row r="17" ht="15.75" customHeight="1" s="322">
      <c r="A17" s="12" t="n"/>
      <c r="B17" s="12" t="n"/>
      <c r="C17" s="12" t="n"/>
      <c r="D17" s="12" t="n"/>
      <c r="E17" s="12" t="n"/>
      <c r="F17" s="12" t="n"/>
      <c r="G17" s="12" t="n"/>
      <c r="H17" s="12" t="n"/>
    </row>
    <row r="18" ht="15.75" customHeight="1" s="322">
      <c r="A18" s="12" t="n"/>
      <c r="B18" s="127">
        <f>IF(ISBLANK(B5),"",B5&amp;":")&amp;B4</f>
        <v/>
      </c>
      <c r="C18" s="12" t="n"/>
      <c r="D18" s="12" t="n"/>
      <c r="E18" s="12" t="n"/>
      <c r="F18" s="12" t="n"/>
      <c r="G18" s="12" t="n"/>
      <c r="H18" s="12" t="n"/>
    </row>
    <row r="19" ht="15.75" customHeight="1" s="322">
      <c r="A19" s="12" t="n"/>
      <c r="B19" s="12" t="n"/>
      <c r="C19" s="12" t="n"/>
      <c r="D19" s="12" t="n"/>
      <c r="E19" s="12" t="n"/>
      <c r="F19" s="12" t="n"/>
      <c r="G19" s="12" t="n"/>
      <c r="H19" s="12" t="n"/>
    </row>
    <row r="20" ht="15.75" customHeight="1" s="322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1" ht="15.75" customHeight="1" s="322">
      <c r="A21" s="12" t="n"/>
      <c r="B21" s="12" t="n"/>
      <c r="C21" s="12" t="n"/>
      <c r="D21" s="12" t="n"/>
      <c r="E21" s="12" t="n"/>
      <c r="F21" s="12" t="n"/>
      <c r="G21" s="12" t="n"/>
      <c r="H21" s="12" t="n"/>
    </row>
    <row r="22" ht="15.75" customHeight="1" s="322">
      <c r="A22" s="12" t="n"/>
      <c r="B22" s="12" t="n"/>
      <c r="C22" s="12" t="n"/>
      <c r="D22" s="12" t="n"/>
      <c r="E22" s="12" t="n"/>
      <c r="F22" s="12" t="n"/>
      <c r="G22" s="12" t="n"/>
      <c r="H22" s="12" t="n"/>
    </row>
    <row r="23" ht="15.75" customHeight="1" s="322">
      <c r="A23" s="12" t="n"/>
      <c r="B23" s="12" t="n"/>
      <c r="C23" s="12" t="n"/>
      <c r="D23" s="12" t="n"/>
      <c r="E23" s="12" t="n"/>
      <c r="F23" s="12" t="n"/>
      <c r="G23" s="12" t="n"/>
      <c r="H23" s="12" t="n"/>
    </row>
    <row r="24" ht="15.75" customHeight="1" s="322">
      <c r="A24" s="12" t="n"/>
      <c r="B24" s="12" t="n"/>
      <c r="C24" s="12" t="n"/>
      <c r="D24" s="12" t="n"/>
      <c r="E24" s="12" t="n"/>
      <c r="F24" s="12" t="n"/>
      <c r="G24" s="12" t="n"/>
      <c r="H24" s="12" t="n"/>
    </row>
    <row r="25" ht="15.75" customHeight="1" s="322">
      <c r="A25" s="12" t="n"/>
      <c r="B25" s="12" t="n"/>
      <c r="C25" s="12" t="n"/>
      <c r="D25" s="12" t="n"/>
      <c r="E25" s="12" t="n"/>
      <c r="F25" s="12" t="n"/>
      <c r="G25" s="12" t="n"/>
      <c r="H25" s="12" t="n"/>
    </row>
    <row r="26" ht="15.75" customHeight="1" s="322">
      <c r="A26" s="12" t="n"/>
      <c r="B26" s="12" t="n"/>
      <c r="C26" s="12" t="n"/>
      <c r="D26" s="12" t="n"/>
      <c r="E26" s="12" t="n"/>
      <c r="F26" s="12" t="n"/>
      <c r="G26" s="12" t="n"/>
      <c r="H26" s="12" t="n"/>
    </row>
    <row r="27" ht="15.75" customHeight="1" s="322">
      <c r="A27" s="133" t="n"/>
      <c r="B27" s="136">
        <f>IFERROR(__xludf.DUMMYFUNCTION("GOOGLEFINANCE(B18, ""all"", EDATE(TODAY(), -LEFT(G15, FIND("" "", G15))), TODAY(), ""DAILY"")"),"Date")</f>
        <v/>
      </c>
      <c r="C27" s="137">
        <f>IFERROR(__xludf.DUMMYFUNCTION("""COMPUTED_VALUE"""),"Open")</f>
        <v/>
      </c>
      <c r="D27" s="137">
        <f>IFERROR(__xludf.DUMMYFUNCTION("""COMPUTED_VALUE"""),"High")</f>
        <v/>
      </c>
      <c r="E27" s="137">
        <f>IFERROR(__xludf.DUMMYFUNCTION("""COMPUTED_VALUE"""),"Low")</f>
        <v/>
      </c>
      <c r="F27" s="137">
        <f>IFERROR(__xludf.DUMMYFUNCTION("""COMPUTED_VALUE"""),"Close")</f>
        <v/>
      </c>
      <c r="G27" s="137">
        <f>IFERROR(__xludf.DUMMYFUNCTION("""COMPUTED_VALUE"""),"Volume")</f>
        <v/>
      </c>
      <c r="H27" s="133" t="n"/>
    </row>
    <row r="28" ht="17.25" customHeight="1" s="322">
      <c r="A28" s="27" t="n"/>
      <c r="B28" s="506">
        <f>IFERROR(__xludf.DUMMYFUNCTION("""COMPUTED_VALUE"""),45868.6666666666)</f>
        <v/>
      </c>
      <c r="C28" s="141">
        <f>IFERROR(__xludf.DUMMYFUNCTION("""COMPUTED_VALUE"""),92.88)</f>
        <v/>
      </c>
      <c r="D28" s="141">
        <f>IFERROR(__xludf.DUMMYFUNCTION("""COMPUTED_VALUE"""),93.04)</f>
        <v/>
      </c>
      <c r="E28" s="141">
        <f>IFERROR(__xludf.DUMMYFUNCTION("""COMPUTED_VALUE"""),92.65)</f>
        <v/>
      </c>
      <c r="F28" s="141">
        <f>IFERROR(__xludf.DUMMYFUNCTION("""COMPUTED_VALUE"""),92.85)</f>
        <v/>
      </c>
      <c r="G28" s="143">
        <f>IFERROR(__xludf.DUMMYFUNCTION("""COMPUTED_VALUE"""),6119035)</f>
        <v/>
      </c>
      <c r="H28" s="27" t="n"/>
    </row>
    <row r="29" ht="17.25" customHeight="1" s="322">
      <c r="A29" s="27" t="n"/>
      <c r="B29" s="506">
        <f>IFERROR(__xludf.DUMMYFUNCTION("""COMPUTED_VALUE"""),45869.6666666666)</f>
        <v/>
      </c>
      <c r="C29" s="141">
        <f>IFERROR(__xludf.DUMMYFUNCTION("""COMPUTED_VALUE"""),92.92)</f>
        <v/>
      </c>
      <c r="D29" s="141">
        <f>IFERROR(__xludf.DUMMYFUNCTION("""COMPUTED_VALUE"""),93.05)</f>
        <v/>
      </c>
      <c r="E29" s="141">
        <f>IFERROR(__xludf.DUMMYFUNCTION("""COMPUTED_VALUE"""),92.79)</f>
        <v/>
      </c>
      <c r="F29" s="141">
        <f>IFERROR(__xludf.DUMMYFUNCTION("""COMPUTED_VALUE"""),92.87)</f>
        <v/>
      </c>
      <c r="G29" s="143">
        <f>IFERROR(__xludf.DUMMYFUNCTION("""COMPUTED_VALUE"""),7525666)</f>
        <v/>
      </c>
      <c r="H29" s="27" t="n"/>
    </row>
    <row r="30" ht="17.25" customHeight="1" s="322">
      <c r="A30" s="27" t="n"/>
      <c r="B30" s="506">
        <f>IFERROR(__xludf.DUMMYFUNCTION("""COMPUTED_VALUE"""),45870.6666666666)</f>
        <v/>
      </c>
      <c r="C30" s="141">
        <f>IFERROR(__xludf.DUMMYFUNCTION("""COMPUTED_VALUE"""),92.64)</f>
        <v/>
      </c>
      <c r="D30" s="141">
        <f>IFERROR(__xludf.DUMMYFUNCTION("""COMPUTED_VALUE"""),92.78)</f>
        <v/>
      </c>
      <c r="E30" s="141">
        <f>IFERROR(__xludf.DUMMYFUNCTION("""COMPUTED_VALUE"""),92.55)</f>
        <v/>
      </c>
      <c r="F30" s="141">
        <f>IFERROR(__xludf.DUMMYFUNCTION("""COMPUTED_VALUE"""),92.72)</f>
        <v/>
      </c>
      <c r="G30" s="143">
        <f>IFERROR(__xludf.DUMMYFUNCTION("""COMPUTED_VALUE"""),11771523)</f>
        <v/>
      </c>
      <c r="H30" s="27" t="n"/>
    </row>
    <row r="31" ht="17.25" customHeight="1" s="322">
      <c r="A31" s="27" t="n"/>
      <c r="B31" s="506">
        <f>IFERROR(__xludf.DUMMYFUNCTION("""COMPUTED_VALUE"""),45873.6666666666)</f>
        <v/>
      </c>
      <c r="C31" s="141">
        <f>IFERROR(__xludf.DUMMYFUNCTION("""COMPUTED_VALUE"""),93)</f>
        <v/>
      </c>
      <c r="D31" s="141">
        <f>IFERROR(__xludf.DUMMYFUNCTION("""COMPUTED_VALUE"""),93.2)</f>
        <v/>
      </c>
      <c r="E31" s="141">
        <f>IFERROR(__xludf.DUMMYFUNCTION("""COMPUTED_VALUE"""),92.92)</f>
        <v/>
      </c>
      <c r="F31" s="141">
        <f>IFERROR(__xludf.DUMMYFUNCTION("""COMPUTED_VALUE"""),93.18)</f>
        <v/>
      </c>
      <c r="G31" s="143">
        <f>IFERROR(__xludf.DUMMYFUNCTION("""COMPUTED_VALUE"""),5397905)</f>
        <v/>
      </c>
      <c r="H31" s="27" t="n"/>
    </row>
    <row r="32" ht="17.25" customHeight="1" s="322">
      <c r="A32" s="27" t="n"/>
      <c r="B32" s="506">
        <f>IFERROR(__xludf.DUMMYFUNCTION("""COMPUTED_VALUE"""),45874.6666666666)</f>
        <v/>
      </c>
      <c r="C32" s="141">
        <f>IFERROR(__xludf.DUMMYFUNCTION("""COMPUTED_VALUE"""),93.17)</f>
        <v/>
      </c>
      <c r="D32" s="141">
        <f>IFERROR(__xludf.DUMMYFUNCTION("""COMPUTED_VALUE"""),93.27)</f>
        <v/>
      </c>
      <c r="E32" s="141">
        <f>IFERROR(__xludf.DUMMYFUNCTION("""COMPUTED_VALUE"""),93.08)</f>
        <v/>
      </c>
      <c r="F32" s="141">
        <f>IFERROR(__xludf.DUMMYFUNCTION("""COMPUTED_VALUE"""),93.18)</f>
        <v/>
      </c>
      <c r="G32" s="143">
        <f>IFERROR(__xludf.DUMMYFUNCTION("""COMPUTED_VALUE"""),8602398)</f>
        <v/>
      </c>
      <c r="H32" s="27" t="n"/>
    </row>
    <row r="33" ht="17.25" customHeight="1" s="322">
      <c r="A33" s="27" t="n"/>
      <c r="B33" s="506">
        <f>IFERROR(__xludf.DUMMYFUNCTION("""COMPUTED_VALUE"""),45875.6666666666)</f>
        <v/>
      </c>
      <c r="C33" s="141">
        <f>IFERROR(__xludf.DUMMYFUNCTION("""COMPUTED_VALUE"""),93.18)</f>
        <v/>
      </c>
      <c r="D33" s="141">
        <f>IFERROR(__xludf.DUMMYFUNCTION("""COMPUTED_VALUE"""),93.25)</f>
        <v/>
      </c>
      <c r="E33" s="141">
        <f>IFERROR(__xludf.DUMMYFUNCTION("""COMPUTED_VALUE"""),92.87)</f>
        <v/>
      </c>
      <c r="F33" s="141">
        <f>IFERROR(__xludf.DUMMYFUNCTION("""COMPUTED_VALUE"""),93.24)</f>
        <v/>
      </c>
      <c r="G33" s="143">
        <f>IFERROR(__xludf.DUMMYFUNCTION("""COMPUTED_VALUE"""),5786461)</f>
        <v/>
      </c>
      <c r="H33" s="27" t="n"/>
    </row>
    <row r="34" ht="17.25" customHeight="1" s="322">
      <c r="A34" s="27" t="n"/>
      <c r="B34" s="506">
        <f>IFERROR(__xludf.DUMMYFUNCTION("""COMPUTED_VALUE"""),45876.6666666666)</f>
        <v/>
      </c>
      <c r="C34" s="141">
        <f>IFERROR(__xludf.DUMMYFUNCTION("""COMPUTED_VALUE"""),93.34)</f>
        <v/>
      </c>
      <c r="D34" s="141">
        <f>IFERROR(__xludf.DUMMYFUNCTION("""COMPUTED_VALUE"""),93.48)</f>
        <v/>
      </c>
      <c r="E34" s="141">
        <f>IFERROR(__xludf.DUMMYFUNCTION("""COMPUTED_VALUE"""),93.26)</f>
        <v/>
      </c>
      <c r="F34" s="141">
        <f>IFERROR(__xludf.DUMMYFUNCTION("""COMPUTED_VALUE"""),93.38)</f>
        <v/>
      </c>
      <c r="G34" s="143">
        <f>IFERROR(__xludf.DUMMYFUNCTION("""COMPUTED_VALUE"""),5698342)</f>
        <v/>
      </c>
      <c r="H34" s="27" t="n"/>
    </row>
    <row r="35" ht="17.25" customHeight="1" s="322">
      <c r="A35" s="27" t="n"/>
      <c r="B35" s="506">
        <f>IFERROR(__xludf.DUMMYFUNCTION("""COMPUTED_VALUE"""),45877.6666666666)</f>
        <v/>
      </c>
      <c r="C35" s="141">
        <f>IFERROR(__xludf.DUMMYFUNCTION("""COMPUTED_VALUE"""),93.23)</f>
        <v/>
      </c>
      <c r="D35" s="141">
        <f>IFERROR(__xludf.DUMMYFUNCTION("""COMPUTED_VALUE"""),93.4)</f>
        <v/>
      </c>
      <c r="E35" s="141">
        <f>IFERROR(__xludf.DUMMYFUNCTION("""COMPUTED_VALUE"""),93.23)</f>
        <v/>
      </c>
      <c r="F35" s="141">
        <f>IFERROR(__xludf.DUMMYFUNCTION("""COMPUTED_VALUE"""),93.38)</f>
        <v/>
      </c>
      <c r="G35" s="143">
        <f>IFERROR(__xludf.DUMMYFUNCTION("""COMPUTED_VALUE"""),3442732)</f>
        <v/>
      </c>
      <c r="H35" s="27" t="n"/>
    </row>
    <row r="36" ht="17.25" customHeight="1" s="322">
      <c r="A36" s="27" t="n"/>
      <c r="B36" s="506">
        <f>IFERROR(__xludf.DUMMYFUNCTION("""COMPUTED_VALUE"""),45880.6666666666)</f>
        <v/>
      </c>
      <c r="C36" s="141">
        <f>IFERROR(__xludf.DUMMYFUNCTION("""COMPUTED_VALUE"""),93.38)</f>
        <v/>
      </c>
      <c r="D36" s="141">
        <f>IFERROR(__xludf.DUMMYFUNCTION("""COMPUTED_VALUE"""),93.6)</f>
        <v/>
      </c>
      <c r="E36" s="141">
        <f>IFERROR(__xludf.DUMMYFUNCTION("""COMPUTED_VALUE"""),93.38)</f>
        <v/>
      </c>
      <c r="F36" s="141">
        <f>IFERROR(__xludf.DUMMYFUNCTION("""COMPUTED_VALUE"""),93.5)</f>
        <v/>
      </c>
      <c r="G36" s="143">
        <f>IFERROR(__xludf.DUMMYFUNCTION("""COMPUTED_VALUE"""),3606651)</f>
        <v/>
      </c>
      <c r="H36" s="27" t="n"/>
    </row>
    <row r="37" ht="17.25" customHeight="1" s="322">
      <c r="A37" s="27" t="n"/>
      <c r="B37" s="506">
        <f>IFERROR(__xludf.DUMMYFUNCTION("""COMPUTED_VALUE"""),45881.6666666666)</f>
        <v/>
      </c>
      <c r="C37" s="141">
        <f>IFERROR(__xludf.DUMMYFUNCTION("""COMPUTED_VALUE"""),93.57)</f>
        <v/>
      </c>
      <c r="D37" s="141">
        <f>IFERROR(__xludf.DUMMYFUNCTION("""COMPUTED_VALUE"""),93.72)</f>
        <v/>
      </c>
      <c r="E37" s="141">
        <f>IFERROR(__xludf.DUMMYFUNCTION("""COMPUTED_VALUE"""),93.5)</f>
        <v/>
      </c>
      <c r="F37" s="141">
        <f>IFERROR(__xludf.DUMMYFUNCTION("""COMPUTED_VALUE"""),93.68)</f>
        <v/>
      </c>
      <c r="G37" s="143">
        <f>IFERROR(__xludf.DUMMYFUNCTION("""COMPUTED_VALUE"""),7298104)</f>
        <v/>
      </c>
      <c r="H37" s="27" t="n"/>
    </row>
    <row r="38" ht="17.25" customHeight="1" s="322">
      <c r="A38" s="27" t="n"/>
      <c r="B38" s="506">
        <f>IFERROR(__xludf.DUMMYFUNCTION("""COMPUTED_VALUE"""),45882.6666666666)</f>
        <v/>
      </c>
      <c r="C38" s="141">
        <f>IFERROR(__xludf.DUMMYFUNCTION("""COMPUTED_VALUE"""),94.11)</f>
        <v/>
      </c>
      <c r="D38" s="141">
        <f>IFERROR(__xludf.DUMMYFUNCTION("""COMPUTED_VALUE"""),94.18)</f>
        <v/>
      </c>
      <c r="E38" s="141">
        <f>IFERROR(__xludf.DUMMYFUNCTION("""COMPUTED_VALUE"""),94)</f>
        <v/>
      </c>
      <c r="F38" s="141">
        <f>IFERROR(__xludf.DUMMYFUNCTION("""COMPUTED_VALUE"""),94.14)</f>
        <v/>
      </c>
      <c r="G38" s="143">
        <f>IFERROR(__xludf.DUMMYFUNCTION("""COMPUTED_VALUE"""),6574926)</f>
        <v/>
      </c>
      <c r="H38" s="27" t="n"/>
    </row>
    <row r="39" ht="17.25" customHeight="1" s="322">
      <c r="A39" s="27" t="n"/>
      <c r="B39" s="506">
        <f>IFERROR(__xludf.DUMMYFUNCTION("""COMPUTED_VALUE"""),45883.6666666666)</f>
        <v/>
      </c>
      <c r="C39" s="141">
        <f>IFERROR(__xludf.DUMMYFUNCTION("""COMPUTED_VALUE"""),93.95)</f>
        <v/>
      </c>
      <c r="D39" s="141">
        <f>IFERROR(__xludf.DUMMYFUNCTION("""COMPUTED_VALUE"""),94.08)</f>
        <v/>
      </c>
      <c r="E39" s="141">
        <f>IFERROR(__xludf.DUMMYFUNCTION("""COMPUTED_VALUE"""),93.8)</f>
        <v/>
      </c>
      <c r="F39" s="141">
        <f>IFERROR(__xludf.DUMMYFUNCTION("""COMPUTED_VALUE"""),93.93)</f>
        <v/>
      </c>
      <c r="G39" s="143">
        <f>IFERROR(__xludf.DUMMYFUNCTION("""COMPUTED_VALUE"""),7868268)</f>
        <v/>
      </c>
      <c r="H39" s="27" t="n"/>
    </row>
    <row r="40" ht="17.25" customHeight="1" s="322">
      <c r="A40" s="27" t="n"/>
      <c r="B40" s="506">
        <f>IFERROR(__xludf.DUMMYFUNCTION("""COMPUTED_VALUE"""),45884.6666666666)</f>
        <v/>
      </c>
      <c r="C40" s="141">
        <f>IFERROR(__xludf.DUMMYFUNCTION("""COMPUTED_VALUE"""),93.96)</f>
        <v/>
      </c>
      <c r="D40" s="141">
        <f>IFERROR(__xludf.DUMMYFUNCTION("""COMPUTED_VALUE"""),94)</f>
        <v/>
      </c>
      <c r="E40" s="141">
        <f>IFERROR(__xludf.DUMMYFUNCTION("""COMPUTED_VALUE"""),93.74)</f>
        <v/>
      </c>
      <c r="F40" s="141">
        <f>IFERROR(__xludf.DUMMYFUNCTION("""COMPUTED_VALUE"""),93.85)</f>
        <v/>
      </c>
      <c r="G40" s="143">
        <f>IFERROR(__xludf.DUMMYFUNCTION("""COMPUTED_VALUE"""),3679471)</f>
        <v/>
      </c>
      <c r="H40" s="27" t="n"/>
    </row>
    <row r="41" ht="17.25" customHeight="1" s="322">
      <c r="A41" s="27" t="n"/>
      <c r="B41" s="506">
        <f>IFERROR(__xludf.DUMMYFUNCTION("""COMPUTED_VALUE"""),45887.6666666666)</f>
        <v/>
      </c>
      <c r="C41" s="141">
        <f>IFERROR(__xludf.DUMMYFUNCTION("""COMPUTED_VALUE"""),93.7)</f>
        <v/>
      </c>
      <c r="D41" s="141">
        <f>IFERROR(__xludf.DUMMYFUNCTION("""COMPUTED_VALUE"""),94.04)</f>
        <v/>
      </c>
      <c r="E41" s="141">
        <f>IFERROR(__xludf.DUMMYFUNCTION("""COMPUTED_VALUE"""),93.7)</f>
        <v/>
      </c>
      <c r="F41" s="141">
        <f>IFERROR(__xludf.DUMMYFUNCTION("""COMPUTED_VALUE"""),93.94)</f>
        <v/>
      </c>
      <c r="G41" s="143">
        <f>IFERROR(__xludf.DUMMYFUNCTION("""COMPUTED_VALUE"""),2727206)</f>
        <v/>
      </c>
      <c r="H41" s="27" t="n"/>
    </row>
    <row r="42" ht="17.25" customHeight="1" s="322">
      <c r="A42" s="27" t="n"/>
      <c r="B42" s="506">
        <f>IFERROR(__xludf.DUMMYFUNCTION("""COMPUTED_VALUE"""),45888.6666666666)</f>
        <v/>
      </c>
      <c r="C42" s="141">
        <f>IFERROR(__xludf.DUMMYFUNCTION("""COMPUTED_VALUE"""),93.94)</f>
        <v/>
      </c>
      <c r="D42" s="141">
        <f>IFERROR(__xludf.DUMMYFUNCTION("""COMPUTED_VALUE"""),94.09)</f>
        <v/>
      </c>
      <c r="E42" s="141">
        <f>IFERROR(__xludf.DUMMYFUNCTION("""COMPUTED_VALUE"""),93.91)</f>
        <v/>
      </c>
      <c r="F42" s="141">
        <f>IFERROR(__xludf.DUMMYFUNCTION("""COMPUTED_VALUE"""),93.98)</f>
        <v/>
      </c>
      <c r="G42" s="143">
        <f>IFERROR(__xludf.DUMMYFUNCTION("""COMPUTED_VALUE"""),4412663)</f>
        <v/>
      </c>
      <c r="H42" s="27" t="n"/>
    </row>
    <row r="43" ht="17.25" customHeight="1" s="322">
      <c r="A43" s="27" t="n"/>
      <c r="B43" s="506">
        <f>IFERROR(__xludf.DUMMYFUNCTION("""COMPUTED_VALUE"""),45889.6666666666)</f>
        <v/>
      </c>
      <c r="C43" s="141">
        <f>IFERROR(__xludf.DUMMYFUNCTION("""COMPUTED_VALUE"""),93.87)</f>
        <v/>
      </c>
      <c r="D43" s="141">
        <f>IFERROR(__xludf.DUMMYFUNCTION("""COMPUTED_VALUE"""),93.94)</f>
        <v/>
      </c>
      <c r="E43" s="141">
        <f>IFERROR(__xludf.DUMMYFUNCTION("""COMPUTED_VALUE"""),93.74)</f>
        <v/>
      </c>
      <c r="F43" s="141">
        <f>IFERROR(__xludf.DUMMYFUNCTION("""COMPUTED_VALUE"""),93.83)</f>
        <v/>
      </c>
      <c r="G43" s="143">
        <f>IFERROR(__xludf.DUMMYFUNCTION("""COMPUTED_VALUE"""),4509476)</f>
        <v/>
      </c>
      <c r="H43" s="27" t="n"/>
    </row>
    <row r="44" ht="17.25" customHeight="1" s="322">
      <c r="A44" s="27" t="n"/>
      <c r="B44" s="506">
        <f>IFERROR(__xludf.DUMMYFUNCTION("""COMPUTED_VALUE"""),45890.6666666666)</f>
        <v/>
      </c>
      <c r="C44" s="141">
        <f>IFERROR(__xludf.DUMMYFUNCTION("""COMPUTED_VALUE"""),93.75)</f>
        <v/>
      </c>
      <c r="D44" s="141">
        <f>IFERROR(__xludf.DUMMYFUNCTION("""COMPUTED_VALUE"""),93.79)</f>
        <v/>
      </c>
      <c r="E44" s="141">
        <f>IFERROR(__xludf.DUMMYFUNCTION("""COMPUTED_VALUE"""),93.46)</f>
        <v/>
      </c>
      <c r="F44" s="141">
        <f>IFERROR(__xludf.DUMMYFUNCTION("""COMPUTED_VALUE"""),93.53)</f>
        <v/>
      </c>
      <c r="G44" s="143">
        <f>IFERROR(__xludf.DUMMYFUNCTION("""COMPUTED_VALUE"""),11054822)</f>
        <v/>
      </c>
      <c r="H44" s="27" t="n"/>
    </row>
    <row r="45" ht="17.25" customHeight="1" s="322">
      <c r="A45" s="27" t="n"/>
      <c r="B45" s="506">
        <f>IFERROR(__xludf.DUMMYFUNCTION("""COMPUTED_VALUE"""),45891.6666666666)</f>
        <v/>
      </c>
      <c r="C45" s="141">
        <f>IFERROR(__xludf.DUMMYFUNCTION("""COMPUTED_VALUE"""),93.53)</f>
        <v/>
      </c>
      <c r="D45" s="141">
        <f>IFERROR(__xludf.DUMMYFUNCTION("""COMPUTED_VALUE"""),94.27)</f>
        <v/>
      </c>
      <c r="E45" s="141">
        <f>IFERROR(__xludf.DUMMYFUNCTION("""COMPUTED_VALUE"""),93.53)</f>
        <v/>
      </c>
      <c r="F45" s="141">
        <f>IFERROR(__xludf.DUMMYFUNCTION("""COMPUTED_VALUE"""),94.21)</f>
        <v/>
      </c>
      <c r="G45" s="143">
        <f>IFERROR(__xludf.DUMMYFUNCTION("""COMPUTED_VALUE"""),8250378)</f>
        <v/>
      </c>
      <c r="H45" s="27" t="n"/>
    </row>
    <row r="46" ht="17.25" customHeight="1" s="322">
      <c r="A46" s="27" t="n"/>
      <c r="B46" s="506">
        <f>IFERROR(__xludf.DUMMYFUNCTION("""COMPUTED_VALUE"""),45894.6666666666)</f>
        <v/>
      </c>
      <c r="C46" s="141">
        <f>IFERROR(__xludf.DUMMYFUNCTION("""COMPUTED_VALUE"""),93.97)</f>
        <v/>
      </c>
      <c r="D46" s="141">
        <f>IFERROR(__xludf.DUMMYFUNCTION("""COMPUTED_VALUE"""),94.03)</f>
        <v/>
      </c>
      <c r="E46" s="141">
        <f>IFERROR(__xludf.DUMMYFUNCTION("""COMPUTED_VALUE"""),93.84)</f>
        <v/>
      </c>
      <c r="F46" s="141">
        <f>IFERROR(__xludf.DUMMYFUNCTION("""COMPUTED_VALUE"""),93.84)</f>
        <v/>
      </c>
      <c r="G46" s="143">
        <f>IFERROR(__xludf.DUMMYFUNCTION("""COMPUTED_VALUE"""),4721238)</f>
        <v/>
      </c>
      <c r="H46" s="27" t="n"/>
    </row>
    <row r="47" ht="17.25" customHeight="1" s="322">
      <c r="A47" s="27" t="n"/>
      <c r="B47" s="506">
        <f>IFERROR(__xludf.DUMMYFUNCTION("""COMPUTED_VALUE"""),45895.6666666666)</f>
        <v/>
      </c>
      <c r="C47" s="141">
        <f>IFERROR(__xludf.DUMMYFUNCTION("""COMPUTED_VALUE"""),93.75)</f>
        <v/>
      </c>
      <c r="D47" s="141">
        <f>IFERROR(__xludf.DUMMYFUNCTION("""COMPUTED_VALUE"""),93.83)</f>
        <v/>
      </c>
      <c r="E47" s="141">
        <f>IFERROR(__xludf.DUMMYFUNCTION("""COMPUTED_VALUE"""),93.6)</f>
        <v/>
      </c>
      <c r="F47" s="141">
        <f>IFERROR(__xludf.DUMMYFUNCTION("""COMPUTED_VALUE"""),93.82)</f>
        <v/>
      </c>
      <c r="G47" s="143">
        <f>IFERROR(__xludf.DUMMYFUNCTION("""COMPUTED_VALUE"""),6172132)</f>
        <v/>
      </c>
      <c r="H47" s="27" t="n"/>
    </row>
    <row r="48" ht="17.25" customHeight="1" s="322">
      <c r="A48" s="27" t="n"/>
      <c r="B48" s="506">
        <f>IFERROR(__xludf.DUMMYFUNCTION("""COMPUTED_VALUE"""),45896.6666666666)</f>
        <v/>
      </c>
      <c r="C48" s="141">
        <f>IFERROR(__xludf.DUMMYFUNCTION("""COMPUTED_VALUE"""),93.74)</f>
        <v/>
      </c>
      <c r="D48" s="141">
        <f>IFERROR(__xludf.DUMMYFUNCTION("""COMPUTED_VALUE"""),93.74)</f>
        <v/>
      </c>
      <c r="E48" s="141">
        <f>IFERROR(__xludf.DUMMYFUNCTION("""COMPUTED_VALUE"""),93.49)</f>
        <v/>
      </c>
      <c r="F48" s="141">
        <f>IFERROR(__xludf.DUMMYFUNCTION("""COMPUTED_VALUE"""),93.71)</f>
        <v/>
      </c>
      <c r="G48" s="143">
        <f>IFERROR(__xludf.DUMMYFUNCTION("""COMPUTED_VALUE"""),4194706)</f>
        <v/>
      </c>
      <c r="H48" s="27" t="n"/>
    </row>
    <row r="49" ht="17.25" customHeight="1" s="322">
      <c r="A49" s="27" t="n"/>
      <c r="B49" s="506">
        <f>IFERROR(__xludf.DUMMYFUNCTION("""COMPUTED_VALUE"""),45897.6666666666)</f>
        <v/>
      </c>
      <c r="C49" s="141">
        <f>IFERROR(__xludf.DUMMYFUNCTION("""COMPUTED_VALUE"""),93.91)</f>
        <v/>
      </c>
      <c r="D49" s="141">
        <f>IFERROR(__xludf.DUMMYFUNCTION("""COMPUTED_VALUE"""),94.3)</f>
        <v/>
      </c>
      <c r="E49" s="141">
        <f>IFERROR(__xludf.DUMMYFUNCTION("""COMPUTED_VALUE"""),93.86)</f>
        <v/>
      </c>
      <c r="F49" s="141">
        <f>IFERROR(__xludf.DUMMYFUNCTION("""COMPUTED_VALUE"""),94.26)</f>
        <v/>
      </c>
      <c r="G49" s="143">
        <f>IFERROR(__xludf.DUMMYFUNCTION("""COMPUTED_VALUE"""),9425611)</f>
        <v/>
      </c>
      <c r="H49" s="27" t="n"/>
    </row>
    <row r="50" ht="17.25" customHeight="1" s="322">
      <c r="A50" s="27" t="n"/>
      <c r="B50" s="506">
        <f>IFERROR(__xludf.DUMMYFUNCTION("""COMPUTED_VALUE"""),45898.6666666666)</f>
        <v/>
      </c>
      <c r="C50" s="141">
        <f>IFERROR(__xludf.DUMMYFUNCTION("""COMPUTED_VALUE"""),94.07)</f>
        <v/>
      </c>
      <c r="D50" s="141">
        <f>IFERROR(__xludf.DUMMYFUNCTION("""COMPUTED_VALUE"""),94.19)</f>
        <v/>
      </c>
      <c r="E50" s="141">
        <f>IFERROR(__xludf.DUMMYFUNCTION("""COMPUTED_VALUE"""),94)</f>
        <v/>
      </c>
      <c r="F50" s="141">
        <f>IFERROR(__xludf.DUMMYFUNCTION("""COMPUTED_VALUE"""),94.12)</f>
        <v/>
      </c>
      <c r="G50" s="143">
        <f>IFERROR(__xludf.DUMMYFUNCTION("""COMPUTED_VALUE"""),8476409)</f>
        <v/>
      </c>
      <c r="H50" s="27" t="n"/>
    </row>
    <row r="51" ht="17.25" customHeight="1" s="322">
      <c r="A51" s="27" t="n"/>
      <c r="B51" s="506">
        <f>IFERROR(__xludf.DUMMYFUNCTION("""COMPUTED_VALUE"""),45902.6666666666)</f>
        <v/>
      </c>
      <c r="C51" s="141">
        <f>IFERROR(__xludf.DUMMYFUNCTION("""COMPUTED_VALUE"""),93.12)</f>
        <v/>
      </c>
      <c r="D51" s="141">
        <f>IFERROR(__xludf.DUMMYFUNCTION("""COMPUTED_VALUE"""),93.38)</f>
        <v/>
      </c>
      <c r="E51" s="141">
        <f>IFERROR(__xludf.DUMMYFUNCTION("""COMPUTED_VALUE"""),93.03)</f>
        <v/>
      </c>
      <c r="F51" s="141">
        <f>IFERROR(__xludf.DUMMYFUNCTION("""COMPUTED_VALUE"""),93.36)</f>
        <v/>
      </c>
      <c r="G51" s="143">
        <f>IFERROR(__xludf.DUMMYFUNCTION("""COMPUTED_VALUE"""),9614858)</f>
        <v/>
      </c>
      <c r="H51" s="27" t="n"/>
    </row>
    <row r="52" ht="17.25" customHeight="1" s="322">
      <c r="A52" s="27" t="n"/>
      <c r="B52" s="506">
        <f>IFERROR(__xludf.DUMMYFUNCTION("""COMPUTED_VALUE"""),45903.6666666666)</f>
        <v/>
      </c>
      <c r="C52" s="141">
        <f>IFERROR(__xludf.DUMMYFUNCTION("""COMPUTED_VALUE"""),93.42)</f>
        <v/>
      </c>
      <c r="D52" s="141">
        <f>IFERROR(__xludf.DUMMYFUNCTION("""COMPUTED_VALUE"""),93.78)</f>
        <v/>
      </c>
      <c r="E52" s="141">
        <f>IFERROR(__xludf.DUMMYFUNCTION("""COMPUTED_VALUE"""),93.4)</f>
        <v/>
      </c>
      <c r="F52" s="141">
        <f>IFERROR(__xludf.DUMMYFUNCTION("""COMPUTED_VALUE"""),93.76)</f>
        <v/>
      </c>
      <c r="G52" s="143">
        <f>IFERROR(__xludf.DUMMYFUNCTION("""COMPUTED_VALUE"""),9263853)</f>
        <v/>
      </c>
      <c r="H52" s="27" t="n"/>
    </row>
    <row r="53" ht="17.25" customHeight="1" s="322">
      <c r="A53" s="27" t="n"/>
      <c r="B53" s="506">
        <f>IFERROR(__xludf.DUMMYFUNCTION("""COMPUTED_VALUE"""),45904.6666666666)</f>
        <v/>
      </c>
      <c r="C53" s="141">
        <f>IFERROR(__xludf.DUMMYFUNCTION("""COMPUTED_VALUE"""),94.02)</f>
        <v/>
      </c>
      <c r="D53" s="141">
        <f>IFERROR(__xludf.DUMMYFUNCTION("""COMPUTED_VALUE"""),94.14)</f>
        <v/>
      </c>
      <c r="E53" s="141">
        <f>IFERROR(__xludf.DUMMYFUNCTION("""COMPUTED_VALUE"""),93.85)</f>
        <v/>
      </c>
      <c r="F53" s="141">
        <f>IFERROR(__xludf.DUMMYFUNCTION("""COMPUTED_VALUE"""),94.13)</f>
        <v/>
      </c>
      <c r="G53" s="143">
        <f>IFERROR(__xludf.DUMMYFUNCTION("""COMPUTED_VALUE"""),5900182)</f>
        <v/>
      </c>
      <c r="H53" s="27" t="n"/>
    </row>
    <row r="54" ht="17.25" customHeight="1" s="322">
      <c r="A54" s="27" t="n"/>
      <c r="B54" s="506">
        <f>IFERROR(__xludf.DUMMYFUNCTION("""COMPUTED_VALUE"""),45905.6666666666)</f>
        <v/>
      </c>
      <c r="C54" s="141">
        <f>IFERROR(__xludf.DUMMYFUNCTION("""COMPUTED_VALUE"""),94.66)</f>
        <v/>
      </c>
      <c r="D54" s="141">
        <f>IFERROR(__xludf.DUMMYFUNCTION("""COMPUTED_VALUE"""),94.78)</f>
        <v/>
      </c>
      <c r="E54" s="141">
        <f>IFERROR(__xludf.DUMMYFUNCTION("""COMPUTED_VALUE"""),94.55)</f>
        <v/>
      </c>
      <c r="F54" s="141">
        <f>IFERROR(__xludf.DUMMYFUNCTION("""COMPUTED_VALUE"""),94.76)</f>
        <v/>
      </c>
      <c r="G54" s="143">
        <f>IFERROR(__xludf.DUMMYFUNCTION("""COMPUTED_VALUE"""),10635491)</f>
        <v/>
      </c>
      <c r="H54" s="27" t="n"/>
    </row>
    <row r="55" ht="17.25" customHeight="1" s="322">
      <c r="A55" s="27" t="n"/>
      <c r="B55" s="506">
        <f>IFERROR(__xludf.DUMMYFUNCTION("""COMPUTED_VALUE"""),45908.6666666666)</f>
        <v/>
      </c>
      <c r="C55" s="141">
        <f>IFERROR(__xludf.DUMMYFUNCTION("""COMPUTED_VALUE"""),94.5)</f>
        <v/>
      </c>
      <c r="D55" s="141">
        <f>IFERROR(__xludf.DUMMYFUNCTION("""COMPUTED_VALUE"""),94.79)</f>
        <v/>
      </c>
      <c r="E55" s="141">
        <f>IFERROR(__xludf.DUMMYFUNCTION("""COMPUTED_VALUE"""),94.5)</f>
        <v/>
      </c>
      <c r="F55" s="141">
        <f>IFERROR(__xludf.DUMMYFUNCTION("""COMPUTED_VALUE"""),94.75)</f>
        <v/>
      </c>
      <c r="G55" s="143">
        <f>IFERROR(__xludf.DUMMYFUNCTION("""COMPUTED_VALUE"""),6535207)</f>
        <v/>
      </c>
      <c r="H55" s="27" t="n"/>
    </row>
    <row r="56" ht="17.25" customHeight="1" s="322">
      <c r="A56" s="27" t="n"/>
      <c r="B56" s="506">
        <f>IFERROR(__xludf.DUMMYFUNCTION("""COMPUTED_VALUE"""),45909.6666666666)</f>
        <v/>
      </c>
      <c r="C56" s="141">
        <f>IFERROR(__xludf.DUMMYFUNCTION("""COMPUTED_VALUE"""),94.7)</f>
        <v/>
      </c>
      <c r="D56" s="141">
        <f>IFERROR(__xludf.DUMMYFUNCTION("""COMPUTED_VALUE"""),94.76)</f>
        <v/>
      </c>
      <c r="E56" s="141">
        <f>IFERROR(__xludf.DUMMYFUNCTION("""COMPUTED_VALUE"""),94.55)</f>
        <v/>
      </c>
      <c r="F56" s="141">
        <f>IFERROR(__xludf.DUMMYFUNCTION("""COMPUTED_VALUE"""),94.66)</f>
        <v/>
      </c>
      <c r="G56" s="143">
        <f>IFERROR(__xludf.DUMMYFUNCTION("""COMPUTED_VALUE"""),6004064)</f>
        <v/>
      </c>
      <c r="H56" s="27" t="n"/>
    </row>
    <row r="57" ht="17.25" customHeight="1" s="322">
      <c r="A57" s="27" t="n"/>
      <c r="B57" s="506">
        <f>IFERROR(__xludf.DUMMYFUNCTION("""COMPUTED_VALUE"""),45910.6666666666)</f>
        <v/>
      </c>
      <c r="C57" s="141">
        <f>IFERROR(__xludf.DUMMYFUNCTION("""COMPUTED_VALUE"""),94.84)</f>
        <v/>
      </c>
      <c r="D57" s="141">
        <f>IFERROR(__xludf.DUMMYFUNCTION("""COMPUTED_VALUE"""),95.31)</f>
        <v/>
      </c>
      <c r="E57" s="141">
        <f>IFERROR(__xludf.DUMMYFUNCTION("""COMPUTED_VALUE"""),94.75)</f>
        <v/>
      </c>
      <c r="F57" s="141">
        <f>IFERROR(__xludf.DUMMYFUNCTION("""COMPUTED_VALUE"""),95.18)</f>
        <v/>
      </c>
      <c r="G57" s="143">
        <f>IFERROR(__xludf.DUMMYFUNCTION("""COMPUTED_VALUE"""),9816166)</f>
        <v/>
      </c>
      <c r="H57" s="27" t="n"/>
    </row>
    <row r="58" ht="17.25" customHeight="1" s="322">
      <c r="A58" s="27" t="n"/>
      <c r="B58" s="506">
        <f>IFERROR(__xludf.DUMMYFUNCTION("""COMPUTED_VALUE"""),45911.6666666666)</f>
        <v/>
      </c>
      <c r="C58" s="141">
        <f>IFERROR(__xludf.DUMMYFUNCTION("""COMPUTED_VALUE"""),95.31)</f>
        <v/>
      </c>
      <c r="D58" s="141">
        <f>IFERROR(__xludf.DUMMYFUNCTION("""COMPUTED_VALUE"""),95.7)</f>
        <v/>
      </c>
      <c r="E58" s="141">
        <f>IFERROR(__xludf.DUMMYFUNCTION("""COMPUTED_VALUE"""),95.28)</f>
        <v/>
      </c>
      <c r="F58" s="141">
        <f>IFERROR(__xludf.DUMMYFUNCTION("""COMPUTED_VALUE"""),95.53)</f>
        <v/>
      </c>
      <c r="G58" s="143">
        <f>IFERROR(__xludf.DUMMYFUNCTION("""COMPUTED_VALUE"""),11143541)</f>
        <v/>
      </c>
      <c r="H58" s="27" t="n"/>
    </row>
    <row r="59" ht="17.25" customHeight="1" s="322">
      <c r="A59" s="27" t="n"/>
      <c r="B59" s="506">
        <f>IFERROR(__xludf.DUMMYFUNCTION("""COMPUTED_VALUE"""),45912.6666666666)</f>
        <v/>
      </c>
      <c r="C59" s="141">
        <f>IFERROR(__xludf.DUMMYFUNCTION("""COMPUTED_VALUE"""),95.42)</f>
        <v/>
      </c>
      <c r="D59" s="141">
        <f>IFERROR(__xludf.DUMMYFUNCTION("""COMPUTED_VALUE"""),95.42)</f>
        <v/>
      </c>
      <c r="E59" s="141">
        <f>IFERROR(__xludf.DUMMYFUNCTION("""COMPUTED_VALUE"""),95.18)</f>
        <v/>
      </c>
      <c r="F59" s="141">
        <f>IFERROR(__xludf.DUMMYFUNCTION("""COMPUTED_VALUE"""),95.25)</f>
        <v/>
      </c>
      <c r="G59" s="143">
        <f>IFERROR(__xludf.DUMMYFUNCTION("""COMPUTED_VALUE"""),5215810)</f>
        <v/>
      </c>
      <c r="H59" s="27" t="n"/>
    </row>
    <row r="60" ht="17.25" customHeight="1" s="322">
      <c r="A60" s="27" t="n"/>
      <c r="B60" s="506">
        <f>IFERROR(__xludf.DUMMYFUNCTION("""COMPUTED_VALUE"""),45915.6666666666)</f>
        <v/>
      </c>
      <c r="C60" s="141">
        <f>IFERROR(__xludf.DUMMYFUNCTION("""COMPUTED_VALUE"""),95.38)</f>
        <v/>
      </c>
      <c r="D60" s="141">
        <f>IFERROR(__xludf.DUMMYFUNCTION("""COMPUTED_VALUE"""),95.65)</f>
        <v/>
      </c>
      <c r="E60" s="141">
        <f>IFERROR(__xludf.DUMMYFUNCTION("""COMPUTED_VALUE"""),95.34)</f>
        <v/>
      </c>
      <c r="F60" s="141">
        <f>IFERROR(__xludf.DUMMYFUNCTION("""COMPUTED_VALUE"""),95.59)</f>
        <v/>
      </c>
      <c r="G60" s="143">
        <f>IFERROR(__xludf.DUMMYFUNCTION("""COMPUTED_VALUE"""),5308684)</f>
        <v/>
      </c>
      <c r="H60" s="27" t="n"/>
    </row>
    <row r="61" ht="17.25" customHeight="1" s="322">
      <c r="A61" s="27" t="n"/>
      <c r="B61" s="506">
        <f>IFERROR(__xludf.DUMMYFUNCTION("""COMPUTED_VALUE"""),45916.6666666666)</f>
        <v/>
      </c>
      <c r="C61" s="141">
        <f>IFERROR(__xludf.DUMMYFUNCTION("""COMPUTED_VALUE"""),95.71)</f>
        <v/>
      </c>
      <c r="D61" s="141">
        <f>IFERROR(__xludf.DUMMYFUNCTION("""COMPUTED_VALUE"""),95.71)</f>
        <v/>
      </c>
      <c r="E61" s="141">
        <f>IFERROR(__xludf.DUMMYFUNCTION("""COMPUTED_VALUE"""),95.45)</f>
        <v/>
      </c>
      <c r="F61" s="141">
        <f>IFERROR(__xludf.DUMMYFUNCTION("""COMPUTED_VALUE"""),95.53)</f>
        <v/>
      </c>
      <c r="G61" s="143">
        <f>IFERROR(__xludf.DUMMYFUNCTION("""COMPUTED_VALUE"""),5454679)</f>
        <v/>
      </c>
      <c r="H61" s="27" t="n"/>
    </row>
    <row r="62" ht="17.25" customHeight="1" s="322">
      <c r="A62" s="27" t="n"/>
      <c r="B62" s="506">
        <f>IFERROR(__xludf.DUMMYFUNCTION("""COMPUTED_VALUE"""),45917.6666666666)</f>
        <v/>
      </c>
      <c r="C62" s="141">
        <f>IFERROR(__xludf.DUMMYFUNCTION("""COMPUTED_VALUE"""),95.74)</f>
        <v/>
      </c>
      <c r="D62" s="141">
        <f>IFERROR(__xludf.DUMMYFUNCTION("""COMPUTED_VALUE"""),95.9)</f>
        <v/>
      </c>
      <c r="E62" s="141">
        <f>IFERROR(__xludf.DUMMYFUNCTION("""COMPUTED_VALUE"""),95.31)</f>
        <v/>
      </c>
      <c r="F62" s="141">
        <f>IFERROR(__xludf.DUMMYFUNCTION("""COMPUTED_VALUE"""),95.48)</f>
        <v/>
      </c>
      <c r="G62" s="143">
        <f>IFERROR(__xludf.DUMMYFUNCTION("""COMPUTED_VALUE"""),8381880)</f>
        <v/>
      </c>
      <c r="H62" s="27" t="n"/>
    </row>
    <row r="63" ht="17.25" customHeight="1" s="322">
      <c r="A63" s="27" t="n"/>
      <c r="B63" s="506">
        <f>IFERROR(__xludf.DUMMYFUNCTION("""COMPUTED_VALUE"""),45918.6666666666)</f>
        <v/>
      </c>
      <c r="C63" s="141">
        <f>IFERROR(__xludf.DUMMYFUNCTION("""COMPUTED_VALUE"""),95.77)</f>
        <v/>
      </c>
      <c r="D63" s="141">
        <f>IFERROR(__xludf.DUMMYFUNCTION("""COMPUTED_VALUE"""),95.77)</f>
        <v/>
      </c>
      <c r="E63" s="141">
        <f>IFERROR(__xludf.DUMMYFUNCTION("""COMPUTED_VALUE"""),95.04)</f>
        <v/>
      </c>
      <c r="F63" s="141">
        <f>IFERROR(__xludf.DUMMYFUNCTION("""COMPUTED_VALUE"""),95.08)</f>
        <v/>
      </c>
      <c r="G63" s="143">
        <f>IFERROR(__xludf.DUMMYFUNCTION("""COMPUTED_VALUE"""),7793664)</f>
        <v/>
      </c>
      <c r="H63" s="27" t="n"/>
    </row>
    <row r="64" ht="17.25" customHeight="1" s="322">
      <c r="A64" s="27" t="n"/>
      <c r="B64" s="506">
        <f>IFERROR(__xludf.DUMMYFUNCTION("""COMPUTED_VALUE"""),45919.6666666666)</f>
        <v/>
      </c>
      <c r="C64" s="141">
        <f>IFERROR(__xludf.DUMMYFUNCTION("""COMPUTED_VALUE"""),94.96)</f>
        <v/>
      </c>
      <c r="D64" s="141">
        <f>IFERROR(__xludf.DUMMYFUNCTION("""COMPUTED_VALUE"""),95.05)</f>
        <v/>
      </c>
      <c r="E64" s="141">
        <f>IFERROR(__xludf.DUMMYFUNCTION("""COMPUTED_VALUE"""),94.84)</f>
        <v/>
      </c>
      <c r="F64" s="141">
        <f>IFERROR(__xludf.DUMMYFUNCTION("""COMPUTED_VALUE"""),94.98)</f>
        <v/>
      </c>
      <c r="G64" s="143">
        <f>IFERROR(__xludf.DUMMYFUNCTION("""COMPUTED_VALUE"""),6499614)</f>
        <v/>
      </c>
      <c r="H64" s="27" t="n"/>
    </row>
    <row r="65" ht="17.25" customHeight="1" s="322">
      <c r="A65" s="27" t="n"/>
      <c r="B65" s="506">
        <f>IFERROR(__xludf.DUMMYFUNCTION("""COMPUTED_VALUE"""),45922.6666666666)</f>
        <v/>
      </c>
      <c r="C65" s="141">
        <f>IFERROR(__xludf.DUMMYFUNCTION("""COMPUTED_VALUE"""),95.12)</f>
        <v/>
      </c>
      <c r="D65" s="141">
        <f>IFERROR(__xludf.DUMMYFUNCTION("""COMPUTED_VALUE"""),95.24)</f>
        <v/>
      </c>
      <c r="E65" s="141">
        <f>IFERROR(__xludf.DUMMYFUNCTION("""COMPUTED_VALUE"""),95.04)</f>
        <v/>
      </c>
      <c r="F65" s="141">
        <f>IFERROR(__xludf.DUMMYFUNCTION("""COMPUTED_VALUE"""),95.19)</f>
        <v/>
      </c>
      <c r="G65" s="143">
        <f>IFERROR(__xludf.DUMMYFUNCTION("""COMPUTED_VALUE"""),5110127)</f>
        <v/>
      </c>
      <c r="H65" s="27" t="n"/>
    </row>
    <row r="66" ht="17.25" customHeight="1" s="322">
      <c r="A66" s="27" t="n"/>
      <c r="B66" s="506">
        <f>IFERROR(__xludf.DUMMYFUNCTION("""COMPUTED_VALUE"""),45923.6666666666)</f>
        <v/>
      </c>
      <c r="C66" s="141">
        <f>IFERROR(__xludf.DUMMYFUNCTION("""COMPUTED_VALUE"""),95.34)</f>
        <v/>
      </c>
      <c r="D66" s="141">
        <f>IFERROR(__xludf.DUMMYFUNCTION("""COMPUTED_VALUE"""),95.57)</f>
        <v/>
      </c>
      <c r="E66" s="141">
        <f>IFERROR(__xludf.DUMMYFUNCTION("""COMPUTED_VALUE"""),95.3)</f>
        <v/>
      </c>
      <c r="F66" s="141">
        <f>IFERROR(__xludf.DUMMYFUNCTION("""COMPUTED_VALUE"""),95.56)</f>
        <v/>
      </c>
      <c r="G66" s="143">
        <f>IFERROR(__xludf.DUMMYFUNCTION("""COMPUTED_VALUE"""),5840278)</f>
        <v/>
      </c>
      <c r="H66" s="27" t="n"/>
    </row>
    <row r="67" ht="17.25" customHeight="1" s="322">
      <c r="A67" s="27" t="n"/>
      <c r="B67" s="506">
        <f>IFERROR(__xludf.DUMMYFUNCTION("""COMPUTED_VALUE"""),45924.6666666666)</f>
        <v/>
      </c>
      <c r="C67" s="141">
        <f>IFERROR(__xludf.DUMMYFUNCTION("""COMPUTED_VALUE"""),95.73)</f>
        <v/>
      </c>
      <c r="D67" s="141">
        <f>IFERROR(__xludf.DUMMYFUNCTION("""COMPUTED_VALUE"""),95.8)</f>
        <v/>
      </c>
      <c r="E67" s="141">
        <f>IFERROR(__xludf.DUMMYFUNCTION("""COMPUTED_VALUE"""),95.43)</f>
        <v/>
      </c>
      <c r="F67" s="141">
        <f>IFERROR(__xludf.DUMMYFUNCTION("""COMPUTED_VALUE"""),95.5)</f>
        <v/>
      </c>
      <c r="G67" s="143">
        <f>IFERROR(__xludf.DUMMYFUNCTION("""COMPUTED_VALUE"""),7173634)</f>
        <v/>
      </c>
      <c r="H67" s="27" t="n"/>
    </row>
    <row r="68" ht="17.25" customHeight="1" s="322">
      <c r="A68" s="27" t="n"/>
      <c r="B68" s="506">
        <f>IFERROR(__xludf.DUMMYFUNCTION("""COMPUTED_VALUE"""),45925.6666666666)</f>
        <v/>
      </c>
      <c r="C68" s="141">
        <f>IFERROR(__xludf.DUMMYFUNCTION("""COMPUTED_VALUE"""),95.6)</f>
        <v/>
      </c>
      <c r="D68" s="141">
        <f>IFERROR(__xludf.DUMMYFUNCTION("""COMPUTED_VALUE"""),95.6)</f>
        <v/>
      </c>
      <c r="E68" s="141">
        <f>IFERROR(__xludf.DUMMYFUNCTION("""COMPUTED_VALUE"""),95.18)</f>
        <v/>
      </c>
      <c r="F68" s="141">
        <f>IFERROR(__xludf.DUMMYFUNCTION("""COMPUTED_VALUE"""),95.26)</f>
        <v/>
      </c>
      <c r="G68" s="143">
        <f>IFERROR(__xludf.DUMMYFUNCTION("""COMPUTED_VALUE"""),7982640)</f>
        <v/>
      </c>
      <c r="H68" s="27" t="n"/>
    </row>
    <row r="69" ht="17.25" customHeight="1" s="322">
      <c r="A69" s="27" t="n"/>
      <c r="B69" s="506">
        <f>IFERROR(__xludf.DUMMYFUNCTION("""COMPUTED_VALUE"""),45926.6666666666)</f>
        <v/>
      </c>
      <c r="C69" s="141">
        <f>IFERROR(__xludf.DUMMYFUNCTION("""COMPUTED_VALUE"""),95.3)</f>
        <v/>
      </c>
      <c r="D69" s="141">
        <f>IFERROR(__xludf.DUMMYFUNCTION("""COMPUTED_VALUE"""),95.4)</f>
        <v/>
      </c>
      <c r="E69" s="141">
        <f>IFERROR(__xludf.DUMMYFUNCTION("""COMPUTED_VALUE"""),95.1)</f>
        <v/>
      </c>
      <c r="F69" s="141">
        <f>IFERROR(__xludf.DUMMYFUNCTION("""COMPUTED_VALUE"""),95.23)</f>
        <v/>
      </c>
      <c r="G69" s="143">
        <f>IFERROR(__xludf.DUMMYFUNCTION("""COMPUTED_VALUE"""),6119875)</f>
        <v/>
      </c>
      <c r="H69" s="27" t="n"/>
    </row>
    <row r="70" ht="17.25" customHeight="1" s="322">
      <c r="A70" s="27" t="n"/>
      <c r="B70" s="506">
        <f>IFERROR(__xludf.DUMMYFUNCTION("""COMPUTED_VALUE"""),45929.6666666666)</f>
        <v/>
      </c>
      <c r="C70" s="141">
        <f>IFERROR(__xludf.DUMMYFUNCTION("""COMPUTED_VALUE"""),95.23)</f>
        <v/>
      </c>
      <c r="D70" s="141">
        <f>IFERROR(__xludf.DUMMYFUNCTION("""COMPUTED_VALUE"""),95.47)</f>
        <v/>
      </c>
      <c r="E70" s="141">
        <f>IFERROR(__xludf.DUMMYFUNCTION("""COMPUTED_VALUE"""),95.23)</f>
        <v/>
      </c>
      <c r="F70" s="141">
        <f>IFERROR(__xludf.DUMMYFUNCTION("""COMPUTED_VALUE"""),95.39)</f>
        <v/>
      </c>
      <c r="G70" s="143">
        <f>IFERROR(__xludf.DUMMYFUNCTION("""COMPUTED_VALUE"""),4182261)</f>
        <v/>
      </c>
      <c r="H70" s="27" t="n"/>
    </row>
    <row r="71" ht="17.25" customHeight="1" s="322">
      <c r="A71" s="27" t="n"/>
      <c r="B71" s="506">
        <f>IFERROR(__xludf.DUMMYFUNCTION("""COMPUTED_VALUE"""),45930.6666666666)</f>
        <v/>
      </c>
      <c r="C71" s="141">
        <f>IFERROR(__xludf.DUMMYFUNCTION("""COMPUTED_VALUE"""),95.43)</f>
        <v/>
      </c>
      <c r="D71" s="141">
        <f>IFERROR(__xludf.DUMMYFUNCTION("""COMPUTED_VALUE"""),95.51)</f>
        <v/>
      </c>
      <c r="E71" s="141">
        <f>IFERROR(__xludf.DUMMYFUNCTION("""COMPUTED_VALUE"""),95.17)</f>
        <v/>
      </c>
      <c r="F71" s="141">
        <f>IFERROR(__xludf.DUMMYFUNCTION("""COMPUTED_VALUE"""),95.19)</f>
        <v/>
      </c>
      <c r="G71" s="143">
        <f>IFERROR(__xludf.DUMMYFUNCTION("""COMPUTED_VALUE"""),7422900)</f>
        <v/>
      </c>
      <c r="H71" s="27" t="n"/>
    </row>
    <row r="72" ht="17.25" customHeight="1" s="322">
      <c r="A72" s="27" t="n"/>
      <c r="B72" s="506">
        <f>IFERROR(__xludf.DUMMYFUNCTION("""COMPUTED_VALUE"""),45931.6666666666)</f>
        <v/>
      </c>
      <c r="C72" s="141">
        <f>IFERROR(__xludf.DUMMYFUNCTION("""COMPUTED_VALUE"""),94.88)</f>
        <v/>
      </c>
      <c r="D72" s="141">
        <f>IFERROR(__xludf.DUMMYFUNCTION("""COMPUTED_VALUE"""),95.17)</f>
        <v/>
      </c>
      <c r="E72" s="141">
        <f>IFERROR(__xludf.DUMMYFUNCTION("""COMPUTED_VALUE"""),94.84)</f>
        <v/>
      </c>
      <c r="F72" s="141">
        <f>IFERROR(__xludf.DUMMYFUNCTION("""COMPUTED_VALUE"""),95.12)</f>
        <v/>
      </c>
      <c r="G72" s="143">
        <f>IFERROR(__xludf.DUMMYFUNCTION("""COMPUTED_VALUE"""),10072502)</f>
        <v/>
      </c>
      <c r="H72" s="27" t="n"/>
    </row>
    <row r="73" ht="17.25" customHeight="1" s="322">
      <c r="A73" s="27" t="n"/>
      <c r="B73" s="506">
        <f>IFERROR(__xludf.DUMMYFUNCTION("""COMPUTED_VALUE"""),45932.6666666666)</f>
        <v/>
      </c>
      <c r="C73" s="141">
        <f>IFERROR(__xludf.DUMMYFUNCTION("""COMPUTED_VALUE"""),94.92)</f>
        <v/>
      </c>
      <c r="D73" s="141">
        <f>IFERROR(__xludf.DUMMYFUNCTION("""COMPUTED_VALUE"""),95.24)</f>
        <v/>
      </c>
      <c r="E73" s="141">
        <f>IFERROR(__xludf.DUMMYFUNCTION("""COMPUTED_VALUE"""),94.91)</f>
        <v/>
      </c>
      <c r="F73" s="141">
        <f>IFERROR(__xludf.DUMMYFUNCTION("""COMPUTED_VALUE"""),95.17)</f>
        <v/>
      </c>
      <c r="G73" s="143">
        <f>IFERROR(__xludf.DUMMYFUNCTION("""COMPUTED_VALUE"""),6074040)</f>
        <v/>
      </c>
      <c r="H73" s="27" t="n"/>
    </row>
    <row r="74" ht="17.25" customHeight="1" s="322">
      <c r="A74" s="27" t="n"/>
      <c r="B74" s="506">
        <f>IFERROR(__xludf.DUMMYFUNCTION("""COMPUTED_VALUE"""),45933.6666666666)</f>
        <v/>
      </c>
      <c r="C74" s="141">
        <f>IFERROR(__xludf.DUMMYFUNCTION("""COMPUTED_VALUE"""),95.27)</f>
        <v/>
      </c>
      <c r="D74" s="141">
        <f>IFERROR(__xludf.DUMMYFUNCTION("""COMPUTED_VALUE"""),95.33)</f>
        <v/>
      </c>
      <c r="E74" s="141">
        <f>IFERROR(__xludf.DUMMYFUNCTION("""COMPUTED_VALUE"""),95.13)</f>
        <v/>
      </c>
      <c r="F74" s="141">
        <f>IFERROR(__xludf.DUMMYFUNCTION("""COMPUTED_VALUE"""),95.21)</f>
        <v/>
      </c>
      <c r="G74" s="143">
        <f>IFERROR(__xludf.DUMMYFUNCTION("""COMPUTED_VALUE"""),4600809)</f>
        <v/>
      </c>
      <c r="H74" s="27" t="n"/>
    </row>
    <row r="75" ht="17.25" customHeight="1" s="322">
      <c r="A75" s="27" t="n"/>
      <c r="B75" s="506">
        <f>IFERROR(__xludf.DUMMYFUNCTION("""COMPUTED_VALUE"""),45936.6666666666)</f>
        <v/>
      </c>
      <c r="C75" s="141">
        <f>IFERROR(__xludf.DUMMYFUNCTION("""COMPUTED_VALUE"""),95.18)</f>
        <v/>
      </c>
      <c r="D75" s="141">
        <f>IFERROR(__xludf.DUMMYFUNCTION("""COMPUTED_VALUE"""),95.18)</f>
        <v/>
      </c>
      <c r="E75" s="141">
        <f>IFERROR(__xludf.DUMMYFUNCTION("""COMPUTED_VALUE"""),95.03)</f>
        <v/>
      </c>
      <c r="F75" s="141">
        <f>IFERROR(__xludf.DUMMYFUNCTION("""COMPUTED_VALUE"""),95.09)</f>
        <v/>
      </c>
      <c r="G75" s="143">
        <f>IFERROR(__xludf.DUMMYFUNCTION("""COMPUTED_VALUE"""),5126805)</f>
        <v/>
      </c>
      <c r="H75" s="27" t="n"/>
    </row>
    <row r="76" ht="17.25" customHeight="1" s="322">
      <c r="A76" s="27" t="n"/>
      <c r="B76" s="506">
        <f>IFERROR(__xludf.DUMMYFUNCTION("""COMPUTED_VALUE"""),45937.6666666666)</f>
        <v/>
      </c>
      <c r="C76" s="141">
        <f>IFERROR(__xludf.DUMMYFUNCTION("""COMPUTED_VALUE"""),95.07)</f>
        <v/>
      </c>
      <c r="D76" s="141">
        <f>IFERROR(__xludf.DUMMYFUNCTION("""COMPUTED_VALUE"""),95.18)</f>
        <v/>
      </c>
      <c r="E76" s="141">
        <f>IFERROR(__xludf.DUMMYFUNCTION("""COMPUTED_VALUE"""),94.97)</f>
        <v/>
      </c>
      <c r="F76" s="141">
        <f>IFERROR(__xludf.DUMMYFUNCTION("""COMPUTED_VALUE"""),95.05)</f>
        <v/>
      </c>
      <c r="G76" s="143">
        <f>IFERROR(__xludf.DUMMYFUNCTION("""COMPUTED_VALUE"""),7018281)</f>
        <v/>
      </c>
      <c r="H76" s="27" t="n"/>
    </row>
    <row r="77" ht="17.25" customHeight="1" s="322">
      <c r="A77" s="27" t="n"/>
      <c r="B77" s="506">
        <f>IFERROR(__xludf.DUMMYFUNCTION("""COMPUTED_VALUE"""),45938.6666666666)</f>
        <v/>
      </c>
      <c r="C77" s="141">
        <f>IFERROR(__xludf.DUMMYFUNCTION("""COMPUTED_VALUE"""),95.27)</f>
        <v/>
      </c>
      <c r="D77" s="141">
        <f>IFERROR(__xludf.DUMMYFUNCTION("""COMPUTED_VALUE"""),95.27)</f>
        <v/>
      </c>
      <c r="E77" s="141">
        <f>IFERROR(__xludf.DUMMYFUNCTION("""COMPUTED_VALUE"""),95.01)</f>
        <v/>
      </c>
      <c r="F77" s="141">
        <f>IFERROR(__xludf.DUMMYFUNCTION("""COMPUTED_VALUE"""),95.1)</f>
        <v/>
      </c>
      <c r="G77" s="143">
        <f>IFERROR(__xludf.DUMMYFUNCTION("""COMPUTED_VALUE"""),10027526)</f>
        <v/>
      </c>
      <c r="H77" s="27" t="n"/>
    </row>
    <row r="78" ht="17.25" customHeight="1" s="322">
      <c r="A78" s="27" t="n"/>
      <c r="B78" s="506">
        <f>IFERROR(__xludf.DUMMYFUNCTION("""COMPUTED_VALUE"""),45939.6666666666)</f>
        <v/>
      </c>
      <c r="C78" s="141">
        <f>IFERROR(__xludf.DUMMYFUNCTION("""COMPUTED_VALUE"""),95.19)</f>
        <v/>
      </c>
      <c r="D78" s="141">
        <f>IFERROR(__xludf.DUMMYFUNCTION("""COMPUTED_VALUE"""),95.22)</f>
        <v/>
      </c>
      <c r="E78" s="141">
        <f>IFERROR(__xludf.DUMMYFUNCTION("""COMPUTED_VALUE"""),94.88)</f>
        <v/>
      </c>
      <c r="F78" s="141">
        <f>IFERROR(__xludf.DUMMYFUNCTION("""COMPUTED_VALUE"""),95.05)</f>
        <v/>
      </c>
      <c r="G78" s="143">
        <f>IFERROR(__xludf.DUMMYFUNCTION("""COMPUTED_VALUE"""),7375716)</f>
        <v/>
      </c>
      <c r="H78" s="27" t="n"/>
    </row>
    <row r="79" ht="17.25" customHeight="1" s="322">
      <c r="A79" s="27" t="n"/>
      <c r="B79" s="506">
        <f>IFERROR(__xludf.DUMMYFUNCTION("""COMPUTED_VALUE"""),45940.6666666666)</f>
        <v/>
      </c>
      <c r="C79" s="141">
        <f>IFERROR(__xludf.DUMMYFUNCTION("""COMPUTED_VALUE"""),95.14)</f>
        <v/>
      </c>
      <c r="D79" s="141">
        <f>IFERROR(__xludf.DUMMYFUNCTION("""COMPUTED_VALUE"""),95.23)</f>
        <v/>
      </c>
      <c r="E79" s="141">
        <f>IFERROR(__xludf.DUMMYFUNCTION("""COMPUTED_VALUE"""),94.57)</f>
        <v/>
      </c>
      <c r="F79" s="141">
        <f>IFERROR(__xludf.DUMMYFUNCTION("""COMPUTED_VALUE"""),94.63)</f>
        <v/>
      </c>
      <c r="G79" s="143">
        <f>IFERROR(__xludf.DUMMYFUNCTION("""COMPUTED_VALUE"""),16586388)</f>
        <v/>
      </c>
      <c r="H79" s="27" t="n"/>
    </row>
    <row r="80" ht="17.25" customHeight="1" s="322">
      <c r="A80" s="27" t="n"/>
      <c r="B80" s="506">
        <f>IFERROR(__xludf.DUMMYFUNCTION("""COMPUTED_VALUE"""),45943.6666666666)</f>
        <v/>
      </c>
      <c r="C80" s="141">
        <f>IFERROR(__xludf.DUMMYFUNCTION("""COMPUTED_VALUE"""),95.01)</f>
        <v/>
      </c>
      <c r="D80" s="141">
        <f>IFERROR(__xludf.DUMMYFUNCTION("""COMPUTED_VALUE"""),95.3)</f>
        <v/>
      </c>
      <c r="E80" s="141">
        <f>IFERROR(__xludf.DUMMYFUNCTION("""COMPUTED_VALUE"""),94.92)</f>
        <v/>
      </c>
      <c r="F80" s="141">
        <f>IFERROR(__xludf.DUMMYFUNCTION("""COMPUTED_VALUE"""),95.28)</f>
        <v/>
      </c>
      <c r="G80" s="143">
        <f>IFERROR(__xludf.DUMMYFUNCTION("""COMPUTED_VALUE"""),4121691)</f>
        <v/>
      </c>
      <c r="H80" s="27" t="n"/>
    </row>
    <row r="81" ht="17.25" customHeight="1" s="322">
      <c r="A81" s="27" t="n"/>
      <c r="B81" s="506">
        <f>IFERROR(__xludf.DUMMYFUNCTION("""COMPUTED_VALUE"""),45944.6666666666)</f>
        <v/>
      </c>
      <c r="C81" s="141">
        <f>IFERROR(__xludf.DUMMYFUNCTION("""COMPUTED_VALUE"""),95.03)</f>
        <v/>
      </c>
      <c r="D81" s="141">
        <f>IFERROR(__xludf.DUMMYFUNCTION("""COMPUTED_VALUE"""),95.44)</f>
        <v/>
      </c>
      <c r="E81" s="141">
        <f>IFERROR(__xludf.DUMMYFUNCTION("""COMPUTED_VALUE"""),94.91)</f>
        <v/>
      </c>
      <c r="F81" s="141">
        <f>IFERROR(__xludf.DUMMYFUNCTION("""COMPUTED_VALUE"""),95.24)</f>
        <v/>
      </c>
      <c r="G81" s="143">
        <f>IFERROR(__xludf.DUMMYFUNCTION("""COMPUTED_VALUE"""),9988278)</f>
        <v/>
      </c>
      <c r="H81" s="27" t="n"/>
    </row>
    <row r="82" ht="17.25" customHeight="1" s="322">
      <c r="A82" s="27" t="n"/>
      <c r="B82" s="506">
        <f>IFERROR(__xludf.DUMMYFUNCTION("""COMPUTED_VALUE"""),45945.6666666666)</f>
        <v/>
      </c>
      <c r="C82" s="141">
        <f>IFERROR(__xludf.DUMMYFUNCTION("""COMPUTED_VALUE"""),95.63)</f>
        <v/>
      </c>
      <c r="D82" s="141">
        <f>IFERROR(__xludf.DUMMYFUNCTION("""COMPUTED_VALUE"""),95.77)</f>
        <v/>
      </c>
      <c r="E82" s="141">
        <f>IFERROR(__xludf.DUMMYFUNCTION("""COMPUTED_VALUE"""),95.39)</f>
        <v/>
      </c>
      <c r="F82" s="141">
        <f>IFERROR(__xludf.DUMMYFUNCTION("""COMPUTED_VALUE"""),95.57)</f>
        <v/>
      </c>
      <c r="G82" s="143">
        <f>IFERROR(__xludf.DUMMYFUNCTION("""COMPUTED_VALUE"""),11401347)</f>
        <v/>
      </c>
      <c r="H82" s="27" t="n"/>
    </row>
    <row r="83" ht="17.25" customHeight="1" s="322">
      <c r="A83" s="27" t="n"/>
      <c r="B83" s="506">
        <f>IFERROR(__xludf.DUMMYFUNCTION("""COMPUTED_VALUE"""),45946.6666666666)</f>
        <v/>
      </c>
      <c r="C83" s="141">
        <f>IFERROR(__xludf.DUMMYFUNCTION("""COMPUTED_VALUE"""),95.66)</f>
        <v/>
      </c>
      <c r="D83" s="141">
        <f>IFERROR(__xludf.DUMMYFUNCTION("""COMPUTED_VALUE"""),95.78)</f>
        <v/>
      </c>
      <c r="E83" s="141">
        <f>IFERROR(__xludf.DUMMYFUNCTION("""COMPUTED_VALUE"""),95.56)</f>
        <v/>
      </c>
      <c r="F83" s="141">
        <f>IFERROR(__xludf.DUMMYFUNCTION("""COMPUTED_VALUE"""),95.71)</f>
        <v/>
      </c>
      <c r="G83" s="143">
        <f>IFERROR(__xludf.DUMMYFUNCTION("""COMPUTED_VALUE"""),7380413)</f>
        <v/>
      </c>
      <c r="H83" s="27" t="n"/>
    </row>
    <row r="84" ht="17.25" customHeight="1" s="322">
      <c r="A84" s="27" t="n"/>
      <c r="B84" s="506">
        <f>IFERROR(__xludf.DUMMYFUNCTION("""COMPUTED_VALUE"""),45947.6666666666)</f>
        <v/>
      </c>
      <c r="C84" s="141">
        <f>IFERROR(__xludf.DUMMYFUNCTION("""COMPUTED_VALUE"""),95.71)</f>
        <v/>
      </c>
      <c r="D84" s="141">
        <f>IFERROR(__xludf.DUMMYFUNCTION("""COMPUTED_VALUE"""),95.76)</f>
        <v/>
      </c>
      <c r="E84" s="141">
        <f>IFERROR(__xludf.DUMMYFUNCTION("""COMPUTED_VALUE"""),95.52)</f>
        <v/>
      </c>
      <c r="F84" s="141">
        <f>IFERROR(__xludf.DUMMYFUNCTION("""COMPUTED_VALUE"""),95.74)</f>
        <v/>
      </c>
      <c r="G84" s="143">
        <f>IFERROR(__xludf.DUMMYFUNCTION("""COMPUTED_VALUE"""),6359175)</f>
        <v/>
      </c>
      <c r="H84" s="27" t="n"/>
    </row>
    <row r="85" ht="17.25" customHeight="1" s="322">
      <c r="A85" s="27" t="n"/>
      <c r="B85" s="506">
        <f>IFERROR(__xludf.DUMMYFUNCTION("""COMPUTED_VALUE"""),45950.6666666666)</f>
        <v/>
      </c>
      <c r="C85" s="141">
        <f>IFERROR(__xludf.DUMMYFUNCTION("""COMPUTED_VALUE"""),95.97)</f>
        <v/>
      </c>
      <c r="D85" s="141">
        <f>IFERROR(__xludf.DUMMYFUNCTION("""COMPUTED_VALUE"""),96.16)</f>
        <v/>
      </c>
      <c r="E85" s="141">
        <f>IFERROR(__xludf.DUMMYFUNCTION("""COMPUTED_VALUE"""),95.95)</f>
        <v/>
      </c>
      <c r="F85" s="141">
        <f>IFERROR(__xludf.DUMMYFUNCTION("""COMPUTED_VALUE"""),96.16)</f>
        <v/>
      </c>
      <c r="G85" s="143">
        <f>IFERROR(__xludf.DUMMYFUNCTION("""COMPUTED_VALUE"""),7665734)</f>
        <v/>
      </c>
      <c r="H85" s="27" t="n"/>
    </row>
    <row r="86" ht="17.25" customHeight="1" s="322">
      <c r="A86" s="27" t="n"/>
      <c r="B86" s="506">
        <f>IFERROR(__xludf.DUMMYFUNCTION("""COMPUTED_VALUE"""),45951.6666666666)</f>
        <v/>
      </c>
      <c r="C86" s="141">
        <f>IFERROR(__xludf.DUMMYFUNCTION("""COMPUTED_VALUE"""),96.41)</f>
        <v/>
      </c>
      <c r="D86" s="141">
        <f>IFERROR(__xludf.DUMMYFUNCTION("""COMPUTED_VALUE"""),96.51)</f>
        <v/>
      </c>
      <c r="E86" s="141">
        <f>IFERROR(__xludf.DUMMYFUNCTION("""COMPUTED_VALUE"""),96.26)</f>
        <v/>
      </c>
      <c r="F86" s="141">
        <f>IFERROR(__xludf.DUMMYFUNCTION("""COMPUTED_VALUE"""),96.28)</f>
        <v/>
      </c>
      <c r="G86" s="143">
        <f>IFERROR(__xludf.DUMMYFUNCTION("""COMPUTED_VALUE"""),4754065)</f>
        <v/>
      </c>
      <c r="H86" s="27" t="n"/>
    </row>
    <row r="87" ht="17.25" customHeight="1" s="322">
      <c r="A87" s="27" t="n"/>
      <c r="B87" s="506">
        <f>IFERROR(__xludf.DUMMYFUNCTION("""COMPUTED_VALUE"""),45952.6666666666)</f>
        <v/>
      </c>
      <c r="C87" s="141">
        <f>IFERROR(__xludf.DUMMYFUNCTION("""COMPUTED_VALUE"""),96.32)</f>
        <v/>
      </c>
      <c r="D87" s="141">
        <f>IFERROR(__xludf.DUMMYFUNCTION("""COMPUTED_VALUE"""),96.32)</f>
        <v/>
      </c>
      <c r="E87" s="141">
        <f>IFERROR(__xludf.DUMMYFUNCTION("""COMPUTED_VALUE"""),95.98)</f>
        <v/>
      </c>
      <c r="F87" s="141">
        <f>IFERROR(__xludf.DUMMYFUNCTION("""COMPUTED_VALUE"""),96.08)</f>
        <v/>
      </c>
      <c r="G87" s="143">
        <f>IFERROR(__xludf.DUMMYFUNCTION("""COMPUTED_VALUE"""),6725743)</f>
        <v/>
      </c>
      <c r="H87" s="27" t="n"/>
    </row>
    <row r="88" ht="17.25" customHeight="1" s="322">
      <c r="A88" s="27" t="n"/>
      <c r="B88" s="506">
        <f>IFERROR(__xludf.DUMMYFUNCTION("""COMPUTED_VALUE"""),45953.6666666666)</f>
        <v/>
      </c>
      <c r="C88" s="141">
        <f>IFERROR(__xludf.DUMMYFUNCTION("""COMPUTED_VALUE"""),96.1)</f>
        <v/>
      </c>
      <c r="D88" s="141">
        <f>IFERROR(__xludf.DUMMYFUNCTION("""COMPUTED_VALUE"""),96.13)</f>
        <v/>
      </c>
      <c r="E88" s="141">
        <f>IFERROR(__xludf.DUMMYFUNCTION("""COMPUTED_VALUE"""),95.93)</f>
        <v/>
      </c>
      <c r="F88" s="141">
        <f>IFERROR(__xludf.DUMMYFUNCTION("""COMPUTED_VALUE"""),96.01)</f>
        <v/>
      </c>
      <c r="G88" s="143">
        <f>IFERROR(__xludf.DUMMYFUNCTION("""COMPUTED_VALUE"""),4820545)</f>
        <v/>
      </c>
      <c r="H88" s="27" t="n"/>
    </row>
    <row r="89" ht="17.25" customHeight="1" s="322">
      <c r="A89" s="27" t="n"/>
      <c r="B89" s="506">
        <f>IFERROR(__xludf.DUMMYFUNCTION("""COMPUTED_VALUE"""),45954.6666666666)</f>
        <v/>
      </c>
      <c r="C89" s="141">
        <f>IFERROR(__xludf.DUMMYFUNCTION("""COMPUTED_VALUE"""),96.33)</f>
        <v/>
      </c>
      <c r="D89" s="141">
        <f>IFERROR(__xludf.DUMMYFUNCTION("""COMPUTED_VALUE"""),96.44)</f>
        <v/>
      </c>
      <c r="E89" s="141">
        <f>IFERROR(__xludf.DUMMYFUNCTION("""COMPUTED_VALUE"""),96.13)</f>
        <v/>
      </c>
      <c r="F89" s="141">
        <f>IFERROR(__xludf.DUMMYFUNCTION("""COMPUTED_VALUE"""),96.29)</f>
        <v/>
      </c>
      <c r="G89" s="143">
        <f>IFERROR(__xludf.DUMMYFUNCTION("""COMPUTED_VALUE"""),4003255)</f>
        <v/>
      </c>
      <c r="H89" s="27" t="n"/>
    </row>
    <row r="90" ht="17.25" customHeight="1" s="322">
      <c r="A90" s="27" t="n"/>
      <c r="B90" s="506">
        <f>IFERROR(__xludf.DUMMYFUNCTION("""COMPUTED_VALUE"""),45957.6666666666)</f>
        <v/>
      </c>
      <c r="C90" s="141">
        <f>IFERROR(__xludf.DUMMYFUNCTION("""COMPUTED_VALUE"""),96.99)</f>
        <v/>
      </c>
      <c r="D90" s="141">
        <f>IFERROR(__xludf.DUMMYFUNCTION("""COMPUTED_VALUE"""),97.04)</f>
        <v/>
      </c>
      <c r="E90" s="141">
        <f>IFERROR(__xludf.DUMMYFUNCTION("""COMPUTED_VALUE"""),96.75)</f>
        <v/>
      </c>
      <c r="F90" s="141">
        <f>IFERROR(__xludf.DUMMYFUNCTION("""COMPUTED_VALUE"""),97.03)</f>
        <v/>
      </c>
      <c r="G90" s="143">
        <f>IFERROR(__xludf.DUMMYFUNCTION("""COMPUTED_VALUE"""),5751735)</f>
        <v/>
      </c>
      <c r="H90" s="27" t="n"/>
    </row>
    <row r="91" ht="17.25" customHeight="1" s="322">
      <c r="A91" s="27" t="n"/>
      <c r="B91" s="506">
        <f>IFERROR(__xludf.DUMMYFUNCTION("""COMPUTED_VALUE"""),45958.6666666666)</f>
        <v/>
      </c>
      <c r="C91" s="141">
        <f>IFERROR(__xludf.DUMMYFUNCTION("""COMPUTED_VALUE"""),97.07)</f>
        <v/>
      </c>
      <c r="D91" s="141">
        <f>IFERROR(__xludf.DUMMYFUNCTION("""COMPUTED_VALUE"""),97.07)</f>
        <v/>
      </c>
      <c r="E91" s="141">
        <f>IFERROR(__xludf.DUMMYFUNCTION("""COMPUTED_VALUE"""),96.9)</f>
        <v/>
      </c>
      <c r="F91" s="141">
        <f>IFERROR(__xludf.DUMMYFUNCTION("""COMPUTED_VALUE"""),97.03)</f>
        <v/>
      </c>
      <c r="G91" s="143">
        <f>IFERROR(__xludf.DUMMYFUNCTION("""COMPUTED_VALUE"""),4779958)</f>
        <v/>
      </c>
      <c r="H91" s="27" t="n"/>
    </row>
    <row r="92" ht="17.25" customHeight="1" s="322">
      <c r="A92" s="27" t="n"/>
      <c r="B92" s="506">
        <f>IFERROR(__xludf.DUMMYFUNCTION("""COMPUTED_VALUE"""),45959.6666666666)</f>
        <v/>
      </c>
      <c r="C92" s="141">
        <f>IFERROR(__xludf.DUMMYFUNCTION("""COMPUTED_VALUE"""),96.99)</f>
        <v/>
      </c>
      <c r="D92" s="141">
        <f>IFERROR(__xludf.DUMMYFUNCTION("""COMPUTED_VALUE"""),97.03)</f>
        <v/>
      </c>
      <c r="E92" s="141">
        <f>IFERROR(__xludf.DUMMYFUNCTION("""COMPUTED_VALUE"""),96.55)</f>
        <v/>
      </c>
      <c r="F92" s="141">
        <f>IFERROR(__xludf.DUMMYFUNCTION("""COMPUTED_VALUE"""),96.6)</f>
        <v/>
      </c>
      <c r="G92" s="143">
        <f>IFERROR(__xludf.DUMMYFUNCTION("""COMPUTED_VALUE"""),7368613)</f>
        <v/>
      </c>
      <c r="H92" s="27" t="n"/>
    </row>
    <row r="93" ht="17.25" customHeight="1" s="322">
      <c r="A93" s="27" t="n"/>
      <c r="B93" s="506">
        <f>IFERROR(__xludf.DUMMYFUNCTION("""COMPUTED_VALUE"""),45960.6666666666)</f>
        <v/>
      </c>
      <c r="C93" s="141">
        <f>IFERROR(__xludf.DUMMYFUNCTION("""COMPUTED_VALUE"""),96.52)</f>
        <v/>
      </c>
      <c r="D93" s="141">
        <f>IFERROR(__xludf.DUMMYFUNCTION("""COMPUTED_VALUE"""),96.68)</f>
        <v/>
      </c>
      <c r="E93" s="141">
        <f>IFERROR(__xludf.DUMMYFUNCTION("""COMPUTED_VALUE"""),96.31)</f>
        <v/>
      </c>
      <c r="F93" s="141">
        <f>IFERROR(__xludf.DUMMYFUNCTION("""COMPUTED_VALUE"""),96.49)</f>
        <v/>
      </c>
      <c r="G93" s="143">
        <f>IFERROR(__xludf.DUMMYFUNCTION("""COMPUTED_VALUE"""),9112492)</f>
        <v/>
      </c>
      <c r="H93" s="27" t="n"/>
    </row>
    <row r="94" ht="17.25" customHeight="1" s="322">
      <c r="A94" s="27" t="n"/>
      <c r="B94" s="506">
        <f>IFERROR(__xludf.DUMMYFUNCTION("""COMPUTED_VALUE"""),45961.6666666666)</f>
        <v/>
      </c>
      <c r="C94" s="141">
        <f>IFERROR(__xludf.DUMMYFUNCTION("""COMPUTED_VALUE"""),96.72)</f>
        <v/>
      </c>
      <c r="D94" s="141">
        <f>IFERROR(__xludf.DUMMYFUNCTION("""COMPUTED_VALUE"""),96.82)</f>
        <v/>
      </c>
      <c r="E94" s="141">
        <f>IFERROR(__xludf.DUMMYFUNCTION("""COMPUTED_VALUE"""),96.55)</f>
        <v/>
      </c>
      <c r="F94" s="141">
        <f>IFERROR(__xludf.DUMMYFUNCTION("""COMPUTED_VALUE"""),96.67)</f>
        <v/>
      </c>
      <c r="G94" s="143">
        <f>IFERROR(__xludf.DUMMYFUNCTION("""COMPUTED_VALUE"""),8851562)</f>
        <v/>
      </c>
      <c r="H94" s="27" t="n"/>
    </row>
    <row r="95" ht="17.25" customHeight="1" s="322">
      <c r="A95" s="27" t="n"/>
      <c r="B95" s="506">
        <f>IFERROR(__xludf.DUMMYFUNCTION("""COMPUTED_VALUE"""),45964.6666666666)</f>
        <v/>
      </c>
      <c r="C95" s="141">
        <f>IFERROR(__xludf.DUMMYFUNCTION("""COMPUTED_VALUE"""),96.51)</f>
        <v/>
      </c>
      <c r="D95" s="141">
        <f>IFERROR(__xludf.DUMMYFUNCTION("""COMPUTED_VALUE"""),96.51)</f>
        <v/>
      </c>
      <c r="E95" s="141">
        <f>IFERROR(__xludf.DUMMYFUNCTION("""COMPUTED_VALUE"""),95.93)</f>
        <v/>
      </c>
      <c r="F95" s="141">
        <f>IFERROR(__xludf.DUMMYFUNCTION("""COMPUTED_VALUE"""),95.97)</f>
        <v/>
      </c>
      <c r="G95" s="143">
        <f>IFERROR(__xludf.DUMMYFUNCTION("""COMPUTED_VALUE"""),9436868)</f>
        <v/>
      </c>
      <c r="H95" s="27" t="n"/>
    </row>
    <row r="96" ht="17.25" customHeight="1" s="322">
      <c r="A96" s="27" t="n"/>
      <c r="B96" s="506">
        <f>IFERROR(__xludf.DUMMYFUNCTION("""COMPUTED_VALUE"""),45965.6666666666)</f>
        <v/>
      </c>
      <c r="C96" s="141">
        <f>IFERROR(__xludf.DUMMYFUNCTION("""COMPUTED_VALUE"""),95.81)</f>
        <v/>
      </c>
      <c r="D96" s="141">
        <f>IFERROR(__xludf.DUMMYFUNCTION("""COMPUTED_VALUE"""),96.01)</f>
        <v/>
      </c>
      <c r="E96" s="141">
        <f>IFERROR(__xludf.DUMMYFUNCTION("""COMPUTED_VALUE"""),95.75)</f>
        <v/>
      </c>
      <c r="F96" s="141">
        <f>IFERROR(__xludf.DUMMYFUNCTION("""COMPUTED_VALUE"""),95.86)</f>
        <v/>
      </c>
      <c r="G96" s="143">
        <f>IFERROR(__xludf.DUMMYFUNCTION("""COMPUTED_VALUE"""),6231677)</f>
        <v/>
      </c>
      <c r="H96" s="27" t="n"/>
    </row>
    <row r="97" ht="17.25" customHeight="1" s="322">
      <c r="A97" s="27" t="n"/>
      <c r="B97" s="506">
        <f>IFERROR(__xludf.DUMMYFUNCTION("""COMPUTED_VALUE"""),45966.6666666666)</f>
        <v/>
      </c>
      <c r="C97" s="141">
        <f>IFERROR(__xludf.DUMMYFUNCTION("""COMPUTED_VALUE"""),95.94)</f>
        <v/>
      </c>
      <c r="D97" s="141">
        <f>IFERROR(__xludf.DUMMYFUNCTION("""COMPUTED_VALUE"""),95.94)</f>
        <v/>
      </c>
      <c r="E97" s="141">
        <f>IFERROR(__xludf.DUMMYFUNCTION("""COMPUTED_VALUE"""),95.65)</f>
        <v/>
      </c>
      <c r="F97" s="141">
        <f>IFERROR(__xludf.DUMMYFUNCTION("""COMPUTED_VALUE"""),95.65)</f>
        <v/>
      </c>
      <c r="G97" s="143">
        <f>IFERROR(__xludf.DUMMYFUNCTION("""COMPUTED_VALUE"""),5893895)</f>
        <v/>
      </c>
      <c r="H97" s="27" t="n"/>
    </row>
    <row r="98" ht="17.25" customHeight="1" s="322">
      <c r="A98" s="27" t="n"/>
      <c r="B98" s="506">
        <f>IFERROR(__xludf.DUMMYFUNCTION("""COMPUTED_VALUE"""),45967.6666666666)</f>
        <v/>
      </c>
      <c r="C98" s="141">
        <f>IFERROR(__xludf.DUMMYFUNCTION("""COMPUTED_VALUE"""),96.06)</f>
        <v/>
      </c>
      <c r="D98" s="141">
        <f>IFERROR(__xludf.DUMMYFUNCTION("""COMPUTED_VALUE"""),96.09)</f>
        <v/>
      </c>
      <c r="E98" s="141">
        <f>IFERROR(__xludf.DUMMYFUNCTION("""COMPUTED_VALUE"""),95.89)</f>
        <v/>
      </c>
      <c r="F98" s="141">
        <f>IFERROR(__xludf.DUMMYFUNCTION("""COMPUTED_VALUE"""),95.97)</f>
        <v/>
      </c>
      <c r="G98" s="143">
        <f>IFERROR(__xludf.DUMMYFUNCTION("""COMPUTED_VALUE"""),6867790)</f>
        <v/>
      </c>
      <c r="H98" s="27" t="n"/>
    </row>
    <row r="99" ht="17.25" customHeight="1" s="322">
      <c r="A99" s="27" t="n"/>
      <c r="B99" s="506">
        <f>IFERROR(__xludf.DUMMYFUNCTION("""COMPUTED_VALUE"""),45968.6666666666)</f>
        <v/>
      </c>
      <c r="C99" s="141">
        <f>IFERROR(__xludf.DUMMYFUNCTION("""COMPUTED_VALUE"""),96.12)</f>
        <v/>
      </c>
      <c r="D99" s="141">
        <f>IFERROR(__xludf.DUMMYFUNCTION("""COMPUTED_VALUE"""),96.12)</f>
        <v/>
      </c>
      <c r="E99" s="141">
        <f>IFERROR(__xludf.DUMMYFUNCTION("""COMPUTED_VALUE"""),95.72)</f>
        <v/>
      </c>
      <c r="F99" s="141">
        <f>IFERROR(__xludf.DUMMYFUNCTION("""COMPUTED_VALUE"""),96.02)</f>
        <v/>
      </c>
      <c r="G99" s="143">
        <f>IFERROR(__xludf.DUMMYFUNCTION("""COMPUTED_VALUE"""),6388855)</f>
        <v/>
      </c>
      <c r="H99" s="27" t="n"/>
    </row>
    <row r="100" ht="17.25" customHeight="1" s="322">
      <c r="A100" s="27" t="n"/>
      <c r="B100" s="506">
        <f>IFERROR(__xludf.DUMMYFUNCTION("""COMPUTED_VALUE"""),45971.6666666666)</f>
        <v/>
      </c>
      <c r="C100" s="141">
        <f>IFERROR(__xludf.DUMMYFUNCTION("""COMPUTED_VALUE"""),95.94)</f>
        <v/>
      </c>
      <c r="D100" s="141">
        <f>IFERROR(__xludf.DUMMYFUNCTION("""COMPUTED_VALUE"""),96.27)</f>
        <v/>
      </c>
      <c r="E100" s="141">
        <f>IFERROR(__xludf.DUMMYFUNCTION("""COMPUTED_VALUE"""),95.94)</f>
        <v/>
      </c>
      <c r="F100" s="141">
        <f>IFERROR(__xludf.DUMMYFUNCTION("""COMPUTED_VALUE"""),96.24)</f>
        <v/>
      </c>
      <c r="G100" s="143">
        <f>IFERROR(__xludf.DUMMYFUNCTION("""COMPUTED_VALUE"""),6128266)</f>
        <v/>
      </c>
      <c r="H100" s="27" t="n"/>
    </row>
    <row r="101" ht="17.25" customHeight="1" s="322">
      <c r="A101" s="27" t="n"/>
      <c r="B101" s="506">
        <f>IFERROR(__xludf.DUMMYFUNCTION("""COMPUTED_VALUE"""),45972.6666666666)</f>
        <v/>
      </c>
      <c r="C101" s="141">
        <f>IFERROR(__xludf.DUMMYFUNCTION("""COMPUTED_VALUE"""),96.27)</f>
        <v/>
      </c>
      <c r="D101" s="141">
        <f>IFERROR(__xludf.DUMMYFUNCTION("""COMPUTED_VALUE"""),96.49)</f>
        <v/>
      </c>
      <c r="E101" s="141">
        <f>IFERROR(__xludf.DUMMYFUNCTION("""COMPUTED_VALUE"""),96.22)</f>
        <v/>
      </c>
      <c r="F101" s="141">
        <f>IFERROR(__xludf.DUMMYFUNCTION("""COMPUTED_VALUE"""),96.46)</f>
        <v/>
      </c>
      <c r="G101" s="143">
        <f>IFERROR(__xludf.DUMMYFUNCTION("""COMPUTED_VALUE"""),2303522)</f>
        <v/>
      </c>
      <c r="H101" s="27" t="n"/>
    </row>
    <row r="102" ht="17.25" customHeight="1" s="322">
      <c r="A102" s="27" t="n"/>
      <c r="B102" s="506">
        <f>IFERROR(__xludf.DUMMYFUNCTION("""COMPUTED_VALUE"""),45973.6666666666)</f>
        <v/>
      </c>
      <c r="C102" s="141">
        <f>IFERROR(__xludf.DUMMYFUNCTION("""COMPUTED_VALUE"""),96.46)</f>
        <v/>
      </c>
      <c r="D102" s="141">
        <f>IFERROR(__xludf.DUMMYFUNCTION("""COMPUTED_VALUE"""),96.52)</f>
        <v/>
      </c>
      <c r="E102" s="141">
        <f>IFERROR(__xludf.DUMMYFUNCTION("""COMPUTED_VALUE"""),96.23)</f>
        <v/>
      </c>
      <c r="F102" s="141">
        <f>IFERROR(__xludf.DUMMYFUNCTION("""COMPUTED_VALUE"""),96.5)</f>
        <v/>
      </c>
      <c r="G102" s="143">
        <f>IFERROR(__xludf.DUMMYFUNCTION("""COMPUTED_VALUE"""),7200662)</f>
        <v/>
      </c>
      <c r="H102" s="27" t="n"/>
    </row>
    <row r="103" ht="17.25" customHeight="1" s="322">
      <c r="A103" s="27" t="n"/>
      <c r="B103" s="506">
        <f>IFERROR(__xludf.DUMMYFUNCTION("""COMPUTED_VALUE"""),45974.6666666666)</f>
        <v/>
      </c>
      <c r="C103" s="141">
        <f>IFERROR(__xludf.DUMMYFUNCTION("""COMPUTED_VALUE"""),96.54)</f>
        <v/>
      </c>
      <c r="D103" s="141">
        <f>IFERROR(__xludf.DUMMYFUNCTION("""COMPUTED_VALUE"""),96.55)</f>
        <v/>
      </c>
      <c r="E103" s="141">
        <f>IFERROR(__xludf.DUMMYFUNCTION("""COMPUTED_VALUE"""),96)</f>
        <v/>
      </c>
      <c r="F103" s="141">
        <f>IFERROR(__xludf.DUMMYFUNCTION("""COMPUTED_VALUE"""),96.03)</f>
        <v/>
      </c>
      <c r="G103" s="143">
        <f>IFERROR(__xludf.DUMMYFUNCTION("""COMPUTED_VALUE"""),6880202)</f>
        <v/>
      </c>
      <c r="H103" s="27" t="n"/>
    </row>
    <row r="104" ht="17.25" customHeight="1" s="322">
      <c r="A104" s="27" t="n"/>
      <c r="B104" s="506">
        <f>IFERROR(__xludf.DUMMYFUNCTION("""COMPUTED_VALUE"""),45975.6666666666)</f>
        <v/>
      </c>
      <c r="C104" s="141">
        <f>IFERROR(__xludf.DUMMYFUNCTION("""COMPUTED_VALUE"""),96.05)</f>
        <v/>
      </c>
      <c r="D104" s="141">
        <f>IFERROR(__xludf.DUMMYFUNCTION("""COMPUTED_VALUE"""),96.16)</f>
        <v/>
      </c>
      <c r="E104" s="141">
        <f>IFERROR(__xludf.DUMMYFUNCTION("""COMPUTED_VALUE"""),95.97)</f>
        <v/>
      </c>
      <c r="F104" s="141">
        <f>IFERROR(__xludf.DUMMYFUNCTION("""COMPUTED_VALUE"""),95.97)</f>
        <v/>
      </c>
      <c r="G104" s="143">
        <f>IFERROR(__xludf.DUMMYFUNCTION("""COMPUTED_VALUE"""),7216067)</f>
        <v/>
      </c>
      <c r="H104" s="27" t="n"/>
    </row>
    <row r="105" ht="17.25" customHeight="1" s="322">
      <c r="A105" s="27" t="n"/>
      <c r="B105" s="506">
        <f>IFERROR(__xludf.DUMMYFUNCTION("""COMPUTED_VALUE"""),45978.6666666666)</f>
        <v/>
      </c>
      <c r="C105" s="141">
        <f>IFERROR(__xludf.DUMMYFUNCTION("""COMPUTED_VALUE"""),96.21)</f>
        <v/>
      </c>
      <c r="D105" s="141">
        <f>IFERROR(__xludf.DUMMYFUNCTION("""COMPUTED_VALUE"""),96.35)</f>
        <v/>
      </c>
      <c r="E105" s="141">
        <f>IFERROR(__xludf.DUMMYFUNCTION("""COMPUTED_VALUE"""),95.97)</f>
        <v/>
      </c>
      <c r="F105" s="141">
        <f>IFERROR(__xludf.DUMMYFUNCTION("""COMPUTED_VALUE"""),95.99)</f>
        <v/>
      </c>
      <c r="G105" s="143">
        <f>IFERROR(__xludf.DUMMYFUNCTION("""COMPUTED_VALUE"""),9950593)</f>
        <v/>
      </c>
      <c r="H105" s="27" t="n"/>
    </row>
    <row r="106" ht="17.25" customHeight="1" s="322">
      <c r="A106" s="27" t="n"/>
      <c r="B106" s="506">
        <f>IFERROR(__xludf.DUMMYFUNCTION("""COMPUTED_VALUE"""),45979.6666666666)</f>
        <v/>
      </c>
      <c r="C106" s="141">
        <f>IFERROR(__xludf.DUMMYFUNCTION("""COMPUTED_VALUE"""),96.02)</f>
        <v/>
      </c>
      <c r="D106" s="141">
        <f>IFERROR(__xludf.DUMMYFUNCTION("""COMPUTED_VALUE"""),96.12)</f>
        <v/>
      </c>
      <c r="E106" s="141">
        <f>IFERROR(__xludf.DUMMYFUNCTION("""COMPUTED_VALUE"""),95.87)</f>
        <v/>
      </c>
      <c r="F106" s="141">
        <f>IFERROR(__xludf.DUMMYFUNCTION("""COMPUTED_VALUE"""),95.96)</f>
        <v/>
      </c>
      <c r="G106" s="143">
        <f>IFERROR(__xludf.DUMMYFUNCTION("""COMPUTED_VALUE"""),6411184)</f>
        <v/>
      </c>
      <c r="H106" s="27" t="n"/>
    </row>
    <row r="107" ht="17.25" customHeight="1" s="322">
      <c r="A107" s="27" t="n"/>
      <c r="B107" s="506">
        <f>IFERROR(__xludf.DUMMYFUNCTION("""COMPUTED_VALUE"""),45980.6666666666)</f>
        <v/>
      </c>
      <c r="C107" s="141">
        <f>IFERROR(__xludf.DUMMYFUNCTION("""COMPUTED_VALUE"""),96.06)</f>
        <v/>
      </c>
      <c r="D107" s="141">
        <f>IFERROR(__xludf.DUMMYFUNCTION("""COMPUTED_VALUE"""),96.18)</f>
        <v/>
      </c>
      <c r="E107" s="141">
        <f>IFERROR(__xludf.DUMMYFUNCTION("""COMPUTED_VALUE"""),95.99)</f>
        <v/>
      </c>
      <c r="F107" s="141">
        <f>IFERROR(__xludf.DUMMYFUNCTION("""COMPUTED_VALUE"""),96.12)</f>
        <v/>
      </c>
      <c r="G107" s="143">
        <f>IFERROR(__xludf.DUMMYFUNCTION("""COMPUTED_VALUE"""),8184796)</f>
        <v/>
      </c>
      <c r="H107" s="27" t="n"/>
    </row>
    <row r="108" ht="17.25" customHeight="1" s="322">
      <c r="A108" s="27" t="n"/>
      <c r="B108" s="506">
        <f>IFERROR(__xludf.DUMMYFUNCTION("""COMPUTED_VALUE"""),45981.6666666666)</f>
        <v/>
      </c>
      <c r="C108" s="141">
        <f>IFERROR(__xludf.DUMMYFUNCTION("""COMPUTED_VALUE"""),96.19)</f>
        <v/>
      </c>
      <c r="D108" s="141">
        <f>IFERROR(__xludf.DUMMYFUNCTION("""COMPUTED_VALUE"""),96.35)</f>
        <v/>
      </c>
      <c r="E108" s="141">
        <f>IFERROR(__xludf.DUMMYFUNCTION("""COMPUTED_VALUE"""),95.86)</f>
        <v/>
      </c>
      <c r="F108" s="141">
        <f>IFERROR(__xludf.DUMMYFUNCTION("""COMPUTED_VALUE"""),95.89)</f>
        <v/>
      </c>
      <c r="G108" s="143">
        <f>IFERROR(__xludf.DUMMYFUNCTION("""COMPUTED_VALUE"""),14799075)</f>
        <v/>
      </c>
      <c r="H108" s="27" t="n"/>
    </row>
    <row r="109" ht="17.25" customHeight="1" s="322">
      <c r="A109" s="27" t="n"/>
      <c r="B109" s="506">
        <f>IFERROR(__xludf.DUMMYFUNCTION("""COMPUTED_VALUE"""),45982.6666666666)</f>
        <v/>
      </c>
      <c r="C109" s="141">
        <f>IFERROR(__xludf.DUMMYFUNCTION("""COMPUTED_VALUE"""),95.89)</f>
        <v/>
      </c>
      <c r="D109" s="141">
        <f>IFERROR(__xludf.DUMMYFUNCTION("""COMPUTED_VALUE"""),96.25)</f>
        <v/>
      </c>
      <c r="E109" s="141">
        <f>IFERROR(__xludf.DUMMYFUNCTION("""COMPUTED_VALUE"""),95.89)</f>
        <v/>
      </c>
      <c r="F109" s="141">
        <f>IFERROR(__xludf.DUMMYFUNCTION("""COMPUTED_VALUE"""),96.15)</f>
        <v/>
      </c>
      <c r="G109" s="143">
        <f>IFERROR(__xludf.DUMMYFUNCTION("""COMPUTED_VALUE"""),5329764)</f>
        <v/>
      </c>
      <c r="H109" s="27" t="n"/>
    </row>
    <row r="110" ht="17.25" customHeight="1" s="322">
      <c r="A110" s="27" t="n"/>
      <c r="B110" s="506">
        <f>IFERROR(__xludf.DUMMYFUNCTION("""COMPUTED_VALUE"""),45985.6666666666)</f>
        <v/>
      </c>
      <c r="C110" s="141">
        <f>IFERROR(__xludf.DUMMYFUNCTION("""COMPUTED_VALUE"""),96.39)</f>
        <v/>
      </c>
      <c r="D110" s="141">
        <f>IFERROR(__xludf.DUMMYFUNCTION("""COMPUTED_VALUE"""),96.43)</f>
        <v/>
      </c>
      <c r="E110" s="141">
        <f>IFERROR(__xludf.DUMMYFUNCTION("""COMPUTED_VALUE"""),96.24)</f>
        <v/>
      </c>
      <c r="F110" s="141">
        <f>IFERROR(__xludf.DUMMYFUNCTION("""COMPUTED_VALUE"""),96.35)</f>
        <v/>
      </c>
      <c r="G110" s="143">
        <f>IFERROR(__xludf.DUMMYFUNCTION("""COMPUTED_VALUE"""),5421718)</f>
        <v/>
      </c>
      <c r="H110" s="27" t="n"/>
    </row>
    <row r="111" ht="17.25" customHeight="1" s="322">
      <c r="A111" s="27" t="n"/>
      <c r="B111" s="506">
        <f>IFERROR(__xludf.DUMMYFUNCTION("""COMPUTED_VALUE"""),45986.6666666666)</f>
        <v/>
      </c>
      <c r="C111" s="141">
        <f>IFERROR(__xludf.DUMMYFUNCTION("""COMPUTED_VALUE"""),96.4)</f>
        <v/>
      </c>
      <c r="D111" s="141">
        <f>IFERROR(__xludf.DUMMYFUNCTION("""COMPUTED_VALUE"""),96.64)</f>
        <v/>
      </c>
      <c r="E111" s="141">
        <f>IFERROR(__xludf.DUMMYFUNCTION("""COMPUTED_VALUE"""),96.32)</f>
        <v/>
      </c>
      <c r="F111" s="141">
        <f>IFERROR(__xludf.DUMMYFUNCTION("""COMPUTED_VALUE"""),96.6)</f>
        <v/>
      </c>
      <c r="G111" s="143">
        <f>IFERROR(__xludf.DUMMYFUNCTION("""COMPUTED_VALUE"""),10391296)</f>
        <v/>
      </c>
      <c r="H111" s="27" t="n"/>
    </row>
    <row r="112" ht="17.25" customHeight="1" s="322">
      <c r="A112" s="27" t="n"/>
      <c r="B112" s="506">
        <f>IFERROR(__xludf.DUMMYFUNCTION("""COMPUTED_VALUE"""),45987.6666666666)</f>
        <v/>
      </c>
      <c r="C112" s="141">
        <f>IFERROR(__xludf.DUMMYFUNCTION("""COMPUTED_VALUE"""),96.61)</f>
        <v/>
      </c>
      <c r="D112" s="141">
        <f>IFERROR(__xludf.DUMMYFUNCTION("""COMPUTED_VALUE"""),96.74)</f>
        <v/>
      </c>
      <c r="E112" s="141">
        <f>IFERROR(__xludf.DUMMYFUNCTION("""COMPUTED_VALUE"""),96.45)</f>
        <v/>
      </c>
      <c r="F112" s="141">
        <f>IFERROR(__xludf.DUMMYFUNCTION("""COMPUTED_VALUE"""),96.7)</f>
        <v/>
      </c>
      <c r="G112" s="143">
        <f>IFERROR(__xludf.DUMMYFUNCTION("""COMPUTED_VALUE"""),4718733)</f>
        <v/>
      </c>
      <c r="H112" s="27" t="n"/>
    </row>
    <row r="113" ht="17.25" customHeight="1" s="322">
      <c r="A113" s="27" t="n"/>
      <c r="B113" s="506">
        <f>IFERROR(__xludf.DUMMYFUNCTION("""COMPUTED_VALUE"""),45989.5451388888)</f>
        <v/>
      </c>
      <c r="C113" s="141">
        <f>IFERROR(__xludf.DUMMYFUNCTION("""COMPUTED_VALUE"""),96.75)</f>
        <v/>
      </c>
      <c r="D113" s="141">
        <f>IFERROR(__xludf.DUMMYFUNCTION("""COMPUTED_VALUE"""),96.8)</f>
        <v/>
      </c>
      <c r="E113" s="141">
        <f>IFERROR(__xludf.DUMMYFUNCTION("""COMPUTED_VALUE"""),96.61)</f>
        <v/>
      </c>
      <c r="F113" s="141">
        <f>IFERROR(__xludf.DUMMYFUNCTION("""COMPUTED_VALUE"""),96.73)</f>
        <v/>
      </c>
      <c r="G113" s="143">
        <f>IFERROR(__xludf.DUMMYFUNCTION("""COMPUTED_VALUE"""),2628375)</f>
        <v/>
      </c>
      <c r="H113" s="27" t="n"/>
    </row>
    <row r="114" ht="17.25" customHeight="1" s="322">
      <c r="A114" s="27" t="n"/>
      <c r="B114" s="506">
        <f>IFERROR(__xludf.DUMMYFUNCTION("""COMPUTED_VALUE"""),45992.6666666666)</f>
        <v/>
      </c>
      <c r="C114" s="141">
        <f>IFERROR(__xludf.DUMMYFUNCTION("""COMPUTED_VALUE"""),95.94)</f>
        <v/>
      </c>
      <c r="D114" s="141">
        <f>IFERROR(__xludf.DUMMYFUNCTION("""COMPUTED_VALUE"""),96.22)</f>
        <v/>
      </c>
      <c r="E114" s="141">
        <f>IFERROR(__xludf.DUMMYFUNCTION("""COMPUTED_VALUE"""),95.93)</f>
        <v/>
      </c>
      <c r="F114" s="141">
        <f>IFERROR(__xludf.DUMMYFUNCTION("""COMPUTED_VALUE"""),96.02)</f>
        <v/>
      </c>
      <c r="G114" s="143">
        <f>IFERROR(__xludf.DUMMYFUNCTION("""COMPUTED_VALUE"""),11152104)</f>
        <v/>
      </c>
      <c r="H114" s="27" t="n"/>
    </row>
    <row r="115" ht="17.25" customHeight="1" s="322">
      <c r="A115" s="27" t="n"/>
      <c r="B115" s="506">
        <f>IFERROR(__xludf.DUMMYFUNCTION("""COMPUTED_VALUE"""),45993.6666666666)</f>
        <v/>
      </c>
      <c r="C115" s="141">
        <f>IFERROR(__xludf.DUMMYFUNCTION("""COMPUTED_VALUE"""),96.11)</f>
        <v/>
      </c>
      <c r="D115" s="141">
        <f>IFERROR(__xludf.DUMMYFUNCTION("""COMPUTED_VALUE"""),96.47)</f>
        <v/>
      </c>
      <c r="E115" s="141">
        <f>IFERROR(__xludf.DUMMYFUNCTION("""COMPUTED_VALUE"""),96.04)</f>
        <v/>
      </c>
      <c r="F115" s="141">
        <f>IFERROR(__xludf.DUMMYFUNCTION("""COMPUTED_VALUE"""),96.42)</f>
        <v/>
      </c>
      <c r="G115" s="143">
        <f>IFERROR(__xludf.DUMMYFUNCTION("""COMPUTED_VALUE"""),10879885)</f>
        <v/>
      </c>
      <c r="H115" s="27" t="n"/>
    </row>
    <row r="116" ht="17.25" customHeight="1" s="322">
      <c r="A116" s="27" t="n"/>
      <c r="B116" s="506">
        <f>IFERROR(__xludf.DUMMYFUNCTION("""COMPUTED_VALUE"""),45994.6666666666)</f>
        <v/>
      </c>
      <c r="C116" s="141">
        <f>IFERROR(__xludf.DUMMYFUNCTION("""COMPUTED_VALUE"""),96.72)</f>
        <v/>
      </c>
      <c r="D116" s="141">
        <f>IFERROR(__xludf.DUMMYFUNCTION("""COMPUTED_VALUE"""),96.73)</f>
        <v/>
      </c>
      <c r="E116" s="141">
        <f>IFERROR(__xludf.DUMMYFUNCTION("""COMPUTED_VALUE"""),96.42)</f>
        <v/>
      </c>
      <c r="F116" s="141">
        <f>IFERROR(__xludf.DUMMYFUNCTION("""COMPUTED_VALUE"""),96.54)</f>
        <v/>
      </c>
      <c r="G116" s="143">
        <f>IFERROR(__xludf.DUMMYFUNCTION("""COMPUTED_VALUE"""),6136282)</f>
        <v/>
      </c>
      <c r="H116" s="27" t="n"/>
    </row>
    <row r="117" ht="17.25" customHeight="1" s="322">
      <c r="A117" s="27" t="n"/>
      <c r="B117" s="506">
        <f>IFERROR(__xludf.DUMMYFUNCTION("""COMPUTED_VALUE"""),45995.6666666666)</f>
        <v/>
      </c>
      <c r="C117" s="141">
        <f>IFERROR(__xludf.DUMMYFUNCTION("""COMPUTED_VALUE"""),96.47)</f>
        <v/>
      </c>
      <c r="D117" s="141">
        <f>IFERROR(__xludf.DUMMYFUNCTION("""COMPUTED_VALUE"""),96.51)</f>
        <v/>
      </c>
      <c r="E117" s="141">
        <f>IFERROR(__xludf.DUMMYFUNCTION("""COMPUTED_VALUE"""),96.3)</f>
        <v/>
      </c>
      <c r="F117" s="141">
        <f>IFERROR(__xludf.DUMMYFUNCTION("""COMPUTED_VALUE"""),96.46)</f>
        <v/>
      </c>
      <c r="G117" s="143">
        <f>IFERROR(__xludf.DUMMYFUNCTION("""COMPUTED_VALUE"""),8228997)</f>
        <v/>
      </c>
      <c r="H117" s="27" t="n"/>
    </row>
    <row r="118" ht="17.25" customHeight="1" s="322">
      <c r="A118" s="27" t="n"/>
      <c r="B118" s="506">
        <f>IFERROR(__xludf.DUMMYFUNCTION("""COMPUTED_VALUE"""),45996.6666666666)</f>
        <v/>
      </c>
      <c r="C118" s="141">
        <f>IFERROR(__xludf.DUMMYFUNCTION("""COMPUTED_VALUE"""),96.47)</f>
        <v/>
      </c>
      <c r="D118" s="141">
        <f>IFERROR(__xludf.DUMMYFUNCTION("""COMPUTED_VALUE"""),96.63)</f>
        <v/>
      </c>
      <c r="E118" s="141">
        <f>IFERROR(__xludf.DUMMYFUNCTION("""COMPUTED_VALUE"""),96.28)</f>
        <v/>
      </c>
      <c r="F118" s="141">
        <f>IFERROR(__xludf.DUMMYFUNCTION("""COMPUTED_VALUE"""),96.33)</f>
        <v/>
      </c>
      <c r="G118" s="143">
        <f>IFERROR(__xludf.DUMMYFUNCTION("""COMPUTED_VALUE"""),5998398)</f>
        <v/>
      </c>
      <c r="H118" s="27" t="n"/>
    </row>
    <row r="119" ht="17.25" customHeight="1" s="322">
      <c r="A119" s="27" t="n"/>
      <c r="B119" s="506">
        <f>IFERROR(__xludf.DUMMYFUNCTION("""COMPUTED_VALUE"""),45999.6666666666)</f>
        <v/>
      </c>
      <c r="C119" s="141">
        <f>IFERROR(__xludf.DUMMYFUNCTION("""COMPUTED_VALUE"""),96.24)</f>
        <v/>
      </c>
      <c r="D119" s="141">
        <f>IFERROR(__xludf.DUMMYFUNCTION("""COMPUTED_VALUE"""),96.25)</f>
        <v/>
      </c>
      <c r="E119" s="141">
        <f>IFERROR(__xludf.DUMMYFUNCTION("""COMPUTED_VALUE"""),95.88)</f>
        <v/>
      </c>
      <c r="F119" s="141">
        <f>IFERROR(__xludf.DUMMYFUNCTION("""COMPUTED_VALUE"""),95.93)</f>
        <v/>
      </c>
      <c r="G119" s="143">
        <f>IFERROR(__xludf.DUMMYFUNCTION("""COMPUTED_VALUE"""),6617217)</f>
        <v/>
      </c>
      <c r="H119" s="27" t="n"/>
    </row>
    <row r="120" ht="17.25" customHeight="1" s="322">
      <c r="A120" s="27" t="n"/>
      <c r="B120" s="506">
        <f>IFERROR(__xludf.DUMMYFUNCTION("""COMPUTED_VALUE"""),46000.6666666666)</f>
        <v/>
      </c>
      <c r="C120" s="141">
        <f>IFERROR(__xludf.DUMMYFUNCTION("""COMPUTED_VALUE"""),95.98)</f>
        <v/>
      </c>
      <c r="D120" s="141">
        <f>IFERROR(__xludf.DUMMYFUNCTION("""COMPUTED_VALUE"""),95.98)</f>
        <v/>
      </c>
      <c r="E120" s="141">
        <f>IFERROR(__xludf.DUMMYFUNCTION("""COMPUTED_VALUE"""),95.72)</f>
        <v/>
      </c>
      <c r="F120" s="141">
        <f>IFERROR(__xludf.DUMMYFUNCTION("""COMPUTED_VALUE"""),95.85)</f>
        <v/>
      </c>
      <c r="G120" s="143">
        <f>IFERROR(__xludf.DUMMYFUNCTION("""COMPUTED_VALUE"""),7763926)</f>
        <v/>
      </c>
      <c r="H120" s="27" t="n"/>
    </row>
    <row r="121" ht="17.25" customHeight="1" s="322">
      <c r="A121" s="27" t="n"/>
      <c r="B121" s="506">
        <f>IFERROR(__xludf.DUMMYFUNCTION("""COMPUTED_VALUE"""),46001.6666666666)</f>
        <v/>
      </c>
      <c r="C121" s="141">
        <f>IFERROR(__xludf.DUMMYFUNCTION("""COMPUTED_VALUE"""),95.85)</f>
        <v/>
      </c>
      <c r="D121" s="141">
        <f>IFERROR(__xludf.DUMMYFUNCTION("""COMPUTED_VALUE"""),96.25)</f>
        <v/>
      </c>
      <c r="E121" s="141">
        <f>IFERROR(__xludf.DUMMYFUNCTION("""COMPUTED_VALUE"""),95.68)</f>
        <v/>
      </c>
      <c r="F121" s="141">
        <f>IFERROR(__xludf.DUMMYFUNCTION("""COMPUTED_VALUE"""),96.24)</f>
        <v/>
      </c>
      <c r="G121" s="143">
        <f>IFERROR(__xludf.DUMMYFUNCTION("""COMPUTED_VALUE"""),7249129)</f>
        <v/>
      </c>
      <c r="H121" s="27" t="n"/>
    </row>
    <row r="122" ht="17.25" customHeight="1" s="322">
      <c r="A122" s="27" t="n"/>
      <c r="B122" s="506">
        <f>IFERROR(__xludf.DUMMYFUNCTION("""COMPUTED_VALUE"""),46002.6666666666)</f>
        <v/>
      </c>
      <c r="C122" s="141">
        <f>IFERROR(__xludf.DUMMYFUNCTION("""COMPUTED_VALUE"""),96.35)</f>
        <v/>
      </c>
      <c r="D122" s="141">
        <f>IFERROR(__xludf.DUMMYFUNCTION("""COMPUTED_VALUE"""),96.44)</f>
        <v/>
      </c>
      <c r="E122" s="141">
        <f>IFERROR(__xludf.DUMMYFUNCTION("""COMPUTED_VALUE"""),96.24)</f>
        <v/>
      </c>
      <c r="F122" s="141">
        <f>IFERROR(__xludf.DUMMYFUNCTION("""COMPUTED_VALUE"""),96.31)</f>
        <v/>
      </c>
      <c r="G122" s="143">
        <f>IFERROR(__xludf.DUMMYFUNCTION("""COMPUTED_VALUE"""),4875777)</f>
        <v/>
      </c>
      <c r="H122" s="27" t="n"/>
    </row>
    <row r="123" ht="17.25" customHeight="1" s="322">
      <c r="A123" s="27" t="n"/>
      <c r="B123" s="506">
        <f>IFERROR(__xludf.DUMMYFUNCTION("""COMPUTED_VALUE"""),46003.6666666666)</f>
        <v/>
      </c>
      <c r="C123" s="141">
        <f>IFERROR(__xludf.DUMMYFUNCTION("""COMPUTED_VALUE"""),96.26)</f>
        <v/>
      </c>
      <c r="D123" s="141">
        <f>IFERROR(__xludf.DUMMYFUNCTION("""COMPUTED_VALUE"""),96.38)</f>
        <v/>
      </c>
      <c r="E123" s="141">
        <f>IFERROR(__xludf.DUMMYFUNCTION("""COMPUTED_VALUE"""),96.18)</f>
        <v/>
      </c>
      <c r="F123" s="141">
        <f>IFERROR(__xludf.DUMMYFUNCTION("""COMPUTED_VALUE"""),96.26)</f>
        <v/>
      </c>
      <c r="G123" s="143">
        <f>IFERROR(__xludf.DUMMYFUNCTION("""COMPUTED_VALUE"""),8805818)</f>
        <v/>
      </c>
      <c r="H123" s="27" t="n"/>
    </row>
    <row r="124" ht="17.25" customHeight="1" s="322">
      <c r="A124" s="27" t="n"/>
      <c r="B124" s="506">
        <f>IFERROR(__xludf.DUMMYFUNCTION("""COMPUTED_VALUE"""),46006.6666666666)</f>
        <v/>
      </c>
      <c r="C124" s="141">
        <f>IFERROR(__xludf.DUMMYFUNCTION("""COMPUTED_VALUE"""),96.45)</f>
        <v/>
      </c>
      <c r="D124" s="141">
        <f>IFERROR(__xludf.DUMMYFUNCTION("""COMPUTED_VALUE"""),96.54)</f>
        <v/>
      </c>
      <c r="E124" s="141">
        <f>IFERROR(__xludf.DUMMYFUNCTION("""COMPUTED_VALUE"""),96.31)</f>
        <v/>
      </c>
      <c r="F124" s="141">
        <f>IFERROR(__xludf.DUMMYFUNCTION("""COMPUTED_VALUE"""),96.39)</f>
        <v/>
      </c>
      <c r="G124" s="143">
        <f>IFERROR(__xludf.DUMMYFUNCTION("""COMPUTED_VALUE"""),7951795)</f>
        <v/>
      </c>
      <c r="H124" s="27" t="n"/>
    </row>
    <row r="125" ht="17.25" customHeight="1" s="322">
      <c r="A125" s="27" t="n"/>
      <c r="B125" s="506">
        <f>IFERROR(__xludf.DUMMYFUNCTION("""COMPUTED_VALUE"""),46007.6666666666)</f>
        <v/>
      </c>
      <c r="C125" s="141">
        <f>IFERROR(__xludf.DUMMYFUNCTION("""COMPUTED_VALUE"""),96.45)</f>
        <v/>
      </c>
      <c r="D125" s="141">
        <f>IFERROR(__xludf.DUMMYFUNCTION("""COMPUTED_VALUE"""),96.66)</f>
        <v/>
      </c>
      <c r="E125" s="141">
        <f>IFERROR(__xludf.DUMMYFUNCTION("""COMPUTED_VALUE"""),96.4)</f>
        <v/>
      </c>
      <c r="F125" s="141">
        <f>IFERROR(__xludf.DUMMYFUNCTION("""COMPUTED_VALUE"""),96.65)</f>
        <v/>
      </c>
      <c r="G125" s="143">
        <f>IFERROR(__xludf.DUMMYFUNCTION("""COMPUTED_VALUE"""),8632568)</f>
        <v/>
      </c>
      <c r="H125" s="27" t="n"/>
    </row>
    <row r="126" ht="17.25" customHeight="1" s="322">
      <c r="A126" s="27" t="n"/>
      <c r="B126" s="506">
        <f>IFERROR(__xludf.DUMMYFUNCTION("""COMPUTED_VALUE"""),46008.6666666666)</f>
        <v/>
      </c>
      <c r="C126" s="141">
        <f>IFERROR(__xludf.DUMMYFUNCTION("""COMPUTED_VALUE"""),96.54)</f>
        <v/>
      </c>
      <c r="D126" s="141">
        <f>IFERROR(__xludf.DUMMYFUNCTION("""COMPUTED_VALUE"""),96.54)</f>
        <v/>
      </c>
      <c r="E126" s="141">
        <f>IFERROR(__xludf.DUMMYFUNCTION("""COMPUTED_VALUE"""),96.25)</f>
        <v/>
      </c>
      <c r="F126" s="141">
        <f>IFERROR(__xludf.DUMMYFUNCTION("""COMPUTED_VALUE"""),96.28)</f>
        <v/>
      </c>
      <c r="G126" s="143">
        <f>IFERROR(__xludf.DUMMYFUNCTION("""COMPUTED_VALUE"""),7068291)</f>
        <v/>
      </c>
      <c r="H126" s="27" t="n"/>
    </row>
    <row r="127" ht="17.25" customHeight="1" s="322">
      <c r="A127" s="27" t="n"/>
      <c r="B127" s="506">
        <f>IFERROR(__xludf.DUMMYFUNCTION("""COMPUTED_VALUE"""),46009.6666666666)</f>
        <v/>
      </c>
      <c r="C127" s="141">
        <f>IFERROR(__xludf.DUMMYFUNCTION("""COMPUTED_VALUE"""),96.68)</f>
        <v/>
      </c>
      <c r="D127" s="141">
        <f>IFERROR(__xludf.DUMMYFUNCTION("""COMPUTED_VALUE"""),96.74)</f>
        <v/>
      </c>
      <c r="E127" s="141">
        <f>IFERROR(__xludf.DUMMYFUNCTION("""COMPUTED_VALUE"""),96.5)</f>
        <v/>
      </c>
      <c r="F127" s="141">
        <f>IFERROR(__xludf.DUMMYFUNCTION("""COMPUTED_VALUE"""),96.7)</f>
        <v/>
      </c>
      <c r="G127" s="143">
        <f>IFERROR(__xludf.DUMMYFUNCTION("""COMPUTED_VALUE"""),5520099)</f>
        <v/>
      </c>
      <c r="H127" s="27" t="n"/>
    </row>
    <row r="128" ht="17.25" customHeight="1" s="322">
      <c r="A128" s="27" t="n"/>
      <c r="B128" s="506">
        <f>IFERROR(__xludf.DUMMYFUNCTION("""COMPUTED_VALUE"""),46010.6666666666)</f>
        <v/>
      </c>
      <c r="C128" s="141">
        <f>IFERROR(__xludf.DUMMYFUNCTION("""COMPUTED_VALUE"""),96.4)</f>
        <v/>
      </c>
      <c r="D128" s="141">
        <f>IFERROR(__xludf.DUMMYFUNCTION("""COMPUTED_VALUE"""),96.43)</f>
        <v/>
      </c>
      <c r="E128" s="141">
        <f>IFERROR(__xludf.DUMMYFUNCTION("""COMPUTED_VALUE"""),96.19)</f>
        <v/>
      </c>
      <c r="F128" s="141">
        <f>IFERROR(__xludf.DUMMYFUNCTION("""COMPUTED_VALUE"""),96.27)</f>
        <v/>
      </c>
      <c r="G128" s="143">
        <f>IFERROR(__xludf.DUMMYFUNCTION("""COMPUTED_VALUE"""),4903958)</f>
        <v/>
      </c>
      <c r="H128" s="27" t="n"/>
    </row>
    <row r="129" ht="17.25" customHeight="1" s="322">
      <c r="A129" s="27" t="n"/>
      <c r="B129" s="506">
        <f>IFERROR(__xludf.DUMMYFUNCTION("""COMPUTED_VALUE"""),46013.6666666666)</f>
        <v/>
      </c>
      <c r="C129" s="141">
        <f>IFERROR(__xludf.DUMMYFUNCTION("""COMPUTED_VALUE"""),96.42)</f>
        <v/>
      </c>
      <c r="D129" s="141">
        <f>IFERROR(__xludf.DUMMYFUNCTION("""COMPUTED_VALUE"""),96.5)</f>
        <v/>
      </c>
      <c r="E129" s="141">
        <f>IFERROR(__xludf.DUMMYFUNCTION("""COMPUTED_VALUE"""),96.21)</f>
        <v/>
      </c>
      <c r="F129" s="141">
        <f>IFERROR(__xludf.DUMMYFUNCTION("""COMPUTED_VALUE"""),96.31)</f>
        <v/>
      </c>
      <c r="G129" s="143">
        <f>IFERROR(__xludf.DUMMYFUNCTION("""COMPUTED_VALUE"""),2877151)</f>
        <v/>
      </c>
      <c r="H129" s="27" t="n"/>
    </row>
    <row r="130" ht="17.25" customHeight="1" s="322">
      <c r="A130" s="27" t="n"/>
      <c r="B130" s="506">
        <f>IFERROR(__xludf.DUMMYFUNCTION("""COMPUTED_VALUE"""),46014.6666666666)</f>
        <v/>
      </c>
      <c r="C130" s="141">
        <f>IFERROR(__xludf.DUMMYFUNCTION("""COMPUTED_VALUE"""),96.25)</f>
        <v/>
      </c>
      <c r="D130" s="141">
        <f>IFERROR(__xludf.DUMMYFUNCTION("""COMPUTED_VALUE"""),96.36)</f>
        <v/>
      </c>
      <c r="E130" s="141">
        <f>IFERROR(__xludf.DUMMYFUNCTION("""COMPUTED_VALUE"""),96.15)</f>
        <v/>
      </c>
      <c r="F130" s="141">
        <f>IFERROR(__xludf.DUMMYFUNCTION("""COMPUTED_VALUE"""),96.26)</f>
        <v/>
      </c>
      <c r="G130" s="143">
        <f>IFERROR(__xludf.DUMMYFUNCTION("""COMPUTED_VALUE"""),4529907)</f>
        <v/>
      </c>
      <c r="H130" s="27" t="n"/>
    </row>
    <row r="131" ht="17.25" customHeight="1" s="322">
      <c r="A131" s="27" t="n"/>
      <c r="B131" s="506">
        <f>IFERROR(__xludf.DUMMYFUNCTION("""COMPUTED_VALUE"""),46015.5451388888)</f>
        <v/>
      </c>
      <c r="C131" s="141">
        <f>IFERROR(__xludf.DUMMYFUNCTION("""COMPUTED_VALUE"""),96.48)</f>
        <v/>
      </c>
      <c r="D131" s="141">
        <f>IFERROR(__xludf.DUMMYFUNCTION("""COMPUTED_VALUE"""),96.57)</f>
        <v/>
      </c>
      <c r="E131" s="141">
        <f>IFERROR(__xludf.DUMMYFUNCTION("""COMPUTED_VALUE"""),96.35)</f>
        <v/>
      </c>
      <c r="F131" s="141">
        <f>IFERROR(__xludf.DUMMYFUNCTION("""COMPUTED_VALUE"""),96.55)</f>
        <v/>
      </c>
      <c r="G131" s="143">
        <f>IFERROR(__xludf.DUMMYFUNCTION("""COMPUTED_VALUE"""),1328899)</f>
        <v/>
      </c>
      <c r="H131" s="27" t="n"/>
    </row>
    <row r="132" ht="17.25" customHeight="1" s="322">
      <c r="A132" s="27" t="n"/>
      <c r="B132" s="506">
        <f>IFERROR(__xludf.DUMMYFUNCTION("""COMPUTED_VALUE"""),46017.6666666666)</f>
        <v/>
      </c>
      <c r="C132" s="141">
        <f>IFERROR(__xludf.DUMMYFUNCTION("""COMPUTED_VALUE"""),96.64)</f>
        <v/>
      </c>
      <c r="D132" s="141">
        <f>IFERROR(__xludf.DUMMYFUNCTION("""COMPUTED_VALUE"""),96.72)</f>
        <v/>
      </c>
      <c r="E132" s="141">
        <f>IFERROR(__xludf.DUMMYFUNCTION("""COMPUTED_VALUE"""),96.41)</f>
        <v/>
      </c>
      <c r="F132" s="141">
        <f>IFERROR(__xludf.DUMMYFUNCTION("""COMPUTED_VALUE"""),96.54)</f>
        <v/>
      </c>
      <c r="G132" s="143">
        <f>IFERROR(__xludf.DUMMYFUNCTION("""COMPUTED_VALUE"""),2965599)</f>
        <v/>
      </c>
      <c r="H132" s="27" t="n"/>
    </row>
    <row r="133" ht="17.25" customHeight="1" s="322">
      <c r="A133" s="27" t="n"/>
      <c r="B133" s="506">
        <f>IFERROR(__xludf.DUMMYFUNCTION("""COMPUTED_VALUE"""),46020.6666666666)</f>
        <v/>
      </c>
      <c r="C133" s="141">
        <f>IFERROR(__xludf.DUMMYFUNCTION("""COMPUTED_VALUE"""),96.62)</f>
        <v/>
      </c>
      <c r="D133" s="141">
        <f>IFERROR(__xludf.DUMMYFUNCTION("""COMPUTED_VALUE"""),96.65)</f>
        <v/>
      </c>
      <c r="E133" s="141">
        <f>IFERROR(__xludf.DUMMYFUNCTION("""COMPUTED_VALUE"""),96.46)</f>
        <v/>
      </c>
      <c r="F133" s="141">
        <f>IFERROR(__xludf.DUMMYFUNCTION("""COMPUTED_VALUE"""),96.59)</f>
        <v/>
      </c>
      <c r="G133" s="143">
        <f>IFERROR(__xludf.DUMMYFUNCTION("""COMPUTED_VALUE"""),4935634)</f>
        <v/>
      </c>
      <c r="H133" s="27" t="n"/>
    </row>
    <row r="134" ht="17.25" customHeight="1" s="322">
      <c r="A134" s="27" t="n"/>
      <c r="B134" s="506">
        <f>IFERROR(__xludf.DUMMYFUNCTION("""COMPUTED_VALUE"""),46021.6666666666)</f>
        <v/>
      </c>
      <c r="C134" s="141">
        <f>IFERROR(__xludf.DUMMYFUNCTION("""COMPUTED_VALUE"""),96.58)</f>
        <v/>
      </c>
      <c r="D134" s="141">
        <f>IFERROR(__xludf.DUMMYFUNCTION("""COMPUTED_VALUE"""),96.62)</f>
        <v/>
      </c>
      <c r="E134" s="141">
        <f>IFERROR(__xludf.DUMMYFUNCTION("""COMPUTED_VALUE"""),96.47)</f>
        <v/>
      </c>
      <c r="F134" s="141">
        <f>IFERROR(__xludf.DUMMYFUNCTION("""COMPUTED_VALUE"""),96.47)</f>
        <v/>
      </c>
      <c r="G134" s="143">
        <f>IFERROR(__xludf.DUMMYFUNCTION("""COMPUTED_VALUE"""),4021677)</f>
        <v/>
      </c>
      <c r="H134" s="27" t="n"/>
    </row>
    <row r="135" ht="17.25" customHeight="1" s="322">
      <c r="A135" s="27" t="n"/>
      <c r="B135" s="506">
        <f>IFERROR(__xludf.DUMMYFUNCTION("""COMPUTED_VALUE"""),46022.6666666666)</f>
        <v/>
      </c>
      <c r="C135" s="141">
        <f>IFERROR(__xludf.DUMMYFUNCTION("""COMPUTED_VALUE"""),96.54)</f>
        <v/>
      </c>
      <c r="D135" s="141">
        <f>IFERROR(__xludf.DUMMYFUNCTION("""COMPUTED_VALUE"""),96.61)</f>
        <v/>
      </c>
      <c r="E135" s="141">
        <f>IFERROR(__xludf.DUMMYFUNCTION("""COMPUTED_VALUE"""),96.28)</f>
        <v/>
      </c>
      <c r="F135" s="141">
        <f>IFERROR(__xludf.DUMMYFUNCTION("""COMPUTED_VALUE"""),96.28)</f>
        <v/>
      </c>
      <c r="G135" s="143">
        <f>IFERROR(__xludf.DUMMYFUNCTION("""COMPUTED_VALUE"""),3672234)</f>
        <v/>
      </c>
      <c r="H135" s="27" t="n"/>
    </row>
    <row r="136" ht="17.25" customHeight="1" s="322">
      <c r="A136" s="27" t="n"/>
      <c r="B136" s="506">
        <f>IFERROR(__xludf.DUMMYFUNCTION("""COMPUTED_VALUE"""),46024.6666666666)</f>
        <v/>
      </c>
      <c r="C136" s="141">
        <f>IFERROR(__xludf.DUMMYFUNCTION("""COMPUTED_VALUE"""),96.5)</f>
        <v/>
      </c>
      <c r="D136" s="141">
        <f>IFERROR(__xludf.DUMMYFUNCTION("""COMPUTED_VALUE"""),96.5)</f>
        <v/>
      </c>
      <c r="E136" s="141">
        <f>IFERROR(__xludf.DUMMYFUNCTION("""COMPUTED_VALUE"""),96.21)</f>
        <v/>
      </c>
      <c r="F136" s="141">
        <f>IFERROR(__xludf.DUMMYFUNCTION("""COMPUTED_VALUE"""),96.3)</f>
        <v/>
      </c>
      <c r="G136" s="143">
        <f>IFERROR(__xludf.DUMMYFUNCTION("""COMPUTED_VALUE"""),9525820)</f>
        <v/>
      </c>
      <c r="H136" s="27" t="n"/>
    </row>
    <row r="137" ht="17.25" customHeight="1" s="322">
      <c r="A137" s="27" t="n"/>
      <c r="B137" s="506">
        <f>IFERROR(__xludf.DUMMYFUNCTION("""COMPUTED_VALUE"""),46027.6666666666)</f>
        <v/>
      </c>
      <c r="C137" s="141">
        <f>IFERROR(__xludf.DUMMYFUNCTION("""COMPUTED_VALUE"""),96.45)</f>
        <v/>
      </c>
      <c r="D137" s="141">
        <f>IFERROR(__xludf.DUMMYFUNCTION("""COMPUTED_VALUE"""),96.47)</f>
        <v/>
      </c>
      <c r="E137" s="141">
        <f>IFERROR(__xludf.DUMMYFUNCTION("""COMPUTED_VALUE"""),96.28)</f>
        <v/>
      </c>
      <c r="F137" s="141">
        <f>IFERROR(__xludf.DUMMYFUNCTION("""COMPUTED_VALUE"""),96.45)</f>
        <v/>
      </c>
      <c r="G137" s="143">
        <f>IFERROR(__xludf.DUMMYFUNCTION("""COMPUTED_VALUE"""),6030243)</f>
        <v/>
      </c>
      <c r="H137" s="27" t="n"/>
    </row>
    <row r="138" ht="17.25" customHeight="1" s="322">
      <c r="A138" s="27" t="n"/>
      <c r="B138" s="506">
        <f>IFERROR(__xludf.DUMMYFUNCTION("""COMPUTED_VALUE"""),46028.6666666666)</f>
        <v/>
      </c>
      <c r="C138" s="141">
        <f>IFERROR(__xludf.DUMMYFUNCTION("""COMPUTED_VALUE"""),96.45)</f>
        <v/>
      </c>
      <c r="D138" s="141">
        <f>IFERROR(__xludf.DUMMYFUNCTION("""COMPUTED_VALUE"""),96.45)</f>
        <v/>
      </c>
      <c r="E138" s="141">
        <f>IFERROR(__xludf.DUMMYFUNCTION("""COMPUTED_VALUE"""),96.21)</f>
        <v/>
      </c>
      <c r="F138" s="141">
        <f>IFERROR(__xludf.DUMMYFUNCTION("""COMPUTED_VALUE"""),96.35)</f>
        <v/>
      </c>
      <c r="G138" s="143">
        <f>IFERROR(__xludf.DUMMYFUNCTION("""COMPUTED_VALUE"""),7385001)</f>
        <v/>
      </c>
      <c r="H138" s="27" t="n"/>
    </row>
    <row r="139" ht="17.25" customHeight="1" s="322">
      <c r="A139" s="27" t="n"/>
      <c r="B139" s="506">
        <f>IFERROR(__xludf.DUMMYFUNCTION("""COMPUTED_VALUE"""),46029.6666666666)</f>
        <v/>
      </c>
      <c r="C139" s="141">
        <f>IFERROR(__xludf.DUMMYFUNCTION("""COMPUTED_VALUE"""),96.45)</f>
        <v/>
      </c>
      <c r="D139" s="141">
        <f>IFERROR(__xludf.DUMMYFUNCTION("""COMPUTED_VALUE"""),96.45)</f>
        <v/>
      </c>
      <c r="E139" s="141">
        <f>IFERROR(__xludf.DUMMYFUNCTION("""COMPUTED_VALUE"""),96.14)</f>
        <v/>
      </c>
      <c r="F139" s="141">
        <f>IFERROR(__xludf.DUMMYFUNCTION("""COMPUTED_VALUE"""),96.16)</f>
        <v/>
      </c>
      <c r="G139" s="143">
        <f>IFERROR(__xludf.DUMMYFUNCTION("""COMPUTED_VALUE"""),9562709)</f>
        <v/>
      </c>
      <c r="H139" s="27" t="n"/>
    </row>
    <row r="140" ht="17.25" customHeight="1" s="322">
      <c r="A140" s="27" t="n"/>
      <c r="B140" s="506">
        <f>IFERROR(__xludf.DUMMYFUNCTION("""COMPUTED_VALUE"""),46030.6666666666)</f>
        <v/>
      </c>
      <c r="C140" s="141">
        <f>IFERROR(__xludf.DUMMYFUNCTION("""COMPUTED_VALUE"""),95.93)</f>
        <v/>
      </c>
      <c r="D140" s="141">
        <f>IFERROR(__xludf.DUMMYFUNCTION("""COMPUTED_VALUE"""),96.09)</f>
        <v/>
      </c>
      <c r="E140" s="141">
        <f>IFERROR(__xludf.DUMMYFUNCTION("""COMPUTED_VALUE"""),95.84)</f>
        <v/>
      </c>
      <c r="F140" s="141">
        <f>IFERROR(__xludf.DUMMYFUNCTION("""COMPUTED_VALUE"""),96.01)</f>
        <v/>
      </c>
      <c r="G140" s="143">
        <f>IFERROR(__xludf.DUMMYFUNCTION("""COMPUTED_VALUE"""),8138030)</f>
        <v/>
      </c>
      <c r="H140" s="27" t="n"/>
    </row>
    <row r="141" ht="17.25" customHeight="1" s="322">
      <c r="A141" s="27" t="n"/>
      <c r="B141" s="506">
        <f>IFERROR(__xludf.DUMMYFUNCTION("""COMPUTED_VALUE"""),46031.6666666666)</f>
        <v/>
      </c>
      <c r="C141" s="141">
        <f>IFERROR(__xludf.DUMMYFUNCTION("""COMPUTED_VALUE"""),96.19)</f>
        <v/>
      </c>
      <c r="D141" s="141">
        <f>IFERROR(__xludf.DUMMYFUNCTION("""COMPUTED_VALUE"""),96.36)</f>
        <v/>
      </c>
      <c r="E141" s="141">
        <f>IFERROR(__xludf.DUMMYFUNCTION("""COMPUTED_VALUE"""),96.09)</f>
        <v/>
      </c>
      <c r="F141" s="141">
        <f>IFERROR(__xludf.DUMMYFUNCTION("""COMPUTED_VALUE"""),96.36)</f>
        <v/>
      </c>
      <c r="G141" s="143">
        <f>IFERROR(__xludf.DUMMYFUNCTION("""COMPUTED_VALUE"""),6646408)</f>
        <v/>
      </c>
      <c r="H141" s="27" t="n"/>
    </row>
    <row r="142" ht="17.25" customHeight="1" s="322">
      <c r="A142" s="27" t="n"/>
      <c r="B142" s="506">
        <f>IFERROR(__xludf.DUMMYFUNCTION("""COMPUTED_VALUE"""),46034.6666666666)</f>
        <v/>
      </c>
      <c r="C142" s="141">
        <f>IFERROR(__xludf.DUMMYFUNCTION("""COMPUTED_VALUE"""),96.1)</f>
        <v/>
      </c>
      <c r="D142" s="141">
        <f>IFERROR(__xludf.DUMMYFUNCTION("""COMPUTED_VALUE"""),96.39)</f>
        <v/>
      </c>
      <c r="E142" s="141">
        <f>IFERROR(__xludf.DUMMYFUNCTION("""COMPUTED_VALUE"""),96.1)</f>
        <v/>
      </c>
      <c r="F142" s="141">
        <f>IFERROR(__xludf.DUMMYFUNCTION("""COMPUTED_VALUE"""),96.28)</f>
        <v/>
      </c>
      <c r="G142" s="143">
        <f>IFERROR(__xludf.DUMMYFUNCTION("""COMPUTED_VALUE"""),7894965)</f>
        <v/>
      </c>
      <c r="H142" s="27" t="n"/>
    </row>
    <row r="143" ht="17.25" customHeight="1" s="322">
      <c r="A143" s="27" t="n"/>
      <c r="B143" s="506">
        <f>IFERROR(__xludf.DUMMYFUNCTION("""COMPUTED_VALUE"""),46035.6666666666)</f>
        <v/>
      </c>
      <c r="C143" s="141">
        <f>IFERROR(__xludf.DUMMYFUNCTION("""COMPUTED_VALUE"""),96.29)</f>
        <v/>
      </c>
      <c r="D143" s="141">
        <f>IFERROR(__xludf.DUMMYFUNCTION("""COMPUTED_VALUE"""),96.32)</f>
        <v/>
      </c>
      <c r="E143" s="141">
        <f>IFERROR(__xludf.DUMMYFUNCTION("""COMPUTED_VALUE"""),96.09)</f>
        <v/>
      </c>
      <c r="F143" s="141">
        <f>IFERROR(__xludf.DUMMYFUNCTION("""COMPUTED_VALUE"""),96.16)</f>
        <v/>
      </c>
      <c r="G143" s="143">
        <f>IFERROR(__xludf.DUMMYFUNCTION("""COMPUTED_VALUE"""),7871315)</f>
        <v/>
      </c>
      <c r="H143" s="27" t="n"/>
    </row>
    <row r="144" ht="17.25" customHeight="1" s="322">
      <c r="A144" s="27" t="n"/>
      <c r="B144" s="506">
        <f>IFERROR(__xludf.DUMMYFUNCTION("""COMPUTED_VALUE"""),46036.6666666666)</f>
        <v/>
      </c>
      <c r="C144" s="141">
        <f>IFERROR(__xludf.DUMMYFUNCTION("""COMPUTED_VALUE"""),96.25)</f>
        <v/>
      </c>
      <c r="D144" s="141">
        <f>IFERROR(__xludf.DUMMYFUNCTION("""COMPUTED_VALUE"""),96.37)</f>
        <v/>
      </c>
      <c r="E144" s="141">
        <f>IFERROR(__xludf.DUMMYFUNCTION("""COMPUTED_VALUE"""),96.1)</f>
        <v/>
      </c>
      <c r="F144" s="141">
        <f>IFERROR(__xludf.DUMMYFUNCTION("""COMPUTED_VALUE"""),96.36)</f>
        <v/>
      </c>
      <c r="G144" s="143">
        <f>IFERROR(__xludf.DUMMYFUNCTION("""COMPUTED_VALUE"""),6723875)</f>
        <v/>
      </c>
      <c r="H144" s="27" t="n"/>
    </row>
    <row r="145" ht="17.25" customHeight="1" s="322">
      <c r="A145" s="27" t="n"/>
      <c r="B145" s="506">
        <f>IFERROR(__xludf.DUMMYFUNCTION("""COMPUTED_VALUE"""),46037.6666666666)</f>
        <v/>
      </c>
      <c r="C145" s="141">
        <f>IFERROR(__xludf.DUMMYFUNCTION("""COMPUTED_VALUE"""),96.44)</f>
        <v/>
      </c>
      <c r="D145" s="141">
        <f>IFERROR(__xludf.DUMMYFUNCTION("""COMPUTED_VALUE"""),96.52)</f>
        <v/>
      </c>
      <c r="E145" s="141">
        <f>IFERROR(__xludf.DUMMYFUNCTION("""COMPUTED_VALUE"""),96.36)</f>
        <v/>
      </c>
      <c r="F145" s="141">
        <f>IFERROR(__xludf.DUMMYFUNCTION("""COMPUTED_VALUE"""),96.4)</f>
        <v/>
      </c>
      <c r="G145" s="143">
        <f>IFERROR(__xludf.DUMMYFUNCTION("""COMPUTED_VALUE"""),7041329)</f>
        <v/>
      </c>
      <c r="H145" s="27" t="n"/>
    </row>
    <row r="146" ht="17.25" customHeight="1" s="322">
      <c r="A146" s="27" t="n"/>
      <c r="B146" s="506">
        <f>IFERROR(__xludf.DUMMYFUNCTION("""COMPUTED_VALUE"""),46038.6666666666)</f>
        <v/>
      </c>
      <c r="C146" s="141">
        <f>IFERROR(__xludf.DUMMYFUNCTION("""COMPUTED_VALUE"""),96.45)</f>
        <v/>
      </c>
      <c r="D146" s="141">
        <f>IFERROR(__xludf.DUMMYFUNCTION("""COMPUTED_VALUE"""),96.49)</f>
        <v/>
      </c>
      <c r="E146" s="141">
        <f>IFERROR(__xludf.DUMMYFUNCTION("""COMPUTED_VALUE"""),96.2)</f>
        <v/>
      </c>
      <c r="F146" s="141">
        <f>IFERROR(__xludf.DUMMYFUNCTION("""COMPUTED_VALUE"""),96.21)</f>
        <v/>
      </c>
      <c r="G146" s="143">
        <f>IFERROR(__xludf.DUMMYFUNCTION("""COMPUTED_VALUE"""),9285204)</f>
        <v/>
      </c>
      <c r="H146" s="27" t="n"/>
    </row>
    <row r="147" ht="17.25" customHeight="1" s="322">
      <c r="A147" s="27" t="n"/>
      <c r="B147" s="506">
        <f>IFERROR(__xludf.DUMMYFUNCTION("""COMPUTED_VALUE"""),46042.6666666666)</f>
        <v/>
      </c>
      <c r="C147" s="141">
        <f>IFERROR(__xludf.DUMMYFUNCTION("""COMPUTED_VALUE"""),95.78)</f>
        <v/>
      </c>
      <c r="D147" s="141">
        <f>IFERROR(__xludf.DUMMYFUNCTION("""COMPUTED_VALUE"""),95.92)</f>
        <v/>
      </c>
      <c r="E147" s="141">
        <f>IFERROR(__xludf.DUMMYFUNCTION("""COMPUTED_VALUE"""),95.67)</f>
        <v/>
      </c>
      <c r="F147" s="141">
        <f>IFERROR(__xludf.DUMMYFUNCTION("""COMPUTED_VALUE"""),95.73)</f>
        <v/>
      </c>
      <c r="G147" s="143">
        <f>IFERROR(__xludf.DUMMYFUNCTION("""COMPUTED_VALUE"""),7840318)</f>
        <v/>
      </c>
      <c r="H147" s="27" t="n"/>
    </row>
    <row r="148" ht="17.25" customHeight="1" s="322">
      <c r="A148" s="27" t="n"/>
      <c r="B148" s="506">
        <f>IFERROR(__xludf.DUMMYFUNCTION("""COMPUTED_VALUE"""),46043.6666666666)</f>
        <v/>
      </c>
      <c r="C148" s="141">
        <f>IFERROR(__xludf.DUMMYFUNCTION("""COMPUTED_VALUE"""),96)</f>
        <v/>
      </c>
      <c r="D148" s="141">
        <f>IFERROR(__xludf.DUMMYFUNCTION("""COMPUTED_VALUE"""),96.51)</f>
        <v/>
      </c>
      <c r="E148" s="141">
        <f>IFERROR(__xludf.DUMMYFUNCTION("""COMPUTED_VALUE"""),95.97)</f>
        <v/>
      </c>
      <c r="F148" s="141">
        <f>IFERROR(__xludf.DUMMYFUNCTION("""COMPUTED_VALUE"""),96.5)</f>
        <v/>
      </c>
      <c r="G148" s="143">
        <f>IFERROR(__xludf.DUMMYFUNCTION("""COMPUTED_VALUE"""),15998885)</f>
        <v/>
      </c>
      <c r="H148" s="27" t="n"/>
    </row>
    <row r="149" ht="17.25" customHeight="1" s="322">
      <c r="A149" s="27" t="n"/>
      <c r="B149" s="506">
        <f>IFERROR(__xludf.DUMMYFUNCTION("""COMPUTED_VALUE"""),46044.6666666666)</f>
        <v/>
      </c>
      <c r="C149" s="141">
        <f>IFERROR(__xludf.DUMMYFUNCTION("""COMPUTED_VALUE"""),96.5)</f>
        <v/>
      </c>
      <c r="D149" s="141">
        <f>IFERROR(__xludf.DUMMYFUNCTION("""COMPUTED_VALUE"""),96.72)</f>
        <v/>
      </c>
      <c r="E149" s="141">
        <f>IFERROR(__xludf.DUMMYFUNCTION("""COMPUTED_VALUE"""),96.27)</f>
        <v/>
      </c>
      <c r="F149" s="141">
        <f>IFERROR(__xludf.DUMMYFUNCTION("""COMPUTED_VALUE"""),96.48)</f>
        <v/>
      </c>
      <c r="G149" s="143">
        <f>IFERROR(__xludf.DUMMYFUNCTION("""COMPUTED_VALUE"""),10693029)</f>
        <v/>
      </c>
      <c r="H149" s="27" t="n"/>
    </row>
    <row r="150" ht="17.25" customHeight="1" s="322">
      <c r="A150" s="27" t="n"/>
      <c r="B150" s="506">
        <f>IFERROR(__xludf.DUMMYFUNCTION("""COMPUTED_VALUE"""),46045.6666666666)</f>
        <v/>
      </c>
      <c r="C150" s="141">
        <f>IFERROR(__xludf.DUMMYFUNCTION("""COMPUTED_VALUE"""),96.56)</f>
        <v/>
      </c>
      <c r="D150" s="141">
        <f>IFERROR(__xludf.DUMMYFUNCTION("""COMPUTED_VALUE"""),96.74)</f>
        <v/>
      </c>
      <c r="E150" s="141">
        <f>IFERROR(__xludf.DUMMYFUNCTION("""COMPUTED_VALUE"""),96.38)</f>
        <v/>
      </c>
      <c r="F150" s="141">
        <f>IFERROR(__xludf.DUMMYFUNCTION("""COMPUTED_VALUE"""),96.72)</f>
        <v/>
      </c>
      <c r="G150" s="143">
        <f>IFERROR(__xludf.DUMMYFUNCTION("""COMPUTED_VALUE"""),14874060)</f>
        <v/>
      </c>
      <c r="H150" s="27" t="n"/>
    </row>
    <row r="151" ht="17.25" customHeight="1" s="322">
      <c r="A151" s="27" t="n"/>
      <c r="B151" s="506">
        <f>IFERROR(__xludf.DUMMYFUNCTION("""COMPUTED_VALUE"""),46048.6666666666)</f>
        <v/>
      </c>
      <c r="C151" s="141">
        <f>IFERROR(__xludf.DUMMYFUNCTION("""COMPUTED_VALUE"""),96.79)</f>
        <v/>
      </c>
      <c r="D151" s="141">
        <f>IFERROR(__xludf.DUMMYFUNCTION("""COMPUTED_VALUE"""),96.87)</f>
        <v/>
      </c>
      <c r="E151" s="141">
        <f>IFERROR(__xludf.DUMMYFUNCTION("""COMPUTED_VALUE"""),96.75)</f>
        <v/>
      </c>
      <c r="F151" s="141">
        <f>IFERROR(__xludf.DUMMYFUNCTION("""COMPUTED_VALUE"""),96.82)</f>
        <v/>
      </c>
      <c r="G151" s="143">
        <f>IFERROR(__xludf.DUMMYFUNCTION("""COMPUTED_VALUE"""),7558290)</f>
        <v/>
      </c>
      <c r="H151" s="27" t="n"/>
    </row>
    <row r="152" ht="17.25" customHeight="1" s="322">
      <c r="A152" s="27" t="n"/>
      <c r="B152" s="506">
        <f>IFERROR(__xludf.DUMMYFUNCTION("""COMPUTED_VALUE"""),46049.6666666666)</f>
        <v/>
      </c>
      <c r="C152" s="141">
        <f>IFERROR(__xludf.DUMMYFUNCTION("""COMPUTED_VALUE"""),96.82)</f>
        <v/>
      </c>
      <c r="D152" s="141">
        <f>IFERROR(__xludf.DUMMYFUNCTION("""COMPUTED_VALUE"""),96.87)</f>
        <v/>
      </c>
      <c r="E152" s="141">
        <f>IFERROR(__xludf.DUMMYFUNCTION("""COMPUTED_VALUE"""),96.65)</f>
        <v/>
      </c>
      <c r="F152" s="141">
        <f>IFERROR(__xludf.DUMMYFUNCTION("""COMPUTED_VALUE"""),96.78)</f>
        <v/>
      </c>
      <c r="G152" s="143">
        <f>IFERROR(__xludf.DUMMYFUNCTION("""COMPUTED_VALUE"""),7602648)</f>
        <v/>
      </c>
      <c r="H152" s="27" t="n"/>
    </row>
    <row r="153" ht="17.25" customHeight="1" s="322">
      <c r="A153" s="27" t="n"/>
      <c r="B153" s="506">
        <f>IFERROR(__xludf.DUMMYFUNCTION("""COMPUTED_VALUE"""),46050.6666666666)</f>
        <v/>
      </c>
      <c r="C153" s="141">
        <f>IFERROR(__xludf.DUMMYFUNCTION("""COMPUTED_VALUE"""),96.76)</f>
        <v/>
      </c>
      <c r="D153" s="141">
        <f>IFERROR(__xludf.DUMMYFUNCTION("""COMPUTED_VALUE"""),96.8)</f>
        <v/>
      </c>
      <c r="E153" s="141">
        <f>IFERROR(__xludf.DUMMYFUNCTION("""COMPUTED_VALUE"""),96.55)</f>
        <v/>
      </c>
      <c r="F153" s="141">
        <f>IFERROR(__xludf.DUMMYFUNCTION("""COMPUTED_VALUE"""),96.66)</f>
        <v/>
      </c>
      <c r="G153" s="143">
        <f>IFERROR(__xludf.DUMMYFUNCTION("""COMPUTED_VALUE"""),6810789)</f>
        <v/>
      </c>
      <c r="H153" s="27" t="n"/>
    </row>
    <row r="154" ht="17.25" customHeight="1" s="322">
      <c r="A154" s="27" t="n"/>
      <c r="B154" s="506">
        <f>IFERROR(__xludf.DUMMYFUNCTION("""COMPUTED_VALUE"""),46051.6666666666)</f>
        <v/>
      </c>
      <c r="C154" s="141">
        <f>IFERROR(__xludf.DUMMYFUNCTION("""COMPUTED_VALUE"""),96.57)</f>
        <v/>
      </c>
      <c r="D154" s="141">
        <f>IFERROR(__xludf.DUMMYFUNCTION("""COMPUTED_VALUE"""),96.75)</f>
        <v/>
      </c>
      <c r="E154" s="141">
        <f>IFERROR(__xludf.DUMMYFUNCTION("""COMPUTED_VALUE"""),96.45)</f>
        <v/>
      </c>
      <c r="F154" s="141">
        <f>IFERROR(__xludf.DUMMYFUNCTION("""COMPUTED_VALUE"""),96.67)</f>
        <v/>
      </c>
      <c r="G154" s="143">
        <f>IFERROR(__xludf.DUMMYFUNCTION("""COMPUTED_VALUE"""),8092135)</f>
        <v/>
      </c>
      <c r="H154" s="27" t="n"/>
    </row>
    <row r="155" ht="17.25" customHeight="1" s="322">
      <c r="A155" s="27" t="n"/>
      <c r="B155" s="506">
        <f>IFERROR(__xludf.DUMMYFUNCTION("""COMPUTED_VALUE"""),46052.6666666666)</f>
        <v/>
      </c>
      <c r="C155" s="141">
        <f>IFERROR(__xludf.DUMMYFUNCTION("""COMPUTED_VALUE"""),96.74)</f>
        <v/>
      </c>
      <c r="D155" s="141">
        <f>IFERROR(__xludf.DUMMYFUNCTION("""COMPUTED_VALUE"""),96.76)</f>
        <v/>
      </c>
      <c r="E155" s="141">
        <f>IFERROR(__xludf.DUMMYFUNCTION("""COMPUTED_VALUE"""),96.55)</f>
        <v/>
      </c>
      <c r="F155" s="141">
        <f>IFERROR(__xludf.DUMMYFUNCTION("""COMPUTED_VALUE"""),96.58)</f>
        <v/>
      </c>
      <c r="G155" s="143">
        <f>IFERROR(__xludf.DUMMYFUNCTION("""COMPUTED_VALUE"""),10990037)</f>
        <v/>
      </c>
      <c r="H155" s="27" t="n"/>
    </row>
    <row r="156" ht="17.25" customHeight="1" s="322">
      <c r="A156" s="27" t="n"/>
      <c r="B156" s="506">
        <f>IFERROR(__xludf.DUMMYFUNCTION("""COMPUTED_VALUE"""),46055.6666666666)</f>
        <v/>
      </c>
      <c r="C156" s="141">
        <f>IFERROR(__xludf.DUMMYFUNCTION("""COMPUTED_VALUE"""),96.21)</f>
        <v/>
      </c>
      <c r="D156" s="141">
        <f>IFERROR(__xludf.DUMMYFUNCTION("""COMPUTED_VALUE"""),96.46)</f>
        <v/>
      </c>
      <c r="E156" s="141">
        <f>IFERROR(__xludf.DUMMYFUNCTION("""COMPUTED_VALUE"""),96.14)</f>
        <v/>
      </c>
      <c r="F156" s="141">
        <f>IFERROR(__xludf.DUMMYFUNCTION("""COMPUTED_VALUE"""),96.14)</f>
        <v/>
      </c>
      <c r="G156" s="143">
        <f>IFERROR(__xludf.DUMMYFUNCTION("""COMPUTED_VALUE"""),16267309)</f>
        <v/>
      </c>
      <c r="H156" s="27" t="n"/>
    </row>
    <row r="157" ht="17.25" customHeight="1" s="322">
      <c r="A157" s="27" t="n"/>
      <c r="B157" s="506">
        <f>IFERROR(__xludf.DUMMYFUNCTION("""COMPUTED_VALUE"""),46056.6666666666)</f>
        <v/>
      </c>
      <c r="C157" s="141">
        <f>IFERROR(__xludf.DUMMYFUNCTION("""COMPUTED_VALUE"""),96.3)</f>
        <v/>
      </c>
      <c r="D157" s="141">
        <f>IFERROR(__xludf.DUMMYFUNCTION("""COMPUTED_VALUE"""),96.3)</f>
        <v/>
      </c>
      <c r="E157" s="141">
        <f>IFERROR(__xludf.DUMMYFUNCTION("""COMPUTED_VALUE"""),95.97)</f>
        <v/>
      </c>
      <c r="F157" s="141">
        <f>IFERROR(__xludf.DUMMYFUNCTION("""COMPUTED_VALUE"""),96.16)</f>
        <v/>
      </c>
      <c r="G157" s="143">
        <f>IFERROR(__xludf.DUMMYFUNCTION("""COMPUTED_VALUE"""),10483097)</f>
        <v/>
      </c>
      <c r="H157" s="27" t="n"/>
    </row>
    <row r="158" ht="17.25" customHeight="1" s="322">
      <c r="A158" s="27" t="n"/>
      <c r="B158" s="506">
        <f>IFERROR(__xludf.DUMMYFUNCTION("""COMPUTED_VALUE"""),46057.6666666666)</f>
        <v/>
      </c>
      <c r="C158" s="141">
        <f>IFERROR(__xludf.DUMMYFUNCTION("""COMPUTED_VALUE"""),96.37)</f>
        <v/>
      </c>
      <c r="D158" s="141">
        <f>IFERROR(__xludf.DUMMYFUNCTION("""COMPUTED_VALUE"""),96.4)</f>
        <v/>
      </c>
      <c r="E158" s="141">
        <f>IFERROR(__xludf.DUMMYFUNCTION("""COMPUTED_VALUE"""),96.09)</f>
        <v/>
      </c>
      <c r="F158" s="141">
        <f>IFERROR(__xludf.DUMMYFUNCTION("""COMPUTED_VALUE"""),96.2)</f>
        <v/>
      </c>
      <c r="G158" s="143">
        <f>IFERROR(__xludf.DUMMYFUNCTION("""COMPUTED_VALUE"""),12475702)</f>
        <v/>
      </c>
      <c r="H158" s="27" t="n"/>
    </row>
    <row r="159" ht="17.25" customHeight="1" s="322">
      <c r="A159" s="27" t="n"/>
      <c r="B159" s="506">
        <f>IFERROR(__xludf.DUMMYFUNCTION("""COMPUTED_VALUE"""),46058.6666666666)</f>
        <v/>
      </c>
      <c r="C159" s="141">
        <f>IFERROR(__xludf.DUMMYFUNCTION("""COMPUTED_VALUE"""),96.34)</f>
        <v/>
      </c>
      <c r="D159" s="141">
        <f>IFERROR(__xludf.DUMMYFUNCTION("""COMPUTED_VALUE"""),96.5)</f>
        <v/>
      </c>
      <c r="E159" s="141">
        <f>IFERROR(__xludf.DUMMYFUNCTION("""COMPUTED_VALUE"""),96.23)</f>
        <v/>
      </c>
      <c r="F159" s="141">
        <f>IFERROR(__xludf.DUMMYFUNCTION("""COMPUTED_VALUE"""),96.44)</f>
        <v/>
      </c>
      <c r="G159" s="143">
        <f>IFERROR(__xludf.DUMMYFUNCTION("""COMPUTED_VALUE"""),12106883)</f>
        <v/>
      </c>
      <c r="H159" s="27" t="n"/>
    </row>
    <row r="160" ht="17.25" customHeight="1" s="322">
      <c r="A160" s="27" t="n"/>
      <c r="B160" s="506">
        <f>IFERROR(__xludf.DUMMYFUNCTION("""COMPUTED_VALUE"""),46059.6666666666)</f>
        <v/>
      </c>
      <c r="C160" s="141">
        <f>IFERROR(__xludf.DUMMYFUNCTION("""COMPUTED_VALUE"""),96.6)</f>
        <v/>
      </c>
      <c r="D160" s="141">
        <f>IFERROR(__xludf.DUMMYFUNCTION("""COMPUTED_VALUE"""),96.69)</f>
        <v/>
      </c>
      <c r="E160" s="141">
        <f>IFERROR(__xludf.DUMMYFUNCTION("""COMPUTED_VALUE"""),96.44)</f>
        <v/>
      </c>
      <c r="F160" s="141">
        <f>IFERROR(__xludf.DUMMYFUNCTION("""COMPUTED_VALUE"""),96.69)</f>
        <v/>
      </c>
      <c r="G160" s="143">
        <f>IFERROR(__xludf.DUMMYFUNCTION("""COMPUTED_VALUE"""),7991452)</f>
        <v/>
      </c>
      <c r="H160" s="27" t="n"/>
    </row>
    <row r="161" ht="17.25" customHeight="1" s="322">
      <c r="A161" s="27" t="n"/>
      <c r="B161" s="506">
        <f>IFERROR(__xludf.DUMMYFUNCTION("""COMPUTED_VALUE"""),46062.6666666666)</f>
        <v/>
      </c>
      <c r="C161" s="141">
        <f>IFERROR(__xludf.DUMMYFUNCTION("""COMPUTED_VALUE"""),96.65)</f>
        <v/>
      </c>
      <c r="D161" s="141">
        <f>IFERROR(__xludf.DUMMYFUNCTION("""COMPUTED_VALUE"""),96.88)</f>
        <v/>
      </c>
      <c r="E161" s="141">
        <f>IFERROR(__xludf.DUMMYFUNCTION("""COMPUTED_VALUE"""),96.42)</f>
        <v/>
      </c>
      <c r="F161" s="141">
        <f>IFERROR(__xludf.DUMMYFUNCTION("""COMPUTED_VALUE"""),96.72)</f>
        <v/>
      </c>
      <c r="G161" s="143">
        <f>IFERROR(__xludf.DUMMYFUNCTION("""COMPUTED_VALUE"""),12302287)</f>
        <v/>
      </c>
      <c r="H161" s="27" t="n"/>
    </row>
    <row r="162" ht="17.25" customHeight="1" s="322">
      <c r="A162" s="27" t="n"/>
      <c r="B162" s="506">
        <f>IFERROR(__xludf.DUMMYFUNCTION("""COMPUTED_VALUE"""),46063.6666666666)</f>
        <v/>
      </c>
      <c r="C162" s="141">
        <f>IFERROR(__xludf.DUMMYFUNCTION("""COMPUTED_VALUE"""),97.07)</f>
        <v/>
      </c>
      <c r="D162" s="141">
        <f>IFERROR(__xludf.DUMMYFUNCTION("""COMPUTED_VALUE"""),97.09)</f>
        <v/>
      </c>
      <c r="E162" s="141">
        <f>IFERROR(__xludf.DUMMYFUNCTION("""COMPUTED_VALUE"""),96.94)</f>
        <v/>
      </c>
      <c r="F162" s="141">
        <f>IFERROR(__xludf.DUMMYFUNCTION("""COMPUTED_VALUE"""),96.97)</f>
        <v/>
      </c>
      <c r="G162" s="143">
        <f>IFERROR(__xludf.DUMMYFUNCTION("""COMPUTED_VALUE"""),5805100)</f>
        <v/>
      </c>
      <c r="H162" s="27" t="n"/>
    </row>
    <row r="163" ht="17.25" customHeight="1" s="322">
      <c r="A163" s="27" t="n"/>
      <c r="B163" s="506">
        <f>IFERROR(__xludf.DUMMYFUNCTION("""COMPUTED_VALUE"""),46064.6666666666)</f>
        <v/>
      </c>
      <c r="C163" s="141">
        <f>IFERROR(__xludf.DUMMYFUNCTION("""COMPUTED_VALUE"""),96.95)</f>
        <v/>
      </c>
      <c r="D163" s="141">
        <f>IFERROR(__xludf.DUMMYFUNCTION("""COMPUTED_VALUE"""),97.09)</f>
        <v/>
      </c>
      <c r="E163" s="141">
        <f>IFERROR(__xludf.DUMMYFUNCTION("""COMPUTED_VALUE"""),96.83)</f>
        <v/>
      </c>
      <c r="F163" s="141">
        <f>IFERROR(__xludf.DUMMYFUNCTION("""COMPUTED_VALUE"""),96.98)</f>
        <v/>
      </c>
      <c r="G163" s="143">
        <f>IFERROR(__xludf.DUMMYFUNCTION("""COMPUTED_VALUE"""),6827186)</f>
        <v/>
      </c>
      <c r="H163" s="27" t="n"/>
    </row>
    <row r="164" ht="17.25" customHeight="1" s="322">
      <c r="A164" s="27" t="n"/>
      <c r="B164" s="506">
        <f>IFERROR(__xludf.DUMMYFUNCTION("""COMPUTED_VALUE"""),46065.6666666666)</f>
        <v/>
      </c>
      <c r="C164" s="141">
        <f>IFERROR(__xludf.DUMMYFUNCTION("""COMPUTED_VALUE"""),97.2)</f>
        <v/>
      </c>
      <c r="D164" s="141">
        <f>IFERROR(__xludf.DUMMYFUNCTION("""COMPUTED_VALUE"""),97.4)</f>
        <v/>
      </c>
      <c r="E164" s="141">
        <f>IFERROR(__xludf.DUMMYFUNCTION("""COMPUTED_VALUE"""),97.05)</f>
        <v/>
      </c>
      <c r="F164" s="141">
        <f>IFERROR(__xludf.DUMMYFUNCTION("""COMPUTED_VALUE"""),97.25)</f>
        <v/>
      </c>
      <c r="G164" s="143">
        <f>IFERROR(__xludf.DUMMYFUNCTION("""COMPUTED_VALUE"""),7447320)</f>
        <v/>
      </c>
      <c r="H164" s="27" t="n"/>
    </row>
    <row r="165" ht="17.25" customHeight="1" s="322">
      <c r="A165" s="27" t="n"/>
      <c r="B165" s="506">
        <f>IFERROR(__xludf.DUMMYFUNCTION("""COMPUTED_VALUE"""),46066.6666666666)</f>
        <v/>
      </c>
      <c r="C165" s="141">
        <f>IFERROR(__xludf.DUMMYFUNCTION("""COMPUTED_VALUE"""),97.48)</f>
        <v/>
      </c>
      <c r="D165" s="141">
        <f>IFERROR(__xludf.DUMMYFUNCTION("""COMPUTED_VALUE"""),97.61)</f>
        <v/>
      </c>
      <c r="E165" s="141">
        <f>IFERROR(__xludf.DUMMYFUNCTION("""COMPUTED_VALUE"""),97.31)</f>
        <v/>
      </c>
      <c r="F165" s="141">
        <f>IFERROR(__xludf.DUMMYFUNCTION("""COMPUTED_VALUE"""),97.42)</f>
        <v/>
      </c>
      <c r="G165" s="143">
        <f>IFERROR(__xludf.DUMMYFUNCTION("""COMPUTED_VALUE"""),6711920)</f>
        <v/>
      </c>
      <c r="H165" s="27" t="n"/>
    </row>
    <row r="166" ht="17.25" customHeight="1" s="322">
      <c r="A166" s="27" t="n"/>
      <c r="B166" s="506">
        <f>IFERROR(__xludf.DUMMYFUNCTION("""COMPUTED_VALUE"""),46070.6666666666)</f>
        <v/>
      </c>
      <c r="C166" s="141">
        <f>IFERROR(__xludf.DUMMYFUNCTION("""COMPUTED_VALUE"""),97.6)</f>
        <v/>
      </c>
      <c r="D166" s="141">
        <f>IFERROR(__xludf.DUMMYFUNCTION("""COMPUTED_VALUE"""),97.76)</f>
        <v/>
      </c>
      <c r="E166" s="141">
        <f>IFERROR(__xludf.DUMMYFUNCTION("""COMPUTED_VALUE"""),97.54)</f>
        <v/>
      </c>
      <c r="F166" s="141">
        <f>IFERROR(__xludf.DUMMYFUNCTION("""COMPUTED_VALUE"""),97.62)</f>
        <v/>
      </c>
      <c r="G166" s="143">
        <f>IFERROR(__xludf.DUMMYFUNCTION("""COMPUTED_VALUE"""),4672193)</f>
        <v/>
      </c>
      <c r="H166" s="27" t="n"/>
    </row>
    <row r="167" ht="17.25" customHeight="1" s="322">
      <c r="A167" s="27" t="n"/>
      <c r="B167" s="506">
        <f>IFERROR(__xludf.DUMMYFUNCTION("""COMPUTED_VALUE"""),46071.6666666666)</f>
        <v/>
      </c>
      <c r="C167" s="141">
        <f>IFERROR(__xludf.DUMMYFUNCTION("""COMPUTED_VALUE"""),97.71)</f>
        <v/>
      </c>
      <c r="D167" s="141">
        <f>IFERROR(__xludf.DUMMYFUNCTION("""COMPUTED_VALUE"""),97.77)</f>
        <v/>
      </c>
      <c r="E167" s="141">
        <f>IFERROR(__xludf.DUMMYFUNCTION("""COMPUTED_VALUE"""),97.55)</f>
        <v/>
      </c>
      <c r="F167" s="141">
        <f>IFERROR(__xludf.DUMMYFUNCTION("""COMPUTED_VALUE"""),97.66)</f>
        <v/>
      </c>
      <c r="G167" s="143">
        <f>IFERROR(__xludf.DUMMYFUNCTION("""COMPUTED_VALUE"""),7574348)</f>
        <v/>
      </c>
      <c r="H167" s="27" t="n"/>
    </row>
    <row r="168" ht="17.25" customHeight="1" s="322">
      <c r="A168" s="27" t="n"/>
      <c r="B168" s="506">
        <f>IFERROR(__xludf.DUMMYFUNCTION("""COMPUTED_VALUE"""),46072.6666666666)</f>
        <v/>
      </c>
      <c r="C168" s="141">
        <f>IFERROR(__xludf.DUMMYFUNCTION("""COMPUTED_VALUE"""),97.46)</f>
        <v/>
      </c>
      <c r="D168" s="141">
        <f>IFERROR(__xludf.DUMMYFUNCTION("""COMPUTED_VALUE"""),97.58)</f>
        <v/>
      </c>
      <c r="E168" s="141">
        <f>IFERROR(__xludf.DUMMYFUNCTION("""COMPUTED_VALUE"""),97.24)</f>
        <v/>
      </c>
      <c r="F168" s="141">
        <f>IFERROR(__xludf.DUMMYFUNCTION("""COMPUTED_VALUE"""),97.55)</f>
        <v/>
      </c>
      <c r="G168" s="143">
        <f>IFERROR(__xludf.DUMMYFUNCTION("""COMPUTED_VALUE"""),6826619)</f>
        <v/>
      </c>
      <c r="H168" s="27" t="n"/>
    </row>
    <row r="169" ht="17.25" customHeight="1" s="322">
      <c r="A169" s="27" t="n"/>
      <c r="B169" s="506">
        <f>IFERROR(__xludf.DUMMYFUNCTION("""COMPUTED_VALUE"""),46073.6666666666)</f>
        <v/>
      </c>
      <c r="C169" s="141">
        <f>IFERROR(__xludf.DUMMYFUNCTION("""COMPUTED_VALUE"""),97.55)</f>
        <v/>
      </c>
      <c r="D169" s="141">
        <f>IFERROR(__xludf.DUMMYFUNCTION("""COMPUTED_VALUE"""),97.65)</f>
        <v/>
      </c>
      <c r="E169" s="141">
        <f>IFERROR(__xludf.DUMMYFUNCTION("""COMPUTED_VALUE"""),97.4)</f>
        <v/>
      </c>
      <c r="F169" s="141">
        <f>IFERROR(__xludf.DUMMYFUNCTION("""COMPUTED_VALUE"""),97.65)</f>
        <v/>
      </c>
      <c r="G169" s="143">
        <f>IFERROR(__xludf.DUMMYFUNCTION("""COMPUTED_VALUE"""),7931635)</f>
        <v/>
      </c>
      <c r="H169" s="27" t="n"/>
    </row>
    <row r="170" ht="17.25" customHeight="1" s="322">
      <c r="A170" s="27" t="n"/>
      <c r="B170" s="506">
        <f>IFERROR(__xludf.DUMMYFUNCTION("""COMPUTED_VALUE"""),46076.6666666666)</f>
        <v/>
      </c>
      <c r="C170" s="141">
        <f>IFERROR(__xludf.DUMMYFUNCTION("""COMPUTED_VALUE"""),97.72)</f>
        <v/>
      </c>
      <c r="D170" s="141">
        <f>IFERROR(__xludf.DUMMYFUNCTION("""COMPUTED_VALUE"""),97.8)</f>
        <v/>
      </c>
      <c r="E170" s="141">
        <f>IFERROR(__xludf.DUMMYFUNCTION("""COMPUTED_VALUE"""),97.5)</f>
        <v/>
      </c>
      <c r="F170" s="141">
        <f>IFERROR(__xludf.DUMMYFUNCTION("""COMPUTED_VALUE"""),97.71)</f>
        <v/>
      </c>
      <c r="G170" s="143">
        <f>IFERROR(__xludf.DUMMYFUNCTION("""COMPUTED_VALUE"""),7100297)</f>
        <v/>
      </c>
      <c r="H170" s="27" t="n"/>
    </row>
    <row r="171" ht="17.25" customHeight="1" s="322">
      <c r="A171" s="27" t="n"/>
      <c r="B171" s="506">
        <f>IFERROR(__xludf.DUMMYFUNCTION("""COMPUTED_VALUE"""),46077.6666666666)</f>
        <v/>
      </c>
      <c r="C171" s="141">
        <f>IFERROR(__xludf.DUMMYFUNCTION("""COMPUTED_VALUE"""),97.53)</f>
        <v/>
      </c>
      <c r="D171" s="141">
        <f>IFERROR(__xludf.DUMMYFUNCTION("""COMPUTED_VALUE"""),97.75)</f>
        <v/>
      </c>
      <c r="E171" s="141">
        <f>IFERROR(__xludf.DUMMYFUNCTION("""COMPUTED_VALUE"""),97.53)</f>
        <v/>
      </c>
      <c r="F171" s="141">
        <f>IFERROR(__xludf.DUMMYFUNCTION("""COMPUTED_VALUE"""),97.65)</f>
        <v/>
      </c>
      <c r="G171" s="143">
        <f>IFERROR(__xludf.DUMMYFUNCTION("""COMPUTED_VALUE"""),6251292)</f>
        <v/>
      </c>
      <c r="H171" s="27" t="n"/>
    </row>
    <row r="172" ht="17.25" customHeight="1" s="322">
      <c r="A172" s="27" t="n"/>
      <c r="B172" s="506">
        <f>IFERROR(__xludf.DUMMYFUNCTION("""COMPUTED_VALUE"""),46078.6666666666)</f>
        <v/>
      </c>
      <c r="C172" s="141">
        <f>IFERROR(__xludf.DUMMYFUNCTION("""COMPUTED_VALUE"""),97.63)</f>
        <v/>
      </c>
      <c r="D172" s="141">
        <f>IFERROR(__xludf.DUMMYFUNCTION("""COMPUTED_VALUE"""),97.79)</f>
        <v/>
      </c>
      <c r="E172" s="141">
        <f>IFERROR(__xludf.DUMMYFUNCTION("""COMPUTED_VALUE"""),97.6)</f>
        <v/>
      </c>
      <c r="F172" s="141">
        <f>IFERROR(__xludf.DUMMYFUNCTION("""COMPUTED_VALUE"""),97.74)</f>
        <v/>
      </c>
      <c r="G172" s="143">
        <f>IFERROR(__xludf.DUMMYFUNCTION("""COMPUTED_VALUE"""),5461055)</f>
        <v/>
      </c>
      <c r="H172" s="27" t="n"/>
    </row>
    <row r="173" ht="17.25" customHeight="1" s="322">
      <c r="A173" s="27" t="n"/>
      <c r="B173" s="506">
        <f>IFERROR(__xludf.DUMMYFUNCTION("""COMPUTED_VALUE"""),46079.6666666666)</f>
        <v/>
      </c>
      <c r="C173" s="141">
        <f>IFERROR(__xludf.DUMMYFUNCTION("""COMPUTED_VALUE"""),97.75)</f>
        <v/>
      </c>
      <c r="D173" s="141">
        <f>IFERROR(__xludf.DUMMYFUNCTION("""COMPUTED_VALUE"""),97.78)</f>
        <v/>
      </c>
      <c r="E173" s="141">
        <f>IFERROR(__xludf.DUMMYFUNCTION("""COMPUTED_VALUE"""),97.55)</f>
        <v/>
      </c>
      <c r="F173" s="141">
        <f>IFERROR(__xludf.DUMMYFUNCTION("""COMPUTED_VALUE"""),97.68)</f>
        <v/>
      </c>
      <c r="G173" s="143">
        <f>IFERROR(__xludf.DUMMYFUNCTION("""COMPUTED_VALUE"""),4958695)</f>
        <v/>
      </c>
      <c r="H173" s="27" t="n"/>
    </row>
    <row r="174" ht="17.25" customHeight="1" s="322">
      <c r="A174" s="27" t="n"/>
      <c r="B174" s="506">
        <f>IFERROR(__xludf.DUMMYFUNCTION("""COMPUTED_VALUE"""),46080.6666666666)</f>
        <v/>
      </c>
      <c r="C174" s="141">
        <f>IFERROR(__xludf.DUMMYFUNCTION("""COMPUTED_VALUE"""),97.63)</f>
        <v/>
      </c>
      <c r="D174" s="141">
        <f>IFERROR(__xludf.DUMMYFUNCTION("""COMPUTED_VALUE"""),97.74)</f>
        <v/>
      </c>
      <c r="E174" s="141">
        <f>IFERROR(__xludf.DUMMYFUNCTION("""COMPUTED_VALUE"""),97.48)</f>
        <v/>
      </c>
      <c r="F174" s="141">
        <f>IFERROR(__xludf.DUMMYFUNCTION("""COMPUTED_VALUE"""),97.73)</f>
        <v/>
      </c>
      <c r="G174" s="143">
        <f>IFERROR(__xludf.DUMMYFUNCTION("""COMPUTED_VALUE"""),8824844)</f>
        <v/>
      </c>
      <c r="H174" s="27" t="n"/>
    </row>
    <row r="175" ht="17.25" customHeight="1" s="322">
      <c r="A175" s="27" t="n"/>
      <c r="B175" s="506">
        <f>IFERROR(__xludf.DUMMYFUNCTION("""COMPUTED_VALUE"""),46083.6666666666)</f>
        <v/>
      </c>
      <c r="C175" s="141">
        <f>IFERROR(__xludf.DUMMYFUNCTION("""COMPUTED_VALUE"""),96.76)</f>
        <v/>
      </c>
      <c r="D175" s="141">
        <f>IFERROR(__xludf.DUMMYFUNCTION("""COMPUTED_VALUE"""),97)</f>
        <v/>
      </c>
      <c r="E175" s="141">
        <f>IFERROR(__xludf.DUMMYFUNCTION("""COMPUTED_VALUE"""),96.69)</f>
        <v/>
      </c>
      <c r="F175" s="141">
        <f>IFERROR(__xludf.DUMMYFUNCTION("""COMPUTED_VALUE"""),96.99)</f>
        <v/>
      </c>
      <c r="G175" s="143">
        <f>IFERROR(__xludf.DUMMYFUNCTION("""COMPUTED_VALUE"""),16503807)</f>
        <v/>
      </c>
      <c r="H175" s="27" t="n"/>
    </row>
    <row r="176" ht="17.25" customHeight="1" s="322">
      <c r="A176" s="27" t="n"/>
      <c r="B176" s="506">
        <f>IFERROR(__xludf.DUMMYFUNCTION("""COMPUTED_VALUE"""),46084.6666666666)</f>
        <v/>
      </c>
      <c r="C176" s="141">
        <f>IFERROR(__xludf.DUMMYFUNCTION("""COMPUTED_VALUE"""),95.96)</f>
        <v/>
      </c>
      <c r="D176" s="141">
        <f>IFERROR(__xludf.DUMMYFUNCTION("""COMPUTED_VALUE"""),96.67)</f>
        <v/>
      </c>
      <c r="E176" s="141">
        <f>IFERROR(__xludf.DUMMYFUNCTION("""COMPUTED_VALUE"""),95.91)</f>
        <v/>
      </c>
      <c r="F176" s="141">
        <f>IFERROR(__xludf.DUMMYFUNCTION("""COMPUTED_VALUE"""),96.55)</f>
        <v/>
      </c>
      <c r="G176" s="143">
        <f>IFERROR(__xludf.DUMMYFUNCTION("""COMPUTED_VALUE"""),15705332)</f>
        <v/>
      </c>
      <c r="H176" s="27" t="n"/>
    </row>
    <row r="177" ht="17.25" customHeight="1" s="322">
      <c r="A177" s="27" t="n"/>
      <c r="B177" s="506">
        <f>IFERROR(__xludf.DUMMYFUNCTION("""COMPUTED_VALUE"""),46085.6666666666)</f>
        <v/>
      </c>
      <c r="C177" s="141">
        <f>IFERROR(__xludf.DUMMYFUNCTION("""COMPUTED_VALUE"""),96.52)</f>
        <v/>
      </c>
      <c r="D177" s="141">
        <f>IFERROR(__xludf.DUMMYFUNCTION("""COMPUTED_VALUE"""),96.93)</f>
        <v/>
      </c>
      <c r="E177" s="141">
        <f>IFERROR(__xludf.DUMMYFUNCTION("""COMPUTED_VALUE"""),96.42)</f>
        <v/>
      </c>
      <c r="F177" s="141">
        <f>IFERROR(__xludf.DUMMYFUNCTION("""COMPUTED_VALUE"""),96.87)</f>
        <v/>
      </c>
      <c r="G177" s="143">
        <f>IFERROR(__xludf.DUMMYFUNCTION("""COMPUTED_VALUE"""),12157309)</f>
        <v/>
      </c>
      <c r="H177" s="27" t="n"/>
    </row>
    <row r="178" ht="17.25" customHeight="1" s="322">
      <c r="A178" s="27" t="n"/>
      <c r="B178" s="506">
        <f>IFERROR(__xludf.DUMMYFUNCTION("""COMPUTED_VALUE"""),46086.6666666666)</f>
        <v/>
      </c>
      <c r="C178" s="141">
        <f>IFERROR(__xludf.DUMMYFUNCTION("""COMPUTED_VALUE"""),96.34)</f>
        <v/>
      </c>
      <c r="D178" s="141">
        <f>IFERROR(__xludf.DUMMYFUNCTION("""COMPUTED_VALUE"""),96.58)</f>
        <v/>
      </c>
      <c r="E178" s="141">
        <f>IFERROR(__xludf.DUMMYFUNCTION("""COMPUTED_VALUE"""),96.22)</f>
        <v/>
      </c>
      <c r="F178" s="141">
        <f>IFERROR(__xludf.DUMMYFUNCTION("""COMPUTED_VALUE"""),96.38)</f>
        <v/>
      </c>
      <c r="G178" s="143">
        <f>IFERROR(__xludf.DUMMYFUNCTION("""COMPUTED_VALUE"""),12699373)</f>
        <v/>
      </c>
      <c r="H178" s="27" t="n"/>
    </row>
    <row r="179" ht="17.25" customHeight="1" s="322">
      <c r="A179" s="27" t="n"/>
      <c r="B179" s="506">
        <f>IFERROR(__xludf.DUMMYFUNCTION("""COMPUTED_VALUE"""),46087.6666666666)</f>
        <v/>
      </c>
      <c r="C179" s="141">
        <f>IFERROR(__xludf.DUMMYFUNCTION("""COMPUTED_VALUE"""),95.73)</f>
        <v/>
      </c>
      <c r="D179" s="141">
        <f>IFERROR(__xludf.DUMMYFUNCTION("""COMPUTED_VALUE"""),96.01)</f>
        <v/>
      </c>
      <c r="E179" s="141">
        <f>IFERROR(__xludf.DUMMYFUNCTION("""COMPUTED_VALUE"""),95.5)</f>
        <v/>
      </c>
      <c r="F179" s="141">
        <f>IFERROR(__xludf.DUMMYFUNCTION("""COMPUTED_VALUE"""),95.75)</f>
        <v/>
      </c>
      <c r="G179" s="143">
        <f>IFERROR(__xludf.DUMMYFUNCTION("""COMPUTED_VALUE"""),12473198)</f>
        <v/>
      </c>
      <c r="H179" s="27" t="n"/>
    </row>
    <row r="180" ht="17.25" customHeight="1" s="322">
      <c r="A180" s="27" t="n"/>
      <c r="B180" s="506">
        <f>IFERROR(__xludf.DUMMYFUNCTION("""COMPUTED_VALUE"""),46090.6666666666)</f>
        <v/>
      </c>
      <c r="C180" s="141">
        <f>IFERROR(__xludf.DUMMYFUNCTION("""COMPUTED_VALUE"""),95.09)</f>
        <v/>
      </c>
      <c r="D180" s="141">
        <f>IFERROR(__xludf.DUMMYFUNCTION("""COMPUTED_VALUE"""),96.09)</f>
        <v/>
      </c>
      <c r="E180" s="141">
        <f>IFERROR(__xludf.DUMMYFUNCTION("""COMPUTED_VALUE"""),95.04)</f>
        <v/>
      </c>
      <c r="F180" s="141">
        <f>IFERROR(__xludf.DUMMYFUNCTION("""COMPUTED_VALUE"""),95.96)</f>
        <v/>
      </c>
      <c r="G180" s="143">
        <f>IFERROR(__xludf.DUMMYFUNCTION("""COMPUTED_VALUE"""),21921615)</f>
        <v/>
      </c>
      <c r="H180" s="27" t="n"/>
    </row>
    <row r="181" ht="17.25" customHeight="1" s="322">
      <c r="A181" s="27" t="n"/>
      <c r="B181" s="506">
        <f>IFERROR(__xludf.DUMMYFUNCTION("""COMPUTED_VALUE"""),46091.6666666666)</f>
        <v/>
      </c>
      <c r="C181" s="141">
        <f>IFERROR(__xludf.DUMMYFUNCTION("""COMPUTED_VALUE"""),96.06)</f>
        <v/>
      </c>
      <c r="D181" s="141">
        <f>IFERROR(__xludf.DUMMYFUNCTION("""COMPUTED_VALUE"""),96.5)</f>
        <v/>
      </c>
      <c r="E181" s="141">
        <f>IFERROR(__xludf.DUMMYFUNCTION("""COMPUTED_VALUE"""),95.94)</f>
        <v/>
      </c>
      <c r="F181" s="141">
        <f>IFERROR(__xludf.DUMMYFUNCTION("""COMPUTED_VALUE"""),95.95)</f>
        <v/>
      </c>
      <c r="G181" s="143">
        <f>IFERROR(__xludf.DUMMYFUNCTION("""COMPUTED_VALUE"""),13627690)</f>
        <v/>
      </c>
      <c r="H181" s="27" t="n"/>
    </row>
    <row r="182" ht="17.25" customHeight="1" s="322">
      <c r="A182" s="27" t="n"/>
      <c r="B182" s="506">
        <f>IFERROR(__xludf.DUMMYFUNCTION("""COMPUTED_VALUE"""),46092.6666666666)</f>
        <v/>
      </c>
      <c r="C182" s="141">
        <f>IFERROR(__xludf.DUMMYFUNCTION("""COMPUTED_VALUE"""),96.11)</f>
        <v/>
      </c>
      <c r="D182" s="141">
        <f>IFERROR(__xludf.DUMMYFUNCTION("""COMPUTED_VALUE"""),96.11)</f>
        <v/>
      </c>
      <c r="E182" s="141">
        <f>IFERROR(__xludf.DUMMYFUNCTION("""COMPUTED_VALUE"""),95.6)</f>
        <v/>
      </c>
      <c r="F182" s="141">
        <f>IFERROR(__xludf.DUMMYFUNCTION("""COMPUTED_VALUE"""),95.64)</f>
        <v/>
      </c>
      <c r="G182" s="143">
        <f>IFERROR(__xludf.DUMMYFUNCTION("""COMPUTED_VALUE"""),14478794)</f>
        <v/>
      </c>
      <c r="H182" s="27" t="n"/>
    </row>
    <row r="183" ht="17.25" customHeight="1" s="322">
      <c r="A183" s="27" t="n"/>
      <c r="B183" s="506">
        <f>IFERROR(__xludf.DUMMYFUNCTION("""COMPUTED_VALUE"""),46093.6666666666)</f>
        <v/>
      </c>
      <c r="C183" s="141">
        <f>IFERROR(__xludf.DUMMYFUNCTION("""COMPUTED_VALUE"""),95.28)</f>
        <v/>
      </c>
      <c r="D183" s="141">
        <f>IFERROR(__xludf.DUMMYFUNCTION("""COMPUTED_VALUE"""),95.36)</f>
        <v/>
      </c>
      <c r="E183" s="141">
        <f>IFERROR(__xludf.DUMMYFUNCTION("""COMPUTED_VALUE"""),94.84)</f>
        <v/>
      </c>
      <c r="F183" s="141">
        <f>IFERROR(__xludf.DUMMYFUNCTION("""COMPUTED_VALUE"""),94.84)</f>
        <v/>
      </c>
      <c r="G183" s="143">
        <f>IFERROR(__xludf.DUMMYFUNCTION("""COMPUTED_VALUE"""),39159988)</f>
        <v/>
      </c>
      <c r="H183" s="27" t="n"/>
    </row>
    <row r="184" ht="17.25" customHeight="1" s="322">
      <c r="A184" s="27" t="n"/>
      <c r="B184" s="506">
        <f>IFERROR(__xludf.DUMMYFUNCTION("""COMPUTED_VALUE"""),46094.6666666666)</f>
        <v/>
      </c>
      <c r="C184" s="141">
        <f>IFERROR(__xludf.DUMMYFUNCTION("""COMPUTED_VALUE"""),95.06)</f>
        <v/>
      </c>
      <c r="D184" s="141">
        <f>IFERROR(__xludf.DUMMYFUNCTION("""COMPUTED_VALUE"""),95.27)</f>
        <v/>
      </c>
      <c r="E184" s="141">
        <f>IFERROR(__xludf.DUMMYFUNCTION("""COMPUTED_VALUE"""),94.35)</f>
        <v/>
      </c>
      <c r="F184" s="141">
        <f>IFERROR(__xludf.DUMMYFUNCTION("""COMPUTED_VALUE"""),94.38)</f>
        <v/>
      </c>
      <c r="G184" s="143">
        <f>IFERROR(__xludf.DUMMYFUNCTION("""COMPUTED_VALUE"""),20572136)</f>
        <v/>
      </c>
      <c r="H184" s="27" t="n"/>
    </row>
    <row r="185" ht="17.25" customHeight="1" s="322">
      <c r="A185" s="27" t="n"/>
      <c r="B185" s="506">
        <f>IFERROR(__xludf.DUMMYFUNCTION("""COMPUTED_VALUE"""),46097.6666666666)</f>
        <v/>
      </c>
      <c r="C185" s="141">
        <f>IFERROR(__xludf.DUMMYFUNCTION("""COMPUTED_VALUE"""),94.56)</f>
        <v/>
      </c>
      <c r="D185" s="141">
        <f>IFERROR(__xludf.DUMMYFUNCTION("""COMPUTED_VALUE"""),94.96)</f>
        <v/>
      </c>
      <c r="E185" s="141">
        <f>IFERROR(__xludf.DUMMYFUNCTION("""COMPUTED_VALUE"""),94.56)</f>
        <v/>
      </c>
      <c r="F185" s="141">
        <f>IFERROR(__xludf.DUMMYFUNCTION("""COMPUTED_VALUE"""),94.75)</f>
        <v/>
      </c>
      <c r="G185" s="143">
        <f>IFERROR(__xludf.DUMMYFUNCTION("""COMPUTED_VALUE"""),11271569)</f>
        <v/>
      </c>
      <c r="H185" s="27" t="n"/>
    </row>
    <row r="186" ht="17.25" customHeight="1" s="322">
      <c r="A186" s="27" t="n"/>
      <c r="B186" s="506">
        <f>IFERROR(__xludf.DUMMYFUNCTION("""COMPUTED_VALUE"""),46098.6666666666)</f>
        <v/>
      </c>
      <c r="C186" s="141">
        <f>IFERROR(__xludf.DUMMYFUNCTION("""COMPUTED_VALUE"""),95.03)</f>
        <v/>
      </c>
      <c r="D186" s="141">
        <f>IFERROR(__xludf.DUMMYFUNCTION("""COMPUTED_VALUE"""),95.24)</f>
        <v/>
      </c>
      <c r="E186" s="141">
        <f>IFERROR(__xludf.DUMMYFUNCTION("""COMPUTED_VALUE"""),95.01)</f>
        <v/>
      </c>
      <c r="F186" s="141">
        <f>IFERROR(__xludf.DUMMYFUNCTION("""COMPUTED_VALUE"""),95.1)</f>
        <v/>
      </c>
      <c r="G186" s="143">
        <f>IFERROR(__xludf.DUMMYFUNCTION("""COMPUTED_VALUE"""),10304438)</f>
        <v/>
      </c>
      <c r="H186" s="27" t="n"/>
    </row>
    <row r="187" ht="17.25" customHeight="1" s="322">
      <c r="A187" s="27" t="n"/>
      <c r="B187" s="506">
        <f>IFERROR(__xludf.DUMMYFUNCTION("""COMPUTED_VALUE"""),46099.6666666666)</f>
        <v/>
      </c>
      <c r="C187" s="141">
        <f>IFERROR(__xludf.DUMMYFUNCTION("""COMPUTED_VALUE"""),95.01)</f>
        <v/>
      </c>
      <c r="D187" s="141">
        <f>IFERROR(__xludf.DUMMYFUNCTION("""COMPUTED_VALUE"""),95.05)</f>
        <v/>
      </c>
      <c r="E187" s="141">
        <f>IFERROR(__xludf.DUMMYFUNCTION("""COMPUTED_VALUE"""),94.36)</f>
        <v/>
      </c>
      <c r="F187" s="141">
        <f>IFERROR(__xludf.DUMMYFUNCTION("""COMPUTED_VALUE"""),94.36)</f>
        <v/>
      </c>
      <c r="G187" s="143">
        <f>IFERROR(__xludf.DUMMYFUNCTION("""COMPUTED_VALUE"""),12867811)</f>
        <v/>
      </c>
      <c r="H187" s="27" t="n"/>
    </row>
    <row r="188" ht="17.25" customHeight="1" s="322">
      <c r="A188" s="27" t="n"/>
      <c r="B188" s="506">
        <f>IFERROR(__xludf.DUMMYFUNCTION("""COMPUTED_VALUE"""),46100.6666666666)</f>
        <v/>
      </c>
      <c r="C188" s="141">
        <f>IFERROR(__xludf.DUMMYFUNCTION("""COMPUTED_VALUE"""),93.93)</f>
        <v/>
      </c>
      <c r="D188" s="141">
        <f>IFERROR(__xludf.DUMMYFUNCTION("""COMPUTED_VALUE"""),94.69)</f>
        <v/>
      </c>
      <c r="E188" s="141">
        <f>IFERROR(__xludf.DUMMYFUNCTION("""COMPUTED_VALUE"""),93.86)</f>
        <v/>
      </c>
      <c r="F188" s="141">
        <f>IFERROR(__xludf.DUMMYFUNCTION("""COMPUTED_VALUE"""),94.63)</f>
        <v/>
      </c>
      <c r="G188" s="143">
        <f>IFERROR(__xludf.DUMMYFUNCTION("""COMPUTED_VALUE"""),15194733)</f>
        <v/>
      </c>
      <c r="H188" s="27" t="n"/>
    </row>
    <row r="189" ht="17.25" customHeight="1" s="322">
      <c r="A189" s="27" t="n"/>
      <c r="B189" s="506">
        <f>IFERROR(__xludf.DUMMYFUNCTION("""COMPUTED_VALUE"""),46101.6666666666)</f>
        <v/>
      </c>
      <c r="C189" s="141">
        <f>IFERROR(__xludf.DUMMYFUNCTION("""COMPUTED_VALUE"""),94.31)</f>
        <v/>
      </c>
      <c r="D189" s="141">
        <f>IFERROR(__xludf.DUMMYFUNCTION("""COMPUTED_VALUE"""),94.35)</f>
        <v/>
      </c>
      <c r="E189" s="141">
        <f>IFERROR(__xludf.DUMMYFUNCTION("""COMPUTED_VALUE"""),93.1)</f>
        <v/>
      </c>
      <c r="F189" s="141">
        <f>IFERROR(__xludf.DUMMYFUNCTION("""COMPUTED_VALUE"""),93.15)</f>
        <v/>
      </c>
      <c r="G189" s="143">
        <f>IFERROR(__xludf.DUMMYFUNCTION("""COMPUTED_VALUE"""),13837343)</f>
        <v/>
      </c>
      <c r="H189" s="27" t="n"/>
    </row>
    <row r="190" ht="17.25" customHeight="1" s="322">
      <c r="A190" s="27" t="n"/>
      <c r="B190" s="506">
        <f>IFERROR(__xludf.DUMMYFUNCTION("""COMPUTED_VALUE"""),46104.6666666666)</f>
        <v/>
      </c>
      <c r="C190" s="141">
        <f>IFERROR(__xludf.DUMMYFUNCTION("""COMPUTED_VALUE"""),93.52)</f>
        <v/>
      </c>
      <c r="D190" s="141">
        <f>IFERROR(__xludf.DUMMYFUNCTION("""COMPUTED_VALUE"""),94.35)</f>
        <v/>
      </c>
      <c r="E190" s="141">
        <f>IFERROR(__xludf.DUMMYFUNCTION("""COMPUTED_VALUE"""),93.45)</f>
        <v/>
      </c>
      <c r="F190" s="141">
        <f>IFERROR(__xludf.DUMMYFUNCTION("""COMPUTED_VALUE"""),94.06)</f>
        <v/>
      </c>
      <c r="G190" s="143">
        <f>IFERROR(__xludf.DUMMYFUNCTION("""COMPUTED_VALUE"""),24642041)</f>
        <v/>
      </c>
      <c r="H190" s="27" t="n"/>
    </row>
    <row r="191" ht="17.25" customHeight="1" s="322">
      <c r="A191" s="27" t="n"/>
      <c r="B191" s="506">
        <f>IFERROR(__xludf.DUMMYFUNCTION("""COMPUTED_VALUE"""),46105.6666666666)</f>
        <v/>
      </c>
      <c r="C191" s="141">
        <f>IFERROR(__xludf.DUMMYFUNCTION("""COMPUTED_VALUE"""),93.68)</f>
        <v/>
      </c>
      <c r="D191" s="141">
        <f>IFERROR(__xludf.DUMMYFUNCTION("""COMPUTED_VALUE"""),93.93)</f>
        <v/>
      </c>
      <c r="E191" s="141">
        <f>IFERROR(__xludf.DUMMYFUNCTION("""COMPUTED_VALUE"""),93.4)</f>
        <v/>
      </c>
      <c r="F191" s="141">
        <f>IFERROR(__xludf.DUMMYFUNCTION("""COMPUTED_VALUE"""),93.58)</f>
        <v/>
      </c>
      <c r="G191" s="143">
        <f>IFERROR(__xludf.DUMMYFUNCTION("""COMPUTED_VALUE"""),12780054)</f>
        <v/>
      </c>
      <c r="H191" s="27" t="n"/>
    </row>
    <row r="192" ht="17.25" customHeight="1" s="322">
      <c r="A192" s="27" t="n"/>
      <c r="B192" s="506">
        <f>IFERROR(__xludf.DUMMYFUNCTION("""COMPUTED_VALUE"""),46106.6666666666)</f>
        <v/>
      </c>
      <c r="C192" s="141">
        <f>IFERROR(__xludf.DUMMYFUNCTION("""COMPUTED_VALUE"""),94.3)</f>
        <v/>
      </c>
      <c r="D192" s="141">
        <f>IFERROR(__xludf.DUMMYFUNCTION("""COMPUTED_VALUE"""),94.55)</f>
        <v/>
      </c>
      <c r="E192" s="141">
        <f>IFERROR(__xludf.DUMMYFUNCTION("""COMPUTED_VALUE"""),94.15)</f>
        <v/>
      </c>
      <c r="F192" s="141">
        <f>IFERROR(__xludf.DUMMYFUNCTION("""COMPUTED_VALUE"""),94.43)</f>
        <v/>
      </c>
      <c r="G192" s="143">
        <f>IFERROR(__xludf.DUMMYFUNCTION("""COMPUTED_VALUE"""),14139304)</f>
        <v/>
      </c>
      <c r="H192" s="27" t="n"/>
    </row>
    <row r="193" ht="17.25" customHeight="1" s="322">
      <c r="A193" s="27" t="n"/>
      <c r="B193" s="506">
        <f>IFERROR(__xludf.DUMMYFUNCTION("""COMPUTED_VALUE"""),46107.6666666666)</f>
        <v/>
      </c>
      <c r="C193" s="141">
        <f>IFERROR(__xludf.DUMMYFUNCTION("""COMPUTED_VALUE"""),94.29)</f>
        <v/>
      </c>
      <c r="D193" s="141">
        <f>IFERROR(__xludf.DUMMYFUNCTION("""COMPUTED_VALUE"""),94.32)</f>
        <v/>
      </c>
      <c r="E193" s="141">
        <f>IFERROR(__xludf.DUMMYFUNCTION("""COMPUTED_VALUE"""),93.43)</f>
        <v/>
      </c>
      <c r="F193" s="141">
        <f>IFERROR(__xludf.DUMMYFUNCTION("""COMPUTED_VALUE"""),93.46)</f>
        <v/>
      </c>
      <c r="G193" s="143">
        <f>IFERROR(__xludf.DUMMYFUNCTION("""COMPUTED_VALUE"""),16244202)</f>
        <v/>
      </c>
      <c r="H193" s="27" t="n"/>
    </row>
    <row r="194" ht="17.25" customHeight="1" s="322">
      <c r="A194" s="27" t="n"/>
      <c r="B194" s="506">
        <f>IFERROR(__xludf.DUMMYFUNCTION("""COMPUTED_VALUE"""),46108.6666666666)</f>
        <v/>
      </c>
      <c r="C194" s="141">
        <f>IFERROR(__xludf.DUMMYFUNCTION("""COMPUTED_VALUE"""),93.18)</f>
        <v/>
      </c>
      <c r="D194" s="141">
        <f>IFERROR(__xludf.DUMMYFUNCTION("""COMPUTED_VALUE"""),93.33)</f>
        <v/>
      </c>
      <c r="E194" s="141">
        <f>IFERROR(__xludf.DUMMYFUNCTION("""COMPUTED_VALUE"""),92.87)</f>
        <v/>
      </c>
      <c r="F194" s="141">
        <f>IFERROR(__xludf.DUMMYFUNCTION("""COMPUTED_VALUE"""),92.95)</f>
        <v/>
      </c>
      <c r="G194" s="143">
        <f>IFERROR(__xludf.DUMMYFUNCTION("""COMPUTED_VALUE"""),15107135)</f>
        <v/>
      </c>
      <c r="H194" s="27" t="n"/>
    </row>
    <row r="195" ht="17.25" customHeight="1" s="322">
      <c r="A195" s="27" t="n"/>
      <c r="B195" s="506">
        <f>IFERROR(__xludf.DUMMYFUNCTION("""COMPUTED_VALUE"""),46111.6666666666)</f>
        <v/>
      </c>
      <c r="C195" s="141">
        <f>IFERROR(__xludf.DUMMYFUNCTION("""COMPUTED_VALUE"""),93.27)</f>
        <v/>
      </c>
      <c r="D195" s="141">
        <f>IFERROR(__xludf.DUMMYFUNCTION("""COMPUTED_VALUE"""),93.43)</f>
        <v/>
      </c>
      <c r="E195" s="141">
        <f>IFERROR(__xludf.DUMMYFUNCTION("""COMPUTED_VALUE"""),92.88)</f>
        <v/>
      </c>
      <c r="F195" s="141">
        <f>IFERROR(__xludf.DUMMYFUNCTION("""COMPUTED_VALUE"""),93.11)</f>
        <v/>
      </c>
      <c r="G195" s="143">
        <f>IFERROR(__xludf.DUMMYFUNCTION("""COMPUTED_VALUE"""),12637941)</f>
        <v/>
      </c>
      <c r="H195" s="27" t="n"/>
    </row>
    <row r="196" ht="17.25" customHeight="1" s="322">
      <c r="A196" s="27" t="n"/>
      <c r="B196" s="506">
        <f>IFERROR(__xludf.DUMMYFUNCTION("""COMPUTED_VALUE"""),46112.6666666666)</f>
        <v/>
      </c>
      <c r="C196" s="141">
        <f>IFERROR(__xludf.DUMMYFUNCTION("""COMPUTED_VALUE"""),93.6)</f>
        <v/>
      </c>
      <c r="D196" s="141">
        <f>IFERROR(__xludf.DUMMYFUNCTION("""COMPUTED_VALUE"""),94.22)</f>
        <v/>
      </c>
      <c r="E196" s="141">
        <f>IFERROR(__xludf.DUMMYFUNCTION("""COMPUTED_VALUE"""),93.3)</f>
        <v/>
      </c>
      <c r="F196" s="141">
        <f>IFERROR(__xludf.DUMMYFUNCTION("""COMPUTED_VALUE"""),93.93)</f>
        <v/>
      </c>
      <c r="G196" s="143">
        <f>IFERROR(__xludf.DUMMYFUNCTION("""COMPUTED_VALUE"""),17521130)</f>
        <v/>
      </c>
      <c r="H196" s="27" t="n"/>
    </row>
    <row r="197" ht="17.25" customHeight="1" s="322">
      <c r="A197" s="27" t="n"/>
      <c r="B197" s="506">
        <f>IFERROR(__xludf.DUMMYFUNCTION("""COMPUTED_VALUE"""),46113.6666666666)</f>
        <v/>
      </c>
      <c r="C197" s="141">
        <f>IFERROR(__xludf.DUMMYFUNCTION("""COMPUTED_VALUE"""),93.83)</f>
        <v/>
      </c>
      <c r="D197" s="141">
        <f>IFERROR(__xludf.DUMMYFUNCTION("""COMPUTED_VALUE"""),94.12)</f>
        <v/>
      </c>
      <c r="E197" s="141">
        <f>IFERROR(__xludf.DUMMYFUNCTION("""COMPUTED_VALUE"""),93.73)</f>
        <v/>
      </c>
      <c r="F197" s="141">
        <f>IFERROR(__xludf.DUMMYFUNCTION("""COMPUTED_VALUE"""),93.86)</f>
        <v/>
      </c>
      <c r="G197" s="143">
        <f>IFERROR(__xludf.DUMMYFUNCTION("""COMPUTED_VALUE"""),13253777)</f>
        <v/>
      </c>
      <c r="H197" s="27" t="n"/>
    </row>
    <row r="198" ht="17.25" customHeight="1" s="322">
      <c r="A198" s="27" t="n"/>
      <c r="B198" s="506">
        <f>IFERROR(__xludf.DUMMYFUNCTION("""COMPUTED_VALUE"""),46114.6666666666)</f>
        <v/>
      </c>
      <c r="C198" s="141">
        <f>IFERROR(__xludf.DUMMYFUNCTION("""COMPUTED_VALUE"""),93.55)</f>
        <v/>
      </c>
      <c r="D198" s="141">
        <f>IFERROR(__xludf.DUMMYFUNCTION("""COMPUTED_VALUE"""),94.12)</f>
        <v/>
      </c>
      <c r="E198" s="141">
        <f>IFERROR(__xludf.DUMMYFUNCTION("""COMPUTED_VALUE"""),93.43)</f>
        <v/>
      </c>
      <c r="F198" s="141">
        <f>IFERROR(__xludf.DUMMYFUNCTION("""COMPUTED_VALUE"""),93.97)</f>
        <v/>
      </c>
      <c r="G198" s="143">
        <f>IFERROR(__xludf.DUMMYFUNCTION("""COMPUTED_VALUE"""),9752606)</f>
        <v/>
      </c>
      <c r="H198" s="27" t="n"/>
    </row>
    <row r="199" ht="17.25" customHeight="1" s="322">
      <c r="A199" s="27" t="n"/>
      <c r="B199" s="506">
        <f>IFERROR(__xludf.DUMMYFUNCTION("""COMPUTED_VALUE"""),46118.6666666666)</f>
        <v/>
      </c>
      <c r="C199" s="141">
        <f>IFERROR(__xludf.DUMMYFUNCTION("""COMPUTED_VALUE"""),93.82)</f>
        <v/>
      </c>
      <c r="D199" s="141">
        <f>IFERROR(__xludf.DUMMYFUNCTION("""COMPUTED_VALUE"""),94.06)</f>
        <v/>
      </c>
      <c r="E199" s="141">
        <f>IFERROR(__xludf.DUMMYFUNCTION("""COMPUTED_VALUE"""),93.76)</f>
        <v/>
      </c>
      <c r="F199" s="141">
        <f>IFERROR(__xludf.DUMMYFUNCTION("""COMPUTED_VALUE"""),93.94)</f>
        <v/>
      </c>
      <c r="G199" s="143">
        <f>IFERROR(__xludf.DUMMYFUNCTION("""COMPUTED_VALUE"""),4038822)</f>
        <v/>
      </c>
      <c r="H199" s="27" t="n"/>
    </row>
    <row r="200" ht="17.25" customHeight="1" s="322">
      <c r="A200" s="27" t="n"/>
      <c r="B200" s="506">
        <f>IFERROR(__xludf.DUMMYFUNCTION("""COMPUTED_VALUE"""),46119.6666666666)</f>
        <v/>
      </c>
      <c r="C200" s="141">
        <f>IFERROR(__xludf.DUMMYFUNCTION("""COMPUTED_VALUE"""),93.94)</f>
        <v/>
      </c>
      <c r="D200" s="141">
        <f>IFERROR(__xludf.DUMMYFUNCTION("""COMPUTED_VALUE"""),94.05)</f>
        <v/>
      </c>
      <c r="E200" s="141">
        <f>IFERROR(__xludf.DUMMYFUNCTION("""COMPUTED_VALUE"""),93.41)</f>
        <v/>
      </c>
      <c r="F200" s="141">
        <f>IFERROR(__xludf.DUMMYFUNCTION("""COMPUTED_VALUE"""),93.99)</f>
        <v/>
      </c>
      <c r="G200" s="143">
        <f>IFERROR(__xludf.DUMMYFUNCTION("""COMPUTED_VALUE"""),6875871)</f>
        <v/>
      </c>
      <c r="H200" s="27" t="n"/>
    </row>
    <row r="201" ht="17.25" customHeight="1" s="322">
      <c r="A201" s="27" t="n"/>
      <c r="B201" s="506">
        <f>IFERROR(__xludf.DUMMYFUNCTION("""COMPUTED_VALUE"""),46120.6666666666)</f>
        <v/>
      </c>
      <c r="C201" s="141">
        <f>IFERROR(__xludf.DUMMYFUNCTION("""COMPUTED_VALUE"""),95.46)</f>
        <v/>
      </c>
      <c r="D201" s="141">
        <f>IFERROR(__xludf.DUMMYFUNCTION("""COMPUTED_VALUE"""),95.61)</f>
        <v/>
      </c>
      <c r="E201" s="141">
        <f>IFERROR(__xludf.DUMMYFUNCTION("""COMPUTED_VALUE"""),94.94)</f>
        <v/>
      </c>
      <c r="F201" s="141">
        <f>IFERROR(__xludf.DUMMYFUNCTION("""COMPUTED_VALUE"""),95.11)</f>
        <v/>
      </c>
      <c r="G201" s="143">
        <f>IFERROR(__xludf.DUMMYFUNCTION("""COMPUTED_VALUE"""),10216236)</f>
        <v/>
      </c>
      <c r="H201" s="27" t="n"/>
    </row>
    <row r="202" ht="17.25" customHeight="1" s="322">
      <c r="A202" s="27" t="n"/>
      <c r="B202" s="506">
        <f>IFERROR(__xludf.DUMMYFUNCTION("""COMPUTED_VALUE"""),46121.6666666666)</f>
        <v/>
      </c>
      <c r="C202" s="141">
        <f>IFERROR(__xludf.DUMMYFUNCTION("""COMPUTED_VALUE"""),95.08)</f>
        <v/>
      </c>
      <c r="D202" s="141">
        <f>IFERROR(__xludf.DUMMYFUNCTION("""COMPUTED_VALUE"""),95.74)</f>
        <v/>
      </c>
      <c r="E202" s="141">
        <f>IFERROR(__xludf.DUMMYFUNCTION("""COMPUTED_VALUE"""),94.91)</f>
        <v/>
      </c>
      <c r="F202" s="141">
        <f>IFERROR(__xludf.DUMMYFUNCTION("""COMPUTED_VALUE"""),95.51)</f>
        <v/>
      </c>
      <c r="G202" s="143">
        <f>IFERROR(__xludf.DUMMYFUNCTION("""COMPUTED_VALUE"""),8487576)</f>
        <v/>
      </c>
      <c r="H202" s="27" t="n"/>
    </row>
    <row r="203" ht="17.25" customHeight="1" s="322">
      <c r="A203" s="27" t="n"/>
      <c r="B203" s="506">
        <f>IFERROR(__xludf.DUMMYFUNCTION("""COMPUTED_VALUE"""),46122.6666666666)</f>
        <v/>
      </c>
      <c r="C203" s="141">
        <f>IFERROR(__xludf.DUMMYFUNCTION("""COMPUTED_VALUE"""),95.73)</f>
        <v/>
      </c>
      <c r="D203" s="141">
        <f>IFERROR(__xludf.DUMMYFUNCTION("""COMPUTED_VALUE"""),95.75)</f>
        <v/>
      </c>
      <c r="E203" s="141">
        <f>IFERROR(__xludf.DUMMYFUNCTION("""COMPUTED_VALUE"""),95.34)</f>
        <v/>
      </c>
      <c r="F203" s="141">
        <f>IFERROR(__xludf.DUMMYFUNCTION("""COMPUTED_VALUE"""),95.5)</f>
        <v/>
      </c>
      <c r="G203" s="143">
        <f>IFERROR(__xludf.DUMMYFUNCTION("""COMPUTED_VALUE"""),7361326)</f>
        <v/>
      </c>
      <c r="H203" s="27" t="n"/>
    </row>
    <row r="204" ht="17.25" customHeight="1" s="322">
      <c r="A204" s="27" t="n"/>
      <c r="B204" s="506">
        <f>IFERROR(__xludf.DUMMYFUNCTION("""COMPUTED_VALUE"""),46125.6666666666)</f>
        <v/>
      </c>
      <c r="C204" s="141">
        <f>IFERROR(__xludf.DUMMYFUNCTION("""COMPUTED_VALUE"""),95.51)</f>
        <v/>
      </c>
      <c r="D204" s="141">
        <f>IFERROR(__xludf.DUMMYFUNCTION("""COMPUTED_VALUE"""),96.03)</f>
        <v/>
      </c>
      <c r="E204" s="141">
        <f>IFERROR(__xludf.DUMMYFUNCTION("""COMPUTED_VALUE"""),95.37)</f>
        <v/>
      </c>
      <c r="F204" s="141">
        <f>IFERROR(__xludf.DUMMYFUNCTION("""COMPUTED_VALUE"""),96.03)</f>
        <v/>
      </c>
      <c r="G204" s="143">
        <f>IFERROR(__xludf.DUMMYFUNCTION("""COMPUTED_VALUE"""),7197458)</f>
        <v/>
      </c>
      <c r="H204" s="27" t="n"/>
    </row>
    <row r="205" ht="17.25" customHeight="1" s="322">
      <c r="A205" s="27" t="n"/>
      <c r="B205" s="506">
        <f>IFERROR(__xludf.DUMMYFUNCTION("""COMPUTED_VALUE"""),46126.6666666666)</f>
        <v/>
      </c>
      <c r="C205" s="141">
        <f>IFERROR(__xludf.DUMMYFUNCTION("""COMPUTED_VALUE"""),96.22)</f>
        <v/>
      </c>
      <c r="D205" s="141">
        <f>IFERROR(__xludf.DUMMYFUNCTION("""COMPUTED_VALUE"""),96.56)</f>
        <v/>
      </c>
      <c r="E205" s="141">
        <f>IFERROR(__xludf.DUMMYFUNCTION("""COMPUTED_VALUE"""),96.11)</f>
        <v/>
      </c>
      <c r="F205" s="141">
        <f>IFERROR(__xludf.DUMMYFUNCTION("""COMPUTED_VALUE"""),96.46)</f>
        <v/>
      </c>
      <c r="G205" s="143">
        <f>IFERROR(__xludf.DUMMYFUNCTION("""COMPUTED_VALUE"""),5340593)</f>
        <v/>
      </c>
      <c r="H205" s="27" t="n"/>
    </row>
    <row r="206" ht="17.25" customHeight="1" s="322">
      <c r="A206" s="27" t="n"/>
      <c r="B206" s="506">
        <f>IFERROR(__xludf.DUMMYFUNCTION("""COMPUTED_VALUE"""),46127.6666666666)</f>
        <v/>
      </c>
      <c r="C206" s="141">
        <f>IFERROR(__xludf.DUMMYFUNCTION("""COMPUTED_VALUE"""),96.21)</f>
        <v/>
      </c>
      <c r="D206" s="141">
        <f>IFERROR(__xludf.DUMMYFUNCTION("""COMPUTED_VALUE"""),96.42)</f>
        <v/>
      </c>
      <c r="E206" s="141">
        <f>IFERROR(__xludf.DUMMYFUNCTION("""COMPUTED_VALUE"""),96.14)</f>
        <v/>
      </c>
      <c r="F206" s="141">
        <f>IFERROR(__xludf.DUMMYFUNCTION("""COMPUTED_VALUE"""),96.25)</f>
        <v/>
      </c>
      <c r="G206" s="143">
        <f>IFERROR(__xludf.DUMMYFUNCTION("""COMPUTED_VALUE"""),5839991)</f>
        <v/>
      </c>
      <c r="H206" s="27" t="n"/>
    </row>
    <row r="207" ht="17.25" customHeight="1" s="322">
      <c r="A207" s="27" t="n"/>
      <c r="B207" s="506">
        <f>IFERROR(__xludf.DUMMYFUNCTION("""COMPUTED_VALUE"""),46128.6666666666)</f>
        <v/>
      </c>
      <c r="C207" s="141">
        <f>IFERROR(__xludf.DUMMYFUNCTION("""COMPUTED_VALUE"""),96.27)</f>
        <v/>
      </c>
      <c r="D207" s="141">
        <f>IFERROR(__xludf.DUMMYFUNCTION("""COMPUTED_VALUE"""),96.27)</f>
        <v/>
      </c>
      <c r="E207" s="141">
        <f>IFERROR(__xludf.DUMMYFUNCTION("""COMPUTED_VALUE"""),95.8)</f>
        <v/>
      </c>
      <c r="F207" s="141">
        <f>IFERROR(__xludf.DUMMYFUNCTION("""COMPUTED_VALUE"""),95.95)</f>
        <v/>
      </c>
      <c r="G207" s="143">
        <f>IFERROR(__xludf.DUMMYFUNCTION("""COMPUTED_VALUE"""),5145730)</f>
        <v/>
      </c>
      <c r="H207" s="27" t="n"/>
    </row>
    <row r="208" ht="17.25" customHeight="1" s="322">
      <c r="A208" s="27" t="n"/>
      <c r="B208" s="506">
        <f>IFERROR(__xludf.DUMMYFUNCTION("""COMPUTED_VALUE"""),46129.6666666666)</f>
        <v/>
      </c>
      <c r="C208" s="141">
        <f>IFERROR(__xludf.DUMMYFUNCTION("""COMPUTED_VALUE"""),96.7)</f>
        <v/>
      </c>
      <c r="D208" s="141">
        <f>IFERROR(__xludf.DUMMYFUNCTION("""COMPUTED_VALUE"""),96.93)</f>
        <v/>
      </c>
      <c r="E208" s="141">
        <f>IFERROR(__xludf.DUMMYFUNCTION("""COMPUTED_VALUE"""),96.48)</f>
        <v/>
      </c>
      <c r="F208" s="141">
        <f>IFERROR(__xludf.DUMMYFUNCTION("""COMPUTED_VALUE"""),96.67)</f>
        <v/>
      </c>
      <c r="G208" s="143">
        <f>IFERROR(__xludf.DUMMYFUNCTION("""COMPUTED_VALUE"""),6010288)</f>
        <v/>
      </c>
      <c r="H208" s="27" t="n"/>
    </row>
    <row r="209" ht="17.25" customHeight="1" s="322">
      <c r="A209" s="27" t="n"/>
      <c r="B209" s="506">
        <f>IFERROR(__xludf.DUMMYFUNCTION("""COMPUTED_VALUE"""),46132.6666666666)</f>
        <v/>
      </c>
      <c r="C209" s="141">
        <f>IFERROR(__xludf.DUMMYFUNCTION("""COMPUTED_VALUE"""),96.62)</f>
        <v/>
      </c>
      <c r="D209" s="141">
        <f>IFERROR(__xludf.DUMMYFUNCTION("""COMPUTED_VALUE"""),96.72)</f>
        <v/>
      </c>
      <c r="E209" s="141">
        <f>IFERROR(__xludf.DUMMYFUNCTION("""COMPUTED_VALUE"""),96.47)</f>
        <v/>
      </c>
      <c r="F209" s="141">
        <f>IFERROR(__xludf.DUMMYFUNCTION("""COMPUTED_VALUE"""),96.59)</f>
        <v/>
      </c>
      <c r="G209" s="143">
        <f>IFERROR(__xludf.DUMMYFUNCTION("""COMPUTED_VALUE"""),4514149)</f>
        <v/>
      </c>
      <c r="H209" s="27" t="n"/>
    </row>
    <row r="210" ht="17.25" customHeight="1" s="322">
      <c r="A210" s="27" t="n"/>
      <c r="B210" s="506">
        <f>IFERROR(__xludf.DUMMYFUNCTION("""COMPUTED_VALUE"""),46133.6666666666)</f>
        <v/>
      </c>
      <c r="C210" s="141">
        <f>IFERROR(__xludf.DUMMYFUNCTION("""COMPUTED_VALUE"""),96.49)</f>
        <v/>
      </c>
      <c r="D210" s="141">
        <f>IFERROR(__xludf.DUMMYFUNCTION("""COMPUTED_VALUE"""),96.56)</f>
        <v/>
      </c>
      <c r="E210" s="141">
        <f>IFERROR(__xludf.DUMMYFUNCTION("""COMPUTED_VALUE"""),96.12)</f>
        <v/>
      </c>
      <c r="F210" s="141">
        <f>IFERROR(__xludf.DUMMYFUNCTION("""COMPUTED_VALUE"""),96.13)</f>
        <v/>
      </c>
      <c r="G210" s="143">
        <f>IFERROR(__xludf.DUMMYFUNCTION("""COMPUTED_VALUE"""),4455929)</f>
        <v/>
      </c>
      <c r="H210" s="27" t="n"/>
    </row>
    <row r="211" ht="17.25" customHeight="1" s="322">
      <c r="A211" s="27" t="n"/>
      <c r="B211" s="506">
        <f>IFERROR(__xludf.DUMMYFUNCTION("""COMPUTED_VALUE"""),46134.6666666666)</f>
        <v/>
      </c>
      <c r="C211" s="141">
        <f>IFERROR(__xludf.DUMMYFUNCTION("""COMPUTED_VALUE"""),96.5)</f>
        <v/>
      </c>
      <c r="D211" s="141">
        <f>IFERROR(__xludf.DUMMYFUNCTION("""COMPUTED_VALUE"""),96.54)</f>
        <v/>
      </c>
      <c r="E211" s="141">
        <f>IFERROR(__xludf.DUMMYFUNCTION("""COMPUTED_VALUE"""),96.2)</f>
        <v/>
      </c>
      <c r="F211" s="141">
        <f>IFERROR(__xludf.DUMMYFUNCTION("""COMPUTED_VALUE"""),96.38)</f>
        <v/>
      </c>
      <c r="G211" s="143">
        <f>IFERROR(__xludf.DUMMYFUNCTION("""COMPUTED_VALUE"""),5613545)</f>
        <v/>
      </c>
      <c r="H211" s="27" t="n"/>
    </row>
    <row r="212" ht="17.25" customHeight="1" s="322">
      <c r="A212" s="27" t="n"/>
      <c r="B212" s="506">
        <f>IFERROR(__xludf.DUMMYFUNCTION("""COMPUTED_VALUE"""),46135.6666666666)</f>
        <v/>
      </c>
      <c r="C212" s="141">
        <f>IFERROR(__xludf.DUMMYFUNCTION("""COMPUTED_VALUE"""),96.32)</f>
        <v/>
      </c>
      <c r="D212" s="141">
        <f>IFERROR(__xludf.DUMMYFUNCTION("""COMPUTED_VALUE"""),96.45)</f>
        <v/>
      </c>
      <c r="E212" s="141">
        <f>IFERROR(__xludf.DUMMYFUNCTION("""COMPUTED_VALUE"""),95.73)</f>
        <v/>
      </c>
      <c r="F212" s="141">
        <f>IFERROR(__xludf.DUMMYFUNCTION("""COMPUTED_VALUE"""),95.93)</f>
        <v/>
      </c>
      <c r="G212" s="143">
        <f>IFERROR(__xludf.DUMMYFUNCTION("""COMPUTED_VALUE"""),9456451)</f>
        <v/>
      </c>
      <c r="H212" s="27" t="n"/>
    </row>
    <row r="213" ht="17.25" customHeight="1" s="322">
      <c r="A213" s="27" t="n"/>
      <c r="B213" s="506">
        <f>IFERROR(__xludf.DUMMYFUNCTION("""COMPUTED_VALUE"""),46136.6666666666)</f>
        <v/>
      </c>
      <c r="C213" s="141">
        <f>IFERROR(__xludf.DUMMYFUNCTION("""COMPUTED_VALUE"""),96.16)</f>
        <v/>
      </c>
      <c r="D213" s="141">
        <f>IFERROR(__xludf.DUMMYFUNCTION("""COMPUTED_VALUE"""),96.23)</f>
        <v/>
      </c>
      <c r="E213" s="141">
        <f>IFERROR(__xludf.DUMMYFUNCTION("""COMPUTED_VALUE"""),95.87)</f>
        <v/>
      </c>
      <c r="F213" s="141">
        <f>IFERROR(__xludf.DUMMYFUNCTION("""COMPUTED_VALUE"""),96.2)</f>
        <v/>
      </c>
      <c r="G213" s="143">
        <f>IFERROR(__xludf.DUMMYFUNCTION("""COMPUTED_VALUE"""),7559072)</f>
        <v/>
      </c>
      <c r="H213" s="27" t="n"/>
    </row>
    <row r="214" ht="17.25" customHeight="1" s="322">
      <c r="A214" s="27" t="n"/>
      <c r="B214" s="506">
        <f>IFERROR(__xludf.DUMMYFUNCTION("""COMPUTED_VALUE"""),46139.6666666666)</f>
        <v/>
      </c>
      <c r="C214" s="141">
        <f>IFERROR(__xludf.DUMMYFUNCTION("""COMPUTED_VALUE"""),96.14)</f>
        <v/>
      </c>
      <c r="D214" s="141">
        <f>IFERROR(__xludf.DUMMYFUNCTION("""COMPUTED_VALUE"""),96.2)</f>
        <v/>
      </c>
      <c r="E214" s="141">
        <f>IFERROR(__xludf.DUMMYFUNCTION("""COMPUTED_VALUE"""),95.94)</f>
        <v/>
      </c>
      <c r="F214" s="141">
        <f>IFERROR(__xludf.DUMMYFUNCTION("""COMPUTED_VALUE"""),96.03)</f>
        <v/>
      </c>
      <c r="G214" s="143">
        <f>IFERROR(__xludf.DUMMYFUNCTION("""COMPUTED_VALUE"""),4898161)</f>
        <v/>
      </c>
      <c r="H214" s="27" t="n"/>
    </row>
    <row r="215" ht="17.25" customHeight="1" s="322">
      <c r="A215" s="27" t="n"/>
      <c r="B215" s="506">
        <f>IFERROR(__xludf.DUMMYFUNCTION("""COMPUTED_VALUE"""),46140.6666666666)</f>
        <v/>
      </c>
      <c r="C215" s="141">
        <f>IFERROR(__xludf.DUMMYFUNCTION("""COMPUTED_VALUE"""),95.73)</f>
        <v/>
      </c>
      <c r="D215" s="141">
        <f>IFERROR(__xludf.DUMMYFUNCTION("""COMPUTED_VALUE"""),95.95)</f>
        <v/>
      </c>
      <c r="E215" s="141">
        <f>IFERROR(__xludf.DUMMYFUNCTION("""COMPUTED_VALUE"""),95.65)</f>
        <v/>
      </c>
      <c r="F215" s="141">
        <f>IFERROR(__xludf.DUMMYFUNCTION("""COMPUTED_VALUE"""),95.95)</f>
        <v/>
      </c>
      <c r="G215" s="143">
        <f>IFERROR(__xludf.DUMMYFUNCTION("""COMPUTED_VALUE"""),6547425)</f>
        <v/>
      </c>
      <c r="H215" s="27" t="n"/>
    </row>
    <row r="216" ht="17.25" customHeight="1" s="322">
      <c r="A216" s="27" t="n"/>
      <c r="B216" s="506">
        <f>IFERROR(__xludf.DUMMYFUNCTION("""COMPUTED_VALUE"""),46141.6666666666)</f>
        <v/>
      </c>
      <c r="C216" s="141">
        <f>IFERROR(__xludf.DUMMYFUNCTION("""COMPUTED_VALUE"""),95.71)</f>
        <v/>
      </c>
      <c r="D216" s="141">
        <f>IFERROR(__xludf.DUMMYFUNCTION("""COMPUTED_VALUE"""),95.83)</f>
        <v/>
      </c>
      <c r="E216" s="141">
        <f>IFERROR(__xludf.DUMMYFUNCTION("""COMPUTED_VALUE"""),95.33)</f>
        <v/>
      </c>
      <c r="F216" s="141">
        <f>IFERROR(__xludf.DUMMYFUNCTION("""COMPUTED_VALUE"""),95.5)</f>
        <v/>
      </c>
      <c r="G216" s="143">
        <f>IFERROR(__xludf.DUMMYFUNCTION("""COMPUTED_VALUE"""),6457244)</f>
        <v/>
      </c>
      <c r="H216" s="27" t="n"/>
    </row>
    <row r="217" ht="17.25" customHeight="1" s="322">
      <c r="A217" s="27" t="n"/>
      <c r="B217" s="506">
        <f>IFERROR(__xludf.DUMMYFUNCTION("""COMPUTED_VALUE"""),46142.6666666666)</f>
        <v/>
      </c>
      <c r="C217" s="141">
        <f>IFERROR(__xludf.DUMMYFUNCTION("""COMPUTED_VALUE"""),95.71)</f>
        <v/>
      </c>
      <c r="D217" s="141">
        <f>IFERROR(__xludf.DUMMYFUNCTION("""COMPUTED_VALUE"""),95.93)</f>
        <v/>
      </c>
      <c r="E217" s="141">
        <f>IFERROR(__xludf.DUMMYFUNCTION("""COMPUTED_VALUE"""),95.62)</f>
        <v/>
      </c>
      <c r="F217" s="141">
        <f>IFERROR(__xludf.DUMMYFUNCTION("""COMPUTED_VALUE"""),95.8)</f>
        <v/>
      </c>
      <c r="G217" s="143">
        <f>IFERROR(__xludf.DUMMYFUNCTION("""COMPUTED_VALUE"""),9821564)</f>
        <v/>
      </c>
      <c r="H217" s="27" t="n"/>
    </row>
    <row r="218" ht="17.25" customHeight="1" s="322">
      <c r="A218" s="27" t="n"/>
      <c r="B218" s="506">
        <f>IFERROR(__xludf.DUMMYFUNCTION("""COMPUTED_VALUE"""),46143.6666666666)</f>
        <v/>
      </c>
      <c r="C218" s="141">
        <f>IFERROR(__xludf.DUMMYFUNCTION("""COMPUTED_VALUE"""),95.63)</f>
        <v/>
      </c>
      <c r="D218" s="141">
        <f>IFERROR(__xludf.DUMMYFUNCTION("""COMPUTED_VALUE"""),95.92)</f>
        <v/>
      </c>
      <c r="E218" s="141">
        <f>IFERROR(__xludf.DUMMYFUNCTION("""COMPUTED_VALUE"""),95.55)</f>
        <v/>
      </c>
      <c r="F218" s="141">
        <f>IFERROR(__xludf.DUMMYFUNCTION("""COMPUTED_VALUE"""),95.57)</f>
        <v/>
      </c>
      <c r="G218" s="143">
        <f>IFERROR(__xludf.DUMMYFUNCTION("""COMPUTED_VALUE"""),8328575)</f>
        <v/>
      </c>
      <c r="H218" s="27" t="n"/>
    </row>
    <row r="219" ht="17.25" customHeight="1" s="322">
      <c r="A219" s="27" t="n"/>
      <c r="B219" s="506">
        <f>IFERROR(__xludf.DUMMYFUNCTION("""COMPUTED_VALUE"""),46146.6666666666)</f>
        <v/>
      </c>
      <c r="C219" s="141">
        <f>IFERROR(__xludf.DUMMYFUNCTION("""COMPUTED_VALUE"""),95.57)</f>
        <v/>
      </c>
      <c r="D219" s="141">
        <f>IFERROR(__xludf.DUMMYFUNCTION("""COMPUTED_VALUE"""),95.57)</f>
        <v/>
      </c>
      <c r="E219" s="141">
        <f>IFERROR(__xludf.DUMMYFUNCTION("""COMPUTED_VALUE"""),94.82)</f>
        <v/>
      </c>
      <c r="F219" s="141">
        <f>IFERROR(__xludf.DUMMYFUNCTION("""COMPUTED_VALUE"""),95.08)</f>
        <v/>
      </c>
      <c r="G219" s="143">
        <f>IFERROR(__xludf.DUMMYFUNCTION("""COMPUTED_VALUE"""),9252331)</f>
        <v/>
      </c>
      <c r="H219" s="27" t="n"/>
    </row>
    <row r="220" ht="17.25" customHeight="1" s="322">
      <c r="A220" s="27" t="n"/>
      <c r="B220" s="506">
        <f>IFERROR(__xludf.DUMMYFUNCTION("""COMPUTED_VALUE"""),46147.6666666666)</f>
        <v/>
      </c>
      <c r="C220" s="141">
        <f>IFERROR(__xludf.DUMMYFUNCTION("""COMPUTED_VALUE"""),95.41)</f>
        <v/>
      </c>
      <c r="D220" s="141">
        <f>IFERROR(__xludf.DUMMYFUNCTION("""COMPUTED_VALUE"""),95.56)</f>
        <v/>
      </c>
      <c r="E220" s="141">
        <f>IFERROR(__xludf.DUMMYFUNCTION("""COMPUTED_VALUE"""),95.19)</f>
        <v/>
      </c>
      <c r="F220" s="141">
        <f>IFERROR(__xludf.DUMMYFUNCTION("""COMPUTED_VALUE"""),95.52)</f>
        <v/>
      </c>
      <c r="G220" s="143">
        <f>IFERROR(__xludf.DUMMYFUNCTION("""COMPUTED_VALUE"""),6227164)</f>
        <v/>
      </c>
      <c r="H220" s="27" t="n"/>
    </row>
    <row r="221" ht="17.25" customHeight="1" s="322">
      <c r="A221" s="27" t="n"/>
      <c r="B221" s="506">
        <f>IFERROR(__xludf.DUMMYFUNCTION("""COMPUTED_VALUE"""),46148.6666666666)</f>
        <v/>
      </c>
      <c r="C221" s="141">
        <f>IFERROR(__xludf.DUMMYFUNCTION("""COMPUTED_VALUE"""),96.1)</f>
        <v/>
      </c>
      <c r="D221" s="141">
        <f>IFERROR(__xludf.DUMMYFUNCTION("""COMPUTED_VALUE"""),96.29)</f>
        <v/>
      </c>
      <c r="E221" s="141">
        <f>IFERROR(__xludf.DUMMYFUNCTION("""COMPUTED_VALUE"""),96.06)</f>
        <v/>
      </c>
      <c r="F221" s="141">
        <f>IFERROR(__xludf.DUMMYFUNCTION("""COMPUTED_VALUE"""),96.27)</f>
        <v/>
      </c>
      <c r="G221" s="143">
        <f>IFERROR(__xludf.DUMMYFUNCTION("""COMPUTED_VALUE"""),6394309)</f>
        <v/>
      </c>
      <c r="H221" s="27" t="n"/>
    </row>
    <row r="222" ht="17.25" customHeight="1" s="322">
      <c r="A222" s="27" t="n"/>
      <c r="B222" s="506">
        <f>IFERROR(__xludf.DUMMYFUNCTION("""COMPUTED_VALUE"""),46149.6666666666)</f>
        <v/>
      </c>
      <c r="C222" s="141">
        <f>IFERROR(__xludf.DUMMYFUNCTION("""COMPUTED_VALUE"""),96.41)</f>
        <v/>
      </c>
      <c r="D222" s="141">
        <f>IFERROR(__xludf.DUMMYFUNCTION("""COMPUTED_VALUE"""),96.42)</f>
        <v/>
      </c>
      <c r="E222" s="141">
        <f>IFERROR(__xludf.DUMMYFUNCTION("""COMPUTED_VALUE"""),95.85)</f>
        <v/>
      </c>
      <c r="F222" s="141">
        <f>IFERROR(__xludf.DUMMYFUNCTION("""COMPUTED_VALUE"""),95.9)</f>
        <v/>
      </c>
      <c r="G222" s="143">
        <f>IFERROR(__xludf.DUMMYFUNCTION("""COMPUTED_VALUE"""),4231283)</f>
        <v/>
      </c>
      <c r="H222" s="27" t="n"/>
    </row>
    <row r="223" ht="17.25" customHeight="1" s="322">
      <c r="A223" s="27" t="n"/>
      <c r="B223" s="506">
        <f>IFERROR(__xludf.DUMMYFUNCTION("""COMPUTED_VALUE"""),46150.6666666666)</f>
        <v/>
      </c>
      <c r="C223" s="141">
        <f>IFERROR(__xludf.DUMMYFUNCTION("""COMPUTED_VALUE"""),96.18)</f>
        <v/>
      </c>
      <c r="D223" s="141">
        <f>IFERROR(__xludf.DUMMYFUNCTION("""COMPUTED_VALUE"""),96.3)</f>
        <v/>
      </c>
      <c r="E223" s="141">
        <f>IFERROR(__xludf.DUMMYFUNCTION("""COMPUTED_VALUE"""),96.08)</f>
        <v/>
      </c>
      <c r="F223" s="141">
        <f>IFERROR(__xludf.DUMMYFUNCTION("""COMPUTED_VALUE"""),96.15)</f>
        <v/>
      </c>
      <c r="G223" s="143">
        <f>IFERROR(__xludf.DUMMYFUNCTION("""COMPUTED_VALUE"""),3381252)</f>
        <v/>
      </c>
      <c r="H223" s="27" t="n"/>
    </row>
    <row r="224" ht="17.25" customHeight="1" s="322">
      <c r="A224" s="27" t="n"/>
      <c r="B224" s="506">
        <f>IFERROR(__xludf.DUMMYFUNCTION("""COMPUTED_VALUE"""),46153.6666666666)</f>
        <v/>
      </c>
      <c r="C224" s="141">
        <f>IFERROR(__xludf.DUMMYFUNCTION("""COMPUTED_VALUE"""),96.13)</f>
        <v/>
      </c>
      <c r="D224" s="141">
        <f>IFERROR(__xludf.DUMMYFUNCTION("""COMPUTED_VALUE"""),96.16)</f>
        <v/>
      </c>
      <c r="E224" s="141">
        <f>IFERROR(__xludf.DUMMYFUNCTION("""COMPUTED_VALUE"""),95.9)</f>
        <v/>
      </c>
      <c r="F224" s="141">
        <f>IFERROR(__xludf.DUMMYFUNCTION("""COMPUTED_VALUE"""),95.97)</f>
        <v/>
      </c>
      <c r="G224" s="143">
        <f>IFERROR(__xludf.DUMMYFUNCTION("""COMPUTED_VALUE"""),2376846)</f>
        <v/>
      </c>
      <c r="H224" s="27" t="n"/>
    </row>
    <row r="225" ht="17.25" customHeight="1" s="322">
      <c r="A225" s="27" t="n"/>
      <c r="B225" s="506">
        <f>IFERROR(__xludf.DUMMYFUNCTION("""COMPUTED_VALUE"""),46154.6666666666)</f>
        <v/>
      </c>
      <c r="C225" s="141">
        <f>IFERROR(__xludf.DUMMYFUNCTION("""COMPUTED_VALUE"""),95.77)</f>
        <v/>
      </c>
      <c r="D225" s="141">
        <f>IFERROR(__xludf.DUMMYFUNCTION("""COMPUTED_VALUE"""),95.79)</f>
        <v/>
      </c>
      <c r="E225" s="141">
        <f>IFERROR(__xludf.DUMMYFUNCTION("""COMPUTED_VALUE"""),95.56)</f>
        <v/>
      </c>
      <c r="F225" s="141">
        <f>IFERROR(__xludf.DUMMYFUNCTION("""COMPUTED_VALUE"""),95.72)</f>
        <v/>
      </c>
      <c r="G225" s="143">
        <f>IFERROR(__xludf.DUMMYFUNCTION("""COMPUTED_VALUE"""),7073876)</f>
        <v/>
      </c>
      <c r="H225" s="27" t="n"/>
    </row>
    <row r="226" ht="17.25" customHeight="1" s="322">
      <c r="A226" s="27" t="n"/>
      <c r="B226" s="506">
        <f>IFERROR(__xludf.DUMMYFUNCTION("""COMPUTED_VALUE"""),46155.6666666666)</f>
        <v/>
      </c>
      <c r="C226" s="141">
        <f>IFERROR(__xludf.DUMMYFUNCTION("""COMPUTED_VALUE"""),95.53)</f>
        <v/>
      </c>
      <c r="D226" s="141">
        <f>IFERROR(__xludf.DUMMYFUNCTION("""COMPUTED_VALUE"""),95.66)</f>
        <v/>
      </c>
      <c r="E226" s="141">
        <f>IFERROR(__xludf.DUMMYFUNCTION("""COMPUTED_VALUE"""),95.44)</f>
        <v/>
      </c>
      <c r="F226" s="141">
        <f>IFERROR(__xludf.DUMMYFUNCTION("""COMPUTED_VALUE"""),95.54)</f>
        <v/>
      </c>
      <c r="G226" s="143">
        <f>IFERROR(__xludf.DUMMYFUNCTION("""COMPUTED_VALUE"""),8683057)</f>
        <v/>
      </c>
      <c r="H226" s="27" t="n"/>
    </row>
    <row r="227" ht="17.25" customHeight="1" s="322">
      <c r="A227" s="27" t="n"/>
      <c r="B227" s="506">
        <f>IFERROR(__xludf.DUMMYFUNCTION("""COMPUTED_VALUE"""),46156.6666666666)</f>
        <v/>
      </c>
      <c r="C227" s="141">
        <f>IFERROR(__xludf.DUMMYFUNCTION("""COMPUTED_VALUE"""),95.78)</f>
        <v/>
      </c>
      <c r="D227" s="141">
        <f>IFERROR(__xludf.DUMMYFUNCTION("""COMPUTED_VALUE"""),95.94)</f>
        <v/>
      </c>
      <c r="E227" s="141">
        <f>IFERROR(__xludf.DUMMYFUNCTION("""COMPUTED_VALUE"""),95.52)</f>
        <v/>
      </c>
      <c r="F227" s="141">
        <f>IFERROR(__xludf.DUMMYFUNCTION("""COMPUTED_VALUE"""),95.54)</f>
        <v/>
      </c>
      <c r="G227" s="143">
        <f>IFERROR(__xludf.DUMMYFUNCTION("""COMPUTED_VALUE"""),4858008)</f>
        <v/>
      </c>
      <c r="H227" s="27" t="n"/>
    </row>
    <row r="228" ht="17.25" customHeight="1" s="322">
      <c r="A228" s="27" t="n"/>
      <c r="B228" s="506">
        <f>IFERROR(__xludf.DUMMYFUNCTION("""COMPUTED_VALUE"""),46157.6666666666)</f>
        <v/>
      </c>
      <c r="C228" s="141">
        <f>IFERROR(__xludf.DUMMYFUNCTION("""COMPUTED_VALUE"""),95.06)</f>
        <v/>
      </c>
      <c r="D228" s="141">
        <f>IFERROR(__xludf.DUMMYFUNCTION("""COMPUTED_VALUE"""),95.06)</f>
        <v/>
      </c>
      <c r="E228" s="141">
        <f>IFERROR(__xludf.DUMMYFUNCTION("""COMPUTED_VALUE"""),94.71)</f>
        <v/>
      </c>
      <c r="F228" s="141">
        <f>IFERROR(__xludf.DUMMYFUNCTION("""COMPUTED_VALUE"""),94.71)</f>
        <v/>
      </c>
      <c r="G228" s="143">
        <f>IFERROR(__xludf.DUMMYFUNCTION("""COMPUTED_VALUE"""),7101068)</f>
        <v/>
      </c>
      <c r="H228" s="27" t="n"/>
    </row>
    <row r="229" ht="17.25" customHeight="1" s="322">
      <c r="A229" s="27" t="n"/>
      <c r="B229" s="506">
        <f>IFERROR(__xludf.DUMMYFUNCTION("""COMPUTED_VALUE"""),46160.6666666666)</f>
        <v/>
      </c>
      <c r="C229" s="141">
        <f>IFERROR(__xludf.DUMMYFUNCTION("""COMPUTED_VALUE"""),94.66)</f>
        <v/>
      </c>
      <c r="D229" s="141">
        <f>IFERROR(__xludf.DUMMYFUNCTION("""COMPUTED_VALUE"""),94.93)</f>
        <v/>
      </c>
      <c r="E229" s="141">
        <f>IFERROR(__xludf.DUMMYFUNCTION("""COMPUTED_VALUE"""),94.48)</f>
        <v/>
      </c>
      <c r="F229" s="141">
        <f>IFERROR(__xludf.DUMMYFUNCTION("""COMPUTED_VALUE"""),94.62)</f>
        <v/>
      </c>
      <c r="G229" s="143">
        <f>IFERROR(__xludf.DUMMYFUNCTION("""COMPUTED_VALUE"""),7403035)</f>
        <v/>
      </c>
      <c r="H229" s="27" t="n"/>
    </row>
    <row r="230" ht="17.25" customHeight="1" s="322">
      <c r="A230" s="27" t="n"/>
      <c r="B230" s="506">
        <f>IFERROR(__xludf.DUMMYFUNCTION("""COMPUTED_VALUE"""),46161.6666666666)</f>
        <v/>
      </c>
      <c r="C230" s="141">
        <f>IFERROR(__xludf.DUMMYFUNCTION("""COMPUTED_VALUE"""),94.37)</f>
        <v/>
      </c>
      <c r="D230" s="141">
        <f>IFERROR(__xludf.DUMMYFUNCTION("""COMPUTED_VALUE"""),94.43)</f>
        <v/>
      </c>
      <c r="E230" s="141">
        <f>IFERROR(__xludf.DUMMYFUNCTION("""COMPUTED_VALUE"""),94.05)</f>
        <v/>
      </c>
      <c r="F230" s="141">
        <f>IFERROR(__xludf.DUMMYFUNCTION("""COMPUTED_VALUE"""),94.25)</f>
        <v/>
      </c>
      <c r="G230" s="143">
        <f>IFERROR(__xludf.DUMMYFUNCTION("""COMPUTED_VALUE"""),10819816)</f>
        <v/>
      </c>
      <c r="H230" s="27" t="n"/>
    </row>
    <row r="231" ht="17.25" customHeight="1" s="322">
      <c r="A231" s="27" t="n"/>
      <c r="B231" s="506">
        <f>IFERROR(__xludf.DUMMYFUNCTION("""COMPUTED_VALUE"""),46162.6666666666)</f>
        <v/>
      </c>
      <c r="C231" s="141">
        <f>IFERROR(__xludf.DUMMYFUNCTION("""COMPUTED_VALUE"""),94.29)</f>
        <v/>
      </c>
      <c r="D231" s="141">
        <f>IFERROR(__xludf.DUMMYFUNCTION("""COMPUTED_VALUE"""),95.07)</f>
        <v/>
      </c>
      <c r="E231" s="141">
        <f>IFERROR(__xludf.DUMMYFUNCTION("""COMPUTED_VALUE"""),94.25)</f>
        <v/>
      </c>
      <c r="F231" s="141">
        <f>IFERROR(__xludf.DUMMYFUNCTION("""COMPUTED_VALUE"""),94.92)</f>
        <v/>
      </c>
      <c r="G231" s="143">
        <f>IFERROR(__xludf.DUMMYFUNCTION("""COMPUTED_VALUE"""),13079863)</f>
        <v/>
      </c>
      <c r="H231" s="27" t="n"/>
    </row>
    <row r="232" ht="17.25" customHeight="1" s="322">
      <c r="A232" s="27" t="n"/>
      <c r="B232" s="506">
        <f>IFERROR(__xludf.DUMMYFUNCTION("""COMPUTED_VALUE"""),46163.6666666666)</f>
        <v/>
      </c>
      <c r="C232" s="141">
        <f>IFERROR(__xludf.DUMMYFUNCTION("""COMPUTED_VALUE"""),94.74)</f>
        <v/>
      </c>
      <c r="D232" s="141">
        <f>IFERROR(__xludf.DUMMYFUNCTION("""COMPUTED_VALUE"""),95.1)</f>
        <v/>
      </c>
      <c r="E232" s="141">
        <f>IFERROR(__xludf.DUMMYFUNCTION("""COMPUTED_VALUE"""),94.57)</f>
        <v/>
      </c>
      <c r="F232" s="141">
        <f>IFERROR(__xludf.DUMMYFUNCTION("""COMPUTED_VALUE"""),94.99)</f>
        <v/>
      </c>
      <c r="G232" s="143">
        <f>IFERROR(__xludf.DUMMYFUNCTION("""COMPUTED_VALUE"""),9653073)</f>
        <v/>
      </c>
      <c r="H232" s="27" t="n"/>
    </row>
    <row r="233" ht="17.25" customHeight="1" s="322">
      <c r="A233" s="27" t="n"/>
      <c r="B233" s="506">
        <f>IFERROR(__xludf.DUMMYFUNCTION("""COMPUTED_VALUE"""),46164.6666666666)</f>
        <v/>
      </c>
      <c r="C233" s="141">
        <f>IFERROR(__xludf.DUMMYFUNCTION("""COMPUTED_VALUE"""),95.24)</f>
        <v/>
      </c>
      <c r="D233" s="141">
        <f>IFERROR(__xludf.DUMMYFUNCTION("""COMPUTED_VALUE"""),95.24)</f>
        <v/>
      </c>
      <c r="E233" s="141">
        <f>IFERROR(__xludf.DUMMYFUNCTION("""COMPUTED_VALUE"""),94.99)</f>
        <v/>
      </c>
      <c r="F233" s="141">
        <f>IFERROR(__xludf.DUMMYFUNCTION("""COMPUTED_VALUE"""),95.17)</f>
        <v/>
      </c>
      <c r="G233" s="143">
        <f>IFERROR(__xludf.DUMMYFUNCTION("""COMPUTED_VALUE"""),3282582)</f>
        <v/>
      </c>
      <c r="H233" s="27" t="n"/>
    </row>
    <row r="234" ht="17.25" customHeight="1" s="322">
      <c r="A234" s="27" t="n"/>
      <c r="B234" s="506">
        <f>IFERROR(__xludf.DUMMYFUNCTION("""COMPUTED_VALUE"""),46168.6666666666)</f>
        <v/>
      </c>
      <c r="C234" s="141">
        <f>IFERROR(__xludf.DUMMYFUNCTION("""COMPUTED_VALUE"""),95.67)</f>
        <v/>
      </c>
      <c r="D234" s="141">
        <f>IFERROR(__xludf.DUMMYFUNCTION("""COMPUTED_VALUE"""),95.71)</f>
        <v/>
      </c>
      <c r="E234" s="141">
        <f>IFERROR(__xludf.DUMMYFUNCTION("""COMPUTED_VALUE"""),95.43)</f>
        <v/>
      </c>
      <c r="F234" s="141">
        <f>IFERROR(__xludf.DUMMYFUNCTION("""COMPUTED_VALUE"""),95.64)</f>
        <v/>
      </c>
      <c r="G234" s="143">
        <f>IFERROR(__xludf.DUMMYFUNCTION("""COMPUTED_VALUE"""),5666635)</f>
        <v/>
      </c>
      <c r="H234" s="27" t="n"/>
    </row>
    <row r="235" ht="17.25" customHeight="1" s="322">
      <c r="A235" s="27" t="n"/>
      <c r="B235" s="506">
        <f>IFERROR(__xludf.DUMMYFUNCTION("""COMPUTED_VALUE"""),46169.6666666666)</f>
        <v/>
      </c>
      <c r="C235" s="141">
        <f>IFERROR(__xludf.DUMMYFUNCTION("""COMPUTED_VALUE"""),95.93)</f>
        <v/>
      </c>
      <c r="D235" s="141">
        <f>IFERROR(__xludf.DUMMYFUNCTION("""COMPUTED_VALUE"""),95.99)</f>
        <v/>
      </c>
      <c r="E235" s="141">
        <f>IFERROR(__xludf.DUMMYFUNCTION("""COMPUTED_VALUE"""),95.77)</f>
        <v/>
      </c>
      <c r="F235" s="141">
        <f>IFERROR(__xludf.DUMMYFUNCTION("""COMPUTED_VALUE"""),95.98)</f>
        <v/>
      </c>
      <c r="G235" s="143">
        <f>IFERROR(__xludf.DUMMYFUNCTION("""COMPUTED_VALUE"""),6074618)</f>
        <v/>
      </c>
      <c r="H235" s="27" t="n"/>
    </row>
    <row r="236" ht="17.25" customHeight="1" s="322">
      <c r="A236" s="27" t="n"/>
      <c r="B236" s="506">
        <f>IFERROR(__xludf.DUMMYFUNCTION("""COMPUTED_VALUE"""),46170.6666666666)</f>
        <v/>
      </c>
      <c r="C236" s="141">
        <f>IFERROR(__xludf.DUMMYFUNCTION("""COMPUTED_VALUE"""),95.89)</f>
        <v/>
      </c>
      <c r="D236" s="141">
        <f>IFERROR(__xludf.DUMMYFUNCTION("""COMPUTED_VALUE"""),96.27)</f>
        <v/>
      </c>
      <c r="E236" s="141">
        <f>IFERROR(__xludf.DUMMYFUNCTION("""COMPUTED_VALUE"""),95.8)</f>
        <v/>
      </c>
      <c r="F236" s="141">
        <f>IFERROR(__xludf.DUMMYFUNCTION("""COMPUTED_VALUE"""),96.23)</f>
        <v/>
      </c>
      <c r="G236" s="143">
        <f>IFERROR(__xludf.DUMMYFUNCTION("""COMPUTED_VALUE"""),6077935)</f>
        <v/>
      </c>
      <c r="H236" s="27" t="n"/>
    </row>
    <row r="237" ht="17.25" customHeight="1" s="322">
      <c r="A237" s="27" t="n"/>
      <c r="B237" s="506">
        <f>IFERROR(__xludf.DUMMYFUNCTION("""COMPUTED_VALUE"""),46171.6666666666)</f>
        <v/>
      </c>
      <c r="C237" s="141">
        <f>IFERROR(__xludf.DUMMYFUNCTION("""COMPUTED_VALUE"""),96.31)</f>
        <v/>
      </c>
      <c r="D237" s="141">
        <f>IFERROR(__xludf.DUMMYFUNCTION("""COMPUTED_VALUE"""),96.51)</f>
        <v/>
      </c>
      <c r="E237" s="141">
        <f>IFERROR(__xludf.DUMMYFUNCTION("""COMPUTED_VALUE"""),96.29)</f>
        <v/>
      </c>
      <c r="F237" s="141">
        <f>IFERROR(__xludf.DUMMYFUNCTION("""COMPUTED_VALUE"""),96.43)</f>
        <v/>
      </c>
      <c r="G237" s="143">
        <f>IFERROR(__xludf.DUMMYFUNCTION("""COMPUTED_VALUE"""),7382891)</f>
        <v/>
      </c>
      <c r="H237" s="27" t="n"/>
    </row>
    <row r="238" ht="17.25" customHeight="1" s="322">
      <c r="A238" s="27" t="n"/>
      <c r="B238" s="506">
        <f>IFERROR(__xludf.DUMMYFUNCTION("""COMPUTED_VALUE"""),46174.6666666666)</f>
        <v/>
      </c>
      <c r="C238" s="141">
        <f>IFERROR(__xludf.DUMMYFUNCTION("""COMPUTED_VALUE"""),95.96)</f>
        <v/>
      </c>
      <c r="D238" s="141">
        <f>IFERROR(__xludf.DUMMYFUNCTION("""COMPUTED_VALUE"""),96.01)</f>
        <v/>
      </c>
      <c r="E238" s="141">
        <f>IFERROR(__xludf.DUMMYFUNCTION("""COMPUTED_VALUE"""),95.68)</f>
        <v/>
      </c>
      <c r="F238" s="141">
        <f>IFERROR(__xludf.DUMMYFUNCTION("""COMPUTED_VALUE"""),96.01)</f>
        <v/>
      </c>
      <c r="G238" s="143">
        <f>IFERROR(__xludf.DUMMYFUNCTION("""COMPUTED_VALUE"""),6351109)</f>
        <v/>
      </c>
      <c r="H238" s="27" t="n"/>
    </row>
    <row r="239" ht="17.25" customHeight="1" s="322">
      <c r="A239" s="27" t="n"/>
      <c r="B239" s="506">
        <f>IFERROR(__xludf.DUMMYFUNCTION("""COMPUTED_VALUE"""),46175.6666666666)</f>
        <v/>
      </c>
      <c r="C239" s="141">
        <f>IFERROR(__xludf.DUMMYFUNCTION("""COMPUTED_VALUE"""),96.26)</f>
        <v/>
      </c>
      <c r="D239" s="141">
        <f>IFERROR(__xludf.DUMMYFUNCTION("""COMPUTED_VALUE"""),96.27)</f>
        <v/>
      </c>
      <c r="E239" s="141">
        <f>IFERROR(__xludf.DUMMYFUNCTION("""COMPUTED_VALUE"""),96.07)</f>
        <v/>
      </c>
      <c r="F239" s="141">
        <f>IFERROR(__xludf.DUMMYFUNCTION("""COMPUTED_VALUE"""),96.26)</f>
        <v/>
      </c>
      <c r="G239" s="143">
        <f>IFERROR(__xludf.DUMMYFUNCTION("""COMPUTED_VALUE"""),4572058)</f>
        <v/>
      </c>
      <c r="H239" s="27" t="n"/>
    </row>
    <row r="240" ht="17.25" customHeight="1" s="322">
      <c r="A240" s="27" t="n"/>
      <c r="B240" s="506">
        <f>IFERROR(__xludf.DUMMYFUNCTION("""COMPUTED_VALUE"""),46176.6666666666)</f>
        <v/>
      </c>
      <c r="C240" s="141">
        <f>IFERROR(__xludf.DUMMYFUNCTION("""COMPUTED_VALUE"""),95.97)</f>
        <v/>
      </c>
      <c r="D240" s="141">
        <f>IFERROR(__xludf.DUMMYFUNCTION("""COMPUTED_VALUE"""),96.07)</f>
        <v/>
      </c>
      <c r="E240" s="141">
        <f>IFERROR(__xludf.DUMMYFUNCTION("""COMPUTED_VALUE"""),95.73)</f>
        <v/>
      </c>
      <c r="F240" s="141">
        <f>IFERROR(__xludf.DUMMYFUNCTION("""COMPUTED_VALUE"""),95.9)</f>
        <v/>
      </c>
      <c r="G240" s="143">
        <f>IFERROR(__xludf.DUMMYFUNCTION("""COMPUTED_VALUE"""),5619438)</f>
        <v/>
      </c>
      <c r="H240" s="27" t="n"/>
    </row>
    <row r="241" ht="17.25" customHeight="1" s="322">
      <c r="A241" s="27" t="n"/>
      <c r="B241" s="506">
        <f>IFERROR(__xludf.DUMMYFUNCTION("""COMPUTED_VALUE"""),46177.6666666666)</f>
        <v/>
      </c>
      <c r="C241" s="141">
        <f>IFERROR(__xludf.DUMMYFUNCTION("""COMPUTED_VALUE"""),96.15)</f>
        <v/>
      </c>
      <c r="D241" s="141">
        <f>IFERROR(__xludf.DUMMYFUNCTION("""COMPUTED_VALUE"""),96.19)</f>
        <v/>
      </c>
      <c r="E241" s="141">
        <f>IFERROR(__xludf.DUMMYFUNCTION("""COMPUTED_VALUE"""),95.97)</f>
        <v/>
      </c>
      <c r="F241" s="141">
        <f>IFERROR(__xludf.DUMMYFUNCTION("""COMPUTED_VALUE"""),96.1)</f>
        <v/>
      </c>
      <c r="G241" s="143">
        <f>IFERROR(__xludf.DUMMYFUNCTION("""COMPUTED_VALUE"""),4132202)</f>
        <v/>
      </c>
      <c r="H241" s="27" t="n"/>
    </row>
    <row r="242" ht="17.25" customHeight="1" s="322">
      <c r="A242" s="27" t="n"/>
      <c r="B242" s="506">
        <f>IFERROR(__xludf.DUMMYFUNCTION("""COMPUTED_VALUE"""),46178.6666666666)</f>
        <v/>
      </c>
      <c r="C242" s="141">
        <f>IFERROR(__xludf.DUMMYFUNCTION("""COMPUTED_VALUE"""),95.75)</f>
        <v/>
      </c>
      <c r="D242" s="141">
        <f>IFERROR(__xludf.DUMMYFUNCTION("""COMPUTED_VALUE"""),95.85)</f>
        <v/>
      </c>
      <c r="E242" s="141">
        <f>IFERROR(__xludf.DUMMYFUNCTION("""COMPUTED_VALUE"""),95.38)</f>
        <v/>
      </c>
      <c r="F242" s="141">
        <f>IFERROR(__xludf.DUMMYFUNCTION("""COMPUTED_VALUE"""),95.4)</f>
        <v/>
      </c>
      <c r="G242" s="143">
        <f>IFERROR(__xludf.DUMMYFUNCTION("""COMPUTED_VALUE"""),7364164)</f>
        <v/>
      </c>
      <c r="H242" s="27" t="n"/>
    </row>
    <row r="243" ht="17.25" customHeight="1" s="322">
      <c r="A243" s="27" t="n"/>
      <c r="B243" s="506">
        <f>IFERROR(__xludf.DUMMYFUNCTION("""COMPUTED_VALUE"""),46181.6666666666)</f>
        <v/>
      </c>
      <c r="C243" s="141">
        <f>IFERROR(__xludf.DUMMYFUNCTION("""COMPUTED_VALUE"""),95.7)</f>
        <v/>
      </c>
      <c r="D243" s="141">
        <f>IFERROR(__xludf.DUMMYFUNCTION("""COMPUTED_VALUE"""),95.7)</f>
        <v/>
      </c>
      <c r="E243" s="141">
        <f>IFERROR(__xludf.DUMMYFUNCTION("""COMPUTED_VALUE"""),95.27)</f>
        <v/>
      </c>
      <c r="F243" s="141">
        <f>IFERROR(__xludf.DUMMYFUNCTION("""COMPUTED_VALUE"""),95.28)</f>
        <v/>
      </c>
      <c r="G243" s="143">
        <f>IFERROR(__xludf.DUMMYFUNCTION("""COMPUTED_VALUE"""),6165222)</f>
        <v/>
      </c>
      <c r="H243" s="27" t="n"/>
    </row>
    <row r="244" ht="17.25" customHeight="1" s="322">
      <c r="A244" s="27" t="n"/>
      <c r="B244" s="506">
        <f>IFERROR(__xludf.DUMMYFUNCTION("""COMPUTED_VALUE"""),46182.6666666666)</f>
        <v/>
      </c>
      <c r="C244" s="141">
        <f>IFERROR(__xludf.DUMMYFUNCTION("""COMPUTED_VALUE"""),95.61)</f>
        <v/>
      </c>
      <c r="D244" s="141">
        <f>IFERROR(__xludf.DUMMYFUNCTION("""COMPUTED_VALUE"""),95.79)</f>
        <v/>
      </c>
      <c r="E244" s="141">
        <f>IFERROR(__xludf.DUMMYFUNCTION("""COMPUTED_VALUE"""),95.21)</f>
        <v/>
      </c>
      <c r="F244" s="141">
        <f>IFERROR(__xludf.DUMMYFUNCTION("""COMPUTED_VALUE"""),95.67)</f>
        <v/>
      </c>
      <c r="G244" s="143">
        <f>IFERROR(__xludf.DUMMYFUNCTION("""COMPUTED_VALUE"""),6926116)</f>
        <v/>
      </c>
      <c r="H244" s="27" t="n"/>
    </row>
    <row r="245" ht="17.25" customHeight="1" s="322">
      <c r="A245" s="27" t="n"/>
      <c r="B245" s="506">
        <f>IFERROR(__xludf.DUMMYFUNCTION("""COMPUTED_VALUE"""),46183.6666666666)</f>
        <v/>
      </c>
      <c r="C245" s="141">
        <f>IFERROR(__xludf.DUMMYFUNCTION("""COMPUTED_VALUE"""),95.27)</f>
        <v/>
      </c>
      <c r="D245" s="141">
        <f>IFERROR(__xludf.DUMMYFUNCTION("""COMPUTED_VALUE"""),95.75)</f>
        <v/>
      </c>
      <c r="E245" s="141">
        <f>IFERROR(__xludf.DUMMYFUNCTION("""COMPUTED_VALUE"""),95.26)</f>
        <v/>
      </c>
      <c r="F245" s="141">
        <f>IFERROR(__xludf.DUMMYFUNCTION("""COMPUTED_VALUE"""),95.35)</f>
        <v/>
      </c>
      <c r="G245" s="143">
        <f>IFERROR(__xludf.DUMMYFUNCTION("""COMPUTED_VALUE"""),8400328)</f>
        <v/>
      </c>
      <c r="H245" s="27" t="n"/>
    </row>
    <row r="246" ht="17.25" customHeight="1" s="322">
      <c r="A246" s="27" t="n"/>
      <c r="B246" s="506">
        <f>IFERROR(__xludf.DUMMYFUNCTION("""COMPUTED_VALUE"""),46184.6666666666)</f>
        <v/>
      </c>
      <c r="C246" s="141">
        <f>IFERROR(__xludf.DUMMYFUNCTION("""COMPUTED_VALUE"""),95.54)</f>
        <v/>
      </c>
      <c r="D246" s="141">
        <f>IFERROR(__xludf.DUMMYFUNCTION("""COMPUTED_VALUE"""),96.3)</f>
        <v/>
      </c>
      <c r="E246" s="141">
        <f>IFERROR(__xludf.DUMMYFUNCTION("""COMPUTED_VALUE"""),95.49)</f>
        <v/>
      </c>
      <c r="F246" s="141">
        <f>IFERROR(__xludf.DUMMYFUNCTION("""COMPUTED_VALUE"""),96.27)</f>
        <v/>
      </c>
      <c r="G246" s="143">
        <f>IFERROR(__xludf.DUMMYFUNCTION("""COMPUTED_VALUE"""),8187239)</f>
        <v/>
      </c>
      <c r="H246" s="27" t="n"/>
    </row>
    <row r="247" ht="17.25" customHeight="1" s="322">
      <c r="A247" s="27" t="n"/>
      <c r="B247" s="506">
        <f>IFERROR(__xludf.DUMMYFUNCTION("""COMPUTED_VALUE"""),46185.6666666666)</f>
        <v/>
      </c>
      <c r="C247" s="141">
        <f>IFERROR(__xludf.DUMMYFUNCTION("""COMPUTED_VALUE"""),96.3)</f>
        <v/>
      </c>
      <c r="D247" s="141">
        <f>IFERROR(__xludf.DUMMYFUNCTION("""COMPUTED_VALUE"""),96.39)</f>
        <v/>
      </c>
      <c r="E247" s="141">
        <f>IFERROR(__xludf.DUMMYFUNCTION("""COMPUTED_VALUE"""),96.09)</f>
        <v/>
      </c>
      <c r="F247" s="141">
        <f>IFERROR(__xludf.DUMMYFUNCTION("""COMPUTED_VALUE"""),96.36)</f>
        <v/>
      </c>
      <c r="G247" s="143">
        <f>IFERROR(__xludf.DUMMYFUNCTION("""COMPUTED_VALUE"""),5364368)</f>
        <v/>
      </c>
      <c r="H247" s="27" t="n"/>
    </row>
    <row r="248" ht="17.25" customHeight="1" s="322">
      <c r="A248" s="27" t="n"/>
      <c r="B248" s="506">
        <f>IFERROR(__xludf.DUMMYFUNCTION("""COMPUTED_VALUE"""),46188.6666666666)</f>
        <v/>
      </c>
      <c r="C248" s="141">
        <f>IFERROR(__xludf.DUMMYFUNCTION("""COMPUTED_VALUE"""),96.68)</f>
        <v/>
      </c>
      <c r="D248" s="141">
        <f>IFERROR(__xludf.DUMMYFUNCTION("""COMPUTED_VALUE"""),96.82)</f>
        <v/>
      </c>
      <c r="E248" s="141">
        <f>IFERROR(__xludf.DUMMYFUNCTION("""COMPUTED_VALUE"""),96.64)</f>
        <v/>
      </c>
      <c r="F248" s="141">
        <f>IFERROR(__xludf.DUMMYFUNCTION("""COMPUTED_VALUE"""),96.71)</f>
        <v/>
      </c>
      <c r="G248" s="143">
        <f>IFERROR(__xludf.DUMMYFUNCTION("""COMPUTED_VALUE"""),5828053)</f>
        <v/>
      </c>
      <c r="H248" s="27" t="n"/>
    </row>
    <row r="249" ht="17.25" customHeight="1" s="322">
      <c r="A249" s="27" t="n"/>
      <c r="B249" s="506">
        <f>IFERROR(__xludf.DUMMYFUNCTION("""COMPUTED_VALUE"""),46189.6666666666)</f>
        <v/>
      </c>
      <c r="C249" s="141">
        <f>IFERROR(__xludf.DUMMYFUNCTION("""COMPUTED_VALUE"""),96.5)</f>
        <v/>
      </c>
      <c r="D249" s="141">
        <f>IFERROR(__xludf.DUMMYFUNCTION("""COMPUTED_VALUE"""),96.87)</f>
        <v/>
      </c>
      <c r="E249" s="141">
        <f>IFERROR(__xludf.DUMMYFUNCTION("""COMPUTED_VALUE"""),96.5)</f>
        <v/>
      </c>
      <c r="F249" s="141">
        <f>IFERROR(__xludf.DUMMYFUNCTION("""COMPUTED_VALUE"""),96.67)</f>
        <v/>
      </c>
      <c r="G249" s="143">
        <f>IFERROR(__xludf.DUMMYFUNCTION("""COMPUTED_VALUE"""),6190238)</f>
        <v/>
      </c>
      <c r="H249" s="27" t="n"/>
    </row>
    <row r="250" ht="17.25" customHeight="1" s="322">
      <c r="A250" s="27" t="n"/>
      <c r="B250" s="506">
        <f>IFERROR(__xludf.DUMMYFUNCTION("""COMPUTED_VALUE"""),46190.6666666666)</f>
        <v/>
      </c>
      <c r="C250" s="141">
        <f>IFERROR(__xludf.DUMMYFUNCTION("""COMPUTED_VALUE"""),96.62)</f>
        <v/>
      </c>
      <c r="D250" s="141">
        <f>IFERROR(__xludf.DUMMYFUNCTION("""COMPUTED_VALUE"""),96.8)</f>
        <v/>
      </c>
      <c r="E250" s="141">
        <f>IFERROR(__xludf.DUMMYFUNCTION("""COMPUTED_VALUE"""),96.26)</f>
        <v/>
      </c>
      <c r="F250" s="141">
        <f>IFERROR(__xludf.DUMMYFUNCTION("""COMPUTED_VALUE"""),96.28)</f>
        <v/>
      </c>
      <c r="G250" s="143">
        <f>IFERROR(__xludf.DUMMYFUNCTION("""COMPUTED_VALUE"""),8742134)</f>
        <v/>
      </c>
      <c r="H250" s="27" t="n"/>
    </row>
    <row r="251" ht="17.25" customHeight="1" s="322">
      <c r="A251" s="27" t="n"/>
      <c r="B251" s="506">
        <f>IFERROR(__xludf.DUMMYFUNCTION("""COMPUTED_VALUE"""),46191.6666666666)</f>
        <v/>
      </c>
      <c r="C251" s="141">
        <f>IFERROR(__xludf.DUMMYFUNCTION("""COMPUTED_VALUE"""),96.81)</f>
        <v/>
      </c>
      <c r="D251" s="141">
        <f>IFERROR(__xludf.DUMMYFUNCTION("""COMPUTED_VALUE"""),96.84)</f>
        <v/>
      </c>
      <c r="E251" s="141">
        <f>IFERROR(__xludf.DUMMYFUNCTION("""COMPUTED_VALUE"""),96.67)</f>
        <v/>
      </c>
      <c r="F251" s="141">
        <f>IFERROR(__xludf.DUMMYFUNCTION("""COMPUTED_VALUE"""),96.73)</f>
        <v/>
      </c>
      <c r="G251" s="143">
        <f>IFERROR(__xludf.DUMMYFUNCTION("""COMPUTED_VALUE"""),3129128)</f>
        <v/>
      </c>
      <c r="H251" s="27" t="n"/>
    </row>
    <row r="252" ht="17.25" customHeight="1" s="322">
      <c r="A252" s="27" t="n"/>
      <c r="B252" s="506">
        <f>IFERROR(__xludf.DUMMYFUNCTION("""COMPUTED_VALUE"""),46195.6666666666)</f>
        <v/>
      </c>
      <c r="C252" s="141">
        <f>IFERROR(__xludf.DUMMYFUNCTION("""COMPUTED_VALUE"""),96.49)</f>
        <v/>
      </c>
      <c r="D252" s="141">
        <f>IFERROR(__xludf.DUMMYFUNCTION("""COMPUTED_VALUE"""),96.77)</f>
        <v/>
      </c>
      <c r="E252" s="141">
        <f>IFERROR(__xludf.DUMMYFUNCTION("""COMPUTED_VALUE"""),96.36)</f>
        <v/>
      </c>
      <c r="F252" s="141">
        <f>IFERROR(__xludf.DUMMYFUNCTION("""COMPUTED_VALUE"""),96.4)</f>
        <v/>
      </c>
      <c r="G252" s="143">
        <f>IFERROR(__xludf.DUMMYFUNCTION("""COMPUTED_VALUE"""),5290720)</f>
        <v/>
      </c>
      <c r="H252" s="27" t="n"/>
    </row>
    <row r="253" ht="17.25" customHeight="1" s="322">
      <c r="A253" s="27" t="n"/>
      <c r="B253" s="506">
        <f>IFERROR(__xludf.DUMMYFUNCTION("""COMPUTED_VALUE"""),46196.6666666666)</f>
        <v/>
      </c>
      <c r="C253" s="141">
        <f>IFERROR(__xludf.DUMMYFUNCTION("""COMPUTED_VALUE"""),96.27)</f>
        <v/>
      </c>
      <c r="D253" s="141">
        <f>IFERROR(__xludf.DUMMYFUNCTION("""COMPUTED_VALUE"""),96.44)</f>
        <v/>
      </c>
      <c r="E253" s="141">
        <f>IFERROR(__xludf.DUMMYFUNCTION("""COMPUTED_VALUE"""),96.21)</f>
        <v/>
      </c>
      <c r="F253" s="141">
        <f>IFERROR(__xludf.DUMMYFUNCTION("""COMPUTED_VALUE"""),96.26)</f>
        <v/>
      </c>
      <c r="G253" s="143">
        <f>IFERROR(__xludf.DUMMYFUNCTION("""COMPUTED_VALUE"""),5800715)</f>
        <v/>
      </c>
      <c r="H253" s="27" t="n"/>
    </row>
    <row r="254" ht="17.25" customHeight="1" s="322">
      <c r="A254" s="27" t="n"/>
      <c r="B254" s="506">
        <f>IFERROR(__xludf.DUMMYFUNCTION("""COMPUTED_VALUE"""),46197.6666666666)</f>
        <v/>
      </c>
      <c r="C254" s="141">
        <f>IFERROR(__xludf.DUMMYFUNCTION("""COMPUTED_VALUE"""),96.52)</f>
        <v/>
      </c>
      <c r="D254" s="141">
        <f>IFERROR(__xludf.DUMMYFUNCTION("""COMPUTED_VALUE"""),96.67)</f>
        <v/>
      </c>
      <c r="E254" s="141">
        <f>IFERROR(__xludf.DUMMYFUNCTION("""COMPUTED_VALUE"""),96.44)</f>
        <v/>
      </c>
      <c r="F254" s="141">
        <f>IFERROR(__xludf.DUMMYFUNCTION("""COMPUTED_VALUE"""),96.57)</f>
        <v/>
      </c>
      <c r="G254" s="143">
        <f>IFERROR(__xludf.DUMMYFUNCTION("""COMPUTED_VALUE"""),8401122)</f>
        <v/>
      </c>
      <c r="H254" s="27" t="n"/>
    </row>
    <row r="255" ht="17.25" customHeight="1" s="322">
      <c r="A255" s="27" t="n"/>
      <c r="B255" s="506">
        <f>IFERROR(__xludf.DUMMYFUNCTION("""COMPUTED_VALUE"""),46198.6666666666)</f>
        <v/>
      </c>
      <c r="C255" s="141">
        <f>IFERROR(__xludf.DUMMYFUNCTION("""COMPUTED_VALUE"""),96.8)</f>
        <v/>
      </c>
      <c r="D255" s="141">
        <f>IFERROR(__xludf.DUMMYFUNCTION("""COMPUTED_VALUE"""),96.83)</f>
        <v/>
      </c>
      <c r="E255" s="141">
        <f>IFERROR(__xludf.DUMMYFUNCTION("""COMPUTED_VALUE"""),96.55)</f>
        <v/>
      </c>
      <c r="F255" s="141">
        <f>IFERROR(__xludf.DUMMYFUNCTION("""COMPUTED_VALUE"""),96.56)</f>
        <v/>
      </c>
      <c r="G255" s="143">
        <f>IFERROR(__xludf.DUMMYFUNCTION("""COMPUTED_VALUE"""),4464602)</f>
        <v/>
      </c>
      <c r="H255" s="27" t="n"/>
    </row>
    <row r="256" ht="17.25" customHeight="1" s="322">
      <c r="A256" s="27" t="n"/>
      <c r="B256" s="506">
        <f>IFERROR(__xludf.DUMMYFUNCTION("""COMPUTED_VALUE"""),46199.6666666666)</f>
        <v/>
      </c>
      <c r="C256" s="141">
        <f>IFERROR(__xludf.DUMMYFUNCTION("""COMPUTED_VALUE"""),96.54)</f>
        <v/>
      </c>
      <c r="D256" s="141">
        <f>IFERROR(__xludf.DUMMYFUNCTION("""COMPUTED_VALUE"""),96.66)</f>
        <v/>
      </c>
      <c r="E256" s="141">
        <f>IFERROR(__xludf.DUMMYFUNCTION("""COMPUTED_VALUE"""),96.49)</f>
        <v/>
      </c>
      <c r="F256" s="141">
        <f>IFERROR(__xludf.DUMMYFUNCTION("""COMPUTED_VALUE"""),96.54)</f>
        <v/>
      </c>
      <c r="G256" s="143">
        <f>IFERROR(__xludf.DUMMYFUNCTION("""COMPUTED_VALUE"""),3732600)</f>
        <v/>
      </c>
      <c r="H256" s="27" t="n"/>
    </row>
    <row r="257" ht="17.25" customHeight="1" s="322">
      <c r="A257" s="27" t="n"/>
      <c r="B257" s="506">
        <f>IFERROR(__xludf.DUMMYFUNCTION("""COMPUTED_VALUE"""),46202.6666666666)</f>
        <v/>
      </c>
      <c r="C257" s="141">
        <f>IFERROR(__xludf.DUMMYFUNCTION("""COMPUTED_VALUE"""),96.79)</f>
        <v/>
      </c>
      <c r="D257" s="141">
        <f>IFERROR(__xludf.DUMMYFUNCTION("""COMPUTED_VALUE"""),96.85)</f>
        <v/>
      </c>
      <c r="E257" s="141">
        <f>IFERROR(__xludf.DUMMYFUNCTION("""COMPUTED_VALUE"""),96.61)</f>
        <v/>
      </c>
      <c r="F257" s="141">
        <f>IFERROR(__xludf.DUMMYFUNCTION("""COMPUTED_VALUE"""),96.82)</f>
        <v/>
      </c>
      <c r="G257" s="143">
        <f>IFERROR(__xludf.DUMMYFUNCTION("""COMPUTED_VALUE"""),6279215)</f>
        <v/>
      </c>
      <c r="H257" s="27" t="n"/>
    </row>
    <row r="258" ht="17.25" customHeight="1" s="322">
      <c r="A258" s="27" t="n"/>
      <c r="B258" s="506">
        <f>IFERROR(__xludf.DUMMYFUNCTION("""COMPUTED_VALUE"""),46203.6666666666)</f>
        <v/>
      </c>
      <c r="C258" s="141">
        <f>IFERROR(__xludf.DUMMYFUNCTION("""COMPUTED_VALUE"""),96.74)</f>
        <v/>
      </c>
      <c r="D258" s="141">
        <f>IFERROR(__xludf.DUMMYFUNCTION("""COMPUTED_VALUE"""),96.81)</f>
        <v/>
      </c>
      <c r="E258" s="141">
        <f>IFERROR(__xludf.DUMMYFUNCTION("""COMPUTED_VALUE"""),96.44)</f>
        <v/>
      </c>
      <c r="F258" s="141">
        <f>IFERROR(__xludf.DUMMYFUNCTION("""COMPUTED_VALUE"""),96.44)</f>
        <v/>
      </c>
      <c r="G258" s="143">
        <f>IFERROR(__xludf.DUMMYFUNCTION("""COMPUTED_VALUE"""),7812175)</f>
        <v/>
      </c>
      <c r="H258" s="27" t="n"/>
    </row>
    <row r="259" ht="17.25" customHeight="1" s="322">
      <c r="A259" s="27" t="n"/>
      <c r="B259" s="506">
        <f>IFERROR(__xludf.DUMMYFUNCTION("""COMPUTED_VALUE"""),46204.6666666666)</f>
        <v/>
      </c>
      <c r="C259" s="141">
        <f>IFERROR(__xludf.DUMMYFUNCTION("""COMPUTED_VALUE"""),95.95)</f>
        <v/>
      </c>
      <c r="D259" s="141">
        <f>IFERROR(__xludf.DUMMYFUNCTION("""COMPUTED_VALUE"""),96.13)</f>
        <v/>
      </c>
      <c r="E259" s="141">
        <f>IFERROR(__xludf.DUMMYFUNCTION("""COMPUTED_VALUE"""),95.82)</f>
        <v/>
      </c>
      <c r="F259" s="141">
        <f>IFERROR(__xludf.DUMMYFUNCTION("""COMPUTED_VALUE"""),96.02)</f>
        <v/>
      </c>
      <c r="G259" s="143">
        <f>IFERROR(__xludf.DUMMYFUNCTION("""COMPUTED_VALUE"""),6533236)</f>
        <v/>
      </c>
      <c r="H259" s="27" t="n"/>
    </row>
    <row r="260" ht="17.25" customHeight="1" s="322">
      <c r="A260" s="27" t="n"/>
      <c r="B260" s="506">
        <f>IFERROR(__xludf.DUMMYFUNCTION("""COMPUTED_VALUE"""),46205.6666666666)</f>
        <v/>
      </c>
      <c r="C260" s="141">
        <f>IFERROR(__xludf.DUMMYFUNCTION("""COMPUTED_VALUE"""),96.11)</f>
        <v/>
      </c>
      <c r="D260" s="141">
        <f>IFERROR(__xludf.DUMMYFUNCTION("""COMPUTED_VALUE"""),96.24)</f>
        <v/>
      </c>
      <c r="E260" s="141">
        <f>IFERROR(__xludf.DUMMYFUNCTION("""COMPUTED_VALUE"""),96.02)</f>
        <v/>
      </c>
      <c r="F260" s="141">
        <f>IFERROR(__xludf.DUMMYFUNCTION("""COMPUTED_VALUE"""),96.2)</f>
        <v/>
      </c>
      <c r="G260" s="143">
        <f>IFERROR(__xludf.DUMMYFUNCTION("""COMPUTED_VALUE"""),7173024)</f>
        <v/>
      </c>
      <c r="H260" s="27" t="n"/>
    </row>
    <row r="261" ht="17.25" customHeight="1" s="322">
      <c r="A261" s="27" t="n"/>
      <c r="B261" s="506">
        <f>IFERROR(__xludf.DUMMYFUNCTION("""COMPUTED_VALUE"""),46209.6666666666)</f>
        <v/>
      </c>
      <c r="C261" s="141">
        <f>IFERROR(__xludf.DUMMYFUNCTION("""COMPUTED_VALUE"""),96.29)</f>
        <v/>
      </c>
      <c r="D261" s="141">
        <f>IFERROR(__xludf.DUMMYFUNCTION("""COMPUTED_VALUE"""),96.41)</f>
        <v/>
      </c>
      <c r="E261" s="141">
        <f>IFERROR(__xludf.DUMMYFUNCTION("""COMPUTED_VALUE"""),96.14)</f>
        <v/>
      </c>
      <c r="F261" s="141">
        <f>IFERROR(__xludf.DUMMYFUNCTION("""COMPUTED_VALUE"""),96.35)</f>
        <v/>
      </c>
      <c r="G261" s="143">
        <f>IFERROR(__xludf.DUMMYFUNCTION("""COMPUTED_VALUE"""),3853934)</f>
        <v/>
      </c>
      <c r="H261" s="27" t="n"/>
    </row>
    <row r="262" ht="17.25" customHeight="1" s="322">
      <c r="A262" s="27" t="n"/>
      <c r="B262" s="506">
        <f>IFERROR(__xludf.DUMMYFUNCTION("""COMPUTED_VALUE"""),46210.6666666666)</f>
        <v/>
      </c>
      <c r="C262" s="141">
        <f>IFERROR(__xludf.DUMMYFUNCTION("""COMPUTED_VALUE"""),96.1)</f>
        <v/>
      </c>
      <c r="D262" s="141">
        <f>IFERROR(__xludf.DUMMYFUNCTION("""COMPUTED_VALUE"""),96.21)</f>
        <v/>
      </c>
      <c r="E262" s="141">
        <f>IFERROR(__xludf.DUMMYFUNCTION("""COMPUTED_VALUE"""),95.83)</f>
        <v/>
      </c>
      <c r="F262" s="141">
        <f>IFERROR(__xludf.DUMMYFUNCTION("""COMPUTED_VALUE"""),95.94)</f>
        <v/>
      </c>
      <c r="G262" s="143">
        <f>IFERROR(__xludf.DUMMYFUNCTION("""COMPUTED_VALUE"""),4552543)</f>
        <v/>
      </c>
      <c r="H262" s="27" t="n"/>
    </row>
    <row r="263" ht="17.25" customHeight="1" s="322">
      <c r="A263" s="27" t="n"/>
      <c r="B263" s="506">
        <f>IFERROR(__xludf.DUMMYFUNCTION("""COMPUTED_VALUE"""),46211.6666666666)</f>
        <v/>
      </c>
      <c r="C263" s="141">
        <f>IFERROR(__xludf.DUMMYFUNCTION("""COMPUTED_VALUE"""),95.77)</f>
        <v/>
      </c>
      <c r="D263" s="141">
        <f>IFERROR(__xludf.DUMMYFUNCTION("""COMPUTED_VALUE"""),95.79)</f>
        <v/>
      </c>
      <c r="E263" s="141">
        <f>IFERROR(__xludf.DUMMYFUNCTION("""COMPUTED_VALUE"""),95.46)</f>
        <v/>
      </c>
      <c r="F263" s="141">
        <f>IFERROR(__xludf.DUMMYFUNCTION("""COMPUTED_VALUE"""),95.79)</f>
        <v/>
      </c>
      <c r="G263" s="143">
        <f>IFERROR(__xludf.DUMMYFUNCTION("""COMPUTED_VALUE"""),11891871)</f>
        <v/>
      </c>
      <c r="H263" s="27" t="n"/>
    </row>
    <row r="264" ht="17.25" customHeight="1" s="322">
      <c r="A264" s="27" t="n"/>
      <c r="B264" s="506">
        <f>IFERROR(__xludf.DUMMYFUNCTION("""COMPUTED_VALUE"""),46212.6666666666)</f>
        <v/>
      </c>
      <c r="C264" s="141">
        <f>IFERROR(__xludf.DUMMYFUNCTION("""COMPUTED_VALUE"""),95.73)</f>
        <v/>
      </c>
      <c r="D264" s="141">
        <f>IFERROR(__xludf.DUMMYFUNCTION("""COMPUTED_VALUE"""),96.03)</f>
        <v/>
      </c>
      <c r="E264" s="141">
        <f>IFERROR(__xludf.DUMMYFUNCTION("""COMPUTED_VALUE"""),95.7)</f>
        <v/>
      </c>
      <c r="F264" s="141">
        <f>IFERROR(__xludf.DUMMYFUNCTION("""COMPUTED_VALUE"""),95.96)</f>
        <v/>
      </c>
      <c r="G264" s="143">
        <f>IFERROR(__xludf.DUMMYFUNCTION("""COMPUTED_VALUE"""),4765194)</f>
        <v/>
      </c>
      <c r="H264" s="27" t="n"/>
    </row>
    <row r="265" ht="17.25" customHeight="1" s="322">
      <c r="A265" s="27" t="n"/>
      <c r="B265" s="506">
        <f>IFERROR(__xludf.DUMMYFUNCTION("""COMPUTED_VALUE"""),46213.6666666666)</f>
        <v/>
      </c>
      <c r="C265" s="141">
        <f>IFERROR(__xludf.DUMMYFUNCTION("""COMPUTED_VALUE"""),95.93)</f>
        <v/>
      </c>
      <c r="D265" s="141">
        <f>IFERROR(__xludf.DUMMYFUNCTION("""COMPUTED_VALUE"""),96)</f>
        <v/>
      </c>
      <c r="E265" s="141">
        <f>IFERROR(__xludf.DUMMYFUNCTION("""COMPUTED_VALUE"""),95.77)</f>
        <v/>
      </c>
      <c r="F265" s="141">
        <f>IFERROR(__xludf.DUMMYFUNCTION("""COMPUTED_VALUE"""),95.99)</f>
        <v/>
      </c>
      <c r="G265" s="143">
        <f>IFERROR(__xludf.DUMMYFUNCTION("""COMPUTED_VALUE"""),5939698)</f>
        <v/>
      </c>
      <c r="H265" s="27" t="n"/>
    </row>
    <row r="266" ht="17.25" customHeight="1" s="322">
      <c r="A266" s="27" t="n"/>
      <c r="B266" s="506">
        <f>IFERROR(__xludf.DUMMYFUNCTION("""COMPUTED_VALUE"""),46216.6666666666)</f>
        <v/>
      </c>
      <c r="C266" s="141">
        <f>IFERROR(__xludf.DUMMYFUNCTION("""COMPUTED_VALUE"""),95.69)</f>
        <v/>
      </c>
      <c r="D266" s="141">
        <f>IFERROR(__xludf.DUMMYFUNCTION("""COMPUTED_VALUE"""),95.91)</f>
        <v/>
      </c>
      <c r="E266" s="141">
        <f>IFERROR(__xludf.DUMMYFUNCTION("""COMPUTED_VALUE"""),95.33)</f>
        <v/>
      </c>
      <c r="F266" s="141">
        <f>IFERROR(__xludf.DUMMYFUNCTION("""COMPUTED_VALUE"""),95.38)</f>
        <v/>
      </c>
      <c r="G266" s="143">
        <f>IFERROR(__xludf.DUMMYFUNCTION("""COMPUTED_VALUE"""),7052517)</f>
        <v/>
      </c>
      <c r="H266" s="27" t="n"/>
    </row>
    <row r="267" ht="17.25" customHeight="1" s="322">
      <c r="A267" s="27" t="n"/>
      <c r="B267" s="506">
        <f>IFERROR(__xludf.DUMMYFUNCTION("""COMPUTED_VALUE"""),46217.6666666666)</f>
        <v/>
      </c>
      <c r="C267" s="141">
        <f>IFERROR(__xludf.DUMMYFUNCTION("""COMPUTED_VALUE"""),95.73)</f>
        <v/>
      </c>
      <c r="D267" s="141">
        <f>IFERROR(__xludf.DUMMYFUNCTION("""COMPUTED_VALUE"""),95.79)</f>
        <v/>
      </c>
      <c r="E267" s="141">
        <f>IFERROR(__xludf.DUMMYFUNCTION("""COMPUTED_VALUE"""),95.42)</f>
        <v/>
      </c>
      <c r="F267" s="141">
        <f>IFERROR(__xludf.DUMMYFUNCTION("""COMPUTED_VALUE"""),95.57)</f>
        <v/>
      </c>
      <c r="G267" s="143">
        <f>IFERROR(__xludf.DUMMYFUNCTION("""COMPUTED_VALUE"""),5672545)</f>
        <v/>
      </c>
      <c r="H267" s="27" t="n"/>
    </row>
    <row r="268" ht="17.25" customHeight="1" s="322">
      <c r="A268" s="27" t="n"/>
      <c r="B268" s="506">
        <f>IFERROR(__xludf.DUMMYFUNCTION("""COMPUTED_VALUE"""),46218.6666666666)</f>
        <v/>
      </c>
      <c r="C268" s="141">
        <f>IFERROR(__xludf.DUMMYFUNCTION("""COMPUTED_VALUE"""),95.71)</f>
        <v/>
      </c>
      <c r="D268" s="141">
        <f>IFERROR(__xludf.DUMMYFUNCTION("""COMPUTED_VALUE"""),95.83)</f>
        <v/>
      </c>
      <c r="E268" s="141">
        <f>IFERROR(__xludf.DUMMYFUNCTION("""COMPUTED_VALUE"""),95.63)</f>
        <v/>
      </c>
      <c r="F268" s="141">
        <f>IFERROR(__xludf.DUMMYFUNCTION("""COMPUTED_VALUE"""),95.73)</f>
        <v/>
      </c>
      <c r="G268" s="143">
        <f>IFERROR(__xludf.DUMMYFUNCTION("""COMPUTED_VALUE"""),4021352)</f>
        <v/>
      </c>
      <c r="H268" s="27" t="n"/>
    </row>
    <row r="269" ht="17.25" customHeight="1" s="322">
      <c r="A269" s="27" t="n"/>
      <c r="B269" s="506">
        <f>IFERROR(__xludf.DUMMYFUNCTION("""COMPUTED_VALUE"""),46219.6666666666)</f>
        <v/>
      </c>
      <c r="C269" s="141">
        <f>IFERROR(__xludf.DUMMYFUNCTION("""COMPUTED_VALUE"""),95.5)</f>
        <v/>
      </c>
      <c r="D269" s="141">
        <f>IFERROR(__xludf.DUMMYFUNCTION("""COMPUTED_VALUE"""),95.69)</f>
        <v/>
      </c>
      <c r="E269" s="141">
        <f>IFERROR(__xludf.DUMMYFUNCTION("""COMPUTED_VALUE"""),95.47)</f>
        <v/>
      </c>
      <c r="F269" s="141">
        <f>IFERROR(__xludf.DUMMYFUNCTION("""COMPUTED_VALUE"""),95.59)</f>
        <v/>
      </c>
      <c r="G269" s="143">
        <f>IFERROR(__xludf.DUMMYFUNCTION("""COMPUTED_VALUE"""),4193926)</f>
        <v/>
      </c>
      <c r="H269" s="27" t="n"/>
    </row>
    <row r="270" ht="17.25" customHeight="1" s="322">
      <c r="A270" s="27" t="n"/>
      <c r="B270" s="506">
        <f>IFERROR(__xludf.DUMMYFUNCTION("""COMPUTED_VALUE"""),46220.6666666666)</f>
        <v/>
      </c>
      <c r="C270" s="141">
        <f>IFERROR(__xludf.DUMMYFUNCTION("""COMPUTED_VALUE"""),95.67)</f>
        <v/>
      </c>
      <c r="D270" s="141">
        <f>IFERROR(__xludf.DUMMYFUNCTION("""COMPUTED_VALUE"""),95.75)</f>
        <v/>
      </c>
      <c r="E270" s="141">
        <f>IFERROR(__xludf.DUMMYFUNCTION("""COMPUTED_VALUE"""),95.5)</f>
        <v/>
      </c>
      <c r="F270" s="141">
        <f>IFERROR(__xludf.DUMMYFUNCTION("""COMPUTED_VALUE"""),95.53)</f>
        <v/>
      </c>
      <c r="G270" s="143">
        <f>IFERROR(__xludf.DUMMYFUNCTION("""COMPUTED_VALUE"""),5382076)</f>
        <v/>
      </c>
      <c r="H270" s="27" t="n"/>
    </row>
    <row r="271" ht="17.25" customHeight="1" s="322">
      <c r="A271" s="27" t="n"/>
      <c r="B271" s="506">
        <f>IFERROR(__xludf.DUMMYFUNCTION("""COMPUTED_VALUE"""),46223.6666666666)</f>
        <v/>
      </c>
      <c r="C271" s="141">
        <f>IFERROR(__xludf.DUMMYFUNCTION("""COMPUTED_VALUE"""),95.6)</f>
        <v/>
      </c>
      <c r="D271" s="141">
        <f>IFERROR(__xludf.DUMMYFUNCTION("""COMPUTED_VALUE"""),95.65)</f>
        <v/>
      </c>
      <c r="E271" s="141">
        <f>IFERROR(__xludf.DUMMYFUNCTION("""COMPUTED_VALUE"""),95.33)</f>
        <v/>
      </c>
      <c r="F271" s="141">
        <f>IFERROR(__xludf.DUMMYFUNCTION("""COMPUTED_VALUE"""),95.37)</f>
        <v/>
      </c>
      <c r="G271" s="143">
        <f>IFERROR(__xludf.DUMMYFUNCTION("""COMPUTED_VALUE"""),2928484)</f>
        <v/>
      </c>
      <c r="H271" s="27" t="n"/>
    </row>
    <row r="272" ht="17.25" customHeight="1" s="322">
      <c r="A272" s="27" t="n"/>
      <c r="B272" s="506">
        <f>IFERROR(__xludf.DUMMYFUNCTION("""COMPUTED_VALUE"""),46224.6666666666)</f>
        <v/>
      </c>
      <c r="C272" s="141">
        <f>IFERROR(__xludf.DUMMYFUNCTION("""COMPUTED_VALUE"""),95.61)</f>
        <v/>
      </c>
      <c r="D272" s="141">
        <f>IFERROR(__xludf.DUMMYFUNCTION("""COMPUTED_VALUE"""),95.61)</f>
        <v/>
      </c>
      <c r="E272" s="141">
        <f>IFERROR(__xludf.DUMMYFUNCTION("""COMPUTED_VALUE"""),95.24)</f>
        <v/>
      </c>
      <c r="F272" s="141">
        <f>IFERROR(__xludf.DUMMYFUNCTION("""COMPUTED_VALUE"""),95.38)</f>
        <v/>
      </c>
      <c r="G272" s="143">
        <f>IFERROR(__xludf.DUMMYFUNCTION("""COMPUTED_VALUE"""),4001722)</f>
        <v/>
      </c>
      <c r="H272" s="27" t="n"/>
    </row>
    <row r="273" ht="17.25" customHeight="1" s="322">
      <c r="A273" s="27" t="n"/>
      <c r="B273" s="506">
        <f>IFERROR(__xludf.DUMMYFUNCTION("""COMPUTED_VALUE"""),46225.6666666666)</f>
        <v/>
      </c>
      <c r="C273" s="141">
        <f>IFERROR(__xludf.DUMMYFUNCTION("""COMPUTED_VALUE"""),95.22)</f>
        <v/>
      </c>
      <c r="D273" s="141">
        <f>IFERROR(__xludf.DUMMYFUNCTION("""COMPUTED_VALUE"""),95.35)</f>
        <v/>
      </c>
      <c r="E273" s="141">
        <f>IFERROR(__xludf.DUMMYFUNCTION("""COMPUTED_VALUE"""),95.03)</f>
        <v/>
      </c>
      <c r="F273" s="141">
        <f>IFERROR(__xludf.DUMMYFUNCTION("""COMPUTED_VALUE"""),95.09)</f>
        <v/>
      </c>
      <c r="G273" s="143">
        <f>IFERROR(__xludf.DUMMYFUNCTION("""COMPUTED_VALUE"""),3737476)</f>
        <v/>
      </c>
      <c r="H273" s="27" t="n"/>
    </row>
    <row r="274" ht="17.25" customHeight="1" s="322">
      <c r="A274" s="27" t="n"/>
      <c r="B274" s="506">
        <f>IFERROR(__xludf.DUMMYFUNCTION("""COMPUTED_VALUE"""),46226.6666666666)</f>
        <v/>
      </c>
      <c r="C274" s="141">
        <f>IFERROR(__xludf.DUMMYFUNCTION("""COMPUTED_VALUE"""),94.66)</f>
        <v/>
      </c>
      <c r="D274" s="141">
        <f>IFERROR(__xludf.DUMMYFUNCTION("""COMPUTED_VALUE"""),94.7)</f>
        <v/>
      </c>
      <c r="E274" s="141">
        <f>IFERROR(__xludf.DUMMYFUNCTION("""COMPUTED_VALUE"""),94.49)</f>
        <v/>
      </c>
      <c r="F274" s="141">
        <f>IFERROR(__xludf.DUMMYFUNCTION("""COMPUTED_VALUE"""),94.53)</f>
        <v/>
      </c>
      <c r="G274" s="143">
        <f>IFERROR(__xludf.DUMMYFUNCTION("""COMPUTED_VALUE"""),7675561)</f>
        <v/>
      </c>
      <c r="H274" s="27" t="n"/>
    </row>
    <row r="275" ht="17.25" customHeight="1" s="322">
      <c r="A275" s="27" t="n"/>
      <c r="B275" s="506">
        <f>IFERROR(__xludf.DUMMYFUNCTION("""COMPUTED_VALUE"""),46227.6666666666)</f>
        <v/>
      </c>
      <c r="C275" s="141">
        <f>IFERROR(__xludf.DUMMYFUNCTION("""COMPUTED_VALUE"""),94.65)</f>
        <v/>
      </c>
      <c r="D275" s="141">
        <f>IFERROR(__xludf.DUMMYFUNCTION("""COMPUTED_VALUE"""),94.78)</f>
        <v/>
      </c>
      <c r="E275" s="141">
        <f>IFERROR(__xludf.DUMMYFUNCTION("""COMPUTED_VALUE"""),94.48)</f>
        <v/>
      </c>
      <c r="F275" s="141">
        <f>IFERROR(__xludf.DUMMYFUNCTION("""COMPUTED_VALUE"""),94.64)</f>
        <v/>
      </c>
      <c r="G275" s="143">
        <f>IFERROR(__xludf.DUMMYFUNCTION("""COMPUTED_VALUE"""),7179065)</f>
        <v/>
      </c>
      <c r="H275" s="27" t="n"/>
    </row>
    <row r="276" ht="17.25" customHeight="1" s="322">
      <c r="A276" s="27" t="n"/>
      <c r="B276" s="506">
        <f>IFERROR(__xludf.DUMMYFUNCTION("""COMPUTED_VALUE"""),46230.6666666666)</f>
        <v/>
      </c>
      <c r="C276" s="141">
        <f>IFERROR(__xludf.DUMMYFUNCTION("""COMPUTED_VALUE"""),95.15)</f>
        <v/>
      </c>
      <c r="D276" s="141">
        <f>IFERROR(__xludf.DUMMYFUNCTION("""COMPUTED_VALUE"""),95.15)</f>
        <v/>
      </c>
      <c r="E276" s="141">
        <f>IFERROR(__xludf.DUMMYFUNCTION("""COMPUTED_VALUE"""),94.86)</f>
        <v/>
      </c>
      <c r="F276" s="141">
        <f>IFERROR(__xludf.DUMMYFUNCTION("""COMPUTED_VALUE"""),94.96)</f>
        <v/>
      </c>
      <c r="G276" s="143">
        <f>IFERROR(__xludf.DUMMYFUNCTION("""COMPUTED_VALUE"""),3460384)</f>
        <v/>
      </c>
      <c r="H276" s="27" t="n"/>
    </row>
    <row r="277" ht="17.25" customHeight="1" s="322">
      <c r="A277" s="27" t="n"/>
      <c r="B277" s="506">
        <f>IFERROR(__xludf.DUMMYFUNCTION("""COMPUTED_VALUE"""),46231.6666666666)</f>
        <v/>
      </c>
      <c r="C277" s="141">
        <f>IFERROR(__xludf.DUMMYFUNCTION("""COMPUTED_VALUE"""),94.89)</f>
        <v/>
      </c>
      <c r="D277" s="141">
        <f>IFERROR(__xludf.DUMMYFUNCTION("""COMPUTED_VALUE"""),95.23)</f>
        <v/>
      </c>
      <c r="E277" s="141">
        <f>IFERROR(__xludf.DUMMYFUNCTION("""COMPUTED_VALUE"""),94.87)</f>
        <v/>
      </c>
      <c r="F277" s="141">
        <f>IFERROR(__xludf.DUMMYFUNCTION("""COMPUTED_VALUE"""),95.19)</f>
        <v/>
      </c>
      <c r="G277" s="143">
        <f>IFERROR(__xludf.DUMMYFUNCTION("""COMPUTED_VALUE"""),6840278)</f>
        <v/>
      </c>
      <c r="H277" s="27" t="n"/>
    </row>
    <row r="278" ht="17.25" customHeight="1" s="322">
      <c r="A278" s="27" t="n"/>
      <c r="B278" s="506">
        <f>IFERROR(__xludf.DUMMYFUNCTION("""COMPUTED_VALUE"""),46232.6666666666)</f>
        <v/>
      </c>
      <c r="C278" s="141">
        <f>IFERROR(__xludf.DUMMYFUNCTION("""COMPUTED_VALUE"""),94.97)</f>
        <v/>
      </c>
      <c r="D278" s="141">
        <f>IFERROR(__xludf.DUMMYFUNCTION("""COMPUTED_VALUE"""),95.06)</f>
        <v/>
      </c>
      <c r="E278" s="141">
        <f>IFERROR(__xludf.DUMMYFUNCTION("""COMPUTED_VALUE"""),94.51)</f>
        <v/>
      </c>
      <c r="F278" s="141">
        <f>IFERROR(__xludf.DUMMYFUNCTION("""COMPUTED_VALUE"""),94.56)</f>
        <v/>
      </c>
      <c r="G278" s="143">
        <f>IFERROR(__xludf.DUMMYFUNCTION("""COMPUTED_VALUE"""),7479451)</f>
        <v/>
      </c>
      <c r="H278" s="27" t="n"/>
    </row>
    <row r="279" ht="17.25" customHeight="1" s="322">
      <c r="A279" s="27" t="n"/>
      <c r="B279" s="506" t="n"/>
      <c r="C279" s="141" t="n"/>
      <c r="D279" s="141" t="n"/>
      <c r="E279" s="141" t="n"/>
      <c r="F279" s="141" t="n"/>
      <c r="G279" s="143" t="n"/>
      <c r="H279" s="27" t="n"/>
    </row>
    <row r="280" ht="17.25" customHeight="1" s="322">
      <c r="A280" s="27" t="n"/>
      <c r="B280" s="506" t="n"/>
      <c r="C280" s="141" t="n"/>
      <c r="D280" s="141" t="n"/>
      <c r="E280" s="141" t="n"/>
      <c r="F280" s="141" t="n"/>
      <c r="G280" s="143" t="n"/>
      <c r="H280" s="27" t="n"/>
    </row>
    <row r="281" ht="17.25" customHeight="1" s="322">
      <c r="A281" s="27" t="n"/>
      <c r="B281" s="506" t="n"/>
      <c r="C281" s="141" t="n"/>
      <c r="D281" s="141" t="n"/>
      <c r="E281" s="141" t="n"/>
      <c r="F281" s="141" t="n"/>
      <c r="G281" s="143" t="n"/>
      <c r="H281" s="27" t="n"/>
    </row>
    <row r="282" ht="17.25" customHeight="1" s="322">
      <c r="A282" s="27" t="n"/>
      <c r="B282" s="506" t="n"/>
      <c r="C282" s="141" t="n"/>
      <c r="D282" s="141" t="n"/>
      <c r="E282" s="141" t="n"/>
      <c r="F282" s="141" t="n"/>
      <c r="G282" s="143" t="n"/>
      <c r="H282" s="27" t="n"/>
    </row>
    <row r="283" ht="17.25" customHeight="1" s="322">
      <c r="A283" s="27" t="n"/>
      <c r="B283" s="506" t="n"/>
      <c r="C283" s="141" t="n"/>
      <c r="D283" s="141" t="n"/>
      <c r="E283" s="141" t="n"/>
      <c r="F283" s="141" t="n"/>
      <c r="G283" s="143" t="n"/>
      <c r="H283" s="27" t="n"/>
    </row>
    <row r="284" ht="17.25" customHeight="1" s="322">
      <c r="A284" s="27" t="n"/>
      <c r="B284" s="506" t="n"/>
      <c r="C284" s="141" t="n"/>
      <c r="D284" s="141" t="n"/>
      <c r="E284" s="141" t="n"/>
      <c r="F284" s="141" t="n"/>
      <c r="G284" s="143" t="n"/>
      <c r="H284" s="27" t="n"/>
    </row>
    <row r="285" ht="17.25" customHeight="1" s="322">
      <c r="A285" s="27" t="n"/>
      <c r="B285" s="506" t="n"/>
      <c r="C285" s="141" t="n"/>
      <c r="D285" s="141" t="n"/>
      <c r="E285" s="141" t="n"/>
      <c r="F285" s="141" t="n"/>
      <c r="G285" s="143" t="n"/>
      <c r="H285" s="27" t="n"/>
    </row>
    <row r="286" ht="17.25" customHeight="1" s="322">
      <c r="A286" s="27" t="n"/>
      <c r="B286" s="506" t="n"/>
      <c r="C286" s="141" t="n"/>
      <c r="D286" s="141" t="n"/>
      <c r="E286" s="141" t="n"/>
      <c r="F286" s="141" t="n"/>
      <c r="G286" s="143" t="n"/>
      <c r="H286" s="27" t="n"/>
    </row>
    <row r="287" ht="17.25" customHeight="1" s="322">
      <c r="A287" s="27" t="n"/>
      <c r="B287" s="506" t="n"/>
      <c r="C287" s="141" t="n"/>
      <c r="D287" s="141" t="n"/>
      <c r="E287" s="141" t="n"/>
      <c r="F287" s="141" t="n"/>
      <c r="G287" s="143" t="n"/>
      <c r="H287" s="27" t="n"/>
    </row>
    <row r="288" ht="17.25" customHeight="1" s="322">
      <c r="A288" s="27" t="n"/>
      <c r="B288" s="506" t="n"/>
      <c r="C288" s="141" t="n"/>
      <c r="D288" s="141" t="n"/>
      <c r="E288" s="141" t="n"/>
      <c r="F288" s="141" t="n"/>
      <c r="G288" s="143" t="n"/>
      <c r="H288" s="27" t="n"/>
    </row>
    <row r="289" ht="17.25" customHeight="1" s="322">
      <c r="A289" s="27" t="n"/>
      <c r="B289" s="506" t="n"/>
      <c r="C289" s="141" t="n"/>
      <c r="D289" s="141" t="n"/>
      <c r="E289" s="141" t="n"/>
      <c r="F289" s="141" t="n"/>
      <c r="G289" s="143" t="n"/>
      <c r="H289" s="27" t="n"/>
    </row>
    <row r="290" ht="17.25" customHeight="1" s="322">
      <c r="A290" s="27" t="n"/>
      <c r="B290" s="506" t="n"/>
      <c r="C290" s="141" t="n"/>
      <c r="D290" s="141" t="n"/>
      <c r="E290" s="141" t="n"/>
      <c r="F290" s="141" t="n"/>
      <c r="G290" s="143" t="n"/>
      <c r="H290" s="27" t="n"/>
    </row>
    <row r="291" ht="17.25" customHeight="1" s="322">
      <c r="A291" s="27" t="n"/>
      <c r="B291" s="506" t="n"/>
      <c r="C291" s="141" t="n"/>
      <c r="D291" s="141" t="n"/>
      <c r="E291" s="141" t="n"/>
      <c r="F291" s="141" t="n"/>
      <c r="G291" s="143" t="n"/>
      <c r="H291" s="27" t="n"/>
    </row>
    <row r="292" ht="17.25" customHeight="1" s="322">
      <c r="A292" s="27" t="n"/>
      <c r="B292" s="506" t="n"/>
      <c r="C292" s="141" t="n"/>
      <c r="D292" s="141" t="n"/>
      <c r="E292" s="141" t="n"/>
      <c r="F292" s="141" t="n"/>
      <c r="G292" s="143" t="n"/>
      <c r="H292" s="27" t="n"/>
    </row>
    <row r="293" ht="17.25" customHeight="1" s="322">
      <c r="A293" s="27" t="n"/>
      <c r="B293" s="506" t="n"/>
      <c r="C293" s="141" t="n"/>
      <c r="D293" s="141" t="n"/>
      <c r="E293" s="141" t="n"/>
      <c r="F293" s="141" t="n"/>
      <c r="G293" s="143" t="n"/>
      <c r="H293" s="27" t="n"/>
    </row>
    <row r="294" ht="17.25" customHeight="1" s="322">
      <c r="A294" s="27" t="n"/>
      <c r="B294" s="506" t="n"/>
      <c r="C294" s="141" t="n"/>
      <c r="D294" s="141" t="n"/>
      <c r="E294" s="141" t="n"/>
      <c r="F294" s="141" t="n"/>
      <c r="G294" s="143" t="n"/>
      <c r="H294" s="27" t="n"/>
    </row>
    <row r="295" ht="17.25" customHeight="1" s="322">
      <c r="A295" s="27" t="n"/>
      <c r="B295" s="506" t="n"/>
      <c r="C295" s="141" t="n"/>
      <c r="D295" s="141" t="n"/>
      <c r="E295" s="141" t="n"/>
      <c r="F295" s="141" t="n"/>
      <c r="G295" s="143" t="n"/>
      <c r="H295" s="27" t="n"/>
    </row>
    <row r="296" ht="17.25" customHeight="1" s="322">
      <c r="A296" s="27" t="n"/>
      <c r="B296" s="506" t="n"/>
      <c r="C296" s="141" t="n"/>
      <c r="D296" s="141" t="n"/>
      <c r="E296" s="141" t="n"/>
      <c r="F296" s="141" t="n"/>
      <c r="G296" s="143" t="n"/>
      <c r="H296" s="27" t="n"/>
    </row>
    <row r="297" ht="17.25" customHeight="1" s="322">
      <c r="A297" s="27" t="n"/>
      <c r="B297" s="506" t="n"/>
      <c r="C297" s="141" t="n"/>
      <c r="D297" s="141" t="n"/>
      <c r="E297" s="141" t="n"/>
      <c r="F297" s="141" t="n"/>
      <c r="G297" s="143" t="n"/>
      <c r="H297" s="27" t="n"/>
    </row>
    <row r="298" ht="17.25" customHeight="1" s="322">
      <c r="A298" s="27" t="n"/>
      <c r="B298" s="506" t="n"/>
      <c r="C298" s="141" t="n"/>
      <c r="D298" s="141" t="n"/>
      <c r="E298" s="141" t="n"/>
      <c r="F298" s="141" t="n"/>
      <c r="G298" s="143" t="n"/>
      <c r="H298" s="27" t="n"/>
    </row>
    <row r="299" ht="17.25" customHeight="1" s="322">
      <c r="A299" s="27" t="n"/>
      <c r="B299" s="506" t="n"/>
      <c r="C299" s="141" t="n"/>
      <c r="D299" s="141" t="n"/>
      <c r="E299" s="141" t="n"/>
      <c r="F299" s="141" t="n"/>
      <c r="G299" s="143" t="n"/>
      <c r="H299" s="27" t="n"/>
    </row>
    <row r="300" ht="17.25" customHeight="1" s="322">
      <c r="A300" s="27" t="n"/>
      <c r="B300" s="506" t="n"/>
      <c r="C300" s="141" t="n"/>
      <c r="D300" s="141" t="n"/>
      <c r="E300" s="141" t="n"/>
      <c r="F300" s="141" t="n"/>
      <c r="G300" s="143" t="n"/>
      <c r="H300" s="27" t="n"/>
    </row>
    <row r="301" ht="17.25" customHeight="1" s="322">
      <c r="A301" s="27" t="n"/>
      <c r="B301" s="506" t="n"/>
      <c r="C301" s="141" t="n"/>
      <c r="D301" s="141" t="n"/>
      <c r="E301" s="141" t="n"/>
      <c r="F301" s="141" t="n"/>
      <c r="G301" s="143" t="n"/>
      <c r="H301" s="27" t="n"/>
    </row>
    <row r="302" ht="17.25" customHeight="1" s="322">
      <c r="A302" s="27" t="n"/>
      <c r="B302" s="506" t="n"/>
      <c r="C302" s="141" t="n"/>
      <c r="D302" s="141" t="n"/>
      <c r="E302" s="141" t="n"/>
      <c r="F302" s="141" t="n"/>
      <c r="G302" s="143" t="n"/>
      <c r="H302" s="27" t="n"/>
    </row>
    <row r="303" ht="17.25" customHeight="1" s="322">
      <c r="A303" s="27" t="n"/>
      <c r="B303" s="506" t="n"/>
      <c r="C303" s="141" t="n"/>
      <c r="D303" s="141" t="n"/>
      <c r="E303" s="141" t="n"/>
      <c r="F303" s="141" t="n"/>
      <c r="G303" s="143" t="n"/>
      <c r="H303" s="27" t="n"/>
    </row>
    <row r="304" ht="17.25" customHeight="1" s="322">
      <c r="A304" s="27" t="n"/>
      <c r="B304" s="506" t="n"/>
      <c r="C304" s="141" t="n"/>
      <c r="D304" s="141" t="n"/>
      <c r="E304" s="141" t="n"/>
      <c r="F304" s="141" t="n"/>
      <c r="G304" s="143" t="n"/>
      <c r="H304" s="27" t="n"/>
    </row>
    <row r="305" ht="17.25" customHeight="1" s="322">
      <c r="A305" s="27" t="n"/>
      <c r="B305" s="506" t="n"/>
      <c r="C305" s="141" t="n"/>
      <c r="D305" s="141" t="n"/>
      <c r="E305" s="141" t="n"/>
      <c r="F305" s="141" t="n"/>
      <c r="G305" s="143" t="n"/>
      <c r="H305" s="27" t="n"/>
    </row>
    <row r="306" ht="17.25" customHeight="1" s="322">
      <c r="A306" s="27" t="n"/>
      <c r="B306" s="506" t="n"/>
      <c r="C306" s="141" t="n"/>
      <c r="D306" s="141" t="n"/>
      <c r="E306" s="141" t="n"/>
      <c r="F306" s="141" t="n"/>
      <c r="G306" s="143" t="n"/>
      <c r="H306" s="27" t="n"/>
    </row>
    <row r="307" ht="17.25" customHeight="1" s="322">
      <c r="A307" s="27" t="n"/>
      <c r="B307" s="506" t="n"/>
      <c r="C307" s="141" t="n"/>
      <c r="D307" s="141" t="n"/>
      <c r="E307" s="141" t="n"/>
      <c r="F307" s="141" t="n"/>
      <c r="G307" s="143" t="n"/>
      <c r="H307" s="27" t="n"/>
    </row>
    <row r="308" ht="17.25" customHeight="1" s="322">
      <c r="A308" s="27" t="n"/>
      <c r="B308" s="506" t="n"/>
      <c r="C308" s="141" t="n"/>
      <c r="D308" s="141" t="n"/>
      <c r="E308" s="141" t="n"/>
      <c r="F308" s="141" t="n"/>
      <c r="G308" s="143" t="n"/>
      <c r="H308" s="27" t="n"/>
    </row>
    <row r="309" ht="17.25" customHeight="1" s="322">
      <c r="A309" s="27" t="n"/>
      <c r="B309" s="506" t="n"/>
      <c r="C309" s="141" t="n"/>
      <c r="D309" s="141" t="n"/>
      <c r="E309" s="141" t="n"/>
      <c r="F309" s="141" t="n"/>
      <c r="G309" s="143" t="n"/>
      <c r="H309" s="27" t="n"/>
    </row>
    <row r="310" ht="17.25" customHeight="1" s="322">
      <c r="A310" s="27" t="n"/>
      <c r="B310" s="506" t="n"/>
      <c r="C310" s="141" t="n"/>
      <c r="D310" s="141" t="n"/>
      <c r="E310" s="141" t="n"/>
      <c r="F310" s="141" t="n"/>
      <c r="G310" s="143" t="n"/>
      <c r="H310" s="27" t="n"/>
    </row>
    <row r="311" ht="17.25" customHeight="1" s="322">
      <c r="A311" s="27" t="n"/>
      <c r="B311" s="506" t="n"/>
      <c r="C311" s="141" t="n"/>
      <c r="D311" s="141" t="n"/>
      <c r="E311" s="141" t="n"/>
      <c r="F311" s="141" t="n"/>
      <c r="G311" s="143" t="n"/>
      <c r="H311" s="27" t="n"/>
    </row>
    <row r="312" ht="17.25" customHeight="1" s="322">
      <c r="A312" s="27" t="n"/>
      <c r="B312" s="506" t="n"/>
      <c r="C312" s="141" t="n"/>
      <c r="D312" s="141" t="n"/>
      <c r="E312" s="141" t="n"/>
      <c r="F312" s="141" t="n"/>
      <c r="G312" s="143" t="n"/>
      <c r="H312" s="27" t="n"/>
    </row>
    <row r="313" ht="17.25" customHeight="1" s="322">
      <c r="A313" s="27" t="n"/>
      <c r="B313" s="506" t="n"/>
      <c r="C313" s="141" t="n"/>
      <c r="D313" s="141" t="n"/>
      <c r="E313" s="141" t="n"/>
      <c r="F313" s="141" t="n"/>
      <c r="G313" s="143" t="n"/>
      <c r="H313" s="27" t="n"/>
    </row>
    <row r="314" ht="17.25" customHeight="1" s="322">
      <c r="A314" s="27" t="n"/>
      <c r="B314" s="506" t="n"/>
      <c r="C314" s="141" t="n"/>
      <c r="D314" s="141" t="n"/>
      <c r="E314" s="141" t="n"/>
      <c r="F314" s="141" t="n"/>
      <c r="G314" s="143" t="n"/>
      <c r="H314" s="27" t="n"/>
    </row>
    <row r="315" ht="17.25" customHeight="1" s="322">
      <c r="A315" s="27" t="n"/>
      <c r="B315" s="506" t="n"/>
      <c r="C315" s="141" t="n"/>
      <c r="D315" s="141" t="n"/>
      <c r="E315" s="141" t="n"/>
      <c r="F315" s="141" t="n"/>
      <c r="G315" s="143" t="n"/>
      <c r="H315" s="27" t="n"/>
    </row>
    <row r="316" ht="17.25" customHeight="1" s="322">
      <c r="A316" s="27" t="n"/>
      <c r="B316" s="506" t="n"/>
      <c r="C316" s="141" t="n"/>
      <c r="D316" s="141" t="n"/>
      <c r="E316" s="141" t="n"/>
      <c r="F316" s="141" t="n"/>
      <c r="G316" s="143" t="n"/>
      <c r="H316" s="27" t="n"/>
    </row>
    <row r="317" ht="17.25" customHeight="1" s="322">
      <c r="A317" s="27" t="n"/>
      <c r="B317" s="506" t="n"/>
      <c r="C317" s="141" t="n"/>
      <c r="D317" s="141" t="n"/>
      <c r="E317" s="141" t="n"/>
      <c r="F317" s="141" t="n"/>
      <c r="G317" s="143" t="n"/>
      <c r="H317" s="27" t="n"/>
    </row>
    <row r="318" ht="17.25" customHeight="1" s="322">
      <c r="A318" s="27" t="n"/>
      <c r="B318" s="506" t="n"/>
      <c r="C318" s="141" t="n"/>
      <c r="D318" s="141" t="n"/>
      <c r="E318" s="141" t="n"/>
      <c r="F318" s="141" t="n"/>
      <c r="G318" s="143" t="n"/>
      <c r="H318" s="27" t="n"/>
    </row>
    <row r="319" ht="17.25" customHeight="1" s="322">
      <c r="A319" s="27" t="n"/>
      <c r="B319" s="506" t="n"/>
      <c r="C319" s="141" t="n"/>
      <c r="D319" s="141" t="n"/>
      <c r="E319" s="141" t="n"/>
      <c r="F319" s="141" t="n"/>
      <c r="G319" s="143" t="n"/>
      <c r="H319" s="27" t="n"/>
    </row>
    <row r="320" ht="17.25" customHeight="1" s="322">
      <c r="A320" s="27" t="n"/>
      <c r="B320" s="506" t="n"/>
      <c r="C320" s="141" t="n"/>
      <c r="D320" s="141" t="n"/>
      <c r="E320" s="141" t="n"/>
      <c r="F320" s="141" t="n"/>
      <c r="G320" s="143" t="n"/>
      <c r="H320" s="27" t="n"/>
    </row>
    <row r="321" ht="17.25" customHeight="1" s="322">
      <c r="A321" s="27" t="n"/>
      <c r="B321" s="506" t="n"/>
      <c r="C321" s="141" t="n"/>
      <c r="D321" s="141" t="n"/>
      <c r="E321" s="141" t="n"/>
      <c r="F321" s="141" t="n"/>
      <c r="G321" s="143" t="n"/>
      <c r="H321" s="27" t="n"/>
    </row>
    <row r="322" ht="17.25" customHeight="1" s="322">
      <c r="A322" s="27" t="n"/>
      <c r="B322" s="506" t="n"/>
      <c r="C322" s="141" t="n"/>
      <c r="D322" s="141" t="n"/>
      <c r="E322" s="141" t="n"/>
      <c r="F322" s="141" t="n"/>
      <c r="G322" s="143" t="n"/>
      <c r="H322" s="27" t="n"/>
    </row>
    <row r="323" ht="17.25" customHeight="1" s="322">
      <c r="A323" s="27" t="n"/>
      <c r="B323" s="506" t="n"/>
      <c r="C323" s="141" t="n"/>
      <c r="D323" s="141" t="n"/>
      <c r="E323" s="141" t="n"/>
      <c r="F323" s="141" t="n"/>
      <c r="G323" s="143" t="n"/>
      <c r="H323" s="27" t="n"/>
    </row>
    <row r="324" ht="17.25" customHeight="1" s="322">
      <c r="A324" s="27" t="n"/>
      <c r="B324" s="506" t="n"/>
      <c r="C324" s="141" t="n"/>
      <c r="D324" s="141" t="n"/>
      <c r="E324" s="141" t="n"/>
      <c r="F324" s="141" t="n"/>
      <c r="G324" s="143" t="n"/>
      <c r="H324" s="27" t="n"/>
    </row>
    <row r="325" ht="17.25" customHeight="1" s="322">
      <c r="A325" s="27" t="n"/>
      <c r="B325" s="506" t="n"/>
      <c r="C325" s="141" t="n"/>
      <c r="D325" s="141" t="n"/>
      <c r="E325" s="141" t="n"/>
      <c r="F325" s="141" t="n"/>
      <c r="G325" s="143" t="n"/>
      <c r="H325" s="27" t="n"/>
    </row>
    <row r="326" ht="17.25" customHeight="1" s="322">
      <c r="A326" s="27" t="n"/>
      <c r="B326" s="506" t="n"/>
      <c r="C326" s="141" t="n"/>
      <c r="D326" s="141" t="n"/>
      <c r="E326" s="141" t="n"/>
      <c r="F326" s="141" t="n"/>
      <c r="G326" s="143" t="n"/>
      <c r="H326" s="27" t="n"/>
    </row>
    <row r="327" ht="17.25" customHeight="1" s="322">
      <c r="A327" s="27" t="n"/>
      <c r="B327" s="506" t="n"/>
      <c r="C327" s="141" t="n"/>
      <c r="D327" s="141" t="n"/>
      <c r="E327" s="141" t="n"/>
      <c r="F327" s="141" t="n"/>
      <c r="G327" s="143" t="n"/>
      <c r="H327" s="27" t="n"/>
    </row>
    <row r="328" ht="17.25" customHeight="1" s="322">
      <c r="A328" s="27" t="n"/>
      <c r="B328" s="506" t="n"/>
      <c r="C328" s="141" t="n"/>
      <c r="D328" s="141" t="n"/>
      <c r="E328" s="141" t="n"/>
      <c r="F328" s="141" t="n"/>
      <c r="G328" s="143" t="n"/>
      <c r="H328" s="27" t="n"/>
    </row>
    <row r="329" ht="17.25" customHeight="1" s="322">
      <c r="A329" s="27" t="n"/>
      <c r="B329" s="506" t="n"/>
      <c r="C329" s="141" t="n"/>
      <c r="D329" s="141" t="n"/>
      <c r="E329" s="141" t="n"/>
      <c r="F329" s="141" t="n"/>
      <c r="G329" s="143" t="n"/>
      <c r="H329" s="27" t="n"/>
    </row>
    <row r="330" ht="17.25" customHeight="1" s="322">
      <c r="A330" s="27" t="n"/>
      <c r="B330" s="506" t="n"/>
      <c r="C330" s="141" t="n"/>
      <c r="D330" s="141" t="n"/>
      <c r="E330" s="141" t="n"/>
      <c r="F330" s="141" t="n"/>
      <c r="G330" s="143" t="n"/>
      <c r="H330" s="27" t="n"/>
    </row>
    <row r="331" ht="17.25" customHeight="1" s="322">
      <c r="A331" s="27" t="n"/>
      <c r="B331" s="506" t="n"/>
      <c r="C331" s="141" t="n"/>
      <c r="D331" s="141" t="n"/>
      <c r="E331" s="141" t="n"/>
      <c r="F331" s="141" t="n"/>
      <c r="G331" s="143" t="n"/>
      <c r="H331" s="27" t="n"/>
    </row>
    <row r="332" ht="17.25" customHeight="1" s="322">
      <c r="A332" s="27" t="n"/>
      <c r="B332" s="506" t="n"/>
      <c r="C332" s="141" t="n"/>
      <c r="D332" s="141" t="n"/>
      <c r="E332" s="141" t="n"/>
      <c r="F332" s="141" t="n"/>
      <c r="G332" s="143" t="n"/>
      <c r="H332" s="27" t="n"/>
    </row>
    <row r="333" ht="17.25" customHeight="1" s="322">
      <c r="A333" s="27" t="n"/>
      <c r="B333" s="506" t="n"/>
      <c r="C333" s="141" t="n"/>
      <c r="D333" s="141" t="n"/>
      <c r="E333" s="141" t="n"/>
      <c r="F333" s="141" t="n"/>
      <c r="G333" s="143" t="n"/>
      <c r="H333" s="27" t="n"/>
    </row>
    <row r="334" ht="17.25" customHeight="1" s="322">
      <c r="A334" s="27" t="n"/>
      <c r="B334" s="506" t="n"/>
      <c r="C334" s="141" t="n"/>
      <c r="D334" s="141" t="n"/>
      <c r="E334" s="141" t="n"/>
      <c r="F334" s="141" t="n"/>
      <c r="G334" s="143" t="n"/>
      <c r="H334" s="27" t="n"/>
    </row>
    <row r="335" ht="17.25" customHeight="1" s="322">
      <c r="A335" s="27" t="n"/>
      <c r="B335" s="506" t="n"/>
      <c r="C335" s="141" t="n"/>
      <c r="D335" s="141" t="n"/>
      <c r="E335" s="141" t="n"/>
      <c r="F335" s="141" t="n"/>
      <c r="G335" s="143" t="n"/>
      <c r="H335" s="27" t="n"/>
    </row>
    <row r="336" ht="17.25" customHeight="1" s="322">
      <c r="A336" s="27" t="n"/>
      <c r="B336" s="506" t="n"/>
      <c r="C336" s="141" t="n"/>
      <c r="D336" s="141" t="n"/>
      <c r="E336" s="141" t="n"/>
      <c r="F336" s="141" t="n"/>
      <c r="G336" s="143" t="n"/>
      <c r="H336" s="27" t="n"/>
    </row>
    <row r="337" ht="17.25" customHeight="1" s="322">
      <c r="A337" s="27" t="n"/>
      <c r="B337" s="506" t="n"/>
      <c r="C337" s="141" t="n"/>
      <c r="D337" s="141" t="n"/>
      <c r="E337" s="141" t="n"/>
      <c r="F337" s="141" t="n"/>
      <c r="G337" s="143" t="n"/>
      <c r="H337" s="27" t="n"/>
    </row>
    <row r="338" ht="17.25" customHeight="1" s="322">
      <c r="A338" s="27" t="n"/>
      <c r="B338" s="506" t="n"/>
      <c r="C338" s="141" t="n"/>
      <c r="D338" s="141" t="n"/>
      <c r="E338" s="141" t="n"/>
      <c r="F338" s="141" t="n"/>
      <c r="G338" s="143" t="n"/>
      <c r="H338" s="27" t="n"/>
    </row>
    <row r="339" ht="17.25" customHeight="1" s="322">
      <c r="A339" s="27" t="n"/>
      <c r="B339" s="506" t="n"/>
      <c r="C339" s="141" t="n"/>
      <c r="D339" s="141" t="n"/>
      <c r="E339" s="141" t="n"/>
      <c r="F339" s="141" t="n"/>
      <c r="G339" s="143" t="n"/>
      <c r="H339" s="27" t="n"/>
    </row>
    <row r="340" ht="17.25" customHeight="1" s="322">
      <c r="A340" s="27" t="n"/>
      <c r="B340" s="506" t="n"/>
      <c r="C340" s="141" t="n"/>
      <c r="D340" s="141" t="n"/>
      <c r="E340" s="141" t="n"/>
      <c r="F340" s="141" t="n"/>
      <c r="G340" s="143" t="n"/>
      <c r="H340" s="27" t="n"/>
    </row>
    <row r="341" ht="17.25" customHeight="1" s="322">
      <c r="A341" s="27" t="n"/>
      <c r="B341" s="506" t="n"/>
      <c r="C341" s="141" t="n"/>
      <c r="D341" s="141" t="n"/>
      <c r="E341" s="141" t="n"/>
      <c r="F341" s="141" t="n"/>
      <c r="G341" s="143" t="n"/>
      <c r="H341" s="27" t="n"/>
    </row>
    <row r="342" ht="17.25" customHeight="1" s="322">
      <c r="A342" s="27" t="n"/>
      <c r="B342" s="506" t="n"/>
      <c r="C342" s="141" t="n"/>
      <c r="D342" s="141" t="n"/>
      <c r="E342" s="141" t="n"/>
      <c r="F342" s="141" t="n"/>
      <c r="G342" s="143" t="n"/>
      <c r="H342" s="27" t="n"/>
    </row>
    <row r="343" ht="17.25" customHeight="1" s="322">
      <c r="A343" s="27" t="n"/>
      <c r="B343" s="506" t="n"/>
      <c r="C343" s="141" t="n"/>
      <c r="D343" s="141" t="n"/>
      <c r="E343" s="141" t="n"/>
      <c r="F343" s="141" t="n"/>
      <c r="G343" s="143" t="n"/>
      <c r="H343" s="27" t="n"/>
    </row>
    <row r="344" ht="17.25" customHeight="1" s="322">
      <c r="A344" s="27" t="n"/>
      <c r="B344" s="506" t="n"/>
      <c r="C344" s="141" t="n"/>
      <c r="D344" s="141" t="n"/>
      <c r="E344" s="141" t="n"/>
      <c r="F344" s="141" t="n"/>
      <c r="G344" s="143" t="n"/>
      <c r="H344" s="27" t="n"/>
    </row>
    <row r="345" ht="17.25" customHeight="1" s="322">
      <c r="A345" s="27" t="n"/>
      <c r="B345" s="506" t="n"/>
      <c r="C345" s="141" t="n"/>
      <c r="D345" s="141" t="n"/>
      <c r="E345" s="141" t="n"/>
      <c r="F345" s="141" t="n"/>
      <c r="G345" s="143" t="n"/>
      <c r="H345" s="27" t="n"/>
    </row>
    <row r="346" ht="17.25" customHeight="1" s="322">
      <c r="A346" s="27" t="n"/>
      <c r="B346" s="506" t="n"/>
      <c r="C346" s="141" t="n"/>
      <c r="D346" s="141" t="n"/>
      <c r="E346" s="141" t="n"/>
      <c r="F346" s="141" t="n"/>
      <c r="G346" s="143" t="n"/>
      <c r="H346" s="27" t="n"/>
    </row>
    <row r="347" ht="17.25" customHeight="1" s="322">
      <c r="A347" s="27" t="n"/>
      <c r="B347" s="506" t="n"/>
      <c r="C347" s="141" t="n"/>
      <c r="D347" s="141" t="n"/>
      <c r="E347" s="141" t="n"/>
      <c r="F347" s="141" t="n"/>
      <c r="G347" s="143" t="n"/>
      <c r="H347" s="27" t="n"/>
    </row>
    <row r="348" ht="17.25" customHeight="1" s="322">
      <c r="A348" s="27" t="n"/>
      <c r="B348" s="506" t="n"/>
      <c r="C348" s="141" t="n"/>
      <c r="D348" s="141" t="n"/>
      <c r="E348" s="141" t="n"/>
      <c r="F348" s="141" t="n"/>
      <c r="G348" s="143" t="n"/>
      <c r="H348" s="27" t="n"/>
    </row>
    <row r="349" ht="17.25" customHeight="1" s="322">
      <c r="A349" s="27" t="n"/>
      <c r="B349" s="506" t="n"/>
      <c r="C349" s="141" t="n"/>
      <c r="D349" s="141" t="n"/>
      <c r="E349" s="141" t="n"/>
      <c r="F349" s="141" t="n"/>
      <c r="G349" s="143" t="n"/>
      <c r="H349" s="27" t="n"/>
    </row>
    <row r="350" ht="17.25" customHeight="1" s="322">
      <c r="A350" s="27" t="n"/>
      <c r="B350" s="506" t="n"/>
      <c r="C350" s="141" t="n"/>
      <c r="D350" s="141" t="n"/>
      <c r="E350" s="141" t="n"/>
      <c r="F350" s="141" t="n"/>
      <c r="G350" s="143" t="n"/>
      <c r="H350" s="27" t="n"/>
    </row>
    <row r="351" ht="17.25" customHeight="1" s="322">
      <c r="A351" s="27" t="n"/>
      <c r="B351" s="506" t="n"/>
      <c r="C351" s="141" t="n"/>
      <c r="D351" s="141" t="n"/>
      <c r="E351" s="141" t="n"/>
      <c r="F351" s="141" t="n"/>
      <c r="G351" s="143" t="n"/>
      <c r="H351" s="27" t="n"/>
    </row>
    <row r="352" ht="17.25" customHeight="1" s="322">
      <c r="A352" s="27" t="n"/>
      <c r="B352" s="506" t="n"/>
      <c r="C352" s="141" t="n"/>
      <c r="D352" s="141" t="n"/>
      <c r="E352" s="141" t="n"/>
      <c r="F352" s="141" t="n"/>
      <c r="G352" s="143" t="n"/>
      <c r="H352" s="27" t="n"/>
    </row>
    <row r="353" ht="17.25" customHeight="1" s="322">
      <c r="A353" s="27" t="n"/>
      <c r="B353" s="506" t="n"/>
      <c r="C353" s="141" t="n"/>
      <c r="D353" s="141" t="n"/>
      <c r="E353" s="141" t="n"/>
      <c r="F353" s="141" t="n"/>
      <c r="G353" s="143" t="n"/>
      <c r="H353" s="27" t="n"/>
    </row>
    <row r="354" ht="17.25" customHeight="1" s="322">
      <c r="A354" s="27" t="n"/>
      <c r="B354" s="506" t="n"/>
      <c r="C354" s="141" t="n"/>
      <c r="D354" s="141" t="n"/>
      <c r="E354" s="141" t="n"/>
      <c r="F354" s="141" t="n"/>
      <c r="G354" s="143" t="n"/>
      <c r="H354" s="27" t="n"/>
    </row>
    <row r="355" ht="17.25" customHeight="1" s="322">
      <c r="A355" s="27" t="n"/>
      <c r="B355" s="506" t="n"/>
      <c r="C355" s="141" t="n"/>
      <c r="D355" s="141" t="n"/>
      <c r="E355" s="141" t="n"/>
      <c r="F355" s="141" t="n"/>
      <c r="G355" s="143" t="n"/>
      <c r="H355" s="27" t="n"/>
    </row>
    <row r="356" ht="17.25" customHeight="1" s="322">
      <c r="A356" s="27" t="n"/>
      <c r="B356" s="506" t="n"/>
      <c r="C356" s="141" t="n"/>
      <c r="D356" s="141" t="n"/>
      <c r="E356" s="141" t="n"/>
      <c r="F356" s="141" t="n"/>
      <c r="G356" s="143" t="n"/>
      <c r="H356" s="27" t="n"/>
    </row>
    <row r="357" ht="17.25" customHeight="1" s="322">
      <c r="A357" s="27" t="n"/>
      <c r="B357" s="506" t="n"/>
      <c r="C357" s="141" t="n"/>
      <c r="D357" s="141" t="n"/>
      <c r="E357" s="141" t="n"/>
      <c r="F357" s="141" t="n"/>
      <c r="G357" s="143" t="n"/>
      <c r="H357" s="27" t="n"/>
    </row>
    <row r="358" ht="17.25" customHeight="1" s="322">
      <c r="A358" s="27" t="n"/>
      <c r="B358" s="506" t="n"/>
      <c r="C358" s="141" t="n"/>
      <c r="D358" s="141" t="n"/>
      <c r="E358" s="141" t="n"/>
      <c r="F358" s="141" t="n"/>
      <c r="G358" s="143" t="n"/>
      <c r="H358" s="27" t="n"/>
    </row>
    <row r="359" ht="17.25" customHeight="1" s="322">
      <c r="A359" s="27" t="n"/>
      <c r="B359" s="506" t="n"/>
      <c r="C359" s="141" t="n"/>
      <c r="D359" s="141" t="n"/>
      <c r="E359" s="141" t="n"/>
      <c r="F359" s="141" t="n"/>
      <c r="G359" s="143" t="n"/>
      <c r="H359" s="27" t="n"/>
    </row>
    <row r="360" ht="17.25" customHeight="1" s="322">
      <c r="A360" s="27" t="n"/>
      <c r="B360" s="506" t="n"/>
      <c r="C360" s="141" t="n"/>
      <c r="D360" s="141" t="n"/>
      <c r="E360" s="141" t="n"/>
      <c r="F360" s="141" t="n"/>
      <c r="G360" s="143" t="n"/>
      <c r="H360" s="27" t="n"/>
    </row>
    <row r="361" ht="17.25" customHeight="1" s="322">
      <c r="A361" s="27" t="n"/>
      <c r="B361" s="506" t="n"/>
      <c r="C361" s="141" t="n"/>
      <c r="D361" s="141" t="n"/>
      <c r="E361" s="141" t="n"/>
      <c r="F361" s="141" t="n"/>
      <c r="G361" s="143" t="n"/>
      <c r="H361" s="27" t="n"/>
    </row>
    <row r="362" ht="17.25" customHeight="1" s="322">
      <c r="A362" s="27" t="n"/>
      <c r="B362" s="506" t="n"/>
      <c r="C362" s="141" t="n"/>
      <c r="D362" s="141" t="n"/>
      <c r="E362" s="141" t="n"/>
      <c r="F362" s="141" t="n"/>
      <c r="G362" s="143" t="n"/>
      <c r="H362" s="27" t="n"/>
    </row>
    <row r="363" ht="17.25" customHeight="1" s="322">
      <c r="A363" s="27" t="n"/>
      <c r="B363" s="506" t="n"/>
      <c r="C363" s="141" t="n"/>
      <c r="D363" s="141" t="n"/>
      <c r="E363" s="141" t="n"/>
      <c r="F363" s="141" t="n"/>
      <c r="G363" s="143" t="n"/>
      <c r="H363" s="27" t="n"/>
    </row>
    <row r="364" ht="17.25" customHeight="1" s="322">
      <c r="A364" s="27" t="n"/>
      <c r="B364" s="506" t="n"/>
      <c r="C364" s="141" t="n"/>
      <c r="D364" s="141" t="n"/>
      <c r="E364" s="141" t="n"/>
      <c r="F364" s="141" t="n"/>
      <c r="G364" s="143" t="n"/>
      <c r="H364" s="27" t="n"/>
    </row>
    <row r="365" ht="17.25" customHeight="1" s="322">
      <c r="A365" s="27" t="n"/>
      <c r="B365" s="506" t="n"/>
      <c r="C365" s="141" t="n"/>
      <c r="D365" s="141" t="n"/>
      <c r="E365" s="141" t="n"/>
      <c r="F365" s="141" t="n"/>
      <c r="G365" s="143" t="n"/>
      <c r="H365" s="27" t="n"/>
    </row>
    <row r="366" ht="17.25" customHeight="1" s="322">
      <c r="A366" s="27" t="n"/>
      <c r="B366" s="506" t="n"/>
      <c r="C366" s="141" t="n"/>
      <c r="D366" s="141" t="n"/>
      <c r="E366" s="141" t="n"/>
      <c r="F366" s="141" t="n"/>
      <c r="G366" s="143" t="n"/>
      <c r="H366" s="27" t="n"/>
    </row>
    <row r="367" ht="17.25" customHeight="1" s="322">
      <c r="A367" s="27" t="n"/>
      <c r="B367" s="506" t="n"/>
      <c r="C367" s="141" t="n"/>
      <c r="D367" s="141" t="n"/>
      <c r="E367" s="141" t="n"/>
      <c r="F367" s="141" t="n"/>
      <c r="G367" s="143" t="n"/>
      <c r="H367" s="27" t="n"/>
    </row>
    <row r="368" ht="17.25" customHeight="1" s="322">
      <c r="A368" s="27" t="n"/>
      <c r="B368" s="506" t="n"/>
      <c r="C368" s="141" t="n"/>
      <c r="D368" s="141" t="n"/>
      <c r="E368" s="141" t="n"/>
      <c r="F368" s="141" t="n"/>
      <c r="G368" s="143" t="n"/>
      <c r="H368" s="27" t="n"/>
    </row>
    <row r="369" ht="17.25" customHeight="1" s="322">
      <c r="A369" s="27" t="n"/>
      <c r="B369" s="506" t="n"/>
      <c r="C369" s="141" t="n"/>
      <c r="D369" s="141" t="n"/>
      <c r="E369" s="141" t="n"/>
      <c r="F369" s="141" t="n"/>
      <c r="G369" s="143" t="n"/>
      <c r="H369" s="27" t="n"/>
    </row>
    <row r="370" ht="17.25" customHeight="1" s="322">
      <c r="A370" s="27" t="n"/>
      <c r="B370" s="506" t="n"/>
      <c r="C370" s="141" t="n"/>
      <c r="D370" s="141" t="n"/>
      <c r="E370" s="141" t="n"/>
      <c r="F370" s="141" t="n"/>
      <c r="G370" s="143" t="n"/>
      <c r="H370" s="27" t="n"/>
    </row>
    <row r="371" ht="17.25" customHeight="1" s="322">
      <c r="A371" s="27" t="n"/>
      <c r="B371" s="506" t="n"/>
      <c r="C371" s="141" t="n"/>
      <c r="D371" s="141" t="n"/>
      <c r="E371" s="141" t="n"/>
      <c r="F371" s="141" t="n"/>
      <c r="G371" s="143" t="n"/>
      <c r="H371" s="27" t="n"/>
    </row>
    <row r="372" ht="17.25" customHeight="1" s="322">
      <c r="A372" s="27" t="n"/>
      <c r="B372" s="506" t="n"/>
      <c r="C372" s="141" t="n"/>
      <c r="D372" s="141" t="n"/>
      <c r="E372" s="141" t="n"/>
      <c r="F372" s="141" t="n"/>
      <c r="G372" s="143" t="n"/>
      <c r="H372" s="27" t="n"/>
    </row>
    <row r="373" ht="17.25" customHeight="1" s="322">
      <c r="A373" s="27" t="n"/>
      <c r="B373" s="506" t="n"/>
      <c r="C373" s="141" t="n"/>
      <c r="D373" s="141" t="n"/>
      <c r="E373" s="141" t="n"/>
      <c r="F373" s="141" t="n"/>
      <c r="G373" s="143" t="n"/>
      <c r="H373" s="27" t="n"/>
    </row>
    <row r="374" ht="17.25" customHeight="1" s="322">
      <c r="A374" s="27" t="n"/>
      <c r="B374" s="506" t="n"/>
      <c r="C374" s="141" t="n"/>
      <c r="D374" s="141" t="n"/>
      <c r="E374" s="141" t="n"/>
      <c r="F374" s="141" t="n"/>
      <c r="G374" s="143" t="n"/>
      <c r="H374" s="27" t="n"/>
    </row>
    <row r="375" ht="17.25" customHeight="1" s="322">
      <c r="A375" s="27" t="n"/>
      <c r="B375" s="506" t="n"/>
      <c r="C375" s="141" t="n"/>
      <c r="D375" s="141" t="n"/>
      <c r="E375" s="141" t="n"/>
      <c r="F375" s="141" t="n"/>
      <c r="G375" s="143" t="n"/>
      <c r="H375" s="27" t="n"/>
    </row>
    <row r="376" ht="17.25" customHeight="1" s="322">
      <c r="A376" s="27" t="n"/>
      <c r="B376" s="506" t="n"/>
      <c r="C376" s="141" t="n"/>
      <c r="D376" s="141" t="n"/>
      <c r="E376" s="141" t="n"/>
      <c r="F376" s="141" t="n"/>
      <c r="G376" s="143" t="n"/>
      <c r="H376" s="27" t="n"/>
    </row>
    <row r="377" ht="17.25" customHeight="1" s="322">
      <c r="A377" s="27" t="n"/>
      <c r="B377" s="506" t="n"/>
      <c r="C377" s="141" t="n"/>
      <c r="D377" s="141" t="n"/>
      <c r="E377" s="141" t="n"/>
      <c r="F377" s="141" t="n"/>
      <c r="G377" s="143" t="n"/>
      <c r="H377" s="27" t="n"/>
    </row>
    <row r="378" ht="17.25" customHeight="1" s="322">
      <c r="A378" s="27" t="n"/>
      <c r="B378" s="506" t="n"/>
      <c r="C378" s="141" t="n"/>
      <c r="D378" s="141" t="n"/>
      <c r="E378" s="141" t="n"/>
      <c r="F378" s="141" t="n"/>
      <c r="G378" s="143" t="n"/>
      <c r="H378" s="27" t="n"/>
    </row>
    <row r="379" ht="17.25" customHeight="1" s="322">
      <c r="A379" s="27" t="n"/>
      <c r="B379" s="506" t="n"/>
      <c r="C379" s="141" t="n"/>
      <c r="D379" s="141" t="n"/>
      <c r="E379" s="141" t="n"/>
      <c r="F379" s="141" t="n"/>
      <c r="G379" s="143" t="n"/>
      <c r="H379" s="27" t="n"/>
    </row>
    <row r="380" ht="17.25" customHeight="1" s="322">
      <c r="A380" s="27" t="n"/>
      <c r="B380" s="506" t="n"/>
      <c r="C380" s="141" t="n"/>
      <c r="D380" s="141" t="n"/>
      <c r="E380" s="141" t="n"/>
      <c r="F380" s="141" t="n"/>
      <c r="G380" s="143" t="n"/>
      <c r="H380" s="27" t="n"/>
    </row>
    <row r="381" ht="17.25" customHeight="1" s="322">
      <c r="A381" s="27" t="n"/>
      <c r="B381" s="506" t="n"/>
      <c r="C381" s="141" t="n"/>
      <c r="D381" s="141" t="n"/>
      <c r="E381" s="141" t="n"/>
      <c r="F381" s="141" t="n"/>
      <c r="G381" s="143" t="n"/>
      <c r="H381" s="27" t="n"/>
    </row>
    <row r="382" ht="17.25" customHeight="1" s="322">
      <c r="A382" s="27" t="n"/>
      <c r="B382" s="506" t="n"/>
      <c r="C382" s="141" t="n"/>
      <c r="D382" s="141" t="n"/>
      <c r="E382" s="141" t="n"/>
      <c r="F382" s="141" t="n"/>
      <c r="G382" s="143" t="n"/>
      <c r="H382" s="27" t="n"/>
    </row>
    <row r="383" ht="17.25" customHeight="1" s="322">
      <c r="A383" s="27" t="n"/>
      <c r="B383" s="506" t="n"/>
      <c r="C383" s="141" t="n"/>
      <c r="D383" s="141" t="n"/>
      <c r="E383" s="141" t="n"/>
      <c r="F383" s="141" t="n"/>
      <c r="G383" s="143" t="n"/>
      <c r="H383" s="27" t="n"/>
    </row>
    <row r="384" ht="17.25" customHeight="1" s="322">
      <c r="A384" s="27" t="n"/>
      <c r="B384" s="506" t="n"/>
      <c r="C384" s="141" t="n"/>
      <c r="D384" s="141" t="n"/>
      <c r="E384" s="141" t="n"/>
      <c r="F384" s="141" t="n"/>
      <c r="G384" s="143" t="n"/>
      <c r="H384" s="27" t="n"/>
    </row>
    <row r="385" ht="17.25" customHeight="1" s="322">
      <c r="A385" s="27" t="n"/>
      <c r="B385" s="506" t="n"/>
      <c r="C385" s="141" t="n"/>
      <c r="D385" s="141" t="n"/>
      <c r="E385" s="141" t="n"/>
      <c r="F385" s="141" t="n"/>
      <c r="G385" s="143" t="n"/>
      <c r="H385" s="27" t="n"/>
    </row>
    <row r="386" ht="17.25" customHeight="1" s="322">
      <c r="A386" s="27" t="n"/>
      <c r="B386" s="506" t="n"/>
      <c r="C386" s="141" t="n"/>
      <c r="D386" s="141" t="n"/>
      <c r="E386" s="141" t="n"/>
      <c r="F386" s="141" t="n"/>
      <c r="G386" s="143" t="n"/>
      <c r="H386" s="27" t="n"/>
    </row>
    <row r="387" ht="17.25" customHeight="1" s="322">
      <c r="A387" s="27" t="n"/>
      <c r="B387" s="506" t="n"/>
      <c r="C387" s="141" t="n"/>
      <c r="D387" s="141" t="n"/>
      <c r="E387" s="141" t="n"/>
      <c r="F387" s="141" t="n"/>
      <c r="G387" s="143" t="n"/>
      <c r="H387" s="27" t="n"/>
    </row>
    <row r="388" ht="17.25" customHeight="1" s="322">
      <c r="A388" s="27" t="n"/>
      <c r="B388" s="506" t="n"/>
      <c r="C388" s="141" t="n"/>
      <c r="D388" s="141" t="n"/>
      <c r="E388" s="141" t="n"/>
      <c r="F388" s="141" t="n"/>
      <c r="G388" s="143" t="n"/>
      <c r="H388" s="27" t="n"/>
    </row>
    <row r="389" ht="17.25" customHeight="1" s="322">
      <c r="A389" s="27" t="n"/>
      <c r="B389" s="506" t="n"/>
      <c r="C389" s="141" t="n"/>
      <c r="D389" s="141" t="n"/>
      <c r="E389" s="141" t="n"/>
      <c r="F389" s="141" t="n"/>
      <c r="G389" s="143" t="n"/>
      <c r="H389" s="27" t="n"/>
    </row>
    <row r="390" ht="17.25" customHeight="1" s="322">
      <c r="A390" s="27" t="n"/>
      <c r="B390" s="506" t="n"/>
      <c r="C390" s="141" t="n"/>
      <c r="D390" s="141" t="n"/>
      <c r="E390" s="141" t="n"/>
      <c r="F390" s="141" t="n"/>
      <c r="G390" s="143" t="n"/>
      <c r="H390" s="27" t="n"/>
    </row>
    <row r="391" ht="17.25" customHeight="1" s="322">
      <c r="A391" s="27" t="n"/>
      <c r="B391" s="506" t="n"/>
      <c r="C391" s="141" t="n"/>
      <c r="D391" s="141" t="n"/>
      <c r="E391" s="141" t="n"/>
      <c r="F391" s="141" t="n"/>
      <c r="G391" s="143" t="n"/>
      <c r="H391" s="27" t="n"/>
    </row>
    <row r="392" ht="17.25" customHeight="1" s="322">
      <c r="A392" s="27" t="n"/>
      <c r="B392" s="506" t="n"/>
      <c r="C392" s="141" t="n"/>
      <c r="D392" s="141" t="n"/>
      <c r="E392" s="141" t="n"/>
      <c r="F392" s="141" t="n"/>
      <c r="G392" s="143" t="n"/>
      <c r="H392" s="27" t="n"/>
    </row>
    <row r="393" ht="17.25" customHeight="1" s="322">
      <c r="A393" s="27" t="n"/>
      <c r="B393" s="506" t="n"/>
      <c r="C393" s="141" t="n"/>
      <c r="D393" s="141" t="n"/>
      <c r="E393" s="141" t="n"/>
      <c r="F393" s="141" t="n"/>
      <c r="G393" s="143" t="n"/>
      <c r="H393" s="27" t="n"/>
    </row>
    <row r="394" ht="17.25" customHeight="1" s="322">
      <c r="A394" s="27" t="n"/>
      <c r="B394" s="506" t="n"/>
      <c r="C394" s="141" t="n"/>
      <c r="D394" s="141" t="n"/>
      <c r="E394" s="141" t="n"/>
      <c r="F394" s="141" t="n"/>
      <c r="G394" s="143" t="n"/>
      <c r="H394" s="27" t="n"/>
    </row>
    <row r="395" ht="17.25" customHeight="1" s="322">
      <c r="A395" s="27" t="n"/>
      <c r="B395" s="506" t="n"/>
      <c r="C395" s="141" t="n"/>
      <c r="D395" s="141" t="n"/>
      <c r="E395" s="141" t="n"/>
      <c r="F395" s="141" t="n"/>
      <c r="G395" s="143" t="n"/>
      <c r="H395" s="27" t="n"/>
    </row>
    <row r="396" ht="17.25" customHeight="1" s="322">
      <c r="A396" s="27" t="n"/>
      <c r="B396" s="506" t="n"/>
      <c r="C396" s="141" t="n"/>
      <c r="D396" s="141" t="n"/>
      <c r="E396" s="141" t="n"/>
      <c r="F396" s="141" t="n"/>
      <c r="G396" s="143" t="n"/>
      <c r="H396" s="27" t="n"/>
    </row>
    <row r="397" ht="17.25" customHeight="1" s="322">
      <c r="A397" s="27" t="n"/>
      <c r="B397" s="506" t="n"/>
      <c r="C397" s="141" t="n"/>
      <c r="D397" s="141" t="n"/>
      <c r="E397" s="141" t="n"/>
      <c r="F397" s="141" t="n"/>
      <c r="G397" s="143" t="n"/>
      <c r="H397" s="27" t="n"/>
    </row>
    <row r="398" ht="17.25" customHeight="1" s="322">
      <c r="A398" s="27" t="n"/>
      <c r="B398" s="506" t="n"/>
      <c r="C398" s="141" t="n"/>
      <c r="D398" s="141" t="n"/>
      <c r="E398" s="141" t="n"/>
      <c r="F398" s="141" t="n"/>
      <c r="G398" s="143" t="n"/>
      <c r="H398" s="27" t="n"/>
    </row>
    <row r="399" ht="17.25" customHeight="1" s="322">
      <c r="A399" s="27" t="n"/>
      <c r="B399" s="506" t="n"/>
      <c r="C399" s="141" t="n"/>
      <c r="D399" s="141" t="n"/>
      <c r="E399" s="141" t="n"/>
      <c r="F399" s="141" t="n"/>
      <c r="G399" s="143" t="n"/>
      <c r="H399" s="27" t="n"/>
    </row>
    <row r="400" ht="17.25" customHeight="1" s="322">
      <c r="A400" s="27" t="n"/>
      <c r="B400" s="506" t="n"/>
      <c r="C400" s="141" t="n"/>
      <c r="D400" s="141" t="n"/>
      <c r="E400" s="141" t="n"/>
      <c r="F400" s="141" t="n"/>
      <c r="G400" s="143" t="n"/>
      <c r="H400" s="27" t="n"/>
    </row>
    <row r="401" ht="17.25" customHeight="1" s="322">
      <c r="A401" s="27" t="n"/>
      <c r="B401" s="506" t="n"/>
      <c r="C401" s="141" t="n"/>
      <c r="D401" s="141" t="n"/>
      <c r="E401" s="141" t="n"/>
      <c r="F401" s="141" t="n"/>
      <c r="G401" s="143" t="n"/>
      <c r="H401" s="27" t="n"/>
    </row>
    <row r="402" ht="17.25" customHeight="1" s="322">
      <c r="A402" s="27" t="n"/>
      <c r="B402" s="506" t="n"/>
      <c r="C402" s="141" t="n"/>
      <c r="D402" s="141" t="n"/>
      <c r="E402" s="141" t="n"/>
      <c r="F402" s="141" t="n"/>
      <c r="G402" s="143" t="n"/>
      <c r="H402" s="27" t="n"/>
    </row>
    <row r="403" ht="17.25" customHeight="1" s="322">
      <c r="A403" s="27" t="n"/>
      <c r="B403" s="506" t="n"/>
      <c r="C403" s="141" t="n"/>
      <c r="D403" s="141" t="n"/>
      <c r="E403" s="141" t="n"/>
      <c r="F403" s="141" t="n"/>
      <c r="G403" s="143" t="n"/>
      <c r="H403" s="27" t="n"/>
    </row>
    <row r="404" ht="17.25" customHeight="1" s="322">
      <c r="A404" s="27" t="n"/>
      <c r="B404" s="506" t="n"/>
      <c r="C404" s="141" t="n"/>
      <c r="D404" s="141" t="n"/>
      <c r="E404" s="141" t="n"/>
      <c r="F404" s="141" t="n"/>
      <c r="G404" s="143" t="n"/>
      <c r="H404" s="27" t="n"/>
    </row>
    <row r="405" ht="17.25" customHeight="1" s="322">
      <c r="A405" s="27" t="n"/>
      <c r="B405" s="506" t="n"/>
      <c r="C405" s="141" t="n"/>
      <c r="D405" s="141" t="n"/>
      <c r="E405" s="141" t="n"/>
      <c r="F405" s="141" t="n"/>
      <c r="G405" s="143" t="n"/>
      <c r="H405" s="27" t="n"/>
    </row>
    <row r="406" ht="17.25" customHeight="1" s="322">
      <c r="A406" s="27" t="n"/>
      <c r="B406" s="506" t="n"/>
      <c r="C406" s="141" t="n"/>
      <c r="D406" s="141" t="n"/>
      <c r="E406" s="141" t="n"/>
      <c r="F406" s="141" t="n"/>
      <c r="G406" s="143" t="n"/>
      <c r="H406" s="27" t="n"/>
    </row>
    <row r="407" ht="17.25" customHeight="1" s="322">
      <c r="A407" s="27" t="n"/>
      <c r="B407" s="506" t="n"/>
      <c r="C407" s="141" t="n"/>
      <c r="D407" s="141" t="n"/>
      <c r="E407" s="141" t="n"/>
      <c r="F407" s="141" t="n"/>
      <c r="G407" s="143" t="n"/>
      <c r="H407" s="27" t="n"/>
    </row>
    <row r="408" ht="17.25" customHeight="1" s="322">
      <c r="A408" s="27" t="n"/>
      <c r="B408" s="506" t="n"/>
      <c r="C408" s="141" t="n"/>
      <c r="D408" s="141" t="n"/>
      <c r="E408" s="141" t="n"/>
      <c r="F408" s="141" t="n"/>
      <c r="G408" s="143" t="n"/>
      <c r="H408" s="27" t="n"/>
    </row>
    <row r="409" ht="17.25" customHeight="1" s="322">
      <c r="A409" s="27" t="n"/>
      <c r="B409" s="506" t="n"/>
      <c r="C409" s="141" t="n"/>
      <c r="D409" s="141" t="n"/>
      <c r="E409" s="141" t="n"/>
      <c r="F409" s="141" t="n"/>
      <c r="G409" s="143" t="n"/>
      <c r="H409" s="27" t="n"/>
    </row>
    <row r="410" ht="17.25" customHeight="1" s="322">
      <c r="A410" s="27" t="n"/>
      <c r="B410" s="506" t="n"/>
      <c r="C410" s="141" t="n"/>
      <c r="D410" s="141" t="n"/>
      <c r="E410" s="141" t="n"/>
      <c r="F410" s="141" t="n"/>
      <c r="G410" s="143" t="n"/>
      <c r="H410" s="27" t="n"/>
    </row>
    <row r="411" ht="17.25" customHeight="1" s="322">
      <c r="A411" s="27" t="n"/>
      <c r="B411" s="506" t="n"/>
      <c r="C411" s="141" t="n"/>
      <c r="D411" s="141" t="n"/>
      <c r="E411" s="141" t="n"/>
      <c r="F411" s="141" t="n"/>
      <c r="G411" s="143" t="n"/>
      <c r="H411" s="27" t="n"/>
    </row>
    <row r="412" ht="17.25" customHeight="1" s="322">
      <c r="A412" s="27" t="n"/>
      <c r="B412" s="506" t="n"/>
      <c r="C412" s="141" t="n"/>
      <c r="D412" s="141" t="n"/>
      <c r="E412" s="141" t="n"/>
      <c r="F412" s="141" t="n"/>
      <c r="G412" s="143" t="n"/>
      <c r="H412" s="27" t="n"/>
    </row>
    <row r="413" ht="17.25" customHeight="1" s="322">
      <c r="A413" s="27" t="n"/>
      <c r="B413" s="506" t="n"/>
      <c r="C413" s="141" t="n"/>
      <c r="D413" s="141" t="n"/>
      <c r="E413" s="141" t="n"/>
      <c r="F413" s="141" t="n"/>
      <c r="G413" s="143" t="n"/>
      <c r="H413" s="27" t="n"/>
    </row>
    <row r="414" ht="17.25" customHeight="1" s="322">
      <c r="A414" s="27" t="n"/>
      <c r="B414" s="506" t="n"/>
      <c r="C414" s="141" t="n"/>
      <c r="D414" s="141" t="n"/>
      <c r="E414" s="141" t="n"/>
      <c r="F414" s="141" t="n"/>
      <c r="G414" s="143" t="n"/>
      <c r="H414" s="27" t="n"/>
    </row>
    <row r="415" ht="17.25" customHeight="1" s="322">
      <c r="A415" s="27" t="n"/>
      <c r="B415" s="506" t="n"/>
      <c r="C415" s="141" t="n"/>
      <c r="D415" s="141" t="n"/>
      <c r="E415" s="141" t="n"/>
      <c r="F415" s="141" t="n"/>
      <c r="G415" s="143" t="n"/>
      <c r="H415" s="27" t="n"/>
    </row>
    <row r="416" ht="17.25" customHeight="1" s="322">
      <c r="A416" s="27" t="n"/>
      <c r="B416" s="506" t="n"/>
      <c r="C416" s="141" t="n"/>
      <c r="D416" s="141" t="n"/>
      <c r="E416" s="141" t="n"/>
      <c r="F416" s="141" t="n"/>
      <c r="G416" s="143" t="n"/>
      <c r="H416" s="27" t="n"/>
    </row>
    <row r="417" ht="17.25" customHeight="1" s="322">
      <c r="A417" s="27" t="n"/>
      <c r="B417" s="506" t="n"/>
      <c r="C417" s="141" t="n"/>
      <c r="D417" s="141" t="n"/>
      <c r="E417" s="141" t="n"/>
      <c r="F417" s="141" t="n"/>
      <c r="G417" s="143" t="n"/>
      <c r="H417" s="27" t="n"/>
    </row>
    <row r="418" ht="17.25" customHeight="1" s="322">
      <c r="A418" s="27" t="n"/>
      <c r="B418" s="506" t="n"/>
      <c r="C418" s="141" t="n"/>
      <c r="D418" s="141" t="n"/>
      <c r="E418" s="141" t="n"/>
      <c r="F418" s="141" t="n"/>
      <c r="G418" s="143" t="n"/>
      <c r="H418" s="27" t="n"/>
    </row>
    <row r="419" ht="17.25" customHeight="1" s="322">
      <c r="A419" s="27" t="n"/>
      <c r="B419" s="506" t="n"/>
      <c r="C419" s="141" t="n"/>
      <c r="D419" s="141" t="n"/>
      <c r="E419" s="141" t="n"/>
      <c r="F419" s="141" t="n"/>
      <c r="G419" s="143" t="n"/>
      <c r="H419" s="27" t="n"/>
    </row>
    <row r="420" ht="17.25" customHeight="1" s="322">
      <c r="A420" s="27" t="n"/>
      <c r="B420" s="506" t="n"/>
      <c r="C420" s="141" t="n"/>
      <c r="D420" s="141" t="n"/>
      <c r="E420" s="141" t="n"/>
      <c r="F420" s="141" t="n"/>
      <c r="G420" s="143" t="n"/>
      <c r="H420" s="27" t="n"/>
    </row>
    <row r="421" ht="17.25" customHeight="1" s="322">
      <c r="A421" s="27" t="n"/>
      <c r="B421" s="506" t="n"/>
      <c r="C421" s="141" t="n"/>
      <c r="D421" s="141" t="n"/>
      <c r="E421" s="141" t="n"/>
      <c r="F421" s="141" t="n"/>
      <c r="G421" s="143" t="n"/>
      <c r="H421" s="27" t="n"/>
    </row>
    <row r="422" ht="17.25" customHeight="1" s="322">
      <c r="A422" s="27" t="n"/>
      <c r="B422" s="506" t="n"/>
      <c r="C422" s="141" t="n"/>
      <c r="D422" s="141" t="n"/>
      <c r="E422" s="141" t="n"/>
      <c r="F422" s="141" t="n"/>
      <c r="G422" s="143" t="n"/>
      <c r="H422" s="27" t="n"/>
    </row>
    <row r="423" ht="17.25" customHeight="1" s="322">
      <c r="A423" s="27" t="n"/>
      <c r="B423" s="506" t="n"/>
      <c r="C423" s="141" t="n"/>
      <c r="D423" s="141" t="n"/>
      <c r="E423" s="141" t="n"/>
      <c r="F423" s="141" t="n"/>
      <c r="G423" s="143" t="n"/>
      <c r="H423" s="27" t="n"/>
    </row>
    <row r="424" ht="17.25" customHeight="1" s="322">
      <c r="A424" s="27" t="n"/>
      <c r="B424" s="506" t="n"/>
      <c r="C424" s="141" t="n"/>
      <c r="D424" s="141" t="n"/>
      <c r="E424" s="141" t="n"/>
      <c r="F424" s="141" t="n"/>
      <c r="G424" s="143" t="n"/>
      <c r="H424" s="27" t="n"/>
    </row>
    <row r="425" ht="17.25" customHeight="1" s="322">
      <c r="A425" s="27" t="n"/>
      <c r="B425" s="506" t="n"/>
      <c r="C425" s="141" t="n"/>
      <c r="D425" s="141" t="n"/>
      <c r="E425" s="141" t="n"/>
      <c r="F425" s="141" t="n"/>
      <c r="G425" s="143" t="n"/>
      <c r="H425" s="27" t="n"/>
    </row>
    <row r="426" ht="17.25" customHeight="1" s="322">
      <c r="A426" s="27" t="n"/>
      <c r="B426" s="506" t="n"/>
      <c r="C426" s="141" t="n"/>
      <c r="D426" s="141" t="n"/>
      <c r="E426" s="141" t="n"/>
      <c r="F426" s="141" t="n"/>
      <c r="G426" s="143" t="n"/>
      <c r="H426" s="27" t="n"/>
    </row>
    <row r="427" ht="17.25" customHeight="1" s="322">
      <c r="A427" s="27" t="n"/>
      <c r="B427" s="506" t="n"/>
      <c r="C427" s="141" t="n"/>
      <c r="D427" s="141" t="n"/>
      <c r="E427" s="141" t="n"/>
      <c r="F427" s="141" t="n"/>
      <c r="G427" s="143" t="n"/>
      <c r="H427" s="27" t="n"/>
    </row>
    <row r="428" ht="17.25" customHeight="1" s="322">
      <c r="A428" s="27" t="n"/>
      <c r="B428" s="506" t="n"/>
      <c r="C428" s="141" t="n"/>
      <c r="D428" s="141" t="n"/>
      <c r="E428" s="141" t="n"/>
      <c r="F428" s="141" t="n"/>
      <c r="G428" s="143" t="n"/>
      <c r="H428" s="27" t="n"/>
    </row>
    <row r="429" ht="17.25" customHeight="1" s="322">
      <c r="A429" s="27" t="n"/>
      <c r="B429" s="506" t="n"/>
      <c r="C429" s="141" t="n"/>
      <c r="D429" s="141" t="n"/>
      <c r="E429" s="141" t="n"/>
      <c r="F429" s="141" t="n"/>
      <c r="G429" s="143" t="n"/>
      <c r="H429" s="27" t="n"/>
    </row>
    <row r="430" ht="17.25" customHeight="1" s="322">
      <c r="A430" s="27" t="n"/>
      <c r="B430" s="506" t="n"/>
      <c r="C430" s="141" t="n"/>
      <c r="D430" s="141" t="n"/>
      <c r="E430" s="141" t="n"/>
      <c r="F430" s="141" t="n"/>
      <c r="G430" s="143" t="n"/>
      <c r="H430" s="27" t="n"/>
    </row>
    <row r="431" ht="17.25" customHeight="1" s="322">
      <c r="A431" s="27" t="n"/>
      <c r="B431" s="506" t="n"/>
      <c r="C431" s="141" t="n"/>
      <c r="D431" s="141" t="n"/>
      <c r="E431" s="141" t="n"/>
      <c r="F431" s="141" t="n"/>
      <c r="G431" s="143" t="n"/>
      <c r="H431" s="27" t="n"/>
    </row>
    <row r="432" ht="17.25" customHeight="1" s="322">
      <c r="A432" s="27" t="n"/>
      <c r="B432" s="506" t="n"/>
      <c r="C432" s="141" t="n"/>
      <c r="D432" s="141" t="n"/>
      <c r="E432" s="141" t="n"/>
      <c r="F432" s="141" t="n"/>
      <c r="G432" s="143" t="n"/>
      <c r="H432" s="27" t="n"/>
    </row>
    <row r="433" ht="17.25" customHeight="1" s="322">
      <c r="A433" s="27" t="n"/>
      <c r="B433" s="506" t="n"/>
      <c r="C433" s="141" t="n"/>
      <c r="D433" s="141" t="n"/>
      <c r="E433" s="141" t="n"/>
      <c r="F433" s="141" t="n"/>
      <c r="G433" s="143" t="n"/>
      <c r="H433" s="27" t="n"/>
    </row>
    <row r="434" ht="17.25" customHeight="1" s="322">
      <c r="A434" s="27" t="n"/>
      <c r="B434" s="506" t="n"/>
      <c r="C434" s="141" t="n"/>
      <c r="D434" s="141" t="n"/>
      <c r="E434" s="141" t="n"/>
      <c r="F434" s="141" t="n"/>
      <c r="G434" s="143" t="n"/>
      <c r="H434" s="27" t="n"/>
    </row>
    <row r="435" ht="17.25" customHeight="1" s="322">
      <c r="A435" s="27" t="n"/>
      <c r="B435" s="506" t="n"/>
      <c r="C435" s="141" t="n"/>
      <c r="D435" s="141" t="n"/>
      <c r="E435" s="141" t="n"/>
      <c r="F435" s="141" t="n"/>
      <c r="G435" s="143" t="n"/>
      <c r="H435" s="27" t="n"/>
    </row>
    <row r="436" ht="17.25" customHeight="1" s="322">
      <c r="A436" s="27" t="n"/>
      <c r="B436" s="506" t="n"/>
      <c r="C436" s="141" t="n"/>
      <c r="D436" s="141" t="n"/>
      <c r="E436" s="141" t="n"/>
      <c r="F436" s="141" t="n"/>
      <c r="G436" s="143" t="n"/>
      <c r="H436" s="27" t="n"/>
    </row>
    <row r="437" ht="17.25" customHeight="1" s="322">
      <c r="A437" s="27" t="n"/>
      <c r="B437" s="506" t="n"/>
      <c r="C437" s="141" t="n"/>
      <c r="D437" s="141" t="n"/>
      <c r="E437" s="141" t="n"/>
      <c r="F437" s="141" t="n"/>
      <c r="G437" s="143" t="n"/>
      <c r="H437" s="27" t="n"/>
    </row>
    <row r="438" ht="17.25" customHeight="1" s="322">
      <c r="A438" s="27" t="n"/>
      <c r="B438" s="506" t="n"/>
      <c r="C438" s="141" t="n"/>
      <c r="D438" s="141" t="n"/>
      <c r="E438" s="141" t="n"/>
      <c r="F438" s="141" t="n"/>
      <c r="G438" s="143" t="n"/>
      <c r="H438" s="27" t="n"/>
    </row>
    <row r="439" ht="17.25" customHeight="1" s="322">
      <c r="A439" s="27" t="n"/>
      <c r="B439" s="506" t="n"/>
      <c r="C439" s="141" t="n"/>
      <c r="D439" s="141" t="n"/>
      <c r="E439" s="141" t="n"/>
      <c r="F439" s="141" t="n"/>
      <c r="G439" s="143" t="n"/>
      <c r="H439" s="27" t="n"/>
    </row>
    <row r="440" ht="17.25" customHeight="1" s="322">
      <c r="A440" s="27" t="n"/>
      <c r="B440" s="506" t="n"/>
      <c r="C440" s="141" t="n"/>
      <c r="D440" s="141" t="n"/>
      <c r="E440" s="141" t="n"/>
      <c r="F440" s="141" t="n"/>
      <c r="G440" s="143" t="n"/>
      <c r="H440" s="27" t="n"/>
    </row>
    <row r="441" ht="17.25" customHeight="1" s="322">
      <c r="A441" s="27" t="n"/>
      <c r="B441" s="506" t="n"/>
      <c r="C441" s="141" t="n"/>
      <c r="D441" s="141" t="n"/>
      <c r="E441" s="141" t="n"/>
      <c r="F441" s="141" t="n"/>
      <c r="G441" s="143" t="n"/>
      <c r="H441" s="27" t="n"/>
    </row>
    <row r="442" ht="17.25" customHeight="1" s="322">
      <c r="A442" s="27" t="n"/>
      <c r="B442" s="506" t="n"/>
      <c r="C442" s="141" t="n"/>
      <c r="D442" s="141" t="n"/>
      <c r="E442" s="141" t="n"/>
      <c r="F442" s="141" t="n"/>
      <c r="G442" s="143" t="n"/>
      <c r="H442" s="27" t="n"/>
    </row>
    <row r="443" ht="17.25" customHeight="1" s="322">
      <c r="A443" s="27" t="n"/>
      <c r="B443" s="506" t="n"/>
      <c r="C443" s="141" t="n"/>
      <c r="D443" s="141" t="n"/>
      <c r="E443" s="141" t="n"/>
      <c r="F443" s="141" t="n"/>
      <c r="G443" s="143" t="n"/>
      <c r="H443" s="27" t="n"/>
    </row>
    <row r="444" ht="17.25" customHeight="1" s="322">
      <c r="A444" s="27" t="n"/>
      <c r="B444" s="506" t="n"/>
      <c r="C444" s="141" t="n"/>
      <c r="D444" s="141" t="n"/>
      <c r="E444" s="141" t="n"/>
      <c r="F444" s="141" t="n"/>
      <c r="G444" s="143" t="n"/>
      <c r="H444" s="27" t="n"/>
    </row>
    <row r="445" ht="17.25" customHeight="1" s="322">
      <c r="A445" s="27" t="n"/>
      <c r="B445" s="506" t="n"/>
      <c r="C445" s="141" t="n"/>
      <c r="D445" s="141" t="n"/>
      <c r="E445" s="141" t="n"/>
      <c r="F445" s="141" t="n"/>
      <c r="G445" s="143" t="n"/>
      <c r="H445" s="27" t="n"/>
    </row>
    <row r="446" ht="17.25" customHeight="1" s="322">
      <c r="A446" s="27" t="n"/>
      <c r="B446" s="506" t="n"/>
      <c r="C446" s="141" t="n"/>
      <c r="D446" s="141" t="n"/>
      <c r="E446" s="141" t="n"/>
      <c r="F446" s="141" t="n"/>
      <c r="G446" s="143" t="n"/>
      <c r="H446" s="27" t="n"/>
    </row>
    <row r="447" ht="17.25" customHeight="1" s="322">
      <c r="A447" s="27" t="n"/>
      <c r="B447" s="506" t="n"/>
      <c r="C447" s="141" t="n"/>
      <c r="D447" s="141" t="n"/>
      <c r="E447" s="141" t="n"/>
      <c r="F447" s="141" t="n"/>
      <c r="G447" s="143" t="n"/>
      <c r="H447" s="27" t="n"/>
    </row>
    <row r="448" ht="17.25" customHeight="1" s="322">
      <c r="A448" s="27" t="n"/>
      <c r="B448" s="506" t="n"/>
      <c r="C448" s="141" t="n"/>
      <c r="D448" s="141" t="n"/>
      <c r="E448" s="141" t="n"/>
      <c r="F448" s="141" t="n"/>
      <c r="G448" s="143" t="n"/>
      <c r="H448" s="27" t="n"/>
    </row>
    <row r="449" ht="17.25" customHeight="1" s="322">
      <c r="A449" s="27" t="n"/>
      <c r="B449" s="506" t="n"/>
      <c r="C449" s="141" t="n"/>
      <c r="D449" s="141" t="n"/>
      <c r="E449" s="141" t="n"/>
      <c r="F449" s="141" t="n"/>
      <c r="G449" s="143" t="n"/>
      <c r="H449" s="27" t="n"/>
    </row>
    <row r="450" ht="17.25" customHeight="1" s="322">
      <c r="A450" s="27" t="n"/>
      <c r="B450" s="506" t="n"/>
      <c r="C450" s="141" t="n"/>
      <c r="D450" s="141" t="n"/>
      <c r="E450" s="141" t="n"/>
      <c r="F450" s="141" t="n"/>
      <c r="G450" s="143" t="n"/>
      <c r="H450" s="27" t="n"/>
    </row>
    <row r="451" ht="17.25" customHeight="1" s="322">
      <c r="A451" s="27" t="n"/>
      <c r="B451" s="506" t="n"/>
      <c r="C451" s="141" t="n"/>
      <c r="D451" s="141" t="n"/>
      <c r="E451" s="141" t="n"/>
      <c r="F451" s="141" t="n"/>
      <c r="G451" s="143" t="n"/>
      <c r="H451" s="27" t="n"/>
    </row>
    <row r="452" ht="17.25" customHeight="1" s="322">
      <c r="A452" s="27" t="n"/>
      <c r="B452" s="506" t="n"/>
      <c r="C452" s="141" t="n"/>
      <c r="D452" s="141" t="n"/>
      <c r="E452" s="141" t="n"/>
      <c r="F452" s="141" t="n"/>
      <c r="G452" s="143" t="n"/>
      <c r="H452" s="27" t="n"/>
    </row>
    <row r="453" ht="17.25" customHeight="1" s="322">
      <c r="A453" s="27" t="n"/>
      <c r="B453" s="506" t="n"/>
      <c r="C453" s="141" t="n"/>
      <c r="D453" s="141" t="n"/>
      <c r="E453" s="141" t="n"/>
      <c r="F453" s="141" t="n"/>
      <c r="G453" s="143" t="n"/>
      <c r="H453" s="27" t="n"/>
    </row>
    <row r="454" ht="17.25" customHeight="1" s="322">
      <c r="A454" s="27" t="n"/>
      <c r="B454" s="506" t="n"/>
      <c r="C454" s="141" t="n"/>
      <c r="D454" s="141" t="n"/>
      <c r="E454" s="141" t="n"/>
      <c r="F454" s="141" t="n"/>
      <c r="G454" s="143" t="n"/>
      <c r="H454" s="27" t="n"/>
    </row>
    <row r="455" ht="17.25" customHeight="1" s="322">
      <c r="A455" s="27" t="n"/>
      <c r="B455" s="506" t="n"/>
      <c r="C455" s="141" t="n"/>
      <c r="D455" s="141" t="n"/>
      <c r="E455" s="141" t="n"/>
      <c r="F455" s="141" t="n"/>
      <c r="G455" s="143" t="n"/>
      <c r="H455" s="27" t="n"/>
    </row>
    <row r="456" ht="17.25" customHeight="1" s="322">
      <c r="A456" s="27" t="n"/>
      <c r="B456" s="506" t="n"/>
      <c r="C456" s="141" t="n"/>
      <c r="D456" s="141" t="n"/>
      <c r="E456" s="141" t="n"/>
      <c r="F456" s="141" t="n"/>
      <c r="G456" s="143" t="n"/>
      <c r="H456" s="27" t="n"/>
    </row>
    <row r="457" ht="17.25" customHeight="1" s="322">
      <c r="A457" s="27" t="n"/>
      <c r="B457" s="506" t="n"/>
      <c r="C457" s="141" t="n"/>
      <c r="D457" s="141" t="n"/>
      <c r="E457" s="141" t="n"/>
      <c r="F457" s="141" t="n"/>
      <c r="G457" s="143" t="n"/>
      <c r="H457" s="27" t="n"/>
    </row>
    <row r="458" ht="17.25" customHeight="1" s="322">
      <c r="A458" s="27" t="n"/>
      <c r="B458" s="506" t="n"/>
      <c r="C458" s="141" t="n"/>
      <c r="D458" s="141" t="n"/>
      <c r="E458" s="141" t="n"/>
      <c r="F458" s="141" t="n"/>
      <c r="G458" s="143" t="n"/>
      <c r="H458" s="27" t="n"/>
    </row>
    <row r="459" ht="17.25" customHeight="1" s="322">
      <c r="A459" s="27" t="n"/>
      <c r="B459" s="506" t="n"/>
      <c r="C459" s="141" t="n"/>
      <c r="D459" s="141" t="n"/>
      <c r="E459" s="141" t="n"/>
      <c r="F459" s="141" t="n"/>
      <c r="G459" s="143" t="n"/>
      <c r="H459" s="27" t="n"/>
    </row>
    <row r="460" ht="17.25" customHeight="1" s="322">
      <c r="A460" s="27" t="n"/>
      <c r="B460" s="506" t="n"/>
      <c r="C460" s="141" t="n"/>
      <c r="D460" s="141" t="n"/>
      <c r="E460" s="141" t="n"/>
      <c r="F460" s="141" t="n"/>
      <c r="G460" s="143" t="n"/>
      <c r="H460" s="27" t="n"/>
    </row>
    <row r="461" ht="17.25" customHeight="1" s="322">
      <c r="A461" s="27" t="n"/>
      <c r="B461" s="506" t="n"/>
      <c r="C461" s="141" t="n"/>
      <c r="D461" s="141" t="n"/>
      <c r="E461" s="141" t="n"/>
      <c r="F461" s="141" t="n"/>
      <c r="G461" s="143" t="n"/>
      <c r="H461" s="27" t="n"/>
    </row>
    <row r="462" ht="17.25" customHeight="1" s="322">
      <c r="A462" s="27" t="n"/>
      <c r="B462" s="506" t="n"/>
      <c r="C462" s="141" t="n"/>
      <c r="D462" s="141" t="n"/>
      <c r="E462" s="141" t="n"/>
      <c r="F462" s="141" t="n"/>
      <c r="G462" s="143" t="n"/>
      <c r="H462" s="27" t="n"/>
    </row>
    <row r="463" ht="17.25" customHeight="1" s="322">
      <c r="A463" s="27" t="n"/>
      <c r="B463" s="506" t="n"/>
      <c r="C463" s="141" t="n"/>
      <c r="D463" s="141" t="n"/>
      <c r="E463" s="141" t="n"/>
      <c r="F463" s="141" t="n"/>
      <c r="G463" s="143" t="n"/>
      <c r="H463" s="27" t="n"/>
    </row>
    <row r="464" ht="17.25" customHeight="1" s="322">
      <c r="A464" s="27" t="n"/>
      <c r="B464" s="506" t="n"/>
      <c r="C464" s="141" t="n"/>
      <c r="D464" s="141" t="n"/>
      <c r="E464" s="141" t="n"/>
      <c r="F464" s="141" t="n"/>
      <c r="G464" s="143" t="n"/>
      <c r="H464" s="27" t="n"/>
    </row>
    <row r="465" ht="17.25" customHeight="1" s="322">
      <c r="A465" s="27" t="n"/>
      <c r="B465" s="506" t="n"/>
      <c r="C465" s="141" t="n"/>
      <c r="D465" s="141" t="n"/>
      <c r="E465" s="141" t="n"/>
      <c r="F465" s="141" t="n"/>
      <c r="G465" s="143" t="n"/>
      <c r="H465" s="27" t="n"/>
    </row>
    <row r="466" ht="17.25" customHeight="1" s="322">
      <c r="A466" s="27" t="n"/>
      <c r="B466" s="506" t="n"/>
      <c r="C466" s="141" t="n"/>
      <c r="D466" s="141" t="n"/>
      <c r="E466" s="141" t="n"/>
      <c r="F466" s="141" t="n"/>
      <c r="G466" s="143" t="n"/>
      <c r="H466" s="27" t="n"/>
    </row>
    <row r="467" ht="17.25" customHeight="1" s="322">
      <c r="A467" s="27" t="n"/>
      <c r="B467" s="506" t="n"/>
      <c r="C467" s="141" t="n"/>
      <c r="D467" s="141" t="n"/>
      <c r="E467" s="141" t="n"/>
      <c r="F467" s="141" t="n"/>
      <c r="G467" s="143" t="n"/>
      <c r="H467" s="27" t="n"/>
    </row>
    <row r="468" ht="17.25" customHeight="1" s="322">
      <c r="A468" s="27" t="n"/>
      <c r="B468" s="506" t="n"/>
      <c r="C468" s="141" t="n"/>
      <c r="D468" s="141" t="n"/>
      <c r="E468" s="141" t="n"/>
      <c r="F468" s="141" t="n"/>
      <c r="G468" s="143" t="n"/>
      <c r="H468" s="27" t="n"/>
    </row>
    <row r="469" ht="17.25" customHeight="1" s="322">
      <c r="A469" s="27" t="n"/>
      <c r="B469" s="506" t="n"/>
      <c r="C469" s="141" t="n"/>
      <c r="D469" s="141" t="n"/>
      <c r="E469" s="141" t="n"/>
      <c r="F469" s="141" t="n"/>
      <c r="G469" s="143" t="n"/>
      <c r="H469" s="27" t="n"/>
    </row>
    <row r="470" ht="17.25" customHeight="1" s="322">
      <c r="A470" s="27" t="n"/>
      <c r="B470" s="506" t="n"/>
      <c r="C470" s="141" t="n"/>
      <c r="D470" s="141" t="n"/>
      <c r="E470" s="141" t="n"/>
      <c r="F470" s="141" t="n"/>
      <c r="G470" s="143" t="n"/>
      <c r="H470" s="27" t="n"/>
    </row>
    <row r="471" ht="17.25" customHeight="1" s="322">
      <c r="A471" s="27" t="n"/>
      <c r="B471" s="506" t="n"/>
      <c r="C471" s="141" t="n"/>
      <c r="D471" s="141" t="n"/>
      <c r="E471" s="141" t="n"/>
      <c r="F471" s="141" t="n"/>
      <c r="G471" s="143" t="n"/>
      <c r="H471" s="27" t="n"/>
    </row>
    <row r="472" ht="17.25" customHeight="1" s="322">
      <c r="A472" s="27" t="n"/>
      <c r="B472" s="506" t="n"/>
      <c r="C472" s="141" t="n"/>
      <c r="D472" s="141" t="n"/>
      <c r="E472" s="141" t="n"/>
      <c r="F472" s="141" t="n"/>
      <c r="G472" s="143" t="n"/>
      <c r="H472" s="27" t="n"/>
    </row>
    <row r="473" ht="17.25" customHeight="1" s="322">
      <c r="A473" s="27" t="n"/>
      <c r="B473" s="506" t="n"/>
      <c r="C473" s="141" t="n"/>
      <c r="D473" s="141" t="n"/>
      <c r="E473" s="141" t="n"/>
      <c r="F473" s="141" t="n"/>
      <c r="G473" s="143" t="n"/>
      <c r="H473" s="27" t="n"/>
    </row>
    <row r="474" ht="17.25" customHeight="1" s="322">
      <c r="A474" s="27" t="n"/>
      <c r="B474" s="506" t="n"/>
      <c r="C474" s="141" t="n"/>
      <c r="D474" s="141" t="n"/>
      <c r="E474" s="141" t="n"/>
      <c r="F474" s="141" t="n"/>
      <c r="G474" s="143" t="n"/>
      <c r="H474" s="27" t="n"/>
    </row>
    <row r="475" ht="17.25" customHeight="1" s="322">
      <c r="A475" s="27" t="n"/>
      <c r="B475" s="506" t="n"/>
      <c r="C475" s="141" t="n"/>
      <c r="D475" s="141" t="n"/>
      <c r="E475" s="141" t="n"/>
      <c r="F475" s="141" t="n"/>
      <c r="G475" s="143" t="n"/>
      <c r="H475" s="27" t="n"/>
    </row>
    <row r="476" ht="17.25" customHeight="1" s="322">
      <c r="A476" s="27" t="n"/>
      <c r="B476" s="506" t="n"/>
      <c r="C476" s="141" t="n"/>
      <c r="D476" s="141" t="n"/>
      <c r="E476" s="141" t="n"/>
      <c r="F476" s="141" t="n"/>
      <c r="G476" s="143" t="n"/>
      <c r="H476" s="27" t="n"/>
    </row>
    <row r="477" ht="17.25" customHeight="1" s="322">
      <c r="A477" s="27" t="n"/>
      <c r="B477" s="506" t="n"/>
      <c r="C477" s="141" t="n"/>
      <c r="D477" s="141" t="n"/>
      <c r="E477" s="141" t="n"/>
      <c r="F477" s="141" t="n"/>
      <c r="G477" s="143" t="n"/>
      <c r="H477" s="27" t="n"/>
    </row>
    <row r="478" ht="17.25" customHeight="1" s="322">
      <c r="A478" s="27" t="n"/>
      <c r="B478" s="506" t="n"/>
      <c r="C478" s="141" t="n"/>
      <c r="D478" s="141" t="n"/>
      <c r="E478" s="141" t="n"/>
      <c r="F478" s="141" t="n"/>
      <c r="G478" s="143" t="n"/>
      <c r="H478" s="27" t="n"/>
    </row>
    <row r="479" ht="17.25" customHeight="1" s="322">
      <c r="A479" s="27" t="n"/>
      <c r="B479" s="506" t="n"/>
      <c r="C479" s="141" t="n"/>
      <c r="D479" s="141" t="n"/>
      <c r="E479" s="141" t="n"/>
      <c r="F479" s="141" t="n"/>
      <c r="G479" s="143" t="n"/>
      <c r="H479" s="27" t="n"/>
    </row>
    <row r="480" ht="17.25" customHeight="1" s="322">
      <c r="A480" s="27" t="n"/>
      <c r="B480" s="506" t="n"/>
      <c r="C480" s="141" t="n"/>
      <c r="D480" s="141" t="n"/>
      <c r="E480" s="141" t="n"/>
      <c r="F480" s="141" t="n"/>
      <c r="G480" s="143" t="n"/>
      <c r="H480" s="27" t="n"/>
    </row>
    <row r="481" ht="17.25" customHeight="1" s="322">
      <c r="A481" s="27" t="n"/>
      <c r="B481" s="506" t="n"/>
      <c r="C481" s="141" t="n"/>
      <c r="D481" s="141" t="n"/>
      <c r="E481" s="141" t="n"/>
      <c r="F481" s="141" t="n"/>
      <c r="G481" s="143" t="n"/>
      <c r="H481" s="27" t="n"/>
    </row>
    <row r="482" ht="17.25" customHeight="1" s="322">
      <c r="A482" s="27" t="n"/>
      <c r="B482" s="506" t="n"/>
      <c r="C482" s="141" t="n"/>
      <c r="D482" s="141" t="n"/>
      <c r="E482" s="141" t="n"/>
      <c r="F482" s="141" t="n"/>
      <c r="G482" s="143" t="n"/>
      <c r="H482" s="27" t="n"/>
    </row>
    <row r="483" ht="17.25" customHeight="1" s="322">
      <c r="A483" s="27" t="n"/>
      <c r="B483" s="506" t="n"/>
      <c r="C483" s="141" t="n"/>
      <c r="D483" s="141" t="n"/>
      <c r="E483" s="141" t="n"/>
      <c r="F483" s="141" t="n"/>
      <c r="G483" s="143" t="n"/>
      <c r="H483" s="27" t="n"/>
    </row>
    <row r="484" ht="17.25" customHeight="1" s="322">
      <c r="A484" s="27" t="n"/>
      <c r="B484" s="506" t="n"/>
      <c r="C484" s="141" t="n"/>
      <c r="D484" s="141" t="n"/>
      <c r="E484" s="141" t="n"/>
      <c r="F484" s="141" t="n"/>
      <c r="G484" s="143" t="n"/>
      <c r="H484" s="27" t="n"/>
    </row>
    <row r="485" ht="17.25" customHeight="1" s="322">
      <c r="A485" s="27" t="n"/>
      <c r="B485" s="506" t="n"/>
      <c r="C485" s="141" t="n"/>
      <c r="D485" s="141" t="n"/>
      <c r="E485" s="141" t="n"/>
      <c r="F485" s="141" t="n"/>
      <c r="G485" s="143" t="n"/>
      <c r="H485" s="27" t="n"/>
    </row>
    <row r="486" ht="17.25" customHeight="1" s="322">
      <c r="A486" s="27" t="n"/>
      <c r="B486" s="506" t="n"/>
      <c r="C486" s="141" t="n"/>
      <c r="D486" s="141" t="n"/>
      <c r="E486" s="141" t="n"/>
      <c r="F486" s="141" t="n"/>
      <c r="G486" s="143" t="n"/>
      <c r="H486" s="27" t="n"/>
    </row>
    <row r="487" ht="17.25" customHeight="1" s="322">
      <c r="A487" s="27" t="n"/>
      <c r="B487" s="506" t="n"/>
      <c r="C487" s="141" t="n"/>
      <c r="D487" s="141" t="n"/>
      <c r="E487" s="141" t="n"/>
      <c r="F487" s="141" t="n"/>
      <c r="G487" s="143" t="n"/>
      <c r="H487" s="27" t="n"/>
    </row>
    <row r="488" ht="17.25" customHeight="1" s="322">
      <c r="A488" s="27" t="n"/>
      <c r="B488" s="506" t="n"/>
      <c r="C488" s="141" t="n"/>
      <c r="D488" s="141" t="n"/>
      <c r="E488" s="141" t="n"/>
      <c r="F488" s="141" t="n"/>
      <c r="G488" s="143" t="n"/>
      <c r="H488" s="27" t="n"/>
    </row>
    <row r="489" ht="17.25" customHeight="1" s="322">
      <c r="A489" s="27" t="n"/>
      <c r="B489" s="506" t="n"/>
      <c r="C489" s="141" t="n"/>
      <c r="D489" s="141" t="n"/>
      <c r="E489" s="141" t="n"/>
      <c r="F489" s="141" t="n"/>
      <c r="G489" s="143" t="n"/>
      <c r="H489" s="27" t="n"/>
    </row>
    <row r="490" ht="17.25" customHeight="1" s="322">
      <c r="A490" s="27" t="n"/>
      <c r="B490" s="506" t="n"/>
      <c r="C490" s="141" t="n"/>
      <c r="D490" s="141" t="n"/>
      <c r="E490" s="141" t="n"/>
      <c r="F490" s="141" t="n"/>
      <c r="G490" s="143" t="n"/>
      <c r="H490" s="27" t="n"/>
    </row>
    <row r="491" ht="17.25" customHeight="1" s="322">
      <c r="A491" s="27" t="n"/>
      <c r="B491" s="506" t="n"/>
      <c r="C491" s="141" t="n"/>
      <c r="D491" s="141" t="n"/>
      <c r="E491" s="141" t="n"/>
      <c r="F491" s="141" t="n"/>
      <c r="G491" s="143" t="n"/>
      <c r="H491" s="27" t="n"/>
    </row>
    <row r="492" ht="17.25" customHeight="1" s="322">
      <c r="A492" s="27" t="n"/>
      <c r="B492" s="506" t="n"/>
      <c r="C492" s="141" t="n"/>
      <c r="D492" s="141" t="n"/>
      <c r="E492" s="141" t="n"/>
      <c r="F492" s="141" t="n"/>
      <c r="G492" s="143" t="n"/>
      <c r="H492" s="27" t="n"/>
    </row>
    <row r="493" ht="17.25" customHeight="1" s="322">
      <c r="A493" s="27" t="n"/>
      <c r="B493" s="506" t="n"/>
      <c r="C493" s="141" t="n"/>
      <c r="D493" s="141" t="n"/>
      <c r="E493" s="141" t="n"/>
      <c r="F493" s="141" t="n"/>
      <c r="G493" s="143" t="n"/>
      <c r="H493" s="27" t="n"/>
    </row>
    <row r="494" ht="17.25" customHeight="1" s="322">
      <c r="A494" s="27" t="n"/>
      <c r="B494" s="506" t="n"/>
      <c r="C494" s="141" t="n"/>
      <c r="D494" s="141" t="n"/>
      <c r="E494" s="141" t="n"/>
      <c r="F494" s="141" t="n"/>
      <c r="G494" s="143" t="n"/>
      <c r="H494" s="27" t="n"/>
    </row>
    <row r="495" ht="17.25" customHeight="1" s="322">
      <c r="A495" s="27" t="n"/>
      <c r="B495" s="506" t="n"/>
      <c r="C495" s="141" t="n"/>
      <c r="D495" s="141" t="n"/>
      <c r="E495" s="141" t="n"/>
      <c r="F495" s="141" t="n"/>
      <c r="G495" s="143" t="n"/>
      <c r="H495" s="27" t="n"/>
    </row>
    <row r="496" ht="17.25" customHeight="1" s="322">
      <c r="A496" s="27" t="n"/>
      <c r="B496" s="506" t="n"/>
      <c r="C496" s="141" t="n"/>
      <c r="D496" s="141" t="n"/>
      <c r="E496" s="141" t="n"/>
      <c r="F496" s="141" t="n"/>
      <c r="G496" s="143" t="n"/>
      <c r="H496" s="27" t="n"/>
    </row>
    <row r="497" ht="17.25" customHeight="1" s="322">
      <c r="A497" s="27" t="n"/>
      <c r="B497" s="506" t="n"/>
      <c r="C497" s="141" t="n"/>
      <c r="D497" s="141" t="n"/>
      <c r="E497" s="141" t="n"/>
      <c r="F497" s="141" t="n"/>
      <c r="G497" s="143" t="n"/>
      <c r="H497" s="27" t="n"/>
    </row>
    <row r="498" ht="17.25" customHeight="1" s="322">
      <c r="A498" s="27" t="n"/>
      <c r="B498" s="506" t="n"/>
      <c r="C498" s="141" t="n"/>
      <c r="D498" s="141" t="n"/>
      <c r="E498" s="141" t="n"/>
      <c r="F498" s="141" t="n"/>
      <c r="G498" s="143" t="n"/>
      <c r="H498" s="27" t="n"/>
    </row>
    <row r="499" ht="17.25" customHeight="1" s="322">
      <c r="A499" s="27" t="n"/>
      <c r="B499" s="506" t="n"/>
      <c r="C499" s="141" t="n"/>
      <c r="D499" s="141" t="n"/>
      <c r="E499" s="141" t="n"/>
      <c r="F499" s="141" t="n"/>
      <c r="G499" s="143" t="n"/>
      <c r="H499" s="27" t="n"/>
    </row>
    <row r="500" ht="17.25" customHeight="1" s="322">
      <c r="A500" s="27" t="n"/>
      <c r="B500" s="506" t="n"/>
      <c r="C500" s="141" t="n"/>
      <c r="D500" s="141" t="n"/>
      <c r="E500" s="141" t="n"/>
      <c r="F500" s="141" t="n"/>
      <c r="G500" s="143" t="n"/>
      <c r="H500" s="27" t="n"/>
    </row>
    <row r="501" ht="17.25" customHeight="1" s="322">
      <c r="A501" s="27" t="n"/>
      <c r="B501" s="506" t="n"/>
      <c r="C501" s="141" t="n"/>
      <c r="D501" s="141" t="n"/>
      <c r="E501" s="141" t="n"/>
      <c r="F501" s="141" t="n"/>
      <c r="G501" s="143" t="n"/>
      <c r="H501" s="27" t="n"/>
    </row>
    <row r="502" ht="17.25" customHeight="1" s="322">
      <c r="A502" s="27" t="n"/>
      <c r="B502" s="506" t="n"/>
      <c r="C502" s="141" t="n"/>
      <c r="D502" s="141" t="n"/>
      <c r="E502" s="141" t="n"/>
      <c r="F502" s="141" t="n"/>
      <c r="G502" s="143" t="n"/>
      <c r="H502" s="27" t="n"/>
    </row>
    <row r="503" ht="17.25" customHeight="1" s="322">
      <c r="A503" s="27" t="n"/>
      <c r="B503" s="506" t="n"/>
      <c r="C503" s="141" t="n"/>
      <c r="D503" s="141" t="n"/>
      <c r="E503" s="141" t="n"/>
      <c r="F503" s="141" t="n"/>
      <c r="G503" s="143" t="n"/>
      <c r="H503" s="27" t="n"/>
    </row>
    <row r="504" ht="17.25" customHeight="1" s="322">
      <c r="A504" s="27" t="n"/>
      <c r="B504" s="506" t="n"/>
      <c r="C504" s="141" t="n"/>
      <c r="D504" s="141" t="n"/>
      <c r="E504" s="141" t="n"/>
      <c r="F504" s="141" t="n"/>
      <c r="G504" s="143" t="n"/>
      <c r="H504" s="27" t="n"/>
    </row>
    <row r="505" ht="17.25" customHeight="1" s="322">
      <c r="A505" s="27" t="n"/>
      <c r="B505" s="506" t="n"/>
      <c r="C505" s="141" t="n"/>
      <c r="D505" s="141" t="n"/>
      <c r="E505" s="141" t="n"/>
      <c r="F505" s="141" t="n"/>
      <c r="G505" s="143" t="n"/>
      <c r="H505" s="27" t="n"/>
    </row>
    <row r="506" ht="17.25" customHeight="1" s="322">
      <c r="A506" s="27" t="n"/>
      <c r="B506" s="506" t="n"/>
      <c r="C506" s="141" t="n"/>
      <c r="D506" s="141" t="n"/>
      <c r="E506" s="141" t="n"/>
      <c r="F506" s="141" t="n"/>
      <c r="G506" s="143" t="n"/>
      <c r="H506" s="27" t="n"/>
    </row>
    <row r="507" ht="17.25" customHeight="1" s="322">
      <c r="A507" s="27" t="n"/>
      <c r="B507" s="506" t="n"/>
      <c r="C507" s="141" t="n"/>
      <c r="D507" s="141" t="n"/>
      <c r="E507" s="141" t="n"/>
      <c r="F507" s="141" t="n"/>
      <c r="G507" s="143" t="n"/>
      <c r="H507" s="27" t="n"/>
    </row>
    <row r="508" ht="17.25" customHeight="1" s="322">
      <c r="A508" s="27" t="n"/>
      <c r="B508" s="506" t="n"/>
      <c r="C508" s="141" t="n"/>
      <c r="D508" s="141" t="n"/>
      <c r="E508" s="141" t="n"/>
      <c r="F508" s="141" t="n"/>
      <c r="G508" s="143" t="n"/>
      <c r="H508" s="27" t="n"/>
    </row>
    <row r="509" ht="17.25" customHeight="1" s="322">
      <c r="A509" s="27" t="n"/>
      <c r="B509" s="506" t="n"/>
      <c r="C509" s="141" t="n"/>
      <c r="D509" s="141" t="n"/>
      <c r="E509" s="141" t="n"/>
      <c r="F509" s="141" t="n"/>
      <c r="G509" s="143" t="n"/>
      <c r="H509" s="27" t="n"/>
    </row>
    <row r="510" ht="17.25" customHeight="1" s="322">
      <c r="A510" s="27" t="n"/>
      <c r="B510" s="506" t="n"/>
      <c r="C510" s="141" t="n"/>
      <c r="D510" s="141" t="n"/>
      <c r="E510" s="141" t="n"/>
      <c r="F510" s="141" t="n"/>
      <c r="G510" s="143" t="n"/>
      <c r="H510" s="27" t="n"/>
    </row>
    <row r="511" ht="17.25" customHeight="1" s="322">
      <c r="A511" s="27" t="n"/>
      <c r="B511" s="506" t="n"/>
      <c r="C511" s="141" t="n"/>
      <c r="D511" s="141" t="n"/>
      <c r="E511" s="141" t="n"/>
      <c r="F511" s="141" t="n"/>
      <c r="G511" s="143" t="n"/>
      <c r="H511" s="27" t="n"/>
    </row>
    <row r="512" ht="17.25" customHeight="1" s="322">
      <c r="A512" s="27" t="n"/>
      <c r="B512" s="506" t="n"/>
      <c r="C512" s="141" t="n"/>
      <c r="D512" s="141" t="n"/>
      <c r="E512" s="141" t="n"/>
      <c r="F512" s="141" t="n"/>
      <c r="G512" s="143" t="n"/>
      <c r="H512" s="27" t="n"/>
    </row>
    <row r="513" ht="17.25" customHeight="1" s="322">
      <c r="A513" s="27" t="n"/>
      <c r="B513" s="506" t="n"/>
      <c r="C513" s="141" t="n"/>
      <c r="D513" s="141" t="n"/>
      <c r="E513" s="141" t="n"/>
      <c r="F513" s="141" t="n"/>
      <c r="G513" s="143" t="n"/>
      <c r="H513" s="27" t="n"/>
    </row>
    <row r="514" ht="17.25" customHeight="1" s="322">
      <c r="A514" s="27" t="n"/>
      <c r="B514" s="506" t="n"/>
      <c r="C514" s="141" t="n"/>
      <c r="D514" s="141" t="n"/>
      <c r="E514" s="141" t="n"/>
      <c r="F514" s="141" t="n"/>
      <c r="G514" s="143" t="n"/>
      <c r="H514" s="27" t="n"/>
    </row>
    <row r="515" ht="17.25" customHeight="1" s="322">
      <c r="A515" s="27" t="n"/>
      <c r="B515" s="506" t="n"/>
      <c r="C515" s="141" t="n"/>
      <c r="D515" s="141" t="n"/>
      <c r="E515" s="141" t="n"/>
      <c r="F515" s="141" t="n"/>
      <c r="G515" s="143" t="n"/>
      <c r="H515" s="27" t="n"/>
    </row>
    <row r="516" ht="17.25" customHeight="1" s="322">
      <c r="A516" s="27" t="n"/>
      <c r="B516" s="506" t="n"/>
      <c r="C516" s="141" t="n"/>
      <c r="D516" s="141" t="n"/>
      <c r="E516" s="141" t="n"/>
      <c r="F516" s="141" t="n"/>
      <c r="G516" s="143" t="n"/>
      <c r="H516" s="27" t="n"/>
    </row>
    <row r="517" ht="17.25" customHeight="1" s="322">
      <c r="A517" s="27" t="n"/>
      <c r="B517" s="506" t="n"/>
      <c r="C517" s="141" t="n"/>
      <c r="D517" s="141" t="n"/>
      <c r="E517" s="141" t="n"/>
      <c r="F517" s="141" t="n"/>
      <c r="G517" s="143" t="n"/>
      <c r="H517" s="27" t="n"/>
    </row>
    <row r="518" ht="17.25" customHeight="1" s="322">
      <c r="A518" s="27" t="n"/>
      <c r="B518" s="506" t="n"/>
      <c r="C518" s="141" t="n"/>
      <c r="D518" s="141" t="n"/>
      <c r="E518" s="141" t="n"/>
      <c r="F518" s="141" t="n"/>
      <c r="G518" s="143" t="n"/>
      <c r="H518" s="27" t="n"/>
    </row>
    <row r="519" ht="17.25" customHeight="1" s="322">
      <c r="A519" s="27" t="n"/>
      <c r="B519" s="506" t="n"/>
      <c r="C519" s="141" t="n"/>
      <c r="D519" s="141" t="n"/>
      <c r="E519" s="141" t="n"/>
      <c r="F519" s="141" t="n"/>
      <c r="G519" s="143" t="n"/>
      <c r="H519" s="27" t="n"/>
    </row>
    <row r="520" ht="17.25" customHeight="1" s="322">
      <c r="A520" s="27" t="n"/>
      <c r="B520" s="506" t="n"/>
      <c r="C520" s="141" t="n"/>
      <c r="D520" s="141" t="n"/>
      <c r="E520" s="141" t="n"/>
      <c r="F520" s="141" t="n"/>
      <c r="G520" s="143" t="n"/>
      <c r="H520" s="27" t="n"/>
    </row>
    <row r="521" ht="17.25" customHeight="1" s="322">
      <c r="A521" s="27" t="n"/>
      <c r="B521" s="506" t="n"/>
      <c r="C521" s="141" t="n"/>
      <c r="D521" s="141" t="n"/>
      <c r="E521" s="141" t="n"/>
      <c r="F521" s="141" t="n"/>
      <c r="G521" s="143" t="n"/>
      <c r="H521" s="27" t="n"/>
    </row>
    <row r="522" ht="17.25" customHeight="1" s="322">
      <c r="A522" s="27" t="n"/>
      <c r="B522" s="506" t="n"/>
      <c r="C522" s="141" t="n"/>
      <c r="D522" s="141" t="n"/>
      <c r="E522" s="141" t="n"/>
      <c r="F522" s="141" t="n"/>
      <c r="G522" s="143" t="n"/>
      <c r="H522" s="27" t="n"/>
    </row>
    <row r="523" ht="17.25" customHeight="1" s="322">
      <c r="A523" s="27" t="n"/>
      <c r="B523" s="506" t="n"/>
      <c r="C523" s="141" t="n"/>
      <c r="D523" s="141" t="n"/>
      <c r="E523" s="141" t="n"/>
      <c r="F523" s="141" t="n"/>
      <c r="G523" s="143" t="n"/>
      <c r="H523" s="27" t="n"/>
    </row>
    <row r="524" ht="17.25" customHeight="1" s="322">
      <c r="A524" s="27" t="n"/>
      <c r="B524" s="506" t="n"/>
      <c r="C524" s="141" t="n"/>
      <c r="D524" s="141" t="n"/>
      <c r="E524" s="141" t="n"/>
      <c r="F524" s="141" t="n"/>
      <c r="G524" s="143" t="n"/>
      <c r="H524" s="27" t="n"/>
    </row>
    <row r="525" ht="17.25" customHeight="1" s="322">
      <c r="A525" s="27" t="n"/>
      <c r="B525" s="506" t="n"/>
      <c r="C525" s="141" t="n"/>
      <c r="D525" s="141" t="n"/>
      <c r="E525" s="141" t="n"/>
      <c r="F525" s="141" t="n"/>
      <c r="G525" s="143" t="n"/>
      <c r="H525" s="27" t="n"/>
    </row>
    <row r="526" ht="17.25" customHeight="1" s="322">
      <c r="A526" s="27" t="n"/>
      <c r="B526" s="506" t="n"/>
      <c r="C526" s="141" t="n"/>
      <c r="D526" s="141" t="n"/>
      <c r="E526" s="141" t="n"/>
      <c r="F526" s="141" t="n"/>
      <c r="G526" s="143" t="n"/>
      <c r="H526" s="27" t="n"/>
    </row>
    <row r="527" ht="17.25" customHeight="1" s="322">
      <c r="A527" s="27" t="n"/>
      <c r="B527" s="506" t="n"/>
      <c r="C527" s="141" t="n"/>
      <c r="D527" s="141" t="n"/>
      <c r="E527" s="141" t="n"/>
      <c r="F527" s="141" t="n"/>
      <c r="G527" s="143" t="n"/>
      <c r="H527" s="27" t="n"/>
    </row>
    <row r="528" ht="17.25" customHeight="1" s="322">
      <c r="A528" s="27" t="n"/>
      <c r="B528" s="506" t="n"/>
      <c r="C528" s="141" t="n"/>
      <c r="D528" s="141" t="n"/>
      <c r="E528" s="141" t="n"/>
      <c r="F528" s="141" t="n"/>
      <c r="G528" s="143" t="n"/>
      <c r="H528" s="27" t="n"/>
    </row>
    <row r="529" ht="17.25" customHeight="1" s="322">
      <c r="A529" s="27" t="n"/>
      <c r="B529" s="506" t="n"/>
      <c r="C529" s="141" t="n"/>
      <c r="D529" s="141" t="n"/>
      <c r="E529" s="141" t="n"/>
      <c r="F529" s="141" t="n"/>
      <c r="G529" s="143" t="n"/>
      <c r="H529" s="27" t="n"/>
    </row>
    <row r="530" ht="17.25" customHeight="1" s="322">
      <c r="A530" s="27" t="n"/>
      <c r="B530" s="506" t="n"/>
      <c r="C530" s="141" t="n"/>
      <c r="D530" s="141" t="n"/>
      <c r="E530" s="141" t="n"/>
      <c r="F530" s="141" t="n"/>
      <c r="G530" s="143" t="n"/>
      <c r="H530" s="27" t="n"/>
    </row>
    <row r="531" ht="17.25" customHeight="1" s="322">
      <c r="A531" s="27" t="n"/>
      <c r="B531" s="506" t="n"/>
      <c r="C531" s="141" t="n"/>
      <c r="D531" s="141" t="n"/>
      <c r="E531" s="141" t="n"/>
      <c r="F531" s="141" t="n"/>
      <c r="G531" s="143" t="n"/>
      <c r="H531" s="27" t="n"/>
    </row>
    <row r="532" ht="17.25" customHeight="1" s="322">
      <c r="A532" s="27" t="n"/>
      <c r="B532" s="506" t="n"/>
      <c r="C532" s="141" t="n"/>
      <c r="D532" s="141" t="n"/>
      <c r="E532" s="141" t="n"/>
      <c r="F532" s="141" t="n"/>
      <c r="G532" s="143" t="n"/>
      <c r="H532" s="27" t="n"/>
    </row>
    <row r="533" ht="17.25" customHeight="1" s="322">
      <c r="A533" s="27" t="n"/>
      <c r="B533" s="506" t="n"/>
      <c r="C533" s="141" t="n"/>
      <c r="D533" s="141" t="n"/>
      <c r="E533" s="141" t="n"/>
      <c r="F533" s="141" t="n"/>
      <c r="G533" s="143" t="n"/>
      <c r="H533" s="27" t="n"/>
    </row>
    <row r="534" ht="17.25" customHeight="1" s="322">
      <c r="A534" s="27" t="n"/>
      <c r="B534" s="506" t="n"/>
      <c r="C534" s="141" t="n"/>
      <c r="D534" s="141" t="n"/>
      <c r="E534" s="141" t="n"/>
      <c r="F534" s="141" t="n"/>
      <c r="G534" s="143" t="n"/>
      <c r="H534" s="27" t="n"/>
    </row>
    <row r="535" ht="17.25" customHeight="1" s="322">
      <c r="A535" s="27" t="n"/>
      <c r="B535" s="506" t="n"/>
      <c r="C535" s="141" t="n"/>
      <c r="D535" s="141" t="n"/>
      <c r="E535" s="141" t="n"/>
      <c r="F535" s="141" t="n"/>
      <c r="G535" s="143" t="n"/>
      <c r="H535" s="27" t="n"/>
    </row>
    <row r="536" ht="17.25" customHeight="1" s="322">
      <c r="A536" s="27" t="n"/>
      <c r="B536" s="506" t="n"/>
      <c r="C536" s="141" t="n"/>
      <c r="D536" s="141" t="n"/>
      <c r="E536" s="141" t="n"/>
      <c r="F536" s="141" t="n"/>
      <c r="G536" s="143" t="n"/>
      <c r="H536" s="27" t="n"/>
    </row>
    <row r="537" ht="17.25" customHeight="1" s="322">
      <c r="A537" s="27" t="n"/>
      <c r="B537" s="506" t="n"/>
      <c r="C537" s="141" t="n"/>
      <c r="D537" s="141" t="n"/>
      <c r="E537" s="141" t="n"/>
      <c r="F537" s="141" t="n"/>
      <c r="G537" s="143" t="n"/>
      <c r="H537" s="27" t="n"/>
    </row>
    <row r="538" ht="17.25" customHeight="1" s="322">
      <c r="A538" s="27" t="n"/>
      <c r="B538" s="506" t="n"/>
      <c r="C538" s="141" t="n"/>
      <c r="D538" s="141" t="n"/>
      <c r="E538" s="141" t="n"/>
      <c r="F538" s="141" t="n"/>
      <c r="G538" s="143" t="n"/>
      <c r="H538" s="27" t="n"/>
    </row>
    <row r="539" ht="17.25" customHeight="1" s="322">
      <c r="A539" s="27" t="n"/>
      <c r="B539" s="506" t="n"/>
      <c r="C539" s="141" t="n"/>
      <c r="D539" s="141" t="n"/>
      <c r="E539" s="141" t="n"/>
      <c r="F539" s="141" t="n"/>
      <c r="G539" s="143" t="n"/>
      <c r="H539" s="27" t="n"/>
    </row>
    <row r="540" ht="17.25" customHeight="1" s="322">
      <c r="A540" s="27" t="n"/>
      <c r="B540" s="506" t="n"/>
      <c r="C540" s="141" t="n"/>
      <c r="D540" s="141" t="n"/>
      <c r="E540" s="141" t="n"/>
      <c r="F540" s="141" t="n"/>
      <c r="G540" s="143" t="n"/>
      <c r="H540" s="27" t="n"/>
    </row>
    <row r="541" ht="17.25" customHeight="1" s="322">
      <c r="A541" s="27" t="n"/>
      <c r="B541" s="506" t="n"/>
      <c r="C541" s="141" t="n"/>
      <c r="D541" s="141" t="n"/>
      <c r="E541" s="141" t="n"/>
      <c r="F541" s="141" t="n"/>
      <c r="G541" s="143" t="n"/>
      <c r="H541" s="27" t="n"/>
    </row>
    <row r="542" ht="17.25" customHeight="1" s="322">
      <c r="A542" s="27" t="n"/>
      <c r="B542" s="506" t="n"/>
      <c r="C542" s="141" t="n"/>
      <c r="D542" s="141" t="n"/>
      <c r="E542" s="141" t="n"/>
      <c r="F542" s="141" t="n"/>
      <c r="G542" s="143" t="n"/>
      <c r="H542" s="27" t="n"/>
    </row>
    <row r="543" ht="17.25" customHeight="1" s="322">
      <c r="A543" s="27" t="n"/>
      <c r="B543" s="506" t="n"/>
      <c r="C543" s="141" t="n"/>
      <c r="D543" s="141" t="n"/>
      <c r="E543" s="141" t="n"/>
      <c r="F543" s="141" t="n"/>
      <c r="G543" s="143" t="n"/>
      <c r="H543" s="27" t="n"/>
    </row>
    <row r="544" ht="17.25" customHeight="1" s="322">
      <c r="A544" s="27" t="n"/>
      <c r="B544" s="506" t="n"/>
      <c r="C544" s="141" t="n"/>
      <c r="D544" s="141" t="n"/>
      <c r="E544" s="141" t="n"/>
      <c r="F544" s="141" t="n"/>
      <c r="G544" s="143" t="n"/>
      <c r="H544" s="27" t="n"/>
    </row>
    <row r="545" ht="17.25" customHeight="1" s="322">
      <c r="A545" s="27" t="n"/>
      <c r="B545" s="506" t="n"/>
      <c r="C545" s="141" t="n"/>
      <c r="D545" s="141" t="n"/>
      <c r="E545" s="141" t="n"/>
      <c r="F545" s="141" t="n"/>
      <c r="G545" s="143" t="n"/>
      <c r="H545" s="27" t="n"/>
    </row>
    <row r="546" ht="17.25" customHeight="1" s="322">
      <c r="A546" s="27" t="n"/>
      <c r="B546" s="506" t="n"/>
      <c r="C546" s="141" t="n"/>
      <c r="D546" s="141" t="n"/>
      <c r="E546" s="141" t="n"/>
      <c r="F546" s="141" t="n"/>
      <c r="G546" s="143" t="n"/>
      <c r="H546" s="27" t="n"/>
    </row>
    <row r="547" ht="17.25" customHeight="1" s="322">
      <c r="A547" s="27" t="n"/>
      <c r="B547" s="506" t="n"/>
      <c r="C547" s="141" t="n"/>
      <c r="D547" s="141" t="n"/>
      <c r="E547" s="141" t="n"/>
      <c r="F547" s="141" t="n"/>
      <c r="G547" s="143" t="n"/>
      <c r="H547" s="27" t="n"/>
    </row>
    <row r="548" ht="17.25" customHeight="1" s="322">
      <c r="A548" s="27" t="n"/>
      <c r="B548" s="506" t="n"/>
      <c r="C548" s="141" t="n"/>
      <c r="D548" s="141" t="n"/>
      <c r="E548" s="141" t="n"/>
      <c r="F548" s="141" t="n"/>
      <c r="G548" s="143" t="n"/>
      <c r="H548" s="27" t="n"/>
    </row>
    <row r="549" ht="17.25" customHeight="1" s="322">
      <c r="A549" s="27" t="n"/>
      <c r="B549" s="506" t="n"/>
      <c r="C549" s="141" t="n"/>
      <c r="D549" s="141" t="n"/>
      <c r="E549" s="141" t="n"/>
      <c r="F549" s="141" t="n"/>
      <c r="G549" s="143" t="n"/>
      <c r="H549" s="27" t="n"/>
    </row>
    <row r="550" ht="17.25" customHeight="1" s="322">
      <c r="A550" s="27" t="n"/>
      <c r="B550" s="506" t="n"/>
      <c r="C550" s="141" t="n"/>
      <c r="D550" s="141" t="n"/>
      <c r="E550" s="141" t="n"/>
      <c r="F550" s="141" t="n"/>
      <c r="G550" s="143" t="n"/>
      <c r="H550" s="27" t="n"/>
    </row>
    <row r="551" ht="17.25" customHeight="1" s="322">
      <c r="A551" s="27" t="n"/>
      <c r="B551" s="506" t="n"/>
      <c r="C551" s="141" t="n"/>
      <c r="D551" s="141" t="n"/>
      <c r="E551" s="141" t="n"/>
      <c r="F551" s="141" t="n"/>
      <c r="G551" s="143" t="n"/>
      <c r="H551" s="27" t="n"/>
    </row>
    <row r="552" ht="17.25" customHeight="1" s="322">
      <c r="A552" s="27" t="n"/>
      <c r="B552" s="506" t="n"/>
      <c r="C552" s="141" t="n"/>
      <c r="D552" s="141" t="n"/>
      <c r="E552" s="141" t="n"/>
      <c r="F552" s="141" t="n"/>
      <c r="G552" s="143" t="n"/>
      <c r="H552" s="27" t="n"/>
    </row>
    <row r="553" ht="17.25" customHeight="1" s="322">
      <c r="A553" s="27" t="n"/>
      <c r="B553" s="506" t="n"/>
      <c r="C553" s="141" t="n"/>
      <c r="D553" s="141" t="n"/>
      <c r="E553" s="141" t="n"/>
      <c r="F553" s="141" t="n"/>
      <c r="G553" s="143" t="n"/>
      <c r="H553" s="27" t="n"/>
    </row>
    <row r="554" ht="17.25" customHeight="1" s="322">
      <c r="A554" s="27" t="n"/>
      <c r="B554" s="506" t="n"/>
      <c r="C554" s="141" t="n"/>
      <c r="D554" s="141" t="n"/>
      <c r="E554" s="141" t="n"/>
      <c r="F554" s="141" t="n"/>
      <c r="G554" s="143" t="n"/>
      <c r="H554" s="27" t="n"/>
    </row>
    <row r="555" ht="17.25" customHeight="1" s="322">
      <c r="A555" s="27" t="n"/>
      <c r="B555" s="506" t="n"/>
      <c r="C555" s="141" t="n"/>
      <c r="D555" s="141" t="n"/>
      <c r="E555" s="141" t="n"/>
      <c r="F555" s="141" t="n"/>
      <c r="G555" s="143" t="n"/>
      <c r="H555" s="27" t="n"/>
    </row>
    <row r="556" ht="17.25" customHeight="1" s="322">
      <c r="A556" s="27" t="n"/>
      <c r="B556" s="506" t="n"/>
      <c r="C556" s="141" t="n"/>
      <c r="D556" s="141" t="n"/>
      <c r="E556" s="141" t="n"/>
      <c r="F556" s="141" t="n"/>
      <c r="G556" s="143" t="n"/>
      <c r="H556" s="27" t="n"/>
    </row>
    <row r="557" ht="17.25" customHeight="1" s="322">
      <c r="A557" s="27" t="n"/>
      <c r="B557" s="506" t="n"/>
      <c r="C557" s="141" t="n"/>
      <c r="D557" s="141" t="n"/>
      <c r="E557" s="141" t="n"/>
      <c r="F557" s="141" t="n"/>
      <c r="G557" s="143" t="n"/>
      <c r="H557" s="27" t="n"/>
    </row>
    <row r="558" ht="17.25" customHeight="1" s="322">
      <c r="A558" s="27" t="n"/>
      <c r="B558" s="506" t="n"/>
      <c r="C558" s="141" t="n"/>
      <c r="D558" s="141" t="n"/>
      <c r="E558" s="141" t="n"/>
      <c r="F558" s="141" t="n"/>
      <c r="G558" s="143" t="n"/>
      <c r="H558" s="27" t="n"/>
    </row>
    <row r="559" ht="17.25" customHeight="1" s="322">
      <c r="A559" s="27" t="n"/>
      <c r="B559" s="506" t="n"/>
      <c r="C559" s="141" t="n"/>
      <c r="D559" s="141" t="n"/>
      <c r="E559" s="141" t="n"/>
      <c r="F559" s="141" t="n"/>
      <c r="G559" s="143" t="n"/>
      <c r="H559" s="27" t="n"/>
    </row>
    <row r="560" ht="17.25" customHeight="1" s="322">
      <c r="A560" s="27" t="n"/>
      <c r="B560" s="506" t="n"/>
      <c r="C560" s="141" t="n"/>
      <c r="D560" s="141" t="n"/>
      <c r="E560" s="141" t="n"/>
      <c r="F560" s="141" t="n"/>
      <c r="G560" s="143" t="n"/>
      <c r="H560" s="27" t="n"/>
    </row>
    <row r="561" ht="17.25" customHeight="1" s="322">
      <c r="A561" s="27" t="n"/>
      <c r="B561" s="506" t="n"/>
      <c r="C561" s="141" t="n"/>
      <c r="D561" s="141" t="n"/>
      <c r="E561" s="141" t="n"/>
      <c r="F561" s="141" t="n"/>
      <c r="G561" s="143" t="n"/>
      <c r="H561" s="27" t="n"/>
    </row>
    <row r="562" ht="17.25" customHeight="1" s="322">
      <c r="A562" s="27" t="n"/>
      <c r="B562" s="506" t="n"/>
      <c r="C562" s="141" t="n"/>
      <c r="D562" s="141" t="n"/>
      <c r="E562" s="141" t="n"/>
      <c r="F562" s="141" t="n"/>
      <c r="G562" s="143" t="n"/>
      <c r="H562" s="27" t="n"/>
    </row>
    <row r="563" ht="17.25" customHeight="1" s="322">
      <c r="A563" s="27" t="n"/>
      <c r="B563" s="506" t="n"/>
      <c r="C563" s="141" t="n"/>
      <c r="D563" s="141" t="n"/>
      <c r="E563" s="141" t="n"/>
      <c r="F563" s="141" t="n"/>
      <c r="G563" s="143" t="n"/>
      <c r="H563" s="27" t="n"/>
    </row>
    <row r="564" ht="17.25" customHeight="1" s="322">
      <c r="A564" s="27" t="n"/>
      <c r="B564" s="506" t="n"/>
      <c r="C564" s="141" t="n"/>
      <c r="D564" s="141" t="n"/>
      <c r="E564" s="141" t="n"/>
      <c r="F564" s="141" t="n"/>
      <c r="G564" s="143" t="n"/>
      <c r="H564" s="27" t="n"/>
    </row>
    <row r="565" ht="17.25" customHeight="1" s="322">
      <c r="A565" s="27" t="n"/>
      <c r="B565" s="506" t="n"/>
      <c r="C565" s="141" t="n"/>
      <c r="D565" s="141" t="n"/>
      <c r="E565" s="141" t="n"/>
      <c r="F565" s="141" t="n"/>
      <c r="G565" s="143" t="n"/>
      <c r="H565" s="27" t="n"/>
    </row>
    <row r="566" ht="17.25" customHeight="1" s="322">
      <c r="A566" s="27" t="n"/>
      <c r="B566" s="506" t="n"/>
      <c r="C566" s="141" t="n"/>
      <c r="D566" s="141" t="n"/>
      <c r="E566" s="141" t="n"/>
      <c r="F566" s="141" t="n"/>
      <c r="G566" s="143" t="n"/>
      <c r="H566" s="27" t="n"/>
    </row>
    <row r="567" ht="17.25" customHeight="1" s="322">
      <c r="A567" s="27" t="n"/>
      <c r="B567" s="506" t="n"/>
      <c r="C567" s="141" t="n"/>
      <c r="D567" s="141" t="n"/>
      <c r="E567" s="141" t="n"/>
      <c r="F567" s="141" t="n"/>
      <c r="G567" s="143" t="n"/>
      <c r="H567" s="27" t="n"/>
    </row>
    <row r="568" ht="17.25" customHeight="1" s="322">
      <c r="A568" s="27" t="n"/>
      <c r="B568" s="506" t="n"/>
      <c r="C568" s="141" t="n"/>
      <c r="D568" s="141" t="n"/>
      <c r="E568" s="141" t="n"/>
      <c r="F568" s="141" t="n"/>
      <c r="G568" s="143" t="n"/>
      <c r="H568" s="27" t="n"/>
    </row>
    <row r="569" ht="17.25" customHeight="1" s="322">
      <c r="A569" s="27" t="n"/>
      <c r="B569" s="506" t="n"/>
      <c r="C569" s="141" t="n"/>
      <c r="D569" s="141" t="n"/>
      <c r="E569" s="141" t="n"/>
      <c r="F569" s="141" t="n"/>
      <c r="G569" s="143" t="n"/>
      <c r="H569" s="27" t="n"/>
    </row>
    <row r="570" ht="17.25" customHeight="1" s="322">
      <c r="A570" s="27" t="n"/>
      <c r="B570" s="506" t="n"/>
      <c r="C570" s="141" t="n"/>
      <c r="D570" s="141" t="n"/>
      <c r="E570" s="141" t="n"/>
      <c r="F570" s="141" t="n"/>
      <c r="G570" s="143" t="n"/>
      <c r="H570" s="27" t="n"/>
    </row>
    <row r="571" ht="17.25" customHeight="1" s="322">
      <c r="A571" s="27" t="n"/>
      <c r="B571" s="506" t="n"/>
      <c r="C571" s="141" t="n"/>
      <c r="D571" s="141" t="n"/>
      <c r="E571" s="141" t="n"/>
      <c r="F571" s="141" t="n"/>
      <c r="G571" s="143" t="n"/>
      <c r="H571" s="27" t="n"/>
    </row>
    <row r="572" ht="17.25" customHeight="1" s="322">
      <c r="A572" s="27" t="n"/>
      <c r="B572" s="506" t="n"/>
      <c r="C572" s="141" t="n"/>
      <c r="D572" s="141" t="n"/>
      <c r="E572" s="141" t="n"/>
      <c r="F572" s="141" t="n"/>
      <c r="G572" s="143" t="n"/>
      <c r="H572" s="27" t="n"/>
    </row>
    <row r="573" ht="17.25" customHeight="1" s="322">
      <c r="A573" s="27" t="n"/>
      <c r="B573" s="506" t="n"/>
      <c r="C573" s="141" t="n"/>
      <c r="D573" s="141" t="n"/>
      <c r="E573" s="141" t="n"/>
      <c r="F573" s="141" t="n"/>
      <c r="G573" s="143" t="n"/>
      <c r="H573" s="27" t="n"/>
    </row>
    <row r="574" ht="17.25" customHeight="1" s="322">
      <c r="A574" s="27" t="n"/>
      <c r="B574" s="506" t="n"/>
      <c r="C574" s="141" t="n"/>
      <c r="D574" s="141" t="n"/>
      <c r="E574" s="141" t="n"/>
      <c r="F574" s="141" t="n"/>
      <c r="G574" s="143" t="n"/>
      <c r="H574" s="27" t="n"/>
    </row>
    <row r="575" ht="17.25" customHeight="1" s="322">
      <c r="A575" s="27" t="n"/>
      <c r="B575" s="506" t="n"/>
      <c r="C575" s="141" t="n"/>
      <c r="D575" s="141" t="n"/>
      <c r="E575" s="141" t="n"/>
      <c r="F575" s="141" t="n"/>
      <c r="G575" s="143" t="n"/>
      <c r="H575" s="27" t="n"/>
    </row>
    <row r="576" ht="17.25" customHeight="1" s="322">
      <c r="A576" s="27" t="n"/>
      <c r="B576" s="506" t="n"/>
      <c r="C576" s="141" t="n"/>
      <c r="D576" s="141" t="n"/>
      <c r="E576" s="141" t="n"/>
      <c r="F576" s="141" t="n"/>
      <c r="G576" s="143" t="n"/>
      <c r="H576" s="27" t="n"/>
    </row>
    <row r="577" ht="17.25" customHeight="1" s="322">
      <c r="A577" s="27" t="n"/>
      <c r="B577" s="506" t="n"/>
      <c r="C577" s="141" t="n"/>
      <c r="D577" s="141" t="n"/>
      <c r="E577" s="141" t="n"/>
      <c r="F577" s="141" t="n"/>
      <c r="G577" s="143" t="n"/>
      <c r="H577" s="27" t="n"/>
    </row>
    <row r="578" ht="17.25" customHeight="1" s="322">
      <c r="A578" s="27" t="n"/>
      <c r="B578" s="506" t="n"/>
      <c r="C578" s="141" t="n"/>
      <c r="D578" s="141" t="n"/>
      <c r="E578" s="141" t="n"/>
      <c r="F578" s="141" t="n"/>
      <c r="G578" s="143" t="n"/>
      <c r="H578" s="27" t="n"/>
    </row>
    <row r="579" ht="17.25" customHeight="1" s="322">
      <c r="A579" s="27" t="n"/>
      <c r="B579" s="506" t="n"/>
      <c r="C579" s="141" t="n"/>
      <c r="D579" s="141" t="n"/>
      <c r="E579" s="141" t="n"/>
      <c r="F579" s="141" t="n"/>
      <c r="G579" s="143" t="n"/>
      <c r="H579" s="27" t="n"/>
    </row>
    <row r="580" ht="17.25" customHeight="1" s="322">
      <c r="A580" s="27" t="n"/>
      <c r="B580" s="506" t="n"/>
      <c r="C580" s="141" t="n"/>
      <c r="D580" s="141" t="n"/>
      <c r="E580" s="141" t="n"/>
      <c r="F580" s="141" t="n"/>
      <c r="G580" s="143" t="n"/>
      <c r="H580" s="27" t="n"/>
    </row>
    <row r="581" ht="17.25" customHeight="1" s="322">
      <c r="A581" s="27" t="n"/>
      <c r="B581" s="506" t="n"/>
      <c r="C581" s="141" t="n"/>
      <c r="D581" s="141" t="n"/>
      <c r="E581" s="141" t="n"/>
      <c r="F581" s="141" t="n"/>
      <c r="G581" s="143" t="n"/>
      <c r="H581" s="27" t="n"/>
    </row>
    <row r="582" ht="17.25" customHeight="1" s="322">
      <c r="A582" s="27" t="n"/>
      <c r="B582" s="506" t="n"/>
      <c r="C582" s="141" t="n"/>
      <c r="D582" s="141" t="n"/>
      <c r="E582" s="141" t="n"/>
      <c r="F582" s="141" t="n"/>
      <c r="G582" s="143" t="n"/>
      <c r="H582" s="27" t="n"/>
    </row>
    <row r="583" ht="17.25" customHeight="1" s="322">
      <c r="A583" s="27" t="n"/>
      <c r="B583" s="506" t="n"/>
      <c r="C583" s="141" t="n"/>
      <c r="D583" s="141" t="n"/>
      <c r="E583" s="141" t="n"/>
      <c r="F583" s="141" t="n"/>
      <c r="G583" s="143" t="n"/>
      <c r="H583" s="27" t="n"/>
    </row>
    <row r="584" ht="17.25" customHeight="1" s="322">
      <c r="A584" s="27" t="n"/>
      <c r="B584" s="506" t="n"/>
      <c r="C584" s="141" t="n"/>
      <c r="D584" s="141" t="n"/>
      <c r="E584" s="141" t="n"/>
      <c r="F584" s="141" t="n"/>
      <c r="G584" s="143" t="n"/>
      <c r="H584" s="27" t="n"/>
    </row>
    <row r="585" ht="17.25" customHeight="1" s="322">
      <c r="A585" s="27" t="n"/>
      <c r="B585" s="506" t="n"/>
      <c r="C585" s="141" t="n"/>
      <c r="D585" s="141" t="n"/>
      <c r="E585" s="141" t="n"/>
      <c r="F585" s="141" t="n"/>
      <c r="G585" s="143" t="n"/>
      <c r="H585" s="27" t="n"/>
    </row>
    <row r="586" ht="17.25" customHeight="1" s="322">
      <c r="A586" s="27" t="n"/>
      <c r="B586" s="506" t="n"/>
      <c r="C586" s="141" t="n"/>
      <c r="D586" s="141" t="n"/>
      <c r="E586" s="141" t="n"/>
      <c r="F586" s="141" t="n"/>
      <c r="G586" s="143" t="n"/>
      <c r="H586" s="27" t="n"/>
    </row>
    <row r="587" ht="17.25" customHeight="1" s="322">
      <c r="A587" s="27" t="n"/>
      <c r="B587" s="506" t="n"/>
      <c r="C587" s="141" t="n"/>
      <c r="D587" s="141" t="n"/>
      <c r="E587" s="141" t="n"/>
      <c r="F587" s="141" t="n"/>
      <c r="G587" s="143" t="n"/>
      <c r="H587" s="27" t="n"/>
    </row>
    <row r="588" ht="17.25" customHeight="1" s="322">
      <c r="A588" s="27" t="n"/>
      <c r="B588" s="506" t="n"/>
      <c r="C588" s="141" t="n"/>
      <c r="D588" s="141" t="n"/>
      <c r="E588" s="141" t="n"/>
      <c r="F588" s="141" t="n"/>
      <c r="G588" s="143" t="n"/>
      <c r="H588" s="27" t="n"/>
    </row>
    <row r="589" ht="17.25" customHeight="1" s="322">
      <c r="A589" s="27" t="n"/>
      <c r="B589" s="506" t="n"/>
      <c r="C589" s="141" t="n"/>
      <c r="D589" s="141" t="n"/>
      <c r="E589" s="141" t="n"/>
      <c r="F589" s="141" t="n"/>
      <c r="G589" s="143" t="n"/>
      <c r="H589" s="27" t="n"/>
    </row>
    <row r="590" ht="17.25" customHeight="1" s="322">
      <c r="A590" s="27" t="n"/>
      <c r="B590" s="506" t="n"/>
      <c r="C590" s="141" t="n"/>
      <c r="D590" s="141" t="n"/>
      <c r="E590" s="141" t="n"/>
      <c r="F590" s="141" t="n"/>
      <c r="G590" s="143" t="n"/>
      <c r="H590" s="27" t="n"/>
    </row>
    <row r="591" ht="17.25" customHeight="1" s="322">
      <c r="A591" s="27" t="n"/>
      <c r="B591" s="506" t="n"/>
      <c r="C591" s="141" t="n"/>
      <c r="D591" s="141" t="n"/>
      <c r="E591" s="141" t="n"/>
      <c r="F591" s="141" t="n"/>
      <c r="G591" s="143" t="n"/>
      <c r="H591" s="27" t="n"/>
    </row>
    <row r="592" ht="17.25" customHeight="1" s="322">
      <c r="A592" s="27" t="n"/>
      <c r="B592" s="506" t="n"/>
      <c r="C592" s="141" t="n"/>
      <c r="D592" s="141" t="n"/>
      <c r="E592" s="141" t="n"/>
      <c r="F592" s="141" t="n"/>
      <c r="G592" s="143" t="n"/>
      <c r="H592" s="27" t="n"/>
    </row>
    <row r="593" ht="17.25" customHeight="1" s="322">
      <c r="A593" s="27" t="n"/>
      <c r="B593" s="506" t="n"/>
      <c r="C593" s="141" t="n"/>
      <c r="D593" s="141" t="n"/>
      <c r="E593" s="141" t="n"/>
      <c r="F593" s="141" t="n"/>
      <c r="G593" s="143" t="n"/>
      <c r="H593" s="27" t="n"/>
    </row>
    <row r="594" ht="17.25" customHeight="1" s="322">
      <c r="A594" s="27" t="n"/>
      <c r="B594" s="506" t="n"/>
      <c r="C594" s="141" t="n"/>
      <c r="D594" s="141" t="n"/>
      <c r="E594" s="141" t="n"/>
      <c r="F594" s="141" t="n"/>
      <c r="G594" s="143" t="n"/>
      <c r="H594" s="27" t="n"/>
    </row>
    <row r="595" ht="17.25" customHeight="1" s="322">
      <c r="A595" s="27" t="n"/>
      <c r="B595" s="506" t="n"/>
      <c r="C595" s="141" t="n"/>
      <c r="D595" s="141" t="n"/>
      <c r="E595" s="141" t="n"/>
      <c r="F595" s="141" t="n"/>
      <c r="G595" s="143" t="n"/>
      <c r="H595" s="27" t="n"/>
    </row>
    <row r="596" ht="17.25" customHeight="1" s="322">
      <c r="A596" s="27" t="n"/>
      <c r="B596" s="506" t="n"/>
      <c r="C596" s="141" t="n"/>
      <c r="D596" s="141" t="n"/>
      <c r="E596" s="141" t="n"/>
      <c r="F596" s="141" t="n"/>
      <c r="G596" s="143" t="n"/>
      <c r="H596" s="27" t="n"/>
    </row>
    <row r="597" ht="17.25" customHeight="1" s="322">
      <c r="A597" s="27" t="n"/>
      <c r="B597" s="506" t="n"/>
      <c r="C597" s="141" t="n"/>
      <c r="D597" s="141" t="n"/>
      <c r="E597" s="141" t="n"/>
      <c r="F597" s="141" t="n"/>
      <c r="G597" s="143" t="n"/>
      <c r="H597" s="27" t="n"/>
    </row>
    <row r="598" ht="17.25" customHeight="1" s="322">
      <c r="A598" s="27" t="n"/>
      <c r="B598" s="506" t="n"/>
      <c r="C598" s="141" t="n"/>
      <c r="D598" s="141" t="n"/>
      <c r="E598" s="141" t="n"/>
      <c r="F598" s="141" t="n"/>
      <c r="G598" s="143" t="n"/>
      <c r="H598" s="27" t="n"/>
    </row>
    <row r="599" ht="17.25" customHeight="1" s="322">
      <c r="A599" s="27" t="n"/>
      <c r="B599" s="506" t="n"/>
      <c r="C599" s="141" t="n"/>
      <c r="D599" s="141" t="n"/>
      <c r="E599" s="141" t="n"/>
      <c r="F599" s="141" t="n"/>
      <c r="G599" s="143" t="n"/>
      <c r="H599" s="27" t="n"/>
    </row>
    <row r="600" ht="17.25" customHeight="1" s="322">
      <c r="A600" s="27" t="n"/>
      <c r="B600" s="506" t="n"/>
      <c r="C600" s="141" t="n"/>
      <c r="D600" s="141" t="n"/>
      <c r="E600" s="141" t="n"/>
      <c r="F600" s="141" t="n"/>
      <c r="G600" s="143" t="n"/>
      <c r="H600" s="27" t="n"/>
    </row>
    <row r="601" ht="17.25" customHeight="1" s="322">
      <c r="A601" s="27" t="n"/>
      <c r="B601" s="506" t="n"/>
      <c r="C601" s="141" t="n"/>
      <c r="D601" s="141" t="n"/>
      <c r="E601" s="141" t="n"/>
      <c r="F601" s="141" t="n"/>
      <c r="G601" s="143" t="n"/>
      <c r="H601" s="27" t="n"/>
    </row>
    <row r="602" ht="17.25" customHeight="1" s="322">
      <c r="A602" s="27" t="n"/>
      <c r="B602" s="506" t="n"/>
      <c r="C602" s="141" t="n"/>
      <c r="D602" s="141" t="n"/>
      <c r="E602" s="141" t="n"/>
      <c r="F602" s="141" t="n"/>
      <c r="G602" s="143" t="n"/>
      <c r="H602" s="27" t="n"/>
    </row>
    <row r="603" ht="17.25" customHeight="1" s="322">
      <c r="A603" s="27" t="n"/>
      <c r="B603" s="506" t="n"/>
      <c r="C603" s="141" t="n"/>
      <c r="D603" s="141" t="n"/>
      <c r="E603" s="141" t="n"/>
      <c r="F603" s="141" t="n"/>
      <c r="G603" s="143" t="n"/>
      <c r="H603" s="27" t="n"/>
    </row>
    <row r="604" ht="17.25" customHeight="1" s="322">
      <c r="A604" s="27" t="n"/>
      <c r="B604" s="506" t="n"/>
      <c r="C604" s="141" t="n"/>
      <c r="D604" s="141" t="n"/>
      <c r="E604" s="141" t="n"/>
      <c r="F604" s="141" t="n"/>
      <c r="G604" s="143" t="n"/>
      <c r="H604" s="27" t="n"/>
    </row>
    <row r="605" ht="17.25" customHeight="1" s="322">
      <c r="A605" s="27" t="n"/>
      <c r="B605" s="506" t="n"/>
      <c r="C605" s="141" t="n"/>
      <c r="D605" s="141" t="n"/>
      <c r="E605" s="141" t="n"/>
      <c r="F605" s="141" t="n"/>
      <c r="G605" s="143" t="n"/>
      <c r="H605" s="27" t="n"/>
    </row>
    <row r="606" ht="17.25" customHeight="1" s="322">
      <c r="A606" s="27" t="n"/>
      <c r="B606" s="506" t="n"/>
      <c r="C606" s="141" t="n"/>
      <c r="D606" s="141" t="n"/>
      <c r="E606" s="141" t="n"/>
      <c r="F606" s="141" t="n"/>
      <c r="G606" s="143" t="n"/>
      <c r="H606" s="27" t="n"/>
    </row>
    <row r="607" ht="17.25" customHeight="1" s="322">
      <c r="A607" s="27" t="n"/>
      <c r="B607" s="506" t="n"/>
      <c r="C607" s="141" t="n"/>
      <c r="D607" s="141" t="n"/>
      <c r="E607" s="141" t="n"/>
      <c r="F607" s="141" t="n"/>
      <c r="G607" s="143" t="n"/>
      <c r="H607" s="27" t="n"/>
    </row>
    <row r="608" ht="17.25" customHeight="1" s="322">
      <c r="A608" s="27" t="n"/>
      <c r="B608" s="506" t="n"/>
      <c r="C608" s="141" t="n"/>
      <c r="D608" s="141" t="n"/>
      <c r="E608" s="141" t="n"/>
      <c r="F608" s="141" t="n"/>
      <c r="G608" s="143" t="n"/>
      <c r="H608" s="27" t="n"/>
    </row>
    <row r="609" ht="17.25" customHeight="1" s="322">
      <c r="A609" s="27" t="n"/>
      <c r="B609" s="506" t="n"/>
      <c r="C609" s="141" t="n"/>
      <c r="D609" s="141" t="n"/>
      <c r="E609" s="141" t="n"/>
      <c r="F609" s="141" t="n"/>
      <c r="G609" s="143" t="n"/>
      <c r="H609" s="27" t="n"/>
    </row>
    <row r="610" ht="17.25" customHeight="1" s="322">
      <c r="A610" s="27" t="n"/>
      <c r="B610" s="506" t="n"/>
      <c r="C610" s="141" t="n"/>
      <c r="D610" s="141" t="n"/>
      <c r="E610" s="141" t="n"/>
      <c r="F610" s="141" t="n"/>
      <c r="G610" s="143" t="n"/>
      <c r="H610" s="27" t="n"/>
    </row>
    <row r="611" ht="17.25" customHeight="1" s="322">
      <c r="A611" s="27" t="n"/>
      <c r="B611" s="506" t="n"/>
      <c r="C611" s="141" t="n"/>
      <c r="D611" s="141" t="n"/>
      <c r="E611" s="141" t="n"/>
      <c r="F611" s="141" t="n"/>
      <c r="G611" s="143" t="n"/>
      <c r="H611" s="27" t="n"/>
    </row>
    <row r="612" ht="17.25" customHeight="1" s="322">
      <c r="A612" s="27" t="n"/>
      <c r="B612" s="506" t="n"/>
      <c r="C612" s="141" t="n"/>
      <c r="D612" s="141" t="n"/>
      <c r="E612" s="141" t="n"/>
      <c r="F612" s="141" t="n"/>
      <c r="G612" s="143" t="n"/>
      <c r="H612" s="27" t="n"/>
    </row>
    <row r="613" ht="17.25" customHeight="1" s="322">
      <c r="A613" s="27" t="n"/>
      <c r="B613" s="506" t="n"/>
      <c r="C613" s="141" t="n"/>
      <c r="D613" s="141" t="n"/>
      <c r="E613" s="141" t="n"/>
      <c r="F613" s="141" t="n"/>
      <c r="G613" s="143" t="n"/>
      <c r="H613" s="27" t="n"/>
    </row>
    <row r="614" ht="17.25" customHeight="1" s="322">
      <c r="A614" s="27" t="n"/>
      <c r="B614" s="506" t="n"/>
      <c r="C614" s="141" t="n"/>
      <c r="D614" s="141" t="n"/>
      <c r="E614" s="141" t="n"/>
      <c r="F614" s="141" t="n"/>
      <c r="G614" s="143" t="n"/>
      <c r="H614" s="27" t="n"/>
    </row>
    <row r="615" ht="17.25" customHeight="1" s="322">
      <c r="A615" s="27" t="n"/>
      <c r="B615" s="506" t="n"/>
      <c r="C615" s="141" t="n"/>
      <c r="D615" s="141" t="n"/>
      <c r="E615" s="141" t="n"/>
      <c r="F615" s="141" t="n"/>
      <c r="G615" s="143" t="n"/>
      <c r="H615" s="27" t="n"/>
    </row>
    <row r="616" ht="17.25" customHeight="1" s="322">
      <c r="A616" s="27" t="n"/>
      <c r="B616" s="506" t="n"/>
      <c r="C616" s="141" t="n"/>
      <c r="D616" s="141" t="n"/>
      <c r="E616" s="141" t="n"/>
      <c r="F616" s="141" t="n"/>
      <c r="G616" s="143" t="n"/>
      <c r="H616" s="27" t="n"/>
    </row>
    <row r="617" ht="17.25" customHeight="1" s="322">
      <c r="A617" s="27" t="n"/>
      <c r="B617" s="506" t="n"/>
      <c r="C617" s="141" t="n"/>
      <c r="D617" s="141" t="n"/>
      <c r="E617" s="141" t="n"/>
      <c r="F617" s="141" t="n"/>
      <c r="G617" s="143" t="n"/>
      <c r="H617" s="27" t="n"/>
    </row>
    <row r="618" ht="17.25" customHeight="1" s="322">
      <c r="A618" s="27" t="n"/>
      <c r="B618" s="506" t="n"/>
      <c r="C618" s="141" t="n"/>
      <c r="D618" s="141" t="n"/>
      <c r="E618" s="141" t="n"/>
      <c r="F618" s="141" t="n"/>
      <c r="G618" s="143" t="n"/>
      <c r="H618" s="27" t="n"/>
    </row>
    <row r="619" ht="17.25" customHeight="1" s="322">
      <c r="A619" s="27" t="n"/>
      <c r="B619" s="506" t="n"/>
      <c r="C619" s="141" t="n"/>
      <c r="D619" s="141" t="n"/>
      <c r="E619" s="141" t="n"/>
      <c r="F619" s="141" t="n"/>
      <c r="G619" s="143" t="n"/>
      <c r="H619" s="27" t="n"/>
    </row>
    <row r="620" ht="17.25" customHeight="1" s="322">
      <c r="A620" s="27" t="n"/>
      <c r="B620" s="506" t="n"/>
      <c r="C620" s="141" t="n"/>
      <c r="D620" s="141" t="n"/>
      <c r="E620" s="141" t="n"/>
      <c r="F620" s="141" t="n"/>
      <c r="G620" s="143" t="n"/>
      <c r="H620" s="27" t="n"/>
    </row>
    <row r="621" ht="17.25" customHeight="1" s="322">
      <c r="A621" s="27" t="n"/>
      <c r="B621" s="506" t="n"/>
      <c r="C621" s="141" t="n"/>
      <c r="D621" s="141" t="n"/>
      <c r="E621" s="141" t="n"/>
      <c r="F621" s="141" t="n"/>
      <c r="G621" s="143" t="n"/>
      <c r="H621" s="27" t="n"/>
    </row>
    <row r="622" ht="17.25" customHeight="1" s="322">
      <c r="A622" s="27" t="n"/>
      <c r="B622" s="506" t="n"/>
      <c r="C622" s="141" t="n"/>
      <c r="D622" s="141" t="n"/>
      <c r="E622" s="141" t="n"/>
      <c r="F622" s="141" t="n"/>
      <c r="G622" s="143" t="n"/>
      <c r="H622" s="27" t="n"/>
    </row>
    <row r="623" ht="17.25" customHeight="1" s="322">
      <c r="A623" s="27" t="n"/>
      <c r="B623" s="506" t="n"/>
      <c r="C623" s="141" t="n"/>
      <c r="D623" s="141" t="n"/>
      <c r="E623" s="141" t="n"/>
      <c r="F623" s="141" t="n"/>
      <c r="G623" s="143" t="n"/>
      <c r="H623" s="27" t="n"/>
    </row>
    <row r="624" ht="17.25" customHeight="1" s="322">
      <c r="A624" s="27" t="n"/>
      <c r="B624" s="506" t="n"/>
      <c r="C624" s="141" t="n"/>
      <c r="D624" s="141" t="n"/>
      <c r="E624" s="141" t="n"/>
      <c r="F624" s="141" t="n"/>
      <c r="G624" s="143" t="n"/>
      <c r="H624" s="27" t="n"/>
    </row>
    <row r="625" ht="17.25" customHeight="1" s="322">
      <c r="A625" s="27" t="n"/>
      <c r="B625" s="506" t="n"/>
      <c r="C625" s="141" t="n"/>
      <c r="D625" s="141" t="n"/>
      <c r="E625" s="141" t="n"/>
      <c r="F625" s="141" t="n"/>
      <c r="G625" s="143" t="n"/>
      <c r="H625" s="27" t="n"/>
    </row>
    <row r="626" ht="17.25" customHeight="1" s="322">
      <c r="A626" s="27" t="n"/>
      <c r="B626" s="506" t="n"/>
      <c r="C626" s="141" t="n"/>
      <c r="D626" s="141" t="n"/>
      <c r="E626" s="141" t="n"/>
      <c r="F626" s="141" t="n"/>
      <c r="G626" s="143" t="n"/>
      <c r="H626" s="27" t="n"/>
    </row>
    <row r="627" ht="17.25" customHeight="1" s="322">
      <c r="A627" s="27" t="n"/>
      <c r="B627" s="506" t="n"/>
      <c r="C627" s="141" t="n"/>
      <c r="D627" s="141" t="n"/>
      <c r="E627" s="141" t="n"/>
      <c r="F627" s="141" t="n"/>
      <c r="G627" s="143" t="n"/>
      <c r="H627" s="27" t="n"/>
    </row>
    <row r="628" ht="17.25" customHeight="1" s="322">
      <c r="A628" s="27" t="n"/>
      <c r="B628" s="506" t="n"/>
      <c r="C628" s="141" t="n"/>
      <c r="D628" s="141" t="n"/>
      <c r="E628" s="141" t="n"/>
      <c r="F628" s="141" t="n"/>
      <c r="G628" s="143" t="n"/>
      <c r="H628" s="27" t="n"/>
    </row>
    <row r="629" ht="17.25" customHeight="1" s="322">
      <c r="A629" s="27" t="n"/>
      <c r="B629" s="506" t="n"/>
      <c r="C629" s="141" t="n"/>
      <c r="D629" s="141" t="n"/>
      <c r="E629" s="141" t="n"/>
      <c r="F629" s="141" t="n"/>
      <c r="G629" s="143" t="n"/>
      <c r="H629" s="27" t="n"/>
    </row>
    <row r="630" ht="17.25" customHeight="1" s="322">
      <c r="A630" s="27" t="n"/>
      <c r="B630" s="506" t="n"/>
      <c r="C630" s="141" t="n"/>
      <c r="D630" s="141" t="n"/>
      <c r="E630" s="141" t="n"/>
      <c r="F630" s="141" t="n"/>
      <c r="G630" s="143" t="n"/>
      <c r="H630" s="27" t="n"/>
    </row>
    <row r="631" ht="17.25" customHeight="1" s="322">
      <c r="A631" s="27" t="n"/>
      <c r="B631" s="506" t="n"/>
      <c r="C631" s="141" t="n"/>
      <c r="D631" s="141" t="n"/>
      <c r="E631" s="141" t="n"/>
      <c r="F631" s="141" t="n"/>
      <c r="G631" s="143" t="n"/>
      <c r="H631" s="27" t="n"/>
    </row>
    <row r="632" ht="17.25" customHeight="1" s="322">
      <c r="A632" s="27" t="n"/>
      <c r="B632" s="506" t="n"/>
      <c r="C632" s="141" t="n"/>
      <c r="D632" s="141" t="n"/>
      <c r="E632" s="141" t="n"/>
      <c r="F632" s="141" t="n"/>
      <c r="G632" s="143" t="n"/>
      <c r="H632" s="27" t="n"/>
    </row>
    <row r="633" ht="17.25" customHeight="1" s="322">
      <c r="A633" s="27" t="n"/>
      <c r="B633" s="506" t="n"/>
      <c r="C633" s="141" t="n"/>
      <c r="D633" s="141" t="n"/>
      <c r="E633" s="141" t="n"/>
      <c r="F633" s="141" t="n"/>
      <c r="G633" s="143" t="n"/>
      <c r="H633" s="27" t="n"/>
    </row>
    <row r="634" ht="17.25" customHeight="1" s="322">
      <c r="A634" s="27" t="n"/>
      <c r="B634" s="506" t="n"/>
      <c r="C634" s="141" t="n"/>
      <c r="D634" s="141" t="n"/>
      <c r="E634" s="141" t="n"/>
      <c r="F634" s="141" t="n"/>
      <c r="G634" s="143" t="n"/>
      <c r="H634" s="27" t="n"/>
    </row>
    <row r="635" ht="17.25" customHeight="1" s="322">
      <c r="A635" s="27" t="n"/>
      <c r="B635" s="506" t="n"/>
      <c r="C635" s="141" t="n"/>
      <c r="D635" s="141" t="n"/>
      <c r="E635" s="141" t="n"/>
      <c r="F635" s="141" t="n"/>
      <c r="G635" s="143" t="n"/>
      <c r="H635" s="27" t="n"/>
    </row>
    <row r="636" ht="17.25" customHeight="1" s="322">
      <c r="A636" s="27" t="n"/>
      <c r="B636" s="506" t="n"/>
      <c r="C636" s="141" t="n"/>
      <c r="D636" s="141" t="n"/>
      <c r="E636" s="141" t="n"/>
      <c r="F636" s="141" t="n"/>
      <c r="G636" s="143" t="n"/>
      <c r="H636" s="27" t="n"/>
    </row>
    <row r="637" ht="17.25" customHeight="1" s="322">
      <c r="A637" s="27" t="n"/>
      <c r="B637" s="506" t="n"/>
      <c r="C637" s="141" t="n"/>
      <c r="D637" s="141" t="n"/>
      <c r="E637" s="141" t="n"/>
      <c r="F637" s="141" t="n"/>
      <c r="G637" s="143" t="n"/>
      <c r="H637" s="27" t="n"/>
    </row>
    <row r="638" ht="17.25" customHeight="1" s="322">
      <c r="A638" s="27" t="n"/>
      <c r="B638" s="506" t="n"/>
      <c r="C638" s="141" t="n"/>
      <c r="D638" s="141" t="n"/>
      <c r="E638" s="141" t="n"/>
      <c r="F638" s="141" t="n"/>
      <c r="G638" s="143" t="n"/>
      <c r="H638" s="27" t="n"/>
    </row>
    <row r="639" ht="17.25" customHeight="1" s="322">
      <c r="A639" s="27" t="n"/>
      <c r="B639" s="506" t="n"/>
      <c r="C639" s="141" t="n"/>
      <c r="D639" s="141" t="n"/>
      <c r="E639" s="141" t="n"/>
      <c r="F639" s="141" t="n"/>
      <c r="G639" s="143" t="n"/>
      <c r="H639" s="27" t="n"/>
    </row>
    <row r="640" ht="17.25" customHeight="1" s="322">
      <c r="A640" s="27" t="n"/>
      <c r="B640" s="506" t="n"/>
      <c r="C640" s="141" t="n"/>
      <c r="D640" s="141" t="n"/>
      <c r="E640" s="141" t="n"/>
      <c r="F640" s="141" t="n"/>
      <c r="G640" s="143" t="n"/>
      <c r="H640" s="27" t="n"/>
    </row>
    <row r="641" ht="17.25" customHeight="1" s="322">
      <c r="A641" s="27" t="n"/>
      <c r="B641" s="506" t="n"/>
      <c r="C641" s="141" t="n"/>
      <c r="D641" s="141" t="n"/>
      <c r="E641" s="141" t="n"/>
      <c r="F641" s="141" t="n"/>
      <c r="G641" s="143" t="n"/>
      <c r="H641" s="27" t="n"/>
    </row>
    <row r="642" ht="17.25" customHeight="1" s="322">
      <c r="A642" s="27" t="n"/>
      <c r="B642" s="506" t="n"/>
      <c r="C642" s="141" t="n"/>
      <c r="D642" s="141" t="n"/>
      <c r="E642" s="141" t="n"/>
      <c r="F642" s="141" t="n"/>
      <c r="G642" s="143" t="n"/>
      <c r="H642" s="27" t="n"/>
    </row>
    <row r="643" ht="17.25" customHeight="1" s="322">
      <c r="A643" s="27" t="n"/>
      <c r="B643" s="506" t="n"/>
      <c r="C643" s="141" t="n"/>
      <c r="D643" s="141" t="n"/>
      <c r="E643" s="141" t="n"/>
      <c r="F643" s="141" t="n"/>
      <c r="G643" s="143" t="n"/>
      <c r="H643" s="27" t="n"/>
    </row>
    <row r="644" ht="17.25" customHeight="1" s="322">
      <c r="A644" s="27" t="n"/>
      <c r="B644" s="506" t="n"/>
      <c r="C644" s="141" t="n"/>
      <c r="D644" s="141" t="n"/>
      <c r="E644" s="141" t="n"/>
      <c r="F644" s="141" t="n"/>
      <c r="G644" s="143" t="n"/>
      <c r="H644" s="27" t="n"/>
    </row>
    <row r="645" ht="17.25" customHeight="1" s="322">
      <c r="A645" s="27" t="n"/>
      <c r="B645" s="506" t="n"/>
      <c r="C645" s="141" t="n"/>
      <c r="D645" s="141" t="n"/>
      <c r="E645" s="141" t="n"/>
      <c r="F645" s="141" t="n"/>
      <c r="G645" s="143" t="n"/>
      <c r="H645" s="27" t="n"/>
    </row>
    <row r="646" ht="17.25" customHeight="1" s="322">
      <c r="A646" s="27" t="n"/>
      <c r="B646" s="506" t="n"/>
      <c r="C646" s="141" t="n"/>
      <c r="D646" s="141" t="n"/>
      <c r="E646" s="141" t="n"/>
      <c r="F646" s="141" t="n"/>
      <c r="G646" s="143" t="n"/>
      <c r="H646" s="27" t="n"/>
    </row>
    <row r="647" ht="17.25" customHeight="1" s="322">
      <c r="A647" s="27" t="n"/>
      <c r="B647" s="506" t="n"/>
      <c r="C647" s="141" t="n"/>
      <c r="D647" s="141" t="n"/>
      <c r="E647" s="141" t="n"/>
      <c r="F647" s="141" t="n"/>
      <c r="G647" s="143" t="n"/>
      <c r="H647" s="27" t="n"/>
    </row>
    <row r="648" ht="17.25" customHeight="1" s="322">
      <c r="A648" s="27" t="n"/>
      <c r="B648" s="506" t="n"/>
      <c r="C648" s="141" t="n"/>
      <c r="D648" s="141" t="n"/>
      <c r="E648" s="141" t="n"/>
      <c r="F648" s="141" t="n"/>
      <c r="G648" s="143" t="n"/>
      <c r="H648" s="27" t="n"/>
    </row>
    <row r="649" ht="17.25" customHeight="1" s="322">
      <c r="A649" s="27" t="n"/>
      <c r="B649" s="506" t="n"/>
      <c r="C649" s="141" t="n"/>
      <c r="D649" s="141" t="n"/>
      <c r="E649" s="141" t="n"/>
      <c r="F649" s="141" t="n"/>
      <c r="G649" s="143" t="n"/>
      <c r="H649" s="27" t="n"/>
    </row>
    <row r="650" ht="17.25" customHeight="1" s="322">
      <c r="A650" s="27" t="n"/>
      <c r="B650" s="506" t="n"/>
      <c r="C650" s="141" t="n"/>
      <c r="D650" s="141" t="n"/>
      <c r="E650" s="141" t="n"/>
      <c r="F650" s="141" t="n"/>
      <c r="G650" s="143" t="n"/>
      <c r="H650" s="27" t="n"/>
    </row>
    <row r="651" ht="17.25" customHeight="1" s="322">
      <c r="A651" s="27" t="n"/>
      <c r="B651" s="506" t="n"/>
      <c r="C651" s="141" t="n"/>
      <c r="D651" s="141" t="n"/>
      <c r="E651" s="141" t="n"/>
      <c r="F651" s="141" t="n"/>
      <c r="G651" s="143" t="n"/>
      <c r="H651" s="27" t="n"/>
    </row>
    <row r="652" ht="17.25" customHeight="1" s="322">
      <c r="A652" s="27" t="n"/>
      <c r="B652" s="506" t="n"/>
      <c r="C652" s="141" t="n"/>
      <c r="D652" s="141" t="n"/>
      <c r="E652" s="141" t="n"/>
      <c r="F652" s="141" t="n"/>
      <c r="G652" s="143" t="n"/>
      <c r="H652" s="27" t="n"/>
    </row>
    <row r="653" ht="17.25" customHeight="1" s="322">
      <c r="A653" s="27" t="n"/>
      <c r="B653" s="506" t="n"/>
      <c r="C653" s="141" t="n"/>
      <c r="D653" s="141" t="n"/>
      <c r="E653" s="141" t="n"/>
      <c r="F653" s="141" t="n"/>
      <c r="G653" s="143" t="n"/>
      <c r="H653" s="27" t="n"/>
    </row>
    <row r="654" ht="17.25" customHeight="1" s="322">
      <c r="A654" s="27" t="n"/>
      <c r="B654" s="506" t="n"/>
      <c r="C654" s="141" t="n"/>
      <c r="D654" s="141" t="n"/>
      <c r="E654" s="141" t="n"/>
      <c r="F654" s="141" t="n"/>
      <c r="G654" s="143" t="n"/>
      <c r="H654" s="27" t="n"/>
    </row>
    <row r="655" ht="17.25" customHeight="1" s="322">
      <c r="A655" s="27" t="n"/>
      <c r="B655" s="506" t="n"/>
      <c r="C655" s="141" t="n"/>
      <c r="D655" s="141" t="n"/>
      <c r="E655" s="141" t="n"/>
      <c r="F655" s="141" t="n"/>
      <c r="G655" s="143" t="n"/>
      <c r="H655" s="27" t="n"/>
    </row>
    <row r="656" ht="17.25" customHeight="1" s="322">
      <c r="A656" s="27" t="n"/>
      <c r="B656" s="506" t="n"/>
      <c r="C656" s="141" t="n"/>
      <c r="D656" s="141" t="n"/>
      <c r="E656" s="141" t="n"/>
      <c r="F656" s="141" t="n"/>
      <c r="G656" s="143" t="n"/>
      <c r="H656" s="27" t="n"/>
    </row>
    <row r="657" ht="17.25" customHeight="1" s="322">
      <c r="A657" s="27" t="n"/>
      <c r="B657" s="506" t="n"/>
      <c r="C657" s="141" t="n"/>
      <c r="D657" s="141" t="n"/>
      <c r="E657" s="141" t="n"/>
      <c r="F657" s="141" t="n"/>
      <c r="G657" s="143" t="n"/>
      <c r="H657" s="27" t="n"/>
    </row>
    <row r="658" ht="17.25" customHeight="1" s="322">
      <c r="A658" s="27" t="n"/>
      <c r="B658" s="506" t="n"/>
      <c r="C658" s="141" t="n"/>
      <c r="D658" s="141" t="n"/>
      <c r="E658" s="141" t="n"/>
      <c r="F658" s="141" t="n"/>
      <c r="G658" s="143" t="n"/>
      <c r="H658" s="27" t="n"/>
    </row>
    <row r="659" ht="17.25" customHeight="1" s="322">
      <c r="A659" s="27" t="n"/>
      <c r="B659" s="506" t="n"/>
      <c r="C659" s="141" t="n"/>
      <c r="D659" s="141" t="n"/>
      <c r="E659" s="141" t="n"/>
      <c r="F659" s="141" t="n"/>
      <c r="G659" s="143" t="n"/>
      <c r="H659" s="27" t="n"/>
    </row>
    <row r="660" ht="17.25" customHeight="1" s="322">
      <c r="A660" s="27" t="n"/>
      <c r="B660" s="506" t="n"/>
      <c r="C660" s="141" t="n"/>
      <c r="D660" s="141" t="n"/>
      <c r="E660" s="141" t="n"/>
      <c r="F660" s="141" t="n"/>
      <c r="G660" s="143" t="n"/>
      <c r="H660" s="27" t="n"/>
    </row>
    <row r="661" ht="17.25" customHeight="1" s="322">
      <c r="A661" s="27" t="n"/>
      <c r="B661" s="506" t="n"/>
      <c r="C661" s="141" t="n"/>
      <c r="D661" s="141" t="n"/>
      <c r="E661" s="141" t="n"/>
      <c r="F661" s="141" t="n"/>
      <c r="G661" s="143" t="n"/>
      <c r="H661" s="27" t="n"/>
    </row>
    <row r="662" ht="17.25" customHeight="1" s="322">
      <c r="A662" s="27" t="n"/>
      <c r="B662" s="506" t="n"/>
      <c r="C662" s="141" t="n"/>
      <c r="D662" s="141" t="n"/>
      <c r="E662" s="141" t="n"/>
      <c r="F662" s="141" t="n"/>
      <c r="G662" s="143" t="n"/>
      <c r="H662" s="27" t="n"/>
    </row>
    <row r="663" ht="17.25" customHeight="1" s="322">
      <c r="A663" s="27" t="n"/>
      <c r="B663" s="506" t="n"/>
      <c r="C663" s="141" t="n"/>
      <c r="D663" s="141" t="n"/>
      <c r="E663" s="141" t="n"/>
      <c r="F663" s="141" t="n"/>
      <c r="G663" s="143" t="n"/>
      <c r="H663" s="27" t="n"/>
    </row>
    <row r="664" ht="17.25" customHeight="1" s="322">
      <c r="A664" s="27" t="n"/>
      <c r="B664" s="506" t="n"/>
      <c r="C664" s="141" t="n"/>
      <c r="D664" s="141" t="n"/>
      <c r="E664" s="141" t="n"/>
      <c r="F664" s="141" t="n"/>
      <c r="G664" s="143" t="n"/>
      <c r="H664" s="27" t="n"/>
    </row>
    <row r="665" ht="17.25" customHeight="1" s="322">
      <c r="A665" s="27" t="n"/>
      <c r="B665" s="506" t="n"/>
      <c r="C665" s="141" t="n"/>
      <c r="D665" s="141" t="n"/>
      <c r="E665" s="141" t="n"/>
      <c r="F665" s="141" t="n"/>
      <c r="G665" s="143" t="n"/>
      <c r="H665" s="27" t="n"/>
    </row>
    <row r="666" ht="17.25" customHeight="1" s="322">
      <c r="A666" s="27" t="n"/>
      <c r="B666" s="506" t="n"/>
      <c r="C666" s="141" t="n"/>
      <c r="D666" s="141" t="n"/>
      <c r="E666" s="141" t="n"/>
      <c r="F666" s="141" t="n"/>
      <c r="G666" s="143" t="n"/>
      <c r="H666" s="27" t="n"/>
    </row>
    <row r="667" ht="17.25" customHeight="1" s="322">
      <c r="A667" s="27" t="n"/>
      <c r="B667" s="506" t="n"/>
      <c r="C667" s="141" t="n"/>
      <c r="D667" s="141" t="n"/>
      <c r="E667" s="141" t="n"/>
      <c r="F667" s="141" t="n"/>
      <c r="G667" s="143" t="n"/>
      <c r="H667" s="27" t="n"/>
    </row>
    <row r="668" ht="17.25" customHeight="1" s="322">
      <c r="A668" s="27" t="n"/>
      <c r="B668" s="506" t="n"/>
      <c r="C668" s="141" t="n"/>
      <c r="D668" s="141" t="n"/>
      <c r="E668" s="141" t="n"/>
      <c r="F668" s="141" t="n"/>
      <c r="G668" s="143" t="n"/>
      <c r="H668" s="27" t="n"/>
    </row>
    <row r="669" ht="17.25" customHeight="1" s="322">
      <c r="A669" s="27" t="n"/>
      <c r="B669" s="506" t="n"/>
      <c r="C669" s="141" t="n"/>
      <c r="D669" s="141" t="n"/>
      <c r="E669" s="141" t="n"/>
      <c r="F669" s="141" t="n"/>
      <c r="G669" s="143" t="n"/>
      <c r="H669" s="27" t="n"/>
    </row>
    <row r="670" ht="17.25" customHeight="1" s="322">
      <c r="A670" s="27" t="n"/>
      <c r="B670" s="506" t="n"/>
      <c r="C670" s="141" t="n"/>
      <c r="D670" s="141" t="n"/>
      <c r="E670" s="141" t="n"/>
      <c r="F670" s="141" t="n"/>
      <c r="G670" s="143" t="n"/>
      <c r="H670" s="27" t="n"/>
    </row>
    <row r="671" ht="17.25" customHeight="1" s="322">
      <c r="A671" s="27" t="n"/>
      <c r="B671" s="506" t="n"/>
      <c r="C671" s="141" t="n"/>
      <c r="D671" s="141" t="n"/>
      <c r="E671" s="141" t="n"/>
      <c r="F671" s="141" t="n"/>
      <c r="G671" s="143" t="n"/>
      <c r="H671" s="27" t="n"/>
    </row>
    <row r="672" ht="17.25" customHeight="1" s="322">
      <c r="A672" s="27" t="n"/>
      <c r="B672" s="506" t="n"/>
      <c r="C672" s="141" t="n"/>
      <c r="D672" s="141" t="n"/>
      <c r="E672" s="141" t="n"/>
      <c r="F672" s="141" t="n"/>
      <c r="G672" s="143" t="n"/>
      <c r="H672" s="27" t="n"/>
    </row>
    <row r="673" ht="17.25" customHeight="1" s="322">
      <c r="A673" s="27" t="n"/>
      <c r="B673" s="506" t="n"/>
      <c r="C673" s="141" t="n"/>
      <c r="D673" s="141" t="n"/>
      <c r="E673" s="141" t="n"/>
      <c r="F673" s="141" t="n"/>
      <c r="G673" s="143" t="n"/>
      <c r="H673" s="27" t="n"/>
    </row>
    <row r="674" ht="17.25" customHeight="1" s="322">
      <c r="A674" s="27" t="n"/>
      <c r="B674" s="506" t="n"/>
      <c r="C674" s="141" t="n"/>
      <c r="D674" s="141" t="n"/>
      <c r="E674" s="141" t="n"/>
      <c r="F674" s="141" t="n"/>
      <c r="G674" s="143" t="n"/>
      <c r="H674" s="27" t="n"/>
    </row>
    <row r="675" ht="17.25" customHeight="1" s="322">
      <c r="A675" s="27" t="n"/>
      <c r="B675" s="506" t="n"/>
      <c r="C675" s="141" t="n"/>
      <c r="D675" s="141" t="n"/>
      <c r="E675" s="141" t="n"/>
      <c r="F675" s="141" t="n"/>
      <c r="G675" s="143" t="n"/>
      <c r="H675" s="27" t="n"/>
    </row>
    <row r="676" ht="17.25" customHeight="1" s="322">
      <c r="A676" s="27" t="n"/>
      <c r="B676" s="506" t="n"/>
      <c r="C676" s="141" t="n"/>
      <c r="D676" s="141" t="n"/>
      <c r="E676" s="141" t="n"/>
      <c r="F676" s="141" t="n"/>
      <c r="G676" s="143" t="n"/>
      <c r="H676" s="27" t="n"/>
    </row>
    <row r="677" ht="17.25" customHeight="1" s="322">
      <c r="A677" s="27" t="n"/>
      <c r="B677" s="506" t="n"/>
      <c r="C677" s="141" t="n"/>
      <c r="D677" s="141" t="n"/>
      <c r="E677" s="141" t="n"/>
      <c r="F677" s="141" t="n"/>
      <c r="G677" s="143" t="n"/>
      <c r="H677" s="27" t="n"/>
    </row>
    <row r="678" ht="17.25" customHeight="1" s="322">
      <c r="A678" s="27" t="n"/>
      <c r="B678" s="506" t="n"/>
      <c r="C678" s="141" t="n"/>
      <c r="D678" s="141" t="n"/>
      <c r="E678" s="141" t="n"/>
      <c r="F678" s="141" t="n"/>
      <c r="G678" s="143" t="n"/>
      <c r="H678" s="27" t="n"/>
    </row>
    <row r="679" ht="17.25" customHeight="1" s="322">
      <c r="A679" s="27" t="n"/>
      <c r="B679" s="506" t="n"/>
      <c r="C679" s="141" t="n"/>
      <c r="D679" s="141" t="n"/>
      <c r="E679" s="141" t="n"/>
      <c r="F679" s="141" t="n"/>
      <c r="G679" s="143" t="n"/>
      <c r="H679" s="27" t="n"/>
    </row>
    <row r="680" ht="17.25" customHeight="1" s="322">
      <c r="A680" s="27" t="n"/>
      <c r="B680" s="506" t="n"/>
      <c r="C680" s="141" t="n"/>
      <c r="D680" s="141" t="n"/>
      <c r="E680" s="141" t="n"/>
      <c r="F680" s="141" t="n"/>
      <c r="G680" s="143" t="n"/>
      <c r="H680" s="27" t="n"/>
    </row>
    <row r="681" ht="17.25" customHeight="1" s="322">
      <c r="A681" s="27" t="n"/>
      <c r="B681" s="506" t="n"/>
      <c r="C681" s="141" t="n"/>
      <c r="D681" s="141" t="n"/>
      <c r="E681" s="141" t="n"/>
      <c r="F681" s="141" t="n"/>
      <c r="G681" s="143" t="n"/>
      <c r="H681" s="27" t="n"/>
    </row>
    <row r="682" ht="17.25" customHeight="1" s="322">
      <c r="A682" s="27" t="n"/>
      <c r="B682" s="506" t="n"/>
      <c r="C682" s="141" t="n"/>
      <c r="D682" s="141" t="n"/>
      <c r="E682" s="141" t="n"/>
      <c r="F682" s="141" t="n"/>
      <c r="G682" s="143" t="n"/>
      <c r="H682" s="27" t="n"/>
    </row>
    <row r="683" ht="17.25" customHeight="1" s="322">
      <c r="A683" s="27" t="n"/>
      <c r="B683" s="506" t="n"/>
      <c r="C683" s="141" t="n"/>
      <c r="D683" s="141" t="n"/>
      <c r="E683" s="141" t="n"/>
      <c r="F683" s="141" t="n"/>
      <c r="G683" s="143" t="n"/>
      <c r="H683" s="27" t="n"/>
    </row>
    <row r="684" ht="17.25" customHeight="1" s="322">
      <c r="A684" s="27" t="n"/>
      <c r="B684" s="506" t="n"/>
      <c r="C684" s="141" t="n"/>
      <c r="D684" s="141" t="n"/>
      <c r="E684" s="141" t="n"/>
      <c r="F684" s="141" t="n"/>
      <c r="G684" s="143" t="n"/>
      <c r="H684" s="27" t="n"/>
    </row>
    <row r="685" ht="17.25" customHeight="1" s="322">
      <c r="A685" s="27" t="n"/>
      <c r="B685" s="506" t="n"/>
      <c r="C685" s="141" t="n"/>
      <c r="D685" s="141" t="n"/>
      <c r="E685" s="141" t="n"/>
      <c r="F685" s="141" t="n"/>
      <c r="G685" s="143" t="n"/>
      <c r="H685" s="27" t="n"/>
    </row>
    <row r="686" ht="17.25" customHeight="1" s="322">
      <c r="A686" s="27" t="n"/>
      <c r="B686" s="506" t="n"/>
      <c r="C686" s="141" t="n"/>
      <c r="D686" s="141" t="n"/>
      <c r="E686" s="141" t="n"/>
      <c r="F686" s="141" t="n"/>
      <c r="G686" s="143" t="n"/>
      <c r="H686" s="27" t="n"/>
    </row>
    <row r="687" ht="17.25" customHeight="1" s="322">
      <c r="A687" s="27" t="n"/>
      <c r="B687" s="506" t="n"/>
      <c r="C687" s="141" t="n"/>
      <c r="D687" s="141" t="n"/>
      <c r="E687" s="141" t="n"/>
      <c r="F687" s="141" t="n"/>
      <c r="G687" s="143" t="n"/>
      <c r="H687" s="27" t="n"/>
    </row>
    <row r="688" ht="17.25" customHeight="1" s="322">
      <c r="A688" s="27" t="n"/>
      <c r="B688" s="506" t="n"/>
      <c r="C688" s="141" t="n"/>
      <c r="D688" s="141" t="n"/>
      <c r="E688" s="141" t="n"/>
      <c r="F688" s="141" t="n"/>
      <c r="G688" s="143" t="n"/>
      <c r="H688" s="27" t="n"/>
    </row>
    <row r="689" ht="17.25" customHeight="1" s="322">
      <c r="A689" s="27" t="n"/>
      <c r="B689" s="506" t="n"/>
      <c r="C689" s="141" t="n"/>
      <c r="D689" s="141" t="n"/>
      <c r="E689" s="141" t="n"/>
      <c r="F689" s="141" t="n"/>
      <c r="G689" s="143" t="n"/>
      <c r="H689" s="27" t="n"/>
    </row>
    <row r="690" ht="17.25" customHeight="1" s="322">
      <c r="A690" s="27" t="n"/>
      <c r="B690" s="506" t="n"/>
      <c r="C690" s="141" t="n"/>
      <c r="D690" s="141" t="n"/>
      <c r="E690" s="141" t="n"/>
      <c r="F690" s="141" t="n"/>
      <c r="G690" s="143" t="n"/>
      <c r="H690" s="27" t="n"/>
    </row>
    <row r="691" ht="17.25" customHeight="1" s="322">
      <c r="A691" s="27" t="n"/>
      <c r="B691" s="506" t="n"/>
      <c r="C691" s="141" t="n"/>
      <c r="D691" s="141" t="n"/>
      <c r="E691" s="141" t="n"/>
      <c r="F691" s="141" t="n"/>
      <c r="G691" s="143" t="n"/>
      <c r="H691" s="27" t="n"/>
    </row>
    <row r="692" ht="17.25" customHeight="1" s="322">
      <c r="A692" s="27" t="n"/>
      <c r="B692" s="506" t="n"/>
      <c r="C692" s="141" t="n"/>
      <c r="D692" s="141" t="n"/>
      <c r="E692" s="141" t="n"/>
      <c r="F692" s="141" t="n"/>
      <c r="G692" s="143" t="n"/>
      <c r="H692" s="27" t="n"/>
    </row>
    <row r="693" ht="17.25" customHeight="1" s="322">
      <c r="A693" s="27" t="n"/>
      <c r="B693" s="506" t="n"/>
      <c r="C693" s="141" t="n"/>
      <c r="D693" s="141" t="n"/>
      <c r="E693" s="141" t="n"/>
      <c r="F693" s="141" t="n"/>
      <c r="G693" s="143" t="n"/>
      <c r="H693" s="27" t="n"/>
    </row>
    <row r="694" ht="17.25" customHeight="1" s="322">
      <c r="A694" s="27" t="n"/>
      <c r="B694" s="506" t="n"/>
      <c r="C694" s="141" t="n"/>
      <c r="D694" s="141" t="n"/>
      <c r="E694" s="141" t="n"/>
      <c r="F694" s="141" t="n"/>
      <c r="G694" s="143" t="n"/>
      <c r="H694" s="27" t="n"/>
    </row>
    <row r="695" ht="17.25" customHeight="1" s="322">
      <c r="A695" s="27" t="n"/>
      <c r="B695" s="506" t="n"/>
      <c r="C695" s="141" t="n"/>
      <c r="D695" s="141" t="n"/>
      <c r="E695" s="141" t="n"/>
      <c r="F695" s="141" t="n"/>
      <c r="G695" s="143" t="n"/>
      <c r="H695" s="27" t="n"/>
    </row>
    <row r="696" ht="17.25" customHeight="1" s="322">
      <c r="A696" s="27" t="n"/>
      <c r="B696" s="506" t="n"/>
      <c r="C696" s="141" t="n"/>
      <c r="D696" s="141" t="n"/>
      <c r="E696" s="141" t="n"/>
      <c r="F696" s="141" t="n"/>
      <c r="G696" s="143" t="n"/>
      <c r="H696" s="27" t="n"/>
    </row>
    <row r="697" ht="17.25" customHeight="1" s="322">
      <c r="A697" s="27" t="n"/>
      <c r="B697" s="506" t="n"/>
      <c r="C697" s="141" t="n"/>
      <c r="D697" s="141" t="n"/>
      <c r="E697" s="141" t="n"/>
      <c r="F697" s="141" t="n"/>
      <c r="G697" s="143" t="n"/>
      <c r="H697" s="27" t="n"/>
    </row>
    <row r="698" ht="17.25" customHeight="1" s="322">
      <c r="A698" s="27" t="n"/>
      <c r="B698" s="506" t="n"/>
      <c r="C698" s="141" t="n"/>
      <c r="D698" s="141" t="n"/>
      <c r="E698" s="141" t="n"/>
      <c r="F698" s="141" t="n"/>
      <c r="G698" s="143" t="n"/>
      <c r="H698" s="27" t="n"/>
    </row>
    <row r="699" ht="17.25" customHeight="1" s="322">
      <c r="A699" s="27" t="n"/>
      <c r="B699" s="506" t="n"/>
      <c r="C699" s="141" t="n"/>
      <c r="D699" s="141" t="n"/>
      <c r="E699" s="141" t="n"/>
      <c r="F699" s="141" t="n"/>
      <c r="G699" s="143" t="n"/>
      <c r="H699" s="27" t="n"/>
    </row>
    <row r="700" ht="17.25" customHeight="1" s="322">
      <c r="A700" s="27" t="n"/>
      <c r="B700" s="506" t="n"/>
      <c r="C700" s="141" t="n"/>
      <c r="D700" s="141" t="n"/>
      <c r="E700" s="141" t="n"/>
      <c r="F700" s="141" t="n"/>
      <c r="G700" s="143" t="n"/>
      <c r="H700" s="27" t="n"/>
    </row>
    <row r="701" ht="17.25" customHeight="1" s="322">
      <c r="A701" s="27" t="n"/>
      <c r="B701" s="506" t="n"/>
      <c r="C701" s="141" t="n"/>
      <c r="D701" s="141" t="n"/>
      <c r="E701" s="141" t="n"/>
      <c r="F701" s="141" t="n"/>
      <c r="G701" s="143" t="n"/>
      <c r="H701" s="27" t="n"/>
    </row>
    <row r="702" ht="17.25" customHeight="1" s="322">
      <c r="A702" s="27" t="n"/>
      <c r="B702" s="506" t="n"/>
      <c r="C702" s="141" t="n"/>
      <c r="D702" s="141" t="n"/>
      <c r="E702" s="141" t="n"/>
      <c r="F702" s="141" t="n"/>
      <c r="G702" s="143" t="n"/>
      <c r="H702" s="27" t="n"/>
    </row>
    <row r="703" ht="17.25" customHeight="1" s="322">
      <c r="A703" s="27" t="n"/>
      <c r="B703" s="506" t="n"/>
      <c r="C703" s="141" t="n"/>
      <c r="D703" s="141" t="n"/>
      <c r="E703" s="141" t="n"/>
      <c r="F703" s="141" t="n"/>
      <c r="G703" s="143" t="n"/>
      <c r="H703" s="27" t="n"/>
    </row>
    <row r="704" ht="17.25" customHeight="1" s="322">
      <c r="A704" s="27" t="n"/>
      <c r="B704" s="506" t="n"/>
      <c r="C704" s="141" t="n"/>
      <c r="D704" s="141" t="n"/>
      <c r="E704" s="141" t="n"/>
      <c r="F704" s="141" t="n"/>
      <c r="G704" s="143" t="n"/>
      <c r="H704" s="27" t="n"/>
    </row>
    <row r="705" ht="17.25" customHeight="1" s="322">
      <c r="A705" s="27" t="n"/>
      <c r="B705" s="506" t="n"/>
      <c r="C705" s="141" t="n"/>
      <c r="D705" s="141" t="n"/>
      <c r="E705" s="141" t="n"/>
      <c r="F705" s="141" t="n"/>
      <c r="G705" s="143" t="n"/>
      <c r="H705" s="27" t="n"/>
    </row>
    <row r="706" ht="17.25" customHeight="1" s="322">
      <c r="A706" s="27" t="n"/>
      <c r="B706" s="506" t="n"/>
      <c r="C706" s="141" t="n"/>
      <c r="D706" s="141" t="n"/>
      <c r="E706" s="141" t="n"/>
      <c r="F706" s="141" t="n"/>
      <c r="G706" s="143" t="n"/>
      <c r="H706" s="27" t="n"/>
    </row>
    <row r="707" ht="17.25" customHeight="1" s="322">
      <c r="A707" s="27" t="n"/>
      <c r="B707" s="506" t="n"/>
      <c r="C707" s="141" t="n"/>
      <c r="D707" s="141" t="n"/>
      <c r="E707" s="141" t="n"/>
      <c r="F707" s="141" t="n"/>
      <c r="G707" s="143" t="n"/>
      <c r="H707" s="27" t="n"/>
    </row>
    <row r="708" ht="17.25" customHeight="1" s="322">
      <c r="A708" s="27" t="n"/>
      <c r="B708" s="506" t="n"/>
      <c r="C708" s="141" t="n"/>
      <c r="D708" s="141" t="n"/>
      <c r="E708" s="141" t="n"/>
      <c r="F708" s="141" t="n"/>
      <c r="G708" s="143" t="n"/>
      <c r="H708" s="27" t="n"/>
    </row>
    <row r="709" ht="17.25" customHeight="1" s="322">
      <c r="A709" s="27" t="n"/>
      <c r="B709" s="506" t="n"/>
      <c r="C709" s="141" t="n"/>
      <c r="D709" s="141" t="n"/>
      <c r="E709" s="141" t="n"/>
      <c r="F709" s="141" t="n"/>
      <c r="G709" s="143" t="n"/>
      <c r="H709" s="27" t="n"/>
    </row>
    <row r="710" ht="17.25" customHeight="1" s="322">
      <c r="A710" s="27" t="n"/>
      <c r="B710" s="506" t="n"/>
      <c r="C710" s="141" t="n"/>
      <c r="D710" s="141" t="n"/>
      <c r="E710" s="141" t="n"/>
      <c r="F710" s="141" t="n"/>
      <c r="G710" s="143" t="n"/>
      <c r="H710" s="27" t="n"/>
    </row>
    <row r="711" ht="17.25" customHeight="1" s="322">
      <c r="A711" s="27" t="n"/>
      <c r="B711" s="506" t="n"/>
      <c r="C711" s="141" t="n"/>
      <c r="D711" s="141" t="n"/>
      <c r="E711" s="141" t="n"/>
      <c r="F711" s="141" t="n"/>
      <c r="G711" s="143" t="n"/>
      <c r="H711" s="27" t="n"/>
    </row>
    <row r="712" ht="17.25" customHeight="1" s="322">
      <c r="A712" s="27" t="n"/>
      <c r="B712" s="506" t="n"/>
      <c r="C712" s="141" t="n"/>
      <c r="D712" s="141" t="n"/>
      <c r="E712" s="141" t="n"/>
      <c r="F712" s="141" t="n"/>
      <c r="G712" s="143" t="n"/>
      <c r="H712" s="27" t="n"/>
    </row>
    <row r="713" ht="17.25" customHeight="1" s="322">
      <c r="A713" s="27" t="n"/>
      <c r="B713" s="506" t="n"/>
      <c r="C713" s="141" t="n"/>
      <c r="D713" s="141" t="n"/>
      <c r="E713" s="141" t="n"/>
      <c r="F713" s="141" t="n"/>
      <c r="G713" s="143" t="n"/>
      <c r="H713" s="27" t="n"/>
    </row>
    <row r="714" ht="17.25" customHeight="1" s="322">
      <c r="A714" s="27" t="n"/>
      <c r="B714" s="506" t="n"/>
      <c r="C714" s="141" t="n"/>
      <c r="D714" s="141" t="n"/>
      <c r="E714" s="141" t="n"/>
      <c r="F714" s="141" t="n"/>
      <c r="G714" s="143" t="n"/>
      <c r="H714" s="27" t="n"/>
    </row>
    <row r="715" ht="17.25" customHeight="1" s="322">
      <c r="A715" s="27" t="n"/>
      <c r="B715" s="506" t="n"/>
      <c r="C715" s="141" t="n"/>
      <c r="D715" s="141" t="n"/>
      <c r="E715" s="141" t="n"/>
      <c r="F715" s="141" t="n"/>
      <c r="G715" s="143" t="n"/>
      <c r="H715" s="27" t="n"/>
    </row>
    <row r="716" ht="17.25" customHeight="1" s="322">
      <c r="A716" s="27" t="n"/>
      <c r="B716" s="506" t="n"/>
      <c r="C716" s="141" t="n"/>
      <c r="D716" s="141" t="n"/>
      <c r="E716" s="141" t="n"/>
      <c r="F716" s="141" t="n"/>
      <c r="G716" s="143" t="n"/>
      <c r="H716" s="27" t="n"/>
    </row>
    <row r="717" ht="17.25" customHeight="1" s="322">
      <c r="A717" s="27" t="n"/>
      <c r="B717" s="506" t="n"/>
      <c r="C717" s="141" t="n"/>
      <c r="D717" s="141" t="n"/>
      <c r="E717" s="141" t="n"/>
      <c r="F717" s="141" t="n"/>
      <c r="G717" s="143" t="n"/>
      <c r="H717" s="27" t="n"/>
    </row>
    <row r="718" ht="17.25" customHeight="1" s="322">
      <c r="A718" s="27" t="n"/>
      <c r="B718" s="506" t="n"/>
      <c r="C718" s="141" t="n"/>
      <c r="D718" s="141" t="n"/>
      <c r="E718" s="141" t="n"/>
      <c r="F718" s="141" t="n"/>
      <c r="G718" s="143" t="n"/>
      <c r="H718" s="27" t="n"/>
    </row>
    <row r="719" ht="17.25" customHeight="1" s="322">
      <c r="A719" s="27" t="n"/>
      <c r="B719" s="506" t="n"/>
      <c r="C719" s="141" t="n"/>
      <c r="D719" s="141" t="n"/>
      <c r="E719" s="141" t="n"/>
      <c r="F719" s="141" t="n"/>
      <c r="G719" s="143" t="n"/>
      <c r="H719" s="27" t="n"/>
    </row>
    <row r="720" ht="17.25" customHeight="1" s="322">
      <c r="A720" s="27" t="n"/>
      <c r="B720" s="506" t="n"/>
      <c r="C720" s="141" t="n"/>
      <c r="D720" s="141" t="n"/>
      <c r="E720" s="141" t="n"/>
      <c r="F720" s="141" t="n"/>
      <c r="G720" s="143" t="n"/>
      <c r="H720" s="27" t="n"/>
    </row>
    <row r="721" ht="17.25" customHeight="1" s="322">
      <c r="A721" s="27" t="n"/>
      <c r="B721" s="506" t="n"/>
      <c r="C721" s="141" t="n"/>
      <c r="D721" s="141" t="n"/>
      <c r="E721" s="141" t="n"/>
      <c r="F721" s="141" t="n"/>
      <c r="G721" s="143" t="n"/>
      <c r="H721" s="27" t="n"/>
    </row>
    <row r="722" ht="17.25" customHeight="1" s="322">
      <c r="A722" s="27" t="n"/>
      <c r="B722" s="506" t="n"/>
      <c r="C722" s="141" t="n"/>
      <c r="D722" s="141" t="n"/>
      <c r="E722" s="141" t="n"/>
      <c r="F722" s="141" t="n"/>
      <c r="G722" s="143" t="n"/>
      <c r="H722" s="27" t="n"/>
    </row>
    <row r="723" ht="17.25" customHeight="1" s="322">
      <c r="A723" s="27" t="n"/>
      <c r="B723" s="506" t="n"/>
      <c r="C723" s="141" t="n"/>
      <c r="D723" s="141" t="n"/>
      <c r="E723" s="141" t="n"/>
      <c r="F723" s="141" t="n"/>
      <c r="G723" s="143" t="n"/>
      <c r="H723" s="27" t="n"/>
    </row>
    <row r="724" ht="17.25" customHeight="1" s="322">
      <c r="A724" s="27" t="n"/>
      <c r="B724" s="506" t="n"/>
      <c r="C724" s="141" t="n"/>
      <c r="D724" s="141" t="n"/>
      <c r="E724" s="141" t="n"/>
      <c r="F724" s="141" t="n"/>
      <c r="G724" s="143" t="n"/>
      <c r="H724" s="27" t="n"/>
    </row>
    <row r="725" ht="17.25" customHeight="1" s="322">
      <c r="A725" s="27" t="n"/>
      <c r="B725" s="506" t="n"/>
      <c r="C725" s="141" t="n"/>
      <c r="D725" s="141" t="n"/>
      <c r="E725" s="141" t="n"/>
      <c r="F725" s="141" t="n"/>
      <c r="G725" s="143" t="n"/>
      <c r="H725" s="27" t="n"/>
    </row>
    <row r="726" ht="17.25" customHeight="1" s="322">
      <c r="A726" s="27" t="n"/>
      <c r="B726" s="506" t="n"/>
      <c r="C726" s="141" t="n"/>
      <c r="D726" s="141" t="n"/>
      <c r="E726" s="141" t="n"/>
      <c r="F726" s="141" t="n"/>
      <c r="G726" s="143" t="n"/>
      <c r="H726" s="27" t="n"/>
    </row>
    <row r="727" ht="17.25" customHeight="1" s="322">
      <c r="A727" s="27" t="n"/>
      <c r="B727" s="506" t="n"/>
      <c r="C727" s="141" t="n"/>
      <c r="D727" s="141" t="n"/>
      <c r="E727" s="141" t="n"/>
      <c r="F727" s="141" t="n"/>
      <c r="G727" s="143" t="n"/>
      <c r="H727" s="27" t="n"/>
    </row>
    <row r="728" ht="17.25" customHeight="1" s="322">
      <c r="A728" s="27" t="n"/>
      <c r="B728" s="506" t="n"/>
      <c r="C728" s="141" t="n"/>
      <c r="D728" s="141" t="n"/>
      <c r="E728" s="141" t="n"/>
      <c r="F728" s="141" t="n"/>
      <c r="G728" s="143" t="n"/>
      <c r="H728" s="27" t="n"/>
    </row>
    <row r="729" ht="17.25" customHeight="1" s="322">
      <c r="A729" s="27" t="n"/>
      <c r="B729" s="506" t="n"/>
      <c r="C729" s="141" t="n"/>
      <c r="D729" s="141" t="n"/>
      <c r="E729" s="141" t="n"/>
      <c r="F729" s="141" t="n"/>
      <c r="G729" s="143" t="n"/>
      <c r="H729" s="27" t="n"/>
    </row>
    <row r="730" ht="17.25" customHeight="1" s="322">
      <c r="A730" s="27" t="n"/>
      <c r="B730" s="506" t="n"/>
      <c r="C730" s="141" t="n"/>
      <c r="D730" s="141" t="n"/>
      <c r="E730" s="141" t="n"/>
      <c r="F730" s="141" t="n"/>
      <c r="G730" s="143" t="n"/>
      <c r="H730" s="27" t="n"/>
    </row>
    <row r="731" ht="17.25" customHeight="1" s="322">
      <c r="A731" s="27" t="n"/>
      <c r="B731" s="506" t="n"/>
      <c r="C731" s="141" t="n"/>
      <c r="D731" s="141" t="n"/>
      <c r="E731" s="141" t="n"/>
      <c r="F731" s="141" t="n"/>
      <c r="G731" s="143" t="n"/>
      <c r="H731" s="27" t="n"/>
    </row>
    <row r="732" ht="17.25" customHeight="1" s="322">
      <c r="A732" s="27" t="n"/>
      <c r="B732" s="506" t="n"/>
      <c r="C732" s="141" t="n"/>
      <c r="D732" s="141" t="n"/>
      <c r="E732" s="141" t="n"/>
      <c r="F732" s="141" t="n"/>
      <c r="G732" s="143" t="n"/>
      <c r="H732" s="27" t="n"/>
    </row>
    <row r="733" ht="17.25" customHeight="1" s="322">
      <c r="A733" s="27" t="n"/>
      <c r="B733" s="506" t="n"/>
      <c r="C733" s="141" t="n"/>
      <c r="D733" s="141" t="n"/>
      <c r="E733" s="141" t="n"/>
      <c r="F733" s="141" t="n"/>
      <c r="G733" s="143" t="n"/>
      <c r="H733" s="27" t="n"/>
    </row>
    <row r="734" ht="17.25" customHeight="1" s="322">
      <c r="A734" s="27" t="n"/>
      <c r="B734" s="506" t="n"/>
      <c r="C734" s="141" t="n"/>
      <c r="D734" s="141" t="n"/>
      <c r="E734" s="141" t="n"/>
      <c r="F734" s="141" t="n"/>
      <c r="G734" s="143" t="n"/>
      <c r="H734" s="27" t="n"/>
    </row>
    <row r="735" ht="17.25" customHeight="1" s="322">
      <c r="A735" s="27" t="n"/>
      <c r="B735" s="506" t="n"/>
      <c r="C735" s="141" t="n"/>
      <c r="D735" s="141" t="n"/>
      <c r="E735" s="141" t="n"/>
      <c r="F735" s="141" t="n"/>
      <c r="G735" s="143" t="n"/>
      <c r="H735" s="27" t="n"/>
    </row>
    <row r="736" ht="17.25" customHeight="1" s="322">
      <c r="A736" s="27" t="n"/>
      <c r="B736" s="506" t="n"/>
      <c r="C736" s="141" t="n"/>
      <c r="D736" s="141" t="n"/>
      <c r="E736" s="141" t="n"/>
      <c r="F736" s="141" t="n"/>
      <c r="G736" s="143" t="n"/>
      <c r="H736" s="27" t="n"/>
    </row>
    <row r="737" ht="17.25" customHeight="1" s="322">
      <c r="A737" s="27" t="n"/>
      <c r="B737" s="506" t="n"/>
      <c r="C737" s="141" t="n"/>
      <c r="D737" s="141" t="n"/>
      <c r="E737" s="141" t="n"/>
      <c r="F737" s="141" t="n"/>
      <c r="G737" s="143" t="n"/>
      <c r="H737" s="27" t="n"/>
    </row>
    <row r="738" ht="17.25" customHeight="1" s="322">
      <c r="A738" s="27" t="n"/>
      <c r="B738" s="506" t="n"/>
      <c r="C738" s="141" t="n"/>
      <c r="D738" s="141" t="n"/>
      <c r="E738" s="141" t="n"/>
      <c r="F738" s="141" t="n"/>
      <c r="G738" s="143" t="n"/>
      <c r="H738" s="27" t="n"/>
    </row>
    <row r="739" ht="17.25" customHeight="1" s="322">
      <c r="A739" s="27" t="n"/>
      <c r="B739" s="506" t="n"/>
      <c r="C739" s="141" t="n"/>
      <c r="D739" s="141" t="n"/>
      <c r="E739" s="141" t="n"/>
      <c r="F739" s="141" t="n"/>
      <c r="G739" s="143" t="n"/>
      <c r="H739" s="27" t="n"/>
    </row>
    <row r="740" ht="17.25" customHeight="1" s="322">
      <c r="A740" s="27" t="n"/>
      <c r="B740" s="506" t="n"/>
      <c r="C740" s="141" t="n"/>
      <c r="D740" s="141" t="n"/>
      <c r="E740" s="141" t="n"/>
      <c r="F740" s="141" t="n"/>
      <c r="G740" s="143" t="n"/>
      <c r="H740" s="27" t="n"/>
    </row>
    <row r="741" ht="17.25" customHeight="1" s="322">
      <c r="A741" s="27" t="n"/>
      <c r="B741" s="506" t="n"/>
      <c r="C741" s="141" t="n"/>
      <c r="D741" s="141" t="n"/>
      <c r="E741" s="141" t="n"/>
      <c r="F741" s="141" t="n"/>
      <c r="G741" s="143" t="n"/>
      <c r="H741" s="27" t="n"/>
    </row>
    <row r="742" ht="17.25" customHeight="1" s="322">
      <c r="A742" s="27" t="n"/>
      <c r="B742" s="506" t="n"/>
      <c r="C742" s="141" t="n"/>
      <c r="D742" s="141" t="n"/>
      <c r="E742" s="141" t="n"/>
      <c r="F742" s="141" t="n"/>
      <c r="G742" s="143" t="n"/>
      <c r="H742" s="27" t="n"/>
    </row>
    <row r="743" ht="17.25" customHeight="1" s="322">
      <c r="A743" s="27" t="n"/>
      <c r="B743" s="506" t="n"/>
      <c r="C743" s="141" t="n"/>
      <c r="D743" s="141" t="n"/>
      <c r="E743" s="141" t="n"/>
      <c r="F743" s="141" t="n"/>
      <c r="G743" s="143" t="n"/>
      <c r="H743" s="27" t="n"/>
    </row>
    <row r="744" ht="17.25" customHeight="1" s="322">
      <c r="A744" s="27" t="n"/>
      <c r="B744" s="506" t="n"/>
      <c r="C744" s="141" t="n"/>
      <c r="D744" s="141" t="n"/>
      <c r="E744" s="141" t="n"/>
      <c r="F744" s="141" t="n"/>
      <c r="G744" s="143" t="n"/>
      <c r="H744" s="27" t="n"/>
    </row>
    <row r="745" ht="17.25" customHeight="1" s="322">
      <c r="A745" s="27" t="n"/>
      <c r="B745" s="506" t="n"/>
      <c r="C745" s="141" t="n"/>
      <c r="D745" s="141" t="n"/>
      <c r="E745" s="141" t="n"/>
      <c r="F745" s="141" t="n"/>
      <c r="G745" s="143" t="n"/>
      <c r="H745" s="27" t="n"/>
    </row>
    <row r="746" ht="17.25" customHeight="1" s="322">
      <c r="A746" s="27" t="n"/>
      <c r="B746" s="506" t="n"/>
      <c r="C746" s="141" t="n"/>
      <c r="D746" s="141" t="n"/>
      <c r="E746" s="141" t="n"/>
      <c r="F746" s="141" t="n"/>
      <c r="G746" s="143" t="n"/>
      <c r="H746" s="27" t="n"/>
    </row>
    <row r="747" ht="17.25" customHeight="1" s="322">
      <c r="A747" s="27" t="n"/>
      <c r="B747" s="506" t="n"/>
      <c r="C747" s="141" t="n"/>
      <c r="D747" s="141" t="n"/>
      <c r="E747" s="141" t="n"/>
      <c r="F747" s="141" t="n"/>
      <c r="G747" s="143" t="n"/>
      <c r="H747" s="27" t="n"/>
    </row>
    <row r="748" ht="17.25" customHeight="1" s="322">
      <c r="A748" s="27" t="n"/>
      <c r="B748" s="506" t="n"/>
      <c r="C748" s="141" t="n"/>
      <c r="D748" s="141" t="n"/>
      <c r="E748" s="141" t="n"/>
      <c r="F748" s="141" t="n"/>
      <c r="G748" s="143" t="n"/>
      <c r="H748" s="27" t="n"/>
    </row>
    <row r="749" ht="17.25" customHeight="1" s="322">
      <c r="A749" s="27" t="n"/>
      <c r="B749" s="506" t="n"/>
      <c r="C749" s="141" t="n"/>
      <c r="D749" s="141" t="n"/>
      <c r="E749" s="141" t="n"/>
      <c r="F749" s="141" t="n"/>
      <c r="G749" s="143" t="n"/>
      <c r="H749" s="27" t="n"/>
    </row>
    <row r="750" ht="17.25" customHeight="1" s="322">
      <c r="A750" s="27" t="n"/>
      <c r="B750" s="506" t="n"/>
      <c r="C750" s="141" t="n"/>
      <c r="D750" s="141" t="n"/>
      <c r="E750" s="141" t="n"/>
      <c r="F750" s="141" t="n"/>
      <c r="G750" s="143" t="n"/>
      <c r="H750" s="27" t="n"/>
    </row>
    <row r="751" ht="17.25" customHeight="1" s="322">
      <c r="A751" s="27" t="n"/>
      <c r="B751" s="506" t="n"/>
      <c r="C751" s="141" t="n"/>
      <c r="D751" s="141" t="n"/>
      <c r="E751" s="141" t="n"/>
      <c r="F751" s="141" t="n"/>
      <c r="G751" s="143" t="n"/>
      <c r="H751" s="27" t="n"/>
    </row>
    <row r="752" ht="17.25" customHeight="1" s="322">
      <c r="A752" s="27" t="n"/>
      <c r="B752" s="506" t="n"/>
      <c r="C752" s="141" t="n"/>
      <c r="D752" s="141" t="n"/>
      <c r="E752" s="141" t="n"/>
      <c r="F752" s="141" t="n"/>
      <c r="G752" s="143" t="n"/>
      <c r="H752" s="27" t="n"/>
    </row>
    <row r="753" ht="17.25" customHeight="1" s="322">
      <c r="A753" s="27" t="n"/>
      <c r="B753" s="506" t="n"/>
      <c r="C753" s="141" t="n"/>
      <c r="D753" s="141" t="n"/>
      <c r="E753" s="141" t="n"/>
      <c r="F753" s="141" t="n"/>
      <c r="G753" s="143" t="n"/>
      <c r="H753" s="27" t="n"/>
    </row>
    <row r="754" ht="17.25" customHeight="1" s="322">
      <c r="A754" s="27" t="n"/>
      <c r="B754" s="506" t="n"/>
      <c r="C754" s="141" t="n"/>
      <c r="D754" s="141" t="n"/>
      <c r="E754" s="141" t="n"/>
      <c r="F754" s="141" t="n"/>
      <c r="G754" s="143" t="n"/>
      <c r="H754" s="27" t="n"/>
    </row>
    <row r="755" ht="17.25" customHeight="1" s="322">
      <c r="A755" s="27" t="n"/>
      <c r="B755" s="506" t="n"/>
      <c r="C755" s="141" t="n"/>
      <c r="D755" s="141" t="n"/>
      <c r="E755" s="141" t="n"/>
      <c r="F755" s="141" t="n"/>
      <c r="G755" s="143" t="n"/>
      <c r="H755" s="27" t="n"/>
    </row>
    <row r="756" ht="17.25" customHeight="1" s="322">
      <c r="A756" s="27" t="n"/>
      <c r="B756" s="506" t="n"/>
      <c r="C756" s="141" t="n"/>
      <c r="D756" s="141" t="n"/>
      <c r="E756" s="141" t="n"/>
      <c r="F756" s="141" t="n"/>
      <c r="G756" s="143" t="n"/>
      <c r="H756" s="27" t="n"/>
    </row>
    <row r="757" ht="17.25" customHeight="1" s="322">
      <c r="A757" s="27" t="n"/>
      <c r="B757" s="506" t="n"/>
      <c r="C757" s="141" t="n"/>
      <c r="D757" s="141" t="n"/>
      <c r="E757" s="141" t="n"/>
      <c r="F757" s="141" t="n"/>
      <c r="G757" s="143" t="n"/>
      <c r="H757" s="27" t="n"/>
    </row>
    <row r="758" ht="17.25" customHeight="1" s="322">
      <c r="A758" s="27" t="n"/>
      <c r="B758" s="506" t="n"/>
      <c r="C758" s="141" t="n"/>
      <c r="D758" s="141" t="n"/>
      <c r="E758" s="141" t="n"/>
      <c r="F758" s="141" t="n"/>
      <c r="G758" s="143" t="n"/>
      <c r="H758" s="27" t="n"/>
    </row>
    <row r="759" ht="17.25" customHeight="1" s="322">
      <c r="A759" s="27" t="n"/>
      <c r="B759" s="506" t="n"/>
      <c r="C759" s="141" t="n"/>
      <c r="D759" s="141" t="n"/>
      <c r="E759" s="141" t="n"/>
      <c r="F759" s="141" t="n"/>
      <c r="G759" s="143" t="n"/>
      <c r="H759" s="27" t="n"/>
    </row>
    <row r="760" ht="17.25" customHeight="1" s="322">
      <c r="A760" s="27" t="n"/>
      <c r="B760" s="506" t="n"/>
      <c r="C760" s="141" t="n"/>
      <c r="D760" s="141" t="n"/>
      <c r="E760" s="141" t="n"/>
      <c r="F760" s="141" t="n"/>
      <c r="G760" s="143" t="n"/>
      <c r="H760" s="27" t="n"/>
    </row>
    <row r="761" ht="17.25" customHeight="1" s="322">
      <c r="A761" s="27" t="n"/>
      <c r="B761" s="506" t="n"/>
      <c r="C761" s="141" t="n"/>
      <c r="D761" s="141" t="n"/>
      <c r="E761" s="141" t="n"/>
      <c r="F761" s="141" t="n"/>
      <c r="G761" s="143" t="n"/>
      <c r="H761" s="27" t="n"/>
    </row>
    <row r="762" ht="17.25" customHeight="1" s="322">
      <c r="A762" s="27" t="n"/>
      <c r="B762" s="506" t="n"/>
      <c r="C762" s="141" t="n"/>
      <c r="D762" s="141" t="n"/>
      <c r="E762" s="141" t="n"/>
      <c r="F762" s="141" t="n"/>
      <c r="G762" s="143" t="n"/>
      <c r="H762" s="27" t="n"/>
    </row>
    <row r="763" ht="17.25" customHeight="1" s="322">
      <c r="A763" s="27" t="n"/>
      <c r="B763" s="506" t="n"/>
      <c r="C763" s="141" t="n"/>
      <c r="D763" s="141" t="n"/>
      <c r="E763" s="141" t="n"/>
      <c r="F763" s="141" t="n"/>
      <c r="G763" s="143" t="n"/>
      <c r="H763" s="27" t="n"/>
    </row>
    <row r="764" ht="17.25" customHeight="1" s="322">
      <c r="A764" s="27" t="n"/>
      <c r="B764" s="506" t="n"/>
      <c r="C764" s="141" t="n"/>
      <c r="D764" s="141" t="n"/>
      <c r="E764" s="141" t="n"/>
      <c r="F764" s="141" t="n"/>
      <c r="G764" s="143" t="n"/>
      <c r="H764" s="27" t="n"/>
    </row>
    <row r="765" ht="17.25" customHeight="1" s="322">
      <c r="A765" s="27" t="n"/>
      <c r="B765" s="506" t="n"/>
      <c r="C765" s="141" t="n"/>
      <c r="D765" s="141" t="n"/>
      <c r="E765" s="141" t="n"/>
      <c r="F765" s="141" t="n"/>
      <c r="G765" s="143" t="n"/>
      <c r="H765" s="27" t="n"/>
    </row>
    <row r="766" ht="17.25" customHeight="1" s="322">
      <c r="A766" s="27" t="n"/>
      <c r="B766" s="506" t="n"/>
      <c r="C766" s="141" t="n"/>
      <c r="D766" s="141" t="n"/>
      <c r="E766" s="141" t="n"/>
      <c r="F766" s="141" t="n"/>
      <c r="G766" s="143" t="n"/>
      <c r="H766" s="27" t="n"/>
    </row>
    <row r="767" ht="17.25" customHeight="1" s="322">
      <c r="A767" s="27" t="n"/>
      <c r="B767" s="506" t="n"/>
      <c r="C767" s="141" t="n"/>
      <c r="D767" s="141" t="n"/>
      <c r="E767" s="141" t="n"/>
      <c r="F767" s="141" t="n"/>
      <c r="G767" s="143" t="n"/>
      <c r="H767" s="27" t="n"/>
    </row>
    <row r="768" ht="17.25" customHeight="1" s="322">
      <c r="A768" s="27" t="n"/>
      <c r="B768" s="506" t="n"/>
      <c r="C768" s="141" t="n"/>
      <c r="D768" s="141" t="n"/>
      <c r="E768" s="141" t="n"/>
      <c r="F768" s="141" t="n"/>
      <c r="G768" s="143" t="n"/>
      <c r="H768" s="27" t="n"/>
    </row>
    <row r="769" ht="17.25" customHeight="1" s="322">
      <c r="A769" s="27" t="n"/>
      <c r="B769" s="506" t="n"/>
      <c r="C769" s="141" t="n"/>
      <c r="D769" s="141" t="n"/>
      <c r="E769" s="141" t="n"/>
      <c r="F769" s="141" t="n"/>
      <c r="G769" s="143" t="n"/>
      <c r="H769" s="27" t="n"/>
    </row>
    <row r="770" ht="17.25" customHeight="1" s="322">
      <c r="A770" s="27" t="n"/>
      <c r="B770" s="506" t="n"/>
      <c r="C770" s="141" t="n"/>
      <c r="D770" s="141" t="n"/>
      <c r="E770" s="141" t="n"/>
      <c r="F770" s="141" t="n"/>
      <c r="G770" s="143" t="n"/>
      <c r="H770" s="27" t="n"/>
    </row>
    <row r="771" ht="17.25" customHeight="1" s="322">
      <c r="A771" s="27" t="n"/>
      <c r="B771" s="506" t="n"/>
      <c r="C771" s="141" t="n"/>
      <c r="D771" s="141" t="n"/>
      <c r="E771" s="141" t="n"/>
      <c r="F771" s="141" t="n"/>
      <c r="G771" s="143" t="n"/>
      <c r="H771" s="27" t="n"/>
    </row>
    <row r="772" ht="17.25" customHeight="1" s="322">
      <c r="A772" s="27" t="n"/>
      <c r="B772" s="506" t="n"/>
      <c r="C772" s="141" t="n"/>
      <c r="D772" s="141" t="n"/>
      <c r="E772" s="141" t="n"/>
      <c r="F772" s="141" t="n"/>
      <c r="G772" s="143" t="n"/>
      <c r="H772" s="27" t="n"/>
    </row>
    <row r="773" ht="17.25" customHeight="1" s="322">
      <c r="A773" s="27" t="n"/>
      <c r="B773" s="506" t="n"/>
      <c r="C773" s="141" t="n"/>
      <c r="D773" s="141" t="n"/>
      <c r="E773" s="141" t="n"/>
      <c r="F773" s="141" t="n"/>
      <c r="G773" s="143" t="n"/>
      <c r="H773" s="27" t="n"/>
    </row>
    <row r="774" ht="17.25" customHeight="1" s="322">
      <c r="A774" s="27" t="n"/>
      <c r="B774" s="506" t="n"/>
      <c r="C774" s="141" t="n"/>
      <c r="D774" s="141" t="n"/>
      <c r="E774" s="141" t="n"/>
      <c r="F774" s="141" t="n"/>
      <c r="G774" s="143" t="n"/>
      <c r="H774" s="27" t="n"/>
    </row>
    <row r="775" ht="17.25" customHeight="1" s="322">
      <c r="A775" s="27" t="n"/>
      <c r="B775" s="506" t="n"/>
      <c r="C775" s="141" t="n"/>
      <c r="D775" s="141" t="n"/>
      <c r="E775" s="141" t="n"/>
      <c r="F775" s="141" t="n"/>
      <c r="G775" s="143" t="n"/>
      <c r="H775" s="27" t="n"/>
    </row>
    <row r="776" ht="17.25" customHeight="1" s="322">
      <c r="A776" s="27" t="n"/>
      <c r="B776" s="506" t="n"/>
      <c r="C776" s="141" t="n"/>
      <c r="D776" s="141" t="n"/>
      <c r="E776" s="141" t="n"/>
      <c r="F776" s="141" t="n"/>
      <c r="G776" s="143" t="n"/>
      <c r="H776" s="27" t="n"/>
    </row>
    <row r="777" ht="17.25" customHeight="1" s="322">
      <c r="A777" s="27" t="n"/>
      <c r="B777" s="506" t="n"/>
      <c r="C777" s="141" t="n"/>
      <c r="D777" s="141" t="n"/>
      <c r="E777" s="141" t="n"/>
      <c r="F777" s="141" t="n"/>
      <c r="G777" s="143" t="n"/>
      <c r="H777" s="27" t="n"/>
    </row>
    <row r="778" ht="17.25" customHeight="1" s="322">
      <c r="A778" s="27" t="n"/>
      <c r="B778" s="506" t="n"/>
      <c r="C778" s="141" t="n"/>
      <c r="D778" s="141" t="n"/>
      <c r="E778" s="141" t="n"/>
      <c r="F778" s="141" t="n"/>
      <c r="G778" s="143" t="n"/>
      <c r="H778" s="27" t="n"/>
    </row>
    <row r="779" ht="17.25" customHeight="1" s="322">
      <c r="A779" s="27" t="n"/>
      <c r="B779" s="506" t="n"/>
      <c r="C779" s="141" t="n"/>
      <c r="D779" s="141" t="n"/>
      <c r="E779" s="141" t="n"/>
      <c r="F779" s="141" t="n"/>
      <c r="G779" s="143" t="n"/>
      <c r="H779" s="27" t="n"/>
    </row>
    <row r="780" ht="17.25" customHeight="1" s="322">
      <c r="A780" s="27" t="n"/>
      <c r="B780" s="506" t="n"/>
      <c r="C780" s="141" t="n"/>
      <c r="D780" s="141" t="n"/>
      <c r="E780" s="141" t="n"/>
      <c r="F780" s="141" t="n"/>
      <c r="G780" s="143" t="n"/>
      <c r="H780" s="27" t="n"/>
    </row>
    <row r="781" ht="17.25" customHeight="1" s="322">
      <c r="A781" s="27" t="n"/>
      <c r="B781" s="506" t="n"/>
      <c r="C781" s="141" t="n"/>
      <c r="D781" s="141" t="n"/>
      <c r="E781" s="141" t="n"/>
      <c r="F781" s="141" t="n"/>
      <c r="G781" s="143" t="n"/>
      <c r="H781" s="27" t="n"/>
    </row>
    <row r="782" ht="17.25" customHeight="1" s="322">
      <c r="A782" s="27" t="n"/>
      <c r="B782" s="506" t="n"/>
      <c r="C782" s="141" t="n"/>
      <c r="D782" s="141" t="n"/>
      <c r="E782" s="141" t="n"/>
      <c r="F782" s="141" t="n"/>
      <c r="G782" s="143" t="n"/>
      <c r="H782" s="27" t="n"/>
    </row>
    <row r="783" ht="17.25" customHeight="1" s="322">
      <c r="A783" s="27" t="n"/>
      <c r="B783" s="506" t="n"/>
      <c r="C783" s="141" t="n"/>
      <c r="D783" s="141" t="n"/>
      <c r="E783" s="141" t="n"/>
      <c r="F783" s="141" t="n"/>
      <c r="G783" s="143" t="n"/>
      <c r="H783" s="27" t="n"/>
    </row>
    <row r="784" ht="17.25" customHeight="1" s="322">
      <c r="A784" s="27" t="n"/>
      <c r="B784" s="506" t="n"/>
      <c r="C784" s="141" t="n"/>
      <c r="D784" s="141" t="n"/>
      <c r="E784" s="141" t="n"/>
      <c r="F784" s="141" t="n"/>
      <c r="G784" s="143" t="n"/>
      <c r="H784" s="27" t="n"/>
    </row>
    <row r="785" ht="17.25" customHeight="1" s="322">
      <c r="A785" s="27" t="n"/>
      <c r="B785" s="506" t="n"/>
      <c r="C785" s="141" t="n"/>
      <c r="D785" s="141" t="n"/>
      <c r="E785" s="141" t="n"/>
      <c r="F785" s="141" t="n"/>
      <c r="G785" s="143" t="n"/>
      <c r="H785" s="27" t="n"/>
    </row>
    <row r="786" ht="17.25" customHeight="1" s="322">
      <c r="A786" s="27" t="n"/>
      <c r="B786" s="506" t="n"/>
      <c r="C786" s="141" t="n"/>
      <c r="D786" s="141" t="n"/>
      <c r="E786" s="141" t="n"/>
      <c r="F786" s="141" t="n"/>
      <c r="G786" s="143" t="n"/>
      <c r="H786" s="27" t="n"/>
    </row>
    <row r="787" ht="17.25" customHeight="1" s="322">
      <c r="A787" s="27" t="n"/>
      <c r="B787" s="506" t="n"/>
      <c r="C787" s="141" t="n"/>
      <c r="D787" s="141" t="n"/>
      <c r="E787" s="141" t="n"/>
      <c r="F787" s="141" t="n"/>
      <c r="G787" s="143" t="n"/>
      <c r="H787" s="27" t="n"/>
    </row>
    <row r="788" ht="17.25" customHeight="1" s="322">
      <c r="A788" s="27" t="n"/>
      <c r="B788" s="506" t="n"/>
      <c r="C788" s="141" t="n"/>
      <c r="D788" s="141" t="n"/>
      <c r="E788" s="141" t="n"/>
      <c r="F788" s="141" t="n"/>
      <c r="G788" s="143" t="n"/>
      <c r="H788" s="27" t="n"/>
    </row>
    <row r="789" ht="17.25" customHeight="1" s="322">
      <c r="A789" s="27" t="n"/>
      <c r="B789" s="506" t="n"/>
      <c r="C789" s="141" t="n"/>
      <c r="D789" s="141" t="n"/>
      <c r="E789" s="141" t="n"/>
      <c r="F789" s="141" t="n"/>
      <c r="G789" s="143" t="n"/>
      <c r="H789" s="27" t="n"/>
    </row>
    <row r="790" ht="17.25" customHeight="1" s="322">
      <c r="A790" s="27" t="n"/>
      <c r="B790" s="506" t="n"/>
      <c r="C790" s="141" t="n"/>
      <c r="D790" s="141" t="n"/>
      <c r="E790" s="141" t="n"/>
      <c r="F790" s="141" t="n"/>
      <c r="G790" s="143" t="n"/>
      <c r="H790" s="27" t="n"/>
    </row>
    <row r="791" ht="17.25" customHeight="1" s="322">
      <c r="A791" s="27" t="n"/>
      <c r="B791" s="506" t="n"/>
      <c r="C791" s="141" t="n"/>
      <c r="D791" s="141" t="n"/>
      <c r="E791" s="141" t="n"/>
      <c r="F791" s="141" t="n"/>
      <c r="G791" s="143" t="n"/>
      <c r="H791" s="27" t="n"/>
    </row>
    <row r="792" ht="17.25" customHeight="1" s="322">
      <c r="A792" s="27" t="n"/>
      <c r="B792" s="506" t="n"/>
      <c r="C792" s="141" t="n"/>
      <c r="D792" s="141" t="n"/>
      <c r="E792" s="141" t="n"/>
      <c r="F792" s="141" t="n"/>
      <c r="G792" s="143" t="n"/>
      <c r="H792" s="27" t="n"/>
    </row>
    <row r="793" ht="17.25" customHeight="1" s="322">
      <c r="A793" s="27" t="n"/>
      <c r="B793" s="506" t="n"/>
      <c r="C793" s="141" t="n"/>
      <c r="D793" s="141" t="n"/>
      <c r="E793" s="141" t="n"/>
      <c r="F793" s="141" t="n"/>
      <c r="G793" s="143" t="n"/>
      <c r="H793" s="27" t="n"/>
    </row>
    <row r="794" ht="17.25" customHeight="1" s="322">
      <c r="A794" s="27" t="n"/>
      <c r="B794" s="506" t="n"/>
      <c r="C794" s="141" t="n"/>
      <c r="D794" s="141" t="n"/>
      <c r="E794" s="141" t="n"/>
      <c r="F794" s="141" t="n"/>
      <c r="G794" s="143" t="n"/>
      <c r="H794" s="27" t="n"/>
    </row>
    <row r="795" ht="17.25" customHeight="1" s="322">
      <c r="A795" s="27" t="n"/>
      <c r="B795" s="506" t="n"/>
      <c r="C795" s="141" t="n"/>
      <c r="D795" s="141" t="n"/>
      <c r="E795" s="141" t="n"/>
      <c r="F795" s="141" t="n"/>
      <c r="G795" s="143" t="n"/>
      <c r="H795" s="27" t="n"/>
    </row>
    <row r="796" ht="17.25" customHeight="1" s="322">
      <c r="A796" s="27" t="n"/>
      <c r="B796" s="506" t="n"/>
      <c r="C796" s="141" t="n"/>
      <c r="D796" s="141" t="n"/>
      <c r="E796" s="141" t="n"/>
      <c r="F796" s="141" t="n"/>
      <c r="G796" s="143" t="n"/>
      <c r="H796" s="27" t="n"/>
    </row>
    <row r="797" ht="17.25" customHeight="1" s="322">
      <c r="A797" s="27" t="n"/>
      <c r="B797" s="506" t="n"/>
      <c r="C797" s="141" t="n"/>
      <c r="D797" s="141" t="n"/>
      <c r="E797" s="141" t="n"/>
      <c r="F797" s="141" t="n"/>
      <c r="G797" s="143" t="n"/>
      <c r="H797" s="27" t="n"/>
    </row>
    <row r="798" ht="17.25" customHeight="1" s="322">
      <c r="A798" s="27" t="n"/>
      <c r="B798" s="506" t="n"/>
      <c r="C798" s="141" t="n"/>
      <c r="D798" s="141" t="n"/>
      <c r="E798" s="141" t="n"/>
      <c r="F798" s="141" t="n"/>
      <c r="G798" s="143" t="n"/>
      <c r="H798" s="27" t="n"/>
    </row>
    <row r="799" ht="17.25" customHeight="1" s="322">
      <c r="A799" s="27" t="n"/>
      <c r="B799" s="506" t="n"/>
      <c r="C799" s="141" t="n"/>
      <c r="D799" s="141" t="n"/>
      <c r="E799" s="141" t="n"/>
      <c r="F799" s="141" t="n"/>
      <c r="G799" s="143" t="n"/>
      <c r="H799" s="27" t="n"/>
    </row>
    <row r="800" ht="17.25" customHeight="1" s="322">
      <c r="A800" s="27" t="n"/>
      <c r="B800" s="506" t="n"/>
      <c r="C800" s="141" t="n"/>
      <c r="D800" s="141" t="n"/>
      <c r="E800" s="141" t="n"/>
      <c r="F800" s="141" t="n"/>
      <c r="G800" s="143" t="n"/>
      <c r="H800" s="27" t="n"/>
    </row>
    <row r="801" ht="17.25" customHeight="1" s="322">
      <c r="A801" s="27" t="n"/>
      <c r="B801" s="506" t="n"/>
      <c r="C801" s="141" t="n"/>
      <c r="D801" s="141" t="n"/>
      <c r="E801" s="141" t="n"/>
      <c r="F801" s="141" t="n"/>
      <c r="G801" s="143" t="n"/>
      <c r="H801" s="27" t="n"/>
    </row>
    <row r="802" ht="17.25" customHeight="1" s="322">
      <c r="A802" s="27" t="n"/>
      <c r="B802" s="506" t="n"/>
      <c r="C802" s="141" t="n"/>
      <c r="D802" s="141" t="n"/>
      <c r="E802" s="141" t="n"/>
      <c r="F802" s="141" t="n"/>
      <c r="G802" s="143" t="n"/>
      <c r="H802" s="27" t="n"/>
    </row>
    <row r="803" ht="17.25" customHeight="1" s="322">
      <c r="A803" s="27" t="n"/>
      <c r="B803" s="506" t="n"/>
      <c r="C803" s="141" t="n"/>
      <c r="D803" s="141" t="n"/>
      <c r="E803" s="141" t="n"/>
      <c r="F803" s="141" t="n"/>
      <c r="G803" s="143" t="n"/>
      <c r="H803" s="27" t="n"/>
    </row>
    <row r="804" ht="17.25" customHeight="1" s="322">
      <c r="A804" s="27" t="n"/>
      <c r="B804" s="506" t="n"/>
      <c r="C804" s="141" t="n"/>
      <c r="D804" s="141" t="n"/>
      <c r="E804" s="141" t="n"/>
      <c r="F804" s="141" t="n"/>
      <c r="G804" s="143" t="n"/>
      <c r="H804" s="27" t="n"/>
    </row>
    <row r="805" ht="17.25" customHeight="1" s="322">
      <c r="A805" s="27" t="n"/>
      <c r="B805" s="506" t="n"/>
      <c r="C805" s="141" t="n"/>
      <c r="D805" s="141" t="n"/>
      <c r="E805" s="141" t="n"/>
      <c r="F805" s="141" t="n"/>
      <c r="G805" s="143" t="n"/>
      <c r="H805" s="27" t="n"/>
    </row>
    <row r="806" ht="17.25" customHeight="1" s="322">
      <c r="A806" s="27" t="n"/>
      <c r="B806" s="506" t="n"/>
      <c r="C806" s="141" t="n"/>
      <c r="D806" s="141" t="n"/>
      <c r="E806" s="141" t="n"/>
      <c r="F806" s="141" t="n"/>
      <c r="G806" s="143" t="n"/>
      <c r="H806" s="27" t="n"/>
    </row>
    <row r="807" ht="17.25" customHeight="1" s="322">
      <c r="A807" s="27" t="n"/>
      <c r="B807" s="506" t="n"/>
      <c r="C807" s="141" t="n"/>
      <c r="D807" s="141" t="n"/>
      <c r="E807" s="141" t="n"/>
      <c r="F807" s="141" t="n"/>
      <c r="G807" s="143" t="n"/>
      <c r="H807" s="27" t="n"/>
    </row>
    <row r="808" ht="17.25" customHeight="1" s="322">
      <c r="A808" s="27" t="n"/>
      <c r="B808" s="506" t="n"/>
      <c r="C808" s="141" t="n"/>
      <c r="D808" s="141" t="n"/>
      <c r="E808" s="141" t="n"/>
      <c r="F808" s="141" t="n"/>
      <c r="G808" s="143" t="n"/>
      <c r="H808" s="27" t="n"/>
    </row>
    <row r="809" ht="17.25" customHeight="1" s="322">
      <c r="A809" s="27" t="n"/>
      <c r="B809" s="506" t="n"/>
      <c r="C809" s="141" t="n"/>
      <c r="D809" s="141" t="n"/>
      <c r="E809" s="141" t="n"/>
      <c r="F809" s="141" t="n"/>
      <c r="G809" s="143" t="n"/>
      <c r="H809" s="27" t="n"/>
    </row>
    <row r="810" ht="17.25" customHeight="1" s="322">
      <c r="A810" s="27" t="n"/>
      <c r="B810" s="506" t="n"/>
      <c r="C810" s="141" t="n"/>
      <c r="D810" s="141" t="n"/>
      <c r="E810" s="141" t="n"/>
      <c r="F810" s="141" t="n"/>
      <c r="G810" s="143" t="n"/>
      <c r="H810" s="27" t="n"/>
    </row>
    <row r="811" ht="17.25" customHeight="1" s="322">
      <c r="A811" s="27" t="n"/>
      <c r="B811" s="506" t="n"/>
      <c r="C811" s="141" t="n"/>
      <c r="D811" s="141" t="n"/>
      <c r="E811" s="141" t="n"/>
      <c r="F811" s="141" t="n"/>
      <c r="G811" s="143" t="n"/>
      <c r="H811" s="27" t="n"/>
    </row>
    <row r="812" ht="17.25" customHeight="1" s="322">
      <c r="A812" s="27" t="n"/>
      <c r="B812" s="506" t="n"/>
      <c r="C812" s="141" t="n"/>
      <c r="D812" s="141" t="n"/>
      <c r="E812" s="141" t="n"/>
      <c r="F812" s="141" t="n"/>
      <c r="G812" s="143" t="n"/>
      <c r="H812" s="27" t="n"/>
    </row>
    <row r="813" ht="17.25" customHeight="1" s="322">
      <c r="A813" s="27" t="n"/>
      <c r="B813" s="506" t="n"/>
      <c r="C813" s="141" t="n"/>
      <c r="D813" s="141" t="n"/>
      <c r="E813" s="141" t="n"/>
      <c r="F813" s="141" t="n"/>
      <c r="G813" s="143" t="n"/>
      <c r="H813" s="27" t="n"/>
    </row>
    <row r="814" ht="17.25" customHeight="1" s="322">
      <c r="A814" s="27" t="n"/>
      <c r="B814" s="506" t="n"/>
      <c r="C814" s="141" t="n"/>
      <c r="D814" s="141" t="n"/>
      <c r="E814" s="141" t="n"/>
      <c r="F814" s="141" t="n"/>
      <c r="G814" s="143" t="n"/>
      <c r="H814" s="27" t="n"/>
    </row>
    <row r="815" ht="17.25" customHeight="1" s="322">
      <c r="A815" s="27" t="n"/>
      <c r="B815" s="506" t="n"/>
      <c r="C815" s="141" t="n"/>
      <c r="D815" s="141" t="n"/>
      <c r="E815" s="141" t="n"/>
      <c r="F815" s="141" t="n"/>
      <c r="G815" s="143" t="n"/>
      <c r="H815" s="27" t="n"/>
    </row>
    <row r="816" ht="17.25" customHeight="1" s="322">
      <c r="A816" s="27" t="n"/>
      <c r="B816" s="506" t="n"/>
      <c r="C816" s="141" t="n"/>
      <c r="D816" s="141" t="n"/>
      <c r="E816" s="141" t="n"/>
      <c r="F816" s="141" t="n"/>
      <c r="G816" s="143" t="n"/>
      <c r="H816" s="27" t="n"/>
    </row>
    <row r="817" ht="17.25" customHeight="1" s="322">
      <c r="A817" s="27" t="n"/>
      <c r="B817" s="506" t="n"/>
      <c r="C817" s="141" t="n"/>
      <c r="D817" s="141" t="n"/>
      <c r="E817" s="141" t="n"/>
      <c r="F817" s="141" t="n"/>
      <c r="G817" s="143" t="n"/>
      <c r="H817" s="27" t="n"/>
    </row>
    <row r="818" ht="17.25" customHeight="1" s="322">
      <c r="A818" s="27" t="n"/>
      <c r="B818" s="506" t="n"/>
      <c r="C818" s="141" t="n"/>
      <c r="D818" s="141" t="n"/>
      <c r="E818" s="141" t="n"/>
      <c r="F818" s="141" t="n"/>
      <c r="G818" s="143" t="n"/>
      <c r="H818" s="27" t="n"/>
    </row>
    <row r="819" ht="17.25" customHeight="1" s="322">
      <c r="A819" s="27" t="n"/>
      <c r="B819" s="506" t="n"/>
      <c r="C819" s="141" t="n"/>
      <c r="D819" s="141" t="n"/>
      <c r="E819" s="141" t="n"/>
      <c r="F819" s="141" t="n"/>
      <c r="G819" s="143" t="n"/>
      <c r="H819" s="27" t="n"/>
    </row>
    <row r="820" ht="17.25" customHeight="1" s="322">
      <c r="A820" s="27" t="n"/>
      <c r="B820" s="506" t="n"/>
      <c r="C820" s="141" t="n"/>
      <c r="D820" s="141" t="n"/>
      <c r="E820" s="141" t="n"/>
      <c r="F820" s="141" t="n"/>
      <c r="G820" s="143" t="n"/>
      <c r="H820" s="27" t="n"/>
    </row>
    <row r="821" ht="17.25" customHeight="1" s="322">
      <c r="A821" s="27" t="n"/>
      <c r="B821" s="506" t="n"/>
      <c r="C821" s="141" t="n"/>
      <c r="D821" s="141" t="n"/>
      <c r="E821" s="141" t="n"/>
      <c r="F821" s="141" t="n"/>
      <c r="G821" s="143" t="n"/>
      <c r="H821" s="27" t="n"/>
    </row>
    <row r="822" ht="17.25" customHeight="1" s="322">
      <c r="A822" s="27" t="n"/>
      <c r="B822" s="506" t="n"/>
      <c r="C822" s="141" t="n"/>
      <c r="D822" s="141" t="n"/>
      <c r="E822" s="141" t="n"/>
      <c r="F822" s="141" t="n"/>
      <c r="G822" s="143" t="n"/>
      <c r="H822" s="27" t="n"/>
    </row>
    <row r="823" ht="17.25" customHeight="1" s="322">
      <c r="A823" s="27" t="n"/>
      <c r="B823" s="506" t="n"/>
      <c r="C823" s="141" t="n"/>
      <c r="D823" s="141" t="n"/>
      <c r="E823" s="141" t="n"/>
      <c r="F823" s="141" t="n"/>
      <c r="G823" s="143" t="n"/>
      <c r="H823" s="27" t="n"/>
    </row>
    <row r="824" ht="17.25" customHeight="1" s="322">
      <c r="A824" s="27" t="n"/>
      <c r="B824" s="506" t="n"/>
      <c r="C824" s="141" t="n"/>
      <c r="D824" s="141" t="n"/>
      <c r="E824" s="141" t="n"/>
      <c r="F824" s="141" t="n"/>
      <c r="G824" s="143" t="n"/>
      <c r="H824" s="27" t="n"/>
    </row>
    <row r="825" ht="17.25" customHeight="1" s="322">
      <c r="A825" s="27" t="n"/>
      <c r="B825" s="506" t="n"/>
      <c r="C825" s="141" t="n"/>
      <c r="D825" s="141" t="n"/>
      <c r="E825" s="141" t="n"/>
      <c r="F825" s="141" t="n"/>
      <c r="G825" s="143" t="n"/>
      <c r="H825" s="27" t="n"/>
    </row>
    <row r="826" ht="17.25" customHeight="1" s="322">
      <c r="A826" s="27" t="n"/>
      <c r="B826" s="506" t="n"/>
      <c r="C826" s="141" t="n"/>
      <c r="D826" s="141" t="n"/>
      <c r="E826" s="141" t="n"/>
      <c r="F826" s="141" t="n"/>
      <c r="G826" s="143" t="n"/>
      <c r="H826" s="27" t="n"/>
    </row>
    <row r="827" ht="17.25" customHeight="1" s="322">
      <c r="A827" s="27" t="n"/>
      <c r="B827" s="506" t="n"/>
      <c r="C827" s="141" t="n"/>
      <c r="D827" s="141" t="n"/>
      <c r="E827" s="141" t="n"/>
      <c r="F827" s="141" t="n"/>
      <c r="G827" s="143" t="n"/>
      <c r="H827" s="27" t="n"/>
    </row>
    <row r="828" ht="17.25" customHeight="1" s="322">
      <c r="A828" s="27" t="n"/>
      <c r="B828" s="506" t="n"/>
      <c r="C828" s="141" t="n"/>
      <c r="D828" s="141" t="n"/>
      <c r="E828" s="141" t="n"/>
      <c r="F828" s="141" t="n"/>
      <c r="G828" s="143" t="n"/>
      <c r="H828" s="27" t="n"/>
    </row>
    <row r="829" ht="17.25" customHeight="1" s="322">
      <c r="A829" s="27" t="n"/>
      <c r="B829" s="506" t="n"/>
      <c r="C829" s="141" t="n"/>
      <c r="D829" s="141" t="n"/>
      <c r="E829" s="141" t="n"/>
      <c r="F829" s="141" t="n"/>
      <c r="G829" s="143" t="n"/>
      <c r="H829" s="27" t="n"/>
    </row>
    <row r="830" ht="17.25" customHeight="1" s="322">
      <c r="A830" s="27" t="n"/>
      <c r="B830" s="506" t="n"/>
      <c r="C830" s="141" t="n"/>
      <c r="D830" s="141" t="n"/>
      <c r="E830" s="141" t="n"/>
      <c r="F830" s="141" t="n"/>
      <c r="G830" s="143" t="n"/>
      <c r="H830" s="27" t="n"/>
    </row>
    <row r="831" ht="17.25" customHeight="1" s="322">
      <c r="A831" s="27" t="n"/>
      <c r="B831" s="506" t="n"/>
      <c r="C831" s="141" t="n"/>
      <c r="D831" s="141" t="n"/>
      <c r="E831" s="141" t="n"/>
      <c r="F831" s="141" t="n"/>
      <c r="G831" s="143" t="n"/>
      <c r="H831" s="27" t="n"/>
    </row>
    <row r="832" ht="17.25" customHeight="1" s="322">
      <c r="A832" s="27" t="n"/>
      <c r="B832" s="506" t="n"/>
      <c r="C832" s="141" t="n"/>
      <c r="D832" s="141" t="n"/>
      <c r="E832" s="141" t="n"/>
      <c r="F832" s="141" t="n"/>
      <c r="G832" s="143" t="n"/>
      <c r="H832" s="27" t="n"/>
    </row>
    <row r="833" ht="17.25" customHeight="1" s="322">
      <c r="A833" s="27" t="n"/>
      <c r="B833" s="506" t="n"/>
      <c r="C833" s="141" t="n"/>
      <c r="D833" s="141" t="n"/>
      <c r="E833" s="141" t="n"/>
      <c r="F833" s="141" t="n"/>
      <c r="G833" s="143" t="n"/>
      <c r="H833" s="27" t="n"/>
    </row>
    <row r="834" ht="17.25" customHeight="1" s="322">
      <c r="A834" s="27" t="n"/>
      <c r="B834" s="506" t="n"/>
      <c r="C834" s="141" t="n"/>
      <c r="D834" s="141" t="n"/>
      <c r="E834" s="141" t="n"/>
      <c r="F834" s="141" t="n"/>
      <c r="G834" s="143" t="n"/>
      <c r="H834" s="27" t="n"/>
    </row>
    <row r="835" ht="17.25" customHeight="1" s="322">
      <c r="A835" s="27" t="n"/>
      <c r="B835" s="506" t="n"/>
      <c r="C835" s="141" t="n"/>
      <c r="D835" s="141" t="n"/>
      <c r="E835" s="141" t="n"/>
      <c r="F835" s="141" t="n"/>
      <c r="G835" s="143" t="n"/>
      <c r="H835" s="27" t="n"/>
    </row>
    <row r="836" ht="17.25" customHeight="1" s="322">
      <c r="A836" s="27" t="n"/>
      <c r="B836" s="506" t="n"/>
      <c r="C836" s="141" t="n"/>
      <c r="D836" s="141" t="n"/>
      <c r="E836" s="141" t="n"/>
      <c r="F836" s="141" t="n"/>
      <c r="G836" s="143" t="n"/>
      <c r="H836" s="27" t="n"/>
    </row>
    <row r="837" ht="17.25" customHeight="1" s="322">
      <c r="A837" s="27" t="n"/>
      <c r="B837" s="506" t="n"/>
      <c r="C837" s="141" t="n"/>
      <c r="D837" s="141" t="n"/>
      <c r="E837" s="141" t="n"/>
      <c r="F837" s="141" t="n"/>
      <c r="G837" s="143" t="n"/>
      <c r="H837" s="27" t="n"/>
    </row>
    <row r="838" ht="17.25" customHeight="1" s="322">
      <c r="A838" s="27" t="n"/>
      <c r="B838" s="506" t="n"/>
      <c r="C838" s="141" t="n"/>
      <c r="D838" s="141" t="n"/>
      <c r="E838" s="141" t="n"/>
      <c r="F838" s="141" t="n"/>
      <c r="G838" s="143" t="n"/>
      <c r="H838" s="27" t="n"/>
    </row>
    <row r="839" ht="17.25" customHeight="1" s="322">
      <c r="A839" s="27" t="n"/>
      <c r="B839" s="506" t="n"/>
      <c r="C839" s="141" t="n"/>
      <c r="D839" s="141" t="n"/>
      <c r="E839" s="141" t="n"/>
      <c r="F839" s="141" t="n"/>
      <c r="G839" s="143" t="n"/>
      <c r="H839" s="27" t="n"/>
    </row>
    <row r="840" ht="17.25" customHeight="1" s="322">
      <c r="A840" s="27" t="n"/>
      <c r="B840" s="506" t="n"/>
      <c r="C840" s="141" t="n"/>
      <c r="D840" s="141" t="n"/>
      <c r="E840" s="141" t="n"/>
      <c r="F840" s="141" t="n"/>
      <c r="G840" s="143" t="n"/>
      <c r="H840" s="27" t="n"/>
    </row>
    <row r="841" ht="17.25" customHeight="1" s="322">
      <c r="A841" s="27" t="n"/>
      <c r="B841" s="506" t="n"/>
      <c r="C841" s="141" t="n"/>
      <c r="D841" s="141" t="n"/>
      <c r="E841" s="141" t="n"/>
      <c r="F841" s="141" t="n"/>
      <c r="G841" s="143" t="n"/>
      <c r="H841" s="27" t="n"/>
    </row>
    <row r="842" ht="17.25" customHeight="1" s="322">
      <c r="A842" s="27" t="n"/>
      <c r="B842" s="506" t="n"/>
      <c r="C842" s="141" t="n"/>
      <c r="D842" s="141" t="n"/>
      <c r="E842" s="141" t="n"/>
      <c r="F842" s="141" t="n"/>
      <c r="G842" s="143" t="n"/>
      <c r="H842" s="27" t="n"/>
    </row>
    <row r="843" ht="17.25" customHeight="1" s="322">
      <c r="A843" s="27" t="n"/>
      <c r="B843" s="506" t="n"/>
      <c r="C843" s="141" t="n"/>
      <c r="D843" s="141" t="n"/>
      <c r="E843" s="141" t="n"/>
      <c r="F843" s="141" t="n"/>
      <c r="G843" s="143" t="n"/>
      <c r="H843" s="27" t="n"/>
    </row>
    <row r="844" ht="17.25" customHeight="1" s="322">
      <c r="A844" s="27" t="n"/>
      <c r="B844" s="506" t="n"/>
      <c r="C844" s="141" t="n"/>
      <c r="D844" s="141" t="n"/>
      <c r="E844" s="141" t="n"/>
      <c r="F844" s="141" t="n"/>
      <c r="G844" s="143" t="n"/>
      <c r="H844" s="27" t="n"/>
    </row>
    <row r="845" ht="17.25" customHeight="1" s="322">
      <c r="A845" s="27" t="n"/>
      <c r="B845" s="506" t="n"/>
      <c r="C845" s="141" t="n"/>
      <c r="D845" s="141" t="n"/>
      <c r="E845" s="141" t="n"/>
      <c r="F845" s="141" t="n"/>
      <c r="G845" s="143" t="n"/>
      <c r="H845" s="27" t="n"/>
    </row>
    <row r="846" ht="17.25" customHeight="1" s="322">
      <c r="A846" s="27" t="n"/>
      <c r="B846" s="506" t="n"/>
      <c r="C846" s="141" t="n"/>
      <c r="D846" s="141" t="n"/>
      <c r="E846" s="141" t="n"/>
      <c r="F846" s="141" t="n"/>
      <c r="G846" s="143" t="n"/>
      <c r="H846" s="27" t="n"/>
    </row>
    <row r="847" ht="17.25" customHeight="1" s="322">
      <c r="A847" s="27" t="n"/>
      <c r="B847" s="506" t="n"/>
      <c r="C847" s="141" t="n"/>
      <c r="D847" s="141" t="n"/>
      <c r="E847" s="141" t="n"/>
      <c r="F847" s="141" t="n"/>
      <c r="G847" s="143" t="n"/>
      <c r="H847" s="27" t="n"/>
    </row>
    <row r="848" ht="17.25" customHeight="1" s="322">
      <c r="A848" s="27" t="n"/>
      <c r="B848" s="506" t="n"/>
      <c r="C848" s="141" t="n"/>
      <c r="D848" s="141" t="n"/>
      <c r="E848" s="141" t="n"/>
      <c r="F848" s="141" t="n"/>
      <c r="G848" s="143" t="n"/>
      <c r="H848" s="27" t="n"/>
    </row>
    <row r="849" ht="17.25" customHeight="1" s="322">
      <c r="A849" s="27" t="n"/>
      <c r="B849" s="506" t="n"/>
      <c r="C849" s="141" t="n"/>
      <c r="D849" s="141" t="n"/>
      <c r="E849" s="141" t="n"/>
      <c r="F849" s="141" t="n"/>
      <c r="G849" s="143" t="n"/>
      <c r="H849" s="27" t="n"/>
    </row>
    <row r="850" ht="17.25" customHeight="1" s="322">
      <c r="A850" s="27" t="n"/>
      <c r="B850" s="506" t="n"/>
      <c r="C850" s="141" t="n"/>
      <c r="D850" s="141" t="n"/>
      <c r="E850" s="141" t="n"/>
      <c r="F850" s="141" t="n"/>
      <c r="G850" s="143" t="n"/>
      <c r="H850" s="27" t="n"/>
    </row>
    <row r="851" ht="17.25" customHeight="1" s="322">
      <c r="A851" s="27" t="n"/>
      <c r="B851" s="506" t="n"/>
      <c r="C851" s="141" t="n"/>
      <c r="D851" s="141" t="n"/>
      <c r="E851" s="141" t="n"/>
      <c r="F851" s="141" t="n"/>
      <c r="G851" s="143" t="n"/>
      <c r="H851" s="27" t="n"/>
    </row>
    <row r="852" ht="17.25" customHeight="1" s="322">
      <c r="A852" s="27" t="n"/>
      <c r="B852" s="506" t="n"/>
      <c r="C852" s="141" t="n"/>
      <c r="D852" s="141" t="n"/>
      <c r="E852" s="141" t="n"/>
      <c r="F852" s="141" t="n"/>
      <c r="G852" s="143" t="n"/>
      <c r="H852" s="27" t="n"/>
    </row>
    <row r="853" ht="17.25" customHeight="1" s="322">
      <c r="A853" s="27" t="n"/>
      <c r="B853" s="506" t="n"/>
      <c r="C853" s="141" t="n"/>
      <c r="D853" s="141" t="n"/>
      <c r="E853" s="141" t="n"/>
      <c r="F853" s="141" t="n"/>
      <c r="G853" s="143" t="n"/>
      <c r="H853" s="27" t="n"/>
    </row>
    <row r="854" ht="17.25" customHeight="1" s="322">
      <c r="A854" s="27" t="n"/>
      <c r="B854" s="506" t="n"/>
      <c r="C854" s="141" t="n"/>
      <c r="D854" s="141" t="n"/>
      <c r="E854" s="141" t="n"/>
      <c r="F854" s="141" t="n"/>
      <c r="G854" s="143" t="n"/>
      <c r="H854" s="27" t="n"/>
    </row>
    <row r="855" ht="17.25" customHeight="1" s="322">
      <c r="A855" s="27" t="n"/>
      <c r="B855" s="506" t="n"/>
      <c r="C855" s="141" t="n"/>
      <c r="D855" s="141" t="n"/>
      <c r="E855" s="141" t="n"/>
      <c r="F855" s="141" t="n"/>
      <c r="G855" s="143" t="n"/>
      <c r="H855" s="27" t="n"/>
    </row>
    <row r="856" ht="17.25" customHeight="1" s="322">
      <c r="A856" s="27" t="n"/>
      <c r="B856" s="506" t="n"/>
      <c r="C856" s="141" t="n"/>
      <c r="D856" s="141" t="n"/>
      <c r="E856" s="141" t="n"/>
      <c r="F856" s="141" t="n"/>
      <c r="G856" s="143" t="n"/>
      <c r="H856" s="27" t="n"/>
    </row>
    <row r="857" ht="17.25" customHeight="1" s="322">
      <c r="A857" s="27" t="n"/>
      <c r="B857" s="506" t="n"/>
      <c r="C857" s="141" t="n"/>
      <c r="D857" s="141" t="n"/>
      <c r="E857" s="141" t="n"/>
      <c r="F857" s="141" t="n"/>
      <c r="G857" s="143" t="n"/>
      <c r="H857" s="27" t="n"/>
    </row>
    <row r="858" ht="17.25" customHeight="1" s="322">
      <c r="A858" s="27" t="n"/>
      <c r="B858" s="506" t="n"/>
      <c r="C858" s="141" t="n"/>
      <c r="D858" s="141" t="n"/>
      <c r="E858" s="141" t="n"/>
      <c r="F858" s="141" t="n"/>
      <c r="G858" s="143" t="n"/>
      <c r="H858" s="27" t="n"/>
    </row>
    <row r="859" ht="17.25" customHeight="1" s="322">
      <c r="A859" s="27" t="n"/>
      <c r="B859" s="506" t="n"/>
      <c r="C859" s="141" t="n"/>
      <c r="D859" s="141" t="n"/>
      <c r="E859" s="141" t="n"/>
      <c r="F859" s="141" t="n"/>
      <c r="G859" s="143" t="n"/>
      <c r="H859" s="27" t="n"/>
    </row>
    <row r="860" ht="17.25" customHeight="1" s="322">
      <c r="A860" s="27" t="n"/>
      <c r="B860" s="506" t="n"/>
      <c r="C860" s="141" t="n"/>
      <c r="D860" s="141" t="n"/>
      <c r="E860" s="141" t="n"/>
      <c r="F860" s="141" t="n"/>
      <c r="G860" s="143" t="n"/>
      <c r="H860" s="27" t="n"/>
    </row>
    <row r="861" ht="17.25" customHeight="1" s="322">
      <c r="A861" s="27" t="n"/>
      <c r="B861" s="506" t="n"/>
      <c r="C861" s="141" t="n"/>
      <c r="D861" s="141" t="n"/>
      <c r="E861" s="141" t="n"/>
      <c r="F861" s="141" t="n"/>
      <c r="G861" s="143" t="n"/>
      <c r="H861" s="27" t="n"/>
    </row>
    <row r="862" ht="17.25" customHeight="1" s="322">
      <c r="A862" s="27" t="n"/>
      <c r="B862" s="506" t="n"/>
      <c r="C862" s="141" t="n"/>
      <c r="D862" s="141" t="n"/>
      <c r="E862" s="141" t="n"/>
      <c r="F862" s="141" t="n"/>
      <c r="G862" s="143" t="n"/>
      <c r="H862" s="27" t="n"/>
    </row>
    <row r="863" ht="17.25" customHeight="1" s="322">
      <c r="A863" s="27" t="n"/>
      <c r="B863" s="506" t="n"/>
      <c r="C863" s="141" t="n"/>
      <c r="D863" s="141" t="n"/>
      <c r="E863" s="141" t="n"/>
      <c r="F863" s="141" t="n"/>
      <c r="G863" s="143" t="n"/>
      <c r="H863" s="27" t="n"/>
    </row>
    <row r="864" ht="17.25" customHeight="1" s="322">
      <c r="A864" s="27" t="n"/>
      <c r="B864" s="506" t="n"/>
      <c r="C864" s="141" t="n"/>
      <c r="D864" s="141" t="n"/>
      <c r="E864" s="141" t="n"/>
      <c r="F864" s="141" t="n"/>
      <c r="G864" s="143" t="n"/>
      <c r="H864" s="27" t="n"/>
    </row>
    <row r="865" ht="17.25" customHeight="1" s="322">
      <c r="A865" s="27" t="n"/>
      <c r="B865" s="506" t="n"/>
      <c r="C865" s="141" t="n"/>
      <c r="D865" s="141" t="n"/>
      <c r="E865" s="141" t="n"/>
      <c r="F865" s="141" t="n"/>
      <c r="G865" s="143" t="n"/>
      <c r="H865" s="27" t="n"/>
    </row>
    <row r="866" ht="17.25" customHeight="1" s="322">
      <c r="A866" s="27" t="n"/>
      <c r="B866" s="506" t="n"/>
      <c r="C866" s="141" t="n"/>
      <c r="D866" s="141" t="n"/>
      <c r="E866" s="141" t="n"/>
      <c r="F866" s="141" t="n"/>
      <c r="G866" s="143" t="n"/>
      <c r="H866" s="27" t="n"/>
    </row>
    <row r="867" ht="17.25" customHeight="1" s="322">
      <c r="A867" s="27" t="n"/>
      <c r="B867" s="506" t="n"/>
      <c r="C867" s="141" t="n"/>
      <c r="D867" s="141" t="n"/>
      <c r="E867" s="141" t="n"/>
      <c r="F867" s="141" t="n"/>
      <c r="G867" s="143" t="n"/>
      <c r="H867" s="27" t="n"/>
    </row>
    <row r="868" ht="17.25" customHeight="1" s="322">
      <c r="A868" s="27" t="n"/>
      <c r="B868" s="506" t="n"/>
      <c r="C868" s="141" t="n"/>
      <c r="D868" s="141" t="n"/>
      <c r="E868" s="141" t="n"/>
      <c r="F868" s="141" t="n"/>
      <c r="G868" s="143" t="n"/>
      <c r="H868" s="27" t="n"/>
    </row>
    <row r="869" ht="17.25" customHeight="1" s="322">
      <c r="A869" s="27" t="n"/>
      <c r="B869" s="506" t="n"/>
      <c r="C869" s="141" t="n"/>
      <c r="D869" s="141" t="n"/>
      <c r="E869" s="141" t="n"/>
      <c r="F869" s="141" t="n"/>
      <c r="G869" s="143" t="n"/>
      <c r="H869" s="27" t="n"/>
    </row>
    <row r="870" ht="17.25" customHeight="1" s="322">
      <c r="A870" s="27" t="n"/>
      <c r="B870" s="506" t="n"/>
      <c r="C870" s="141" t="n"/>
      <c r="D870" s="141" t="n"/>
      <c r="E870" s="141" t="n"/>
      <c r="F870" s="141" t="n"/>
      <c r="G870" s="143" t="n"/>
      <c r="H870" s="27" t="n"/>
    </row>
    <row r="871" ht="17.25" customHeight="1" s="322">
      <c r="A871" s="27" t="n"/>
      <c r="B871" s="506" t="n"/>
      <c r="C871" s="141" t="n"/>
      <c r="D871" s="141" t="n"/>
      <c r="E871" s="141" t="n"/>
      <c r="F871" s="141" t="n"/>
      <c r="G871" s="143" t="n"/>
      <c r="H871" s="27" t="n"/>
    </row>
    <row r="872" ht="17.25" customHeight="1" s="322">
      <c r="A872" s="27" t="n"/>
      <c r="B872" s="506" t="n"/>
      <c r="C872" s="141" t="n"/>
      <c r="D872" s="141" t="n"/>
      <c r="E872" s="141" t="n"/>
      <c r="F872" s="141" t="n"/>
      <c r="G872" s="143" t="n"/>
      <c r="H872" s="27" t="n"/>
    </row>
    <row r="873" ht="17.25" customHeight="1" s="322">
      <c r="A873" s="27" t="n"/>
      <c r="B873" s="506" t="n"/>
      <c r="C873" s="141" t="n"/>
      <c r="D873" s="141" t="n"/>
      <c r="E873" s="141" t="n"/>
      <c r="F873" s="141" t="n"/>
      <c r="G873" s="143" t="n"/>
      <c r="H873" s="27" t="n"/>
    </row>
    <row r="874" ht="17.25" customHeight="1" s="322">
      <c r="A874" s="27" t="n"/>
      <c r="B874" s="506" t="n"/>
      <c r="C874" s="141" t="n"/>
      <c r="D874" s="141" t="n"/>
      <c r="E874" s="141" t="n"/>
      <c r="F874" s="141" t="n"/>
      <c r="G874" s="143" t="n"/>
      <c r="H874" s="27" t="n"/>
    </row>
    <row r="875" ht="17.25" customHeight="1" s="322">
      <c r="A875" s="27" t="n"/>
      <c r="B875" s="506" t="n"/>
      <c r="C875" s="141" t="n"/>
      <c r="D875" s="141" t="n"/>
      <c r="E875" s="141" t="n"/>
      <c r="F875" s="141" t="n"/>
      <c r="G875" s="143" t="n"/>
      <c r="H875" s="27" t="n"/>
    </row>
    <row r="876" ht="17.25" customHeight="1" s="322">
      <c r="A876" s="27" t="n"/>
      <c r="B876" s="506" t="n"/>
      <c r="C876" s="141" t="n"/>
      <c r="D876" s="141" t="n"/>
      <c r="E876" s="141" t="n"/>
      <c r="F876" s="141" t="n"/>
      <c r="G876" s="143" t="n"/>
      <c r="H876" s="27" t="n"/>
    </row>
    <row r="877" ht="17.25" customHeight="1" s="322">
      <c r="A877" s="27" t="n"/>
      <c r="B877" s="506" t="n"/>
      <c r="C877" s="141" t="n"/>
      <c r="D877" s="141" t="n"/>
      <c r="E877" s="141" t="n"/>
      <c r="F877" s="141" t="n"/>
      <c r="G877" s="143" t="n"/>
      <c r="H877" s="27" t="n"/>
    </row>
    <row r="878" ht="17.25" customHeight="1" s="322">
      <c r="A878" s="27" t="n"/>
      <c r="B878" s="506" t="n"/>
      <c r="C878" s="141" t="n"/>
      <c r="D878" s="141" t="n"/>
      <c r="E878" s="141" t="n"/>
      <c r="F878" s="141" t="n"/>
      <c r="G878" s="143" t="n"/>
      <c r="H878" s="27" t="n"/>
    </row>
    <row r="879" ht="17.25" customHeight="1" s="322">
      <c r="A879" s="27" t="n"/>
      <c r="B879" s="506" t="n"/>
      <c r="C879" s="141" t="n"/>
      <c r="D879" s="141" t="n"/>
      <c r="E879" s="141" t="n"/>
      <c r="F879" s="141" t="n"/>
      <c r="G879" s="143" t="n"/>
      <c r="H879" s="27" t="n"/>
    </row>
    <row r="880" ht="17.25" customHeight="1" s="322">
      <c r="A880" s="27" t="n"/>
      <c r="B880" s="506" t="n"/>
      <c r="C880" s="141" t="n"/>
      <c r="D880" s="141" t="n"/>
      <c r="E880" s="141" t="n"/>
      <c r="F880" s="141" t="n"/>
      <c r="G880" s="143" t="n"/>
      <c r="H880" s="27" t="n"/>
    </row>
    <row r="881" ht="17.25" customHeight="1" s="322">
      <c r="A881" s="27" t="n"/>
      <c r="B881" s="506" t="n"/>
      <c r="C881" s="141" t="n"/>
      <c r="D881" s="141" t="n"/>
      <c r="E881" s="141" t="n"/>
      <c r="F881" s="141" t="n"/>
      <c r="G881" s="143" t="n"/>
      <c r="H881" s="27" t="n"/>
    </row>
    <row r="882" ht="17.25" customHeight="1" s="322">
      <c r="A882" s="27" t="n"/>
      <c r="B882" s="506" t="n"/>
      <c r="C882" s="141" t="n"/>
      <c r="D882" s="141" t="n"/>
      <c r="E882" s="141" t="n"/>
      <c r="F882" s="141" t="n"/>
      <c r="G882" s="143" t="n"/>
      <c r="H882" s="27" t="n"/>
    </row>
    <row r="883" ht="17.25" customHeight="1" s="322">
      <c r="A883" s="27" t="n"/>
      <c r="B883" s="506" t="n"/>
      <c r="C883" s="141" t="n"/>
      <c r="D883" s="141" t="n"/>
      <c r="E883" s="141" t="n"/>
      <c r="F883" s="141" t="n"/>
      <c r="G883" s="143" t="n"/>
      <c r="H883" s="27" t="n"/>
    </row>
    <row r="884" ht="17.25" customHeight="1" s="322">
      <c r="A884" s="27" t="n"/>
      <c r="B884" s="506" t="n"/>
      <c r="C884" s="141" t="n"/>
      <c r="D884" s="141" t="n"/>
      <c r="E884" s="141" t="n"/>
      <c r="F884" s="141" t="n"/>
      <c r="G884" s="143" t="n"/>
      <c r="H884" s="27" t="n"/>
    </row>
    <row r="885" ht="17.25" customHeight="1" s="322">
      <c r="A885" s="27" t="n"/>
      <c r="B885" s="506" t="n"/>
      <c r="C885" s="141" t="n"/>
      <c r="D885" s="141" t="n"/>
      <c r="E885" s="141" t="n"/>
      <c r="F885" s="141" t="n"/>
      <c r="G885" s="143" t="n"/>
      <c r="H885" s="27" t="n"/>
    </row>
    <row r="886" ht="17.25" customHeight="1" s="322">
      <c r="A886" s="27" t="n"/>
      <c r="B886" s="506" t="n"/>
      <c r="C886" s="141" t="n"/>
      <c r="D886" s="141" t="n"/>
      <c r="E886" s="141" t="n"/>
      <c r="F886" s="141" t="n"/>
      <c r="G886" s="143" t="n"/>
      <c r="H886" s="27" t="n"/>
    </row>
    <row r="887" ht="17.25" customHeight="1" s="322">
      <c r="A887" s="27" t="n"/>
      <c r="B887" s="506" t="n"/>
      <c r="C887" s="141" t="n"/>
      <c r="D887" s="141" t="n"/>
      <c r="E887" s="141" t="n"/>
      <c r="F887" s="141" t="n"/>
      <c r="G887" s="143" t="n"/>
      <c r="H887" s="27" t="n"/>
    </row>
    <row r="888" ht="17.25" customHeight="1" s="322">
      <c r="A888" s="27" t="n"/>
      <c r="B888" s="506" t="n"/>
      <c r="C888" s="141" t="n"/>
      <c r="D888" s="141" t="n"/>
      <c r="E888" s="141" t="n"/>
      <c r="F888" s="141" t="n"/>
      <c r="G888" s="143" t="n"/>
      <c r="H888" s="27" t="n"/>
    </row>
    <row r="889" ht="17.25" customHeight="1" s="322">
      <c r="A889" s="27" t="n"/>
      <c r="B889" s="506" t="n"/>
      <c r="C889" s="141" t="n"/>
      <c r="D889" s="141" t="n"/>
      <c r="E889" s="141" t="n"/>
      <c r="F889" s="141" t="n"/>
      <c r="G889" s="143" t="n"/>
      <c r="H889" s="27" t="n"/>
    </row>
    <row r="890" ht="17.25" customHeight="1" s="322">
      <c r="A890" s="27" t="n"/>
      <c r="B890" s="506" t="n"/>
      <c r="C890" s="141" t="n"/>
      <c r="D890" s="141" t="n"/>
      <c r="E890" s="141" t="n"/>
      <c r="F890" s="141" t="n"/>
      <c r="G890" s="143" t="n"/>
      <c r="H890" s="27" t="n"/>
    </row>
    <row r="891" ht="17.25" customHeight="1" s="322">
      <c r="A891" s="27" t="n"/>
      <c r="B891" s="506" t="n"/>
      <c r="C891" s="141" t="n"/>
      <c r="D891" s="141" t="n"/>
      <c r="E891" s="141" t="n"/>
      <c r="F891" s="141" t="n"/>
      <c r="G891" s="143" t="n"/>
      <c r="H891" s="27" t="n"/>
    </row>
    <row r="892" ht="17.25" customHeight="1" s="322">
      <c r="A892" s="27" t="n"/>
      <c r="B892" s="506" t="n"/>
      <c r="C892" s="141" t="n"/>
      <c r="D892" s="141" t="n"/>
      <c r="E892" s="141" t="n"/>
      <c r="F892" s="141" t="n"/>
      <c r="G892" s="143" t="n"/>
      <c r="H892" s="27" t="n"/>
    </row>
    <row r="893" ht="17.25" customHeight="1" s="322">
      <c r="A893" s="27" t="n"/>
      <c r="B893" s="506" t="n"/>
      <c r="C893" s="141" t="n"/>
      <c r="D893" s="141" t="n"/>
      <c r="E893" s="141" t="n"/>
      <c r="F893" s="141" t="n"/>
      <c r="G893" s="143" t="n"/>
      <c r="H893" s="27" t="n"/>
    </row>
    <row r="894" ht="17.25" customHeight="1" s="322">
      <c r="A894" s="27" t="n"/>
      <c r="B894" s="506" t="n"/>
      <c r="C894" s="141" t="n"/>
      <c r="D894" s="141" t="n"/>
      <c r="E894" s="141" t="n"/>
      <c r="F894" s="141" t="n"/>
      <c r="G894" s="143" t="n"/>
      <c r="H894" s="27" t="n"/>
    </row>
    <row r="895" ht="17.25" customHeight="1" s="322">
      <c r="A895" s="27" t="n"/>
      <c r="B895" s="506" t="n"/>
      <c r="C895" s="141" t="n"/>
      <c r="D895" s="141" t="n"/>
      <c r="E895" s="141" t="n"/>
      <c r="F895" s="141" t="n"/>
      <c r="G895" s="143" t="n"/>
      <c r="H895" s="27" t="n"/>
    </row>
    <row r="896" ht="17.25" customHeight="1" s="322">
      <c r="A896" s="27" t="n"/>
      <c r="B896" s="506" t="n"/>
      <c r="C896" s="141" t="n"/>
      <c r="D896" s="141" t="n"/>
      <c r="E896" s="141" t="n"/>
      <c r="F896" s="141" t="n"/>
      <c r="G896" s="143" t="n"/>
      <c r="H896" s="27" t="n"/>
    </row>
    <row r="897" ht="17.25" customHeight="1" s="322">
      <c r="A897" s="27" t="n"/>
      <c r="B897" s="506" t="n"/>
      <c r="C897" s="141" t="n"/>
      <c r="D897" s="141" t="n"/>
      <c r="E897" s="141" t="n"/>
      <c r="F897" s="141" t="n"/>
      <c r="G897" s="143" t="n"/>
      <c r="H897" s="27" t="n"/>
    </row>
    <row r="898" ht="17.25" customHeight="1" s="322">
      <c r="A898" s="27" t="n"/>
      <c r="B898" s="506" t="n"/>
      <c r="C898" s="141" t="n"/>
      <c r="D898" s="141" t="n"/>
      <c r="E898" s="141" t="n"/>
      <c r="F898" s="141" t="n"/>
      <c r="G898" s="143" t="n"/>
      <c r="H898" s="27" t="n"/>
    </row>
    <row r="899" ht="17.25" customHeight="1" s="322">
      <c r="A899" s="27" t="n"/>
      <c r="B899" s="506" t="n"/>
      <c r="C899" s="141" t="n"/>
      <c r="D899" s="141" t="n"/>
      <c r="E899" s="141" t="n"/>
      <c r="F899" s="141" t="n"/>
      <c r="G899" s="143" t="n"/>
      <c r="H899" s="27" t="n"/>
    </row>
    <row r="900" ht="17.25" customHeight="1" s="322">
      <c r="A900" s="27" t="n"/>
      <c r="B900" s="506" t="n"/>
      <c r="C900" s="141" t="n"/>
      <c r="D900" s="141" t="n"/>
      <c r="E900" s="141" t="n"/>
      <c r="F900" s="141" t="n"/>
      <c r="G900" s="143" t="n"/>
      <c r="H900" s="27" t="n"/>
    </row>
    <row r="901" ht="17.25" customHeight="1" s="322">
      <c r="A901" s="27" t="n"/>
      <c r="B901" s="506" t="n"/>
      <c r="C901" s="141" t="n"/>
      <c r="D901" s="141" t="n"/>
      <c r="E901" s="141" t="n"/>
      <c r="F901" s="141" t="n"/>
      <c r="G901" s="143" t="n"/>
      <c r="H901" s="27" t="n"/>
    </row>
    <row r="902" ht="17.25" customHeight="1" s="322">
      <c r="A902" s="27" t="n"/>
      <c r="B902" s="506" t="n"/>
      <c r="C902" s="141" t="n"/>
      <c r="D902" s="141" t="n"/>
      <c r="E902" s="141" t="n"/>
      <c r="F902" s="141" t="n"/>
      <c r="G902" s="143" t="n"/>
      <c r="H902" s="27" t="n"/>
    </row>
    <row r="903" ht="17.25" customHeight="1" s="322">
      <c r="A903" s="27" t="n"/>
      <c r="B903" s="506" t="n"/>
      <c r="C903" s="141" t="n"/>
      <c r="D903" s="141" t="n"/>
      <c r="E903" s="141" t="n"/>
      <c r="F903" s="141" t="n"/>
      <c r="G903" s="143" t="n"/>
      <c r="H903" s="27" t="n"/>
    </row>
    <row r="904" ht="17.25" customHeight="1" s="322">
      <c r="A904" s="27" t="n"/>
      <c r="B904" s="506" t="n"/>
      <c r="C904" s="141" t="n"/>
      <c r="D904" s="141" t="n"/>
      <c r="E904" s="141" t="n"/>
      <c r="F904" s="141" t="n"/>
      <c r="G904" s="143" t="n"/>
      <c r="H904" s="27" t="n"/>
    </row>
    <row r="905" ht="17.25" customHeight="1" s="322">
      <c r="A905" s="27" t="n"/>
      <c r="B905" s="506" t="n"/>
      <c r="C905" s="141" t="n"/>
      <c r="D905" s="141" t="n"/>
      <c r="E905" s="141" t="n"/>
      <c r="F905" s="141" t="n"/>
      <c r="G905" s="143" t="n"/>
      <c r="H905" s="27" t="n"/>
    </row>
    <row r="906" ht="17.25" customHeight="1" s="322">
      <c r="A906" s="27" t="n"/>
      <c r="B906" s="506" t="n"/>
      <c r="C906" s="141" t="n"/>
      <c r="D906" s="141" t="n"/>
      <c r="E906" s="141" t="n"/>
      <c r="F906" s="141" t="n"/>
      <c r="G906" s="143" t="n"/>
      <c r="H906" s="27" t="n"/>
    </row>
    <row r="907" ht="17.25" customHeight="1" s="322">
      <c r="A907" s="27" t="n"/>
      <c r="B907" s="506" t="n"/>
      <c r="C907" s="141" t="n"/>
      <c r="D907" s="141" t="n"/>
      <c r="E907" s="141" t="n"/>
      <c r="F907" s="141" t="n"/>
      <c r="G907" s="143" t="n"/>
      <c r="H907" s="27" t="n"/>
    </row>
    <row r="908" ht="17.25" customHeight="1" s="322">
      <c r="A908" s="27" t="n"/>
      <c r="B908" s="506" t="n"/>
      <c r="C908" s="141" t="n"/>
      <c r="D908" s="141" t="n"/>
      <c r="E908" s="141" t="n"/>
      <c r="F908" s="141" t="n"/>
      <c r="G908" s="143" t="n"/>
      <c r="H908" s="27" t="n"/>
    </row>
    <row r="909" ht="17.25" customHeight="1" s="322">
      <c r="A909" s="27" t="n"/>
      <c r="B909" s="506" t="n"/>
      <c r="C909" s="141" t="n"/>
      <c r="D909" s="141" t="n"/>
      <c r="E909" s="141" t="n"/>
      <c r="F909" s="141" t="n"/>
      <c r="G909" s="143" t="n"/>
      <c r="H909" s="27" t="n"/>
    </row>
    <row r="910" ht="17.25" customHeight="1" s="322">
      <c r="A910" s="27" t="n"/>
      <c r="B910" s="506" t="n"/>
      <c r="C910" s="141" t="n"/>
      <c r="D910" s="141" t="n"/>
      <c r="E910" s="141" t="n"/>
      <c r="F910" s="141" t="n"/>
      <c r="G910" s="143" t="n"/>
      <c r="H910" s="27" t="n"/>
    </row>
    <row r="911" ht="17.25" customHeight="1" s="322">
      <c r="A911" s="27" t="n"/>
      <c r="B911" s="506" t="n"/>
      <c r="C911" s="141" t="n"/>
      <c r="D911" s="141" t="n"/>
      <c r="E911" s="141" t="n"/>
      <c r="F911" s="141" t="n"/>
      <c r="G911" s="143" t="n"/>
      <c r="H911" s="27" t="n"/>
    </row>
    <row r="912" ht="17.25" customHeight="1" s="322">
      <c r="A912" s="27" t="n"/>
      <c r="B912" s="506" t="n"/>
      <c r="C912" s="141" t="n"/>
      <c r="D912" s="141" t="n"/>
      <c r="E912" s="141" t="n"/>
      <c r="F912" s="141" t="n"/>
      <c r="G912" s="143" t="n"/>
      <c r="H912" s="27" t="n"/>
    </row>
    <row r="913" ht="17.25" customHeight="1" s="322">
      <c r="A913" s="27" t="n"/>
      <c r="B913" s="506" t="n"/>
      <c r="C913" s="141" t="n"/>
      <c r="D913" s="141" t="n"/>
      <c r="E913" s="141" t="n"/>
      <c r="F913" s="141" t="n"/>
      <c r="G913" s="143" t="n"/>
      <c r="H913" s="27" t="n"/>
    </row>
    <row r="914" ht="17.25" customHeight="1" s="322">
      <c r="A914" s="27" t="n"/>
      <c r="B914" s="506" t="n"/>
      <c r="C914" s="141" t="n"/>
      <c r="D914" s="141" t="n"/>
      <c r="E914" s="141" t="n"/>
      <c r="F914" s="141" t="n"/>
      <c r="G914" s="143" t="n"/>
      <c r="H914" s="27" t="n"/>
    </row>
    <row r="915" ht="17.25" customHeight="1" s="322">
      <c r="A915" s="27" t="n"/>
      <c r="B915" s="506" t="n"/>
      <c r="C915" s="141" t="n"/>
      <c r="D915" s="141" t="n"/>
      <c r="E915" s="141" t="n"/>
      <c r="F915" s="141" t="n"/>
      <c r="G915" s="143" t="n"/>
      <c r="H915" s="27" t="n"/>
    </row>
    <row r="916" ht="17.25" customHeight="1" s="322">
      <c r="A916" s="27" t="n"/>
      <c r="B916" s="506" t="n"/>
      <c r="C916" s="141" t="n"/>
      <c r="D916" s="141" t="n"/>
      <c r="E916" s="141" t="n"/>
      <c r="F916" s="141" t="n"/>
      <c r="G916" s="143" t="n"/>
      <c r="H916" s="27" t="n"/>
    </row>
    <row r="917" ht="17.25" customHeight="1" s="322">
      <c r="A917" s="27" t="n"/>
      <c r="B917" s="506" t="n"/>
      <c r="C917" s="141" t="n"/>
      <c r="D917" s="141" t="n"/>
      <c r="E917" s="141" t="n"/>
      <c r="F917" s="141" t="n"/>
      <c r="G917" s="143" t="n"/>
      <c r="H917" s="27" t="n"/>
    </row>
    <row r="918" ht="17.25" customHeight="1" s="322">
      <c r="A918" s="27" t="n"/>
      <c r="B918" s="506" t="n"/>
      <c r="C918" s="141" t="n"/>
      <c r="D918" s="141" t="n"/>
      <c r="E918" s="141" t="n"/>
      <c r="F918" s="141" t="n"/>
      <c r="G918" s="143" t="n"/>
      <c r="H918" s="27" t="n"/>
    </row>
    <row r="919" ht="17.25" customHeight="1" s="322">
      <c r="A919" s="27" t="n"/>
      <c r="B919" s="506" t="n"/>
      <c r="C919" s="141" t="n"/>
      <c r="D919" s="141" t="n"/>
      <c r="E919" s="141" t="n"/>
      <c r="F919" s="141" t="n"/>
      <c r="G919" s="143" t="n"/>
      <c r="H919" s="27" t="n"/>
    </row>
    <row r="920" ht="17.25" customHeight="1" s="322">
      <c r="A920" s="27" t="n"/>
      <c r="B920" s="506" t="n"/>
      <c r="C920" s="141" t="n"/>
      <c r="D920" s="141" t="n"/>
      <c r="E920" s="141" t="n"/>
      <c r="F920" s="141" t="n"/>
      <c r="G920" s="143" t="n"/>
      <c r="H920" s="27" t="n"/>
    </row>
    <row r="921" ht="17.25" customHeight="1" s="322">
      <c r="A921" s="27" t="n"/>
      <c r="B921" s="506" t="n"/>
      <c r="C921" s="141" t="n"/>
      <c r="D921" s="141" t="n"/>
      <c r="E921" s="141" t="n"/>
      <c r="F921" s="141" t="n"/>
      <c r="G921" s="143" t="n"/>
      <c r="H921" s="27" t="n"/>
    </row>
    <row r="922" ht="17.25" customHeight="1" s="322">
      <c r="A922" s="27" t="n"/>
      <c r="B922" s="506" t="n"/>
      <c r="C922" s="141" t="n"/>
      <c r="D922" s="141" t="n"/>
      <c r="E922" s="141" t="n"/>
      <c r="F922" s="141" t="n"/>
      <c r="G922" s="143" t="n"/>
      <c r="H922" s="27" t="n"/>
    </row>
    <row r="923" ht="17.25" customHeight="1" s="322">
      <c r="A923" s="27" t="n"/>
      <c r="B923" s="506" t="n"/>
      <c r="C923" s="141" t="n"/>
      <c r="D923" s="141" t="n"/>
      <c r="E923" s="141" t="n"/>
      <c r="F923" s="141" t="n"/>
      <c r="G923" s="143" t="n"/>
      <c r="H923" s="27" t="n"/>
    </row>
    <row r="924" ht="17.25" customHeight="1" s="322">
      <c r="A924" s="27" t="n"/>
      <c r="B924" s="506" t="n"/>
      <c r="C924" s="141" t="n"/>
      <c r="D924" s="141" t="n"/>
      <c r="E924" s="141" t="n"/>
      <c r="F924" s="141" t="n"/>
      <c r="G924" s="143" t="n"/>
      <c r="H924" s="27" t="n"/>
    </row>
    <row r="925" ht="17.25" customHeight="1" s="322">
      <c r="A925" s="27" t="n"/>
      <c r="B925" s="506" t="n"/>
      <c r="C925" s="141" t="n"/>
      <c r="D925" s="141" t="n"/>
      <c r="E925" s="141" t="n"/>
      <c r="F925" s="141" t="n"/>
      <c r="G925" s="143" t="n"/>
      <c r="H925" s="27" t="n"/>
    </row>
    <row r="926" ht="17.25" customHeight="1" s="322">
      <c r="A926" s="27" t="n"/>
      <c r="B926" s="506" t="n"/>
      <c r="C926" s="141" t="n"/>
      <c r="D926" s="141" t="n"/>
      <c r="E926" s="141" t="n"/>
      <c r="F926" s="141" t="n"/>
      <c r="G926" s="143" t="n"/>
      <c r="H926" s="27" t="n"/>
    </row>
    <row r="927" ht="17.25" customHeight="1" s="322">
      <c r="A927" s="27" t="n"/>
      <c r="B927" s="506" t="n"/>
      <c r="C927" s="141" t="n"/>
      <c r="D927" s="141" t="n"/>
      <c r="E927" s="141" t="n"/>
      <c r="F927" s="141" t="n"/>
      <c r="G927" s="143" t="n"/>
      <c r="H927" s="27" t="n"/>
    </row>
    <row r="928" ht="17.25" customHeight="1" s="322">
      <c r="A928" s="27" t="n"/>
      <c r="B928" s="506" t="n"/>
      <c r="C928" s="141" t="n"/>
      <c r="D928" s="141" t="n"/>
      <c r="E928" s="141" t="n"/>
      <c r="F928" s="141" t="n"/>
      <c r="G928" s="143" t="n"/>
      <c r="H928" s="27" t="n"/>
    </row>
    <row r="929" ht="17.25" customHeight="1" s="322">
      <c r="A929" s="27" t="n"/>
      <c r="B929" s="506" t="n"/>
      <c r="C929" s="141" t="n"/>
      <c r="D929" s="141" t="n"/>
      <c r="E929" s="141" t="n"/>
      <c r="F929" s="141" t="n"/>
      <c r="G929" s="143" t="n"/>
      <c r="H929" s="27" t="n"/>
    </row>
    <row r="930" ht="17.25" customHeight="1" s="322">
      <c r="A930" s="27" t="n"/>
      <c r="B930" s="506" t="n"/>
      <c r="C930" s="141" t="n"/>
      <c r="D930" s="141" t="n"/>
      <c r="E930" s="141" t="n"/>
      <c r="F930" s="141" t="n"/>
      <c r="G930" s="143" t="n"/>
      <c r="H930" s="27" t="n"/>
    </row>
    <row r="931" ht="17.25" customHeight="1" s="322">
      <c r="A931" s="27" t="n"/>
      <c r="B931" s="506" t="n"/>
      <c r="C931" s="141" t="n"/>
      <c r="D931" s="141" t="n"/>
      <c r="E931" s="141" t="n"/>
      <c r="F931" s="141" t="n"/>
      <c r="G931" s="143" t="n"/>
      <c r="H931" s="27" t="n"/>
    </row>
    <row r="932" ht="17.25" customHeight="1" s="322">
      <c r="A932" s="27" t="n"/>
      <c r="B932" s="506" t="n"/>
      <c r="C932" s="141" t="n"/>
      <c r="D932" s="141" t="n"/>
      <c r="E932" s="141" t="n"/>
      <c r="F932" s="141" t="n"/>
      <c r="G932" s="143" t="n"/>
      <c r="H932" s="27" t="n"/>
    </row>
    <row r="933" ht="17.25" customHeight="1" s="322">
      <c r="A933" s="27" t="n"/>
      <c r="B933" s="506" t="n"/>
      <c r="C933" s="141" t="n"/>
      <c r="D933" s="141" t="n"/>
      <c r="E933" s="141" t="n"/>
      <c r="F933" s="141" t="n"/>
      <c r="G933" s="143" t="n"/>
      <c r="H933" s="27" t="n"/>
    </row>
    <row r="934" ht="17.25" customHeight="1" s="322">
      <c r="A934" s="27" t="n"/>
      <c r="B934" s="506" t="n"/>
      <c r="C934" s="141" t="n"/>
      <c r="D934" s="141" t="n"/>
      <c r="E934" s="141" t="n"/>
      <c r="F934" s="141" t="n"/>
      <c r="G934" s="143" t="n"/>
      <c r="H934" s="27" t="n"/>
    </row>
    <row r="935" ht="17.25" customHeight="1" s="322">
      <c r="A935" s="27" t="n"/>
      <c r="B935" s="506" t="n"/>
      <c r="C935" s="141" t="n"/>
      <c r="D935" s="141" t="n"/>
      <c r="E935" s="141" t="n"/>
      <c r="F935" s="141" t="n"/>
      <c r="G935" s="143" t="n"/>
      <c r="H935" s="27" t="n"/>
    </row>
    <row r="936" ht="17.25" customHeight="1" s="322">
      <c r="A936" s="27" t="n"/>
      <c r="B936" s="506" t="n"/>
      <c r="C936" s="141" t="n"/>
      <c r="D936" s="141" t="n"/>
      <c r="E936" s="141" t="n"/>
      <c r="F936" s="141" t="n"/>
      <c r="G936" s="143" t="n"/>
      <c r="H936" s="27" t="n"/>
    </row>
    <row r="937" ht="17.25" customHeight="1" s="322">
      <c r="A937" s="27" t="n"/>
      <c r="B937" s="506" t="n"/>
      <c r="C937" s="141" t="n"/>
      <c r="D937" s="141" t="n"/>
      <c r="E937" s="141" t="n"/>
      <c r="F937" s="141" t="n"/>
      <c r="G937" s="143" t="n"/>
      <c r="H937" s="27" t="n"/>
    </row>
    <row r="938" ht="17.25" customHeight="1" s="322">
      <c r="A938" s="27" t="n"/>
      <c r="B938" s="506" t="n"/>
      <c r="C938" s="141" t="n"/>
      <c r="D938" s="141" t="n"/>
      <c r="E938" s="141" t="n"/>
      <c r="F938" s="141" t="n"/>
      <c r="G938" s="143" t="n"/>
      <c r="H938" s="27" t="n"/>
    </row>
    <row r="939" ht="17.25" customHeight="1" s="322">
      <c r="A939" s="27" t="n"/>
      <c r="B939" s="506" t="n"/>
      <c r="C939" s="141" t="n"/>
      <c r="D939" s="141" t="n"/>
      <c r="E939" s="141" t="n"/>
      <c r="F939" s="141" t="n"/>
      <c r="G939" s="143" t="n"/>
      <c r="H939" s="27" t="n"/>
    </row>
    <row r="940" ht="17.25" customHeight="1" s="322">
      <c r="A940" s="27" t="n"/>
      <c r="B940" s="506" t="n"/>
      <c r="C940" s="141" t="n"/>
      <c r="D940" s="141" t="n"/>
      <c r="E940" s="141" t="n"/>
      <c r="F940" s="141" t="n"/>
      <c r="G940" s="143" t="n"/>
      <c r="H940" s="27" t="n"/>
    </row>
    <row r="941" ht="17.25" customHeight="1" s="322">
      <c r="A941" s="27" t="n"/>
      <c r="B941" s="506" t="n"/>
      <c r="C941" s="141" t="n"/>
      <c r="D941" s="141" t="n"/>
      <c r="E941" s="141" t="n"/>
      <c r="F941" s="141" t="n"/>
      <c r="G941" s="143" t="n"/>
      <c r="H941" s="27" t="n"/>
    </row>
    <row r="942" ht="17.25" customHeight="1" s="322">
      <c r="A942" s="27" t="n"/>
      <c r="B942" s="506" t="n"/>
      <c r="C942" s="141" t="n"/>
      <c r="D942" s="141" t="n"/>
      <c r="E942" s="141" t="n"/>
      <c r="F942" s="141" t="n"/>
      <c r="G942" s="143" t="n"/>
      <c r="H942" s="27" t="n"/>
    </row>
    <row r="943" ht="17.25" customHeight="1" s="322">
      <c r="A943" s="27" t="n"/>
      <c r="B943" s="506" t="n"/>
      <c r="C943" s="141" t="n"/>
      <c r="D943" s="141" t="n"/>
      <c r="E943" s="141" t="n"/>
      <c r="F943" s="141" t="n"/>
      <c r="G943" s="143" t="n"/>
      <c r="H943" s="27" t="n"/>
    </row>
    <row r="944" ht="17.25" customHeight="1" s="322">
      <c r="A944" s="27" t="n"/>
      <c r="B944" s="506" t="n"/>
      <c r="C944" s="141" t="n"/>
      <c r="D944" s="141" t="n"/>
      <c r="E944" s="141" t="n"/>
      <c r="F944" s="141" t="n"/>
      <c r="G944" s="143" t="n"/>
      <c r="H944" s="27" t="n"/>
    </row>
    <row r="945" ht="17.25" customHeight="1" s="322">
      <c r="A945" s="27" t="n"/>
      <c r="B945" s="506" t="n"/>
      <c r="C945" s="141" t="n"/>
      <c r="D945" s="141" t="n"/>
      <c r="E945" s="141" t="n"/>
      <c r="F945" s="141" t="n"/>
      <c r="G945" s="143" t="n"/>
      <c r="H945" s="27" t="n"/>
    </row>
    <row r="946" ht="17.25" customHeight="1" s="322">
      <c r="A946" s="27" t="n"/>
      <c r="B946" s="506" t="n"/>
      <c r="C946" s="141" t="n"/>
      <c r="D946" s="141" t="n"/>
      <c r="E946" s="141" t="n"/>
      <c r="F946" s="141" t="n"/>
      <c r="G946" s="143" t="n"/>
      <c r="H946" s="27" t="n"/>
    </row>
    <row r="947" ht="17.25" customHeight="1" s="322">
      <c r="A947" s="27" t="n"/>
      <c r="B947" s="506" t="n"/>
      <c r="C947" s="141" t="n"/>
      <c r="D947" s="141" t="n"/>
      <c r="E947" s="141" t="n"/>
      <c r="F947" s="141" t="n"/>
      <c r="G947" s="143" t="n"/>
      <c r="H947" s="27" t="n"/>
    </row>
    <row r="948" ht="17.25" customHeight="1" s="322">
      <c r="A948" s="27" t="n"/>
      <c r="B948" s="506" t="n"/>
      <c r="C948" s="141" t="n"/>
      <c r="D948" s="141" t="n"/>
      <c r="E948" s="141" t="n"/>
      <c r="F948" s="141" t="n"/>
      <c r="G948" s="143" t="n"/>
      <c r="H948" s="27" t="n"/>
    </row>
    <row r="949" ht="17.25" customHeight="1" s="322">
      <c r="A949" s="27" t="n"/>
      <c r="B949" s="506" t="n"/>
      <c r="C949" s="141" t="n"/>
      <c r="D949" s="141" t="n"/>
      <c r="E949" s="141" t="n"/>
      <c r="F949" s="141" t="n"/>
      <c r="G949" s="143" t="n"/>
      <c r="H949" s="27" t="n"/>
    </row>
    <row r="950" ht="17.25" customHeight="1" s="322">
      <c r="A950" s="27" t="n"/>
      <c r="B950" s="506" t="n"/>
      <c r="C950" s="141" t="n"/>
      <c r="D950" s="141" t="n"/>
      <c r="E950" s="141" t="n"/>
      <c r="F950" s="141" t="n"/>
      <c r="G950" s="143" t="n"/>
      <c r="H950" s="27" t="n"/>
    </row>
    <row r="951" ht="17.25" customHeight="1" s="322">
      <c r="A951" s="27" t="n"/>
      <c r="B951" s="506" t="n"/>
      <c r="C951" s="141" t="n"/>
      <c r="D951" s="141" t="n"/>
      <c r="E951" s="141" t="n"/>
      <c r="F951" s="141" t="n"/>
      <c r="G951" s="143" t="n"/>
      <c r="H951" s="27" t="n"/>
    </row>
    <row r="952" ht="17.25" customHeight="1" s="322">
      <c r="A952" s="27" t="n"/>
      <c r="B952" s="506" t="n"/>
      <c r="C952" s="141" t="n"/>
      <c r="D952" s="141" t="n"/>
      <c r="E952" s="141" t="n"/>
      <c r="F952" s="141" t="n"/>
      <c r="G952" s="143" t="n"/>
      <c r="H952" s="27" t="n"/>
    </row>
    <row r="953" ht="17.25" customHeight="1" s="322">
      <c r="A953" s="27" t="n"/>
      <c r="B953" s="506" t="n"/>
      <c r="C953" s="141" t="n"/>
      <c r="D953" s="141" t="n"/>
      <c r="E953" s="141" t="n"/>
      <c r="F953" s="141" t="n"/>
      <c r="G953" s="143" t="n"/>
      <c r="H953" s="27" t="n"/>
    </row>
    <row r="954" ht="17.25" customHeight="1" s="322">
      <c r="A954" s="27" t="n"/>
      <c r="B954" s="506" t="n"/>
      <c r="C954" s="141" t="n"/>
      <c r="D954" s="141" t="n"/>
      <c r="E954" s="141" t="n"/>
      <c r="F954" s="141" t="n"/>
      <c r="G954" s="143" t="n"/>
      <c r="H954" s="27" t="n"/>
    </row>
    <row r="955" ht="17.25" customHeight="1" s="322">
      <c r="A955" s="27" t="n"/>
      <c r="B955" s="506" t="n"/>
      <c r="C955" s="141" t="n"/>
      <c r="D955" s="141" t="n"/>
      <c r="E955" s="141" t="n"/>
      <c r="F955" s="141" t="n"/>
      <c r="G955" s="143" t="n"/>
      <c r="H955" s="27" t="n"/>
    </row>
    <row r="956" ht="17.25" customHeight="1" s="322">
      <c r="A956" s="27" t="n"/>
      <c r="B956" s="506" t="n"/>
      <c r="C956" s="141" t="n"/>
      <c r="D956" s="141" t="n"/>
      <c r="E956" s="141" t="n"/>
      <c r="F956" s="141" t="n"/>
      <c r="G956" s="143" t="n"/>
      <c r="H956" s="27" t="n"/>
    </row>
    <row r="957" ht="17.25" customHeight="1" s="322">
      <c r="A957" s="27" t="n"/>
      <c r="B957" s="506" t="n"/>
      <c r="C957" s="141" t="n"/>
      <c r="D957" s="141" t="n"/>
      <c r="E957" s="141" t="n"/>
      <c r="F957" s="141" t="n"/>
      <c r="G957" s="143" t="n"/>
      <c r="H957" s="27" t="n"/>
    </row>
    <row r="958" ht="17.25" customHeight="1" s="322">
      <c r="A958" s="27" t="n"/>
      <c r="B958" s="506" t="n"/>
      <c r="C958" s="141" t="n"/>
      <c r="D958" s="141" t="n"/>
      <c r="E958" s="141" t="n"/>
      <c r="F958" s="141" t="n"/>
      <c r="G958" s="143" t="n"/>
      <c r="H958" s="27" t="n"/>
    </row>
    <row r="959" ht="17.25" customHeight="1" s="322">
      <c r="A959" s="27" t="n"/>
      <c r="B959" s="506" t="n"/>
      <c r="C959" s="141" t="n"/>
      <c r="D959" s="141" t="n"/>
      <c r="E959" s="141" t="n"/>
      <c r="F959" s="141" t="n"/>
      <c r="G959" s="143" t="n"/>
      <c r="H959" s="27" t="n"/>
    </row>
    <row r="960" ht="17.25" customHeight="1" s="322">
      <c r="A960" s="27" t="n"/>
      <c r="B960" s="506" t="n"/>
      <c r="C960" s="141" t="n"/>
      <c r="D960" s="141" t="n"/>
      <c r="E960" s="141" t="n"/>
      <c r="F960" s="141" t="n"/>
      <c r="G960" s="143" t="n"/>
      <c r="H960" s="27" t="n"/>
    </row>
    <row r="961" ht="17.25" customHeight="1" s="322">
      <c r="A961" s="27" t="n"/>
      <c r="B961" s="506" t="n"/>
      <c r="C961" s="141" t="n"/>
      <c r="D961" s="141" t="n"/>
      <c r="E961" s="141" t="n"/>
      <c r="F961" s="141" t="n"/>
      <c r="G961" s="143" t="n"/>
      <c r="H961" s="27" t="n"/>
    </row>
    <row r="962" ht="17.25" customHeight="1" s="322">
      <c r="A962" s="27" t="n"/>
      <c r="B962" s="506" t="n"/>
      <c r="C962" s="141" t="n"/>
      <c r="D962" s="141" t="n"/>
      <c r="E962" s="141" t="n"/>
      <c r="F962" s="141" t="n"/>
      <c r="G962" s="143" t="n"/>
      <c r="H962" s="27" t="n"/>
    </row>
    <row r="963" ht="17.25" customHeight="1" s="322">
      <c r="A963" s="27" t="n"/>
      <c r="B963" s="506" t="n"/>
      <c r="C963" s="141" t="n"/>
      <c r="D963" s="141" t="n"/>
      <c r="E963" s="141" t="n"/>
      <c r="F963" s="141" t="n"/>
      <c r="G963" s="143" t="n"/>
      <c r="H963" s="27" t="n"/>
    </row>
    <row r="964" ht="17.25" customHeight="1" s="322">
      <c r="A964" s="27" t="n"/>
      <c r="B964" s="506" t="n"/>
      <c r="C964" s="141" t="n"/>
      <c r="D964" s="141" t="n"/>
      <c r="E964" s="141" t="n"/>
      <c r="F964" s="141" t="n"/>
      <c r="G964" s="143" t="n"/>
      <c r="H964" s="27" t="n"/>
    </row>
    <row r="965" ht="17.25" customHeight="1" s="322">
      <c r="A965" s="27" t="n"/>
      <c r="B965" s="506" t="n"/>
      <c r="C965" s="141" t="n"/>
      <c r="D965" s="141" t="n"/>
      <c r="E965" s="141" t="n"/>
      <c r="F965" s="141" t="n"/>
      <c r="G965" s="143" t="n"/>
      <c r="H965" s="27" t="n"/>
    </row>
    <row r="966" ht="17.25" customHeight="1" s="322">
      <c r="A966" s="27" t="n"/>
      <c r="B966" s="506" t="n"/>
      <c r="C966" s="141" t="n"/>
      <c r="D966" s="141" t="n"/>
      <c r="E966" s="141" t="n"/>
      <c r="F966" s="141" t="n"/>
      <c r="G966" s="143" t="n"/>
      <c r="H966" s="27" t="n"/>
    </row>
    <row r="967" ht="17.25" customHeight="1" s="322">
      <c r="A967" s="27" t="n"/>
      <c r="B967" s="506" t="n"/>
      <c r="C967" s="141" t="n"/>
      <c r="D967" s="141" t="n"/>
      <c r="E967" s="141" t="n"/>
      <c r="F967" s="141" t="n"/>
      <c r="G967" s="143" t="n"/>
      <c r="H967" s="27" t="n"/>
    </row>
    <row r="968" ht="17.25" customHeight="1" s="322">
      <c r="A968" s="27" t="n"/>
      <c r="B968" s="506" t="n"/>
      <c r="C968" s="141" t="n"/>
      <c r="D968" s="141" t="n"/>
      <c r="E968" s="141" t="n"/>
      <c r="F968" s="141" t="n"/>
      <c r="G968" s="143" t="n"/>
      <c r="H968" s="27" t="n"/>
    </row>
    <row r="969" ht="17.25" customHeight="1" s="322">
      <c r="A969" s="27" t="n"/>
      <c r="B969" s="506" t="n"/>
      <c r="C969" s="141" t="n"/>
      <c r="D969" s="141" t="n"/>
      <c r="E969" s="141" t="n"/>
      <c r="F969" s="141" t="n"/>
      <c r="G969" s="143" t="n"/>
      <c r="H969" s="27" t="n"/>
    </row>
    <row r="970" ht="17.25" customHeight="1" s="322">
      <c r="A970" s="27" t="n"/>
      <c r="B970" s="506" t="n"/>
      <c r="C970" s="141" t="n"/>
      <c r="D970" s="141" t="n"/>
      <c r="E970" s="141" t="n"/>
      <c r="F970" s="141" t="n"/>
      <c r="G970" s="143" t="n"/>
      <c r="H970" s="27" t="n"/>
    </row>
    <row r="971" ht="17.25" customHeight="1" s="322">
      <c r="A971" s="27" t="n"/>
      <c r="B971" s="506" t="n"/>
      <c r="C971" s="141" t="n"/>
      <c r="D971" s="141" t="n"/>
      <c r="E971" s="141" t="n"/>
      <c r="F971" s="141" t="n"/>
      <c r="G971" s="143" t="n"/>
      <c r="H971" s="27" t="n"/>
    </row>
    <row r="972" ht="17.25" customHeight="1" s="322">
      <c r="A972" s="27" t="n"/>
      <c r="B972" s="506" t="n"/>
      <c r="C972" s="141" t="n"/>
      <c r="D972" s="141" t="n"/>
      <c r="E972" s="141" t="n"/>
      <c r="F972" s="141" t="n"/>
      <c r="G972" s="143" t="n"/>
      <c r="H972" s="27" t="n"/>
    </row>
    <row r="973" ht="17.25" customHeight="1" s="322">
      <c r="A973" s="27" t="n"/>
      <c r="B973" s="506" t="n"/>
      <c r="C973" s="141" t="n"/>
      <c r="D973" s="141" t="n"/>
      <c r="E973" s="141" t="n"/>
      <c r="F973" s="141" t="n"/>
      <c r="G973" s="143" t="n"/>
      <c r="H973" s="27" t="n"/>
    </row>
    <row r="974" ht="17.25" customHeight="1" s="322">
      <c r="A974" s="27" t="n"/>
      <c r="B974" s="506" t="n"/>
      <c r="C974" s="141" t="n"/>
      <c r="D974" s="141" t="n"/>
      <c r="E974" s="141" t="n"/>
      <c r="F974" s="141" t="n"/>
      <c r="G974" s="143" t="n"/>
      <c r="H974" s="27" t="n"/>
    </row>
    <row r="975" ht="17.25" customHeight="1" s="322">
      <c r="A975" s="27" t="n"/>
      <c r="B975" s="506" t="n"/>
      <c r="C975" s="141" t="n"/>
      <c r="D975" s="141" t="n"/>
      <c r="E975" s="141" t="n"/>
      <c r="F975" s="141" t="n"/>
      <c r="G975" s="143" t="n"/>
      <c r="H975" s="27" t="n"/>
    </row>
    <row r="976" ht="17.25" customHeight="1" s="322">
      <c r="A976" s="27" t="n"/>
      <c r="B976" s="506" t="n"/>
      <c r="C976" s="141" t="n"/>
      <c r="D976" s="141" t="n"/>
      <c r="E976" s="141" t="n"/>
      <c r="F976" s="141" t="n"/>
      <c r="G976" s="143" t="n"/>
      <c r="H976" s="27" t="n"/>
    </row>
    <row r="977" ht="17.25" customHeight="1" s="322">
      <c r="A977" s="27" t="n"/>
      <c r="B977" s="506" t="n"/>
      <c r="C977" s="141" t="n"/>
      <c r="D977" s="141" t="n"/>
      <c r="E977" s="141" t="n"/>
      <c r="F977" s="141" t="n"/>
      <c r="G977" s="143" t="n"/>
      <c r="H977" s="27" t="n"/>
    </row>
    <row r="978" ht="17.25" customHeight="1" s="322">
      <c r="A978" s="27" t="n"/>
      <c r="B978" s="506" t="n"/>
      <c r="C978" s="141" t="n"/>
      <c r="D978" s="141" t="n"/>
      <c r="E978" s="141" t="n"/>
      <c r="F978" s="141" t="n"/>
      <c r="G978" s="143" t="n"/>
      <c r="H978" s="27" t="n"/>
    </row>
    <row r="979" ht="17.25" customHeight="1" s="322">
      <c r="A979" s="27" t="n"/>
      <c r="B979" s="506" t="n"/>
      <c r="C979" s="141" t="n"/>
      <c r="D979" s="141" t="n"/>
      <c r="E979" s="141" t="n"/>
      <c r="F979" s="141" t="n"/>
      <c r="G979" s="143" t="n"/>
      <c r="H979" s="27" t="n"/>
    </row>
    <row r="980" ht="17.25" customHeight="1" s="322">
      <c r="A980" s="27" t="n"/>
      <c r="B980" s="506" t="n"/>
      <c r="C980" s="141" t="n"/>
      <c r="D980" s="141" t="n"/>
      <c r="E980" s="141" t="n"/>
      <c r="F980" s="141" t="n"/>
      <c r="G980" s="143" t="n"/>
      <c r="H980" s="27" t="n"/>
    </row>
    <row r="981" ht="17.25" customHeight="1" s="322">
      <c r="A981" s="27" t="n"/>
      <c r="B981" s="506" t="n"/>
      <c r="C981" s="141" t="n"/>
      <c r="D981" s="141" t="n"/>
      <c r="E981" s="141" t="n"/>
      <c r="F981" s="141" t="n"/>
      <c r="G981" s="143" t="n"/>
      <c r="H981" s="27" t="n"/>
    </row>
    <row r="982" ht="17.25" customHeight="1" s="322">
      <c r="A982" s="27" t="n"/>
      <c r="B982" s="506" t="n"/>
      <c r="C982" s="141" t="n"/>
      <c r="D982" s="141" t="n"/>
      <c r="E982" s="141" t="n"/>
      <c r="F982" s="141" t="n"/>
      <c r="G982" s="143" t="n"/>
      <c r="H982" s="27" t="n"/>
    </row>
    <row r="983" ht="17.25" customHeight="1" s="322">
      <c r="A983" s="27" t="n"/>
      <c r="B983" s="506" t="n"/>
      <c r="C983" s="141" t="n"/>
      <c r="D983" s="141" t="n"/>
      <c r="E983" s="141" t="n"/>
      <c r="F983" s="141" t="n"/>
      <c r="G983" s="143" t="n"/>
      <c r="H983" s="27" t="n"/>
    </row>
    <row r="984" ht="17.25" customHeight="1" s="322">
      <c r="A984" s="27" t="n"/>
      <c r="B984" s="506" t="n"/>
      <c r="C984" s="141" t="n"/>
      <c r="D984" s="141" t="n"/>
      <c r="E984" s="141" t="n"/>
      <c r="F984" s="141" t="n"/>
      <c r="G984" s="143" t="n"/>
      <c r="H984" s="27" t="n"/>
    </row>
    <row r="985" ht="17.25" customHeight="1" s="322">
      <c r="A985" s="27" t="n"/>
      <c r="B985" s="506" t="n"/>
      <c r="C985" s="141" t="n"/>
      <c r="D985" s="141" t="n"/>
      <c r="E985" s="141" t="n"/>
      <c r="F985" s="141" t="n"/>
      <c r="G985" s="143" t="n"/>
      <c r="H985" s="27" t="n"/>
    </row>
    <row r="986" ht="17.25" customHeight="1" s="322">
      <c r="A986" s="27" t="n"/>
      <c r="B986" s="506" t="n"/>
      <c r="C986" s="141" t="n"/>
      <c r="D986" s="141" t="n"/>
      <c r="E986" s="141" t="n"/>
      <c r="F986" s="141" t="n"/>
      <c r="G986" s="143" t="n"/>
      <c r="H986" s="27" t="n"/>
    </row>
    <row r="987" ht="17.25" customHeight="1" s="322">
      <c r="A987" s="27" t="n"/>
      <c r="B987" s="506" t="n"/>
      <c r="C987" s="141" t="n"/>
      <c r="D987" s="141" t="n"/>
      <c r="E987" s="141" t="n"/>
      <c r="F987" s="141" t="n"/>
      <c r="G987" s="143" t="n"/>
      <c r="H987" s="27" t="n"/>
    </row>
    <row r="988" ht="17.25" customHeight="1" s="322">
      <c r="A988" s="27" t="n"/>
      <c r="B988" s="506" t="n"/>
      <c r="C988" s="141" t="n"/>
      <c r="D988" s="141" t="n"/>
      <c r="E988" s="141" t="n"/>
      <c r="F988" s="141" t="n"/>
      <c r="G988" s="143" t="n"/>
      <c r="H988" s="27" t="n"/>
    </row>
    <row r="989" ht="17.25" customHeight="1" s="322">
      <c r="A989" s="27" t="n"/>
      <c r="B989" s="506" t="n"/>
      <c r="C989" s="141" t="n"/>
      <c r="D989" s="141" t="n"/>
      <c r="E989" s="141" t="n"/>
      <c r="F989" s="141" t="n"/>
      <c r="G989" s="143" t="n"/>
      <c r="H989" s="27" t="n"/>
    </row>
    <row r="990" ht="17.25" customHeight="1" s="322">
      <c r="A990" s="27" t="n"/>
      <c r="B990" s="506" t="n"/>
      <c r="C990" s="141" t="n"/>
      <c r="D990" s="141" t="n"/>
      <c r="E990" s="141" t="n"/>
      <c r="F990" s="141" t="n"/>
      <c r="G990" s="143" t="n"/>
      <c r="H990" s="27" t="n"/>
    </row>
    <row r="991" ht="17.25" customHeight="1" s="322">
      <c r="A991" s="27" t="n"/>
      <c r="B991" s="506" t="n"/>
      <c r="C991" s="141" t="n"/>
      <c r="D991" s="141" t="n"/>
      <c r="E991" s="141" t="n"/>
      <c r="F991" s="141" t="n"/>
      <c r="G991" s="143" t="n"/>
      <c r="H991" s="27" t="n"/>
    </row>
    <row r="992" ht="17.25" customHeight="1" s="322">
      <c r="A992" s="27" t="n"/>
      <c r="B992" s="506" t="n"/>
      <c r="C992" s="141" t="n"/>
      <c r="D992" s="141" t="n"/>
      <c r="E992" s="141" t="n"/>
      <c r="F992" s="141" t="n"/>
      <c r="G992" s="143" t="n"/>
      <c r="H992" s="27" t="n"/>
    </row>
    <row r="993" ht="17.25" customHeight="1" s="322">
      <c r="A993" s="27" t="n"/>
      <c r="B993" s="506" t="n"/>
      <c r="C993" s="141" t="n"/>
      <c r="D993" s="141" t="n"/>
      <c r="E993" s="141" t="n"/>
      <c r="F993" s="141" t="n"/>
      <c r="G993" s="143" t="n"/>
      <c r="H993" s="27" t="n"/>
    </row>
    <row r="994" ht="17.25" customHeight="1" s="322">
      <c r="A994" s="27" t="n"/>
      <c r="B994" s="506" t="n"/>
      <c r="C994" s="141" t="n"/>
      <c r="D994" s="141" t="n"/>
      <c r="E994" s="141" t="n"/>
      <c r="F994" s="141" t="n"/>
      <c r="G994" s="143" t="n"/>
      <c r="H994" s="27" t="n"/>
    </row>
    <row r="995" ht="17.25" customHeight="1" s="322">
      <c r="A995" s="27" t="n"/>
      <c r="B995" s="506" t="n"/>
      <c r="C995" s="141" t="n"/>
      <c r="D995" s="141" t="n"/>
      <c r="E995" s="141" t="n"/>
      <c r="F995" s="141" t="n"/>
      <c r="G995" s="143" t="n"/>
      <c r="H995" s="27" t="n"/>
    </row>
    <row r="996" ht="17.25" customHeight="1" s="322">
      <c r="A996" s="27" t="n"/>
      <c r="B996" s="506" t="n"/>
      <c r="C996" s="141" t="n"/>
      <c r="D996" s="141" t="n"/>
      <c r="E996" s="141" t="n"/>
      <c r="F996" s="141" t="n"/>
      <c r="G996" s="143" t="n"/>
      <c r="H996" s="27" t="n"/>
    </row>
    <row r="997" ht="17.25" customHeight="1" s="322">
      <c r="A997" s="27" t="n"/>
      <c r="B997" s="506" t="n"/>
      <c r="C997" s="141" t="n"/>
      <c r="D997" s="141" t="n"/>
      <c r="E997" s="141" t="n"/>
      <c r="F997" s="141" t="n"/>
      <c r="G997" s="143" t="n"/>
      <c r="H997" s="27" t="n"/>
    </row>
    <row r="998" ht="17.25" customHeight="1" s="322">
      <c r="A998" s="27" t="n"/>
      <c r="B998" s="506" t="n"/>
      <c r="C998" s="141" t="n"/>
      <c r="D998" s="141" t="n"/>
      <c r="E998" s="141" t="n"/>
      <c r="F998" s="141" t="n"/>
      <c r="G998" s="143" t="n"/>
      <c r="H998" s="27" t="n"/>
    </row>
    <row r="999" ht="17.25" customHeight="1" s="322">
      <c r="A999" s="27" t="n"/>
      <c r="B999" s="506" t="n"/>
      <c r="C999" s="141" t="n"/>
      <c r="D999" s="141" t="n"/>
      <c r="E999" s="141" t="n"/>
      <c r="F999" s="141" t="n"/>
      <c r="G999" s="143" t="n"/>
      <c r="H999" s="27" t="n"/>
    </row>
    <row r="1000" ht="17.25" customHeight="1" s="322">
      <c r="A1000" s="27" t="n"/>
      <c r="B1000" s="506" t="n"/>
      <c r="C1000" s="141" t="n"/>
      <c r="D1000" s="141" t="n"/>
      <c r="E1000" s="141" t="n"/>
      <c r="F1000" s="141" t="n"/>
      <c r="G1000" s="143" t="n"/>
      <c r="H1000" s="27" t="n"/>
    </row>
  </sheetData>
  <mergeCells count="3">
    <mergeCell ref="B1:F2"/>
    <mergeCell ref="B7:G7"/>
    <mergeCell ref="B10:C10"/>
  </mergeCells>
  <conditionalFormatting sqref="D10:E10">
    <cfRule type="cellIs" priority="5" operator="lessThan" dxfId="5">
      <formula>0</formula>
    </cfRule>
    <cfRule type="cellIs" priority="6" operator="greaterThan" dxfId="4">
      <formula>0</formula>
    </cfRule>
  </conditionalFormatting>
  <conditionalFormatting sqref="F28:F1000">
    <cfRule type="expression" priority="1" dxfId="3">
      <formula>AND(F28=MAX(F$28:F$1000),F28&gt;0)</formula>
    </cfRule>
    <cfRule type="expression" priority="2" dxfId="2">
      <formula>AND(F28=MIN(F$28:F$1000),F28&gt;0)</formula>
    </cfRule>
  </conditionalFormatting>
  <conditionalFormatting sqref="F29:F1000">
    <cfRule type="expression" priority="3" dxfId="1">
      <formula>F29&gt;F27</formula>
    </cfRule>
    <cfRule type="expression" priority="4" dxfId="0">
      <formula>F29&lt;F27</formula>
    </cfRule>
  </conditionalFormatting>
  <conditionalFormatting sqref="G15">
    <cfRule type="colorScale" priority="7">
      <colorScale>
        <cfvo type="min"/>
        <cfvo type="max"/>
        <color rgb="FF57BB8A"/>
        <color rgb="FFFFFFFF"/>
      </colorScale>
    </cfRule>
  </conditionalFormatting>
  <dataValidations count="1">
    <dataValidation sqref="G15" showDropDown="0" showInputMessage="1" showErrorMessage="1" allowBlank="1" prompt="Click and enter a value from the list of items" type="list">
      <formula1>"1 Month,3 Months,6 Months,12 Months,36 Months"</formula1>
    </dataValidation>
  </dataValidations>
  <hyperlinks>
    <hyperlink xmlns:r="http://schemas.openxmlformats.org/officeDocument/2006/relationships" ref="B1" r:id="rId1"/>
    <hyperlink xmlns:r="http://schemas.openxmlformats.org/officeDocument/2006/relationships" ref="G2" r:id="rId2"/>
  </hyperlinks>
  <pageMargins left="0.7" right="0.7" top="0.75" bottom="0.75" header="0.3" footer="0.3"/>
  <drawing xmlns:r="http://schemas.openxmlformats.org/officeDocument/2006/relationships" r:id="rId3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H1000"/>
  <sheetViews>
    <sheetView showGridLines="0" workbookViewId="0">
      <selection activeCell="A1" sqref="A1"/>
    </sheetView>
  </sheetViews>
  <sheetFormatPr baseColWidth="8" defaultColWidth="12.5703125" defaultRowHeight="15.75" customHeight="1"/>
  <cols>
    <col width="5.42578125" customWidth="1" style="322" min="1" max="1"/>
    <col width="15.7109375" customWidth="1" style="322" min="2" max="2"/>
    <col width="5.42578125" customWidth="1" style="322" min="8" max="8"/>
  </cols>
  <sheetData>
    <row r="1" ht="22.5" customHeight="1" s="322">
      <c r="A1" s="69" t="n"/>
      <c r="B1" s="455" t="inlineStr">
        <is>
          <t>← 관심종목으로 돌아가기</t>
        </is>
      </c>
      <c r="G1" s="72" t="inlineStr">
        <is>
          <t>제공:</t>
        </is>
      </c>
      <c r="H1" s="69" t="n"/>
    </row>
    <row r="2" ht="22.5" customHeight="1" s="322">
      <c r="A2" s="69" t="n"/>
      <c r="G2" s="77" t="inlineStr">
        <is>
          <t>Google Finance</t>
        </is>
      </c>
      <c r="H2" s="69" t="n"/>
    </row>
    <row r="3" ht="11.25" customHeight="1" s="322">
      <c r="A3" s="1" t="n"/>
      <c r="B3" s="1" t="n"/>
      <c r="C3" s="1" t="n"/>
      <c r="D3" s="1" t="n"/>
      <c r="E3" s="1" t="n"/>
      <c r="F3" s="1" t="n"/>
      <c r="G3" s="1" t="n"/>
      <c r="H3" s="1" t="n"/>
    </row>
    <row r="4" ht="15.75" customHeight="1" s="322">
      <c r="A4" s="1" t="n"/>
      <c r="B4" s="80" t="inlineStr">
        <is>
          <t>bwx</t>
        </is>
      </c>
      <c r="C4" s="81" t="inlineStr">
        <is>
          <t>&lt;&lt; 종목코드 입력</t>
        </is>
      </c>
      <c r="D4" s="1" t="n"/>
      <c r="E4" s="1" t="n"/>
      <c r="F4" s="1" t="n"/>
      <c r="G4" s="1" t="n"/>
      <c r="H4" s="1" t="n"/>
    </row>
    <row r="5" ht="15.75" customHeight="1" s="322">
      <c r="A5" s="1" t="n"/>
      <c r="B5" s="82" t="n"/>
      <c r="C5" s="81" t="inlineStr">
        <is>
          <t>&lt;&lt; 필요한 경우 거래소 입력(예: NASDAQ, NYSE)</t>
        </is>
      </c>
      <c r="D5" s="85" t="n"/>
      <c r="E5" s="1" t="n"/>
      <c r="F5" s="1" t="n"/>
      <c r="G5" s="1" t="n"/>
      <c r="H5" s="1" t="n"/>
    </row>
    <row r="6" ht="11.25" customHeight="1" s="322">
      <c r="A6" s="27" t="n"/>
      <c r="B6" s="27" t="n"/>
      <c r="C6" s="27" t="n"/>
      <c r="D6" s="27" t="n"/>
      <c r="E6" s="27" t="n"/>
      <c r="F6" s="27" t="n"/>
      <c r="G6" s="27" t="n"/>
      <c r="H6" s="27" t="n"/>
    </row>
    <row r="7" ht="20.25" customHeight="1" s="322">
      <c r="A7" s="12" t="n"/>
      <c r="B7" s="501">
        <f>IFERROR(__xludf.DUMMYFUNCTION("GOOGLEFINANCE(B18,""name"")"),"State Street SPDR Bloomberg Intl TB ETF")</f>
        <v/>
      </c>
      <c r="H7" s="12" t="n"/>
    </row>
    <row r="8" ht="11.25" customHeight="1" s="322">
      <c r="A8" s="12" t="n"/>
      <c r="B8" s="12" t="n"/>
      <c r="C8" s="12" t="n"/>
      <c r="D8" s="12" t="n"/>
      <c r="E8" s="12" t="n"/>
      <c r="F8" s="12" t="n"/>
      <c r="G8" s="12" t="n"/>
      <c r="H8" s="12" t="n"/>
    </row>
    <row r="9" ht="12" customHeight="1" s="322">
      <c r="A9" s="1" t="n"/>
      <c r="B9" s="90" t="inlineStr">
        <is>
          <t>현재가</t>
        </is>
      </c>
      <c r="C9" s="1" t="n"/>
      <c r="D9" s="90" t="inlineStr">
        <is>
          <t>전일대비</t>
        </is>
      </c>
      <c r="E9" s="90" t="inlineStr">
        <is>
          <t>등락률(%)</t>
        </is>
      </c>
      <c r="F9" s="1" t="n"/>
      <c r="G9" s="1" t="n"/>
      <c r="H9" s="1" t="n"/>
    </row>
    <row r="10" ht="31.5" customHeight="1" s="322">
      <c r="A10" s="12" t="n"/>
      <c r="B10" s="502">
        <f>IFERROR(__xludf.DUMMYFUNCTION("GOOGLEFINANCE(B18,""price"")"),21.5)</f>
        <v/>
      </c>
      <c r="D10" s="503">
        <f>IFERROR(__xludf.DUMMYFUNCTION("IFERROR(GOOGLEFINANCE(B18,""change""),""-"")"),0.03)</f>
        <v/>
      </c>
      <c r="E10" s="504">
        <f>IFERROR(__xludf.DUMMYFUNCTION("IFERROR(GOOGLEFINANCE(B18,""changepct"")/100,""-"")"),0.0014)</f>
        <v/>
      </c>
      <c r="F10" s="12" t="n"/>
      <c r="G10" s="12" t="n"/>
      <c r="H10" s="12" t="n"/>
    </row>
    <row r="11" ht="11.25" customHeight="1" s="322">
      <c r="A11" s="12" t="n"/>
      <c r="B11" s="106" t="n"/>
      <c r="C11" s="106" t="n"/>
      <c r="D11" s="106" t="n"/>
      <c r="E11" s="106" t="n"/>
      <c r="F11" s="106" t="n"/>
      <c r="G11" s="106" t="n"/>
      <c r="H11" s="12" t="n"/>
    </row>
    <row r="12" ht="11.25" customHeight="1" s="322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 ht="12" customHeight="1" s="322">
      <c r="A13" s="1" t="n"/>
      <c r="B13" s="90" t="inlineStr">
        <is>
          <t>시가총액</t>
        </is>
      </c>
      <c r="C13" s="90" t="inlineStr">
        <is>
          <t>PER</t>
        </is>
      </c>
      <c r="D13" s="90" t="inlineStr">
        <is>
          <t>베타계수</t>
        </is>
      </c>
      <c r="E13" s="1" t="n"/>
      <c r="F13" s="1" t="n"/>
      <c r="G13" s="1" t="n"/>
      <c r="H13" s="1" t="n"/>
    </row>
    <row r="14">
      <c r="A14" s="113" t="n"/>
      <c r="B14" s="505">
        <f>IFERROR(__xludf.DUMMYFUNCTION("IFERROR(GOOGLEFINANCE(B18,""marketcap""),""-"")"),"-")</f>
        <v/>
      </c>
      <c r="C14" s="115">
        <f>IFERROR(__xludf.DUMMYFUNCTION("IFERROR(GOOGLEFINANCE(B18,""pe""),""-"")"),"-")</f>
        <v/>
      </c>
      <c r="D14" s="115">
        <f>IFERROR(__xludf.DUMMYFUNCTION("IFERROR(GOOGLEFINANCE(B18,""beta""),""-"")"),"-")</f>
        <v/>
      </c>
      <c r="E14" s="113" t="n"/>
      <c r="F14" s="113" t="n"/>
      <c r="G14" s="113" t="n"/>
      <c r="H14" s="113" t="n"/>
    </row>
    <row r="15" ht="15.75" customHeight="1" s="322">
      <c r="A15" s="12" t="n"/>
      <c r="B15" s="12" t="n"/>
      <c r="C15" s="12" t="n"/>
      <c r="D15" s="12" t="n"/>
      <c r="E15" s="12" t="n"/>
      <c r="F15" s="12" t="n"/>
      <c r="G15" s="123" t="inlineStr">
        <is>
          <t>12 Months</t>
        </is>
      </c>
      <c r="H15" s="12" t="n"/>
    </row>
    <row r="16" ht="15.75" customHeight="1" s="322">
      <c r="A16" s="12" t="n"/>
      <c r="B16" s="12" t="n"/>
      <c r="C16" s="12" t="n"/>
      <c r="D16" s="12" t="n"/>
      <c r="E16" s="12" t="n"/>
      <c r="F16" s="12" t="n"/>
      <c r="G16" s="12" t="n"/>
      <c r="H16" s="12" t="n"/>
    </row>
    <row r="17" ht="15.75" customHeight="1" s="322">
      <c r="A17" s="12" t="n"/>
      <c r="B17" s="12" t="n"/>
      <c r="C17" s="12" t="n"/>
      <c r="D17" s="12" t="n"/>
      <c r="E17" s="12" t="n"/>
      <c r="F17" s="12" t="n"/>
      <c r="G17" s="12" t="n"/>
      <c r="H17" s="12" t="n"/>
    </row>
    <row r="18" ht="15.75" customHeight="1" s="322">
      <c r="A18" s="12" t="n"/>
      <c r="B18" s="127">
        <f>IF(ISBLANK(B5),"",B5&amp;":")&amp;B4</f>
        <v/>
      </c>
      <c r="C18" s="12" t="n"/>
      <c r="D18" s="12" t="n"/>
      <c r="E18" s="12" t="n"/>
      <c r="F18" s="12" t="n"/>
      <c r="G18" s="12" t="n"/>
      <c r="H18" s="12" t="n"/>
    </row>
    <row r="19" ht="15.75" customHeight="1" s="322">
      <c r="A19" s="12" t="n"/>
      <c r="B19" s="12" t="n"/>
      <c r="C19" s="12" t="n"/>
      <c r="D19" s="12" t="n"/>
      <c r="E19" s="12" t="n"/>
      <c r="F19" s="12" t="n"/>
      <c r="G19" s="12" t="n"/>
      <c r="H19" s="12" t="n"/>
    </row>
    <row r="20" ht="15.75" customHeight="1" s="322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1" ht="15.75" customHeight="1" s="322">
      <c r="A21" s="12" t="n"/>
      <c r="B21" s="12" t="n"/>
      <c r="C21" s="12" t="n"/>
      <c r="D21" s="12" t="n"/>
      <c r="E21" s="12" t="n"/>
      <c r="F21" s="12" t="n"/>
      <c r="G21" s="12" t="n"/>
      <c r="H21" s="12" t="n"/>
    </row>
    <row r="22" ht="15.75" customHeight="1" s="322">
      <c r="A22" s="12" t="n"/>
      <c r="B22" s="12" t="n"/>
      <c r="C22" s="12" t="n"/>
      <c r="D22" s="12" t="n"/>
      <c r="E22" s="12" t="n"/>
      <c r="F22" s="12" t="n"/>
      <c r="G22" s="12" t="n"/>
      <c r="H22" s="12" t="n"/>
    </row>
    <row r="23" ht="15.75" customHeight="1" s="322">
      <c r="A23" s="12" t="n"/>
      <c r="B23" s="12" t="n"/>
      <c r="C23" s="12" t="n"/>
      <c r="D23" s="12" t="n"/>
      <c r="E23" s="12" t="n"/>
      <c r="F23" s="12" t="n"/>
      <c r="G23" s="12" t="n"/>
      <c r="H23" s="12" t="n"/>
    </row>
    <row r="24" ht="15.75" customHeight="1" s="322">
      <c r="A24" s="12" t="n"/>
      <c r="B24" s="12" t="n"/>
      <c r="C24" s="12" t="n"/>
      <c r="D24" s="12" t="n"/>
      <c r="E24" s="12" t="n"/>
      <c r="F24" s="12" t="n"/>
      <c r="G24" s="12" t="n"/>
      <c r="H24" s="12" t="n"/>
    </row>
    <row r="25" ht="15.75" customHeight="1" s="322">
      <c r="A25" s="12" t="n"/>
      <c r="B25" s="12" t="n"/>
      <c r="C25" s="12" t="n"/>
      <c r="D25" s="12" t="n"/>
      <c r="E25" s="12" t="n"/>
      <c r="F25" s="12" t="n"/>
      <c r="G25" s="12" t="n"/>
      <c r="H25" s="12" t="n"/>
    </row>
    <row r="26" ht="15.75" customHeight="1" s="322">
      <c r="A26" s="12" t="n"/>
      <c r="B26" s="12" t="n"/>
      <c r="C26" s="12" t="n"/>
      <c r="D26" s="12" t="n"/>
      <c r="E26" s="12" t="n"/>
      <c r="F26" s="12" t="n"/>
      <c r="G26" s="12" t="n"/>
      <c r="H26" s="12" t="n"/>
    </row>
    <row r="27" ht="15.75" customHeight="1" s="322">
      <c r="A27" s="133" t="n"/>
      <c r="B27" s="136">
        <f>IFERROR(__xludf.DUMMYFUNCTION("GOOGLEFINANCE(B18, ""all"", EDATE(TODAY(), -LEFT(G15, FIND("" "", G15))), TODAY(), ""DAILY"")"),"Date")</f>
        <v/>
      </c>
      <c r="C27" s="137">
        <f>IFERROR(__xludf.DUMMYFUNCTION("""COMPUTED_VALUE"""),"Open")</f>
        <v/>
      </c>
      <c r="D27" s="137">
        <f>IFERROR(__xludf.DUMMYFUNCTION("""COMPUTED_VALUE"""),"High")</f>
        <v/>
      </c>
      <c r="E27" s="137">
        <f>IFERROR(__xludf.DUMMYFUNCTION("""COMPUTED_VALUE"""),"Low")</f>
        <v/>
      </c>
      <c r="F27" s="137">
        <f>IFERROR(__xludf.DUMMYFUNCTION("""COMPUTED_VALUE"""),"Close")</f>
        <v/>
      </c>
      <c r="G27" s="137">
        <f>IFERROR(__xludf.DUMMYFUNCTION("""COMPUTED_VALUE"""),"Volume")</f>
        <v/>
      </c>
      <c r="H27" s="133" t="n"/>
    </row>
    <row r="28" ht="17.25" customHeight="1" s="322">
      <c r="A28" s="27" t="n"/>
      <c r="B28" s="506">
        <f>IFERROR(__xludf.DUMMYFUNCTION("""COMPUTED_VALUE"""),45868.6666666666)</f>
        <v/>
      </c>
      <c r="C28" s="141">
        <f>IFERROR(__xludf.DUMMYFUNCTION("""COMPUTED_VALUE"""),22.7)</f>
        <v/>
      </c>
      <c r="D28" s="141">
        <f>IFERROR(__xludf.DUMMYFUNCTION("""COMPUTED_VALUE"""),22.76)</f>
        <v/>
      </c>
      <c r="E28" s="141">
        <f>IFERROR(__xludf.DUMMYFUNCTION("""COMPUTED_VALUE"""),22.61)</f>
        <v/>
      </c>
      <c r="F28" s="141">
        <f>IFERROR(__xludf.DUMMYFUNCTION("""COMPUTED_VALUE"""),22.62)</f>
        <v/>
      </c>
      <c r="G28" s="143">
        <f>IFERROR(__xludf.DUMMYFUNCTION("""COMPUTED_VALUE"""),669012)</f>
        <v/>
      </c>
      <c r="H28" s="27" t="n"/>
    </row>
    <row r="29" ht="17.25" customHeight="1" s="322">
      <c r="A29" s="27" t="n"/>
      <c r="B29" s="506">
        <f>IFERROR(__xludf.DUMMYFUNCTION("""COMPUTED_VALUE"""),45869.6666666666)</f>
        <v/>
      </c>
      <c r="C29" s="141">
        <f>IFERROR(__xludf.DUMMYFUNCTION("""COMPUTED_VALUE"""),22.61)</f>
        <v/>
      </c>
      <c r="D29" s="141">
        <f>IFERROR(__xludf.DUMMYFUNCTION("""COMPUTED_VALUE"""),22.65)</f>
        <v/>
      </c>
      <c r="E29" s="141">
        <f>IFERROR(__xludf.DUMMYFUNCTION("""COMPUTED_VALUE"""),22.58)</f>
        <v/>
      </c>
      <c r="F29" s="141">
        <f>IFERROR(__xludf.DUMMYFUNCTION("""COMPUTED_VALUE"""),22.58)</f>
        <v/>
      </c>
      <c r="G29" s="143">
        <f>IFERROR(__xludf.DUMMYFUNCTION("""COMPUTED_VALUE"""),836038)</f>
        <v/>
      </c>
      <c r="H29" s="27" t="n"/>
    </row>
    <row r="30" ht="17.25" customHeight="1" s="322">
      <c r="A30" s="27" t="n"/>
      <c r="B30" s="506">
        <f>IFERROR(__xludf.DUMMYFUNCTION("""COMPUTED_VALUE"""),45870.6666666666)</f>
        <v/>
      </c>
      <c r="C30" s="141">
        <f>IFERROR(__xludf.DUMMYFUNCTION("""COMPUTED_VALUE"""),22.88)</f>
        <v/>
      </c>
      <c r="D30" s="141">
        <f>IFERROR(__xludf.DUMMYFUNCTION("""COMPUTED_VALUE"""),22.94)</f>
        <v/>
      </c>
      <c r="E30" s="141">
        <f>IFERROR(__xludf.DUMMYFUNCTION("""COMPUTED_VALUE"""),22.8)</f>
        <v/>
      </c>
      <c r="F30" s="141">
        <f>IFERROR(__xludf.DUMMYFUNCTION("""COMPUTED_VALUE"""),22.9)</f>
        <v/>
      </c>
      <c r="G30" s="143">
        <f>IFERROR(__xludf.DUMMYFUNCTION("""COMPUTED_VALUE"""),1142580)</f>
        <v/>
      </c>
      <c r="H30" s="27" t="n"/>
    </row>
    <row r="31" ht="17.25" customHeight="1" s="322">
      <c r="A31" s="27" t="n"/>
      <c r="B31" s="506">
        <f>IFERROR(__xludf.DUMMYFUNCTION("""COMPUTED_VALUE"""),45873.6666666666)</f>
        <v/>
      </c>
      <c r="C31" s="141">
        <f>IFERROR(__xludf.DUMMYFUNCTION("""COMPUTED_VALUE"""),22.93)</f>
        <v/>
      </c>
      <c r="D31" s="141">
        <f>IFERROR(__xludf.DUMMYFUNCTION("""COMPUTED_VALUE"""),22.98)</f>
        <v/>
      </c>
      <c r="E31" s="141">
        <f>IFERROR(__xludf.DUMMYFUNCTION("""COMPUTED_VALUE"""),22.91)</f>
        <v/>
      </c>
      <c r="F31" s="141">
        <f>IFERROR(__xludf.DUMMYFUNCTION("""COMPUTED_VALUE"""),22.96)</f>
        <v/>
      </c>
      <c r="G31" s="143">
        <f>IFERROR(__xludf.DUMMYFUNCTION("""COMPUTED_VALUE"""),2166159)</f>
        <v/>
      </c>
      <c r="H31" s="27" t="n"/>
    </row>
    <row r="32" ht="17.25" customHeight="1" s="322">
      <c r="A32" s="27" t="n"/>
      <c r="B32" s="506">
        <f>IFERROR(__xludf.DUMMYFUNCTION("""COMPUTED_VALUE"""),45874.6666666666)</f>
        <v/>
      </c>
      <c r="C32" s="141">
        <f>IFERROR(__xludf.DUMMYFUNCTION("""COMPUTED_VALUE"""),22.9)</f>
        <v/>
      </c>
      <c r="D32" s="141">
        <f>IFERROR(__xludf.DUMMYFUNCTION("""COMPUTED_VALUE"""),22.96)</f>
        <v/>
      </c>
      <c r="E32" s="141">
        <f>IFERROR(__xludf.DUMMYFUNCTION("""COMPUTED_VALUE"""),22.81)</f>
        <v/>
      </c>
      <c r="F32" s="141">
        <f>IFERROR(__xludf.DUMMYFUNCTION("""COMPUTED_VALUE"""),22.93)</f>
        <v/>
      </c>
      <c r="G32" s="143">
        <f>IFERROR(__xludf.DUMMYFUNCTION("""COMPUTED_VALUE"""),347488)</f>
        <v/>
      </c>
      <c r="H32" s="27" t="n"/>
    </row>
    <row r="33" ht="17.25" customHeight="1" s="322">
      <c r="A33" s="27" t="n"/>
      <c r="B33" s="506">
        <f>IFERROR(__xludf.DUMMYFUNCTION("""COMPUTED_VALUE"""),45875.6666666666)</f>
        <v/>
      </c>
      <c r="C33" s="141">
        <f>IFERROR(__xludf.DUMMYFUNCTION("""COMPUTED_VALUE"""),22.99)</f>
        <v/>
      </c>
      <c r="D33" s="141">
        <f>IFERROR(__xludf.DUMMYFUNCTION("""COMPUTED_VALUE"""),23.05)</f>
        <v/>
      </c>
      <c r="E33" s="141">
        <f>IFERROR(__xludf.DUMMYFUNCTION("""COMPUTED_VALUE"""),22.93)</f>
        <v/>
      </c>
      <c r="F33" s="141">
        <f>IFERROR(__xludf.DUMMYFUNCTION("""COMPUTED_VALUE"""),23.03)</f>
        <v/>
      </c>
      <c r="G33" s="143">
        <f>IFERROR(__xludf.DUMMYFUNCTION("""COMPUTED_VALUE"""),161887)</f>
        <v/>
      </c>
      <c r="H33" s="27" t="n"/>
    </row>
    <row r="34" ht="17.25" customHeight="1" s="322">
      <c r="A34" s="27" t="n"/>
      <c r="B34" s="506">
        <f>IFERROR(__xludf.DUMMYFUNCTION("""COMPUTED_VALUE"""),45876.6666666666)</f>
        <v/>
      </c>
      <c r="C34" s="141">
        <f>IFERROR(__xludf.DUMMYFUNCTION("""COMPUTED_VALUE"""),23.04)</f>
        <v/>
      </c>
      <c r="D34" s="141">
        <f>IFERROR(__xludf.DUMMYFUNCTION("""COMPUTED_VALUE"""),23.06)</f>
        <v/>
      </c>
      <c r="E34" s="141">
        <f>IFERROR(__xludf.DUMMYFUNCTION("""COMPUTED_VALUE"""),22.98)</f>
        <v/>
      </c>
      <c r="F34" s="141">
        <f>IFERROR(__xludf.DUMMYFUNCTION("""COMPUTED_VALUE"""),23.05)</f>
        <v/>
      </c>
      <c r="G34" s="143">
        <f>IFERROR(__xludf.DUMMYFUNCTION("""COMPUTED_VALUE"""),463704)</f>
        <v/>
      </c>
      <c r="H34" s="27" t="n"/>
    </row>
    <row r="35" ht="17.25" customHeight="1" s="322">
      <c r="A35" s="27" t="n"/>
      <c r="B35" s="506">
        <f>IFERROR(__xludf.DUMMYFUNCTION("""COMPUTED_VALUE"""),45877.6666666666)</f>
        <v/>
      </c>
      <c r="C35" s="141">
        <f>IFERROR(__xludf.DUMMYFUNCTION("""COMPUTED_VALUE"""),22.99)</f>
        <v/>
      </c>
      <c r="D35" s="141">
        <f>IFERROR(__xludf.DUMMYFUNCTION("""COMPUTED_VALUE"""),23.01)</f>
        <v/>
      </c>
      <c r="E35" s="141">
        <f>IFERROR(__xludf.DUMMYFUNCTION("""COMPUTED_VALUE"""),22.96)</f>
        <v/>
      </c>
      <c r="F35" s="141">
        <f>IFERROR(__xludf.DUMMYFUNCTION("""COMPUTED_VALUE"""),22.98)</f>
        <v/>
      </c>
      <c r="G35" s="143">
        <f>IFERROR(__xludf.DUMMYFUNCTION("""COMPUTED_VALUE"""),197977)</f>
        <v/>
      </c>
      <c r="H35" s="27" t="n"/>
    </row>
    <row r="36" ht="17.25" customHeight="1" s="322">
      <c r="A36" s="27" t="n"/>
      <c r="B36" s="506">
        <f>IFERROR(__xludf.DUMMYFUNCTION("""COMPUTED_VALUE"""),45880.6666666666)</f>
        <v/>
      </c>
      <c r="C36" s="141">
        <f>IFERROR(__xludf.DUMMYFUNCTION("""COMPUTED_VALUE"""),22.95)</f>
        <v/>
      </c>
      <c r="D36" s="141">
        <f>IFERROR(__xludf.DUMMYFUNCTION("""COMPUTED_VALUE"""),22.96)</f>
        <v/>
      </c>
      <c r="E36" s="141">
        <f>IFERROR(__xludf.DUMMYFUNCTION("""COMPUTED_VALUE"""),22.9)</f>
        <v/>
      </c>
      <c r="F36" s="141">
        <f>IFERROR(__xludf.DUMMYFUNCTION("""COMPUTED_VALUE"""),22.91)</f>
        <v/>
      </c>
      <c r="G36" s="143">
        <f>IFERROR(__xludf.DUMMYFUNCTION("""COMPUTED_VALUE"""),1128805)</f>
        <v/>
      </c>
      <c r="H36" s="27" t="n"/>
    </row>
    <row r="37" ht="17.25" customHeight="1" s="322">
      <c r="A37" s="27" t="n"/>
      <c r="B37" s="506">
        <f>IFERROR(__xludf.DUMMYFUNCTION("""COMPUTED_VALUE"""),45881.6666666666)</f>
        <v/>
      </c>
      <c r="C37" s="141">
        <f>IFERROR(__xludf.DUMMYFUNCTION("""COMPUTED_VALUE"""),22.89)</f>
        <v/>
      </c>
      <c r="D37" s="141">
        <f>IFERROR(__xludf.DUMMYFUNCTION("""COMPUTED_VALUE"""),22.99)</f>
        <v/>
      </c>
      <c r="E37" s="141">
        <f>IFERROR(__xludf.DUMMYFUNCTION("""COMPUTED_VALUE"""),22.85)</f>
        <v/>
      </c>
      <c r="F37" s="141">
        <f>IFERROR(__xludf.DUMMYFUNCTION("""COMPUTED_VALUE"""),22.97)</f>
        <v/>
      </c>
      <c r="G37" s="143">
        <f>IFERROR(__xludf.DUMMYFUNCTION("""COMPUTED_VALUE"""),247255)</f>
        <v/>
      </c>
      <c r="H37" s="27" t="n"/>
    </row>
    <row r="38" ht="17.25" customHeight="1" s="322">
      <c r="A38" s="27" t="n"/>
      <c r="B38" s="506">
        <f>IFERROR(__xludf.DUMMYFUNCTION("""COMPUTED_VALUE"""),45882.6666666666)</f>
        <v/>
      </c>
      <c r="C38" s="141">
        <f>IFERROR(__xludf.DUMMYFUNCTION("""COMPUTED_VALUE"""),23)</f>
        <v/>
      </c>
      <c r="D38" s="141">
        <f>IFERROR(__xludf.DUMMYFUNCTION("""COMPUTED_VALUE"""),23.13)</f>
        <v/>
      </c>
      <c r="E38" s="141">
        <f>IFERROR(__xludf.DUMMYFUNCTION("""COMPUTED_VALUE"""),23)</f>
        <v/>
      </c>
      <c r="F38" s="141">
        <f>IFERROR(__xludf.DUMMYFUNCTION("""COMPUTED_VALUE"""),23.09)</f>
        <v/>
      </c>
      <c r="G38" s="143">
        <f>IFERROR(__xludf.DUMMYFUNCTION("""COMPUTED_VALUE"""),541347)</f>
        <v/>
      </c>
      <c r="H38" s="27" t="n"/>
    </row>
    <row r="39" ht="17.25" customHeight="1" s="322">
      <c r="A39" s="27" t="n"/>
      <c r="B39" s="506">
        <f>IFERROR(__xludf.DUMMYFUNCTION("""COMPUTED_VALUE"""),45883.6666666666)</f>
        <v/>
      </c>
      <c r="C39" s="141">
        <f>IFERROR(__xludf.DUMMYFUNCTION("""COMPUTED_VALUE"""),22.99)</f>
        <v/>
      </c>
      <c r="D39" s="141">
        <f>IFERROR(__xludf.DUMMYFUNCTION("""COMPUTED_VALUE"""),23.01)</f>
        <v/>
      </c>
      <c r="E39" s="141">
        <f>IFERROR(__xludf.DUMMYFUNCTION("""COMPUTED_VALUE"""),22.89)</f>
        <v/>
      </c>
      <c r="F39" s="141">
        <f>IFERROR(__xludf.DUMMYFUNCTION("""COMPUTED_VALUE"""),22.94)</f>
        <v/>
      </c>
      <c r="G39" s="143">
        <f>IFERROR(__xludf.DUMMYFUNCTION("""COMPUTED_VALUE"""),597946)</f>
        <v/>
      </c>
      <c r="H39" s="27" t="n"/>
    </row>
    <row r="40" ht="17.25" customHeight="1" s="322">
      <c r="A40" s="27" t="n"/>
      <c r="B40" s="506">
        <f>IFERROR(__xludf.DUMMYFUNCTION("""COMPUTED_VALUE"""),45884.6666666666)</f>
        <v/>
      </c>
      <c r="C40" s="141">
        <f>IFERROR(__xludf.DUMMYFUNCTION("""COMPUTED_VALUE"""),22.98)</f>
        <v/>
      </c>
      <c r="D40" s="141">
        <f>IFERROR(__xludf.DUMMYFUNCTION("""COMPUTED_VALUE"""),23)</f>
        <v/>
      </c>
      <c r="E40" s="141">
        <f>IFERROR(__xludf.DUMMYFUNCTION("""COMPUTED_VALUE"""),22.92)</f>
        <v/>
      </c>
      <c r="F40" s="141">
        <f>IFERROR(__xludf.DUMMYFUNCTION("""COMPUTED_VALUE"""),22.94)</f>
        <v/>
      </c>
      <c r="G40" s="143">
        <f>IFERROR(__xludf.DUMMYFUNCTION("""COMPUTED_VALUE"""),356323)</f>
        <v/>
      </c>
      <c r="H40" s="27" t="n"/>
    </row>
    <row r="41" ht="17.25" customHeight="1" s="322">
      <c r="A41" s="27" t="n"/>
      <c r="B41" s="506">
        <f>IFERROR(__xludf.DUMMYFUNCTION("""COMPUTED_VALUE"""),45887.6666666666)</f>
        <v/>
      </c>
      <c r="C41" s="141">
        <f>IFERROR(__xludf.DUMMYFUNCTION("""COMPUTED_VALUE"""),22.92)</f>
        <v/>
      </c>
      <c r="D41" s="141">
        <f>IFERROR(__xludf.DUMMYFUNCTION("""COMPUTED_VALUE"""),22.93)</f>
        <v/>
      </c>
      <c r="E41" s="141">
        <f>IFERROR(__xludf.DUMMYFUNCTION("""COMPUTED_VALUE"""),22.86)</f>
        <v/>
      </c>
      <c r="F41" s="141">
        <f>IFERROR(__xludf.DUMMYFUNCTION("""COMPUTED_VALUE"""),22.89)</f>
        <v/>
      </c>
      <c r="G41" s="143">
        <f>IFERROR(__xludf.DUMMYFUNCTION("""COMPUTED_VALUE"""),202445)</f>
        <v/>
      </c>
      <c r="H41" s="27" t="n"/>
    </row>
    <row r="42" ht="17.25" customHeight="1" s="322">
      <c r="A42" s="27" t="n"/>
      <c r="B42" s="506">
        <f>IFERROR(__xludf.DUMMYFUNCTION("""COMPUTED_VALUE"""),45888.6666666666)</f>
        <v/>
      </c>
      <c r="C42" s="141">
        <f>IFERROR(__xludf.DUMMYFUNCTION("""COMPUTED_VALUE"""),22.89)</f>
        <v/>
      </c>
      <c r="D42" s="141">
        <f>IFERROR(__xludf.DUMMYFUNCTION("""COMPUTED_VALUE"""),22.92)</f>
        <v/>
      </c>
      <c r="E42" s="141">
        <f>IFERROR(__xludf.DUMMYFUNCTION("""COMPUTED_VALUE"""),22.87)</f>
        <v/>
      </c>
      <c r="F42" s="141">
        <f>IFERROR(__xludf.DUMMYFUNCTION("""COMPUTED_VALUE"""),22.87)</f>
        <v/>
      </c>
      <c r="G42" s="143">
        <f>IFERROR(__xludf.DUMMYFUNCTION("""COMPUTED_VALUE"""),160053)</f>
        <v/>
      </c>
      <c r="H42" s="27" t="n"/>
    </row>
    <row r="43" ht="17.25" customHeight="1" s="322">
      <c r="A43" s="27" t="n"/>
      <c r="B43" s="506">
        <f>IFERROR(__xludf.DUMMYFUNCTION("""COMPUTED_VALUE"""),45889.6666666666)</f>
        <v/>
      </c>
      <c r="C43" s="141">
        <f>IFERROR(__xludf.DUMMYFUNCTION("""COMPUTED_VALUE"""),22.86)</f>
        <v/>
      </c>
      <c r="D43" s="141">
        <f>IFERROR(__xludf.DUMMYFUNCTION("""COMPUTED_VALUE"""),22.95)</f>
        <v/>
      </c>
      <c r="E43" s="141">
        <f>IFERROR(__xludf.DUMMYFUNCTION("""COMPUTED_VALUE"""),22.85)</f>
        <v/>
      </c>
      <c r="F43" s="141">
        <f>IFERROR(__xludf.DUMMYFUNCTION("""COMPUTED_VALUE"""),22.9)</f>
        <v/>
      </c>
      <c r="G43" s="143">
        <f>IFERROR(__xludf.DUMMYFUNCTION("""COMPUTED_VALUE"""),153545)</f>
        <v/>
      </c>
      <c r="H43" s="27" t="n"/>
    </row>
    <row r="44" ht="17.25" customHeight="1" s="322">
      <c r="A44" s="27" t="n"/>
      <c r="B44" s="506">
        <f>IFERROR(__xludf.DUMMYFUNCTION("""COMPUTED_VALUE"""),45890.6666666666)</f>
        <v/>
      </c>
      <c r="C44" s="141">
        <f>IFERROR(__xludf.DUMMYFUNCTION("""COMPUTED_VALUE"""),22.88)</f>
        <v/>
      </c>
      <c r="D44" s="141">
        <f>IFERROR(__xludf.DUMMYFUNCTION("""COMPUTED_VALUE"""),22.89)</f>
        <v/>
      </c>
      <c r="E44" s="141">
        <f>IFERROR(__xludf.DUMMYFUNCTION("""COMPUTED_VALUE"""),22.72)</f>
        <v/>
      </c>
      <c r="F44" s="141">
        <f>IFERROR(__xludf.DUMMYFUNCTION("""COMPUTED_VALUE"""),22.76)</f>
        <v/>
      </c>
      <c r="G44" s="143">
        <f>IFERROR(__xludf.DUMMYFUNCTION("""COMPUTED_VALUE"""),529641)</f>
        <v/>
      </c>
      <c r="H44" s="27" t="n"/>
    </row>
    <row r="45" ht="17.25" customHeight="1" s="322">
      <c r="A45" s="27" t="n"/>
      <c r="B45" s="506">
        <f>IFERROR(__xludf.DUMMYFUNCTION("""COMPUTED_VALUE"""),45891.6666666666)</f>
        <v/>
      </c>
      <c r="C45" s="141">
        <f>IFERROR(__xludf.DUMMYFUNCTION("""COMPUTED_VALUE"""),22.79)</f>
        <v/>
      </c>
      <c r="D45" s="141">
        <f>IFERROR(__xludf.DUMMYFUNCTION("""COMPUTED_VALUE"""),23.06)</f>
        <v/>
      </c>
      <c r="E45" s="141">
        <f>IFERROR(__xludf.DUMMYFUNCTION("""COMPUTED_VALUE"""),22.76)</f>
        <v/>
      </c>
      <c r="F45" s="141">
        <f>IFERROR(__xludf.DUMMYFUNCTION("""COMPUTED_VALUE"""),23)</f>
        <v/>
      </c>
      <c r="G45" s="143">
        <f>IFERROR(__xludf.DUMMYFUNCTION("""COMPUTED_VALUE"""),190523)</f>
        <v/>
      </c>
      <c r="H45" s="27" t="n"/>
    </row>
    <row r="46" ht="17.25" customHeight="1" s="322">
      <c r="A46" s="27" t="n"/>
      <c r="B46" s="506">
        <f>IFERROR(__xludf.DUMMYFUNCTION("""COMPUTED_VALUE"""),45894.6666666666)</f>
        <v/>
      </c>
      <c r="C46" s="141">
        <f>IFERROR(__xludf.DUMMYFUNCTION("""COMPUTED_VALUE"""),23)</f>
        <v/>
      </c>
      <c r="D46" s="141">
        <f>IFERROR(__xludf.DUMMYFUNCTION("""COMPUTED_VALUE"""),23.02)</f>
        <v/>
      </c>
      <c r="E46" s="141">
        <f>IFERROR(__xludf.DUMMYFUNCTION("""COMPUTED_VALUE"""),22.82)</f>
        <v/>
      </c>
      <c r="F46" s="141">
        <f>IFERROR(__xludf.DUMMYFUNCTION("""COMPUTED_VALUE"""),22.82)</f>
        <v/>
      </c>
      <c r="G46" s="143">
        <f>IFERROR(__xludf.DUMMYFUNCTION("""COMPUTED_VALUE"""),608857)</f>
        <v/>
      </c>
      <c r="H46" s="27" t="n"/>
    </row>
    <row r="47" ht="17.25" customHeight="1" s="322">
      <c r="A47" s="27" t="n"/>
      <c r="B47" s="506">
        <f>IFERROR(__xludf.DUMMYFUNCTION("""COMPUTED_VALUE"""),45895.6666666666)</f>
        <v/>
      </c>
      <c r="C47" s="141">
        <f>IFERROR(__xludf.DUMMYFUNCTION("""COMPUTED_VALUE"""),22.88)</f>
        <v/>
      </c>
      <c r="D47" s="141">
        <f>IFERROR(__xludf.DUMMYFUNCTION("""COMPUTED_VALUE"""),22.95)</f>
        <v/>
      </c>
      <c r="E47" s="141">
        <f>IFERROR(__xludf.DUMMYFUNCTION("""COMPUTED_VALUE"""),22.87)</f>
        <v/>
      </c>
      <c r="F47" s="141">
        <f>IFERROR(__xludf.DUMMYFUNCTION("""COMPUTED_VALUE"""),22.91)</f>
        <v/>
      </c>
      <c r="G47" s="143">
        <f>IFERROR(__xludf.DUMMYFUNCTION("""COMPUTED_VALUE"""),275953)</f>
        <v/>
      </c>
      <c r="H47" s="27" t="n"/>
    </row>
    <row r="48" ht="17.25" customHeight="1" s="322">
      <c r="A48" s="27" t="n"/>
      <c r="B48" s="506">
        <f>IFERROR(__xludf.DUMMYFUNCTION("""COMPUTED_VALUE"""),45896.6666666666)</f>
        <v/>
      </c>
      <c r="C48" s="141">
        <f>IFERROR(__xludf.DUMMYFUNCTION("""COMPUTED_VALUE"""),22.85)</f>
        <v/>
      </c>
      <c r="D48" s="141">
        <f>IFERROR(__xludf.DUMMYFUNCTION("""COMPUTED_VALUE"""),22.99)</f>
        <v/>
      </c>
      <c r="E48" s="141">
        <f>IFERROR(__xludf.DUMMYFUNCTION("""COMPUTED_VALUE"""),22.76)</f>
        <v/>
      </c>
      <c r="F48" s="141">
        <f>IFERROR(__xludf.DUMMYFUNCTION("""COMPUTED_VALUE"""),22.92)</f>
        <v/>
      </c>
      <c r="G48" s="143">
        <f>IFERROR(__xludf.DUMMYFUNCTION("""COMPUTED_VALUE"""),272620)</f>
        <v/>
      </c>
      <c r="H48" s="27" t="n"/>
    </row>
    <row r="49" ht="17.25" customHeight="1" s="322">
      <c r="A49" s="27" t="n"/>
      <c r="B49" s="506">
        <f>IFERROR(__xludf.DUMMYFUNCTION("""COMPUTED_VALUE"""),45897.6666666666)</f>
        <v/>
      </c>
      <c r="C49" s="141">
        <f>IFERROR(__xludf.DUMMYFUNCTION("""COMPUTED_VALUE"""),22.92)</f>
        <v/>
      </c>
      <c r="D49" s="141">
        <f>IFERROR(__xludf.DUMMYFUNCTION("""COMPUTED_VALUE"""),23.03)</f>
        <v/>
      </c>
      <c r="E49" s="141">
        <f>IFERROR(__xludf.DUMMYFUNCTION("""COMPUTED_VALUE"""),22.88)</f>
        <v/>
      </c>
      <c r="F49" s="141">
        <f>IFERROR(__xludf.DUMMYFUNCTION("""COMPUTED_VALUE"""),23)</f>
        <v/>
      </c>
      <c r="G49" s="143">
        <f>IFERROR(__xludf.DUMMYFUNCTION("""COMPUTED_VALUE"""),340648)</f>
        <v/>
      </c>
      <c r="H49" s="27" t="n"/>
    </row>
    <row r="50" ht="17.25" customHeight="1" s="322">
      <c r="A50" s="27" t="n"/>
      <c r="B50" s="506">
        <f>IFERROR(__xludf.DUMMYFUNCTION("""COMPUTED_VALUE"""),45898.6666666666)</f>
        <v/>
      </c>
      <c r="C50" s="141">
        <f>IFERROR(__xludf.DUMMYFUNCTION("""COMPUTED_VALUE"""),22.95)</f>
        <v/>
      </c>
      <c r="D50" s="141">
        <f>IFERROR(__xludf.DUMMYFUNCTION("""COMPUTED_VALUE"""),23.03)</f>
        <v/>
      </c>
      <c r="E50" s="141">
        <f>IFERROR(__xludf.DUMMYFUNCTION("""COMPUTED_VALUE"""),22.94)</f>
        <v/>
      </c>
      <c r="F50" s="141">
        <f>IFERROR(__xludf.DUMMYFUNCTION("""COMPUTED_VALUE"""),23)</f>
        <v/>
      </c>
      <c r="G50" s="143">
        <f>IFERROR(__xludf.DUMMYFUNCTION("""COMPUTED_VALUE"""),274102)</f>
        <v/>
      </c>
      <c r="H50" s="27" t="n"/>
    </row>
    <row r="51" ht="17.25" customHeight="1" s="322">
      <c r="A51" s="27" t="n"/>
      <c r="B51" s="506">
        <f>IFERROR(__xludf.DUMMYFUNCTION("""COMPUTED_VALUE"""),45902.6666666666)</f>
        <v/>
      </c>
      <c r="C51" s="141">
        <f>IFERROR(__xludf.DUMMYFUNCTION("""COMPUTED_VALUE"""),22.85)</f>
        <v/>
      </c>
      <c r="D51" s="141">
        <f>IFERROR(__xludf.DUMMYFUNCTION("""COMPUTED_VALUE"""),22.86)</f>
        <v/>
      </c>
      <c r="E51" s="141">
        <f>IFERROR(__xludf.DUMMYFUNCTION("""COMPUTED_VALUE"""),22.73)</f>
        <v/>
      </c>
      <c r="F51" s="141">
        <f>IFERROR(__xludf.DUMMYFUNCTION("""COMPUTED_VALUE"""),22.76)</f>
        <v/>
      </c>
      <c r="G51" s="143">
        <f>IFERROR(__xludf.DUMMYFUNCTION("""COMPUTED_VALUE"""),348037)</f>
        <v/>
      </c>
      <c r="H51" s="27" t="n"/>
    </row>
    <row r="52" ht="17.25" customHeight="1" s="322">
      <c r="A52" s="27" t="n"/>
      <c r="B52" s="506">
        <f>IFERROR(__xludf.DUMMYFUNCTION("""COMPUTED_VALUE"""),45903.6666666666)</f>
        <v/>
      </c>
      <c r="C52" s="141">
        <f>IFERROR(__xludf.DUMMYFUNCTION("""COMPUTED_VALUE"""),22.78)</f>
        <v/>
      </c>
      <c r="D52" s="141">
        <f>IFERROR(__xludf.DUMMYFUNCTION("""COMPUTED_VALUE"""),22.88)</f>
        <v/>
      </c>
      <c r="E52" s="141">
        <f>IFERROR(__xludf.DUMMYFUNCTION("""COMPUTED_VALUE"""),22.73)</f>
        <v/>
      </c>
      <c r="F52" s="141">
        <f>IFERROR(__xludf.DUMMYFUNCTION("""COMPUTED_VALUE"""),22.82)</f>
        <v/>
      </c>
      <c r="G52" s="143">
        <f>IFERROR(__xludf.DUMMYFUNCTION("""COMPUTED_VALUE"""),808707)</f>
        <v/>
      </c>
      <c r="H52" s="27" t="n"/>
    </row>
    <row r="53" ht="17.25" customHeight="1" s="322">
      <c r="A53" s="27" t="n"/>
      <c r="B53" s="506">
        <f>IFERROR(__xludf.DUMMYFUNCTION("""COMPUTED_VALUE"""),45904.6666666666)</f>
        <v/>
      </c>
      <c r="C53" s="141">
        <f>IFERROR(__xludf.DUMMYFUNCTION("""COMPUTED_VALUE"""),22.83)</f>
        <v/>
      </c>
      <c r="D53" s="141">
        <f>IFERROR(__xludf.DUMMYFUNCTION("""COMPUTED_VALUE"""),22.86)</f>
        <v/>
      </c>
      <c r="E53" s="141">
        <f>IFERROR(__xludf.DUMMYFUNCTION("""COMPUTED_VALUE"""),22.79)</f>
        <v/>
      </c>
      <c r="F53" s="141">
        <f>IFERROR(__xludf.DUMMYFUNCTION("""COMPUTED_VALUE"""),22.86)</f>
        <v/>
      </c>
      <c r="G53" s="143">
        <f>IFERROR(__xludf.DUMMYFUNCTION("""COMPUTED_VALUE"""),273442)</f>
        <v/>
      </c>
      <c r="H53" s="27" t="n"/>
    </row>
    <row r="54" ht="17.25" customHeight="1" s="322">
      <c r="A54" s="27" t="n"/>
      <c r="B54" s="506">
        <f>IFERROR(__xludf.DUMMYFUNCTION("""COMPUTED_VALUE"""),45905.6666666666)</f>
        <v/>
      </c>
      <c r="C54" s="141">
        <f>IFERROR(__xludf.DUMMYFUNCTION("""COMPUTED_VALUE"""),23.08)</f>
        <v/>
      </c>
      <c r="D54" s="141">
        <f>IFERROR(__xludf.DUMMYFUNCTION("""COMPUTED_VALUE"""),23.12)</f>
        <v/>
      </c>
      <c r="E54" s="141">
        <f>IFERROR(__xludf.DUMMYFUNCTION("""COMPUTED_VALUE"""),23.03)</f>
        <v/>
      </c>
      <c r="F54" s="141">
        <f>IFERROR(__xludf.DUMMYFUNCTION("""COMPUTED_VALUE"""),23.06)</f>
        <v/>
      </c>
      <c r="G54" s="143">
        <f>IFERROR(__xludf.DUMMYFUNCTION("""COMPUTED_VALUE"""),531204)</f>
        <v/>
      </c>
      <c r="H54" s="27" t="n"/>
    </row>
    <row r="55" ht="17.25" customHeight="1" s="322">
      <c r="A55" s="27" t="n"/>
      <c r="B55" s="506">
        <f>IFERROR(__xludf.DUMMYFUNCTION("""COMPUTED_VALUE"""),45908.6666666666)</f>
        <v/>
      </c>
      <c r="C55" s="141">
        <f>IFERROR(__xludf.DUMMYFUNCTION("""COMPUTED_VALUE"""),23.09)</f>
        <v/>
      </c>
      <c r="D55" s="141">
        <f>IFERROR(__xludf.DUMMYFUNCTION("""COMPUTED_VALUE"""),23.13)</f>
        <v/>
      </c>
      <c r="E55" s="141">
        <f>IFERROR(__xludf.DUMMYFUNCTION("""COMPUTED_VALUE"""),23.06)</f>
        <v/>
      </c>
      <c r="F55" s="141">
        <f>IFERROR(__xludf.DUMMYFUNCTION("""COMPUTED_VALUE"""),23.11)</f>
        <v/>
      </c>
      <c r="G55" s="143">
        <f>IFERROR(__xludf.DUMMYFUNCTION("""COMPUTED_VALUE"""),394717)</f>
        <v/>
      </c>
      <c r="H55" s="27" t="n"/>
    </row>
    <row r="56" ht="17.25" customHeight="1" s="322">
      <c r="A56" s="27" t="n"/>
      <c r="B56" s="506">
        <f>IFERROR(__xludf.DUMMYFUNCTION("""COMPUTED_VALUE"""),45909.6666666666)</f>
        <v/>
      </c>
      <c r="C56" s="141">
        <f>IFERROR(__xludf.DUMMYFUNCTION("""COMPUTED_VALUE"""),23.12)</f>
        <v/>
      </c>
      <c r="D56" s="141">
        <f>IFERROR(__xludf.DUMMYFUNCTION("""COMPUTED_VALUE"""),23.17)</f>
        <v/>
      </c>
      <c r="E56" s="141">
        <f>IFERROR(__xludf.DUMMYFUNCTION("""COMPUTED_VALUE"""),23.04)</f>
        <v/>
      </c>
      <c r="F56" s="141">
        <f>IFERROR(__xludf.DUMMYFUNCTION("""COMPUTED_VALUE"""),23.06)</f>
        <v/>
      </c>
      <c r="G56" s="143">
        <f>IFERROR(__xludf.DUMMYFUNCTION("""COMPUTED_VALUE"""),361980)</f>
        <v/>
      </c>
      <c r="H56" s="27" t="n"/>
    </row>
    <row r="57" ht="17.25" customHeight="1" s="322">
      <c r="A57" s="27" t="n"/>
      <c r="B57" s="506">
        <f>IFERROR(__xludf.DUMMYFUNCTION("""COMPUTED_VALUE"""),45910.6666666666)</f>
        <v/>
      </c>
      <c r="C57" s="141">
        <f>IFERROR(__xludf.DUMMYFUNCTION("""COMPUTED_VALUE"""),23.07)</f>
        <v/>
      </c>
      <c r="D57" s="141">
        <f>IFERROR(__xludf.DUMMYFUNCTION("""COMPUTED_VALUE"""),23.12)</f>
        <v/>
      </c>
      <c r="E57" s="141">
        <f>IFERROR(__xludf.DUMMYFUNCTION("""COMPUTED_VALUE"""),23.01)</f>
        <v/>
      </c>
      <c r="F57" s="141">
        <f>IFERROR(__xludf.DUMMYFUNCTION("""COMPUTED_VALUE"""),23.06)</f>
        <v/>
      </c>
      <c r="G57" s="143">
        <f>IFERROR(__xludf.DUMMYFUNCTION("""COMPUTED_VALUE"""),215653)</f>
        <v/>
      </c>
      <c r="H57" s="27" t="n"/>
    </row>
    <row r="58" ht="17.25" customHeight="1" s="322">
      <c r="A58" s="27" t="n"/>
      <c r="B58" s="506">
        <f>IFERROR(__xludf.DUMMYFUNCTION("""COMPUTED_VALUE"""),45911.6666666666)</f>
        <v/>
      </c>
      <c r="C58" s="141">
        <f>IFERROR(__xludf.DUMMYFUNCTION("""COMPUTED_VALUE"""),23.11)</f>
        <v/>
      </c>
      <c r="D58" s="141">
        <f>IFERROR(__xludf.DUMMYFUNCTION("""COMPUTED_VALUE"""),23.17)</f>
        <v/>
      </c>
      <c r="E58" s="141">
        <f>IFERROR(__xludf.DUMMYFUNCTION("""COMPUTED_VALUE"""),23.08)</f>
        <v/>
      </c>
      <c r="F58" s="141">
        <f>IFERROR(__xludf.DUMMYFUNCTION("""COMPUTED_VALUE"""),23.14)</f>
        <v/>
      </c>
      <c r="G58" s="143">
        <f>IFERROR(__xludf.DUMMYFUNCTION("""COMPUTED_VALUE"""),257966)</f>
        <v/>
      </c>
      <c r="H58" s="27" t="n"/>
    </row>
    <row r="59" ht="17.25" customHeight="1" s="322">
      <c r="A59" s="27" t="n"/>
      <c r="B59" s="506">
        <f>IFERROR(__xludf.DUMMYFUNCTION("""COMPUTED_VALUE"""),45912.6666666666)</f>
        <v/>
      </c>
      <c r="C59" s="141">
        <f>IFERROR(__xludf.DUMMYFUNCTION("""COMPUTED_VALUE"""),23.05)</f>
        <v/>
      </c>
      <c r="D59" s="141">
        <f>IFERROR(__xludf.DUMMYFUNCTION("""COMPUTED_VALUE"""),23.1)</f>
        <v/>
      </c>
      <c r="E59" s="141">
        <f>IFERROR(__xludf.DUMMYFUNCTION("""COMPUTED_VALUE"""),23.01)</f>
        <v/>
      </c>
      <c r="F59" s="141">
        <f>IFERROR(__xludf.DUMMYFUNCTION("""COMPUTED_VALUE"""),23.06)</f>
        <v/>
      </c>
      <c r="G59" s="143">
        <f>IFERROR(__xludf.DUMMYFUNCTION("""COMPUTED_VALUE"""),221718)</f>
        <v/>
      </c>
      <c r="H59" s="27" t="n"/>
    </row>
    <row r="60" ht="17.25" customHeight="1" s="322">
      <c r="A60" s="27" t="n"/>
      <c r="B60" s="506">
        <f>IFERROR(__xludf.DUMMYFUNCTION("""COMPUTED_VALUE"""),45915.6666666666)</f>
        <v/>
      </c>
      <c r="C60" s="141">
        <f>IFERROR(__xludf.DUMMYFUNCTION("""COMPUTED_VALUE"""),23.11)</f>
        <v/>
      </c>
      <c r="D60" s="141">
        <f>IFERROR(__xludf.DUMMYFUNCTION("""COMPUTED_VALUE"""),23.18)</f>
        <v/>
      </c>
      <c r="E60" s="141">
        <f>IFERROR(__xludf.DUMMYFUNCTION("""COMPUTED_VALUE"""),23.11)</f>
        <v/>
      </c>
      <c r="F60" s="141">
        <f>IFERROR(__xludf.DUMMYFUNCTION("""COMPUTED_VALUE"""),23.16)</f>
        <v/>
      </c>
      <c r="G60" s="143">
        <f>IFERROR(__xludf.DUMMYFUNCTION("""COMPUTED_VALUE"""),279195)</f>
        <v/>
      </c>
      <c r="H60" s="27" t="n"/>
    </row>
    <row r="61" ht="17.25" customHeight="1" s="322">
      <c r="A61" s="27" t="n"/>
      <c r="B61" s="506">
        <f>IFERROR(__xludf.DUMMYFUNCTION("""COMPUTED_VALUE"""),45916.6666666666)</f>
        <v/>
      </c>
      <c r="C61" s="141">
        <f>IFERROR(__xludf.DUMMYFUNCTION("""COMPUTED_VALUE"""),23.21)</f>
        <v/>
      </c>
      <c r="D61" s="141">
        <f>IFERROR(__xludf.DUMMYFUNCTION("""COMPUTED_VALUE"""),23.29)</f>
        <v/>
      </c>
      <c r="E61" s="141">
        <f>IFERROR(__xludf.DUMMYFUNCTION("""COMPUTED_VALUE"""),23.11)</f>
        <v/>
      </c>
      <c r="F61" s="141">
        <f>IFERROR(__xludf.DUMMYFUNCTION("""COMPUTED_VALUE"""),23.27)</f>
        <v/>
      </c>
      <c r="G61" s="143">
        <f>IFERROR(__xludf.DUMMYFUNCTION("""COMPUTED_VALUE"""),259953)</f>
        <v/>
      </c>
      <c r="H61" s="27" t="n"/>
    </row>
    <row r="62" ht="17.25" customHeight="1" s="322">
      <c r="A62" s="27" t="n"/>
      <c r="B62" s="506">
        <f>IFERROR(__xludf.DUMMYFUNCTION("""COMPUTED_VALUE"""),45917.6666666666)</f>
        <v/>
      </c>
      <c r="C62" s="141">
        <f>IFERROR(__xludf.DUMMYFUNCTION("""COMPUTED_VALUE"""),23.32)</f>
        <v/>
      </c>
      <c r="D62" s="141">
        <f>IFERROR(__xludf.DUMMYFUNCTION("""COMPUTED_VALUE"""),23.42)</f>
        <v/>
      </c>
      <c r="E62" s="141">
        <f>IFERROR(__xludf.DUMMYFUNCTION("""COMPUTED_VALUE"""),23.22)</f>
        <v/>
      </c>
      <c r="F62" s="141">
        <f>IFERROR(__xludf.DUMMYFUNCTION("""COMPUTED_VALUE"""),23.22)</f>
        <v/>
      </c>
      <c r="G62" s="143">
        <f>IFERROR(__xludf.DUMMYFUNCTION("""COMPUTED_VALUE"""),496481)</f>
        <v/>
      </c>
      <c r="H62" s="27" t="n"/>
    </row>
    <row r="63" ht="17.25" customHeight="1" s="322">
      <c r="A63" s="27" t="n"/>
      <c r="B63" s="506">
        <f>IFERROR(__xludf.DUMMYFUNCTION("""COMPUTED_VALUE"""),45918.6666666666)</f>
        <v/>
      </c>
      <c r="C63" s="141">
        <f>IFERROR(__xludf.DUMMYFUNCTION("""COMPUTED_VALUE"""),23.09)</f>
        <v/>
      </c>
      <c r="D63" s="141">
        <f>IFERROR(__xludf.DUMMYFUNCTION("""COMPUTED_VALUE"""),23.12)</f>
        <v/>
      </c>
      <c r="E63" s="141">
        <f>IFERROR(__xludf.DUMMYFUNCTION("""COMPUTED_VALUE"""),23.05)</f>
        <v/>
      </c>
      <c r="F63" s="141">
        <f>IFERROR(__xludf.DUMMYFUNCTION("""COMPUTED_VALUE"""),23.08)</f>
        <v/>
      </c>
      <c r="G63" s="143">
        <f>IFERROR(__xludf.DUMMYFUNCTION("""COMPUTED_VALUE"""),261047)</f>
        <v/>
      </c>
      <c r="H63" s="27" t="n"/>
    </row>
    <row r="64" ht="17.25" customHeight="1" s="322">
      <c r="A64" s="27" t="n"/>
      <c r="B64" s="506">
        <f>IFERROR(__xludf.DUMMYFUNCTION("""COMPUTED_VALUE"""),45919.6666666666)</f>
        <v/>
      </c>
      <c r="C64" s="141">
        <f>IFERROR(__xludf.DUMMYFUNCTION("""COMPUTED_VALUE"""),23.04)</f>
        <v/>
      </c>
      <c r="D64" s="141">
        <f>IFERROR(__xludf.DUMMYFUNCTION("""COMPUTED_VALUE"""),23.08)</f>
        <v/>
      </c>
      <c r="E64" s="141">
        <f>IFERROR(__xludf.DUMMYFUNCTION("""COMPUTED_VALUE"""),23.03)</f>
        <v/>
      </c>
      <c r="F64" s="141">
        <f>IFERROR(__xludf.DUMMYFUNCTION("""COMPUTED_VALUE"""),23.04)</f>
        <v/>
      </c>
      <c r="G64" s="143">
        <f>IFERROR(__xludf.DUMMYFUNCTION("""COMPUTED_VALUE"""),127819)</f>
        <v/>
      </c>
      <c r="H64" s="27" t="n"/>
    </row>
    <row r="65" ht="17.25" customHeight="1" s="322">
      <c r="A65" s="27" t="n"/>
      <c r="B65" s="506">
        <f>IFERROR(__xludf.DUMMYFUNCTION("""COMPUTED_VALUE"""),45922.6666666666)</f>
        <v/>
      </c>
      <c r="C65" s="141">
        <f>IFERROR(__xludf.DUMMYFUNCTION("""COMPUTED_VALUE"""),23.07)</f>
        <v/>
      </c>
      <c r="D65" s="141">
        <f>IFERROR(__xludf.DUMMYFUNCTION("""COMPUTED_VALUE"""),23.12)</f>
        <v/>
      </c>
      <c r="E65" s="141">
        <f>IFERROR(__xludf.DUMMYFUNCTION("""COMPUTED_VALUE"""),23.04)</f>
        <v/>
      </c>
      <c r="F65" s="141">
        <f>IFERROR(__xludf.DUMMYFUNCTION("""COMPUTED_VALUE"""),23.09)</f>
        <v/>
      </c>
      <c r="G65" s="143">
        <f>IFERROR(__xludf.DUMMYFUNCTION("""COMPUTED_VALUE"""),224665)</f>
        <v/>
      </c>
      <c r="H65" s="27" t="n"/>
    </row>
    <row r="66" ht="17.25" customHeight="1" s="322">
      <c r="A66" s="27" t="n"/>
      <c r="B66" s="506">
        <f>IFERROR(__xludf.DUMMYFUNCTION("""COMPUTED_VALUE"""),45923.6666666666)</f>
        <v/>
      </c>
      <c r="C66" s="141">
        <f>IFERROR(__xludf.DUMMYFUNCTION("""COMPUTED_VALUE"""),23.12)</f>
        <v/>
      </c>
      <c r="D66" s="141">
        <f>IFERROR(__xludf.DUMMYFUNCTION("""COMPUTED_VALUE"""),23.13)</f>
        <v/>
      </c>
      <c r="E66" s="141">
        <f>IFERROR(__xludf.DUMMYFUNCTION("""COMPUTED_VALUE"""),23.06)</f>
        <v/>
      </c>
      <c r="F66" s="141">
        <f>IFERROR(__xludf.DUMMYFUNCTION("""COMPUTED_VALUE"""),23.11)</f>
        <v/>
      </c>
      <c r="G66" s="143">
        <f>IFERROR(__xludf.DUMMYFUNCTION("""COMPUTED_VALUE"""),409037)</f>
        <v/>
      </c>
      <c r="H66" s="27" t="n"/>
    </row>
    <row r="67" ht="17.25" customHeight="1" s="322">
      <c r="A67" s="27" t="n"/>
      <c r="B67" s="506">
        <f>IFERROR(__xludf.DUMMYFUNCTION("""COMPUTED_VALUE"""),45924.6666666666)</f>
        <v/>
      </c>
      <c r="C67" s="141">
        <f>IFERROR(__xludf.DUMMYFUNCTION("""COMPUTED_VALUE"""),22.98)</f>
        <v/>
      </c>
      <c r="D67" s="141">
        <f>IFERROR(__xludf.DUMMYFUNCTION("""COMPUTED_VALUE"""),22.99)</f>
        <v/>
      </c>
      <c r="E67" s="141">
        <f>IFERROR(__xludf.DUMMYFUNCTION("""COMPUTED_VALUE"""),22.91)</f>
        <v/>
      </c>
      <c r="F67" s="141">
        <f>IFERROR(__xludf.DUMMYFUNCTION("""COMPUTED_VALUE"""),22.93)</f>
        <v/>
      </c>
      <c r="G67" s="143">
        <f>IFERROR(__xludf.DUMMYFUNCTION("""COMPUTED_VALUE"""),172442)</f>
        <v/>
      </c>
      <c r="H67" s="27" t="n"/>
    </row>
    <row r="68" ht="17.25" customHeight="1" s="322">
      <c r="A68" s="27" t="n"/>
      <c r="B68" s="506">
        <f>IFERROR(__xludf.DUMMYFUNCTION("""COMPUTED_VALUE"""),45925.6666666666)</f>
        <v/>
      </c>
      <c r="C68" s="141">
        <f>IFERROR(__xludf.DUMMYFUNCTION("""COMPUTED_VALUE"""),22.89)</f>
        <v/>
      </c>
      <c r="D68" s="141">
        <f>IFERROR(__xludf.DUMMYFUNCTION("""COMPUTED_VALUE"""),22.9)</f>
        <v/>
      </c>
      <c r="E68" s="141">
        <f>IFERROR(__xludf.DUMMYFUNCTION("""COMPUTED_VALUE"""),22.76)</f>
        <v/>
      </c>
      <c r="F68" s="141">
        <f>IFERROR(__xludf.DUMMYFUNCTION("""COMPUTED_VALUE"""),22.79)</f>
        <v/>
      </c>
      <c r="G68" s="143">
        <f>IFERROR(__xludf.DUMMYFUNCTION("""COMPUTED_VALUE"""),236456)</f>
        <v/>
      </c>
      <c r="H68" s="27" t="n"/>
    </row>
    <row r="69" ht="17.25" customHeight="1" s="322">
      <c r="A69" s="27" t="n"/>
      <c r="B69" s="506">
        <f>IFERROR(__xludf.DUMMYFUNCTION("""COMPUTED_VALUE"""),45926.6666666666)</f>
        <v/>
      </c>
      <c r="C69" s="141">
        <f>IFERROR(__xludf.DUMMYFUNCTION("""COMPUTED_VALUE"""),22.78)</f>
        <v/>
      </c>
      <c r="D69" s="141">
        <f>IFERROR(__xludf.DUMMYFUNCTION("""COMPUTED_VALUE"""),22.88)</f>
        <v/>
      </c>
      <c r="E69" s="141">
        <f>IFERROR(__xludf.DUMMYFUNCTION("""COMPUTED_VALUE"""),22.77)</f>
        <v/>
      </c>
      <c r="F69" s="141">
        <f>IFERROR(__xludf.DUMMYFUNCTION("""COMPUTED_VALUE"""),22.85)</f>
        <v/>
      </c>
      <c r="G69" s="143">
        <f>IFERROR(__xludf.DUMMYFUNCTION("""COMPUTED_VALUE"""),261870)</f>
        <v/>
      </c>
      <c r="H69" s="27" t="n"/>
    </row>
    <row r="70" ht="17.25" customHeight="1" s="322">
      <c r="A70" s="27" t="n"/>
      <c r="B70" s="506">
        <f>IFERROR(__xludf.DUMMYFUNCTION("""COMPUTED_VALUE"""),45929.6666666666)</f>
        <v/>
      </c>
      <c r="C70" s="141">
        <f>IFERROR(__xludf.DUMMYFUNCTION("""COMPUTED_VALUE"""),22.92)</f>
        <v/>
      </c>
      <c r="D70" s="141">
        <f>IFERROR(__xludf.DUMMYFUNCTION("""COMPUTED_VALUE"""),22.98)</f>
        <v/>
      </c>
      <c r="E70" s="141">
        <f>IFERROR(__xludf.DUMMYFUNCTION("""COMPUTED_VALUE"""),22.9)</f>
        <v/>
      </c>
      <c r="F70" s="141">
        <f>IFERROR(__xludf.DUMMYFUNCTION("""COMPUTED_VALUE"""),22.97)</f>
        <v/>
      </c>
      <c r="G70" s="143">
        <f>IFERROR(__xludf.DUMMYFUNCTION("""COMPUTED_VALUE"""),153504)</f>
        <v/>
      </c>
      <c r="H70" s="27" t="n"/>
    </row>
    <row r="71" ht="17.25" customHeight="1" s="322">
      <c r="A71" s="27" t="n"/>
      <c r="B71" s="506">
        <f>IFERROR(__xludf.DUMMYFUNCTION("""COMPUTED_VALUE"""),45930.6666666666)</f>
        <v/>
      </c>
      <c r="C71" s="141">
        <f>IFERROR(__xludf.DUMMYFUNCTION("""COMPUTED_VALUE"""),23)</f>
        <v/>
      </c>
      <c r="D71" s="141">
        <f>IFERROR(__xludf.DUMMYFUNCTION("""COMPUTED_VALUE"""),23.05)</f>
        <v/>
      </c>
      <c r="E71" s="141">
        <f>IFERROR(__xludf.DUMMYFUNCTION("""COMPUTED_VALUE"""),22.97)</f>
        <v/>
      </c>
      <c r="F71" s="141">
        <f>IFERROR(__xludf.DUMMYFUNCTION("""COMPUTED_VALUE"""),23)</f>
        <v/>
      </c>
      <c r="G71" s="143">
        <f>IFERROR(__xludf.DUMMYFUNCTION("""COMPUTED_VALUE"""),879324)</f>
        <v/>
      </c>
      <c r="H71" s="27" t="n"/>
    </row>
    <row r="72" ht="17.25" customHeight="1" s="322">
      <c r="A72" s="27" t="n"/>
      <c r="B72" s="506">
        <f>IFERROR(__xludf.DUMMYFUNCTION("""COMPUTED_VALUE"""),45931.6666666666)</f>
        <v/>
      </c>
      <c r="C72" s="141">
        <f>IFERROR(__xludf.DUMMYFUNCTION("""COMPUTED_VALUE"""),23)</f>
        <v/>
      </c>
      <c r="D72" s="141">
        <f>IFERROR(__xludf.DUMMYFUNCTION("""COMPUTED_VALUE"""),23.08)</f>
        <v/>
      </c>
      <c r="E72" s="141">
        <f>IFERROR(__xludf.DUMMYFUNCTION("""COMPUTED_VALUE"""),22.96)</f>
        <v/>
      </c>
      <c r="F72" s="141">
        <f>IFERROR(__xludf.DUMMYFUNCTION("""COMPUTED_VALUE"""),22.99)</f>
        <v/>
      </c>
      <c r="G72" s="143">
        <f>IFERROR(__xludf.DUMMYFUNCTION("""COMPUTED_VALUE"""),452759)</f>
        <v/>
      </c>
      <c r="H72" s="27" t="n"/>
    </row>
    <row r="73" ht="17.25" customHeight="1" s="322">
      <c r="A73" s="27" t="n"/>
      <c r="B73" s="506">
        <f>IFERROR(__xludf.DUMMYFUNCTION("""COMPUTED_VALUE"""),45932.6666666666)</f>
        <v/>
      </c>
      <c r="C73" s="141">
        <f>IFERROR(__xludf.DUMMYFUNCTION("""COMPUTED_VALUE"""),22.95)</f>
        <v/>
      </c>
      <c r="D73" s="141">
        <f>IFERROR(__xludf.DUMMYFUNCTION("""COMPUTED_VALUE"""),23.01)</f>
        <v/>
      </c>
      <c r="E73" s="141">
        <f>IFERROR(__xludf.DUMMYFUNCTION("""COMPUTED_VALUE"""),22.9)</f>
        <v/>
      </c>
      <c r="F73" s="141">
        <f>IFERROR(__xludf.DUMMYFUNCTION("""COMPUTED_VALUE"""),22.97)</f>
        <v/>
      </c>
      <c r="G73" s="143">
        <f>IFERROR(__xludf.DUMMYFUNCTION("""COMPUTED_VALUE"""),302884)</f>
        <v/>
      </c>
      <c r="H73" s="27" t="n"/>
    </row>
    <row r="74" ht="17.25" customHeight="1" s="322">
      <c r="A74" s="27" t="n"/>
      <c r="B74" s="506">
        <f>IFERROR(__xludf.DUMMYFUNCTION("""COMPUTED_VALUE"""),45933.6666666666)</f>
        <v/>
      </c>
      <c r="C74" s="141">
        <f>IFERROR(__xludf.DUMMYFUNCTION("""COMPUTED_VALUE"""),22.95)</f>
        <v/>
      </c>
      <c r="D74" s="141">
        <f>IFERROR(__xludf.DUMMYFUNCTION("""COMPUTED_VALUE"""),23)</f>
        <v/>
      </c>
      <c r="E74" s="141">
        <f>IFERROR(__xludf.DUMMYFUNCTION("""COMPUTED_VALUE"""),22.94)</f>
        <v/>
      </c>
      <c r="F74" s="141">
        <f>IFERROR(__xludf.DUMMYFUNCTION("""COMPUTED_VALUE"""),22.96)</f>
        <v/>
      </c>
      <c r="G74" s="143">
        <f>IFERROR(__xludf.DUMMYFUNCTION("""COMPUTED_VALUE"""),1225661)</f>
        <v/>
      </c>
      <c r="H74" s="27" t="n"/>
    </row>
    <row r="75" ht="17.25" customHeight="1" s="322">
      <c r="A75" s="27" t="n"/>
      <c r="B75" s="506">
        <f>IFERROR(__xludf.DUMMYFUNCTION("""COMPUTED_VALUE"""),45936.6666666666)</f>
        <v/>
      </c>
      <c r="C75" s="141">
        <f>IFERROR(__xludf.DUMMYFUNCTION("""COMPUTED_VALUE"""),22.82)</f>
        <v/>
      </c>
      <c r="D75" s="141">
        <f>IFERROR(__xludf.DUMMYFUNCTION("""COMPUTED_VALUE"""),22.91)</f>
        <v/>
      </c>
      <c r="E75" s="141">
        <f>IFERROR(__xludf.DUMMYFUNCTION("""COMPUTED_VALUE"""),22.79)</f>
        <v/>
      </c>
      <c r="F75" s="141">
        <f>IFERROR(__xludf.DUMMYFUNCTION("""COMPUTED_VALUE"""),22.8)</f>
        <v/>
      </c>
      <c r="G75" s="143">
        <f>IFERROR(__xludf.DUMMYFUNCTION("""COMPUTED_VALUE"""),482129)</f>
        <v/>
      </c>
      <c r="H75" s="27" t="n"/>
    </row>
    <row r="76" ht="17.25" customHeight="1" s="322">
      <c r="A76" s="27" t="n"/>
      <c r="B76" s="506">
        <f>IFERROR(__xludf.DUMMYFUNCTION("""COMPUTED_VALUE"""),45937.6666666666)</f>
        <v/>
      </c>
      <c r="C76" s="141">
        <f>IFERROR(__xludf.DUMMYFUNCTION("""COMPUTED_VALUE"""),22.78)</f>
        <v/>
      </c>
      <c r="D76" s="141">
        <f>IFERROR(__xludf.DUMMYFUNCTION("""COMPUTED_VALUE"""),22.79)</f>
        <v/>
      </c>
      <c r="E76" s="141">
        <f>IFERROR(__xludf.DUMMYFUNCTION("""COMPUTED_VALUE"""),22.7)</f>
        <v/>
      </c>
      <c r="F76" s="141">
        <f>IFERROR(__xludf.DUMMYFUNCTION("""COMPUTED_VALUE"""),22.7)</f>
        <v/>
      </c>
      <c r="G76" s="143">
        <f>IFERROR(__xludf.DUMMYFUNCTION("""COMPUTED_VALUE"""),209784)</f>
        <v/>
      </c>
      <c r="H76" s="27" t="n"/>
    </row>
    <row r="77" ht="17.25" customHeight="1" s="322">
      <c r="A77" s="27" t="n"/>
      <c r="B77" s="506">
        <f>IFERROR(__xludf.DUMMYFUNCTION("""COMPUTED_VALUE"""),45938.6666666666)</f>
        <v/>
      </c>
      <c r="C77" s="141">
        <f>IFERROR(__xludf.DUMMYFUNCTION("""COMPUTED_VALUE"""),22.71)</f>
        <v/>
      </c>
      <c r="D77" s="141">
        <f>IFERROR(__xludf.DUMMYFUNCTION("""COMPUTED_VALUE"""),22.74)</f>
        <v/>
      </c>
      <c r="E77" s="141">
        <f>IFERROR(__xludf.DUMMYFUNCTION("""COMPUTED_VALUE"""),22.64)</f>
        <v/>
      </c>
      <c r="F77" s="141">
        <f>IFERROR(__xludf.DUMMYFUNCTION("""COMPUTED_VALUE"""),22.69)</f>
        <v/>
      </c>
      <c r="G77" s="143">
        <f>IFERROR(__xludf.DUMMYFUNCTION("""COMPUTED_VALUE"""),228539)</f>
        <v/>
      </c>
      <c r="H77" s="27" t="n"/>
    </row>
    <row r="78" ht="17.25" customHeight="1" s="322">
      <c r="A78" s="27" t="n"/>
      <c r="B78" s="506">
        <f>IFERROR(__xludf.DUMMYFUNCTION("""COMPUTED_VALUE"""),45939.6666666666)</f>
        <v/>
      </c>
      <c r="C78" s="141">
        <f>IFERROR(__xludf.DUMMYFUNCTION("""COMPUTED_VALUE"""),22.68)</f>
        <v/>
      </c>
      <c r="D78" s="141">
        <f>IFERROR(__xludf.DUMMYFUNCTION("""COMPUTED_VALUE"""),22.68)</f>
        <v/>
      </c>
      <c r="E78" s="141">
        <f>IFERROR(__xludf.DUMMYFUNCTION("""COMPUTED_VALUE"""),22.55)</f>
        <v/>
      </c>
      <c r="F78" s="141">
        <f>IFERROR(__xludf.DUMMYFUNCTION("""COMPUTED_VALUE"""),22.58)</f>
        <v/>
      </c>
      <c r="G78" s="143">
        <f>IFERROR(__xludf.DUMMYFUNCTION("""COMPUTED_VALUE"""),190986)</f>
        <v/>
      </c>
      <c r="H78" s="27" t="n"/>
    </row>
    <row r="79" ht="17.25" customHeight="1" s="322">
      <c r="A79" s="27" t="n"/>
      <c r="B79" s="506">
        <f>IFERROR(__xludf.DUMMYFUNCTION("""COMPUTED_VALUE"""),45940.6666666666)</f>
        <v/>
      </c>
      <c r="C79" s="141">
        <f>IFERROR(__xludf.DUMMYFUNCTION("""COMPUTED_VALUE"""),22.68)</f>
        <v/>
      </c>
      <c r="D79" s="141">
        <f>IFERROR(__xludf.DUMMYFUNCTION("""COMPUTED_VALUE"""),22.76)</f>
        <v/>
      </c>
      <c r="E79" s="141">
        <f>IFERROR(__xludf.DUMMYFUNCTION("""COMPUTED_VALUE"""),22.6)</f>
        <v/>
      </c>
      <c r="F79" s="141">
        <f>IFERROR(__xludf.DUMMYFUNCTION("""COMPUTED_VALUE"""),22.73)</f>
        <v/>
      </c>
      <c r="G79" s="143">
        <f>IFERROR(__xludf.DUMMYFUNCTION("""COMPUTED_VALUE"""),207991)</f>
        <v/>
      </c>
      <c r="H79" s="27" t="n"/>
    </row>
    <row r="80" ht="17.25" customHeight="1" s="322">
      <c r="A80" s="27" t="n"/>
      <c r="B80" s="506">
        <f>IFERROR(__xludf.DUMMYFUNCTION("""COMPUTED_VALUE"""),45943.6666666666)</f>
        <v/>
      </c>
      <c r="C80" s="141">
        <f>IFERROR(__xludf.DUMMYFUNCTION("""COMPUTED_VALUE"""),22.75)</f>
        <v/>
      </c>
      <c r="D80" s="141">
        <f>IFERROR(__xludf.DUMMYFUNCTION("""COMPUTED_VALUE"""),22.84)</f>
        <v/>
      </c>
      <c r="E80" s="141">
        <f>IFERROR(__xludf.DUMMYFUNCTION("""COMPUTED_VALUE"""),22.67)</f>
        <v/>
      </c>
      <c r="F80" s="141">
        <f>IFERROR(__xludf.DUMMYFUNCTION("""COMPUTED_VALUE"""),22.71)</f>
        <v/>
      </c>
      <c r="G80" s="143">
        <f>IFERROR(__xludf.DUMMYFUNCTION("""COMPUTED_VALUE"""),1089197)</f>
        <v/>
      </c>
      <c r="H80" s="27" t="n"/>
    </row>
    <row r="81" ht="17.25" customHeight="1" s="322">
      <c r="A81" s="27" t="n"/>
      <c r="B81" s="506">
        <f>IFERROR(__xludf.DUMMYFUNCTION("""COMPUTED_VALUE"""),45944.6666666666)</f>
        <v/>
      </c>
      <c r="C81" s="141">
        <f>IFERROR(__xludf.DUMMYFUNCTION("""COMPUTED_VALUE"""),22.71)</f>
        <v/>
      </c>
      <c r="D81" s="141">
        <f>IFERROR(__xludf.DUMMYFUNCTION("""COMPUTED_VALUE"""),22.8)</f>
        <v/>
      </c>
      <c r="E81" s="141">
        <f>IFERROR(__xludf.DUMMYFUNCTION("""COMPUTED_VALUE"""),22.66)</f>
        <v/>
      </c>
      <c r="F81" s="141">
        <f>IFERROR(__xludf.DUMMYFUNCTION("""COMPUTED_VALUE"""),22.78)</f>
        <v/>
      </c>
      <c r="G81" s="143">
        <f>IFERROR(__xludf.DUMMYFUNCTION("""COMPUTED_VALUE"""),519952)</f>
        <v/>
      </c>
      <c r="H81" s="27" t="n"/>
    </row>
    <row r="82" ht="17.25" customHeight="1" s="322">
      <c r="A82" s="27" t="n"/>
      <c r="B82" s="506">
        <f>IFERROR(__xludf.DUMMYFUNCTION("""COMPUTED_VALUE"""),45945.6666666666)</f>
        <v/>
      </c>
      <c r="C82" s="141">
        <f>IFERROR(__xludf.DUMMYFUNCTION("""COMPUTED_VALUE"""),22.82)</f>
        <v/>
      </c>
      <c r="D82" s="141">
        <f>IFERROR(__xludf.DUMMYFUNCTION("""COMPUTED_VALUE"""),22.91)</f>
        <v/>
      </c>
      <c r="E82" s="141">
        <f>IFERROR(__xludf.DUMMYFUNCTION("""COMPUTED_VALUE"""),22.79)</f>
        <v/>
      </c>
      <c r="F82" s="141">
        <f>IFERROR(__xludf.DUMMYFUNCTION("""COMPUTED_VALUE"""),22.86)</f>
        <v/>
      </c>
      <c r="G82" s="143">
        <f>IFERROR(__xludf.DUMMYFUNCTION("""COMPUTED_VALUE"""),458002)</f>
        <v/>
      </c>
      <c r="H82" s="27" t="n"/>
    </row>
    <row r="83" ht="17.25" customHeight="1" s="322">
      <c r="A83" s="27" t="n"/>
      <c r="B83" s="506">
        <f>IFERROR(__xludf.DUMMYFUNCTION("""COMPUTED_VALUE"""),45946.6666666666)</f>
        <v/>
      </c>
      <c r="C83" s="141">
        <f>IFERROR(__xludf.DUMMYFUNCTION("""COMPUTED_VALUE"""),22.9)</f>
        <v/>
      </c>
      <c r="D83" s="141">
        <f>IFERROR(__xludf.DUMMYFUNCTION("""COMPUTED_VALUE"""),23.05)</f>
        <v/>
      </c>
      <c r="E83" s="141">
        <f>IFERROR(__xludf.DUMMYFUNCTION("""COMPUTED_VALUE"""),22.87)</f>
        <v/>
      </c>
      <c r="F83" s="141">
        <f>IFERROR(__xludf.DUMMYFUNCTION("""COMPUTED_VALUE"""),23.03)</f>
        <v/>
      </c>
      <c r="G83" s="143">
        <f>IFERROR(__xludf.DUMMYFUNCTION("""COMPUTED_VALUE"""),364554)</f>
        <v/>
      </c>
      <c r="H83" s="27" t="n"/>
    </row>
    <row r="84" ht="17.25" customHeight="1" s="322">
      <c r="A84" s="27" t="n"/>
      <c r="B84" s="506">
        <f>IFERROR(__xludf.DUMMYFUNCTION("""COMPUTED_VALUE"""),45947.6666666666)</f>
        <v/>
      </c>
      <c r="C84" s="141">
        <f>IFERROR(__xludf.DUMMYFUNCTION("""COMPUTED_VALUE"""),22.96)</f>
        <v/>
      </c>
      <c r="D84" s="141">
        <f>IFERROR(__xludf.DUMMYFUNCTION("""COMPUTED_VALUE"""),23.01)</f>
        <v/>
      </c>
      <c r="E84" s="141">
        <f>IFERROR(__xludf.DUMMYFUNCTION("""COMPUTED_VALUE"""),22.9)</f>
        <v/>
      </c>
      <c r="F84" s="141">
        <f>IFERROR(__xludf.DUMMYFUNCTION("""COMPUTED_VALUE"""),22.97)</f>
        <v/>
      </c>
      <c r="G84" s="143">
        <f>IFERROR(__xludf.DUMMYFUNCTION("""COMPUTED_VALUE"""),418513)</f>
        <v/>
      </c>
      <c r="H84" s="27" t="n"/>
    </row>
    <row r="85" ht="17.25" customHeight="1" s="322">
      <c r="A85" s="27" t="n"/>
      <c r="B85" s="506">
        <f>IFERROR(__xludf.DUMMYFUNCTION("""COMPUTED_VALUE"""),45950.6666666666)</f>
        <v/>
      </c>
      <c r="C85" s="141">
        <f>IFERROR(__xludf.DUMMYFUNCTION("""COMPUTED_VALUE"""),22.97)</f>
        <v/>
      </c>
      <c r="D85" s="141">
        <f>IFERROR(__xludf.DUMMYFUNCTION("""COMPUTED_VALUE"""),23.01)</f>
        <v/>
      </c>
      <c r="E85" s="141">
        <f>IFERROR(__xludf.DUMMYFUNCTION("""COMPUTED_VALUE"""),22.92)</f>
        <v/>
      </c>
      <c r="F85" s="141">
        <f>IFERROR(__xludf.DUMMYFUNCTION("""COMPUTED_VALUE"""),23)</f>
        <v/>
      </c>
      <c r="G85" s="143">
        <f>IFERROR(__xludf.DUMMYFUNCTION("""COMPUTED_VALUE"""),626179)</f>
        <v/>
      </c>
      <c r="H85" s="27" t="n"/>
    </row>
    <row r="86" ht="17.25" customHeight="1" s="322">
      <c r="A86" s="27" t="n"/>
      <c r="B86" s="506">
        <f>IFERROR(__xludf.DUMMYFUNCTION("""COMPUTED_VALUE"""),45951.6666666666)</f>
        <v/>
      </c>
      <c r="C86" s="141">
        <f>IFERROR(__xludf.DUMMYFUNCTION("""COMPUTED_VALUE"""),22.93)</f>
        <v/>
      </c>
      <c r="D86" s="141">
        <f>IFERROR(__xludf.DUMMYFUNCTION("""COMPUTED_VALUE"""),22.93)</f>
        <v/>
      </c>
      <c r="E86" s="141">
        <f>IFERROR(__xludf.DUMMYFUNCTION("""COMPUTED_VALUE"""),22.86)</f>
        <v/>
      </c>
      <c r="F86" s="141">
        <f>IFERROR(__xludf.DUMMYFUNCTION("""COMPUTED_VALUE"""),22.9)</f>
        <v/>
      </c>
      <c r="G86" s="143">
        <f>IFERROR(__xludf.DUMMYFUNCTION("""COMPUTED_VALUE"""),387597)</f>
        <v/>
      </c>
      <c r="H86" s="27" t="n"/>
    </row>
    <row r="87" ht="17.25" customHeight="1" s="322">
      <c r="A87" s="27" t="n"/>
      <c r="B87" s="506">
        <f>IFERROR(__xludf.DUMMYFUNCTION("""COMPUTED_VALUE"""),45952.6666666666)</f>
        <v/>
      </c>
      <c r="C87" s="141">
        <f>IFERROR(__xludf.DUMMYFUNCTION("""COMPUTED_VALUE"""),22.91)</f>
        <v/>
      </c>
      <c r="D87" s="141">
        <f>IFERROR(__xludf.DUMMYFUNCTION("""COMPUTED_VALUE"""),22.94)</f>
        <v/>
      </c>
      <c r="E87" s="141">
        <f>IFERROR(__xludf.DUMMYFUNCTION("""COMPUTED_VALUE"""),22.88)</f>
        <v/>
      </c>
      <c r="F87" s="141">
        <f>IFERROR(__xludf.DUMMYFUNCTION("""COMPUTED_VALUE"""),22.91)</f>
        <v/>
      </c>
      <c r="G87" s="143">
        <f>IFERROR(__xludf.DUMMYFUNCTION("""COMPUTED_VALUE"""),203066)</f>
        <v/>
      </c>
      <c r="H87" s="27" t="n"/>
    </row>
    <row r="88" ht="17.25" customHeight="1" s="322">
      <c r="A88" s="27" t="n"/>
      <c r="B88" s="506">
        <f>IFERROR(__xludf.DUMMYFUNCTION("""COMPUTED_VALUE"""),45953.6666666666)</f>
        <v/>
      </c>
      <c r="C88" s="141">
        <f>IFERROR(__xludf.DUMMYFUNCTION("""COMPUTED_VALUE"""),22.86)</f>
        <v/>
      </c>
      <c r="D88" s="141">
        <f>IFERROR(__xludf.DUMMYFUNCTION("""COMPUTED_VALUE"""),22.9)</f>
        <v/>
      </c>
      <c r="E88" s="141">
        <f>IFERROR(__xludf.DUMMYFUNCTION("""COMPUTED_VALUE"""),22.8)</f>
        <v/>
      </c>
      <c r="F88" s="141">
        <f>IFERROR(__xludf.DUMMYFUNCTION("""COMPUTED_VALUE"""),22.85)</f>
        <v/>
      </c>
      <c r="G88" s="143">
        <f>IFERROR(__xludf.DUMMYFUNCTION("""COMPUTED_VALUE"""),188640)</f>
        <v/>
      </c>
      <c r="H88" s="27" t="n"/>
    </row>
    <row r="89" ht="17.25" customHeight="1" s="322">
      <c r="A89" s="27" t="n"/>
      <c r="B89" s="506">
        <f>IFERROR(__xludf.DUMMYFUNCTION("""COMPUTED_VALUE"""),45954.6666666666)</f>
        <v/>
      </c>
      <c r="C89" s="141">
        <f>IFERROR(__xludf.DUMMYFUNCTION("""COMPUTED_VALUE"""),22.86)</f>
        <v/>
      </c>
      <c r="D89" s="141">
        <f>IFERROR(__xludf.DUMMYFUNCTION("""COMPUTED_VALUE"""),22.88)</f>
        <v/>
      </c>
      <c r="E89" s="141">
        <f>IFERROR(__xludf.DUMMYFUNCTION("""COMPUTED_VALUE"""),22.81)</f>
        <v/>
      </c>
      <c r="F89" s="141">
        <f>IFERROR(__xludf.DUMMYFUNCTION("""COMPUTED_VALUE"""),22.83)</f>
        <v/>
      </c>
      <c r="G89" s="143">
        <f>IFERROR(__xludf.DUMMYFUNCTION("""COMPUTED_VALUE"""),256585)</f>
        <v/>
      </c>
      <c r="H89" s="27" t="n"/>
    </row>
    <row r="90" ht="17.25" customHeight="1" s="322">
      <c r="A90" s="27" t="n"/>
      <c r="B90" s="506">
        <f>IFERROR(__xludf.DUMMYFUNCTION("""COMPUTED_VALUE"""),45957.6666666666)</f>
        <v/>
      </c>
      <c r="C90" s="141">
        <f>IFERROR(__xludf.DUMMYFUNCTION("""COMPUTED_VALUE"""),22.82)</f>
        <v/>
      </c>
      <c r="D90" s="141">
        <f>IFERROR(__xludf.DUMMYFUNCTION("""COMPUTED_VALUE"""),22.93)</f>
        <v/>
      </c>
      <c r="E90" s="141">
        <f>IFERROR(__xludf.DUMMYFUNCTION("""COMPUTED_VALUE"""),22.73)</f>
        <v/>
      </c>
      <c r="F90" s="141">
        <f>IFERROR(__xludf.DUMMYFUNCTION("""COMPUTED_VALUE"""),22.9)</f>
        <v/>
      </c>
      <c r="G90" s="143">
        <f>IFERROR(__xludf.DUMMYFUNCTION("""COMPUTED_VALUE"""),235330)</f>
        <v/>
      </c>
      <c r="H90" s="27" t="n"/>
    </row>
    <row r="91" ht="17.25" customHeight="1" s="322">
      <c r="A91" s="27" t="n"/>
      <c r="B91" s="506">
        <f>IFERROR(__xludf.DUMMYFUNCTION("""COMPUTED_VALUE"""),45958.6666666666)</f>
        <v/>
      </c>
      <c r="C91" s="141">
        <f>IFERROR(__xludf.DUMMYFUNCTION("""COMPUTED_VALUE"""),22.89)</f>
        <v/>
      </c>
      <c r="D91" s="141">
        <f>IFERROR(__xludf.DUMMYFUNCTION("""COMPUTED_VALUE"""),22.97)</f>
        <v/>
      </c>
      <c r="E91" s="141">
        <f>IFERROR(__xludf.DUMMYFUNCTION("""COMPUTED_VALUE"""),22.87)</f>
        <v/>
      </c>
      <c r="F91" s="141">
        <f>IFERROR(__xludf.DUMMYFUNCTION("""COMPUTED_VALUE"""),22.94)</f>
        <v/>
      </c>
      <c r="G91" s="143">
        <f>IFERROR(__xludf.DUMMYFUNCTION("""COMPUTED_VALUE"""),152082)</f>
        <v/>
      </c>
      <c r="H91" s="27" t="n"/>
    </row>
    <row r="92" ht="17.25" customHeight="1" s="322">
      <c r="A92" s="27" t="n"/>
      <c r="B92" s="506">
        <f>IFERROR(__xludf.DUMMYFUNCTION("""COMPUTED_VALUE"""),45959.6666666666)</f>
        <v/>
      </c>
      <c r="C92" s="141">
        <f>IFERROR(__xludf.DUMMYFUNCTION("""COMPUTED_VALUE"""),22.94)</f>
        <v/>
      </c>
      <c r="D92" s="141">
        <f>IFERROR(__xludf.DUMMYFUNCTION("""COMPUTED_VALUE"""),22.99)</f>
        <v/>
      </c>
      <c r="E92" s="141">
        <f>IFERROR(__xludf.DUMMYFUNCTION("""COMPUTED_VALUE"""),22.7)</f>
        <v/>
      </c>
      <c r="F92" s="141">
        <f>IFERROR(__xludf.DUMMYFUNCTION("""COMPUTED_VALUE"""),22.7)</f>
        <v/>
      </c>
      <c r="G92" s="143">
        <f>IFERROR(__xludf.DUMMYFUNCTION("""COMPUTED_VALUE"""),282314)</f>
        <v/>
      </c>
      <c r="H92" s="27" t="n"/>
    </row>
    <row r="93" ht="17.25" customHeight="1" s="322">
      <c r="A93" s="27" t="n"/>
      <c r="B93" s="506">
        <f>IFERROR(__xludf.DUMMYFUNCTION("""COMPUTED_VALUE"""),45960.6666666666)</f>
        <v/>
      </c>
      <c r="C93" s="141">
        <f>IFERROR(__xludf.DUMMYFUNCTION("""COMPUTED_VALUE"""),22.7)</f>
        <v/>
      </c>
      <c r="D93" s="141">
        <f>IFERROR(__xludf.DUMMYFUNCTION("""COMPUTED_VALUE"""),22.77)</f>
        <v/>
      </c>
      <c r="E93" s="141">
        <f>IFERROR(__xludf.DUMMYFUNCTION("""COMPUTED_VALUE"""),22.66)</f>
        <v/>
      </c>
      <c r="F93" s="141">
        <f>IFERROR(__xludf.DUMMYFUNCTION("""COMPUTED_VALUE"""),22.73)</f>
        <v/>
      </c>
      <c r="G93" s="143">
        <f>IFERROR(__xludf.DUMMYFUNCTION("""COMPUTED_VALUE"""),361441)</f>
        <v/>
      </c>
      <c r="H93" s="27" t="n"/>
    </row>
    <row r="94" ht="17.25" customHeight="1" s="322">
      <c r="A94" s="27" t="n"/>
      <c r="B94" s="506">
        <f>IFERROR(__xludf.DUMMYFUNCTION("""COMPUTED_VALUE"""),45961.6666666666)</f>
        <v/>
      </c>
      <c r="C94" s="141">
        <f>IFERROR(__xludf.DUMMYFUNCTION("""COMPUTED_VALUE"""),22.73)</f>
        <v/>
      </c>
      <c r="D94" s="141">
        <f>IFERROR(__xludf.DUMMYFUNCTION("""COMPUTED_VALUE"""),22.76)</f>
        <v/>
      </c>
      <c r="E94" s="141">
        <f>IFERROR(__xludf.DUMMYFUNCTION("""COMPUTED_VALUE"""),22.69)</f>
        <v/>
      </c>
      <c r="F94" s="141">
        <f>IFERROR(__xludf.DUMMYFUNCTION("""COMPUTED_VALUE"""),22.73)</f>
        <v/>
      </c>
      <c r="G94" s="143">
        <f>IFERROR(__xludf.DUMMYFUNCTION("""COMPUTED_VALUE"""),594276)</f>
        <v/>
      </c>
      <c r="H94" s="27" t="n"/>
    </row>
    <row r="95" ht="17.25" customHeight="1" s="322">
      <c r="A95" s="27" t="n"/>
      <c r="B95" s="506">
        <f>IFERROR(__xludf.DUMMYFUNCTION("""COMPUTED_VALUE"""),45964.6666666666)</f>
        <v/>
      </c>
      <c r="C95" s="141">
        <f>IFERROR(__xludf.DUMMYFUNCTION("""COMPUTED_VALUE"""),22.6)</f>
        <v/>
      </c>
      <c r="D95" s="141">
        <f>IFERROR(__xludf.DUMMYFUNCTION("""COMPUTED_VALUE"""),22.65)</f>
        <v/>
      </c>
      <c r="E95" s="141">
        <f>IFERROR(__xludf.DUMMYFUNCTION("""COMPUTED_VALUE"""),22.58)</f>
        <v/>
      </c>
      <c r="F95" s="141">
        <f>IFERROR(__xludf.DUMMYFUNCTION("""COMPUTED_VALUE"""),22.58)</f>
        <v/>
      </c>
      <c r="G95" s="143">
        <f>IFERROR(__xludf.DUMMYFUNCTION("""COMPUTED_VALUE"""),376926)</f>
        <v/>
      </c>
      <c r="H95" s="27" t="n"/>
    </row>
    <row r="96" ht="17.25" customHeight="1" s="322">
      <c r="A96" s="27" t="n"/>
      <c r="B96" s="506">
        <f>IFERROR(__xludf.DUMMYFUNCTION("""COMPUTED_VALUE"""),45965.6666666666)</f>
        <v/>
      </c>
      <c r="C96" s="141">
        <f>IFERROR(__xludf.DUMMYFUNCTION("""COMPUTED_VALUE"""),22.57)</f>
        <v/>
      </c>
      <c r="D96" s="141">
        <f>IFERROR(__xludf.DUMMYFUNCTION("""COMPUTED_VALUE"""),22.61)</f>
        <v/>
      </c>
      <c r="E96" s="141">
        <f>IFERROR(__xludf.DUMMYFUNCTION("""COMPUTED_VALUE"""),22.55)</f>
        <v/>
      </c>
      <c r="F96" s="141">
        <f>IFERROR(__xludf.DUMMYFUNCTION("""COMPUTED_VALUE"""),22.56)</f>
        <v/>
      </c>
      <c r="G96" s="143">
        <f>IFERROR(__xludf.DUMMYFUNCTION("""COMPUTED_VALUE"""),211075)</f>
        <v/>
      </c>
      <c r="H96" s="27" t="n"/>
    </row>
    <row r="97" ht="17.25" customHeight="1" s="322">
      <c r="A97" s="27" t="n"/>
      <c r="B97" s="506">
        <f>IFERROR(__xludf.DUMMYFUNCTION("""COMPUTED_VALUE"""),45966.6666666666)</f>
        <v/>
      </c>
      <c r="C97" s="141">
        <f>IFERROR(__xludf.DUMMYFUNCTION("""COMPUTED_VALUE"""),22.53)</f>
        <v/>
      </c>
      <c r="D97" s="141">
        <f>IFERROR(__xludf.DUMMYFUNCTION("""COMPUTED_VALUE"""),22.61)</f>
        <v/>
      </c>
      <c r="E97" s="141">
        <f>IFERROR(__xludf.DUMMYFUNCTION("""COMPUTED_VALUE"""),22.46)</f>
        <v/>
      </c>
      <c r="F97" s="141">
        <f>IFERROR(__xludf.DUMMYFUNCTION("""COMPUTED_VALUE"""),22.52)</f>
        <v/>
      </c>
      <c r="G97" s="143">
        <f>IFERROR(__xludf.DUMMYFUNCTION("""COMPUTED_VALUE"""),164387)</f>
        <v/>
      </c>
      <c r="H97" s="27" t="n"/>
    </row>
    <row r="98" ht="17.25" customHeight="1" s="322">
      <c r="A98" s="27" t="n"/>
      <c r="B98" s="506">
        <f>IFERROR(__xludf.DUMMYFUNCTION("""COMPUTED_VALUE"""),45967.6666666666)</f>
        <v/>
      </c>
      <c r="C98" s="141">
        <f>IFERROR(__xludf.DUMMYFUNCTION("""COMPUTED_VALUE"""),22.64)</f>
        <v/>
      </c>
      <c r="D98" s="141">
        <f>IFERROR(__xludf.DUMMYFUNCTION("""COMPUTED_VALUE"""),22.69)</f>
        <v/>
      </c>
      <c r="E98" s="141">
        <f>IFERROR(__xludf.DUMMYFUNCTION("""COMPUTED_VALUE"""),22.62)</f>
        <v/>
      </c>
      <c r="F98" s="141">
        <f>IFERROR(__xludf.DUMMYFUNCTION("""COMPUTED_VALUE"""),22.64)</f>
        <v/>
      </c>
      <c r="G98" s="143">
        <f>IFERROR(__xludf.DUMMYFUNCTION("""COMPUTED_VALUE"""),1023533)</f>
        <v/>
      </c>
      <c r="H98" s="27" t="n"/>
    </row>
    <row r="99" ht="17.25" customHeight="1" s="322">
      <c r="A99" s="27" t="n"/>
      <c r="B99" s="506">
        <f>IFERROR(__xludf.DUMMYFUNCTION("""COMPUTED_VALUE"""),45968.6666666666)</f>
        <v/>
      </c>
      <c r="C99" s="141">
        <f>IFERROR(__xludf.DUMMYFUNCTION("""COMPUTED_VALUE"""),22.62)</f>
        <v/>
      </c>
      <c r="D99" s="141">
        <f>IFERROR(__xludf.DUMMYFUNCTION("""COMPUTED_VALUE"""),22.69)</f>
        <v/>
      </c>
      <c r="E99" s="141">
        <f>IFERROR(__xludf.DUMMYFUNCTION("""COMPUTED_VALUE"""),22.56)</f>
        <v/>
      </c>
      <c r="F99" s="141">
        <f>IFERROR(__xludf.DUMMYFUNCTION("""COMPUTED_VALUE"""),22.64)</f>
        <v/>
      </c>
      <c r="G99" s="143">
        <f>IFERROR(__xludf.DUMMYFUNCTION("""COMPUTED_VALUE"""),230521)</f>
        <v/>
      </c>
      <c r="H99" s="27" t="n"/>
    </row>
    <row r="100" ht="17.25" customHeight="1" s="322">
      <c r="A100" s="27" t="n"/>
      <c r="B100" s="506">
        <f>IFERROR(__xludf.DUMMYFUNCTION("""COMPUTED_VALUE"""),45971.6666666666)</f>
        <v/>
      </c>
      <c r="C100" s="141">
        <f>IFERROR(__xludf.DUMMYFUNCTION("""COMPUTED_VALUE"""),22.63)</f>
        <v/>
      </c>
      <c r="D100" s="141">
        <f>IFERROR(__xludf.DUMMYFUNCTION("""COMPUTED_VALUE"""),22.66)</f>
        <v/>
      </c>
      <c r="E100" s="141">
        <f>IFERROR(__xludf.DUMMYFUNCTION("""COMPUTED_VALUE"""),22.61)</f>
        <v/>
      </c>
      <c r="F100" s="141">
        <f>IFERROR(__xludf.DUMMYFUNCTION("""COMPUTED_VALUE"""),22.64)</f>
        <v/>
      </c>
      <c r="G100" s="143">
        <f>IFERROR(__xludf.DUMMYFUNCTION("""COMPUTED_VALUE"""),199092)</f>
        <v/>
      </c>
      <c r="H100" s="27" t="n"/>
    </row>
    <row r="101" ht="17.25" customHeight="1" s="322">
      <c r="A101" s="27" t="n"/>
      <c r="B101" s="506">
        <f>IFERROR(__xludf.DUMMYFUNCTION("""COMPUTED_VALUE"""),45972.6666666666)</f>
        <v/>
      </c>
      <c r="C101" s="141">
        <f>IFERROR(__xludf.DUMMYFUNCTION("""COMPUTED_VALUE"""),22.7)</f>
        <v/>
      </c>
      <c r="D101" s="141">
        <f>IFERROR(__xludf.DUMMYFUNCTION("""COMPUTED_VALUE"""),22.73)</f>
        <v/>
      </c>
      <c r="E101" s="141">
        <f>IFERROR(__xludf.DUMMYFUNCTION("""COMPUTED_VALUE"""),22.64)</f>
        <v/>
      </c>
      <c r="F101" s="141">
        <f>IFERROR(__xludf.DUMMYFUNCTION("""COMPUTED_VALUE"""),22.68)</f>
        <v/>
      </c>
      <c r="G101" s="143">
        <f>IFERROR(__xludf.DUMMYFUNCTION("""COMPUTED_VALUE"""),169103)</f>
        <v/>
      </c>
      <c r="H101" s="27" t="n"/>
    </row>
    <row r="102" ht="17.25" customHeight="1" s="322">
      <c r="A102" s="27" t="n"/>
      <c r="B102" s="506">
        <f>IFERROR(__xludf.DUMMYFUNCTION("""COMPUTED_VALUE"""),45973.6666666666)</f>
        <v/>
      </c>
      <c r="C102" s="141">
        <f>IFERROR(__xludf.DUMMYFUNCTION("""COMPUTED_VALUE"""),22.6)</f>
        <v/>
      </c>
      <c r="D102" s="141">
        <f>IFERROR(__xludf.DUMMYFUNCTION("""COMPUTED_VALUE"""),22.75)</f>
        <v/>
      </c>
      <c r="E102" s="141">
        <f>IFERROR(__xludf.DUMMYFUNCTION("""COMPUTED_VALUE"""),22.57)</f>
        <v/>
      </c>
      <c r="F102" s="141">
        <f>IFERROR(__xludf.DUMMYFUNCTION("""COMPUTED_VALUE"""),22.65)</f>
        <v/>
      </c>
      <c r="G102" s="143">
        <f>IFERROR(__xludf.DUMMYFUNCTION("""COMPUTED_VALUE"""),430081)</f>
        <v/>
      </c>
      <c r="H102" s="27" t="n"/>
    </row>
    <row r="103" ht="17.25" customHeight="1" s="322">
      <c r="A103" s="27" t="n"/>
      <c r="B103" s="506">
        <f>IFERROR(__xludf.DUMMYFUNCTION("""COMPUTED_VALUE"""),45974.6666666666)</f>
        <v/>
      </c>
      <c r="C103" s="141">
        <f>IFERROR(__xludf.DUMMYFUNCTION("""COMPUTED_VALUE"""),22.66)</f>
        <v/>
      </c>
      <c r="D103" s="141">
        <f>IFERROR(__xludf.DUMMYFUNCTION("""COMPUTED_VALUE"""),22.83)</f>
        <v/>
      </c>
      <c r="E103" s="141">
        <f>IFERROR(__xludf.DUMMYFUNCTION("""COMPUTED_VALUE"""),22.64)</f>
        <v/>
      </c>
      <c r="F103" s="141">
        <f>IFERROR(__xludf.DUMMYFUNCTION("""COMPUTED_VALUE"""),22.71)</f>
        <v/>
      </c>
      <c r="G103" s="143">
        <f>IFERROR(__xludf.DUMMYFUNCTION("""COMPUTED_VALUE"""),212383)</f>
        <v/>
      </c>
      <c r="H103" s="27" t="n"/>
    </row>
    <row r="104" ht="17.25" customHeight="1" s="322">
      <c r="A104" s="27" t="n"/>
      <c r="B104" s="506">
        <f>IFERROR(__xludf.DUMMYFUNCTION("""COMPUTED_VALUE"""),45975.6666666666)</f>
        <v/>
      </c>
      <c r="C104" s="141">
        <f>IFERROR(__xludf.DUMMYFUNCTION("""COMPUTED_VALUE"""),22.7)</f>
        <v/>
      </c>
      <c r="D104" s="141">
        <f>IFERROR(__xludf.DUMMYFUNCTION("""COMPUTED_VALUE"""),22.72)</f>
        <v/>
      </c>
      <c r="E104" s="141">
        <f>IFERROR(__xludf.DUMMYFUNCTION("""COMPUTED_VALUE"""),22.57)</f>
        <v/>
      </c>
      <c r="F104" s="141">
        <f>IFERROR(__xludf.DUMMYFUNCTION("""COMPUTED_VALUE"""),22.6)</f>
        <v/>
      </c>
      <c r="G104" s="143">
        <f>IFERROR(__xludf.DUMMYFUNCTION("""COMPUTED_VALUE"""),222147)</f>
        <v/>
      </c>
      <c r="H104" s="27" t="n"/>
    </row>
    <row r="105" ht="17.25" customHeight="1" s="322">
      <c r="A105" s="27" t="n"/>
      <c r="B105" s="506">
        <f>IFERROR(__xludf.DUMMYFUNCTION("""COMPUTED_VALUE"""),45978.6666666666)</f>
        <v/>
      </c>
      <c r="C105" s="141">
        <f>IFERROR(__xludf.DUMMYFUNCTION("""COMPUTED_VALUE"""),22.61)</f>
        <v/>
      </c>
      <c r="D105" s="141">
        <f>IFERROR(__xludf.DUMMYFUNCTION("""COMPUTED_VALUE"""),22.61)</f>
        <v/>
      </c>
      <c r="E105" s="141">
        <f>IFERROR(__xludf.DUMMYFUNCTION("""COMPUTED_VALUE"""),22.52)</f>
        <v/>
      </c>
      <c r="F105" s="141">
        <f>IFERROR(__xludf.DUMMYFUNCTION("""COMPUTED_VALUE"""),22.58)</f>
        <v/>
      </c>
      <c r="G105" s="143">
        <f>IFERROR(__xludf.DUMMYFUNCTION("""COMPUTED_VALUE"""),174261)</f>
        <v/>
      </c>
      <c r="H105" s="27" t="n"/>
    </row>
    <row r="106" ht="17.25" customHeight="1" s="322">
      <c r="A106" s="27" t="n"/>
      <c r="B106" s="506">
        <f>IFERROR(__xludf.DUMMYFUNCTION("""COMPUTED_VALUE"""),45979.6666666666)</f>
        <v/>
      </c>
      <c r="C106" s="141">
        <f>IFERROR(__xludf.DUMMYFUNCTION("""COMPUTED_VALUE"""),22.53)</f>
        <v/>
      </c>
      <c r="D106" s="141">
        <f>IFERROR(__xludf.DUMMYFUNCTION("""COMPUTED_VALUE"""),22.65)</f>
        <v/>
      </c>
      <c r="E106" s="141">
        <f>IFERROR(__xludf.DUMMYFUNCTION("""COMPUTED_VALUE"""),22.5)</f>
        <v/>
      </c>
      <c r="F106" s="141">
        <f>IFERROR(__xludf.DUMMYFUNCTION("""COMPUTED_VALUE"""),22.5)</f>
        <v/>
      </c>
      <c r="G106" s="143">
        <f>IFERROR(__xludf.DUMMYFUNCTION("""COMPUTED_VALUE"""),268454)</f>
        <v/>
      </c>
      <c r="H106" s="27" t="n"/>
    </row>
    <row r="107" ht="17.25" customHeight="1" s="322">
      <c r="A107" s="27" t="n"/>
      <c r="B107" s="506">
        <f>IFERROR(__xludf.DUMMYFUNCTION("""COMPUTED_VALUE"""),45980.6666666666)</f>
        <v/>
      </c>
      <c r="C107" s="141">
        <f>IFERROR(__xludf.DUMMYFUNCTION("""COMPUTED_VALUE"""),22.47)</f>
        <v/>
      </c>
      <c r="D107" s="141">
        <f>IFERROR(__xludf.DUMMYFUNCTION("""COMPUTED_VALUE"""),22.54)</f>
        <v/>
      </c>
      <c r="E107" s="141">
        <f>IFERROR(__xludf.DUMMYFUNCTION("""COMPUTED_VALUE"""),22.36)</f>
        <v/>
      </c>
      <c r="F107" s="141">
        <f>IFERROR(__xludf.DUMMYFUNCTION("""COMPUTED_VALUE"""),22.37)</f>
        <v/>
      </c>
      <c r="G107" s="143">
        <f>IFERROR(__xludf.DUMMYFUNCTION("""COMPUTED_VALUE"""),138250)</f>
        <v/>
      </c>
      <c r="H107" s="27" t="n"/>
    </row>
    <row r="108" ht="17.25" customHeight="1" s="322">
      <c r="A108" s="27" t="n"/>
      <c r="B108" s="506">
        <f>IFERROR(__xludf.DUMMYFUNCTION("""COMPUTED_VALUE"""),45981.6666666666)</f>
        <v/>
      </c>
      <c r="C108" s="141">
        <f>IFERROR(__xludf.DUMMYFUNCTION("""COMPUTED_VALUE"""),22.35)</f>
        <v/>
      </c>
      <c r="D108" s="141">
        <f>IFERROR(__xludf.DUMMYFUNCTION("""COMPUTED_VALUE"""),22.4)</f>
        <v/>
      </c>
      <c r="E108" s="141">
        <f>IFERROR(__xludf.DUMMYFUNCTION("""COMPUTED_VALUE"""),22.32)</f>
        <v/>
      </c>
      <c r="F108" s="141">
        <f>IFERROR(__xludf.DUMMYFUNCTION("""COMPUTED_VALUE"""),22.32)</f>
        <v/>
      </c>
      <c r="G108" s="143">
        <f>IFERROR(__xludf.DUMMYFUNCTION("""COMPUTED_VALUE"""),367811)</f>
        <v/>
      </c>
      <c r="H108" s="27" t="n"/>
    </row>
    <row r="109" ht="17.25" customHeight="1" s="322">
      <c r="A109" s="27" t="n"/>
      <c r="B109" s="506">
        <f>IFERROR(__xludf.DUMMYFUNCTION("""COMPUTED_VALUE"""),45982.6666666666)</f>
        <v/>
      </c>
      <c r="C109" s="141">
        <f>IFERROR(__xludf.DUMMYFUNCTION("""COMPUTED_VALUE"""),22.37)</f>
        <v/>
      </c>
      <c r="D109" s="141">
        <f>IFERROR(__xludf.DUMMYFUNCTION("""COMPUTED_VALUE"""),22.46)</f>
        <v/>
      </c>
      <c r="E109" s="141">
        <f>IFERROR(__xludf.DUMMYFUNCTION("""COMPUTED_VALUE"""),22.36)</f>
        <v/>
      </c>
      <c r="F109" s="141">
        <f>IFERROR(__xludf.DUMMYFUNCTION("""COMPUTED_VALUE"""),22.37)</f>
        <v/>
      </c>
      <c r="G109" s="143">
        <f>IFERROR(__xludf.DUMMYFUNCTION("""COMPUTED_VALUE"""),302710)</f>
        <v/>
      </c>
      <c r="H109" s="27" t="n"/>
    </row>
    <row r="110" ht="17.25" customHeight="1" s="322">
      <c r="A110" s="27" t="n"/>
      <c r="B110" s="506">
        <f>IFERROR(__xludf.DUMMYFUNCTION("""COMPUTED_VALUE"""),45985.6666666666)</f>
        <v/>
      </c>
      <c r="C110" s="141">
        <f>IFERROR(__xludf.DUMMYFUNCTION("""COMPUTED_VALUE"""),22.39)</f>
        <v/>
      </c>
      <c r="D110" s="141">
        <f>IFERROR(__xludf.DUMMYFUNCTION("""COMPUTED_VALUE"""),22.45)</f>
        <v/>
      </c>
      <c r="E110" s="141">
        <f>IFERROR(__xludf.DUMMYFUNCTION("""COMPUTED_VALUE"""),22.37)</f>
        <v/>
      </c>
      <c r="F110" s="141">
        <f>IFERROR(__xludf.DUMMYFUNCTION("""COMPUTED_VALUE"""),22.4)</f>
        <v/>
      </c>
      <c r="G110" s="143">
        <f>IFERROR(__xludf.DUMMYFUNCTION("""COMPUTED_VALUE"""),237418)</f>
        <v/>
      </c>
      <c r="H110" s="27" t="n"/>
    </row>
    <row r="111" ht="17.25" customHeight="1" s="322">
      <c r="A111" s="27" t="n"/>
      <c r="B111" s="506">
        <f>IFERROR(__xludf.DUMMYFUNCTION("""COMPUTED_VALUE"""),45986.6666666666)</f>
        <v/>
      </c>
      <c r="C111" s="141">
        <f>IFERROR(__xludf.DUMMYFUNCTION("""COMPUTED_VALUE"""),22.49)</f>
        <v/>
      </c>
      <c r="D111" s="141">
        <f>IFERROR(__xludf.DUMMYFUNCTION("""COMPUTED_VALUE"""),22.56)</f>
        <v/>
      </c>
      <c r="E111" s="141">
        <f>IFERROR(__xludf.DUMMYFUNCTION("""COMPUTED_VALUE"""),22.45)</f>
        <v/>
      </c>
      <c r="F111" s="141">
        <f>IFERROR(__xludf.DUMMYFUNCTION("""COMPUTED_VALUE"""),22.52)</f>
        <v/>
      </c>
      <c r="G111" s="143">
        <f>IFERROR(__xludf.DUMMYFUNCTION("""COMPUTED_VALUE"""),183701)</f>
        <v/>
      </c>
      <c r="H111" s="27" t="n"/>
    </row>
    <row r="112" ht="17.25" customHeight="1" s="322">
      <c r="A112" s="27" t="n"/>
      <c r="B112" s="506">
        <f>IFERROR(__xludf.DUMMYFUNCTION("""COMPUTED_VALUE"""),45987.6666666666)</f>
        <v/>
      </c>
      <c r="C112" s="141">
        <f>IFERROR(__xludf.DUMMYFUNCTION("""COMPUTED_VALUE"""),22.52)</f>
        <v/>
      </c>
      <c r="D112" s="141">
        <f>IFERROR(__xludf.DUMMYFUNCTION("""COMPUTED_VALUE"""),22.58)</f>
        <v/>
      </c>
      <c r="E112" s="141">
        <f>IFERROR(__xludf.DUMMYFUNCTION("""COMPUTED_VALUE"""),22.45)</f>
        <v/>
      </c>
      <c r="F112" s="141">
        <f>IFERROR(__xludf.DUMMYFUNCTION("""COMPUTED_VALUE"""),22.53)</f>
        <v/>
      </c>
      <c r="G112" s="143">
        <f>IFERROR(__xludf.DUMMYFUNCTION("""COMPUTED_VALUE"""),523191)</f>
        <v/>
      </c>
      <c r="H112" s="27" t="n"/>
    </row>
    <row r="113" ht="17.25" customHeight="1" s="322">
      <c r="A113" s="27" t="n"/>
      <c r="B113" s="506">
        <f>IFERROR(__xludf.DUMMYFUNCTION("""COMPUTED_VALUE"""),45989.5520833333)</f>
        <v/>
      </c>
      <c r="C113" s="141">
        <f>IFERROR(__xludf.DUMMYFUNCTION("""COMPUTED_VALUE"""),22.5)</f>
        <v/>
      </c>
      <c r="D113" s="141">
        <f>IFERROR(__xludf.DUMMYFUNCTION("""COMPUTED_VALUE"""),22.57)</f>
        <v/>
      </c>
      <c r="E113" s="141">
        <f>IFERROR(__xludf.DUMMYFUNCTION("""COMPUTED_VALUE"""),22.45)</f>
        <v/>
      </c>
      <c r="F113" s="141">
        <f>IFERROR(__xludf.DUMMYFUNCTION("""COMPUTED_VALUE"""),22.56)</f>
        <v/>
      </c>
      <c r="G113" s="143">
        <f>IFERROR(__xludf.DUMMYFUNCTION("""COMPUTED_VALUE"""),114664)</f>
        <v/>
      </c>
      <c r="H113" s="27" t="n"/>
    </row>
    <row r="114" ht="17.25" customHeight="1" s="322">
      <c r="A114" s="27" t="n"/>
      <c r="B114" s="506">
        <f>IFERROR(__xludf.DUMMYFUNCTION("""COMPUTED_VALUE"""),45992.6666666666)</f>
        <v/>
      </c>
      <c r="C114" s="141">
        <f>IFERROR(__xludf.DUMMYFUNCTION("""COMPUTED_VALUE"""),22.55)</f>
        <v/>
      </c>
      <c r="D114" s="141">
        <f>IFERROR(__xludf.DUMMYFUNCTION("""COMPUTED_VALUE"""),22.55)</f>
        <v/>
      </c>
      <c r="E114" s="141">
        <f>IFERROR(__xludf.DUMMYFUNCTION("""COMPUTED_VALUE"""),22.42)</f>
        <v/>
      </c>
      <c r="F114" s="141">
        <f>IFERROR(__xludf.DUMMYFUNCTION("""COMPUTED_VALUE"""),22.44)</f>
        <v/>
      </c>
      <c r="G114" s="143">
        <f>IFERROR(__xludf.DUMMYFUNCTION("""COMPUTED_VALUE"""),986225)</f>
        <v/>
      </c>
      <c r="H114" s="27" t="n"/>
    </row>
    <row r="115" ht="17.25" customHeight="1" s="322">
      <c r="A115" s="27" t="n"/>
      <c r="B115" s="506">
        <f>IFERROR(__xludf.DUMMYFUNCTION("""COMPUTED_VALUE"""),45993.6666666666)</f>
        <v/>
      </c>
      <c r="C115" s="141">
        <f>IFERROR(__xludf.DUMMYFUNCTION("""COMPUTED_VALUE"""),22.44)</f>
        <v/>
      </c>
      <c r="D115" s="141">
        <f>IFERROR(__xludf.DUMMYFUNCTION("""COMPUTED_VALUE"""),22.54)</f>
        <v/>
      </c>
      <c r="E115" s="141">
        <f>IFERROR(__xludf.DUMMYFUNCTION("""COMPUTED_VALUE"""),22.41)</f>
        <v/>
      </c>
      <c r="F115" s="141">
        <f>IFERROR(__xludf.DUMMYFUNCTION("""COMPUTED_VALUE"""),22.46)</f>
        <v/>
      </c>
      <c r="G115" s="143">
        <f>IFERROR(__xludf.DUMMYFUNCTION("""COMPUTED_VALUE"""),248115)</f>
        <v/>
      </c>
      <c r="H115" s="27" t="n"/>
    </row>
    <row r="116" ht="17.25" customHeight="1" s="322">
      <c r="A116" s="27" t="n"/>
      <c r="B116" s="506">
        <f>IFERROR(__xludf.DUMMYFUNCTION("""COMPUTED_VALUE"""),45994.6666666666)</f>
        <v/>
      </c>
      <c r="C116" s="141">
        <f>IFERROR(__xludf.DUMMYFUNCTION("""COMPUTED_VALUE"""),22.52)</f>
        <v/>
      </c>
      <c r="D116" s="141">
        <f>IFERROR(__xludf.DUMMYFUNCTION("""COMPUTED_VALUE"""),22.58)</f>
        <v/>
      </c>
      <c r="E116" s="141">
        <f>IFERROR(__xludf.DUMMYFUNCTION("""COMPUTED_VALUE"""),22.41)</f>
        <v/>
      </c>
      <c r="F116" s="141">
        <f>IFERROR(__xludf.DUMMYFUNCTION("""COMPUTED_VALUE"""),22.55)</f>
        <v/>
      </c>
      <c r="G116" s="143">
        <f>IFERROR(__xludf.DUMMYFUNCTION("""COMPUTED_VALUE"""),484105)</f>
        <v/>
      </c>
      <c r="H116" s="27" t="n"/>
    </row>
    <row r="117" ht="17.25" customHeight="1" s="322">
      <c r="A117" s="27" t="n"/>
      <c r="B117" s="506">
        <f>IFERROR(__xludf.DUMMYFUNCTION("""COMPUTED_VALUE"""),45995.6666666666)</f>
        <v/>
      </c>
      <c r="C117" s="141">
        <f>IFERROR(__xludf.DUMMYFUNCTION("""COMPUTED_VALUE"""),22.55)</f>
        <v/>
      </c>
      <c r="D117" s="141">
        <f>IFERROR(__xludf.DUMMYFUNCTION("""COMPUTED_VALUE"""),22.58)</f>
        <v/>
      </c>
      <c r="E117" s="141">
        <f>IFERROR(__xludf.DUMMYFUNCTION("""COMPUTED_VALUE"""),22.48)</f>
        <v/>
      </c>
      <c r="F117" s="141">
        <f>IFERROR(__xludf.DUMMYFUNCTION("""COMPUTED_VALUE"""),22.48)</f>
        <v/>
      </c>
      <c r="G117" s="143">
        <f>IFERROR(__xludf.DUMMYFUNCTION("""COMPUTED_VALUE"""),219677)</f>
        <v/>
      </c>
      <c r="H117" s="27" t="n"/>
    </row>
    <row r="118" ht="17.25" customHeight="1" s="322">
      <c r="A118" s="27" t="n"/>
      <c r="B118" s="506">
        <f>IFERROR(__xludf.DUMMYFUNCTION("""COMPUTED_VALUE"""),45996.6666666666)</f>
        <v/>
      </c>
      <c r="C118" s="141">
        <f>IFERROR(__xludf.DUMMYFUNCTION("""COMPUTED_VALUE"""),22.61)</f>
        <v/>
      </c>
      <c r="D118" s="141">
        <f>IFERROR(__xludf.DUMMYFUNCTION("""COMPUTED_VALUE"""),22.61)</f>
        <v/>
      </c>
      <c r="E118" s="141">
        <f>IFERROR(__xludf.DUMMYFUNCTION("""COMPUTED_VALUE"""),22.47)</f>
        <v/>
      </c>
      <c r="F118" s="141">
        <f>IFERROR(__xludf.DUMMYFUNCTION("""COMPUTED_VALUE"""),22.51)</f>
        <v/>
      </c>
      <c r="G118" s="143">
        <f>IFERROR(__xludf.DUMMYFUNCTION("""COMPUTED_VALUE"""),1465088)</f>
        <v/>
      </c>
      <c r="H118" s="27" t="n"/>
    </row>
    <row r="119" ht="17.25" customHeight="1" s="322">
      <c r="A119" s="27" t="n"/>
      <c r="B119" s="506">
        <f>IFERROR(__xludf.DUMMYFUNCTION("""COMPUTED_VALUE"""),45999.6666666666)</f>
        <v/>
      </c>
      <c r="C119" s="141">
        <f>IFERROR(__xludf.DUMMYFUNCTION("""COMPUTED_VALUE"""),22.49)</f>
        <v/>
      </c>
      <c r="D119" s="141">
        <f>IFERROR(__xludf.DUMMYFUNCTION("""COMPUTED_VALUE"""),22.55)</f>
        <v/>
      </c>
      <c r="E119" s="141">
        <f>IFERROR(__xludf.DUMMYFUNCTION("""COMPUTED_VALUE"""),22.4)</f>
        <v/>
      </c>
      <c r="F119" s="141">
        <f>IFERROR(__xludf.DUMMYFUNCTION("""COMPUTED_VALUE"""),22.44)</f>
        <v/>
      </c>
      <c r="G119" s="143">
        <f>IFERROR(__xludf.DUMMYFUNCTION("""COMPUTED_VALUE"""),264898)</f>
        <v/>
      </c>
      <c r="H119" s="27" t="n"/>
    </row>
    <row r="120" ht="17.25" customHeight="1" s="322">
      <c r="A120" s="27" t="n"/>
      <c r="B120" s="506">
        <f>IFERROR(__xludf.DUMMYFUNCTION("""COMPUTED_VALUE"""),46000.6666666666)</f>
        <v/>
      </c>
      <c r="C120" s="141">
        <f>IFERROR(__xludf.DUMMYFUNCTION("""COMPUTED_VALUE"""),22.45)</f>
        <v/>
      </c>
      <c r="D120" s="141">
        <f>IFERROR(__xludf.DUMMYFUNCTION("""COMPUTED_VALUE"""),22.46)</f>
        <v/>
      </c>
      <c r="E120" s="141">
        <f>IFERROR(__xludf.DUMMYFUNCTION("""COMPUTED_VALUE"""),22.38)</f>
        <v/>
      </c>
      <c r="F120" s="141">
        <f>IFERROR(__xludf.DUMMYFUNCTION("""COMPUTED_VALUE"""),22.41)</f>
        <v/>
      </c>
      <c r="G120" s="143">
        <f>IFERROR(__xludf.DUMMYFUNCTION("""COMPUTED_VALUE"""),425700)</f>
        <v/>
      </c>
      <c r="H120" s="27" t="n"/>
    </row>
    <row r="121" ht="17.25" customHeight="1" s="322">
      <c r="A121" s="27" t="n"/>
      <c r="B121" s="506">
        <f>IFERROR(__xludf.DUMMYFUNCTION("""COMPUTED_VALUE"""),46001.6666666666)</f>
        <v/>
      </c>
      <c r="C121" s="141">
        <f>IFERROR(__xludf.DUMMYFUNCTION("""COMPUTED_VALUE"""),22.39)</f>
        <v/>
      </c>
      <c r="D121" s="141">
        <f>IFERROR(__xludf.DUMMYFUNCTION("""COMPUTED_VALUE"""),22.55)</f>
        <v/>
      </c>
      <c r="E121" s="141">
        <f>IFERROR(__xludf.DUMMYFUNCTION("""COMPUTED_VALUE"""),22.39)</f>
        <v/>
      </c>
      <c r="F121" s="141">
        <f>IFERROR(__xludf.DUMMYFUNCTION("""COMPUTED_VALUE"""),22.51)</f>
        <v/>
      </c>
      <c r="G121" s="143">
        <f>IFERROR(__xludf.DUMMYFUNCTION("""COMPUTED_VALUE"""),821392)</f>
        <v/>
      </c>
      <c r="H121" s="27" t="n"/>
    </row>
    <row r="122" ht="17.25" customHeight="1" s="322">
      <c r="A122" s="27" t="n"/>
      <c r="B122" s="506">
        <f>IFERROR(__xludf.DUMMYFUNCTION("""COMPUTED_VALUE"""),46002.6666666666)</f>
        <v/>
      </c>
      <c r="C122" s="141">
        <f>IFERROR(__xludf.DUMMYFUNCTION("""COMPUTED_VALUE"""),22.57)</f>
        <v/>
      </c>
      <c r="D122" s="141">
        <f>IFERROR(__xludf.DUMMYFUNCTION("""COMPUTED_VALUE"""),22.61)</f>
        <v/>
      </c>
      <c r="E122" s="141">
        <f>IFERROR(__xludf.DUMMYFUNCTION("""COMPUTED_VALUE"""),22.53)</f>
        <v/>
      </c>
      <c r="F122" s="141">
        <f>IFERROR(__xludf.DUMMYFUNCTION("""COMPUTED_VALUE"""),22.53)</f>
        <v/>
      </c>
      <c r="G122" s="143">
        <f>IFERROR(__xludf.DUMMYFUNCTION("""COMPUTED_VALUE"""),716662)</f>
        <v/>
      </c>
      <c r="H122" s="27" t="n"/>
    </row>
    <row r="123" ht="17.25" customHeight="1" s="322">
      <c r="A123" s="27" t="n"/>
      <c r="B123" s="506">
        <f>IFERROR(__xludf.DUMMYFUNCTION("""COMPUTED_VALUE"""),46003.6666666666)</f>
        <v/>
      </c>
      <c r="C123" s="141">
        <f>IFERROR(__xludf.DUMMYFUNCTION("""COMPUTED_VALUE"""),22.52)</f>
        <v/>
      </c>
      <c r="D123" s="141">
        <f>IFERROR(__xludf.DUMMYFUNCTION("""COMPUTED_VALUE"""),22.54)</f>
        <v/>
      </c>
      <c r="E123" s="141">
        <f>IFERROR(__xludf.DUMMYFUNCTION("""COMPUTED_VALUE"""),22.48)</f>
        <v/>
      </c>
      <c r="F123" s="141">
        <f>IFERROR(__xludf.DUMMYFUNCTION("""COMPUTED_VALUE"""),22.51)</f>
        <v/>
      </c>
      <c r="G123" s="143">
        <f>IFERROR(__xludf.DUMMYFUNCTION("""COMPUTED_VALUE"""),191558)</f>
        <v/>
      </c>
      <c r="H123" s="27" t="n"/>
    </row>
    <row r="124" ht="17.25" customHeight="1" s="322">
      <c r="A124" s="27" t="n"/>
      <c r="B124" s="506">
        <f>IFERROR(__xludf.DUMMYFUNCTION("""COMPUTED_VALUE"""),46006.6666666666)</f>
        <v/>
      </c>
      <c r="C124" s="141">
        <f>IFERROR(__xludf.DUMMYFUNCTION("""COMPUTED_VALUE"""),22.58)</f>
        <v/>
      </c>
      <c r="D124" s="141">
        <f>IFERROR(__xludf.DUMMYFUNCTION("""COMPUTED_VALUE"""),22.62)</f>
        <v/>
      </c>
      <c r="E124" s="141">
        <f>IFERROR(__xludf.DUMMYFUNCTION("""COMPUTED_VALUE"""),22.53)</f>
        <v/>
      </c>
      <c r="F124" s="141">
        <f>IFERROR(__xludf.DUMMYFUNCTION("""COMPUTED_VALUE"""),22.59)</f>
        <v/>
      </c>
      <c r="G124" s="143">
        <f>IFERROR(__xludf.DUMMYFUNCTION("""COMPUTED_VALUE"""),455968)</f>
        <v/>
      </c>
      <c r="H124" s="27" t="n"/>
    </row>
    <row r="125" ht="17.25" customHeight="1" s="322">
      <c r="A125" s="27" t="n"/>
      <c r="B125" s="506">
        <f>IFERROR(__xludf.DUMMYFUNCTION("""COMPUTED_VALUE"""),46007.6666666666)</f>
        <v/>
      </c>
      <c r="C125" s="141">
        <f>IFERROR(__xludf.DUMMYFUNCTION("""COMPUTED_VALUE"""),22.61)</f>
        <v/>
      </c>
      <c r="D125" s="141">
        <f>IFERROR(__xludf.DUMMYFUNCTION("""COMPUTED_VALUE"""),22.66)</f>
        <v/>
      </c>
      <c r="E125" s="141">
        <f>IFERROR(__xludf.DUMMYFUNCTION("""COMPUTED_VALUE"""),22.55)</f>
        <v/>
      </c>
      <c r="F125" s="141">
        <f>IFERROR(__xludf.DUMMYFUNCTION("""COMPUTED_VALUE"""),22.62)</f>
        <v/>
      </c>
      <c r="G125" s="143">
        <f>IFERROR(__xludf.DUMMYFUNCTION("""COMPUTED_VALUE"""),378151)</f>
        <v/>
      </c>
      <c r="H125" s="27" t="n"/>
    </row>
    <row r="126" ht="17.25" customHeight="1" s="322">
      <c r="A126" s="27" t="n"/>
      <c r="B126" s="506">
        <f>IFERROR(__xludf.DUMMYFUNCTION("""COMPUTED_VALUE"""),46008.6666666666)</f>
        <v/>
      </c>
      <c r="C126" s="141">
        <f>IFERROR(__xludf.DUMMYFUNCTION("""COMPUTED_VALUE"""),22.53)</f>
        <v/>
      </c>
      <c r="D126" s="141">
        <f>IFERROR(__xludf.DUMMYFUNCTION("""COMPUTED_VALUE"""),22.59)</f>
        <v/>
      </c>
      <c r="E126" s="141">
        <f>IFERROR(__xludf.DUMMYFUNCTION("""COMPUTED_VALUE"""),22.51)</f>
        <v/>
      </c>
      <c r="F126" s="141">
        <f>IFERROR(__xludf.DUMMYFUNCTION("""COMPUTED_VALUE"""),22.51)</f>
        <v/>
      </c>
      <c r="G126" s="143">
        <f>IFERROR(__xludf.DUMMYFUNCTION("""COMPUTED_VALUE"""),3504318)</f>
        <v/>
      </c>
      <c r="H126" s="27" t="n"/>
    </row>
    <row r="127" ht="17.25" customHeight="1" s="322">
      <c r="A127" s="27" t="n"/>
      <c r="B127" s="506">
        <f>IFERROR(__xludf.DUMMYFUNCTION("""COMPUTED_VALUE"""),46009.6666666666)</f>
        <v/>
      </c>
      <c r="C127" s="141">
        <f>IFERROR(__xludf.DUMMYFUNCTION("""COMPUTED_VALUE"""),22.5)</f>
        <v/>
      </c>
      <c r="D127" s="141">
        <f>IFERROR(__xludf.DUMMYFUNCTION("""COMPUTED_VALUE"""),22.53)</f>
        <v/>
      </c>
      <c r="E127" s="141">
        <f>IFERROR(__xludf.DUMMYFUNCTION("""COMPUTED_VALUE"""),22.47)</f>
        <v/>
      </c>
      <c r="F127" s="141">
        <f>IFERROR(__xludf.DUMMYFUNCTION("""COMPUTED_VALUE"""),22.47)</f>
        <v/>
      </c>
      <c r="G127" s="143">
        <f>IFERROR(__xludf.DUMMYFUNCTION("""COMPUTED_VALUE"""),267785)</f>
        <v/>
      </c>
      <c r="H127" s="27" t="n"/>
    </row>
    <row r="128" ht="17.25" customHeight="1" s="322">
      <c r="A128" s="27" t="n"/>
      <c r="B128" s="506">
        <f>IFERROR(__xludf.DUMMYFUNCTION("""COMPUTED_VALUE"""),46010.6666666666)</f>
        <v/>
      </c>
      <c r="C128" s="141">
        <f>IFERROR(__xludf.DUMMYFUNCTION("""COMPUTED_VALUE"""),22.42)</f>
        <v/>
      </c>
      <c r="D128" s="141">
        <f>IFERROR(__xludf.DUMMYFUNCTION("""COMPUTED_VALUE"""),22.52)</f>
        <v/>
      </c>
      <c r="E128" s="141">
        <f>IFERROR(__xludf.DUMMYFUNCTION("""COMPUTED_VALUE"""),22.35)</f>
        <v/>
      </c>
      <c r="F128" s="141">
        <f>IFERROR(__xludf.DUMMYFUNCTION("""COMPUTED_VALUE"""),22.35)</f>
        <v/>
      </c>
      <c r="G128" s="143">
        <f>IFERROR(__xludf.DUMMYFUNCTION("""COMPUTED_VALUE"""),331424)</f>
        <v/>
      </c>
      <c r="H128" s="27" t="n"/>
    </row>
    <row r="129" ht="17.25" customHeight="1" s="322">
      <c r="A129" s="27" t="n"/>
      <c r="B129" s="506">
        <f>IFERROR(__xludf.DUMMYFUNCTION("""COMPUTED_VALUE"""),46013.6666666666)</f>
        <v/>
      </c>
      <c r="C129" s="141">
        <f>IFERROR(__xludf.DUMMYFUNCTION("""COMPUTED_VALUE"""),22.42)</f>
        <v/>
      </c>
      <c r="D129" s="141">
        <f>IFERROR(__xludf.DUMMYFUNCTION("""COMPUTED_VALUE"""),22.6)</f>
        <v/>
      </c>
      <c r="E129" s="141">
        <f>IFERROR(__xludf.DUMMYFUNCTION("""COMPUTED_VALUE"""),22.4)</f>
        <v/>
      </c>
      <c r="F129" s="141">
        <f>IFERROR(__xludf.DUMMYFUNCTION("""COMPUTED_VALUE"""),22.42)</f>
        <v/>
      </c>
      <c r="G129" s="143">
        <f>IFERROR(__xludf.DUMMYFUNCTION("""COMPUTED_VALUE"""),569132)</f>
        <v/>
      </c>
      <c r="H129" s="27" t="n"/>
    </row>
    <row r="130" ht="17.25" customHeight="1" s="322">
      <c r="A130" s="27" t="n"/>
      <c r="B130" s="506">
        <f>IFERROR(__xludf.DUMMYFUNCTION("""COMPUTED_VALUE"""),46014.6666666666)</f>
        <v/>
      </c>
      <c r="C130" s="141">
        <f>IFERROR(__xludf.DUMMYFUNCTION("""COMPUTED_VALUE"""),22.46)</f>
        <v/>
      </c>
      <c r="D130" s="141">
        <f>IFERROR(__xludf.DUMMYFUNCTION("""COMPUTED_VALUE"""),22.54)</f>
        <v/>
      </c>
      <c r="E130" s="141">
        <f>IFERROR(__xludf.DUMMYFUNCTION("""COMPUTED_VALUE"""),22.46)</f>
        <v/>
      </c>
      <c r="F130" s="141">
        <f>IFERROR(__xludf.DUMMYFUNCTION("""COMPUTED_VALUE"""),22.54)</f>
        <v/>
      </c>
      <c r="G130" s="143">
        <f>IFERROR(__xludf.DUMMYFUNCTION("""COMPUTED_VALUE"""),378670)</f>
        <v/>
      </c>
      <c r="H130" s="27" t="n"/>
    </row>
    <row r="131" ht="17.25" customHeight="1" s="322">
      <c r="A131" s="27" t="n"/>
      <c r="B131" s="506">
        <f>IFERROR(__xludf.DUMMYFUNCTION("""COMPUTED_VALUE"""),46015.5416666666)</f>
        <v/>
      </c>
      <c r="C131" s="141">
        <f>IFERROR(__xludf.DUMMYFUNCTION("""COMPUTED_VALUE"""),22.6)</f>
        <v/>
      </c>
      <c r="D131" s="141">
        <f>IFERROR(__xludf.DUMMYFUNCTION("""COMPUTED_VALUE"""),22.62)</f>
        <v/>
      </c>
      <c r="E131" s="141">
        <f>IFERROR(__xludf.DUMMYFUNCTION("""COMPUTED_VALUE"""),22.57)</f>
        <v/>
      </c>
      <c r="F131" s="141">
        <f>IFERROR(__xludf.DUMMYFUNCTION("""COMPUTED_VALUE"""),22.62)</f>
        <v/>
      </c>
      <c r="G131" s="143">
        <f>IFERROR(__xludf.DUMMYFUNCTION("""COMPUTED_VALUE"""),195566)</f>
        <v/>
      </c>
      <c r="H131" s="27" t="n"/>
    </row>
    <row r="132" ht="17.25" customHeight="1" s="322">
      <c r="A132" s="27" t="n"/>
      <c r="B132" s="506">
        <f>IFERROR(__xludf.DUMMYFUNCTION("""COMPUTED_VALUE"""),46017.6666666666)</f>
        <v/>
      </c>
      <c r="C132" s="141">
        <f>IFERROR(__xludf.DUMMYFUNCTION("""COMPUTED_VALUE"""),22.65)</f>
        <v/>
      </c>
      <c r="D132" s="141">
        <f>IFERROR(__xludf.DUMMYFUNCTION("""COMPUTED_VALUE"""),22.66)</f>
        <v/>
      </c>
      <c r="E132" s="141">
        <f>IFERROR(__xludf.DUMMYFUNCTION("""COMPUTED_VALUE"""),22.46)</f>
        <v/>
      </c>
      <c r="F132" s="141">
        <f>IFERROR(__xludf.DUMMYFUNCTION("""COMPUTED_VALUE"""),22.6)</f>
        <v/>
      </c>
      <c r="G132" s="143">
        <f>IFERROR(__xludf.DUMMYFUNCTION("""COMPUTED_VALUE"""),320608)</f>
        <v/>
      </c>
      <c r="H132" s="27" t="n"/>
    </row>
    <row r="133" ht="17.25" customHeight="1" s="322">
      <c r="A133" s="27" t="n"/>
      <c r="B133" s="506">
        <f>IFERROR(__xludf.DUMMYFUNCTION("""COMPUTED_VALUE"""),46020.6666666666)</f>
        <v/>
      </c>
      <c r="C133" s="141">
        <f>IFERROR(__xludf.DUMMYFUNCTION("""COMPUTED_VALUE"""),22.58)</f>
        <v/>
      </c>
      <c r="D133" s="141">
        <f>IFERROR(__xludf.DUMMYFUNCTION("""COMPUTED_VALUE"""),22.67)</f>
        <v/>
      </c>
      <c r="E133" s="141">
        <f>IFERROR(__xludf.DUMMYFUNCTION("""COMPUTED_VALUE"""),22.56)</f>
        <v/>
      </c>
      <c r="F133" s="141">
        <f>IFERROR(__xludf.DUMMYFUNCTION("""COMPUTED_VALUE"""),22.59)</f>
        <v/>
      </c>
      <c r="G133" s="143">
        <f>IFERROR(__xludf.DUMMYFUNCTION("""COMPUTED_VALUE"""),760619)</f>
        <v/>
      </c>
      <c r="H133" s="27" t="n"/>
    </row>
    <row r="134" ht="17.25" customHeight="1" s="322">
      <c r="A134" s="27" t="n"/>
      <c r="B134" s="506">
        <f>IFERROR(__xludf.DUMMYFUNCTION("""COMPUTED_VALUE"""),46021.6666666666)</f>
        <v/>
      </c>
      <c r="C134" s="141">
        <f>IFERROR(__xludf.DUMMYFUNCTION("""COMPUTED_VALUE"""),22.55)</f>
        <v/>
      </c>
      <c r="D134" s="141">
        <f>IFERROR(__xludf.DUMMYFUNCTION("""COMPUTED_VALUE"""),22.58)</f>
        <v/>
      </c>
      <c r="E134" s="141">
        <f>IFERROR(__xludf.DUMMYFUNCTION("""COMPUTED_VALUE"""),22.47)</f>
        <v/>
      </c>
      <c r="F134" s="141">
        <f>IFERROR(__xludf.DUMMYFUNCTION("""COMPUTED_VALUE"""),22.56)</f>
        <v/>
      </c>
      <c r="G134" s="143">
        <f>IFERROR(__xludf.DUMMYFUNCTION("""COMPUTED_VALUE"""),332161)</f>
        <v/>
      </c>
      <c r="H134" s="27" t="n"/>
    </row>
    <row r="135" ht="17.25" customHeight="1" s="322">
      <c r="A135" s="27" t="n"/>
      <c r="B135" s="506">
        <f>IFERROR(__xludf.DUMMYFUNCTION("""COMPUTED_VALUE"""),46022.6666666666)</f>
        <v/>
      </c>
      <c r="C135" s="141">
        <f>IFERROR(__xludf.DUMMYFUNCTION("""COMPUTED_VALUE"""),22.5)</f>
        <v/>
      </c>
      <c r="D135" s="141">
        <f>IFERROR(__xludf.DUMMYFUNCTION("""COMPUTED_VALUE"""),22.56)</f>
        <v/>
      </c>
      <c r="E135" s="141">
        <f>IFERROR(__xludf.DUMMYFUNCTION("""COMPUTED_VALUE"""),22.46)</f>
        <v/>
      </c>
      <c r="F135" s="141">
        <f>IFERROR(__xludf.DUMMYFUNCTION("""COMPUTED_VALUE"""),22.53)</f>
        <v/>
      </c>
      <c r="G135" s="143">
        <f>IFERROR(__xludf.DUMMYFUNCTION("""COMPUTED_VALUE"""),917926)</f>
        <v/>
      </c>
      <c r="H135" s="27" t="n"/>
    </row>
    <row r="136" ht="17.25" customHeight="1" s="322">
      <c r="A136" s="27" t="n"/>
      <c r="B136" s="506">
        <f>IFERROR(__xludf.DUMMYFUNCTION("""COMPUTED_VALUE"""),46024.6666666666)</f>
        <v/>
      </c>
      <c r="C136" s="141">
        <f>IFERROR(__xludf.DUMMYFUNCTION("""COMPUTED_VALUE"""),22.52)</f>
        <v/>
      </c>
      <c r="D136" s="141">
        <f>IFERROR(__xludf.DUMMYFUNCTION("""COMPUTED_VALUE"""),22.55)</f>
        <v/>
      </c>
      <c r="E136" s="141">
        <f>IFERROR(__xludf.DUMMYFUNCTION("""COMPUTED_VALUE"""),22.47)</f>
        <v/>
      </c>
      <c r="F136" s="141">
        <f>IFERROR(__xludf.DUMMYFUNCTION("""COMPUTED_VALUE"""),22.48)</f>
        <v/>
      </c>
      <c r="G136" s="143">
        <f>IFERROR(__xludf.DUMMYFUNCTION("""COMPUTED_VALUE"""),299938)</f>
        <v/>
      </c>
      <c r="H136" s="27" t="n"/>
    </row>
    <row r="137" ht="17.25" customHeight="1" s="322">
      <c r="A137" s="27" t="n"/>
      <c r="B137" s="506">
        <f>IFERROR(__xludf.DUMMYFUNCTION("""COMPUTED_VALUE"""),46027.6666666666)</f>
        <v/>
      </c>
      <c r="C137" s="141">
        <f>IFERROR(__xludf.DUMMYFUNCTION("""COMPUTED_VALUE"""),22.48)</f>
        <v/>
      </c>
      <c r="D137" s="141">
        <f>IFERROR(__xludf.DUMMYFUNCTION("""COMPUTED_VALUE"""),22.56)</f>
        <v/>
      </c>
      <c r="E137" s="141">
        <f>IFERROR(__xludf.DUMMYFUNCTION("""COMPUTED_VALUE"""),22.45)</f>
        <v/>
      </c>
      <c r="F137" s="141">
        <f>IFERROR(__xludf.DUMMYFUNCTION("""COMPUTED_VALUE"""),22.52)</f>
        <v/>
      </c>
      <c r="G137" s="143">
        <f>IFERROR(__xludf.DUMMYFUNCTION("""COMPUTED_VALUE"""),2520161)</f>
        <v/>
      </c>
      <c r="H137" s="27" t="n"/>
    </row>
    <row r="138" ht="17.25" customHeight="1" s="322">
      <c r="A138" s="27" t="n"/>
      <c r="B138" s="506">
        <f>IFERROR(__xludf.DUMMYFUNCTION("""COMPUTED_VALUE"""),46028.6666666666)</f>
        <v/>
      </c>
      <c r="C138" s="141">
        <f>IFERROR(__xludf.DUMMYFUNCTION("""COMPUTED_VALUE"""),22.53)</f>
        <v/>
      </c>
      <c r="D138" s="141">
        <f>IFERROR(__xludf.DUMMYFUNCTION("""COMPUTED_VALUE"""),22.59)</f>
        <v/>
      </c>
      <c r="E138" s="141">
        <f>IFERROR(__xludf.DUMMYFUNCTION("""COMPUTED_VALUE"""),22.47)</f>
        <v/>
      </c>
      <c r="F138" s="141">
        <f>IFERROR(__xludf.DUMMYFUNCTION("""COMPUTED_VALUE"""),22.48)</f>
        <v/>
      </c>
      <c r="G138" s="143">
        <f>IFERROR(__xludf.DUMMYFUNCTION("""COMPUTED_VALUE"""),500084)</f>
        <v/>
      </c>
      <c r="H138" s="27" t="n"/>
    </row>
    <row r="139" ht="17.25" customHeight="1" s="322">
      <c r="A139" s="27" t="n"/>
      <c r="B139" s="506">
        <f>IFERROR(__xludf.DUMMYFUNCTION("""COMPUTED_VALUE"""),46029.6666666666)</f>
        <v/>
      </c>
      <c r="C139" s="141">
        <f>IFERROR(__xludf.DUMMYFUNCTION("""COMPUTED_VALUE"""),22.53)</f>
        <v/>
      </c>
      <c r="D139" s="141">
        <f>IFERROR(__xludf.DUMMYFUNCTION("""COMPUTED_VALUE"""),22.56)</f>
        <v/>
      </c>
      <c r="E139" s="141">
        <f>IFERROR(__xludf.DUMMYFUNCTION("""COMPUTED_VALUE"""),22.48)</f>
        <v/>
      </c>
      <c r="F139" s="141">
        <f>IFERROR(__xludf.DUMMYFUNCTION("""COMPUTED_VALUE"""),22.49)</f>
        <v/>
      </c>
      <c r="G139" s="143">
        <f>IFERROR(__xludf.DUMMYFUNCTION("""COMPUTED_VALUE"""),347083)</f>
        <v/>
      </c>
      <c r="H139" s="27" t="n"/>
    </row>
    <row r="140" ht="17.25" customHeight="1" s="322">
      <c r="A140" s="27" t="n"/>
      <c r="B140" s="506">
        <f>IFERROR(__xludf.DUMMYFUNCTION("""COMPUTED_VALUE"""),46030.6666666666)</f>
        <v/>
      </c>
      <c r="C140" s="141">
        <f>IFERROR(__xludf.DUMMYFUNCTION("""COMPUTED_VALUE"""),22.44)</f>
        <v/>
      </c>
      <c r="D140" s="141">
        <f>IFERROR(__xludf.DUMMYFUNCTION("""COMPUTED_VALUE"""),22.48)</f>
        <v/>
      </c>
      <c r="E140" s="141">
        <f>IFERROR(__xludf.DUMMYFUNCTION("""COMPUTED_VALUE"""),22.4)</f>
        <v/>
      </c>
      <c r="F140" s="141">
        <f>IFERROR(__xludf.DUMMYFUNCTION("""COMPUTED_VALUE"""),22.45)</f>
        <v/>
      </c>
      <c r="G140" s="143">
        <f>IFERROR(__xludf.DUMMYFUNCTION("""COMPUTED_VALUE"""),237234)</f>
        <v/>
      </c>
      <c r="H140" s="27" t="n"/>
    </row>
    <row r="141" ht="17.25" customHeight="1" s="322">
      <c r="A141" s="27" t="n"/>
      <c r="B141" s="506">
        <f>IFERROR(__xludf.DUMMYFUNCTION("""COMPUTED_VALUE"""),46031.6666666666)</f>
        <v/>
      </c>
      <c r="C141" s="141">
        <f>IFERROR(__xludf.DUMMYFUNCTION("""COMPUTED_VALUE"""),22.4)</f>
        <v/>
      </c>
      <c r="D141" s="141">
        <f>IFERROR(__xludf.DUMMYFUNCTION("""COMPUTED_VALUE"""),22.44)</f>
        <v/>
      </c>
      <c r="E141" s="141">
        <f>IFERROR(__xludf.DUMMYFUNCTION("""COMPUTED_VALUE"""),22.35)</f>
        <v/>
      </c>
      <c r="F141" s="141">
        <f>IFERROR(__xludf.DUMMYFUNCTION("""COMPUTED_VALUE"""),22.39)</f>
        <v/>
      </c>
      <c r="G141" s="143">
        <f>IFERROR(__xludf.DUMMYFUNCTION("""COMPUTED_VALUE"""),330394)</f>
        <v/>
      </c>
      <c r="H141" s="27" t="n"/>
    </row>
    <row r="142" ht="17.25" customHeight="1" s="322">
      <c r="A142" s="27" t="n"/>
      <c r="B142" s="506">
        <f>IFERROR(__xludf.DUMMYFUNCTION("""COMPUTED_VALUE"""),46034.6666666666)</f>
        <v/>
      </c>
      <c r="C142" s="141">
        <f>IFERROR(__xludf.DUMMYFUNCTION("""COMPUTED_VALUE"""),22.43)</f>
        <v/>
      </c>
      <c r="D142" s="141">
        <f>IFERROR(__xludf.DUMMYFUNCTION("""COMPUTED_VALUE"""),22.47)</f>
        <v/>
      </c>
      <c r="E142" s="141">
        <f>IFERROR(__xludf.DUMMYFUNCTION("""COMPUTED_VALUE"""),22.43)</f>
        <v/>
      </c>
      <c r="F142" s="141">
        <f>IFERROR(__xludf.DUMMYFUNCTION("""COMPUTED_VALUE"""),22.44)</f>
        <v/>
      </c>
      <c r="G142" s="143">
        <f>IFERROR(__xludf.DUMMYFUNCTION("""COMPUTED_VALUE"""),197324)</f>
        <v/>
      </c>
      <c r="H142" s="27" t="n"/>
    </row>
    <row r="143" ht="17.25" customHeight="1" s="322">
      <c r="A143" s="27" t="n"/>
      <c r="B143" s="506">
        <f>IFERROR(__xludf.DUMMYFUNCTION("""COMPUTED_VALUE"""),46035.6666666666)</f>
        <v/>
      </c>
      <c r="C143" s="141">
        <f>IFERROR(__xludf.DUMMYFUNCTION("""COMPUTED_VALUE"""),22.42)</f>
        <v/>
      </c>
      <c r="D143" s="141">
        <f>IFERROR(__xludf.DUMMYFUNCTION("""COMPUTED_VALUE"""),22.42)</f>
        <v/>
      </c>
      <c r="E143" s="141">
        <f>IFERROR(__xludf.DUMMYFUNCTION("""COMPUTED_VALUE"""),22.31)</f>
        <v/>
      </c>
      <c r="F143" s="141">
        <f>IFERROR(__xludf.DUMMYFUNCTION("""COMPUTED_VALUE"""),22.33)</f>
        <v/>
      </c>
      <c r="G143" s="143">
        <f>IFERROR(__xludf.DUMMYFUNCTION("""COMPUTED_VALUE"""),209911)</f>
        <v/>
      </c>
      <c r="H143" s="27" t="n"/>
    </row>
    <row r="144" ht="17.25" customHeight="1" s="322">
      <c r="A144" s="27" t="n"/>
      <c r="B144" s="506">
        <f>IFERROR(__xludf.DUMMYFUNCTION("""COMPUTED_VALUE"""),46036.6666666666)</f>
        <v/>
      </c>
      <c r="C144" s="141">
        <f>IFERROR(__xludf.DUMMYFUNCTION("""COMPUTED_VALUE"""),22.39)</f>
        <v/>
      </c>
      <c r="D144" s="141">
        <f>IFERROR(__xludf.DUMMYFUNCTION("""COMPUTED_VALUE"""),22.43)</f>
        <v/>
      </c>
      <c r="E144" s="141">
        <f>IFERROR(__xludf.DUMMYFUNCTION("""COMPUTED_VALUE"""),22.34)</f>
        <v/>
      </c>
      <c r="F144" s="141">
        <f>IFERROR(__xludf.DUMMYFUNCTION("""COMPUTED_VALUE"""),22.4)</f>
        <v/>
      </c>
      <c r="G144" s="143">
        <f>IFERROR(__xludf.DUMMYFUNCTION("""COMPUTED_VALUE"""),373468)</f>
        <v/>
      </c>
      <c r="H144" s="27" t="n"/>
    </row>
    <row r="145" ht="17.25" customHeight="1" s="322">
      <c r="A145" s="27" t="n"/>
      <c r="B145" s="506">
        <f>IFERROR(__xludf.DUMMYFUNCTION("""COMPUTED_VALUE"""),46037.6666666666)</f>
        <v/>
      </c>
      <c r="C145" s="141">
        <f>IFERROR(__xludf.DUMMYFUNCTION("""COMPUTED_VALUE"""),22.35)</f>
        <v/>
      </c>
      <c r="D145" s="141">
        <f>IFERROR(__xludf.DUMMYFUNCTION("""COMPUTED_VALUE"""),22.44)</f>
        <v/>
      </c>
      <c r="E145" s="141">
        <f>IFERROR(__xludf.DUMMYFUNCTION("""COMPUTED_VALUE"""),22.31)</f>
        <v/>
      </c>
      <c r="F145" s="141">
        <f>IFERROR(__xludf.DUMMYFUNCTION("""COMPUTED_VALUE"""),22.32)</f>
        <v/>
      </c>
      <c r="G145" s="143">
        <f>IFERROR(__xludf.DUMMYFUNCTION("""COMPUTED_VALUE"""),261765)</f>
        <v/>
      </c>
      <c r="H145" s="27" t="n"/>
    </row>
    <row r="146" ht="17.25" customHeight="1" s="322">
      <c r="A146" s="27" t="n"/>
      <c r="B146" s="506">
        <f>IFERROR(__xludf.DUMMYFUNCTION("""COMPUTED_VALUE"""),46038.6666666666)</f>
        <v/>
      </c>
      <c r="C146" s="141">
        <f>IFERROR(__xludf.DUMMYFUNCTION("""COMPUTED_VALUE"""),22.37)</f>
        <v/>
      </c>
      <c r="D146" s="141">
        <f>IFERROR(__xludf.DUMMYFUNCTION("""COMPUTED_VALUE"""),22.39)</f>
        <v/>
      </c>
      <c r="E146" s="141">
        <f>IFERROR(__xludf.DUMMYFUNCTION("""COMPUTED_VALUE"""),22.3)</f>
        <v/>
      </c>
      <c r="F146" s="141">
        <f>IFERROR(__xludf.DUMMYFUNCTION("""COMPUTED_VALUE"""),22.34)</f>
        <v/>
      </c>
      <c r="G146" s="143">
        <f>IFERROR(__xludf.DUMMYFUNCTION("""COMPUTED_VALUE"""),422707)</f>
        <v/>
      </c>
      <c r="H146" s="27" t="n"/>
    </row>
    <row r="147" ht="17.25" customHeight="1" s="322">
      <c r="A147" s="27" t="n"/>
      <c r="B147" s="506">
        <f>IFERROR(__xludf.DUMMYFUNCTION("""COMPUTED_VALUE"""),46042.6666666666)</f>
        <v/>
      </c>
      <c r="C147" s="141">
        <f>IFERROR(__xludf.DUMMYFUNCTION("""COMPUTED_VALUE"""),22.33)</f>
        <v/>
      </c>
      <c r="D147" s="141">
        <f>IFERROR(__xludf.DUMMYFUNCTION("""COMPUTED_VALUE"""),22.38)</f>
        <v/>
      </c>
      <c r="E147" s="141">
        <f>IFERROR(__xludf.DUMMYFUNCTION("""COMPUTED_VALUE"""),22.32)</f>
        <v/>
      </c>
      <c r="F147" s="141">
        <f>IFERROR(__xludf.DUMMYFUNCTION("""COMPUTED_VALUE"""),22.33)</f>
        <v/>
      </c>
      <c r="G147" s="143">
        <f>IFERROR(__xludf.DUMMYFUNCTION("""COMPUTED_VALUE"""),388018)</f>
        <v/>
      </c>
      <c r="H147" s="27" t="n"/>
    </row>
    <row r="148" ht="17.25" customHeight="1" s="322">
      <c r="A148" s="27" t="n"/>
      <c r="B148" s="506">
        <f>IFERROR(__xludf.DUMMYFUNCTION("""COMPUTED_VALUE"""),46043.6666666666)</f>
        <v/>
      </c>
      <c r="C148" s="141">
        <f>IFERROR(__xludf.DUMMYFUNCTION("""COMPUTED_VALUE"""),22.4)</f>
        <v/>
      </c>
      <c r="D148" s="141">
        <f>IFERROR(__xludf.DUMMYFUNCTION("""COMPUTED_VALUE"""),22.41)</f>
        <v/>
      </c>
      <c r="E148" s="141">
        <f>IFERROR(__xludf.DUMMYFUNCTION("""COMPUTED_VALUE"""),22.32)</f>
        <v/>
      </c>
      <c r="F148" s="141">
        <f>IFERROR(__xludf.DUMMYFUNCTION("""COMPUTED_VALUE"""),22.32)</f>
        <v/>
      </c>
      <c r="G148" s="143">
        <f>IFERROR(__xludf.DUMMYFUNCTION("""COMPUTED_VALUE"""),365235)</f>
        <v/>
      </c>
      <c r="H148" s="27" t="n"/>
    </row>
    <row r="149" ht="17.25" customHeight="1" s="322">
      <c r="A149" s="27" t="n"/>
      <c r="B149" s="506">
        <f>IFERROR(__xludf.DUMMYFUNCTION("""COMPUTED_VALUE"""),46044.6666666666)</f>
        <v/>
      </c>
      <c r="C149" s="141">
        <f>IFERROR(__xludf.DUMMYFUNCTION("""COMPUTED_VALUE"""),22.34)</f>
        <v/>
      </c>
      <c r="D149" s="141">
        <f>IFERROR(__xludf.DUMMYFUNCTION("""COMPUTED_VALUE"""),22.46)</f>
        <v/>
      </c>
      <c r="E149" s="141">
        <f>IFERROR(__xludf.DUMMYFUNCTION("""COMPUTED_VALUE"""),22.34)</f>
        <v/>
      </c>
      <c r="F149" s="141">
        <f>IFERROR(__xludf.DUMMYFUNCTION("""COMPUTED_VALUE"""),22.46)</f>
        <v/>
      </c>
      <c r="G149" s="143">
        <f>IFERROR(__xludf.DUMMYFUNCTION("""COMPUTED_VALUE"""),385433)</f>
        <v/>
      </c>
      <c r="H149" s="27" t="n"/>
    </row>
    <row r="150" ht="17.25" customHeight="1" s="322">
      <c r="A150" s="27" t="n"/>
      <c r="B150" s="506">
        <f>IFERROR(__xludf.DUMMYFUNCTION("""COMPUTED_VALUE"""),46045.6666666666)</f>
        <v/>
      </c>
      <c r="C150" s="141">
        <f>IFERROR(__xludf.DUMMYFUNCTION("""COMPUTED_VALUE"""),22.44)</f>
        <v/>
      </c>
      <c r="D150" s="141">
        <f>IFERROR(__xludf.DUMMYFUNCTION("""COMPUTED_VALUE"""),22.67)</f>
        <v/>
      </c>
      <c r="E150" s="141">
        <f>IFERROR(__xludf.DUMMYFUNCTION("""COMPUTED_VALUE"""),22.43)</f>
        <v/>
      </c>
      <c r="F150" s="141">
        <f>IFERROR(__xludf.DUMMYFUNCTION("""COMPUTED_VALUE"""),22.64)</f>
        <v/>
      </c>
      <c r="G150" s="143">
        <f>IFERROR(__xludf.DUMMYFUNCTION("""COMPUTED_VALUE"""),405609)</f>
        <v/>
      </c>
      <c r="H150" s="27" t="n"/>
    </row>
    <row r="151" ht="17.25" customHeight="1" s="322">
      <c r="A151" s="27" t="n"/>
      <c r="B151" s="506">
        <f>IFERROR(__xludf.DUMMYFUNCTION("""COMPUTED_VALUE"""),46048.6666666666)</f>
        <v/>
      </c>
      <c r="C151" s="141">
        <f>IFERROR(__xludf.DUMMYFUNCTION("""COMPUTED_VALUE"""),22.8)</f>
        <v/>
      </c>
      <c r="D151" s="141">
        <f>IFERROR(__xludf.DUMMYFUNCTION("""COMPUTED_VALUE"""),22.87)</f>
        <v/>
      </c>
      <c r="E151" s="141">
        <f>IFERROR(__xludf.DUMMYFUNCTION("""COMPUTED_VALUE"""),22.73)</f>
        <v/>
      </c>
      <c r="F151" s="141">
        <f>IFERROR(__xludf.DUMMYFUNCTION("""COMPUTED_VALUE"""),22.81)</f>
        <v/>
      </c>
      <c r="G151" s="143">
        <f>IFERROR(__xludf.DUMMYFUNCTION("""COMPUTED_VALUE"""),684392)</f>
        <v/>
      </c>
      <c r="H151" s="27" t="n"/>
    </row>
    <row r="152" ht="17.25" customHeight="1" s="322">
      <c r="A152" s="27" t="n"/>
      <c r="B152" s="506">
        <f>IFERROR(__xludf.DUMMYFUNCTION("""COMPUTED_VALUE"""),46049.6666666666)</f>
        <v/>
      </c>
      <c r="C152" s="141">
        <f>IFERROR(__xludf.DUMMYFUNCTION("""COMPUTED_VALUE"""),22.87)</f>
        <v/>
      </c>
      <c r="D152" s="141">
        <f>IFERROR(__xludf.DUMMYFUNCTION("""COMPUTED_VALUE"""),23.12)</f>
        <v/>
      </c>
      <c r="E152" s="141">
        <f>IFERROR(__xludf.DUMMYFUNCTION("""COMPUTED_VALUE"""),22.81)</f>
        <v/>
      </c>
      <c r="F152" s="141">
        <f>IFERROR(__xludf.DUMMYFUNCTION("""COMPUTED_VALUE"""),23.04)</f>
        <v/>
      </c>
      <c r="G152" s="143">
        <f>IFERROR(__xludf.DUMMYFUNCTION("""COMPUTED_VALUE"""),13155212)</f>
        <v/>
      </c>
      <c r="H152" s="27" t="n"/>
    </row>
    <row r="153" ht="17.25" customHeight="1" s="322">
      <c r="A153" s="27" t="n"/>
      <c r="B153" s="506">
        <f>IFERROR(__xludf.DUMMYFUNCTION("""COMPUTED_VALUE"""),46050.6666666666)</f>
        <v/>
      </c>
      <c r="C153" s="141">
        <f>IFERROR(__xludf.DUMMYFUNCTION("""COMPUTED_VALUE"""),23.02)</f>
        <v/>
      </c>
      <c r="D153" s="141">
        <f>IFERROR(__xludf.DUMMYFUNCTION("""COMPUTED_VALUE"""),23.06)</f>
        <v/>
      </c>
      <c r="E153" s="141">
        <f>IFERROR(__xludf.DUMMYFUNCTION("""COMPUTED_VALUE"""),22.89)</f>
        <v/>
      </c>
      <c r="F153" s="141">
        <f>IFERROR(__xludf.DUMMYFUNCTION("""COMPUTED_VALUE"""),22.99)</f>
        <v/>
      </c>
      <c r="G153" s="143">
        <f>IFERROR(__xludf.DUMMYFUNCTION("""COMPUTED_VALUE"""),340818)</f>
        <v/>
      </c>
      <c r="H153" s="27" t="n"/>
    </row>
    <row r="154" ht="17.25" customHeight="1" s="322">
      <c r="A154" s="27" t="n"/>
      <c r="B154" s="506">
        <f>IFERROR(__xludf.DUMMYFUNCTION("""COMPUTED_VALUE"""),46051.6666666666)</f>
        <v/>
      </c>
      <c r="C154" s="141">
        <f>IFERROR(__xludf.DUMMYFUNCTION("""COMPUTED_VALUE"""),23)</f>
        <v/>
      </c>
      <c r="D154" s="141">
        <f>IFERROR(__xludf.DUMMYFUNCTION("""COMPUTED_VALUE"""),23.03)</f>
        <v/>
      </c>
      <c r="E154" s="141">
        <f>IFERROR(__xludf.DUMMYFUNCTION("""COMPUTED_VALUE"""),22.91)</f>
        <v/>
      </c>
      <c r="F154" s="141">
        <f>IFERROR(__xludf.DUMMYFUNCTION("""COMPUTED_VALUE"""),22.99)</f>
        <v/>
      </c>
      <c r="G154" s="143">
        <f>IFERROR(__xludf.DUMMYFUNCTION("""COMPUTED_VALUE"""),922448)</f>
        <v/>
      </c>
      <c r="H154" s="27" t="n"/>
    </row>
    <row r="155" ht="17.25" customHeight="1" s="322">
      <c r="A155" s="27" t="n"/>
      <c r="B155" s="506">
        <f>IFERROR(__xludf.DUMMYFUNCTION("""COMPUTED_VALUE"""),46052.6666666666)</f>
        <v/>
      </c>
      <c r="C155" s="141">
        <f>IFERROR(__xludf.DUMMYFUNCTION("""COMPUTED_VALUE"""),22.88)</f>
        <v/>
      </c>
      <c r="D155" s="141">
        <f>IFERROR(__xludf.DUMMYFUNCTION("""COMPUTED_VALUE"""),22.92)</f>
        <v/>
      </c>
      <c r="E155" s="141">
        <f>IFERROR(__xludf.DUMMYFUNCTION("""COMPUTED_VALUE"""),22.79)</f>
        <v/>
      </c>
      <c r="F155" s="141">
        <f>IFERROR(__xludf.DUMMYFUNCTION("""COMPUTED_VALUE"""),22.84)</f>
        <v/>
      </c>
      <c r="G155" s="143">
        <f>IFERROR(__xludf.DUMMYFUNCTION("""COMPUTED_VALUE"""),3914391)</f>
        <v/>
      </c>
      <c r="H155" s="27" t="n"/>
    </row>
    <row r="156" ht="17.25" customHeight="1" s="322">
      <c r="A156" s="27" t="n"/>
      <c r="B156" s="506">
        <f>IFERROR(__xludf.DUMMYFUNCTION("""COMPUTED_VALUE"""),46055.6666666666)</f>
        <v/>
      </c>
      <c r="C156" s="141">
        <f>IFERROR(__xludf.DUMMYFUNCTION("""COMPUTED_VALUE"""),22.69)</f>
        <v/>
      </c>
      <c r="D156" s="141">
        <f>IFERROR(__xludf.DUMMYFUNCTION("""COMPUTED_VALUE"""),22.76)</f>
        <v/>
      </c>
      <c r="E156" s="141">
        <f>IFERROR(__xludf.DUMMYFUNCTION("""COMPUTED_VALUE"""),22.65)</f>
        <v/>
      </c>
      <c r="F156" s="141">
        <f>IFERROR(__xludf.DUMMYFUNCTION("""COMPUTED_VALUE"""),22.69)</f>
        <v/>
      </c>
      <c r="G156" s="143">
        <f>IFERROR(__xludf.DUMMYFUNCTION("""COMPUTED_VALUE"""),453246)</f>
        <v/>
      </c>
      <c r="H156" s="27" t="n"/>
    </row>
    <row r="157" ht="17.25" customHeight="1" s="322">
      <c r="A157" s="27" t="n"/>
      <c r="B157" s="506">
        <f>IFERROR(__xludf.DUMMYFUNCTION("""COMPUTED_VALUE"""),46056.6666666666)</f>
        <v/>
      </c>
      <c r="C157" s="141">
        <f>IFERROR(__xludf.DUMMYFUNCTION("""COMPUTED_VALUE"""),22.66)</f>
        <v/>
      </c>
      <c r="D157" s="141">
        <f>IFERROR(__xludf.DUMMYFUNCTION("""COMPUTED_VALUE"""),22.73)</f>
        <v/>
      </c>
      <c r="E157" s="141">
        <f>IFERROR(__xludf.DUMMYFUNCTION("""COMPUTED_VALUE"""),22.6)</f>
        <v/>
      </c>
      <c r="F157" s="141">
        <f>IFERROR(__xludf.DUMMYFUNCTION("""COMPUTED_VALUE"""),22.7)</f>
        <v/>
      </c>
      <c r="G157" s="143">
        <f>IFERROR(__xludf.DUMMYFUNCTION("""COMPUTED_VALUE"""),1087896)</f>
        <v/>
      </c>
      <c r="H157" s="27" t="n"/>
    </row>
    <row r="158" ht="17.25" customHeight="1" s="322">
      <c r="A158" s="27" t="n"/>
      <c r="B158" s="506">
        <f>IFERROR(__xludf.DUMMYFUNCTION("""COMPUTED_VALUE"""),46057.6666666666)</f>
        <v/>
      </c>
      <c r="C158" s="141">
        <f>IFERROR(__xludf.DUMMYFUNCTION("""COMPUTED_VALUE"""),22.71)</f>
        <v/>
      </c>
      <c r="D158" s="141">
        <f>IFERROR(__xludf.DUMMYFUNCTION("""COMPUTED_VALUE"""),22.71)</f>
        <v/>
      </c>
      <c r="E158" s="141">
        <f>IFERROR(__xludf.DUMMYFUNCTION("""COMPUTED_VALUE"""),22.61)</f>
        <v/>
      </c>
      <c r="F158" s="141">
        <f>IFERROR(__xludf.DUMMYFUNCTION("""COMPUTED_VALUE"""),22.64)</f>
        <v/>
      </c>
      <c r="G158" s="143">
        <f>IFERROR(__xludf.DUMMYFUNCTION("""COMPUTED_VALUE"""),499542)</f>
        <v/>
      </c>
      <c r="H158" s="27" t="n"/>
    </row>
    <row r="159" ht="17.25" customHeight="1" s="322">
      <c r="A159" s="27" t="n"/>
      <c r="B159" s="506">
        <f>IFERROR(__xludf.DUMMYFUNCTION("""COMPUTED_VALUE"""),46058.6666666666)</f>
        <v/>
      </c>
      <c r="C159" s="141">
        <f>IFERROR(__xludf.DUMMYFUNCTION("""COMPUTED_VALUE"""),22.64)</f>
        <v/>
      </c>
      <c r="D159" s="141">
        <f>IFERROR(__xludf.DUMMYFUNCTION("""COMPUTED_VALUE"""),22.68)</f>
        <v/>
      </c>
      <c r="E159" s="141">
        <f>IFERROR(__xludf.DUMMYFUNCTION("""COMPUTED_VALUE"""),22.6)</f>
        <v/>
      </c>
      <c r="F159" s="141">
        <f>IFERROR(__xludf.DUMMYFUNCTION("""COMPUTED_VALUE"""),22.64)</f>
        <v/>
      </c>
      <c r="G159" s="143">
        <f>IFERROR(__xludf.DUMMYFUNCTION("""COMPUTED_VALUE"""),502207)</f>
        <v/>
      </c>
      <c r="H159" s="27" t="n"/>
    </row>
    <row r="160" ht="17.25" customHeight="1" s="322">
      <c r="A160" s="27" t="n"/>
      <c r="B160" s="506">
        <f>IFERROR(__xludf.DUMMYFUNCTION("""COMPUTED_VALUE"""),46059.6666666666)</f>
        <v/>
      </c>
      <c r="C160" s="141">
        <f>IFERROR(__xludf.DUMMYFUNCTION("""COMPUTED_VALUE"""),22.67)</f>
        <v/>
      </c>
      <c r="D160" s="141">
        <f>IFERROR(__xludf.DUMMYFUNCTION("""COMPUTED_VALUE"""),22.73)</f>
        <v/>
      </c>
      <c r="E160" s="141">
        <f>IFERROR(__xludf.DUMMYFUNCTION("""COMPUTED_VALUE"""),22.66)</f>
        <v/>
      </c>
      <c r="F160" s="141">
        <f>IFERROR(__xludf.DUMMYFUNCTION("""COMPUTED_VALUE"""),22.68)</f>
        <v/>
      </c>
      <c r="G160" s="143">
        <f>IFERROR(__xludf.DUMMYFUNCTION("""COMPUTED_VALUE"""),261768)</f>
        <v/>
      </c>
      <c r="H160" s="27" t="n"/>
    </row>
    <row r="161" ht="17.25" customHeight="1" s="322">
      <c r="A161" s="27" t="n"/>
      <c r="B161" s="506">
        <f>IFERROR(__xludf.DUMMYFUNCTION("""COMPUTED_VALUE"""),46062.6666666666)</f>
        <v/>
      </c>
      <c r="C161" s="141">
        <f>IFERROR(__xludf.DUMMYFUNCTION("""COMPUTED_VALUE"""),22.79)</f>
        <v/>
      </c>
      <c r="D161" s="141">
        <f>IFERROR(__xludf.DUMMYFUNCTION("""COMPUTED_VALUE"""),22.91)</f>
        <v/>
      </c>
      <c r="E161" s="141">
        <f>IFERROR(__xludf.DUMMYFUNCTION("""COMPUTED_VALUE"""),22.73)</f>
        <v/>
      </c>
      <c r="F161" s="141">
        <f>IFERROR(__xludf.DUMMYFUNCTION("""COMPUTED_VALUE"""),22.83)</f>
        <v/>
      </c>
      <c r="G161" s="143">
        <f>IFERROR(__xludf.DUMMYFUNCTION("""COMPUTED_VALUE"""),378312)</f>
        <v/>
      </c>
      <c r="H161" s="27" t="n"/>
    </row>
    <row r="162" ht="17.25" customHeight="1" s="322">
      <c r="A162" s="27" t="n"/>
      <c r="B162" s="506">
        <f>IFERROR(__xludf.DUMMYFUNCTION("""COMPUTED_VALUE"""),46063.6666666666)</f>
        <v/>
      </c>
      <c r="C162" s="141">
        <f>IFERROR(__xludf.DUMMYFUNCTION("""COMPUTED_VALUE"""),22.96)</f>
        <v/>
      </c>
      <c r="D162" s="141">
        <f>IFERROR(__xludf.DUMMYFUNCTION("""COMPUTED_VALUE"""),22.97)</f>
        <v/>
      </c>
      <c r="E162" s="141">
        <f>IFERROR(__xludf.DUMMYFUNCTION("""COMPUTED_VALUE"""),22.87)</f>
        <v/>
      </c>
      <c r="F162" s="141">
        <f>IFERROR(__xludf.DUMMYFUNCTION("""COMPUTED_VALUE"""),22.93)</f>
        <v/>
      </c>
      <c r="G162" s="143">
        <f>IFERROR(__xludf.DUMMYFUNCTION("""COMPUTED_VALUE"""),547910)</f>
        <v/>
      </c>
      <c r="H162" s="27" t="n"/>
    </row>
    <row r="163" ht="17.25" customHeight="1" s="322">
      <c r="A163" s="27" t="n"/>
      <c r="B163" s="506">
        <f>IFERROR(__xludf.DUMMYFUNCTION("""COMPUTED_VALUE"""),46064.6666666666)</f>
        <v/>
      </c>
      <c r="C163" s="141">
        <f>IFERROR(__xludf.DUMMYFUNCTION("""COMPUTED_VALUE"""),22.86)</f>
        <v/>
      </c>
      <c r="D163" s="141">
        <f>IFERROR(__xludf.DUMMYFUNCTION("""COMPUTED_VALUE"""),23.02)</f>
        <v/>
      </c>
      <c r="E163" s="141">
        <f>IFERROR(__xludf.DUMMYFUNCTION("""COMPUTED_VALUE"""),22.86)</f>
        <v/>
      </c>
      <c r="F163" s="141">
        <f>IFERROR(__xludf.DUMMYFUNCTION("""COMPUTED_VALUE"""),22.97)</f>
        <v/>
      </c>
      <c r="G163" s="143">
        <f>IFERROR(__xludf.DUMMYFUNCTION("""COMPUTED_VALUE"""),196120)</f>
        <v/>
      </c>
      <c r="H163" s="27" t="n"/>
    </row>
    <row r="164" ht="17.25" customHeight="1" s="322">
      <c r="A164" s="27" t="n"/>
      <c r="B164" s="506">
        <f>IFERROR(__xludf.DUMMYFUNCTION("""COMPUTED_VALUE"""),46065.6666666666)</f>
        <v/>
      </c>
      <c r="C164" s="141">
        <f>IFERROR(__xludf.DUMMYFUNCTION("""COMPUTED_VALUE"""),23.02)</f>
        <v/>
      </c>
      <c r="D164" s="141">
        <f>IFERROR(__xludf.DUMMYFUNCTION("""COMPUTED_VALUE"""),23.06)</f>
        <v/>
      </c>
      <c r="E164" s="141">
        <f>IFERROR(__xludf.DUMMYFUNCTION("""COMPUTED_VALUE"""),22.98)</f>
        <v/>
      </c>
      <c r="F164" s="141">
        <f>IFERROR(__xludf.DUMMYFUNCTION("""COMPUTED_VALUE"""),23.04)</f>
        <v/>
      </c>
      <c r="G164" s="143">
        <f>IFERROR(__xludf.DUMMYFUNCTION("""COMPUTED_VALUE"""),246884)</f>
        <v/>
      </c>
      <c r="H164" s="27" t="n"/>
    </row>
    <row r="165" ht="17.25" customHeight="1" s="322">
      <c r="A165" s="27" t="n"/>
      <c r="B165" s="506">
        <f>IFERROR(__xludf.DUMMYFUNCTION("""COMPUTED_VALUE"""),46066.6666666666)</f>
        <v/>
      </c>
      <c r="C165" s="141">
        <f>IFERROR(__xludf.DUMMYFUNCTION("""COMPUTED_VALUE"""),23.05)</f>
        <v/>
      </c>
      <c r="D165" s="141">
        <f>IFERROR(__xludf.DUMMYFUNCTION("""COMPUTED_VALUE"""),23.11)</f>
        <v/>
      </c>
      <c r="E165" s="141">
        <f>IFERROR(__xludf.DUMMYFUNCTION("""COMPUTED_VALUE"""),23.05)</f>
        <v/>
      </c>
      <c r="F165" s="141">
        <f>IFERROR(__xludf.DUMMYFUNCTION("""COMPUTED_VALUE"""),23.08)</f>
        <v/>
      </c>
      <c r="G165" s="143">
        <f>IFERROR(__xludf.DUMMYFUNCTION("""COMPUTED_VALUE"""),918799)</f>
        <v/>
      </c>
      <c r="H165" s="27" t="n"/>
    </row>
    <row r="166" ht="17.25" customHeight="1" s="322">
      <c r="A166" s="27" t="n"/>
      <c r="B166" s="506">
        <f>IFERROR(__xludf.DUMMYFUNCTION("""COMPUTED_VALUE"""),46070.6666666666)</f>
        <v/>
      </c>
      <c r="C166" s="141">
        <f>IFERROR(__xludf.DUMMYFUNCTION("""COMPUTED_VALUE"""),23)</f>
        <v/>
      </c>
      <c r="D166" s="141">
        <f>IFERROR(__xludf.DUMMYFUNCTION("""COMPUTED_VALUE"""),23.08)</f>
        <v/>
      </c>
      <c r="E166" s="141">
        <f>IFERROR(__xludf.DUMMYFUNCTION("""COMPUTED_VALUE"""),22.98)</f>
        <v/>
      </c>
      <c r="F166" s="141">
        <f>IFERROR(__xludf.DUMMYFUNCTION("""COMPUTED_VALUE"""),23.07)</f>
        <v/>
      </c>
      <c r="G166" s="143">
        <f>IFERROR(__xludf.DUMMYFUNCTION("""COMPUTED_VALUE"""),265648)</f>
        <v/>
      </c>
      <c r="H166" s="27" t="n"/>
    </row>
    <row r="167" ht="17.25" customHeight="1" s="322">
      <c r="A167" s="27" t="n"/>
      <c r="B167" s="506">
        <f>IFERROR(__xludf.DUMMYFUNCTION("""COMPUTED_VALUE"""),46071.6666666666)</f>
        <v/>
      </c>
      <c r="C167" s="141">
        <f>IFERROR(__xludf.DUMMYFUNCTION("""COMPUTED_VALUE"""),22.97)</f>
        <v/>
      </c>
      <c r="D167" s="141">
        <f>IFERROR(__xludf.DUMMYFUNCTION("""COMPUTED_VALUE"""),23.01)</f>
        <v/>
      </c>
      <c r="E167" s="141">
        <f>IFERROR(__xludf.DUMMYFUNCTION("""COMPUTED_VALUE"""),22.92)</f>
        <v/>
      </c>
      <c r="F167" s="141">
        <f>IFERROR(__xludf.DUMMYFUNCTION("""COMPUTED_VALUE"""),22.93)</f>
        <v/>
      </c>
      <c r="G167" s="143">
        <f>IFERROR(__xludf.DUMMYFUNCTION("""COMPUTED_VALUE"""),351437)</f>
        <v/>
      </c>
      <c r="H167" s="27" t="n"/>
    </row>
    <row r="168" ht="17.25" customHeight="1" s="322">
      <c r="A168" s="27" t="n"/>
      <c r="B168" s="506">
        <f>IFERROR(__xludf.DUMMYFUNCTION("""COMPUTED_VALUE"""),46072.6666666666)</f>
        <v/>
      </c>
      <c r="C168" s="141">
        <f>IFERROR(__xludf.DUMMYFUNCTION("""COMPUTED_VALUE"""),22.86)</f>
        <v/>
      </c>
      <c r="D168" s="141">
        <f>IFERROR(__xludf.DUMMYFUNCTION("""COMPUTED_VALUE"""),22.93)</f>
        <v/>
      </c>
      <c r="E168" s="141">
        <f>IFERROR(__xludf.DUMMYFUNCTION("""COMPUTED_VALUE"""),22.84)</f>
        <v/>
      </c>
      <c r="F168" s="141">
        <f>IFERROR(__xludf.DUMMYFUNCTION("""COMPUTED_VALUE"""),22.92)</f>
        <v/>
      </c>
      <c r="G168" s="143">
        <f>IFERROR(__xludf.DUMMYFUNCTION("""COMPUTED_VALUE"""),357042)</f>
        <v/>
      </c>
      <c r="H168" s="27" t="n"/>
    </row>
    <row r="169" ht="17.25" customHeight="1" s="322">
      <c r="A169" s="27" t="n"/>
      <c r="B169" s="506">
        <f>IFERROR(__xludf.DUMMYFUNCTION("""COMPUTED_VALUE"""),46073.6666666666)</f>
        <v/>
      </c>
      <c r="C169" s="141">
        <f>IFERROR(__xludf.DUMMYFUNCTION("""COMPUTED_VALUE"""),22.89)</f>
        <v/>
      </c>
      <c r="D169" s="141">
        <f>IFERROR(__xludf.DUMMYFUNCTION("""COMPUTED_VALUE"""),22.98)</f>
        <v/>
      </c>
      <c r="E169" s="141">
        <f>IFERROR(__xludf.DUMMYFUNCTION("""COMPUTED_VALUE"""),22.85)</f>
        <v/>
      </c>
      <c r="F169" s="141">
        <f>IFERROR(__xludf.DUMMYFUNCTION("""COMPUTED_VALUE"""),22.93)</f>
        <v/>
      </c>
      <c r="G169" s="143">
        <f>IFERROR(__xludf.DUMMYFUNCTION("""COMPUTED_VALUE"""),294739)</f>
        <v/>
      </c>
      <c r="H169" s="27" t="n"/>
    </row>
    <row r="170" ht="17.25" customHeight="1" s="322">
      <c r="A170" s="27" t="n"/>
      <c r="B170" s="506">
        <f>IFERROR(__xludf.DUMMYFUNCTION("""COMPUTED_VALUE"""),46076.6666666666)</f>
        <v/>
      </c>
      <c r="C170" s="141">
        <f>IFERROR(__xludf.DUMMYFUNCTION("""COMPUTED_VALUE"""),22.98)</f>
        <v/>
      </c>
      <c r="D170" s="141">
        <f>IFERROR(__xludf.DUMMYFUNCTION("""COMPUTED_VALUE"""),23.05)</f>
        <v/>
      </c>
      <c r="E170" s="141">
        <f>IFERROR(__xludf.DUMMYFUNCTION("""COMPUTED_VALUE"""),22.94)</f>
        <v/>
      </c>
      <c r="F170" s="141">
        <f>IFERROR(__xludf.DUMMYFUNCTION("""COMPUTED_VALUE"""),23.05)</f>
        <v/>
      </c>
      <c r="G170" s="143">
        <f>IFERROR(__xludf.DUMMYFUNCTION("""COMPUTED_VALUE"""),314193)</f>
        <v/>
      </c>
      <c r="H170" s="27" t="n"/>
    </row>
    <row r="171" ht="17.25" customHeight="1" s="322">
      <c r="A171" s="27" t="n"/>
      <c r="B171" s="506">
        <f>IFERROR(__xludf.DUMMYFUNCTION("""COMPUTED_VALUE"""),46077.6666666666)</f>
        <v/>
      </c>
      <c r="C171" s="141">
        <f>IFERROR(__xludf.DUMMYFUNCTION("""COMPUTED_VALUE"""),22.99)</f>
        <v/>
      </c>
      <c r="D171" s="141">
        <f>IFERROR(__xludf.DUMMYFUNCTION("""COMPUTED_VALUE"""),23.01)</f>
        <v/>
      </c>
      <c r="E171" s="141">
        <f>IFERROR(__xludf.DUMMYFUNCTION("""COMPUTED_VALUE"""),22.94)</f>
        <v/>
      </c>
      <c r="F171" s="141">
        <f>IFERROR(__xludf.DUMMYFUNCTION("""COMPUTED_VALUE"""),22.99)</f>
        <v/>
      </c>
      <c r="G171" s="143">
        <f>IFERROR(__xludf.DUMMYFUNCTION("""COMPUTED_VALUE"""),478324)</f>
        <v/>
      </c>
      <c r="H171" s="27" t="n"/>
    </row>
    <row r="172" ht="17.25" customHeight="1" s="322">
      <c r="A172" s="27" t="n"/>
      <c r="B172" s="506">
        <f>IFERROR(__xludf.DUMMYFUNCTION("""COMPUTED_VALUE"""),46078.6666666666)</f>
        <v/>
      </c>
      <c r="C172" s="141">
        <f>IFERROR(__xludf.DUMMYFUNCTION("""COMPUTED_VALUE"""),22.93)</f>
        <v/>
      </c>
      <c r="D172" s="141">
        <f>IFERROR(__xludf.DUMMYFUNCTION("""COMPUTED_VALUE"""),23.03)</f>
        <v/>
      </c>
      <c r="E172" s="141">
        <f>IFERROR(__xludf.DUMMYFUNCTION("""COMPUTED_VALUE"""),22.93)</f>
        <v/>
      </c>
      <c r="F172" s="141">
        <f>IFERROR(__xludf.DUMMYFUNCTION("""COMPUTED_VALUE"""),22.98)</f>
        <v/>
      </c>
      <c r="G172" s="143">
        <f>IFERROR(__xludf.DUMMYFUNCTION("""COMPUTED_VALUE"""),538168)</f>
        <v/>
      </c>
      <c r="H172" s="27" t="n"/>
    </row>
    <row r="173" ht="17.25" customHeight="1" s="322">
      <c r="A173" s="27" t="n"/>
      <c r="B173" s="506">
        <f>IFERROR(__xludf.DUMMYFUNCTION("""COMPUTED_VALUE"""),46079.6666666666)</f>
        <v/>
      </c>
      <c r="C173" s="141">
        <f>IFERROR(__xludf.DUMMYFUNCTION("""COMPUTED_VALUE"""),22.99)</f>
        <v/>
      </c>
      <c r="D173" s="141">
        <f>IFERROR(__xludf.DUMMYFUNCTION("""COMPUTED_VALUE"""),23.05)</f>
        <v/>
      </c>
      <c r="E173" s="141">
        <f>IFERROR(__xludf.DUMMYFUNCTION("""COMPUTED_VALUE"""),22.95)</f>
        <v/>
      </c>
      <c r="F173" s="141">
        <f>IFERROR(__xludf.DUMMYFUNCTION("""COMPUTED_VALUE"""),23.03)</f>
        <v/>
      </c>
      <c r="G173" s="143">
        <f>IFERROR(__xludf.DUMMYFUNCTION("""COMPUTED_VALUE"""),2776141)</f>
        <v/>
      </c>
      <c r="H173" s="27" t="n"/>
    </row>
    <row r="174" ht="17.25" customHeight="1" s="322">
      <c r="A174" s="27" t="n"/>
      <c r="B174" s="506">
        <f>IFERROR(__xludf.DUMMYFUNCTION("""COMPUTED_VALUE"""),46080.6666666666)</f>
        <v/>
      </c>
      <c r="C174" s="141">
        <f>IFERROR(__xludf.DUMMYFUNCTION("""COMPUTED_VALUE"""),23.02)</f>
        <v/>
      </c>
      <c r="D174" s="141">
        <f>IFERROR(__xludf.DUMMYFUNCTION("""COMPUTED_VALUE"""),23.07)</f>
        <v/>
      </c>
      <c r="E174" s="141">
        <f>IFERROR(__xludf.DUMMYFUNCTION("""COMPUTED_VALUE"""),22.98)</f>
        <v/>
      </c>
      <c r="F174" s="141">
        <f>IFERROR(__xludf.DUMMYFUNCTION("""COMPUTED_VALUE"""),23.03)</f>
        <v/>
      </c>
      <c r="G174" s="143">
        <f>IFERROR(__xludf.DUMMYFUNCTION("""COMPUTED_VALUE"""),949881)</f>
        <v/>
      </c>
      <c r="H174" s="27" t="n"/>
    </row>
    <row r="175" ht="17.25" customHeight="1" s="322">
      <c r="A175" s="27" t="n"/>
      <c r="B175" s="506">
        <f>IFERROR(__xludf.DUMMYFUNCTION("""COMPUTED_VALUE"""),46083.6666666666)</f>
        <v/>
      </c>
      <c r="C175" s="141">
        <f>IFERROR(__xludf.DUMMYFUNCTION("""COMPUTED_VALUE"""),22.78)</f>
        <v/>
      </c>
      <c r="D175" s="141">
        <f>IFERROR(__xludf.DUMMYFUNCTION("""COMPUTED_VALUE"""),22.84)</f>
        <v/>
      </c>
      <c r="E175" s="141">
        <f>IFERROR(__xludf.DUMMYFUNCTION("""COMPUTED_VALUE"""),22.69)</f>
        <v/>
      </c>
      <c r="F175" s="141">
        <f>IFERROR(__xludf.DUMMYFUNCTION("""COMPUTED_VALUE"""),22.72)</f>
        <v/>
      </c>
      <c r="G175" s="143">
        <f>IFERROR(__xludf.DUMMYFUNCTION("""COMPUTED_VALUE"""),4984481)</f>
        <v/>
      </c>
      <c r="H175" s="27" t="n"/>
    </row>
    <row r="176" ht="17.25" customHeight="1" s="322">
      <c r="A176" s="27" t="n"/>
      <c r="B176" s="506">
        <f>IFERROR(__xludf.DUMMYFUNCTION("""COMPUTED_VALUE"""),46084.6666666666)</f>
        <v/>
      </c>
      <c r="C176" s="141">
        <f>IFERROR(__xludf.DUMMYFUNCTION("""COMPUTED_VALUE"""),22.41)</f>
        <v/>
      </c>
      <c r="D176" s="141">
        <f>IFERROR(__xludf.DUMMYFUNCTION("""COMPUTED_VALUE"""),22.55)</f>
        <v/>
      </c>
      <c r="E176" s="141">
        <f>IFERROR(__xludf.DUMMYFUNCTION("""COMPUTED_VALUE"""),22.2)</f>
        <v/>
      </c>
      <c r="F176" s="141">
        <f>IFERROR(__xludf.DUMMYFUNCTION("""COMPUTED_VALUE"""),22.49)</f>
        <v/>
      </c>
      <c r="G176" s="143">
        <f>IFERROR(__xludf.DUMMYFUNCTION("""COMPUTED_VALUE"""),11392066)</f>
        <v/>
      </c>
      <c r="H176" s="27" t="n"/>
    </row>
    <row r="177" ht="17.25" customHeight="1" s="322">
      <c r="A177" s="27" t="n"/>
      <c r="B177" s="506">
        <f>IFERROR(__xludf.DUMMYFUNCTION("""COMPUTED_VALUE"""),46085.6666666666)</f>
        <v/>
      </c>
      <c r="C177" s="141">
        <f>IFERROR(__xludf.DUMMYFUNCTION("""COMPUTED_VALUE"""),22.56)</f>
        <v/>
      </c>
      <c r="D177" s="141">
        <f>IFERROR(__xludf.DUMMYFUNCTION("""COMPUTED_VALUE"""),22.59)</f>
        <v/>
      </c>
      <c r="E177" s="141">
        <f>IFERROR(__xludf.DUMMYFUNCTION("""COMPUTED_VALUE"""),22.51)</f>
        <v/>
      </c>
      <c r="F177" s="141">
        <f>IFERROR(__xludf.DUMMYFUNCTION("""COMPUTED_VALUE"""),22.57)</f>
        <v/>
      </c>
      <c r="G177" s="143">
        <f>IFERROR(__xludf.DUMMYFUNCTION("""COMPUTED_VALUE"""),363780)</f>
        <v/>
      </c>
      <c r="H177" s="27" t="n"/>
    </row>
    <row r="178" ht="17.25" customHeight="1" s="322">
      <c r="A178" s="27" t="n"/>
      <c r="B178" s="506">
        <f>IFERROR(__xludf.DUMMYFUNCTION("""COMPUTED_VALUE"""),46086.6666666666)</f>
        <v/>
      </c>
      <c r="C178" s="141">
        <f>IFERROR(__xludf.DUMMYFUNCTION("""COMPUTED_VALUE"""),22.42)</f>
        <v/>
      </c>
      <c r="D178" s="141">
        <f>IFERROR(__xludf.DUMMYFUNCTION("""COMPUTED_VALUE"""),22.6)</f>
        <v/>
      </c>
      <c r="E178" s="141">
        <f>IFERROR(__xludf.DUMMYFUNCTION("""COMPUTED_VALUE"""),22.33)</f>
        <v/>
      </c>
      <c r="F178" s="141">
        <f>IFERROR(__xludf.DUMMYFUNCTION("""COMPUTED_VALUE"""),22.4)</f>
        <v/>
      </c>
      <c r="G178" s="143">
        <f>IFERROR(__xludf.DUMMYFUNCTION("""COMPUTED_VALUE"""),1109629)</f>
        <v/>
      </c>
      <c r="H178" s="27" t="n"/>
    </row>
    <row r="179" ht="17.25" customHeight="1" s="322">
      <c r="A179" s="27" t="n"/>
      <c r="B179" s="506">
        <f>IFERROR(__xludf.DUMMYFUNCTION("""COMPUTED_VALUE"""),46087.6666666666)</f>
        <v/>
      </c>
      <c r="C179" s="141">
        <f>IFERROR(__xludf.DUMMYFUNCTION("""COMPUTED_VALUE"""),22.29)</f>
        <v/>
      </c>
      <c r="D179" s="141">
        <f>IFERROR(__xludf.DUMMYFUNCTION("""COMPUTED_VALUE"""),22.41)</f>
        <v/>
      </c>
      <c r="E179" s="141">
        <f>IFERROR(__xludf.DUMMYFUNCTION("""COMPUTED_VALUE"""),22.25)</f>
        <v/>
      </c>
      <c r="F179" s="141">
        <f>IFERROR(__xludf.DUMMYFUNCTION("""COMPUTED_VALUE"""),22.36)</f>
        <v/>
      </c>
      <c r="G179" s="143">
        <f>IFERROR(__xludf.DUMMYFUNCTION("""COMPUTED_VALUE"""),1763554)</f>
        <v/>
      </c>
      <c r="H179" s="27" t="n"/>
    </row>
    <row r="180" ht="17.25" customHeight="1" s="322">
      <c r="A180" s="27" t="n"/>
      <c r="B180" s="506">
        <f>IFERROR(__xludf.DUMMYFUNCTION("""COMPUTED_VALUE"""),46090.6666666666)</f>
        <v/>
      </c>
      <c r="C180" s="141">
        <f>IFERROR(__xludf.DUMMYFUNCTION("""COMPUTED_VALUE"""),22.26)</f>
        <v/>
      </c>
      <c r="D180" s="141">
        <f>IFERROR(__xludf.DUMMYFUNCTION("""COMPUTED_VALUE"""),22.44)</f>
        <v/>
      </c>
      <c r="E180" s="141">
        <f>IFERROR(__xludf.DUMMYFUNCTION("""COMPUTED_VALUE"""),22.19)</f>
        <v/>
      </c>
      <c r="F180" s="141">
        <f>IFERROR(__xludf.DUMMYFUNCTION("""COMPUTED_VALUE"""),22.41)</f>
        <v/>
      </c>
      <c r="G180" s="143">
        <f>IFERROR(__xludf.DUMMYFUNCTION("""COMPUTED_VALUE"""),2066544)</f>
        <v/>
      </c>
      <c r="H180" s="27" t="n"/>
    </row>
    <row r="181" ht="17.25" customHeight="1" s="322">
      <c r="A181" s="27" t="n"/>
      <c r="B181" s="506">
        <f>IFERROR(__xludf.DUMMYFUNCTION("""COMPUTED_VALUE"""),46091.6666666666)</f>
        <v/>
      </c>
      <c r="C181" s="141">
        <f>IFERROR(__xludf.DUMMYFUNCTION("""COMPUTED_VALUE"""),22.46)</f>
        <v/>
      </c>
      <c r="D181" s="141">
        <f>IFERROR(__xludf.DUMMYFUNCTION("""COMPUTED_VALUE"""),22.54)</f>
        <v/>
      </c>
      <c r="E181" s="141">
        <f>IFERROR(__xludf.DUMMYFUNCTION("""COMPUTED_VALUE"""),22.38)</f>
        <v/>
      </c>
      <c r="F181" s="141">
        <f>IFERROR(__xludf.DUMMYFUNCTION("""COMPUTED_VALUE"""),22.39)</f>
        <v/>
      </c>
      <c r="G181" s="143">
        <f>IFERROR(__xludf.DUMMYFUNCTION("""COMPUTED_VALUE"""),404114)</f>
        <v/>
      </c>
      <c r="H181" s="27" t="n"/>
    </row>
    <row r="182" ht="17.25" customHeight="1" s="322">
      <c r="A182" s="27" t="n"/>
      <c r="B182" s="506">
        <f>IFERROR(__xludf.DUMMYFUNCTION("""COMPUTED_VALUE"""),46092.6666666666)</f>
        <v/>
      </c>
      <c r="C182" s="141">
        <f>IFERROR(__xludf.DUMMYFUNCTION("""COMPUTED_VALUE"""),22.3)</f>
        <v/>
      </c>
      <c r="D182" s="141">
        <f>IFERROR(__xludf.DUMMYFUNCTION("""COMPUTED_VALUE"""),22.39)</f>
        <v/>
      </c>
      <c r="E182" s="141">
        <f>IFERROR(__xludf.DUMMYFUNCTION("""COMPUTED_VALUE"""),22.25)</f>
        <v/>
      </c>
      <c r="F182" s="141">
        <f>IFERROR(__xludf.DUMMYFUNCTION("""COMPUTED_VALUE"""),22.28)</f>
        <v/>
      </c>
      <c r="G182" s="143">
        <f>IFERROR(__xludf.DUMMYFUNCTION("""COMPUTED_VALUE"""),765118)</f>
        <v/>
      </c>
      <c r="H182" s="27" t="n"/>
    </row>
    <row r="183" ht="17.25" customHeight="1" s="322">
      <c r="A183" s="27" t="n"/>
      <c r="B183" s="506">
        <f>IFERROR(__xludf.DUMMYFUNCTION("""COMPUTED_VALUE"""),46093.6666666666)</f>
        <v/>
      </c>
      <c r="C183" s="141">
        <f>IFERROR(__xludf.DUMMYFUNCTION("""COMPUTED_VALUE"""),22.16)</f>
        <v/>
      </c>
      <c r="D183" s="141">
        <f>IFERROR(__xludf.DUMMYFUNCTION("""COMPUTED_VALUE"""),22.24)</f>
        <v/>
      </c>
      <c r="E183" s="141">
        <f>IFERROR(__xludf.DUMMYFUNCTION("""COMPUTED_VALUE"""),22.06)</f>
        <v/>
      </c>
      <c r="F183" s="141">
        <f>IFERROR(__xludf.DUMMYFUNCTION("""COMPUTED_VALUE"""),22.07)</f>
        <v/>
      </c>
      <c r="G183" s="143">
        <f>IFERROR(__xludf.DUMMYFUNCTION("""COMPUTED_VALUE"""),369722)</f>
        <v/>
      </c>
      <c r="H183" s="27" t="n"/>
    </row>
    <row r="184" ht="17.25" customHeight="1" s="322">
      <c r="A184" s="27" t="n"/>
      <c r="B184" s="506">
        <f>IFERROR(__xludf.DUMMYFUNCTION("""COMPUTED_VALUE"""),46094.6666666666)</f>
        <v/>
      </c>
      <c r="C184" s="141">
        <f>IFERROR(__xludf.DUMMYFUNCTION("""COMPUTED_VALUE"""),22.01)</f>
        <v/>
      </c>
      <c r="D184" s="141">
        <f>IFERROR(__xludf.DUMMYFUNCTION("""COMPUTED_VALUE"""),22.11)</f>
        <v/>
      </c>
      <c r="E184" s="141">
        <f>IFERROR(__xludf.DUMMYFUNCTION("""COMPUTED_VALUE"""),21.86)</f>
        <v/>
      </c>
      <c r="F184" s="141">
        <f>IFERROR(__xludf.DUMMYFUNCTION("""COMPUTED_VALUE"""),21.9)</f>
        <v/>
      </c>
      <c r="G184" s="143">
        <f>IFERROR(__xludf.DUMMYFUNCTION("""COMPUTED_VALUE"""),1068554)</f>
        <v/>
      </c>
      <c r="H184" s="27" t="n"/>
    </row>
    <row r="185" ht="17.25" customHeight="1" s="322">
      <c r="A185" s="27" t="n"/>
      <c r="B185" s="506">
        <f>IFERROR(__xludf.DUMMYFUNCTION("""COMPUTED_VALUE"""),46097.6666666666)</f>
        <v/>
      </c>
      <c r="C185" s="141">
        <f>IFERROR(__xludf.DUMMYFUNCTION("""COMPUTED_VALUE"""),22.07)</f>
        <v/>
      </c>
      <c r="D185" s="141">
        <f>IFERROR(__xludf.DUMMYFUNCTION("""COMPUTED_VALUE"""),22.14)</f>
        <v/>
      </c>
      <c r="E185" s="141">
        <f>IFERROR(__xludf.DUMMYFUNCTION("""COMPUTED_VALUE"""),22.03)</f>
        <v/>
      </c>
      <c r="F185" s="141">
        <f>IFERROR(__xludf.DUMMYFUNCTION("""COMPUTED_VALUE"""),22.09)</f>
        <v/>
      </c>
      <c r="G185" s="143">
        <f>IFERROR(__xludf.DUMMYFUNCTION("""COMPUTED_VALUE"""),482486)</f>
        <v/>
      </c>
      <c r="H185" s="27" t="n"/>
    </row>
    <row r="186" ht="17.25" customHeight="1" s="322">
      <c r="A186" s="27" t="n"/>
      <c r="B186" s="506">
        <f>IFERROR(__xludf.DUMMYFUNCTION("""COMPUTED_VALUE"""),46098.6666666666)</f>
        <v/>
      </c>
      <c r="C186" s="141">
        <f>IFERROR(__xludf.DUMMYFUNCTION("""COMPUTED_VALUE"""),22.13)</f>
        <v/>
      </c>
      <c r="D186" s="141">
        <f>IFERROR(__xludf.DUMMYFUNCTION("""COMPUTED_VALUE"""),22.21)</f>
        <v/>
      </c>
      <c r="E186" s="141">
        <f>IFERROR(__xludf.DUMMYFUNCTION("""COMPUTED_VALUE"""),22.13)</f>
        <v/>
      </c>
      <c r="F186" s="141">
        <f>IFERROR(__xludf.DUMMYFUNCTION("""COMPUTED_VALUE"""),22.16)</f>
        <v/>
      </c>
      <c r="G186" s="143">
        <f>IFERROR(__xludf.DUMMYFUNCTION("""COMPUTED_VALUE"""),221388)</f>
        <v/>
      </c>
      <c r="H186" s="27" t="n"/>
    </row>
    <row r="187" ht="17.25" customHeight="1" s="322">
      <c r="A187" s="27" t="n"/>
      <c r="B187" s="506">
        <f>IFERROR(__xludf.DUMMYFUNCTION("""COMPUTED_VALUE"""),46099.6666666666)</f>
        <v/>
      </c>
      <c r="C187" s="141">
        <f>IFERROR(__xludf.DUMMYFUNCTION("""COMPUTED_VALUE"""),22.04)</f>
        <v/>
      </c>
      <c r="D187" s="141">
        <f>IFERROR(__xludf.DUMMYFUNCTION("""COMPUTED_VALUE"""),22.12)</f>
        <v/>
      </c>
      <c r="E187" s="141">
        <f>IFERROR(__xludf.DUMMYFUNCTION("""COMPUTED_VALUE"""),21.97)</f>
        <v/>
      </c>
      <c r="F187" s="141">
        <f>IFERROR(__xludf.DUMMYFUNCTION("""COMPUTED_VALUE"""),21.97)</f>
        <v/>
      </c>
      <c r="G187" s="143">
        <f>IFERROR(__xludf.DUMMYFUNCTION("""COMPUTED_VALUE"""),293418)</f>
        <v/>
      </c>
      <c r="H187" s="27" t="n"/>
    </row>
    <row r="188" ht="17.25" customHeight="1" s="322">
      <c r="A188" s="27" t="n"/>
      <c r="B188" s="506">
        <f>IFERROR(__xludf.DUMMYFUNCTION("""COMPUTED_VALUE"""),46100.6666666666)</f>
        <v/>
      </c>
      <c r="C188" s="141">
        <f>IFERROR(__xludf.DUMMYFUNCTION("""COMPUTED_VALUE"""),21.93)</f>
        <v/>
      </c>
      <c r="D188" s="141">
        <f>IFERROR(__xludf.DUMMYFUNCTION("""COMPUTED_VALUE"""),22.26)</f>
        <v/>
      </c>
      <c r="E188" s="141">
        <f>IFERROR(__xludf.DUMMYFUNCTION("""COMPUTED_VALUE"""),21.93)</f>
        <v/>
      </c>
      <c r="F188" s="141">
        <f>IFERROR(__xludf.DUMMYFUNCTION("""COMPUTED_VALUE"""),22.19)</f>
        <v/>
      </c>
      <c r="G188" s="143">
        <f>IFERROR(__xludf.DUMMYFUNCTION("""COMPUTED_VALUE"""),368260)</f>
        <v/>
      </c>
      <c r="H188" s="27" t="n"/>
    </row>
    <row r="189" ht="17.25" customHeight="1" s="322">
      <c r="A189" s="27" t="n"/>
      <c r="B189" s="506">
        <f>IFERROR(__xludf.DUMMYFUNCTION("""COMPUTED_VALUE"""),46101.6666666666)</f>
        <v/>
      </c>
      <c r="C189" s="141">
        <f>IFERROR(__xludf.DUMMYFUNCTION("""COMPUTED_VALUE"""),22.09)</f>
        <v/>
      </c>
      <c r="D189" s="141">
        <f>IFERROR(__xludf.DUMMYFUNCTION("""COMPUTED_VALUE"""),22.12)</f>
        <v/>
      </c>
      <c r="E189" s="141">
        <f>IFERROR(__xludf.DUMMYFUNCTION("""COMPUTED_VALUE"""),21.9)</f>
        <v/>
      </c>
      <c r="F189" s="141">
        <f>IFERROR(__xludf.DUMMYFUNCTION("""COMPUTED_VALUE"""),21.92)</f>
        <v/>
      </c>
      <c r="G189" s="143">
        <f>IFERROR(__xludf.DUMMYFUNCTION("""COMPUTED_VALUE"""),362102)</f>
        <v/>
      </c>
      <c r="H189" s="27" t="n"/>
    </row>
    <row r="190" ht="17.25" customHeight="1" s="322">
      <c r="A190" s="27" t="n"/>
      <c r="B190" s="506">
        <f>IFERROR(__xludf.DUMMYFUNCTION("""COMPUTED_VALUE"""),46104.6666666666)</f>
        <v/>
      </c>
      <c r="C190" s="141">
        <f>IFERROR(__xludf.DUMMYFUNCTION("""COMPUTED_VALUE"""),21.99)</f>
        <v/>
      </c>
      <c r="D190" s="141">
        <f>IFERROR(__xludf.DUMMYFUNCTION("""COMPUTED_VALUE"""),22.21)</f>
        <v/>
      </c>
      <c r="E190" s="141">
        <f>IFERROR(__xludf.DUMMYFUNCTION("""COMPUTED_VALUE"""),21.96)</f>
        <v/>
      </c>
      <c r="F190" s="141">
        <f>IFERROR(__xludf.DUMMYFUNCTION("""COMPUTED_VALUE"""),22.12)</f>
        <v/>
      </c>
      <c r="G190" s="143">
        <f>IFERROR(__xludf.DUMMYFUNCTION("""COMPUTED_VALUE"""),480501)</f>
        <v/>
      </c>
      <c r="H190" s="27" t="n"/>
    </row>
    <row r="191" ht="17.25" customHeight="1" s="322">
      <c r="A191" s="27" t="n"/>
      <c r="B191" s="506">
        <f>IFERROR(__xludf.DUMMYFUNCTION("""COMPUTED_VALUE"""),46105.6666666666)</f>
        <v/>
      </c>
      <c r="C191" s="141">
        <f>IFERROR(__xludf.DUMMYFUNCTION("""COMPUTED_VALUE"""),21.99)</f>
        <v/>
      </c>
      <c r="D191" s="141">
        <f>IFERROR(__xludf.DUMMYFUNCTION("""COMPUTED_VALUE"""),22.04)</f>
        <v/>
      </c>
      <c r="E191" s="141">
        <f>IFERROR(__xludf.DUMMYFUNCTION("""COMPUTED_VALUE"""),21.92)</f>
        <v/>
      </c>
      <c r="F191" s="141">
        <f>IFERROR(__xludf.DUMMYFUNCTION("""COMPUTED_VALUE"""),21.98)</f>
        <v/>
      </c>
      <c r="G191" s="143">
        <f>IFERROR(__xludf.DUMMYFUNCTION("""COMPUTED_VALUE"""),236926)</f>
        <v/>
      </c>
      <c r="H191" s="27" t="n"/>
    </row>
    <row r="192" ht="17.25" customHeight="1" s="322">
      <c r="A192" s="27" t="n"/>
      <c r="B192" s="506">
        <f>IFERROR(__xludf.DUMMYFUNCTION("""COMPUTED_VALUE"""),46106.6666666666)</f>
        <v/>
      </c>
      <c r="C192" s="141">
        <f>IFERROR(__xludf.DUMMYFUNCTION("""COMPUTED_VALUE"""),22.09)</f>
        <v/>
      </c>
      <c r="D192" s="141">
        <f>IFERROR(__xludf.DUMMYFUNCTION("""COMPUTED_VALUE"""),22.17)</f>
        <v/>
      </c>
      <c r="E192" s="141">
        <f>IFERROR(__xludf.DUMMYFUNCTION("""COMPUTED_VALUE"""),22.02)</f>
        <v/>
      </c>
      <c r="F192" s="141">
        <f>IFERROR(__xludf.DUMMYFUNCTION("""COMPUTED_VALUE"""),22.04)</f>
        <v/>
      </c>
      <c r="G192" s="143">
        <f>IFERROR(__xludf.DUMMYFUNCTION("""COMPUTED_VALUE"""),141672)</f>
        <v/>
      </c>
      <c r="H192" s="27" t="n"/>
    </row>
    <row r="193" ht="17.25" customHeight="1" s="322">
      <c r="A193" s="27" t="n"/>
      <c r="B193" s="506">
        <f>IFERROR(__xludf.DUMMYFUNCTION("""COMPUTED_VALUE"""),46107.6666666666)</f>
        <v/>
      </c>
      <c r="C193" s="141">
        <f>IFERROR(__xludf.DUMMYFUNCTION("""COMPUTED_VALUE"""),21.91)</f>
        <v/>
      </c>
      <c r="D193" s="141">
        <f>IFERROR(__xludf.DUMMYFUNCTION("""COMPUTED_VALUE"""),21.96)</f>
        <v/>
      </c>
      <c r="E193" s="141">
        <f>IFERROR(__xludf.DUMMYFUNCTION("""COMPUTED_VALUE"""),21.8)</f>
        <v/>
      </c>
      <c r="F193" s="141">
        <f>IFERROR(__xludf.DUMMYFUNCTION("""COMPUTED_VALUE"""),21.8)</f>
        <v/>
      </c>
      <c r="G193" s="143">
        <f>IFERROR(__xludf.DUMMYFUNCTION("""COMPUTED_VALUE"""),199865)</f>
        <v/>
      </c>
      <c r="H193" s="27" t="n"/>
    </row>
    <row r="194" ht="17.25" customHeight="1" s="322">
      <c r="A194" s="27" t="n"/>
      <c r="B194" s="506">
        <f>IFERROR(__xludf.DUMMYFUNCTION("""COMPUTED_VALUE"""),46108.6666666666)</f>
        <v/>
      </c>
      <c r="C194" s="141">
        <f>IFERROR(__xludf.DUMMYFUNCTION("""COMPUTED_VALUE"""),21.73)</f>
        <v/>
      </c>
      <c r="D194" s="141">
        <f>IFERROR(__xludf.DUMMYFUNCTION("""COMPUTED_VALUE"""),21.8)</f>
        <v/>
      </c>
      <c r="E194" s="141">
        <f>IFERROR(__xludf.DUMMYFUNCTION("""COMPUTED_VALUE"""),21.65)</f>
        <v/>
      </c>
      <c r="F194" s="141">
        <f>IFERROR(__xludf.DUMMYFUNCTION("""COMPUTED_VALUE"""),21.73)</f>
        <v/>
      </c>
      <c r="G194" s="143">
        <f>IFERROR(__xludf.DUMMYFUNCTION("""COMPUTED_VALUE"""),554462)</f>
        <v/>
      </c>
      <c r="H194" s="27" t="n"/>
    </row>
    <row r="195" ht="17.25" customHeight="1" s="322">
      <c r="A195" s="27" t="n"/>
      <c r="B195" s="506">
        <f>IFERROR(__xludf.DUMMYFUNCTION("""COMPUTED_VALUE"""),46111.6666666666)</f>
        <v/>
      </c>
      <c r="C195" s="141">
        <f>IFERROR(__xludf.DUMMYFUNCTION("""COMPUTED_VALUE"""),21.76)</f>
        <v/>
      </c>
      <c r="D195" s="141">
        <f>IFERROR(__xludf.DUMMYFUNCTION("""COMPUTED_VALUE"""),21.8)</f>
        <v/>
      </c>
      <c r="E195" s="141">
        <f>IFERROR(__xludf.DUMMYFUNCTION("""COMPUTED_VALUE"""),21.68)</f>
        <v/>
      </c>
      <c r="F195" s="141">
        <f>IFERROR(__xludf.DUMMYFUNCTION("""COMPUTED_VALUE"""),21.72)</f>
        <v/>
      </c>
      <c r="G195" s="143">
        <f>IFERROR(__xludf.DUMMYFUNCTION("""COMPUTED_VALUE"""),421517)</f>
        <v/>
      </c>
      <c r="H195" s="27" t="n"/>
    </row>
    <row r="196" ht="17.25" customHeight="1" s="322">
      <c r="A196" s="27" t="n"/>
      <c r="B196" s="506">
        <f>IFERROR(__xludf.DUMMYFUNCTION("""COMPUTED_VALUE"""),46112.6666666666)</f>
        <v/>
      </c>
      <c r="C196" s="141">
        <f>IFERROR(__xludf.DUMMYFUNCTION("""COMPUTED_VALUE"""),21.83)</f>
        <v/>
      </c>
      <c r="D196" s="141">
        <f>IFERROR(__xludf.DUMMYFUNCTION("""COMPUTED_VALUE"""),21.99)</f>
        <v/>
      </c>
      <c r="E196" s="141">
        <f>IFERROR(__xludf.DUMMYFUNCTION("""COMPUTED_VALUE"""),21.79)</f>
        <v/>
      </c>
      <c r="F196" s="141">
        <f>IFERROR(__xludf.DUMMYFUNCTION("""COMPUTED_VALUE"""),21.95)</f>
        <v/>
      </c>
      <c r="G196" s="143">
        <f>IFERROR(__xludf.DUMMYFUNCTION("""COMPUTED_VALUE"""),687012)</f>
        <v/>
      </c>
      <c r="H196" s="27" t="n"/>
    </row>
    <row r="197" ht="17.25" customHeight="1" s="322">
      <c r="A197" s="27" t="n"/>
      <c r="B197" s="506">
        <f>IFERROR(__xludf.DUMMYFUNCTION("""COMPUTED_VALUE"""),46113.6666666666)</f>
        <v/>
      </c>
      <c r="C197" s="141">
        <f>IFERROR(__xludf.DUMMYFUNCTION("""COMPUTED_VALUE"""),22)</f>
        <v/>
      </c>
      <c r="D197" s="141">
        <f>IFERROR(__xludf.DUMMYFUNCTION("""COMPUTED_VALUE"""),22.05)</f>
        <v/>
      </c>
      <c r="E197" s="141">
        <f>IFERROR(__xludf.DUMMYFUNCTION("""COMPUTED_VALUE"""),21.96)</f>
        <v/>
      </c>
      <c r="F197" s="141">
        <f>IFERROR(__xludf.DUMMYFUNCTION("""COMPUTED_VALUE"""),21.96)</f>
        <v/>
      </c>
      <c r="G197" s="143">
        <f>IFERROR(__xludf.DUMMYFUNCTION("""COMPUTED_VALUE"""),540826)</f>
        <v/>
      </c>
      <c r="H197" s="27" t="n"/>
    </row>
    <row r="198" ht="17.25" customHeight="1" s="322">
      <c r="A198" s="27" t="n"/>
      <c r="B198" s="506">
        <f>IFERROR(__xludf.DUMMYFUNCTION("""COMPUTED_VALUE"""),46114.6666666666)</f>
        <v/>
      </c>
      <c r="C198" s="141">
        <f>IFERROR(__xludf.DUMMYFUNCTION("""COMPUTED_VALUE"""),21.82)</f>
        <v/>
      </c>
      <c r="D198" s="141">
        <f>IFERROR(__xludf.DUMMYFUNCTION("""COMPUTED_VALUE"""),21.96)</f>
        <v/>
      </c>
      <c r="E198" s="141">
        <f>IFERROR(__xludf.DUMMYFUNCTION("""COMPUTED_VALUE"""),21.76)</f>
        <v/>
      </c>
      <c r="F198" s="141">
        <f>IFERROR(__xludf.DUMMYFUNCTION("""COMPUTED_VALUE"""),21.88)</f>
        <v/>
      </c>
      <c r="G198" s="143">
        <f>IFERROR(__xludf.DUMMYFUNCTION("""COMPUTED_VALUE"""),267760)</f>
        <v/>
      </c>
      <c r="H198" s="27" t="n"/>
    </row>
    <row r="199" ht="17.25" customHeight="1" s="322">
      <c r="A199" s="27" t="n"/>
      <c r="B199" s="506">
        <f>IFERROR(__xludf.DUMMYFUNCTION("""COMPUTED_VALUE"""),46118.6666666666)</f>
        <v/>
      </c>
      <c r="C199" s="141">
        <f>IFERROR(__xludf.DUMMYFUNCTION("""COMPUTED_VALUE"""),21.88)</f>
        <v/>
      </c>
      <c r="D199" s="141">
        <f>IFERROR(__xludf.DUMMYFUNCTION("""COMPUTED_VALUE"""),21.97)</f>
        <v/>
      </c>
      <c r="E199" s="141">
        <f>IFERROR(__xludf.DUMMYFUNCTION("""COMPUTED_VALUE"""),21.84)</f>
        <v/>
      </c>
      <c r="F199" s="141">
        <f>IFERROR(__xludf.DUMMYFUNCTION("""COMPUTED_VALUE"""),21.86)</f>
        <v/>
      </c>
      <c r="G199" s="143">
        <f>IFERROR(__xludf.DUMMYFUNCTION("""COMPUTED_VALUE"""),756853)</f>
        <v/>
      </c>
      <c r="H199" s="27" t="n"/>
    </row>
    <row r="200" ht="17.25" customHeight="1" s="322">
      <c r="A200" s="27" t="n"/>
      <c r="B200" s="506">
        <f>IFERROR(__xludf.DUMMYFUNCTION("""COMPUTED_VALUE"""),46119.6666666666)</f>
        <v/>
      </c>
      <c r="C200" s="141">
        <f>IFERROR(__xludf.DUMMYFUNCTION("""COMPUTED_VALUE"""),21.88)</f>
        <v/>
      </c>
      <c r="D200" s="141">
        <f>IFERROR(__xludf.DUMMYFUNCTION("""COMPUTED_VALUE"""),21.96)</f>
        <v/>
      </c>
      <c r="E200" s="141">
        <f>IFERROR(__xludf.DUMMYFUNCTION("""COMPUTED_VALUE"""),21.81)</f>
        <v/>
      </c>
      <c r="F200" s="141">
        <f>IFERROR(__xludf.DUMMYFUNCTION("""COMPUTED_VALUE"""),21.93)</f>
        <v/>
      </c>
      <c r="G200" s="143">
        <f>IFERROR(__xludf.DUMMYFUNCTION("""COMPUTED_VALUE"""),248696)</f>
        <v/>
      </c>
      <c r="H200" s="27" t="n"/>
    </row>
    <row r="201" ht="17.25" customHeight="1" s="322">
      <c r="A201" s="27" t="n"/>
      <c r="B201" s="506">
        <f>IFERROR(__xludf.DUMMYFUNCTION("""COMPUTED_VALUE"""),46120.6666666666)</f>
        <v/>
      </c>
      <c r="C201" s="141">
        <f>IFERROR(__xludf.DUMMYFUNCTION("""COMPUTED_VALUE"""),22.34)</f>
        <v/>
      </c>
      <c r="D201" s="141">
        <f>IFERROR(__xludf.DUMMYFUNCTION("""COMPUTED_VALUE"""),22.39)</f>
        <v/>
      </c>
      <c r="E201" s="141">
        <f>IFERROR(__xludf.DUMMYFUNCTION("""COMPUTED_VALUE"""),22.2)</f>
        <v/>
      </c>
      <c r="F201" s="141">
        <f>IFERROR(__xludf.DUMMYFUNCTION("""COMPUTED_VALUE"""),22.25)</f>
        <v/>
      </c>
      <c r="G201" s="143">
        <f>IFERROR(__xludf.DUMMYFUNCTION("""COMPUTED_VALUE"""),207189)</f>
        <v/>
      </c>
      <c r="H201" s="27" t="n"/>
    </row>
    <row r="202" ht="17.25" customHeight="1" s="322">
      <c r="A202" s="27" t="n"/>
      <c r="B202" s="506">
        <f>IFERROR(__xludf.DUMMYFUNCTION("""COMPUTED_VALUE"""),46121.6666666666)</f>
        <v/>
      </c>
      <c r="C202" s="141">
        <f>IFERROR(__xludf.DUMMYFUNCTION("""COMPUTED_VALUE"""),22.18)</f>
        <v/>
      </c>
      <c r="D202" s="141">
        <f>IFERROR(__xludf.DUMMYFUNCTION("""COMPUTED_VALUE"""),22.29)</f>
        <v/>
      </c>
      <c r="E202" s="141">
        <f>IFERROR(__xludf.DUMMYFUNCTION("""COMPUTED_VALUE"""),22.13)</f>
        <v/>
      </c>
      <c r="F202" s="141">
        <f>IFERROR(__xludf.DUMMYFUNCTION("""COMPUTED_VALUE"""),22.22)</f>
        <v/>
      </c>
      <c r="G202" s="143">
        <f>IFERROR(__xludf.DUMMYFUNCTION("""COMPUTED_VALUE"""),372538)</f>
        <v/>
      </c>
      <c r="H202" s="27" t="n"/>
    </row>
    <row r="203" ht="17.25" customHeight="1" s="322">
      <c r="A203" s="27" t="n"/>
      <c r="B203" s="506">
        <f>IFERROR(__xludf.DUMMYFUNCTION("""COMPUTED_VALUE"""),46122.6666666666)</f>
        <v/>
      </c>
      <c r="C203" s="141">
        <f>IFERROR(__xludf.DUMMYFUNCTION("""COMPUTED_VALUE"""),22.19)</f>
        <v/>
      </c>
      <c r="D203" s="141">
        <f>IFERROR(__xludf.DUMMYFUNCTION("""COMPUTED_VALUE"""),22.23)</f>
        <v/>
      </c>
      <c r="E203" s="141">
        <f>IFERROR(__xludf.DUMMYFUNCTION("""COMPUTED_VALUE"""),22.16)</f>
        <v/>
      </c>
      <c r="F203" s="141">
        <f>IFERROR(__xludf.DUMMYFUNCTION("""COMPUTED_VALUE"""),22.17)</f>
        <v/>
      </c>
      <c r="G203" s="143">
        <f>IFERROR(__xludf.DUMMYFUNCTION("""COMPUTED_VALUE"""),1355314)</f>
        <v/>
      </c>
      <c r="H203" s="27" t="n"/>
    </row>
    <row r="204" ht="17.25" customHeight="1" s="322">
      <c r="A204" s="27" t="n"/>
      <c r="B204" s="506">
        <f>IFERROR(__xludf.DUMMYFUNCTION("""COMPUTED_VALUE"""),46125.6666666666)</f>
        <v/>
      </c>
      <c r="C204" s="141">
        <f>IFERROR(__xludf.DUMMYFUNCTION("""COMPUTED_VALUE"""),22.11)</f>
        <v/>
      </c>
      <c r="D204" s="141">
        <f>IFERROR(__xludf.DUMMYFUNCTION("""COMPUTED_VALUE"""),22.24)</f>
        <v/>
      </c>
      <c r="E204" s="141">
        <f>IFERROR(__xludf.DUMMYFUNCTION("""COMPUTED_VALUE"""),22.04)</f>
        <v/>
      </c>
      <c r="F204" s="141">
        <f>IFERROR(__xludf.DUMMYFUNCTION("""COMPUTED_VALUE"""),22.21)</f>
        <v/>
      </c>
      <c r="G204" s="143">
        <f>IFERROR(__xludf.DUMMYFUNCTION("""COMPUTED_VALUE"""),349497)</f>
        <v/>
      </c>
      <c r="H204" s="27" t="n"/>
    </row>
    <row r="205" ht="17.25" customHeight="1" s="322">
      <c r="A205" s="27" t="n"/>
      <c r="B205" s="506">
        <f>IFERROR(__xludf.DUMMYFUNCTION("""COMPUTED_VALUE"""),46126.6666666666)</f>
        <v/>
      </c>
      <c r="C205" s="141">
        <f>IFERROR(__xludf.DUMMYFUNCTION("""COMPUTED_VALUE"""),22.32)</f>
        <v/>
      </c>
      <c r="D205" s="141">
        <f>IFERROR(__xludf.DUMMYFUNCTION("""COMPUTED_VALUE"""),22.38)</f>
        <v/>
      </c>
      <c r="E205" s="141">
        <f>IFERROR(__xludf.DUMMYFUNCTION("""COMPUTED_VALUE"""),22.22)</f>
        <v/>
      </c>
      <c r="F205" s="141">
        <f>IFERROR(__xludf.DUMMYFUNCTION("""COMPUTED_VALUE"""),22.38)</f>
        <v/>
      </c>
      <c r="G205" s="143">
        <f>IFERROR(__xludf.DUMMYFUNCTION("""COMPUTED_VALUE"""),218222)</f>
        <v/>
      </c>
      <c r="H205" s="27" t="n"/>
    </row>
    <row r="206" ht="17.25" customHeight="1" s="322">
      <c r="A206" s="27" t="n"/>
      <c r="B206" s="506">
        <f>IFERROR(__xludf.DUMMYFUNCTION("""COMPUTED_VALUE"""),46127.6666666666)</f>
        <v/>
      </c>
      <c r="C206" s="141">
        <f>IFERROR(__xludf.DUMMYFUNCTION("""COMPUTED_VALUE"""),22.34)</f>
        <v/>
      </c>
      <c r="D206" s="141">
        <f>IFERROR(__xludf.DUMMYFUNCTION("""COMPUTED_VALUE"""),22.35)</f>
        <v/>
      </c>
      <c r="E206" s="141">
        <f>IFERROR(__xludf.DUMMYFUNCTION("""COMPUTED_VALUE"""),22.32)</f>
        <v/>
      </c>
      <c r="F206" s="141">
        <f>IFERROR(__xludf.DUMMYFUNCTION("""COMPUTED_VALUE"""),22.34)</f>
        <v/>
      </c>
      <c r="G206" s="143">
        <f>IFERROR(__xludf.DUMMYFUNCTION("""COMPUTED_VALUE"""),313739)</f>
        <v/>
      </c>
      <c r="H206" s="27" t="n"/>
    </row>
    <row r="207" ht="17.25" customHeight="1" s="322">
      <c r="A207" s="27" t="n"/>
      <c r="B207" s="506">
        <f>IFERROR(__xludf.DUMMYFUNCTION("""COMPUTED_VALUE"""),46128.6666666666)</f>
        <v/>
      </c>
      <c r="C207" s="141">
        <f>IFERROR(__xludf.DUMMYFUNCTION("""COMPUTED_VALUE"""),22.37)</f>
        <v/>
      </c>
      <c r="D207" s="141">
        <f>IFERROR(__xludf.DUMMYFUNCTION("""COMPUTED_VALUE"""),22.37)</f>
        <v/>
      </c>
      <c r="E207" s="141">
        <f>IFERROR(__xludf.DUMMYFUNCTION("""COMPUTED_VALUE"""),22.26)</f>
        <v/>
      </c>
      <c r="F207" s="141">
        <f>IFERROR(__xludf.DUMMYFUNCTION("""COMPUTED_VALUE"""),22.27)</f>
        <v/>
      </c>
      <c r="G207" s="143">
        <f>IFERROR(__xludf.DUMMYFUNCTION("""COMPUTED_VALUE"""),223633)</f>
        <v/>
      </c>
      <c r="H207" s="27" t="n"/>
    </row>
    <row r="208" ht="17.25" customHeight="1" s="322">
      <c r="A208" s="27" t="n"/>
      <c r="B208" s="506">
        <f>IFERROR(__xludf.DUMMYFUNCTION("""COMPUTED_VALUE"""),46129.6666666666)</f>
        <v/>
      </c>
      <c r="C208" s="141">
        <f>IFERROR(__xludf.DUMMYFUNCTION("""COMPUTED_VALUE"""),22.5)</f>
        <v/>
      </c>
      <c r="D208" s="141">
        <f>IFERROR(__xludf.DUMMYFUNCTION("""COMPUTED_VALUE"""),22.56)</f>
        <v/>
      </c>
      <c r="E208" s="141">
        <f>IFERROR(__xludf.DUMMYFUNCTION("""COMPUTED_VALUE"""),22.4)</f>
        <v/>
      </c>
      <c r="F208" s="141">
        <f>IFERROR(__xludf.DUMMYFUNCTION("""COMPUTED_VALUE"""),22.42)</f>
        <v/>
      </c>
      <c r="G208" s="143">
        <f>IFERROR(__xludf.DUMMYFUNCTION("""COMPUTED_VALUE"""),195961)</f>
        <v/>
      </c>
      <c r="H208" s="27" t="n"/>
    </row>
    <row r="209" ht="17.25" customHeight="1" s="322">
      <c r="A209" s="27" t="n"/>
      <c r="B209" s="506">
        <f>IFERROR(__xludf.DUMMYFUNCTION("""COMPUTED_VALUE"""),46132.6666666666)</f>
        <v/>
      </c>
      <c r="C209" s="141">
        <f>IFERROR(__xludf.DUMMYFUNCTION("""COMPUTED_VALUE"""),22.44)</f>
        <v/>
      </c>
      <c r="D209" s="141">
        <f>IFERROR(__xludf.DUMMYFUNCTION("""COMPUTED_VALUE"""),22.48)</f>
        <v/>
      </c>
      <c r="E209" s="141">
        <f>IFERROR(__xludf.DUMMYFUNCTION("""COMPUTED_VALUE"""),22.35)</f>
        <v/>
      </c>
      <c r="F209" s="141">
        <f>IFERROR(__xludf.DUMMYFUNCTION("""COMPUTED_VALUE"""),22.45)</f>
        <v/>
      </c>
      <c r="G209" s="143">
        <f>IFERROR(__xludf.DUMMYFUNCTION("""COMPUTED_VALUE"""),207932)</f>
        <v/>
      </c>
      <c r="H209" s="27" t="n"/>
    </row>
    <row r="210" ht="17.25" customHeight="1" s="322">
      <c r="A210" s="27" t="n"/>
      <c r="B210" s="506">
        <f>IFERROR(__xludf.DUMMYFUNCTION("""COMPUTED_VALUE"""),46133.6666666666)</f>
        <v/>
      </c>
      <c r="C210" s="141">
        <f>IFERROR(__xludf.DUMMYFUNCTION("""COMPUTED_VALUE"""),22.38)</f>
        <v/>
      </c>
      <c r="D210" s="141">
        <f>IFERROR(__xludf.DUMMYFUNCTION("""COMPUTED_VALUE"""),22.42)</f>
        <v/>
      </c>
      <c r="E210" s="141">
        <f>IFERROR(__xludf.DUMMYFUNCTION("""COMPUTED_VALUE"""),22.21)</f>
        <v/>
      </c>
      <c r="F210" s="141">
        <f>IFERROR(__xludf.DUMMYFUNCTION("""COMPUTED_VALUE"""),22.24)</f>
        <v/>
      </c>
      <c r="G210" s="143">
        <f>IFERROR(__xludf.DUMMYFUNCTION("""COMPUTED_VALUE"""),213946)</f>
        <v/>
      </c>
      <c r="H210" s="27" t="n"/>
    </row>
    <row r="211" ht="17.25" customHeight="1" s="322">
      <c r="A211" s="27" t="n"/>
      <c r="B211" s="506">
        <f>IFERROR(__xludf.DUMMYFUNCTION("""COMPUTED_VALUE"""),46134.6666666666)</f>
        <v/>
      </c>
      <c r="C211" s="141">
        <f>IFERROR(__xludf.DUMMYFUNCTION("""COMPUTED_VALUE"""),22.31)</f>
        <v/>
      </c>
      <c r="D211" s="141">
        <f>IFERROR(__xludf.DUMMYFUNCTION("""COMPUTED_VALUE"""),22.34)</f>
        <v/>
      </c>
      <c r="E211" s="141">
        <f>IFERROR(__xludf.DUMMYFUNCTION("""COMPUTED_VALUE"""),22.25)</f>
        <v/>
      </c>
      <c r="F211" s="141">
        <f>IFERROR(__xludf.DUMMYFUNCTION("""COMPUTED_VALUE"""),22.25)</f>
        <v/>
      </c>
      <c r="G211" s="143">
        <f>IFERROR(__xludf.DUMMYFUNCTION("""COMPUTED_VALUE"""),141906)</f>
        <v/>
      </c>
      <c r="H211" s="27" t="n"/>
    </row>
    <row r="212" ht="17.25" customHeight="1" s="322">
      <c r="A212" s="27" t="n"/>
      <c r="B212" s="506">
        <f>IFERROR(__xludf.DUMMYFUNCTION("""COMPUTED_VALUE"""),46135.6666666666)</f>
        <v/>
      </c>
      <c r="C212" s="141">
        <f>IFERROR(__xludf.DUMMYFUNCTION("""COMPUTED_VALUE"""),22.21)</f>
        <v/>
      </c>
      <c r="D212" s="141">
        <f>IFERROR(__xludf.DUMMYFUNCTION("""COMPUTED_VALUE"""),22.33)</f>
        <v/>
      </c>
      <c r="E212" s="141">
        <f>IFERROR(__xludf.DUMMYFUNCTION("""COMPUTED_VALUE"""),22.08)</f>
        <v/>
      </c>
      <c r="F212" s="141">
        <f>IFERROR(__xludf.DUMMYFUNCTION("""COMPUTED_VALUE"""),22.17)</f>
        <v/>
      </c>
      <c r="G212" s="143">
        <f>IFERROR(__xludf.DUMMYFUNCTION("""COMPUTED_VALUE"""),452368)</f>
        <v/>
      </c>
      <c r="H212" s="27" t="n"/>
    </row>
    <row r="213" ht="17.25" customHeight="1" s="322">
      <c r="A213" s="27" t="n"/>
      <c r="B213" s="506">
        <f>IFERROR(__xludf.DUMMYFUNCTION("""COMPUTED_VALUE"""),46136.6666666666)</f>
        <v/>
      </c>
      <c r="C213" s="141">
        <f>IFERROR(__xludf.DUMMYFUNCTION("""COMPUTED_VALUE"""),22.18)</f>
        <v/>
      </c>
      <c r="D213" s="141">
        <f>IFERROR(__xludf.DUMMYFUNCTION("""COMPUTED_VALUE"""),22.27)</f>
        <v/>
      </c>
      <c r="E213" s="141">
        <f>IFERROR(__xludf.DUMMYFUNCTION("""COMPUTED_VALUE"""),22.11)</f>
        <v/>
      </c>
      <c r="F213" s="141">
        <f>IFERROR(__xludf.DUMMYFUNCTION("""COMPUTED_VALUE"""),22.25)</f>
        <v/>
      </c>
      <c r="G213" s="143">
        <f>IFERROR(__xludf.DUMMYFUNCTION("""COMPUTED_VALUE"""),552484)</f>
        <v/>
      </c>
      <c r="H213" s="27" t="n"/>
    </row>
    <row r="214" ht="17.25" customHeight="1" s="322">
      <c r="A214" s="27" t="n"/>
      <c r="B214" s="506">
        <f>IFERROR(__xludf.DUMMYFUNCTION("""COMPUTED_VALUE"""),46139.6666666666)</f>
        <v/>
      </c>
      <c r="C214" s="141">
        <f>IFERROR(__xludf.DUMMYFUNCTION("""COMPUTED_VALUE"""),22.26)</f>
        <v/>
      </c>
      <c r="D214" s="141">
        <f>IFERROR(__xludf.DUMMYFUNCTION("""COMPUTED_VALUE"""),22.37)</f>
        <v/>
      </c>
      <c r="E214" s="141">
        <f>IFERROR(__xludf.DUMMYFUNCTION("""COMPUTED_VALUE"""),22.19)</f>
        <v/>
      </c>
      <c r="F214" s="141">
        <f>IFERROR(__xludf.DUMMYFUNCTION("""COMPUTED_VALUE"""),22.19)</f>
        <v/>
      </c>
      <c r="G214" s="143">
        <f>IFERROR(__xludf.DUMMYFUNCTION("""COMPUTED_VALUE"""),347435)</f>
        <v/>
      </c>
      <c r="H214" s="27" t="n"/>
    </row>
    <row r="215" ht="17.25" customHeight="1" s="322">
      <c r="A215" s="27" t="n"/>
      <c r="B215" s="506">
        <f>IFERROR(__xludf.DUMMYFUNCTION("""COMPUTED_VALUE"""),46140.6666666666)</f>
        <v/>
      </c>
      <c r="C215" s="141">
        <f>IFERROR(__xludf.DUMMYFUNCTION("""COMPUTED_VALUE"""),22.05)</f>
        <v/>
      </c>
      <c r="D215" s="141">
        <f>IFERROR(__xludf.DUMMYFUNCTION("""COMPUTED_VALUE"""),22.16)</f>
        <v/>
      </c>
      <c r="E215" s="141">
        <f>IFERROR(__xludf.DUMMYFUNCTION("""COMPUTED_VALUE"""),22.04)</f>
        <v/>
      </c>
      <c r="F215" s="141">
        <f>IFERROR(__xludf.DUMMYFUNCTION("""COMPUTED_VALUE"""),22.13)</f>
        <v/>
      </c>
      <c r="G215" s="143">
        <f>IFERROR(__xludf.DUMMYFUNCTION("""COMPUTED_VALUE"""),1576545)</f>
        <v/>
      </c>
      <c r="H215" s="27" t="n"/>
    </row>
    <row r="216" ht="17.25" customHeight="1" s="322">
      <c r="A216" s="27" t="n"/>
      <c r="B216" s="506">
        <f>IFERROR(__xludf.DUMMYFUNCTION("""COMPUTED_VALUE"""),46141.6666666666)</f>
        <v/>
      </c>
      <c r="C216" s="141">
        <f>IFERROR(__xludf.DUMMYFUNCTION("""COMPUTED_VALUE"""),22.08)</f>
        <v/>
      </c>
      <c r="D216" s="141">
        <f>IFERROR(__xludf.DUMMYFUNCTION("""COMPUTED_VALUE"""),22.08)</f>
        <v/>
      </c>
      <c r="E216" s="141">
        <f>IFERROR(__xludf.DUMMYFUNCTION("""COMPUTED_VALUE"""),21.97)</f>
        <v/>
      </c>
      <c r="F216" s="141">
        <f>IFERROR(__xludf.DUMMYFUNCTION("""COMPUTED_VALUE"""),21.98)</f>
        <v/>
      </c>
      <c r="G216" s="143">
        <f>IFERROR(__xludf.DUMMYFUNCTION("""COMPUTED_VALUE"""),569905)</f>
        <v/>
      </c>
      <c r="H216" s="27" t="n"/>
    </row>
    <row r="217" ht="17.25" customHeight="1" s="322">
      <c r="A217" s="27" t="n"/>
      <c r="B217" s="506">
        <f>IFERROR(__xludf.DUMMYFUNCTION("""COMPUTED_VALUE"""),46142.6666666666)</f>
        <v/>
      </c>
      <c r="C217" s="141">
        <f>IFERROR(__xludf.DUMMYFUNCTION("""COMPUTED_VALUE"""),22.21)</f>
        <v/>
      </c>
      <c r="D217" s="141">
        <f>IFERROR(__xludf.DUMMYFUNCTION("""COMPUTED_VALUE"""),22.29)</f>
        <v/>
      </c>
      <c r="E217" s="141">
        <f>IFERROR(__xludf.DUMMYFUNCTION("""COMPUTED_VALUE"""),22.13)</f>
        <v/>
      </c>
      <c r="F217" s="141">
        <f>IFERROR(__xludf.DUMMYFUNCTION("""COMPUTED_VALUE"""),22.27)</f>
        <v/>
      </c>
      <c r="G217" s="143">
        <f>IFERROR(__xludf.DUMMYFUNCTION("""COMPUTED_VALUE"""),622818)</f>
        <v/>
      </c>
      <c r="H217" s="27" t="n"/>
    </row>
    <row r="218" ht="17.25" customHeight="1" s="322">
      <c r="A218" s="27" t="n"/>
      <c r="B218" s="506">
        <f>IFERROR(__xludf.DUMMYFUNCTION("""COMPUTED_VALUE"""),46143.6666666666)</f>
        <v/>
      </c>
      <c r="C218" s="141">
        <f>IFERROR(__xludf.DUMMYFUNCTION("""COMPUTED_VALUE"""),22.21)</f>
        <v/>
      </c>
      <c r="D218" s="141">
        <f>IFERROR(__xludf.DUMMYFUNCTION("""COMPUTED_VALUE"""),22.36)</f>
        <v/>
      </c>
      <c r="E218" s="141">
        <f>IFERROR(__xludf.DUMMYFUNCTION("""COMPUTED_VALUE"""),22.21)</f>
        <v/>
      </c>
      <c r="F218" s="141">
        <f>IFERROR(__xludf.DUMMYFUNCTION("""COMPUTED_VALUE"""),22.23)</f>
        <v/>
      </c>
      <c r="G218" s="143">
        <f>IFERROR(__xludf.DUMMYFUNCTION("""COMPUTED_VALUE"""),192257)</f>
        <v/>
      </c>
      <c r="H218" s="27" t="n"/>
    </row>
    <row r="219" ht="17.25" customHeight="1" s="322">
      <c r="A219" s="27" t="n"/>
      <c r="B219" s="506">
        <f>IFERROR(__xludf.DUMMYFUNCTION("""COMPUTED_VALUE"""),46146.6666666666)</f>
        <v/>
      </c>
      <c r="C219" s="141">
        <f>IFERROR(__xludf.DUMMYFUNCTION("""COMPUTED_VALUE"""),22.18)</f>
        <v/>
      </c>
      <c r="D219" s="141">
        <f>IFERROR(__xludf.DUMMYFUNCTION("""COMPUTED_VALUE"""),22.19)</f>
        <v/>
      </c>
      <c r="E219" s="141">
        <f>IFERROR(__xludf.DUMMYFUNCTION("""COMPUTED_VALUE"""),22.08)</f>
        <v/>
      </c>
      <c r="F219" s="141">
        <f>IFERROR(__xludf.DUMMYFUNCTION("""COMPUTED_VALUE"""),22.13)</f>
        <v/>
      </c>
      <c r="G219" s="143">
        <f>IFERROR(__xludf.DUMMYFUNCTION("""COMPUTED_VALUE"""),387860)</f>
        <v/>
      </c>
      <c r="H219" s="27" t="n"/>
    </row>
    <row r="220" ht="17.25" customHeight="1" s="322">
      <c r="A220" s="27" t="n"/>
      <c r="B220" s="506">
        <f>IFERROR(__xludf.DUMMYFUNCTION("""COMPUTED_VALUE"""),46147.6666666666)</f>
        <v/>
      </c>
      <c r="C220" s="141">
        <f>IFERROR(__xludf.DUMMYFUNCTION("""COMPUTED_VALUE"""),22.09)</f>
        <v/>
      </c>
      <c r="D220" s="141">
        <f>IFERROR(__xludf.DUMMYFUNCTION("""COMPUTED_VALUE"""),22.18)</f>
        <v/>
      </c>
      <c r="E220" s="141">
        <f>IFERROR(__xludf.DUMMYFUNCTION("""COMPUTED_VALUE"""),22.09)</f>
        <v/>
      </c>
      <c r="F220" s="141">
        <f>IFERROR(__xludf.DUMMYFUNCTION("""COMPUTED_VALUE"""),22.13)</f>
        <v/>
      </c>
      <c r="G220" s="143">
        <f>IFERROR(__xludf.DUMMYFUNCTION("""COMPUTED_VALUE"""),1350525)</f>
        <v/>
      </c>
      <c r="H220" s="27" t="n"/>
    </row>
    <row r="221" ht="17.25" customHeight="1" s="322">
      <c r="A221" s="27" t="n"/>
      <c r="B221" s="506">
        <f>IFERROR(__xludf.DUMMYFUNCTION("""COMPUTED_VALUE"""),46148.6666666666)</f>
        <v/>
      </c>
      <c r="C221" s="141">
        <f>IFERROR(__xludf.DUMMYFUNCTION("""COMPUTED_VALUE"""),22.36)</f>
        <v/>
      </c>
      <c r="D221" s="141">
        <f>IFERROR(__xludf.DUMMYFUNCTION("""COMPUTED_VALUE"""),22.47)</f>
        <v/>
      </c>
      <c r="E221" s="141">
        <f>IFERROR(__xludf.DUMMYFUNCTION("""COMPUTED_VALUE"""),22.34)</f>
        <v/>
      </c>
      <c r="F221" s="141">
        <f>IFERROR(__xludf.DUMMYFUNCTION("""COMPUTED_VALUE"""),22.34)</f>
        <v/>
      </c>
      <c r="G221" s="143">
        <f>IFERROR(__xludf.DUMMYFUNCTION("""COMPUTED_VALUE"""),341366)</f>
        <v/>
      </c>
      <c r="H221" s="27" t="n"/>
    </row>
    <row r="222" ht="17.25" customHeight="1" s="322">
      <c r="A222" s="27" t="n"/>
      <c r="B222" s="506">
        <f>IFERROR(__xludf.DUMMYFUNCTION("""COMPUTED_VALUE"""),46149.6666666666)</f>
        <v/>
      </c>
      <c r="C222" s="141">
        <f>IFERROR(__xludf.DUMMYFUNCTION("""COMPUTED_VALUE"""),22.44)</f>
        <v/>
      </c>
      <c r="D222" s="141">
        <f>IFERROR(__xludf.DUMMYFUNCTION("""COMPUTED_VALUE"""),22.5)</f>
        <v/>
      </c>
      <c r="E222" s="141">
        <f>IFERROR(__xludf.DUMMYFUNCTION("""COMPUTED_VALUE"""),22.29)</f>
        <v/>
      </c>
      <c r="F222" s="141">
        <f>IFERROR(__xludf.DUMMYFUNCTION("""COMPUTED_VALUE"""),22.31)</f>
        <v/>
      </c>
      <c r="G222" s="143">
        <f>IFERROR(__xludf.DUMMYFUNCTION("""COMPUTED_VALUE"""),263705)</f>
        <v/>
      </c>
      <c r="H222" s="27" t="n"/>
    </row>
    <row r="223" ht="17.25" customHeight="1" s="322">
      <c r="A223" s="27" t="n"/>
      <c r="B223" s="506">
        <f>IFERROR(__xludf.DUMMYFUNCTION("""COMPUTED_VALUE"""),46150.6666666666)</f>
        <v/>
      </c>
      <c r="C223" s="141">
        <f>IFERROR(__xludf.DUMMYFUNCTION("""COMPUTED_VALUE"""),22.41)</f>
        <v/>
      </c>
      <c r="D223" s="141">
        <f>IFERROR(__xludf.DUMMYFUNCTION("""COMPUTED_VALUE"""),22.44)</f>
        <v/>
      </c>
      <c r="E223" s="141">
        <f>IFERROR(__xludf.DUMMYFUNCTION("""COMPUTED_VALUE"""),22.36)</f>
        <v/>
      </c>
      <c r="F223" s="141">
        <f>IFERROR(__xludf.DUMMYFUNCTION("""COMPUTED_VALUE"""),22.39)</f>
        <v/>
      </c>
      <c r="G223" s="143">
        <f>IFERROR(__xludf.DUMMYFUNCTION("""COMPUTED_VALUE"""),1114310)</f>
        <v/>
      </c>
      <c r="H223" s="27" t="n"/>
    </row>
    <row r="224" ht="17.25" customHeight="1" s="322">
      <c r="A224" s="27" t="n"/>
      <c r="B224" s="506">
        <f>IFERROR(__xludf.DUMMYFUNCTION("""COMPUTED_VALUE"""),46153.6666666666)</f>
        <v/>
      </c>
      <c r="C224" s="141">
        <f>IFERROR(__xludf.DUMMYFUNCTION("""COMPUTED_VALUE"""),22.33)</f>
        <v/>
      </c>
      <c r="D224" s="141">
        <f>IFERROR(__xludf.DUMMYFUNCTION("""COMPUTED_VALUE"""),22.4)</f>
        <v/>
      </c>
      <c r="E224" s="141">
        <f>IFERROR(__xludf.DUMMYFUNCTION("""COMPUTED_VALUE"""),22.28)</f>
        <v/>
      </c>
      <c r="F224" s="141">
        <f>IFERROR(__xludf.DUMMYFUNCTION("""COMPUTED_VALUE"""),22.29)</f>
        <v/>
      </c>
      <c r="G224" s="143">
        <f>IFERROR(__xludf.DUMMYFUNCTION("""COMPUTED_VALUE"""),1330477)</f>
        <v/>
      </c>
      <c r="H224" s="27" t="n"/>
    </row>
    <row r="225" ht="17.25" customHeight="1" s="322">
      <c r="A225" s="27" t="n"/>
      <c r="B225" s="506">
        <f>IFERROR(__xludf.DUMMYFUNCTION("""COMPUTED_VALUE"""),46154.6666666666)</f>
        <v/>
      </c>
      <c r="C225" s="141">
        <f>IFERROR(__xludf.DUMMYFUNCTION("""COMPUTED_VALUE"""),22.18)</f>
        <v/>
      </c>
      <c r="D225" s="141">
        <f>IFERROR(__xludf.DUMMYFUNCTION("""COMPUTED_VALUE"""),22.19)</f>
        <v/>
      </c>
      <c r="E225" s="141">
        <f>IFERROR(__xludf.DUMMYFUNCTION("""COMPUTED_VALUE"""),22.11)</f>
        <v/>
      </c>
      <c r="F225" s="141">
        <f>IFERROR(__xludf.DUMMYFUNCTION("""COMPUTED_VALUE"""),22.14)</f>
        <v/>
      </c>
      <c r="G225" s="143">
        <f>IFERROR(__xludf.DUMMYFUNCTION("""COMPUTED_VALUE"""),171983)</f>
        <v/>
      </c>
      <c r="H225" s="27" t="n"/>
    </row>
    <row r="226" ht="17.25" customHeight="1" s="322">
      <c r="A226" s="27" t="n"/>
      <c r="B226" s="506">
        <f>IFERROR(__xludf.DUMMYFUNCTION("""COMPUTED_VALUE"""),46155.6666666666)</f>
        <v/>
      </c>
      <c r="C226" s="141">
        <f>IFERROR(__xludf.DUMMYFUNCTION("""COMPUTED_VALUE"""),22.11)</f>
        <v/>
      </c>
      <c r="D226" s="141">
        <f>IFERROR(__xludf.DUMMYFUNCTION("""COMPUTED_VALUE"""),22.2)</f>
        <v/>
      </c>
      <c r="E226" s="141">
        <f>IFERROR(__xludf.DUMMYFUNCTION("""COMPUTED_VALUE"""),22.09)</f>
        <v/>
      </c>
      <c r="F226" s="141">
        <f>IFERROR(__xludf.DUMMYFUNCTION("""COMPUTED_VALUE"""),22.11)</f>
        <v/>
      </c>
      <c r="G226" s="143">
        <f>IFERROR(__xludf.DUMMYFUNCTION("""COMPUTED_VALUE"""),246562)</f>
        <v/>
      </c>
      <c r="H226" s="27" t="n"/>
    </row>
    <row r="227" ht="17.25" customHeight="1" s="322">
      <c r="A227" s="27" t="n"/>
      <c r="B227" s="506">
        <f>IFERROR(__xludf.DUMMYFUNCTION("""COMPUTED_VALUE"""),46156.6666666666)</f>
        <v/>
      </c>
      <c r="C227" s="141">
        <f>IFERROR(__xludf.DUMMYFUNCTION("""COMPUTED_VALUE"""),22.14)</f>
        <v/>
      </c>
      <c r="D227" s="141">
        <f>IFERROR(__xludf.DUMMYFUNCTION("""COMPUTED_VALUE"""),22.15)</f>
        <v/>
      </c>
      <c r="E227" s="141">
        <f>IFERROR(__xludf.DUMMYFUNCTION("""COMPUTED_VALUE"""),22.03)</f>
        <v/>
      </c>
      <c r="F227" s="141">
        <f>IFERROR(__xludf.DUMMYFUNCTION("""COMPUTED_VALUE"""),22.05)</f>
        <v/>
      </c>
      <c r="G227" s="143">
        <f>IFERROR(__xludf.DUMMYFUNCTION("""COMPUTED_VALUE"""),574482)</f>
        <v/>
      </c>
      <c r="H227" s="27" t="n"/>
    </row>
    <row r="228" ht="17.25" customHeight="1" s="322">
      <c r="A228" s="27" t="n"/>
      <c r="B228" s="506">
        <f>IFERROR(__xludf.DUMMYFUNCTION("""COMPUTED_VALUE"""),46157.6666666666)</f>
        <v/>
      </c>
      <c r="C228" s="141">
        <f>IFERROR(__xludf.DUMMYFUNCTION("""COMPUTED_VALUE"""),21.85)</f>
        <v/>
      </c>
      <c r="D228" s="141">
        <f>IFERROR(__xludf.DUMMYFUNCTION("""COMPUTED_VALUE"""),21.87)</f>
        <v/>
      </c>
      <c r="E228" s="141">
        <f>IFERROR(__xludf.DUMMYFUNCTION("""COMPUTED_VALUE"""),21.8)</f>
        <v/>
      </c>
      <c r="F228" s="141">
        <f>IFERROR(__xludf.DUMMYFUNCTION("""COMPUTED_VALUE"""),21.81)</f>
        <v/>
      </c>
      <c r="G228" s="143">
        <f>IFERROR(__xludf.DUMMYFUNCTION("""COMPUTED_VALUE"""),457077)</f>
        <v/>
      </c>
      <c r="H228" s="27" t="n"/>
    </row>
    <row r="229" ht="17.25" customHeight="1" s="322">
      <c r="A229" s="27" t="n"/>
      <c r="B229" s="506">
        <f>IFERROR(__xludf.DUMMYFUNCTION("""COMPUTED_VALUE"""),46160.6666666666)</f>
        <v/>
      </c>
      <c r="C229" s="141">
        <f>IFERROR(__xludf.DUMMYFUNCTION("""COMPUTED_VALUE"""),21.88)</f>
        <v/>
      </c>
      <c r="D229" s="141">
        <f>IFERROR(__xludf.DUMMYFUNCTION("""COMPUTED_VALUE"""),21.94)</f>
        <v/>
      </c>
      <c r="E229" s="141">
        <f>IFERROR(__xludf.DUMMYFUNCTION("""COMPUTED_VALUE"""),21.84)</f>
        <v/>
      </c>
      <c r="F229" s="141">
        <f>IFERROR(__xludf.DUMMYFUNCTION("""COMPUTED_VALUE"""),21.9)</f>
        <v/>
      </c>
      <c r="G229" s="143">
        <f>IFERROR(__xludf.DUMMYFUNCTION("""COMPUTED_VALUE"""),495171)</f>
        <v/>
      </c>
      <c r="H229" s="27" t="n"/>
    </row>
    <row r="230" ht="17.25" customHeight="1" s="322">
      <c r="A230" s="27" t="n"/>
      <c r="B230" s="506">
        <f>IFERROR(__xludf.DUMMYFUNCTION("""COMPUTED_VALUE"""),46161.6666666666)</f>
        <v/>
      </c>
      <c r="C230" s="141">
        <f>IFERROR(__xludf.DUMMYFUNCTION("""COMPUTED_VALUE"""),21.71)</f>
        <v/>
      </c>
      <c r="D230" s="141">
        <f>IFERROR(__xludf.DUMMYFUNCTION("""COMPUTED_VALUE"""),21.78)</f>
        <v/>
      </c>
      <c r="E230" s="141">
        <f>IFERROR(__xludf.DUMMYFUNCTION("""COMPUTED_VALUE"""),21.7)</f>
        <v/>
      </c>
      <c r="F230" s="141">
        <f>IFERROR(__xludf.DUMMYFUNCTION("""COMPUTED_VALUE"""),21.74)</f>
        <v/>
      </c>
      <c r="G230" s="143">
        <f>IFERROR(__xludf.DUMMYFUNCTION("""COMPUTED_VALUE"""),614651)</f>
        <v/>
      </c>
      <c r="H230" s="27" t="n"/>
    </row>
    <row r="231" ht="17.25" customHeight="1" s="322">
      <c r="A231" s="27" t="n"/>
      <c r="B231" s="506">
        <f>IFERROR(__xludf.DUMMYFUNCTION("""COMPUTED_VALUE"""),46162.6666666666)</f>
        <v/>
      </c>
      <c r="C231" s="141">
        <f>IFERROR(__xludf.DUMMYFUNCTION("""COMPUTED_VALUE"""),21.78)</f>
        <v/>
      </c>
      <c r="D231" s="141">
        <f>IFERROR(__xludf.DUMMYFUNCTION("""COMPUTED_VALUE"""),21.97)</f>
        <v/>
      </c>
      <c r="E231" s="141">
        <f>IFERROR(__xludf.DUMMYFUNCTION("""COMPUTED_VALUE"""),21.77)</f>
        <v/>
      </c>
      <c r="F231" s="141">
        <f>IFERROR(__xludf.DUMMYFUNCTION("""COMPUTED_VALUE"""),21.95)</f>
        <v/>
      </c>
      <c r="G231" s="143">
        <f>IFERROR(__xludf.DUMMYFUNCTION("""COMPUTED_VALUE"""),380803)</f>
        <v/>
      </c>
      <c r="H231" s="27" t="n"/>
    </row>
    <row r="232" ht="17.25" customHeight="1" s="322">
      <c r="A232" s="27" t="n"/>
      <c r="B232" s="506">
        <f>IFERROR(__xludf.DUMMYFUNCTION("""COMPUTED_VALUE"""),46163.6666666666)</f>
        <v/>
      </c>
      <c r="C232" s="141">
        <f>IFERROR(__xludf.DUMMYFUNCTION("""COMPUTED_VALUE"""),21.84)</f>
        <v/>
      </c>
      <c r="D232" s="141">
        <f>IFERROR(__xludf.DUMMYFUNCTION("""COMPUTED_VALUE"""),21.96)</f>
        <v/>
      </c>
      <c r="E232" s="141">
        <f>IFERROR(__xludf.DUMMYFUNCTION("""COMPUTED_VALUE"""),21.78)</f>
        <v/>
      </c>
      <c r="F232" s="141">
        <f>IFERROR(__xludf.DUMMYFUNCTION("""COMPUTED_VALUE"""),21.94)</f>
        <v/>
      </c>
      <c r="G232" s="143">
        <f>IFERROR(__xludf.DUMMYFUNCTION("""COMPUTED_VALUE"""),859578)</f>
        <v/>
      </c>
      <c r="H232" s="27" t="n"/>
    </row>
    <row r="233" ht="17.25" customHeight="1" s="322">
      <c r="A233" s="27" t="n"/>
      <c r="B233" s="506">
        <f>IFERROR(__xludf.DUMMYFUNCTION("""COMPUTED_VALUE"""),46164.6666666666)</f>
        <v/>
      </c>
      <c r="C233" s="141">
        <f>IFERROR(__xludf.DUMMYFUNCTION("""COMPUTED_VALUE"""),21.97)</f>
        <v/>
      </c>
      <c r="D233" s="141">
        <f>IFERROR(__xludf.DUMMYFUNCTION("""COMPUTED_VALUE"""),21.97)</f>
        <v/>
      </c>
      <c r="E233" s="141">
        <f>IFERROR(__xludf.DUMMYFUNCTION("""COMPUTED_VALUE"""),21.9)</f>
        <v/>
      </c>
      <c r="F233" s="141">
        <f>IFERROR(__xludf.DUMMYFUNCTION("""COMPUTED_VALUE"""),21.93)</f>
        <v/>
      </c>
      <c r="G233" s="143">
        <f>IFERROR(__xludf.DUMMYFUNCTION("""COMPUTED_VALUE"""),268869)</f>
        <v/>
      </c>
      <c r="H233" s="27" t="n"/>
    </row>
    <row r="234" ht="17.25" customHeight="1" s="322">
      <c r="A234" s="27" t="n"/>
      <c r="B234" s="506">
        <f>IFERROR(__xludf.DUMMYFUNCTION("""COMPUTED_VALUE"""),46168.6666666666)</f>
        <v/>
      </c>
      <c r="C234" s="141">
        <f>IFERROR(__xludf.DUMMYFUNCTION("""COMPUTED_VALUE"""),22.04)</f>
        <v/>
      </c>
      <c r="D234" s="141">
        <f>IFERROR(__xludf.DUMMYFUNCTION("""COMPUTED_VALUE"""),22.06)</f>
        <v/>
      </c>
      <c r="E234" s="141">
        <f>IFERROR(__xludf.DUMMYFUNCTION("""COMPUTED_VALUE"""),21.98)</f>
        <v/>
      </c>
      <c r="F234" s="141">
        <f>IFERROR(__xludf.DUMMYFUNCTION("""COMPUTED_VALUE"""),22.04)</f>
        <v/>
      </c>
      <c r="G234" s="143">
        <f>IFERROR(__xludf.DUMMYFUNCTION("""COMPUTED_VALUE"""),347974)</f>
        <v/>
      </c>
      <c r="H234" s="27" t="n"/>
    </row>
    <row r="235" ht="17.25" customHeight="1" s="322">
      <c r="A235" s="27" t="n"/>
      <c r="B235" s="506">
        <f>IFERROR(__xludf.DUMMYFUNCTION("""COMPUTED_VALUE"""),46169.6666666666)</f>
        <v/>
      </c>
      <c r="C235" s="141">
        <f>IFERROR(__xludf.DUMMYFUNCTION("""COMPUTED_VALUE"""),22.07)</f>
        <v/>
      </c>
      <c r="D235" s="141">
        <f>IFERROR(__xludf.DUMMYFUNCTION("""COMPUTED_VALUE"""),22.09)</f>
        <v/>
      </c>
      <c r="E235" s="141">
        <f>IFERROR(__xludf.DUMMYFUNCTION("""COMPUTED_VALUE"""),22.01)</f>
        <v/>
      </c>
      <c r="F235" s="141">
        <f>IFERROR(__xludf.DUMMYFUNCTION("""COMPUTED_VALUE"""),22.04)</f>
        <v/>
      </c>
      <c r="G235" s="143">
        <f>IFERROR(__xludf.DUMMYFUNCTION("""COMPUTED_VALUE"""),795089)</f>
        <v/>
      </c>
      <c r="H235" s="27" t="n"/>
    </row>
    <row r="236" ht="17.25" customHeight="1" s="322">
      <c r="A236" s="27" t="n"/>
      <c r="B236" s="506">
        <f>IFERROR(__xludf.DUMMYFUNCTION("""COMPUTED_VALUE"""),46170.6666666666)</f>
        <v/>
      </c>
      <c r="C236" s="141">
        <f>IFERROR(__xludf.DUMMYFUNCTION("""COMPUTED_VALUE"""),22.05)</f>
        <v/>
      </c>
      <c r="D236" s="141">
        <f>IFERROR(__xludf.DUMMYFUNCTION("""COMPUTED_VALUE"""),22.13)</f>
        <v/>
      </c>
      <c r="E236" s="141">
        <f>IFERROR(__xludf.DUMMYFUNCTION("""COMPUTED_VALUE"""),22.01)</f>
        <v/>
      </c>
      <c r="F236" s="141">
        <f>IFERROR(__xludf.DUMMYFUNCTION("""COMPUTED_VALUE"""),22.11)</f>
        <v/>
      </c>
      <c r="G236" s="143">
        <f>IFERROR(__xludf.DUMMYFUNCTION("""COMPUTED_VALUE"""),240671)</f>
        <v/>
      </c>
      <c r="H236" s="27" t="n"/>
    </row>
    <row r="237" ht="17.25" customHeight="1" s="322">
      <c r="A237" s="27" t="n"/>
      <c r="B237" s="506">
        <f>IFERROR(__xludf.DUMMYFUNCTION("""COMPUTED_VALUE"""),46171.6666666666)</f>
        <v/>
      </c>
      <c r="C237" s="141">
        <f>IFERROR(__xludf.DUMMYFUNCTION("""COMPUTED_VALUE"""),22.17)</f>
        <v/>
      </c>
      <c r="D237" s="141">
        <f>IFERROR(__xludf.DUMMYFUNCTION("""COMPUTED_VALUE"""),22.22)</f>
        <v/>
      </c>
      <c r="E237" s="141">
        <f>IFERROR(__xludf.DUMMYFUNCTION("""COMPUTED_VALUE"""),22.05)</f>
        <v/>
      </c>
      <c r="F237" s="141">
        <f>IFERROR(__xludf.DUMMYFUNCTION("""COMPUTED_VALUE"""),22.17)</f>
        <v/>
      </c>
      <c r="G237" s="143">
        <f>IFERROR(__xludf.DUMMYFUNCTION("""COMPUTED_VALUE"""),401462)</f>
        <v/>
      </c>
      <c r="H237" s="27" t="n"/>
    </row>
    <row r="238" ht="17.25" customHeight="1" s="322">
      <c r="A238" s="27" t="n"/>
      <c r="B238" s="506">
        <f>IFERROR(__xludf.DUMMYFUNCTION("""COMPUTED_VALUE"""),46174.6666666666)</f>
        <v/>
      </c>
      <c r="C238" s="141">
        <f>IFERROR(__xludf.DUMMYFUNCTION("""COMPUTED_VALUE"""),21.99)</f>
        <v/>
      </c>
      <c r="D238" s="141">
        <f>IFERROR(__xludf.DUMMYFUNCTION("""COMPUTED_VALUE"""),22.04)</f>
        <v/>
      </c>
      <c r="E238" s="141">
        <f>IFERROR(__xludf.DUMMYFUNCTION("""COMPUTED_VALUE"""),21.92)</f>
        <v/>
      </c>
      <c r="F238" s="141">
        <f>IFERROR(__xludf.DUMMYFUNCTION("""COMPUTED_VALUE"""),22.03)</f>
        <v/>
      </c>
      <c r="G238" s="143">
        <f>IFERROR(__xludf.DUMMYFUNCTION("""COMPUTED_VALUE"""),386196)</f>
        <v/>
      </c>
      <c r="H238" s="27" t="n"/>
    </row>
    <row r="239" ht="17.25" customHeight="1" s="322">
      <c r="A239" s="27" t="n"/>
      <c r="B239" s="506">
        <f>IFERROR(__xludf.DUMMYFUNCTION("""COMPUTED_VALUE"""),46175.6666666666)</f>
        <v/>
      </c>
      <c r="C239" s="141">
        <f>IFERROR(__xludf.DUMMYFUNCTION("""COMPUTED_VALUE"""),22.06)</f>
        <v/>
      </c>
      <c r="D239" s="141">
        <f>IFERROR(__xludf.DUMMYFUNCTION("""COMPUTED_VALUE"""),22.07)</f>
        <v/>
      </c>
      <c r="E239" s="141">
        <f>IFERROR(__xludf.DUMMYFUNCTION("""COMPUTED_VALUE"""),22)</f>
        <v/>
      </c>
      <c r="F239" s="141">
        <f>IFERROR(__xludf.DUMMYFUNCTION("""COMPUTED_VALUE"""),22.02)</f>
        <v/>
      </c>
      <c r="G239" s="143">
        <f>IFERROR(__xludf.DUMMYFUNCTION("""COMPUTED_VALUE"""),173835)</f>
        <v/>
      </c>
      <c r="H239" s="27" t="n"/>
    </row>
    <row r="240" ht="17.25" customHeight="1" s="322">
      <c r="A240" s="27" t="n"/>
      <c r="B240" s="506">
        <f>IFERROR(__xludf.DUMMYFUNCTION("""COMPUTED_VALUE"""),46176.6666666666)</f>
        <v/>
      </c>
      <c r="C240" s="141">
        <f>IFERROR(__xludf.DUMMYFUNCTION("""COMPUTED_VALUE"""),21.94)</f>
        <v/>
      </c>
      <c r="D240" s="141">
        <f>IFERROR(__xludf.DUMMYFUNCTION("""COMPUTED_VALUE"""),22.01)</f>
        <v/>
      </c>
      <c r="E240" s="141">
        <f>IFERROR(__xludf.DUMMYFUNCTION("""COMPUTED_VALUE"""),21.89)</f>
        <v/>
      </c>
      <c r="F240" s="141">
        <f>IFERROR(__xludf.DUMMYFUNCTION("""COMPUTED_VALUE"""),21.89)</f>
        <v/>
      </c>
      <c r="G240" s="143">
        <f>IFERROR(__xludf.DUMMYFUNCTION("""COMPUTED_VALUE"""),194223)</f>
        <v/>
      </c>
      <c r="H240" s="27" t="n"/>
    </row>
    <row r="241" ht="17.25" customHeight="1" s="322">
      <c r="A241" s="27" t="n"/>
      <c r="B241" s="506">
        <f>IFERROR(__xludf.DUMMYFUNCTION("""COMPUTED_VALUE"""),46177.6666666666)</f>
        <v/>
      </c>
      <c r="C241" s="141">
        <f>IFERROR(__xludf.DUMMYFUNCTION("""COMPUTED_VALUE"""),21.96)</f>
        <v/>
      </c>
      <c r="D241" s="141">
        <f>IFERROR(__xludf.DUMMYFUNCTION("""COMPUTED_VALUE"""),21.98)</f>
        <v/>
      </c>
      <c r="E241" s="141">
        <f>IFERROR(__xludf.DUMMYFUNCTION("""COMPUTED_VALUE"""),21.88)</f>
        <v/>
      </c>
      <c r="F241" s="141">
        <f>IFERROR(__xludf.DUMMYFUNCTION("""COMPUTED_VALUE"""),21.93)</f>
        <v/>
      </c>
      <c r="G241" s="143">
        <f>IFERROR(__xludf.DUMMYFUNCTION("""COMPUTED_VALUE"""),478506)</f>
        <v/>
      </c>
      <c r="H241" s="27" t="n"/>
    </row>
    <row r="242" ht="17.25" customHeight="1" s="322">
      <c r="A242" s="27" t="n"/>
      <c r="B242" s="506">
        <f>IFERROR(__xludf.DUMMYFUNCTION("""COMPUTED_VALUE"""),46178.6666666666)</f>
        <v/>
      </c>
      <c r="C242" s="141">
        <f>IFERROR(__xludf.DUMMYFUNCTION("""COMPUTED_VALUE"""),21.83)</f>
        <v/>
      </c>
      <c r="D242" s="141">
        <f>IFERROR(__xludf.DUMMYFUNCTION("""COMPUTED_VALUE"""),21.94)</f>
        <v/>
      </c>
      <c r="E242" s="141">
        <f>IFERROR(__xludf.DUMMYFUNCTION("""COMPUTED_VALUE"""),21.72)</f>
        <v/>
      </c>
      <c r="F242" s="141">
        <f>IFERROR(__xludf.DUMMYFUNCTION("""COMPUTED_VALUE"""),21.74)</f>
        <v/>
      </c>
      <c r="G242" s="143">
        <f>IFERROR(__xludf.DUMMYFUNCTION("""COMPUTED_VALUE"""),2030024)</f>
        <v/>
      </c>
      <c r="H242" s="27" t="n"/>
    </row>
    <row r="243" ht="17.25" customHeight="1" s="322">
      <c r="A243" s="27" t="n"/>
      <c r="B243" s="506">
        <f>IFERROR(__xludf.DUMMYFUNCTION("""COMPUTED_VALUE"""),46181.6666666666)</f>
        <v/>
      </c>
      <c r="C243" s="141">
        <f>IFERROR(__xludf.DUMMYFUNCTION("""COMPUTED_VALUE"""),21.78)</f>
        <v/>
      </c>
      <c r="D243" s="141">
        <f>IFERROR(__xludf.DUMMYFUNCTION("""COMPUTED_VALUE"""),21.88)</f>
        <v/>
      </c>
      <c r="E243" s="141">
        <f>IFERROR(__xludf.DUMMYFUNCTION("""COMPUTED_VALUE"""),21.7)</f>
        <v/>
      </c>
      <c r="F243" s="141">
        <f>IFERROR(__xludf.DUMMYFUNCTION("""COMPUTED_VALUE"""),21.7)</f>
        <v/>
      </c>
      <c r="G243" s="143">
        <f>IFERROR(__xludf.DUMMYFUNCTION("""COMPUTED_VALUE"""),240453)</f>
        <v/>
      </c>
      <c r="H243" s="27" t="n"/>
    </row>
    <row r="244" ht="17.25" customHeight="1" s="322">
      <c r="A244" s="27" t="n"/>
      <c r="B244" s="506">
        <f>IFERROR(__xludf.DUMMYFUNCTION("""COMPUTED_VALUE"""),46182.6666666666)</f>
        <v/>
      </c>
      <c r="C244" s="141">
        <f>IFERROR(__xludf.DUMMYFUNCTION("""COMPUTED_VALUE"""),21.79)</f>
        <v/>
      </c>
      <c r="D244" s="141">
        <f>IFERROR(__xludf.DUMMYFUNCTION("""COMPUTED_VALUE"""),21.83)</f>
        <v/>
      </c>
      <c r="E244" s="141">
        <f>IFERROR(__xludf.DUMMYFUNCTION("""COMPUTED_VALUE"""),21.74)</f>
        <v/>
      </c>
      <c r="F244" s="141">
        <f>IFERROR(__xludf.DUMMYFUNCTION("""COMPUTED_VALUE"""),21.78)</f>
        <v/>
      </c>
      <c r="G244" s="143">
        <f>IFERROR(__xludf.DUMMYFUNCTION("""COMPUTED_VALUE"""),543892)</f>
        <v/>
      </c>
      <c r="H244" s="27" t="n"/>
    </row>
    <row r="245" ht="17.25" customHeight="1" s="322">
      <c r="A245" s="27" t="n"/>
      <c r="B245" s="506">
        <f>IFERROR(__xludf.DUMMYFUNCTION("""COMPUTED_VALUE"""),46183.6666666666)</f>
        <v/>
      </c>
      <c r="C245" s="141">
        <f>IFERROR(__xludf.DUMMYFUNCTION("""COMPUTED_VALUE"""),21.79)</f>
        <v/>
      </c>
      <c r="D245" s="141">
        <f>IFERROR(__xludf.DUMMYFUNCTION("""COMPUTED_VALUE"""),21.81)</f>
        <v/>
      </c>
      <c r="E245" s="141">
        <f>IFERROR(__xludf.DUMMYFUNCTION("""COMPUTED_VALUE"""),21.72)</f>
        <v/>
      </c>
      <c r="F245" s="141">
        <f>IFERROR(__xludf.DUMMYFUNCTION("""COMPUTED_VALUE"""),21.72)</f>
        <v/>
      </c>
      <c r="G245" s="143">
        <f>IFERROR(__xludf.DUMMYFUNCTION("""COMPUTED_VALUE"""),252039)</f>
        <v/>
      </c>
      <c r="H245" s="27" t="n"/>
    </row>
    <row r="246" ht="17.25" customHeight="1" s="322">
      <c r="A246" s="27" t="n"/>
      <c r="B246" s="506">
        <f>IFERROR(__xludf.DUMMYFUNCTION("""COMPUTED_VALUE"""),46184.6666666666)</f>
        <v/>
      </c>
      <c r="C246" s="141">
        <f>IFERROR(__xludf.DUMMYFUNCTION("""COMPUTED_VALUE"""),21.74)</f>
        <v/>
      </c>
      <c r="D246" s="141">
        <f>IFERROR(__xludf.DUMMYFUNCTION("""COMPUTED_VALUE"""),21.94)</f>
        <v/>
      </c>
      <c r="E246" s="141">
        <f>IFERROR(__xludf.DUMMYFUNCTION("""COMPUTED_VALUE"""),21.72)</f>
        <v/>
      </c>
      <c r="F246" s="141">
        <f>IFERROR(__xludf.DUMMYFUNCTION("""COMPUTED_VALUE"""),21.94)</f>
        <v/>
      </c>
      <c r="G246" s="143">
        <f>IFERROR(__xludf.DUMMYFUNCTION("""COMPUTED_VALUE"""),262709)</f>
        <v/>
      </c>
      <c r="H246" s="27" t="n"/>
    </row>
    <row r="247" ht="17.25" customHeight="1" s="322">
      <c r="A247" s="27" t="n"/>
      <c r="B247" s="506">
        <f>IFERROR(__xludf.DUMMYFUNCTION("""COMPUTED_VALUE"""),46185.6666666666)</f>
        <v/>
      </c>
      <c r="C247" s="141">
        <f>IFERROR(__xludf.DUMMYFUNCTION("""COMPUTED_VALUE"""),21.92)</f>
        <v/>
      </c>
      <c r="D247" s="141">
        <f>IFERROR(__xludf.DUMMYFUNCTION("""COMPUTED_VALUE"""),21.97)</f>
        <v/>
      </c>
      <c r="E247" s="141">
        <f>IFERROR(__xludf.DUMMYFUNCTION("""COMPUTED_VALUE"""),21.87)</f>
        <v/>
      </c>
      <c r="F247" s="141">
        <f>IFERROR(__xludf.DUMMYFUNCTION("""COMPUTED_VALUE"""),21.94)</f>
        <v/>
      </c>
      <c r="G247" s="143">
        <f>IFERROR(__xludf.DUMMYFUNCTION("""COMPUTED_VALUE"""),839675)</f>
        <v/>
      </c>
      <c r="H247" s="27" t="n"/>
    </row>
    <row r="248" ht="17.25" customHeight="1" s="322">
      <c r="A248" s="27" t="n"/>
      <c r="B248" s="506">
        <f>IFERROR(__xludf.DUMMYFUNCTION("""COMPUTED_VALUE"""),46188.6666666666)</f>
        <v/>
      </c>
      <c r="C248" s="141">
        <f>IFERROR(__xludf.DUMMYFUNCTION("""COMPUTED_VALUE"""),22.02)</f>
        <v/>
      </c>
      <c r="D248" s="141">
        <f>IFERROR(__xludf.DUMMYFUNCTION("""COMPUTED_VALUE"""),22.08)</f>
        <v/>
      </c>
      <c r="E248" s="141">
        <f>IFERROR(__xludf.DUMMYFUNCTION("""COMPUTED_VALUE"""),22)</f>
        <v/>
      </c>
      <c r="F248" s="141">
        <f>IFERROR(__xludf.DUMMYFUNCTION("""COMPUTED_VALUE"""),22)</f>
        <v/>
      </c>
      <c r="G248" s="143">
        <f>IFERROR(__xludf.DUMMYFUNCTION("""COMPUTED_VALUE"""),188865)</f>
        <v/>
      </c>
      <c r="H248" s="27" t="n"/>
    </row>
    <row r="249" ht="17.25" customHeight="1" s="322">
      <c r="A249" s="27" t="n"/>
      <c r="B249" s="506">
        <f>IFERROR(__xludf.DUMMYFUNCTION("""COMPUTED_VALUE"""),46189.6666666666)</f>
        <v/>
      </c>
      <c r="C249" s="141">
        <f>IFERROR(__xludf.DUMMYFUNCTION("""COMPUTED_VALUE"""),22.05)</f>
        <v/>
      </c>
      <c r="D249" s="141">
        <f>IFERROR(__xludf.DUMMYFUNCTION("""COMPUTED_VALUE"""),22.08)</f>
        <v/>
      </c>
      <c r="E249" s="141">
        <f>IFERROR(__xludf.DUMMYFUNCTION("""COMPUTED_VALUE"""),22.03)</f>
        <v/>
      </c>
      <c r="F249" s="141">
        <f>IFERROR(__xludf.DUMMYFUNCTION("""COMPUTED_VALUE"""),22.06)</f>
        <v/>
      </c>
      <c r="G249" s="143">
        <f>IFERROR(__xludf.DUMMYFUNCTION("""COMPUTED_VALUE"""),137248)</f>
        <v/>
      </c>
      <c r="H249" s="27" t="n"/>
    </row>
    <row r="250" ht="17.25" customHeight="1" s="322">
      <c r="A250" s="27" t="n"/>
      <c r="B250" s="506">
        <f>IFERROR(__xludf.DUMMYFUNCTION("""COMPUTED_VALUE"""),46190.6666666666)</f>
        <v/>
      </c>
      <c r="C250" s="141">
        <f>IFERROR(__xludf.DUMMYFUNCTION("""COMPUTED_VALUE"""),22.06)</f>
        <v/>
      </c>
      <c r="D250" s="141">
        <f>IFERROR(__xludf.DUMMYFUNCTION("""COMPUTED_VALUE"""),22.09)</f>
        <v/>
      </c>
      <c r="E250" s="141">
        <f>IFERROR(__xludf.DUMMYFUNCTION("""COMPUTED_VALUE"""),21.85)</f>
        <v/>
      </c>
      <c r="F250" s="141">
        <f>IFERROR(__xludf.DUMMYFUNCTION("""COMPUTED_VALUE"""),21.87)</f>
        <v/>
      </c>
      <c r="G250" s="143">
        <f>IFERROR(__xludf.DUMMYFUNCTION("""COMPUTED_VALUE"""),2452551)</f>
        <v/>
      </c>
      <c r="H250" s="27" t="n"/>
    </row>
    <row r="251" ht="17.25" customHeight="1" s="322">
      <c r="A251" s="27" t="n"/>
      <c r="B251" s="506">
        <f>IFERROR(__xludf.DUMMYFUNCTION("""COMPUTED_VALUE"""),46191.6666666666)</f>
        <v/>
      </c>
      <c r="C251" s="141">
        <f>IFERROR(__xludf.DUMMYFUNCTION("""COMPUTED_VALUE"""),21.88)</f>
        <v/>
      </c>
      <c r="D251" s="141">
        <f>IFERROR(__xludf.DUMMYFUNCTION("""COMPUTED_VALUE"""),21.94)</f>
        <v/>
      </c>
      <c r="E251" s="141">
        <f>IFERROR(__xludf.DUMMYFUNCTION("""COMPUTED_VALUE"""),21.78)</f>
        <v/>
      </c>
      <c r="F251" s="141">
        <f>IFERROR(__xludf.DUMMYFUNCTION("""COMPUTED_VALUE"""),21.82)</f>
        <v/>
      </c>
      <c r="G251" s="143">
        <f>IFERROR(__xludf.DUMMYFUNCTION("""COMPUTED_VALUE"""),211531)</f>
        <v/>
      </c>
      <c r="H251" s="27" t="n"/>
    </row>
    <row r="252" ht="17.25" customHeight="1" s="322">
      <c r="A252" s="27" t="n"/>
      <c r="B252" s="506">
        <f>IFERROR(__xludf.DUMMYFUNCTION("""COMPUTED_VALUE"""),46195.6666666666)</f>
        <v/>
      </c>
      <c r="C252" s="141">
        <f>IFERROR(__xludf.DUMMYFUNCTION("""COMPUTED_VALUE"""),21.75)</f>
        <v/>
      </c>
      <c r="D252" s="141">
        <f>IFERROR(__xludf.DUMMYFUNCTION("""COMPUTED_VALUE"""),21.79)</f>
        <v/>
      </c>
      <c r="E252" s="141">
        <f>IFERROR(__xludf.DUMMYFUNCTION("""COMPUTED_VALUE"""),21.7)</f>
        <v/>
      </c>
      <c r="F252" s="141">
        <f>IFERROR(__xludf.DUMMYFUNCTION("""COMPUTED_VALUE"""),21.72)</f>
        <v/>
      </c>
      <c r="G252" s="143">
        <f>IFERROR(__xludf.DUMMYFUNCTION("""COMPUTED_VALUE"""),471527)</f>
        <v/>
      </c>
      <c r="H252" s="27" t="n"/>
    </row>
    <row r="253" ht="17.25" customHeight="1" s="322">
      <c r="A253" s="27" t="n"/>
      <c r="B253" s="506">
        <f>IFERROR(__xludf.DUMMYFUNCTION("""COMPUTED_VALUE"""),46196.6666666666)</f>
        <v/>
      </c>
      <c r="C253" s="141">
        <f>IFERROR(__xludf.DUMMYFUNCTION("""COMPUTED_VALUE"""),21.71)</f>
        <v/>
      </c>
      <c r="D253" s="141">
        <f>IFERROR(__xludf.DUMMYFUNCTION("""COMPUTED_VALUE"""),21.75)</f>
        <v/>
      </c>
      <c r="E253" s="141">
        <f>IFERROR(__xludf.DUMMYFUNCTION("""COMPUTED_VALUE"""),21.66)</f>
        <v/>
      </c>
      <c r="F253" s="141">
        <f>IFERROR(__xludf.DUMMYFUNCTION("""COMPUTED_VALUE"""),21.67)</f>
        <v/>
      </c>
      <c r="G253" s="143">
        <f>IFERROR(__xludf.DUMMYFUNCTION("""COMPUTED_VALUE"""),993239)</f>
        <v/>
      </c>
      <c r="H253" s="27" t="n"/>
    </row>
    <row r="254" ht="17.25" customHeight="1" s="322">
      <c r="A254" s="27" t="n"/>
      <c r="B254" s="506">
        <f>IFERROR(__xludf.DUMMYFUNCTION("""COMPUTED_VALUE"""),46197.6666666666)</f>
        <v/>
      </c>
      <c r="C254" s="141">
        <f>IFERROR(__xludf.DUMMYFUNCTION("""COMPUTED_VALUE"""),21.66)</f>
        <v/>
      </c>
      <c r="D254" s="141">
        <f>IFERROR(__xludf.DUMMYFUNCTION("""COMPUTED_VALUE"""),21.69)</f>
        <v/>
      </c>
      <c r="E254" s="141">
        <f>IFERROR(__xludf.DUMMYFUNCTION("""COMPUTED_VALUE"""),21.6)</f>
        <v/>
      </c>
      <c r="F254" s="141">
        <f>IFERROR(__xludf.DUMMYFUNCTION("""COMPUTED_VALUE"""),21.66)</f>
        <v/>
      </c>
      <c r="G254" s="143">
        <f>IFERROR(__xludf.DUMMYFUNCTION("""COMPUTED_VALUE"""),1311501)</f>
        <v/>
      </c>
      <c r="H254" s="27" t="n"/>
    </row>
    <row r="255" ht="17.25" customHeight="1" s="322">
      <c r="A255" s="27" t="n"/>
      <c r="B255" s="506">
        <f>IFERROR(__xludf.DUMMYFUNCTION("""COMPUTED_VALUE"""),46198.6666666666)</f>
        <v/>
      </c>
      <c r="C255" s="141">
        <f>IFERROR(__xludf.DUMMYFUNCTION("""COMPUTED_VALUE"""),21.72)</f>
        <v/>
      </c>
      <c r="D255" s="141">
        <f>IFERROR(__xludf.DUMMYFUNCTION("""COMPUTED_VALUE"""),21.74)</f>
        <v/>
      </c>
      <c r="E255" s="141">
        <f>IFERROR(__xludf.DUMMYFUNCTION("""COMPUTED_VALUE"""),21.61)</f>
        <v/>
      </c>
      <c r="F255" s="141">
        <f>IFERROR(__xludf.DUMMYFUNCTION("""COMPUTED_VALUE"""),21.68)</f>
        <v/>
      </c>
      <c r="G255" s="143">
        <f>IFERROR(__xludf.DUMMYFUNCTION("""COMPUTED_VALUE"""),297997)</f>
        <v/>
      </c>
      <c r="H255" s="27" t="n"/>
    </row>
    <row r="256" ht="17.25" customHeight="1" s="322">
      <c r="A256" s="27" t="n"/>
      <c r="B256" s="506">
        <f>IFERROR(__xludf.DUMMYFUNCTION("""COMPUTED_VALUE"""),46199.6666666666)</f>
        <v/>
      </c>
      <c r="C256" s="141">
        <f>IFERROR(__xludf.DUMMYFUNCTION("""COMPUTED_VALUE"""),21.76)</f>
        <v/>
      </c>
      <c r="D256" s="141">
        <f>IFERROR(__xludf.DUMMYFUNCTION("""COMPUTED_VALUE"""),21.78)</f>
        <v/>
      </c>
      <c r="E256" s="141">
        <f>IFERROR(__xludf.DUMMYFUNCTION("""COMPUTED_VALUE"""),21.7)</f>
        <v/>
      </c>
      <c r="F256" s="141">
        <f>IFERROR(__xludf.DUMMYFUNCTION("""COMPUTED_VALUE"""),21.73)</f>
        <v/>
      </c>
      <c r="G256" s="143">
        <f>IFERROR(__xludf.DUMMYFUNCTION("""COMPUTED_VALUE"""),438186)</f>
        <v/>
      </c>
      <c r="H256" s="27" t="n"/>
    </row>
    <row r="257" ht="17.25" customHeight="1" s="322">
      <c r="A257" s="27" t="n"/>
      <c r="B257" s="506">
        <f>IFERROR(__xludf.DUMMYFUNCTION("""COMPUTED_VALUE"""),46202.6666666666)</f>
        <v/>
      </c>
      <c r="C257" s="141">
        <f>IFERROR(__xludf.DUMMYFUNCTION("""COMPUTED_VALUE"""),21.74)</f>
        <v/>
      </c>
      <c r="D257" s="141">
        <f>IFERROR(__xludf.DUMMYFUNCTION("""COMPUTED_VALUE"""),21.76)</f>
        <v/>
      </c>
      <c r="E257" s="141">
        <f>IFERROR(__xludf.DUMMYFUNCTION("""COMPUTED_VALUE"""),21.72)</f>
        <v/>
      </c>
      <c r="F257" s="141">
        <f>IFERROR(__xludf.DUMMYFUNCTION("""COMPUTED_VALUE"""),21.75)</f>
        <v/>
      </c>
      <c r="G257" s="143">
        <f>IFERROR(__xludf.DUMMYFUNCTION("""COMPUTED_VALUE"""),400837)</f>
        <v/>
      </c>
      <c r="H257" s="27" t="n"/>
    </row>
    <row r="258" ht="17.25" customHeight="1" s="322">
      <c r="A258" s="27" t="n"/>
      <c r="B258" s="506">
        <f>IFERROR(__xludf.DUMMYFUNCTION("""COMPUTED_VALUE"""),46203.6666666666)</f>
        <v/>
      </c>
      <c r="C258" s="141">
        <f>IFERROR(__xludf.DUMMYFUNCTION("""COMPUTED_VALUE"""),21.7)</f>
        <v/>
      </c>
      <c r="D258" s="141">
        <f>IFERROR(__xludf.DUMMYFUNCTION("""COMPUTED_VALUE"""),21.74)</f>
        <v/>
      </c>
      <c r="E258" s="141">
        <f>IFERROR(__xludf.DUMMYFUNCTION("""COMPUTED_VALUE"""),21.65)</f>
        <v/>
      </c>
      <c r="F258" s="141">
        <f>IFERROR(__xludf.DUMMYFUNCTION("""COMPUTED_VALUE"""),21.68)</f>
        <v/>
      </c>
      <c r="G258" s="143">
        <f>IFERROR(__xludf.DUMMYFUNCTION("""COMPUTED_VALUE"""),1743789)</f>
        <v/>
      </c>
      <c r="H258" s="27" t="n"/>
    </row>
    <row r="259" ht="17.25" customHeight="1" s="322">
      <c r="A259" s="27" t="n"/>
      <c r="B259" s="506">
        <f>IFERROR(__xludf.DUMMYFUNCTION("""COMPUTED_VALUE"""),46204.6666666666)</f>
        <v/>
      </c>
      <c r="C259" s="141">
        <f>IFERROR(__xludf.DUMMYFUNCTION("""COMPUTED_VALUE"""),21.58)</f>
        <v/>
      </c>
      <c r="D259" s="141">
        <f>IFERROR(__xludf.DUMMYFUNCTION("""COMPUTED_VALUE"""),21.63)</f>
        <v/>
      </c>
      <c r="E259" s="141">
        <f>IFERROR(__xludf.DUMMYFUNCTION("""COMPUTED_VALUE"""),21.57)</f>
        <v/>
      </c>
      <c r="F259" s="141">
        <f>IFERROR(__xludf.DUMMYFUNCTION("""COMPUTED_VALUE"""),21.59)</f>
        <v/>
      </c>
      <c r="G259" s="143">
        <f>IFERROR(__xludf.DUMMYFUNCTION("""COMPUTED_VALUE"""),362271)</f>
        <v/>
      </c>
      <c r="H259" s="27" t="n"/>
    </row>
    <row r="260" ht="17.25" customHeight="1" s="322">
      <c r="A260" s="27" t="n"/>
      <c r="B260" s="506">
        <f>IFERROR(__xludf.DUMMYFUNCTION("""COMPUTED_VALUE"""),46205.6666666666)</f>
        <v/>
      </c>
      <c r="C260" s="141">
        <f>IFERROR(__xludf.DUMMYFUNCTION("""COMPUTED_VALUE"""),21.7)</f>
        <v/>
      </c>
      <c r="D260" s="141">
        <f>IFERROR(__xludf.DUMMYFUNCTION("""COMPUTED_VALUE"""),21.72)</f>
        <v/>
      </c>
      <c r="E260" s="141">
        <f>IFERROR(__xludf.DUMMYFUNCTION("""COMPUTED_VALUE"""),21.59)</f>
        <v/>
      </c>
      <c r="F260" s="141">
        <f>IFERROR(__xludf.DUMMYFUNCTION("""COMPUTED_VALUE"""),21.68)</f>
        <v/>
      </c>
      <c r="G260" s="143">
        <f>IFERROR(__xludf.DUMMYFUNCTION("""COMPUTED_VALUE"""),487668)</f>
        <v/>
      </c>
      <c r="H260" s="27" t="n"/>
    </row>
    <row r="261" ht="17.25" customHeight="1" s="322">
      <c r="A261" s="27" t="n"/>
      <c r="B261" s="506">
        <f>IFERROR(__xludf.DUMMYFUNCTION("""COMPUTED_VALUE"""),46209.6666666666)</f>
        <v/>
      </c>
      <c r="C261" s="141">
        <f>IFERROR(__xludf.DUMMYFUNCTION("""COMPUTED_VALUE"""),21.61)</f>
        <v/>
      </c>
      <c r="D261" s="141">
        <f>IFERROR(__xludf.DUMMYFUNCTION("""COMPUTED_VALUE"""),21.67)</f>
        <v/>
      </c>
      <c r="E261" s="141">
        <f>IFERROR(__xludf.DUMMYFUNCTION("""COMPUTED_VALUE"""),21.55)</f>
        <v/>
      </c>
      <c r="F261" s="141">
        <f>IFERROR(__xludf.DUMMYFUNCTION("""COMPUTED_VALUE"""),21.67)</f>
        <v/>
      </c>
      <c r="G261" s="143">
        <f>IFERROR(__xludf.DUMMYFUNCTION("""COMPUTED_VALUE"""),615920)</f>
        <v/>
      </c>
      <c r="H261" s="27" t="n"/>
    </row>
    <row r="262" ht="17.25" customHeight="1" s="322">
      <c r="A262" s="27" t="n"/>
      <c r="B262" s="506">
        <f>IFERROR(__xludf.DUMMYFUNCTION("""COMPUTED_VALUE"""),46210.6666666666)</f>
        <v/>
      </c>
      <c r="C262" s="141">
        <f>IFERROR(__xludf.DUMMYFUNCTION("""COMPUTED_VALUE"""),21.64)</f>
        <v/>
      </c>
      <c r="D262" s="141">
        <f>IFERROR(__xludf.DUMMYFUNCTION("""COMPUTED_VALUE"""),21.67)</f>
        <v/>
      </c>
      <c r="E262" s="141">
        <f>IFERROR(__xludf.DUMMYFUNCTION("""COMPUTED_VALUE"""),21.54)</f>
        <v/>
      </c>
      <c r="F262" s="141">
        <f>IFERROR(__xludf.DUMMYFUNCTION("""COMPUTED_VALUE"""),21.55)</f>
        <v/>
      </c>
      <c r="G262" s="143">
        <f>IFERROR(__xludf.DUMMYFUNCTION("""COMPUTED_VALUE"""),177965)</f>
        <v/>
      </c>
      <c r="H262" s="27" t="n"/>
    </row>
    <row r="263" ht="17.25" customHeight="1" s="322">
      <c r="A263" s="27" t="n"/>
      <c r="B263" s="506">
        <f>IFERROR(__xludf.DUMMYFUNCTION("""COMPUTED_VALUE"""),46211.6666666666)</f>
        <v/>
      </c>
      <c r="C263" s="141">
        <f>IFERROR(__xludf.DUMMYFUNCTION("""COMPUTED_VALUE"""),21.47)</f>
        <v/>
      </c>
      <c r="D263" s="141">
        <f>IFERROR(__xludf.DUMMYFUNCTION("""COMPUTED_VALUE"""),21.58)</f>
        <v/>
      </c>
      <c r="E263" s="141">
        <f>IFERROR(__xludf.DUMMYFUNCTION("""COMPUTED_VALUE"""),21.41)</f>
        <v/>
      </c>
      <c r="F263" s="141">
        <f>IFERROR(__xludf.DUMMYFUNCTION("""COMPUTED_VALUE"""),21.5)</f>
        <v/>
      </c>
      <c r="G263" s="143">
        <f>IFERROR(__xludf.DUMMYFUNCTION("""COMPUTED_VALUE"""),605096)</f>
        <v/>
      </c>
      <c r="H263" s="27" t="n"/>
    </row>
    <row r="264" ht="17.25" customHeight="1" s="322">
      <c r="A264" s="27" t="n"/>
      <c r="B264" s="506">
        <f>IFERROR(__xludf.DUMMYFUNCTION("""COMPUTED_VALUE"""),46212.6666666666)</f>
        <v/>
      </c>
      <c r="C264" s="141">
        <f>IFERROR(__xludf.DUMMYFUNCTION("""COMPUTED_VALUE"""),21.5)</f>
        <v/>
      </c>
      <c r="D264" s="141">
        <f>IFERROR(__xludf.DUMMYFUNCTION("""COMPUTED_VALUE"""),21.58)</f>
        <v/>
      </c>
      <c r="E264" s="141">
        <f>IFERROR(__xludf.DUMMYFUNCTION("""COMPUTED_VALUE"""),21.5)</f>
        <v/>
      </c>
      <c r="F264" s="141">
        <f>IFERROR(__xludf.DUMMYFUNCTION("""COMPUTED_VALUE"""),21.52)</f>
        <v/>
      </c>
      <c r="G264" s="143">
        <f>IFERROR(__xludf.DUMMYFUNCTION("""COMPUTED_VALUE"""),348418)</f>
        <v/>
      </c>
      <c r="H264" s="27" t="n"/>
    </row>
    <row r="265" ht="17.25" customHeight="1" s="322">
      <c r="A265" s="27" t="n"/>
      <c r="B265" s="506">
        <f>IFERROR(__xludf.DUMMYFUNCTION("""COMPUTED_VALUE"""),46213.6666666666)</f>
        <v/>
      </c>
      <c r="C265" s="141">
        <f>IFERROR(__xludf.DUMMYFUNCTION("""COMPUTED_VALUE"""),21.59)</f>
        <v/>
      </c>
      <c r="D265" s="141">
        <f>IFERROR(__xludf.DUMMYFUNCTION("""COMPUTED_VALUE"""),21.65)</f>
        <v/>
      </c>
      <c r="E265" s="141">
        <f>IFERROR(__xludf.DUMMYFUNCTION("""COMPUTED_VALUE"""),21.53)</f>
        <v/>
      </c>
      <c r="F265" s="141">
        <f>IFERROR(__xludf.DUMMYFUNCTION("""COMPUTED_VALUE"""),21.59)</f>
        <v/>
      </c>
      <c r="G265" s="143">
        <f>IFERROR(__xludf.DUMMYFUNCTION("""COMPUTED_VALUE"""),222595)</f>
        <v/>
      </c>
      <c r="H265" s="27" t="n"/>
    </row>
    <row r="266" ht="17.25" customHeight="1" s="322">
      <c r="A266" s="27" t="n"/>
      <c r="B266" s="506">
        <f>IFERROR(__xludf.DUMMYFUNCTION("""COMPUTED_VALUE"""),46216.6666666666)</f>
        <v/>
      </c>
      <c r="C266" s="141">
        <f>IFERROR(__xludf.DUMMYFUNCTION("""COMPUTED_VALUE"""),21.56)</f>
        <v/>
      </c>
      <c r="D266" s="141">
        <f>IFERROR(__xludf.DUMMYFUNCTION("""COMPUTED_VALUE"""),21.6)</f>
        <v/>
      </c>
      <c r="E266" s="141">
        <f>IFERROR(__xludf.DUMMYFUNCTION("""COMPUTED_VALUE"""),21.44)</f>
        <v/>
      </c>
      <c r="F266" s="141">
        <f>IFERROR(__xludf.DUMMYFUNCTION("""COMPUTED_VALUE"""),21.45)</f>
        <v/>
      </c>
      <c r="G266" s="143">
        <f>IFERROR(__xludf.DUMMYFUNCTION("""COMPUTED_VALUE"""),492841)</f>
        <v/>
      </c>
      <c r="H266" s="27" t="n"/>
    </row>
    <row r="267" ht="17.25" customHeight="1" s="322">
      <c r="A267" s="27" t="n"/>
      <c r="B267" s="506">
        <f>IFERROR(__xludf.DUMMYFUNCTION("""COMPUTED_VALUE"""),46217.6666666666)</f>
        <v/>
      </c>
      <c r="C267" s="141">
        <f>IFERROR(__xludf.DUMMYFUNCTION("""COMPUTED_VALUE"""),21.63)</f>
        <v/>
      </c>
      <c r="D267" s="141">
        <f>IFERROR(__xludf.DUMMYFUNCTION("""COMPUTED_VALUE"""),21.66)</f>
        <v/>
      </c>
      <c r="E267" s="141">
        <f>IFERROR(__xludf.DUMMYFUNCTION("""COMPUTED_VALUE"""),21.58)</f>
        <v/>
      </c>
      <c r="F267" s="141">
        <f>IFERROR(__xludf.DUMMYFUNCTION("""COMPUTED_VALUE"""),21.59)</f>
        <v/>
      </c>
      <c r="G267" s="143">
        <f>IFERROR(__xludf.DUMMYFUNCTION("""COMPUTED_VALUE"""),464736)</f>
        <v/>
      </c>
      <c r="H267" s="27" t="n"/>
    </row>
    <row r="268" ht="17.25" customHeight="1" s="322">
      <c r="A268" s="27" t="n"/>
      <c r="B268" s="506">
        <f>IFERROR(__xludf.DUMMYFUNCTION("""COMPUTED_VALUE"""),46218.6666666666)</f>
        <v/>
      </c>
      <c r="C268" s="141">
        <f>IFERROR(__xludf.DUMMYFUNCTION("""COMPUTED_VALUE"""),21.57)</f>
        <v/>
      </c>
      <c r="D268" s="141">
        <f>IFERROR(__xludf.DUMMYFUNCTION("""COMPUTED_VALUE"""),21.69)</f>
        <v/>
      </c>
      <c r="E268" s="141">
        <f>IFERROR(__xludf.DUMMYFUNCTION("""COMPUTED_VALUE"""),21.57)</f>
        <v/>
      </c>
      <c r="F268" s="141">
        <f>IFERROR(__xludf.DUMMYFUNCTION("""COMPUTED_VALUE"""),21.66)</f>
        <v/>
      </c>
      <c r="G268" s="143">
        <f>IFERROR(__xludf.DUMMYFUNCTION("""COMPUTED_VALUE"""),254674)</f>
        <v/>
      </c>
      <c r="H268" s="27" t="n"/>
    </row>
    <row r="269" ht="17.25" customHeight="1" s="322">
      <c r="A269" s="27" t="n"/>
      <c r="B269" s="506">
        <f>IFERROR(__xludf.DUMMYFUNCTION("""COMPUTED_VALUE"""),46219.6666666666)</f>
        <v/>
      </c>
      <c r="C269" s="141">
        <f>IFERROR(__xludf.DUMMYFUNCTION("""COMPUTED_VALUE"""),21.6)</f>
        <v/>
      </c>
      <c r="D269" s="141">
        <f>IFERROR(__xludf.DUMMYFUNCTION("""COMPUTED_VALUE"""),21.65)</f>
        <v/>
      </c>
      <c r="E269" s="141">
        <f>IFERROR(__xludf.DUMMYFUNCTION("""COMPUTED_VALUE"""),21.56)</f>
        <v/>
      </c>
      <c r="F269" s="141">
        <f>IFERROR(__xludf.DUMMYFUNCTION("""COMPUTED_VALUE"""),21.59)</f>
        <v/>
      </c>
      <c r="G269" s="143">
        <f>IFERROR(__xludf.DUMMYFUNCTION("""COMPUTED_VALUE"""),572613)</f>
        <v/>
      </c>
      <c r="H269" s="27" t="n"/>
    </row>
    <row r="270" ht="17.25" customHeight="1" s="322">
      <c r="A270" s="27" t="n"/>
      <c r="B270" s="506">
        <f>IFERROR(__xludf.DUMMYFUNCTION("""COMPUTED_VALUE"""),46220.6666666666)</f>
        <v/>
      </c>
      <c r="C270" s="141">
        <f>IFERROR(__xludf.DUMMYFUNCTION("""COMPUTED_VALUE"""),21.55)</f>
        <v/>
      </c>
      <c r="D270" s="141">
        <f>IFERROR(__xludf.DUMMYFUNCTION("""COMPUTED_VALUE"""),21.6)</f>
        <v/>
      </c>
      <c r="E270" s="141">
        <f>IFERROR(__xludf.DUMMYFUNCTION("""COMPUTED_VALUE"""),21.53)</f>
        <v/>
      </c>
      <c r="F270" s="141">
        <f>IFERROR(__xludf.DUMMYFUNCTION("""COMPUTED_VALUE"""),21.56)</f>
        <v/>
      </c>
      <c r="G270" s="143">
        <f>IFERROR(__xludf.DUMMYFUNCTION("""COMPUTED_VALUE"""),311990)</f>
        <v/>
      </c>
      <c r="H270" s="27" t="n"/>
    </row>
    <row r="271" ht="17.25" customHeight="1" s="322">
      <c r="A271" s="27" t="n"/>
      <c r="B271" s="506">
        <f>IFERROR(__xludf.DUMMYFUNCTION("""COMPUTED_VALUE"""),46223.6666666666)</f>
        <v/>
      </c>
      <c r="C271" s="141">
        <f>IFERROR(__xludf.DUMMYFUNCTION("""COMPUTED_VALUE"""),21.55)</f>
        <v/>
      </c>
      <c r="D271" s="141">
        <f>IFERROR(__xludf.DUMMYFUNCTION("""COMPUTED_VALUE"""),21.56)</f>
        <v/>
      </c>
      <c r="E271" s="141">
        <f>IFERROR(__xludf.DUMMYFUNCTION("""COMPUTED_VALUE"""),21.5)</f>
        <v/>
      </c>
      <c r="F271" s="141">
        <f>IFERROR(__xludf.DUMMYFUNCTION("""COMPUTED_VALUE"""),21.51)</f>
        <v/>
      </c>
      <c r="G271" s="143">
        <f>IFERROR(__xludf.DUMMYFUNCTION("""COMPUTED_VALUE"""),1082487)</f>
        <v/>
      </c>
      <c r="H271" s="27" t="n"/>
    </row>
    <row r="272" ht="17.25" customHeight="1" s="322">
      <c r="A272" s="27" t="n"/>
      <c r="B272" s="506">
        <f>IFERROR(__xludf.DUMMYFUNCTION("""COMPUTED_VALUE"""),46224.6666666666)</f>
        <v/>
      </c>
      <c r="C272" s="141">
        <f>IFERROR(__xludf.DUMMYFUNCTION("""COMPUTED_VALUE"""),21.49)</f>
        <v/>
      </c>
      <c r="D272" s="141">
        <f>IFERROR(__xludf.DUMMYFUNCTION("""COMPUTED_VALUE"""),21.58)</f>
        <v/>
      </c>
      <c r="E272" s="141">
        <f>IFERROR(__xludf.DUMMYFUNCTION("""COMPUTED_VALUE"""),21.45)</f>
        <v/>
      </c>
      <c r="F272" s="141">
        <f>IFERROR(__xludf.DUMMYFUNCTION("""COMPUTED_VALUE"""),21.46)</f>
        <v/>
      </c>
      <c r="G272" s="143">
        <f>IFERROR(__xludf.DUMMYFUNCTION("""COMPUTED_VALUE"""),264463)</f>
        <v/>
      </c>
      <c r="H272" s="27" t="n"/>
    </row>
    <row r="273" ht="17.25" customHeight="1" s="322">
      <c r="A273" s="27" t="n"/>
      <c r="B273" s="506">
        <f>IFERROR(__xludf.DUMMYFUNCTION("""COMPUTED_VALUE"""),46225.6666666666)</f>
        <v/>
      </c>
      <c r="C273" s="141">
        <f>IFERROR(__xludf.DUMMYFUNCTION("""COMPUTED_VALUE"""),21.45)</f>
        <v/>
      </c>
      <c r="D273" s="141">
        <f>IFERROR(__xludf.DUMMYFUNCTION("""COMPUTED_VALUE"""),21.55)</f>
        <v/>
      </c>
      <c r="E273" s="141">
        <f>IFERROR(__xludf.DUMMYFUNCTION("""COMPUTED_VALUE"""),21.42)</f>
        <v/>
      </c>
      <c r="F273" s="141">
        <f>IFERROR(__xludf.DUMMYFUNCTION("""COMPUTED_VALUE"""),21.46)</f>
        <v/>
      </c>
      <c r="G273" s="143">
        <f>IFERROR(__xludf.DUMMYFUNCTION("""COMPUTED_VALUE"""),294313)</f>
        <v/>
      </c>
      <c r="H273" s="27" t="n"/>
    </row>
    <row r="274" ht="17.25" customHeight="1" s="322">
      <c r="A274" s="27" t="n"/>
      <c r="B274" s="506">
        <f>IFERROR(__xludf.DUMMYFUNCTION("""COMPUTED_VALUE"""),46226.6666666666)</f>
        <v/>
      </c>
      <c r="C274" s="141">
        <f>IFERROR(__xludf.DUMMYFUNCTION("""COMPUTED_VALUE"""),21.35)</f>
        <v/>
      </c>
      <c r="D274" s="141">
        <f>IFERROR(__xludf.DUMMYFUNCTION("""COMPUTED_VALUE"""),21.47)</f>
        <v/>
      </c>
      <c r="E274" s="141">
        <f>IFERROR(__xludf.DUMMYFUNCTION("""COMPUTED_VALUE"""),21.32)</f>
        <v/>
      </c>
      <c r="F274" s="141">
        <f>IFERROR(__xludf.DUMMYFUNCTION("""COMPUTED_VALUE"""),21.36)</f>
        <v/>
      </c>
      <c r="G274" s="143">
        <f>IFERROR(__xludf.DUMMYFUNCTION("""COMPUTED_VALUE"""),377007)</f>
        <v/>
      </c>
      <c r="H274" s="27" t="n"/>
    </row>
    <row r="275" ht="17.25" customHeight="1" s="322">
      <c r="A275" s="27" t="n"/>
      <c r="B275" s="506">
        <f>IFERROR(__xludf.DUMMYFUNCTION("""COMPUTED_VALUE"""),46227.6666666666)</f>
        <v/>
      </c>
      <c r="C275" s="141">
        <f>IFERROR(__xludf.DUMMYFUNCTION("""COMPUTED_VALUE"""),21.34)</f>
        <v/>
      </c>
      <c r="D275" s="141">
        <f>IFERROR(__xludf.DUMMYFUNCTION("""COMPUTED_VALUE"""),21.42)</f>
        <v/>
      </c>
      <c r="E275" s="141">
        <f>IFERROR(__xludf.DUMMYFUNCTION("""COMPUTED_VALUE"""),21.28)</f>
        <v/>
      </c>
      <c r="F275" s="141">
        <f>IFERROR(__xludf.DUMMYFUNCTION("""COMPUTED_VALUE"""),21.4)</f>
        <v/>
      </c>
      <c r="G275" s="143">
        <f>IFERROR(__xludf.DUMMYFUNCTION("""COMPUTED_VALUE"""),549470)</f>
        <v/>
      </c>
      <c r="H275" s="27" t="n"/>
    </row>
    <row r="276" ht="17.25" customHeight="1" s="322">
      <c r="A276" s="27" t="n"/>
      <c r="B276" s="506">
        <f>IFERROR(__xludf.DUMMYFUNCTION("""COMPUTED_VALUE"""),46230.6666666666)</f>
        <v/>
      </c>
      <c r="C276" s="141">
        <f>IFERROR(__xludf.DUMMYFUNCTION("""COMPUTED_VALUE"""),21.43)</f>
        <v/>
      </c>
      <c r="D276" s="141">
        <f>IFERROR(__xludf.DUMMYFUNCTION("""COMPUTED_VALUE"""),21.46)</f>
        <v/>
      </c>
      <c r="E276" s="141">
        <f>IFERROR(__xludf.DUMMYFUNCTION("""COMPUTED_VALUE"""),21.38)</f>
        <v/>
      </c>
      <c r="F276" s="141">
        <f>IFERROR(__xludf.DUMMYFUNCTION("""COMPUTED_VALUE"""),21.44)</f>
        <v/>
      </c>
      <c r="G276" s="143">
        <f>IFERROR(__xludf.DUMMYFUNCTION("""COMPUTED_VALUE"""),261024)</f>
        <v/>
      </c>
      <c r="H276" s="27" t="n"/>
    </row>
    <row r="277" ht="17.25" customHeight="1" s="322">
      <c r="A277" s="27" t="n"/>
      <c r="B277" s="506">
        <f>IFERROR(__xludf.DUMMYFUNCTION("""COMPUTED_VALUE"""),46231.6666666666)</f>
        <v/>
      </c>
      <c r="C277" s="141">
        <f>IFERROR(__xludf.DUMMYFUNCTION("""COMPUTED_VALUE"""),21.47)</f>
        <v/>
      </c>
      <c r="D277" s="141">
        <f>IFERROR(__xludf.DUMMYFUNCTION("""COMPUTED_VALUE"""),21.52)</f>
        <v/>
      </c>
      <c r="E277" s="141">
        <f>IFERROR(__xludf.DUMMYFUNCTION("""COMPUTED_VALUE"""),21.4)</f>
        <v/>
      </c>
      <c r="F277" s="141">
        <f>IFERROR(__xludf.DUMMYFUNCTION("""COMPUTED_VALUE"""),21.47)</f>
        <v/>
      </c>
      <c r="G277" s="143">
        <f>IFERROR(__xludf.DUMMYFUNCTION("""COMPUTED_VALUE"""),129431)</f>
        <v/>
      </c>
      <c r="H277" s="27" t="n"/>
    </row>
    <row r="278" ht="17.25" customHeight="1" s="322">
      <c r="A278" s="27" t="n"/>
      <c r="B278" s="506">
        <f>IFERROR(__xludf.DUMMYFUNCTION("""COMPUTED_VALUE"""),46232.6666666666)</f>
        <v/>
      </c>
      <c r="C278" s="141">
        <f>IFERROR(__xludf.DUMMYFUNCTION("""COMPUTED_VALUE"""),21.47)</f>
        <v/>
      </c>
      <c r="D278" s="141">
        <f>IFERROR(__xludf.DUMMYFUNCTION("""COMPUTED_VALUE"""),21.56)</f>
        <v/>
      </c>
      <c r="E278" s="141">
        <f>IFERROR(__xludf.DUMMYFUNCTION("""COMPUTED_VALUE"""),21.4)</f>
        <v/>
      </c>
      <c r="F278" s="141">
        <f>IFERROR(__xludf.DUMMYFUNCTION("""COMPUTED_VALUE"""),21.5)</f>
        <v/>
      </c>
      <c r="G278" s="143">
        <f>IFERROR(__xludf.DUMMYFUNCTION("""COMPUTED_VALUE"""),287821)</f>
        <v/>
      </c>
      <c r="H278" s="27" t="n"/>
    </row>
    <row r="279" ht="17.25" customHeight="1" s="322">
      <c r="A279" s="27" t="n"/>
      <c r="B279" s="506" t="n"/>
      <c r="C279" s="141" t="n"/>
      <c r="D279" s="141" t="n"/>
      <c r="E279" s="141" t="n"/>
      <c r="F279" s="141" t="n"/>
      <c r="G279" s="143" t="n"/>
      <c r="H279" s="27" t="n"/>
    </row>
    <row r="280" ht="17.25" customHeight="1" s="322">
      <c r="A280" s="27" t="n"/>
      <c r="B280" s="506" t="n"/>
      <c r="C280" s="141" t="n"/>
      <c r="D280" s="141" t="n"/>
      <c r="E280" s="141" t="n"/>
      <c r="F280" s="141" t="n"/>
      <c r="G280" s="143" t="n"/>
      <c r="H280" s="27" t="n"/>
    </row>
    <row r="281" ht="17.25" customHeight="1" s="322">
      <c r="A281" s="27" t="n"/>
      <c r="B281" s="506" t="n"/>
      <c r="C281" s="141" t="n"/>
      <c r="D281" s="141" t="n"/>
      <c r="E281" s="141" t="n"/>
      <c r="F281" s="141" t="n"/>
      <c r="G281" s="143" t="n"/>
      <c r="H281" s="27" t="n"/>
    </row>
    <row r="282" ht="17.25" customHeight="1" s="322">
      <c r="A282" s="27" t="n"/>
      <c r="B282" s="506" t="n"/>
      <c r="C282" s="141" t="n"/>
      <c r="D282" s="141" t="n"/>
      <c r="E282" s="141" t="n"/>
      <c r="F282" s="141" t="n"/>
      <c r="G282" s="143" t="n"/>
      <c r="H282" s="27" t="n"/>
    </row>
    <row r="283" ht="17.25" customHeight="1" s="322">
      <c r="A283" s="27" t="n"/>
      <c r="B283" s="506" t="n"/>
      <c r="C283" s="141" t="n"/>
      <c r="D283" s="141" t="n"/>
      <c r="E283" s="141" t="n"/>
      <c r="F283" s="141" t="n"/>
      <c r="G283" s="143" t="n"/>
      <c r="H283" s="27" t="n"/>
    </row>
    <row r="284" ht="17.25" customHeight="1" s="322">
      <c r="A284" s="27" t="n"/>
      <c r="B284" s="506" t="n"/>
      <c r="C284" s="141" t="n"/>
      <c r="D284" s="141" t="n"/>
      <c r="E284" s="141" t="n"/>
      <c r="F284" s="141" t="n"/>
      <c r="G284" s="143" t="n"/>
      <c r="H284" s="27" t="n"/>
    </row>
    <row r="285" ht="17.25" customHeight="1" s="322">
      <c r="A285" s="27" t="n"/>
      <c r="B285" s="506" t="n"/>
      <c r="C285" s="141" t="n"/>
      <c r="D285" s="141" t="n"/>
      <c r="E285" s="141" t="n"/>
      <c r="F285" s="141" t="n"/>
      <c r="G285" s="143" t="n"/>
      <c r="H285" s="27" t="n"/>
    </row>
    <row r="286" ht="17.25" customHeight="1" s="322">
      <c r="A286" s="27" t="n"/>
      <c r="B286" s="506" t="n"/>
      <c r="C286" s="141" t="n"/>
      <c r="D286" s="141" t="n"/>
      <c r="E286" s="141" t="n"/>
      <c r="F286" s="141" t="n"/>
      <c r="G286" s="143" t="n"/>
      <c r="H286" s="27" t="n"/>
    </row>
    <row r="287" ht="17.25" customHeight="1" s="322">
      <c r="A287" s="27" t="n"/>
      <c r="B287" s="506" t="n"/>
      <c r="C287" s="141" t="n"/>
      <c r="D287" s="141" t="n"/>
      <c r="E287" s="141" t="n"/>
      <c r="F287" s="141" t="n"/>
      <c r="G287" s="143" t="n"/>
      <c r="H287" s="27" t="n"/>
    </row>
    <row r="288" ht="17.25" customHeight="1" s="322">
      <c r="A288" s="27" t="n"/>
      <c r="B288" s="506" t="n"/>
      <c r="C288" s="141" t="n"/>
      <c r="D288" s="141" t="n"/>
      <c r="E288" s="141" t="n"/>
      <c r="F288" s="141" t="n"/>
      <c r="G288" s="143" t="n"/>
      <c r="H288" s="27" t="n"/>
    </row>
    <row r="289" ht="17.25" customHeight="1" s="322">
      <c r="A289" s="27" t="n"/>
      <c r="B289" s="506" t="n"/>
      <c r="C289" s="141" t="n"/>
      <c r="D289" s="141" t="n"/>
      <c r="E289" s="141" t="n"/>
      <c r="F289" s="141" t="n"/>
      <c r="G289" s="143" t="n"/>
      <c r="H289" s="27" t="n"/>
    </row>
    <row r="290" ht="17.25" customHeight="1" s="322">
      <c r="A290" s="27" t="n"/>
      <c r="B290" s="506" t="n"/>
      <c r="C290" s="141" t="n"/>
      <c r="D290" s="141" t="n"/>
      <c r="E290" s="141" t="n"/>
      <c r="F290" s="141" t="n"/>
      <c r="G290" s="143" t="n"/>
      <c r="H290" s="27" t="n"/>
    </row>
    <row r="291" ht="17.25" customHeight="1" s="322">
      <c r="A291" s="27" t="n"/>
      <c r="B291" s="506" t="n"/>
      <c r="C291" s="141" t="n"/>
      <c r="D291" s="141" t="n"/>
      <c r="E291" s="141" t="n"/>
      <c r="F291" s="141" t="n"/>
      <c r="G291" s="143" t="n"/>
      <c r="H291" s="27" t="n"/>
    </row>
    <row r="292" ht="17.25" customHeight="1" s="322">
      <c r="A292" s="27" t="n"/>
      <c r="B292" s="506" t="n"/>
      <c r="C292" s="141" t="n"/>
      <c r="D292" s="141" t="n"/>
      <c r="E292" s="141" t="n"/>
      <c r="F292" s="141" t="n"/>
      <c r="G292" s="143" t="n"/>
      <c r="H292" s="27" t="n"/>
    </row>
    <row r="293" ht="17.25" customHeight="1" s="322">
      <c r="A293" s="27" t="n"/>
      <c r="B293" s="506" t="n"/>
      <c r="C293" s="141" t="n"/>
      <c r="D293" s="141" t="n"/>
      <c r="E293" s="141" t="n"/>
      <c r="F293" s="141" t="n"/>
      <c r="G293" s="143" t="n"/>
      <c r="H293" s="27" t="n"/>
    </row>
    <row r="294" ht="17.25" customHeight="1" s="322">
      <c r="A294" s="27" t="n"/>
      <c r="B294" s="506" t="n"/>
      <c r="C294" s="141" t="n"/>
      <c r="D294" s="141" t="n"/>
      <c r="E294" s="141" t="n"/>
      <c r="F294" s="141" t="n"/>
      <c r="G294" s="143" t="n"/>
      <c r="H294" s="27" t="n"/>
    </row>
    <row r="295" ht="17.25" customHeight="1" s="322">
      <c r="A295" s="27" t="n"/>
      <c r="B295" s="506" t="n"/>
      <c r="C295" s="141" t="n"/>
      <c r="D295" s="141" t="n"/>
      <c r="E295" s="141" t="n"/>
      <c r="F295" s="141" t="n"/>
      <c r="G295" s="143" t="n"/>
      <c r="H295" s="27" t="n"/>
    </row>
    <row r="296" ht="17.25" customHeight="1" s="322">
      <c r="A296" s="27" t="n"/>
      <c r="B296" s="506" t="n"/>
      <c r="C296" s="141" t="n"/>
      <c r="D296" s="141" t="n"/>
      <c r="E296" s="141" t="n"/>
      <c r="F296" s="141" t="n"/>
      <c r="G296" s="143" t="n"/>
      <c r="H296" s="27" t="n"/>
    </row>
    <row r="297" ht="17.25" customHeight="1" s="322">
      <c r="A297" s="27" t="n"/>
      <c r="B297" s="506" t="n"/>
      <c r="C297" s="141" t="n"/>
      <c r="D297" s="141" t="n"/>
      <c r="E297" s="141" t="n"/>
      <c r="F297" s="141" t="n"/>
      <c r="G297" s="143" t="n"/>
      <c r="H297" s="27" t="n"/>
    </row>
    <row r="298" ht="17.25" customHeight="1" s="322">
      <c r="A298" s="27" t="n"/>
      <c r="B298" s="506" t="n"/>
      <c r="C298" s="141" t="n"/>
      <c r="D298" s="141" t="n"/>
      <c r="E298" s="141" t="n"/>
      <c r="F298" s="141" t="n"/>
      <c r="G298" s="143" t="n"/>
      <c r="H298" s="27" t="n"/>
    </row>
    <row r="299" ht="17.25" customHeight="1" s="322">
      <c r="A299" s="27" t="n"/>
      <c r="B299" s="506" t="n"/>
      <c r="C299" s="141" t="n"/>
      <c r="D299" s="141" t="n"/>
      <c r="E299" s="141" t="n"/>
      <c r="F299" s="141" t="n"/>
      <c r="G299" s="143" t="n"/>
      <c r="H299" s="27" t="n"/>
    </row>
    <row r="300" ht="17.25" customHeight="1" s="322">
      <c r="A300" s="27" t="n"/>
      <c r="B300" s="506" t="n"/>
      <c r="C300" s="141" t="n"/>
      <c r="D300" s="141" t="n"/>
      <c r="E300" s="141" t="n"/>
      <c r="F300" s="141" t="n"/>
      <c r="G300" s="143" t="n"/>
      <c r="H300" s="27" t="n"/>
    </row>
    <row r="301" ht="17.25" customHeight="1" s="322">
      <c r="A301" s="27" t="n"/>
      <c r="B301" s="506" t="n"/>
      <c r="C301" s="141" t="n"/>
      <c r="D301" s="141" t="n"/>
      <c r="E301" s="141" t="n"/>
      <c r="F301" s="141" t="n"/>
      <c r="G301" s="143" t="n"/>
      <c r="H301" s="27" t="n"/>
    </row>
    <row r="302" ht="17.25" customHeight="1" s="322">
      <c r="A302" s="27" t="n"/>
      <c r="B302" s="506" t="n"/>
      <c r="C302" s="141" t="n"/>
      <c r="D302" s="141" t="n"/>
      <c r="E302" s="141" t="n"/>
      <c r="F302" s="141" t="n"/>
      <c r="G302" s="143" t="n"/>
      <c r="H302" s="27" t="n"/>
    </row>
    <row r="303" ht="17.25" customHeight="1" s="322">
      <c r="A303" s="27" t="n"/>
      <c r="B303" s="506" t="n"/>
      <c r="C303" s="141" t="n"/>
      <c r="D303" s="141" t="n"/>
      <c r="E303" s="141" t="n"/>
      <c r="F303" s="141" t="n"/>
      <c r="G303" s="143" t="n"/>
      <c r="H303" s="27" t="n"/>
    </row>
    <row r="304" ht="17.25" customHeight="1" s="322">
      <c r="A304" s="27" t="n"/>
      <c r="B304" s="506" t="n"/>
      <c r="C304" s="141" t="n"/>
      <c r="D304" s="141" t="n"/>
      <c r="E304" s="141" t="n"/>
      <c r="F304" s="141" t="n"/>
      <c r="G304" s="143" t="n"/>
      <c r="H304" s="27" t="n"/>
    </row>
    <row r="305" ht="17.25" customHeight="1" s="322">
      <c r="A305" s="27" t="n"/>
      <c r="B305" s="506" t="n"/>
      <c r="C305" s="141" t="n"/>
      <c r="D305" s="141" t="n"/>
      <c r="E305" s="141" t="n"/>
      <c r="F305" s="141" t="n"/>
      <c r="G305" s="143" t="n"/>
      <c r="H305" s="27" t="n"/>
    </row>
    <row r="306" ht="17.25" customHeight="1" s="322">
      <c r="A306" s="27" t="n"/>
      <c r="B306" s="506" t="n"/>
      <c r="C306" s="141" t="n"/>
      <c r="D306" s="141" t="n"/>
      <c r="E306" s="141" t="n"/>
      <c r="F306" s="141" t="n"/>
      <c r="G306" s="143" t="n"/>
      <c r="H306" s="27" t="n"/>
    </row>
    <row r="307" ht="17.25" customHeight="1" s="322">
      <c r="A307" s="27" t="n"/>
      <c r="B307" s="506" t="n"/>
      <c r="C307" s="141" t="n"/>
      <c r="D307" s="141" t="n"/>
      <c r="E307" s="141" t="n"/>
      <c r="F307" s="141" t="n"/>
      <c r="G307" s="143" t="n"/>
      <c r="H307" s="27" t="n"/>
    </row>
    <row r="308" ht="17.25" customHeight="1" s="322">
      <c r="A308" s="27" t="n"/>
      <c r="B308" s="506" t="n"/>
      <c r="C308" s="141" t="n"/>
      <c r="D308" s="141" t="n"/>
      <c r="E308" s="141" t="n"/>
      <c r="F308" s="141" t="n"/>
      <c r="G308" s="143" t="n"/>
      <c r="H308" s="27" t="n"/>
    </row>
    <row r="309" ht="17.25" customHeight="1" s="322">
      <c r="A309" s="27" t="n"/>
      <c r="B309" s="506" t="n"/>
      <c r="C309" s="141" t="n"/>
      <c r="D309" s="141" t="n"/>
      <c r="E309" s="141" t="n"/>
      <c r="F309" s="141" t="n"/>
      <c r="G309" s="143" t="n"/>
      <c r="H309" s="27" t="n"/>
    </row>
    <row r="310" ht="17.25" customHeight="1" s="322">
      <c r="A310" s="27" t="n"/>
      <c r="B310" s="506" t="n"/>
      <c r="C310" s="141" t="n"/>
      <c r="D310" s="141" t="n"/>
      <c r="E310" s="141" t="n"/>
      <c r="F310" s="141" t="n"/>
      <c r="G310" s="143" t="n"/>
      <c r="H310" s="27" t="n"/>
    </row>
    <row r="311" ht="17.25" customHeight="1" s="322">
      <c r="A311" s="27" t="n"/>
      <c r="B311" s="506" t="n"/>
      <c r="C311" s="141" t="n"/>
      <c r="D311" s="141" t="n"/>
      <c r="E311" s="141" t="n"/>
      <c r="F311" s="141" t="n"/>
      <c r="G311" s="143" t="n"/>
      <c r="H311" s="27" t="n"/>
    </row>
    <row r="312" ht="17.25" customHeight="1" s="322">
      <c r="A312" s="27" t="n"/>
      <c r="B312" s="506" t="n"/>
      <c r="C312" s="141" t="n"/>
      <c r="D312" s="141" t="n"/>
      <c r="E312" s="141" t="n"/>
      <c r="F312" s="141" t="n"/>
      <c r="G312" s="143" t="n"/>
      <c r="H312" s="27" t="n"/>
    </row>
    <row r="313" ht="17.25" customHeight="1" s="322">
      <c r="A313" s="27" t="n"/>
      <c r="B313" s="506" t="n"/>
      <c r="C313" s="141" t="n"/>
      <c r="D313" s="141" t="n"/>
      <c r="E313" s="141" t="n"/>
      <c r="F313" s="141" t="n"/>
      <c r="G313" s="143" t="n"/>
      <c r="H313" s="27" t="n"/>
    </row>
    <row r="314" ht="17.25" customHeight="1" s="322">
      <c r="A314" s="27" t="n"/>
      <c r="B314" s="506" t="n"/>
      <c r="C314" s="141" t="n"/>
      <c r="D314" s="141" t="n"/>
      <c r="E314" s="141" t="n"/>
      <c r="F314" s="141" t="n"/>
      <c r="G314" s="143" t="n"/>
      <c r="H314" s="27" t="n"/>
    </row>
    <row r="315" ht="17.25" customHeight="1" s="322">
      <c r="A315" s="27" t="n"/>
      <c r="B315" s="506" t="n"/>
      <c r="C315" s="141" t="n"/>
      <c r="D315" s="141" t="n"/>
      <c r="E315" s="141" t="n"/>
      <c r="F315" s="141" t="n"/>
      <c r="G315" s="143" t="n"/>
      <c r="H315" s="27" t="n"/>
    </row>
    <row r="316" ht="17.25" customHeight="1" s="322">
      <c r="A316" s="27" t="n"/>
      <c r="B316" s="506" t="n"/>
      <c r="C316" s="141" t="n"/>
      <c r="D316" s="141" t="n"/>
      <c r="E316" s="141" t="n"/>
      <c r="F316" s="141" t="n"/>
      <c r="G316" s="143" t="n"/>
      <c r="H316" s="27" t="n"/>
    </row>
    <row r="317" ht="17.25" customHeight="1" s="322">
      <c r="A317" s="27" t="n"/>
      <c r="B317" s="506" t="n"/>
      <c r="C317" s="141" t="n"/>
      <c r="D317" s="141" t="n"/>
      <c r="E317" s="141" t="n"/>
      <c r="F317" s="141" t="n"/>
      <c r="G317" s="143" t="n"/>
      <c r="H317" s="27" t="n"/>
    </row>
    <row r="318" ht="17.25" customHeight="1" s="322">
      <c r="A318" s="27" t="n"/>
      <c r="B318" s="506" t="n"/>
      <c r="C318" s="141" t="n"/>
      <c r="D318" s="141" t="n"/>
      <c r="E318" s="141" t="n"/>
      <c r="F318" s="141" t="n"/>
      <c r="G318" s="143" t="n"/>
      <c r="H318" s="27" t="n"/>
    </row>
    <row r="319" ht="17.25" customHeight="1" s="322">
      <c r="A319" s="27" t="n"/>
      <c r="B319" s="506" t="n"/>
      <c r="C319" s="141" t="n"/>
      <c r="D319" s="141" t="n"/>
      <c r="E319" s="141" t="n"/>
      <c r="F319" s="141" t="n"/>
      <c r="G319" s="143" t="n"/>
      <c r="H319" s="27" t="n"/>
    </row>
    <row r="320" ht="17.25" customHeight="1" s="322">
      <c r="A320" s="27" t="n"/>
      <c r="B320" s="506" t="n"/>
      <c r="C320" s="141" t="n"/>
      <c r="D320" s="141" t="n"/>
      <c r="E320" s="141" t="n"/>
      <c r="F320" s="141" t="n"/>
      <c r="G320" s="143" t="n"/>
      <c r="H320" s="27" t="n"/>
    </row>
    <row r="321" ht="17.25" customHeight="1" s="322">
      <c r="A321" s="27" t="n"/>
      <c r="B321" s="506" t="n"/>
      <c r="C321" s="141" t="n"/>
      <c r="D321" s="141" t="n"/>
      <c r="E321" s="141" t="n"/>
      <c r="F321" s="141" t="n"/>
      <c r="G321" s="143" t="n"/>
      <c r="H321" s="27" t="n"/>
    </row>
    <row r="322" ht="17.25" customHeight="1" s="322">
      <c r="A322" s="27" t="n"/>
      <c r="B322" s="506" t="n"/>
      <c r="C322" s="141" t="n"/>
      <c r="D322" s="141" t="n"/>
      <c r="E322" s="141" t="n"/>
      <c r="F322" s="141" t="n"/>
      <c r="G322" s="143" t="n"/>
      <c r="H322" s="27" t="n"/>
    </row>
    <row r="323" ht="17.25" customHeight="1" s="322">
      <c r="A323" s="27" t="n"/>
      <c r="B323" s="506" t="n"/>
      <c r="C323" s="141" t="n"/>
      <c r="D323" s="141" t="n"/>
      <c r="E323" s="141" t="n"/>
      <c r="F323" s="141" t="n"/>
      <c r="G323" s="143" t="n"/>
      <c r="H323" s="27" t="n"/>
    </row>
    <row r="324" ht="17.25" customHeight="1" s="322">
      <c r="A324" s="27" t="n"/>
      <c r="B324" s="506" t="n"/>
      <c r="C324" s="141" t="n"/>
      <c r="D324" s="141" t="n"/>
      <c r="E324" s="141" t="n"/>
      <c r="F324" s="141" t="n"/>
      <c r="G324" s="143" t="n"/>
      <c r="H324" s="27" t="n"/>
    </row>
    <row r="325" ht="17.25" customHeight="1" s="322">
      <c r="A325" s="27" t="n"/>
      <c r="B325" s="506" t="n"/>
      <c r="C325" s="141" t="n"/>
      <c r="D325" s="141" t="n"/>
      <c r="E325" s="141" t="n"/>
      <c r="F325" s="141" t="n"/>
      <c r="G325" s="143" t="n"/>
      <c r="H325" s="27" t="n"/>
    </row>
    <row r="326" ht="17.25" customHeight="1" s="322">
      <c r="A326" s="27" t="n"/>
      <c r="B326" s="506" t="n"/>
      <c r="C326" s="141" t="n"/>
      <c r="D326" s="141" t="n"/>
      <c r="E326" s="141" t="n"/>
      <c r="F326" s="141" t="n"/>
      <c r="G326" s="143" t="n"/>
      <c r="H326" s="27" t="n"/>
    </row>
    <row r="327" ht="17.25" customHeight="1" s="322">
      <c r="A327" s="27" t="n"/>
      <c r="B327" s="506" t="n"/>
      <c r="C327" s="141" t="n"/>
      <c r="D327" s="141" t="n"/>
      <c r="E327" s="141" t="n"/>
      <c r="F327" s="141" t="n"/>
      <c r="G327" s="143" t="n"/>
      <c r="H327" s="27" t="n"/>
    </row>
    <row r="328" ht="17.25" customHeight="1" s="322">
      <c r="A328" s="27" t="n"/>
      <c r="B328" s="506" t="n"/>
      <c r="C328" s="141" t="n"/>
      <c r="D328" s="141" t="n"/>
      <c r="E328" s="141" t="n"/>
      <c r="F328" s="141" t="n"/>
      <c r="G328" s="143" t="n"/>
      <c r="H328" s="27" t="n"/>
    </row>
    <row r="329" ht="17.25" customHeight="1" s="322">
      <c r="A329" s="27" t="n"/>
      <c r="B329" s="506" t="n"/>
      <c r="C329" s="141" t="n"/>
      <c r="D329" s="141" t="n"/>
      <c r="E329" s="141" t="n"/>
      <c r="F329" s="141" t="n"/>
      <c r="G329" s="143" t="n"/>
      <c r="H329" s="27" t="n"/>
    </row>
    <row r="330" ht="17.25" customHeight="1" s="322">
      <c r="A330" s="27" t="n"/>
      <c r="B330" s="506" t="n"/>
      <c r="C330" s="141" t="n"/>
      <c r="D330" s="141" t="n"/>
      <c r="E330" s="141" t="n"/>
      <c r="F330" s="141" t="n"/>
      <c r="G330" s="143" t="n"/>
      <c r="H330" s="27" t="n"/>
    </row>
    <row r="331" ht="17.25" customHeight="1" s="322">
      <c r="A331" s="27" t="n"/>
      <c r="B331" s="506" t="n"/>
      <c r="C331" s="141" t="n"/>
      <c r="D331" s="141" t="n"/>
      <c r="E331" s="141" t="n"/>
      <c r="F331" s="141" t="n"/>
      <c r="G331" s="143" t="n"/>
      <c r="H331" s="27" t="n"/>
    </row>
    <row r="332" ht="17.25" customHeight="1" s="322">
      <c r="A332" s="27" t="n"/>
      <c r="B332" s="506" t="n"/>
      <c r="C332" s="141" t="n"/>
      <c r="D332" s="141" t="n"/>
      <c r="E332" s="141" t="n"/>
      <c r="F332" s="141" t="n"/>
      <c r="G332" s="143" t="n"/>
      <c r="H332" s="27" t="n"/>
    </row>
    <row r="333" ht="17.25" customHeight="1" s="322">
      <c r="A333" s="27" t="n"/>
      <c r="B333" s="506" t="n"/>
      <c r="C333" s="141" t="n"/>
      <c r="D333" s="141" t="n"/>
      <c r="E333" s="141" t="n"/>
      <c r="F333" s="141" t="n"/>
      <c r="G333" s="143" t="n"/>
      <c r="H333" s="27" t="n"/>
    </row>
    <row r="334" ht="17.25" customHeight="1" s="322">
      <c r="A334" s="27" t="n"/>
      <c r="B334" s="506" t="n"/>
      <c r="C334" s="141" t="n"/>
      <c r="D334" s="141" t="n"/>
      <c r="E334" s="141" t="n"/>
      <c r="F334" s="141" t="n"/>
      <c r="G334" s="143" t="n"/>
      <c r="H334" s="27" t="n"/>
    </row>
    <row r="335" ht="17.25" customHeight="1" s="322">
      <c r="A335" s="27" t="n"/>
      <c r="B335" s="506" t="n"/>
      <c r="C335" s="141" t="n"/>
      <c r="D335" s="141" t="n"/>
      <c r="E335" s="141" t="n"/>
      <c r="F335" s="141" t="n"/>
      <c r="G335" s="143" t="n"/>
      <c r="H335" s="27" t="n"/>
    </row>
    <row r="336" ht="17.25" customHeight="1" s="322">
      <c r="A336" s="27" t="n"/>
      <c r="B336" s="506" t="n"/>
      <c r="C336" s="141" t="n"/>
      <c r="D336" s="141" t="n"/>
      <c r="E336" s="141" t="n"/>
      <c r="F336" s="141" t="n"/>
      <c r="G336" s="143" t="n"/>
      <c r="H336" s="27" t="n"/>
    </row>
    <row r="337" ht="17.25" customHeight="1" s="322">
      <c r="A337" s="27" t="n"/>
      <c r="B337" s="506" t="n"/>
      <c r="C337" s="141" t="n"/>
      <c r="D337" s="141" t="n"/>
      <c r="E337" s="141" t="n"/>
      <c r="F337" s="141" t="n"/>
      <c r="G337" s="143" t="n"/>
      <c r="H337" s="27" t="n"/>
    </row>
    <row r="338" ht="17.25" customHeight="1" s="322">
      <c r="A338" s="27" t="n"/>
      <c r="B338" s="506" t="n"/>
      <c r="C338" s="141" t="n"/>
      <c r="D338" s="141" t="n"/>
      <c r="E338" s="141" t="n"/>
      <c r="F338" s="141" t="n"/>
      <c r="G338" s="143" t="n"/>
      <c r="H338" s="27" t="n"/>
    </row>
    <row r="339" ht="17.25" customHeight="1" s="322">
      <c r="A339" s="27" t="n"/>
      <c r="B339" s="506" t="n"/>
      <c r="C339" s="141" t="n"/>
      <c r="D339" s="141" t="n"/>
      <c r="E339" s="141" t="n"/>
      <c r="F339" s="141" t="n"/>
      <c r="G339" s="143" t="n"/>
      <c r="H339" s="27" t="n"/>
    </row>
    <row r="340" ht="17.25" customHeight="1" s="322">
      <c r="A340" s="27" t="n"/>
      <c r="B340" s="506" t="n"/>
      <c r="C340" s="141" t="n"/>
      <c r="D340" s="141" t="n"/>
      <c r="E340" s="141" t="n"/>
      <c r="F340" s="141" t="n"/>
      <c r="G340" s="143" t="n"/>
      <c r="H340" s="27" t="n"/>
    </row>
    <row r="341" ht="17.25" customHeight="1" s="322">
      <c r="A341" s="27" t="n"/>
      <c r="B341" s="506" t="n"/>
      <c r="C341" s="141" t="n"/>
      <c r="D341" s="141" t="n"/>
      <c r="E341" s="141" t="n"/>
      <c r="F341" s="141" t="n"/>
      <c r="G341" s="143" t="n"/>
      <c r="H341" s="27" t="n"/>
    </row>
    <row r="342" ht="17.25" customHeight="1" s="322">
      <c r="A342" s="27" t="n"/>
      <c r="B342" s="506" t="n"/>
      <c r="C342" s="141" t="n"/>
      <c r="D342" s="141" t="n"/>
      <c r="E342" s="141" t="n"/>
      <c r="F342" s="141" t="n"/>
      <c r="G342" s="143" t="n"/>
      <c r="H342" s="27" t="n"/>
    </row>
    <row r="343" ht="17.25" customHeight="1" s="322">
      <c r="A343" s="27" t="n"/>
      <c r="B343" s="506" t="n"/>
      <c r="C343" s="141" t="n"/>
      <c r="D343" s="141" t="n"/>
      <c r="E343" s="141" t="n"/>
      <c r="F343" s="141" t="n"/>
      <c r="G343" s="143" t="n"/>
      <c r="H343" s="27" t="n"/>
    </row>
    <row r="344" ht="17.25" customHeight="1" s="322">
      <c r="A344" s="27" t="n"/>
      <c r="B344" s="506" t="n"/>
      <c r="C344" s="141" t="n"/>
      <c r="D344" s="141" t="n"/>
      <c r="E344" s="141" t="n"/>
      <c r="F344" s="141" t="n"/>
      <c r="G344" s="143" t="n"/>
      <c r="H344" s="27" t="n"/>
    </row>
    <row r="345" ht="17.25" customHeight="1" s="322">
      <c r="A345" s="27" t="n"/>
      <c r="B345" s="506" t="n"/>
      <c r="C345" s="141" t="n"/>
      <c r="D345" s="141" t="n"/>
      <c r="E345" s="141" t="n"/>
      <c r="F345" s="141" t="n"/>
      <c r="G345" s="143" t="n"/>
      <c r="H345" s="27" t="n"/>
    </row>
    <row r="346" ht="17.25" customHeight="1" s="322">
      <c r="A346" s="27" t="n"/>
      <c r="B346" s="506" t="n"/>
      <c r="C346" s="141" t="n"/>
      <c r="D346" s="141" t="n"/>
      <c r="E346" s="141" t="n"/>
      <c r="F346" s="141" t="n"/>
      <c r="G346" s="143" t="n"/>
      <c r="H346" s="27" t="n"/>
    </row>
    <row r="347" ht="17.25" customHeight="1" s="322">
      <c r="A347" s="27" t="n"/>
      <c r="B347" s="506" t="n"/>
      <c r="C347" s="141" t="n"/>
      <c r="D347" s="141" t="n"/>
      <c r="E347" s="141" t="n"/>
      <c r="F347" s="141" t="n"/>
      <c r="G347" s="143" t="n"/>
      <c r="H347" s="27" t="n"/>
    </row>
    <row r="348" ht="17.25" customHeight="1" s="322">
      <c r="A348" s="27" t="n"/>
      <c r="B348" s="506" t="n"/>
      <c r="C348" s="141" t="n"/>
      <c r="D348" s="141" t="n"/>
      <c r="E348" s="141" t="n"/>
      <c r="F348" s="141" t="n"/>
      <c r="G348" s="143" t="n"/>
      <c r="H348" s="27" t="n"/>
    </row>
    <row r="349" ht="17.25" customHeight="1" s="322">
      <c r="A349" s="27" t="n"/>
      <c r="B349" s="506" t="n"/>
      <c r="C349" s="141" t="n"/>
      <c r="D349" s="141" t="n"/>
      <c r="E349" s="141" t="n"/>
      <c r="F349" s="141" t="n"/>
      <c r="G349" s="143" t="n"/>
      <c r="H349" s="27" t="n"/>
    </row>
    <row r="350" ht="17.25" customHeight="1" s="322">
      <c r="A350" s="27" t="n"/>
      <c r="B350" s="506" t="n"/>
      <c r="C350" s="141" t="n"/>
      <c r="D350" s="141" t="n"/>
      <c r="E350" s="141" t="n"/>
      <c r="F350" s="141" t="n"/>
      <c r="G350" s="143" t="n"/>
      <c r="H350" s="27" t="n"/>
    </row>
    <row r="351" ht="17.25" customHeight="1" s="322">
      <c r="A351" s="27" t="n"/>
      <c r="B351" s="506" t="n"/>
      <c r="C351" s="141" t="n"/>
      <c r="D351" s="141" t="n"/>
      <c r="E351" s="141" t="n"/>
      <c r="F351" s="141" t="n"/>
      <c r="G351" s="143" t="n"/>
      <c r="H351" s="27" t="n"/>
    </row>
    <row r="352" ht="17.25" customHeight="1" s="322">
      <c r="A352" s="27" t="n"/>
      <c r="B352" s="506" t="n"/>
      <c r="C352" s="141" t="n"/>
      <c r="D352" s="141" t="n"/>
      <c r="E352" s="141" t="n"/>
      <c r="F352" s="141" t="n"/>
      <c r="G352" s="143" t="n"/>
      <c r="H352" s="27" t="n"/>
    </row>
    <row r="353" ht="17.25" customHeight="1" s="322">
      <c r="A353" s="27" t="n"/>
      <c r="B353" s="506" t="n"/>
      <c r="C353" s="141" t="n"/>
      <c r="D353" s="141" t="n"/>
      <c r="E353" s="141" t="n"/>
      <c r="F353" s="141" t="n"/>
      <c r="G353" s="143" t="n"/>
      <c r="H353" s="27" t="n"/>
    </row>
    <row r="354" ht="17.25" customHeight="1" s="322">
      <c r="A354" s="27" t="n"/>
      <c r="B354" s="506" t="n"/>
      <c r="C354" s="141" t="n"/>
      <c r="D354" s="141" t="n"/>
      <c r="E354" s="141" t="n"/>
      <c r="F354" s="141" t="n"/>
      <c r="G354" s="143" t="n"/>
      <c r="H354" s="27" t="n"/>
    </row>
    <row r="355" ht="17.25" customHeight="1" s="322">
      <c r="A355" s="27" t="n"/>
      <c r="B355" s="506" t="n"/>
      <c r="C355" s="141" t="n"/>
      <c r="D355" s="141" t="n"/>
      <c r="E355" s="141" t="n"/>
      <c r="F355" s="141" t="n"/>
      <c r="G355" s="143" t="n"/>
      <c r="H355" s="27" t="n"/>
    </row>
    <row r="356" ht="17.25" customHeight="1" s="322">
      <c r="A356" s="27" t="n"/>
      <c r="B356" s="506" t="n"/>
      <c r="C356" s="141" t="n"/>
      <c r="D356" s="141" t="n"/>
      <c r="E356" s="141" t="n"/>
      <c r="F356" s="141" t="n"/>
      <c r="G356" s="143" t="n"/>
      <c r="H356" s="27" t="n"/>
    </row>
    <row r="357" ht="17.25" customHeight="1" s="322">
      <c r="A357" s="27" t="n"/>
      <c r="B357" s="506" t="n"/>
      <c r="C357" s="141" t="n"/>
      <c r="D357" s="141" t="n"/>
      <c r="E357" s="141" t="n"/>
      <c r="F357" s="141" t="n"/>
      <c r="G357" s="143" t="n"/>
      <c r="H357" s="27" t="n"/>
    </row>
    <row r="358" ht="17.25" customHeight="1" s="322">
      <c r="A358" s="27" t="n"/>
      <c r="B358" s="506" t="n"/>
      <c r="C358" s="141" t="n"/>
      <c r="D358" s="141" t="n"/>
      <c r="E358" s="141" t="n"/>
      <c r="F358" s="141" t="n"/>
      <c r="G358" s="143" t="n"/>
      <c r="H358" s="27" t="n"/>
    </row>
    <row r="359" ht="17.25" customHeight="1" s="322">
      <c r="A359" s="27" t="n"/>
      <c r="B359" s="506" t="n"/>
      <c r="C359" s="141" t="n"/>
      <c r="D359" s="141" t="n"/>
      <c r="E359" s="141" t="n"/>
      <c r="F359" s="141" t="n"/>
      <c r="G359" s="143" t="n"/>
      <c r="H359" s="27" t="n"/>
    </row>
    <row r="360" ht="17.25" customHeight="1" s="322">
      <c r="A360" s="27" t="n"/>
      <c r="B360" s="506" t="n"/>
      <c r="C360" s="141" t="n"/>
      <c r="D360" s="141" t="n"/>
      <c r="E360" s="141" t="n"/>
      <c r="F360" s="141" t="n"/>
      <c r="G360" s="143" t="n"/>
      <c r="H360" s="27" t="n"/>
    </row>
    <row r="361" ht="17.25" customHeight="1" s="322">
      <c r="A361" s="27" t="n"/>
      <c r="B361" s="506" t="n"/>
      <c r="C361" s="141" t="n"/>
      <c r="D361" s="141" t="n"/>
      <c r="E361" s="141" t="n"/>
      <c r="F361" s="141" t="n"/>
      <c r="G361" s="143" t="n"/>
      <c r="H361" s="27" t="n"/>
    </row>
    <row r="362" ht="17.25" customHeight="1" s="322">
      <c r="A362" s="27" t="n"/>
      <c r="B362" s="506" t="n"/>
      <c r="C362" s="141" t="n"/>
      <c r="D362" s="141" t="n"/>
      <c r="E362" s="141" t="n"/>
      <c r="F362" s="141" t="n"/>
      <c r="G362" s="143" t="n"/>
      <c r="H362" s="27" t="n"/>
    </row>
    <row r="363" ht="17.25" customHeight="1" s="322">
      <c r="A363" s="27" t="n"/>
      <c r="B363" s="506" t="n"/>
      <c r="C363" s="141" t="n"/>
      <c r="D363" s="141" t="n"/>
      <c r="E363" s="141" t="n"/>
      <c r="F363" s="141" t="n"/>
      <c r="G363" s="143" t="n"/>
      <c r="H363" s="27" t="n"/>
    </row>
    <row r="364" ht="17.25" customHeight="1" s="322">
      <c r="A364" s="27" t="n"/>
      <c r="B364" s="506" t="n"/>
      <c r="C364" s="141" t="n"/>
      <c r="D364" s="141" t="n"/>
      <c r="E364" s="141" t="n"/>
      <c r="F364" s="141" t="n"/>
      <c r="G364" s="143" t="n"/>
      <c r="H364" s="27" t="n"/>
    </row>
    <row r="365" ht="17.25" customHeight="1" s="322">
      <c r="A365" s="27" t="n"/>
      <c r="B365" s="506" t="n"/>
      <c r="C365" s="141" t="n"/>
      <c r="D365" s="141" t="n"/>
      <c r="E365" s="141" t="n"/>
      <c r="F365" s="141" t="n"/>
      <c r="G365" s="143" t="n"/>
      <c r="H365" s="27" t="n"/>
    </row>
    <row r="366" ht="17.25" customHeight="1" s="322">
      <c r="A366" s="27" t="n"/>
      <c r="B366" s="506" t="n"/>
      <c r="C366" s="141" t="n"/>
      <c r="D366" s="141" t="n"/>
      <c r="E366" s="141" t="n"/>
      <c r="F366" s="141" t="n"/>
      <c r="G366" s="143" t="n"/>
      <c r="H366" s="27" t="n"/>
    </row>
    <row r="367" ht="17.25" customHeight="1" s="322">
      <c r="A367" s="27" t="n"/>
      <c r="B367" s="506" t="n"/>
      <c r="C367" s="141" t="n"/>
      <c r="D367" s="141" t="n"/>
      <c r="E367" s="141" t="n"/>
      <c r="F367" s="141" t="n"/>
      <c r="G367" s="143" t="n"/>
      <c r="H367" s="27" t="n"/>
    </row>
    <row r="368" ht="17.25" customHeight="1" s="322">
      <c r="A368" s="27" t="n"/>
      <c r="B368" s="506" t="n"/>
      <c r="C368" s="141" t="n"/>
      <c r="D368" s="141" t="n"/>
      <c r="E368" s="141" t="n"/>
      <c r="F368" s="141" t="n"/>
      <c r="G368" s="143" t="n"/>
      <c r="H368" s="27" t="n"/>
    </row>
    <row r="369" ht="17.25" customHeight="1" s="322">
      <c r="A369" s="27" t="n"/>
      <c r="B369" s="506" t="n"/>
      <c r="C369" s="141" t="n"/>
      <c r="D369" s="141" t="n"/>
      <c r="E369" s="141" t="n"/>
      <c r="F369" s="141" t="n"/>
      <c r="G369" s="143" t="n"/>
      <c r="H369" s="27" t="n"/>
    </row>
    <row r="370" ht="17.25" customHeight="1" s="322">
      <c r="A370" s="27" t="n"/>
      <c r="B370" s="506" t="n"/>
      <c r="C370" s="141" t="n"/>
      <c r="D370" s="141" t="n"/>
      <c r="E370" s="141" t="n"/>
      <c r="F370" s="141" t="n"/>
      <c r="G370" s="143" t="n"/>
      <c r="H370" s="27" t="n"/>
    </row>
    <row r="371" ht="17.25" customHeight="1" s="322">
      <c r="A371" s="27" t="n"/>
      <c r="B371" s="506" t="n"/>
      <c r="C371" s="141" t="n"/>
      <c r="D371" s="141" t="n"/>
      <c r="E371" s="141" t="n"/>
      <c r="F371" s="141" t="n"/>
      <c r="G371" s="143" t="n"/>
      <c r="H371" s="27" t="n"/>
    </row>
    <row r="372" ht="17.25" customHeight="1" s="322">
      <c r="A372" s="27" t="n"/>
      <c r="B372" s="506" t="n"/>
      <c r="C372" s="141" t="n"/>
      <c r="D372" s="141" t="n"/>
      <c r="E372" s="141" t="n"/>
      <c r="F372" s="141" t="n"/>
      <c r="G372" s="143" t="n"/>
      <c r="H372" s="27" t="n"/>
    </row>
    <row r="373" ht="17.25" customHeight="1" s="322">
      <c r="A373" s="27" t="n"/>
      <c r="B373" s="506" t="n"/>
      <c r="C373" s="141" t="n"/>
      <c r="D373" s="141" t="n"/>
      <c r="E373" s="141" t="n"/>
      <c r="F373" s="141" t="n"/>
      <c r="G373" s="143" t="n"/>
      <c r="H373" s="27" t="n"/>
    </row>
    <row r="374" ht="17.25" customHeight="1" s="322">
      <c r="A374" s="27" t="n"/>
      <c r="B374" s="506" t="n"/>
      <c r="C374" s="141" t="n"/>
      <c r="D374" s="141" t="n"/>
      <c r="E374" s="141" t="n"/>
      <c r="F374" s="141" t="n"/>
      <c r="G374" s="143" t="n"/>
      <c r="H374" s="27" t="n"/>
    </row>
    <row r="375" ht="17.25" customHeight="1" s="322">
      <c r="A375" s="27" t="n"/>
      <c r="B375" s="506" t="n"/>
      <c r="C375" s="141" t="n"/>
      <c r="D375" s="141" t="n"/>
      <c r="E375" s="141" t="n"/>
      <c r="F375" s="141" t="n"/>
      <c r="G375" s="143" t="n"/>
      <c r="H375" s="27" t="n"/>
    </row>
    <row r="376" ht="17.25" customHeight="1" s="322">
      <c r="A376" s="27" t="n"/>
      <c r="B376" s="506" t="n"/>
      <c r="C376" s="141" t="n"/>
      <c r="D376" s="141" t="n"/>
      <c r="E376" s="141" t="n"/>
      <c r="F376" s="141" t="n"/>
      <c r="G376" s="143" t="n"/>
      <c r="H376" s="27" t="n"/>
    </row>
    <row r="377" ht="17.25" customHeight="1" s="322">
      <c r="A377" s="27" t="n"/>
      <c r="B377" s="506" t="n"/>
      <c r="C377" s="141" t="n"/>
      <c r="D377" s="141" t="n"/>
      <c r="E377" s="141" t="n"/>
      <c r="F377" s="141" t="n"/>
      <c r="G377" s="143" t="n"/>
      <c r="H377" s="27" t="n"/>
    </row>
    <row r="378" ht="17.25" customHeight="1" s="322">
      <c r="A378" s="27" t="n"/>
      <c r="B378" s="506" t="n"/>
      <c r="C378" s="141" t="n"/>
      <c r="D378" s="141" t="n"/>
      <c r="E378" s="141" t="n"/>
      <c r="F378" s="141" t="n"/>
      <c r="G378" s="143" t="n"/>
      <c r="H378" s="27" t="n"/>
    </row>
    <row r="379" ht="17.25" customHeight="1" s="322">
      <c r="A379" s="27" t="n"/>
      <c r="B379" s="506" t="n"/>
      <c r="C379" s="141" t="n"/>
      <c r="D379" s="141" t="n"/>
      <c r="E379" s="141" t="n"/>
      <c r="F379" s="141" t="n"/>
      <c r="G379" s="143" t="n"/>
      <c r="H379" s="27" t="n"/>
    </row>
    <row r="380" ht="17.25" customHeight="1" s="322">
      <c r="A380" s="27" t="n"/>
      <c r="B380" s="506" t="n"/>
      <c r="C380" s="141" t="n"/>
      <c r="D380" s="141" t="n"/>
      <c r="E380" s="141" t="n"/>
      <c r="F380" s="141" t="n"/>
      <c r="G380" s="143" t="n"/>
      <c r="H380" s="27" t="n"/>
    </row>
    <row r="381" ht="17.25" customHeight="1" s="322">
      <c r="A381" s="27" t="n"/>
      <c r="B381" s="506" t="n"/>
      <c r="C381" s="141" t="n"/>
      <c r="D381" s="141" t="n"/>
      <c r="E381" s="141" t="n"/>
      <c r="F381" s="141" t="n"/>
      <c r="G381" s="143" t="n"/>
      <c r="H381" s="27" t="n"/>
    </row>
    <row r="382" ht="17.25" customHeight="1" s="322">
      <c r="A382" s="27" t="n"/>
      <c r="B382" s="506" t="n"/>
      <c r="C382" s="141" t="n"/>
      <c r="D382" s="141" t="n"/>
      <c r="E382" s="141" t="n"/>
      <c r="F382" s="141" t="n"/>
      <c r="G382" s="143" t="n"/>
      <c r="H382" s="27" t="n"/>
    </row>
    <row r="383" ht="17.25" customHeight="1" s="322">
      <c r="A383" s="27" t="n"/>
      <c r="B383" s="506" t="n"/>
      <c r="C383" s="141" t="n"/>
      <c r="D383" s="141" t="n"/>
      <c r="E383" s="141" t="n"/>
      <c r="F383" s="141" t="n"/>
      <c r="G383" s="143" t="n"/>
      <c r="H383" s="27" t="n"/>
    </row>
    <row r="384" ht="17.25" customHeight="1" s="322">
      <c r="A384" s="27" t="n"/>
      <c r="B384" s="506" t="n"/>
      <c r="C384" s="141" t="n"/>
      <c r="D384" s="141" t="n"/>
      <c r="E384" s="141" t="n"/>
      <c r="F384" s="141" t="n"/>
      <c r="G384" s="143" t="n"/>
      <c r="H384" s="27" t="n"/>
    </row>
    <row r="385" ht="17.25" customHeight="1" s="322">
      <c r="A385" s="27" t="n"/>
      <c r="B385" s="506" t="n"/>
      <c r="C385" s="141" t="n"/>
      <c r="D385" s="141" t="n"/>
      <c r="E385" s="141" t="n"/>
      <c r="F385" s="141" t="n"/>
      <c r="G385" s="143" t="n"/>
      <c r="H385" s="27" t="n"/>
    </row>
    <row r="386" ht="17.25" customHeight="1" s="322">
      <c r="A386" s="27" t="n"/>
      <c r="B386" s="506" t="n"/>
      <c r="C386" s="141" t="n"/>
      <c r="D386" s="141" t="n"/>
      <c r="E386" s="141" t="n"/>
      <c r="F386" s="141" t="n"/>
      <c r="G386" s="143" t="n"/>
      <c r="H386" s="27" t="n"/>
    </row>
    <row r="387" ht="17.25" customHeight="1" s="322">
      <c r="A387" s="27" t="n"/>
      <c r="B387" s="506" t="n"/>
      <c r="C387" s="141" t="n"/>
      <c r="D387" s="141" t="n"/>
      <c r="E387" s="141" t="n"/>
      <c r="F387" s="141" t="n"/>
      <c r="G387" s="143" t="n"/>
      <c r="H387" s="27" t="n"/>
    </row>
    <row r="388" ht="17.25" customHeight="1" s="322">
      <c r="A388" s="27" t="n"/>
      <c r="B388" s="506" t="n"/>
      <c r="C388" s="141" t="n"/>
      <c r="D388" s="141" t="n"/>
      <c r="E388" s="141" t="n"/>
      <c r="F388" s="141" t="n"/>
      <c r="G388" s="143" t="n"/>
      <c r="H388" s="27" t="n"/>
    </row>
    <row r="389" ht="17.25" customHeight="1" s="322">
      <c r="A389" s="27" t="n"/>
      <c r="B389" s="506" t="n"/>
      <c r="C389" s="141" t="n"/>
      <c r="D389" s="141" t="n"/>
      <c r="E389" s="141" t="n"/>
      <c r="F389" s="141" t="n"/>
      <c r="G389" s="143" t="n"/>
      <c r="H389" s="27" t="n"/>
    </row>
    <row r="390" ht="17.25" customHeight="1" s="322">
      <c r="A390" s="27" t="n"/>
      <c r="B390" s="506" t="n"/>
      <c r="C390" s="141" t="n"/>
      <c r="D390" s="141" t="n"/>
      <c r="E390" s="141" t="n"/>
      <c r="F390" s="141" t="n"/>
      <c r="G390" s="143" t="n"/>
      <c r="H390" s="27" t="n"/>
    </row>
    <row r="391" ht="17.25" customHeight="1" s="322">
      <c r="A391" s="27" t="n"/>
      <c r="B391" s="506" t="n"/>
      <c r="C391" s="141" t="n"/>
      <c r="D391" s="141" t="n"/>
      <c r="E391" s="141" t="n"/>
      <c r="F391" s="141" t="n"/>
      <c r="G391" s="143" t="n"/>
      <c r="H391" s="27" t="n"/>
    </row>
    <row r="392" ht="17.25" customHeight="1" s="322">
      <c r="A392" s="27" t="n"/>
      <c r="B392" s="506" t="n"/>
      <c r="C392" s="141" t="n"/>
      <c r="D392" s="141" t="n"/>
      <c r="E392" s="141" t="n"/>
      <c r="F392" s="141" t="n"/>
      <c r="G392" s="143" t="n"/>
      <c r="H392" s="27" t="n"/>
    </row>
    <row r="393" ht="17.25" customHeight="1" s="322">
      <c r="A393" s="27" t="n"/>
      <c r="B393" s="506" t="n"/>
      <c r="C393" s="141" t="n"/>
      <c r="D393" s="141" t="n"/>
      <c r="E393" s="141" t="n"/>
      <c r="F393" s="141" t="n"/>
      <c r="G393" s="143" t="n"/>
      <c r="H393" s="27" t="n"/>
    </row>
    <row r="394" ht="17.25" customHeight="1" s="322">
      <c r="A394" s="27" t="n"/>
      <c r="B394" s="506" t="n"/>
      <c r="C394" s="141" t="n"/>
      <c r="D394" s="141" t="n"/>
      <c r="E394" s="141" t="n"/>
      <c r="F394" s="141" t="n"/>
      <c r="G394" s="143" t="n"/>
      <c r="H394" s="27" t="n"/>
    </row>
    <row r="395" ht="17.25" customHeight="1" s="322">
      <c r="A395" s="27" t="n"/>
      <c r="B395" s="506" t="n"/>
      <c r="C395" s="141" t="n"/>
      <c r="D395" s="141" t="n"/>
      <c r="E395" s="141" t="n"/>
      <c r="F395" s="141" t="n"/>
      <c r="G395" s="143" t="n"/>
      <c r="H395" s="27" t="n"/>
    </row>
    <row r="396" ht="17.25" customHeight="1" s="322">
      <c r="A396" s="27" t="n"/>
      <c r="B396" s="506" t="n"/>
      <c r="C396" s="141" t="n"/>
      <c r="D396" s="141" t="n"/>
      <c r="E396" s="141" t="n"/>
      <c r="F396" s="141" t="n"/>
      <c r="G396" s="143" t="n"/>
      <c r="H396" s="27" t="n"/>
    </row>
    <row r="397" ht="17.25" customHeight="1" s="322">
      <c r="A397" s="27" t="n"/>
      <c r="B397" s="506" t="n"/>
      <c r="C397" s="141" t="n"/>
      <c r="D397" s="141" t="n"/>
      <c r="E397" s="141" t="n"/>
      <c r="F397" s="141" t="n"/>
      <c r="G397" s="143" t="n"/>
      <c r="H397" s="27" t="n"/>
    </row>
    <row r="398" ht="17.25" customHeight="1" s="322">
      <c r="A398" s="27" t="n"/>
      <c r="B398" s="506" t="n"/>
      <c r="C398" s="141" t="n"/>
      <c r="D398" s="141" t="n"/>
      <c r="E398" s="141" t="n"/>
      <c r="F398" s="141" t="n"/>
      <c r="G398" s="143" t="n"/>
      <c r="H398" s="27" t="n"/>
    </row>
    <row r="399" ht="17.25" customHeight="1" s="322">
      <c r="A399" s="27" t="n"/>
      <c r="B399" s="506" t="n"/>
      <c r="C399" s="141" t="n"/>
      <c r="D399" s="141" t="n"/>
      <c r="E399" s="141" t="n"/>
      <c r="F399" s="141" t="n"/>
      <c r="G399" s="143" t="n"/>
      <c r="H399" s="27" t="n"/>
    </row>
    <row r="400" ht="17.25" customHeight="1" s="322">
      <c r="A400" s="27" t="n"/>
      <c r="B400" s="506" t="n"/>
      <c r="C400" s="141" t="n"/>
      <c r="D400" s="141" t="n"/>
      <c r="E400" s="141" t="n"/>
      <c r="F400" s="141" t="n"/>
      <c r="G400" s="143" t="n"/>
      <c r="H400" s="27" t="n"/>
    </row>
    <row r="401" ht="17.25" customHeight="1" s="322">
      <c r="A401" s="27" t="n"/>
      <c r="B401" s="506" t="n"/>
      <c r="C401" s="141" t="n"/>
      <c r="D401" s="141" t="n"/>
      <c r="E401" s="141" t="n"/>
      <c r="F401" s="141" t="n"/>
      <c r="G401" s="143" t="n"/>
      <c r="H401" s="27" t="n"/>
    </row>
    <row r="402" ht="17.25" customHeight="1" s="322">
      <c r="A402" s="27" t="n"/>
      <c r="B402" s="506" t="n"/>
      <c r="C402" s="141" t="n"/>
      <c r="D402" s="141" t="n"/>
      <c r="E402" s="141" t="n"/>
      <c r="F402" s="141" t="n"/>
      <c r="G402" s="143" t="n"/>
      <c r="H402" s="27" t="n"/>
    </row>
    <row r="403" ht="17.25" customHeight="1" s="322">
      <c r="A403" s="27" t="n"/>
      <c r="B403" s="506" t="n"/>
      <c r="C403" s="141" t="n"/>
      <c r="D403" s="141" t="n"/>
      <c r="E403" s="141" t="n"/>
      <c r="F403" s="141" t="n"/>
      <c r="G403" s="143" t="n"/>
      <c r="H403" s="27" t="n"/>
    </row>
    <row r="404" ht="17.25" customHeight="1" s="322">
      <c r="A404" s="27" t="n"/>
      <c r="B404" s="506" t="n"/>
      <c r="C404" s="141" t="n"/>
      <c r="D404" s="141" t="n"/>
      <c r="E404" s="141" t="n"/>
      <c r="F404" s="141" t="n"/>
      <c r="G404" s="143" t="n"/>
      <c r="H404" s="27" t="n"/>
    </row>
    <row r="405" ht="17.25" customHeight="1" s="322">
      <c r="A405" s="27" t="n"/>
      <c r="B405" s="506" t="n"/>
      <c r="C405" s="141" t="n"/>
      <c r="D405" s="141" t="n"/>
      <c r="E405" s="141" t="n"/>
      <c r="F405" s="141" t="n"/>
      <c r="G405" s="143" t="n"/>
      <c r="H405" s="27" t="n"/>
    </row>
    <row r="406" ht="17.25" customHeight="1" s="322">
      <c r="A406" s="27" t="n"/>
      <c r="B406" s="506" t="n"/>
      <c r="C406" s="141" t="n"/>
      <c r="D406" s="141" t="n"/>
      <c r="E406" s="141" t="n"/>
      <c r="F406" s="141" t="n"/>
      <c r="G406" s="143" t="n"/>
      <c r="H406" s="27" t="n"/>
    </row>
    <row r="407" ht="17.25" customHeight="1" s="322">
      <c r="A407" s="27" t="n"/>
      <c r="B407" s="506" t="n"/>
      <c r="C407" s="141" t="n"/>
      <c r="D407" s="141" t="n"/>
      <c r="E407" s="141" t="n"/>
      <c r="F407" s="141" t="n"/>
      <c r="G407" s="143" t="n"/>
      <c r="H407" s="27" t="n"/>
    </row>
    <row r="408" ht="17.25" customHeight="1" s="322">
      <c r="A408" s="27" t="n"/>
      <c r="B408" s="506" t="n"/>
      <c r="C408" s="141" t="n"/>
      <c r="D408" s="141" t="n"/>
      <c r="E408" s="141" t="n"/>
      <c r="F408" s="141" t="n"/>
      <c r="G408" s="143" t="n"/>
      <c r="H408" s="27" t="n"/>
    </row>
    <row r="409" ht="17.25" customHeight="1" s="322">
      <c r="A409" s="27" t="n"/>
      <c r="B409" s="506" t="n"/>
      <c r="C409" s="141" t="n"/>
      <c r="D409" s="141" t="n"/>
      <c r="E409" s="141" t="n"/>
      <c r="F409" s="141" t="n"/>
      <c r="G409" s="143" t="n"/>
      <c r="H409" s="27" t="n"/>
    </row>
    <row r="410" ht="17.25" customHeight="1" s="322">
      <c r="A410" s="27" t="n"/>
      <c r="B410" s="506" t="n"/>
      <c r="C410" s="141" t="n"/>
      <c r="D410" s="141" t="n"/>
      <c r="E410" s="141" t="n"/>
      <c r="F410" s="141" t="n"/>
      <c r="G410" s="143" t="n"/>
      <c r="H410" s="27" t="n"/>
    </row>
    <row r="411" ht="17.25" customHeight="1" s="322">
      <c r="A411" s="27" t="n"/>
      <c r="B411" s="506" t="n"/>
      <c r="C411" s="141" t="n"/>
      <c r="D411" s="141" t="n"/>
      <c r="E411" s="141" t="n"/>
      <c r="F411" s="141" t="n"/>
      <c r="G411" s="143" t="n"/>
      <c r="H411" s="27" t="n"/>
    </row>
    <row r="412" ht="17.25" customHeight="1" s="322">
      <c r="A412" s="27" t="n"/>
      <c r="B412" s="506" t="n"/>
      <c r="C412" s="141" t="n"/>
      <c r="D412" s="141" t="n"/>
      <c r="E412" s="141" t="n"/>
      <c r="F412" s="141" t="n"/>
      <c r="G412" s="143" t="n"/>
      <c r="H412" s="27" t="n"/>
    </row>
    <row r="413" ht="17.25" customHeight="1" s="322">
      <c r="A413" s="27" t="n"/>
      <c r="B413" s="506" t="n"/>
      <c r="C413" s="141" t="n"/>
      <c r="D413" s="141" t="n"/>
      <c r="E413" s="141" t="n"/>
      <c r="F413" s="141" t="n"/>
      <c r="G413" s="143" t="n"/>
      <c r="H413" s="27" t="n"/>
    </row>
    <row r="414" ht="17.25" customHeight="1" s="322">
      <c r="A414" s="27" t="n"/>
      <c r="B414" s="506" t="n"/>
      <c r="C414" s="141" t="n"/>
      <c r="D414" s="141" t="n"/>
      <c r="E414" s="141" t="n"/>
      <c r="F414" s="141" t="n"/>
      <c r="G414" s="143" t="n"/>
      <c r="H414" s="27" t="n"/>
    </row>
    <row r="415" ht="17.25" customHeight="1" s="322">
      <c r="A415" s="27" t="n"/>
      <c r="B415" s="506" t="n"/>
      <c r="C415" s="141" t="n"/>
      <c r="D415" s="141" t="n"/>
      <c r="E415" s="141" t="n"/>
      <c r="F415" s="141" t="n"/>
      <c r="G415" s="143" t="n"/>
      <c r="H415" s="27" t="n"/>
    </row>
    <row r="416" ht="17.25" customHeight="1" s="322">
      <c r="A416" s="27" t="n"/>
      <c r="B416" s="506" t="n"/>
      <c r="C416" s="141" t="n"/>
      <c r="D416" s="141" t="n"/>
      <c r="E416" s="141" t="n"/>
      <c r="F416" s="141" t="n"/>
      <c r="G416" s="143" t="n"/>
      <c r="H416" s="27" t="n"/>
    </row>
    <row r="417" ht="17.25" customHeight="1" s="322">
      <c r="A417" s="27" t="n"/>
      <c r="B417" s="506" t="n"/>
      <c r="C417" s="141" t="n"/>
      <c r="D417" s="141" t="n"/>
      <c r="E417" s="141" t="n"/>
      <c r="F417" s="141" t="n"/>
      <c r="G417" s="143" t="n"/>
      <c r="H417" s="27" t="n"/>
    </row>
    <row r="418" ht="17.25" customHeight="1" s="322">
      <c r="A418" s="27" t="n"/>
      <c r="B418" s="506" t="n"/>
      <c r="C418" s="141" t="n"/>
      <c r="D418" s="141" t="n"/>
      <c r="E418" s="141" t="n"/>
      <c r="F418" s="141" t="n"/>
      <c r="G418" s="143" t="n"/>
      <c r="H418" s="27" t="n"/>
    </row>
    <row r="419" ht="17.25" customHeight="1" s="322">
      <c r="A419" s="27" t="n"/>
      <c r="B419" s="506" t="n"/>
      <c r="C419" s="141" t="n"/>
      <c r="D419" s="141" t="n"/>
      <c r="E419" s="141" t="n"/>
      <c r="F419" s="141" t="n"/>
      <c r="G419" s="143" t="n"/>
      <c r="H419" s="27" t="n"/>
    </row>
    <row r="420" ht="17.25" customHeight="1" s="322">
      <c r="A420" s="27" t="n"/>
      <c r="B420" s="506" t="n"/>
      <c r="C420" s="141" t="n"/>
      <c r="D420" s="141" t="n"/>
      <c r="E420" s="141" t="n"/>
      <c r="F420" s="141" t="n"/>
      <c r="G420" s="143" t="n"/>
      <c r="H420" s="27" t="n"/>
    </row>
    <row r="421" ht="17.25" customHeight="1" s="322">
      <c r="A421" s="27" t="n"/>
      <c r="B421" s="506" t="n"/>
      <c r="C421" s="141" t="n"/>
      <c r="D421" s="141" t="n"/>
      <c r="E421" s="141" t="n"/>
      <c r="F421" s="141" t="n"/>
      <c r="G421" s="143" t="n"/>
      <c r="H421" s="27" t="n"/>
    </row>
    <row r="422" ht="17.25" customHeight="1" s="322">
      <c r="A422" s="27" t="n"/>
      <c r="B422" s="506" t="n"/>
      <c r="C422" s="141" t="n"/>
      <c r="D422" s="141" t="n"/>
      <c r="E422" s="141" t="n"/>
      <c r="F422" s="141" t="n"/>
      <c r="G422" s="143" t="n"/>
      <c r="H422" s="27" t="n"/>
    </row>
    <row r="423" ht="17.25" customHeight="1" s="322">
      <c r="A423" s="27" t="n"/>
      <c r="B423" s="506" t="n"/>
      <c r="C423" s="141" t="n"/>
      <c r="D423" s="141" t="n"/>
      <c r="E423" s="141" t="n"/>
      <c r="F423" s="141" t="n"/>
      <c r="G423" s="143" t="n"/>
      <c r="H423" s="27" t="n"/>
    </row>
    <row r="424" ht="17.25" customHeight="1" s="322">
      <c r="A424" s="27" t="n"/>
      <c r="B424" s="506" t="n"/>
      <c r="C424" s="141" t="n"/>
      <c r="D424" s="141" t="n"/>
      <c r="E424" s="141" t="n"/>
      <c r="F424" s="141" t="n"/>
      <c r="G424" s="143" t="n"/>
      <c r="H424" s="27" t="n"/>
    </row>
    <row r="425" ht="17.25" customHeight="1" s="322">
      <c r="A425" s="27" t="n"/>
      <c r="B425" s="506" t="n"/>
      <c r="C425" s="141" t="n"/>
      <c r="D425" s="141" t="n"/>
      <c r="E425" s="141" t="n"/>
      <c r="F425" s="141" t="n"/>
      <c r="G425" s="143" t="n"/>
      <c r="H425" s="27" t="n"/>
    </row>
    <row r="426" ht="17.25" customHeight="1" s="322">
      <c r="A426" s="27" t="n"/>
      <c r="B426" s="506" t="n"/>
      <c r="C426" s="141" t="n"/>
      <c r="D426" s="141" t="n"/>
      <c r="E426" s="141" t="n"/>
      <c r="F426" s="141" t="n"/>
      <c r="G426" s="143" t="n"/>
      <c r="H426" s="27" t="n"/>
    </row>
    <row r="427" ht="17.25" customHeight="1" s="322">
      <c r="A427" s="27" t="n"/>
      <c r="B427" s="506" t="n"/>
      <c r="C427" s="141" t="n"/>
      <c r="D427" s="141" t="n"/>
      <c r="E427" s="141" t="n"/>
      <c r="F427" s="141" t="n"/>
      <c r="G427" s="143" t="n"/>
      <c r="H427" s="27" t="n"/>
    </row>
    <row r="428" ht="17.25" customHeight="1" s="322">
      <c r="A428" s="27" t="n"/>
      <c r="B428" s="506" t="n"/>
      <c r="C428" s="141" t="n"/>
      <c r="D428" s="141" t="n"/>
      <c r="E428" s="141" t="n"/>
      <c r="F428" s="141" t="n"/>
      <c r="G428" s="143" t="n"/>
      <c r="H428" s="27" t="n"/>
    </row>
    <row r="429" ht="17.25" customHeight="1" s="322">
      <c r="A429" s="27" t="n"/>
      <c r="B429" s="506" t="n"/>
      <c r="C429" s="141" t="n"/>
      <c r="D429" s="141" t="n"/>
      <c r="E429" s="141" t="n"/>
      <c r="F429" s="141" t="n"/>
      <c r="G429" s="143" t="n"/>
      <c r="H429" s="27" t="n"/>
    </row>
    <row r="430" ht="17.25" customHeight="1" s="322">
      <c r="A430" s="27" t="n"/>
      <c r="B430" s="506" t="n"/>
      <c r="C430" s="141" t="n"/>
      <c r="D430" s="141" t="n"/>
      <c r="E430" s="141" t="n"/>
      <c r="F430" s="141" t="n"/>
      <c r="G430" s="143" t="n"/>
      <c r="H430" s="27" t="n"/>
    </row>
    <row r="431" ht="17.25" customHeight="1" s="322">
      <c r="A431" s="27" t="n"/>
      <c r="B431" s="506" t="n"/>
      <c r="C431" s="141" t="n"/>
      <c r="D431" s="141" t="n"/>
      <c r="E431" s="141" t="n"/>
      <c r="F431" s="141" t="n"/>
      <c r="G431" s="143" t="n"/>
      <c r="H431" s="27" t="n"/>
    </row>
    <row r="432" ht="17.25" customHeight="1" s="322">
      <c r="A432" s="27" t="n"/>
      <c r="B432" s="506" t="n"/>
      <c r="C432" s="141" t="n"/>
      <c r="D432" s="141" t="n"/>
      <c r="E432" s="141" t="n"/>
      <c r="F432" s="141" t="n"/>
      <c r="G432" s="143" t="n"/>
      <c r="H432" s="27" t="n"/>
    </row>
    <row r="433" ht="17.25" customHeight="1" s="322">
      <c r="A433" s="27" t="n"/>
      <c r="B433" s="506" t="n"/>
      <c r="C433" s="141" t="n"/>
      <c r="D433" s="141" t="n"/>
      <c r="E433" s="141" t="n"/>
      <c r="F433" s="141" t="n"/>
      <c r="G433" s="143" t="n"/>
      <c r="H433" s="27" t="n"/>
    </row>
    <row r="434" ht="17.25" customHeight="1" s="322">
      <c r="A434" s="27" t="n"/>
      <c r="B434" s="506" t="n"/>
      <c r="C434" s="141" t="n"/>
      <c r="D434" s="141" t="n"/>
      <c r="E434" s="141" t="n"/>
      <c r="F434" s="141" t="n"/>
      <c r="G434" s="143" t="n"/>
      <c r="H434" s="27" t="n"/>
    </row>
    <row r="435" ht="17.25" customHeight="1" s="322">
      <c r="A435" s="27" t="n"/>
      <c r="B435" s="506" t="n"/>
      <c r="C435" s="141" t="n"/>
      <c r="D435" s="141" t="n"/>
      <c r="E435" s="141" t="n"/>
      <c r="F435" s="141" t="n"/>
      <c r="G435" s="143" t="n"/>
      <c r="H435" s="27" t="n"/>
    </row>
    <row r="436" ht="17.25" customHeight="1" s="322">
      <c r="A436" s="27" t="n"/>
      <c r="B436" s="506" t="n"/>
      <c r="C436" s="141" t="n"/>
      <c r="D436" s="141" t="n"/>
      <c r="E436" s="141" t="n"/>
      <c r="F436" s="141" t="n"/>
      <c r="G436" s="143" t="n"/>
      <c r="H436" s="27" t="n"/>
    </row>
    <row r="437" ht="17.25" customHeight="1" s="322">
      <c r="A437" s="27" t="n"/>
      <c r="B437" s="506" t="n"/>
      <c r="C437" s="141" t="n"/>
      <c r="D437" s="141" t="n"/>
      <c r="E437" s="141" t="n"/>
      <c r="F437" s="141" t="n"/>
      <c r="G437" s="143" t="n"/>
      <c r="H437" s="27" t="n"/>
    </row>
    <row r="438" ht="17.25" customHeight="1" s="322">
      <c r="A438" s="27" t="n"/>
      <c r="B438" s="506" t="n"/>
      <c r="C438" s="141" t="n"/>
      <c r="D438" s="141" t="n"/>
      <c r="E438" s="141" t="n"/>
      <c r="F438" s="141" t="n"/>
      <c r="G438" s="143" t="n"/>
      <c r="H438" s="27" t="n"/>
    </row>
    <row r="439" ht="17.25" customHeight="1" s="322">
      <c r="A439" s="27" t="n"/>
      <c r="B439" s="506" t="n"/>
      <c r="C439" s="141" t="n"/>
      <c r="D439" s="141" t="n"/>
      <c r="E439" s="141" t="n"/>
      <c r="F439" s="141" t="n"/>
      <c r="G439" s="143" t="n"/>
      <c r="H439" s="27" t="n"/>
    </row>
    <row r="440" ht="17.25" customHeight="1" s="322">
      <c r="A440" s="27" t="n"/>
      <c r="B440" s="506" t="n"/>
      <c r="C440" s="141" t="n"/>
      <c r="D440" s="141" t="n"/>
      <c r="E440" s="141" t="n"/>
      <c r="F440" s="141" t="n"/>
      <c r="G440" s="143" t="n"/>
      <c r="H440" s="27" t="n"/>
    </row>
    <row r="441" ht="17.25" customHeight="1" s="322">
      <c r="A441" s="27" t="n"/>
      <c r="B441" s="506" t="n"/>
      <c r="C441" s="141" t="n"/>
      <c r="D441" s="141" t="n"/>
      <c r="E441" s="141" t="n"/>
      <c r="F441" s="141" t="n"/>
      <c r="G441" s="143" t="n"/>
      <c r="H441" s="27" t="n"/>
    </row>
    <row r="442" ht="17.25" customHeight="1" s="322">
      <c r="A442" s="27" t="n"/>
      <c r="B442" s="506" t="n"/>
      <c r="C442" s="141" t="n"/>
      <c r="D442" s="141" t="n"/>
      <c r="E442" s="141" t="n"/>
      <c r="F442" s="141" t="n"/>
      <c r="G442" s="143" t="n"/>
      <c r="H442" s="27" t="n"/>
    </row>
    <row r="443" ht="17.25" customHeight="1" s="322">
      <c r="A443" s="27" t="n"/>
      <c r="B443" s="506" t="n"/>
      <c r="C443" s="141" t="n"/>
      <c r="D443" s="141" t="n"/>
      <c r="E443" s="141" t="n"/>
      <c r="F443" s="141" t="n"/>
      <c r="G443" s="143" t="n"/>
      <c r="H443" s="27" t="n"/>
    </row>
    <row r="444" ht="17.25" customHeight="1" s="322">
      <c r="A444" s="27" t="n"/>
      <c r="B444" s="506" t="n"/>
      <c r="C444" s="141" t="n"/>
      <c r="D444" s="141" t="n"/>
      <c r="E444" s="141" t="n"/>
      <c r="F444" s="141" t="n"/>
      <c r="G444" s="143" t="n"/>
      <c r="H444" s="27" t="n"/>
    </row>
    <row r="445" ht="17.25" customHeight="1" s="322">
      <c r="A445" s="27" t="n"/>
      <c r="B445" s="506" t="n"/>
      <c r="C445" s="141" t="n"/>
      <c r="D445" s="141" t="n"/>
      <c r="E445" s="141" t="n"/>
      <c r="F445" s="141" t="n"/>
      <c r="G445" s="143" t="n"/>
      <c r="H445" s="27" t="n"/>
    </row>
    <row r="446" ht="17.25" customHeight="1" s="322">
      <c r="A446" s="27" t="n"/>
      <c r="B446" s="506" t="n"/>
      <c r="C446" s="141" t="n"/>
      <c r="D446" s="141" t="n"/>
      <c r="E446" s="141" t="n"/>
      <c r="F446" s="141" t="n"/>
      <c r="G446" s="143" t="n"/>
      <c r="H446" s="27" t="n"/>
    </row>
    <row r="447" ht="17.25" customHeight="1" s="322">
      <c r="A447" s="27" t="n"/>
      <c r="B447" s="506" t="n"/>
      <c r="C447" s="141" t="n"/>
      <c r="D447" s="141" t="n"/>
      <c r="E447" s="141" t="n"/>
      <c r="F447" s="141" t="n"/>
      <c r="G447" s="143" t="n"/>
      <c r="H447" s="27" t="n"/>
    </row>
    <row r="448" ht="17.25" customHeight="1" s="322">
      <c r="A448" s="27" t="n"/>
      <c r="B448" s="506" t="n"/>
      <c r="C448" s="141" t="n"/>
      <c r="D448" s="141" t="n"/>
      <c r="E448" s="141" t="n"/>
      <c r="F448" s="141" t="n"/>
      <c r="G448" s="143" t="n"/>
      <c r="H448" s="27" t="n"/>
    </row>
    <row r="449" ht="17.25" customHeight="1" s="322">
      <c r="A449" s="27" t="n"/>
      <c r="B449" s="506" t="n"/>
      <c r="C449" s="141" t="n"/>
      <c r="D449" s="141" t="n"/>
      <c r="E449" s="141" t="n"/>
      <c r="F449" s="141" t="n"/>
      <c r="G449" s="143" t="n"/>
      <c r="H449" s="27" t="n"/>
    </row>
    <row r="450" ht="17.25" customHeight="1" s="322">
      <c r="A450" s="27" t="n"/>
      <c r="B450" s="506" t="n"/>
      <c r="C450" s="141" t="n"/>
      <c r="D450" s="141" t="n"/>
      <c r="E450" s="141" t="n"/>
      <c r="F450" s="141" t="n"/>
      <c r="G450" s="143" t="n"/>
      <c r="H450" s="27" t="n"/>
    </row>
    <row r="451" ht="17.25" customHeight="1" s="322">
      <c r="A451" s="27" t="n"/>
      <c r="B451" s="506" t="n"/>
      <c r="C451" s="141" t="n"/>
      <c r="D451" s="141" t="n"/>
      <c r="E451" s="141" t="n"/>
      <c r="F451" s="141" t="n"/>
      <c r="G451" s="143" t="n"/>
      <c r="H451" s="27" t="n"/>
    </row>
    <row r="452" ht="17.25" customHeight="1" s="322">
      <c r="A452" s="27" t="n"/>
      <c r="B452" s="506" t="n"/>
      <c r="C452" s="141" t="n"/>
      <c r="D452" s="141" t="n"/>
      <c r="E452" s="141" t="n"/>
      <c r="F452" s="141" t="n"/>
      <c r="G452" s="143" t="n"/>
      <c r="H452" s="27" t="n"/>
    </row>
    <row r="453" ht="17.25" customHeight="1" s="322">
      <c r="A453" s="27" t="n"/>
      <c r="B453" s="506" t="n"/>
      <c r="C453" s="141" t="n"/>
      <c r="D453" s="141" t="n"/>
      <c r="E453" s="141" t="n"/>
      <c r="F453" s="141" t="n"/>
      <c r="G453" s="143" t="n"/>
      <c r="H453" s="27" t="n"/>
    </row>
    <row r="454" ht="17.25" customHeight="1" s="322">
      <c r="A454" s="27" t="n"/>
      <c r="B454" s="506" t="n"/>
      <c r="C454" s="141" t="n"/>
      <c r="D454" s="141" t="n"/>
      <c r="E454" s="141" t="n"/>
      <c r="F454" s="141" t="n"/>
      <c r="G454" s="143" t="n"/>
      <c r="H454" s="27" t="n"/>
    </row>
    <row r="455" ht="17.25" customHeight="1" s="322">
      <c r="A455" s="27" t="n"/>
      <c r="B455" s="506" t="n"/>
      <c r="C455" s="141" t="n"/>
      <c r="D455" s="141" t="n"/>
      <c r="E455" s="141" t="n"/>
      <c r="F455" s="141" t="n"/>
      <c r="G455" s="143" t="n"/>
      <c r="H455" s="27" t="n"/>
    </row>
    <row r="456" ht="17.25" customHeight="1" s="322">
      <c r="A456" s="27" t="n"/>
      <c r="B456" s="506" t="n"/>
      <c r="C456" s="141" t="n"/>
      <c r="D456" s="141" t="n"/>
      <c r="E456" s="141" t="n"/>
      <c r="F456" s="141" t="n"/>
      <c r="G456" s="143" t="n"/>
      <c r="H456" s="27" t="n"/>
    </row>
    <row r="457" ht="17.25" customHeight="1" s="322">
      <c r="A457" s="27" t="n"/>
      <c r="B457" s="506" t="n"/>
      <c r="C457" s="141" t="n"/>
      <c r="D457" s="141" t="n"/>
      <c r="E457" s="141" t="n"/>
      <c r="F457" s="141" t="n"/>
      <c r="G457" s="143" t="n"/>
      <c r="H457" s="27" t="n"/>
    </row>
    <row r="458" ht="17.25" customHeight="1" s="322">
      <c r="A458" s="27" t="n"/>
      <c r="B458" s="506" t="n"/>
      <c r="C458" s="141" t="n"/>
      <c r="D458" s="141" t="n"/>
      <c r="E458" s="141" t="n"/>
      <c r="F458" s="141" t="n"/>
      <c r="G458" s="143" t="n"/>
      <c r="H458" s="27" t="n"/>
    </row>
    <row r="459" ht="17.25" customHeight="1" s="322">
      <c r="A459" s="27" t="n"/>
      <c r="B459" s="506" t="n"/>
      <c r="C459" s="141" t="n"/>
      <c r="D459" s="141" t="n"/>
      <c r="E459" s="141" t="n"/>
      <c r="F459" s="141" t="n"/>
      <c r="G459" s="143" t="n"/>
      <c r="H459" s="27" t="n"/>
    </row>
    <row r="460" ht="17.25" customHeight="1" s="322">
      <c r="A460" s="27" t="n"/>
      <c r="B460" s="506" t="n"/>
      <c r="C460" s="141" t="n"/>
      <c r="D460" s="141" t="n"/>
      <c r="E460" s="141" t="n"/>
      <c r="F460" s="141" t="n"/>
      <c r="G460" s="143" t="n"/>
      <c r="H460" s="27" t="n"/>
    </row>
    <row r="461" ht="17.25" customHeight="1" s="322">
      <c r="A461" s="27" t="n"/>
      <c r="B461" s="506" t="n"/>
      <c r="C461" s="141" t="n"/>
      <c r="D461" s="141" t="n"/>
      <c r="E461" s="141" t="n"/>
      <c r="F461" s="141" t="n"/>
      <c r="G461" s="143" t="n"/>
      <c r="H461" s="27" t="n"/>
    </row>
    <row r="462" ht="17.25" customHeight="1" s="322">
      <c r="A462" s="27" t="n"/>
      <c r="B462" s="506" t="n"/>
      <c r="C462" s="141" t="n"/>
      <c r="D462" s="141" t="n"/>
      <c r="E462" s="141" t="n"/>
      <c r="F462" s="141" t="n"/>
      <c r="G462" s="143" t="n"/>
      <c r="H462" s="27" t="n"/>
    </row>
    <row r="463" ht="17.25" customHeight="1" s="322">
      <c r="A463" s="27" t="n"/>
      <c r="B463" s="506" t="n"/>
      <c r="C463" s="141" t="n"/>
      <c r="D463" s="141" t="n"/>
      <c r="E463" s="141" t="n"/>
      <c r="F463" s="141" t="n"/>
      <c r="G463" s="143" t="n"/>
      <c r="H463" s="27" t="n"/>
    </row>
    <row r="464" ht="17.25" customHeight="1" s="322">
      <c r="A464" s="27" t="n"/>
      <c r="B464" s="506" t="n"/>
      <c r="C464" s="141" t="n"/>
      <c r="D464" s="141" t="n"/>
      <c r="E464" s="141" t="n"/>
      <c r="F464" s="141" t="n"/>
      <c r="G464" s="143" t="n"/>
      <c r="H464" s="27" t="n"/>
    </row>
    <row r="465" ht="17.25" customHeight="1" s="322">
      <c r="A465" s="27" t="n"/>
      <c r="B465" s="506" t="n"/>
      <c r="C465" s="141" t="n"/>
      <c r="D465" s="141" t="n"/>
      <c r="E465" s="141" t="n"/>
      <c r="F465" s="141" t="n"/>
      <c r="G465" s="143" t="n"/>
      <c r="H465" s="27" t="n"/>
    </row>
    <row r="466" ht="17.25" customHeight="1" s="322">
      <c r="A466" s="27" t="n"/>
      <c r="B466" s="506" t="n"/>
      <c r="C466" s="141" t="n"/>
      <c r="D466" s="141" t="n"/>
      <c r="E466" s="141" t="n"/>
      <c r="F466" s="141" t="n"/>
      <c r="G466" s="143" t="n"/>
      <c r="H466" s="27" t="n"/>
    </row>
    <row r="467" ht="17.25" customHeight="1" s="322">
      <c r="A467" s="27" t="n"/>
      <c r="B467" s="506" t="n"/>
      <c r="C467" s="141" t="n"/>
      <c r="D467" s="141" t="n"/>
      <c r="E467" s="141" t="n"/>
      <c r="F467" s="141" t="n"/>
      <c r="G467" s="143" t="n"/>
      <c r="H467" s="27" t="n"/>
    </row>
    <row r="468" ht="17.25" customHeight="1" s="322">
      <c r="A468" s="27" t="n"/>
      <c r="B468" s="506" t="n"/>
      <c r="C468" s="141" t="n"/>
      <c r="D468" s="141" t="n"/>
      <c r="E468" s="141" t="n"/>
      <c r="F468" s="141" t="n"/>
      <c r="G468" s="143" t="n"/>
      <c r="H468" s="27" t="n"/>
    </row>
    <row r="469" ht="17.25" customHeight="1" s="322">
      <c r="A469" s="27" t="n"/>
      <c r="B469" s="506" t="n"/>
      <c r="C469" s="141" t="n"/>
      <c r="D469" s="141" t="n"/>
      <c r="E469" s="141" t="n"/>
      <c r="F469" s="141" t="n"/>
      <c r="G469" s="143" t="n"/>
      <c r="H469" s="27" t="n"/>
    </row>
    <row r="470" ht="17.25" customHeight="1" s="322">
      <c r="A470" s="27" t="n"/>
      <c r="B470" s="506" t="n"/>
      <c r="C470" s="141" t="n"/>
      <c r="D470" s="141" t="n"/>
      <c r="E470" s="141" t="n"/>
      <c r="F470" s="141" t="n"/>
      <c r="G470" s="143" t="n"/>
      <c r="H470" s="27" t="n"/>
    </row>
    <row r="471" ht="17.25" customHeight="1" s="322">
      <c r="A471" s="27" t="n"/>
      <c r="B471" s="506" t="n"/>
      <c r="C471" s="141" t="n"/>
      <c r="D471" s="141" t="n"/>
      <c r="E471" s="141" t="n"/>
      <c r="F471" s="141" t="n"/>
      <c r="G471" s="143" t="n"/>
      <c r="H471" s="27" t="n"/>
    </row>
    <row r="472" ht="17.25" customHeight="1" s="322">
      <c r="A472" s="27" t="n"/>
      <c r="B472" s="506" t="n"/>
      <c r="C472" s="141" t="n"/>
      <c r="D472" s="141" t="n"/>
      <c r="E472" s="141" t="n"/>
      <c r="F472" s="141" t="n"/>
      <c r="G472" s="143" t="n"/>
      <c r="H472" s="27" t="n"/>
    </row>
    <row r="473" ht="17.25" customHeight="1" s="322">
      <c r="A473" s="27" t="n"/>
      <c r="B473" s="506" t="n"/>
      <c r="C473" s="141" t="n"/>
      <c r="D473" s="141" t="n"/>
      <c r="E473" s="141" t="n"/>
      <c r="F473" s="141" t="n"/>
      <c r="G473" s="143" t="n"/>
      <c r="H473" s="27" t="n"/>
    </row>
    <row r="474" ht="17.25" customHeight="1" s="322">
      <c r="A474" s="27" t="n"/>
      <c r="B474" s="506" t="n"/>
      <c r="C474" s="141" t="n"/>
      <c r="D474" s="141" t="n"/>
      <c r="E474" s="141" t="n"/>
      <c r="F474" s="141" t="n"/>
      <c r="G474" s="143" t="n"/>
      <c r="H474" s="27" t="n"/>
    </row>
    <row r="475" ht="17.25" customHeight="1" s="322">
      <c r="A475" s="27" t="n"/>
      <c r="B475" s="506" t="n"/>
      <c r="C475" s="141" t="n"/>
      <c r="D475" s="141" t="n"/>
      <c r="E475" s="141" t="n"/>
      <c r="F475" s="141" t="n"/>
      <c r="G475" s="143" t="n"/>
      <c r="H475" s="27" t="n"/>
    </row>
    <row r="476" ht="17.25" customHeight="1" s="322">
      <c r="A476" s="27" t="n"/>
      <c r="B476" s="506" t="n"/>
      <c r="C476" s="141" t="n"/>
      <c r="D476" s="141" t="n"/>
      <c r="E476" s="141" t="n"/>
      <c r="F476" s="141" t="n"/>
      <c r="G476" s="143" t="n"/>
      <c r="H476" s="27" t="n"/>
    </row>
    <row r="477" ht="17.25" customHeight="1" s="322">
      <c r="A477" s="27" t="n"/>
      <c r="B477" s="506" t="n"/>
      <c r="C477" s="141" t="n"/>
      <c r="D477" s="141" t="n"/>
      <c r="E477" s="141" t="n"/>
      <c r="F477" s="141" t="n"/>
      <c r="G477" s="143" t="n"/>
      <c r="H477" s="27" t="n"/>
    </row>
    <row r="478" ht="17.25" customHeight="1" s="322">
      <c r="A478" s="27" t="n"/>
      <c r="B478" s="506" t="n"/>
      <c r="C478" s="141" t="n"/>
      <c r="D478" s="141" t="n"/>
      <c r="E478" s="141" t="n"/>
      <c r="F478" s="141" t="n"/>
      <c r="G478" s="143" t="n"/>
      <c r="H478" s="27" t="n"/>
    </row>
    <row r="479" ht="17.25" customHeight="1" s="322">
      <c r="A479" s="27" t="n"/>
      <c r="B479" s="506" t="n"/>
      <c r="C479" s="141" t="n"/>
      <c r="D479" s="141" t="n"/>
      <c r="E479" s="141" t="n"/>
      <c r="F479" s="141" t="n"/>
      <c r="G479" s="143" t="n"/>
      <c r="H479" s="27" t="n"/>
    </row>
    <row r="480" ht="17.25" customHeight="1" s="322">
      <c r="A480" s="27" t="n"/>
      <c r="B480" s="506" t="n"/>
      <c r="C480" s="141" t="n"/>
      <c r="D480" s="141" t="n"/>
      <c r="E480" s="141" t="n"/>
      <c r="F480" s="141" t="n"/>
      <c r="G480" s="143" t="n"/>
      <c r="H480" s="27" t="n"/>
    </row>
    <row r="481" ht="17.25" customHeight="1" s="322">
      <c r="A481" s="27" t="n"/>
      <c r="B481" s="506" t="n"/>
      <c r="C481" s="141" t="n"/>
      <c r="D481" s="141" t="n"/>
      <c r="E481" s="141" t="n"/>
      <c r="F481" s="141" t="n"/>
      <c r="G481" s="143" t="n"/>
      <c r="H481" s="27" t="n"/>
    </row>
    <row r="482" ht="17.25" customHeight="1" s="322">
      <c r="A482" s="27" t="n"/>
      <c r="B482" s="506" t="n"/>
      <c r="C482" s="141" t="n"/>
      <c r="D482" s="141" t="n"/>
      <c r="E482" s="141" t="n"/>
      <c r="F482" s="141" t="n"/>
      <c r="G482" s="143" t="n"/>
      <c r="H482" s="27" t="n"/>
    </row>
    <row r="483" ht="17.25" customHeight="1" s="322">
      <c r="A483" s="27" t="n"/>
      <c r="B483" s="506" t="n"/>
      <c r="C483" s="141" t="n"/>
      <c r="D483" s="141" t="n"/>
      <c r="E483" s="141" t="n"/>
      <c r="F483" s="141" t="n"/>
      <c r="G483" s="143" t="n"/>
      <c r="H483" s="27" t="n"/>
    </row>
    <row r="484" ht="17.25" customHeight="1" s="322">
      <c r="A484" s="27" t="n"/>
      <c r="B484" s="506" t="n"/>
      <c r="C484" s="141" t="n"/>
      <c r="D484" s="141" t="n"/>
      <c r="E484" s="141" t="n"/>
      <c r="F484" s="141" t="n"/>
      <c r="G484" s="143" t="n"/>
      <c r="H484" s="27" t="n"/>
    </row>
    <row r="485" ht="17.25" customHeight="1" s="322">
      <c r="A485" s="27" t="n"/>
      <c r="B485" s="506" t="n"/>
      <c r="C485" s="141" t="n"/>
      <c r="D485" s="141" t="n"/>
      <c r="E485" s="141" t="n"/>
      <c r="F485" s="141" t="n"/>
      <c r="G485" s="143" t="n"/>
      <c r="H485" s="27" t="n"/>
    </row>
    <row r="486" ht="17.25" customHeight="1" s="322">
      <c r="A486" s="27" t="n"/>
      <c r="B486" s="506" t="n"/>
      <c r="C486" s="141" t="n"/>
      <c r="D486" s="141" t="n"/>
      <c r="E486" s="141" t="n"/>
      <c r="F486" s="141" t="n"/>
      <c r="G486" s="143" t="n"/>
      <c r="H486" s="27" t="n"/>
    </row>
    <row r="487" ht="17.25" customHeight="1" s="322">
      <c r="A487" s="27" t="n"/>
      <c r="B487" s="506" t="n"/>
      <c r="C487" s="141" t="n"/>
      <c r="D487" s="141" t="n"/>
      <c r="E487" s="141" t="n"/>
      <c r="F487" s="141" t="n"/>
      <c r="G487" s="143" t="n"/>
      <c r="H487" s="27" t="n"/>
    </row>
    <row r="488" ht="17.25" customHeight="1" s="322">
      <c r="A488" s="27" t="n"/>
      <c r="B488" s="506" t="n"/>
      <c r="C488" s="141" t="n"/>
      <c r="D488" s="141" t="n"/>
      <c r="E488" s="141" t="n"/>
      <c r="F488" s="141" t="n"/>
      <c r="G488" s="143" t="n"/>
      <c r="H488" s="27" t="n"/>
    </row>
    <row r="489" ht="17.25" customHeight="1" s="322">
      <c r="A489" s="27" t="n"/>
      <c r="B489" s="506" t="n"/>
      <c r="C489" s="141" t="n"/>
      <c r="D489" s="141" t="n"/>
      <c r="E489" s="141" t="n"/>
      <c r="F489" s="141" t="n"/>
      <c r="G489" s="143" t="n"/>
      <c r="H489" s="27" t="n"/>
    </row>
    <row r="490" ht="17.25" customHeight="1" s="322">
      <c r="A490" s="27" t="n"/>
      <c r="B490" s="506" t="n"/>
      <c r="C490" s="141" t="n"/>
      <c r="D490" s="141" t="n"/>
      <c r="E490" s="141" t="n"/>
      <c r="F490" s="141" t="n"/>
      <c r="G490" s="143" t="n"/>
      <c r="H490" s="27" t="n"/>
    </row>
    <row r="491" ht="17.25" customHeight="1" s="322">
      <c r="A491" s="27" t="n"/>
      <c r="B491" s="506" t="n"/>
      <c r="C491" s="141" t="n"/>
      <c r="D491" s="141" t="n"/>
      <c r="E491" s="141" t="n"/>
      <c r="F491" s="141" t="n"/>
      <c r="G491" s="143" t="n"/>
      <c r="H491" s="27" t="n"/>
    </row>
    <row r="492" ht="17.25" customHeight="1" s="322">
      <c r="A492" s="27" t="n"/>
      <c r="B492" s="506" t="n"/>
      <c r="C492" s="141" t="n"/>
      <c r="D492" s="141" t="n"/>
      <c r="E492" s="141" t="n"/>
      <c r="F492" s="141" t="n"/>
      <c r="G492" s="143" t="n"/>
      <c r="H492" s="27" t="n"/>
    </row>
    <row r="493" ht="17.25" customHeight="1" s="322">
      <c r="A493" s="27" t="n"/>
      <c r="B493" s="506" t="n"/>
      <c r="C493" s="141" t="n"/>
      <c r="D493" s="141" t="n"/>
      <c r="E493" s="141" t="n"/>
      <c r="F493" s="141" t="n"/>
      <c r="G493" s="143" t="n"/>
      <c r="H493" s="27" t="n"/>
    </row>
    <row r="494" ht="17.25" customHeight="1" s="322">
      <c r="A494" s="27" t="n"/>
      <c r="B494" s="506" t="n"/>
      <c r="C494" s="141" t="n"/>
      <c r="D494" s="141" t="n"/>
      <c r="E494" s="141" t="n"/>
      <c r="F494" s="141" t="n"/>
      <c r="G494" s="143" t="n"/>
      <c r="H494" s="27" t="n"/>
    </row>
    <row r="495" ht="17.25" customHeight="1" s="322">
      <c r="A495" s="27" t="n"/>
      <c r="B495" s="506" t="n"/>
      <c r="C495" s="141" t="n"/>
      <c r="D495" s="141" t="n"/>
      <c r="E495" s="141" t="n"/>
      <c r="F495" s="141" t="n"/>
      <c r="G495" s="143" t="n"/>
      <c r="H495" s="27" t="n"/>
    </row>
    <row r="496" ht="17.25" customHeight="1" s="322">
      <c r="A496" s="27" t="n"/>
      <c r="B496" s="506" t="n"/>
      <c r="C496" s="141" t="n"/>
      <c r="D496" s="141" t="n"/>
      <c r="E496" s="141" t="n"/>
      <c r="F496" s="141" t="n"/>
      <c r="G496" s="143" t="n"/>
      <c r="H496" s="27" t="n"/>
    </row>
    <row r="497" ht="17.25" customHeight="1" s="322">
      <c r="A497" s="27" t="n"/>
      <c r="B497" s="506" t="n"/>
      <c r="C497" s="141" t="n"/>
      <c r="D497" s="141" t="n"/>
      <c r="E497" s="141" t="n"/>
      <c r="F497" s="141" t="n"/>
      <c r="G497" s="143" t="n"/>
      <c r="H497" s="27" t="n"/>
    </row>
    <row r="498" ht="17.25" customHeight="1" s="322">
      <c r="A498" s="27" t="n"/>
      <c r="B498" s="506" t="n"/>
      <c r="C498" s="141" t="n"/>
      <c r="D498" s="141" t="n"/>
      <c r="E498" s="141" t="n"/>
      <c r="F498" s="141" t="n"/>
      <c r="G498" s="143" t="n"/>
      <c r="H498" s="27" t="n"/>
    </row>
    <row r="499" ht="17.25" customHeight="1" s="322">
      <c r="A499" s="27" t="n"/>
      <c r="B499" s="506" t="n"/>
      <c r="C499" s="141" t="n"/>
      <c r="D499" s="141" t="n"/>
      <c r="E499" s="141" t="n"/>
      <c r="F499" s="141" t="n"/>
      <c r="G499" s="143" t="n"/>
      <c r="H499" s="27" t="n"/>
    </row>
    <row r="500" ht="17.25" customHeight="1" s="322">
      <c r="A500" s="27" t="n"/>
      <c r="B500" s="506" t="n"/>
      <c r="C500" s="141" t="n"/>
      <c r="D500" s="141" t="n"/>
      <c r="E500" s="141" t="n"/>
      <c r="F500" s="141" t="n"/>
      <c r="G500" s="143" t="n"/>
      <c r="H500" s="27" t="n"/>
    </row>
    <row r="501" ht="17.25" customHeight="1" s="322">
      <c r="A501" s="27" t="n"/>
      <c r="B501" s="506" t="n"/>
      <c r="C501" s="141" t="n"/>
      <c r="D501" s="141" t="n"/>
      <c r="E501" s="141" t="n"/>
      <c r="F501" s="141" t="n"/>
      <c r="G501" s="143" t="n"/>
      <c r="H501" s="27" t="n"/>
    </row>
    <row r="502" ht="17.25" customHeight="1" s="322">
      <c r="A502" s="27" t="n"/>
      <c r="B502" s="506" t="n"/>
      <c r="C502" s="141" t="n"/>
      <c r="D502" s="141" t="n"/>
      <c r="E502" s="141" t="n"/>
      <c r="F502" s="141" t="n"/>
      <c r="G502" s="143" t="n"/>
      <c r="H502" s="27" t="n"/>
    </row>
    <row r="503" ht="17.25" customHeight="1" s="322">
      <c r="A503" s="27" t="n"/>
      <c r="B503" s="506" t="n"/>
      <c r="C503" s="141" t="n"/>
      <c r="D503" s="141" t="n"/>
      <c r="E503" s="141" t="n"/>
      <c r="F503" s="141" t="n"/>
      <c r="G503" s="143" t="n"/>
      <c r="H503" s="27" t="n"/>
    </row>
    <row r="504" ht="17.25" customHeight="1" s="322">
      <c r="A504" s="27" t="n"/>
      <c r="B504" s="506" t="n"/>
      <c r="C504" s="141" t="n"/>
      <c r="D504" s="141" t="n"/>
      <c r="E504" s="141" t="n"/>
      <c r="F504" s="141" t="n"/>
      <c r="G504" s="143" t="n"/>
      <c r="H504" s="27" t="n"/>
    </row>
    <row r="505" ht="17.25" customHeight="1" s="322">
      <c r="A505" s="27" t="n"/>
      <c r="B505" s="506" t="n"/>
      <c r="C505" s="141" t="n"/>
      <c r="D505" s="141" t="n"/>
      <c r="E505" s="141" t="n"/>
      <c r="F505" s="141" t="n"/>
      <c r="G505" s="143" t="n"/>
      <c r="H505" s="27" t="n"/>
    </row>
    <row r="506" ht="17.25" customHeight="1" s="322">
      <c r="A506" s="27" t="n"/>
      <c r="B506" s="506" t="n"/>
      <c r="C506" s="141" t="n"/>
      <c r="D506" s="141" t="n"/>
      <c r="E506" s="141" t="n"/>
      <c r="F506" s="141" t="n"/>
      <c r="G506" s="143" t="n"/>
      <c r="H506" s="27" t="n"/>
    </row>
    <row r="507" ht="17.25" customHeight="1" s="322">
      <c r="A507" s="27" t="n"/>
      <c r="B507" s="506" t="n"/>
      <c r="C507" s="141" t="n"/>
      <c r="D507" s="141" t="n"/>
      <c r="E507" s="141" t="n"/>
      <c r="F507" s="141" t="n"/>
      <c r="G507" s="143" t="n"/>
      <c r="H507" s="27" t="n"/>
    </row>
    <row r="508" ht="17.25" customHeight="1" s="322">
      <c r="A508" s="27" t="n"/>
      <c r="B508" s="506" t="n"/>
      <c r="C508" s="141" t="n"/>
      <c r="D508" s="141" t="n"/>
      <c r="E508" s="141" t="n"/>
      <c r="F508" s="141" t="n"/>
      <c r="G508" s="143" t="n"/>
      <c r="H508" s="27" t="n"/>
    </row>
    <row r="509" ht="17.25" customHeight="1" s="322">
      <c r="A509" s="27" t="n"/>
      <c r="B509" s="506" t="n"/>
      <c r="C509" s="141" t="n"/>
      <c r="D509" s="141" t="n"/>
      <c r="E509" s="141" t="n"/>
      <c r="F509" s="141" t="n"/>
      <c r="G509" s="143" t="n"/>
      <c r="H509" s="27" t="n"/>
    </row>
    <row r="510" ht="17.25" customHeight="1" s="322">
      <c r="A510" s="27" t="n"/>
      <c r="B510" s="506" t="n"/>
      <c r="C510" s="141" t="n"/>
      <c r="D510" s="141" t="n"/>
      <c r="E510" s="141" t="n"/>
      <c r="F510" s="141" t="n"/>
      <c r="G510" s="143" t="n"/>
      <c r="H510" s="27" t="n"/>
    </row>
    <row r="511" ht="17.25" customHeight="1" s="322">
      <c r="A511" s="27" t="n"/>
      <c r="B511" s="506" t="n"/>
      <c r="C511" s="141" t="n"/>
      <c r="D511" s="141" t="n"/>
      <c r="E511" s="141" t="n"/>
      <c r="F511" s="141" t="n"/>
      <c r="G511" s="143" t="n"/>
      <c r="H511" s="27" t="n"/>
    </row>
    <row r="512" ht="17.25" customHeight="1" s="322">
      <c r="A512" s="27" t="n"/>
      <c r="B512" s="506" t="n"/>
      <c r="C512" s="141" t="n"/>
      <c r="D512" s="141" t="n"/>
      <c r="E512" s="141" t="n"/>
      <c r="F512" s="141" t="n"/>
      <c r="G512" s="143" t="n"/>
      <c r="H512" s="27" t="n"/>
    </row>
    <row r="513" ht="17.25" customHeight="1" s="322">
      <c r="A513" s="27" t="n"/>
      <c r="B513" s="506" t="n"/>
      <c r="C513" s="141" t="n"/>
      <c r="D513" s="141" t="n"/>
      <c r="E513" s="141" t="n"/>
      <c r="F513" s="141" t="n"/>
      <c r="G513" s="143" t="n"/>
      <c r="H513" s="27" t="n"/>
    </row>
    <row r="514" ht="17.25" customHeight="1" s="322">
      <c r="A514" s="27" t="n"/>
      <c r="B514" s="506" t="n"/>
      <c r="C514" s="141" t="n"/>
      <c r="D514" s="141" t="n"/>
      <c r="E514" s="141" t="n"/>
      <c r="F514" s="141" t="n"/>
      <c r="G514" s="143" t="n"/>
      <c r="H514" s="27" t="n"/>
    </row>
    <row r="515" ht="17.25" customHeight="1" s="322">
      <c r="A515" s="27" t="n"/>
      <c r="B515" s="506" t="n"/>
      <c r="C515" s="141" t="n"/>
      <c r="D515" s="141" t="n"/>
      <c r="E515" s="141" t="n"/>
      <c r="F515" s="141" t="n"/>
      <c r="G515" s="143" t="n"/>
      <c r="H515" s="27" t="n"/>
    </row>
    <row r="516" ht="17.25" customHeight="1" s="322">
      <c r="A516" s="27" t="n"/>
      <c r="B516" s="506" t="n"/>
      <c r="C516" s="141" t="n"/>
      <c r="D516" s="141" t="n"/>
      <c r="E516" s="141" t="n"/>
      <c r="F516" s="141" t="n"/>
      <c r="G516" s="143" t="n"/>
      <c r="H516" s="27" t="n"/>
    </row>
    <row r="517" ht="17.25" customHeight="1" s="322">
      <c r="A517" s="27" t="n"/>
      <c r="B517" s="506" t="n"/>
      <c r="C517" s="141" t="n"/>
      <c r="D517" s="141" t="n"/>
      <c r="E517" s="141" t="n"/>
      <c r="F517" s="141" t="n"/>
      <c r="G517" s="143" t="n"/>
      <c r="H517" s="27" t="n"/>
    </row>
    <row r="518" ht="17.25" customHeight="1" s="322">
      <c r="A518" s="27" t="n"/>
      <c r="B518" s="506" t="n"/>
      <c r="C518" s="141" t="n"/>
      <c r="D518" s="141" t="n"/>
      <c r="E518" s="141" t="n"/>
      <c r="F518" s="141" t="n"/>
      <c r="G518" s="143" t="n"/>
      <c r="H518" s="27" t="n"/>
    </row>
    <row r="519" ht="17.25" customHeight="1" s="322">
      <c r="A519" s="27" t="n"/>
      <c r="B519" s="506" t="n"/>
      <c r="C519" s="141" t="n"/>
      <c r="D519" s="141" t="n"/>
      <c r="E519" s="141" t="n"/>
      <c r="F519" s="141" t="n"/>
      <c r="G519" s="143" t="n"/>
      <c r="H519" s="27" t="n"/>
    </row>
    <row r="520" ht="17.25" customHeight="1" s="322">
      <c r="A520" s="27" t="n"/>
      <c r="B520" s="506" t="n"/>
      <c r="C520" s="141" t="n"/>
      <c r="D520" s="141" t="n"/>
      <c r="E520" s="141" t="n"/>
      <c r="F520" s="141" t="n"/>
      <c r="G520" s="143" t="n"/>
      <c r="H520" s="27" t="n"/>
    </row>
    <row r="521" ht="17.25" customHeight="1" s="322">
      <c r="A521" s="27" t="n"/>
      <c r="B521" s="506" t="n"/>
      <c r="C521" s="141" t="n"/>
      <c r="D521" s="141" t="n"/>
      <c r="E521" s="141" t="n"/>
      <c r="F521" s="141" t="n"/>
      <c r="G521" s="143" t="n"/>
      <c r="H521" s="27" t="n"/>
    </row>
    <row r="522" ht="17.25" customHeight="1" s="322">
      <c r="A522" s="27" t="n"/>
      <c r="B522" s="506" t="n"/>
      <c r="C522" s="141" t="n"/>
      <c r="D522" s="141" t="n"/>
      <c r="E522" s="141" t="n"/>
      <c r="F522" s="141" t="n"/>
      <c r="G522" s="143" t="n"/>
      <c r="H522" s="27" t="n"/>
    </row>
    <row r="523" ht="17.25" customHeight="1" s="322">
      <c r="A523" s="27" t="n"/>
      <c r="B523" s="506" t="n"/>
      <c r="C523" s="141" t="n"/>
      <c r="D523" s="141" t="n"/>
      <c r="E523" s="141" t="n"/>
      <c r="F523" s="141" t="n"/>
      <c r="G523" s="143" t="n"/>
      <c r="H523" s="27" t="n"/>
    </row>
    <row r="524" ht="17.25" customHeight="1" s="322">
      <c r="A524" s="27" t="n"/>
      <c r="B524" s="506" t="n"/>
      <c r="C524" s="141" t="n"/>
      <c r="D524" s="141" t="n"/>
      <c r="E524" s="141" t="n"/>
      <c r="F524" s="141" t="n"/>
      <c r="G524" s="143" t="n"/>
      <c r="H524" s="27" t="n"/>
    </row>
    <row r="525" ht="17.25" customHeight="1" s="322">
      <c r="A525" s="27" t="n"/>
      <c r="B525" s="506" t="n"/>
      <c r="C525" s="141" t="n"/>
      <c r="D525" s="141" t="n"/>
      <c r="E525" s="141" t="n"/>
      <c r="F525" s="141" t="n"/>
      <c r="G525" s="143" t="n"/>
      <c r="H525" s="27" t="n"/>
    </row>
    <row r="526" ht="17.25" customHeight="1" s="322">
      <c r="A526" s="27" t="n"/>
      <c r="B526" s="506" t="n"/>
      <c r="C526" s="141" t="n"/>
      <c r="D526" s="141" t="n"/>
      <c r="E526" s="141" t="n"/>
      <c r="F526" s="141" t="n"/>
      <c r="G526" s="143" t="n"/>
      <c r="H526" s="27" t="n"/>
    </row>
    <row r="527" ht="17.25" customHeight="1" s="322">
      <c r="A527" s="27" t="n"/>
      <c r="B527" s="506" t="n"/>
      <c r="C527" s="141" t="n"/>
      <c r="D527" s="141" t="n"/>
      <c r="E527" s="141" t="n"/>
      <c r="F527" s="141" t="n"/>
      <c r="G527" s="143" t="n"/>
      <c r="H527" s="27" t="n"/>
    </row>
    <row r="528" ht="17.25" customHeight="1" s="322">
      <c r="A528" s="27" t="n"/>
      <c r="B528" s="506" t="n"/>
      <c r="C528" s="141" t="n"/>
      <c r="D528" s="141" t="n"/>
      <c r="E528" s="141" t="n"/>
      <c r="F528" s="141" t="n"/>
      <c r="G528" s="143" t="n"/>
      <c r="H528" s="27" t="n"/>
    </row>
    <row r="529" ht="17.25" customHeight="1" s="322">
      <c r="A529" s="27" t="n"/>
      <c r="B529" s="506" t="n"/>
      <c r="C529" s="141" t="n"/>
      <c r="D529" s="141" t="n"/>
      <c r="E529" s="141" t="n"/>
      <c r="F529" s="141" t="n"/>
      <c r="G529" s="143" t="n"/>
      <c r="H529" s="27" t="n"/>
    </row>
    <row r="530" ht="17.25" customHeight="1" s="322">
      <c r="A530" s="27" t="n"/>
      <c r="B530" s="506" t="n"/>
      <c r="C530" s="141" t="n"/>
      <c r="D530" s="141" t="n"/>
      <c r="E530" s="141" t="n"/>
      <c r="F530" s="141" t="n"/>
      <c r="G530" s="143" t="n"/>
      <c r="H530" s="27" t="n"/>
    </row>
    <row r="531" ht="17.25" customHeight="1" s="322">
      <c r="A531" s="27" t="n"/>
      <c r="B531" s="506" t="n"/>
      <c r="C531" s="141" t="n"/>
      <c r="D531" s="141" t="n"/>
      <c r="E531" s="141" t="n"/>
      <c r="F531" s="141" t="n"/>
      <c r="G531" s="143" t="n"/>
      <c r="H531" s="27" t="n"/>
    </row>
    <row r="532" ht="17.25" customHeight="1" s="322">
      <c r="A532" s="27" t="n"/>
      <c r="B532" s="506" t="n"/>
      <c r="C532" s="141" t="n"/>
      <c r="D532" s="141" t="n"/>
      <c r="E532" s="141" t="n"/>
      <c r="F532" s="141" t="n"/>
      <c r="G532" s="143" t="n"/>
      <c r="H532" s="27" t="n"/>
    </row>
    <row r="533" ht="17.25" customHeight="1" s="322">
      <c r="A533" s="27" t="n"/>
      <c r="B533" s="506" t="n"/>
      <c r="C533" s="141" t="n"/>
      <c r="D533" s="141" t="n"/>
      <c r="E533" s="141" t="n"/>
      <c r="F533" s="141" t="n"/>
      <c r="G533" s="143" t="n"/>
      <c r="H533" s="27" t="n"/>
    </row>
    <row r="534" ht="17.25" customHeight="1" s="322">
      <c r="A534" s="27" t="n"/>
      <c r="B534" s="506" t="n"/>
      <c r="C534" s="141" t="n"/>
      <c r="D534" s="141" t="n"/>
      <c r="E534" s="141" t="n"/>
      <c r="F534" s="141" t="n"/>
      <c r="G534" s="143" t="n"/>
      <c r="H534" s="27" t="n"/>
    </row>
    <row r="535" ht="17.25" customHeight="1" s="322">
      <c r="A535" s="27" t="n"/>
      <c r="B535" s="506" t="n"/>
      <c r="C535" s="141" t="n"/>
      <c r="D535" s="141" t="n"/>
      <c r="E535" s="141" t="n"/>
      <c r="F535" s="141" t="n"/>
      <c r="G535" s="143" t="n"/>
      <c r="H535" s="27" t="n"/>
    </row>
    <row r="536" ht="17.25" customHeight="1" s="322">
      <c r="A536" s="27" t="n"/>
      <c r="B536" s="506" t="n"/>
      <c r="C536" s="141" t="n"/>
      <c r="D536" s="141" t="n"/>
      <c r="E536" s="141" t="n"/>
      <c r="F536" s="141" t="n"/>
      <c r="G536" s="143" t="n"/>
      <c r="H536" s="27" t="n"/>
    </row>
    <row r="537" ht="17.25" customHeight="1" s="322">
      <c r="A537" s="27" t="n"/>
      <c r="B537" s="506" t="n"/>
      <c r="C537" s="141" t="n"/>
      <c r="D537" s="141" t="n"/>
      <c r="E537" s="141" t="n"/>
      <c r="F537" s="141" t="n"/>
      <c r="G537" s="143" t="n"/>
      <c r="H537" s="27" t="n"/>
    </row>
    <row r="538" ht="17.25" customHeight="1" s="322">
      <c r="A538" s="27" t="n"/>
      <c r="B538" s="506" t="n"/>
      <c r="C538" s="141" t="n"/>
      <c r="D538" s="141" t="n"/>
      <c r="E538" s="141" t="n"/>
      <c r="F538" s="141" t="n"/>
      <c r="G538" s="143" t="n"/>
      <c r="H538" s="27" t="n"/>
    </row>
    <row r="539" ht="17.25" customHeight="1" s="322">
      <c r="A539" s="27" t="n"/>
      <c r="B539" s="506" t="n"/>
      <c r="C539" s="141" t="n"/>
      <c r="D539" s="141" t="n"/>
      <c r="E539" s="141" t="n"/>
      <c r="F539" s="141" t="n"/>
      <c r="G539" s="143" t="n"/>
      <c r="H539" s="27" t="n"/>
    </row>
    <row r="540" ht="17.25" customHeight="1" s="322">
      <c r="A540" s="27" t="n"/>
      <c r="B540" s="506" t="n"/>
      <c r="C540" s="141" t="n"/>
      <c r="D540" s="141" t="n"/>
      <c r="E540" s="141" t="n"/>
      <c r="F540" s="141" t="n"/>
      <c r="G540" s="143" t="n"/>
      <c r="H540" s="27" t="n"/>
    </row>
    <row r="541" ht="17.25" customHeight="1" s="322">
      <c r="A541" s="27" t="n"/>
      <c r="B541" s="506" t="n"/>
      <c r="C541" s="141" t="n"/>
      <c r="D541" s="141" t="n"/>
      <c r="E541" s="141" t="n"/>
      <c r="F541" s="141" t="n"/>
      <c r="G541" s="143" t="n"/>
      <c r="H541" s="27" t="n"/>
    </row>
    <row r="542" ht="17.25" customHeight="1" s="322">
      <c r="A542" s="27" t="n"/>
      <c r="B542" s="506" t="n"/>
      <c r="C542" s="141" t="n"/>
      <c r="D542" s="141" t="n"/>
      <c r="E542" s="141" t="n"/>
      <c r="F542" s="141" t="n"/>
      <c r="G542" s="143" t="n"/>
      <c r="H542" s="27" t="n"/>
    </row>
    <row r="543" ht="17.25" customHeight="1" s="322">
      <c r="A543" s="27" t="n"/>
      <c r="B543" s="506" t="n"/>
      <c r="C543" s="141" t="n"/>
      <c r="D543" s="141" t="n"/>
      <c r="E543" s="141" t="n"/>
      <c r="F543" s="141" t="n"/>
      <c r="G543" s="143" t="n"/>
      <c r="H543" s="27" t="n"/>
    </row>
    <row r="544" ht="17.25" customHeight="1" s="322">
      <c r="A544" s="27" t="n"/>
      <c r="B544" s="506" t="n"/>
      <c r="C544" s="141" t="n"/>
      <c r="D544" s="141" t="n"/>
      <c r="E544" s="141" t="n"/>
      <c r="F544" s="141" t="n"/>
      <c r="G544" s="143" t="n"/>
      <c r="H544" s="27" t="n"/>
    </row>
    <row r="545" ht="17.25" customHeight="1" s="322">
      <c r="A545" s="27" t="n"/>
      <c r="B545" s="506" t="n"/>
      <c r="C545" s="141" t="n"/>
      <c r="D545" s="141" t="n"/>
      <c r="E545" s="141" t="n"/>
      <c r="F545" s="141" t="n"/>
      <c r="G545" s="143" t="n"/>
      <c r="H545" s="27" t="n"/>
    </row>
    <row r="546" ht="17.25" customHeight="1" s="322">
      <c r="A546" s="27" t="n"/>
      <c r="B546" s="506" t="n"/>
      <c r="C546" s="141" t="n"/>
      <c r="D546" s="141" t="n"/>
      <c r="E546" s="141" t="n"/>
      <c r="F546" s="141" t="n"/>
      <c r="G546" s="143" t="n"/>
      <c r="H546" s="27" t="n"/>
    </row>
    <row r="547" ht="17.25" customHeight="1" s="322">
      <c r="A547" s="27" t="n"/>
      <c r="B547" s="506" t="n"/>
      <c r="C547" s="141" t="n"/>
      <c r="D547" s="141" t="n"/>
      <c r="E547" s="141" t="n"/>
      <c r="F547" s="141" t="n"/>
      <c r="G547" s="143" t="n"/>
      <c r="H547" s="27" t="n"/>
    </row>
    <row r="548" ht="17.25" customHeight="1" s="322">
      <c r="A548" s="27" t="n"/>
      <c r="B548" s="506" t="n"/>
      <c r="C548" s="141" t="n"/>
      <c r="D548" s="141" t="n"/>
      <c r="E548" s="141" t="n"/>
      <c r="F548" s="141" t="n"/>
      <c r="G548" s="143" t="n"/>
      <c r="H548" s="27" t="n"/>
    </row>
    <row r="549" ht="17.25" customHeight="1" s="322">
      <c r="A549" s="27" t="n"/>
      <c r="B549" s="506" t="n"/>
      <c r="C549" s="141" t="n"/>
      <c r="D549" s="141" t="n"/>
      <c r="E549" s="141" t="n"/>
      <c r="F549" s="141" t="n"/>
      <c r="G549" s="143" t="n"/>
      <c r="H549" s="27" t="n"/>
    </row>
    <row r="550" ht="17.25" customHeight="1" s="322">
      <c r="A550" s="27" t="n"/>
      <c r="B550" s="506" t="n"/>
      <c r="C550" s="141" t="n"/>
      <c r="D550" s="141" t="n"/>
      <c r="E550" s="141" t="n"/>
      <c r="F550" s="141" t="n"/>
      <c r="G550" s="143" t="n"/>
      <c r="H550" s="27" t="n"/>
    </row>
    <row r="551" ht="17.25" customHeight="1" s="322">
      <c r="A551" s="27" t="n"/>
      <c r="B551" s="506" t="n"/>
      <c r="C551" s="141" t="n"/>
      <c r="D551" s="141" t="n"/>
      <c r="E551" s="141" t="n"/>
      <c r="F551" s="141" t="n"/>
      <c r="G551" s="143" t="n"/>
      <c r="H551" s="27" t="n"/>
    </row>
    <row r="552" ht="17.25" customHeight="1" s="322">
      <c r="A552" s="27" t="n"/>
      <c r="B552" s="506" t="n"/>
      <c r="C552" s="141" t="n"/>
      <c r="D552" s="141" t="n"/>
      <c r="E552" s="141" t="n"/>
      <c r="F552" s="141" t="n"/>
      <c r="G552" s="143" t="n"/>
      <c r="H552" s="27" t="n"/>
    </row>
    <row r="553" ht="17.25" customHeight="1" s="322">
      <c r="A553" s="27" t="n"/>
      <c r="B553" s="506" t="n"/>
      <c r="C553" s="141" t="n"/>
      <c r="D553" s="141" t="n"/>
      <c r="E553" s="141" t="n"/>
      <c r="F553" s="141" t="n"/>
      <c r="G553" s="143" t="n"/>
      <c r="H553" s="27" t="n"/>
    </row>
    <row r="554" ht="17.25" customHeight="1" s="322">
      <c r="A554" s="27" t="n"/>
      <c r="B554" s="506" t="n"/>
      <c r="C554" s="141" t="n"/>
      <c r="D554" s="141" t="n"/>
      <c r="E554" s="141" t="n"/>
      <c r="F554" s="141" t="n"/>
      <c r="G554" s="143" t="n"/>
      <c r="H554" s="27" t="n"/>
    </row>
    <row r="555" ht="17.25" customHeight="1" s="322">
      <c r="A555" s="27" t="n"/>
      <c r="B555" s="506" t="n"/>
      <c r="C555" s="141" t="n"/>
      <c r="D555" s="141" t="n"/>
      <c r="E555" s="141" t="n"/>
      <c r="F555" s="141" t="n"/>
      <c r="G555" s="143" t="n"/>
      <c r="H555" s="27" t="n"/>
    </row>
    <row r="556" ht="17.25" customHeight="1" s="322">
      <c r="A556" s="27" t="n"/>
      <c r="B556" s="506" t="n"/>
      <c r="C556" s="141" t="n"/>
      <c r="D556" s="141" t="n"/>
      <c r="E556" s="141" t="n"/>
      <c r="F556" s="141" t="n"/>
      <c r="G556" s="143" t="n"/>
      <c r="H556" s="27" t="n"/>
    </row>
    <row r="557" ht="17.25" customHeight="1" s="322">
      <c r="A557" s="27" t="n"/>
      <c r="B557" s="506" t="n"/>
      <c r="C557" s="141" t="n"/>
      <c r="D557" s="141" t="n"/>
      <c r="E557" s="141" t="n"/>
      <c r="F557" s="141" t="n"/>
      <c r="G557" s="143" t="n"/>
      <c r="H557" s="27" t="n"/>
    </row>
    <row r="558" ht="17.25" customHeight="1" s="322">
      <c r="A558" s="27" t="n"/>
      <c r="B558" s="506" t="n"/>
      <c r="C558" s="141" t="n"/>
      <c r="D558" s="141" t="n"/>
      <c r="E558" s="141" t="n"/>
      <c r="F558" s="141" t="n"/>
      <c r="G558" s="143" t="n"/>
      <c r="H558" s="27" t="n"/>
    </row>
    <row r="559" ht="17.25" customHeight="1" s="322">
      <c r="A559" s="27" t="n"/>
      <c r="B559" s="506" t="n"/>
      <c r="C559" s="141" t="n"/>
      <c r="D559" s="141" t="n"/>
      <c r="E559" s="141" t="n"/>
      <c r="F559" s="141" t="n"/>
      <c r="G559" s="143" t="n"/>
      <c r="H559" s="27" t="n"/>
    </row>
    <row r="560" ht="17.25" customHeight="1" s="322">
      <c r="A560" s="27" t="n"/>
      <c r="B560" s="506" t="n"/>
      <c r="C560" s="141" t="n"/>
      <c r="D560" s="141" t="n"/>
      <c r="E560" s="141" t="n"/>
      <c r="F560" s="141" t="n"/>
      <c r="G560" s="143" t="n"/>
      <c r="H560" s="27" t="n"/>
    </row>
    <row r="561" ht="17.25" customHeight="1" s="322">
      <c r="A561" s="27" t="n"/>
      <c r="B561" s="506" t="n"/>
      <c r="C561" s="141" t="n"/>
      <c r="D561" s="141" t="n"/>
      <c r="E561" s="141" t="n"/>
      <c r="F561" s="141" t="n"/>
      <c r="G561" s="143" t="n"/>
      <c r="H561" s="27" t="n"/>
    </row>
    <row r="562" ht="17.25" customHeight="1" s="322">
      <c r="A562" s="27" t="n"/>
      <c r="B562" s="506" t="n"/>
      <c r="C562" s="141" t="n"/>
      <c r="D562" s="141" t="n"/>
      <c r="E562" s="141" t="n"/>
      <c r="F562" s="141" t="n"/>
      <c r="G562" s="143" t="n"/>
      <c r="H562" s="27" t="n"/>
    </row>
    <row r="563" ht="17.25" customHeight="1" s="322">
      <c r="A563" s="27" t="n"/>
      <c r="B563" s="506" t="n"/>
      <c r="C563" s="141" t="n"/>
      <c r="D563" s="141" t="n"/>
      <c r="E563" s="141" t="n"/>
      <c r="F563" s="141" t="n"/>
      <c r="G563" s="143" t="n"/>
      <c r="H563" s="27" t="n"/>
    </row>
    <row r="564" ht="17.25" customHeight="1" s="322">
      <c r="A564" s="27" t="n"/>
      <c r="B564" s="506" t="n"/>
      <c r="C564" s="141" t="n"/>
      <c r="D564" s="141" t="n"/>
      <c r="E564" s="141" t="n"/>
      <c r="F564" s="141" t="n"/>
      <c r="G564" s="143" t="n"/>
      <c r="H564" s="27" t="n"/>
    </row>
    <row r="565" ht="17.25" customHeight="1" s="322">
      <c r="A565" s="27" t="n"/>
      <c r="B565" s="506" t="n"/>
      <c r="C565" s="141" t="n"/>
      <c r="D565" s="141" t="n"/>
      <c r="E565" s="141" t="n"/>
      <c r="F565" s="141" t="n"/>
      <c r="G565" s="143" t="n"/>
      <c r="H565" s="27" t="n"/>
    </row>
    <row r="566" ht="17.25" customHeight="1" s="322">
      <c r="A566" s="27" t="n"/>
      <c r="B566" s="506" t="n"/>
      <c r="C566" s="141" t="n"/>
      <c r="D566" s="141" t="n"/>
      <c r="E566" s="141" t="n"/>
      <c r="F566" s="141" t="n"/>
      <c r="G566" s="143" t="n"/>
      <c r="H566" s="27" t="n"/>
    </row>
    <row r="567" ht="17.25" customHeight="1" s="322">
      <c r="A567" s="27" t="n"/>
      <c r="B567" s="506" t="n"/>
      <c r="C567" s="141" t="n"/>
      <c r="D567" s="141" t="n"/>
      <c r="E567" s="141" t="n"/>
      <c r="F567" s="141" t="n"/>
      <c r="G567" s="143" t="n"/>
      <c r="H567" s="27" t="n"/>
    </row>
    <row r="568" ht="17.25" customHeight="1" s="322">
      <c r="A568" s="27" t="n"/>
      <c r="B568" s="506" t="n"/>
      <c r="C568" s="141" t="n"/>
      <c r="D568" s="141" t="n"/>
      <c r="E568" s="141" t="n"/>
      <c r="F568" s="141" t="n"/>
      <c r="G568" s="143" t="n"/>
      <c r="H568" s="27" t="n"/>
    </row>
    <row r="569" ht="17.25" customHeight="1" s="322">
      <c r="A569" s="27" t="n"/>
      <c r="B569" s="506" t="n"/>
      <c r="C569" s="141" t="n"/>
      <c r="D569" s="141" t="n"/>
      <c r="E569" s="141" t="n"/>
      <c r="F569" s="141" t="n"/>
      <c r="G569" s="143" t="n"/>
      <c r="H569" s="27" t="n"/>
    </row>
    <row r="570" ht="17.25" customHeight="1" s="322">
      <c r="A570" s="27" t="n"/>
      <c r="B570" s="506" t="n"/>
      <c r="C570" s="141" t="n"/>
      <c r="D570" s="141" t="n"/>
      <c r="E570" s="141" t="n"/>
      <c r="F570" s="141" t="n"/>
      <c r="G570" s="143" t="n"/>
      <c r="H570" s="27" t="n"/>
    </row>
    <row r="571" ht="17.25" customHeight="1" s="322">
      <c r="A571" s="27" t="n"/>
      <c r="B571" s="506" t="n"/>
      <c r="C571" s="141" t="n"/>
      <c r="D571" s="141" t="n"/>
      <c r="E571" s="141" t="n"/>
      <c r="F571" s="141" t="n"/>
      <c r="G571" s="143" t="n"/>
      <c r="H571" s="27" t="n"/>
    </row>
    <row r="572" ht="17.25" customHeight="1" s="322">
      <c r="A572" s="27" t="n"/>
      <c r="B572" s="506" t="n"/>
      <c r="C572" s="141" t="n"/>
      <c r="D572" s="141" t="n"/>
      <c r="E572" s="141" t="n"/>
      <c r="F572" s="141" t="n"/>
      <c r="G572" s="143" t="n"/>
      <c r="H572" s="27" t="n"/>
    </row>
    <row r="573" ht="17.25" customHeight="1" s="322">
      <c r="A573" s="27" t="n"/>
      <c r="B573" s="506" t="n"/>
      <c r="C573" s="141" t="n"/>
      <c r="D573" s="141" t="n"/>
      <c r="E573" s="141" t="n"/>
      <c r="F573" s="141" t="n"/>
      <c r="G573" s="143" t="n"/>
      <c r="H573" s="27" t="n"/>
    </row>
    <row r="574" ht="17.25" customHeight="1" s="322">
      <c r="A574" s="27" t="n"/>
      <c r="B574" s="506" t="n"/>
      <c r="C574" s="141" t="n"/>
      <c r="D574" s="141" t="n"/>
      <c r="E574" s="141" t="n"/>
      <c r="F574" s="141" t="n"/>
      <c r="G574" s="143" t="n"/>
      <c r="H574" s="27" t="n"/>
    </row>
    <row r="575" ht="17.25" customHeight="1" s="322">
      <c r="A575" s="27" t="n"/>
      <c r="B575" s="506" t="n"/>
      <c r="C575" s="141" t="n"/>
      <c r="D575" s="141" t="n"/>
      <c r="E575" s="141" t="n"/>
      <c r="F575" s="141" t="n"/>
      <c r="G575" s="143" t="n"/>
      <c r="H575" s="27" t="n"/>
    </row>
    <row r="576" ht="17.25" customHeight="1" s="322">
      <c r="A576" s="27" t="n"/>
      <c r="B576" s="506" t="n"/>
      <c r="C576" s="141" t="n"/>
      <c r="D576" s="141" t="n"/>
      <c r="E576" s="141" t="n"/>
      <c r="F576" s="141" t="n"/>
      <c r="G576" s="143" t="n"/>
      <c r="H576" s="27" t="n"/>
    </row>
    <row r="577" ht="17.25" customHeight="1" s="322">
      <c r="A577" s="27" t="n"/>
      <c r="B577" s="506" t="n"/>
      <c r="C577" s="141" t="n"/>
      <c r="D577" s="141" t="n"/>
      <c r="E577" s="141" t="n"/>
      <c r="F577" s="141" t="n"/>
      <c r="G577" s="143" t="n"/>
      <c r="H577" s="27" t="n"/>
    </row>
    <row r="578" ht="17.25" customHeight="1" s="322">
      <c r="A578" s="27" t="n"/>
      <c r="B578" s="506" t="n"/>
      <c r="C578" s="141" t="n"/>
      <c r="D578" s="141" t="n"/>
      <c r="E578" s="141" t="n"/>
      <c r="F578" s="141" t="n"/>
      <c r="G578" s="143" t="n"/>
      <c r="H578" s="27" t="n"/>
    </row>
    <row r="579" ht="17.25" customHeight="1" s="322">
      <c r="A579" s="27" t="n"/>
      <c r="B579" s="506" t="n"/>
      <c r="C579" s="141" t="n"/>
      <c r="D579" s="141" t="n"/>
      <c r="E579" s="141" t="n"/>
      <c r="F579" s="141" t="n"/>
      <c r="G579" s="143" t="n"/>
      <c r="H579" s="27" t="n"/>
    </row>
    <row r="580" ht="17.25" customHeight="1" s="322">
      <c r="A580" s="27" t="n"/>
      <c r="B580" s="506" t="n"/>
      <c r="C580" s="141" t="n"/>
      <c r="D580" s="141" t="n"/>
      <c r="E580" s="141" t="n"/>
      <c r="F580" s="141" t="n"/>
      <c r="G580" s="143" t="n"/>
      <c r="H580" s="27" t="n"/>
    </row>
    <row r="581" ht="17.25" customHeight="1" s="322">
      <c r="A581" s="27" t="n"/>
      <c r="B581" s="506" t="n"/>
      <c r="C581" s="141" t="n"/>
      <c r="D581" s="141" t="n"/>
      <c r="E581" s="141" t="n"/>
      <c r="F581" s="141" t="n"/>
      <c r="G581" s="143" t="n"/>
      <c r="H581" s="27" t="n"/>
    </row>
    <row r="582" ht="17.25" customHeight="1" s="322">
      <c r="A582" s="27" t="n"/>
      <c r="B582" s="506" t="n"/>
      <c r="C582" s="141" t="n"/>
      <c r="D582" s="141" t="n"/>
      <c r="E582" s="141" t="n"/>
      <c r="F582" s="141" t="n"/>
      <c r="G582" s="143" t="n"/>
      <c r="H582" s="27" t="n"/>
    </row>
    <row r="583" ht="17.25" customHeight="1" s="322">
      <c r="A583" s="27" t="n"/>
      <c r="B583" s="506" t="n"/>
      <c r="C583" s="141" t="n"/>
      <c r="D583" s="141" t="n"/>
      <c r="E583" s="141" t="n"/>
      <c r="F583" s="141" t="n"/>
      <c r="G583" s="143" t="n"/>
      <c r="H583" s="27" t="n"/>
    </row>
    <row r="584" ht="17.25" customHeight="1" s="322">
      <c r="A584" s="27" t="n"/>
      <c r="B584" s="506" t="n"/>
      <c r="C584" s="141" t="n"/>
      <c r="D584" s="141" t="n"/>
      <c r="E584" s="141" t="n"/>
      <c r="F584" s="141" t="n"/>
      <c r="G584" s="143" t="n"/>
      <c r="H584" s="27" t="n"/>
    </row>
    <row r="585" ht="17.25" customHeight="1" s="322">
      <c r="A585" s="27" t="n"/>
      <c r="B585" s="506" t="n"/>
      <c r="C585" s="141" t="n"/>
      <c r="D585" s="141" t="n"/>
      <c r="E585" s="141" t="n"/>
      <c r="F585" s="141" t="n"/>
      <c r="G585" s="143" t="n"/>
      <c r="H585" s="27" t="n"/>
    </row>
    <row r="586" ht="17.25" customHeight="1" s="322">
      <c r="A586" s="27" t="n"/>
      <c r="B586" s="506" t="n"/>
      <c r="C586" s="141" t="n"/>
      <c r="D586" s="141" t="n"/>
      <c r="E586" s="141" t="n"/>
      <c r="F586" s="141" t="n"/>
      <c r="G586" s="143" t="n"/>
      <c r="H586" s="27" t="n"/>
    </row>
    <row r="587" ht="17.25" customHeight="1" s="322">
      <c r="A587" s="27" t="n"/>
      <c r="B587" s="506" t="n"/>
      <c r="C587" s="141" t="n"/>
      <c r="D587" s="141" t="n"/>
      <c r="E587" s="141" t="n"/>
      <c r="F587" s="141" t="n"/>
      <c r="G587" s="143" t="n"/>
      <c r="H587" s="27" t="n"/>
    </row>
    <row r="588" ht="17.25" customHeight="1" s="322">
      <c r="A588" s="27" t="n"/>
      <c r="B588" s="506" t="n"/>
      <c r="C588" s="141" t="n"/>
      <c r="D588" s="141" t="n"/>
      <c r="E588" s="141" t="n"/>
      <c r="F588" s="141" t="n"/>
      <c r="G588" s="143" t="n"/>
      <c r="H588" s="27" t="n"/>
    </row>
    <row r="589" ht="17.25" customHeight="1" s="322">
      <c r="A589" s="27" t="n"/>
      <c r="B589" s="506" t="n"/>
      <c r="C589" s="141" t="n"/>
      <c r="D589" s="141" t="n"/>
      <c r="E589" s="141" t="n"/>
      <c r="F589" s="141" t="n"/>
      <c r="G589" s="143" t="n"/>
      <c r="H589" s="27" t="n"/>
    </row>
    <row r="590" ht="17.25" customHeight="1" s="322">
      <c r="A590" s="27" t="n"/>
      <c r="B590" s="506" t="n"/>
      <c r="C590" s="141" t="n"/>
      <c r="D590" s="141" t="n"/>
      <c r="E590" s="141" t="n"/>
      <c r="F590" s="141" t="n"/>
      <c r="G590" s="143" t="n"/>
      <c r="H590" s="27" t="n"/>
    </row>
    <row r="591" ht="17.25" customHeight="1" s="322">
      <c r="A591" s="27" t="n"/>
      <c r="B591" s="506" t="n"/>
      <c r="C591" s="141" t="n"/>
      <c r="D591" s="141" t="n"/>
      <c r="E591" s="141" t="n"/>
      <c r="F591" s="141" t="n"/>
      <c r="G591" s="143" t="n"/>
      <c r="H591" s="27" t="n"/>
    </row>
    <row r="592" ht="17.25" customHeight="1" s="322">
      <c r="A592" s="27" t="n"/>
      <c r="B592" s="506" t="n"/>
      <c r="C592" s="141" t="n"/>
      <c r="D592" s="141" t="n"/>
      <c r="E592" s="141" t="n"/>
      <c r="F592" s="141" t="n"/>
      <c r="G592" s="143" t="n"/>
      <c r="H592" s="27" t="n"/>
    </row>
    <row r="593" ht="17.25" customHeight="1" s="322">
      <c r="A593" s="27" t="n"/>
      <c r="B593" s="506" t="n"/>
      <c r="C593" s="141" t="n"/>
      <c r="D593" s="141" t="n"/>
      <c r="E593" s="141" t="n"/>
      <c r="F593" s="141" t="n"/>
      <c r="G593" s="143" t="n"/>
      <c r="H593" s="27" t="n"/>
    </row>
    <row r="594" ht="17.25" customHeight="1" s="322">
      <c r="A594" s="27" t="n"/>
      <c r="B594" s="506" t="n"/>
      <c r="C594" s="141" t="n"/>
      <c r="D594" s="141" t="n"/>
      <c r="E594" s="141" t="n"/>
      <c r="F594" s="141" t="n"/>
      <c r="G594" s="143" t="n"/>
      <c r="H594" s="27" t="n"/>
    </row>
    <row r="595" ht="17.25" customHeight="1" s="322">
      <c r="A595" s="27" t="n"/>
      <c r="B595" s="506" t="n"/>
      <c r="C595" s="141" t="n"/>
      <c r="D595" s="141" t="n"/>
      <c r="E595" s="141" t="n"/>
      <c r="F595" s="141" t="n"/>
      <c r="G595" s="143" t="n"/>
      <c r="H595" s="27" t="n"/>
    </row>
    <row r="596" ht="17.25" customHeight="1" s="322">
      <c r="A596" s="27" t="n"/>
      <c r="B596" s="506" t="n"/>
      <c r="C596" s="141" t="n"/>
      <c r="D596" s="141" t="n"/>
      <c r="E596" s="141" t="n"/>
      <c r="F596" s="141" t="n"/>
      <c r="G596" s="143" t="n"/>
      <c r="H596" s="27" t="n"/>
    </row>
    <row r="597" ht="17.25" customHeight="1" s="322">
      <c r="A597" s="27" t="n"/>
      <c r="B597" s="506" t="n"/>
      <c r="C597" s="141" t="n"/>
      <c r="D597" s="141" t="n"/>
      <c r="E597" s="141" t="n"/>
      <c r="F597" s="141" t="n"/>
      <c r="G597" s="143" t="n"/>
      <c r="H597" s="27" t="n"/>
    </row>
    <row r="598" ht="17.25" customHeight="1" s="322">
      <c r="A598" s="27" t="n"/>
      <c r="B598" s="506" t="n"/>
      <c r="C598" s="141" t="n"/>
      <c r="D598" s="141" t="n"/>
      <c r="E598" s="141" t="n"/>
      <c r="F598" s="141" t="n"/>
      <c r="G598" s="143" t="n"/>
      <c r="H598" s="27" t="n"/>
    </row>
    <row r="599" ht="17.25" customHeight="1" s="322">
      <c r="A599" s="27" t="n"/>
      <c r="B599" s="506" t="n"/>
      <c r="C599" s="141" t="n"/>
      <c r="D599" s="141" t="n"/>
      <c r="E599" s="141" t="n"/>
      <c r="F599" s="141" t="n"/>
      <c r="G599" s="143" t="n"/>
      <c r="H599" s="27" t="n"/>
    </row>
    <row r="600" ht="17.25" customHeight="1" s="322">
      <c r="A600" s="27" t="n"/>
      <c r="B600" s="506" t="n"/>
      <c r="C600" s="141" t="n"/>
      <c r="D600" s="141" t="n"/>
      <c r="E600" s="141" t="n"/>
      <c r="F600" s="141" t="n"/>
      <c r="G600" s="143" t="n"/>
      <c r="H600" s="27" t="n"/>
    </row>
    <row r="601" ht="17.25" customHeight="1" s="322">
      <c r="A601" s="27" t="n"/>
      <c r="B601" s="506" t="n"/>
      <c r="C601" s="141" t="n"/>
      <c r="D601" s="141" t="n"/>
      <c r="E601" s="141" t="n"/>
      <c r="F601" s="141" t="n"/>
      <c r="G601" s="143" t="n"/>
      <c r="H601" s="27" t="n"/>
    </row>
    <row r="602" ht="17.25" customHeight="1" s="322">
      <c r="A602" s="27" t="n"/>
      <c r="B602" s="506" t="n"/>
      <c r="C602" s="141" t="n"/>
      <c r="D602" s="141" t="n"/>
      <c r="E602" s="141" t="n"/>
      <c r="F602" s="141" t="n"/>
      <c r="G602" s="143" t="n"/>
      <c r="H602" s="27" t="n"/>
    </row>
    <row r="603" ht="17.25" customHeight="1" s="322">
      <c r="A603" s="27" t="n"/>
      <c r="B603" s="506" t="n"/>
      <c r="C603" s="141" t="n"/>
      <c r="D603" s="141" t="n"/>
      <c r="E603" s="141" t="n"/>
      <c r="F603" s="141" t="n"/>
      <c r="G603" s="143" t="n"/>
      <c r="H603" s="27" t="n"/>
    </row>
    <row r="604" ht="17.25" customHeight="1" s="322">
      <c r="A604" s="27" t="n"/>
      <c r="B604" s="506" t="n"/>
      <c r="C604" s="141" t="n"/>
      <c r="D604" s="141" t="n"/>
      <c r="E604" s="141" t="n"/>
      <c r="F604" s="141" t="n"/>
      <c r="G604" s="143" t="n"/>
      <c r="H604" s="27" t="n"/>
    </row>
    <row r="605" ht="17.25" customHeight="1" s="322">
      <c r="A605" s="27" t="n"/>
      <c r="B605" s="506" t="n"/>
      <c r="C605" s="141" t="n"/>
      <c r="D605" s="141" t="n"/>
      <c r="E605" s="141" t="n"/>
      <c r="F605" s="141" t="n"/>
      <c r="G605" s="143" t="n"/>
      <c r="H605" s="27" t="n"/>
    </row>
    <row r="606" ht="17.25" customHeight="1" s="322">
      <c r="A606" s="27" t="n"/>
      <c r="B606" s="506" t="n"/>
      <c r="C606" s="141" t="n"/>
      <c r="D606" s="141" t="n"/>
      <c r="E606" s="141" t="n"/>
      <c r="F606" s="141" t="n"/>
      <c r="G606" s="143" t="n"/>
      <c r="H606" s="27" t="n"/>
    </row>
    <row r="607" ht="17.25" customHeight="1" s="322">
      <c r="A607" s="27" t="n"/>
      <c r="B607" s="506" t="n"/>
      <c r="C607" s="141" t="n"/>
      <c r="D607" s="141" t="n"/>
      <c r="E607" s="141" t="n"/>
      <c r="F607" s="141" t="n"/>
      <c r="G607" s="143" t="n"/>
      <c r="H607" s="27" t="n"/>
    </row>
    <row r="608" ht="17.25" customHeight="1" s="322">
      <c r="A608" s="27" t="n"/>
      <c r="B608" s="506" t="n"/>
      <c r="C608" s="141" t="n"/>
      <c r="D608" s="141" t="n"/>
      <c r="E608" s="141" t="n"/>
      <c r="F608" s="141" t="n"/>
      <c r="G608" s="143" t="n"/>
      <c r="H608" s="27" t="n"/>
    </row>
    <row r="609" ht="17.25" customHeight="1" s="322">
      <c r="A609" s="27" t="n"/>
      <c r="B609" s="506" t="n"/>
      <c r="C609" s="141" t="n"/>
      <c r="D609" s="141" t="n"/>
      <c r="E609" s="141" t="n"/>
      <c r="F609" s="141" t="n"/>
      <c r="G609" s="143" t="n"/>
      <c r="H609" s="27" t="n"/>
    </row>
    <row r="610" ht="17.25" customHeight="1" s="322">
      <c r="A610" s="27" t="n"/>
      <c r="B610" s="506" t="n"/>
      <c r="C610" s="141" t="n"/>
      <c r="D610" s="141" t="n"/>
      <c r="E610" s="141" t="n"/>
      <c r="F610" s="141" t="n"/>
      <c r="G610" s="143" t="n"/>
      <c r="H610" s="27" t="n"/>
    </row>
    <row r="611" ht="17.25" customHeight="1" s="322">
      <c r="A611" s="27" t="n"/>
      <c r="B611" s="506" t="n"/>
      <c r="C611" s="141" t="n"/>
      <c r="D611" s="141" t="n"/>
      <c r="E611" s="141" t="n"/>
      <c r="F611" s="141" t="n"/>
      <c r="G611" s="143" t="n"/>
      <c r="H611" s="27" t="n"/>
    </row>
    <row r="612" ht="17.25" customHeight="1" s="322">
      <c r="A612" s="27" t="n"/>
      <c r="B612" s="506" t="n"/>
      <c r="C612" s="141" t="n"/>
      <c r="D612" s="141" t="n"/>
      <c r="E612" s="141" t="n"/>
      <c r="F612" s="141" t="n"/>
      <c r="G612" s="143" t="n"/>
      <c r="H612" s="27" t="n"/>
    </row>
    <row r="613" ht="17.25" customHeight="1" s="322">
      <c r="A613" s="27" t="n"/>
      <c r="B613" s="506" t="n"/>
      <c r="C613" s="141" t="n"/>
      <c r="D613" s="141" t="n"/>
      <c r="E613" s="141" t="n"/>
      <c r="F613" s="141" t="n"/>
      <c r="G613" s="143" t="n"/>
      <c r="H613" s="27" t="n"/>
    </row>
    <row r="614" ht="17.25" customHeight="1" s="322">
      <c r="A614" s="27" t="n"/>
      <c r="B614" s="506" t="n"/>
      <c r="C614" s="141" t="n"/>
      <c r="D614" s="141" t="n"/>
      <c r="E614" s="141" t="n"/>
      <c r="F614" s="141" t="n"/>
      <c r="G614" s="143" t="n"/>
      <c r="H614" s="27" t="n"/>
    </row>
    <row r="615" ht="17.25" customHeight="1" s="322">
      <c r="A615" s="27" t="n"/>
      <c r="B615" s="506" t="n"/>
      <c r="C615" s="141" t="n"/>
      <c r="D615" s="141" t="n"/>
      <c r="E615" s="141" t="n"/>
      <c r="F615" s="141" t="n"/>
      <c r="G615" s="143" t="n"/>
      <c r="H615" s="27" t="n"/>
    </row>
    <row r="616" ht="17.25" customHeight="1" s="322">
      <c r="A616" s="27" t="n"/>
      <c r="B616" s="506" t="n"/>
      <c r="C616" s="141" t="n"/>
      <c r="D616" s="141" t="n"/>
      <c r="E616" s="141" t="n"/>
      <c r="F616" s="141" t="n"/>
      <c r="G616" s="143" t="n"/>
      <c r="H616" s="27" t="n"/>
    </row>
    <row r="617" ht="17.25" customHeight="1" s="322">
      <c r="A617" s="27" t="n"/>
      <c r="B617" s="506" t="n"/>
      <c r="C617" s="141" t="n"/>
      <c r="D617" s="141" t="n"/>
      <c r="E617" s="141" t="n"/>
      <c r="F617" s="141" t="n"/>
      <c r="G617" s="143" t="n"/>
      <c r="H617" s="27" t="n"/>
    </row>
    <row r="618" ht="17.25" customHeight="1" s="322">
      <c r="A618" s="27" t="n"/>
      <c r="B618" s="506" t="n"/>
      <c r="C618" s="141" t="n"/>
      <c r="D618" s="141" t="n"/>
      <c r="E618" s="141" t="n"/>
      <c r="F618" s="141" t="n"/>
      <c r="G618" s="143" t="n"/>
      <c r="H618" s="27" t="n"/>
    </row>
    <row r="619" ht="17.25" customHeight="1" s="322">
      <c r="A619" s="27" t="n"/>
      <c r="B619" s="506" t="n"/>
      <c r="C619" s="141" t="n"/>
      <c r="D619" s="141" t="n"/>
      <c r="E619" s="141" t="n"/>
      <c r="F619" s="141" t="n"/>
      <c r="G619" s="143" t="n"/>
      <c r="H619" s="27" t="n"/>
    </row>
    <row r="620" ht="17.25" customHeight="1" s="322">
      <c r="A620" s="27" t="n"/>
      <c r="B620" s="506" t="n"/>
      <c r="C620" s="141" t="n"/>
      <c r="D620" s="141" t="n"/>
      <c r="E620" s="141" t="n"/>
      <c r="F620" s="141" t="n"/>
      <c r="G620" s="143" t="n"/>
      <c r="H620" s="27" t="n"/>
    </row>
    <row r="621" ht="17.25" customHeight="1" s="322">
      <c r="A621" s="27" t="n"/>
      <c r="B621" s="506" t="n"/>
      <c r="C621" s="141" t="n"/>
      <c r="D621" s="141" t="n"/>
      <c r="E621" s="141" t="n"/>
      <c r="F621" s="141" t="n"/>
      <c r="G621" s="143" t="n"/>
      <c r="H621" s="27" t="n"/>
    </row>
    <row r="622" ht="17.25" customHeight="1" s="322">
      <c r="A622" s="27" t="n"/>
      <c r="B622" s="506" t="n"/>
      <c r="C622" s="141" t="n"/>
      <c r="D622" s="141" t="n"/>
      <c r="E622" s="141" t="n"/>
      <c r="F622" s="141" t="n"/>
      <c r="G622" s="143" t="n"/>
      <c r="H622" s="27" t="n"/>
    </row>
    <row r="623" ht="17.25" customHeight="1" s="322">
      <c r="A623" s="27" t="n"/>
      <c r="B623" s="506" t="n"/>
      <c r="C623" s="141" t="n"/>
      <c r="D623" s="141" t="n"/>
      <c r="E623" s="141" t="n"/>
      <c r="F623" s="141" t="n"/>
      <c r="G623" s="143" t="n"/>
      <c r="H623" s="27" t="n"/>
    </row>
    <row r="624" ht="17.25" customHeight="1" s="322">
      <c r="A624" s="27" t="n"/>
      <c r="B624" s="506" t="n"/>
      <c r="C624" s="141" t="n"/>
      <c r="D624" s="141" t="n"/>
      <c r="E624" s="141" t="n"/>
      <c r="F624" s="141" t="n"/>
      <c r="G624" s="143" t="n"/>
      <c r="H624" s="27" t="n"/>
    </row>
    <row r="625" ht="17.25" customHeight="1" s="322">
      <c r="A625" s="27" t="n"/>
      <c r="B625" s="506" t="n"/>
      <c r="C625" s="141" t="n"/>
      <c r="D625" s="141" t="n"/>
      <c r="E625" s="141" t="n"/>
      <c r="F625" s="141" t="n"/>
      <c r="G625" s="143" t="n"/>
      <c r="H625" s="27" t="n"/>
    </row>
    <row r="626" ht="17.25" customHeight="1" s="322">
      <c r="A626" s="27" t="n"/>
      <c r="B626" s="506" t="n"/>
      <c r="C626" s="141" t="n"/>
      <c r="D626" s="141" t="n"/>
      <c r="E626" s="141" t="n"/>
      <c r="F626" s="141" t="n"/>
      <c r="G626" s="143" t="n"/>
      <c r="H626" s="27" t="n"/>
    </row>
    <row r="627" ht="17.25" customHeight="1" s="322">
      <c r="A627" s="27" t="n"/>
      <c r="B627" s="506" t="n"/>
      <c r="C627" s="141" t="n"/>
      <c r="D627" s="141" t="n"/>
      <c r="E627" s="141" t="n"/>
      <c r="F627" s="141" t="n"/>
      <c r="G627" s="143" t="n"/>
      <c r="H627" s="27" t="n"/>
    </row>
    <row r="628" ht="17.25" customHeight="1" s="322">
      <c r="A628" s="27" t="n"/>
      <c r="B628" s="506" t="n"/>
      <c r="C628" s="141" t="n"/>
      <c r="D628" s="141" t="n"/>
      <c r="E628" s="141" t="n"/>
      <c r="F628" s="141" t="n"/>
      <c r="G628" s="143" t="n"/>
      <c r="H628" s="27" t="n"/>
    </row>
    <row r="629" ht="17.25" customHeight="1" s="322">
      <c r="A629" s="27" t="n"/>
      <c r="B629" s="506" t="n"/>
      <c r="C629" s="141" t="n"/>
      <c r="D629" s="141" t="n"/>
      <c r="E629" s="141" t="n"/>
      <c r="F629" s="141" t="n"/>
      <c r="G629" s="143" t="n"/>
      <c r="H629" s="27" t="n"/>
    </row>
    <row r="630" ht="17.25" customHeight="1" s="322">
      <c r="A630" s="27" t="n"/>
      <c r="B630" s="506" t="n"/>
      <c r="C630" s="141" t="n"/>
      <c r="D630" s="141" t="n"/>
      <c r="E630" s="141" t="n"/>
      <c r="F630" s="141" t="n"/>
      <c r="G630" s="143" t="n"/>
      <c r="H630" s="27" t="n"/>
    </row>
    <row r="631" ht="17.25" customHeight="1" s="322">
      <c r="A631" s="27" t="n"/>
      <c r="B631" s="506" t="n"/>
      <c r="C631" s="141" t="n"/>
      <c r="D631" s="141" t="n"/>
      <c r="E631" s="141" t="n"/>
      <c r="F631" s="141" t="n"/>
      <c r="G631" s="143" t="n"/>
      <c r="H631" s="27" t="n"/>
    </row>
    <row r="632" ht="17.25" customHeight="1" s="322">
      <c r="A632" s="27" t="n"/>
      <c r="B632" s="506" t="n"/>
      <c r="C632" s="141" t="n"/>
      <c r="D632" s="141" t="n"/>
      <c r="E632" s="141" t="n"/>
      <c r="F632" s="141" t="n"/>
      <c r="G632" s="143" t="n"/>
      <c r="H632" s="27" t="n"/>
    </row>
    <row r="633" ht="17.25" customHeight="1" s="322">
      <c r="A633" s="27" t="n"/>
      <c r="B633" s="506" t="n"/>
      <c r="C633" s="141" t="n"/>
      <c r="D633" s="141" t="n"/>
      <c r="E633" s="141" t="n"/>
      <c r="F633" s="141" t="n"/>
      <c r="G633" s="143" t="n"/>
      <c r="H633" s="27" t="n"/>
    </row>
    <row r="634" ht="17.25" customHeight="1" s="322">
      <c r="A634" s="27" t="n"/>
      <c r="B634" s="506" t="n"/>
      <c r="C634" s="141" t="n"/>
      <c r="D634" s="141" t="n"/>
      <c r="E634" s="141" t="n"/>
      <c r="F634" s="141" t="n"/>
      <c r="G634" s="143" t="n"/>
      <c r="H634" s="27" t="n"/>
    </row>
    <row r="635" ht="17.25" customHeight="1" s="322">
      <c r="A635" s="27" t="n"/>
      <c r="B635" s="506" t="n"/>
      <c r="C635" s="141" t="n"/>
      <c r="D635" s="141" t="n"/>
      <c r="E635" s="141" t="n"/>
      <c r="F635" s="141" t="n"/>
      <c r="G635" s="143" t="n"/>
      <c r="H635" s="27" t="n"/>
    </row>
    <row r="636" ht="17.25" customHeight="1" s="322">
      <c r="A636" s="27" t="n"/>
      <c r="B636" s="506" t="n"/>
      <c r="C636" s="141" t="n"/>
      <c r="D636" s="141" t="n"/>
      <c r="E636" s="141" t="n"/>
      <c r="F636" s="141" t="n"/>
      <c r="G636" s="143" t="n"/>
      <c r="H636" s="27" t="n"/>
    </row>
    <row r="637" ht="17.25" customHeight="1" s="322">
      <c r="A637" s="27" t="n"/>
      <c r="B637" s="506" t="n"/>
      <c r="C637" s="141" t="n"/>
      <c r="D637" s="141" t="n"/>
      <c r="E637" s="141" t="n"/>
      <c r="F637" s="141" t="n"/>
      <c r="G637" s="143" t="n"/>
      <c r="H637" s="27" t="n"/>
    </row>
    <row r="638" ht="17.25" customHeight="1" s="322">
      <c r="A638" s="27" t="n"/>
      <c r="B638" s="506" t="n"/>
      <c r="C638" s="141" t="n"/>
      <c r="D638" s="141" t="n"/>
      <c r="E638" s="141" t="n"/>
      <c r="F638" s="141" t="n"/>
      <c r="G638" s="143" t="n"/>
      <c r="H638" s="27" t="n"/>
    </row>
    <row r="639" ht="17.25" customHeight="1" s="322">
      <c r="A639" s="27" t="n"/>
      <c r="B639" s="506" t="n"/>
      <c r="C639" s="141" t="n"/>
      <c r="D639" s="141" t="n"/>
      <c r="E639" s="141" t="n"/>
      <c r="F639" s="141" t="n"/>
      <c r="G639" s="143" t="n"/>
      <c r="H639" s="27" t="n"/>
    </row>
    <row r="640" ht="17.25" customHeight="1" s="322">
      <c r="A640" s="27" t="n"/>
      <c r="B640" s="506" t="n"/>
      <c r="C640" s="141" t="n"/>
      <c r="D640" s="141" t="n"/>
      <c r="E640" s="141" t="n"/>
      <c r="F640" s="141" t="n"/>
      <c r="G640" s="143" t="n"/>
      <c r="H640" s="27" t="n"/>
    </row>
    <row r="641" ht="17.25" customHeight="1" s="322">
      <c r="A641" s="27" t="n"/>
      <c r="B641" s="506" t="n"/>
      <c r="C641" s="141" t="n"/>
      <c r="D641" s="141" t="n"/>
      <c r="E641" s="141" t="n"/>
      <c r="F641" s="141" t="n"/>
      <c r="G641" s="143" t="n"/>
      <c r="H641" s="27" t="n"/>
    </row>
    <row r="642" ht="17.25" customHeight="1" s="322">
      <c r="A642" s="27" t="n"/>
      <c r="B642" s="506" t="n"/>
      <c r="C642" s="141" t="n"/>
      <c r="D642" s="141" t="n"/>
      <c r="E642" s="141" t="n"/>
      <c r="F642" s="141" t="n"/>
      <c r="G642" s="143" t="n"/>
      <c r="H642" s="27" t="n"/>
    </row>
    <row r="643" ht="17.25" customHeight="1" s="322">
      <c r="A643" s="27" t="n"/>
      <c r="B643" s="506" t="n"/>
      <c r="C643" s="141" t="n"/>
      <c r="D643" s="141" t="n"/>
      <c r="E643" s="141" t="n"/>
      <c r="F643" s="141" t="n"/>
      <c r="G643" s="143" t="n"/>
      <c r="H643" s="27" t="n"/>
    </row>
    <row r="644" ht="17.25" customHeight="1" s="322">
      <c r="A644" s="27" t="n"/>
      <c r="B644" s="506" t="n"/>
      <c r="C644" s="141" t="n"/>
      <c r="D644" s="141" t="n"/>
      <c r="E644" s="141" t="n"/>
      <c r="F644" s="141" t="n"/>
      <c r="G644" s="143" t="n"/>
      <c r="H644" s="27" t="n"/>
    </row>
    <row r="645" ht="17.25" customHeight="1" s="322">
      <c r="A645" s="27" t="n"/>
      <c r="B645" s="506" t="n"/>
      <c r="C645" s="141" t="n"/>
      <c r="D645" s="141" t="n"/>
      <c r="E645" s="141" t="n"/>
      <c r="F645" s="141" t="n"/>
      <c r="G645" s="143" t="n"/>
      <c r="H645" s="27" t="n"/>
    </row>
    <row r="646" ht="17.25" customHeight="1" s="322">
      <c r="A646" s="27" t="n"/>
      <c r="B646" s="506" t="n"/>
      <c r="C646" s="141" t="n"/>
      <c r="D646" s="141" t="n"/>
      <c r="E646" s="141" t="n"/>
      <c r="F646" s="141" t="n"/>
      <c r="G646" s="143" t="n"/>
      <c r="H646" s="27" t="n"/>
    </row>
    <row r="647" ht="17.25" customHeight="1" s="322">
      <c r="A647" s="27" t="n"/>
      <c r="B647" s="506" t="n"/>
      <c r="C647" s="141" t="n"/>
      <c r="D647" s="141" t="n"/>
      <c r="E647" s="141" t="n"/>
      <c r="F647" s="141" t="n"/>
      <c r="G647" s="143" t="n"/>
      <c r="H647" s="27" t="n"/>
    </row>
    <row r="648" ht="17.25" customHeight="1" s="322">
      <c r="A648" s="27" t="n"/>
      <c r="B648" s="506" t="n"/>
      <c r="C648" s="141" t="n"/>
      <c r="D648" s="141" t="n"/>
      <c r="E648" s="141" t="n"/>
      <c r="F648" s="141" t="n"/>
      <c r="G648" s="143" t="n"/>
      <c r="H648" s="27" t="n"/>
    </row>
    <row r="649" ht="17.25" customHeight="1" s="322">
      <c r="A649" s="27" t="n"/>
      <c r="B649" s="506" t="n"/>
      <c r="C649" s="141" t="n"/>
      <c r="D649" s="141" t="n"/>
      <c r="E649" s="141" t="n"/>
      <c r="F649" s="141" t="n"/>
      <c r="G649" s="143" t="n"/>
      <c r="H649" s="27" t="n"/>
    </row>
    <row r="650" ht="17.25" customHeight="1" s="322">
      <c r="A650" s="27" t="n"/>
      <c r="B650" s="506" t="n"/>
      <c r="C650" s="141" t="n"/>
      <c r="D650" s="141" t="n"/>
      <c r="E650" s="141" t="n"/>
      <c r="F650" s="141" t="n"/>
      <c r="G650" s="143" t="n"/>
      <c r="H650" s="27" t="n"/>
    </row>
    <row r="651" ht="17.25" customHeight="1" s="322">
      <c r="A651" s="27" t="n"/>
      <c r="B651" s="506" t="n"/>
      <c r="C651" s="141" t="n"/>
      <c r="D651" s="141" t="n"/>
      <c r="E651" s="141" t="n"/>
      <c r="F651" s="141" t="n"/>
      <c r="G651" s="143" t="n"/>
      <c r="H651" s="27" t="n"/>
    </row>
    <row r="652" ht="17.25" customHeight="1" s="322">
      <c r="A652" s="27" t="n"/>
      <c r="B652" s="506" t="n"/>
      <c r="C652" s="141" t="n"/>
      <c r="D652" s="141" t="n"/>
      <c r="E652" s="141" t="n"/>
      <c r="F652" s="141" t="n"/>
      <c r="G652" s="143" t="n"/>
      <c r="H652" s="27" t="n"/>
    </row>
    <row r="653" ht="17.25" customHeight="1" s="322">
      <c r="A653" s="27" t="n"/>
      <c r="B653" s="506" t="n"/>
      <c r="C653" s="141" t="n"/>
      <c r="D653" s="141" t="n"/>
      <c r="E653" s="141" t="n"/>
      <c r="F653" s="141" t="n"/>
      <c r="G653" s="143" t="n"/>
      <c r="H653" s="27" t="n"/>
    </row>
    <row r="654" ht="17.25" customHeight="1" s="322">
      <c r="A654" s="27" t="n"/>
      <c r="B654" s="506" t="n"/>
      <c r="C654" s="141" t="n"/>
      <c r="D654" s="141" t="n"/>
      <c r="E654" s="141" t="n"/>
      <c r="F654" s="141" t="n"/>
      <c r="G654" s="143" t="n"/>
      <c r="H654" s="27" t="n"/>
    </row>
    <row r="655" ht="17.25" customHeight="1" s="322">
      <c r="A655" s="27" t="n"/>
      <c r="B655" s="506" t="n"/>
      <c r="C655" s="141" t="n"/>
      <c r="D655" s="141" t="n"/>
      <c r="E655" s="141" t="n"/>
      <c r="F655" s="141" t="n"/>
      <c r="G655" s="143" t="n"/>
      <c r="H655" s="27" t="n"/>
    </row>
    <row r="656" ht="17.25" customHeight="1" s="322">
      <c r="A656" s="27" t="n"/>
      <c r="B656" s="506" t="n"/>
      <c r="C656" s="141" t="n"/>
      <c r="D656" s="141" t="n"/>
      <c r="E656" s="141" t="n"/>
      <c r="F656" s="141" t="n"/>
      <c r="G656" s="143" t="n"/>
      <c r="H656" s="27" t="n"/>
    </row>
    <row r="657" ht="17.25" customHeight="1" s="322">
      <c r="A657" s="27" t="n"/>
      <c r="B657" s="506" t="n"/>
      <c r="C657" s="141" t="n"/>
      <c r="D657" s="141" t="n"/>
      <c r="E657" s="141" t="n"/>
      <c r="F657" s="141" t="n"/>
      <c r="G657" s="143" t="n"/>
      <c r="H657" s="27" t="n"/>
    </row>
    <row r="658" ht="17.25" customHeight="1" s="322">
      <c r="A658" s="27" t="n"/>
      <c r="B658" s="506" t="n"/>
      <c r="C658" s="141" t="n"/>
      <c r="D658" s="141" t="n"/>
      <c r="E658" s="141" t="n"/>
      <c r="F658" s="141" t="n"/>
      <c r="G658" s="143" t="n"/>
      <c r="H658" s="27" t="n"/>
    </row>
    <row r="659" ht="17.25" customHeight="1" s="322">
      <c r="A659" s="27" t="n"/>
      <c r="B659" s="506" t="n"/>
      <c r="C659" s="141" t="n"/>
      <c r="D659" s="141" t="n"/>
      <c r="E659" s="141" t="n"/>
      <c r="F659" s="141" t="n"/>
      <c r="G659" s="143" t="n"/>
      <c r="H659" s="27" t="n"/>
    </row>
    <row r="660" ht="17.25" customHeight="1" s="322">
      <c r="A660" s="27" t="n"/>
      <c r="B660" s="506" t="n"/>
      <c r="C660" s="141" t="n"/>
      <c r="D660" s="141" t="n"/>
      <c r="E660" s="141" t="n"/>
      <c r="F660" s="141" t="n"/>
      <c r="G660" s="143" t="n"/>
      <c r="H660" s="27" t="n"/>
    </row>
    <row r="661" ht="17.25" customHeight="1" s="322">
      <c r="A661" s="27" t="n"/>
      <c r="B661" s="506" t="n"/>
      <c r="C661" s="141" t="n"/>
      <c r="D661" s="141" t="n"/>
      <c r="E661" s="141" t="n"/>
      <c r="F661" s="141" t="n"/>
      <c r="G661" s="143" t="n"/>
      <c r="H661" s="27" t="n"/>
    </row>
    <row r="662" ht="17.25" customHeight="1" s="322">
      <c r="A662" s="27" t="n"/>
      <c r="B662" s="506" t="n"/>
      <c r="C662" s="141" t="n"/>
      <c r="D662" s="141" t="n"/>
      <c r="E662" s="141" t="n"/>
      <c r="F662" s="141" t="n"/>
      <c r="G662" s="143" t="n"/>
      <c r="H662" s="27" t="n"/>
    </row>
    <row r="663" ht="17.25" customHeight="1" s="322">
      <c r="A663" s="27" t="n"/>
      <c r="B663" s="506" t="n"/>
      <c r="C663" s="141" t="n"/>
      <c r="D663" s="141" t="n"/>
      <c r="E663" s="141" t="n"/>
      <c r="F663" s="141" t="n"/>
      <c r="G663" s="143" t="n"/>
      <c r="H663" s="27" t="n"/>
    </row>
    <row r="664" ht="17.25" customHeight="1" s="322">
      <c r="A664" s="27" t="n"/>
      <c r="B664" s="506" t="n"/>
      <c r="C664" s="141" t="n"/>
      <c r="D664" s="141" t="n"/>
      <c r="E664" s="141" t="n"/>
      <c r="F664" s="141" t="n"/>
      <c r="G664" s="143" t="n"/>
      <c r="H664" s="27" t="n"/>
    </row>
    <row r="665" ht="17.25" customHeight="1" s="322">
      <c r="A665" s="27" t="n"/>
      <c r="B665" s="506" t="n"/>
      <c r="C665" s="141" t="n"/>
      <c r="D665" s="141" t="n"/>
      <c r="E665" s="141" t="n"/>
      <c r="F665" s="141" t="n"/>
      <c r="G665" s="143" t="n"/>
      <c r="H665" s="27" t="n"/>
    </row>
    <row r="666" ht="17.25" customHeight="1" s="322">
      <c r="A666" s="27" t="n"/>
      <c r="B666" s="506" t="n"/>
      <c r="C666" s="141" t="n"/>
      <c r="D666" s="141" t="n"/>
      <c r="E666" s="141" t="n"/>
      <c r="F666" s="141" t="n"/>
      <c r="G666" s="143" t="n"/>
      <c r="H666" s="27" t="n"/>
    </row>
    <row r="667" ht="17.25" customHeight="1" s="322">
      <c r="A667" s="27" t="n"/>
      <c r="B667" s="506" t="n"/>
      <c r="C667" s="141" t="n"/>
      <c r="D667" s="141" t="n"/>
      <c r="E667" s="141" t="n"/>
      <c r="F667" s="141" t="n"/>
      <c r="G667" s="143" t="n"/>
      <c r="H667" s="27" t="n"/>
    </row>
    <row r="668" ht="17.25" customHeight="1" s="322">
      <c r="A668" s="27" t="n"/>
      <c r="B668" s="506" t="n"/>
      <c r="C668" s="141" t="n"/>
      <c r="D668" s="141" t="n"/>
      <c r="E668" s="141" t="n"/>
      <c r="F668" s="141" t="n"/>
      <c r="G668" s="143" t="n"/>
      <c r="H668" s="27" t="n"/>
    </row>
    <row r="669" ht="17.25" customHeight="1" s="322">
      <c r="A669" s="27" t="n"/>
      <c r="B669" s="506" t="n"/>
      <c r="C669" s="141" t="n"/>
      <c r="D669" s="141" t="n"/>
      <c r="E669" s="141" t="n"/>
      <c r="F669" s="141" t="n"/>
      <c r="G669" s="143" t="n"/>
      <c r="H669" s="27" t="n"/>
    </row>
    <row r="670" ht="17.25" customHeight="1" s="322">
      <c r="A670" s="27" t="n"/>
      <c r="B670" s="506" t="n"/>
      <c r="C670" s="141" t="n"/>
      <c r="D670" s="141" t="n"/>
      <c r="E670" s="141" t="n"/>
      <c r="F670" s="141" t="n"/>
      <c r="G670" s="143" t="n"/>
      <c r="H670" s="27" t="n"/>
    </row>
    <row r="671" ht="17.25" customHeight="1" s="322">
      <c r="A671" s="27" t="n"/>
      <c r="B671" s="506" t="n"/>
      <c r="C671" s="141" t="n"/>
      <c r="D671" s="141" t="n"/>
      <c r="E671" s="141" t="n"/>
      <c r="F671" s="141" t="n"/>
      <c r="G671" s="143" t="n"/>
      <c r="H671" s="27" t="n"/>
    </row>
    <row r="672" ht="17.25" customHeight="1" s="322">
      <c r="A672" s="27" t="n"/>
      <c r="B672" s="506" t="n"/>
      <c r="C672" s="141" t="n"/>
      <c r="D672" s="141" t="n"/>
      <c r="E672" s="141" t="n"/>
      <c r="F672" s="141" t="n"/>
      <c r="G672" s="143" t="n"/>
      <c r="H672" s="27" t="n"/>
    </row>
    <row r="673" ht="17.25" customHeight="1" s="322">
      <c r="A673" s="27" t="n"/>
      <c r="B673" s="506" t="n"/>
      <c r="C673" s="141" t="n"/>
      <c r="D673" s="141" t="n"/>
      <c r="E673" s="141" t="n"/>
      <c r="F673" s="141" t="n"/>
      <c r="G673" s="143" t="n"/>
      <c r="H673" s="27" t="n"/>
    </row>
    <row r="674" ht="17.25" customHeight="1" s="322">
      <c r="A674" s="27" t="n"/>
      <c r="B674" s="506" t="n"/>
      <c r="C674" s="141" t="n"/>
      <c r="D674" s="141" t="n"/>
      <c r="E674" s="141" t="n"/>
      <c r="F674" s="141" t="n"/>
      <c r="G674" s="143" t="n"/>
      <c r="H674" s="27" t="n"/>
    </row>
    <row r="675" ht="17.25" customHeight="1" s="322">
      <c r="A675" s="27" t="n"/>
      <c r="B675" s="506" t="n"/>
      <c r="C675" s="141" t="n"/>
      <c r="D675" s="141" t="n"/>
      <c r="E675" s="141" t="n"/>
      <c r="F675" s="141" t="n"/>
      <c r="G675" s="143" t="n"/>
      <c r="H675" s="27" t="n"/>
    </row>
    <row r="676" ht="17.25" customHeight="1" s="322">
      <c r="A676" s="27" t="n"/>
      <c r="B676" s="506" t="n"/>
      <c r="C676" s="141" t="n"/>
      <c r="D676" s="141" t="n"/>
      <c r="E676" s="141" t="n"/>
      <c r="F676" s="141" t="n"/>
      <c r="G676" s="143" t="n"/>
      <c r="H676" s="27" t="n"/>
    </row>
    <row r="677" ht="17.25" customHeight="1" s="322">
      <c r="A677" s="27" t="n"/>
      <c r="B677" s="506" t="n"/>
      <c r="C677" s="141" t="n"/>
      <c r="D677" s="141" t="n"/>
      <c r="E677" s="141" t="n"/>
      <c r="F677" s="141" t="n"/>
      <c r="G677" s="143" t="n"/>
      <c r="H677" s="27" t="n"/>
    </row>
    <row r="678" ht="17.25" customHeight="1" s="322">
      <c r="A678" s="27" t="n"/>
      <c r="B678" s="506" t="n"/>
      <c r="C678" s="141" t="n"/>
      <c r="D678" s="141" t="n"/>
      <c r="E678" s="141" t="n"/>
      <c r="F678" s="141" t="n"/>
      <c r="G678" s="143" t="n"/>
      <c r="H678" s="27" t="n"/>
    </row>
    <row r="679" ht="17.25" customHeight="1" s="322">
      <c r="A679" s="27" t="n"/>
      <c r="B679" s="506" t="n"/>
      <c r="C679" s="141" t="n"/>
      <c r="D679" s="141" t="n"/>
      <c r="E679" s="141" t="n"/>
      <c r="F679" s="141" t="n"/>
      <c r="G679" s="143" t="n"/>
      <c r="H679" s="27" t="n"/>
    </row>
    <row r="680" ht="17.25" customHeight="1" s="322">
      <c r="A680" s="27" t="n"/>
      <c r="B680" s="506" t="n"/>
      <c r="C680" s="141" t="n"/>
      <c r="D680" s="141" t="n"/>
      <c r="E680" s="141" t="n"/>
      <c r="F680" s="141" t="n"/>
      <c r="G680" s="143" t="n"/>
      <c r="H680" s="27" t="n"/>
    </row>
    <row r="681" ht="17.25" customHeight="1" s="322">
      <c r="A681" s="27" t="n"/>
      <c r="B681" s="506" t="n"/>
      <c r="C681" s="141" t="n"/>
      <c r="D681" s="141" t="n"/>
      <c r="E681" s="141" t="n"/>
      <c r="F681" s="141" t="n"/>
      <c r="G681" s="143" t="n"/>
      <c r="H681" s="27" t="n"/>
    </row>
    <row r="682" ht="17.25" customHeight="1" s="322">
      <c r="A682" s="27" t="n"/>
      <c r="B682" s="506" t="n"/>
      <c r="C682" s="141" t="n"/>
      <c r="D682" s="141" t="n"/>
      <c r="E682" s="141" t="n"/>
      <c r="F682" s="141" t="n"/>
      <c r="G682" s="143" t="n"/>
      <c r="H682" s="27" t="n"/>
    </row>
    <row r="683" ht="17.25" customHeight="1" s="322">
      <c r="A683" s="27" t="n"/>
      <c r="B683" s="506" t="n"/>
      <c r="C683" s="141" t="n"/>
      <c r="D683" s="141" t="n"/>
      <c r="E683" s="141" t="n"/>
      <c r="F683" s="141" t="n"/>
      <c r="G683" s="143" t="n"/>
      <c r="H683" s="27" t="n"/>
    </row>
    <row r="684" ht="17.25" customHeight="1" s="322">
      <c r="A684" s="27" t="n"/>
      <c r="B684" s="506" t="n"/>
      <c r="C684" s="141" t="n"/>
      <c r="D684" s="141" t="n"/>
      <c r="E684" s="141" t="n"/>
      <c r="F684" s="141" t="n"/>
      <c r="G684" s="143" t="n"/>
      <c r="H684" s="27" t="n"/>
    </row>
    <row r="685" ht="17.25" customHeight="1" s="322">
      <c r="A685" s="27" t="n"/>
      <c r="B685" s="506" t="n"/>
      <c r="C685" s="141" t="n"/>
      <c r="D685" s="141" t="n"/>
      <c r="E685" s="141" t="n"/>
      <c r="F685" s="141" t="n"/>
      <c r="G685" s="143" t="n"/>
      <c r="H685" s="27" t="n"/>
    </row>
    <row r="686" ht="17.25" customHeight="1" s="322">
      <c r="A686" s="27" t="n"/>
      <c r="B686" s="506" t="n"/>
      <c r="C686" s="141" t="n"/>
      <c r="D686" s="141" t="n"/>
      <c r="E686" s="141" t="n"/>
      <c r="F686" s="141" t="n"/>
      <c r="G686" s="143" t="n"/>
      <c r="H686" s="27" t="n"/>
    </row>
    <row r="687" ht="17.25" customHeight="1" s="322">
      <c r="A687" s="27" t="n"/>
      <c r="B687" s="506" t="n"/>
      <c r="C687" s="141" t="n"/>
      <c r="D687" s="141" t="n"/>
      <c r="E687" s="141" t="n"/>
      <c r="F687" s="141" t="n"/>
      <c r="G687" s="143" t="n"/>
      <c r="H687" s="27" t="n"/>
    </row>
    <row r="688" ht="17.25" customHeight="1" s="322">
      <c r="A688" s="27" t="n"/>
      <c r="B688" s="506" t="n"/>
      <c r="C688" s="141" t="n"/>
      <c r="D688" s="141" t="n"/>
      <c r="E688" s="141" t="n"/>
      <c r="F688" s="141" t="n"/>
      <c r="G688" s="143" t="n"/>
      <c r="H688" s="27" t="n"/>
    </row>
    <row r="689" ht="17.25" customHeight="1" s="322">
      <c r="A689" s="27" t="n"/>
      <c r="B689" s="506" t="n"/>
      <c r="C689" s="141" t="n"/>
      <c r="D689" s="141" t="n"/>
      <c r="E689" s="141" t="n"/>
      <c r="F689" s="141" t="n"/>
      <c r="G689" s="143" t="n"/>
      <c r="H689" s="27" t="n"/>
    </row>
    <row r="690" ht="17.25" customHeight="1" s="322">
      <c r="A690" s="27" t="n"/>
      <c r="B690" s="506" t="n"/>
      <c r="C690" s="141" t="n"/>
      <c r="D690" s="141" t="n"/>
      <c r="E690" s="141" t="n"/>
      <c r="F690" s="141" t="n"/>
      <c r="G690" s="143" t="n"/>
      <c r="H690" s="27" t="n"/>
    </row>
    <row r="691" ht="17.25" customHeight="1" s="322">
      <c r="A691" s="27" t="n"/>
      <c r="B691" s="506" t="n"/>
      <c r="C691" s="141" t="n"/>
      <c r="D691" s="141" t="n"/>
      <c r="E691" s="141" t="n"/>
      <c r="F691" s="141" t="n"/>
      <c r="G691" s="143" t="n"/>
      <c r="H691" s="27" t="n"/>
    </row>
    <row r="692" ht="17.25" customHeight="1" s="322">
      <c r="A692" s="27" t="n"/>
      <c r="B692" s="506" t="n"/>
      <c r="C692" s="141" t="n"/>
      <c r="D692" s="141" t="n"/>
      <c r="E692" s="141" t="n"/>
      <c r="F692" s="141" t="n"/>
      <c r="G692" s="143" t="n"/>
      <c r="H692" s="27" t="n"/>
    </row>
    <row r="693" ht="17.25" customHeight="1" s="322">
      <c r="A693" s="27" t="n"/>
      <c r="B693" s="506" t="n"/>
      <c r="C693" s="141" t="n"/>
      <c r="D693" s="141" t="n"/>
      <c r="E693" s="141" t="n"/>
      <c r="F693" s="141" t="n"/>
      <c r="G693" s="143" t="n"/>
      <c r="H693" s="27" t="n"/>
    </row>
    <row r="694" ht="17.25" customHeight="1" s="322">
      <c r="A694" s="27" t="n"/>
      <c r="B694" s="506" t="n"/>
      <c r="C694" s="141" t="n"/>
      <c r="D694" s="141" t="n"/>
      <c r="E694" s="141" t="n"/>
      <c r="F694" s="141" t="n"/>
      <c r="G694" s="143" t="n"/>
      <c r="H694" s="27" t="n"/>
    </row>
    <row r="695" ht="17.25" customHeight="1" s="322">
      <c r="A695" s="27" t="n"/>
      <c r="B695" s="506" t="n"/>
      <c r="C695" s="141" t="n"/>
      <c r="D695" s="141" t="n"/>
      <c r="E695" s="141" t="n"/>
      <c r="F695" s="141" t="n"/>
      <c r="G695" s="143" t="n"/>
      <c r="H695" s="27" t="n"/>
    </row>
    <row r="696" ht="17.25" customHeight="1" s="322">
      <c r="A696" s="27" t="n"/>
      <c r="B696" s="506" t="n"/>
      <c r="C696" s="141" t="n"/>
      <c r="D696" s="141" t="n"/>
      <c r="E696" s="141" t="n"/>
      <c r="F696" s="141" t="n"/>
      <c r="G696" s="143" t="n"/>
      <c r="H696" s="27" t="n"/>
    </row>
    <row r="697" ht="17.25" customHeight="1" s="322">
      <c r="A697" s="27" t="n"/>
      <c r="B697" s="506" t="n"/>
      <c r="C697" s="141" t="n"/>
      <c r="D697" s="141" t="n"/>
      <c r="E697" s="141" t="n"/>
      <c r="F697" s="141" t="n"/>
      <c r="G697" s="143" t="n"/>
      <c r="H697" s="27" t="n"/>
    </row>
    <row r="698" ht="17.25" customHeight="1" s="322">
      <c r="A698" s="27" t="n"/>
      <c r="B698" s="506" t="n"/>
      <c r="C698" s="141" t="n"/>
      <c r="D698" s="141" t="n"/>
      <c r="E698" s="141" t="n"/>
      <c r="F698" s="141" t="n"/>
      <c r="G698" s="143" t="n"/>
      <c r="H698" s="27" t="n"/>
    </row>
    <row r="699" ht="17.25" customHeight="1" s="322">
      <c r="A699" s="27" t="n"/>
      <c r="B699" s="506" t="n"/>
      <c r="C699" s="141" t="n"/>
      <c r="D699" s="141" t="n"/>
      <c r="E699" s="141" t="n"/>
      <c r="F699" s="141" t="n"/>
      <c r="G699" s="143" t="n"/>
      <c r="H699" s="27" t="n"/>
    </row>
    <row r="700" ht="17.25" customHeight="1" s="322">
      <c r="A700" s="27" t="n"/>
      <c r="B700" s="506" t="n"/>
      <c r="C700" s="141" t="n"/>
      <c r="D700" s="141" t="n"/>
      <c r="E700" s="141" t="n"/>
      <c r="F700" s="141" t="n"/>
      <c r="G700" s="143" t="n"/>
      <c r="H700" s="27" t="n"/>
    </row>
    <row r="701" ht="17.25" customHeight="1" s="322">
      <c r="A701" s="27" t="n"/>
      <c r="B701" s="506" t="n"/>
      <c r="C701" s="141" t="n"/>
      <c r="D701" s="141" t="n"/>
      <c r="E701" s="141" t="n"/>
      <c r="F701" s="141" t="n"/>
      <c r="G701" s="143" t="n"/>
      <c r="H701" s="27" t="n"/>
    </row>
    <row r="702" ht="17.25" customHeight="1" s="322">
      <c r="A702" s="27" t="n"/>
      <c r="B702" s="506" t="n"/>
      <c r="C702" s="141" t="n"/>
      <c r="D702" s="141" t="n"/>
      <c r="E702" s="141" t="n"/>
      <c r="F702" s="141" t="n"/>
      <c r="G702" s="143" t="n"/>
      <c r="H702" s="27" t="n"/>
    </row>
    <row r="703" ht="17.25" customHeight="1" s="322">
      <c r="A703" s="27" t="n"/>
      <c r="B703" s="506" t="n"/>
      <c r="C703" s="141" t="n"/>
      <c r="D703" s="141" t="n"/>
      <c r="E703" s="141" t="n"/>
      <c r="F703" s="141" t="n"/>
      <c r="G703" s="143" t="n"/>
      <c r="H703" s="27" t="n"/>
    </row>
    <row r="704" ht="17.25" customHeight="1" s="322">
      <c r="A704" s="27" t="n"/>
      <c r="B704" s="506" t="n"/>
      <c r="C704" s="141" t="n"/>
      <c r="D704" s="141" t="n"/>
      <c r="E704" s="141" t="n"/>
      <c r="F704" s="141" t="n"/>
      <c r="G704" s="143" t="n"/>
      <c r="H704" s="27" t="n"/>
    </row>
    <row r="705" ht="17.25" customHeight="1" s="322">
      <c r="A705" s="27" t="n"/>
      <c r="B705" s="506" t="n"/>
      <c r="C705" s="141" t="n"/>
      <c r="D705" s="141" t="n"/>
      <c r="E705" s="141" t="n"/>
      <c r="F705" s="141" t="n"/>
      <c r="G705" s="143" t="n"/>
      <c r="H705" s="27" t="n"/>
    </row>
    <row r="706" ht="17.25" customHeight="1" s="322">
      <c r="A706" s="27" t="n"/>
      <c r="B706" s="506" t="n"/>
      <c r="C706" s="141" t="n"/>
      <c r="D706" s="141" t="n"/>
      <c r="E706" s="141" t="n"/>
      <c r="F706" s="141" t="n"/>
      <c r="G706" s="143" t="n"/>
      <c r="H706" s="27" t="n"/>
    </row>
    <row r="707" ht="17.25" customHeight="1" s="322">
      <c r="A707" s="27" t="n"/>
      <c r="B707" s="506" t="n"/>
      <c r="C707" s="141" t="n"/>
      <c r="D707" s="141" t="n"/>
      <c r="E707" s="141" t="n"/>
      <c r="F707" s="141" t="n"/>
      <c r="G707" s="143" t="n"/>
      <c r="H707" s="27" t="n"/>
    </row>
    <row r="708" ht="17.25" customHeight="1" s="322">
      <c r="A708" s="27" t="n"/>
      <c r="B708" s="506" t="n"/>
      <c r="C708" s="141" t="n"/>
      <c r="D708" s="141" t="n"/>
      <c r="E708" s="141" t="n"/>
      <c r="F708" s="141" t="n"/>
      <c r="G708" s="143" t="n"/>
      <c r="H708" s="27" t="n"/>
    </row>
    <row r="709" ht="17.25" customHeight="1" s="322">
      <c r="A709" s="27" t="n"/>
      <c r="B709" s="506" t="n"/>
      <c r="C709" s="141" t="n"/>
      <c r="D709" s="141" t="n"/>
      <c r="E709" s="141" t="n"/>
      <c r="F709" s="141" t="n"/>
      <c r="G709" s="143" t="n"/>
      <c r="H709" s="27" t="n"/>
    </row>
    <row r="710" ht="17.25" customHeight="1" s="322">
      <c r="A710" s="27" t="n"/>
      <c r="B710" s="506" t="n"/>
      <c r="C710" s="141" t="n"/>
      <c r="D710" s="141" t="n"/>
      <c r="E710" s="141" t="n"/>
      <c r="F710" s="141" t="n"/>
      <c r="G710" s="143" t="n"/>
      <c r="H710" s="27" t="n"/>
    </row>
    <row r="711" ht="17.25" customHeight="1" s="322">
      <c r="A711" s="27" t="n"/>
      <c r="B711" s="506" t="n"/>
      <c r="C711" s="141" t="n"/>
      <c r="D711" s="141" t="n"/>
      <c r="E711" s="141" t="n"/>
      <c r="F711" s="141" t="n"/>
      <c r="G711" s="143" t="n"/>
      <c r="H711" s="27" t="n"/>
    </row>
    <row r="712" ht="17.25" customHeight="1" s="322">
      <c r="A712" s="27" t="n"/>
      <c r="B712" s="506" t="n"/>
      <c r="C712" s="141" t="n"/>
      <c r="D712" s="141" t="n"/>
      <c r="E712" s="141" t="n"/>
      <c r="F712" s="141" t="n"/>
      <c r="G712" s="143" t="n"/>
      <c r="H712" s="27" t="n"/>
    </row>
    <row r="713" ht="17.25" customHeight="1" s="322">
      <c r="A713" s="27" t="n"/>
      <c r="B713" s="506" t="n"/>
      <c r="C713" s="141" t="n"/>
      <c r="D713" s="141" t="n"/>
      <c r="E713" s="141" t="n"/>
      <c r="F713" s="141" t="n"/>
      <c r="G713" s="143" t="n"/>
      <c r="H713" s="27" t="n"/>
    </row>
    <row r="714" ht="17.25" customHeight="1" s="322">
      <c r="A714" s="27" t="n"/>
      <c r="B714" s="506" t="n"/>
      <c r="C714" s="141" t="n"/>
      <c r="D714" s="141" t="n"/>
      <c r="E714" s="141" t="n"/>
      <c r="F714" s="141" t="n"/>
      <c r="G714" s="143" t="n"/>
      <c r="H714" s="27" t="n"/>
    </row>
    <row r="715" ht="17.25" customHeight="1" s="322">
      <c r="A715" s="27" t="n"/>
      <c r="B715" s="506" t="n"/>
      <c r="C715" s="141" t="n"/>
      <c r="D715" s="141" t="n"/>
      <c r="E715" s="141" t="n"/>
      <c r="F715" s="141" t="n"/>
      <c r="G715" s="143" t="n"/>
      <c r="H715" s="27" t="n"/>
    </row>
    <row r="716" ht="17.25" customHeight="1" s="322">
      <c r="A716" s="27" t="n"/>
      <c r="B716" s="506" t="n"/>
      <c r="C716" s="141" t="n"/>
      <c r="D716" s="141" t="n"/>
      <c r="E716" s="141" t="n"/>
      <c r="F716" s="141" t="n"/>
      <c r="G716" s="143" t="n"/>
      <c r="H716" s="27" t="n"/>
    </row>
    <row r="717" ht="17.25" customHeight="1" s="322">
      <c r="A717" s="27" t="n"/>
      <c r="B717" s="506" t="n"/>
      <c r="C717" s="141" t="n"/>
      <c r="D717" s="141" t="n"/>
      <c r="E717" s="141" t="n"/>
      <c r="F717" s="141" t="n"/>
      <c r="G717" s="143" t="n"/>
      <c r="H717" s="27" t="n"/>
    </row>
    <row r="718" ht="17.25" customHeight="1" s="322">
      <c r="A718" s="27" t="n"/>
      <c r="B718" s="506" t="n"/>
      <c r="C718" s="141" t="n"/>
      <c r="D718" s="141" t="n"/>
      <c r="E718" s="141" t="n"/>
      <c r="F718" s="141" t="n"/>
      <c r="G718" s="143" t="n"/>
      <c r="H718" s="27" t="n"/>
    </row>
    <row r="719" ht="17.25" customHeight="1" s="322">
      <c r="A719" s="27" t="n"/>
      <c r="B719" s="506" t="n"/>
      <c r="C719" s="141" t="n"/>
      <c r="D719" s="141" t="n"/>
      <c r="E719" s="141" t="n"/>
      <c r="F719" s="141" t="n"/>
      <c r="G719" s="143" t="n"/>
      <c r="H719" s="27" t="n"/>
    </row>
    <row r="720" ht="17.25" customHeight="1" s="322">
      <c r="A720" s="27" t="n"/>
      <c r="B720" s="506" t="n"/>
      <c r="C720" s="141" t="n"/>
      <c r="D720" s="141" t="n"/>
      <c r="E720" s="141" t="n"/>
      <c r="F720" s="141" t="n"/>
      <c r="G720" s="143" t="n"/>
      <c r="H720" s="27" t="n"/>
    </row>
    <row r="721" ht="17.25" customHeight="1" s="322">
      <c r="A721" s="27" t="n"/>
      <c r="B721" s="506" t="n"/>
      <c r="C721" s="141" t="n"/>
      <c r="D721" s="141" t="n"/>
      <c r="E721" s="141" t="n"/>
      <c r="F721" s="141" t="n"/>
      <c r="G721" s="143" t="n"/>
      <c r="H721" s="27" t="n"/>
    </row>
    <row r="722" ht="17.25" customHeight="1" s="322">
      <c r="A722" s="27" t="n"/>
      <c r="B722" s="506" t="n"/>
      <c r="C722" s="141" t="n"/>
      <c r="D722" s="141" t="n"/>
      <c r="E722" s="141" t="n"/>
      <c r="F722" s="141" t="n"/>
      <c r="G722" s="143" t="n"/>
      <c r="H722" s="27" t="n"/>
    </row>
    <row r="723" ht="17.25" customHeight="1" s="322">
      <c r="A723" s="27" t="n"/>
      <c r="B723" s="506" t="n"/>
      <c r="C723" s="141" t="n"/>
      <c r="D723" s="141" t="n"/>
      <c r="E723" s="141" t="n"/>
      <c r="F723" s="141" t="n"/>
      <c r="G723" s="143" t="n"/>
      <c r="H723" s="27" t="n"/>
    </row>
    <row r="724" ht="17.25" customHeight="1" s="322">
      <c r="A724" s="27" t="n"/>
      <c r="B724" s="506" t="n"/>
      <c r="C724" s="141" t="n"/>
      <c r="D724" s="141" t="n"/>
      <c r="E724" s="141" t="n"/>
      <c r="F724" s="141" t="n"/>
      <c r="G724" s="143" t="n"/>
      <c r="H724" s="27" t="n"/>
    </row>
    <row r="725" ht="17.25" customHeight="1" s="322">
      <c r="A725" s="27" t="n"/>
      <c r="B725" s="506" t="n"/>
      <c r="C725" s="141" t="n"/>
      <c r="D725" s="141" t="n"/>
      <c r="E725" s="141" t="n"/>
      <c r="F725" s="141" t="n"/>
      <c r="G725" s="143" t="n"/>
      <c r="H725" s="27" t="n"/>
    </row>
    <row r="726" ht="17.25" customHeight="1" s="322">
      <c r="A726" s="27" t="n"/>
      <c r="B726" s="506" t="n"/>
      <c r="C726" s="141" t="n"/>
      <c r="D726" s="141" t="n"/>
      <c r="E726" s="141" t="n"/>
      <c r="F726" s="141" t="n"/>
      <c r="G726" s="143" t="n"/>
      <c r="H726" s="27" t="n"/>
    </row>
    <row r="727" ht="17.25" customHeight="1" s="322">
      <c r="A727" s="27" t="n"/>
      <c r="B727" s="506" t="n"/>
      <c r="C727" s="141" t="n"/>
      <c r="D727" s="141" t="n"/>
      <c r="E727" s="141" t="n"/>
      <c r="F727" s="141" t="n"/>
      <c r="G727" s="143" t="n"/>
      <c r="H727" s="27" t="n"/>
    </row>
    <row r="728" ht="17.25" customHeight="1" s="322">
      <c r="A728" s="27" t="n"/>
      <c r="B728" s="506" t="n"/>
      <c r="C728" s="141" t="n"/>
      <c r="D728" s="141" t="n"/>
      <c r="E728" s="141" t="n"/>
      <c r="F728" s="141" t="n"/>
      <c r="G728" s="143" t="n"/>
      <c r="H728" s="27" t="n"/>
    </row>
    <row r="729" ht="17.25" customHeight="1" s="322">
      <c r="A729" s="27" t="n"/>
      <c r="B729" s="506" t="n"/>
      <c r="C729" s="141" t="n"/>
      <c r="D729" s="141" t="n"/>
      <c r="E729" s="141" t="n"/>
      <c r="F729" s="141" t="n"/>
      <c r="G729" s="143" t="n"/>
      <c r="H729" s="27" t="n"/>
    </row>
    <row r="730" ht="17.25" customHeight="1" s="322">
      <c r="A730" s="27" t="n"/>
      <c r="B730" s="506" t="n"/>
      <c r="C730" s="141" t="n"/>
      <c r="D730" s="141" t="n"/>
      <c r="E730" s="141" t="n"/>
      <c r="F730" s="141" t="n"/>
      <c r="G730" s="143" t="n"/>
      <c r="H730" s="27" t="n"/>
    </row>
    <row r="731" ht="17.25" customHeight="1" s="322">
      <c r="A731" s="27" t="n"/>
      <c r="B731" s="506" t="n"/>
      <c r="C731" s="141" t="n"/>
      <c r="D731" s="141" t="n"/>
      <c r="E731" s="141" t="n"/>
      <c r="F731" s="141" t="n"/>
      <c r="G731" s="143" t="n"/>
      <c r="H731" s="27" t="n"/>
    </row>
    <row r="732" ht="17.25" customHeight="1" s="322">
      <c r="A732" s="27" t="n"/>
      <c r="B732" s="506" t="n"/>
      <c r="C732" s="141" t="n"/>
      <c r="D732" s="141" t="n"/>
      <c r="E732" s="141" t="n"/>
      <c r="F732" s="141" t="n"/>
      <c r="G732" s="143" t="n"/>
      <c r="H732" s="27" t="n"/>
    </row>
    <row r="733" ht="17.25" customHeight="1" s="322">
      <c r="A733" s="27" t="n"/>
      <c r="B733" s="506" t="n"/>
      <c r="C733" s="141" t="n"/>
      <c r="D733" s="141" t="n"/>
      <c r="E733" s="141" t="n"/>
      <c r="F733" s="141" t="n"/>
      <c r="G733" s="143" t="n"/>
      <c r="H733" s="27" t="n"/>
    </row>
    <row r="734" ht="17.25" customHeight="1" s="322">
      <c r="A734" s="27" t="n"/>
      <c r="B734" s="506" t="n"/>
      <c r="C734" s="141" t="n"/>
      <c r="D734" s="141" t="n"/>
      <c r="E734" s="141" t="n"/>
      <c r="F734" s="141" t="n"/>
      <c r="G734" s="143" t="n"/>
      <c r="H734" s="27" t="n"/>
    </row>
    <row r="735" ht="17.25" customHeight="1" s="322">
      <c r="A735" s="27" t="n"/>
      <c r="B735" s="506" t="n"/>
      <c r="C735" s="141" t="n"/>
      <c r="D735" s="141" t="n"/>
      <c r="E735" s="141" t="n"/>
      <c r="F735" s="141" t="n"/>
      <c r="G735" s="143" t="n"/>
      <c r="H735" s="27" t="n"/>
    </row>
    <row r="736" ht="17.25" customHeight="1" s="322">
      <c r="A736" s="27" t="n"/>
      <c r="B736" s="506" t="n"/>
      <c r="C736" s="141" t="n"/>
      <c r="D736" s="141" t="n"/>
      <c r="E736" s="141" t="n"/>
      <c r="F736" s="141" t="n"/>
      <c r="G736" s="143" t="n"/>
      <c r="H736" s="27" t="n"/>
    </row>
    <row r="737" ht="17.25" customHeight="1" s="322">
      <c r="A737" s="27" t="n"/>
      <c r="B737" s="506" t="n"/>
      <c r="C737" s="141" t="n"/>
      <c r="D737" s="141" t="n"/>
      <c r="E737" s="141" t="n"/>
      <c r="F737" s="141" t="n"/>
      <c r="G737" s="143" t="n"/>
      <c r="H737" s="27" t="n"/>
    </row>
    <row r="738" ht="17.25" customHeight="1" s="322">
      <c r="A738" s="27" t="n"/>
      <c r="B738" s="506" t="n"/>
      <c r="C738" s="141" t="n"/>
      <c r="D738" s="141" t="n"/>
      <c r="E738" s="141" t="n"/>
      <c r="F738" s="141" t="n"/>
      <c r="G738" s="143" t="n"/>
      <c r="H738" s="27" t="n"/>
    </row>
    <row r="739" ht="17.25" customHeight="1" s="322">
      <c r="A739" s="27" t="n"/>
      <c r="B739" s="506" t="n"/>
      <c r="C739" s="141" t="n"/>
      <c r="D739" s="141" t="n"/>
      <c r="E739" s="141" t="n"/>
      <c r="F739" s="141" t="n"/>
      <c r="G739" s="143" t="n"/>
      <c r="H739" s="27" t="n"/>
    </row>
    <row r="740" ht="17.25" customHeight="1" s="322">
      <c r="A740" s="27" t="n"/>
      <c r="B740" s="506" t="n"/>
      <c r="C740" s="141" t="n"/>
      <c r="D740" s="141" t="n"/>
      <c r="E740" s="141" t="n"/>
      <c r="F740" s="141" t="n"/>
      <c r="G740" s="143" t="n"/>
      <c r="H740" s="27" t="n"/>
    </row>
    <row r="741" ht="17.25" customHeight="1" s="322">
      <c r="A741" s="27" t="n"/>
      <c r="B741" s="506" t="n"/>
      <c r="C741" s="141" t="n"/>
      <c r="D741" s="141" t="n"/>
      <c r="E741" s="141" t="n"/>
      <c r="F741" s="141" t="n"/>
      <c r="G741" s="143" t="n"/>
      <c r="H741" s="27" t="n"/>
    </row>
    <row r="742" ht="17.25" customHeight="1" s="322">
      <c r="A742" s="27" t="n"/>
      <c r="B742" s="506" t="n"/>
      <c r="C742" s="141" t="n"/>
      <c r="D742" s="141" t="n"/>
      <c r="E742" s="141" t="n"/>
      <c r="F742" s="141" t="n"/>
      <c r="G742" s="143" t="n"/>
      <c r="H742" s="27" t="n"/>
    </row>
    <row r="743" ht="17.25" customHeight="1" s="322">
      <c r="A743" s="27" t="n"/>
      <c r="B743" s="506" t="n"/>
      <c r="C743" s="141" t="n"/>
      <c r="D743" s="141" t="n"/>
      <c r="E743" s="141" t="n"/>
      <c r="F743" s="141" t="n"/>
      <c r="G743" s="143" t="n"/>
      <c r="H743" s="27" t="n"/>
    </row>
    <row r="744" ht="17.25" customHeight="1" s="322">
      <c r="A744" s="27" t="n"/>
      <c r="B744" s="506" t="n"/>
      <c r="C744" s="141" t="n"/>
      <c r="D744" s="141" t="n"/>
      <c r="E744" s="141" t="n"/>
      <c r="F744" s="141" t="n"/>
      <c r="G744" s="143" t="n"/>
      <c r="H744" s="27" t="n"/>
    </row>
    <row r="745" ht="17.25" customHeight="1" s="322">
      <c r="A745" s="27" t="n"/>
      <c r="B745" s="506" t="n"/>
      <c r="C745" s="141" t="n"/>
      <c r="D745" s="141" t="n"/>
      <c r="E745" s="141" t="n"/>
      <c r="F745" s="141" t="n"/>
      <c r="G745" s="143" t="n"/>
      <c r="H745" s="27" t="n"/>
    </row>
    <row r="746" ht="17.25" customHeight="1" s="322">
      <c r="A746" s="27" t="n"/>
      <c r="B746" s="506" t="n"/>
      <c r="C746" s="141" t="n"/>
      <c r="D746" s="141" t="n"/>
      <c r="E746" s="141" t="n"/>
      <c r="F746" s="141" t="n"/>
      <c r="G746" s="143" t="n"/>
      <c r="H746" s="27" t="n"/>
    </row>
    <row r="747" ht="17.25" customHeight="1" s="322">
      <c r="A747" s="27" t="n"/>
      <c r="B747" s="506" t="n"/>
      <c r="C747" s="141" t="n"/>
      <c r="D747" s="141" t="n"/>
      <c r="E747" s="141" t="n"/>
      <c r="F747" s="141" t="n"/>
      <c r="G747" s="143" t="n"/>
      <c r="H747" s="27" t="n"/>
    </row>
    <row r="748" ht="17.25" customHeight="1" s="322">
      <c r="A748" s="27" t="n"/>
      <c r="B748" s="506" t="n"/>
      <c r="C748" s="141" t="n"/>
      <c r="D748" s="141" t="n"/>
      <c r="E748" s="141" t="n"/>
      <c r="F748" s="141" t="n"/>
      <c r="G748" s="143" t="n"/>
      <c r="H748" s="27" t="n"/>
    </row>
    <row r="749" ht="17.25" customHeight="1" s="322">
      <c r="A749" s="27" t="n"/>
      <c r="B749" s="506" t="n"/>
      <c r="C749" s="141" t="n"/>
      <c r="D749" s="141" t="n"/>
      <c r="E749" s="141" t="n"/>
      <c r="F749" s="141" t="n"/>
      <c r="G749" s="143" t="n"/>
      <c r="H749" s="27" t="n"/>
    </row>
    <row r="750" ht="17.25" customHeight="1" s="322">
      <c r="A750" s="27" t="n"/>
      <c r="B750" s="506" t="n"/>
      <c r="C750" s="141" t="n"/>
      <c r="D750" s="141" t="n"/>
      <c r="E750" s="141" t="n"/>
      <c r="F750" s="141" t="n"/>
      <c r="G750" s="143" t="n"/>
      <c r="H750" s="27" t="n"/>
    </row>
    <row r="751" ht="17.25" customHeight="1" s="322">
      <c r="A751" s="27" t="n"/>
      <c r="B751" s="506" t="n"/>
      <c r="C751" s="141" t="n"/>
      <c r="D751" s="141" t="n"/>
      <c r="E751" s="141" t="n"/>
      <c r="F751" s="141" t="n"/>
      <c r="G751" s="143" t="n"/>
      <c r="H751" s="27" t="n"/>
    </row>
    <row r="752" ht="17.25" customHeight="1" s="322">
      <c r="A752" s="27" t="n"/>
      <c r="B752" s="506" t="n"/>
      <c r="C752" s="141" t="n"/>
      <c r="D752" s="141" t="n"/>
      <c r="E752" s="141" t="n"/>
      <c r="F752" s="141" t="n"/>
      <c r="G752" s="143" t="n"/>
      <c r="H752" s="27" t="n"/>
    </row>
    <row r="753" ht="17.25" customHeight="1" s="322">
      <c r="A753" s="27" t="n"/>
      <c r="B753" s="506" t="n"/>
      <c r="C753" s="141" t="n"/>
      <c r="D753" s="141" t="n"/>
      <c r="E753" s="141" t="n"/>
      <c r="F753" s="141" t="n"/>
      <c r="G753" s="143" t="n"/>
      <c r="H753" s="27" t="n"/>
    </row>
    <row r="754" ht="17.25" customHeight="1" s="322">
      <c r="A754" s="27" t="n"/>
      <c r="B754" s="506" t="n"/>
      <c r="C754" s="141" t="n"/>
      <c r="D754" s="141" t="n"/>
      <c r="E754" s="141" t="n"/>
      <c r="F754" s="141" t="n"/>
      <c r="G754" s="143" t="n"/>
      <c r="H754" s="27" t="n"/>
    </row>
    <row r="755" ht="17.25" customHeight="1" s="322">
      <c r="A755" s="27" t="n"/>
      <c r="B755" s="506" t="n"/>
      <c r="C755" s="141" t="n"/>
      <c r="D755" s="141" t="n"/>
      <c r="E755" s="141" t="n"/>
      <c r="F755" s="141" t="n"/>
      <c r="G755" s="143" t="n"/>
      <c r="H755" s="27" t="n"/>
    </row>
    <row r="756" ht="17.25" customHeight="1" s="322">
      <c r="A756" s="27" t="n"/>
      <c r="B756" s="506" t="n"/>
      <c r="C756" s="141" t="n"/>
      <c r="D756" s="141" t="n"/>
      <c r="E756" s="141" t="n"/>
      <c r="F756" s="141" t="n"/>
      <c r="G756" s="143" t="n"/>
      <c r="H756" s="27" t="n"/>
    </row>
    <row r="757" ht="17.25" customHeight="1" s="322">
      <c r="A757" s="27" t="n"/>
      <c r="B757" s="506" t="n"/>
      <c r="C757" s="141" t="n"/>
      <c r="D757" s="141" t="n"/>
      <c r="E757" s="141" t="n"/>
      <c r="F757" s="141" t="n"/>
      <c r="G757" s="143" t="n"/>
      <c r="H757" s="27" t="n"/>
    </row>
    <row r="758" ht="17.25" customHeight="1" s="322">
      <c r="A758" s="27" t="n"/>
      <c r="B758" s="506" t="n"/>
      <c r="C758" s="141" t="n"/>
      <c r="D758" s="141" t="n"/>
      <c r="E758" s="141" t="n"/>
      <c r="F758" s="141" t="n"/>
      <c r="G758" s="143" t="n"/>
      <c r="H758" s="27" t="n"/>
    </row>
    <row r="759" ht="17.25" customHeight="1" s="322">
      <c r="A759" s="27" t="n"/>
      <c r="B759" s="506" t="n"/>
      <c r="C759" s="141" t="n"/>
      <c r="D759" s="141" t="n"/>
      <c r="E759" s="141" t="n"/>
      <c r="F759" s="141" t="n"/>
      <c r="G759" s="143" t="n"/>
      <c r="H759" s="27" t="n"/>
    </row>
    <row r="760" ht="17.25" customHeight="1" s="322">
      <c r="A760" s="27" t="n"/>
      <c r="B760" s="506" t="n"/>
      <c r="C760" s="141" t="n"/>
      <c r="D760" s="141" t="n"/>
      <c r="E760" s="141" t="n"/>
      <c r="F760" s="141" t="n"/>
      <c r="G760" s="143" t="n"/>
      <c r="H760" s="27" t="n"/>
    </row>
    <row r="761" ht="17.25" customHeight="1" s="322">
      <c r="A761" s="27" t="n"/>
      <c r="B761" s="506" t="n"/>
      <c r="C761" s="141" t="n"/>
      <c r="D761" s="141" t="n"/>
      <c r="E761" s="141" t="n"/>
      <c r="F761" s="141" t="n"/>
      <c r="G761" s="143" t="n"/>
      <c r="H761" s="27" t="n"/>
    </row>
    <row r="762" ht="17.25" customHeight="1" s="322">
      <c r="A762" s="27" t="n"/>
      <c r="B762" s="506" t="n"/>
      <c r="C762" s="141" t="n"/>
      <c r="D762" s="141" t="n"/>
      <c r="E762" s="141" t="n"/>
      <c r="F762" s="141" t="n"/>
      <c r="G762" s="143" t="n"/>
      <c r="H762" s="27" t="n"/>
    </row>
    <row r="763" ht="17.25" customHeight="1" s="322">
      <c r="A763" s="27" t="n"/>
      <c r="B763" s="506" t="n"/>
      <c r="C763" s="141" t="n"/>
      <c r="D763" s="141" t="n"/>
      <c r="E763" s="141" t="n"/>
      <c r="F763" s="141" t="n"/>
      <c r="G763" s="143" t="n"/>
      <c r="H763" s="27" t="n"/>
    </row>
    <row r="764" ht="17.25" customHeight="1" s="322">
      <c r="A764" s="27" t="n"/>
      <c r="B764" s="506" t="n"/>
      <c r="C764" s="141" t="n"/>
      <c r="D764" s="141" t="n"/>
      <c r="E764" s="141" t="n"/>
      <c r="F764" s="141" t="n"/>
      <c r="G764" s="143" t="n"/>
      <c r="H764" s="27" t="n"/>
    </row>
    <row r="765" ht="17.25" customHeight="1" s="322">
      <c r="A765" s="27" t="n"/>
      <c r="B765" s="506" t="n"/>
      <c r="C765" s="141" t="n"/>
      <c r="D765" s="141" t="n"/>
      <c r="E765" s="141" t="n"/>
      <c r="F765" s="141" t="n"/>
      <c r="G765" s="143" t="n"/>
      <c r="H765" s="27" t="n"/>
    </row>
    <row r="766" ht="17.25" customHeight="1" s="322">
      <c r="A766" s="27" t="n"/>
      <c r="B766" s="506" t="n"/>
      <c r="C766" s="141" t="n"/>
      <c r="D766" s="141" t="n"/>
      <c r="E766" s="141" t="n"/>
      <c r="F766" s="141" t="n"/>
      <c r="G766" s="143" t="n"/>
      <c r="H766" s="27" t="n"/>
    </row>
    <row r="767" ht="17.25" customHeight="1" s="322">
      <c r="A767" s="27" t="n"/>
      <c r="B767" s="506" t="n"/>
      <c r="C767" s="141" t="n"/>
      <c r="D767" s="141" t="n"/>
      <c r="E767" s="141" t="n"/>
      <c r="F767" s="141" t="n"/>
      <c r="G767" s="143" t="n"/>
      <c r="H767" s="27" t="n"/>
    </row>
    <row r="768" ht="17.25" customHeight="1" s="322">
      <c r="A768" s="27" t="n"/>
      <c r="B768" s="506" t="n"/>
      <c r="C768" s="141" t="n"/>
      <c r="D768" s="141" t="n"/>
      <c r="E768" s="141" t="n"/>
      <c r="F768" s="141" t="n"/>
      <c r="G768" s="143" t="n"/>
      <c r="H768" s="27" t="n"/>
    </row>
    <row r="769" ht="17.25" customHeight="1" s="322">
      <c r="A769" s="27" t="n"/>
      <c r="B769" s="506" t="n"/>
      <c r="C769" s="141" t="n"/>
      <c r="D769" s="141" t="n"/>
      <c r="E769" s="141" t="n"/>
      <c r="F769" s="141" t="n"/>
      <c r="G769" s="143" t="n"/>
      <c r="H769" s="27" t="n"/>
    </row>
    <row r="770" ht="17.25" customHeight="1" s="322">
      <c r="A770" s="27" t="n"/>
      <c r="B770" s="506" t="n"/>
      <c r="C770" s="141" t="n"/>
      <c r="D770" s="141" t="n"/>
      <c r="E770" s="141" t="n"/>
      <c r="F770" s="141" t="n"/>
      <c r="G770" s="143" t="n"/>
      <c r="H770" s="27" t="n"/>
    </row>
    <row r="771" ht="17.25" customHeight="1" s="322">
      <c r="A771" s="27" t="n"/>
      <c r="B771" s="506" t="n"/>
      <c r="C771" s="141" t="n"/>
      <c r="D771" s="141" t="n"/>
      <c r="E771" s="141" t="n"/>
      <c r="F771" s="141" t="n"/>
      <c r="G771" s="143" t="n"/>
      <c r="H771" s="27" t="n"/>
    </row>
    <row r="772" ht="17.25" customHeight="1" s="322">
      <c r="A772" s="27" t="n"/>
      <c r="B772" s="506" t="n"/>
      <c r="C772" s="141" t="n"/>
      <c r="D772" s="141" t="n"/>
      <c r="E772" s="141" t="n"/>
      <c r="F772" s="141" t="n"/>
      <c r="G772" s="143" t="n"/>
      <c r="H772" s="27" t="n"/>
    </row>
    <row r="773" ht="17.25" customHeight="1" s="322">
      <c r="A773" s="27" t="n"/>
      <c r="B773" s="506" t="n"/>
      <c r="C773" s="141" t="n"/>
      <c r="D773" s="141" t="n"/>
      <c r="E773" s="141" t="n"/>
      <c r="F773" s="141" t="n"/>
      <c r="G773" s="143" t="n"/>
      <c r="H773" s="27" t="n"/>
    </row>
    <row r="774" ht="17.25" customHeight="1" s="322">
      <c r="A774" s="27" t="n"/>
      <c r="B774" s="506" t="n"/>
      <c r="C774" s="141" t="n"/>
      <c r="D774" s="141" t="n"/>
      <c r="E774" s="141" t="n"/>
      <c r="F774" s="141" t="n"/>
      <c r="G774" s="143" t="n"/>
      <c r="H774" s="27" t="n"/>
    </row>
    <row r="775" ht="17.25" customHeight="1" s="322">
      <c r="A775" s="27" t="n"/>
      <c r="B775" s="506" t="n"/>
      <c r="C775" s="141" t="n"/>
      <c r="D775" s="141" t="n"/>
      <c r="E775" s="141" t="n"/>
      <c r="F775" s="141" t="n"/>
      <c r="G775" s="143" t="n"/>
      <c r="H775" s="27" t="n"/>
    </row>
    <row r="776" ht="17.25" customHeight="1" s="322">
      <c r="A776" s="27" t="n"/>
      <c r="B776" s="506" t="n"/>
      <c r="C776" s="141" t="n"/>
      <c r="D776" s="141" t="n"/>
      <c r="E776" s="141" t="n"/>
      <c r="F776" s="141" t="n"/>
      <c r="G776" s="143" t="n"/>
      <c r="H776" s="27" t="n"/>
    </row>
    <row r="777" ht="17.25" customHeight="1" s="322">
      <c r="A777" s="27" t="n"/>
      <c r="B777" s="506" t="n"/>
      <c r="C777" s="141" t="n"/>
      <c r="D777" s="141" t="n"/>
      <c r="E777" s="141" t="n"/>
      <c r="F777" s="141" t="n"/>
      <c r="G777" s="143" t="n"/>
      <c r="H777" s="27" t="n"/>
    </row>
    <row r="778" ht="17.25" customHeight="1" s="322">
      <c r="A778" s="27" t="n"/>
      <c r="B778" s="506" t="n"/>
      <c r="C778" s="141" t="n"/>
      <c r="D778" s="141" t="n"/>
      <c r="E778" s="141" t="n"/>
      <c r="F778" s="141" t="n"/>
      <c r="G778" s="143" t="n"/>
      <c r="H778" s="27" t="n"/>
    </row>
    <row r="779" ht="17.25" customHeight="1" s="322">
      <c r="A779" s="27" t="n"/>
      <c r="B779" s="506" t="n"/>
      <c r="C779" s="141" t="n"/>
      <c r="D779" s="141" t="n"/>
      <c r="E779" s="141" t="n"/>
      <c r="F779" s="141" t="n"/>
      <c r="G779" s="143" t="n"/>
      <c r="H779" s="27" t="n"/>
    </row>
    <row r="780" ht="17.25" customHeight="1" s="322">
      <c r="A780" s="27" t="n"/>
      <c r="B780" s="506" t="n"/>
      <c r="C780" s="141" t="n"/>
      <c r="D780" s="141" t="n"/>
      <c r="E780" s="141" t="n"/>
      <c r="F780" s="141" t="n"/>
      <c r="G780" s="143" t="n"/>
      <c r="H780" s="27" t="n"/>
    </row>
    <row r="781" ht="17.25" customHeight="1" s="322">
      <c r="A781" s="27" t="n"/>
      <c r="B781" s="506" t="n"/>
      <c r="C781" s="141" t="n"/>
      <c r="D781" s="141" t="n"/>
      <c r="E781" s="141" t="n"/>
      <c r="F781" s="141" t="n"/>
      <c r="G781" s="143" t="n"/>
      <c r="H781" s="27" t="n"/>
    </row>
    <row r="782" ht="17.25" customHeight="1" s="322">
      <c r="A782" s="27" t="n"/>
      <c r="B782" s="506" t="n"/>
      <c r="C782" s="141" t="n"/>
      <c r="D782" s="141" t="n"/>
      <c r="E782" s="141" t="n"/>
      <c r="F782" s="141" t="n"/>
      <c r="G782" s="143" t="n"/>
      <c r="H782" s="27" t="n"/>
    </row>
    <row r="783" ht="17.25" customHeight="1" s="322">
      <c r="A783" s="27" t="n"/>
      <c r="B783" s="506" t="n"/>
      <c r="C783" s="141" t="n"/>
      <c r="D783" s="141" t="n"/>
      <c r="E783" s="141" t="n"/>
      <c r="F783" s="141" t="n"/>
      <c r="G783" s="143" t="n"/>
      <c r="H783" s="27" t="n"/>
    </row>
    <row r="784" ht="17.25" customHeight="1" s="322">
      <c r="A784" s="27" t="n"/>
      <c r="B784" s="506" t="n"/>
      <c r="C784" s="141" t="n"/>
      <c r="D784" s="141" t="n"/>
      <c r="E784" s="141" t="n"/>
      <c r="F784" s="141" t="n"/>
      <c r="G784" s="143" t="n"/>
      <c r="H784" s="27" t="n"/>
    </row>
    <row r="785" ht="17.25" customHeight="1" s="322">
      <c r="A785" s="27" t="n"/>
      <c r="B785" s="506" t="n"/>
      <c r="C785" s="141" t="n"/>
      <c r="D785" s="141" t="n"/>
      <c r="E785" s="141" t="n"/>
      <c r="F785" s="141" t="n"/>
      <c r="G785" s="143" t="n"/>
      <c r="H785" s="27" t="n"/>
    </row>
    <row r="786" ht="17.25" customHeight="1" s="322">
      <c r="A786" s="27" t="n"/>
      <c r="B786" s="506" t="n"/>
      <c r="C786" s="141" t="n"/>
      <c r="D786" s="141" t="n"/>
      <c r="E786" s="141" t="n"/>
      <c r="F786" s="141" t="n"/>
      <c r="G786" s="143" t="n"/>
      <c r="H786" s="27" t="n"/>
    </row>
    <row r="787" ht="17.25" customHeight="1" s="322">
      <c r="A787" s="27" t="n"/>
      <c r="B787" s="506" t="n"/>
      <c r="C787" s="141" t="n"/>
      <c r="D787" s="141" t="n"/>
      <c r="E787" s="141" t="n"/>
      <c r="F787" s="141" t="n"/>
      <c r="G787" s="143" t="n"/>
      <c r="H787" s="27" t="n"/>
    </row>
    <row r="788" ht="17.25" customHeight="1" s="322">
      <c r="A788" s="27" t="n"/>
      <c r="B788" s="506" t="n"/>
      <c r="C788" s="141" t="n"/>
      <c r="D788" s="141" t="n"/>
      <c r="E788" s="141" t="n"/>
      <c r="F788" s="141" t="n"/>
      <c r="G788" s="143" t="n"/>
      <c r="H788" s="27" t="n"/>
    </row>
    <row r="789" ht="17.25" customHeight="1" s="322">
      <c r="A789" s="27" t="n"/>
      <c r="B789" s="506" t="n"/>
      <c r="C789" s="141" t="n"/>
      <c r="D789" s="141" t="n"/>
      <c r="E789" s="141" t="n"/>
      <c r="F789" s="141" t="n"/>
      <c r="G789" s="143" t="n"/>
      <c r="H789" s="27" t="n"/>
    </row>
    <row r="790" ht="17.25" customHeight="1" s="322">
      <c r="A790" s="27" t="n"/>
      <c r="B790" s="506" t="n"/>
      <c r="C790" s="141" t="n"/>
      <c r="D790" s="141" t="n"/>
      <c r="E790" s="141" t="n"/>
      <c r="F790" s="141" t="n"/>
      <c r="G790" s="143" t="n"/>
      <c r="H790" s="27" t="n"/>
    </row>
    <row r="791" ht="17.25" customHeight="1" s="322">
      <c r="A791" s="27" t="n"/>
      <c r="B791" s="506" t="n"/>
      <c r="C791" s="141" t="n"/>
      <c r="D791" s="141" t="n"/>
      <c r="E791" s="141" t="n"/>
      <c r="F791" s="141" t="n"/>
      <c r="G791" s="143" t="n"/>
      <c r="H791" s="27" t="n"/>
    </row>
    <row r="792" ht="17.25" customHeight="1" s="322">
      <c r="A792" s="27" t="n"/>
      <c r="B792" s="506" t="n"/>
      <c r="C792" s="141" t="n"/>
      <c r="D792" s="141" t="n"/>
      <c r="E792" s="141" t="n"/>
      <c r="F792" s="141" t="n"/>
      <c r="G792" s="143" t="n"/>
      <c r="H792" s="27" t="n"/>
    </row>
    <row r="793" ht="17.25" customHeight="1" s="322">
      <c r="A793" s="27" t="n"/>
      <c r="B793" s="506" t="n"/>
      <c r="C793" s="141" t="n"/>
      <c r="D793" s="141" t="n"/>
      <c r="E793" s="141" t="n"/>
      <c r="F793" s="141" t="n"/>
      <c r="G793" s="143" t="n"/>
      <c r="H793" s="27" t="n"/>
    </row>
    <row r="794" ht="17.25" customHeight="1" s="322">
      <c r="A794" s="27" t="n"/>
      <c r="B794" s="506" t="n"/>
      <c r="C794" s="141" t="n"/>
      <c r="D794" s="141" t="n"/>
      <c r="E794" s="141" t="n"/>
      <c r="F794" s="141" t="n"/>
      <c r="G794" s="143" t="n"/>
      <c r="H794" s="27" t="n"/>
    </row>
    <row r="795" ht="17.25" customHeight="1" s="322">
      <c r="A795" s="27" t="n"/>
      <c r="B795" s="506" t="n"/>
      <c r="C795" s="141" t="n"/>
      <c r="D795" s="141" t="n"/>
      <c r="E795" s="141" t="n"/>
      <c r="F795" s="141" t="n"/>
      <c r="G795" s="143" t="n"/>
      <c r="H795" s="27" t="n"/>
    </row>
    <row r="796" ht="17.25" customHeight="1" s="322">
      <c r="A796" s="27" t="n"/>
      <c r="B796" s="506" t="n"/>
      <c r="C796" s="141" t="n"/>
      <c r="D796" s="141" t="n"/>
      <c r="E796" s="141" t="n"/>
      <c r="F796" s="141" t="n"/>
      <c r="G796" s="143" t="n"/>
      <c r="H796" s="27" t="n"/>
    </row>
    <row r="797" ht="17.25" customHeight="1" s="322">
      <c r="A797" s="27" t="n"/>
      <c r="B797" s="506" t="n"/>
      <c r="C797" s="141" t="n"/>
      <c r="D797" s="141" t="n"/>
      <c r="E797" s="141" t="n"/>
      <c r="F797" s="141" t="n"/>
      <c r="G797" s="143" t="n"/>
      <c r="H797" s="27" t="n"/>
    </row>
    <row r="798" ht="17.25" customHeight="1" s="322">
      <c r="A798" s="27" t="n"/>
      <c r="B798" s="506" t="n"/>
      <c r="C798" s="141" t="n"/>
      <c r="D798" s="141" t="n"/>
      <c r="E798" s="141" t="n"/>
      <c r="F798" s="141" t="n"/>
      <c r="G798" s="143" t="n"/>
      <c r="H798" s="27" t="n"/>
    </row>
    <row r="799" ht="17.25" customHeight="1" s="322">
      <c r="A799" s="27" t="n"/>
      <c r="B799" s="506" t="n"/>
      <c r="C799" s="141" t="n"/>
      <c r="D799" s="141" t="n"/>
      <c r="E799" s="141" t="n"/>
      <c r="F799" s="141" t="n"/>
      <c r="G799" s="143" t="n"/>
      <c r="H799" s="27" t="n"/>
    </row>
    <row r="800" ht="17.25" customHeight="1" s="322">
      <c r="A800" s="27" t="n"/>
      <c r="B800" s="506" t="n"/>
      <c r="C800" s="141" t="n"/>
      <c r="D800" s="141" t="n"/>
      <c r="E800" s="141" t="n"/>
      <c r="F800" s="141" t="n"/>
      <c r="G800" s="143" t="n"/>
      <c r="H800" s="27" t="n"/>
    </row>
    <row r="801" ht="17.25" customHeight="1" s="322">
      <c r="A801" s="27" t="n"/>
      <c r="B801" s="506" t="n"/>
      <c r="C801" s="141" t="n"/>
      <c r="D801" s="141" t="n"/>
      <c r="E801" s="141" t="n"/>
      <c r="F801" s="141" t="n"/>
      <c r="G801" s="143" t="n"/>
      <c r="H801" s="27" t="n"/>
    </row>
    <row r="802" ht="17.25" customHeight="1" s="322">
      <c r="A802" s="27" t="n"/>
      <c r="B802" s="506" t="n"/>
      <c r="C802" s="141" t="n"/>
      <c r="D802" s="141" t="n"/>
      <c r="E802" s="141" t="n"/>
      <c r="F802" s="141" t="n"/>
      <c r="G802" s="143" t="n"/>
      <c r="H802" s="27" t="n"/>
    </row>
    <row r="803" ht="17.25" customHeight="1" s="322">
      <c r="A803" s="27" t="n"/>
      <c r="B803" s="506" t="n"/>
      <c r="C803" s="141" t="n"/>
      <c r="D803" s="141" t="n"/>
      <c r="E803" s="141" t="n"/>
      <c r="F803" s="141" t="n"/>
      <c r="G803" s="143" t="n"/>
      <c r="H803" s="27" t="n"/>
    </row>
    <row r="804" ht="17.25" customHeight="1" s="322">
      <c r="A804" s="27" t="n"/>
      <c r="B804" s="506" t="n"/>
      <c r="C804" s="141" t="n"/>
      <c r="D804" s="141" t="n"/>
      <c r="E804" s="141" t="n"/>
      <c r="F804" s="141" t="n"/>
      <c r="G804" s="143" t="n"/>
      <c r="H804" s="27" t="n"/>
    </row>
    <row r="805" ht="17.25" customHeight="1" s="322">
      <c r="A805" s="27" t="n"/>
      <c r="B805" s="506" t="n"/>
      <c r="C805" s="141" t="n"/>
      <c r="D805" s="141" t="n"/>
      <c r="E805" s="141" t="n"/>
      <c r="F805" s="141" t="n"/>
      <c r="G805" s="143" t="n"/>
      <c r="H805" s="27" t="n"/>
    </row>
    <row r="806" ht="17.25" customHeight="1" s="322">
      <c r="A806" s="27" t="n"/>
      <c r="B806" s="506" t="n"/>
      <c r="C806" s="141" t="n"/>
      <c r="D806" s="141" t="n"/>
      <c r="E806" s="141" t="n"/>
      <c r="F806" s="141" t="n"/>
      <c r="G806" s="143" t="n"/>
      <c r="H806" s="27" t="n"/>
    </row>
    <row r="807" ht="17.25" customHeight="1" s="322">
      <c r="A807" s="27" t="n"/>
      <c r="B807" s="506" t="n"/>
      <c r="C807" s="141" t="n"/>
      <c r="D807" s="141" t="n"/>
      <c r="E807" s="141" t="n"/>
      <c r="F807" s="141" t="n"/>
      <c r="G807" s="143" t="n"/>
      <c r="H807" s="27" t="n"/>
    </row>
    <row r="808" ht="17.25" customHeight="1" s="322">
      <c r="A808" s="27" t="n"/>
      <c r="B808" s="506" t="n"/>
      <c r="C808" s="141" t="n"/>
      <c r="D808" s="141" t="n"/>
      <c r="E808" s="141" t="n"/>
      <c r="F808" s="141" t="n"/>
      <c r="G808" s="143" t="n"/>
      <c r="H808" s="27" t="n"/>
    </row>
    <row r="809" ht="17.25" customHeight="1" s="322">
      <c r="A809" s="27" t="n"/>
      <c r="B809" s="506" t="n"/>
      <c r="C809" s="141" t="n"/>
      <c r="D809" s="141" t="n"/>
      <c r="E809" s="141" t="n"/>
      <c r="F809" s="141" t="n"/>
      <c r="G809" s="143" t="n"/>
      <c r="H809" s="27" t="n"/>
    </row>
    <row r="810" ht="17.25" customHeight="1" s="322">
      <c r="A810" s="27" t="n"/>
      <c r="B810" s="506" t="n"/>
      <c r="C810" s="141" t="n"/>
      <c r="D810" s="141" t="n"/>
      <c r="E810" s="141" t="n"/>
      <c r="F810" s="141" t="n"/>
      <c r="G810" s="143" t="n"/>
      <c r="H810" s="27" t="n"/>
    </row>
    <row r="811" ht="17.25" customHeight="1" s="322">
      <c r="A811" s="27" t="n"/>
      <c r="B811" s="506" t="n"/>
      <c r="C811" s="141" t="n"/>
      <c r="D811" s="141" t="n"/>
      <c r="E811" s="141" t="n"/>
      <c r="F811" s="141" t="n"/>
      <c r="G811" s="143" t="n"/>
      <c r="H811" s="27" t="n"/>
    </row>
    <row r="812" ht="17.25" customHeight="1" s="322">
      <c r="A812" s="27" t="n"/>
      <c r="B812" s="506" t="n"/>
      <c r="C812" s="141" t="n"/>
      <c r="D812" s="141" t="n"/>
      <c r="E812" s="141" t="n"/>
      <c r="F812" s="141" t="n"/>
      <c r="G812" s="143" t="n"/>
      <c r="H812" s="27" t="n"/>
    </row>
    <row r="813" ht="17.25" customHeight="1" s="322">
      <c r="A813" s="27" t="n"/>
      <c r="B813" s="506" t="n"/>
      <c r="C813" s="141" t="n"/>
      <c r="D813" s="141" t="n"/>
      <c r="E813" s="141" t="n"/>
      <c r="F813" s="141" t="n"/>
      <c r="G813" s="143" t="n"/>
      <c r="H813" s="27" t="n"/>
    </row>
    <row r="814" ht="17.25" customHeight="1" s="322">
      <c r="A814" s="27" t="n"/>
      <c r="B814" s="506" t="n"/>
      <c r="C814" s="141" t="n"/>
      <c r="D814" s="141" t="n"/>
      <c r="E814" s="141" t="n"/>
      <c r="F814" s="141" t="n"/>
      <c r="G814" s="143" t="n"/>
      <c r="H814" s="27" t="n"/>
    </row>
    <row r="815" ht="17.25" customHeight="1" s="322">
      <c r="A815" s="27" t="n"/>
      <c r="B815" s="506" t="n"/>
      <c r="C815" s="141" t="n"/>
      <c r="D815" s="141" t="n"/>
      <c r="E815" s="141" t="n"/>
      <c r="F815" s="141" t="n"/>
      <c r="G815" s="143" t="n"/>
      <c r="H815" s="27" t="n"/>
    </row>
    <row r="816" ht="17.25" customHeight="1" s="322">
      <c r="A816" s="27" t="n"/>
      <c r="B816" s="506" t="n"/>
      <c r="C816" s="141" t="n"/>
      <c r="D816" s="141" t="n"/>
      <c r="E816" s="141" t="n"/>
      <c r="F816" s="141" t="n"/>
      <c r="G816" s="143" t="n"/>
      <c r="H816" s="27" t="n"/>
    </row>
    <row r="817" ht="17.25" customHeight="1" s="322">
      <c r="A817" s="27" t="n"/>
      <c r="B817" s="506" t="n"/>
      <c r="C817" s="141" t="n"/>
      <c r="D817" s="141" t="n"/>
      <c r="E817" s="141" t="n"/>
      <c r="F817" s="141" t="n"/>
      <c r="G817" s="143" t="n"/>
      <c r="H817" s="27" t="n"/>
    </row>
    <row r="818" ht="17.25" customHeight="1" s="322">
      <c r="A818" s="27" t="n"/>
      <c r="B818" s="506" t="n"/>
      <c r="C818" s="141" t="n"/>
      <c r="D818" s="141" t="n"/>
      <c r="E818" s="141" t="n"/>
      <c r="F818" s="141" t="n"/>
      <c r="G818" s="143" t="n"/>
      <c r="H818" s="27" t="n"/>
    </row>
    <row r="819" ht="17.25" customHeight="1" s="322">
      <c r="A819" s="27" t="n"/>
      <c r="B819" s="506" t="n"/>
      <c r="C819" s="141" t="n"/>
      <c r="D819" s="141" t="n"/>
      <c r="E819" s="141" t="n"/>
      <c r="F819" s="141" t="n"/>
      <c r="G819" s="143" t="n"/>
      <c r="H819" s="27" t="n"/>
    </row>
    <row r="820" ht="17.25" customHeight="1" s="322">
      <c r="A820" s="27" t="n"/>
      <c r="B820" s="506" t="n"/>
      <c r="C820" s="141" t="n"/>
      <c r="D820" s="141" t="n"/>
      <c r="E820" s="141" t="n"/>
      <c r="F820" s="141" t="n"/>
      <c r="G820" s="143" t="n"/>
      <c r="H820" s="27" t="n"/>
    </row>
    <row r="821" ht="17.25" customHeight="1" s="322">
      <c r="A821" s="27" t="n"/>
      <c r="B821" s="506" t="n"/>
      <c r="C821" s="141" t="n"/>
      <c r="D821" s="141" t="n"/>
      <c r="E821" s="141" t="n"/>
      <c r="F821" s="141" t="n"/>
      <c r="G821" s="143" t="n"/>
      <c r="H821" s="27" t="n"/>
    </row>
    <row r="822" ht="17.25" customHeight="1" s="322">
      <c r="A822" s="27" t="n"/>
      <c r="B822" s="506" t="n"/>
      <c r="C822" s="141" t="n"/>
      <c r="D822" s="141" t="n"/>
      <c r="E822" s="141" t="n"/>
      <c r="F822" s="141" t="n"/>
      <c r="G822" s="143" t="n"/>
      <c r="H822" s="27" t="n"/>
    </row>
    <row r="823" ht="17.25" customHeight="1" s="322">
      <c r="A823" s="27" t="n"/>
      <c r="B823" s="506" t="n"/>
      <c r="C823" s="141" t="n"/>
      <c r="D823" s="141" t="n"/>
      <c r="E823" s="141" t="n"/>
      <c r="F823" s="141" t="n"/>
      <c r="G823" s="143" t="n"/>
      <c r="H823" s="27" t="n"/>
    </row>
    <row r="824" ht="17.25" customHeight="1" s="322">
      <c r="A824" s="27" t="n"/>
      <c r="B824" s="506" t="n"/>
      <c r="C824" s="141" t="n"/>
      <c r="D824" s="141" t="n"/>
      <c r="E824" s="141" t="n"/>
      <c r="F824" s="141" t="n"/>
      <c r="G824" s="143" t="n"/>
      <c r="H824" s="27" t="n"/>
    </row>
    <row r="825" ht="17.25" customHeight="1" s="322">
      <c r="A825" s="27" t="n"/>
      <c r="B825" s="506" t="n"/>
      <c r="C825" s="141" t="n"/>
      <c r="D825" s="141" t="n"/>
      <c r="E825" s="141" t="n"/>
      <c r="F825" s="141" t="n"/>
      <c r="G825" s="143" t="n"/>
      <c r="H825" s="27" t="n"/>
    </row>
    <row r="826" ht="17.25" customHeight="1" s="322">
      <c r="A826" s="27" t="n"/>
      <c r="B826" s="506" t="n"/>
      <c r="C826" s="141" t="n"/>
      <c r="D826" s="141" t="n"/>
      <c r="E826" s="141" t="n"/>
      <c r="F826" s="141" t="n"/>
      <c r="G826" s="143" t="n"/>
      <c r="H826" s="27" t="n"/>
    </row>
    <row r="827" ht="17.25" customHeight="1" s="322">
      <c r="A827" s="27" t="n"/>
      <c r="B827" s="506" t="n"/>
      <c r="C827" s="141" t="n"/>
      <c r="D827" s="141" t="n"/>
      <c r="E827" s="141" t="n"/>
      <c r="F827" s="141" t="n"/>
      <c r="G827" s="143" t="n"/>
      <c r="H827" s="27" t="n"/>
    </row>
    <row r="828" ht="17.25" customHeight="1" s="322">
      <c r="A828" s="27" t="n"/>
      <c r="B828" s="506" t="n"/>
      <c r="C828" s="141" t="n"/>
      <c r="D828" s="141" t="n"/>
      <c r="E828" s="141" t="n"/>
      <c r="F828" s="141" t="n"/>
      <c r="G828" s="143" t="n"/>
      <c r="H828" s="27" t="n"/>
    </row>
    <row r="829" ht="17.25" customHeight="1" s="322">
      <c r="A829" s="27" t="n"/>
      <c r="B829" s="506" t="n"/>
      <c r="C829" s="141" t="n"/>
      <c r="D829" s="141" t="n"/>
      <c r="E829" s="141" t="n"/>
      <c r="F829" s="141" t="n"/>
      <c r="G829" s="143" t="n"/>
      <c r="H829" s="27" t="n"/>
    </row>
    <row r="830" ht="17.25" customHeight="1" s="322">
      <c r="A830" s="27" t="n"/>
      <c r="B830" s="506" t="n"/>
      <c r="C830" s="141" t="n"/>
      <c r="D830" s="141" t="n"/>
      <c r="E830" s="141" t="n"/>
      <c r="F830" s="141" t="n"/>
      <c r="G830" s="143" t="n"/>
      <c r="H830" s="27" t="n"/>
    </row>
    <row r="831" ht="17.25" customHeight="1" s="322">
      <c r="A831" s="27" t="n"/>
      <c r="B831" s="506" t="n"/>
      <c r="C831" s="141" t="n"/>
      <c r="D831" s="141" t="n"/>
      <c r="E831" s="141" t="n"/>
      <c r="F831" s="141" t="n"/>
      <c r="G831" s="143" t="n"/>
      <c r="H831" s="27" t="n"/>
    </row>
    <row r="832" ht="17.25" customHeight="1" s="322">
      <c r="A832" s="27" t="n"/>
      <c r="B832" s="506" t="n"/>
      <c r="C832" s="141" t="n"/>
      <c r="D832" s="141" t="n"/>
      <c r="E832" s="141" t="n"/>
      <c r="F832" s="141" t="n"/>
      <c r="G832" s="143" t="n"/>
      <c r="H832" s="27" t="n"/>
    </row>
    <row r="833" ht="17.25" customHeight="1" s="322">
      <c r="A833" s="27" t="n"/>
      <c r="B833" s="506" t="n"/>
      <c r="C833" s="141" t="n"/>
      <c r="D833" s="141" t="n"/>
      <c r="E833" s="141" t="n"/>
      <c r="F833" s="141" t="n"/>
      <c r="G833" s="143" t="n"/>
      <c r="H833" s="27" t="n"/>
    </row>
    <row r="834" ht="17.25" customHeight="1" s="322">
      <c r="A834" s="27" t="n"/>
      <c r="B834" s="506" t="n"/>
      <c r="C834" s="141" t="n"/>
      <c r="D834" s="141" t="n"/>
      <c r="E834" s="141" t="n"/>
      <c r="F834" s="141" t="n"/>
      <c r="G834" s="143" t="n"/>
      <c r="H834" s="27" t="n"/>
    </row>
    <row r="835" ht="17.25" customHeight="1" s="322">
      <c r="A835" s="27" t="n"/>
      <c r="B835" s="506" t="n"/>
      <c r="C835" s="141" t="n"/>
      <c r="D835" s="141" t="n"/>
      <c r="E835" s="141" t="n"/>
      <c r="F835" s="141" t="n"/>
      <c r="G835" s="143" t="n"/>
      <c r="H835" s="27" t="n"/>
    </row>
    <row r="836" ht="17.25" customHeight="1" s="322">
      <c r="A836" s="27" t="n"/>
      <c r="B836" s="506" t="n"/>
      <c r="C836" s="141" t="n"/>
      <c r="D836" s="141" t="n"/>
      <c r="E836" s="141" t="n"/>
      <c r="F836" s="141" t="n"/>
      <c r="G836" s="143" t="n"/>
      <c r="H836" s="27" t="n"/>
    </row>
    <row r="837" ht="17.25" customHeight="1" s="322">
      <c r="A837" s="27" t="n"/>
      <c r="B837" s="506" t="n"/>
      <c r="C837" s="141" t="n"/>
      <c r="D837" s="141" t="n"/>
      <c r="E837" s="141" t="n"/>
      <c r="F837" s="141" t="n"/>
      <c r="G837" s="143" t="n"/>
      <c r="H837" s="27" t="n"/>
    </row>
    <row r="838" ht="17.25" customHeight="1" s="322">
      <c r="A838" s="27" t="n"/>
      <c r="B838" s="506" t="n"/>
      <c r="C838" s="141" t="n"/>
      <c r="D838" s="141" t="n"/>
      <c r="E838" s="141" t="n"/>
      <c r="F838" s="141" t="n"/>
      <c r="G838" s="143" t="n"/>
      <c r="H838" s="27" t="n"/>
    </row>
    <row r="839" ht="17.25" customHeight="1" s="322">
      <c r="A839" s="27" t="n"/>
      <c r="B839" s="506" t="n"/>
      <c r="C839" s="141" t="n"/>
      <c r="D839" s="141" t="n"/>
      <c r="E839" s="141" t="n"/>
      <c r="F839" s="141" t="n"/>
      <c r="G839" s="143" t="n"/>
      <c r="H839" s="27" t="n"/>
    </row>
    <row r="840" ht="17.25" customHeight="1" s="322">
      <c r="A840" s="27" t="n"/>
      <c r="B840" s="506" t="n"/>
      <c r="C840" s="141" t="n"/>
      <c r="D840" s="141" t="n"/>
      <c r="E840" s="141" t="n"/>
      <c r="F840" s="141" t="n"/>
      <c r="G840" s="143" t="n"/>
      <c r="H840" s="27" t="n"/>
    </row>
    <row r="841" ht="17.25" customHeight="1" s="322">
      <c r="A841" s="27" t="n"/>
      <c r="B841" s="506" t="n"/>
      <c r="C841" s="141" t="n"/>
      <c r="D841" s="141" t="n"/>
      <c r="E841" s="141" t="n"/>
      <c r="F841" s="141" t="n"/>
      <c r="G841" s="143" t="n"/>
      <c r="H841" s="27" t="n"/>
    </row>
    <row r="842" ht="17.25" customHeight="1" s="322">
      <c r="A842" s="27" t="n"/>
      <c r="B842" s="506" t="n"/>
      <c r="C842" s="141" t="n"/>
      <c r="D842" s="141" t="n"/>
      <c r="E842" s="141" t="n"/>
      <c r="F842" s="141" t="n"/>
      <c r="G842" s="143" t="n"/>
      <c r="H842" s="27" t="n"/>
    </row>
    <row r="843" ht="17.25" customHeight="1" s="322">
      <c r="A843" s="27" t="n"/>
      <c r="B843" s="506" t="n"/>
      <c r="C843" s="141" t="n"/>
      <c r="D843" s="141" t="n"/>
      <c r="E843" s="141" t="n"/>
      <c r="F843" s="141" t="n"/>
      <c r="G843" s="143" t="n"/>
      <c r="H843" s="27" t="n"/>
    </row>
    <row r="844" ht="17.25" customHeight="1" s="322">
      <c r="A844" s="27" t="n"/>
      <c r="B844" s="506" t="n"/>
      <c r="C844" s="141" t="n"/>
      <c r="D844" s="141" t="n"/>
      <c r="E844" s="141" t="n"/>
      <c r="F844" s="141" t="n"/>
      <c r="G844" s="143" t="n"/>
      <c r="H844" s="27" t="n"/>
    </row>
    <row r="845" ht="17.25" customHeight="1" s="322">
      <c r="A845" s="27" t="n"/>
      <c r="B845" s="506" t="n"/>
      <c r="C845" s="141" t="n"/>
      <c r="D845" s="141" t="n"/>
      <c r="E845" s="141" t="n"/>
      <c r="F845" s="141" t="n"/>
      <c r="G845" s="143" t="n"/>
      <c r="H845" s="27" t="n"/>
    </row>
    <row r="846" ht="17.25" customHeight="1" s="322">
      <c r="A846" s="27" t="n"/>
      <c r="B846" s="506" t="n"/>
      <c r="C846" s="141" t="n"/>
      <c r="D846" s="141" t="n"/>
      <c r="E846" s="141" t="n"/>
      <c r="F846" s="141" t="n"/>
      <c r="G846" s="143" t="n"/>
      <c r="H846" s="27" t="n"/>
    </row>
    <row r="847" ht="17.25" customHeight="1" s="322">
      <c r="A847" s="27" t="n"/>
      <c r="B847" s="506" t="n"/>
      <c r="C847" s="141" t="n"/>
      <c r="D847" s="141" t="n"/>
      <c r="E847" s="141" t="n"/>
      <c r="F847" s="141" t="n"/>
      <c r="G847" s="143" t="n"/>
      <c r="H847" s="27" t="n"/>
    </row>
    <row r="848" ht="17.25" customHeight="1" s="322">
      <c r="A848" s="27" t="n"/>
      <c r="B848" s="506" t="n"/>
      <c r="C848" s="141" t="n"/>
      <c r="D848" s="141" t="n"/>
      <c r="E848" s="141" t="n"/>
      <c r="F848" s="141" t="n"/>
      <c r="G848" s="143" t="n"/>
      <c r="H848" s="27" t="n"/>
    </row>
    <row r="849" ht="17.25" customHeight="1" s="322">
      <c r="A849" s="27" t="n"/>
      <c r="B849" s="506" t="n"/>
      <c r="C849" s="141" t="n"/>
      <c r="D849" s="141" t="n"/>
      <c r="E849" s="141" t="n"/>
      <c r="F849" s="141" t="n"/>
      <c r="G849" s="143" t="n"/>
      <c r="H849" s="27" t="n"/>
    </row>
    <row r="850" ht="17.25" customHeight="1" s="322">
      <c r="A850" s="27" t="n"/>
      <c r="B850" s="506" t="n"/>
      <c r="C850" s="141" t="n"/>
      <c r="D850" s="141" t="n"/>
      <c r="E850" s="141" t="n"/>
      <c r="F850" s="141" t="n"/>
      <c r="G850" s="143" t="n"/>
      <c r="H850" s="27" t="n"/>
    </row>
    <row r="851" ht="17.25" customHeight="1" s="322">
      <c r="A851" s="27" t="n"/>
      <c r="B851" s="506" t="n"/>
      <c r="C851" s="141" t="n"/>
      <c r="D851" s="141" t="n"/>
      <c r="E851" s="141" t="n"/>
      <c r="F851" s="141" t="n"/>
      <c r="G851" s="143" t="n"/>
      <c r="H851" s="27" t="n"/>
    </row>
    <row r="852" ht="17.25" customHeight="1" s="322">
      <c r="A852" s="27" t="n"/>
      <c r="B852" s="506" t="n"/>
      <c r="C852" s="141" t="n"/>
      <c r="D852" s="141" t="n"/>
      <c r="E852" s="141" t="n"/>
      <c r="F852" s="141" t="n"/>
      <c r="G852" s="143" t="n"/>
      <c r="H852" s="27" t="n"/>
    </row>
    <row r="853" ht="17.25" customHeight="1" s="322">
      <c r="A853" s="27" t="n"/>
      <c r="B853" s="506" t="n"/>
      <c r="C853" s="141" t="n"/>
      <c r="D853" s="141" t="n"/>
      <c r="E853" s="141" t="n"/>
      <c r="F853" s="141" t="n"/>
      <c r="G853" s="143" t="n"/>
      <c r="H853" s="27" t="n"/>
    </row>
    <row r="854" ht="17.25" customHeight="1" s="322">
      <c r="A854" s="27" t="n"/>
      <c r="B854" s="506" t="n"/>
      <c r="C854" s="141" t="n"/>
      <c r="D854" s="141" t="n"/>
      <c r="E854" s="141" t="n"/>
      <c r="F854" s="141" t="n"/>
      <c r="G854" s="143" t="n"/>
      <c r="H854" s="27" t="n"/>
    </row>
    <row r="855" ht="17.25" customHeight="1" s="322">
      <c r="A855" s="27" t="n"/>
      <c r="B855" s="506" t="n"/>
      <c r="C855" s="141" t="n"/>
      <c r="D855" s="141" t="n"/>
      <c r="E855" s="141" t="n"/>
      <c r="F855" s="141" t="n"/>
      <c r="G855" s="143" t="n"/>
      <c r="H855" s="27" t="n"/>
    </row>
    <row r="856" ht="17.25" customHeight="1" s="322">
      <c r="A856" s="27" t="n"/>
      <c r="B856" s="506" t="n"/>
      <c r="C856" s="141" t="n"/>
      <c r="D856" s="141" t="n"/>
      <c r="E856" s="141" t="n"/>
      <c r="F856" s="141" t="n"/>
      <c r="G856" s="143" t="n"/>
      <c r="H856" s="27" t="n"/>
    </row>
    <row r="857" ht="17.25" customHeight="1" s="322">
      <c r="A857" s="27" t="n"/>
      <c r="B857" s="506" t="n"/>
      <c r="C857" s="141" t="n"/>
      <c r="D857" s="141" t="n"/>
      <c r="E857" s="141" t="n"/>
      <c r="F857" s="141" t="n"/>
      <c r="G857" s="143" t="n"/>
      <c r="H857" s="27" t="n"/>
    </row>
    <row r="858" ht="17.25" customHeight="1" s="322">
      <c r="A858" s="27" t="n"/>
      <c r="B858" s="506" t="n"/>
      <c r="C858" s="141" t="n"/>
      <c r="D858" s="141" t="n"/>
      <c r="E858" s="141" t="n"/>
      <c r="F858" s="141" t="n"/>
      <c r="G858" s="143" t="n"/>
      <c r="H858" s="27" t="n"/>
    </row>
    <row r="859" ht="17.25" customHeight="1" s="322">
      <c r="A859" s="27" t="n"/>
      <c r="B859" s="506" t="n"/>
      <c r="C859" s="141" t="n"/>
      <c r="D859" s="141" t="n"/>
      <c r="E859" s="141" t="n"/>
      <c r="F859" s="141" t="n"/>
      <c r="G859" s="143" t="n"/>
      <c r="H859" s="27" t="n"/>
    </row>
    <row r="860" ht="17.25" customHeight="1" s="322">
      <c r="A860" s="27" t="n"/>
      <c r="B860" s="506" t="n"/>
      <c r="C860" s="141" t="n"/>
      <c r="D860" s="141" t="n"/>
      <c r="E860" s="141" t="n"/>
      <c r="F860" s="141" t="n"/>
      <c r="G860" s="143" t="n"/>
      <c r="H860" s="27" t="n"/>
    </row>
    <row r="861" ht="17.25" customHeight="1" s="322">
      <c r="A861" s="27" t="n"/>
      <c r="B861" s="506" t="n"/>
      <c r="C861" s="141" t="n"/>
      <c r="D861" s="141" t="n"/>
      <c r="E861" s="141" t="n"/>
      <c r="F861" s="141" t="n"/>
      <c r="G861" s="143" t="n"/>
      <c r="H861" s="27" t="n"/>
    </row>
    <row r="862" ht="17.25" customHeight="1" s="322">
      <c r="A862" s="27" t="n"/>
      <c r="B862" s="506" t="n"/>
      <c r="C862" s="141" t="n"/>
      <c r="D862" s="141" t="n"/>
      <c r="E862" s="141" t="n"/>
      <c r="F862" s="141" t="n"/>
      <c r="G862" s="143" t="n"/>
      <c r="H862" s="27" t="n"/>
    </row>
    <row r="863" ht="17.25" customHeight="1" s="322">
      <c r="A863" s="27" t="n"/>
      <c r="B863" s="506" t="n"/>
      <c r="C863" s="141" t="n"/>
      <c r="D863" s="141" t="n"/>
      <c r="E863" s="141" t="n"/>
      <c r="F863" s="141" t="n"/>
      <c r="G863" s="143" t="n"/>
      <c r="H863" s="27" t="n"/>
    </row>
    <row r="864" ht="17.25" customHeight="1" s="322">
      <c r="A864" s="27" t="n"/>
      <c r="B864" s="506" t="n"/>
      <c r="C864" s="141" t="n"/>
      <c r="D864" s="141" t="n"/>
      <c r="E864" s="141" t="n"/>
      <c r="F864" s="141" t="n"/>
      <c r="G864" s="143" t="n"/>
      <c r="H864" s="27" t="n"/>
    </row>
    <row r="865" ht="17.25" customHeight="1" s="322">
      <c r="A865" s="27" t="n"/>
      <c r="B865" s="506" t="n"/>
      <c r="C865" s="141" t="n"/>
      <c r="D865" s="141" t="n"/>
      <c r="E865" s="141" t="n"/>
      <c r="F865" s="141" t="n"/>
      <c r="G865" s="143" t="n"/>
      <c r="H865" s="27" t="n"/>
    </row>
    <row r="866" ht="17.25" customHeight="1" s="322">
      <c r="A866" s="27" t="n"/>
      <c r="B866" s="506" t="n"/>
      <c r="C866" s="141" t="n"/>
      <c r="D866" s="141" t="n"/>
      <c r="E866" s="141" t="n"/>
      <c r="F866" s="141" t="n"/>
      <c r="G866" s="143" t="n"/>
      <c r="H866" s="27" t="n"/>
    </row>
    <row r="867" ht="17.25" customHeight="1" s="322">
      <c r="A867" s="27" t="n"/>
      <c r="B867" s="506" t="n"/>
      <c r="C867" s="141" t="n"/>
      <c r="D867" s="141" t="n"/>
      <c r="E867" s="141" t="n"/>
      <c r="F867" s="141" t="n"/>
      <c r="G867" s="143" t="n"/>
      <c r="H867" s="27" t="n"/>
    </row>
    <row r="868" ht="17.25" customHeight="1" s="322">
      <c r="A868" s="27" t="n"/>
      <c r="B868" s="506" t="n"/>
      <c r="C868" s="141" t="n"/>
      <c r="D868" s="141" t="n"/>
      <c r="E868" s="141" t="n"/>
      <c r="F868" s="141" t="n"/>
      <c r="G868" s="143" t="n"/>
      <c r="H868" s="27" t="n"/>
    </row>
    <row r="869" ht="17.25" customHeight="1" s="322">
      <c r="A869" s="27" t="n"/>
      <c r="B869" s="506" t="n"/>
      <c r="C869" s="141" t="n"/>
      <c r="D869" s="141" t="n"/>
      <c r="E869" s="141" t="n"/>
      <c r="F869" s="141" t="n"/>
      <c r="G869" s="143" t="n"/>
      <c r="H869" s="27" t="n"/>
    </row>
    <row r="870" ht="17.25" customHeight="1" s="322">
      <c r="A870" s="27" t="n"/>
      <c r="B870" s="506" t="n"/>
      <c r="C870" s="141" t="n"/>
      <c r="D870" s="141" t="n"/>
      <c r="E870" s="141" t="n"/>
      <c r="F870" s="141" t="n"/>
      <c r="G870" s="143" t="n"/>
      <c r="H870" s="27" t="n"/>
    </row>
    <row r="871" ht="17.25" customHeight="1" s="322">
      <c r="A871" s="27" t="n"/>
      <c r="B871" s="506" t="n"/>
      <c r="C871" s="141" t="n"/>
      <c r="D871" s="141" t="n"/>
      <c r="E871" s="141" t="n"/>
      <c r="F871" s="141" t="n"/>
      <c r="G871" s="143" t="n"/>
      <c r="H871" s="27" t="n"/>
    </row>
    <row r="872" ht="17.25" customHeight="1" s="322">
      <c r="A872" s="27" t="n"/>
      <c r="B872" s="506" t="n"/>
      <c r="C872" s="141" t="n"/>
      <c r="D872" s="141" t="n"/>
      <c r="E872" s="141" t="n"/>
      <c r="F872" s="141" t="n"/>
      <c r="G872" s="143" t="n"/>
      <c r="H872" s="27" t="n"/>
    </row>
    <row r="873" ht="17.25" customHeight="1" s="322">
      <c r="A873" s="27" t="n"/>
      <c r="B873" s="506" t="n"/>
      <c r="C873" s="141" t="n"/>
      <c r="D873" s="141" t="n"/>
      <c r="E873" s="141" t="n"/>
      <c r="F873" s="141" t="n"/>
      <c r="G873" s="143" t="n"/>
      <c r="H873" s="27" t="n"/>
    </row>
    <row r="874" ht="17.25" customHeight="1" s="322">
      <c r="A874" s="27" t="n"/>
      <c r="B874" s="506" t="n"/>
      <c r="C874" s="141" t="n"/>
      <c r="D874" s="141" t="n"/>
      <c r="E874" s="141" t="n"/>
      <c r="F874" s="141" t="n"/>
      <c r="G874" s="143" t="n"/>
      <c r="H874" s="27" t="n"/>
    </row>
    <row r="875" ht="17.25" customHeight="1" s="322">
      <c r="A875" s="27" t="n"/>
      <c r="B875" s="506" t="n"/>
      <c r="C875" s="141" t="n"/>
      <c r="D875" s="141" t="n"/>
      <c r="E875" s="141" t="n"/>
      <c r="F875" s="141" t="n"/>
      <c r="G875" s="143" t="n"/>
      <c r="H875" s="27" t="n"/>
    </row>
    <row r="876" ht="17.25" customHeight="1" s="322">
      <c r="A876" s="27" t="n"/>
      <c r="B876" s="506" t="n"/>
      <c r="C876" s="141" t="n"/>
      <c r="D876" s="141" t="n"/>
      <c r="E876" s="141" t="n"/>
      <c r="F876" s="141" t="n"/>
      <c r="G876" s="143" t="n"/>
      <c r="H876" s="27" t="n"/>
    </row>
    <row r="877" ht="17.25" customHeight="1" s="322">
      <c r="A877" s="27" t="n"/>
      <c r="B877" s="506" t="n"/>
      <c r="C877" s="141" t="n"/>
      <c r="D877" s="141" t="n"/>
      <c r="E877" s="141" t="n"/>
      <c r="F877" s="141" t="n"/>
      <c r="G877" s="143" t="n"/>
      <c r="H877" s="27" t="n"/>
    </row>
    <row r="878" ht="17.25" customHeight="1" s="322">
      <c r="A878" s="27" t="n"/>
      <c r="B878" s="506" t="n"/>
      <c r="C878" s="141" t="n"/>
      <c r="D878" s="141" t="n"/>
      <c r="E878" s="141" t="n"/>
      <c r="F878" s="141" t="n"/>
      <c r="G878" s="143" t="n"/>
      <c r="H878" s="27" t="n"/>
    </row>
    <row r="879" ht="17.25" customHeight="1" s="322">
      <c r="A879" s="27" t="n"/>
      <c r="B879" s="506" t="n"/>
      <c r="C879" s="141" t="n"/>
      <c r="D879" s="141" t="n"/>
      <c r="E879" s="141" t="n"/>
      <c r="F879" s="141" t="n"/>
      <c r="G879" s="143" t="n"/>
      <c r="H879" s="27" t="n"/>
    </row>
    <row r="880" ht="17.25" customHeight="1" s="322">
      <c r="A880" s="27" t="n"/>
      <c r="B880" s="506" t="n"/>
      <c r="C880" s="141" t="n"/>
      <c r="D880" s="141" t="n"/>
      <c r="E880" s="141" t="n"/>
      <c r="F880" s="141" t="n"/>
      <c r="G880" s="143" t="n"/>
      <c r="H880" s="27" t="n"/>
    </row>
    <row r="881" ht="17.25" customHeight="1" s="322">
      <c r="A881" s="27" t="n"/>
      <c r="B881" s="506" t="n"/>
      <c r="C881" s="141" t="n"/>
      <c r="D881" s="141" t="n"/>
      <c r="E881" s="141" t="n"/>
      <c r="F881" s="141" t="n"/>
      <c r="G881" s="143" t="n"/>
      <c r="H881" s="27" t="n"/>
    </row>
    <row r="882" ht="17.25" customHeight="1" s="322">
      <c r="A882" s="27" t="n"/>
      <c r="B882" s="506" t="n"/>
      <c r="C882" s="141" t="n"/>
      <c r="D882" s="141" t="n"/>
      <c r="E882" s="141" t="n"/>
      <c r="F882" s="141" t="n"/>
      <c r="G882" s="143" t="n"/>
      <c r="H882" s="27" t="n"/>
    </row>
    <row r="883" ht="17.25" customHeight="1" s="322">
      <c r="A883" s="27" t="n"/>
      <c r="B883" s="506" t="n"/>
      <c r="C883" s="141" t="n"/>
      <c r="D883" s="141" t="n"/>
      <c r="E883" s="141" t="n"/>
      <c r="F883" s="141" t="n"/>
      <c r="G883" s="143" t="n"/>
      <c r="H883" s="27" t="n"/>
    </row>
    <row r="884" ht="17.25" customHeight="1" s="322">
      <c r="A884" s="27" t="n"/>
      <c r="B884" s="506" t="n"/>
      <c r="C884" s="141" t="n"/>
      <c r="D884" s="141" t="n"/>
      <c r="E884" s="141" t="n"/>
      <c r="F884" s="141" t="n"/>
      <c r="G884" s="143" t="n"/>
      <c r="H884" s="27" t="n"/>
    </row>
    <row r="885" ht="17.25" customHeight="1" s="322">
      <c r="A885" s="27" t="n"/>
      <c r="B885" s="506" t="n"/>
      <c r="C885" s="141" t="n"/>
      <c r="D885" s="141" t="n"/>
      <c r="E885" s="141" t="n"/>
      <c r="F885" s="141" t="n"/>
      <c r="G885" s="143" t="n"/>
      <c r="H885" s="27" t="n"/>
    </row>
    <row r="886" ht="17.25" customHeight="1" s="322">
      <c r="A886" s="27" t="n"/>
      <c r="B886" s="506" t="n"/>
      <c r="C886" s="141" t="n"/>
      <c r="D886" s="141" t="n"/>
      <c r="E886" s="141" t="n"/>
      <c r="F886" s="141" t="n"/>
      <c r="G886" s="143" t="n"/>
      <c r="H886" s="27" t="n"/>
    </row>
    <row r="887" ht="17.25" customHeight="1" s="322">
      <c r="A887" s="27" t="n"/>
      <c r="B887" s="506" t="n"/>
      <c r="C887" s="141" t="n"/>
      <c r="D887" s="141" t="n"/>
      <c r="E887" s="141" t="n"/>
      <c r="F887" s="141" t="n"/>
      <c r="G887" s="143" t="n"/>
      <c r="H887" s="27" t="n"/>
    </row>
    <row r="888" ht="17.25" customHeight="1" s="322">
      <c r="A888" s="27" t="n"/>
      <c r="B888" s="506" t="n"/>
      <c r="C888" s="141" t="n"/>
      <c r="D888" s="141" t="n"/>
      <c r="E888" s="141" t="n"/>
      <c r="F888" s="141" t="n"/>
      <c r="G888" s="143" t="n"/>
      <c r="H888" s="27" t="n"/>
    </row>
    <row r="889" ht="17.25" customHeight="1" s="322">
      <c r="A889" s="27" t="n"/>
      <c r="B889" s="506" t="n"/>
      <c r="C889" s="141" t="n"/>
      <c r="D889" s="141" t="n"/>
      <c r="E889" s="141" t="n"/>
      <c r="F889" s="141" t="n"/>
      <c r="G889" s="143" t="n"/>
      <c r="H889" s="27" t="n"/>
    </row>
    <row r="890" ht="17.25" customHeight="1" s="322">
      <c r="A890" s="27" t="n"/>
      <c r="B890" s="506" t="n"/>
      <c r="C890" s="141" t="n"/>
      <c r="D890" s="141" t="n"/>
      <c r="E890" s="141" t="n"/>
      <c r="F890" s="141" t="n"/>
      <c r="G890" s="143" t="n"/>
      <c r="H890" s="27" t="n"/>
    </row>
    <row r="891" ht="17.25" customHeight="1" s="322">
      <c r="A891" s="27" t="n"/>
      <c r="B891" s="506" t="n"/>
      <c r="C891" s="141" t="n"/>
      <c r="D891" s="141" t="n"/>
      <c r="E891" s="141" t="n"/>
      <c r="F891" s="141" t="n"/>
      <c r="G891" s="143" t="n"/>
      <c r="H891" s="27" t="n"/>
    </row>
    <row r="892" ht="17.25" customHeight="1" s="322">
      <c r="A892" s="27" t="n"/>
      <c r="B892" s="506" t="n"/>
      <c r="C892" s="141" t="n"/>
      <c r="D892" s="141" t="n"/>
      <c r="E892" s="141" t="n"/>
      <c r="F892" s="141" t="n"/>
      <c r="G892" s="143" t="n"/>
      <c r="H892" s="27" t="n"/>
    </row>
    <row r="893" ht="17.25" customHeight="1" s="322">
      <c r="A893" s="27" t="n"/>
      <c r="B893" s="506" t="n"/>
      <c r="C893" s="141" t="n"/>
      <c r="D893" s="141" t="n"/>
      <c r="E893" s="141" t="n"/>
      <c r="F893" s="141" t="n"/>
      <c r="G893" s="143" t="n"/>
      <c r="H893" s="27" t="n"/>
    </row>
    <row r="894" ht="17.25" customHeight="1" s="322">
      <c r="A894" s="27" t="n"/>
      <c r="B894" s="506" t="n"/>
      <c r="C894" s="141" t="n"/>
      <c r="D894" s="141" t="n"/>
      <c r="E894" s="141" t="n"/>
      <c r="F894" s="141" t="n"/>
      <c r="G894" s="143" t="n"/>
      <c r="H894" s="27" t="n"/>
    </row>
    <row r="895" ht="17.25" customHeight="1" s="322">
      <c r="A895" s="27" t="n"/>
      <c r="B895" s="506" t="n"/>
      <c r="C895" s="141" t="n"/>
      <c r="D895" s="141" t="n"/>
      <c r="E895" s="141" t="n"/>
      <c r="F895" s="141" t="n"/>
      <c r="G895" s="143" t="n"/>
      <c r="H895" s="27" t="n"/>
    </row>
    <row r="896" ht="17.25" customHeight="1" s="322">
      <c r="A896" s="27" t="n"/>
      <c r="B896" s="506" t="n"/>
      <c r="C896" s="141" t="n"/>
      <c r="D896" s="141" t="n"/>
      <c r="E896" s="141" t="n"/>
      <c r="F896" s="141" t="n"/>
      <c r="G896" s="143" t="n"/>
      <c r="H896" s="27" t="n"/>
    </row>
    <row r="897" ht="17.25" customHeight="1" s="322">
      <c r="A897" s="27" t="n"/>
      <c r="B897" s="506" t="n"/>
      <c r="C897" s="141" t="n"/>
      <c r="D897" s="141" t="n"/>
      <c r="E897" s="141" t="n"/>
      <c r="F897" s="141" t="n"/>
      <c r="G897" s="143" t="n"/>
      <c r="H897" s="27" t="n"/>
    </row>
    <row r="898" ht="17.25" customHeight="1" s="322">
      <c r="A898" s="27" t="n"/>
      <c r="B898" s="506" t="n"/>
      <c r="C898" s="141" t="n"/>
      <c r="D898" s="141" t="n"/>
      <c r="E898" s="141" t="n"/>
      <c r="F898" s="141" t="n"/>
      <c r="G898" s="143" t="n"/>
      <c r="H898" s="27" t="n"/>
    </row>
    <row r="899" ht="17.25" customHeight="1" s="322">
      <c r="A899" s="27" t="n"/>
      <c r="B899" s="506" t="n"/>
      <c r="C899" s="141" t="n"/>
      <c r="D899" s="141" t="n"/>
      <c r="E899" s="141" t="n"/>
      <c r="F899" s="141" t="n"/>
      <c r="G899" s="143" t="n"/>
      <c r="H899" s="27" t="n"/>
    </row>
    <row r="900" ht="17.25" customHeight="1" s="322">
      <c r="A900" s="27" t="n"/>
      <c r="B900" s="506" t="n"/>
      <c r="C900" s="141" t="n"/>
      <c r="D900" s="141" t="n"/>
      <c r="E900" s="141" t="n"/>
      <c r="F900" s="141" t="n"/>
      <c r="G900" s="143" t="n"/>
      <c r="H900" s="27" t="n"/>
    </row>
    <row r="901" ht="17.25" customHeight="1" s="322">
      <c r="A901" s="27" t="n"/>
      <c r="B901" s="506" t="n"/>
      <c r="C901" s="141" t="n"/>
      <c r="D901" s="141" t="n"/>
      <c r="E901" s="141" t="n"/>
      <c r="F901" s="141" t="n"/>
      <c r="G901" s="143" t="n"/>
      <c r="H901" s="27" t="n"/>
    </row>
    <row r="902" ht="17.25" customHeight="1" s="322">
      <c r="A902" s="27" t="n"/>
      <c r="B902" s="506" t="n"/>
      <c r="C902" s="141" t="n"/>
      <c r="D902" s="141" t="n"/>
      <c r="E902" s="141" t="n"/>
      <c r="F902" s="141" t="n"/>
      <c r="G902" s="143" t="n"/>
      <c r="H902" s="27" t="n"/>
    </row>
    <row r="903" ht="17.25" customHeight="1" s="322">
      <c r="A903" s="27" t="n"/>
      <c r="B903" s="506" t="n"/>
      <c r="C903" s="141" t="n"/>
      <c r="D903" s="141" t="n"/>
      <c r="E903" s="141" t="n"/>
      <c r="F903" s="141" t="n"/>
      <c r="G903" s="143" t="n"/>
      <c r="H903" s="27" t="n"/>
    </row>
    <row r="904" ht="17.25" customHeight="1" s="322">
      <c r="A904" s="27" t="n"/>
      <c r="B904" s="506" t="n"/>
      <c r="C904" s="141" t="n"/>
      <c r="D904" s="141" t="n"/>
      <c r="E904" s="141" t="n"/>
      <c r="F904" s="141" t="n"/>
      <c r="G904" s="143" t="n"/>
      <c r="H904" s="27" t="n"/>
    </row>
    <row r="905" ht="17.25" customHeight="1" s="322">
      <c r="A905" s="27" t="n"/>
      <c r="B905" s="506" t="n"/>
      <c r="C905" s="141" t="n"/>
      <c r="D905" s="141" t="n"/>
      <c r="E905" s="141" t="n"/>
      <c r="F905" s="141" t="n"/>
      <c r="G905" s="143" t="n"/>
      <c r="H905" s="27" t="n"/>
    </row>
    <row r="906" ht="17.25" customHeight="1" s="322">
      <c r="A906" s="27" t="n"/>
      <c r="B906" s="506" t="n"/>
      <c r="C906" s="141" t="n"/>
      <c r="D906" s="141" t="n"/>
      <c r="E906" s="141" t="n"/>
      <c r="F906" s="141" t="n"/>
      <c r="G906" s="143" t="n"/>
      <c r="H906" s="27" t="n"/>
    </row>
    <row r="907" ht="17.25" customHeight="1" s="322">
      <c r="A907" s="27" t="n"/>
      <c r="B907" s="506" t="n"/>
      <c r="C907" s="141" t="n"/>
      <c r="D907" s="141" t="n"/>
      <c r="E907" s="141" t="n"/>
      <c r="F907" s="141" t="n"/>
      <c r="G907" s="143" t="n"/>
      <c r="H907" s="27" t="n"/>
    </row>
    <row r="908" ht="17.25" customHeight="1" s="322">
      <c r="A908" s="27" t="n"/>
      <c r="B908" s="506" t="n"/>
      <c r="C908" s="141" t="n"/>
      <c r="D908" s="141" t="n"/>
      <c r="E908" s="141" t="n"/>
      <c r="F908" s="141" t="n"/>
      <c r="G908" s="143" t="n"/>
      <c r="H908" s="27" t="n"/>
    </row>
    <row r="909" ht="17.25" customHeight="1" s="322">
      <c r="A909" s="27" t="n"/>
      <c r="B909" s="506" t="n"/>
      <c r="C909" s="141" t="n"/>
      <c r="D909" s="141" t="n"/>
      <c r="E909" s="141" t="n"/>
      <c r="F909" s="141" t="n"/>
      <c r="G909" s="143" t="n"/>
      <c r="H909" s="27" t="n"/>
    </row>
    <row r="910" ht="17.25" customHeight="1" s="322">
      <c r="A910" s="27" t="n"/>
      <c r="B910" s="506" t="n"/>
      <c r="C910" s="141" t="n"/>
      <c r="D910" s="141" t="n"/>
      <c r="E910" s="141" t="n"/>
      <c r="F910" s="141" t="n"/>
      <c r="G910" s="143" t="n"/>
      <c r="H910" s="27" t="n"/>
    </row>
    <row r="911" ht="17.25" customHeight="1" s="322">
      <c r="A911" s="27" t="n"/>
      <c r="B911" s="506" t="n"/>
      <c r="C911" s="141" t="n"/>
      <c r="D911" s="141" t="n"/>
      <c r="E911" s="141" t="n"/>
      <c r="F911" s="141" t="n"/>
      <c r="G911" s="143" t="n"/>
      <c r="H911" s="27" t="n"/>
    </row>
    <row r="912" ht="17.25" customHeight="1" s="322">
      <c r="A912" s="27" t="n"/>
      <c r="B912" s="506" t="n"/>
      <c r="C912" s="141" t="n"/>
      <c r="D912" s="141" t="n"/>
      <c r="E912" s="141" t="n"/>
      <c r="F912" s="141" t="n"/>
      <c r="G912" s="143" t="n"/>
      <c r="H912" s="27" t="n"/>
    </row>
    <row r="913" ht="17.25" customHeight="1" s="322">
      <c r="A913" s="27" t="n"/>
      <c r="B913" s="506" t="n"/>
      <c r="C913" s="141" t="n"/>
      <c r="D913" s="141" t="n"/>
      <c r="E913" s="141" t="n"/>
      <c r="F913" s="141" t="n"/>
      <c r="G913" s="143" t="n"/>
      <c r="H913" s="27" t="n"/>
    </row>
    <row r="914" ht="17.25" customHeight="1" s="322">
      <c r="A914" s="27" t="n"/>
      <c r="B914" s="506" t="n"/>
      <c r="C914" s="141" t="n"/>
      <c r="D914" s="141" t="n"/>
      <c r="E914" s="141" t="n"/>
      <c r="F914" s="141" t="n"/>
      <c r="G914" s="143" t="n"/>
      <c r="H914" s="27" t="n"/>
    </row>
    <row r="915" ht="17.25" customHeight="1" s="322">
      <c r="A915" s="27" t="n"/>
      <c r="B915" s="506" t="n"/>
      <c r="C915" s="141" t="n"/>
      <c r="D915" s="141" t="n"/>
      <c r="E915" s="141" t="n"/>
      <c r="F915" s="141" t="n"/>
      <c r="G915" s="143" t="n"/>
      <c r="H915" s="27" t="n"/>
    </row>
    <row r="916" ht="17.25" customHeight="1" s="322">
      <c r="A916" s="27" t="n"/>
      <c r="B916" s="506" t="n"/>
      <c r="C916" s="141" t="n"/>
      <c r="D916" s="141" t="n"/>
      <c r="E916" s="141" t="n"/>
      <c r="F916" s="141" t="n"/>
      <c r="G916" s="143" t="n"/>
      <c r="H916" s="27" t="n"/>
    </row>
    <row r="917" ht="17.25" customHeight="1" s="322">
      <c r="A917" s="27" t="n"/>
      <c r="B917" s="506" t="n"/>
      <c r="C917" s="141" t="n"/>
      <c r="D917" s="141" t="n"/>
      <c r="E917" s="141" t="n"/>
      <c r="F917" s="141" t="n"/>
      <c r="G917" s="143" t="n"/>
      <c r="H917" s="27" t="n"/>
    </row>
    <row r="918" ht="17.25" customHeight="1" s="322">
      <c r="A918" s="27" t="n"/>
      <c r="B918" s="506" t="n"/>
      <c r="C918" s="141" t="n"/>
      <c r="D918" s="141" t="n"/>
      <c r="E918" s="141" t="n"/>
      <c r="F918" s="141" t="n"/>
      <c r="G918" s="143" t="n"/>
      <c r="H918" s="27" t="n"/>
    </row>
    <row r="919" ht="17.25" customHeight="1" s="322">
      <c r="A919" s="27" t="n"/>
      <c r="B919" s="506" t="n"/>
      <c r="C919" s="141" t="n"/>
      <c r="D919" s="141" t="n"/>
      <c r="E919" s="141" t="n"/>
      <c r="F919" s="141" t="n"/>
      <c r="G919" s="143" t="n"/>
      <c r="H919" s="27" t="n"/>
    </row>
    <row r="920" ht="17.25" customHeight="1" s="322">
      <c r="A920" s="27" t="n"/>
      <c r="B920" s="506" t="n"/>
      <c r="C920" s="141" t="n"/>
      <c r="D920" s="141" t="n"/>
      <c r="E920" s="141" t="n"/>
      <c r="F920" s="141" t="n"/>
      <c r="G920" s="143" t="n"/>
      <c r="H920" s="27" t="n"/>
    </row>
    <row r="921" ht="17.25" customHeight="1" s="322">
      <c r="A921" s="27" t="n"/>
      <c r="B921" s="506" t="n"/>
      <c r="C921" s="141" t="n"/>
      <c r="D921" s="141" t="n"/>
      <c r="E921" s="141" t="n"/>
      <c r="F921" s="141" t="n"/>
      <c r="G921" s="143" t="n"/>
      <c r="H921" s="27" t="n"/>
    </row>
    <row r="922" ht="17.25" customHeight="1" s="322">
      <c r="A922" s="27" t="n"/>
      <c r="B922" s="506" t="n"/>
      <c r="C922" s="141" t="n"/>
      <c r="D922" s="141" t="n"/>
      <c r="E922" s="141" t="n"/>
      <c r="F922" s="141" t="n"/>
      <c r="G922" s="143" t="n"/>
      <c r="H922" s="27" t="n"/>
    </row>
    <row r="923" ht="17.25" customHeight="1" s="322">
      <c r="A923" s="27" t="n"/>
      <c r="B923" s="506" t="n"/>
      <c r="C923" s="141" t="n"/>
      <c r="D923" s="141" t="n"/>
      <c r="E923" s="141" t="n"/>
      <c r="F923" s="141" t="n"/>
      <c r="G923" s="143" t="n"/>
      <c r="H923" s="27" t="n"/>
    </row>
    <row r="924" ht="17.25" customHeight="1" s="322">
      <c r="A924" s="27" t="n"/>
      <c r="B924" s="506" t="n"/>
      <c r="C924" s="141" t="n"/>
      <c r="D924" s="141" t="n"/>
      <c r="E924" s="141" t="n"/>
      <c r="F924" s="141" t="n"/>
      <c r="G924" s="143" t="n"/>
      <c r="H924" s="27" t="n"/>
    </row>
    <row r="925" ht="17.25" customHeight="1" s="322">
      <c r="A925" s="27" t="n"/>
      <c r="B925" s="506" t="n"/>
      <c r="C925" s="141" t="n"/>
      <c r="D925" s="141" t="n"/>
      <c r="E925" s="141" t="n"/>
      <c r="F925" s="141" t="n"/>
      <c r="G925" s="143" t="n"/>
      <c r="H925" s="27" t="n"/>
    </row>
    <row r="926" ht="17.25" customHeight="1" s="322">
      <c r="A926" s="27" t="n"/>
      <c r="B926" s="506" t="n"/>
      <c r="C926" s="141" t="n"/>
      <c r="D926" s="141" t="n"/>
      <c r="E926" s="141" t="n"/>
      <c r="F926" s="141" t="n"/>
      <c r="G926" s="143" t="n"/>
      <c r="H926" s="27" t="n"/>
    </row>
    <row r="927" ht="17.25" customHeight="1" s="322">
      <c r="A927" s="27" t="n"/>
      <c r="B927" s="506" t="n"/>
      <c r="C927" s="141" t="n"/>
      <c r="D927" s="141" t="n"/>
      <c r="E927" s="141" t="n"/>
      <c r="F927" s="141" t="n"/>
      <c r="G927" s="143" t="n"/>
      <c r="H927" s="27" t="n"/>
    </row>
    <row r="928" ht="17.25" customHeight="1" s="322">
      <c r="A928" s="27" t="n"/>
      <c r="B928" s="506" t="n"/>
      <c r="C928" s="141" t="n"/>
      <c r="D928" s="141" t="n"/>
      <c r="E928" s="141" t="n"/>
      <c r="F928" s="141" t="n"/>
      <c r="G928" s="143" t="n"/>
      <c r="H928" s="27" t="n"/>
    </row>
    <row r="929" ht="17.25" customHeight="1" s="322">
      <c r="A929" s="27" t="n"/>
      <c r="B929" s="506" t="n"/>
      <c r="C929" s="141" t="n"/>
      <c r="D929" s="141" t="n"/>
      <c r="E929" s="141" t="n"/>
      <c r="F929" s="141" t="n"/>
      <c r="G929" s="143" t="n"/>
      <c r="H929" s="27" t="n"/>
    </row>
    <row r="930" ht="17.25" customHeight="1" s="322">
      <c r="A930" s="27" t="n"/>
      <c r="B930" s="506" t="n"/>
      <c r="C930" s="141" t="n"/>
      <c r="D930" s="141" t="n"/>
      <c r="E930" s="141" t="n"/>
      <c r="F930" s="141" t="n"/>
      <c r="G930" s="143" t="n"/>
      <c r="H930" s="27" t="n"/>
    </row>
    <row r="931" ht="17.25" customHeight="1" s="322">
      <c r="A931" s="27" t="n"/>
      <c r="B931" s="506" t="n"/>
      <c r="C931" s="141" t="n"/>
      <c r="D931" s="141" t="n"/>
      <c r="E931" s="141" t="n"/>
      <c r="F931" s="141" t="n"/>
      <c r="G931" s="143" t="n"/>
      <c r="H931" s="27" t="n"/>
    </row>
    <row r="932" ht="17.25" customHeight="1" s="322">
      <c r="A932" s="27" t="n"/>
      <c r="B932" s="506" t="n"/>
      <c r="C932" s="141" t="n"/>
      <c r="D932" s="141" t="n"/>
      <c r="E932" s="141" t="n"/>
      <c r="F932" s="141" t="n"/>
      <c r="G932" s="143" t="n"/>
      <c r="H932" s="27" t="n"/>
    </row>
    <row r="933" ht="17.25" customHeight="1" s="322">
      <c r="A933" s="27" t="n"/>
      <c r="B933" s="506" t="n"/>
      <c r="C933" s="141" t="n"/>
      <c r="D933" s="141" t="n"/>
      <c r="E933" s="141" t="n"/>
      <c r="F933" s="141" t="n"/>
      <c r="G933" s="143" t="n"/>
      <c r="H933" s="27" t="n"/>
    </row>
    <row r="934" ht="17.25" customHeight="1" s="322">
      <c r="A934" s="27" t="n"/>
      <c r="B934" s="506" t="n"/>
      <c r="C934" s="141" t="n"/>
      <c r="D934" s="141" t="n"/>
      <c r="E934" s="141" t="n"/>
      <c r="F934" s="141" t="n"/>
      <c r="G934" s="143" t="n"/>
      <c r="H934" s="27" t="n"/>
    </row>
    <row r="935" ht="17.25" customHeight="1" s="322">
      <c r="A935" s="27" t="n"/>
      <c r="B935" s="506" t="n"/>
      <c r="C935" s="141" t="n"/>
      <c r="D935" s="141" t="n"/>
      <c r="E935" s="141" t="n"/>
      <c r="F935" s="141" t="n"/>
      <c r="G935" s="143" t="n"/>
      <c r="H935" s="27" t="n"/>
    </row>
    <row r="936" ht="17.25" customHeight="1" s="322">
      <c r="A936" s="27" t="n"/>
      <c r="B936" s="506" t="n"/>
      <c r="C936" s="141" t="n"/>
      <c r="D936" s="141" t="n"/>
      <c r="E936" s="141" t="n"/>
      <c r="F936" s="141" t="n"/>
      <c r="G936" s="143" t="n"/>
      <c r="H936" s="27" t="n"/>
    </row>
    <row r="937" ht="17.25" customHeight="1" s="322">
      <c r="A937" s="27" t="n"/>
      <c r="B937" s="506" t="n"/>
      <c r="C937" s="141" t="n"/>
      <c r="D937" s="141" t="n"/>
      <c r="E937" s="141" t="n"/>
      <c r="F937" s="141" t="n"/>
      <c r="G937" s="143" t="n"/>
      <c r="H937" s="27" t="n"/>
    </row>
    <row r="938" ht="17.25" customHeight="1" s="322">
      <c r="A938" s="27" t="n"/>
      <c r="B938" s="506" t="n"/>
      <c r="C938" s="141" t="n"/>
      <c r="D938" s="141" t="n"/>
      <c r="E938" s="141" t="n"/>
      <c r="F938" s="141" t="n"/>
      <c r="G938" s="143" t="n"/>
      <c r="H938" s="27" t="n"/>
    </row>
    <row r="939" ht="17.25" customHeight="1" s="322">
      <c r="A939" s="27" t="n"/>
      <c r="B939" s="506" t="n"/>
      <c r="C939" s="141" t="n"/>
      <c r="D939" s="141" t="n"/>
      <c r="E939" s="141" t="n"/>
      <c r="F939" s="141" t="n"/>
      <c r="G939" s="143" t="n"/>
      <c r="H939" s="27" t="n"/>
    </row>
    <row r="940" ht="17.25" customHeight="1" s="322">
      <c r="A940" s="27" t="n"/>
      <c r="B940" s="506" t="n"/>
      <c r="C940" s="141" t="n"/>
      <c r="D940" s="141" t="n"/>
      <c r="E940" s="141" t="n"/>
      <c r="F940" s="141" t="n"/>
      <c r="G940" s="143" t="n"/>
      <c r="H940" s="27" t="n"/>
    </row>
    <row r="941" ht="17.25" customHeight="1" s="322">
      <c r="A941" s="27" t="n"/>
      <c r="B941" s="506" t="n"/>
      <c r="C941" s="141" t="n"/>
      <c r="D941" s="141" t="n"/>
      <c r="E941" s="141" t="n"/>
      <c r="F941" s="141" t="n"/>
      <c r="G941" s="143" t="n"/>
      <c r="H941" s="27" t="n"/>
    </row>
    <row r="942" ht="17.25" customHeight="1" s="322">
      <c r="A942" s="27" t="n"/>
      <c r="B942" s="506" t="n"/>
      <c r="C942" s="141" t="n"/>
      <c r="D942" s="141" t="n"/>
      <c r="E942" s="141" t="n"/>
      <c r="F942" s="141" t="n"/>
      <c r="G942" s="143" t="n"/>
      <c r="H942" s="27" t="n"/>
    </row>
    <row r="943" ht="17.25" customHeight="1" s="322">
      <c r="A943" s="27" t="n"/>
      <c r="B943" s="506" t="n"/>
      <c r="C943" s="141" t="n"/>
      <c r="D943" s="141" t="n"/>
      <c r="E943" s="141" t="n"/>
      <c r="F943" s="141" t="n"/>
      <c r="G943" s="143" t="n"/>
      <c r="H943" s="27" t="n"/>
    </row>
    <row r="944" ht="17.25" customHeight="1" s="322">
      <c r="A944" s="27" t="n"/>
      <c r="B944" s="506" t="n"/>
      <c r="C944" s="141" t="n"/>
      <c r="D944" s="141" t="n"/>
      <c r="E944" s="141" t="n"/>
      <c r="F944" s="141" t="n"/>
      <c r="G944" s="143" t="n"/>
      <c r="H944" s="27" t="n"/>
    </row>
    <row r="945" ht="17.25" customHeight="1" s="322">
      <c r="A945" s="27" t="n"/>
      <c r="B945" s="506" t="n"/>
      <c r="C945" s="141" t="n"/>
      <c r="D945" s="141" t="n"/>
      <c r="E945" s="141" t="n"/>
      <c r="F945" s="141" t="n"/>
      <c r="G945" s="143" t="n"/>
      <c r="H945" s="27" t="n"/>
    </row>
    <row r="946" ht="17.25" customHeight="1" s="322">
      <c r="A946" s="27" t="n"/>
      <c r="B946" s="506" t="n"/>
      <c r="C946" s="141" t="n"/>
      <c r="D946" s="141" t="n"/>
      <c r="E946" s="141" t="n"/>
      <c r="F946" s="141" t="n"/>
      <c r="G946" s="143" t="n"/>
      <c r="H946" s="27" t="n"/>
    </row>
    <row r="947" ht="17.25" customHeight="1" s="322">
      <c r="A947" s="27" t="n"/>
      <c r="B947" s="506" t="n"/>
      <c r="C947" s="141" t="n"/>
      <c r="D947" s="141" t="n"/>
      <c r="E947" s="141" t="n"/>
      <c r="F947" s="141" t="n"/>
      <c r="G947" s="143" t="n"/>
      <c r="H947" s="27" t="n"/>
    </row>
    <row r="948" ht="17.25" customHeight="1" s="322">
      <c r="A948" s="27" t="n"/>
      <c r="B948" s="506" t="n"/>
      <c r="C948" s="141" t="n"/>
      <c r="D948" s="141" t="n"/>
      <c r="E948" s="141" t="n"/>
      <c r="F948" s="141" t="n"/>
      <c r="G948" s="143" t="n"/>
      <c r="H948" s="27" t="n"/>
    </row>
    <row r="949" ht="17.25" customHeight="1" s="322">
      <c r="A949" s="27" t="n"/>
      <c r="B949" s="506" t="n"/>
      <c r="C949" s="141" t="n"/>
      <c r="D949" s="141" t="n"/>
      <c r="E949" s="141" t="n"/>
      <c r="F949" s="141" t="n"/>
      <c r="G949" s="143" t="n"/>
      <c r="H949" s="27" t="n"/>
    </row>
    <row r="950" ht="17.25" customHeight="1" s="322">
      <c r="A950" s="27" t="n"/>
      <c r="B950" s="506" t="n"/>
      <c r="C950" s="141" t="n"/>
      <c r="D950" s="141" t="n"/>
      <c r="E950" s="141" t="n"/>
      <c r="F950" s="141" t="n"/>
      <c r="G950" s="143" t="n"/>
      <c r="H950" s="27" t="n"/>
    </row>
    <row r="951" ht="17.25" customHeight="1" s="322">
      <c r="A951" s="27" t="n"/>
      <c r="B951" s="506" t="n"/>
      <c r="C951" s="141" t="n"/>
      <c r="D951" s="141" t="n"/>
      <c r="E951" s="141" t="n"/>
      <c r="F951" s="141" t="n"/>
      <c r="G951" s="143" t="n"/>
      <c r="H951" s="27" t="n"/>
    </row>
    <row r="952" ht="17.25" customHeight="1" s="322">
      <c r="A952" s="27" t="n"/>
      <c r="B952" s="506" t="n"/>
      <c r="C952" s="141" t="n"/>
      <c r="D952" s="141" t="n"/>
      <c r="E952" s="141" t="n"/>
      <c r="F952" s="141" t="n"/>
      <c r="G952" s="143" t="n"/>
      <c r="H952" s="27" t="n"/>
    </row>
    <row r="953" ht="17.25" customHeight="1" s="322">
      <c r="A953" s="27" t="n"/>
      <c r="B953" s="506" t="n"/>
      <c r="C953" s="141" t="n"/>
      <c r="D953" s="141" t="n"/>
      <c r="E953" s="141" t="n"/>
      <c r="F953" s="141" t="n"/>
      <c r="G953" s="143" t="n"/>
      <c r="H953" s="27" t="n"/>
    </row>
    <row r="954" ht="17.25" customHeight="1" s="322">
      <c r="A954" s="27" t="n"/>
      <c r="B954" s="506" t="n"/>
      <c r="C954" s="141" t="n"/>
      <c r="D954" s="141" t="n"/>
      <c r="E954" s="141" t="n"/>
      <c r="F954" s="141" t="n"/>
      <c r="G954" s="143" t="n"/>
      <c r="H954" s="27" t="n"/>
    </row>
    <row r="955" ht="17.25" customHeight="1" s="322">
      <c r="A955" s="27" t="n"/>
      <c r="B955" s="506" t="n"/>
      <c r="C955" s="141" t="n"/>
      <c r="D955" s="141" t="n"/>
      <c r="E955" s="141" t="n"/>
      <c r="F955" s="141" t="n"/>
      <c r="G955" s="143" t="n"/>
      <c r="H955" s="27" t="n"/>
    </row>
    <row r="956" ht="17.25" customHeight="1" s="322">
      <c r="A956" s="27" t="n"/>
      <c r="B956" s="506" t="n"/>
      <c r="C956" s="141" t="n"/>
      <c r="D956" s="141" t="n"/>
      <c r="E956" s="141" t="n"/>
      <c r="F956" s="141" t="n"/>
      <c r="G956" s="143" t="n"/>
      <c r="H956" s="27" t="n"/>
    </row>
    <row r="957" ht="17.25" customHeight="1" s="322">
      <c r="A957" s="27" t="n"/>
      <c r="B957" s="506" t="n"/>
      <c r="C957" s="141" t="n"/>
      <c r="D957" s="141" t="n"/>
      <c r="E957" s="141" t="n"/>
      <c r="F957" s="141" t="n"/>
      <c r="G957" s="143" t="n"/>
      <c r="H957" s="27" t="n"/>
    </row>
    <row r="958" ht="17.25" customHeight="1" s="322">
      <c r="A958" s="27" t="n"/>
      <c r="B958" s="506" t="n"/>
      <c r="C958" s="141" t="n"/>
      <c r="D958" s="141" t="n"/>
      <c r="E958" s="141" t="n"/>
      <c r="F958" s="141" t="n"/>
      <c r="G958" s="143" t="n"/>
      <c r="H958" s="27" t="n"/>
    </row>
    <row r="959" ht="17.25" customHeight="1" s="322">
      <c r="A959" s="27" t="n"/>
      <c r="B959" s="506" t="n"/>
      <c r="C959" s="141" t="n"/>
      <c r="D959" s="141" t="n"/>
      <c r="E959" s="141" t="n"/>
      <c r="F959" s="141" t="n"/>
      <c r="G959" s="143" t="n"/>
      <c r="H959" s="27" t="n"/>
    </row>
    <row r="960" ht="17.25" customHeight="1" s="322">
      <c r="A960" s="27" t="n"/>
      <c r="B960" s="506" t="n"/>
      <c r="C960" s="141" t="n"/>
      <c r="D960" s="141" t="n"/>
      <c r="E960" s="141" t="n"/>
      <c r="F960" s="141" t="n"/>
      <c r="G960" s="143" t="n"/>
      <c r="H960" s="27" t="n"/>
    </row>
    <row r="961" ht="17.25" customHeight="1" s="322">
      <c r="A961" s="27" t="n"/>
      <c r="B961" s="506" t="n"/>
      <c r="C961" s="141" t="n"/>
      <c r="D961" s="141" t="n"/>
      <c r="E961" s="141" t="n"/>
      <c r="F961" s="141" t="n"/>
      <c r="G961" s="143" t="n"/>
      <c r="H961" s="27" t="n"/>
    </row>
    <row r="962" ht="17.25" customHeight="1" s="322">
      <c r="A962" s="27" t="n"/>
      <c r="B962" s="506" t="n"/>
      <c r="C962" s="141" t="n"/>
      <c r="D962" s="141" t="n"/>
      <c r="E962" s="141" t="n"/>
      <c r="F962" s="141" t="n"/>
      <c r="G962" s="143" t="n"/>
      <c r="H962" s="27" t="n"/>
    </row>
    <row r="963" ht="17.25" customHeight="1" s="322">
      <c r="A963" s="27" t="n"/>
      <c r="B963" s="506" t="n"/>
      <c r="C963" s="141" t="n"/>
      <c r="D963" s="141" t="n"/>
      <c r="E963" s="141" t="n"/>
      <c r="F963" s="141" t="n"/>
      <c r="G963" s="143" t="n"/>
      <c r="H963" s="27" t="n"/>
    </row>
    <row r="964" ht="17.25" customHeight="1" s="322">
      <c r="A964" s="27" t="n"/>
      <c r="B964" s="506" t="n"/>
      <c r="C964" s="141" t="n"/>
      <c r="D964" s="141" t="n"/>
      <c r="E964" s="141" t="n"/>
      <c r="F964" s="141" t="n"/>
      <c r="G964" s="143" t="n"/>
      <c r="H964" s="27" t="n"/>
    </row>
    <row r="965" ht="17.25" customHeight="1" s="322">
      <c r="A965" s="27" t="n"/>
      <c r="B965" s="506" t="n"/>
      <c r="C965" s="141" t="n"/>
      <c r="D965" s="141" t="n"/>
      <c r="E965" s="141" t="n"/>
      <c r="F965" s="141" t="n"/>
      <c r="G965" s="143" t="n"/>
      <c r="H965" s="27" t="n"/>
    </row>
    <row r="966" ht="17.25" customHeight="1" s="322">
      <c r="A966" s="27" t="n"/>
      <c r="B966" s="506" t="n"/>
      <c r="C966" s="141" t="n"/>
      <c r="D966" s="141" t="n"/>
      <c r="E966" s="141" t="n"/>
      <c r="F966" s="141" t="n"/>
      <c r="G966" s="143" t="n"/>
      <c r="H966" s="27" t="n"/>
    </row>
    <row r="967" ht="17.25" customHeight="1" s="322">
      <c r="A967" s="27" t="n"/>
      <c r="B967" s="506" t="n"/>
      <c r="C967" s="141" t="n"/>
      <c r="D967" s="141" t="n"/>
      <c r="E967" s="141" t="n"/>
      <c r="F967" s="141" t="n"/>
      <c r="G967" s="143" t="n"/>
      <c r="H967" s="27" t="n"/>
    </row>
    <row r="968" ht="17.25" customHeight="1" s="322">
      <c r="A968" s="27" t="n"/>
      <c r="B968" s="506" t="n"/>
      <c r="C968" s="141" t="n"/>
      <c r="D968" s="141" t="n"/>
      <c r="E968" s="141" t="n"/>
      <c r="F968" s="141" t="n"/>
      <c r="G968" s="143" t="n"/>
      <c r="H968" s="27" t="n"/>
    </row>
    <row r="969" ht="17.25" customHeight="1" s="322">
      <c r="A969" s="27" t="n"/>
      <c r="B969" s="506" t="n"/>
      <c r="C969" s="141" t="n"/>
      <c r="D969" s="141" t="n"/>
      <c r="E969" s="141" t="n"/>
      <c r="F969" s="141" t="n"/>
      <c r="G969" s="143" t="n"/>
      <c r="H969" s="27" t="n"/>
    </row>
    <row r="970" ht="17.25" customHeight="1" s="322">
      <c r="A970" s="27" t="n"/>
      <c r="B970" s="506" t="n"/>
      <c r="C970" s="141" t="n"/>
      <c r="D970" s="141" t="n"/>
      <c r="E970" s="141" t="n"/>
      <c r="F970" s="141" t="n"/>
      <c r="G970" s="143" t="n"/>
      <c r="H970" s="27" t="n"/>
    </row>
    <row r="971" ht="17.25" customHeight="1" s="322">
      <c r="A971" s="27" t="n"/>
      <c r="B971" s="506" t="n"/>
      <c r="C971" s="141" t="n"/>
      <c r="D971" s="141" t="n"/>
      <c r="E971" s="141" t="n"/>
      <c r="F971" s="141" t="n"/>
      <c r="G971" s="143" t="n"/>
      <c r="H971" s="27" t="n"/>
    </row>
    <row r="972" ht="17.25" customHeight="1" s="322">
      <c r="A972" s="27" t="n"/>
      <c r="B972" s="506" t="n"/>
      <c r="C972" s="141" t="n"/>
      <c r="D972" s="141" t="n"/>
      <c r="E972" s="141" t="n"/>
      <c r="F972" s="141" t="n"/>
      <c r="G972" s="143" t="n"/>
      <c r="H972" s="27" t="n"/>
    </row>
    <row r="973" ht="17.25" customHeight="1" s="322">
      <c r="A973" s="27" t="n"/>
      <c r="B973" s="506" t="n"/>
      <c r="C973" s="141" t="n"/>
      <c r="D973" s="141" t="n"/>
      <c r="E973" s="141" t="n"/>
      <c r="F973" s="141" t="n"/>
      <c r="G973" s="143" t="n"/>
      <c r="H973" s="27" t="n"/>
    </row>
    <row r="974" ht="17.25" customHeight="1" s="322">
      <c r="A974" s="27" t="n"/>
      <c r="B974" s="506" t="n"/>
      <c r="C974" s="141" t="n"/>
      <c r="D974" s="141" t="n"/>
      <c r="E974" s="141" t="n"/>
      <c r="F974" s="141" t="n"/>
      <c r="G974" s="143" t="n"/>
      <c r="H974" s="27" t="n"/>
    </row>
    <row r="975" ht="17.25" customHeight="1" s="322">
      <c r="A975" s="27" t="n"/>
      <c r="B975" s="506" t="n"/>
      <c r="C975" s="141" t="n"/>
      <c r="D975" s="141" t="n"/>
      <c r="E975" s="141" t="n"/>
      <c r="F975" s="141" t="n"/>
      <c r="G975" s="143" t="n"/>
      <c r="H975" s="27" t="n"/>
    </row>
    <row r="976" ht="17.25" customHeight="1" s="322">
      <c r="A976" s="27" t="n"/>
      <c r="B976" s="506" t="n"/>
      <c r="C976" s="141" t="n"/>
      <c r="D976" s="141" t="n"/>
      <c r="E976" s="141" t="n"/>
      <c r="F976" s="141" t="n"/>
      <c r="G976" s="143" t="n"/>
      <c r="H976" s="27" t="n"/>
    </row>
    <row r="977" ht="17.25" customHeight="1" s="322">
      <c r="A977" s="27" t="n"/>
      <c r="B977" s="506" t="n"/>
      <c r="C977" s="141" t="n"/>
      <c r="D977" s="141" t="n"/>
      <c r="E977" s="141" t="n"/>
      <c r="F977" s="141" t="n"/>
      <c r="G977" s="143" t="n"/>
      <c r="H977" s="27" t="n"/>
    </row>
    <row r="978" ht="17.25" customHeight="1" s="322">
      <c r="A978" s="27" t="n"/>
      <c r="B978" s="506" t="n"/>
      <c r="C978" s="141" t="n"/>
      <c r="D978" s="141" t="n"/>
      <c r="E978" s="141" t="n"/>
      <c r="F978" s="141" t="n"/>
      <c r="G978" s="143" t="n"/>
      <c r="H978" s="27" t="n"/>
    </row>
    <row r="979" ht="17.25" customHeight="1" s="322">
      <c r="A979" s="27" t="n"/>
      <c r="B979" s="506" t="n"/>
      <c r="C979" s="141" t="n"/>
      <c r="D979" s="141" t="n"/>
      <c r="E979" s="141" t="n"/>
      <c r="F979" s="141" t="n"/>
      <c r="G979" s="143" t="n"/>
      <c r="H979" s="27" t="n"/>
    </row>
    <row r="980" ht="17.25" customHeight="1" s="322">
      <c r="A980" s="27" t="n"/>
      <c r="B980" s="506" t="n"/>
      <c r="C980" s="141" t="n"/>
      <c r="D980" s="141" t="n"/>
      <c r="E980" s="141" t="n"/>
      <c r="F980" s="141" t="n"/>
      <c r="G980" s="143" t="n"/>
      <c r="H980" s="27" t="n"/>
    </row>
    <row r="981" ht="17.25" customHeight="1" s="322">
      <c r="A981" s="27" t="n"/>
      <c r="B981" s="506" t="n"/>
      <c r="C981" s="141" t="n"/>
      <c r="D981" s="141" t="n"/>
      <c r="E981" s="141" t="n"/>
      <c r="F981" s="141" t="n"/>
      <c r="G981" s="143" t="n"/>
      <c r="H981" s="27" t="n"/>
    </row>
    <row r="982" ht="17.25" customHeight="1" s="322">
      <c r="A982" s="27" t="n"/>
      <c r="B982" s="506" t="n"/>
      <c r="C982" s="141" t="n"/>
      <c r="D982" s="141" t="n"/>
      <c r="E982" s="141" t="n"/>
      <c r="F982" s="141" t="n"/>
      <c r="G982" s="143" t="n"/>
      <c r="H982" s="27" t="n"/>
    </row>
    <row r="983" ht="17.25" customHeight="1" s="322">
      <c r="A983" s="27" t="n"/>
      <c r="B983" s="506" t="n"/>
      <c r="C983" s="141" t="n"/>
      <c r="D983" s="141" t="n"/>
      <c r="E983" s="141" t="n"/>
      <c r="F983" s="141" t="n"/>
      <c r="G983" s="143" t="n"/>
      <c r="H983" s="27" t="n"/>
    </row>
    <row r="984" ht="17.25" customHeight="1" s="322">
      <c r="A984" s="27" t="n"/>
      <c r="B984" s="506" t="n"/>
      <c r="C984" s="141" t="n"/>
      <c r="D984" s="141" t="n"/>
      <c r="E984" s="141" t="n"/>
      <c r="F984" s="141" t="n"/>
      <c r="G984" s="143" t="n"/>
      <c r="H984" s="27" t="n"/>
    </row>
    <row r="985" ht="17.25" customHeight="1" s="322">
      <c r="A985" s="27" t="n"/>
      <c r="B985" s="506" t="n"/>
      <c r="C985" s="141" t="n"/>
      <c r="D985" s="141" t="n"/>
      <c r="E985" s="141" t="n"/>
      <c r="F985" s="141" t="n"/>
      <c r="G985" s="143" t="n"/>
      <c r="H985" s="27" t="n"/>
    </row>
    <row r="986" ht="17.25" customHeight="1" s="322">
      <c r="A986" s="27" t="n"/>
      <c r="B986" s="506" t="n"/>
      <c r="C986" s="141" t="n"/>
      <c r="D986" s="141" t="n"/>
      <c r="E986" s="141" t="n"/>
      <c r="F986" s="141" t="n"/>
      <c r="G986" s="143" t="n"/>
      <c r="H986" s="27" t="n"/>
    </row>
    <row r="987" ht="17.25" customHeight="1" s="322">
      <c r="A987" s="27" t="n"/>
      <c r="B987" s="506" t="n"/>
      <c r="C987" s="141" t="n"/>
      <c r="D987" s="141" t="n"/>
      <c r="E987" s="141" t="n"/>
      <c r="F987" s="141" t="n"/>
      <c r="G987" s="143" t="n"/>
      <c r="H987" s="27" t="n"/>
    </row>
    <row r="988" ht="17.25" customHeight="1" s="322">
      <c r="A988" s="27" t="n"/>
      <c r="B988" s="506" t="n"/>
      <c r="C988" s="141" t="n"/>
      <c r="D988" s="141" t="n"/>
      <c r="E988" s="141" t="n"/>
      <c r="F988" s="141" t="n"/>
      <c r="G988" s="143" t="n"/>
      <c r="H988" s="27" t="n"/>
    </row>
    <row r="989" ht="17.25" customHeight="1" s="322">
      <c r="A989" s="27" t="n"/>
      <c r="B989" s="506" t="n"/>
      <c r="C989" s="141" t="n"/>
      <c r="D989" s="141" t="n"/>
      <c r="E989" s="141" t="n"/>
      <c r="F989" s="141" t="n"/>
      <c r="G989" s="143" t="n"/>
      <c r="H989" s="27" t="n"/>
    </row>
    <row r="990" ht="17.25" customHeight="1" s="322">
      <c r="A990" s="27" t="n"/>
      <c r="B990" s="506" t="n"/>
      <c r="C990" s="141" t="n"/>
      <c r="D990" s="141" t="n"/>
      <c r="E990" s="141" t="n"/>
      <c r="F990" s="141" t="n"/>
      <c r="G990" s="143" t="n"/>
      <c r="H990" s="27" t="n"/>
    </row>
    <row r="991" ht="17.25" customHeight="1" s="322">
      <c r="A991" s="27" t="n"/>
      <c r="B991" s="506" t="n"/>
      <c r="C991" s="141" t="n"/>
      <c r="D991" s="141" t="n"/>
      <c r="E991" s="141" t="n"/>
      <c r="F991" s="141" t="n"/>
      <c r="G991" s="143" t="n"/>
      <c r="H991" s="27" t="n"/>
    </row>
    <row r="992" ht="17.25" customHeight="1" s="322">
      <c r="A992" s="27" t="n"/>
      <c r="B992" s="506" t="n"/>
      <c r="C992" s="141" t="n"/>
      <c r="D992" s="141" t="n"/>
      <c r="E992" s="141" t="n"/>
      <c r="F992" s="141" t="n"/>
      <c r="G992" s="143" t="n"/>
      <c r="H992" s="27" t="n"/>
    </row>
    <row r="993" ht="17.25" customHeight="1" s="322">
      <c r="A993" s="27" t="n"/>
      <c r="B993" s="506" t="n"/>
      <c r="C993" s="141" t="n"/>
      <c r="D993" s="141" t="n"/>
      <c r="E993" s="141" t="n"/>
      <c r="F993" s="141" t="n"/>
      <c r="G993" s="143" t="n"/>
      <c r="H993" s="27" t="n"/>
    </row>
    <row r="994" ht="17.25" customHeight="1" s="322">
      <c r="A994" s="27" t="n"/>
      <c r="B994" s="506" t="n"/>
      <c r="C994" s="141" t="n"/>
      <c r="D994" s="141" t="n"/>
      <c r="E994" s="141" t="n"/>
      <c r="F994" s="141" t="n"/>
      <c r="G994" s="143" t="n"/>
      <c r="H994" s="27" t="n"/>
    </row>
    <row r="995" ht="17.25" customHeight="1" s="322">
      <c r="A995" s="27" t="n"/>
      <c r="B995" s="506" t="n"/>
      <c r="C995" s="141" t="n"/>
      <c r="D995" s="141" t="n"/>
      <c r="E995" s="141" t="n"/>
      <c r="F995" s="141" t="n"/>
      <c r="G995" s="143" t="n"/>
      <c r="H995" s="27" t="n"/>
    </row>
    <row r="996" ht="17.25" customHeight="1" s="322">
      <c r="A996" s="27" t="n"/>
      <c r="B996" s="506" t="n"/>
      <c r="C996" s="141" t="n"/>
      <c r="D996" s="141" t="n"/>
      <c r="E996" s="141" t="n"/>
      <c r="F996" s="141" t="n"/>
      <c r="G996" s="143" t="n"/>
      <c r="H996" s="27" t="n"/>
    </row>
    <row r="997" ht="17.25" customHeight="1" s="322">
      <c r="A997" s="27" t="n"/>
      <c r="B997" s="506" t="n"/>
      <c r="C997" s="141" t="n"/>
      <c r="D997" s="141" t="n"/>
      <c r="E997" s="141" t="n"/>
      <c r="F997" s="141" t="n"/>
      <c r="G997" s="143" t="n"/>
      <c r="H997" s="27" t="n"/>
    </row>
    <row r="998" ht="17.25" customHeight="1" s="322">
      <c r="A998" s="27" t="n"/>
      <c r="B998" s="506" t="n"/>
      <c r="C998" s="141" t="n"/>
      <c r="D998" s="141" t="n"/>
      <c r="E998" s="141" t="n"/>
      <c r="F998" s="141" t="n"/>
      <c r="G998" s="143" t="n"/>
      <c r="H998" s="27" t="n"/>
    </row>
    <row r="999" ht="17.25" customHeight="1" s="322">
      <c r="A999" s="27" t="n"/>
      <c r="B999" s="506" t="n"/>
      <c r="C999" s="141" t="n"/>
      <c r="D999" s="141" t="n"/>
      <c r="E999" s="141" t="n"/>
      <c r="F999" s="141" t="n"/>
      <c r="G999" s="143" t="n"/>
      <c r="H999" s="27" t="n"/>
    </row>
    <row r="1000" ht="17.25" customHeight="1" s="322">
      <c r="A1000" s="27" t="n"/>
      <c r="B1000" s="506" t="n"/>
      <c r="C1000" s="141" t="n"/>
      <c r="D1000" s="141" t="n"/>
      <c r="E1000" s="141" t="n"/>
      <c r="F1000" s="141" t="n"/>
      <c r="G1000" s="143" t="n"/>
      <c r="H1000" s="27" t="n"/>
    </row>
  </sheetData>
  <mergeCells count="3">
    <mergeCell ref="B1:F2"/>
    <mergeCell ref="B7:G7"/>
    <mergeCell ref="B10:C10"/>
  </mergeCells>
  <conditionalFormatting sqref="D10:E10">
    <cfRule type="cellIs" priority="5" operator="lessThan" dxfId="5">
      <formula>0</formula>
    </cfRule>
    <cfRule type="cellIs" priority="6" operator="greaterThan" dxfId="4">
      <formula>0</formula>
    </cfRule>
  </conditionalFormatting>
  <conditionalFormatting sqref="F28:F1000">
    <cfRule type="expression" priority="1" dxfId="3">
      <formula>AND(F28=MAX(F$28:F$1000),F28&gt;0)</formula>
    </cfRule>
    <cfRule type="expression" priority="2" dxfId="2">
      <formula>AND(F28=MIN(F$28:F$1000),F28&gt;0)</formula>
    </cfRule>
  </conditionalFormatting>
  <conditionalFormatting sqref="F29:F1000">
    <cfRule type="expression" priority="3" dxfId="1">
      <formula>F29&gt;F27</formula>
    </cfRule>
    <cfRule type="expression" priority="4" dxfId="0">
      <formula>F29&lt;F27</formula>
    </cfRule>
  </conditionalFormatting>
  <conditionalFormatting sqref="G15">
    <cfRule type="colorScale" priority="7">
      <colorScale>
        <cfvo type="min"/>
        <cfvo type="max"/>
        <color rgb="FF57BB8A"/>
        <color rgb="FFFFFFFF"/>
      </colorScale>
    </cfRule>
  </conditionalFormatting>
  <dataValidations count="1">
    <dataValidation sqref="G15" showDropDown="0" showInputMessage="1" showErrorMessage="1" allowBlank="1" prompt="Click and enter a value from the list of items" type="list">
      <formula1>"1 Month,3 Months,6 Months,12 Months,36 Months"</formula1>
    </dataValidation>
  </dataValidations>
  <hyperlinks>
    <hyperlink xmlns:r="http://schemas.openxmlformats.org/officeDocument/2006/relationships" ref="B1" r:id="rId1"/>
    <hyperlink xmlns:r="http://schemas.openxmlformats.org/officeDocument/2006/relationships" ref="G2" r:id="rId2"/>
  </hyperlinks>
  <pageMargins left="0.7" right="0.7" top="0.75" bottom="0.75" header="0.3" footer="0.3"/>
  <drawing xmlns:r="http://schemas.openxmlformats.org/officeDocument/2006/relationships" r:id="rId3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H1000"/>
  <sheetViews>
    <sheetView showGridLines="0" workbookViewId="0">
      <selection activeCell="A1" sqref="A1"/>
    </sheetView>
  </sheetViews>
  <sheetFormatPr baseColWidth="8" defaultColWidth="12.5703125" defaultRowHeight="15.75" customHeight="1"/>
  <cols>
    <col width="5.42578125" customWidth="1" style="322" min="1" max="1"/>
    <col width="15.7109375" customWidth="1" style="322" min="2" max="2"/>
    <col width="5.42578125" customWidth="1" style="322" min="8" max="8"/>
  </cols>
  <sheetData>
    <row r="1" ht="22.5" customHeight="1" s="322">
      <c r="A1" s="69" t="n"/>
      <c r="B1" s="455" t="inlineStr">
        <is>
          <t>← 관심종목으로 돌아가기</t>
        </is>
      </c>
      <c r="G1" s="72" t="inlineStr">
        <is>
          <t>제공:</t>
        </is>
      </c>
      <c r="H1" s="69" t="n"/>
    </row>
    <row r="2" ht="22.5" customHeight="1" s="322">
      <c r="A2" s="69" t="n"/>
      <c r="G2" s="77" t="inlineStr">
        <is>
          <t>Google Finance</t>
        </is>
      </c>
      <c r="H2" s="69" t="n"/>
    </row>
    <row r="3" ht="11.25" customHeight="1" s="322">
      <c r="A3" s="1" t="n"/>
      <c r="B3" s="1" t="n"/>
      <c r="C3" s="1" t="n"/>
      <c r="D3" s="1" t="n"/>
      <c r="E3" s="1" t="n"/>
      <c r="F3" s="1" t="n"/>
      <c r="G3" s="1" t="n"/>
      <c r="H3" s="1" t="n"/>
    </row>
    <row r="4" ht="15.75" customHeight="1" s="322">
      <c r="A4" s="1" t="n"/>
      <c r="B4" s="80" t="inlineStr">
        <is>
          <t>hyg</t>
        </is>
      </c>
      <c r="C4" s="81" t="inlineStr">
        <is>
          <t>&lt;&lt; 종목코드 입력</t>
        </is>
      </c>
      <c r="D4" s="1" t="n"/>
      <c r="E4" s="1" t="n"/>
      <c r="F4" s="1" t="n"/>
      <c r="G4" s="1" t="n"/>
      <c r="H4" s="1" t="n"/>
    </row>
    <row r="5" ht="15.75" customHeight="1" s="322">
      <c r="A5" s="1" t="n"/>
      <c r="B5" s="82" t="n"/>
      <c r="C5" s="81" t="inlineStr">
        <is>
          <t>&lt;&lt; 필요한 경우 거래소 입력(예: NASDAQ, NYSE)</t>
        </is>
      </c>
      <c r="D5" s="85" t="n"/>
      <c r="E5" s="1" t="n"/>
      <c r="F5" s="1" t="n"/>
      <c r="G5" s="1" t="n"/>
      <c r="H5" s="1" t="n"/>
    </row>
    <row r="6" ht="11.25" customHeight="1" s="322">
      <c r="A6" s="27" t="n"/>
      <c r="B6" s="27" t="n"/>
      <c r="C6" s="27" t="n"/>
      <c r="D6" s="27" t="n"/>
      <c r="E6" s="27" t="n"/>
      <c r="F6" s="27" t="n"/>
      <c r="G6" s="27" t="n"/>
      <c r="H6" s="27" t="n"/>
    </row>
    <row r="7" ht="20.25" customHeight="1" s="322">
      <c r="A7" s="12" t="n"/>
      <c r="B7" s="501">
        <f>IFERROR(__xludf.DUMMYFUNCTION("GOOGLEFINANCE(B18,""name"")"),"iShares iBoxx $ High Yield Corporate Bond ETF")</f>
        <v/>
      </c>
      <c r="H7" s="12" t="n"/>
    </row>
    <row r="8" ht="11.25" customHeight="1" s="322">
      <c r="A8" s="12" t="n"/>
      <c r="B8" s="12" t="n"/>
      <c r="C8" s="12" t="n"/>
      <c r="D8" s="12" t="n"/>
      <c r="E8" s="12" t="n"/>
      <c r="F8" s="12" t="n"/>
      <c r="G8" s="12" t="n"/>
      <c r="H8" s="12" t="n"/>
    </row>
    <row r="9" ht="12" customHeight="1" s="322">
      <c r="A9" s="1" t="n"/>
      <c r="B9" s="90" t="inlineStr">
        <is>
          <t>현재가</t>
        </is>
      </c>
      <c r="C9" s="1" t="n"/>
      <c r="D9" s="90" t="inlineStr">
        <is>
          <t>전일대비</t>
        </is>
      </c>
      <c r="E9" s="90" t="inlineStr">
        <is>
          <t>등락률(%)</t>
        </is>
      </c>
      <c r="F9" s="1" t="n"/>
      <c r="G9" s="1" t="n"/>
      <c r="H9" s="1" t="n"/>
    </row>
    <row r="10" ht="31.5" customHeight="1" s="322">
      <c r="A10" s="12" t="n"/>
      <c r="B10" s="502">
        <f>IFERROR(__xludf.DUMMYFUNCTION("GOOGLEFINANCE(B18,""price"")"),79.24)</f>
        <v/>
      </c>
      <c r="D10" s="503">
        <f>IFERROR(__xludf.DUMMYFUNCTION("IFERROR(GOOGLEFINANCE(B18,""change""),""-"")"),-0.18)</f>
        <v/>
      </c>
      <c r="E10" s="504">
        <f>IFERROR(__xludf.DUMMYFUNCTION("IFERROR(GOOGLEFINANCE(B18,""changepct"")/100,""-"")"),-0.0023)</f>
        <v/>
      </c>
      <c r="F10" s="12" t="n"/>
      <c r="G10" s="12" t="n"/>
      <c r="H10" s="12" t="n"/>
    </row>
    <row r="11" ht="11.25" customHeight="1" s="322">
      <c r="A11" s="12" t="n"/>
      <c r="B11" s="106" t="n"/>
      <c r="C11" s="106" t="n"/>
      <c r="D11" s="106" t="n"/>
      <c r="E11" s="106" t="n"/>
      <c r="F11" s="106" t="n"/>
      <c r="G11" s="106" t="n"/>
      <c r="H11" s="12" t="n"/>
    </row>
    <row r="12" ht="11.25" customHeight="1" s="322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 ht="12" customHeight="1" s="322">
      <c r="A13" s="1" t="n"/>
      <c r="B13" s="90" t="inlineStr">
        <is>
          <t>시가총액</t>
        </is>
      </c>
      <c r="C13" s="90" t="inlineStr">
        <is>
          <t>PER</t>
        </is>
      </c>
      <c r="D13" s="90" t="inlineStr">
        <is>
          <t>베타계수</t>
        </is>
      </c>
      <c r="E13" s="1" t="n"/>
      <c r="F13" s="1" t="n"/>
      <c r="G13" s="1" t="n"/>
      <c r="H13" s="1" t="n"/>
    </row>
    <row r="14">
      <c r="A14" s="113" t="n"/>
      <c r="B14" s="505">
        <f>IFERROR(__xludf.DUMMYFUNCTION("IFERROR(GOOGLEFINANCE(B18,""marketcap""),""-"")"),16941503619)</f>
        <v/>
      </c>
      <c r="C14" s="115">
        <f>IFERROR(__xludf.DUMMYFUNCTION("IFERROR(GOOGLEFINANCE(B18,""pe""),""-"")"),"-")</f>
        <v/>
      </c>
      <c r="D14" s="115">
        <f>IFERROR(__xludf.DUMMYFUNCTION("IFERROR(GOOGLEFINANCE(B18,""beta""),""-"")"),"-")</f>
        <v/>
      </c>
      <c r="E14" s="113" t="n"/>
      <c r="F14" s="113" t="n"/>
      <c r="G14" s="113" t="n"/>
      <c r="H14" s="113" t="n"/>
    </row>
    <row r="15" ht="15.75" customHeight="1" s="322">
      <c r="A15" s="12" t="n"/>
      <c r="B15" s="12" t="n"/>
      <c r="C15" s="12" t="n"/>
      <c r="D15" s="12" t="n"/>
      <c r="E15" s="12" t="n"/>
      <c r="F15" s="12" t="n"/>
      <c r="G15" s="123" t="inlineStr">
        <is>
          <t>12 Months</t>
        </is>
      </c>
      <c r="H15" s="12" t="n"/>
    </row>
    <row r="16" ht="15.75" customHeight="1" s="322">
      <c r="A16" s="12" t="n"/>
      <c r="B16" s="12" t="n"/>
      <c r="C16" s="12" t="n"/>
      <c r="D16" s="12" t="n"/>
      <c r="E16" s="12" t="n"/>
      <c r="F16" s="12" t="n"/>
      <c r="G16" s="12" t="n"/>
      <c r="H16" s="12" t="n"/>
    </row>
    <row r="17" ht="15.75" customHeight="1" s="322">
      <c r="A17" s="12" t="n"/>
      <c r="B17" s="12" t="n"/>
      <c r="C17" s="12" t="n"/>
      <c r="D17" s="12" t="n"/>
      <c r="E17" s="12" t="n"/>
      <c r="F17" s="12" t="n"/>
      <c r="G17" s="12" t="n"/>
      <c r="H17" s="12" t="n"/>
    </row>
    <row r="18" ht="15.75" customHeight="1" s="322">
      <c r="A18" s="12" t="n"/>
      <c r="B18" s="127">
        <f>IF(ISBLANK(B5),"",B5&amp;":")&amp;B4</f>
        <v/>
      </c>
      <c r="C18" s="12" t="n"/>
      <c r="D18" s="12" t="n"/>
      <c r="E18" s="12" t="n"/>
      <c r="F18" s="12" t="n"/>
      <c r="G18" s="12" t="n"/>
      <c r="H18" s="12" t="n"/>
    </row>
    <row r="19" ht="15.75" customHeight="1" s="322">
      <c r="A19" s="12" t="n"/>
      <c r="B19" s="12" t="n"/>
      <c r="C19" s="12" t="n"/>
      <c r="D19" s="12" t="n"/>
      <c r="E19" s="12" t="n"/>
      <c r="F19" s="12" t="n"/>
      <c r="G19" s="12" t="n"/>
      <c r="H19" s="12" t="n"/>
    </row>
    <row r="20" ht="15.75" customHeight="1" s="322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1" ht="15.75" customHeight="1" s="322">
      <c r="A21" s="12" t="n"/>
      <c r="B21" s="12" t="n"/>
      <c r="C21" s="12" t="n"/>
      <c r="D21" s="12" t="n"/>
      <c r="E21" s="12" t="n"/>
      <c r="F21" s="12" t="n"/>
      <c r="G21" s="12" t="n"/>
      <c r="H21" s="12" t="n"/>
    </row>
    <row r="22" ht="15.75" customHeight="1" s="322">
      <c r="A22" s="12" t="n"/>
      <c r="B22" s="12" t="n"/>
      <c r="C22" s="12" t="n"/>
      <c r="D22" s="12" t="n"/>
      <c r="E22" s="12" t="n"/>
      <c r="F22" s="12" t="n"/>
      <c r="G22" s="12" t="n"/>
      <c r="H22" s="12" t="n"/>
    </row>
    <row r="23" ht="15.75" customHeight="1" s="322">
      <c r="A23" s="12" t="n"/>
      <c r="B23" s="12" t="n"/>
      <c r="C23" s="12" t="n"/>
      <c r="D23" s="12" t="n"/>
      <c r="E23" s="12" t="n"/>
      <c r="F23" s="12" t="n"/>
      <c r="G23" s="12" t="n"/>
      <c r="H23" s="12" t="n"/>
    </row>
    <row r="24" ht="15.75" customHeight="1" s="322">
      <c r="A24" s="12" t="n"/>
      <c r="B24" s="12" t="n"/>
      <c r="C24" s="12" t="n"/>
      <c r="D24" s="12" t="n"/>
      <c r="E24" s="12" t="n"/>
      <c r="F24" s="12" t="n"/>
      <c r="G24" s="12" t="n"/>
      <c r="H24" s="12" t="n"/>
    </row>
    <row r="25" ht="15.75" customHeight="1" s="322">
      <c r="A25" s="12" t="n"/>
      <c r="B25" s="12" t="n"/>
      <c r="C25" s="12" t="n"/>
      <c r="D25" s="12" t="n"/>
      <c r="E25" s="12" t="n"/>
      <c r="F25" s="12" t="n"/>
      <c r="G25" s="12" t="n"/>
      <c r="H25" s="12" t="n"/>
    </row>
    <row r="26" ht="15.75" customHeight="1" s="322">
      <c r="A26" s="12" t="n"/>
      <c r="B26" s="12" t="n"/>
      <c r="C26" s="12" t="n"/>
      <c r="D26" s="12" t="n"/>
      <c r="E26" s="12" t="n"/>
      <c r="F26" s="12" t="n"/>
      <c r="G26" s="12" t="n"/>
      <c r="H26" s="12" t="n"/>
    </row>
    <row r="27" ht="15.75" customHeight="1" s="322">
      <c r="A27" s="133" t="n"/>
      <c r="B27" s="136">
        <f>IFERROR(__xludf.DUMMYFUNCTION("GOOGLEFINANCE(B18, ""all"", EDATE(TODAY(), -LEFT(G15, FIND("" "", G15))), TODAY(), ""DAILY"")"),"Date")</f>
        <v/>
      </c>
      <c r="C27" s="137">
        <f>IFERROR(__xludf.DUMMYFUNCTION("""COMPUTED_VALUE"""),"Open")</f>
        <v/>
      </c>
      <c r="D27" s="137">
        <f>IFERROR(__xludf.DUMMYFUNCTION("""COMPUTED_VALUE"""),"High")</f>
        <v/>
      </c>
      <c r="E27" s="137">
        <f>IFERROR(__xludf.DUMMYFUNCTION("""COMPUTED_VALUE"""),"Low")</f>
        <v/>
      </c>
      <c r="F27" s="137">
        <f>IFERROR(__xludf.DUMMYFUNCTION("""COMPUTED_VALUE"""),"Close")</f>
        <v/>
      </c>
      <c r="G27" s="137">
        <f>IFERROR(__xludf.DUMMYFUNCTION("""COMPUTED_VALUE"""),"Volume")</f>
        <v/>
      </c>
      <c r="H27" s="133" t="n"/>
    </row>
    <row r="28" ht="17.25" customHeight="1" s="322">
      <c r="A28" s="27" t="n"/>
      <c r="B28" s="506">
        <f>IFERROR(__xludf.DUMMYFUNCTION("""COMPUTED_VALUE"""),45868.6666666666)</f>
        <v/>
      </c>
      <c r="C28" s="141">
        <f>IFERROR(__xludf.DUMMYFUNCTION("""COMPUTED_VALUE"""),80.45)</f>
        <v/>
      </c>
      <c r="D28" s="141">
        <f>IFERROR(__xludf.DUMMYFUNCTION("""COMPUTED_VALUE"""),80.52)</f>
        <v/>
      </c>
      <c r="E28" s="141">
        <f>IFERROR(__xludf.DUMMYFUNCTION("""COMPUTED_VALUE"""),80.25)</f>
        <v/>
      </c>
      <c r="F28" s="141">
        <f>IFERROR(__xludf.DUMMYFUNCTION("""COMPUTED_VALUE"""),80.33)</f>
        <v/>
      </c>
      <c r="G28" s="143">
        <f>IFERROR(__xludf.DUMMYFUNCTION("""COMPUTED_VALUE"""),38392455)</f>
        <v/>
      </c>
      <c r="H28" s="27" t="n"/>
    </row>
    <row r="29" ht="17.25" customHeight="1" s="322">
      <c r="A29" s="27" t="n"/>
      <c r="B29" s="506">
        <f>IFERROR(__xludf.DUMMYFUNCTION("""COMPUTED_VALUE"""),45869.6666666666)</f>
        <v/>
      </c>
      <c r="C29" s="141">
        <f>IFERROR(__xludf.DUMMYFUNCTION("""COMPUTED_VALUE"""),80.4)</f>
        <v/>
      </c>
      <c r="D29" s="141">
        <f>IFERROR(__xludf.DUMMYFUNCTION("""COMPUTED_VALUE"""),80.48)</f>
        <v/>
      </c>
      <c r="E29" s="141">
        <f>IFERROR(__xludf.DUMMYFUNCTION("""COMPUTED_VALUE"""),80.33)</f>
        <v/>
      </c>
      <c r="F29" s="141">
        <f>IFERROR(__xludf.DUMMYFUNCTION("""COMPUTED_VALUE"""),80.38)</f>
        <v/>
      </c>
      <c r="G29" s="143">
        <f>IFERROR(__xludf.DUMMYFUNCTION("""COMPUTED_VALUE"""),41501342)</f>
        <v/>
      </c>
      <c r="H29" s="27" t="n"/>
    </row>
    <row r="30" ht="17.25" customHeight="1" s="322">
      <c r="A30" s="27" t="n"/>
      <c r="B30" s="506">
        <f>IFERROR(__xludf.DUMMYFUNCTION("""COMPUTED_VALUE"""),45870.6666666666)</f>
        <v/>
      </c>
      <c r="C30" s="141">
        <f>IFERROR(__xludf.DUMMYFUNCTION("""COMPUTED_VALUE"""),80.04)</f>
        <v/>
      </c>
      <c r="D30" s="141">
        <f>IFERROR(__xludf.DUMMYFUNCTION("""COMPUTED_VALUE"""),80.09)</f>
        <v/>
      </c>
      <c r="E30" s="141">
        <f>IFERROR(__xludf.DUMMYFUNCTION("""COMPUTED_VALUE"""),79.8)</f>
        <v/>
      </c>
      <c r="F30" s="141">
        <f>IFERROR(__xludf.DUMMYFUNCTION("""COMPUTED_VALUE"""),79.98)</f>
        <v/>
      </c>
      <c r="G30" s="143">
        <f>IFERROR(__xludf.DUMMYFUNCTION("""COMPUTED_VALUE"""),68963133)</f>
        <v/>
      </c>
      <c r="H30" s="27" t="n"/>
    </row>
    <row r="31" ht="17.25" customHeight="1" s="322">
      <c r="A31" s="27" t="n"/>
      <c r="B31" s="506">
        <f>IFERROR(__xludf.DUMMYFUNCTION("""COMPUTED_VALUE"""),45873.6666666666)</f>
        <v/>
      </c>
      <c r="C31" s="141">
        <f>IFERROR(__xludf.DUMMYFUNCTION("""COMPUTED_VALUE"""),80.09)</f>
        <v/>
      </c>
      <c r="D31" s="141">
        <f>IFERROR(__xludf.DUMMYFUNCTION("""COMPUTED_VALUE"""),80.25)</f>
        <v/>
      </c>
      <c r="E31" s="141">
        <f>IFERROR(__xludf.DUMMYFUNCTION("""COMPUTED_VALUE"""),80.06)</f>
        <v/>
      </c>
      <c r="F31" s="141">
        <f>IFERROR(__xludf.DUMMYFUNCTION("""COMPUTED_VALUE"""),80.25)</f>
        <v/>
      </c>
      <c r="G31" s="143">
        <f>IFERROR(__xludf.DUMMYFUNCTION("""COMPUTED_VALUE"""),37539250)</f>
        <v/>
      </c>
      <c r="H31" s="27" t="n"/>
    </row>
    <row r="32" ht="17.25" customHeight="1" s="322">
      <c r="A32" s="27" t="n"/>
      <c r="B32" s="506">
        <f>IFERROR(__xludf.DUMMYFUNCTION("""COMPUTED_VALUE"""),45874.6666666666)</f>
        <v/>
      </c>
      <c r="C32" s="141">
        <f>IFERROR(__xludf.DUMMYFUNCTION("""COMPUTED_VALUE"""),80.21)</f>
        <v/>
      </c>
      <c r="D32" s="141">
        <f>IFERROR(__xludf.DUMMYFUNCTION("""COMPUTED_VALUE"""),80.24)</f>
        <v/>
      </c>
      <c r="E32" s="141">
        <f>IFERROR(__xludf.DUMMYFUNCTION("""COMPUTED_VALUE"""),80.1)</f>
        <v/>
      </c>
      <c r="F32" s="141">
        <f>IFERROR(__xludf.DUMMYFUNCTION("""COMPUTED_VALUE"""),80.21)</f>
        <v/>
      </c>
      <c r="G32" s="143">
        <f>IFERROR(__xludf.DUMMYFUNCTION("""COMPUTED_VALUE"""),29656328)</f>
        <v/>
      </c>
      <c r="H32" s="27" t="n"/>
    </row>
    <row r="33" ht="17.25" customHeight="1" s="322">
      <c r="A33" s="27" t="n"/>
      <c r="B33" s="506">
        <f>IFERROR(__xludf.DUMMYFUNCTION("""COMPUTED_VALUE"""),45875.6666666666)</f>
        <v/>
      </c>
      <c r="C33" s="141">
        <f>IFERROR(__xludf.DUMMYFUNCTION("""COMPUTED_VALUE"""),80.21)</f>
        <v/>
      </c>
      <c r="D33" s="141">
        <f>IFERROR(__xludf.DUMMYFUNCTION("""COMPUTED_VALUE"""),80.3)</f>
        <v/>
      </c>
      <c r="E33" s="141">
        <f>IFERROR(__xludf.DUMMYFUNCTION("""COMPUTED_VALUE"""),80.14)</f>
        <v/>
      </c>
      <c r="F33" s="141">
        <f>IFERROR(__xludf.DUMMYFUNCTION("""COMPUTED_VALUE"""),80.29)</f>
        <v/>
      </c>
      <c r="G33" s="143">
        <f>IFERROR(__xludf.DUMMYFUNCTION("""COMPUTED_VALUE"""),30513053)</f>
        <v/>
      </c>
      <c r="H33" s="27" t="n"/>
    </row>
    <row r="34" ht="17.25" customHeight="1" s="322">
      <c r="A34" s="27" t="n"/>
      <c r="B34" s="506">
        <f>IFERROR(__xludf.DUMMYFUNCTION("""COMPUTED_VALUE"""),45876.6666666666)</f>
        <v/>
      </c>
      <c r="C34" s="141">
        <f>IFERROR(__xludf.DUMMYFUNCTION("""COMPUTED_VALUE"""),80.31)</f>
        <v/>
      </c>
      <c r="D34" s="141">
        <f>IFERROR(__xludf.DUMMYFUNCTION("""COMPUTED_VALUE"""),80.36)</f>
        <v/>
      </c>
      <c r="E34" s="141">
        <f>IFERROR(__xludf.DUMMYFUNCTION("""COMPUTED_VALUE"""),80.16)</f>
        <v/>
      </c>
      <c r="F34" s="141">
        <f>IFERROR(__xludf.DUMMYFUNCTION("""COMPUTED_VALUE"""),80.21)</f>
        <v/>
      </c>
      <c r="G34" s="143">
        <f>IFERROR(__xludf.DUMMYFUNCTION("""COMPUTED_VALUE"""),29404993)</f>
        <v/>
      </c>
      <c r="H34" s="27" t="n"/>
    </row>
    <row r="35" ht="17.25" customHeight="1" s="322">
      <c r="A35" s="27" t="n"/>
      <c r="B35" s="506">
        <f>IFERROR(__xludf.DUMMYFUNCTION("""COMPUTED_VALUE"""),45877.6666666666)</f>
        <v/>
      </c>
      <c r="C35" s="141">
        <f>IFERROR(__xludf.DUMMYFUNCTION("""COMPUTED_VALUE"""),80.2)</f>
        <v/>
      </c>
      <c r="D35" s="141">
        <f>IFERROR(__xludf.DUMMYFUNCTION("""COMPUTED_VALUE"""),80.25)</f>
        <v/>
      </c>
      <c r="E35" s="141">
        <f>IFERROR(__xludf.DUMMYFUNCTION("""COMPUTED_VALUE"""),80.16)</f>
        <v/>
      </c>
      <c r="F35" s="141">
        <f>IFERROR(__xludf.DUMMYFUNCTION("""COMPUTED_VALUE"""),80.22)</f>
        <v/>
      </c>
      <c r="G35" s="143">
        <f>IFERROR(__xludf.DUMMYFUNCTION("""COMPUTED_VALUE"""),24678990)</f>
        <v/>
      </c>
      <c r="H35" s="27" t="n"/>
    </row>
    <row r="36" ht="17.25" customHeight="1" s="322">
      <c r="A36" s="27" t="n"/>
      <c r="B36" s="506">
        <f>IFERROR(__xludf.DUMMYFUNCTION("""COMPUTED_VALUE"""),45880.6666666666)</f>
        <v/>
      </c>
      <c r="C36" s="141">
        <f>IFERROR(__xludf.DUMMYFUNCTION("""COMPUTED_VALUE"""),80.22)</f>
        <v/>
      </c>
      <c r="D36" s="141">
        <f>IFERROR(__xludf.DUMMYFUNCTION("""COMPUTED_VALUE"""),80.29)</f>
        <v/>
      </c>
      <c r="E36" s="141">
        <f>IFERROR(__xludf.DUMMYFUNCTION("""COMPUTED_VALUE"""),80.17)</f>
        <v/>
      </c>
      <c r="F36" s="141">
        <f>IFERROR(__xludf.DUMMYFUNCTION("""COMPUTED_VALUE"""),80.22)</f>
        <v/>
      </c>
      <c r="G36" s="143">
        <f>IFERROR(__xludf.DUMMYFUNCTION("""COMPUTED_VALUE"""),30159990)</f>
        <v/>
      </c>
      <c r="H36" s="27" t="n"/>
    </row>
    <row r="37" ht="17.25" customHeight="1" s="322">
      <c r="A37" s="27" t="n"/>
      <c r="B37" s="506">
        <f>IFERROR(__xludf.DUMMYFUNCTION("""COMPUTED_VALUE"""),45881.6666666666)</f>
        <v/>
      </c>
      <c r="C37" s="141">
        <f>IFERROR(__xludf.DUMMYFUNCTION("""COMPUTED_VALUE"""),80.27)</f>
        <v/>
      </c>
      <c r="D37" s="141">
        <f>IFERROR(__xludf.DUMMYFUNCTION("""COMPUTED_VALUE"""),80.4)</f>
        <v/>
      </c>
      <c r="E37" s="141">
        <f>IFERROR(__xludf.DUMMYFUNCTION("""COMPUTED_VALUE"""),80.21)</f>
        <v/>
      </c>
      <c r="F37" s="141">
        <f>IFERROR(__xludf.DUMMYFUNCTION("""COMPUTED_VALUE"""),80.4)</f>
        <v/>
      </c>
      <c r="G37" s="143">
        <f>IFERROR(__xludf.DUMMYFUNCTION("""COMPUTED_VALUE"""),40846439)</f>
        <v/>
      </c>
      <c r="H37" s="27" t="n"/>
    </row>
    <row r="38" ht="17.25" customHeight="1" s="322">
      <c r="A38" s="27" t="n"/>
      <c r="B38" s="506">
        <f>IFERROR(__xludf.DUMMYFUNCTION("""COMPUTED_VALUE"""),45882.6666666666)</f>
        <v/>
      </c>
      <c r="C38" s="141">
        <f>IFERROR(__xludf.DUMMYFUNCTION("""COMPUTED_VALUE"""),80.46)</f>
        <v/>
      </c>
      <c r="D38" s="141">
        <f>IFERROR(__xludf.DUMMYFUNCTION("""COMPUTED_VALUE"""),80.61)</f>
        <v/>
      </c>
      <c r="E38" s="141">
        <f>IFERROR(__xludf.DUMMYFUNCTION("""COMPUTED_VALUE"""),80.46)</f>
        <v/>
      </c>
      <c r="F38" s="141">
        <f>IFERROR(__xludf.DUMMYFUNCTION("""COMPUTED_VALUE"""),80.61)</f>
        <v/>
      </c>
      <c r="G38" s="143">
        <f>IFERROR(__xludf.DUMMYFUNCTION("""COMPUTED_VALUE"""),35039600)</f>
        <v/>
      </c>
      <c r="H38" s="27" t="n"/>
    </row>
    <row r="39" ht="17.25" customHeight="1" s="322">
      <c r="A39" s="27" t="n"/>
      <c r="B39" s="506">
        <f>IFERROR(__xludf.DUMMYFUNCTION("""COMPUTED_VALUE"""),45883.6666666666)</f>
        <v/>
      </c>
      <c r="C39" s="141">
        <f>IFERROR(__xludf.DUMMYFUNCTION("""COMPUTED_VALUE"""),80.49)</f>
        <v/>
      </c>
      <c r="D39" s="141">
        <f>IFERROR(__xludf.DUMMYFUNCTION("""COMPUTED_VALUE"""),80.49)</f>
        <v/>
      </c>
      <c r="E39" s="141">
        <f>IFERROR(__xludf.DUMMYFUNCTION("""COMPUTED_VALUE"""),80.35)</f>
        <v/>
      </c>
      <c r="F39" s="141">
        <f>IFERROR(__xludf.DUMMYFUNCTION("""COMPUTED_VALUE"""),80.4)</f>
        <v/>
      </c>
      <c r="G39" s="143">
        <f>IFERROR(__xludf.DUMMYFUNCTION("""COMPUTED_VALUE"""),36559934)</f>
        <v/>
      </c>
      <c r="H39" s="27" t="n"/>
    </row>
    <row r="40" ht="17.25" customHeight="1" s="322">
      <c r="A40" s="27" t="n"/>
      <c r="B40" s="506">
        <f>IFERROR(__xludf.DUMMYFUNCTION("""COMPUTED_VALUE"""),45884.6666666666)</f>
        <v/>
      </c>
      <c r="C40" s="141">
        <f>IFERROR(__xludf.DUMMYFUNCTION("""COMPUTED_VALUE"""),80.47)</f>
        <v/>
      </c>
      <c r="D40" s="141">
        <f>IFERROR(__xludf.DUMMYFUNCTION("""COMPUTED_VALUE"""),80.47)</f>
        <v/>
      </c>
      <c r="E40" s="141">
        <f>IFERROR(__xludf.DUMMYFUNCTION("""COMPUTED_VALUE"""),80.37)</f>
        <v/>
      </c>
      <c r="F40" s="141">
        <f>IFERROR(__xludf.DUMMYFUNCTION("""COMPUTED_VALUE"""),80.46)</f>
        <v/>
      </c>
      <c r="G40" s="143">
        <f>IFERROR(__xludf.DUMMYFUNCTION("""COMPUTED_VALUE"""),22754089)</f>
        <v/>
      </c>
      <c r="H40" s="27" t="n"/>
    </row>
    <row r="41" ht="17.25" customHeight="1" s="322">
      <c r="A41" s="27" t="n"/>
      <c r="B41" s="506">
        <f>IFERROR(__xludf.DUMMYFUNCTION("""COMPUTED_VALUE"""),45887.6666666666)</f>
        <v/>
      </c>
      <c r="C41" s="141">
        <f>IFERROR(__xludf.DUMMYFUNCTION("""COMPUTED_VALUE"""),80.46)</f>
        <v/>
      </c>
      <c r="D41" s="141">
        <f>IFERROR(__xludf.DUMMYFUNCTION("""COMPUTED_VALUE"""),80.49)</f>
        <v/>
      </c>
      <c r="E41" s="141">
        <f>IFERROR(__xludf.DUMMYFUNCTION("""COMPUTED_VALUE"""),80.38)</f>
        <v/>
      </c>
      <c r="F41" s="141">
        <f>IFERROR(__xludf.DUMMYFUNCTION("""COMPUTED_VALUE"""),80.4)</f>
        <v/>
      </c>
      <c r="G41" s="143">
        <f>IFERROR(__xludf.DUMMYFUNCTION("""COMPUTED_VALUE"""),25400795)</f>
        <v/>
      </c>
      <c r="H41" s="27" t="n"/>
    </row>
    <row r="42" ht="17.25" customHeight="1" s="322">
      <c r="A42" s="27" t="n"/>
      <c r="B42" s="506">
        <f>IFERROR(__xludf.DUMMYFUNCTION("""COMPUTED_VALUE"""),45888.6666666666)</f>
        <v/>
      </c>
      <c r="C42" s="141">
        <f>IFERROR(__xludf.DUMMYFUNCTION("""COMPUTED_VALUE"""),80.45)</f>
        <v/>
      </c>
      <c r="D42" s="141">
        <f>IFERROR(__xludf.DUMMYFUNCTION("""COMPUTED_VALUE"""),80.48)</f>
        <v/>
      </c>
      <c r="E42" s="141">
        <f>IFERROR(__xludf.DUMMYFUNCTION("""COMPUTED_VALUE"""),80.36)</f>
        <v/>
      </c>
      <c r="F42" s="141">
        <f>IFERROR(__xludf.DUMMYFUNCTION("""COMPUTED_VALUE"""),80.38)</f>
        <v/>
      </c>
      <c r="G42" s="143">
        <f>IFERROR(__xludf.DUMMYFUNCTION("""COMPUTED_VALUE"""),21700492)</f>
        <v/>
      </c>
      <c r="H42" s="27" t="n"/>
    </row>
    <row r="43" ht="17.25" customHeight="1" s="322">
      <c r="A43" s="27" t="n"/>
      <c r="B43" s="506">
        <f>IFERROR(__xludf.DUMMYFUNCTION("""COMPUTED_VALUE"""),45889.6666666666)</f>
        <v/>
      </c>
      <c r="C43" s="141">
        <f>IFERROR(__xludf.DUMMYFUNCTION("""COMPUTED_VALUE"""),80.41)</f>
        <v/>
      </c>
      <c r="D43" s="141">
        <f>IFERROR(__xludf.DUMMYFUNCTION("""COMPUTED_VALUE"""),80.43)</f>
        <v/>
      </c>
      <c r="E43" s="141">
        <f>IFERROR(__xludf.DUMMYFUNCTION("""COMPUTED_VALUE"""),80.31)</f>
        <v/>
      </c>
      <c r="F43" s="141">
        <f>IFERROR(__xludf.DUMMYFUNCTION("""COMPUTED_VALUE"""),80.35)</f>
        <v/>
      </c>
      <c r="G43" s="143">
        <f>IFERROR(__xludf.DUMMYFUNCTION("""COMPUTED_VALUE"""),29704992)</f>
        <v/>
      </c>
      <c r="H43" s="27" t="n"/>
    </row>
    <row r="44" ht="17.25" customHeight="1" s="322">
      <c r="A44" s="27" t="n"/>
      <c r="B44" s="506">
        <f>IFERROR(__xludf.DUMMYFUNCTION("""COMPUTED_VALUE"""),45890.6666666666)</f>
        <v/>
      </c>
      <c r="C44" s="141">
        <f>IFERROR(__xludf.DUMMYFUNCTION("""COMPUTED_VALUE"""),80.26)</f>
        <v/>
      </c>
      <c r="D44" s="141">
        <f>IFERROR(__xludf.DUMMYFUNCTION("""COMPUTED_VALUE"""),80.3)</f>
        <v/>
      </c>
      <c r="E44" s="141">
        <f>IFERROR(__xludf.DUMMYFUNCTION("""COMPUTED_VALUE"""),80.19)</f>
        <v/>
      </c>
      <c r="F44" s="141">
        <f>IFERROR(__xludf.DUMMYFUNCTION("""COMPUTED_VALUE"""),80.2)</f>
        <v/>
      </c>
      <c r="G44" s="143">
        <f>IFERROR(__xludf.DUMMYFUNCTION("""COMPUTED_VALUE"""),35825908)</f>
        <v/>
      </c>
      <c r="H44" s="27" t="n"/>
    </row>
    <row r="45" ht="17.25" customHeight="1" s="322">
      <c r="A45" s="27" t="n"/>
      <c r="B45" s="506">
        <f>IFERROR(__xludf.DUMMYFUNCTION("""COMPUTED_VALUE"""),45891.6666666666)</f>
        <v/>
      </c>
      <c r="C45" s="141">
        <f>IFERROR(__xludf.DUMMYFUNCTION("""COMPUTED_VALUE"""),80.32)</f>
        <v/>
      </c>
      <c r="D45" s="141">
        <f>IFERROR(__xludf.DUMMYFUNCTION("""COMPUTED_VALUE"""),80.86)</f>
        <v/>
      </c>
      <c r="E45" s="141">
        <f>IFERROR(__xludf.DUMMYFUNCTION("""COMPUTED_VALUE"""),80.3)</f>
        <v/>
      </c>
      <c r="F45" s="141">
        <f>IFERROR(__xludf.DUMMYFUNCTION("""COMPUTED_VALUE"""),80.85)</f>
        <v/>
      </c>
      <c r="G45" s="143">
        <f>IFERROR(__xludf.DUMMYFUNCTION("""COMPUTED_VALUE"""),59541452)</f>
        <v/>
      </c>
      <c r="H45" s="27" t="n"/>
    </row>
    <row r="46" ht="17.25" customHeight="1" s="322">
      <c r="A46" s="27" t="n"/>
      <c r="B46" s="506">
        <f>IFERROR(__xludf.DUMMYFUNCTION("""COMPUTED_VALUE"""),45894.6666666666)</f>
        <v/>
      </c>
      <c r="C46" s="141">
        <f>IFERROR(__xludf.DUMMYFUNCTION("""COMPUTED_VALUE"""),80.78)</f>
        <v/>
      </c>
      <c r="D46" s="141">
        <f>IFERROR(__xludf.DUMMYFUNCTION("""COMPUTED_VALUE"""),80.81)</f>
        <v/>
      </c>
      <c r="E46" s="141">
        <f>IFERROR(__xludf.DUMMYFUNCTION("""COMPUTED_VALUE"""),80.69)</f>
        <v/>
      </c>
      <c r="F46" s="141">
        <f>IFERROR(__xludf.DUMMYFUNCTION("""COMPUTED_VALUE"""),80.69)</f>
        <v/>
      </c>
      <c r="G46" s="143">
        <f>IFERROR(__xludf.DUMMYFUNCTION("""COMPUTED_VALUE"""),32714840)</f>
        <v/>
      </c>
      <c r="H46" s="27" t="n"/>
    </row>
    <row r="47" ht="17.25" customHeight="1" s="322">
      <c r="A47" s="27" t="n"/>
      <c r="B47" s="506">
        <f>IFERROR(__xludf.DUMMYFUNCTION("""COMPUTED_VALUE"""),45895.6666666666)</f>
        <v/>
      </c>
      <c r="C47" s="141">
        <f>IFERROR(__xludf.DUMMYFUNCTION("""COMPUTED_VALUE"""),80.79)</f>
        <v/>
      </c>
      <c r="D47" s="141">
        <f>IFERROR(__xludf.DUMMYFUNCTION("""COMPUTED_VALUE"""),80.9)</f>
        <v/>
      </c>
      <c r="E47" s="141">
        <f>IFERROR(__xludf.DUMMYFUNCTION("""COMPUTED_VALUE"""),80.74)</f>
        <v/>
      </c>
      <c r="F47" s="141">
        <f>IFERROR(__xludf.DUMMYFUNCTION("""COMPUTED_VALUE"""),80.87)</f>
        <v/>
      </c>
      <c r="G47" s="143">
        <f>IFERROR(__xludf.DUMMYFUNCTION("""COMPUTED_VALUE"""),33659875)</f>
        <v/>
      </c>
      <c r="H47" s="27" t="n"/>
    </row>
    <row r="48" ht="17.25" customHeight="1" s="322">
      <c r="A48" s="27" t="n"/>
      <c r="B48" s="506">
        <f>IFERROR(__xludf.DUMMYFUNCTION("""COMPUTED_VALUE"""),45896.6666666666)</f>
        <v/>
      </c>
      <c r="C48" s="141">
        <f>IFERROR(__xludf.DUMMYFUNCTION("""COMPUTED_VALUE"""),80.82)</f>
        <v/>
      </c>
      <c r="D48" s="141">
        <f>IFERROR(__xludf.DUMMYFUNCTION("""COMPUTED_VALUE"""),80.99)</f>
        <v/>
      </c>
      <c r="E48" s="141">
        <f>IFERROR(__xludf.DUMMYFUNCTION("""COMPUTED_VALUE"""),80.82)</f>
        <v/>
      </c>
      <c r="F48" s="141">
        <f>IFERROR(__xludf.DUMMYFUNCTION("""COMPUTED_VALUE"""),80.97)</f>
        <v/>
      </c>
      <c r="G48" s="143">
        <f>IFERROR(__xludf.DUMMYFUNCTION("""COMPUTED_VALUE"""),24335187)</f>
        <v/>
      </c>
      <c r="H48" s="27" t="n"/>
    </row>
    <row r="49" ht="17.25" customHeight="1" s="322">
      <c r="A49" s="27" t="n"/>
      <c r="B49" s="506">
        <f>IFERROR(__xludf.DUMMYFUNCTION("""COMPUTED_VALUE"""),45897.6666666666)</f>
        <v/>
      </c>
      <c r="C49" s="141">
        <f>IFERROR(__xludf.DUMMYFUNCTION("""COMPUTED_VALUE"""),80.97)</f>
        <v/>
      </c>
      <c r="D49" s="141">
        <f>IFERROR(__xludf.DUMMYFUNCTION("""COMPUTED_VALUE"""),81.01)</f>
        <v/>
      </c>
      <c r="E49" s="141">
        <f>IFERROR(__xludf.DUMMYFUNCTION("""COMPUTED_VALUE"""),80.9)</f>
        <v/>
      </c>
      <c r="F49" s="141">
        <f>IFERROR(__xludf.DUMMYFUNCTION("""COMPUTED_VALUE"""),81.01)</f>
        <v/>
      </c>
      <c r="G49" s="143">
        <f>IFERROR(__xludf.DUMMYFUNCTION("""COMPUTED_VALUE"""),24203877)</f>
        <v/>
      </c>
      <c r="H49" s="27" t="n"/>
    </row>
    <row r="50" ht="17.25" customHeight="1" s="322">
      <c r="A50" s="27" t="n"/>
      <c r="B50" s="506">
        <f>IFERROR(__xludf.DUMMYFUNCTION("""COMPUTED_VALUE"""),45898.6666666666)</f>
        <v/>
      </c>
      <c r="C50" s="141">
        <f>IFERROR(__xludf.DUMMYFUNCTION("""COMPUTED_VALUE"""),80.99)</f>
        <v/>
      </c>
      <c r="D50" s="141">
        <f>IFERROR(__xludf.DUMMYFUNCTION("""COMPUTED_VALUE"""),80.99)</f>
        <v/>
      </c>
      <c r="E50" s="141">
        <f>IFERROR(__xludf.DUMMYFUNCTION("""COMPUTED_VALUE"""),80.86)</f>
        <v/>
      </c>
      <c r="F50" s="141">
        <f>IFERROR(__xludf.DUMMYFUNCTION("""COMPUTED_VALUE"""),80.86)</f>
        <v/>
      </c>
      <c r="G50" s="143">
        <f>IFERROR(__xludf.DUMMYFUNCTION("""COMPUTED_VALUE"""),35070251)</f>
        <v/>
      </c>
      <c r="H50" s="27" t="n"/>
    </row>
    <row r="51" ht="17.25" customHeight="1" s="322">
      <c r="A51" s="27" t="n"/>
      <c r="B51" s="506">
        <f>IFERROR(__xludf.DUMMYFUNCTION("""COMPUTED_VALUE"""),45902.6666666666)</f>
        <v/>
      </c>
      <c r="C51" s="141">
        <f>IFERROR(__xludf.DUMMYFUNCTION("""COMPUTED_VALUE"""),80.27)</f>
        <v/>
      </c>
      <c r="D51" s="141">
        <f>IFERROR(__xludf.DUMMYFUNCTION("""COMPUTED_VALUE"""),80.43)</f>
        <v/>
      </c>
      <c r="E51" s="141">
        <f>IFERROR(__xludf.DUMMYFUNCTION("""COMPUTED_VALUE"""),80.2)</f>
        <v/>
      </c>
      <c r="F51" s="141">
        <f>IFERROR(__xludf.DUMMYFUNCTION("""COMPUTED_VALUE"""),80.39)</f>
        <v/>
      </c>
      <c r="G51" s="143">
        <f>IFERROR(__xludf.DUMMYFUNCTION("""COMPUTED_VALUE"""),51804011)</f>
        <v/>
      </c>
      <c r="H51" s="27" t="n"/>
    </row>
    <row r="52" ht="17.25" customHeight="1" s="322">
      <c r="A52" s="27" t="n"/>
      <c r="B52" s="506">
        <f>IFERROR(__xludf.DUMMYFUNCTION("""COMPUTED_VALUE"""),45903.6666666666)</f>
        <v/>
      </c>
      <c r="C52" s="141">
        <f>IFERROR(__xludf.DUMMYFUNCTION("""COMPUTED_VALUE"""),80.41)</f>
        <v/>
      </c>
      <c r="D52" s="141">
        <f>IFERROR(__xludf.DUMMYFUNCTION("""COMPUTED_VALUE"""),80.61)</f>
        <v/>
      </c>
      <c r="E52" s="141">
        <f>IFERROR(__xludf.DUMMYFUNCTION("""COMPUTED_VALUE"""),80.41)</f>
        <v/>
      </c>
      <c r="F52" s="141">
        <f>IFERROR(__xludf.DUMMYFUNCTION("""COMPUTED_VALUE"""),80.61)</f>
        <v/>
      </c>
      <c r="G52" s="143">
        <f>IFERROR(__xludf.DUMMYFUNCTION("""COMPUTED_VALUE"""),34283303)</f>
        <v/>
      </c>
      <c r="H52" s="27" t="n"/>
    </row>
    <row r="53" ht="17.25" customHeight="1" s="322">
      <c r="A53" s="27" t="n"/>
      <c r="B53" s="506">
        <f>IFERROR(__xludf.DUMMYFUNCTION("""COMPUTED_VALUE"""),45904.6666666666)</f>
        <v/>
      </c>
      <c r="C53" s="141">
        <f>IFERROR(__xludf.DUMMYFUNCTION("""COMPUTED_VALUE"""),80.66)</f>
        <v/>
      </c>
      <c r="D53" s="141">
        <f>IFERROR(__xludf.DUMMYFUNCTION("""COMPUTED_VALUE"""),80.84)</f>
        <v/>
      </c>
      <c r="E53" s="141">
        <f>IFERROR(__xludf.DUMMYFUNCTION("""COMPUTED_VALUE"""),80.63)</f>
        <v/>
      </c>
      <c r="F53" s="141">
        <f>IFERROR(__xludf.DUMMYFUNCTION("""COMPUTED_VALUE"""),80.83)</f>
        <v/>
      </c>
      <c r="G53" s="143">
        <f>IFERROR(__xludf.DUMMYFUNCTION("""COMPUTED_VALUE"""),37999733)</f>
        <v/>
      </c>
      <c r="H53" s="27" t="n"/>
    </row>
    <row r="54" ht="17.25" customHeight="1" s="322">
      <c r="A54" s="27" t="n"/>
      <c r="B54" s="506">
        <f>IFERROR(__xludf.DUMMYFUNCTION("""COMPUTED_VALUE"""),45905.6666666666)</f>
        <v/>
      </c>
      <c r="C54" s="141">
        <f>IFERROR(__xludf.DUMMYFUNCTION("""COMPUTED_VALUE"""),80.98)</f>
        <v/>
      </c>
      <c r="D54" s="141">
        <f>IFERROR(__xludf.DUMMYFUNCTION("""COMPUTED_VALUE"""),81.1)</f>
        <v/>
      </c>
      <c r="E54" s="141">
        <f>IFERROR(__xludf.DUMMYFUNCTION("""COMPUTED_VALUE"""),80.84)</f>
        <v/>
      </c>
      <c r="F54" s="141">
        <f>IFERROR(__xludf.DUMMYFUNCTION("""COMPUTED_VALUE"""),80.87)</f>
        <v/>
      </c>
      <c r="G54" s="143">
        <f>IFERROR(__xludf.DUMMYFUNCTION("""COMPUTED_VALUE"""),39147796)</f>
        <v/>
      </c>
      <c r="H54" s="27" t="n"/>
    </row>
    <row r="55" ht="17.25" customHeight="1" s="322">
      <c r="A55" s="27" t="n"/>
      <c r="B55" s="506">
        <f>IFERROR(__xludf.DUMMYFUNCTION("""COMPUTED_VALUE"""),45908.6666666666)</f>
        <v/>
      </c>
      <c r="C55" s="141">
        <f>IFERROR(__xludf.DUMMYFUNCTION("""COMPUTED_VALUE"""),80.95)</f>
        <v/>
      </c>
      <c r="D55" s="141">
        <f>IFERROR(__xludf.DUMMYFUNCTION("""COMPUTED_VALUE"""),80.97)</f>
        <v/>
      </c>
      <c r="E55" s="141">
        <f>IFERROR(__xludf.DUMMYFUNCTION("""COMPUTED_VALUE"""),80.85)</f>
        <v/>
      </c>
      <c r="F55" s="141">
        <f>IFERROR(__xludf.DUMMYFUNCTION("""COMPUTED_VALUE"""),80.87)</f>
        <v/>
      </c>
      <c r="G55" s="143">
        <f>IFERROR(__xludf.DUMMYFUNCTION("""COMPUTED_VALUE"""),27003436)</f>
        <v/>
      </c>
      <c r="H55" s="27" t="n"/>
    </row>
    <row r="56" ht="17.25" customHeight="1" s="322">
      <c r="A56" s="27" t="n"/>
      <c r="B56" s="506">
        <f>IFERROR(__xludf.DUMMYFUNCTION("""COMPUTED_VALUE"""),45909.6666666666)</f>
        <v/>
      </c>
      <c r="C56" s="141">
        <f>IFERROR(__xludf.DUMMYFUNCTION("""COMPUTED_VALUE"""),80.85)</f>
        <v/>
      </c>
      <c r="D56" s="141">
        <f>IFERROR(__xludf.DUMMYFUNCTION("""COMPUTED_VALUE"""),80.88)</f>
        <v/>
      </c>
      <c r="E56" s="141">
        <f>IFERROR(__xludf.DUMMYFUNCTION("""COMPUTED_VALUE"""),80.67)</f>
        <v/>
      </c>
      <c r="F56" s="141">
        <f>IFERROR(__xludf.DUMMYFUNCTION("""COMPUTED_VALUE"""),80.78)</f>
        <v/>
      </c>
      <c r="G56" s="143">
        <f>IFERROR(__xludf.DUMMYFUNCTION("""COMPUTED_VALUE"""),36704536)</f>
        <v/>
      </c>
      <c r="H56" s="27" t="n"/>
    </row>
    <row r="57" ht="17.25" customHeight="1" s="322">
      <c r="A57" s="27" t="n"/>
      <c r="B57" s="506">
        <f>IFERROR(__xludf.DUMMYFUNCTION("""COMPUTED_VALUE"""),45910.6666666666)</f>
        <v/>
      </c>
      <c r="C57" s="141">
        <f>IFERROR(__xludf.DUMMYFUNCTION("""COMPUTED_VALUE"""),80.84)</f>
        <v/>
      </c>
      <c r="D57" s="141">
        <f>IFERROR(__xludf.DUMMYFUNCTION("""COMPUTED_VALUE"""),80.94)</f>
        <v/>
      </c>
      <c r="E57" s="141">
        <f>IFERROR(__xludf.DUMMYFUNCTION("""COMPUTED_VALUE"""),80.79)</f>
        <v/>
      </c>
      <c r="F57" s="141">
        <f>IFERROR(__xludf.DUMMYFUNCTION("""COMPUTED_VALUE"""),80.84)</f>
        <v/>
      </c>
      <c r="G57" s="143">
        <f>IFERROR(__xludf.DUMMYFUNCTION("""COMPUTED_VALUE"""),38106109)</f>
        <v/>
      </c>
      <c r="H57" s="27" t="n"/>
    </row>
    <row r="58" ht="17.25" customHeight="1" s="322">
      <c r="A58" s="27" t="n"/>
      <c r="B58" s="506">
        <f>IFERROR(__xludf.DUMMYFUNCTION("""COMPUTED_VALUE"""),45911.6666666666)</f>
        <v/>
      </c>
      <c r="C58" s="141">
        <f>IFERROR(__xludf.DUMMYFUNCTION("""COMPUTED_VALUE"""),80.91)</f>
        <v/>
      </c>
      <c r="D58" s="141">
        <f>IFERROR(__xludf.DUMMYFUNCTION("""COMPUTED_VALUE"""),81.1)</f>
        <v/>
      </c>
      <c r="E58" s="141">
        <f>IFERROR(__xludf.DUMMYFUNCTION("""COMPUTED_VALUE"""),80.91)</f>
        <v/>
      </c>
      <c r="F58" s="141">
        <f>IFERROR(__xludf.DUMMYFUNCTION("""COMPUTED_VALUE"""),81.04)</f>
        <v/>
      </c>
      <c r="G58" s="143">
        <f>IFERROR(__xludf.DUMMYFUNCTION("""COMPUTED_VALUE"""),34221538)</f>
        <v/>
      </c>
      <c r="H58" s="27" t="n"/>
    </row>
    <row r="59" ht="17.25" customHeight="1" s="322">
      <c r="A59" s="27" t="n"/>
      <c r="B59" s="506">
        <f>IFERROR(__xludf.DUMMYFUNCTION("""COMPUTED_VALUE"""),45912.6666666666)</f>
        <v/>
      </c>
      <c r="C59" s="141">
        <f>IFERROR(__xludf.DUMMYFUNCTION("""COMPUTED_VALUE"""),81.03)</f>
        <v/>
      </c>
      <c r="D59" s="141">
        <f>IFERROR(__xludf.DUMMYFUNCTION("""COMPUTED_VALUE"""),81.03)</f>
        <v/>
      </c>
      <c r="E59" s="141">
        <f>IFERROR(__xludf.DUMMYFUNCTION("""COMPUTED_VALUE"""),80.94)</f>
        <v/>
      </c>
      <c r="F59" s="141">
        <f>IFERROR(__xludf.DUMMYFUNCTION("""COMPUTED_VALUE"""),80.96)</f>
        <v/>
      </c>
      <c r="G59" s="143">
        <f>IFERROR(__xludf.DUMMYFUNCTION("""COMPUTED_VALUE"""),25702839)</f>
        <v/>
      </c>
      <c r="H59" s="27" t="n"/>
    </row>
    <row r="60" ht="17.25" customHeight="1" s="322">
      <c r="A60" s="27" t="n"/>
      <c r="B60" s="506">
        <f>IFERROR(__xludf.DUMMYFUNCTION("""COMPUTED_VALUE"""),45915.6666666666)</f>
        <v/>
      </c>
      <c r="C60" s="141">
        <f>IFERROR(__xludf.DUMMYFUNCTION("""COMPUTED_VALUE"""),81.08)</f>
        <v/>
      </c>
      <c r="D60" s="141">
        <f>IFERROR(__xludf.DUMMYFUNCTION("""COMPUTED_VALUE"""),81.2)</f>
        <v/>
      </c>
      <c r="E60" s="141">
        <f>IFERROR(__xludf.DUMMYFUNCTION("""COMPUTED_VALUE"""),81.07)</f>
        <v/>
      </c>
      <c r="F60" s="141">
        <f>IFERROR(__xludf.DUMMYFUNCTION("""COMPUTED_VALUE"""),81.19)</f>
        <v/>
      </c>
      <c r="G60" s="143">
        <f>IFERROR(__xludf.DUMMYFUNCTION("""COMPUTED_VALUE"""),27248792)</f>
        <v/>
      </c>
      <c r="H60" s="27" t="n"/>
    </row>
    <row r="61" ht="17.25" customHeight="1" s="322">
      <c r="A61" s="27" t="n"/>
      <c r="B61" s="506">
        <f>IFERROR(__xludf.DUMMYFUNCTION("""COMPUTED_VALUE"""),45916.6666666666)</f>
        <v/>
      </c>
      <c r="C61" s="141">
        <f>IFERROR(__xludf.DUMMYFUNCTION("""COMPUTED_VALUE"""),81.21)</f>
        <v/>
      </c>
      <c r="D61" s="141">
        <f>IFERROR(__xludf.DUMMYFUNCTION("""COMPUTED_VALUE"""),81.23)</f>
        <v/>
      </c>
      <c r="E61" s="141">
        <f>IFERROR(__xludf.DUMMYFUNCTION("""COMPUTED_VALUE"""),81.1)</f>
        <v/>
      </c>
      <c r="F61" s="141">
        <f>IFERROR(__xludf.DUMMYFUNCTION("""COMPUTED_VALUE"""),81.13)</f>
        <v/>
      </c>
      <c r="G61" s="143">
        <f>IFERROR(__xludf.DUMMYFUNCTION("""COMPUTED_VALUE"""),33075574)</f>
        <v/>
      </c>
      <c r="H61" s="27" t="n"/>
    </row>
    <row r="62" ht="17.25" customHeight="1" s="322">
      <c r="A62" s="27" t="n"/>
      <c r="B62" s="506">
        <f>IFERROR(__xludf.DUMMYFUNCTION("""COMPUTED_VALUE"""),45917.6666666666)</f>
        <v/>
      </c>
      <c r="C62" s="141">
        <f>IFERROR(__xludf.DUMMYFUNCTION("""COMPUTED_VALUE"""),81.19)</f>
        <v/>
      </c>
      <c r="D62" s="141">
        <f>IFERROR(__xludf.DUMMYFUNCTION("""COMPUTED_VALUE"""),81.24)</f>
        <v/>
      </c>
      <c r="E62" s="141">
        <f>IFERROR(__xludf.DUMMYFUNCTION("""COMPUTED_VALUE"""),80.91)</f>
        <v/>
      </c>
      <c r="F62" s="141">
        <f>IFERROR(__xludf.DUMMYFUNCTION("""COMPUTED_VALUE"""),81.05)</f>
        <v/>
      </c>
      <c r="G62" s="143">
        <f>IFERROR(__xludf.DUMMYFUNCTION("""COMPUTED_VALUE"""),35955695)</f>
        <v/>
      </c>
      <c r="H62" s="27" t="n"/>
    </row>
    <row r="63" ht="17.25" customHeight="1" s="322">
      <c r="A63" s="27" t="n"/>
      <c r="B63" s="506">
        <f>IFERROR(__xludf.DUMMYFUNCTION("""COMPUTED_VALUE"""),45918.6666666666)</f>
        <v/>
      </c>
      <c r="C63" s="141">
        <f>IFERROR(__xludf.DUMMYFUNCTION("""COMPUTED_VALUE"""),81.14)</f>
        <v/>
      </c>
      <c r="D63" s="141">
        <f>IFERROR(__xludf.DUMMYFUNCTION("""COMPUTED_VALUE"""),81.27)</f>
        <v/>
      </c>
      <c r="E63" s="141">
        <f>IFERROR(__xludf.DUMMYFUNCTION("""COMPUTED_VALUE"""),81.07)</f>
        <v/>
      </c>
      <c r="F63" s="141">
        <f>IFERROR(__xludf.DUMMYFUNCTION("""COMPUTED_VALUE"""),81.23)</f>
        <v/>
      </c>
      <c r="G63" s="143">
        <f>IFERROR(__xludf.DUMMYFUNCTION("""COMPUTED_VALUE"""),43250018)</f>
        <v/>
      </c>
      <c r="H63" s="27" t="n"/>
    </row>
    <row r="64" ht="17.25" customHeight="1" s="322">
      <c r="A64" s="27" t="n"/>
      <c r="B64" s="506">
        <f>IFERROR(__xludf.DUMMYFUNCTION("""COMPUTED_VALUE"""),45919.6666666666)</f>
        <v/>
      </c>
      <c r="C64" s="141">
        <f>IFERROR(__xludf.DUMMYFUNCTION("""COMPUTED_VALUE"""),81.25)</f>
        <v/>
      </c>
      <c r="D64" s="141">
        <f>IFERROR(__xludf.DUMMYFUNCTION("""COMPUTED_VALUE"""),81.29)</f>
        <v/>
      </c>
      <c r="E64" s="141">
        <f>IFERROR(__xludf.DUMMYFUNCTION("""COMPUTED_VALUE"""),81.15)</f>
        <v/>
      </c>
      <c r="F64" s="141">
        <f>IFERROR(__xludf.DUMMYFUNCTION("""COMPUTED_VALUE"""),81.26)</f>
        <v/>
      </c>
      <c r="G64" s="143">
        <f>IFERROR(__xludf.DUMMYFUNCTION("""COMPUTED_VALUE"""),32042877)</f>
        <v/>
      </c>
      <c r="H64" s="27" t="n"/>
    </row>
    <row r="65" ht="17.25" customHeight="1" s="322">
      <c r="A65" s="27" t="n"/>
      <c r="B65" s="506">
        <f>IFERROR(__xludf.DUMMYFUNCTION("""COMPUTED_VALUE"""),45922.6666666666)</f>
        <v/>
      </c>
      <c r="C65" s="141">
        <f>IFERROR(__xludf.DUMMYFUNCTION("""COMPUTED_VALUE"""),81.19)</f>
        <v/>
      </c>
      <c r="D65" s="141">
        <f>IFERROR(__xludf.DUMMYFUNCTION("""COMPUTED_VALUE"""),81.33)</f>
        <v/>
      </c>
      <c r="E65" s="141">
        <f>IFERROR(__xludf.DUMMYFUNCTION("""COMPUTED_VALUE"""),81.18)</f>
        <v/>
      </c>
      <c r="F65" s="141">
        <f>IFERROR(__xludf.DUMMYFUNCTION("""COMPUTED_VALUE"""),81.32)</f>
        <v/>
      </c>
      <c r="G65" s="143">
        <f>IFERROR(__xludf.DUMMYFUNCTION("""COMPUTED_VALUE"""),26670182)</f>
        <v/>
      </c>
      <c r="H65" s="27" t="n"/>
    </row>
    <row r="66" ht="17.25" customHeight="1" s="322">
      <c r="A66" s="27" t="n"/>
      <c r="B66" s="506">
        <f>IFERROR(__xludf.DUMMYFUNCTION("""COMPUTED_VALUE"""),45923.6666666666)</f>
        <v/>
      </c>
      <c r="C66" s="141">
        <f>IFERROR(__xludf.DUMMYFUNCTION("""COMPUTED_VALUE"""),81.34)</f>
        <v/>
      </c>
      <c r="D66" s="141">
        <f>IFERROR(__xludf.DUMMYFUNCTION("""COMPUTED_VALUE"""),81.36)</f>
        <v/>
      </c>
      <c r="E66" s="141">
        <f>IFERROR(__xludf.DUMMYFUNCTION("""COMPUTED_VALUE"""),81.2)</f>
        <v/>
      </c>
      <c r="F66" s="141">
        <f>IFERROR(__xludf.DUMMYFUNCTION("""COMPUTED_VALUE"""),81.26)</f>
        <v/>
      </c>
      <c r="G66" s="143">
        <f>IFERROR(__xludf.DUMMYFUNCTION("""COMPUTED_VALUE"""),37088524)</f>
        <v/>
      </c>
      <c r="H66" s="27" t="n"/>
    </row>
    <row r="67" ht="17.25" customHeight="1" s="322">
      <c r="A67" s="27" t="n"/>
      <c r="B67" s="506">
        <f>IFERROR(__xludf.DUMMYFUNCTION("""COMPUTED_VALUE"""),45924.6666666666)</f>
        <v/>
      </c>
      <c r="C67" s="141">
        <f>IFERROR(__xludf.DUMMYFUNCTION("""COMPUTED_VALUE"""),81.25)</f>
        <v/>
      </c>
      <c r="D67" s="141">
        <f>IFERROR(__xludf.DUMMYFUNCTION("""COMPUTED_VALUE"""),81.25)</f>
        <v/>
      </c>
      <c r="E67" s="141">
        <f>IFERROR(__xludf.DUMMYFUNCTION("""COMPUTED_VALUE"""),81.12)</f>
        <v/>
      </c>
      <c r="F67" s="141">
        <f>IFERROR(__xludf.DUMMYFUNCTION("""COMPUTED_VALUE"""),81.15)</f>
        <v/>
      </c>
      <c r="G67" s="143">
        <f>IFERROR(__xludf.DUMMYFUNCTION("""COMPUTED_VALUE"""),28124392)</f>
        <v/>
      </c>
      <c r="H67" s="27" t="n"/>
    </row>
    <row r="68" ht="17.25" customHeight="1" s="322">
      <c r="A68" s="27" t="n"/>
      <c r="B68" s="506">
        <f>IFERROR(__xludf.DUMMYFUNCTION("""COMPUTED_VALUE"""),45925.6666666666)</f>
        <v/>
      </c>
      <c r="C68" s="141">
        <f>IFERROR(__xludf.DUMMYFUNCTION("""COMPUTED_VALUE"""),81)</f>
        <v/>
      </c>
      <c r="D68" s="141">
        <f>IFERROR(__xludf.DUMMYFUNCTION("""COMPUTED_VALUE"""),81.01)</f>
        <v/>
      </c>
      <c r="E68" s="141">
        <f>IFERROR(__xludf.DUMMYFUNCTION("""COMPUTED_VALUE"""),80.89)</f>
        <v/>
      </c>
      <c r="F68" s="141">
        <f>IFERROR(__xludf.DUMMYFUNCTION("""COMPUTED_VALUE"""),80.92)</f>
        <v/>
      </c>
      <c r="G68" s="143">
        <f>IFERROR(__xludf.DUMMYFUNCTION("""COMPUTED_VALUE"""),33509855)</f>
        <v/>
      </c>
      <c r="H68" s="27" t="n"/>
    </row>
    <row r="69" ht="17.25" customHeight="1" s="322">
      <c r="A69" s="27" t="n"/>
      <c r="B69" s="506">
        <f>IFERROR(__xludf.DUMMYFUNCTION("""COMPUTED_VALUE"""),45926.6666666666)</f>
        <v/>
      </c>
      <c r="C69" s="141">
        <f>IFERROR(__xludf.DUMMYFUNCTION("""COMPUTED_VALUE"""),81.04)</f>
        <v/>
      </c>
      <c r="D69" s="141">
        <f>IFERROR(__xludf.DUMMYFUNCTION("""COMPUTED_VALUE"""),81.11)</f>
        <v/>
      </c>
      <c r="E69" s="141">
        <f>IFERROR(__xludf.DUMMYFUNCTION("""COMPUTED_VALUE"""),80.96)</f>
        <v/>
      </c>
      <c r="F69" s="141">
        <f>IFERROR(__xludf.DUMMYFUNCTION("""COMPUTED_VALUE"""),81.08)</f>
        <v/>
      </c>
      <c r="G69" s="143">
        <f>IFERROR(__xludf.DUMMYFUNCTION("""COMPUTED_VALUE"""),31046915)</f>
        <v/>
      </c>
      <c r="H69" s="27" t="n"/>
    </row>
    <row r="70" ht="17.25" customHeight="1" s="322">
      <c r="A70" s="27" t="n"/>
      <c r="B70" s="506">
        <f>IFERROR(__xludf.DUMMYFUNCTION("""COMPUTED_VALUE"""),45929.6666666666)</f>
        <v/>
      </c>
      <c r="C70" s="141">
        <f>IFERROR(__xludf.DUMMYFUNCTION("""COMPUTED_VALUE"""),81.16)</f>
        <v/>
      </c>
      <c r="D70" s="141">
        <f>IFERROR(__xludf.DUMMYFUNCTION("""COMPUTED_VALUE"""),81.24)</f>
        <v/>
      </c>
      <c r="E70" s="141">
        <f>IFERROR(__xludf.DUMMYFUNCTION("""COMPUTED_VALUE"""),81.13)</f>
        <v/>
      </c>
      <c r="F70" s="141">
        <f>IFERROR(__xludf.DUMMYFUNCTION("""COMPUTED_VALUE"""),81.22)</f>
        <v/>
      </c>
      <c r="G70" s="143">
        <f>IFERROR(__xludf.DUMMYFUNCTION("""COMPUTED_VALUE"""),28558521)</f>
        <v/>
      </c>
      <c r="H70" s="27" t="n"/>
    </row>
    <row r="71" ht="17.25" customHeight="1" s="322">
      <c r="A71" s="27" t="n"/>
      <c r="B71" s="506">
        <f>IFERROR(__xludf.DUMMYFUNCTION("""COMPUTED_VALUE"""),45930.6666666666)</f>
        <v/>
      </c>
      <c r="C71" s="141">
        <f>IFERROR(__xludf.DUMMYFUNCTION("""COMPUTED_VALUE"""),81.17)</f>
        <v/>
      </c>
      <c r="D71" s="141">
        <f>IFERROR(__xludf.DUMMYFUNCTION("""COMPUTED_VALUE"""),81.21)</f>
        <v/>
      </c>
      <c r="E71" s="141">
        <f>IFERROR(__xludf.DUMMYFUNCTION("""COMPUTED_VALUE"""),81.1)</f>
        <v/>
      </c>
      <c r="F71" s="141">
        <f>IFERROR(__xludf.DUMMYFUNCTION("""COMPUTED_VALUE"""),81.19)</f>
        <v/>
      </c>
      <c r="G71" s="143">
        <f>IFERROR(__xludf.DUMMYFUNCTION("""COMPUTED_VALUE"""),54970291)</f>
        <v/>
      </c>
      <c r="H71" s="27" t="n"/>
    </row>
    <row r="72" ht="17.25" customHeight="1" s="322">
      <c r="A72" s="27" t="n"/>
      <c r="B72" s="506">
        <f>IFERROR(__xludf.DUMMYFUNCTION("""COMPUTED_VALUE"""),45931.6666666666)</f>
        <v/>
      </c>
      <c r="C72" s="141">
        <f>IFERROR(__xludf.DUMMYFUNCTION("""COMPUTED_VALUE"""),80.81)</f>
        <v/>
      </c>
      <c r="D72" s="141">
        <f>IFERROR(__xludf.DUMMYFUNCTION("""COMPUTED_VALUE"""),81)</f>
        <v/>
      </c>
      <c r="E72" s="141">
        <f>IFERROR(__xludf.DUMMYFUNCTION("""COMPUTED_VALUE"""),80.78)</f>
        <v/>
      </c>
      <c r="F72" s="141">
        <f>IFERROR(__xludf.DUMMYFUNCTION("""COMPUTED_VALUE"""),80.96)</f>
        <v/>
      </c>
      <c r="G72" s="143">
        <f>IFERROR(__xludf.DUMMYFUNCTION("""COMPUTED_VALUE"""),58042684)</f>
        <v/>
      </c>
      <c r="H72" s="27" t="n"/>
    </row>
    <row r="73" ht="17.25" customHeight="1" s="322">
      <c r="A73" s="27" t="n"/>
      <c r="B73" s="506">
        <f>IFERROR(__xludf.DUMMYFUNCTION("""COMPUTED_VALUE"""),45932.6666666666)</f>
        <v/>
      </c>
      <c r="C73" s="141">
        <f>IFERROR(__xludf.DUMMYFUNCTION("""COMPUTED_VALUE"""),80.94)</f>
        <v/>
      </c>
      <c r="D73" s="141">
        <f>IFERROR(__xludf.DUMMYFUNCTION("""COMPUTED_VALUE"""),80.97)</f>
        <v/>
      </c>
      <c r="E73" s="141">
        <f>IFERROR(__xludf.DUMMYFUNCTION("""COMPUTED_VALUE"""),80.84)</f>
        <v/>
      </c>
      <c r="F73" s="141">
        <f>IFERROR(__xludf.DUMMYFUNCTION("""COMPUTED_VALUE"""),80.93)</f>
        <v/>
      </c>
      <c r="G73" s="143">
        <f>IFERROR(__xludf.DUMMYFUNCTION("""COMPUTED_VALUE"""),33348931)</f>
        <v/>
      </c>
      <c r="H73" s="27" t="n"/>
    </row>
    <row r="74" ht="17.25" customHeight="1" s="322">
      <c r="A74" s="27" t="n"/>
      <c r="B74" s="506">
        <f>IFERROR(__xludf.DUMMYFUNCTION("""COMPUTED_VALUE"""),45933.6666666666)</f>
        <v/>
      </c>
      <c r="C74" s="141">
        <f>IFERROR(__xludf.DUMMYFUNCTION("""COMPUTED_VALUE"""),80.92)</f>
        <v/>
      </c>
      <c r="D74" s="141">
        <f>IFERROR(__xludf.DUMMYFUNCTION("""COMPUTED_VALUE"""),80.94)</f>
        <v/>
      </c>
      <c r="E74" s="141">
        <f>IFERROR(__xludf.DUMMYFUNCTION("""COMPUTED_VALUE"""),80.82)</f>
        <v/>
      </c>
      <c r="F74" s="141">
        <f>IFERROR(__xludf.DUMMYFUNCTION("""COMPUTED_VALUE"""),80.84)</f>
        <v/>
      </c>
      <c r="G74" s="143">
        <f>IFERROR(__xludf.DUMMYFUNCTION("""COMPUTED_VALUE"""),35109239)</f>
        <v/>
      </c>
      <c r="H74" s="27" t="n"/>
    </row>
    <row r="75" ht="17.25" customHeight="1" s="322">
      <c r="A75" s="27" t="n"/>
      <c r="B75" s="506">
        <f>IFERROR(__xludf.DUMMYFUNCTION("""COMPUTED_VALUE"""),45936.6666666666)</f>
        <v/>
      </c>
      <c r="C75" s="141">
        <f>IFERROR(__xludf.DUMMYFUNCTION("""COMPUTED_VALUE"""),80.89)</f>
        <v/>
      </c>
      <c r="D75" s="141">
        <f>IFERROR(__xludf.DUMMYFUNCTION("""COMPUTED_VALUE"""),80.91)</f>
        <v/>
      </c>
      <c r="E75" s="141">
        <f>IFERROR(__xludf.DUMMYFUNCTION("""COMPUTED_VALUE"""),80.83)</f>
        <v/>
      </c>
      <c r="F75" s="141">
        <f>IFERROR(__xludf.DUMMYFUNCTION("""COMPUTED_VALUE"""),80.86)</f>
        <v/>
      </c>
      <c r="G75" s="143">
        <f>IFERROR(__xludf.DUMMYFUNCTION("""COMPUTED_VALUE"""),29485173)</f>
        <v/>
      </c>
      <c r="H75" s="27" t="n"/>
    </row>
    <row r="76" ht="17.25" customHeight="1" s="322">
      <c r="A76" s="27" t="n"/>
      <c r="B76" s="506">
        <f>IFERROR(__xludf.DUMMYFUNCTION("""COMPUTED_VALUE"""),45937.6666666666)</f>
        <v/>
      </c>
      <c r="C76" s="141">
        <f>IFERROR(__xludf.DUMMYFUNCTION("""COMPUTED_VALUE"""),80.89)</f>
        <v/>
      </c>
      <c r="D76" s="141">
        <f>IFERROR(__xludf.DUMMYFUNCTION("""COMPUTED_VALUE"""),80.89)</f>
        <v/>
      </c>
      <c r="E76" s="141">
        <f>IFERROR(__xludf.DUMMYFUNCTION("""COMPUTED_VALUE"""),80.76)</f>
        <v/>
      </c>
      <c r="F76" s="141">
        <f>IFERROR(__xludf.DUMMYFUNCTION("""COMPUTED_VALUE"""),80.77)</f>
        <v/>
      </c>
      <c r="G76" s="143">
        <f>IFERROR(__xludf.DUMMYFUNCTION("""COMPUTED_VALUE"""),27672307)</f>
        <v/>
      </c>
      <c r="H76" s="27" t="n"/>
    </row>
    <row r="77" ht="17.25" customHeight="1" s="322">
      <c r="A77" s="27" t="n"/>
      <c r="B77" s="506">
        <f>IFERROR(__xludf.DUMMYFUNCTION("""COMPUTED_VALUE"""),45938.6666666666)</f>
        <v/>
      </c>
      <c r="C77" s="141">
        <f>IFERROR(__xludf.DUMMYFUNCTION("""COMPUTED_VALUE"""),80.82)</f>
        <v/>
      </c>
      <c r="D77" s="141">
        <f>IFERROR(__xludf.DUMMYFUNCTION("""COMPUTED_VALUE"""),80.84)</f>
        <v/>
      </c>
      <c r="E77" s="141">
        <f>IFERROR(__xludf.DUMMYFUNCTION("""COMPUTED_VALUE"""),80.64)</f>
        <v/>
      </c>
      <c r="F77" s="141">
        <f>IFERROR(__xludf.DUMMYFUNCTION("""COMPUTED_VALUE"""),80.65)</f>
        <v/>
      </c>
      <c r="G77" s="143">
        <f>IFERROR(__xludf.DUMMYFUNCTION("""COMPUTED_VALUE"""),34932175)</f>
        <v/>
      </c>
      <c r="H77" s="27" t="n"/>
    </row>
    <row r="78" ht="17.25" customHeight="1" s="322">
      <c r="A78" s="27" t="n"/>
      <c r="B78" s="506">
        <f>IFERROR(__xludf.DUMMYFUNCTION("""COMPUTED_VALUE"""),45939.6666666666)</f>
        <v/>
      </c>
      <c r="C78" s="141">
        <f>IFERROR(__xludf.DUMMYFUNCTION("""COMPUTED_VALUE"""),80.64)</f>
        <v/>
      </c>
      <c r="D78" s="141">
        <f>IFERROR(__xludf.DUMMYFUNCTION("""COMPUTED_VALUE"""),80.65)</f>
        <v/>
      </c>
      <c r="E78" s="141">
        <f>IFERROR(__xludf.DUMMYFUNCTION("""COMPUTED_VALUE"""),80.31)</f>
        <v/>
      </c>
      <c r="F78" s="141">
        <f>IFERROR(__xludf.DUMMYFUNCTION("""COMPUTED_VALUE"""),80.42)</f>
        <v/>
      </c>
      <c r="G78" s="143">
        <f>IFERROR(__xludf.DUMMYFUNCTION("""COMPUTED_VALUE"""),65586746)</f>
        <v/>
      </c>
      <c r="H78" s="27" t="n"/>
    </row>
    <row r="79" ht="17.25" customHeight="1" s="322">
      <c r="A79" s="27" t="n"/>
      <c r="B79" s="506">
        <f>IFERROR(__xludf.DUMMYFUNCTION("""COMPUTED_VALUE"""),45940.6666666666)</f>
        <v/>
      </c>
      <c r="C79" s="141">
        <f>IFERROR(__xludf.DUMMYFUNCTION("""COMPUTED_VALUE"""),80.47)</f>
        <v/>
      </c>
      <c r="D79" s="141">
        <f>IFERROR(__xludf.DUMMYFUNCTION("""COMPUTED_VALUE"""),80.49)</f>
        <v/>
      </c>
      <c r="E79" s="141">
        <f>IFERROR(__xludf.DUMMYFUNCTION("""COMPUTED_VALUE"""),79.95)</f>
        <v/>
      </c>
      <c r="F79" s="141">
        <f>IFERROR(__xludf.DUMMYFUNCTION("""COMPUTED_VALUE"""),79.95)</f>
        <v/>
      </c>
      <c r="G79" s="143">
        <f>IFERROR(__xludf.DUMMYFUNCTION("""COMPUTED_VALUE"""),83840443)</f>
        <v/>
      </c>
      <c r="H79" s="27" t="n"/>
    </row>
    <row r="80" ht="17.25" customHeight="1" s="322">
      <c r="A80" s="27" t="n"/>
      <c r="B80" s="506">
        <f>IFERROR(__xludf.DUMMYFUNCTION("""COMPUTED_VALUE"""),45943.6666666666)</f>
        <v/>
      </c>
      <c r="C80" s="141">
        <f>IFERROR(__xludf.DUMMYFUNCTION("""COMPUTED_VALUE"""),80.23)</f>
        <v/>
      </c>
      <c r="D80" s="141">
        <f>IFERROR(__xludf.DUMMYFUNCTION("""COMPUTED_VALUE"""),80.45)</f>
        <v/>
      </c>
      <c r="E80" s="141">
        <f>IFERROR(__xludf.DUMMYFUNCTION("""COMPUTED_VALUE"""),80.17)</f>
        <v/>
      </c>
      <c r="F80" s="141">
        <f>IFERROR(__xludf.DUMMYFUNCTION("""COMPUTED_VALUE"""),80.45)</f>
        <v/>
      </c>
      <c r="G80" s="143">
        <f>IFERROR(__xludf.DUMMYFUNCTION("""COMPUTED_VALUE"""),31926785)</f>
        <v/>
      </c>
      <c r="H80" s="27" t="n"/>
    </row>
    <row r="81" ht="17.25" customHeight="1" s="322">
      <c r="A81" s="27" t="n"/>
      <c r="B81" s="506">
        <f>IFERROR(__xludf.DUMMYFUNCTION("""COMPUTED_VALUE"""),45944.6666666666)</f>
        <v/>
      </c>
      <c r="C81" s="141">
        <f>IFERROR(__xludf.DUMMYFUNCTION("""COMPUTED_VALUE"""),80.18)</f>
        <v/>
      </c>
      <c r="D81" s="141">
        <f>IFERROR(__xludf.DUMMYFUNCTION("""COMPUTED_VALUE"""),80.64)</f>
        <v/>
      </c>
      <c r="E81" s="141">
        <f>IFERROR(__xludf.DUMMYFUNCTION("""COMPUTED_VALUE"""),80.11)</f>
        <v/>
      </c>
      <c r="F81" s="141">
        <f>IFERROR(__xludf.DUMMYFUNCTION("""COMPUTED_VALUE"""),80.54)</f>
        <v/>
      </c>
      <c r="G81" s="143">
        <f>IFERROR(__xludf.DUMMYFUNCTION("""COMPUTED_VALUE"""),63860101)</f>
        <v/>
      </c>
      <c r="H81" s="27" t="n"/>
    </row>
    <row r="82" ht="17.25" customHeight="1" s="322">
      <c r="A82" s="27" t="n"/>
      <c r="B82" s="506">
        <f>IFERROR(__xludf.DUMMYFUNCTION("""COMPUTED_VALUE"""),45945.6666666666)</f>
        <v/>
      </c>
      <c r="C82" s="141">
        <f>IFERROR(__xludf.DUMMYFUNCTION("""COMPUTED_VALUE"""),80.72)</f>
        <v/>
      </c>
      <c r="D82" s="141">
        <f>IFERROR(__xludf.DUMMYFUNCTION("""COMPUTED_VALUE"""),80.83)</f>
        <v/>
      </c>
      <c r="E82" s="141">
        <f>IFERROR(__xludf.DUMMYFUNCTION("""COMPUTED_VALUE"""),80.6)</f>
        <v/>
      </c>
      <c r="F82" s="141">
        <f>IFERROR(__xludf.DUMMYFUNCTION("""COMPUTED_VALUE"""),80.8)</f>
        <v/>
      </c>
      <c r="G82" s="143">
        <f>IFERROR(__xludf.DUMMYFUNCTION("""COMPUTED_VALUE"""),59802150)</f>
        <v/>
      </c>
      <c r="H82" s="27" t="n"/>
    </row>
    <row r="83" ht="17.25" customHeight="1" s="322">
      <c r="A83" s="27" t="n"/>
      <c r="B83" s="506">
        <f>IFERROR(__xludf.DUMMYFUNCTION("""COMPUTED_VALUE"""),45946.6666666666)</f>
        <v/>
      </c>
      <c r="C83" s="141">
        <f>IFERROR(__xludf.DUMMYFUNCTION("""COMPUTED_VALUE"""),80.8)</f>
        <v/>
      </c>
      <c r="D83" s="141">
        <f>IFERROR(__xludf.DUMMYFUNCTION("""COMPUTED_VALUE"""),80.82)</f>
        <v/>
      </c>
      <c r="E83" s="141">
        <f>IFERROR(__xludf.DUMMYFUNCTION("""COMPUTED_VALUE"""),80.46)</f>
        <v/>
      </c>
      <c r="F83" s="141">
        <f>IFERROR(__xludf.DUMMYFUNCTION("""COMPUTED_VALUE"""),80.51)</f>
        <v/>
      </c>
      <c r="G83" s="143">
        <f>IFERROR(__xludf.DUMMYFUNCTION("""COMPUTED_VALUE"""),75725201)</f>
        <v/>
      </c>
      <c r="H83" s="27" t="n"/>
    </row>
    <row r="84" ht="17.25" customHeight="1" s="322">
      <c r="A84" s="27" t="n"/>
      <c r="B84" s="506">
        <f>IFERROR(__xludf.DUMMYFUNCTION("""COMPUTED_VALUE"""),45947.6666666666)</f>
        <v/>
      </c>
      <c r="C84" s="141">
        <f>IFERROR(__xludf.DUMMYFUNCTION("""COMPUTED_VALUE"""),80.44)</f>
        <v/>
      </c>
      <c r="D84" s="141">
        <f>IFERROR(__xludf.DUMMYFUNCTION("""COMPUTED_VALUE"""),80.73)</f>
        <v/>
      </c>
      <c r="E84" s="141">
        <f>IFERROR(__xludf.DUMMYFUNCTION("""COMPUTED_VALUE"""),80.43)</f>
        <v/>
      </c>
      <c r="F84" s="141">
        <f>IFERROR(__xludf.DUMMYFUNCTION("""COMPUTED_VALUE"""),80.72)</f>
        <v/>
      </c>
      <c r="G84" s="143">
        <f>IFERROR(__xludf.DUMMYFUNCTION("""COMPUTED_VALUE"""),70044157)</f>
        <v/>
      </c>
      <c r="H84" s="27" t="n"/>
    </row>
    <row r="85" ht="17.25" customHeight="1" s="322">
      <c r="A85" s="27" t="n"/>
      <c r="B85" s="506">
        <f>IFERROR(__xludf.DUMMYFUNCTION("""COMPUTED_VALUE"""),45950.6666666666)</f>
        <v/>
      </c>
      <c r="C85" s="141">
        <f>IFERROR(__xludf.DUMMYFUNCTION("""COMPUTED_VALUE"""),80.77)</f>
        <v/>
      </c>
      <c r="D85" s="141">
        <f>IFERROR(__xludf.DUMMYFUNCTION("""COMPUTED_VALUE"""),80.91)</f>
        <v/>
      </c>
      <c r="E85" s="141">
        <f>IFERROR(__xludf.DUMMYFUNCTION("""COMPUTED_VALUE"""),80.77)</f>
        <v/>
      </c>
      <c r="F85" s="141">
        <f>IFERROR(__xludf.DUMMYFUNCTION("""COMPUTED_VALUE"""),80.88)</f>
        <v/>
      </c>
      <c r="G85" s="143">
        <f>IFERROR(__xludf.DUMMYFUNCTION("""COMPUTED_VALUE"""),43762292)</f>
        <v/>
      </c>
      <c r="H85" s="27" t="n"/>
    </row>
    <row r="86" ht="17.25" customHeight="1" s="322">
      <c r="A86" s="27" t="n"/>
      <c r="B86" s="506">
        <f>IFERROR(__xludf.DUMMYFUNCTION("""COMPUTED_VALUE"""),45951.6666666666)</f>
        <v/>
      </c>
      <c r="C86" s="141">
        <f>IFERROR(__xludf.DUMMYFUNCTION("""COMPUTED_VALUE"""),80.88)</f>
        <v/>
      </c>
      <c r="D86" s="141">
        <f>IFERROR(__xludf.DUMMYFUNCTION("""COMPUTED_VALUE"""),80.94)</f>
        <v/>
      </c>
      <c r="E86" s="141">
        <f>IFERROR(__xludf.DUMMYFUNCTION("""COMPUTED_VALUE"""),80.76)</f>
        <v/>
      </c>
      <c r="F86" s="141">
        <f>IFERROR(__xludf.DUMMYFUNCTION("""COMPUTED_VALUE"""),80.76)</f>
        <v/>
      </c>
      <c r="G86" s="143">
        <f>IFERROR(__xludf.DUMMYFUNCTION("""COMPUTED_VALUE"""),45418130)</f>
        <v/>
      </c>
      <c r="H86" s="27" t="n"/>
    </row>
    <row r="87" ht="17.25" customHeight="1" s="322">
      <c r="A87" s="27" t="n"/>
      <c r="B87" s="506">
        <f>IFERROR(__xludf.DUMMYFUNCTION("""COMPUTED_VALUE"""),45952.6666666666)</f>
        <v/>
      </c>
      <c r="C87" s="141">
        <f>IFERROR(__xludf.DUMMYFUNCTION("""COMPUTED_VALUE"""),80.76)</f>
        <v/>
      </c>
      <c r="D87" s="141">
        <f>IFERROR(__xludf.DUMMYFUNCTION("""COMPUTED_VALUE"""),80.81)</f>
        <v/>
      </c>
      <c r="E87" s="141">
        <f>IFERROR(__xludf.DUMMYFUNCTION("""COMPUTED_VALUE"""),80.6)</f>
        <v/>
      </c>
      <c r="F87" s="141">
        <f>IFERROR(__xludf.DUMMYFUNCTION("""COMPUTED_VALUE"""),80.68)</f>
        <v/>
      </c>
      <c r="G87" s="143">
        <f>IFERROR(__xludf.DUMMYFUNCTION("""COMPUTED_VALUE"""),50698765)</f>
        <v/>
      </c>
      <c r="H87" s="27" t="n"/>
    </row>
    <row r="88" ht="17.25" customHeight="1" s="322">
      <c r="A88" s="27" t="n"/>
      <c r="B88" s="506">
        <f>IFERROR(__xludf.DUMMYFUNCTION("""COMPUTED_VALUE"""),45953.6666666666)</f>
        <v/>
      </c>
      <c r="C88" s="141">
        <f>IFERROR(__xludf.DUMMYFUNCTION("""COMPUTED_VALUE"""),80.7)</f>
        <v/>
      </c>
      <c r="D88" s="141">
        <f>IFERROR(__xludf.DUMMYFUNCTION("""COMPUTED_VALUE"""),80.86)</f>
        <v/>
      </c>
      <c r="E88" s="141">
        <f>IFERROR(__xludf.DUMMYFUNCTION("""COMPUTED_VALUE"""),80.7)</f>
        <v/>
      </c>
      <c r="F88" s="141">
        <f>IFERROR(__xludf.DUMMYFUNCTION("""COMPUTED_VALUE"""),80.86)</f>
        <v/>
      </c>
      <c r="G88" s="143">
        <f>IFERROR(__xludf.DUMMYFUNCTION("""COMPUTED_VALUE"""),37962367)</f>
        <v/>
      </c>
      <c r="H88" s="27" t="n"/>
    </row>
    <row r="89" ht="17.25" customHeight="1" s="322">
      <c r="A89" s="27" t="n"/>
      <c r="B89" s="506">
        <f>IFERROR(__xludf.DUMMYFUNCTION("""COMPUTED_VALUE"""),45954.6666666666)</f>
        <v/>
      </c>
      <c r="C89" s="141">
        <f>IFERROR(__xludf.DUMMYFUNCTION("""COMPUTED_VALUE"""),81.03)</f>
        <v/>
      </c>
      <c r="D89" s="141">
        <f>IFERROR(__xludf.DUMMYFUNCTION("""COMPUTED_VALUE"""),81.09)</f>
        <v/>
      </c>
      <c r="E89" s="141">
        <f>IFERROR(__xludf.DUMMYFUNCTION("""COMPUTED_VALUE"""),80.97)</f>
        <v/>
      </c>
      <c r="F89" s="141">
        <f>IFERROR(__xludf.DUMMYFUNCTION("""COMPUTED_VALUE"""),81.08)</f>
        <v/>
      </c>
      <c r="G89" s="143">
        <f>IFERROR(__xludf.DUMMYFUNCTION("""COMPUTED_VALUE"""),39905574)</f>
        <v/>
      </c>
      <c r="H89" s="27" t="n"/>
    </row>
    <row r="90" ht="17.25" customHeight="1" s="322">
      <c r="A90" s="27" t="n"/>
      <c r="B90" s="506">
        <f>IFERROR(__xludf.DUMMYFUNCTION("""COMPUTED_VALUE"""),45957.6666666666)</f>
        <v/>
      </c>
      <c r="C90" s="141">
        <f>IFERROR(__xludf.DUMMYFUNCTION("""COMPUTED_VALUE"""),81.17)</f>
        <v/>
      </c>
      <c r="D90" s="141">
        <f>IFERROR(__xludf.DUMMYFUNCTION("""COMPUTED_VALUE"""),81.33)</f>
        <v/>
      </c>
      <c r="E90" s="141">
        <f>IFERROR(__xludf.DUMMYFUNCTION("""COMPUTED_VALUE"""),81.13)</f>
        <v/>
      </c>
      <c r="F90" s="141">
        <f>IFERROR(__xludf.DUMMYFUNCTION("""COMPUTED_VALUE"""),81.28)</f>
        <v/>
      </c>
      <c r="G90" s="143">
        <f>IFERROR(__xludf.DUMMYFUNCTION("""COMPUTED_VALUE"""),36494969)</f>
        <v/>
      </c>
      <c r="H90" s="27" t="n"/>
    </row>
    <row r="91" ht="17.25" customHeight="1" s="322">
      <c r="A91" s="27" t="n"/>
      <c r="B91" s="506">
        <f>IFERROR(__xludf.DUMMYFUNCTION("""COMPUTED_VALUE"""),45958.6666666666)</f>
        <v/>
      </c>
      <c r="C91" s="141">
        <f>IFERROR(__xludf.DUMMYFUNCTION("""COMPUTED_VALUE"""),81.28)</f>
        <v/>
      </c>
      <c r="D91" s="141">
        <f>IFERROR(__xludf.DUMMYFUNCTION("""COMPUTED_VALUE"""),81.28)</f>
        <v/>
      </c>
      <c r="E91" s="141">
        <f>IFERROR(__xludf.DUMMYFUNCTION("""COMPUTED_VALUE"""),81.17)</f>
        <v/>
      </c>
      <c r="F91" s="141">
        <f>IFERROR(__xludf.DUMMYFUNCTION("""COMPUTED_VALUE"""),81.2)</f>
        <v/>
      </c>
      <c r="G91" s="143">
        <f>IFERROR(__xludf.DUMMYFUNCTION("""COMPUTED_VALUE"""),31591729)</f>
        <v/>
      </c>
      <c r="H91" s="27" t="n"/>
    </row>
    <row r="92" ht="17.25" customHeight="1" s="322">
      <c r="A92" s="27" t="n"/>
      <c r="B92" s="506">
        <f>IFERROR(__xludf.DUMMYFUNCTION("""COMPUTED_VALUE"""),45959.6666666666)</f>
        <v/>
      </c>
      <c r="C92" s="141">
        <f>IFERROR(__xludf.DUMMYFUNCTION("""COMPUTED_VALUE"""),81.2)</f>
        <v/>
      </c>
      <c r="D92" s="141">
        <f>IFERROR(__xludf.DUMMYFUNCTION("""COMPUTED_VALUE"""),81.23)</f>
        <v/>
      </c>
      <c r="E92" s="141">
        <f>IFERROR(__xludf.DUMMYFUNCTION("""COMPUTED_VALUE"""),80.9)</f>
        <v/>
      </c>
      <c r="F92" s="141">
        <f>IFERROR(__xludf.DUMMYFUNCTION("""COMPUTED_VALUE"""),80.95)</f>
        <v/>
      </c>
      <c r="G92" s="143">
        <f>IFERROR(__xludf.DUMMYFUNCTION("""COMPUTED_VALUE"""),51827219)</f>
        <v/>
      </c>
      <c r="H92" s="27" t="n"/>
    </row>
    <row r="93" ht="17.25" customHeight="1" s="322">
      <c r="A93" s="27" t="n"/>
      <c r="B93" s="506">
        <f>IFERROR(__xludf.DUMMYFUNCTION("""COMPUTED_VALUE"""),45960.6666666666)</f>
        <v/>
      </c>
      <c r="C93" s="141">
        <f>IFERROR(__xludf.DUMMYFUNCTION("""COMPUTED_VALUE"""),80.79)</f>
        <v/>
      </c>
      <c r="D93" s="141">
        <f>IFERROR(__xludf.DUMMYFUNCTION("""COMPUTED_VALUE"""),80.94)</f>
        <v/>
      </c>
      <c r="E93" s="141">
        <f>IFERROR(__xludf.DUMMYFUNCTION("""COMPUTED_VALUE"""),80.76)</f>
        <v/>
      </c>
      <c r="F93" s="141">
        <f>IFERROR(__xludf.DUMMYFUNCTION("""COMPUTED_VALUE"""),80.8)</f>
        <v/>
      </c>
      <c r="G93" s="143">
        <f>IFERROR(__xludf.DUMMYFUNCTION("""COMPUTED_VALUE"""),39967394)</f>
        <v/>
      </c>
      <c r="H93" s="27" t="n"/>
    </row>
    <row r="94" ht="17.25" customHeight="1" s="322">
      <c r="A94" s="27" t="n"/>
      <c r="B94" s="506">
        <f>IFERROR(__xludf.DUMMYFUNCTION("""COMPUTED_VALUE"""),45961.6666666666)</f>
        <v/>
      </c>
      <c r="C94" s="141">
        <f>IFERROR(__xludf.DUMMYFUNCTION("""COMPUTED_VALUE"""),80.89)</f>
        <v/>
      </c>
      <c r="D94" s="141">
        <f>IFERROR(__xludf.DUMMYFUNCTION("""COMPUTED_VALUE"""),80.96)</f>
        <v/>
      </c>
      <c r="E94" s="141">
        <f>IFERROR(__xludf.DUMMYFUNCTION("""COMPUTED_VALUE"""),80.75)</f>
        <v/>
      </c>
      <c r="F94" s="141">
        <f>IFERROR(__xludf.DUMMYFUNCTION("""COMPUTED_VALUE"""),80.8)</f>
        <v/>
      </c>
      <c r="G94" s="143">
        <f>IFERROR(__xludf.DUMMYFUNCTION("""COMPUTED_VALUE"""),45044574)</f>
        <v/>
      </c>
      <c r="H94" s="27" t="n"/>
    </row>
    <row r="95" ht="17.25" customHeight="1" s="322">
      <c r="A95" s="27" t="n"/>
      <c r="B95" s="506">
        <f>IFERROR(__xludf.DUMMYFUNCTION("""COMPUTED_VALUE"""),45964.6666666666)</f>
        <v/>
      </c>
      <c r="C95" s="141">
        <f>IFERROR(__xludf.DUMMYFUNCTION("""COMPUTED_VALUE"""),80.4)</f>
        <v/>
      </c>
      <c r="D95" s="141">
        <f>IFERROR(__xludf.DUMMYFUNCTION("""COMPUTED_VALUE"""),80.4)</f>
        <v/>
      </c>
      <c r="E95" s="141">
        <f>IFERROR(__xludf.DUMMYFUNCTION("""COMPUTED_VALUE"""),80.13)</f>
        <v/>
      </c>
      <c r="F95" s="141">
        <f>IFERROR(__xludf.DUMMYFUNCTION("""COMPUTED_VALUE"""),80.14)</f>
        <v/>
      </c>
      <c r="G95" s="143">
        <f>IFERROR(__xludf.DUMMYFUNCTION("""COMPUTED_VALUE"""),54615144)</f>
        <v/>
      </c>
      <c r="H95" s="27" t="n"/>
    </row>
    <row r="96" ht="17.25" customHeight="1" s="322">
      <c r="A96" s="27" t="n"/>
      <c r="B96" s="506">
        <f>IFERROR(__xludf.DUMMYFUNCTION("""COMPUTED_VALUE"""),45965.6666666666)</f>
        <v/>
      </c>
      <c r="C96" s="141">
        <f>IFERROR(__xludf.DUMMYFUNCTION("""COMPUTED_VALUE"""),79.98)</f>
        <v/>
      </c>
      <c r="D96" s="141">
        <f>IFERROR(__xludf.DUMMYFUNCTION("""COMPUTED_VALUE"""),80.22)</f>
        <v/>
      </c>
      <c r="E96" s="141">
        <f>IFERROR(__xludf.DUMMYFUNCTION("""COMPUTED_VALUE"""),79.96)</f>
        <v/>
      </c>
      <c r="F96" s="141">
        <f>IFERROR(__xludf.DUMMYFUNCTION("""COMPUTED_VALUE"""),80.15)</f>
        <v/>
      </c>
      <c r="G96" s="143">
        <f>IFERROR(__xludf.DUMMYFUNCTION("""COMPUTED_VALUE"""),49705102)</f>
        <v/>
      </c>
      <c r="H96" s="27" t="n"/>
    </row>
    <row r="97" ht="17.25" customHeight="1" s="322">
      <c r="A97" s="27" t="n"/>
      <c r="B97" s="506">
        <f>IFERROR(__xludf.DUMMYFUNCTION("""COMPUTED_VALUE"""),45966.6666666666)</f>
        <v/>
      </c>
      <c r="C97" s="141">
        <f>IFERROR(__xludf.DUMMYFUNCTION("""COMPUTED_VALUE"""),80.19)</f>
        <v/>
      </c>
      <c r="D97" s="141">
        <f>IFERROR(__xludf.DUMMYFUNCTION("""COMPUTED_VALUE"""),80.28)</f>
        <v/>
      </c>
      <c r="E97" s="141">
        <f>IFERROR(__xludf.DUMMYFUNCTION("""COMPUTED_VALUE"""),80.17)</f>
        <v/>
      </c>
      <c r="F97" s="141">
        <f>IFERROR(__xludf.DUMMYFUNCTION("""COMPUTED_VALUE"""),80.23)</f>
        <v/>
      </c>
      <c r="G97" s="143">
        <f>IFERROR(__xludf.DUMMYFUNCTION("""COMPUTED_VALUE"""),42274111)</f>
        <v/>
      </c>
      <c r="H97" s="27" t="n"/>
    </row>
    <row r="98" ht="17.25" customHeight="1" s="322">
      <c r="A98" s="27" t="n"/>
      <c r="B98" s="506">
        <f>IFERROR(__xludf.DUMMYFUNCTION("""COMPUTED_VALUE"""),45967.6666666666)</f>
        <v/>
      </c>
      <c r="C98" s="141">
        <f>IFERROR(__xludf.DUMMYFUNCTION("""COMPUTED_VALUE"""),80.31)</f>
        <v/>
      </c>
      <c r="D98" s="141">
        <f>IFERROR(__xludf.DUMMYFUNCTION("""COMPUTED_VALUE"""),80.33)</f>
        <v/>
      </c>
      <c r="E98" s="141">
        <f>IFERROR(__xludf.DUMMYFUNCTION("""COMPUTED_VALUE"""),80.13)</f>
        <v/>
      </c>
      <c r="F98" s="141">
        <f>IFERROR(__xludf.DUMMYFUNCTION("""COMPUTED_VALUE"""),80.26)</f>
        <v/>
      </c>
      <c r="G98" s="143">
        <f>IFERROR(__xludf.DUMMYFUNCTION("""COMPUTED_VALUE"""),46629485)</f>
        <v/>
      </c>
      <c r="H98" s="27" t="n"/>
    </row>
    <row r="99" ht="17.25" customHeight="1" s="322">
      <c r="A99" s="27" t="n"/>
      <c r="B99" s="506">
        <f>IFERROR(__xludf.DUMMYFUNCTION("""COMPUTED_VALUE"""),45968.6666666666)</f>
        <v/>
      </c>
      <c r="C99" s="141">
        <f>IFERROR(__xludf.DUMMYFUNCTION("""COMPUTED_VALUE"""),80.25)</f>
        <v/>
      </c>
      <c r="D99" s="141">
        <f>IFERROR(__xludf.DUMMYFUNCTION("""COMPUTED_VALUE"""),80.35)</f>
        <v/>
      </c>
      <c r="E99" s="141">
        <f>IFERROR(__xludf.DUMMYFUNCTION("""COMPUTED_VALUE"""),80.09)</f>
        <v/>
      </c>
      <c r="F99" s="141">
        <f>IFERROR(__xludf.DUMMYFUNCTION("""COMPUTED_VALUE"""),80.33)</f>
        <v/>
      </c>
      <c r="G99" s="143">
        <f>IFERROR(__xludf.DUMMYFUNCTION("""COMPUTED_VALUE"""),47233856)</f>
        <v/>
      </c>
      <c r="H99" s="27" t="n"/>
    </row>
    <row r="100" ht="17.25" customHeight="1" s="322">
      <c r="A100" s="27" t="n"/>
      <c r="B100" s="506">
        <f>IFERROR(__xludf.DUMMYFUNCTION("""COMPUTED_VALUE"""),45971.6666666666)</f>
        <v/>
      </c>
      <c r="C100" s="141">
        <f>IFERROR(__xludf.DUMMYFUNCTION("""COMPUTED_VALUE"""),80.45)</f>
        <v/>
      </c>
      <c r="D100" s="141">
        <f>IFERROR(__xludf.DUMMYFUNCTION("""COMPUTED_VALUE"""),80.65)</f>
        <v/>
      </c>
      <c r="E100" s="141">
        <f>IFERROR(__xludf.DUMMYFUNCTION("""COMPUTED_VALUE"""),80.43)</f>
        <v/>
      </c>
      <c r="F100" s="141">
        <f>IFERROR(__xludf.DUMMYFUNCTION("""COMPUTED_VALUE"""),80.6)</f>
        <v/>
      </c>
      <c r="G100" s="143">
        <f>IFERROR(__xludf.DUMMYFUNCTION("""COMPUTED_VALUE"""),51875501)</f>
        <v/>
      </c>
      <c r="H100" s="27" t="n"/>
    </row>
    <row r="101" ht="17.25" customHeight="1" s="322">
      <c r="A101" s="27" t="n"/>
      <c r="B101" s="506">
        <f>IFERROR(__xludf.DUMMYFUNCTION("""COMPUTED_VALUE"""),45972.6666666666)</f>
        <v/>
      </c>
      <c r="C101" s="141">
        <f>IFERROR(__xludf.DUMMYFUNCTION("""COMPUTED_VALUE"""),80.61)</f>
        <v/>
      </c>
      <c r="D101" s="141">
        <f>IFERROR(__xludf.DUMMYFUNCTION("""COMPUTED_VALUE"""),80.73)</f>
        <v/>
      </c>
      <c r="E101" s="141">
        <f>IFERROR(__xludf.DUMMYFUNCTION("""COMPUTED_VALUE"""),80.61)</f>
        <v/>
      </c>
      <c r="F101" s="141">
        <f>IFERROR(__xludf.DUMMYFUNCTION("""COMPUTED_VALUE"""),80.69)</f>
        <v/>
      </c>
      <c r="G101" s="143">
        <f>IFERROR(__xludf.DUMMYFUNCTION("""COMPUTED_VALUE"""),17001486)</f>
        <v/>
      </c>
      <c r="H101" s="27" t="n"/>
    </row>
    <row r="102" ht="17.25" customHeight="1" s="322">
      <c r="A102" s="27" t="n"/>
      <c r="B102" s="506">
        <f>IFERROR(__xludf.DUMMYFUNCTION("""COMPUTED_VALUE"""),45973.6666666666)</f>
        <v/>
      </c>
      <c r="C102" s="141">
        <f>IFERROR(__xludf.DUMMYFUNCTION("""COMPUTED_VALUE"""),80.69)</f>
        <v/>
      </c>
      <c r="D102" s="141">
        <f>IFERROR(__xludf.DUMMYFUNCTION("""COMPUTED_VALUE"""),80.7)</f>
        <v/>
      </c>
      <c r="E102" s="141">
        <f>IFERROR(__xludf.DUMMYFUNCTION("""COMPUTED_VALUE"""),80.49)</f>
        <v/>
      </c>
      <c r="F102" s="141">
        <f>IFERROR(__xludf.DUMMYFUNCTION("""COMPUTED_VALUE"""),80.53)</f>
        <v/>
      </c>
      <c r="G102" s="143">
        <f>IFERROR(__xludf.DUMMYFUNCTION("""COMPUTED_VALUE"""),43963049)</f>
        <v/>
      </c>
      <c r="H102" s="27" t="n"/>
    </row>
    <row r="103" ht="17.25" customHeight="1" s="322">
      <c r="A103" s="27" t="n"/>
      <c r="B103" s="506">
        <f>IFERROR(__xludf.DUMMYFUNCTION("""COMPUTED_VALUE"""),45974.6666666666)</f>
        <v/>
      </c>
      <c r="C103" s="141">
        <f>IFERROR(__xludf.DUMMYFUNCTION("""COMPUTED_VALUE"""),80.42)</f>
        <v/>
      </c>
      <c r="D103" s="141">
        <f>IFERROR(__xludf.DUMMYFUNCTION("""COMPUTED_VALUE"""),80.42)</f>
        <v/>
      </c>
      <c r="E103" s="141">
        <f>IFERROR(__xludf.DUMMYFUNCTION("""COMPUTED_VALUE"""),80.15)</f>
        <v/>
      </c>
      <c r="F103" s="141">
        <f>IFERROR(__xludf.DUMMYFUNCTION("""COMPUTED_VALUE"""),80.2)</f>
        <v/>
      </c>
      <c r="G103" s="143">
        <f>IFERROR(__xludf.DUMMYFUNCTION("""COMPUTED_VALUE"""),53631282)</f>
        <v/>
      </c>
      <c r="H103" s="27" t="n"/>
    </row>
    <row r="104" ht="17.25" customHeight="1" s="322">
      <c r="A104" s="27" t="n"/>
      <c r="B104" s="506">
        <f>IFERROR(__xludf.DUMMYFUNCTION("""COMPUTED_VALUE"""),45975.6666666666)</f>
        <v/>
      </c>
      <c r="C104" s="141">
        <f>IFERROR(__xludf.DUMMYFUNCTION("""COMPUTED_VALUE"""),80.08)</f>
        <v/>
      </c>
      <c r="D104" s="141">
        <f>IFERROR(__xludf.DUMMYFUNCTION("""COMPUTED_VALUE"""),80.4)</f>
        <v/>
      </c>
      <c r="E104" s="141">
        <f>IFERROR(__xludf.DUMMYFUNCTION("""COMPUTED_VALUE"""),80.08)</f>
        <v/>
      </c>
      <c r="F104" s="141">
        <f>IFERROR(__xludf.DUMMYFUNCTION("""COMPUTED_VALUE"""),80.22)</f>
        <v/>
      </c>
      <c r="G104" s="143">
        <f>IFERROR(__xludf.DUMMYFUNCTION("""COMPUTED_VALUE"""),40853458)</f>
        <v/>
      </c>
      <c r="H104" s="27" t="n"/>
    </row>
    <row r="105" ht="17.25" customHeight="1" s="322">
      <c r="A105" s="27" t="n"/>
      <c r="B105" s="506">
        <f>IFERROR(__xludf.DUMMYFUNCTION("""COMPUTED_VALUE"""),45978.6666666666)</f>
        <v/>
      </c>
      <c r="C105" s="141">
        <f>IFERROR(__xludf.DUMMYFUNCTION("""COMPUTED_VALUE"""),80.19)</f>
        <v/>
      </c>
      <c r="D105" s="141">
        <f>IFERROR(__xludf.DUMMYFUNCTION("""COMPUTED_VALUE"""),80.27)</f>
        <v/>
      </c>
      <c r="E105" s="141">
        <f>IFERROR(__xludf.DUMMYFUNCTION("""COMPUTED_VALUE"""),80.04)</f>
        <v/>
      </c>
      <c r="F105" s="141">
        <f>IFERROR(__xludf.DUMMYFUNCTION("""COMPUTED_VALUE"""),80.09)</f>
        <v/>
      </c>
      <c r="G105" s="143">
        <f>IFERROR(__xludf.DUMMYFUNCTION("""COMPUTED_VALUE"""),42954243)</f>
        <v/>
      </c>
      <c r="H105" s="27" t="n"/>
    </row>
    <row r="106" ht="17.25" customHeight="1" s="322">
      <c r="A106" s="27" t="n"/>
      <c r="B106" s="506">
        <f>IFERROR(__xludf.DUMMYFUNCTION("""COMPUTED_VALUE"""),45979.6666666666)</f>
        <v/>
      </c>
      <c r="C106" s="141">
        <f>IFERROR(__xludf.DUMMYFUNCTION("""COMPUTED_VALUE"""),80.02)</f>
        <v/>
      </c>
      <c r="D106" s="141">
        <f>IFERROR(__xludf.DUMMYFUNCTION("""COMPUTED_VALUE"""),80.19)</f>
        <v/>
      </c>
      <c r="E106" s="141">
        <f>IFERROR(__xludf.DUMMYFUNCTION("""COMPUTED_VALUE"""),79.99)</f>
        <v/>
      </c>
      <c r="F106" s="141">
        <f>IFERROR(__xludf.DUMMYFUNCTION("""COMPUTED_VALUE"""),80.11)</f>
        <v/>
      </c>
      <c r="G106" s="143">
        <f>IFERROR(__xludf.DUMMYFUNCTION("""COMPUTED_VALUE"""),44098862)</f>
        <v/>
      </c>
      <c r="H106" s="27" t="n"/>
    </row>
    <row r="107" ht="17.25" customHeight="1" s="322">
      <c r="A107" s="27" t="n"/>
      <c r="B107" s="506">
        <f>IFERROR(__xludf.DUMMYFUNCTION("""COMPUTED_VALUE"""),45980.6666666666)</f>
        <v/>
      </c>
      <c r="C107" s="141">
        <f>IFERROR(__xludf.DUMMYFUNCTION("""COMPUTED_VALUE"""),80.14)</f>
        <v/>
      </c>
      <c r="D107" s="141">
        <f>IFERROR(__xludf.DUMMYFUNCTION("""COMPUTED_VALUE"""),80.3)</f>
        <v/>
      </c>
      <c r="E107" s="141">
        <f>IFERROR(__xludf.DUMMYFUNCTION("""COMPUTED_VALUE"""),80.09)</f>
        <v/>
      </c>
      <c r="F107" s="141">
        <f>IFERROR(__xludf.DUMMYFUNCTION("""COMPUTED_VALUE"""),80.15)</f>
        <v/>
      </c>
      <c r="G107" s="143">
        <f>IFERROR(__xludf.DUMMYFUNCTION("""COMPUTED_VALUE"""),33510527)</f>
        <v/>
      </c>
      <c r="H107" s="27" t="n"/>
    </row>
    <row r="108" ht="17.25" customHeight="1" s="322">
      <c r="A108" s="27" t="n"/>
      <c r="B108" s="506">
        <f>IFERROR(__xludf.DUMMYFUNCTION("""COMPUTED_VALUE"""),45981.6666666666)</f>
        <v/>
      </c>
      <c r="C108" s="141">
        <f>IFERROR(__xludf.DUMMYFUNCTION("""COMPUTED_VALUE"""),80.41)</f>
        <v/>
      </c>
      <c r="D108" s="141">
        <f>IFERROR(__xludf.DUMMYFUNCTION("""COMPUTED_VALUE"""),80.49)</f>
        <v/>
      </c>
      <c r="E108" s="141">
        <f>IFERROR(__xludf.DUMMYFUNCTION("""COMPUTED_VALUE"""),80.1)</f>
        <v/>
      </c>
      <c r="F108" s="141">
        <f>IFERROR(__xludf.DUMMYFUNCTION("""COMPUTED_VALUE"""),80.1)</f>
        <v/>
      </c>
      <c r="G108" s="143">
        <f>IFERROR(__xludf.DUMMYFUNCTION("""COMPUTED_VALUE"""),65471162)</f>
        <v/>
      </c>
      <c r="H108" s="27" t="n"/>
    </row>
    <row r="109" ht="17.25" customHeight="1" s="322">
      <c r="A109" s="27" t="n"/>
      <c r="B109" s="506">
        <f>IFERROR(__xludf.DUMMYFUNCTION("""COMPUTED_VALUE"""),45982.6666666666)</f>
        <v/>
      </c>
      <c r="C109" s="141">
        <f>IFERROR(__xludf.DUMMYFUNCTION("""COMPUTED_VALUE"""),80.26)</f>
        <v/>
      </c>
      <c r="D109" s="141">
        <f>IFERROR(__xludf.DUMMYFUNCTION("""COMPUTED_VALUE"""),80.41)</f>
        <v/>
      </c>
      <c r="E109" s="141">
        <f>IFERROR(__xludf.DUMMYFUNCTION("""COMPUTED_VALUE"""),80.13)</f>
        <v/>
      </c>
      <c r="F109" s="141">
        <f>IFERROR(__xludf.DUMMYFUNCTION("""COMPUTED_VALUE"""),80.37)</f>
        <v/>
      </c>
      <c r="G109" s="143">
        <f>IFERROR(__xludf.DUMMYFUNCTION("""COMPUTED_VALUE"""),62331715)</f>
        <v/>
      </c>
      <c r="H109" s="27" t="n"/>
    </row>
    <row r="110" ht="17.25" customHeight="1" s="322">
      <c r="A110" s="27" t="n"/>
      <c r="B110" s="506">
        <f>IFERROR(__xludf.DUMMYFUNCTION("""COMPUTED_VALUE"""),45985.6666666666)</f>
        <v/>
      </c>
      <c r="C110" s="141">
        <f>IFERROR(__xludf.DUMMYFUNCTION("""COMPUTED_VALUE"""),80.42)</f>
        <v/>
      </c>
      <c r="D110" s="141">
        <f>IFERROR(__xludf.DUMMYFUNCTION("""COMPUTED_VALUE"""),80.6)</f>
        <v/>
      </c>
      <c r="E110" s="141">
        <f>IFERROR(__xludf.DUMMYFUNCTION("""COMPUTED_VALUE"""),80.4)</f>
        <v/>
      </c>
      <c r="F110" s="141">
        <f>IFERROR(__xludf.DUMMYFUNCTION("""COMPUTED_VALUE"""),80.59)</f>
        <v/>
      </c>
      <c r="G110" s="143">
        <f>IFERROR(__xludf.DUMMYFUNCTION("""COMPUTED_VALUE"""),38965019)</f>
        <v/>
      </c>
      <c r="H110" s="27" t="n"/>
    </row>
    <row r="111" ht="17.25" customHeight="1" s="322">
      <c r="A111" s="27" t="n"/>
      <c r="B111" s="506">
        <f>IFERROR(__xludf.DUMMYFUNCTION("""COMPUTED_VALUE"""),45986.6666666666)</f>
        <v/>
      </c>
      <c r="C111" s="141">
        <f>IFERROR(__xludf.DUMMYFUNCTION("""COMPUTED_VALUE"""),80.57)</f>
        <v/>
      </c>
      <c r="D111" s="141">
        <f>IFERROR(__xludf.DUMMYFUNCTION("""COMPUTED_VALUE"""),80.9)</f>
        <v/>
      </c>
      <c r="E111" s="141">
        <f>IFERROR(__xludf.DUMMYFUNCTION("""COMPUTED_VALUE"""),80.54)</f>
        <v/>
      </c>
      <c r="F111" s="141">
        <f>IFERROR(__xludf.DUMMYFUNCTION("""COMPUTED_VALUE"""),80.87)</f>
        <v/>
      </c>
      <c r="G111" s="143">
        <f>IFERROR(__xludf.DUMMYFUNCTION("""COMPUTED_VALUE"""),56525065)</f>
        <v/>
      </c>
      <c r="H111" s="27" t="n"/>
    </row>
    <row r="112" ht="17.25" customHeight="1" s="322">
      <c r="A112" s="27" t="n"/>
      <c r="B112" s="506">
        <f>IFERROR(__xludf.DUMMYFUNCTION("""COMPUTED_VALUE"""),45987.6666666666)</f>
        <v/>
      </c>
      <c r="C112" s="141">
        <f>IFERROR(__xludf.DUMMYFUNCTION("""COMPUTED_VALUE"""),80.83)</f>
        <v/>
      </c>
      <c r="D112" s="141">
        <f>IFERROR(__xludf.DUMMYFUNCTION("""COMPUTED_VALUE"""),80.98)</f>
        <v/>
      </c>
      <c r="E112" s="141">
        <f>IFERROR(__xludf.DUMMYFUNCTION("""COMPUTED_VALUE"""),80.79)</f>
        <v/>
      </c>
      <c r="F112" s="141">
        <f>IFERROR(__xludf.DUMMYFUNCTION("""COMPUTED_VALUE"""),80.95)</f>
        <v/>
      </c>
      <c r="G112" s="143">
        <f>IFERROR(__xludf.DUMMYFUNCTION("""COMPUTED_VALUE"""),27454958)</f>
        <v/>
      </c>
      <c r="H112" s="27" t="n"/>
    </row>
    <row r="113" ht="17.25" customHeight="1" s="322">
      <c r="A113" s="27" t="n"/>
      <c r="B113" s="506">
        <f>IFERROR(__xludf.DUMMYFUNCTION("""COMPUTED_VALUE"""),45989.5520833333)</f>
        <v/>
      </c>
      <c r="C113" s="141">
        <f>IFERROR(__xludf.DUMMYFUNCTION("""COMPUTED_VALUE"""),80.99)</f>
        <v/>
      </c>
      <c r="D113" s="141">
        <f>IFERROR(__xludf.DUMMYFUNCTION("""COMPUTED_VALUE"""),81.07)</f>
        <v/>
      </c>
      <c r="E113" s="141">
        <f>IFERROR(__xludf.DUMMYFUNCTION("""COMPUTED_VALUE"""),80.94)</f>
        <v/>
      </c>
      <c r="F113" s="141">
        <f>IFERROR(__xludf.DUMMYFUNCTION("""COMPUTED_VALUE"""),80.99)</f>
        <v/>
      </c>
      <c r="G113" s="143">
        <f>IFERROR(__xludf.DUMMYFUNCTION("""COMPUTED_VALUE"""),29430777)</f>
        <v/>
      </c>
      <c r="H113" s="27" t="n"/>
    </row>
    <row r="114" ht="17.25" customHeight="1" s="322">
      <c r="A114" s="27" t="n"/>
      <c r="B114" s="506">
        <f>IFERROR(__xludf.DUMMYFUNCTION("""COMPUTED_VALUE"""),45992.6666666666)</f>
        <v/>
      </c>
      <c r="C114" s="141">
        <f>IFERROR(__xludf.DUMMYFUNCTION("""COMPUTED_VALUE"""),80.4)</f>
        <v/>
      </c>
      <c r="D114" s="141">
        <f>IFERROR(__xludf.DUMMYFUNCTION("""COMPUTED_VALUE"""),80.54)</f>
        <v/>
      </c>
      <c r="E114" s="141">
        <f>IFERROR(__xludf.DUMMYFUNCTION("""COMPUTED_VALUE"""),80.38)</f>
        <v/>
      </c>
      <c r="F114" s="141">
        <f>IFERROR(__xludf.DUMMYFUNCTION("""COMPUTED_VALUE"""),80.47)</f>
        <v/>
      </c>
      <c r="G114" s="143">
        <f>IFERROR(__xludf.DUMMYFUNCTION("""COMPUTED_VALUE"""),45274945)</f>
        <v/>
      </c>
      <c r="H114" s="27" t="n"/>
    </row>
    <row r="115" ht="17.25" customHeight="1" s="322">
      <c r="A115" s="27" t="n"/>
      <c r="B115" s="506">
        <f>IFERROR(__xludf.DUMMYFUNCTION("""COMPUTED_VALUE"""),45993.6666666666)</f>
        <v/>
      </c>
      <c r="C115" s="141">
        <f>IFERROR(__xludf.DUMMYFUNCTION("""COMPUTED_VALUE"""),80.54)</f>
        <v/>
      </c>
      <c r="D115" s="141">
        <f>IFERROR(__xludf.DUMMYFUNCTION("""COMPUTED_VALUE"""),80.64)</f>
        <v/>
      </c>
      <c r="E115" s="141">
        <f>IFERROR(__xludf.DUMMYFUNCTION("""COMPUTED_VALUE"""),80.47)</f>
        <v/>
      </c>
      <c r="F115" s="141">
        <f>IFERROR(__xludf.DUMMYFUNCTION("""COMPUTED_VALUE"""),80.62)</f>
        <v/>
      </c>
      <c r="G115" s="143">
        <f>IFERROR(__xludf.DUMMYFUNCTION("""COMPUTED_VALUE"""),38842599)</f>
        <v/>
      </c>
      <c r="H115" s="27" t="n"/>
    </row>
    <row r="116" ht="17.25" customHeight="1" s="322">
      <c r="A116" s="27" t="n"/>
      <c r="B116" s="506">
        <f>IFERROR(__xludf.DUMMYFUNCTION("""COMPUTED_VALUE"""),45994.6666666666)</f>
        <v/>
      </c>
      <c r="C116" s="141">
        <f>IFERROR(__xludf.DUMMYFUNCTION("""COMPUTED_VALUE"""),80.61)</f>
        <v/>
      </c>
      <c r="D116" s="141">
        <f>IFERROR(__xludf.DUMMYFUNCTION("""COMPUTED_VALUE"""),80.79)</f>
        <v/>
      </c>
      <c r="E116" s="141">
        <f>IFERROR(__xludf.DUMMYFUNCTION("""COMPUTED_VALUE"""),80.57)</f>
        <v/>
      </c>
      <c r="F116" s="141">
        <f>IFERROR(__xludf.DUMMYFUNCTION("""COMPUTED_VALUE"""),80.69)</f>
        <v/>
      </c>
      <c r="G116" s="143">
        <f>IFERROR(__xludf.DUMMYFUNCTION("""COMPUTED_VALUE"""),35019075)</f>
        <v/>
      </c>
      <c r="H116" s="27" t="n"/>
    </row>
    <row r="117" ht="17.25" customHeight="1" s="322">
      <c r="A117" s="27" t="n"/>
      <c r="B117" s="506">
        <f>IFERROR(__xludf.DUMMYFUNCTION("""COMPUTED_VALUE"""),45995.6666666666)</f>
        <v/>
      </c>
      <c r="C117" s="141">
        <f>IFERROR(__xludf.DUMMYFUNCTION("""COMPUTED_VALUE"""),80.7)</f>
        <v/>
      </c>
      <c r="D117" s="141">
        <f>IFERROR(__xludf.DUMMYFUNCTION("""COMPUTED_VALUE"""),80.77)</f>
        <v/>
      </c>
      <c r="E117" s="141">
        <f>IFERROR(__xludf.DUMMYFUNCTION("""COMPUTED_VALUE"""),80.57)</f>
        <v/>
      </c>
      <c r="F117" s="141">
        <f>IFERROR(__xludf.DUMMYFUNCTION("""COMPUTED_VALUE"""),80.75)</f>
        <v/>
      </c>
      <c r="G117" s="143">
        <f>IFERROR(__xludf.DUMMYFUNCTION("""COMPUTED_VALUE"""),34777386)</f>
        <v/>
      </c>
      <c r="H117" s="27" t="n"/>
    </row>
    <row r="118" ht="17.25" customHeight="1" s="322">
      <c r="A118" s="27" t="n"/>
      <c r="B118" s="506">
        <f>IFERROR(__xludf.DUMMYFUNCTION("""COMPUTED_VALUE"""),45996.6666666666)</f>
        <v/>
      </c>
      <c r="C118" s="141">
        <f>IFERROR(__xludf.DUMMYFUNCTION("""COMPUTED_VALUE"""),80.73)</f>
        <v/>
      </c>
      <c r="D118" s="141">
        <f>IFERROR(__xludf.DUMMYFUNCTION("""COMPUTED_VALUE"""),80.81)</f>
        <v/>
      </c>
      <c r="E118" s="141">
        <f>IFERROR(__xludf.DUMMYFUNCTION("""COMPUTED_VALUE"""),80.67)</f>
        <v/>
      </c>
      <c r="F118" s="141">
        <f>IFERROR(__xludf.DUMMYFUNCTION("""COMPUTED_VALUE"""),80.75)</f>
        <v/>
      </c>
      <c r="G118" s="143">
        <f>IFERROR(__xludf.DUMMYFUNCTION("""COMPUTED_VALUE"""),30486777)</f>
        <v/>
      </c>
      <c r="H118" s="27" t="n"/>
    </row>
    <row r="119" ht="17.25" customHeight="1" s="322">
      <c r="A119" s="27" t="n"/>
      <c r="B119" s="506">
        <f>IFERROR(__xludf.DUMMYFUNCTION("""COMPUTED_VALUE"""),45999.6666666666)</f>
        <v/>
      </c>
      <c r="C119" s="141">
        <f>IFERROR(__xludf.DUMMYFUNCTION("""COMPUTED_VALUE"""),80.72)</f>
        <v/>
      </c>
      <c r="D119" s="141">
        <f>IFERROR(__xludf.DUMMYFUNCTION("""COMPUTED_VALUE"""),80.74)</f>
        <v/>
      </c>
      <c r="E119" s="141">
        <f>IFERROR(__xludf.DUMMYFUNCTION("""COMPUTED_VALUE"""),80.49)</f>
        <v/>
      </c>
      <c r="F119" s="141">
        <f>IFERROR(__xludf.DUMMYFUNCTION("""COMPUTED_VALUE"""),80.55)</f>
        <v/>
      </c>
      <c r="G119" s="143">
        <f>IFERROR(__xludf.DUMMYFUNCTION("""COMPUTED_VALUE"""),43160808)</f>
        <v/>
      </c>
      <c r="H119" s="27" t="n"/>
    </row>
    <row r="120" ht="17.25" customHeight="1" s="322">
      <c r="A120" s="27" t="n"/>
      <c r="B120" s="506">
        <f>IFERROR(__xludf.DUMMYFUNCTION("""COMPUTED_VALUE"""),46000.6666666666)</f>
        <v/>
      </c>
      <c r="C120" s="141">
        <f>IFERROR(__xludf.DUMMYFUNCTION("""COMPUTED_VALUE"""),80.55)</f>
        <v/>
      </c>
      <c r="D120" s="141">
        <f>IFERROR(__xludf.DUMMYFUNCTION("""COMPUTED_VALUE"""),80.61)</f>
        <v/>
      </c>
      <c r="E120" s="141">
        <f>IFERROR(__xludf.DUMMYFUNCTION("""COMPUTED_VALUE"""),80.44)</f>
        <v/>
      </c>
      <c r="F120" s="141">
        <f>IFERROR(__xludf.DUMMYFUNCTION("""COMPUTED_VALUE"""),80.46)</f>
        <v/>
      </c>
      <c r="G120" s="143">
        <f>IFERROR(__xludf.DUMMYFUNCTION("""COMPUTED_VALUE"""),30558830)</f>
        <v/>
      </c>
      <c r="H120" s="27" t="n"/>
    </row>
    <row r="121" ht="17.25" customHeight="1" s="322">
      <c r="A121" s="27" t="n"/>
      <c r="B121" s="506">
        <f>IFERROR(__xludf.DUMMYFUNCTION("""COMPUTED_VALUE"""),46001.6666666666)</f>
        <v/>
      </c>
      <c r="C121" s="141">
        <f>IFERROR(__xludf.DUMMYFUNCTION("""COMPUTED_VALUE"""),80.43)</f>
        <v/>
      </c>
      <c r="D121" s="141">
        <f>IFERROR(__xludf.DUMMYFUNCTION("""COMPUTED_VALUE"""),80.79)</f>
        <v/>
      </c>
      <c r="E121" s="141">
        <f>IFERROR(__xludf.DUMMYFUNCTION("""COMPUTED_VALUE"""),80.42)</f>
        <v/>
      </c>
      <c r="F121" s="141">
        <f>IFERROR(__xludf.DUMMYFUNCTION("""COMPUTED_VALUE"""),80.73)</f>
        <v/>
      </c>
      <c r="G121" s="143">
        <f>IFERROR(__xludf.DUMMYFUNCTION("""COMPUTED_VALUE"""),53052238)</f>
        <v/>
      </c>
      <c r="H121" s="27" t="n"/>
    </row>
    <row r="122" ht="17.25" customHeight="1" s="322">
      <c r="A122" s="27" t="n"/>
      <c r="B122" s="506">
        <f>IFERROR(__xludf.DUMMYFUNCTION("""COMPUTED_VALUE"""),46002.6666666666)</f>
        <v/>
      </c>
      <c r="C122" s="141">
        <f>IFERROR(__xludf.DUMMYFUNCTION("""COMPUTED_VALUE"""),80.74)</f>
        <v/>
      </c>
      <c r="D122" s="141">
        <f>IFERROR(__xludf.DUMMYFUNCTION("""COMPUTED_VALUE"""),80.76)</f>
        <v/>
      </c>
      <c r="E122" s="141">
        <f>IFERROR(__xludf.DUMMYFUNCTION("""COMPUTED_VALUE"""),80.66)</f>
        <v/>
      </c>
      <c r="F122" s="141">
        <f>IFERROR(__xludf.DUMMYFUNCTION("""COMPUTED_VALUE"""),80.72)</f>
        <v/>
      </c>
      <c r="G122" s="143">
        <f>IFERROR(__xludf.DUMMYFUNCTION("""COMPUTED_VALUE"""),44546381)</f>
        <v/>
      </c>
      <c r="H122" s="27" t="n"/>
    </row>
    <row r="123" ht="17.25" customHeight="1" s="322">
      <c r="A123" s="27" t="n"/>
      <c r="B123" s="506">
        <f>IFERROR(__xludf.DUMMYFUNCTION("""COMPUTED_VALUE"""),46003.6666666666)</f>
        <v/>
      </c>
      <c r="C123" s="141">
        <f>IFERROR(__xludf.DUMMYFUNCTION("""COMPUTED_VALUE"""),80.69)</f>
        <v/>
      </c>
      <c r="D123" s="141">
        <f>IFERROR(__xludf.DUMMYFUNCTION("""COMPUTED_VALUE"""),80.71)</f>
        <v/>
      </c>
      <c r="E123" s="141">
        <f>IFERROR(__xludf.DUMMYFUNCTION("""COMPUTED_VALUE"""),80.53)</f>
        <v/>
      </c>
      <c r="F123" s="141">
        <f>IFERROR(__xludf.DUMMYFUNCTION("""COMPUTED_VALUE"""),80.57)</f>
        <v/>
      </c>
      <c r="G123" s="143">
        <f>IFERROR(__xludf.DUMMYFUNCTION("""COMPUTED_VALUE"""),45566142)</f>
        <v/>
      </c>
      <c r="H123" s="27" t="n"/>
    </row>
    <row r="124" ht="17.25" customHeight="1" s="322">
      <c r="A124" s="27" t="n"/>
      <c r="B124" s="506">
        <f>IFERROR(__xludf.DUMMYFUNCTION("""COMPUTED_VALUE"""),46006.6666666666)</f>
        <v/>
      </c>
      <c r="C124" s="141">
        <f>IFERROR(__xludf.DUMMYFUNCTION("""COMPUTED_VALUE"""),80.67)</f>
        <v/>
      </c>
      <c r="D124" s="141">
        <f>IFERROR(__xludf.DUMMYFUNCTION("""COMPUTED_VALUE"""),80.7)</f>
        <v/>
      </c>
      <c r="E124" s="141">
        <f>IFERROR(__xludf.DUMMYFUNCTION("""COMPUTED_VALUE"""),80.57)</f>
        <v/>
      </c>
      <c r="F124" s="141">
        <f>IFERROR(__xludf.DUMMYFUNCTION("""COMPUTED_VALUE"""),80.61)</f>
        <v/>
      </c>
      <c r="G124" s="143">
        <f>IFERROR(__xludf.DUMMYFUNCTION("""COMPUTED_VALUE"""),28983574)</f>
        <v/>
      </c>
      <c r="H124" s="27" t="n"/>
    </row>
    <row r="125" ht="17.25" customHeight="1" s="322">
      <c r="A125" s="27" t="n"/>
      <c r="B125" s="506">
        <f>IFERROR(__xludf.DUMMYFUNCTION("""COMPUTED_VALUE"""),46007.6666666666)</f>
        <v/>
      </c>
      <c r="C125" s="141">
        <f>IFERROR(__xludf.DUMMYFUNCTION("""COMPUTED_VALUE"""),80.61)</f>
        <v/>
      </c>
      <c r="D125" s="141">
        <f>IFERROR(__xludf.DUMMYFUNCTION("""COMPUTED_VALUE"""),80.67)</f>
        <v/>
      </c>
      <c r="E125" s="141">
        <f>IFERROR(__xludf.DUMMYFUNCTION("""COMPUTED_VALUE"""),80.56)</f>
        <v/>
      </c>
      <c r="F125" s="141">
        <f>IFERROR(__xludf.DUMMYFUNCTION("""COMPUTED_VALUE"""),80.66)</f>
        <v/>
      </c>
      <c r="G125" s="143">
        <f>IFERROR(__xludf.DUMMYFUNCTION("""COMPUTED_VALUE"""),27908039)</f>
        <v/>
      </c>
      <c r="H125" s="27" t="n"/>
    </row>
    <row r="126" ht="17.25" customHeight="1" s="322">
      <c r="A126" s="27" t="n"/>
      <c r="B126" s="506">
        <f>IFERROR(__xludf.DUMMYFUNCTION("""COMPUTED_VALUE"""),46008.6666666666)</f>
        <v/>
      </c>
      <c r="C126" s="141">
        <f>IFERROR(__xludf.DUMMYFUNCTION("""COMPUTED_VALUE"""),80.65)</f>
        <v/>
      </c>
      <c r="D126" s="141">
        <f>IFERROR(__xludf.DUMMYFUNCTION("""COMPUTED_VALUE"""),80.67)</f>
        <v/>
      </c>
      <c r="E126" s="141">
        <f>IFERROR(__xludf.DUMMYFUNCTION("""COMPUTED_VALUE"""),80.51)</f>
        <v/>
      </c>
      <c r="F126" s="141">
        <f>IFERROR(__xludf.DUMMYFUNCTION("""COMPUTED_VALUE"""),80.56)</f>
        <v/>
      </c>
      <c r="G126" s="143">
        <f>IFERROR(__xludf.DUMMYFUNCTION("""COMPUTED_VALUE"""),36999671)</f>
        <v/>
      </c>
      <c r="H126" s="27" t="n"/>
    </row>
    <row r="127" ht="17.25" customHeight="1" s="322">
      <c r="A127" s="27" t="n"/>
      <c r="B127" s="506">
        <f>IFERROR(__xludf.DUMMYFUNCTION("""COMPUTED_VALUE"""),46009.6666666666)</f>
        <v/>
      </c>
      <c r="C127" s="141">
        <f>IFERROR(__xludf.DUMMYFUNCTION("""COMPUTED_VALUE"""),80.78)</f>
        <v/>
      </c>
      <c r="D127" s="141">
        <f>IFERROR(__xludf.DUMMYFUNCTION("""COMPUTED_VALUE"""),80.8)</f>
        <v/>
      </c>
      <c r="E127" s="141">
        <f>IFERROR(__xludf.DUMMYFUNCTION("""COMPUTED_VALUE"""),80.67)</f>
        <v/>
      </c>
      <c r="F127" s="141">
        <f>IFERROR(__xludf.DUMMYFUNCTION("""COMPUTED_VALUE"""),80.78)</f>
        <v/>
      </c>
      <c r="G127" s="143">
        <f>IFERROR(__xludf.DUMMYFUNCTION("""COMPUTED_VALUE"""),52680468)</f>
        <v/>
      </c>
      <c r="H127" s="27" t="n"/>
    </row>
    <row r="128" ht="17.25" customHeight="1" s="322">
      <c r="A128" s="27" t="n"/>
      <c r="B128" s="506">
        <f>IFERROR(__xludf.DUMMYFUNCTION("""COMPUTED_VALUE"""),46010.6666666666)</f>
        <v/>
      </c>
      <c r="C128" s="141">
        <f>IFERROR(__xludf.DUMMYFUNCTION("""COMPUTED_VALUE"""),80.43)</f>
        <v/>
      </c>
      <c r="D128" s="141">
        <f>IFERROR(__xludf.DUMMYFUNCTION("""COMPUTED_VALUE"""),80.47)</f>
        <v/>
      </c>
      <c r="E128" s="141">
        <f>IFERROR(__xludf.DUMMYFUNCTION("""COMPUTED_VALUE"""),80.33)</f>
        <v/>
      </c>
      <c r="F128" s="141">
        <f>IFERROR(__xludf.DUMMYFUNCTION("""COMPUTED_VALUE"""),80.36)</f>
        <v/>
      </c>
      <c r="G128" s="143">
        <f>IFERROR(__xludf.DUMMYFUNCTION("""COMPUTED_VALUE"""),34413339)</f>
        <v/>
      </c>
      <c r="H128" s="27" t="n"/>
    </row>
    <row r="129" ht="17.25" customHeight="1" s="322">
      <c r="A129" s="27" t="n"/>
      <c r="B129" s="506">
        <f>IFERROR(__xludf.DUMMYFUNCTION("""COMPUTED_VALUE"""),46013.6666666666)</f>
        <v/>
      </c>
      <c r="C129" s="141">
        <f>IFERROR(__xludf.DUMMYFUNCTION("""COMPUTED_VALUE"""),80.46)</f>
        <v/>
      </c>
      <c r="D129" s="141">
        <f>IFERROR(__xludf.DUMMYFUNCTION("""COMPUTED_VALUE"""),80.46)</f>
        <v/>
      </c>
      <c r="E129" s="141">
        <f>IFERROR(__xludf.DUMMYFUNCTION("""COMPUTED_VALUE"""),80.29)</f>
        <v/>
      </c>
      <c r="F129" s="141">
        <f>IFERROR(__xludf.DUMMYFUNCTION("""COMPUTED_VALUE"""),80.43)</f>
        <v/>
      </c>
      <c r="G129" s="143">
        <f>IFERROR(__xludf.DUMMYFUNCTION("""COMPUTED_VALUE"""),37203854)</f>
        <v/>
      </c>
      <c r="H129" s="27" t="n"/>
    </row>
    <row r="130" ht="17.25" customHeight="1" s="322">
      <c r="A130" s="27" t="n"/>
      <c r="B130" s="506">
        <f>IFERROR(__xludf.DUMMYFUNCTION("""COMPUTED_VALUE"""),46014.6666666666)</f>
        <v/>
      </c>
      <c r="C130" s="141">
        <f>IFERROR(__xludf.DUMMYFUNCTION("""COMPUTED_VALUE"""),80.37)</f>
        <v/>
      </c>
      <c r="D130" s="141">
        <f>IFERROR(__xludf.DUMMYFUNCTION("""COMPUTED_VALUE"""),80.49)</f>
        <v/>
      </c>
      <c r="E130" s="141">
        <f>IFERROR(__xludf.DUMMYFUNCTION("""COMPUTED_VALUE"""),80.35)</f>
        <v/>
      </c>
      <c r="F130" s="141">
        <f>IFERROR(__xludf.DUMMYFUNCTION("""COMPUTED_VALUE"""),80.49)</f>
        <v/>
      </c>
      <c r="G130" s="143">
        <f>IFERROR(__xludf.DUMMYFUNCTION("""COMPUTED_VALUE"""),24341795)</f>
        <v/>
      </c>
      <c r="H130" s="27" t="n"/>
    </row>
    <row r="131" ht="17.25" customHeight="1" s="322">
      <c r="A131" s="27" t="n"/>
      <c r="B131" s="506">
        <f>IFERROR(__xludf.DUMMYFUNCTION("""COMPUTED_VALUE"""),46015.5416666666)</f>
        <v/>
      </c>
      <c r="C131" s="141">
        <f>IFERROR(__xludf.DUMMYFUNCTION("""COMPUTED_VALUE"""),80.51)</f>
        <v/>
      </c>
      <c r="D131" s="141">
        <f>IFERROR(__xludf.DUMMYFUNCTION("""COMPUTED_VALUE"""),80.64)</f>
        <v/>
      </c>
      <c r="E131" s="141">
        <f>IFERROR(__xludf.DUMMYFUNCTION("""COMPUTED_VALUE"""),80.47)</f>
        <v/>
      </c>
      <c r="F131" s="141">
        <f>IFERROR(__xludf.DUMMYFUNCTION("""COMPUTED_VALUE"""),80.64)</f>
        <v/>
      </c>
      <c r="G131" s="143">
        <f>IFERROR(__xludf.DUMMYFUNCTION("""COMPUTED_VALUE"""),10533489)</f>
        <v/>
      </c>
      <c r="H131" s="27" t="n"/>
    </row>
    <row r="132" ht="17.25" customHeight="1" s="322">
      <c r="A132" s="27" t="n"/>
      <c r="B132" s="506">
        <f>IFERROR(__xludf.DUMMYFUNCTION("""COMPUTED_VALUE"""),46017.6666666666)</f>
        <v/>
      </c>
      <c r="C132" s="141">
        <f>IFERROR(__xludf.DUMMYFUNCTION("""COMPUTED_VALUE"""),80.64)</f>
        <v/>
      </c>
      <c r="D132" s="141">
        <f>IFERROR(__xludf.DUMMYFUNCTION("""COMPUTED_VALUE"""),80.7)</f>
        <v/>
      </c>
      <c r="E132" s="141">
        <f>IFERROR(__xludf.DUMMYFUNCTION("""COMPUTED_VALUE"""),80.59)</f>
        <v/>
      </c>
      <c r="F132" s="141">
        <f>IFERROR(__xludf.DUMMYFUNCTION("""COMPUTED_VALUE"""),80.6)</f>
        <v/>
      </c>
      <c r="G132" s="143">
        <f>IFERROR(__xludf.DUMMYFUNCTION("""COMPUTED_VALUE"""),10922908)</f>
        <v/>
      </c>
      <c r="H132" s="27" t="n"/>
    </row>
    <row r="133" ht="17.25" customHeight="1" s="322">
      <c r="A133" s="27" t="n"/>
      <c r="B133" s="506">
        <f>IFERROR(__xludf.DUMMYFUNCTION("""COMPUTED_VALUE"""),46020.6666666666)</f>
        <v/>
      </c>
      <c r="C133" s="141">
        <f>IFERROR(__xludf.DUMMYFUNCTION("""COMPUTED_VALUE"""),80.56)</f>
        <v/>
      </c>
      <c r="D133" s="141">
        <f>IFERROR(__xludf.DUMMYFUNCTION("""COMPUTED_VALUE"""),80.66)</f>
        <v/>
      </c>
      <c r="E133" s="141">
        <f>IFERROR(__xludf.DUMMYFUNCTION("""COMPUTED_VALUE"""),80.55)</f>
        <v/>
      </c>
      <c r="F133" s="141">
        <f>IFERROR(__xludf.DUMMYFUNCTION("""COMPUTED_VALUE"""),80.63)</f>
        <v/>
      </c>
      <c r="G133" s="143">
        <f>IFERROR(__xludf.DUMMYFUNCTION("""COMPUTED_VALUE"""),22012766)</f>
        <v/>
      </c>
      <c r="H133" s="27" t="n"/>
    </row>
    <row r="134" ht="17.25" customHeight="1" s="322">
      <c r="A134" s="27" t="n"/>
      <c r="B134" s="506">
        <f>IFERROR(__xludf.DUMMYFUNCTION("""COMPUTED_VALUE"""),46021.6666666666)</f>
        <v/>
      </c>
      <c r="C134" s="141">
        <f>IFERROR(__xludf.DUMMYFUNCTION("""COMPUTED_VALUE"""),80.64)</f>
        <v/>
      </c>
      <c r="D134" s="141">
        <f>IFERROR(__xludf.DUMMYFUNCTION("""COMPUTED_VALUE"""),80.75)</f>
        <v/>
      </c>
      <c r="E134" s="141">
        <f>IFERROR(__xludf.DUMMYFUNCTION("""COMPUTED_VALUE"""),80.61)</f>
        <v/>
      </c>
      <c r="F134" s="141">
        <f>IFERROR(__xludf.DUMMYFUNCTION("""COMPUTED_VALUE"""),80.71)</f>
        <v/>
      </c>
      <c r="G134" s="143">
        <f>IFERROR(__xludf.DUMMYFUNCTION("""COMPUTED_VALUE"""),20146744)</f>
        <v/>
      </c>
      <c r="H134" s="27" t="n"/>
    </row>
    <row r="135" ht="17.25" customHeight="1" s="322">
      <c r="A135" s="27" t="n"/>
      <c r="B135" s="506">
        <f>IFERROR(__xludf.DUMMYFUNCTION("""COMPUTED_VALUE"""),46022.6666666666)</f>
        <v/>
      </c>
      <c r="C135" s="141">
        <f>IFERROR(__xludf.DUMMYFUNCTION("""COMPUTED_VALUE"""),80.72)</f>
        <v/>
      </c>
      <c r="D135" s="141">
        <f>IFERROR(__xludf.DUMMYFUNCTION("""COMPUTED_VALUE"""),80.75)</f>
        <v/>
      </c>
      <c r="E135" s="141">
        <f>IFERROR(__xludf.DUMMYFUNCTION("""COMPUTED_VALUE"""),80.63)</f>
        <v/>
      </c>
      <c r="F135" s="141">
        <f>IFERROR(__xludf.DUMMYFUNCTION("""COMPUTED_VALUE"""),80.63)</f>
        <v/>
      </c>
      <c r="G135" s="143">
        <f>IFERROR(__xludf.DUMMYFUNCTION("""COMPUTED_VALUE"""),17457063)</f>
        <v/>
      </c>
      <c r="H135" s="27" t="n"/>
    </row>
    <row r="136" ht="17.25" customHeight="1" s="322">
      <c r="A136" s="27" t="n"/>
      <c r="B136" s="506">
        <f>IFERROR(__xludf.DUMMYFUNCTION("""COMPUTED_VALUE"""),46024.6666666666)</f>
        <v/>
      </c>
      <c r="C136" s="141">
        <f>IFERROR(__xludf.DUMMYFUNCTION("""COMPUTED_VALUE"""),80.72)</f>
        <v/>
      </c>
      <c r="D136" s="141">
        <f>IFERROR(__xludf.DUMMYFUNCTION("""COMPUTED_VALUE"""),80.72)</f>
        <v/>
      </c>
      <c r="E136" s="141">
        <f>IFERROR(__xludf.DUMMYFUNCTION("""COMPUTED_VALUE"""),80.59)</f>
        <v/>
      </c>
      <c r="F136" s="141">
        <f>IFERROR(__xludf.DUMMYFUNCTION("""COMPUTED_VALUE"""),80.67)</f>
        <v/>
      </c>
      <c r="G136" s="143">
        <f>IFERROR(__xludf.DUMMYFUNCTION("""COMPUTED_VALUE"""),28403304)</f>
        <v/>
      </c>
      <c r="H136" s="27" t="n"/>
    </row>
    <row r="137" ht="17.25" customHeight="1" s="322">
      <c r="A137" s="27" t="n"/>
      <c r="B137" s="506">
        <f>IFERROR(__xludf.DUMMYFUNCTION("""COMPUTED_VALUE"""),46027.6666666666)</f>
        <v/>
      </c>
      <c r="C137" s="141">
        <f>IFERROR(__xludf.DUMMYFUNCTION("""COMPUTED_VALUE"""),80.74)</f>
        <v/>
      </c>
      <c r="D137" s="141">
        <f>IFERROR(__xludf.DUMMYFUNCTION("""COMPUTED_VALUE"""),80.91)</f>
        <v/>
      </c>
      <c r="E137" s="141">
        <f>IFERROR(__xludf.DUMMYFUNCTION("""COMPUTED_VALUE"""),80.7)</f>
        <v/>
      </c>
      <c r="F137" s="141">
        <f>IFERROR(__xludf.DUMMYFUNCTION("""COMPUTED_VALUE"""),80.88)</f>
        <v/>
      </c>
      <c r="G137" s="143">
        <f>IFERROR(__xludf.DUMMYFUNCTION("""COMPUTED_VALUE"""),38563219)</f>
        <v/>
      </c>
      <c r="H137" s="27" t="n"/>
    </row>
    <row r="138" ht="17.25" customHeight="1" s="322">
      <c r="A138" s="27" t="n"/>
      <c r="B138" s="506">
        <f>IFERROR(__xludf.DUMMYFUNCTION("""COMPUTED_VALUE"""),46028.6666666666)</f>
        <v/>
      </c>
      <c r="C138" s="141">
        <f>IFERROR(__xludf.DUMMYFUNCTION("""COMPUTED_VALUE"""),80.9)</f>
        <v/>
      </c>
      <c r="D138" s="141">
        <f>IFERROR(__xludf.DUMMYFUNCTION("""COMPUTED_VALUE"""),80.94)</f>
        <v/>
      </c>
      <c r="E138" s="141">
        <f>IFERROR(__xludf.DUMMYFUNCTION("""COMPUTED_VALUE"""),80.82)</f>
        <v/>
      </c>
      <c r="F138" s="141">
        <f>IFERROR(__xludf.DUMMYFUNCTION("""COMPUTED_VALUE"""),80.9)</f>
        <v/>
      </c>
      <c r="G138" s="143">
        <f>IFERROR(__xludf.DUMMYFUNCTION("""COMPUTED_VALUE"""),31721461)</f>
        <v/>
      </c>
      <c r="H138" s="27" t="n"/>
    </row>
    <row r="139" ht="17.25" customHeight="1" s="322">
      <c r="A139" s="27" t="n"/>
      <c r="B139" s="506">
        <f>IFERROR(__xludf.DUMMYFUNCTION("""COMPUTED_VALUE"""),46029.6666666666)</f>
        <v/>
      </c>
      <c r="C139" s="141">
        <f>IFERROR(__xludf.DUMMYFUNCTION("""COMPUTED_VALUE"""),80.96)</f>
        <v/>
      </c>
      <c r="D139" s="141">
        <f>IFERROR(__xludf.DUMMYFUNCTION("""COMPUTED_VALUE"""),81)</f>
        <v/>
      </c>
      <c r="E139" s="141">
        <f>IFERROR(__xludf.DUMMYFUNCTION("""COMPUTED_VALUE"""),80.83)</f>
        <v/>
      </c>
      <c r="F139" s="141">
        <f>IFERROR(__xludf.DUMMYFUNCTION("""COMPUTED_VALUE"""),80.88)</f>
        <v/>
      </c>
      <c r="G139" s="143">
        <f>IFERROR(__xludf.DUMMYFUNCTION("""COMPUTED_VALUE"""),27022770)</f>
        <v/>
      </c>
      <c r="H139" s="27" t="n"/>
    </row>
    <row r="140" ht="17.25" customHeight="1" s="322">
      <c r="A140" s="27" t="n"/>
      <c r="B140" s="506">
        <f>IFERROR(__xludf.DUMMYFUNCTION("""COMPUTED_VALUE"""),46030.6666666666)</f>
        <v/>
      </c>
      <c r="C140" s="141">
        <f>IFERROR(__xludf.DUMMYFUNCTION("""COMPUTED_VALUE"""),80.84)</f>
        <v/>
      </c>
      <c r="D140" s="141">
        <f>IFERROR(__xludf.DUMMYFUNCTION("""COMPUTED_VALUE"""),80.95)</f>
        <v/>
      </c>
      <c r="E140" s="141">
        <f>IFERROR(__xludf.DUMMYFUNCTION("""COMPUTED_VALUE"""),80.8)</f>
        <v/>
      </c>
      <c r="F140" s="141">
        <f>IFERROR(__xludf.DUMMYFUNCTION("""COMPUTED_VALUE"""),80.94)</f>
        <v/>
      </c>
      <c r="G140" s="143">
        <f>IFERROR(__xludf.DUMMYFUNCTION("""COMPUTED_VALUE"""),33517025)</f>
        <v/>
      </c>
      <c r="H140" s="27" t="n"/>
    </row>
    <row r="141" ht="17.25" customHeight="1" s="322">
      <c r="A141" s="27" t="n"/>
      <c r="B141" s="506">
        <f>IFERROR(__xludf.DUMMYFUNCTION("""COMPUTED_VALUE"""),46031.6666666666)</f>
        <v/>
      </c>
      <c r="C141" s="141">
        <f>IFERROR(__xludf.DUMMYFUNCTION("""COMPUTED_VALUE"""),80.95)</f>
        <v/>
      </c>
      <c r="D141" s="141">
        <f>IFERROR(__xludf.DUMMYFUNCTION("""COMPUTED_VALUE"""),81.03)</f>
        <v/>
      </c>
      <c r="E141" s="141">
        <f>IFERROR(__xludf.DUMMYFUNCTION("""COMPUTED_VALUE"""),80.95)</f>
        <v/>
      </c>
      <c r="F141" s="141">
        <f>IFERROR(__xludf.DUMMYFUNCTION("""COMPUTED_VALUE"""),81)</f>
        <v/>
      </c>
      <c r="G141" s="143">
        <f>IFERROR(__xludf.DUMMYFUNCTION("""COMPUTED_VALUE"""),31849182)</f>
        <v/>
      </c>
      <c r="H141" s="27" t="n"/>
    </row>
    <row r="142" ht="17.25" customHeight="1" s="322">
      <c r="A142" s="27" t="n"/>
      <c r="B142" s="506">
        <f>IFERROR(__xludf.DUMMYFUNCTION("""COMPUTED_VALUE"""),46034.6666666666)</f>
        <v/>
      </c>
      <c r="C142" s="141">
        <f>IFERROR(__xludf.DUMMYFUNCTION("""COMPUTED_VALUE"""),80.91)</f>
        <v/>
      </c>
      <c r="D142" s="141">
        <f>IFERROR(__xludf.DUMMYFUNCTION("""COMPUTED_VALUE"""),81.05)</f>
        <v/>
      </c>
      <c r="E142" s="141">
        <f>IFERROR(__xludf.DUMMYFUNCTION("""COMPUTED_VALUE"""),80.9)</f>
        <v/>
      </c>
      <c r="F142" s="141">
        <f>IFERROR(__xludf.DUMMYFUNCTION("""COMPUTED_VALUE"""),81.04)</f>
        <v/>
      </c>
      <c r="G142" s="143">
        <f>IFERROR(__xludf.DUMMYFUNCTION("""COMPUTED_VALUE"""),23983604)</f>
        <v/>
      </c>
      <c r="H142" s="27" t="n"/>
    </row>
    <row r="143" ht="17.25" customHeight="1" s="322">
      <c r="A143" s="27" t="n"/>
      <c r="B143" s="506">
        <f>IFERROR(__xludf.DUMMYFUNCTION("""COMPUTED_VALUE"""),46035.6666666666)</f>
        <v/>
      </c>
      <c r="C143" s="141">
        <f>IFERROR(__xludf.DUMMYFUNCTION("""COMPUTED_VALUE"""),81.07)</f>
        <v/>
      </c>
      <c r="D143" s="141">
        <f>IFERROR(__xludf.DUMMYFUNCTION("""COMPUTED_VALUE"""),81.08)</f>
        <v/>
      </c>
      <c r="E143" s="141">
        <f>IFERROR(__xludf.DUMMYFUNCTION("""COMPUTED_VALUE"""),80.97)</f>
        <v/>
      </c>
      <c r="F143" s="141">
        <f>IFERROR(__xludf.DUMMYFUNCTION("""COMPUTED_VALUE"""),81.04)</f>
        <v/>
      </c>
      <c r="G143" s="143">
        <f>IFERROR(__xludf.DUMMYFUNCTION("""COMPUTED_VALUE"""),27607690)</f>
        <v/>
      </c>
      <c r="H143" s="27" t="n"/>
    </row>
    <row r="144" ht="17.25" customHeight="1" s="322">
      <c r="A144" s="27" t="n"/>
      <c r="B144" s="506">
        <f>IFERROR(__xludf.DUMMYFUNCTION("""COMPUTED_VALUE"""),46036.6666666666)</f>
        <v/>
      </c>
      <c r="C144" s="141">
        <f>IFERROR(__xludf.DUMMYFUNCTION("""COMPUTED_VALUE"""),81)</f>
        <v/>
      </c>
      <c r="D144" s="141">
        <f>IFERROR(__xludf.DUMMYFUNCTION("""COMPUTED_VALUE"""),81.05)</f>
        <v/>
      </c>
      <c r="E144" s="141">
        <f>IFERROR(__xludf.DUMMYFUNCTION("""COMPUTED_VALUE"""),80.93)</f>
        <v/>
      </c>
      <c r="F144" s="141">
        <f>IFERROR(__xludf.DUMMYFUNCTION("""COMPUTED_VALUE"""),81.04)</f>
        <v/>
      </c>
      <c r="G144" s="143">
        <f>IFERROR(__xludf.DUMMYFUNCTION("""COMPUTED_VALUE"""),42994019)</f>
        <v/>
      </c>
      <c r="H144" s="27" t="n"/>
    </row>
    <row r="145" ht="17.25" customHeight="1" s="322">
      <c r="A145" s="27" t="n"/>
      <c r="B145" s="506">
        <f>IFERROR(__xludf.DUMMYFUNCTION("""COMPUTED_VALUE"""),46037.6666666666)</f>
        <v/>
      </c>
      <c r="C145" s="141">
        <f>IFERROR(__xludf.DUMMYFUNCTION("""COMPUTED_VALUE"""),81.1)</f>
        <v/>
      </c>
      <c r="D145" s="141">
        <f>IFERROR(__xludf.DUMMYFUNCTION("""COMPUTED_VALUE"""),81.11)</f>
        <v/>
      </c>
      <c r="E145" s="141">
        <f>IFERROR(__xludf.DUMMYFUNCTION("""COMPUTED_VALUE"""),81)</f>
        <v/>
      </c>
      <c r="F145" s="141">
        <f>IFERROR(__xludf.DUMMYFUNCTION("""COMPUTED_VALUE"""),81.04)</f>
        <v/>
      </c>
      <c r="G145" s="143">
        <f>IFERROR(__xludf.DUMMYFUNCTION("""COMPUTED_VALUE"""),30412385)</f>
        <v/>
      </c>
      <c r="H145" s="27" t="n"/>
    </row>
    <row r="146" ht="17.25" customHeight="1" s="322">
      <c r="A146" s="27" t="n"/>
      <c r="B146" s="506">
        <f>IFERROR(__xludf.DUMMYFUNCTION("""COMPUTED_VALUE"""),46038.6666666666)</f>
        <v/>
      </c>
      <c r="C146" s="141">
        <f>IFERROR(__xludf.DUMMYFUNCTION("""COMPUTED_VALUE"""),81.08)</f>
        <v/>
      </c>
      <c r="D146" s="141">
        <f>IFERROR(__xludf.DUMMYFUNCTION("""COMPUTED_VALUE"""),81.1)</f>
        <v/>
      </c>
      <c r="E146" s="141">
        <f>IFERROR(__xludf.DUMMYFUNCTION("""COMPUTED_VALUE"""),80.99)</f>
        <v/>
      </c>
      <c r="F146" s="141">
        <f>IFERROR(__xludf.DUMMYFUNCTION("""COMPUTED_VALUE"""),81.09)</f>
        <v/>
      </c>
      <c r="G146" s="143">
        <f>IFERROR(__xludf.DUMMYFUNCTION("""COMPUTED_VALUE"""),52466258)</f>
        <v/>
      </c>
      <c r="H146" s="27" t="n"/>
    </row>
    <row r="147" ht="17.25" customHeight="1" s="322">
      <c r="A147" s="27" t="n"/>
      <c r="B147" s="506">
        <f>IFERROR(__xludf.DUMMYFUNCTION("""COMPUTED_VALUE"""),46042.6666666666)</f>
        <v/>
      </c>
      <c r="C147" s="141">
        <f>IFERROR(__xludf.DUMMYFUNCTION("""COMPUTED_VALUE"""),80.74)</f>
        <v/>
      </c>
      <c r="D147" s="141">
        <f>IFERROR(__xludf.DUMMYFUNCTION("""COMPUTED_VALUE"""),80.95)</f>
        <v/>
      </c>
      <c r="E147" s="141">
        <f>IFERROR(__xludf.DUMMYFUNCTION("""COMPUTED_VALUE"""),80.67)</f>
        <v/>
      </c>
      <c r="F147" s="141">
        <f>IFERROR(__xludf.DUMMYFUNCTION("""COMPUTED_VALUE"""),80.88)</f>
        <v/>
      </c>
      <c r="G147" s="143">
        <f>IFERROR(__xludf.DUMMYFUNCTION("""COMPUTED_VALUE"""),38653396)</f>
        <v/>
      </c>
      <c r="H147" s="27" t="n"/>
    </row>
    <row r="148" ht="17.25" customHeight="1" s="322">
      <c r="A148" s="27" t="n"/>
      <c r="B148" s="506">
        <f>IFERROR(__xludf.DUMMYFUNCTION("""COMPUTED_VALUE"""),46043.6666666666)</f>
        <v/>
      </c>
      <c r="C148" s="141">
        <f>IFERROR(__xludf.DUMMYFUNCTION("""COMPUTED_VALUE"""),80.98)</f>
        <v/>
      </c>
      <c r="D148" s="141">
        <f>IFERROR(__xludf.DUMMYFUNCTION("""COMPUTED_VALUE"""),81.16)</f>
        <v/>
      </c>
      <c r="E148" s="141">
        <f>IFERROR(__xludf.DUMMYFUNCTION("""COMPUTED_VALUE"""),80.96)</f>
        <v/>
      </c>
      <c r="F148" s="141">
        <f>IFERROR(__xludf.DUMMYFUNCTION("""COMPUTED_VALUE"""),81.12)</f>
        <v/>
      </c>
      <c r="G148" s="143">
        <f>IFERROR(__xludf.DUMMYFUNCTION("""COMPUTED_VALUE"""),42023456)</f>
        <v/>
      </c>
      <c r="H148" s="27" t="n"/>
    </row>
    <row r="149" ht="17.25" customHeight="1" s="322">
      <c r="A149" s="27" t="n"/>
      <c r="B149" s="506">
        <f>IFERROR(__xludf.DUMMYFUNCTION("""COMPUTED_VALUE"""),46044.6666666666)</f>
        <v/>
      </c>
      <c r="C149" s="141">
        <f>IFERROR(__xludf.DUMMYFUNCTION("""COMPUTED_VALUE"""),81.19)</f>
        <v/>
      </c>
      <c r="D149" s="141">
        <f>IFERROR(__xludf.DUMMYFUNCTION("""COMPUTED_VALUE"""),81.24)</f>
        <v/>
      </c>
      <c r="E149" s="141">
        <f>IFERROR(__xludf.DUMMYFUNCTION("""COMPUTED_VALUE"""),81.13)</f>
        <v/>
      </c>
      <c r="F149" s="141">
        <f>IFERROR(__xludf.DUMMYFUNCTION("""COMPUTED_VALUE"""),81.18)</f>
        <v/>
      </c>
      <c r="G149" s="143">
        <f>IFERROR(__xludf.DUMMYFUNCTION("""COMPUTED_VALUE"""),35231903)</f>
        <v/>
      </c>
      <c r="H149" s="27" t="n"/>
    </row>
    <row r="150" ht="17.25" customHeight="1" s="322">
      <c r="A150" s="27" t="n"/>
      <c r="B150" s="506">
        <f>IFERROR(__xludf.DUMMYFUNCTION("""COMPUTED_VALUE"""),46045.6666666666)</f>
        <v/>
      </c>
      <c r="C150" s="141">
        <f>IFERROR(__xludf.DUMMYFUNCTION("""COMPUTED_VALUE"""),81.18)</f>
        <v/>
      </c>
      <c r="D150" s="141">
        <f>IFERROR(__xludf.DUMMYFUNCTION("""COMPUTED_VALUE"""),81.2)</f>
        <v/>
      </c>
      <c r="E150" s="141">
        <f>IFERROR(__xludf.DUMMYFUNCTION("""COMPUTED_VALUE"""),81.04)</f>
        <v/>
      </c>
      <c r="F150" s="141">
        <f>IFERROR(__xludf.DUMMYFUNCTION("""COMPUTED_VALUE"""),81.14)</f>
        <v/>
      </c>
      <c r="G150" s="143">
        <f>IFERROR(__xludf.DUMMYFUNCTION("""COMPUTED_VALUE"""),38360521)</f>
        <v/>
      </c>
      <c r="H150" s="27" t="n"/>
    </row>
    <row r="151" ht="17.25" customHeight="1" s="322">
      <c r="A151" s="27" t="n"/>
      <c r="B151" s="506">
        <f>IFERROR(__xludf.DUMMYFUNCTION("""COMPUTED_VALUE"""),46048.6666666666)</f>
        <v/>
      </c>
      <c r="C151" s="141">
        <f>IFERROR(__xludf.DUMMYFUNCTION("""COMPUTED_VALUE"""),81.19)</f>
        <v/>
      </c>
      <c r="D151" s="141">
        <f>IFERROR(__xludf.DUMMYFUNCTION("""COMPUTED_VALUE"""),81.22)</f>
        <v/>
      </c>
      <c r="E151" s="141">
        <f>IFERROR(__xludf.DUMMYFUNCTION("""COMPUTED_VALUE"""),81.12)</f>
        <v/>
      </c>
      <c r="F151" s="141">
        <f>IFERROR(__xludf.DUMMYFUNCTION("""COMPUTED_VALUE"""),81.18)</f>
        <v/>
      </c>
      <c r="G151" s="143">
        <f>IFERROR(__xludf.DUMMYFUNCTION("""COMPUTED_VALUE"""),27027543)</f>
        <v/>
      </c>
      <c r="H151" s="27" t="n"/>
    </row>
    <row r="152" ht="17.25" customHeight="1" s="322">
      <c r="A152" s="27" t="n"/>
      <c r="B152" s="506">
        <f>IFERROR(__xludf.DUMMYFUNCTION("""COMPUTED_VALUE"""),46049.6666666666)</f>
        <v/>
      </c>
      <c r="C152" s="141">
        <f>IFERROR(__xludf.DUMMYFUNCTION("""COMPUTED_VALUE"""),81.18)</f>
        <v/>
      </c>
      <c r="D152" s="141">
        <f>IFERROR(__xludf.DUMMYFUNCTION("""COMPUTED_VALUE"""),81.22)</f>
        <v/>
      </c>
      <c r="E152" s="141">
        <f>IFERROR(__xludf.DUMMYFUNCTION("""COMPUTED_VALUE"""),81.14)</f>
        <v/>
      </c>
      <c r="F152" s="141">
        <f>IFERROR(__xludf.DUMMYFUNCTION("""COMPUTED_VALUE"""),81.17)</f>
        <v/>
      </c>
      <c r="G152" s="143">
        <f>IFERROR(__xludf.DUMMYFUNCTION("""COMPUTED_VALUE"""),22961496)</f>
        <v/>
      </c>
      <c r="H152" s="27" t="n"/>
    </row>
    <row r="153" ht="17.25" customHeight="1" s="322">
      <c r="A153" s="27" t="n"/>
      <c r="B153" s="506">
        <f>IFERROR(__xludf.DUMMYFUNCTION("""COMPUTED_VALUE"""),46050.6666666666)</f>
        <v/>
      </c>
      <c r="C153" s="141">
        <f>IFERROR(__xludf.DUMMYFUNCTION("""COMPUTED_VALUE"""),81.17)</f>
        <v/>
      </c>
      <c r="D153" s="141">
        <f>IFERROR(__xludf.DUMMYFUNCTION("""COMPUTED_VALUE"""),81.18)</f>
        <v/>
      </c>
      <c r="E153" s="141">
        <f>IFERROR(__xludf.DUMMYFUNCTION("""COMPUTED_VALUE"""),81.03)</f>
        <v/>
      </c>
      <c r="F153" s="141">
        <f>IFERROR(__xludf.DUMMYFUNCTION("""COMPUTED_VALUE"""),81.04)</f>
        <v/>
      </c>
      <c r="G153" s="143">
        <f>IFERROR(__xludf.DUMMYFUNCTION("""COMPUTED_VALUE"""),35559176)</f>
        <v/>
      </c>
      <c r="H153" s="27" t="n"/>
    </row>
    <row r="154" ht="17.25" customHeight="1" s="322">
      <c r="A154" s="27" t="n"/>
      <c r="B154" s="506">
        <f>IFERROR(__xludf.DUMMYFUNCTION("""COMPUTED_VALUE"""),46051.6666666666)</f>
        <v/>
      </c>
      <c r="C154" s="141">
        <f>IFERROR(__xludf.DUMMYFUNCTION("""COMPUTED_VALUE"""),81.05)</f>
        <v/>
      </c>
      <c r="D154" s="141">
        <f>IFERROR(__xludf.DUMMYFUNCTION("""COMPUTED_VALUE"""),81.07)</f>
        <v/>
      </c>
      <c r="E154" s="141">
        <f>IFERROR(__xludf.DUMMYFUNCTION("""COMPUTED_VALUE"""),80.9)</f>
        <v/>
      </c>
      <c r="F154" s="141">
        <f>IFERROR(__xludf.DUMMYFUNCTION("""COMPUTED_VALUE"""),81.03)</f>
        <v/>
      </c>
      <c r="G154" s="143">
        <f>IFERROR(__xludf.DUMMYFUNCTION("""COMPUTED_VALUE"""),38201563)</f>
        <v/>
      </c>
      <c r="H154" s="27" t="n"/>
    </row>
    <row r="155" ht="17.25" customHeight="1" s="322">
      <c r="A155" s="27" t="n"/>
      <c r="B155" s="506">
        <f>IFERROR(__xludf.DUMMYFUNCTION("""COMPUTED_VALUE"""),46052.6666666666)</f>
        <v/>
      </c>
      <c r="C155" s="141">
        <f>IFERROR(__xludf.DUMMYFUNCTION("""COMPUTED_VALUE"""),80.92)</f>
        <v/>
      </c>
      <c r="D155" s="141">
        <f>IFERROR(__xludf.DUMMYFUNCTION("""COMPUTED_VALUE"""),81.13)</f>
        <v/>
      </c>
      <c r="E155" s="141">
        <f>IFERROR(__xludf.DUMMYFUNCTION("""COMPUTED_VALUE"""),80.92)</f>
        <v/>
      </c>
      <c r="F155" s="141">
        <f>IFERROR(__xludf.DUMMYFUNCTION("""COMPUTED_VALUE"""),81.12)</f>
        <v/>
      </c>
      <c r="G155" s="143">
        <f>IFERROR(__xludf.DUMMYFUNCTION("""COMPUTED_VALUE"""),59848044)</f>
        <v/>
      </c>
      <c r="H155" s="27" t="n"/>
    </row>
    <row r="156" ht="17.25" customHeight="1" s="322">
      <c r="A156" s="27" t="n"/>
      <c r="B156" s="506">
        <f>IFERROR(__xludf.DUMMYFUNCTION("""COMPUTED_VALUE"""),46055.6666666666)</f>
        <v/>
      </c>
      <c r="C156" s="141">
        <f>IFERROR(__xludf.DUMMYFUNCTION("""COMPUTED_VALUE"""),80.67)</f>
        <v/>
      </c>
      <c r="D156" s="141">
        <f>IFERROR(__xludf.DUMMYFUNCTION("""COMPUTED_VALUE"""),80.81)</f>
        <v/>
      </c>
      <c r="E156" s="141">
        <f>IFERROR(__xludf.DUMMYFUNCTION("""COMPUTED_VALUE"""),80.64)</f>
        <v/>
      </c>
      <c r="F156" s="141">
        <f>IFERROR(__xludf.DUMMYFUNCTION("""COMPUTED_VALUE"""),80.77)</f>
        <v/>
      </c>
      <c r="G156" s="143">
        <f>IFERROR(__xludf.DUMMYFUNCTION("""COMPUTED_VALUE"""),42890695)</f>
        <v/>
      </c>
      <c r="H156" s="27" t="n"/>
    </row>
    <row r="157" ht="17.25" customHeight="1" s="322">
      <c r="A157" s="27" t="n"/>
      <c r="B157" s="506">
        <f>IFERROR(__xludf.DUMMYFUNCTION("""COMPUTED_VALUE"""),46056.6666666666)</f>
        <v/>
      </c>
      <c r="C157" s="141">
        <f>IFERROR(__xludf.DUMMYFUNCTION("""COMPUTED_VALUE"""),80.76)</f>
        <v/>
      </c>
      <c r="D157" s="141">
        <f>IFERROR(__xludf.DUMMYFUNCTION("""COMPUTED_VALUE"""),80.81)</f>
        <v/>
      </c>
      <c r="E157" s="141">
        <f>IFERROR(__xludf.DUMMYFUNCTION("""COMPUTED_VALUE"""),80.53)</f>
        <v/>
      </c>
      <c r="F157" s="141">
        <f>IFERROR(__xludf.DUMMYFUNCTION("""COMPUTED_VALUE"""),80.72)</f>
        <v/>
      </c>
      <c r="G157" s="143">
        <f>IFERROR(__xludf.DUMMYFUNCTION("""COMPUTED_VALUE"""),49372754)</f>
        <v/>
      </c>
      <c r="H157" s="27" t="n"/>
    </row>
    <row r="158" ht="17.25" customHeight="1" s="322">
      <c r="A158" s="27" t="n"/>
      <c r="B158" s="506">
        <f>IFERROR(__xludf.DUMMYFUNCTION("""COMPUTED_VALUE"""),46057.6666666666)</f>
        <v/>
      </c>
      <c r="C158" s="141">
        <f>IFERROR(__xludf.DUMMYFUNCTION("""COMPUTED_VALUE"""),80.7)</f>
        <v/>
      </c>
      <c r="D158" s="141">
        <f>IFERROR(__xludf.DUMMYFUNCTION("""COMPUTED_VALUE"""),80.72)</f>
        <v/>
      </c>
      <c r="E158" s="141">
        <f>IFERROR(__xludf.DUMMYFUNCTION("""COMPUTED_VALUE"""),80.54)</f>
        <v/>
      </c>
      <c r="F158" s="141">
        <f>IFERROR(__xludf.DUMMYFUNCTION("""COMPUTED_VALUE"""),80.62)</f>
        <v/>
      </c>
      <c r="G158" s="143">
        <f>IFERROR(__xludf.DUMMYFUNCTION("""COMPUTED_VALUE"""),42829381)</f>
        <v/>
      </c>
      <c r="H158" s="27" t="n"/>
    </row>
    <row r="159" ht="17.25" customHeight="1" s="322">
      <c r="A159" s="27" t="n"/>
      <c r="B159" s="506">
        <f>IFERROR(__xludf.DUMMYFUNCTION("""COMPUTED_VALUE"""),46058.6666666666)</f>
        <v/>
      </c>
      <c r="C159" s="141">
        <f>IFERROR(__xludf.DUMMYFUNCTION("""COMPUTED_VALUE"""),80.56)</f>
        <v/>
      </c>
      <c r="D159" s="141">
        <f>IFERROR(__xludf.DUMMYFUNCTION("""COMPUTED_VALUE"""),80.62)</f>
        <v/>
      </c>
      <c r="E159" s="141">
        <f>IFERROR(__xludf.DUMMYFUNCTION("""COMPUTED_VALUE"""),80.45)</f>
        <v/>
      </c>
      <c r="F159" s="141">
        <f>IFERROR(__xludf.DUMMYFUNCTION("""COMPUTED_VALUE"""),80.53)</f>
        <v/>
      </c>
      <c r="G159" s="143">
        <f>IFERROR(__xludf.DUMMYFUNCTION("""COMPUTED_VALUE"""),75554165)</f>
        <v/>
      </c>
      <c r="H159" s="27" t="n"/>
    </row>
    <row r="160" ht="17.25" customHeight="1" s="322">
      <c r="A160" s="27" t="n"/>
      <c r="B160" s="506">
        <f>IFERROR(__xludf.DUMMYFUNCTION("""COMPUTED_VALUE"""),46059.6666666666)</f>
        <v/>
      </c>
      <c r="C160" s="141">
        <f>IFERROR(__xludf.DUMMYFUNCTION("""COMPUTED_VALUE"""),80.67)</f>
        <v/>
      </c>
      <c r="D160" s="141">
        <f>IFERROR(__xludf.DUMMYFUNCTION("""COMPUTED_VALUE"""),80.81)</f>
        <v/>
      </c>
      <c r="E160" s="141">
        <f>IFERROR(__xludf.DUMMYFUNCTION("""COMPUTED_VALUE"""),80.62)</f>
        <v/>
      </c>
      <c r="F160" s="141">
        <f>IFERROR(__xludf.DUMMYFUNCTION("""COMPUTED_VALUE"""),80.81)</f>
        <v/>
      </c>
      <c r="G160" s="143">
        <f>IFERROR(__xludf.DUMMYFUNCTION("""COMPUTED_VALUE"""),40915944)</f>
        <v/>
      </c>
      <c r="H160" s="27" t="n"/>
    </row>
    <row r="161" ht="17.25" customHeight="1" s="322">
      <c r="A161" s="27" t="n"/>
      <c r="B161" s="506">
        <f>IFERROR(__xludf.DUMMYFUNCTION("""COMPUTED_VALUE"""),46062.6666666666)</f>
        <v/>
      </c>
      <c r="C161" s="141">
        <f>IFERROR(__xludf.DUMMYFUNCTION("""COMPUTED_VALUE"""),80.76)</f>
        <v/>
      </c>
      <c r="D161" s="141">
        <f>IFERROR(__xludf.DUMMYFUNCTION("""COMPUTED_VALUE"""),80.92)</f>
        <v/>
      </c>
      <c r="E161" s="141">
        <f>IFERROR(__xludf.DUMMYFUNCTION("""COMPUTED_VALUE"""),80.76)</f>
        <v/>
      </c>
      <c r="F161" s="141">
        <f>IFERROR(__xludf.DUMMYFUNCTION("""COMPUTED_VALUE"""),80.92)</f>
        <v/>
      </c>
      <c r="G161" s="143">
        <f>IFERROR(__xludf.DUMMYFUNCTION("""COMPUTED_VALUE"""),33716914)</f>
        <v/>
      </c>
      <c r="H161" s="27" t="n"/>
    </row>
    <row r="162" ht="17.25" customHeight="1" s="322">
      <c r="A162" s="27" t="n"/>
      <c r="B162" s="506">
        <f>IFERROR(__xludf.DUMMYFUNCTION("""COMPUTED_VALUE"""),46063.6666666666)</f>
        <v/>
      </c>
      <c r="C162" s="141">
        <f>IFERROR(__xludf.DUMMYFUNCTION("""COMPUTED_VALUE"""),80.95)</f>
        <v/>
      </c>
      <c r="D162" s="141">
        <f>IFERROR(__xludf.DUMMYFUNCTION("""COMPUTED_VALUE"""),81.01)</f>
        <v/>
      </c>
      <c r="E162" s="141">
        <f>IFERROR(__xludf.DUMMYFUNCTION("""COMPUTED_VALUE"""),80.84)</f>
        <v/>
      </c>
      <c r="F162" s="141">
        <f>IFERROR(__xludf.DUMMYFUNCTION("""COMPUTED_VALUE"""),80.84)</f>
        <v/>
      </c>
      <c r="G162" s="143">
        <f>IFERROR(__xludf.DUMMYFUNCTION("""COMPUTED_VALUE"""),37886149)</f>
        <v/>
      </c>
      <c r="H162" s="27" t="n"/>
    </row>
    <row r="163" ht="17.25" customHeight="1" s="322">
      <c r="A163" s="27" t="n"/>
      <c r="B163" s="506">
        <f>IFERROR(__xludf.DUMMYFUNCTION("""COMPUTED_VALUE"""),46064.6666666666)</f>
        <v/>
      </c>
      <c r="C163" s="141">
        <f>IFERROR(__xludf.DUMMYFUNCTION("""COMPUTED_VALUE"""),80.9)</f>
        <v/>
      </c>
      <c r="D163" s="141">
        <f>IFERROR(__xludf.DUMMYFUNCTION("""COMPUTED_VALUE"""),80.93)</f>
        <v/>
      </c>
      <c r="E163" s="141">
        <f>IFERROR(__xludf.DUMMYFUNCTION("""COMPUTED_VALUE"""),80.72)</f>
        <v/>
      </c>
      <c r="F163" s="141">
        <f>IFERROR(__xludf.DUMMYFUNCTION("""COMPUTED_VALUE"""),80.83)</f>
        <v/>
      </c>
      <c r="G163" s="143">
        <f>IFERROR(__xludf.DUMMYFUNCTION("""COMPUTED_VALUE"""),27272717)</f>
        <v/>
      </c>
      <c r="H163" s="27" t="n"/>
    </row>
    <row r="164" ht="17.25" customHeight="1" s="322">
      <c r="A164" s="27" t="n"/>
      <c r="B164" s="506">
        <f>IFERROR(__xludf.DUMMYFUNCTION("""COMPUTED_VALUE"""),46065.6666666666)</f>
        <v/>
      </c>
      <c r="C164" s="141">
        <f>IFERROR(__xludf.DUMMYFUNCTION("""COMPUTED_VALUE"""),80.91)</f>
        <v/>
      </c>
      <c r="D164" s="141">
        <f>IFERROR(__xludf.DUMMYFUNCTION("""COMPUTED_VALUE"""),80.97)</f>
        <v/>
      </c>
      <c r="E164" s="141">
        <f>IFERROR(__xludf.DUMMYFUNCTION("""COMPUTED_VALUE"""),80.75)</f>
        <v/>
      </c>
      <c r="F164" s="141">
        <f>IFERROR(__xludf.DUMMYFUNCTION("""COMPUTED_VALUE"""),80.79)</f>
        <v/>
      </c>
      <c r="G164" s="143">
        <f>IFERROR(__xludf.DUMMYFUNCTION("""COMPUTED_VALUE"""),48457026)</f>
        <v/>
      </c>
      <c r="H164" s="27" t="n"/>
    </row>
    <row r="165" ht="17.25" customHeight="1" s="322">
      <c r="A165" s="27" t="n"/>
      <c r="B165" s="506">
        <f>IFERROR(__xludf.DUMMYFUNCTION("""COMPUTED_VALUE"""),46066.6666666666)</f>
        <v/>
      </c>
      <c r="C165" s="141">
        <f>IFERROR(__xludf.DUMMYFUNCTION("""COMPUTED_VALUE"""),80.83)</f>
        <v/>
      </c>
      <c r="D165" s="141">
        <f>IFERROR(__xludf.DUMMYFUNCTION("""COMPUTED_VALUE"""),80.94)</f>
        <v/>
      </c>
      <c r="E165" s="141">
        <f>IFERROR(__xludf.DUMMYFUNCTION("""COMPUTED_VALUE"""),80.82)</f>
        <v/>
      </c>
      <c r="F165" s="141">
        <f>IFERROR(__xludf.DUMMYFUNCTION("""COMPUTED_VALUE"""),80.85)</f>
        <v/>
      </c>
      <c r="G165" s="143">
        <f>IFERROR(__xludf.DUMMYFUNCTION("""COMPUTED_VALUE"""),36612388)</f>
        <v/>
      </c>
      <c r="H165" s="27" t="n"/>
    </row>
    <row r="166" ht="17.25" customHeight="1" s="322">
      <c r="A166" s="27" t="n"/>
      <c r="B166" s="506">
        <f>IFERROR(__xludf.DUMMYFUNCTION("""COMPUTED_VALUE"""),46070.6666666666)</f>
        <v/>
      </c>
      <c r="C166" s="141">
        <f>IFERROR(__xludf.DUMMYFUNCTION("""COMPUTED_VALUE"""),80.81)</f>
        <v/>
      </c>
      <c r="D166" s="141">
        <f>IFERROR(__xludf.DUMMYFUNCTION("""COMPUTED_VALUE"""),80.86)</f>
        <v/>
      </c>
      <c r="E166" s="141">
        <f>IFERROR(__xludf.DUMMYFUNCTION("""COMPUTED_VALUE"""),80.74)</f>
        <v/>
      </c>
      <c r="F166" s="141">
        <f>IFERROR(__xludf.DUMMYFUNCTION("""COMPUTED_VALUE"""),80.81)</f>
        <v/>
      </c>
      <c r="G166" s="143">
        <f>IFERROR(__xludf.DUMMYFUNCTION("""COMPUTED_VALUE"""),35682018)</f>
        <v/>
      </c>
      <c r="H166" s="27" t="n"/>
    </row>
    <row r="167" ht="17.25" customHeight="1" s="322">
      <c r="A167" s="27" t="n"/>
      <c r="B167" s="506">
        <f>IFERROR(__xludf.DUMMYFUNCTION("""COMPUTED_VALUE"""),46071.6666666666)</f>
        <v/>
      </c>
      <c r="C167" s="141">
        <f>IFERROR(__xludf.DUMMYFUNCTION("""COMPUTED_VALUE"""),80.84)</f>
        <v/>
      </c>
      <c r="D167" s="141">
        <f>IFERROR(__xludf.DUMMYFUNCTION("""COMPUTED_VALUE"""),80.98)</f>
        <v/>
      </c>
      <c r="E167" s="141">
        <f>IFERROR(__xludf.DUMMYFUNCTION("""COMPUTED_VALUE"""),80.81)</f>
        <v/>
      </c>
      <c r="F167" s="141">
        <f>IFERROR(__xludf.DUMMYFUNCTION("""COMPUTED_VALUE"""),80.91)</f>
        <v/>
      </c>
      <c r="G167" s="143">
        <f>IFERROR(__xludf.DUMMYFUNCTION("""COMPUTED_VALUE"""),33943076)</f>
        <v/>
      </c>
      <c r="H167" s="27" t="n"/>
    </row>
    <row r="168" ht="17.25" customHeight="1" s="322">
      <c r="A168" s="27" t="n"/>
      <c r="B168" s="506">
        <f>IFERROR(__xludf.DUMMYFUNCTION("""COMPUTED_VALUE"""),46072.6666666666)</f>
        <v/>
      </c>
      <c r="C168" s="141">
        <f>IFERROR(__xludf.DUMMYFUNCTION("""COMPUTED_VALUE"""),80.88)</f>
        <v/>
      </c>
      <c r="D168" s="141">
        <f>IFERROR(__xludf.DUMMYFUNCTION("""COMPUTED_VALUE"""),80.94)</f>
        <v/>
      </c>
      <c r="E168" s="141">
        <f>IFERROR(__xludf.DUMMYFUNCTION("""COMPUTED_VALUE"""),80.83)</f>
        <v/>
      </c>
      <c r="F168" s="141">
        <f>IFERROR(__xludf.DUMMYFUNCTION("""COMPUTED_VALUE"""),80.94)</f>
        <v/>
      </c>
      <c r="G168" s="143">
        <f>IFERROR(__xludf.DUMMYFUNCTION("""COMPUTED_VALUE"""),29530978)</f>
        <v/>
      </c>
      <c r="H168" s="27" t="n"/>
    </row>
    <row r="169" ht="17.25" customHeight="1" s="322">
      <c r="A169" s="27" t="n"/>
      <c r="B169" s="506">
        <f>IFERROR(__xludf.DUMMYFUNCTION("""COMPUTED_VALUE"""),46073.6666666666)</f>
        <v/>
      </c>
      <c r="C169" s="141">
        <f>IFERROR(__xludf.DUMMYFUNCTION("""COMPUTED_VALUE"""),80.93)</f>
        <v/>
      </c>
      <c r="D169" s="141">
        <f>IFERROR(__xludf.DUMMYFUNCTION("""COMPUTED_VALUE"""),81)</f>
        <v/>
      </c>
      <c r="E169" s="141">
        <f>IFERROR(__xludf.DUMMYFUNCTION("""COMPUTED_VALUE"""),80.87)</f>
        <v/>
      </c>
      <c r="F169" s="141">
        <f>IFERROR(__xludf.DUMMYFUNCTION("""COMPUTED_VALUE"""),81)</f>
        <v/>
      </c>
      <c r="G169" s="143">
        <f>IFERROR(__xludf.DUMMYFUNCTION("""COMPUTED_VALUE"""),37959980)</f>
        <v/>
      </c>
      <c r="H169" s="27" t="n"/>
    </row>
    <row r="170" ht="17.25" customHeight="1" s="322">
      <c r="A170" s="27" t="n"/>
      <c r="B170" s="506">
        <f>IFERROR(__xludf.DUMMYFUNCTION("""COMPUTED_VALUE"""),46076.6666666666)</f>
        <v/>
      </c>
      <c r="C170" s="141">
        <f>IFERROR(__xludf.DUMMYFUNCTION("""COMPUTED_VALUE"""),80.96)</f>
        <v/>
      </c>
      <c r="D170" s="141">
        <f>IFERROR(__xludf.DUMMYFUNCTION("""COMPUTED_VALUE"""),81.01)</f>
        <v/>
      </c>
      <c r="E170" s="141">
        <f>IFERROR(__xludf.DUMMYFUNCTION("""COMPUTED_VALUE"""),80.84)</f>
        <v/>
      </c>
      <c r="F170" s="141">
        <f>IFERROR(__xludf.DUMMYFUNCTION("""COMPUTED_VALUE"""),80.87)</f>
        <v/>
      </c>
      <c r="G170" s="143">
        <f>IFERROR(__xludf.DUMMYFUNCTION("""COMPUTED_VALUE"""),32885613)</f>
        <v/>
      </c>
      <c r="H170" s="27" t="n"/>
    </row>
    <row r="171" ht="17.25" customHeight="1" s="322">
      <c r="A171" s="27" t="n"/>
      <c r="B171" s="506">
        <f>IFERROR(__xludf.DUMMYFUNCTION("""COMPUTED_VALUE"""),46077.6666666666)</f>
        <v/>
      </c>
      <c r="C171" s="141">
        <f>IFERROR(__xludf.DUMMYFUNCTION("""COMPUTED_VALUE"""),80.85)</f>
        <v/>
      </c>
      <c r="D171" s="141">
        <f>IFERROR(__xludf.DUMMYFUNCTION("""COMPUTED_VALUE"""),80.87)</f>
        <v/>
      </c>
      <c r="E171" s="141">
        <f>IFERROR(__xludf.DUMMYFUNCTION("""COMPUTED_VALUE"""),80.65)</f>
        <v/>
      </c>
      <c r="F171" s="141">
        <f>IFERROR(__xludf.DUMMYFUNCTION("""COMPUTED_VALUE"""),80.81)</f>
        <v/>
      </c>
      <c r="G171" s="143">
        <f>IFERROR(__xludf.DUMMYFUNCTION("""COMPUTED_VALUE"""),54939904)</f>
        <v/>
      </c>
      <c r="H171" s="27" t="n"/>
    </row>
    <row r="172" ht="17.25" customHeight="1" s="322">
      <c r="A172" s="27" t="n"/>
      <c r="B172" s="506">
        <f>IFERROR(__xludf.DUMMYFUNCTION("""COMPUTED_VALUE"""),46078.6666666666)</f>
        <v/>
      </c>
      <c r="C172" s="141">
        <f>IFERROR(__xludf.DUMMYFUNCTION("""COMPUTED_VALUE"""),80.82)</f>
        <v/>
      </c>
      <c r="D172" s="141">
        <f>IFERROR(__xludf.DUMMYFUNCTION("""COMPUTED_VALUE"""),80.93)</f>
        <v/>
      </c>
      <c r="E172" s="141">
        <f>IFERROR(__xludf.DUMMYFUNCTION("""COMPUTED_VALUE"""),80.82)</f>
        <v/>
      </c>
      <c r="F172" s="141">
        <f>IFERROR(__xludf.DUMMYFUNCTION("""COMPUTED_VALUE"""),80.92)</f>
        <v/>
      </c>
      <c r="G172" s="143">
        <f>IFERROR(__xludf.DUMMYFUNCTION("""COMPUTED_VALUE"""),28864477)</f>
        <v/>
      </c>
      <c r="H172" s="27" t="n"/>
    </row>
    <row r="173" ht="17.25" customHeight="1" s="322">
      <c r="A173" s="27" t="n"/>
      <c r="B173" s="506">
        <f>IFERROR(__xludf.DUMMYFUNCTION("""COMPUTED_VALUE"""),46079.6666666666)</f>
        <v/>
      </c>
      <c r="C173" s="141">
        <f>IFERROR(__xludf.DUMMYFUNCTION("""COMPUTED_VALUE"""),80.89)</f>
        <v/>
      </c>
      <c r="D173" s="141">
        <f>IFERROR(__xludf.DUMMYFUNCTION("""COMPUTED_VALUE"""),80.94)</f>
        <v/>
      </c>
      <c r="E173" s="141">
        <f>IFERROR(__xludf.DUMMYFUNCTION("""COMPUTED_VALUE"""),80.76)</f>
        <v/>
      </c>
      <c r="F173" s="141">
        <f>IFERROR(__xludf.DUMMYFUNCTION("""COMPUTED_VALUE"""),80.85)</f>
        <v/>
      </c>
      <c r="G173" s="143">
        <f>IFERROR(__xludf.DUMMYFUNCTION("""COMPUTED_VALUE"""),54009952)</f>
        <v/>
      </c>
      <c r="H173" s="27" t="n"/>
    </row>
    <row r="174" ht="17.25" customHeight="1" s="322">
      <c r="A174" s="27" t="n"/>
      <c r="B174" s="506">
        <f>IFERROR(__xludf.DUMMYFUNCTION("""COMPUTED_VALUE"""),46080.6666666666)</f>
        <v/>
      </c>
      <c r="C174" s="141">
        <f>IFERROR(__xludf.DUMMYFUNCTION("""COMPUTED_VALUE"""),80.75)</f>
        <v/>
      </c>
      <c r="D174" s="141">
        <f>IFERROR(__xludf.DUMMYFUNCTION("""COMPUTED_VALUE"""),80.8)</f>
        <v/>
      </c>
      <c r="E174" s="141">
        <f>IFERROR(__xludf.DUMMYFUNCTION("""COMPUTED_VALUE"""),80.65)</f>
        <v/>
      </c>
      <c r="F174" s="141">
        <f>IFERROR(__xludf.DUMMYFUNCTION("""COMPUTED_VALUE"""),80.72)</f>
        <v/>
      </c>
      <c r="G174" s="143">
        <f>IFERROR(__xludf.DUMMYFUNCTION("""COMPUTED_VALUE"""),61111450)</f>
        <v/>
      </c>
      <c r="H174" s="27" t="n"/>
    </row>
    <row r="175" ht="17.25" customHeight="1" s="322">
      <c r="A175" s="27" t="n"/>
      <c r="B175" s="506">
        <f>IFERROR(__xludf.DUMMYFUNCTION("""COMPUTED_VALUE"""),46083.6666666666)</f>
        <v/>
      </c>
      <c r="C175" s="141">
        <f>IFERROR(__xludf.DUMMYFUNCTION("""COMPUTED_VALUE"""),80.06)</f>
        <v/>
      </c>
      <c r="D175" s="141">
        <f>IFERROR(__xludf.DUMMYFUNCTION("""COMPUTED_VALUE"""),80.41)</f>
        <v/>
      </c>
      <c r="E175" s="141">
        <f>IFERROR(__xludf.DUMMYFUNCTION("""COMPUTED_VALUE"""),80.03)</f>
        <v/>
      </c>
      <c r="F175" s="141">
        <f>IFERROR(__xludf.DUMMYFUNCTION("""COMPUTED_VALUE"""),80.28)</f>
        <v/>
      </c>
      <c r="G175" s="143">
        <f>IFERROR(__xludf.DUMMYFUNCTION("""COMPUTED_VALUE"""),74075599)</f>
        <v/>
      </c>
      <c r="H175" s="27" t="n"/>
    </row>
    <row r="176" ht="17.25" customHeight="1" s="322">
      <c r="A176" s="27" t="n"/>
      <c r="B176" s="506">
        <f>IFERROR(__xludf.DUMMYFUNCTION("""COMPUTED_VALUE"""),46084.6666666666)</f>
        <v/>
      </c>
      <c r="C176" s="141">
        <f>IFERROR(__xludf.DUMMYFUNCTION("""COMPUTED_VALUE"""),79.94)</f>
        <v/>
      </c>
      <c r="D176" s="141">
        <f>IFERROR(__xludf.DUMMYFUNCTION("""COMPUTED_VALUE"""),80.31)</f>
        <v/>
      </c>
      <c r="E176" s="141">
        <f>IFERROR(__xludf.DUMMYFUNCTION("""COMPUTED_VALUE"""),79.84)</f>
        <v/>
      </c>
      <c r="F176" s="141">
        <f>IFERROR(__xludf.DUMMYFUNCTION("""COMPUTED_VALUE"""),80.12)</f>
        <v/>
      </c>
      <c r="G176" s="143">
        <f>IFERROR(__xludf.DUMMYFUNCTION("""COMPUTED_VALUE"""),117917176)</f>
        <v/>
      </c>
      <c r="H176" s="27" t="n"/>
    </row>
    <row r="177" ht="17.25" customHeight="1" s="322">
      <c r="A177" s="27" t="n"/>
      <c r="B177" s="506">
        <f>IFERROR(__xludf.DUMMYFUNCTION("""COMPUTED_VALUE"""),46085.6666666666)</f>
        <v/>
      </c>
      <c r="C177" s="141">
        <f>IFERROR(__xludf.DUMMYFUNCTION("""COMPUTED_VALUE"""),80.23)</f>
        <v/>
      </c>
      <c r="D177" s="141">
        <f>IFERROR(__xludf.DUMMYFUNCTION("""COMPUTED_VALUE"""),80.45)</f>
        <v/>
      </c>
      <c r="E177" s="141">
        <f>IFERROR(__xludf.DUMMYFUNCTION("""COMPUTED_VALUE"""),80.19)</f>
        <v/>
      </c>
      <c r="F177" s="141">
        <f>IFERROR(__xludf.DUMMYFUNCTION("""COMPUTED_VALUE"""),80.4)</f>
        <v/>
      </c>
      <c r="G177" s="143">
        <f>IFERROR(__xludf.DUMMYFUNCTION("""COMPUTED_VALUE"""),56955583)</f>
        <v/>
      </c>
      <c r="H177" s="27" t="n"/>
    </row>
    <row r="178" ht="17.25" customHeight="1" s="322">
      <c r="A178" s="27" t="n"/>
      <c r="B178" s="506">
        <f>IFERROR(__xludf.DUMMYFUNCTION("""COMPUTED_VALUE"""),46086.6666666666)</f>
        <v/>
      </c>
      <c r="C178" s="141">
        <f>IFERROR(__xludf.DUMMYFUNCTION("""COMPUTED_VALUE"""),80.27)</f>
        <v/>
      </c>
      <c r="D178" s="141">
        <f>IFERROR(__xludf.DUMMYFUNCTION("""COMPUTED_VALUE"""),80.31)</f>
        <v/>
      </c>
      <c r="E178" s="141">
        <f>IFERROR(__xludf.DUMMYFUNCTION("""COMPUTED_VALUE"""),80.02)</f>
        <v/>
      </c>
      <c r="F178" s="141">
        <f>IFERROR(__xludf.DUMMYFUNCTION("""COMPUTED_VALUE"""),80.08)</f>
        <v/>
      </c>
      <c r="G178" s="143">
        <f>IFERROR(__xludf.DUMMYFUNCTION("""COMPUTED_VALUE"""),77694155)</f>
        <v/>
      </c>
      <c r="H178" s="27" t="n"/>
    </row>
    <row r="179" ht="17.25" customHeight="1" s="322">
      <c r="A179" s="27" t="n"/>
      <c r="B179" s="506">
        <f>IFERROR(__xludf.DUMMYFUNCTION("""COMPUTED_VALUE"""),46087.6666666666)</f>
        <v/>
      </c>
      <c r="C179" s="141">
        <f>IFERROR(__xludf.DUMMYFUNCTION("""COMPUTED_VALUE"""),79.75)</f>
        <v/>
      </c>
      <c r="D179" s="141">
        <f>IFERROR(__xludf.DUMMYFUNCTION("""COMPUTED_VALUE"""),80)</f>
        <v/>
      </c>
      <c r="E179" s="141">
        <f>IFERROR(__xludf.DUMMYFUNCTION("""COMPUTED_VALUE"""),79.65)</f>
        <v/>
      </c>
      <c r="F179" s="141">
        <f>IFERROR(__xludf.DUMMYFUNCTION("""COMPUTED_VALUE"""),79.69)</f>
        <v/>
      </c>
      <c r="G179" s="143">
        <f>IFERROR(__xludf.DUMMYFUNCTION("""COMPUTED_VALUE"""),81474162)</f>
        <v/>
      </c>
      <c r="H179" s="27" t="n"/>
    </row>
    <row r="180" ht="17.25" customHeight="1" s="322">
      <c r="A180" s="27" t="n"/>
      <c r="B180" s="506">
        <f>IFERROR(__xludf.DUMMYFUNCTION("""COMPUTED_VALUE"""),46090.6666666666)</f>
        <v/>
      </c>
      <c r="C180" s="141">
        <f>IFERROR(__xludf.DUMMYFUNCTION("""COMPUTED_VALUE"""),79.59)</f>
        <v/>
      </c>
      <c r="D180" s="141">
        <f>IFERROR(__xludf.DUMMYFUNCTION("""COMPUTED_VALUE"""),80.18)</f>
        <v/>
      </c>
      <c r="E180" s="141">
        <f>IFERROR(__xludf.DUMMYFUNCTION("""COMPUTED_VALUE"""),79.54)</f>
        <v/>
      </c>
      <c r="F180" s="141">
        <f>IFERROR(__xludf.DUMMYFUNCTION("""COMPUTED_VALUE"""),80.17)</f>
        <v/>
      </c>
      <c r="G180" s="143">
        <f>IFERROR(__xludf.DUMMYFUNCTION("""COMPUTED_VALUE"""),87897685)</f>
        <v/>
      </c>
      <c r="H180" s="27" t="n"/>
    </row>
    <row r="181" ht="17.25" customHeight="1" s="322">
      <c r="A181" s="27" t="n"/>
      <c r="B181" s="506">
        <f>IFERROR(__xludf.DUMMYFUNCTION("""COMPUTED_VALUE"""),46091.6666666666)</f>
        <v/>
      </c>
      <c r="C181" s="141">
        <f>IFERROR(__xludf.DUMMYFUNCTION("""COMPUTED_VALUE"""),80.05)</f>
        <v/>
      </c>
      <c r="D181" s="141">
        <f>IFERROR(__xludf.DUMMYFUNCTION("""COMPUTED_VALUE"""),80.38)</f>
        <v/>
      </c>
      <c r="E181" s="141">
        <f>IFERROR(__xludf.DUMMYFUNCTION("""COMPUTED_VALUE"""),80.03)</f>
        <v/>
      </c>
      <c r="F181" s="141">
        <f>IFERROR(__xludf.DUMMYFUNCTION("""COMPUTED_VALUE"""),80.04)</f>
        <v/>
      </c>
      <c r="G181" s="143">
        <f>IFERROR(__xludf.DUMMYFUNCTION("""COMPUTED_VALUE"""),66859034)</f>
        <v/>
      </c>
      <c r="H181" s="27" t="n"/>
    </row>
    <row r="182" ht="17.25" customHeight="1" s="322">
      <c r="A182" s="27" t="n"/>
      <c r="B182" s="506">
        <f>IFERROR(__xludf.DUMMYFUNCTION("""COMPUTED_VALUE"""),46092.6666666666)</f>
        <v/>
      </c>
      <c r="C182" s="141">
        <f>IFERROR(__xludf.DUMMYFUNCTION("""COMPUTED_VALUE"""),80.01)</f>
        <v/>
      </c>
      <c r="D182" s="141">
        <f>IFERROR(__xludf.DUMMYFUNCTION("""COMPUTED_VALUE"""),80.04)</f>
        <v/>
      </c>
      <c r="E182" s="141">
        <f>IFERROR(__xludf.DUMMYFUNCTION("""COMPUTED_VALUE"""),79.81)</f>
        <v/>
      </c>
      <c r="F182" s="141">
        <f>IFERROR(__xludf.DUMMYFUNCTION("""COMPUTED_VALUE"""),79.86)</f>
        <v/>
      </c>
      <c r="G182" s="143">
        <f>IFERROR(__xludf.DUMMYFUNCTION("""COMPUTED_VALUE"""),59983501)</f>
        <v/>
      </c>
      <c r="H182" s="27" t="n"/>
    </row>
    <row r="183" ht="17.25" customHeight="1" s="322">
      <c r="A183" s="27" t="n"/>
      <c r="B183" s="506">
        <f>IFERROR(__xludf.DUMMYFUNCTION("""COMPUTED_VALUE"""),46093.6666666666)</f>
        <v/>
      </c>
      <c r="C183" s="141">
        <f>IFERROR(__xludf.DUMMYFUNCTION("""COMPUTED_VALUE"""),79.71)</f>
        <v/>
      </c>
      <c r="D183" s="141">
        <f>IFERROR(__xludf.DUMMYFUNCTION("""COMPUTED_VALUE"""),79.75)</f>
        <v/>
      </c>
      <c r="E183" s="141">
        <f>IFERROR(__xludf.DUMMYFUNCTION("""COMPUTED_VALUE"""),79.32)</f>
        <v/>
      </c>
      <c r="F183" s="141">
        <f>IFERROR(__xludf.DUMMYFUNCTION("""COMPUTED_VALUE"""),79.35)</f>
        <v/>
      </c>
      <c r="G183" s="143">
        <f>IFERROR(__xludf.DUMMYFUNCTION("""COMPUTED_VALUE"""),68674396)</f>
        <v/>
      </c>
      <c r="H183" s="27" t="n"/>
    </row>
    <row r="184" ht="17.25" customHeight="1" s="322">
      <c r="A184" s="27" t="n"/>
      <c r="B184" s="506">
        <f>IFERROR(__xludf.DUMMYFUNCTION("""COMPUTED_VALUE"""),46094.6666666666)</f>
        <v/>
      </c>
      <c r="C184" s="141">
        <f>IFERROR(__xludf.DUMMYFUNCTION("""COMPUTED_VALUE"""),79.51)</f>
        <v/>
      </c>
      <c r="D184" s="141">
        <f>IFERROR(__xludf.DUMMYFUNCTION("""COMPUTED_VALUE"""),79.68)</f>
        <v/>
      </c>
      <c r="E184" s="141">
        <f>IFERROR(__xludf.DUMMYFUNCTION("""COMPUTED_VALUE"""),79.12)</f>
        <v/>
      </c>
      <c r="F184" s="141">
        <f>IFERROR(__xludf.DUMMYFUNCTION("""COMPUTED_VALUE"""),79.2)</f>
        <v/>
      </c>
      <c r="G184" s="143">
        <f>IFERROR(__xludf.DUMMYFUNCTION("""COMPUTED_VALUE"""),68652883)</f>
        <v/>
      </c>
      <c r="H184" s="27" t="n"/>
    </row>
    <row r="185" ht="17.25" customHeight="1" s="322">
      <c r="A185" s="27" t="n"/>
      <c r="B185" s="506">
        <f>IFERROR(__xludf.DUMMYFUNCTION("""COMPUTED_VALUE"""),46097.6666666666)</f>
        <v/>
      </c>
      <c r="C185" s="141">
        <f>IFERROR(__xludf.DUMMYFUNCTION("""COMPUTED_VALUE"""),79.5)</f>
        <v/>
      </c>
      <c r="D185" s="141">
        <f>IFERROR(__xludf.DUMMYFUNCTION("""COMPUTED_VALUE"""),79.67)</f>
        <v/>
      </c>
      <c r="E185" s="141">
        <f>IFERROR(__xludf.DUMMYFUNCTION("""COMPUTED_VALUE"""),79.45)</f>
        <v/>
      </c>
      <c r="F185" s="141">
        <f>IFERROR(__xludf.DUMMYFUNCTION("""COMPUTED_VALUE"""),79.45)</f>
        <v/>
      </c>
      <c r="G185" s="143">
        <f>IFERROR(__xludf.DUMMYFUNCTION("""COMPUTED_VALUE"""),57535581)</f>
        <v/>
      </c>
      <c r="H185" s="27" t="n"/>
    </row>
    <row r="186" ht="17.25" customHeight="1" s="322">
      <c r="A186" s="27" t="n"/>
      <c r="B186" s="506">
        <f>IFERROR(__xludf.DUMMYFUNCTION("""COMPUTED_VALUE"""),46098.6666666666)</f>
        <v/>
      </c>
      <c r="C186" s="141">
        <f>IFERROR(__xludf.DUMMYFUNCTION("""COMPUTED_VALUE"""),79.6)</f>
        <v/>
      </c>
      <c r="D186" s="141">
        <f>IFERROR(__xludf.DUMMYFUNCTION("""COMPUTED_VALUE"""),79.82)</f>
        <v/>
      </c>
      <c r="E186" s="141">
        <f>IFERROR(__xludf.DUMMYFUNCTION("""COMPUTED_VALUE"""),79.57)</f>
        <v/>
      </c>
      <c r="F186" s="141">
        <f>IFERROR(__xludf.DUMMYFUNCTION("""COMPUTED_VALUE"""),79.81)</f>
        <v/>
      </c>
      <c r="G186" s="143">
        <f>IFERROR(__xludf.DUMMYFUNCTION("""COMPUTED_VALUE"""),47967819)</f>
        <v/>
      </c>
      <c r="H186" s="27" t="n"/>
    </row>
    <row r="187" ht="17.25" customHeight="1" s="322">
      <c r="A187" s="27" t="n"/>
      <c r="B187" s="506">
        <f>IFERROR(__xludf.DUMMYFUNCTION("""COMPUTED_VALUE"""),46099.6666666666)</f>
        <v/>
      </c>
      <c r="C187" s="141">
        <f>IFERROR(__xludf.DUMMYFUNCTION("""COMPUTED_VALUE"""),79.7)</f>
        <v/>
      </c>
      <c r="D187" s="141">
        <f>IFERROR(__xludf.DUMMYFUNCTION("""COMPUTED_VALUE"""),79.75)</f>
        <v/>
      </c>
      <c r="E187" s="141">
        <f>IFERROR(__xludf.DUMMYFUNCTION("""COMPUTED_VALUE"""),79.39)</f>
        <v/>
      </c>
      <c r="F187" s="141">
        <f>IFERROR(__xludf.DUMMYFUNCTION("""COMPUTED_VALUE"""),79.4)</f>
        <v/>
      </c>
      <c r="G187" s="143">
        <f>IFERROR(__xludf.DUMMYFUNCTION("""COMPUTED_VALUE"""),50281901)</f>
        <v/>
      </c>
      <c r="H187" s="27" t="n"/>
    </row>
    <row r="188" ht="17.25" customHeight="1" s="322">
      <c r="A188" s="27" t="n"/>
      <c r="B188" s="506">
        <f>IFERROR(__xludf.DUMMYFUNCTION("""COMPUTED_VALUE"""),46100.6666666666)</f>
        <v/>
      </c>
      <c r="C188" s="141">
        <f>IFERROR(__xludf.DUMMYFUNCTION("""COMPUTED_VALUE"""),79)</f>
        <v/>
      </c>
      <c r="D188" s="141">
        <f>IFERROR(__xludf.DUMMYFUNCTION("""COMPUTED_VALUE"""),79.69)</f>
        <v/>
      </c>
      <c r="E188" s="141">
        <f>IFERROR(__xludf.DUMMYFUNCTION("""COMPUTED_VALUE"""),78.99)</f>
        <v/>
      </c>
      <c r="F188" s="141">
        <f>IFERROR(__xludf.DUMMYFUNCTION("""COMPUTED_VALUE"""),79.66)</f>
        <v/>
      </c>
      <c r="G188" s="143">
        <f>IFERROR(__xludf.DUMMYFUNCTION("""COMPUTED_VALUE"""),103981597)</f>
        <v/>
      </c>
      <c r="H188" s="27" t="n"/>
    </row>
    <row r="189" ht="17.25" customHeight="1" s="322">
      <c r="A189" s="27" t="n"/>
      <c r="B189" s="506">
        <f>IFERROR(__xludf.DUMMYFUNCTION("""COMPUTED_VALUE"""),46101.6666666666)</f>
        <v/>
      </c>
      <c r="C189" s="141">
        <f>IFERROR(__xludf.DUMMYFUNCTION("""COMPUTED_VALUE"""),79.49)</f>
        <v/>
      </c>
      <c r="D189" s="141">
        <f>IFERROR(__xludf.DUMMYFUNCTION("""COMPUTED_VALUE"""),79.53)</f>
        <v/>
      </c>
      <c r="E189" s="141">
        <f>IFERROR(__xludf.DUMMYFUNCTION("""COMPUTED_VALUE"""),78.85)</f>
        <v/>
      </c>
      <c r="F189" s="141">
        <f>IFERROR(__xludf.DUMMYFUNCTION("""COMPUTED_VALUE"""),78.92)</f>
        <v/>
      </c>
      <c r="G189" s="143">
        <f>IFERROR(__xludf.DUMMYFUNCTION("""COMPUTED_VALUE"""),109084829)</f>
        <v/>
      </c>
      <c r="H189" s="27" t="n"/>
    </row>
    <row r="190" ht="17.25" customHeight="1" s="322">
      <c r="A190" s="27" t="n"/>
      <c r="B190" s="506">
        <f>IFERROR(__xludf.DUMMYFUNCTION("""COMPUTED_VALUE"""),46104.6666666666)</f>
        <v/>
      </c>
      <c r="C190" s="141">
        <f>IFERROR(__xludf.DUMMYFUNCTION("""COMPUTED_VALUE"""),79.3)</f>
        <v/>
      </c>
      <c r="D190" s="141">
        <f>IFERROR(__xludf.DUMMYFUNCTION("""COMPUTED_VALUE"""),79.7)</f>
        <v/>
      </c>
      <c r="E190" s="141">
        <f>IFERROR(__xludf.DUMMYFUNCTION("""COMPUTED_VALUE"""),79.17)</f>
        <v/>
      </c>
      <c r="F190" s="141">
        <f>IFERROR(__xludf.DUMMYFUNCTION("""COMPUTED_VALUE"""),79.44)</f>
        <v/>
      </c>
      <c r="G190" s="143">
        <f>IFERROR(__xludf.DUMMYFUNCTION("""COMPUTED_VALUE"""),79015758)</f>
        <v/>
      </c>
      <c r="H190" s="27" t="n"/>
    </row>
    <row r="191" ht="17.25" customHeight="1" s="322">
      <c r="A191" s="27" t="n"/>
      <c r="B191" s="506">
        <f>IFERROR(__xludf.DUMMYFUNCTION("""COMPUTED_VALUE"""),46105.6666666666)</f>
        <v/>
      </c>
      <c r="C191" s="141">
        <f>IFERROR(__xludf.DUMMYFUNCTION("""COMPUTED_VALUE"""),79.26)</f>
        <v/>
      </c>
      <c r="D191" s="141">
        <f>IFERROR(__xludf.DUMMYFUNCTION("""COMPUTED_VALUE"""),79.41)</f>
        <v/>
      </c>
      <c r="E191" s="141">
        <f>IFERROR(__xludf.DUMMYFUNCTION("""COMPUTED_VALUE"""),79.06)</f>
        <v/>
      </c>
      <c r="F191" s="141">
        <f>IFERROR(__xludf.DUMMYFUNCTION("""COMPUTED_VALUE"""),79.17)</f>
        <v/>
      </c>
      <c r="G191" s="143">
        <f>IFERROR(__xludf.DUMMYFUNCTION("""COMPUTED_VALUE"""),71941579)</f>
        <v/>
      </c>
      <c r="H191" s="27" t="n"/>
    </row>
    <row r="192" ht="17.25" customHeight="1" s="322">
      <c r="A192" s="27" t="n"/>
      <c r="B192" s="506">
        <f>IFERROR(__xludf.DUMMYFUNCTION("""COMPUTED_VALUE"""),46106.6666666666)</f>
        <v/>
      </c>
      <c r="C192" s="141">
        <f>IFERROR(__xludf.DUMMYFUNCTION("""COMPUTED_VALUE"""),79.46)</f>
        <v/>
      </c>
      <c r="D192" s="141">
        <f>IFERROR(__xludf.DUMMYFUNCTION("""COMPUTED_VALUE"""),79.58)</f>
        <v/>
      </c>
      <c r="E192" s="141">
        <f>IFERROR(__xludf.DUMMYFUNCTION("""COMPUTED_VALUE"""),79.35)</f>
        <v/>
      </c>
      <c r="F192" s="141">
        <f>IFERROR(__xludf.DUMMYFUNCTION("""COMPUTED_VALUE"""),79.42)</f>
        <v/>
      </c>
      <c r="G192" s="143">
        <f>IFERROR(__xludf.DUMMYFUNCTION("""COMPUTED_VALUE"""),49917692)</f>
        <v/>
      </c>
      <c r="H192" s="27" t="n"/>
    </row>
    <row r="193" ht="17.25" customHeight="1" s="322">
      <c r="A193" s="27" t="n"/>
      <c r="B193" s="506">
        <f>IFERROR(__xludf.DUMMYFUNCTION("""COMPUTED_VALUE"""),46107.6666666666)</f>
        <v/>
      </c>
      <c r="C193" s="141">
        <f>IFERROR(__xludf.DUMMYFUNCTION("""COMPUTED_VALUE"""),79.25)</f>
        <v/>
      </c>
      <c r="D193" s="141">
        <f>IFERROR(__xludf.DUMMYFUNCTION("""COMPUTED_VALUE"""),79.33)</f>
        <v/>
      </c>
      <c r="E193" s="141">
        <f>IFERROR(__xludf.DUMMYFUNCTION("""COMPUTED_VALUE"""),78.8)</f>
        <v/>
      </c>
      <c r="F193" s="141">
        <f>IFERROR(__xludf.DUMMYFUNCTION("""COMPUTED_VALUE"""),78.92)</f>
        <v/>
      </c>
      <c r="G193" s="143">
        <f>IFERROR(__xludf.DUMMYFUNCTION("""COMPUTED_VALUE"""),74979324)</f>
        <v/>
      </c>
      <c r="H193" s="27" t="n"/>
    </row>
    <row r="194" ht="17.25" customHeight="1" s="322">
      <c r="A194" s="27" t="n"/>
      <c r="B194" s="506">
        <f>IFERROR(__xludf.DUMMYFUNCTION("""COMPUTED_VALUE"""),46108.6666666666)</f>
        <v/>
      </c>
      <c r="C194" s="141">
        <f>IFERROR(__xludf.DUMMYFUNCTION("""COMPUTED_VALUE"""),78.83)</f>
        <v/>
      </c>
      <c r="D194" s="141">
        <f>IFERROR(__xludf.DUMMYFUNCTION("""COMPUTED_VALUE"""),78.83)</f>
        <v/>
      </c>
      <c r="E194" s="141">
        <f>IFERROR(__xludf.DUMMYFUNCTION("""COMPUTED_VALUE"""),78.57)</f>
        <v/>
      </c>
      <c r="F194" s="141">
        <f>IFERROR(__xludf.DUMMYFUNCTION("""COMPUTED_VALUE"""),78.72)</f>
        <v/>
      </c>
      <c r="G194" s="143">
        <f>IFERROR(__xludf.DUMMYFUNCTION("""COMPUTED_VALUE"""),68174284)</f>
        <v/>
      </c>
      <c r="H194" s="27" t="n"/>
    </row>
    <row r="195" ht="17.25" customHeight="1" s="322">
      <c r="A195" s="27" t="n"/>
      <c r="B195" s="506">
        <f>IFERROR(__xludf.DUMMYFUNCTION("""COMPUTED_VALUE"""),46111.6666666666)</f>
        <v/>
      </c>
      <c r="C195" s="141">
        <f>IFERROR(__xludf.DUMMYFUNCTION("""COMPUTED_VALUE"""),79.02)</f>
        <v/>
      </c>
      <c r="D195" s="141">
        <f>IFERROR(__xludf.DUMMYFUNCTION("""COMPUTED_VALUE"""),79.1)</f>
        <v/>
      </c>
      <c r="E195" s="141">
        <f>IFERROR(__xludf.DUMMYFUNCTION("""COMPUTED_VALUE"""),78.76)</f>
        <v/>
      </c>
      <c r="F195" s="141">
        <f>IFERROR(__xludf.DUMMYFUNCTION("""COMPUTED_VALUE"""),78.81)</f>
        <v/>
      </c>
      <c r="G195" s="143">
        <f>IFERROR(__xludf.DUMMYFUNCTION("""COMPUTED_VALUE"""),55210749)</f>
        <v/>
      </c>
      <c r="H195" s="27" t="n"/>
    </row>
    <row r="196" ht="17.25" customHeight="1" s="322">
      <c r="A196" s="27" t="n"/>
      <c r="B196" s="506">
        <f>IFERROR(__xludf.DUMMYFUNCTION("""COMPUTED_VALUE"""),46112.6666666666)</f>
        <v/>
      </c>
      <c r="C196" s="141">
        <f>IFERROR(__xludf.DUMMYFUNCTION("""COMPUTED_VALUE"""),79.16)</f>
        <v/>
      </c>
      <c r="D196" s="141">
        <f>IFERROR(__xludf.DUMMYFUNCTION("""COMPUTED_VALUE"""),79.61)</f>
        <v/>
      </c>
      <c r="E196" s="141">
        <f>IFERROR(__xludf.DUMMYFUNCTION("""COMPUTED_VALUE"""),79.12)</f>
        <v/>
      </c>
      <c r="F196" s="141">
        <f>IFERROR(__xludf.DUMMYFUNCTION("""COMPUTED_VALUE"""),79.56)</f>
        <v/>
      </c>
      <c r="G196" s="143">
        <f>IFERROR(__xludf.DUMMYFUNCTION("""COMPUTED_VALUE"""),101521289)</f>
        <v/>
      </c>
      <c r="H196" s="27" t="n"/>
    </row>
    <row r="197" ht="17.25" customHeight="1" s="322">
      <c r="A197" s="27" t="n"/>
      <c r="B197" s="506">
        <f>IFERROR(__xludf.DUMMYFUNCTION("""COMPUTED_VALUE"""),46113.6666666666)</f>
        <v/>
      </c>
      <c r="C197" s="141">
        <f>IFERROR(__xludf.DUMMYFUNCTION("""COMPUTED_VALUE"""),79.35)</f>
        <v/>
      </c>
      <c r="D197" s="141">
        <f>IFERROR(__xludf.DUMMYFUNCTION("""COMPUTED_VALUE"""),79.46)</f>
        <v/>
      </c>
      <c r="E197" s="141">
        <f>IFERROR(__xludf.DUMMYFUNCTION("""COMPUTED_VALUE"""),79.24)</f>
        <v/>
      </c>
      <c r="F197" s="141">
        <f>IFERROR(__xludf.DUMMYFUNCTION("""COMPUTED_VALUE"""),79.37)</f>
        <v/>
      </c>
      <c r="G197" s="143">
        <f>IFERROR(__xludf.DUMMYFUNCTION("""COMPUTED_VALUE"""),69789240)</f>
        <v/>
      </c>
      <c r="H197" s="27" t="n"/>
    </row>
    <row r="198" ht="17.25" customHeight="1" s="322">
      <c r="A198" s="27" t="n"/>
      <c r="B198" s="506">
        <f>IFERROR(__xludf.DUMMYFUNCTION("""COMPUTED_VALUE"""),46114.6666666666)</f>
        <v/>
      </c>
      <c r="C198" s="141">
        <f>IFERROR(__xludf.DUMMYFUNCTION("""COMPUTED_VALUE"""),79.08)</f>
        <v/>
      </c>
      <c r="D198" s="141">
        <f>IFERROR(__xludf.DUMMYFUNCTION("""COMPUTED_VALUE"""),79.63)</f>
        <v/>
      </c>
      <c r="E198" s="141">
        <f>IFERROR(__xludf.DUMMYFUNCTION("""COMPUTED_VALUE"""),79.08)</f>
        <v/>
      </c>
      <c r="F198" s="141">
        <f>IFERROR(__xludf.DUMMYFUNCTION("""COMPUTED_VALUE"""),79.56)</f>
        <v/>
      </c>
      <c r="G198" s="143">
        <f>IFERROR(__xludf.DUMMYFUNCTION("""COMPUTED_VALUE"""),53828180)</f>
        <v/>
      </c>
      <c r="H198" s="27" t="n"/>
    </row>
    <row r="199" ht="17.25" customHeight="1" s="322">
      <c r="A199" s="27" t="n"/>
      <c r="B199" s="506">
        <f>IFERROR(__xludf.DUMMYFUNCTION("""COMPUTED_VALUE"""),46118.6666666666)</f>
        <v/>
      </c>
      <c r="C199" s="141">
        <f>IFERROR(__xludf.DUMMYFUNCTION("""COMPUTED_VALUE"""),79.51)</f>
        <v/>
      </c>
      <c r="D199" s="141">
        <f>IFERROR(__xludf.DUMMYFUNCTION("""COMPUTED_VALUE"""),79.71)</f>
        <v/>
      </c>
      <c r="E199" s="141">
        <f>IFERROR(__xludf.DUMMYFUNCTION("""COMPUTED_VALUE"""),79.5)</f>
        <v/>
      </c>
      <c r="F199" s="141">
        <f>IFERROR(__xludf.DUMMYFUNCTION("""COMPUTED_VALUE"""),79.7)</f>
        <v/>
      </c>
      <c r="G199" s="143">
        <f>IFERROR(__xludf.DUMMYFUNCTION("""COMPUTED_VALUE"""),37098344)</f>
        <v/>
      </c>
      <c r="H199" s="27" t="n"/>
    </row>
    <row r="200" ht="17.25" customHeight="1" s="322">
      <c r="A200" s="27" t="n"/>
      <c r="B200" s="506">
        <f>IFERROR(__xludf.DUMMYFUNCTION("""COMPUTED_VALUE"""),46119.6666666666)</f>
        <v/>
      </c>
      <c r="C200" s="141">
        <f>IFERROR(__xludf.DUMMYFUNCTION("""COMPUTED_VALUE"""),79.67)</f>
        <v/>
      </c>
      <c r="D200" s="141">
        <f>IFERROR(__xludf.DUMMYFUNCTION("""COMPUTED_VALUE"""),79.74)</f>
        <v/>
      </c>
      <c r="E200" s="141">
        <f>IFERROR(__xludf.DUMMYFUNCTION("""COMPUTED_VALUE"""),79.32)</f>
        <v/>
      </c>
      <c r="F200" s="141">
        <f>IFERROR(__xludf.DUMMYFUNCTION("""COMPUTED_VALUE"""),79.72)</f>
        <v/>
      </c>
      <c r="G200" s="143">
        <f>IFERROR(__xludf.DUMMYFUNCTION("""COMPUTED_VALUE"""),47264067)</f>
        <v/>
      </c>
      <c r="H200" s="27" t="n"/>
    </row>
    <row r="201" ht="17.25" customHeight="1" s="322">
      <c r="A201" s="27" t="n"/>
      <c r="B201" s="506">
        <f>IFERROR(__xludf.DUMMYFUNCTION("""COMPUTED_VALUE"""),46120.6666666666)</f>
        <v/>
      </c>
      <c r="C201" s="141">
        <f>IFERROR(__xludf.DUMMYFUNCTION("""COMPUTED_VALUE"""),80.47)</f>
        <v/>
      </c>
      <c r="D201" s="141">
        <f>IFERROR(__xludf.DUMMYFUNCTION("""COMPUTED_VALUE"""),80.52)</f>
        <v/>
      </c>
      <c r="E201" s="141">
        <f>IFERROR(__xludf.DUMMYFUNCTION("""COMPUTED_VALUE"""),80.03)</f>
        <v/>
      </c>
      <c r="F201" s="141">
        <f>IFERROR(__xludf.DUMMYFUNCTION("""COMPUTED_VALUE"""),80.19)</f>
        <v/>
      </c>
      <c r="G201" s="143">
        <f>IFERROR(__xludf.DUMMYFUNCTION("""COMPUTED_VALUE"""),58556402)</f>
        <v/>
      </c>
      <c r="H201" s="27" t="n"/>
    </row>
    <row r="202" ht="17.25" customHeight="1" s="322">
      <c r="A202" s="27" t="n"/>
      <c r="B202" s="506">
        <f>IFERROR(__xludf.DUMMYFUNCTION("""COMPUTED_VALUE"""),46121.6666666666)</f>
        <v/>
      </c>
      <c r="C202" s="141">
        <f>IFERROR(__xludf.DUMMYFUNCTION("""COMPUTED_VALUE"""),80.15)</f>
        <v/>
      </c>
      <c r="D202" s="141">
        <f>IFERROR(__xludf.DUMMYFUNCTION("""COMPUTED_VALUE"""),80.39)</f>
        <v/>
      </c>
      <c r="E202" s="141">
        <f>IFERROR(__xludf.DUMMYFUNCTION("""COMPUTED_VALUE"""),80)</f>
        <v/>
      </c>
      <c r="F202" s="141">
        <f>IFERROR(__xludf.DUMMYFUNCTION("""COMPUTED_VALUE"""),80.28)</f>
        <v/>
      </c>
      <c r="G202" s="143">
        <f>IFERROR(__xludf.DUMMYFUNCTION("""COMPUTED_VALUE"""),45207498)</f>
        <v/>
      </c>
      <c r="H202" s="27" t="n"/>
    </row>
    <row r="203" ht="17.25" customHeight="1" s="322">
      <c r="A203" s="27" t="n"/>
      <c r="B203" s="506">
        <f>IFERROR(__xludf.DUMMYFUNCTION("""COMPUTED_VALUE"""),46122.6666666666)</f>
        <v/>
      </c>
      <c r="C203" s="141">
        <f>IFERROR(__xludf.DUMMYFUNCTION("""COMPUTED_VALUE"""),80.34)</f>
        <v/>
      </c>
      <c r="D203" s="141">
        <f>IFERROR(__xludf.DUMMYFUNCTION("""COMPUTED_VALUE"""),80.34)</f>
        <v/>
      </c>
      <c r="E203" s="141">
        <f>IFERROR(__xludf.DUMMYFUNCTION("""COMPUTED_VALUE"""),79.95)</f>
        <v/>
      </c>
      <c r="F203" s="141">
        <f>IFERROR(__xludf.DUMMYFUNCTION("""COMPUTED_VALUE"""),79.96)</f>
        <v/>
      </c>
      <c r="G203" s="143">
        <f>IFERROR(__xludf.DUMMYFUNCTION("""COMPUTED_VALUE"""),33005616)</f>
        <v/>
      </c>
      <c r="H203" s="27" t="n"/>
    </row>
    <row r="204" ht="17.25" customHeight="1" s="322">
      <c r="A204" s="27" t="n"/>
      <c r="B204" s="506">
        <f>IFERROR(__xludf.DUMMYFUNCTION("""COMPUTED_VALUE"""),46125.6666666666)</f>
        <v/>
      </c>
      <c r="C204" s="141">
        <f>IFERROR(__xludf.DUMMYFUNCTION("""COMPUTED_VALUE"""),79.88)</f>
        <v/>
      </c>
      <c r="D204" s="141">
        <f>IFERROR(__xludf.DUMMYFUNCTION("""COMPUTED_VALUE"""),80.27)</f>
        <v/>
      </c>
      <c r="E204" s="141">
        <f>IFERROR(__xludf.DUMMYFUNCTION("""COMPUTED_VALUE"""),79.88)</f>
        <v/>
      </c>
      <c r="F204" s="141">
        <f>IFERROR(__xludf.DUMMYFUNCTION("""COMPUTED_VALUE"""),80.26)</f>
        <v/>
      </c>
      <c r="G204" s="143">
        <f>IFERROR(__xludf.DUMMYFUNCTION("""COMPUTED_VALUE"""),38561390)</f>
        <v/>
      </c>
      <c r="H204" s="27" t="n"/>
    </row>
    <row r="205" ht="17.25" customHeight="1" s="322">
      <c r="A205" s="27" t="n"/>
      <c r="B205" s="506">
        <f>IFERROR(__xludf.DUMMYFUNCTION("""COMPUTED_VALUE"""),46126.6666666666)</f>
        <v/>
      </c>
      <c r="C205" s="141">
        <f>IFERROR(__xludf.DUMMYFUNCTION("""COMPUTED_VALUE"""),80.34)</f>
        <v/>
      </c>
      <c r="D205" s="141">
        <f>IFERROR(__xludf.DUMMYFUNCTION("""COMPUTED_VALUE"""),80.56)</f>
        <v/>
      </c>
      <c r="E205" s="141">
        <f>IFERROR(__xludf.DUMMYFUNCTION("""COMPUTED_VALUE"""),80.29)</f>
        <v/>
      </c>
      <c r="F205" s="141">
        <f>IFERROR(__xludf.DUMMYFUNCTION("""COMPUTED_VALUE"""),80.5)</f>
        <v/>
      </c>
      <c r="G205" s="143">
        <f>IFERROR(__xludf.DUMMYFUNCTION("""COMPUTED_VALUE"""),42037974)</f>
        <v/>
      </c>
      <c r="H205" s="27" t="n"/>
    </row>
    <row r="206" ht="17.25" customHeight="1" s="322">
      <c r="A206" s="27" t="n"/>
      <c r="B206" s="506">
        <f>IFERROR(__xludf.DUMMYFUNCTION("""COMPUTED_VALUE"""),46127.6666666666)</f>
        <v/>
      </c>
      <c r="C206" s="141">
        <f>IFERROR(__xludf.DUMMYFUNCTION("""COMPUTED_VALUE"""),80.45)</f>
        <v/>
      </c>
      <c r="D206" s="141">
        <f>IFERROR(__xludf.DUMMYFUNCTION("""COMPUTED_VALUE"""),80.49)</f>
        <v/>
      </c>
      <c r="E206" s="141">
        <f>IFERROR(__xludf.DUMMYFUNCTION("""COMPUTED_VALUE"""),80.35)</f>
        <v/>
      </c>
      <c r="F206" s="141">
        <f>IFERROR(__xludf.DUMMYFUNCTION("""COMPUTED_VALUE"""),80.46)</f>
        <v/>
      </c>
      <c r="G206" s="143">
        <f>IFERROR(__xludf.DUMMYFUNCTION("""COMPUTED_VALUE"""),47834907)</f>
        <v/>
      </c>
      <c r="H206" s="27" t="n"/>
    </row>
    <row r="207" ht="17.25" customHeight="1" s="322">
      <c r="A207" s="27" t="n"/>
      <c r="B207" s="506">
        <f>IFERROR(__xludf.DUMMYFUNCTION("""COMPUTED_VALUE"""),46128.6666666666)</f>
        <v/>
      </c>
      <c r="C207" s="141">
        <f>IFERROR(__xludf.DUMMYFUNCTION("""COMPUTED_VALUE"""),80.53)</f>
        <v/>
      </c>
      <c r="D207" s="141">
        <f>IFERROR(__xludf.DUMMYFUNCTION("""COMPUTED_VALUE"""),80.53)</f>
        <v/>
      </c>
      <c r="E207" s="141">
        <f>IFERROR(__xludf.DUMMYFUNCTION("""COMPUTED_VALUE"""),80.26)</f>
        <v/>
      </c>
      <c r="F207" s="141">
        <f>IFERROR(__xludf.DUMMYFUNCTION("""COMPUTED_VALUE"""),80.35)</f>
        <v/>
      </c>
      <c r="G207" s="143">
        <f>IFERROR(__xludf.DUMMYFUNCTION("""COMPUTED_VALUE"""),37743430)</f>
        <v/>
      </c>
      <c r="H207" s="27" t="n"/>
    </row>
    <row r="208" ht="17.25" customHeight="1" s="322">
      <c r="A208" s="27" t="n"/>
      <c r="B208" s="506">
        <f>IFERROR(__xludf.DUMMYFUNCTION("""COMPUTED_VALUE"""),46129.6666666666)</f>
        <v/>
      </c>
      <c r="C208" s="141">
        <f>IFERROR(__xludf.DUMMYFUNCTION("""COMPUTED_VALUE"""),80.6)</f>
        <v/>
      </c>
      <c r="D208" s="141">
        <f>IFERROR(__xludf.DUMMYFUNCTION("""COMPUTED_VALUE"""),80.76)</f>
        <v/>
      </c>
      <c r="E208" s="141">
        <f>IFERROR(__xludf.DUMMYFUNCTION("""COMPUTED_VALUE"""),80.56)</f>
        <v/>
      </c>
      <c r="F208" s="141">
        <f>IFERROR(__xludf.DUMMYFUNCTION("""COMPUTED_VALUE"""),80.65)</f>
        <v/>
      </c>
      <c r="G208" s="143">
        <f>IFERROR(__xludf.DUMMYFUNCTION("""COMPUTED_VALUE"""),61651591)</f>
        <v/>
      </c>
      <c r="H208" s="27" t="n"/>
    </row>
    <row r="209" ht="17.25" customHeight="1" s="322">
      <c r="A209" s="27" t="n"/>
      <c r="B209" s="506">
        <f>IFERROR(__xludf.DUMMYFUNCTION("""COMPUTED_VALUE"""),46132.6666666666)</f>
        <v/>
      </c>
      <c r="C209" s="141">
        <f>IFERROR(__xludf.DUMMYFUNCTION("""COMPUTED_VALUE"""),80.63)</f>
        <v/>
      </c>
      <c r="D209" s="141">
        <f>IFERROR(__xludf.DUMMYFUNCTION("""COMPUTED_VALUE"""),80.67)</f>
        <v/>
      </c>
      <c r="E209" s="141">
        <f>IFERROR(__xludf.DUMMYFUNCTION("""COMPUTED_VALUE"""),80.5)</f>
        <v/>
      </c>
      <c r="F209" s="141">
        <f>IFERROR(__xludf.DUMMYFUNCTION("""COMPUTED_VALUE"""),80.58)</f>
        <v/>
      </c>
      <c r="G209" s="143">
        <f>IFERROR(__xludf.DUMMYFUNCTION("""COMPUTED_VALUE"""),21104436)</f>
        <v/>
      </c>
      <c r="H209" s="27" t="n"/>
    </row>
    <row r="210" ht="17.25" customHeight="1" s="322">
      <c r="A210" s="27" t="n"/>
      <c r="B210" s="506">
        <f>IFERROR(__xludf.DUMMYFUNCTION("""COMPUTED_VALUE"""),46133.6666666666)</f>
        <v/>
      </c>
      <c r="C210" s="141">
        <f>IFERROR(__xludf.DUMMYFUNCTION("""COMPUTED_VALUE"""),80.55)</f>
        <v/>
      </c>
      <c r="D210" s="141">
        <f>IFERROR(__xludf.DUMMYFUNCTION("""COMPUTED_VALUE"""),80.58)</f>
        <v/>
      </c>
      <c r="E210" s="141">
        <f>IFERROR(__xludf.DUMMYFUNCTION("""COMPUTED_VALUE"""),80.31)</f>
        <v/>
      </c>
      <c r="F210" s="141">
        <f>IFERROR(__xludf.DUMMYFUNCTION("""COMPUTED_VALUE"""),80.37)</f>
        <v/>
      </c>
      <c r="G210" s="143">
        <f>IFERROR(__xludf.DUMMYFUNCTION("""COMPUTED_VALUE"""),58623602)</f>
        <v/>
      </c>
      <c r="H210" s="27" t="n"/>
    </row>
    <row r="211" ht="17.25" customHeight="1" s="322">
      <c r="A211" s="27" t="n"/>
      <c r="B211" s="506">
        <f>IFERROR(__xludf.DUMMYFUNCTION("""COMPUTED_VALUE"""),46134.6666666666)</f>
        <v/>
      </c>
      <c r="C211" s="141">
        <f>IFERROR(__xludf.DUMMYFUNCTION("""COMPUTED_VALUE"""),80.5)</f>
        <v/>
      </c>
      <c r="D211" s="141">
        <f>IFERROR(__xludf.DUMMYFUNCTION("""COMPUTED_VALUE"""),80.57)</f>
        <v/>
      </c>
      <c r="E211" s="141">
        <f>IFERROR(__xludf.DUMMYFUNCTION("""COMPUTED_VALUE"""),80.42)</f>
        <v/>
      </c>
      <c r="F211" s="141">
        <f>IFERROR(__xludf.DUMMYFUNCTION("""COMPUTED_VALUE"""),80.5)</f>
        <v/>
      </c>
      <c r="G211" s="143">
        <f>IFERROR(__xludf.DUMMYFUNCTION("""COMPUTED_VALUE"""),28004652)</f>
        <v/>
      </c>
      <c r="H211" s="27" t="n"/>
    </row>
    <row r="212" ht="17.25" customHeight="1" s="322">
      <c r="A212" s="27" t="n"/>
      <c r="B212" s="506">
        <f>IFERROR(__xludf.DUMMYFUNCTION("""COMPUTED_VALUE"""),46135.6666666666)</f>
        <v/>
      </c>
      <c r="C212" s="141">
        <f>IFERROR(__xludf.DUMMYFUNCTION("""COMPUTED_VALUE"""),80.46)</f>
        <v/>
      </c>
      <c r="D212" s="141">
        <f>IFERROR(__xludf.DUMMYFUNCTION("""COMPUTED_VALUE"""),80.55)</f>
        <v/>
      </c>
      <c r="E212" s="141">
        <f>IFERROR(__xludf.DUMMYFUNCTION("""COMPUTED_VALUE"""),80.16)</f>
        <v/>
      </c>
      <c r="F212" s="141">
        <f>IFERROR(__xludf.DUMMYFUNCTION("""COMPUTED_VALUE"""),80.37)</f>
        <v/>
      </c>
      <c r="G212" s="143">
        <f>IFERROR(__xludf.DUMMYFUNCTION("""COMPUTED_VALUE"""),49921724)</f>
        <v/>
      </c>
      <c r="H212" s="27" t="n"/>
    </row>
    <row r="213" ht="17.25" customHeight="1" s="322">
      <c r="A213" s="27" t="n"/>
      <c r="B213" s="506">
        <f>IFERROR(__xludf.DUMMYFUNCTION("""COMPUTED_VALUE"""),46136.6666666666)</f>
        <v/>
      </c>
      <c r="C213" s="141">
        <f>IFERROR(__xludf.DUMMYFUNCTION("""COMPUTED_VALUE"""),80.44)</f>
        <v/>
      </c>
      <c r="D213" s="141">
        <f>IFERROR(__xludf.DUMMYFUNCTION("""COMPUTED_VALUE"""),80.53)</f>
        <v/>
      </c>
      <c r="E213" s="141">
        <f>IFERROR(__xludf.DUMMYFUNCTION("""COMPUTED_VALUE"""),80.3)</f>
        <v/>
      </c>
      <c r="F213" s="141">
        <f>IFERROR(__xludf.DUMMYFUNCTION("""COMPUTED_VALUE"""),80.48)</f>
        <v/>
      </c>
      <c r="G213" s="143">
        <f>IFERROR(__xludf.DUMMYFUNCTION("""COMPUTED_VALUE"""),33626256)</f>
        <v/>
      </c>
      <c r="H213" s="27" t="n"/>
    </row>
    <row r="214" ht="17.25" customHeight="1" s="322">
      <c r="A214" s="27" t="n"/>
      <c r="B214" s="506">
        <f>IFERROR(__xludf.DUMMYFUNCTION("""COMPUTED_VALUE"""),46139.6666666666)</f>
        <v/>
      </c>
      <c r="C214" s="141">
        <f>IFERROR(__xludf.DUMMYFUNCTION("""COMPUTED_VALUE"""),80.44)</f>
        <v/>
      </c>
      <c r="D214" s="141">
        <f>IFERROR(__xludf.DUMMYFUNCTION("""COMPUTED_VALUE"""),80.54)</f>
        <v/>
      </c>
      <c r="E214" s="141">
        <f>IFERROR(__xludf.DUMMYFUNCTION("""COMPUTED_VALUE"""),80.42)</f>
        <v/>
      </c>
      <c r="F214" s="141">
        <f>IFERROR(__xludf.DUMMYFUNCTION("""COMPUTED_VALUE"""),80.51)</f>
        <v/>
      </c>
      <c r="G214" s="143">
        <f>IFERROR(__xludf.DUMMYFUNCTION("""COMPUTED_VALUE"""),24643719)</f>
        <v/>
      </c>
      <c r="H214" s="27" t="n"/>
    </row>
    <row r="215" ht="17.25" customHeight="1" s="322">
      <c r="A215" s="27" t="n"/>
      <c r="B215" s="506">
        <f>IFERROR(__xludf.DUMMYFUNCTION("""COMPUTED_VALUE"""),46140.6666666666)</f>
        <v/>
      </c>
      <c r="C215" s="141">
        <f>IFERROR(__xludf.DUMMYFUNCTION("""COMPUTED_VALUE"""),80.35)</f>
        <v/>
      </c>
      <c r="D215" s="141">
        <f>IFERROR(__xludf.DUMMYFUNCTION("""COMPUTED_VALUE"""),80.43)</f>
        <v/>
      </c>
      <c r="E215" s="141">
        <f>IFERROR(__xludf.DUMMYFUNCTION("""COMPUTED_VALUE"""),80.33)</f>
        <v/>
      </c>
      <c r="F215" s="141">
        <f>IFERROR(__xludf.DUMMYFUNCTION("""COMPUTED_VALUE"""),80.4)</f>
        <v/>
      </c>
      <c r="G215" s="143">
        <f>IFERROR(__xludf.DUMMYFUNCTION("""COMPUTED_VALUE"""),36382406)</f>
        <v/>
      </c>
      <c r="H215" s="27" t="n"/>
    </row>
    <row r="216" ht="17.25" customHeight="1" s="322">
      <c r="A216" s="27" t="n"/>
      <c r="B216" s="506">
        <f>IFERROR(__xludf.DUMMYFUNCTION("""COMPUTED_VALUE"""),46141.6666666666)</f>
        <v/>
      </c>
      <c r="C216" s="141">
        <f>IFERROR(__xludf.DUMMYFUNCTION("""COMPUTED_VALUE"""),80.32)</f>
        <v/>
      </c>
      <c r="D216" s="141">
        <f>IFERROR(__xludf.DUMMYFUNCTION("""COMPUTED_VALUE"""),80.34)</f>
        <v/>
      </c>
      <c r="E216" s="141">
        <f>IFERROR(__xludf.DUMMYFUNCTION("""COMPUTED_VALUE"""),79.98)</f>
        <v/>
      </c>
      <c r="F216" s="141">
        <f>IFERROR(__xludf.DUMMYFUNCTION("""COMPUTED_VALUE"""),80.13)</f>
        <v/>
      </c>
      <c r="G216" s="143">
        <f>IFERROR(__xludf.DUMMYFUNCTION("""COMPUTED_VALUE"""),56809354)</f>
        <v/>
      </c>
      <c r="H216" s="27" t="n"/>
    </row>
    <row r="217" ht="17.25" customHeight="1" s="322">
      <c r="A217" s="27" t="n"/>
      <c r="B217" s="506">
        <f>IFERROR(__xludf.DUMMYFUNCTION("""COMPUTED_VALUE"""),46142.6666666666)</f>
        <v/>
      </c>
      <c r="C217" s="141">
        <f>IFERROR(__xludf.DUMMYFUNCTION("""COMPUTED_VALUE"""),80.18)</f>
        <v/>
      </c>
      <c r="D217" s="141">
        <f>IFERROR(__xludf.DUMMYFUNCTION("""COMPUTED_VALUE"""),80.42)</f>
        <v/>
      </c>
      <c r="E217" s="141">
        <f>IFERROR(__xludf.DUMMYFUNCTION("""COMPUTED_VALUE"""),80.17)</f>
        <v/>
      </c>
      <c r="F217" s="141">
        <f>IFERROR(__xludf.DUMMYFUNCTION("""COMPUTED_VALUE"""),80.38)</f>
        <v/>
      </c>
      <c r="G217" s="143">
        <f>IFERROR(__xludf.DUMMYFUNCTION("""COMPUTED_VALUE"""),51626062)</f>
        <v/>
      </c>
      <c r="H217" s="27" t="n"/>
    </row>
    <row r="218" ht="17.25" customHeight="1" s="322">
      <c r="A218" s="27" t="n"/>
      <c r="B218" s="506">
        <f>IFERROR(__xludf.DUMMYFUNCTION("""COMPUTED_VALUE"""),46143.6666666666)</f>
        <v/>
      </c>
      <c r="C218" s="141">
        <f>IFERROR(__xludf.DUMMYFUNCTION("""COMPUTED_VALUE"""),80.06)</f>
        <v/>
      </c>
      <c r="D218" s="141">
        <f>IFERROR(__xludf.DUMMYFUNCTION("""COMPUTED_VALUE"""),80.23)</f>
        <v/>
      </c>
      <c r="E218" s="141">
        <f>IFERROR(__xludf.DUMMYFUNCTION("""COMPUTED_VALUE"""),80.03)</f>
        <v/>
      </c>
      <c r="F218" s="141">
        <f>IFERROR(__xludf.DUMMYFUNCTION("""COMPUTED_VALUE"""),80.06)</f>
        <v/>
      </c>
      <c r="G218" s="143">
        <f>IFERROR(__xludf.DUMMYFUNCTION("""COMPUTED_VALUE"""),43740437)</f>
        <v/>
      </c>
      <c r="H218" s="27" t="n"/>
    </row>
    <row r="219" ht="17.25" customHeight="1" s="322">
      <c r="A219" s="27" t="n"/>
      <c r="B219" s="506">
        <f>IFERROR(__xludf.DUMMYFUNCTION("""COMPUTED_VALUE"""),46146.6666666666)</f>
        <v/>
      </c>
      <c r="C219" s="141">
        <f>IFERROR(__xludf.DUMMYFUNCTION("""COMPUTED_VALUE"""),80.02)</f>
        <v/>
      </c>
      <c r="D219" s="141">
        <f>IFERROR(__xludf.DUMMYFUNCTION("""COMPUTED_VALUE"""),80.02)</f>
        <v/>
      </c>
      <c r="E219" s="141">
        <f>IFERROR(__xludf.DUMMYFUNCTION("""COMPUTED_VALUE"""),79.69)</f>
        <v/>
      </c>
      <c r="F219" s="141">
        <f>IFERROR(__xludf.DUMMYFUNCTION("""COMPUTED_VALUE"""),79.8)</f>
        <v/>
      </c>
      <c r="G219" s="143">
        <f>IFERROR(__xludf.DUMMYFUNCTION("""COMPUTED_VALUE"""),35069330)</f>
        <v/>
      </c>
      <c r="H219" s="27" t="n"/>
    </row>
    <row r="220" ht="17.25" customHeight="1" s="322">
      <c r="A220" s="27" t="n"/>
      <c r="B220" s="506">
        <f>IFERROR(__xludf.DUMMYFUNCTION("""COMPUTED_VALUE"""),46147.6666666666)</f>
        <v/>
      </c>
      <c r="C220" s="141">
        <f>IFERROR(__xludf.DUMMYFUNCTION("""COMPUTED_VALUE"""),79.89)</f>
        <v/>
      </c>
      <c r="D220" s="141">
        <f>IFERROR(__xludf.DUMMYFUNCTION("""COMPUTED_VALUE"""),80.02)</f>
        <v/>
      </c>
      <c r="E220" s="141">
        <f>IFERROR(__xludf.DUMMYFUNCTION("""COMPUTED_VALUE"""),79.89)</f>
        <v/>
      </c>
      <c r="F220" s="141">
        <f>IFERROR(__xludf.DUMMYFUNCTION("""COMPUTED_VALUE"""),79.92)</f>
        <v/>
      </c>
      <c r="G220" s="143">
        <f>IFERROR(__xludf.DUMMYFUNCTION("""COMPUTED_VALUE"""),26357878)</f>
        <v/>
      </c>
      <c r="H220" s="27" t="n"/>
    </row>
    <row r="221" ht="17.25" customHeight="1" s="322">
      <c r="A221" s="27" t="n"/>
      <c r="B221" s="506">
        <f>IFERROR(__xludf.DUMMYFUNCTION("""COMPUTED_VALUE"""),46148.6666666666)</f>
        <v/>
      </c>
      <c r="C221" s="141">
        <f>IFERROR(__xludf.DUMMYFUNCTION("""COMPUTED_VALUE"""),80.09)</f>
        <v/>
      </c>
      <c r="D221" s="141">
        <f>IFERROR(__xludf.DUMMYFUNCTION("""COMPUTED_VALUE"""),80.24)</f>
        <v/>
      </c>
      <c r="E221" s="141">
        <f>IFERROR(__xludf.DUMMYFUNCTION("""COMPUTED_VALUE"""),80.08)</f>
        <v/>
      </c>
      <c r="F221" s="141">
        <f>IFERROR(__xludf.DUMMYFUNCTION("""COMPUTED_VALUE"""),80.16)</f>
        <v/>
      </c>
      <c r="G221" s="143">
        <f>IFERROR(__xludf.DUMMYFUNCTION("""COMPUTED_VALUE"""),38323120)</f>
        <v/>
      </c>
      <c r="H221" s="27" t="n"/>
    </row>
    <row r="222" ht="17.25" customHeight="1" s="322">
      <c r="A222" s="27" t="n"/>
      <c r="B222" s="506">
        <f>IFERROR(__xludf.DUMMYFUNCTION("""COMPUTED_VALUE"""),46149.6666666666)</f>
        <v/>
      </c>
      <c r="C222" s="141">
        <f>IFERROR(__xludf.DUMMYFUNCTION("""COMPUTED_VALUE"""),80.22)</f>
        <v/>
      </c>
      <c r="D222" s="141">
        <f>IFERROR(__xludf.DUMMYFUNCTION("""COMPUTED_VALUE"""),80.24)</f>
        <v/>
      </c>
      <c r="E222" s="141">
        <f>IFERROR(__xludf.DUMMYFUNCTION("""COMPUTED_VALUE"""),79.86)</f>
        <v/>
      </c>
      <c r="F222" s="141">
        <f>IFERROR(__xludf.DUMMYFUNCTION("""COMPUTED_VALUE"""),79.86)</f>
        <v/>
      </c>
      <c r="G222" s="143">
        <f>IFERROR(__xludf.DUMMYFUNCTION("""COMPUTED_VALUE"""),44772982)</f>
        <v/>
      </c>
      <c r="H222" s="27" t="n"/>
    </row>
    <row r="223" ht="17.25" customHeight="1" s="322">
      <c r="A223" s="27" t="n"/>
      <c r="B223" s="506">
        <f>IFERROR(__xludf.DUMMYFUNCTION("""COMPUTED_VALUE"""),46150.6666666666)</f>
        <v/>
      </c>
      <c r="C223" s="141">
        <f>IFERROR(__xludf.DUMMYFUNCTION("""COMPUTED_VALUE"""),80.01)</f>
        <v/>
      </c>
      <c r="D223" s="141">
        <f>IFERROR(__xludf.DUMMYFUNCTION("""COMPUTED_VALUE"""),80.15)</f>
        <v/>
      </c>
      <c r="E223" s="141">
        <f>IFERROR(__xludf.DUMMYFUNCTION("""COMPUTED_VALUE"""),80)</f>
        <v/>
      </c>
      <c r="F223" s="141">
        <f>IFERROR(__xludf.DUMMYFUNCTION("""COMPUTED_VALUE"""),80.14)</f>
        <v/>
      </c>
      <c r="G223" s="143">
        <f>IFERROR(__xludf.DUMMYFUNCTION("""COMPUTED_VALUE"""),29715369)</f>
        <v/>
      </c>
      <c r="H223" s="27" t="n"/>
    </row>
    <row r="224" ht="17.25" customHeight="1" s="322">
      <c r="A224" s="27" t="n"/>
      <c r="B224" s="506">
        <f>IFERROR(__xludf.DUMMYFUNCTION("""COMPUTED_VALUE"""),46153.6666666666)</f>
        <v/>
      </c>
      <c r="C224" s="141">
        <f>IFERROR(__xludf.DUMMYFUNCTION("""COMPUTED_VALUE"""),80.08)</f>
        <v/>
      </c>
      <c r="D224" s="141">
        <f>IFERROR(__xludf.DUMMYFUNCTION("""COMPUTED_VALUE"""),80.15)</f>
        <v/>
      </c>
      <c r="E224" s="141">
        <f>IFERROR(__xludf.DUMMYFUNCTION("""COMPUTED_VALUE"""),79.98)</f>
        <v/>
      </c>
      <c r="F224" s="141">
        <f>IFERROR(__xludf.DUMMYFUNCTION("""COMPUTED_VALUE"""),79.98)</f>
        <v/>
      </c>
      <c r="G224" s="143">
        <f>IFERROR(__xludf.DUMMYFUNCTION("""COMPUTED_VALUE"""),34366646)</f>
        <v/>
      </c>
      <c r="H224" s="27" t="n"/>
    </row>
    <row r="225" ht="17.25" customHeight="1" s="322">
      <c r="A225" s="27" t="n"/>
      <c r="B225" s="506">
        <f>IFERROR(__xludf.DUMMYFUNCTION("""COMPUTED_VALUE"""),46154.6666666666)</f>
        <v/>
      </c>
      <c r="C225" s="141">
        <f>IFERROR(__xludf.DUMMYFUNCTION("""COMPUTED_VALUE"""),79.82)</f>
        <v/>
      </c>
      <c r="D225" s="141">
        <f>IFERROR(__xludf.DUMMYFUNCTION("""COMPUTED_VALUE"""),79.89)</f>
        <v/>
      </c>
      <c r="E225" s="141">
        <f>IFERROR(__xludf.DUMMYFUNCTION("""COMPUTED_VALUE"""),79.7)</f>
        <v/>
      </c>
      <c r="F225" s="141">
        <f>IFERROR(__xludf.DUMMYFUNCTION("""COMPUTED_VALUE"""),79.87)</f>
        <v/>
      </c>
      <c r="G225" s="143">
        <f>IFERROR(__xludf.DUMMYFUNCTION("""COMPUTED_VALUE"""),37418937)</f>
        <v/>
      </c>
      <c r="H225" s="27" t="n"/>
    </row>
    <row r="226" ht="17.25" customHeight="1" s="322">
      <c r="A226" s="27" t="n"/>
      <c r="B226" s="506">
        <f>IFERROR(__xludf.DUMMYFUNCTION("""COMPUTED_VALUE"""),46155.6666666666)</f>
        <v/>
      </c>
      <c r="C226" s="141">
        <f>IFERROR(__xludf.DUMMYFUNCTION("""COMPUTED_VALUE"""),79.84)</f>
        <v/>
      </c>
      <c r="D226" s="141">
        <f>IFERROR(__xludf.DUMMYFUNCTION("""COMPUTED_VALUE"""),79.95)</f>
        <v/>
      </c>
      <c r="E226" s="141">
        <f>IFERROR(__xludf.DUMMYFUNCTION("""COMPUTED_VALUE"""),79.79)</f>
        <v/>
      </c>
      <c r="F226" s="141">
        <f>IFERROR(__xludf.DUMMYFUNCTION("""COMPUTED_VALUE"""),79.91)</f>
        <v/>
      </c>
      <c r="G226" s="143">
        <f>IFERROR(__xludf.DUMMYFUNCTION("""COMPUTED_VALUE"""),33257270)</f>
        <v/>
      </c>
      <c r="H226" s="27" t="n"/>
    </row>
    <row r="227" ht="17.25" customHeight="1" s="322">
      <c r="A227" s="27" t="n"/>
      <c r="B227" s="506">
        <f>IFERROR(__xludf.DUMMYFUNCTION("""COMPUTED_VALUE"""),46156.6666666666)</f>
        <v/>
      </c>
      <c r="C227" s="141">
        <f>IFERROR(__xludf.DUMMYFUNCTION("""COMPUTED_VALUE"""),79.97)</f>
        <v/>
      </c>
      <c r="D227" s="141">
        <f>IFERROR(__xludf.DUMMYFUNCTION("""COMPUTED_VALUE"""),80.05)</f>
        <v/>
      </c>
      <c r="E227" s="141">
        <f>IFERROR(__xludf.DUMMYFUNCTION("""COMPUTED_VALUE"""),79.85)</f>
        <v/>
      </c>
      <c r="F227" s="141">
        <f>IFERROR(__xludf.DUMMYFUNCTION("""COMPUTED_VALUE"""),79.85)</f>
        <v/>
      </c>
      <c r="G227" s="143">
        <f>IFERROR(__xludf.DUMMYFUNCTION("""COMPUTED_VALUE"""),27235559)</f>
        <v/>
      </c>
      <c r="H227" s="27" t="n"/>
    </row>
    <row r="228" ht="17.25" customHeight="1" s="322">
      <c r="A228" s="27" t="n"/>
      <c r="B228" s="506">
        <f>IFERROR(__xludf.DUMMYFUNCTION("""COMPUTED_VALUE"""),46157.6666666666)</f>
        <v/>
      </c>
      <c r="C228" s="141">
        <f>IFERROR(__xludf.DUMMYFUNCTION("""COMPUTED_VALUE"""),79.64)</f>
        <v/>
      </c>
      <c r="D228" s="141">
        <f>IFERROR(__xludf.DUMMYFUNCTION("""COMPUTED_VALUE"""),79.69)</f>
        <v/>
      </c>
      <c r="E228" s="141">
        <f>IFERROR(__xludf.DUMMYFUNCTION("""COMPUTED_VALUE"""),79.46)</f>
        <v/>
      </c>
      <c r="F228" s="141">
        <f>IFERROR(__xludf.DUMMYFUNCTION("""COMPUTED_VALUE"""),79.46)</f>
        <v/>
      </c>
      <c r="G228" s="143">
        <f>IFERROR(__xludf.DUMMYFUNCTION("""COMPUTED_VALUE"""),54466047)</f>
        <v/>
      </c>
      <c r="H228" s="27" t="n"/>
    </row>
    <row r="229" ht="17.25" customHeight="1" s="322">
      <c r="A229" s="27" t="n"/>
      <c r="B229" s="506">
        <f>IFERROR(__xludf.DUMMYFUNCTION("""COMPUTED_VALUE"""),46160.6666666666)</f>
        <v/>
      </c>
      <c r="C229" s="141">
        <f>IFERROR(__xludf.DUMMYFUNCTION("""COMPUTED_VALUE"""),79.63)</f>
        <v/>
      </c>
      <c r="D229" s="141">
        <f>IFERROR(__xludf.DUMMYFUNCTION("""COMPUTED_VALUE"""),79.7)</f>
        <v/>
      </c>
      <c r="E229" s="141">
        <f>IFERROR(__xludf.DUMMYFUNCTION("""COMPUTED_VALUE"""),79.44)</f>
        <v/>
      </c>
      <c r="F229" s="141">
        <f>IFERROR(__xludf.DUMMYFUNCTION("""COMPUTED_VALUE"""),79.54)</f>
        <v/>
      </c>
      <c r="G229" s="143">
        <f>IFERROR(__xludf.DUMMYFUNCTION("""COMPUTED_VALUE"""),38596132)</f>
        <v/>
      </c>
      <c r="H229" s="27" t="n"/>
    </row>
    <row r="230" ht="17.25" customHeight="1" s="322">
      <c r="A230" s="27" t="n"/>
      <c r="B230" s="506">
        <f>IFERROR(__xludf.DUMMYFUNCTION("""COMPUTED_VALUE"""),46161.6666666666)</f>
        <v/>
      </c>
      <c r="C230" s="141">
        <f>IFERROR(__xludf.DUMMYFUNCTION("""COMPUTED_VALUE"""),79.41)</f>
        <v/>
      </c>
      <c r="D230" s="141">
        <f>IFERROR(__xludf.DUMMYFUNCTION("""COMPUTED_VALUE"""),79.45)</f>
        <v/>
      </c>
      <c r="E230" s="141">
        <f>IFERROR(__xludf.DUMMYFUNCTION("""COMPUTED_VALUE"""),79.23)</f>
        <v/>
      </c>
      <c r="F230" s="141">
        <f>IFERROR(__xludf.DUMMYFUNCTION("""COMPUTED_VALUE"""),79.35)</f>
        <v/>
      </c>
      <c r="G230" s="143">
        <f>IFERROR(__xludf.DUMMYFUNCTION("""COMPUTED_VALUE"""),42904719)</f>
        <v/>
      </c>
      <c r="H230" s="27" t="n"/>
    </row>
    <row r="231" ht="17.25" customHeight="1" s="322">
      <c r="A231" s="27" t="n"/>
      <c r="B231" s="506">
        <f>IFERROR(__xludf.DUMMYFUNCTION("""COMPUTED_VALUE"""),46162.6666666666)</f>
        <v/>
      </c>
      <c r="C231" s="141">
        <f>IFERROR(__xludf.DUMMYFUNCTION("""COMPUTED_VALUE"""),79.5)</f>
        <v/>
      </c>
      <c r="D231" s="141">
        <f>IFERROR(__xludf.DUMMYFUNCTION("""COMPUTED_VALUE"""),79.87)</f>
        <v/>
      </c>
      <c r="E231" s="141">
        <f>IFERROR(__xludf.DUMMYFUNCTION("""COMPUTED_VALUE"""),79.4)</f>
        <v/>
      </c>
      <c r="F231" s="141">
        <f>IFERROR(__xludf.DUMMYFUNCTION("""COMPUTED_VALUE"""),79.86)</f>
        <v/>
      </c>
      <c r="G231" s="143">
        <f>IFERROR(__xludf.DUMMYFUNCTION("""COMPUTED_VALUE"""),58906257)</f>
        <v/>
      </c>
      <c r="H231" s="27" t="n"/>
    </row>
    <row r="232" ht="17.25" customHeight="1" s="322">
      <c r="A232" s="27" t="n"/>
      <c r="B232" s="506">
        <f>IFERROR(__xludf.DUMMYFUNCTION("""COMPUTED_VALUE"""),46163.6666666666)</f>
        <v/>
      </c>
      <c r="C232" s="141">
        <f>IFERROR(__xludf.DUMMYFUNCTION("""COMPUTED_VALUE"""),79.75)</f>
        <v/>
      </c>
      <c r="D232" s="141">
        <f>IFERROR(__xludf.DUMMYFUNCTION("""COMPUTED_VALUE"""),79.99)</f>
        <v/>
      </c>
      <c r="E232" s="141">
        <f>IFERROR(__xludf.DUMMYFUNCTION("""COMPUTED_VALUE"""),79.65)</f>
        <v/>
      </c>
      <c r="F232" s="141">
        <f>IFERROR(__xludf.DUMMYFUNCTION("""COMPUTED_VALUE"""),79.9)</f>
        <v/>
      </c>
      <c r="G232" s="143">
        <f>IFERROR(__xludf.DUMMYFUNCTION("""COMPUTED_VALUE"""),37584581)</f>
        <v/>
      </c>
      <c r="H232" s="27" t="n"/>
    </row>
    <row r="233" ht="17.25" customHeight="1" s="322">
      <c r="A233" s="27" t="n"/>
      <c r="B233" s="506">
        <f>IFERROR(__xludf.DUMMYFUNCTION("""COMPUTED_VALUE"""),46164.6666666666)</f>
        <v/>
      </c>
      <c r="C233" s="141">
        <f>IFERROR(__xludf.DUMMYFUNCTION("""COMPUTED_VALUE"""),80.01)</f>
        <v/>
      </c>
      <c r="D233" s="141">
        <f>IFERROR(__xludf.DUMMYFUNCTION("""COMPUTED_VALUE"""),80.02)</f>
        <v/>
      </c>
      <c r="E233" s="141">
        <f>IFERROR(__xludf.DUMMYFUNCTION("""COMPUTED_VALUE"""),79.84)</f>
        <v/>
      </c>
      <c r="F233" s="141">
        <f>IFERROR(__xludf.DUMMYFUNCTION("""COMPUTED_VALUE"""),79.91)</f>
        <v/>
      </c>
      <c r="G233" s="143">
        <f>IFERROR(__xludf.DUMMYFUNCTION("""COMPUTED_VALUE"""),22429426)</f>
        <v/>
      </c>
      <c r="H233" s="27" t="n"/>
    </row>
    <row r="234" ht="17.25" customHeight="1" s="322">
      <c r="A234" s="27" t="n"/>
      <c r="B234" s="506">
        <f>IFERROR(__xludf.DUMMYFUNCTION("""COMPUTED_VALUE"""),46168.6666666666)</f>
        <v/>
      </c>
      <c r="C234" s="141">
        <f>IFERROR(__xludf.DUMMYFUNCTION("""COMPUTED_VALUE"""),80.14)</f>
        <v/>
      </c>
      <c r="D234" s="141">
        <f>IFERROR(__xludf.DUMMYFUNCTION("""COMPUTED_VALUE"""),80.19)</f>
        <v/>
      </c>
      <c r="E234" s="141">
        <f>IFERROR(__xludf.DUMMYFUNCTION("""COMPUTED_VALUE"""),80.04)</f>
        <v/>
      </c>
      <c r="F234" s="141">
        <f>IFERROR(__xludf.DUMMYFUNCTION("""COMPUTED_VALUE"""),80.18)</f>
        <v/>
      </c>
      <c r="G234" s="143">
        <f>IFERROR(__xludf.DUMMYFUNCTION("""COMPUTED_VALUE"""),30406123)</f>
        <v/>
      </c>
      <c r="H234" s="27" t="n"/>
    </row>
    <row r="235" ht="17.25" customHeight="1" s="322">
      <c r="A235" s="27" t="n"/>
      <c r="B235" s="506">
        <f>IFERROR(__xludf.DUMMYFUNCTION("""COMPUTED_VALUE"""),46169.6666666666)</f>
        <v/>
      </c>
      <c r="C235" s="141">
        <f>IFERROR(__xludf.DUMMYFUNCTION("""COMPUTED_VALUE"""),80.17)</f>
        <v/>
      </c>
      <c r="D235" s="141">
        <f>IFERROR(__xludf.DUMMYFUNCTION("""COMPUTED_VALUE"""),80.21)</f>
        <v/>
      </c>
      <c r="E235" s="141">
        <f>IFERROR(__xludf.DUMMYFUNCTION("""COMPUTED_VALUE"""),80.08)</f>
        <v/>
      </c>
      <c r="F235" s="141">
        <f>IFERROR(__xludf.DUMMYFUNCTION("""COMPUTED_VALUE"""),80.13)</f>
        <v/>
      </c>
      <c r="G235" s="143">
        <f>IFERROR(__xludf.DUMMYFUNCTION("""COMPUTED_VALUE"""),22525539)</f>
        <v/>
      </c>
      <c r="H235" s="27" t="n"/>
    </row>
    <row r="236" ht="17.25" customHeight="1" s="322">
      <c r="A236" s="27" t="n"/>
      <c r="B236" s="506">
        <f>IFERROR(__xludf.DUMMYFUNCTION("""COMPUTED_VALUE"""),46170.6666666666)</f>
        <v/>
      </c>
      <c r="C236" s="141">
        <f>IFERROR(__xludf.DUMMYFUNCTION("""COMPUTED_VALUE"""),80.08)</f>
        <v/>
      </c>
      <c r="D236" s="141">
        <f>IFERROR(__xludf.DUMMYFUNCTION("""COMPUTED_VALUE"""),80.27)</f>
        <v/>
      </c>
      <c r="E236" s="141">
        <f>IFERROR(__xludf.DUMMYFUNCTION("""COMPUTED_VALUE"""),80.04)</f>
        <v/>
      </c>
      <c r="F236" s="141">
        <f>IFERROR(__xludf.DUMMYFUNCTION("""COMPUTED_VALUE"""),80.23)</f>
        <v/>
      </c>
      <c r="G236" s="143">
        <f>IFERROR(__xludf.DUMMYFUNCTION("""COMPUTED_VALUE"""),32001607)</f>
        <v/>
      </c>
      <c r="H236" s="27" t="n"/>
    </row>
    <row r="237" ht="17.25" customHeight="1" s="322">
      <c r="A237" s="27" t="n"/>
      <c r="B237" s="506">
        <f>IFERROR(__xludf.DUMMYFUNCTION("""COMPUTED_VALUE"""),46171.6666666666)</f>
        <v/>
      </c>
      <c r="C237" s="141">
        <f>IFERROR(__xludf.DUMMYFUNCTION("""COMPUTED_VALUE"""),80.26)</f>
        <v/>
      </c>
      <c r="D237" s="141">
        <f>IFERROR(__xludf.DUMMYFUNCTION("""COMPUTED_VALUE"""),80.36)</f>
        <v/>
      </c>
      <c r="E237" s="141">
        <f>IFERROR(__xludf.DUMMYFUNCTION("""COMPUTED_VALUE"""),80.21)</f>
        <v/>
      </c>
      <c r="F237" s="141">
        <f>IFERROR(__xludf.DUMMYFUNCTION("""COMPUTED_VALUE"""),80.31)</f>
        <v/>
      </c>
      <c r="G237" s="143">
        <f>IFERROR(__xludf.DUMMYFUNCTION("""COMPUTED_VALUE"""),39149257)</f>
        <v/>
      </c>
      <c r="H237" s="27" t="n"/>
    </row>
    <row r="238" ht="17.25" customHeight="1" s="322">
      <c r="A238" s="27" t="n"/>
      <c r="B238" s="506">
        <f>IFERROR(__xludf.DUMMYFUNCTION("""COMPUTED_VALUE"""),46174.6666666666)</f>
        <v/>
      </c>
      <c r="C238" s="141">
        <f>IFERROR(__xludf.DUMMYFUNCTION("""COMPUTED_VALUE"""),79.79)</f>
        <v/>
      </c>
      <c r="D238" s="141">
        <f>IFERROR(__xludf.DUMMYFUNCTION("""COMPUTED_VALUE"""),79.88)</f>
        <v/>
      </c>
      <c r="E238" s="141">
        <f>IFERROR(__xludf.DUMMYFUNCTION("""COMPUTED_VALUE"""),79.64)</f>
        <v/>
      </c>
      <c r="F238" s="141">
        <f>IFERROR(__xludf.DUMMYFUNCTION("""COMPUTED_VALUE"""),79.84)</f>
        <v/>
      </c>
      <c r="G238" s="143">
        <f>IFERROR(__xludf.DUMMYFUNCTION("""COMPUTED_VALUE"""),32671014)</f>
        <v/>
      </c>
      <c r="H238" s="27" t="n"/>
    </row>
    <row r="239" ht="17.25" customHeight="1" s="322">
      <c r="A239" s="27" t="n"/>
      <c r="B239" s="506">
        <f>IFERROR(__xludf.DUMMYFUNCTION("""COMPUTED_VALUE"""),46175.6666666666)</f>
        <v/>
      </c>
      <c r="C239" s="141">
        <f>IFERROR(__xludf.DUMMYFUNCTION("""COMPUTED_VALUE"""),79.84)</f>
        <v/>
      </c>
      <c r="D239" s="141">
        <f>IFERROR(__xludf.DUMMYFUNCTION("""COMPUTED_VALUE"""),79.9)</f>
        <v/>
      </c>
      <c r="E239" s="141">
        <f>IFERROR(__xludf.DUMMYFUNCTION("""COMPUTED_VALUE"""),79.79)</f>
        <v/>
      </c>
      <c r="F239" s="141">
        <f>IFERROR(__xludf.DUMMYFUNCTION("""COMPUTED_VALUE"""),79.9)</f>
        <v/>
      </c>
      <c r="G239" s="143">
        <f>IFERROR(__xludf.DUMMYFUNCTION("""COMPUTED_VALUE"""),25237730)</f>
        <v/>
      </c>
      <c r="H239" s="27" t="n"/>
    </row>
    <row r="240" ht="17.25" customHeight="1" s="322">
      <c r="A240" s="27" t="n"/>
      <c r="B240" s="506">
        <f>IFERROR(__xludf.DUMMYFUNCTION("""COMPUTED_VALUE"""),46176.6666666666)</f>
        <v/>
      </c>
      <c r="C240" s="141">
        <f>IFERROR(__xludf.DUMMYFUNCTION("""COMPUTED_VALUE"""),79.75)</f>
        <v/>
      </c>
      <c r="D240" s="141">
        <f>IFERROR(__xludf.DUMMYFUNCTION("""COMPUTED_VALUE"""),79.78)</f>
        <v/>
      </c>
      <c r="E240" s="141">
        <f>IFERROR(__xludf.DUMMYFUNCTION("""COMPUTED_VALUE"""),79.63)</f>
        <v/>
      </c>
      <c r="F240" s="141">
        <f>IFERROR(__xludf.DUMMYFUNCTION("""COMPUTED_VALUE"""),79.68)</f>
        <v/>
      </c>
      <c r="G240" s="143">
        <f>IFERROR(__xludf.DUMMYFUNCTION("""COMPUTED_VALUE"""),28203411)</f>
        <v/>
      </c>
      <c r="H240" s="27" t="n"/>
    </row>
    <row r="241" ht="17.25" customHeight="1" s="322">
      <c r="A241" s="27" t="n"/>
      <c r="B241" s="506">
        <f>IFERROR(__xludf.DUMMYFUNCTION("""COMPUTED_VALUE"""),46177.6666666666)</f>
        <v/>
      </c>
      <c r="C241" s="141">
        <f>IFERROR(__xludf.DUMMYFUNCTION("""COMPUTED_VALUE"""),79.75)</f>
        <v/>
      </c>
      <c r="D241" s="141">
        <f>IFERROR(__xludf.DUMMYFUNCTION("""COMPUTED_VALUE"""),79.85)</f>
        <v/>
      </c>
      <c r="E241" s="141">
        <f>IFERROR(__xludf.DUMMYFUNCTION("""COMPUTED_VALUE"""),79.75)</f>
        <v/>
      </c>
      <c r="F241" s="141">
        <f>IFERROR(__xludf.DUMMYFUNCTION("""COMPUTED_VALUE"""),79.83)</f>
        <v/>
      </c>
      <c r="G241" s="143">
        <f>IFERROR(__xludf.DUMMYFUNCTION("""COMPUTED_VALUE"""),22697931)</f>
        <v/>
      </c>
      <c r="H241" s="27" t="n"/>
    </row>
    <row r="242" ht="17.25" customHeight="1" s="322">
      <c r="A242" s="27" t="n"/>
      <c r="B242" s="506">
        <f>IFERROR(__xludf.DUMMYFUNCTION("""COMPUTED_VALUE"""),46178.6666666666)</f>
        <v/>
      </c>
      <c r="C242" s="141">
        <f>IFERROR(__xludf.DUMMYFUNCTION("""COMPUTED_VALUE"""),79.7)</f>
        <v/>
      </c>
      <c r="D242" s="141">
        <f>IFERROR(__xludf.DUMMYFUNCTION("""COMPUTED_VALUE"""),79.72)</f>
        <v/>
      </c>
      <c r="E242" s="141">
        <f>IFERROR(__xludf.DUMMYFUNCTION("""COMPUTED_VALUE"""),79.35)</f>
        <v/>
      </c>
      <c r="F242" s="141">
        <f>IFERROR(__xludf.DUMMYFUNCTION("""COMPUTED_VALUE"""),79.43)</f>
        <v/>
      </c>
      <c r="G242" s="143">
        <f>IFERROR(__xludf.DUMMYFUNCTION("""COMPUTED_VALUE"""),46035764)</f>
        <v/>
      </c>
      <c r="H242" s="27" t="n"/>
    </row>
    <row r="243" ht="17.25" customHeight="1" s="322">
      <c r="A243" s="27" t="n"/>
      <c r="B243" s="506">
        <f>IFERROR(__xludf.DUMMYFUNCTION("""COMPUTED_VALUE"""),46181.6666666666)</f>
        <v/>
      </c>
      <c r="C243" s="141">
        <f>IFERROR(__xludf.DUMMYFUNCTION("""COMPUTED_VALUE"""),79.6)</f>
        <v/>
      </c>
      <c r="D243" s="141">
        <f>IFERROR(__xludf.DUMMYFUNCTION("""COMPUTED_VALUE"""),79.65)</f>
        <v/>
      </c>
      <c r="E243" s="141">
        <f>IFERROR(__xludf.DUMMYFUNCTION("""COMPUTED_VALUE"""),79.48)</f>
        <v/>
      </c>
      <c r="F243" s="141">
        <f>IFERROR(__xludf.DUMMYFUNCTION("""COMPUTED_VALUE"""),79.54)</f>
        <v/>
      </c>
      <c r="G243" s="143">
        <f>IFERROR(__xludf.DUMMYFUNCTION("""COMPUTED_VALUE"""),25217806)</f>
        <v/>
      </c>
      <c r="H243" s="27" t="n"/>
    </row>
    <row r="244" ht="17.25" customHeight="1" s="322">
      <c r="A244" s="27" t="n"/>
      <c r="B244" s="506">
        <f>IFERROR(__xludf.DUMMYFUNCTION("""COMPUTED_VALUE"""),46182.6666666666)</f>
        <v/>
      </c>
      <c r="C244" s="141">
        <f>IFERROR(__xludf.DUMMYFUNCTION("""COMPUTED_VALUE"""),79.65)</f>
        <v/>
      </c>
      <c r="D244" s="141">
        <f>IFERROR(__xludf.DUMMYFUNCTION("""COMPUTED_VALUE"""),79.79)</f>
        <v/>
      </c>
      <c r="E244" s="141">
        <f>IFERROR(__xludf.DUMMYFUNCTION("""COMPUTED_VALUE"""),79.42)</f>
        <v/>
      </c>
      <c r="F244" s="141">
        <f>IFERROR(__xludf.DUMMYFUNCTION("""COMPUTED_VALUE"""),79.62)</f>
        <v/>
      </c>
      <c r="G244" s="143">
        <f>IFERROR(__xludf.DUMMYFUNCTION("""COMPUTED_VALUE"""),34705837)</f>
        <v/>
      </c>
      <c r="H244" s="27" t="n"/>
    </row>
    <row r="245" ht="17.25" customHeight="1" s="322">
      <c r="A245" s="27" t="n"/>
      <c r="B245" s="506">
        <f>IFERROR(__xludf.DUMMYFUNCTION("""COMPUTED_VALUE"""),46183.6666666666)</f>
        <v/>
      </c>
      <c r="C245" s="141">
        <f>IFERROR(__xludf.DUMMYFUNCTION("""COMPUTED_VALUE"""),79.56)</f>
        <v/>
      </c>
      <c r="D245" s="141">
        <f>IFERROR(__xludf.DUMMYFUNCTION("""COMPUTED_VALUE"""),79.64)</f>
        <v/>
      </c>
      <c r="E245" s="141">
        <f>IFERROR(__xludf.DUMMYFUNCTION("""COMPUTED_VALUE"""),79.44)</f>
        <v/>
      </c>
      <c r="F245" s="141">
        <f>IFERROR(__xludf.DUMMYFUNCTION("""COMPUTED_VALUE"""),79.47)</f>
        <v/>
      </c>
      <c r="G245" s="143">
        <f>IFERROR(__xludf.DUMMYFUNCTION("""COMPUTED_VALUE"""),30345151)</f>
        <v/>
      </c>
      <c r="H245" s="27" t="n"/>
    </row>
    <row r="246" ht="17.25" customHeight="1" s="322">
      <c r="A246" s="27" t="n"/>
      <c r="B246" s="506">
        <f>IFERROR(__xludf.DUMMYFUNCTION("""COMPUTED_VALUE"""),46184.6666666666)</f>
        <v/>
      </c>
      <c r="C246" s="141">
        <f>IFERROR(__xludf.DUMMYFUNCTION("""COMPUTED_VALUE"""),79.57)</f>
        <v/>
      </c>
      <c r="D246" s="141">
        <f>IFERROR(__xludf.DUMMYFUNCTION("""COMPUTED_VALUE"""),79.97)</f>
        <v/>
      </c>
      <c r="E246" s="141">
        <f>IFERROR(__xludf.DUMMYFUNCTION("""COMPUTED_VALUE"""),79.52)</f>
        <v/>
      </c>
      <c r="F246" s="141">
        <f>IFERROR(__xludf.DUMMYFUNCTION("""COMPUTED_VALUE"""),79.94)</f>
        <v/>
      </c>
      <c r="G246" s="143">
        <f>IFERROR(__xludf.DUMMYFUNCTION("""COMPUTED_VALUE"""),55089550)</f>
        <v/>
      </c>
      <c r="H246" s="27" t="n"/>
    </row>
    <row r="247" ht="17.25" customHeight="1" s="322">
      <c r="A247" s="27" t="n"/>
      <c r="B247" s="506">
        <f>IFERROR(__xludf.DUMMYFUNCTION("""COMPUTED_VALUE"""),46185.6666666666)</f>
        <v/>
      </c>
      <c r="C247" s="141">
        <f>IFERROR(__xludf.DUMMYFUNCTION("""COMPUTED_VALUE"""),79.94)</f>
        <v/>
      </c>
      <c r="D247" s="141">
        <f>IFERROR(__xludf.DUMMYFUNCTION("""COMPUTED_VALUE"""),80)</f>
        <v/>
      </c>
      <c r="E247" s="141">
        <f>IFERROR(__xludf.DUMMYFUNCTION("""COMPUTED_VALUE"""),79.8)</f>
        <v/>
      </c>
      <c r="F247" s="141">
        <f>IFERROR(__xludf.DUMMYFUNCTION("""COMPUTED_VALUE"""),79.94)</f>
        <v/>
      </c>
      <c r="G247" s="143">
        <f>IFERROR(__xludf.DUMMYFUNCTION("""COMPUTED_VALUE"""),29873324)</f>
        <v/>
      </c>
      <c r="H247" s="27" t="n"/>
    </row>
    <row r="248" ht="17.25" customHeight="1" s="322">
      <c r="A248" s="27" t="n"/>
      <c r="B248" s="506">
        <f>IFERROR(__xludf.DUMMYFUNCTION("""COMPUTED_VALUE"""),46188.6666666666)</f>
        <v/>
      </c>
      <c r="C248" s="141">
        <f>IFERROR(__xludf.DUMMYFUNCTION("""COMPUTED_VALUE"""),80.14)</f>
        <v/>
      </c>
      <c r="D248" s="141">
        <f>IFERROR(__xludf.DUMMYFUNCTION("""COMPUTED_VALUE"""),80.17)</f>
        <v/>
      </c>
      <c r="E248" s="141">
        <f>IFERROR(__xludf.DUMMYFUNCTION("""COMPUTED_VALUE"""),80.03)</f>
        <v/>
      </c>
      <c r="F248" s="141">
        <f>IFERROR(__xludf.DUMMYFUNCTION("""COMPUTED_VALUE"""),80.04)</f>
        <v/>
      </c>
      <c r="G248" s="143">
        <f>IFERROR(__xludf.DUMMYFUNCTION("""COMPUTED_VALUE"""),32019558)</f>
        <v/>
      </c>
      <c r="H248" s="27" t="n"/>
    </row>
    <row r="249" ht="17.25" customHeight="1" s="322">
      <c r="A249" s="27" t="n"/>
      <c r="B249" s="506">
        <f>IFERROR(__xludf.DUMMYFUNCTION("""COMPUTED_VALUE"""),46189.6666666666)</f>
        <v/>
      </c>
      <c r="C249" s="141">
        <f>IFERROR(__xludf.DUMMYFUNCTION("""COMPUTED_VALUE"""),80.03)</f>
        <v/>
      </c>
      <c r="D249" s="141">
        <f>IFERROR(__xludf.DUMMYFUNCTION("""COMPUTED_VALUE"""),80.11)</f>
        <v/>
      </c>
      <c r="E249" s="141">
        <f>IFERROR(__xludf.DUMMYFUNCTION("""COMPUTED_VALUE"""),79.96)</f>
        <v/>
      </c>
      <c r="F249" s="141">
        <f>IFERROR(__xludf.DUMMYFUNCTION("""COMPUTED_VALUE"""),80.03)</f>
        <v/>
      </c>
      <c r="G249" s="143">
        <f>IFERROR(__xludf.DUMMYFUNCTION("""COMPUTED_VALUE"""),24471850)</f>
        <v/>
      </c>
      <c r="H249" s="27" t="n"/>
    </row>
    <row r="250" ht="17.25" customHeight="1" s="322">
      <c r="A250" s="27" t="n"/>
      <c r="B250" s="506">
        <f>IFERROR(__xludf.DUMMYFUNCTION("""COMPUTED_VALUE"""),46190.6666666666)</f>
        <v/>
      </c>
      <c r="C250" s="141">
        <f>IFERROR(__xludf.DUMMYFUNCTION("""COMPUTED_VALUE"""),79.99)</f>
        <v/>
      </c>
      <c r="D250" s="141">
        <f>IFERROR(__xludf.DUMMYFUNCTION("""COMPUTED_VALUE"""),80.07)</f>
        <v/>
      </c>
      <c r="E250" s="141">
        <f>IFERROR(__xludf.DUMMYFUNCTION("""COMPUTED_VALUE"""),79.71)</f>
        <v/>
      </c>
      <c r="F250" s="141">
        <f>IFERROR(__xludf.DUMMYFUNCTION("""COMPUTED_VALUE"""),79.73)</f>
        <v/>
      </c>
      <c r="G250" s="143">
        <f>IFERROR(__xludf.DUMMYFUNCTION("""COMPUTED_VALUE"""),47184838)</f>
        <v/>
      </c>
      <c r="H250" s="27" t="n"/>
    </row>
    <row r="251" ht="17.25" customHeight="1" s="322">
      <c r="A251" s="27" t="n"/>
      <c r="B251" s="506">
        <f>IFERROR(__xludf.DUMMYFUNCTION("""COMPUTED_VALUE"""),46191.6666666666)</f>
        <v/>
      </c>
      <c r="C251" s="141">
        <f>IFERROR(__xludf.DUMMYFUNCTION("""COMPUTED_VALUE"""),80.03)</f>
        <v/>
      </c>
      <c r="D251" s="141">
        <f>IFERROR(__xludf.DUMMYFUNCTION("""COMPUTED_VALUE"""),80.07)</f>
        <v/>
      </c>
      <c r="E251" s="141">
        <f>IFERROR(__xludf.DUMMYFUNCTION("""COMPUTED_VALUE"""),79.92)</f>
        <v/>
      </c>
      <c r="F251" s="141">
        <f>IFERROR(__xludf.DUMMYFUNCTION("""COMPUTED_VALUE"""),80.01)</f>
        <v/>
      </c>
      <c r="G251" s="143">
        <f>IFERROR(__xludf.DUMMYFUNCTION("""COMPUTED_VALUE"""),41111750)</f>
        <v/>
      </c>
      <c r="H251" s="27" t="n"/>
    </row>
    <row r="252" ht="17.25" customHeight="1" s="322">
      <c r="A252" s="27" t="n"/>
      <c r="B252" s="506">
        <f>IFERROR(__xludf.DUMMYFUNCTION("""COMPUTED_VALUE"""),46195.6666666666)</f>
        <v/>
      </c>
      <c r="C252" s="141">
        <f>IFERROR(__xludf.DUMMYFUNCTION("""COMPUTED_VALUE"""),79.94)</f>
        <v/>
      </c>
      <c r="D252" s="141">
        <f>IFERROR(__xludf.DUMMYFUNCTION("""COMPUTED_VALUE"""),79.98)</f>
        <v/>
      </c>
      <c r="E252" s="141">
        <f>IFERROR(__xludf.DUMMYFUNCTION("""COMPUTED_VALUE"""),79.87)</f>
        <v/>
      </c>
      <c r="F252" s="141">
        <f>IFERROR(__xludf.DUMMYFUNCTION("""COMPUTED_VALUE"""),79.94)</f>
        <v/>
      </c>
      <c r="G252" s="143">
        <f>IFERROR(__xludf.DUMMYFUNCTION("""COMPUTED_VALUE"""),26479777)</f>
        <v/>
      </c>
      <c r="H252" s="27" t="n"/>
    </row>
    <row r="253" ht="17.25" customHeight="1" s="322">
      <c r="A253" s="27" t="n"/>
      <c r="B253" s="506">
        <f>IFERROR(__xludf.DUMMYFUNCTION("""COMPUTED_VALUE"""),46196.6666666666)</f>
        <v/>
      </c>
      <c r="C253" s="141">
        <f>IFERROR(__xludf.DUMMYFUNCTION("""COMPUTED_VALUE"""),79.83)</f>
        <v/>
      </c>
      <c r="D253" s="141">
        <f>IFERROR(__xludf.DUMMYFUNCTION("""COMPUTED_VALUE"""),79.97)</f>
        <v/>
      </c>
      <c r="E253" s="141">
        <f>IFERROR(__xludf.DUMMYFUNCTION("""COMPUTED_VALUE"""),79.82)</f>
        <v/>
      </c>
      <c r="F253" s="141">
        <f>IFERROR(__xludf.DUMMYFUNCTION("""COMPUTED_VALUE"""),79.87)</f>
        <v/>
      </c>
      <c r="G253" s="143">
        <f>IFERROR(__xludf.DUMMYFUNCTION("""COMPUTED_VALUE"""),29811350)</f>
        <v/>
      </c>
      <c r="H253" s="27" t="n"/>
    </row>
    <row r="254" ht="17.25" customHeight="1" s="322">
      <c r="A254" s="27" t="n"/>
      <c r="B254" s="506">
        <f>IFERROR(__xludf.DUMMYFUNCTION("""COMPUTED_VALUE"""),46197.6666666666)</f>
        <v/>
      </c>
      <c r="C254" s="141">
        <f>IFERROR(__xludf.DUMMYFUNCTION("""COMPUTED_VALUE"""),79.94)</f>
        <v/>
      </c>
      <c r="D254" s="141">
        <f>IFERROR(__xludf.DUMMYFUNCTION("""COMPUTED_VALUE"""),79.99)</f>
        <v/>
      </c>
      <c r="E254" s="141">
        <f>IFERROR(__xludf.DUMMYFUNCTION("""COMPUTED_VALUE"""),79.84)</f>
        <v/>
      </c>
      <c r="F254" s="141">
        <f>IFERROR(__xludf.DUMMYFUNCTION("""COMPUTED_VALUE"""),79.85)</f>
        <v/>
      </c>
      <c r="G254" s="143">
        <f>IFERROR(__xludf.DUMMYFUNCTION("""COMPUTED_VALUE"""),38840988)</f>
        <v/>
      </c>
      <c r="H254" s="27" t="n"/>
    </row>
    <row r="255" ht="17.25" customHeight="1" s="322">
      <c r="A255" s="27" t="n"/>
      <c r="B255" s="506">
        <f>IFERROR(__xludf.DUMMYFUNCTION("""COMPUTED_VALUE"""),46198.6666666666)</f>
        <v/>
      </c>
      <c r="C255" s="141">
        <f>IFERROR(__xludf.DUMMYFUNCTION("""COMPUTED_VALUE"""),79.92)</f>
        <v/>
      </c>
      <c r="D255" s="141">
        <f>IFERROR(__xludf.DUMMYFUNCTION("""COMPUTED_VALUE"""),79.98)</f>
        <v/>
      </c>
      <c r="E255" s="141">
        <f>IFERROR(__xludf.DUMMYFUNCTION("""COMPUTED_VALUE"""),79.82)</f>
        <v/>
      </c>
      <c r="F255" s="141">
        <f>IFERROR(__xludf.DUMMYFUNCTION("""COMPUTED_VALUE"""),79.88)</f>
        <v/>
      </c>
      <c r="G255" s="143">
        <f>IFERROR(__xludf.DUMMYFUNCTION("""COMPUTED_VALUE"""),29322446)</f>
        <v/>
      </c>
      <c r="H255" s="27" t="n"/>
    </row>
    <row r="256" ht="17.25" customHeight="1" s="322">
      <c r="A256" s="27" t="n"/>
      <c r="B256" s="506">
        <f>IFERROR(__xludf.DUMMYFUNCTION("""COMPUTED_VALUE"""),46199.6666666666)</f>
        <v/>
      </c>
      <c r="C256" s="141">
        <f>IFERROR(__xludf.DUMMYFUNCTION("""COMPUTED_VALUE"""),79.82)</f>
        <v/>
      </c>
      <c r="D256" s="141">
        <f>IFERROR(__xludf.DUMMYFUNCTION("""COMPUTED_VALUE"""),79.95)</f>
        <v/>
      </c>
      <c r="E256" s="141">
        <f>IFERROR(__xludf.DUMMYFUNCTION("""COMPUTED_VALUE"""),79.81)</f>
        <v/>
      </c>
      <c r="F256" s="141">
        <f>IFERROR(__xludf.DUMMYFUNCTION("""COMPUTED_VALUE"""),79.83)</f>
        <v/>
      </c>
      <c r="G256" s="143">
        <f>IFERROR(__xludf.DUMMYFUNCTION("""COMPUTED_VALUE"""),27647491)</f>
        <v/>
      </c>
      <c r="H256" s="27" t="n"/>
    </row>
    <row r="257" ht="17.25" customHeight="1" s="322">
      <c r="A257" s="27" t="n"/>
      <c r="B257" s="506">
        <f>IFERROR(__xludf.DUMMYFUNCTION("""COMPUTED_VALUE"""),46202.6666666666)</f>
        <v/>
      </c>
      <c r="C257" s="141">
        <f>IFERROR(__xludf.DUMMYFUNCTION("""COMPUTED_VALUE"""),79.95)</f>
        <v/>
      </c>
      <c r="D257" s="141">
        <f>IFERROR(__xludf.DUMMYFUNCTION("""COMPUTED_VALUE"""),80.03)</f>
        <v/>
      </c>
      <c r="E257" s="141">
        <f>IFERROR(__xludf.DUMMYFUNCTION("""COMPUTED_VALUE"""),79.85)</f>
        <v/>
      </c>
      <c r="F257" s="141">
        <f>IFERROR(__xludf.DUMMYFUNCTION("""COMPUTED_VALUE"""),80.01)</f>
        <v/>
      </c>
      <c r="G257" s="143">
        <f>IFERROR(__xludf.DUMMYFUNCTION("""COMPUTED_VALUE"""),37325679)</f>
        <v/>
      </c>
      <c r="H257" s="27" t="n"/>
    </row>
    <row r="258" ht="17.25" customHeight="1" s="322">
      <c r="A258" s="27" t="n"/>
      <c r="B258" s="506">
        <f>IFERROR(__xludf.DUMMYFUNCTION("""COMPUTED_VALUE"""),46203.6666666666)</f>
        <v/>
      </c>
      <c r="C258" s="141">
        <f>IFERROR(__xludf.DUMMYFUNCTION("""COMPUTED_VALUE"""),80)</f>
        <v/>
      </c>
      <c r="D258" s="141">
        <f>IFERROR(__xludf.DUMMYFUNCTION("""COMPUTED_VALUE"""),80.05)</f>
        <v/>
      </c>
      <c r="E258" s="141">
        <f>IFERROR(__xludf.DUMMYFUNCTION("""COMPUTED_VALUE"""),79.92)</f>
        <v/>
      </c>
      <c r="F258" s="141">
        <f>IFERROR(__xludf.DUMMYFUNCTION("""COMPUTED_VALUE"""),79.97)</f>
        <v/>
      </c>
      <c r="G258" s="143">
        <f>IFERROR(__xludf.DUMMYFUNCTION("""COMPUTED_VALUE"""),38103892)</f>
        <v/>
      </c>
      <c r="H258" s="27" t="n"/>
    </row>
    <row r="259" ht="17.25" customHeight="1" s="322">
      <c r="A259" s="27" t="n"/>
      <c r="B259" s="506">
        <f>IFERROR(__xludf.DUMMYFUNCTION("""COMPUTED_VALUE"""),46204.6666666666)</f>
        <v/>
      </c>
      <c r="C259" s="141">
        <f>IFERROR(__xludf.DUMMYFUNCTION("""COMPUTED_VALUE"""),79.56)</f>
        <v/>
      </c>
      <c r="D259" s="141">
        <f>IFERROR(__xludf.DUMMYFUNCTION("""COMPUTED_VALUE"""),79.66)</f>
        <v/>
      </c>
      <c r="E259" s="141">
        <f>IFERROR(__xludf.DUMMYFUNCTION("""COMPUTED_VALUE"""),79.51)</f>
        <v/>
      </c>
      <c r="F259" s="141">
        <f>IFERROR(__xludf.DUMMYFUNCTION("""COMPUTED_VALUE"""),79.59)</f>
        <v/>
      </c>
      <c r="G259" s="143">
        <f>IFERROR(__xludf.DUMMYFUNCTION("""COMPUTED_VALUE"""),38152259)</f>
        <v/>
      </c>
      <c r="H259" s="27" t="n"/>
    </row>
    <row r="260" ht="17.25" customHeight="1" s="322">
      <c r="A260" s="27" t="n"/>
      <c r="B260" s="506">
        <f>IFERROR(__xludf.DUMMYFUNCTION("""COMPUTED_VALUE"""),46205.6666666666)</f>
        <v/>
      </c>
      <c r="C260" s="141">
        <f>IFERROR(__xludf.DUMMYFUNCTION("""COMPUTED_VALUE"""),79.73)</f>
        <v/>
      </c>
      <c r="D260" s="141">
        <f>IFERROR(__xludf.DUMMYFUNCTION("""COMPUTED_VALUE"""),79.79)</f>
        <v/>
      </c>
      <c r="E260" s="141">
        <f>IFERROR(__xludf.DUMMYFUNCTION("""COMPUTED_VALUE"""),79.67)</f>
        <v/>
      </c>
      <c r="F260" s="141">
        <f>IFERROR(__xludf.DUMMYFUNCTION("""COMPUTED_VALUE"""),79.71)</f>
        <v/>
      </c>
      <c r="G260" s="143">
        <f>IFERROR(__xludf.DUMMYFUNCTION("""COMPUTED_VALUE"""),26112839)</f>
        <v/>
      </c>
      <c r="H260" s="27" t="n"/>
    </row>
    <row r="261" ht="17.25" customHeight="1" s="322">
      <c r="A261" s="27" t="n"/>
      <c r="B261" s="506">
        <f>IFERROR(__xludf.DUMMYFUNCTION("""COMPUTED_VALUE"""),46209.6666666666)</f>
        <v/>
      </c>
      <c r="C261" s="141">
        <f>IFERROR(__xludf.DUMMYFUNCTION("""COMPUTED_VALUE"""),79.73)</f>
        <v/>
      </c>
      <c r="D261" s="141">
        <f>IFERROR(__xludf.DUMMYFUNCTION("""COMPUTED_VALUE"""),79.91)</f>
        <v/>
      </c>
      <c r="E261" s="141">
        <f>IFERROR(__xludf.DUMMYFUNCTION("""COMPUTED_VALUE"""),79.73)</f>
        <v/>
      </c>
      <c r="F261" s="141">
        <f>IFERROR(__xludf.DUMMYFUNCTION("""COMPUTED_VALUE"""),79.87)</f>
        <v/>
      </c>
      <c r="G261" s="143">
        <f>IFERROR(__xludf.DUMMYFUNCTION("""COMPUTED_VALUE"""),25159383)</f>
        <v/>
      </c>
      <c r="H261" s="27" t="n"/>
    </row>
    <row r="262" ht="17.25" customHeight="1" s="322">
      <c r="A262" s="27" t="n"/>
      <c r="B262" s="506">
        <f>IFERROR(__xludf.DUMMYFUNCTION("""COMPUTED_VALUE"""),46210.6666666666)</f>
        <v/>
      </c>
      <c r="C262" s="141">
        <f>IFERROR(__xludf.DUMMYFUNCTION("""COMPUTED_VALUE"""),79.85)</f>
        <v/>
      </c>
      <c r="D262" s="141">
        <f>IFERROR(__xludf.DUMMYFUNCTION("""COMPUTED_VALUE"""),79.88)</f>
        <v/>
      </c>
      <c r="E262" s="141">
        <f>IFERROR(__xludf.DUMMYFUNCTION("""COMPUTED_VALUE"""),79.72)</f>
        <v/>
      </c>
      <c r="F262" s="141">
        <f>IFERROR(__xludf.DUMMYFUNCTION("""COMPUTED_VALUE"""),79.76)</f>
        <v/>
      </c>
      <c r="G262" s="143">
        <f>IFERROR(__xludf.DUMMYFUNCTION("""COMPUTED_VALUE"""),28558288)</f>
        <v/>
      </c>
      <c r="H262" s="27" t="n"/>
    </row>
    <row r="263" ht="17.25" customHeight="1" s="322">
      <c r="A263" s="27" t="n"/>
      <c r="B263" s="506">
        <f>IFERROR(__xludf.DUMMYFUNCTION("""COMPUTED_VALUE"""),46211.6666666666)</f>
        <v/>
      </c>
      <c r="C263" s="141">
        <f>IFERROR(__xludf.DUMMYFUNCTION("""COMPUTED_VALUE"""),79.61)</f>
        <v/>
      </c>
      <c r="D263" s="141">
        <f>IFERROR(__xludf.DUMMYFUNCTION("""COMPUTED_VALUE"""),79.68)</f>
        <v/>
      </c>
      <c r="E263" s="141">
        <f>IFERROR(__xludf.DUMMYFUNCTION("""COMPUTED_VALUE"""),79.54)</f>
        <v/>
      </c>
      <c r="F263" s="141">
        <f>IFERROR(__xludf.DUMMYFUNCTION("""COMPUTED_VALUE"""),79.66)</f>
        <v/>
      </c>
      <c r="G263" s="143">
        <f>IFERROR(__xludf.DUMMYFUNCTION("""COMPUTED_VALUE"""),30771298)</f>
        <v/>
      </c>
      <c r="H263" s="27" t="n"/>
    </row>
    <row r="264" ht="17.25" customHeight="1" s="322">
      <c r="A264" s="27" t="n"/>
      <c r="B264" s="506">
        <f>IFERROR(__xludf.DUMMYFUNCTION("""COMPUTED_VALUE"""),46212.6666666666)</f>
        <v/>
      </c>
      <c r="C264" s="141">
        <f>IFERROR(__xludf.DUMMYFUNCTION("""COMPUTED_VALUE"""),79.73)</f>
        <v/>
      </c>
      <c r="D264" s="141">
        <f>IFERROR(__xludf.DUMMYFUNCTION("""COMPUTED_VALUE"""),79.86)</f>
        <v/>
      </c>
      <c r="E264" s="141">
        <f>IFERROR(__xludf.DUMMYFUNCTION("""COMPUTED_VALUE"""),79.67)</f>
        <v/>
      </c>
      <c r="F264" s="141">
        <f>IFERROR(__xludf.DUMMYFUNCTION("""COMPUTED_VALUE"""),79.75)</f>
        <v/>
      </c>
      <c r="G264" s="143">
        <f>IFERROR(__xludf.DUMMYFUNCTION("""COMPUTED_VALUE"""),21882446)</f>
        <v/>
      </c>
      <c r="H264" s="27" t="n"/>
    </row>
    <row r="265" ht="17.25" customHeight="1" s="322">
      <c r="A265" s="27" t="n"/>
      <c r="B265" s="506">
        <f>IFERROR(__xludf.DUMMYFUNCTION("""COMPUTED_VALUE"""),46213.6666666666)</f>
        <v/>
      </c>
      <c r="C265" s="141">
        <f>IFERROR(__xludf.DUMMYFUNCTION("""COMPUTED_VALUE"""),79.78)</f>
        <v/>
      </c>
      <c r="D265" s="141">
        <f>IFERROR(__xludf.DUMMYFUNCTION("""COMPUTED_VALUE"""),79.83)</f>
        <v/>
      </c>
      <c r="E265" s="141">
        <f>IFERROR(__xludf.DUMMYFUNCTION("""COMPUTED_VALUE"""),79.62)</f>
        <v/>
      </c>
      <c r="F265" s="141">
        <f>IFERROR(__xludf.DUMMYFUNCTION("""COMPUTED_VALUE"""),79.71)</f>
        <v/>
      </c>
      <c r="G265" s="143">
        <f>IFERROR(__xludf.DUMMYFUNCTION("""COMPUTED_VALUE"""),24550318)</f>
        <v/>
      </c>
      <c r="H265" s="27" t="n"/>
    </row>
    <row r="266" ht="17.25" customHeight="1" s="322">
      <c r="A266" s="27" t="n"/>
      <c r="B266" s="506">
        <f>IFERROR(__xludf.DUMMYFUNCTION("""COMPUTED_VALUE"""),46216.6666666666)</f>
        <v/>
      </c>
      <c r="C266" s="141">
        <f>IFERROR(__xludf.DUMMYFUNCTION("""COMPUTED_VALUE"""),79.67)</f>
        <v/>
      </c>
      <c r="D266" s="141">
        <f>IFERROR(__xludf.DUMMYFUNCTION("""COMPUTED_VALUE"""),79.69)</f>
        <v/>
      </c>
      <c r="E266" s="141">
        <f>IFERROR(__xludf.DUMMYFUNCTION("""COMPUTED_VALUE"""),79.46)</f>
        <v/>
      </c>
      <c r="F266" s="141">
        <f>IFERROR(__xludf.DUMMYFUNCTION("""COMPUTED_VALUE"""),79.52)</f>
        <v/>
      </c>
      <c r="G266" s="143">
        <f>IFERROR(__xludf.DUMMYFUNCTION("""COMPUTED_VALUE"""),32133278)</f>
        <v/>
      </c>
      <c r="H266" s="27" t="n"/>
    </row>
    <row r="267" ht="17.25" customHeight="1" s="322">
      <c r="A267" s="27" t="n"/>
      <c r="B267" s="506">
        <f>IFERROR(__xludf.DUMMYFUNCTION("""COMPUTED_VALUE"""),46217.6666666666)</f>
        <v/>
      </c>
      <c r="C267" s="141">
        <f>IFERROR(__xludf.DUMMYFUNCTION("""COMPUTED_VALUE"""),79.68)</f>
        <v/>
      </c>
      <c r="D267" s="141">
        <f>IFERROR(__xludf.DUMMYFUNCTION("""COMPUTED_VALUE"""),79.69)</f>
        <v/>
      </c>
      <c r="E267" s="141">
        <f>IFERROR(__xludf.DUMMYFUNCTION("""COMPUTED_VALUE"""),79.57)</f>
        <v/>
      </c>
      <c r="F267" s="141">
        <f>IFERROR(__xludf.DUMMYFUNCTION("""COMPUTED_VALUE"""),79.68)</f>
        <v/>
      </c>
      <c r="G267" s="143">
        <f>IFERROR(__xludf.DUMMYFUNCTION("""COMPUTED_VALUE"""),28248702)</f>
        <v/>
      </c>
      <c r="H267" s="27" t="n"/>
    </row>
    <row r="268" ht="17.25" customHeight="1" s="322">
      <c r="A268" s="27" t="n"/>
      <c r="B268" s="506">
        <f>IFERROR(__xludf.DUMMYFUNCTION("""COMPUTED_VALUE"""),46218.6666666666)</f>
        <v/>
      </c>
      <c r="C268" s="141">
        <f>IFERROR(__xludf.DUMMYFUNCTION("""COMPUTED_VALUE"""),79.71)</f>
        <v/>
      </c>
      <c r="D268" s="141">
        <f>IFERROR(__xludf.DUMMYFUNCTION("""COMPUTED_VALUE"""),79.84)</f>
        <v/>
      </c>
      <c r="E268" s="141">
        <f>IFERROR(__xludf.DUMMYFUNCTION("""COMPUTED_VALUE"""),79.71)</f>
        <v/>
      </c>
      <c r="F268" s="141">
        <f>IFERROR(__xludf.DUMMYFUNCTION("""COMPUTED_VALUE"""),79.81)</f>
        <v/>
      </c>
      <c r="G268" s="143">
        <f>IFERROR(__xludf.DUMMYFUNCTION("""COMPUTED_VALUE"""),26948823)</f>
        <v/>
      </c>
      <c r="H268" s="27" t="n"/>
    </row>
    <row r="269" ht="17.25" customHeight="1" s="322">
      <c r="A269" s="27" t="n"/>
      <c r="B269" s="506">
        <f>IFERROR(__xludf.DUMMYFUNCTION("""COMPUTED_VALUE"""),46219.6666666666)</f>
        <v/>
      </c>
      <c r="C269" s="141">
        <f>IFERROR(__xludf.DUMMYFUNCTION("""COMPUTED_VALUE"""),79.76)</f>
        <v/>
      </c>
      <c r="D269" s="141">
        <f>IFERROR(__xludf.DUMMYFUNCTION("""COMPUTED_VALUE"""),79.84)</f>
        <v/>
      </c>
      <c r="E269" s="141">
        <f>IFERROR(__xludf.DUMMYFUNCTION("""COMPUTED_VALUE"""),79.73)</f>
        <v/>
      </c>
      <c r="F269" s="141">
        <f>IFERROR(__xludf.DUMMYFUNCTION("""COMPUTED_VALUE"""),79.8)</f>
        <v/>
      </c>
      <c r="G269" s="143">
        <f>IFERROR(__xludf.DUMMYFUNCTION("""COMPUTED_VALUE"""),22780314)</f>
        <v/>
      </c>
      <c r="H269" s="27" t="n"/>
    </row>
    <row r="270" ht="17.25" customHeight="1" s="322">
      <c r="A270" s="27" t="n"/>
      <c r="B270" s="506">
        <f>IFERROR(__xludf.DUMMYFUNCTION("""COMPUTED_VALUE"""),46220.6666666666)</f>
        <v/>
      </c>
      <c r="C270" s="141">
        <f>IFERROR(__xludf.DUMMYFUNCTION("""COMPUTED_VALUE"""),79.75)</f>
        <v/>
      </c>
      <c r="D270" s="141">
        <f>IFERROR(__xludf.DUMMYFUNCTION("""COMPUTED_VALUE"""),79.83)</f>
        <v/>
      </c>
      <c r="E270" s="141">
        <f>IFERROR(__xludf.DUMMYFUNCTION("""COMPUTED_VALUE"""),79.63)</f>
        <v/>
      </c>
      <c r="F270" s="141">
        <f>IFERROR(__xludf.DUMMYFUNCTION("""COMPUTED_VALUE"""),79.65)</f>
        <v/>
      </c>
      <c r="G270" s="143">
        <f>IFERROR(__xludf.DUMMYFUNCTION("""COMPUTED_VALUE"""),42020083)</f>
        <v/>
      </c>
      <c r="H270" s="27" t="n"/>
    </row>
    <row r="271" ht="17.25" customHeight="1" s="322">
      <c r="A271" s="27" t="n"/>
      <c r="B271" s="506">
        <f>IFERROR(__xludf.DUMMYFUNCTION("""COMPUTED_VALUE"""),46223.6666666666)</f>
        <v/>
      </c>
      <c r="C271" s="141">
        <f>IFERROR(__xludf.DUMMYFUNCTION("""COMPUTED_VALUE"""),79.74)</f>
        <v/>
      </c>
      <c r="D271" s="141">
        <f>IFERROR(__xludf.DUMMYFUNCTION("""COMPUTED_VALUE"""),79.77)</f>
        <v/>
      </c>
      <c r="E271" s="141">
        <f>IFERROR(__xludf.DUMMYFUNCTION("""COMPUTED_VALUE"""),79.67)</f>
        <v/>
      </c>
      <c r="F271" s="141">
        <f>IFERROR(__xludf.DUMMYFUNCTION("""COMPUTED_VALUE"""),79.68)</f>
        <v/>
      </c>
      <c r="G271" s="143">
        <f>IFERROR(__xludf.DUMMYFUNCTION("""COMPUTED_VALUE"""),19767928)</f>
        <v/>
      </c>
      <c r="H271" s="27" t="n"/>
    </row>
    <row r="272" ht="17.25" customHeight="1" s="322">
      <c r="A272" s="27" t="n"/>
      <c r="B272" s="506">
        <f>IFERROR(__xludf.DUMMYFUNCTION("""COMPUTED_VALUE"""),46224.6666666666)</f>
        <v/>
      </c>
      <c r="C272" s="141">
        <f>IFERROR(__xludf.DUMMYFUNCTION("""COMPUTED_VALUE"""),79.72)</f>
        <v/>
      </c>
      <c r="D272" s="141">
        <f>IFERROR(__xludf.DUMMYFUNCTION("""COMPUTED_VALUE"""),79.74)</f>
        <v/>
      </c>
      <c r="E272" s="141">
        <f>IFERROR(__xludf.DUMMYFUNCTION("""COMPUTED_VALUE"""),79.6)</f>
        <v/>
      </c>
      <c r="F272" s="141">
        <f>IFERROR(__xludf.DUMMYFUNCTION("""COMPUTED_VALUE"""),79.65)</f>
        <v/>
      </c>
      <c r="G272" s="143">
        <f>IFERROR(__xludf.DUMMYFUNCTION("""COMPUTED_VALUE"""),27198837)</f>
        <v/>
      </c>
      <c r="H272" s="27" t="n"/>
    </row>
    <row r="273" ht="17.25" customHeight="1" s="322">
      <c r="A273" s="27" t="n"/>
      <c r="B273" s="506">
        <f>IFERROR(__xludf.DUMMYFUNCTION("""COMPUTED_VALUE"""),46225.6666666666)</f>
        <v/>
      </c>
      <c r="C273" s="141">
        <f>IFERROR(__xludf.DUMMYFUNCTION("""COMPUTED_VALUE"""),79.61)</f>
        <v/>
      </c>
      <c r="D273" s="141">
        <f>IFERROR(__xludf.DUMMYFUNCTION("""COMPUTED_VALUE"""),79.65)</f>
        <v/>
      </c>
      <c r="E273" s="141">
        <f>IFERROR(__xludf.DUMMYFUNCTION("""COMPUTED_VALUE"""),79.48)</f>
        <v/>
      </c>
      <c r="F273" s="141">
        <f>IFERROR(__xludf.DUMMYFUNCTION("""COMPUTED_VALUE"""),79.52)</f>
        <v/>
      </c>
      <c r="G273" s="143">
        <f>IFERROR(__xludf.DUMMYFUNCTION("""COMPUTED_VALUE"""),24851657)</f>
        <v/>
      </c>
      <c r="H273" s="27" t="n"/>
    </row>
    <row r="274" ht="17.25" customHeight="1" s="322">
      <c r="A274" s="27" t="n"/>
      <c r="B274" s="506">
        <f>IFERROR(__xludf.DUMMYFUNCTION("""COMPUTED_VALUE"""),46226.6666666666)</f>
        <v/>
      </c>
      <c r="C274" s="141">
        <f>IFERROR(__xludf.DUMMYFUNCTION("""COMPUTED_VALUE"""),79.28)</f>
        <v/>
      </c>
      <c r="D274" s="141">
        <f>IFERROR(__xludf.DUMMYFUNCTION("""COMPUTED_VALUE"""),79.37)</f>
        <v/>
      </c>
      <c r="E274" s="141">
        <f>IFERROR(__xludf.DUMMYFUNCTION("""COMPUTED_VALUE"""),79.15)</f>
        <v/>
      </c>
      <c r="F274" s="141">
        <f>IFERROR(__xludf.DUMMYFUNCTION("""COMPUTED_VALUE"""),79.23)</f>
        <v/>
      </c>
      <c r="G274" s="143">
        <f>IFERROR(__xludf.DUMMYFUNCTION("""COMPUTED_VALUE"""),52554180)</f>
        <v/>
      </c>
      <c r="H274" s="27" t="n"/>
    </row>
    <row r="275" ht="17.25" customHeight="1" s="322">
      <c r="A275" s="27" t="n"/>
      <c r="B275" s="506">
        <f>IFERROR(__xludf.DUMMYFUNCTION("""COMPUTED_VALUE"""),46227.6666666666)</f>
        <v/>
      </c>
      <c r="C275" s="141">
        <f>IFERROR(__xludf.DUMMYFUNCTION("""COMPUTED_VALUE"""),79.25)</f>
        <v/>
      </c>
      <c r="D275" s="141">
        <f>IFERROR(__xludf.DUMMYFUNCTION("""COMPUTED_VALUE"""),79.31)</f>
        <v/>
      </c>
      <c r="E275" s="141">
        <f>IFERROR(__xludf.DUMMYFUNCTION("""COMPUTED_VALUE"""),79.16)</f>
        <v/>
      </c>
      <c r="F275" s="141">
        <f>IFERROR(__xludf.DUMMYFUNCTION("""COMPUTED_VALUE"""),79.23)</f>
        <v/>
      </c>
      <c r="G275" s="143">
        <f>IFERROR(__xludf.DUMMYFUNCTION("""COMPUTED_VALUE"""),41964810)</f>
        <v/>
      </c>
      <c r="H275" s="27" t="n"/>
    </row>
    <row r="276" ht="17.25" customHeight="1" s="322">
      <c r="A276" s="27" t="n"/>
      <c r="B276" s="506">
        <f>IFERROR(__xludf.DUMMYFUNCTION("""COMPUTED_VALUE"""),46230.6666666666)</f>
        <v/>
      </c>
      <c r="C276" s="141">
        <f>IFERROR(__xludf.DUMMYFUNCTION("""COMPUTED_VALUE"""),79.34)</f>
        <v/>
      </c>
      <c r="D276" s="141">
        <f>IFERROR(__xludf.DUMMYFUNCTION("""COMPUTED_VALUE"""),79.4)</f>
        <v/>
      </c>
      <c r="E276" s="141">
        <f>IFERROR(__xludf.DUMMYFUNCTION("""COMPUTED_VALUE"""),79.24)</f>
        <v/>
      </c>
      <c r="F276" s="141">
        <f>IFERROR(__xludf.DUMMYFUNCTION("""COMPUTED_VALUE"""),79.27)</f>
        <v/>
      </c>
      <c r="G276" s="143">
        <f>IFERROR(__xludf.DUMMYFUNCTION("""COMPUTED_VALUE"""),28939807)</f>
        <v/>
      </c>
      <c r="H276" s="27" t="n"/>
    </row>
    <row r="277" ht="17.25" customHeight="1" s="322">
      <c r="A277" s="27" t="n"/>
      <c r="B277" s="506">
        <f>IFERROR(__xludf.DUMMYFUNCTION("""COMPUTED_VALUE"""),46231.6666666666)</f>
        <v/>
      </c>
      <c r="C277" s="141">
        <f>IFERROR(__xludf.DUMMYFUNCTION("""COMPUTED_VALUE"""),79.32)</f>
        <v/>
      </c>
      <c r="D277" s="141">
        <f>IFERROR(__xludf.DUMMYFUNCTION("""COMPUTED_VALUE"""),79.42)</f>
        <v/>
      </c>
      <c r="E277" s="141">
        <f>IFERROR(__xludf.DUMMYFUNCTION("""COMPUTED_VALUE"""),79.25)</f>
        <v/>
      </c>
      <c r="F277" s="141">
        <f>IFERROR(__xludf.DUMMYFUNCTION("""COMPUTED_VALUE"""),79.42)</f>
        <v/>
      </c>
      <c r="G277" s="143">
        <f>IFERROR(__xludf.DUMMYFUNCTION("""COMPUTED_VALUE"""),33698352)</f>
        <v/>
      </c>
      <c r="H277" s="27" t="n"/>
    </row>
    <row r="278" ht="17.25" customHeight="1" s="322">
      <c r="A278" s="27" t="n"/>
      <c r="B278" s="506">
        <f>IFERROR(__xludf.DUMMYFUNCTION("""COMPUTED_VALUE"""),46232.6666666666)</f>
        <v/>
      </c>
      <c r="C278" s="141">
        <f>IFERROR(__xludf.DUMMYFUNCTION("""COMPUTED_VALUE"""),79.37)</f>
        <v/>
      </c>
      <c r="D278" s="141">
        <f>IFERROR(__xludf.DUMMYFUNCTION("""COMPUTED_VALUE"""),79.47)</f>
        <v/>
      </c>
      <c r="E278" s="141">
        <f>IFERROR(__xludf.DUMMYFUNCTION("""COMPUTED_VALUE"""),79.14)</f>
        <v/>
      </c>
      <c r="F278" s="141">
        <f>IFERROR(__xludf.DUMMYFUNCTION("""COMPUTED_VALUE"""),79.24)</f>
        <v/>
      </c>
      <c r="G278" s="143">
        <f>IFERROR(__xludf.DUMMYFUNCTION("""COMPUTED_VALUE"""),52933180)</f>
        <v/>
      </c>
      <c r="H278" s="27" t="n"/>
    </row>
    <row r="279" ht="17.25" customHeight="1" s="322">
      <c r="A279" s="27" t="n"/>
      <c r="B279" s="506" t="n"/>
      <c r="C279" s="141" t="n"/>
      <c r="D279" s="141" t="n"/>
      <c r="E279" s="141" t="n"/>
      <c r="F279" s="141" t="n"/>
      <c r="G279" s="143" t="n"/>
      <c r="H279" s="27" t="n"/>
    </row>
    <row r="280" ht="17.25" customHeight="1" s="322">
      <c r="A280" s="27" t="n"/>
      <c r="B280" s="506" t="n"/>
      <c r="C280" s="141" t="n"/>
      <c r="D280" s="141" t="n"/>
      <c r="E280" s="141" t="n"/>
      <c r="F280" s="141" t="n"/>
      <c r="G280" s="143" t="n"/>
      <c r="H280" s="27" t="n"/>
    </row>
    <row r="281" ht="17.25" customHeight="1" s="322">
      <c r="A281" s="27" t="n"/>
      <c r="B281" s="506" t="n"/>
      <c r="C281" s="141" t="n"/>
      <c r="D281" s="141" t="n"/>
      <c r="E281" s="141" t="n"/>
      <c r="F281" s="141" t="n"/>
      <c r="G281" s="143" t="n"/>
      <c r="H281" s="27" t="n"/>
    </row>
    <row r="282" ht="17.25" customHeight="1" s="322">
      <c r="A282" s="27" t="n"/>
      <c r="B282" s="506" t="n"/>
      <c r="C282" s="141" t="n"/>
      <c r="D282" s="141" t="n"/>
      <c r="E282" s="141" t="n"/>
      <c r="F282" s="141" t="n"/>
      <c r="G282" s="143" t="n"/>
      <c r="H282" s="27" t="n"/>
    </row>
    <row r="283" ht="17.25" customHeight="1" s="322">
      <c r="A283" s="27" t="n"/>
      <c r="B283" s="506" t="n"/>
      <c r="C283" s="141" t="n"/>
      <c r="D283" s="141" t="n"/>
      <c r="E283" s="141" t="n"/>
      <c r="F283" s="141" t="n"/>
      <c r="G283" s="143" t="n"/>
      <c r="H283" s="27" t="n"/>
    </row>
    <row r="284" ht="17.25" customHeight="1" s="322">
      <c r="A284" s="27" t="n"/>
      <c r="B284" s="506" t="n"/>
      <c r="C284" s="141" t="n"/>
      <c r="D284" s="141" t="n"/>
      <c r="E284" s="141" t="n"/>
      <c r="F284" s="141" t="n"/>
      <c r="G284" s="143" t="n"/>
      <c r="H284" s="27" t="n"/>
    </row>
    <row r="285" ht="17.25" customHeight="1" s="322">
      <c r="A285" s="27" t="n"/>
      <c r="B285" s="506" t="n"/>
      <c r="C285" s="141" t="n"/>
      <c r="D285" s="141" t="n"/>
      <c r="E285" s="141" t="n"/>
      <c r="F285" s="141" t="n"/>
      <c r="G285" s="143" t="n"/>
      <c r="H285" s="27" t="n"/>
    </row>
    <row r="286" ht="17.25" customHeight="1" s="322">
      <c r="A286" s="27" t="n"/>
      <c r="B286" s="506" t="n"/>
      <c r="C286" s="141" t="n"/>
      <c r="D286" s="141" t="n"/>
      <c r="E286" s="141" t="n"/>
      <c r="F286" s="141" t="n"/>
      <c r="G286" s="143" t="n"/>
      <c r="H286" s="27" t="n"/>
    </row>
    <row r="287" ht="17.25" customHeight="1" s="322">
      <c r="A287" s="27" t="n"/>
      <c r="B287" s="506" t="n"/>
      <c r="C287" s="141" t="n"/>
      <c r="D287" s="141" t="n"/>
      <c r="E287" s="141" t="n"/>
      <c r="F287" s="141" t="n"/>
      <c r="G287" s="143" t="n"/>
      <c r="H287" s="27" t="n"/>
    </row>
    <row r="288" ht="17.25" customHeight="1" s="322">
      <c r="A288" s="27" t="n"/>
      <c r="B288" s="506" t="n"/>
      <c r="C288" s="141" t="n"/>
      <c r="D288" s="141" t="n"/>
      <c r="E288" s="141" t="n"/>
      <c r="F288" s="141" t="n"/>
      <c r="G288" s="143" t="n"/>
      <c r="H288" s="27" t="n"/>
    </row>
    <row r="289" ht="17.25" customHeight="1" s="322">
      <c r="A289" s="27" t="n"/>
      <c r="B289" s="506" t="n"/>
      <c r="C289" s="141" t="n"/>
      <c r="D289" s="141" t="n"/>
      <c r="E289" s="141" t="n"/>
      <c r="F289" s="141" t="n"/>
      <c r="G289" s="143" t="n"/>
      <c r="H289" s="27" t="n"/>
    </row>
    <row r="290" ht="17.25" customHeight="1" s="322">
      <c r="A290" s="27" t="n"/>
      <c r="B290" s="506" t="n"/>
      <c r="C290" s="141" t="n"/>
      <c r="D290" s="141" t="n"/>
      <c r="E290" s="141" t="n"/>
      <c r="F290" s="141" t="n"/>
      <c r="G290" s="143" t="n"/>
      <c r="H290" s="27" t="n"/>
    </row>
    <row r="291" ht="17.25" customHeight="1" s="322">
      <c r="A291" s="27" t="n"/>
      <c r="B291" s="506" t="n"/>
      <c r="C291" s="141" t="n"/>
      <c r="D291" s="141" t="n"/>
      <c r="E291" s="141" t="n"/>
      <c r="F291" s="141" t="n"/>
      <c r="G291" s="143" t="n"/>
      <c r="H291" s="27" t="n"/>
    </row>
    <row r="292" ht="17.25" customHeight="1" s="322">
      <c r="A292" s="27" t="n"/>
      <c r="B292" s="506" t="n"/>
      <c r="C292" s="141" t="n"/>
      <c r="D292" s="141" t="n"/>
      <c r="E292" s="141" t="n"/>
      <c r="F292" s="141" t="n"/>
      <c r="G292" s="143" t="n"/>
      <c r="H292" s="27" t="n"/>
    </row>
    <row r="293" ht="17.25" customHeight="1" s="322">
      <c r="A293" s="27" t="n"/>
      <c r="B293" s="506" t="n"/>
      <c r="C293" s="141" t="n"/>
      <c r="D293" s="141" t="n"/>
      <c r="E293" s="141" t="n"/>
      <c r="F293" s="141" t="n"/>
      <c r="G293" s="143" t="n"/>
      <c r="H293" s="27" t="n"/>
    </row>
    <row r="294" ht="17.25" customHeight="1" s="322">
      <c r="A294" s="27" t="n"/>
      <c r="B294" s="506" t="n"/>
      <c r="C294" s="141" t="n"/>
      <c r="D294" s="141" t="n"/>
      <c r="E294" s="141" t="n"/>
      <c r="F294" s="141" t="n"/>
      <c r="G294" s="143" t="n"/>
      <c r="H294" s="27" t="n"/>
    </row>
    <row r="295" ht="17.25" customHeight="1" s="322">
      <c r="A295" s="27" t="n"/>
      <c r="B295" s="506" t="n"/>
      <c r="C295" s="141" t="n"/>
      <c r="D295" s="141" t="n"/>
      <c r="E295" s="141" t="n"/>
      <c r="F295" s="141" t="n"/>
      <c r="G295" s="143" t="n"/>
      <c r="H295" s="27" t="n"/>
    </row>
    <row r="296" ht="17.25" customHeight="1" s="322">
      <c r="A296" s="27" t="n"/>
      <c r="B296" s="506" t="n"/>
      <c r="C296" s="141" t="n"/>
      <c r="D296" s="141" t="n"/>
      <c r="E296" s="141" t="n"/>
      <c r="F296" s="141" t="n"/>
      <c r="G296" s="143" t="n"/>
      <c r="H296" s="27" t="n"/>
    </row>
    <row r="297" ht="17.25" customHeight="1" s="322">
      <c r="A297" s="27" t="n"/>
      <c r="B297" s="506" t="n"/>
      <c r="C297" s="141" t="n"/>
      <c r="D297" s="141" t="n"/>
      <c r="E297" s="141" t="n"/>
      <c r="F297" s="141" t="n"/>
      <c r="G297" s="143" t="n"/>
      <c r="H297" s="27" t="n"/>
    </row>
    <row r="298" ht="17.25" customHeight="1" s="322">
      <c r="A298" s="27" t="n"/>
      <c r="B298" s="506" t="n"/>
      <c r="C298" s="141" t="n"/>
      <c r="D298" s="141" t="n"/>
      <c r="E298" s="141" t="n"/>
      <c r="F298" s="141" t="n"/>
      <c r="G298" s="143" t="n"/>
      <c r="H298" s="27" t="n"/>
    </row>
    <row r="299" ht="17.25" customHeight="1" s="322">
      <c r="A299" s="27" t="n"/>
      <c r="B299" s="506" t="n"/>
      <c r="C299" s="141" t="n"/>
      <c r="D299" s="141" t="n"/>
      <c r="E299" s="141" t="n"/>
      <c r="F299" s="141" t="n"/>
      <c r="G299" s="143" t="n"/>
      <c r="H299" s="27" t="n"/>
    </row>
    <row r="300" ht="17.25" customHeight="1" s="322">
      <c r="A300" s="27" t="n"/>
      <c r="B300" s="506" t="n"/>
      <c r="C300" s="141" t="n"/>
      <c r="D300" s="141" t="n"/>
      <c r="E300" s="141" t="n"/>
      <c r="F300" s="141" t="n"/>
      <c r="G300" s="143" t="n"/>
      <c r="H300" s="27" t="n"/>
    </row>
    <row r="301" ht="17.25" customHeight="1" s="322">
      <c r="A301" s="27" t="n"/>
      <c r="B301" s="506" t="n"/>
      <c r="C301" s="141" t="n"/>
      <c r="D301" s="141" t="n"/>
      <c r="E301" s="141" t="n"/>
      <c r="F301" s="141" t="n"/>
      <c r="G301" s="143" t="n"/>
      <c r="H301" s="27" t="n"/>
    </row>
    <row r="302" ht="17.25" customHeight="1" s="322">
      <c r="A302" s="27" t="n"/>
      <c r="B302" s="506" t="n"/>
      <c r="C302" s="141" t="n"/>
      <c r="D302" s="141" t="n"/>
      <c r="E302" s="141" t="n"/>
      <c r="F302" s="141" t="n"/>
      <c r="G302" s="143" t="n"/>
      <c r="H302" s="27" t="n"/>
    </row>
    <row r="303" ht="17.25" customHeight="1" s="322">
      <c r="A303" s="27" t="n"/>
      <c r="B303" s="506" t="n"/>
      <c r="C303" s="141" t="n"/>
      <c r="D303" s="141" t="n"/>
      <c r="E303" s="141" t="n"/>
      <c r="F303" s="141" t="n"/>
      <c r="G303" s="143" t="n"/>
      <c r="H303" s="27" t="n"/>
    </row>
    <row r="304" ht="17.25" customHeight="1" s="322">
      <c r="A304" s="27" t="n"/>
      <c r="B304" s="506" t="n"/>
      <c r="C304" s="141" t="n"/>
      <c r="D304" s="141" t="n"/>
      <c r="E304" s="141" t="n"/>
      <c r="F304" s="141" t="n"/>
      <c r="G304" s="143" t="n"/>
      <c r="H304" s="27" t="n"/>
    </row>
    <row r="305" ht="17.25" customHeight="1" s="322">
      <c r="A305" s="27" t="n"/>
      <c r="B305" s="506" t="n"/>
      <c r="C305" s="141" t="n"/>
      <c r="D305" s="141" t="n"/>
      <c r="E305" s="141" t="n"/>
      <c r="F305" s="141" t="n"/>
      <c r="G305" s="143" t="n"/>
      <c r="H305" s="27" t="n"/>
    </row>
    <row r="306" ht="17.25" customHeight="1" s="322">
      <c r="A306" s="27" t="n"/>
      <c r="B306" s="506" t="n"/>
      <c r="C306" s="141" t="n"/>
      <c r="D306" s="141" t="n"/>
      <c r="E306" s="141" t="n"/>
      <c r="F306" s="141" t="n"/>
      <c r="G306" s="143" t="n"/>
      <c r="H306" s="27" t="n"/>
    </row>
    <row r="307" ht="17.25" customHeight="1" s="322">
      <c r="A307" s="27" t="n"/>
      <c r="B307" s="506" t="n"/>
      <c r="C307" s="141" t="n"/>
      <c r="D307" s="141" t="n"/>
      <c r="E307" s="141" t="n"/>
      <c r="F307" s="141" t="n"/>
      <c r="G307" s="143" t="n"/>
      <c r="H307" s="27" t="n"/>
    </row>
    <row r="308" ht="17.25" customHeight="1" s="322">
      <c r="A308" s="27" t="n"/>
      <c r="B308" s="506" t="n"/>
      <c r="C308" s="141" t="n"/>
      <c r="D308" s="141" t="n"/>
      <c r="E308" s="141" t="n"/>
      <c r="F308" s="141" t="n"/>
      <c r="G308" s="143" t="n"/>
      <c r="H308" s="27" t="n"/>
    </row>
    <row r="309" ht="17.25" customHeight="1" s="322">
      <c r="A309" s="27" t="n"/>
      <c r="B309" s="506" t="n"/>
      <c r="C309" s="141" t="n"/>
      <c r="D309" s="141" t="n"/>
      <c r="E309" s="141" t="n"/>
      <c r="F309" s="141" t="n"/>
      <c r="G309" s="143" t="n"/>
      <c r="H309" s="27" t="n"/>
    </row>
    <row r="310" ht="17.25" customHeight="1" s="322">
      <c r="A310" s="27" t="n"/>
      <c r="B310" s="506" t="n"/>
      <c r="C310" s="141" t="n"/>
      <c r="D310" s="141" t="n"/>
      <c r="E310" s="141" t="n"/>
      <c r="F310" s="141" t="n"/>
      <c r="G310" s="143" t="n"/>
      <c r="H310" s="27" t="n"/>
    </row>
    <row r="311" ht="17.25" customHeight="1" s="322">
      <c r="A311" s="27" t="n"/>
      <c r="B311" s="506" t="n"/>
      <c r="C311" s="141" t="n"/>
      <c r="D311" s="141" t="n"/>
      <c r="E311" s="141" t="n"/>
      <c r="F311" s="141" t="n"/>
      <c r="G311" s="143" t="n"/>
      <c r="H311" s="27" t="n"/>
    </row>
    <row r="312" ht="17.25" customHeight="1" s="322">
      <c r="A312" s="27" t="n"/>
      <c r="B312" s="506" t="n"/>
      <c r="C312" s="141" t="n"/>
      <c r="D312" s="141" t="n"/>
      <c r="E312" s="141" t="n"/>
      <c r="F312" s="141" t="n"/>
      <c r="G312" s="143" t="n"/>
      <c r="H312" s="27" t="n"/>
    </row>
    <row r="313" ht="17.25" customHeight="1" s="322">
      <c r="A313" s="27" t="n"/>
      <c r="B313" s="506" t="n"/>
      <c r="C313" s="141" t="n"/>
      <c r="D313" s="141" t="n"/>
      <c r="E313" s="141" t="n"/>
      <c r="F313" s="141" t="n"/>
      <c r="G313" s="143" t="n"/>
      <c r="H313" s="27" t="n"/>
    </row>
    <row r="314" ht="17.25" customHeight="1" s="322">
      <c r="A314" s="27" t="n"/>
      <c r="B314" s="506" t="n"/>
      <c r="C314" s="141" t="n"/>
      <c r="D314" s="141" t="n"/>
      <c r="E314" s="141" t="n"/>
      <c r="F314" s="141" t="n"/>
      <c r="G314" s="143" t="n"/>
      <c r="H314" s="27" t="n"/>
    </row>
    <row r="315" ht="17.25" customHeight="1" s="322">
      <c r="A315" s="27" t="n"/>
      <c r="B315" s="506" t="n"/>
      <c r="C315" s="141" t="n"/>
      <c r="D315" s="141" t="n"/>
      <c r="E315" s="141" t="n"/>
      <c r="F315" s="141" t="n"/>
      <c r="G315" s="143" t="n"/>
      <c r="H315" s="27" t="n"/>
    </row>
    <row r="316" ht="17.25" customHeight="1" s="322">
      <c r="A316" s="27" t="n"/>
      <c r="B316" s="506" t="n"/>
      <c r="C316" s="141" t="n"/>
      <c r="D316" s="141" t="n"/>
      <c r="E316" s="141" t="n"/>
      <c r="F316" s="141" t="n"/>
      <c r="G316" s="143" t="n"/>
      <c r="H316" s="27" t="n"/>
    </row>
    <row r="317" ht="17.25" customHeight="1" s="322">
      <c r="A317" s="27" t="n"/>
      <c r="B317" s="506" t="n"/>
      <c r="C317" s="141" t="n"/>
      <c r="D317" s="141" t="n"/>
      <c r="E317" s="141" t="n"/>
      <c r="F317" s="141" t="n"/>
      <c r="G317" s="143" t="n"/>
      <c r="H317" s="27" t="n"/>
    </row>
    <row r="318" ht="17.25" customHeight="1" s="322">
      <c r="A318" s="27" t="n"/>
      <c r="B318" s="506" t="n"/>
      <c r="C318" s="141" t="n"/>
      <c r="D318" s="141" t="n"/>
      <c r="E318" s="141" t="n"/>
      <c r="F318" s="141" t="n"/>
      <c r="G318" s="143" t="n"/>
      <c r="H318" s="27" t="n"/>
    </row>
    <row r="319" ht="17.25" customHeight="1" s="322">
      <c r="A319" s="27" t="n"/>
      <c r="B319" s="506" t="n"/>
      <c r="C319" s="141" t="n"/>
      <c r="D319" s="141" t="n"/>
      <c r="E319" s="141" t="n"/>
      <c r="F319" s="141" t="n"/>
      <c r="G319" s="143" t="n"/>
      <c r="H319" s="27" t="n"/>
    </row>
    <row r="320" ht="17.25" customHeight="1" s="322">
      <c r="A320" s="27" t="n"/>
      <c r="B320" s="506" t="n"/>
      <c r="C320" s="141" t="n"/>
      <c r="D320" s="141" t="n"/>
      <c r="E320" s="141" t="n"/>
      <c r="F320" s="141" t="n"/>
      <c r="G320" s="143" t="n"/>
      <c r="H320" s="27" t="n"/>
    </row>
    <row r="321" ht="17.25" customHeight="1" s="322">
      <c r="A321" s="27" t="n"/>
      <c r="B321" s="506" t="n"/>
      <c r="C321" s="141" t="n"/>
      <c r="D321" s="141" t="n"/>
      <c r="E321" s="141" t="n"/>
      <c r="F321" s="141" t="n"/>
      <c r="G321" s="143" t="n"/>
      <c r="H321" s="27" t="n"/>
    </row>
    <row r="322" ht="17.25" customHeight="1" s="322">
      <c r="A322" s="27" t="n"/>
      <c r="B322" s="506" t="n"/>
      <c r="C322" s="141" t="n"/>
      <c r="D322" s="141" t="n"/>
      <c r="E322" s="141" t="n"/>
      <c r="F322" s="141" t="n"/>
      <c r="G322" s="143" t="n"/>
      <c r="H322" s="27" t="n"/>
    </row>
    <row r="323" ht="17.25" customHeight="1" s="322">
      <c r="A323" s="27" t="n"/>
      <c r="B323" s="506" t="n"/>
      <c r="C323" s="141" t="n"/>
      <c r="D323" s="141" t="n"/>
      <c r="E323" s="141" t="n"/>
      <c r="F323" s="141" t="n"/>
      <c r="G323" s="143" t="n"/>
      <c r="H323" s="27" t="n"/>
    </row>
    <row r="324" ht="17.25" customHeight="1" s="322">
      <c r="A324" s="27" t="n"/>
      <c r="B324" s="506" t="n"/>
      <c r="C324" s="141" t="n"/>
      <c r="D324" s="141" t="n"/>
      <c r="E324" s="141" t="n"/>
      <c r="F324" s="141" t="n"/>
      <c r="G324" s="143" t="n"/>
      <c r="H324" s="27" t="n"/>
    </row>
    <row r="325" ht="17.25" customHeight="1" s="322">
      <c r="A325" s="27" t="n"/>
      <c r="B325" s="506" t="n"/>
      <c r="C325" s="141" t="n"/>
      <c r="D325" s="141" t="n"/>
      <c r="E325" s="141" t="n"/>
      <c r="F325" s="141" t="n"/>
      <c r="G325" s="143" t="n"/>
      <c r="H325" s="27" t="n"/>
    </row>
    <row r="326" ht="17.25" customHeight="1" s="322">
      <c r="A326" s="27" t="n"/>
      <c r="B326" s="506" t="n"/>
      <c r="C326" s="141" t="n"/>
      <c r="D326" s="141" t="n"/>
      <c r="E326" s="141" t="n"/>
      <c r="F326" s="141" t="n"/>
      <c r="G326" s="143" t="n"/>
      <c r="H326" s="27" t="n"/>
    </row>
    <row r="327" ht="17.25" customHeight="1" s="322">
      <c r="A327" s="27" t="n"/>
      <c r="B327" s="506" t="n"/>
      <c r="C327" s="141" t="n"/>
      <c r="D327" s="141" t="n"/>
      <c r="E327" s="141" t="n"/>
      <c r="F327" s="141" t="n"/>
      <c r="G327" s="143" t="n"/>
      <c r="H327" s="27" t="n"/>
    </row>
    <row r="328" ht="17.25" customHeight="1" s="322">
      <c r="A328" s="27" t="n"/>
      <c r="B328" s="506" t="n"/>
      <c r="C328" s="141" t="n"/>
      <c r="D328" s="141" t="n"/>
      <c r="E328" s="141" t="n"/>
      <c r="F328" s="141" t="n"/>
      <c r="G328" s="143" t="n"/>
      <c r="H328" s="27" t="n"/>
    </row>
    <row r="329" ht="17.25" customHeight="1" s="322">
      <c r="A329" s="27" t="n"/>
      <c r="B329" s="506" t="n"/>
      <c r="C329" s="141" t="n"/>
      <c r="D329" s="141" t="n"/>
      <c r="E329" s="141" t="n"/>
      <c r="F329" s="141" t="n"/>
      <c r="G329" s="143" t="n"/>
      <c r="H329" s="27" t="n"/>
    </row>
    <row r="330" ht="17.25" customHeight="1" s="322">
      <c r="A330" s="27" t="n"/>
      <c r="B330" s="506" t="n"/>
      <c r="C330" s="141" t="n"/>
      <c r="D330" s="141" t="n"/>
      <c r="E330" s="141" t="n"/>
      <c r="F330" s="141" t="n"/>
      <c r="G330" s="143" t="n"/>
      <c r="H330" s="27" t="n"/>
    </row>
    <row r="331" ht="17.25" customHeight="1" s="322">
      <c r="A331" s="27" t="n"/>
      <c r="B331" s="506" t="n"/>
      <c r="C331" s="141" t="n"/>
      <c r="D331" s="141" t="n"/>
      <c r="E331" s="141" t="n"/>
      <c r="F331" s="141" t="n"/>
      <c r="G331" s="143" t="n"/>
      <c r="H331" s="27" t="n"/>
    </row>
    <row r="332" ht="17.25" customHeight="1" s="322">
      <c r="A332" s="27" t="n"/>
      <c r="B332" s="506" t="n"/>
      <c r="C332" s="141" t="n"/>
      <c r="D332" s="141" t="n"/>
      <c r="E332" s="141" t="n"/>
      <c r="F332" s="141" t="n"/>
      <c r="G332" s="143" t="n"/>
      <c r="H332" s="27" t="n"/>
    </row>
    <row r="333" ht="17.25" customHeight="1" s="322">
      <c r="A333" s="27" t="n"/>
      <c r="B333" s="506" t="n"/>
      <c r="C333" s="141" t="n"/>
      <c r="D333" s="141" t="n"/>
      <c r="E333" s="141" t="n"/>
      <c r="F333" s="141" t="n"/>
      <c r="G333" s="143" t="n"/>
      <c r="H333" s="27" t="n"/>
    </row>
    <row r="334" ht="17.25" customHeight="1" s="322">
      <c r="A334" s="27" t="n"/>
      <c r="B334" s="506" t="n"/>
      <c r="C334" s="141" t="n"/>
      <c r="D334" s="141" t="n"/>
      <c r="E334" s="141" t="n"/>
      <c r="F334" s="141" t="n"/>
      <c r="G334" s="143" t="n"/>
      <c r="H334" s="27" t="n"/>
    </row>
    <row r="335" ht="17.25" customHeight="1" s="322">
      <c r="A335" s="27" t="n"/>
      <c r="B335" s="506" t="n"/>
      <c r="C335" s="141" t="n"/>
      <c r="D335" s="141" t="n"/>
      <c r="E335" s="141" t="n"/>
      <c r="F335" s="141" t="n"/>
      <c r="G335" s="143" t="n"/>
      <c r="H335" s="27" t="n"/>
    </row>
    <row r="336" ht="17.25" customHeight="1" s="322">
      <c r="A336" s="27" t="n"/>
      <c r="B336" s="506" t="n"/>
      <c r="C336" s="141" t="n"/>
      <c r="D336" s="141" t="n"/>
      <c r="E336" s="141" t="n"/>
      <c r="F336" s="141" t="n"/>
      <c r="G336" s="143" t="n"/>
      <c r="H336" s="27" t="n"/>
    </row>
    <row r="337" ht="17.25" customHeight="1" s="322">
      <c r="A337" s="27" t="n"/>
      <c r="B337" s="506" t="n"/>
      <c r="C337" s="141" t="n"/>
      <c r="D337" s="141" t="n"/>
      <c r="E337" s="141" t="n"/>
      <c r="F337" s="141" t="n"/>
      <c r="G337" s="143" t="n"/>
      <c r="H337" s="27" t="n"/>
    </row>
    <row r="338" ht="17.25" customHeight="1" s="322">
      <c r="A338" s="27" t="n"/>
      <c r="B338" s="506" t="n"/>
      <c r="C338" s="141" t="n"/>
      <c r="D338" s="141" t="n"/>
      <c r="E338" s="141" t="n"/>
      <c r="F338" s="141" t="n"/>
      <c r="G338" s="143" t="n"/>
      <c r="H338" s="27" t="n"/>
    </row>
    <row r="339" ht="17.25" customHeight="1" s="322">
      <c r="A339" s="27" t="n"/>
      <c r="B339" s="506" t="n"/>
      <c r="C339" s="141" t="n"/>
      <c r="D339" s="141" t="n"/>
      <c r="E339" s="141" t="n"/>
      <c r="F339" s="141" t="n"/>
      <c r="G339" s="143" t="n"/>
      <c r="H339" s="27" t="n"/>
    </row>
    <row r="340" ht="17.25" customHeight="1" s="322">
      <c r="A340" s="27" t="n"/>
      <c r="B340" s="506" t="n"/>
      <c r="C340" s="141" t="n"/>
      <c r="D340" s="141" t="n"/>
      <c r="E340" s="141" t="n"/>
      <c r="F340" s="141" t="n"/>
      <c r="G340" s="143" t="n"/>
      <c r="H340" s="27" t="n"/>
    </row>
    <row r="341" ht="17.25" customHeight="1" s="322">
      <c r="A341" s="27" t="n"/>
      <c r="B341" s="506" t="n"/>
      <c r="C341" s="141" t="n"/>
      <c r="D341" s="141" t="n"/>
      <c r="E341" s="141" t="n"/>
      <c r="F341" s="141" t="n"/>
      <c r="G341" s="143" t="n"/>
      <c r="H341" s="27" t="n"/>
    </row>
    <row r="342" ht="17.25" customHeight="1" s="322">
      <c r="A342" s="27" t="n"/>
      <c r="B342" s="506" t="n"/>
      <c r="C342" s="141" t="n"/>
      <c r="D342" s="141" t="n"/>
      <c r="E342" s="141" t="n"/>
      <c r="F342" s="141" t="n"/>
      <c r="G342" s="143" t="n"/>
      <c r="H342" s="27" t="n"/>
    </row>
    <row r="343" ht="17.25" customHeight="1" s="322">
      <c r="A343" s="27" t="n"/>
      <c r="B343" s="506" t="n"/>
      <c r="C343" s="141" t="n"/>
      <c r="D343" s="141" t="n"/>
      <c r="E343" s="141" t="n"/>
      <c r="F343" s="141" t="n"/>
      <c r="G343" s="143" t="n"/>
      <c r="H343" s="27" t="n"/>
    </row>
    <row r="344" ht="17.25" customHeight="1" s="322">
      <c r="A344" s="27" t="n"/>
      <c r="B344" s="506" t="n"/>
      <c r="C344" s="141" t="n"/>
      <c r="D344" s="141" t="n"/>
      <c r="E344" s="141" t="n"/>
      <c r="F344" s="141" t="n"/>
      <c r="G344" s="143" t="n"/>
      <c r="H344" s="27" t="n"/>
    </row>
    <row r="345" ht="17.25" customHeight="1" s="322">
      <c r="A345" s="27" t="n"/>
      <c r="B345" s="506" t="n"/>
      <c r="C345" s="141" t="n"/>
      <c r="D345" s="141" t="n"/>
      <c r="E345" s="141" t="n"/>
      <c r="F345" s="141" t="n"/>
      <c r="G345" s="143" t="n"/>
      <c r="H345" s="27" t="n"/>
    </row>
    <row r="346" ht="17.25" customHeight="1" s="322">
      <c r="A346" s="27" t="n"/>
      <c r="B346" s="506" t="n"/>
      <c r="C346" s="141" t="n"/>
      <c r="D346" s="141" t="n"/>
      <c r="E346" s="141" t="n"/>
      <c r="F346" s="141" t="n"/>
      <c r="G346" s="143" t="n"/>
      <c r="H346" s="27" t="n"/>
    </row>
    <row r="347" ht="17.25" customHeight="1" s="322">
      <c r="A347" s="27" t="n"/>
      <c r="B347" s="506" t="n"/>
      <c r="C347" s="141" t="n"/>
      <c r="D347" s="141" t="n"/>
      <c r="E347" s="141" t="n"/>
      <c r="F347" s="141" t="n"/>
      <c r="G347" s="143" t="n"/>
      <c r="H347" s="27" t="n"/>
    </row>
    <row r="348" ht="17.25" customHeight="1" s="322">
      <c r="A348" s="27" t="n"/>
      <c r="B348" s="506" t="n"/>
      <c r="C348" s="141" t="n"/>
      <c r="D348" s="141" t="n"/>
      <c r="E348" s="141" t="n"/>
      <c r="F348" s="141" t="n"/>
      <c r="G348" s="143" t="n"/>
      <c r="H348" s="27" t="n"/>
    </row>
    <row r="349" ht="17.25" customHeight="1" s="322">
      <c r="A349" s="27" t="n"/>
      <c r="B349" s="506" t="n"/>
      <c r="C349" s="141" t="n"/>
      <c r="D349" s="141" t="n"/>
      <c r="E349" s="141" t="n"/>
      <c r="F349" s="141" t="n"/>
      <c r="G349" s="143" t="n"/>
      <c r="H349" s="27" t="n"/>
    </row>
    <row r="350" ht="17.25" customHeight="1" s="322">
      <c r="A350" s="27" t="n"/>
      <c r="B350" s="506" t="n"/>
      <c r="C350" s="141" t="n"/>
      <c r="D350" s="141" t="n"/>
      <c r="E350" s="141" t="n"/>
      <c r="F350" s="141" t="n"/>
      <c r="G350" s="143" t="n"/>
      <c r="H350" s="27" t="n"/>
    </row>
    <row r="351" ht="17.25" customHeight="1" s="322">
      <c r="A351" s="27" t="n"/>
      <c r="B351" s="506" t="n"/>
      <c r="C351" s="141" t="n"/>
      <c r="D351" s="141" t="n"/>
      <c r="E351" s="141" t="n"/>
      <c r="F351" s="141" t="n"/>
      <c r="G351" s="143" t="n"/>
      <c r="H351" s="27" t="n"/>
    </row>
    <row r="352" ht="17.25" customHeight="1" s="322">
      <c r="A352" s="27" t="n"/>
      <c r="B352" s="506" t="n"/>
      <c r="C352" s="141" t="n"/>
      <c r="D352" s="141" t="n"/>
      <c r="E352" s="141" t="n"/>
      <c r="F352" s="141" t="n"/>
      <c r="G352" s="143" t="n"/>
      <c r="H352" s="27" t="n"/>
    </row>
    <row r="353" ht="17.25" customHeight="1" s="322">
      <c r="A353" s="27" t="n"/>
      <c r="B353" s="506" t="n"/>
      <c r="C353" s="141" t="n"/>
      <c r="D353" s="141" t="n"/>
      <c r="E353" s="141" t="n"/>
      <c r="F353" s="141" t="n"/>
      <c r="G353" s="143" t="n"/>
      <c r="H353" s="27" t="n"/>
    </row>
    <row r="354" ht="17.25" customHeight="1" s="322">
      <c r="A354" s="27" t="n"/>
      <c r="B354" s="506" t="n"/>
      <c r="C354" s="141" t="n"/>
      <c r="D354" s="141" t="n"/>
      <c r="E354" s="141" t="n"/>
      <c r="F354" s="141" t="n"/>
      <c r="G354" s="143" t="n"/>
      <c r="H354" s="27" t="n"/>
    </row>
    <row r="355" ht="17.25" customHeight="1" s="322">
      <c r="A355" s="27" t="n"/>
      <c r="B355" s="506" t="n"/>
      <c r="C355" s="141" t="n"/>
      <c r="D355" s="141" t="n"/>
      <c r="E355" s="141" t="n"/>
      <c r="F355" s="141" t="n"/>
      <c r="G355" s="143" t="n"/>
      <c r="H355" s="27" t="n"/>
    </row>
    <row r="356" ht="17.25" customHeight="1" s="322">
      <c r="A356" s="27" t="n"/>
      <c r="B356" s="506" t="n"/>
      <c r="C356" s="141" t="n"/>
      <c r="D356" s="141" t="n"/>
      <c r="E356" s="141" t="n"/>
      <c r="F356" s="141" t="n"/>
      <c r="G356" s="143" t="n"/>
      <c r="H356" s="27" t="n"/>
    </row>
    <row r="357" ht="17.25" customHeight="1" s="322">
      <c r="A357" s="27" t="n"/>
      <c r="B357" s="506" t="n"/>
      <c r="C357" s="141" t="n"/>
      <c r="D357" s="141" t="n"/>
      <c r="E357" s="141" t="n"/>
      <c r="F357" s="141" t="n"/>
      <c r="G357" s="143" t="n"/>
      <c r="H357" s="27" t="n"/>
    </row>
    <row r="358" ht="17.25" customHeight="1" s="322">
      <c r="A358" s="27" t="n"/>
      <c r="B358" s="506" t="n"/>
      <c r="C358" s="141" t="n"/>
      <c r="D358" s="141" t="n"/>
      <c r="E358" s="141" t="n"/>
      <c r="F358" s="141" t="n"/>
      <c r="G358" s="143" t="n"/>
      <c r="H358" s="27" t="n"/>
    </row>
    <row r="359" ht="17.25" customHeight="1" s="322">
      <c r="A359" s="27" t="n"/>
      <c r="B359" s="506" t="n"/>
      <c r="C359" s="141" t="n"/>
      <c r="D359" s="141" t="n"/>
      <c r="E359" s="141" t="n"/>
      <c r="F359" s="141" t="n"/>
      <c r="G359" s="143" t="n"/>
      <c r="H359" s="27" t="n"/>
    </row>
    <row r="360" ht="17.25" customHeight="1" s="322">
      <c r="A360" s="27" t="n"/>
      <c r="B360" s="506" t="n"/>
      <c r="C360" s="141" t="n"/>
      <c r="D360" s="141" t="n"/>
      <c r="E360" s="141" t="n"/>
      <c r="F360" s="141" t="n"/>
      <c r="G360" s="143" t="n"/>
      <c r="H360" s="27" t="n"/>
    </row>
    <row r="361" ht="17.25" customHeight="1" s="322">
      <c r="A361" s="27" t="n"/>
      <c r="B361" s="506" t="n"/>
      <c r="C361" s="141" t="n"/>
      <c r="D361" s="141" t="n"/>
      <c r="E361" s="141" t="n"/>
      <c r="F361" s="141" t="n"/>
      <c r="G361" s="143" t="n"/>
      <c r="H361" s="27" t="n"/>
    </row>
    <row r="362" ht="17.25" customHeight="1" s="322">
      <c r="A362" s="27" t="n"/>
      <c r="B362" s="506" t="n"/>
      <c r="C362" s="141" t="n"/>
      <c r="D362" s="141" t="n"/>
      <c r="E362" s="141" t="n"/>
      <c r="F362" s="141" t="n"/>
      <c r="G362" s="143" t="n"/>
      <c r="H362" s="27" t="n"/>
    </row>
    <row r="363" ht="17.25" customHeight="1" s="322">
      <c r="A363" s="27" t="n"/>
      <c r="B363" s="506" t="n"/>
      <c r="C363" s="141" t="n"/>
      <c r="D363" s="141" t="n"/>
      <c r="E363" s="141" t="n"/>
      <c r="F363" s="141" t="n"/>
      <c r="G363" s="143" t="n"/>
      <c r="H363" s="27" t="n"/>
    </row>
    <row r="364" ht="17.25" customHeight="1" s="322">
      <c r="A364" s="27" t="n"/>
      <c r="B364" s="506" t="n"/>
      <c r="C364" s="141" t="n"/>
      <c r="D364" s="141" t="n"/>
      <c r="E364" s="141" t="n"/>
      <c r="F364" s="141" t="n"/>
      <c r="G364" s="143" t="n"/>
      <c r="H364" s="27" t="n"/>
    </row>
    <row r="365" ht="17.25" customHeight="1" s="322">
      <c r="A365" s="27" t="n"/>
      <c r="B365" s="506" t="n"/>
      <c r="C365" s="141" t="n"/>
      <c r="D365" s="141" t="n"/>
      <c r="E365" s="141" t="n"/>
      <c r="F365" s="141" t="n"/>
      <c r="G365" s="143" t="n"/>
      <c r="H365" s="27" t="n"/>
    </row>
    <row r="366" ht="17.25" customHeight="1" s="322">
      <c r="A366" s="27" t="n"/>
      <c r="B366" s="506" t="n"/>
      <c r="C366" s="141" t="n"/>
      <c r="D366" s="141" t="n"/>
      <c r="E366" s="141" t="n"/>
      <c r="F366" s="141" t="n"/>
      <c r="G366" s="143" t="n"/>
      <c r="H366" s="27" t="n"/>
    </row>
    <row r="367" ht="17.25" customHeight="1" s="322">
      <c r="A367" s="27" t="n"/>
      <c r="B367" s="506" t="n"/>
      <c r="C367" s="141" t="n"/>
      <c r="D367" s="141" t="n"/>
      <c r="E367" s="141" t="n"/>
      <c r="F367" s="141" t="n"/>
      <c r="G367" s="143" t="n"/>
      <c r="H367" s="27" t="n"/>
    </row>
    <row r="368" ht="17.25" customHeight="1" s="322">
      <c r="A368" s="27" t="n"/>
      <c r="B368" s="506" t="n"/>
      <c r="C368" s="141" t="n"/>
      <c r="D368" s="141" t="n"/>
      <c r="E368" s="141" t="n"/>
      <c r="F368" s="141" t="n"/>
      <c r="G368" s="143" t="n"/>
      <c r="H368" s="27" t="n"/>
    </row>
    <row r="369" ht="17.25" customHeight="1" s="322">
      <c r="A369" s="27" t="n"/>
      <c r="B369" s="506" t="n"/>
      <c r="C369" s="141" t="n"/>
      <c r="D369" s="141" t="n"/>
      <c r="E369" s="141" t="n"/>
      <c r="F369" s="141" t="n"/>
      <c r="G369" s="143" t="n"/>
      <c r="H369" s="27" t="n"/>
    </row>
    <row r="370" ht="17.25" customHeight="1" s="322">
      <c r="A370" s="27" t="n"/>
      <c r="B370" s="506" t="n"/>
      <c r="C370" s="141" t="n"/>
      <c r="D370" s="141" t="n"/>
      <c r="E370" s="141" t="n"/>
      <c r="F370" s="141" t="n"/>
      <c r="G370" s="143" t="n"/>
      <c r="H370" s="27" t="n"/>
    </row>
    <row r="371" ht="17.25" customHeight="1" s="322">
      <c r="A371" s="27" t="n"/>
      <c r="B371" s="506" t="n"/>
      <c r="C371" s="141" t="n"/>
      <c r="D371" s="141" t="n"/>
      <c r="E371" s="141" t="n"/>
      <c r="F371" s="141" t="n"/>
      <c r="G371" s="143" t="n"/>
      <c r="H371" s="27" t="n"/>
    </row>
    <row r="372" ht="17.25" customHeight="1" s="322">
      <c r="A372" s="27" t="n"/>
      <c r="B372" s="506" t="n"/>
      <c r="C372" s="141" t="n"/>
      <c r="D372" s="141" t="n"/>
      <c r="E372" s="141" t="n"/>
      <c r="F372" s="141" t="n"/>
      <c r="G372" s="143" t="n"/>
      <c r="H372" s="27" t="n"/>
    </row>
    <row r="373" ht="17.25" customHeight="1" s="322">
      <c r="A373" s="27" t="n"/>
      <c r="B373" s="506" t="n"/>
      <c r="C373" s="141" t="n"/>
      <c r="D373" s="141" t="n"/>
      <c r="E373" s="141" t="n"/>
      <c r="F373" s="141" t="n"/>
      <c r="G373" s="143" t="n"/>
      <c r="H373" s="27" t="n"/>
    </row>
    <row r="374" ht="17.25" customHeight="1" s="322">
      <c r="A374" s="27" t="n"/>
      <c r="B374" s="506" t="n"/>
      <c r="C374" s="141" t="n"/>
      <c r="D374" s="141" t="n"/>
      <c r="E374" s="141" t="n"/>
      <c r="F374" s="141" t="n"/>
      <c r="G374" s="143" t="n"/>
      <c r="H374" s="27" t="n"/>
    </row>
    <row r="375" ht="17.25" customHeight="1" s="322">
      <c r="A375" s="27" t="n"/>
      <c r="B375" s="506" t="n"/>
      <c r="C375" s="141" t="n"/>
      <c r="D375" s="141" t="n"/>
      <c r="E375" s="141" t="n"/>
      <c r="F375" s="141" t="n"/>
      <c r="G375" s="143" t="n"/>
      <c r="H375" s="27" t="n"/>
    </row>
    <row r="376" ht="17.25" customHeight="1" s="322">
      <c r="A376" s="27" t="n"/>
      <c r="B376" s="506" t="n"/>
      <c r="C376" s="141" t="n"/>
      <c r="D376" s="141" t="n"/>
      <c r="E376" s="141" t="n"/>
      <c r="F376" s="141" t="n"/>
      <c r="G376" s="143" t="n"/>
      <c r="H376" s="27" t="n"/>
    </row>
    <row r="377" ht="17.25" customHeight="1" s="322">
      <c r="A377" s="27" t="n"/>
      <c r="B377" s="506" t="n"/>
      <c r="C377" s="141" t="n"/>
      <c r="D377" s="141" t="n"/>
      <c r="E377" s="141" t="n"/>
      <c r="F377" s="141" t="n"/>
      <c r="G377" s="143" t="n"/>
      <c r="H377" s="27" t="n"/>
    </row>
    <row r="378" ht="17.25" customHeight="1" s="322">
      <c r="A378" s="27" t="n"/>
      <c r="B378" s="506" t="n"/>
      <c r="C378" s="141" t="n"/>
      <c r="D378" s="141" t="n"/>
      <c r="E378" s="141" t="n"/>
      <c r="F378" s="141" t="n"/>
      <c r="G378" s="143" t="n"/>
      <c r="H378" s="27" t="n"/>
    </row>
    <row r="379" ht="17.25" customHeight="1" s="322">
      <c r="A379" s="27" t="n"/>
      <c r="B379" s="506" t="n"/>
      <c r="C379" s="141" t="n"/>
      <c r="D379" s="141" t="n"/>
      <c r="E379" s="141" t="n"/>
      <c r="F379" s="141" t="n"/>
      <c r="G379" s="143" t="n"/>
      <c r="H379" s="27" t="n"/>
    </row>
    <row r="380" ht="17.25" customHeight="1" s="322">
      <c r="A380" s="27" t="n"/>
      <c r="B380" s="506" t="n"/>
      <c r="C380" s="141" t="n"/>
      <c r="D380" s="141" t="n"/>
      <c r="E380" s="141" t="n"/>
      <c r="F380" s="141" t="n"/>
      <c r="G380" s="143" t="n"/>
      <c r="H380" s="27" t="n"/>
    </row>
    <row r="381" ht="17.25" customHeight="1" s="322">
      <c r="A381" s="27" t="n"/>
      <c r="B381" s="506" t="n"/>
      <c r="C381" s="141" t="n"/>
      <c r="D381" s="141" t="n"/>
      <c r="E381" s="141" t="n"/>
      <c r="F381" s="141" t="n"/>
      <c r="G381" s="143" t="n"/>
      <c r="H381" s="27" t="n"/>
    </row>
    <row r="382" ht="17.25" customHeight="1" s="322">
      <c r="A382" s="27" t="n"/>
      <c r="B382" s="506" t="n"/>
      <c r="C382" s="141" t="n"/>
      <c r="D382" s="141" t="n"/>
      <c r="E382" s="141" t="n"/>
      <c r="F382" s="141" t="n"/>
      <c r="G382" s="143" t="n"/>
      <c r="H382" s="27" t="n"/>
    </row>
    <row r="383" ht="17.25" customHeight="1" s="322">
      <c r="A383" s="27" t="n"/>
      <c r="B383" s="506" t="n"/>
      <c r="C383" s="141" t="n"/>
      <c r="D383" s="141" t="n"/>
      <c r="E383" s="141" t="n"/>
      <c r="F383" s="141" t="n"/>
      <c r="G383" s="143" t="n"/>
      <c r="H383" s="27" t="n"/>
    </row>
    <row r="384" ht="17.25" customHeight="1" s="322">
      <c r="A384" s="27" t="n"/>
      <c r="B384" s="506" t="n"/>
      <c r="C384" s="141" t="n"/>
      <c r="D384" s="141" t="n"/>
      <c r="E384" s="141" t="n"/>
      <c r="F384" s="141" t="n"/>
      <c r="G384" s="143" t="n"/>
      <c r="H384" s="27" t="n"/>
    </row>
    <row r="385" ht="17.25" customHeight="1" s="322">
      <c r="A385" s="27" t="n"/>
      <c r="B385" s="506" t="n"/>
      <c r="C385" s="141" t="n"/>
      <c r="D385" s="141" t="n"/>
      <c r="E385" s="141" t="n"/>
      <c r="F385" s="141" t="n"/>
      <c r="G385" s="143" t="n"/>
      <c r="H385" s="27" t="n"/>
    </row>
    <row r="386" ht="17.25" customHeight="1" s="322">
      <c r="A386" s="27" t="n"/>
      <c r="B386" s="506" t="n"/>
      <c r="C386" s="141" t="n"/>
      <c r="D386" s="141" t="n"/>
      <c r="E386" s="141" t="n"/>
      <c r="F386" s="141" t="n"/>
      <c r="G386" s="143" t="n"/>
      <c r="H386" s="27" t="n"/>
    </row>
    <row r="387" ht="17.25" customHeight="1" s="322">
      <c r="A387" s="27" t="n"/>
      <c r="B387" s="506" t="n"/>
      <c r="C387" s="141" t="n"/>
      <c r="D387" s="141" t="n"/>
      <c r="E387" s="141" t="n"/>
      <c r="F387" s="141" t="n"/>
      <c r="G387" s="143" t="n"/>
      <c r="H387" s="27" t="n"/>
    </row>
    <row r="388" ht="17.25" customHeight="1" s="322">
      <c r="A388" s="27" t="n"/>
      <c r="B388" s="506" t="n"/>
      <c r="C388" s="141" t="n"/>
      <c r="D388" s="141" t="n"/>
      <c r="E388" s="141" t="n"/>
      <c r="F388" s="141" t="n"/>
      <c r="G388" s="143" t="n"/>
      <c r="H388" s="27" t="n"/>
    </row>
    <row r="389" ht="17.25" customHeight="1" s="322">
      <c r="A389" s="27" t="n"/>
      <c r="B389" s="506" t="n"/>
      <c r="C389" s="141" t="n"/>
      <c r="D389" s="141" t="n"/>
      <c r="E389" s="141" t="n"/>
      <c r="F389" s="141" t="n"/>
      <c r="G389" s="143" t="n"/>
      <c r="H389" s="27" t="n"/>
    </row>
    <row r="390" ht="17.25" customHeight="1" s="322">
      <c r="A390" s="27" t="n"/>
      <c r="B390" s="506" t="n"/>
      <c r="C390" s="141" t="n"/>
      <c r="D390" s="141" t="n"/>
      <c r="E390" s="141" t="n"/>
      <c r="F390" s="141" t="n"/>
      <c r="G390" s="143" t="n"/>
      <c r="H390" s="27" t="n"/>
    </row>
    <row r="391" ht="17.25" customHeight="1" s="322">
      <c r="A391" s="27" t="n"/>
      <c r="B391" s="506" t="n"/>
      <c r="C391" s="141" t="n"/>
      <c r="D391" s="141" t="n"/>
      <c r="E391" s="141" t="n"/>
      <c r="F391" s="141" t="n"/>
      <c r="G391" s="143" t="n"/>
      <c r="H391" s="27" t="n"/>
    </row>
    <row r="392" ht="17.25" customHeight="1" s="322">
      <c r="A392" s="27" t="n"/>
      <c r="B392" s="506" t="n"/>
      <c r="C392" s="141" t="n"/>
      <c r="D392" s="141" t="n"/>
      <c r="E392" s="141" t="n"/>
      <c r="F392" s="141" t="n"/>
      <c r="G392" s="143" t="n"/>
      <c r="H392" s="27" t="n"/>
    </row>
    <row r="393" ht="17.25" customHeight="1" s="322">
      <c r="A393" s="27" t="n"/>
      <c r="B393" s="506" t="n"/>
      <c r="C393" s="141" t="n"/>
      <c r="D393" s="141" t="n"/>
      <c r="E393" s="141" t="n"/>
      <c r="F393" s="141" t="n"/>
      <c r="G393" s="143" t="n"/>
      <c r="H393" s="27" t="n"/>
    </row>
    <row r="394" ht="17.25" customHeight="1" s="322">
      <c r="A394" s="27" t="n"/>
      <c r="B394" s="506" t="n"/>
      <c r="C394" s="141" t="n"/>
      <c r="D394" s="141" t="n"/>
      <c r="E394" s="141" t="n"/>
      <c r="F394" s="141" t="n"/>
      <c r="G394" s="143" t="n"/>
      <c r="H394" s="27" t="n"/>
    </row>
    <row r="395" ht="17.25" customHeight="1" s="322">
      <c r="A395" s="27" t="n"/>
      <c r="B395" s="506" t="n"/>
      <c r="C395" s="141" t="n"/>
      <c r="D395" s="141" t="n"/>
      <c r="E395" s="141" t="n"/>
      <c r="F395" s="141" t="n"/>
      <c r="G395" s="143" t="n"/>
      <c r="H395" s="27" t="n"/>
    </row>
    <row r="396" ht="17.25" customHeight="1" s="322">
      <c r="A396" s="27" t="n"/>
      <c r="B396" s="506" t="n"/>
      <c r="C396" s="141" t="n"/>
      <c r="D396" s="141" t="n"/>
      <c r="E396" s="141" t="n"/>
      <c r="F396" s="141" t="n"/>
      <c r="G396" s="143" t="n"/>
      <c r="H396" s="27" t="n"/>
    </row>
    <row r="397" ht="17.25" customHeight="1" s="322">
      <c r="A397" s="27" t="n"/>
      <c r="B397" s="506" t="n"/>
      <c r="C397" s="141" t="n"/>
      <c r="D397" s="141" t="n"/>
      <c r="E397" s="141" t="n"/>
      <c r="F397" s="141" t="n"/>
      <c r="G397" s="143" t="n"/>
      <c r="H397" s="27" t="n"/>
    </row>
    <row r="398" ht="17.25" customHeight="1" s="322">
      <c r="A398" s="27" t="n"/>
      <c r="B398" s="506" t="n"/>
      <c r="C398" s="141" t="n"/>
      <c r="D398" s="141" t="n"/>
      <c r="E398" s="141" t="n"/>
      <c r="F398" s="141" t="n"/>
      <c r="G398" s="143" t="n"/>
      <c r="H398" s="27" t="n"/>
    </row>
    <row r="399" ht="17.25" customHeight="1" s="322">
      <c r="A399" s="27" t="n"/>
      <c r="B399" s="506" t="n"/>
      <c r="C399" s="141" t="n"/>
      <c r="D399" s="141" t="n"/>
      <c r="E399" s="141" t="n"/>
      <c r="F399" s="141" t="n"/>
      <c r="G399" s="143" t="n"/>
      <c r="H399" s="27" t="n"/>
    </row>
    <row r="400" ht="17.25" customHeight="1" s="322">
      <c r="A400" s="27" t="n"/>
      <c r="B400" s="506" t="n"/>
      <c r="C400" s="141" t="n"/>
      <c r="D400" s="141" t="n"/>
      <c r="E400" s="141" t="n"/>
      <c r="F400" s="141" t="n"/>
      <c r="G400" s="143" t="n"/>
      <c r="H400" s="27" t="n"/>
    </row>
    <row r="401" ht="17.25" customHeight="1" s="322">
      <c r="A401" s="27" t="n"/>
      <c r="B401" s="506" t="n"/>
      <c r="C401" s="141" t="n"/>
      <c r="D401" s="141" t="n"/>
      <c r="E401" s="141" t="n"/>
      <c r="F401" s="141" t="n"/>
      <c r="G401" s="143" t="n"/>
      <c r="H401" s="27" t="n"/>
    </row>
    <row r="402" ht="17.25" customHeight="1" s="322">
      <c r="A402" s="27" t="n"/>
      <c r="B402" s="506" t="n"/>
      <c r="C402" s="141" t="n"/>
      <c r="D402" s="141" t="n"/>
      <c r="E402" s="141" t="n"/>
      <c r="F402" s="141" t="n"/>
      <c r="G402" s="143" t="n"/>
      <c r="H402" s="27" t="n"/>
    </row>
    <row r="403" ht="17.25" customHeight="1" s="322">
      <c r="A403" s="27" t="n"/>
      <c r="B403" s="506" t="n"/>
      <c r="C403" s="141" t="n"/>
      <c r="D403" s="141" t="n"/>
      <c r="E403" s="141" t="n"/>
      <c r="F403" s="141" t="n"/>
      <c r="G403" s="143" t="n"/>
      <c r="H403" s="27" t="n"/>
    </row>
    <row r="404" ht="17.25" customHeight="1" s="322">
      <c r="A404" s="27" t="n"/>
      <c r="B404" s="506" t="n"/>
      <c r="C404" s="141" t="n"/>
      <c r="D404" s="141" t="n"/>
      <c r="E404" s="141" t="n"/>
      <c r="F404" s="141" t="n"/>
      <c r="G404" s="143" t="n"/>
      <c r="H404" s="27" t="n"/>
    </row>
    <row r="405" ht="17.25" customHeight="1" s="322">
      <c r="A405" s="27" t="n"/>
      <c r="B405" s="506" t="n"/>
      <c r="C405" s="141" t="n"/>
      <c r="D405" s="141" t="n"/>
      <c r="E405" s="141" t="n"/>
      <c r="F405" s="141" t="n"/>
      <c r="G405" s="143" t="n"/>
      <c r="H405" s="27" t="n"/>
    </row>
    <row r="406" ht="17.25" customHeight="1" s="322">
      <c r="A406" s="27" t="n"/>
      <c r="B406" s="506" t="n"/>
      <c r="C406" s="141" t="n"/>
      <c r="D406" s="141" t="n"/>
      <c r="E406" s="141" t="n"/>
      <c r="F406" s="141" t="n"/>
      <c r="G406" s="143" t="n"/>
      <c r="H406" s="27" t="n"/>
    </row>
    <row r="407" ht="17.25" customHeight="1" s="322">
      <c r="A407" s="27" t="n"/>
      <c r="B407" s="506" t="n"/>
      <c r="C407" s="141" t="n"/>
      <c r="D407" s="141" t="n"/>
      <c r="E407" s="141" t="n"/>
      <c r="F407" s="141" t="n"/>
      <c r="G407" s="143" t="n"/>
      <c r="H407" s="27" t="n"/>
    </row>
    <row r="408" ht="17.25" customHeight="1" s="322">
      <c r="A408" s="27" t="n"/>
      <c r="B408" s="506" t="n"/>
      <c r="C408" s="141" t="n"/>
      <c r="D408" s="141" t="n"/>
      <c r="E408" s="141" t="n"/>
      <c r="F408" s="141" t="n"/>
      <c r="G408" s="143" t="n"/>
      <c r="H408" s="27" t="n"/>
    </row>
    <row r="409" ht="17.25" customHeight="1" s="322">
      <c r="A409" s="27" t="n"/>
      <c r="B409" s="506" t="n"/>
      <c r="C409" s="141" t="n"/>
      <c r="D409" s="141" t="n"/>
      <c r="E409" s="141" t="n"/>
      <c r="F409" s="141" t="n"/>
      <c r="G409" s="143" t="n"/>
      <c r="H409" s="27" t="n"/>
    </row>
    <row r="410" ht="17.25" customHeight="1" s="322">
      <c r="A410" s="27" t="n"/>
      <c r="B410" s="506" t="n"/>
      <c r="C410" s="141" t="n"/>
      <c r="D410" s="141" t="n"/>
      <c r="E410" s="141" t="n"/>
      <c r="F410" s="141" t="n"/>
      <c r="G410" s="143" t="n"/>
      <c r="H410" s="27" t="n"/>
    </row>
    <row r="411" ht="17.25" customHeight="1" s="322">
      <c r="A411" s="27" t="n"/>
      <c r="B411" s="506" t="n"/>
      <c r="C411" s="141" t="n"/>
      <c r="D411" s="141" t="n"/>
      <c r="E411" s="141" t="n"/>
      <c r="F411" s="141" t="n"/>
      <c r="G411" s="143" t="n"/>
      <c r="H411" s="27" t="n"/>
    </row>
    <row r="412" ht="17.25" customHeight="1" s="322">
      <c r="A412" s="27" t="n"/>
      <c r="B412" s="506" t="n"/>
      <c r="C412" s="141" t="n"/>
      <c r="D412" s="141" t="n"/>
      <c r="E412" s="141" t="n"/>
      <c r="F412" s="141" t="n"/>
      <c r="G412" s="143" t="n"/>
      <c r="H412" s="27" t="n"/>
    </row>
    <row r="413" ht="17.25" customHeight="1" s="322">
      <c r="A413" s="27" t="n"/>
      <c r="B413" s="506" t="n"/>
      <c r="C413" s="141" t="n"/>
      <c r="D413" s="141" t="n"/>
      <c r="E413" s="141" t="n"/>
      <c r="F413" s="141" t="n"/>
      <c r="G413" s="143" t="n"/>
      <c r="H413" s="27" t="n"/>
    </row>
    <row r="414" ht="17.25" customHeight="1" s="322">
      <c r="A414" s="27" t="n"/>
      <c r="B414" s="506" t="n"/>
      <c r="C414" s="141" t="n"/>
      <c r="D414" s="141" t="n"/>
      <c r="E414" s="141" t="n"/>
      <c r="F414" s="141" t="n"/>
      <c r="G414" s="143" t="n"/>
      <c r="H414" s="27" t="n"/>
    </row>
    <row r="415" ht="17.25" customHeight="1" s="322">
      <c r="A415" s="27" t="n"/>
      <c r="B415" s="506" t="n"/>
      <c r="C415" s="141" t="n"/>
      <c r="D415" s="141" t="n"/>
      <c r="E415" s="141" t="n"/>
      <c r="F415" s="141" t="n"/>
      <c r="G415" s="143" t="n"/>
      <c r="H415" s="27" t="n"/>
    </row>
    <row r="416" ht="17.25" customHeight="1" s="322">
      <c r="A416" s="27" t="n"/>
      <c r="B416" s="506" t="n"/>
      <c r="C416" s="141" t="n"/>
      <c r="D416" s="141" t="n"/>
      <c r="E416" s="141" t="n"/>
      <c r="F416" s="141" t="n"/>
      <c r="G416" s="143" t="n"/>
      <c r="H416" s="27" t="n"/>
    </row>
    <row r="417" ht="17.25" customHeight="1" s="322">
      <c r="A417" s="27" t="n"/>
      <c r="B417" s="506" t="n"/>
      <c r="C417" s="141" t="n"/>
      <c r="D417" s="141" t="n"/>
      <c r="E417" s="141" t="n"/>
      <c r="F417" s="141" t="n"/>
      <c r="G417" s="143" t="n"/>
      <c r="H417" s="27" t="n"/>
    </row>
    <row r="418" ht="17.25" customHeight="1" s="322">
      <c r="A418" s="27" t="n"/>
      <c r="B418" s="506" t="n"/>
      <c r="C418" s="141" t="n"/>
      <c r="D418" s="141" t="n"/>
      <c r="E418" s="141" t="n"/>
      <c r="F418" s="141" t="n"/>
      <c r="G418" s="143" t="n"/>
      <c r="H418" s="27" t="n"/>
    </row>
    <row r="419" ht="17.25" customHeight="1" s="322">
      <c r="A419" s="27" t="n"/>
      <c r="B419" s="506" t="n"/>
      <c r="C419" s="141" t="n"/>
      <c r="D419" s="141" t="n"/>
      <c r="E419" s="141" t="n"/>
      <c r="F419" s="141" t="n"/>
      <c r="G419" s="143" t="n"/>
      <c r="H419" s="27" t="n"/>
    </row>
    <row r="420" ht="17.25" customHeight="1" s="322">
      <c r="A420" s="27" t="n"/>
      <c r="B420" s="506" t="n"/>
      <c r="C420" s="141" t="n"/>
      <c r="D420" s="141" t="n"/>
      <c r="E420" s="141" t="n"/>
      <c r="F420" s="141" t="n"/>
      <c r="G420" s="143" t="n"/>
      <c r="H420" s="27" t="n"/>
    </row>
    <row r="421" ht="17.25" customHeight="1" s="322">
      <c r="A421" s="27" t="n"/>
      <c r="B421" s="506" t="n"/>
      <c r="C421" s="141" t="n"/>
      <c r="D421" s="141" t="n"/>
      <c r="E421" s="141" t="n"/>
      <c r="F421" s="141" t="n"/>
      <c r="G421" s="143" t="n"/>
      <c r="H421" s="27" t="n"/>
    </row>
    <row r="422" ht="17.25" customHeight="1" s="322">
      <c r="A422" s="27" t="n"/>
      <c r="B422" s="506" t="n"/>
      <c r="C422" s="141" t="n"/>
      <c r="D422" s="141" t="n"/>
      <c r="E422" s="141" t="n"/>
      <c r="F422" s="141" t="n"/>
      <c r="G422" s="143" t="n"/>
      <c r="H422" s="27" t="n"/>
    </row>
    <row r="423" ht="17.25" customHeight="1" s="322">
      <c r="A423" s="27" t="n"/>
      <c r="B423" s="506" t="n"/>
      <c r="C423" s="141" t="n"/>
      <c r="D423" s="141" t="n"/>
      <c r="E423" s="141" t="n"/>
      <c r="F423" s="141" t="n"/>
      <c r="G423" s="143" t="n"/>
      <c r="H423" s="27" t="n"/>
    </row>
    <row r="424" ht="17.25" customHeight="1" s="322">
      <c r="A424" s="27" t="n"/>
      <c r="B424" s="506" t="n"/>
      <c r="C424" s="141" t="n"/>
      <c r="D424" s="141" t="n"/>
      <c r="E424" s="141" t="n"/>
      <c r="F424" s="141" t="n"/>
      <c r="G424" s="143" t="n"/>
      <c r="H424" s="27" t="n"/>
    </row>
    <row r="425" ht="17.25" customHeight="1" s="322">
      <c r="A425" s="27" t="n"/>
      <c r="B425" s="506" t="n"/>
      <c r="C425" s="141" t="n"/>
      <c r="D425" s="141" t="n"/>
      <c r="E425" s="141" t="n"/>
      <c r="F425" s="141" t="n"/>
      <c r="G425" s="143" t="n"/>
      <c r="H425" s="27" t="n"/>
    </row>
    <row r="426" ht="17.25" customHeight="1" s="322">
      <c r="A426" s="27" t="n"/>
      <c r="B426" s="506" t="n"/>
      <c r="C426" s="141" t="n"/>
      <c r="D426" s="141" t="n"/>
      <c r="E426" s="141" t="n"/>
      <c r="F426" s="141" t="n"/>
      <c r="G426" s="143" t="n"/>
      <c r="H426" s="27" t="n"/>
    </row>
    <row r="427" ht="17.25" customHeight="1" s="322">
      <c r="A427" s="27" t="n"/>
      <c r="B427" s="506" t="n"/>
      <c r="C427" s="141" t="n"/>
      <c r="D427" s="141" t="n"/>
      <c r="E427" s="141" t="n"/>
      <c r="F427" s="141" t="n"/>
      <c r="G427" s="143" t="n"/>
      <c r="H427" s="27" t="n"/>
    </row>
    <row r="428" ht="17.25" customHeight="1" s="322">
      <c r="A428" s="27" t="n"/>
      <c r="B428" s="506" t="n"/>
      <c r="C428" s="141" t="n"/>
      <c r="D428" s="141" t="n"/>
      <c r="E428" s="141" t="n"/>
      <c r="F428" s="141" t="n"/>
      <c r="G428" s="143" t="n"/>
      <c r="H428" s="27" t="n"/>
    </row>
    <row r="429" ht="17.25" customHeight="1" s="322">
      <c r="A429" s="27" t="n"/>
      <c r="B429" s="506" t="n"/>
      <c r="C429" s="141" t="n"/>
      <c r="D429" s="141" t="n"/>
      <c r="E429" s="141" t="n"/>
      <c r="F429" s="141" t="n"/>
      <c r="G429" s="143" t="n"/>
      <c r="H429" s="27" t="n"/>
    </row>
    <row r="430" ht="17.25" customHeight="1" s="322">
      <c r="A430" s="27" t="n"/>
      <c r="B430" s="506" t="n"/>
      <c r="C430" s="141" t="n"/>
      <c r="D430" s="141" t="n"/>
      <c r="E430" s="141" t="n"/>
      <c r="F430" s="141" t="n"/>
      <c r="G430" s="143" t="n"/>
      <c r="H430" s="27" t="n"/>
    </row>
    <row r="431" ht="17.25" customHeight="1" s="322">
      <c r="A431" s="27" t="n"/>
      <c r="B431" s="506" t="n"/>
      <c r="C431" s="141" t="n"/>
      <c r="D431" s="141" t="n"/>
      <c r="E431" s="141" t="n"/>
      <c r="F431" s="141" t="n"/>
      <c r="G431" s="143" t="n"/>
      <c r="H431" s="27" t="n"/>
    </row>
    <row r="432" ht="17.25" customHeight="1" s="322">
      <c r="A432" s="27" t="n"/>
      <c r="B432" s="506" t="n"/>
      <c r="C432" s="141" t="n"/>
      <c r="D432" s="141" t="n"/>
      <c r="E432" s="141" t="n"/>
      <c r="F432" s="141" t="n"/>
      <c r="G432" s="143" t="n"/>
      <c r="H432" s="27" t="n"/>
    </row>
    <row r="433" ht="17.25" customHeight="1" s="322">
      <c r="A433" s="27" t="n"/>
      <c r="B433" s="506" t="n"/>
      <c r="C433" s="141" t="n"/>
      <c r="D433" s="141" t="n"/>
      <c r="E433" s="141" t="n"/>
      <c r="F433" s="141" t="n"/>
      <c r="G433" s="143" t="n"/>
      <c r="H433" s="27" t="n"/>
    </row>
    <row r="434" ht="17.25" customHeight="1" s="322">
      <c r="A434" s="27" t="n"/>
      <c r="B434" s="506" t="n"/>
      <c r="C434" s="141" t="n"/>
      <c r="D434" s="141" t="n"/>
      <c r="E434" s="141" t="n"/>
      <c r="F434" s="141" t="n"/>
      <c r="G434" s="143" t="n"/>
      <c r="H434" s="27" t="n"/>
    </row>
    <row r="435" ht="17.25" customHeight="1" s="322">
      <c r="A435" s="27" t="n"/>
      <c r="B435" s="506" t="n"/>
      <c r="C435" s="141" t="n"/>
      <c r="D435" s="141" t="n"/>
      <c r="E435" s="141" t="n"/>
      <c r="F435" s="141" t="n"/>
      <c r="G435" s="143" t="n"/>
      <c r="H435" s="27" t="n"/>
    </row>
    <row r="436" ht="17.25" customHeight="1" s="322">
      <c r="A436" s="27" t="n"/>
      <c r="B436" s="506" t="n"/>
      <c r="C436" s="141" t="n"/>
      <c r="D436" s="141" t="n"/>
      <c r="E436" s="141" t="n"/>
      <c r="F436" s="141" t="n"/>
      <c r="G436" s="143" t="n"/>
      <c r="H436" s="27" t="n"/>
    </row>
    <row r="437" ht="17.25" customHeight="1" s="322">
      <c r="A437" s="27" t="n"/>
      <c r="B437" s="506" t="n"/>
      <c r="C437" s="141" t="n"/>
      <c r="D437" s="141" t="n"/>
      <c r="E437" s="141" t="n"/>
      <c r="F437" s="141" t="n"/>
      <c r="G437" s="143" t="n"/>
      <c r="H437" s="27" t="n"/>
    </row>
    <row r="438" ht="17.25" customHeight="1" s="322">
      <c r="A438" s="27" t="n"/>
      <c r="B438" s="506" t="n"/>
      <c r="C438" s="141" t="n"/>
      <c r="D438" s="141" t="n"/>
      <c r="E438" s="141" t="n"/>
      <c r="F438" s="141" t="n"/>
      <c r="G438" s="143" t="n"/>
      <c r="H438" s="27" t="n"/>
    </row>
    <row r="439" ht="17.25" customHeight="1" s="322">
      <c r="A439" s="27" t="n"/>
      <c r="B439" s="506" t="n"/>
      <c r="C439" s="141" t="n"/>
      <c r="D439" s="141" t="n"/>
      <c r="E439" s="141" t="n"/>
      <c r="F439" s="141" t="n"/>
      <c r="G439" s="143" t="n"/>
      <c r="H439" s="27" t="n"/>
    </row>
    <row r="440" ht="17.25" customHeight="1" s="322">
      <c r="A440" s="27" t="n"/>
      <c r="B440" s="506" t="n"/>
      <c r="C440" s="141" t="n"/>
      <c r="D440" s="141" t="n"/>
      <c r="E440" s="141" t="n"/>
      <c r="F440" s="141" t="n"/>
      <c r="G440" s="143" t="n"/>
      <c r="H440" s="27" t="n"/>
    </row>
    <row r="441" ht="17.25" customHeight="1" s="322">
      <c r="A441" s="27" t="n"/>
      <c r="B441" s="506" t="n"/>
      <c r="C441" s="141" t="n"/>
      <c r="D441" s="141" t="n"/>
      <c r="E441" s="141" t="n"/>
      <c r="F441" s="141" t="n"/>
      <c r="G441" s="143" t="n"/>
      <c r="H441" s="27" t="n"/>
    </row>
    <row r="442" ht="17.25" customHeight="1" s="322">
      <c r="A442" s="27" t="n"/>
      <c r="B442" s="506" t="n"/>
      <c r="C442" s="141" t="n"/>
      <c r="D442" s="141" t="n"/>
      <c r="E442" s="141" t="n"/>
      <c r="F442" s="141" t="n"/>
      <c r="G442" s="143" t="n"/>
      <c r="H442" s="27" t="n"/>
    </row>
    <row r="443" ht="17.25" customHeight="1" s="322">
      <c r="A443" s="27" t="n"/>
      <c r="B443" s="506" t="n"/>
      <c r="C443" s="141" t="n"/>
      <c r="D443" s="141" t="n"/>
      <c r="E443" s="141" t="n"/>
      <c r="F443" s="141" t="n"/>
      <c r="G443" s="143" t="n"/>
      <c r="H443" s="27" t="n"/>
    </row>
    <row r="444" ht="17.25" customHeight="1" s="322">
      <c r="A444" s="27" t="n"/>
      <c r="B444" s="506" t="n"/>
      <c r="C444" s="141" t="n"/>
      <c r="D444" s="141" t="n"/>
      <c r="E444" s="141" t="n"/>
      <c r="F444" s="141" t="n"/>
      <c r="G444" s="143" t="n"/>
      <c r="H444" s="27" t="n"/>
    </row>
    <row r="445" ht="17.25" customHeight="1" s="322">
      <c r="A445" s="27" t="n"/>
      <c r="B445" s="506" t="n"/>
      <c r="C445" s="141" t="n"/>
      <c r="D445" s="141" t="n"/>
      <c r="E445" s="141" t="n"/>
      <c r="F445" s="141" t="n"/>
      <c r="G445" s="143" t="n"/>
      <c r="H445" s="27" t="n"/>
    </row>
    <row r="446" ht="17.25" customHeight="1" s="322">
      <c r="A446" s="27" t="n"/>
      <c r="B446" s="506" t="n"/>
      <c r="C446" s="141" t="n"/>
      <c r="D446" s="141" t="n"/>
      <c r="E446" s="141" t="n"/>
      <c r="F446" s="141" t="n"/>
      <c r="G446" s="143" t="n"/>
      <c r="H446" s="27" t="n"/>
    </row>
    <row r="447" ht="17.25" customHeight="1" s="322">
      <c r="A447" s="27" t="n"/>
      <c r="B447" s="506" t="n"/>
      <c r="C447" s="141" t="n"/>
      <c r="D447" s="141" t="n"/>
      <c r="E447" s="141" t="n"/>
      <c r="F447" s="141" t="n"/>
      <c r="G447" s="143" t="n"/>
      <c r="H447" s="27" t="n"/>
    </row>
    <row r="448" ht="17.25" customHeight="1" s="322">
      <c r="A448" s="27" t="n"/>
      <c r="B448" s="506" t="n"/>
      <c r="C448" s="141" t="n"/>
      <c r="D448" s="141" t="n"/>
      <c r="E448" s="141" t="n"/>
      <c r="F448" s="141" t="n"/>
      <c r="G448" s="143" t="n"/>
      <c r="H448" s="27" t="n"/>
    </row>
    <row r="449" ht="17.25" customHeight="1" s="322">
      <c r="A449" s="27" t="n"/>
      <c r="B449" s="506" t="n"/>
      <c r="C449" s="141" t="n"/>
      <c r="D449" s="141" t="n"/>
      <c r="E449" s="141" t="n"/>
      <c r="F449" s="141" t="n"/>
      <c r="G449" s="143" t="n"/>
      <c r="H449" s="27" t="n"/>
    </row>
    <row r="450" ht="17.25" customHeight="1" s="322">
      <c r="A450" s="27" t="n"/>
      <c r="B450" s="506" t="n"/>
      <c r="C450" s="141" t="n"/>
      <c r="D450" s="141" t="n"/>
      <c r="E450" s="141" t="n"/>
      <c r="F450" s="141" t="n"/>
      <c r="G450" s="143" t="n"/>
      <c r="H450" s="27" t="n"/>
    </row>
    <row r="451" ht="17.25" customHeight="1" s="322">
      <c r="A451" s="27" t="n"/>
      <c r="B451" s="506" t="n"/>
      <c r="C451" s="141" t="n"/>
      <c r="D451" s="141" t="n"/>
      <c r="E451" s="141" t="n"/>
      <c r="F451" s="141" t="n"/>
      <c r="G451" s="143" t="n"/>
      <c r="H451" s="27" t="n"/>
    </row>
    <row r="452" ht="17.25" customHeight="1" s="322">
      <c r="A452" s="27" t="n"/>
      <c r="B452" s="506" t="n"/>
      <c r="C452" s="141" t="n"/>
      <c r="D452" s="141" t="n"/>
      <c r="E452" s="141" t="n"/>
      <c r="F452" s="141" t="n"/>
      <c r="G452" s="143" t="n"/>
      <c r="H452" s="27" t="n"/>
    </row>
    <row r="453" ht="17.25" customHeight="1" s="322">
      <c r="A453" s="27" t="n"/>
      <c r="B453" s="506" t="n"/>
      <c r="C453" s="141" t="n"/>
      <c r="D453" s="141" t="n"/>
      <c r="E453" s="141" t="n"/>
      <c r="F453" s="141" t="n"/>
      <c r="G453" s="143" t="n"/>
      <c r="H453" s="27" t="n"/>
    </row>
    <row r="454" ht="17.25" customHeight="1" s="322">
      <c r="A454" s="27" t="n"/>
      <c r="B454" s="506" t="n"/>
      <c r="C454" s="141" t="n"/>
      <c r="D454" s="141" t="n"/>
      <c r="E454" s="141" t="n"/>
      <c r="F454" s="141" t="n"/>
      <c r="G454" s="143" t="n"/>
      <c r="H454" s="27" t="n"/>
    </row>
    <row r="455" ht="17.25" customHeight="1" s="322">
      <c r="A455" s="27" t="n"/>
      <c r="B455" s="506" t="n"/>
      <c r="C455" s="141" t="n"/>
      <c r="D455" s="141" t="n"/>
      <c r="E455" s="141" t="n"/>
      <c r="F455" s="141" t="n"/>
      <c r="G455" s="143" t="n"/>
      <c r="H455" s="27" t="n"/>
    </row>
    <row r="456" ht="17.25" customHeight="1" s="322">
      <c r="A456" s="27" t="n"/>
      <c r="B456" s="506" t="n"/>
      <c r="C456" s="141" t="n"/>
      <c r="D456" s="141" t="n"/>
      <c r="E456" s="141" t="n"/>
      <c r="F456" s="141" t="n"/>
      <c r="G456" s="143" t="n"/>
      <c r="H456" s="27" t="n"/>
    </row>
    <row r="457" ht="17.25" customHeight="1" s="322">
      <c r="A457" s="27" t="n"/>
      <c r="B457" s="506" t="n"/>
      <c r="C457" s="141" t="n"/>
      <c r="D457" s="141" t="n"/>
      <c r="E457" s="141" t="n"/>
      <c r="F457" s="141" t="n"/>
      <c r="G457" s="143" t="n"/>
      <c r="H457" s="27" t="n"/>
    </row>
    <row r="458" ht="17.25" customHeight="1" s="322">
      <c r="A458" s="27" t="n"/>
      <c r="B458" s="506" t="n"/>
      <c r="C458" s="141" t="n"/>
      <c r="D458" s="141" t="n"/>
      <c r="E458" s="141" t="n"/>
      <c r="F458" s="141" t="n"/>
      <c r="G458" s="143" t="n"/>
      <c r="H458" s="27" t="n"/>
    </row>
    <row r="459" ht="17.25" customHeight="1" s="322">
      <c r="A459" s="27" t="n"/>
      <c r="B459" s="506" t="n"/>
      <c r="C459" s="141" t="n"/>
      <c r="D459" s="141" t="n"/>
      <c r="E459" s="141" t="n"/>
      <c r="F459" s="141" t="n"/>
      <c r="G459" s="143" t="n"/>
      <c r="H459" s="27" t="n"/>
    </row>
    <row r="460" ht="17.25" customHeight="1" s="322">
      <c r="A460" s="27" t="n"/>
      <c r="B460" s="506" t="n"/>
      <c r="C460" s="141" t="n"/>
      <c r="D460" s="141" t="n"/>
      <c r="E460" s="141" t="n"/>
      <c r="F460" s="141" t="n"/>
      <c r="G460" s="143" t="n"/>
      <c r="H460" s="27" t="n"/>
    </row>
    <row r="461" ht="17.25" customHeight="1" s="322">
      <c r="A461" s="27" t="n"/>
      <c r="B461" s="506" t="n"/>
      <c r="C461" s="141" t="n"/>
      <c r="D461" s="141" t="n"/>
      <c r="E461" s="141" t="n"/>
      <c r="F461" s="141" t="n"/>
      <c r="G461" s="143" t="n"/>
      <c r="H461" s="27" t="n"/>
    </row>
    <row r="462" ht="17.25" customHeight="1" s="322">
      <c r="A462" s="27" t="n"/>
      <c r="B462" s="506" t="n"/>
      <c r="C462" s="141" t="n"/>
      <c r="D462" s="141" t="n"/>
      <c r="E462" s="141" t="n"/>
      <c r="F462" s="141" t="n"/>
      <c r="G462" s="143" t="n"/>
      <c r="H462" s="27" t="n"/>
    </row>
    <row r="463" ht="17.25" customHeight="1" s="322">
      <c r="A463" s="27" t="n"/>
      <c r="B463" s="506" t="n"/>
      <c r="C463" s="141" t="n"/>
      <c r="D463" s="141" t="n"/>
      <c r="E463" s="141" t="n"/>
      <c r="F463" s="141" t="n"/>
      <c r="G463" s="143" t="n"/>
      <c r="H463" s="27" t="n"/>
    </row>
    <row r="464" ht="17.25" customHeight="1" s="322">
      <c r="A464" s="27" t="n"/>
      <c r="B464" s="506" t="n"/>
      <c r="C464" s="141" t="n"/>
      <c r="D464" s="141" t="n"/>
      <c r="E464" s="141" t="n"/>
      <c r="F464" s="141" t="n"/>
      <c r="G464" s="143" t="n"/>
      <c r="H464" s="27" t="n"/>
    </row>
    <row r="465" ht="17.25" customHeight="1" s="322">
      <c r="A465" s="27" t="n"/>
      <c r="B465" s="506" t="n"/>
      <c r="C465" s="141" t="n"/>
      <c r="D465" s="141" t="n"/>
      <c r="E465" s="141" t="n"/>
      <c r="F465" s="141" t="n"/>
      <c r="G465" s="143" t="n"/>
      <c r="H465" s="27" t="n"/>
    </row>
    <row r="466" ht="17.25" customHeight="1" s="322">
      <c r="A466" s="27" t="n"/>
      <c r="B466" s="506" t="n"/>
      <c r="C466" s="141" t="n"/>
      <c r="D466" s="141" t="n"/>
      <c r="E466" s="141" t="n"/>
      <c r="F466" s="141" t="n"/>
      <c r="G466" s="143" t="n"/>
      <c r="H466" s="27" t="n"/>
    </row>
    <row r="467" ht="17.25" customHeight="1" s="322">
      <c r="A467" s="27" t="n"/>
      <c r="B467" s="506" t="n"/>
      <c r="C467" s="141" t="n"/>
      <c r="D467" s="141" t="n"/>
      <c r="E467" s="141" t="n"/>
      <c r="F467" s="141" t="n"/>
      <c r="G467" s="143" t="n"/>
      <c r="H467" s="27" t="n"/>
    </row>
    <row r="468" ht="17.25" customHeight="1" s="322">
      <c r="A468" s="27" t="n"/>
      <c r="B468" s="506" t="n"/>
      <c r="C468" s="141" t="n"/>
      <c r="D468" s="141" t="n"/>
      <c r="E468" s="141" t="n"/>
      <c r="F468" s="141" t="n"/>
      <c r="G468" s="143" t="n"/>
      <c r="H468" s="27" t="n"/>
    </row>
    <row r="469" ht="17.25" customHeight="1" s="322">
      <c r="A469" s="27" t="n"/>
      <c r="B469" s="506" t="n"/>
      <c r="C469" s="141" t="n"/>
      <c r="D469" s="141" t="n"/>
      <c r="E469" s="141" t="n"/>
      <c r="F469" s="141" t="n"/>
      <c r="G469" s="143" t="n"/>
      <c r="H469" s="27" t="n"/>
    </row>
    <row r="470" ht="17.25" customHeight="1" s="322">
      <c r="A470" s="27" t="n"/>
      <c r="B470" s="506" t="n"/>
      <c r="C470" s="141" t="n"/>
      <c r="D470" s="141" t="n"/>
      <c r="E470" s="141" t="n"/>
      <c r="F470" s="141" t="n"/>
      <c r="G470" s="143" t="n"/>
      <c r="H470" s="27" t="n"/>
    </row>
    <row r="471" ht="17.25" customHeight="1" s="322">
      <c r="A471" s="27" t="n"/>
      <c r="B471" s="506" t="n"/>
      <c r="C471" s="141" t="n"/>
      <c r="D471" s="141" t="n"/>
      <c r="E471" s="141" t="n"/>
      <c r="F471" s="141" t="n"/>
      <c r="G471" s="143" t="n"/>
      <c r="H471" s="27" t="n"/>
    </row>
    <row r="472" ht="17.25" customHeight="1" s="322">
      <c r="A472" s="27" t="n"/>
      <c r="B472" s="506" t="n"/>
      <c r="C472" s="141" t="n"/>
      <c r="D472" s="141" t="n"/>
      <c r="E472" s="141" t="n"/>
      <c r="F472" s="141" t="n"/>
      <c r="G472" s="143" t="n"/>
      <c r="H472" s="27" t="n"/>
    </row>
    <row r="473" ht="17.25" customHeight="1" s="322">
      <c r="A473" s="27" t="n"/>
      <c r="B473" s="506" t="n"/>
      <c r="C473" s="141" t="n"/>
      <c r="D473" s="141" t="n"/>
      <c r="E473" s="141" t="n"/>
      <c r="F473" s="141" t="n"/>
      <c r="G473" s="143" t="n"/>
      <c r="H473" s="27" t="n"/>
    </row>
    <row r="474" ht="17.25" customHeight="1" s="322">
      <c r="A474" s="27" t="n"/>
      <c r="B474" s="506" t="n"/>
      <c r="C474" s="141" t="n"/>
      <c r="D474" s="141" t="n"/>
      <c r="E474" s="141" t="n"/>
      <c r="F474" s="141" t="n"/>
      <c r="G474" s="143" t="n"/>
      <c r="H474" s="27" t="n"/>
    </row>
    <row r="475" ht="17.25" customHeight="1" s="322">
      <c r="A475" s="27" t="n"/>
      <c r="B475" s="506" t="n"/>
      <c r="C475" s="141" t="n"/>
      <c r="D475" s="141" t="n"/>
      <c r="E475" s="141" t="n"/>
      <c r="F475" s="141" t="n"/>
      <c r="G475" s="143" t="n"/>
      <c r="H475" s="27" t="n"/>
    </row>
    <row r="476" ht="17.25" customHeight="1" s="322">
      <c r="A476" s="27" t="n"/>
      <c r="B476" s="506" t="n"/>
      <c r="C476" s="141" t="n"/>
      <c r="D476" s="141" t="n"/>
      <c r="E476" s="141" t="n"/>
      <c r="F476" s="141" t="n"/>
      <c r="G476" s="143" t="n"/>
      <c r="H476" s="27" t="n"/>
    </row>
    <row r="477" ht="17.25" customHeight="1" s="322">
      <c r="A477" s="27" t="n"/>
      <c r="B477" s="506" t="n"/>
      <c r="C477" s="141" t="n"/>
      <c r="D477" s="141" t="n"/>
      <c r="E477" s="141" t="n"/>
      <c r="F477" s="141" t="n"/>
      <c r="G477" s="143" t="n"/>
      <c r="H477" s="27" t="n"/>
    </row>
    <row r="478" ht="17.25" customHeight="1" s="322">
      <c r="A478" s="27" t="n"/>
      <c r="B478" s="506" t="n"/>
      <c r="C478" s="141" t="n"/>
      <c r="D478" s="141" t="n"/>
      <c r="E478" s="141" t="n"/>
      <c r="F478" s="141" t="n"/>
      <c r="G478" s="143" t="n"/>
      <c r="H478" s="27" t="n"/>
    </row>
    <row r="479" ht="17.25" customHeight="1" s="322">
      <c r="A479" s="27" t="n"/>
      <c r="B479" s="506" t="n"/>
      <c r="C479" s="141" t="n"/>
      <c r="D479" s="141" t="n"/>
      <c r="E479" s="141" t="n"/>
      <c r="F479" s="141" t="n"/>
      <c r="G479" s="143" t="n"/>
      <c r="H479" s="27" t="n"/>
    </row>
    <row r="480" ht="17.25" customHeight="1" s="322">
      <c r="A480" s="27" t="n"/>
      <c r="B480" s="506" t="n"/>
      <c r="C480" s="141" t="n"/>
      <c r="D480" s="141" t="n"/>
      <c r="E480" s="141" t="n"/>
      <c r="F480" s="141" t="n"/>
      <c r="G480" s="143" t="n"/>
      <c r="H480" s="27" t="n"/>
    </row>
    <row r="481" ht="17.25" customHeight="1" s="322">
      <c r="A481" s="27" t="n"/>
      <c r="B481" s="506" t="n"/>
      <c r="C481" s="141" t="n"/>
      <c r="D481" s="141" t="n"/>
      <c r="E481" s="141" t="n"/>
      <c r="F481" s="141" t="n"/>
      <c r="G481" s="143" t="n"/>
      <c r="H481" s="27" t="n"/>
    </row>
    <row r="482" ht="17.25" customHeight="1" s="322">
      <c r="A482" s="27" t="n"/>
      <c r="B482" s="506" t="n"/>
      <c r="C482" s="141" t="n"/>
      <c r="D482" s="141" t="n"/>
      <c r="E482" s="141" t="n"/>
      <c r="F482" s="141" t="n"/>
      <c r="G482" s="143" t="n"/>
      <c r="H482" s="27" t="n"/>
    </row>
    <row r="483" ht="17.25" customHeight="1" s="322">
      <c r="A483" s="27" t="n"/>
      <c r="B483" s="506" t="n"/>
      <c r="C483" s="141" t="n"/>
      <c r="D483" s="141" t="n"/>
      <c r="E483" s="141" t="n"/>
      <c r="F483" s="141" t="n"/>
      <c r="G483" s="143" t="n"/>
      <c r="H483" s="27" t="n"/>
    </row>
    <row r="484" ht="17.25" customHeight="1" s="322">
      <c r="A484" s="27" t="n"/>
      <c r="B484" s="506" t="n"/>
      <c r="C484" s="141" t="n"/>
      <c r="D484" s="141" t="n"/>
      <c r="E484" s="141" t="n"/>
      <c r="F484" s="141" t="n"/>
      <c r="G484" s="143" t="n"/>
      <c r="H484" s="27" t="n"/>
    </row>
    <row r="485" ht="17.25" customHeight="1" s="322">
      <c r="A485" s="27" t="n"/>
      <c r="B485" s="506" t="n"/>
      <c r="C485" s="141" t="n"/>
      <c r="D485" s="141" t="n"/>
      <c r="E485" s="141" t="n"/>
      <c r="F485" s="141" t="n"/>
      <c r="G485" s="143" t="n"/>
      <c r="H485" s="27" t="n"/>
    </row>
    <row r="486" ht="17.25" customHeight="1" s="322">
      <c r="A486" s="27" t="n"/>
      <c r="B486" s="506" t="n"/>
      <c r="C486" s="141" t="n"/>
      <c r="D486" s="141" t="n"/>
      <c r="E486" s="141" t="n"/>
      <c r="F486" s="141" t="n"/>
      <c r="G486" s="143" t="n"/>
      <c r="H486" s="27" t="n"/>
    </row>
    <row r="487" ht="17.25" customHeight="1" s="322">
      <c r="A487" s="27" t="n"/>
      <c r="B487" s="506" t="n"/>
      <c r="C487" s="141" t="n"/>
      <c r="D487" s="141" t="n"/>
      <c r="E487" s="141" t="n"/>
      <c r="F487" s="141" t="n"/>
      <c r="G487" s="143" t="n"/>
      <c r="H487" s="27" t="n"/>
    </row>
    <row r="488" ht="17.25" customHeight="1" s="322">
      <c r="A488" s="27" t="n"/>
      <c r="B488" s="506" t="n"/>
      <c r="C488" s="141" t="n"/>
      <c r="D488" s="141" t="n"/>
      <c r="E488" s="141" t="n"/>
      <c r="F488" s="141" t="n"/>
      <c r="G488" s="143" t="n"/>
      <c r="H488" s="27" t="n"/>
    </row>
    <row r="489" ht="17.25" customHeight="1" s="322">
      <c r="A489" s="27" t="n"/>
      <c r="B489" s="506" t="n"/>
      <c r="C489" s="141" t="n"/>
      <c r="D489" s="141" t="n"/>
      <c r="E489" s="141" t="n"/>
      <c r="F489" s="141" t="n"/>
      <c r="G489" s="143" t="n"/>
      <c r="H489" s="27" t="n"/>
    </row>
    <row r="490" ht="17.25" customHeight="1" s="322">
      <c r="A490" s="27" t="n"/>
      <c r="B490" s="506" t="n"/>
      <c r="C490" s="141" t="n"/>
      <c r="D490" s="141" t="n"/>
      <c r="E490" s="141" t="n"/>
      <c r="F490" s="141" t="n"/>
      <c r="G490" s="143" t="n"/>
      <c r="H490" s="27" t="n"/>
    </row>
    <row r="491" ht="17.25" customHeight="1" s="322">
      <c r="A491" s="27" t="n"/>
      <c r="B491" s="506" t="n"/>
      <c r="C491" s="141" t="n"/>
      <c r="D491" s="141" t="n"/>
      <c r="E491" s="141" t="n"/>
      <c r="F491" s="141" t="n"/>
      <c r="G491" s="143" t="n"/>
      <c r="H491" s="27" t="n"/>
    </row>
    <row r="492" ht="17.25" customHeight="1" s="322">
      <c r="A492" s="27" t="n"/>
      <c r="B492" s="506" t="n"/>
      <c r="C492" s="141" t="n"/>
      <c r="D492" s="141" t="n"/>
      <c r="E492" s="141" t="n"/>
      <c r="F492" s="141" t="n"/>
      <c r="G492" s="143" t="n"/>
      <c r="H492" s="27" t="n"/>
    </row>
    <row r="493" ht="17.25" customHeight="1" s="322">
      <c r="A493" s="27" t="n"/>
      <c r="B493" s="506" t="n"/>
      <c r="C493" s="141" t="n"/>
      <c r="D493" s="141" t="n"/>
      <c r="E493" s="141" t="n"/>
      <c r="F493" s="141" t="n"/>
      <c r="G493" s="143" t="n"/>
      <c r="H493" s="27" t="n"/>
    </row>
    <row r="494" ht="17.25" customHeight="1" s="322">
      <c r="A494" s="27" t="n"/>
      <c r="B494" s="506" t="n"/>
      <c r="C494" s="141" t="n"/>
      <c r="D494" s="141" t="n"/>
      <c r="E494" s="141" t="n"/>
      <c r="F494" s="141" t="n"/>
      <c r="G494" s="143" t="n"/>
      <c r="H494" s="27" t="n"/>
    </row>
    <row r="495" ht="17.25" customHeight="1" s="322">
      <c r="A495" s="27" t="n"/>
      <c r="B495" s="506" t="n"/>
      <c r="C495" s="141" t="n"/>
      <c r="D495" s="141" t="n"/>
      <c r="E495" s="141" t="n"/>
      <c r="F495" s="141" t="n"/>
      <c r="G495" s="143" t="n"/>
      <c r="H495" s="27" t="n"/>
    </row>
    <row r="496" ht="17.25" customHeight="1" s="322">
      <c r="A496" s="27" t="n"/>
      <c r="B496" s="506" t="n"/>
      <c r="C496" s="141" t="n"/>
      <c r="D496" s="141" t="n"/>
      <c r="E496" s="141" t="n"/>
      <c r="F496" s="141" t="n"/>
      <c r="G496" s="143" t="n"/>
      <c r="H496" s="27" t="n"/>
    </row>
    <row r="497" ht="17.25" customHeight="1" s="322">
      <c r="A497" s="27" t="n"/>
      <c r="B497" s="506" t="n"/>
      <c r="C497" s="141" t="n"/>
      <c r="D497" s="141" t="n"/>
      <c r="E497" s="141" t="n"/>
      <c r="F497" s="141" t="n"/>
      <c r="G497" s="143" t="n"/>
      <c r="H497" s="27" t="n"/>
    </row>
    <row r="498" ht="17.25" customHeight="1" s="322">
      <c r="A498" s="27" t="n"/>
      <c r="B498" s="506" t="n"/>
      <c r="C498" s="141" t="n"/>
      <c r="D498" s="141" t="n"/>
      <c r="E498" s="141" t="n"/>
      <c r="F498" s="141" t="n"/>
      <c r="G498" s="143" t="n"/>
      <c r="H498" s="27" t="n"/>
    </row>
    <row r="499" ht="17.25" customHeight="1" s="322">
      <c r="A499" s="27" t="n"/>
      <c r="B499" s="506" t="n"/>
      <c r="C499" s="141" t="n"/>
      <c r="D499" s="141" t="n"/>
      <c r="E499" s="141" t="n"/>
      <c r="F499" s="141" t="n"/>
      <c r="G499" s="143" t="n"/>
      <c r="H499" s="27" t="n"/>
    </row>
    <row r="500" ht="17.25" customHeight="1" s="322">
      <c r="A500" s="27" t="n"/>
      <c r="B500" s="506" t="n"/>
      <c r="C500" s="141" t="n"/>
      <c r="D500" s="141" t="n"/>
      <c r="E500" s="141" t="n"/>
      <c r="F500" s="141" t="n"/>
      <c r="G500" s="143" t="n"/>
      <c r="H500" s="27" t="n"/>
    </row>
    <row r="501" ht="17.25" customHeight="1" s="322">
      <c r="A501" s="27" t="n"/>
      <c r="B501" s="506" t="n"/>
      <c r="C501" s="141" t="n"/>
      <c r="D501" s="141" t="n"/>
      <c r="E501" s="141" t="n"/>
      <c r="F501" s="141" t="n"/>
      <c r="G501" s="143" t="n"/>
      <c r="H501" s="27" t="n"/>
    </row>
    <row r="502" ht="17.25" customHeight="1" s="322">
      <c r="A502" s="27" t="n"/>
      <c r="B502" s="506" t="n"/>
      <c r="C502" s="141" t="n"/>
      <c r="D502" s="141" t="n"/>
      <c r="E502" s="141" t="n"/>
      <c r="F502" s="141" t="n"/>
      <c r="G502" s="143" t="n"/>
      <c r="H502" s="27" t="n"/>
    </row>
    <row r="503" ht="17.25" customHeight="1" s="322">
      <c r="A503" s="27" t="n"/>
      <c r="B503" s="506" t="n"/>
      <c r="C503" s="141" t="n"/>
      <c r="D503" s="141" t="n"/>
      <c r="E503" s="141" t="n"/>
      <c r="F503" s="141" t="n"/>
      <c r="G503" s="143" t="n"/>
      <c r="H503" s="27" t="n"/>
    </row>
    <row r="504" ht="17.25" customHeight="1" s="322">
      <c r="A504" s="27" t="n"/>
      <c r="B504" s="506" t="n"/>
      <c r="C504" s="141" t="n"/>
      <c r="D504" s="141" t="n"/>
      <c r="E504" s="141" t="n"/>
      <c r="F504" s="141" t="n"/>
      <c r="G504" s="143" t="n"/>
      <c r="H504" s="27" t="n"/>
    </row>
    <row r="505" ht="17.25" customHeight="1" s="322">
      <c r="A505" s="27" t="n"/>
      <c r="B505" s="506" t="n"/>
      <c r="C505" s="141" t="n"/>
      <c r="D505" s="141" t="n"/>
      <c r="E505" s="141" t="n"/>
      <c r="F505" s="141" t="n"/>
      <c r="G505" s="143" t="n"/>
      <c r="H505" s="27" t="n"/>
    </row>
    <row r="506" ht="17.25" customHeight="1" s="322">
      <c r="A506" s="27" t="n"/>
      <c r="B506" s="506" t="n"/>
      <c r="C506" s="141" t="n"/>
      <c r="D506" s="141" t="n"/>
      <c r="E506" s="141" t="n"/>
      <c r="F506" s="141" t="n"/>
      <c r="G506" s="143" t="n"/>
      <c r="H506" s="27" t="n"/>
    </row>
    <row r="507" ht="17.25" customHeight="1" s="322">
      <c r="A507" s="27" t="n"/>
      <c r="B507" s="506" t="n"/>
      <c r="C507" s="141" t="n"/>
      <c r="D507" s="141" t="n"/>
      <c r="E507" s="141" t="n"/>
      <c r="F507" s="141" t="n"/>
      <c r="G507" s="143" t="n"/>
      <c r="H507" s="27" t="n"/>
    </row>
    <row r="508" ht="17.25" customHeight="1" s="322">
      <c r="A508" s="27" t="n"/>
      <c r="B508" s="506" t="n"/>
      <c r="C508" s="141" t="n"/>
      <c r="D508" s="141" t="n"/>
      <c r="E508" s="141" t="n"/>
      <c r="F508" s="141" t="n"/>
      <c r="G508" s="143" t="n"/>
      <c r="H508" s="27" t="n"/>
    </row>
    <row r="509" ht="17.25" customHeight="1" s="322">
      <c r="A509" s="27" t="n"/>
      <c r="B509" s="506" t="n"/>
      <c r="C509" s="141" t="n"/>
      <c r="D509" s="141" t="n"/>
      <c r="E509" s="141" t="n"/>
      <c r="F509" s="141" t="n"/>
      <c r="G509" s="143" t="n"/>
      <c r="H509" s="27" t="n"/>
    </row>
    <row r="510" ht="17.25" customHeight="1" s="322">
      <c r="A510" s="27" t="n"/>
      <c r="B510" s="506" t="n"/>
      <c r="C510" s="141" t="n"/>
      <c r="D510" s="141" t="n"/>
      <c r="E510" s="141" t="n"/>
      <c r="F510" s="141" t="n"/>
      <c r="G510" s="143" t="n"/>
      <c r="H510" s="27" t="n"/>
    </row>
    <row r="511" ht="17.25" customHeight="1" s="322">
      <c r="A511" s="27" t="n"/>
      <c r="B511" s="506" t="n"/>
      <c r="C511" s="141" t="n"/>
      <c r="D511" s="141" t="n"/>
      <c r="E511" s="141" t="n"/>
      <c r="F511" s="141" t="n"/>
      <c r="G511" s="143" t="n"/>
      <c r="H511" s="27" t="n"/>
    </row>
    <row r="512" ht="17.25" customHeight="1" s="322">
      <c r="A512" s="27" t="n"/>
      <c r="B512" s="506" t="n"/>
      <c r="C512" s="141" t="n"/>
      <c r="D512" s="141" t="n"/>
      <c r="E512" s="141" t="n"/>
      <c r="F512" s="141" t="n"/>
      <c r="G512" s="143" t="n"/>
      <c r="H512" s="27" t="n"/>
    </row>
    <row r="513" ht="17.25" customHeight="1" s="322">
      <c r="A513" s="27" t="n"/>
      <c r="B513" s="506" t="n"/>
      <c r="C513" s="141" t="n"/>
      <c r="D513" s="141" t="n"/>
      <c r="E513" s="141" t="n"/>
      <c r="F513" s="141" t="n"/>
      <c r="G513" s="143" t="n"/>
      <c r="H513" s="27" t="n"/>
    </row>
    <row r="514" ht="17.25" customHeight="1" s="322">
      <c r="A514" s="27" t="n"/>
      <c r="B514" s="506" t="n"/>
      <c r="C514" s="141" t="n"/>
      <c r="D514" s="141" t="n"/>
      <c r="E514" s="141" t="n"/>
      <c r="F514" s="141" t="n"/>
      <c r="G514" s="143" t="n"/>
      <c r="H514" s="27" t="n"/>
    </row>
    <row r="515" ht="17.25" customHeight="1" s="322">
      <c r="A515" s="27" t="n"/>
      <c r="B515" s="506" t="n"/>
      <c r="C515" s="141" t="n"/>
      <c r="D515" s="141" t="n"/>
      <c r="E515" s="141" t="n"/>
      <c r="F515" s="141" t="n"/>
      <c r="G515" s="143" t="n"/>
      <c r="H515" s="27" t="n"/>
    </row>
    <row r="516" ht="17.25" customHeight="1" s="322">
      <c r="A516" s="27" t="n"/>
      <c r="B516" s="506" t="n"/>
      <c r="C516" s="141" t="n"/>
      <c r="D516" s="141" t="n"/>
      <c r="E516" s="141" t="n"/>
      <c r="F516" s="141" t="n"/>
      <c r="G516" s="143" t="n"/>
      <c r="H516" s="27" t="n"/>
    </row>
    <row r="517" ht="17.25" customHeight="1" s="322">
      <c r="A517" s="27" t="n"/>
      <c r="B517" s="506" t="n"/>
      <c r="C517" s="141" t="n"/>
      <c r="D517" s="141" t="n"/>
      <c r="E517" s="141" t="n"/>
      <c r="F517" s="141" t="n"/>
      <c r="G517" s="143" t="n"/>
      <c r="H517" s="27" t="n"/>
    </row>
    <row r="518" ht="17.25" customHeight="1" s="322">
      <c r="A518" s="27" t="n"/>
      <c r="B518" s="506" t="n"/>
      <c r="C518" s="141" t="n"/>
      <c r="D518" s="141" t="n"/>
      <c r="E518" s="141" t="n"/>
      <c r="F518" s="141" t="n"/>
      <c r="G518" s="143" t="n"/>
      <c r="H518" s="27" t="n"/>
    </row>
    <row r="519" ht="17.25" customHeight="1" s="322">
      <c r="A519" s="27" t="n"/>
      <c r="B519" s="506" t="n"/>
      <c r="C519" s="141" t="n"/>
      <c r="D519" s="141" t="n"/>
      <c r="E519" s="141" t="n"/>
      <c r="F519" s="141" t="n"/>
      <c r="G519" s="143" t="n"/>
      <c r="H519" s="27" t="n"/>
    </row>
    <row r="520" ht="17.25" customHeight="1" s="322">
      <c r="A520" s="27" t="n"/>
      <c r="B520" s="506" t="n"/>
      <c r="C520" s="141" t="n"/>
      <c r="D520" s="141" t="n"/>
      <c r="E520" s="141" t="n"/>
      <c r="F520" s="141" t="n"/>
      <c r="G520" s="143" t="n"/>
      <c r="H520" s="27" t="n"/>
    </row>
    <row r="521" ht="17.25" customHeight="1" s="322">
      <c r="A521" s="27" t="n"/>
      <c r="B521" s="506" t="n"/>
      <c r="C521" s="141" t="n"/>
      <c r="D521" s="141" t="n"/>
      <c r="E521" s="141" t="n"/>
      <c r="F521" s="141" t="n"/>
      <c r="G521" s="143" t="n"/>
      <c r="H521" s="27" t="n"/>
    </row>
    <row r="522" ht="17.25" customHeight="1" s="322">
      <c r="A522" s="27" t="n"/>
      <c r="B522" s="506" t="n"/>
      <c r="C522" s="141" t="n"/>
      <c r="D522" s="141" t="n"/>
      <c r="E522" s="141" t="n"/>
      <c r="F522" s="141" t="n"/>
      <c r="G522" s="143" t="n"/>
      <c r="H522" s="27" t="n"/>
    </row>
    <row r="523" ht="17.25" customHeight="1" s="322">
      <c r="A523" s="27" t="n"/>
      <c r="B523" s="506" t="n"/>
      <c r="C523" s="141" t="n"/>
      <c r="D523" s="141" t="n"/>
      <c r="E523" s="141" t="n"/>
      <c r="F523" s="141" t="n"/>
      <c r="G523" s="143" t="n"/>
      <c r="H523" s="27" t="n"/>
    </row>
    <row r="524" ht="17.25" customHeight="1" s="322">
      <c r="A524" s="27" t="n"/>
      <c r="B524" s="506" t="n"/>
      <c r="C524" s="141" t="n"/>
      <c r="D524" s="141" t="n"/>
      <c r="E524" s="141" t="n"/>
      <c r="F524" s="141" t="n"/>
      <c r="G524" s="143" t="n"/>
      <c r="H524" s="27" t="n"/>
    </row>
    <row r="525" ht="17.25" customHeight="1" s="322">
      <c r="A525" s="27" t="n"/>
      <c r="B525" s="506" t="n"/>
      <c r="C525" s="141" t="n"/>
      <c r="D525" s="141" t="n"/>
      <c r="E525" s="141" t="n"/>
      <c r="F525" s="141" t="n"/>
      <c r="G525" s="143" t="n"/>
      <c r="H525" s="27" t="n"/>
    </row>
    <row r="526" ht="17.25" customHeight="1" s="322">
      <c r="A526" s="27" t="n"/>
      <c r="B526" s="506" t="n"/>
      <c r="C526" s="141" t="n"/>
      <c r="D526" s="141" t="n"/>
      <c r="E526" s="141" t="n"/>
      <c r="F526" s="141" t="n"/>
      <c r="G526" s="143" t="n"/>
      <c r="H526" s="27" t="n"/>
    </row>
    <row r="527" ht="17.25" customHeight="1" s="322">
      <c r="A527" s="27" t="n"/>
      <c r="B527" s="506" t="n"/>
      <c r="C527" s="141" t="n"/>
      <c r="D527" s="141" t="n"/>
      <c r="E527" s="141" t="n"/>
      <c r="F527" s="141" t="n"/>
      <c r="G527" s="143" t="n"/>
      <c r="H527" s="27" t="n"/>
    </row>
    <row r="528" ht="17.25" customHeight="1" s="322">
      <c r="A528" s="27" t="n"/>
      <c r="B528" s="506" t="n"/>
      <c r="C528" s="141" t="n"/>
      <c r="D528" s="141" t="n"/>
      <c r="E528" s="141" t="n"/>
      <c r="F528" s="141" t="n"/>
      <c r="G528" s="143" t="n"/>
      <c r="H528" s="27" t="n"/>
    </row>
    <row r="529" ht="17.25" customHeight="1" s="322">
      <c r="A529" s="27" t="n"/>
      <c r="B529" s="506" t="n"/>
      <c r="C529" s="141" t="n"/>
      <c r="D529" s="141" t="n"/>
      <c r="E529" s="141" t="n"/>
      <c r="F529" s="141" t="n"/>
      <c r="G529" s="143" t="n"/>
      <c r="H529" s="27" t="n"/>
    </row>
    <row r="530" ht="17.25" customHeight="1" s="322">
      <c r="A530" s="27" t="n"/>
      <c r="B530" s="506" t="n"/>
      <c r="C530" s="141" t="n"/>
      <c r="D530" s="141" t="n"/>
      <c r="E530" s="141" t="n"/>
      <c r="F530" s="141" t="n"/>
      <c r="G530" s="143" t="n"/>
      <c r="H530" s="27" t="n"/>
    </row>
    <row r="531" ht="17.25" customHeight="1" s="322">
      <c r="A531" s="27" t="n"/>
      <c r="B531" s="506" t="n"/>
      <c r="C531" s="141" t="n"/>
      <c r="D531" s="141" t="n"/>
      <c r="E531" s="141" t="n"/>
      <c r="F531" s="141" t="n"/>
      <c r="G531" s="143" t="n"/>
      <c r="H531" s="27" t="n"/>
    </row>
    <row r="532" ht="17.25" customHeight="1" s="322">
      <c r="A532" s="27" t="n"/>
      <c r="B532" s="506" t="n"/>
      <c r="C532" s="141" t="n"/>
      <c r="D532" s="141" t="n"/>
      <c r="E532" s="141" t="n"/>
      <c r="F532" s="141" t="n"/>
      <c r="G532" s="143" t="n"/>
      <c r="H532" s="27" t="n"/>
    </row>
    <row r="533" ht="17.25" customHeight="1" s="322">
      <c r="A533" s="27" t="n"/>
      <c r="B533" s="506" t="n"/>
      <c r="C533" s="141" t="n"/>
      <c r="D533" s="141" t="n"/>
      <c r="E533" s="141" t="n"/>
      <c r="F533" s="141" t="n"/>
      <c r="G533" s="143" t="n"/>
      <c r="H533" s="27" t="n"/>
    </row>
    <row r="534" ht="17.25" customHeight="1" s="322">
      <c r="A534" s="27" t="n"/>
      <c r="B534" s="506" t="n"/>
      <c r="C534" s="141" t="n"/>
      <c r="D534" s="141" t="n"/>
      <c r="E534" s="141" t="n"/>
      <c r="F534" s="141" t="n"/>
      <c r="G534" s="143" t="n"/>
      <c r="H534" s="27" t="n"/>
    </row>
    <row r="535" ht="17.25" customHeight="1" s="322">
      <c r="A535" s="27" t="n"/>
      <c r="B535" s="506" t="n"/>
      <c r="C535" s="141" t="n"/>
      <c r="D535" s="141" t="n"/>
      <c r="E535" s="141" t="n"/>
      <c r="F535" s="141" t="n"/>
      <c r="G535" s="143" t="n"/>
      <c r="H535" s="27" t="n"/>
    </row>
    <row r="536" ht="17.25" customHeight="1" s="322">
      <c r="A536" s="27" t="n"/>
      <c r="B536" s="506" t="n"/>
      <c r="C536" s="141" t="n"/>
      <c r="D536" s="141" t="n"/>
      <c r="E536" s="141" t="n"/>
      <c r="F536" s="141" t="n"/>
      <c r="G536" s="143" t="n"/>
      <c r="H536" s="27" t="n"/>
    </row>
    <row r="537" ht="17.25" customHeight="1" s="322">
      <c r="A537" s="27" t="n"/>
      <c r="B537" s="506" t="n"/>
      <c r="C537" s="141" t="n"/>
      <c r="D537" s="141" t="n"/>
      <c r="E537" s="141" t="n"/>
      <c r="F537" s="141" t="n"/>
      <c r="G537" s="143" t="n"/>
      <c r="H537" s="27" t="n"/>
    </row>
    <row r="538" ht="17.25" customHeight="1" s="322">
      <c r="A538" s="27" t="n"/>
      <c r="B538" s="506" t="n"/>
      <c r="C538" s="141" t="n"/>
      <c r="D538" s="141" t="n"/>
      <c r="E538" s="141" t="n"/>
      <c r="F538" s="141" t="n"/>
      <c r="G538" s="143" t="n"/>
      <c r="H538" s="27" t="n"/>
    </row>
    <row r="539" ht="17.25" customHeight="1" s="322">
      <c r="A539" s="27" t="n"/>
      <c r="B539" s="506" t="n"/>
      <c r="C539" s="141" t="n"/>
      <c r="D539" s="141" t="n"/>
      <c r="E539" s="141" t="n"/>
      <c r="F539" s="141" t="n"/>
      <c r="G539" s="143" t="n"/>
      <c r="H539" s="27" t="n"/>
    </row>
    <row r="540" ht="17.25" customHeight="1" s="322">
      <c r="A540" s="27" t="n"/>
      <c r="B540" s="506" t="n"/>
      <c r="C540" s="141" t="n"/>
      <c r="D540" s="141" t="n"/>
      <c r="E540" s="141" t="n"/>
      <c r="F540" s="141" t="n"/>
      <c r="G540" s="143" t="n"/>
      <c r="H540" s="27" t="n"/>
    </row>
    <row r="541" ht="17.25" customHeight="1" s="322">
      <c r="A541" s="27" t="n"/>
      <c r="B541" s="506" t="n"/>
      <c r="C541" s="141" t="n"/>
      <c r="D541" s="141" t="n"/>
      <c r="E541" s="141" t="n"/>
      <c r="F541" s="141" t="n"/>
      <c r="G541" s="143" t="n"/>
      <c r="H541" s="27" t="n"/>
    </row>
    <row r="542" ht="17.25" customHeight="1" s="322">
      <c r="A542" s="27" t="n"/>
      <c r="B542" s="506" t="n"/>
      <c r="C542" s="141" t="n"/>
      <c r="D542" s="141" t="n"/>
      <c r="E542" s="141" t="n"/>
      <c r="F542" s="141" t="n"/>
      <c r="G542" s="143" t="n"/>
      <c r="H542" s="27" t="n"/>
    </row>
    <row r="543" ht="17.25" customHeight="1" s="322">
      <c r="A543" s="27" t="n"/>
      <c r="B543" s="506" t="n"/>
      <c r="C543" s="141" t="n"/>
      <c r="D543" s="141" t="n"/>
      <c r="E543" s="141" t="n"/>
      <c r="F543" s="141" t="n"/>
      <c r="G543" s="143" t="n"/>
      <c r="H543" s="27" t="n"/>
    </row>
    <row r="544" ht="17.25" customHeight="1" s="322">
      <c r="A544" s="27" t="n"/>
      <c r="B544" s="506" t="n"/>
      <c r="C544" s="141" t="n"/>
      <c r="D544" s="141" t="n"/>
      <c r="E544" s="141" t="n"/>
      <c r="F544" s="141" t="n"/>
      <c r="G544" s="143" t="n"/>
      <c r="H544" s="27" t="n"/>
    </row>
    <row r="545" ht="17.25" customHeight="1" s="322">
      <c r="A545" s="27" t="n"/>
      <c r="B545" s="506" t="n"/>
      <c r="C545" s="141" t="n"/>
      <c r="D545" s="141" t="n"/>
      <c r="E545" s="141" t="n"/>
      <c r="F545" s="141" t="n"/>
      <c r="G545" s="143" t="n"/>
      <c r="H545" s="27" t="n"/>
    </row>
    <row r="546" ht="17.25" customHeight="1" s="322">
      <c r="A546" s="27" t="n"/>
      <c r="B546" s="506" t="n"/>
      <c r="C546" s="141" t="n"/>
      <c r="D546" s="141" t="n"/>
      <c r="E546" s="141" t="n"/>
      <c r="F546" s="141" t="n"/>
      <c r="G546" s="143" t="n"/>
      <c r="H546" s="27" t="n"/>
    </row>
    <row r="547" ht="17.25" customHeight="1" s="322">
      <c r="A547" s="27" t="n"/>
      <c r="B547" s="506" t="n"/>
      <c r="C547" s="141" t="n"/>
      <c r="D547" s="141" t="n"/>
      <c r="E547" s="141" t="n"/>
      <c r="F547" s="141" t="n"/>
      <c r="G547" s="143" t="n"/>
      <c r="H547" s="27" t="n"/>
    </row>
    <row r="548" ht="17.25" customHeight="1" s="322">
      <c r="A548" s="27" t="n"/>
      <c r="B548" s="506" t="n"/>
      <c r="C548" s="141" t="n"/>
      <c r="D548" s="141" t="n"/>
      <c r="E548" s="141" t="n"/>
      <c r="F548" s="141" t="n"/>
      <c r="G548" s="143" t="n"/>
      <c r="H548" s="27" t="n"/>
    </row>
    <row r="549" ht="17.25" customHeight="1" s="322">
      <c r="A549" s="27" t="n"/>
      <c r="B549" s="506" t="n"/>
      <c r="C549" s="141" t="n"/>
      <c r="D549" s="141" t="n"/>
      <c r="E549" s="141" t="n"/>
      <c r="F549" s="141" t="n"/>
      <c r="G549" s="143" t="n"/>
      <c r="H549" s="27" t="n"/>
    </row>
    <row r="550" ht="17.25" customHeight="1" s="322">
      <c r="A550" s="27" t="n"/>
      <c r="B550" s="506" t="n"/>
      <c r="C550" s="141" t="n"/>
      <c r="D550" s="141" t="n"/>
      <c r="E550" s="141" t="n"/>
      <c r="F550" s="141" t="n"/>
      <c r="G550" s="143" t="n"/>
      <c r="H550" s="27" t="n"/>
    </row>
    <row r="551" ht="17.25" customHeight="1" s="322">
      <c r="A551" s="27" t="n"/>
      <c r="B551" s="506" t="n"/>
      <c r="C551" s="141" t="n"/>
      <c r="D551" s="141" t="n"/>
      <c r="E551" s="141" t="n"/>
      <c r="F551" s="141" t="n"/>
      <c r="G551" s="143" t="n"/>
      <c r="H551" s="27" t="n"/>
    </row>
    <row r="552" ht="17.25" customHeight="1" s="322">
      <c r="A552" s="27" t="n"/>
      <c r="B552" s="506" t="n"/>
      <c r="C552" s="141" t="n"/>
      <c r="D552" s="141" t="n"/>
      <c r="E552" s="141" t="n"/>
      <c r="F552" s="141" t="n"/>
      <c r="G552" s="143" t="n"/>
      <c r="H552" s="27" t="n"/>
    </row>
    <row r="553" ht="17.25" customHeight="1" s="322">
      <c r="A553" s="27" t="n"/>
      <c r="B553" s="506" t="n"/>
      <c r="C553" s="141" t="n"/>
      <c r="D553" s="141" t="n"/>
      <c r="E553" s="141" t="n"/>
      <c r="F553" s="141" t="n"/>
      <c r="G553" s="143" t="n"/>
      <c r="H553" s="27" t="n"/>
    </row>
    <row r="554" ht="17.25" customHeight="1" s="322">
      <c r="A554" s="27" t="n"/>
      <c r="B554" s="506" t="n"/>
      <c r="C554" s="141" t="n"/>
      <c r="D554" s="141" t="n"/>
      <c r="E554" s="141" t="n"/>
      <c r="F554" s="141" t="n"/>
      <c r="G554" s="143" t="n"/>
      <c r="H554" s="27" t="n"/>
    </row>
    <row r="555" ht="17.25" customHeight="1" s="322">
      <c r="A555" s="27" t="n"/>
      <c r="B555" s="506" t="n"/>
      <c r="C555" s="141" t="n"/>
      <c r="D555" s="141" t="n"/>
      <c r="E555" s="141" t="n"/>
      <c r="F555" s="141" t="n"/>
      <c r="G555" s="143" t="n"/>
      <c r="H555" s="27" t="n"/>
    </row>
    <row r="556" ht="17.25" customHeight="1" s="322">
      <c r="A556" s="27" t="n"/>
      <c r="B556" s="506" t="n"/>
      <c r="C556" s="141" t="n"/>
      <c r="D556" s="141" t="n"/>
      <c r="E556" s="141" t="n"/>
      <c r="F556" s="141" t="n"/>
      <c r="G556" s="143" t="n"/>
      <c r="H556" s="27" t="n"/>
    </row>
    <row r="557" ht="17.25" customHeight="1" s="322">
      <c r="A557" s="27" t="n"/>
      <c r="B557" s="506" t="n"/>
      <c r="C557" s="141" t="n"/>
      <c r="D557" s="141" t="n"/>
      <c r="E557" s="141" t="n"/>
      <c r="F557" s="141" t="n"/>
      <c r="G557" s="143" t="n"/>
      <c r="H557" s="27" t="n"/>
    </row>
    <row r="558" ht="17.25" customHeight="1" s="322">
      <c r="A558" s="27" t="n"/>
      <c r="B558" s="506" t="n"/>
      <c r="C558" s="141" t="n"/>
      <c r="D558" s="141" t="n"/>
      <c r="E558" s="141" t="n"/>
      <c r="F558" s="141" t="n"/>
      <c r="G558" s="143" t="n"/>
      <c r="H558" s="27" t="n"/>
    </row>
    <row r="559" ht="17.25" customHeight="1" s="322">
      <c r="A559" s="27" t="n"/>
      <c r="B559" s="506" t="n"/>
      <c r="C559" s="141" t="n"/>
      <c r="D559" s="141" t="n"/>
      <c r="E559" s="141" t="n"/>
      <c r="F559" s="141" t="n"/>
      <c r="G559" s="143" t="n"/>
      <c r="H559" s="27" t="n"/>
    </row>
    <row r="560" ht="17.25" customHeight="1" s="322">
      <c r="A560" s="27" t="n"/>
      <c r="B560" s="506" t="n"/>
      <c r="C560" s="141" t="n"/>
      <c r="D560" s="141" t="n"/>
      <c r="E560" s="141" t="n"/>
      <c r="F560" s="141" t="n"/>
      <c r="G560" s="143" t="n"/>
      <c r="H560" s="27" t="n"/>
    </row>
    <row r="561" ht="17.25" customHeight="1" s="322">
      <c r="A561" s="27" t="n"/>
      <c r="B561" s="506" t="n"/>
      <c r="C561" s="141" t="n"/>
      <c r="D561" s="141" t="n"/>
      <c r="E561" s="141" t="n"/>
      <c r="F561" s="141" t="n"/>
      <c r="G561" s="143" t="n"/>
      <c r="H561" s="27" t="n"/>
    </row>
    <row r="562" ht="17.25" customHeight="1" s="322">
      <c r="A562" s="27" t="n"/>
      <c r="B562" s="506" t="n"/>
      <c r="C562" s="141" t="n"/>
      <c r="D562" s="141" t="n"/>
      <c r="E562" s="141" t="n"/>
      <c r="F562" s="141" t="n"/>
      <c r="G562" s="143" t="n"/>
      <c r="H562" s="27" t="n"/>
    </row>
    <row r="563" ht="17.25" customHeight="1" s="322">
      <c r="A563" s="27" t="n"/>
      <c r="B563" s="506" t="n"/>
      <c r="C563" s="141" t="n"/>
      <c r="D563" s="141" t="n"/>
      <c r="E563" s="141" t="n"/>
      <c r="F563" s="141" t="n"/>
      <c r="G563" s="143" t="n"/>
      <c r="H563" s="27" t="n"/>
    </row>
    <row r="564" ht="17.25" customHeight="1" s="322">
      <c r="A564" s="27" t="n"/>
      <c r="B564" s="506" t="n"/>
      <c r="C564" s="141" t="n"/>
      <c r="D564" s="141" t="n"/>
      <c r="E564" s="141" t="n"/>
      <c r="F564" s="141" t="n"/>
      <c r="G564" s="143" t="n"/>
      <c r="H564" s="27" t="n"/>
    </row>
    <row r="565" ht="17.25" customHeight="1" s="322">
      <c r="A565" s="27" t="n"/>
      <c r="B565" s="506" t="n"/>
      <c r="C565" s="141" t="n"/>
      <c r="D565" s="141" t="n"/>
      <c r="E565" s="141" t="n"/>
      <c r="F565" s="141" t="n"/>
      <c r="G565" s="143" t="n"/>
      <c r="H565" s="27" t="n"/>
    </row>
    <row r="566" ht="17.25" customHeight="1" s="322">
      <c r="A566" s="27" t="n"/>
      <c r="B566" s="506" t="n"/>
      <c r="C566" s="141" t="n"/>
      <c r="D566" s="141" t="n"/>
      <c r="E566" s="141" t="n"/>
      <c r="F566" s="141" t="n"/>
      <c r="G566" s="143" t="n"/>
      <c r="H566" s="27" t="n"/>
    </row>
    <row r="567" ht="17.25" customHeight="1" s="322">
      <c r="A567" s="27" t="n"/>
      <c r="B567" s="506" t="n"/>
      <c r="C567" s="141" t="n"/>
      <c r="D567" s="141" t="n"/>
      <c r="E567" s="141" t="n"/>
      <c r="F567" s="141" t="n"/>
      <c r="G567" s="143" t="n"/>
      <c r="H567" s="27" t="n"/>
    </row>
    <row r="568" ht="17.25" customHeight="1" s="322">
      <c r="A568" s="27" t="n"/>
      <c r="B568" s="506" t="n"/>
      <c r="C568" s="141" t="n"/>
      <c r="D568" s="141" t="n"/>
      <c r="E568" s="141" t="n"/>
      <c r="F568" s="141" t="n"/>
      <c r="G568" s="143" t="n"/>
      <c r="H568" s="27" t="n"/>
    </row>
    <row r="569" ht="17.25" customHeight="1" s="322">
      <c r="A569" s="27" t="n"/>
      <c r="B569" s="506" t="n"/>
      <c r="C569" s="141" t="n"/>
      <c r="D569" s="141" t="n"/>
      <c r="E569" s="141" t="n"/>
      <c r="F569" s="141" t="n"/>
      <c r="G569" s="143" t="n"/>
      <c r="H569" s="27" t="n"/>
    </row>
    <row r="570" ht="17.25" customHeight="1" s="322">
      <c r="A570" s="27" t="n"/>
      <c r="B570" s="506" t="n"/>
      <c r="C570" s="141" t="n"/>
      <c r="D570" s="141" t="n"/>
      <c r="E570" s="141" t="n"/>
      <c r="F570" s="141" t="n"/>
      <c r="G570" s="143" t="n"/>
      <c r="H570" s="27" t="n"/>
    </row>
    <row r="571" ht="17.25" customHeight="1" s="322">
      <c r="A571" s="27" t="n"/>
      <c r="B571" s="506" t="n"/>
      <c r="C571" s="141" t="n"/>
      <c r="D571" s="141" t="n"/>
      <c r="E571" s="141" t="n"/>
      <c r="F571" s="141" t="n"/>
      <c r="G571" s="143" t="n"/>
      <c r="H571" s="27" t="n"/>
    </row>
    <row r="572" ht="17.25" customHeight="1" s="322">
      <c r="A572" s="27" t="n"/>
      <c r="B572" s="506" t="n"/>
      <c r="C572" s="141" t="n"/>
      <c r="D572" s="141" t="n"/>
      <c r="E572" s="141" t="n"/>
      <c r="F572" s="141" t="n"/>
      <c r="G572" s="143" t="n"/>
      <c r="H572" s="27" t="n"/>
    </row>
    <row r="573" ht="17.25" customHeight="1" s="322">
      <c r="A573" s="27" t="n"/>
      <c r="B573" s="506" t="n"/>
      <c r="C573" s="141" t="n"/>
      <c r="D573" s="141" t="n"/>
      <c r="E573" s="141" t="n"/>
      <c r="F573" s="141" t="n"/>
      <c r="G573" s="143" t="n"/>
      <c r="H573" s="27" t="n"/>
    </row>
    <row r="574" ht="17.25" customHeight="1" s="322">
      <c r="A574" s="27" t="n"/>
      <c r="B574" s="506" t="n"/>
      <c r="C574" s="141" t="n"/>
      <c r="D574" s="141" t="n"/>
      <c r="E574" s="141" t="n"/>
      <c r="F574" s="141" t="n"/>
      <c r="G574" s="143" t="n"/>
      <c r="H574" s="27" t="n"/>
    </row>
    <row r="575" ht="17.25" customHeight="1" s="322">
      <c r="A575" s="27" t="n"/>
      <c r="B575" s="506" t="n"/>
      <c r="C575" s="141" t="n"/>
      <c r="D575" s="141" t="n"/>
      <c r="E575" s="141" t="n"/>
      <c r="F575" s="141" t="n"/>
      <c r="G575" s="143" t="n"/>
      <c r="H575" s="27" t="n"/>
    </row>
    <row r="576" ht="17.25" customHeight="1" s="322">
      <c r="A576" s="27" t="n"/>
      <c r="B576" s="506" t="n"/>
      <c r="C576" s="141" t="n"/>
      <c r="D576" s="141" t="n"/>
      <c r="E576" s="141" t="n"/>
      <c r="F576" s="141" t="n"/>
      <c r="G576" s="143" t="n"/>
      <c r="H576" s="27" t="n"/>
    </row>
    <row r="577" ht="17.25" customHeight="1" s="322">
      <c r="A577" s="27" t="n"/>
      <c r="B577" s="506" t="n"/>
      <c r="C577" s="141" t="n"/>
      <c r="D577" s="141" t="n"/>
      <c r="E577" s="141" t="n"/>
      <c r="F577" s="141" t="n"/>
      <c r="G577" s="143" t="n"/>
      <c r="H577" s="27" t="n"/>
    </row>
    <row r="578" ht="17.25" customHeight="1" s="322">
      <c r="A578" s="27" t="n"/>
      <c r="B578" s="506" t="n"/>
      <c r="C578" s="141" t="n"/>
      <c r="D578" s="141" t="n"/>
      <c r="E578" s="141" t="n"/>
      <c r="F578" s="141" t="n"/>
      <c r="G578" s="143" t="n"/>
      <c r="H578" s="27" t="n"/>
    </row>
    <row r="579" ht="17.25" customHeight="1" s="322">
      <c r="A579" s="27" t="n"/>
      <c r="B579" s="506" t="n"/>
      <c r="C579" s="141" t="n"/>
      <c r="D579" s="141" t="n"/>
      <c r="E579" s="141" t="n"/>
      <c r="F579" s="141" t="n"/>
      <c r="G579" s="143" t="n"/>
      <c r="H579" s="27" t="n"/>
    </row>
    <row r="580" ht="17.25" customHeight="1" s="322">
      <c r="A580" s="27" t="n"/>
      <c r="B580" s="506" t="n"/>
      <c r="C580" s="141" t="n"/>
      <c r="D580" s="141" t="n"/>
      <c r="E580" s="141" t="n"/>
      <c r="F580" s="141" t="n"/>
      <c r="G580" s="143" t="n"/>
      <c r="H580" s="27" t="n"/>
    </row>
    <row r="581" ht="17.25" customHeight="1" s="322">
      <c r="A581" s="27" t="n"/>
      <c r="B581" s="506" t="n"/>
      <c r="C581" s="141" t="n"/>
      <c r="D581" s="141" t="n"/>
      <c r="E581" s="141" t="n"/>
      <c r="F581" s="141" t="n"/>
      <c r="G581" s="143" t="n"/>
      <c r="H581" s="27" t="n"/>
    </row>
    <row r="582" ht="17.25" customHeight="1" s="322">
      <c r="A582" s="27" t="n"/>
      <c r="B582" s="506" t="n"/>
      <c r="C582" s="141" t="n"/>
      <c r="D582" s="141" t="n"/>
      <c r="E582" s="141" t="n"/>
      <c r="F582" s="141" t="n"/>
      <c r="G582" s="143" t="n"/>
      <c r="H582" s="27" t="n"/>
    </row>
    <row r="583" ht="17.25" customHeight="1" s="322">
      <c r="A583" s="27" t="n"/>
      <c r="B583" s="506" t="n"/>
      <c r="C583" s="141" t="n"/>
      <c r="D583" s="141" t="n"/>
      <c r="E583" s="141" t="n"/>
      <c r="F583" s="141" t="n"/>
      <c r="G583" s="143" t="n"/>
      <c r="H583" s="27" t="n"/>
    </row>
    <row r="584" ht="17.25" customHeight="1" s="322">
      <c r="A584" s="27" t="n"/>
      <c r="B584" s="506" t="n"/>
      <c r="C584" s="141" t="n"/>
      <c r="D584" s="141" t="n"/>
      <c r="E584" s="141" t="n"/>
      <c r="F584" s="141" t="n"/>
      <c r="G584" s="143" t="n"/>
      <c r="H584" s="27" t="n"/>
    </row>
    <row r="585" ht="17.25" customHeight="1" s="322">
      <c r="A585" s="27" t="n"/>
      <c r="B585" s="506" t="n"/>
      <c r="C585" s="141" t="n"/>
      <c r="D585" s="141" t="n"/>
      <c r="E585" s="141" t="n"/>
      <c r="F585" s="141" t="n"/>
      <c r="G585" s="143" t="n"/>
      <c r="H585" s="27" t="n"/>
    </row>
    <row r="586" ht="17.25" customHeight="1" s="322">
      <c r="A586" s="27" t="n"/>
      <c r="B586" s="506" t="n"/>
      <c r="C586" s="141" t="n"/>
      <c r="D586" s="141" t="n"/>
      <c r="E586" s="141" t="n"/>
      <c r="F586" s="141" t="n"/>
      <c r="G586" s="143" t="n"/>
      <c r="H586" s="27" t="n"/>
    </row>
    <row r="587" ht="17.25" customHeight="1" s="322">
      <c r="A587" s="27" t="n"/>
      <c r="B587" s="506" t="n"/>
      <c r="C587" s="141" t="n"/>
      <c r="D587" s="141" t="n"/>
      <c r="E587" s="141" t="n"/>
      <c r="F587" s="141" t="n"/>
      <c r="G587" s="143" t="n"/>
      <c r="H587" s="27" t="n"/>
    </row>
    <row r="588" ht="17.25" customHeight="1" s="322">
      <c r="A588" s="27" t="n"/>
      <c r="B588" s="506" t="n"/>
      <c r="C588" s="141" t="n"/>
      <c r="D588" s="141" t="n"/>
      <c r="E588" s="141" t="n"/>
      <c r="F588" s="141" t="n"/>
      <c r="G588" s="143" t="n"/>
      <c r="H588" s="27" t="n"/>
    </row>
    <row r="589" ht="17.25" customHeight="1" s="322">
      <c r="A589" s="27" t="n"/>
      <c r="B589" s="506" t="n"/>
      <c r="C589" s="141" t="n"/>
      <c r="D589" s="141" t="n"/>
      <c r="E589" s="141" t="n"/>
      <c r="F589" s="141" t="n"/>
      <c r="G589" s="143" t="n"/>
      <c r="H589" s="27" t="n"/>
    </row>
    <row r="590" ht="17.25" customHeight="1" s="322">
      <c r="A590" s="27" t="n"/>
      <c r="B590" s="506" t="n"/>
      <c r="C590" s="141" t="n"/>
      <c r="D590" s="141" t="n"/>
      <c r="E590" s="141" t="n"/>
      <c r="F590" s="141" t="n"/>
      <c r="G590" s="143" t="n"/>
      <c r="H590" s="27" t="n"/>
    </row>
    <row r="591" ht="17.25" customHeight="1" s="322">
      <c r="A591" s="27" t="n"/>
      <c r="B591" s="506" t="n"/>
      <c r="C591" s="141" t="n"/>
      <c r="D591" s="141" t="n"/>
      <c r="E591" s="141" t="n"/>
      <c r="F591" s="141" t="n"/>
      <c r="G591" s="143" t="n"/>
      <c r="H591" s="27" t="n"/>
    </row>
    <row r="592" ht="17.25" customHeight="1" s="322">
      <c r="A592" s="27" t="n"/>
      <c r="B592" s="506" t="n"/>
      <c r="C592" s="141" t="n"/>
      <c r="D592" s="141" t="n"/>
      <c r="E592" s="141" t="n"/>
      <c r="F592" s="141" t="n"/>
      <c r="G592" s="143" t="n"/>
      <c r="H592" s="27" t="n"/>
    </row>
    <row r="593" ht="17.25" customHeight="1" s="322">
      <c r="A593" s="27" t="n"/>
      <c r="B593" s="506" t="n"/>
      <c r="C593" s="141" t="n"/>
      <c r="D593" s="141" t="n"/>
      <c r="E593" s="141" t="n"/>
      <c r="F593" s="141" t="n"/>
      <c r="G593" s="143" t="n"/>
      <c r="H593" s="27" t="n"/>
    </row>
    <row r="594" ht="17.25" customHeight="1" s="322">
      <c r="A594" s="27" t="n"/>
      <c r="B594" s="506" t="n"/>
      <c r="C594" s="141" t="n"/>
      <c r="D594" s="141" t="n"/>
      <c r="E594" s="141" t="n"/>
      <c r="F594" s="141" t="n"/>
      <c r="G594" s="143" t="n"/>
      <c r="H594" s="27" t="n"/>
    </row>
    <row r="595" ht="17.25" customHeight="1" s="322">
      <c r="A595" s="27" t="n"/>
      <c r="B595" s="506" t="n"/>
      <c r="C595" s="141" t="n"/>
      <c r="D595" s="141" t="n"/>
      <c r="E595" s="141" t="n"/>
      <c r="F595" s="141" t="n"/>
      <c r="G595" s="143" t="n"/>
      <c r="H595" s="27" t="n"/>
    </row>
    <row r="596" ht="17.25" customHeight="1" s="322">
      <c r="A596" s="27" t="n"/>
      <c r="B596" s="506" t="n"/>
      <c r="C596" s="141" t="n"/>
      <c r="D596" s="141" t="n"/>
      <c r="E596" s="141" t="n"/>
      <c r="F596" s="141" t="n"/>
      <c r="G596" s="143" t="n"/>
      <c r="H596" s="27" t="n"/>
    </row>
    <row r="597" ht="17.25" customHeight="1" s="322">
      <c r="A597" s="27" t="n"/>
      <c r="B597" s="506" t="n"/>
      <c r="C597" s="141" t="n"/>
      <c r="D597" s="141" t="n"/>
      <c r="E597" s="141" t="n"/>
      <c r="F597" s="141" t="n"/>
      <c r="G597" s="143" t="n"/>
      <c r="H597" s="27" t="n"/>
    </row>
    <row r="598" ht="17.25" customHeight="1" s="322">
      <c r="A598" s="27" t="n"/>
      <c r="B598" s="506" t="n"/>
      <c r="C598" s="141" t="n"/>
      <c r="D598" s="141" t="n"/>
      <c r="E598" s="141" t="n"/>
      <c r="F598" s="141" t="n"/>
      <c r="G598" s="143" t="n"/>
      <c r="H598" s="27" t="n"/>
    </row>
    <row r="599" ht="17.25" customHeight="1" s="322">
      <c r="A599" s="27" t="n"/>
      <c r="B599" s="506" t="n"/>
      <c r="C599" s="141" t="n"/>
      <c r="D599" s="141" t="n"/>
      <c r="E599" s="141" t="n"/>
      <c r="F599" s="141" t="n"/>
      <c r="G599" s="143" t="n"/>
      <c r="H599" s="27" t="n"/>
    </row>
    <row r="600" ht="17.25" customHeight="1" s="322">
      <c r="A600" s="27" t="n"/>
      <c r="B600" s="506" t="n"/>
      <c r="C600" s="141" t="n"/>
      <c r="D600" s="141" t="n"/>
      <c r="E600" s="141" t="n"/>
      <c r="F600" s="141" t="n"/>
      <c r="G600" s="143" t="n"/>
      <c r="H600" s="27" t="n"/>
    </row>
    <row r="601" ht="17.25" customHeight="1" s="322">
      <c r="A601" s="27" t="n"/>
      <c r="B601" s="506" t="n"/>
      <c r="C601" s="141" t="n"/>
      <c r="D601" s="141" t="n"/>
      <c r="E601" s="141" t="n"/>
      <c r="F601" s="141" t="n"/>
      <c r="G601" s="143" t="n"/>
      <c r="H601" s="27" t="n"/>
    </row>
    <row r="602" ht="17.25" customHeight="1" s="322">
      <c r="A602" s="27" t="n"/>
      <c r="B602" s="506" t="n"/>
      <c r="C602" s="141" t="n"/>
      <c r="D602" s="141" t="n"/>
      <c r="E602" s="141" t="n"/>
      <c r="F602" s="141" t="n"/>
      <c r="G602" s="143" t="n"/>
      <c r="H602" s="27" t="n"/>
    </row>
    <row r="603" ht="17.25" customHeight="1" s="322">
      <c r="A603" s="27" t="n"/>
      <c r="B603" s="506" t="n"/>
      <c r="C603" s="141" t="n"/>
      <c r="D603" s="141" t="n"/>
      <c r="E603" s="141" t="n"/>
      <c r="F603" s="141" t="n"/>
      <c r="G603" s="143" t="n"/>
      <c r="H603" s="27" t="n"/>
    </row>
    <row r="604" ht="17.25" customHeight="1" s="322">
      <c r="A604" s="27" t="n"/>
      <c r="B604" s="506" t="n"/>
      <c r="C604" s="141" t="n"/>
      <c r="D604" s="141" t="n"/>
      <c r="E604" s="141" t="n"/>
      <c r="F604" s="141" t="n"/>
      <c r="G604" s="143" t="n"/>
      <c r="H604" s="27" t="n"/>
    </row>
    <row r="605" ht="17.25" customHeight="1" s="322">
      <c r="A605" s="27" t="n"/>
      <c r="B605" s="506" t="n"/>
      <c r="C605" s="141" t="n"/>
      <c r="D605" s="141" t="n"/>
      <c r="E605" s="141" t="n"/>
      <c r="F605" s="141" t="n"/>
      <c r="G605" s="143" t="n"/>
      <c r="H605" s="27" t="n"/>
    </row>
    <row r="606" ht="17.25" customHeight="1" s="322">
      <c r="A606" s="27" t="n"/>
      <c r="B606" s="506" t="n"/>
      <c r="C606" s="141" t="n"/>
      <c r="D606" s="141" t="n"/>
      <c r="E606" s="141" t="n"/>
      <c r="F606" s="141" t="n"/>
      <c r="G606" s="143" t="n"/>
      <c r="H606" s="27" t="n"/>
    </row>
    <row r="607" ht="17.25" customHeight="1" s="322">
      <c r="A607" s="27" t="n"/>
      <c r="B607" s="506" t="n"/>
      <c r="C607" s="141" t="n"/>
      <c r="D607" s="141" t="n"/>
      <c r="E607" s="141" t="n"/>
      <c r="F607" s="141" t="n"/>
      <c r="G607" s="143" t="n"/>
      <c r="H607" s="27" t="n"/>
    </row>
    <row r="608" ht="17.25" customHeight="1" s="322">
      <c r="A608" s="27" t="n"/>
      <c r="B608" s="506" t="n"/>
      <c r="C608" s="141" t="n"/>
      <c r="D608" s="141" t="n"/>
      <c r="E608" s="141" t="n"/>
      <c r="F608" s="141" t="n"/>
      <c r="G608" s="143" t="n"/>
      <c r="H608" s="27" t="n"/>
    </row>
    <row r="609" ht="17.25" customHeight="1" s="322">
      <c r="A609" s="27" t="n"/>
      <c r="B609" s="506" t="n"/>
      <c r="C609" s="141" t="n"/>
      <c r="D609" s="141" t="n"/>
      <c r="E609" s="141" t="n"/>
      <c r="F609" s="141" t="n"/>
      <c r="G609" s="143" t="n"/>
      <c r="H609" s="27" t="n"/>
    </row>
    <row r="610" ht="17.25" customHeight="1" s="322">
      <c r="A610" s="27" t="n"/>
      <c r="B610" s="506" t="n"/>
      <c r="C610" s="141" t="n"/>
      <c r="D610" s="141" t="n"/>
      <c r="E610" s="141" t="n"/>
      <c r="F610" s="141" t="n"/>
      <c r="G610" s="143" t="n"/>
      <c r="H610" s="27" t="n"/>
    </row>
    <row r="611" ht="17.25" customHeight="1" s="322">
      <c r="A611" s="27" t="n"/>
      <c r="B611" s="506" t="n"/>
      <c r="C611" s="141" t="n"/>
      <c r="D611" s="141" t="n"/>
      <c r="E611" s="141" t="n"/>
      <c r="F611" s="141" t="n"/>
      <c r="G611" s="143" t="n"/>
      <c r="H611" s="27" t="n"/>
    </row>
    <row r="612" ht="17.25" customHeight="1" s="322">
      <c r="A612" s="27" t="n"/>
      <c r="B612" s="506" t="n"/>
      <c r="C612" s="141" t="n"/>
      <c r="D612" s="141" t="n"/>
      <c r="E612" s="141" t="n"/>
      <c r="F612" s="141" t="n"/>
      <c r="G612" s="143" t="n"/>
      <c r="H612" s="27" t="n"/>
    </row>
    <row r="613" ht="17.25" customHeight="1" s="322">
      <c r="A613" s="27" t="n"/>
      <c r="B613" s="506" t="n"/>
      <c r="C613" s="141" t="n"/>
      <c r="D613" s="141" t="n"/>
      <c r="E613" s="141" t="n"/>
      <c r="F613" s="141" t="n"/>
      <c r="G613" s="143" t="n"/>
      <c r="H613" s="27" t="n"/>
    </row>
    <row r="614" ht="17.25" customHeight="1" s="322">
      <c r="A614" s="27" t="n"/>
      <c r="B614" s="506" t="n"/>
      <c r="C614" s="141" t="n"/>
      <c r="D614" s="141" t="n"/>
      <c r="E614" s="141" t="n"/>
      <c r="F614" s="141" t="n"/>
      <c r="G614" s="143" t="n"/>
      <c r="H614" s="27" t="n"/>
    </row>
    <row r="615" ht="17.25" customHeight="1" s="322">
      <c r="A615" s="27" t="n"/>
      <c r="B615" s="506" t="n"/>
      <c r="C615" s="141" t="n"/>
      <c r="D615" s="141" t="n"/>
      <c r="E615" s="141" t="n"/>
      <c r="F615" s="141" t="n"/>
      <c r="G615" s="143" t="n"/>
      <c r="H615" s="27" t="n"/>
    </row>
    <row r="616" ht="17.25" customHeight="1" s="322">
      <c r="A616" s="27" t="n"/>
      <c r="B616" s="506" t="n"/>
      <c r="C616" s="141" t="n"/>
      <c r="D616" s="141" t="n"/>
      <c r="E616" s="141" t="n"/>
      <c r="F616" s="141" t="n"/>
      <c r="G616" s="143" t="n"/>
      <c r="H616" s="27" t="n"/>
    </row>
    <row r="617" ht="17.25" customHeight="1" s="322">
      <c r="A617" s="27" t="n"/>
      <c r="B617" s="506" t="n"/>
      <c r="C617" s="141" t="n"/>
      <c r="D617" s="141" t="n"/>
      <c r="E617" s="141" t="n"/>
      <c r="F617" s="141" t="n"/>
      <c r="G617" s="143" t="n"/>
      <c r="H617" s="27" t="n"/>
    </row>
    <row r="618" ht="17.25" customHeight="1" s="322">
      <c r="A618" s="27" t="n"/>
      <c r="B618" s="506" t="n"/>
      <c r="C618" s="141" t="n"/>
      <c r="D618" s="141" t="n"/>
      <c r="E618" s="141" t="n"/>
      <c r="F618" s="141" t="n"/>
      <c r="G618" s="143" t="n"/>
      <c r="H618" s="27" t="n"/>
    </row>
    <row r="619" ht="17.25" customHeight="1" s="322">
      <c r="A619" s="27" t="n"/>
      <c r="B619" s="506" t="n"/>
      <c r="C619" s="141" t="n"/>
      <c r="D619" s="141" t="n"/>
      <c r="E619" s="141" t="n"/>
      <c r="F619" s="141" t="n"/>
      <c r="G619" s="143" t="n"/>
      <c r="H619" s="27" t="n"/>
    </row>
    <row r="620" ht="17.25" customHeight="1" s="322">
      <c r="A620" s="27" t="n"/>
      <c r="B620" s="506" t="n"/>
      <c r="C620" s="141" t="n"/>
      <c r="D620" s="141" t="n"/>
      <c r="E620" s="141" t="n"/>
      <c r="F620" s="141" t="n"/>
      <c r="G620" s="143" t="n"/>
      <c r="H620" s="27" t="n"/>
    </row>
    <row r="621" ht="17.25" customHeight="1" s="322">
      <c r="A621" s="27" t="n"/>
      <c r="B621" s="506" t="n"/>
      <c r="C621" s="141" t="n"/>
      <c r="D621" s="141" t="n"/>
      <c r="E621" s="141" t="n"/>
      <c r="F621" s="141" t="n"/>
      <c r="G621" s="143" t="n"/>
      <c r="H621" s="27" t="n"/>
    </row>
    <row r="622" ht="17.25" customHeight="1" s="322">
      <c r="A622" s="27" t="n"/>
      <c r="B622" s="506" t="n"/>
      <c r="C622" s="141" t="n"/>
      <c r="D622" s="141" t="n"/>
      <c r="E622" s="141" t="n"/>
      <c r="F622" s="141" t="n"/>
      <c r="G622" s="143" t="n"/>
      <c r="H622" s="27" t="n"/>
    </row>
    <row r="623" ht="17.25" customHeight="1" s="322">
      <c r="A623" s="27" t="n"/>
      <c r="B623" s="506" t="n"/>
      <c r="C623" s="141" t="n"/>
      <c r="D623" s="141" t="n"/>
      <c r="E623" s="141" t="n"/>
      <c r="F623" s="141" t="n"/>
      <c r="G623" s="143" t="n"/>
      <c r="H623" s="27" t="n"/>
    </row>
    <row r="624" ht="17.25" customHeight="1" s="322">
      <c r="A624" s="27" t="n"/>
      <c r="B624" s="506" t="n"/>
      <c r="C624" s="141" t="n"/>
      <c r="D624" s="141" t="n"/>
      <c r="E624" s="141" t="n"/>
      <c r="F624" s="141" t="n"/>
      <c r="G624" s="143" t="n"/>
      <c r="H624" s="27" t="n"/>
    </row>
    <row r="625" ht="17.25" customHeight="1" s="322">
      <c r="A625" s="27" t="n"/>
      <c r="B625" s="506" t="n"/>
      <c r="C625" s="141" t="n"/>
      <c r="D625" s="141" t="n"/>
      <c r="E625" s="141" t="n"/>
      <c r="F625" s="141" t="n"/>
      <c r="G625" s="143" t="n"/>
      <c r="H625" s="27" t="n"/>
    </row>
    <row r="626" ht="17.25" customHeight="1" s="322">
      <c r="A626" s="27" t="n"/>
      <c r="B626" s="506" t="n"/>
      <c r="C626" s="141" t="n"/>
      <c r="D626" s="141" t="n"/>
      <c r="E626" s="141" t="n"/>
      <c r="F626" s="141" t="n"/>
      <c r="G626" s="143" t="n"/>
      <c r="H626" s="27" t="n"/>
    </row>
    <row r="627" ht="17.25" customHeight="1" s="322">
      <c r="A627" s="27" t="n"/>
      <c r="B627" s="506" t="n"/>
      <c r="C627" s="141" t="n"/>
      <c r="D627" s="141" t="n"/>
      <c r="E627" s="141" t="n"/>
      <c r="F627" s="141" t="n"/>
      <c r="G627" s="143" t="n"/>
      <c r="H627" s="27" t="n"/>
    </row>
    <row r="628" ht="17.25" customHeight="1" s="322">
      <c r="A628" s="27" t="n"/>
      <c r="B628" s="506" t="n"/>
      <c r="C628" s="141" t="n"/>
      <c r="D628" s="141" t="n"/>
      <c r="E628" s="141" t="n"/>
      <c r="F628" s="141" t="n"/>
      <c r="G628" s="143" t="n"/>
      <c r="H628" s="27" t="n"/>
    </row>
    <row r="629" ht="17.25" customHeight="1" s="322">
      <c r="A629" s="27" t="n"/>
      <c r="B629" s="506" t="n"/>
      <c r="C629" s="141" t="n"/>
      <c r="D629" s="141" t="n"/>
      <c r="E629" s="141" t="n"/>
      <c r="F629" s="141" t="n"/>
      <c r="G629" s="143" t="n"/>
      <c r="H629" s="27" t="n"/>
    </row>
    <row r="630" ht="17.25" customHeight="1" s="322">
      <c r="A630" s="27" t="n"/>
      <c r="B630" s="506" t="n"/>
      <c r="C630" s="141" t="n"/>
      <c r="D630" s="141" t="n"/>
      <c r="E630" s="141" t="n"/>
      <c r="F630" s="141" t="n"/>
      <c r="G630" s="143" t="n"/>
      <c r="H630" s="27" t="n"/>
    </row>
    <row r="631" ht="17.25" customHeight="1" s="322">
      <c r="A631" s="27" t="n"/>
      <c r="B631" s="506" t="n"/>
      <c r="C631" s="141" t="n"/>
      <c r="D631" s="141" t="n"/>
      <c r="E631" s="141" t="n"/>
      <c r="F631" s="141" t="n"/>
      <c r="G631" s="143" t="n"/>
      <c r="H631" s="27" t="n"/>
    </row>
    <row r="632" ht="17.25" customHeight="1" s="322">
      <c r="A632" s="27" t="n"/>
      <c r="B632" s="506" t="n"/>
      <c r="C632" s="141" t="n"/>
      <c r="D632" s="141" t="n"/>
      <c r="E632" s="141" t="n"/>
      <c r="F632" s="141" t="n"/>
      <c r="G632" s="143" t="n"/>
      <c r="H632" s="27" t="n"/>
    </row>
    <row r="633" ht="17.25" customHeight="1" s="322">
      <c r="A633" s="27" t="n"/>
      <c r="B633" s="506" t="n"/>
      <c r="C633" s="141" t="n"/>
      <c r="D633" s="141" t="n"/>
      <c r="E633" s="141" t="n"/>
      <c r="F633" s="141" t="n"/>
      <c r="G633" s="143" t="n"/>
      <c r="H633" s="27" t="n"/>
    </row>
    <row r="634" ht="17.25" customHeight="1" s="322">
      <c r="A634" s="27" t="n"/>
      <c r="B634" s="506" t="n"/>
      <c r="C634" s="141" t="n"/>
      <c r="D634" s="141" t="n"/>
      <c r="E634" s="141" t="n"/>
      <c r="F634" s="141" t="n"/>
      <c r="G634" s="143" t="n"/>
      <c r="H634" s="27" t="n"/>
    </row>
    <row r="635" ht="17.25" customHeight="1" s="322">
      <c r="A635" s="27" t="n"/>
      <c r="B635" s="506" t="n"/>
      <c r="C635" s="141" t="n"/>
      <c r="D635" s="141" t="n"/>
      <c r="E635" s="141" t="n"/>
      <c r="F635" s="141" t="n"/>
      <c r="G635" s="143" t="n"/>
      <c r="H635" s="27" t="n"/>
    </row>
    <row r="636" ht="17.25" customHeight="1" s="322">
      <c r="A636" s="27" t="n"/>
      <c r="B636" s="506" t="n"/>
      <c r="C636" s="141" t="n"/>
      <c r="D636" s="141" t="n"/>
      <c r="E636" s="141" t="n"/>
      <c r="F636" s="141" t="n"/>
      <c r="G636" s="143" t="n"/>
      <c r="H636" s="27" t="n"/>
    </row>
    <row r="637" ht="17.25" customHeight="1" s="322">
      <c r="A637" s="27" t="n"/>
      <c r="B637" s="506" t="n"/>
      <c r="C637" s="141" t="n"/>
      <c r="D637" s="141" t="n"/>
      <c r="E637" s="141" t="n"/>
      <c r="F637" s="141" t="n"/>
      <c r="G637" s="143" t="n"/>
      <c r="H637" s="27" t="n"/>
    </row>
    <row r="638" ht="17.25" customHeight="1" s="322">
      <c r="A638" s="27" t="n"/>
      <c r="B638" s="506" t="n"/>
      <c r="C638" s="141" t="n"/>
      <c r="D638" s="141" t="n"/>
      <c r="E638" s="141" t="n"/>
      <c r="F638" s="141" t="n"/>
      <c r="G638" s="143" t="n"/>
      <c r="H638" s="27" t="n"/>
    </row>
    <row r="639" ht="17.25" customHeight="1" s="322">
      <c r="A639" s="27" t="n"/>
      <c r="B639" s="506" t="n"/>
      <c r="C639" s="141" t="n"/>
      <c r="D639" s="141" t="n"/>
      <c r="E639" s="141" t="n"/>
      <c r="F639" s="141" t="n"/>
      <c r="G639" s="143" t="n"/>
      <c r="H639" s="27" t="n"/>
    </row>
    <row r="640" ht="17.25" customHeight="1" s="322">
      <c r="A640" s="27" t="n"/>
      <c r="B640" s="506" t="n"/>
      <c r="C640" s="141" t="n"/>
      <c r="D640" s="141" t="n"/>
      <c r="E640" s="141" t="n"/>
      <c r="F640" s="141" t="n"/>
      <c r="G640" s="143" t="n"/>
      <c r="H640" s="27" t="n"/>
    </row>
    <row r="641" ht="17.25" customHeight="1" s="322">
      <c r="A641" s="27" t="n"/>
      <c r="B641" s="506" t="n"/>
      <c r="C641" s="141" t="n"/>
      <c r="D641" s="141" t="n"/>
      <c r="E641" s="141" t="n"/>
      <c r="F641" s="141" t="n"/>
      <c r="G641" s="143" t="n"/>
      <c r="H641" s="27" t="n"/>
    </row>
    <row r="642" ht="17.25" customHeight="1" s="322">
      <c r="A642" s="27" t="n"/>
      <c r="B642" s="506" t="n"/>
      <c r="C642" s="141" t="n"/>
      <c r="D642" s="141" t="n"/>
      <c r="E642" s="141" t="n"/>
      <c r="F642" s="141" t="n"/>
      <c r="G642" s="143" t="n"/>
      <c r="H642" s="27" t="n"/>
    </row>
    <row r="643" ht="17.25" customHeight="1" s="322">
      <c r="A643" s="27" t="n"/>
      <c r="B643" s="506" t="n"/>
      <c r="C643" s="141" t="n"/>
      <c r="D643" s="141" t="n"/>
      <c r="E643" s="141" t="n"/>
      <c r="F643" s="141" t="n"/>
      <c r="G643" s="143" t="n"/>
      <c r="H643" s="27" t="n"/>
    </row>
    <row r="644" ht="17.25" customHeight="1" s="322">
      <c r="A644" s="27" t="n"/>
      <c r="B644" s="506" t="n"/>
      <c r="C644" s="141" t="n"/>
      <c r="D644" s="141" t="n"/>
      <c r="E644" s="141" t="n"/>
      <c r="F644" s="141" t="n"/>
      <c r="G644" s="143" t="n"/>
      <c r="H644" s="27" t="n"/>
    </row>
    <row r="645" ht="17.25" customHeight="1" s="322">
      <c r="A645" s="27" t="n"/>
      <c r="B645" s="506" t="n"/>
      <c r="C645" s="141" t="n"/>
      <c r="D645" s="141" t="n"/>
      <c r="E645" s="141" t="n"/>
      <c r="F645" s="141" t="n"/>
      <c r="G645" s="143" t="n"/>
      <c r="H645" s="27" t="n"/>
    </row>
    <row r="646" ht="17.25" customHeight="1" s="322">
      <c r="A646" s="27" t="n"/>
      <c r="B646" s="506" t="n"/>
      <c r="C646" s="141" t="n"/>
      <c r="D646" s="141" t="n"/>
      <c r="E646" s="141" t="n"/>
      <c r="F646" s="141" t="n"/>
      <c r="G646" s="143" t="n"/>
      <c r="H646" s="27" t="n"/>
    </row>
    <row r="647" ht="17.25" customHeight="1" s="322">
      <c r="A647" s="27" t="n"/>
      <c r="B647" s="506" t="n"/>
      <c r="C647" s="141" t="n"/>
      <c r="D647" s="141" t="n"/>
      <c r="E647" s="141" t="n"/>
      <c r="F647" s="141" t="n"/>
      <c r="G647" s="143" t="n"/>
      <c r="H647" s="27" t="n"/>
    </row>
    <row r="648" ht="17.25" customHeight="1" s="322">
      <c r="A648" s="27" t="n"/>
      <c r="B648" s="506" t="n"/>
      <c r="C648" s="141" t="n"/>
      <c r="D648" s="141" t="n"/>
      <c r="E648" s="141" t="n"/>
      <c r="F648" s="141" t="n"/>
      <c r="G648" s="143" t="n"/>
      <c r="H648" s="27" t="n"/>
    </row>
    <row r="649" ht="17.25" customHeight="1" s="322">
      <c r="A649" s="27" t="n"/>
      <c r="B649" s="506" t="n"/>
      <c r="C649" s="141" t="n"/>
      <c r="D649" s="141" t="n"/>
      <c r="E649" s="141" t="n"/>
      <c r="F649" s="141" t="n"/>
      <c r="G649" s="143" t="n"/>
      <c r="H649" s="27" t="n"/>
    </row>
    <row r="650" ht="17.25" customHeight="1" s="322">
      <c r="A650" s="27" t="n"/>
      <c r="B650" s="506" t="n"/>
      <c r="C650" s="141" t="n"/>
      <c r="D650" s="141" t="n"/>
      <c r="E650" s="141" t="n"/>
      <c r="F650" s="141" t="n"/>
      <c r="G650" s="143" t="n"/>
      <c r="H650" s="27" t="n"/>
    </row>
    <row r="651" ht="17.25" customHeight="1" s="322">
      <c r="A651" s="27" t="n"/>
      <c r="B651" s="506" t="n"/>
      <c r="C651" s="141" t="n"/>
      <c r="D651" s="141" t="n"/>
      <c r="E651" s="141" t="n"/>
      <c r="F651" s="141" t="n"/>
      <c r="G651" s="143" t="n"/>
      <c r="H651" s="27" t="n"/>
    </row>
    <row r="652" ht="17.25" customHeight="1" s="322">
      <c r="A652" s="27" t="n"/>
      <c r="B652" s="506" t="n"/>
      <c r="C652" s="141" t="n"/>
      <c r="D652" s="141" t="n"/>
      <c r="E652" s="141" t="n"/>
      <c r="F652" s="141" t="n"/>
      <c r="G652" s="143" t="n"/>
      <c r="H652" s="27" t="n"/>
    </row>
    <row r="653" ht="17.25" customHeight="1" s="322">
      <c r="A653" s="27" t="n"/>
      <c r="B653" s="506" t="n"/>
      <c r="C653" s="141" t="n"/>
      <c r="D653" s="141" t="n"/>
      <c r="E653" s="141" t="n"/>
      <c r="F653" s="141" t="n"/>
      <c r="G653" s="143" t="n"/>
      <c r="H653" s="27" t="n"/>
    </row>
    <row r="654" ht="17.25" customHeight="1" s="322">
      <c r="A654" s="27" t="n"/>
      <c r="B654" s="506" t="n"/>
      <c r="C654" s="141" t="n"/>
      <c r="D654" s="141" t="n"/>
      <c r="E654" s="141" t="n"/>
      <c r="F654" s="141" t="n"/>
      <c r="G654" s="143" t="n"/>
      <c r="H654" s="27" t="n"/>
    </row>
    <row r="655" ht="17.25" customHeight="1" s="322">
      <c r="A655" s="27" t="n"/>
      <c r="B655" s="506" t="n"/>
      <c r="C655" s="141" t="n"/>
      <c r="D655" s="141" t="n"/>
      <c r="E655" s="141" t="n"/>
      <c r="F655" s="141" t="n"/>
      <c r="G655" s="143" t="n"/>
      <c r="H655" s="27" t="n"/>
    </row>
    <row r="656" ht="17.25" customHeight="1" s="322">
      <c r="A656" s="27" t="n"/>
      <c r="B656" s="506" t="n"/>
      <c r="C656" s="141" t="n"/>
      <c r="D656" s="141" t="n"/>
      <c r="E656" s="141" t="n"/>
      <c r="F656" s="141" t="n"/>
      <c r="G656" s="143" t="n"/>
      <c r="H656" s="27" t="n"/>
    </row>
    <row r="657" ht="17.25" customHeight="1" s="322">
      <c r="A657" s="27" t="n"/>
      <c r="B657" s="506" t="n"/>
      <c r="C657" s="141" t="n"/>
      <c r="D657" s="141" t="n"/>
      <c r="E657" s="141" t="n"/>
      <c r="F657" s="141" t="n"/>
      <c r="G657" s="143" t="n"/>
      <c r="H657" s="27" t="n"/>
    </row>
    <row r="658" ht="17.25" customHeight="1" s="322">
      <c r="A658" s="27" t="n"/>
      <c r="B658" s="506" t="n"/>
      <c r="C658" s="141" t="n"/>
      <c r="D658" s="141" t="n"/>
      <c r="E658" s="141" t="n"/>
      <c r="F658" s="141" t="n"/>
      <c r="G658" s="143" t="n"/>
      <c r="H658" s="27" t="n"/>
    </row>
    <row r="659" ht="17.25" customHeight="1" s="322">
      <c r="A659" s="27" t="n"/>
      <c r="B659" s="506" t="n"/>
      <c r="C659" s="141" t="n"/>
      <c r="D659" s="141" t="n"/>
      <c r="E659" s="141" t="n"/>
      <c r="F659" s="141" t="n"/>
      <c r="G659" s="143" t="n"/>
      <c r="H659" s="27" t="n"/>
    </row>
    <row r="660" ht="17.25" customHeight="1" s="322">
      <c r="A660" s="27" t="n"/>
      <c r="B660" s="506" t="n"/>
      <c r="C660" s="141" t="n"/>
      <c r="D660" s="141" t="n"/>
      <c r="E660" s="141" t="n"/>
      <c r="F660" s="141" t="n"/>
      <c r="G660" s="143" t="n"/>
      <c r="H660" s="27" t="n"/>
    </row>
    <row r="661" ht="17.25" customHeight="1" s="322">
      <c r="A661" s="27" t="n"/>
      <c r="B661" s="506" t="n"/>
      <c r="C661" s="141" t="n"/>
      <c r="D661" s="141" t="n"/>
      <c r="E661" s="141" t="n"/>
      <c r="F661" s="141" t="n"/>
      <c r="G661" s="143" t="n"/>
      <c r="H661" s="27" t="n"/>
    </row>
    <row r="662" ht="17.25" customHeight="1" s="322">
      <c r="A662" s="27" t="n"/>
      <c r="B662" s="506" t="n"/>
      <c r="C662" s="141" t="n"/>
      <c r="D662" s="141" t="n"/>
      <c r="E662" s="141" t="n"/>
      <c r="F662" s="141" t="n"/>
      <c r="G662" s="143" t="n"/>
      <c r="H662" s="27" t="n"/>
    </row>
    <row r="663" ht="17.25" customHeight="1" s="322">
      <c r="A663" s="27" t="n"/>
      <c r="B663" s="506" t="n"/>
      <c r="C663" s="141" t="n"/>
      <c r="D663" s="141" t="n"/>
      <c r="E663" s="141" t="n"/>
      <c r="F663" s="141" t="n"/>
      <c r="G663" s="143" t="n"/>
      <c r="H663" s="27" t="n"/>
    </row>
    <row r="664" ht="17.25" customHeight="1" s="322">
      <c r="A664" s="27" t="n"/>
      <c r="B664" s="506" t="n"/>
      <c r="C664" s="141" t="n"/>
      <c r="D664" s="141" t="n"/>
      <c r="E664" s="141" t="n"/>
      <c r="F664" s="141" t="n"/>
      <c r="G664" s="143" t="n"/>
      <c r="H664" s="27" t="n"/>
    </row>
    <row r="665" ht="17.25" customHeight="1" s="322">
      <c r="A665" s="27" t="n"/>
      <c r="B665" s="506" t="n"/>
      <c r="C665" s="141" t="n"/>
      <c r="D665" s="141" t="n"/>
      <c r="E665" s="141" t="n"/>
      <c r="F665" s="141" t="n"/>
      <c r="G665" s="143" t="n"/>
      <c r="H665" s="27" t="n"/>
    </row>
    <row r="666" ht="17.25" customHeight="1" s="322">
      <c r="A666" s="27" t="n"/>
      <c r="B666" s="506" t="n"/>
      <c r="C666" s="141" t="n"/>
      <c r="D666" s="141" t="n"/>
      <c r="E666" s="141" t="n"/>
      <c r="F666" s="141" t="n"/>
      <c r="G666" s="143" t="n"/>
      <c r="H666" s="27" t="n"/>
    </row>
    <row r="667" ht="17.25" customHeight="1" s="322">
      <c r="A667" s="27" t="n"/>
      <c r="B667" s="506" t="n"/>
      <c r="C667" s="141" t="n"/>
      <c r="D667" s="141" t="n"/>
      <c r="E667" s="141" t="n"/>
      <c r="F667" s="141" t="n"/>
      <c r="G667" s="143" t="n"/>
      <c r="H667" s="27" t="n"/>
    </row>
    <row r="668" ht="17.25" customHeight="1" s="322">
      <c r="A668" s="27" t="n"/>
      <c r="B668" s="506" t="n"/>
      <c r="C668" s="141" t="n"/>
      <c r="D668" s="141" t="n"/>
      <c r="E668" s="141" t="n"/>
      <c r="F668" s="141" t="n"/>
      <c r="G668" s="143" t="n"/>
      <c r="H668" s="27" t="n"/>
    </row>
    <row r="669" ht="17.25" customHeight="1" s="322">
      <c r="A669" s="27" t="n"/>
      <c r="B669" s="506" t="n"/>
      <c r="C669" s="141" t="n"/>
      <c r="D669" s="141" t="n"/>
      <c r="E669" s="141" t="n"/>
      <c r="F669" s="141" t="n"/>
      <c r="G669" s="143" t="n"/>
      <c r="H669" s="27" t="n"/>
    </row>
    <row r="670" ht="17.25" customHeight="1" s="322">
      <c r="A670" s="27" t="n"/>
      <c r="B670" s="506" t="n"/>
      <c r="C670" s="141" t="n"/>
      <c r="D670" s="141" t="n"/>
      <c r="E670" s="141" t="n"/>
      <c r="F670" s="141" t="n"/>
      <c r="G670" s="143" t="n"/>
      <c r="H670" s="27" t="n"/>
    </row>
    <row r="671" ht="17.25" customHeight="1" s="322">
      <c r="A671" s="27" t="n"/>
      <c r="B671" s="506" t="n"/>
      <c r="C671" s="141" t="n"/>
      <c r="D671" s="141" t="n"/>
      <c r="E671" s="141" t="n"/>
      <c r="F671" s="141" t="n"/>
      <c r="G671" s="143" t="n"/>
      <c r="H671" s="27" t="n"/>
    </row>
    <row r="672" ht="17.25" customHeight="1" s="322">
      <c r="A672" s="27" t="n"/>
      <c r="B672" s="506" t="n"/>
      <c r="C672" s="141" t="n"/>
      <c r="D672" s="141" t="n"/>
      <c r="E672" s="141" t="n"/>
      <c r="F672" s="141" t="n"/>
      <c r="G672" s="143" t="n"/>
      <c r="H672" s="27" t="n"/>
    </row>
    <row r="673" ht="17.25" customHeight="1" s="322">
      <c r="A673" s="27" t="n"/>
      <c r="B673" s="506" t="n"/>
      <c r="C673" s="141" t="n"/>
      <c r="D673" s="141" t="n"/>
      <c r="E673" s="141" t="n"/>
      <c r="F673" s="141" t="n"/>
      <c r="G673" s="143" t="n"/>
      <c r="H673" s="27" t="n"/>
    </row>
    <row r="674" ht="17.25" customHeight="1" s="322">
      <c r="A674" s="27" t="n"/>
      <c r="B674" s="506" t="n"/>
      <c r="C674" s="141" t="n"/>
      <c r="D674" s="141" t="n"/>
      <c r="E674" s="141" t="n"/>
      <c r="F674" s="141" t="n"/>
      <c r="G674" s="143" t="n"/>
      <c r="H674" s="27" t="n"/>
    </row>
    <row r="675" ht="17.25" customHeight="1" s="322">
      <c r="A675" s="27" t="n"/>
      <c r="B675" s="506" t="n"/>
      <c r="C675" s="141" t="n"/>
      <c r="D675" s="141" t="n"/>
      <c r="E675" s="141" t="n"/>
      <c r="F675" s="141" t="n"/>
      <c r="G675" s="143" t="n"/>
      <c r="H675" s="27" t="n"/>
    </row>
    <row r="676" ht="17.25" customHeight="1" s="322">
      <c r="A676" s="27" t="n"/>
      <c r="B676" s="506" t="n"/>
      <c r="C676" s="141" t="n"/>
      <c r="D676" s="141" t="n"/>
      <c r="E676" s="141" t="n"/>
      <c r="F676" s="141" t="n"/>
      <c r="G676" s="143" t="n"/>
      <c r="H676" s="27" t="n"/>
    </row>
    <row r="677" ht="17.25" customHeight="1" s="322">
      <c r="A677" s="27" t="n"/>
      <c r="B677" s="506" t="n"/>
      <c r="C677" s="141" t="n"/>
      <c r="D677" s="141" t="n"/>
      <c r="E677" s="141" t="n"/>
      <c r="F677" s="141" t="n"/>
      <c r="G677" s="143" t="n"/>
      <c r="H677" s="27" t="n"/>
    </row>
    <row r="678" ht="17.25" customHeight="1" s="322">
      <c r="A678" s="27" t="n"/>
      <c r="B678" s="506" t="n"/>
      <c r="C678" s="141" t="n"/>
      <c r="D678" s="141" t="n"/>
      <c r="E678" s="141" t="n"/>
      <c r="F678" s="141" t="n"/>
      <c r="G678" s="143" t="n"/>
      <c r="H678" s="27" t="n"/>
    </row>
    <row r="679" ht="17.25" customHeight="1" s="322">
      <c r="A679" s="27" t="n"/>
      <c r="B679" s="506" t="n"/>
      <c r="C679" s="141" t="n"/>
      <c r="D679" s="141" t="n"/>
      <c r="E679" s="141" t="n"/>
      <c r="F679" s="141" t="n"/>
      <c r="G679" s="143" t="n"/>
      <c r="H679" s="27" t="n"/>
    </row>
    <row r="680" ht="17.25" customHeight="1" s="322">
      <c r="A680" s="27" t="n"/>
      <c r="B680" s="506" t="n"/>
      <c r="C680" s="141" t="n"/>
      <c r="D680" s="141" t="n"/>
      <c r="E680" s="141" t="n"/>
      <c r="F680" s="141" t="n"/>
      <c r="G680" s="143" t="n"/>
      <c r="H680" s="27" t="n"/>
    </row>
    <row r="681" ht="17.25" customHeight="1" s="322">
      <c r="A681" s="27" t="n"/>
      <c r="B681" s="506" t="n"/>
      <c r="C681" s="141" t="n"/>
      <c r="D681" s="141" t="n"/>
      <c r="E681" s="141" t="n"/>
      <c r="F681" s="141" t="n"/>
      <c r="G681" s="143" t="n"/>
      <c r="H681" s="27" t="n"/>
    </row>
    <row r="682" ht="17.25" customHeight="1" s="322">
      <c r="A682" s="27" t="n"/>
      <c r="B682" s="506" t="n"/>
      <c r="C682" s="141" t="n"/>
      <c r="D682" s="141" t="n"/>
      <c r="E682" s="141" t="n"/>
      <c r="F682" s="141" t="n"/>
      <c r="G682" s="143" t="n"/>
      <c r="H682" s="27" t="n"/>
    </row>
    <row r="683" ht="17.25" customHeight="1" s="322">
      <c r="A683" s="27" t="n"/>
      <c r="B683" s="506" t="n"/>
      <c r="C683" s="141" t="n"/>
      <c r="D683" s="141" t="n"/>
      <c r="E683" s="141" t="n"/>
      <c r="F683" s="141" t="n"/>
      <c r="G683" s="143" t="n"/>
      <c r="H683" s="27" t="n"/>
    </row>
    <row r="684" ht="17.25" customHeight="1" s="322">
      <c r="A684" s="27" t="n"/>
      <c r="B684" s="506" t="n"/>
      <c r="C684" s="141" t="n"/>
      <c r="D684" s="141" t="n"/>
      <c r="E684" s="141" t="n"/>
      <c r="F684" s="141" t="n"/>
      <c r="G684" s="143" t="n"/>
      <c r="H684" s="27" t="n"/>
    </row>
    <row r="685" ht="17.25" customHeight="1" s="322">
      <c r="A685" s="27" t="n"/>
      <c r="B685" s="506" t="n"/>
      <c r="C685" s="141" t="n"/>
      <c r="D685" s="141" t="n"/>
      <c r="E685" s="141" t="n"/>
      <c r="F685" s="141" t="n"/>
      <c r="G685" s="143" t="n"/>
      <c r="H685" s="27" t="n"/>
    </row>
    <row r="686" ht="17.25" customHeight="1" s="322">
      <c r="A686" s="27" t="n"/>
      <c r="B686" s="506" t="n"/>
      <c r="C686" s="141" t="n"/>
      <c r="D686" s="141" t="n"/>
      <c r="E686" s="141" t="n"/>
      <c r="F686" s="141" t="n"/>
      <c r="G686" s="143" t="n"/>
      <c r="H686" s="27" t="n"/>
    </row>
    <row r="687" ht="17.25" customHeight="1" s="322">
      <c r="A687" s="27" t="n"/>
      <c r="B687" s="506" t="n"/>
      <c r="C687" s="141" t="n"/>
      <c r="D687" s="141" t="n"/>
      <c r="E687" s="141" t="n"/>
      <c r="F687" s="141" t="n"/>
      <c r="G687" s="143" t="n"/>
      <c r="H687" s="27" t="n"/>
    </row>
    <row r="688" ht="17.25" customHeight="1" s="322">
      <c r="A688" s="27" t="n"/>
      <c r="B688" s="506" t="n"/>
      <c r="C688" s="141" t="n"/>
      <c r="D688" s="141" t="n"/>
      <c r="E688" s="141" t="n"/>
      <c r="F688" s="141" t="n"/>
      <c r="G688" s="143" t="n"/>
      <c r="H688" s="27" t="n"/>
    </row>
    <row r="689" ht="17.25" customHeight="1" s="322">
      <c r="A689" s="27" t="n"/>
      <c r="B689" s="506" t="n"/>
      <c r="C689" s="141" t="n"/>
      <c r="D689" s="141" t="n"/>
      <c r="E689" s="141" t="n"/>
      <c r="F689" s="141" t="n"/>
      <c r="G689" s="143" t="n"/>
      <c r="H689" s="27" t="n"/>
    </row>
    <row r="690" ht="17.25" customHeight="1" s="322">
      <c r="A690" s="27" t="n"/>
      <c r="B690" s="506" t="n"/>
      <c r="C690" s="141" t="n"/>
      <c r="D690" s="141" t="n"/>
      <c r="E690" s="141" t="n"/>
      <c r="F690" s="141" t="n"/>
      <c r="G690" s="143" t="n"/>
      <c r="H690" s="27" t="n"/>
    </row>
    <row r="691" ht="17.25" customHeight="1" s="322">
      <c r="A691" s="27" t="n"/>
      <c r="B691" s="506" t="n"/>
      <c r="C691" s="141" t="n"/>
      <c r="D691" s="141" t="n"/>
      <c r="E691" s="141" t="n"/>
      <c r="F691" s="141" t="n"/>
      <c r="G691" s="143" t="n"/>
      <c r="H691" s="27" t="n"/>
    </row>
    <row r="692" ht="17.25" customHeight="1" s="322">
      <c r="A692" s="27" t="n"/>
      <c r="B692" s="506" t="n"/>
      <c r="C692" s="141" t="n"/>
      <c r="D692" s="141" t="n"/>
      <c r="E692" s="141" t="n"/>
      <c r="F692" s="141" t="n"/>
      <c r="G692" s="143" t="n"/>
      <c r="H692" s="27" t="n"/>
    </row>
    <row r="693" ht="17.25" customHeight="1" s="322">
      <c r="A693" s="27" t="n"/>
      <c r="B693" s="506" t="n"/>
      <c r="C693" s="141" t="n"/>
      <c r="D693" s="141" t="n"/>
      <c r="E693" s="141" t="n"/>
      <c r="F693" s="141" t="n"/>
      <c r="G693" s="143" t="n"/>
      <c r="H693" s="27" t="n"/>
    </row>
    <row r="694" ht="17.25" customHeight="1" s="322">
      <c r="A694" s="27" t="n"/>
      <c r="B694" s="506" t="n"/>
      <c r="C694" s="141" t="n"/>
      <c r="D694" s="141" t="n"/>
      <c r="E694" s="141" t="n"/>
      <c r="F694" s="141" t="n"/>
      <c r="G694" s="143" t="n"/>
      <c r="H694" s="27" t="n"/>
    </row>
    <row r="695" ht="17.25" customHeight="1" s="322">
      <c r="A695" s="27" t="n"/>
      <c r="B695" s="506" t="n"/>
      <c r="C695" s="141" t="n"/>
      <c r="D695" s="141" t="n"/>
      <c r="E695" s="141" t="n"/>
      <c r="F695" s="141" t="n"/>
      <c r="G695" s="143" t="n"/>
      <c r="H695" s="27" t="n"/>
    </row>
    <row r="696" ht="17.25" customHeight="1" s="322">
      <c r="A696" s="27" t="n"/>
      <c r="B696" s="506" t="n"/>
      <c r="C696" s="141" t="n"/>
      <c r="D696" s="141" t="n"/>
      <c r="E696" s="141" t="n"/>
      <c r="F696" s="141" t="n"/>
      <c r="G696" s="143" t="n"/>
      <c r="H696" s="27" t="n"/>
    </row>
    <row r="697" ht="17.25" customHeight="1" s="322">
      <c r="A697" s="27" t="n"/>
      <c r="B697" s="506" t="n"/>
      <c r="C697" s="141" t="n"/>
      <c r="D697" s="141" t="n"/>
      <c r="E697" s="141" t="n"/>
      <c r="F697" s="141" t="n"/>
      <c r="G697" s="143" t="n"/>
      <c r="H697" s="27" t="n"/>
    </row>
    <row r="698" ht="17.25" customHeight="1" s="322">
      <c r="A698" s="27" t="n"/>
      <c r="B698" s="506" t="n"/>
      <c r="C698" s="141" t="n"/>
      <c r="D698" s="141" t="n"/>
      <c r="E698" s="141" t="n"/>
      <c r="F698" s="141" t="n"/>
      <c r="G698" s="143" t="n"/>
      <c r="H698" s="27" t="n"/>
    </row>
    <row r="699" ht="17.25" customHeight="1" s="322">
      <c r="A699" s="27" t="n"/>
      <c r="B699" s="506" t="n"/>
      <c r="C699" s="141" t="n"/>
      <c r="D699" s="141" t="n"/>
      <c r="E699" s="141" t="n"/>
      <c r="F699" s="141" t="n"/>
      <c r="G699" s="143" t="n"/>
      <c r="H699" s="27" t="n"/>
    </row>
    <row r="700" ht="17.25" customHeight="1" s="322">
      <c r="A700" s="27" t="n"/>
      <c r="B700" s="506" t="n"/>
      <c r="C700" s="141" t="n"/>
      <c r="D700" s="141" t="n"/>
      <c r="E700" s="141" t="n"/>
      <c r="F700" s="141" t="n"/>
      <c r="G700" s="143" t="n"/>
      <c r="H700" s="27" t="n"/>
    </row>
    <row r="701" ht="17.25" customHeight="1" s="322">
      <c r="A701" s="27" t="n"/>
      <c r="B701" s="506" t="n"/>
      <c r="C701" s="141" t="n"/>
      <c r="D701" s="141" t="n"/>
      <c r="E701" s="141" t="n"/>
      <c r="F701" s="141" t="n"/>
      <c r="G701" s="143" t="n"/>
      <c r="H701" s="27" t="n"/>
    </row>
    <row r="702" ht="17.25" customHeight="1" s="322">
      <c r="A702" s="27" t="n"/>
      <c r="B702" s="506" t="n"/>
      <c r="C702" s="141" t="n"/>
      <c r="D702" s="141" t="n"/>
      <c r="E702" s="141" t="n"/>
      <c r="F702" s="141" t="n"/>
      <c r="G702" s="143" t="n"/>
      <c r="H702" s="27" t="n"/>
    </row>
    <row r="703" ht="17.25" customHeight="1" s="322">
      <c r="A703" s="27" t="n"/>
      <c r="B703" s="506" t="n"/>
      <c r="C703" s="141" t="n"/>
      <c r="D703" s="141" t="n"/>
      <c r="E703" s="141" t="n"/>
      <c r="F703" s="141" t="n"/>
      <c r="G703" s="143" t="n"/>
      <c r="H703" s="27" t="n"/>
    </row>
    <row r="704" ht="17.25" customHeight="1" s="322">
      <c r="A704" s="27" t="n"/>
      <c r="B704" s="506" t="n"/>
      <c r="C704" s="141" t="n"/>
      <c r="D704" s="141" t="n"/>
      <c r="E704" s="141" t="n"/>
      <c r="F704" s="141" t="n"/>
      <c r="G704" s="143" t="n"/>
      <c r="H704" s="27" t="n"/>
    </row>
    <row r="705" ht="17.25" customHeight="1" s="322">
      <c r="A705" s="27" t="n"/>
      <c r="B705" s="506" t="n"/>
      <c r="C705" s="141" t="n"/>
      <c r="D705" s="141" t="n"/>
      <c r="E705" s="141" t="n"/>
      <c r="F705" s="141" t="n"/>
      <c r="G705" s="143" t="n"/>
      <c r="H705" s="27" t="n"/>
    </row>
    <row r="706" ht="17.25" customHeight="1" s="322">
      <c r="A706" s="27" t="n"/>
      <c r="B706" s="506" t="n"/>
      <c r="C706" s="141" t="n"/>
      <c r="D706" s="141" t="n"/>
      <c r="E706" s="141" t="n"/>
      <c r="F706" s="141" t="n"/>
      <c r="G706" s="143" t="n"/>
      <c r="H706" s="27" t="n"/>
    </row>
    <row r="707" ht="17.25" customHeight="1" s="322">
      <c r="A707" s="27" t="n"/>
      <c r="B707" s="506" t="n"/>
      <c r="C707" s="141" t="n"/>
      <c r="D707" s="141" t="n"/>
      <c r="E707" s="141" t="n"/>
      <c r="F707" s="141" t="n"/>
      <c r="G707" s="143" t="n"/>
      <c r="H707" s="27" t="n"/>
    </row>
    <row r="708" ht="17.25" customHeight="1" s="322">
      <c r="A708" s="27" t="n"/>
      <c r="B708" s="506" t="n"/>
      <c r="C708" s="141" t="n"/>
      <c r="D708" s="141" t="n"/>
      <c r="E708" s="141" t="n"/>
      <c r="F708" s="141" t="n"/>
      <c r="G708" s="143" t="n"/>
      <c r="H708" s="27" t="n"/>
    </row>
    <row r="709" ht="17.25" customHeight="1" s="322">
      <c r="A709" s="27" t="n"/>
      <c r="B709" s="506" t="n"/>
      <c r="C709" s="141" t="n"/>
      <c r="D709" s="141" t="n"/>
      <c r="E709" s="141" t="n"/>
      <c r="F709" s="141" t="n"/>
      <c r="G709" s="143" t="n"/>
      <c r="H709" s="27" t="n"/>
    </row>
    <row r="710" ht="17.25" customHeight="1" s="322">
      <c r="A710" s="27" t="n"/>
      <c r="B710" s="506" t="n"/>
      <c r="C710" s="141" t="n"/>
      <c r="D710" s="141" t="n"/>
      <c r="E710" s="141" t="n"/>
      <c r="F710" s="141" t="n"/>
      <c r="G710" s="143" t="n"/>
      <c r="H710" s="27" t="n"/>
    </row>
    <row r="711" ht="17.25" customHeight="1" s="322">
      <c r="A711" s="27" t="n"/>
      <c r="B711" s="506" t="n"/>
      <c r="C711" s="141" t="n"/>
      <c r="D711" s="141" t="n"/>
      <c r="E711" s="141" t="n"/>
      <c r="F711" s="141" t="n"/>
      <c r="G711" s="143" t="n"/>
      <c r="H711" s="27" t="n"/>
    </row>
    <row r="712" ht="17.25" customHeight="1" s="322">
      <c r="A712" s="27" t="n"/>
      <c r="B712" s="506" t="n"/>
      <c r="C712" s="141" t="n"/>
      <c r="D712" s="141" t="n"/>
      <c r="E712" s="141" t="n"/>
      <c r="F712" s="141" t="n"/>
      <c r="G712" s="143" t="n"/>
      <c r="H712" s="27" t="n"/>
    </row>
    <row r="713" ht="17.25" customHeight="1" s="322">
      <c r="A713" s="27" t="n"/>
      <c r="B713" s="506" t="n"/>
      <c r="C713" s="141" t="n"/>
      <c r="D713" s="141" t="n"/>
      <c r="E713" s="141" t="n"/>
      <c r="F713" s="141" t="n"/>
      <c r="G713" s="143" t="n"/>
      <c r="H713" s="27" t="n"/>
    </row>
    <row r="714" ht="17.25" customHeight="1" s="322">
      <c r="A714" s="27" t="n"/>
      <c r="B714" s="506" t="n"/>
      <c r="C714" s="141" t="n"/>
      <c r="D714" s="141" t="n"/>
      <c r="E714" s="141" t="n"/>
      <c r="F714" s="141" t="n"/>
      <c r="G714" s="143" t="n"/>
      <c r="H714" s="27" t="n"/>
    </row>
    <row r="715" ht="17.25" customHeight="1" s="322">
      <c r="A715" s="27" t="n"/>
      <c r="B715" s="506" t="n"/>
      <c r="C715" s="141" t="n"/>
      <c r="D715" s="141" t="n"/>
      <c r="E715" s="141" t="n"/>
      <c r="F715" s="141" t="n"/>
      <c r="G715" s="143" t="n"/>
      <c r="H715" s="27" t="n"/>
    </row>
    <row r="716" ht="17.25" customHeight="1" s="322">
      <c r="A716" s="27" t="n"/>
      <c r="B716" s="506" t="n"/>
      <c r="C716" s="141" t="n"/>
      <c r="D716" s="141" t="n"/>
      <c r="E716" s="141" t="n"/>
      <c r="F716" s="141" t="n"/>
      <c r="G716" s="143" t="n"/>
      <c r="H716" s="27" t="n"/>
    </row>
    <row r="717" ht="17.25" customHeight="1" s="322">
      <c r="A717" s="27" t="n"/>
      <c r="B717" s="506" t="n"/>
      <c r="C717" s="141" t="n"/>
      <c r="D717" s="141" t="n"/>
      <c r="E717" s="141" t="n"/>
      <c r="F717" s="141" t="n"/>
      <c r="G717" s="143" t="n"/>
      <c r="H717" s="27" t="n"/>
    </row>
    <row r="718" ht="17.25" customHeight="1" s="322">
      <c r="A718" s="27" t="n"/>
      <c r="B718" s="506" t="n"/>
      <c r="C718" s="141" t="n"/>
      <c r="D718" s="141" t="n"/>
      <c r="E718" s="141" t="n"/>
      <c r="F718" s="141" t="n"/>
      <c r="G718" s="143" t="n"/>
      <c r="H718" s="27" t="n"/>
    </row>
    <row r="719" ht="17.25" customHeight="1" s="322">
      <c r="A719" s="27" t="n"/>
      <c r="B719" s="506" t="n"/>
      <c r="C719" s="141" t="n"/>
      <c r="D719" s="141" t="n"/>
      <c r="E719" s="141" t="n"/>
      <c r="F719" s="141" t="n"/>
      <c r="G719" s="143" t="n"/>
      <c r="H719" s="27" t="n"/>
    </row>
    <row r="720" ht="17.25" customHeight="1" s="322">
      <c r="A720" s="27" t="n"/>
      <c r="B720" s="506" t="n"/>
      <c r="C720" s="141" t="n"/>
      <c r="D720" s="141" t="n"/>
      <c r="E720" s="141" t="n"/>
      <c r="F720" s="141" t="n"/>
      <c r="G720" s="143" t="n"/>
      <c r="H720" s="27" t="n"/>
    </row>
    <row r="721" ht="17.25" customHeight="1" s="322">
      <c r="A721" s="27" t="n"/>
      <c r="B721" s="506" t="n"/>
      <c r="C721" s="141" t="n"/>
      <c r="D721" s="141" t="n"/>
      <c r="E721" s="141" t="n"/>
      <c r="F721" s="141" t="n"/>
      <c r="G721" s="143" t="n"/>
      <c r="H721" s="27" t="n"/>
    </row>
    <row r="722" ht="17.25" customHeight="1" s="322">
      <c r="A722" s="27" t="n"/>
      <c r="B722" s="506" t="n"/>
      <c r="C722" s="141" t="n"/>
      <c r="D722" s="141" t="n"/>
      <c r="E722" s="141" t="n"/>
      <c r="F722" s="141" t="n"/>
      <c r="G722" s="143" t="n"/>
      <c r="H722" s="27" t="n"/>
    </row>
    <row r="723" ht="17.25" customHeight="1" s="322">
      <c r="A723" s="27" t="n"/>
      <c r="B723" s="506" t="n"/>
      <c r="C723" s="141" t="n"/>
      <c r="D723" s="141" t="n"/>
      <c r="E723" s="141" t="n"/>
      <c r="F723" s="141" t="n"/>
      <c r="G723" s="143" t="n"/>
      <c r="H723" s="27" t="n"/>
    </row>
    <row r="724" ht="17.25" customHeight="1" s="322">
      <c r="A724" s="27" t="n"/>
      <c r="B724" s="506" t="n"/>
      <c r="C724" s="141" t="n"/>
      <c r="D724" s="141" t="n"/>
      <c r="E724" s="141" t="n"/>
      <c r="F724" s="141" t="n"/>
      <c r="G724" s="143" t="n"/>
      <c r="H724" s="27" t="n"/>
    </row>
    <row r="725" ht="17.25" customHeight="1" s="322">
      <c r="A725" s="27" t="n"/>
      <c r="B725" s="506" t="n"/>
      <c r="C725" s="141" t="n"/>
      <c r="D725" s="141" t="n"/>
      <c r="E725" s="141" t="n"/>
      <c r="F725" s="141" t="n"/>
      <c r="G725" s="143" t="n"/>
      <c r="H725" s="27" t="n"/>
    </row>
    <row r="726" ht="17.25" customHeight="1" s="322">
      <c r="A726" s="27" t="n"/>
      <c r="B726" s="506" t="n"/>
      <c r="C726" s="141" t="n"/>
      <c r="D726" s="141" t="n"/>
      <c r="E726" s="141" t="n"/>
      <c r="F726" s="141" t="n"/>
      <c r="G726" s="143" t="n"/>
      <c r="H726" s="27" t="n"/>
    </row>
    <row r="727" ht="17.25" customHeight="1" s="322">
      <c r="A727" s="27" t="n"/>
      <c r="B727" s="506" t="n"/>
      <c r="C727" s="141" t="n"/>
      <c r="D727" s="141" t="n"/>
      <c r="E727" s="141" t="n"/>
      <c r="F727" s="141" t="n"/>
      <c r="G727" s="143" t="n"/>
      <c r="H727" s="27" t="n"/>
    </row>
    <row r="728" ht="17.25" customHeight="1" s="322">
      <c r="A728" s="27" t="n"/>
      <c r="B728" s="506" t="n"/>
      <c r="C728" s="141" t="n"/>
      <c r="D728" s="141" t="n"/>
      <c r="E728" s="141" t="n"/>
      <c r="F728" s="141" t="n"/>
      <c r="G728" s="143" t="n"/>
      <c r="H728" s="27" t="n"/>
    </row>
    <row r="729" ht="17.25" customHeight="1" s="322">
      <c r="A729" s="27" t="n"/>
      <c r="B729" s="506" t="n"/>
      <c r="C729" s="141" t="n"/>
      <c r="D729" s="141" t="n"/>
      <c r="E729" s="141" t="n"/>
      <c r="F729" s="141" t="n"/>
      <c r="G729" s="143" t="n"/>
      <c r="H729" s="27" t="n"/>
    </row>
    <row r="730" ht="17.25" customHeight="1" s="322">
      <c r="A730" s="27" t="n"/>
      <c r="B730" s="506" t="n"/>
      <c r="C730" s="141" t="n"/>
      <c r="D730" s="141" t="n"/>
      <c r="E730" s="141" t="n"/>
      <c r="F730" s="141" t="n"/>
      <c r="G730" s="143" t="n"/>
      <c r="H730" s="27" t="n"/>
    </row>
    <row r="731" ht="17.25" customHeight="1" s="322">
      <c r="A731" s="27" t="n"/>
      <c r="B731" s="506" t="n"/>
      <c r="C731" s="141" t="n"/>
      <c r="D731" s="141" t="n"/>
      <c r="E731" s="141" t="n"/>
      <c r="F731" s="141" t="n"/>
      <c r="G731" s="143" t="n"/>
      <c r="H731" s="27" t="n"/>
    </row>
    <row r="732" ht="17.25" customHeight="1" s="322">
      <c r="A732" s="27" t="n"/>
      <c r="B732" s="506" t="n"/>
      <c r="C732" s="141" t="n"/>
      <c r="D732" s="141" t="n"/>
      <c r="E732" s="141" t="n"/>
      <c r="F732" s="141" t="n"/>
      <c r="G732" s="143" t="n"/>
      <c r="H732" s="27" t="n"/>
    </row>
    <row r="733" ht="17.25" customHeight="1" s="322">
      <c r="A733" s="27" t="n"/>
      <c r="B733" s="506" t="n"/>
      <c r="C733" s="141" t="n"/>
      <c r="D733" s="141" t="n"/>
      <c r="E733" s="141" t="n"/>
      <c r="F733" s="141" t="n"/>
      <c r="G733" s="143" t="n"/>
      <c r="H733" s="27" t="n"/>
    </row>
    <row r="734" ht="17.25" customHeight="1" s="322">
      <c r="A734" s="27" t="n"/>
      <c r="B734" s="506" t="n"/>
      <c r="C734" s="141" t="n"/>
      <c r="D734" s="141" t="n"/>
      <c r="E734" s="141" t="n"/>
      <c r="F734" s="141" t="n"/>
      <c r="G734" s="143" t="n"/>
      <c r="H734" s="27" t="n"/>
    </row>
    <row r="735" ht="17.25" customHeight="1" s="322">
      <c r="A735" s="27" t="n"/>
      <c r="B735" s="506" t="n"/>
      <c r="C735" s="141" t="n"/>
      <c r="D735" s="141" t="n"/>
      <c r="E735" s="141" t="n"/>
      <c r="F735" s="141" t="n"/>
      <c r="G735" s="143" t="n"/>
      <c r="H735" s="27" t="n"/>
    </row>
    <row r="736" ht="17.25" customHeight="1" s="322">
      <c r="A736" s="27" t="n"/>
      <c r="B736" s="506" t="n"/>
      <c r="C736" s="141" t="n"/>
      <c r="D736" s="141" t="n"/>
      <c r="E736" s="141" t="n"/>
      <c r="F736" s="141" t="n"/>
      <c r="G736" s="143" t="n"/>
      <c r="H736" s="27" t="n"/>
    </row>
    <row r="737" ht="17.25" customHeight="1" s="322">
      <c r="A737" s="27" t="n"/>
      <c r="B737" s="506" t="n"/>
      <c r="C737" s="141" t="n"/>
      <c r="D737" s="141" t="n"/>
      <c r="E737" s="141" t="n"/>
      <c r="F737" s="141" t="n"/>
      <c r="G737" s="143" t="n"/>
      <c r="H737" s="27" t="n"/>
    </row>
    <row r="738" ht="17.25" customHeight="1" s="322">
      <c r="A738" s="27" t="n"/>
      <c r="B738" s="506" t="n"/>
      <c r="C738" s="141" t="n"/>
      <c r="D738" s="141" t="n"/>
      <c r="E738" s="141" t="n"/>
      <c r="F738" s="141" t="n"/>
      <c r="G738" s="143" t="n"/>
      <c r="H738" s="27" t="n"/>
    </row>
    <row r="739" ht="17.25" customHeight="1" s="322">
      <c r="A739" s="27" t="n"/>
      <c r="B739" s="506" t="n"/>
      <c r="C739" s="141" t="n"/>
      <c r="D739" s="141" t="n"/>
      <c r="E739" s="141" t="n"/>
      <c r="F739" s="141" t="n"/>
      <c r="G739" s="143" t="n"/>
      <c r="H739" s="27" t="n"/>
    </row>
    <row r="740" ht="17.25" customHeight="1" s="322">
      <c r="A740" s="27" t="n"/>
      <c r="B740" s="506" t="n"/>
      <c r="C740" s="141" t="n"/>
      <c r="D740" s="141" t="n"/>
      <c r="E740" s="141" t="n"/>
      <c r="F740" s="141" t="n"/>
      <c r="G740" s="143" t="n"/>
      <c r="H740" s="27" t="n"/>
    </row>
    <row r="741" ht="17.25" customHeight="1" s="322">
      <c r="A741" s="27" t="n"/>
      <c r="B741" s="506" t="n"/>
      <c r="C741" s="141" t="n"/>
      <c r="D741" s="141" t="n"/>
      <c r="E741" s="141" t="n"/>
      <c r="F741" s="141" t="n"/>
      <c r="G741" s="143" t="n"/>
      <c r="H741" s="27" t="n"/>
    </row>
    <row r="742" ht="17.25" customHeight="1" s="322">
      <c r="A742" s="27" t="n"/>
      <c r="B742" s="506" t="n"/>
      <c r="C742" s="141" t="n"/>
      <c r="D742" s="141" t="n"/>
      <c r="E742" s="141" t="n"/>
      <c r="F742" s="141" t="n"/>
      <c r="G742" s="143" t="n"/>
      <c r="H742" s="27" t="n"/>
    </row>
    <row r="743" ht="17.25" customHeight="1" s="322">
      <c r="A743" s="27" t="n"/>
      <c r="B743" s="506" t="n"/>
      <c r="C743" s="141" t="n"/>
      <c r="D743" s="141" t="n"/>
      <c r="E743" s="141" t="n"/>
      <c r="F743" s="141" t="n"/>
      <c r="G743" s="143" t="n"/>
      <c r="H743" s="27" t="n"/>
    </row>
    <row r="744" ht="17.25" customHeight="1" s="322">
      <c r="A744" s="27" t="n"/>
      <c r="B744" s="506" t="n"/>
      <c r="C744" s="141" t="n"/>
      <c r="D744" s="141" t="n"/>
      <c r="E744" s="141" t="n"/>
      <c r="F744" s="141" t="n"/>
      <c r="G744" s="143" t="n"/>
      <c r="H744" s="27" t="n"/>
    </row>
    <row r="745" ht="17.25" customHeight="1" s="322">
      <c r="A745" s="27" t="n"/>
      <c r="B745" s="506" t="n"/>
      <c r="C745" s="141" t="n"/>
      <c r="D745" s="141" t="n"/>
      <c r="E745" s="141" t="n"/>
      <c r="F745" s="141" t="n"/>
      <c r="G745" s="143" t="n"/>
      <c r="H745" s="27" t="n"/>
    </row>
    <row r="746" ht="17.25" customHeight="1" s="322">
      <c r="A746" s="27" t="n"/>
      <c r="B746" s="506" t="n"/>
      <c r="C746" s="141" t="n"/>
      <c r="D746" s="141" t="n"/>
      <c r="E746" s="141" t="n"/>
      <c r="F746" s="141" t="n"/>
      <c r="G746" s="143" t="n"/>
      <c r="H746" s="27" t="n"/>
    </row>
    <row r="747" ht="17.25" customHeight="1" s="322">
      <c r="A747" s="27" t="n"/>
      <c r="B747" s="506" t="n"/>
      <c r="C747" s="141" t="n"/>
      <c r="D747" s="141" t="n"/>
      <c r="E747" s="141" t="n"/>
      <c r="F747" s="141" t="n"/>
      <c r="G747" s="143" t="n"/>
      <c r="H747" s="27" t="n"/>
    </row>
    <row r="748" ht="17.25" customHeight="1" s="322">
      <c r="A748" s="27" t="n"/>
      <c r="B748" s="506" t="n"/>
      <c r="C748" s="141" t="n"/>
      <c r="D748" s="141" t="n"/>
      <c r="E748" s="141" t="n"/>
      <c r="F748" s="141" t="n"/>
      <c r="G748" s="143" t="n"/>
      <c r="H748" s="27" t="n"/>
    </row>
    <row r="749" ht="17.25" customHeight="1" s="322">
      <c r="A749" s="27" t="n"/>
      <c r="B749" s="506" t="n"/>
      <c r="C749" s="141" t="n"/>
      <c r="D749" s="141" t="n"/>
      <c r="E749" s="141" t="n"/>
      <c r="F749" s="141" t="n"/>
      <c r="G749" s="143" t="n"/>
      <c r="H749" s="27" t="n"/>
    </row>
    <row r="750" ht="17.25" customHeight="1" s="322">
      <c r="A750" s="27" t="n"/>
      <c r="B750" s="506" t="n"/>
      <c r="C750" s="141" t="n"/>
      <c r="D750" s="141" t="n"/>
      <c r="E750" s="141" t="n"/>
      <c r="F750" s="141" t="n"/>
      <c r="G750" s="143" t="n"/>
      <c r="H750" s="27" t="n"/>
    </row>
    <row r="751" ht="17.25" customHeight="1" s="322">
      <c r="A751" s="27" t="n"/>
      <c r="B751" s="506" t="n"/>
      <c r="C751" s="141" t="n"/>
      <c r="D751" s="141" t="n"/>
      <c r="E751" s="141" t="n"/>
      <c r="F751" s="141" t="n"/>
      <c r="G751" s="143" t="n"/>
      <c r="H751" s="27" t="n"/>
    </row>
    <row r="752" ht="17.25" customHeight="1" s="322">
      <c r="A752" s="27" t="n"/>
      <c r="B752" s="506" t="n"/>
      <c r="C752" s="141" t="n"/>
      <c r="D752" s="141" t="n"/>
      <c r="E752" s="141" t="n"/>
      <c r="F752" s="141" t="n"/>
      <c r="G752" s="143" t="n"/>
      <c r="H752" s="27" t="n"/>
    </row>
    <row r="753" ht="17.25" customHeight="1" s="322">
      <c r="A753" s="27" t="n"/>
      <c r="B753" s="506" t="n"/>
      <c r="C753" s="141" t="n"/>
      <c r="D753" s="141" t="n"/>
      <c r="E753" s="141" t="n"/>
      <c r="F753" s="141" t="n"/>
      <c r="G753" s="143" t="n"/>
      <c r="H753" s="27" t="n"/>
    </row>
    <row r="754" ht="17.25" customHeight="1" s="322">
      <c r="A754" s="27" t="n"/>
      <c r="B754" s="506" t="n"/>
      <c r="C754" s="141" t="n"/>
      <c r="D754" s="141" t="n"/>
      <c r="E754" s="141" t="n"/>
      <c r="F754" s="141" t="n"/>
      <c r="G754" s="143" t="n"/>
      <c r="H754" s="27" t="n"/>
    </row>
    <row r="755" ht="17.25" customHeight="1" s="322">
      <c r="A755" s="27" t="n"/>
      <c r="B755" s="506" t="n"/>
      <c r="C755" s="141" t="n"/>
      <c r="D755" s="141" t="n"/>
      <c r="E755" s="141" t="n"/>
      <c r="F755" s="141" t="n"/>
      <c r="G755" s="143" t="n"/>
      <c r="H755" s="27" t="n"/>
    </row>
    <row r="756" ht="17.25" customHeight="1" s="322">
      <c r="A756" s="27" t="n"/>
      <c r="B756" s="506" t="n"/>
      <c r="C756" s="141" t="n"/>
      <c r="D756" s="141" t="n"/>
      <c r="E756" s="141" t="n"/>
      <c r="F756" s="141" t="n"/>
      <c r="G756" s="143" t="n"/>
      <c r="H756" s="27" t="n"/>
    </row>
    <row r="757" ht="17.25" customHeight="1" s="322">
      <c r="A757" s="27" t="n"/>
      <c r="B757" s="506" t="n"/>
      <c r="C757" s="141" t="n"/>
      <c r="D757" s="141" t="n"/>
      <c r="E757" s="141" t="n"/>
      <c r="F757" s="141" t="n"/>
      <c r="G757" s="143" t="n"/>
      <c r="H757" s="27" t="n"/>
    </row>
    <row r="758" ht="17.25" customHeight="1" s="322">
      <c r="A758" s="27" t="n"/>
      <c r="B758" s="506" t="n"/>
      <c r="C758" s="141" t="n"/>
      <c r="D758" s="141" t="n"/>
      <c r="E758" s="141" t="n"/>
      <c r="F758" s="141" t="n"/>
      <c r="G758" s="143" t="n"/>
      <c r="H758" s="27" t="n"/>
    </row>
    <row r="759" ht="17.25" customHeight="1" s="322">
      <c r="A759" s="27" t="n"/>
      <c r="B759" s="506" t="n"/>
      <c r="C759" s="141" t="n"/>
      <c r="D759" s="141" t="n"/>
      <c r="E759" s="141" t="n"/>
      <c r="F759" s="141" t="n"/>
      <c r="G759" s="143" t="n"/>
      <c r="H759" s="27" t="n"/>
    </row>
    <row r="760" ht="17.25" customHeight="1" s="322">
      <c r="A760" s="27" t="n"/>
      <c r="B760" s="506" t="n"/>
      <c r="C760" s="141" t="n"/>
      <c r="D760" s="141" t="n"/>
      <c r="E760" s="141" t="n"/>
      <c r="F760" s="141" t="n"/>
      <c r="G760" s="143" t="n"/>
      <c r="H760" s="27" t="n"/>
    </row>
    <row r="761" ht="17.25" customHeight="1" s="322">
      <c r="A761" s="27" t="n"/>
      <c r="B761" s="506" t="n"/>
      <c r="C761" s="141" t="n"/>
      <c r="D761" s="141" t="n"/>
      <c r="E761" s="141" t="n"/>
      <c r="F761" s="141" t="n"/>
      <c r="G761" s="143" t="n"/>
      <c r="H761" s="27" t="n"/>
    </row>
    <row r="762" ht="17.25" customHeight="1" s="322">
      <c r="A762" s="27" t="n"/>
      <c r="B762" s="506" t="n"/>
      <c r="C762" s="141" t="n"/>
      <c r="D762" s="141" t="n"/>
      <c r="E762" s="141" t="n"/>
      <c r="F762" s="141" t="n"/>
      <c r="G762" s="143" t="n"/>
      <c r="H762" s="27" t="n"/>
    </row>
    <row r="763" ht="17.25" customHeight="1" s="322">
      <c r="A763" s="27" t="n"/>
      <c r="B763" s="506" t="n"/>
      <c r="C763" s="141" t="n"/>
      <c r="D763" s="141" t="n"/>
      <c r="E763" s="141" t="n"/>
      <c r="F763" s="141" t="n"/>
      <c r="G763" s="143" t="n"/>
      <c r="H763" s="27" t="n"/>
    </row>
    <row r="764" ht="17.25" customHeight="1" s="322">
      <c r="A764" s="27" t="n"/>
      <c r="B764" s="506" t="n"/>
      <c r="C764" s="141" t="n"/>
      <c r="D764" s="141" t="n"/>
      <c r="E764" s="141" t="n"/>
      <c r="F764" s="141" t="n"/>
      <c r="G764" s="143" t="n"/>
      <c r="H764" s="27" t="n"/>
    </row>
    <row r="765" ht="17.25" customHeight="1" s="322">
      <c r="A765" s="27" t="n"/>
      <c r="B765" s="506" t="n"/>
      <c r="C765" s="141" t="n"/>
      <c r="D765" s="141" t="n"/>
      <c r="E765" s="141" t="n"/>
      <c r="F765" s="141" t="n"/>
      <c r="G765" s="143" t="n"/>
      <c r="H765" s="27" t="n"/>
    </row>
    <row r="766" ht="17.25" customHeight="1" s="322">
      <c r="A766" s="27" t="n"/>
      <c r="B766" s="506" t="n"/>
      <c r="C766" s="141" t="n"/>
      <c r="D766" s="141" t="n"/>
      <c r="E766" s="141" t="n"/>
      <c r="F766" s="141" t="n"/>
      <c r="G766" s="143" t="n"/>
      <c r="H766" s="27" t="n"/>
    </row>
    <row r="767" ht="17.25" customHeight="1" s="322">
      <c r="A767" s="27" t="n"/>
      <c r="B767" s="506" t="n"/>
      <c r="C767" s="141" t="n"/>
      <c r="D767" s="141" t="n"/>
      <c r="E767" s="141" t="n"/>
      <c r="F767" s="141" t="n"/>
      <c r="G767" s="143" t="n"/>
      <c r="H767" s="27" t="n"/>
    </row>
    <row r="768" ht="17.25" customHeight="1" s="322">
      <c r="A768" s="27" t="n"/>
      <c r="B768" s="506" t="n"/>
      <c r="C768" s="141" t="n"/>
      <c r="D768" s="141" t="n"/>
      <c r="E768" s="141" t="n"/>
      <c r="F768" s="141" t="n"/>
      <c r="G768" s="143" t="n"/>
      <c r="H768" s="27" t="n"/>
    </row>
    <row r="769" ht="17.25" customHeight="1" s="322">
      <c r="A769" s="27" t="n"/>
      <c r="B769" s="506" t="n"/>
      <c r="C769" s="141" t="n"/>
      <c r="D769" s="141" t="n"/>
      <c r="E769" s="141" t="n"/>
      <c r="F769" s="141" t="n"/>
      <c r="G769" s="143" t="n"/>
      <c r="H769" s="27" t="n"/>
    </row>
    <row r="770" ht="17.25" customHeight="1" s="322">
      <c r="A770" s="27" t="n"/>
      <c r="B770" s="506" t="n"/>
      <c r="C770" s="141" t="n"/>
      <c r="D770" s="141" t="n"/>
      <c r="E770" s="141" t="n"/>
      <c r="F770" s="141" t="n"/>
      <c r="G770" s="143" t="n"/>
      <c r="H770" s="27" t="n"/>
    </row>
    <row r="771" ht="17.25" customHeight="1" s="322">
      <c r="A771" s="27" t="n"/>
      <c r="B771" s="506" t="n"/>
      <c r="C771" s="141" t="n"/>
      <c r="D771" s="141" t="n"/>
      <c r="E771" s="141" t="n"/>
      <c r="F771" s="141" t="n"/>
      <c r="G771" s="143" t="n"/>
      <c r="H771" s="27" t="n"/>
    </row>
    <row r="772" ht="17.25" customHeight="1" s="322">
      <c r="A772" s="27" t="n"/>
      <c r="B772" s="506" t="n"/>
      <c r="C772" s="141" t="n"/>
      <c r="D772" s="141" t="n"/>
      <c r="E772" s="141" t="n"/>
      <c r="F772" s="141" t="n"/>
      <c r="G772" s="143" t="n"/>
      <c r="H772" s="27" t="n"/>
    </row>
    <row r="773" ht="17.25" customHeight="1" s="322">
      <c r="A773" s="27" t="n"/>
      <c r="B773" s="506" t="n"/>
      <c r="C773" s="141" t="n"/>
      <c r="D773" s="141" t="n"/>
      <c r="E773" s="141" t="n"/>
      <c r="F773" s="141" t="n"/>
      <c r="G773" s="143" t="n"/>
      <c r="H773" s="27" t="n"/>
    </row>
    <row r="774" ht="17.25" customHeight="1" s="322">
      <c r="A774" s="27" t="n"/>
      <c r="B774" s="506" t="n"/>
      <c r="C774" s="141" t="n"/>
      <c r="D774" s="141" t="n"/>
      <c r="E774" s="141" t="n"/>
      <c r="F774" s="141" t="n"/>
      <c r="G774" s="143" t="n"/>
      <c r="H774" s="27" t="n"/>
    </row>
    <row r="775" ht="17.25" customHeight="1" s="322">
      <c r="A775" s="27" t="n"/>
      <c r="B775" s="506" t="n"/>
      <c r="C775" s="141" t="n"/>
      <c r="D775" s="141" t="n"/>
      <c r="E775" s="141" t="n"/>
      <c r="F775" s="141" t="n"/>
      <c r="G775" s="143" t="n"/>
      <c r="H775" s="27" t="n"/>
    </row>
    <row r="776" ht="17.25" customHeight="1" s="322">
      <c r="A776" s="27" t="n"/>
      <c r="B776" s="506" t="n"/>
      <c r="C776" s="141" t="n"/>
      <c r="D776" s="141" t="n"/>
      <c r="E776" s="141" t="n"/>
      <c r="F776" s="141" t="n"/>
      <c r="G776" s="143" t="n"/>
      <c r="H776" s="27" t="n"/>
    </row>
    <row r="777" ht="17.25" customHeight="1" s="322">
      <c r="A777" s="27" t="n"/>
      <c r="B777" s="506" t="n"/>
      <c r="C777" s="141" t="n"/>
      <c r="D777" s="141" t="n"/>
      <c r="E777" s="141" t="n"/>
      <c r="F777" s="141" t="n"/>
      <c r="G777" s="143" t="n"/>
      <c r="H777" s="27" t="n"/>
    </row>
    <row r="778" ht="17.25" customHeight="1" s="322">
      <c r="A778" s="27" t="n"/>
      <c r="B778" s="506" t="n"/>
      <c r="C778" s="141" t="n"/>
      <c r="D778" s="141" t="n"/>
      <c r="E778" s="141" t="n"/>
      <c r="F778" s="141" t="n"/>
      <c r="G778" s="143" t="n"/>
      <c r="H778" s="27" t="n"/>
    </row>
    <row r="779" ht="17.25" customHeight="1" s="322">
      <c r="A779" s="27" t="n"/>
      <c r="B779" s="506" t="n"/>
      <c r="C779" s="141" t="n"/>
      <c r="D779" s="141" t="n"/>
      <c r="E779" s="141" t="n"/>
      <c r="F779" s="141" t="n"/>
      <c r="G779" s="143" t="n"/>
      <c r="H779" s="27" t="n"/>
    </row>
    <row r="780" ht="17.25" customHeight="1" s="322">
      <c r="A780" s="27" t="n"/>
      <c r="B780" s="506" t="n"/>
      <c r="C780" s="141" t="n"/>
      <c r="D780" s="141" t="n"/>
      <c r="E780" s="141" t="n"/>
      <c r="F780" s="141" t="n"/>
      <c r="G780" s="143" t="n"/>
      <c r="H780" s="27" t="n"/>
    </row>
    <row r="781" ht="17.25" customHeight="1" s="322">
      <c r="A781" s="27" t="n"/>
      <c r="B781" s="506" t="n"/>
      <c r="C781" s="141" t="n"/>
      <c r="D781" s="141" t="n"/>
      <c r="E781" s="141" t="n"/>
      <c r="F781" s="141" t="n"/>
      <c r="G781" s="143" t="n"/>
      <c r="H781" s="27" t="n"/>
    </row>
    <row r="782" ht="17.25" customHeight="1" s="322">
      <c r="A782" s="27" t="n"/>
      <c r="B782" s="506" t="n"/>
      <c r="C782" s="141" t="n"/>
      <c r="D782" s="141" t="n"/>
      <c r="E782" s="141" t="n"/>
      <c r="F782" s="141" t="n"/>
      <c r="G782" s="143" t="n"/>
      <c r="H782" s="27" t="n"/>
    </row>
    <row r="783" ht="17.25" customHeight="1" s="322">
      <c r="A783" s="27" t="n"/>
      <c r="B783" s="506" t="n"/>
      <c r="C783" s="141" t="n"/>
      <c r="D783" s="141" t="n"/>
      <c r="E783" s="141" t="n"/>
      <c r="F783" s="141" t="n"/>
      <c r="G783" s="143" t="n"/>
      <c r="H783" s="27" t="n"/>
    </row>
    <row r="784" ht="17.25" customHeight="1" s="322">
      <c r="A784" s="27" t="n"/>
      <c r="B784" s="506" t="n"/>
      <c r="C784" s="141" t="n"/>
      <c r="D784" s="141" t="n"/>
      <c r="E784" s="141" t="n"/>
      <c r="F784" s="141" t="n"/>
      <c r="G784" s="143" t="n"/>
      <c r="H784" s="27" t="n"/>
    </row>
    <row r="785" ht="17.25" customHeight="1" s="322">
      <c r="A785" s="27" t="n"/>
      <c r="B785" s="506" t="n"/>
      <c r="C785" s="141" t="n"/>
      <c r="D785" s="141" t="n"/>
      <c r="E785" s="141" t="n"/>
      <c r="F785" s="141" t="n"/>
      <c r="G785" s="143" t="n"/>
      <c r="H785" s="27" t="n"/>
    </row>
    <row r="786" ht="17.25" customHeight="1" s="322">
      <c r="A786" s="27" t="n"/>
      <c r="B786" s="506" t="n"/>
      <c r="C786" s="141" t="n"/>
      <c r="D786" s="141" t="n"/>
      <c r="E786" s="141" t="n"/>
      <c r="F786" s="141" t="n"/>
      <c r="G786" s="143" t="n"/>
      <c r="H786" s="27" t="n"/>
    </row>
    <row r="787" ht="17.25" customHeight="1" s="322">
      <c r="A787" s="27" t="n"/>
      <c r="B787" s="506" t="n"/>
      <c r="C787" s="141" t="n"/>
      <c r="D787" s="141" t="n"/>
      <c r="E787" s="141" t="n"/>
      <c r="F787" s="141" t="n"/>
      <c r="G787" s="143" t="n"/>
      <c r="H787" s="27" t="n"/>
    </row>
    <row r="788" ht="17.25" customHeight="1" s="322">
      <c r="A788" s="27" t="n"/>
      <c r="B788" s="506" t="n"/>
      <c r="C788" s="141" t="n"/>
      <c r="D788" s="141" t="n"/>
      <c r="E788" s="141" t="n"/>
      <c r="F788" s="141" t="n"/>
      <c r="G788" s="143" t="n"/>
      <c r="H788" s="27" t="n"/>
    </row>
    <row r="789" ht="17.25" customHeight="1" s="322">
      <c r="A789" s="27" t="n"/>
      <c r="B789" s="506" t="n"/>
      <c r="C789" s="141" t="n"/>
      <c r="D789" s="141" t="n"/>
      <c r="E789" s="141" t="n"/>
      <c r="F789" s="141" t="n"/>
      <c r="G789" s="143" t="n"/>
      <c r="H789" s="27" t="n"/>
    </row>
    <row r="790" ht="17.25" customHeight="1" s="322">
      <c r="A790" s="27" t="n"/>
      <c r="B790" s="506" t="n"/>
      <c r="C790" s="141" t="n"/>
      <c r="D790" s="141" t="n"/>
      <c r="E790" s="141" t="n"/>
      <c r="F790" s="141" t="n"/>
      <c r="G790" s="143" t="n"/>
      <c r="H790" s="27" t="n"/>
    </row>
    <row r="791" ht="17.25" customHeight="1" s="322">
      <c r="A791" s="27" t="n"/>
      <c r="B791" s="506" t="n"/>
      <c r="C791" s="141" t="n"/>
      <c r="D791" s="141" t="n"/>
      <c r="E791" s="141" t="n"/>
      <c r="F791" s="141" t="n"/>
      <c r="G791" s="143" t="n"/>
      <c r="H791" s="27" t="n"/>
    </row>
    <row r="792" ht="17.25" customHeight="1" s="322">
      <c r="A792" s="27" t="n"/>
      <c r="B792" s="506" t="n"/>
      <c r="C792" s="141" t="n"/>
      <c r="D792" s="141" t="n"/>
      <c r="E792" s="141" t="n"/>
      <c r="F792" s="141" t="n"/>
      <c r="G792" s="143" t="n"/>
      <c r="H792" s="27" t="n"/>
    </row>
    <row r="793" ht="17.25" customHeight="1" s="322">
      <c r="A793" s="27" t="n"/>
      <c r="B793" s="506" t="n"/>
      <c r="C793" s="141" t="n"/>
      <c r="D793" s="141" t="n"/>
      <c r="E793" s="141" t="n"/>
      <c r="F793" s="141" t="n"/>
      <c r="G793" s="143" t="n"/>
      <c r="H793" s="27" t="n"/>
    </row>
    <row r="794" ht="17.25" customHeight="1" s="322">
      <c r="A794" s="27" t="n"/>
      <c r="B794" s="506" t="n"/>
      <c r="C794" s="141" t="n"/>
      <c r="D794" s="141" t="n"/>
      <c r="E794" s="141" t="n"/>
      <c r="F794" s="141" t="n"/>
      <c r="G794" s="143" t="n"/>
      <c r="H794" s="27" t="n"/>
    </row>
    <row r="795" ht="17.25" customHeight="1" s="322">
      <c r="A795" s="27" t="n"/>
      <c r="B795" s="506" t="n"/>
      <c r="C795" s="141" t="n"/>
      <c r="D795" s="141" t="n"/>
      <c r="E795" s="141" t="n"/>
      <c r="F795" s="141" t="n"/>
      <c r="G795" s="143" t="n"/>
      <c r="H795" s="27" t="n"/>
    </row>
    <row r="796" ht="17.25" customHeight="1" s="322">
      <c r="A796" s="27" t="n"/>
      <c r="B796" s="506" t="n"/>
      <c r="C796" s="141" t="n"/>
      <c r="D796" s="141" t="n"/>
      <c r="E796" s="141" t="n"/>
      <c r="F796" s="141" t="n"/>
      <c r="G796" s="143" t="n"/>
      <c r="H796" s="27" t="n"/>
    </row>
    <row r="797" ht="17.25" customHeight="1" s="322">
      <c r="A797" s="27" t="n"/>
      <c r="B797" s="506" t="n"/>
      <c r="C797" s="141" t="n"/>
      <c r="D797" s="141" t="n"/>
      <c r="E797" s="141" t="n"/>
      <c r="F797" s="141" t="n"/>
      <c r="G797" s="143" t="n"/>
      <c r="H797" s="27" t="n"/>
    </row>
    <row r="798" ht="17.25" customHeight="1" s="322">
      <c r="A798" s="27" t="n"/>
      <c r="B798" s="506" t="n"/>
      <c r="C798" s="141" t="n"/>
      <c r="D798" s="141" t="n"/>
      <c r="E798" s="141" t="n"/>
      <c r="F798" s="141" t="n"/>
      <c r="G798" s="143" t="n"/>
      <c r="H798" s="27" t="n"/>
    </row>
    <row r="799" ht="17.25" customHeight="1" s="322">
      <c r="A799" s="27" t="n"/>
      <c r="B799" s="506" t="n"/>
      <c r="C799" s="141" t="n"/>
      <c r="D799" s="141" t="n"/>
      <c r="E799" s="141" t="n"/>
      <c r="F799" s="141" t="n"/>
      <c r="G799" s="143" t="n"/>
      <c r="H799" s="27" t="n"/>
    </row>
    <row r="800" ht="17.25" customHeight="1" s="322">
      <c r="A800" s="27" t="n"/>
      <c r="B800" s="506" t="n"/>
      <c r="C800" s="141" t="n"/>
      <c r="D800" s="141" t="n"/>
      <c r="E800" s="141" t="n"/>
      <c r="F800" s="141" t="n"/>
      <c r="G800" s="143" t="n"/>
      <c r="H800" s="27" t="n"/>
    </row>
    <row r="801" ht="17.25" customHeight="1" s="322">
      <c r="A801" s="27" t="n"/>
      <c r="B801" s="506" t="n"/>
      <c r="C801" s="141" t="n"/>
      <c r="D801" s="141" t="n"/>
      <c r="E801" s="141" t="n"/>
      <c r="F801" s="141" t="n"/>
      <c r="G801" s="143" t="n"/>
      <c r="H801" s="27" t="n"/>
    </row>
    <row r="802" ht="17.25" customHeight="1" s="322">
      <c r="A802" s="27" t="n"/>
      <c r="B802" s="506" t="n"/>
      <c r="C802" s="141" t="n"/>
      <c r="D802" s="141" t="n"/>
      <c r="E802" s="141" t="n"/>
      <c r="F802" s="141" t="n"/>
      <c r="G802" s="143" t="n"/>
      <c r="H802" s="27" t="n"/>
    </row>
    <row r="803" ht="17.25" customHeight="1" s="322">
      <c r="A803" s="27" t="n"/>
      <c r="B803" s="506" t="n"/>
      <c r="C803" s="141" t="n"/>
      <c r="D803" s="141" t="n"/>
      <c r="E803" s="141" t="n"/>
      <c r="F803" s="141" t="n"/>
      <c r="G803" s="143" t="n"/>
      <c r="H803" s="27" t="n"/>
    </row>
    <row r="804" ht="17.25" customHeight="1" s="322">
      <c r="A804" s="27" t="n"/>
      <c r="B804" s="506" t="n"/>
      <c r="C804" s="141" t="n"/>
      <c r="D804" s="141" t="n"/>
      <c r="E804" s="141" t="n"/>
      <c r="F804" s="141" t="n"/>
      <c r="G804" s="143" t="n"/>
      <c r="H804" s="27" t="n"/>
    </row>
    <row r="805" ht="17.25" customHeight="1" s="322">
      <c r="A805" s="27" t="n"/>
      <c r="B805" s="506" t="n"/>
      <c r="C805" s="141" t="n"/>
      <c r="D805" s="141" t="n"/>
      <c r="E805" s="141" t="n"/>
      <c r="F805" s="141" t="n"/>
      <c r="G805" s="143" t="n"/>
      <c r="H805" s="27" t="n"/>
    </row>
    <row r="806" ht="17.25" customHeight="1" s="322">
      <c r="A806" s="27" t="n"/>
      <c r="B806" s="506" t="n"/>
      <c r="C806" s="141" t="n"/>
      <c r="D806" s="141" t="n"/>
      <c r="E806" s="141" t="n"/>
      <c r="F806" s="141" t="n"/>
      <c r="G806" s="143" t="n"/>
      <c r="H806" s="27" t="n"/>
    </row>
    <row r="807" ht="17.25" customHeight="1" s="322">
      <c r="A807" s="27" t="n"/>
      <c r="B807" s="506" t="n"/>
      <c r="C807" s="141" t="n"/>
      <c r="D807" s="141" t="n"/>
      <c r="E807" s="141" t="n"/>
      <c r="F807" s="141" t="n"/>
      <c r="G807" s="143" t="n"/>
      <c r="H807" s="27" t="n"/>
    </row>
    <row r="808" ht="17.25" customHeight="1" s="322">
      <c r="A808" s="27" t="n"/>
      <c r="B808" s="506" t="n"/>
      <c r="C808" s="141" t="n"/>
      <c r="D808" s="141" t="n"/>
      <c r="E808" s="141" t="n"/>
      <c r="F808" s="141" t="n"/>
      <c r="G808" s="143" t="n"/>
      <c r="H808" s="27" t="n"/>
    </row>
    <row r="809" ht="17.25" customHeight="1" s="322">
      <c r="A809" s="27" t="n"/>
      <c r="B809" s="506" t="n"/>
      <c r="C809" s="141" t="n"/>
      <c r="D809" s="141" t="n"/>
      <c r="E809" s="141" t="n"/>
      <c r="F809" s="141" t="n"/>
      <c r="G809" s="143" t="n"/>
      <c r="H809" s="27" t="n"/>
    </row>
    <row r="810" ht="17.25" customHeight="1" s="322">
      <c r="A810" s="27" t="n"/>
      <c r="B810" s="506" t="n"/>
      <c r="C810" s="141" t="n"/>
      <c r="D810" s="141" t="n"/>
      <c r="E810" s="141" t="n"/>
      <c r="F810" s="141" t="n"/>
      <c r="G810" s="143" t="n"/>
      <c r="H810" s="27" t="n"/>
    </row>
    <row r="811" ht="17.25" customHeight="1" s="322">
      <c r="A811" s="27" t="n"/>
      <c r="B811" s="506" t="n"/>
      <c r="C811" s="141" t="n"/>
      <c r="D811" s="141" t="n"/>
      <c r="E811" s="141" t="n"/>
      <c r="F811" s="141" t="n"/>
      <c r="G811" s="143" t="n"/>
      <c r="H811" s="27" t="n"/>
    </row>
    <row r="812" ht="17.25" customHeight="1" s="322">
      <c r="A812" s="27" t="n"/>
      <c r="B812" s="506" t="n"/>
      <c r="C812" s="141" t="n"/>
      <c r="D812" s="141" t="n"/>
      <c r="E812" s="141" t="n"/>
      <c r="F812" s="141" t="n"/>
      <c r="G812" s="143" t="n"/>
      <c r="H812" s="27" t="n"/>
    </row>
    <row r="813" ht="17.25" customHeight="1" s="322">
      <c r="A813" s="27" t="n"/>
      <c r="B813" s="506" t="n"/>
      <c r="C813" s="141" t="n"/>
      <c r="D813" s="141" t="n"/>
      <c r="E813" s="141" t="n"/>
      <c r="F813" s="141" t="n"/>
      <c r="G813" s="143" t="n"/>
      <c r="H813" s="27" t="n"/>
    </row>
    <row r="814" ht="17.25" customHeight="1" s="322">
      <c r="A814" s="27" t="n"/>
      <c r="B814" s="506" t="n"/>
      <c r="C814" s="141" t="n"/>
      <c r="D814" s="141" t="n"/>
      <c r="E814" s="141" t="n"/>
      <c r="F814" s="141" t="n"/>
      <c r="G814" s="143" t="n"/>
      <c r="H814" s="27" t="n"/>
    </row>
    <row r="815" ht="17.25" customHeight="1" s="322">
      <c r="A815" s="27" t="n"/>
      <c r="B815" s="506" t="n"/>
      <c r="C815" s="141" t="n"/>
      <c r="D815" s="141" t="n"/>
      <c r="E815" s="141" t="n"/>
      <c r="F815" s="141" t="n"/>
      <c r="G815" s="143" t="n"/>
      <c r="H815" s="27" t="n"/>
    </row>
    <row r="816" ht="17.25" customHeight="1" s="322">
      <c r="A816" s="27" t="n"/>
      <c r="B816" s="506" t="n"/>
      <c r="C816" s="141" t="n"/>
      <c r="D816" s="141" t="n"/>
      <c r="E816" s="141" t="n"/>
      <c r="F816" s="141" t="n"/>
      <c r="G816" s="143" t="n"/>
      <c r="H816" s="27" t="n"/>
    </row>
    <row r="817" ht="17.25" customHeight="1" s="322">
      <c r="A817" s="27" t="n"/>
      <c r="B817" s="506" t="n"/>
      <c r="C817" s="141" t="n"/>
      <c r="D817" s="141" t="n"/>
      <c r="E817" s="141" t="n"/>
      <c r="F817" s="141" t="n"/>
      <c r="G817" s="143" t="n"/>
      <c r="H817" s="27" t="n"/>
    </row>
    <row r="818" ht="17.25" customHeight="1" s="322">
      <c r="A818" s="27" t="n"/>
      <c r="B818" s="506" t="n"/>
      <c r="C818" s="141" t="n"/>
      <c r="D818" s="141" t="n"/>
      <c r="E818" s="141" t="n"/>
      <c r="F818" s="141" t="n"/>
      <c r="G818" s="143" t="n"/>
      <c r="H818" s="27" t="n"/>
    </row>
    <row r="819" ht="17.25" customHeight="1" s="322">
      <c r="A819" s="27" t="n"/>
      <c r="B819" s="506" t="n"/>
      <c r="C819" s="141" t="n"/>
      <c r="D819" s="141" t="n"/>
      <c r="E819" s="141" t="n"/>
      <c r="F819" s="141" t="n"/>
      <c r="G819" s="143" t="n"/>
      <c r="H819" s="27" t="n"/>
    </row>
    <row r="820" ht="17.25" customHeight="1" s="322">
      <c r="A820" s="27" t="n"/>
      <c r="B820" s="506" t="n"/>
      <c r="C820" s="141" t="n"/>
      <c r="D820" s="141" t="n"/>
      <c r="E820" s="141" t="n"/>
      <c r="F820" s="141" t="n"/>
      <c r="G820" s="143" t="n"/>
      <c r="H820" s="27" t="n"/>
    </row>
    <row r="821" ht="17.25" customHeight="1" s="322">
      <c r="A821" s="27" t="n"/>
      <c r="B821" s="506" t="n"/>
      <c r="C821" s="141" t="n"/>
      <c r="D821" s="141" t="n"/>
      <c r="E821" s="141" t="n"/>
      <c r="F821" s="141" t="n"/>
      <c r="G821" s="143" t="n"/>
      <c r="H821" s="27" t="n"/>
    </row>
    <row r="822" ht="17.25" customHeight="1" s="322">
      <c r="A822" s="27" t="n"/>
      <c r="B822" s="506" t="n"/>
      <c r="C822" s="141" t="n"/>
      <c r="D822" s="141" t="n"/>
      <c r="E822" s="141" t="n"/>
      <c r="F822" s="141" t="n"/>
      <c r="G822" s="143" t="n"/>
      <c r="H822" s="27" t="n"/>
    </row>
    <row r="823" ht="17.25" customHeight="1" s="322">
      <c r="A823" s="27" t="n"/>
      <c r="B823" s="506" t="n"/>
      <c r="C823" s="141" t="n"/>
      <c r="D823" s="141" t="n"/>
      <c r="E823" s="141" t="n"/>
      <c r="F823" s="141" t="n"/>
      <c r="G823" s="143" t="n"/>
      <c r="H823" s="27" t="n"/>
    </row>
    <row r="824" ht="17.25" customHeight="1" s="322">
      <c r="A824" s="27" t="n"/>
      <c r="B824" s="506" t="n"/>
      <c r="C824" s="141" t="n"/>
      <c r="D824" s="141" t="n"/>
      <c r="E824" s="141" t="n"/>
      <c r="F824" s="141" t="n"/>
      <c r="G824" s="143" t="n"/>
      <c r="H824" s="27" t="n"/>
    </row>
    <row r="825" ht="17.25" customHeight="1" s="322">
      <c r="A825" s="27" t="n"/>
      <c r="B825" s="506" t="n"/>
      <c r="C825" s="141" t="n"/>
      <c r="D825" s="141" t="n"/>
      <c r="E825" s="141" t="n"/>
      <c r="F825" s="141" t="n"/>
      <c r="G825" s="143" t="n"/>
      <c r="H825" s="27" t="n"/>
    </row>
    <row r="826" ht="17.25" customHeight="1" s="322">
      <c r="A826" s="27" t="n"/>
      <c r="B826" s="506" t="n"/>
      <c r="C826" s="141" t="n"/>
      <c r="D826" s="141" t="n"/>
      <c r="E826" s="141" t="n"/>
      <c r="F826" s="141" t="n"/>
      <c r="G826" s="143" t="n"/>
      <c r="H826" s="27" t="n"/>
    </row>
    <row r="827" ht="17.25" customHeight="1" s="322">
      <c r="A827" s="27" t="n"/>
      <c r="B827" s="506" t="n"/>
      <c r="C827" s="141" t="n"/>
      <c r="D827" s="141" t="n"/>
      <c r="E827" s="141" t="n"/>
      <c r="F827" s="141" t="n"/>
      <c r="G827" s="143" t="n"/>
      <c r="H827" s="27" t="n"/>
    </row>
    <row r="828" ht="17.25" customHeight="1" s="322">
      <c r="A828" s="27" t="n"/>
      <c r="B828" s="506" t="n"/>
      <c r="C828" s="141" t="n"/>
      <c r="D828" s="141" t="n"/>
      <c r="E828" s="141" t="n"/>
      <c r="F828" s="141" t="n"/>
      <c r="G828" s="143" t="n"/>
      <c r="H828" s="27" t="n"/>
    </row>
    <row r="829" ht="17.25" customHeight="1" s="322">
      <c r="A829" s="27" t="n"/>
      <c r="B829" s="506" t="n"/>
      <c r="C829" s="141" t="n"/>
      <c r="D829" s="141" t="n"/>
      <c r="E829" s="141" t="n"/>
      <c r="F829" s="141" t="n"/>
      <c r="G829" s="143" t="n"/>
      <c r="H829" s="27" t="n"/>
    </row>
    <row r="830" ht="17.25" customHeight="1" s="322">
      <c r="A830" s="27" t="n"/>
      <c r="B830" s="506" t="n"/>
      <c r="C830" s="141" t="n"/>
      <c r="D830" s="141" t="n"/>
      <c r="E830" s="141" t="n"/>
      <c r="F830" s="141" t="n"/>
      <c r="G830" s="143" t="n"/>
      <c r="H830" s="27" t="n"/>
    </row>
    <row r="831" ht="17.25" customHeight="1" s="322">
      <c r="A831" s="27" t="n"/>
      <c r="B831" s="506" t="n"/>
      <c r="C831" s="141" t="n"/>
      <c r="D831" s="141" t="n"/>
      <c r="E831" s="141" t="n"/>
      <c r="F831" s="141" t="n"/>
      <c r="G831" s="143" t="n"/>
      <c r="H831" s="27" t="n"/>
    </row>
    <row r="832" ht="17.25" customHeight="1" s="322">
      <c r="A832" s="27" t="n"/>
      <c r="B832" s="506" t="n"/>
      <c r="C832" s="141" t="n"/>
      <c r="D832" s="141" t="n"/>
      <c r="E832" s="141" t="n"/>
      <c r="F832" s="141" t="n"/>
      <c r="G832" s="143" t="n"/>
      <c r="H832" s="27" t="n"/>
    </row>
    <row r="833" ht="17.25" customHeight="1" s="322">
      <c r="A833" s="27" t="n"/>
      <c r="B833" s="506" t="n"/>
      <c r="C833" s="141" t="n"/>
      <c r="D833" s="141" t="n"/>
      <c r="E833" s="141" t="n"/>
      <c r="F833" s="141" t="n"/>
      <c r="G833" s="143" t="n"/>
      <c r="H833" s="27" t="n"/>
    </row>
    <row r="834" ht="17.25" customHeight="1" s="322">
      <c r="A834" s="27" t="n"/>
      <c r="B834" s="506" t="n"/>
      <c r="C834" s="141" t="n"/>
      <c r="D834" s="141" t="n"/>
      <c r="E834" s="141" t="n"/>
      <c r="F834" s="141" t="n"/>
      <c r="G834" s="143" t="n"/>
      <c r="H834" s="27" t="n"/>
    </row>
    <row r="835" ht="17.25" customHeight="1" s="322">
      <c r="A835" s="27" t="n"/>
      <c r="B835" s="506" t="n"/>
      <c r="C835" s="141" t="n"/>
      <c r="D835" s="141" t="n"/>
      <c r="E835" s="141" t="n"/>
      <c r="F835" s="141" t="n"/>
      <c r="G835" s="143" t="n"/>
      <c r="H835" s="27" t="n"/>
    </row>
    <row r="836" ht="17.25" customHeight="1" s="322">
      <c r="A836" s="27" t="n"/>
      <c r="B836" s="506" t="n"/>
      <c r="C836" s="141" t="n"/>
      <c r="D836" s="141" t="n"/>
      <c r="E836" s="141" t="n"/>
      <c r="F836" s="141" t="n"/>
      <c r="G836" s="143" t="n"/>
      <c r="H836" s="27" t="n"/>
    </row>
    <row r="837" ht="17.25" customHeight="1" s="322">
      <c r="A837" s="27" t="n"/>
      <c r="B837" s="506" t="n"/>
      <c r="C837" s="141" t="n"/>
      <c r="D837" s="141" t="n"/>
      <c r="E837" s="141" t="n"/>
      <c r="F837" s="141" t="n"/>
      <c r="G837" s="143" t="n"/>
      <c r="H837" s="27" t="n"/>
    </row>
    <row r="838" ht="17.25" customHeight="1" s="322">
      <c r="A838" s="27" t="n"/>
      <c r="B838" s="506" t="n"/>
      <c r="C838" s="141" t="n"/>
      <c r="D838" s="141" t="n"/>
      <c r="E838" s="141" t="n"/>
      <c r="F838" s="141" t="n"/>
      <c r="G838" s="143" t="n"/>
      <c r="H838" s="27" t="n"/>
    </row>
    <row r="839" ht="17.25" customHeight="1" s="322">
      <c r="A839" s="27" t="n"/>
      <c r="B839" s="506" t="n"/>
      <c r="C839" s="141" t="n"/>
      <c r="D839" s="141" t="n"/>
      <c r="E839" s="141" t="n"/>
      <c r="F839" s="141" t="n"/>
      <c r="G839" s="143" t="n"/>
      <c r="H839" s="27" t="n"/>
    </row>
    <row r="840" ht="17.25" customHeight="1" s="322">
      <c r="A840" s="27" t="n"/>
      <c r="B840" s="506" t="n"/>
      <c r="C840" s="141" t="n"/>
      <c r="D840" s="141" t="n"/>
      <c r="E840" s="141" t="n"/>
      <c r="F840" s="141" t="n"/>
      <c r="G840" s="143" t="n"/>
      <c r="H840" s="27" t="n"/>
    </row>
    <row r="841" ht="17.25" customHeight="1" s="322">
      <c r="A841" s="27" t="n"/>
      <c r="B841" s="506" t="n"/>
      <c r="C841" s="141" t="n"/>
      <c r="D841" s="141" t="n"/>
      <c r="E841" s="141" t="n"/>
      <c r="F841" s="141" t="n"/>
      <c r="G841" s="143" t="n"/>
      <c r="H841" s="27" t="n"/>
    </row>
    <row r="842" ht="17.25" customHeight="1" s="322">
      <c r="A842" s="27" t="n"/>
      <c r="B842" s="506" t="n"/>
      <c r="C842" s="141" t="n"/>
      <c r="D842" s="141" t="n"/>
      <c r="E842" s="141" t="n"/>
      <c r="F842" s="141" t="n"/>
      <c r="G842" s="143" t="n"/>
      <c r="H842" s="27" t="n"/>
    </row>
    <row r="843" ht="17.25" customHeight="1" s="322">
      <c r="A843" s="27" t="n"/>
      <c r="B843" s="506" t="n"/>
      <c r="C843" s="141" t="n"/>
      <c r="D843" s="141" t="n"/>
      <c r="E843" s="141" t="n"/>
      <c r="F843" s="141" t="n"/>
      <c r="G843" s="143" t="n"/>
      <c r="H843" s="27" t="n"/>
    </row>
    <row r="844" ht="17.25" customHeight="1" s="322">
      <c r="A844" s="27" t="n"/>
      <c r="B844" s="506" t="n"/>
      <c r="C844" s="141" t="n"/>
      <c r="D844" s="141" t="n"/>
      <c r="E844" s="141" t="n"/>
      <c r="F844" s="141" t="n"/>
      <c r="G844" s="143" t="n"/>
      <c r="H844" s="27" t="n"/>
    </row>
    <row r="845" ht="17.25" customHeight="1" s="322">
      <c r="A845" s="27" t="n"/>
      <c r="B845" s="506" t="n"/>
      <c r="C845" s="141" t="n"/>
      <c r="D845" s="141" t="n"/>
      <c r="E845" s="141" t="n"/>
      <c r="F845" s="141" t="n"/>
      <c r="G845" s="143" t="n"/>
      <c r="H845" s="27" t="n"/>
    </row>
    <row r="846" ht="17.25" customHeight="1" s="322">
      <c r="A846" s="27" t="n"/>
      <c r="B846" s="506" t="n"/>
      <c r="C846" s="141" t="n"/>
      <c r="D846" s="141" t="n"/>
      <c r="E846" s="141" t="n"/>
      <c r="F846" s="141" t="n"/>
      <c r="G846" s="143" t="n"/>
      <c r="H846" s="27" t="n"/>
    </row>
    <row r="847" ht="17.25" customHeight="1" s="322">
      <c r="A847" s="27" t="n"/>
      <c r="B847" s="506" t="n"/>
      <c r="C847" s="141" t="n"/>
      <c r="D847" s="141" t="n"/>
      <c r="E847" s="141" t="n"/>
      <c r="F847" s="141" t="n"/>
      <c r="G847" s="143" t="n"/>
      <c r="H847" s="27" t="n"/>
    </row>
    <row r="848" ht="17.25" customHeight="1" s="322">
      <c r="A848" s="27" t="n"/>
      <c r="B848" s="506" t="n"/>
      <c r="C848" s="141" t="n"/>
      <c r="D848" s="141" t="n"/>
      <c r="E848" s="141" t="n"/>
      <c r="F848" s="141" t="n"/>
      <c r="G848" s="143" t="n"/>
      <c r="H848" s="27" t="n"/>
    </row>
    <row r="849" ht="17.25" customHeight="1" s="322">
      <c r="A849" s="27" t="n"/>
      <c r="B849" s="506" t="n"/>
      <c r="C849" s="141" t="n"/>
      <c r="D849" s="141" t="n"/>
      <c r="E849" s="141" t="n"/>
      <c r="F849" s="141" t="n"/>
      <c r="G849" s="143" t="n"/>
      <c r="H849" s="27" t="n"/>
    </row>
    <row r="850" ht="17.25" customHeight="1" s="322">
      <c r="A850" s="27" t="n"/>
      <c r="B850" s="506" t="n"/>
      <c r="C850" s="141" t="n"/>
      <c r="D850" s="141" t="n"/>
      <c r="E850" s="141" t="n"/>
      <c r="F850" s="141" t="n"/>
      <c r="G850" s="143" t="n"/>
      <c r="H850" s="27" t="n"/>
    </row>
    <row r="851" ht="17.25" customHeight="1" s="322">
      <c r="A851" s="27" t="n"/>
      <c r="B851" s="506" t="n"/>
      <c r="C851" s="141" t="n"/>
      <c r="D851" s="141" t="n"/>
      <c r="E851" s="141" t="n"/>
      <c r="F851" s="141" t="n"/>
      <c r="G851" s="143" t="n"/>
      <c r="H851" s="27" t="n"/>
    </row>
    <row r="852" ht="17.25" customHeight="1" s="322">
      <c r="A852" s="27" t="n"/>
      <c r="B852" s="506" t="n"/>
      <c r="C852" s="141" t="n"/>
      <c r="D852" s="141" t="n"/>
      <c r="E852" s="141" t="n"/>
      <c r="F852" s="141" t="n"/>
      <c r="G852" s="143" t="n"/>
      <c r="H852" s="27" t="n"/>
    </row>
    <row r="853" ht="17.25" customHeight="1" s="322">
      <c r="A853" s="27" t="n"/>
      <c r="B853" s="506" t="n"/>
      <c r="C853" s="141" t="n"/>
      <c r="D853" s="141" t="n"/>
      <c r="E853" s="141" t="n"/>
      <c r="F853" s="141" t="n"/>
      <c r="G853" s="143" t="n"/>
      <c r="H853" s="27" t="n"/>
    </row>
    <row r="854" ht="17.25" customHeight="1" s="322">
      <c r="A854" s="27" t="n"/>
      <c r="B854" s="506" t="n"/>
      <c r="C854" s="141" t="n"/>
      <c r="D854" s="141" t="n"/>
      <c r="E854" s="141" t="n"/>
      <c r="F854" s="141" t="n"/>
      <c r="G854" s="143" t="n"/>
      <c r="H854" s="27" t="n"/>
    </row>
    <row r="855" ht="17.25" customHeight="1" s="322">
      <c r="A855" s="27" t="n"/>
      <c r="B855" s="506" t="n"/>
      <c r="C855" s="141" t="n"/>
      <c r="D855" s="141" t="n"/>
      <c r="E855" s="141" t="n"/>
      <c r="F855" s="141" t="n"/>
      <c r="G855" s="143" t="n"/>
      <c r="H855" s="27" t="n"/>
    </row>
    <row r="856" ht="17.25" customHeight="1" s="322">
      <c r="A856" s="27" t="n"/>
      <c r="B856" s="506" t="n"/>
      <c r="C856" s="141" t="n"/>
      <c r="D856" s="141" t="n"/>
      <c r="E856" s="141" t="n"/>
      <c r="F856" s="141" t="n"/>
      <c r="G856" s="143" t="n"/>
      <c r="H856" s="27" t="n"/>
    </row>
    <row r="857" ht="17.25" customHeight="1" s="322">
      <c r="A857" s="27" t="n"/>
      <c r="B857" s="506" t="n"/>
      <c r="C857" s="141" t="n"/>
      <c r="D857" s="141" t="n"/>
      <c r="E857" s="141" t="n"/>
      <c r="F857" s="141" t="n"/>
      <c r="G857" s="143" t="n"/>
      <c r="H857" s="27" t="n"/>
    </row>
    <row r="858" ht="17.25" customHeight="1" s="322">
      <c r="A858" s="27" t="n"/>
      <c r="B858" s="506" t="n"/>
      <c r="C858" s="141" t="n"/>
      <c r="D858" s="141" t="n"/>
      <c r="E858" s="141" t="n"/>
      <c r="F858" s="141" t="n"/>
      <c r="G858" s="143" t="n"/>
      <c r="H858" s="27" t="n"/>
    </row>
    <row r="859" ht="17.25" customHeight="1" s="322">
      <c r="A859" s="27" t="n"/>
      <c r="B859" s="506" t="n"/>
      <c r="C859" s="141" t="n"/>
      <c r="D859" s="141" t="n"/>
      <c r="E859" s="141" t="n"/>
      <c r="F859" s="141" t="n"/>
      <c r="G859" s="143" t="n"/>
      <c r="H859" s="27" t="n"/>
    </row>
    <row r="860" ht="17.25" customHeight="1" s="322">
      <c r="A860" s="27" t="n"/>
      <c r="B860" s="506" t="n"/>
      <c r="C860" s="141" t="n"/>
      <c r="D860" s="141" t="n"/>
      <c r="E860" s="141" t="n"/>
      <c r="F860" s="141" t="n"/>
      <c r="G860" s="143" t="n"/>
      <c r="H860" s="27" t="n"/>
    </row>
    <row r="861" ht="17.25" customHeight="1" s="322">
      <c r="A861" s="27" t="n"/>
      <c r="B861" s="506" t="n"/>
      <c r="C861" s="141" t="n"/>
      <c r="D861" s="141" t="n"/>
      <c r="E861" s="141" t="n"/>
      <c r="F861" s="141" t="n"/>
      <c r="G861" s="143" t="n"/>
      <c r="H861" s="27" t="n"/>
    </row>
    <row r="862" ht="17.25" customHeight="1" s="322">
      <c r="A862" s="27" t="n"/>
      <c r="B862" s="506" t="n"/>
      <c r="C862" s="141" t="n"/>
      <c r="D862" s="141" t="n"/>
      <c r="E862" s="141" t="n"/>
      <c r="F862" s="141" t="n"/>
      <c r="G862" s="143" t="n"/>
      <c r="H862" s="27" t="n"/>
    </row>
    <row r="863" ht="17.25" customHeight="1" s="322">
      <c r="A863" s="27" t="n"/>
      <c r="B863" s="506" t="n"/>
      <c r="C863" s="141" t="n"/>
      <c r="D863" s="141" t="n"/>
      <c r="E863" s="141" t="n"/>
      <c r="F863" s="141" t="n"/>
      <c r="G863" s="143" t="n"/>
      <c r="H863" s="27" t="n"/>
    </row>
    <row r="864" ht="17.25" customHeight="1" s="322">
      <c r="A864" s="27" t="n"/>
      <c r="B864" s="506" t="n"/>
      <c r="C864" s="141" t="n"/>
      <c r="D864" s="141" t="n"/>
      <c r="E864" s="141" t="n"/>
      <c r="F864" s="141" t="n"/>
      <c r="G864" s="143" t="n"/>
      <c r="H864" s="27" t="n"/>
    </row>
    <row r="865" ht="17.25" customHeight="1" s="322">
      <c r="A865" s="27" t="n"/>
      <c r="B865" s="506" t="n"/>
      <c r="C865" s="141" t="n"/>
      <c r="D865" s="141" t="n"/>
      <c r="E865" s="141" t="n"/>
      <c r="F865" s="141" t="n"/>
      <c r="G865" s="143" t="n"/>
      <c r="H865" s="27" t="n"/>
    </row>
    <row r="866" ht="17.25" customHeight="1" s="322">
      <c r="A866" s="27" t="n"/>
      <c r="B866" s="506" t="n"/>
      <c r="C866" s="141" t="n"/>
      <c r="D866" s="141" t="n"/>
      <c r="E866" s="141" t="n"/>
      <c r="F866" s="141" t="n"/>
      <c r="G866" s="143" t="n"/>
      <c r="H866" s="27" t="n"/>
    </row>
    <row r="867" ht="17.25" customHeight="1" s="322">
      <c r="A867" s="27" t="n"/>
      <c r="B867" s="506" t="n"/>
      <c r="C867" s="141" t="n"/>
      <c r="D867" s="141" t="n"/>
      <c r="E867" s="141" t="n"/>
      <c r="F867" s="141" t="n"/>
      <c r="G867" s="143" t="n"/>
      <c r="H867" s="27" t="n"/>
    </row>
    <row r="868" ht="17.25" customHeight="1" s="322">
      <c r="A868" s="27" t="n"/>
      <c r="B868" s="506" t="n"/>
      <c r="C868" s="141" t="n"/>
      <c r="D868" s="141" t="n"/>
      <c r="E868" s="141" t="n"/>
      <c r="F868" s="141" t="n"/>
      <c r="G868" s="143" t="n"/>
      <c r="H868" s="27" t="n"/>
    </row>
    <row r="869" ht="17.25" customHeight="1" s="322">
      <c r="A869" s="27" t="n"/>
      <c r="B869" s="506" t="n"/>
      <c r="C869" s="141" t="n"/>
      <c r="D869" s="141" t="n"/>
      <c r="E869" s="141" t="n"/>
      <c r="F869" s="141" t="n"/>
      <c r="G869" s="143" t="n"/>
      <c r="H869" s="27" t="n"/>
    </row>
    <row r="870" ht="17.25" customHeight="1" s="322">
      <c r="A870" s="27" t="n"/>
      <c r="B870" s="506" t="n"/>
      <c r="C870" s="141" t="n"/>
      <c r="D870" s="141" t="n"/>
      <c r="E870" s="141" t="n"/>
      <c r="F870" s="141" t="n"/>
      <c r="G870" s="143" t="n"/>
      <c r="H870" s="27" t="n"/>
    </row>
    <row r="871" ht="17.25" customHeight="1" s="322">
      <c r="A871" s="27" t="n"/>
      <c r="B871" s="506" t="n"/>
      <c r="C871" s="141" t="n"/>
      <c r="D871" s="141" t="n"/>
      <c r="E871" s="141" t="n"/>
      <c r="F871" s="141" t="n"/>
      <c r="G871" s="143" t="n"/>
      <c r="H871" s="27" t="n"/>
    </row>
    <row r="872" ht="17.25" customHeight="1" s="322">
      <c r="A872" s="27" t="n"/>
      <c r="B872" s="506" t="n"/>
      <c r="C872" s="141" t="n"/>
      <c r="D872" s="141" t="n"/>
      <c r="E872" s="141" t="n"/>
      <c r="F872" s="141" t="n"/>
      <c r="G872" s="143" t="n"/>
      <c r="H872" s="27" t="n"/>
    </row>
    <row r="873" ht="17.25" customHeight="1" s="322">
      <c r="A873" s="27" t="n"/>
      <c r="B873" s="506" t="n"/>
      <c r="C873" s="141" t="n"/>
      <c r="D873" s="141" t="n"/>
      <c r="E873" s="141" t="n"/>
      <c r="F873" s="141" t="n"/>
      <c r="G873" s="143" t="n"/>
      <c r="H873" s="27" t="n"/>
    </row>
    <row r="874" ht="17.25" customHeight="1" s="322">
      <c r="A874" s="27" t="n"/>
      <c r="B874" s="506" t="n"/>
      <c r="C874" s="141" t="n"/>
      <c r="D874" s="141" t="n"/>
      <c r="E874" s="141" t="n"/>
      <c r="F874" s="141" t="n"/>
      <c r="G874" s="143" t="n"/>
      <c r="H874" s="27" t="n"/>
    </row>
    <row r="875" ht="17.25" customHeight="1" s="322">
      <c r="A875" s="27" t="n"/>
      <c r="B875" s="506" t="n"/>
      <c r="C875" s="141" t="n"/>
      <c r="D875" s="141" t="n"/>
      <c r="E875" s="141" t="n"/>
      <c r="F875" s="141" t="n"/>
      <c r="G875" s="143" t="n"/>
      <c r="H875" s="27" t="n"/>
    </row>
    <row r="876" ht="17.25" customHeight="1" s="322">
      <c r="A876" s="27" t="n"/>
      <c r="B876" s="506" t="n"/>
      <c r="C876" s="141" t="n"/>
      <c r="D876" s="141" t="n"/>
      <c r="E876" s="141" t="n"/>
      <c r="F876" s="141" t="n"/>
      <c r="G876" s="143" t="n"/>
      <c r="H876" s="27" t="n"/>
    </row>
    <row r="877" ht="17.25" customHeight="1" s="322">
      <c r="A877" s="27" t="n"/>
      <c r="B877" s="506" t="n"/>
      <c r="C877" s="141" t="n"/>
      <c r="D877" s="141" t="n"/>
      <c r="E877" s="141" t="n"/>
      <c r="F877" s="141" t="n"/>
      <c r="G877" s="143" t="n"/>
      <c r="H877" s="27" t="n"/>
    </row>
    <row r="878" ht="17.25" customHeight="1" s="322">
      <c r="A878" s="27" t="n"/>
      <c r="B878" s="506" t="n"/>
      <c r="C878" s="141" t="n"/>
      <c r="D878" s="141" t="n"/>
      <c r="E878" s="141" t="n"/>
      <c r="F878" s="141" t="n"/>
      <c r="G878" s="143" t="n"/>
      <c r="H878" s="27" t="n"/>
    </row>
    <row r="879" ht="17.25" customHeight="1" s="322">
      <c r="A879" s="27" t="n"/>
      <c r="B879" s="506" t="n"/>
      <c r="C879" s="141" t="n"/>
      <c r="D879" s="141" t="n"/>
      <c r="E879" s="141" t="n"/>
      <c r="F879" s="141" t="n"/>
      <c r="G879" s="143" t="n"/>
      <c r="H879" s="27" t="n"/>
    </row>
    <row r="880" ht="17.25" customHeight="1" s="322">
      <c r="A880" s="27" t="n"/>
      <c r="B880" s="506" t="n"/>
      <c r="C880" s="141" t="n"/>
      <c r="D880" s="141" t="n"/>
      <c r="E880" s="141" t="n"/>
      <c r="F880" s="141" t="n"/>
      <c r="G880" s="143" t="n"/>
      <c r="H880" s="27" t="n"/>
    </row>
    <row r="881" ht="17.25" customHeight="1" s="322">
      <c r="A881" s="27" t="n"/>
      <c r="B881" s="506" t="n"/>
      <c r="C881" s="141" t="n"/>
      <c r="D881" s="141" t="n"/>
      <c r="E881" s="141" t="n"/>
      <c r="F881" s="141" t="n"/>
      <c r="G881" s="143" t="n"/>
      <c r="H881" s="27" t="n"/>
    </row>
    <row r="882" ht="17.25" customHeight="1" s="322">
      <c r="A882" s="27" t="n"/>
      <c r="B882" s="506" t="n"/>
      <c r="C882" s="141" t="n"/>
      <c r="D882" s="141" t="n"/>
      <c r="E882" s="141" t="n"/>
      <c r="F882" s="141" t="n"/>
      <c r="G882" s="143" t="n"/>
      <c r="H882" s="27" t="n"/>
    </row>
    <row r="883" ht="17.25" customHeight="1" s="322">
      <c r="A883" s="27" t="n"/>
      <c r="B883" s="506" t="n"/>
      <c r="C883" s="141" t="n"/>
      <c r="D883" s="141" t="n"/>
      <c r="E883" s="141" t="n"/>
      <c r="F883" s="141" t="n"/>
      <c r="G883" s="143" t="n"/>
      <c r="H883" s="27" t="n"/>
    </row>
    <row r="884" ht="17.25" customHeight="1" s="322">
      <c r="A884" s="27" t="n"/>
      <c r="B884" s="506" t="n"/>
      <c r="C884" s="141" t="n"/>
      <c r="D884" s="141" t="n"/>
      <c r="E884" s="141" t="n"/>
      <c r="F884" s="141" t="n"/>
      <c r="G884" s="143" t="n"/>
      <c r="H884" s="27" t="n"/>
    </row>
    <row r="885" ht="17.25" customHeight="1" s="322">
      <c r="A885" s="27" t="n"/>
      <c r="B885" s="506" t="n"/>
      <c r="C885" s="141" t="n"/>
      <c r="D885" s="141" t="n"/>
      <c r="E885" s="141" t="n"/>
      <c r="F885" s="141" t="n"/>
      <c r="G885" s="143" t="n"/>
      <c r="H885" s="27" t="n"/>
    </row>
    <row r="886" ht="17.25" customHeight="1" s="322">
      <c r="A886" s="27" t="n"/>
      <c r="B886" s="506" t="n"/>
      <c r="C886" s="141" t="n"/>
      <c r="D886" s="141" t="n"/>
      <c r="E886" s="141" t="n"/>
      <c r="F886" s="141" t="n"/>
      <c r="G886" s="143" t="n"/>
      <c r="H886" s="27" t="n"/>
    </row>
    <row r="887" ht="17.25" customHeight="1" s="322">
      <c r="A887" s="27" t="n"/>
      <c r="B887" s="506" t="n"/>
      <c r="C887" s="141" t="n"/>
      <c r="D887" s="141" t="n"/>
      <c r="E887" s="141" t="n"/>
      <c r="F887" s="141" t="n"/>
      <c r="G887" s="143" t="n"/>
      <c r="H887" s="27" t="n"/>
    </row>
    <row r="888" ht="17.25" customHeight="1" s="322">
      <c r="A888" s="27" t="n"/>
      <c r="B888" s="506" t="n"/>
      <c r="C888" s="141" t="n"/>
      <c r="D888" s="141" t="n"/>
      <c r="E888" s="141" t="n"/>
      <c r="F888" s="141" t="n"/>
      <c r="G888" s="143" t="n"/>
      <c r="H888" s="27" t="n"/>
    </row>
    <row r="889" ht="17.25" customHeight="1" s="322">
      <c r="A889" s="27" t="n"/>
      <c r="B889" s="506" t="n"/>
      <c r="C889" s="141" t="n"/>
      <c r="D889" s="141" t="n"/>
      <c r="E889" s="141" t="n"/>
      <c r="F889" s="141" t="n"/>
      <c r="G889" s="143" t="n"/>
      <c r="H889" s="27" t="n"/>
    </row>
    <row r="890" ht="17.25" customHeight="1" s="322">
      <c r="A890" s="27" t="n"/>
      <c r="B890" s="506" t="n"/>
      <c r="C890" s="141" t="n"/>
      <c r="D890" s="141" t="n"/>
      <c r="E890" s="141" t="n"/>
      <c r="F890" s="141" t="n"/>
      <c r="G890" s="143" t="n"/>
      <c r="H890" s="27" t="n"/>
    </row>
    <row r="891" ht="17.25" customHeight="1" s="322">
      <c r="A891" s="27" t="n"/>
      <c r="B891" s="506" t="n"/>
      <c r="C891" s="141" t="n"/>
      <c r="D891" s="141" t="n"/>
      <c r="E891" s="141" t="n"/>
      <c r="F891" s="141" t="n"/>
      <c r="G891" s="143" t="n"/>
      <c r="H891" s="27" t="n"/>
    </row>
    <row r="892" ht="17.25" customHeight="1" s="322">
      <c r="A892" s="27" t="n"/>
      <c r="B892" s="506" t="n"/>
      <c r="C892" s="141" t="n"/>
      <c r="D892" s="141" t="n"/>
      <c r="E892" s="141" t="n"/>
      <c r="F892" s="141" t="n"/>
      <c r="G892" s="143" t="n"/>
      <c r="H892" s="27" t="n"/>
    </row>
    <row r="893" ht="17.25" customHeight="1" s="322">
      <c r="A893" s="27" t="n"/>
      <c r="B893" s="506" t="n"/>
      <c r="C893" s="141" t="n"/>
      <c r="D893" s="141" t="n"/>
      <c r="E893" s="141" t="n"/>
      <c r="F893" s="141" t="n"/>
      <c r="G893" s="143" t="n"/>
      <c r="H893" s="27" t="n"/>
    </row>
    <row r="894" ht="17.25" customHeight="1" s="322">
      <c r="A894" s="27" t="n"/>
      <c r="B894" s="506" t="n"/>
      <c r="C894" s="141" t="n"/>
      <c r="D894" s="141" t="n"/>
      <c r="E894" s="141" t="n"/>
      <c r="F894" s="141" t="n"/>
      <c r="G894" s="143" t="n"/>
      <c r="H894" s="27" t="n"/>
    </row>
    <row r="895" ht="17.25" customHeight="1" s="322">
      <c r="A895" s="27" t="n"/>
      <c r="B895" s="506" t="n"/>
      <c r="C895" s="141" t="n"/>
      <c r="D895" s="141" t="n"/>
      <c r="E895" s="141" t="n"/>
      <c r="F895" s="141" t="n"/>
      <c r="G895" s="143" t="n"/>
      <c r="H895" s="27" t="n"/>
    </row>
    <row r="896" ht="17.25" customHeight="1" s="322">
      <c r="A896" s="27" t="n"/>
      <c r="B896" s="506" t="n"/>
      <c r="C896" s="141" t="n"/>
      <c r="D896" s="141" t="n"/>
      <c r="E896" s="141" t="n"/>
      <c r="F896" s="141" t="n"/>
      <c r="G896" s="143" t="n"/>
      <c r="H896" s="27" t="n"/>
    </row>
    <row r="897" ht="17.25" customHeight="1" s="322">
      <c r="A897" s="27" t="n"/>
      <c r="B897" s="506" t="n"/>
      <c r="C897" s="141" t="n"/>
      <c r="D897" s="141" t="n"/>
      <c r="E897" s="141" t="n"/>
      <c r="F897" s="141" t="n"/>
      <c r="G897" s="143" t="n"/>
      <c r="H897" s="27" t="n"/>
    </row>
    <row r="898" ht="17.25" customHeight="1" s="322">
      <c r="A898" s="27" t="n"/>
      <c r="B898" s="506" t="n"/>
      <c r="C898" s="141" t="n"/>
      <c r="D898" s="141" t="n"/>
      <c r="E898" s="141" t="n"/>
      <c r="F898" s="141" t="n"/>
      <c r="G898" s="143" t="n"/>
      <c r="H898" s="27" t="n"/>
    </row>
    <row r="899" ht="17.25" customHeight="1" s="322">
      <c r="A899" s="27" t="n"/>
      <c r="B899" s="506" t="n"/>
      <c r="C899" s="141" t="n"/>
      <c r="D899" s="141" t="n"/>
      <c r="E899" s="141" t="n"/>
      <c r="F899" s="141" t="n"/>
      <c r="G899" s="143" t="n"/>
      <c r="H899" s="27" t="n"/>
    </row>
    <row r="900" ht="17.25" customHeight="1" s="322">
      <c r="A900" s="27" t="n"/>
      <c r="B900" s="506" t="n"/>
      <c r="C900" s="141" t="n"/>
      <c r="D900" s="141" t="n"/>
      <c r="E900" s="141" t="n"/>
      <c r="F900" s="141" t="n"/>
      <c r="G900" s="143" t="n"/>
      <c r="H900" s="27" t="n"/>
    </row>
    <row r="901" ht="17.25" customHeight="1" s="322">
      <c r="A901" s="27" t="n"/>
      <c r="B901" s="506" t="n"/>
      <c r="C901" s="141" t="n"/>
      <c r="D901" s="141" t="n"/>
      <c r="E901" s="141" t="n"/>
      <c r="F901" s="141" t="n"/>
      <c r="G901" s="143" t="n"/>
      <c r="H901" s="27" t="n"/>
    </row>
    <row r="902" ht="17.25" customHeight="1" s="322">
      <c r="A902" s="27" t="n"/>
      <c r="B902" s="506" t="n"/>
      <c r="C902" s="141" t="n"/>
      <c r="D902" s="141" t="n"/>
      <c r="E902" s="141" t="n"/>
      <c r="F902" s="141" t="n"/>
      <c r="G902" s="143" t="n"/>
      <c r="H902" s="27" t="n"/>
    </row>
    <row r="903" ht="17.25" customHeight="1" s="322">
      <c r="A903" s="27" t="n"/>
      <c r="B903" s="506" t="n"/>
      <c r="C903" s="141" t="n"/>
      <c r="D903" s="141" t="n"/>
      <c r="E903" s="141" t="n"/>
      <c r="F903" s="141" t="n"/>
      <c r="G903" s="143" t="n"/>
      <c r="H903" s="27" t="n"/>
    </row>
    <row r="904" ht="17.25" customHeight="1" s="322">
      <c r="A904" s="27" t="n"/>
      <c r="B904" s="506" t="n"/>
      <c r="C904" s="141" t="n"/>
      <c r="D904" s="141" t="n"/>
      <c r="E904" s="141" t="n"/>
      <c r="F904" s="141" t="n"/>
      <c r="G904" s="143" t="n"/>
      <c r="H904" s="27" t="n"/>
    </row>
    <row r="905" ht="17.25" customHeight="1" s="322">
      <c r="A905" s="27" t="n"/>
      <c r="B905" s="506" t="n"/>
      <c r="C905" s="141" t="n"/>
      <c r="D905" s="141" t="n"/>
      <c r="E905" s="141" t="n"/>
      <c r="F905" s="141" t="n"/>
      <c r="G905" s="143" t="n"/>
      <c r="H905" s="27" t="n"/>
    </row>
    <row r="906" ht="17.25" customHeight="1" s="322">
      <c r="A906" s="27" t="n"/>
      <c r="B906" s="506" t="n"/>
      <c r="C906" s="141" t="n"/>
      <c r="D906" s="141" t="n"/>
      <c r="E906" s="141" t="n"/>
      <c r="F906" s="141" t="n"/>
      <c r="G906" s="143" t="n"/>
      <c r="H906" s="27" t="n"/>
    </row>
    <row r="907" ht="17.25" customHeight="1" s="322">
      <c r="A907" s="27" t="n"/>
      <c r="B907" s="506" t="n"/>
      <c r="C907" s="141" t="n"/>
      <c r="D907" s="141" t="n"/>
      <c r="E907" s="141" t="n"/>
      <c r="F907" s="141" t="n"/>
      <c r="G907" s="143" t="n"/>
      <c r="H907" s="27" t="n"/>
    </row>
    <row r="908" ht="17.25" customHeight="1" s="322">
      <c r="A908" s="27" t="n"/>
      <c r="B908" s="506" t="n"/>
      <c r="C908" s="141" t="n"/>
      <c r="D908" s="141" t="n"/>
      <c r="E908" s="141" t="n"/>
      <c r="F908" s="141" t="n"/>
      <c r="G908" s="143" t="n"/>
      <c r="H908" s="27" t="n"/>
    </row>
    <row r="909" ht="17.25" customHeight="1" s="322">
      <c r="A909" s="27" t="n"/>
      <c r="B909" s="506" t="n"/>
      <c r="C909" s="141" t="n"/>
      <c r="D909" s="141" t="n"/>
      <c r="E909" s="141" t="n"/>
      <c r="F909" s="141" t="n"/>
      <c r="G909" s="143" t="n"/>
      <c r="H909" s="27" t="n"/>
    </row>
    <row r="910" ht="17.25" customHeight="1" s="322">
      <c r="A910" s="27" t="n"/>
      <c r="B910" s="506" t="n"/>
      <c r="C910" s="141" t="n"/>
      <c r="D910" s="141" t="n"/>
      <c r="E910" s="141" t="n"/>
      <c r="F910" s="141" t="n"/>
      <c r="G910" s="143" t="n"/>
      <c r="H910" s="27" t="n"/>
    </row>
    <row r="911" ht="17.25" customHeight="1" s="322">
      <c r="A911" s="27" t="n"/>
      <c r="B911" s="506" t="n"/>
      <c r="C911" s="141" t="n"/>
      <c r="D911" s="141" t="n"/>
      <c r="E911" s="141" t="n"/>
      <c r="F911" s="141" t="n"/>
      <c r="G911" s="143" t="n"/>
      <c r="H911" s="27" t="n"/>
    </row>
    <row r="912" ht="17.25" customHeight="1" s="322">
      <c r="A912" s="27" t="n"/>
      <c r="B912" s="506" t="n"/>
      <c r="C912" s="141" t="n"/>
      <c r="D912" s="141" t="n"/>
      <c r="E912" s="141" t="n"/>
      <c r="F912" s="141" t="n"/>
      <c r="G912" s="143" t="n"/>
      <c r="H912" s="27" t="n"/>
    </row>
    <row r="913" ht="17.25" customHeight="1" s="322">
      <c r="A913" s="27" t="n"/>
      <c r="B913" s="506" t="n"/>
      <c r="C913" s="141" t="n"/>
      <c r="D913" s="141" t="n"/>
      <c r="E913" s="141" t="n"/>
      <c r="F913" s="141" t="n"/>
      <c r="G913" s="143" t="n"/>
      <c r="H913" s="27" t="n"/>
    </row>
    <row r="914" ht="17.25" customHeight="1" s="322">
      <c r="A914" s="27" t="n"/>
      <c r="B914" s="506" t="n"/>
      <c r="C914" s="141" t="n"/>
      <c r="D914" s="141" t="n"/>
      <c r="E914" s="141" t="n"/>
      <c r="F914" s="141" t="n"/>
      <c r="G914" s="143" t="n"/>
      <c r="H914" s="27" t="n"/>
    </row>
    <row r="915" ht="17.25" customHeight="1" s="322">
      <c r="A915" s="27" t="n"/>
      <c r="B915" s="506" t="n"/>
      <c r="C915" s="141" t="n"/>
      <c r="D915" s="141" t="n"/>
      <c r="E915" s="141" t="n"/>
      <c r="F915" s="141" t="n"/>
      <c r="G915" s="143" t="n"/>
      <c r="H915" s="27" t="n"/>
    </row>
    <row r="916" ht="17.25" customHeight="1" s="322">
      <c r="A916" s="27" t="n"/>
      <c r="B916" s="506" t="n"/>
      <c r="C916" s="141" t="n"/>
      <c r="D916" s="141" t="n"/>
      <c r="E916" s="141" t="n"/>
      <c r="F916" s="141" t="n"/>
      <c r="G916" s="143" t="n"/>
      <c r="H916" s="27" t="n"/>
    </row>
    <row r="917" ht="17.25" customHeight="1" s="322">
      <c r="A917" s="27" t="n"/>
      <c r="B917" s="506" t="n"/>
      <c r="C917" s="141" t="n"/>
      <c r="D917" s="141" t="n"/>
      <c r="E917" s="141" t="n"/>
      <c r="F917" s="141" t="n"/>
      <c r="G917" s="143" t="n"/>
      <c r="H917" s="27" t="n"/>
    </row>
    <row r="918" ht="17.25" customHeight="1" s="322">
      <c r="A918" s="27" t="n"/>
      <c r="B918" s="506" t="n"/>
      <c r="C918" s="141" t="n"/>
      <c r="D918" s="141" t="n"/>
      <c r="E918" s="141" t="n"/>
      <c r="F918" s="141" t="n"/>
      <c r="G918" s="143" t="n"/>
      <c r="H918" s="27" t="n"/>
    </row>
    <row r="919" ht="17.25" customHeight="1" s="322">
      <c r="A919" s="27" t="n"/>
      <c r="B919" s="506" t="n"/>
      <c r="C919" s="141" t="n"/>
      <c r="D919" s="141" t="n"/>
      <c r="E919" s="141" t="n"/>
      <c r="F919" s="141" t="n"/>
      <c r="G919" s="143" t="n"/>
      <c r="H919" s="27" t="n"/>
    </row>
    <row r="920" ht="17.25" customHeight="1" s="322">
      <c r="A920" s="27" t="n"/>
      <c r="B920" s="506" t="n"/>
      <c r="C920" s="141" t="n"/>
      <c r="D920" s="141" t="n"/>
      <c r="E920" s="141" t="n"/>
      <c r="F920" s="141" t="n"/>
      <c r="G920" s="143" t="n"/>
      <c r="H920" s="27" t="n"/>
    </row>
    <row r="921" ht="17.25" customHeight="1" s="322">
      <c r="A921" s="27" t="n"/>
      <c r="B921" s="506" t="n"/>
      <c r="C921" s="141" t="n"/>
      <c r="D921" s="141" t="n"/>
      <c r="E921" s="141" t="n"/>
      <c r="F921" s="141" t="n"/>
      <c r="G921" s="143" t="n"/>
      <c r="H921" s="27" t="n"/>
    </row>
    <row r="922" ht="17.25" customHeight="1" s="322">
      <c r="A922" s="27" t="n"/>
      <c r="B922" s="506" t="n"/>
      <c r="C922" s="141" t="n"/>
      <c r="D922" s="141" t="n"/>
      <c r="E922" s="141" t="n"/>
      <c r="F922" s="141" t="n"/>
      <c r="G922" s="143" t="n"/>
      <c r="H922" s="27" t="n"/>
    </row>
    <row r="923" ht="17.25" customHeight="1" s="322">
      <c r="A923" s="27" t="n"/>
      <c r="B923" s="506" t="n"/>
      <c r="C923" s="141" t="n"/>
      <c r="D923" s="141" t="n"/>
      <c r="E923" s="141" t="n"/>
      <c r="F923" s="141" t="n"/>
      <c r="G923" s="143" t="n"/>
      <c r="H923" s="27" t="n"/>
    </row>
    <row r="924" ht="17.25" customHeight="1" s="322">
      <c r="A924" s="27" t="n"/>
      <c r="B924" s="506" t="n"/>
      <c r="C924" s="141" t="n"/>
      <c r="D924" s="141" t="n"/>
      <c r="E924" s="141" t="n"/>
      <c r="F924" s="141" t="n"/>
      <c r="G924" s="143" t="n"/>
      <c r="H924" s="27" t="n"/>
    </row>
    <row r="925" ht="17.25" customHeight="1" s="322">
      <c r="A925" s="27" t="n"/>
      <c r="B925" s="506" t="n"/>
      <c r="C925" s="141" t="n"/>
      <c r="D925" s="141" t="n"/>
      <c r="E925" s="141" t="n"/>
      <c r="F925" s="141" t="n"/>
      <c r="G925" s="143" t="n"/>
      <c r="H925" s="27" t="n"/>
    </row>
    <row r="926" ht="17.25" customHeight="1" s="322">
      <c r="A926" s="27" t="n"/>
      <c r="B926" s="506" t="n"/>
      <c r="C926" s="141" t="n"/>
      <c r="D926" s="141" t="n"/>
      <c r="E926" s="141" t="n"/>
      <c r="F926" s="141" t="n"/>
      <c r="G926" s="143" t="n"/>
      <c r="H926" s="27" t="n"/>
    </row>
    <row r="927" ht="17.25" customHeight="1" s="322">
      <c r="A927" s="27" t="n"/>
      <c r="B927" s="506" t="n"/>
      <c r="C927" s="141" t="n"/>
      <c r="D927" s="141" t="n"/>
      <c r="E927" s="141" t="n"/>
      <c r="F927" s="141" t="n"/>
      <c r="G927" s="143" t="n"/>
      <c r="H927" s="27" t="n"/>
    </row>
    <row r="928" ht="17.25" customHeight="1" s="322">
      <c r="A928" s="27" t="n"/>
      <c r="B928" s="506" t="n"/>
      <c r="C928" s="141" t="n"/>
      <c r="D928" s="141" t="n"/>
      <c r="E928" s="141" t="n"/>
      <c r="F928" s="141" t="n"/>
      <c r="G928" s="143" t="n"/>
      <c r="H928" s="27" t="n"/>
    </row>
    <row r="929" ht="17.25" customHeight="1" s="322">
      <c r="A929" s="27" t="n"/>
      <c r="B929" s="506" t="n"/>
      <c r="C929" s="141" t="n"/>
      <c r="D929" s="141" t="n"/>
      <c r="E929" s="141" t="n"/>
      <c r="F929" s="141" t="n"/>
      <c r="G929" s="143" t="n"/>
      <c r="H929" s="27" t="n"/>
    </row>
    <row r="930" ht="17.25" customHeight="1" s="322">
      <c r="A930" s="27" t="n"/>
      <c r="B930" s="506" t="n"/>
      <c r="C930" s="141" t="n"/>
      <c r="D930" s="141" t="n"/>
      <c r="E930" s="141" t="n"/>
      <c r="F930" s="141" t="n"/>
      <c r="G930" s="143" t="n"/>
      <c r="H930" s="27" t="n"/>
    </row>
    <row r="931" ht="17.25" customHeight="1" s="322">
      <c r="A931" s="27" t="n"/>
      <c r="B931" s="506" t="n"/>
      <c r="C931" s="141" t="n"/>
      <c r="D931" s="141" t="n"/>
      <c r="E931" s="141" t="n"/>
      <c r="F931" s="141" t="n"/>
      <c r="G931" s="143" t="n"/>
      <c r="H931" s="27" t="n"/>
    </row>
    <row r="932" ht="17.25" customHeight="1" s="322">
      <c r="A932" s="27" t="n"/>
      <c r="B932" s="506" t="n"/>
      <c r="C932" s="141" t="n"/>
      <c r="D932" s="141" t="n"/>
      <c r="E932" s="141" t="n"/>
      <c r="F932" s="141" t="n"/>
      <c r="G932" s="143" t="n"/>
      <c r="H932" s="27" t="n"/>
    </row>
    <row r="933" ht="17.25" customHeight="1" s="322">
      <c r="A933" s="27" t="n"/>
      <c r="B933" s="506" t="n"/>
      <c r="C933" s="141" t="n"/>
      <c r="D933" s="141" t="n"/>
      <c r="E933" s="141" t="n"/>
      <c r="F933" s="141" t="n"/>
      <c r="G933" s="143" t="n"/>
      <c r="H933" s="27" t="n"/>
    </row>
    <row r="934" ht="17.25" customHeight="1" s="322">
      <c r="A934" s="27" t="n"/>
      <c r="B934" s="506" t="n"/>
      <c r="C934" s="141" t="n"/>
      <c r="D934" s="141" t="n"/>
      <c r="E934" s="141" t="n"/>
      <c r="F934" s="141" t="n"/>
      <c r="G934" s="143" t="n"/>
      <c r="H934" s="27" t="n"/>
    </row>
    <row r="935" ht="17.25" customHeight="1" s="322">
      <c r="A935" s="27" t="n"/>
      <c r="B935" s="506" t="n"/>
      <c r="C935" s="141" t="n"/>
      <c r="D935" s="141" t="n"/>
      <c r="E935" s="141" t="n"/>
      <c r="F935" s="141" t="n"/>
      <c r="G935" s="143" t="n"/>
      <c r="H935" s="27" t="n"/>
    </row>
    <row r="936" ht="17.25" customHeight="1" s="322">
      <c r="A936" s="27" t="n"/>
      <c r="B936" s="506" t="n"/>
      <c r="C936" s="141" t="n"/>
      <c r="D936" s="141" t="n"/>
      <c r="E936" s="141" t="n"/>
      <c r="F936" s="141" t="n"/>
      <c r="G936" s="143" t="n"/>
      <c r="H936" s="27" t="n"/>
    </row>
    <row r="937" ht="17.25" customHeight="1" s="322">
      <c r="A937" s="27" t="n"/>
      <c r="B937" s="506" t="n"/>
      <c r="C937" s="141" t="n"/>
      <c r="D937" s="141" t="n"/>
      <c r="E937" s="141" t="n"/>
      <c r="F937" s="141" t="n"/>
      <c r="G937" s="143" t="n"/>
      <c r="H937" s="27" t="n"/>
    </row>
    <row r="938" ht="17.25" customHeight="1" s="322">
      <c r="A938" s="27" t="n"/>
      <c r="B938" s="506" t="n"/>
      <c r="C938" s="141" t="n"/>
      <c r="D938" s="141" t="n"/>
      <c r="E938" s="141" t="n"/>
      <c r="F938" s="141" t="n"/>
      <c r="G938" s="143" t="n"/>
      <c r="H938" s="27" t="n"/>
    </row>
    <row r="939" ht="17.25" customHeight="1" s="322">
      <c r="A939" s="27" t="n"/>
      <c r="B939" s="506" t="n"/>
      <c r="C939" s="141" t="n"/>
      <c r="D939" s="141" t="n"/>
      <c r="E939" s="141" t="n"/>
      <c r="F939" s="141" t="n"/>
      <c r="G939" s="143" t="n"/>
      <c r="H939" s="27" t="n"/>
    </row>
    <row r="940" ht="17.25" customHeight="1" s="322">
      <c r="A940" s="27" t="n"/>
      <c r="B940" s="506" t="n"/>
      <c r="C940" s="141" t="n"/>
      <c r="D940" s="141" t="n"/>
      <c r="E940" s="141" t="n"/>
      <c r="F940" s="141" t="n"/>
      <c r="G940" s="143" t="n"/>
      <c r="H940" s="27" t="n"/>
    </row>
    <row r="941" ht="17.25" customHeight="1" s="322">
      <c r="A941" s="27" t="n"/>
      <c r="B941" s="506" t="n"/>
      <c r="C941" s="141" t="n"/>
      <c r="D941" s="141" t="n"/>
      <c r="E941" s="141" t="n"/>
      <c r="F941" s="141" t="n"/>
      <c r="G941" s="143" t="n"/>
      <c r="H941" s="27" t="n"/>
    </row>
    <row r="942" ht="17.25" customHeight="1" s="322">
      <c r="A942" s="27" t="n"/>
      <c r="B942" s="506" t="n"/>
      <c r="C942" s="141" t="n"/>
      <c r="D942" s="141" t="n"/>
      <c r="E942" s="141" t="n"/>
      <c r="F942" s="141" t="n"/>
      <c r="G942" s="143" t="n"/>
      <c r="H942" s="27" t="n"/>
    </row>
    <row r="943" ht="17.25" customHeight="1" s="322">
      <c r="A943" s="27" t="n"/>
      <c r="B943" s="506" t="n"/>
      <c r="C943" s="141" t="n"/>
      <c r="D943" s="141" t="n"/>
      <c r="E943" s="141" t="n"/>
      <c r="F943" s="141" t="n"/>
      <c r="G943" s="143" t="n"/>
      <c r="H943" s="27" t="n"/>
    </row>
    <row r="944" ht="17.25" customHeight="1" s="322">
      <c r="A944" s="27" t="n"/>
      <c r="B944" s="506" t="n"/>
      <c r="C944" s="141" t="n"/>
      <c r="D944" s="141" t="n"/>
      <c r="E944" s="141" t="n"/>
      <c r="F944" s="141" t="n"/>
      <c r="G944" s="143" t="n"/>
      <c r="H944" s="27" t="n"/>
    </row>
    <row r="945" ht="17.25" customHeight="1" s="322">
      <c r="A945" s="27" t="n"/>
      <c r="B945" s="506" t="n"/>
      <c r="C945" s="141" t="n"/>
      <c r="D945" s="141" t="n"/>
      <c r="E945" s="141" t="n"/>
      <c r="F945" s="141" t="n"/>
      <c r="G945" s="143" t="n"/>
      <c r="H945" s="27" t="n"/>
    </row>
    <row r="946" ht="17.25" customHeight="1" s="322">
      <c r="A946" s="27" t="n"/>
      <c r="B946" s="506" t="n"/>
      <c r="C946" s="141" t="n"/>
      <c r="D946" s="141" t="n"/>
      <c r="E946" s="141" t="n"/>
      <c r="F946" s="141" t="n"/>
      <c r="G946" s="143" t="n"/>
      <c r="H946" s="27" t="n"/>
    </row>
    <row r="947" ht="17.25" customHeight="1" s="322">
      <c r="A947" s="27" t="n"/>
      <c r="B947" s="506" t="n"/>
      <c r="C947" s="141" t="n"/>
      <c r="D947" s="141" t="n"/>
      <c r="E947" s="141" t="n"/>
      <c r="F947" s="141" t="n"/>
      <c r="G947" s="143" t="n"/>
      <c r="H947" s="27" t="n"/>
    </row>
    <row r="948" ht="17.25" customHeight="1" s="322">
      <c r="A948" s="27" t="n"/>
      <c r="B948" s="506" t="n"/>
      <c r="C948" s="141" t="n"/>
      <c r="D948" s="141" t="n"/>
      <c r="E948" s="141" t="n"/>
      <c r="F948" s="141" t="n"/>
      <c r="G948" s="143" t="n"/>
      <c r="H948" s="27" t="n"/>
    </row>
    <row r="949" ht="17.25" customHeight="1" s="322">
      <c r="A949" s="27" t="n"/>
      <c r="B949" s="506" t="n"/>
      <c r="C949" s="141" t="n"/>
      <c r="D949" s="141" t="n"/>
      <c r="E949" s="141" t="n"/>
      <c r="F949" s="141" t="n"/>
      <c r="G949" s="143" t="n"/>
      <c r="H949" s="27" t="n"/>
    </row>
    <row r="950" ht="17.25" customHeight="1" s="322">
      <c r="A950" s="27" t="n"/>
      <c r="B950" s="506" t="n"/>
      <c r="C950" s="141" t="n"/>
      <c r="D950" s="141" t="n"/>
      <c r="E950" s="141" t="n"/>
      <c r="F950" s="141" t="n"/>
      <c r="G950" s="143" t="n"/>
      <c r="H950" s="27" t="n"/>
    </row>
    <row r="951" ht="17.25" customHeight="1" s="322">
      <c r="A951" s="27" t="n"/>
      <c r="B951" s="506" t="n"/>
      <c r="C951" s="141" t="n"/>
      <c r="D951" s="141" t="n"/>
      <c r="E951" s="141" t="n"/>
      <c r="F951" s="141" t="n"/>
      <c r="G951" s="143" t="n"/>
      <c r="H951" s="27" t="n"/>
    </row>
    <row r="952" ht="17.25" customHeight="1" s="322">
      <c r="A952" s="27" t="n"/>
      <c r="B952" s="506" t="n"/>
      <c r="C952" s="141" t="n"/>
      <c r="D952" s="141" t="n"/>
      <c r="E952" s="141" t="n"/>
      <c r="F952" s="141" t="n"/>
      <c r="G952" s="143" t="n"/>
      <c r="H952" s="27" t="n"/>
    </row>
    <row r="953" ht="17.25" customHeight="1" s="322">
      <c r="A953" s="27" t="n"/>
      <c r="B953" s="506" t="n"/>
      <c r="C953" s="141" t="n"/>
      <c r="D953" s="141" t="n"/>
      <c r="E953" s="141" t="n"/>
      <c r="F953" s="141" t="n"/>
      <c r="G953" s="143" t="n"/>
      <c r="H953" s="27" t="n"/>
    </row>
    <row r="954" ht="17.25" customHeight="1" s="322">
      <c r="A954" s="27" t="n"/>
      <c r="B954" s="506" t="n"/>
      <c r="C954" s="141" t="n"/>
      <c r="D954" s="141" t="n"/>
      <c r="E954" s="141" t="n"/>
      <c r="F954" s="141" t="n"/>
      <c r="G954" s="143" t="n"/>
      <c r="H954" s="27" t="n"/>
    </row>
    <row r="955" ht="17.25" customHeight="1" s="322">
      <c r="A955" s="27" t="n"/>
      <c r="B955" s="506" t="n"/>
      <c r="C955" s="141" t="n"/>
      <c r="D955" s="141" t="n"/>
      <c r="E955" s="141" t="n"/>
      <c r="F955" s="141" t="n"/>
      <c r="G955" s="143" t="n"/>
      <c r="H955" s="27" t="n"/>
    </row>
    <row r="956" ht="17.25" customHeight="1" s="322">
      <c r="A956" s="27" t="n"/>
      <c r="B956" s="506" t="n"/>
      <c r="C956" s="141" t="n"/>
      <c r="D956" s="141" t="n"/>
      <c r="E956" s="141" t="n"/>
      <c r="F956" s="141" t="n"/>
      <c r="G956" s="143" t="n"/>
      <c r="H956" s="27" t="n"/>
    </row>
    <row r="957" ht="17.25" customHeight="1" s="322">
      <c r="A957" s="27" t="n"/>
      <c r="B957" s="506" t="n"/>
      <c r="C957" s="141" t="n"/>
      <c r="D957" s="141" t="n"/>
      <c r="E957" s="141" t="n"/>
      <c r="F957" s="141" t="n"/>
      <c r="G957" s="143" t="n"/>
      <c r="H957" s="27" t="n"/>
    </row>
    <row r="958" ht="17.25" customHeight="1" s="322">
      <c r="A958" s="27" t="n"/>
      <c r="B958" s="506" t="n"/>
      <c r="C958" s="141" t="n"/>
      <c r="D958" s="141" t="n"/>
      <c r="E958" s="141" t="n"/>
      <c r="F958" s="141" t="n"/>
      <c r="G958" s="143" t="n"/>
      <c r="H958" s="27" t="n"/>
    </row>
    <row r="959" ht="17.25" customHeight="1" s="322">
      <c r="A959" s="27" t="n"/>
      <c r="B959" s="506" t="n"/>
      <c r="C959" s="141" t="n"/>
      <c r="D959" s="141" t="n"/>
      <c r="E959" s="141" t="n"/>
      <c r="F959" s="141" t="n"/>
      <c r="G959" s="143" t="n"/>
      <c r="H959" s="27" t="n"/>
    </row>
    <row r="960" ht="17.25" customHeight="1" s="322">
      <c r="A960" s="27" t="n"/>
      <c r="B960" s="506" t="n"/>
      <c r="C960" s="141" t="n"/>
      <c r="D960" s="141" t="n"/>
      <c r="E960" s="141" t="n"/>
      <c r="F960" s="141" t="n"/>
      <c r="G960" s="143" t="n"/>
      <c r="H960" s="27" t="n"/>
    </row>
    <row r="961" ht="17.25" customHeight="1" s="322">
      <c r="A961" s="27" t="n"/>
      <c r="B961" s="506" t="n"/>
      <c r="C961" s="141" t="n"/>
      <c r="D961" s="141" t="n"/>
      <c r="E961" s="141" t="n"/>
      <c r="F961" s="141" t="n"/>
      <c r="G961" s="143" t="n"/>
      <c r="H961" s="27" t="n"/>
    </row>
    <row r="962" ht="17.25" customHeight="1" s="322">
      <c r="A962" s="27" t="n"/>
      <c r="B962" s="506" t="n"/>
      <c r="C962" s="141" t="n"/>
      <c r="D962" s="141" t="n"/>
      <c r="E962" s="141" t="n"/>
      <c r="F962" s="141" t="n"/>
      <c r="G962" s="143" t="n"/>
      <c r="H962" s="27" t="n"/>
    </row>
    <row r="963" ht="17.25" customHeight="1" s="322">
      <c r="A963" s="27" t="n"/>
      <c r="B963" s="506" t="n"/>
      <c r="C963" s="141" t="n"/>
      <c r="D963" s="141" t="n"/>
      <c r="E963" s="141" t="n"/>
      <c r="F963" s="141" t="n"/>
      <c r="G963" s="143" t="n"/>
      <c r="H963" s="27" t="n"/>
    </row>
    <row r="964" ht="17.25" customHeight="1" s="322">
      <c r="A964" s="27" t="n"/>
      <c r="B964" s="506" t="n"/>
      <c r="C964" s="141" t="n"/>
      <c r="D964" s="141" t="n"/>
      <c r="E964" s="141" t="n"/>
      <c r="F964" s="141" t="n"/>
      <c r="G964" s="143" t="n"/>
      <c r="H964" s="27" t="n"/>
    </row>
    <row r="965" ht="17.25" customHeight="1" s="322">
      <c r="A965" s="27" t="n"/>
      <c r="B965" s="506" t="n"/>
      <c r="C965" s="141" t="n"/>
      <c r="D965" s="141" t="n"/>
      <c r="E965" s="141" t="n"/>
      <c r="F965" s="141" t="n"/>
      <c r="G965" s="143" t="n"/>
      <c r="H965" s="27" t="n"/>
    </row>
    <row r="966" ht="17.25" customHeight="1" s="322">
      <c r="A966" s="27" t="n"/>
      <c r="B966" s="506" t="n"/>
      <c r="C966" s="141" t="n"/>
      <c r="D966" s="141" t="n"/>
      <c r="E966" s="141" t="n"/>
      <c r="F966" s="141" t="n"/>
      <c r="G966" s="143" t="n"/>
      <c r="H966" s="27" t="n"/>
    </row>
    <row r="967" ht="17.25" customHeight="1" s="322">
      <c r="A967" s="27" t="n"/>
      <c r="B967" s="506" t="n"/>
      <c r="C967" s="141" t="n"/>
      <c r="D967" s="141" t="n"/>
      <c r="E967" s="141" t="n"/>
      <c r="F967" s="141" t="n"/>
      <c r="G967" s="143" t="n"/>
      <c r="H967" s="27" t="n"/>
    </row>
    <row r="968" ht="17.25" customHeight="1" s="322">
      <c r="A968" s="27" t="n"/>
      <c r="B968" s="506" t="n"/>
      <c r="C968" s="141" t="n"/>
      <c r="D968" s="141" t="n"/>
      <c r="E968" s="141" t="n"/>
      <c r="F968" s="141" t="n"/>
      <c r="G968" s="143" t="n"/>
      <c r="H968" s="27" t="n"/>
    </row>
    <row r="969" ht="17.25" customHeight="1" s="322">
      <c r="A969" s="27" t="n"/>
      <c r="B969" s="506" t="n"/>
      <c r="C969" s="141" t="n"/>
      <c r="D969" s="141" t="n"/>
      <c r="E969" s="141" t="n"/>
      <c r="F969" s="141" t="n"/>
      <c r="G969" s="143" t="n"/>
      <c r="H969" s="27" t="n"/>
    </row>
    <row r="970" ht="17.25" customHeight="1" s="322">
      <c r="A970" s="27" t="n"/>
      <c r="B970" s="506" t="n"/>
      <c r="C970" s="141" t="n"/>
      <c r="D970" s="141" t="n"/>
      <c r="E970" s="141" t="n"/>
      <c r="F970" s="141" t="n"/>
      <c r="G970" s="143" t="n"/>
      <c r="H970" s="27" t="n"/>
    </row>
    <row r="971" ht="17.25" customHeight="1" s="322">
      <c r="A971" s="27" t="n"/>
      <c r="B971" s="506" t="n"/>
      <c r="C971" s="141" t="n"/>
      <c r="D971" s="141" t="n"/>
      <c r="E971" s="141" t="n"/>
      <c r="F971" s="141" t="n"/>
      <c r="G971" s="143" t="n"/>
      <c r="H971" s="27" t="n"/>
    </row>
    <row r="972" ht="17.25" customHeight="1" s="322">
      <c r="A972" s="27" t="n"/>
      <c r="B972" s="506" t="n"/>
      <c r="C972" s="141" t="n"/>
      <c r="D972" s="141" t="n"/>
      <c r="E972" s="141" t="n"/>
      <c r="F972" s="141" t="n"/>
      <c r="G972" s="143" t="n"/>
      <c r="H972" s="27" t="n"/>
    </row>
    <row r="973" ht="17.25" customHeight="1" s="322">
      <c r="A973" s="27" t="n"/>
      <c r="B973" s="506" t="n"/>
      <c r="C973" s="141" t="n"/>
      <c r="D973" s="141" t="n"/>
      <c r="E973" s="141" t="n"/>
      <c r="F973" s="141" t="n"/>
      <c r="G973" s="143" t="n"/>
      <c r="H973" s="27" t="n"/>
    </row>
    <row r="974" ht="17.25" customHeight="1" s="322">
      <c r="A974" s="27" t="n"/>
      <c r="B974" s="506" t="n"/>
      <c r="C974" s="141" t="n"/>
      <c r="D974" s="141" t="n"/>
      <c r="E974" s="141" t="n"/>
      <c r="F974" s="141" t="n"/>
      <c r="G974" s="143" t="n"/>
      <c r="H974" s="27" t="n"/>
    </row>
    <row r="975" ht="17.25" customHeight="1" s="322">
      <c r="A975" s="27" t="n"/>
      <c r="B975" s="506" t="n"/>
      <c r="C975" s="141" t="n"/>
      <c r="D975" s="141" t="n"/>
      <c r="E975" s="141" t="n"/>
      <c r="F975" s="141" t="n"/>
      <c r="G975" s="143" t="n"/>
      <c r="H975" s="27" t="n"/>
    </row>
    <row r="976" ht="17.25" customHeight="1" s="322">
      <c r="A976" s="27" t="n"/>
      <c r="B976" s="506" t="n"/>
      <c r="C976" s="141" t="n"/>
      <c r="D976" s="141" t="n"/>
      <c r="E976" s="141" t="n"/>
      <c r="F976" s="141" t="n"/>
      <c r="G976" s="143" t="n"/>
      <c r="H976" s="27" t="n"/>
    </row>
    <row r="977" ht="17.25" customHeight="1" s="322">
      <c r="A977" s="27" t="n"/>
      <c r="B977" s="506" t="n"/>
      <c r="C977" s="141" t="n"/>
      <c r="D977" s="141" t="n"/>
      <c r="E977" s="141" t="n"/>
      <c r="F977" s="141" t="n"/>
      <c r="G977" s="143" t="n"/>
      <c r="H977" s="27" t="n"/>
    </row>
    <row r="978" ht="17.25" customHeight="1" s="322">
      <c r="A978" s="27" t="n"/>
      <c r="B978" s="506" t="n"/>
      <c r="C978" s="141" t="n"/>
      <c r="D978" s="141" t="n"/>
      <c r="E978" s="141" t="n"/>
      <c r="F978" s="141" t="n"/>
      <c r="G978" s="143" t="n"/>
      <c r="H978" s="27" t="n"/>
    </row>
    <row r="979" ht="17.25" customHeight="1" s="322">
      <c r="A979" s="27" t="n"/>
      <c r="B979" s="506" t="n"/>
      <c r="C979" s="141" t="n"/>
      <c r="D979" s="141" t="n"/>
      <c r="E979" s="141" t="n"/>
      <c r="F979" s="141" t="n"/>
      <c r="G979" s="143" t="n"/>
      <c r="H979" s="27" t="n"/>
    </row>
    <row r="980" ht="17.25" customHeight="1" s="322">
      <c r="A980" s="27" t="n"/>
      <c r="B980" s="506" t="n"/>
      <c r="C980" s="141" t="n"/>
      <c r="D980" s="141" t="n"/>
      <c r="E980" s="141" t="n"/>
      <c r="F980" s="141" t="n"/>
      <c r="G980" s="143" t="n"/>
      <c r="H980" s="27" t="n"/>
    </row>
    <row r="981" ht="17.25" customHeight="1" s="322">
      <c r="A981" s="27" t="n"/>
      <c r="B981" s="506" t="n"/>
      <c r="C981" s="141" t="n"/>
      <c r="D981" s="141" t="n"/>
      <c r="E981" s="141" t="n"/>
      <c r="F981" s="141" t="n"/>
      <c r="G981" s="143" t="n"/>
      <c r="H981" s="27" t="n"/>
    </row>
    <row r="982" ht="17.25" customHeight="1" s="322">
      <c r="A982" s="27" t="n"/>
      <c r="B982" s="506" t="n"/>
      <c r="C982" s="141" t="n"/>
      <c r="D982" s="141" t="n"/>
      <c r="E982" s="141" t="n"/>
      <c r="F982" s="141" t="n"/>
      <c r="G982" s="143" t="n"/>
      <c r="H982" s="27" t="n"/>
    </row>
    <row r="983" ht="17.25" customHeight="1" s="322">
      <c r="A983" s="27" t="n"/>
      <c r="B983" s="506" t="n"/>
      <c r="C983" s="141" t="n"/>
      <c r="D983" s="141" t="n"/>
      <c r="E983" s="141" t="n"/>
      <c r="F983" s="141" t="n"/>
      <c r="G983" s="143" t="n"/>
      <c r="H983" s="27" t="n"/>
    </row>
    <row r="984" ht="17.25" customHeight="1" s="322">
      <c r="A984" s="27" t="n"/>
      <c r="B984" s="506" t="n"/>
      <c r="C984" s="141" t="n"/>
      <c r="D984" s="141" t="n"/>
      <c r="E984" s="141" t="n"/>
      <c r="F984" s="141" t="n"/>
      <c r="G984" s="143" t="n"/>
      <c r="H984" s="27" t="n"/>
    </row>
    <row r="985" ht="17.25" customHeight="1" s="322">
      <c r="A985" s="27" t="n"/>
      <c r="B985" s="506" t="n"/>
      <c r="C985" s="141" t="n"/>
      <c r="D985" s="141" t="n"/>
      <c r="E985" s="141" t="n"/>
      <c r="F985" s="141" t="n"/>
      <c r="G985" s="143" t="n"/>
      <c r="H985" s="27" t="n"/>
    </row>
    <row r="986" ht="17.25" customHeight="1" s="322">
      <c r="A986" s="27" t="n"/>
      <c r="B986" s="506" t="n"/>
      <c r="C986" s="141" t="n"/>
      <c r="D986" s="141" t="n"/>
      <c r="E986" s="141" t="n"/>
      <c r="F986" s="141" t="n"/>
      <c r="G986" s="143" t="n"/>
      <c r="H986" s="27" t="n"/>
    </row>
    <row r="987" ht="17.25" customHeight="1" s="322">
      <c r="A987" s="27" t="n"/>
      <c r="B987" s="506" t="n"/>
      <c r="C987" s="141" t="n"/>
      <c r="D987" s="141" t="n"/>
      <c r="E987" s="141" t="n"/>
      <c r="F987" s="141" t="n"/>
      <c r="G987" s="143" t="n"/>
      <c r="H987" s="27" t="n"/>
    </row>
    <row r="988" ht="17.25" customHeight="1" s="322">
      <c r="A988" s="27" t="n"/>
      <c r="B988" s="506" t="n"/>
      <c r="C988" s="141" t="n"/>
      <c r="D988" s="141" t="n"/>
      <c r="E988" s="141" t="n"/>
      <c r="F988" s="141" t="n"/>
      <c r="G988" s="143" t="n"/>
      <c r="H988" s="27" t="n"/>
    </row>
    <row r="989" ht="17.25" customHeight="1" s="322">
      <c r="A989" s="27" t="n"/>
      <c r="B989" s="506" t="n"/>
      <c r="C989" s="141" t="n"/>
      <c r="D989" s="141" t="n"/>
      <c r="E989" s="141" t="n"/>
      <c r="F989" s="141" t="n"/>
      <c r="G989" s="143" t="n"/>
      <c r="H989" s="27" t="n"/>
    </row>
    <row r="990" ht="17.25" customHeight="1" s="322">
      <c r="A990" s="27" t="n"/>
      <c r="B990" s="506" t="n"/>
      <c r="C990" s="141" t="n"/>
      <c r="D990" s="141" t="n"/>
      <c r="E990" s="141" t="n"/>
      <c r="F990" s="141" t="n"/>
      <c r="G990" s="143" t="n"/>
      <c r="H990" s="27" t="n"/>
    </row>
    <row r="991" ht="17.25" customHeight="1" s="322">
      <c r="A991" s="27" t="n"/>
      <c r="B991" s="506" t="n"/>
      <c r="C991" s="141" t="n"/>
      <c r="D991" s="141" t="n"/>
      <c r="E991" s="141" t="n"/>
      <c r="F991" s="141" t="n"/>
      <c r="G991" s="143" t="n"/>
      <c r="H991" s="27" t="n"/>
    </row>
    <row r="992" ht="17.25" customHeight="1" s="322">
      <c r="A992" s="27" t="n"/>
      <c r="B992" s="506" t="n"/>
      <c r="C992" s="141" t="n"/>
      <c r="D992" s="141" t="n"/>
      <c r="E992" s="141" t="n"/>
      <c r="F992" s="141" t="n"/>
      <c r="G992" s="143" t="n"/>
      <c r="H992" s="27" t="n"/>
    </row>
    <row r="993" ht="17.25" customHeight="1" s="322">
      <c r="A993" s="27" t="n"/>
      <c r="B993" s="506" t="n"/>
      <c r="C993" s="141" t="n"/>
      <c r="D993" s="141" t="n"/>
      <c r="E993" s="141" t="n"/>
      <c r="F993" s="141" t="n"/>
      <c r="G993" s="143" t="n"/>
      <c r="H993" s="27" t="n"/>
    </row>
    <row r="994" ht="17.25" customHeight="1" s="322">
      <c r="A994" s="27" t="n"/>
      <c r="B994" s="506" t="n"/>
      <c r="C994" s="141" t="n"/>
      <c r="D994" s="141" t="n"/>
      <c r="E994" s="141" t="n"/>
      <c r="F994" s="141" t="n"/>
      <c r="G994" s="143" t="n"/>
      <c r="H994" s="27" t="n"/>
    </row>
    <row r="995" ht="17.25" customHeight="1" s="322">
      <c r="A995" s="27" t="n"/>
      <c r="B995" s="506" t="n"/>
      <c r="C995" s="141" t="n"/>
      <c r="D995" s="141" t="n"/>
      <c r="E995" s="141" t="n"/>
      <c r="F995" s="141" t="n"/>
      <c r="G995" s="143" t="n"/>
      <c r="H995" s="27" t="n"/>
    </row>
    <row r="996" ht="17.25" customHeight="1" s="322">
      <c r="A996" s="27" t="n"/>
      <c r="B996" s="506" t="n"/>
      <c r="C996" s="141" t="n"/>
      <c r="D996" s="141" t="n"/>
      <c r="E996" s="141" t="n"/>
      <c r="F996" s="141" t="n"/>
      <c r="G996" s="143" t="n"/>
      <c r="H996" s="27" t="n"/>
    </row>
    <row r="997" ht="17.25" customHeight="1" s="322">
      <c r="A997" s="27" t="n"/>
      <c r="B997" s="506" t="n"/>
      <c r="C997" s="141" t="n"/>
      <c r="D997" s="141" t="n"/>
      <c r="E997" s="141" t="n"/>
      <c r="F997" s="141" t="n"/>
      <c r="G997" s="143" t="n"/>
      <c r="H997" s="27" t="n"/>
    </row>
    <row r="998" ht="17.25" customHeight="1" s="322">
      <c r="A998" s="27" t="n"/>
      <c r="B998" s="506" t="n"/>
      <c r="C998" s="141" t="n"/>
      <c r="D998" s="141" t="n"/>
      <c r="E998" s="141" t="n"/>
      <c r="F998" s="141" t="n"/>
      <c r="G998" s="143" t="n"/>
      <c r="H998" s="27" t="n"/>
    </row>
    <row r="999" ht="17.25" customHeight="1" s="322">
      <c r="A999" s="27" t="n"/>
      <c r="B999" s="506" t="n"/>
      <c r="C999" s="141" t="n"/>
      <c r="D999" s="141" t="n"/>
      <c r="E999" s="141" t="n"/>
      <c r="F999" s="141" t="n"/>
      <c r="G999" s="143" t="n"/>
      <c r="H999" s="27" t="n"/>
    </row>
    <row r="1000" ht="17.25" customHeight="1" s="322">
      <c r="A1000" s="27" t="n"/>
      <c r="B1000" s="506" t="n"/>
      <c r="C1000" s="141" t="n"/>
      <c r="D1000" s="141" t="n"/>
      <c r="E1000" s="141" t="n"/>
      <c r="F1000" s="141" t="n"/>
      <c r="G1000" s="143" t="n"/>
      <c r="H1000" s="27" t="n"/>
    </row>
  </sheetData>
  <mergeCells count="3">
    <mergeCell ref="B1:F2"/>
    <mergeCell ref="B7:G7"/>
    <mergeCell ref="B10:C10"/>
  </mergeCells>
  <conditionalFormatting sqref="D10:E10">
    <cfRule type="cellIs" priority="5" operator="lessThan" dxfId="5">
      <formula>0</formula>
    </cfRule>
    <cfRule type="cellIs" priority="6" operator="greaterThan" dxfId="4">
      <formula>0</formula>
    </cfRule>
  </conditionalFormatting>
  <conditionalFormatting sqref="F28:F1000">
    <cfRule type="expression" priority="1" dxfId="3">
      <formula>AND(F28=MAX(F$28:F$1000),F28&gt;0)</formula>
    </cfRule>
    <cfRule type="expression" priority="2" dxfId="2">
      <formula>AND(F28=MIN(F$28:F$1000),F28&gt;0)</formula>
    </cfRule>
  </conditionalFormatting>
  <conditionalFormatting sqref="F29:F1000">
    <cfRule type="expression" priority="3" dxfId="1">
      <formula>F29&gt;F27</formula>
    </cfRule>
    <cfRule type="expression" priority="4" dxfId="0">
      <formula>F29&lt;F27</formula>
    </cfRule>
  </conditionalFormatting>
  <conditionalFormatting sqref="G15">
    <cfRule type="colorScale" priority="7">
      <colorScale>
        <cfvo type="min"/>
        <cfvo type="max"/>
        <color rgb="FF57BB8A"/>
        <color rgb="FFFFFFFF"/>
      </colorScale>
    </cfRule>
  </conditionalFormatting>
  <dataValidations count="1">
    <dataValidation sqref="G15" showDropDown="0" showInputMessage="1" showErrorMessage="1" allowBlank="1" prompt="Click and enter a value from the list of items" type="list">
      <formula1>"1 Month,3 Months,6 Months,12 Months,36 Months"</formula1>
    </dataValidation>
  </dataValidations>
  <hyperlinks>
    <hyperlink xmlns:r="http://schemas.openxmlformats.org/officeDocument/2006/relationships" ref="B1" r:id="rId1"/>
    <hyperlink xmlns:r="http://schemas.openxmlformats.org/officeDocument/2006/relationships" ref="G2" r:id="rId2"/>
  </hyperlinks>
  <pageMargins left="0.7" right="0.7" top="0.75" bottom="0.75" header="0.3" footer="0.3"/>
  <drawing xmlns:r="http://schemas.openxmlformats.org/officeDocument/2006/relationships" r:id="rId3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H1000"/>
  <sheetViews>
    <sheetView showGridLines="0" workbookViewId="0">
      <selection activeCell="A1" sqref="A1"/>
    </sheetView>
  </sheetViews>
  <sheetFormatPr baseColWidth="8" defaultColWidth="12.5703125" defaultRowHeight="15.75" customHeight="1"/>
  <cols>
    <col width="5.42578125" customWidth="1" style="322" min="1" max="1"/>
    <col width="15.7109375" customWidth="1" style="322" min="2" max="2"/>
    <col width="5.42578125" customWidth="1" style="322" min="8" max="8"/>
  </cols>
  <sheetData>
    <row r="1" ht="22.5" customHeight="1" s="322">
      <c r="A1" s="69" t="n"/>
      <c r="B1" s="455" t="inlineStr">
        <is>
          <t>← 관심종목으로 돌아가기</t>
        </is>
      </c>
      <c r="G1" s="72" t="inlineStr">
        <is>
          <t>제공:</t>
        </is>
      </c>
      <c r="H1" s="69" t="n"/>
    </row>
    <row r="2" ht="22.5" customHeight="1" s="322">
      <c r="A2" s="69" t="n"/>
      <c r="G2" s="77" t="inlineStr">
        <is>
          <t>Google Finance</t>
        </is>
      </c>
      <c r="H2" s="69" t="n"/>
    </row>
    <row r="3" ht="11.25" customHeight="1" s="322">
      <c r="A3" s="1" t="n"/>
      <c r="B3" s="1" t="n"/>
      <c r="C3" s="1" t="n"/>
      <c r="D3" s="1" t="n"/>
      <c r="E3" s="1" t="n"/>
      <c r="F3" s="1" t="n"/>
      <c r="G3" s="1" t="n"/>
      <c r="H3" s="1" t="n"/>
    </row>
    <row r="4" ht="15.75" customHeight="1" s="322">
      <c r="A4" s="1" t="n"/>
      <c r="B4" s="80" t="inlineStr">
        <is>
          <t>tip</t>
        </is>
      </c>
      <c r="C4" s="81" t="inlineStr">
        <is>
          <t>&lt;&lt; 종목코드 입력</t>
        </is>
      </c>
      <c r="D4" s="1" t="n"/>
      <c r="E4" s="1" t="n"/>
      <c r="F4" s="1" t="n"/>
      <c r="G4" s="1" t="n"/>
      <c r="H4" s="1" t="n"/>
    </row>
    <row r="5" ht="15.75" customHeight="1" s="322">
      <c r="A5" s="1" t="n"/>
      <c r="B5" s="82" t="n"/>
      <c r="C5" s="81" t="inlineStr">
        <is>
          <t>&lt;&lt; 필요한 경우 거래소 입력(예: NASDAQ, NYSE)</t>
        </is>
      </c>
      <c r="D5" s="85" t="n"/>
      <c r="E5" s="1" t="n"/>
      <c r="F5" s="1" t="n"/>
      <c r="G5" s="1" t="n"/>
      <c r="H5" s="1" t="n"/>
    </row>
    <row r="6" ht="11.25" customHeight="1" s="322">
      <c r="A6" s="27" t="n"/>
      <c r="B6" s="27" t="n"/>
      <c r="C6" s="27" t="n"/>
      <c r="D6" s="27" t="n"/>
      <c r="E6" s="27" t="n"/>
      <c r="F6" s="27" t="n"/>
      <c r="G6" s="27" t="n"/>
      <c r="H6" s="27" t="n"/>
    </row>
    <row r="7" ht="20.25" customHeight="1" s="322">
      <c r="A7" s="12" t="n"/>
      <c r="B7" s="501">
        <f>IFERROR(__xludf.DUMMYFUNCTION("GOOGLEFINANCE(B18,""name"")"),"iShares TIPS Bond ETF")</f>
        <v/>
      </c>
      <c r="H7" s="12" t="n"/>
    </row>
    <row r="8" ht="11.25" customHeight="1" s="322">
      <c r="A8" s="12" t="n"/>
      <c r="B8" s="12" t="n"/>
      <c r="C8" s="12" t="n"/>
      <c r="D8" s="12" t="n"/>
      <c r="E8" s="12" t="n"/>
      <c r="F8" s="12" t="n"/>
      <c r="G8" s="12" t="n"/>
      <c r="H8" s="12" t="n"/>
    </row>
    <row r="9" ht="12" customHeight="1" s="322">
      <c r="A9" s="1" t="n"/>
      <c r="B9" s="90" t="inlineStr">
        <is>
          <t>현재가</t>
        </is>
      </c>
      <c r="C9" s="1" t="n"/>
      <c r="D9" s="90" t="inlineStr">
        <is>
          <t>전일대비</t>
        </is>
      </c>
      <c r="E9" s="90" t="inlineStr">
        <is>
          <t>등락률(%)</t>
        </is>
      </c>
      <c r="F9" s="1" t="n"/>
      <c r="G9" s="1" t="n"/>
      <c r="H9" s="1" t="n"/>
    </row>
    <row r="10" ht="31.5" customHeight="1" s="322">
      <c r="A10" s="12" t="n"/>
      <c r="B10" s="502">
        <f>IFERROR(__xludf.DUMMYFUNCTION("GOOGLEFINANCE(B18,""price"")"),107.77)</f>
        <v/>
      </c>
      <c r="D10" s="503">
        <f>IFERROR(__xludf.DUMMYFUNCTION("IFERROR(GOOGLEFINANCE(B18,""change""),""-"")"),0.11)</f>
        <v/>
      </c>
      <c r="E10" s="504">
        <f>IFERROR(__xludf.DUMMYFUNCTION("IFERROR(GOOGLEFINANCE(B18,""changepct"")/100,""-"")"),0.001)</f>
        <v/>
      </c>
      <c r="F10" s="12" t="n"/>
      <c r="G10" s="12" t="n"/>
      <c r="H10" s="12" t="n"/>
    </row>
    <row r="11" ht="11.25" customHeight="1" s="322">
      <c r="A11" s="12" t="n"/>
      <c r="B11" s="106" t="n"/>
      <c r="C11" s="106" t="n"/>
      <c r="D11" s="106" t="n"/>
      <c r="E11" s="106" t="n"/>
      <c r="F11" s="106" t="n"/>
      <c r="G11" s="106" t="n"/>
      <c r="H11" s="12" t="n"/>
    </row>
    <row r="12" ht="11.25" customHeight="1" s="322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 ht="12" customHeight="1" s="322">
      <c r="A13" s="1" t="n"/>
      <c r="B13" s="90" t="inlineStr">
        <is>
          <t>시가총액</t>
        </is>
      </c>
      <c r="C13" s="90" t="inlineStr">
        <is>
          <t>PER</t>
        </is>
      </c>
      <c r="D13" s="90" t="inlineStr">
        <is>
          <t>베타계수</t>
        </is>
      </c>
      <c r="E13" s="1" t="n"/>
      <c r="F13" s="1" t="n"/>
      <c r="G13" s="1" t="n"/>
      <c r="H13" s="1" t="n"/>
    </row>
    <row r="14">
      <c r="A14" s="113" t="n"/>
      <c r="B14" s="505">
        <f>IFERROR(__xludf.DUMMYFUNCTION("IFERROR(GOOGLEFINANCE(B18,""marketcap""),""-"")"),238051656)</f>
        <v/>
      </c>
      <c r="C14" s="115">
        <f>IFERROR(__xludf.DUMMYFUNCTION("IFERROR(GOOGLEFINANCE(B18,""pe""),""-"")"),"-")</f>
        <v/>
      </c>
      <c r="D14" s="115">
        <f>IFERROR(__xludf.DUMMYFUNCTION("IFERROR(GOOGLEFINANCE(B18,""beta""),""-"")"),"-")</f>
        <v/>
      </c>
      <c r="E14" s="113" t="n"/>
      <c r="F14" s="113" t="n"/>
      <c r="G14" s="113" t="n"/>
      <c r="H14" s="113" t="n"/>
    </row>
    <row r="15" ht="15.75" customHeight="1" s="322">
      <c r="A15" s="12" t="n"/>
      <c r="B15" s="12" t="n"/>
      <c r="C15" s="12" t="n"/>
      <c r="D15" s="12" t="n"/>
      <c r="E15" s="12" t="n"/>
      <c r="F15" s="12" t="n"/>
      <c r="G15" s="123" t="inlineStr">
        <is>
          <t>12 Months</t>
        </is>
      </c>
      <c r="H15" s="12" t="n"/>
    </row>
    <row r="16" ht="15.75" customHeight="1" s="322">
      <c r="A16" s="12" t="n"/>
      <c r="B16" s="12" t="n"/>
      <c r="C16" s="12" t="n"/>
      <c r="D16" s="12" t="n"/>
      <c r="E16" s="12" t="n"/>
      <c r="F16" s="12" t="n"/>
      <c r="G16" s="12" t="n"/>
      <c r="H16" s="12" t="n"/>
    </row>
    <row r="17" ht="15.75" customHeight="1" s="322">
      <c r="A17" s="12" t="n"/>
      <c r="B17" s="12" t="n"/>
      <c r="C17" s="12" t="n"/>
      <c r="D17" s="12" t="n"/>
      <c r="E17" s="12" t="n"/>
      <c r="F17" s="12" t="n"/>
      <c r="G17" s="12" t="n"/>
      <c r="H17" s="12" t="n"/>
    </row>
    <row r="18" ht="15.75" customHeight="1" s="322">
      <c r="A18" s="12" t="n"/>
      <c r="B18" s="127">
        <f>IF(ISBLANK(B5),"",B5&amp;":")&amp;B4</f>
        <v/>
      </c>
      <c r="C18" s="12" t="n"/>
      <c r="D18" s="12" t="n"/>
      <c r="E18" s="12" t="n"/>
      <c r="F18" s="12" t="n"/>
      <c r="G18" s="12" t="n"/>
      <c r="H18" s="12" t="n"/>
    </row>
    <row r="19" ht="15.75" customHeight="1" s="322">
      <c r="A19" s="12" t="n"/>
      <c r="B19" s="12" t="n"/>
      <c r="C19" s="12" t="n"/>
      <c r="D19" s="12" t="n"/>
      <c r="E19" s="12" t="n"/>
      <c r="F19" s="12" t="n"/>
      <c r="G19" s="12" t="n"/>
      <c r="H19" s="12" t="n"/>
    </row>
    <row r="20" ht="15.75" customHeight="1" s="322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1" ht="15.75" customHeight="1" s="322">
      <c r="A21" s="12" t="n"/>
      <c r="B21" s="12" t="n"/>
      <c r="C21" s="12" t="n"/>
      <c r="D21" s="12" t="n"/>
      <c r="E21" s="12" t="n"/>
      <c r="F21" s="12" t="n"/>
      <c r="G21" s="12" t="n"/>
      <c r="H21" s="12" t="n"/>
    </row>
    <row r="22" ht="15.75" customHeight="1" s="322">
      <c r="A22" s="12" t="n"/>
      <c r="B22" s="12" t="n"/>
      <c r="C22" s="12" t="n"/>
      <c r="D22" s="12" t="n"/>
      <c r="E22" s="12" t="n"/>
      <c r="F22" s="12" t="n"/>
      <c r="G22" s="12" t="n"/>
      <c r="H22" s="12" t="n"/>
    </row>
    <row r="23" ht="15.75" customHeight="1" s="322">
      <c r="A23" s="12" t="n"/>
      <c r="B23" s="12" t="n"/>
      <c r="C23" s="12" t="n"/>
      <c r="D23" s="12" t="n"/>
      <c r="E23" s="12" t="n"/>
      <c r="F23" s="12" t="n"/>
      <c r="G23" s="12" t="n"/>
      <c r="H23" s="12" t="n"/>
    </row>
    <row r="24" ht="15.75" customHeight="1" s="322">
      <c r="A24" s="12" t="n"/>
      <c r="B24" s="12" t="n"/>
      <c r="C24" s="12" t="n"/>
      <c r="D24" s="12" t="n"/>
      <c r="E24" s="12" t="n"/>
      <c r="F24" s="12" t="n"/>
      <c r="G24" s="12" t="n"/>
      <c r="H24" s="12" t="n"/>
    </row>
    <row r="25" ht="15.75" customHeight="1" s="322">
      <c r="A25" s="12" t="n"/>
      <c r="B25" s="12" t="n"/>
      <c r="C25" s="12" t="n"/>
      <c r="D25" s="12" t="n"/>
      <c r="E25" s="12" t="n"/>
      <c r="F25" s="12" t="n"/>
      <c r="G25" s="12" t="n"/>
      <c r="H25" s="12" t="n"/>
    </row>
    <row r="26" ht="15.75" customHeight="1" s="322">
      <c r="A26" s="12" t="n"/>
      <c r="B26" s="12" t="n"/>
      <c r="C26" s="12" t="n"/>
      <c r="D26" s="12" t="n"/>
      <c r="E26" s="12" t="n"/>
      <c r="F26" s="12" t="n"/>
      <c r="G26" s="12" t="n"/>
      <c r="H26" s="12" t="n"/>
    </row>
    <row r="27" ht="15.75" customHeight="1" s="322">
      <c r="A27" s="133" t="n"/>
      <c r="B27" s="136">
        <f>IFERROR(__xludf.DUMMYFUNCTION("GOOGLEFINANCE(B18, ""all"", EDATE(TODAY(), -LEFT(G15, FIND("" "", G15))), TODAY(), ""DAILY"")"),"Date")</f>
        <v/>
      </c>
      <c r="C27" s="137">
        <f>IFERROR(__xludf.DUMMYFUNCTION("""COMPUTED_VALUE"""),"Open")</f>
        <v/>
      </c>
      <c r="D27" s="137">
        <f>IFERROR(__xludf.DUMMYFUNCTION("""COMPUTED_VALUE"""),"High")</f>
        <v/>
      </c>
      <c r="E27" s="137">
        <f>IFERROR(__xludf.DUMMYFUNCTION("""COMPUTED_VALUE"""),"Low")</f>
        <v/>
      </c>
      <c r="F27" s="137">
        <f>IFERROR(__xludf.DUMMYFUNCTION("""COMPUTED_VALUE"""),"Close")</f>
        <v/>
      </c>
      <c r="G27" s="137">
        <f>IFERROR(__xludf.DUMMYFUNCTION("""COMPUTED_VALUE"""),"Volume")</f>
        <v/>
      </c>
      <c r="H27" s="133" t="n"/>
    </row>
    <row r="28" ht="17.25" customHeight="1" s="322">
      <c r="A28" s="27" t="n"/>
      <c r="B28" s="506">
        <f>IFERROR(__xludf.DUMMYFUNCTION("""COMPUTED_VALUE"""),45868.6666666666)</f>
        <v/>
      </c>
      <c r="C28" s="141">
        <f>IFERROR(__xludf.DUMMYFUNCTION("""COMPUTED_VALUE"""),110.05)</f>
        <v/>
      </c>
      <c r="D28" s="141">
        <f>IFERROR(__xludf.DUMMYFUNCTION("""COMPUTED_VALUE"""),110.24)</f>
        <v/>
      </c>
      <c r="E28" s="141">
        <f>IFERROR(__xludf.DUMMYFUNCTION("""COMPUTED_VALUE"""),109.81)</f>
        <v/>
      </c>
      <c r="F28" s="141">
        <f>IFERROR(__xludf.DUMMYFUNCTION("""COMPUTED_VALUE"""),109.85)</f>
        <v/>
      </c>
      <c r="G28" s="143">
        <f>IFERROR(__xludf.DUMMYFUNCTION("""COMPUTED_VALUE"""),3846779)</f>
        <v/>
      </c>
      <c r="H28" s="27" t="n"/>
    </row>
    <row r="29" ht="17.25" customHeight="1" s="322">
      <c r="A29" s="27" t="n"/>
      <c r="B29" s="506">
        <f>IFERROR(__xludf.DUMMYFUNCTION("""COMPUTED_VALUE"""),45869.6666666666)</f>
        <v/>
      </c>
      <c r="C29" s="141">
        <f>IFERROR(__xludf.DUMMYFUNCTION("""COMPUTED_VALUE"""),109.99)</f>
        <v/>
      </c>
      <c r="D29" s="141">
        <f>IFERROR(__xludf.DUMMYFUNCTION("""COMPUTED_VALUE"""),110.08)</f>
        <v/>
      </c>
      <c r="E29" s="141">
        <f>IFERROR(__xludf.DUMMYFUNCTION("""COMPUTED_VALUE"""),109.66)</f>
        <v/>
      </c>
      <c r="F29" s="141">
        <f>IFERROR(__xludf.DUMMYFUNCTION("""COMPUTED_VALUE"""),109.67)</f>
        <v/>
      </c>
      <c r="G29" s="143">
        <f>IFERROR(__xludf.DUMMYFUNCTION("""COMPUTED_VALUE"""),3608814)</f>
        <v/>
      </c>
      <c r="H29" s="27" t="n"/>
    </row>
    <row r="30" ht="17.25" customHeight="1" s="322">
      <c r="A30" s="27" t="n"/>
      <c r="B30" s="506">
        <f>IFERROR(__xludf.DUMMYFUNCTION("""COMPUTED_VALUE"""),45870.6666666666)</f>
        <v/>
      </c>
      <c r="C30" s="141">
        <f>IFERROR(__xludf.DUMMYFUNCTION("""COMPUTED_VALUE"""),110.02)</f>
        <v/>
      </c>
      <c r="D30" s="141">
        <f>IFERROR(__xludf.DUMMYFUNCTION("""COMPUTED_VALUE"""),110.2)</f>
        <v/>
      </c>
      <c r="E30" s="141">
        <f>IFERROR(__xludf.DUMMYFUNCTION("""COMPUTED_VALUE"""),109.8)</f>
        <v/>
      </c>
      <c r="F30" s="141">
        <f>IFERROR(__xludf.DUMMYFUNCTION("""COMPUTED_VALUE"""),110.17)</f>
        <v/>
      </c>
      <c r="G30" s="143">
        <f>IFERROR(__xludf.DUMMYFUNCTION("""COMPUTED_VALUE"""),3766791)</f>
        <v/>
      </c>
      <c r="H30" s="27" t="n"/>
    </row>
    <row r="31" ht="17.25" customHeight="1" s="322">
      <c r="A31" s="27" t="n"/>
      <c r="B31" s="506">
        <f>IFERROR(__xludf.DUMMYFUNCTION("""COMPUTED_VALUE"""),45873.6666666666)</f>
        <v/>
      </c>
      <c r="C31" s="141">
        <f>IFERROR(__xludf.DUMMYFUNCTION("""COMPUTED_VALUE"""),110.25)</f>
        <v/>
      </c>
      <c r="D31" s="141">
        <f>IFERROR(__xludf.DUMMYFUNCTION("""COMPUTED_VALUE"""),110.58)</f>
        <v/>
      </c>
      <c r="E31" s="141">
        <f>IFERROR(__xludf.DUMMYFUNCTION("""COMPUTED_VALUE"""),110.2)</f>
        <v/>
      </c>
      <c r="F31" s="141">
        <f>IFERROR(__xludf.DUMMYFUNCTION("""COMPUTED_VALUE"""),110.49)</f>
        <v/>
      </c>
      <c r="G31" s="143">
        <f>IFERROR(__xludf.DUMMYFUNCTION("""COMPUTED_VALUE"""),3015037)</f>
        <v/>
      </c>
      <c r="H31" s="27" t="n"/>
    </row>
    <row r="32" ht="17.25" customHeight="1" s="322">
      <c r="A32" s="27" t="n"/>
      <c r="B32" s="506">
        <f>IFERROR(__xludf.DUMMYFUNCTION("""COMPUTED_VALUE"""),45874.6666666666)</f>
        <v/>
      </c>
      <c r="C32" s="141">
        <f>IFERROR(__xludf.DUMMYFUNCTION("""COMPUTED_VALUE"""),110.4)</f>
        <v/>
      </c>
      <c r="D32" s="141">
        <f>IFERROR(__xludf.DUMMYFUNCTION("""COMPUTED_VALUE"""),110.53)</f>
        <v/>
      </c>
      <c r="E32" s="141">
        <f>IFERROR(__xludf.DUMMYFUNCTION("""COMPUTED_VALUE"""),110.37)</f>
        <v/>
      </c>
      <c r="F32" s="141">
        <f>IFERROR(__xludf.DUMMYFUNCTION("""COMPUTED_VALUE"""),110.39)</f>
        <v/>
      </c>
      <c r="G32" s="143">
        <f>IFERROR(__xludf.DUMMYFUNCTION("""COMPUTED_VALUE"""),1800349)</f>
        <v/>
      </c>
      <c r="H32" s="27" t="n"/>
    </row>
    <row r="33" ht="17.25" customHeight="1" s="322">
      <c r="A33" s="27" t="n"/>
      <c r="B33" s="506">
        <f>IFERROR(__xludf.DUMMYFUNCTION("""COMPUTED_VALUE"""),45875.6666666666)</f>
        <v/>
      </c>
      <c r="C33" s="141">
        <f>IFERROR(__xludf.DUMMYFUNCTION("""COMPUTED_VALUE"""),110.3)</f>
        <v/>
      </c>
      <c r="D33" s="141">
        <f>IFERROR(__xludf.DUMMYFUNCTION("""COMPUTED_VALUE"""),110.45)</f>
        <v/>
      </c>
      <c r="E33" s="141">
        <f>IFERROR(__xludf.DUMMYFUNCTION("""COMPUTED_VALUE"""),110.08)</f>
        <v/>
      </c>
      <c r="F33" s="141">
        <f>IFERROR(__xludf.DUMMYFUNCTION("""COMPUTED_VALUE"""),110.3)</f>
        <v/>
      </c>
      <c r="G33" s="143">
        <f>IFERROR(__xludf.DUMMYFUNCTION("""COMPUTED_VALUE"""),1856219)</f>
        <v/>
      </c>
      <c r="H33" s="27" t="n"/>
    </row>
    <row r="34" ht="17.25" customHeight="1" s="322">
      <c r="A34" s="27" t="n"/>
      <c r="B34" s="506">
        <f>IFERROR(__xludf.DUMMYFUNCTION("""COMPUTED_VALUE"""),45876.6666666666)</f>
        <v/>
      </c>
      <c r="C34" s="141">
        <f>IFERROR(__xludf.DUMMYFUNCTION("""COMPUTED_VALUE"""),110.34)</f>
        <v/>
      </c>
      <c r="D34" s="141">
        <f>IFERROR(__xludf.DUMMYFUNCTION("""COMPUTED_VALUE"""),110.42)</f>
        <v/>
      </c>
      <c r="E34" s="141">
        <f>IFERROR(__xludf.DUMMYFUNCTION("""COMPUTED_VALUE"""),110.23)</f>
        <v/>
      </c>
      <c r="F34" s="141">
        <f>IFERROR(__xludf.DUMMYFUNCTION("""COMPUTED_VALUE"""),110.42)</f>
        <v/>
      </c>
      <c r="G34" s="143">
        <f>IFERROR(__xludf.DUMMYFUNCTION("""COMPUTED_VALUE"""),1606304)</f>
        <v/>
      </c>
      <c r="H34" s="27" t="n"/>
    </row>
    <row r="35" ht="17.25" customHeight="1" s="322">
      <c r="A35" s="27" t="n"/>
      <c r="B35" s="506">
        <f>IFERROR(__xludf.DUMMYFUNCTION("""COMPUTED_VALUE"""),45877.6666666666)</f>
        <v/>
      </c>
      <c r="C35" s="141">
        <f>IFERROR(__xludf.DUMMYFUNCTION("""COMPUTED_VALUE"""),110.26)</f>
        <v/>
      </c>
      <c r="D35" s="141">
        <f>IFERROR(__xludf.DUMMYFUNCTION("""COMPUTED_VALUE"""),110.42)</f>
        <v/>
      </c>
      <c r="E35" s="141">
        <f>IFERROR(__xludf.DUMMYFUNCTION("""COMPUTED_VALUE"""),110.13)</f>
        <v/>
      </c>
      <c r="F35" s="141">
        <f>IFERROR(__xludf.DUMMYFUNCTION("""COMPUTED_VALUE"""),110.35)</f>
        <v/>
      </c>
      <c r="G35" s="143">
        <f>IFERROR(__xludf.DUMMYFUNCTION("""COMPUTED_VALUE"""),1831596)</f>
        <v/>
      </c>
      <c r="H35" s="27" t="n"/>
    </row>
    <row r="36" ht="17.25" customHeight="1" s="322">
      <c r="A36" s="27" t="n"/>
      <c r="B36" s="506">
        <f>IFERROR(__xludf.DUMMYFUNCTION("""COMPUTED_VALUE"""),45880.6666666666)</f>
        <v/>
      </c>
      <c r="C36" s="141">
        <f>IFERROR(__xludf.DUMMYFUNCTION("""COMPUTED_VALUE"""),110.43)</f>
        <v/>
      </c>
      <c r="D36" s="141">
        <f>IFERROR(__xludf.DUMMYFUNCTION("""COMPUTED_VALUE"""),110.53)</f>
        <v/>
      </c>
      <c r="E36" s="141">
        <f>IFERROR(__xludf.DUMMYFUNCTION("""COMPUTED_VALUE"""),110.35)</f>
        <v/>
      </c>
      <c r="F36" s="141">
        <f>IFERROR(__xludf.DUMMYFUNCTION("""COMPUTED_VALUE"""),110.35)</f>
        <v/>
      </c>
      <c r="G36" s="143">
        <f>IFERROR(__xludf.DUMMYFUNCTION("""COMPUTED_VALUE"""),1624667)</f>
        <v/>
      </c>
      <c r="H36" s="27" t="n"/>
    </row>
    <row r="37" ht="17.25" customHeight="1" s="322">
      <c r="A37" s="27" t="n"/>
      <c r="B37" s="506">
        <f>IFERROR(__xludf.DUMMYFUNCTION("""COMPUTED_VALUE"""),45881.6666666666)</f>
        <v/>
      </c>
      <c r="C37" s="141">
        <f>IFERROR(__xludf.DUMMYFUNCTION("""COMPUTED_VALUE"""),110.03)</f>
        <v/>
      </c>
      <c r="D37" s="141">
        <f>IFERROR(__xludf.DUMMYFUNCTION("""COMPUTED_VALUE"""),110.23)</f>
        <v/>
      </c>
      <c r="E37" s="141">
        <f>IFERROR(__xludf.DUMMYFUNCTION("""COMPUTED_VALUE"""),109.95)</f>
        <v/>
      </c>
      <c r="F37" s="141">
        <f>IFERROR(__xludf.DUMMYFUNCTION("""COMPUTED_VALUE"""),110.16)</f>
        <v/>
      </c>
      <c r="G37" s="143">
        <f>IFERROR(__xludf.DUMMYFUNCTION("""COMPUTED_VALUE"""),2526074)</f>
        <v/>
      </c>
      <c r="H37" s="27" t="n"/>
    </row>
    <row r="38" ht="17.25" customHeight="1" s="322">
      <c r="A38" s="27" t="n"/>
      <c r="B38" s="506">
        <f>IFERROR(__xludf.DUMMYFUNCTION("""COMPUTED_VALUE"""),45882.6666666666)</f>
        <v/>
      </c>
      <c r="C38" s="141">
        <f>IFERROR(__xludf.DUMMYFUNCTION("""COMPUTED_VALUE"""),110.5)</f>
        <v/>
      </c>
      <c r="D38" s="141">
        <f>IFERROR(__xludf.DUMMYFUNCTION("""COMPUTED_VALUE"""),110.65)</f>
        <v/>
      </c>
      <c r="E38" s="141">
        <f>IFERROR(__xludf.DUMMYFUNCTION("""COMPUTED_VALUE"""),110.49)</f>
        <v/>
      </c>
      <c r="F38" s="141">
        <f>IFERROR(__xludf.DUMMYFUNCTION("""COMPUTED_VALUE"""),110.58)</f>
        <v/>
      </c>
      <c r="G38" s="143">
        <f>IFERROR(__xludf.DUMMYFUNCTION("""COMPUTED_VALUE"""),1598300)</f>
        <v/>
      </c>
      <c r="H38" s="27" t="n"/>
    </row>
    <row r="39" ht="17.25" customHeight="1" s="322">
      <c r="A39" s="27" t="n"/>
      <c r="B39" s="506">
        <f>IFERROR(__xludf.DUMMYFUNCTION("""COMPUTED_VALUE"""),45883.6666666666)</f>
        <v/>
      </c>
      <c r="C39" s="141">
        <f>IFERROR(__xludf.DUMMYFUNCTION("""COMPUTED_VALUE"""),110.45)</f>
        <v/>
      </c>
      <c r="D39" s="141">
        <f>IFERROR(__xludf.DUMMYFUNCTION("""COMPUTED_VALUE"""),110.49)</f>
        <v/>
      </c>
      <c r="E39" s="141">
        <f>IFERROR(__xludf.DUMMYFUNCTION("""COMPUTED_VALUE"""),110.24)</f>
        <v/>
      </c>
      <c r="F39" s="141">
        <f>IFERROR(__xludf.DUMMYFUNCTION("""COMPUTED_VALUE"""),110.25)</f>
        <v/>
      </c>
      <c r="G39" s="143">
        <f>IFERROR(__xludf.DUMMYFUNCTION("""COMPUTED_VALUE"""),2203528)</f>
        <v/>
      </c>
      <c r="H39" s="27" t="n"/>
    </row>
    <row r="40" ht="17.25" customHeight="1" s="322">
      <c r="A40" s="27" t="n"/>
      <c r="B40" s="506">
        <f>IFERROR(__xludf.DUMMYFUNCTION("""COMPUTED_VALUE"""),45884.6666666666)</f>
        <v/>
      </c>
      <c r="C40" s="141">
        <f>IFERROR(__xludf.DUMMYFUNCTION("""COMPUTED_VALUE"""),110.24)</f>
        <v/>
      </c>
      <c r="D40" s="141">
        <f>IFERROR(__xludf.DUMMYFUNCTION("""COMPUTED_VALUE"""),110.28)</f>
        <v/>
      </c>
      <c r="E40" s="141">
        <f>IFERROR(__xludf.DUMMYFUNCTION("""COMPUTED_VALUE"""),109.95)</f>
        <v/>
      </c>
      <c r="F40" s="141">
        <f>IFERROR(__xludf.DUMMYFUNCTION("""COMPUTED_VALUE"""),110.04)</f>
        <v/>
      </c>
      <c r="G40" s="143">
        <f>IFERROR(__xludf.DUMMYFUNCTION("""COMPUTED_VALUE"""),1745896)</f>
        <v/>
      </c>
      <c r="H40" s="27" t="n"/>
    </row>
    <row r="41" ht="17.25" customHeight="1" s="322">
      <c r="A41" s="27" t="n"/>
      <c r="B41" s="506">
        <f>IFERROR(__xludf.DUMMYFUNCTION("""COMPUTED_VALUE"""),45887.6666666666)</f>
        <v/>
      </c>
      <c r="C41" s="141">
        <f>IFERROR(__xludf.DUMMYFUNCTION("""COMPUTED_VALUE"""),110.06)</f>
        <v/>
      </c>
      <c r="D41" s="141">
        <f>IFERROR(__xludf.DUMMYFUNCTION("""COMPUTED_VALUE"""),110.06)</f>
        <v/>
      </c>
      <c r="E41" s="141">
        <f>IFERROR(__xludf.DUMMYFUNCTION("""COMPUTED_VALUE"""),109.79)</f>
        <v/>
      </c>
      <c r="F41" s="141">
        <f>IFERROR(__xludf.DUMMYFUNCTION("""COMPUTED_VALUE"""),109.92)</f>
        <v/>
      </c>
      <c r="G41" s="143">
        <f>IFERROR(__xludf.DUMMYFUNCTION("""COMPUTED_VALUE"""),1721338)</f>
        <v/>
      </c>
      <c r="H41" s="27" t="n"/>
    </row>
    <row r="42" ht="17.25" customHeight="1" s="322">
      <c r="A42" s="27" t="n"/>
      <c r="B42" s="506">
        <f>IFERROR(__xludf.DUMMYFUNCTION("""COMPUTED_VALUE"""),45888.6666666666)</f>
        <v/>
      </c>
      <c r="C42" s="141">
        <f>IFERROR(__xludf.DUMMYFUNCTION("""COMPUTED_VALUE"""),110.03)</f>
        <v/>
      </c>
      <c r="D42" s="141">
        <f>IFERROR(__xludf.DUMMYFUNCTION("""COMPUTED_VALUE"""),110.11)</f>
        <v/>
      </c>
      <c r="E42" s="141">
        <f>IFERROR(__xludf.DUMMYFUNCTION("""COMPUTED_VALUE"""),110.01)</f>
        <v/>
      </c>
      <c r="F42" s="141">
        <f>IFERROR(__xludf.DUMMYFUNCTION("""COMPUTED_VALUE"""),110.03)</f>
        <v/>
      </c>
      <c r="G42" s="143">
        <f>IFERROR(__xludf.DUMMYFUNCTION("""COMPUTED_VALUE"""),2263585)</f>
        <v/>
      </c>
      <c r="H42" s="27" t="n"/>
    </row>
    <row r="43" ht="17.25" customHeight="1" s="322">
      <c r="A43" s="27" t="n"/>
      <c r="B43" s="506">
        <f>IFERROR(__xludf.DUMMYFUNCTION("""COMPUTED_VALUE"""),45889.6666666666)</f>
        <v/>
      </c>
      <c r="C43" s="141">
        <f>IFERROR(__xludf.DUMMYFUNCTION("""COMPUTED_VALUE"""),110.05)</f>
        <v/>
      </c>
      <c r="D43" s="141">
        <f>IFERROR(__xludf.DUMMYFUNCTION("""COMPUTED_VALUE"""),110.26)</f>
        <v/>
      </c>
      <c r="E43" s="141">
        <f>IFERROR(__xludf.DUMMYFUNCTION("""COMPUTED_VALUE"""),110.05)</f>
        <v/>
      </c>
      <c r="F43" s="141">
        <f>IFERROR(__xludf.DUMMYFUNCTION("""COMPUTED_VALUE"""),110.15)</f>
        <v/>
      </c>
      <c r="G43" s="143">
        <f>IFERROR(__xludf.DUMMYFUNCTION("""COMPUTED_VALUE"""),2369353)</f>
        <v/>
      </c>
      <c r="H43" s="27" t="n"/>
    </row>
    <row r="44" ht="17.25" customHeight="1" s="322">
      <c r="A44" s="27" t="n"/>
      <c r="B44" s="506">
        <f>IFERROR(__xludf.DUMMYFUNCTION("""COMPUTED_VALUE"""),45890.6666666666)</f>
        <v/>
      </c>
      <c r="C44" s="141">
        <f>IFERROR(__xludf.DUMMYFUNCTION("""COMPUTED_VALUE"""),110.1)</f>
        <v/>
      </c>
      <c r="D44" s="141">
        <f>IFERROR(__xludf.DUMMYFUNCTION("""COMPUTED_VALUE"""),110.22)</f>
        <v/>
      </c>
      <c r="E44" s="141">
        <f>IFERROR(__xludf.DUMMYFUNCTION("""COMPUTED_VALUE"""),109.93)</f>
        <v/>
      </c>
      <c r="F44" s="141">
        <f>IFERROR(__xludf.DUMMYFUNCTION("""COMPUTED_VALUE"""),110.17)</f>
        <v/>
      </c>
      <c r="G44" s="143">
        <f>IFERROR(__xludf.DUMMYFUNCTION("""COMPUTED_VALUE"""),3562969)</f>
        <v/>
      </c>
      <c r="H44" s="27" t="n"/>
    </row>
    <row r="45" ht="17.25" customHeight="1" s="322">
      <c r="A45" s="27" t="n"/>
      <c r="B45" s="506">
        <f>IFERROR(__xludf.DUMMYFUNCTION("""COMPUTED_VALUE"""),45891.6666666666)</f>
        <v/>
      </c>
      <c r="C45" s="141">
        <f>IFERROR(__xludf.DUMMYFUNCTION("""COMPUTED_VALUE"""),110.3)</f>
        <v/>
      </c>
      <c r="D45" s="141">
        <f>IFERROR(__xludf.DUMMYFUNCTION("""COMPUTED_VALUE"""),110.95)</f>
        <v/>
      </c>
      <c r="E45" s="141">
        <f>IFERROR(__xludf.DUMMYFUNCTION("""COMPUTED_VALUE"""),110.27)</f>
        <v/>
      </c>
      <c r="F45" s="141">
        <f>IFERROR(__xludf.DUMMYFUNCTION("""COMPUTED_VALUE"""),110.92)</f>
        <v/>
      </c>
      <c r="G45" s="143">
        <f>IFERROR(__xludf.DUMMYFUNCTION("""COMPUTED_VALUE"""),3388320)</f>
        <v/>
      </c>
      <c r="H45" s="27" t="n"/>
    </row>
    <row r="46" ht="17.25" customHeight="1" s="322">
      <c r="A46" s="27" t="n"/>
      <c r="B46" s="506">
        <f>IFERROR(__xludf.DUMMYFUNCTION("""COMPUTED_VALUE"""),45894.6666666666)</f>
        <v/>
      </c>
      <c r="C46" s="141">
        <f>IFERROR(__xludf.DUMMYFUNCTION("""COMPUTED_VALUE"""),110.74)</f>
        <v/>
      </c>
      <c r="D46" s="141">
        <f>IFERROR(__xludf.DUMMYFUNCTION("""COMPUTED_VALUE"""),110.82)</f>
        <v/>
      </c>
      <c r="E46" s="141">
        <f>IFERROR(__xludf.DUMMYFUNCTION("""COMPUTED_VALUE"""),110.67)</f>
        <v/>
      </c>
      <c r="F46" s="141">
        <f>IFERROR(__xludf.DUMMYFUNCTION("""COMPUTED_VALUE"""),110.71)</f>
        <v/>
      </c>
      <c r="G46" s="143">
        <f>IFERROR(__xludf.DUMMYFUNCTION("""COMPUTED_VALUE"""),4332665)</f>
        <v/>
      </c>
      <c r="H46" s="27" t="n"/>
    </row>
    <row r="47" ht="17.25" customHeight="1" s="322">
      <c r="A47" s="27" t="n"/>
      <c r="B47" s="506">
        <f>IFERROR(__xludf.DUMMYFUNCTION("""COMPUTED_VALUE"""),45895.6666666666)</f>
        <v/>
      </c>
      <c r="C47" s="141">
        <f>IFERROR(__xludf.DUMMYFUNCTION("""COMPUTED_VALUE"""),110.76)</f>
        <v/>
      </c>
      <c r="D47" s="141">
        <f>IFERROR(__xludf.DUMMYFUNCTION("""COMPUTED_VALUE"""),111.03)</f>
        <v/>
      </c>
      <c r="E47" s="141">
        <f>IFERROR(__xludf.DUMMYFUNCTION("""COMPUTED_VALUE"""),110.7)</f>
        <v/>
      </c>
      <c r="F47" s="141">
        <f>IFERROR(__xludf.DUMMYFUNCTION("""COMPUTED_VALUE"""),110.97)</f>
        <v/>
      </c>
      <c r="G47" s="143">
        <f>IFERROR(__xludf.DUMMYFUNCTION("""COMPUTED_VALUE"""),5345713)</f>
        <v/>
      </c>
      <c r="H47" s="27" t="n"/>
    </row>
    <row r="48" ht="17.25" customHeight="1" s="322">
      <c r="A48" s="27" t="n"/>
      <c r="B48" s="506">
        <f>IFERROR(__xludf.DUMMYFUNCTION("""COMPUTED_VALUE"""),45896.6666666666)</f>
        <v/>
      </c>
      <c r="C48" s="141">
        <f>IFERROR(__xludf.DUMMYFUNCTION("""COMPUTED_VALUE"""),110.96)</f>
        <v/>
      </c>
      <c r="D48" s="141">
        <f>IFERROR(__xludf.DUMMYFUNCTION("""COMPUTED_VALUE"""),111.27)</f>
        <v/>
      </c>
      <c r="E48" s="141">
        <f>IFERROR(__xludf.DUMMYFUNCTION("""COMPUTED_VALUE"""),110.89)</f>
        <v/>
      </c>
      <c r="F48" s="141">
        <f>IFERROR(__xludf.DUMMYFUNCTION("""COMPUTED_VALUE"""),111.22)</f>
        <v/>
      </c>
      <c r="G48" s="143">
        <f>IFERROR(__xludf.DUMMYFUNCTION("""COMPUTED_VALUE"""),2106748)</f>
        <v/>
      </c>
      <c r="H48" s="27" t="n"/>
    </row>
    <row r="49" ht="17.25" customHeight="1" s="322">
      <c r="A49" s="27" t="n"/>
      <c r="B49" s="506">
        <f>IFERROR(__xludf.DUMMYFUNCTION("""COMPUTED_VALUE"""),45897.6666666666)</f>
        <v/>
      </c>
      <c r="C49" s="141">
        <f>IFERROR(__xludf.DUMMYFUNCTION("""COMPUTED_VALUE"""),111.24)</f>
        <v/>
      </c>
      <c r="D49" s="141">
        <f>IFERROR(__xludf.DUMMYFUNCTION("""COMPUTED_VALUE"""),111.35)</f>
        <v/>
      </c>
      <c r="E49" s="141">
        <f>IFERROR(__xludf.DUMMYFUNCTION("""COMPUTED_VALUE"""),111.2)</f>
        <v/>
      </c>
      <c r="F49" s="141">
        <f>IFERROR(__xludf.DUMMYFUNCTION("""COMPUTED_VALUE"""),111.29)</f>
        <v/>
      </c>
      <c r="G49" s="143">
        <f>IFERROR(__xludf.DUMMYFUNCTION("""COMPUTED_VALUE"""),3876141)</f>
        <v/>
      </c>
      <c r="H49" s="27" t="n"/>
    </row>
    <row r="50" ht="17.25" customHeight="1" s="322">
      <c r="A50" s="27" t="n"/>
      <c r="B50" s="506">
        <f>IFERROR(__xludf.DUMMYFUNCTION("""COMPUTED_VALUE"""),45898.6666666666)</f>
        <v/>
      </c>
      <c r="C50" s="141">
        <f>IFERROR(__xludf.DUMMYFUNCTION("""COMPUTED_VALUE"""),111.32)</f>
        <v/>
      </c>
      <c r="D50" s="141">
        <f>IFERROR(__xludf.DUMMYFUNCTION("""COMPUTED_VALUE"""),111.34)</f>
        <v/>
      </c>
      <c r="E50" s="141">
        <f>IFERROR(__xludf.DUMMYFUNCTION("""COMPUTED_VALUE"""),111.16)</f>
        <v/>
      </c>
      <c r="F50" s="141">
        <f>IFERROR(__xludf.DUMMYFUNCTION("""COMPUTED_VALUE"""),111.17)</f>
        <v/>
      </c>
      <c r="G50" s="143">
        <f>IFERROR(__xludf.DUMMYFUNCTION("""COMPUTED_VALUE"""),2847316)</f>
        <v/>
      </c>
      <c r="H50" s="27" t="n"/>
    </row>
    <row r="51" ht="17.25" customHeight="1" s="322">
      <c r="A51" s="27" t="n"/>
      <c r="B51" s="506">
        <f>IFERROR(__xludf.DUMMYFUNCTION("""COMPUTED_VALUE"""),45902.6666666666)</f>
        <v/>
      </c>
      <c r="C51" s="141">
        <f>IFERROR(__xludf.DUMMYFUNCTION("""COMPUTED_VALUE"""),110.48)</f>
        <v/>
      </c>
      <c r="D51" s="141">
        <f>IFERROR(__xludf.DUMMYFUNCTION("""COMPUTED_VALUE"""),110.6)</f>
        <v/>
      </c>
      <c r="E51" s="141">
        <f>IFERROR(__xludf.DUMMYFUNCTION("""COMPUTED_VALUE"""),110.44)</f>
        <v/>
      </c>
      <c r="F51" s="141">
        <f>IFERROR(__xludf.DUMMYFUNCTION("""COMPUTED_VALUE"""),110.55)</f>
        <v/>
      </c>
      <c r="G51" s="143">
        <f>IFERROR(__xludf.DUMMYFUNCTION("""COMPUTED_VALUE"""),5710695)</f>
        <v/>
      </c>
      <c r="H51" s="27" t="n"/>
    </row>
    <row r="52" ht="17.25" customHeight="1" s="322">
      <c r="A52" s="27" t="n"/>
      <c r="B52" s="506">
        <f>IFERROR(__xludf.DUMMYFUNCTION("""COMPUTED_VALUE"""),45903.6666666666)</f>
        <v/>
      </c>
      <c r="C52" s="141">
        <f>IFERROR(__xludf.DUMMYFUNCTION("""COMPUTED_VALUE"""),110.55)</f>
        <v/>
      </c>
      <c r="D52" s="141">
        <f>IFERROR(__xludf.DUMMYFUNCTION("""COMPUTED_VALUE"""),110.92)</f>
        <v/>
      </c>
      <c r="E52" s="141">
        <f>IFERROR(__xludf.DUMMYFUNCTION("""COMPUTED_VALUE"""),110.54)</f>
        <v/>
      </c>
      <c r="F52" s="141">
        <f>IFERROR(__xludf.DUMMYFUNCTION("""COMPUTED_VALUE"""),110.8)</f>
        <v/>
      </c>
      <c r="G52" s="143">
        <f>IFERROR(__xludf.DUMMYFUNCTION("""COMPUTED_VALUE"""),4699656)</f>
        <v/>
      </c>
      <c r="H52" s="27" t="n"/>
    </row>
    <row r="53" ht="17.25" customHeight="1" s="322">
      <c r="A53" s="27" t="n"/>
      <c r="B53" s="506">
        <f>IFERROR(__xludf.DUMMYFUNCTION("""COMPUTED_VALUE"""),45904.6666666666)</f>
        <v/>
      </c>
      <c r="C53" s="141">
        <f>IFERROR(__xludf.DUMMYFUNCTION("""COMPUTED_VALUE"""),110.91)</f>
        <v/>
      </c>
      <c r="D53" s="141">
        <f>IFERROR(__xludf.DUMMYFUNCTION("""COMPUTED_VALUE"""),110.99)</f>
        <v/>
      </c>
      <c r="E53" s="141">
        <f>IFERROR(__xludf.DUMMYFUNCTION("""COMPUTED_VALUE"""),110.78)</f>
        <v/>
      </c>
      <c r="F53" s="141">
        <f>IFERROR(__xludf.DUMMYFUNCTION("""COMPUTED_VALUE"""),110.97)</f>
        <v/>
      </c>
      <c r="G53" s="143">
        <f>IFERROR(__xludf.DUMMYFUNCTION("""COMPUTED_VALUE"""),3919519)</f>
        <v/>
      </c>
      <c r="H53" s="27" t="n"/>
    </row>
    <row r="54" ht="17.25" customHeight="1" s="322">
      <c r="A54" s="27" t="n"/>
      <c r="B54" s="506">
        <f>IFERROR(__xludf.DUMMYFUNCTION("""COMPUTED_VALUE"""),45905.6666666666)</f>
        <v/>
      </c>
      <c r="C54" s="141">
        <f>IFERROR(__xludf.DUMMYFUNCTION("""COMPUTED_VALUE"""),111.37)</f>
        <v/>
      </c>
      <c r="D54" s="141">
        <f>IFERROR(__xludf.DUMMYFUNCTION("""COMPUTED_VALUE"""),111.46)</f>
        <v/>
      </c>
      <c r="E54" s="141">
        <f>IFERROR(__xludf.DUMMYFUNCTION("""COMPUTED_VALUE"""),111.33)</f>
        <v/>
      </c>
      <c r="F54" s="141">
        <f>IFERROR(__xludf.DUMMYFUNCTION("""COMPUTED_VALUE"""),111.46)</f>
        <v/>
      </c>
      <c r="G54" s="143">
        <f>IFERROR(__xludf.DUMMYFUNCTION("""COMPUTED_VALUE"""),4068818)</f>
        <v/>
      </c>
      <c r="H54" s="27" t="n"/>
    </row>
    <row r="55" ht="17.25" customHeight="1" s="322">
      <c r="A55" s="27" t="n"/>
      <c r="B55" s="506">
        <f>IFERROR(__xludf.DUMMYFUNCTION("""COMPUTED_VALUE"""),45908.6666666666)</f>
        <v/>
      </c>
      <c r="C55" s="141">
        <f>IFERROR(__xludf.DUMMYFUNCTION("""COMPUTED_VALUE"""),111.64)</f>
        <v/>
      </c>
      <c r="D55" s="141">
        <f>IFERROR(__xludf.DUMMYFUNCTION("""COMPUTED_VALUE"""),111.72)</f>
        <v/>
      </c>
      <c r="E55" s="141">
        <f>IFERROR(__xludf.DUMMYFUNCTION("""COMPUTED_VALUE"""),111.55)</f>
        <v/>
      </c>
      <c r="F55" s="141">
        <f>IFERROR(__xludf.DUMMYFUNCTION("""COMPUTED_VALUE"""),111.69)</f>
        <v/>
      </c>
      <c r="G55" s="143">
        <f>IFERROR(__xludf.DUMMYFUNCTION("""COMPUTED_VALUE"""),3818251)</f>
        <v/>
      </c>
      <c r="H55" s="27" t="n"/>
    </row>
    <row r="56" ht="17.25" customHeight="1" s="322">
      <c r="A56" s="27" t="n"/>
      <c r="B56" s="506">
        <f>IFERROR(__xludf.DUMMYFUNCTION("""COMPUTED_VALUE"""),45909.6666666666)</f>
        <v/>
      </c>
      <c r="C56" s="141">
        <f>IFERROR(__xludf.DUMMYFUNCTION("""COMPUTED_VALUE"""),111.67)</f>
        <v/>
      </c>
      <c r="D56" s="141">
        <f>IFERROR(__xludf.DUMMYFUNCTION("""COMPUTED_VALUE"""),111.76)</f>
        <v/>
      </c>
      <c r="E56" s="141">
        <f>IFERROR(__xludf.DUMMYFUNCTION("""COMPUTED_VALUE"""),111.45)</f>
        <v/>
      </c>
      <c r="F56" s="141">
        <f>IFERROR(__xludf.DUMMYFUNCTION("""COMPUTED_VALUE"""),111.47)</f>
        <v/>
      </c>
      <c r="G56" s="143">
        <f>IFERROR(__xludf.DUMMYFUNCTION("""COMPUTED_VALUE"""),4938854)</f>
        <v/>
      </c>
      <c r="H56" s="27" t="n"/>
    </row>
    <row r="57" ht="17.25" customHeight="1" s="322">
      <c r="A57" s="27" t="n"/>
      <c r="B57" s="506">
        <f>IFERROR(__xludf.DUMMYFUNCTION("""COMPUTED_VALUE"""),45910.6666666666)</f>
        <v/>
      </c>
      <c r="C57" s="141">
        <f>IFERROR(__xludf.DUMMYFUNCTION("""COMPUTED_VALUE"""),111.57)</f>
        <v/>
      </c>
      <c r="D57" s="141">
        <f>IFERROR(__xludf.DUMMYFUNCTION("""COMPUTED_VALUE"""),111.79)</f>
        <v/>
      </c>
      <c r="E57" s="141">
        <f>IFERROR(__xludf.DUMMYFUNCTION("""COMPUTED_VALUE"""),111.48)</f>
        <v/>
      </c>
      <c r="F57" s="141">
        <f>IFERROR(__xludf.DUMMYFUNCTION("""COMPUTED_VALUE"""),111.64)</f>
        <v/>
      </c>
      <c r="G57" s="143">
        <f>IFERROR(__xludf.DUMMYFUNCTION("""COMPUTED_VALUE"""),4601177)</f>
        <v/>
      </c>
      <c r="H57" s="27" t="n"/>
    </row>
    <row r="58" ht="17.25" customHeight="1" s="322">
      <c r="A58" s="27" t="n"/>
      <c r="B58" s="506">
        <f>IFERROR(__xludf.DUMMYFUNCTION("""COMPUTED_VALUE"""),45911.6666666666)</f>
        <v/>
      </c>
      <c r="C58" s="141">
        <f>IFERROR(__xludf.DUMMYFUNCTION("""COMPUTED_VALUE"""),111.77)</f>
        <v/>
      </c>
      <c r="D58" s="141">
        <f>IFERROR(__xludf.DUMMYFUNCTION("""COMPUTED_VALUE"""),111.96)</f>
        <v/>
      </c>
      <c r="E58" s="141">
        <f>IFERROR(__xludf.DUMMYFUNCTION("""COMPUTED_VALUE"""),111.76)</f>
        <v/>
      </c>
      <c r="F58" s="141">
        <f>IFERROR(__xludf.DUMMYFUNCTION("""COMPUTED_VALUE"""),111.82)</f>
        <v/>
      </c>
      <c r="G58" s="143">
        <f>IFERROR(__xludf.DUMMYFUNCTION("""COMPUTED_VALUE"""),4158739)</f>
        <v/>
      </c>
      <c r="H58" s="27" t="n"/>
    </row>
    <row r="59" ht="17.25" customHeight="1" s="322">
      <c r="A59" s="27" t="n"/>
      <c r="B59" s="506">
        <f>IFERROR(__xludf.DUMMYFUNCTION("""COMPUTED_VALUE"""),45912.6666666666)</f>
        <v/>
      </c>
      <c r="C59" s="141">
        <f>IFERROR(__xludf.DUMMYFUNCTION("""COMPUTED_VALUE"""),111.7)</f>
        <v/>
      </c>
      <c r="D59" s="141">
        <f>IFERROR(__xludf.DUMMYFUNCTION("""COMPUTED_VALUE"""),111.72)</f>
        <v/>
      </c>
      <c r="E59" s="141">
        <f>IFERROR(__xludf.DUMMYFUNCTION("""COMPUTED_VALUE"""),111.57)</f>
        <v/>
      </c>
      <c r="F59" s="141">
        <f>IFERROR(__xludf.DUMMYFUNCTION("""COMPUTED_VALUE"""),111.67)</f>
        <v/>
      </c>
      <c r="G59" s="143">
        <f>IFERROR(__xludf.DUMMYFUNCTION("""COMPUTED_VALUE"""),2049147)</f>
        <v/>
      </c>
      <c r="H59" s="27" t="n"/>
    </row>
    <row r="60" ht="17.25" customHeight="1" s="322">
      <c r="A60" s="27" t="n"/>
      <c r="B60" s="506">
        <f>IFERROR(__xludf.DUMMYFUNCTION("""COMPUTED_VALUE"""),45915.6666666666)</f>
        <v/>
      </c>
      <c r="C60" s="141">
        <f>IFERROR(__xludf.DUMMYFUNCTION("""COMPUTED_VALUE"""),111.74)</f>
        <v/>
      </c>
      <c r="D60" s="141">
        <f>IFERROR(__xludf.DUMMYFUNCTION("""COMPUTED_VALUE"""),111.89)</f>
        <v/>
      </c>
      <c r="E60" s="141">
        <f>IFERROR(__xludf.DUMMYFUNCTION("""COMPUTED_VALUE"""),111.74)</f>
        <v/>
      </c>
      <c r="F60" s="141">
        <f>IFERROR(__xludf.DUMMYFUNCTION("""COMPUTED_VALUE"""),111.78)</f>
        <v/>
      </c>
      <c r="G60" s="143">
        <f>IFERROR(__xludf.DUMMYFUNCTION("""COMPUTED_VALUE"""),3586995)</f>
        <v/>
      </c>
      <c r="H60" s="27" t="n"/>
    </row>
    <row r="61" ht="17.25" customHeight="1" s="322">
      <c r="A61" s="27" t="n"/>
      <c r="B61" s="506">
        <f>IFERROR(__xludf.DUMMYFUNCTION("""COMPUTED_VALUE"""),45916.6666666666)</f>
        <v/>
      </c>
      <c r="C61" s="141">
        <f>IFERROR(__xludf.DUMMYFUNCTION("""COMPUTED_VALUE"""),111.86)</f>
        <v/>
      </c>
      <c r="D61" s="141">
        <f>IFERROR(__xludf.DUMMYFUNCTION("""COMPUTED_VALUE"""),111.96)</f>
        <v/>
      </c>
      <c r="E61" s="141">
        <f>IFERROR(__xludf.DUMMYFUNCTION("""COMPUTED_VALUE"""),111.8)</f>
        <v/>
      </c>
      <c r="F61" s="141">
        <f>IFERROR(__xludf.DUMMYFUNCTION("""COMPUTED_VALUE"""),111.88)</f>
        <v/>
      </c>
      <c r="G61" s="143">
        <f>IFERROR(__xludf.DUMMYFUNCTION("""COMPUTED_VALUE"""),5346508)</f>
        <v/>
      </c>
      <c r="H61" s="27" t="n"/>
    </row>
    <row r="62" ht="17.25" customHeight="1" s="322">
      <c r="A62" s="27" t="n"/>
      <c r="B62" s="506">
        <f>IFERROR(__xludf.DUMMYFUNCTION("""COMPUTED_VALUE"""),45917.6666666666)</f>
        <v/>
      </c>
      <c r="C62" s="141">
        <f>IFERROR(__xludf.DUMMYFUNCTION("""COMPUTED_VALUE"""),111.94)</f>
        <v/>
      </c>
      <c r="D62" s="141">
        <f>IFERROR(__xludf.DUMMYFUNCTION("""COMPUTED_VALUE"""),112.26)</f>
        <v/>
      </c>
      <c r="E62" s="141">
        <f>IFERROR(__xludf.DUMMYFUNCTION("""COMPUTED_VALUE"""),111.66)</f>
        <v/>
      </c>
      <c r="F62" s="141">
        <f>IFERROR(__xludf.DUMMYFUNCTION("""COMPUTED_VALUE"""),111.81)</f>
        <v/>
      </c>
      <c r="G62" s="143">
        <f>IFERROR(__xludf.DUMMYFUNCTION("""COMPUTED_VALUE"""),5676200)</f>
        <v/>
      </c>
      <c r="H62" s="27" t="n"/>
    </row>
    <row r="63" ht="17.25" customHeight="1" s="322">
      <c r="A63" s="27" t="n"/>
      <c r="B63" s="506">
        <f>IFERROR(__xludf.DUMMYFUNCTION("""COMPUTED_VALUE"""),45918.6666666666)</f>
        <v/>
      </c>
      <c r="C63" s="141">
        <f>IFERROR(__xludf.DUMMYFUNCTION("""COMPUTED_VALUE"""),111.57)</f>
        <v/>
      </c>
      <c r="D63" s="141">
        <f>IFERROR(__xludf.DUMMYFUNCTION("""COMPUTED_VALUE"""),111.71)</f>
        <v/>
      </c>
      <c r="E63" s="141">
        <f>IFERROR(__xludf.DUMMYFUNCTION("""COMPUTED_VALUE"""),111.33)</f>
        <v/>
      </c>
      <c r="F63" s="141">
        <f>IFERROR(__xludf.DUMMYFUNCTION("""COMPUTED_VALUE"""),111.5)</f>
        <v/>
      </c>
      <c r="G63" s="143">
        <f>IFERROR(__xludf.DUMMYFUNCTION("""COMPUTED_VALUE"""),4223125)</f>
        <v/>
      </c>
      <c r="H63" s="27" t="n"/>
    </row>
    <row r="64" ht="17.25" customHeight="1" s="322">
      <c r="A64" s="27" t="n"/>
      <c r="B64" s="506">
        <f>IFERROR(__xludf.DUMMYFUNCTION("""COMPUTED_VALUE"""),45919.6666666666)</f>
        <v/>
      </c>
      <c r="C64" s="141">
        <f>IFERROR(__xludf.DUMMYFUNCTION("""COMPUTED_VALUE"""),111.48)</f>
        <v/>
      </c>
      <c r="D64" s="141">
        <f>IFERROR(__xludf.DUMMYFUNCTION("""COMPUTED_VALUE"""),111.54)</f>
        <v/>
      </c>
      <c r="E64" s="141">
        <f>IFERROR(__xludf.DUMMYFUNCTION("""COMPUTED_VALUE"""),111.31)</f>
        <v/>
      </c>
      <c r="F64" s="141">
        <f>IFERROR(__xludf.DUMMYFUNCTION("""COMPUTED_VALUE"""),111.44)</f>
        <v/>
      </c>
      <c r="G64" s="143">
        <f>IFERROR(__xludf.DUMMYFUNCTION("""COMPUTED_VALUE"""),1336694)</f>
        <v/>
      </c>
      <c r="H64" s="27" t="n"/>
    </row>
    <row r="65" ht="17.25" customHeight="1" s="322">
      <c r="A65" s="27" t="n"/>
      <c r="B65" s="506">
        <f>IFERROR(__xludf.DUMMYFUNCTION("""COMPUTED_VALUE"""),45922.6666666666)</f>
        <v/>
      </c>
      <c r="C65" s="141">
        <f>IFERROR(__xludf.DUMMYFUNCTION("""COMPUTED_VALUE"""),111.33)</f>
        <v/>
      </c>
      <c r="D65" s="141">
        <f>IFERROR(__xludf.DUMMYFUNCTION("""COMPUTED_VALUE"""),111.36)</f>
        <v/>
      </c>
      <c r="E65" s="141">
        <f>IFERROR(__xludf.DUMMYFUNCTION("""COMPUTED_VALUE"""),111.15)</f>
        <v/>
      </c>
      <c r="F65" s="141">
        <f>IFERROR(__xludf.DUMMYFUNCTION("""COMPUTED_VALUE"""),111.17)</f>
        <v/>
      </c>
      <c r="G65" s="143">
        <f>IFERROR(__xludf.DUMMYFUNCTION("""COMPUTED_VALUE"""),2076355)</f>
        <v/>
      </c>
      <c r="H65" s="27" t="n"/>
    </row>
    <row r="66" ht="17.25" customHeight="1" s="322">
      <c r="A66" s="27" t="n"/>
      <c r="B66" s="506">
        <f>IFERROR(__xludf.DUMMYFUNCTION("""COMPUTED_VALUE"""),45923.6666666666)</f>
        <v/>
      </c>
      <c r="C66" s="141">
        <f>IFERROR(__xludf.DUMMYFUNCTION("""COMPUTED_VALUE"""),111.3)</f>
        <v/>
      </c>
      <c r="D66" s="141">
        <f>IFERROR(__xludf.DUMMYFUNCTION("""COMPUTED_VALUE"""),111.47)</f>
        <v/>
      </c>
      <c r="E66" s="141">
        <f>IFERROR(__xludf.DUMMYFUNCTION("""COMPUTED_VALUE"""),111.2)</f>
        <v/>
      </c>
      <c r="F66" s="141">
        <f>IFERROR(__xludf.DUMMYFUNCTION("""COMPUTED_VALUE"""),111.47)</f>
        <v/>
      </c>
      <c r="G66" s="143">
        <f>IFERROR(__xludf.DUMMYFUNCTION("""COMPUTED_VALUE"""),2856948)</f>
        <v/>
      </c>
      <c r="H66" s="27" t="n"/>
    </row>
    <row r="67" ht="17.25" customHeight="1" s="322">
      <c r="A67" s="27" t="n"/>
      <c r="B67" s="506">
        <f>IFERROR(__xludf.DUMMYFUNCTION("""COMPUTED_VALUE"""),45924.6666666666)</f>
        <v/>
      </c>
      <c r="C67" s="141">
        <f>IFERROR(__xludf.DUMMYFUNCTION("""COMPUTED_VALUE"""),111.41)</f>
        <v/>
      </c>
      <c r="D67" s="141">
        <f>IFERROR(__xludf.DUMMYFUNCTION("""COMPUTED_VALUE"""),111.43)</f>
        <v/>
      </c>
      <c r="E67" s="141">
        <f>IFERROR(__xludf.DUMMYFUNCTION("""COMPUTED_VALUE"""),111.23)</f>
        <v/>
      </c>
      <c r="F67" s="141">
        <f>IFERROR(__xludf.DUMMYFUNCTION("""COMPUTED_VALUE"""),111.27)</f>
        <v/>
      </c>
      <c r="G67" s="143">
        <f>IFERROR(__xludf.DUMMYFUNCTION("""COMPUTED_VALUE"""),2236508)</f>
        <v/>
      </c>
      <c r="H67" s="27" t="n"/>
    </row>
    <row r="68" ht="17.25" customHeight="1" s="322">
      <c r="A68" s="27" t="n"/>
      <c r="B68" s="506">
        <f>IFERROR(__xludf.DUMMYFUNCTION("""COMPUTED_VALUE"""),45925.6666666666)</f>
        <v/>
      </c>
      <c r="C68" s="141">
        <f>IFERROR(__xludf.DUMMYFUNCTION("""COMPUTED_VALUE"""),111.11)</f>
        <v/>
      </c>
      <c r="D68" s="141">
        <f>IFERROR(__xludf.DUMMYFUNCTION("""COMPUTED_VALUE"""),111.17)</f>
        <v/>
      </c>
      <c r="E68" s="141">
        <f>IFERROR(__xludf.DUMMYFUNCTION("""COMPUTED_VALUE"""),110.94)</f>
        <v/>
      </c>
      <c r="F68" s="141">
        <f>IFERROR(__xludf.DUMMYFUNCTION("""COMPUTED_VALUE"""),111.09)</f>
        <v/>
      </c>
      <c r="G68" s="143">
        <f>IFERROR(__xludf.DUMMYFUNCTION("""COMPUTED_VALUE"""),4019946)</f>
        <v/>
      </c>
      <c r="H68" s="27" t="n"/>
    </row>
    <row r="69" ht="17.25" customHeight="1" s="322">
      <c r="A69" s="27" t="n"/>
      <c r="B69" s="506">
        <f>IFERROR(__xludf.DUMMYFUNCTION("""COMPUTED_VALUE"""),45926.6666666666)</f>
        <v/>
      </c>
      <c r="C69" s="141">
        <f>IFERROR(__xludf.DUMMYFUNCTION("""COMPUTED_VALUE"""),111.16)</f>
        <v/>
      </c>
      <c r="D69" s="141">
        <f>IFERROR(__xludf.DUMMYFUNCTION("""COMPUTED_VALUE"""),111.29)</f>
        <v/>
      </c>
      <c r="E69" s="141">
        <f>IFERROR(__xludf.DUMMYFUNCTION("""COMPUTED_VALUE"""),111.01)</f>
        <v/>
      </c>
      <c r="F69" s="141">
        <f>IFERROR(__xludf.DUMMYFUNCTION("""COMPUTED_VALUE"""),111.11)</f>
        <v/>
      </c>
      <c r="G69" s="143">
        <f>IFERROR(__xludf.DUMMYFUNCTION("""COMPUTED_VALUE"""),2790024)</f>
        <v/>
      </c>
      <c r="H69" s="27" t="n"/>
    </row>
    <row r="70" ht="17.25" customHeight="1" s="322">
      <c r="A70" s="27" t="n"/>
      <c r="B70" s="506">
        <f>IFERROR(__xludf.DUMMYFUNCTION("""COMPUTED_VALUE"""),45929.6666666666)</f>
        <v/>
      </c>
      <c r="C70" s="141">
        <f>IFERROR(__xludf.DUMMYFUNCTION("""COMPUTED_VALUE"""),111.21)</f>
        <v/>
      </c>
      <c r="D70" s="141">
        <f>IFERROR(__xludf.DUMMYFUNCTION("""COMPUTED_VALUE"""),111.3)</f>
        <v/>
      </c>
      <c r="E70" s="141">
        <f>IFERROR(__xludf.DUMMYFUNCTION("""COMPUTED_VALUE"""),111.16)</f>
        <v/>
      </c>
      <c r="F70" s="141">
        <f>IFERROR(__xludf.DUMMYFUNCTION("""COMPUTED_VALUE"""),111.25)</f>
        <v/>
      </c>
      <c r="G70" s="143">
        <f>IFERROR(__xludf.DUMMYFUNCTION("""COMPUTED_VALUE"""),2524807)</f>
        <v/>
      </c>
      <c r="H70" s="27" t="n"/>
    </row>
    <row r="71" ht="17.25" customHeight="1" s="322">
      <c r="A71" s="27" t="n"/>
      <c r="B71" s="506">
        <f>IFERROR(__xludf.DUMMYFUNCTION("""COMPUTED_VALUE"""),45930.6666666666)</f>
        <v/>
      </c>
      <c r="C71" s="141">
        <f>IFERROR(__xludf.DUMMYFUNCTION("""COMPUTED_VALUE"""),111.26)</f>
        <v/>
      </c>
      <c r="D71" s="141">
        <f>IFERROR(__xludf.DUMMYFUNCTION("""COMPUTED_VALUE"""),111.4)</f>
        <v/>
      </c>
      <c r="E71" s="141">
        <f>IFERROR(__xludf.DUMMYFUNCTION("""COMPUTED_VALUE"""),111.18)</f>
        <v/>
      </c>
      <c r="F71" s="141">
        <f>IFERROR(__xludf.DUMMYFUNCTION("""COMPUTED_VALUE"""),111.22)</f>
        <v/>
      </c>
      <c r="G71" s="143">
        <f>IFERROR(__xludf.DUMMYFUNCTION("""COMPUTED_VALUE"""),2985169)</f>
        <v/>
      </c>
      <c r="H71" s="27" t="n"/>
    </row>
    <row r="72" ht="17.25" customHeight="1" s="322">
      <c r="A72" s="27" t="n"/>
      <c r="B72" s="506">
        <f>IFERROR(__xludf.DUMMYFUNCTION("""COMPUTED_VALUE"""),45931.6666666666)</f>
        <v/>
      </c>
      <c r="C72" s="141">
        <f>IFERROR(__xludf.DUMMYFUNCTION("""COMPUTED_VALUE"""),111.3)</f>
        <v/>
      </c>
      <c r="D72" s="141">
        <f>IFERROR(__xludf.DUMMYFUNCTION("""COMPUTED_VALUE"""),111.36)</f>
        <v/>
      </c>
      <c r="E72" s="141">
        <f>IFERROR(__xludf.DUMMYFUNCTION("""COMPUTED_VALUE"""),111.11)</f>
        <v/>
      </c>
      <c r="F72" s="141">
        <f>IFERROR(__xludf.DUMMYFUNCTION("""COMPUTED_VALUE"""),111.22)</f>
        <v/>
      </c>
      <c r="G72" s="143">
        <f>IFERROR(__xludf.DUMMYFUNCTION("""COMPUTED_VALUE"""),3796449)</f>
        <v/>
      </c>
      <c r="H72" s="27" t="n"/>
    </row>
    <row r="73" ht="17.25" customHeight="1" s="322">
      <c r="A73" s="27" t="n"/>
      <c r="B73" s="506">
        <f>IFERROR(__xludf.DUMMYFUNCTION("""COMPUTED_VALUE"""),45932.6666666666)</f>
        <v/>
      </c>
      <c r="C73" s="141">
        <f>IFERROR(__xludf.DUMMYFUNCTION("""COMPUTED_VALUE"""),111.2)</f>
        <v/>
      </c>
      <c r="D73" s="141">
        <f>IFERROR(__xludf.DUMMYFUNCTION("""COMPUTED_VALUE"""),111.31)</f>
        <v/>
      </c>
      <c r="E73" s="141">
        <f>IFERROR(__xludf.DUMMYFUNCTION("""COMPUTED_VALUE"""),111.15)</f>
        <v/>
      </c>
      <c r="F73" s="141">
        <f>IFERROR(__xludf.DUMMYFUNCTION("""COMPUTED_VALUE"""),111.17)</f>
        <v/>
      </c>
      <c r="G73" s="143">
        <f>IFERROR(__xludf.DUMMYFUNCTION("""COMPUTED_VALUE"""),3162417)</f>
        <v/>
      </c>
      <c r="H73" s="27" t="n"/>
    </row>
    <row r="74" ht="17.25" customHeight="1" s="322">
      <c r="A74" s="27" t="n"/>
      <c r="B74" s="506">
        <f>IFERROR(__xludf.DUMMYFUNCTION("""COMPUTED_VALUE"""),45933.6666666666)</f>
        <v/>
      </c>
      <c r="C74" s="141">
        <f>IFERROR(__xludf.DUMMYFUNCTION("""COMPUTED_VALUE"""),111.26)</f>
        <v/>
      </c>
      <c r="D74" s="141">
        <f>IFERROR(__xludf.DUMMYFUNCTION("""COMPUTED_VALUE"""),111.29)</f>
        <v/>
      </c>
      <c r="E74" s="141">
        <f>IFERROR(__xludf.DUMMYFUNCTION("""COMPUTED_VALUE"""),111.04)</f>
        <v/>
      </c>
      <c r="F74" s="141">
        <f>IFERROR(__xludf.DUMMYFUNCTION("""COMPUTED_VALUE"""),111.05)</f>
        <v/>
      </c>
      <c r="G74" s="143">
        <f>IFERROR(__xludf.DUMMYFUNCTION("""COMPUTED_VALUE"""),2184023)</f>
        <v/>
      </c>
      <c r="H74" s="27" t="n"/>
    </row>
    <row r="75" ht="17.25" customHeight="1" s="322">
      <c r="A75" s="27" t="n"/>
      <c r="B75" s="506">
        <f>IFERROR(__xludf.DUMMYFUNCTION("""COMPUTED_VALUE"""),45936.6666666666)</f>
        <v/>
      </c>
      <c r="C75" s="141">
        <f>IFERROR(__xludf.DUMMYFUNCTION("""COMPUTED_VALUE"""),110.92)</f>
        <v/>
      </c>
      <c r="D75" s="141">
        <f>IFERROR(__xludf.DUMMYFUNCTION("""COMPUTED_VALUE"""),111.06)</f>
        <v/>
      </c>
      <c r="E75" s="141">
        <f>IFERROR(__xludf.DUMMYFUNCTION("""COMPUTED_VALUE"""),110.84)</f>
        <v/>
      </c>
      <c r="F75" s="141">
        <f>IFERROR(__xludf.DUMMYFUNCTION("""COMPUTED_VALUE"""),110.86)</f>
        <v/>
      </c>
      <c r="G75" s="143">
        <f>IFERROR(__xludf.DUMMYFUNCTION("""COMPUTED_VALUE"""),2262443)</f>
        <v/>
      </c>
      <c r="H75" s="27" t="n"/>
    </row>
    <row r="76" ht="17.25" customHeight="1" s="322">
      <c r="A76" s="27" t="n"/>
      <c r="B76" s="506">
        <f>IFERROR(__xludf.DUMMYFUNCTION("""COMPUTED_VALUE"""),45937.6666666666)</f>
        <v/>
      </c>
      <c r="C76" s="141">
        <f>IFERROR(__xludf.DUMMYFUNCTION("""COMPUTED_VALUE"""),110.99)</f>
        <v/>
      </c>
      <c r="D76" s="141">
        <f>IFERROR(__xludf.DUMMYFUNCTION("""COMPUTED_VALUE"""),111.24)</f>
        <v/>
      </c>
      <c r="E76" s="141">
        <f>IFERROR(__xludf.DUMMYFUNCTION("""COMPUTED_VALUE"""),110.95)</f>
        <v/>
      </c>
      <c r="F76" s="141">
        <f>IFERROR(__xludf.DUMMYFUNCTION("""COMPUTED_VALUE"""),111.17)</f>
        <v/>
      </c>
      <c r="G76" s="143">
        <f>IFERROR(__xludf.DUMMYFUNCTION("""COMPUTED_VALUE"""),2714908)</f>
        <v/>
      </c>
      <c r="H76" s="27" t="n"/>
    </row>
    <row r="77" ht="17.25" customHeight="1" s="322">
      <c r="A77" s="27" t="n"/>
      <c r="B77" s="506">
        <f>IFERROR(__xludf.DUMMYFUNCTION("""COMPUTED_VALUE"""),45938.6666666666)</f>
        <v/>
      </c>
      <c r="C77" s="141">
        <f>IFERROR(__xludf.DUMMYFUNCTION("""COMPUTED_VALUE"""),111.37)</f>
        <v/>
      </c>
      <c r="D77" s="141">
        <f>IFERROR(__xludf.DUMMYFUNCTION("""COMPUTED_VALUE"""),111.38)</f>
        <v/>
      </c>
      <c r="E77" s="141">
        <f>IFERROR(__xludf.DUMMYFUNCTION("""COMPUTED_VALUE"""),111.21)</f>
        <v/>
      </c>
      <c r="F77" s="141">
        <f>IFERROR(__xludf.DUMMYFUNCTION("""COMPUTED_VALUE"""),111.25)</f>
        <v/>
      </c>
      <c r="G77" s="143">
        <f>IFERROR(__xludf.DUMMYFUNCTION("""COMPUTED_VALUE"""),2273256)</f>
        <v/>
      </c>
      <c r="H77" s="27" t="n"/>
    </row>
    <row r="78" ht="17.25" customHeight="1" s="322">
      <c r="A78" s="27" t="n"/>
      <c r="B78" s="506">
        <f>IFERROR(__xludf.DUMMYFUNCTION("""COMPUTED_VALUE"""),45939.6666666666)</f>
        <v/>
      </c>
      <c r="C78" s="141">
        <f>IFERROR(__xludf.DUMMYFUNCTION("""COMPUTED_VALUE"""),111.24)</f>
        <v/>
      </c>
      <c r="D78" s="141">
        <f>IFERROR(__xludf.DUMMYFUNCTION("""COMPUTED_VALUE"""),111.27)</f>
        <v/>
      </c>
      <c r="E78" s="141">
        <f>IFERROR(__xludf.DUMMYFUNCTION("""COMPUTED_VALUE"""),111.09)</f>
        <v/>
      </c>
      <c r="F78" s="141">
        <f>IFERROR(__xludf.DUMMYFUNCTION("""COMPUTED_VALUE"""),111.12)</f>
        <v/>
      </c>
      <c r="G78" s="143">
        <f>IFERROR(__xludf.DUMMYFUNCTION("""COMPUTED_VALUE"""),2491596)</f>
        <v/>
      </c>
      <c r="H78" s="27" t="n"/>
    </row>
    <row r="79" ht="17.25" customHeight="1" s="322">
      <c r="A79" s="27" t="n"/>
      <c r="B79" s="506">
        <f>IFERROR(__xludf.DUMMYFUNCTION("""COMPUTED_VALUE"""),45940.6666666666)</f>
        <v/>
      </c>
      <c r="C79" s="141">
        <f>IFERROR(__xludf.DUMMYFUNCTION("""COMPUTED_VALUE"""),111.42)</f>
        <v/>
      </c>
      <c r="D79" s="141">
        <f>IFERROR(__xludf.DUMMYFUNCTION("""COMPUTED_VALUE"""),111.66)</f>
        <v/>
      </c>
      <c r="E79" s="141">
        <f>IFERROR(__xludf.DUMMYFUNCTION("""COMPUTED_VALUE"""),111.37)</f>
        <v/>
      </c>
      <c r="F79" s="141">
        <f>IFERROR(__xludf.DUMMYFUNCTION("""COMPUTED_VALUE"""),111.51)</f>
        <v/>
      </c>
      <c r="G79" s="143">
        <f>IFERROR(__xludf.DUMMYFUNCTION("""COMPUTED_VALUE"""),4018883)</f>
        <v/>
      </c>
      <c r="H79" s="27" t="n"/>
    </row>
    <row r="80" ht="17.25" customHeight="1" s="322">
      <c r="A80" s="27" t="n"/>
      <c r="B80" s="506">
        <f>IFERROR(__xludf.DUMMYFUNCTION("""COMPUTED_VALUE"""),45943.6666666666)</f>
        <v/>
      </c>
      <c r="C80" s="141">
        <f>IFERROR(__xludf.DUMMYFUNCTION("""COMPUTED_VALUE"""),111.56)</f>
        <v/>
      </c>
      <c r="D80" s="141">
        <f>IFERROR(__xludf.DUMMYFUNCTION("""COMPUTED_VALUE"""),111.79)</f>
        <v/>
      </c>
      <c r="E80" s="141">
        <f>IFERROR(__xludf.DUMMYFUNCTION("""COMPUTED_VALUE"""),111.45)</f>
        <v/>
      </c>
      <c r="F80" s="141">
        <f>IFERROR(__xludf.DUMMYFUNCTION("""COMPUTED_VALUE"""),111.79)</f>
        <v/>
      </c>
      <c r="G80" s="143">
        <f>IFERROR(__xludf.DUMMYFUNCTION("""COMPUTED_VALUE"""),2206487)</f>
        <v/>
      </c>
      <c r="H80" s="27" t="n"/>
    </row>
    <row r="81" ht="17.25" customHeight="1" s="322">
      <c r="A81" s="27" t="n"/>
      <c r="B81" s="506">
        <f>IFERROR(__xludf.DUMMYFUNCTION("""COMPUTED_VALUE"""),45944.6666666666)</f>
        <v/>
      </c>
      <c r="C81" s="141">
        <f>IFERROR(__xludf.DUMMYFUNCTION("""COMPUTED_VALUE"""),111.6)</f>
        <v/>
      </c>
      <c r="D81" s="141">
        <f>IFERROR(__xludf.DUMMYFUNCTION("""COMPUTED_VALUE"""),111.76)</f>
        <v/>
      </c>
      <c r="E81" s="141">
        <f>IFERROR(__xludf.DUMMYFUNCTION("""COMPUTED_VALUE"""),111.57)</f>
        <v/>
      </c>
      <c r="F81" s="141">
        <f>IFERROR(__xludf.DUMMYFUNCTION("""COMPUTED_VALUE"""),111.67)</f>
        <v/>
      </c>
      <c r="G81" s="143">
        <f>IFERROR(__xludf.DUMMYFUNCTION("""COMPUTED_VALUE"""),4469208)</f>
        <v/>
      </c>
      <c r="H81" s="27" t="n"/>
    </row>
    <row r="82" ht="17.25" customHeight="1" s="322">
      <c r="A82" s="27" t="n"/>
      <c r="B82" s="506">
        <f>IFERROR(__xludf.DUMMYFUNCTION("""COMPUTED_VALUE"""),45945.6666666666)</f>
        <v/>
      </c>
      <c r="C82" s="141">
        <f>IFERROR(__xludf.DUMMYFUNCTION("""COMPUTED_VALUE"""),111.81)</f>
        <v/>
      </c>
      <c r="D82" s="141">
        <f>IFERROR(__xludf.DUMMYFUNCTION("""COMPUTED_VALUE"""),111.89)</f>
        <v/>
      </c>
      <c r="E82" s="141">
        <f>IFERROR(__xludf.DUMMYFUNCTION("""COMPUTED_VALUE"""),111.51)</f>
        <v/>
      </c>
      <c r="F82" s="141">
        <f>IFERROR(__xludf.DUMMYFUNCTION("""COMPUTED_VALUE"""),111.64)</f>
        <v/>
      </c>
      <c r="G82" s="143">
        <f>IFERROR(__xludf.DUMMYFUNCTION("""COMPUTED_VALUE"""),3018703)</f>
        <v/>
      </c>
      <c r="H82" s="27" t="n"/>
    </row>
    <row r="83" ht="17.25" customHeight="1" s="322">
      <c r="A83" s="27" t="n"/>
      <c r="B83" s="506">
        <f>IFERROR(__xludf.DUMMYFUNCTION("""COMPUTED_VALUE"""),45946.6666666666)</f>
        <v/>
      </c>
      <c r="C83" s="141">
        <f>IFERROR(__xludf.DUMMYFUNCTION("""COMPUTED_VALUE"""),111.57)</f>
        <v/>
      </c>
      <c r="D83" s="141">
        <f>IFERROR(__xludf.DUMMYFUNCTION("""COMPUTED_VALUE"""),111.92)</f>
        <v/>
      </c>
      <c r="E83" s="141">
        <f>IFERROR(__xludf.DUMMYFUNCTION("""COMPUTED_VALUE"""),111.54)</f>
        <v/>
      </c>
      <c r="F83" s="141">
        <f>IFERROR(__xludf.DUMMYFUNCTION("""COMPUTED_VALUE"""),111.9)</f>
        <v/>
      </c>
      <c r="G83" s="143">
        <f>IFERROR(__xludf.DUMMYFUNCTION("""COMPUTED_VALUE"""),2687270)</f>
        <v/>
      </c>
      <c r="H83" s="27" t="n"/>
    </row>
    <row r="84" ht="17.25" customHeight="1" s="322">
      <c r="A84" s="27" t="n"/>
      <c r="B84" s="506">
        <f>IFERROR(__xludf.DUMMYFUNCTION("""COMPUTED_VALUE"""),45947.6666666666)</f>
        <v/>
      </c>
      <c r="C84" s="141">
        <f>IFERROR(__xludf.DUMMYFUNCTION("""COMPUTED_VALUE"""),111.91)</f>
        <v/>
      </c>
      <c r="D84" s="141">
        <f>IFERROR(__xludf.DUMMYFUNCTION("""COMPUTED_VALUE"""),111.92)</f>
        <v/>
      </c>
      <c r="E84" s="141">
        <f>IFERROR(__xludf.DUMMYFUNCTION("""COMPUTED_VALUE"""),111.65)</f>
        <v/>
      </c>
      <c r="F84" s="141">
        <f>IFERROR(__xludf.DUMMYFUNCTION("""COMPUTED_VALUE"""),111.68)</f>
        <v/>
      </c>
      <c r="G84" s="143">
        <f>IFERROR(__xludf.DUMMYFUNCTION("""COMPUTED_VALUE"""),1739728)</f>
        <v/>
      </c>
      <c r="H84" s="27" t="n"/>
    </row>
    <row r="85" ht="17.25" customHeight="1" s="322">
      <c r="A85" s="27" t="n"/>
      <c r="B85" s="506">
        <f>IFERROR(__xludf.DUMMYFUNCTION("""COMPUTED_VALUE"""),45950.6666666666)</f>
        <v/>
      </c>
      <c r="C85" s="141">
        <f>IFERROR(__xludf.DUMMYFUNCTION("""COMPUTED_VALUE"""),111.77)</f>
        <v/>
      </c>
      <c r="D85" s="141">
        <f>IFERROR(__xludf.DUMMYFUNCTION("""COMPUTED_VALUE"""),111.8)</f>
        <v/>
      </c>
      <c r="E85" s="141">
        <f>IFERROR(__xludf.DUMMYFUNCTION("""COMPUTED_VALUE"""),111.7)</f>
        <v/>
      </c>
      <c r="F85" s="141">
        <f>IFERROR(__xludf.DUMMYFUNCTION("""COMPUTED_VALUE"""),111.78)</f>
        <v/>
      </c>
      <c r="G85" s="143">
        <f>IFERROR(__xludf.DUMMYFUNCTION("""COMPUTED_VALUE"""),2108492)</f>
        <v/>
      </c>
      <c r="H85" s="27" t="n"/>
    </row>
    <row r="86" ht="17.25" customHeight="1" s="322">
      <c r="A86" s="27" t="n"/>
      <c r="B86" s="506">
        <f>IFERROR(__xludf.DUMMYFUNCTION("""COMPUTED_VALUE"""),45951.6666666666)</f>
        <v/>
      </c>
      <c r="C86" s="141">
        <f>IFERROR(__xludf.DUMMYFUNCTION("""COMPUTED_VALUE"""),112.04)</f>
        <v/>
      </c>
      <c r="D86" s="141">
        <f>IFERROR(__xludf.DUMMYFUNCTION("""COMPUTED_VALUE"""),112.11)</f>
        <v/>
      </c>
      <c r="E86" s="141">
        <f>IFERROR(__xludf.DUMMYFUNCTION("""COMPUTED_VALUE"""),112)</f>
        <v/>
      </c>
      <c r="F86" s="141">
        <f>IFERROR(__xludf.DUMMYFUNCTION("""COMPUTED_VALUE"""),112.02)</f>
        <v/>
      </c>
      <c r="G86" s="143">
        <f>IFERROR(__xludf.DUMMYFUNCTION("""COMPUTED_VALUE"""),2702397)</f>
        <v/>
      </c>
      <c r="H86" s="27" t="n"/>
    </row>
    <row r="87" ht="17.25" customHeight="1" s="322">
      <c r="A87" s="27" t="n"/>
      <c r="B87" s="506">
        <f>IFERROR(__xludf.DUMMYFUNCTION("""COMPUTED_VALUE"""),45952.6666666666)</f>
        <v/>
      </c>
      <c r="C87" s="141">
        <f>IFERROR(__xludf.DUMMYFUNCTION("""COMPUTED_VALUE"""),112.12)</f>
        <v/>
      </c>
      <c r="D87" s="141">
        <f>IFERROR(__xludf.DUMMYFUNCTION("""COMPUTED_VALUE"""),112.24)</f>
        <v/>
      </c>
      <c r="E87" s="141">
        <f>IFERROR(__xludf.DUMMYFUNCTION("""COMPUTED_VALUE"""),112.03)</f>
        <v/>
      </c>
      <c r="F87" s="141">
        <f>IFERROR(__xludf.DUMMYFUNCTION("""COMPUTED_VALUE"""),112.2)</f>
        <v/>
      </c>
      <c r="G87" s="143">
        <f>IFERROR(__xludf.DUMMYFUNCTION("""COMPUTED_VALUE"""),2898237)</f>
        <v/>
      </c>
      <c r="H87" s="27" t="n"/>
    </row>
    <row r="88" ht="17.25" customHeight="1" s="322">
      <c r="A88" s="27" t="n"/>
      <c r="B88" s="506">
        <f>IFERROR(__xludf.DUMMYFUNCTION("""COMPUTED_VALUE"""),45953.6666666666)</f>
        <v/>
      </c>
      <c r="C88" s="141">
        <f>IFERROR(__xludf.DUMMYFUNCTION("""COMPUTED_VALUE"""),112.11)</f>
        <v/>
      </c>
      <c r="D88" s="141">
        <f>IFERROR(__xludf.DUMMYFUNCTION("""COMPUTED_VALUE"""),112.17)</f>
        <v/>
      </c>
      <c r="E88" s="141">
        <f>IFERROR(__xludf.DUMMYFUNCTION("""COMPUTED_VALUE"""),111.94)</f>
        <v/>
      </c>
      <c r="F88" s="141">
        <f>IFERROR(__xludf.DUMMYFUNCTION("""COMPUTED_VALUE"""),111.98)</f>
        <v/>
      </c>
      <c r="G88" s="143">
        <f>IFERROR(__xludf.DUMMYFUNCTION("""COMPUTED_VALUE"""),2645931)</f>
        <v/>
      </c>
      <c r="H88" s="27" t="n"/>
    </row>
    <row r="89" ht="17.25" customHeight="1" s="322">
      <c r="A89" s="27" t="n"/>
      <c r="B89" s="506">
        <f>IFERROR(__xludf.DUMMYFUNCTION("""COMPUTED_VALUE"""),45954.6666666666)</f>
        <v/>
      </c>
      <c r="C89" s="141">
        <f>IFERROR(__xludf.DUMMYFUNCTION("""COMPUTED_VALUE"""),111.91)</f>
        <v/>
      </c>
      <c r="D89" s="141">
        <f>IFERROR(__xludf.DUMMYFUNCTION("""COMPUTED_VALUE"""),112.02)</f>
        <v/>
      </c>
      <c r="E89" s="141">
        <f>IFERROR(__xludf.DUMMYFUNCTION("""COMPUTED_VALUE"""),111.76)</f>
        <v/>
      </c>
      <c r="F89" s="141">
        <f>IFERROR(__xludf.DUMMYFUNCTION("""COMPUTED_VALUE"""),111.97)</f>
        <v/>
      </c>
      <c r="G89" s="143">
        <f>IFERROR(__xludf.DUMMYFUNCTION("""COMPUTED_VALUE"""),1706681)</f>
        <v/>
      </c>
      <c r="H89" s="27" t="n"/>
    </row>
    <row r="90" ht="17.25" customHeight="1" s="322">
      <c r="A90" s="27" t="n"/>
      <c r="B90" s="506">
        <f>IFERROR(__xludf.DUMMYFUNCTION("""COMPUTED_VALUE"""),45957.6666666666)</f>
        <v/>
      </c>
      <c r="C90" s="141">
        <f>IFERROR(__xludf.DUMMYFUNCTION("""COMPUTED_VALUE"""),111.92)</f>
        <v/>
      </c>
      <c r="D90" s="141">
        <f>IFERROR(__xludf.DUMMYFUNCTION("""COMPUTED_VALUE"""),111.98)</f>
        <v/>
      </c>
      <c r="E90" s="141">
        <f>IFERROR(__xludf.DUMMYFUNCTION("""COMPUTED_VALUE"""),111.78)</f>
        <v/>
      </c>
      <c r="F90" s="141">
        <f>IFERROR(__xludf.DUMMYFUNCTION("""COMPUTED_VALUE"""),111.94)</f>
        <v/>
      </c>
      <c r="G90" s="143">
        <f>IFERROR(__xludf.DUMMYFUNCTION("""COMPUTED_VALUE"""),2753681)</f>
        <v/>
      </c>
      <c r="H90" s="27" t="n"/>
    </row>
    <row r="91" ht="17.25" customHeight="1" s="322">
      <c r="A91" s="27" t="n"/>
      <c r="B91" s="506">
        <f>IFERROR(__xludf.DUMMYFUNCTION("""COMPUTED_VALUE"""),45958.6666666666)</f>
        <v/>
      </c>
      <c r="C91" s="141">
        <f>IFERROR(__xludf.DUMMYFUNCTION("""COMPUTED_VALUE"""),111.94)</f>
        <v/>
      </c>
      <c r="D91" s="141">
        <f>IFERROR(__xludf.DUMMYFUNCTION("""COMPUTED_VALUE"""),112.04)</f>
        <v/>
      </c>
      <c r="E91" s="141">
        <f>IFERROR(__xludf.DUMMYFUNCTION("""COMPUTED_VALUE"""),111.91)</f>
        <v/>
      </c>
      <c r="F91" s="141">
        <f>IFERROR(__xludf.DUMMYFUNCTION("""COMPUTED_VALUE"""),112.03)</f>
        <v/>
      </c>
      <c r="G91" s="143">
        <f>IFERROR(__xludf.DUMMYFUNCTION("""COMPUTED_VALUE"""),2608709)</f>
        <v/>
      </c>
      <c r="H91" s="27" t="n"/>
    </row>
    <row r="92" ht="17.25" customHeight="1" s="322">
      <c r="A92" s="27" t="n"/>
      <c r="B92" s="506">
        <f>IFERROR(__xludf.DUMMYFUNCTION("""COMPUTED_VALUE"""),45959.6666666666)</f>
        <v/>
      </c>
      <c r="C92" s="141">
        <f>IFERROR(__xludf.DUMMYFUNCTION("""COMPUTED_VALUE"""),111.93)</f>
        <v/>
      </c>
      <c r="D92" s="141">
        <f>IFERROR(__xludf.DUMMYFUNCTION("""COMPUTED_VALUE"""),112.04)</f>
        <v/>
      </c>
      <c r="E92" s="141">
        <f>IFERROR(__xludf.DUMMYFUNCTION("""COMPUTED_VALUE"""),111.39)</f>
        <v/>
      </c>
      <c r="F92" s="141">
        <f>IFERROR(__xludf.DUMMYFUNCTION("""COMPUTED_VALUE"""),111.44)</f>
        <v/>
      </c>
      <c r="G92" s="143">
        <f>IFERROR(__xludf.DUMMYFUNCTION("""COMPUTED_VALUE"""),2976459)</f>
        <v/>
      </c>
      <c r="H92" s="27" t="n"/>
    </row>
    <row r="93" ht="17.25" customHeight="1" s="322">
      <c r="A93" s="27" t="n"/>
      <c r="B93" s="506">
        <f>IFERROR(__xludf.DUMMYFUNCTION("""COMPUTED_VALUE"""),45960.6666666666)</f>
        <v/>
      </c>
      <c r="C93" s="141">
        <f>IFERROR(__xludf.DUMMYFUNCTION("""COMPUTED_VALUE"""),111.16)</f>
        <v/>
      </c>
      <c r="D93" s="141">
        <f>IFERROR(__xludf.DUMMYFUNCTION("""COMPUTED_VALUE"""),111.4)</f>
        <v/>
      </c>
      <c r="E93" s="141">
        <f>IFERROR(__xludf.DUMMYFUNCTION("""COMPUTED_VALUE"""),111.15)</f>
        <v/>
      </c>
      <c r="F93" s="141">
        <f>IFERROR(__xludf.DUMMYFUNCTION("""COMPUTED_VALUE"""),111.2)</f>
        <v/>
      </c>
      <c r="G93" s="143">
        <f>IFERROR(__xludf.DUMMYFUNCTION("""COMPUTED_VALUE"""),3977067)</f>
        <v/>
      </c>
      <c r="H93" s="27" t="n"/>
    </row>
    <row r="94" ht="17.25" customHeight="1" s="322">
      <c r="A94" s="27" t="n"/>
      <c r="B94" s="506">
        <f>IFERROR(__xludf.DUMMYFUNCTION("""COMPUTED_VALUE"""),45961.6666666666)</f>
        <v/>
      </c>
      <c r="C94" s="141">
        <f>IFERROR(__xludf.DUMMYFUNCTION("""COMPUTED_VALUE"""),111.32)</f>
        <v/>
      </c>
      <c r="D94" s="141">
        <f>IFERROR(__xludf.DUMMYFUNCTION("""COMPUTED_VALUE"""),111.41)</f>
        <v/>
      </c>
      <c r="E94" s="141">
        <f>IFERROR(__xludf.DUMMYFUNCTION("""COMPUTED_VALUE"""),111.26)</f>
        <v/>
      </c>
      <c r="F94" s="141">
        <f>IFERROR(__xludf.DUMMYFUNCTION("""COMPUTED_VALUE"""),111.38)</f>
        <v/>
      </c>
      <c r="G94" s="143">
        <f>IFERROR(__xludf.DUMMYFUNCTION("""COMPUTED_VALUE"""),2249280)</f>
        <v/>
      </c>
      <c r="H94" s="27" t="n"/>
    </row>
    <row r="95" ht="17.25" customHeight="1" s="322">
      <c r="A95" s="27" t="n"/>
      <c r="B95" s="506">
        <f>IFERROR(__xludf.DUMMYFUNCTION("""COMPUTED_VALUE"""),45964.6666666666)</f>
        <v/>
      </c>
      <c r="C95" s="141">
        <f>IFERROR(__xludf.DUMMYFUNCTION("""COMPUTED_VALUE"""),110.94)</f>
        <v/>
      </c>
      <c r="D95" s="141">
        <f>IFERROR(__xludf.DUMMYFUNCTION("""COMPUTED_VALUE"""),111.03)</f>
        <v/>
      </c>
      <c r="E95" s="141">
        <f>IFERROR(__xludf.DUMMYFUNCTION("""COMPUTED_VALUE"""),110.84)</f>
        <v/>
      </c>
      <c r="F95" s="141">
        <f>IFERROR(__xludf.DUMMYFUNCTION("""COMPUTED_VALUE"""),110.94)</f>
        <v/>
      </c>
      <c r="G95" s="143">
        <f>IFERROR(__xludf.DUMMYFUNCTION("""COMPUTED_VALUE"""),3887154)</f>
        <v/>
      </c>
      <c r="H95" s="27" t="n"/>
    </row>
    <row r="96" ht="17.25" customHeight="1" s="322">
      <c r="A96" s="27" t="n"/>
      <c r="B96" s="506">
        <f>IFERROR(__xludf.DUMMYFUNCTION("""COMPUTED_VALUE"""),45965.6666666666)</f>
        <v/>
      </c>
      <c r="C96" s="141">
        <f>IFERROR(__xludf.DUMMYFUNCTION("""COMPUTED_VALUE"""),110.96)</f>
        <v/>
      </c>
      <c r="D96" s="141">
        <f>IFERROR(__xludf.DUMMYFUNCTION("""COMPUTED_VALUE"""),111.09)</f>
        <v/>
      </c>
      <c r="E96" s="141">
        <f>IFERROR(__xludf.DUMMYFUNCTION("""COMPUTED_VALUE"""),110.93)</f>
        <v/>
      </c>
      <c r="F96" s="141">
        <f>IFERROR(__xludf.DUMMYFUNCTION("""COMPUTED_VALUE"""),110.99)</f>
        <v/>
      </c>
      <c r="G96" s="143">
        <f>IFERROR(__xludf.DUMMYFUNCTION("""COMPUTED_VALUE"""),4858731)</f>
        <v/>
      </c>
      <c r="H96" s="27" t="n"/>
    </row>
    <row r="97" ht="17.25" customHeight="1" s="322">
      <c r="A97" s="27" t="n"/>
      <c r="B97" s="506">
        <f>IFERROR(__xludf.DUMMYFUNCTION("""COMPUTED_VALUE"""),45966.6666666666)</f>
        <v/>
      </c>
      <c r="C97" s="141">
        <f>IFERROR(__xludf.DUMMYFUNCTION("""COMPUTED_VALUE"""),110.83)</f>
        <v/>
      </c>
      <c r="D97" s="141">
        <f>IFERROR(__xludf.DUMMYFUNCTION("""COMPUTED_VALUE"""),110.87)</f>
        <v/>
      </c>
      <c r="E97" s="141">
        <f>IFERROR(__xludf.DUMMYFUNCTION("""COMPUTED_VALUE"""),110.55)</f>
        <v/>
      </c>
      <c r="F97" s="141">
        <f>IFERROR(__xludf.DUMMYFUNCTION("""COMPUTED_VALUE"""),110.58)</f>
        <v/>
      </c>
      <c r="G97" s="143">
        <f>IFERROR(__xludf.DUMMYFUNCTION("""COMPUTED_VALUE"""),3908719)</f>
        <v/>
      </c>
      <c r="H97" s="27" t="n"/>
    </row>
    <row r="98" ht="17.25" customHeight="1" s="322">
      <c r="A98" s="27" t="n"/>
      <c r="B98" s="506">
        <f>IFERROR(__xludf.DUMMYFUNCTION("""COMPUTED_VALUE"""),45967.6666666666)</f>
        <v/>
      </c>
      <c r="C98" s="141">
        <f>IFERROR(__xludf.DUMMYFUNCTION("""COMPUTED_VALUE"""),110.85)</f>
        <v/>
      </c>
      <c r="D98" s="141">
        <f>IFERROR(__xludf.DUMMYFUNCTION("""COMPUTED_VALUE"""),110.96)</f>
        <v/>
      </c>
      <c r="E98" s="141">
        <f>IFERROR(__xludf.DUMMYFUNCTION("""COMPUTED_VALUE"""),110.82)</f>
        <v/>
      </c>
      <c r="F98" s="141">
        <f>IFERROR(__xludf.DUMMYFUNCTION("""COMPUTED_VALUE"""),110.88)</f>
        <v/>
      </c>
      <c r="G98" s="143">
        <f>IFERROR(__xludf.DUMMYFUNCTION("""COMPUTED_VALUE"""),2394500)</f>
        <v/>
      </c>
      <c r="H98" s="27" t="n"/>
    </row>
    <row r="99" ht="17.25" customHeight="1" s="322">
      <c r="A99" s="27" t="n"/>
      <c r="B99" s="506">
        <f>IFERROR(__xludf.DUMMYFUNCTION("""COMPUTED_VALUE"""),45968.6666666666)</f>
        <v/>
      </c>
      <c r="C99" s="141">
        <f>IFERROR(__xludf.DUMMYFUNCTION("""COMPUTED_VALUE"""),110.7)</f>
        <v/>
      </c>
      <c r="D99" s="141">
        <f>IFERROR(__xludf.DUMMYFUNCTION("""COMPUTED_VALUE"""),110.99)</f>
        <v/>
      </c>
      <c r="E99" s="141">
        <f>IFERROR(__xludf.DUMMYFUNCTION("""COMPUTED_VALUE"""),110.7)</f>
        <v/>
      </c>
      <c r="F99" s="141">
        <f>IFERROR(__xludf.DUMMYFUNCTION("""COMPUTED_VALUE"""),110.9)</f>
        <v/>
      </c>
      <c r="G99" s="143">
        <f>IFERROR(__xludf.DUMMYFUNCTION("""COMPUTED_VALUE"""),3097568)</f>
        <v/>
      </c>
      <c r="H99" s="27" t="n"/>
    </row>
    <row r="100" ht="17.25" customHeight="1" s="322">
      <c r="A100" s="27" t="n"/>
      <c r="B100" s="506">
        <f>IFERROR(__xludf.DUMMYFUNCTION("""COMPUTED_VALUE"""),45971.6666666666)</f>
        <v/>
      </c>
      <c r="C100" s="141">
        <f>IFERROR(__xludf.DUMMYFUNCTION("""COMPUTED_VALUE"""),110.88)</f>
        <v/>
      </c>
      <c r="D100" s="141">
        <f>IFERROR(__xludf.DUMMYFUNCTION("""COMPUTED_VALUE"""),110.94)</f>
        <v/>
      </c>
      <c r="E100" s="141">
        <f>IFERROR(__xludf.DUMMYFUNCTION("""COMPUTED_VALUE"""),110.82)</f>
        <v/>
      </c>
      <c r="F100" s="141">
        <f>IFERROR(__xludf.DUMMYFUNCTION("""COMPUTED_VALUE"""),110.92)</f>
        <v/>
      </c>
      <c r="G100" s="143">
        <f>IFERROR(__xludf.DUMMYFUNCTION("""COMPUTED_VALUE"""),2354235)</f>
        <v/>
      </c>
      <c r="H100" s="27" t="n"/>
    </row>
    <row r="101" ht="17.25" customHeight="1" s="322">
      <c r="A101" s="27" t="n"/>
      <c r="B101" s="506">
        <f>IFERROR(__xludf.DUMMYFUNCTION("""COMPUTED_VALUE"""),45972.6666666666)</f>
        <v/>
      </c>
      <c r="C101" s="141">
        <f>IFERROR(__xludf.DUMMYFUNCTION("""COMPUTED_VALUE"""),111.15)</f>
        <v/>
      </c>
      <c r="D101" s="141">
        <f>IFERROR(__xludf.DUMMYFUNCTION("""COMPUTED_VALUE"""),111.37)</f>
        <v/>
      </c>
      <c r="E101" s="141">
        <f>IFERROR(__xludf.DUMMYFUNCTION("""COMPUTED_VALUE"""),111.09)</f>
        <v/>
      </c>
      <c r="F101" s="141">
        <f>IFERROR(__xludf.DUMMYFUNCTION("""COMPUTED_VALUE"""),111.37)</f>
        <v/>
      </c>
      <c r="G101" s="143">
        <f>IFERROR(__xludf.DUMMYFUNCTION("""COMPUTED_VALUE"""),3902049)</f>
        <v/>
      </c>
      <c r="H101" s="27" t="n"/>
    </row>
    <row r="102" ht="17.25" customHeight="1" s="322">
      <c r="A102" s="27" t="n"/>
      <c r="B102" s="506">
        <f>IFERROR(__xludf.DUMMYFUNCTION("""COMPUTED_VALUE"""),45973.6666666666)</f>
        <v/>
      </c>
      <c r="C102" s="141">
        <f>IFERROR(__xludf.DUMMYFUNCTION("""COMPUTED_VALUE"""),111.15)</f>
        <v/>
      </c>
      <c r="D102" s="141">
        <f>IFERROR(__xludf.DUMMYFUNCTION("""COMPUTED_VALUE"""),111.24)</f>
        <v/>
      </c>
      <c r="E102" s="141">
        <f>IFERROR(__xludf.DUMMYFUNCTION("""COMPUTED_VALUE"""),111.08)</f>
        <v/>
      </c>
      <c r="F102" s="141">
        <f>IFERROR(__xludf.DUMMYFUNCTION("""COMPUTED_VALUE"""),111.13)</f>
        <v/>
      </c>
      <c r="G102" s="143">
        <f>IFERROR(__xludf.DUMMYFUNCTION("""COMPUTED_VALUE"""),3297963)</f>
        <v/>
      </c>
      <c r="H102" s="27" t="n"/>
    </row>
    <row r="103" ht="17.25" customHeight="1" s="322">
      <c r="A103" s="27" t="n"/>
      <c r="B103" s="506">
        <f>IFERROR(__xludf.DUMMYFUNCTION("""COMPUTED_VALUE"""),45974.6666666666)</f>
        <v/>
      </c>
      <c r="C103" s="141">
        <f>IFERROR(__xludf.DUMMYFUNCTION("""COMPUTED_VALUE"""),111)</f>
        <v/>
      </c>
      <c r="D103" s="141">
        <f>IFERROR(__xludf.DUMMYFUNCTION("""COMPUTED_VALUE"""),111.09)</f>
        <v/>
      </c>
      <c r="E103" s="141">
        <f>IFERROR(__xludf.DUMMYFUNCTION("""COMPUTED_VALUE"""),110.88)</f>
        <v/>
      </c>
      <c r="F103" s="141">
        <f>IFERROR(__xludf.DUMMYFUNCTION("""COMPUTED_VALUE"""),110.88)</f>
        <v/>
      </c>
      <c r="G103" s="143">
        <f>IFERROR(__xludf.DUMMYFUNCTION("""COMPUTED_VALUE"""),2215528)</f>
        <v/>
      </c>
      <c r="H103" s="27" t="n"/>
    </row>
    <row r="104" ht="17.25" customHeight="1" s="322">
      <c r="A104" s="27" t="n"/>
      <c r="B104" s="506">
        <f>IFERROR(__xludf.DUMMYFUNCTION("""COMPUTED_VALUE"""),45975.6666666666)</f>
        <v/>
      </c>
      <c r="C104" s="141">
        <f>IFERROR(__xludf.DUMMYFUNCTION("""COMPUTED_VALUE"""),111.09)</f>
        <v/>
      </c>
      <c r="D104" s="141">
        <f>IFERROR(__xludf.DUMMYFUNCTION("""COMPUTED_VALUE"""),111.13)</f>
        <v/>
      </c>
      <c r="E104" s="141">
        <f>IFERROR(__xludf.DUMMYFUNCTION("""COMPUTED_VALUE"""),110.73)</f>
        <v/>
      </c>
      <c r="F104" s="141">
        <f>IFERROR(__xludf.DUMMYFUNCTION("""COMPUTED_VALUE"""),110.75)</f>
        <v/>
      </c>
      <c r="G104" s="143">
        <f>IFERROR(__xludf.DUMMYFUNCTION("""COMPUTED_VALUE"""),3059230)</f>
        <v/>
      </c>
      <c r="H104" s="27" t="n"/>
    </row>
    <row r="105" ht="17.25" customHeight="1" s="322">
      <c r="A105" s="27" t="n"/>
      <c r="B105" s="506">
        <f>IFERROR(__xludf.DUMMYFUNCTION("""COMPUTED_VALUE"""),45978.6666666666)</f>
        <v/>
      </c>
      <c r="C105" s="141">
        <f>IFERROR(__xludf.DUMMYFUNCTION("""COMPUTED_VALUE"""),110.85)</f>
        <v/>
      </c>
      <c r="D105" s="141">
        <f>IFERROR(__xludf.DUMMYFUNCTION("""COMPUTED_VALUE"""),110.87)</f>
        <v/>
      </c>
      <c r="E105" s="141">
        <f>IFERROR(__xludf.DUMMYFUNCTION("""COMPUTED_VALUE"""),110.76)</f>
        <v/>
      </c>
      <c r="F105" s="141">
        <f>IFERROR(__xludf.DUMMYFUNCTION("""COMPUTED_VALUE"""),110.77)</f>
        <v/>
      </c>
      <c r="G105" s="143">
        <f>IFERROR(__xludf.DUMMYFUNCTION("""COMPUTED_VALUE"""),2044061)</f>
        <v/>
      </c>
      <c r="H105" s="27" t="n"/>
    </row>
    <row r="106" ht="17.25" customHeight="1" s="322">
      <c r="A106" s="27" t="n"/>
      <c r="B106" s="506">
        <f>IFERROR(__xludf.DUMMYFUNCTION("""COMPUTED_VALUE"""),45979.6666666666)</f>
        <v/>
      </c>
      <c r="C106" s="141">
        <f>IFERROR(__xludf.DUMMYFUNCTION("""COMPUTED_VALUE"""),110.91)</f>
        <v/>
      </c>
      <c r="D106" s="141">
        <f>IFERROR(__xludf.DUMMYFUNCTION("""COMPUTED_VALUE"""),110.98)</f>
        <v/>
      </c>
      <c r="E106" s="141">
        <f>IFERROR(__xludf.DUMMYFUNCTION("""COMPUTED_VALUE"""),110.73)</f>
        <v/>
      </c>
      <c r="F106" s="141">
        <f>IFERROR(__xludf.DUMMYFUNCTION("""COMPUTED_VALUE"""),110.85)</f>
        <v/>
      </c>
      <c r="G106" s="143">
        <f>IFERROR(__xludf.DUMMYFUNCTION("""COMPUTED_VALUE"""),4616948)</f>
        <v/>
      </c>
      <c r="H106" s="27" t="n"/>
    </row>
    <row r="107" ht="17.25" customHeight="1" s="322">
      <c r="A107" s="27" t="n"/>
      <c r="B107" s="506">
        <f>IFERROR(__xludf.DUMMYFUNCTION("""COMPUTED_VALUE"""),45980.6666666666)</f>
        <v/>
      </c>
      <c r="C107" s="141">
        <f>IFERROR(__xludf.DUMMYFUNCTION("""COMPUTED_VALUE"""),110.89)</f>
        <v/>
      </c>
      <c r="D107" s="141">
        <f>IFERROR(__xludf.DUMMYFUNCTION("""COMPUTED_VALUE"""),110.91)</f>
        <v/>
      </c>
      <c r="E107" s="141">
        <f>IFERROR(__xludf.DUMMYFUNCTION("""COMPUTED_VALUE"""),110.68)</f>
        <v/>
      </c>
      <c r="F107" s="141">
        <f>IFERROR(__xludf.DUMMYFUNCTION("""COMPUTED_VALUE"""),110.71)</f>
        <v/>
      </c>
      <c r="G107" s="143">
        <f>IFERROR(__xludf.DUMMYFUNCTION("""COMPUTED_VALUE"""),2472486)</f>
        <v/>
      </c>
      <c r="H107" s="27" t="n"/>
    </row>
    <row r="108" ht="17.25" customHeight="1" s="322">
      <c r="A108" s="27" t="n"/>
      <c r="B108" s="506">
        <f>IFERROR(__xludf.DUMMYFUNCTION("""COMPUTED_VALUE"""),45981.6666666666)</f>
        <v/>
      </c>
      <c r="C108" s="141">
        <f>IFERROR(__xludf.DUMMYFUNCTION("""COMPUTED_VALUE"""),110.83)</f>
        <v/>
      </c>
      <c r="D108" s="141">
        <f>IFERROR(__xludf.DUMMYFUNCTION("""COMPUTED_VALUE"""),110.92)</f>
        <v/>
      </c>
      <c r="E108" s="141">
        <f>IFERROR(__xludf.DUMMYFUNCTION("""COMPUTED_VALUE"""),110.65)</f>
        <v/>
      </c>
      <c r="F108" s="141">
        <f>IFERROR(__xludf.DUMMYFUNCTION("""COMPUTED_VALUE"""),110.76)</f>
        <v/>
      </c>
      <c r="G108" s="143">
        <f>IFERROR(__xludf.DUMMYFUNCTION("""COMPUTED_VALUE"""),3091736)</f>
        <v/>
      </c>
      <c r="H108" s="27" t="n"/>
    </row>
    <row r="109" ht="17.25" customHeight="1" s="322">
      <c r="A109" s="27" t="n"/>
      <c r="B109" s="506">
        <f>IFERROR(__xludf.DUMMYFUNCTION("""COMPUTED_VALUE"""),45982.6666666666)</f>
        <v/>
      </c>
      <c r="C109" s="141">
        <f>IFERROR(__xludf.DUMMYFUNCTION("""COMPUTED_VALUE"""),111.04)</f>
        <v/>
      </c>
      <c r="D109" s="141">
        <f>IFERROR(__xludf.DUMMYFUNCTION("""COMPUTED_VALUE"""),111.05)</f>
        <v/>
      </c>
      <c r="E109" s="141">
        <f>IFERROR(__xludf.DUMMYFUNCTION("""COMPUTED_VALUE"""),110.88)</f>
        <v/>
      </c>
      <c r="F109" s="141">
        <f>IFERROR(__xludf.DUMMYFUNCTION("""COMPUTED_VALUE"""),111.02)</f>
        <v/>
      </c>
      <c r="G109" s="143">
        <f>IFERROR(__xludf.DUMMYFUNCTION("""COMPUTED_VALUE"""),2651000)</f>
        <v/>
      </c>
      <c r="H109" s="27" t="n"/>
    </row>
    <row r="110" ht="17.25" customHeight="1" s="322">
      <c r="A110" s="27" t="n"/>
      <c r="B110" s="506">
        <f>IFERROR(__xludf.DUMMYFUNCTION("""COMPUTED_VALUE"""),45985.6666666666)</f>
        <v/>
      </c>
      <c r="C110" s="141">
        <f>IFERROR(__xludf.DUMMYFUNCTION("""COMPUTED_VALUE"""),111.14)</f>
        <v/>
      </c>
      <c r="D110" s="141">
        <f>IFERROR(__xludf.DUMMYFUNCTION("""COMPUTED_VALUE"""),111.14)</f>
        <v/>
      </c>
      <c r="E110" s="141">
        <f>IFERROR(__xludf.DUMMYFUNCTION("""COMPUTED_VALUE"""),111.02)</f>
        <v/>
      </c>
      <c r="F110" s="141">
        <f>IFERROR(__xludf.DUMMYFUNCTION("""COMPUTED_VALUE"""),111.07)</f>
        <v/>
      </c>
      <c r="G110" s="143">
        <f>IFERROR(__xludf.DUMMYFUNCTION("""COMPUTED_VALUE"""),2619495)</f>
        <v/>
      </c>
      <c r="H110" s="27" t="n"/>
    </row>
    <row r="111" ht="17.25" customHeight="1" s="322">
      <c r="A111" s="27" t="n"/>
      <c r="B111" s="506">
        <f>IFERROR(__xludf.DUMMYFUNCTION("""COMPUTED_VALUE"""),45986.6666666666)</f>
        <v/>
      </c>
      <c r="C111" s="141">
        <f>IFERROR(__xludf.DUMMYFUNCTION("""COMPUTED_VALUE"""),111.06)</f>
        <v/>
      </c>
      <c r="D111" s="141">
        <f>IFERROR(__xludf.DUMMYFUNCTION("""COMPUTED_VALUE"""),111.31)</f>
        <v/>
      </c>
      <c r="E111" s="141">
        <f>IFERROR(__xludf.DUMMYFUNCTION("""COMPUTED_VALUE"""),111.04)</f>
        <v/>
      </c>
      <c r="F111" s="141">
        <f>IFERROR(__xludf.DUMMYFUNCTION("""COMPUTED_VALUE"""),111.27)</f>
        <v/>
      </c>
      <c r="G111" s="143">
        <f>IFERROR(__xludf.DUMMYFUNCTION("""COMPUTED_VALUE"""),3404331)</f>
        <v/>
      </c>
      <c r="H111" s="27" t="n"/>
    </row>
    <row r="112" ht="17.25" customHeight="1" s="322">
      <c r="A112" s="27" t="n"/>
      <c r="B112" s="506">
        <f>IFERROR(__xludf.DUMMYFUNCTION("""COMPUTED_VALUE"""),45987.6666666666)</f>
        <v/>
      </c>
      <c r="C112" s="141">
        <f>IFERROR(__xludf.DUMMYFUNCTION("""COMPUTED_VALUE"""),111.28)</f>
        <v/>
      </c>
      <c r="D112" s="141">
        <f>IFERROR(__xludf.DUMMYFUNCTION("""COMPUTED_VALUE"""),111.51)</f>
        <v/>
      </c>
      <c r="E112" s="141">
        <f>IFERROR(__xludf.DUMMYFUNCTION("""COMPUTED_VALUE"""),111.14)</f>
        <v/>
      </c>
      <c r="F112" s="141">
        <f>IFERROR(__xludf.DUMMYFUNCTION("""COMPUTED_VALUE"""),111.51)</f>
        <v/>
      </c>
      <c r="G112" s="143">
        <f>IFERROR(__xludf.DUMMYFUNCTION("""COMPUTED_VALUE"""),3805926)</f>
        <v/>
      </c>
      <c r="H112" s="27" t="n"/>
    </row>
    <row r="113" ht="17.25" customHeight="1" s="322">
      <c r="A113" s="27" t="n"/>
      <c r="B113" s="506">
        <f>IFERROR(__xludf.DUMMYFUNCTION("""COMPUTED_VALUE"""),45989.5520833333)</f>
        <v/>
      </c>
      <c r="C113" s="141">
        <f>IFERROR(__xludf.DUMMYFUNCTION("""COMPUTED_VALUE"""),111.47)</f>
        <v/>
      </c>
      <c r="D113" s="141">
        <f>IFERROR(__xludf.DUMMYFUNCTION("""COMPUTED_VALUE"""),111.52)</f>
        <v/>
      </c>
      <c r="E113" s="141">
        <f>IFERROR(__xludf.DUMMYFUNCTION("""COMPUTED_VALUE"""),111.23)</f>
        <v/>
      </c>
      <c r="F113" s="141">
        <f>IFERROR(__xludf.DUMMYFUNCTION("""COMPUTED_VALUE"""),111.26)</f>
        <v/>
      </c>
      <c r="G113" s="143">
        <f>IFERROR(__xludf.DUMMYFUNCTION("""COMPUTED_VALUE"""),1830013)</f>
        <v/>
      </c>
      <c r="H113" s="27" t="n"/>
    </row>
    <row r="114" ht="17.25" customHeight="1" s="322">
      <c r="A114" s="27" t="n"/>
      <c r="B114" s="506">
        <f>IFERROR(__xludf.DUMMYFUNCTION("""COMPUTED_VALUE"""),45992.6666666666)</f>
        <v/>
      </c>
      <c r="C114" s="141">
        <f>IFERROR(__xludf.DUMMYFUNCTION("""COMPUTED_VALUE"""),110.62)</f>
        <v/>
      </c>
      <c r="D114" s="141">
        <f>IFERROR(__xludf.DUMMYFUNCTION("""COMPUTED_VALUE"""),110.68)</f>
        <v/>
      </c>
      <c r="E114" s="141">
        <f>IFERROR(__xludf.DUMMYFUNCTION("""COMPUTED_VALUE"""),110.5)</f>
        <v/>
      </c>
      <c r="F114" s="141">
        <f>IFERROR(__xludf.DUMMYFUNCTION("""COMPUTED_VALUE"""),110.5)</f>
        <v/>
      </c>
      <c r="G114" s="143">
        <f>IFERROR(__xludf.DUMMYFUNCTION("""COMPUTED_VALUE"""),3198543)</f>
        <v/>
      </c>
      <c r="H114" s="27" t="n"/>
    </row>
    <row r="115" ht="17.25" customHeight="1" s="322">
      <c r="A115" s="27" t="n"/>
      <c r="B115" s="506">
        <f>IFERROR(__xludf.DUMMYFUNCTION("""COMPUTED_VALUE"""),45993.6666666666)</f>
        <v/>
      </c>
      <c r="C115" s="141">
        <f>IFERROR(__xludf.DUMMYFUNCTION("""COMPUTED_VALUE"""),110.53)</f>
        <v/>
      </c>
      <c r="D115" s="141">
        <f>IFERROR(__xludf.DUMMYFUNCTION("""COMPUTED_VALUE"""),110.63)</f>
        <v/>
      </c>
      <c r="E115" s="141">
        <f>IFERROR(__xludf.DUMMYFUNCTION("""COMPUTED_VALUE"""),110.51)</f>
        <v/>
      </c>
      <c r="F115" s="141">
        <f>IFERROR(__xludf.DUMMYFUNCTION("""COMPUTED_VALUE"""),110.53)</f>
        <v/>
      </c>
      <c r="G115" s="143">
        <f>IFERROR(__xludf.DUMMYFUNCTION("""COMPUTED_VALUE"""),4068213)</f>
        <v/>
      </c>
      <c r="H115" s="27" t="n"/>
    </row>
    <row r="116" ht="17.25" customHeight="1" s="322">
      <c r="A116" s="27" t="n"/>
      <c r="B116" s="506">
        <f>IFERROR(__xludf.DUMMYFUNCTION("""COMPUTED_VALUE"""),45994.6666666666)</f>
        <v/>
      </c>
      <c r="C116" s="141">
        <f>IFERROR(__xludf.DUMMYFUNCTION("""COMPUTED_VALUE"""),110.67)</f>
        <v/>
      </c>
      <c r="D116" s="141">
        <f>IFERROR(__xludf.DUMMYFUNCTION("""COMPUTED_VALUE"""),110.81)</f>
        <v/>
      </c>
      <c r="E116" s="141">
        <f>IFERROR(__xludf.DUMMYFUNCTION("""COMPUTED_VALUE"""),110.63)</f>
        <v/>
      </c>
      <c r="F116" s="141">
        <f>IFERROR(__xludf.DUMMYFUNCTION("""COMPUTED_VALUE"""),110.78)</f>
        <v/>
      </c>
      <c r="G116" s="143">
        <f>IFERROR(__xludf.DUMMYFUNCTION("""COMPUTED_VALUE"""),2541179)</f>
        <v/>
      </c>
      <c r="H116" s="27" t="n"/>
    </row>
    <row r="117" ht="17.25" customHeight="1" s="322">
      <c r="A117" s="27" t="n"/>
      <c r="B117" s="506">
        <f>IFERROR(__xludf.DUMMYFUNCTION("""COMPUTED_VALUE"""),45995.6666666666)</f>
        <v/>
      </c>
      <c r="C117" s="141">
        <f>IFERROR(__xludf.DUMMYFUNCTION("""COMPUTED_VALUE"""),110.69)</f>
        <v/>
      </c>
      <c r="D117" s="141">
        <f>IFERROR(__xludf.DUMMYFUNCTION("""COMPUTED_VALUE"""),110.7)</f>
        <v/>
      </c>
      <c r="E117" s="141">
        <f>IFERROR(__xludf.DUMMYFUNCTION("""COMPUTED_VALUE"""),110.6)</f>
        <v/>
      </c>
      <c r="F117" s="141">
        <f>IFERROR(__xludf.DUMMYFUNCTION("""COMPUTED_VALUE"""),110.63)</f>
        <v/>
      </c>
      <c r="G117" s="143">
        <f>IFERROR(__xludf.DUMMYFUNCTION("""COMPUTED_VALUE"""),2243373)</f>
        <v/>
      </c>
      <c r="H117" s="27" t="n"/>
    </row>
    <row r="118" ht="17.25" customHeight="1" s="322">
      <c r="A118" s="27" t="n"/>
      <c r="B118" s="506">
        <f>IFERROR(__xludf.DUMMYFUNCTION("""COMPUTED_VALUE"""),45996.6666666666)</f>
        <v/>
      </c>
      <c r="C118" s="141">
        <f>IFERROR(__xludf.DUMMYFUNCTION("""COMPUTED_VALUE"""),110.7)</f>
        <v/>
      </c>
      <c r="D118" s="141">
        <f>IFERROR(__xludf.DUMMYFUNCTION("""COMPUTED_VALUE"""),110.71)</f>
        <v/>
      </c>
      <c r="E118" s="141">
        <f>IFERROR(__xludf.DUMMYFUNCTION("""COMPUTED_VALUE"""),110.45)</f>
        <v/>
      </c>
      <c r="F118" s="141">
        <f>IFERROR(__xludf.DUMMYFUNCTION("""COMPUTED_VALUE"""),110.45)</f>
        <v/>
      </c>
      <c r="G118" s="143">
        <f>IFERROR(__xludf.DUMMYFUNCTION("""COMPUTED_VALUE"""),3672346)</f>
        <v/>
      </c>
      <c r="H118" s="27" t="n"/>
    </row>
    <row r="119" ht="17.25" customHeight="1" s="322">
      <c r="A119" s="27" t="n"/>
      <c r="B119" s="506">
        <f>IFERROR(__xludf.DUMMYFUNCTION("""COMPUTED_VALUE"""),45999.6666666666)</f>
        <v/>
      </c>
      <c r="C119" s="141">
        <f>IFERROR(__xludf.DUMMYFUNCTION("""COMPUTED_VALUE"""),110.44)</f>
        <v/>
      </c>
      <c r="D119" s="141">
        <f>IFERROR(__xludf.DUMMYFUNCTION("""COMPUTED_VALUE"""),110.44)</f>
        <v/>
      </c>
      <c r="E119" s="141">
        <f>IFERROR(__xludf.DUMMYFUNCTION("""COMPUTED_VALUE"""),110.15)</f>
        <v/>
      </c>
      <c r="F119" s="141">
        <f>IFERROR(__xludf.DUMMYFUNCTION("""COMPUTED_VALUE"""),110.23)</f>
        <v/>
      </c>
      <c r="G119" s="143">
        <f>IFERROR(__xludf.DUMMYFUNCTION("""COMPUTED_VALUE"""),2101187)</f>
        <v/>
      </c>
      <c r="H119" s="27" t="n"/>
    </row>
    <row r="120" ht="17.25" customHeight="1" s="322">
      <c r="A120" s="27" t="n"/>
      <c r="B120" s="506">
        <f>IFERROR(__xludf.DUMMYFUNCTION("""COMPUTED_VALUE"""),46000.6666666666)</f>
        <v/>
      </c>
      <c r="C120" s="141">
        <f>IFERROR(__xludf.DUMMYFUNCTION("""COMPUTED_VALUE"""),110.34)</f>
        <v/>
      </c>
      <c r="D120" s="141">
        <f>IFERROR(__xludf.DUMMYFUNCTION("""COMPUTED_VALUE"""),110.37)</f>
        <v/>
      </c>
      <c r="E120" s="141">
        <f>IFERROR(__xludf.DUMMYFUNCTION("""COMPUTED_VALUE"""),110.09)</f>
        <v/>
      </c>
      <c r="F120" s="141">
        <f>IFERROR(__xludf.DUMMYFUNCTION("""COMPUTED_VALUE"""),110.09)</f>
        <v/>
      </c>
      <c r="G120" s="143">
        <f>IFERROR(__xludf.DUMMYFUNCTION("""COMPUTED_VALUE"""),5181738)</f>
        <v/>
      </c>
      <c r="H120" s="27" t="n"/>
    </row>
    <row r="121" ht="17.25" customHeight="1" s="322">
      <c r="A121" s="27" t="n"/>
      <c r="B121" s="506">
        <f>IFERROR(__xludf.DUMMYFUNCTION("""COMPUTED_VALUE"""),46001.6666666666)</f>
        <v/>
      </c>
      <c r="C121" s="141">
        <f>IFERROR(__xludf.DUMMYFUNCTION("""COMPUTED_VALUE"""),110.03)</f>
        <v/>
      </c>
      <c r="D121" s="141">
        <f>IFERROR(__xludf.DUMMYFUNCTION("""COMPUTED_VALUE"""),110.47)</f>
        <v/>
      </c>
      <c r="E121" s="141">
        <f>IFERROR(__xludf.DUMMYFUNCTION("""COMPUTED_VALUE"""),110.02)</f>
        <v/>
      </c>
      <c r="F121" s="141">
        <f>IFERROR(__xludf.DUMMYFUNCTION("""COMPUTED_VALUE"""),110.45)</f>
        <v/>
      </c>
      <c r="G121" s="143">
        <f>IFERROR(__xludf.DUMMYFUNCTION("""COMPUTED_VALUE"""),3503036)</f>
        <v/>
      </c>
      <c r="H121" s="27" t="n"/>
    </row>
    <row r="122" ht="17.25" customHeight="1" s="322">
      <c r="A122" s="27" t="n"/>
      <c r="B122" s="506">
        <f>IFERROR(__xludf.DUMMYFUNCTION("""COMPUTED_VALUE"""),46002.6666666666)</f>
        <v/>
      </c>
      <c r="C122" s="141">
        <f>IFERROR(__xludf.DUMMYFUNCTION("""COMPUTED_VALUE"""),110.62)</f>
        <v/>
      </c>
      <c r="D122" s="141">
        <f>IFERROR(__xludf.DUMMYFUNCTION("""COMPUTED_VALUE"""),110.68)</f>
        <v/>
      </c>
      <c r="E122" s="141">
        <f>IFERROR(__xludf.DUMMYFUNCTION("""COMPUTED_VALUE"""),110.36)</f>
        <v/>
      </c>
      <c r="F122" s="141">
        <f>IFERROR(__xludf.DUMMYFUNCTION("""COMPUTED_VALUE"""),110.4)</f>
        <v/>
      </c>
      <c r="G122" s="143">
        <f>IFERROR(__xludf.DUMMYFUNCTION("""COMPUTED_VALUE"""),3661249)</f>
        <v/>
      </c>
      <c r="H122" s="27" t="n"/>
    </row>
    <row r="123" ht="17.25" customHeight="1" s="322">
      <c r="A123" s="27" t="n"/>
      <c r="B123" s="506">
        <f>IFERROR(__xludf.DUMMYFUNCTION("""COMPUTED_VALUE"""),46003.6666666666)</f>
        <v/>
      </c>
      <c r="C123" s="141">
        <f>IFERROR(__xludf.DUMMYFUNCTION("""COMPUTED_VALUE"""),110.18)</f>
        <v/>
      </c>
      <c r="D123" s="141">
        <f>IFERROR(__xludf.DUMMYFUNCTION("""COMPUTED_VALUE"""),110.24)</f>
        <v/>
      </c>
      <c r="E123" s="141">
        <f>IFERROR(__xludf.DUMMYFUNCTION("""COMPUTED_VALUE"""),110.13)</f>
        <v/>
      </c>
      <c r="F123" s="141">
        <f>IFERROR(__xludf.DUMMYFUNCTION("""COMPUTED_VALUE"""),110.23)</f>
        <v/>
      </c>
      <c r="G123" s="143">
        <f>IFERROR(__xludf.DUMMYFUNCTION("""COMPUTED_VALUE"""),2379121)</f>
        <v/>
      </c>
      <c r="H123" s="27" t="n"/>
    </row>
    <row r="124" ht="17.25" customHeight="1" s="322">
      <c r="A124" s="27" t="n"/>
      <c r="B124" s="506">
        <f>IFERROR(__xludf.DUMMYFUNCTION("""COMPUTED_VALUE"""),46006.6666666666)</f>
        <v/>
      </c>
      <c r="C124" s="141">
        <f>IFERROR(__xludf.DUMMYFUNCTION("""COMPUTED_VALUE"""),110.35)</f>
        <v/>
      </c>
      <c r="D124" s="141">
        <f>IFERROR(__xludf.DUMMYFUNCTION("""COMPUTED_VALUE"""),110.42)</f>
        <v/>
      </c>
      <c r="E124" s="141">
        <f>IFERROR(__xludf.DUMMYFUNCTION("""COMPUTED_VALUE"""),110.15)</f>
        <v/>
      </c>
      <c r="F124" s="141">
        <f>IFERROR(__xludf.DUMMYFUNCTION("""COMPUTED_VALUE"""),110.15)</f>
        <v/>
      </c>
      <c r="G124" s="143">
        <f>IFERROR(__xludf.DUMMYFUNCTION("""COMPUTED_VALUE"""),2229436)</f>
        <v/>
      </c>
      <c r="H124" s="27" t="n"/>
    </row>
    <row r="125" ht="17.25" customHeight="1" s="322">
      <c r="A125" s="27" t="n"/>
      <c r="B125" s="506">
        <f>IFERROR(__xludf.DUMMYFUNCTION("""COMPUTED_VALUE"""),46007.6666666666)</f>
        <v/>
      </c>
      <c r="C125" s="141">
        <f>IFERROR(__xludf.DUMMYFUNCTION("""COMPUTED_VALUE"""),110.01)</f>
        <v/>
      </c>
      <c r="D125" s="141">
        <f>IFERROR(__xludf.DUMMYFUNCTION("""COMPUTED_VALUE"""),110.26)</f>
        <v/>
      </c>
      <c r="E125" s="141">
        <f>IFERROR(__xludf.DUMMYFUNCTION("""COMPUTED_VALUE"""),109.99)</f>
        <v/>
      </c>
      <c r="F125" s="141">
        <f>IFERROR(__xludf.DUMMYFUNCTION("""COMPUTED_VALUE"""),110.17)</f>
        <v/>
      </c>
      <c r="G125" s="143">
        <f>IFERROR(__xludf.DUMMYFUNCTION("""COMPUTED_VALUE"""),5094453)</f>
        <v/>
      </c>
      <c r="H125" s="27" t="n"/>
    </row>
    <row r="126" ht="17.25" customHeight="1" s="322">
      <c r="A126" s="27" t="n"/>
      <c r="B126" s="506">
        <f>IFERROR(__xludf.DUMMYFUNCTION("""COMPUTED_VALUE"""),46008.6666666666)</f>
        <v/>
      </c>
      <c r="C126" s="141">
        <f>IFERROR(__xludf.DUMMYFUNCTION("""COMPUTED_VALUE"""),110.15)</f>
        <v/>
      </c>
      <c r="D126" s="141">
        <f>IFERROR(__xludf.DUMMYFUNCTION("""COMPUTED_VALUE"""),110.3)</f>
        <v/>
      </c>
      <c r="E126" s="141">
        <f>IFERROR(__xludf.DUMMYFUNCTION("""COMPUTED_VALUE"""),110.13)</f>
        <v/>
      </c>
      <c r="F126" s="141">
        <f>IFERROR(__xludf.DUMMYFUNCTION("""COMPUTED_VALUE"""),110.29)</f>
        <v/>
      </c>
      <c r="G126" s="143">
        <f>IFERROR(__xludf.DUMMYFUNCTION("""COMPUTED_VALUE"""),1831129)</f>
        <v/>
      </c>
      <c r="H126" s="27" t="n"/>
    </row>
    <row r="127" ht="17.25" customHeight="1" s="322">
      <c r="A127" s="27" t="n"/>
      <c r="B127" s="506">
        <f>IFERROR(__xludf.DUMMYFUNCTION("""COMPUTED_VALUE"""),46009.6666666666)</f>
        <v/>
      </c>
      <c r="C127" s="141">
        <f>IFERROR(__xludf.DUMMYFUNCTION("""COMPUTED_VALUE"""),110.34)</f>
        <v/>
      </c>
      <c r="D127" s="141">
        <f>IFERROR(__xludf.DUMMYFUNCTION("""COMPUTED_VALUE"""),110.51)</f>
        <v/>
      </c>
      <c r="E127" s="141">
        <f>IFERROR(__xludf.DUMMYFUNCTION("""COMPUTED_VALUE"""),110.19)</f>
        <v/>
      </c>
      <c r="F127" s="141">
        <f>IFERROR(__xludf.DUMMYFUNCTION("""COMPUTED_VALUE"""),110.5)</f>
        <v/>
      </c>
      <c r="G127" s="143">
        <f>IFERROR(__xludf.DUMMYFUNCTION("""COMPUTED_VALUE"""),4253818)</f>
        <v/>
      </c>
      <c r="H127" s="27" t="n"/>
    </row>
    <row r="128" ht="17.25" customHeight="1" s="322">
      <c r="A128" s="27" t="n"/>
      <c r="B128" s="506">
        <f>IFERROR(__xludf.DUMMYFUNCTION("""COMPUTED_VALUE"""),46010.6666666666)</f>
        <v/>
      </c>
      <c r="C128" s="141">
        <f>IFERROR(__xludf.DUMMYFUNCTION("""COMPUTED_VALUE"""),110.1)</f>
        <v/>
      </c>
      <c r="D128" s="141">
        <f>IFERROR(__xludf.DUMMYFUNCTION("""COMPUTED_VALUE"""),110.1)</f>
        <v/>
      </c>
      <c r="E128" s="141">
        <f>IFERROR(__xludf.DUMMYFUNCTION("""COMPUTED_VALUE"""),109.87)</f>
        <v/>
      </c>
      <c r="F128" s="141">
        <f>IFERROR(__xludf.DUMMYFUNCTION("""COMPUTED_VALUE"""),109.94)</f>
        <v/>
      </c>
      <c r="G128" s="143">
        <f>IFERROR(__xludf.DUMMYFUNCTION("""COMPUTED_VALUE"""),2940559)</f>
        <v/>
      </c>
      <c r="H128" s="27" t="n"/>
    </row>
    <row r="129" ht="17.25" customHeight="1" s="322">
      <c r="A129" s="27" t="n"/>
      <c r="B129" s="506">
        <f>IFERROR(__xludf.DUMMYFUNCTION("""COMPUTED_VALUE"""),46013.6666666666)</f>
        <v/>
      </c>
      <c r="C129" s="141">
        <f>IFERROR(__xludf.DUMMYFUNCTION("""COMPUTED_VALUE"""),109.87)</f>
        <v/>
      </c>
      <c r="D129" s="141">
        <f>IFERROR(__xludf.DUMMYFUNCTION("""COMPUTED_VALUE"""),109.89)</f>
        <v/>
      </c>
      <c r="E129" s="141">
        <f>IFERROR(__xludf.DUMMYFUNCTION("""COMPUTED_VALUE"""),109.73)</f>
        <v/>
      </c>
      <c r="F129" s="141">
        <f>IFERROR(__xludf.DUMMYFUNCTION("""COMPUTED_VALUE"""),109.78)</f>
        <v/>
      </c>
      <c r="G129" s="143">
        <f>IFERROR(__xludf.DUMMYFUNCTION("""COMPUTED_VALUE"""),2115960)</f>
        <v/>
      </c>
      <c r="H129" s="27" t="n"/>
    </row>
    <row r="130" ht="17.25" customHeight="1" s="322">
      <c r="A130" s="27" t="n"/>
      <c r="B130" s="506">
        <f>IFERROR(__xludf.DUMMYFUNCTION("""COMPUTED_VALUE"""),46014.6666666666)</f>
        <v/>
      </c>
      <c r="C130" s="141">
        <f>IFERROR(__xludf.DUMMYFUNCTION("""COMPUTED_VALUE"""),109.58)</f>
        <v/>
      </c>
      <c r="D130" s="141">
        <f>IFERROR(__xludf.DUMMYFUNCTION("""COMPUTED_VALUE"""),109.87)</f>
        <v/>
      </c>
      <c r="E130" s="141">
        <f>IFERROR(__xludf.DUMMYFUNCTION("""COMPUTED_VALUE"""),109.57)</f>
        <v/>
      </c>
      <c r="F130" s="141">
        <f>IFERROR(__xludf.DUMMYFUNCTION("""COMPUTED_VALUE"""),109.83)</f>
        <v/>
      </c>
      <c r="G130" s="143">
        <f>IFERROR(__xludf.DUMMYFUNCTION("""COMPUTED_VALUE"""),1914939)</f>
        <v/>
      </c>
      <c r="H130" s="27" t="n"/>
    </row>
    <row r="131" ht="17.25" customHeight="1" s="322">
      <c r="A131" s="27" t="n"/>
      <c r="B131" s="506">
        <f>IFERROR(__xludf.DUMMYFUNCTION("""COMPUTED_VALUE"""),46015.5416666666)</f>
        <v/>
      </c>
      <c r="C131" s="141">
        <f>IFERROR(__xludf.DUMMYFUNCTION("""COMPUTED_VALUE"""),110.01)</f>
        <v/>
      </c>
      <c r="D131" s="141">
        <f>IFERROR(__xludf.DUMMYFUNCTION("""COMPUTED_VALUE"""),110.1)</f>
        <v/>
      </c>
      <c r="E131" s="141">
        <f>IFERROR(__xludf.DUMMYFUNCTION("""COMPUTED_VALUE"""),109.97)</f>
        <v/>
      </c>
      <c r="F131" s="141">
        <f>IFERROR(__xludf.DUMMYFUNCTION("""COMPUTED_VALUE"""),110.06)</f>
        <v/>
      </c>
      <c r="G131" s="143">
        <f>IFERROR(__xludf.DUMMYFUNCTION("""COMPUTED_VALUE"""),877761)</f>
        <v/>
      </c>
      <c r="H131" s="27" t="n"/>
    </row>
    <row r="132" ht="17.25" customHeight="1" s="322">
      <c r="A132" s="27" t="n"/>
      <c r="B132" s="506">
        <f>IFERROR(__xludf.DUMMYFUNCTION("""COMPUTED_VALUE"""),46017.6666666666)</f>
        <v/>
      </c>
      <c r="C132" s="141">
        <f>IFERROR(__xludf.DUMMYFUNCTION("""COMPUTED_VALUE"""),110.17)</f>
        <v/>
      </c>
      <c r="D132" s="141">
        <f>IFERROR(__xludf.DUMMYFUNCTION("""COMPUTED_VALUE"""),110.2)</f>
        <v/>
      </c>
      <c r="E132" s="141">
        <f>IFERROR(__xludf.DUMMYFUNCTION("""COMPUTED_VALUE"""),109.98)</f>
        <v/>
      </c>
      <c r="F132" s="141">
        <f>IFERROR(__xludf.DUMMYFUNCTION("""COMPUTED_VALUE"""),110.05)</f>
        <v/>
      </c>
      <c r="G132" s="143">
        <f>IFERROR(__xludf.DUMMYFUNCTION("""COMPUTED_VALUE"""),1357112)</f>
        <v/>
      </c>
      <c r="H132" s="27" t="n"/>
    </row>
    <row r="133" ht="17.25" customHeight="1" s="322">
      <c r="A133" s="27" t="n"/>
      <c r="B133" s="506">
        <f>IFERROR(__xludf.DUMMYFUNCTION("""COMPUTED_VALUE"""),46020.6666666666)</f>
        <v/>
      </c>
      <c r="C133" s="141">
        <f>IFERROR(__xludf.DUMMYFUNCTION("""COMPUTED_VALUE"""),110.14)</f>
        <v/>
      </c>
      <c r="D133" s="141">
        <f>IFERROR(__xludf.DUMMYFUNCTION("""COMPUTED_VALUE"""),110.19)</f>
        <v/>
      </c>
      <c r="E133" s="141">
        <f>IFERROR(__xludf.DUMMYFUNCTION("""COMPUTED_VALUE"""),110.09)</f>
        <v/>
      </c>
      <c r="F133" s="141">
        <f>IFERROR(__xludf.DUMMYFUNCTION("""COMPUTED_VALUE"""),110.15)</f>
        <v/>
      </c>
      <c r="G133" s="143">
        <f>IFERROR(__xludf.DUMMYFUNCTION("""COMPUTED_VALUE"""),1572136)</f>
        <v/>
      </c>
      <c r="H133" s="27" t="n"/>
    </row>
    <row r="134" ht="17.25" customHeight="1" s="322">
      <c r="A134" s="27" t="n"/>
      <c r="B134" s="506">
        <f>IFERROR(__xludf.DUMMYFUNCTION("""COMPUTED_VALUE"""),46021.6666666666)</f>
        <v/>
      </c>
      <c r="C134" s="141">
        <f>IFERROR(__xludf.DUMMYFUNCTION("""COMPUTED_VALUE"""),110.1)</f>
        <v/>
      </c>
      <c r="D134" s="141">
        <f>IFERROR(__xludf.DUMMYFUNCTION("""COMPUTED_VALUE"""),110.22)</f>
        <v/>
      </c>
      <c r="E134" s="141">
        <f>IFERROR(__xludf.DUMMYFUNCTION("""COMPUTED_VALUE"""),110.07)</f>
        <v/>
      </c>
      <c r="F134" s="141">
        <f>IFERROR(__xludf.DUMMYFUNCTION("""COMPUTED_VALUE"""),110.13)</f>
        <v/>
      </c>
      <c r="G134" s="143">
        <f>IFERROR(__xludf.DUMMYFUNCTION("""COMPUTED_VALUE"""),1723244)</f>
        <v/>
      </c>
      <c r="H134" s="27" t="n"/>
    </row>
    <row r="135" ht="17.25" customHeight="1" s="322">
      <c r="A135" s="27" t="n"/>
      <c r="B135" s="506">
        <f>IFERROR(__xludf.DUMMYFUNCTION("""COMPUTED_VALUE"""),46022.6666666666)</f>
        <v/>
      </c>
      <c r="C135" s="141">
        <f>IFERROR(__xludf.DUMMYFUNCTION("""COMPUTED_VALUE"""),109.99)</f>
        <v/>
      </c>
      <c r="D135" s="141">
        <f>IFERROR(__xludf.DUMMYFUNCTION("""COMPUTED_VALUE"""),110.17)</f>
        <v/>
      </c>
      <c r="E135" s="141">
        <f>IFERROR(__xludf.DUMMYFUNCTION("""COMPUTED_VALUE"""),109.89)</f>
        <v/>
      </c>
      <c r="F135" s="141">
        <f>IFERROR(__xludf.DUMMYFUNCTION("""COMPUTED_VALUE"""),109.91)</f>
        <v/>
      </c>
      <c r="G135" s="143">
        <f>IFERROR(__xludf.DUMMYFUNCTION("""COMPUTED_VALUE"""),2927801)</f>
        <v/>
      </c>
      <c r="H135" s="27" t="n"/>
    </row>
    <row r="136" ht="17.25" customHeight="1" s="322">
      <c r="A136" s="27" t="n"/>
      <c r="B136" s="506">
        <f>IFERROR(__xludf.DUMMYFUNCTION("""COMPUTED_VALUE"""),46024.6666666666)</f>
        <v/>
      </c>
      <c r="C136" s="141">
        <f>IFERROR(__xludf.DUMMYFUNCTION("""COMPUTED_VALUE"""),110.01)</f>
        <v/>
      </c>
      <c r="D136" s="141">
        <f>IFERROR(__xludf.DUMMYFUNCTION("""COMPUTED_VALUE"""),110.01)</f>
        <v/>
      </c>
      <c r="E136" s="141">
        <f>IFERROR(__xludf.DUMMYFUNCTION("""COMPUTED_VALUE"""),109.85)</f>
        <v/>
      </c>
      <c r="F136" s="141">
        <f>IFERROR(__xludf.DUMMYFUNCTION("""COMPUTED_VALUE"""),109.86)</f>
        <v/>
      </c>
      <c r="G136" s="143">
        <f>IFERROR(__xludf.DUMMYFUNCTION("""COMPUTED_VALUE"""),2787896)</f>
        <v/>
      </c>
      <c r="H136" s="27" t="n"/>
    </row>
    <row r="137" ht="17.25" customHeight="1" s="322">
      <c r="A137" s="27" t="n"/>
      <c r="B137" s="506">
        <f>IFERROR(__xludf.DUMMYFUNCTION("""COMPUTED_VALUE"""),46027.6666666666)</f>
        <v/>
      </c>
      <c r="C137" s="141">
        <f>IFERROR(__xludf.DUMMYFUNCTION("""COMPUTED_VALUE"""),109.97)</f>
        <v/>
      </c>
      <c r="D137" s="141">
        <f>IFERROR(__xludf.DUMMYFUNCTION("""COMPUTED_VALUE"""),110.18)</f>
        <v/>
      </c>
      <c r="E137" s="141">
        <f>IFERROR(__xludf.DUMMYFUNCTION("""COMPUTED_VALUE"""),109.93)</f>
        <v/>
      </c>
      <c r="F137" s="141">
        <f>IFERROR(__xludf.DUMMYFUNCTION("""COMPUTED_VALUE"""),110.16)</f>
        <v/>
      </c>
      <c r="G137" s="143">
        <f>IFERROR(__xludf.DUMMYFUNCTION("""COMPUTED_VALUE"""),2084766)</f>
        <v/>
      </c>
      <c r="H137" s="27" t="n"/>
    </row>
    <row r="138" ht="17.25" customHeight="1" s="322">
      <c r="A138" s="27" t="n"/>
      <c r="B138" s="506">
        <f>IFERROR(__xludf.DUMMYFUNCTION("""COMPUTED_VALUE"""),46028.6666666666)</f>
        <v/>
      </c>
      <c r="C138" s="141">
        <f>IFERROR(__xludf.DUMMYFUNCTION("""COMPUTED_VALUE"""),110.12)</f>
        <v/>
      </c>
      <c r="D138" s="141">
        <f>IFERROR(__xludf.DUMMYFUNCTION("""COMPUTED_VALUE"""),110.17)</f>
        <v/>
      </c>
      <c r="E138" s="141">
        <f>IFERROR(__xludf.DUMMYFUNCTION("""COMPUTED_VALUE"""),109.95)</f>
        <v/>
      </c>
      <c r="F138" s="141">
        <f>IFERROR(__xludf.DUMMYFUNCTION("""COMPUTED_VALUE"""),110.08)</f>
        <v/>
      </c>
      <c r="G138" s="143">
        <f>IFERROR(__xludf.DUMMYFUNCTION("""COMPUTED_VALUE"""),3738095)</f>
        <v/>
      </c>
      <c r="H138" s="27" t="n"/>
    </row>
    <row r="139" ht="17.25" customHeight="1" s="322">
      <c r="A139" s="27" t="n"/>
      <c r="B139" s="506">
        <f>IFERROR(__xludf.DUMMYFUNCTION("""COMPUTED_VALUE"""),46029.6666666666)</f>
        <v/>
      </c>
      <c r="C139" s="141">
        <f>IFERROR(__xludf.DUMMYFUNCTION("""COMPUTED_VALUE"""),110.28)</f>
        <v/>
      </c>
      <c r="D139" s="141">
        <f>IFERROR(__xludf.DUMMYFUNCTION("""COMPUTED_VALUE"""),110.31)</f>
        <v/>
      </c>
      <c r="E139" s="141">
        <f>IFERROR(__xludf.DUMMYFUNCTION("""COMPUTED_VALUE"""),110.11)</f>
        <v/>
      </c>
      <c r="F139" s="141">
        <f>IFERROR(__xludf.DUMMYFUNCTION("""COMPUTED_VALUE"""),110.25)</f>
        <v/>
      </c>
      <c r="G139" s="143">
        <f>IFERROR(__xludf.DUMMYFUNCTION("""COMPUTED_VALUE"""),3603495)</f>
        <v/>
      </c>
      <c r="H139" s="27" t="n"/>
    </row>
    <row r="140" ht="17.25" customHeight="1" s="322">
      <c r="A140" s="27" t="n"/>
      <c r="B140" s="506">
        <f>IFERROR(__xludf.DUMMYFUNCTION("""COMPUTED_VALUE"""),46030.6666666666)</f>
        <v/>
      </c>
      <c r="C140" s="141">
        <f>IFERROR(__xludf.DUMMYFUNCTION("""COMPUTED_VALUE"""),110.07)</f>
        <v/>
      </c>
      <c r="D140" s="141">
        <f>IFERROR(__xludf.DUMMYFUNCTION("""COMPUTED_VALUE"""),110.15)</f>
        <v/>
      </c>
      <c r="E140" s="141">
        <f>IFERROR(__xludf.DUMMYFUNCTION("""COMPUTED_VALUE"""),110.02)</f>
        <v/>
      </c>
      <c r="F140" s="141">
        <f>IFERROR(__xludf.DUMMYFUNCTION("""COMPUTED_VALUE"""),110.03)</f>
        <v/>
      </c>
      <c r="G140" s="143">
        <f>IFERROR(__xludf.DUMMYFUNCTION("""COMPUTED_VALUE"""),2414071)</f>
        <v/>
      </c>
      <c r="H140" s="27" t="n"/>
    </row>
    <row r="141" ht="17.25" customHeight="1" s="322">
      <c r="A141" s="27" t="n"/>
      <c r="B141" s="506">
        <f>IFERROR(__xludf.DUMMYFUNCTION("""COMPUTED_VALUE"""),46031.6666666666)</f>
        <v/>
      </c>
      <c r="C141" s="141">
        <f>IFERROR(__xludf.DUMMYFUNCTION("""COMPUTED_VALUE"""),110.08)</f>
        <v/>
      </c>
      <c r="D141" s="141">
        <f>IFERROR(__xludf.DUMMYFUNCTION("""COMPUTED_VALUE"""),110.26)</f>
        <v/>
      </c>
      <c r="E141" s="141">
        <f>IFERROR(__xludf.DUMMYFUNCTION("""COMPUTED_VALUE"""),110.01)</f>
        <v/>
      </c>
      <c r="F141" s="141">
        <f>IFERROR(__xludf.DUMMYFUNCTION("""COMPUTED_VALUE"""),110.18)</f>
        <v/>
      </c>
      <c r="G141" s="143">
        <f>IFERROR(__xludf.DUMMYFUNCTION("""COMPUTED_VALUE"""),2589241)</f>
        <v/>
      </c>
      <c r="H141" s="27" t="n"/>
    </row>
    <row r="142" ht="17.25" customHeight="1" s="322">
      <c r="A142" s="27" t="n"/>
      <c r="B142" s="506">
        <f>IFERROR(__xludf.DUMMYFUNCTION("""COMPUTED_VALUE"""),46034.6666666666)</f>
        <v/>
      </c>
      <c r="C142" s="141">
        <f>IFERROR(__xludf.DUMMYFUNCTION("""COMPUTED_VALUE"""),110.15)</f>
        <v/>
      </c>
      <c r="D142" s="141">
        <f>IFERROR(__xludf.DUMMYFUNCTION("""COMPUTED_VALUE"""),110.26)</f>
        <v/>
      </c>
      <c r="E142" s="141">
        <f>IFERROR(__xludf.DUMMYFUNCTION("""COMPUTED_VALUE"""),110.12)</f>
        <v/>
      </c>
      <c r="F142" s="141">
        <f>IFERROR(__xludf.DUMMYFUNCTION("""COMPUTED_VALUE"""),110.18)</f>
        <v/>
      </c>
      <c r="G142" s="143">
        <f>IFERROR(__xludf.DUMMYFUNCTION("""COMPUTED_VALUE"""),1558739)</f>
        <v/>
      </c>
      <c r="H142" s="27" t="n"/>
    </row>
    <row r="143" ht="17.25" customHeight="1" s="322">
      <c r="A143" s="27" t="n"/>
      <c r="B143" s="506">
        <f>IFERROR(__xludf.DUMMYFUNCTION("""COMPUTED_VALUE"""),46035.6666666666)</f>
        <v/>
      </c>
      <c r="C143" s="141">
        <f>IFERROR(__xludf.DUMMYFUNCTION("""COMPUTED_VALUE"""),110.3)</f>
        <v/>
      </c>
      <c r="D143" s="141">
        <f>IFERROR(__xludf.DUMMYFUNCTION("""COMPUTED_VALUE"""),110.36)</f>
        <v/>
      </c>
      <c r="E143" s="141">
        <f>IFERROR(__xludf.DUMMYFUNCTION("""COMPUTED_VALUE"""),110.19)</f>
        <v/>
      </c>
      <c r="F143" s="141">
        <f>IFERROR(__xludf.DUMMYFUNCTION("""COMPUTED_VALUE"""),110.28)</f>
        <v/>
      </c>
      <c r="G143" s="143">
        <f>IFERROR(__xludf.DUMMYFUNCTION("""COMPUTED_VALUE"""),2589908)</f>
        <v/>
      </c>
      <c r="H143" s="27" t="n"/>
    </row>
    <row r="144" ht="17.25" customHeight="1" s="322">
      <c r="A144" s="27" t="n"/>
      <c r="B144" s="506">
        <f>IFERROR(__xludf.DUMMYFUNCTION("""COMPUTED_VALUE"""),46036.6666666666)</f>
        <v/>
      </c>
      <c r="C144" s="141">
        <f>IFERROR(__xludf.DUMMYFUNCTION("""COMPUTED_VALUE"""),110.38)</f>
        <v/>
      </c>
      <c r="D144" s="141">
        <f>IFERROR(__xludf.DUMMYFUNCTION("""COMPUTED_VALUE"""),110.54)</f>
        <v/>
      </c>
      <c r="E144" s="141">
        <f>IFERROR(__xludf.DUMMYFUNCTION("""COMPUTED_VALUE"""),110.38)</f>
        <v/>
      </c>
      <c r="F144" s="141">
        <f>IFERROR(__xludf.DUMMYFUNCTION("""COMPUTED_VALUE"""),110.4)</f>
        <v/>
      </c>
      <c r="G144" s="143">
        <f>IFERROR(__xludf.DUMMYFUNCTION("""COMPUTED_VALUE"""),1879885)</f>
        <v/>
      </c>
      <c r="H144" s="27" t="n"/>
    </row>
    <row r="145" ht="17.25" customHeight="1" s="322">
      <c r="A145" s="27" t="n"/>
      <c r="B145" s="506">
        <f>IFERROR(__xludf.DUMMYFUNCTION("""COMPUTED_VALUE"""),46037.6666666666)</f>
        <v/>
      </c>
      <c r="C145" s="141">
        <f>IFERROR(__xludf.DUMMYFUNCTION("""COMPUTED_VALUE"""),110.43)</f>
        <v/>
      </c>
      <c r="D145" s="141">
        <f>IFERROR(__xludf.DUMMYFUNCTION("""COMPUTED_VALUE"""),110.44)</f>
        <v/>
      </c>
      <c r="E145" s="141">
        <f>IFERROR(__xludf.DUMMYFUNCTION("""COMPUTED_VALUE"""),110.23)</f>
        <v/>
      </c>
      <c r="F145" s="141">
        <f>IFERROR(__xludf.DUMMYFUNCTION("""COMPUTED_VALUE"""),110.23)</f>
        <v/>
      </c>
      <c r="G145" s="143">
        <f>IFERROR(__xludf.DUMMYFUNCTION("""COMPUTED_VALUE"""),2645890)</f>
        <v/>
      </c>
      <c r="H145" s="27" t="n"/>
    </row>
    <row r="146" ht="17.25" customHeight="1" s="322">
      <c r="A146" s="27" t="n"/>
      <c r="B146" s="506">
        <f>IFERROR(__xludf.DUMMYFUNCTION("""COMPUTED_VALUE"""),46038.6666666666)</f>
        <v/>
      </c>
      <c r="C146" s="141">
        <f>IFERROR(__xludf.DUMMYFUNCTION("""COMPUTED_VALUE"""),110.26)</f>
        <v/>
      </c>
      <c r="D146" s="141">
        <f>IFERROR(__xludf.DUMMYFUNCTION("""COMPUTED_VALUE"""),110.3)</f>
        <v/>
      </c>
      <c r="E146" s="141">
        <f>IFERROR(__xludf.DUMMYFUNCTION("""COMPUTED_VALUE"""),110.02)</f>
        <v/>
      </c>
      <c r="F146" s="141">
        <f>IFERROR(__xludf.DUMMYFUNCTION("""COMPUTED_VALUE"""),110.02)</f>
        <v/>
      </c>
      <c r="G146" s="143">
        <f>IFERROR(__xludf.DUMMYFUNCTION("""COMPUTED_VALUE"""),2318604)</f>
        <v/>
      </c>
      <c r="H146" s="27" t="n"/>
    </row>
    <row r="147" ht="17.25" customHeight="1" s="322">
      <c r="A147" s="27" t="n"/>
      <c r="B147" s="506">
        <f>IFERROR(__xludf.DUMMYFUNCTION("""COMPUTED_VALUE"""),46042.6666666666)</f>
        <v/>
      </c>
      <c r="C147" s="141">
        <f>IFERROR(__xludf.DUMMYFUNCTION("""COMPUTED_VALUE"""),109.71)</f>
        <v/>
      </c>
      <c r="D147" s="141">
        <f>IFERROR(__xludf.DUMMYFUNCTION("""COMPUTED_VALUE"""),109.87)</f>
        <v/>
      </c>
      <c r="E147" s="141">
        <f>IFERROR(__xludf.DUMMYFUNCTION("""COMPUTED_VALUE"""),109.68)</f>
        <v/>
      </c>
      <c r="F147" s="141">
        <f>IFERROR(__xludf.DUMMYFUNCTION("""COMPUTED_VALUE"""),109.69)</f>
        <v/>
      </c>
      <c r="G147" s="143">
        <f>IFERROR(__xludf.DUMMYFUNCTION("""COMPUTED_VALUE"""),2445277)</f>
        <v/>
      </c>
      <c r="H147" s="27" t="n"/>
    </row>
    <row r="148" ht="17.25" customHeight="1" s="322">
      <c r="A148" s="27" t="n"/>
      <c r="B148" s="506">
        <f>IFERROR(__xludf.DUMMYFUNCTION("""COMPUTED_VALUE"""),46043.6666666666)</f>
        <v/>
      </c>
      <c r="C148" s="141">
        <f>IFERROR(__xludf.DUMMYFUNCTION("""COMPUTED_VALUE"""),109.82)</f>
        <v/>
      </c>
      <c r="D148" s="141">
        <f>IFERROR(__xludf.DUMMYFUNCTION("""COMPUTED_VALUE"""),110.13)</f>
        <v/>
      </c>
      <c r="E148" s="141">
        <f>IFERROR(__xludf.DUMMYFUNCTION("""COMPUTED_VALUE"""),109.75)</f>
        <v/>
      </c>
      <c r="F148" s="141">
        <f>IFERROR(__xludf.DUMMYFUNCTION("""COMPUTED_VALUE"""),110.12)</f>
        <v/>
      </c>
      <c r="G148" s="143">
        <f>IFERROR(__xludf.DUMMYFUNCTION("""COMPUTED_VALUE"""),4361949)</f>
        <v/>
      </c>
      <c r="H148" s="27" t="n"/>
    </row>
    <row r="149" ht="17.25" customHeight="1" s="322">
      <c r="A149" s="27" t="n"/>
      <c r="B149" s="506">
        <f>IFERROR(__xludf.DUMMYFUNCTION("""COMPUTED_VALUE"""),46044.6666666666)</f>
        <v/>
      </c>
      <c r="C149" s="141">
        <f>IFERROR(__xludf.DUMMYFUNCTION("""COMPUTED_VALUE"""),110.02)</f>
        <v/>
      </c>
      <c r="D149" s="141">
        <f>IFERROR(__xludf.DUMMYFUNCTION("""COMPUTED_VALUE"""),110.19)</f>
        <v/>
      </c>
      <c r="E149" s="141">
        <f>IFERROR(__xludf.DUMMYFUNCTION("""COMPUTED_VALUE"""),109.97)</f>
        <v/>
      </c>
      <c r="F149" s="141">
        <f>IFERROR(__xludf.DUMMYFUNCTION("""COMPUTED_VALUE"""),110.01)</f>
        <v/>
      </c>
      <c r="G149" s="143">
        <f>IFERROR(__xludf.DUMMYFUNCTION("""COMPUTED_VALUE"""),4034163)</f>
        <v/>
      </c>
      <c r="H149" s="27" t="n"/>
    </row>
    <row r="150" ht="17.25" customHeight="1" s="322">
      <c r="A150" s="27" t="n"/>
      <c r="B150" s="506">
        <f>IFERROR(__xludf.DUMMYFUNCTION("""COMPUTED_VALUE"""),46045.6666666666)</f>
        <v/>
      </c>
      <c r="C150" s="141">
        <f>IFERROR(__xludf.DUMMYFUNCTION("""COMPUTED_VALUE"""),110.03)</f>
        <v/>
      </c>
      <c r="D150" s="141">
        <f>IFERROR(__xludf.DUMMYFUNCTION("""COMPUTED_VALUE"""),110.26)</f>
        <v/>
      </c>
      <c r="E150" s="141">
        <f>IFERROR(__xludf.DUMMYFUNCTION("""COMPUTED_VALUE"""),110.01)</f>
        <v/>
      </c>
      <c r="F150" s="141">
        <f>IFERROR(__xludf.DUMMYFUNCTION("""COMPUTED_VALUE"""),110.23)</f>
        <v/>
      </c>
      <c r="G150" s="143">
        <f>IFERROR(__xludf.DUMMYFUNCTION("""COMPUTED_VALUE"""),5141467)</f>
        <v/>
      </c>
      <c r="H150" s="27" t="n"/>
    </row>
    <row r="151" ht="17.25" customHeight="1" s="322">
      <c r="A151" s="27" t="n"/>
      <c r="B151" s="506">
        <f>IFERROR(__xludf.DUMMYFUNCTION("""COMPUTED_VALUE"""),46048.6666666666)</f>
        <v/>
      </c>
      <c r="C151" s="141">
        <f>IFERROR(__xludf.DUMMYFUNCTION("""COMPUTED_VALUE"""),110.34)</f>
        <v/>
      </c>
      <c r="D151" s="141">
        <f>IFERROR(__xludf.DUMMYFUNCTION("""COMPUTED_VALUE"""),110.42)</f>
        <v/>
      </c>
      <c r="E151" s="141">
        <f>IFERROR(__xludf.DUMMYFUNCTION("""COMPUTED_VALUE"""),110.28)</f>
        <v/>
      </c>
      <c r="F151" s="141">
        <f>IFERROR(__xludf.DUMMYFUNCTION("""COMPUTED_VALUE"""),110.38)</f>
        <v/>
      </c>
      <c r="G151" s="143">
        <f>IFERROR(__xludf.DUMMYFUNCTION("""COMPUTED_VALUE"""),2785782)</f>
        <v/>
      </c>
      <c r="H151" s="27" t="n"/>
    </row>
    <row r="152" ht="17.25" customHeight="1" s="322">
      <c r="A152" s="27" t="n"/>
      <c r="B152" s="506">
        <f>IFERROR(__xludf.DUMMYFUNCTION("""COMPUTED_VALUE"""),46049.6666666666)</f>
        <v/>
      </c>
      <c r="C152" s="141">
        <f>IFERROR(__xludf.DUMMYFUNCTION("""COMPUTED_VALUE"""),110.42)</f>
        <v/>
      </c>
      <c r="D152" s="141">
        <f>IFERROR(__xludf.DUMMYFUNCTION("""COMPUTED_VALUE"""),110.49)</f>
        <v/>
      </c>
      <c r="E152" s="141">
        <f>IFERROR(__xludf.DUMMYFUNCTION("""COMPUTED_VALUE"""),110.38)</f>
        <v/>
      </c>
      <c r="F152" s="141">
        <f>IFERROR(__xludf.DUMMYFUNCTION("""COMPUTED_VALUE"""),110.39)</f>
        <v/>
      </c>
      <c r="G152" s="143">
        <f>IFERROR(__xludf.DUMMYFUNCTION("""COMPUTED_VALUE"""),2042262)</f>
        <v/>
      </c>
      <c r="H152" s="27" t="n"/>
    </row>
    <row r="153" ht="17.25" customHeight="1" s="322">
      <c r="A153" s="27" t="n"/>
      <c r="B153" s="506">
        <f>IFERROR(__xludf.DUMMYFUNCTION("""COMPUTED_VALUE"""),46050.6666666666)</f>
        <v/>
      </c>
      <c r="C153" s="141">
        <f>IFERROR(__xludf.DUMMYFUNCTION("""COMPUTED_VALUE"""),110.43)</f>
        <v/>
      </c>
      <c r="D153" s="141">
        <f>IFERROR(__xludf.DUMMYFUNCTION("""COMPUTED_VALUE"""),110.46)</f>
        <v/>
      </c>
      <c r="E153" s="141">
        <f>IFERROR(__xludf.DUMMYFUNCTION("""COMPUTED_VALUE"""),110.24)</f>
        <v/>
      </c>
      <c r="F153" s="141">
        <f>IFERROR(__xludf.DUMMYFUNCTION("""COMPUTED_VALUE"""),110.44)</f>
        <v/>
      </c>
      <c r="G153" s="143">
        <f>IFERROR(__xludf.DUMMYFUNCTION("""COMPUTED_VALUE"""),2449005)</f>
        <v/>
      </c>
      <c r="H153" s="27" t="n"/>
    </row>
    <row r="154" ht="17.25" customHeight="1" s="322">
      <c r="A154" s="27" t="n"/>
      <c r="B154" s="506">
        <f>IFERROR(__xludf.DUMMYFUNCTION("""COMPUTED_VALUE"""),46051.6666666666)</f>
        <v/>
      </c>
      <c r="C154" s="141">
        <f>IFERROR(__xludf.DUMMYFUNCTION("""COMPUTED_VALUE"""),110.49)</f>
        <v/>
      </c>
      <c r="D154" s="141">
        <f>IFERROR(__xludf.DUMMYFUNCTION("""COMPUTED_VALUE"""),110.69)</f>
        <v/>
      </c>
      <c r="E154" s="141">
        <f>IFERROR(__xludf.DUMMYFUNCTION("""COMPUTED_VALUE"""),110.47)</f>
        <v/>
      </c>
      <c r="F154" s="141">
        <f>IFERROR(__xludf.DUMMYFUNCTION("""COMPUTED_VALUE"""),110.52)</f>
        <v/>
      </c>
      <c r="G154" s="143">
        <f>IFERROR(__xludf.DUMMYFUNCTION("""COMPUTED_VALUE"""),2024160)</f>
        <v/>
      </c>
      <c r="H154" s="27" t="n"/>
    </row>
    <row r="155" ht="17.25" customHeight="1" s="322">
      <c r="A155" s="27" t="n"/>
      <c r="B155" s="506">
        <f>IFERROR(__xludf.DUMMYFUNCTION("""COMPUTED_VALUE"""),46052.6666666666)</f>
        <v/>
      </c>
      <c r="C155" s="141">
        <f>IFERROR(__xludf.DUMMYFUNCTION("""COMPUTED_VALUE"""),110.46)</f>
        <v/>
      </c>
      <c r="D155" s="141">
        <f>IFERROR(__xludf.DUMMYFUNCTION("""COMPUTED_VALUE"""),110.55)</f>
        <v/>
      </c>
      <c r="E155" s="141">
        <f>IFERROR(__xludf.DUMMYFUNCTION("""COMPUTED_VALUE"""),110.38)</f>
        <v/>
      </c>
      <c r="F155" s="141">
        <f>IFERROR(__xludf.DUMMYFUNCTION("""COMPUTED_VALUE"""),110.48)</f>
        <v/>
      </c>
      <c r="G155" s="143">
        <f>IFERROR(__xludf.DUMMYFUNCTION("""COMPUTED_VALUE"""),2285253)</f>
        <v/>
      </c>
      <c r="H155" s="27" t="n"/>
    </row>
    <row r="156" ht="17.25" customHeight="1" s="322">
      <c r="A156" s="27" t="n"/>
      <c r="B156" s="506">
        <f>IFERROR(__xludf.DUMMYFUNCTION("""COMPUTED_VALUE"""),46055.6666666666)</f>
        <v/>
      </c>
      <c r="C156" s="141">
        <f>IFERROR(__xludf.DUMMYFUNCTION("""COMPUTED_VALUE"""),110.43)</f>
        <v/>
      </c>
      <c r="D156" s="141">
        <f>IFERROR(__xludf.DUMMYFUNCTION("""COMPUTED_VALUE"""),110.44)</f>
        <v/>
      </c>
      <c r="E156" s="141">
        <f>IFERROR(__xludf.DUMMYFUNCTION("""COMPUTED_VALUE"""),110.16)</f>
        <v/>
      </c>
      <c r="F156" s="141">
        <f>IFERROR(__xludf.DUMMYFUNCTION("""COMPUTED_VALUE"""),110.19)</f>
        <v/>
      </c>
      <c r="G156" s="143">
        <f>IFERROR(__xludf.DUMMYFUNCTION("""COMPUTED_VALUE"""),4416418)</f>
        <v/>
      </c>
      <c r="H156" s="27" t="n"/>
    </row>
    <row r="157" ht="17.25" customHeight="1" s="322">
      <c r="A157" s="27" t="n"/>
      <c r="B157" s="506">
        <f>IFERROR(__xludf.DUMMYFUNCTION("""COMPUTED_VALUE"""),46056.6666666666)</f>
        <v/>
      </c>
      <c r="C157" s="141">
        <f>IFERROR(__xludf.DUMMYFUNCTION("""COMPUTED_VALUE"""),110.24)</f>
        <v/>
      </c>
      <c r="D157" s="141">
        <f>IFERROR(__xludf.DUMMYFUNCTION("""COMPUTED_VALUE"""),110.41)</f>
        <v/>
      </c>
      <c r="E157" s="141">
        <f>IFERROR(__xludf.DUMMYFUNCTION("""COMPUTED_VALUE"""),110.24)</f>
        <v/>
      </c>
      <c r="F157" s="141">
        <f>IFERROR(__xludf.DUMMYFUNCTION("""COMPUTED_VALUE"""),110.37)</f>
        <v/>
      </c>
      <c r="G157" s="143">
        <f>IFERROR(__xludf.DUMMYFUNCTION("""COMPUTED_VALUE"""),1651300)</f>
        <v/>
      </c>
      <c r="H157" s="27" t="n"/>
    </row>
    <row r="158" ht="17.25" customHeight="1" s="322">
      <c r="A158" s="27" t="n"/>
      <c r="B158" s="506">
        <f>IFERROR(__xludf.DUMMYFUNCTION("""COMPUTED_VALUE"""),46057.6666666666)</f>
        <v/>
      </c>
      <c r="C158" s="141">
        <f>IFERROR(__xludf.DUMMYFUNCTION("""COMPUTED_VALUE"""),110.22)</f>
        <v/>
      </c>
      <c r="D158" s="141">
        <f>IFERROR(__xludf.DUMMYFUNCTION("""COMPUTED_VALUE"""),110.35)</f>
        <v/>
      </c>
      <c r="E158" s="141">
        <f>IFERROR(__xludf.DUMMYFUNCTION("""COMPUTED_VALUE"""),110.21)</f>
        <v/>
      </c>
      <c r="F158" s="141">
        <f>IFERROR(__xludf.DUMMYFUNCTION("""COMPUTED_VALUE"""),110.25)</f>
        <v/>
      </c>
      <c r="G158" s="143">
        <f>IFERROR(__xludf.DUMMYFUNCTION("""COMPUTED_VALUE"""),4072202)</f>
        <v/>
      </c>
      <c r="H158" s="27" t="n"/>
    </row>
    <row r="159" ht="17.25" customHeight="1" s="322">
      <c r="A159" s="27" t="n"/>
      <c r="B159" s="506">
        <f>IFERROR(__xludf.DUMMYFUNCTION("""COMPUTED_VALUE"""),46058.6666666666)</f>
        <v/>
      </c>
      <c r="C159" s="141">
        <f>IFERROR(__xludf.DUMMYFUNCTION("""COMPUTED_VALUE"""),110.41)</f>
        <v/>
      </c>
      <c r="D159" s="141">
        <f>IFERROR(__xludf.DUMMYFUNCTION("""COMPUTED_VALUE"""),110.58)</f>
        <v/>
      </c>
      <c r="E159" s="141">
        <f>IFERROR(__xludf.DUMMYFUNCTION("""COMPUTED_VALUE"""),110.34)</f>
        <v/>
      </c>
      <c r="F159" s="141">
        <f>IFERROR(__xludf.DUMMYFUNCTION("""COMPUTED_VALUE"""),110.56)</f>
        <v/>
      </c>
      <c r="G159" s="143">
        <f>IFERROR(__xludf.DUMMYFUNCTION("""COMPUTED_VALUE"""),2319243)</f>
        <v/>
      </c>
      <c r="H159" s="27" t="n"/>
    </row>
    <row r="160" ht="17.25" customHeight="1" s="322">
      <c r="A160" s="27" t="n"/>
      <c r="B160" s="506">
        <f>IFERROR(__xludf.DUMMYFUNCTION("""COMPUTED_VALUE"""),46059.6666666666)</f>
        <v/>
      </c>
      <c r="C160" s="141">
        <f>IFERROR(__xludf.DUMMYFUNCTION("""COMPUTED_VALUE"""),110.59)</f>
        <v/>
      </c>
      <c r="D160" s="141">
        <f>IFERROR(__xludf.DUMMYFUNCTION("""COMPUTED_VALUE"""),110.67)</f>
        <v/>
      </c>
      <c r="E160" s="141">
        <f>IFERROR(__xludf.DUMMYFUNCTION("""COMPUTED_VALUE"""),110.48)</f>
        <v/>
      </c>
      <c r="F160" s="141">
        <f>IFERROR(__xludf.DUMMYFUNCTION("""COMPUTED_VALUE"""),110.67)</f>
        <v/>
      </c>
      <c r="G160" s="143">
        <f>IFERROR(__xludf.DUMMYFUNCTION("""COMPUTED_VALUE"""),2478574)</f>
        <v/>
      </c>
      <c r="H160" s="27" t="n"/>
    </row>
    <row r="161" ht="17.25" customHeight="1" s="322">
      <c r="A161" s="27" t="n"/>
      <c r="B161" s="506">
        <f>IFERROR(__xludf.DUMMYFUNCTION("""COMPUTED_VALUE"""),46062.6666666666)</f>
        <v/>
      </c>
      <c r="C161" s="141">
        <f>IFERROR(__xludf.DUMMYFUNCTION("""COMPUTED_VALUE"""),110.6)</f>
        <v/>
      </c>
      <c r="D161" s="141">
        <f>IFERROR(__xludf.DUMMYFUNCTION("""COMPUTED_VALUE"""),110.78)</f>
        <v/>
      </c>
      <c r="E161" s="141">
        <f>IFERROR(__xludf.DUMMYFUNCTION("""COMPUTED_VALUE"""),110.55)</f>
        <v/>
      </c>
      <c r="F161" s="141">
        <f>IFERROR(__xludf.DUMMYFUNCTION("""COMPUTED_VALUE"""),110.76)</f>
        <v/>
      </c>
      <c r="G161" s="143">
        <f>IFERROR(__xludf.DUMMYFUNCTION("""COMPUTED_VALUE"""),2712499)</f>
        <v/>
      </c>
      <c r="H161" s="27" t="n"/>
    </row>
    <row r="162" ht="17.25" customHeight="1" s="322">
      <c r="A162" s="27" t="n"/>
      <c r="B162" s="506">
        <f>IFERROR(__xludf.DUMMYFUNCTION("""COMPUTED_VALUE"""),46063.6666666666)</f>
        <v/>
      </c>
      <c r="C162" s="141">
        <f>IFERROR(__xludf.DUMMYFUNCTION("""COMPUTED_VALUE"""),111)</f>
        <v/>
      </c>
      <c r="D162" s="141">
        <f>IFERROR(__xludf.DUMMYFUNCTION("""COMPUTED_VALUE"""),111.09)</f>
        <v/>
      </c>
      <c r="E162" s="141">
        <f>IFERROR(__xludf.DUMMYFUNCTION("""COMPUTED_VALUE"""),110.91)</f>
        <v/>
      </c>
      <c r="F162" s="141">
        <f>IFERROR(__xludf.DUMMYFUNCTION("""COMPUTED_VALUE"""),110.99)</f>
        <v/>
      </c>
      <c r="G162" s="143">
        <f>IFERROR(__xludf.DUMMYFUNCTION("""COMPUTED_VALUE"""),2026356)</f>
        <v/>
      </c>
      <c r="H162" s="27" t="n"/>
    </row>
    <row r="163" ht="17.25" customHeight="1" s="322">
      <c r="A163" s="27" t="n"/>
      <c r="B163" s="506">
        <f>IFERROR(__xludf.DUMMYFUNCTION("""COMPUTED_VALUE"""),46064.6666666666)</f>
        <v/>
      </c>
      <c r="C163" s="141">
        <f>IFERROR(__xludf.DUMMYFUNCTION("""COMPUTED_VALUE"""),110.84)</f>
        <v/>
      </c>
      <c r="D163" s="141">
        <f>IFERROR(__xludf.DUMMYFUNCTION("""COMPUTED_VALUE"""),111)</f>
        <v/>
      </c>
      <c r="E163" s="141">
        <f>IFERROR(__xludf.DUMMYFUNCTION("""COMPUTED_VALUE"""),110.77)</f>
        <v/>
      </c>
      <c r="F163" s="141">
        <f>IFERROR(__xludf.DUMMYFUNCTION("""COMPUTED_VALUE"""),110.81)</f>
        <v/>
      </c>
      <c r="G163" s="143">
        <f>IFERROR(__xludf.DUMMYFUNCTION("""COMPUTED_VALUE"""),1771816)</f>
        <v/>
      </c>
      <c r="H163" s="27" t="n"/>
    </row>
    <row r="164" ht="17.25" customHeight="1" s="322">
      <c r="A164" s="27" t="n"/>
      <c r="B164" s="506">
        <f>IFERROR(__xludf.DUMMYFUNCTION("""COMPUTED_VALUE"""),46065.6666666666)</f>
        <v/>
      </c>
      <c r="C164" s="141">
        <f>IFERROR(__xludf.DUMMYFUNCTION("""COMPUTED_VALUE"""),110.9)</f>
        <v/>
      </c>
      <c r="D164" s="141">
        <f>IFERROR(__xludf.DUMMYFUNCTION("""COMPUTED_VALUE"""),111.27)</f>
        <v/>
      </c>
      <c r="E164" s="141">
        <f>IFERROR(__xludf.DUMMYFUNCTION("""COMPUTED_VALUE"""),110.88)</f>
        <v/>
      </c>
      <c r="F164" s="141">
        <f>IFERROR(__xludf.DUMMYFUNCTION("""COMPUTED_VALUE"""),111.25)</f>
        <v/>
      </c>
      <c r="G164" s="143">
        <f>IFERROR(__xludf.DUMMYFUNCTION("""COMPUTED_VALUE"""),2401299)</f>
        <v/>
      </c>
      <c r="H164" s="27" t="n"/>
    </row>
    <row r="165" ht="17.25" customHeight="1" s="322">
      <c r="A165" s="27" t="n"/>
      <c r="B165" s="506">
        <f>IFERROR(__xludf.DUMMYFUNCTION("""COMPUTED_VALUE"""),46066.6666666666)</f>
        <v/>
      </c>
      <c r="C165" s="141">
        <f>IFERROR(__xludf.DUMMYFUNCTION("""COMPUTED_VALUE"""),111.38)</f>
        <v/>
      </c>
      <c r="D165" s="141">
        <f>IFERROR(__xludf.DUMMYFUNCTION("""COMPUTED_VALUE"""),111.44)</f>
        <v/>
      </c>
      <c r="E165" s="141">
        <f>IFERROR(__xludf.DUMMYFUNCTION("""COMPUTED_VALUE"""),111.25)</f>
        <v/>
      </c>
      <c r="F165" s="141">
        <f>IFERROR(__xludf.DUMMYFUNCTION("""COMPUTED_VALUE"""),111.39)</f>
        <v/>
      </c>
      <c r="G165" s="143">
        <f>IFERROR(__xludf.DUMMYFUNCTION("""COMPUTED_VALUE"""),4662721)</f>
        <v/>
      </c>
      <c r="H165" s="27" t="n"/>
    </row>
    <row r="166" ht="17.25" customHeight="1" s="322">
      <c r="A166" s="27" t="n"/>
      <c r="B166" s="506">
        <f>IFERROR(__xludf.DUMMYFUNCTION("""COMPUTED_VALUE"""),46070.6666666666)</f>
        <v/>
      </c>
      <c r="C166" s="141">
        <f>IFERROR(__xludf.DUMMYFUNCTION("""COMPUTED_VALUE"""),111.31)</f>
        <v/>
      </c>
      <c r="D166" s="141">
        <f>IFERROR(__xludf.DUMMYFUNCTION("""COMPUTED_VALUE"""),111.33)</f>
        <v/>
      </c>
      <c r="E166" s="141">
        <f>IFERROR(__xludf.DUMMYFUNCTION("""COMPUTED_VALUE"""),111.2)</f>
        <v/>
      </c>
      <c r="F166" s="141">
        <f>IFERROR(__xludf.DUMMYFUNCTION("""COMPUTED_VALUE"""),111.23)</f>
        <v/>
      </c>
      <c r="G166" s="143">
        <f>IFERROR(__xludf.DUMMYFUNCTION("""COMPUTED_VALUE"""),1844025)</f>
        <v/>
      </c>
      <c r="H166" s="27" t="n"/>
    </row>
    <row r="167" ht="17.25" customHeight="1" s="322">
      <c r="A167" s="27" t="n"/>
      <c r="B167" s="506">
        <f>IFERROR(__xludf.DUMMYFUNCTION("""COMPUTED_VALUE"""),46071.6666666666)</f>
        <v/>
      </c>
      <c r="C167" s="141">
        <f>IFERROR(__xludf.DUMMYFUNCTION("""COMPUTED_VALUE"""),111.22)</f>
        <v/>
      </c>
      <c r="D167" s="141">
        <f>IFERROR(__xludf.DUMMYFUNCTION("""COMPUTED_VALUE"""),111.29)</f>
        <v/>
      </c>
      <c r="E167" s="141">
        <f>IFERROR(__xludf.DUMMYFUNCTION("""COMPUTED_VALUE"""),111.13)</f>
        <v/>
      </c>
      <c r="F167" s="141">
        <f>IFERROR(__xludf.DUMMYFUNCTION("""COMPUTED_VALUE"""),111.16)</f>
        <v/>
      </c>
      <c r="G167" s="143">
        <f>IFERROR(__xludf.DUMMYFUNCTION("""COMPUTED_VALUE"""),1939689)</f>
        <v/>
      </c>
      <c r="H167" s="27" t="n"/>
    </row>
    <row r="168" ht="17.25" customHeight="1" s="322">
      <c r="A168" s="27" t="n"/>
      <c r="B168" s="506">
        <f>IFERROR(__xludf.DUMMYFUNCTION("""COMPUTED_VALUE"""),46072.6666666666)</f>
        <v/>
      </c>
      <c r="C168" s="141">
        <f>IFERROR(__xludf.DUMMYFUNCTION("""COMPUTED_VALUE"""),111.13)</f>
        <v/>
      </c>
      <c r="D168" s="141">
        <f>IFERROR(__xludf.DUMMYFUNCTION("""COMPUTED_VALUE"""),111.34)</f>
        <v/>
      </c>
      <c r="E168" s="141">
        <f>IFERROR(__xludf.DUMMYFUNCTION("""COMPUTED_VALUE"""),111.12)</f>
        <v/>
      </c>
      <c r="F168" s="141">
        <f>IFERROR(__xludf.DUMMYFUNCTION("""COMPUTED_VALUE"""),111.25)</f>
        <v/>
      </c>
      <c r="G168" s="143">
        <f>IFERROR(__xludf.DUMMYFUNCTION("""COMPUTED_VALUE"""),2665282)</f>
        <v/>
      </c>
      <c r="H168" s="27" t="n"/>
    </row>
    <row r="169" ht="17.25" customHeight="1" s="322">
      <c r="A169" s="27" t="n"/>
      <c r="B169" s="506">
        <f>IFERROR(__xludf.DUMMYFUNCTION("""COMPUTED_VALUE"""),46073.6666666666)</f>
        <v/>
      </c>
      <c r="C169" s="141">
        <f>IFERROR(__xludf.DUMMYFUNCTION("""COMPUTED_VALUE"""),111.31)</f>
        <v/>
      </c>
      <c r="D169" s="141">
        <f>IFERROR(__xludf.DUMMYFUNCTION("""COMPUTED_VALUE"""),111.31)</f>
        <v/>
      </c>
      <c r="E169" s="141">
        <f>IFERROR(__xludf.DUMMYFUNCTION("""COMPUTED_VALUE"""),110.99)</f>
        <v/>
      </c>
      <c r="F169" s="141">
        <f>IFERROR(__xludf.DUMMYFUNCTION("""COMPUTED_VALUE"""),111.19)</f>
        <v/>
      </c>
      <c r="G169" s="143">
        <f>IFERROR(__xludf.DUMMYFUNCTION("""COMPUTED_VALUE"""),3085106)</f>
        <v/>
      </c>
      <c r="H169" s="27" t="n"/>
    </row>
    <row r="170" ht="17.25" customHeight="1" s="322">
      <c r="A170" s="27" t="n"/>
      <c r="B170" s="506">
        <f>IFERROR(__xludf.DUMMYFUNCTION("""COMPUTED_VALUE"""),46076.6666666666)</f>
        <v/>
      </c>
      <c r="C170" s="141">
        <f>IFERROR(__xludf.DUMMYFUNCTION("""COMPUTED_VALUE"""),111.29)</f>
        <v/>
      </c>
      <c r="D170" s="141">
        <f>IFERROR(__xludf.DUMMYFUNCTION("""COMPUTED_VALUE"""),111.46)</f>
        <v/>
      </c>
      <c r="E170" s="141">
        <f>IFERROR(__xludf.DUMMYFUNCTION("""COMPUTED_VALUE"""),111.25)</f>
        <v/>
      </c>
      <c r="F170" s="141">
        <f>IFERROR(__xludf.DUMMYFUNCTION("""COMPUTED_VALUE"""),111.29)</f>
        <v/>
      </c>
      <c r="G170" s="143">
        <f>IFERROR(__xludf.DUMMYFUNCTION("""COMPUTED_VALUE"""),2315534)</f>
        <v/>
      </c>
      <c r="H170" s="27" t="n"/>
    </row>
    <row r="171" ht="17.25" customHeight="1" s="322">
      <c r="A171" s="27" t="n"/>
      <c r="B171" s="506">
        <f>IFERROR(__xludf.DUMMYFUNCTION("""COMPUTED_VALUE"""),46077.6666666666)</f>
        <v/>
      </c>
      <c r="C171" s="141">
        <f>IFERROR(__xludf.DUMMYFUNCTION("""COMPUTED_VALUE"""),111.33)</f>
        <v/>
      </c>
      <c r="D171" s="141">
        <f>IFERROR(__xludf.DUMMYFUNCTION("""COMPUTED_VALUE"""),111.36)</f>
        <v/>
      </c>
      <c r="E171" s="141">
        <f>IFERROR(__xludf.DUMMYFUNCTION("""COMPUTED_VALUE"""),111.21)</f>
        <v/>
      </c>
      <c r="F171" s="141">
        <f>IFERROR(__xludf.DUMMYFUNCTION("""COMPUTED_VALUE"""),111.31)</f>
        <v/>
      </c>
      <c r="G171" s="143">
        <f>IFERROR(__xludf.DUMMYFUNCTION("""COMPUTED_VALUE"""),1227163)</f>
        <v/>
      </c>
      <c r="H171" s="27" t="n"/>
    </row>
    <row r="172" ht="17.25" customHeight="1" s="322">
      <c r="A172" s="27" t="n"/>
      <c r="B172" s="506">
        <f>IFERROR(__xludf.DUMMYFUNCTION("""COMPUTED_VALUE"""),46078.6666666666)</f>
        <v/>
      </c>
      <c r="C172" s="141">
        <f>IFERROR(__xludf.DUMMYFUNCTION("""COMPUTED_VALUE"""),111.28)</f>
        <v/>
      </c>
      <c r="D172" s="141">
        <f>IFERROR(__xludf.DUMMYFUNCTION("""COMPUTED_VALUE"""),111.46)</f>
        <v/>
      </c>
      <c r="E172" s="141">
        <f>IFERROR(__xludf.DUMMYFUNCTION("""COMPUTED_VALUE"""),111.26)</f>
        <v/>
      </c>
      <c r="F172" s="141">
        <f>IFERROR(__xludf.DUMMYFUNCTION("""COMPUTED_VALUE"""),111.41)</f>
        <v/>
      </c>
      <c r="G172" s="143">
        <f>IFERROR(__xludf.DUMMYFUNCTION("""COMPUTED_VALUE"""),1549042)</f>
        <v/>
      </c>
      <c r="H172" s="27" t="n"/>
    </row>
    <row r="173" ht="17.25" customHeight="1" s="322">
      <c r="A173" s="27" t="n"/>
      <c r="B173" s="506">
        <f>IFERROR(__xludf.DUMMYFUNCTION("""COMPUTED_VALUE"""),46079.6666666666)</f>
        <v/>
      </c>
      <c r="C173" s="141">
        <f>IFERROR(__xludf.DUMMYFUNCTION("""COMPUTED_VALUE"""),111.53)</f>
        <v/>
      </c>
      <c r="D173" s="141">
        <f>IFERROR(__xludf.DUMMYFUNCTION("""COMPUTED_VALUE"""),111.72)</f>
        <v/>
      </c>
      <c r="E173" s="141">
        <f>IFERROR(__xludf.DUMMYFUNCTION("""COMPUTED_VALUE"""),111.52)</f>
        <v/>
      </c>
      <c r="F173" s="141">
        <f>IFERROR(__xludf.DUMMYFUNCTION("""COMPUTED_VALUE"""),111.71)</f>
        <v/>
      </c>
      <c r="G173" s="143">
        <f>IFERROR(__xludf.DUMMYFUNCTION("""COMPUTED_VALUE"""),1545145)</f>
        <v/>
      </c>
      <c r="H173" s="27" t="n"/>
    </row>
    <row r="174" ht="17.25" customHeight="1" s="322">
      <c r="A174" s="27" t="n"/>
      <c r="B174" s="506">
        <f>IFERROR(__xludf.DUMMYFUNCTION("""COMPUTED_VALUE"""),46080.6666666666)</f>
        <v/>
      </c>
      <c r="C174" s="141">
        <f>IFERROR(__xludf.DUMMYFUNCTION("""COMPUTED_VALUE"""),111.98)</f>
        <v/>
      </c>
      <c r="D174" s="141">
        <f>IFERROR(__xludf.DUMMYFUNCTION("""COMPUTED_VALUE"""),111.98)</f>
        <v/>
      </c>
      <c r="E174" s="141">
        <f>IFERROR(__xludf.DUMMYFUNCTION("""COMPUTED_VALUE"""),111.79)</f>
        <v/>
      </c>
      <c r="F174" s="141">
        <f>IFERROR(__xludf.DUMMYFUNCTION("""COMPUTED_VALUE"""),111.88)</f>
        <v/>
      </c>
      <c r="G174" s="143">
        <f>IFERROR(__xludf.DUMMYFUNCTION("""COMPUTED_VALUE"""),2462655)</f>
        <v/>
      </c>
      <c r="H174" s="27" t="n"/>
    </row>
    <row r="175" ht="17.25" customHeight="1" s="322">
      <c r="A175" s="27" t="n"/>
      <c r="B175" s="506">
        <f>IFERROR(__xludf.DUMMYFUNCTION("""COMPUTED_VALUE"""),46083.6666666666)</f>
        <v/>
      </c>
      <c r="C175" s="141">
        <f>IFERROR(__xludf.DUMMYFUNCTION("""COMPUTED_VALUE"""),111.83)</f>
        <v/>
      </c>
      <c r="D175" s="141">
        <f>IFERROR(__xludf.DUMMYFUNCTION("""COMPUTED_VALUE"""),111.83)</f>
        <v/>
      </c>
      <c r="E175" s="141">
        <f>IFERROR(__xludf.DUMMYFUNCTION("""COMPUTED_VALUE"""),111.32)</f>
        <v/>
      </c>
      <c r="F175" s="141">
        <f>IFERROR(__xludf.DUMMYFUNCTION("""COMPUTED_VALUE"""),111.57)</f>
        <v/>
      </c>
      <c r="G175" s="143">
        <f>IFERROR(__xludf.DUMMYFUNCTION("""COMPUTED_VALUE"""),3294057)</f>
        <v/>
      </c>
      <c r="H175" s="27" t="n"/>
    </row>
    <row r="176" ht="17.25" customHeight="1" s="322">
      <c r="A176" s="27" t="n"/>
      <c r="B176" s="506">
        <f>IFERROR(__xludf.DUMMYFUNCTION("""COMPUTED_VALUE"""),46084.6666666666)</f>
        <v/>
      </c>
      <c r="C176" s="141">
        <f>IFERROR(__xludf.DUMMYFUNCTION("""COMPUTED_VALUE"""),111.31)</f>
        <v/>
      </c>
      <c r="D176" s="141">
        <f>IFERROR(__xludf.DUMMYFUNCTION("""COMPUTED_VALUE"""),111.63)</f>
        <v/>
      </c>
      <c r="E176" s="141">
        <f>IFERROR(__xludf.DUMMYFUNCTION("""COMPUTED_VALUE"""),111.28)</f>
        <v/>
      </c>
      <c r="F176" s="141">
        <f>IFERROR(__xludf.DUMMYFUNCTION("""COMPUTED_VALUE"""),111.5)</f>
        <v/>
      </c>
      <c r="G176" s="143">
        <f>IFERROR(__xludf.DUMMYFUNCTION("""COMPUTED_VALUE"""),2665275)</f>
        <v/>
      </c>
      <c r="H176" s="27" t="n"/>
    </row>
    <row r="177" ht="17.25" customHeight="1" s="322">
      <c r="A177" s="27" t="n"/>
      <c r="B177" s="506">
        <f>IFERROR(__xludf.DUMMYFUNCTION("""COMPUTED_VALUE"""),46085.6666666666)</f>
        <v/>
      </c>
      <c r="C177" s="141">
        <f>IFERROR(__xludf.DUMMYFUNCTION("""COMPUTED_VALUE"""),111.47)</f>
        <v/>
      </c>
      <c r="D177" s="141">
        <f>IFERROR(__xludf.DUMMYFUNCTION("""COMPUTED_VALUE"""),111.48)</f>
        <v/>
      </c>
      <c r="E177" s="141">
        <f>IFERROR(__xludf.DUMMYFUNCTION("""COMPUTED_VALUE"""),111.24)</f>
        <v/>
      </c>
      <c r="F177" s="141">
        <f>IFERROR(__xludf.DUMMYFUNCTION("""COMPUTED_VALUE"""),111.25)</f>
        <v/>
      </c>
      <c r="G177" s="143">
        <f>IFERROR(__xludf.DUMMYFUNCTION("""COMPUTED_VALUE"""),1760580)</f>
        <v/>
      </c>
      <c r="H177" s="27" t="n"/>
    </row>
    <row r="178" ht="17.25" customHeight="1" s="322">
      <c r="A178" s="27" t="n"/>
      <c r="B178" s="506">
        <f>IFERROR(__xludf.DUMMYFUNCTION("""COMPUTED_VALUE"""),46086.6666666666)</f>
        <v/>
      </c>
      <c r="C178" s="141">
        <f>IFERROR(__xludf.DUMMYFUNCTION("""COMPUTED_VALUE"""),111.08)</f>
        <v/>
      </c>
      <c r="D178" s="141">
        <f>IFERROR(__xludf.DUMMYFUNCTION("""COMPUTED_VALUE"""),111.32)</f>
        <v/>
      </c>
      <c r="E178" s="141">
        <f>IFERROR(__xludf.DUMMYFUNCTION("""COMPUTED_VALUE"""),111.04)</f>
        <v/>
      </c>
      <c r="F178" s="141">
        <f>IFERROR(__xludf.DUMMYFUNCTION("""COMPUTED_VALUE"""),111.22)</f>
        <v/>
      </c>
      <c r="G178" s="143">
        <f>IFERROR(__xludf.DUMMYFUNCTION("""COMPUTED_VALUE"""),2467801)</f>
        <v/>
      </c>
      <c r="H178" s="27" t="n"/>
    </row>
    <row r="179" ht="17.25" customHeight="1" s="322">
      <c r="A179" s="27" t="n"/>
      <c r="B179" s="506">
        <f>IFERROR(__xludf.DUMMYFUNCTION("""COMPUTED_VALUE"""),46087.6666666666)</f>
        <v/>
      </c>
      <c r="C179" s="141">
        <f>IFERROR(__xludf.DUMMYFUNCTION("""COMPUTED_VALUE"""),111.32)</f>
        <v/>
      </c>
      <c r="D179" s="141">
        <f>IFERROR(__xludf.DUMMYFUNCTION("""COMPUTED_VALUE"""),111.71)</f>
        <v/>
      </c>
      <c r="E179" s="141">
        <f>IFERROR(__xludf.DUMMYFUNCTION("""COMPUTED_VALUE"""),111.28)</f>
        <v/>
      </c>
      <c r="F179" s="141">
        <f>IFERROR(__xludf.DUMMYFUNCTION("""COMPUTED_VALUE"""),111.43)</f>
        <v/>
      </c>
      <c r="G179" s="143">
        <f>IFERROR(__xludf.DUMMYFUNCTION("""COMPUTED_VALUE"""),2774443)</f>
        <v/>
      </c>
      <c r="H179" s="27" t="n"/>
    </row>
    <row r="180" ht="17.25" customHeight="1" s="322">
      <c r="A180" s="27" t="n"/>
      <c r="B180" s="506">
        <f>IFERROR(__xludf.DUMMYFUNCTION("""COMPUTED_VALUE"""),46090.6666666666)</f>
        <v/>
      </c>
      <c r="C180" s="141">
        <f>IFERROR(__xludf.DUMMYFUNCTION("""COMPUTED_VALUE"""),111.52)</f>
        <v/>
      </c>
      <c r="D180" s="141">
        <f>IFERROR(__xludf.DUMMYFUNCTION("""COMPUTED_VALUE"""),111.7)</f>
        <v/>
      </c>
      <c r="E180" s="141">
        <f>IFERROR(__xludf.DUMMYFUNCTION("""COMPUTED_VALUE"""),111.35)</f>
        <v/>
      </c>
      <c r="F180" s="141">
        <f>IFERROR(__xludf.DUMMYFUNCTION("""COMPUTED_VALUE"""),111.61)</f>
        <v/>
      </c>
      <c r="G180" s="143">
        <f>IFERROR(__xludf.DUMMYFUNCTION("""COMPUTED_VALUE"""),4619207)</f>
        <v/>
      </c>
      <c r="H180" s="27" t="n"/>
    </row>
    <row r="181" ht="17.25" customHeight="1" s="322">
      <c r="A181" s="27" t="n"/>
      <c r="B181" s="506">
        <f>IFERROR(__xludf.DUMMYFUNCTION("""COMPUTED_VALUE"""),46091.6666666666)</f>
        <v/>
      </c>
      <c r="C181" s="141">
        <f>IFERROR(__xludf.DUMMYFUNCTION("""COMPUTED_VALUE"""),111.53)</f>
        <v/>
      </c>
      <c r="D181" s="141">
        <f>IFERROR(__xludf.DUMMYFUNCTION("""COMPUTED_VALUE"""),111.55)</f>
        <v/>
      </c>
      <c r="E181" s="141">
        <f>IFERROR(__xludf.DUMMYFUNCTION("""COMPUTED_VALUE"""),111.21)</f>
        <v/>
      </c>
      <c r="F181" s="141">
        <f>IFERROR(__xludf.DUMMYFUNCTION("""COMPUTED_VALUE"""),111.24)</f>
        <v/>
      </c>
      <c r="G181" s="143">
        <f>IFERROR(__xludf.DUMMYFUNCTION("""COMPUTED_VALUE"""),2975353)</f>
        <v/>
      </c>
      <c r="H181" s="27" t="n"/>
    </row>
    <row r="182" ht="17.25" customHeight="1" s="322">
      <c r="A182" s="27" t="n"/>
      <c r="B182" s="506">
        <f>IFERROR(__xludf.DUMMYFUNCTION("""COMPUTED_VALUE"""),46092.6666666666)</f>
        <v/>
      </c>
      <c r="C182" s="141">
        <f>IFERROR(__xludf.DUMMYFUNCTION("""COMPUTED_VALUE"""),111.26)</f>
        <v/>
      </c>
      <c r="D182" s="141">
        <f>IFERROR(__xludf.DUMMYFUNCTION("""COMPUTED_VALUE"""),111.26)</f>
        <v/>
      </c>
      <c r="E182" s="141">
        <f>IFERROR(__xludf.DUMMYFUNCTION("""COMPUTED_VALUE"""),111.03)</f>
        <v/>
      </c>
      <c r="F182" s="141">
        <f>IFERROR(__xludf.DUMMYFUNCTION("""COMPUTED_VALUE"""),111.07)</f>
        <v/>
      </c>
      <c r="G182" s="143">
        <f>IFERROR(__xludf.DUMMYFUNCTION("""COMPUTED_VALUE"""),2860660)</f>
        <v/>
      </c>
      <c r="H182" s="27" t="n"/>
    </row>
    <row r="183" ht="17.25" customHeight="1" s="322">
      <c r="A183" s="27" t="n"/>
      <c r="B183" s="506">
        <f>IFERROR(__xludf.DUMMYFUNCTION("""COMPUTED_VALUE"""),46093.6666666666)</f>
        <v/>
      </c>
      <c r="C183" s="141">
        <f>IFERROR(__xludf.DUMMYFUNCTION("""COMPUTED_VALUE"""),111.08)</f>
        <v/>
      </c>
      <c r="D183" s="141">
        <f>IFERROR(__xludf.DUMMYFUNCTION("""COMPUTED_VALUE"""),111.19)</f>
        <v/>
      </c>
      <c r="E183" s="141">
        <f>IFERROR(__xludf.DUMMYFUNCTION("""COMPUTED_VALUE"""),110.8)</f>
        <v/>
      </c>
      <c r="F183" s="141">
        <f>IFERROR(__xludf.DUMMYFUNCTION("""COMPUTED_VALUE"""),110.93)</f>
        <v/>
      </c>
      <c r="G183" s="143">
        <f>IFERROR(__xludf.DUMMYFUNCTION("""COMPUTED_VALUE"""),2417737)</f>
        <v/>
      </c>
      <c r="H183" s="27" t="n"/>
    </row>
    <row r="184" ht="17.25" customHeight="1" s="322">
      <c r="A184" s="27" t="n"/>
      <c r="B184" s="506">
        <f>IFERROR(__xludf.DUMMYFUNCTION("""COMPUTED_VALUE"""),46094.6666666666)</f>
        <v/>
      </c>
      <c r="C184" s="141">
        <f>IFERROR(__xludf.DUMMYFUNCTION("""COMPUTED_VALUE"""),110.9)</f>
        <v/>
      </c>
      <c r="D184" s="141">
        <f>IFERROR(__xludf.DUMMYFUNCTION("""COMPUTED_VALUE"""),110.94)</f>
        <v/>
      </c>
      <c r="E184" s="141">
        <f>IFERROR(__xludf.DUMMYFUNCTION("""COMPUTED_VALUE"""),110.66)</f>
        <v/>
      </c>
      <c r="F184" s="141">
        <f>IFERROR(__xludf.DUMMYFUNCTION("""COMPUTED_VALUE"""),110.71)</f>
        <v/>
      </c>
      <c r="G184" s="143">
        <f>IFERROR(__xludf.DUMMYFUNCTION("""COMPUTED_VALUE"""),2274854)</f>
        <v/>
      </c>
      <c r="H184" s="27" t="n"/>
    </row>
    <row r="185" ht="17.25" customHeight="1" s="322">
      <c r="A185" s="27" t="n"/>
      <c r="B185" s="506">
        <f>IFERROR(__xludf.DUMMYFUNCTION("""COMPUTED_VALUE"""),46097.6666666666)</f>
        <v/>
      </c>
      <c r="C185" s="141">
        <f>IFERROR(__xludf.DUMMYFUNCTION("""COMPUTED_VALUE"""),111.02)</f>
        <v/>
      </c>
      <c r="D185" s="141">
        <f>IFERROR(__xludf.DUMMYFUNCTION("""COMPUTED_VALUE"""),111.09)</f>
        <v/>
      </c>
      <c r="E185" s="141">
        <f>IFERROR(__xludf.DUMMYFUNCTION("""COMPUTED_VALUE"""),110.88)</f>
        <v/>
      </c>
      <c r="F185" s="141">
        <f>IFERROR(__xludf.DUMMYFUNCTION("""COMPUTED_VALUE"""),111.06)</f>
        <v/>
      </c>
      <c r="G185" s="143">
        <f>IFERROR(__xludf.DUMMYFUNCTION("""COMPUTED_VALUE"""),2260640)</f>
        <v/>
      </c>
      <c r="H185" s="27" t="n"/>
    </row>
    <row r="186" ht="17.25" customHeight="1" s="322">
      <c r="A186" s="27" t="n"/>
      <c r="B186" s="506">
        <f>IFERROR(__xludf.DUMMYFUNCTION("""COMPUTED_VALUE"""),46098.6666666666)</f>
        <v/>
      </c>
      <c r="C186" s="141">
        <f>IFERROR(__xludf.DUMMYFUNCTION("""COMPUTED_VALUE"""),111.28)</f>
        <v/>
      </c>
      <c r="D186" s="141">
        <f>IFERROR(__xludf.DUMMYFUNCTION("""COMPUTED_VALUE"""),111.48)</f>
        <v/>
      </c>
      <c r="E186" s="141">
        <f>IFERROR(__xludf.DUMMYFUNCTION("""COMPUTED_VALUE"""),111.22)</f>
        <v/>
      </c>
      <c r="F186" s="141">
        <f>IFERROR(__xludf.DUMMYFUNCTION("""COMPUTED_VALUE"""),111.45)</f>
        <v/>
      </c>
      <c r="G186" s="143">
        <f>IFERROR(__xludf.DUMMYFUNCTION("""COMPUTED_VALUE"""),1821692)</f>
        <v/>
      </c>
      <c r="H186" s="27" t="n"/>
    </row>
    <row r="187" ht="17.25" customHeight="1" s="322">
      <c r="A187" s="27" t="n"/>
      <c r="B187" s="506">
        <f>IFERROR(__xludf.DUMMYFUNCTION("""COMPUTED_VALUE"""),46099.6666666666)</f>
        <v/>
      </c>
      <c r="C187" s="141">
        <f>IFERROR(__xludf.DUMMYFUNCTION("""COMPUTED_VALUE"""),111.51)</f>
        <v/>
      </c>
      <c r="D187" s="141">
        <f>IFERROR(__xludf.DUMMYFUNCTION("""COMPUTED_VALUE"""),111.56)</f>
        <v/>
      </c>
      <c r="E187" s="141">
        <f>IFERROR(__xludf.DUMMYFUNCTION("""COMPUTED_VALUE"""),111.21)</f>
        <v/>
      </c>
      <c r="F187" s="141">
        <f>IFERROR(__xludf.DUMMYFUNCTION("""COMPUTED_VALUE"""),111.24)</f>
        <v/>
      </c>
      <c r="G187" s="143">
        <f>IFERROR(__xludf.DUMMYFUNCTION("""COMPUTED_VALUE"""),3350751)</f>
        <v/>
      </c>
      <c r="H187" s="27" t="n"/>
    </row>
    <row r="188" ht="17.25" customHeight="1" s="322">
      <c r="A188" s="27" t="n"/>
      <c r="B188" s="506">
        <f>IFERROR(__xludf.DUMMYFUNCTION("""COMPUTED_VALUE"""),46100.6666666666)</f>
        <v/>
      </c>
      <c r="C188" s="141">
        <f>IFERROR(__xludf.DUMMYFUNCTION("""COMPUTED_VALUE"""),111)</f>
        <v/>
      </c>
      <c r="D188" s="141">
        <f>IFERROR(__xludf.DUMMYFUNCTION("""COMPUTED_VALUE"""),111.23)</f>
        <v/>
      </c>
      <c r="E188" s="141">
        <f>IFERROR(__xludf.DUMMYFUNCTION("""COMPUTED_VALUE"""),110.95)</f>
        <v/>
      </c>
      <c r="F188" s="141">
        <f>IFERROR(__xludf.DUMMYFUNCTION("""COMPUTED_VALUE"""),111.11)</f>
        <v/>
      </c>
      <c r="G188" s="143">
        <f>IFERROR(__xludf.DUMMYFUNCTION("""COMPUTED_VALUE"""),4816214)</f>
        <v/>
      </c>
      <c r="H188" s="27" t="n"/>
    </row>
    <row r="189" ht="17.25" customHeight="1" s="322">
      <c r="A189" s="27" t="n"/>
      <c r="B189" s="506">
        <f>IFERROR(__xludf.DUMMYFUNCTION("""COMPUTED_VALUE"""),46101.6666666666)</f>
        <v/>
      </c>
      <c r="C189" s="141">
        <f>IFERROR(__xludf.DUMMYFUNCTION("""COMPUTED_VALUE"""),110.72)</f>
        <v/>
      </c>
      <c r="D189" s="141">
        <f>IFERROR(__xludf.DUMMYFUNCTION("""COMPUTED_VALUE"""),110.73)</f>
        <v/>
      </c>
      <c r="E189" s="141">
        <f>IFERROR(__xludf.DUMMYFUNCTION("""COMPUTED_VALUE"""),110.19)</f>
        <v/>
      </c>
      <c r="F189" s="141">
        <f>IFERROR(__xludf.DUMMYFUNCTION("""COMPUTED_VALUE"""),110.22)</f>
        <v/>
      </c>
      <c r="G189" s="143">
        <f>IFERROR(__xludf.DUMMYFUNCTION("""COMPUTED_VALUE"""),4004090)</f>
        <v/>
      </c>
      <c r="H189" s="27" t="n"/>
    </row>
    <row r="190" ht="17.25" customHeight="1" s="322">
      <c r="A190" s="27" t="n"/>
      <c r="B190" s="506">
        <f>IFERROR(__xludf.DUMMYFUNCTION("""COMPUTED_VALUE"""),46104.6666666666)</f>
        <v/>
      </c>
      <c r="C190" s="141">
        <f>IFERROR(__xludf.DUMMYFUNCTION("""COMPUTED_VALUE"""),110.09)</f>
        <v/>
      </c>
      <c r="D190" s="141">
        <f>IFERROR(__xludf.DUMMYFUNCTION("""COMPUTED_VALUE"""),110.39)</f>
        <v/>
      </c>
      <c r="E190" s="141">
        <f>IFERROR(__xludf.DUMMYFUNCTION("""COMPUTED_VALUE"""),110)</f>
        <v/>
      </c>
      <c r="F190" s="141">
        <f>IFERROR(__xludf.DUMMYFUNCTION("""COMPUTED_VALUE"""),110.19)</f>
        <v/>
      </c>
      <c r="G190" s="143">
        <f>IFERROR(__xludf.DUMMYFUNCTION("""COMPUTED_VALUE"""),5753599)</f>
        <v/>
      </c>
      <c r="H190" s="27" t="n"/>
    </row>
    <row r="191" ht="17.25" customHeight="1" s="322">
      <c r="A191" s="27" t="n"/>
      <c r="B191" s="506">
        <f>IFERROR(__xludf.DUMMYFUNCTION("""COMPUTED_VALUE"""),46105.6666666666)</f>
        <v/>
      </c>
      <c r="C191" s="141">
        <f>IFERROR(__xludf.DUMMYFUNCTION("""COMPUTED_VALUE"""),109.86)</f>
        <v/>
      </c>
      <c r="D191" s="141">
        <f>IFERROR(__xludf.DUMMYFUNCTION("""COMPUTED_VALUE"""),110.07)</f>
        <v/>
      </c>
      <c r="E191" s="141">
        <f>IFERROR(__xludf.DUMMYFUNCTION("""COMPUTED_VALUE"""),109.68)</f>
        <v/>
      </c>
      <c r="F191" s="141">
        <f>IFERROR(__xludf.DUMMYFUNCTION("""COMPUTED_VALUE"""),109.83)</f>
        <v/>
      </c>
      <c r="G191" s="143">
        <f>IFERROR(__xludf.DUMMYFUNCTION("""COMPUTED_VALUE"""),4523784)</f>
        <v/>
      </c>
      <c r="H191" s="27" t="n"/>
    </row>
    <row r="192" ht="17.25" customHeight="1" s="322">
      <c r="A192" s="27" t="n"/>
      <c r="B192" s="506">
        <f>IFERROR(__xludf.DUMMYFUNCTION("""COMPUTED_VALUE"""),46106.6666666666)</f>
        <v/>
      </c>
      <c r="C192" s="141">
        <f>IFERROR(__xludf.DUMMYFUNCTION("""COMPUTED_VALUE"""),110.1)</f>
        <v/>
      </c>
      <c r="D192" s="141">
        <f>IFERROR(__xludf.DUMMYFUNCTION("""COMPUTED_VALUE"""),110.17)</f>
        <v/>
      </c>
      <c r="E192" s="141">
        <f>IFERROR(__xludf.DUMMYFUNCTION("""COMPUTED_VALUE"""),109.93)</f>
        <v/>
      </c>
      <c r="F192" s="141">
        <f>IFERROR(__xludf.DUMMYFUNCTION("""COMPUTED_VALUE"""),110.16)</f>
        <v/>
      </c>
      <c r="G192" s="143">
        <f>IFERROR(__xludf.DUMMYFUNCTION("""COMPUTED_VALUE"""),4294542)</f>
        <v/>
      </c>
      <c r="H192" s="27" t="n"/>
    </row>
    <row r="193" ht="17.25" customHeight="1" s="322">
      <c r="A193" s="27" t="n"/>
      <c r="B193" s="506">
        <f>IFERROR(__xludf.DUMMYFUNCTION("""COMPUTED_VALUE"""),46107.6666666666)</f>
        <v/>
      </c>
      <c r="C193" s="141">
        <f>IFERROR(__xludf.DUMMYFUNCTION("""COMPUTED_VALUE"""),110.12)</f>
        <v/>
      </c>
      <c r="D193" s="141">
        <f>IFERROR(__xludf.DUMMYFUNCTION("""COMPUTED_VALUE"""),110.21)</f>
        <v/>
      </c>
      <c r="E193" s="141">
        <f>IFERROR(__xludf.DUMMYFUNCTION("""COMPUTED_VALUE"""),109.76)</f>
        <v/>
      </c>
      <c r="F193" s="141">
        <f>IFERROR(__xludf.DUMMYFUNCTION("""COMPUTED_VALUE"""),109.76)</f>
        <v/>
      </c>
      <c r="G193" s="143">
        <f>IFERROR(__xludf.DUMMYFUNCTION("""COMPUTED_VALUE"""),3267925)</f>
        <v/>
      </c>
      <c r="H193" s="27" t="n"/>
    </row>
    <row r="194" ht="17.25" customHeight="1" s="322">
      <c r="A194" s="27" t="n"/>
      <c r="B194" s="506">
        <f>IFERROR(__xludf.DUMMYFUNCTION("""COMPUTED_VALUE"""),46108.6666666666)</f>
        <v/>
      </c>
      <c r="C194" s="141">
        <f>IFERROR(__xludf.DUMMYFUNCTION("""COMPUTED_VALUE"""),109.65)</f>
        <v/>
      </c>
      <c r="D194" s="141">
        <f>IFERROR(__xludf.DUMMYFUNCTION("""COMPUTED_VALUE"""),109.87)</f>
        <v/>
      </c>
      <c r="E194" s="141">
        <f>IFERROR(__xludf.DUMMYFUNCTION("""COMPUTED_VALUE"""),109.58)</f>
        <v/>
      </c>
      <c r="F194" s="141">
        <f>IFERROR(__xludf.DUMMYFUNCTION("""COMPUTED_VALUE"""),109.67)</f>
        <v/>
      </c>
      <c r="G194" s="143">
        <f>IFERROR(__xludf.DUMMYFUNCTION("""COMPUTED_VALUE"""),3071257)</f>
        <v/>
      </c>
      <c r="H194" s="27" t="n"/>
    </row>
    <row r="195" ht="17.25" customHeight="1" s="322">
      <c r="A195" s="27" t="n"/>
      <c r="B195" s="506">
        <f>IFERROR(__xludf.DUMMYFUNCTION("""COMPUTED_VALUE"""),46111.6666666666)</f>
        <v/>
      </c>
      <c r="C195" s="141">
        <f>IFERROR(__xludf.DUMMYFUNCTION("""COMPUTED_VALUE"""),110.36)</f>
        <v/>
      </c>
      <c r="D195" s="141">
        <f>IFERROR(__xludf.DUMMYFUNCTION("""COMPUTED_VALUE"""),110.52)</f>
        <v/>
      </c>
      <c r="E195" s="141">
        <f>IFERROR(__xludf.DUMMYFUNCTION("""COMPUTED_VALUE"""),110.3)</f>
        <v/>
      </c>
      <c r="F195" s="141">
        <f>IFERROR(__xludf.DUMMYFUNCTION("""COMPUTED_VALUE"""),110.35)</f>
        <v/>
      </c>
      <c r="G195" s="143">
        <f>IFERROR(__xludf.DUMMYFUNCTION("""COMPUTED_VALUE"""),3452839)</f>
        <v/>
      </c>
      <c r="H195" s="27" t="n"/>
    </row>
    <row r="196" ht="17.25" customHeight="1" s="322">
      <c r="A196" s="27" t="n"/>
      <c r="B196" s="506">
        <f>IFERROR(__xludf.DUMMYFUNCTION("""COMPUTED_VALUE"""),46112.6666666666)</f>
        <v/>
      </c>
      <c r="C196" s="141">
        <f>IFERROR(__xludf.DUMMYFUNCTION("""COMPUTED_VALUE"""),110.64)</f>
        <v/>
      </c>
      <c r="D196" s="141">
        <f>IFERROR(__xludf.DUMMYFUNCTION("""COMPUTED_VALUE"""),110.68)</f>
        <v/>
      </c>
      <c r="E196" s="141">
        <f>IFERROR(__xludf.DUMMYFUNCTION("""COMPUTED_VALUE"""),110.34)</f>
        <v/>
      </c>
      <c r="F196" s="141">
        <f>IFERROR(__xludf.DUMMYFUNCTION("""COMPUTED_VALUE"""),110.36)</f>
        <v/>
      </c>
      <c r="G196" s="143">
        <f>IFERROR(__xludf.DUMMYFUNCTION("""COMPUTED_VALUE"""),5512481)</f>
        <v/>
      </c>
      <c r="H196" s="27" t="n"/>
    </row>
    <row r="197" ht="17.25" customHeight="1" s="322">
      <c r="A197" s="27" t="n"/>
      <c r="B197" s="506">
        <f>IFERROR(__xludf.DUMMYFUNCTION("""COMPUTED_VALUE"""),46113.6666666666)</f>
        <v/>
      </c>
      <c r="C197" s="141">
        <f>IFERROR(__xludf.DUMMYFUNCTION("""COMPUTED_VALUE"""),110.31)</f>
        <v/>
      </c>
      <c r="D197" s="141">
        <f>IFERROR(__xludf.DUMMYFUNCTION("""COMPUTED_VALUE"""),110.52)</f>
        <v/>
      </c>
      <c r="E197" s="141">
        <f>IFERROR(__xludf.DUMMYFUNCTION("""COMPUTED_VALUE"""),110.28)</f>
        <v/>
      </c>
      <c r="F197" s="141">
        <f>IFERROR(__xludf.DUMMYFUNCTION("""COMPUTED_VALUE"""),110.36)</f>
        <v/>
      </c>
      <c r="G197" s="143">
        <f>IFERROR(__xludf.DUMMYFUNCTION("""COMPUTED_VALUE"""),3328371)</f>
        <v/>
      </c>
      <c r="H197" s="27" t="n"/>
    </row>
    <row r="198" ht="17.25" customHeight="1" s="322">
      <c r="A198" s="27" t="n"/>
      <c r="B198" s="506">
        <f>IFERROR(__xludf.DUMMYFUNCTION("""COMPUTED_VALUE"""),46114.6666666666)</f>
        <v/>
      </c>
      <c r="C198" s="141">
        <f>IFERROR(__xludf.DUMMYFUNCTION("""COMPUTED_VALUE"""),110.53)</f>
        <v/>
      </c>
      <c r="D198" s="141">
        <f>IFERROR(__xludf.DUMMYFUNCTION("""COMPUTED_VALUE"""),110.83)</f>
        <v/>
      </c>
      <c r="E198" s="141">
        <f>IFERROR(__xludf.DUMMYFUNCTION("""COMPUTED_VALUE"""),110.48)</f>
        <v/>
      </c>
      <c r="F198" s="141">
        <f>IFERROR(__xludf.DUMMYFUNCTION("""COMPUTED_VALUE"""),110.81)</f>
        <v/>
      </c>
      <c r="G198" s="143">
        <f>IFERROR(__xludf.DUMMYFUNCTION("""COMPUTED_VALUE"""),1976736)</f>
        <v/>
      </c>
      <c r="H198" s="27" t="n"/>
    </row>
    <row r="199" ht="17.25" customHeight="1" s="322">
      <c r="A199" s="27" t="n"/>
      <c r="B199" s="506">
        <f>IFERROR(__xludf.DUMMYFUNCTION("""COMPUTED_VALUE"""),46118.6666666666)</f>
        <v/>
      </c>
      <c r="C199" s="141">
        <f>IFERROR(__xludf.DUMMYFUNCTION("""COMPUTED_VALUE"""),110.64)</f>
        <v/>
      </c>
      <c r="D199" s="141">
        <f>IFERROR(__xludf.DUMMYFUNCTION("""COMPUTED_VALUE"""),110.84)</f>
        <v/>
      </c>
      <c r="E199" s="141">
        <f>IFERROR(__xludf.DUMMYFUNCTION("""COMPUTED_VALUE"""),110.6)</f>
        <v/>
      </c>
      <c r="F199" s="141">
        <f>IFERROR(__xludf.DUMMYFUNCTION("""COMPUTED_VALUE"""),110.76)</f>
        <v/>
      </c>
      <c r="G199" s="143">
        <f>IFERROR(__xludf.DUMMYFUNCTION("""COMPUTED_VALUE"""),1532987)</f>
        <v/>
      </c>
      <c r="H199" s="27" t="n"/>
    </row>
    <row r="200" ht="17.25" customHeight="1" s="322">
      <c r="A200" s="27" t="n"/>
      <c r="B200" s="506">
        <f>IFERROR(__xludf.DUMMYFUNCTION("""COMPUTED_VALUE"""),46119.6666666666)</f>
        <v/>
      </c>
      <c r="C200" s="141">
        <f>IFERROR(__xludf.DUMMYFUNCTION("""COMPUTED_VALUE"""),110.71)</f>
        <v/>
      </c>
      <c r="D200" s="141">
        <f>IFERROR(__xludf.DUMMYFUNCTION("""COMPUTED_VALUE"""),110.96)</f>
        <v/>
      </c>
      <c r="E200" s="141">
        <f>IFERROR(__xludf.DUMMYFUNCTION("""COMPUTED_VALUE"""),110.39)</f>
        <v/>
      </c>
      <c r="F200" s="141">
        <f>IFERROR(__xludf.DUMMYFUNCTION("""COMPUTED_VALUE"""),110.89)</f>
        <v/>
      </c>
      <c r="G200" s="143">
        <f>IFERROR(__xludf.DUMMYFUNCTION("""COMPUTED_VALUE"""),1765955)</f>
        <v/>
      </c>
      <c r="H200" s="27" t="n"/>
    </row>
    <row r="201" ht="17.25" customHeight="1" s="322">
      <c r="A201" s="27" t="n"/>
      <c r="B201" s="506">
        <f>IFERROR(__xludf.DUMMYFUNCTION("""COMPUTED_VALUE"""),46120.6666666666)</f>
        <v/>
      </c>
      <c r="C201" s="141">
        <f>IFERROR(__xludf.DUMMYFUNCTION("""COMPUTED_VALUE"""),111.07)</f>
        <v/>
      </c>
      <c r="D201" s="141">
        <f>IFERROR(__xludf.DUMMYFUNCTION("""COMPUTED_VALUE"""),111.08)</f>
        <v/>
      </c>
      <c r="E201" s="141">
        <f>IFERROR(__xludf.DUMMYFUNCTION("""COMPUTED_VALUE"""),110.8)</f>
        <v/>
      </c>
      <c r="F201" s="141">
        <f>IFERROR(__xludf.DUMMYFUNCTION("""COMPUTED_VALUE"""),110.91)</f>
        <v/>
      </c>
      <c r="G201" s="143">
        <f>IFERROR(__xludf.DUMMYFUNCTION("""COMPUTED_VALUE"""),2723942)</f>
        <v/>
      </c>
      <c r="H201" s="27" t="n"/>
    </row>
    <row r="202" ht="17.25" customHeight="1" s="322">
      <c r="A202" s="27" t="n"/>
      <c r="B202" s="506">
        <f>IFERROR(__xludf.DUMMYFUNCTION("""COMPUTED_VALUE"""),46121.6666666666)</f>
        <v/>
      </c>
      <c r="C202" s="141">
        <f>IFERROR(__xludf.DUMMYFUNCTION("""COMPUTED_VALUE"""),110.85)</f>
        <v/>
      </c>
      <c r="D202" s="141">
        <f>IFERROR(__xludf.DUMMYFUNCTION("""COMPUTED_VALUE"""),111.06)</f>
        <v/>
      </c>
      <c r="E202" s="141">
        <f>IFERROR(__xludf.DUMMYFUNCTION("""COMPUTED_VALUE"""),110.75)</f>
        <v/>
      </c>
      <c r="F202" s="141">
        <f>IFERROR(__xludf.DUMMYFUNCTION("""COMPUTED_VALUE"""),110.96)</f>
        <v/>
      </c>
      <c r="G202" s="143">
        <f>IFERROR(__xludf.DUMMYFUNCTION("""COMPUTED_VALUE"""),1862283)</f>
        <v/>
      </c>
      <c r="H202" s="27" t="n"/>
    </row>
    <row r="203" ht="17.25" customHeight="1" s="322">
      <c r="A203" s="27" t="n"/>
      <c r="B203" s="506">
        <f>IFERROR(__xludf.DUMMYFUNCTION("""COMPUTED_VALUE"""),46122.6666666666)</f>
        <v/>
      </c>
      <c r="C203" s="141">
        <f>IFERROR(__xludf.DUMMYFUNCTION("""COMPUTED_VALUE"""),110.99)</f>
        <v/>
      </c>
      <c r="D203" s="141">
        <f>IFERROR(__xludf.DUMMYFUNCTION("""COMPUTED_VALUE"""),111.11)</f>
        <v/>
      </c>
      <c r="E203" s="141">
        <f>IFERROR(__xludf.DUMMYFUNCTION("""COMPUTED_VALUE"""),110.92)</f>
        <v/>
      </c>
      <c r="F203" s="141">
        <f>IFERROR(__xludf.DUMMYFUNCTION("""COMPUTED_VALUE"""),111.02)</f>
        <v/>
      </c>
      <c r="G203" s="143">
        <f>IFERROR(__xludf.DUMMYFUNCTION("""COMPUTED_VALUE"""),2252160)</f>
        <v/>
      </c>
      <c r="H203" s="27" t="n"/>
    </row>
    <row r="204" ht="17.25" customHeight="1" s="322">
      <c r="A204" s="27" t="n"/>
      <c r="B204" s="506">
        <f>IFERROR(__xludf.DUMMYFUNCTION("""COMPUTED_VALUE"""),46125.6666666666)</f>
        <v/>
      </c>
      <c r="C204" s="141">
        <f>IFERROR(__xludf.DUMMYFUNCTION("""COMPUTED_VALUE"""),111.09)</f>
        <v/>
      </c>
      <c r="D204" s="141">
        <f>IFERROR(__xludf.DUMMYFUNCTION("""COMPUTED_VALUE"""),111.31)</f>
        <v/>
      </c>
      <c r="E204" s="141">
        <f>IFERROR(__xludf.DUMMYFUNCTION("""COMPUTED_VALUE"""),111.04)</f>
        <v/>
      </c>
      <c r="F204" s="141">
        <f>IFERROR(__xludf.DUMMYFUNCTION("""COMPUTED_VALUE"""),111.28)</f>
        <v/>
      </c>
      <c r="G204" s="143">
        <f>IFERROR(__xludf.DUMMYFUNCTION("""COMPUTED_VALUE"""),1574944)</f>
        <v/>
      </c>
      <c r="H204" s="27" t="n"/>
    </row>
    <row r="205" ht="17.25" customHeight="1" s="322">
      <c r="A205" s="27" t="n"/>
      <c r="B205" s="506">
        <f>IFERROR(__xludf.DUMMYFUNCTION("""COMPUTED_VALUE"""),46126.6666666666)</f>
        <v/>
      </c>
      <c r="C205" s="141">
        <f>IFERROR(__xludf.DUMMYFUNCTION("""COMPUTED_VALUE"""),111.26)</f>
        <v/>
      </c>
      <c r="D205" s="141">
        <f>IFERROR(__xludf.DUMMYFUNCTION("""COMPUTED_VALUE"""),111.54)</f>
        <v/>
      </c>
      <c r="E205" s="141">
        <f>IFERROR(__xludf.DUMMYFUNCTION("""COMPUTED_VALUE"""),111.25)</f>
        <v/>
      </c>
      <c r="F205" s="141">
        <f>IFERROR(__xludf.DUMMYFUNCTION("""COMPUTED_VALUE"""),111.53)</f>
        <v/>
      </c>
      <c r="G205" s="143">
        <f>IFERROR(__xludf.DUMMYFUNCTION("""COMPUTED_VALUE"""),2181606)</f>
        <v/>
      </c>
      <c r="H205" s="27" t="n"/>
    </row>
    <row r="206" ht="17.25" customHeight="1" s="322">
      <c r="A206" s="27" t="n"/>
      <c r="B206" s="506">
        <f>IFERROR(__xludf.DUMMYFUNCTION("""COMPUTED_VALUE"""),46127.6666666666)</f>
        <v/>
      </c>
      <c r="C206" s="141">
        <f>IFERROR(__xludf.DUMMYFUNCTION("""COMPUTED_VALUE"""),111.49)</f>
        <v/>
      </c>
      <c r="D206" s="141">
        <f>IFERROR(__xludf.DUMMYFUNCTION("""COMPUTED_VALUE"""),111.5)</f>
        <v/>
      </c>
      <c r="E206" s="141">
        <f>IFERROR(__xludf.DUMMYFUNCTION("""COMPUTED_VALUE"""),111.36)</f>
        <v/>
      </c>
      <c r="F206" s="141">
        <f>IFERROR(__xludf.DUMMYFUNCTION("""COMPUTED_VALUE"""),111.43)</f>
        <v/>
      </c>
      <c r="G206" s="143">
        <f>IFERROR(__xludf.DUMMYFUNCTION("""COMPUTED_VALUE"""),1815525)</f>
        <v/>
      </c>
      <c r="H206" s="27" t="n"/>
    </row>
    <row r="207" ht="17.25" customHeight="1" s="322">
      <c r="A207" s="27" t="n"/>
      <c r="B207" s="506">
        <f>IFERROR(__xludf.DUMMYFUNCTION("""COMPUTED_VALUE"""),46128.6666666666)</f>
        <v/>
      </c>
      <c r="C207" s="141">
        <f>IFERROR(__xludf.DUMMYFUNCTION("""COMPUTED_VALUE"""),111.46)</f>
        <v/>
      </c>
      <c r="D207" s="141">
        <f>IFERROR(__xludf.DUMMYFUNCTION("""COMPUTED_VALUE"""),111.5)</f>
        <v/>
      </c>
      <c r="E207" s="141">
        <f>IFERROR(__xludf.DUMMYFUNCTION("""COMPUTED_VALUE"""),111.16)</f>
        <v/>
      </c>
      <c r="F207" s="141">
        <f>IFERROR(__xludf.DUMMYFUNCTION("""COMPUTED_VALUE"""),111.19)</f>
        <v/>
      </c>
      <c r="G207" s="143">
        <f>IFERROR(__xludf.DUMMYFUNCTION("""COMPUTED_VALUE"""),1588796)</f>
        <v/>
      </c>
      <c r="H207" s="27" t="n"/>
    </row>
    <row r="208" ht="17.25" customHeight="1" s="322">
      <c r="A208" s="27" t="n"/>
      <c r="B208" s="506">
        <f>IFERROR(__xludf.DUMMYFUNCTION("""COMPUTED_VALUE"""),46129.6666666666)</f>
        <v/>
      </c>
      <c r="C208" s="141">
        <f>IFERROR(__xludf.DUMMYFUNCTION("""COMPUTED_VALUE"""),111.43)</f>
        <v/>
      </c>
      <c r="D208" s="141">
        <f>IFERROR(__xludf.DUMMYFUNCTION("""COMPUTED_VALUE"""),111.49)</f>
        <v/>
      </c>
      <c r="E208" s="141">
        <f>IFERROR(__xludf.DUMMYFUNCTION("""COMPUTED_VALUE"""),111.33)</f>
        <v/>
      </c>
      <c r="F208" s="141">
        <f>IFERROR(__xludf.DUMMYFUNCTION("""COMPUTED_VALUE"""),111.48)</f>
        <v/>
      </c>
      <c r="G208" s="143">
        <f>IFERROR(__xludf.DUMMYFUNCTION("""COMPUTED_VALUE"""),1507626)</f>
        <v/>
      </c>
      <c r="H208" s="27" t="n"/>
    </row>
    <row r="209" ht="17.25" customHeight="1" s="322">
      <c r="A209" s="27" t="n"/>
      <c r="B209" s="506">
        <f>IFERROR(__xludf.DUMMYFUNCTION("""COMPUTED_VALUE"""),46132.6666666666)</f>
        <v/>
      </c>
      <c r="C209" s="141">
        <f>IFERROR(__xludf.DUMMYFUNCTION("""COMPUTED_VALUE"""),111.48)</f>
        <v/>
      </c>
      <c r="D209" s="141">
        <f>IFERROR(__xludf.DUMMYFUNCTION("""COMPUTED_VALUE"""),111.49)</f>
        <v/>
      </c>
      <c r="E209" s="141">
        <f>IFERROR(__xludf.DUMMYFUNCTION("""COMPUTED_VALUE"""),111.3)</f>
        <v/>
      </c>
      <c r="F209" s="141">
        <f>IFERROR(__xludf.DUMMYFUNCTION("""COMPUTED_VALUE"""),111.41)</f>
        <v/>
      </c>
      <c r="G209" s="143">
        <f>IFERROR(__xludf.DUMMYFUNCTION("""COMPUTED_VALUE"""),1463491)</f>
        <v/>
      </c>
      <c r="H209" s="27" t="n"/>
    </row>
    <row r="210" ht="17.25" customHeight="1" s="322">
      <c r="A210" s="27" t="n"/>
      <c r="B210" s="506">
        <f>IFERROR(__xludf.DUMMYFUNCTION("""COMPUTED_VALUE"""),46133.6666666666)</f>
        <v/>
      </c>
      <c r="C210" s="141">
        <f>IFERROR(__xludf.DUMMYFUNCTION("""COMPUTED_VALUE"""),111.34)</f>
        <v/>
      </c>
      <c r="D210" s="141">
        <f>IFERROR(__xludf.DUMMYFUNCTION("""COMPUTED_VALUE"""),111.39)</f>
        <v/>
      </c>
      <c r="E210" s="141">
        <f>IFERROR(__xludf.DUMMYFUNCTION("""COMPUTED_VALUE"""),111.17)</f>
        <v/>
      </c>
      <c r="F210" s="141">
        <f>IFERROR(__xludf.DUMMYFUNCTION("""COMPUTED_VALUE"""),111.22)</f>
        <v/>
      </c>
      <c r="G210" s="143">
        <f>IFERROR(__xludf.DUMMYFUNCTION("""COMPUTED_VALUE"""),1064157)</f>
        <v/>
      </c>
      <c r="H210" s="27" t="n"/>
    </row>
    <row r="211" ht="17.25" customHeight="1" s="322">
      <c r="A211" s="27" t="n"/>
      <c r="B211" s="506">
        <f>IFERROR(__xludf.DUMMYFUNCTION("""COMPUTED_VALUE"""),46134.6666666666)</f>
        <v/>
      </c>
      <c r="C211" s="141">
        <f>IFERROR(__xludf.DUMMYFUNCTION("""COMPUTED_VALUE"""),111.49)</f>
        <v/>
      </c>
      <c r="D211" s="141">
        <f>IFERROR(__xludf.DUMMYFUNCTION("""COMPUTED_VALUE"""),111.55)</f>
        <v/>
      </c>
      <c r="E211" s="141">
        <f>IFERROR(__xludf.DUMMYFUNCTION("""COMPUTED_VALUE"""),111.37)</f>
        <v/>
      </c>
      <c r="F211" s="141">
        <f>IFERROR(__xludf.DUMMYFUNCTION("""COMPUTED_VALUE"""),111.39)</f>
        <v/>
      </c>
      <c r="G211" s="143">
        <f>IFERROR(__xludf.DUMMYFUNCTION("""COMPUTED_VALUE"""),1435198)</f>
        <v/>
      </c>
      <c r="H211" s="27" t="n"/>
    </row>
    <row r="212" ht="17.25" customHeight="1" s="322">
      <c r="A212" s="27" t="n"/>
      <c r="B212" s="506">
        <f>IFERROR(__xludf.DUMMYFUNCTION("""COMPUTED_VALUE"""),46135.6666666666)</f>
        <v/>
      </c>
      <c r="C212" s="141">
        <f>IFERROR(__xludf.DUMMYFUNCTION("""COMPUTED_VALUE"""),111.53)</f>
        <v/>
      </c>
      <c r="D212" s="141">
        <f>IFERROR(__xludf.DUMMYFUNCTION("""COMPUTED_VALUE"""),111.6)</f>
        <v/>
      </c>
      <c r="E212" s="141">
        <f>IFERROR(__xludf.DUMMYFUNCTION("""COMPUTED_VALUE"""),111.32)</f>
        <v/>
      </c>
      <c r="F212" s="141">
        <f>IFERROR(__xludf.DUMMYFUNCTION("""COMPUTED_VALUE"""),111.57)</f>
        <v/>
      </c>
      <c r="G212" s="143">
        <f>IFERROR(__xludf.DUMMYFUNCTION("""COMPUTED_VALUE"""),1074121)</f>
        <v/>
      </c>
      <c r="H212" s="27" t="n"/>
    </row>
    <row r="213" ht="17.25" customHeight="1" s="322">
      <c r="A213" s="27" t="n"/>
      <c r="B213" s="506">
        <f>IFERROR(__xludf.DUMMYFUNCTION("""COMPUTED_VALUE"""),46136.6666666666)</f>
        <v/>
      </c>
      <c r="C213" s="141">
        <f>IFERROR(__xludf.DUMMYFUNCTION("""COMPUTED_VALUE"""),111.51)</f>
        <v/>
      </c>
      <c r="D213" s="141">
        <f>IFERROR(__xludf.DUMMYFUNCTION("""COMPUTED_VALUE"""),111.84)</f>
        <v/>
      </c>
      <c r="E213" s="141">
        <f>IFERROR(__xludf.DUMMYFUNCTION("""COMPUTED_VALUE"""),111.41)</f>
        <v/>
      </c>
      <c r="F213" s="141">
        <f>IFERROR(__xludf.DUMMYFUNCTION("""COMPUTED_VALUE"""),111.8)</f>
        <v/>
      </c>
      <c r="G213" s="143">
        <f>IFERROR(__xludf.DUMMYFUNCTION("""COMPUTED_VALUE"""),1133430)</f>
        <v/>
      </c>
      <c r="H213" s="27" t="n"/>
    </row>
    <row r="214" ht="17.25" customHeight="1" s="322">
      <c r="A214" s="27" t="n"/>
      <c r="B214" s="506">
        <f>IFERROR(__xludf.DUMMYFUNCTION("""COMPUTED_VALUE"""),46139.6666666666)</f>
        <v/>
      </c>
      <c r="C214" s="141">
        <f>IFERROR(__xludf.DUMMYFUNCTION("""COMPUTED_VALUE"""),111.73)</f>
        <v/>
      </c>
      <c r="D214" s="141">
        <f>IFERROR(__xludf.DUMMYFUNCTION("""COMPUTED_VALUE"""),111.88)</f>
        <v/>
      </c>
      <c r="E214" s="141">
        <f>IFERROR(__xludf.DUMMYFUNCTION("""COMPUTED_VALUE"""),111.69)</f>
        <v/>
      </c>
      <c r="F214" s="141">
        <f>IFERROR(__xludf.DUMMYFUNCTION("""COMPUTED_VALUE"""),111.77)</f>
        <v/>
      </c>
      <c r="G214" s="143">
        <f>IFERROR(__xludf.DUMMYFUNCTION("""COMPUTED_VALUE"""),2115836)</f>
        <v/>
      </c>
      <c r="H214" s="27" t="n"/>
    </row>
    <row r="215" ht="17.25" customHeight="1" s="322">
      <c r="A215" s="27" t="n"/>
      <c r="B215" s="506">
        <f>IFERROR(__xludf.DUMMYFUNCTION("""COMPUTED_VALUE"""),46140.6666666666)</f>
        <v/>
      </c>
      <c r="C215" s="141">
        <f>IFERROR(__xludf.DUMMYFUNCTION("""COMPUTED_VALUE"""),111.74)</f>
        <v/>
      </c>
      <c r="D215" s="141">
        <f>IFERROR(__xludf.DUMMYFUNCTION("""COMPUTED_VALUE"""),111.74)</f>
        <v/>
      </c>
      <c r="E215" s="141">
        <f>IFERROR(__xludf.DUMMYFUNCTION("""COMPUTED_VALUE"""),111.54)</f>
        <v/>
      </c>
      <c r="F215" s="141">
        <f>IFERROR(__xludf.DUMMYFUNCTION("""COMPUTED_VALUE"""),111.73)</f>
        <v/>
      </c>
      <c r="G215" s="143">
        <f>IFERROR(__xludf.DUMMYFUNCTION("""COMPUTED_VALUE"""),1535965)</f>
        <v/>
      </c>
      <c r="H215" s="27" t="n"/>
    </row>
    <row r="216" ht="17.25" customHeight="1" s="322">
      <c r="A216" s="27" t="n"/>
      <c r="B216" s="506">
        <f>IFERROR(__xludf.DUMMYFUNCTION("""COMPUTED_VALUE"""),46141.6666666666)</f>
        <v/>
      </c>
      <c r="C216" s="141">
        <f>IFERROR(__xludf.DUMMYFUNCTION("""COMPUTED_VALUE"""),111.59)</f>
        <v/>
      </c>
      <c r="D216" s="141">
        <f>IFERROR(__xludf.DUMMYFUNCTION("""COMPUTED_VALUE"""),111.63)</f>
        <v/>
      </c>
      <c r="E216" s="141">
        <f>IFERROR(__xludf.DUMMYFUNCTION("""COMPUTED_VALUE"""),111.32)</f>
        <v/>
      </c>
      <c r="F216" s="141">
        <f>IFERROR(__xludf.DUMMYFUNCTION("""COMPUTED_VALUE"""),111.39)</f>
        <v/>
      </c>
      <c r="G216" s="143">
        <f>IFERROR(__xludf.DUMMYFUNCTION("""COMPUTED_VALUE"""),1201194)</f>
        <v/>
      </c>
      <c r="H216" s="27" t="n"/>
    </row>
    <row r="217" ht="17.25" customHeight="1" s="322">
      <c r="A217" s="27" t="n"/>
      <c r="B217" s="506">
        <f>IFERROR(__xludf.DUMMYFUNCTION("""COMPUTED_VALUE"""),46142.6666666666)</f>
        <v/>
      </c>
      <c r="C217" s="141">
        <f>IFERROR(__xludf.DUMMYFUNCTION("""COMPUTED_VALUE"""),111.47)</f>
        <v/>
      </c>
      <c r="D217" s="141">
        <f>IFERROR(__xludf.DUMMYFUNCTION("""COMPUTED_VALUE"""),111.64)</f>
        <v/>
      </c>
      <c r="E217" s="141">
        <f>IFERROR(__xludf.DUMMYFUNCTION("""COMPUTED_VALUE"""),111.41)</f>
        <v/>
      </c>
      <c r="F217" s="141">
        <f>IFERROR(__xludf.DUMMYFUNCTION("""COMPUTED_VALUE"""),111.56)</f>
        <v/>
      </c>
      <c r="G217" s="143">
        <f>IFERROR(__xludf.DUMMYFUNCTION("""COMPUTED_VALUE"""),1958545)</f>
        <v/>
      </c>
      <c r="H217" s="27" t="n"/>
    </row>
    <row r="218" ht="17.25" customHeight="1" s="322">
      <c r="A218" s="27" t="n"/>
      <c r="B218" s="506">
        <f>IFERROR(__xludf.DUMMYFUNCTION("""COMPUTED_VALUE"""),46143.6666666666)</f>
        <v/>
      </c>
      <c r="C218" s="141">
        <f>IFERROR(__xludf.DUMMYFUNCTION("""COMPUTED_VALUE"""),111.27)</f>
        <v/>
      </c>
      <c r="D218" s="141">
        <f>IFERROR(__xludf.DUMMYFUNCTION("""COMPUTED_VALUE"""),111.49)</f>
        <v/>
      </c>
      <c r="E218" s="141">
        <f>IFERROR(__xludf.DUMMYFUNCTION("""COMPUTED_VALUE"""),111.21)</f>
        <v/>
      </c>
      <c r="F218" s="141">
        <f>IFERROR(__xludf.DUMMYFUNCTION("""COMPUTED_VALUE"""),111.35)</f>
        <v/>
      </c>
      <c r="G218" s="143">
        <f>IFERROR(__xludf.DUMMYFUNCTION("""COMPUTED_VALUE"""),1507708)</f>
        <v/>
      </c>
      <c r="H218" s="27" t="n"/>
    </row>
    <row r="219" ht="17.25" customHeight="1" s="322">
      <c r="A219" s="27" t="n"/>
      <c r="B219" s="506">
        <f>IFERROR(__xludf.DUMMYFUNCTION("""COMPUTED_VALUE"""),46146.6666666666)</f>
        <v/>
      </c>
      <c r="C219" s="141">
        <f>IFERROR(__xludf.DUMMYFUNCTION("""COMPUTED_VALUE"""),111.27)</f>
        <v/>
      </c>
      <c r="D219" s="141">
        <f>IFERROR(__xludf.DUMMYFUNCTION("""COMPUTED_VALUE"""),111.27)</f>
        <v/>
      </c>
      <c r="E219" s="141">
        <f>IFERROR(__xludf.DUMMYFUNCTION("""COMPUTED_VALUE"""),111.02)</f>
        <v/>
      </c>
      <c r="F219" s="141">
        <f>IFERROR(__xludf.DUMMYFUNCTION("""COMPUTED_VALUE"""),111.15)</f>
        <v/>
      </c>
      <c r="G219" s="143">
        <f>IFERROR(__xludf.DUMMYFUNCTION("""COMPUTED_VALUE"""),1214639)</f>
        <v/>
      </c>
      <c r="H219" s="27" t="n"/>
    </row>
    <row r="220" ht="17.25" customHeight="1" s="322">
      <c r="A220" s="27" t="n"/>
      <c r="B220" s="506">
        <f>IFERROR(__xludf.DUMMYFUNCTION("""COMPUTED_VALUE"""),46147.6666666666)</f>
        <v/>
      </c>
      <c r="C220" s="141">
        <f>IFERROR(__xludf.DUMMYFUNCTION("""COMPUTED_VALUE"""),111.11)</f>
        <v/>
      </c>
      <c r="D220" s="141">
        <f>IFERROR(__xludf.DUMMYFUNCTION("""COMPUTED_VALUE"""),111.19)</f>
        <v/>
      </c>
      <c r="E220" s="141">
        <f>IFERROR(__xludf.DUMMYFUNCTION("""COMPUTED_VALUE"""),111.04)</f>
        <v/>
      </c>
      <c r="F220" s="141">
        <f>IFERROR(__xludf.DUMMYFUNCTION("""COMPUTED_VALUE"""),111.07)</f>
        <v/>
      </c>
      <c r="G220" s="143">
        <f>IFERROR(__xludf.DUMMYFUNCTION("""COMPUTED_VALUE"""),1442908)</f>
        <v/>
      </c>
      <c r="H220" s="27" t="n"/>
    </row>
    <row r="221" ht="17.25" customHeight="1" s="322">
      <c r="A221" s="27" t="n"/>
      <c r="B221" s="506">
        <f>IFERROR(__xludf.DUMMYFUNCTION("""COMPUTED_VALUE"""),46148.6666666666)</f>
        <v/>
      </c>
      <c r="C221" s="141">
        <f>IFERROR(__xludf.DUMMYFUNCTION("""COMPUTED_VALUE"""),111.21)</f>
        <v/>
      </c>
      <c r="D221" s="141">
        <f>IFERROR(__xludf.DUMMYFUNCTION("""COMPUTED_VALUE"""),111.24)</f>
        <v/>
      </c>
      <c r="E221" s="141">
        <f>IFERROR(__xludf.DUMMYFUNCTION("""COMPUTED_VALUE"""),111.09)</f>
        <v/>
      </c>
      <c r="F221" s="141">
        <f>IFERROR(__xludf.DUMMYFUNCTION("""COMPUTED_VALUE"""),111.15)</f>
        <v/>
      </c>
      <c r="G221" s="143">
        <f>IFERROR(__xludf.DUMMYFUNCTION("""COMPUTED_VALUE"""),1538822)</f>
        <v/>
      </c>
      <c r="H221" s="27" t="n"/>
    </row>
    <row r="222" ht="17.25" customHeight="1" s="322">
      <c r="A222" s="27" t="n"/>
      <c r="B222" s="506">
        <f>IFERROR(__xludf.DUMMYFUNCTION("""COMPUTED_VALUE"""),46149.6666666666)</f>
        <v/>
      </c>
      <c r="C222" s="141">
        <f>IFERROR(__xludf.DUMMYFUNCTION("""COMPUTED_VALUE"""),111.24)</f>
        <v/>
      </c>
      <c r="D222" s="141">
        <f>IFERROR(__xludf.DUMMYFUNCTION("""COMPUTED_VALUE"""),111.24)</f>
        <v/>
      </c>
      <c r="E222" s="141">
        <f>IFERROR(__xludf.DUMMYFUNCTION("""COMPUTED_VALUE"""),110.95)</f>
        <v/>
      </c>
      <c r="F222" s="141">
        <f>IFERROR(__xludf.DUMMYFUNCTION("""COMPUTED_VALUE"""),111.03)</f>
        <v/>
      </c>
      <c r="G222" s="143">
        <f>IFERROR(__xludf.DUMMYFUNCTION("""COMPUTED_VALUE"""),1529945)</f>
        <v/>
      </c>
      <c r="H222" s="27" t="n"/>
    </row>
    <row r="223" ht="17.25" customHeight="1" s="322">
      <c r="A223" s="27" t="n"/>
      <c r="B223" s="506">
        <f>IFERROR(__xludf.DUMMYFUNCTION("""COMPUTED_VALUE"""),46150.6666666666)</f>
        <v/>
      </c>
      <c r="C223" s="141">
        <f>IFERROR(__xludf.DUMMYFUNCTION("""COMPUTED_VALUE"""),111.4)</f>
        <v/>
      </c>
      <c r="D223" s="141">
        <f>IFERROR(__xludf.DUMMYFUNCTION("""COMPUTED_VALUE"""),111.44)</f>
        <v/>
      </c>
      <c r="E223" s="141">
        <f>IFERROR(__xludf.DUMMYFUNCTION("""COMPUTED_VALUE"""),111.31)</f>
        <v/>
      </c>
      <c r="F223" s="141">
        <f>IFERROR(__xludf.DUMMYFUNCTION("""COMPUTED_VALUE"""),111.4)</f>
        <v/>
      </c>
      <c r="G223" s="143">
        <f>IFERROR(__xludf.DUMMYFUNCTION("""COMPUTED_VALUE"""),1142748)</f>
        <v/>
      </c>
      <c r="H223" s="27" t="n"/>
    </row>
    <row r="224" ht="17.25" customHeight="1" s="322">
      <c r="A224" s="27" t="n"/>
      <c r="B224" s="506">
        <f>IFERROR(__xludf.DUMMYFUNCTION("""COMPUTED_VALUE"""),46153.6666666666)</f>
        <v/>
      </c>
      <c r="C224" s="141">
        <f>IFERROR(__xludf.DUMMYFUNCTION("""COMPUTED_VALUE"""),111.35)</f>
        <v/>
      </c>
      <c r="D224" s="141">
        <f>IFERROR(__xludf.DUMMYFUNCTION("""COMPUTED_VALUE"""),111.38)</f>
        <v/>
      </c>
      <c r="E224" s="141">
        <f>IFERROR(__xludf.DUMMYFUNCTION("""COMPUTED_VALUE"""),111.26)</f>
        <v/>
      </c>
      <c r="F224" s="141">
        <f>IFERROR(__xludf.DUMMYFUNCTION("""COMPUTED_VALUE"""),111.31)</f>
        <v/>
      </c>
      <c r="G224" s="143">
        <f>IFERROR(__xludf.DUMMYFUNCTION("""COMPUTED_VALUE"""),1752988)</f>
        <v/>
      </c>
      <c r="H224" s="27" t="n"/>
    </row>
    <row r="225" ht="17.25" customHeight="1" s="322">
      <c r="A225" s="27" t="n"/>
      <c r="B225" s="506">
        <f>IFERROR(__xludf.DUMMYFUNCTION("""COMPUTED_VALUE"""),46154.6666666666)</f>
        <v/>
      </c>
      <c r="C225" s="141">
        <f>IFERROR(__xludf.DUMMYFUNCTION("""COMPUTED_VALUE"""),111.28)</f>
        <v/>
      </c>
      <c r="D225" s="141">
        <f>IFERROR(__xludf.DUMMYFUNCTION("""COMPUTED_VALUE"""),111.28)</f>
        <v/>
      </c>
      <c r="E225" s="141">
        <f>IFERROR(__xludf.DUMMYFUNCTION("""COMPUTED_VALUE"""),111.05)</f>
        <v/>
      </c>
      <c r="F225" s="141">
        <f>IFERROR(__xludf.DUMMYFUNCTION("""COMPUTED_VALUE"""),111.12)</f>
        <v/>
      </c>
      <c r="G225" s="143">
        <f>IFERROR(__xludf.DUMMYFUNCTION("""COMPUTED_VALUE"""),1253127)</f>
        <v/>
      </c>
      <c r="H225" s="27" t="n"/>
    </row>
    <row r="226" ht="17.25" customHeight="1" s="322">
      <c r="A226" s="27" t="n"/>
      <c r="B226" s="506">
        <f>IFERROR(__xludf.DUMMYFUNCTION("""COMPUTED_VALUE"""),46155.6666666666)</f>
        <v/>
      </c>
      <c r="C226" s="141">
        <f>IFERROR(__xludf.DUMMYFUNCTION("""COMPUTED_VALUE"""),111.17)</f>
        <v/>
      </c>
      <c r="D226" s="141">
        <f>IFERROR(__xludf.DUMMYFUNCTION("""COMPUTED_VALUE"""),111.21)</f>
        <v/>
      </c>
      <c r="E226" s="141">
        <f>IFERROR(__xludf.DUMMYFUNCTION("""COMPUTED_VALUE"""),111.02)</f>
        <v/>
      </c>
      <c r="F226" s="141">
        <f>IFERROR(__xludf.DUMMYFUNCTION("""COMPUTED_VALUE"""),111.12)</f>
        <v/>
      </c>
      <c r="G226" s="143">
        <f>IFERROR(__xludf.DUMMYFUNCTION("""COMPUTED_VALUE"""),869603)</f>
        <v/>
      </c>
      <c r="H226" s="27" t="n"/>
    </row>
    <row r="227" ht="17.25" customHeight="1" s="322">
      <c r="A227" s="27" t="n"/>
      <c r="B227" s="506">
        <f>IFERROR(__xludf.DUMMYFUNCTION("""COMPUTED_VALUE"""),46156.6666666666)</f>
        <v/>
      </c>
      <c r="C227" s="141">
        <f>IFERROR(__xludf.DUMMYFUNCTION("""COMPUTED_VALUE"""),111.24)</f>
        <v/>
      </c>
      <c r="D227" s="141">
        <f>IFERROR(__xludf.DUMMYFUNCTION("""COMPUTED_VALUE"""),111.29)</f>
        <v/>
      </c>
      <c r="E227" s="141">
        <f>IFERROR(__xludf.DUMMYFUNCTION("""COMPUTED_VALUE"""),110.99)</f>
        <v/>
      </c>
      <c r="F227" s="141">
        <f>IFERROR(__xludf.DUMMYFUNCTION("""COMPUTED_VALUE"""),111.01)</f>
        <v/>
      </c>
      <c r="G227" s="143">
        <f>IFERROR(__xludf.DUMMYFUNCTION("""COMPUTED_VALUE"""),3152581)</f>
        <v/>
      </c>
      <c r="H227" s="27" t="n"/>
    </row>
    <row r="228" ht="17.25" customHeight="1" s="322">
      <c r="A228" s="27" t="n"/>
      <c r="B228" s="506">
        <f>IFERROR(__xludf.DUMMYFUNCTION("""COMPUTED_VALUE"""),46157.6666666666)</f>
        <v/>
      </c>
      <c r="C228" s="141">
        <f>IFERROR(__xludf.DUMMYFUNCTION("""COMPUTED_VALUE"""),110.6)</f>
        <v/>
      </c>
      <c r="D228" s="141">
        <f>IFERROR(__xludf.DUMMYFUNCTION("""COMPUTED_VALUE"""),110.66)</f>
        <v/>
      </c>
      <c r="E228" s="141">
        <f>IFERROR(__xludf.DUMMYFUNCTION("""COMPUTED_VALUE"""),110.47)</f>
        <v/>
      </c>
      <c r="F228" s="141">
        <f>IFERROR(__xludf.DUMMYFUNCTION("""COMPUTED_VALUE"""),110.61)</f>
        <v/>
      </c>
      <c r="G228" s="143">
        <f>IFERROR(__xludf.DUMMYFUNCTION("""COMPUTED_VALUE"""),7481147)</f>
        <v/>
      </c>
      <c r="H228" s="27" t="n"/>
    </row>
    <row r="229" ht="17.25" customHeight="1" s="322">
      <c r="A229" s="27" t="n"/>
      <c r="B229" s="506">
        <f>IFERROR(__xludf.DUMMYFUNCTION("""COMPUTED_VALUE"""),46160.6666666666)</f>
        <v/>
      </c>
      <c r="C229" s="141">
        <f>IFERROR(__xludf.DUMMYFUNCTION("""COMPUTED_VALUE"""),110.58)</f>
        <v/>
      </c>
      <c r="D229" s="141">
        <f>IFERROR(__xludf.DUMMYFUNCTION("""COMPUTED_VALUE"""),110.66)</f>
        <v/>
      </c>
      <c r="E229" s="141">
        <f>IFERROR(__xludf.DUMMYFUNCTION("""COMPUTED_VALUE"""),110.39)</f>
        <v/>
      </c>
      <c r="F229" s="141">
        <f>IFERROR(__xludf.DUMMYFUNCTION("""COMPUTED_VALUE"""),110.48)</f>
        <v/>
      </c>
      <c r="G229" s="143">
        <f>IFERROR(__xludf.DUMMYFUNCTION("""COMPUTED_VALUE"""),2490153)</f>
        <v/>
      </c>
      <c r="H229" s="27" t="n"/>
    </row>
    <row r="230" ht="17.25" customHeight="1" s="322">
      <c r="A230" s="27" t="n"/>
      <c r="B230" s="506">
        <f>IFERROR(__xludf.DUMMYFUNCTION("""COMPUTED_VALUE"""),46161.6666666666)</f>
        <v/>
      </c>
      <c r="C230" s="141">
        <f>IFERROR(__xludf.DUMMYFUNCTION("""COMPUTED_VALUE"""),110.15)</f>
        <v/>
      </c>
      <c r="D230" s="141">
        <f>IFERROR(__xludf.DUMMYFUNCTION("""COMPUTED_VALUE"""),110.27)</f>
        <v/>
      </c>
      <c r="E230" s="141">
        <f>IFERROR(__xludf.DUMMYFUNCTION("""COMPUTED_VALUE"""),109.94)</f>
        <v/>
      </c>
      <c r="F230" s="141">
        <f>IFERROR(__xludf.DUMMYFUNCTION("""COMPUTED_VALUE"""),110.11)</f>
        <v/>
      </c>
      <c r="G230" s="143">
        <f>IFERROR(__xludf.DUMMYFUNCTION("""COMPUTED_VALUE"""),2623684)</f>
        <v/>
      </c>
      <c r="H230" s="27" t="n"/>
    </row>
    <row r="231" ht="17.25" customHeight="1" s="322">
      <c r="A231" s="27" t="n"/>
      <c r="B231" s="506">
        <f>IFERROR(__xludf.DUMMYFUNCTION("""COMPUTED_VALUE"""),46162.6666666666)</f>
        <v/>
      </c>
      <c r="C231" s="141">
        <f>IFERROR(__xludf.DUMMYFUNCTION("""COMPUTED_VALUE"""),110.11)</f>
        <v/>
      </c>
      <c r="D231" s="141">
        <f>IFERROR(__xludf.DUMMYFUNCTION("""COMPUTED_VALUE"""),110.45)</f>
        <v/>
      </c>
      <c r="E231" s="141">
        <f>IFERROR(__xludf.DUMMYFUNCTION("""COMPUTED_VALUE"""),110.1)</f>
        <v/>
      </c>
      <c r="F231" s="141">
        <f>IFERROR(__xludf.DUMMYFUNCTION("""COMPUTED_VALUE"""),110.37)</f>
        <v/>
      </c>
      <c r="G231" s="143">
        <f>IFERROR(__xludf.DUMMYFUNCTION("""COMPUTED_VALUE"""),2915597)</f>
        <v/>
      </c>
      <c r="H231" s="27" t="n"/>
    </row>
    <row r="232" ht="17.25" customHeight="1" s="322">
      <c r="A232" s="27" t="n"/>
      <c r="B232" s="506">
        <f>IFERROR(__xludf.DUMMYFUNCTION("""COMPUTED_VALUE"""),46163.6666666666)</f>
        <v/>
      </c>
      <c r="C232" s="141">
        <f>IFERROR(__xludf.DUMMYFUNCTION("""COMPUTED_VALUE"""),110.3)</f>
        <v/>
      </c>
      <c r="D232" s="141">
        <f>IFERROR(__xludf.DUMMYFUNCTION("""COMPUTED_VALUE"""),110.39)</f>
        <v/>
      </c>
      <c r="E232" s="141">
        <f>IFERROR(__xludf.DUMMYFUNCTION("""COMPUTED_VALUE"""),110.15)</f>
        <v/>
      </c>
      <c r="F232" s="141">
        <f>IFERROR(__xludf.DUMMYFUNCTION("""COMPUTED_VALUE"""),110.37)</f>
        <v/>
      </c>
      <c r="G232" s="143">
        <f>IFERROR(__xludf.DUMMYFUNCTION("""COMPUTED_VALUE"""),2792522)</f>
        <v/>
      </c>
      <c r="H232" s="27" t="n"/>
    </row>
    <row r="233" ht="17.25" customHeight="1" s="322">
      <c r="A233" s="27" t="n"/>
      <c r="B233" s="506">
        <f>IFERROR(__xludf.DUMMYFUNCTION("""COMPUTED_VALUE"""),46164.6666666666)</f>
        <v/>
      </c>
      <c r="C233" s="141">
        <f>IFERROR(__xludf.DUMMYFUNCTION("""COMPUTED_VALUE"""),110.51)</f>
        <v/>
      </c>
      <c r="D233" s="141">
        <f>IFERROR(__xludf.DUMMYFUNCTION("""COMPUTED_VALUE"""),110.54)</f>
        <v/>
      </c>
      <c r="E233" s="141">
        <f>IFERROR(__xludf.DUMMYFUNCTION("""COMPUTED_VALUE"""),110.12)</f>
        <v/>
      </c>
      <c r="F233" s="141">
        <f>IFERROR(__xludf.DUMMYFUNCTION("""COMPUTED_VALUE"""),110.38)</f>
        <v/>
      </c>
      <c r="G233" s="143">
        <f>IFERROR(__xludf.DUMMYFUNCTION("""COMPUTED_VALUE"""),1410795)</f>
        <v/>
      </c>
      <c r="H233" s="27" t="n"/>
    </row>
    <row r="234" ht="17.25" customHeight="1" s="322">
      <c r="A234" s="27" t="n"/>
      <c r="B234" s="506">
        <f>IFERROR(__xludf.DUMMYFUNCTION("""COMPUTED_VALUE"""),46168.6666666666)</f>
        <v/>
      </c>
      <c r="C234" s="141">
        <f>IFERROR(__xludf.DUMMYFUNCTION("""COMPUTED_VALUE"""),110.7)</f>
        <v/>
      </c>
      <c r="D234" s="141">
        <f>IFERROR(__xludf.DUMMYFUNCTION("""COMPUTED_VALUE"""),110.84)</f>
        <v/>
      </c>
      <c r="E234" s="141">
        <f>IFERROR(__xludf.DUMMYFUNCTION("""COMPUTED_VALUE"""),110.63)</f>
        <v/>
      </c>
      <c r="F234" s="141">
        <f>IFERROR(__xludf.DUMMYFUNCTION("""COMPUTED_VALUE"""),110.82)</f>
        <v/>
      </c>
      <c r="G234" s="143">
        <f>IFERROR(__xludf.DUMMYFUNCTION("""COMPUTED_VALUE"""),2183660)</f>
        <v/>
      </c>
      <c r="H234" s="27" t="n"/>
    </row>
    <row r="235" ht="17.25" customHeight="1" s="322">
      <c r="A235" s="27" t="n"/>
      <c r="B235" s="506">
        <f>IFERROR(__xludf.DUMMYFUNCTION("""COMPUTED_VALUE"""),46169.6666666666)</f>
        <v/>
      </c>
      <c r="C235" s="141">
        <f>IFERROR(__xludf.DUMMYFUNCTION("""COMPUTED_VALUE"""),110.86)</f>
        <v/>
      </c>
      <c r="D235" s="141">
        <f>IFERROR(__xludf.DUMMYFUNCTION("""COMPUTED_VALUE"""),111.01)</f>
        <v/>
      </c>
      <c r="E235" s="141">
        <f>IFERROR(__xludf.DUMMYFUNCTION("""COMPUTED_VALUE"""),110.83)</f>
        <v/>
      </c>
      <c r="F235" s="141">
        <f>IFERROR(__xludf.DUMMYFUNCTION("""COMPUTED_VALUE"""),110.88)</f>
        <v/>
      </c>
      <c r="G235" s="143">
        <f>IFERROR(__xludf.DUMMYFUNCTION("""COMPUTED_VALUE"""),1963133)</f>
        <v/>
      </c>
      <c r="H235" s="27" t="n"/>
    </row>
    <row r="236" ht="17.25" customHeight="1" s="322">
      <c r="A236" s="27" t="n"/>
      <c r="B236" s="506">
        <f>IFERROR(__xludf.DUMMYFUNCTION("""COMPUTED_VALUE"""),46170.6666666666)</f>
        <v/>
      </c>
      <c r="C236" s="141">
        <f>IFERROR(__xludf.DUMMYFUNCTION("""COMPUTED_VALUE"""),111.06)</f>
        <v/>
      </c>
      <c r="D236" s="141">
        <f>IFERROR(__xludf.DUMMYFUNCTION("""COMPUTED_VALUE"""),111.27)</f>
        <v/>
      </c>
      <c r="E236" s="141">
        <f>IFERROR(__xludf.DUMMYFUNCTION("""COMPUTED_VALUE"""),110.97)</f>
        <v/>
      </c>
      <c r="F236" s="141">
        <f>IFERROR(__xludf.DUMMYFUNCTION("""COMPUTED_VALUE"""),111.18)</f>
        <v/>
      </c>
      <c r="G236" s="143">
        <f>IFERROR(__xludf.DUMMYFUNCTION("""COMPUTED_VALUE"""),1702822)</f>
        <v/>
      </c>
      <c r="H236" s="27" t="n"/>
    </row>
    <row r="237" ht="17.25" customHeight="1" s="322">
      <c r="A237" s="27" t="n"/>
      <c r="B237" s="506">
        <f>IFERROR(__xludf.DUMMYFUNCTION("""COMPUTED_VALUE"""),46171.6666666666)</f>
        <v/>
      </c>
      <c r="C237" s="141">
        <f>IFERROR(__xludf.DUMMYFUNCTION("""COMPUTED_VALUE"""),111.17)</f>
        <v/>
      </c>
      <c r="D237" s="141">
        <f>IFERROR(__xludf.DUMMYFUNCTION("""COMPUTED_VALUE"""),111.29)</f>
        <v/>
      </c>
      <c r="E237" s="141">
        <f>IFERROR(__xludf.DUMMYFUNCTION("""COMPUTED_VALUE"""),111.11)</f>
        <v/>
      </c>
      <c r="F237" s="141">
        <f>IFERROR(__xludf.DUMMYFUNCTION("""COMPUTED_VALUE"""),111.21)</f>
        <v/>
      </c>
      <c r="G237" s="143">
        <f>IFERROR(__xludf.DUMMYFUNCTION("""COMPUTED_VALUE"""),3078477)</f>
        <v/>
      </c>
      <c r="H237" s="27" t="n"/>
    </row>
    <row r="238" ht="17.25" customHeight="1" s="322">
      <c r="A238" s="27" t="n"/>
      <c r="B238" s="506">
        <f>IFERROR(__xludf.DUMMYFUNCTION("""COMPUTED_VALUE"""),46174.6666666666)</f>
        <v/>
      </c>
      <c r="C238" s="141">
        <f>IFERROR(__xludf.DUMMYFUNCTION("""COMPUTED_VALUE"""),109.87)</f>
        <v/>
      </c>
      <c r="D238" s="141">
        <f>IFERROR(__xludf.DUMMYFUNCTION("""COMPUTED_VALUE"""),109.99)</f>
        <v/>
      </c>
      <c r="E238" s="141">
        <f>IFERROR(__xludf.DUMMYFUNCTION("""COMPUTED_VALUE"""),109.76)</f>
        <v/>
      </c>
      <c r="F238" s="141">
        <f>IFERROR(__xludf.DUMMYFUNCTION("""COMPUTED_VALUE"""),109.98)</f>
        <v/>
      </c>
      <c r="G238" s="143">
        <f>IFERROR(__xludf.DUMMYFUNCTION("""COMPUTED_VALUE"""),1844048)</f>
        <v/>
      </c>
      <c r="H238" s="27" t="n"/>
    </row>
    <row r="239" ht="17.25" customHeight="1" s="322">
      <c r="A239" s="27" t="n"/>
      <c r="B239" s="506">
        <f>IFERROR(__xludf.DUMMYFUNCTION("""COMPUTED_VALUE"""),46175.6666666666)</f>
        <v/>
      </c>
      <c r="C239" s="141">
        <f>IFERROR(__xludf.DUMMYFUNCTION("""COMPUTED_VALUE"""),110.11)</f>
        <v/>
      </c>
      <c r="D239" s="141">
        <f>IFERROR(__xludf.DUMMYFUNCTION("""COMPUTED_VALUE"""),110.12)</f>
        <v/>
      </c>
      <c r="E239" s="141">
        <f>IFERROR(__xludf.DUMMYFUNCTION("""COMPUTED_VALUE"""),109.96)</f>
        <v/>
      </c>
      <c r="F239" s="141">
        <f>IFERROR(__xludf.DUMMYFUNCTION("""COMPUTED_VALUE"""),109.97)</f>
        <v/>
      </c>
      <c r="G239" s="143">
        <f>IFERROR(__xludf.DUMMYFUNCTION("""COMPUTED_VALUE"""),1386452)</f>
        <v/>
      </c>
      <c r="H239" s="27" t="n"/>
    </row>
    <row r="240" ht="17.25" customHeight="1" s="322">
      <c r="A240" s="27" t="n"/>
      <c r="B240" s="506">
        <f>IFERROR(__xludf.DUMMYFUNCTION("""COMPUTED_VALUE"""),46176.6666666666)</f>
        <v/>
      </c>
      <c r="C240" s="141">
        <f>IFERROR(__xludf.DUMMYFUNCTION("""COMPUTED_VALUE"""),109.81)</f>
        <v/>
      </c>
      <c r="D240" s="141">
        <f>IFERROR(__xludf.DUMMYFUNCTION("""COMPUTED_VALUE"""),109.91)</f>
        <v/>
      </c>
      <c r="E240" s="141">
        <f>IFERROR(__xludf.DUMMYFUNCTION("""COMPUTED_VALUE"""),109.68)</f>
        <v/>
      </c>
      <c r="F240" s="141">
        <f>IFERROR(__xludf.DUMMYFUNCTION("""COMPUTED_VALUE"""),109.77)</f>
        <v/>
      </c>
      <c r="G240" s="143">
        <f>IFERROR(__xludf.DUMMYFUNCTION("""COMPUTED_VALUE"""),1077171)</f>
        <v/>
      </c>
      <c r="H240" s="27" t="n"/>
    </row>
    <row r="241" ht="17.25" customHeight="1" s="322">
      <c r="A241" s="27" t="n"/>
      <c r="B241" s="506">
        <f>IFERROR(__xludf.DUMMYFUNCTION("""COMPUTED_VALUE"""),46177.6666666666)</f>
        <v/>
      </c>
      <c r="C241" s="141">
        <f>IFERROR(__xludf.DUMMYFUNCTION("""COMPUTED_VALUE"""),109.84)</f>
        <v/>
      </c>
      <c r="D241" s="141">
        <f>IFERROR(__xludf.DUMMYFUNCTION("""COMPUTED_VALUE"""),109.86)</f>
        <v/>
      </c>
      <c r="E241" s="141">
        <f>IFERROR(__xludf.DUMMYFUNCTION("""COMPUTED_VALUE"""),109.73)</f>
        <v/>
      </c>
      <c r="F241" s="141">
        <f>IFERROR(__xludf.DUMMYFUNCTION("""COMPUTED_VALUE"""),109.78)</f>
        <v/>
      </c>
      <c r="G241" s="143">
        <f>IFERROR(__xludf.DUMMYFUNCTION("""COMPUTED_VALUE"""),1483260)</f>
        <v/>
      </c>
      <c r="H241" s="27" t="n"/>
    </row>
    <row r="242" ht="17.25" customHeight="1" s="322">
      <c r="A242" s="27" t="n"/>
      <c r="B242" s="506">
        <f>IFERROR(__xludf.DUMMYFUNCTION("""COMPUTED_VALUE"""),46178.6666666666)</f>
        <v/>
      </c>
      <c r="C242" s="141">
        <f>IFERROR(__xludf.DUMMYFUNCTION("""COMPUTED_VALUE"""),109.42)</f>
        <v/>
      </c>
      <c r="D242" s="141">
        <f>IFERROR(__xludf.DUMMYFUNCTION("""COMPUTED_VALUE"""),109.48)</f>
        <v/>
      </c>
      <c r="E242" s="141">
        <f>IFERROR(__xludf.DUMMYFUNCTION("""COMPUTED_VALUE"""),109.25)</f>
        <v/>
      </c>
      <c r="F242" s="141">
        <f>IFERROR(__xludf.DUMMYFUNCTION("""COMPUTED_VALUE"""),109.25)</f>
        <v/>
      </c>
      <c r="G242" s="143">
        <f>IFERROR(__xludf.DUMMYFUNCTION("""COMPUTED_VALUE"""),1816398)</f>
        <v/>
      </c>
      <c r="H242" s="27" t="n"/>
    </row>
    <row r="243" ht="17.25" customHeight="1" s="322">
      <c r="A243" s="27" t="n"/>
      <c r="B243" s="506">
        <f>IFERROR(__xludf.DUMMYFUNCTION("""COMPUTED_VALUE"""),46181.6666666666)</f>
        <v/>
      </c>
      <c r="C243" s="141">
        <f>IFERROR(__xludf.DUMMYFUNCTION("""COMPUTED_VALUE"""),109.5)</f>
        <v/>
      </c>
      <c r="D243" s="141">
        <f>IFERROR(__xludf.DUMMYFUNCTION("""COMPUTED_VALUE"""),109.52)</f>
        <v/>
      </c>
      <c r="E243" s="141">
        <f>IFERROR(__xludf.DUMMYFUNCTION("""COMPUTED_VALUE"""),109.12)</f>
        <v/>
      </c>
      <c r="F243" s="141">
        <f>IFERROR(__xludf.DUMMYFUNCTION("""COMPUTED_VALUE"""),109.13)</f>
        <v/>
      </c>
      <c r="G243" s="143">
        <f>IFERROR(__xludf.DUMMYFUNCTION("""COMPUTED_VALUE"""),2522655)</f>
        <v/>
      </c>
      <c r="H243" s="27" t="n"/>
    </row>
    <row r="244" ht="17.25" customHeight="1" s="322">
      <c r="A244" s="27" t="n"/>
      <c r="B244" s="506">
        <f>IFERROR(__xludf.DUMMYFUNCTION("""COMPUTED_VALUE"""),46182.6666666666)</f>
        <v/>
      </c>
      <c r="C244" s="141">
        <f>IFERROR(__xludf.DUMMYFUNCTION("""COMPUTED_VALUE"""),109.34)</f>
        <v/>
      </c>
      <c r="D244" s="141">
        <f>IFERROR(__xludf.DUMMYFUNCTION("""COMPUTED_VALUE"""),109.4)</f>
        <v/>
      </c>
      <c r="E244" s="141">
        <f>IFERROR(__xludf.DUMMYFUNCTION("""COMPUTED_VALUE"""),109.19)</f>
        <v/>
      </c>
      <c r="F244" s="141">
        <f>IFERROR(__xludf.DUMMYFUNCTION("""COMPUTED_VALUE"""),109.32)</f>
        <v/>
      </c>
      <c r="G244" s="143">
        <f>IFERROR(__xludf.DUMMYFUNCTION("""COMPUTED_VALUE"""),2372809)</f>
        <v/>
      </c>
      <c r="H244" s="27" t="n"/>
    </row>
    <row r="245" ht="17.25" customHeight="1" s="322">
      <c r="A245" s="27" t="n"/>
      <c r="B245" s="506">
        <f>IFERROR(__xludf.DUMMYFUNCTION("""COMPUTED_VALUE"""),46183.6666666666)</f>
        <v/>
      </c>
      <c r="C245" s="141">
        <f>IFERROR(__xludf.DUMMYFUNCTION("""COMPUTED_VALUE"""),109.46)</f>
        <v/>
      </c>
      <c r="D245" s="141">
        <f>IFERROR(__xludf.DUMMYFUNCTION("""COMPUTED_VALUE"""),109.56)</f>
        <v/>
      </c>
      <c r="E245" s="141">
        <f>IFERROR(__xludf.DUMMYFUNCTION("""COMPUTED_VALUE"""),109.21)</f>
        <v/>
      </c>
      <c r="F245" s="141">
        <f>IFERROR(__xludf.DUMMYFUNCTION("""COMPUTED_VALUE"""),109.21)</f>
        <v/>
      </c>
      <c r="G245" s="143">
        <f>IFERROR(__xludf.DUMMYFUNCTION("""COMPUTED_VALUE"""),1522112)</f>
        <v/>
      </c>
      <c r="H245" s="27" t="n"/>
    </row>
    <row r="246" ht="17.25" customHeight="1" s="322">
      <c r="A246" s="27" t="n"/>
      <c r="B246" s="506">
        <f>IFERROR(__xludf.DUMMYFUNCTION("""COMPUTED_VALUE"""),46184.6666666666)</f>
        <v/>
      </c>
      <c r="C246" s="141">
        <f>IFERROR(__xludf.DUMMYFUNCTION("""COMPUTED_VALUE"""),109.33)</f>
        <v/>
      </c>
      <c r="D246" s="141">
        <f>IFERROR(__xludf.DUMMYFUNCTION("""COMPUTED_VALUE"""),109.66)</f>
        <v/>
      </c>
      <c r="E246" s="141">
        <f>IFERROR(__xludf.DUMMYFUNCTION("""COMPUTED_VALUE"""),109.21)</f>
        <v/>
      </c>
      <c r="F246" s="141">
        <f>IFERROR(__xludf.DUMMYFUNCTION("""COMPUTED_VALUE"""),109.6)</f>
        <v/>
      </c>
      <c r="G246" s="143">
        <f>IFERROR(__xludf.DUMMYFUNCTION("""COMPUTED_VALUE"""),1874025)</f>
        <v/>
      </c>
      <c r="H246" s="27" t="n"/>
    </row>
    <row r="247" ht="17.25" customHeight="1" s="322">
      <c r="A247" s="27" t="n"/>
      <c r="B247" s="506">
        <f>IFERROR(__xludf.DUMMYFUNCTION("""COMPUTED_VALUE"""),46185.6666666666)</f>
        <v/>
      </c>
      <c r="C247" s="141">
        <f>IFERROR(__xludf.DUMMYFUNCTION("""COMPUTED_VALUE"""),109.48)</f>
        <v/>
      </c>
      <c r="D247" s="141">
        <f>IFERROR(__xludf.DUMMYFUNCTION("""COMPUTED_VALUE"""),109.62)</f>
        <v/>
      </c>
      <c r="E247" s="141">
        <f>IFERROR(__xludf.DUMMYFUNCTION("""COMPUTED_VALUE"""),109.39)</f>
        <v/>
      </c>
      <c r="F247" s="141">
        <f>IFERROR(__xludf.DUMMYFUNCTION("""COMPUTED_VALUE"""),109.61)</f>
        <v/>
      </c>
      <c r="G247" s="143">
        <f>IFERROR(__xludf.DUMMYFUNCTION("""COMPUTED_VALUE"""),2610350)</f>
        <v/>
      </c>
      <c r="H247" s="27" t="n"/>
    </row>
    <row r="248" ht="17.25" customHeight="1" s="322">
      <c r="A248" s="27" t="n"/>
      <c r="B248" s="506">
        <f>IFERROR(__xludf.DUMMYFUNCTION("""COMPUTED_VALUE"""),46188.6666666666)</f>
        <v/>
      </c>
      <c r="C248" s="141">
        <f>IFERROR(__xludf.DUMMYFUNCTION("""COMPUTED_VALUE"""),109.71)</f>
        <v/>
      </c>
      <c r="D248" s="141">
        <f>IFERROR(__xludf.DUMMYFUNCTION("""COMPUTED_VALUE"""),109.78)</f>
        <v/>
      </c>
      <c r="E248" s="141">
        <f>IFERROR(__xludf.DUMMYFUNCTION("""COMPUTED_VALUE"""),109.64)</f>
        <v/>
      </c>
      <c r="F248" s="141">
        <f>IFERROR(__xludf.DUMMYFUNCTION("""COMPUTED_VALUE"""),109.76)</f>
        <v/>
      </c>
      <c r="G248" s="143">
        <f>IFERROR(__xludf.DUMMYFUNCTION("""COMPUTED_VALUE"""),1183092)</f>
        <v/>
      </c>
      <c r="H248" s="27" t="n"/>
    </row>
    <row r="249" ht="17.25" customHeight="1" s="322">
      <c r="A249" s="27" t="n"/>
      <c r="B249" s="506">
        <f>IFERROR(__xludf.DUMMYFUNCTION("""COMPUTED_VALUE"""),46189.6666666666)</f>
        <v/>
      </c>
      <c r="C249" s="141">
        <f>IFERROR(__xludf.DUMMYFUNCTION("""COMPUTED_VALUE"""),109.73)</f>
        <v/>
      </c>
      <c r="D249" s="141">
        <f>IFERROR(__xludf.DUMMYFUNCTION("""COMPUTED_VALUE"""),109.87)</f>
        <v/>
      </c>
      <c r="E249" s="141">
        <f>IFERROR(__xludf.DUMMYFUNCTION("""COMPUTED_VALUE"""),109.67)</f>
        <v/>
      </c>
      <c r="F249" s="141">
        <f>IFERROR(__xludf.DUMMYFUNCTION("""COMPUTED_VALUE"""),109.76)</f>
        <v/>
      </c>
      <c r="G249" s="143">
        <f>IFERROR(__xludf.DUMMYFUNCTION("""COMPUTED_VALUE"""),1022799)</f>
        <v/>
      </c>
      <c r="H249" s="27" t="n"/>
    </row>
    <row r="250" ht="17.25" customHeight="1" s="322">
      <c r="A250" s="27" t="n"/>
      <c r="B250" s="506">
        <f>IFERROR(__xludf.DUMMYFUNCTION("""COMPUTED_VALUE"""),46190.6666666666)</f>
        <v/>
      </c>
      <c r="C250" s="141">
        <f>IFERROR(__xludf.DUMMYFUNCTION("""COMPUTED_VALUE"""),109.82)</f>
        <v/>
      </c>
      <c r="D250" s="141">
        <f>IFERROR(__xludf.DUMMYFUNCTION("""COMPUTED_VALUE"""),109.82)</f>
        <v/>
      </c>
      <c r="E250" s="141">
        <f>IFERROR(__xludf.DUMMYFUNCTION("""COMPUTED_VALUE"""),109.02)</f>
        <v/>
      </c>
      <c r="F250" s="141">
        <f>IFERROR(__xludf.DUMMYFUNCTION("""COMPUTED_VALUE"""),109.03)</f>
        <v/>
      </c>
      <c r="G250" s="143">
        <f>IFERROR(__xludf.DUMMYFUNCTION("""COMPUTED_VALUE"""),2044670)</f>
        <v/>
      </c>
      <c r="H250" s="27" t="n"/>
    </row>
    <row r="251" ht="17.25" customHeight="1" s="322">
      <c r="A251" s="27" t="n"/>
      <c r="B251" s="506">
        <f>IFERROR(__xludf.DUMMYFUNCTION("""COMPUTED_VALUE"""),46191.6666666666)</f>
        <v/>
      </c>
      <c r="C251" s="141">
        <f>IFERROR(__xludf.DUMMYFUNCTION("""COMPUTED_VALUE"""),109.31)</f>
        <v/>
      </c>
      <c r="D251" s="141">
        <f>IFERROR(__xludf.DUMMYFUNCTION("""COMPUTED_VALUE"""),109.53)</f>
        <v/>
      </c>
      <c r="E251" s="141">
        <f>IFERROR(__xludf.DUMMYFUNCTION("""COMPUTED_VALUE"""),109.28)</f>
        <v/>
      </c>
      <c r="F251" s="141">
        <f>IFERROR(__xludf.DUMMYFUNCTION("""COMPUTED_VALUE"""),109.39)</f>
        <v/>
      </c>
      <c r="G251" s="143">
        <f>IFERROR(__xludf.DUMMYFUNCTION("""COMPUTED_VALUE"""),2912140)</f>
        <v/>
      </c>
      <c r="H251" s="27" t="n"/>
    </row>
    <row r="252" ht="17.25" customHeight="1" s="322">
      <c r="A252" s="27" t="n"/>
      <c r="B252" s="506">
        <f>IFERROR(__xludf.DUMMYFUNCTION("""COMPUTED_VALUE"""),46195.6666666666)</f>
        <v/>
      </c>
      <c r="C252" s="141">
        <f>IFERROR(__xludf.DUMMYFUNCTION("""COMPUTED_VALUE"""),109.25)</f>
        <v/>
      </c>
      <c r="D252" s="141">
        <f>IFERROR(__xludf.DUMMYFUNCTION("""COMPUTED_VALUE"""),109.26)</f>
        <v/>
      </c>
      <c r="E252" s="141">
        <f>IFERROR(__xludf.DUMMYFUNCTION("""COMPUTED_VALUE"""),108.93)</f>
        <v/>
      </c>
      <c r="F252" s="141">
        <f>IFERROR(__xludf.DUMMYFUNCTION("""COMPUTED_VALUE"""),108.94)</f>
        <v/>
      </c>
      <c r="G252" s="143">
        <f>IFERROR(__xludf.DUMMYFUNCTION("""COMPUTED_VALUE"""),1156430)</f>
        <v/>
      </c>
      <c r="H252" s="27" t="n"/>
    </row>
    <row r="253" ht="17.25" customHeight="1" s="322">
      <c r="A253" s="27" t="n"/>
      <c r="B253" s="506">
        <f>IFERROR(__xludf.DUMMYFUNCTION("""COMPUTED_VALUE"""),46196.6666666666)</f>
        <v/>
      </c>
      <c r="C253" s="141">
        <f>IFERROR(__xludf.DUMMYFUNCTION("""COMPUTED_VALUE"""),108.94)</f>
        <v/>
      </c>
      <c r="D253" s="141">
        <f>IFERROR(__xludf.DUMMYFUNCTION("""COMPUTED_VALUE"""),109.05)</f>
        <v/>
      </c>
      <c r="E253" s="141">
        <f>IFERROR(__xludf.DUMMYFUNCTION("""COMPUTED_VALUE"""),108.88)</f>
        <v/>
      </c>
      <c r="F253" s="141">
        <f>IFERROR(__xludf.DUMMYFUNCTION("""COMPUTED_VALUE"""),108.9)</f>
        <v/>
      </c>
      <c r="G253" s="143">
        <f>IFERROR(__xludf.DUMMYFUNCTION("""COMPUTED_VALUE"""),2626040)</f>
        <v/>
      </c>
      <c r="H253" s="27" t="n"/>
    </row>
    <row r="254" ht="17.25" customHeight="1" s="322">
      <c r="A254" s="27" t="n"/>
      <c r="B254" s="506">
        <f>IFERROR(__xludf.DUMMYFUNCTION("""COMPUTED_VALUE"""),46197.6666666666)</f>
        <v/>
      </c>
      <c r="C254" s="141">
        <f>IFERROR(__xludf.DUMMYFUNCTION("""COMPUTED_VALUE"""),109.05)</f>
        <v/>
      </c>
      <c r="D254" s="141">
        <f>IFERROR(__xludf.DUMMYFUNCTION("""COMPUTED_VALUE"""),109.34)</f>
        <v/>
      </c>
      <c r="E254" s="141">
        <f>IFERROR(__xludf.DUMMYFUNCTION("""COMPUTED_VALUE"""),109.05)</f>
        <v/>
      </c>
      <c r="F254" s="141">
        <f>IFERROR(__xludf.DUMMYFUNCTION("""COMPUTED_VALUE"""),109.32)</f>
        <v/>
      </c>
      <c r="G254" s="143">
        <f>IFERROR(__xludf.DUMMYFUNCTION("""COMPUTED_VALUE"""),1243917)</f>
        <v/>
      </c>
      <c r="H254" s="27" t="n"/>
    </row>
    <row r="255" ht="17.25" customHeight="1" s="322">
      <c r="A255" s="27" t="n"/>
      <c r="B255" s="506">
        <f>IFERROR(__xludf.DUMMYFUNCTION("""COMPUTED_VALUE"""),46198.6666666666)</f>
        <v/>
      </c>
      <c r="C255" s="141">
        <f>IFERROR(__xludf.DUMMYFUNCTION("""COMPUTED_VALUE"""),109.57)</f>
        <v/>
      </c>
      <c r="D255" s="141">
        <f>IFERROR(__xludf.DUMMYFUNCTION("""COMPUTED_VALUE"""),109.76)</f>
        <v/>
      </c>
      <c r="E255" s="141">
        <f>IFERROR(__xludf.DUMMYFUNCTION("""COMPUTED_VALUE"""),109.49)</f>
        <v/>
      </c>
      <c r="F255" s="141">
        <f>IFERROR(__xludf.DUMMYFUNCTION("""COMPUTED_VALUE"""),109.5)</f>
        <v/>
      </c>
      <c r="G255" s="143">
        <f>IFERROR(__xludf.DUMMYFUNCTION("""COMPUTED_VALUE"""),2947123)</f>
        <v/>
      </c>
      <c r="H255" s="27" t="n"/>
    </row>
    <row r="256" ht="17.25" customHeight="1" s="322">
      <c r="A256" s="27" t="n"/>
      <c r="B256" s="506">
        <f>IFERROR(__xludf.DUMMYFUNCTION("""COMPUTED_VALUE"""),46199.6666666666)</f>
        <v/>
      </c>
      <c r="C256" s="141">
        <f>IFERROR(__xludf.DUMMYFUNCTION("""COMPUTED_VALUE"""),109.55)</f>
        <v/>
      </c>
      <c r="D256" s="141">
        <f>IFERROR(__xludf.DUMMYFUNCTION("""COMPUTED_VALUE"""),109.75)</f>
        <v/>
      </c>
      <c r="E256" s="141">
        <f>IFERROR(__xludf.DUMMYFUNCTION("""COMPUTED_VALUE"""),109.53)</f>
        <v/>
      </c>
      <c r="F256" s="141">
        <f>IFERROR(__xludf.DUMMYFUNCTION("""COMPUTED_VALUE"""),109.7)</f>
        <v/>
      </c>
      <c r="G256" s="143">
        <f>IFERROR(__xludf.DUMMYFUNCTION("""COMPUTED_VALUE"""),2679253)</f>
        <v/>
      </c>
      <c r="H256" s="27" t="n"/>
    </row>
    <row r="257" ht="17.25" customHeight="1" s="322">
      <c r="A257" s="27" t="n"/>
      <c r="B257" s="506">
        <f>IFERROR(__xludf.DUMMYFUNCTION("""COMPUTED_VALUE"""),46202.6666666666)</f>
        <v/>
      </c>
      <c r="C257" s="141">
        <f>IFERROR(__xludf.DUMMYFUNCTION("""COMPUTED_VALUE"""),109.78)</f>
        <v/>
      </c>
      <c r="D257" s="141">
        <f>IFERROR(__xludf.DUMMYFUNCTION("""COMPUTED_VALUE"""),109.91)</f>
        <v/>
      </c>
      <c r="E257" s="141">
        <f>IFERROR(__xludf.DUMMYFUNCTION("""COMPUTED_VALUE"""),109.78)</f>
        <v/>
      </c>
      <c r="F257" s="141">
        <f>IFERROR(__xludf.DUMMYFUNCTION("""COMPUTED_VALUE"""),109.9)</f>
        <v/>
      </c>
      <c r="G257" s="143">
        <f>IFERROR(__xludf.DUMMYFUNCTION("""COMPUTED_VALUE"""),2428814)</f>
        <v/>
      </c>
      <c r="H257" s="27" t="n"/>
    </row>
    <row r="258" ht="17.25" customHeight="1" s="322">
      <c r="A258" s="27" t="n"/>
      <c r="B258" s="506">
        <f>IFERROR(__xludf.DUMMYFUNCTION("""COMPUTED_VALUE"""),46203.6666666666)</f>
        <v/>
      </c>
      <c r="C258" s="141">
        <f>IFERROR(__xludf.DUMMYFUNCTION("""COMPUTED_VALUE"""),109.84)</f>
        <v/>
      </c>
      <c r="D258" s="141">
        <f>IFERROR(__xludf.DUMMYFUNCTION("""COMPUTED_VALUE"""),109.86)</f>
        <v/>
      </c>
      <c r="E258" s="141">
        <f>IFERROR(__xludf.DUMMYFUNCTION("""COMPUTED_VALUE"""),109.43)</f>
        <v/>
      </c>
      <c r="F258" s="141">
        <f>IFERROR(__xludf.DUMMYFUNCTION("""COMPUTED_VALUE"""),109.43)</f>
        <v/>
      </c>
      <c r="G258" s="143">
        <f>IFERROR(__xludf.DUMMYFUNCTION("""COMPUTED_VALUE"""),4144975)</f>
        <v/>
      </c>
      <c r="H258" s="27" t="n"/>
    </row>
    <row r="259" ht="17.25" customHeight="1" s="322">
      <c r="A259" s="27" t="n"/>
      <c r="B259" s="506">
        <f>IFERROR(__xludf.DUMMYFUNCTION("""COMPUTED_VALUE"""),46204.6666666666)</f>
        <v/>
      </c>
      <c r="C259" s="141">
        <f>IFERROR(__xludf.DUMMYFUNCTION("""COMPUTED_VALUE"""),108.29)</f>
        <v/>
      </c>
      <c r="D259" s="141">
        <f>IFERROR(__xludf.DUMMYFUNCTION("""COMPUTED_VALUE"""),108.46)</f>
        <v/>
      </c>
      <c r="E259" s="141">
        <f>IFERROR(__xludf.DUMMYFUNCTION("""COMPUTED_VALUE"""),108.16)</f>
        <v/>
      </c>
      <c r="F259" s="141">
        <f>IFERROR(__xludf.DUMMYFUNCTION("""COMPUTED_VALUE"""),108.17)</f>
        <v/>
      </c>
      <c r="G259" s="143">
        <f>IFERROR(__xludf.DUMMYFUNCTION("""COMPUTED_VALUE"""),1691011)</f>
        <v/>
      </c>
      <c r="H259" s="27" t="n"/>
    </row>
    <row r="260" ht="17.25" customHeight="1" s="322">
      <c r="A260" s="27" t="n"/>
      <c r="B260" s="506">
        <f>IFERROR(__xludf.DUMMYFUNCTION("""COMPUTED_VALUE"""),46205.6666666666)</f>
        <v/>
      </c>
      <c r="C260" s="141">
        <f>IFERROR(__xludf.DUMMYFUNCTION("""COMPUTED_VALUE"""),108.31)</f>
        <v/>
      </c>
      <c r="D260" s="141">
        <f>IFERROR(__xludf.DUMMYFUNCTION("""COMPUTED_VALUE"""),108.43)</f>
        <v/>
      </c>
      <c r="E260" s="141">
        <f>IFERROR(__xludf.DUMMYFUNCTION("""COMPUTED_VALUE"""),108.24)</f>
        <v/>
      </c>
      <c r="F260" s="141">
        <f>IFERROR(__xludf.DUMMYFUNCTION("""COMPUTED_VALUE"""),108.33)</f>
        <v/>
      </c>
      <c r="G260" s="143">
        <f>IFERROR(__xludf.DUMMYFUNCTION("""COMPUTED_VALUE"""),2011799)</f>
        <v/>
      </c>
      <c r="H260" s="27" t="n"/>
    </row>
    <row r="261" ht="17.25" customHeight="1" s="322">
      <c r="A261" s="27" t="n"/>
      <c r="B261" s="506">
        <f>IFERROR(__xludf.DUMMYFUNCTION("""COMPUTED_VALUE"""),46209.6666666666)</f>
        <v/>
      </c>
      <c r="C261" s="141">
        <f>IFERROR(__xludf.DUMMYFUNCTION("""COMPUTED_VALUE"""),108.43)</f>
        <v/>
      </c>
      <c r="D261" s="141">
        <f>IFERROR(__xludf.DUMMYFUNCTION("""COMPUTED_VALUE"""),108.49)</f>
        <v/>
      </c>
      <c r="E261" s="141">
        <f>IFERROR(__xludf.DUMMYFUNCTION("""COMPUTED_VALUE"""),108.3)</f>
        <v/>
      </c>
      <c r="F261" s="141">
        <f>IFERROR(__xludf.DUMMYFUNCTION("""COMPUTED_VALUE"""),108.49)</f>
        <v/>
      </c>
      <c r="G261" s="143">
        <f>IFERROR(__xludf.DUMMYFUNCTION("""COMPUTED_VALUE"""),1346147)</f>
        <v/>
      </c>
      <c r="H261" s="27" t="n"/>
    </row>
    <row r="262" ht="17.25" customHeight="1" s="322">
      <c r="A262" s="27" t="n"/>
      <c r="B262" s="506">
        <f>IFERROR(__xludf.DUMMYFUNCTION("""COMPUTED_VALUE"""),46210.6666666666)</f>
        <v/>
      </c>
      <c r="C262" s="141">
        <f>IFERROR(__xludf.DUMMYFUNCTION("""COMPUTED_VALUE"""),108.36)</f>
        <v/>
      </c>
      <c r="D262" s="141">
        <f>IFERROR(__xludf.DUMMYFUNCTION("""COMPUTED_VALUE"""),108.36)</f>
        <v/>
      </c>
      <c r="E262" s="141">
        <f>IFERROR(__xludf.DUMMYFUNCTION("""COMPUTED_VALUE"""),108.11)</f>
        <v/>
      </c>
      <c r="F262" s="141">
        <f>IFERROR(__xludf.DUMMYFUNCTION("""COMPUTED_VALUE"""),108.17)</f>
        <v/>
      </c>
      <c r="G262" s="143">
        <f>IFERROR(__xludf.DUMMYFUNCTION("""COMPUTED_VALUE"""),1755111)</f>
        <v/>
      </c>
      <c r="H262" s="27" t="n"/>
    </row>
    <row r="263" ht="17.25" customHeight="1" s="322">
      <c r="A263" s="27" t="n"/>
      <c r="B263" s="506">
        <f>IFERROR(__xludf.DUMMYFUNCTION("""COMPUTED_VALUE"""),46211.6666666666)</f>
        <v/>
      </c>
      <c r="C263" s="141">
        <f>IFERROR(__xludf.DUMMYFUNCTION("""COMPUTED_VALUE"""),108.09)</f>
        <v/>
      </c>
      <c r="D263" s="141">
        <f>IFERROR(__xludf.DUMMYFUNCTION("""COMPUTED_VALUE"""),108.12)</f>
        <v/>
      </c>
      <c r="E263" s="141">
        <f>IFERROR(__xludf.DUMMYFUNCTION("""COMPUTED_VALUE"""),107.98)</f>
        <v/>
      </c>
      <c r="F263" s="141">
        <f>IFERROR(__xludf.DUMMYFUNCTION("""COMPUTED_VALUE"""),108.05)</f>
        <v/>
      </c>
      <c r="G263" s="143">
        <f>IFERROR(__xludf.DUMMYFUNCTION("""COMPUTED_VALUE"""),941742)</f>
        <v/>
      </c>
      <c r="H263" s="27" t="n"/>
    </row>
    <row r="264" ht="17.25" customHeight="1" s="322">
      <c r="A264" s="27" t="n"/>
      <c r="B264" s="506">
        <f>IFERROR(__xludf.DUMMYFUNCTION("""COMPUTED_VALUE"""),46212.6666666666)</f>
        <v/>
      </c>
      <c r="C264" s="141">
        <f>IFERROR(__xludf.DUMMYFUNCTION("""COMPUTED_VALUE"""),108.14)</f>
        <v/>
      </c>
      <c r="D264" s="141">
        <f>IFERROR(__xludf.DUMMYFUNCTION("""COMPUTED_VALUE"""),108.22)</f>
        <v/>
      </c>
      <c r="E264" s="141">
        <f>IFERROR(__xludf.DUMMYFUNCTION("""COMPUTED_VALUE"""),108.09)</f>
        <v/>
      </c>
      <c r="F264" s="141">
        <f>IFERROR(__xludf.DUMMYFUNCTION("""COMPUTED_VALUE"""),108.12)</f>
        <v/>
      </c>
      <c r="G264" s="143">
        <f>IFERROR(__xludf.DUMMYFUNCTION("""COMPUTED_VALUE"""),1170758)</f>
        <v/>
      </c>
      <c r="H264" s="27" t="n"/>
    </row>
    <row r="265" ht="17.25" customHeight="1" s="322">
      <c r="A265" s="27" t="n"/>
      <c r="B265" s="506">
        <f>IFERROR(__xludf.DUMMYFUNCTION("""COMPUTED_VALUE"""),46213.6666666666)</f>
        <v/>
      </c>
      <c r="C265" s="141">
        <f>IFERROR(__xludf.DUMMYFUNCTION("""COMPUTED_VALUE"""),108.08)</f>
        <v/>
      </c>
      <c r="D265" s="141">
        <f>IFERROR(__xludf.DUMMYFUNCTION("""COMPUTED_VALUE"""),108.15)</f>
        <v/>
      </c>
      <c r="E265" s="141">
        <f>IFERROR(__xludf.DUMMYFUNCTION("""COMPUTED_VALUE"""),107.98)</f>
        <v/>
      </c>
      <c r="F265" s="141">
        <f>IFERROR(__xludf.DUMMYFUNCTION("""COMPUTED_VALUE"""),108.13)</f>
        <v/>
      </c>
      <c r="G265" s="143">
        <f>IFERROR(__xludf.DUMMYFUNCTION("""COMPUTED_VALUE"""),1162651)</f>
        <v/>
      </c>
      <c r="H265" s="27" t="n"/>
    </row>
    <row r="266" ht="17.25" customHeight="1" s="322">
      <c r="A266" s="27" t="n"/>
      <c r="B266" s="506">
        <f>IFERROR(__xludf.DUMMYFUNCTION("""COMPUTED_VALUE"""),46216.6666666666)</f>
        <v/>
      </c>
      <c r="C266" s="141">
        <f>IFERROR(__xludf.DUMMYFUNCTION("""COMPUTED_VALUE"""),108.05)</f>
        <v/>
      </c>
      <c r="D266" s="141">
        <f>IFERROR(__xludf.DUMMYFUNCTION("""COMPUTED_VALUE"""),108.05)</f>
        <v/>
      </c>
      <c r="E266" s="141">
        <f>IFERROR(__xludf.DUMMYFUNCTION("""COMPUTED_VALUE"""),107.82)</f>
        <v/>
      </c>
      <c r="F266" s="141">
        <f>IFERROR(__xludf.DUMMYFUNCTION("""COMPUTED_VALUE"""),107.91)</f>
        <v/>
      </c>
      <c r="G266" s="143">
        <f>IFERROR(__xludf.DUMMYFUNCTION("""COMPUTED_VALUE"""),1153865)</f>
        <v/>
      </c>
      <c r="H266" s="27" t="n"/>
    </row>
    <row r="267" ht="17.25" customHeight="1" s="322">
      <c r="A267" s="27" t="n"/>
      <c r="B267" s="506">
        <f>IFERROR(__xludf.DUMMYFUNCTION("""COMPUTED_VALUE"""),46217.6666666666)</f>
        <v/>
      </c>
      <c r="C267" s="141">
        <f>IFERROR(__xludf.DUMMYFUNCTION("""COMPUTED_VALUE"""),107.95)</f>
        <v/>
      </c>
      <c r="D267" s="141">
        <f>IFERROR(__xludf.DUMMYFUNCTION("""COMPUTED_VALUE"""),108.13)</f>
        <v/>
      </c>
      <c r="E267" s="141">
        <f>IFERROR(__xludf.DUMMYFUNCTION("""COMPUTED_VALUE"""),107.91)</f>
        <v/>
      </c>
      <c r="F267" s="141">
        <f>IFERROR(__xludf.DUMMYFUNCTION("""COMPUTED_VALUE"""),108.01)</f>
        <v/>
      </c>
      <c r="G267" s="143">
        <f>IFERROR(__xludf.DUMMYFUNCTION("""COMPUTED_VALUE"""),1451503)</f>
        <v/>
      </c>
      <c r="H267" s="27" t="n"/>
    </row>
    <row r="268" ht="17.25" customHeight="1" s="322">
      <c r="A268" s="27" t="n"/>
      <c r="B268" s="506">
        <f>IFERROR(__xludf.DUMMYFUNCTION("""COMPUTED_VALUE"""),46218.6666666666)</f>
        <v/>
      </c>
      <c r="C268" s="141">
        <f>IFERROR(__xludf.DUMMYFUNCTION("""COMPUTED_VALUE"""),107.99)</f>
        <v/>
      </c>
      <c r="D268" s="141">
        <f>IFERROR(__xludf.DUMMYFUNCTION("""COMPUTED_VALUE"""),108.16)</f>
        <v/>
      </c>
      <c r="E268" s="141">
        <f>IFERROR(__xludf.DUMMYFUNCTION("""COMPUTED_VALUE"""),107.99)</f>
        <v/>
      </c>
      <c r="F268" s="141">
        <f>IFERROR(__xludf.DUMMYFUNCTION("""COMPUTED_VALUE"""),108.07)</f>
        <v/>
      </c>
      <c r="G268" s="143">
        <f>IFERROR(__xludf.DUMMYFUNCTION("""COMPUTED_VALUE"""),1900371)</f>
        <v/>
      </c>
      <c r="H268" s="27" t="n"/>
    </row>
    <row r="269" ht="17.25" customHeight="1" s="322">
      <c r="A269" s="27" t="n"/>
      <c r="B269" s="506">
        <f>IFERROR(__xludf.DUMMYFUNCTION("""COMPUTED_VALUE"""),46219.6666666666)</f>
        <v/>
      </c>
      <c r="C269" s="141">
        <f>IFERROR(__xludf.DUMMYFUNCTION("""COMPUTED_VALUE"""),107.98)</f>
        <v/>
      </c>
      <c r="D269" s="141">
        <f>IFERROR(__xludf.DUMMYFUNCTION("""COMPUTED_VALUE"""),108.05)</f>
        <v/>
      </c>
      <c r="E269" s="141">
        <f>IFERROR(__xludf.DUMMYFUNCTION("""COMPUTED_VALUE"""),107.92)</f>
        <v/>
      </c>
      <c r="F269" s="141">
        <f>IFERROR(__xludf.DUMMYFUNCTION("""COMPUTED_VALUE"""),107.97)</f>
        <v/>
      </c>
      <c r="G269" s="143">
        <f>IFERROR(__xludf.DUMMYFUNCTION("""COMPUTED_VALUE"""),863889)</f>
        <v/>
      </c>
      <c r="H269" s="27" t="n"/>
    </row>
    <row r="270" ht="17.25" customHeight="1" s="322">
      <c r="A270" s="27" t="n"/>
      <c r="B270" s="506">
        <f>IFERROR(__xludf.DUMMYFUNCTION("""COMPUTED_VALUE"""),46220.6666666666)</f>
        <v/>
      </c>
      <c r="C270" s="141">
        <f>IFERROR(__xludf.DUMMYFUNCTION("""COMPUTED_VALUE"""),108.27)</f>
        <v/>
      </c>
      <c r="D270" s="141">
        <f>IFERROR(__xludf.DUMMYFUNCTION("""COMPUTED_VALUE"""),108.37)</f>
        <v/>
      </c>
      <c r="E270" s="141">
        <f>IFERROR(__xludf.DUMMYFUNCTION("""COMPUTED_VALUE"""),108.17)</f>
        <v/>
      </c>
      <c r="F270" s="141">
        <f>IFERROR(__xludf.DUMMYFUNCTION("""COMPUTED_VALUE"""),108.27)</f>
        <v/>
      </c>
      <c r="G270" s="143">
        <f>IFERROR(__xludf.DUMMYFUNCTION("""COMPUTED_VALUE"""),1788968)</f>
        <v/>
      </c>
      <c r="H270" s="27" t="n"/>
    </row>
    <row r="271" ht="17.25" customHeight="1" s="322">
      <c r="A271" s="27" t="n"/>
      <c r="B271" s="506">
        <f>IFERROR(__xludf.DUMMYFUNCTION("""COMPUTED_VALUE"""),46223.6666666666)</f>
        <v/>
      </c>
      <c r="C271" s="141">
        <f>IFERROR(__xludf.DUMMYFUNCTION("""COMPUTED_VALUE"""),108.19)</f>
        <v/>
      </c>
      <c r="D271" s="141">
        <f>IFERROR(__xludf.DUMMYFUNCTION("""COMPUTED_VALUE"""),108.22)</f>
        <v/>
      </c>
      <c r="E271" s="141">
        <f>IFERROR(__xludf.DUMMYFUNCTION("""COMPUTED_VALUE"""),108.01)</f>
        <v/>
      </c>
      <c r="F271" s="141">
        <f>IFERROR(__xludf.DUMMYFUNCTION("""COMPUTED_VALUE"""),108.05)</f>
        <v/>
      </c>
      <c r="G271" s="143">
        <f>IFERROR(__xludf.DUMMYFUNCTION("""COMPUTED_VALUE"""),1010496)</f>
        <v/>
      </c>
      <c r="H271" s="27" t="n"/>
    </row>
    <row r="272" ht="17.25" customHeight="1" s="322">
      <c r="A272" s="27" t="n"/>
      <c r="B272" s="506">
        <f>IFERROR(__xludf.DUMMYFUNCTION("""COMPUTED_VALUE"""),46224.6666666666)</f>
        <v/>
      </c>
      <c r="C272" s="141">
        <f>IFERROR(__xludf.DUMMYFUNCTION("""COMPUTED_VALUE"""),108)</f>
        <v/>
      </c>
      <c r="D272" s="141">
        <f>IFERROR(__xludf.DUMMYFUNCTION("""COMPUTED_VALUE"""),108.01)</f>
        <v/>
      </c>
      <c r="E272" s="141">
        <f>IFERROR(__xludf.DUMMYFUNCTION("""COMPUTED_VALUE"""),107.84)</f>
        <v/>
      </c>
      <c r="F272" s="141">
        <f>IFERROR(__xludf.DUMMYFUNCTION("""COMPUTED_VALUE"""),107.88)</f>
        <v/>
      </c>
      <c r="G272" s="143">
        <f>IFERROR(__xludf.DUMMYFUNCTION("""COMPUTED_VALUE"""),1487896)</f>
        <v/>
      </c>
      <c r="H272" s="27" t="n"/>
    </row>
    <row r="273" ht="17.25" customHeight="1" s="322">
      <c r="A273" s="27" t="n"/>
      <c r="B273" s="506">
        <f>IFERROR(__xludf.DUMMYFUNCTION("""COMPUTED_VALUE"""),46225.6666666666)</f>
        <v/>
      </c>
      <c r="C273" s="141">
        <f>IFERROR(__xludf.DUMMYFUNCTION("""COMPUTED_VALUE"""),107.95)</f>
        <v/>
      </c>
      <c r="D273" s="141">
        <f>IFERROR(__xludf.DUMMYFUNCTION("""COMPUTED_VALUE"""),107.96)</f>
        <v/>
      </c>
      <c r="E273" s="141">
        <f>IFERROR(__xludf.DUMMYFUNCTION("""COMPUTED_VALUE"""),107.76)</f>
        <v/>
      </c>
      <c r="F273" s="141">
        <f>IFERROR(__xludf.DUMMYFUNCTION("""COMPUTED_VALUE"""),107.77)</f>
        <v/>
      </c>
      <c r="G273" s="143">
        <f>IFERROR(__xludf.DUMMYFUNCTION("""COMPUTED_VALUE"""),1743307)</f>
        <v/>
      </c>
      <c r="H273" s="27" t="n"/>
    </row>
    <row r="274" ht="17.25" customHeight="1" s="322">
      <c r="A274" s="27" t="n"/>
      <c r="B274" s="506">
        <f>IFERROR(__xludf.DUMMYFUNCTION("""COMPUTED_VALUE"""),46226.6666666666)</f>
        <v/>
      </c>
      <c r="C274" s="141">
        <f>IFERROR(__xludf.DUMMYFUNCTION("""COMPUTED_VALUE"""),107.54)</f>
        <v/>
      </c>
      <c r="D274" s="141">
        <f>IFERROR(__xludf.DUMMYFUNCTION("""COMPUTED_VALUE"""),107.65)</f>
        <v/>
      </c>
      <c r="E274" s="141">
        <f>IFERROR(__xludf.DUMMYFUNCTION("""COMPUTED_VALUE"""),107.48)</f>
        <v/>
      </c>
      <c r="F274" s="141">
        <f>IFERROR(__xludf.DUMMYFUNCTION("""COMPUTED_VALUE"""),107.49)</f>
        <v/>
      </c>
      <c r="G274" s="143">
        <f>IFERROR(__xludf.DUMMYFUNCTION("""COMPUTED_VALUE"""),2261380)</f>
        <v/>
      </c>
      <c r="H274" s="27" t="n"/>
    </row>
    <row r="275" ht="17.25" customHeight="1" s="322">
      <c r="A275" s="27" t="n"/>
      <c r="B275" s="506">
        <f>IFERROR(__xludf.DUMMYFUNCTION("""COMPUTED_VALUE"""),46227.6666666666)</f>
        <v/>
      </c>
      <c r="C275" s="141">
        <f>IFERROR(__xludf.DUMMYFUNCTION("""COMPUTED_VALUE"""),107.55)</f>
        <v/>
      </c>
      <c r="D275" s="141">
        <f>IFERROR(__xludf.DUMMYFUNCTION("""COMPUTED_VALUE"""),107.74)</f>
        <v/>
      </c>
      <c r="E275" s="141">
        <f>IFERROR(__xludf.DUMMYFUNCTION("""COMPUTED_VALUE"""),107.5)</f>
        <v/>
      </c>
      <c r="F275" s="141">
        <f>IFERROR(__xludf.DUMMYFUNCTION("""COMPUTED_VALUE"""),107.5)</f>
        <v/>
      </c>
      <c r="G275" s="143">
        <f>IFERROR(__xludf.DUMMYFUNCTION("""COMPUTED_VALUE"""),1220737)</f>
        <v/>
      </c>
      <c r="H275" s="27" t="n"/>
    </row>
    <row r="276" ht="17.25" customHeight="1" s="322">
      <c r="A276" s="27" t="n"/>
      <c r="B276" s="506">
        <f>IFERROR(__xludf.DUMMYFUNCTION("""COMPUTED_VALUE"""),46230.6666666666)</f>
        <v/>
      </c>
      <c r="C276" s="141">
        <f>IFERROR(__xludf.DUMMYFUNCTION("""COMPUTED_VALUE"""),107.57)</f>
        <v/>
      </c>
      <c r="D276" s="141">
        <f>IFERROR(__xludf.DUMMYFUNCTION("""COMPUTED_VALUE"""),107.63)</f>
        <v/>
      </c>
      <c r="E276" s="141">
        <f>IFERROR(__xludf.DUMMYFUNCTION("""COMPUTED_VALUE"""),107.39)</f>
        <v/>
      </c>
      <c r="F276" s="141">
        <f>IFERROR(__xludf.DUMMYFUNCTION("""COMPUTED_VALUE"""),107.39)</f>
        <v/>
      </c>
      <c r="G276" s="143">
        <f>IFERROR(__xludf.DUMMYFUNCTION("""COMPUTED_VALUE"""),1262376)</f>
        <v/>
      </c>
      <c r="H276" s="27" t="n"/>
    </row>
    <row r="277" ht="17.25" customHeight="1" s="322">
      <c r="A277" s="27" t="n"/>
      <c r="B277" s="506">
        <f>IFERROR(__xludf.DUMMYFUNCTION("""COMPUTED_VALUE"""),46231.6666666666)</f>
        <v/>
      </c>
      <c r="C277" s="141">
        <f>IFERROR(__xludf.DUMMYFUNCTION("""COMPUTED_VALUE"""),107.5)</f>
        <v/>
      </c>
      <c r="D277" s="141">
        <f>IFERROR(__xludf.DUMMYFUNCTION("""COMPUTED_VALUE"""),107.8)</f>
        <v/>
      </c>
      <c r="E277" s="141">
        <f>IFERROR(__xludf.DUMMYFUNCTION("""COMPUTED_VALUE"""),107.48)</f>
        <v/>
      </c>
      <c r="F277" s="141">
        <f>IFERROR(__xludf.DUMMYFUNCTION("""COMPUTED_VALUE"""),107.66)</f>
        <v/>
      </c>
      <c r="G277" s="143">
        <f>IFERROR(__xludf.DUMMYFUNCTION("""COMPUTED_VALUE"""),2765917)</f>
        <v/>
      </c>
      <c r="H277" s="27" t="n"/>
    </row>
    <row r="278" ht="17.25" customHeight="1" s="322">
      <c r="A278" s="27" t="n"/>
      <c r="B278" s="506">
        <f>IFERROR(__xludf.DUMMYFUNCTION("""COMPUTED_VALUE"""),46232.6666666666)</f>
        <v/>
      </c>
      <c r="C278" s="141">
        <f>IFERROR(__xludf.DUMMYFUNCTION("""COMPUTED_VALUE"""),107.64)</f>
        <v/>
      </c>
      <c r="D278" s="141">
        <f>IFERROR(__xludf.DUMMYFUNCTION("""COMPUTED_VALUE"""),108.01)</f>
        <v/>
      </c>
      <c r="E278" s="141">
        <f>IFERROR(__xludf.DUMMYFUNCTION("""COMPUTED_VALUE"""),107.48)</f>
        <v/>
      </c>
      <c r="F278" s="141">
        <f>IFERROR(__xludf.DUMMYFUNCTION("""COMPUTED_VALUE"""),107.77)</f>
        <v/>
      </c>
      <c r="G278" s="143">
        <f>IFERROR(__xludf.DUMMYFUNCTION("""COMPUTED_VALUE"""),1757989)</f>
        <v/>
      </c>
      <c r="H278" s="27" t="n"/>
    </row>
    <row r="279" ht="17.25" customHeight="1" s="322">
      <c r="A279" s="27" t="n"/>
      <c r="B279" s="506" t="n"/>
      <c r="C279" s="141" t="n"/>
      <c r="D279" s="141" t="n"/>
      <c r="E279" s="141" t="n"/>
      <c r="F279" s="141" t="n"/>
      <c r="G279" s="143" t="n"/>
      <c r="H279" s="27" t="n"/>
    </row>
    <row r="280" ht="17.25" customHeight="1" s="322">
      <c r="A280" s="27" t="n"/>
      <c r="B280" s="506" t="n"/>
      <c r="C280" s="141" t="n"/>
      <c r="D280" s="141" t="n"/>
      <c r="E280" s="141" t="n"/>
      <c r="F280" s="141" t="n"/>
      <c r="G280" s="143" t="n"/>
      <c r="H280" s="27" t="n"/>
    </row>
    <row r="281" ht="17.25" customHeight="1" s="322">
      <c r="A281" s="27" t="n"/>
      <c r="B281" s="506" t="n"/>
      <c r="C281" s="141" t="n"/>
      <c r="D281" s="141" t="n"/>
      <c r="E281" s="141" t="n"/>
      <c r="F281" s="141" t="n"/>
      <c r="G281" s="143" t="n"/>
      <c r="H281" s="27" t="n"/>
    </row>
    <row r="282" ht="17.25" customHeight="1" s="322">
      <c r="A282" s="27" t="n"/>
      <c r="B282" s="506" t="n"/>
      <c r="C282" s="141" t="n"/>
      <c r="D282" s="141" t="n"/>
      <c r="E282" s="141" t="n"/>
      <c r="F282" s="141" t="n"/>
      <c r="G282" s="143" t="n"/>
      <c r="H282" s="27" t="n"/>
    </row>
    <row r="283" ht="17.25" customHeight="1" s="322">
      <c r="A283" s="27" t="n"/>
      <c r="B283" s="506" t="n"/>
      <c r="C283" s="141" t="n"/>
      <c r="D283" s="141" t="n"/>
      <c r="E283" s="141" t="n"/>
      <c r="F283" s="141" t="n"/>
      <c r="G283" s="143" t="n"/>
      <c r="H283" s="27" t="n"/>
    </row>
    <row r="284" ht="17.25" customHeight="1" s="322">
      <c r="A284" s="27" t="n"/>
      <c r="B284" s="506" t="n"/>
      <c r="C284" s="141" t="n"/>
      <c r="D284" s="141" t="n"/>
      <c r="E284" s="141" t="n"/>
      <c r="F284" s="141" t="n"/>
      <c r="G284" s="143" t="n"/>
      <c r="H284" s="27" t="n"/>
    </row>
    <row r="285" ht="17.25" customHeight="1" s="322">
      <c r="A285" s="27" t="n"/>
      <c r="B285" s="506" t="n"/>
      <c r="C285" s="141" t="n"/>
      <c r="D285" s="141" t="n"/>
      <c r="E285" s="141" t="n"/>
      <c r="F285" s="141" t="n"/>
      <c r="G285" s="143" t="n"/>
      <c r="H285" s="27" t="n"/>
    </row>
    <row r="286" ht="17.25" customHeight="1" s="322">
      <c r="A286" s="27" t="n"/>
      <c r="B286" s="506" t="n"/>
      <c r="C286" s="141" t="n"/>
      <c r="D286" s="141" t="n"/>
      <c r="E286" s="141" t="n"/>
      <c r="F286" s="141" t="n"/>
      <c r="G286" s="143" t="n"/>
      <c r="H286" s="27" t="n"/>
    </row>
    <row r="287" ht="17.25" customHeight="1" s="322">
      <c r="A287" s="27" t="n"/>
      <c r="B287" s="506" t="n"/>
      <c r="C287" s="141" t="n"/>
      <c r="D287" s="141" t="n"/>
      <c r="E287" s="141" t="n"/>
      <c r="F287" s="141" t="n"/>
      <c r="G287" s="143" t="n"/>
      <c r="H287" s="27" t="n"/>
    </row>
    <row r="288" ht="17.25" customHeight="1" s="322">
      <c r="A288" s="27" t="n"/>
      <c r="B288" s="506" t="n"/>
      <c r="C288" s="141" t="n"/>
      <c r="D288" s="141" t="n"/>
      <c r="E288" s="141" t="n"/>
      <c r="F288" s="141" t="n"/>
      <c r="G288" s="143" t="n"/>
      <c r="H288" s="27" t="n"/>
    </row>
    <row r="289" ht="17.25" customHeight="1" s="322">
      <c r="A289" s="27" t="n"/>
      <c r="B289" s="506" t="n"/>
      <c r="C289" s="141" t="n"/>
      <c r="D289" s="141" t="n"/>
      <c r="E289" s="141" t="n"/>
      <c r="F289" s="141" t="n"/>
      <c r="G289" s="143" t="n"/>
      <c r="H289" s="27" t="n"/>
    </row>
    <row r="290" ht="17.25" customHeight="1" s="322">
      <c r="A290" s="27" t="n"/>
      <c r="B290" s="506" t="n"/>
      <c r="C290" s="141" t="n"/>
      <c r="D290" s="141" t="n"/>
      <c r="E290" s="141" t="n"/>
      <c r="F290" s="141" t="n"/>
      <c r="G290" s="143" t="n"/>
      <c r="H290" s="27" t="n"/>
    </row>
    <row r="291" ht="17.25" customHeight="1" s="322">
      <c r="A291" s="27" t="n"/>
      <c r="B291" s="506" t="n"/>
      <c r="C291" s="141" t="n"/>
      <c r="D291" s="141" t="n"/>
      <c r="E291" s="141" t="n"/>
      <c r="F291" s="141" t="n"/>
      <c r="G291" s="143" t="n"/>
      <c r="H291" s="27" t="n"/>
    </row>
    <row r="292" ht="17.25" customHeight="1" s="322">
      <c r="A292" s="27" t="n"/>
      <c r="B292" s="506" t="n"/>
      <c r="C292" s="141" t="n"/>
      <c r="D292" s="141" t="n"/>
      <c r="E292" s="141" t="n"/>
      <c r="F292" s="141" t="n"/>
      <c r="G292" s="143" t="n"/>
      <c r="H292" s="27" t="n"/>
    </row>
    <row r="293" ht="17.25" customHeight="1" s="322">
      <c r="A293" s="27" t="n"/>
      <c r="B293" s="506" t="n"/>
      <c r="C293" s="141" t="n"/>
      <c r="D293" s="141" t="n"/>
      <c r="E293" s="141" t="n"/>
      <c r="F293" s="141" t="n"/>
      <c r="G293" s="143" t="n"/>
      <c r="H293" s="27" t="n"/>
    </row>
    <row r="294" ht="17.25" customHeight="1" s="322">
      <c r="A294" s="27" t="n"/>
      <c r="B294" s="506" t="n"/>
      <c r="C294" s="141" t="n"/>
      <c r="D294" s="141" t="n"/>
      <c r="E294" s="141" t="n"/>
      <c r="F294" s="141" t="n"/>
      <c r="G294" s="143" t="n"/>
      <c r="H294" s="27" t="n"/>
    </row>
    <row r="295" ht="17.25" customHeight="1" s="322">
      <c r="A295" s="27" t="n"/>
      <c r="B295" s="506" t="n"/>
      <c r="C295" s="141" t="n"/>
      <c r="D295" s="141" t="n"/>
      <c r="E295" s="141" t="n"/>
      <c r="F295" s="141" t="n"/>
      <c r="G295" s="143" t="n"/>
      <c r="H295" s="27" t="n"/>
    </row>
    <row r="296" ht="17.25" customHeight="1" s="322">
      <c r="A296" s="27" t="n"/>
      <c r="B296" s="506" t="n"/>
      <c r="C296" s="141" t="n"/>
      <c r="D296" s="141" t="n"/>
      <c r="E296" s="141" t="n"/>
      <c r="F296" s="141" t="n"/>
      <c r="G296" s="143" t="n"/>
      <c r="H296" s="27" t="n"/>
    </row>
    <row r="297" ht="17.25" customHeight="1" s="322">
      <c r="A297" s="27" t="n"/>
      <c r="B297" s="506" t="n"/>
      <c r="C297" s="141" t="n"/>
      <c r="D297" s="141" t="n"/>
      <c r="E297" s="141" t="n"/>
      <c r="F297" s="141" t="n"/>
      <c r="G297" s="143" t="n"/>
      <c r="H297" s="27" t="n"/>
    </row>
    <row r="298" ht="17.25" customHeight="1" s="322">
      <c r="A298" s="27" t="n"/>
      <c r="B298" s="506" t="n"/>
      <c r="C298" s="141" t="n"/>
      <c r="D298" s="141" t="n"/>
      <c r="E298" s="141" t="n"/>
      <c r="F298" s="141" t="n"/>
      <c r="G298" s="143" t="n"/>
      <c r="H298" s="27" t="n"/>
    </row>
    <row r="299" ht="17.25" customHeight="1" s="322">
      <c r="A299" s="27" t="n"/>
      <c r="B299" s="506" t="n"/>
      <c r="C299" s="141" t="n"/>
      <c r="D299" s="141" t="n"/>
      <c r="E299" s="141" t="n"/>
      <c r="F299" s="141" t="n"/>
      <c r="G299" s="143" t="n"/>
      <c r="H299" s="27" t="n"/>
    </row>
    <row r="300" ht="17.25" customHeight="1" s="322">
      <c r="A300" s="27" t="n"/>
      <c r="B300" s="506" t="n"/>
      <c r="C300" s="141" t="n"/>
      <c r="D300" s="141" t="n"/>
      <c r="E300" s="141" t="n"/>
      <c r="F300" s="141" t="n"/>
      <c r="G300" s="143" t="n"/>
      <c r="H300" s="27" t="n"/>
    </row>
    <row r="301" ht="17.25" customHeight="1" s="322">
      <c r="A301" s="27" t="n"/>
      <c r="B301" s="506" t="n"/>
      <c r="C301" s="141" t="n"/>
      <c r="D301" s="141" t="n"/>
      <c r="E301" s="141" t="n"/>
      <c r="F301" s="141" t="n"/>
      <c r="G301" s="143" t="n"/>
      <c r="H301" s="27" t="n"/>
    </row>
    <row r="302" ht="17.25" customHeight="1" s="322">
      <c r="A302" s="27" t="n"/>
      <c r="B302" s="506" t="n"/>
      <c r="C302" s="141" t="n"/>
      <c r="D302" s="141" t="n"/>
      <c r="E302" s="141" t="n"/>
      <c r="F302" s="141" t="n"/>
      <c r="G302" s="143" t="n"/>
      <c r="H302" s="27" t="n"/>
    </row>
    <row r="303" ht="17.25" customHeight="1" s="322">
      <c r="A303" s="27" t="n"/>
      <c r="B303" s="506" t="n"/>
      <c r="C303" s="141" t="n"/>
      <c r="D303" s="141" t="n"/>
      <c r="E303" s="141" t="n"/>
      <c r="F303" s="141" t="n"/>
      <c r="G303" s="143" t="n"/>
      <c r="H303" s="27" t="n"/>
    </row>
    <row r="304" ht="17.25" customHeight="1" s="322">
      <c r="A304" s="27" t="n"/>
      <c r="B304" s="506" t="n"/>
      <c r="C304" s="141" t="n"/>
      <c r="D304" s="141" t="n"/>
      <c r="E304" s="141" t="n"/>
      <c r="F304" s="141" t="n"/>
      <c r="G304" s="143" t="n"/>
      <c r="H304" s="27" t="n"/>
    </row>
    <row r="305" ht="17.25" customHeight="1" s="322">
      <c r="A305" s="27" t="n"/>
      <c r="B305" s="506" t="n"/>
      <c r="C305" s="141" t="n"/>
      <c r="D305" s="141" t="n"/>
      <c r="E305" s="141" t="n"/>
      <c r="F305" s="141" t="n"/>
      <c r="G305" s="143" t="n"/>
      <c r="H305" s="27" t="n"/>
    </row>
    <row r="306" ht="17.25" customHeight="1" s="322">
      <c r="A306" s="27" t="n"/>
      <c r="B306" s="506" t="n"/>
      <c r="C306" s="141" t="n"/>
      <c r="D306" s="141" t="n"/>
      <c r="E306" s="141" t="n"/>
      <c r="F306" s="141" t="n"/>
      <c r="G306" s="143" t="n"/>
      <c r="H306" s="27" t="n"/>
    </row>
    <row r="307" ht="17.25" customHeight="1" s="322">
      <c r="A307" s="27" t="n"/>
      <c r="B307" s="506" t="n"/>
      <c r="C307" s="141" t="n"/>
      <c r="D307" s="141" t="n"/>
      <c r="E307" s="141" t="n"/>
      <c r="F307" s="141" t="n"/>
      <c r="G307" s="143" t="n"/>
      <c r="H307" s="27" t="n"/>
    </row>
    <row r="308" ht="17.25" customHeight="1" s="322">
      <c r="A308" s="27" t="n"/>
      <c r="B308" s="506" t="n"/>
      <c r="C308" s="141" t="n"/>
      <c r="D308" s="141" t="n"/>
      <c r="E308" s="141" t="n"/>
      <c r="F308" s="141" t="n"/>
      <c r="G308" s="143" t="n"/>
      <c r="H308" s="27" t="n"/>
    </row>
    <row r="309" ht="17.25" customHeight="1" s="322">
      <c r="A309" s="27" t="n"/>
      <c r="B309" s="506" t="n"/>
      <c r="C309" s="141" t="n"/>
      <c r="D309" s="141" t="n"/>
      <c r="E309" s="141" t="n"/>
      <c r="F309" s="141" t="n"/>
      <c r="G309" s="143" t="n"/>
      <c r="H309" s="27" t="n"/>
    </row>
    <row r="310" ht="17.25" customHeight="1" s="322">
      <c r="A310" s="27" t="n"/>
      <c r="B310" s="506" t="n"/>
      <c r="C310" s="141" t="n"/>
      <c r="D310" s="141" t="n"/>
      <c r="E310" s="141" t="n"/>
      <c r="F310" s="141" t="n"/>
      <c r="G310" s="143" t="n"/>
      <c r="H310" s="27" t="n"/>
    </row>
    <row r="311" ht="17.25" customHeight="1" s="322">
      <c r="A311" s="27" t="n"/>
      <c r="B311" s="506" t="n"/>
      <c r="C311" s="141" t="n"/>
      <c r="D311" s="141" t="n"/>
      <c r="E311" s="141" t="n"/>
      <c r="F311" s="141" t="n"/>
      <c r="G311" s="143" t="n"/>
      <c r="H311" s="27" t="n"/>
    </row>
    <row r="312" ht="17.25" customHeight="1" s="322">
      <c r="A312" s="27" t="n"/>
      <c r="B312" s="506" t="n"/>
      <c r="C312" s="141" t="n"/>
      <c r="D312" s="141" t="n"/>
      <c r="E312" s="141" t="n"/>
      <c r="F312" s="141" t="n"/>
      <c r="G312" s="143" t="n"/>
      <c r="H312" s="27" t="n"/>
    </row>
    <row r="313" ht="17.25" customHeight="1" s="322">
      <c r="A313" s="27" t="n"/>
      <c r="B313" s="506" t="n"/>
      <c r="C313" s="141" t="n"/>
      <c r="D313" s="141" t="n"/>
      <c r="E313" s="141" t="n"/>
      <c r="F313" s="141" t="n"/>
      <c r="G313" s="143" t="n"/>
      <c r="H313" s="27" t="n"/>
    </row>
    <row r="314" ht="17.25" customHeight="1" s="322">
      <c r="A314" s="27" t="n"/>
      <c r="B314" s="506" t="n"/>
      <c r="C314" s="141" t="n"/>
      <c r="D314" s="141" t="n"/>
      <c r="E314" s="141" t="n"/>
      <c r="F314" s="141" t="n"/>
      <c r="G314" s="143" t="n"/>
      <c r="H314" s="27" t="n"/>
    </row>
    <row r="315" ht="17.25" customHeight="1" s="322">
      <c r="A315" s="27" t="n"/>
      <c r="B315" s="506" t="n"/>
      <c r="C315" s="141" t="n"/>
      <c r="D315" s="141" t="n"/>
      <c r="E315" s="141" t="n"/>
      <c r="F315" s="141" t="n"/>
      <c r="G315" s="143" t="n"/>
      <c r="H315" s="27" t="n"/>
    </row>
    <row r="316" ht="17.25" customHeight="1" s="322">
      <c r="A316" s="27" t="n"/>
      <c r="B316" s="506" t="n"/>
      <c r="C316" s="141" t="n"/>
      <c r="D316" s="141" t="n"/>
      <c r="E316" s="141" t="n"/>
      <c r="F316" s="141" t="n"/>
      <c r="G316" s="143" t="n"/>
      <c r="H316" s="27" t="n"/>
    </row>
    <row r="317" ht="17.25" customHeight="1" s="322">
      <c r="A317" s="27" t="n"/>
      <c r="B317" s="506" t="n"/>
      <c r="C317" s="141" t="n"/>
      <c r="D317" s="141" t="n"/>
      <c r="E317" s="141" t="n"/>
      <c r="F317" s="141" t="n"/>
      <c r="G317" s="143" t="n"/>
      <c r="H317" s="27" t="n"/>
    </row>
    <row r="318" ht="17.25" customHeight="1" s="322">
      <c r="A318" s="27" t="n"/>
      <c r="B318" s="506" t="n"/>
      <c r="C318" s="141" t="n"/>
      <c r="D318" s="141" t="n"/>
      <c r="E318" s="141" t="n"/>
      <c r="F318" s="141" t="n"/>
      <c r="G318" s="143" t="n"/>
      <c r="H318" s="27" t="n"/>
    </row>
    <row r="319" ht="17.25" customHeight="1" s="322">
      <c r="A319" s="27" t="n"/>
      <c r="B319" s="506" t="n"/>
      <c r="C319" s="141" t="n"/>
      <c r="D319" s="141" t="n"/>
      <c r="E319" s="141" t="n"/>
      <c r="F319" s="141" t="n"/>
      <c r="G319" s="143" t="n"/>
      <c r="H319" s="27" t="n"/>
    </row>
    <row r="320" ht="17.25" customHeight="1" s="322">
      <c r="A320" s="27" t="n"/>
      <c r="B320" s="506" t="n"/>
      <c r="C320" s="141" t="n"/>
      <c r="D320" s="141" t="n"/>
      <c r="E320" s="141" t="n"/>
      <c r="F320" s="141" t="n"/>
      <c r="G320" s="143" t="n"/>
      <c r="H320" s="27" t="n"/>
    </row>
    <row r="321" ht="17.25" customHeight="1" s="322">
      <c r="A321" s="27" t="n"/>
      <c r="B321" s="506" t="n"/>
      <c r="C321" s="141" t="n"/>
      <c r="D321" s="141" t="n"/>
      <c r="E321" s="141" t="n"/>
      <c r="F321" s="141" t="n"/>
      <c r="G321" s="143" t="n"/>
      <c r="H321" s="27" t="n"/>
    </row>
    <row r="322" ht="17.25" customHeight="1" s="322">
      <c r="A322" s="27" t="n"/>
      <c r="B322" s="506" t="n"/>
      <c r="C322" s="141" t="n"/>
      <c r="D322" s="141" t="n"/>
      <c r="E322" s="141" t="n"/>
      <c r="F322" s="141" t="n"/>
      <c r="G322" s="143" t="n"/>
      <c r="H322" s="27" t="n"/>
    </row>
    <row r="323" ht="17.25" customHeight="1" s="322">
      <c r="A323" s="27" t="n"/>
      <c r="B323" s="506" t="n"/>
      <c r="C323" s="141" t="n"/>
      <c r="D323" s="141" t="n"/>
      <c r="E323" s="141" t="n"/>
      <c r="F323" s="141" t="n"/>
      <c r="G323" s="143" t="n"/>
      <c r="H323" s="27" t="n"/>
    </row>
    <row r="324" ht="17.25" customHeight="1" s="322">
      <c r="A324" s="27" t="n"/>
      <c r="B324" s="506" t="n"/>
      <c r="C324" s="141" t="n"/>
      <c r="D324" s="141" t="n"/>
      <c r="E324" s="141" t="n"/>
      <c r="F324" s="141" t="n"/>
      <c r="G324" s="143" t="n"/>
      <c r="H324" s="27" t="n"/>
    </row>
    <row r="325" ht="17.25" customHeight="1" s="322">
      <c r="A325" s="27" t="n"/>
      <c r="B325" s="506" t="n"/>
      <c r="C325" s="141" t="n"/>
      <c r="D325" s="141" t="n"/>
      <c r="E325" s="141" t="n"/>
      <c r="F325" s="141" t="n"/>
      <c r="G325" s="143" t="n"/>
      <c r="H325" s="27" t="n"/>
    </row>
    <row r="326" ht="17.25" customHeight="1" s="322">
      <c r="A326" s="27" t="n"/>
      <c r="B326" s="506" t="n"/>
      <c r="C326" s="141" t="n"/>
      <c r="D326" s="141" t="n"/>
      <c r="E326" s="141" t="n"/>
      <c r="F326" s="141" t="n"/>
      <c r="G326" s="143" t="n"/>
      <c r="H326" s="27" t="n"/>
    </row>
    <row r="327" ht="17.25" customHeight="1" s="322">
      <c r="A327" s="27" t="n"/>
      <c r="B327" s="506" t="n"/>
      <c r="C327" s="141" t="n"/>
      <c r="D327" s="141" t="n"/>
      <c r="E327" s="141" t="n"/>
      <c r="F327" s="141" t="n"/>
      <c r="G327" s="143" t="n"/>
      <c r="H327" s="27" t="n"/>
    </row>
    <row r="328" ht="17.25" customHeight="1" s="322">
      <c r="A328" s="27" t="n"/>
      <c r="B328" s="506" t="n"/>
      <c r="C328" s="141" t="n"/>
      <c r="D328" s="141" t="n"/>
      <c r="E328" s="141" t="n"/>
      <c r="F328" s="141" t="n"/>
      <c r="G328" s="143" t="n"/>
      <c r="H328" s="27" t="n"/>
    </row>
    <row r="329" ht="17.25" customHeight="1" s="322">
      <c r="A329" s="27" t="n"/>
      <c r="B329" s="506" t="n"/>
      <c r="C329" s="141" t="n"/>
      <c r="D329" s="141" t="n"/>
      <c r="E329" s="141" t="n"/>
      <c r="F329" s="141" t="n"/>
      <c r="G329" s="143" t="n"/>
      <c r="H329" s="27" t="n"/>
    </row>
    <row r="330" ht="17.25" customHeight="1" s="322">
      <c r="A330" s="27" t="n"/>
      <c r="B330" s="506" t="n"/>
      <c r="C330" s="141" t="n"/>
      <c r="D330" s="141" t="n"/>
      <c r="E330" s="141" t="n"/>
      <c r="F330" s="141" t="n"/>
      <c r="G330" s="143" t="n"/>
      <c r="H330" s="27" t="n"/>
    </row>
    <row r="331" ht="17.25" customHeight="1" s="322">
      <c r="A331" s="27" t="n"/>
      <c r="B331" s="506" t="n"/>
      <c r="C331" s="141" t="n"/>
      <c r="D331" s="141" t="n"/>
      <c r="E331" s="141" t="n"/>
      <c r="F331" s="141" t="n"/>
      <c r="G331" s="143" t="n"/>
      <c r="H331" s="27" t="n"/>
    </row>
    <row r="332" ht="17.25" customHeight="1" s="322">
      <c r="A332" s="27" t="n"/>
      <c r="B332" s="506" t="n"/>
      <c r="C332" s="141" t="n"/>
      <c r="D332" s="141" t="n"/>
      <c r="E332" s="141" t="n"/>
      <c r="F332" s="141" t="n"/>
      <c r="G332" s="143" t="n"/>
      <c r="H332" s="27" t="n"/>
    </row>
    <row r="333" ht="17.25" customHeight="1" s="322">
      <c r="A333" s="27" t="n"/>
      <c r="B333" s="506" t="n"/>
      <c r="C333" s="141" t="n"/>
      <c r="D333" s="141" t="n"/>
      <c r="E333" s="141" t="n"/>
      <c r="F333" s="141" t="n"/>
      <c r="G333" s="143" t="n"/>
      <c r="H333" s="27" t="n"/>
    </row>
    <row r="334" ht="17.25" customHeight="1" s="322">
      <c r="A334" s="27" t="n"/>
      <c r="B334" s="506" t="n"/>
      <c r="C334" s="141" t="n"/>
      <c r="D334" s="141" t="n"/>
      <c r="E334" s="141" t="n"/>
      <c r="F334" s="141" t="n"/>
      <c r="G334" s="143" t="n"/>
      <c r="H334" s="27" t="n"/>
    </row>
    <row r="335" ht="17.25" customHeight="1" s="322">
      <c r="A335" s="27" t="n"/>
      <c r="B335" s="506" t="n"/>
      <c r="C335" s="141" t="n"/>
      <c r="D335" s="141" t="n"/>
      <c r="E335" s="141" t="n"/>
      <c r="F335" s="141" t="n"/>
      <c r="G335" s="143" t="n"/>
      <c r="H335" s="27" t="n"/>
    </row>
    <row r="336" ht="17.25" customHeight="1" s="322">
      <c r="A336" s="27" t="n"/>
      <c r="B336" s="506" t="n"/>
      <c r="C336" s="141" t="n"/>
      <c r="D336" s="141" t="n"/>
      <c r="E336" s="141" t="n"/>
      <c r="F336" s="141" t="n"/>
      <c r="G336" s="143" t="n"/>
      <c r="H336" s="27" t="n"/>
    </row>
    <row r="337" ht="17.25" customHeight="1" s="322">
      <c r="A337" s="27" t="n"/>
      <c r="B337" s="506" t="n"/>
      <c r="C337" s="141" t="n"/>
      <c r="D337" s="141" t="n"/>
      <c r="E337" s="141" t="n"/>
      <c r="F337" s="141" t="n"/>
      <c r="G337" s="143" t="n"/>
      <c r="H337" s="27" t="n"/>
    </row>
    <row r="338" ht="17.25" customHeight="1" s="322">
      <c r="A338" s="27" t="n"/>
      <c r="B338" s="506" t="n"/>
      <c r="C338" s="141" t="n"/>
      <c r="D338" s="141" t="n"/>
      <c r="E338" s="141" t="n"/>
      <c r="F338" s="141" t="n"/>
      <c r="G338" s="143" t="n"/>
      <c r="H338" s="27" t="n"/>
    </row>
    <row r="339" ht="17.25" customHeight="1" s="322">
      <c r="A339" s="27" t="n"/>
      <c r="B339" s="506" t="n"/>
      <c r="C339" s="141" t="n"/>
      <c r="D339" s="141" t="n"/>
      <c r="E339" s="141" t="n"/>
      <c r="F339" s="141" t="n"/>
      <c r="G339" s="143" t="n"/>
      <c r="H339" s="27" t="n"/>
    </row>
    <row r="340" ht="17.25" customHeight="1" s="322">
      <c r="A340" s="27" t="n"/>
      <c r="B340" s="506" t="n"/>
      <c r="C340" s="141" t="n"/>
      <c r="D340" s="141" t="n"/>
      <c r="E340" s="141" t="n"/>
      <c r="F340" s="141" t="n"/>
      <c r="G340" s="143" t="n"/>
      <c r="H340" s="27" t="n"/>
    </row>
    <row r="341" ht="17.25" customHeight="1" s="322">
      <c r="A341" s="27" t="n"/>
      <c r="B341" s="506" t="n"/>
      <c r="C341" s="141" t="n"/>
      <c r="D341" s="141" t="n"/>
      <c r="E341" s="141" t="n"/>
      <c r="F341" s="141" t="n"/>
      <c r="G341" s="143" t="n"/>
      <c r="H341" s="27" t="n"/>
    </row>
    <row r="342" ht="17.25" customHeight="1" s="322">
      <c r="A342" s="27" t="n"/>
      <c r="B342" s="506" t="n"/>
      <c r="C342" s="141" t="n"/>
      <c r="D342" s="141" t="n"/>
      <c r="E342" s="141" t="n"/>
      <c r="F342" s="141" t="n"/>
      <c r="G342" s="143" t="n"/>
      <c r="H342" s="27" t="n"/>
    </row>
    <row r="343" ht="17.25" customHeight="1" s="322">
      <c r="A343" s="27" t="n"/>
      <c r="B343" s="506" t="n"/>
      <c r="C343" s="141" t="n"/>
      <c r="D343" s="141" t="n"/>
      <c r="E343" s="141" t="n"/>
      <c r="F343" s="141" t="n"/>
      <c r="G343" s="143" t="n"/>
      <c r="H343" s="27" t="n"/>
    </row>
    <row r="344" ht="17.25" customHeight="1" s="322">
      <c r="A344" s="27" t="n"/>
      <c r="B344" s="506" t="n"/>
      <c r="C344" s="141" t="n"/>
      <c r="D344" s="141" t="n"/>
      <c r="E344" s="141" t="n"/>
      <c r="F344" s="141" t="n"/>
      <c r="G344" s="143" t="n"/>
      <c r="H344" s="27" t="n"/>
    </row>
    <row r="345" ht="17.25" customHeight="1" s="322">
      <c r="A345" s="27" t="n"/>
      <c r="B345" s="506" t="n"/>
      <c r="C345" s="141" t="n"/>
      <c r="D345" s="141" t="n"/>
      <c r="E345" s="141" t="n"/>
      <c r="F345" s="141" t="n"/>
      <c r="G345" s="143" t="n"/>
      <c r="H345" s="27" t="n"/>
    </row>
    <row r="346" ht="17.25" customHeight="1" s="322">
      <c r="A346" s="27" t="n"/>
      <c r="B346" s="506" t="n"/>
      <c r="C346" s="141" t="n"/>
      <c r="D346" s="141" t="n"/>
      <c r="E346" s="141" t="n"/>
      <c r="F346" s="141" t="n"/>
      <c r="G346" s="143" t="n"/>
      <c r="H346" s="27" t="n"/>
    </row>
    <row r="347" ht="17.25" customHeight="1" s="322">
      <c r="A347" s="27" t="n"/>
      <c r="B347" s="506" t="n"/>
      <c r="C347" s="141" t="n"/>
      <c r="D347" s="141" t="n"/>
      <c r="E347" s="141" t="n"/>
      <c r="F347" s="141" t="n"/>
      <c r="G347" s="143" t="n"/>
      <c r="H347" s="27" t="n"/>
    </row>
    <row r="348" ht="17.25" customHeight="1" s="322">
      <c r="A348" s="27" t="n"/>
      <c r="B348" s="506" t="n"/>
      <c r="C348" s="141" t="n"/>
      <c r="D348" s="141" t="n"/>
      <c r="E348" s="141" t="n"/>
      <c r="F348" s="141" t="n"/>
      <c r="G348" s="143" t="n"/>
      <c r="H348" s="27" t="n"/>
    </row>
    <row r="349" ht="17.25" customHeight="1" s="322">
      <c r="A349" s="27" t="n"/>
      <c r="B349" s="506" t="n"/>
      <c r="C349" s="141" t="n"/>
      <c r="D349" s="141" t="n"/>
      <c r="E349" s="141" t="n"/>
      <c r="F349" s="141" t="n"/>
      <c r="G349" s="143" t="n"/>
      <c r="H349" s="27" t="n"/>
    </row>
    <row r="350" ht="17.25" customHeight="1" s="322">
      <c r="A350" s="27" t="n"/>
      <c r="B350" s="506" t="n"/>
      <c r="C350" s="141" t="n"/>
      <c r="D350" s="141" t="n"/>
      <c r="E350" s="141" t="n"/>
      <c r="F350" s="141" t="n"/>
      <c r="G350" s="143" t="n"/>
      <c r="H350" s="27" t="n"/>
    </row>
    <row r="351" ht="17.25" customHeight="1" s="322">
      <c r="A351" s="27" t="n"/>
      <c r="B351" s="506" t="n"/>
      <c r="C351" s="141" t="n"/>
      <c r="D351" s="141" t="n"/>
      <c r="E351" s="141" t="n"/>
      <c r="F351" s="141" t="n"/>
      <c r="G351" s="143" t="n"/>
      <c r="H351" s="27" t="n"/>
    </row>
    <row r="352" ht="17.25" customHeight="1" s="322">
      <c r="A352" s="27" t="n"/>
      <c r="B352" s="506" t="n"/>
      <c r="C352" s="141" t="n"/>
      <c r="D352" s="141" t="n"/>
      <c r="E352" s="141" t="n"/>
      <c r="F352" s="141" t="n"/>
      <c r="G352" s="143" t="n"/>
      <c r="H352" s="27" t="n"/>
    </row>
    <row r="353" ht="17.25" customHeight="1" s="322">
      <c r="A353" s="27" t="n"/>
      <c r="B353" s="506" t="n"/>
      <c r="C353" s="141" t="n"/>
      <c r="D353" s="141" t="n"/>
      <c r="E353" s="141" t="n"/>
      <c r="F353" s="141" t="n"/>
      <c r="G353" s="143" t="n"/>
      <c r="H353" s="27" t="n"/>
    </row>
    <row r="354" ht="17.25" customHeight="1" s="322">
      <c r="A354" s="27" t="n"/>
      <c r="B354" s="506" t="n"/>
      <c r="C354" s="141" t="n"/>
      <c r="D354" s="141" t="n"/>
      <c r="E354" s="141" t="n"/>
      <c r="F354" s="141" t="n"/>
      <c r="G354" s="143" t="n"/>
      <c r="H354" s="27" t="n"/>
    </row>
    <row r="355" ht="17.25" customHeight="1" s="322">
      <c r="A355" s="27" t="n"/>
      <c r="B355" s="506" t="n"/>
      <c r="C355" s="141" t="n"/>
      <c r="D355" s="141" t="n"/>
      <c r="E355" s="141" t="n"/>
      <c r="F355" s="141" t="n"/>
      <c r="G355" s="143" t="n"/>
      <c r="H355" s="27" t="n"/>
    </row>
    <row r="356" ht="17.25" customHeight="1" s="322">
      <c r="A356" s="27" t="n"/>
      <c r="B356" s="506" t="n"/>
      <c r="C356" s="141" t="n"/>
      <c r="D356" s="141" t="n"/>
      <c r="E356" s="141" t="n"/>
      <c r="F356" s="141" t="n"/>
      <c r="G356" s="143" t="n"/>
      <c r="H356" s="27" t="n"/>
    </row>
    <row r="357" ht="17.25" customHeight="1" s="322">
      <c r="A357" s="27" t="n"/>
      <c r="B357" s="506" t="n"/>
      <c r="C357" s="141" t="n"/>
      <c r="D357" s="141" t="n"/>
      <c r="E357" s="141" t="n"/>
      <c r="F357" s="141" t="n"/>
      <c r="G357" s="143" t="n"/>
      <c r="H357" s="27" t="n"/>
    </row>
    <row r="358" ht="17.25" customHeight="1" s="322">
      <c r="A358" s="27" t="n"/>
      <c r="B358" s="506" t="n"/>
      <c r="C358" s="141" t="n"/>
      <c r="D358" s="141" t="n"/>
      <c r="E358" s="141" t="n"/>
      <c r="F358" s="141" t="n"/>
      <c r="G358" s="143" t="n"/>
      <c r="H358" s="27" t="n"/>
    </row>
    <row r="359" ht="17.25" customHeight="1" s="322">
      <c r="A359" s="27" t="n"/>
      <c r="B359" s="506" t="n"/>
      <c r="C359" s="141" t="n"/>
      <c r="D359" s="141" t="n"/>
      <c r="E359" s="141" t="n"/>
      <c r="F359" s="141" t="n"/>
      <c r="G359" s="143" t="n"/>
      <c r="H359" s="27" t="n"/>
    </row>
    <row r="360" ht="17.25" customHeight="1" s="322">
      <c r="A360" s="27" t="n"/>
      <c r="B360" s="506" t="n"/>
      <c r="C360" s="141" t="n"/>
      <c r="D360" s="141" t="n"/>
      <c r="E360" s="141" t="n"/>
      <c r="F360" s="141" t="n"/>
      <c r="G360" s="143" t="n"/>
      <c r="H360" s="27" t="n"/>
    </row>
    <row r="361" ht="17.25" customHeight="1" s="322">
      <c r="A361" s="27" t="n"/>
      <c r="B361" s="506" t="n"/>
      <c r="C361" s="141" t="n"/>
      <c r="D361" s="141" t="n"/>
      <c r="E361" s="141" t="n"/>
      <c r="F361" s="141" t="n"/>
      <c r="G361" s="143" t="n"/>
      <c r="H361" s="27" t="n"/>
    </row>
    <row r="362" ht="17.25" customHeight="1" s="322">
      <c r="A362" s="27" t="n"/>
      <c r="B362" s="506" t="n"/>
      <c r="C362" s="141" t="n"/>
      <c r="D362" s="141" t="n"/>
      <c r="E362" s="141" t="n"/>
      <c r="F362" s="141" t="n"/>
      <c r="G362" s="143" t="n"/>
      <c r="H362" s="27" t="n"/>
    </row>
    <row r="363" ht="17.25" customHeight="1" s="322">
      <c r="A363" s="27" t="n"/>
      <c r="B363" s="506" t="n"/>
      <c r="C363" s="141" t="n"/>
      <c r="D363" s="141" t="n"/>
      <c r="E363" s="141" t="n"/>
      <c r="F363" s="141" t="n"/>
      <c r="G363" s="143" t="n"/>
      <c r="H363" s="27" t="n"/>
    </row>
    <row r="364" ht="17.25" customHeight="1" s="322">
      <c r="A364" s="27" t="n"/>
      <c r="B364" s="506" t="n"/>
      <c r="C364" s="141" t="n"/>
      <c r="D364" s="141" t="n"/>
      <c r="E364" s="141" t="n"/>
      <c r="F364" s="141" t="n"/>
      <c r="G364" s="143" t="n"/>
      <c r="H364" s="27" t="n"/>
    </row>
    <row r="365" ht="17.25" customHeight="1" s="322">
      <c r="A365" s="27" t="n"/>
      <c r="B365" s="506" t="n"/>
      <c r="C365" s="141" t="n"/>
      <c r="D365" s="141" t="n"/>
      <c r="E365" s="141" t="n"/>
      <c r="F365" s="141" t="n"/>
      <c r="G365" s="143" t="n"/>
      <c r="H365" s="27" t="n"/>
    </row>
    <row r="366" ht="17.25" customHeight="1" s="322">
      <c r="A366" s="27" t="n"/>
      <c r="B366" s="506" t="n"/>
      <c r="C366" s="141" t="n"/>
      <c r="D366" s="141" t="n"/>
      <c r="E366" s="141" t="n"/>
      <c r="F366" s="141" t="n"/>
      <c r="G366" s="143" t="n"/>
      <c r="H366" s="27" t="n"/>
    </row>
    <row r="367" ht="17.25" customHeight="1" s="322">
      <c r="A367" s="27" t="n"/>
      <c r="B367" s="506" t="n"/>
      <c r="C367" s="141" t="n"/>
      <c r="D367" s="141" t="n"/>
      <c r="E367" s="141" t="n"/>
      <c r="F367" s="141" t="n"/>
      <c r="G367" s="143" t="n"/>
      <c r="H367" s="27" t="n"/>
    </row>
    <row r="368" ht="17.25" customHeight="1" s="322">
      <c r="A368" s="27" t="n"/>
      <c r="B368" s="506" t="n"/>
      <c r="C368" s="141" t="n"/>
      <c r="D368" s="141" t="n"/>
      <c r="E368" s="141" t="n"/>
      <c r="F368" s="141" t="n"/>
      <c r="G368" s="143" t="n"/>
      <c r="H368" s="27" t="n"/>
    </row>
    <row r="369" ht="17.25" customHeight="1" s="322">
      <c r="A369" s="27" t="n"/>
      <c r="B369" s="506" t="n"/>
      <c r="C369" s="141" t="n"/>
      <c r="D369" s="141" t="n"/>
      <c r="E369" s="141" t="n"/>
      <c r="F369" s="141" t="n"/>
      <c r="G369" s="143" t="n"/>
      <c r="H369" s="27" t="n"/>
    </row>
    <row r="370" ht="17.25" customHeight="1" s="322">
      <c r="A370" s="27" t="n"/>
      <c r="B370" s="506" t="n"/>
      <c r="C370" s="141" t="n"/>
      <c r="D370" s="141" t="n"/>
      <c r="E370" s="141" t="n"/>
      <c r="F370" s="141" t="n"/>
      <c r="G370" s="143" t="n"/>
      <c r="H370" s="27" t="n"/>
    </row>
    <row r="371" ht="17.25" customHeight="1" s="322">
      <c r="A371" s="27" t="n"/>
      <c r="B371" s="506" t="n"/>
      <c r="C371" s="141" t="n"/>
      <c r="D371" s="141" t="n"/>
      <c r="E371" s="141" t="n"/>
      <c r="F371" s="141" t="n"/>
      <c r="G371" s="143" t="n"/>
      <c r="H371" s="27" t="n"/>
    </row>
    <row r="372" ht="17.25" customHeight="1" s="322">
      <c r="A372" s="27" t="n"/>
      <c r="B372" s="506" t="n"/>
      <c r="C372" s="141" t="n"/>
      <c r="D372" s="141" t="n"/>
      <c r="E372" s="141" t="n"/>
      <c r="F372" s="141" t="n"/>
      <c r="G372" s="143" t="n"/>
      <c r="H372" s="27" t="n"/>
    </row>
    <row r="373" ht="17.25" customHeight="1" s="322">
      <c r="A373" s="27" t="n"/>
      <c r="B373" s="506" t="n"/>
      <c r="C373" s="141" t="n"/>
      <c r="D373" s="141" t="n"/>
      <c r="E373" s="141" t="n"/>
      <c r="F373" s="141" t="n"/>
      <c r="G373" s="143" t="n"/>
      <c r="H373" s="27" t="n"/>
    </row>
    <row r="374" ht="17.25" customHeight="1" s="322">
      <c r="A374" s="27" t="n"/>
      <c r="B374" s="506" t="n"/>
      <c r="C374" s="141" t="n"/>
      <c r="D374" s="141" t="n"/>
      <c r="E374" s="141" t="n"/>
      <c r="F374" s="141" t="n"/>
      <c r="G374" s="143" t="n"/>
      <c r="H374" s="27" t="n"/>
    </row>
    <row r="375" ht="17.25" customHeight="1" s="322">
      <c r="A375" s="27" t="n"/>
      <c r="B375" s="506" t="n"/>
      <c r="C375" s="141" t="n"/>
      <c r="D375" s="141" t="n"/>
      <c r="E375" s="141" t="n"/>
      <c r="F375" s="141" t="n"/>
      <c r="G375" s="143" t="n"/>
      <c r="H375" s="27" t="n"/>
    </row>
    <row r="376" ht="17.25" customHeight="1" s="322">
      <c r="A376" s="27" t="n"/>
      <c r="B376" s="506" t="n"/>
      <c r="C376" s="141" t="n"/>
      <c r="D376" s="141" t="n"/>
      <c r="E376" s="141" t="n"/>
      <c r="F376" s="141" t="n"/>
      <c r="G376" s="143" t="n"/>
      <c r="H376" s="27" t="n"/>
    </row>
    <row r="377" ht="17.25" customHeight="1" s="322">
      <c r="A377" s="27" t="n"/>
      <c r="B377" s="506" t="n"/>
      <c r="C377" s="141" t="n"/>
      <c r="D377" s="141" t="n"/>
      <c r="E377" s="141" t="n"/>
      <c r="F377" s="141" t="n"/>
      <c r="G377" s="143" t="n"/>
      <c r="H377" s="27" t="n"/>
    </row>
    <row r="378" ht="17.25" customHeight="1" s="322">
      <c r="A378" s="27" t="n"/>
      <c r="B378" s="506" t="n"/>
      <c r="C378" s="141" t="n"/>
      <c r="D378" s="141" t="n"/>
      <c r="E378" s="141" t="n"/>
      <c r="F378" s="141" t="n"/>
      <c r="G378" s="143" t="n"/>
      <c r="H378" s="27" t="n"/>
    </row>
    <row r="379" ht="17.25" customHeight="1" s="322">
      <c r="A379" s="27" t="n"/>
      <c r="B379" s="506" t="n"/>
      <c r="C379" s="141" t="n"/>
      <c r="D379" s="141" t="n"/>
      <c r="E379" s="141" t="n"/>
      <c r="F379" s="141" t="n"/>
      <c r="G379" s="143" t="n"/>
      <c r="H379" s="27" t="n"/>
    </row>
    <row r="380" ht="17.25" customHeight="1" s="322">
      <c r="A380" s="27" t="n"/>
      <c r="B380" s="506" t="n"/>
      <c r="C380" s="141" t="n"/>
      <c r="D380" s="141" t="n"/>
      <c r="E380" s="141" t="n"/>
      <c r="F380" s="141" t="n"/>
      <c r="G380" s="143" t="n"/>
      <c r="H380" s="27" t="n"/>
    </row>
    <row r="381" ht="17.25" customHeight="1" s="322">
      <c r="A381" s="27" t="n"/>
      <c r="B381" s="506" t="n"/>
      <c r="C381" s="141" t="n"/>
      <c r="D381" s="141" t="n"/>
      <c r="E381" s="141" t="n"/>
      <c r="F381" s="141" t="n"/>
      <c r="G381" s="143" t="n"/>
      <c r="H381" s="27" t="n"/>
    </row>
    <row r="382" ht="17.25" customHeight="1" s="322">
      <c r="A382" s="27" t="n"/>
      <c r="B382" s="506" t="n"/>
      <c r="C382" s="141" t="n"/>
      <c r="D382" s="141" t="n"/>
      <c r="E382" s="141" t="n"/>
      <c r="F382" s="141" t="n"/>
      <c r="G382" s="143" t="n"/>
      <c r="H382" s="27" t="n"/>
    </row>
    <row r="383" ht="17.25" customHeight="1" s="322">
      <c r="A383" s="27" t="n"/>
      <c r="B383" s="506" t="n"/>
      <c r="C383" s="141" t="n"/>
      <c r="D383" s="141" t="n"/>
      <c r="E383" s="141" t="n"/>
      <c r="F383" s="141" t="n"/>
      <c r="G383" s="143" t="n"/>
      <c r="H383" s="27" t="n"/>
    </row>
    <row r="384" ht="17.25" customHeight="1" s="322">
      <c r="A384" s="27" t="n"/>
      <c r="B384" s="506" t="n"/>
      <c r="C384" s="141" t="n"/>
      <c r="D384" s="141" t="n"/>
      <c r="E384" s="141" t="n"/>
      <c r="F384" s="141" t="n"/>
      <c r="G384" s="143" t="n"/>
      <c r="H384" s="27" t="n"/>
    </row>
    <row r="385" ht="17.25" customHeight="1" s="322">
      <c r="A385" s="27" t="n"/>
      <c r="B385" s="506" t="n"/>
      <c r="C385" s="141" t="n"/>
      <c r="D385" s="141" t="n"/>
      <c r="E385" s="141" t="n"/>
      <c r="F385" s="141" t="n"/>
      <c r="G385" s="143" t="n"/>
      <c r="H385" s="27" t="n"/>
    </row>
    <row r="386" ht="17.25" customHeight="1" s="322">
      <c r="A386" s="27" t="n"/>
      <c r="B386" s="506" t="n"/>
      <c r="C386" s="141" t="n"/>
      <c r="D386" s="141" t="n"/>
      <c r="E386" s="141" t="n"/>
      <c r="F386" s="141" t="n"/>
      <c r="G386" s="143" t="n"/>
      <c r="H386" s="27" t="n"/>
    </row>
    <row r="387" ht="17.25" customHeight="1" s="322">
      <c r="A387" s="27" t="n"/>
      <c r="B387" s="506" t="n"/>
      <c r="C387" s="141" t="n"/>
      <c r="D387" s="141" t="n"/>
      <c r="E387" s="141" t="n"/>
      <c r="F387" s="141" t="n"/>
      <c r="G387" s="143" t="n"/>
      <c r="H387" s="27" t="n"/>
    </row>
    <row r="388" ht="17.25" customHeight="1" s="322">
      <c r="A388" s="27" t="n"/>
      <c r="B388" s="506" t="n"/>
      <c r="C388" s="141" t="n"/>
      <c r="D388" s="141" t="n"/>
      <c r="E388" s="141" t="n"/>
      <c r="F388" s="141" t="n"/>
      <c r="G388" s="143" t="n"/>
      <c r="H388" s="27" t="n"/>
    </row>
    <row r="389" ht="17.25" customHeight="1" s="322">
      <c r="A389" s="27" t="n"/>
      <c r="B389" s="506" t="n"/>
      <c r="C389" s="141" t="n"/>
      <c r="D389" s="141" t="n"/>
      <c r="E389" s="141" t="n"/>
      <c r="F389" s="141" t="n"/>
      <c r="G389" s="143" t="n"/>
      <c r="H389" s="27" t="n"/>
    </row>
    <row r="390" ht="17.25" customHeight="1" s="322">
      <c r="A390" s="27" t="n"/>
      <c r="B390" s="506" t="n"/>
      <c r="C390" s="141" t="n"/>
      <c r="D390" s="141" t="n"/>
      <c r="E390" s="141" t="n"/>
      <c r="F390" s="141" t="n"/>
      <c r="G390" s="143" t="n"/>
      <c r="H390" s="27" t="n"/>
    </row>
    <row r="391" ht="17.25" customHeight="1" s="322">
      <c r="A391" s="27" t="n"/>
      <c r="B391" s="506" t="n"/>
      <c r="C391" s="141" t="n"/>
      <c r="D391" s="141" t="n"/>
      <c r="E391" s="141" t="n"/>
      <c r="F391" s="141" t="n"/>
      <c r="G391" s="143" t="n"/>
      <c r="H391" s="27" t="n"/>
    </row>
    <row r="392" ht="17.25" customHeight="1" s="322">
      <c r="A392" s="27" t="n"/>
      <c r="B392" s="506" t="n"/>
      <c r="C392" s="141" t="n"/>
      <c r="D392" s="141" t="n"/>
      <c r="E392" s="141" t="n"/>
      <c r="F392" s="141" t="n"/>
      <c r="G392" s="143" t="n"/>
      <c r="H392" s="27" t="n"/>
    </row>
    <row r="393" ht="17.25" customHeight="1" s="322">
      <c r="A393" s="27" t="n"/>
      <c r="B393" s="506" t="n"/>
      <c r="C393" s="141" t="n"/>
      <c r="D393" s="141" t="n"/>
      <c r="E393" s="141" t="n"/>
      <c r="F393" s="141" t="n"/>
      <c r="G393" s="143" t="n"/>
      <c r="H393" s="27" t="n"/>
    </row>
    <row r="394" ht="17.25" customHeight="1" s="322">
      <c r="A394" s="27" t="n"/>
      <c r="B394" s="506" t="n"/>
      <c r="C394" s="141" t="n"/>
      <c r="D394" s="141" t="n"/>
      <c r="E394" s="141" t="n"/>
      <c r="F394" s="141" t="n"/>
      <c r="G394" s="143" t="n"/>
      <c r="H394" s="27" t="n"/>
    </row>
    <row r="395" ht="17.25" customHeight="1" s="322">
      <c r="A395" s="27" t="n"/>
      <c r="B395" s="506" t="n"/>
      <c r="C395" s="141" t="n"/>
      <c r="D395" s="141" t="n"/>
      <c r="E395" s="141" t="n"/>
      <c r="F395" s="141" t="n"/>
      <c r="G395" s="143" t="n"/>
      <c r="H395" s="27" t="n"/>
    </row>
    <row r="396" ht="17.25" customHeight="1" s="322">
      <c r="A396" s="27" t="n"/>
      <c r="B396" s="506" t="n"/>
      <c r="C396" s="141" t="n"/>
      <c r="D396" s="141" t="n"/>
      <c r="E396" s="141" t="n"/>
      <c r="F396" s="141" t="n"/>
      <c r="G396" s="143" t="n"/>
      <c r="H396" s="27" t="n"/>
    </row>
    <row r="397" ht="17.25" customHeight="1" s="322">
      <c r="A397" s="27" t="n"/>
      <c r="B397" s="506" t="n"/>
      <c r="C397" s="141" t="n"/>
      <c r="D397" s="141" t="n"/>
      <c r="E397" s="141" t="n"/>
      <c r="F397" s="141" t="n"/>
      <c r="G397" s="143" t="n"/>
      <c r="H397" s="27" t="n"/>
    </row>
    <row r="398" ht="17.25" customHeight="1" s="322">
      <c r="A398" s="27" t="n"/>
      <c r="B398" s="506" t="n"/>
      <c r="C398" s="141" t="n"/>
      <c r="D398" s="141" t="n"/>
      <c r="E398" s="141" t="n"/>
      <c r="F398" s="141" t="n"/>
      <c r="G398" s="143" t="n"/>
      <c r="H398" s="27" t="n"/>
    </row>
    <row r="399" ht="17.25" customHeight="1" s="322">
      <c r="A399" s="27" t="n"/>
      <c r="B399" s="506" t="n"/>
      <c r="C399" s="141" t="n"/>
      <c r="D399" s="141" t="n"/>
      <c r="E399" s="141" t="n"/>
      <c r="F399" s="141" t="n"/>
      <c r="G399" s="143" t="n"/>
      <c r="H399" s="27" t="n"/>
    </row>
    <row r="400" ht="17.25" customHeight="1" s="322">
      <c r="A400" s="27" t="n"/>
      <c r="B400" s="506" t="n"/>
      <c r="C400" s="141" t="n"/>
      <c r="D400" s="141" t="n"/>
      <c r="E400" s="141" t="n"/>
      <c r="F400" s="141" t="n"/>
      <c r="G400" s="143" t="n"/>
      <c r="H400" s="27" t="n"/>
    </row>
    <row r="401" ht="17.25" customHeight="1" s="322">
      <c r="A401" s="27" t="n"/>
      <c r="B401" s="506" t="n"/>
      <c r="C401" s="141" t="n"/>
      <c r="D401" s="141" t="n"/>
      <c r="E401" s="141" t="n"/>
      <c r="F401" s="141" t="n"/>
      <c r="G401" s="143" t="n"/>
      <c r="H401" s="27" t="n"/>
    </row>
    <row r="402" ht="17.25" customHeight="1" s="322">
      <c r="A402" s="27" t="n"/>
      <c r="B402" s="506" t="n"/>
      <c r="C402" s="141" t="n"/>
      <c r="D402" s="141" t="n"/>
      <c r="E402" s="141" t="n"/>
      <c r="F402" s="141" t="n"/>
      <c r="G402" s="143" t="n"/>
      <c r="H402" s="27" t="n"/>
    </row>
    <row r="403" ht="17.25" customHeight="1" s="322">
      <c r="A403" s="27" t="n"/>
      <c r="B403" s="506" t="n"/>
      <c r="C403" s="141" t="n"/>
      <c r="D403" s="141" t="n"/>
      <c r="E403" s="141" t="n"/>
      <c r="F403" s="141" t="n"/>
      <c r="G403" s="143" t="n"/>
      <c r="H403" s="27" t="n"/>
    </row>
    <row r="404" ht="17.25" customHeight="1" s="322">
      <c r="A404" s="27" t="n"/>
      <c r="B404" s="506" t="n"/>
      <c r="C404" s="141" t="n"/>
      <c r="D404" s="141" t="n"/>
      <c r="E404" s="141" t="n"/>
      <c r="F404" s="141" t="n"/>
      <c r="G404" s="143" t="n"/>
      <c r="H404" s="27" t="n"/>
    </row>
    <row r="405" ht="17.25" customHeight="1" s="322">
      <c r="A405" s="27" t="n"/>
      <c r="B405" s="506" t="n"/>
      <c r="C405" s="141" t="n"/>
      <c r="D405" s="141" t="n"/>
      <c r="E405" s="141" t="n"/>
      <c r="F405" s="141" t="n"/>
      <c r="G405" s="143" t="n"/>
      <c r="H405" s="27" t="n"/>
    </row>
    <row r="406" ht="17.25" customHeight="1" s="322">
      <c r="A406" s="27" t="n"/>
      <c r="B406" s="506" t="n"/>
      <c r="C406" s="141" t="n"/>
      <c r="D406" s="141" t="n"/>
      <c r="E406" s="141" t="n"/>
      <c r="F406" s="141" t="n"/>
      <c r="G406" s="143" t="n"/>
      <c r="H406" s="27" t="n"/>
    </row>
    <row r="407" ht="17.25" customHeight="1" s="322">
      <c r="A407" s="27" t="n"/>
      <c r="B407" s="506" t="n"/>
      <c r="C407" s="141" t="n"/>
      <c r="D407" s="141" t="n"/>
      <c r="E407" s="141" t="n"/>
      <c r="F407" s="141" t="n"/>
      <c r="G407" s="143" t="n"/>
      <c r="H407" s="27" t="n"/>
    </row>
    <row r="408" ht="17.25" customHeight="1" s="322">
      <c r="A408" s="27" t="n"/>
      <c r="B408" s="506" t="n"/>
      <c r="C408" s="141" t="n"/>
      <c r="D408" s="141" t="n"/>
      <c r="E408" s="141" t="n"/>
      <c r="F408" s="141" t="n"/>
      <c r="G408" s="143" t="n"/>
      <c r="H408" s="27" t="n"/>
    </row>
    <row r="409" ht="17.25" customHeight="1" s="322">
      <c r="A409" s="27" t="n"/>
      <c r="B409" s="506" t="n"/>
      <c r="C409" s="141" t="n"/>
      <c r="D409" s="141" t="n"/>
      <c r="E409" s="141" t="n"/>
      <c r="F409" s="141" t="n"/>
      <c r="G409" s="143" t="n"/>
      <c r="H409" s="27" t="n"/>
    </row>
    <row r="410" ht="17.25" customHeight="1" s="322">
      <c r="A410" s="27" t="n"/>
      <c r="B410" s="506" t="n"/>
      <c r="C410" s="141" t="n"/>
      <c r="D410" s="141" t="n"/>
      <c r="E410" s="141" t="n"/>
      <c r="F410" s="141" t="n"/>
      <c r="G410" s="143" t="n"/>
      <c r="H410" s="27" t="n"/>
    </row>
    <row r="411" ht="17.25" customHeight="1" s="322">
      <c r="A411" s="27" t="n"/>
      <c r="B411" s="506" t="n"/>
      <c r="C411" s="141" t="n"/>
      <c r="D411" s="141" t="n"/>
      <c r="E411" s="141" t="n"/>
      <c r="F411" s="141" t="n"/>
      <c r="G411" s="143" t="n"/>
      <c r="H411" s="27" t="n"/>
    </row>
    <row r="412" ht="17.25" customHeight="1" s="322">
      <c r="A412" s="27" t="n"/>
      <c r="B412" s="506" t="n"/>
      <c r="C412" s="141" t="n"/>
      <c r="D412" s="141" t="n"/>
      <c r="E412" s="141" t="n"/>
      <c r="F412" s="141" t="n"/>
      <c r="G412" s="143" t="n"/>
      <c r="H412" s="27" t="n"/>
    </row>
    <row r="413" ht="17.25" customHeight="1" s="322">
      <c r="A413" s="27" t="n"/>
      <c r="B413" s="506" t="n"/>
      <c r="C413" s="141" t="n"/>
      <c r="D413" s="141" t="n"/>
      <c r="E413" s="141" t="n"/>
      <c r="F413" s="141" t="n"/>
      <c r="G413" s="143" t="n"/>
      <c r="H413" s="27" t="n"/>
    </row>
    <row r="414" ht="17.25" customHeight="1" s="322">
      <c r="A414" s="27" t="n"/>
      <c r="B414" s="506" t="n"/>
      <c r="C414" s="141" t="n"/>
      <c r="D414" s="141" t="n"/>
      <c r="E414" s="141" t="n"/>
      <c r="F414" s="141" t="n"/>
      <c r="G414" s="143" t="n"/>
      <c r="H414" s="27" t="n"/>
    </row>
    <row r="415" ht="17.25" customHeight="1" s="322">
      <c r="A415" s="27" t="n"/>
      <c r="B415" s="506" t="n"/>
      <c r="C415" s="141" t="n"/>
      <c r="D415" s="141" t="n"/>
      <c r="E415" s="141" t="n"/>
      <c r="F415" s="141" t="n"/>
      <c r="G415" s="143" t="n"/>
      <c r="H415" s="27" t="n"/>
    </row>
    <row r="416" ht="17.25" customHeight="1" s="322">
      <c r="A416" s="27" t="n"/>
      <c r="B416" s="506" t="n"/>
      <c r="C416" s="141" t="n"/>
      <c r="D416" s="141" t="n"/>
      <c r="E416" s="141" t="n"/>
      <c r="F416" s="141" t="n"/>
      <c r="G416" s="143" t="n"/>
      <c r="H416" s="27" t="n"/>
    </row>
    <row r="417" ht="17.25" customHeight="1" s="322">
      <c r="A417" s="27" t="n"/>
      <c r="B417" s="506" t="n"/>
      <c r="C417" s="141" t="n"/>
      <c r="D417" s="141" t="n"/>
      <c r="E417" s="141" t="n"/>
      <c r="F417" s="141" t="n"/>
      <c r="G417" s="143" t="n"/>
      <c r="H417" s="27" t="n"/>
    </row>
    <row r="418" ht="17.25" customHeight="1" s="322">
      <c r="A418" s="27" t="n"/>
      <c r="B418" s="506" t="n"/>
      <c r="C418" s="141" t="n"/>
      <c r="D418" s="141" t="n"/>
      <c r="E418" s="141" t="n"/>
      <c r="F418" s="141" t="n"/>
      <c r="G418" s="143" t="n"/>
      <c r="H418" s="27" t="n"/>
    </row>
    <row r="419" ht="17.25" customHeight="1" s="322">
      <c r="A419" s="27" t="n"/>
      <c r="B419" s="506" t="n"/>
      <c r="C419" s="141" t="n"/>
      <c r="D419" s="141" t="n"/>
      <c r="E419" s="141" t="n"/>
      <c r="F419" s="141" t="n"/>
      <c r="G419" s="143" t="n"/>
      <c r="H419" s="27" t="n"/>
    </row>
    <row r="420" ht="17.25" customHeight="1" s="322">
      <c r="A420" s="27" t="n"/>
      <c r="B420" s="506" t="n"/>
      <c r="C420" s="141" t="n"/>
      <c r="D420" s="141" t="n"/>
      <c r="E420" s="141" t="n"/>
      <c r="F420" s="141" t="n"/>
      <c r="G420" s="143" t="n"/>
      <c r="H420" s="27" t="n"/>
    </row>
    <row r="421" ht="17.25" customHeight="1" s="322">
      <c r="A421" s="27" t="n"/>
      <c r="B421" s="506" t="n"/>
      <c r="C421" s="141" t="n"/>
      <c r="D421" s="141" t="n"/>
      <c r="E421" s="141" t="n"/>
      <c r="F421" s="141" t="n"/>
      <c r="G421" s="143" t="n"/>
      <c r="H421" s="27" t="n"/>
    </row>
    <row r="422" ht="17.25" customHeight="1" s="322">
      <c r="A422" s="27" t="n"/>
      <c r="B422" s="506" t="n"/>
      <c r="C422" s="141" t="n"/>
      <c r="D422" s="141" t="n"/>
      <c r="E422" s="141" t="n"/>
      <c r="F422" s="141" t="n"/>
      <c r="G422" s="143" t="n"/>
      <c r="H422" s="27" t="n"/>
    </row>
    <row r="423" ht="17.25" customHeight="1" s="322">
      <c r="A423" s="27" t="n"/>
      <c r="B423" s="506" t="n"/>
      <c r="C423" s="141" t="n"/>
      <c r="D423" s="141" t="n"/>
      <c r="E423" s="141" t="n"/>
      <c r="F423" s="141" t="n"/>
      <c r="G423" s="143" t="n"/>
      <c r="H423" s="27" t="n"/>
    </row>
    <row r="424" ht="17.25" customHeight="1" s="322">
      <c r="A424" s="27" t="n"/>
      <c r="B424" s="506" t="n"/>
      <c r="C424" s="141" t="n"/>
      <c r="D424" s="141" t="n"/>
      <c r="E424" s="141" t="n"/>
      <c r="F424" s="141" t="n"/>
      <c r="G424" s="143" t="n"/>
      <c r="H424" s="27" t="n"/>
    </row>
    <row r="425" ht="17.25" customHeight="1" s="322">
      <c r="A425" s="27" t="n"/>
      <c r="B425" s="506" t="n"/>
      <c r="C425" s="141" t="n"/>
      <c r="D425" s="141" t="n"/>
      <c r="E425" s="141" t="n"/>
      <c r="F425" s="141" t="n"/>
      <c r="G425" s="143" t="n"/>
      <c r="H425" s="27" t="n"/>
    </row>
    <row r="426" ht="17.25" customHeight="1" s="322">
      <c r="A426" s="27" t="n"/>
      <c r="B426" s="506" t="n"/>
      <c r="C426" s="141" t="n"/>
      <c r="D426" s="141" t="n"/>
      <c r="E426" s="141" t="n"/>
      <c r="F426" s="141" t="n"/>
      <c r="G426" s="143" t="n"/>
      <c r="H426" s="27" t="n"/>
    </row>
    <row r="427" ht="17.25" customHeight="1" s="322">
      <c r="A427" s="27" t="n"/>
      <c r="B427" s="506" t="n"/>
      <c r="C427" s="141" t="n"/>
      <c r="D427" s="141" t="n"/>
      <c r="E427" s="141" t="n"/>
      <c r="F427" s="141" t="n"/>
      <c r="G427" s="143" t="n"/>
      <c r="H427" s="27" t="n"/>
    </row>
    <row r="428" ht="17.25" customHeight="1" s="322">
      <c r="A428" s="27" t="n"/>
      <c r="B428" s="506" t="n"/>
      <c r="C428" s="141" t="n"/>
      <c r="D428" s="141" t="n"/>
      <c r="E428" s="141" t="n"/>
      <c r="F428" s="141" t="n"/>
      <c r="G428" s="143" t="n"/>
      <c r="H428" s="27" t="n"/>
    </row>
    <row r="429" ht="17.25" customHeight="1" s="322">
      <c r="A429" s="27" t="n"/>
      <c r="B429" s="506" t="n"/>
      <c r="C429" s="141" t="n"/>
      <c r="D429" s="141" t="n"/>
      <c r="E429" s="141" t="n"/>
      <c r="F429" s="141" t="n"/>
      <c r="G429" s="143" t="n"/>
      <c r="H429" s="27" t="n"/>
    </row>
    <row r="430" ht="17.25" customHeight="1" s="322">
      <c r="A430" s="27" t="n"/>
      <c r="B430" s="506" t="n"/>
      <c r="C430" s="141" t="n"/>
      <c r="D430" s="141" t="n"/>
      <c r="E430" s="141" t="n"/>
      <c r="F430" s="141" t="n"/>
      <c r="G430" s="143" t="n"/>
      <c r="H430" s="27" t="n"/>
    </row>
    <row r="431" ht="17.25" customHeight="1" s="322">
      <c r="A431" s="27" t="n"/>
      <c r="B431" s="506" t="n"/>
      <c r="C431" s="141" t="n"/>
      <c r="D431" s="141" t="n"/>
      <c r="E431" s="141" t="n"/>
      <c r="F431" s="141" t="n"/>
      <c r="G431" s="143" t="n"/>
      <c r="H431" s="27" t="n"/>
    </row>
    <row r="432" ht="17.25" customHeight="1" s="322">
      <c r="A432" s="27" t="n"/>
      <c r="B432" s="506" t="n"/>
      <c r="C432" s="141" t="n"/>
      <c r="D432" s="141" t="n"/>
      <c r="E432" s="141" t="n"/>
      <c r="F432" s="141" t="n"/>
      <c r="G432" s="143" t="n"/>
      <c r="H432" s="27" t="n"/>
    </row>
    <row r="433" ht="17.25" customHeight="1" s="322">
      <c r="A433" s="27" t="n"/>
      <c r="B433" s="506" t="n"/>
      <c r="C433" s="141" t="n"/>
      <c r="D433" s="141" t="n"/>
      <c r="E433" s="141" t="n"/>
      <c r="F433" s="141" t="n"/>
      <c r="G433" s="143" t="n"/>
      <c r="H433" s="27" t="n"/>
    </row>
    <row r="434" ht="17.25" customHeight="1" s="322">
      <c r="A434" s="27" t="n"/>
      <c r="B434" s="506" t="n"/>
      <c r="C434" s="141" t="n"/>
      <c r="D434" s="141" t="n"/>
      <c r="E434" s="141" t="n"/>
      <c r="F434" s="141" t="n"/>
      <c r="G434" s="143" t="n"/>
      <c r="H434" s="27" t="n"/>
    </row>
    <row r="435" ht="17.25" customHeight="1" s="322">
      <c r="A435" s="27" t="n"/>
      <c r="B435" s="506" t="n"/>
      <c r="C435" s="141" t="n"/>
      <c r="D435" s="141" t="n"/>
      <c r="E435" s="141" t="n"/>
      <c r="F435" s="141" t="n"/>
      <c r="G435" s="143" t="n"/>
      <c r="H435" s="27" t="n"/>
    </row>
    <row r="436" ht="17.25" customHeight="1" s="322">
      <c r="A436" s="27" t="n"/>
      <c r="B436" s="506" t="n"/>
      <c r="C436" s="141" t="n"/>
      <c r="D436" s="141" t="n"/>
      <c r="E436" s="141" t="n"/>
      <c r="F436" s="141" t="n"/>
      <c r="G436" s="143" t="n"/>
      <c r="H436" s="27" t="n"/>
    </row>
    <row r="437" ht="17.25" customHeight="1" s="322">
      <c r="A437" s="27" t="n"/>
      <c r="B437" s="506" t="n"/>
      <c r="C437" s="141" t="n"/>
      <c r="D437" s="141" t="n"/>
      <c r="E437" s="141" t="n"/>
      <c r="F437" s="141" t="n"/>
      <c r="G437" s="143" t="n"/>
      <c r="H437" s="27" t="n"/>
    </row>
    <row r="438" ht="17.25" customHeight="1" s="322">
      <c r="A438" s="27" t="n"/>
      <c r="B438" s="506" t="n"/>
      <c r="C438" s="141" t="n"/>
      <c r="D438" s="141" t="n"/>
      <c r="E438" s="141" t="n"/>
      <c r="F438" s="141" t="n"/>
      <c r="G438" s="143" t="n"/>
      <c r="H438" s="27" t="n"/>
    </row>
    <row r="439" ht="17.25" customHeight="1" s="322">
      <c r="A439" s="27" t="n"/>
      <c r="B439" s="506" t="n"/>
      <c r="C439" s="141" t="n"/>
      <c r="D439" s="141" t="n"/>
      <c r="E439" s="141" t="n"/>
      <c r="F439" s="141" t="n"/>
      <c r="G439" s="143" t="n"/>
      <c r="H439" s="27" t="n"/>
    </row>
    <row r="440" ht="17.25" customHeight="1" s="322">
      <c r="A440" s="27" t="n"/>
      <c r="B440" s="506" t="n"/>
      <c r="C440" s="141" t="n"/>
      <c r="D440" s="141" t="n"/>
      <c r="E440" s="141" t="n"/>
      <c r="F440" s="141" t="n"/>
      <c r="G440" s="143" t="n"/>
      <c r="H440" s="27" t="n"/>
    </row>
    <row r="441" ht="17.25" customHeight="1" s="322">
      <c r="A441" s="27" t="n"/>
      <c r="B441" s="506" t="n"/>
      <c r="C441" s="141" t="n"/>
      <c r="D441" s="141" t="n"/>
      <c r="E441" s="141" t="n"/>
      <c r="F441" s="141" t="n"/>
      <c r="G441" s="143" t="n"/>
      <c r="H441" s="27" t="n"/>
    </row>
    <row r="442" ht="17.25" customHeight="1" s="322">
      <c r="A442" s="27" t="n"/>
      <c r="B442" s="506" t="n"/>
      <c r="C442" s="141" t="n"/>
      <c r="D442" s="141" t="n"/>
      <c r="E442" s="141" t="n"/>
      <c r="F442" s="141" t="n"/>
      <c r="G442" s="143" t="n"/>
      <c r="H442" s="27" t="n"/>
    </row>
    <row r="443" ht="17.25" customHeight="1" s="322">
      <c r="A443" s="27" t="n"/>
      <c r="B443" s="506" t="n"/>
      <c r="C443" s="141" t="n"/>
      <c r="D443" s="141" t="n"/>
      <c r="E443" s="141" t="n"/>
      <c r="F443" s="141" t="n"/>
      <c r="G443" s="143" t="n"/>
      <c r="H443" s="27" t="n"/>
    </row>
    <row r="444" ht="17.25" customHeight="1" s="322">
      <c r="A444" s="27" t="n"/>
      <c r="B444" s="506" t="n"/>
      <c r="C444" s="141" t="n"/>
      <c r="D444" s="141" t="n"/>
      <c r="E444" s="141" t="n"/>
      <c r="F444" s="141" t="n"/>
      <c r="G444" s="143" t="n"/>
      <c r="H444" s="27" t="n"/>
    </row>
    <row r="445" ht="17.25" customHeight="1" s="322">
      <c r="A445" s="27" t="n"/>
      <c r="B445" s="506" t="n"/>
      <c r="C445" s="141" t="n"/>
      <c r="D445" s="141" t="n"/>
      <c r="E445" s="141" t="n"/>
      <c r="F445" s="141" t="n"/>
      <c r="G445" s="143" t="n"/>
      <c r="H445" s="27" t="n"/>
    </row>
    <row r="446" ht="17.25" customHeight="1" s="322">
      <c r="A446" s="27" t="n"/>
      <c r="B446" s="506" t="n"/>
      <c r="C446" s="141" t="n"/>
      <c r="D446" s="141" t="n"/>
      <c r="E446" s="141" t="n"/>
      <c r="F446" s="141" t="n"/>
      <c r="G446" s="143" t="n"/>
      <c r="H446" s="27" t="n"/>
    </row>
    <row r="447" ht="17.25" customHeight="1" s="322">
      <c r="A447" s="27" t="n"/>
      <c r="B447" s="506" t="n"/>
      <c r="C447" s="141" t="n"/>
      <c r="D447" s="141" t="n"/>
      <c r="E447" s="141" t="n"/>
      <c r="F447" s="141" t="n"/>
      <c r="G447" s="143" t="n"/>
      <c r="H447" s="27" t="n"/>
    </row>
    <row r="448" ht="17.25" customHeight="1" s="322">
      <c r="A448" s="27" t="n"/>
      <c r="B448" s="506" t="n"/>
      <c r="C448" s="141" t="n"/>
      <c r="D448" s="141" t="n"/>
      <c r="E448" s="141" t="n"/>
      <c r="F448" s="141" t="n"/>
      <c r="G448" s="143" t="n"/>
      <c r="H448" s="27" t="n"/>
    </row>
    <row r="449" ht="17.25" customHeight="1" s="322">
      <c r="A449" s="27" t="n"/>
      <c r="B449" s="506" t="n"/>
      <c r="C449" s="141" t="n"/>
      <c r="D449" s="141" t="n"/>
      <c r="E449" s="141" t="n"/>
      <c r="F449" s="141" t="n"/>
      <c r="G449" s="143" t="n"/>
      <c r="H449" s="27" t="n"/>
    </row>
    <row r="450" ht="17.25" customHeight="1" s="322">
      <c r="A450" s="27" t="n"/>
      <c r="B450" s="506" t="n"/>
      <c r="C450" s="141" t="n"/>
      <c r="D450" s="141" t="n"/>
      <c r="E450" s="141" t="n"/>
      <c r="F450" s="141" t="n"/>
      <c r="G450" s="143" t="n"/>
      <c r="H450" s="27" t="n"/>
    </row>
    <row r="451" ht="17.25" customHeight="1" s="322">
      <c r="A451" s="27" t="n"/>
      <c r="B451" s="506" t="n"/>
      <c r="C451" s="141" t="n"/>
      <c r="D451" s="141" t="n"/>
      <c r="E451" s="141" t="n"/>
      <c r="F451" s="141" t="n"/>
      <c r="G451" s="143" t="n"/>
      <c r="H451" s="27" t="n"/>
    </row>
    <row r="452" ht="17.25" customHeight="1" s="322">
      <c r="A452" s="27" t="n"/>
      <c r="B452" s="506" t="n"/>
      <c r="C452" s="141" t="n"/>
      <c r="D452" s="141" t="n"/>
      <c r="E452" s="141" t="n"/>
      <c r="F452" s="141" t="n"/>
      <c r="G452" s="143" t="n"/>
      <c r="H452" s="27" t="n"/>
    </row>
    <row r="453" ht="17.25" customHeight="1" s="322">
      <c r="A453" s="27" t="n"/>
      <c r="B453" s="506" t="n"/>
      <c r="C453" s="141" t="n"/>
      <c r="D453" s="141" t="n"/>
      <c r="E453" s="141" t="n"/>
      <c r="F453" s="141" t="n"/>
      <c r="G453" s="143" t="n"/>
      <c r="H453" s="27" t="n"/>
    </row>
    <row r="454" ht="17.25" customHeight="1" s="322">
      <c r="A454" s="27" t="n"/>
      <c r="B454" s="506" t="n"/>
      <c r="C454" s="141" t="n"/>
      <c r="D454" s="141" t="n"/>
      <c r="E454" s="141" t="n"/>
      <c r="F454" s="141" t="n"/>
      <c r="G454" s="143" t="n"/>
      <c r="H454" s="27" t="n"/>
    </row>
    <row r="455" ht="17.25" customHeight="1" s="322">
      <c r="A455" s="27" t="n"/>
      <c r="B455" s="506" t="n"/>
      <c r="C455" s="141" t="n"/>
      <c r="D455" s="141" t="n"/>
      <c r="E455" s="141" t="n"/>
      <c r="F455" s="141" t="n"/>
      <c r="G455" s="143" t="n"/>
      <c r="H455" s="27" t="n"/>
    </row>
    <row r="456" ht="17.25" customHeight="1" s="322">
      <c r="A456" s="27" t="n"/>
      <c r="B456" s="506" t="n"/>
      <c r="C456" s="141" t="n"/>
      <c r="D456" s="141" t="n"/>
      <c r="E456" s="141" t="n"/>
      <c r="F456" s="141" t="n"/>
      <c r="G456" s="143" t="n"/>
      <c r="H456" s="27" t="n"/>
    </row>
    <row r="457" ht="17.25" customHeight="1" s="322">
      <c r="A457" s="27" t="n"/>
      <c r="B457" s="506" t="n"/>
      <c r="C457" s="141" t="n"/>
      <c r="D457" s="141" t="n"/>
      <c r="E457" s="141" t="n"/>
      <c r="F457" s="141" t="n"/>
      <c r="G457" s="143" t="n"/>
      <c r="H457" s="27" t="n"/>
    </row>
    <row r="458" ht="17.25" customHeight="1" s="322">
      <c r="A458" s="27" t="n"/>
      <c r="B458" s="506" t="n"/>
      <c r="C458" s="141" t="n"/>
      <c r="D458" s="141" t="n"/>
      <c r="E458" s="141" t="n"/>
      <c r="F458" s="141" t="n"/>
      <c r="G458" s="143" t="n"/>
      <c r="H458" s="27" t="n"/>
    </row>
    <row r="459" ht="17.25" customHeight="1" s="322">
      <c r="A459" s="27" t="n"/>
      <c r="B459" s="506" t="n"/>
      <c r="C459" s="141" t="n"/>
      <c r="D459" s="141" t="n"/>
      <c r="E459" s="141" t="n"/>
      <c r="F459" s="141" t="n"/>
      <c r="G459" s="143" t="n"/>
      <c r="H459" s="27" t="n"/>
    </row>
    <row r="460" ht="17.25" customHeight="1" s="322">
      <c r="A460" s="27" t="n"/>
      <c r="B460" s="506" t="n"/>
      <c r="C460" s="141" t="n"/>
      <c r="D460" s="141" t="n"/>
      <c r="E460" s="141" t="n"/>
      <c r="F460" s="141" t="n"/>
      <c r="G460" s="143" t="n"/>
      <c r="H460" s="27" t="n"/>
    </row>
    <row r="461" ht="17.25" customHeight="1" s="322">
      <c r="A461" s="27" t="n"/>
      <c r="B461" s="506" t="n"/>
      <c r="C461" s="141" t="n"/>
      <c r="D461" s="141" t="n"/>
      <c r="E461" s="141" t="n"/>
      <c r="F461" s="141" t="n"/>
      <c r="G461" s="143" t="n"/>
      <c r="H461" s="27" t="n"/>
    </row>
    <row r="462" ht="17.25" customHeight="1" s="322">
      <c r="A462" s="27" t="n"/>
      <c r="B462" s="506" t="n"/>
      <c r="C462" s="141" t="n"/>
      <c r="D462" s="141" t="n"/>
      <c r="E462" s="141" t="n"/>
      <c r="F462" s="141" t="n"/>
      <c r="G462" s="143" t="n"/>
      <c r="H462" s="27" t="n"/>
    </row>
    <row r="463" ht="17.25" customHeight="1" s="322">
      <c r="A463" s="27" t="n"/>
      <c r="B463" s="506" t="n"/>
      <c r="C463" s="141" t="n"/>
      <c r="D463" s="141" t="n"/>
      <c r="E463" s="141" t="n"/>
      <c r="F463" s="141" t="n"/>
      <c r="G463" s="143" t="n"/>
      <c r="H463" s="27" t="n"/>
    </row>
    <row r="464" ht="17.25" customHeight="1" s="322">
      <c r="A464" s="27" t="n"/>
      <c r="B464" s="506" t="n"/>
      <c r="C464" s="141" t="n"/>
      <c r="D464" s="141" t="n"/>
      <c r="E464" s="141" t="n"/>
      <c r="F464" s="141" t="n"/>
      <c r="G464" s="143" t="n"/>
      <c r="H464" s="27" t="n"/>
    </row>
    <row r="465" ht="17.25" customHeight="1" s="322">
      <c r="A465" s="27" t="n"/>
      <c r="B465" s="506" t="n"/>
      <c r="C465" s="141" t="n"/>
      <c r="D465" s="141" t="n"/>
      <c r="E465" s="141" t="n"/>
      <c r="F465" s="141" t="n"/>
      <c r="G465" s="143" t="n"/>
      <c r="H465" s="27" t="n"/>
    </row>
    <row r="466" ht="17.25" customHeight="1" s="322">
      <c r="A466" s="27" t="n"/>
      <c r="B466" s="506" t="n"/>
      <c r="C466" s="141" t="n"/>
      <c r="D466" s="141" t="n"/>
      <c r="E466" s="141" t="n"/>
      <c r="F466" s="141" t="n"/>
      <c r="G466" s="143" t="n"/>
      <c r="H466" s="27" t="n"/>
    </row>
    <row r="467" ht="17.25" customHeight="1" s="322">
      <c r="A467" s="27" t="n"/>
      <c r="B467" s="506" t="n"/>
      <c r="C467" s="141" t="n"/>
      <c r="D467" s="141" t="n"/>
      <c r="E467" s="141" t="n"/>
      <c r="F467" s="141" t="n"/>
      <c r="G467" s="143" t="n"/>
      <c r="H467" s="27" t="n"/>
    </row>
    <row r="468" ht="17.25" customHeight="1" s="322">
      <c r="A468" s="27" t="n"/>
      <c r="B468" s="506" t="n"/>
      <c r="C468" s="141" t="n"/>
      <c r="D468" s="141" t="n"/>
      <c r="E468" s="141" t="n"/>
      <c r="F468" s="141" t="n"/>
      <c r="G468" s="143" t="n"/>
      <c r="H468" s="27" t="n"/>
    </row>
    <row r="469" ht="17.25" customHeight="1" s="322">
      <c r="A469" s="27" t="n"/>
      <c r="B469" s="506" t="n"/>
      <c r="C469" s="141" t="n"/>
      <c r="D469" s="141" t="n"/>
      <c r="E469" s="141" t="n"/>
      <c r="F469" s="141" t="n"/>
      <c r="G469" s="143" t="n"/>
      <c r="H469" s="27" t="n"/>
    </row>
    <row r="470" ht="17.25" customHeight="1" s="322">
      <c r="A470" s="27" t="n"/>
      <c r="B470" s="506" t="n"/>
      <c r="C470" s="141" t="n"/>
      <c r="D470" s="141" t="n"/>
      <c r="E470" s="141" t="n"/>
      <c r="F470" s="141" t="n"/>
      <c r="G470" s="143" t="n"/>
      <c r="H470" s="27" t="n"/>
    </row>
    <row r="471" ht="17.25" customHeight="1" s="322">
      <c r="A471" s="27" t="n"/>
      <c r="B471" s="506" t="n"/>
      <c r="C471" s="141" t="n"/>
      <c r="D471" s="141" t="n"/>
      <c r="E471" s="141" t="n"/>
      <c r="F471" s="141" t="n"/>
      <c r="G471" s="143" t="n"/>
      <c r="H471" s="27" t="n"/>
    </row>
    <row r="472" ht="17.25" customHeight="1" s="322">
      <c r="A472" s="27" t="n"/>
      <c r="B472" s="506" t="n"/>
      <c r="C472" s="141" t="n"/>
      <c r="D472" s="141" t="n"/>
      <c r="E472" s="141" t="n"/>
      <c r="F472" s="141" t="n"/>
      <c r="G472" s="143" t="n"/>
      <c r="H472" s="27" t="n"/>
    </row>
    <row r="473" ht="17.25" customHeight="1" s="322">
      <c r="A473" s="27" t="n"/>
      <c r="B473" s="506" t="n"/>
      <c r="C473" s="141" t="n"/>
      <c r="D473" s="141" t="n"/>
      <c r="E473" s="141" t="n"/>
      <c r="F473" s="141" t="n"/>
      <c r="G473" s="143" t="n"/>
      <c r="H473" s="27" t="n"/>
    </row>
    <row r="474" ht="17.25" customHeight="1" s="322">
      <c r="A474" s="27" t="n"/>
      <c r="B474" s="506" t="n"/>
      <c r="C474" s="141" t="n"/>
      <c r="D474" s="141" t="n"/>
      <c r="E474" s="141" t="n"/>
      <c r="F474" s="141" t="n"/>
      <c r="G474" s="143" t="n"/>
      <c r="H474" s="27" t="n"/>
    </row>
    <row r="475" ht="17.25" customHeight="1" s="322">
      <c r="A475" s="27" t="n"/>
      <c r="B475" s="506" t="n"/>
      <c r="C475" s="141" t="n"/>
      <c r="D475" s="141" t="n"/>
      <c r="E475" s="141" t="n"/>
      <c r="F475" s="141" t="n"/>
      <c r="G475" s="143" t="n"/>
      <c r="H475" s="27" t="n"/>
    </row>
    <row r="476" ht="17.25" customHeight="1" s="322">
      <c r="A476" s="27" t="n"/>
      <c r="B476" s="506" t="n"/>
      <c r="C476" s="141" t="n"/>
      <c r="D476" s="141" t="n"/>
      <c r="E476" s="141" t="n"/>
      <c r="F476" s="141" t="n"/>
      <c r="G476" s="143" t="n"/>
      <c r="H476" s="27" t="n"/>
    </row>
    <row r="477" ht="17.25" customHeight="1" s="322">
      <c r="A477" s="27" t="n"/>
      <c r="B477" s="506" t="n"/>
      <c r="C477" s="141" t="n"/>
      <c r="D477" s="141" t="n"/>
      <c r="E477" s="141" t="n"/>
      <c r="F477" s="141" t="n"/>
      <c r="G477" s="143" t="n"/>
      <c r="H477" s="27" t="n"/>
    </row>
    <row r="478" ht="17.25" customHeight="1" s="322">
      <c r="A478" s="27" t="n"/>
      <c r="B478" s="506" t="n"/>
      <c r="C478" s="141" t="n"/>
      <c r="D478" s="141" t="n"/>
      <c r="E478" s="141" t="n"/>
      <c r="F478" s="141" t="n"/>
      <c r="G478" s="143" t="n"/>
      <c r="H478" s="27" t="n"/>
    </row>
    <row r="479" ht="17.25" customHeight="1" s="322">
      <c r="A479" s="27" t="n"/>
      <c r="B479" s="506" t="n"/>
      <c r="C479" s="141" t="n"/>
      <c r="D479" s="141" t="n"/>
      <c r="E479" s="141" t="n"/>
      <c r="F479" s="141" t="n"/>
      <c r="G479" s="143" t="n"/>
      <c r="H479" s="27" t="n"/>
    </row>
    <row r="480" ht="17.25" customHeight="1" s="322">
      <c r="A480" s="27" t="n"/>
      <c r="B480" s="506" t="n"/>
      <c r="C480" s="141" t="n"/>
      <c r="D480" s="141" t="n"/>
      <c r="E480" s="141" t="n"/>
      <c r="F480" s="141" t="n"/>
      <c r="G480" s="143" t="n"/>
      <c r="H480" s="27" t="n"/>
    </row>
    <row r="481" ht="17.25" customHeight="1" s="322">
      <c r="A481" s="27" t="n"/>
      <c r="B481" s="506" t="n"/>
      <c r="C481" s="141" t="n"/>
      <c r="D481" s="141" t="n"/>
      <c r="E481" s="141" t="n"/>
      <c r="F481" s="141" t="n"/>
      <c r="G481" s="143" t="n"/>
      <c r="H481" s="27" t="n"/>
    </row>
    <row r="482" ht="17.25" customHeight="1" s="322">
      <c r="A482" s="27" t="n"/>
      <c r="B482" s="506" t="n"/>
      <c r="C482" s="141" t="n"/>
      <c r="D482" s="141" t="n"/>
      <c r="E482" s="141" t="n"/>
      <c r="F482" s="141" t="n"/>
      <c r="G482" s="143" t="n"/>
      <c r="H482" s="27" t="n"/>
    </row>
    <row r="483" ht="17.25" customHeight="1" s="322">
      <c r="A483" s="27" t="n"/>
      <c r="B483" s="506" t="n"/>
      <c r="C483" s="141" t="n"/>
      <c r="D483" s="141" t="n"/>
      <c r="E483" s="141" t="n"/>
      <c r="F483" s="141" t="n"/>
      <c r="G483" s="143" t="n"/>
      <c r="H483" s="27" t="n"/>
    </row>
    <row r="484" ht="17.25" customHeight="1" s="322">
      <c r="A484" s="27" t="n"/>
      <c r="B484" s="506" t="n"/>
      <c r="C484" s="141" t="n"/>
      <c r="D484" s="141" t="n"/>
      <c r="E484" s="141" t="n"/>
      <c r="F484" s="141" t="n"/>
      <c r="G484" s="143" t="n"/>
      <c r="H484" s="27" t="n"/>
    </row>
    <row r="485" ht="17.25" customHeight="1" s="322">
      <c r="A485" s="27" t="n"/>
      <c r="B485" s="506" t="n"/>
      <c r="C485" s="141" t="n"/>
      <c r="D485" s="141" t="n"/>
      <c r="E485" s="141" t="n"/>
      <c r="F485" s="141" t="n"/>
      <c r="G485" s="143" t="n"/>
      <c r="H485" s="27" t="n"/>
    </row>
    <row r="486" ht="17.25" customHeight="1" s="322">
      <c r="A486" s="27" t="n"/>
      <c r="B486" s="506" t="n"/>
      <c r="C486" s="141" t="n"/>
      <c r="D486" s="141" t="n"/>
      <c r="E486" s="141" t="n"/>
      <c r="F486" s="141" t="n"/>
      <c r="G486" s="143" t="n"/>
      <c r="H486" s="27" t="n"/>
    </row>
    <row r="487" ht="17.25" customHeight="1" s="322">
      <c r="A487" s="27" t="n"/>
      <c r="B487" s="506" t="n"/>
      <c r="C487" s="141" t="n"/>
      <c r="D487" s="141" t="n"/>
      <c r="E487" s="141" t="n"/>
      <c r="F487" s="141" t="n"/>
      <c r="G487" s="143" t="n"/>
      <c r="H487" s="27" t="n"/>
    </row>
    <row r="488" ht="17.25" customHeight="1" s="322">
      <c r="A488" s="27" t="n"/>
      <c r="B488" s="506" t="n"/>
      <c r="C488" s="141" t="n"/>
      <c r="D488" s="141" t="n"/>
      <c r="E488" s="141" t="n"/>
      <c r="F488" s="141" t="n"/>
      <c r="G488" s="143" t="n"/>
      <c r="H488" s="27" t="n"/>
    </row>
    <row r="489" ht="17.25" customHeight="1" s="322">
      <c r="A489" s="27" t="n"/>
      <c r="B489" s="506" t="n"/>
      <c r="C489" s="141" t="n"/>
      <c r="D489" s="141" t="n"/>
      <c r="E489" s="141" t="n"/>
      <c r="F489" s="141" t="n"/>
      <c r="G489" s="143" t="n"/>
      <c r="H489" s="27" t="n"/>
    </row>
    <row r="490" ht="17.25" customHeight="1" s="322">
      <c r="A490" s="27" t="n"/>
      <c r="B490" s="506" t="n"/>
      <c r="C490" s="141" t="n"/>
      <c r="D490" s="141" t="n"/>
      <c r="E490" s="141" t="n"/>
      <c r="F490" s="141" t="n"/>
      <c r="G490" s="143" t="n"/>
      <c r="H490" s="27" t="n"/>
    </row>
    <row r="491" ht="17.25" customHeight="1" s="322">
      <c r="A491" s="27" t="n"/>
      <c r="B491" s="506" t="n"/>
      <c r="C491" s="141" t="n"/>
      <c r="D491" s="141" t="n"/>
      <c r="E491" s="141" t="n"/>
      <c r="F491" s="141" t="n"/>
      <c r="G491" s="143" t="n"/>
      <c r="H491" s="27" t="n"/>
    </row>
    <row r="492" ht="17.25" customHeight="1" s="322">
      <c r="A492" s="27" t="n"/>
      <c r="B492" s="506" t="n"/>
      <c r="C492" s="141" t="n"/>
      <c r="D492" s="141" t="n"/>
      <c r="E492" s="141" t="n"/>
      <c r="F492" s="141" t="n"/>
      <c r="G492" s="143" t="n"/>
      <c r="H492" s="27" t="n"/>
    </row>
    <row r="493" ht="17.25" customHeight="1" s="322">
      <c r="A493" s="27" t="n"/>
      <c r="B493" s="506" t="n"/>
      <c r="C493" s="141" t="n"/>
      <c r="D493" s="141" t="n"/>
      <c r="E493" s="141" t="n"/>
      <c r="F493" s="141" t="n"/>
      <c r="G493" s="143" t="n"/>
      <c r="H493" s="27" t="n"/>
    </row>
    <row r="494" ht="17.25" customHeight="1" s="322">
      <c r="A494" s="27" t="n"/>
      <c r="B494" s="506" t="n"/>
      <c r="C494" s="141" t="n"/>
      <c r="D494" s="141" t="n"/>
      <c r="E494" s="141" t="n"/>
      <c r="F494" s="141" t="n"/>
      <c r="G494" s="143" t="n"/>
      <c r="H494" s="27" t="n"/>
    </row>
    <row r="495" ht="17.25" customHeight="1" s="322">
      <c r="A495" s="27" t="n"/>
      <c r="B495" s="506" t="n"/>
      <c r="C495" s="141" t="n"/>
      <c r="D495" s="141" t="n"/>
      <c r="E495" s="141" t="n"/>
      <c r="F495" s="141" t="n"/>
      <c r="G495" s="143" t="n"/>
      <c r="H495" s="27" t="n"/>
    </row>
    <row r="496" ht="17.25" customHeight="1" s="322">
      <c r="A496" s="27" t="n"/>
      <c r="B496" s="506" t="n"/>
      <c r="C496" s="141" t="n"/>
      <c r="D496" s="141" t="n"/>
      <c r="E496" s="141" t="n"/>
      <c r="F496" s="141" t="n"/>
      <c r="G496" s="143" t="n"/>
      <c r="H496" s="27" t="n"/>
    </row>
    <row r="497" ht="17.25" customHeight="1" s="322">
      <c r="A497" s="27" t="n"/>
      <c r="B497" s="506" t="n"/>
      <c r="C497" s="141" t="n"/>
      <c r="D497" s="141" t="n"/>
      <c r="E497" s="141" t="n"/>
      <c r="F497" s="141" t="n"/>
      <c r="G497" s="143" t="n"/>
      <c r="H497" s="27" t="n"/>
    </row>
    <row r="498" ht="17.25" customHeight="1" s="322">
      <c r="A498" s="27" t="n"/>
      <c r="B498" s="506" t="n"/>
      <c r="C498" s="141" t="n"/>
      <c r="D498" s="141" t="n"/>
      <c r="E498" s="141" t="n"/>
      <c r="F498" s="141" t="n"/>
      <c r="G498" s="143" t="n"/>
      <c r="H498" s="27" t="n"/>
    </row>
    <row r="499" ht="17.25" customHeight="1" s="322">
      <c r="A499" s="27" t="n"/>
      <c r="B499" s="506" t="n"/>
      <c r="C499" s="141" t="n"/>
      <c r="D499" s="141" t="n"/>
      <c r="E499" s="141" t="n"/>
      <c r="F499" s="141" t="n"/>
      <c r="G499" s="143" t="n"/>
      <c r="H499" s="27" t="n"/>
    </row>
    <row r="500" ht="17.25" customHeight="1" s="322">
      <c r="A500" s="27" t="n"/>
      <c r="B500" s="506" t="n"/>
      <c r="C500" s="141" t="n"/>
      <c r="D500" s="141" t="n"/>
      <c r="E500" s="141" t="n"/>
      <c r="F500" s="141" t="n"/>
      <c r="G500" s="143" t="n"/>
      <c r="H500" s="27" t="n"/>
    </row>
    <row r="501" ht="17.25" customHeight="1" s="322">
      <c r="A501" s="27" t="n"/>
      <c r="B501" s="506" t="n"/>
      <c r="C501" s="141" t="n"/>
      <c r="D501" s="141" t="n"/>
      <c r="E501" s="141" t="n"/>
      <c r="F501" s="141" t="n"/>
      <c r="G501" s="143" t="n"/>
      <c r="H501" s="27" t="n"/>
    </row>
    <row r="502" ht="17.25" customHeight="1" s="322">
      <c r="A502" s="27" t="n"/>
      <c r="B502" s="506" t="n"/>
      <c r="C502" s="141" t="n"/>
      <c r="D502" s="141" t="n"/>
      <c r="E502" s="141" t="n"/>
      <c r="F502" s="141" t="n"/>
      <c r="G502" s="143" t="n"/>
      <c r="H502" s="27" t="n"/>
    </row>
    <row r="503" ht="17.25" customHeight="1" s="322">
      <c r="A503" s="27" t="n"/>
      <c r="B503" s="506" t="n"/>
      <c r="C503" s="141" t="n"/>
      <c r="D503" s="141" t="n"/>
      <c r="E503" s="141" t="n"/>
      <c r="F503" s="141" t="n"/>
      <c r="G503" s="143" t="n"/>
      <c r="H503" s="27" t="n"/>
    </row>
    <row r="504" ht="17.25" customHeight="1" s="322">
      <c r="A504" s="27" t="n"/>
      <c r="B504" s="506" t="n"/>
      <c r="C504" s="141" t="n"/>
      <c r="D504" s="141" t="n"/>
      <c r="E504" s="141" t="n"/>
      <c r="F504" s="141" t="n"/>
      <c r="G504" s="143" t="n"/>
      <c r="H504" s="27" t="n"/>
    </row>
    <row r="505" ht="17.25" customHeight="1" s="322">
      <c r="A505" s="27" t="n"/>
      <c r="B505" s="506" t="n"/>
      <c r="C505" s="141" t="n"/>
      <c r="D505" s="141" t="n"/>
      <c r="E505" s="141" t="n"/>
      <c r="F505" s="141" t="n"/>
      <c r="G505" s="143" t="n"/>
      <c r="H505" s="27" t="n"/>
    </row>
    <row r="506" ht="17.25" customHeight="1" s="322">
      <c r="A506" s="27" t="n"/>
      <c r="B506" s="506" t="n"/>
      <c r="C506" s="141" t="n"/>
      <c r="D506" s="141" t="n"/>
      <c r="E506" s="141" t="n"/>
      <c r="F506" s="141" t="n"/>
      <c r="G506" s="143" t="n"/>
      <c r="H506" s="27" t="n"/>
    </row>
    <row r="507" ht="17.25" customHeight="1" s="322">
      <c r="A507" s="27" t="n"/>
      <c r="B507" s="506" t="n"/>
      <c r="C507" s="141" t="n"/>
      <c r="D507" s="141" t="n"/>
      <c r="E507" s="141" t="n"/>
      <c r="F507" s="141" t="n"/>
      <c r="G507" s="143" t="n"/>
      <c r="H507" s="27" t="n"/>
    </row>
    <row r="508" ht="17.25" customHeight="1" s="322">
      <c r="A508" s="27" t="n"/>
      <c r="B508" s="506" t="n"/>
      <c r="C508" s="141" t="n"/>
      <c r="D508" s="141" t="n"/>
      <c r="E508" s="141" t="n"/>
      <c r="F508" s="141" t="n"/>
      <c r="G508" s="143" t="n"/>
      <c r="H508" s="27" t="n"/>
    </row>
    <row r="509" ht="17.25" customHeight="1" s="322">
      <c r="A509" s="27" t="n"/>
      <c r="B509" s="506" t="n"/>
      <c r="C509" s="141" t="n"/>
      <c r="D509" s="141" t="n"/>
      <c r="E509" s="141" t="n"/>
      <c r="F509" s="141" t="n"/>
      <c r="G509" s="143" t="n"/>
      <c r="H509" s="27" t="n"/>
    </row>
    <row r="510" ht="17.25" customHeight="1" s="322">
      <c r="A510" s="27" t="n"/>
      <c r="B510" s="506" t="n"/>
      <c r="C510" s="141" t="n"/>
      <c r="D510" s="141" t="n"/>
      <c r="E510" s="141" t="n"/>
      <c r="F510" s="141" t="n"/>
      <c r="G510" s="143" t="n"/>
      <c r="H510" s="27" t="n"/>
    </row>
    <row r="511" ht="17.25" customHeight="1" s="322">
      <c r="A511" s="27" t="n"/>
      <c r="B511" s="506" t="n"/>
      <c r="C511" s="141" t="n"/>
      <c r="D511" s="141" t="n"/>
      <c r="E511" s="141" t="n"/>
      <c r="F511" s="141" t="n"/>
      <c r="G511" s="143" t="n"/>
      <c r="H511" s="27" t="n"/>
    </row>
    <row r="512" ht="17.25" customHeight="1" s="322">
      <c r="A512" s="27" t="n"/>
      <c r="B512" s="506" t="n"/>
      <c r="C512" s="141" t="n"/>
      <c r="D512" s="141" t="n"/>
      <c r="E512" s="141" t="n"/>
      <c r="F512" s="141" t="n"/>
      <c r="G512" s="143" t="n"/>
      <c r="H512" s="27" t="n"/>
    </row>
    <row r="513" ht="17.25" customHeight="1" s="322">
      <c r="A513" s="27" t="n"/>
      <c r="B513" s="506" t="n"/>
      <c r="C513" s="141" t="n"/>
      <c r="D513" s="141" t="n"/>
      <c r="E513" s="141" t="n"/>
      <c r="F513" s="141" t="n"/>
      <c r="G513" s="143" t="n"/>
      <c r="H513" s="27" t="n"/>
    </row>
    <row r="514" ht="17.25" customHeight="1" s="322">
      <c r="A514" s="27" t="n"/>
      <c r="B514" s="506" t="n"/>
      <c r="C514" s="141" t="n"/>
      <c r="D514" s="141" t="n"/>
      <c r="E514" s="141" t="n"/>
      <c r="F514" s="141" t="n"/>
      <c r="G514" s="143" t="n"/>
      <c r="H514" s="27" t="n"/>
    </row>
    <row r="515" ht="17.25" customHeight="1" s="322">
      <c r="A515" s="27" t="n"/>
      <c r="B515" s="506" t="n"/>
      <c r="C515" s="141" t="n"/>
      <c r="D515" s="141" t="n"/>
      <c r="E515" s="141" t="n"/>
      <c r="F515" s="141" t="n"/>
      <c r="G515" s="143" t="n"/>
      <c r="H515" s="27" t="n"/>
    </row>
    <row r="516" ht="17.25" customHeight="1" s="322">
      <c r="A516" s="27" t="n"/>
      <c r="B516" s="506" t="n"/>
      <c r="C516" s="141" t="n"/>
      <c r="D516" s="141" t="n"/>
      <c r="E516" s="141" t="n"/>
      <c r="F516" s="141" t="n"/>
      <c r="G516" s="143" t="n"/>
      <c r="H516" s="27" t="n"/>
    </row>
    <row r="517" ht="17.25" customHeight="1" s="322">
      <c r="A517" s="27" t="n"/>
      <c r="B517" s="506" t="n"/>
      <c r="C517" s="141" t="n"/>
      <c r="D517" s="141" t="n"/>
      <c r="E517" s="141" t="n"/>
      <c r="F517" s="141" t="n"/>
      <c r="G517" s="143" t="n"/>
      <c r="H517" s="27" t="n"/>
    </row>
    <row r="518" ht="17.25" customHeight="1" s="322">
      <c r="A518" s="27" t="n"/>
      <c r="B518" s="506" t="n"/>
      <c r="C518" s="141" t="n"/>
      <c r="D518" s="141" t="n"/>
      <c r="E518" s="141" t="n"/>
      <c r="F518" s="141" t="n"/>
      <c r="G518" s="143" t="n"/>
      <c r="H518" s="27" t="n"/>
    </row>
    <row r="519" ht="17.25" customHeight="1" s="322">
      <c r="A519" s="27" t="n"/>
      <c r="B519" s="506" t="n"/>
      <c r="C519" s="141" t="n"/>
      <c r="D519" s="141" t="n"/>
      <c r="E519" s="141" t="n"/>
      <c r="F519" s="141" t="n"/>
      <c r="G519" s="143" t="n"/>
      <c r="H519" s="27" t="n"/>
    </row>
    <row r="520" ht="17.25" customHeight="1" s="322">
      <c r="A520" s="27" t="n"/>
      <c r="B520" s="506" t="n"/>
      <c r="C520" s="141" t="n"/>
      <c r="D520" s="141" t="n"/>
      <c r="E520" s="141" t="n"/>
      <c r="F520" s="141" t="n"/>
      <c r="G520" s="143" t="n"/>
      <c r="H520" s="27" t="n"/>
    </row>
    <row r="521" ht="17.25" customHeight="1" s="322">
      <c r="A521" s="27" t="n"/>
      <c r="B521" s="506" t="n"/>
      <c r="C521" s="141" t="n"/>
      <c r="D521" s="141" t="n"/>
      <c r="E521" s="141" t="n"/>
      <c r="F521" s="141" t="n"/>
      <c r="G521" s="143" t="n"/>
      <c r="H521" s="27" t="n"/>
    </row>
    <row r="522" ht="17.25" customHeight="1" s="322">
      <c r="A522" s="27" t="n"/>
      <c r="B522" s="506" t="n"/>
      <c r="C522" s="141" t="n"/>
      <c r="D522" s="141" t="n"/>
      <c r="E522" s="141" t="n"/>
      <c r="F522" s="141" t="n"/>
      <c r="G522" s="143" t="n"/>
      <c r="H522" s="27" t="n"/>
    </row>
    <row r="523" ht="17.25" customHeight="1" s="322">
      <c r="A523" s="27" t="n"/>
      <c r="B523" s="506" t="n"/>
      <c r="C523" s="141" t="n"/>
      <c r="D523" s="141" t="n"/>
      <c r="E523" s="141" t="n"/>
      <c r="F523" s="141" t="n"/>
      <c r="G523" s="143" t="n"/>
      <c r="H523" s="27" t="n"/>
    </row>
    <row r="524" ht="17.25" customHeight="1" s="322">
      <c r="A524" s="27" t="n"/>
      <c r="B524" s="506" t="n"/>
      <c r="C524" s="141" t="n"/>
      <c r="D524" s="141" t="n"/>
      <c r="E524" s="141" t="n"/>
      <c r="F524" s="141" t="n"/>
      <c r="G524" s="143" t="n"/>
      <c r="H524" s="27" t="n"/>
    </row>
    <row r="525" ht="17.25" customHeight="1" s="322">
      <c r="A525" s="27" t="n"/>
      <c r="B525" s="506" t="n"/>
      <c r="C525" s="141" t="n"/>
      <c r="D525" s="141" t="n"/>
      <c r="E525" s="141" t="n"/>
      <c r="F525" s="141" t="n"/>
      <c r="G525" s="143" t="n"/>
      <c r="H525" s="27" t="n"/>
    </row>
    <row r="526" ht="17.25" customHeight="1" s="322">
      <c r="A526" s="27" t="n"/>
      <c r="B526" s="506" t="n"/>
      <c r="C526" s="141" t="n"/>
      <c r="D526" s="141" t="n"/>
      <c r="E526" s="141" t="n"/>
      <c r="F526" s="141" t="n"/>
      <c r="G526" s="143" t="n"/>
      <c r="H526" s="27" t="n"/>
    </row>
    <row r="527" ht="17.25" customHeight="1" s="322">
      <c r="A527" s="27" t="n"/>
      <c r="B527" s="506" t="n"/>
      <c r="C527" s="141" t="n"/>
      <c r="D527" s="141" t="n"/>
      <c r="E527" s="141" t="n"/>
      <c r="F527" s="141" t="n"/>
      <c r="G527" s="143" t="n"/>
      <c r="H527" s="27" t="n"/>
    </row>
    <row r="528" ht="17.25" customHeight="1" s="322">
      <c r="A528" s="27" t="n"/>
      <c r="B528" s="506" t="n"/>
      <c r="C528" s="141" t="n"/>
      <c r="D528" s="141" t="n"/>
      <c r="E528" s="141" t="n"/>
      <c r="F528" s="141" t="n"/>
      <c r="G528" s="143" t="n"/>
      <c r="H528" s="27" t="n"/>
    </row>
    <row r="529" ht="17.25" customHeight="1" s="322">
      <c r="A529" s="27" t="n"/>
      <c r="B529" s="506" t="n"/>
      <c r="C529" s="141" t="n"/>
      <c r="D529" s="141" t="n"/>
      <c r="E529" s="141" t="n"/>
      <c r="F529" s="141" t="n"/>
      <c r="G529" s="143" t="n"/>
      <c r="H529" s="27" t="n"/>
    </row>
    <row r="530" ht="17.25" customHeight="1" s="322">
      <c r="A530" s="27" t="n"/>
      <c r="B530" s="506" t="n"/>
      <c r="C530" s="141" t="n"/>
      <c r="D530" s="141" t="n"/>
      <c r="E530" s="141" t="n"/>
      <c r="F530" s="141" t="n"/>
      <c r="G530" s="143" t="n"/>
      <c r="H530" s="27" t="n"/>
    </row>
    <row r="531" ht="17.25" customHeight="1" s="322">
      <c r="A531" s="27" t="n"/>
      <c r="B531" s="506" t="n"/>
      <c r="C531" s="141" t="n"/>
      <c r="D531" s="141" t="n"/>
      <c r="E531" s="141" t="n"/>
      <c r="F531" s="141" t="n"/>
      <c r="G531" s="143" t="n"/>
      <c r="H531" s="27" t="n"/>
    </row>
    <row r="532" ht="17.25" customHeight="1" s="322">
      <c r="A532" s="27" t="n"/>
      <c r="B532" s="506" t="n"/>
      <c r="C532" s="141" t="n"/>
      <c r="D532" s="141" t="n"/>
      <c r="E532" s="141" t="n"/>
      <c r="F532" s="141" t="n"/>
      <c r="G532" s="143" t="n"/>
      <c r="H532" s="27" t="n"/>
    </row>
    <row r="533" ht="17.25" customHeight="1" s="322">
      <c r="A533" s="27" t="n"/>
      <c r="B533" s="506" t="n"/>
      <c r="C533" s="141" t="n"/>
      <c r="D533" s="141" t="n"/>
      <c r="E533" s="141" t="n"/>
      <c r="F533" s="141" t="n"/>
      <c r="G533" s="143" t="n"/>
      <c r="H533" s="27" t="n"/>
    </row>
    <row r="534" ht="17.25" customHeight="1" s="322">
      <c r="A534" s="27" t="n"/>
      <c r="B534" s="506" t="n"/>
      <c r="C534" s="141" t="n"/>
      <c r="D534" s="141" t="n"/>
      <c r="E534" s="141" t="n"/>
      <c r="F534" s="141" t="n"/>
      <c r="G534" s="143" t="n"/>
      <c r="H534" s="27" t="n"/>
    </row>
    <row r="535" ht="17.25" customHeight="1" s="322">
      <c r="A535" s="27" t="n"/>
      <c r="B535" s="506" t="n"/>
      <c r="C535" s="141" t="n"/>
      <c r="D535" s="141" t="n"/>
      <c r="E535" s="141" t="n"/>
      <c r="F535" s="141" t="n"/>
      <c r="G535" s="143" t="n"/>
      <c r="H535" s="27" t="n"/>
    </row>
    <row r="536" ht="17.25" customHeight="1" s="322">
      <c r="A536" s="27" t="n"/>
      <c r="B536" s="506" t="n"/>
      <c r="C536" s="141" t="n"/>
      <c r="D536" s="141" t="n"/>
      <c r="E536" s="141" t="n"/>
      <c r="F536" s="141" t="n"/>
      <c r="G536" s="143" t="n"/>
      <c r="H536" s="27" t="n"/>
    </row>
    <row r="537" ht="17.25" customHeight="1" s="322">
      <c r="A537" s="27" t="n"/>
      <c r="B537" s="506" t="n"/>
      <c r="C537" s="141" t="n"/>
      <c r="D537" s="141" t="n"/>
      <c r="E537" s="141" t="n"/>
      <c r="F537" s="141" t="n"/>
      <c r="G537" s="143" t="n"/>
      <c r="H537" s="27" t="n"/>
    </row>
    <row r="538" ht="17.25" customHeight="1" s="322">
      <c r="A538" s="27" t="n"/>
      <c r="B538" s="506" t="n"/>
      <c r="C538" s="141" t="n"/>
      <c r="D538" s="141" t="n"/>
      <c r="E538" s="141" t="n"/>
      <c r="F538" s="141" t="n"/>
      <c r="G538" s="143" t="n"/>
      <c r="H538" s="27" t="n"/>
    </row>
    <row r="539" ht="17.25" customHeight="1" s="322">
      <c r="A539" s="27" t="n"/>
      <c r="B539" s="506" t="n"/>
      <c r="C539" s="141" t="n"/>
      <c r="D539" s="141" t="n"/>
      <c r="E539" s="141" t="n"/>
      <c r="F539" s="141" t="n"/>
      <c r="G539" s="143" t="n"/>
      <c r="H539" s="27" t="n"/>
    </row>
    <row r="540" ht="17.25" customHeight="1" s="322">
      <c r="A540" s="27" t="n"/>
      <c r="B540" s="506" t="n"/>
      <c r="C540" s="141" t="n"/>
      <c r="D540" s="141" t="n"/>
      <c r="E540" s="141" t="n"/>
      <c r="F540" s="141" t="n"/>
      <c r="G540" s="143" t="n"/>
      <c r="H540" s="27" t="n"/>
    </row>
    <row r="541" ht="17.25" customHeight="1" s="322">
      <c r="A541" s="27" t="n"/>
      <c r="B541" s="506" t="n"/>
      <c r="C541" s="141" t="n"/>
      <c r="D541" s="141" t="n"/>
      <c r="E541" s="141" t="n"/>
      <c r="F541" s="141" t="n"/>
      <c r="G541" s="143" t="n"/>
      <c r="H541" s="27" t="n"/>
    </row>
    <row r="542" ht="17.25" customHeight="1" s="322">
      <c r="A542" s="27" t="n"/>
      <c r="B542" s="506" t="n"/>
      <c r="C542" s="141" t="n"/>
      <c r="D542" s="141" t="n"/>
      <c r="E542" s="141" t="n"/>
      <c r="F542" s="141" t="n"/>
      <c r="G542" s="143" t="n"/>
      <c r="H542" s="27" t="n"/>
    </row>
    <row r="543" ht="17.25" customHeight="1" s="322">
      <c r="A543" s="27" t="n"/>
      <c r="B543" s="506" t="n"/>
      <c r="C543" s="141" t="n"/>
      <c r="D543" s="141" t="n"/>
      <c r="E543" s="141" t="n"/>
      <c r="F543" s="141" t="n"/>
      <c r="G543" s="143" t="n"/>
      <c r="H543" s="27" t="n"/>
    </row>
    <row r="544" ht="17.25" customHeight="1" s="322">
      <c r="A544" s="27" t="n"/>
      <c r="B544" s="506" t="n"/>
      <c r="C544" s="141" t="n"/>
      <c r="D544" s="141" t="n"/>
      <c r="E544" s="141" t="n"/>
      <c r="F544" s="141" t="n"/>
      <c r="G544" s="143" t="n"/>
      <c r="H544" s="27" t="n"/>
    </row>
    <row r="545" ht="17.25" customHeight="1" s="322">
      <c r="A545" s="27" t="n"/>
      <c r="B545" s="506" t="n"/>
      <c r="C545" s="141" t="n"/>
      <c r="D545" s="141" t="n"/>
      <c r="E545" s="141" t="n"/>
      <c r="F545" s="141" t="n"/>
      <c r="G545" s="143" t="n"/>
      <c r="H545" s="27" t="n"/>
    </row>
    <row r="546" ht="17.25" customHeight="1" s="322">
      <c r="A546" s="27" t="n"/>
      <c r="B546" s="506" t="n"/>
      <c r="C546" s="141" t="n"/>
      <c r="D546" s="141" t="n"/>
      <c r="E546" s="141" t="n"/>
      <c r="F546" s="141" t="n"/>
      <c r="G546" s="143" t="n"/>
      <c r="H546" s="27" t="n"/>
    </row>
    <row r="547" ht="17.25" customHeight="1" s="322">
      <c r="A547" s="27" t="n"/>
      <c r="B547" s="506" t="n"/>
      <c r="C547" s="141" t="n"/>
      <c r="D547" s="141" t="n"/>
      <c r="E547" s="141" t="n"/>
      <c r="F547" s="141" t="n"/>
      <c r="G547" s="143" t="n"/>
      <c r="H547" s="27" t="n"/>
    </row>
    <row r="548" ht="17.25" customHeight="1" s="322">
      <c r="A548" s="27" t="n"/>
      <c r="B548" s="506" t="n"/>
      <c r="C548" s="141" t="n"/>
      <c r="D548" s="141" t="n"/>
      <c r="E548" s="141" t="n"/>
      <c r="F548" s="141" t="n"/>
      <c r="G548" s="143" t="n"/>
      <c r="H548" s="27" t="n"/>
    </row>
    <row r="549" ht="17.25" customHeight="1" s="322">
      <c r="A549" s="27" t="n"/>
      <c r="B549" s="506" t="n"/>
      <c r="C549" s="141" t="n"/>
      <c r="D549" s="141" t="n"/>
      <c r="E549" s="141" t="n"/>
      <c r="F549" s="141" t="n"/>
      <c r="G549" s="143" t="n"/>
      <c r="H549" s="27" t="n"/>
    </row>
    <row r="550" ht="17.25" customHeight="1" s="322">
      <c r="A550" s="27" t="n"/>
      <c r="B550" s="506" t="n"/>
      <c r="C550" s="141" t="n"/>
      <c r="D550" s="141" t="n"/>
      <c r="E550" s="141" t="n"/>
      <c r="F550" s="141" t="n"/>
      <c r="G550" s="143" t="n"/>
      <c r="H550" s="27" t="n"/>
    </row>
    <row r="551" ht="17.25" customHeight="1" s="322">
      <c r="A551" s="27" t="n"/>
      <c r="B551" s="506" t="n"/>
      <c r="C551" s="141" t="n"/>
      <c r="D551" s="141" t="n"/>
      <c r="E551" s="141" t="n"/>
      <c r="F551" s="141" t="n"/>
      <c r="G551" s="143" t="n"/>
      <c r="H551" s="27" t="n"/>
    </row>
    <row r="552" ht="17.25" customHeight="1" s="322">
      <c r="A552" s="27" t="n"/>
      <c r="B552" s="506" t="n"/>
      <c r="C552" s="141" t="n"/>
      <c r="D552" s="141" t="n"/>
      <c r="E552" s="141" t="n"/>
      <c r="F552" s="141" t="n"/>
      <c r="G552" s="143" t="n"/>
      <c r="H552" s="27" t="n"/>
    </row>
    <row r="553" ht="17.25" customHeight="1" s="322">
      <c r="A553" s="27" t="n"/>
      <c r="B553" s="506" t="n"/>
      <c r="C553" s="141" t="n"/>
      <c r="D553" s="141" t="n"/>
      <c r="E553" s="141" t="n"/>
      <c r="F553" s="141" t="n"/>
      <c r="G553" s="143" t="n"/>
      <c r="H553" s="27" t="n"/>
    </row>
    <row r="554" ht="17.25" customHeight="1" s="322">
      <c r="A554" s="27" t="n"/>
      <c r="B554" s="506" t="n"/>
      <c r="C554" s="141" t="n"/>
      <c r="D554" s="141" t="n"/>
      <c r="E554" s="141" t="n"/>
      <c r="F554" s="141" t="n"/>
      <c r="G554" s="143" t="n"/>
      <c r="H554" s="27" t="n"/>
    </row>
    <row r="555" ht="17.25" customHeight="1" s="322">
      <c r="A555" s="27" t="n"/>
      <c r="B555" s="506" t="n"/>
      <c r="C555" s="141" t="n"/>
      <c r="D555" s="141" t="n"/>
      <c r="E555" s="141" t="n"/>
      <c r="F555" s="141" t="n"/>
      <c r="G555" s="143" t="n"/>
      <c r="H555" s="27" t="n"/>
    </row>
    <row r="556" ht="17.25" customHeight="1" s="322">
      <c r="A556" s="27" t="n"/>
      <c r="B556" s="506" t="n"/>
      <c r="C556" s="141" t="n"/>
      <c r="D556" s="141" t="n"/>
      <c r="E556" s="141" t="n"/>
      <c r="F556" s="141" t="n"/>
      <c r="G556" s="143" t="n"/>
      <c r="H556" s="27" t="n"/>
    </row>
    <row r="557" ht="17.25" customHeight="1" s="322">
      <c r="A557" s="27" t="n"/>
      <c r="B557" s="506" t="n"/>
      <c r="C557" s="141" t="n"/>
      <c r="D557" s="141" t="n"/>
      <c r="E557" s="141" t="n"/>
      <c r="F557" s="141" t="n"/>
      <c r="G557" s="143" t="n"/>
      <c r="H557" s="27" t="n"/>
    </row>
    <row r="558" ht="17.25" customHeight="1" s="322">
      <c r="A558" s="27" t="n"/>
      <c r="B558" s="506" t="n"/>
      <c r="C558" s="141" t="n"/>
      <c r="D558" s="141" t="n"/>
      <c r="E558" s="141" t="n"/>
      <c r="F558" s="141" t="n"/>
      <c r="G558" s="143" t="n"/>
      <c r="H558" s="27" t="n"/>
    </row>
    <row r="559" ht="17.25" customHeight="1" s="322">
      <c r="A559" s="27" t="n"/>
      <c r="B559" s="506" t="n"/>
      <c r="C559" s="141" t="n"/>
      <c r="D559" s="141" t="n"/>
      <c r="E559" s="141" t="n"/>
      <c r="F559" s="141" t="n"/>
      <c r="G559" s="143" t="n"/>
      <c r="H559" s="27" t="n"/>
    </row>
    <row r="560" ht="17.25" customHeight="1" s="322">
      <c r="A560" s="27" t="n"/>
      <c r="B560" s="506" t="n"/>
      <c r="C560" s="141" t="n"/>
      <c r="D560" s="141" t="n"/>
      <c r="E560" s="141" t="n"/>
      <c r="F560" s="141" t="n"/>
      <c r="G560" s="143" t="n"/>
      <c r="H560" s="27" t="n"/>
    </row>
    <row r="561" ht="17.25" customHeight="1" s="322">
      <c r="A561" s="27" t="n"/>
      <c r="B561" s="506" t="n"/>
      <c r="C561" s="141" t="n"/>
      <c r="D561" s="141" t="n"/>
      <c r="E561" s="141" t="n"/>
      <c r="F561" s="141" t="n"/>
      <c r="G561" s="143" t="n"/>
      <c r="H561" s="27" t="n"/>
    </row>
    <row r="562" ht="17.25" customHeight="1" s="322">
      <c r="A562" s="27" t="n"/>
      <c r="B562" s="506" t="n"/>
      <c r="C562" s="141" t="n"/>
      <c r="D562" s="141" t="n"/>
      <c r="E562" s="141" t="n"/>
      <c r="F562" s="141" t="n"/>
      <c r="G562" s="143" t="n"/>
      <c r="H562" s="27" t="n"/>
    </row>
    <row r="563" ht="17.25" customHeight="1" s="322">
      <c r="A563" s="27" t="n"/>
      <c r="B563" s="506" t="n"/>
      <c r="C563" s="141" t="n"/>
      <c r="D563" s="141" t="n"/>
      <c r="E563" s="141" t="n"/>
      <c r="F563" s="141" t="n"/>
      <c r="G563" s="143" t="n"/>
      <c r="H563" s="27" t="n"/>
    </row>
    <row r="564" ht="17.25" customHeight="1" s="322">
      <c r="A564" s="27" t="n"/>
      <c r="B564" s="506" t="n"/>
      <c r="C564" s="141" t="n"/>
      <c r="D564" s="141" t="n"/>
      <c r="E564" s="141" t="n"/>
      <c r="F564" s="141" t="n"/>
      <c r="G564" s="143" t="n"/>
      <c r="H564" s="27" t="n"/>
    </row>
    <row r="565" ht="17.25" customHeight="1" s="322">
      <c r="A565" s="27" t="n"/>
      <c r="B565" s="506" t="n"/>
      <c r="C565" s="141" t="n"/>
      <c r="D565" s="141" t="n"/>
      <c r="E565" s="141" t="n"/>
      <c r="F565" s="141" t="n"/>
      <c r="G565" s="143" t="n"/>
      <c r="H565" s="27" t="n"/>
    </row>
    <row r="566" ht="17.25" customHeight="1" s="322">
      <c r="A566" s="27" t="n"/>
      <c r="B566" s="506" t="n"/>
      <c r="C566" s="141" t="n"/>
      <c r="D566" s="141" t="n"/>
      <c r="E566" s="141" t="n"/>
      <c r="F566" s="141" t="n"/>
      <c r="G566" s="143" t="n"/>
      <c r="H566" s="27" t="n"/>
    </row>
    <row r="567" ht="17.25" customHeight="1" s="322">
      <c r="A567" s="27" t="n"/>
      <c r="B567" s="506" t="n"/>
      <c r="C567" s="141" t="n"/>
      <c r="D567" s="141" t="n"/>
      <c r="E567" s="141" t="n"/>
      <c r="F567" s="141" t="n"/>
      <c r="G567" s="143" t="n"/>
      <c r="H567" s="27" t="n"/>
    </row>
    <row r="568" ht="17.25" customHeight="1" s="322">
      <c r="A568" s="27" t="n"/>
      <c r="B568" s="506" t="n"/>
      <c r="C568" s="141" t="n"/>
      <c r="D568" s="141" t="n"/>
      <c r="E568" s="141" t="n"/>
      <c r="F568" s="141" t="n"/>
      <c r="G568" s="143" t="n"/>
      <c r="H568" s="27" t="n"/>
    </row>
    <row r="569" ht="17.25" customHeight="1" s="322">
      <c r="A569" s="27" t="n"/>
      <c r="B569" s="506" t="n"/>
      <c r="C569" s="141" t="n"/>
      <c r="D569" s="141" t="n"/>
      <c r="E569" s="141" t="n"/>
      <c r="F569" s="141" t="n"/>
      <c r="G569" s="143" t="n"/>
      <c r="H569" s="27" t="n"/>
    </row>
    <row r="570" ht="17.25" customHeight="1" s="322">
      <c r="A570" s="27" t="n"/>
      <c r="B570" s="506" t="n"/>
      <c r="C570" s="141" t="n"/>
      <c r="D570" s="141" t="n"/>
      <c r="E570" s="141" t="n"/>
      <c r="F570" s="141" t="n"/>
      <c r="G570" s="143" t="n"/>
      <c r="H570" s="27" t="n"/>
    </row>
    <row r="571" ht="17.25" customHeight="1" s="322">
      <c r="A571" s="27" t="n"/>
      <c r="B571" s="506" t="n"/>
      <c r="C571" s="141" t="n"/>
      <c r="D571" s="141" t="n"/>
      <c r="E571" s="141" t="n"/>
      <c r="F571" s="141" t="n"/>
      <c r="G571" s="143" t="n"/>
      <c r="H571" s="27" t="n"/>
    </row>
    <row r="572" ht="17.25" customHeight="1" s="322">
      <c r="A572" s="27" t="n"/>
      <c r="B572" s="506" t="n"/>
      <c r="C572" s="141" t="n"/>
      <c r="D572" s="141" t="n"/>
      <c r="E572" s="141" t="n"/>
      <c r="F572" s="141" t="n"/>
      <c r="G572" s="143" t="n"/>
      <c r="H572" s="27" t="n"/>
    </row>
    <row r="573" ht="17.25" customHeight="1" s="322">
      <c r="A573" s="27" t="n"/>
      <c r="B573" s="506" t="n"/>
      <c r="C573" s="141" t="n"/>
      <c r="D573" s="141" t="n"/>
      <c r="E573" s="141" t="n"/>
      <c r="F573" s="141" t="n"/>
      <c r="G573" s="143" t="n"/>
      <c r="H573" s="27" t="n"/>
    </row>
    <row r="574" ht="17.25" customHeight="1" s="322">
      <c r="A574" s="27" t="n"/>
      <c r="B574" s="506" t="n"/>
      <c r="C574" s="141" t="n"/>
      <c r="D574" s="141" t="n"/>
      <c r="E574" s="141" t="n"/>
      <c r="F574" s="141" t="n"/>
      <c r="G574" s="143" t="n"/>
      <c r="H574" s="27" t="n"/>
    </row>
    <row r="575" ht="17.25" customHeight="1" s="322">
      <c r="A575" s="27" t="n"/>
      <c r="B575" s="506" t="n"/>
      <c r="C575" s="141" t="n"/>
      <c r="D575" s="141" t="n"/>
      <c r="E575" s="141" t="n"/>
      <c r="F575" s="141" t="n"/>
      <c r="G575" s="143" t="n"/>
      <c r="H575" s="27" t="n"/>
    </row>
    <row r="576" ht="17.25" customHeight="1" s="322">
      <c r="A576" s="27" t="n"/>
      <c r="B576" s="506" t="n"/>
      <c r="C576" s="141" t="n"/>
      <c r="D576" s="141" t="n"/>
      <c r="E576" s="141" t="n"/>
      <c r="F576" s="141" t="n"/>
      <c r="G576" s="143" t="n"/>
      <c r="H576" s="27" t="n"/>
    </row>
    <row r="577" ht="17.25" customHeight="1" s="322">
      <c r="A577" s="27" t="n"/>
      <c r="B577" s="506" t="n"/>
      <c r="C577" s="141" t="n"/>
      <c r="D577" s="141" t="n"/>
      <c r="E577" s="141" t="n"/>
      <c r="F577" s="141" t="n"/>
      <c r="G577" s="143" t="n"/>
      <c r="H577" s="27" t="n"/>
    </row>
    <row r="578" ht="17.25" customHeight="1" s="322">
      <c r="A578" s="27" t="n"/>
      <c r="B578" s="506" t="n"/>
      <c r="C578" s="141" t="n"/>
      <c r="D578" s="141" t="n"/>
      <c r="E578" s="141" t="n"/>
      <c r="F578" s="141" t="n"/>
      <c r="G578" s="143" t="n"/>
      <c r="H578" s="27" t="n"/>
    </row>
    <row r="579" ht="17.25" customHeight="1" s="322">
      <c r="A579" s="27" t="n"/>
      <c r="B579" s="506" t="n"/>
      <c r="C579" s="141" t="n"/>
      <c r="D579" s="141" t="n"/>
      <c r="E579" s="141" t="n"/>
      <c r="F579" s="141" t="n"/>
      <c r="G579" s="143" t="n"/>
      <c r="H579" s="27" t="n"/>
    </row>
    <row r="580" ht="17.25" customHeight="1" s="322">
      <c r="A580" s="27" t="n"/>
      <c r="B580" s="506" t="n"/>
      <c r="C580" s="141" t="n"/>
      <c r="D580" s="141" t="n"/>
      <c r="E580" s="141" t="n"/>
      <c r="F580" s="141" t="n"/>
      <c r="G580" s="143" t="n"/>
      <c r="H580" s="27" t="n"/>
    </row>
    <row r="581" ht="17.25" customHeight="1" s="322">
      <c r="A581" s="27" t="n"/>
      <c r="B581" s="506" t="n"/>
      <c r="C581" s="141" t="n"/>
      <c r="D581" s="141" t="n"/>
      <c r="E581" s="141" t="n"/>
      <c r="F581" s="141" t="n"/>
      <c r="G581" s="143" t="n"/>
      <c r="H581" s="27" t="n"/>
    </row>
    <row r="582" ht="17.25" customHeight="1" s="322">
      <c r="A582" s="27" t="n"/>
      <c r="B582" s="506" t="n"/>
      <c r="C582" s="141" t="n"/>
      <c r="D582" s="141" t="n"/>
      <c r="E582" s="141" t="n"/>
      <c r="F582" s="141" t="n"/>
      <c r="G582" s="143" t="n"/>
      <c r="H582" s="27" t="n"/>
    </row>
    <row r="583" ht="17.25" customHeight="1" s="322">
      <c r="A583" s="27" t="n"/>
      <c r="B583" s="506" t="n"/>
      <c r="C583" s="141" t="n"/>
      <c r="D583" s="141" t="n"/>
      <c r="E583" s="141" t="n"/>
      <c r="F583" s="141" t="n"/>
      <c r="G583" s="143" t="n"/>
      <c r="H583" s="27" t="n"/>
    </row>
    <row r="584" ht="17.25" customHeight="1" s="322">
      <c r="A584" s="27" t="n"/>
      <c r="B584" s="506" t="n"/>
      <c r="C584" s="141" t="n"/>
      <c r="D584" s="141" t="n"/>
      <c r="E584" s="141" t="n"/>
      <c r="F584" s="141" t="n"/>
      <c r="G584" s="143" t="n"/>
      <c r="H584" s="27" t="n"/>
    </row>
    <row r="585" ht="17.25" customHeight="1" s="322">
      <c r="A585" s="27" t="n"/>
      <c r="B585" s="506" t="n"/>
      <c r="C585" s="141" t="n"/>
      <c r="D585" s="141" t="n"/>
      <c r="E585" s="141" t="n"/>
      <c r="F585" s="141" t="n"/>
      <c r="G585" s="143" t="n"/>
      <c r="H585" s="27" t="n"/>
    </row>
    <row r="586" ht="17.25" customHeight="1" s="322">
      <c r="A586" s="27" t="n"/>
      <c r="B586" s="506" t="n"/>
      <c r="C586" s="141" t="n"/>
      <c r="D586" s="141" t="n"/>
      <c r="E586" s="141" t="n"/>
      <c r="F586" s="141" t="n"/>
      <c r="G586" s="143" t="n"/>
      <c r="H586" s="27" t="n"/>
    </row>
    <row r="587" ht="17.25" customHeight="1" s="322">
      <c r="A587" s="27" t="n"/>
      <c r="B587" s="506" t="n"/>
      <c r="C587" s="141" t="n"/>
      <c r="D587" s="141" t="n"/>
      <c r="E587" s="141" t="n"/>
      <c r="F587" s="141" t="n"/>
      <c r="G587" s="143" t="n"/>
      <c r="H587" s="27" t="n"/>
    </row>
    <row r="588" ht="17.25" customHeight="1" s="322">
      <c r="A588" s="27" t="n"/>
      <c r="B588" s="506" t="n"/>
      <c r="C588" s="141" t="n"/>
      <c r="D588" s="141" t="n"/>
      <c r="E588" s="141" t="n"/>
      <c r="F588" s="141" t="n"/>
      <c r="G588" s="143" t="n"/>
      <c r="H588" s="27" t="n"/>
    </row>
    <row r="589" ht="17.25" customHeight="1" s="322">
      <c r="A589" s="27" t="n"/>
      <c r="B589" s="506" t="n"/>
      <c r="C589" s="141" t="n"/>
      <c r="D589" s="141" t="n"/>
      <c r="E589" s="141" t="n"/>
      <c r="F589" s="141" t="n"/>
      <c r="G589" s="143" t="n"/>
      <c r="H589" s="27" t="n"/>
    </row>
    <row r="590" ht="17.25" customHeight="1" s="322">
      <c r="A590" s="27" t="n"/>
      <c r="B590" s="506" t="n"/>
      <c r="C590" s="141" t="n"/>
      <c r="D590" s="141" t="n"/>
      <c r="E590" s="141" t="n"/>
      <c r="F590" s="141" t="n"/>
      <c r="G590" s="143" t="n"/>
      <c r="H590" s="27" t="n"/>
    </row>
    <row r="591" ht="17.25" customHeight="1" s="322">
      <c r="A591" s="27" t="n"/>
      <c r="B591" s="506" t="n"/>
      <c r="C591" s="141" t="n"/>
      <c r="D591" s="141" t="n"/>
      <c r="E591" s="141" t="n"/>
      <c r="F591" s="141" t="n"/>
      <c r="G591" s="143" t="n"/>
      <c r="H591" s="27" t="n"/>
    </row>
    <row r="592" ht="17.25" customHeight="1" s="322">
      <c r="A592" s="27" t="n"/>
      <c r="B592" s="506" t="n"/>
      <c r="C592" s="141" t="n"/>
      <c r="D592" s="141" t="n"/>
      <c r="E592" s="141" t="n"/>
      <c r="F592" s="141" t="n"/>
      <c r="G592" s="143" t="n"/>
      <c r="H592" s="27" t="n"/>
    </row>
    <row r="593" ht="17.25" customHeight="1" s="322">
      <c r="A593" s="27" t="n"/>
      <c r="B593" s="506" t="n"/>
      <c r="C593" s="141" t="n"/>
      <c r="D593" s="141" t="n"/>
      <c r="E593" s="141" t="n"/>
      <c r="F593" s="141" t="n"/>
      <c r="G593" s="143" t="n"/>
      <c r="H593" s="27" t="n"/>
    </row>
    <row r="594" ht="17.25" customHeight="1" s="322">
      <c r="A594" s="27" t="n"/>
      <c r="B594" s="506" t="n"/>
      <c r="C594" s="141" t="n"/>
      <c r="D594" s="141" t="n"/>
      <c r="E594" s="141" t="n"/>
      <c r="F594" s="141" t="n"/>
      <c r="G594" s="143" t="n"/>
      <c r="H594" s="27" t="n"/>
    </row>
    <row r="595" ht="17.25" customHeight="1" s="322">
      <c r="A595" s="27" t="n"/>
      <c r="B595" s="506" t="n"/>
      <c r="C595" s="141" t="n"/>
      <c r="D595" s="141" t="n"/>
      <c r="E595" s="141" t="n"/>
      <c r="F595" s="141" t="n"/>
      <c r="G595" s="143" t="n"/>
      <c r="H595" s="27" t="n"/>
    </row>
    <row r="596" ht="17.25" customHeight="1" s="322">
      <c r="A596" s="27" t="n"/>
      <c r="B596" s="506" t="n"/>
      <c r="C596" s="141" t="n"/>
      <c r="D596" s="141" t="n"/>
      <c r="E596" s="141" t="n"/>
      <c r="F596" s="141" t="n"/>
      <c r="G596" s="143" t="n"/>
      <c r="H596" s="27" t="n"/>
    </row>
    <row r="597" ht="17.25" customHeight="1" s="322">
      <c r="A597" s="27" t="n"/>
      <c r="B597" s="506" t="n"/>
      <c r="C597" s="141" t="n"/>
      <c r="D597" s="141" t="n"/>
      <c r="E597" s="141" t="n"/>
      <c r="F597" s="141" t="n"/>
      <c r="G597" s="143" t="n"/>
      <c r="H597" s="27" t="n"/>
    </row>
    <row r="598" ht="17.25" customHeight="1" s="322">
      <c r="A598" s="27" t="n"/>
      <c r="B598" s="506" t="n"/>
      <c r="C598" s="141" t="n"/>
      <c r="D598" s="141" t="n"/>
      <c r="E598" s="141" t="n"/>
      <c r="F598" s="141" t="n"/>
      <c r="G598" s="143" t="n"/>
      <c r="H598" s="27" t="n"/>
    </row>
    <row r="599" ht="17.25" customHeight="1" s="322">
      <c r="A599" s="27" t="n"/>
      <c r="B599" s="506" t="n"/>
      <c r="C599" s="141" t="n"/>
      <c r="D599" s="141" t="n"/>
      <c r="E599" s="141" t="n"/>
      <c r="F599" s="141" t="n"/>
      <c r="G599" s="143" t="n"/>
      <c r="H599" s="27" t="n"/>
    </row>
    <row r="600" ht="17.25" customHeight="1" s="322">
      <c r="A600" s="27" t="n"/>
      <c r="B600" s="506" t="n"/>
      <c r="C600" s="141" t="n"/>
      <c r="D600" s="141" t="n"/>
      <c r="E600" s="141" t="n"/>
      <c r="F600" s="141" t="n"/>
      <c r="G600" s="143" t="n"/>
      <c r="H600" s="27" t="n"/>
    </row>
    <row r="601" ht="17.25" customHeight="1" s="322">
      <c r="A601" s="27" t="n"/>
      <c r="B601" s="506" t="n"/>
      <c r="C601" s="141" t="n"/>
      <c r="D601" s="141" t="n"/>
      <c r="E601" s="141" t="n"/>
      <c r="F601" s="141" t="n"/>
      <c r="G601" s="143" t="n"/>
      <c r="H601" s="27" t="n"/>
    </row>
    <row r="602" ht="17.25" customHeight="1" s="322">
      <c r="A602" s="27" t="n"/>
      <c r="B602" s="506" t="n"/>
      <c r="C602" s="141" t="n"/>
      <c r="D602" s="141" t="n"/>
      <c r="E602" s="141" t="n"/>
      <c r="F602" s="141" t="n"/>
      <c r="G602" s="143" t="n"/>
      <c r="H602" s="27" t="n"/>
    </row>
    <row r="603" ht="17.25" customHeight="1" s="322">
      <c r="A603" s="27" t="n"/>
      <c r="B603" s="506" t="n"/>
      <c r="C603" s="141" t="n"/>
      <c r="D603" s="141" t="n"/>
      <c r="E603" s="141" t="n"/>
      <c r="F603" s="141" t="n"/>
      <c r="G603" s="143" t="n"/>
      <c r="H603" s="27" t="n"/>
    </row>
    <row r="604" ht="17.25" customHeight="1" s="322">
      <c r="A604" s="27" t="n"/>
      <c r="B604" s="506" t="n"/>
      <c r="C604" s="141" t="n"/>
      <c r="D604" s="141" t="n"/>
      <c r="E604" s="141" t="n"/>
      <c r="F604" s="141" t="n"/>
      <c r="G604" s="143" t="n"/>
      <c r="H604" s="27" t="n"/>
    </row>
    <row r="605" ht="17.25" customHeight="1" s="322">
      <c r="A605" s="27" t="n"/>
      <c r="B605" s="506" t="n"/>
      <c r="C605" s="141" t="n"/>
      <c r="D605" s="141" t="n"/>
      <c r="E605" s="141" t="n"/>
      <c r="F605" s="141" t="n"/>
      <c r="G605" s="143" t="n"/>
      <c r="H605" s="27" t="n"/>
    </row>
    <row r="606" ht="17.25" customHeight="1" s="322">
      <c r="A606" s="27" t="n"/>
      <c r="B606" s="506" t="n"/>
      <c r="C606" s="141" t="n"/>
      <c r="D606" s="141" t="n"/>
      <c r="E606" s="141" t="n"/>
      <c r="F606" s="141" t="n"/>
      <c r="G606" s="143" t="n"/>
      <c r="H606" s="27" t="n"/>
    </row>
    <row r="607" ht="17.25" customHeight="1" s="322">
      <c r="A607" s="27" t="n"/>
      <c r="B607" s="506" t="n"/>
      <c r="C607" s="141" t="n"/>
      <c r="D607" s="141" t="n"/>
      <c r="E607" s="141" t="n"/>
      <c r="F607" s="141" t="n"/>
      <c r="G607" s="143" t="n"/>
      <c r="H607" s="27" t="n"/>
    </row>
    <row r="608" ht="17.25" customHeight="1" s="322">
      <c r="A608" s="27" t="n"/>
      <c r="B608" s="506" t="n"/>
      <c r="C608" s="141" t="n"/>
      <c r="D608" s="141" t="n"/>
      <c r="E608" s="141" t="n"/>
      <c r="F608" s="141" t="n"/>
      <c r="G608" s="143" t="n"/>
      <c r="H608" s="27" t="n"/>
    </row>
    <row r="609" ht="17.25" customHeight="1" s="322">
      <c r="A609" s="27" t="n"/>
      <c r="B609" s="506" t="n"/>
      <c r="C609" s="141" t="n"/>
      <c r="D609" s="141" t="n"/>
      <c r="E609" s="141" t="n"/>
      <c r="F609" s="141" t="n"/>
      <c r="G609" s="143" t="n"/>
      <c r="H609" s="27" t="n"/>
    </row>
    <row r="610" ht="17.25" customHeight="1" s="322">
      <c r="A610" s="27" t="n"/>
      <c r="B610" s="506" t="n"/>
      <c r="C610" s="141" t="n"/>
      <c r="D610" s="141" t="n"/>
      <c r="E610" s="141" t="n"/>
      <c r="F610" s="141" t="n"/>
      <c r="G610" s="143" t="n"/>
      <c r="H610" s="27" t="n"/>
    </row>
    <row r="611" ht="17.25" customHeight="1" s="322">
      <c r="A611" s="27" t="n"/>
      <c r="B611" s="506" t="n"/>
      <c r="C611" s="141" t="n"/>
      <c r="D611" s="141" t="n"/>
      <c r="E611" s="141" t="n"/>
      <c r="F611" s="141" t="n"/>
      <c r="G611" s="143" t="n"/>
      <c r="H611" s="27" t="n"/>
    </row>
    <row r="612" ht="17.25" customHeight="1" s="322">
      <c r="A612" s="27" t="n"/>
      <c r="B612" s="506" t="n"/>
      <c r="C612" s="141" t="n"/>
      <c r="D612" s="141" t="n"/>
      <c r="E612" s="141" t="n"/>
      <c r="F612" s="141" t="n"/>
      <c r="G612" s="143" t="n"/>
      <c r="H612" s="27" t="n"/>
    </row>
    <row r="613" ht="17.25" customHeight="1" s="322">
      <c r="A613" s="27" t="n"/>
      <c r="B613" s="506" t="n"/>
      <c r="C613" s="141" t="n"/>
      <c r="D613" s="141" t="n"/>
      <c r="E613" s="141" t="n"/>
      <c r="F613" s="141" t="n"/>
      <c r="G613" s="143" t="n"/>
      <c r="H613" s="27" t="n"/>
    </row>
    <row r="614" ht="17.25" customHeight="1" s="322">
      <c r="A614" s="27" t="n"/>
      <c r="B614" s="506" t="n"/>
      <c r="C614" s="141" t="n"/>
      <c r="D614" s="141" t="n"/>
      <c r="E614" s="141" t="n"/>
      <c r="F614" s="141" t="n"/>
      <c r="G614" s="143" t="n"/>
      <c r="H614" s="27" t="n"/>
    </row>
    <row r="615" ht="17.25" customHeight="1" s="322">
      <c r="A615" s="27" t="n"/>
      <c r="B615" s="506" t="n"/>
      <c r="C615" s="141" t="n"/>
      <c r="D615" s="141" t="n"/>
      <c r="E615" s="141" t="n"/>
      <c r="F615" s="141" t="n"/>
      <c r="G615" s="143" t="n"/>
      <c r="H615" s="27" t="n"/>
    </row>
    <row r="616" ht="17.25" customHeight="1" s="322">
      <c r="A616" s="27" t="n"/>
      <c r="B616" s="506" t="n"/>
      <c r="C616" s="141" t="n"/>
      <c r="D616" s="141" t="n"/>
      <c r="E616" s="141" t="n"/>
      <c r="F616" s="141" t="n"/>
      <c r="G616" s="143" t="n"/>
      <c r="H616" s="27" t="n"/>
    </row>
    <row r="617" ht="17.25" customHeight="1" s="322">
      <c r="A617" s="27" t="n"/>
      <c r="B617" s="506" t="n"/>
      <c r="C617" s="141" t="n"/>
      <c r="D617" s="141" t="n"/>
      <c r="E617" s="141" t="n"/>
      <c r="F617" s="141" t="n"/>
      <c r="G617" s="143" t="n"/>
      <c r="H617" s="27" t="n"/>
    </row>
    <row r="618" ht="17.25" customHeight="1" s="322">
      <c r="A618" s="27" t="n"/>
      <c r="B618" s="506" t="n"/>
      <c r="C618" s="141" t="n"/>
      <c r="D618" s="141" t="n"/>
      <c r="E618" s="141" t="n"/>
      <c r="F618" s="141" t="n"/>
      <c r="G618" s="143" t="n"/>
      <c r="H618" s="27" t="n"/>
    </row>
    <row r="619" ht="17.25" customHeight="1" s="322">
      <c r="A619" s="27" t="n"/>
      <c r="B619" s="506" t="n"/>
      <c r="C619" s="141" t="n"/>
      <c r="D619" s="141" t="n"/>
      <c r="E619" s="141" t="n"/>
      <c r="F619" s="141" t="n"/>
      <c r="G619" s="143" t="n"/>
      <c r="H619" s="27" t="n"/>
    </row>
    <row r="620" ht="17.25" customHeight="1" s="322">
      <c r="A620" s="27" t="n"/>
      <c r="B620" s="506" t="n"/>
      <c r="C620" s="141" t="n"/>
      <c r="D620" s="141" t="n"/>
      <c r="E620" s="141" t="n"/>
      <c r="F620" s="141" t="n"/>
      <c r="G620" s="143" t="n"/>
      <c r="H620" s="27" t="n"/>
    </row>
    <row r="621" ht="17.25" customHeight="1" s="322">
      <c r="A621" s="27" t="n"/>
      <c r="B621" s="506" t="n"/>
      <c r="C621" s="141" t="n"/>
      <c r="D621" s="141" t="n"/>
      <c r="E621" s="141" t="n"/>
      <c r="F621" s="141" t="n"/>
      <c r="G621" s="143" t="n"/>
      <c r="H621" s="27" t="n"/>
    </row>
    <row r="622" ht="17.25" customHeight="1" s="322">
      <c r="A622" s="27" t="n"/>
      <c r="B622" s="506" t="n"/>
      <c r="C622" s="141" t="n"/>
      <c r="D622" s="141" t="n"/>
      <c r="E622" s="141" t="n"/>
      <c r="F622" s="141" t="n"/>
      <c r="G622" s="143" t="n"/>
      <c r="H622" s="27" t="n"/>
    </row>
    <row r="623" ht="17.25" customHeight="1" s="322">
      <c r="A623" s="27" t="n"/>
      <c r="B623" s="506" t="n"/>
      <c r="C623" s="141" t="n"/>
      <c r="D623" s="141" t="n"/>
      <c r="E623" s="141" t="n"/>
      <c r="F623" s="141" t="n"/>
      <c r="G623" s="143" t="n"/>
      <c r="H623" s="27" t="n"/>
    </row>
    <row r="624" ht="17.25" customHeight="1" s="322">
      <c r="A624" s="27" t="n"/>
      <c r="B624" s="506" t="n"/>
      <c r="C624" s="141" t="n"/>
      <c r="D624" s="141" t="n"/>
      <c r="E624" s="141" t="n"/>
      <c r="F624" s="141" t="n"/>
      <c r="G624" s="143" t="n"/>
      <c r="H624" s="27" t="n"/>
    </row>
    <row r="625" ht="17.25" customHeight="1" s="322">
      <c r="A625" s="27" t="n"/>
      <c r="B625" s="506" t="n"/>
      <c r="C625" s="141" t="n"/>
      <c r="D625" s="141" t="n"/>
      <c r="E625" s="141" t="n"/>
      <c r="F625" s="141" t="n"/>
      <c r="G625" s="143" t="n"/>
      <c r="H625" s="27" t="n"/>
    </row>
    <row r="626" ht="17.25" customHeight="1" s="322">
      <c r="A626" s="27" t="n"/>
      <c r="B626" s="506" t="n"/>
      <c r="C626" s="141" t="n"/>
      <c r="D626" s="141" t="n"/>
      <c r="E626" s="141" t="n"/>
      <c r="F626" s="141" t="n"/>
      <c r="G626" s="143" t="n"/>
      <c r="H626" s="27" t="n"/>
    </row>
    <row r="627" ht="17.25" customHeight="1" s="322">
      <c r="A627" s="27" t="n"/>
      <c r="B627" s="506" t="n"/>
      <c r="C627" s="141" t="n"/>
      <c r="D627" s="141" t="n"/>
      <c r="E627" s="141" t="n"/>
      <c r="F627" s="141" t="n"/>
      <c r="G627" s="143" t="n"/>
      <c r="H627" s="27" t="n"/>
    </row>
    <row r="628" ht="17.25" customHeight="1" s="322">
      <c r="A628" s="27" t="n"/>
      <c r="B628" s="506" t="n"/>
      <c r="C628" s="141" t="n"/>
      <c r="D628" s="141" t="n"/>
      <c r="E628" s="141" t="n"/>
      <c r="F628" s="141" t="n"/>
      <c r="G628" s="143" t="n"/>
      <c r="H628" s="27" t="n"/>
    </row>
    <row r="629" ht="17.25" customHeight="1" s="322">
      <c r="A629" s="27" t="n"/>
      <c r="B629" s="506" t="n"/>
      <c r="C629" s="141" t="n"/>
      <c r="D629" s="141" t="n"/>
      <c r="E629" s="141" t="n"/>
      <c r="F629" s="141" t="n"/>
      <c r="G629" s="143" t="n"/>
      <c r="H629" s="27" t="n"/>
    </row>
    <row r="630" ht="17.25" customHeight="1" s="322">
      <c r="A630" s="27" t="n"/>
      <c r="B630" s="506" t="n"/>
      <c r="C630" s="141" t="n"/>
      <c r="D630" s="141" t="n"/>
      <c r="E630" s="141" t="n"/>
      <c r="F630" s="141" t="n"/>
      <c r="G630" s="143" t="n"/>
      <c r="H630" s="27" t="n"/>
    </row>
    <row r="631" ht="17.25" customHeight="1" s="322">
      <c r="A631" s="27" t="n"/>
      <c r="B631" s="506" t="n"/>
      <c r="C631" s="141" t="n"/>
      <c r="D631" s="141" t="n"/>
      <c r="E631" s="141" t="n"/>
      <c r="F631" s="141" t="n"/>
      <c r="G631" s="143" t="n"/>
      <c r="H631" s="27" t="n"/>
    </row>
    <row r="632" ht="17.25" customHeight="1" s="322">
      <c r="A632" s="27" t="n"/>
      <c r="B632" s="506" t="n"/>
      <c r="C632" s="141" t="n"/>
      <c r="D632" s="141" t="n"/>
      <c r="E632" s="141" t="n"/>
      <c r="F632" s="141" t="n"/>
      <c r="G632" s="143" t="n"/>
      <c r="H632" s="27" t="n"/>
    </row>
    <row r="633" ht="17.25" customHeight="1" s="322">
      <c r="A633" s="27" t="n"/>
      <c r="B633" s="506" t="n"/>
      <c r="C633" s="141" t="n"/>
      <c r="D633" s="141" t="n"/>
      <c r="E633" s="141" t="n"/>
      <c r="F633" s="141" t="n"/>
      <c r="G633" s="143" t="n"/>
      <c r="H633" s="27" t="n"/>
    </row>
    <row r="634" ht="17.25" customHeight="1" s="322">
      <c r="A634" s="27" t="n"/>
      <c r="B634" s="506" t="n"/>
      <c r="C634" s="141" t="n"/>
      <c r="D634" s="141" t="n"/>
      <c r="E634" s="141" t="n"/>
      <c r="F634" s="141" t="n"/>
      <c r="G634" s="143" t="n"/>
      <c r="H634" s="27" t="n"/>
    </row>
    <row r="635" ht="17.25" customHeight="1" s="322">
      <c r="A635" s="27" t="n"/>
      <c r="B635" s="506" t="n"/>
      <c r="C635" s="141" t="n"/>
      <c r="D635" s="141" t="n"/>
      <c r="E635" s="141" t="n"/>
      <c r="F635" s="141" t="n"/>
      <c r="G635" s="143" t="n"/>
      <c r="H635" s="27" t="n"/>
    </row>
    <row r="636" ht="17.25" customHeight="1" s="322">
      <c r="A636" s="27" t="n"/>
      <c r="B636" s="506" t="n"/>
      <c r="C636" s="141" t="n"/>
      <c r="D636" s="141" t="n"/>
      <c r="E636" s="141" t="n"/>
      <c r="F636" s="141" t="n"/>
      <c r="G636" s="143" t="n"/>
      <c r="H636" s="27" t="n"/>
    </row>
    <row r="637" ht="17.25" customHeight="1" s="322">
      <c r="A637" s="27" t="n"/>
      <c r="B637" s="506" t="n"/>
      <c r="C637" s="141" t="n"/>
      <c r="D637" s="141" t="n"/>
      <c r="E637" s="141" t="n"/>
      <c r="F637" s="141" t="n"/>
      <c r="G637" s="143" t="n"/>
      <c r="H637" s="27" t="n"/>
    </row>
    <row r="638" ht="17.25" customHeight="1" s="322">
      <c r="A638" s="27" t="n"/>
      <c r="B638" s="506" t="n"/>
      <c r="C638" s="141" t="n"/>
      <c r="D638" s="141" t="n"/>
      <c r="E638" s="141" t="n"/>
      <c r="F638" s="141" t="n"/>
      <c r="G638" s="143" t="n"/>
      <c r="H638" s="27" t="n"/>
    </row>
    <row r="639" ht="17.25" customHeight="1" s="322">
      <c r="A639" s="27" t="n"/>
      <c r="B639" s="506" t="n"/>
      <c r="C639" s="141" t="n"/>
      <c r="D639" s="141" t="n"/>
      <c r="E639" s="141" t="n"/>
      <c r="F639" s="141" t="n"/>
      <c r="G639" s="143" t="n"/>
      <c r="H639" s="27" t="n"/>
    </row>
    <row r="640" ht="17.25" customHeight="1" s="322">
      <c r="A640" s="27" t="n"/>
      <c r="B640" s="506" t="n"/>
      <c r="C640" s="141" t="n"/>
      <c r="D640" s="141" t="n"/>
      <c r="E640" s="141" t="n"/>
      <c r="F640" s="141" t="n"/>
      <c r="G640" s="143" t="n"/>
      <c r="H640" s="27" t="n"/>
    </row>
    <row r="641" ht="17.25" customHeight="1" s="322">
      <c r="A641" s="27" t="n"/>
      <c r="B641" s="506" t="n"/>
      <c r="C641" s="141" t="n"/>
      <c r="D641" s="141" t="n"/>
      <c r="E641" s="141" t="n"/>
      <c r="F641" s="141" t="n"/>
      <c r="G641" s="143" t="n"/>
      <c r="H641" s="27" t="n"/>
    </row>
    <row r="642" ht="17.25" customHeight="1" s="322">
      <c r="A642" s="27" t="n"/>
      <c r="B642" s="506" t="n"/>
      <c r="C642" s="141" t="n"/>
      <c r="D642" s="141" t="n"/>
      <c r="E642" s="141" t="n"/>
      <c r="F642" s="141" t="n"/>
      <c r="G642" s="143" t="n"/>
      <c r="H642" s="27" t="n"/>
    </row>
    <row r="643" ht="17.25" customHeight="1" s="322">
      <c r="A643" s="27" t="n"/>
      <c r="B643" s="506" t="n"/>
      <c r="C643" s="141" t="n"/>
      <c r="D643" s="141" t="n"/>
      <c r="E643" s="141" t="n"/>
      <c r="F643" s="141" t="n"/>
      <c r="G643" s="143" t="n"/>
      <c r="H643" s="27" t="n"/>
    </row>
    <row r="644" ht="17.25" customHeight="1" s="322">
      <c r="A644" s="27" t="n"/>
      <c r="B644" s="506" t="n"/>
      <c r="C644" s="141" t="n"/>
      <c r="D644" s="141" t="n"/>
      <c r="E644" s="141" t="n"/>
      <c r="F644" s="141" t="n"/>
      <c r="G644" s="143" t="n"/>
      <c r="H644" s="27" t="n"/>
    </row>
    <row r="645" ht="17.25" customHeight="1" s="322">
      <c r="A645" s="27" t="n"/>
      <c r="B645" s="506" t="n"/>
      <c r="C645" s="141" t="n"/>
      <c r="D645" s="141" t="n"/>
      <c r="E645" s="141" t="n"/>
      <c r="F645" s="141" t="n"/>
      <c r="G645" s="143" t="n"/>
      <c r="H645" s="27" t="n"/>
    </row>
    <row r="646" ht="17.25" customHeight="1" s="322">
      <c r="A646" s="27" t="n"/>
      <c r="B646" s="506" t="n"/>
      <c r="C646" s="141" t="n"/>
      <c r="D646" s="141" t="n"/>
      <c r="E646" s="141" t="n"/>
      <c r="F646" s="141" t="n"/>
      <c r="G646" s="143" t="n"/>
      <c r="H646" s="27" t="n"/>
    </row>
    <row r="647" ht="17.25" customHeight="1" s="322">
      <c r="A647" s="27" t="n"/>
      <c r="B647" s="506" t="n"/>
      <c r="C647" s="141" t="n"/>
      <c r="D647" s="141" t="n"/>
      <c r="E647" s="141" t="n"/>
      <c r="F647" s="141" t="n"/>
      <c r="G647" s="143" t="n"/>
      <c r="H647" s="27" t="n"/>
    </row>
    <row r="648" ht="17.25" customHeight="1" s="322">
      <c r="A648" s="27" t="n"/>
      <c r="B648" s="506" t="n"/>
      <c r="C648" s="141" t="n"/>
      <c r="D648" s="141" t="n"/>
      <c r="E648" s="141" t="n"/>
      <c r="F648" s="141" t="n"/>
      <c r="G648" s="143" t="n"/>
      <c r="H648" s="27" t="n"/>
    </row>
    <row r="649" ht="17.25" customHeight="1" s="322">
      <c r="A649" s="27" t="n"/>
      <c r="B649" s="506" t="n"/>
      <c r="C649" s="141" t="n"/>
      <c r="D649" s="141" t="n"/>
      <c r="E649" s="141" t="n"/>
      <c r="F649" s="141" t="n"/>
      <c r="G649" s="143" t="n"/>
      <c r="H649" s="27" t="n"/>
    </row>
    <row r="650" ht="17.25" customHeight="1" s="322">
      <c r="A650" s="27" t="n"/>
      <c r="B650" s="506" t="n"/>
      <c r="C650" s="141" t="n"/>
      <c r="D650" s="141" t="n"/>
      <c r="E650" s="141" t="n"/>
      <c r="F650" s="141" t="n"/>
      <c r="G650" s="143" t="n"/>
      <c r="H650" s="27" t="n"/>
    </row>
    <row r="651" ht="17.25" customHeight="1" s="322">
      <c r="A651" s="27" t="n"/>
      <c r="B651" s="506" t="n"/>
      <c r="C651" s="141" t="n"/>
      <c r="D651" s="141" t="n"/>
      <c r="E651" s="141" t="n"/>
      <c r="F651" s="141" t="n"/>
      <c r="G651" s="143" t="n"/>
      <c r="H651" s="27" t="n"/>
    </row>
    <row r="652" ht="17.25" customHeight="1" s="322">
      <c r="A652" s="27" t="n"/>
      <c r="B652" s="506" t="n"/>
      <c r="C652" s="141" t="n"/>
      <c r="D652" s="141" t="n"/>
      <c r="E652" s="141" t="n"/>
      <c r="F652" s="141" t="n"/>
      <c r="G652" s="143" t="n"/>
      <c r="H652" s="27" t="n"/>
    </row>
    <row r="653" ht="17.25" customHeight="1" s="322">
      <c r="A653" s="27" t="n"/>
      <c r="B653" s="506" t="n"/>
      <c r="C653" s="141" t="n"/>
      <c r="D653" s="141" t="n"/>
      <c r="E653" s="141" t="n"/>
      <c r="F653" s="141" t="n"/>
      <c r="G653" s="143" t="n"/>
      <c r="H653" s="27" t="n"/>
    </row>
    <row r="654" ht="17.25" customHeight="1" s="322">
      <c r="A654" s="27" t="n"/>
      <c r="B654" s="506" t="n"/>
      <c r="C654" s="141" t="n"/>
      <c r="D654" s="141" t="n"/>
      <c r="E654" s="141" t="n"/>
      <c r="F654" s="141" t="n"/>
      <c r="G654" s="143" t="n"/>
      <c r="H654" s="27" t="n"/>
    </row>
    <row r="655" ht="17.25" customHeight="1" s="322">
      <c r="A655" s="27" t="n"/>
      <c r="B655" s="506" t="n"/>
      <c r="C655" s="141" t="n"/>
      <c r="D655" s="141" t="n"/>
      <c r="E655" s="141" t="n"/>
      <c r="F655" s="141" t="n"/>
      <c r="G655" s="143" t="n"/>
      <c r="H655" s="27" t="n"/>
    </row>
    <row r="656" ht="17.25" customHeight="1" s="322">
      <c r="A656" s="27" t="n"/>
      <c r="B656" s="506" t="n"/>
      <c r="C656" s="141" t="n"/>
      <c r="D656" s="141" t="n"/>
      <c r="E656" s="141" t="n"/>
      <c r="F656" s="141" t="n"/>
      <c r="G656" s="143" t="n"/>
      <c r="H656" s="27" t="n"/>
    </row>
    <row r="657" ht="17.25" customHeight="1" s="322">
      <c r="A657" s="27" t="n"/>
      <c r="B657" s="506" t="n"/>
      <c r="C657" s="141" t="n"/>
      <c r="D657" s="141" t="n"/>
      <c r="E657" s="141" t="n"/>
      <c r="F657" s="141" t="n"/>
      <c r="G657" s="143" t="n"/>
      <c r="H657" s="27" t="n"/>
    </row>
    <row r="658" ht="17.25" customHeight="1" s="322">
      <c r="A658" s="27" t="n"/>
      <c r="B658" s="506" t="n"/>
      <c r="C658" s="141" t="n"/>
      <c r="D658" s="141" t="n"/>
      <c r="E658" s="141" t="n"/>
      <c r="F658" s="141" t="n"/>
      <c r="G658" s="143" t="n"/>
      <c r="H658" s="27" t="n"/>
    </row>
    <row r="659" ht="17.25" customHeight="1" s="322">
      <c r="A659" s="27" t="n"/>
      <c r="B659" s="506" t="n"/>
      <c r="C659" s="141" t="n"/>
      <c r="D659" s="141" t="n"/>
      <c r="E659" s="141" t="n"/>
      <c r="F659" s="141" t="n"/>
      <c r="G659" s="143" t="n"/>
      <c r="H659" s="27" t="n"/>
    </row>
    <row r="660" ht="17.25" customHeight="1" s="322">
      <c r="A660" s="27" t="n"/>
      <c r="B660" s="506" t="n"/>
      <c r="C660" s="141" t="n"/>
      <c r="D660" s="141" t="n"/>
      <c r="E660" s="141" t="n"/>
      <c r="F660" s="141" t="n"/>
      <c r="G660" s="143" t="n"/>
      <c r="H660" s="27" t="n"/>
    </row>
    <row r="661" ht="17.25" customHeight="1" s="322">
      <c r="A661" s="27" t="n"/>
      <c r="B661" s="506" t="n"/>
      <c r="C661" s="141" t="n"/>
      <c r="D661" s="141" t="n"/>
      <c r="E661" s="141" t="n"/>
      <c r="F661" s="141" t="n"/>
      <c r="G661" s="143" t="n"/>
      <c r="H661" s="27" t="n"/>
    </row>
    <row r="662" ht="17.25" customHeight="1" s="322">
      <c r="A662" s="27" t="n"/>
      <c r="B662" s="506" t="n"/>
      <c r="C662" s="141" t="n"/>
      <c r="D662" s="141" t="n"/>
      <c r="E662" s="141" t="n"/>
      <c r="F662" s="141" t="n"/>
      <c r="G662" s="143" t="n"/>
      <c r="H662" s="27" t="n"/>
    </row>
    <row r="663" ht="17.25" customHeight="1" s="322">
      <c r="A663" s="27" t="n"/>
      <c r="B663" s="506" t="n"/>
      <c r="C663" s="141" t="n"/>
      <c r="D663" s="141" t="n"/>
      <c r="E663" s="141" t="n"/>
      <c r="F663" s="141" t="n"/>
      <c r="G663" s="143" t="n"/>
      <c r="H663" s="27" t="n"/>
    </row>
    <row r="664" ht="17.25" customHeight="1" s="322">
      <c r="A664" s="27" t="n"/>
      <c r="B664" s="506" t="n"/>
      <c r="C664" s="141" t="n"/>
      <c r="D664" s="141" t="n"/>
      <c r="E664" s="141" t="n"/>
      <c r="F664" s="141" t="n"/>
      <c r="G664" s="143" t="n"/>
      <c r="H664" s="27" t="n"/>
    </row>
    <row r="665" ht="17.25" customHeight="1" s="322">
      <c r="A665" s="27" t="n"/>
      <c r="B665" s="506" t="n"/>
      <c r="C665" s="141" t="n"/>
      <c r="D665" s="141" t="n"/>
      <c r="E665" s="141" t="n"/>
      <c r="F665" s="141" t="n"/>
      <c r="G665" s="143" t="n"/>
      <c r="H665" s="27" t="n"/>
    </row>
    <row r="666" ht="17.25" customHeight="1" s="322">
      <c r="A666" s="27" t="n"/>
      <c r="B666" s="506" t="n"/>
      <c r="C666" s="141" t="n"/>
      <c r="D666" s="141" t="n"/>
      <c r="E666" s="141" t="n"/>
      <c r="F666" s="141" t="n"/>
      <c r="G666" s="143" t="n"/>
      <c r="H666" s="27" t="n"/>
    </row>
    <row r="667" ht="17.25" customHeight="1" s="322">
      <c r="A667" s="27" t="n"/>
      <c r="B667" s="506" t="n"/>
      <c r="C667" s="141" t="n"/>
      <c r="D667" s="141" t="n"/>
      <c r="E667" s="141" t="n"/>
      <c r="F667" s="141" t="n"/>
      <c r="G667" s="143" t="n"/>
      <c r="H667" s="27" t="n"/>
    </row>
    <row r="668" ht="17.25" customHeight="1" s="322">
      <c r="A668" s="27" t="n"/>
      <c r="B668" s="506" t="n"/>
      <c r="C668" s="141" t="n"/>
      <c r="D668" s="141" t="n"/>
      <c r="E668" s="141" t="n"/>
      <c r="F668" s="141" t="n"/>
      <c r="G668" s="143" t="n"/>
      <c r="H668" s="27" t="n"/>
    </row>
    <row r="669" ht="17.25" customHeight="1" s="322">
      <c r="A669" s="27" t="n"/>
      <c r="B669" s="506" t="n"/>
      <c r="C669" s="141" t="n"/>
      <c r="D669" s="141" t="n"/>
      <c r="E669" s="141" t="n"/>
      <c r="F669" s="141" t="n"/>
      <c r="G669" s="143" t="n"/>
      <c r="H669" s="27" t="n"/>
    </row>
    <row r="670" ht="17.25" customHeight="1" s="322">
      <c r="A670" s="27" t="n"/>
      <c r="B670" s="506" t="n"/>
      <c r="C670" s="141" t="n"/>
      <c r="D670" s="141" t="n"/>
      <c r="E670" s="141" t="n"/>
      <c r="F670" s="141" t="n"/>
      <c r="G670" s="143" t="n"/>
      <c r="H670" s="27" t="n"/>
    </row>
    <row r="671" ht="17.25" customHeight="1" s="322">
      <c r="A671" s="27" t="n"/>
      <c r="B671" s="506" t="n"/>
      <c r="C671" s="141" t="n"/>
      <c r="D671" s="141" t="n"/>
      <c r="E671" s="141" t="n"/>
      <c r="F671" s="141" t="n"/>
      <c r="G671" s="143" t="n"/>
      <c r="H671" s="27" t="n"/>
    </row>
    <row r="672" ht="17.25" customHeight="1" s="322">
      <c r="A672" s="27" t="n"/>
      <c r="B672" s="506" t="n"/>
      <c r="C672" s="141" t="n"/>
      <c r="D672" s="141" t="n"/>
      <c r="E672" s="141" t="n"/>
      <c r="F672" s="141" t="n"/>
      <c r="G672" s="143" t="n"/>
      <c r="H672" s="27" t="n"/>
    </row>
    <row r="673" ht="17.25" customHeight="1" s="322">
      <c r="A673" s="27" t="n"/>
      <c r="B673" s="506" t="n"/>
      <c r="C673" s="141" t="n"/>
      <c r="D673" s="141" t="n"/>
      <c r="E673" s="141" t="n"/>
      <c r="F673" s="141" t="n"/>
      <c r="G673" s="143" t="n"/>
      <c r="H673" s="27" t="n"/>
    </row>
    <row r="674" ht="17.25" customHeight="1" s="322">
      <c r="A674" s="27" t="n"/>
      <c r="B674" s="506" t="n"/>
      <c r="C674" s="141" t="n"/>
      <c r="D674" s="141" t="n"/>
      <c r="E674" s="141" t="n"/>
      <c r="F674" s="141" t="n"/>
      <c r="G674" s="143" t="n"/>
      <c r="H674" s="27" t="n"/>
    </row>
    <row r="675" ht="17.25" customHeight="1" s="322">
      <c r="A675" s="27" t="n"/>
      <c r="B675" s="506" t="n"/>
      <c r="C675" s="141" t="n"/>
      <c r="D675" s="141" t="n"/>
      <c r="E675" s="141" t="n"/>
      <c r="F675" s="141" t="n"/>
      <c r="G675" s="143" t="n"/>
      <c r="H675" s="27" t="n"/>
    </row>
    <row r="676" ht="17.25" customHeight="1" s="322">
      <c r="A676" s="27" t="n"/>
      <c r="B676" s="506" t="n"/>
      <c r="C676" s="141" t="n"/>
      <c r="D676" s="141" t="n"/>
      <c r="E676" s="141" t="n"/>
      <c r="F676" s="141" t="n"/>
      <c r="G676" s="143" t="n"/>
      <c r="H676" s="27" t="n"/>
    </row>
    <row r="677" ht="17.25" customHeight="1" s="322">
      <c r="A677" s="27" t="n"/>
      <c r="B677" s="506" t="n"/>
      <c r="C677" s="141" t="n"/>
      <c r="D677" s="141" t="n"/>
      <c r="E677" s="141" t="n"/>
      <c r="F677" s="141" t="n"/>
      <c r="G677" s="143" t="n"/>
      <c r="H677" s="27" t="n"/>
    </row>
    <row r="678" ht="17.25" customHeight="1" s="322">
      <c r="A678" s="27" t="n"/>
      <c r="B678" s="506" t="n"/>
      <c r="C678" s="141" t="n"/>
      <c r="D678" s="141" t="n"/>
      <c r="E678" s="141" t="n"/>
      <c r="F678" s="141" t="n"/>
      <c r="G678" s="143" t="n"/>
      <c r="H678" s="27" t="n"/>
    </row>
    <row r="679" ht="17.25" customHeight="1" s="322">
      <c r="A679" s="27" t="n"/>
      <c r="B679" s="506" t="n"/>
      <c r="C679" s="141" t="n"/>
      <c r="D679" s="141" t="n"/>
      <c r="E679" s="141" t="n"/>
      <c r="F679" s="141" t="n"/>
      <c r="G679" s="143" t="n"/>
      <c r="H679" s="27" t="n"/>
    </row>
    <row r="680" ht="17.25" customHeight="1" s="322">
      <c r="A680" s="27" t="n"/>
      <c r="B680" s="506" t="n"/>
      <c r="C680" s="141" t="n"/>
      <c r="D680" s="141" t="n"/>
      <c r="E680" s="141" t="n"/>
      <c r="F680" s="141" t="n"/>
      <c r="G680" s="143" t="n"/>
      <c r="H680" s="27" t="n"/>
    </row>
    <row r="681" ht="17.25" customHeight="1" s="322">
      <c r="A681" s="27" t="n"/>
      <c r="B681" s="506" t="n"/>
      <c r="C681" s="141" t="n"/>
      <c r="D681" s="141" t="n"/>
      <c r="E681" s="141" t="n"/>
      <c r="F681" s="141" t="n"/>
      <c r="G681" s="143" t="n"/>
      <c r="H681" s="27" t="n"/>
    </row>
    <row r="682" ht="17.25" customHeight="1" s="322">
      <c r="A682" s="27" t="n"/>
      <c r="B682" s="506" t="n"/>
      <c r="C682" s="141" t="n"/>
      <c r="D682" s="141" t="n"/>
      <c r="E682" s="141" t="n"/>
      <c r="F682" s="141" t="n"/>
      <c r="G682" s="143" t="n"/>
      <c r="H682" s="27" t="n"/>
    </row>
    <row r="683" ht="17.25" customHeight="1" s="322">
      <c r="A683" s="27" t="n"/>
      <c r="B683" s="506" t="n"/>
      <c r="C683" s="141" t="n"/>
      <c r="D683" s="141" t="n"/>
      <c r="E683" s="141" t="n"/>
      <c r="F683" s="141" t="n"/>
      <c r="G683" s="143" t="n"/>
      <c r="H683" s="27" t="n"/>
    </row>
    <row r="684" ht="17.25" customHeight="1" s="322">
      <c r="A684" s="27" t="n"/>
      <c r="B684" s="506" t="n"/>
      <c r="C684" s="141" t="n"/>
      <c r="D684" s="141" t="n"/>
      <c r="E684" s="141" t="n"/>
      <c r="F684" s="141" t="n"/>
      <c r="G684" s="143" t="n"/>
      <c r="H684" s="27" t="n"/>
    </row>
    <row r="685" ht="17.25" customHeight="1" s="322">
      <c r="A685" s="27" t="n"/>
      <c r="B685" s="506" t="n"/>
      <c r="C685" s="141" t="n"/>
      <c r="D685" s="141" t="n"/>
      <c r="E685" s="141" t="n"/>
      <c r="F685" s="141" t="n"/>
      <c r="G685" s="143" t="n"/>
      <c r="H685" s="27" t="n"/>
    </row>
    <row r="686" ht="17.25" customHeight="1" s="322">
      <c r="A686" s="27" t="n"/>
      <c r="B686" s="506" t="n"/>
      <c r="C686" s="141" t="n"/>
      <c r="D686" s="141" t="n"/>
      <c r="E686" s="141" t="n"/>
      <c r="F686" s="141" t="n"/>
      <c r="G686" s="143" t="n"/>
      <c r="H686" s="27" t="n"/>
    </row>
    <row r="687" ht="17.25" customHeight="1" s="322">
      <c r="A687" s="27" t="n"/>
      <c r="B687" s="506" t="n"/>
      <c r="C687" s="141" t="n"/>
      <c r="D687" s="141" t="n"/>
      <c r="E687" s="141" t="n"/>
      <c r="F687" s="141" t="n"/>
      <c r="G687" s="143" t="n"/>
      <c r="H687" s="27" t="n"/>
    </row>
    <row r="688" ht="17.25" customHeight="1" s="322">
      <c r="A688" s="27" t="n"/>
      <c r="B688" s="506" t="n"/>
      <c r="C688" s="141" t="n"/>
      <c r="D688" s="141" t="n"/>
      <c r="E688" s="141" t="n"/>
      <c r="F688" s="141" t="n"/>
      <c r="G688" s="143" t="n"/>
      <c r="H688" s="27" t="n"/>
    </row>
    <row r="689" ht="17.25" customHeight="1" s="322">
      <c r="A689" s="27" t="n"/>
      <c r="B689" s="506" t="n"/>
      <c r="C689" s="141" t="n"/>
      <c r="D689" s="141" t="n"/>
      <c r="E689" s="141" t="n"/>
      <c r="F689" s="141" t="n"/>
      <c r="G689" s="143" t="n"/>
      <c r="H689" s="27" t="n"/>
    </row>
    <row r="690" ht="17.25" customHeight="1" s="322">
      <c r="A690" s="27" t="n"/>
      <c r="B690" s="506" t="n"/>
      <c r="C690" s="141" t="n"/>
      <c r="D690" s="141" t="n"/>
      <c r="E690" s="141" t="n"/>
      <c r="F690" s="141" t="n"/>
      <c r="G690" s="143" t="n"/>
      <c r="H690" s="27" t="n"/>
    </row>
    <row r="691" ht="17.25" customHeight="1" s="322">
      <c r="A691" s="27" t="n"/>
      <c r="B691" s="506" t="n"/>
      <c r="C691" s="141" t="n"/>
      <c r="D691" s="141" t="n"/>
      <c r="E691" s="141" t="n"/>
      <c r="F691" s="141" t="n"/>
      <c r="G691" s="143" t="n"/>
      <c r="H691" s="27" t="n"/>
    </row>
    <row r="692" ht="17.25" customHeight="1" s="322">
      <c r="A692" s="27" t="n"/>
      <c r="B692" s="506" t="n"/>
      <c r="C692" s="141" t="n"/>
      <c r="D692" s="141" t="n"/>
      <c r="E692" s="141" t="n"/>
      <c r="F692" s="141" t="n"/>
      <c r="G692" s="143" t="n"/>
      <c r="H692" s="27" t="n"/>
    </row>
    <row r="693" ht="17.25" customHeight="1" s="322">
      <c r="A693" s="27" t="n"/>
      <c r="B693" s="506" t="n"/>
      <c r="C693" s="141" t="n"/>
      <c r="D693" s="141" t="n"/>
      <c r="E693" s="141" t="n"/>
      <c r="F693" s="141" t="n"/>
      <c r="G693" s="143" t="n"/>
      <c r="H693" s="27" t="n"/>
    </row>
    <row r="694" ht="17.25" customHeight="1" s="322">
      <c r="A694" s="27" t="n"/>
      <c r="B694" s="506" t="n"/>
      <c r="C694" s="141" t="n"/>
      <c r="D694" s="141" t="n"/>
      <c r="E694" s="141" t="n"/>
      <c r="F694" s="141" t="n"/>
      <c r="G694" s="143" t="n"/>
      <c r="H694" s="27" t="n"/>
    </row>
    <row r="695" ht="17.25" customHeight="1" s="322">
      <c r="A695" s="27" t="n"/>
      <c r="B695" s="506" t="n"/>
      <c r="C695" s="141" t="n"/>
      <c r="D695" s="141" t="n"/>
      <c r="E695" s="141" t="n"/>
      <c r="F695" s="141" t="n"/>
      <c r="G695" s="143" t="n"/>
      <c r="H695" s="27" t="n"/>
    </row>
    <row r="696" ht="17.25" customHeight="1" s="322">
      <c r="A696" s="27" t="n"/>
      <c r="B696" s="506" t="n"/>
      <c r="C696" s="141" t="n"/>
      <c r="D696" s="141" t="n"/>
      <c r="E696" s="141" t="n"/>
      <c r="F696" s="141" t="n"/>
      <c r="G696" s="143" t="n"/>
      <c r="H696" s="27" t="n"/>
    </row>
    <row r="697" ht="17.25" customHeight="1" s="322">
      <c r="A697" s="27" t="n"/>
      <c r="B697" s="506" t="n"/>
      <c r="C697" s="141" t="n"/>
      <c r="D697" s="141" t="n"/>
      <c r="E697" s="141" t="n"/>
      <c r="F697" s="141" t="n"/>
      <c r="G697" s="143" t="n"/>
      <c r="H697" s="27" t="n"/>
    </row>
    <row r="698" ht="17.25" customHeight="1" s="322">
      <c r="A698" s="27" t="n"/>
      <c r="B698" s="506" t="n"/>
      <c r="C698" s="141" t="n"/>
      <c r="D698" s="141" t="n"/>
      <c r="E698" s="141" t="n"/>
      <c r="F698" s="141" t="n"/>
      <c r="G698" s="143" t="n"/>
      <c r="H698" s="27" t="n"/>
    </row>
    <row r="699" ht="17.25" customHeight="1" s="322">
      <c r="A699" s="27" t="n"/>
      <c r="B699" s="506" t="n"/>
      <c r="C699" s="141" t="n"/>
      <c r="D699" s="141" t="n"/>
      <c r="E699" s="141" t="n"/>
      <c r="F699" s="141" t="n"/>
      <c r="G699" s="143" t="n"/>
      <c r="H699" s="27" t="n"/>
    </row>
    <row r="700" ht="17.25" customHeight="1" s="322">
      <c r="A700" s="27" t="n"/>
      <c r="B700" s="506" t="n"/>
      <c r="C700" s="141" t="n"/>
      <c r="D700" s="141" t="n"/>
      <c r="E700" s="141" t="n"/>
      <c r="F700" s="141" t="n"/>
      <c r="G700" s="143" t="n"/>
      <c r="H700" s="27" t="n"/>
    </row>
    <row r="701" ht="17.25" customHeight="1" s="322">
      <c r="A701" s="27" t="n"/>
      <c r="B701" s="506" t="n"/>
      <c r="C701" s="141" t="n"/>
      <c r="D701" s="141" t="n"/>
      <c r="E701" s="141" t="n"/>
      <c r="F701" s="141" t="n"/>
      <c r="G701" s="143" t="n"/>
      <c r="H701" s="27" t="n"/>
    </row>
    <row r="702" ht="17.25" customHeight="1" s="322">
      <c r="A702" s="27" t="n"/>
      <c r="B702" s="506" t="n"/>
      <c r="C702" s="141" t="n"/>
      <c r="D702" s="141" t="n"/>
      <c r="E702" s="141" t="n"/>
      <c r="F702" s="141" t="n"/>
      <c r="G702" s="143" t="n"/>
      <c r="H702" s="27" t="n"/>
    </row>
    <row r="703" ht="17.25" customHeight="1" s="322">
      <c r="A703" s="27" t="n"/>
      <c r="B703" s="506" t="n"/>
      <c r="C703" s="141" t="n"/>
      <c r="D703" s="141" t="n"/>
      <c r="E703" s="141" t="n"/>
      <c r="F703" s="141" t="n"/>
      <c r="G703" s="143" t="n"/>
      <c r="H703" s="27" t="n"/>
    </row>
    <row r="704" ht="17.25" customHeight="1" s="322">
      <c r="A704" s="27" t="n"/>
      <c r="B704" s="506" t="n"/>
      <c r="C704" s="141" t="n"/>
      <c r="D704" s="141" t="n"/>
      <c r="E704" s="141" t="n"/>
      <c r="F704" s="141" t="n"/>
      <c r="G704" s="143" t="n"/>
      <c r="H704" s="27" t="n"/>
    </row>
    <row r="705" ht="17.25" customHeight="1" s="322">
      <c r="A705" s="27" t="n"/>
      <c r="B705" s="506" t="n"/>
      <c r="C705" s="141" t="n"/>
      <c r="D705" s="141" t="n"/>
      <c r="E705" s="141" t="n"/>
      <c r="F705" s="141" t="n"/>
      <c r="G705" s="143" t="n"/>
      <c r="H705" s="27" t="n"/>
    </row>
    <row r="706" ht="17.25" customHeight="1" s="322">
      <c r="A706" s="27" t="n"/>
      <c r="B706" s="506" t="n"/>
      <c r="C706" s="141" t="n"/>
      <c r="D706" s="141" t="n"/>
      <c r="E706" s="141" t="n"/>
      <c r="F706" s="141" t="n"/>
      <c r="G706" s="143" t="n"/>
      <c r="H706" s="27" t="n"/>
    </row>
    <row r="707" ht="17.25" customHeight="1" s="322">
      <c r="A707" s="27" t="n"/>
      <c r="B707" s="506" t="n"/>
      <c r="C707" s="141" t="n"/>
      <c r="D707" s="141" t="n"/>
      <c r="E707" s="141" t="n"/>
      <c r="F707" s="141" t="n"/>
      <c r="G707" s="143" t="n"/>
      <c r="H707" s="27" t="n"/>
    </row>
    <row r="708" ht="17.25" customHeight="1" s="322">
      <c r="A708" s="27" t="n"/>
      <c r="B708" s="506" t="n"/>
      <c r="C708" s="141" t="n"/>
      <c r="D708" s="141" t="n"/>
      <c r="E708" s="141" t="n"/>
      <c r="F708" s="141" t="n"/>
      <c r="G708" s="143" t="n"/>
      <c r="H708" s="27" t="n"/>
    </row>
    <row r="709" ht="17.25" customHeight="1" s="322">
      <c r="A709" s="27" t="n"/>
      <c r="B709" s="506" t="n"/>
      <c r="C709" s="141" t="n"/>
      <c r="D709" s="141" t="n"/>
      <c r="E709" s="141" t="n"/>
      <c r="F709" s="141" t="n"/>
      <c r="G709" s="143" t="n"/>
      <c r="H709" s="27" t="n"/>
    </row>
    <row r="710" ht="17.25" customHeight="1" s="322">
      <c r="A710" s="27" t="n"/>
      <c r="B710" s="506" t="n"/>
      <c r="C710" s="141" t="n"/>
      <c r="D710" s="141" t="n"/>
      <c r="E710" s="141" t="n"/>
      <c r="F710" s="141" t="n"/>
      <c r="G710" s="143" t="n"/>
      <c r="H710" s="27" t="n"/>
    </row>
    <row r="711" ht="17.25" customHeight="1" s="322">
      <c r="A711" s="27" t="n"/>
      <c r="B711" s="506" t="n"/>
      <c r="C711" s="141" t="n"/>
      <c r="D711" s="141" t="n"/>
      <c r="E711" s="141" t="n"/>
      <c r="F711" s="141" t="n"/>
      <c r="G711" s="143" t="n"/>
      <c r="H711" s="27" t="n"/>
    </row>
    <row r="712" ht="17.25" customHeight="1" s="322">
      <c r="A712" s="27" t="n"/>
      <c r="B712" s="506" t="n"/>
      <c r="C712" s="141" t="n"/>
      <c r="D712" s="141" t="n"/>
      <c r="E712" s="141" t="n"/>
      <c r="F712" s="141" t="n"/>
      <c r="G712" s="143" t="n"/>
      <c r="H712" s="27" t="n"/>
    </row>
    <row r="713" ht="17.25" customHeight="1" s="322">
      <c r="A713" s="27" t="n"/>
      <c r="B713" s="506" t="n"/>
      <c r="C713" s="141" t="n"/>
      <c r="D713" s="141" t="n"/>
      <c r="E713" s="141" t="n"/>
      <c r="F713" s="141" t="n"/>
      <c r="G713" s="143" t="n"/>
      <c r="H713" s="27" t="n"/>
    </row>
    <row r="714" ht="17.25" customHeight="1" s="322">
      <c r="A714" s="27" t="n"/>
      <c r="B714" s="506" t="n"/>
      <c r="C714" s="141" t="n"/>
      <c r="D714" s="141" t="n"/>
      <c r="E714" s="141" t="n"/>
      <c r="F714" s="141" t="n"/>
      <c r="G714" s="143" t="n"/>
      <c r="H714" s="27" t="n"/>
    </row>
    <row r="715" ht="17.25" customHeight="1" s="322">
      <c r="A715" s="27" t="n"/>
      <c r="B715" s="506" t="n"/>
      <c r="C715" s="141" t="n"/>
      <c r="D715" s="141" t="n"/>
      <c r="E715" s="141" t="n"/>
      <c r="F715" s="141" t="n"/>
      <c r="G715" s="143" t="n"/>
      <c r="H715" s="27" t="n"/>
    </row>
    <row r="716" ht="17.25" customHeight="1" s="322">
      <c r="A716" s="27" t="n"/>
      <c r="B716" s="506" t="n"/>
      <c r="C716" s="141" t="n"/>
      <c r="D716" s="141" t="n"/>
      <c r="E716" s="141" t="n"/>
      <c r="F716" s="141" t="n"/>
      <c r="G716" s="143" t="n"/>
      <c r="H716" s="27" t="n"/>
    </row>
    <row r="717" ht="17.25" customHeight="1" s="322">
      <c r="A717" s="27" t="n"/>
      <c r="B717" s="506" t="n"/>
      <c r="C717" s="141" t="n"/>
      <c r="D717" s="141" t="n"/>
      <c r="E717" s="141" t="n"/>
      <c r="F717" s="141" t="n"/>
      <c r="G717" s="143" t="n"/>
      <c r="H717" s="27" t="n"/>
    </row>
    <row r="718" ht="17.25" customHeight="1" s="322">
      <c r="A718" s="27" t="n"/>
      <c r="B718" s="506" t="n"/>
      <c r="C718" s="141" t="n"/>
      <c r="D718" s="141" t="n"/>
      <c r="E718" s="141" t="n"/>
      <c r="F718" s="141" t="n"/>
      <c r="G718" s="143" t="n"/>
      <c r="H718" s="27" t="n"/>
    </row>
    <row r="719" ht="17.25" customHeight="1" s="322">
      <c r="A719" s="27" t="n"/>
      <c r="B719" s="506" t="n"/>
      <c r="C719" s="141" t="n"/>
      <c r="D719" s="141" t="n"/>
      <c r="E719" s="141" t="n"/>
      <c r="F719" s="141" t="n"/>
      <c r="G719" s="143" t="n"/>
      <c r="H719" s="27" t="n"/>
    </row>
    <row r="720" ht="17.25" customHeight="1" s="322">
      <c r="A720" s="27" t="n"/>
      <c r="B720" s="506" t="n"/>
      <c r="C720" s="141" t="n"/>
      <c r="D720" s="141" t="n"/>
      <c r="E720" s="141" t="n"/>
      <c r="F720" s="141" t="n"/>
      <c r="G720" s="143" t="n"/>
      <c r="H720" s="27" t="n"/>
    </row>
    <row r="721" ht="17.25" customHeight="1" s="322">
      <c r="A721" s="27" t="n"/>
      <c r="B721" s="506" t="n"/>
      <c r="C721" s="141" t="n"/>
      <c r="D721" s="141" t="n"/>
      <c r="E721" s="141" t="n"/>
      <c r="F721" s="141" t="n"/>
      <c r="G721" s="143" t="n"/>
      <c r="H721" s="27" t="n"/>
    </row>
    <row r="722" ht="17.25" customHeight="1" s="322">
      <c r="A722" s="27" t="n"/>
      <c r="B722" s="506" t="n"/>
      <c r="C722" s="141" t="n"/>
      <c r="D722" s="141" t="n"/>
      <c r="E722" s="141" t="n"/>
      <c r="F722" s="141" t="n"/>
      <c r="G722" s="143" t="n"/>
      <c r="H722" s="27" t="n"/>
    </row>
    <row r="723" ht="17.25" customHeight="1" s="322">
      <c r="A723" s="27" t="n"/>
      <c r="B723" s="506" t="n"/>
      <c r="C723" s="141" t="n"/>
      <c r="D723" s="141" t="n"/>
      <c r="E723" s="141" t="n"/>
      <c r="F723" s="141" t="n"/>
      <c r="G723" s="143" t="n"/>
      <c r="H723" s="27" t="n"/>
    </row>
    <row r="724" ht="17.25" customHeight="1" s="322">
      <c r="A724" s="27" t="n"/>
      <c r="B724" s="506" t="n"/>
      <c r="C724" s="141" t="n"/>
      <c r="D724" s="141" t="n"/>
      <c r="E724" s="141" t="n"/>
      <c r="F724" s="141" t="n"/>
      <c r="G724" s="143" t="n"/>
      <c r="H724" s="27" t="n"/>
    </row>
    <row r="725" ht="17.25" customHeight="1" s="322">
      <c r="A725" s="27" t="n"/>
      <c r="B725" s="506" t="n"/>
      <c r="C725" s="141" t="n"/>
      <c r="D725" s="141" t="n"/>
      <c r="E725" s="141" t="n"/>
      <c r="F725" s="141" t="n"/>
      <c r="G725" s="143" t="n"/>
      <c r="H725" s="27" t="n"/>
    </row>
    <row r="726" ht="17.25" customHeight="1" s="322">
      <c r="A726" s="27" t="n"/>
      <c r="B726" s="506" t="n"/>
      <c r="C726" s="141" t="n"/>
      <c r="D726" s="141" t="n"/>
      <c r="E726" s="141" t="n"/>
      <c r="F726" s="141" t="n"/>
      <c r="G726" s="143" t="n"/>
      <c r="H726" s="27" t="n"/>
    </row>
    <row r="727" ht="17.25" customHeight="1" s="322">
      <c r="A727" s="27" t="n"/>
      <c r="B727" s="506" t="n"/>
      <c r="C727" s="141" t="n"/>
      <c r="D727" s="141" t="n"/>
      <c r="E727" s="141" t="n"/>
      <c r="F727" s="141" t="n"/>
      <c r="G727" s="143" t="n"/>
      <c r="H727" s="27" t="n"/>
    </row>
    <row r="728" ht="17.25" customHeight="1" s="322">
      <c r="A728" s="27" t="n"/>
      <c r="B728" s="506" t="n"/>
      <c r="C728" s="141" t="n"/>
      <c r="D728" s="141" t="n"/>
      <c r="E728" s="141" t="n"/>
      <c r="F728" s="141" t="n"/>
      <c r="G728" s="143" t="n"/>
      <c r="H728" s="27" t="n"/>
    </row>
    <row r="729" ht="17.25" customHeight="1" s="322">
      <c r="A729" s="27" t="n"/>
      <c r="B729" s="506" t="n"/>
      <c r="C729" s="141" t="n"/>
      <c r="D729" s="141" t="n"/>
      <c r="E729" s="141" t="n"/>
      <c r="F729" s="141" t="n"/>
      <c r="G729" s="143" t="n"/>
      <c r="H729" s="27" t="n"/>
    </row>
    <row r="730" ht="17.25" customHeight="1" s="322">
      <c r="A730" s="27" t="n"/>
      <c r="B730" s="506" t="n"/>
      <c r="C730" s="141" t="n"/>
      <c r="D730" s="141" t="n"/>
      <c r="E730" s="141" t="n"/>
      <c r="F730" s="141" t="n"/>
      <c r="G730" s="143" t="n"/>
      <c r="H730" s="27" t="n"/>
    </row>
    <row r="731" ht="17.25" customHeight="1" s="322">
      <c r="A731" s="27" t="n"/>
      <c r="B731" s="506" t="n"/>
      <c r="C731" s="141" t="n"/>
      <c r="D731" s="141" t="n"/>
      <c r="E731" s="141" t="n"/>
      <c r="F731" s="141" t="n"/>
      <c r="G731" s="143" t="n"/>
      <c r="H731" s="27" t="n"/>
    </row>
    <row r="732" ht="17.25" customHeight="1" s="322">
      <c r="A732" s="27" t="n"/>
      <c r="B732" s="506" t="n"/>
      <c r="C732" s="141" t="n"/>
      <c r="D732" s="141" t="n"/>
      <c r="E732" s="141" t="n"/>
      <c r="F732" s="141" t="n"/>
      <c r="G732" s="143" t="n"/>
      <c r="H732" s="27" t="n"/>
    </row>
    <row r="733" ht="17.25" customHeight="1" s="322">
      <c r="A733" s="27" t="n"/>
      <c r="B733" s="506" t="n"/>
      <c r="C733" s="141" t="n"/>
      <c r="D733" s="141" t="n"/>
      <c r="E733" s="141" t="n"/>
      <c r="F733" s="141" t="n"/>
      <c r="G733" s="143" t="n"/>
      <c r="H733" s="27" t="n"/>
    </row>
    <row r="734" ht="17.25" customHeight="1" s="322">
      <c r="A734" s="27" t="n"/>
      <c r="B734" s="506" t="n"/>
      <c r="C734" s="141" t="n"/>
      <c r="D734" s="141" t="n"/>
      <c r="E734" s="141" t="n"/>
      <c r="F734" s="141" t="n"/>
      <c r="G734" s="143" t="n"/>
      <c r="H734" s="27" t="n"/>
    </row>
    <row r="735" ht="17.25" customHeight="1" s="322">
      <c r="A735" s="27" t="n"/>
      <c r="B735" s="506" t="n"/>
      <c r="C735" s="141" t="n"/>
      <c r="D735" s="141" t="n"/>
      <c r="E735" s="141" t="n"/>
      <c r="F735" s="141" t="n"/>
      <c r="G735" s="143" t="n"/>
      <c r="H735" s="27" t="n"/>
    </row>
    <row r="736" ht="17.25" customHeight="1" s="322">
      <c r="A736" s="27" t="n"/>
      <c r="B736" s="506" t="n"/>
      <c r="C736" s="141" t="n"/>
      <c r="D736" s="141" t="n"/>
      <c r="E736" s="141" t="n"/>
      <c r="F736" s="141" t="n"/>
      <c r="G736" s="143" t="n"/>
      <c r="H736" s="27" t="n"/>
    </row>
    <row r="737" ht="17.25" customHeight="1" s="322">
      <c r="A737" s="27" t="n"/>
      <c r="B737" s="506" t="n"/>
      <c r="C737" s="141" t="n"/>
      <c r="D737" s="141" t="n"/>
      <c r="E737" s="141" t="n"/>
      <c r="F737" s="141" t="n"/>
      <c r="G737" s="143" t="n"/>
      <c r="H737" s="27" t="n"/>
    </row>
    <row r="738" ht="17.25" customHeight="1" s="322">
      <c r="A738" s="27" t="n"/>
      <c r="B738" s="506" t="n"/>
      <c r="C738" s="141" t="n"/>
      <c r="D738" s="141" t="n"/>
      <c r="E738" s="141" t="n"/>
      <c r="F738" s="141" t="n"/>
      <c r="G738" s="143" t="n"/>
      <c r="H738" s="27" t="n"/>
    </row>
    <row r="739" ht="17.25" customHeight="1" s="322">
      <c r="A739" s="27" t="n"/>
      <c r="B739" s="506" t="n"/>
      <c r="C739" s="141" t="n"/>
      <c r="D739" s="141" t="n"/>
      <c r="E739" s="141" t="n"/>
      <c r="F739" s="141" t="n"/>
      <c r="G739" s="143" t="n"/>
      <c r="H739" s="27" t="n"/>
    </row>
    <row r="740" ht="17.25" customHeight="1" s="322">
      <c r="A740" s="27" t="n"/>
      <c r="B740" s="506" t="n"/>
      <c r="C740" s="141" t="n"/>
      <c r="D740" s="141" t="n"/>
      <c r="E740" s="141" t="n"/>
      <c r="F740" s="141" t="n"/>
      <c r="G740" s="143" t="n"/>
      <c r="H740" s="27" t="n"/>
    </row>
    <row r="741" ht="17.25" customHeight="1" s="322">
      <c r="A741" s="27" t="n"/>
      <c r="B741" s="506" t="n"/>
      <c r="C741" s="141" t="n"/>
      <c r="D741" s="141" t="n"/>
      <c r="E741" s="141" t="n"/>
      <c r="F741" s="141" t="n"/>
      <c r="G741" s="143" t="n"/>
      <c r="H741" s="27" t="n"/>
    </row>
    <row r="742" ht="17.25" customHeight="1" s="322">
      <c r="A742" s="27" t="n"/>
      <c r="B742" s="506" t="n"/>
      <c r="C742" s="141" t="n"/>
      <c r="D742" s="141" t="n"/>
      <c r="E742" s="141" t="n"/>
      <c r="F742" s="141" t="n"/>
      <c r="G742" s="143" t="n"/>
      <c r="H742" s="27" t="n"/>
    </row>
    <row r="743" ht="17.25" customHeight="1" s="322">
      <c r="A743" s="27" t="n"/>
      <c r="B743" s="506" t="n"/>
      <c r="C743" s="141" t="n"/>
      <c r="D743" s="141" t="n"/>
      <c r="E743" s="141" t="n"/>
      <c r="F743" s="141" t="n"/>
      <c r="G743" s="143" t="n"/>
      <c r="H743" s="27" t="n"/>
    </row>
    <row r="744" ht="17.25" customHeight="1" s="322">
      <c r="A744" s="27" t="n"/>
      <c r="B744" s="506" t="n"/>
      <c r="C744" s="141" t="n"/>
      <c r="D744" s="141" t="n"/>
      <c r="E744" s="141" t="n"/>
      <c r="F744" s="141" t="n"/>
      <c r="G744" s="143" t="n"/>
      <c r="H744" s="27" t="n"/>
    </row>
    <row r="745" ht="17.25" customHeight="1" s="322">
      <c r="A745" s="27" t="n"/>
      <c r="B745" s="506" t="n"/>
      <c r="C745" s="141" t="n"/>
      <c r="D745" s="141" t="n"/>
      <c r="E745" s="141" t="n"/>
      <c r="F745" s="141" t="n"/>
      <c r="G745" s="143" t="n"/>
      <c r="H745" s="27" t="n"/>
    </row>
    <row r="746" ht="17.25" customHeight="1" s="322">
      <c r="A746" s="27" t="n"/>
      <c r="B746" s="506" t="n"/>
      <c r="C746" s="141" t="n"/>
      <c r="D746" s="141" t="n"/>
      <c r="E746" s="141" t="n"/>
      <c r="F746" s="141" t="n"/>
      <c r="G746" s="143" t="n"/>
      <c r="H746" s="27" t="n"/>
    </row>
    <row r="747" ht="17.25" customHeight="1" s="322">
      <c r="A747" s="27" t="n"/>
      <c r="B747" s="506" t="n"/>
      <c r="C747" s="141" t="n"/>
      <c r="D747" s="141" t="n"/>
      <c r="E747" s="141" t="n"/>
      <c r="F747" s="141" t="n"/>
      <c r="G747" s="143" t="n"/>
      <c r="H747" s="27" t="n"/>
    </row>
    <row r="748" ht="17.25" customHeight="1" s="322">
      <c r="A748" s="27" t="n"/>
      <c r="B748" s="506" t="n"/>
      <c r="C748" s="141" t="n"/>
      <c r="D748" s="141" t="n"/>
      <c r="E748" s="141" t="n"/>
      <c r="F748" s="141" t="n"/>
      <c r="G748" s="143" t="n"/>
      <c r="H748" s="27" t="n"/>
    </row>
    <row r="749" ht="17.25" customHeight="1" s="322">
      <c r="A749" s="27" t="n"/>
      <c r="B749" s="506" t="n"/>
      <c r="C749" s="141" t="n"/>
      <c r="D749" s="141" t="n"/>
      <c r="E749" s="141" t="n"/>
      <c r="F749" s="141" t="n"/>
      <c r="G749" s="143" t="n"/>
      <c r="H749" s="27" t="n"/>
    </row>
    <row r="750" ht="17.25" customHeight="1" s="322">
      <c r="A750" s="27" t="n"/>
      <c r="B750" s="506" t="n"/>
      <c r="C750" s="141" t="n"/>
      <c r="D750" s="141" t="n"/>
      <c r="E750" s="141" t="n"/>
      <c r="F750" s="141" t="n"/>
      <c r="G750" s="143" t="n"/>
      <c r="H750" s="27" t="n"/>
    </row>
    <row r="751" ht="17.25" customHeight="1" s="322">
      <c r="A751" s="27" t="n"/>
      <c r="B751" s="506" t="n"/>
      <c r="C751" s="141" t="n"/>
      <c r="D751" s="141" t="n"/>
      <c r="E751" s="141" t="n"/>
      <c r="F751" s="141" t="n"/>
      <c r="G751" s="143" t="n"/>
      <c r="H751" s="27" t="n"/>
    </row>
    <row r="752" ht="17.25" customHeight="1" s="322">
      <c r="A752" s="27" t="n"/>
      <c r="B752" s="506" t="n"/>
      <c r="C752" s="141" t="n"/>
      <c r="D752" s="141" t="n"/>
      <c r="E752" s="141" t="n"/>
      <c r="F752" s="141" t="n"/>
      <c r="G752" s="143" t="n"/>
      <c r="H752" s="27" t="n"/>
    </row>
    <row r="753" ht="17.25" customHeight="1" s="322">
      <c r="A753" s="27" t="n"/>
      <c r="B753" s="506" t="n"/>
      <c r="C753" s="141" t="n"/>
      <c r="D753" s="141" t="n"/>
      <c r="E753" s="141" t="n"/>
      <c r="F753" s="141" t="n"/>
      <c r="G753" s="143" t="n"/>
      <c r="H753" s="27" t="n"/>
    </row>
    <row r="754" ht="17.25" customHeight="1" s="322">
      <c r="A754" s="27" t="n"/>
      <c r="B754" s="506" t="n"/>
      <c r="C754" s="141" t="n"/>
      <c r="D754" s="141" t="n"/>
      <c r="E754" s="141" t="n"/>
      <c r="F754" s="141" t="n"/>
      <c r="G754" s="143" t="n"/>
      <c r="H754" s="27" t="n"/>
    </row>
    <row r="755" ht="17.25" customHeight="1" s="322">
      <c r="A755" s="27" t="n"/>
      <c r="B755" s="506" t="n"/>
      <c r="C755" s="141" t="n"/>
      <c r="D755" s="141" t="n"/>
      <c r="E755" s="141" t="n"/>
      <c r="F755" s="141" t="n"/>
      <c r="G755" s="143" t="n"/>
      <c r="H755" s="27" t="n"/>
    </row>
    <row r="756" ht="17.25" customHeight="1" s="322">
      <c r="A756" s="27" t="n"/>
      <c r="B756" s="506" t="n"/>
      <c r="C756" s="141" t="n"/>
      <c r="D756" s="141" t="n"/>
      <c r="E756" s="141" t="n"/>
      <c r="F756" s="141" t="n"/>
      <c r="G756" s="143" t="n"/>
      <c r="H756" s="27" t="n"/>
    </row>
    <row r="757" ht="17.25" customHeight="1" s="322">
      <c r="A757" s="27" t="n"/>
      <c r="B757" s="506" t="n"/>
      <c r="C757" s="141" t="n"/>
      <c r="D757" s="141" t="n"/>
      <c r="E757" s="141" t="n"/>
      <c r="F757" s="141" t="n"/>
      <c r="G757" s="143" t="n"/>
      <c r="H757" s="27" t="n"/>
    </row>
    <row r="758" ht="17.25" customHeight="1" s="322">
      <c r="A758" s="27" t="n"/>
      <c r="B758" s="506" t="n"/>
      <c r="C758" s="141" t="n"/>
      <c r="D758" s="141" t="n"/>
      <c r="E758" s="141" t="n"/>
      <c r="F758" s="141" t="n"/>
      <c r="G758" s="143" t="n"/>
      <c r="H758" s="27" t="n"/>
    </row>
    <row r="759" ht="17.25" customHeight="1" s="322">
      <c r="A759" s="27" t="n"/>
      <c r="B759" s="506" t="n"/>
      <c r="C759" s="141" t="n"/>
      <c r="D759" s="141" t="n"/>
      <c r="E759" s="141" t="n"/>
      <c r="F759" s="141" t="n"/>
      <c r="G759" s="143" t="n"/>
      <c r="H759" s="27" t="n"/>
    </row>
    <row r="760" ht="17.25" customHeight="1" s="322">
      <c r="A760" s="27" t="n"/>
      <c r="B760" s="506" t="n"/>
      <c r="C760" s="141" t="n"/>
      <c r="D760" s="141" t="n"/>
      <c r="E760" s="141" t="n"/>
      <c r="F760" s="141" t="n"/>
      <c r="G760" s="143" t="n"/>
      <c r="H760" s="27" t="n"/>
    </row>
    <row r="761" ht="17.25" customHeight="1" s="322">
      <c r="A761" s="27" t="n"/>
      <c r="B761" s="506" t="n"/>
      <c r="C761" s="141" t="n"/>
      <c r="D761" s="141" t="n"/>
      <c r="E761" s="141" t="n"/>
      <c r="F761" s="141" t="n"/>
      <c r="G761" s="143" t="n"/>
      <c r="H761" s="27" t="n"/>
    </row>
    <row r="762" ht="17.25" customHeight="1" s="322">
      <c r="A762" s="27" t="n"/>
      <c r="B762" s="506" t="n"/>
      <c r="C762" s="141" t="n"/>
      <c r="D762" s="141" t="n"/>
      <c r="E762" s="141" t="n"/>
      <c r="F762" s="141" t="n"/>
      <c r="G762" s="143" t="n"/>
      <c r="H762" s="27" t="n"/>
    </row>
    <row r="763" ht="17.25" customHeight="1" s="322">
      <c r="A763" s="27" t="n"/>
      <c r="B763" s="506" t="n"/>
      <c r="C763" s="141" t="n"/>
      <c r="D763" s="141" t="n"/>
      <c r="E763" s="141" t="n"/>
      <c r="F763" s="141" t="n"/>
      <c r="G763" s="143" t="n"/>
      <c r="H763" s="27" t="n"/>
    </row>
    <row r="764" ht="17.25" customHeight="1" s="322">
      <c r="A764" s="27" t="n"/>
      <c r="B764" s="506" t="n"/>
      <c r="C764" s="141" t="n"/>
      <c r="D764" s="141" t="n"/>
      <c r="E764" s="141" t="n"/>
      <c r="F764" s="141" t="n"/>
      <c r="G764" s="143" t="n"/>
      <c r="H764" s="27" t="n"/>
    </row>
    <row r="765" ht="17.25" customHeight="1" s="322">
      <c r="A765" s="27" t="n"/>
      <c r="B765" s="506" t="n"/>
      <c r="C765" s="141" t="n"/>
      <c r="D765" s="141" t="n"/>
      <c r="E765" s="141" t="n"/>
      <c r="F765" s="141" t="n"/>
      <c r="G765" s="143" t="n"/>
      <c r="H765" s="27" t="n"/>
    </row>
    <row r="766" ht="17.25" customHeight="1" s="322">
      <c r="A766" s="27" t="n"/>
      <c r="B766" s="506" t="n"/>
      <c r="C766" s="141" t="n"/>
      <c r="D766" s="141" t="n"/>
      <c r="E766" s="141" t="n"/>
      <c r="F766" s="141" t="n"/>
      <c r="G766" s="143" t="n"/>
      <c r="H766" s="27" t="n"/>
    </row>
    <row r="767" ht="17.25" customHeight="1" s="322">
      <c r="A767" s="27" t="n"/>
      <c r="B767" s="506" t="n"/>
      <c r="C767" s="141" t="n"/>
      <c r="D767" s="141" t="n"/>
      <c r="E767" s="141" t="n"/>
      <c r="F767" s="141" t="n"/>
      <c r="G767" s="143" t="n"/>
      <c r="H767" s="27" t="n"/>
    </row>
    <row r="768" ht="17.25" customHeight="1" s="322">
      <c r="A768" s="27" t="n"/>
      <c r="B768" s="506" t="n"/>
      <c r="C768" s="141" t="n"/>
      <c r="D768" s="141" t="n"/>
      <c r="E768" s="141" t="n"/>
      <c r="F768" s="141" t="n"/>
      <c r="G768" s="143" t="n"/>
      <c r="H768" s="27" t="n"/>
    </row>
    <row r="769" ht="17.25" customHeight="1" s="322">
      <c r="A769" s="27" t="n"/>
      <c r="B769" s="506" t="n"/>
      <c r="C769" s="141" t="n"/>
      <c r="D769" s="141" t="n"/>
      <c r="E769" s="141" t="n"/>
      <c r="F769" s="141" t="n"/>
      <c r="G769" s="143" t="n"/>
      <c r="H769" s="27" t="n"/>
    </row>
    <row r="770" ht="17.25" customHeight="1" s="322">
      <c r="A770" s="27" t="n"/>
      <c r="B770" s="506" t="n"/>
      <c r="C770" s="141" t="n"/>
      <c r="D770" s="141" t="n"/>
      <c r="E770" s="141" t="n"/>
      <c r="F770" s="141" t="n"/>
      <c r="G770" s="143" t="n"/>
      <c r="H770" s="27" t="n"/>
    </row>
    <row r="771" ht="17.25" customHeight="1" s="322">
      <c r="A771" s="27" t="n"/>
      <c r="B771" s="506" t="n"/>
      <c r="C771" s="141" t="n"/>
      <c r="D771" s="141" t="n"/>
      <c r="E771" s="141" t="n"/>
      <c r="F771" s="141" t="n"/>
      <c r="G771" s="143" t="n"/>
      <c r="H771" s="27" t="n"/>
    </row>
    <row r="772" ht="17.25" customHeight="1" s="322">
      <c r="A772" s="27" t="n"/>
      <c r="B772" s="506" t="n"/>
      <c r="C772" s="141" t="n"/>
      <c r="D772" s="141" t="n"/>
      <c r="E772" s="141" t="n"/>
      <c r="F772" s="141" t="n"/>
      <c r="G772" s="143" t="n"/>
      <c r="H772" s="27" t="n"/>
    </row>
    <row r="773" ht="17.25" customHeight="1" s="322">
      <c r="A773" s="27" t="n"/>
      <c r="B773" s="506" t="n"/>
      <c r="C773" s="141" t="n"/>
      <c r="D773" s="141" t="n"/>
      <c r="E773" s="141" t="n"/>
      <c r="F773" s="141" t="n"/>
      <c r="G773" s="143" t="n"/>
      <c r="H773" s="27" t="n"/>
    </row>
    <row r="774" ht="17.25" customHeight="1" s="322">
      <c r="A774" s="27" t="n"/>
      <c r="B774" s="506" t="n"/>
      <c r="C774" s="141" t="n"/>
      <c r="D774" s="141" t="n"/>
      <c r="E774" s="141" t="n"/>
      <c r="F774" s="141" t="n"/>
      <c r="G774" s="143" t="n"/>
      <c r="H774" s="27" t="n"/>
    </row>
    <row r="775" ht="17.25" customHeight="1" s="322">
      <c r="A775" s="27" t="n"/>
      <c r="B775" s="506" t="n"/>
      <c r="C775" s="141" t="n"/>
      <c r="D775" s="141" t="n"/>
      <c r="E775" s="141" t="n"/>
      <c r="F775" s="141" t="n"/>
      <c r="G775" s="143" t="n"/>
      <c r="H775" s="27" t="n"/>
    </row>
    <row r="776" ht="17.25" customHeight="1" s="322">
      <c r="A776" s="27" t="n"/>
      <c r="B776" s="506" t="n"/>
      <c r="C776" s="141" t="n"/>
      <c r="D776" s="141" t="n"/>
      <c r="E776" s="141" t="n"/>
      <c r="F776" s="141" t="n"/>
      <c r="G776" s="143" t="n"/>
      <c r="H776" s="27" t="n"/>
    </row>
    <row r="777" ht="17.25" customHeight="1" s="322">
      <c r="A777" s="27" t="n"/>
      <c r="B777" s="506" t="n"/>
      <c r="C777" s="141" t="n"/>
      <c r="D777" s="141" t="n"/>
      <c r="E777" s="141" t="n"/>
      <c r="F777" s="141" t="n"/>
      <c r="G777" s="143" t="n"/>
      <c r="H777" s="27" t="n"/>
    </row>
    <row r="778" ht="17.25" customHeight="1" s="322">
      <c r="A778" s="27" t="n"/>
      <c r="B778" s="506" t="n"/>
      <c r="C778" s="141" t="n"/>
      <c r="D778" s="141" t="n"/>
      <c r="E778" s="141" t="n"/>
      <c r="F778" s="141" t="n"/>
      <c r="G778" s="143" t="n"/>
      <c r="H778" s="27" t="n"/>
    </row>
    <row r="779" ht="17.25" customHeight="1" s="322">
      <c r="A779" s="27" t="n"/>
      <c r="B779" s="506" t="n"/>
      <c r="C779" s="141" t="n"/>
      <c r="D779" s="141" t="n"/>
      <c r="E779" s="141" t="n"/>
      <c r="F779" s="141" t="n"/>
      <c r="G779" s="143" t="n"/>
      <c r="H779" s="27" t="n"/>
    </row>
    <row r="780" ht="17.25" customHeight="1" s="322">
      <c r="A780" s="27" t="n"/>
      <c r="B780" s="506" t="n"/>
      <c r="C780" s="141" t="n"/>
      <c r="D780" s="141" t="n"/>
      <c r="E780" s="141" t="n"/>
      <c r="F780" s="141" t="n"/>
      <c r="G780" s="143" t="n"/>
      <c r="H780" s="27" t="n"/>
    </row>
    <row r="781" ht="17.25" customHeight="1" s="322">
      <c r="A781" s="27" t="n"/>
      <c r="B781" s="506" t="n"/>
      <c r="C781" s="141" t="n"/>
      <c r="D781" s="141" t="n"/>
      <c r="E781" s="141" t="n"/>
      <c r="F781" s="141" t="n"/>
      <c r="G781" s="143" t="n"/>
      <c r="H781" s="27" t="n"/>
    </row>
    <row r="782" ht="17.25" customHeight="1" s="322">
      <c r="A782" s="27" t="n"/>
      <c r="B782" s="506" t="n"/>
      <c r="C782" s="141" t="n"/>
      <c r="D782" s="141" t="n"/>
      <c r="E782" s="141" t="n"/>
      <c r="F782" s="141" t="n"/>
      <c r="G782" s="143" t="n"/>
      <c r="H782" s="27" t="n"/>
    </row>
    <row r="783" ht="17.25" customHeight="1" s="322">
      <c r="A783" s="27" t="n"/>
      <c r="B783" s="506" t="n"/>
      <c r="C783" s="141" t="n"/>
      <c r="D783" s="141" t="n"/>
      <c r="E783" s="141" t="n"/>
      <c r="F783" s="141" t="n"/>
      <c r="G783" s="143" t="n"/>
      <c r="H783" s="27" t="n"/>
    </row>
    <row r="784" ht="17.25" customHeight="1" s="322">
      <c r="A784" s="27" t="n"/>
      <c r="B784" s="506" t="n"/>
      <c r="C784" s="141" t="n"/>
      <c r="D784" s="141" t="n"/>
      <c r="E784" s="141" t="n"/>
      <c r="F784" s="141" t="n"/>
      <c r="G784" s="143" t="n"/>
      <c r="H784" s="27" t="n"/>
    </row>
    <row r="785" ht="17.25" customHeight="1" s="322">
      <c r="A785" s="27" t="n"/>
      <c r="B785" s="506" t="n"/>
      <c r="C785" s="141" t="n"/>
      <c r="D785" s="141" t="n"/>
      <c r="E785" s="141" t="n"/>
      <c r="F785" s="141" t="n"/>
      <c r="G785" s="143" t="n"/>
      <c r="H785" s="27" t="n"/>
    </row>
    <row r="786" ht="17.25" customHeight="1" s="322">
      <c r="A786" s="27" t="n"/>
      <c r="B786" s="506" t="n"/>
      <c r="C786" s="141" t="n"/>
      <c r="D786" s="141" t="n"/>
      <c r="E786" s="141" t="n"/>
      <c r="F786" s="141" t="n"/>
      <c r="G786" s="143" t="n"/>
      <c r="H786" s="27" t="n"/>
    </row>
    <row r="787" ht="17.25" customHeight="1" s="322">
      <c r="A787" s="27" t="n"/>
      <c r="B787" s="506" t="n"/>
      <c r="C787" s="141" t="n"/>
      <c r="D787" s="141" t="n"/>
      <c r="E787" s="141" t="n"/>
      <c r="F787" s="141" t="n"/>
      <c r="G787" s="143" t="n"/>
      <c r="H787" s="27" t="n"/>
    </row>
    <row r="788" ht="17.25" customHeight="1" s="322">
      <c r="A788" s="27" t="n"/>
      <c r="B788" s="506" t="n"/>
      <c r="C788" s="141" t="n"/>
      <c r="D788" s="141" t="n"/>
      <c r="E788" s="141" t="n"/>
      <c r="F788" s="141" t="n"/>
      <c r="G788" s="143" t="n"/>
      <c r="H788" s="27" t="n"/>
    </row>
    <row r="789" ht="17.25" customHeight="1" s="322">
      <c r="A789" s="27" t="n"/>
      <c r="B789" s="506" t="n"/>
      <c r="C789" s="141" t="n"/>
      <c r="D789" s="141" t="n"/>
      <c r="E789" s="141" t="n"/>
      <c r="F789" s="141" t="n"/>
      <c r="G789" s="143" t="n"/>
      <c r="H789" s="27" t="n"/>
    </row>
    <row r="790" ht="17.25" customHeight="1" s="322">
      <c r="A790" s="27" t="n"/>
      <c r="B790" s="506" t="n"/>
      <c r="C790" s="141" t="n"/>
      <c r="D790" s="141" t="n"/>
      <c r="E790" s="141" t="n"/>
      <c r="F790" s="141" t="n"/>
      <c r="G790" s="143" t="n"/>
      <c r="H790" s="27" t="n"/>
    </row>
    <row r="791" ht="17.25" customHeight="1" s="322">
      <c r="A791" s="27" t="n"/>
      <c r="B791" s="506" t="n"/>
      <c r="C791" s="141" t="n"/>
      <c r="D791" s="141" t="n"/>
      <c r="E791" s="141" t="n"/>
      <c r="F791" s="141" t="n"/>
      <c r="G791" s="143" t="n"/>
      <c r="H791" s="27" t="n"/>
    </row>
    <row r="792" ht="17.25" customHeight="1" s="322">
      <c r="A792" s="27" t="n"/>
      <c r="B792" s="506" t="n"/>
      <c r="C792" s="141" t="n"/>
      <c r="D792" s="141" t="n"/>
      <c r="E792" s="141" t="n"/>
      <c r="F792" s="141" t="n"/>
      <c r="G792" s="143" t="n"/>
      <c r="H792" s="27" t="n"/>
    </row>
    <row r="793" ht="17.25" customHeight="1" s="322">
      <c r="A793" s="27" t="n"/>
      <c r="B793" s="506" t="n"/>
      <c r="C793" s="141" t="n"/>
      <c r="D793" s="141" t="n"/>
      <c r="E793" s="141" t="n"/>
      <c r="F793" s="141" t="n"/>
      <c r="G793" s="143" t="n"/>
      <c r="H793" s="27" t="n"/>
    </row>
    <row r="794" ht="17.25" customHeight="1" s="322">
      <c r="A794" s="27" t="n"/>
      <c r="B794" s="506" t="n"/>
      <c r="C794" s="141" t="n"/>
      <c r="D794" s="141" t="n"/>
      <c r="E794" s="141" t="n"/>
      <c r="F794" s="141" t="n"/>
      <c r="G794" s="143" t="n"/>
      <c r="H794" s="27" t="n"/>
    </row>
    <row r="795" ht="17.25" customHeight="1" s="322">
      <c r="A795" s="27" t="n"/>
      <c r="B795" s="506" t="n"/>
      <c r="C795" s="141" t="n"/>
      <c r="D795" s="141" t="n"/>
      <c r="E795" s="141" t="n"/>
      <c r="F795" s="141" t="n"/>
      <c r="G795" s="143" t="n"/>
      <c r="H795" s="27" t="n"/>
    </row>
    <row r="796" ht="17.25" customHeight="1" s="322">
      <c r="A796" s="27" t="n"/>
      <c r="B796" s="506" t="n"/>
      <c r="C796" s="141" t="n"/>
      <c r="D796" s="141" t="n"/>
      <c r="E796" s="141" t="n"/>
      <c r="F796" s="141" t="n"/>
      <c r="G796" s="143" t="n"/>
      <c r="H796" s="27" t="n"/>
    </row>
    <row r="797" ht="17.25" customHeight="1" s="322">
      <c r="A797" s="27" t="n"/>
      <c r="B797" s="506" t="n"/>
      <c r="C797" s="141" t="n"/>
      <c r="D797" s="141" t="n"/>
      <c r="E797" s="141" t="n"/>
      <c r="F797" s="141" t="n"/>
      <c r="G797" s="143" t="n"/>
      <c r="H797" s="27" t="n"/>
    </row>
    <row r="798" ht="17.25" customHeight="1" s="322">
      <c r="A798" s="27" t="n"/>
      <c r="B798" s="506" t="n"/>
      <c r="C798" s="141" t="n"/>
      <c r="D798" s="141" t="n"/>
      <c r="E798" s="141" t="n"/>
      <c r="F798" s="141" t="n"/>
      <c r="G798" s="143" t="n"/>
      <c r="H798" s="27" t="n"/>
    </row>
    <row r="799" ht="17.25" customHeight="1" s="322">
      <c r="A799" s="27" t="n"/>
      <c r="B799" s="506" t="n"/>
      <c r="C799" s="141" t="n"/>
      <c r="D799" s="141" t="n"/>
      <c r="E799" s="141" t="n"/>
      <c r="F799" s="141" t="n"/>
      <c r="G799" s="143" t="n"/>
      <c r="H799" s="27" t="n"/>
    </row>
    <row r="800" ht="17.25" customHeight="1" s="322">
      <c r="A800" s="27" t="n"/>
      <c r="B800" s="506" t="n"/>
      <c r="C800" s="141" t="n"/>
      <c r="D800" s="141" t="n"/>
      <c r="E800" s="141" t="n"/>
      <c r="F800" s="141" t="n"/>
      <c r="G800" s="143" t="n"/>
      <c r="H800" s="27" t="n"/>
    </row>
    <row r="801" ht="17.25" customHeight="1" s="322">
      <c r="A801" s="27" t="n"/>
      <c r="B801" s="506" t="n"/>
      <c r="C801" s="141" t="n"/>
      <c r="D801" s="141" t="n"/>
      <c r="E801" s="141" t="n"/>
      <c r="F801" s="141" t="n"/>
      <c r="G801" s="143" t="n"/>
      <c r="H801" s="27" t="n"/>
    </row>
    <row r="802" ht="17.25" customHeight="1" s="322">
      <c r="A802" s="27" t="n"/>
      <c r="B802" s="506" t="n"/>
      <c r="C802" s="141" t="n"/>
      <c r="D802" s="141" t="n"/>
      <c r="E802" s="141" t="n"/>
      <c r="F802" s="141" t="n"/>
      <c r="G802" s="143" t="n"/>
      <c r="H802" s="27" t="n"/>
    </row>
    <row r="803" ht="17.25" customHeight="1" s="322">
      <c r="A803" s="27" t="n"/>
      <c r="B803" s="506" t="n"/>
      <c r="C803" s="141" t="n"/>
      <c r="D803" s="141" t="n"/>
      <c r="E803" s="141" t="n"/>
      <c r="F803" s="141" t="n"/>
      <c r="G803" s="143" t="n"/>
      <c r="H803" s="27" t="n"/>
    </row>
    <row r="804" ht="17.25" customHeight="1" s="322">
      <c r="A804" s="27" t="n"/>
      <c r="B804" s="506" t="n"/>
      <c r="C804" s="141" t="n"/>
      <c r="D804" s="141" t="n"/>
      <c r="E804" s="141" t="n"/>
      <c r="F804" s="141" t="n"/>
      <c r="G804" s="143" t="n"/>
      <c r="H804" s="27" t="n"/>
    </row>
    <row r="805" ht="17.25" customHeight="1" s="322">
      <c r="A805" s="27" t="n"/>
      <c r="B805" s="506" t="n"/>
      <c r="C805" s="141" t="n"/>
      <c r="D805" s="141" t="n"/>
      <c r="E805" s="141" t="n"/>
      <c r="F805" s="141" t="n"/>
      <c r="G805" s="143" t="n"/>
      <c r="H805" s="27" t="n"/>
    </row>
    <row r="806" ht="17.25" customHeight="1" s="322">
      <c r="A806" s="27" t="n"/>
      <c r="B806" s="506" t="n"/>
      <c r="C806" s="141" t="n"/>
      <c r="D806" s="141" t="n"/>
      <c r="E806" s="141" t="n"/>
      <c r="F806" s="141" t="n"/>
      <c r="G806" s="143" t="n"/>
      <c r="H806" s="27" t="n"/>
    </row>
    <row r="807" ht="17.25" customHeight="1" s="322">
      <c r="A807" s="27" t="n"/>
      <c r="B807" s="506" t="n"/>
      <c r="C807" s="141" t="n"/>
      <c r="D807" s="141" t="n"/>
      <c r="E807" s="141" t="n"/>
      <c r="F807" s="141" t="n"/>
      <c r="G807" s="143" t="n"/>
      <c r="H807" s="27" t="n"/>
    </row>
    <row r="808" ht="17.25" customHeight="1" s="322">
      <c r="A808" s="27" t="n"/>
      <c r="B808" s="506" t="n"/>
      <c r="C808" s="141" t="n"/>
      <c r="D808" s="141" t="n"/>
      <c r="E808" s="141" t="n"/>
      <c r="F808" s="141" t="n"/>
      <c r="G808" s="143" t="n"/>
      <c r="H808" s="27" t="n"/>
    </row>
    <row r="809" ht="17.25" customHeight="1" s="322">
      <c r="A809" s="27" t="n"/>
      <c r="B809" s="506" t="n"/>
      <c r="C809" s="141" t="n"/>
      <c r="D809" s="141" t="n"/>
      <c r="E809" s="141" t="n"/>
      <c r="F809" s="141" t="n"/>
      <c r="G809" s="143" t="n"/>
      <c r="H809" s="27" t="n"/>
    </row>
    <row r="810" ht="17.25" customHeight="1" s="322">
      <c r="A810" s="27" t="n"/>
      <c r="B810" s="506" t="n"/>
      <c r="C810" s="141" t="n"/>
      <c r="D810" s="141" t="n"/>
      <c r="E810" s="141" t="n"/>
      <c r="F810" s="141" t="n"/>
      <c r="G810" s="143" t="n"/>
      <c r="H810" s="27" t="n"/>
    </row>
    <row r="811" ht="17.25" customHeight="1" s="322">
      <c r="A811" s="27" t="n"/>
      <c r="B811" s="506" t="n"/>
      <c r="C811" s="141" t="n"/>
      <c r="D811" s="141" t="n"/>
      <c r="E811" s="141" t="n"/>
      <c r="F811" s="141" t="n"/>
      <c r="G811" s="143" t="n"/>
      <c r="H811" s="27" t="n"/>
    </row>
    <row r="812" ht="17.25" customHeight="1" s="322">
      <c r="A812" s="27" t="n"/>
      <c r="B812" s="506" t="n"/>
      <c r="C812" s="141" t="n"/>
      <c r="D812" s="141" t="n"/>
      <c r="E812" s="141" t="n"/>
      <c r="F812" s="141" t="n"/>
      <c r="G812" s="143" t="n"/>
      <c r="H812" s="27" t="n"/>
    </row>
    <row r="813" ht="17.25" customHeight="1" s="322">
      <c r="A813" s="27" t="n"/>
      <c r="B813" s="506" t="n"/>
      <c r="C813" s="141" t="n"/>
      <c r="D813" s="141" t="n"/>
      <c r="E813" s="141" t="n"/>
      <c r="F813" s="141" t="n"/>
      <c r="G813" s="143" t="n"/>
      <c r="H813" s="27" t="n"/>
    </row>
    <row r="814" ht="17.25" customHeight="1" s="322">
      <c r="A814" s="27" t="n"/>
      <c r="B814" s="506" t="n"/>
      <c r="C814" s="141" t="n"/>
      <c r="D814" s="141" t="n"/>
      <c r="E814" s="141" t="n"/>
      <c r="F814" s="141" t="n"/>
      <c r="G814" s="143" t="n"/>
      <c r="H814" s="27" t="n"/>
    </row>
    <row r="815" ht="17.25" customHeight="1" s="322">
      <c r="A815" s="27" t="n"/>
      <c r="B815" s="506" t="n"/>
      <c r="C815" s="141" t="n"/>
      <c r="D815" s="141" t="n"/>
      <c r="E815" s="141" t="n"/>
      <c r="F815" s="141" t="n"/>
      <c r="G815" s="143" t="n"/>
      <c r="H815" s="27" t="n"/>
    </row>
    <row r="816" ht="17.25" customHeight="1" s="322">
      <c r="A816" s="27" t="n"/>
      <c r="B816" s="506" t="n"/>
      <c r="C816" s="141" t="n"/>
      <c r="D816" s="141" t="n"/>
      <c r="E816" s="141" t="n"/>
      <c r="F816" s="141" t="n"/>
      <c r="G816" s="143" t="n"/>
      <c r="H816" s="27" t="n"/>
    </row>
    <row r="817" ht="17.25" customHeight="1" s="322">
      <c r="A817" s="27" t="n"/>
      <c r="B817" s="506" t="n"/>
      <c r="C817" s="141" t="n"/>
      <c r="D817" s="141" t="n"/>
      <c r="E817" s="141" t="n"/>
      <c r="F817" s="141" t="n"/>
      <c r="G817" s="143" t="n"/>
      <c r="H817" s="27" t="n"/>
    </row>
    <row r="818" ht="17.25" customHeight="1" s="322">
      <c r="A818" s="27" t="n"/>
      <c r="B818" s="506" t="n"/>
      <c r="C818" s="141" t="n"/>
      <c r="D818" s="141" t="n"/>
      <c r="E818" s="141" t="n"/>
      <c r="F818" s="141" t="n"/>
      <c r="G818" s="143" t="n"/>
      <c r="H818" s="27" t="n"/>
    </row>
    <row r="819" ht="17.25" customHeight="1" s="322">
      <c r="A819" s="27" t="n"/>
      <c r="B819" s="506" t="n"/>
      <c r="C819" s="141" t="n"/>
      <c r="D819" s="141" t="n"/>
      <c r="E819" s="141" t="n"/>
      <c r="F819" s="141" t="n"/>
      <c r="G819" s="143" t="n"/>
      <c r="H819" s="27" t="n"/>
    </row>
    <row r="820" ht="17.25" customHeight="1" s="322">
      <c r="A820" s="27" t="n"/>
      <c r="B820" s="506" t="n"/>
      <c r="C820" s="141" t="n"/>
      <c r="D820" s="141" t="n"/>
      <c r="E820" s="141" t="n"/>
      <c r="F820" s="141" t="n"/>
      <c r="G820" s="143" t="n"/>
      <c r="H820" s="27" t="n"/>
    </row>
    <row r="821" ht="17.25" customHeight="1" s="322">
      <c r="A821" s="27" t="n"/>
      <c r="B821" s="506" t="n"/>
      <c r="C821" s="141" t="n"/>
      <c r="D821" s="141" t="n"/>
      <c r="E821" s="141" t="n"/>
      <c r="F821" s="141" t="n"/>
      <c r="G821" s="143" t="n"/>
      <c r="H821" s="27" t="n"/>
    </row>
    <row r="822" ht="17.25" customHeight="1" s="322">
      <c r="A822" s="27" t="n"/>
      <c r="B822" s="506" t="n"/>
      <c r="C822" s="141" t="n"/>
      <c r="D822" s="141" t="n"/>
      <c r="E822" s="141" t="n"/>
      <c r="F822" s="141" t="n"/>
      <c r="G822" s="143" t="n"/>
      <c r="H822" s="27" t="n"/>
    </row>
    <row r="823" ht="17.25" customHeight="1" s="322">
      <c r="A823" s="27" t="n"/>
      <c r="B823" s="506" t="n"/>
      <c r="C823" s="141" t="n"/>
      <c r="D823" s="141" t="n"/>
      <c r="E823" s="141" t="n"/>
      <c r="F823" s="141" t="n"/>
      <c r="G823" s="143" t="n"/>
      <c r="H823" s="27" t="n"/>
    </row>
    <row r="824" ht="17.25" customHeight="1" s="322">
      <c r="A824" s="27" t="n"/>
      <c r="B824" s="506" t="n"/>
      <c r="C824" s="141" t="n"/>
      <c r="D824" s="141" t="n"/>
      <c r="E824" s="141" t="n"/>
      <c r="F824" s="141" t="n"/>
      <c r="G824" s="143" t="n"/>
      <c r="H824" s="27" t="n"/>
    </row>
    <row r="825" ht="17.25" customHeight="1" s="322">
      <c r="A825" s="27" t="n"/>
      <c r="B825" s="506" t="n"/>
      <c r="C825" s="141" t="n"/>
      <c r="D825" s="141" t="n"/>
      <c r="E825" s="141" t="n"/>
      <c r="F825" s="141" t="n"/>
      <c r="G825" s="143" t="n"/>
      <c r="H825" s="27" t="n"/>
    </row>
    <row r="826" ht="17.25" customHeight="1" s="322">
      <c r="A826" s="27" t="n"/>
      <c r="B826" s="506" t="n"/>
      <c r="C826" s="141" t="n"/>
      <c r="D826" s="141" t="n"/>
      <c r="E826" s="141" t="n"/>
      <c r="F826" s="141" t="n"/>
      <c r="G826" s="143" t="n"/>
      <c r="H826" s="27" t="n"/>
    </row>
    <row r="827" ht="17.25" customHeight="1" s="322">
      <c r="A827" s="27" t="n"/>
      <c r="B827" s="506" t="n"/>
      <c r="C827" s="141" t="n"/>
      <c r="D827" s="141" t="n"/>
      <c r="E827" s="141" t="n"/>
      <c r="F827" s="141" t="n"/>
      <c r="G827" s="143" t="n"/>
      <c r="H827" s="27" t="n"/>
    </row>
    <row r="828" ht="17.25" customHeight="1" s="322">
      <c r="A828" s="27" t="n"/>
      <c r="B828" s="506" t="n"/>
      <c r="C828" s="141" t="n"/>
      <c r="D828" s="141" t="n"/>
      <c r="E828" s="141" t="n"/>
      <c r="F828" s="141" t="n"/>
      <c r="G828" s="143" t="n"/>
      <c r="H828" s="27" t="n"/>
    </row>
    <row r="829" ht="17.25" customHeight="1" s="322">
      <c r="A829" s="27" t="n"/>
      <c r="B829" s="506" t="n"/>
      <c r="C829" s="141" t="n"/>
      <c r="D829" s="141" t="n"/>
      <c r="E829" s="141" t="n"/>
      <c r="F829" s="141" t="n"/>
      <c r="G829" s="143" t="n"/>
      <c r="H829" s="27" t="n"/>
    </row>
    <row r="830" ht="17.25" customHeight="1" s="322">
      <c r="A830" s="27" t="n"/>
      <c r="B830" s="506" t="n"/>
      <c r="C830" s="141" t="n"/>
      <c r="D830" s="141" t="n"/>
      <c r="E830" s="141" t="n"/>
      <c r="F830" s="141" t="n"/>
      <c r="G830" s="143" t="n"/>
      <c r="H830" s="27" t="n"/>
    </row>
    <row r="831" ht="17.25" customHeight="1" s="322">
      <c r="A831" s="27" t="n"/>
      <c r="B831" s="506" t="n"/>
      <c r="C831" s="141" t="n"/>
      <c r="D831" s="141" t="n"/>
      <c r="E831" s="141" t="n"/>
      <c r="F831" s="141" t="n"/>
      <c r="G831" s="143" t="n"/>
      <c r="H831" s="27" t="n"/>
    </row>
    <row r="832" ht="17.25" customHeight="1" s="322">
      <c r="A832" s="27" t="n"/>
      <c r="B832" s="506" t="n"/>
      <c r="C832" s="141" t="n"/>
      <c r="D832" s="141" t="n"/>
      <c r="E832" s="141" t="n"/>
      <c r="F832" s="141" t="n"/>
      <c r="G832" s="143" t="n"/>
      <c r="H832" s="27" t="n"/>
    </row>
    <row r="833" ht="17.25" customHeight="1" s="322">
      <c r="A833" s="27" t="n"/>
      <c r="B833" s="506" t="n"/>
      <c r="C833" s="141" t="n"/>
      <c r="D833" s="141" t="n"/>
      <c r="E833" s="141" t="n"/>
      <c r="F833" s="141" t="n"/>
      <c r="G833" s="143" t="n"/>
      <c r="H833" s="27" t="n"/>
    </row>
    <row r="834" ht="17.25" customHeight="1" s="322">
      <c r="A834" s="27" t="n"/>
      <c r="B834" s="506" t="n"/>
      <c r="C834" s="141" t="n"/>
      <c r="D834" s="141" t="n"/>
      <c r="E834" s="141" t="n"/>
      <c r="F834" s="141" t="n"/>
      <c r="G834" s="143" t="n"/>
      <c r="H834" s="27" t="n"/>
    </row>
    <row r="835" ht="17.25" customHeight="1" s="322">
      <c r="A835" s="27" t="n"/>
      <c r="B835" s="506" t="n"/>
      <c r="C835" s="141" t="n"/>
      <c r="D835" s="141" t="n"/>
      <c r="E835" s="141" t="n"/>
      <c r="F835" s="141" t="n"/>
      <c r="G835" s="143" t="n"/>
      <c r="H835" s="27" t="n"/>
    </row>
    <row r="836" ht="17.25" customHeight="1" s="322">
      <c r="A836" s="27" t="n"/>
      <c r="B836" s="506" t="n"/>
      <c r="C836" s="141" t="n"/>
      <c r="D836" s="141" t="n"/>
      <c r="E836" s="141" t="n"/>
      <c r="F836" s="141" t="n"/>
      <c r="G836" s="143" t="n"/>
      <c r="H836" s="27" t="n"/>
    </row>
    <row r="837" ht="17.25" customHeight="1" s="322">
      <c r="A837" s="27" t="n"/>
      <c r="B837" s="506" t="n"/>
      <c r="C837" s="141" t="n"/>
      <c r="D837" s="141" t="n"/>
      <c r="E837" s="141" t="n"/>
      <c r="F837" s="141" t="n"/>
      <c r="G837" s="143" t="n"/>
      <c r="H837" s="27" t="n"/>
    </row>
    <row r="838" ht="17.25" customHeight="1" s="322">
      <c r="A838" s="27" t="n"/>
      <c r="B838" s="506" t="n"/>
      <c r="C838" s="141" t="n"/>
      <c r="D838" s="141" t="n"/>
      <c r="E838" s="141" t="n"/>
      <c r="F838" s="141" t="n"/>
      <c r="G838" s="143" t="n"/>
      <c r="H838" s="27" t="n"/>
    </row>
    <row r="839" ht="17.25" customHeight="1" s="322">
      <c r="A839" s="27" t="n"/>
      <c r="B839" s="506" t="n"/>
      <c r="C839" s="141" t="n"/>
      <c r="D839" s="141" t="n"/>
      <c r="E839" s="141" t="n"/>
      <c r="F839" s="141" t="n"/>
      <c r="G839" s="143" t="n"/>
      <c r="H839" s="27" t="n"/>
    </row>
    <row r="840" ht="17.25" customHeight="1" s="322">
      <c r="A840" s="27" t="n"/>
      <c r="B840" s="506" t="n"/>
      <c r="C840" s="141" t="n"/>
      <c r="D840" s="141" t="n"/>
      <c r="E840" s="141" t="n"/>
      <c r="F840" s="141" t="n"/>
      <c r="G840" s="143" t="n"/>
      <c r="H840" s="27" t="n"/>
    </row>
    <row r="841" ht="17.25" customHeight="1" s="322">
      <c r="A841" s="27" t="n"/>
      <c r="B841" s="506" t="n"/>
      <c r="C841" s="141" t="n"/>
      <c r="D841" s="141" t="n"/>
      <c r="E841" s="141" t="n"/>
      <c r="F841" s="141" t="n"/>
      <c r="G841" s="143" t="n"/>
      <c r="H841" s="27" t="n"/>
    </row>
    <row r="842" ht="17.25" customHeight="1" s="322">
      <c r="A842" s="27" t="n"/>
      <c r="B842" s="506" t="n"/>
      <c r="C842" s="141" t="n"/>
      <c r="D842" s="141" t="n"/>
      <c r="E842" s="141" t="n"/>
      <c r="F842" s="141" t="n"/>
      <c r="G842" s="143" t="n"/>
      <c r="H842" s="27" t="n"/>
    </row>
    <row r="843" ht="17.25" customHeight="1" s="322">
      <c r="A843" s="27" t="n"/>
      <c r="B843" s="506" t="n"/>
      <c r="C843" s="141" t="n"/>
      <c r="D843" s="141" t="n"/>
      <c r="E843" s="141" t="n"/>
      <c r="F843" s="141" t="n"/>
      <c r="G843" s="143" t="n"/>
      <c r="H843" s="27" t="n"/>
    </row>
    <row r="844" ht="17.25" customHeight="1" s="322">
      <c r="A844" s="27" t="n"/>
      <c r="B844" s="506" t="n"/>
      <c r="C844" s="141" t="n"/>
      <c r="D844" s="141" t="n"/>
      <c r="E844" s="141" t="n"/>
      <c r="F844" s="141" t="n"/>
      <c r="G844" s="143" t="n"/>
      <c r="H844" s="27" t="n"/>
    </row>
    <row r="845" ht="17.25" customHeight="1" s="322">
      <c r="A845" s="27" t="n"/>
      <c r="B845" s="506" t="n"/>
      <c r="C845" s="141" t="n"/>
      <c r="D845" s="141" t="n"/>
      <c r="E845" s="141" t="n"/>
      <c r="F845" s="141" t="n"/>
      <c r="G845" s="143" t="n"/>
      <c r="H845" s="27" t="n"/>
    </row>
    <row r="846" ht="17.25" customHeight="1" s="322">
      <c r="A846" s="27" t="n"/>
      <c r="B846" s="506" t="n"/>
      <c r="C846" s="141" t="n"/>
      <c r="D846" s="141" t="n"/>
      <c r="E846" s="141" t="n"/>
      <c r="F846" s="141" t="n"/>
      <c r="G846" s="143" t="n"/>
      <c r="H846" s="27" t="n"/>
    </row>
    <row r="847" ht="17.25" customHeight="1" s="322">
      <c r="A847" s="27" t="n"/>
      <c r="B847" s="506" t="n"/>
      <c r="C847" s="141" t="n"/>
      <c r="D847" s="141" t="n"/>
      <c r="E847" s="141" t="n"/>
      <c r="F847" s="141" t="n"/>
      <c r="G847" s="143" t="n"/>
      <c r="H847" s="27" t="n"/>
    </row>
    <row r="848" ht="17.25" customHeight="1" s="322">
      <c r="A848" s="27" t="n"/>
      <c r="B848" s="506" t="n"/>
      <c r="C848" s="141" t="n"/>
      <c r="D848" s="141" t="n"/>
      <c r="E848" s="141" t="n"/>
      <c r="F848" s="141" t="n"/>
      <c r="G848" s="143" t="n"/>
      <c r="H848" s="27" t="n"/>
    </row>
    <row r="849" ht="17.25" customHeight="1" s="322">
      <c r="A849" s="27" t="n"/>
      <c r="B849" s="506" t="n"/>
      <c r="C849" s="141" t="n"/>
      <c r="D849" s="141" t="n"/>
      <c r="E849" s="141" t="n"/>
      <c r="F849" s="141" t="n"/>
      <c r="G849" s="143" t="n"/>
      <c r="H849" s="27" t="n"/>
    </row>
    <row r="850" ht="17.25" customHeight="1" s="322">
      <c r="A850" s="27" t="n"/>
      <c r="B850" s="506" t="n"/>
      <c r="C850" s="141" t="n"/>
      <c r="D850" s="141" t="n"/>
      <c r="E850" s="141" t="n"/>
      <c r="F850" s="141" t="n"/>
      <c r="G850" s="143" t="n"/>
      <c r="H850" s="27" t="n"/>
    </row>
    <row r="851" ht="17.25" customHeight="1" s="322">
      <c r="A851" s="27" t="n"/>
      <c r="B851" s="506" t="n"/>
      <c r="C851" s="141" t="n"/>
      <c r="D851" s="141" t="n"/>
      <c r="E851" s="141" t="n"/>
      <c r="F851" s="141" t="n"/>
      <c r="G851" s="143" t="n"/>
      <c r="H851" s="27" t="n"/>
    </row>
    <row r="852" ht="17.25" customHeight="1" s="322">
      <c r="A852" s="27" t="n"/>
      <c r="B852" s="506" t="n"/>
      <c r="C852" s="141" t="n"/>
      <c r="D852" s="141" t="n"/>
      <c r="E852" s="141" t="n"/>
      <c r="F852" s="141" t="n"/>
      <c r="G852" s="143" t="n"/>
      <c r="H852" s="27" t="n"/>
    </row>
    <row r="853" ht="17.25" customHeight="1" s="322">
      <c r="A853" s="27" t="n"/>
      <c r="B853" s="506" t="n"/>
      <c r="C853" s="141" t="n"/>
      <c r="D853" s="141" t="n"/>
      <c r="E853" s="141" t="n"/>
      <c r="F853" s="141" t="n"/>
      <c r="G853" s="143" t="n"/>
      <c r="H853" s="27" t="n"/>
    </row>
    <row r="854" ht="17.25" customHeight="1" s="322">
      <c r="A854" s="27" t="n"/>
      <c r="B854" s="506" t="n"/>
      <c r="C854" s="141" t="n"/>
      <c r="D854" s="141" t="n"/>
      <c r="E854" s="141" t="n"/>
      <c r="F854" s="141" t="n"/>
      <c r="G854" s="143" t="n"/>
      <c r="H854" s="27" t="n"/>
    </row>
    <row r="855" ht="17.25" customHeight="1" s="322">
      <c r="A855" s="27" t="n"/>
      <c r="B855" s="506" t="n"/>
      <c r="C855" s="141" t="n"/>
      <c r="D855" s="141" t="n"/>
      <c r="E855" s="141" t="n"/>
      <c r="F855" s="141" t="n"/>
      <c r="G855" s="143" t="n"/>
      <c r="H855" s="27" t="n"/>
    </row>
    <row r="856" ht="17.25" customHeight="1" s="322">
      <c r="A856" s="27" t="n"/>
      <c r="B856" s="506" t="n"/>
      <c r="C856" s="141" t="n"/>
      <c r="D856" s="141" t="n"/>
      <c r="E856" s="141" t="n"/>
      <c r="F856" s="141" t="n"/>
      <c r="G856" s="143" t="n"/>
      <c r="H856" s="27" t="n"/>
    </row>
    <row r="857" ht="17.25" customHeight="1" s="322">
      <c r="A857" s="27" t="n"/>
      <c r="B857" s="506" t="n"/>
      <c r="C857" s="141" t="n"/>
      <c r="D857" s="141" t="n"/>
      <c r="E857" s="141" t="n"/>
      <c r="F857" s="141" t="n"/>
      <c r="G857" s="143" t="n"/>
      <c r="H857" s="27" t="n"/>
    </row>
    <row r="858" ht="17.25" customHeight="1" s="322">
      <c r="A858" s="27" t="n"/>
      <c r="B858" s="506" t="n"/>
      <c r="C858" s="141" t="n"/>
      <c r="D858" s="141" t="n"/>
      <c r="E858" s="141" t="n"/>
      <c r="F858" s="141" t="n"/>
      <c r="G858" s="143" t="n"/>
      <c r="H858" s="27" t="n"/>
    </row>
    <row r="859" ht="17.25" customHeight="1" s="322">
      <c r="A859" s="27" t="n"/>
      <c r="B859" s="506" t="n"/>
      <c r="C859" s="141" t="n"/>
      <c r="D859" s="141" t="n"/>
      <c r="E859" s="141" t="n"/>
      <c r="F859" s="141" t="n"/>
      <c r="G859" s="143" t="n"/>
      <c r="H859" s="27" t="n"/>
    </row>
    <row r="860" ht="17.25" customHeight="1" s="322">
      <c r="A860" s="27" t="n"/>
      <c r="B860" s="506" t="n"/>
      <c r="C860" s="141" t="n"/>
      <c r="D860" s="141" t="n"/>
      <c r="E860" s="141" t="n"/>
      <c r="F860" s="141" t="n"/>
      <c r="G860" s="143" t="n"/>
      <c r="H860" s="27" t="n"/>
    </row>
    <row r="861" ht="17.25" customHeight="1" s="322">
      <c r="A861" s="27" t="n"/>
      <c r="B861" s="506" t="n"/>
      <c r="C861" s="141" t="n"/>
      <c r="D861" s="141" t="n"/>
      <c r="E861" s="141" t="n"/>
      <c r="F861" s="141" t="n"/>
      <c r="G861" s="143" t="n"/>
      <c r="H861" s="27" t="n"/>
    </row>
    <row r="862" ht="17.25" customHeight="1" s="322">
      <c r="A862" s="27" t="n"/>
      <c r="B862" s="506" t="n"/>
      <c r="C862" s="141" t="n"/>
      <c r="D862" s="141" t="n"/>
      <c r="E862" s="141" t="n"/>
      <c r="F862" s="141" t="n"/>
      <c r="G862" s="143" t="n"/>
      <c r="H862" s="27" t="n"/>
    </row>
    <row r="863" ht="17.25" customHeight="1" s="322">
      <c r="A863" s="27" t="n"/>
      <c r="B863" s="506" t="n"/>
      <c r="C863" s="141" t="n"/>
      <c r="D863" s="141" t="n"/>
      <c r="E863" s="141" t="n"/>
      <c r="F863" s="141" t="n"/>
      <c r="G863" s="143" t="n"/>
      <c r="H863" s="27" t="n"/>
    </row>
    <row r="864" ht="17.25" customHeight="1" s="322">
      <c r="A864" s="27" t="n"/>
      <c r="B864" s="506" t="n"/>
      <c r="C864" s="141" t="n"/>
      <c r="D864" s="141" t="n"/>
      <c r="E864" s="141" t="n"/>
      <c r="F864" s="141" t="n"/>
      <c r="G864" s="143" t="n"/>
      <c r="H864" s="27" t="n"/>
    </row>
    <row r="865" ht="17.25" customHeight="1" s="322">
      <c r="A865" s="27" t="n"/>
      <c r="B865" s="506" t="n"/>
      <c r="C865" s="141" t="n"/>
      <c r="D865" s="141" t="n"/>
      <c r="E865" s="141" t="n"/>
      <c r="F865" s="141" t="n"/>
      <c r="G865" s="143" t="n"/>
      <c r="H865" s="27" t="n"/>
    </row>
    <row r="866" ht="17.25" customHeight="1" s="322">
      <c r="A866" s="27" t="n"/>
      <c r="B866" s="506" t="n"/>
      <c r="C866" s="141" t="n"/>
      <c r="D866" s="141" t="n"/>
      <c r="E866" s="141" t="n"/>
      <c r="F866" s="141" t="n"/>
      <c r="G866" s="143" t="n"/>
      <c r="H866" s="27" t="n"/>
    </row>
    <row r="867" ht="17.25" customHeight="1" s="322">
      <c r="A867" s="27" t="n"/>
      <c r="B867" s="506" t="n"/>
      <c r="C867" s="141" t="n"/>
      <c r="D867" s="141" t="n"/>
      <c r="E867" s="141" t="n"/>
      <c r="F867" s="141" t="n"/>
      <c r="G867" s="143" t="n"/>
      <c r="H867" s="27" t="n"/>
    </row>
    <row r="868" ht="17.25" customHeight="1" s="322">
      <c r="A868" s="27" t="n"/>
      <c r="B868" s="506" t="n"/>
      <c r="C868" s="141" t="n"/>
      <c r="D868" s="141" t="n"/>
      <c r="E868" s="141" t="n"/>
      <c r="F868" s="141" t="n"/>
      <c r="G868" s="143" t="n"/>
      <c r="H868" s="27" t="n"/>
    </row>
    <row r="869" ht="17.25" customHeight="1" s="322">
      <c r="A869" s="27" t="n"/>
      <c r="B869" s="506" t="n"/>
      <c r="C869" s="141" t="n"/>
      <c r="D869" s="141" t="n"/>
      <c r="E869" s="141" t="n"/>
      <c r="F869" s="141" t="n"/>
      <c r="G869" s="143" t="n"/>
      <c r="H869" s="27" t="n"/>
    </row>
    <row r="870" ht="17.25" customHeight="1" s="322">
      <c r="A870" s="27" t="n"/>
      <c r="B870" s="506" t="n"/>
      <c r="C870" s="141" t="n"/>
      <c r="D870" s="141" t="n"/>
      <c r="E870" s="141" t="n"/>
      <c r="F870" s="141" t="n"/>
      <c r="G870" s="143" t="n"/>
      <c r="H870" s="27" t="n"/>
    </row>
    <row r="871" ht="17.25" customHeight="1" s="322">
      <c r="A871" s="27" t="n"/>
      <c r="B871" s="506" t="n"/>
      <c r="C871" s="141" t="n"/>
      <c r="D871" s="141" t="n"/>
      <c r="E871" s="141" t="n"/>
      <c r="F871" s="141" t="n"/>
      <c r="G871" s="143" t="n"/>
      <c r="H871" s="27" t="n"/>
    </row>
    <row r="872" ht="17.25" customHeight="1" s="322">
      <c r="A872" s="27" t="n"/>
      <c r="B872" s="506" t="n"/>
      <c r="C872" s="141" t="n"/>
      <c r="D872" s="141" t="n"/>
      <c r="E872" s="141" t="n"/>
      <c r="F872" s="141" t="n"/>
      <c r="G872" s="143" t="n"/>
      <c r="H872" s="27" t="n"/>
    </row>
    <row r="873" ht="17.25" customHeight="1" s="322">
      <c r="A873" s="27" t="n"/>
      <c r="B873" s="506" t="n"/>
      <c r="C873" s="141" t="n"/>
      <c r="D873" s="141" t="n"/>
      <c r="E873" s="141" t="n"/>
      <c r="F873" s="141" t="n"/>
      <c r="G873" s="143" t="n"/>
      <c r="H873" s="27" t="n"/>
    </row>
    <row r="874" ht="17.25" customHeight="1" s="322">
      <c r="A874" s="27" t="n"/>
      <c r="B874" s="506" t="n"/>
      <c r="C874" s="141" t="n"/>
      <c r="D874" s="141" t="n"/>
      <c r="E874" s="141" t="n"/>
      <c r="F874" s="141" t="n"/>
      <c r="G874" s="143" t="n"/>
      <c r="H874" s="27" t="n"/>
    </row>
    <row r="875" ht="17.25" customHeight="1" s="322">
      <c r="A875" s="27" t="n"/>
      <c r="B875" s="506" t="n"/>
      <c r="C875" s="141" t="n"/>
      <c r="D875" s="141" t="n"/>
      <c r="E875" s="141" t="n"/>
      <c r="F875" s="141" t="n"/>
      <c r="G875" s="143" t="n"/>
      <c r="H875" s="27" t="n"/>
    </row>
    <row r="876" ht="17.25" customHeight="1" s="322">
      <c r="A876" s="27" t="n"/>
      <c r="B876" s="506" t="n"/>
      <c r="C876" s="141" t="n"/>
      <c r="D876" s="141" t="n"/>
      <c r="E876" s="141" t="n"/>
      <c r="F876" s="141" t="n"/>
      <c r="G876" s="143" t="n"/>
      <c r="H876" s="27" t="n"/>
    </row>
    <row r="877" ht="17.25" customHeight="1" s="322">
      <c r="A877" s="27" t="n"/>
      <c r="B877" s="506" t="n"/>
      <c r="C877" s="141" t="n"/>
      <c r="D877" s="141" t="n"/>
      <c r="E877" s="141" t="n"/>
      <c r="F877" s="141" t="n"/>
      <c r="G877" s="143" t="n"/>
      <c r="H877" s="27" t="n"/>
    </row>
    <row r="878" ht="17.25" customHeight="1" s="322">
      <c r="A878" s="27" t="n"/>
      <c r="B878" s="506" t="n"/>
      <c r="C878" s="141" t="n"/>
      <c r="D878" s="141" t="n"/>
      <c r="E878" s="141" t="n"/>
      <c r="F878" s="141" t="n"/>
      <c r="G878" s="143" t="n"/>
      <c r="H878" s="27" t="n"/>
    </row>
    <row r="879" ht="17.25" customHeight="1" s="322">
      <c r="A879" s="27" t="n"/>
      <c r="B879" s="506" t="n"/>
      <c r="C879" s="141" t="n"/>
      <c r="D879" s="141" t="n"/>
      <c r="E879" s="141" t="n"/>
      <c r="F879" s="141" t="n"/>
      <c r="G879" s="143" t="n"/>
      <c r="H879" s="27" t="n"/>
    </row>
    <row r="880" ht="17.25" customHeight="1" s="322">
      <c r="A880" s="27" t="n"/>
      <c r="B880" s="506" t="n"/>
      <c r="C880" s="141" t="n"/>
      <c r="D880" s="141" t="n"/>
      <c r="E880" s="141" t="n"/>
      <c r="F880" s="141" t="n"/>
      <c r="G880" s="143" t="n"/>
      <c r="H880" s="27" t="n"/>
    </row>
    <row r="881" ht="17.25" customHeight="1" s="322">
      <c r="A881" s="27" t="n"/>
      <c r="B881" s="506" t="n"/>
      <c r="C881" s="141" t="n"/>
      <c r="D881" s="141" t="n"/>
      <c r="E881" s="141" t="n"/>
      <c r="F881" s="141" t="n"/>
      <c r="G881" s="143" t="n"/>
      <c r="H881" s="27" t="n"/>
    </row>
    <row r="882" ht="17.25" customHeight="1" s="322">
      <c r="A882" s="27" t="n"/>
      <c r="B882" s="506" t="n"/>
      <c r="C882" s="141" t="n"/>
      <c r="D882" s="141" t="n"/>
      <c r="E882" s="141" t="n"/>
      <c r="F882" s="141" t="n"/>
      <c r="G882" s="143" t="n"/>
      <c r="H882" s="27" t="n"/>
    </row>
    <row r="883" ht="17.25" customHeight="1" s="322">
      <c r="A883" s="27" t="n"/>
      <c r="B883" s="506" t="n"/>
      <c r="C883" s="141" t="n"/>
      <c r="D883" s="141" t="n"/>
      <c r="E883" s="141" t="n"/>
      <c r="F883" s="141" t="n"/>
      <c r="G883" s="143" t="n"/>
      <c r="H883" s="27" t="n"/>
    </row>
    <row r="884" ht="17.25" customHeight="1" s="322">
      <c r="A884" s="27" t="n"/>
      <c r="B884" s="506" t="n"/>
      <c r="C884" s="141" t="n"/>
      <c r="D884" s="141" t="n"/>
      <c r="E884" s="141" t="n"/>
      <c r="F884" s="141" t="n"/>
      <c r="G884" s="143" t="n"/>
      <c r="H884" s="27" t="n"/>
    </row>
    <row r="885" ht="17.25" customHeight="1" s="322">
      <c r="A885" s="27" t="n"/>
      <c r="B885" s="506" t="n"/>
      <c r="C885" s="141" t="n"/>
      <c r="D885" s="141" t="n"/>
      <c r="E885" s="141" t="n"/>
      <c r="F885" s="141" t="n"/>
      <c r="G885" s="143" t="n"/>
      <c r="H885" s="27" t="n"/>
    </row>
    <row r="886" ht="17.25" customHeight="1" s="322">
      <c r="A886" s="27" t="n"/>
      <c r="B886" s="506" t="n"/>
      <c r="C886" s="141" t="n"/>
      <c r="D886" s="141" t="n"/>
      <c r="E886" s="141" t="n"/>
      <c r="F886" s="141" t="n"/>
      <c r="G886" s="143" t="n"/>
      <c r="H886" s="27" t="n"/>
    </row>
    <row r="887" ht="17.25" customHeight="1" s="322">
      <c r="A887" s="27" t="n"/>
      <c r="B887" s="506" t="n"/>
      <c r="C887" s="141" t="n"/>
      <c r="D887" s="141" t="n"/>
      <c r="E887" s="141" t="n"/>
      <c r="F887" s="141" t="n"/>
      <c r="G887" s="143" t="n"/>
      <c r="H887" s="27" t="n"/>
    </row>
    <row r="888" ht="17.25" customHeight="1" s="322">
      <c r="A888" s="27" t="n"/>
      <c r="B888" s="506" t="n"/>
      <c r="C888" s="141" t="n"/>
      <c r="D888" s="141" t="n"/>
      <c r="E888" s="141" t="n"/>
      <c r="F888" s="141" t="n"/>
      <c r="G888" s="143" t="n"/>
      <c r="H888" s="27" t="n"/>
    </row>
    <row r="889" ht="17.25" customHeight="1" s="322">
      <c r="A889" s="27" t="n"/>
      <c r="B889" s="506" t="n"/>
      <c r="C889" s="141" t="n"/>
      <c r="D889" s="141" t="n"/>
      <c r="E889" s="141" t="n"/>
      <c r="F889" s="141" t="n"/>
      <c r="G889" s="143" t="n"/>
      <c r="H889" s="27" t="n"/>
    </row>
    <row r="890" ht="17.25" customHeight="1" s="322">
      <c r="A890" s="27" t="n"/>
      <c r="B890" s="506" t="n"/>
      <c r="C890" s="141" t="n"/>
      <c r="D890" s="141" t="n"/>
      <c r="E890" s="141" t="n"/>
      <c r="F890" s="141" t="n"/>
      <c r="G890" s="143" t="n"/>
      <c r="H890" s="27" t="n"/>
    </row>
    <row r="891" ht="17.25" customHeight="1" s="322">
      <c r="A891" s="27" t="n"/>
      <c r="B891" s="506" t="n"/>
      <c r="C891" s="141" t="n"/>
      <c r="D891" s="141" t="n"/>
      <c r="E891" s="141" t="n"/>
      <c r="F891" s="141" t="n"/>
      <c r="G891" s="143" t="n"/>
      <c r="H891" s="27" t="n"/>
    </row>
    <row r="892" ht="17.25" customHeight="1" s="322">
      <c r="A892" s="27" t="n"/>
      <c r="B892" s="506" t="n"/>
      <c r="C892" s="141" t="n"/>
      <c r="D892" s="141" t="n"/>
      <c r="E892" s="141" t="n"/>
      <c r="F892" s="141" t="n"/>
      <c r="G892" s="143" t="n"/>
      <c r="H892" s="27" t="n"/>
    </row>
    <row r="893" ht="17.25" customHeight="1" s="322">
      <c r="A893" s="27" t="n"/>
      <c r="B893" s="506" t="n"/>
      <c r="C893" s="141" t="n"/>
      <c r="D893" s="141" t="n"/>
      <c r="E893" s="141" t="n"/>
      <c r="F893" s="141" t="n"/>
      <c r="G893" s="143" t="n"/>
      <c r="H893" s="27" t="n"/>
    </row>
    <row r="894" ht="17.25" customHeight="1" s="322">
      <c r="A894" s="27" t="n"/>
      <c r="B894" s="506" t="n"/>
      <c r="C894" s="141" t="n"/>
      <c r="D894" s="141" t="n"/>
      <c r="E894" s="141" t="n"/>
      <c r="F894" s="141" t="n"/>
      <c r="G894" s="143" t="n"/>
      <c r="H894" s="27" t="n"/>
    </row>
    <row r="895" ht="17.25" customHeight="1" s="322">
      <c r="A895" s="27" t="n"/>
      <c r="B895" s="506" t="n"/>
      <c r="C895" s="141" t="n"/>
      <c r="D895" s="141" t="n"/>
      <c r="E895" s="141" t="n"/>
      <c r="F895" s="141" t="n"/>
      <c r="G895" s="143" t="n"/>
      <c r="H895" s="27" t="n"/>
    </row>
    <row r="896" ht="17.25" customHeight="1" s="322">
      <c r="A896" s="27" t="n"/>
      <c r="B896" s="506" t="n"/>
      <c r="C896" s="141" t="n"/>
      <c r="D896" s="141" t="n"/>
      <c r="E896" s="141" t="n"/>
      <c r="F896" s="141" t="n"/>
      <c r="G896" s="143" t="n"/>
      <c r="H896" s="27" t="n"/>
    </row>
    <row r="897" ht="17.25" customHeight="1" s="322">
      <c r="A897" s="27" t="n"/>
      <c r="B897" s="506" t="n"/>
      <c r="C897" s="141" t="n"/>
      <c r="D897" s="141" t="n"/>
      <c r="E897" s="141" t="n"/>
      <c r="F897" s="141" t="n"/>
      <c r="G897" s="143" t="n"/>
      <c r="H897" s="27" t="n"/>
    </row>
    <row r="898" ht="17.25" customHeight="1" s="322">
      <c r="A898" s="27" t="n"/>
      <c r="B898" s="506" t="n"/>
      <c r="C898" s="141" t="n"/>
      <c r="D898" s="141" t="n"/>
      <c r="E898" s="141" t="n"/>
      <c r="F898" s="141" t="n"/>
      <c r="G898" s="143" t="n"/>
      <c r="H898" s="27" t="n"/>
    </row>
    <row r="899" ht="17.25" customHeight="1" s="322">
      <c r="A899" s="27" t="n"/>
      <c r="B899" s="506" t="n"/>
      <c r="C899" s="141" t="n"/>
      <c r="D899" s="141" t="n"/>
      <c r="E899" s="141" t="n"/>
      <c r="F899" s="141" t="n"/>
      <c r="G899" s="143" t="n"/>
      <c r="H899" s="27" t="n"/>
    </row>
    <row r="900" ht="17.25" customHeight="1" s="322">
      <c r="A900" s="27" t="n"/>
      <c r="B900" s="506" t="n"/>
      <c r="C900" s="141" t="n"/>
      <c r="D900" s="141" t="n"/>
      <c r="E900" s="141" t="n"/>
      <c r="F900" s="141" t="n"/>
      <c r="G900" s="143" t="n"/>
      <c r="H900" s="27" t="n"/>
    </row>
    <row r="901" ht="17.25" customHeight="1" s="322">
      <c r="A901" s="27" t="n"/>
      <c r="B901" s="506" t="n"/>
      <c r="C901" s="141" t="n"/>
      <c r="D901" s="141" t="n"/>
      <c r="E901" s="141" t="n"/>
      <c r="F901" s="141" t="n"/>
      <c r="G901" s="143" t="n"/>
      <c r="H901" s="27" t="n"/>
    </row>
    <row r="902" ht="17.25" customHeight="1" s="322">
      <c r="A902" s="27" t="n"/>
      <c r="B902" s="506" t="n"/>
      <c r="C902" s="141" t="n"/>
      <c r="D902" s="141" t="n"/>
      <c r="E902" s="141" t="n"/>
      <c r="F902" s="141" t="n"/>
      <c r="G902" s="143" t="n"/>
      <c r="H902" s="27" t="n"/>
    </row>
    <row r="903" ht="17.25" customHeight="1" s="322">
      <c r="A903" s="27" t="n"/>
      <c r="B903" s="506" t="n"/>
      <c r="C903" s="141" t="n"/>
      <c r="D903" s="141" t="n"/>
      <c r="E903" s="141" t="n"/>
      <c r="F903" s="141" t="n"/>
      <c r="G903" s="143" t="n"/>
      <c r="H903" s="27" t="n"/>
    </row>
    <row r="904" ht="17.25" customHeight="1" s="322">
      <c r="A904" s="27" t="n"/>
      <c r="B904" s="506" t="n"/>
      <c r="C904" s="141" t="n"/>
      <c r="D904" s="141" t="n"/>
      <c r="E904" s="141" t="n"/>
      <c r="F904" s="141" t="n"/>
      <c r="G904" s="143" t="n"/>
      <c r="H904" s="27" t="n"/>
    </row>
    <row r="905" ht="17.25" customHeight="1" s="322">
      <c r="A905" s="27" t="n"/>
      <c r="B905" s="506" t="n"/>
      <c r="C905" s="141" t="n"/>
      <c r="D905" s="141" t="n"/>
      <c r="E905" s="141" t="n"/>
      <c r="F905" s="141" t="n"/>
      <c r="G905" s="143" t="n"/>
      <c r="H905" s="27" t="n"/>
    </row>
    <row r="906" ht="17.25" customHeight="1" s="322">
      <c r="A906" s="27" t="n"/>
      <c r="B906" s="506" t="n"/>
      <c r="C906" s="141" t="n"/>
      <c r="D906" s="141" t="n"/>
      <c r="E906" s="141" t="n"/>
      <c r="F906" s="141" t="n"/>
      <c r="G906" s="143" t="n"/>
      <c r="H906" s="27" t="n"/>
    </row>
    <row r="907" ht="17.25" customHeight="1" s="322">
      <c r="A907" s="27" t="n"/>
      <c r="B907" s="506" t="n"/>
      <c r="C907" s="141" t="n"/>
      <c r="D907" s="141" t="n"/>
      <c r="E907" s="141" t="n"/>
      <c r="F907" s="141" t="n"/>
      <c r="G907" s="143" t="n"/>
      <c r="H907" s="27" t="n"/>
    </row>
    <row r="908" ht="17.25" customHeight="1" s="322">
      <c r="A908" s="27" t="n"/>
      <c r="B908" s="506" t="n"/>
      <c r="C908" s="141" t="n"/>
      <c r="D908" s="141" t="n"/>
      <c r="E908" s="141" t="n"/>
      <c r="F908" s="141" t="n"/>
      <c r="G908" s="143" t="n"/>
      <c r="H908" s="27" t="n"/>
    </row>
    <row r="909" ht="17.25" customHeight="1" s="322">
      <c r="A909" s="27" t="n"/>
      <c r="B909" s="506" t="n"/>
      <c r="C909" s="141" t="n"/>
      <c r="D909" s="141" t="n"/>
      <c r="E909" s="141" t="n"/>
      <c r="F909" s="141" t="n"/>
      <c r="G909" s="143" t="n"/>
      <c r="H909" s="27" t="n"/>
    </row>
    <row r="910" ht="17.25" customHeight="1" s="322">
      <c r="A910" s="27" t="n"/>
      <c r="B910" s="506" t="n"/>
      <c r="C910" s="141" t="n"/>
      <c r="D910" s="141" t="n"/>
      <c r="E910" s="141" t="n"/>
      <c r="F910" s="141" t="n"/>
      <c r="G910" s="143" t="n"/>
      <c r="H910" s="27" t="n"/>
    </row>
    <row r="911" ht="17.25" customHeight="1" s="322">
      <c r="A911" s="27" t="n"/>
      <c r="B911" s="506" t="n"/>
      <c r="C911" s="141" t="n"/>
      <c r="D911" s="141" t="n"/>
      <c r="E911" s="141" t="n"/>
      <c r="F911" s="141" t="n"/>
      <c r="G911" s="143" t="n"/>
      <c r="H911" s="27" t="n"/>
    </row>
    <row r="912" ht="17.25" customHeight="1" s="322">
      <c r="A912" s="27" t="n"/>
      <c r="B912" s="506" t="n"/>
      <c r="C912" s="141" t="n"/>
      <c r="D912" s="141" t="n"/>
      <c r="E912" s="141" t="n"/>
      <c r="F912" s="141" t="n"/>
      <c r="G912" s="143" t="n"/>
      <c r="H912" s="27" t="n"/>
    </row>
    <row r="913" ht="17.25" customHeight="1" s="322">
      <c r="A913" s="27" t="n"/>
      <c r="B913" s="506" t="n"/>
      <c r="C913" s="141" t="n"/>
      <c r="D913" s="141" t="n"/>
      <c r="E913" s="141" t="n"/>
      <c r="F913" s="141" t="n"/>
      <c r="G913" s="143" t="n"/>
      <c r="H913" s="27" t="n"/>
    </row>
    <row r="914" ht="17.25" customHeight="1" s="322">
      <c r="A914" s="27" t="n"/>
      <c r="B914" s="506" t="n"/>
      <c r="C914" s="141" t="n"/>
      <c r="D914" s="141" t="n"/>
      <c r="E914" s="141" t="n"/>
      <c r="F914" s="141" t="n"/>
      <c r="G914" s="143" t="n"/>
      <c r="H914" s="27" t="n"/>
    </row>
    <row r="915" ht="17.25" customHeight="1" s="322">
      <c r="A915" s="27" t="n"/>
      <c r="B915" s="506" t="n"/>
      <c r="C915" s="141" t="n"/>
      <c r="D915" s="141" t="n"/>
      <c r="E915" s="141" t="n"/>
      <c r="F915" s="141" t="n"/>
      <c r="G915" s="143" t="n"/>
      <c r="H915" s="27" t="n"/>
    </row>
    <row r="916" ht="17.25" customHeight="1" s="322">
      <c r="A916" s="27" t="n"/>
      <c r="B916" s="506" t="n"/>
      <c r="C916" s="141" t="n"/>
      <c r="D916" s="141" t="n"/>
      <c r="E916" s="141" t="n"/>
      <c r="F916" s="141" t="n"/>
      <c r="G916" s="143" t="n"/>
      <c r="H916" s="27" t="n"/>
    </row>
    <row r="917" ht="17.25" customHeight="1" s="322">
      <c r="A917" s="27" t="n"/>
      <c r="B917" s="506" t="n"/>
      <c r="C917" s="141" t="n"/>
      <c r="D917" s="141" t="n"/>
      <c r="E917" s="141" t="n"/>
      <c r="F917" s="141" t="n"/>
      <c r="G917" s="143" t="n"/>
      <c r="H917" s="27" t="n"/>
    </row>
    <row r="918" ht="17.25" customHeight="1" s="322">
      <c r="A918" s="27" t="n"/>
      <c r="B918" s="506" t="n"/>
      <c r="C918" s="141" t="n"/>
      <c r="D918" s="141" t="n"/>
      <c r="E918" s="141" t="n"/>
      <c r="F918" s="141" t="n"/>
      <c r="G918" s="143" t="n"/>
      <c r="H918" s="27" t="n"/>
    </row>
    <row r="919" ht="17.25" customHeight="1" s="322">
      <c r="A919" s="27" t="n"/>
      <c r="B919" s="506" t="n"/>
      <c r="C919" s="141" t="n"/>
      <c r="D919" s="141" t="n"/>
      <c r="E919" s="141" t="n"/>
      <c r="F919" s="141" t="n"/>
      <c r="G919" s="143" t="n"/>
      <c r="H919" s="27" t="n"/>
    </row>
    <row r="920" ht="17.25" customHeight="1" s="322">
      <c r="A920" s="27" t="n"/>
      <c r="B920" s="506" t="n"/>
      <c r="C920" s="141" t="n"/>
      <c r="D920" s="141" t="n"/>
      <c r="E920" s="141" t="n"/>
      <c r="F920" s="141" t="n"/>
      <c r="G920" s="143" t="n"/>
      <c r="H920" s="27" t="n"/>
    </row>
    <row r="921" ht="17.25" customHeight="1" s="322">
      <c r="A921" s="27" t="n"/>
      <c r="B921" s="506" t="n"/>
      <c r="C921" s="141" t="n"/>
      <c r="D921" s="141" t="n"/>
      <c r="E921" s="141" t="n"/>
      <c r="F921" s="141" t="n"/>
      <c r="G921" s="143" t="n"/>
      <c r="H921" s="27" t="n"/>
    </row>
    <row r="922" ht="17.25" customHeight="1" s="322">
      <c r="A922" s="27" t="n"/>
      <c r="B922" s="506" t="n"/>
      <c r="C922" s="141" t="n"/>
      <c r="D922" s="141" t="n"/>
      <c r="E922" s="141" t="n"/>
      <c r="F922" s="141" t="n"/>
      <c r="G922" s="143" t="n"/>
      <c r="H922" s="27" t="n"/>
    </row>
    <row r="923" ht="17.25" customHeight="1" s="322">
      <c r="A923" s="27" t="n"/>
      <c r="B923" s="506" t="n"/>
      <c r="C923" s="141" t="n"/>
      <c r="D923" s="141" t="n"/>
      <c r="E923" s="141" t="n"/>
      <c r="F923" s="141" t="n"/>
      <c r="G923" s="143" t="n"/>
      <c r="H923" s="27" t="n"/>
    </row>
    <row r="924" ht="17.25" customHeight="1" s="322">
      <c r="A924" s="27" t="n"/>
      <c r="B924" s="506" t="n"/>
      <c r="C924" s="141" t="n"/>
      <c r="D924" s="141" t="n"/>
      <c r="E924" s="141" t="n"/>
      <c r="F924" s="141" t="n"/>
      <c r="G924" s="143" t="n"/>
      <c r="H924" s="27" t="n"/>
    </row>
    <row r="925" ht="17.25" customHeight="1" s="322">
      <c r="A925" s="27" t="n"/>
      <c r="B925" s="506" t="n"/>
      <c r="C925" s="141" t="n"/>
      <c r="D925" s="141" t="n"/>
      <c r="E925" s="141" t="n"/>
      <c r="F925" s="141" t="n"/>
      <c r="G925" s="143" t="n"/>
      <c r="H925" s="27" t="n"/>
    </row>
    <row r="926" ht="17.25" customHeight="1" s="322">
      <c r="A926" s="27" t="n"/>
      <c r="B926" s="506" t="n"/>
      <c r="C926" s="141" t="n"/>
      <c r="D926" s="141" t="n"/>
      <c r="E926" s="141" t="n"/>
      <c r="F926" s="141" t="n"/>
      <c r="G926" s="143" t="n"/>
      <c r="H926" s="27" t="n"/>
    </row>
    <row r="927" ht="17.25" customHeight="1" s="322">
      <c r="A927" s="27" t="n"/>
      <c r="B927" s="506" t="n"/>
      <c r="C927" s="141" t="n"/>
      <c r="D927" s="141" t="n"/>
      <c r="E927" s="141" t="n"/>
      <c r="F927" s="141" t="n"/>
      <c r="G927" s="143" t="n"/>
      <c r="H927" s="27" t="n"/>
    </row>
    <row r="928" ht="17.25" customHeight="1" s="322">
      <c r="A928" s="27" t="n"/>
      <c r="B928" s="506" t="n"/>
      <c r="C928" s="141" t="n"/>
      <c r="D928" s="141" t="n"/>
      <c r="E928" s="141" t="n"/>
      <c r="F928" s="141" t="n"/>
      <c r="G928" s="143" t="n"/>
      <c r="H928" s="27" t="n"/>
    </row>
    <row r="929" ht="17.25" customHeight="1" s="322">
      <c r="A929" s="27" t="n"/>
      <c r="B929" s="506" t="n"/>
      <c r="C929" s="141" t="n"/>
      <c r="D929" s="141" t="n"/>
      <c r="E929" s="141" t="n"/>
      <c r="F929" s="141" t="n"/>
      <c r="G929" s="143" t="n"/>
      <c r="H929" s="27" t="n"/>
    </row>
    <row r="930" ht="17.25" customHeight="1" s="322">
      <c r="A930" s="27" t="n"/>
      <c r="B930" s="506" t="n"/>
      <c r="C930" s="141" t="n"/>
      <c r="D930" s="141" t="n"/>
      <c r="E930" s="141" t="n"/>
      <c r="F930" s="141" t="n"/>
      <c r="G930" s="143" t="n"/>
      <c r="H930" s="27" t="n"/>
    </row>
    <row r="931" ht="17.25" customHeight="1" s="322">
      <c r="A931" s="27" t="n"/>
      <c r="B931" s="506" t="n"/>
      <c r="C931" s="141" t="n"/>
      <c r="D931" s="141" t="n"/>
      <c r="E931" s="141" t="n"/>
      <c r="F931" s="141" t="n"/>
      <c r="G931" s="143" t="n"/>
      <c r="H931" s="27" t="n"/>
    </row>
    <row r="932" ht="17.25" customHeight="1" s="322">
      <c r="A932" s="27" t="n"/>
      <c r="B932" s="506" t="n"/>
      <c r="C932" s="141" t="n"/>
      <c r="D932" s="141" t="n"/>
      <c r="E932" s="141" t="n"/>
      <c r="F932" s="141" t="n"/>
      <c r="G932" s="143" t="n"/>
      <c r="H932" s="27" t="n"/>
    </row>
    <row r="933" ht="17.25" customHeight="1" s="322">
      <c r="A933" s="27" t="n"/>
      <c r="B933" s="506" t="n"/>
      <c r="C933" s="141" t="n"/>
      <c r="D933" s="141" t="n"/>
      <c r="E933" s="141" t="n"/>
      <c r="F933" s="141" t="n"/>
      <c r="G933" s="143" t="n"/>
      <c r="H933" s="27" t="n"/>
    </row>
    <row r="934" ht="17.25" customHeight="1" s="322">
      <c r="A934" s="27" t="n"/>
      <c r="B934" s="506" t="n"/>
      <c r="C934" s="141" t="n"/>
      <c r="D934" s="141" t="n"/>
      <c r="E934" s="141" t="n"/>
      <c r="F934" s="141" t="n"/>
      <c r="G934" s="143" t="n"/>
      <c r="H934" s="27" t="n"/>
    </row>
    <row r="935" ht="17.25" customHeight="1" s="322">
      <c r="A935" s="27" t="n"/>
      <c r="B935" s="506" t="n"/>
      <c r="C935" s="141" t="n"/>
      <c r="D935" s="141" t="n"/>
      <c r="E935" s="141" t="n"/>
      <c r="F935" s="141" t="n"/>
      <c r="G935" s="143" t="n"/>
      <c r="H935" s="27" t="n"/>
    </row>
    <row r="936" ht="17.25" customHeight="1" s="322">
      <c r="A936" s="27" t="n"/>
      <c r="B936" s="506" t="n"/>
      <c r="C936" s="141" t="n"/>
      <c r="D936" s="141" t="n"/>
      <c r="E936" s="141" t="n"/>
      <c r="F936" s="141" t="n"/>
      <c r="G936" s="143" t="n"/>
      <c r="H936" s="27" t="n"/>
    </row>
    <row r="937" ht="17.25" customHeight="1" s="322">
      <c r="A937" s="27" t="n"/>
      <c r="B937" s="506" t="n"/>
      <c r="C937" s="141" t="n"/>
      <c r="D937" s="141" t="n"/>
      <c r="E937" s="141" t="n"/>
      <c r="F937" s="141" t="n"/>
      <c r="G937" s="143" t="n"/>
      <c r="H937" s="27" t="n"/>
    </row>
    <row r="938" ht="17.25" customHeight="1" s="322">
      <c r="A938" s="27" t="n"/>
      <c r="B938" s="506" t="n"/>
      <c r="C938" s="141" t="n"/>
      <c r="D938" s="141" t="n"/>
      <c r="E938" s="141" t="n"/>
      <c r="F938" s="141" t="n"/>
      <c r="G938" s="143" t="n"/>
      <c r="H938" s="27" t="n"/>
    </row>
    <row r="939" ht="17.25" customHeight="1" s="322">
      <c r="A939" s="27" t="n"/>
      <c r="B939" s="506" t="n"/>
      <c r="C939" s="141" t="n"/>
      <c r="D939" s="141" t="n"/>
      <c r="E939" s="141" t="n"/>
      <c r="F939" s="141" t="n"/>
      <c r="G939" s="143" t="n"/>
      <c r="H939" s="27" t="n"/>
    </row>
    <row r="940" ht="17.25" customHeight="1" s="322">
      <c r="A940" s="27" t="n"/>
      <c r="B940" s="506" t="n"/>
      <c r="C940" s="141" t="n"/>
      <c r="D940" s="141" t="n"/>
      <c r="E940" s="141" t="n"/>
      <c r="F940" s="141" t="n"/>
      <c r="G940" s="143" t="n"/>
      <c r="H940" s="27" t="n"/>
    </row>
    <row r="941" ht="17.25" customHeight="1" s="322">
      <c r="A941" s="27" t="n"/>
      <c r="B941" s="506" t="n"/>
      <c r="C941" s="141" t="n"/>
      <c r="D941" s="141" t="n"/>
      <c r="E941" s="141" t="n"/>
      <c r="F941" s="141" t="n"/>
      <c r="G941" s="143" t="n"/>
      <c r="H941" s="27" t="n"/>
    </row>
    <row r="942" ht="17.25" customHeight="1" s="322">
      <c r="A942" s="27" t="n"/>
      <c r="B942" s="506" t="n"/>
      <c r="C942" s="141" t="n"/>
      <c r="D942" s="141" t="n"/>
      <c r="E942" s="141" t="n"/>
      <c r="F942" s="141" t="n"/>
      <c r="G942" s="143" t="n"/>
      <c r="H942" s="27" t="n"/>
    </row>
    <row r="943" ht="17.25" customHeight="1" s="322">
      <c r="A943" s="27" t="n"/>
      <c r="B943" s="506" t="n"/>
      <c r="C943" s="141" t="n"/>
      <c r="D943" s="141" t="n"/>
      <c r="E943" s="141" t="n"/>
      <c r="F943" s="141" t="n"/>
      <c r="G943" s="143" t="n"/>
      <c r="H943" s="27" t="n"/>
    </row>
    <row r="944" ht="17.25" customHeight="1" s="322">
      <c r="A944" s="27" t="n"/>
      <c r="B944" s="506" t="n"/>
      <c r="C944" s="141" t="n"/>
      <c r="D944" s="141" t="n"/>
      <c r="E944" s="141" t="n"/>
      <c r="F944" s="141" t="n"/>
      <c r="G944" s="143" t="n"/>
      <c r="H944" s="27" t="n"/>
    </row>
    <row r="945" ht="17.25" customHeight="1" s="322">
      <c r="A945" s="27" t="n"/>
      <c r="B945" s="506" t="n"/>
      <c r="C945" s="141" t="n"/>
      <c r="D945" s="141" t="n"/>
      <c r="E945" s="141" t="n"/>
      <c r="F945" s="141" t="n"/>
      <c r="G945" s="143" t="n"/>
      <c r="H945" s="27" t="n"/>
    </row>
    <row r="946" ht="17.25" customHeight="1" s="322">
      <c r="A946" s="27" t="n"/>
      <c r="B946" s="506" t="n"/>
      <c r="C946" s="141" t="n"/>
      <c r="D946" s="141" t="n"/>
      <c r="E946" s="141" t="n"/>
      <c r="F946" s="141" t="n"/>
      <c r="G946" s="143" t="n"/>
      <c r="H946" s="27" t="n"/>
    </row>
    <row r="947" ht="17.25" customHeight="1" s="322">
      <c r="A947" s="27" t="n"/>
      <c r="B947" s="506" t="n"/>
      <c r="C947" s="141" t="n"/>
      <c r="D947" s="141" t="n"/>
      <c r="E947" s="141" t="n"/>
      <c r="F947" s="141" t="n"/>
      <c r="G947" s="143" t="n"/>
      <c r="H947" s="27" t="n"/>
    </row>
    <row r="948" ht="17.25" customHeight="1" s="322">
      <c r="A948" s="27" t="n"/>
      <c r="B948" s="506" t="n"/>
      <c r="C948" s="141" t="n"/>
      <c r="D948" s="141" t="n"/>
      <c r="E948" s="141" t="n"/>
      <c r="F948" s="141" t="n"/>
      <c r="G948" s="143" t="n"/>
      <c r="H948" s="27" t="n"/>
    </row>
    <row r="949" ht="17.25" customHeight="1" s="322">
      <c r="A949" s="27" t="n"/>
      <c r="B949" s="506" t="n"/>
      <c r="C949" s="141" t="n"/>
      <c r="D949" s="141" t="n"/>
      <c r="E949" s="141" t="n"/>
      <c r="F949" s="141" t="n"/>
      <c r="G949" s="143" t="n"/>
      <c r="H949" s="27" t="n"/>
    </row>
    <row r="950" ht="17.25" customHeight="1" s="322">
      <c r="A950" s="27" t="n"/>
      <c r="B950" s="506" t="n"/>
      <c r="C950" s="141" t="n"/>
      <c r="D950" s="141" t="n"/>
      <c r="E950" s="141" t="n"/>
      <c r="F950" s="141" t="n"/>
      <c r="G950" s="143" t="n"/>
      <c r="H950" s="27" t="n"/>
    </row>
    <row r="951" ht="17.25" customHeight="1" s="322">
      <c r="A951" s="27" t="n"/>
      <c r="B951" s="506" t="n"/>
      <c r="C951" s="141" t="n"/>
      <c r="D951" s="141" t="n"/>
      <c r="E951" s="141" t="n"/>
      <c r="F951" s="141" t="n"/>
      <c r="G951" s="143" t="n"/>
      <c r="H951" s="27" t="n"/>
    </row>
    <row r="952" ht="17.25" customHeight="1" s="322">
      <c r="A952" s="27" t="n"/>
      <c r="B952" s="506" t="n"/>
      <c r="C952" s="141" t="n"/>
      <c r="D952" s="141" t="n"/>
      <c r="E952" s="141" t="n"/>
      <c r="F952" s="141" t="n"/>
      <c r="G952" s="143" t="n"/>
      <c r="H952" s="27" t="n"/>
    </row>
    <row r="953" ht="17.25" customHeight="1" s="322">
      <c r="A953" s="27" t="n"/>
      <c r="B953" s="506" t="n"/>
      <c r="C953" s="141" t="n"/>
      <c r="D953" s="141" t="n"/>
      <c r="E953" s="141" t="n"/>
      <c r="F953" s="141" t="n"/>
      <c r="G953" s="143" t="n"/>
      <c r="H953" s="27" t="n"/>
    </row>
    <row r="954" ht="17.25" customHeight="1" s="322">
      <c r="A954" s="27" t="n"/>
      <c r="B954" s="506" t="n"/>
      <c r="C954" s="141" t="n"/>
      <c r="D954" s="141" t="n"/>
      <c r="E954" s="141" t="n"/>
      <c r="F954" s="141" t="n"/>
      <c r="G954" s="143" t="n"/>
      <c r="H954" s="27" t="n"/>
    </row>
    <row r="955" ht="17.25" customHeight="1" s="322">
      <c r="A955" s="27" t="n"/>
      <c r="B955" s="506" t="n"/>
      <c r="C955" s="141" t="n"/>
      <c r="D955" s="141" t="n"/>
      <c r="E955" s="141" t="n"/>
      <c r="F955" s="141" t="n"/>
      <c r="G955" s="143" t="n"/>
      <c r="H955" s="27" t="n"/>
    </row>
    <row r="956" ht="17.25" customHeight="1" s="322">
      <c r="A956" s="27" t="n"/>
      <c r="B956" s="506" t="n"/>
      <c r="C956" s="141" t="n"/>
      <c r="D956" s="141" t="n"/>
      <c r="E956" s="141" t="n"/>
      <c r="F956" s="141" t="n"/>
      <c r="G956" s="143" t="n"/>
      <c r="H956" s="27" t="n"/>
    </row>
    <row r="957" ht="17.25" customHeight="1" s="322">
      <c r="A957" s="27" t="n"/>
      <c r="B957" s="506" t="n"/>
      <c r="C957" s="141" t="n"/>
      <c r="D957" s="141" t="n"/>
      <c r="E957" s="141" t="n"/>
      <c r="F957" s="141" t="n"/>
      <c r="G957" s="143" t="n"/>
      <c r="H957" s="27" t="n"/>
    </row>
    <row r="958" ht="17.25" customHeight="1" s="322">
      <c r="A958" s="27" t="n"/>
      <c r="B958" s="506" t="n"/>
      <c r="C958" s="141" t="n"/>
      <c r="D958" s="141" t="n"/>
      <c r="E958" s="141" t="n"/>
      <c r="F958" s="141" t="n"/>
      <c r="G958" s="143" t="n"/>
      <c r="H958" s="27" t="n"/>
    </row>
    <row r="959" ht="17.25" customHeight="1" s="322">
      <c r="A959" s="27" t="n"/>
      <c r="B959" s="506" t="n"/>
      <c r="C959" s="141" t="n"/>
      <c r="D959" s="141" t="n"/>
      <c r="E959" s="141" t="n"/>
      <c r="F959" s="141" t="n"/>
      <c r="G959" s="143" t="n"/>
      <c r="H959" s="27" t="n"/>
    </row>
    <row r="960" ht="17.25" customHeight="1" s="322">
      <c r="A960" s="27" t="n"/>
      <c r="B960" s="506" t="n"/>
      <c r="C960" s="141" t="n"/>
      <c r="D960" s="141" t="n"/>
      <c r="E960" s="141" t="n"/>
      <c r="F960" s="141" t="n"/>
      <c r="G960" s="143" t="n"/>
      <c r="H960" s="27" t="n"/>
    </row>
    <row r="961" ht="17.25" customHeight="1" s="322">
      <c r="A961" s="27" t="n"/>
      <c r="B961" s="506" t="n"/>
      <c r="C961" s="141" t="n"/>
      <c r="D961" s="141" t="n"/>
      <c r="E961" s="141" t="n"/>
      <c r="F961" s="141" t="n"/>
      <c r="G961" s="143" t="n"/>
      <c r="H961" s="27" t="n"/>
    </row>
    <row r="962" ht="17.25" customHeight="1" s="322">
      <c r="A962" s="27" t="n"/>
      <c r="B962" s="506" t="n"/>
      <c r="C962" s="141" t="n"/>
      <c r="D962" s="141" t="n"/>
      <c r="E962" s="141" t="n"/>
      <c r="F962" s="141" t="n"/>
      <c r="G962" s="143" t="n"/>
      <c r="H962" s="27" t="n"/>
    </row>
    <row r="963" ht="17.25" customHeight="1" s="322">
      <c r="A963" s="27" t="n"/>
      <c r="B963" s="506" t="n"/>
      <c r="C963" s="141" t="n"/>
      <c r="D963" s="141" t="n"/>
      <c r="E963" s="141" t="n"/>
      <c r="F963" s="141" t="n"/>
      <c r="G963" s="143" t="n"/>
      <c r="H963" s="27" t="n"/>
    </row>
    <row r="964" ht="17.25" customHeight="1" s="322">
      <c r="A964" s="27" t="n"/>
      <c r="B964" s="506" t="n"/>
      <c r="C964" s="141" t="n"/>
      <c r="D964" s="141" t="n"/>
      <c r="E964" s="141" t="n"/>
      <c r="F964" s="141" t="n"/>
      <c r="G964" s="143" t="n"/>
      <c r="H964" s="27" t="n"/>
    </row>
    <row r="965" ht="17.25" customHeight="1" s="322">
      <c r="A965" s="27" t="n"/>
      <c r="B965" s="506" t="n"/>
      <c r="C965" s="141" t="n"/>
      <c r="D965" s="141" t="n"/>
      <c r="E965" s="141" t="n"/>
      <c r="F965" s="141" t="n"/>
      <c r="G965" s="143" t="n"/>
      <c r="H965" s="27" t="n"/>
    </row>
    <row r="966" ht="17.25" customHeight="1" s="322">
      <c r="A966" s="27" t="n"/>
      <c r="B966" s="506" t="n"/>
      <c r="C966" s="141" t="n"/>
      <c r="D966" s="141" t="n"/>
      <c r="E966" s="141" t="n"/>
      <c r="F966" s="141" t="n"/>
      <c r="G966" s="143" t="n"/>
      <c r="H966" s="27" t="n"/>
    </row>
    <row r="967" ht="17.25" customHeight="1" s="322">
      <c r="A967" s="27" t="n"/>
      <c r="B967" s="506" t="n"/>
      <c r="C967" s="141" t="n"/>
      <c r="D967" s="141" t="n"/>
      <c r="E967" s="141" t="n"/>
      <c r="F967" s="141" t="n"/>
      <c r="G967" s="143" t="n"/>
      <c r="H967" s="27" t="n"/>
    </row>
    <row r="968" ht="17.25" customHeight="1" s="322">
      <c r="A968" s="27" t="n"/>
      <c r="B968" s="506" t="n"/>
      <c r="C968" s="141" t="n"/>
      <c r="D968" s="141" t="n"/>
      <c r="E968" s="141" t="n"/>
      <c r="F968" s="141" t="n"/>
      <c r="G968" s="143" t="n"/>
      <c r="H968" s="27" t="n"/>
    </row>
    <row r="969" ht="17.25" customHeight="1" s="322">
      <c r="A969" s="27" t="n"/>
      <c r="B969" s="506" t="n"/>
      <c r="C969" s="141" t="n"/>
      <c r="D969" s="141" t="n"/>
      <c r="E969" s="141" t="n"/>
      <c r="F969" s="141" t="n"/>
      <c r="G969" s="143" t="n"/>
      <c r="H969" s="27" t="n"/>
    </row>
    <row r="970" ht="17.25" customHeight="1" s="322">
      <c r="A970" s="27" t="n"/>
      <c r="B970" s="506" t="n"/>
      <c r="C970" s="141" t="n"/>
      <c r="D970" s="141" t="n"/>
      <c r="E970" s="141" t="n"/>
      <c r="F970" s="141" t="n"/>
      <c r="G970" s="143" t="n"/>
      <c r="H970" s="27" t="n"/>
    </row>
    <row r="971" ht="17.25" customHeight="1" s="322">
      <c r="A971" s="27" t="n"/>
      <c r="B971" s="506" t="n"/>
      <c r="C971" s="141" t="n"/>
      <c r="D971" s="141" t="n"/>
      <c r="E971" s="141" t="n"/>
      <c r="F971" s="141" t="n"/>
      <c r="G971" s="143" t="n"/>
      <c r="H971" s="27" t="n"/>
    </row>
    <row r="972" ht="17.25" customHeight="1" s="322">
      <c r="A972" s="27" t="n"/>
      <c r="B972" s="506" t="n"/>
      <c r="C972" s="141" t="n"/>
      <c r="D972" s="141" t="n"/>
      <c r="E972" s="141" t="n"/>
      <c r="F972" s="141" t="n"/>
      <c r="G972" s="143" t="n"/>
      <c r="H972" s="27" t="n"/>
    </row>
    <row r="973" ht="17.25" customHeight="1" s="322">
      <c r="A973" s="27" t="n"/>
      <c r="B973" s="506" t="n"/>
      <c r="C973" s="141" t="n"/>
      <c r="D973" s="141" t="n"/>
      <c r="E973" s="141" t="n"/>
      <c r="F973" s="141" t="n"/>
      <c r="G973" s="143" t="n"/>
      <c r="H973" s="27" t="n"/>
    </row>
    <row r="974" ht="17.25" customHeight="1" s="322">
      <c r="A974" s="27" t="n"/>
      <c r="B974" s="506" t="n"/>
      <c r="C974" s="141" t="n"/>
      <c r="D974" s="141" t="n"/>
      <c r="E974" s="141" t="n"/>
      <c r="F974" s="141" t="n"/>
      <c r="G974" s="143" t="n"/>
      <c r="H974" s="27" t="n"/>
    </row>
    <row r="975" ht="17.25" customHeight="1" s="322">
      <c r="A975" s="27" t="n"/>
      <c r="B975" s="506" t="n"/>
      <c r="C975" s="141" t="n"/>
      <c r="D975" s="141" t="n"/>
      <c r="E975" s="141" t="n"/>
      <c r="F975" s="141" t="n"/>
      <c r="G975" s="143" t="n"/>
      <c r="H975" s="27" t="n"/>
    </row>
    <row r="976" ht="17.25" customHeight="1" s="322">
      <c r="A976" s="27" t="n"/>
      <c r="B976" s="506" t="n"/>
      <c r="C976" s="141" t="n"/>
      <c r="D976" s="141" t="n"/>
      <c r="E976" s="141" t="n"/>
      <c r="F976" s="141" t="n"/>
      <c r="G976" s="143" t="n"/>
      <c r="H976" s="27" t="n"/>
    </row>
    <row r="977" ht="17.25" customHeight="1" s="322">
      <c r="A977" s="27" t="n"/>
      <c r="B977" s="506" t="n"/>
      <c r="C977" s="141" t="n"/>
      <c r="D977" s="141" t="n"/>
      <c r="E977" s="141" t="n"/>
      <c r="F977" s="141" t="n"/>
      <c r="G977" s="143" t="n"/>
      <c r="H977" s="27" t="n"/>
    </row>
    <row r="978" ht="17.25" customHeight="1" s="322">
      <c r="A978" s="27" t="n"/>
      <c r="B978" s="506" t="n"/>
      <c r="C978" s="141" t="n"/>
      <c r="D978" s="141" t="n"/>
      <c r="E978" s="141" t="n"/>
      <c r="F978" s="141" t="n"/>
      <c r="G978" s="143" t="n"/>
      <c r="H978" s="27" t="n"/>
    </row>
    <row r="979" ht="17.25" customHeight="1" s="322">
      <c r="A979" s="27" t="n"/>
      <c r="B979" s="506" t="n"/>
      <c r="C979" s="141" t="n"/>
      <c r="D979" s="141" t="n"/>
      <c r="E979" s="141" t="n"/>
      <c r="F979" s="141" t="n"/>
      <c r="G979" s="143" t="n"/>
      <c r="H979" s="27" t="n"/>
    </row>
    <row r="980" ht="17.25" customHeight="1" s="322">
      <c r="A980" s="27" t="n"/>
      <c r="B980" s="506" t="n"/>
      <c r="C980" s="141" t="n"/>
      <c r="D980" s="141" t="n"/>
      <c r="E980" s="141" t="n"/>
      <c r="F980" s="141" t="n"/>
      <c r="G980" s="143" t="n"/>
      <c r="H980" s="27" t="n"/>
    </row>
    <row r="981" ht="17.25" customHeight="1" s="322">
      <c r="A981" s="27" t="n"/>
      <c r="B981" s="506" t="n"/>
      <c r="C981" s="141" t="n"/>
      <c r="D981" s="141" t="n"/>
      <c r="E981" s="141" t="n"/>
      <c r="F981" s="141" t="n"/>
      <c r="G981" s="143" t="n"/>
      <c r="H981" s="27" t="n"/>
    </row>
    <row r="982" ht="17.25" customHeight="1" s="322">
      <c r="A982" s="27" t="n"/>
      <c r="B982" s="506" t="n"/>
      <c r="C982" s="141" t="n"/>
      <c r="D982" s="141" t="n"/>
      <c r="E982" s="141" t="n"/>
      <c r="F982" s="141" t="n"/>
      <c r="G982" s="143" t="n"/>
      <c r="H982" s="27" t="n"/>
    </row>
    <row r="983" ht="17.25" customHeight="1" s="322">
      <c r="A983" s="27" t="n"/>
      <c r="B983" s="506" t="n"/>
      <c r="C983" s="141" t="n"/>
      <c r="D983" s="141" t="n"/>
      <c r="E983" s="141" t="n"/>
      <c r="F983" s="141" t="n"/>
      <c r="G983" s="143" t="n"/>
      <c r="H983" s="27" t="n"/>
    </row>
    <row r="984" ht="17.25" customHeight="1" s="322">
      <c r="A984" s="27" t="n"/>
      <c r="B984" s="506" t="n"/>
      <c r="C984" s="141" t="n"/>
      <c r="D984" s="141" t="n"/>
      <c r="E984" s="141" t="n"/>
      <c r="F984" s="141" t="n"/>
      <c r="G984" s="143" t="n"/>
      <c r="H984" s="27" t="n"/>
    </row>
    <row r="985" ht="17.25" customHeight="1" s="322">
      <c r="A985" s="27" t="n"/>
      <c r="B985" s="506" t="n"/>
      <c r="C985" s="141" t="n"/>
      <c r="D985" s="141" t="n"/>
      <c r="E985" s="141" t="n"/>
      <c r="F985" s="141" t="n"/>
      <c r="G985" s="143" t="n"/>
      <c r="H985" s="27" t="n"/>
    </row>
    <row r="986" ht="17.25" customHeight="1" s="322">
      <c r="A986" s="27" t="n"/>
      <c r="B986" s="506" t="n"/>
      <c r="C986" s="141" t="n"/>
      <c r="D986" s="141" t="n"/>
      <c r="E986" s="141" t="n"/>
      <c r="F986" s="141" t="n"/>
      <c r="G986" s="143" t="n"/>
      <c r="H986" s="27" t="n"/>
    </row>
    <row r="987" ht="17.25" customHeight="1" s="322">
      <c r="A987" s="27" t="n"/>
      <c r="B987" s="506" t="n"/>
      <c r="C987" s="141" t="n"/>
      <c r="D987" s="141" t="n"/>
      <c r="E987" s="141" t="n"/>
      <c r="F987" s="141" t="n"/>
      <c r="G987" s="143" t="n"/>
      <c r="H987" s="27" t="n"/>
    </row>
    <row r="988" ht="17.25" customHeight="1" s="322">
      <c r="A988" s="27" t="n"/>
      <c r="B988" s="506" t="n"/>
      <c r="C988" s="141" t="n"/>
      <c r="D988" s="141" t="n"/>
      <c r="E988" s="141" t="n"/>
      <c r="F988" s="141" t="n"/>
      <c r="G988" s="143" t="n"/>
      <c r="H988" s="27" t="n"/>
    </row>
    <row r="989" ht="17.25" customHeight="1" s="322">
      <c r="A989" s="27" t="n"/>
      <c r="B989" s="506" t="n"/>
      <c r="C989" s="141" t="n"/>
      <c r="D989" s="141" t="n"/>
      <c r="E989" s="141" t="n"/>
      <c r="F989" s="141" t="n"/>
      <c r="G989" s="143" t="n"/>
      <c r="H989" s="27" t="n"/>
    </row>
    <row r="990" ht="17.25" customHeight="1" s="322">
      <c r="A990" s="27" t="n"/>
      <c r="B990" s="506" t="n"/>
      <c r="C990" s="141" t="n"/>
      <c r="D990" s="141" t="n"/>
      <c r="E990" s="141" t="n"/>
      <c r="F990" s="141" t="n"/>
      <c r="G990" s="143" t="n"/>
      <c r="H990" s="27" t="n"/>
    </row>
    <row r="991" ht="17.25" customHeight="1" s="322">
      <c r="A991" s="27" t="n"/>
      <c r="B991" s="506" t="n"/>
      <c r="C991" s="141" t="n"/>
      <c r="D991" s="141" t="n"/>
      <c r="E991" s="141" t="n"/>
      <c r="F991" s="141" t="n"/>
      <c r="G991" s="143" t="n"/>
      <c r="H991" s="27" t="n"/>
    </row>
    <row r="992" ht="17.25" customHeight="1" s="322">
      <c r="A992" s="27" t="n"/>
      <c r="B992" s="506" t="n"/>
      <c r="C992" s="141" t="n"/>
      <c r="D992" s="141" t="n"/>
      <c r="E992" s="141" t="n"/>
      <c r="F992" s="141" t="n"/>
      <c r="G992" s="143" t="n"/>
      <c r="H992" s="27" t="n"/>
    </row>
    <row r="993" ht="17.25" customHeight="1" s="322">
      <c r="A993" s="27" t="n"/>
      <c r="B993" s="506" t="n"/>
      <c r="C993" s="141" t="n"/>
      <c r="D993" s="141" t="n"/>
      <c r="E993" s="141" t="n"/>
      <c r="F993" s="141" t="n"/>
      <c r="G993" s="143" t="n"/>
      <c r="H993" s="27" t="n"/>
    </row>
    <row r="994" ht="17.25" customHeight="1" s="322">
      <c r="A994" s="27" t="n"/>
      <c r="B994" s="506" t="n"/>
      <c r="C994" s="141" t="n"/>
      <c r="D994" s="141" t="n"/>
      <c r="E994" s="141" t="n"/>
      <c r="F994" s="141" t="n"/>
      <c r="G994" s="143" t="n"/>
      <c r="H994" s="27" t="n"/>
    </row>
    <row r="995" ht="17.25" customHeight="1" s="322">
      <c r="A995" s="27" t="n"/>
      <c r="B995" s="506" t="n"/>
      <c r="C995" s="141" t="n"/>
      <c r="D995" s="141" t="n"/>
      <c r="E995" s="141" t="n"/>
      <c r="F995" s="141" t="n"/>
      <c r="G995" s="143" t="n"/>
      <c r="H995" s="27" t="n"/>
    </row>
    <row r="996" ht="17.25" customHeight="1" s="322">
      <c r="A996" s="27" t="n"/>
      <c r="B996" s="506" t="n"/>
      <c r="C996" s="141" t="n"/>
      <c r="D996" s="141" t="n"/>
      <c r="E996" s="141" t="n"/>
      <c r="F996" s="141" t="n"/>
      <c r="G996" s="143" t="n"/>
      <c r="H996" s="27" t="n"/>
    </row>
    <row r="997" ht="17.25" customHeight="1" s="322">
      <c r="A997" s="27" t="n"/>
      <c r="B997" s="506" t="n"/>
      <c r="C997" s="141" t="n"/>
      <c r="D997" s="141" t="n"/>
      <c r="E997" s="141" t="n"/>
      <c r="F997" s="141" t="n"/>
      <c r="G997" s="143" t="n"/>
      <c r="H997" s="27" t="n"/>
    </row>
    <row r="998" ht="17.25" customHeight="1" s="322">
      <c r="A998" s="27" t="n"/>
      <c r="B998" s="506" t="n"/>
      <c r="C998" s="141" t="n"/>
      <c r="D998" s="141" t="n"/>
      <c r="E998" s="141" t="n"/>
      <c r="F998" s="141" t="n"/>
      <c r="G998" s="143" t="n"/>
      <c r="H998" s="27" t="n"/>
    </row>
    <row r="999" ht="17.25" customHeight="1" s="322">
      <c r="A999" s="27" t="n"/>
      <c r="B999" s="506" t="n"/>
      <c r="C999" s="141" t="n"/>
      <c r="D999" s="141" t="n"/>
      <c r="E999" s="141" t="n"/>
      <c r="F999" s="141" t="n"/>
      <c r="G999" s="143" t="n"/>
      <c r="H999" s="27" t="n"/>
    </row>
    <row r="1000" ht="17.25" customHeight="1" s="322">
      <c r="A1000" s="27" t="n"/>
      <c r="B1000" s="506" t="n"/>
      <c r="C1000" s="141" t="n"/>
      <c r="D1000" s="141" t="n"/>
      <c r="E1000" s="141" t="n"/>
      <c r="F1000" s="141" t="n"/>
      <c r="G1000" s="143" t="n"/>
      <c r="H1000" s="27" t="n"/>
    </row>
  </sheetData>
  <mergeCells count="3">
    <mergeCell ref="B1:F2"/>
    <mergeCell ref="B7:G7"/>
    <mergeCell ref="B10:C10"/>
  </mergeCells>
  <conditionalFormatting sqref="D10:E10">
    <cfRule type="cellIs" priority="5" operator="lessThan" dxfId="5">
      <formula>0</formula>
    </cfRule>
    <cfRule type="cellIs" priority="6" operator="greaterThan" dxfId="4">
      <formula>0</formula>
    </cfRule>
  </conditionalFormatting>
  <conditionalFormatting sqref="F28:F1000">
    <cfRule type="expression" priority="1" dxfId="3">
      <formula>AND(F28=MAX(F$28:F$1000),F28&gt;0)</formula>
    </cfRule>
    <cfRule type="expression" priority="2" dxfId="2">
      <formula>AND(F28=MIN(F$28:F$1000),F28&gt;0)</formula>
    </cfRule>
  </conditionalFormatting>
  <conditionalFormatting sqref="F29:F1000">
    <cfRule type="expression" priority="3" dxfId="1">
      <formula>F29&gt;F27</formula>
    </cfRule>
    <cfRule type="expression" priority="4" dxfId="0">
      <formula>F29&lt;F27</formula>
    </cfRule>
  </conditionalFormatting>
  <conditionalFormatting sqref="G15">
    <cfRule type="colorScale" priority="7">
      <colorScale>
        <cfvo type="min"/>
        <cfvo type="max"/>
        <color rgb="FF57BB8A"/>
        <color rgb="FFFFFFFF"/>
      </colorScale>
    </cfRule>
  </conditionalFormatting>
  <dataValidations count="1">
    <dataValidation sqref="G15" showDropDown="0" showInputMessage="1" showErrorMessage="1" allowBlank="1" prompt="Click and enter a value from the list of items" type="list">
      <formula1>"1 Month,3 Months,6 Months,12 Months,36 Months"</formula1>
    </dataValidation>
  </dataValidations>
  <hyperlinks>
    <hyperlink xmlns:r="http://schemas.openxmlformats.org/officeDocument/2006/relationships" ref="B1" r:id="rId1"/>
    <hyperlink xmlns:r="http://schemas.openxmlformats.org/officeDocument/2006/relationships" ref="G2" r:id="rId2"/>
  </hyperlinks>
  <pageMargins left="0.7" right="0.7" top="0.75" bottom="0.75" header="0.3" footer="0.3"/>
  <drawing xmlns:r="http://schemas.openxmlformats.org/officeDocument/2006/relationships" r:id="rId3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H1000"/>
  <sheetViews>
    <sheetView showGridLines="0" workbookViewId="0">
      <selection activeCell="A1" sqref="A1"/>
    </sheetView>
  </sheetViews>
  <sheetFormatPr baseColWidth="8" defaultColWidth="12.5703125" defaultRowHeight="15.75" customHeight="1"/>
  <cols>
    <col width="5.42578125" customWidth="1" style="322" min="1" max="1"/>
    <col width="15.7109375" customWidth="1" style="322" min="2" max="2"/>
    <col width="5.42578125" customWidth="1" style="322" min="8" max="8"/>
  </cols>
  <sheetData>
    <row r="1" ht="22.5" customHeight="1" s="322">
      <c r="A1" s="69" t="n"/>
      <c r="B1" s="455" t="inlineStr">
        <is>
          <t>← 관심종목으로 돌아가기</t>
        </is>
      </c>
      <c r="G1" s="72" t="inlineStr">
        <is>
          <t>제공:</t>
        </is>
      </c>
      <c r="H1" s="69" t="n"/>
    </row>
    <row r="2" ht="22.5" customHeight="1" s="322">
      <c r="A2" s="69" t="n"/>
      <c r="G2" s="77" t="inlineStr">
        <is>
          <t>Google Finance</t>
        </is>
      </c>
      <c r="H2" s="69" t="n"/>
    </row>
    <row r="3" ht="11.25" customHeight="1" s="322">
      <c r="A3" s="1" t="n"/>
      <c r="B3" s="1" t="n"/>
      <c r="C3" s="1" t="n"/>
      <c r="D3" s="1" t="n"/>
      <c r="E3" s="1" t="n"/>
      <c r="F3" s="1" t="n"/>
      <c r="G3" s="1" t="n"/>
      <c r="H3" s="1" t="n"/>
    </row>
    <row r="4" ht="15.75" customHeight="1" s="322">
      <c r="A4" s="1" t="n"/>
      <c r="B4" s="80" t="inlineStr">
        <is>
          <t>EFA</t>
        </is>
      </c>
      <c r="C4" s="81" t="inlineStr">
        <is>
          <t>&lt;&lt; 종목코드 입력</t>
        </is>
      </c>
      <c r="D4" s="1" t="n"/>
      <c r="E4" s="1" t="n"/>
      <c r="F4" s="1" t="n"/>
      <c r="G4" s="1" t="n"/>
      <c r="H4" s="1" t="n"/>
    </row>
    <row r="5" ht="15.75" customHeight="1" s="322">
      <c r="A5" s="1" t="n"/>
      <c r="B5" s="82" t="n"/>
      <c r="C5" s="81" t="inlineStr">
        <is>
          <t>&lt;&lt; 필요한 경우 거래소 입력(예: NASDAQ, NYSE)</t>
        </is>
      </c>
      <c r="D5" s="85" t="n"/>
      <c r="E5" s="1" t="n"/>
      <c r="F5" s="1" t="n"/>
      <c r="G5" s="1" t="n"/>
      <c r="H5" s="1" t="n"/>
    </row>
    <row r="6" ht="11.25" customHeight="1" s="322">
      <c r="A6" s="27" t="n"/>
      <c r="B6" s="27" t="n"/>
      <c r="C6" s="27" t="n"/>
      <c r="D6" s="27" t="n"/>
      <c r="E6" s="27" t="n"/>
      <c r="F6" s="27" t="n"/>
      <c r="G6" s="27" t="n"/>
      <c r="H6" s="27" t="n"/>
    </row>
    <row r="7" ht="20.25" customHeight="1" s="322">
      <c r="A7" s="12" t="n"/>
      <c r="B7" s="501">
        <f>IFERROR(__xludf.DUMMYFUNCTION("GOOGLEFINANCE(B18,""name"")"),"iShares MSCI EAFE ETF")</f>
        <v/>
      </c>
      <c r="H7" s="12" t="n"/>
    </row>
    <row r="8" ht="11.25" customHeight="1" s="322">
      <c r="A8" s="12" t="n"/>
      <c r="B8" s="12" t="n"/>
      <c r="C8" s="12" t="n"/>
      <c r="D8" s="12" t="n"/>
      <c r="E8" s="12" t="n"/>
      <c r="F8" s="12" t="n"/>
      <c r="G8" s="12" t="n"/>
      <c r="H8" s="12" t="n"/>
    </row>
    <row r="9" ht="12" customHeight="1" s="322">
      <c r="A9" s="1" t="n"/>
      <c r="B9" s="90" t="inlineStr">
        <is>
          <t>현재가</t>
        </is>
      </c>
      <c r="C9" s="1" t="n"/>
      <c r="D9" s="90" t="inlineStr">
        <is>
          <t>전일대비</t>
        </is>
      </c>
      <c r="E9" s="90" t="inlineStr">
        <is>
          <t>등락률(%)</t>
        </is>
      </c>
      <c r="F9" s="1" t="n"/>
      <c r="G9" s="1" t="n"/>
      <c r="H9" s="1" t="n"/>
    </row>
    <row r="10" ht="31.5" customHeight="1" s="322">
      <c r="A10" s="12" t="n"/>
      <c r="B10" s="502">
        <f>IFERROR(__xludf.DUMMYFUNCTION("GOOGLEFINANCE(B18,""price"")"),103.37)</f>
        <v/>
      </c>
      <c r="D10" s="503">
        <f>IFERROR(__xludf.DUMMYFUNCTION("IFERROR(GOOGLEFINANCE(B18,""change""),""-"")"),-0.52)</f>
        <v/>
      </c>
      <c r="E10" s="504">
        <f>IFERROR(__xludf.DUMMYFUNCTION("IFERROR(GOOGLEFINANCE(B18,""changepct"")/100,""-"")"),-0.005)</f>
        <v/>
      </c>
      <c r="F10" s="12" t="n"/>
      <c r="G10" s="12" t="n"/>
      <c r="H10" s="12" t="n"/>
    </row>
    <row r="11" ht="11.25" customHeight="1" s="322">
      <c r="A11" s="12" t="n"/>
      <c r="B11" s="106" t="n"/>
      <c r="C11" s="106" t="n"/>
      <c r="D11" s="106" t="n"/>
      <c r="E11" s="106" t="n"/>
      <c r="F11" s="106" t="n"/>
      <c r="G11" s="106" t="n"/>
      <c r="H11" s="12" t="n"/>
    </row>
    <row r="12" ht="11.25" customHeight="1" s="322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 ht="12" customHeight="1" s="322">
      <c r="A13" s="1" t="n"/>
      <c r="B13" s="90" t="inlineStr">
        <is>
          <t>시가총액</t>
        </is>
      </c>
      <c r="C13" s="90" t="inlineStr">
        <is>
          <t>PER</t>
        </is>
      </c>
      <c r="D13" s="90" t="inlineStr">
        <is>
          <t>베타계수</t>
        </is>
      </c>
      <c r="E13" s="1" t="n"/>
      <c r="F13" s="1" t="n"/>
      <c r="G13" s="1" t="n"/>
      <c r="H13" s="1" t="n"/>
    </row>
    <row r="14">
      <c r="A14" s="113" t="n"/>
      <c r="B14" s="505">
        <f>IFERROR(__xludf.DUMMYFUNCTION("IFERROR(GOOGLEFINANCE(B18,""marketcap""),""-"")"),710082466)</f>
        <v/>
      </c>
      <c r="C14" s="115">
        <f>IFERROR(__xludf.DUMMYFUNCTION("IFERROR(GOOGLEFINANCE(B18,""pe""),""-"")"),"-")</f>
        <v/>
      </c>
      <c r="D14" s="115">
        <f>IFERROR(__xludf.DUMMYFUNCTION("IFERROR(GOOGLEFINANCE(B18,""beta""),""-"")"),"-")</f>
        <v/>
      </c>
      <c r="E14" s="113" t="n"/>
      <c r="F14" s="113" t="n"/>
      <c r="G14" s="113" t="n"/>
      <c r="H14" s="113" t="n"/>
    </row>
    <row r="15" ht="15.75" customHeight="1" s="322">
      <c r="A15" s="12" t="n"/>
      <c r="B15" s="12" t="n"/>
      <c r="C15" s="12" t="n"/>
      <c r="D15" s="12" t="n"/>
      <c r="E15" s="12" t="n"/>
      <c r="F15" s="12" t="n"/>
      <c r="G15" s="123" t="inlineStr">
        <is>
          <t>12 Months</t>
        </is>
      </c>
      <c r="H15" s="12" t="n"/>
    </row>
    <row r="16" ht="15.75" customHeight="1" s="322">
      <c r="A16" s="12" t="n"/>
      <c r="B16" s="12" t="n"/>
      <c r="C16" s="12" t="n"/>
      <c r="D16" s="12" t="n"/>
      <c r="E16" s="12" t="n"/>
      <c r="F16" s="12" t="n"/>
      <c r="G16" s="12" t="n"/>
      <c r="H16" s="12" t="n"/>
    </row>
    <row r="17" ht="15.75" customHeight="1" s="322">
      <c r="A17" s="12" t="n"/>
      <c r="B17" s="12" t="n"/>
      <c r="C17" s="12" t="n"/>
      <c r="D17" s="12" t="n"/>
      <c r="E17" s="12" t="n"/>
      <c r="F17" s="12" t="n"/>
      <c r="G17" s="12" t="n"/>
      <c r="H17" s="12" t="n"/>
    </row>
    <row r="18" ht="15.75" customHeight="1" s="322">
      <c r="A18" s="12" t="n"/>
      <c r="B18" s="127">
        <f>IF(ISBLANK(B5),"",B5&amp;":")&amp;B4</f>
        <v/>
      </c>
      <c r="C18" s="12" t="n"/>
      <c r="D18" s="12" t="n"/>
      <c r="E18" s="12" t="n"/>
      <c r="F18" s="12" t="n"/>
      <c r="G18" s="12" t="n"/>
      <c r="H18" s="12" t="n"/>
    </row>
    <row r="19" ht="15.75" customHeight="1" s="322">
      <c r="A19" s="12" t="n"/>
      <c r="B19" s="12" t="n"/>
      <c r="C19" s="12" t="n"/>
      <c r="D19" s="12" t="n"/>
      <c r="E19" s="12" t="n"/>
      <c r="F19" s="12" t="n"/>
      <c r="G19" s="12" t="n"/>
      <c r="H19" s="12" t="n"/>
    </row>
    <row r="20" ht="15.75" customHeight="1" s="322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1" ht="15.75" customHeight="1" s="322">
      <c r="A21" s="12" t="n"/>
      <c r="B21" s="12" t="n"/>
      <c r="C21" s="12" t="n"/>
      <c r="D21" s="12" t="n"/>
      <c r="E21" s="12" t="n"/>
      <c r="F21" s="12" t="n"/>
      <c r="G21" s="12" t="n"/>
      <c r="H21" s="12" t="n"/>
    </row>
    <row r="22" ht="15.75" customHeight="1" s="322">
      <c r="A22" s="12" t="n"/>
      <c r="B22" s="12" t="n"/>
      <c r="C22" s="12" t="n"/>
      <c r="D22" s="12" t="n"/>
      <c r="E22" s="12" t="n"/>
      <c r="F22" s="12" t="n"/>
      <c r="G22" s="12" t="n"/>
      <c r="H22" s="12" t="n"/>
    </row>
    <row r="23" ht="15.75" customHeight="1" s="322">
      <c r="A23" s="12" t="n"/>
      <c r="B23" s="12" t="n"/>
      <c r="C23" s="12" t="n"/>
      <c r="D23" s="12" t="n"/>
      <c r="E23" s="12" t="n"/>
      <c r="F23" s="12" t="n"/>
      <c r="G23" s="12" t="n"/>
      <c r="H23" s="12" t="n"/>
    </row>
    <row r="24" ht="15.75" customHeight="1" s="322">
      <c r="A24" s="12" t="n"/>
      <c r="B24" s="12" t="n"/>
      <c r="C24" s="12" t="n"/>
      <c r="D24" s="12" t="n"/>
      <c r="E24" s="12" t="n"/>
      <c r="F24" s="12" t="n"/>
      <c r="G24" s="12" t="n"/>
      <c r="H24" s="12" t="n"/>
    </row>
    <row r="25" ht="15.75" customHeight="1" s="322">
      <c r="A25" s="12" t="n"/>
      <c r="B25" s="12" t="n"/>
      <c r="C25" s="12" t="n"/>
      <c r="D25" s="12" t="n"/>
      <c r="E25" s="12" t="n"/>
      <c r="F25" s="12" t="n"/>
      <c r="G25" s="12" t="n"/>
      <c r="H25" s="12" t="n"/>
    </row>
    <row r="26" ht="15.75" customHeight="1" s="322">
      <c r="A26" s="12" t="n"/>
      <c r="B26" s="12" t="n"/>
      <c r="C26" s="12" t="n"/>
      <c r="D26" s="12" t="n"/>
      <c r="E26" s="12" t="n"/>
      <c r="F26" s="12" t="n"/>
      <c r="G26" s="12" t="n"/>
      <c r="H26" s="12" t="n"/>
    </row>
    <row r="27" ht="15.75" customHeight="1" s="322">
      <c r="A27" s="133" t="n"/>
      <c r="B27" s="136">
        <f>IFERROR(__xludf.DUMMYFUNCTION("GOOGLEFINANCE(B18, ""all"", EDATE(TODAY(), -LEFT(G15, FIND("" "", G15))), TODAY(), ""DAILY"")"),"Date")</f>
        <v/>
      </c>
      <c r="C27" s="137">
        <f>IFERROR(__xludf.DUMMYFUNCTION("""COMPUTED_VALUE"""),"Open")</f>
        <v/>
      </c>
      <c r="D27" s="137">
        <f>IFERROR(__xludf.DUMMYFUNCTION("""COMPUTED_VALUE"""),"High")</f>
        <v/>
      </c>
      <c r="E27" s="137">
        <f>IFERROR(__xludf.DUMMYFUNCTION("""COMPUTED_VALUE"""),"Low")</f>
        <v/>
      </c>
      <c r="F27" s="137">
        <f>IFERROR(__xludf.DUMMYFUNCTION("""COMPUTED_VALUE"""),"Close")</f>
        <v/>
      </c>
      <c r="G27" s="137">
        <f>IFERROR(__xludf.DUMMYFUNCTION("""COMPUTED_VALUE"""),"Volume")</f>
        <v/>
      </c>
      <c r="H27" s="133" t="n"/>
    </row>
    <row r="28" ht="17.25" customHeight="1" s="322">
      <c r="A28" s="27" t="n"/>
      <c r="B28" s="506">
        <f>IFERROR(__xludf.DUMMYFUNCTION("""COMPUTED_VALUE"""),45868.6666666666)</f>
        <v/>
      </c>
      <c r="C28" s="141">
        <f>IFERROR(__xludf.DUMMYFUNCTION("""COMPUTED_VALUE"""),88.83)</f>
        <v/>
      </c>
      <c r="D28" s="141">
        <f>IFERROR(__xludf.DUMMYFUNCTION("""COMPUTED_VALUE"""),89.08)</f>
        <v/>
      </c>
      <c r="E28" s="141">
        <f>IFERROR(__xludf.DUMMYFUNCTION("""COMPUTED_VALUE"""),88.14)</f>
        <v/>
      </c>
      <c r="F28" s="141">
        <f>IFERROR(__xludf.DUMMYFUNCTION("""COMPUTED_VALUE"""),88.47)</f>
        <v/>
      </c>
      <c r="G28" s="143">
        <f>IFERROR(__xludf.DUMMYFUNCTION("""COMPUTED_VALUE"""),14623006)</f>
        <v/>
      </c>
      <c r="H28" s="27" t="n"/>
    </row>
    <row r="29" ht="17.25" customHeight="1" s="322">
      <c r="A29" s="27" t="n"/>
      <c r="B29" s="506">
        <f>IFERROR(__xludf.DUMMYFUNCTION("""COMPUTED_VALUE"""),45869.6666666666)</f>
        <v/>
      </c>
      <c r="C29" s="141">
        <f>IFERROR(__xludf.DUMMYFUNCTION("""COMPUTED_VALUE"""),88.1)</f>
        <v/>
      </c>
      <c r="D29" s="141">
        <f>IFERROR(__xludf.DUMMYFUNCTION("""COMPUTED_VALUE"""),88.14)</f>
        <v/>
      </c>
      <c r="E29" s="141">
        <f>IFERROR(__xludf.DUMMYFUNCTION("""COMPUTED_VALUE"""),87.35)</f>
        <v/>
      </c>
      <c r="F29" s="141">
        <f>IFERROR(__xludf.DUMMYFUNCTION("""COMPUTED_VALUE"""),87.52)</f>
        <v/>
      </c>
      <c r="G29" s="143">
        <f>IFERROR(__xludf.DUMMYFUNCTION("""COMPUTED_VALUE"""),29271575)</f>
        <v/>
      </c>
      <c r="H29" s="27" t="n"/>
    </row>
    <row r="30" ht="17.25" customHeight="1" s="322">
      <c r="A30" s="27" t="n"/>
      <c r="B30" s="506">
        <f>IFERROR(__xludf.DUMMYFUNCTION("""COMPUTED_VALUE"""),45870.6666666666)</f>
        <v/>
      </c>
      <c r="C30" s="141">
        <f>IFERROR(__xludf.DUMMYFUNCTION("""COMPUTED_VALUE"""),87.28)</f>
        <v/>
      </c>
      <c r="D30" s="141">
        <f>IFERROR(__xludf.DUMMYFUNCTION("""COMPUTED_VALUE"""),87.43)</f>
        <v/>
      </c>
      <c r="E30" s="141">
        <f>IFERROR(__xludf.DUMMYFUNCTION("""COMPUTED_VALUE"""),86.74)</f>
        <v/>
      </c>
      <c r="F30" s="141">
        <f>IFERROR(__xludf.DUMMYFUNCTION("""COMPUTED_VALUE"""),87.29)</f>
        <v/>
      </c>
      <c r="G30" s="143">
        <f>IFERROR(__xludf.DUMMYFUNCTION("""COMPUTED_VALUE"""),18658183)</f>
        <v/>
      </c>
      <c r="H30" s="27" t="n"/>
    </row>
    <row r="31" ht="17.25" customHeight="1" s="322">
      <c r="A31" s="27" t="n"/>
      <c r="B31" s="506">
        <f>IFERROR(__xludf.DUMMYFUNCTION("""COMPUTED_VALUE"""),45873.6666666666)</f>
        <v/>
      </c>
      <c r="C31" s="141">
        <f>IFERROR(__xludf.DUMMYFUNCTION("""COMPUTED_VALUE"""),88.23)</f>
        <v/>
      </c>
      <c r="D31" s="141">
        <f>IFERROR(__xludf.DUMMYFUNCTION("""COMPUTED_VALUE"""),88.47)</f>
        <v/>
      </c>
      <c r="E31" s="141">
        <f>IFERROR(__xludf.DUMMYFUNCTION("""COMPUTED_VALUE"""),88.11)</f>
        <v/>
      </c>
      <c r="F31" s="141">
        <f>IFERROR(__xludf.DUMMYFUNCTION("""COMPUTED_VALUE"""),88.45)</f>
        <v/>
      </c>
      <c r="G31" s="143">
        <f>IFERROR(__xludf.DUMMYFUNCTION("""COMPUTED_VALUE"""),14718054)</f>
        <v/>
      </c>
      <c r="H31" s="27" t="n"/>
    </row>
    <row r="32" ht="17.25" customHeight="1" s="322">
      <c r="A32" s="27" t="n"/>
      <c r="B32" s="506">
        <f>IFERROR(__xludf.DUMMYFUNCTION("""COMPUTED_VALUE"""),45874.6666666666)</f>
        <v/>
      </c>
      <c r="C32" s="141">
        <f>IFERROR(__xludf.DUMMYFUNCTION("""COMPUTED_VALUE"""),88.6)</f>
        <v/>
      </c>
      <c r="D32" s="141">
        <f>IFERROR(__xludf.DUMMYFUNCTION("""COMPUTED_VALUE"""),88.64)</f>
        <v/>
      </c>
      <c r="E32" s="141">
        <f>IFERROR(__xludf.DUMMYFUNCTION("""COMPUTED_VALUE"""),88.17)</f>
        <v/>
      </c>
      <c r="F32" s="141">
        <f>IFERROR(__xludf.DUMMYFUNCTION("""COMPUTED_VALUE"""),88.44)</f>
        <v/>
      </c>
      <c r="G32" s="143">
        <f>IFERROR(__xludf.DUMMYFUNCTION("""COMPUTED_VALUE"""),11634139)</f>
        <v/>
      </c>
      <c r="H32" s="27" t="n"/>
    </row>
    <row r="33" ht="17.25" customHeight="1" s="322">
      <c r="A33" s="27" t="n"/>
      <c r="B33" s="506">
        <f>IFERROR(__xludf.DUMMYFUNCTION("""COMPUTED_VALUE"""),45875.6666666666)</f>
        <v/>
      </c>
      <c r="C33" s="141">
        <f>IFERROR(__xludf.DUMMYFUNCTION("""COMPUTED_VALUE"""),88.84)</f>
        <v/>
      </c>
      <c r="D33" s="141">
        <f>IFERROR(__xludf.DUMMYFUNCTION("""COMPUTED_VALUE"""),89.17)</f>
        <v/>
      </c>
      <c r="E33" s="141">
        <f>IFERROR(__xludf.DUMMYFUNCTION("""COMPUTED_VALUE"""),88.77)</f>
        <v/>
      </c>
      <c r="F33" s="141">
        <f>IFERROR(__xludf.DUMMYFUNCTION("""COMPUTED_VALUE"""),89.02)</f>
        <v/>
      </c>
      <c r="G33" s="143">
        <f>IFERROR(__xludf.DUMMYFUNCTION("""COMPUTED_VALUE"""),11499873)</f>
        <v/>
      </c>
      <c r="H33" s="27" t="n"/>
    </row>
    <row r="34" ht="17.25" customHeight="1" s="322">
      <c r="A34" s="27" t="n"/>
      <c r="B34" s="506">
        <f>IFERROR(__xludf.DUMMYFUNCTION("""COMPUTED_VALUE"""),45876.6666666666)</f>
        <v/>
      </c>
      <c r="C34" s="141">
        <f>IFERROR(__xludf.DUMMYFUNCTION("""COMPUTED_VALUE"""),90.02)</f>
        <v/>
      </c>
      <c r="D34" s="141">
        <f>IFERROR(__xludf.DUMMYFUNCTION("""COMPUTED_VALUE"""),90.09)</f>
        <v/>
      </c>
      <c r="E34" s="141">
        <f>IFERROR(__xludf.DUMMYFUNCTION("""COMPUTED_VALUE"""),89.44)</f>
        <v/>
      </c>
      <c r="F34" s="141">
        <f>IFERROR(__xludf.DUMMYFUNCTION("""COMPUTED_VALUE"""),89.82)</f>
        <v/>
      </c>
      <c r="G34" s="143">
        <f>IFERROR(__xludf.DUMMYFUNCTION("""COMPUTED_VALUE"""),11525591)</f>
        <v/>
      </c>
      <c r="H34" s="27" t="n"/>
    </row>
    <row r="35" ht="17.25" customHeight="1" s="322">
      <c r="A35" s="27" t="n"/>
      <c r="B35" s="506">
        <f>IFERROR(__xludf.DUMMYFUNCTION("""COMPUTED_VALUE"""),45877.6666666666)</f>
        <v/>
      </c>
      <c r="C35" s="141">
        <f>IFERROR(__xludf.DUMMYFUNCTION("""COMPUTED_VALUE"""),90.15)</f>
        <v/>
      </c>
      <c r="D35" s="141">
        <f>IFERROR(__xludf.DUMMYFUNCTION("""COMPUTED_VALUE"""),90.53)</f>
        <v/>
      </c>
      <c r="E35" s="141">
        <f>IFERROR(__xludf.DUMMYFUNCTION("""COMPUTED_VALUE"""),90.08)</f>
        <v/>
      </c>
      <c r="F35" s="141">
        <f>IFERROR(__xludf.DUMMYFUNCTION("""COMPUTED_VALUE"""),90.37)</f>
        <v/>
      </c>
      <c r="G35" s="143">
        <f>IFERROR(__xludf.DUMMYFUNCTION("""COMPUTED_VALUE"""),10367276)</f>
        <v/>
      </c>
      <c r="H35" s="27" t="n"/>
    </row>
    <row r="36" ht="17.25" customHeight="1" s="322">
      <c r="A36" s="27" t="n"/>
      <c r="B36" s="506">
        <f>IFERROR(__xludf.DUMMYFUNCTION("""COMPUTED_VALUE"""),45880.6666666666)</f>
        <v/>
      </c>
      <c r="C36" s="141">
        <f>IFERROR(__xludf.DUMMYFUNCTION("""COMPUTED_VALUE"""),90.12)</f>
        <v/>
      </c>
      <c r="D36" s="141">
        <f>IFERROR(__xludf.DUMMYFUNCTION("""COMPUTED_VALUE"""),90.2)</f>
        <v/>
      </c>
      <c r="E36" s="141">
        <f>IFERROR(__xludf.DUMMYFUNCTION("""COMPUTED_VALUE"""),89.88)</f>
        <v/>
      </c>
      <c r="F36" s="141">
        <f>IFERROR(__xludf.DUMMYFUNCTION("""COMPUTED_VALUE"""),89.99)</f>
        <v/>
      </c>
      <c r="G36" s="143">
        <f>IFERROR(__xludf.DUMMYFUNCTION("""COMPUTED_VALUE"""),8516640)</f>
        <v/>
      </c>
      <c r="H36" s="27" t="n"/>
    </row>
    <row r="37" ht="17.25" customHeight="1" s="322">
      <c r="A37" s="27" t="n"/>
      <c r="B37" s="506">
        <f>IFERROR(__xludf.DUMMYFUNCTION("""COMPUTED_VALUE"""),45881.6666666666)</f>
        <v/>
      </c>
      <c r="C37" s="141">
        <f>IFERROR(__xludf.DUMMYFUNCTION("""COMPUTED_VALUE"""),90.39)</f>
        <v/>
      </c>
      <c r="D37" s="141">
        <f>IFERROR(__xludf.DUMMYFUNCTION("""COMPUTED_VALUE"""),91.15)</f>
        <v/>
      </c>
      <c r="E37" s="141">
        <f>IFERROR(__xludf.DUMMYFUNCTION("""COMPUTED_VALUE"""),90.28)</f>
        <v/>
      </c>
      <c r="F37" s="141">
        <f>IFERROR(__xludf.DUMMYFUNCTION("""COMPUTED_VALUE"""),91.09)</f>
        <v/>
      </c>
      <c r="G37" s="143">
        <f>IFERROR(__xludf.DUMMYFUNCTION("""COMPUTED_VALUE"""),12302860)</f>
        <v/>
      </c>
      <c r="H37" s="27" t="n"/>
    </row>
    <row r="38" ht="17.25" customHeight="1" s="322">
      <c r="A38" s="27" t="n"/>
      <c r="B38" s="506">
        <f>IFERROR(__xludf.DUMMYFUNCTION("""COMPUTED_VALUE"""),45882.6666666666)</f>
        <v/>
      </c>
      <c r="C38" s="141">
        <f>IFERROR(__xludf.DUMMYFUNCTION("""COMPUTED_VALUE"""),91.39)</f>
        <v/>
      </c>
      <c r="D38" s="141">
        <f>IFERROR(__xludf.DUMMYFUNCTION("""COMPUTED_VALUE"""),91.66)</f>
        <v/>
      </c>
      <c r="E38" s="141">
        <f>IFERROR(__xludf.DUMMYFUNCTION("""COMPUTED_VALUE"""),91.37)</f>
        <v/>
      </c>
      <c r="F38" s="141">
        <f>IFERROR(__xludf.DUMMYFUNCTION("""COMPUTED_VALUE"""),91.64)</f>
        <v/>
      </c>
      <c r="G38" s="143">
        <f>IFERROR(__xludf.DUMMYFUNCTION("""COMPUTED_VALUE"""),9490537)</f>
        <v/>
      </c>
      <c r="H38" s="27" t="n"/>
    </row>
    <row r="39" ht="17.25" customHeight="1" s="322">
      <c r="A39" s="27" t="n"/>
      <c r="B39" s="506">
        <f>IFERROR(__xludf.DUMMYFUNCTION("""COMPUTED_VALUE"""),45883.6666666666)</f>
        <v/>
      </c>
      <c r="C39" s="141">
        <f>IFERROR(__xludf.DUMMYFUNCTION("""COMPUTED_VALUE"""),91.23)</f>
        <v/>
      </c>
      <c r="D39" s="141">
        <f>IFERROR(__xludf.DUMMYFUNCTION("""COMPUTED_VALUE"""),91.68)</f>
        <v/>
      </c>
      <c r="E39" s="141">
        <f>IFERROR(__xludf.DUMMYFUNCTION("""COMPUTED_VALUE"""),91.2)</f>
        <v/>
      </c>
      <c r="F39" s="141">
        <f>IFERROR(__xludf.DUMMYFUNCTION("""COMPUTED_VALUE"""),91.65)</f>
        <v/>
      </c>
      <c r="G39" s="143">
        <f>IFERROR(__xludf.DUMMYFUNCTION("""COMPUTED_VALUE"""),11790572)</f>
        <v/>
      </c>
      <c r="H39" s="27" t="n"/>
    </row>
    <row r="40" ht="17.25" customHeight="1" s="322">
      <c r="A40" s="27" t="n"/>
      <c r="B40" s="506">
        <f>IFERROR(__xludf.DUMMYFUNCTION("""COMPUTED_VALUE"""),45884.6666666666)</f>
        <v/>
      </c>
      <c r="C40" s="141">
        <f>IFERROR(__xludf.DUMMYFUNCTION("""COMPUTED_VALUE"""),92.22)</f>
        <v/>
      </c>
      <c r="D40" s="141">
        <f>IFERROR(__xludf.DUMMYFUNCTION("""COMPUTED_VALUE"""),92.28)</f>
        <v/>
      </c>
      <c r="E40" s="141">
        <f>IFERROR(__xludf.DUMMYFUNCTION("""COMPUTED_VALUE"""),92.04)</f>
        <v/>
      </c>
      <c r="F40" s="141">
        <f>IFERROR(__xludf.DUMMYFUNCTION("""COMPUTED_VALUE"""),92.19)</f>
        <v/>
      </c>
      <c r="G40" s="143">
        <f>IFERROR(__xludf.DUMMYFUNCTION("""COMPUTED_VALUE"""),11864283)</f>
        <v/>
      </c>
      <c r="H40" s="27" t="n"/>
    </row>
    <row r="41" ht="17.25" customHeight="1" s="322">
      <c r="A41" s="27" t="n"/>
      <c r="B41" s="506">
        <f>IFERROR(__xludf.DUMMYFUNCTION("""COMPUTED_VALUE"""),45887.6666666666)</f>
        <v/>
      </c>
      <c r="C41" s="141">
        <f>IFERROR(__xludf.DUMMYFUNCTION("""COMPUTED_VALUE"""),91.95)</f>
        <v/>
      </c>
      <c r="D41" s="141">
        <f>IFERROR(__xludf.DUMMYFUNCTION("""COMPUTED_VALUE"""),92.14)</f>
        <v/>
      </c>
      <c r="E41" s="141">
        <f>IFERROR(__xludf.DUMMYFUNCTION("""COMPUTED_VALUE"""),91.8)</f>
        <v/>
      </c>
      <c r="F41" s="141">
        <f>IFERROR(__xludf.DUMMYFUNCTION("""COMPUTED_VALUE"""),92.09)</f>
        <v/>
      </c>
      <c r="G41" s="143">
        <f>IFERROR(__xludf.DUMMYFUNCTION("""COMPUTED_VALUE"""),11577829)</f>
        <v/>
      </c>
      <c r="H41" s="27" t="n"/>
    </row>
    <row r="42" ht="17.25" customHeight="1" s="322">
      <c r="A42" s="27" t="n"/>
      <c r="B42" s="506">
        <f>IFERROR(__xludf.DUMMYFUNCTION("""COMPUTED_VALUE"""),45888.6666666666)</f>
        <v/>
      </c>
      <c r="C42" s="141">
        <f>IFERROR(__xludf.DUMMYFUNCTION("""COMPUTED_VALUE"""),92.33)</f>
        <v/>
      </c>
      <c r="D42" s="141">
        <f>IFERROR(__xludf.DUMMYFUNCTION("""COMPUTED_VALUE"""),92.49)</f>
        <v/>
      </c>
      <c r="E42" s="141">
        <f>IFERROR(__xludf.DUMMYFUNCTION("""COMPUTED_VALUE"""),92.02)</f>
        <v/>
      </c>
      <c r="F42" s="141">
        <f>IFERROR(__xludf.DUMMYFUNCTION("""COMPUTED_VALUE"""),92.1)</f>
        <v/>
      </c>
      <c r="G42" s="143">
        <f>IFERROR(__xludf.DUMMYFUNCTION("""COMPUTED_VALUE"""),10721578)</f>
        <v/>
      </c>
      <c r="H42" s="27" t="n"/>
    </row>
    <row r="43" ht="17.25" customHeight="1" s="322">
      <c r="A43" s="27" t="n"/>
      <c r="B43" s="506">
        <f>IFERROR(__xludf.DUMMYFUNCTION("""COMPUTED_VALUE"""),45889.6666666666)</f>
        <v/>
      </c>
      <c r="C43" s="141">
        <f>IFERROR(__xludf.DUMMYFUNCTION("""COMPUTED_VALUE"""),92.27)</f>
        <v/>
      </c>
      <c r="D43" s="141">
        <f>IFERROR(__xludf.DUMMYFUNCTION("""COMPUTED_VALUE"""),92.46)</f>
        <v/>
      </c>
      <c r="E43" s="141">
        <f>IFERROR(__xludf.DUMMYFUNCTION("""COMPUTED_VALUE"""),92.11)</f>
        <v/>
      </c>
      <c r="F43" s="141">
        <f>IFERROR(__xludf.DUMMYFUNCTION("""COMPUTED_VALUE"""),92.43)</f>
        <v/>
      </c>
      <c r="G43" s="143">
        <f>IFERROR(__xludf.DUMMYFUNCTION("""COMPUTED_VALUE"""),15871192)</f>
        <v/>
      </c>
      <c r="H43" s="27" t="n"/>
    </row>
    <row r="44" ht="17.25" customHeight="1" s="322">
      <c r="A44" s="27" t="n"/>
      <c r="B44" s="506">
        <f>IFERROR(__xludf.DUMMYFUNCTION("""COMPUTED_VALUE"""),45890.6666666666)</f>
        <v/>
      </c>
      <c r="C44" s="141">
        <f>IFERROR(__xludf.DUMMYFUNCTION("""COMPUTED_VALUE"""),91.92)</f>
        <v/>
      </c>
      <c r="D44" s="141">
        <f>IFERROR(__xludf.DUMMYFUNCTION("""COMPUTED_VALUE"""),92.07)</f>
        <v/>
      </c>
      <c r="E44" s="141">
        <f>IFERROR(__xludf.DUMMYFUNCTION("""COMPUTED_VALUE"""),91.69)</f>
        <v/>
      </c>
      <c r="F44" s="141">
        <f>IFERROR(__xludf.DUMMYFUNCTION("""COMPUTED_VALUE"""),91.85)</f>
        <v/>
      </c>
      <c r="G44" s="143">
        <f>IFERROR(__xludf.DUMMYFUNCTION("""COMPUTED_VALUE"""),11258869)</f>
        <v/>
      </c>
      <c r="H44" s="27" t="n"/>
    </row>
    <row r="45" ht="17.25" customHeight="1" s="322">
      <c r="A45" s="27" t="n"/>
      <c r="B45" s="506">
        <f>IFERROR(__xludf.DUMMYFUNCTION("""COMPUTED_VALUE"""),45891.6666666666)</f>
        <v/>
      </c>
      <c r="C45" s="141">
        <f>IFERROR(__xludf.DUMMYFUNCTION("""COMPUTED_VALUE"""),92.21)</f>
        <v/>
      </c>
      <c r="D45" s="141">
        <f>IFERROR(__xludf.DUMMYFUNCTION("""COMPUTED_VALUE"""),93.38)</f>
        <v/>
      </c>
      <c r="E45" s="141">
        <f>IFERROR(__xludf.DUMMYFUNCTION("""COMPUTED_VALUE"""),92.18)</f>
        <v/>
      </c>
      <c r="F45" s="141">
        <f>IFERROR(__xludf.DUMMYFUNCTION("""COMPUTED_VALUE"""),93.23)</f>
        <v/>
      </c>
      <c r="G45" s="143">
        <f>IFERROR(__xludf.DUMMYFUNCTION("""COMPUTED_VALUE"""),15827472)</f>
        <v/>
      </c>
      <c r="H45" s="27" t="n"/>
    </row>
    <row r="46" ht="17.25" customHeight="1" s="322">
      <c r="A46" s="27" t="n"/>
      <c r="B46" s="506">
        <f>IFERROR(__xludf.DUMMYFUNCTION("""COMPUTED_VALUE"""),45894.6666666666)</f>
        <v/>
      </c>
      <c r="C46" s="141">
        <f>IFERROR(__xludf.DUMMYFUNCTION("""COMPUTED_VALUE"""),92.79)</f>
        <v/>
      </c>
      <c r="D46" s="141">
        <f>IFERROR(__xludf.DUMMYFUNCTION("""COMPUTED_VALUE"""),92.95)</f>
        <v/>
      </c>
      <c r="E46" s="141">
        <f>IFERROR(__xludf.DUMMYFUNCTION("""COMPUTED_VALUE"""),91.98)</f>
        <v/>
      </c>
      <c r="F46" s="141">
        <f>IFERROR(__xludf.DUMMYFUNCTION("""COMPUTED_VALUE"""),92)</f>
        <v/>
      </c>
      <c r="G46" s="143">
        <f>IFERROR(__xludf.DUMMYFUNCTION("""COMPUTED_VALUE"""),11700869)</f>
        <v/>
      </c>
      <c r="H46" s="27" t="n"/>
    </row>
    <row r="47" ht="17.25" customHeight="1" s="322">
      <c r="A47" s="27" t="n"/>
      <c r="B47" s="506">
        <f>IFERROR(__xludf.DUMMYFUNCTION("""COMPUTED_VALUE"""),45895.6666666666)</f>
        <v/>
      </c>
      <c r="C47" s="141">
        <f>IFERROR(__xludf.DUMMYFUNCTION("""COMPUTED_VALUE"""),91.74)</f>
        <v/>
      </c>
      <c r="D47" s="141">
        <f>IFERROR(__xludf.DUMMYFUNCTION("""COMPUTED_VALUE"""),91.95)</f>
        <v/>
      </c>
      <c r="E47" s="141">
        <f>IFERROR(__xludf.DUMMYFUNCTION("""COMPUTED_VALUE"""),91.67)</f>
        <v/>
      </c>
      <c r="F47" s="141">
        <f>IFERROR(__xludf.DUMMYFUNCTION("""COMPUTED_VALUE"""),91.9)</f>
        <v/>
      </c>
      <c r="G47" s="143">
        <f>IFERROR(__xludf.DUMMYFUNCTION("""COMPUTED_VALUE"""),11788856)</f>
        <v/>
      </c>
      <c r="H47" s="27" t="n"/>
    </row>
    <row r="48" ht="17.25" customHeight="1" s="322">
      <c r="A48" s="27" t="n"/>
      <c r="B48" s="506">
        <f>IFERROR(__xludf.DUMMYFUNCTION("""COMPUTED_VALUE"""),45896.6666666666)</f>
        <v/>
      </c>
      <c r="C48" s="141">
        <f>IFERROR(__xludf.DUMMYFUNCTION("""COMPUTED_VALUE"""),91.22)</f>
        <v/>
      </c>
      <c r="D48" s="141">
        <f>IFERROR(__xludf.DUMMYFUNCTION("""COMPUTED_VALUE"""),91.72)</f>
        <v/>
      </c>
      <c r="E48" s="141">
        <f>IFERROR(__xludf.DUMMYFUNCTION("""COMPUTED_VALUE"""),91.04)</f>
        <v/>
      </c>
      <c r="F48" s="141">
        <f>IFERROR(__xludf.DUMMYFUNCTION("""COMPUTED_VALUE"""),91.68)</f>
        <v/>
      </c>
      <c r="G48" s="143">
        <f>IFERROR(__xludf.DUMMYFUNCTION("""COMPUTED_VALUE"""),13054224)</f>
        <v/>
      </c>
      <c r="H48" s="27" t="n"/>
    </row>
    <row r="49" ht="17.25" customHeight="1" s="322">
      <c r="A49" s="27" t="n"/>
      <c r="B49" s="506">
        <f>IFERROR(__xludf.DUMMYFUNCTION("""COMPUTED_VALUE"""),45897.6666666666)</f>
        <v/>
      </c>
      <c r="C49" s="141">
        <f>IFERROR(__xludf.DUMMYFUNCTION("""COMPUTED_VALUE"""),92)</f>
        <v/>
      </c>
      <c r="D49" s="141">
        <f>IFERROR(__xludf.DUMMYFUNCTION("""COMPUTED_VALUE"""),92.14)</f>
        <v/>
      </c>
      <c r="E49" s="141">
        <f>IFERROR(__xludf.DUMMYFUNCTION("""COMPUTED_VALUE"""),91.83)</f>
        <v/>
      </c>
      <c r="F49" s="141">
        <f>IFERROR(__xludf.DUMMYFUNCTION("""COMPUTED_VALUE"""),92.02)</f>
        <v/>
      </c>
      <c r="G49" s="143">
        <f>IFERROR(__xludf.DUMMYFUNCTION("""COMPUTED_VALUE"""),11136419)</f>
        <v/>
      </c>
      <c r="H49" s="27" t="n"/>
    </row>
    <row r="50" ht="17.25" customHeight="1" s="322">
      <c r="A50" s="27" t="n"/>
      <c r="B50" s="506">
        <f>IFERROR(__xludf.DUMMYFUNCTION("""COMPUTED_VALUE"""),45898.6666666666)</f>
        <v/>
      </c>
      <c r="C50" s="141">
        <f>IFERROR(__xludf.DUMMYFUNCTION("""COMPUTED_VALUE"""),91.53)</f>
        <v/>
      </c>
      <c r="D50" s="141">
        <f>IFERROR(__xludf.DUMMYFUNCTION("""COMPUTED_VALUE"""),91.65)</f>
        <v/>
      </c>
      <c r="E50" s="141">
        <f>IFERROR(__xludf.DUMMYFUNCTION("""COMPUTED_VALUE"""),91.33)</f>
        <v/>
      </c>
      <c r="F50" s="141">
        <f>IFERROR(__xludf.DUMMYFUNCTION("""COMPUTED_VALUE"""),91.48)</f>
        <v/>
      </c>
      <c r="G50" s="143">
        <f>IFERROR(__xludf.DUMMYFUNCTION("""COMPUTED_VALUE"""),18544492)</f>
        <v/>
      </c>
      <c r="H50" s="27" t="n"/>
    </row>
    <row r="51" ht="17.25" customHeight="1" s="322">
      <c r="A51" s="27" t="n"/>
      <c r="B51" s="506">
        <f>IFERROR(__xludf.DUMMYFUNCTION("""COMPUTED_VALUE"""),45902.6666666666)</f>
        <v/>
      </c>
      <c r="C51" s="141">
        <f>IFERROR(__xludf.DUMMYFUNCTION("""COMPUTED_VALUE"""),90.1)</f>
        <v/>
      </c>
      <c r="D51" s="141">
        <f>IFERROR(__xludf.DUMMYFUNCTION("""COMPUTED_VALUE"""),90.74)</f>
        <v/>
      </c>
      <c r="E51" s="141">
        <f>IFERROR(__xludf.DUMMYFUNCTION("""COMPUTED_VALUE"""),90.04)</f>
        <v/>
      </c>
      <c r="F51" s="141">
        <f>IFERROR(__xludf.DUMMYFUNCTION("""COMPUTED_VALUE"""),90.58)</f>
        <v/>
      </c>
      <c r="G51" s="143">
        <f>IFERROR(__xludf.DUMMYFUNCTION("""COMPUTED_VALUE"""),15496271)</f>
        <v/>
      </c>
      <c r="H51" s="27" t="n"/>
    </row>
    <row r="52" ht="17.25" customHeight="1" s="322">
      <c r="A52" s="27" t="n"/>
      <c r="B52" s="506">
        <f>IFERROR(__xludf.DUMMYFUNCTION("""COMPUTED_VALUE"""),45903.6666666666)</f>
        <v/>
      </c>
      <c r="C52" s="141">
        <f>IFERROR(__xludf.DUMMYFUNCTION("""COMPUTED_VALUE"""),90.45)</f>
        <v/>
      </c>
      <c r="D52" s="141">
        <f>IFERROR(__xludf.DUMMYFUNCTION("""COMPUTED_VALUE"""),90.8)</f>
        <v/>
      </c>
      <c r="E52" s="141">
        <f>IFERROR(__xludf.DUMMYFUNCTION("""COMPUTED_VALUE"""),90.37)</f>
        <v/>
      </c>
      <c r="F52" s="141">
        <f>IFERROR(__xludf.DUMMYFUNCTION("""COMPUTED_VALUE"""),90.72)</f>
        <v/>
      </c>
      <c r="G52" s="143">
        <f>IFERROR(__xludf.DUMMYFUNCTION("""COMPUTED_VALUE"""),14418844)</f>
        <v/>
      </c>
      <c r="H52" s="27" t="n"/>
    </row>
    <row r="53" ht="17.25" customHeight="1" s="322">
      <c r="A53" s="27" t="n"/>
      <c r="B53" s="506">
        <f>IFERROR(__xludf.DUMMYFUNCTION("""COMPUTED_VALUE"""),45904.6666666666)</f>
        <v/>
      </c>
      <c r="C53" s="141">
        <f>IFERROR(__xludf.DUMMYFUNCTION("""COMPUTED_VALUE"""),91)</f>
        <v/>
      </c>
      <c r="D53" s="141">
        <f>IFERROR(__xludf.DUMMYFUNCTION("""COMPUTED_VALUE"""),91.4)</f>
        <v/>
      </c>
      <c r="E53" s="141">
        <f>IFERROR(__xludf.DUMMYFUNCTION("""COMPUTED_VALUE"""),90.94)</f>
        <v/>
      </c>
      <c r="F53" s="141">
        <f>IFERROR(__xludf.DUMMYFUNCTION("""COMPUTED_VALUE"""),91.38)</f>
        <v/>
      </c>
      <c r="G53" s="143">
        <f>IFERROR(__xludf.DUMMYFUNCTION("""COMPUTED_VALUE"""),10348031)</f>
        <v/>
      </c>
      <c r="H53" s="27" t="n"/>
    </row>
    <row r="54" ht="17.25" customHeight="1" s="322">
      <c r="A54" s="27" t="n"/>
      <c r="B54" s="506">
        <f>IFERROR(__xludf.DUMMYFUNCTION("""COMPUTED_VALUE"""),45905.6666666666)</f>
        <v/>
      </c>
      <c r="C54" s="141">
        <f>IFERROR(__xludf.DUMMYFUNCTION("""COMPUTED_VALUE"""),92.12)</f>
        <v/>
      </c>
      <c r="D54" s="141">
        <f>IFERROR(__xludf.DUMMYFUNCTION("""COMPUTED_VALUE"""),92.39)</f>
        <v/>
      </c>
      <c r="E54" s="141">
        <f>IFERROR(__xludf.DUMMYFUNCTION("""COMPUTED_VALUE"""),91.5)</f>
        <v/>
      </c>
      <c r="F54" s="141">
        <f>IFERROR(__xludf.DUMMYFUNCTION("""COMPUTED_VALUE"""),91.79)</f>
        <v/>
      </c>
      <c r="G54" s="143">
        <f>IFERROR(__xludf.DUMMYFUNCTION("""COMPUTED_VALUE"""),15510643)</f>
        <v/>
      </c>
      <c r="H54" s="27" t="n"/>
    </row>
    <row r="55" ht="17.25" customHeight="1" s="322">
      <c r="A55" s="27" t="n"/>
      <c r="B55" s="506">
        <f>IFERROR(__xludf.DUMMYFUNCTION("""COMPUTED_VALUE"""),45908.6666666666)</f>
        <v/>
      </c>
      <c r="C55" s="141">
        <f>IFERROR(__xludf.DUMMYFUNCTION("""COMPUTED_VALUE"""),92.46)</f>
        <v/>
      </c>
      <c r="D55" s="141">
        <f>IFERROR(__xludf.DUMMYFUNCTION("""COMPUTED_VALUE"""),92.74)</f>
        <v/>
      </c>
      <c r="E55" s="141">
        <f>IFERROR(__xludf.DUMMYFUNCTION("""COMPUTED_VALUE"""),92.24)</f>
        <v/>
      </c>
      <c r="F55" s="141">
        <f>IFERROR(__xludf.DUMMYFUNCTION("""COMPUTED_VALUE"""),92.71)</f>
        <v/>
      </c>
      <c r="G55" s="143">
        <f>IFERROR(__xludf.DUMMYFUNCTION("""COMPUTED_VALUE"""),12010731)</f>
        <v/>
      </c>
      <c r="H55" s="27" t="n"/>
    </row>
    <row r="56" ht="17.25" customHeight="1" s="322">
      <c r="A56" s="27" t="n"/>
      <c r="B56" s="506">
        <f>IFERROR(__xludf.DUMMYFUNCTION("""COMPUTED_VALUE"""),45909.6666666666)</f>
        <v/>
      </c>
      <c r="C56" s="141">
        <f>IFERROR(__xludf.DUMMYFUNCTION("""COMPUTED_VALUE"""),92.33)</f>
        <v/>
      </c>
      <c r="D56" s="141">
        <f>IFERROR(__xludf.DUMMYFUNCTION("""COMPUTED_VALUE"""),92.5)</f>
        <v/>
      </c>
      <c r="E56" s="141">
        <f>IFERROR(__xludf.DUMMYFUNCTION("""COMPUTED_VALUE"""),92.15)</f>
        <v/>
      </c>
      <c r="F56" s="141">
        <f>IFERROR(__xludf.DUMMYFUNCTION("""COMPUTED_VALUE"""),92.4)</f>
        <v/>
      </c>
      <c r="G56" s="143">
        <f>IFERROR(__xludf.DUMMYFUNCTION("""COMPUTED_VALUE"""),10893174)</f>
        <v/>
      </c>
      <c r="H56" s="27" t="n"/>
    </row>
    <row r="57" ht="17.25" customHeight="1" s="322">
      <c r="A57" s="27" t="n"/>
      <c r="B57" s="506">
        <f>IFERROR(__xludf.DUMMYFUNCTION("""COMPUTED_VALUE"""),45910.6666666666)</f>
        <v/>
      </c>
      <c r="C57" s="141">
        <f>IFERROR(__xludf.DUMMYFUNCTION("""COMPUTED_VALUE"""),92.65)</f>
        <v/>
      </c>
      <c r="D57" s="141">
        <f>IFERROR(__xludf.DUMMYFUNCTION("""COMPUTED_VALUE"""),92.77)</f>
        <v/>
      </c>
      <c r="E57" s="141">
        <f>IFERROR(__xludf.DUMMYFUNCTION("""COMPUTED_VALUE"""),92.27)</f>
        <v/>
      </c>
      <c r="F57" s="141">
        <f>IFERROR(__xludf.DUMMYFUNCTION("""COMPUTED_VALUE"""),92.38)</f>
        <v/>
      </c>
      <c r="G57" s="143">
        <f>IFERROR(__xludf.DUMMYFUNCTION("""COMPUTED_VALUE"""),11838438)</f>
        <v/>
      </c>
      <c r="H57" s="27" t="n"/>
    </row>
    <row r="58" ht="17.25" customHeight="1" s="322">
      <c r="A58" s="27" t="n"/>
      <c r="B58" s="506">
        <f>IFERROR(__xludf.DUMMYFUNCTION("""COMPUTED_VALUE"""),45911.6666666666)</f>
        <v/>
      </c>
      <c r="C58" s="141">
        <f>IFERROR(__xludf.DUMMYFUNCTION("""COMPUTED_VALUE"""),92.78)</f>
        <v/>
      </c>
      <c r="D58" s="141">
        <f>IFERROR(__xludf.DUMMYFUNCTION("""COMPUTED_VALUE"""),93.39)</f>
        <v/>
      </c>
      <c r="E58" s="141">
        <f>IFERROR(__xludf.DUMMYFUNCTION("""COMPUTED_VALUE"""),92.75)</f>
        <v/>
      </c>
      <c r="F58" s="141">
        <f>IFERROR(__xludf.DUMMYFUNCTION("""COMPUTED_VALUE"""),93.36)</f>
        <v/>
      </c>
      <c r="G58" s="143">
        <f>IFERROR(__xludf.DUMMYFUNCTION("""COMPUTED_VALUE"""),11013030)</f>
        <v/>
      </c>
      <c r="H58" s="27" t="n"/>
    </row>
    <row r="59" ht="17.25" customHeight="1" s="322">
      <c r="A59" s="27" t="n"/>
      <c r="B59" s="506">
        <f>IFERROR(__xludf.DUMMYFUNCTION("""COMPUTED_VALUE"""),45912.6666666666)</f>
        <v/>
      </c>
      <c r="C59" s="141">
        <f>IFERROR(__xludf.DUMMYFUNCTION("""COMPUTED_VALUE"""),92.99)</f>
        <v/>
      </c>
      <c r="D59" s="141">
        <f>IFERROR(__xludf.DUMMYFUNCTION("""COMPUTED_VALUE"""),93.13)</f>
        <v/>
      </c>
      <c r="E59" s="141">
        <f>IFERROR(__xludf.DUMMYFUNCTION("""COMPUTED_VALUE"""),92.77)</f>
        <v/>
      </c>
      <c r="F59" s="141">
        <f>IFERROR(__xludf.DUMMYFUNCTION("""COMPUTED_VALUE"""),92.99)</f>
        <v/>
      </c>
      <c r="G59" s="143">
        <f>IFERROR(__xludf.DUMMYFUNCTION("""COMPUTED_VALUE"""),10010534)</f>
        <v/>
      </c>
      <c r="H59" s="27" t="n"/>
    </row>
    <row r="60" ht="17.25" customHeight="1" s="322">
      <c r="A60" s="27" t="n"/>
      <c r="B60" s="506">
        <f>IFERROR(__xludf.DUMMYFUNCTION("""COMPUTED_VALUE"""),45915.6666666666)</f>
        <v/>
      </c>
      <c r="C60" s="141">
        <f>IFERROR(__xludf.DUMMYFUNCTION("""COMPUTED_VALUE"""),93.45)</f>
        <v/>
      </c>
      <c r="D60" s="141">
        <f>IFERROR(__xludf.DUMMYFUNCTION("""COMPUTED_VALUE"""),93.68)</f>
        <v/>
      </c>
      <c r="E60" s="141">
        <f>IFERROR(__xludf.DUMMYFUNCTION("""COMPUTED_VALUE"""),93.32)</f>
        <v/>
      </c>
      <c r="F60" s="141">
        <f>IFERROR(__xludf.DUMMYFUNCTION("""COMPUTED_VALUE"""),93.61)</f>
        <v/>
      </c>
      <c r="G60" s="143">
        <f>IFERROR(__xludf.DUMMYFUNCTION("""COMPUTED_VALUE"""),18108014)</f>
        <v/>
      </c>
      <c r="H60" s="27" t="n"/>
    </row>
    <row r="61" ht="17.25" customHeight="1" s="322">
      <c r="A61" s="27" t="n"/>
      <c r="B61" s="506">
        <f>IFERROR(__xludf.DUMMYFUNCTION("""COMPUTED_VALUE"""),45916.6666666666)</f>
        <v/>
      </c>
      <c r="C61" s="141">
        <f>IFERROR(__xludf.DUMMYFUNCTION("""COMPUTED_VALUE"""),93.52)</f>
        <v/>
      </c>
      <c r="D61" s="141">
        <f>IFERROR(__xludf.DUMMYFUNCTION("""COMPUTED_VALUE"""),93.54)</f>
        <v/>
      </c>
      <c r="E61" s="141">
        <f>IFERROR(__xludf.DUMMYFUNCTION("""COMPUTED_VALUE"""),93.08)</f>
        <v/>
      </c>
      <c r="F61" s="141">
        <f>IFERROR(__xludf.DUMMYFUNCTION("""COMPUTED_VALUE"""),93.35)</f>
        <v/>
      </c>
      <c r="G61" s="143">
        <f>IFERROR(__xludf.DUMMYFUNCTION("""COMPUTED_VALUE"""),25226898)</f>
        <v/>
      </c>
      <c r="H61" s="27" t="n"/>
    </row>
    <row r="62" ht="17.25" customHeight="1" s="322">
      <c r="A62" s="27" t="n"/>
      <c r="B62" s="506">
        <f>IFERROR(__xludf.DUMMYFUNCTION("""COMPUTED_VALUE"""),45917.6666666666)</f>
        <v/>
      </c>
      <c r="C62" s="141">
        <f>IFERROR(__xludf.DUMMYFUNCTION("""COMPUTED_VALUE"""),93.24)</f>
        <v/>
      </c>
      <c r="D62" s="141">
        <f>IFERROR(__xludf.DUMMYFUNCTION("""COMPUTED_VALUE"""),93.77)</f>
        <v/>
      </c>
      <c r="E62" s="141">
        <f>IFERROR(__xludf.DUMMYFUNCTION("""COMPUTED_VALUE"""),92.61)</f>
        <v/>
      </c>
      <c r="F62" s="141">
        <f>IFERROR(__xludf.DUMMYFUNCTION("""COMPUTED_VALUE"""),93)</f>
        <v/>
      </c>
      <c r="G62" s="143">
        <f>IFERROR(__xludf.DUMMYFUNCTION("""COMPUTED_VALUE"""),17013573)</f>
        <v/>
      </c>
      <c r="H62" s="27" t="n"/>
    </row>
    <row r="63" ht="17.25" customHeight="1" s="322">
      <c r="A63" s="27" t="n"/>
      <c r="B63" s="506">
        <f>IFERROR(__xludf.DUMMYFUNCTION("""COMPUTED_VALUE"""),45918.6666666666)</f>
        <v/>
      </c>
      <c r="C63" s="141">
        <f>IFERROR(__xludf.DUMMYFUNCTION("""COMPUTED_VALUE"""),93.1)</f>
        <v/>
      </c>
      <c r="D63" s="141">
        <f>IFERROR(__xludf.DUMMYFUNCTION("""COMPUTED_VALUE"""),93.48)</f>
        <v/>
      </c>
      <c r="E63" s="141">
        <f>IFERROR(__xludf.DUMMYFUNCTION("""COMPUTED_VALUE"""),92.82)</f>
        <v/>
      </c>
      <c r="F63" s="141">
        <f>IFERROR(__xludf.DUMMYFUNCTION("""COMPUTED_VALUE"""),93.36)</f>
        <v/>
      </c>
      <c r="G63" s="143">
        <f>IFERROR(__xludf.DUMMYFUNCTION("""COMPUTED_VALUE"""),15791635)</f>
        <v/>
      </c>
      <c r="H63" s="27" t="n"/>
    </row>
    <row r="64" ht="17.25" customHeight="1" s="322">
      <c r="A64" s="27" t="n"/>
      <c r="B64" s="506">
        <f>IFERROR(__xludf.DUMMYFUNCTION("""COMPUTED_VALUE"""),45919.6666666666)</f>
        <v/>
      </c>
      <c r="C64" s="141">
        <f>IFERROR(__xludf.DUMMYFUNCTION("""COMPUTED_VALUE"""),93.04)</f>
        <v/>
      </c>
      <c r="D64" s="141">
        <f>IFERROR(__xludf.DUMMYFUNCTION("""COMPUTED_VALUE"""),93.15)</f>
        <v/>
      </c>
      <c r="E64" s="141">
        <f>IFERROR(__xludf.DUMMYFUNCTION("""COMPUTED_VALUE"""),92.76)</f>
        <v/>
      </c>
      <c r="F64" s="141">
        <f>IFERROR(__xludf.DUMMYFUNCTION("""COMPUTED_VALUE"""),93)</f>
        <v/>
      </c>
      <c r="G64" s="143">
        <f>IFERROR(__xludf.DUMMYFUNCTION("""COMPUTED_VALUE"""),21889338)</f>
        <v/>
      </c>
      <c r="H64" s="27" t="n"/>
    </row>
    <row r="65" ht="17.25" customHeight="1" s="322">
      <c r="A65" s="27" t="n"/>
      <c r="B65" s="506">
        <f>IFERROR(__xludf.DUMMYFUNCTION("""COMPUTED_VALUE"""),45922.6666666666)</f>
        <v/>
      </c>
      <c r="C65" s="141">
        <f>IFERROR(__xludf.DUMMYFUNCTION("""COMPUTED_VALUE"""),92.96)</f>
        <v/>
      </c>
      <c r="D65" s="141">
        <f>IFERROR(__xludf.DUMMYFUNCTION("""COMPUTED_VALUE"""),93.34)</f>
        <v/>
      </c>
      <c r="E65" s="141">
        <f>IFERROR(__xludf.DUMMYFUNCTION("""COMPUTED_VALUE"""),92.73)</f>
        <v/>
      </c>
      <c r="F65" s="141">
        <f>IFERROR(__xludf.DUMMYFUNCTION("""COMPUTED_VALUE"""),93.3)</f>
        <v/>
      </c>
      <c r="G65" s="143">
        <f>IFERROR(__xludf.DUMMYFUNCTION("""COMPUTED_VALUE"""),13692268)</f>
        <v/>
      </c>
      <c r="H65" s="27" t="n"/>
    </row>
    <row r="66" ht="17.25" customHeight="1" s="322">
      <c r="A66" s="27" t="n"/>
      <c r="B66" s="506">
        <f>IFERROR(__xludf.DUMMYFUNCTION("""COMPUTED_VALUE"""),45923.6666666666)</f>
        <v/>
      </c>
      <c r="C66" s="141">
        <f>IFERROR(__xludf.DUMMYFUNCTION("""COMPUTED_VALUE"""),93.51)</f>
        <v/>
      </c>
      <c r="D66" s="141">
        <f>IFERROR(__xludf.DUMMYFUNCTION("""COMPUTED_VALUE"""),93.67)</f>
        <v/>
      </c>
      <c r="E66" s="141">
        <f>IFERROR(__xludf.DUMMYFUNCTION("""COMPUTED_VALUE"""),93.02)</f>
        <v/>
      </c>
      <c r="F66" s="141">
        <f>IFERROR(__xludf.DUMMYFUNCTION("""COMPUTED_VALUE"""),93.12)</f>
        <v/>
      </c>
      <c r="G66" s="143">
        <f>IFERROR(__xludf.DUMMYFUNCTION("""COMPUTED_VALUE"""),14688387)</f>
        <v/>
      </c>
      <c r="H66" s="27" t="n"/>
    </row>
    <row r="67" ht="17.25" customHeight="1" s="322">
      <c r="A67" s="27" t="n"/>
      <c r="B67" s="506">
        <f>IFERROR(__xludf.DUMMYFUNCTION("""COMPUTED_VALUE"""),45924.6666666666)</f>
        <v/>
      </c>
      <c r="C67" s="141">
        <f>IFERROR(__xludf.DUMMYFUNCTION("""COMPUTED_VALUE"""),92.69)</f>
        <v/>
      </c>
      <c r="D67" s="141">
        <f>IFERROR(__xludf.DUMMYFUNCTION("""COMPUTED_VALUE"""),92.92)</f>
        <v/>
      </c>
      <c r="E67" s="141">
        <f>IFERROR(__xludf.DUMMYFUNCTION("""COMPUTED_VALUE"""),92.46)</f>
        <v/>
      </c>
      <c r="F67" s="141">
        <f>IFERROR(__xludf.DUMMYFUNCTION("""COMPUTED_VALUE"""),92.58)</f>
        <v/>
      </c>
      <c r="G67" s="143">
        <f>IFERROR(__xludf.DUMMYFUNCTION("""COMPUTED_VALUE"""),14910666)</f>
        <v/>
      </c>
      <c r="H67" s="27" t="n"/>
    </row>
    <row r="68" ht="17.25" customHeight="1" s="322">
      <c r="A68" s="27" t="n"/>
      <c r="B68" s="506">
        <f>IFERROR(__xludf.DUMMYFUNCTION("""COMPUTED_VALUE"""),45925.6666666666)</f>
        <v/>
      </c>
      <c r="C68" s="141">
        <f>IFERROR(__xludf.DUMMYFUNCTION("""COMPUTED_VALUE"""),91.95)</f>
        <v/>
      </c>
      <c r="D68" s="141">
        <f>IFERROR(__xludf.DUMMYFUNCTION("""COMPUTED_VALUE"""),92.02)</f>
        <v/>
      </c>
      <c r="E68" s="141">
        <f>IFERROR(__xludf.DUMMYFUNCTION("""COMPUTED_VALUE"""),91.53)</f>
        <v/>
      </c>
      <c r="F68" s="141">
        <f>IFERROR(__xludf.DUMMYFUNCTION("""COMPUTED_VALUE"""),91.92)</f>
        <v/>
      </c>
      <c r="G68" s="143">
        <f>IFERROR(__xludf.DUMMYFUNCTION("""COMPUTED_VALUE"""),22434553)</f>
        <v/>
      </c>
      <c r="H68" s="27" t="n"/>
    </row>
    <row r="69" ht="17.25" customHeight="1" s="322">
      <c r="A69" s="27" t="n"/>
      <c r="B69" s="506">
        <f>IFERROR(__xludf.DUMMYFUNCTION("""COMPUTED_VALUE"""),45926.6666666666)</f>
        <v/>
      </c>
      <c r="C69" s="141">
        <f>IFERROR(__xludf.DUMMYFUNCTION("""COMPUTED_VALUE"""),92.31)</f>
        <v/>
      </c>
      <c r="D69" s="141">
        <f>IFERROR(__xludf.DUMMYFUNCTION("""COMPUTED_VALUE"""),92.64)</f>
        <v/>
      </c>
      <c r="E69" s="141">
        <f>IFERROR(__xludf.DUMMYFUNCTION("""COMPUTED_VALUE"""),92.23)</f>
        <v/>
      </c>
      <c r="F69" s="141">
        <f>IFERROR(__xludf.DUMMYFUNCTION("""COMPUTED_VALUE"""),92.63)</f>
        <v/>
      </c>
      <c r="G69" s="143">
        <f>IFERROR(__xludf.DUMMYFUNCTION("""COMPUTED_VALUE"""),18137958)</f>
        <v/>
      </c>
      <c r="H69" s="27" t="n"/>
    </row>
    <row r="70" ht="17.25" customHeight="1" s="322">
      <c r="A70" s="27" t="n"/>
      <c r="B70" s="506">
        <f>IFERROR(__xludf.DUMMYFUNCTION("""COMPUTED_VALUE"""),45929.6666666666)</f>
        <v/>
      </c>
      <c r="C70" s="141">
        <f>IFERROR(__xludf.DUMMYFUNCTION("""COMPUTED_VALUE"""),92.92)</f>
        <v/>
      </c>
      <c r="D70" s="141">
        <f>IFERROR(__xludf.DUMMYFUNCTION("""COMPUTED_VALUE"""),93.06)</f>
        <v/>
      </c>
      <c r="E70" s="141">
        <f>IFERROR(__xludf.DUMMYFUNCTION("""COMPUTED_VALUE"""),92.77)</f>
        <v/>
      </c>
      <c r="F70" s="141">
        <f>IFERROR(__xludf.DUMMYFUNCTION("""COMPUTED_VALUE"""),92.99)</f>
        <v/>
      </c>
      <c r="G70" s="143">
        <f>IFERROR(__xludf.DUMMYFUNCTION("""COMPUTED_VALUE"""),13807071)</f>
        <v/>
      </c>
      <c r="H70" s="27" t="n"/>
    </row>
    <row r="71" ht="17.25" customHeight="1" s="322">
      <c r="A71" s="27" t="n"/>
      <c r="B71" s="506">
        <f>IFERROR(__xludf.DUMMYFUNCTION("""COMPUTED_VALUE"""),45930.6666666666)</f>
        <v/>
      </c>
      <c r="C71" s="141">
        <f>IFERROR(__xludf.DUMMYFUNCTION("""COMPUTED_VALUE"""),92.89)</f>
        <v/>
      </c>
      <c r="D71" s="141">
        <f>IFERROR(__xludf.DUMMYFUNCTION("""COMPUTED_VALUE"""),93.46)</f>
        <v/>
      </c>
      <c r="E71" s="141">
        <f>IFERROR(__xludf.DUMMYFUNCTION("""COMPUTED_VALUE"""),92.86)</f>
        <v/>
      </c>
      <c r="F71" s="141">
        <f>IFERROR(__xludf.DUMMYFUNCTION("""COMPUTED_VALUE"""),93.37)</f>
        <v/>
      </c>
      <c r="G71" s="143">
        <f>IFERROR(__xludf.DUMMYFUNCTION("""COMPUTED_VALUE"""),24294994)</f>
        <v/>
      </c>
      <c r="H71" s="27" t="n"/>
    </row>
    <row r="72" ht="17.25" customHeight="1" s="322">
      <c r="A72" s="27" t="n"/>
      <c r="B72" s="506">
        <f>IFERROR(__xludf.DUMMYFUNCTION("""COMPUTED_VALUE"""),45931.6666666666)</f>
        <v/>
      </c>
      <c r="C72" s="141">
        <f>IFERROR(__xludf.DUMMYFUNCTION("""COMPUTED_VALUE"""),93.88)</f>
        <v/>
      </c>
      <c r="D72" s="141">
        <f>IFERROR(__xludf.DUMMYFUNCTION("""COMPUTED_VALUE"""),94.27)</f>
        <v/>
      </c>
      <c r="E72" s="141">
        <f>IFERROR(__xludf.DUMMYFUNCTION("""COMPUTED_VALUE"""),93.86)</f>
        <v/>
      </c>
      <c r="F72" s="141">
        <f>IFERROR(__xludf.DUMMYFUNCTION("""COMPUTED_VALUE"""),94.14)</f>
        <v/>
      </c>
      <c r="G72" s="143">
        <f>IFERROR(__xludf.DUMMYFUNCTION("""COMPUTED_VALUE"""),17167910)</f>
        <v/>
      </c>
      <c r="H72" s="27" t="n"/>
    </row>
    <row r="73" ht="17.25" customHeight="1" s="322">
      <c r="A73" s="27" t="n"/>
      <c r="B73" s="506">
        <f>IFERROR(__xludf.DUMMYFUNCTION("""COMPUTED_VALUE"""),45932.6666666666)</f>
        <v/>
      </c>
      <c r="C73" s="141">
        <f>IFERROR(__xludf.DUMMYFUNCTION("""COMPUTED_VALUE"""),94.54)</f>
        <v/>
      </c>
      <c r="D73" s="141">
        <f>IFERROR(__xludf.DUMMYFUNCTION("""COMPUTED_VALUE"""),94.6)</f>
        <v/>
      </c>
      <c r="E73" s="141">
        <f>IFERROR(__xludf.DUMMYFUNCTION("""COMPUTED_VALUE"""),93.87)</f>
        <v/>
      </c>
      <c r="F73" s="141">
        <f>IFERROR(__xludf.DUMMYFUNCTION("""COMPUTED_VALUE"""),94.29)</f>
        <v/>
      </c>
      <c r="G73" s="143">
        <f>IFERROR(__xludf.DUMMYFUNCTION("""COMPUTED_VALUE"""),15300541)</f>
        <v/>
      </c>
      <c r="H73" s="27" t="n"/>
    </row>
    <row r="74" ht="17.25" customHeight="1" s="322">
      <c r="A74" s="27" t="n"/>
      <c r="B74" s="506">
        <f>IFERROR(__xludf.DUMMYFUNCTION("""COMPUTED_VALUE"""),45933.6666666666)</f>
        <v/>
      </c>
      <c r="C74" s="141">
        <f>IFERROR(__xludf.DUMMYFUNCTION("""COMPUTED_VALUE"""),94.97)</f>
        <v/>
      </c>
      <c r="D74" s="141">
        <f>IFERROR(__xludf.DUMMYFUNCTION("""COMPUTED_VALUE"""),95.27)</f>
        <v/>
      </c>
      <c r="E74" s="141">
        <f>IFERROR(__xludf.DUMMYFUNCTION("""COMPUTED_VALUE"""),94.85)</f>
        <v/>
      </c>
      <c r="F74" s="141">
        <f>IFERROR(__xludf.DUMMYFUNCTION("""COMPUTED_VALUE"""),95.08)</f>
        <v/>
      </c>
      <c r="G74" s="143">
        <f>IFERROR(__xludf.DUMMYFUNCTION("""COMPUTED_VALUE"""),13985532)</f>
        <v/>
      </c>
      <c r="H74" s="27" t="n"/>
    </row>
    <row r="75" ht="17.25" customHeight="1" s="322">
      <c r="A75" s="27" t="n"/>
      <c r="B75" s="506">
        <f>IFERROR(__xludf.DUMMYFUNCTION("""COMPUTED_VALUE"""),45936.6666666666)</f>
        <v/>
      </c>
      <c r="C75" s="141">
        <f>IFERROR(__xludf.DUMMYFUNCTION("""COMPUTED_VALUE"""),95.25)</f>
        <v/>
      </c>
      <c r="D75" s="141">
        <f>IFERROR(__xludf.DUMMYFUNCTION("""COMPUTED_VALUE"""),95.53)</f>
        <v/>
      </c>
      <c r="E75" s="141">
        <f>IFERROR(__xludf.DUMMYFUNCTION("""COMPUTED_VALUE"""),95.15)</f>
        <v/>
      </c>
      <c r="F75" s="141">
        <f>IFERROR(__xludf.DUMMYFUNCTION("""COMPUTED_VALUE"""),95.3)</f>
        <v/>
      </c>
      <c r="G75" s="143">
        <f>IFERROR(__xludf.DUMMYFUNCTION("""COMPUTED_VALUE"""),12812709)</f>
        <v/>
      </c>
      <c r="H75" s="27" t="n"/>
    </row>
    <row r="76" ht="17.25" customHeight="1" s="322">
      <c r="A76" s="27" t="n"/>
      <c r="B76" s="506">
        <f>IFERROR(__xludf.DUMMYFUNCTION("""COMPUTED_VALUE"""),45937.6666666666)</f>
        <v/>
      </c>
      <c r="C76" s="141">
        <f>IFERROR(__xludf.DUMMYFUNCTION("""COMPUTED_VALUE"""),94.96)</f>
        <v/>
      </c>
      <c r="D76" s="141">
        <f>IFERROR(__xludf.DUMMYFUNCTION("""COMPUTED_VALUE"""),95.01)</f>
        <v/>
      </c>
      <c r="E76" s="141">
        <f>IFERROR(__xludf.DUMMYFUNCTION("""COMPUTED_VALUE"""),94.43)</f>
        <v/>
      </c>
      <c r="F76" s="141">
        <f>IFERROR(__xludf.DUMMYFUNCTION("""COMPUTED_VALUE"""),94.47)</f>
        <v/>
      </c>
      <c r="G76" s="143">
        <f>IFERROR(__xludf.DUMMYFUNCTION("""COMPUTED_VALUE"""),9074987)</f>
        <v/>
      </c>
      <c r="H76" s="27" t="n"/>
    </row>
    <row r="77" ht="17.25" customHeight="1" s="322">
      <c r="A77" s="27" t="n"/>
      <c r="B77" s="506">
        <f>IFERROR(__xludf.DUMMYFUNCTION("""COMPUTED_VALUE"""),45938.6666666666)</f>
        <v/>
      </c>
      <c r="C77" s="141">
        <f>IFERROR(__xludf.DUMMYFUNCTION("""COMPUTED_VALUE"""),94.79)</f>
        <v/>
      </c>
      <c r="D77" s="141">
        <f>IFERROR(__xludf.DUMMYFUNCTION("""COMPUTED_VALUE"""),94.93)</f>
        <v/>
      </c>
      <c r="E77" s="141">
        <f>IFERROR(__xludf.DUMMYFUNCTION("""COMPUTED_VALUE"""),94.55)</f>
        <v/>
      </c>
      <c r="F77" s="141">
        <f>IFERROR(__xludf.DUMMYFUNCTION("""COMPUTED_VALUE"""),94.75)</f>
        <v/>
      </c>
      <c r="G77" s="143">
        <f>IFERROR(__xludf.DUMMYFUNCTION("""COMPUTED_VALUE"""),11159395)</f>
        <v/>
      </c>
      <c r="H77" s="27" t="n"/>
    </row>
    <row r="78" ht="17.25" customHeight="1" s="322">
      <c r="A78" s="27" t="n"/>
      <c r="B78" s="506">
        <f>IFERROR(__xludf.DUMMYFUNCTION("""COMPUTED_VALUE"""),45939.6666666666)</f>
        <v/>
      </c>
      <c r="C78" s="141">
        <f>IFERROR(__xludf.DUMMYFUNCTION("""COMPUTED_VALUE"""),94.79)</f>
        <v/>
      </c>
      <c r="D78" s="141">
        <f>IFERROR(__xludf.DUMMYFUNCTION("""COMPUTED_VALUE"""),94.79)</f>
        <v/>
      </c>
      <c r="E78" s="141">
        <f>IFERROR(__xludf.DUMMYFUNCTION("""COMPUTED_VALUE"""),93.74)</f>
        <v/>
      </c>
      <c r="F78" s="141">
        <f>IFERROR(__xludf.DUMMYFUNCTION("""COMPUTED_VALUE"""),93.97)</f>
        <v/>
      </c>
      <c r="G78" s="143">
        <f>IFERROR(__xludf.DUMMYFUNCTION("""COMPUTED_VALUE"""),10567894)</f>
        <v/>
      </c>
      <c r="H78" s="27" t="n"/>
    </row>
    <row r="79" ht="17.25" customHeight="1" s="322">
      <c r="A79" s="27" t="n"/>
      <c r="B79" s="506">
        <f>IFERROR(__xludf.DUMMYFUNCTION("""COMPUTED_VALUE"""),45940.6666666666)</f>
        <v/>
      </c>
      <c r="C79" s="141">
        <f>IFERROR(__xludf.DUMMYFUNCTION("""COMPUTED_VALUE"""),93.69)</f>
        <v/>
      </c>
      <c r="D79" s="141">
        <f>IFERROR(__xludf.DUMMYFUNCTION("""COMPUTED_VALUE"""),93.77)</f>
        <v/>
      </c>
      <c r="E79" s="141">
        <f>IFERROR(__xludf.DUMMYFUNCTION("""COMPUTED_VALUE"""),92.12)</f>
        <v/>
      </c>
      <c r="F79" s="141">
        <f>IFERROR(__xludf.DUMMYFUNCTION("""COMPUTED_VALUE"""),92.24)</f>
        <v/>
      </c>
      <c r="G79" s="143">
        <f>IFERROR(__xludf.DUMMYFUNCTION("""COMPUTED_VALUE"""),26137180)</f>
        <v/>
      </c>
      <c r="H79" s="27" t="n"/>
    </row>
    <row r="80" ht="17.25" customHeight="1" s="322">
      <c r="A80" s="27" t="n"/>
      <c r="B80" s="506">
        <f>IFERROR(__xludf.DUMMYFUNCTION("""COMPUTED_VALUE"""),45943.6666666666)</f>
        <v/>
      </c>
      <c r="C80" s="141">
        <f>IFERROR(__xludf.DUMMYFUNCTION("""COMPUTED_VALUE"""),92.65)</f>
        <v/>
      </c>
      <c r="D80" s="141">
        <f>IFERROR(__xludf.DUMMYFUNCTION("""COMPUTED_VALUE"""),93.08)</f>
        <v/>
      </c>
      <c r="E80" s="141">
        <f>IFERROR(__xludf.DUMMYFUNCTION("""COMPUTED_VALUE"""),92.53)</f>
        <v/>
      </c>
      <c r="F80" s="141">
        <f>IFERROR(__xludf.DUMMYFUNCTION("""COMPUTED_VALUE"""),92.98)</f>
        <v/>
      </c>
      <c r="G80" s="143">
        <f>IFERROR(__xludf.DUMMYFUNCTION("""COMPUTED_VALUE"""),11132883)</f>
        <v/>
      </c>
      <c r="H80" s="27" t="n"/>
    </row>
    <row r="81" ht="17.25" customHeight="1" s="322">
      <c r="A81" s="27" t="n"/>
      <c r="B81" s="506">
        <f>IFERROR(__xludf.DUMMYFUNCTION("""COMPUTED_VALUE"""),45944.6666666666)</f>
        <v/>
      </c>
      <c r="C81" s="141">
        <f>IFERROR(__xludf.DUMMYFUNCTION("""COMPUTED_VALUE"""),92.45)</f>
        <v/>
      </c>
      <c r="D81" s="141">
        <f>IFERROR(__xludf.DUMMYFUNCTION("""COMPUTED_VALUE"""),93.68)</f>
        <v/>
      </c>
      <c r="E81" s="141">
        <f>IFERROR(__xludf.DUMMYFUNCTION("""COMPUTED_VALUE"""),92.34)</f>
        <v/>
      </c>
      <c r="F81" s="141">
        <f>IFERROR(__xludf.DUMMYFUNCTION("""COMPUTED_VALUE"""),93.4)</f>
        <v/>
      </c>
      <c r="G81" s="143">
        <f>IFERROR(__xludf.DUMMYFUNCTION("""COMPUTED_VALUE"""),15119002)</f>
        <v/>
      </c>
      <c r="H81" s="27" t="n"/>
    </row>
    <row r="82" ht="17.25" customHeight="1" s="322">
      <c r="A82" s="27" t="n"/>
      <c r="B82" s="506">
        <f>IFERROR(__xludf.DUMMYFUNCTION("""COMPUTED_VALUE"""),45945.6666666666)</f>
        <v/>
      </c>
      <c r="C82" s="141">
        <f>IFERROR(__xludf.DUMMYFUNCTION("""COMPUTED_VALUE"""),93.86)</f>
        <v/>
      </c>
      <c r="D82" s="141">
        <f>IFERROR(__xludf.DUMMYFUNCTION("""COMPUTED_VALUE"""),94.13)</f>
        <v/>
      </c>
      <c r="E82" s="141">
        <f>IFERROR(__xludf.DUMMYFUNCTION("""COMPUTED_VALUE"""),93.32)</f>
        <v/>
      </c>
      <c r="F82" s="141">
        <f>IFERROR(__xludf.DUMMYFUNCTION("""COMPUTED_VALUE"""),93.85)</f>
        <v/>
      </c>
      <c r="G82" s="143">
        <f>IFERROR(__xludf.DUMMYFUNCTION("""COMPUTED_VALUE"""),15005514)</f>
        <v/>
      </c>
      <c r="H82" s="27" t="n"/>
    </row>
    <row r="83" ht="17.25" customHeight="1" s="322">
      <c r="A83" s="27" t="n"/>
      <c r="B83" s="506">
        <f>IFERROR(__xludf.DUMMYFUNCTION("""COMPUTED_VALUE"""),45946.6666666666)</f>
        <v/>
      </c>
      <c r="C83" s="141">
        <f>IFERROR(__xludf.DUMMYFUNCTION("""COMPUTED_VALUE"""),94.42)</f>
        <v/>
      </c>
      <c r="D83" s="141">
        <f>IFERROR(__xludf.DUMMYFUNCTION("""COMPUTED_VALUE"""),94.74)</f>
        <v/>
      </c>
      <c r="E83" s="141">
        <f>IFERROR(__xludf.DUMMYFUNCTION("""COMPUTED_VALUE"""),94)</f>
        <v/>
      </c>
      <c r="F83" s="141">
        <f>IFERROR(__xludf.DUMMYFUNCTION("""COMPUTED_VALUE"""),94.34)</f>
        <v/>
      </c>
      <c r="G83" s="143">
        <f>IFERROR(__xludf.DUMMYFUNCTION("""COMPUTED_VALUE"""),24970280)</f>
        <v/>
      </c>
      <c r="H83" s="27" t="n"/>
    </row>
    <row r="84" ht="17.25" customHeight="1" s="322">
      <c r="A84" s="27" t="n"/>
      <c r="B84" s="506">
        <f>IFERROR(__xludf.DUMMYFUNCTION("""COMPUTED_VALUE"""),45947.6666666666)</f>
        <v/>
      </c>
      <c r="C84" s="141">
        <f>IFERROR(__xludf.DUMMYFUNCTION("""COMPUTED_VALUE"""),94.04)</f>
        <v/>
      </c>
      <c r="D84" s="141">
        <f>IFERROR(__xludf.DUMMYFUNCTION("""COMPUTED_VALUE"""),94.57)</f>
        <v/>
      </c>
      <c r="E84" s="141">
        <f>IFERROR(__xludf.DUMMYFUNCTION("""COMPUTED_VALUE"""),93.92)</f>
        <v/>
      </c>
      <c r="F84" s="141">
        <f>IFERROR(__xludf.DUMMYFUNCTION("""COMPUTED_VALUE"""),94.51)</f>
        <v/>
      </c>
      <c r="G84" s="143">
        <f>IFERROR(__xludf.DUMMYFUNCTION("""COMPUTED_VALUE"""),16789486)</f>
        <v/>
      </c>
      <c r="H84" s="27" t="n"/>
    </row>
    <row r="85" ht="17.25" customHeight="1" s="322">
      <c r="A85" s="27" t="n"/>
      <c r="B85" s="506">
        <f>IFERROR(__xludf.DUMMYFUNCTION("""COMPUTED_VALUE"""),45950.6666666666)</f>
        <v/>
      </c>
      <c r="C85" s="141">
        <f>IFERROR(__xludf.DUMMYFUNCTION("""COMPUTED_VALUE"""),94.95)</f>
        <v/>
      </c>
      <c r="D85" s="141">
        <f>IFERROR(__xludf.DUMMYFUNCTION("""COMPUTED_VALUE"""),95.38)</f>
        <v/>
      </c>
      <c r="E85" s="141">
        <f>IFERROR(__xludf.DUMMYFUNCTION("""COMPUTED_VALUE"""),94.93)</f>
        <v/>
      </c>
      <c r="F85" s="141">
        <f>IFERROR(__xludf.DUMMYFUNCTION("""COMPUTED_VALUE"""),95.29)</f>
        <v/>
      </c>
      <c r="G85" s="143">
        <f>IFERROR(__xludf.DUMMYFUNCTION("""COMPUTED_VALUE"""),12951059)</f>
        <v/>
      </c>
      <c r="H85" s="27" t="n"/>
    </row>
    <row r="86" ht="17.25" customHeight="1" s="322">
      <c r="A86" s="27" t="n"/>
      <c r="B86" s="506">
        <f>IFERROR(__xludf.DUMMYFUNCTION("""COMPUTED_VALUE"""),45951.6666666666)</f>
        <v/>
      </c>
      <c r="C86" s="141">
        <f>IFERROR(__xludf.DUMMYFUNCTION("""COMPUTED_VALUE"""),94.86)</f>
        <v/>
      </c>
      <c r="D86" s="141">
        <f>IFERROR(__xludf.DUMMYFUNCTION("""COMPUTED_VALUE"""),95)</f>
        <v/>
      </c>
      <c r="E86" s="141">
        <f>IFERROR(__xludf.DUMMYFUNCTION("""COMPUTED_VALUE"""),94.55)</f>
        <v/>
      </c>
      <c r="F86" s="141">
        <f>IFERROR(__xludf.DUMMYFUNCTION("""COMPUTED_VALUE"""),94.59)</f>
        <v/>
      </c>
      <c r="G86" s="143">
        <f>IFERROR(__xludf.DUMMYFUNCTION("""COMPUTED_VALUE"""),16644262)</f>
        <v/>
      </c>
      <c r="H86" s="27" t="n"/>
    </row>
    <row r="87" ht="17.25" customHeight="1" s="322">
      <c r="A87" s="27" t="n"/>
      <c r="B87" s="506">
        <f>IFERROR(__xludf.DUMMYFUNCTION("""COMPUTED_VALUE"""),45952.6666666666)</f>
        <v/>
      </c>
      <c r="C87" s="141">
        <f>IFERROR(__xludf.DUMMYFUNCTION("""COMPUTED_VALUE"""),94.6)</f>
        <v/>
      </c>
      <c r="D87" s="141">
        <f>IFERROR(__xludf.DUMMYFUNCTION("""COMPUTED_VALUE"""),94.76)</f>
        <v/>
      </c>
      <c r="E87" s="141">
        <f>IFERROR(__xludf.DUMMYFUNCTION("""COMPUTED_VALUE"""),94.05)</f>
        <v/>
      </c>
      <c r="F87" s="141">
        <f>IFERROR(__xludf.DUMMYFUNCTION("""COMPUTED_VALUE"""),94.45)</f>
        <v/>
      </c>
      <c r="G87" s="143">
        <f>IFERROR(__xludf.DUMMYFUNCTION("""COMPUTED_VALUE"""),15028680)</f>
        <v/>
      </c>
      <c r="H87" s="27" t="n"/>
    </row>
    <row r="88" ht="17.25" customHeight="1" s="322">
      <c r="A88" s="27" t="n"/>
      <c r="B88" s="506">
        <f>IFERROR(__xludf.DUMMYFUNCTION("""COMPUTED_VALUE"""),45953.6666666666)</f>
        <v/>
      </c>
      <c r="C88" s="141">
        <f>IFERROR(__xludf.DUMMYFUNCTION("""COMPUTED_VALUE"""),94.62)</f>
        <v/>
      </c>
      <c r="D88" s="141">
        <f>IFERROR(__xludf.DUMMYFUNCTION("""COMPUTED_VALUE"""),95)</f>
        <v/>
      </c>
      <c r="E88" s="141">
        <f>IFERROR(__xludf.DUMMYFUNCTION("""COMPUTED_VALUE"""),94.62)</f>
        <v/>
      </c>
      <c r="F88" s="141">
        <f>IFERROR(__xludf.DUMMYFUNCTION("""COMPUTED_VALUE"""),94.89)</f>
        <v/>
      </c>
      <c r="G88" s="143">
        <f>IFERROR(__xludf.DUMMYFUNCTION("""COMPUTED_VALUE"""),10584494)</f>
        <v/>
      </c>
      <c r="H88" s="27" t="n"/>
    </row>
    <row r="89" ht="17.25" customHeight="1" s="322">
      <c r="A89" s="27" t="n"/>
      <c r="B89" s="506">
        <f>IFERROR(__xludf.DUMMYFUNCTION("""COMPUTED_VALUE"""),45954.6666666666)</f>
        <v/>
      </c>
      <c r="C89" s="141">
        <f>IFERROR(__xludf.DUMMYFUNCTION("""COMPUTED_VALUE"""),95.08)</f>
        <v/>
      </c>
      <c r="D89" s="141">
        <f>IFERROR(__xludf.DUMMYFUNCTION("""COMPUTED_VALUE"""),95.21)</f>
        <v/>
      </c>
      <c r="E89" s="141">
        <f>IFERROR(__xludf.DUMMYFUNCTION("""COMPUTED_VALUE"""),94.94)</f>
        <v/>
      </c>
      <c r="F89" s="141">
        <f>IFERROR(__xludf.DUMMYFUNCTION("""COMPUTED_VALUE"""),95.04)</f>
        <v/>
      </c>
      <c r="G89" s="143">
        <f>IFERROR(__xludf.DUMMYFUNCTION("""COMPUTED_VALUE"""),8967861)</f>
        <v/>
      </c>
      <c r="H89" s="27" t="n"/>
    </row>
    <row r="90" ht="17.25" customHeight="1" s="322">
      <c r="A90" s="27" t="n"/>
      <c r="B90" s="506">
        <f>IFERROR(__xludf.DUMMYFUNCTION("""COMPUTED_VALUE"""),45957.6666666666)</f>
        <v/>
      </c>
      <c r="C90" s="141">
        <f>IFERROR(__xludf.DUMMYFUNCTION("""COMPUTED_VALUE"""),95.56)</f>
        <v/>
      </c>
      <c r="D90" s="141">
        <f>IFERROR(__xludf.DUMMYFUNCTION("""COMPUTED_VALUE"""),95.73)</f>
        <v/>
      </c>
      <c r="E90" s="141">
        <f>IFERROR(__xludf.DUMMYFUNCTION("""COMPUTED_VALUE"""),95.48)</f>
        <v/>
      </c>
      <c r="F90" s="141">
        <f>IFERROR(__xludf.DUMMYFUNCTION("""COMPUTED_VALUE"""),95.7)</f>
        <v/>
      </c>
      <c r="G90" s="143">
        <f>IFERROR(__xludf.DUMMYFUNCTION("""COMPUTED_VALUE"""),10612646)</f>
        <v/>
      </c>
      <c r="H90" s="27" t="n"/>
    </row>
    <row r="91" ht="17.25" customHeight="1" s="322">
      <c r="A91" s="27" t="n"/>
      <c r="B91" s="506">
        <f>IFERROR(__xludf.DUMMYFUNCTION("""COMPUTED_VALUE"""),45958.6666666666)</f>
        <v/>
      </c>
      <c r="C91" s="141">
        <f>IFERROR(__xludf.DUMMYFUNCTION("""COMPUTED_VALUE"""),95.63)</f>
        <v/>
      </c>
      <c r="D91" s="141">
        <f>IFERROR(__xludf.DUMMYFUNCTION("""COMPUTED_VALUE"""),95.95)</f>
        <v/>
      </c>
      <c r="E91" s="141">
        <f>IFERROR(__xludf.DUMMYFUNCTION("""COMPUTED_VALUE"""),95.47)</f>
        <v/>
      </c>
      <c r="F91" s="141">
        <f>IFERROR(__xludf.DUMMYFUNCTION("""COMPUTED_VALUE"""),95.66)</f>
        <v/>
      </c>
      <c r="G91" s="143">
        <f>IFERROR(__xludf.DUMMYFUNCTION("""COMPUTED_VALUE"""),9187623)</f>
        <v/>
      </c>
      <c r="H91" s="27" t="n"/>
    </row>
    <row r="92" ht="17.25" customHeight="1" s="322">
      <c r="A92" s="27" t="n"/>
      <c r="B92" s="506">
        <f>IFERROR(__xludf.DUMMYFUNCTION("""COMPUTED_VALUE"""),45959.6666666666)</f>
        <v/>
      </c>
      <c r="C92" s="141">
        <f>IFERROR(__xludf.DUMMYFUNCTION("""COMPUTED_VALUE"""),95.66)</f>
        <v/>
      </c>
      <c r="D92" s="141">
        <f>IFERROR(__xludf.DUMMYFUNCTION("""COMPUTED_VALUE"""),95.75)</f>
        <v/>
      </c>
      <c r="E92" s="141">
        <f>IFERROR(__xludf.DUMMYFUNCTION("""COMPUTED_VALUE"""),94.65)</f>
        <v/>
      </c>
      <c r="F92" s="141">
        <f>IFERROR(__xludf.DUMMYFUNCTION("""COMPUTED_VALUE"""),95.12)</f>
        <v/>
      </c>
      <c r="G92" s="143">
        <f>IFERROR(__xludf.DUMMYFUNCTION("""COMPUTED_VALUE"""),17914374)</f>
        <v/>
      </c>
      <c r="H92" s="27" t="n"/>
    </row>
    <row r="93" ht="17.25" customHeight="1" s="322">
      <c r="A93" s="27" t="n"/>
      <c r="B93" s="506">
        <f>IFERROR(__xludf.DUMMYFUNCTION("""COMPUTED_VALUE"""),45960.6666666666)</f>
        <v/>
      </c>
      <c r="C93" s="141">
        <f>IFERROR(__xludf.DUMMYFUNCTION("""COMPUTED_VALUE"""),94.57)</f>
        <v/>
      </c>
      <c r="D93" s="141">
        <f>IFERROR(__xludf.DUMMYFUNCTION("""COMPUTED_VALUE"""),95.08)</f>
        <v/>
      </c>
      <c r="E93" s="141">
        <f>IFERROR(__xludf.DUMMYFUNCTION("""COMPUTED_VALUE"""),94.5)</f>
        <v/>
      </c>
      <c r="F93" s="141">
        <f>IFERROR(__xludf.DUMMYFUNCTION("""COMPUTED_VALUE"""),94.7)</f>
        <v/>
      </c>
      <c r="G93" s="143">
        <f>IFERROR(__xludf.DUMMYFUNCTION("""COMPUTED_VALUE"""),13967840)</f>
        <v/>
      </c>
      <c r="H93" s="27" t="n"/>
    </row>
    <row r="94" ht="17.25" customHeight="1" s="322">
      <c r="A94" s="27" t="n"/>
      <c r="B94" s="506">
        <f>IFERROR(__xludf.DUMMYFUNCTION("""COMPUTED_VALUE"""),45961.6666666666)</f>
        <v/>
      </c>
      <c r="C94" s="141">
        <f>IFERROR(__xludf.DUMMYFUNCTION("""COMPUTED_VALUE"""),94.59)</f>
        <v/>
      </c>
      <c r="D94" s="141">
        <f>IFERROR(__xludf.DUMMYFUNCTION("""COMPUTED_VALUE"""),94.61)</f>
        <v/>
      </c>
      <c r="E94" s="141">
        <f>IFERROR(__xludf.DUMMYFUNCTION("""COMPUTED_VALUE"""),94.13)</f>
        <v/>
      </c>
      <c r="F94" s="141">
        <f>IFERROR(__xludf.DUMMYFUNCTION("""COMPUTED_VALUE"""),94.49)</f>
        <v/>
      </c>
      <c r="G94" s="143">
        <f>IFERROR(__xludf.DUMMYFUNCTION("""COMPUTED_VALUE"""),19459165)</f>
        <v/>
      </c>
      <c r="H94" s="27" t="n"/>
    </row>
    <row r="95" ht="17.25" customHeight="1" s="322">
      <c r="A95" s="27" t="n"/>
      <c r="B95" s="506">
        <f>IFERROR(__xludf.DUMMYFUNCTION("""COMPUTED_VALUE"""),45964.6666666666)</f>
        <v/>
      </c>
      <c r="C95" s="141">
        <f>IFERROR(__xludf.DUMMYFUNCTION("""COMPUTED_VALUE"""),94.56)</f>
        <v/>
      </c>
      <c r="D95" s="141">
        <f>IFERROR(__xludf.DUMMYFUNCTION("""COMPUTED_VALUE"""),94.64)</f>
        <v/>
      </c>
      <c r="E95" s="141">
        <f>IFERROR(__xludf.DUMMYFUNCTION("""COMPUTED_VALUE"""),94.26)</f>
        <v/>
      </c>
      <c r="F95" s="141">
        <f>IFERROR(__xludf.DUMMYFUNCTION("""COMPUTED_VALUE"""),94.53)</f>
        <v/>
      </c>
      <c r="G95" s="143">
        <f>IFERROR(__xludf.DUMMYFUNCTION("""COMPUTED_VALUE"""),10681370)</f>
        <v/>
      </c>
      <c r="H95" s="27" t="n"/>
    </row>
    <row r="96" ht="17.25" customHeight="1" s="322">
      <c r="A96" s="27" t="n"/>
      <c r="B96" s="506">
        <f>IFERROR(__xludf.DUMMYFUNCTION("""COMPUTED_VALUE"""),45965.6666666666)</f>
        <v/>
      </c>
      <c r="C96" s="141">
        <f>IFERROR(__xludf.DUMMYFUNCTION("""COMPUTED_VALUE"""),93.53)</f>
        <v/>
      </c>
      <c r="D96" s="141">
        <f>IFERROR(__xludf.DUMMYFUNCTION("""COMPUTED_VALUE"""),94.03)</f>
        <v/>
      </c>
      <c r="E96" s="141">
        <f>IFERROR(__xludf.DUMMYFUNCTION("""COMPUTED_VALUE"""),93.45)</f>
        <v/>
      </c>
      <c r="F96" s="141">
        <f>IFERROR(__xludf.DUMMYFUNCTION("""COMPUTED_VALUE"""),93.56)</f>
        <v/>
      </c>
      <c r="G96" s="143">
        <f>IFERROR(__xludf.DUMMYFUNCTION("""COMPUTED_VALUE"""),10349018)</f>
        <v/>
      </c>
      <c r="H96" s="27" t="n"/>
    </row>
    <row r="97" ht="17.25" customHeight="1" s="322">
      <c r="A97" s="27" t="n"/>
      <c r="B97" s="506">
        <f>IFERROR(__xludf.DUMMYFUNCTION("""COMPUTED_VALUE"""),45966.6666666666)</f>
        <v/>
      </c>
      <c r="C97" s="141">
        <f>IFERROR(__xludf.DUMMYFUNCTION("""COMPUTED_VALUE"""),93.68)</f>
        <v/>
      </c>
      <c r="D97" s="141">
        <f>IFERROR(__xludf.DUMMYFUNCTION("""COMPUTED_VALUE"""),94.32)</f>
        <v/>
      </c>
      <c r="E97" s="141">
        <f>IFERROR(__xludf.DUMMYFUNCTION("""COMPUTED_VALUE"""),93.67)</f>
        <v/>
      </c>
      <c r="F97" s="141">
        <f>IFERROR(__xludf.DUMMYFUNCTION("""COMPUTED_VALUE"""),94.16)</f>
        <v/>
      </c>
      <c r="G97" s="143">
        <f>IFERROR(__xludf.DUMMYFUNCTION("""COMPUTED_VALUE"""),12451335)</f>
        <v/>
      </c>
      <c r="H97" s="27" t="n"/>
    </row>
    <row r="98" ht="17.25" customHeight="1" s="322">
      <c r="A98" s="27" t="n"/>
      <c r="B98" s="506">
        <f>IFERROR(__xludf.DUMMYFUNCTION("""COMPUTED_VALUE"""),45967.6666666666)</f>
        <v/>
      </c>
      <c r="C98" s="141">
        <f>IFERROR(__xludf.DUMMYFUNCTION("""COMPUTED_VALUE"""),94.27)</f>
        <v/>
      </c>
      <c r="D98" s="141">
        <f>IFERROR(__xludf.DUMMYFUNCTION("""COMPUTED_VALUE"""),94.36)</f>
        <v/>
      </c>
      <c r="E98" s="141">
        <f>IFERROR(__xludf.DUMMYFUNCTION("""COMPUTED_VALUE"""),93.71)</f>
        <v/>
      </c>
      <c r="F98" s="141">
        <f>IFERROR(__xludf.DUMMYFUNCTION("""COMPUTED_VALUE"""),93.95)</f>
        <v/>
      </c>
      <c r="G98" s="143">
        <f>IFERROR(__xludf.DUMMYFUNCTION("""COMPUTED_VALUE"""),16175998)</f>
        <v/>
      </c>
      <c r="H98" s="27" t="n"/>
    </row>
    <row r="99" ht="17.25" customHeight="1" s="322">
      <c r="A99" s="27" t="n"/>
      <c r="B99" s="506">
        <f>IFERROR(__xludf.DUMMYFUNCTION("""COMPUTED_VALUE"""),45968.6666666666)</f>
        <v/>
      </c>
      <c r="C99" s="141">
        <f>IFERROR(__xludf.DUMMYFUNCTION("""COMPUTED_VALUE"""),93.57)</f>
        <v/>
      </c>
      <c r="D99" s="141">
        <f>IFERROR(__xludf.DUMMYFUNCTION("""COMPUTED_VALUE"""),94.32)</f>
        <v/>
      </c>
      <c r="E99" s="141">
        <f>IFERROR(__xludf.DUMMYFUNCTION("""COMPUTED_VALUE"""),93.34)</f>
        <v/>
      </c>
      <c r="F99" s="141">
        <f>IFERROR(__xludf.DUMMYFUNCTION("""COMPUTED_VALUE"""),94.3)</f>
        <v/>
      </c>
      <c r="G99" s="143">
        <f>IFERROR(__xludf.DUMMYFUNCTION("""COMPUTED_VALUE"""),13976941)</f>
        <v/>
      </c>
      <c r="H99" s="27" t="n"/>
    </row>
    <row r="100" ht="17.25" customHeight="1" s="322">
      <c r="A100" s="27" t="n"/>
      <c r="B100" s="506">
        <f>IFERROR(__xludf.DUMMYFUNCTION("""COMPUTED_VALUE"""),45971.6666666666)</f>
        <v/>
      </c>
      <c r="C100" s="141">
        <f>IFERROR(__xludf.DUMMYFUNCTION("""COMPUTED_VALUE"""),94.86)</f>
        <v/>
      </c>
      <c r="D100" s="141">
        <f>IFERROR(__xludf.DUMMYFUNCTION("""COMPUTED_VALUE"""),95.35)</f>
        <v/>
      </c>
      <c r="E100" s="141">
        <f>IFERROR(__xludf.DUMMYFUNCTION("""COMPUTED_VALUE"""),94.59)</f>
        <v/>
      </c>
      <c r="F100" s="141">
        <f>IFERROR(__xludf.DUMMYFUNCTION("""COMPUTED_VALUE"""),95.29)</f>
        <v/>
      </c>
      <c r="G100" s="143">
        <f>IFERROR(__xludf.DUMMYFUNCTION("""COMPUTED_VALUE"""),15682792)</f>
        <v/>
      </c>
      <c r="H100" s="27" t="n"/>
    </row>
    <row r="101" ht="17.25" customHeight="1" s="322">
      <c r="A101" s="27" t="n"/>
      <c r="B101" s="506">
        <f>IFERROR(__xludf.DUMMYFUNCTION("""COMPUTED_VALUE"""),45972.6666666666)</f>
        <v/>
      </c>
      <c r="C101" s="141">
        <f>IFERROR(__xludf.DUMMYFUNCTION("""COMPUTED_VALUE"""),95.67)</f>
        <v/>
      </c>
      <c r="D101" s="141">
        <f>IFERROR(__xludf.DUMMYFUNCTION("""COMPUTED_VALUE"""),96.14)</f>
        <v/>
      </c>
      <c r="E101" s="141">
        <f>IFERROR(__xludf.DUMMYFUNCTION("""COMPUTED_VALUE"""),95.67)</f>
        <v/>
      </c>
      <c r="F101" s="141">
        <f>IFERROR(__xludf.DUMMYFUNCTION("""COMPUTED_VALUE"""),95.99)</f>
        <v/>
      </c>
      <c r="G101" s="143">
        <f>IFERROR(__xludf.DUMMYFUNCTION("""COMPUTED_VALUE"""),12959431)</f>
        <v/>
      </c>
      <c r="H101" s="27" t="n"/>
    </row>
    <row r="102" ht="17.25" customHeight="1" s="322">
      <c r="A102" s="27" t="n"/>
      <c r="B102" s="506">
        <f>IFERROR(__xludf.DUMMYFUNCTION("""COMPUTED_VALUE"""),45973.6666666666)</f>
        <v/>
      </c>
      <c r="C102" s="141">
        <f>IFERROR(__xludf.DUMMYFUNCTION("""COMPUTED_VALUE"""),96.31)</f>
        <v/>
      </c>
      <c r="D102" s="141">
        <f>IFERROR(__xludf.DUMMYFUNCTION("""COMPUTED_VALUE"""),96.69)</f>
        <v/>
      </c>
      <c r="E102" s="141">
        <f>IFERROR(__xludf.DUMMYFUNCTION("""COMPUTED_VALUE"""),96.31)</f>
        <v/>
      </c>
      <c r="F102" s="141">
        <f>IFERROR(__xludf.DUMMYFUNCTION("""COMPUTED_VALUE"""),96.56)</f>
        <v/>
      </c>
      <c r="G102" s="143">
        <f>IFERROR(__xludf.DUMMYFUNCTION("""COMPUTED_VALUE"""),9532343)</f>
        <v/>
      </c>
      <c r="H102" s="27" t="n"/>
    </row>
    <row r="103" ht="17.25" customHeight="1" s="322">
      <c r="A103" s="27" t="n"/>
      <c r="B103" s="506">
        <f>IFERROR(__xludf.DUMMYFUNCTION("""COMPUTED_VALUE"""),45974.6666666666)</f>
        <v/>
      </c>
      <c r="C103" s="141">
        <f>IFERROR(__xludf.DUMMYFUNCTION("""COMPUTED_VALUE"""),96.35)</f>
        <v/>
      </c>
      <c r="D103" s="141">
        <f>IFERROR(__xludf.DUMMYFUNCTION("""COMPUTED_VALUE"""),96.46)</f>
        <v/>
      </c>
      <c r="E103" s="141">
        <f>IFERROR(__xludf.DUMMYFUNCTION("""COMPUTED_VALUE"""),95.43)</f>
        <v/>
      </c>
      <c r="F103" s="141">
        <f>IFERROR(__xludf.DUMMYFUNCTION("""COMPUTED_VALUE"""),95.53)</f>
        <v/>
      </c>
      <c r="G103" s="143">
        <f>IFERROR(__xludf.DUMMYFUNCTION("""COMPUTED_VALUE"""),15864780)</f>
        <v/>
      </c>
      <c r="H103" s="27" t="n"/>
    </row>
    <row r="104" ht="17.25" customHeight="1" s="322">
      <c r="A104" s="27" t="n"/>
      <c r="B104" s="506">
        <f>IFERROR(__xludf.DUMMYFUNCTION("""COMPUTED_VALUE"""),45975.6666666666)</f>
        <v/>
      </c>
      <c r="C104" s="141">
        <f>IFERROR(__xludf.DUMMYFUNCTION("""COMPUTED_VALUE"""),94.88)</f>
        <v/>
      </c>
      <c r="D104" s="141">
        <f>IFERROR(__xludf.DUMMYFUNCTION("""COMPUTED_VALUE"""),95.53)</f>
        <v/>
      </c>
      <c r="E104" s="141">
        <f>IFERROR(__xludf.DUMMYFUNCTION("""COMPUTED_VALUE"""),94.78)</f>
        <v/>
      </c>
      <c r="F104" s="141">
        <f>IFERROR(__xludf.DUMMYFUNCTION("""COMPUTED_VALUE"""),95.26)</f>
        <v/>
      </c>
      <c r="G104" s="143">
        <f>IFERROR(__xludf.DUMMYFUNCTION("""COMPUTED_VALUE"""),17396354)</f>
        <v/>
      </c>
      <c r="H104" s="27" t="n"/>
    </row>
    <row r="105" ht="17.25" customHeight="1" s="322">
      <c r="A105" s="27" t="n"/>
      <c r="B105" s="506">
        <f>IFERROR(__xludf.DUMMYFUNCTION("""COMPUTED_VALUE"""),45978.6666666666)</f>
        <v/>
      </c>
      <c r="C105" s="141">
        <f>IFERROR(__xludf.DUMMYFUNCTION("""COMPUTED_VALUE"""),94.6)</f>
        <v/>
      </c>
      <c r="D105" s="141">
        <f>IFERROR(__xludf.DUMMYFUNCTION("""COMPUTED_VALUE"""),94.88)</f>
        <v/>
      </c>
      <c r="E105" s="141">
        <f>IFERROR(__xludf.DUMMYFUNCTION("""COMPUTED_VALUE"""),93.68)</f>
        <v/>
      </c>
      <c r="F105" s="141">
        <f>IFERROR(__xludf.DUMMYFUNCTION("""COMPUTED_VALUE"""),94.02)</f>
        <v/>
      </c>
      <c r="G105" s="143">
        <f>IFERROR(__xludf.DUMMYFUNCTION("""COMPUTED_VALUE"""),18850876)</f>
        <v/>
      </c>
      <c r="H105" s="27" t="n"/>
    </row>
    <row r="106" ht="17.25" customHeight="1" s="322">
      <c r="A106" s="27" t="n"/>
      <c r="B106" s="506">
        <f>IFERROR(__xludf.DUMMYFUNCTION("""COMPUTED_VALUE"""),45979.6666666666)</f>
        <v/>
      </c>
      <c r="C106" s="141">
        <f>IFERROR(__xludf.DUMMYFUNCTION("""COMPUTED_VALUE"""),92.81)</f>
        <v/>
      </c>
      <c r="D106" s="141">
        <f>IFERROR(__xludf.DUMMYFUNCTION("""COMPUTED_VALUE"""),93.15)</f>
        <v/>
      </c>
      <c r="E106" s="141">
        <f>IFERROR(__xludf.DUMMYFUNCTION("""COMPUTED_VALUE"""),92.3)</f>
        <v/>
      </c>
      <c r="F106" s="141">
        <f>IFERROR(__xludf.DUMMYFUNCTION("""COMPUTED_VALUE"""),92.8)</f>
        <v/>
      </c>
      <c r="G106" s="143">
        <f>IFERROR(__xludf.DUMMYFUNCTION("""COMPUTED_VALUE"""),22482259)</f>
        <v/>
      </c>
      <c r="H106" s="27" t="n"/>
    </row>
    <row r="107" ht="17.25" customHeight="1" s="322">
      <c r="A107" s="27" t="n"/>
      <c r="B107" s="506">
        <f>IFERROR(__xludf.DUMMYFUNCTION("""COMPUTED_VALUE"""),45980.6666666666)</f>
        <v/>
      </c>
      <c r="C107" s="141">
        <f>IFERROR(__xludf.DUMMYFUNCTION("""COMPUTED_VALUE"""),92.71)</f>
        <v/>
      </c>
      <c r="D107" s="141">
        <f>IFERROR(__xludf.DUMMYFUNCTION("""COMPUTED_VALUE"""),93.07)</f>
        <v/>
      </c>
      <c r="E107" s="141">
        <f>IFERROR(__xludf.DUMMYFUNCTION("""COMPUTED_VALUE"""),92.14)</f>
        <v/>
      </c>
      <c r="F107" s="141">
        <f>IFERROR(__xludf.DUMMYFUNCTION("""COMPUTED_VALUE"""),92.52)</f>
        <v/>
      </c>
      <c r="G107" s="143">
        <f>IFERROR(__xludf.DUMMYFUNCTION("""COMPUTED_VALUE"""),15425364)</f>
        <v/>
      </c>
      <c r="H107" s="27" t="n"/>
    </row>
    <row r="108" ht="17.25" customHeight="1" s="322">
      <c r="A108" s="27" t="n"/>
      <c r="B108" s="506">
        <f>IFERROR(__xludf.DUMMYFUNCTION("""COMPUTED_VALUE"""),45981.6666666666)</f>
        <v/>
      </c>
      <c r="C108" s="141">
        <f>IFERROR(__xludf.DUMMYFUNCTION("""COMPUTED_VALUE"""),93.13)</f>
        <v/>
      </c>
      <c r="D108" s="141">
        <f>IFERROR(__xludf.DUMMYFUNCTION("""COMPUTED_VALUE"""),93.25)</f>
        <v/>
      </c>
      <c r="E108" s="141">
        <f>IFERROR(__xludf.DUMMYFUNCTION("""COMPUTED_VALUE"""),91.21)</f>
        <v/>
      </c>
      <c r="F108" s="141">
        <f>IFERROR(__xludf.DUMMYFUNCTION("""COMPUTED_VALUE"""),91.24)</f>
        <v/>
      </c>
      <c r="G108" s="143">
        <f>IFERROR(__xludf.DUMMYFUNCTION("""COMPUTED_VALUE"""),26720920)</f>
        <v/>
      </c>
      <c r="H108" s="27" t="n"/>
    </row>
    <row r="109" ht="17.25" customHeight="1" s="322">
      <c r="A109" s="27" t="n"/>
      <c r="B109" s="506">
        <f>IFERROR(__xludf.DUMMYFUNCTION("""COMPUTED_VALUE"""),45982.6666666666)</f>
        <v/>
      </c>
      <c r="C109" s="141">
        <f>IFERROR(__xludf.DUMMYFUNCTION("""COMPUTED_VALUE"""),92.1)</f>
        <v/>
      </c>
      <c r="D109" s="141">
        <f>IFERROR(__xludf.DUMMYFUNCTION("""COMPUTED_VALUE"""),92.9)</f>
        <v/>
      </c>
      <c r="E109" s="141">
        <f>IFERROR(__xludf.DUMMYFUNCTION("""COMPUTED_VALUE"""),91.76)</f>
        <v/>
      </c>
      <c r="F109" s="141">
        <f>IFERROR(__xludf.DUMMYFUNCTION("""COMPUTED_VALUE"""),92.65)</f>
        <v/>
      </c>
      <c r="G109" s="143">
        <f>IFERROR(__xludf.DUMMYFUNCTION("""COMPUTED_VALUE"""),27211439)</f>
        <v/>
      </c>
      <c r="H109" s="27" t="n"/>
    </row>
    <row r="110" ht="17.25" customHeight="1" s="322">
      <c r="A110" s="27" t="n"/>
      <c r="B110" s="506">
        <f>IFERROR(__xludf.DUMMYFUNCTION("""COMPUTED_VALUE"""),45985.6666666666)</f>
        <v/>
      </c>
      <c r="C110" s="141">
        <f>IFERROR(__xludf.DUMMYFUNCTION("""COMPUTED_VALUE"""),92.45)</f>
        <v/>
      </c>
      <c r="D110" s="141">
        <f>IFERROR(__xludf.DUMMYFUNCTION("""COMPUTED_VALUE"""),92.88)</f>
        <v/>
      </c>
      <c r="E110" s="141">
        <f>IFERROR(__xludf.DUMMYFUNCTION("""COMPUTED_VALUE"""),92.34)</f>
        <v/>
      </c>
      <c r="F110" s="141">
        <f>IFERROR(__xludf.DUMMYFUNCTION("""COMPUTED_VALUE"""),92.73)</f>
        <v/>
      </c>
      <c r="G110" s="143">
        <f>IFERROR(__xludf.DUMMYFUNCTION("""COMPUTED_VALUE"""),18550865)</f>
        <v/>
      </c>
      <c r="H110" s="27" t="n"/>
    </row>
    <row r="111" ht="17.25" customHeight="1" s="322">
      <c r="A111" s="27" t="n"/>
      <c r="B111" s="506">
        <f>IFERROR(__xludf.DUMMYFUNCTION("""COMPUTED_VALUE"""),45986.6666666666)</f>
        <v/>
      </c>
      <c r="C111" s="141">
        <f>IFERROR(__xludf.DUMMYFUNCTION("""COMPUTED_VALUE"""),93.13)</f>
        <v/>
      </c>
      <c r="D111" s="141">
        <f>IFERROR(__xludf.DUMMYFUNCTION("""COMPUTED_VALUE"""),93.88)</f>
        <v/>
      </c>
      <c r="E111" s="141">
        <f>IFERROR(__xludf.DUMMYFUNCTION("""COMPUTED_VALUE"""),92.89)</f>
        <v/>
      </c>
      <c r="F111" s="141">
        <f>IFERROR(__xludf.DUMMYFUNCTION("""COMPUTED_VALUE"""),93.84)</f>
        <v/>
      </c>
      <c r="G111" s="143">
        <f>IFERROR(__xludf.DUMMYFUNCTION("""COMPUTED_VALUE"""),19903831)</f>
        <v/>
      </c>
      <c r="H111" s="27" t="n"/>
    </row>
    <row r="112" ht="17.25" customHeight="1" s="322">
      <c r="A112" s="27" t="n"/>
      <c r="B112" s="506">
        <f>IFERROR(__xludf.DUMMYFUNCTION("""COMPUTED_VALUE"""),45987.6666666666)</f>
        <v/>
      </c>
      <c r="C112" s="141">
        <f>IFERROR(__xludf.DUMMYFUNCTION("""COMPUTED_VALUE"""),94.26)</f>
        <v/>
      </c>
      <c r="D112" s="141">
        <f>IFERROR(__xludf.DUMMYFUNCTION("""COMPUTED_VALUE"""),95.01)</f>
        <v/>
      </c>
      <c r="E112" s="141">
        <f>IFERROR(__xludf.DUMMYFUNCTION("""COMPUTED_VALUE"""),94.23)</f>
        <v/>
      </c>
      <c r="F112" s="141">
        <f>IFERROR(__xludf.DUMMYFUNCTION("""COMPUTED_VALUE"""),94.87)</f>
        <v/>
      </c>
      <c r="G112" s="143">
        <f>IFERROR(__xludf.DUMMYFUNCTION("""COMPUTED_VALUE"""),13481192)</f>
        <v/>
      </c>
      <c r="H112" s="27" t="n"/>
    </row>
    <row r="113" ht="17.25" customHeight="1" s="322">
      <c r="A113" s="27" t="n"/>
      <c r="B113" s="506">
        <f>IFERROR(__xludf.DUMMYFUNCTION("""COMPUTED_VALUE"""),45989.5520833333)</f>
        <v/>
      </c>
      <c r="C113" s="141">
        <f>IFERROR(__xludf.DUMMYFUNCTION("""COMPUTED_VALUE"""),94.84)</f>
        <v/>
      </c>
      <c r="D113" s="141">
        <f>IFERROR(__xludf.DUMMYFUNCTION("""COMPUTED_VALUE"""),95.22)</f>
        <v/>
      </c>
      <c r="E113" s="141">
        <f>IFERROR(__xludf.DUMMYFUNCTION("""COMPUTED_VALUE"""),94.74)</f>
        <v/>
      </c>
      <c r="F113" s="141">
        <f>IFERROR(__xludf.DUMMYFUNCTION("""COMPUTED_VALUE"""),95.19)</f>
        <v/>
      </c>
      <c r="G113" s="143">
        <f>IFERROR(__xludf.DUMMYFUNCTION("""COMPUTED_VALUE"""),8136033)</f>
        <v/>
      </c>
      <c r="H113" s="27" t="n"/>
    </row>
    <row r="114" ht="17.25" customHeight="1" s="322">
      <c r="A114" s="27" t="n"/>
      <c r="B114" s="506">
        <f>IFERROR(__xludf.DUMMYFUNCTION("""COMPUTED_VALUE"""),45992.6666666666)</f>
        <v/>
      </c>
      <c r="C114" s="141">
        <f>IFERROR(__xludf.DUMMYFUNCTION("""COMPUTED_VALUE"""),94.92)</f>
        <v/>
      </c>
      <c r="D114" s="141">
        <f>IFERROR(__xludf.DUMMYFUNCTION("""COMPUTED_VALUE"""),95.15)</f>
        <v/>
      </c>
      <c r="E114" s="141">
        <f>IFERROR(__xludf.DUMMYFUNCTION("""COMPUTED_VALUE"""),94.69)</f>
        <v/>
      </c>
      <c r="F114" s="141">
        <f>IFERROR(__xludf.DUMMYFUNCTION("""COMPUTED_VALUE"""),94.72)</f>
        <v/>
      </c>
      <c r="G114" s="143">
        <f>IFERROR(__xludf.DUMMYFUNCTION("""COMPUTED_VALUE"""),21791503)</f>
        <v/>
      </c>
      <c r="H114" s="27" t="n"/>
    </row>
    <row r="115" ht="17.25" customHeight="1" s="322">
      <c r="A115" s="27" t="n"/>
      <c r="B115" s="506">
        <f>IFERROR(__xludf.DUMMYFUNCTION("""COMPUTED_VALUE"""),45993.6666666666)</f>
        <v/>
      </c>
      <c r="C115" s="141">
        <f>IFERROR(__xludf.DUMMYFUNCTION("""COMPUTED_VALUE"""),95.08)</f>
        <v/>
      </c>
      <c r="D115" s="141">
        <f>IFERROR(__xludf.DUMMYFUNCTION("""COMPUTED_VALUE"""),95.13)</f>
        <v/>
      </c>
      <c r="E115" s="141">
        <f>IFERROR(__xludf.DUMMYFUNCTION("""COMPUTED_VALUE"""),94.75)</f>
        <v/>
      </c>
      <c r="F115" s="141">
        <f>IFERROR(__xludf.DUMMYFUNCTION("""COMPUTED_VALUE"""),95.04)</f>
        <v/>
      </c>
      <c r="G115" s="143">
        <f>IFERROR(__xludf.DUMMYFUNCTION("""COMPUTED_VALUE"""),14267613)</f>
        <v/>
      </c>
      <c r="H115" s="27" t="n"/>
    </row>
    <row r="116" ht="17.25" customHeight="1" s="322">
      <c r="A116" s="27" t="n"/>
      <c r="B116" s="506">
        <f>IFERROR(__xludf.DUMMYFUNCTION("""COMPUTED_VALUE"""),45994.6666666666)</f>
        <v/>
      </c>
      <c r="C116" s="141">
        <f>IFERROR(__xludf.DUMMYFUNCTION("""COMPUTED_VALUE"""),95.12)</f>
        <v/>
      </c>
      <c r="D116" s="141">
        <f>IFERROR(__xludf.DUMMYFUNCTION("""COMPUTED_VALUE"""),95.59)</f>
        <v/>
      </c>
      <c r="E116" s="141">
        <f>IFERROR(__xludf.DUMMYFUNCTION("""COMPUTED_VALUE"""),95.1)</f>
        <v/>
      </c>
      <c r="F116" s="141">
        <f>IFERROR(__xludf.DUMMYFUNCTION("""COMPUTED_VALUE"""),95.55)</f>
        <v/>
      </c>
      <c r="G116" s="143">
        <f>IFERROR(__xludf.DUMMYFUNCTION("""COMPUTED_VALUE"""),14439837)</f>
        <v/>
      </c>
      <c r="H116" s="27" t="n"/>
    </row>
    <row r="117" ht="17.25" customHeight="1" s="322">
      <c r="A117" s="27" t="n"/>
      <c r="B117" s="506">
        <f>IFERROR(__xludf.DUMMYFUNCTION("""COMPUTED_VALUE"""),45995.6666666666)</f>
        <v/>
      </c>
      <c r="C117" s="141">
        <f>IFERROR(__xludf.DUMMYFUNCTION("""COMPUTED_VALUE"""),96.08)</f>
        <v/>
      </c>
      <c r="D117" s="141">
        <f>IFERROR(__xludf.DUMMYFUNCTION("""COMPUTED_VALUE"""),96.18)</f>
        <v/>
      </c>
      <c r="E117" s="141">
        <f>IFERROR(__xludf.DUMMYFUNCTION("""COMPUTED_VALUE"""),95.65)</f>
        <v/>
      </c>
      <c r="F117" s="141">
        <f>IFERROR(__xludf.DUMMYFUNCTION("""COMPUTED_VALUE"""),95.81)</f>
        <v/>
      </c>
      <c r="G117" s="143">
        <f>IFERROR(__xludf.DUMMYFUNCTION("""COMPUTED_VALUE"""),13862949)</f>
        <v/>
      </c>
      <c r="H117" s="27" t="n"/>
    </row>
    <row r="118" ht="17.25" customHeight="1" s="322">
      <c r="A118" s="27" t="n"/>
      <c r="B118" s="506">
        <f>IFERROR(__xludf.DUMMYFUNCTION("""COMPUTED_VALUE"""),45996.6666666666)</f>
        <v/>
      </c>
      <c r="C118" s="141">
        <f>IFERROR(__xludf.DUMMYFUNCTION("""COMPUTED_VALUE"""),96.1)</f>
        <v/>
      </c>
      <c r="D118" s="141">
        <f>IFERROR(__xludf.DUMMYFUNCTION("""COMPUTED_VALUE"""),96.23)</f>
        <v/>
      </c>
      <c r="E118" s="141">
        <f>IFERROR(__xludf.DUMMYFUNCTION("""COMPUTED_VALUE"""),95.64)</f>
        <v/>
      </c>
      <c r="F118" s="141">
        <f>IFERROR(__xludf.DUMMYFUNCTION("""COMPUTED_VALUE"""),95.81)</f>
        <v/>
      </c>
      <c r="G118" s="143">
        <f>IFERROR(__xludf.DUMMYFUNCTION("""COMPUTED_VALUE"""),15829874)</f>
        <v/>
      </c>
      <c r="H118" s="27" t="n"/>
    </row>
    <row r="119" ht="17.25" customHeight="1" s="322">
      <c r="A119" s="27" t="n"/>
      <c r="B119" s="506">
        <f>IFERROR(__xludf.DUMMYFUNCTION("""COMPUTED_VALUE"""),45999.6666666666)</f>
        <v/>
      </c>
      <c r="C119" s="141">
        <f>IFERROR(__xludf.DUMMYFUNCTION("""COMPUTED_VALUE"""),95.82)</f>
        <v/>
      </c>
      <c r="D119" s="141">
        <f>IFERROR(__xludf.DUMMYFUNCTION("""COMPUTED_VALUE"""),95.82)</f>
        <v/>
      </c>
      <c r="E119" s="141">
        <f>IFERROR(__xludf.DUMMYFUNCTION("""COMPUTED_VALUE"""),95.36)</f>
        <v/>
      </c>
      <c r="F119" s="141">
        <f>IFERROR(__xludf.DUMMYFUNCTION("""COMPUTED_VALUE"""),95.51)</f>
        <v/>
      </c>
      <c r="G119" s="143">
        <f>IFERROR(__xludf.DUMMYFUNCTION("""COMPUTED_VALUE"""),13589164)</f>
        <v/>
      </c>
      <c r="H119" s="27" t="n"/>
    </row>
    <row r="120" ht="17.25" customHeight="1" s="322">
      <c r="A120" s="27" t="n"/>
      <c r="B120" s="506">
        <f>IFERROR(__xludf.DUMMYFUNCTION("""COMPUTED_VALUE"""),46000.6666666666)</f>
        <v/>
      </c>
      <c r="C120" s="141">
        <f>IFERROR(__xludf.DUMMYFUNCTION("""COMPUTED_VALUE"""),95.6)</f>
        <v/>
      </c>
      <c r="D120" s="141">
        <f>IFERROR(__xludf.DUMMYFUNCTION("""COMPUTED_VALUE"""),95.83)</f>
        <v/>
      </c>
      <c r="E120" s="141">
        <f>IFERROR(__xludf.DUMMYFUNCTION("""COMPUTED_VALUE"""),95.36)</f>
        <v/>
      </c>
      <c r="F120" s="141">
        <f>IFERROR(__xludf.DUMMYFUNCTION("""COMPUTED_VALUE"""),95.38)</f>
        <v/>
      </c>
      <c r="G120" s="143">
        <f>IFERROR(__xludf.DUMMYFUNCTION("""COMPUTED_VALUE"""),15966762)</f>
        <v/>
      </c>
      <c r="H120" s="27" t="n"/>
    </row>
    <row r="121" ht="17.25" customHeight="1" s="322">
      <c r="A121" s="27" t="n"/>
      <c r="B121" s="506">
        <f>IFERROR(__xludf.DUMMYFUNCTION("""COMPUTED_VALUE"""),46001.6666666666)</f>
        <v/>
      </c>
      <c r="C121" s="141">
        <f>IFERROR(__xludf.DUMMYFUNCTION("""COMPUTED_VALUE"""),95.56)</f>
        <v/>
      </c>
      <c r="D121" s="141">
        <f>IFERROR(__xludf.DUMMYFUNCTION("""COMPUTED_VALUE"""),96.6)</f>
        <v/>
      </c>
      <c r="E121" s="141">
        <f>IFERROR(__xludf.DUMMYFUNCTION("""COMPUTED_VALUE"""),95.5)</f>
        <v/>
      </c>
      <c r="F121" s="141">
        <f>IFERROR(__xludf.DUMMYFUNCTION("""COMPUTED_VALUE"""),96.44)</f>
        <v/>
      </c>
      <c r="G121" s="143">
        <f>IFERROR(__xludf.DUMMYFUNCTION("""COMPUTED_VALUE"""),21171779)</f>
        <v/>
      </c>
      <c r="H121" s="27" t="n"/>
    </row>
    <row r="122" ht="17.25" customHeight="1" s="322">
      <c r="A122" s="27" t="n"/>
      <c r="B122" s="506">
        <f>IFERROR(__xludf.DUMMYFUNCTION("""COMPUTED_VALUE"""),46002.6666666666)</f>
        <v/>
      </c>
      <c r="C122" s="141">
        <f>IFERROR(__xludf.DUMMYFUNCTION("""COMPUTED_VALUE"""),96.72)</f>
        <v/>
      </c>
      <c r="D122" s="141">
        <f>IFERROR(__xludf.DUMMYFUNCTION("""COMPUTED_VALUE"""),97.15)</f>
        <v/>
      </c>
      <c r="E122" s="141">
        <f>IFERROR(__xludf.DUMMYFUNCTION("""COMPUTED_VALUE"""),96.63)</f>
        <v/>
      </c>
      <c r="F122" s="141">
        <f>IFERROR(__xludf.DUMMYFUNCTION("""COMPUTED_VALUE"""),97.01)</f>
        <v/>
      </c>
      <c r="G122" s="143">
        <f>IFERROR(__xludf.DUMMYFUNCTION("""COMPUTED_VALUE"""),19221697)</f>
        <v/>
      </c>
      <c r="H122" s="27" t="n"/>
    </row>
    <row r="123" ht="17.25" customHeight="1" s="322">
      <c r="A123" s="27" t="n"/>
      <c r="B123" s="506">
        <f>IFERROR(__xludf.DUMMYFUNCTION("""COMPUTED_VALUE"""),46003.6666666666)</f>
        <v/>
      </c>
      <c r="C123" s="141">
        <f>IFERROR(__xludf.DUMMYFUNCTION("""COMPUTED_VALUE"""),97.06)</f>
        <v/>
      </c>
      <c r="D123" s="141">
        <f>IFERROR(__xludf.DUMMYFUNCTION("""COMPUTED_VALUE"""),97.18)</f>
        <v/>
      </c>
      <c r="E123" s="141">
        <f>IFERROR(__xludf.DUMMYFUNCTION("""COMPUTED_VALUE"""),96.15)</f>
        <v/>
      </c>
      <c r="F123" s="141">
        <f>IFERROR(__xludf.DUMMYFUNCTION("""COMPUTED_VALUE"""),96.5)</f>
        <v/>
      </c>
      <c r="G123" s="143">
        <f>IFERROR(__xludf.DUMMYFUNCTION("""COMPUTED_VALUE"""),20514863)</f>
        <v/>
      </c>
      <c r="H123" s="27" t="n"/>
    </row>
    <row r="124" ht="17.25" customHeight="1" s="322">
      <c r="A124" s="27" t="n"/>
      <c r="B124" s="506">
        <f>IFERROR(__xludf.DUMMYFUNCTION("""COMPUTED_VALUE"""),46006.6666666666)</f>
        <v/>
      </c>
      <c r="C124" s="141">
        <f>IFERROR(__xludf.DUMMYFUNCTION("""COMPUTED_VALUE"""),97.31)</f>
        <v/>
      </c>
      <c r="D124" s="141">
        <f>IFERROR(__xludf.DUMMYFUNCTION("""COMPUTED_VALUE"""),97.42)</f>
        <v/>
      </c>
      <c r="E124" s="141">
        <f>IFERROR(__xludf.DUMMYFUNCTION("""COMPUTED_VALUE"""),96.87)</f>
        <v/>
      </c>
      <c r="F124" s="141">
        <f>IFERROR(__xludf.DUMMYFUNCTION("""COMPUTED_VALUE"""),97.09)</f>
        <v/>
      </c>
      <c r="G124" s="143">
        <f>IFERROR(__xludf.DUMMYFUNCTION("""COMPUTED_VALUE"""),22751908)</f>
        <v/>
      </c>
      <c r="H124" s="27" t="n"/>
    </row>
    <row r="125" ht="17.25" customHeight="1" s="322">
      <c r="A125" s="27" t="n"/>
      <c r="B125" s="506">
        <f>IFERROR(__xludf.DUMMYFUNCTION("""COMPUTED_VALUE"""),46007.6666666666)</f>
        <v/>
      </c>
      <c r="C125" s="141">
        <f>IFERROR(__xludf.DUMMYFUNCTION("""COMPUTED_VALUE"""),95.14)</f>
        <v/>
      </c>
      <c r="D125" s="141">
        <f>IFERROR(__xludf.DUMMYFUNCTION("""COMPUTED_VALUE"""),95.23)</f>
        <v/>
      </c>
      <c r="E125" s="141">
        <f>IFERROR(__xludf.DUMMYFUNCTION("""COMPUTED_VALUE"""),94.6)</f>
        <v/>
      </c>
      <c r="F125" s="141">
        <f>IFERROR(__xludf.DUMMYFUNCTION("""COMPUTED_VALUE"""),94.92)</f>
        <v/>
      </c>
      <c r="G125" s="143">
        <f>IFERROR(__xludf.DUMMYFUNCTION("""COMPUTED_VALUE"""),29380526)</f>
        <v/>
      </c>
      <c r="H125" s="27" t="n"/>
    </row>
    <row r="126" ht="17.25" customHeight="1" s="322">
      <c r="A126" s="27" t="n"/>
      <c r="B126" s="506">
        <f>IFERROR(__xludf.DUMMYFUNCTION("""COMPUTED_VALUE"""),46008.6666666666)</f>
        <v/>
      </c>
      <c r="C126" s="141">
        <f>IFERROR(__xludf.DUMMYFUNCTION("""COMPUTED_VALUE"""),94.73)</f>
        <v/>
      </c>
      <c r="D126" s="141">
        <f>IFERROR(__xludf.DUMMYFUNCTION("""COMPUTED_VALUE"""),94.95)</f>
        <v/>
      </c>
      <c r="E126" s="141">
        <f>IFERROR(__xludf.DUMMYFUNCTION("""COMPUTED_VALUE"""),94.13)</f>
        <v/>
      </c>
      <c r="F126" s="141">
        <f>IFERROR(__xludf.DUMMYFUNCTION("""COMPUTED_VALUE"""),94.15)</f>
        <v/>
      </c>
      <c r="G126" s="143">
        <f>IFERROR(__xludf.DUMMYFUNCTION("""COMPUTED_VALUE"""),34926072)</f>
        <v/>
      </c>
      <c r="H126" s="27" t="n"/>
    </row>
    <row r="127" ht="17.25" customHeight="1" s="322">
      <c r="A127" s="27" t="n"/>
      <c r="B127" s="506">
        <f>IFERROR(__xludf.DUMMYFUNCTION("""COMPUTED_VALUE"""),46009.6666666666)</f>
        <v/>
      </c>
      <c r="C127" s="141">
        <f>IFERROR(__xludf.DUMMYFUNCTION("""COMPUTED_VALUE"""),94.95)</f>
        <v/>
      </c>
      <c r="D127" s="141">
        <f>IFERROR(__xludf.DUMMYFUNCTION("""COMPUTED_VALUE"""),95.31)</f>
        <v/>
      </c>
      <c r="E127" s="141">
        <f>IFERROR(__xludf.DUMMYFUNCTION("""COMPUTED_VALUE"""),94.58)</f>
        <v/>
      </c>
      <c r="F127" s="141">
        <f>IFERROR(__xludf.DUMMYFUNCTION("""COMPUTED_VALUE"""),94.82)</f>
        <v/>
      </c>
      <c r="G127" s="143">
        <f>IFERROR(__xludf.DUMMYFUNCTION("""COMPUTED_VALUE"""),29971362)</f>
        <v/>
      </c>
      <c r="H127" s="27" t="n"/>
    </row>
    <row r="128" ht="17.25" customHeight="1" s="322">
      <c r="A128" s="27" t="n"/>
      <c r="B128" s="506">
        <f>IFERROR(__xludf.DUMMYFUNCTION("""COMPUTED_VALUE"""),46010.6666666666)</f>
        <v/>
      </c>
      <c r="C128" s="141">
        <f>IFERROR(__xludf.DUMMYFUNCTION("""COMPUTED_VALUE"""),95.26)</f>
        <v/>
      </c>
      <c r="D128" s="141">
        <f>IFERROR(__xludf.DUMMYFUNCTION("""COMPUTED_VALUE"""),95.73)</f>
        <v/>
      </c>
      <c r="E128" s="141">
        <f>IFERROR(__xludf.DUMMYFUNCTION("""COMPUTED_VALUE"""),95.21)</f>
        <v/>
      </c>
      <c r="F128" s="141">
        <f>IFERROR(__xludf.DUMMYFUNCTION("""COMPUTED_VALUE"""),95.46)</f>
        <v/>
      </c>
      <c r="G128" s="143">
        <f>IFERROR(__xludf.DUMMYFUNCTION("""COMPUTED_VALUE"""),31094759)</f>
        <v/>
      </c>
      <c r="H128" s="27" t="n"/>
    </row>
    <row r="129" ht="17.25" customHeight="1" s="322">
      <c r="A129" s="27" t="n"/>
      <c r="B129" s="506">
        <f>IFERROR(__xludf.DUMMYFUNCTION("""COMPUTED_VALUE"""),46013.6666666666)</f>
        <v/>
      </c>
      <c r="C129" s="141">
        <f>IFERROR(__xludf.DUMMYFUNCTION("""COMPUTED_VALUE"""),95.47)</f>
        <v/>
      </c>
      <c r="D129" s="141">
        <f>IFERROR(__xludf.DUMMYFUNCTION("""COMPUTED_VALUE"""),95.76)</f>
        <v/>
      </c>
      <c r="E129" s="141">
        <f>IFERROR(__xludf.DUMMYFUNCTION("""COMPUTED_VALUE"""),95.4)</f>
        <v/>
      </c>
      <c r="F129" s="141">
        <f>IFERROR(__xludf.DUMMYFUNCTION("""COMPUTED_VALUE"""),95.7)</f>
        <v/>
      </c>
      <c r="G129" s="143">
        <f>IFERROR(__xludf.DUMMYFUNCTION("""COMPUTED_VALUE"""),15861192)</f>
        <v/>
      </c>
      <c r="H129" s="27" t="n"/>
    </row>
    <row r="130" ht="17.25" customHeight="1" s="322">
      <c r="A130" s="27" t="n"/>
      <c r="B130" s="506">
        <f>IFERROR(__xludf.DUMMYFUNCTION("""COMPUTED_VALUE"""),46014.6666666666)</f>
        <v/>
      </c>
      <c r="C130" s="141">
        <f>IFERROR(__xludf.DUMMYFUNCTION("""COMPUTED_VALUE"""),96.28)</f>
        <v/>
      </c>
      <c r="D130" s="141">
        <f>IFERROR(__xludf.DUMMYFUNCTION("""COMPUTED_VALUE"""),96.44)</f>
        <v/>
      </c>
      <c r="E130" s="141">
        <f>IFERROR(__xludf.DUMMYFUNCTION("""COMPUTED_VALUE"""),96.17)</f>
        <v/>
      </c>
      <c r="F130" s="141">
        <f>IFERROR(__xludf.DUMMYFUNCTION("""COMPUTED_VALUE"""),96.29)</f>
        <v/>
      </c>
      <c r="G130" s="143">
        <f>IFERROR(__xludf.DUMMYFUNCTION("""COMPUTED_VALUE"""),16485891)</f>
        <v/>
      </c>
      <c r="H130" s="27" t="n"/>
    </row>
    <row r="131" ht="17.25" customHeight="1" s="322">
      <c r="A131" s="27" t="n"/>
      <c r="B131" s="506">
        <f>IFERROR(__xludf.DUMMYFUNCTION("""COMPUTED_VALUE"""),46015.5416666666)</f>
        <v/>
      </c>
      <c r="C131" s="141">
        <f>IFERROR(__xludf.DUMMYFUNCTION("""COMPUTED_VALUE"""),96.33)</f>
        <v/>
      </c>
      <c r="D131" s="141">
        <f>IFERROR(__xludf.DUMMYFUNCTION("""COMPUTED_VALUE"""),96.46)</f>
        <v/>
      </c>
      <c r="E131" s="141">
        <f>IFERROR(__xludf.DUMMYFUNCTION("""COMPUTED_VALUE"""),96.19)</f>
        <v/>
      </c>
      <c r="F131" s="141">
        <f>IFERROR(__xludf.DUMMYFUNCTION("""COMPUTED_VALUE"""),96.41)</f>
        <v/>
      </c>
      <c r="G131" s="143">
        <f>IFERROR(__xludf.DUMMYFUNCTION("""COMPUTED_VALUE"""),5609693)</f>
        <v/>
      </c>
      <c r="H131" s="27" t="n"/>
    </row>
    <row r="132" ht="17.25" customHeight="1" s="322">
      <c r="A132" s="27" t="n"/>
      <c r="B132" s="506">
        <f>IFERROR(__xludf.DUMMYFUNCTION("""COMPUTED_VALUE"""),46017.6666666666)</f>
        <v/>
      </c>
      <c r="C132" s="141">
        <f>IFERROR(__xludf.DUMMYFUNCTION("""COMPUTED_VALUE"""),96.53)</f>
        <v/>
      </c>
      <c r="D132" s="141">
        <f>IFERROR(__xludf.DUMMYFUNCTION("""COMPUTED_VALUE"""),96.6)</f>
        <v/>
      </c>
      <c r="E132" s="141">
        <f>IFERROR(__xludf.DUMMYFUNCTION("""COMPUTED_VALUE"""),96.34)</f>
        <v/>
      </c>
      <c r="F132" s="141">
        <f>IFERROR(__xludf.DUMMYFUNCTION("""COMPUTED_VALUE"""),96.57)</f>
        <v/>
      </c>
      <c r="G132" s="143">
        <f>IFERROR(__xludf.DUMMYFUNCTION("""COMPUTED_VALUE"""),9304222)</f>
        <v/>
      </c>
      <c r="H132" s="27" t="n"/>
    </row>
    <row r="133" ht="17.25" customHeight="1" s="322">
      <c r="A133" s="27" t="n"/>
      <c r="B133" s="506">
        <f>IFERROR(__xludf.DUMMYFUNCTION("""COMPUTED_VALUE"""),46020.6666666666)</f>
        <v/>
      </c>
      <c r="C133" s="141">
        <f>IFERROR(__xludf.DUMMYFUNCTION("""COMPUTED_VALUE"""),96.26)</f>
        <v/>
      </c>
      <c r="D133" s="141">
        <f>IFERROR(__xludf.DUMMYFUNCTION("""COMPUTED_VALUE"""),96.47)</f>
        <v/>
      </c>
      <c r="E133" s="141">
        <f>IFERROR(__xludf.DUMMYFUNCTION("""COMPUTED_VALUE"""),96.06)</f>
        <v/>
      </c>
      <c r="F133" s="141">
        <f>IFERROR(__xludf.DUMMYFUNCTION("""COMPUTED_VALUE"""),96.28)</f>
        <v/>
      </c>
      <c r="G133" s="143">
        <f>IFERROR(__xludf.DUMMYFUNCTION("""COMPUTED_VALUE"""),16705457)</f>
        <v/>
      </c>
      <c r="H133" s="27" t="n"/>
    </row>
    <row r="134" ht="17.25" customHeight="1" s="322">
      <c r="A134" s="27" t="n"/>
      <c r="B134" s="506">
        <f>IFERROR(__xludf.DUMMYFUNCTION("""COMPUTED_VALUE"""),46021.6666666666)</f>
        <v/>
      </c>
      <c r="C134" s="141">
        <f>IFERROR(__xludf.DUMMYFUNCTION("""COMPUTED_VALUE"""),96.63)</f>
        <v/>
      </c>
      <c r="D134" s="141">
        <f>IFERROR(__xludf.DUMMYFUNCTION("""COMPUTED_VALUE"""),96.8)</f>
        <v/>
      </c>
      <c r="E134" s="141">
        <f>IFERROR(__xludf.DUMMYFUNCTION("""COMPUTED_VALUE"""),96.42)</f>
        <v/>
      </c>
      <c r="F134" s="141">
        <f>IFERROR(__xludf.DUMMYFUNCTION("""COMPUTED_VALUE"""),96.44)</f>
        <v/>
      </c>
      <c r="G134" s="143">
        <f>IFERROR(__xludf.DUMMYFUNCTION("""COMPUTED_VALUE"""),15876987)</f>
        <v/>
      </c>
      <c r="H134" s="27" t="n"/>
    </row>
    <row r="135" ht="17.25" customHeight="1" s="322">
      <c r="A135" s="27" t="n"/>
      <c r="B135" s="506">
        <f>IFERROR(__xludf.DUMMYFUNCTION("""COMPUTED_VALUE"""),46022.6666666666)</f>
        <v/>
      </c>
      <c r="C135" s="141">
        <f>IFERROR(__xludf.DUMMYFUNCTION("""COMPUTED_VALUE"""),96.33)</f>
        <v/>
      </c>
      <c r="D135" s="141">
        <f>IFERROR(__xludf.DUMMYFUNCTION("""COMPUTED_VALUE"""),96.39)</f>
        <v/>
      </c>
      <c r="E135" s="141">
        <f>IFERROR(__xludf.DUMMYFUNCTION("""COMPUTED_VALUE"""),95.92)</f>
        <v/>
      </c>
      <c r="F135" s="141">
        <f>IFERROR(__xludf.DUMMYFUNCTION("""COMPUTED_VALUE"""),96.03)</f>
        <v/>
      </c>
      <c r="G135" s="143">
        <f>IFERROR(__xludf.DUMMYFUNCTION("""COMPUTED_VALUE"""),27618024)</f>
        <v/>
      </c>
      <c r="H135" s="27" t="n"/>
    </row>
    <row r="136" ht="17.25" customHeight="1" s="322">
      <c r="A136" s="27" t="n"/>
      <c r="B136" s="506">
        <f>IFERROR(__xludf.DUMMYFUNCTION("""COMPUTED_VALUE"""),46024.6666666666)</f>
        <v/>
      </c>
      <c r="C136" s="141">
        <f>IFERROR(__xludf.DUMMYFUNCTION("""COMPUTED_VALUE"""),97.03)</f>
        <v/>
      </c>
      <c r="D136" s="141">
        <f>IFERROR(__xludf.DUMMYFUNCTION("""COMPUTED_VALUE"""),97.11)</f>
        <v/>
      </c>
      <c r="E136" s="141">
        <f>IFERROR(__xludf.DUMMYFUNCTION("""COMPUTED_VALUE"""),96.51)</f>
        <v/>
      </c>
      <c r="F136" s="141">
        <f>IFERROR(__xludf.DUMMYFUNCTION("""COMPUTED_VALUE"""),97.04)</f>
        <v/>
      </c>
      <c r="G136" s="143">
        <f>IFERROR(__xludf.DUMMYFUNCTION("""COMPUTED_VALUE"""),42922553)</f>
        <v/>
      </c>
      <c r="H136" s="27" t="n"/>
    </row>
    <row r="137" ht="17.25" customHeight="1" s="322">
      <c r="A137" s="27" t="n"/>
      <c r="B137" s="506">
        <f>IFERROR(__xludf.DUMMYFUNCTION("""COMPUTED_VALUE"""),46027.6666666666)</f>
        <v/>
      </c>
      <c r="C137" s="141">
        <f>IFERROR(__xludf.DUMMYFUNCTION("""COMPUTED_VALUE"""),97.26)</f>
        <v/>
      </c>
      <c r="D137" s="141">
        <f>IFERROR(__xludf.DUMMYFUNCTION("""COMPUTED_VALUE"""),98.15)</f>
        <v/>
      </c>
      <c r="E137" s="141">
        <f>IFERROR(__xludf.DUMMYFUNCTION("""COMPUTED_VALUE"""),97.23)</f>
        <v/>
      </c>
      <c r="F137" s="141">
        <f>IFERROR(__xludf.DUMMYFUNCTION("""COMPUTED_VALUE"""),98.15)</f>
        <v/>
      </c>
      <c r="G137" s="143">
        <f>IFERROR(__xludf.DUMMYFUNCTION("""COMPUTED_VALUE"""),25186954)</f>
        <v/>
      </c>
      <c r="H137" s="27" t="n"/>
    </row>
    <row r="138" ht="17.25" customHeight="1" s="322">
      <c r="A138" s="27" t="n"/>
      <c r="B138" s="506">
        <f>IFERROR(__xludf.DUMMYFUNCTION("""COMPUTED_VALUE"""),46028.6666666666)</f>
        <v/>
      </c>
      <c r="C138" s="141">
        <f>IFERROR(__xludf.DUMMYFUNCTION("""COMPUTED_VALUE"""),98.31)</f>
        <v/>
      </c>
      <c r="D138" s="141">
        <f>IFERROR(__xludf.DUMMYFUNCTION("""COMPUTED_VALUE"""),98.48)</f>
        <v/>
      </c>
      <c r="E138" s="141">
        <f>IFERROR(__xludf.DUMMYFUNCTION("""COMPUTED_VALUE"""),98.13)</f>
        <v/>
      </c>
      <c r="F138" s="141">
        <f>IFERROR(__xludf.DUMMYFUNCTION("""COMPUTED_VALUE"""),98.3)</f>
        <v/>
      </c>
      <c r="G138" s="143">
        <f>IFERROR(__xludf.DUMMYFUNCTION("""COMPUTED_VALUE"""),14557983)</f>
        <v/>
      </c>
      <c r="H138" s="27" t="n"/>
    </row>
    <row r="139" ht="17.25" customHeight="1" s="322">
      <c r="A139" s="27" t="n"/>
      <c r="B139" s="506">
        <f>IFERROR(__xludf.DUMMYFUNCTION("""COMPUTED_VALUE"""),46029.6666666666)</f>
        <v/>
      </c>
      <c r="C139" s="141">
        <f>IFERROR(__xludf.DUMMYFUNCTION("""COMPUTED_VALUE"""),98.14)</f>
        <v/>
      </c>
      <c r="D139" s="141">
        <f>IFERROR(__xludf.DUMMYFUNCTION("""COMPUTED_VALUE"""),98.21)</f>
        <v/>
      </c>
      <c r="E139" s="141">
        <f>IFERROR(__xludf.DUMMYFUNCTION("""COMPUTED_VALUE"""),97.84)</f>
        <v/>
      </c>
      <c r="F139" s="141">
        <f>IFERROR(__xludf.DUMMYFUNCTION("""COMPUTED_VALUE"""),97.93)</f>
        <v/>
      </c>
      <c r="G139" s="143">
        <f>IFERROR(__xludf.DUMMYFUNCTION("""COMPUTED_VALUE"""),15468958)</f>
        <v/>
      </c>
      <c r="H139" s="27" t="n"/>
    </row>
    <row r="140" ht="17.25" customHeight="1" s="322">
      <c r="A140" s="27" t="n"/>
      <c r="B140" s="506">
        <f>IFERROR(__xludf.DUMMYFUNCTION("""COMPUTED_VALUE"""),46030.6666666666)</f>
        <v/>
      </c>
      <c r="C140" s="141">
        <f>IFERROR(__xludf.DUMMYFUNCTION("""COMPUTED_VALUE"""),97.56)</f>
        <v/>
      </c>
      <c r="D140" s="141">
        <f>IFERROR(__xludf.DUMMYFUNCTION("""COMPUTED_VALUE"""),97.95)</f>
        <v/>
      </c>
      <c r="E140" s="141">
        <f>IFERROR(__xludf.DUMMYFUNCTION("""COMPUTED_VALUE"""),97.53)</f>
        <v/>
      </c>
      <c r="F140" s="141">
        <f>IFERROR(__xludf.DUMMYFUNCTION("""COMPUTED_VALUE"""),97.94)</f>
        <v/>
      </c>
      <c r="G140" s="143">
        <f>IFERROR(__xludf.DUMMYFUNCTION("""COMPUTED_VALUE"""),14090757)</f>
        <v/>
      </c>
      <c r="H140" s="27" t="n"/>
    </row>
    <row r="141" ht="17.25" customHeight="1" s="322">
      <c r="A141" s="27" t="n"/>
      <c r="B141" s="506">
        <f>IFERROR(__xludf.DUMMYFUNCTION("""COMPUTED_VALUE"""),46031.6666666666)</f>
        <v/>
      </c>
      <c r="C141" s="141">
        <f>IFERROR(__xludf.DUMMYFUNCTION("""COMPUTED_VALUE"""),98.42)</f>
        <v/>
      </c>
      <c r="D141" s="141">
        <f>IFERROR(__xludf.DUMMYFUNCTION("""COMPUTED_VALUE"""),98.89)</f>
        <v/>
      </c>
      <c r="E141" s="141">
        <f>IFERROR(__xludf.DUMMYFUNCTION("""COMPUTED_VALUE"""),98.33)</f>
        <v/>
      </c>
      <c r="F141" s="141">
        <f>IFERROR(__xludf.DUMMYFUNCTION("""COMPUTED_VALUE"""),98.81)</f>
        <v/>
      </c>
      <c r="G141" s="143">
        <f>IFERROR(__xludf.DUMMYFUNCTION("""COMPUTED_VALUE"""),16001759)</f>
        <v/>
      </c>
      <c r="H141" s="27" t="n"/>
    </row>
    <row r="142" ht="17.25" customHeight="1" s="322">
      <c r="A142" s="27" t="n"/>
      <c r="B142" s="506">
        <f>IFERROR(__xludf.DUMMYFUNCTION("""COMPUTED_VALUE"""),46034.6666666666)</f>
        <v/>
      </c>
      <c r="C142" s="141">
        <f>IFERROR(__xludf.DUMMYFUNCTION("""COMPUTED_VALUE"""),99.15)</f>
        <v/>
      </c>
      <c r="D142" s="141">
        <f>IFERROR(__xludf.DUMMYFUNCTION("""COMPUTED_VALUE"""),99.44)</f>
        <v/>
      </c>
      <c r="E142" s="141">
        <f>IFERROR(__xludf.DUMMYFUNCTION("""COMPUTED_VALUE"""),99.12)</f>
        <v/>
      </c>
      <c r="F142" s="141">
        <f>IFERROR(__xludf.DUMMYFUNCTION("""COMPUTED_VALUE"""),99.41)</f>
        <v/>
      </c>
      <c r="G142" s="143">
        <f>IFERROR(__xludf.DUMMYFUNCTION("""COMPUTED_VALUE"""),15313534)</f>
        <v/>
      </c>
      <c r="H142" s="27" t="n"/>
    </row>
    <row r="143" ht="17.25" customHeight="1" s="322">
      <c r="A143" s="27" t="n"/>
      <c r="B143" s="506">
        <f>IFERROR(__xludf.DUMMYFUNCTION("""COMPUTED_VALUE"""),46035.6666666666)</f>
        <v/>
      </c>
      <c r="C143" s="141">
        <f>IFERROR(__xludf.DUMMYFUNCTION("""COMPUTED_VALUE"""),99.23)</f>
        <v/>
      </c>
      <c r="D143" s="141">
        <f>IFERROR(__xludf.DUMMYFUNCTION("""COMPUTED_VALUE"""),99.25)</f>
        <v/>
      </c>
      <c r="E143" s="141">
        <f>IFERROR(__xludf.DUMMYFUNCTION("""COMPUTED_VALUE"""),98.65)</f>
        <v/>
      </c>
      <c r="F143" s="141">
        <f>IFERROR(__xludf.DUMMYFUNCTION("""COMPUTED_VALUE"""),98.84)</f>
        <v/>
      </c>
      <c r="G143" s="143">
        <f>IFERROR(__xludf.DUMMYFUNCTION("""COMPUTED_VALUE"""),17697978)</f>
        <v/>
      </c>
      <c r="H143" s="27" t="n"/>
    </row>
    <row r="144" ht="17.25" customHeight="1" s="322">
      <c r="A144" s="27" t="n"/>
      <c r="B144" s="506">
        <f>IFERROR(__xludf.DUMMYFUNCTION("""COMPUTED_VALUE"""),46036.6666666666)</f>
        <v/>
      </c>
      <c r="C144" s="141">
        <f>IFERROR(__xludf.DUMMYFUNCTION("""COMPUTED_VALUE"""),99.19)</f>
        <v/>
      </c>
      <c r="D144" s="141">
        <f>IFERROR(__xludf.DUMMYFUNCTION("""COMPUTED_VALUE"""),99.37)</f>
        <v/>
      </c>
      <c r="E144" s="141">
        <f>IFERROR(__xludf.DUMMYFUNCTION("""COMPUTED_VALUE"""),98.98)</f>
        <v/>
      </c>
      <c r="F144" s="141">
        <f>IFERROR(__xludf.DUMMYFUNCTION("""COMPUTED_VALUE"""),99.3)</f>
        <v/>
      </c>
      <c r="G144" s="143">
        <f>IFERROR(__xludf.DUMMYFUNCTION("""COMPUTED_VALUE"""),19947519)</f>
        <v/>
      </c>
      <c r="H144" s="27" t="n"/>
    </row>
    <row r="145" ht="17.25" customHeight="1" s="322">
      <c r="A145" s="27" t="n"/>
      <c r="B145" s="506">
        <f>IFERROR(__xludf.DUMMYFUNCTION("""COMPUTED_VALUE"""),46037.6666666666)</f>
        <v/>
      </c>
      <c r="C145" s="141">
        <f>IFERROR(__xludf.DUMMYFUNCTION("""COMPUTED_VALUE"""),99.62)</f>
        <v/>
      </c>
      <c r="D145" s="141">
        <f>IFERROR(__xludf.DUMMYFUNCTION("""COMPUTED_VALUE"""),99.62)</f>
        <v/>
      </c>
      <c r="E145" s="141">
        <f>IFERROR(__xludf.DUMMYFUNCTION("""COMPUTED_VALUE"""),99.22)</f>
        <v/>
      </c>
      <c r="F145" s="141">
        <f>IFERROR(__xludf.DUMMYFUNCTION("""COMPUTED_VALUE"""),99.26)</f>
        <v/>
      </c>
      <c r="G145" s="143">
        <f>IFERROR(__xludf.DUMMYFUNCTION("""COMPUTED_VALUE"""),24662623)</f>
        <v/>
      </c>
      <c r="H145" s="27" t="n"/>
    </row>
    <row r="146" ht="17.25" customHeight="1" s="322">
      <c r="A146" s="27" t="n"/>
      <c r="B146" s="506">
        <f>IFERROR(__xludf.DUMMYFUNCTION("""COMPUTED_VALUE"""),46038.6666666666)</f>
        <v/>
      </c>
      <c r="C146" s="141">
        <f>IFERROR(__xludf.DUMMYFUNCTION("""COMPUTED_VALUE"""),99.42)</f>
        <v/>
      </c>
      <c r="D146" s="141">
        <f>IFERROR(__xludf.DUMMYFUNCTION("""COMPUTED_VALUE"""),99.54)</f>
        <v/>
      </c>
      <c r="E146" s="141">
        <f>IFERROR(__xludf.DUMMYFUNCTION("""COMPUTED_VALUE"""),99.06)</f>
        <v/>
      </c>
      <c r="F146" s="141">
        <f>IFERROR(__xludf.DUMMYFUNCTION("""COMPUTED_VALUE"""),99.53)</f>
        <v/>
      </c>
      <c r="G146" s="143">
        <f>IFERROR(__xludf.DUMMYFUNCTION("""COMPUTED_VALUE"""),18699264)</f>
        <v/>
      </c>
      <c r="H146" s="27" t="n"/>
    </row>
    <row r="147" ht="17.25" customHeight="1" s="322">
      <c r="A147" s="27" t="n"/>
      <c r="B147" s="506">
        <f>IFERROR(__xludf.DUMMYFUNCTION("""COMPUTED_VALUE"""),46042.6666666666)</f>
        <v/>
      </c>
      <c r="C147" s="141">
        <f>IFERROR(__xludf.DUMMYFUNCTION("""COMPUTED_VALUE"""),98)</f>
        <v/>
      </c>
      <c r="D147" s="141">
        <f>IFERROR(__xludf.DUMMYFUNCTION("""COMPUTED_VALUE"""),98.69)</f>
        <v/>
      </c>
      <c r="E147" s="141">
        <f>IFERROR(__xludf.DUMMYFUNCTION("""COMPUTED_VALUE"""),97.86)</f>
        <v/>
      </c>
      <c r="F147" s="141">
        <f>IFERROR(__xludf.DUMMYFUNCTION("""COMPUTED_VALUE"""),98.02)</f>
        <v/>
      </c>
      <c r="G147" s="143">
        <f>IFERROR(__xludf.DUMMYFUNCTION("""COMPUTED_VALUE"""),26893281)</f>
        <v/>
      </c>
      <c r="H147" s="27" t="n"/>
    </row>
    <row r="148" ht="17.25" customHeight="1" s="322">
      <c r="A148" s="27" t="n"/>
      <c r="B148" s="506">
        <f>IFERROR(__xludf.DUMMYFUNCTION("""COMPUTED_VALUE"""),46043.6666666666)</f>
        <v/>
      </c>
      <c r="C148" s="141">
        <f>IFERROR(__xludf.DUMMYFUNCTION("""COMPUTED_VALUE"""),98.27)</f>
        <v/>
      </c>
      <c r="D148" s="141">
        <f>IFERROR(__xludf.DUMMYFUNCTION("""COMPUTED_VALUE"""),99.28)</f>
        <v/>
      </c>
      <c r="E148" s="141">
        <f>IFERROR(__xludf.DUMMYFUNCTION("""COMPUTED_VALUE"""),97.89)</f>
        <v/>
      </c>
      <c r="F148" s="141">
        <f>IFERROR(__xludf.DUMMYFUNCTION("""COMPUTED_VALUE"""),99.03)</f>
        <v/>
      </c>
      <c r="G148" s="143">
        <f>IFERROR(__xludf.DUMMYFUNCTION("""COMPUTED_VALUE"""),26150514)</f>
        <v/>
      </c>
      <c r="H148" s="27" t="n"/>
    </row>
    <row r="149" ht="17.25" customHeight="1" s="322">
      <c r="A149" s="27" t="n"/>
      <c r="B149" s="506">
        <f>IFERROR(__xludf.DUMMYFUNCTION("""COMPUTED_VALUE"""),46044.6666666666)</f>
        <v/>
      </c>
      <c r="C149" s="141">
        <f>IFERROR(__xludf.DUMMYFUNCTION("""COMPUTED_VALUE"""),99.39)</f>
        <v/>
      </c>
      <c r="D149" s="141">
        <f>IFERROR(__xludf.DUMMYFUNCTION("""COMPUTED_VALUE"""),99.67)</f>
        <v/>
      </c>
      <c r="E149" s="141">
        <f>IFERROR(__xludf.DUMMYFUNCTION("""COMPUTED_VALUE"""),99.18)</f>
        <v/>
      </c>
      <c r="F149" s="141">
        <f>IFERROR(__xludf.DUMMYFUNCTION("""COMPUTED_VALUE"""),99.42)</f>
        <v/>
      </c>
      <c r="G149" s="143">
        <f>IFERROR(__xludf.DUMMYFUNCTION("""COMPUTED_VALUE"""),16592844)</f>
        <v/>
      </c>
      <c r="H149" s="27" t="n"/>
    </row>
    <row r="150" ht="17.25" customHeight="1" s="322">
      <c r="A150" s="27" t="n"/>
      <c r="B150" s="506">
        <f>IFERROR(__xludf.DUMMYFUNCTION("""COMPUTED_VALUE"""),46045.6666666666)</f>
        <v/>
      </c>
      <c r="C150" s="141">
        <f>IFERROR(__xludf.DUMMYFUNCTION("""COMPUTED_VALUE"""),99.17)</f>
        <v/>
      </c>
      <c r="D150" s="141">
        <f>IFERROR(__xludf.DUMMYFUNCTION("""COMPUTED_VALUE"""),100)</f>
        <v/>
      </c>
      <c r="E150" s="141">
        <f>IFERROR(__xludf.DUMMYFUNCTION("""COMPUTED_VALUE"""),99)</f>
        <v/>
      </c>
      <c r="F150" s="141">
        <f>IFERROR(__xludf.DUMMYFUNCTION("""COMPUTED_VALUE"""),99.97)</f>
        <v/>
      </c>
      <c r="G150" s="143">
        <f>IFERROR(__xludf.DUMMYFUNCTION("""COMPUTED_VALUE"""),16753537)</f>
        <v/>
      </c>
      <c r="H150" s="27" t="n"/>
    </row>
    <row r="151" ht="17.25" customHeight="1" s="322">
      <c r="A151" s="27" t="n"/>
      <c r="B151" s="506">
        <f>IFERROR(__xludf.DUMMYFUNCTION("""COMPUTED_VALUE"""),46048.6666666666)</f>
        <v/>
      </c>
      <c r="C151" s="141">
        <f>IFERROR(__xludf.DUMMYFUNCTION("""COMPUTED_VALUE"""),100.54)</f>
        <v/>
      </c>
      <c r="D151" s="141">
        <f>IFERROR(__xludf.DUMMYFUNCTION("""COMPUTED_VALUE"""),100.83)</f>
        <v/>
      </c>
      <c r="E151" s="141">
        <f>IFERROR(__xludf.DUMMYFUNCTION("""COMPUTED_VALUE"""),100.46)</f>
        <v/>
      </c>
      <c r="F151" s="141">
        <f>IFERROR(__xludf.DUMMYFUNCTION("""COMPUTED_VALUE"""),100.47)</f>
        <v/>
      </c>
      <c r="G151" s="143">
        <f>IFERROR(__xludf.DUMMYFUNCTION("""COMPUTED_VALUE"""),14959320)</f>
        <v/>
      </c>
      <c r="H151" s="27" t="n"/>
    </row>
    <row r="152" ht="17.25" customHeight="1" s="322">
      <c r="A152" s="27" t="n"/>
      <c r="B152" s="506">
        <f>IFERROR(__xludf.DUMMYFUNCTION("""COMPUTED_VALUE"""),46049.6666666666)</f>
        <v/>
      </c>
      <c r="C152" s="141">
        <f>IFERROR(__xludf.DUMMYFUNCTION("""COMPUTED_VALUE"""),101.47)</f>
        <v/>
      </c>
      <c r="D152" s="141">
        <f>IFERROR(__xludf.DUMMYFUNCTION("""COMPUTED_VALUE"""),102.32)</f>
        <v/>
      </c>
      <c r="E152" s="141">
        <f>IFERROR(__xludf.DUMMYFUNCTION("""COMPUTED_VALUE"""),101.43)</f>
        <v/>
      </c>
      <c r="F152" s="141">
        <f>IFERROR(__xludf.DUMMYFUNCTION("""COMPUTED_VALUE"""),102.09)</f>
        <v/>
      </c>
      <c r="G152" s="143">
        <f>IFERROR(__xludf.DUMMYFUNCTION("""COMPUTED_VALUE"""),19754257)</f>
        <v/>
      </c>
      <c r="H152" s="27" t="n"/>
    </row>
    <row r="153" ht="17.25" customHeight="1" s="322">
      <c r="A153" s="27" t="n"/>
      <c r="B153" s="506">
        <f>IFERROR(__xludf.DUMMYFUNCTION("""COMPUTED_VALUE"""),46050.6666666666)</f>
        <v/>
      </c>
      <c r="C153" s="141">
        <f>IFERROR(__xludf.DUMMYFUNCTION("""COMPUTED_VALUE"""),101.19)</f>
        <v/>
      </c>
      <c r="D153" s="141">
        <f>IFERROR(__xludf.DUMMYFUNCTION("""COMPUTED_VALUE"""),101.36)</f>
        <v/>
      </c>
      <c r="E153" s="141">
        <f>IFERROR(__xludf.DUMMYFUNCTION("""COMPUTED_VALUE"""),100.56)</f>
        <v/>
      </c>
      <c r="F153" s="141">
        <f>IFERROR(__xludf.DUMMYFUNCTION("""COMPUTED_VALUE"""),101.01)</f>
        <v/>
      </c>
      <c r="G153" s="143">
        <f>IFERROR(__xludf.DUMMYFUNCTION("""COMPUTED_VALUE"""),21938778)</f>
        <v/>
      </c>
      <c r="H153" s="27" t="n"/>
    </row>
    <row r="154" ht="17.25" customHeight="1" s="322">
      <c r="A154" s="27" t="n"/>
      <c r="B154" s="506">
        <f>IFERROR(__xludf.DUMMYFUNCTION("""COMPUTED_VALUE"""),46051.6666666666)</f>
        <v/>
      </c>
      <c r="C154" s="141">
        <f>IFERROR(__xludf.DUMMYFUNCTION("""COMPUTED_VALUE"""),102.02)</f>
        <v/>
      </c>
      <c r="D154" s="141">
        <f>IFERROR(__xludf.DUMMYFUNCTION("""COMPUTED_VALUE"""),102.1)</f>
        <v/>
      </c>
      <c r="E154" s="141">
        <f>IFERROR(__xludf.DUMMYFUNCTION("""COMPUTED_VALUE"""),100.56)</f>
        <v/>
      </c>
      <c r="F154" s="141">
        <f>IFERROR(__xludf.DUMMYFUNCTION("""COMPUTED_VALUE"""),101.69)</f>
        <v/>
      </c>
      <c r="G154" s="143">
        <f>IFERROR(__xludf.DUMMYFUNCTION("""COMPUTED_VALUE"""),29236249)</f>
        <v/>
      </c>
      <c r="H154" s="27" t="n"/>
    </row>
    <row r="155" ht="17.25" customHeight="1" s="322">
      <c r="A155" s="27" t="n"/>
      <c r="B155" s="506">
        <f>IFERROR(__xludf.DUMMYFUNCTION("""COMPUTED_VALUE"""),46052.6666666666)</f>
        <v/>
      </c>
      <c r="C155" s="141">
        <f>IFERROR(__xludf.DUMMYFUNCTION("""COMPUTED_VALUE"""),101.35)</f>
        <v/>
      </c>
      <c r="D155" s="141">
        <f>IFERROR(__xludf.DUMMYFUNCTION("""COMPUTED_VALUE"""),101.54)</f>
        <v/>
      </c>
      <c r="E155" s="141">
        <f>IFERROR(__xludf.DUMMYFUNCTION("""COMPUTED_VALUE"""),100.37)</f>
        <v/>
      </c>
      <c r="F155" s="141">
        <f>IFERROR(__xludf.DUMMYFUNCTION("""COMPUTED_VALUE"""),100.74)</f>
        <v/>
      </c>
      <c r="G155" s="143">
        <f>IFERROR(__xludf.DUMMYFUNCTION("""COMPUTED_VALUE"""),27813416)</f>
        <v/>
      </c>
      <c r="H155" s="27" t="n"/>
    </row>
    <row r="156" ht="17.25" customHeight="1" s="322">
      <c r="A156" s="27" t="n"/>
      <c r="B156" s="506">
        <f>IFERROR(__xludf.DUMMYFUNCTION("""COMPUTED_VALUE"""),46055.6666666666)</f>
        <v/>
      </c>
      <c r="C156" s="141">
        <f>IFERROR(__xludf.DUMMYFUNCTION("""COMPUTED_VALUE"""),100.88)</f>
        <v/>
      </c>
      <c r="D156" s="141">
        <f>IFERROR(__xludf.DUMMYFUNCTION("""COMPUTED_VALUE"""),101.55)</f>
        <v/>
      </c>
      <c r="E156" s="141">
        <f>IFERROR(__xludf.DUMMYFUNCTION("""COMPUTED_VALUE"""),100.82)</f>
        <v/>
      </c>
      <c r="F156" s="141">
        <f>IFERROR(__xludf.DUMMYFUNCTION("""COMPUTED_VALUE"""),101.4)</f>
        <v/>
      </c>
      <c r="G156" s="143">
        <f>IFERROR(__xludf.DUMMYFUNCTION("""COMPUTED_VALUE"""),21725501)</f>
        <v/>
      </c>
      <c r="H156" s="27" t="n"/>
    </row>
    <row r="157" ht="17.25" customHeight="1" s="322">
      <c r="A157" s="27" t="n"/>
      <c r="B157" s="506">
        <f>IFERROR(__xludf.DUMMYFUNCTION("""COMPUTED_VALUE"""),46056.6666666666)</f>
        <v/>
      </c>
      <c r="C157" s="141">
        <f>IFERROR(__xludf.DUMMYFUNCTION("""COMPUTED_VALUE"""),101.14)</f>
        <v/>
      </c>
      <c r="D157" s="141">
        <f>IFERROR(__xludf.DUMMYFUNCTION("""COMPUTED_VALUE"""),101.66)</f>
        <v/>
      </c>
      <c r="E157" s="141">
        <f>IFERROR(__xludf.DUMMYFUNCTION("""COMPUTED_VALUE"""),100.64)</f>
        <v/>
      </c>
      <c r="F157" s="141">
        <f>IFERROR(__xludf.DUMMYFUNCTION("""COMPUTED_VALUE"""),101.45)</f>
        <v/>
      </c>
      <c r="G157" s="143">
        <f>IFERROR(__xludf.DUMMYFUNCTION("""COMPUTED_VALUE"""),23625727)</f>
        <v/>
      </c>
      <c r="H157" s="27" t="n"/>
    </row>
    <row r="158" ht="17.25" customHeight="1" s="322">
      <c r="A158" s="27" t="n"/>
      <c r="B158" s="506">
        <f>IFERROR(__xludf.DUMMYFUNCTION("""COMPUTED_VALUE"""),46057.6666666666)</f>
        <v/>
      </c>
      <c r="C158" s="141">
        <f>IFERROR(__xludf.DUMMYFUNCTION("""COMPUTED_VALUE"""),102.47)</f>
        <v/>
      </c>
      <c r="D158" s="141">
        <f>IFERROR(__xludf.DUMMYFUNCTION("""COMPUTED_VALUE"""),102.67)</f>
        <v/>
      </c>
      <c r="E158" s="141">
        <f>IFERROR(__xludf.DUMMYFUNCTION("""COMPUTED_VALUE"""),101.37)</f>
        <v/>
      </c>
      <c r="F158" s="141">
        <f>IFERROR(__xludf.DUMMYFUNCTION("""COMPUTED_VALUE"""),101.78)</f>
        <v/>
      </c>
      <c r="G158" s="143">
        <f>IFERROR(__xludf.DUMMYFUNCTION("""COMPUTED_VALUE"""),25576679)</f>
        <v/>
      </c>
      <c r="H158" s="27" t="n"/>
    </row>
    <row r="159" ht="17.25" customHeight="1" s="322">
      <c r="A159" s="27" t="n"/>
      <c r="B159" s="506">
        <f>IFERROR(__xludf.DUMMYFUNCTION("""COMPUTED_VALUE"""),46058.6666666666)</f>
        <v/>
      </c>
      <c r="C159" s="141">
        <f>IFERROR(__xludf.DUMMYFUNCTION("""COMPUTED_VALUE"""),100.62)</f>
        <v/>
      </c>
      <c r="D159" s="141">
        <f>IFERROR(__xludf.DUMMYFUNCTION("""COMPUTED_VALUE"""),101.15)</f>
        <v/>
      </c>
      <c r="E159" s="141">
        <f>IFERROR(__xludf.DUMMYFUNCTION("""COMPUTED_VALUE"""),100.27)</f>
        <v/>
      </c>
      <c r="F159" s="141">
        <f>IFERROR(__xludf.DUMMYFUNCTION("""COMPUTED_VALUE"""),100.33)</f>
        <v/>
      </c>
      <c r="G159" s="143">
        <f>IFERROR(__xludf.DUMMYFUNCTION("""COMPUTED_VALUE"""),22760150)</f>
        <v/>
      </c>
      <c r="H159" s="27" t="n"/>
    </row>
    <row r="160" ht="17.25" customHeight="1" s="322">
      <c r="A160" s="27" t="n"/>
      <c r="B160" s="506">
        <f>IFERROR(__xludf.DUMMYFUNCTION("""COMPUTED_VALUE"""),46059.6666666666)</f>
        <v/>
      </c>
      <c r="C160" s="141">
        <f>IFERROR(__xludf.DUMMYFUNCTION("""COMPUTED_VALUE"""),101.69)</f>
        <v/>
      </c>
      <c r="D160" s="141">
        <f>IFERROR(__xludf.DUMMYFUNCTION("""COMPUTED_VALUE"""),102.65)</f>
        <v/>
      </c>
      <c r="E160" s="141">
        <f>IFERROR(__xludf.DUMMYFUNCTION("""COMPUTED_VALUE"""),101.64)</f>
        <v/>
      </c>
      <c r="F160" s="141">
        <f>IFERROR(__xludf.DUMMYFUNCTION("""COMPUTED_VALUE"""),102.61)</f>
        <v/>
      </c>
      <c r="G160" s="143">
        <f>IFERROR(__xludf.DUMMYFUNCTION("""COMPUTED_VALUE"""),17343717)</f>
        <v/>
      </c>
      <c r="H160" s="27" t="n"/>
    </row>
    <row r="161" ht="17.25" customHeight="1" s="322">
      <c r="A161" s="27" t="n"/>
      <c r="B161" s="506">
        <f>IFERROR(__xludf.DUMMYFUNCTION("""COMPUTED_VALUE"""),46062.6666666666)</f>
        <v/>
      </c>
      <c r="C161" s="141">
        <f>IFERROR(__xludf.DUMMYFUNCTION("""COMPUTED_VALUE"""),103.23)</f>
        <v/>
      </c>
      <c r="D161" s="141">
        <f>IFERROR(__xludf.DUMMYFUNCTION("""COMPUTED_VALUE"""),104.17)</f>
        <v/>
      </c>
      <c r="E161" s="141">
        <f>IFERROR(__xludf.DUMMYFUNCTION("""COMPUTED_VALUE"""),103.12)</f>
        <v/>
      </c>
      <c r="F161" s="141">
        <f>IFERROR(__xludf.DUMMYFUNCTION("""COMPUTED_VALUE"""),103.99)</f>
        <v/>
      </c>
      <c r="G161" s="143">
        <f>IFERROR(__xludf.DUMMYFUNCTION("""COMPUTED_VALUE"""),20137686)</f>
        <v/>
      </c>
      <c r="H161" s="27" t="n"/>
    </row>
    <row r="162" ht="17.25" customHeight="1" s="322">
      <c r="A162" s="27" t="n"/>
      <c r="B162" s="506">
        <f>IFERROR(__xludf.DUMMYFUNCTION("""COMPUTED_VALUE"""),46063.6666666666)</f>
        <v/>
      </c>
      <c r="C162" s="141">
        <f>IFERROR(__xludf.DUMMYFUNCTION("""COMPUTED_VALUE"""),104.58)</f>
        <v/>
      </c>
      <c r="D162" s="141">
        <f>IFERROR(__xludf.DUMMYFUNCTION("""COMPUTED_VALUE"""),104.67)</f>
        <v/>
      </c>
      <c r="E162" s="141">
        <f>IFERROR(__xludf.DUMMYFUNCTION("""COMPUTED_VALUE"""),104.24)</f>
        <v/>
      </c>
      <c r="F162" s="141">
        <f>IFERROR(__xludf.DUMMYFUNCTION("""COMPUTED_VALUE"""),104.24)</f>
        <v/>
      </c>
      <c r="G162" s="143">
        <f>IFERROR(__xludf.DUMMYFUNCTION("""COMPUTED_VALUE"""),16861808)</f>
        <v/>
      </c>
      <c r="H162" s="27" t="n"/>
    </row>
    <row r="163" ht="17.25" customHeight="1" s="322">
      <c r="A163" s="27" t="n"/>
      <c r="B163" s="506">
        <f>IFERROR(__xludf.DUMMYFUNCTION("""COMPUTED_VALUE"""),46064.6666666666)</f>
        <v/>
      </c>
      <c r="C163" s="141">
        <f>IFERROR(__xludf.DUMMYFUNCTION("""COMPUTED_VALUE"""),104.84)</f>
        <v/>
      </c>
      <c r="D163" s="141">
        <f>IFERROR(__xludf.DUMMYFUNCTION("""COMPUTED_VALUE"""),105.17)</f>
        <v/>
      </c>
      <c r="E163" s="141">
        <f>IFERROR(__xludf.DUMMYFUNCTION("""COMPUTED_VALUE"""),104.16)</f>
        <v/>
      </c>
      <c r="F163" s="141">
        <f>IFERROR(__xludf.DUMMYFUNCTION("""COMPUTED_VALUE"""),104.94)</f>
        <v/>
      </c>
      <c r="G163" s="143">
        <f>IFERROR(__xludf.DUMMYFUNCTION("""COMPUTED_VALUE"""),20493537)</f>
        <v/>
      </c>
      <c r="H163" s="27" t="n"/>
    </row>
    <row r="164" ht="17.25" customHeight="1" s="322">
      <c r="A164" s="27" t="n"/>
      <c r="B164" s="506">
        <f>IFERROR(__xludf.DUMMYFUNCTION("""COMPUTED_VALUE"""),46065.6666666666)</f>
        <v/>
      </c>
      <c r="C164" s="141">
        <f>IFERROR(__xludf.DUMMYFUNCTION("""COMPUTED_VALUE"""),105.09)</f>
        <v/>
      </c>
      <c r="D164" s="141">
        <f>IFERROR(__xludf.DUMMYFUNCTION("""COMPUTED_VALUE"""),105.24)</f>
        <v/>
      </c>
      <c r="E164" s="141">
        <f>IFERROR(__xludf.DUMMYFUNCTION("""COMPUTED_VALUE"""),103.81)</f>
        <v/>
      </c>
      <c r="F164" s="141">
        <f>IFERROR(__xludf.DUMMYFUNCTION("""COMPUTED_VALUE"""),104.15)</f>
        <v/>
      </c>
      <c r="G164" s="143">
        <f>IFERROR(__xludf.DUMMYFUNCTION("""COMPUTED_VALUE"""),29385324)</f>
        <v/>
      </c>
      <c r="H164" s="27" t="n"/>
    </row>
    <row r="165" ht="17.25" customHeight="1" s="322">
      <c r="A165" s="27" t="n"/>
      <c r="B165" s="506">
        <f>IFERROR(__xludf.DUMMYFUNCTION("""COMPUTED_VALUE"""),46066.6666666666)</f>
        <v/>
      </c>
      <c r="C165" s="141">
        <f>IFERROR(__xludf.DUMMYFUNCTION("""COMPUTED_VALUE"""),103.88)</f>
        <v/>
      </c>
      <c r="D165" s="141">
        <f>IFERROR(__xludf.DUMMYFUNCTION("""COMPUTED_VALUE"""),104.43)</f>
        <v/>
      </c>
      <c r="E165" s="141">
        <f>IFERROR(__xludf.DUMMYFUNCTION("""COMPUTED_VALUE"""),103.45)</f>
        <v/>
      </c>
      <c r="F165" s="141">
        <f>IFERROR(__xludf.DUMMYFUNCTION("""COMPUTED_VALUE"""),104.24)</f>
        <v/>
      </c>
      <c r="G165" s="143">
        <f>IFERROR(__xludf.DUMMYFUNCTION("""COMPUTED_VALUE"""),22651314)</f>
        <v/>
      </c>
      <c r="H165" s="27" t="n"/>
    </row>
    <row r="166" ht="17.25" customHeight="1" s="322">
      <c r="A166" s="27" t="n"/>
      <c r="B166" s="506">
        <f>IFERROR(__xludf.DUMMYFUNCTION("""COMPUTED_VALUE"""),46070.6666666666)</f>
        <v/>
      </c>
      <c r="C166" s="141">
        <f>IFERROR(__xludf.DUMMYFUNCTION("""COMPUTED_VALUE"""),103.36)</f>
        <v/>
      </c>
      <c r="D166" s="141">
        <f>IFERROR(__xludf.DUMMYFUNCTION("""COMPUTED_VALUE"""),104.34)</f>
        <v/>
      </c>
      <c r="E166" s="141">
        <f>IFERROR(__xludf.DUMMYFUNCTION("""COMPUTED_VALUE"""),103.02)</f>
        <v/>
      </c>
      <c r="F166" s="141">
        <f>IFERROR(__xludf.DUMMYFUNCTION("""COMPUTED_VALUE"""),104.22)</f>
        <v/>
      </c>
      <c r="G166" s="143">
        <f>IFERROR(__xludf.DUMMYFUNCTION("""COMPUTED_VALUE"""),19647198)</f>
        <v/>
      </c>
      <c r="H166" s="27" t="n"/>
    </row>
    <row r="167" ht="17.25" customHeight="1" s="322">
      <c r="A167" s="27" t="n"/>
      <c r="B167" s="506">
        <f>IFERROR(__xludf.DUMMYFUNCTION("""COMPUTED_VALUE"""),46071.6666666666)</f>
        <v/>
      </c>
      <c r="C167" s="141">
        <f>IFERROR(__xludf.DUMMYFUNCTION("""COMPUTED_VALUE"""),104.37)</f>
        <v/>
      </c>
      <c r="D167" s="141">
        <f>IFERROR(__xludf.DUMMYFUNCTION("""COMPUTED_VALUE"""),104.91)</f>
        <v/>
      </c>
      <c r="E167" s="141">
        <f>IFERROR(__xludf.DUMMYFUNCTION("""COMPUTED_VALUE"""),104.12)</f>
        <v/>
      </c>
      <c r="F167" s="141">
        <f>IFERROR(__xludf.DUMMYFUNCTION("""COMPUTED_VALUE"""),104.34)</f>
        <v/>
      </c>
      <c r="G167" s="143">
        <f>IFERROR(__xludf.DUMMYFUNCTION("""COMPUTED_VALUE"""),16099437)</f>
        <v/>
      </c>
      <c r="H167" s="27" t="n"/>
    </row>
    <row r="168" ht="17.25" customHeight="1" s="322">
      <c r="A168" s="27" t="n"/>
      <c r="B168" s="506">
        <f>IFERROR(__xludf.DUMMYFUNCTION("""COMPUTED_VALUE"""),46072.6666666666)</f>
        <v/>
      </c>
      <c r="C168" s="141">
        <f>IFERROR(__xludf.DUMMYFUNCTION("""COMPUTED_VALUE"""),103.54)</f>
        <v/>
      </c>
      <c r="D168" s="141">
        <f>IFERROR(__xludf.DUMMYFUNCTION("""COMPUTED_VALUE"""),104.09)</f>
        <v/>
      </c>
      <c r="E168" s="141">
        <f>IFERROR(__xludf.DUMMYFUNCTION("""COMPUTED_VALUE"""),103.37)</f>
        <v/>
      </c>
      <c r="F168" s="141">
        <f>IFERROR(__xludf.DUMMYFUNCTION("""COMPUTED_VALUE"""),104.05)</f>
        <v/>
      </c>
      <c r="G168" s="143">
        <f>IFERROR(__xludf.DUMMYFUNCTION("""COMPUTED_VALUE"""),15994117)</f>
        <v/>
      </c>
      <c r="H168" s="27" t="n"/>
    </row>
    <row r="169" ht="17.25" customHeight="1" s="322">
      <c r="A169" s="27" t="n"/>
      <c r="B169" s="506">
        <f>IFERROR(__xludf.DUMMYFUNCTION("""COMPUTED_VALUE"""),46073.6666666666)</f>
        <v/>
      </c>
      <c r="C169" s="141">
        <f>IFERROR(__xludf.DUMMYFUNCTION("""COMPUTED_VALUE"""),103.86)</f>
        <v/>
      </c>
      <c r="D169" s="141">
        <f>IFERROR(__xludf.DUMMYFUNCTION("""COMPUTED_VALUE"""),105.05)</f>
        <v/>
      </c>
      <c r="E169" s="141">
        <f>IFERROR(__xludf.DUMMYFUNCTION("""COMPUTED_VALUE"""),103.86)</f>
        <v/>
      </c>
      <c r="F169" s="141">
        <f>IFERROR(__xludf.DUMMYFUNCTION("""COMPUTED_VALUE"""),104.9)</f>
        <v/>
      </c>
      <c r="G169" s="143">
        <f>IFERROR(__xludf.DUMMYFUNCTION("""COMPUTED_VALUE"""),25737456)</f>
        <v/>
      </c>
      <c r="H169" s="27" t="n"/>
    </row>
    <row r="170" ht="17.25" customHeight="1" s="322">
      <c r="A170" s="27" t="n"/>
      <c r="B170" s="506">
        <f>IFERROR(__xludf.DUMMYFUNCTION("""COMPUTED_VALUE"""),46076.6666666666)</f>
        <v/>
      </c>
      <c r="C170" s="141">
        <f>IFERROR(__xludf.DUMMYFUNCTION("""COMPUTED_VALUE"""),104.81)</f>
        <v/>
      </c>
      <c r="D170" s="141">
        <f>IFERROR(__xludf.DUMMYFUNCTION("""COMPUTED_VALUE"""),105.11)</f>
        <v/>
      </c>
      <c r="E170" s="141">
        <f>IFERROR(__xludf.DUMMYFUNCTION("""COMPUTED_VALUE"""),104.19)</f>
        <v/>
      </c>
      <c r="F170" s="141">
        <f>IFERROR(__xludf.DUMMYFUNCTION("""COMPUTED_VALUE"""),104.47)</f>
        <v/>
      </c>
      <c r="G170" s="143">
        <f>IFERROR(__xludf.DUMMYFUNCTION("""COMPUTED_VALUE"""),13601760)</f>
        <v/>
      </c>
      <c r="H170" s="27" t="n"/>
    </row>
    <row r="171" ht="17.25" customHeight="1" s="322">
      <c r="A171" s="27" t="n"/>
      <c r="B171" s="506">
        <f>IFERROR(__xludf.DUMMYFUNCTION("""COMPUTED_VALUE"""),46077.6666666666)</f>
        <v/>
      </c>
      <c r="C171" s="141">
        <f>IFERROR(__xludf.DUMMYFUNCTION("""COMPUTED_VALUE"""),104.17)</f>
        <v/>
      </c>
      <c r="D171" s="141">
        <f>IFERROR(__xludf.DUMMYFUNCTION("""COMPUTED_VALUE"""),104.92)</f>
        <v/>
      </c>
      <c r="E171" s="141">
        <f>IFERROR(__xludf.DUMMYFUNCTION("""COMPUTED_VALUE"""),104.08)</f>
        <v/>
      </c>
      <c r="F171" s="141">
        <f>IFERROR(__xludf.DUMMYFUNCTION("""COMPUTED_VALUE"""),104.66)</f>
        <v/>
      </c>
      <c r="G171" s="143">
        <f>IFERROR(__xludf.DUMMYFUNCTION("""COMPUTED_VALUE"""),17352600)</f>
        <v/>
      </c>
      <c r="H171" s="27" t="n"/>
    </row>
    <row r="172" ht="17.25" customHeight="1" s="322">
      <c r="A172" s="27" t="n"/>
      <c r="B172" s="506">
        <f>IFERROR(__xludf.DUMMYFUNCTION("""COMPUTED_VALUE"""),46078.6666666666)</f>
        <v/>
      </c>
      <c r="C172" s="141">
        <f>IFERROR(__xludf.DUMMYFUNCTION("""COMPUTED_VALUE"""),105.26)</f>
        <v/>
      </c>
      <c r="D172" s="141">
        <f>IFERROR(__xludf.DUMMYFUNCTION("""COMPUTED_VALUE"""),105.8)</f>
        <v/>
      </c>
      <c r="E172" s="141">
        <f>IFERROR(__xludf.DUMMYFUNCTION("""COMPUTED_VALUE"""),105.15)</f>
        <v/>
      </c>
      <c r="F172" s="141">
        <f>IFERROR(__xludf.DUMMYFUNCTION("""COMPUTED_VALUE"""),105.66)</f>
        <v/>
      </c>
      <c r="G172" s="143">
        <f>IFERROR(__xludf.DUMMYFUNCTION("""COMPUTED_VALUE"""),13401860)</f>
        <v/>
      </c>
      <c r="H172" s="27" t="n"/>
    </row>
    <row r="173" ht="17.25" customHeight="1" s="322">
      <c r="A173" s="27" t="n"/>
      <c r="B173" s="506">
        <f>IFERROR(__xludf.DUMMYFUNCTION("""COMPUTED_VALUE"""),46079.6666666666)</f>
        <v/>
      </c>
      <c r="C173" s="141">
        <f>IFERROR(__xludf.DUMMYFUNCTION("""COMPUTED_VALUE"""),105.64)</f>
        <v/>
      </c>
      <c r="D173" s="141">
        <f>IFERROR(__xludf.DUMMYFUNCTION("""COMPUTED_VALUE"""),105.72)</f>
        <v/>
      </c>
      <c r="E173" s="141">
        <f>IFERROR(__xludf.DUMMYFUNCTION("""COMPUTED_VALUE"""),104.87)</f>
        <v/>
      </c>
      <c r="F173" s="141">
        <f>IFERROR(__xludf.DUMMYFUNCTION("""COMPUTED_VALUE"""),105.57)</f>
        <v/>
      </c>
      <c r="G173" s="143">
        <f>IFERROR(__xludf.DUMMYFUNCTION("""COMPUTED_VALUE"""),28478680)</f>
        <v/>
      </c>
      <c r="H173" s="27" t="n"/>
    </row>
    <row r="174" ht="17.25" customHeight="1" s="322">
      <c r="A174" s="27" t="n"/>
      <c r="B174" s="506">
        <f>IFERROR(__xludf.DUMMYFUNCTION("""COMPUTED_VALUE"""),46080.6666666666)</f>
        <v/>
      </c>
      <c r="C174" s="141">
        <f>IFERROR(__xludf.DUMMYFUNCTION("""COMPUTED_VALUE"""),105.52)</f>
        <v/>
      </c>
      <c r="D174" s="141">
        <f>IFERROR(__xludf.DUMMYFUNCTION("""COMPUTED_VALUE"""),105.94)</f>
        <v/>
      </c>
      <c r="E174" s="141">
        <f>IFERROR(__xludf.DUMMYFUNCTION("""COMPUTED_VALUE"""),105.26)</f>
        <v/>
      </c>
      <c r="F174" s="141">
        <f>IFERROR(__xludf.DUMMYFUNCTION("""COMPUTED_VALUE"""),105.38)</f>
        <v/>
      </c>
      <c r="G174" s="143">
        <f>IFERROR(__xludf.DUMMYFUNCTION("""COMPUTED_VALUE"""),25415073)</f>
        <v/>
      </c>
      <c r="H174" s="27" t="n"/>
    </row>
    <row r="175" ht="17.25" customHeight="1" s="322">
      <c r="A175" s="27" t="n"/>
      <c r="B175" s="506">
        <f>IFERROR(__xludf.DUMMYFUNCTION("""COMPUTED_VALUE"""),46083.6666666666)</f>
        <v/>
      </c>
      <c r="C175" s="141">
        <f>IFERROR(__xludf.DUMMYFUNCTION("""COMPUTED_VALUE"""),102.76)</f>
        <v/>
      </c>
      <c r="D175" s="141">
        <f>IFERROR(__xludf.DUMMYFUNCTION("""COMPUTED_VALUE"""),103.73)</f>
        <v/>
      </c>
      <c r="E175" s="141">
        <f>IFERROR(__xludf.DUMMYFUNCTION("""COMPUTED_VALUE"""),102.72)</f>
        <v/>
      </c>
      <c r="F175" s="141">
        <f>IFERROR(__xludf.DUMMYFUNCTION("""COMPUTED_VALUE"""),103.3)</f>
        <v/>
      </c>
      <c r="G175" s="143">
        <f>IFERROR(__xludf.DUMMYFUNCTION("""COMPUTED_VALUE"""),37953538)</f>
        <v/>
      </c>
      <c r="H175" s="27" t="n"/>
    </row>
    <row r="176" ht="17.25" customHeight="1" s="322">
      <c r="A176" s="27" t="n"/>
      <c r="B176" s="506">
        <f>IFERROR(__xludf.DUMMYFUNCTION("""COMPUTED_VALUE"""),46084.6666666666)</f>
        <v/>
      </c>
      <c r="C176" s="141">
        <f>IFERROR(__xludf.DUMMYFUNCTION("""COMPUTED_VALUE"""),98.65)</f>
        <v/>
      </c>
      <c r="D176" s="141">
        <f>IFERROR(__xludf.DUMMYFUNCTION("""COMPUTED_VALUE"""),100.56)</f>
        <v/>
      </c>
      <c r="E176" s="141">
        <f>IFERROR(__xludf.DUMMYFUNCTION("""COMPUTED_VALUE"""),97.75)</f>
        <v/>
      </c>
      <c r="F176" s="141">
        <f>IFERROR(__xludf.DUMMYFUNCTION("""COMPUTED_VALUE"""),100.09)</f>
        <v/>
      </c>
      <c r="G176" s="143">
        <f>IFERROR(__xludf.DUMMYFUNCTION("""COMPUTED_VALUE"""),51860654)</f>
        <v/>
      </c>
      <c r="H176" s="27" t="n"/>
    </row>
    <row r="177" ht="17.25" customHeight="1" s="322">
      <c r="A177" s="27" t="n"/>
      <c r="B177" s="506">
        <f>IFERROR(__xludf.DUMMYFUNCTION("""COMPUTED_VALUE"""),46085.6666666666)</f>
        <v/>
      </c>
      <c r="C177" s="141">
        <f>IFERROR(__xludf.DUMMYFUNCTION("""COMPUTED_VALUE"""),100.79)</f>
        <v/>
      </c>
      <c r="D177" s="141">
        <f>IFERROR(__xludf.DUMMYFUNCTION("""COMPUTED_VALUE"""),101.49)</f>
        <v/>
      </c>
      <c r="E177" s="141">
        <f>IFERROR(__xludf.DUMMYFUNCTION("""COMPUTED_VALUE"""),100.4)</f>
        <v/>
      </c>
      <c r="F177" s="141">
        <f>IFERROR(__xludf.DUMMYFUNCTION("""COMPUTED_VALUE"""),101.38)</f>
        <v/>
      </c>
      <c r="G177" s="143">
        <f>IFERROR(__xludf.DUMMYFUNCTION("""COMPUTED_VALUE"""),30519775)</f>
        <v/>
      </c>
      <c r="H177" s="27" t="n"/>
    </row>
    <row r="178" ht="17.25" customHeight="1" s="322">
      <c r="A178" s="27" t="n"/>
      <c r="B178" s="506">
        <f>IFERROR(__xludf.DUMMYFUNCTION("""COMPUTED_VALUE"""),46086.6666666666)</f>
        <v/>
      </c>
      <c r="C178" s="141">
        <f>IFERROR(__xludf.DUMMYFUNCTION("""COMPUTED_VALUE"""),99.78)</f>
        <v/>
      </c>
      <c r="D178" s="141">
        <f>IFERROR(__xludf.DUMMYFUNCTION("""COMPUTED_VALUE"""),100.27)</f>
        <v/>
      </c>
      <c r="E178" s="141">
        <f>IFERROR(__xludf.DUMMYFUNCTION("""COMPUTED_VALUE"""),98.22)</f>
        <v/>
      </c>
      <c r="F178" s="141">
        <f>IFERROR(__xludf.DUMMYFUNCTION("""COMPUTED_VALUE"""),99.16)</f>
        <v/>
      </c>
      <c r="G178" s="143">
        <f>IFERROR(__xludf.DUMMYFUNCTION("""COMPUTED_VALUE"""),34351936)</f>
        <v/>
      </c>
      <c r="H178" s="27" t="n"/>
    </row>
    <row r="179" ht="17.25" customHeight="1" s="322">
      <c r="A179" s="27" t="n"/>
      <c r="B179" s="506">
        <f>IFERROR(__xludf.DUMMYFUNCTION("""COMPUTED_VALUE"""),46087.6666666666)</f>
        <v/>
      </c>
      <c r="C179" s="141">
        <f>IFERROR(__xludf.DUMMYFUNCTION("""COMPUTED_VALUE"""),97.27)</f>
        <v/>
      </c>
      <c r="D179" s="141">
        <f>IFERROR(__xludf.DUMMYFUNCTION("""COMPUTED_VALUE"""),98.69)</f>
        <v/>
      </c>
      <c r="E179" s="141">
        <f>IFERROR(__xludf.DUMMYFUNCTION("""COMPUTED_VALUE"""),97.06)</f>
        <v/>
      </c>
      <c r="F179" s="141">
        <f>IFERROR(__xludf.DUMMYFUNCTION("""COMPUTED_VALUE"""),98.28)</f>
        <v/>
      </c>
      <c r="G179" s="143">
        <f>IFERROR(__xludf.DUMMYFUNCTION("""COMPUTED_VALUE"""),27711164)</f>
        <v/>
      </c>
      <c r="H179" s="27" t="n"/>
    </row>
    <row r="180" ht="17.25" customHeight="1" s="322">
      <c r="A180" s="27" t="n"/>
      <c r="B180" s="506">
        <f>IFERROR(__xludf.DUMMYFUNCTION("""COMPUTED_VALUE"""),46090.6666666666)</f>
        <v/>
      </c>
      <c r="C180" s="141">
        <f>IFERROR(__xludf.DUMMYFUNCTION("""COMPUTED_VALUE"""),96.78)</f>
        <v/>
      </c>
      <c r="D180" s="141">
        <f>IFERROR(__xludf.DUMMYFUNCTION("""COMPUTED_VALUE"""),99.41)</f>
        <v/>
      </c>
      <c r="E180" s="141">
        <f>IFERROR(__xludf.DUMMYFUNCTION("""COMPUTED_VALUE"""),95.98)</f>
        <v/>
      </c>
      <c r="F180" s="141">
        <f>IFERROR(__xludf.DUMMYFUNCTION("""COMPUTED_VALUE"""),98.99)</f>
        <v/>
      </c>
      <c r="G180" s="143">
        <f>IFERROR(__xludf.DUMMYFUNCTION("""COMPUTED_VALUE"""),37436540)</f>
        <v/>
      </c>
      <c r="H180" s="27" t="n"/>
    </row>
    <row r="181" ht="17.25" customHeight="1" s="322">
      <c r="A181" s="27" t="n"/>
      <c r="B181" s="506">
        <f>IFERROR(__xludf.DUMMYFUNCTION("""COMPUTED_VALUE"""),46091.6666666666)</f>
        <v/>
      </c>
      <c r="C181" s="141">
        <f>IFERROR(__xludf.DUMMYFUNCTION("""COMPUTED_VALUE"""),99.74)</f>
        <v/>
      </c>
      <c r="D181" s="141">
        <f>IFERROR(__xludf.DUMMYFUNCTION("""COMPUTED_VALUE"""),100.88)</f>
        <v/>
      </c>
      <c r="E181" s="141">
        <f>IFERROR(__xludf.DUMMYFUNCTION("""COMPUTED_VALUE"""),99.07)</f>
        <v/>
      </c>
      <c r="F181" s="141">
        <f>IFERROR(__xludf.DUMMYFUNCTION("""COMPUTED_VALUE"""),99.22)</f>
        <v/>
      </c>
      <c r="G181" s="143">
        <f>IFERROR(__xludf.DUMMYFUNCTION("""COMPUTED_VALUE"""),44154704)</f>
        <v/>
      </c>
      <c r="H181" s="27" t="n"/>
    </row>
    <row r="182" ht="17.25" customHeight="1" s="322">
      <c r="A182" s="27" t="n"/>
      <c r="B182" s="506">
        <f>IFERROR(__xludf.DUMMYFUNCTION("""COMPUTED_VALUE"""),46092.6666666666)</f>
        <v/>
      </c>
      <c r="C182" s="141">
        <f>IFERROR(__xludf.DUMMYFUNCTION("""COMPUTED_VALUE"""),98.64)</f>
        <v/>
      </c>
      <c r="D182" s="141">
        <f>IFERROR(__xludf.DUMMYFUNCTION("""COMPUTED_VALUE"""),99.38)</f>
        <v/>
      </c>
      <c r="E182" s="141">
        <f>IFERROR(__xludf.DUMMYFUNCTION("""COMPUTED_VALUE"""),98.29)</f>
        <v/>
      </c>
      <c r="F182" s="141">
        <f>IFERROR(__xludf.DUMMYFUNCTION("""COMPUTED_VALUE"""),99.01)</f>
        <v/>
      </c>
      <c r="G182" s="143">
        <f>IFERROR(__xludf.DUMMYFUNCTION("""COMPUTED_VALUE"""),21349912)</f>
        <v/>
      </c>
      <c r="H182" s="27" t="n"/>
    </row>
    <row r="183" ht="17.25" customHeight="1" s="322">
      <c r="A183" s="27" t="n"/>
      <c r="B183" s="506">
        <f>IFERROR(__xludf.DUMMYFUNCTION("""COMPUTED_VALUE"""),46093.6666666666)</f>
        <v/>
      </c>
      <c r="C183" s="141">
        <f>IFERROR(__xludf.DUMMYFUNCTION("""COMPUTED_VALUE"""),98.04)</f>
        <v/>
      </c>
      <c r="D183" s="141">
        <f>IFERROR(__xludf.DUMMYFUNCTION("""COMPUTED_VALUE"""),98.13)</f>
        <v/>
      </c>
      <c r="E183" s="141">
        <f>IFERROR(__xludf.DUMMYFUNCTION("""COMPUTED_VALUE"""),97.01)</f>
        <v/>
      </c>
      <c r="F183" s="141">
        <f>IFERROR(__xludf.DUMMYFUNCTION("""COMPUTED_VALUE"""),97.46)</f>
        <v/>
      </c>
      <c r="G183" s="143">
        <f>IFERROR(__xludf.DUMMYFUNCTION("""COMPUTED_VALUE"""),34724593)</f>
        <v/>
      </c>
      <c r="H183" s="27" t="n"/>
    </row>
    <row r="184" ht="17.25" customHeight="1" s="322">
      <c r="A184" s="27" t="n"/>
      <c r="B184" s="506">
        <f>IFERROR(__xludf.DUMMYFUNCTION("""COMPUTED_VALUE"""),46094.6666666666)</f>
        <v/>
      </c>
      <c r="C184" s="141">
        <f>IFERROR(__xludf.DUMMYFUNCTION("""COMPUTED_VALUE"""),97.67)</f>
        <v/>
      </c>
      <c r="D184" s="141">
        <f>IFERROR(__xludf.DUMMYFUNCTION("""COMPUTED_VALUE"""),98.11)</f>
        <v/>
      </c>
      <c r="E184" s="141">
        <f>IFERROR(__xludf.DUMMYFUNCTION("""COMPUTED_VALUE"""),96.14)</f>
        <v/>
      </c>
      <c r="F184" s="141">
        <f>IFERROR(__xludf.DUMMYFUNCTION("""COMPUTED_VALUE"""),96.3)</f>
        <v/>
      </c>
      <c r="G184" s="143">
        <f>IFERROR(__xludf.DUMMYFUNCTION("""COMPUTED_VALUE"""),27628296)</f>
        <v/>
      </c>
      <c r="H184" s="27" t="n"/>
    </row>
    <row r="185" ht="17.25" customHeight="1" s="322">
      <c r="A185" s="27" t="n"/>
      <c r="B185" s="506">
        <f>IFERROR(__xludf.DUMMYFUNCTION("""COMPUTED_VALUE"""),46097.6666666666)</f>
        <v/>
      </c>
      <c r="C185" s="141">
        <f>IFERROR(__xludf.DUMMYFUNCTION("""COMPUTED_VALUE"""),97.58)</f>
        <v/>
      </c>
      <c r="D185" s="141">
        <f>IFERROR(__xludf.DUMMYFUNCTION("""COMPUTED_VALUE"""),98.32)</f>
        <v/>
      </c>
      <c r="E185" s="141">
        <f>IFERROR(__xludf.DUMMYFUNCTION("""COMPUTED_VALUE"""),97.45)</f>
        <v/>
      </c>
      <c r="F185" s="141">
        <f>IFERROR(__xludf.DUMMYFUNCTION("""COMPUTED_VALUE"""),98.1)</f>
        <v/>
      </c>
      <c r="G185" s="143">
        <f>IFERROR(__xludf.DUMMYFUNCTION("""COMPUTED_VALUE"""),17384126)</f>
        <v/>
      </c>
      <c r="H185" s="27" t="n"/>
    </row>
    <row r="186" ht="17.25" customHeight="1" s="322">
      <c r="A186" s="27" t="n"/>
      <c r="B186" s="506">
        <f>IFERROR(__xludf.DUMMYFUNCTION("""COMPUTED_VALUE"""),46098.6666666666)</f>
        <v/>
      </c>
      <c r="C186" s="141">
        <f>IFERROR(__xludf.DUMMYFUNCTION("""COMPUTED_VALUE"""),98.74)</f>
        <v/>
      </c>
      <c r="D186" s="141">
        <f>IFERROR(__xludf.DUMMYFUNCTION("""COMPUTED_VALUE"""),98.97)</f>
        <v/>
      </c>
      <c r="E186" s="141">
        <f>IFERROR(__xludf.DUMMYFUNCTION("""COMPUTED_VALUE"""),98.24)</f>
        <v/>
      </c>
      <c r="F186" s="141">
        <f>IFERROR(__xludf.DUMMYFUNCTION("""COMPUTED_VALUE"""),98.37)</f>
        <v/>
      </c>
      <c r="G186" s="143">
        <f>IFERROR(__xludf.DUMMYFUNCTION("""COMPUTED_VALUE"""),16411463)</f>
        <v/>
      </c>
      <c r="H186" s="27" t="n"/>
    </row>
    <row r="187" ht="17.25" customHeight="1" s="322">
      <c r="A187" s="27" t="n"/>
      <c r="B187" s="506">
        <f>IFERROR(__xludf.DUMMYFUNCTION("""COMPUTED_VALUE"""),46099.6666666666)</f>
        <v/>
      </c>
      <c r="C187" s="141">
        <f>IFERROR(__xludf.DUMMYFUNCTION("""COMPUTED_VALUE"""),97.81)</f>
        <v/>
      </c>
      <c r="D187" s="141">
        <f>IFERROR(__xludf.DUMMYFUNCTION("""COMPUTED_VALUE"""),98.01)</f>
        <v/>
      </c>
      <c r="E187" s="141">
        <f>IFERROR(__xludf.DUMMYFUNCTION("""COMPUTED_VALUE"""),96.61)</f>
        <v/>
      </c>
      <c r="F187" s="141">
        <f>IFERROR(__xludf.DUMMYFUNCTION("""COMPUTED_VALUE"""),96.69)</f>
        <v/>
      </c>
      <c r="G187" s="143">
        <f>IFERROR(__xludf.DUMMYFUNCTION("""COMPUTED_VALUE"""),26644886)</f>
        <v/>
      </c>
      <c r="H187" s="27" t="n"/>
    </row>
    <row r="188" ht="17.25" customHeight="1" s="322">
      <c r="A188" s="27" t="n"/>
      <c r="B188" s="506">
        <f>IFERROR(__xludf.DUMMYFUNCTION("""COMPUTED_VALUE"""),46100.6666666666)</f>
        <v/>
      </c>
      <c r="C188" s="141">
        <f>IFERROR(__xludf.DUMMYFUNCTION("""COMPUTED_VALUE"""),94.9)</f>
        <v/>
      </c>
      <c r="D188" s="141">
        <f>IFERROR(__xludf.DUMMYFUNCTION("""COMPUTED_VALUE"""),97.11)</f>
        <v/>
      </c>
      <c r="E188" s="141">
        <f>IFERROR(__xludf.DUMMYFUNCTION("""COMPUTED_VALUE"""),94.8)</f>
        <v/>
      </c>
      <c r="F188" s="141">
        <f>IFERROR(__xludf.DUMMYFUNCTION("""COMPUTED_VALUE"""),96.52)</f>
        <v/>
      </c>
      <c r="G188" s="143">
        <f>IFERROR(__xludf.DUMMYFUNCTION("""COMPUTED_VALUE"""),34858276)</f>
        <v/>
      </c>
      <c r="H188" s="27" t="n"/>
    </row>
    <row r="189" ht="17.25" customHeight="1" s="322">
      <c r="A189" s="27" t="n"/>
      <c r="B189" s="506">
        <f>IFERROR(__xludf.DUMMYFUNCTION("""COMPUTED_VALUE"""),46101.6666666666)</f>
        <v/>
      </c>
      <c r="C189" s="141">
        <f>IFERROR(__xludf.DUMMYFUNCTION("""COMPUTED_VALUE"""),96.08)</f>
        <v/>
      </c>
      <c r="D189" s="141">
        <f>IFERROR(__xludf.DUMMYFUNCTION("""COMPUTED_VALUE"""),96.13)</f>
        <v/>
      </c>
      <c r="E189" s="141">
        <f>IFERROR(__xludf.DUMMYFUNCTION("""COMPUTED_VALUE"""),93.08)</f>
        <v/>
      </c>
      <c r="F189" s="141">
        <f>IFERROR(__xludf.DUMMYFUNCTION("""COMPUTED_VALUE"""),93.59)</f>
        <v/>
      </c>
      <c r="G189" s="143">
        <f>IFERROR(__xludf.DUMMYFUNCTION("""COMPUTED_VALUE"""),45493717)</f>
        <v/>
      </c>
      <c r="H189" s="27" t="n"/>
    </row>
    <row r="190" ht="17.25" customHeight="1" s="322">
      <c r="A190" s="27" t="n"/>
      <c r="B190" s="506">
        <f>IFERROR(__xludf.DUMMYFUNCTION("""COMPUTED_VALUE"""),46104.6666666666)</f>
        <v/>
      </c>
      <c r="C190" s="141">
        <f>IFERROR(__xludf.DUMMYFUNCTION("""COMPUTED_VALUE"""),95.53)</f>
        <v/>
      </c>
      <c r="D190" s="141">
        <f>IFERROR(__xludf.DUMMYFUNCTION("""COMPUTED_VALUE"""),97.02)</f>
        <v/>
      </c>
      <c r="E190" s="141">
        <f>IFERROR(__xludf.DUMMYFUNCTION("""COMPUTED_VALUE"""),94.95)</f>
        <v/>
      </c>
      <c r="F190" s="141">
        <f>IFERROR(__xludf.DUMMYFUNCTION("""COMPUTED_VALUE"""),95.84)</f>
        <v/>
      </c>
      <c r="G190" s="143">
        <f>IFERROR(__xludf.DUMMYFUNCTION("""COMPUTED_VALUE"""),40781200)</f>
        <v/>
      </c>
      <c r="H190" s="27" t="n"/>
    </row>
    <row r="191" ht="17.25" customHeight="1" s="322">
      <c r="A191" s="27" t="n"/>
      <c r="B191" s="506">
        <f>IFERROR(__xludf.DUMMYFUNCTION("""COMPUTED_VALUE"""),46105.6666666666)</f>
        <v/>
      </c>
      <c r="C191" s="141">
        <f>IFERROR(__xludf.DUMMYFUNCTION("""COMPUTED_VALUE"""),94.49)</f>
        <v/>
      </c>
      <c r="D191" s="141">
        <f>IFERROR(__xludf.DUMMYFUNCTION("""COMPUTED_VALUE"""),95.81)</f>
        <v/>
      </c>
      <c r="E191" s="141">
        <f>IFERROR(__xludf.DUMMYFUNCTION("""COMPUTED_VALUE"""),94.35)</f>
        <v/>
      </c>
      <c r="F191" s="141">
        <f>IFERROR(__xludf.DUMMYFUNCTION("""COMPUTED_VALUE"""),95.27)</f>
        <v/>
      </c>
      <c r="G191" s="143">
        <f>IFERROR(__xludf.DUMMYFUNCTION("""COMPUTED_VALUE"""),22695848)</f>
        <v/>
      </c>
      <c r="H191" s="27" t="n"/>
    </row>
    <row r="192" ht="17.25" customHeight="1" s="322">
      <c r="A192" s="27" t="n"/>
      <c r="B192" s="506">
        <f>IFERROR(__xludf.DUMMYFUNCTION("""COMPUTED_VALUE"""),46106.6666666666)</f>
        <v/>
      </c>
      <c r="C192" s="141">
        <f>IFERROR(__xludf.DUMMYFUNCTION("""COMPUTED_VALUE"""),96.92)</f>
        <v/>
      </c>
      <c r="D192" s="141">
        <f>IFERROR(__xludf.DUMMYFUNCTION("""COMPUTED_VALUE"""),97.15)</f>
        <v/>
      </c>
      <c r="E192" s="141">
        <f>IFERROR(__xludf.DUMMYFUNCTION("""COMPUTED_VALUE"""),96.15)</f>
        <v/>
      </c>
      <c r="F192" s="141">
        <f>IFERROR(__xludf.DUMMYFUNCTION("""COMPUTED_VALUE"""),96.66)</f>
        <v/>
      </c>
      <c r="G192" s="143">
        <f>IFERROR(__xludf.DUMMYFUNCTION("""COMPUTED_VALUE"""),20476287)</f>
        <v/>
      </c>
      <c r="H192" s="27" t="n"/>
    </row>
    <row r="193" ht="17.25" customHeight="1" s="322">
      <c r="A193" s="27" t="n"/>
      <c r="B193" s="506">
        <f>IFERROR(__xludf.DUMMYFUNCTION("""COMPUTED_VALUE"""),46107.6666666666)</f>
        <v/>
      </c>
      <c r="C193" s="141">
        <f>IFERROR(__xludf.DUMMYFUNCTION("""COMPUTED_VALUE"""),95.47)</f>
        <v/>
      </c>
      <c r="D193" s="141">
        <f>IFERROR(__xludf.DUMMYFUNCTION("""COMPUTED_VALUE"""),96.23)</f>
        <v/>
      </c>
      <c r="E193" s="141">
        <f>IFERROR(__xludf.DUMMYFUNCTION("""COMPUTED_VALUE"""),94.62)</f>
        <v/>
      </c>
      <c r="F193" s="141">
        <f>IFERROR(__xludf.DUMMYFUNCTION("""COMPUTED_VALUE"""),94.66)</f>
        <v/>
      </c>
      <c r="G193" s="143">
        <f>IFERROR(__xludf.DUMMYFUNCTION("""COMPUTED_VALUE"""),19676756)</f>
        <v/>
      </c>
      <c r="H193" s="27" t="n"/>
    </row>
    <row r="194" ht="17.25" customHeight="1" s="322">
      <c r="A194" s="27" t="n"/>
      <c r="B194" s="506">
        <f>IFERROR(__xludf.DUMMYFUNCTION("""COMPUTED_VALUE"""),46108.6666666666)</f>
        <v/>
      </c>
      <c r="C194" s="141">
        <f>IFERROR(__xludf.DUMMYFUNCTION("""COMPUTED_VALUE"""),94.29)</f>
        <v/>
      </c>
      <c r="D194" s="141">
        <f>IFERROR(__xludf.DUMMYFUNCTION("""COMPUTED_VALUE"""),94.84)</f>
        <v/>
      </c>
      <c r="E194" s="141">
        <f>IFERROR(__xludf.DUMMYFUNCTION("""COMPUTED_VALUE"""),93.52)</f>
        <v/>
      </c>
      <c r="F194" s="141">
        <f>IFERROR(__xludf.DUMMYFUNCTION("""COMPUTED_VALUE"""),93.8)</f>
        <v/>
      </c>
      <c r="G194" s="143">
        <f>IFERROR(__xludf.DUMMYFUNCTION("""COMPUTED_VALUE"""),22341138)</f>
        <v/>
      </c>
      <c r="H194" s="27" t="n"/>
    </row>
    <row r="195" ht="17.25" customHeight="1" s="322">
      <c r="A195" s="27" t="n"/>
      <c r="B195" s="506">
        <f>IFERROR(__xludf.DUMMYFUNCTION("""COMPUTED_VALUE"""),46111.6666666666)</f>
        <v/>
      </c>
      <c r="C195" s="141">
        <f>IFERROR(__xludf.DUMMYFUNCTION("""COMPUTED_VALUE"""),94.72)</f>
        <v/>
      </c>
      <c r="D195" s="141">
        <f>IFERROR(__xludf.DUMMYFUNCTION("""COMPUTED_VALUE"""),94.98)</f>
        <v/>
      </c>
      <c r="E195" s="141">
        <f>IFERROR(__xludf.DUMMYFUNCTION("""COMPUTED_VALUE"""),93.67)</f>
        <v/>
      </c>
      <c r="F195" s="141">
        <f>IFERROR(__xludf.DUMMYFUNCTION("""COMPUTED_VALUE"""),94.07)</f>
        <v/>
      </c>
      <c r="G195" s="143">
        <f>IFERROR(__xludf.DUMMYFUNCTION("""COMPUTED_VALUE"""),16136381)</f>
        <v/>
      </c>
      <c r="H195" s="27" t="n"/>
    </row>
    <row r="196" ht="17.25" customHeight="1" s="322">
      <c r="A196" s="27" t="n"/>
      <c r="B196" s="506">
        <f>IFERROR(__xludf.DUMMYFUNCTION("""COMPUTED_VALUE"""),46112.6666666666)</f>
        <v/>
      </c>
      <c r="C196" s="141">
        <f>IFERROR(__xludf.DUMMYFUNCTION("""COMPUTED_VALUE"""),95.57)</f>
        <v/>
      </c>
      <c r="D196" s="141">
        <f>IFERROR(__xludf.DUMMYFUNCTION("""COMPUTED_VALUE"""),97.16)</f>
        <v/>
      </c>
      <c r="E196" s="141">
        <f>IFERROR(__xludf.DUMMYFUNCTION("""COMPUTED_VALUE"""),95.06)</f>
        <v/>
      </c>
      <c r="F196" s="141">
        <f>IFERROR(__xludf.DUMMYFUNCTION("""COMPUTED_VALUE"""),97.13)</f>
        <v/>
      </c>
      <c r="G196" s="143">
        <f>IFERROR(__xludf.DUMMYFUNCTION("""COMPUTED_VALUE"""),39447980)</f>
        <v/>
      </c>
      <c r="H196" s="27" t="n"/>
    </row>
    <row r="197" ht="17.25" customHeight="1" s="322">
      <c r="A197" s="27" t="n"/>
      <c r="B197" s="506">
        <f>IFERROR(__xludf.DUMMYFUNCTION("""COMPUTED_VALUE"""),46113.6666666666)</f>
        <v/>
      </c>
      <c r="C197" s="141">
        <f>IFERROR(__xludf.DUMMYFUNCTION("""COMPUTED_VALUE"""),98.52)</f>
        <v/>
      </c>
      <c r="D197" s="141">
        <f>IFERROR(__xludf.DUMMYFUNCTION("""COMPUTED_VALUE"""),99.32)</f>
        <v/>
      </c>
      <c r="E197" s="141">
        <f>IFERROR(__xludf.DUMMYFUNCTION("""COMPUTED_VALUE"""),98.22)</f>
        <v/>
      </c>
      <c r="F197" s="141">
        <f>IFERROR(__xludf.DUMMYFUNCTION("""COMPUTED_VALUE"""),98.61)</f>
        <v/>
      </c>
      <c r="G197" s="143">
        <f>IFERROR(__xludf.DUMMYFUNCTION("""COMPUTED_VALUE"""),27123210)</f>
        <v/>
      </c>
      <c r="H197" s="27" t="n"/>
    </row>
    <row r="198" ht="17.25" customHeight="1" s="322">
      <c r="A198" s="27" t="n"/>
      <c r="B198" s="506">
        <f>IFERROR(__xludf.DUMMYFUNCTION("""COMPUTED_VALUE"""),46114.6666666666)</f>
        <v/>
      </c>
      <c r="C198" s="141">
        <f>IFERROR(__xludf.DUMMYFUNCTION("""COMPUTED_VALUE"""),96.54)</f>
        <v/>
      </c>
      <c r="D198" s="141">
        <f>IFERROR(__xludf.DUMMYFUNCTION("""COMPUTED_VALUE"""),98.42)</f>
        <v/>
      </c>
      <c r="E198" s="141">
        <f>IFERROR(__xludf.DUMMYFUNCTION("""COMPUTED_VALUE"""),96.36)</f>
        <v/>
      </c>
      <c r="F198" s="141">
        <f>IFERROR(__xludf.DUMMYFUNCTION("""COMPUTED_VALUE"""),98)</f>
        <v/>
      </c>
      <c r="G198" s="143">
        <f>IFERROR(__xludf.DUMMYFUNCTION("""COMPUTED_VALUE"""),17276285)</f>
        <v/>
      </c>
      <c r="H198" s="27" t="n"/>
    </row>
    <row r="199" ht="17.25" customHeight="1" s="322">
      <c r="A199" s="27" t="n"/>
      <c r="B199" s="506">
        <f>IFERROR(__xludf.DUMMYFUNCTION("""COMPUTED_VALUE"""),46118.6666666666)</f>
        <v/>
      </c>
      <c r="C199" s="141">
        <f>IFERROR(__xludf.DUMMYFUNCTION("""COMPUTED_VALUE"""),98.13)</f>
        <v/>
      </c>
      <c r="D199" s="141">
        <f>IFERROR(__xludf.DUMMYFUNCTION("""COMPUTED_VALUE"""),98.73)</f>
        <v/>
      </c>
      <c r="E199" s="141">
        <f>IFERROR(__xludf.DUMMYFUNCTION("""COMPUTED_VALUE"""),98.03)</f>
        <v/>
      </c>
      <c r="F199" s="141">
        <f>IFERROR(__xludf.DUMMYFUNCTION("""COMPUTED_VALUE"""),98.49)</f>
        <v/>
      </c>
      <c r="G199" s="143">
        <f>IFERROR(__xludf.DUMMYFUNCTION("""COMPUTED_VALUE"""),11810903)</f>
        <v/>
      </c>
      <c r="H199" s="27" t="n"/>
    </row>
    <row r="200" ht="17.25" customHeight="1" s="322">
      <c r="A200" s="27" t="n"/>
      <c r="B200" s="506">
        <f>IFERROR(__xludf.DUMMYFUNCTION("""COMPUTED_VALUE"""),46119.6666666666)</f>
        <v/>
      </c>
      <c r="C200" s="141">
        <f>IFERROR(__xludf.DUMMYFUNCTION("""COMPUTED_VALUE"""),97.67)</f>
        <v/>
      </c>
      <c r="D200" s="141">
        <f>IFERROR(__xludf.DUMMYFUNCTION("""COMPUTED_VALUE"""),98.5)</f>
        <v/>
      </c>
      <c r="E200" s="141">
        <f>IFERROR(__xludf.DUMMYFUNCTION("""COMPUTED_VALUE"""),96.79)</f>
        <v/>
      </c>
      <c r="F200" s="141">
        <f>IFERROR(__xludf.DUMMYFUNCTION("""COMPUTED_VALUE"""),98.35)</f>
        <v/>
      </c>
      <c r="G200" s="143">
        <f>IFERROR(__xludf.DUMMYFUNCTION("""COMPUTED_VALUE"""),19809723)</f>
        <v/>
      </c>
      <c r="H200" s="27" t="n"/>
    </row>
    <row r="201" ht="17.25" customHeight="1" s="322">
      <c r="A201" s="27" t="n"/>
      <c r="B201" s="506">
        <f>IFERROR(__xludf.DUMMYFUNCTION("""COMPUTED_VALUE"""),46120.6666666666)</f>
        <v/>
      </c>
      <c r="C201" s="141">
        <f>IFERROR(__xludf.DUMMYFUNCTION("""COMPUTED_VALUE"""),102.49)</f>
        <v/>
      </c>
      <c r="D201" s="141">
        <f>IFERROR(__xludf.DUMMYFUNCTION("""COMPUTED_VALUE"""),102.64)</f>
        <v/>
      </c>
      <c r="E201" s="141">
        <f>IFERROR(__xludf.DUMMYFUNCTION("""COMPUTED_VALUE"""),101.52)</f>
        <v/>
      </c>
      <c r="F201" s="141">
        <f>IFERROR(__xludf.DUMMYFUNCTION("""COMPUTED_VALUE"""),102.19)</f>
        <v/>
      </c>
      <c r="G201" s="143">
        <f>IFERROR(__xludf.DUMMYFUNCTION("""COMPUTED_VALUE"""),22300868)</f>
        <v/>
      </c>
      <c r="H201" s="27" t="n"/>
    </row>
    <row r="202" ht="17.25" customHeight="1" s="322">
      <c r="A202" s="27" t="n"/>
      <c r="B202" s="506">
        <f>IFERROR(__xludf.DUMMYFUNCTION("""COMPUTED_VALUE"""),46121.6666666666)</f>
        <v/>
      </c>
      <c r="C202" s="141">
        <f>IFERROR(__xludf.DUMMYFUNCTION("""COMPUTED_VALUE"""),101.09)</f>
        <v/>
      </c>
      <c r="D202" s="141">
        <f>IFERROR(__xludf.DUMMYFUNCTION("""COMPUTED_VALUE"""),102.47)</f>
        <v/>
      </c>
      <c r="E202" s="141">
        <f>IFERROR(__xludf.DUMMYFUNCTION("""COMPUTED_VALUE"""),100.91)</f>
        <v/>
      </c>
      <c r="F202" s="141">
        <f>IFERROR(__xludf.DUMMYFUNCTION("""COMPUTED_VALUE"""),101.95)</f>
        <v/>
      </c>
      <c r="G202" s="143">
        <f>IFERROR(__xludf.DUMMYFUNCTION("""COMPUTED_VALUE"""),14958352)</f>
        <v/>
      </c>
      <c r="H202" s="27" t="n"/>
    </row>
    <row r="203" ht="17.25" customHeight="1" s="322">
      <c r="A203" s="27" t="n"/>
      <c r="B203" s="506">
        <f>IFERROR(__xludf.DUMMYFUNCTION("""COMPUTED_VALUE"""),46122.6666666666)</f>
        <v/>
      </c>
      <c r="C203" s="141">
        <f>IFERROR(__xludf.DUMMYFUNCTION("""COMPUTED_VALUE"""),102.63)</f>
        <v/>
      </c>
      <c r="D203" s="141">
        <f>IFERROR(__xludf.DUMMYFUNCTION("""COMPUTED_VALUE"""),102.69)</f>
        <v/>
      </c>
      <c r="E203" s="141">
        <f>IFERROR(__xludf.DUMMYFUNCTION("""COMPUTED_VALUE"""),101.81)</f>
        <v/>
      </c>
      <c r="F203" s="141">
        <f>IFERROR(__xludf.DUMMYFUNCTION("""COMPUTED_VALUE"""),102.18)</f>
        <v/>
      </c>
      <c r="G203" s="143">
        <f>IFERROR(__xludf.DUMMYFUNCTION("""COMPUTED_VALUE"""),8670349)</f>
        <v/>
      </c>
      <c r="H203" s="27" t="n"/>
    </row>
    <row r="204" ht="17.25" customHeight="1" s="322">
      <c r="A204" s="27" t="n"/>
      <c r="B204" s="506">
        <f>IFERROR(__xludf.DUMMYFUNCTION("""COMPUTED_VALUE"""),46125.6666666666)</f>
        <v/>
      </c>
      <c r="C204" s="141">
        <f>IFERROR(__xludf.DUMMYFUNCTION("""COMPUTED_VALUE"""),101.27)</f>
        <v/>
      </c>
      <c r="D204" s="141">
        <f>IFERROR(__xludf.DUMMYFUNCTION("""COMPUTED_VALUE"""),102.85)</f>
        <v/>
      </c>
      <c r="E204" s="141">
        <f>IFERROR(__xludf.DUMMYFUNCTION("""COMPUTED_VALUE"""),101.18)</f>
        <v/>
      </c>
      <c r="F204" s="141">
        <f>IFERROR(__xludf.DUMMYFUNCTION("""COMPUTED_VALUE"""),102.81)</f>
        <v/>
      </c>
      <c r="G204" s="143">
        <f>IFERROR(__xludf.DUMMYFUNCTION("""COMPUTED_VALUE"""),19346913)</f>
        <v/>
      </c>
      <c r="H204" s="27" t="n"/>
    </row>
    <row r="205" ht="17.25" customHeight="1" s="322">
      <c r="A205" s="27" t="n"/>
      <c r="B205" s="506">
        <f>IFERROR(__xludf.DUMMYFUNCTION("""COMPUTED_VALUE"""),46126.6666666666)</f>
        <v/>
      </c>
      <c r="C205" s="141">
        <f>IFERROR(__xludf.DUMMYFUNCTION("""COMPUTED_VALUE"""),103.34)</f>
        <v/>
      </c>
      <c r="D205" s="141">
        <f>IFERROR(__xludf.DUMMYFUNCTION("""COMPUTED_VALUE"""),103.82)</f>
        <v/>
      </c>
      <c r="E205" s="141">
        <f>IFERROR(__xludf.DUMMYFUNCTION("""COMPUTED_VALUE"""),103.21)</f>
        <v/>
      </c>
      <c r="F205" s="141">
        <f>IFERROR(__xludf.DUMMYFUNCTION("""COMPUTED_VALUE"""),103.64)</f>
        <v/>
      </c>
      <c r="G205" s="143">
        <f>IFERROR(__xludf.DUMMYFUNCTION("""COMPUTED_VALUE"""),16581254)</f>
        <v/>
      </c>
      <c r="H205" s="27" t="n"/>
    </row>
    <row r="206" ht="17.25" customHeight="1" s="322">
      <c r="A206" s="27" t="n"/>
      <c r="B206" s="506">
        <f>IFERROR(__xludf.DUMMYFUNCTION("""COMPUTED_VALUE"""),46127.6666666666)</f>
        <v/>
      </c>
      <c r="C206" s="141">
        <f>IFERROR(__xludf.DUMMYFUNCTION("""COMPUTED_VALUE"""),103.39)</f>
        <v/>
      </c>
      <c r="D206" s="141">
        <f>IFERROR(__xludf.DUMMYFUNCTION("""COMPUTED_VALUE"""),103.45)</f>
        <v/>
      </c>
      <c r="E206" s="141">
        <f>IFERROR(__xludf.DUMMYFUNCTION("""COMPUTED_VALUE"""),102.94)</f>
        <v/>
      </c>
      <c r="F206" s="141">
        <f>IFERROR(__xludf.DUMMYFUNCTION("""COMPUTED_VALUE"""),103.31)</f>
        <v/>
      </c>
      <c r="G206" s="143">
        <f>IFERROR(__xludf.DUMMYFUNCTION("""COMPUTED_VALUE"""),8786288)</f>
        <v/>
      </c>
      <c r="H206" s="27" t="n"/>
    </row>
    <row r="207" ht="17.25" customHeight="1" s="322">
      <c r="A207" s="27" t="n"/>
      <c r="B207" s="506">
        <f>IFERROR(__xludf.DUMMYFUNCTION("""COMPUTED_VALUE"""),46128.6666666666)</f>
        <v/>
      </c>
      <c r="C207" s="141">
        <f>IFERROR(__xludf.DUMMYFUNCTION("""COMPUTED_VALUE"""),103.56)</f>
        <v/>
      </c>
      <c r="D207" s="141">
        <f>IFERROR(__xludf.DUMMYFUNCTION("""COMPUTED_VALUE"""),103.58)</f>
        <v/>
      </c>
      <c r="E207" s="141">
        <f>IFERROR(__xludf.DUMMYFUNCTION("""COMPUTED_VALUE"""),102.65)</f>
        <v/>
      </c>
      <c r="F207" s="141">
        <f>IFERROR(__xludf.DUMMYFUNCTION("""COMPUTED_VALUE"""),103.01)</f>
        <v/>
      </c>
      <c r="G207" s="143">
        <f>IFERROR(__xludf.DUMMYFUNCTION("""COMPUTED_VALUE"""),13227622)</f>
        <v/>
      </c>
      <c r="H207" s="27" t="n"/>
    </row>
    <row r="208" ht="17.25" customHeight="1" s="322">
      <c r="A208" s="27" t="n"/>
      <c r="B208" s="506">
        <f>IFERROR(__xludf.DUMMYFUNCTION("""COMPUTED_VALUE"""),46129.6666666666)</f>
        <v/>
      </c>
      <c r="C208" s="141">
        <f>IFERROR(__xludf.DUMMYFUNCTION("""COMPUTED_VALUE"""),104.46)</f>
        <v/>
      </c>
      <c r="D208" s="141">
        <f>IFERROR(__xludf.DUMMYFUNCTION("""COMPUTED_VALUE"""),105.13)</f>
        <v/>
      </c>
      <c r="E208" s="141">
        <f>IFERROR(__xludf.DUMMYFUNCTION("""COMPUTED_VALUE"""),104.21)</f>
        <v/>
      </c>
      <c r="F208" s="141">
        <f>IFERROR(__xludf.DUMMYFUNCTION("""COMPUTED_VALUE"""),104.32)</f>
        <v/>
      </c>
      <c r="G208" s="143">
        <f>IFERROR(__xludf.DUMMYFUNCTION("""COMPUTED_VALUE"""),17321901)</f>
        <v/>
      </c>
      <c r="H208" s="27" t="n"/>
    </row>
    <row r="209" ht="17.25" customHeight="1" s="322">
      <c r="A209" s="27" t="n"/>
      <c r="B209" s="506">
        <f>IFERROR(__xludf.DUMMYFUNCTION("""COMPUTED_VALUE"""),46132.6666666666)</f>
        <v/>
      </c>
      <c r="C209" s="141">
        <f>IFERROR(__xludf.DUMMYFUNCTION("""COMPUTED_VALUE"""),103.72)</f>
        <v/>
      </c>
      <c r="D209" s="141">
        <f>IFERROR(__xludf.DUMMYFUNCTION("""COMPUTED_VALUE"""),103.93)</f>
        <v/>
      </c>
      <c r="E209" s="141">
        <f>IFERROR(__xludf.DUMMYFUNCTION("""COMPUTED_VALUE"""),103.13)</f>
        <v/>
      </c>
      <c r="F209" s="141">
        <f>IFERROR(__xludf.DUMMYFUNCTION("""COMPUTED_VALUE"""),103.91)</f>
        <v/>
      </c>
      <c r="G209" s="143">
        <f>IFERROR(__xludf.DUMMYFUNCTION("""COMPUTED_VALUE"""),12896409)</f>
        <v/>
      </c>
      <c r="H209" s="27" t="n"/>
    </row>
    <row r="210" ht="17.25" customHeight="1" s="322">
      <c r="A210" s="27" t="n"/>
      <c r="B210" s="506">
        <f>IFERROR(__xludf.DUMMYFUNCTION("""COMPUTED_VALUE"""),46133.6666666666)</f>
        <v/>
      </c>
      <c r="C210" s="141">
        <f>IFERROR(__xludf.DUMMYFUNCTION("""COMPUTED_VALUE"""),103.13)</f>
        <v/>
      </c>
      <c r="D210" s="141">
        <f>IFERROR(__xludf.DUMMYFUNCTION("""COMPUTED_VALUE"""),103.27)</f>
        <v/>
      </c>
      <c r="E210" s="141">
        <f>IFERROR(__xludf.DUMMYFUNCTION("""COMPUTED_VALUE"""),101.51)</f>
        <v/>
      </c>
      <c r="F210" s="141">
        <f>IFERROR(__xludf.DUMMYFUNCTION("""COMPUTED_VALUE"""),101.63)</f>
        <v/>
      </c>
      <c r="G210" s="143">
        <f>IFERROR(__xludf.DUMMYFUNCTION("""COMPUTED_VALUE"""),18105408)</f>
        <v/>
      </c>
      <c r="H210" s="27" t="n"/>
    </row>
    <row r="211" ht="17.25" customHeight="1" s="322">
      <c r="A211" s="27" t="n"/>
      <c r="B211" s="506">
        <f>IFERROR(__xludf.DUMMYFUNCTION("""COMPUTED_VALUE"""),46134.6666666666)</f>
        <v/>
      </c>
      <c r="C211" s="141">
        <f>IFERROR(__xludf.DUMMYFUNCTION("""COMPUTED_VALUE"""),102.33)</f>
        <v/>
      </c>
      <c r="D211" s="141">
        <f>IFERROR(__xludf.DUMMYFUNCTION("""COMPUTED_VALUE"""),102.38)</f>
        <v/>
      </c>
      <c r="E211" s="141">
        <f>IFERROR(__xludf.DUMMYFUNCTION("""COMPUTED_VALUE"""),101.65)</f>
        <v/>
      </c>
      <c r="F211" s="141">
        <f>IFERROR(__xludf.DUMMYFUNCTION("""COMPUTED_VALUE"""),101.97)</f>
        <v/>
      </c>
      <c r="G211" s="143">
        <f>IFERROR(__xludf.DUMMYFUNCTION("""COMPUTED_VALUE"""),9990803)</f>
        <v/>
      </c>
      <c r="H211" s="27" t="n"/>
    </row>
    <row r="212" ht="17.25" customHeight="1" s="322">
      <c r="A212" s="27" t="n"/>
      <c r="B212" s="506">
        <f>IFERROR(__xludf.DUMMYFUNCTION("""COMPUTED_VALUE"""),46135.6666666666)</f>
        <v/>
      </c>
      <c r="C212" s="141">
        <f>IFERROR(__xludf.DUMMYFUNCTION("""COMPUTED_VALUE"""),101.75)</f>
        <v/>
      </c>
      <c r="D212" s="141">
        <f>IFERROR(__xludf.DUMMYFUNCTION("""COMPUTED_VALUE"""),102.12)</f>
        <v/>
      </c>
      <c r="E212" s="141">
        <f>IFERROR(__xludf.DUMMYFUNCTION("""COMPUTED_VALUE"""),100.15)</f>
        <v/>
      </c>
      <c r="F212" s="141">
        <f>IFERROR(__xludf.DUMMYFUNCTION("""COMPUTED_VALUE"""),101.24)</f>
        <v/>
      </c>
      <c r="G212" s="143">
        <f>IFERROR(__xludf.DUMMYFUNCTION("""COMPUTED_VALUE"""),15774205)</f>
        <v/>
      </c>
      <c r="H212" s="27" t="n"/>
    </row>
    <row r="213" ht="17.25" customHeight="1" s="322">
      <c r="A213" s="27" t="n"/>
      <c r="B213" s="506">
        <f>IFERROR(__xludf.DUMMYFUNCTION("""COMPUTED_VALUE"""),46136.6666666666)</f>
        <v/>
      </c>
      <c r="C213" s="141">
        <f>IFERROR(__xludf.DUMMYFUNCTION("""COMPUTED_VALUE"""),101.41)</f>
        <v/>
      </c>
      <c r="D213" s="141">
        <f>IFERROR(__xludf.DUMMYFUNCTION("""COMPUTED_VALUE"""),101.96)</f>
        <v/>
      </c>
      <c r="E213" s="141">
        <f>IFERROR(__xludf.DUMMYFUNCTION("""COMPUTED_VALUE"""),101.15)</f>
        <v/>
      </c>
      <c r="F213" s="141">
        <f>IFERROR(__xludf.DUMMYFUNCTION("""COMPUTED_VALUE"""),101.77)</f>
        <v/>
      </c>
      <c r="G213" s="143">
        <f>IFERROR(__xludf.DUMMYFUNCTION("""COMPUTED_VALUE"""),14219369)</f>
        <v/>
      </c>
      <c r="H213" s="27" t="n"/>
    </row>
    <row r="214" ht="17.25" customHeight="1" s="322">
      <c r="A214" s="27" t="n"/>
      <c r="B214" s="506">
        <f>IFERROR(__xludf.DUMMYFUNCTION("""COMPUTED_VALUE"""),46139.6666666666)</f>
        <v/>
      </c>
      <c r="C214" s="141">
        <f>IFERROR(__xludf.DUMMYFUNCTION("""COMPUTED_VALUE"""),101.83)</f>
        <v/>
      </c>
      <c r="D214" s="141">
        <f>IFERROR(__xludf.DUMMYFUNCTION("""COMPUTED_VALUE"""),102.06)</f>
        <v/>
      </c>
      <c r="E214" s="141">
        <f>IFERROR(__xludf.DUMMYFUNCTION("""COMPUTED_VALUE"""),101.34)</f>
        <v/>
      </c>
      <c r="F214" s="141">
        <f>IFERROR(__xludf.DUMMYFUNCTION("""COMPUTED_VALUE"""),101.38)</f>
        <v/>
      </c>
      <c r="G214" s="143">
        <f>IFERROR(__xludf.DUMMYFUNCTION("""COMPUTED_VALUE"""),10091680)</f>
        <v/>
      </c>
      <c r="H214" s="27" t="n"/>
    </row>
    <row r="215" ht="17.25" customHeight="1" s="322">
      <c r="A215" s="27" t="n"/>
      <c r="B215" s="506">
        <f>IFERROR(__xludf.DUMMYFUNCTION("""COMPUTED_VALUE"""),46140.6666666666)</f>
        <v/>
      </c>
      <c r="C215" s="141">
        <f>IFERROR(__xludf.DUMMYFUNCTION("""COMPUTED_VALUE"""),100.93)</f>
        <v/>
      </c>
      <c r="D215" s="141">
        <f>IFERROR(__xludf.DUMMYFUNCTION("""COMPUTED_VALUE"""),101.13)</f>
        <v/>
      </c>
      <c r="E215" s="141">
        <f>IFERROR(__xludf.DUMMYFUNCTION("""COMPUTED_VALUE"""),100.56)</f>
        <v/>
      </c>
      <c r="F215" s="141">
        <f>IFERROR(__xludf.DUMMYFUNCTION("""COMPUTED_VALUE"""),100.96)</f>
        <v/>
      </c>
      <c r="G215" s="143">
        <f>IFERROR(__xludf.DUMMYFUNCTION("""COMPUTED_VALUE"""),11008861)</f>
        <v/>
      </c>
      <c r="H215" s="27" t="n"/>
    </row>
    <row r="216" ht="17.25" customHeight="1" s="322">
      <c r="A216" s="27" t="n"/>
      <c r="B216" s="506">
        <f>IFERROR(__xludf.DUMMYFUNCTION("""COMPUTED_VALUE"""),46141.6666666666)</f>
        <v/>
      </c>
      <c r="C216" s="141">
        <f>IFERROR(__xludf.DUMMYFUNCTION("""COMPUTED_VALUE"""),100.4)</f>
        <v/>
      </c>
      <c r="D216" s="141">
        <f>IFERROR(__xludf.DUMMYFUNCTION("""COMPUTED_VALUE"""),100.48)</f>
        <v/>
      </c>
      <c r="E216" s="141">
        <f>IFERROR(__xludf.DUMMYFUNCTION("""COMPUTED_VALUE"""),99.51)</f>
        <v/>
      </c>
      <c r="F216" s="141">
        <f>IFERROR(__xludf.DUMMYFUNCTION("""COMPUTED_VALUE"""),99.93)</f>
        <v/>
      </c>
      <c r="G216" s="143">
        <f>IFERROR(__xludf.DUMMYFUNCTION("""COMPUTED_VALUE"""),10987199)</f>
        <v/>
      </c>
      <c r="H216" s="27" t="n"/>
    </row>
    <row r="217" ht="17.25" customHeight="1" s="322">
      <c r="A217" s="27" t="n"/>
      <c r="B217" s="506">
        <f>IFERROR(__xludf.DUMMYFUNCTION("""COMPUTED_VALUE"""),46142.6666666666)</f>
        <v/>
      </c>
      <c r="C217" s="141">
        <f>IFERROR(__xludf.DUMMYFUNCTION("""COMPUTED_VALUE"""),101.32)</f>
        <v/>
      </c>
      <c r="D217" s="141">
        <f>IFERROR(__xludf.DUMMYFUNCTION("""COMPUTED_VALUE"""),102.58)</f>
        <v/>
      </c>
      <c r="E217" s="141">
        <f>IFERROR(__xludf.DUMMYFUNCTION("""COMPUTED_VALUE"""),101.09)</f>
        <v/>
      </c>
      <c r="F217" s="141">
        <f>IFERROR(__xludf.DUMMYFUNCTION("""COMPUTED_VALUE"""),102.32)</f>
        <v/>
      </c>
      <c r="G217" s="143">
        <f>IFERROR(__xludf.DUMMYFUNCTION("""COMPUTED_VALUE"""),16585805)</f>
        <v/>
      </c>
      <c r="H217" s="27" t="n"/>
    </row>
    <row r="218" ht="17.25" customHeight="1" s="322">
      <c r="A218" s="27" t="n"/>
      <c r="B218" s="506">
        <f>IFERROR(__xludf.DUMMYFUNCTION("""COMPUTED_VALUE"""),46143.6666666666)</f>
        <v/>
      </c>
      <c r="C218" s="141">
        <f>IFERROR(__xludf.DUMMYFUNCTION("""COMPUTED_VALUE"""),102.29)</f>
        <v/>
      </c>
      <c r="D218" s="141">
        <f>IFERROR(__xludf.DUMMYFUNCTION("""COMPUTED_VALUE"""),102.87)</f>
        <v/>
      </c>
      <c r="E218" s="141">
        <f>IFERROR(__xludf.DUMMYFUNCTION("""COMPUTED_VALUE"""),102.07)</f>
        <v/>
      </c>
      <c r="F218" s="141">
        <f>IFERROR(__xludf.DUMMYFUNCTION("""COMPUTED_VALUE"""),102.1)</f>
        <v/>
      </c>
      <c r="G218" s="143">
        <f>IFERROR(__xludf.DUMMYFUNCTION("""COMPUTED_VALUE"""),14447180)</f>
        <v/>
      </c>
      <c r="H218" s="27" t="n"/>
    </row>
    <row r="219" ht="17.25" customHeight="1" s="322">
      <c r="A219" s="27" t="n"/>
      <c r="B219" s="506">
        <f>IFERROR(__xludf.DUMMYFUNCTION("""COMPUTED_VALUE"""),46146.6666666666)</f>
        <v/>
      </c>
      <c r="C219" s="141">
        <f>IFERROR(__xludf.DUMMYFUNCTION("""COMPUTED_VALUE"""),101.44)</f>
        <v/>
      </c>
      <c r="D219" s="141">
        <f>IFERROR(__xludf.DUMMYFUNCTION("""COMPUTED_VALUE"""),101.72)</f>
        <v/>
      </c>
      <c r="E219" s="141">
        <f>IFERROR(__xludf.DUMMYFUNCTION("""COMPUTED_VALUE"""),100.26)</f>
        <v/>
      </c>
      <c r="F219" s="141">
        <f>IFERROR(__xludf.DUMMYFUNCTION("""COMPUTED_VALUE"""),100.7)</f>
        <v/>
      </c>
      <c r="G219" s="143">
        <f>IFERROR(__xludf.DUMMYFUNCTION("""COMPUTED_VALUE"""),21026267)</f>
        <v/>
      </c>
      <c r="H219" s="27" t="n"/>
    </row>
    <row r="220" ht="17.25" customHeight="1" s="322">
      <c r="A220" s="27" t="n"/>
      <c r="B220" s="506">
        <f>IFERROR(__xludf.DUMMYFUNCTION("""COMPUTED_VALUE"""),46147.6666666666)</f>
        <v/>
      </c>
      <c r="C220" s="141">
        <f>IFERROR(__xludf.DUMMYFUNCTION("""COMPUTED_VALUE"""),101.67)</f>
        <v/>
      </c>
      <c r="D220" s="141">
        <f>IFERROR(__xludf.DUMMYFUNCTION("""COMPUTED_VALUE"""),102.16)</f>
        <v/>
      </c>
      <c r="E220" s="141">
        <f>IFERROR(__xludf.DUMMYFUNCTION("""COMPUTED_VALUE"""),101.19)</f>
        <v/>
      </c>
      <c r="F220" s="141">
        <f>IFERROR(__xludf.DUMMYFUNCTION("""COMPUTED_VALUE"""),102.04)</f>
        <v/>
      </c>
      <c r="G220" s="143">
        <f>IFERROR(__xludf.DUMMYFUNCTION("""COMPUTED_VALUE"""),12347316)</f>
        <v/>
      </c>
      <c r="H220" s="27" t="n"/>
    </row>
    <row r="221" ht="17.25" customHeight="1" s="322">
      <c r="A221" s="27" t="n"/>
      <c r="B221" s="506">
        <f>IFERROR(__xludf.DUMMYFUNCTION("""COMPUTED_VALUE"""),46148.6666666666)</f>
        <v/>
      </c>
      <c r="C221" s="141">
        <f>IFERROR(__xludf.DUMMYFUNCTION("""COMPUTED_VALUE"""),104.5)</f>
        <v/>
      </c>
      <c r="D221" s="141">
        <f>IFERROR(__xludf.DUMMYFUNCTION("""COMPUTED_VALUE"""),104.92)</f>
        <v/>
      </c>
      <c r="E221" s="141">
        <f>IFERROR(__xludf.DUMMYFUNCTION("""COMPUTED_VALUE"""),104.31)</f>
        <v/>
      </c>
      <c r="F221" s="141">
        <f>IFERROR(__xludf.DUMMYFUNCTION("""COMPUTED_VALUE"""),104.81)</f>
        <v/>
      </c>
      <c r="G221" s="143">
        <f>IFERROR(__xludf.DUMMYFUNCTION("""COMPUTED_VALUE"""),14755516)</f>
        <v/>
      </c>
      <c r="H221" s="27" t="n"/>
    </row>
    <row r="222" ht="17.25" customHeight="1" s="322">
      <c r="A222" s="27" t="n"/>
      <c r="B222" s="506">
        <f>IFERROR(__xludf.DUMMYFUNCTION("""COMPUTED_VALUE"""),46149.6666666666)</f>
        <v/>
      </c>
      <c r="C222" s="141">
        <f>IFERROR(__xludf.DUMMYFUNCTION("""COMPUTED_VALUE"""),104.82)</f>
        <v/>
      </c>
      <c r="D222" s="141">
        <f>IFERROR(__xludf.DUMMYFUNCTION("""COMPUTED_VALUE"""),104.86)</f>
        <v/>
      </c>
      <c r="E222" s="141">
        <f>IFERROR(__xludf.DUMMYFUNCTION("""COMPUTED_VALUE"""),102.82)</f>
        <v/>
      </c>
      <c r="F222" s="141">
        <f>IFERROR(__xludf.DUMMYFUNCTION("""COMPUTED_VALUE"""),102.89)</f>
        <v/>
      </c>
      <c r="G222" s="143">
        <f>IFERROR(__xludf.DUMMYFUNCTION("""COMPUTED_VALUE"""),19257475)</f>
        <v/>
      </c>
      <c r="H222" s="27" t="n"/>
    </row>
    <row r="223" ht="17.25" customHeight="1" s="322">
      <c r="A223" s="27" t="n"/>
      <c r="B223" s="506">
        <f>IFERROR(__xludf.DUMMYFUNCTION("""COMPUTED_VALUE"""),46150.6666666666)</f>
        <v/>
      </c>
      <c r="C223" s="141">
        <f>IFERROR(__xludf.DUMMYFUNCTION("""COMPUTED_VALUE"""),103.77)</f>
        <v/>
      </c>
      <c r="D223" s="141">
        <f>IFERROR(__xludf.DUMMYFUNCTION("""COMPUTED_VALUE"""),104.04)</f>
        <v/>
      </c>
      <c r="E223" s="141">
        <f>IFERROR(__xludf.DUMMYFUNCTION("""COMPUTED_VALUE"""),103.39)</f>
        <v/>
      </c>
      <c r="F223" s="141">
        <f>IFERROR(__xludf.DUMMYFUNCTION("""COMPUTED_VALUE"""),103.96)</f>
        <v/>
      </c>
      <c r="G223" s="143">
        <f>IFERROR(__xludf.DUMMYFUNCTION("""COMPUTED_VALUE"""),12280190)</f>
        <v/>
      </c>
      <c r="H223" s="27" t="n"/>
    </row>
    <row r="224" ht="17.25" customHeight="1" s="322">
      <c r="A224" s="27" t="n"/>
      <c r="B224" s="506">
        <f>IFERROR(__xludf.DUMMYFUNCTION("""COMPUTED_VALUE"""),46153.6666666666)</f>
        <v/>
      </c>
      <c r="C224" s="141">
        <f>IFERROR(__xludf.DUMMYFUNCTION("""COMPUTED_VALUE"""),103.81)</f>
        <v/>
      </c>
      <c r="D224" s="141">
        <f>IFERROR(__xludf.DUMMYFUNCTION("""COMPUTED_VALUE"""),104)</f>
        <v/>
      </c>
      <c r="E224" s="141">
        <f>IFERROR(__xludf.DUMMYFUNCTION("""COMPUTED_VALUE"""),103.57)</f>
        <v/>
      </c>
      <c r="F224" s="141">
        <f>IFERROR(__xludf.DUMMYFUNCTION("""COMPUTED_VALUE"""),103.74)</f>
        <v/>
      </c>
      <c r="G224" s="143">
        <f>IFERROR(__xludf.DUMMYFUNCTION("""COMPUTED_VALUE"""),10717946)</f>
        <v/>
      </c>
      <c r="H224" s="27" t="n"/>
    </row>
    <row r="225" ht="17.25" customHeight="1" s="322">
      <c r="A225" s="27" t="n"/>
      <c r="B225" s="506">
        <f>IFERROR(__xludf.DUMMYFUNCTION("""COMPUTED_VALUE"""),46154.6666666666)</f>
        <v/>
      </c>
      <c r="C225" s="141">
        <f>IFERROR(__xludf.DUMMYFUNCTION("""COMPUTED_VALUE"""),103)</f>
        <v/>
      </c>
      <c r="D225" s="141">
        <f>IFERROR(__xludf.DUMMYFUNCTION("""COMPUTED_VALUE"""),103.28)</f>
        <v/>
      </c>
      <c r="E225" s="141">
        <f>IFERROR(__xludf.DUMMYFUNCTION("""COMPUTED_VALUE"""),102.35)</f>
        <v/>
      </c>
      <c r="F225" s="141">
        <f>IFERROR(__xludf.DUMMYFUNCTION("""COMPUTED_VALUE"""),103.14)</f>
        <v/>
      </c>
      <c r="G225" s="143">
        <f>IFERROR(__xludf.DUMMYFUNCTION("""COMPUTED_VALUE"""),15771338)</f>
        <v/>
      </c>
      <c r="H225" s="27" t="n"/>
    </row>
    <row r="226" ht="17.25" customHeight="1" s="322">
      <c r="A226" s="27" t="n"/>
      <c r="B226" s="506">
        <f>IFERROR(__xludf.DUMMYFUNCTION("""COMPUTED_VALUE"""),46155.6666666666)</f>
        <v/>
      </c>
      <c r="C226" s="141">
        <f>IFERROR(__xludf.DUMMYFUNCTION("""COMPUTED_VALUE"""),103.01)</f>
        <v/>
      </c>
      <c r="D226" s="141">
        <f>IFERROR(__xludf.DUMMYFUNCTION("""COMPUTED_VALUE"""),103.88)</f>
        <v/>
      </c>
      <c r="E226" s="141">
        <f>IFERROR(__xludf.DUMMYFUNCTION("""COMPUTED_VALUE"""),102.93)</f>
        <v/>
      </c>
      <c r="F226" s="141">
        <f>IFERROR(__xludf.DUMMYFUNCTION("""COMPUTED_VALUE"""),103.83)</f>
        <v/>
      </c>
      <c r="G226" s="143">
        <f>IFERROR(__xludf.DUMMYFUNCTION("""COMPUTED_VALUE"""),9578943)</f>
        <v/>
      </c>
      <c r="H226" s="27" t="n"/>
    </row>
    <row r="227" ht="17.25" customHeight="1" s="322">
      <c r="A227" s="27" t="n"/>
      <c r="B227" s="506">
        <f>IFERROR(__xludf.DUMMYFUNCTION("""COMPUTED_VALUE"""),46156.6666666666)</f>
        <v/>
      </c>
      <c r="C227" s="141">
        <f>IFERROR(__xludf.DUMMYFUNCTION("""COMPUTED_VALUE"""),103.79)</f>
        <v/>
      </c>
      <c r="D227" s="141">
        <f>IFERROR(__xludf.DUMMYFUNCTION("""COMPUTED_VALUE"""),103.93)</f>
        <v/>
      </c>
      <c r="E227" s="141">
        <f>IFERROR(__xludf.DUMMYFUNCTION("""COMPUTED_VALUE"""),103.41)</f>
        <v/>
      </c>
      <c r="F227" s="141">
        <f>IFERROR(__xludf.DUMMYFUNCTION("""COMPUTED_VALUE"""),103.46)</f>
        <v/>
      </c>
      <c r="G227" s="143">
        <f>IFERROR(__xludf.DUMMYFUNCTION("""COMPUTED_VALUE"""),8943807)</f>
        <v/>
      </c>
      <c r="H227" s="27" t="n"/>
    </row>
    <row r="228" ht="17.25" customHeight="1" s="322">
      <c r="A228" s="27" t="n"/>
      <c r="B228" s="506">
        <f>IFERROR(__xludf.DUMMYFUNCTION("""COMPUTED_VALUE"""),46157.6666666666)</f>
        <v/>
      </c>
      <c r="C228" s="141">
        <f>IFERROR(__xludf.DUMMYFUNCTION("""COMPUTED_VALUE"""),102.01)</f>
        <v/>
      </c>
      <c r="D228" s="141">
        <f>IFERROR(__xludf.DUMMYFUNCTION("""COMPUTED_VALUE"""),102.14)</f>
        <v/>
      </c>
      <c r="E228" s="141">
        <f>IFERROR(__xludf.DUMMYFUNCTION("""COMPUTED_VALUE"""),101.55)</f>
        <v/>
      </c>
      <c r="F228" s="141">
        <f>IFERROR(__xludf.DUMMYFUNCTION("""COMPUTED_VALUE"""),101.72)</f>
        <v/>
      </c>
      <c r="G228" s="143">
        <f>IFERROR(__xludf.DUMMYFUNCTION("""COMPUTED_VALUE"""),17916753)</f>
        <v/>
      </c>
      <c r="H228" s="27" t="n"/>
    </row>
    <row r="229" ht="17.25" customHeight="1" s="322">
      <c r="A229" s="27" t="n"/>
      <c r="B229" s="506">
        <f>IFERROR(__xludf.DUMMYFUNCTION("""COMPUTED_VALUE"""),46160.6666666666)</f>
        <v/>
      </c>
      <c r="C229" s="141">
        <f>IFERROR(__xludf.DUMMYFUNCTION("""COMPUTED_VALUE"""),102.48)</f>
        <v/>
      </c>
      <c r="D229" s="141">
        <f>IFERROR(__xludf.DUMMYFUNCTION("""COMPUTED_VALUE"""),102.82)</f>
        <v/>
      </c>
      <c r="E229" s="141">
        <f>IFERROR(__xludf.DUMMYFUNCTION("""COMPUTED_VALUE"""),101.78)</f>
        <v/>
      </c>
      <c r="F229" s="141">
        <f>IFERROR(__xludf.DUMMYFUNCTION("""COMPUTED_VALUE"""),102.66)</f>
        <v/>
      </c>
      <c r="G229" s="143">
        <f>IFERROR(__xludf.DUMMYFUNCTION("""COMPUTED_VALUE"""),15943993)</f>
        <v/>
      </c>
      <c r="H229" s="27" t="n"/>
    </row>
    <row r="230" ht="17.25" customHeight="1" s="322">
      <c r="A230" s="27" t="n"/>
      <c r="B230" s="506">
        <f>IFERROR(__xludf.DUMMYFUNCTION("""COMPUTED_VALUE"""),46161.6666666666)</f>
        <v/>
      </c>
      <c r="C230" s="141">
        <f>IFERROR(__xludf.DUMMYFUNCTION("""COMPUTED_VALUE"""),102.08)</f>
        <v/>
      </c>
      <c r="D230" s="141">
        <f>IFERROR(__xludf.DUMMYFUNCTION("""COMPUTED_VALUE"""),102.47)</f>
        <v/>
      </c>
      <c r="E230" s="141">
        <f>IFERROR(__xludf.DUMMYFUNCTION("""COMPUTED_VALUE"""),101.69)</f>
        <v/>
      </c>
      <c r="F230" s="141">
        <f>IFERROR(__xludf.DUMMYFUNCTION("""COMPUTED_VALUE"""),101.92)</f>
        <v/>
      </c>
      <c r="G230" s="143">
        <f>IFERROR(__xludf.DUMMYFUNCTION("""COMPUTED_VALUE"""),13211795)</f>
        <v/>
      </c>
      <c r="H230" s="27" t="n"/>
    </row>
    <row r="231" ht="17.25" customHeight="1" s="322">
      <c r="A231" s="27" t="n"/>
      <c r="B231" s="506">
        <f>IFERROR(__xludf.DUMMYFUNCTION("""COMPUTED_VALUE"""),46162.6666666666)</f>
        <v/>
      </c>
      <c r="C231" s="141">
        <f>IFERROR(__xludf.DUMMYFUNCTION("""COMPUTED_VALUE"""),102.14)</f>
        <v/>
      </c>
      <c r="D231" s="141">
        <f>IFERROR(__xludf.DUMMYFUNCTION("""COMPUTED_VALUE"""),103.91)</f>
        <v/>
      </c>
      <c r="E231" s="141">
        <f>IFERROR(__xludf.DUMMYFUNCTION("""COMPUTED_VALUE"""),101.97)</f>
        <v/>
      </c>
      <c r="F231" s="141">
        <f>IFERROR(__xludf.DUMMYFUNCTION("""COMPUTED_VALUE"""),103.62)</f>
        <v/>
      </c>
      <c r="G231" s="143">
        <f>IFERROR(__xludf.DUMMYFUNCTION("""COMPUTED_VALUE"""),16511774)</f>
        <v/>
      </c>
      <c r="H231" s="27" t="n"/>
    </row>
    <row r="232" ht="17.25" customHeight="1" s="322">
      <c r="A232" s="27" t="n"/>
      <c r="B232" s="506">
        <f>IFERROR(__xludf.DUMMYFUNCTION("""COMPUTED_VALUE"""),46163.6666666666)</f>
        <v/>
      </c>
      <c r="C232" s="141">
        <f>IFERROR(__xludf.DUMMYFUNCTION("""COMPUTED_VALUE"""),102.82)</f>
        <v/>
      </c>
      <c r="D232" s="141">
        <f>IFERROR(__xludf.DUMMYFUNCTION("""COMPUTED_VALUE"""),104.56)</f>
        <v/>
      </c>
      <c r="E232" s="141">
        <f>IFERROR(__xludf.DUMMYFUNCTION("""COMPUTED_VALUE"""),102.6)</f>
        <v/>
      </c>
      <c r="F232" s="141">
        <f>IFERROR(__xludf.DUMMYFUNCTION("""COMPUTED_VALUE"""),104.19)</f>
        <v/>
      </c>
      <c r="G232" s="143">
        <f>IFERROR(__xludf.DUMMYFUNCTION("""COMPUTED_VALUE"""),14357632)</f>
        <v/>
      </c>
      <c r="H232" s="27" t="n"/>
    </row>
    <row r="233" ht="17.25" customHeight="1" s="322">
      <c r="A233" s="27" t="n"/>
      <c r="B233" s="506">
        <f>IFERROR(__xludf.DUMMYFUNCTION("""COMPUTED_VALUE"""),46164.6666666666)</f>
        <v/>
      </c>
      <c r="C233" s="141">
        <f>IFERROR(__xludf.DUMMYFUNCTION("""COMPUTED_VALUE"""),104.22)</f>
        <v/>
      </c>
      <c r="D233" s="141">
        <f>IFERROR(__xludf.DUMMYFUNCTION("""COMPUTED_VALUE"""),104.48)</f>
        <v/>
      </c>
      <c r="E233" s="141">
        <f>IFERROR(__xludf.DUMMYFUNCTION("""COMPUTED_VALUE"""),103.79)</f>
        <v/>
      </c>
      <c r="F233" s="141">
        <f>IFERROR(__xludf.DUMMYFUNCTION("""COMPUTED_VALUE"""),103.98)</f>
        <v/>
      </c>
      <c r="G233" s="143">
        <f>IFERROR(__xludf.DUMMYFUNCTION("""COMPUTED_VALUE"""),12012636)</f>
        <v/>
      </c>
      <c r="H233" s="27" t="n"/>
    </row>
    <row r="234" ht="17.25" customHeight="1" s="322">
      <c r="A234" s="27" t="n"/>
      <c r="B234" s="506">
        <f>IFERROR(__xludf.DUMMYFUNCTION("""COMPUTED_VALUE"""),46168.6666666666)</f>
        <v/>
      </c>
      <c r="C234" s="141">
        <f>IFERROR(__xludf.DUMMYFUNCTION("""COMPUTED_VALUE"""),105.35)</f>
        <v/>
      </c>
      <c r="D234" s="141">
        <f>IFERROR(__xludf.DUMMYFUNCTION("""COMPUTED_VALUE"""),105.46)</f>
        <v/>
      </c>
      <c r="E234" s="141">
        <f>IFERROR(__xludf.DUMMYFUNCTION("""COMPUTED_VALUE"""),104.76)</f>
        <v/>
      </c>
      <c r="F234" s="141">
        <f>IFERROR(__xludf.DUMMYFUNCTION("""COMPUTED_VALUE"""),105.13)</f>
        <v/>
      </c>
      <c r="G234" s="143">
        <f>IFERROR(__xludf.DUMMYFUNCTION("""COMPUTED_VALUE"""),12884884)</f>
        <v/>
      </c>
      <c r="H234" s="27" t="n"/>
    </row>
    <row r="235" ht="17.25" customHeight="1" s="322">
      <c r="A235" s="27" t="n"/>
      <c r="B235" s="506">
        <f>IFERROR(__xludf.DUMMYFUNCTION("""COMPUTED_VALUE"""),46169.6666666666)</f>
        <v/>
      </c>
      <c r="C235" s="141">
        <f>IFERROR(__xludf.DUMMYFUNCTION("""COMPUTED_VALUE"""),105.06)</f>
        <v/>
      </c>
      <c r="D235" s="141">
        <f>IFERROR(__xludf.DUMMYFUNCTION("""COMPUTED_VALUE"""),105.09)</f>
        <v/>
      </c>
      <c r="E235" s="141">
        <f>IFERROR(__xludf.DUMMYFUNCTION("""COMPUTED_VALUE"""),104.52)</f>
        <v/>
      </c>
      <c r="F235" s="141">
        <f>IFERROR(__xludf.DUMMYFUNCTION("""COMPUTED_VALUE"""),104.77)</f>
        <v/>
      </c>
      <c r="G235" s="143">
        <f>IFERROR(__xludf.DUMMYFUNCTION("""COMPUTED_VALUE"""),12599621)</f>
        <v/>
      </c>
      <c r="H235" s="27" t="n"/>
    </row>
    <row r="236" ht="17.25" customHeight="1" s="322">
      <c r="A236" s="27" t="n"/>
      <c r="B236" s="506">
        <f>IFERROR(__xludf.DUMMYFUNCTION("""COMPUTED_VALUE"""),46170.6666666666)</f>
        <v/>
      </c>
      <c r="C236" s="141">
        <f>IFERROR(__xludf.DUMMYFUNCTION("""COMPUTED_VALUE"""),104.12)</f>
        <v/>
      </c>
      <c r="D236" s="141">
        <f>IFERROR(__xludf.DUMMYFUNCTION("""COMPUTED_VALUE"""),105.01)</f>
        <v/>
      </c>
      <c r="E236" s="141">
        <f>IFERROR(__xludf.DUMMYFUNCTION("""COMPUTED_VALUE"""),103.97)</f>
        <v/>
      </c>
      <c r="F236" s="141">
        <f>IFERROR(__xludf.DUMMYFUNCTION("""COMPUTED_VALUE"""),104.69)</f>
        <v/>
      </c>
      <c r="G236" s="143">
        <f>IFERROR(__xludf.DUMMYFUNCTION("""COMPUTED_VALUE"""),13605998)</f>
        <v/>
      </c>
      <c r="H236" s="27" t="n"/>
    </row>
    <row r="237" ht="17.25" customHeight="1" s="322">
      <c r="A237" s="27" t="n"/>
      <c r="B237" s="506">
        <f>IFERROR(__xludf.DUMMYFUNCTION("""COMPUTED_VALUE"""),46171.6666666666)</f>
        <v/>
      </c>
      <c r="C237" s="141">
        <f>IFERROR(__xludf.DUMMYFUNCTION("""COMPUTED_VALUE"""),105.13)</f>
        <v/>
      </c>
      <c r="D237" s="141">
        <f>IFERROR(__xludf.DUMMYFUNCTION("""COMPUTED_VALUE"""),105.52)</f>
        <v/>
      </c>
      <c r="E237" s="141">
        <f>IFERROR(__xludf.DUMMYFUNCTION("""COMPUTED_VALUE"""),104.73)</f>
        <v/>
      </c>
      <c r="F237" s="141">
        <f>IFERROR(__xludf.DUMMYFUNCTION("""COMPUTED_VALUE"""),104.8)</f>
        <v/>
      </c>
      <c r="G237" s="143">
        <f>IFERROR(__xludf.DUMMYFUNCTION("""COMPUTED_VALUE"""),16934044)</f>
        <v/>
      </c>
      <c r="H237" s="27" t="n"/>
    </row>
    <row r="238" ht="17.25" customHeight="1" s="322">
      <c r="A238" s="27" t="n"/>
      <c r="B238" s="506">
        <f>IFERROR(__xludf.DUMMYFUNCTION("""COMPUTED_VALUE"""),46174.6666666666)</f>
        <v/>
      </c>
      <c r="C238" s="141">
        <f>IFERROR(__xludf.DUMMYFUNCTION("""COMPUTED_VALUE"""),103.99)</f>
        <v/>
      </c>
      <c r="D238" s="141">
        <f>IFERROR(__xludf.DUMMYFUNCTION("""COMPUTED_VALUE"""),104.92)</f>
        <v/>
      </c>
      <c r="E238" s="141">
        <f>IFERROR(__xludf.DUMMYFUNCTION("""COMPUTED_VALUE"""),103.6)</f>
        <v/>
      </c>
      <c r="F238" s="141">
        <f>IFERROR(__xludf.DUMMYFUNCTION("""COMPUTED_VALUE"""),104.44)</f>
        <v/>
      </c>
      <c r="G238" s="143">
        <f>IFERROR(__xludf.DUMMYFUNCTION("""COMPUTED_VALUE"""),17412618)</f>
        <v/>
      </c>
      <c r="H238" s="27" t="n"/>
    </row>
    <row r="239" ht="17.25" customHeight="1" s="322">
      <c r="A239" s="27" t="n"/>
      <c r="B239" s="506">
        <f>IFERROR(__xludf.DUMMYFUNCTION("""COMPUTED_VALUE"""),46175.6666666666)</f>
        <v/>
      </c>
      <c r="C239" s="141">
        <f>IFERROR(__xludf.DUMMYFUNCTION("""COMPUTED_VALUE"""),104.58)</f>
        <v/>
      </c>
      <c r="D239" s="141">
        <f>IFERROR(__xludf.DUMMYFUNCTION("""COMPUTED_VALUE"""),105.16)</f>
        <v/>
      </c>
      <c r="E239" s="141">
        <f>IFERROR(__xludf.DUMMYFUNCTION("""COMPUTED_VALUE"""),104.53)</f>
        <v/>
      </c>
      <c r="F239" s="141">
        <f>IFERROR(__xludf.DUMMYFUNCTION("""COMPUTED_VALUE"""),105.02)</f>
        <v/>
      </c>
      <c r="G239" s="143">
        <f>IFERROR(__xludf.DUMMYFUNCTION("""COMPUTED_VALUE"""),8400727)</f>
        <v/>
      </c>
      <c r="H239" s="27" t="n"/>
    </row>
    <row r="240" ht="17.25" customHeight="1" s="322">
      <c r="A240" s="27" t="n"/>
      <c r="B240" s="506">
        <f>IFERROR(__xludf.DUMMYFUNCTION("""COMPUTED_VALUE"""),46176.6666666666)</f>
        <v/>
      </c>
      <c r="C240" s="141">
        <f>IFERROR(__xludf.DUMMYFUNCTION("""COMPUTED_VALUE"""),104.58)</f>
        <v/>
      </c>
      <c r="D240" s="141">
        <f>IFERROR(__xludf.DUMMYFUNCTION("""COMPUTED_VALUE"""),104.64)</f>
        <v/>
      </c>
      <c r="E240" s="141">
        <f>IFERROR(__xludf.DUMMYFUNCTION("""COMPUTED_VALUE"""),104.07)</f>
        <v/>
      </c>
      <c r="F240" s="141">
        <f>IFERROR(__xludf.DUMMYFUNCTION("""COMPUTED_VALUE"""),104.12)</f>
        <v/>
      </c>
      <c r="G240" s="143">
        <f>IFERROR(__xludf.DUMMYFUNCTION("""COMPUTED_VALUE"""),11807068)</f>
        <v/>
      </c>
      <c r="H240" s="27" t="n"/>
    </row>
    <row r="241" ht="17.25" customHeight="1" s="322">
      <c r="A241" s="27" t="n"/>
      <c r="B241" s="506">
        <f>IFERROR(__xludf.DUMMYFUNCTION("""COMPUTED_VALUE"""),46177.6666666666)</f>
        <v/>
      </c>
      <c r="C241" s="141">
        <f>IFERROR(__xludf.DUMMYFUNCTION("""COMPUTED_VALUE"""),104.54)</f>
        <v/>
      </c>
      <c r="D241" s="141">
        <f>IFERROR(__xludf.DUMMYFUNCTION("""COMPUTED_VALUE"""),105.02)</f>
        <v/>
      </c>
      <c r="E241" s="141">
        <f>IFERROR(__xludf.DUMMYFUNCTION("""COMPUTED_VALUE"""),104.43)</f>
        <v/>
      </c>
      <c r="F241" s="141">
        <f>IFERROR(__xludf.DUMMYFUNCTION("""COMPUTED_VALUE"""),104.95)</f>
        <v/>
      </c>
      <c r="G241" s="143">
        <f>IFERROR(__xludf.DUMMYFUNCTION("""COMPUTED_VALUE"""),10158677)</f>
        <v/>
      </c>
      <c r="H241" s="27" t="n"/>
    </row>
    <row r="242" ht="17.25" customHeight="1" s="322">
      <c r="A242" s="27" t="n"/>
      <c r="B242" s="506">
        <f>IFERROR(__xludf.DUMMYFUNCTION("""COMPUTED_VALUE"""),46178.6666666666)</f>
        <v/>
      </c>
      <c r="C242" s="141">
        <f>IFERROR(__xludf.DUMMYFUNCTION("""COMPUTED_VALUE"""),104.14)</f>
        <v/>
      </c>
      <c r="D242" s="141">
        <f>IFERROR(__xludf.DUMMYFUNCTION("""COMPUTED_VALUE"""),104.19)</f>
        <v/>
      </c>
      <c r="E242" s="141">
        <f>IFERROR(__xludf.DUMMYFUNCTION("""COMPUTED_VALUE"""),101.91)</f>
        <v/>
      </c>
      <c r="F242" s="141">
        <f>IFERROR(__xludf.DUMMYFUNCTION("""COMPUTED_VALUE"""),102.26)</f>
        <v/>
      </c>
      <c r="G242" s="143">
        <f>IFERROR(__xludf.DUMMYFUNCTION("""COMPUTED_VALUE"""),16937637)</f>
        <v/>
      </c>
      <c r="H242" s="27" t="n"/>
    </row>
    <row r="243" ht="17.25" customHeight="1" s="322">
      <c r="A243" s="27" t="n"/>
      <c r="B243" s="506">
        <f>IFERROR(__xludf.DUMMYFUNCTION("""COMPUTED_VALUE"""),46181.6666666666)</f>
        <v/>
      </c>
      <c r="C243" s="141">
        <f>IFERROR(__xludf.DUMMYFUNCTION("""COMPUTED_VALUE"""),103.27)</f>
        <v/>
      </c>
      <c r="D243" s="141">
        <f>IFERROR(__xludf.DUMMYFUNCTION("""COMPUTED_VALUE"""),103.5)</f>
        <v/>
      </c>
      <c r="E243" s="141">
        <f>IFERROR(__xludf.DUMMYFUNCTION("""COMPUTED_VALUE"""),102.72)</f>
        <v/>
      </c>
      <c r="F243" s="141">
        <f>IFERROR(__xludf.DUMMYFUNCTION("""COMPUTED_VALUE"""),102.88)</f>
        <v/>
      </c>
      <c r="G243" s="143">
        <f>IFERROR(__xludf.DUMMYFUNCTION("""COMPUTED_VALUE"""),13550420)</f>
        <v/>
      </c>
      <c r="H243" s="27" t="n"/>
    </row>
    <row r="244" ht="17.25" customHeight="1" s="322">
      <c r="A244" s="27" t="n"/>
      <c r="B244" s="506">
        <f>IFERROR(__xludf.DUMMYFUNCTION("""COMPUTED_VALUE"""),46182.6666666666)</f>
        <v/>
      </c>
      <c r="C244" s="141">
        <f>IFERROR(__xludf.DUMMYFUNCTION("""COMPUTED_VALUE"""),103.89)</f>
        <v/>
      </c>
      <c r="D244" s="141">
        <f>IFERROR(__xludf.DUMMYFUNCTION("""COMPUTED_VALUE"""),104.24)</f>
        <v/>
      </c>
      <c r="E244" s="141">
        <f>IFERROR(__xludf.DUMMYFUNCTION("""COMPUTED_VALUE"""),101.34)</f>
        <v/>
      </c>
      <c r="F244" s="141">
        <f>IFERROR(__xludf.DUMMYFUNCTION("""COMPUTED_VALUE"""),102.9)</f>
        <v/>
      </c>
      <c r="G244" s="143">
        <f>IFERROR(__xludf.DUMMYFUNCTION("""COMPUTED_VALUE"""),21878016)</f>
        <v/>
      </c>
      <c r="H244" s="27" t="n"/>
    </row>
    <row r="245" ht="17.25" customHeight="1" s="322">
      <c r="A245" s="27" t="n"/>
      <c r="B245" s="506">
        <f>IFERROR(__xludf.DUMMYFUNCTION("""COMPUTED_VALUE"""),46183.6666666666)</f>
        <v/>
      </c>
      <c r="C245" s="141">
        <f>IFERROR(__xludf.DUMMYFUNCTION("""COMPUTED_VALUE"""),102.23)</f>
        <v/>
      </c>
      <c r="D245" s="141">
        <f>IFERROR(__xludf.DUMMYFUNCTION("""COMPUTED_VALUE"""),102.9)</f>
        <v/>
      </c>
      <c r="E245" s="141">
        <f>IFERROR(__xludf.DUMMYFUNCTION("""COMPUTED_VALUE"""),101.49)</f>
        <v/>
      </c>
      <c r="F245" s="141">
        <f>IFERROR(__xludf.DUMMYFUNCTION("""COMPUTED_VALUE"""),101.57)</f>
        <v/>
      </c>
      <c r="G245" s="143">
        <f>IFERROR(__xludf.DUMMYFUNCTION("""COMPUTED_VALUE"""),22737741)</f>
        <v/>
      </c>
      <c r="H245" s="27" t="n"/>
    </row>
    <row r="246" ht="17.25" customHeight="1" s="322">
      <c r="A246" s="27" t="n"/>
      <c r="B246" s="506">
        <f>IFERROR(__xludf.DUMMYFUNCTION("""COMPUTED_VALUE"""),46184.6666666666)</f>
        <v/>
      </c>
      <c r="C246" s="141">
        <f>IFERROR(__xludf.DUMMYFUNCTION("""COMPUTED_VALUE"""),102.48)</f>
        <v/>
      </c>
      <c r="D246" s="141">
        <f>IFERROR(__xludf.DUMMYFUNCTION("""COMPUTED_VALUE"""),104.85)</f>
        <v/>
      </c>
      <c r="E246" s="141">
        <f>IFERROR(__xludf.DUMMYFUNCTION("""COMPUTED_VALUE"""),102.22)</f>
        <v/>
      </c>
      <c r="F246" s="141">
        <f>IFERROR(__xludf.DUMMYFUNCTION("""COMPUTED_VALUE"""),104.73)</f>
        <v/>
      </c>
      <c r="G246" s="143">
        <f>IFERROR(__xludf.DUMMYFUNCTION("""COMPUTED_VALUE"""),20415020)</f>
        <v/>
      </c>
      <c r="H246" s="27" t="n"/>
    </row>
    <row r="247" ht="17.25" customHeight="1" s="322">
      <c r="A247" s="27" t="n"/>
      <c r="B247" s="506">
        <f>IFERROR(__xludf.DUMMYFUNCTION("""COMPUTED_VALUE"""),46185.6666666666)</f>
        <v/>
      </c>
      <c r="C247" s="141">
        <f>IFERROR(__xludf.DUMMYFUNCTION("""COMPUTED_VALUE"""),104.65)</f>
        <v/>
      </c>
      <c r="D247" s="141">
        <f>IFERROR(__xludf.DUMMYFUNCTION("""COMPUTED_VALUE"""),105.36)</f>
        <v/>
      </c>
      <c r="E247" s="141">
        <f>IFERROR(__xludf.DUMMYFUNCTION("""COMPUTED_VALUE"""),104.19)</f>
        <v/>
      </c>
      <c r="F247" s="141">
        <f>IFERROR(__xludf.DUMMYFUNCTION("""COMPUTED_VALUE"""),105.02)</f>
        <v/>
      </c>
      <c r="G247" s="143">
        <f>IFERROR(__xludf.DUMMYFUNCTION("""COMPUTED_VALUE"""),14219961)</f>
        <v/>
      </c>
      <c r="H247" s="27" t="n"/>
    </row>
    <row r="248" ht="17.25" customHeight="1" s="322">
      <c r="A248" s="27" t="n"/>
      <c r="B248" s="506">
        <f>IFERROR(__xludf.DUMMYFUNCTION("""COMPUTED_VALUE"""),46188.6666666666)</f>
        <v/>
      </c>
      <c r="C248" s="141">
        <f>IFERROR(__xludf.DUMMYFUNCTION("""COMPUTED_VALUE"""),104.69)</f>
        <v/>
      </c>
      <c r="D248" s="141">
        <f>IFERROR(__xludf.DUMMYFUNCTION("""COMPUTED_VALUE"""),104.74)</f>
        <v/>
      </c>
      <c r="E248" s="141">
        <f>IFERROR(__xludf.DUMMYFUNCTION("""COMPUTED_VALUE"""),103.99)</f>
        <v/>
      </c>
      <c r="F248" s="141">
        <f>IFERROR(__xludf.DUMMYFUNCTION("""COMPUTED_VALUE"""),104.08)</f>
        <v/>
      </c>
      <c r="G248" s="143">
        <f>IFERROR(__xludf.DUMMYFUNCTION("""COMPUTED_VALUE"""),14053627)</f>
        <v/>
      </c>
      <c r="H248" s="27" t="n"/>
    </row>
    <row r="249" ht="17.25" customHeight="1" s="322">
      <c r="A249" s="27" t="n"/>
      <c r="B249" s="506">
        <f>IFERROR(__xludf.DUMMYFUNCTION("""COMPUTED_VALUE"""),46189.6666666666)</f>
        <v/>
      </c>
      <c r="C249" s="141">
        <f>IFERROR(__xludf.DUMMYFUNCTION("""COMPUTED_VALUE"""),104.72)</f>
        <v/>
      </c>
      <c r="D249" s="141">
        <f>IFERROR(__xludf.DUMMYFUNCTION("""COMPUTED_VALUE"""),104.8)</f>
        <v/>
      </c>
      <c r="E249" s="141">
        <f>IFERROR(__xludf.DUMMYFUNCTION("""COMPUTED_VALUE"""),104.23)</f>
        <v/>
      </c>
      <c r="F249" s="141">
        <f>IFERROR(__xludf.DUMMYFUNCTION("""COMPUTED_VALUE"""),104.31)</f>
        <v/>
      </c>
      <c r="G249" s="143">
        <f>IFERROR(__xludf.DUMMYFUNCTION("""COMPUTED_VALUE"""),12047013)</f>
        <v/>
      </c>
      <c r="H249" s="27" t="n"/>
    </row>
    <row r="250" ht="17.25" customHeight="1" s="322">
      <c r="A250" s="27" t="n"/>
      <c r="B250" s="506">
        <f>IFERROR(__xludf.DUMMYFUNCTION("""COMPUTED_VALUE"""),46190.6666666666)</f>
        <v/>
      </c>
      <c r="C250" s="141">
        <f>IFERROR(__xludf.DUMMYFUNCTION("""COMPUTED_VALUE"""),105.04)</f>
        <v/>
      </c>
      <c r="D250" s="141">
        <f>IFERROR(__xludf.DUMMYFUNCTION("""COMPUTED_VALUE"""),105.42)</f>
        <v/>
      </c>
      <c r="E250" s="141">
        <f>IFERROR(__xludf.DUMMYFUNCTION("""COMPUTED_VALUE"""),103.59)</f>
        <v/>
      </c>
      <c r="F250" s="141">
        <f>IFERROR(__xludf.DUMMYFUNCTION("""COMPUTED_VALUE"""),103.78)</f>
        <v/>
      </c>
      <c r="G250" s="143">
        <f>IFERROR(__xludf.DUMMYFUNCTION("""COMPUTED_VALUE"""),20717592)</f>
        <v/>
      </c>
      <c r="H250" s="27" t="n"/>
    </row>
    <row r="251" ht="17.25" customHeight="1" s="322">
      <c r="A251" s="27" t="n"/>
      <c r="B251" s="506">
        <f>IFERROR(__xludf.DUMMYFUNCTION("""COMPUTED_VALUE"""),46191.6666666666)</f>
        <v/>
      </c>
      <c r="C251" s="141">
        <f>IFERROR(__xludf.DUMMYFUNCTION("""COMPUTED_VALUE"""),104.58)</f>
        <v/>
      </c>
      <c r="D251" s="141">
        <f>IFERROR(__xludf.DUMMYFUNCTION("""COMPUTED_VALUE"""),104.66)</f>
        <v/>
      </c>
      <c r="E251" s="141">
        <f>IFERROR(__xludf.DUMMYFUNCTION("""COMPUTED_VALUE"""),104.18)</f>
        <v/>
      </c>
      <c r="F251" s="141">
        <f>IFERROR(__xludf.DUMMYFUNCTION("""COMPUTED_VALUE"""),104.41)</f>
        <v/>
      </c>
      <c r="G251" s="143">
        <f>IFERROR(__xludf.DUMMYFUNCTION("""COMPUTED_VALUE"""),15466273)</f>
        <v/>
      </c>
      <c r="H251" s="27" t="n"/>
    </row>
    <row r="252" ht="17.25" customHeight="1" s="322">
      <c r="A252" s="27" t="n"/>
      <c r="B252" s="506">
        <f>IFERROR(__xludf.DUMMYFUNCTION("""COMPUTED_VALUE"""),46195.6666666666)</f>
        <v/>
      </c>
      <c r="C252" s="141">
        <f>IFERROR(__xludf.DUMMYFUNCTION("""COMPUTED_VALUE"""),104.59)</f>
        <v/>
      </c>
      <c r="D252" s="141">
        <f>IFERROR(__xludf.DUMMYFUNCTION("""COMPUTED_VALUE"""),104.84)</f>
        <v/>
      </c>
      <c r="E252" s="141">
        <f>IFERROR(__xludf.DUMMYFUNCTION("""COMPUTED_VALUE"""),104.43)</f>
        <v/>
      </c>
      <c r="F252" s="141">
        <f>IFERROR(__xludf.DUMMYFUNCTION("""COMPUTED_VALUE"""),104.58)</f>
        <v/>
      </c>
      <c r="G252" s="143">
        <f>IFERROR(__xludf.DUMMYFUNCTION("""COMPUTED_VALUE"""),9596198)</f>
        <v/>
      </c>
      <c r="H252" s="27" t="n"/>
    </row>
    <row r="253" ht="17.25" customHeight="1" s="322">
      <c r="A253" s="27" t="n"/>
      <c r="B253" s="506">
        <f>IFERROR(__xludf.DUMMYFUNCTION("""COMPUTED_VALUE"""),46196.6666666666)</f>
        <v/>
      </c>
      <c r="C253" s="141">
        <f>IFERROR(__xludf.DUMMYFUNCTION("""COMPUTED_VALUE"""),102.38)</f>
        <v/>
      </c>
      <c r="D253" s="141">
        <f>IFERROR(__xludf.DUMMYFUNCTION("""COMPUTED_VALUE"""),103.02)</f>
        <v/>
      </c>
      <c r="E253" s="141">
        <f>IFERROR(__xludf.DUMMYFUNCTION("""COMPUTED_VALUE"""),102.32)</f>
        <v/>
      </c>
      <c r="F253" s="141">
        <f>IFERROR(__xludf.DUMMYFUNCTION("""COMPUTED_VALUE"""),102.46)</f>
        <v/>
      </c>
      <c r="G253" s="143">
        <f>IFERROR(__xludf.DUMMYFUNCTION("""COMPUTED_VALUE"""),17425693)</f>
        <v/>
      </c>
      <c r="H253" s="27" t="n"/>
    </row>
    <row r="254" ht="17.25" customHeight="1" s="322">
      <c r="A254" s="27" t="n"/>
      <c r="B254" s="506">
        <f>IFERROR(__xludf.DUMMYFUNCTION("""COMPUTED_VALUE"""),46197.6666666666)</f>
        <v/>
      </c>
      <c r="C254" s="141">
        <f>IFERROR(__xludf.DUMMYFUNCTION("""COMPUTED_VALUE"""),102.24)</f>
        <v/>
      </c>
      <c r="D254" s="141">
        <f>IFERROR(__xludf.DUMMYFUNCTION("""COMPUTED_VALUE"""),102.65)</f>
        <v/>
      </c>
      <c r="E254" s="141">
        <f>IFERROR(__xludf.DUMMYFUNCTION("""COMPUTED_VALUE"""),101.92)</f>
        <v/>
      </c>
      <c r="F254" s="141">
        <f>IFERROR(__xludf.DUMMYFUNCTION("""COMPUTED_VALUE"""),102.26)</f>
        <v/>
      </c>
      <c r="G254" s="143">
        <f>IFERROR(__xludf.DUMMYFUNCTION("""COMPUTED_VALUE"""),12504171)</f>
        <v/>
      </c>
      <c r="H254" s="27" t="n"/>
    </row>
    <row r="255" ht="17.25" customHeight="1" s="322">
      <c r="A255" s="27" t="n"/>
      <c r="B255" s="506">
        <f>IFERROR(__xludf.DUMMYFUNCTION("""COMPUTED_VALUE"""),46198.6666666666)</f>
        <v/>
      </c>
      <c r="C255" s="141">
        <f>IFERROR(__xludf.DUMMYFUNCTION("""COMPUTED_VALUE"""),103.48)</f>
        <v/>
      </c>
      <c r="D255" s="141">
        <f>IFERROR(__xludf.DUMMYFUNCTION("""COMPUTED_VALUE"""),103.73)</f>
        <v/>
      </c>
      <c r="E255" s="141">
        <f>IFERROR(__xludf.DUMMYFUNCTION("""COMPUTED_VALUE"""),102.73)</f>
        <v/>
      </c>
      <c r="F255" s="141">
        <f>IFERROR(__xludf.DUMMYFUNCTION("""COMPUTED_VALUE"""),103.15)</f>
        <v/>
      </c>
      <c r="G255" s="143">
        <f>IFERROR(__xludf.DUMMYFUNCTION("""COMPUTED_VALUE"""),13139590)</f>
        <v/>
      </c>
      <c r="H255" s="27" t="n"/>
    </row>
    <row r="256" ht="17.25" customHeight="1" s="322">
      <c r="A256" s="27" t="n"/>
      <c r="B256" s="506">
        <f>IFERROR(__xludf.DUMMYFUNCTION("""COMPUTED_VALUE"""),46199.6666666666)</f>
        <v/>
      </c>
      <c r="C256" s="141">
        <f>IFERROR(__xludf.DUMMYFUNCTION("""COMPUTED_VALUE"""),102.46)</f>
        <v/>
      </c>
      <c r="D256" s="141">
        <f>IFERROR(__xludf.DUMMYFUNCTION("""COMPUTED_VALUE"""),103.07)</f>
        <v/>
      </c>
      <c r="E256" s="141">
        <f>IFERROR(__xludf.DUMMYFUNCTION("""COMPUTED_VALUE"""),102.3)</f>
        <v/>
      </c>
      <c r="F256" s="141">
        <f>IFERROR(__xludf.DUMMYFUNCTION("""COMPUTED_VALUE"""),102.54)</f>
        <v/>
      </c>
      <c r="G256" s="143">
        <f>IFERROR(__xludf.DUMMYFUNCTION("""COMPUTED_VALUE"""),21219217)</f>
        <v/>
      </c>
      <c r="H256" s="27" t="n"/>
    </row>
    <row r="257" ht="17.25" customHeight="1" s="322">
      <c r="A257" s="27" t="n"/>
      <c r="B257" s="506">
        <f>IFERROR(__xludf.DUMMYFUNCTION("""COMPUTED_VALUE"""),46202.6666666666)</f>
        <v/>
      </c>
      <c r="C257" s="141">
        <f>IFERROR(__xludf.DUMMYFUNCTION("""COMPUTED_VALUE"""),102.87)</f>
        <v/>
      </c>
      <c r="D257" s="141">
        <f>IFERROR(__xludf.DUMMYFUNCTION("""COMPUTED_VALUE"""),103.47)</f>
        <v/>
      </c>
      <c r="E257" s="141">
        <f>IFERROR(__xludf.DUMMYFUNCTION("""COMPUTED_VALUE"""),102.22)</f>
        <v/>
      </c>
      <c r="F257" s="141">
        <f>IFERROR(__xludf.DUMMYFUNCTION("""COMPUTED_VALUE"""),103.45)</f>
        <v/>
      </c>
      <c r="G257" s="143">
        <f>IFERROR(__xludf.DUMMYFUNCTION("""COMPUTED_VALUE"""),10788621)</f>
        <v/>
      </c>
      <c r="H257" s="27" t="n"/>
    </row>
    <row r="258" ht="17.25" customHeight="1" s="322">
      <c r="A258" s="27" t="n"/>
      <c r="B258" s="506">
        <f>IFERROR(__xludf.DUMMYFUNCTION("""COMPUTED_VALUE"""),46203.6666666666)</f>
        <v/>
      </c>
      <c r="C258" s="141">
        <f>IFERROR(__xludf.DUMMYFUNCTION("""COMPUTED_VALUE"""),103.32)</f>
        <v/>
      </c>
      <c r="D258" s="141">
        <f>IFERROR(__xludf.DUMMYFUNCTION("""COMPUTED_VALUE"""),103.89)</f>
        <v/>
      </c>
      <c r="E258" s="141">
        <f>IFERROR(__xludf.DUMMYFUNCTION("""COMPUTED_VALUE"""),103.19)</f>
        <v/>
      </c>
      <c r="F258" s="141">
        <f>IFERROR(__xludf.DUMMYFUNCTION("""COMPUTED_VALUE"""),103.88)</f>
        <v/>
      </c>
      <c r="G258" s="143">
        <f>IFERROR(__xludf.DUMMYFUNCTION("""COMPUTED_VALUE"""),16945923)</f>
        <v/>
      </c>
      <c r="H258" s="27" t="n"/>
    </row>
    <row r="259" ht="17.25" customHeight="1" s="322">
      <c r="A259" s="27" t="n"/>
      <c r="B259" s="506">
        <f>IFERROR(__xludf.DUMMYFUNCTION("""COMPUTED_VALUE"""),46204.6666666666)</f>
        <v/>
      </c>
      <c r="C259" s="141">
        <f>IFERROR(__xludf.DUMMYFUNCTION("""COMPUTED_VALUE"""),103.07)</f>
        <v/>
      </c>
      <c r="D259" s="141">
        <f>IFERROR(__xludf.DUMMYFUNCTION("""COMPUTED_VALUE"""),103.43)</f>
        <v/>
      </c>
      <c r="E259" s="141">
        <f>IFERROR(__xludf.DUMMYFUNCTION("""COMPUTED_VALUE"""),102.87)</f>
        <v/>
      </c>
      <c r="F259" s="141">
        <f>IFERROR(__xludf.DUMMYFUNCTION("""COMPUTED_VALUE"""),103.02)</f>
        <v/>
      </c>
      <c r="G259" s="143">
        <f>IFERROR(__xludf.DUMMYFUNCTION("""COMPUTED_VALUE"""),13487082)</f>
        <v/>
      </c>
      <c r="H259" s="27" t="n"/>
    </row>
    <row r="260" ht="17.25" customHeight="1" s="322">
      <c r="A260" s="27" t="n"/>
      <c r="B260" s="506">
        <f>IFERROR(__xludf.DUMMYFUNCTION("""COMPUTED_VALUE"""),46205.6666666666)</f>
        <v/>
      </c>
      <c r="C260" s="141">
        <f>IFERROR(__xludf.DUMMYFUNCTION("""COMPUTED_VALUE"""),104.59)</f>
        <v/>
      </c>
      <c r="D260" s="141">
        <f>IFERROR(__xludf.DUMMYFUNCTION("""COMPUTED_VALUE"""),105.27)</f>
        <v/>
      </c>
      <c r="E260" s="141">
        <f>IFERROR(__xludf.DUMMYFUNCTION("""COMPUTED_VALUE"""),103.75)</f>
        <v/>
      </c>
      <c r="F260" s="141">
        <f>IFERROR(__xludf.DUMMYFUNCTION("""COMPUTED_VALUE"""),104.37)</f>
        <v/>
      </c>
      <c r="G260" s="143">
        <f>IFERROR(__xludf.DUMMYFUNCTION("""COMPUTED_VALUE"""),12685960)</f>
        <v/>
      </c>
      <c r="H260" s="27" t="n"/>
    </row>
    <row r="261" ht="17.25" customHeight="1" s="322">
      <c r="A261" s="27" t="n"/>
      <c r="B261" s="506">
        <f>IFERROR(__xludf.DUMMYFUNCTION("""COMPUTED_VALUE"""),46209.6666666666)</f>
        <v/>
      </c>
      <c r="C261" s="141">
        <f>IFERROR(__xludf.DUMMYFUNCTION("""COMPUTED_VALUE"""),105)</f>
        <v/>
      </c>
      <c r="D261" s="141">
        <f>IFERROR(__xludf.DUMMYFUNCTION("""COMPUTED_VALUE"""),105.52)</f>
        <v/>
      </c>
      <c r="E261" s="141">
        <f>IFERROR(__xludf.DUMMYFUNCTION("""COMPUTED_VALUE"""),104.88)</f>
        <v/>
      </c>
      <c r="F261" s="141">
        <f>IFERROR(__xludf.DUMMYFUNCTION("""COMPUTED_VALUE"""),105.46)</f>
        <v/>
      </c>
      <c r="G261" s="143">
        <f>IFERROR(__xludf.DUMMYFUNCTION("""COMPUTED_VALUE"""),9803217)</f>
        <v/>
      </c>
      <c r="H261" s="27" t="n"/>
    </row>
    <row r="262" ht="17.25" customHeight="1" s="322">
      <c r="A262" s="27" t="n"/>
      <c r="B262" s="506">
        <f>IFERROR(__xludf.DUMMYFUNCTION("""COMPUTED_VALUE"""),46210.6666666666)</f>
        <v/>
      </c>
      <c r="C262" s="141">
        <f>IFERROR(__xludf.DUMMYFUNCTION("""COMPUTED_VALUE"""),105.02)</f>
        <v/>
      </c>
      <c r="D262" s="141">
        <f>IFERROR(__xludf.DUMMYFUNCTION("""COMPUTED_VALUE"""),105.16)</f>
        <v/>
      </c>
      <c r="E262" s="141">
        <f>IFERROR(__xludf.DUMMYFUNCTION("""COMPUTED_VALUE"""),103.85)</f>
        <v/>
      </c>
      <c r="F262" s="141">
        <f>IFERROR(__xludf.DUMMYFUNCTION("""COMPUTED_VALUE"""),104.16)</f>
        <v/>
      </c>
      <c r="G262" s="143">
        <f>IFERROR(__xludf.DUMMYFUNCTION("""COMPUTED_VALUE"""),10715192)</f>
        <v/>
      </c>
      <c r="H262" s="27" t="n"/>
    </row>
    <row r="263" ht="17.25" customHeight="1" s="322">
      <c r="A263" s="27" t="n"/>
      <c r="B263" s="506">
        <f>IFERROR(__xludf.DUMMYFUNCTION("""COMPUTED_VALUE"""),46211.6666666666)</f>
        <v/>
      </c>
      <c r="C263" s="141">
        <f>IFERROR(__xludf.DUMMYFUNCTION("""COMPUTED_VALUE"""),102.81)</f>
        <v/>
      </c>
      <c r="D263" s="141">
        <f>IFERROR(__xludf.DUMMYFUNCTION("""COMPUTED_VALUE"""),103.41)</f>
        <v/>
      </c>
      <c r="E263" s="141">
        <f>IFERROR(__xludf.DUMMYFUNCTION("""COMPUTED_VALUE"""),102.26)</f>
        <v/>
      </c>
      <c r="F263" s="141">
        <f>IFERROR(__xludf.DUMMYFUNCTION("""COMPUTED_VALUE"""),103.36)</f>
        <v/>
      </c>
      <c r="G263" s="143">
        <f>IFERROR(__xludf.DUMMYFUNCTION("""COMPUTED_VALUE"""),8642828)</f>
        <v/>
      </c>
      <c r="H263" s="27" t="n"/>
    </row>
    <row r="264" ht="17.25" customHeight="1" s="322">
      <c r="A264" s="27" t="n"/>
      <c r="B264" s="506">
        <f>IFERROR(__xludf.DUMMYFUNCTION("""COMPUTED_VALUE"""),46212.6666666666)</f>
        <v/>
      </c>
      <c r="C264" s="141">
        <f>IFERROR(__xludf.DUMMYFUNCTION("""COMPUTED_VALUE"""),103.61)</f>
        <v/>
      </c>
      <c r="D264" s="141">
        <f>IFERROR(__xludf.DUMMYFUNCTION("""COMPUTED_VALUE"""),104.19)</f>
        <v/>
      </c>
      <c r="E264" s="141">
        <f>IFERROR(__xludf.DUMMYFUNCTION("""COMPUTED_VALUE"""),103.55)</f>
        <v/>
      </c>
      <c r="F264" s="141">
        <f>IFERROR(__xludf.DUMMYFUNCTION("""COMPUTED_VALUE"""),103.92)</f>
        <v/>
      </c>
      <c r="G264" s="143">
        <f>IFERROR(__xludf.DUMMYFUNCTION("""COMPUTED_VALUE"""),7586410)</f>
        <v/>
      </c>
      <c r="H264" s="27" t="n"/>
    </row>
    <row r="265" ht="17.25" customHeight="1" s="322">
      <c r="A265" s="27" t="n"/>
      <c r="B265" s="506">
        <f>IFERROR(__xludf.DUMMYFUNCTION("""COMPUTED_VALUE"""),46213.6666666666)</f>
        <v/>
      </c>
      <c r="C265" s="141">
        <f>IFERROR(__xludf.DUMMYFUNCTION("""COMPUTED_VALUE"""),104.18)</f>
        <v/>
      </c>
      <c r="D265" s="141">
        <f>IFERROR(__xludf.DUMMYFUNCTION("""COMPUTED_VALUE"""),104.6)</f>
        <v/>
      </c>
      <c r="E265" s="141">
        <f>IFERROR(__xludf.DUMMYFUNCTION("""COMPUTED_VALUE"""),103.61)</f>
        <v/>
      </c>
      <c r="F265" s="141">
        <f>IFERROR(__xludf.DUMMYFUNCTION("""COMPUTED_VALUE"""),104.33)</f>
        <v/>
      </c>
      <c r="G265" s="143">
        <f>IFERROR(__xludf.DUMMYFUNCTION("""COMPUTED_VALUE"""),8286796)</f>
        <v/>
      </c>
      <c r="H265" s="27" t="n"/>
    </row>
    <row r="266" ht="17.25" customHeight="1" s="322">
      <c r="A266" s="27" t="n"/>
      <c r="B266" s="506">
        <f>IFERROR(__xludf.DUMMYFUNCTION("""COMPUTED_VALUE"""),46216.6666666666)</f>
        <v/>
      </c>
      <c r="C266" s="141">
        <f>IFERROR(__xludf.DUMMYFUNCTION("""COMPUTED_VALUE"""),103.85)</f>
        <v/>
      </c>
      <c r="D266" s="141">
        <f>IFERROR(__xludf.DUMMYFUNCTION("""COMPUTED_VALUE"""),103.98)</f>
        <v/>
      </c>
      <c r="E266" s="141">
        <f>IFERROR(__xludf.DUMMYFUNCTION("""COMPUTED_VALUE"""),103.09)</f>
        <v/>
      </c>
      <c r="F266" s="141">
        <f>IFERROR(__xludf.DUMMYFUNCTION("""COMPUTED_VALUE"""),103.24)</f>
        <v/>
      </c>
      <c r="G266" s="143">
        <f>IFERROR(__xludf.DUMMYFUNCTION("""COMPUTED_VALUE"""),10953704)</f>
        <v/>
      </c>
      <c r="H266" s="27" t="n"/>
    </row>
    <row r="267" ht="17.25" customHeight="1" s="322">
      <c r="A267" s="27" t="n"/>
      <c r="B267" s="506">
        <f>IFERROR(__xludf.DUMMYFUNCTION("""COMPUTED_VALUE"""),46217.6666666666)</f>
        <v/>
      </c>
      <c r="C267" s="141">
        <f>IFERROR(__xludf.DUMMYFUNCTION("""COMPUTED_VALUE"""),104.38)</f>
        <v/>
      </c>
      <c r="D267" s="141">
        <f>IFERROR(__xludf.DUMMYFUNCTION("""COMPUTED_VALUE"""),105.09)</f>
        <v/>
      </c>
      <c r="E267" s="141">
        <f>IFERROR(__xludf.DUMMYFUNCTION("""COMPUTED_VALUE"""),103.91)</f>
        <v/>
      </c>
      <c r="F267" s="141">
        <f>IFERROR(__xludf.DUMMYFUNCTION("""COMPUTED_VALUE"""),103.96)</f>
        <v/>
      </c>
      <c r="G267" s="143">
        <f>IFERROR(__xludf.DUMMYFUNCTION("""COMPUTED_VALUE"""),9932196)</f>
        <v/>
      </c>
      <c r="H267" s="27" t="n"/>
    </row>
    <row r="268" ht="17.25" customHeight="1" s="322">
      <c r="A268" s="27" t="n"/>
      <c r="B268" s="506">
        <f>IFERROR(__xludf.DUMMYFUNCTION("""COMPUTED_VALUE"""),46218.6666666666)</f>
        <v/>
      </c>
      <c r="C268" s="141">
        <f>IFERROR(__xludf.DUMMYFUNCTION("""COMPUTED_VALUE"""),104.28)</f>
        <v/>
      </c>
      <c r="D268" s="141">
        <f>IFERROR(__xludf.DUMMYFUNCTION("""COMPUTED_VALUE"""),104.81)</f>
        <v/>
      </c>
      <c r="E268" s="141">
        <f>IFERROR(__xludf.DUMMYFUNCTION("""COMPUTED_VALUE"""),103.8)</f>
        <v/>
      </c>
      <c r="F268" s="141">
        <f>IFERROR(__xludf.DUMMYFUNCTION("""COMPUTED_VALUE"""),104.65)</f>
        <v/>
      </c>
      <c r="G268" s="143">
        <f>IFERROR(__xludf.DUMMYFUNCTION("""COMPUTED_VALUE"""),7415824)</f>
        <v/>
      </c>
      <c r="H268" s="27" t="n"/>
    </row>
    <row r="269" ht="17.25" customHeight="1" s="322">
      <c r="A269" s="27" t="n"/>
      <c r="B269" s="506">
        <f>IFERROR(__xludf.DUMMYFUNCTION("""COMPUTED_VALUE"""),46219.6666666666)</f>
        <v/>
      </c>
      <c r="C269" s="141">
        <f>IFERROR(__xludf.DUMMYFUNCTION("""COMPUTED_VALUE"""),103.67)</f>
        <v/>
      </c>
      <c r="D269" s="141">
        <f>IFERROR(__xludf.DUMMYFUNCTION("""COMPUTED_VALUE"""),104.22)</f>
        <v/>
      </c>
      <c r="E269" s="141">
        <f>IFERROR(__xludf.DUMMYFUNCTION("""COMPUTED_VALUE"""),103.47)</f>
        <v/>
      </c>
      <c r="F269" s="141">
        <f>IFERROR(__xludf.DUMMYFUNCTION("""COMPUTED_VALUE"""),103.81)</f>
        <v/>
      </c>
      <c r="G269" s="143">
        <f>IFERROR(__xludf.DUMMYFUNCTION("""COMPUTED_VALUE"""),9966804)</f>
        <v/>
      </c>
      <c r="H269" s="27" t="n"/>
    </row>
    <row r="270" ht="17.25" customHeight="1" s="322">
      <c r="A270" s="27" t="n"/>
      <c r="B270" s="506">
        <f>IFERROR(__xludf.DUMMYFUNCTION("""COMPUTED_VALUE"""),46220.6666666666)</f>
        <v/>
      </c>
      <c r="C270" s="141">
        <f>IFERROR(__xludf.DUMMYFUNCTION("""COMPUTED_VALUE"""),102.51)</f>
        <v/>
      </c>
      <c r="D270" s="141">
        <f>IFERROR(__xludf.DUMMYFUNCTION("""COMPUTED_VALUE"""),103.51)</f>
        <v/>
      </c>
      <c r="E270" s="141">
        <f>IFERROR(__xludf.DUMMYFUNCTION("""COMPUTED_VALUE"""),102.51)</f>
        <v/>
      </c>
      <c r="F270" s="141">
        <f>IFERROR(__xludf.DUMMYFUNCTION("""COMPUTED_VALUE"""),103.33)</f>
        <v/>
      </c>
      <c r="G270" s="143">
        <f>IFERROR(__xludf.DUMMYFUNCTION("""COMPUTED_VALUE"""),10969901)</f>
        <v/>
      </c>
      <c r="H270" s="27" t="n"/>
    </row>
    <row r="271" ht="17.25" customHeight="1" s="322">
      <c r="A271" s="27" t="n"/>
      <c r="B271" s="506">
        <f>IFERROR(__xludf.DUMMYFUNCTION("""COMPUTED_VALUE"""),46223.6666666666)</f>
        <v/>
      </c>
      <c r="C271" s="141">
        <f>IFERROR(__xludf.DUMMYFUNCTION("""COMPUTED_VALUE"""),103.34)</f>
        <v/>
      </c>
      <c r="D271" s="141">
        <f>IFERROR(__xludf.DUMMYFUNCTION("""COMPUTED_VALUE"""),103.49)</f>
        <v/>
      </c>
      <c r="E271" s="141">
        <f>IFERROR(__xludf.DUMMYFUNCTION("""COMPUTED_VALUE"""),102.47)</f>
        <v/>
      </c>
      <c r="F271" s="141">
        <f>IFERROR(__xludf.DUMMYFUNCTION("""COMPUTED_VALUE"""),102.57)</f>
        <v/>
      </c>
      <c r="G271" s="143">
        <f>IFERROR(__xludf.DUMMYFUNCTION("""COMPUTED_VALUE"""),14834449)</f>
        <v/>
      </c>
      <c r="H271" s="27" t="n"/>
    </row>
    <row r="272" ht="17.25" customHeight="1" s="322">
      <c r="A272" s="27" t="n"/>
      <c r="B272" s="506">
        <f>IFERROR(__xludf.DUMMYFUNCTION("""COMPUTED_VALUE"""),46224.6666666666)</f>
        <v/>
      </c>
      <c r="C272" s="141">
        <f>IFERROR(__xludf.DUMMYFUNCTION("""COMPUTED_VALUE"""),103.51)</f>
        <v/>
      </c>
      <c r="D272" s="141">
        <f>IFERROR(__xludf.DUMMYFUNCTION("""COMPUTED_VALUE"""),104.19)</f>
        <v/>
      </c>
      <c r="E272" s="141">
        <f>IFERROR(__xludf.DUMMYFUNCTION("""COMPUTED_VALUE"""),103.09)</f>
        <v/>
      </c>
      <c r="F272" s="141">
        <f>IFERROR(__xludf.DUMMYFUNCTION("""COMPUTED_VALUE"""),104.06)</f>
        <v/>
      </c>
      <c r="G272" s="143">
        <f>IFERROR(__xludf.DUMMYFUNCTION("""COMPUTED_VALUE"""),9826921)</f>
        <v/>
      </c>
      <c r="H272" s="27" t="n"/>
    </row>
    <row r="273" ht="17.25" customHeight="1" s="322">
      <c r="A273" s="27" t="n"/>
      <c r="B273" s="506">
        <f>IFERROR(__xludf.DUMMYFUNCTION("""COMPUTED_VALUE"""),46225.6666666666)</f>
        <v/>
      </c>
      <c r="C273" s="141">
        <f>IFERROR(__xludf.DUMMYFUNCTION("""COMPUTED_VALUE"""),104.44)</f>
        <v/>
      </c>
      <c r="D273" s="141">
        <f>IFERROR(__xludf.DUMMYFUNCTION("""COMPUTED_VALUE"""),104.64)</f>
        <v/>
      </c>
      <c r="E273" s="141">
        <f>IFERROR(__xludf.DUMMYFUNCTION("""COMPUTED_VALUE"""),104.22)</f>
        <v/>
      </c>
      <c r="F273" s="141">
        <f>IFERROR(__xludf.DUMMYFUNCTION("""COMPUTED_VALUE"""),104.25)</f>
        <v/>
      </c>
      <c r="G273" s="143">
        <f>IFERROR(__xludf.DUMMYFUNCTION("""COMPUTED_VALUE"""),14694587)</f>
        <v/>
      </c>
      <c r="H273" s="27" t="n"/>
    </row>
    <row r="274" ht="17.25" customHeight="1" s="322">
      <c r="A274" s="27" t="n"/>
      <c r="B274" s="506">
        <f>IFERROR(__xludf.DUMMYFUNCTION("""COMPUTED_VALUE"""),46226.6666666666)</f>
        <v/>
      </c>
      <c r="C274" s="141">
        <f>IFERROR(__xludf.DUMMYFUNCTION("""COMPUTED_VALUE"""),102.76)</f>
        <v/>
      </c>
      <c r="D274" s="141">
        <f>IFERROR(__xludf.DUMMYFUNCTION("""COMPUTED_VALUE"""),103.29)</f>
        <v/>
      </c>
      <c r="E274" s="141">
        <f>IFERROR(__xludf.DUMMYFUNCTION("""COMPUTED_VALUE"""),102.54)</f>
        <v/>
      </c>
      <c r="F274" s="141">
        <f>IFERROR(__xludf.DUMMYFUNCTION("""COMPUTED_VALUE"""),102.9)</f>
        <v/>
      </c>
      <c r="G274" s="143">
        <f>IFERROR(__xludf.DUMMYFUNCTION("""COMPUTED_VALUE"""),12596068)</f>
        <v/>
      </c>
      <c r="H274" s="27" t="n"/>
    </row>
    <row r="275" ht="17.25" customHeight="1" s="322">
      <c r="A275" s="27" t="n"/>
      <c r="B275" s="506">
        <f>IFERROR(__xludf.DUMMYFUNCTION("""COMPUTED_VALUE"""),46227.6666666666)</f>
        <v/>
      </c>
      <c r="C275" s="141">
        <f>IFERROR(__xludf.DUMMYFUNCTION("""COMPUTED_VALUE"""),103.5)</f>
        <v/>
      </c>
      <c r="D275" s="141">
        <f>IFERROR(__xludf.DUMMYFUNCTION("""COMPUTED_VALUE"""),104.03)</f>
        <v/>
      </c>
      <c r="E275" s="141">
        <f>IFERROR(__xludf.DUMMYFUNCTION("""COMPUTED_VALUE"""),103.26)</f>
        <v/>
      </c>
      <c r="F275" s="141">
        <f>IFERROR(__xludf.DUMMYFUNCTION("""COMPUTED_VALUE"""),103.41)</f>
        <v/>
      </c>
      <c r="G275" s="143">
        <f>IFERROR(__xludf.DUMMYFUNCTION("""COMPUTED_VALUE"""),9032149)</f>
        <v/>
      </c>
      <c r="H275" s="27" t="n"/>
    </row>
    <row r="276" ht="17.25" customHeight="1" s="322">
      <c r="A276" s="27" t="n"/>
      <c r="B276" s="506">
        <f>IFERROR(__xludf.DUMMYFUNCTION("""COMPUTED_VALUE"""),46230.6666666666)</f>
        <v/>
      </c>
      <c r="C276" s="141">
        <f>IFERROR(__xludf.DUMMYFUNCTION("""COMPUTED_VALUE"""),104.36)</f>
        <v/>
      </c>
      <c r="D276" s="141">
        <f>IFERROR(__xludf.DUMMYFUNCTION("""COMPUTED_VALUE"""),104.46)</f>
        <v/>
      </c>
      <c r="E276" s="141">
        <f>IFERROR(__xludf.DUMMYFUNCTION("""COMPUTED_VALUE"""),103.45)</f>
        <v/>
      </c>
      <c r="F276" s="141">
        <f>IFERROR(__xludf.DUMMYFUNCTION("""COMPUTED_VALUE"""),103.91)</f>
        <v/>
      </c>
      <c r="G276" s="143">
        <f>IFERROR(__xludf.DUMMYFUNCTION("""COMPUTED_VALUE"""),9299983)</f>
        <v/>
      </c>
      <c r="H276" s="27" t="n"/>
    </row>
    <row r="277" ht="17.25" customHeight="1" s="322">
      <c r="A277" s="27" t="n"/>
      <c r="B277" s="506">
        <f>IFERROR(__xludf.DUMMYFUNCTION("""COMPUTED_VALUE"""),46231.6666666666)</f>
        <v/>
      </c>
      <c r="C277" s="141">
        <f>IFERROR(__xludf.DUMMYFUNCTION("""COMPUTED_VALUE"""),103.19)</f>
        <v/>
      </c>
      <c r="D277" s="141">
        <f>IFERROR(__xludf.DUMMYFUNCTION("""COMPUTED_VALUE"""),104.18)</f>
        <v/>
      </c>
      <c r="E277" s="141">
        <f>IFERROR(__xludf.DUMMYFUNCTION("""COMPUTED_VALUE"""),103.12)</f>
        <v/>
      </c>
      <c r="F277" s="141">
        <f>IFERROR(__xludf.DUMMYFUNCTION("""COMPUTED_VALUE"""),103.89)</f>
        <v/>
      </c>
      <c r="G277" s="143">
        <f>IFERROR(__xludf.DUMMYFUNCTION("""COMPUTED_VALUE"""),9580484)</f>
        <v/>
      </c>
      <c r="H277" s="27" t="n"/>
    </row>
    <row r="278" ht="17.25" customHeight="1" s="322">
      <c r="A278" s="27" t="n"/>
      <c r="B278" s="506">
        <f>IFERROR(__xludf.DUMMYFUNCTION("""COMPUTED_VALUE"""),46232.6666666666)</f>
        <v/>
      </c>
      <c r="C278" s="141">
        <f>IFERROR(__xludf.DUMMYFUNCTION("""COMPUTED_VALUE"""),103.72)</f>
        <v/>
      </c>
      <c r="D278" s="141">
        <f>IFERROR(__xludf.DUMMYFUNCTION("""COMPUTED_VALUE"""),104.85)</f>
        <v/>
      </c>
      <c r="E278" s="141">
        <f>IFERROR(__xludf.DUMMYFUNCTION("""COMPUTED_VALUE"""),102.98)</f>
        <v/>
      </c>
      <c r="F278" s="141">
        <f>IFERROR(__xludf.DUMMYFUNCTION("""COMPUTED_VALUE"""),103.37)</f>
        <v/>
      </c>
      <c r="G278" s="143">
        <f>IFERROR(__xludf.DUMMYFUNCTION("""COMPUTED_VALUE"""),11646402)</f>
        <v/>
      </c>
      <c r="H278" s="27" t="n"/>
    </row>
    <row r="279" ht="17.25" customHeight="1" s="322">
      <c r="A279" s="27" t="n"/>
      <c r="B279" s="506" t="n"/>
      <c r="C279" s="141" t="n"/>
      <c r="D279" s="141" t="n"/>
      <c r="E279" s="141" t="n"/>
      <c r="F279" s="141" t="n"/>
      <c r="G279" s="143" t="n"/>
      <c r="H279" s="27" t="n"/>
    </row>
    <row r="280" ht="17.25" customHeight="1" s="322">
      <c r="A280" s="27" t="n"/>
      <c r="B280" s="506" t="n"/>
      <c r="C280" s="141" t="n"/>
      <c r="D280" s="141" t="n"/>
      <c r="E280" s="141" t="n"/>
      <c r="F280" s="141" t="n"/>
      <c r="G280" s="143" t="n"/>
      <c r="H280" s="27" t="n"/>
    </row>
    <row r="281" ht="17.25" customHeight="1" s="322">
      <c r="A281" s="27" t="n"/>
      <c r="B281" s="506" t="n"/>
      <c r="C281" s="141" t="n"/>
      <c r="D281" s="141" t="n"/>
      <c r="E281" s="141" t="n"/>
      <c r="F281" s="141" t="n"/>
      <c r="G281" s="143" t="n"/>
      <c r="H281" s="27" t="n"/>
    </row>
    <row r="282" ht="17.25" customHeight="1" s="322">
      <c r="A282" s="27" t="n"/>
      <c r="B282" s="506" t="n"/>
      <c r="C282" s="141" t="n"/>
      <c r="D282" s="141" t="n"/>
      <c r="E282" s="141" t="n"/>
      <c r="F282" s="141" t="n"/>
      <c r="G282" s="143" t="n"/>
      <c r="H282" s="27" t="n"/>
    </row>
    <row r="283" ht="17.25" customHeight="1" s="322">
      <c r="A283" s="27" t="n"/>
      <c r="B283" s="506" t="n"/>
      <c r="C283" s="141" t="n"/>
      <c r="D283" s="141" t="n"/>
      <c r="E283" s="141" t="n"/>
      <c r="F283" s="141" t="n"/>
      <c r="G283" s="143" t="n"/>
      <c r="H283" s="27" t="n"/>
    </row>
    <row r="284" ht="17.25" customHeight="1" s="322">
      <c r="A284" s="27" t="n"/>
      <c r="B284" s="506" t="n"/>
      <c r="C284" s="141" t="n"/>
      <c r="D284" s="141" t="n"/>
      <c r="E284" s="141" t="n"/>
      <c r="F284" s="141" t="n"/>
      <c r="G284" s="143" t="n"/>
      <c r="H284" s="27" t="n"/>
    </row>
    <row r="285" ht="17.25" customHeight="1" s="322">
      <c r="A285" s="27" t="n"/>
      <c r="B285" s="506" t="n"/>
      <c r="C285" s="141" t="n"/>
      <c r="D285" s="141" t="n"/>
      <c r="E285" s="141" t="n"/>
      <c r="F285" s="141" t="n"/>
      <c r="G285" s="143" t="n"/>
      <c r="H285" s="27" t="n"/>
    </row>
    <row r="286" ht="17.25" customHeight="1" s="322">
      <c r="A286" s="27" t="n"/>
      <c r="B286" s="506" t="n"/>
      <c r="C286" s="141" t="n"/>
      <c r="D286" s="141" t="n"/>
      <c r="E286" s="141" t="n"/>
      <c r="F286" s="141" t="n"/>
      <c r="G286" s="143" t="n"/>
      <c r="H286" s="27" t="n"/>
    </row>
    <row r="287" ht="17.25" customHeight="1" s="322">
      <c r="A287" s="27" t="n"/>
      <c r="B287" s="506" t="n"/>
      <c r="C287" s="141" t="n"/>
      <c r="D287" s="141" t="n"/>
      <c r="E287" s="141" t="n"/>
      <c r="F287" s="141" t="n"/>
      <c r="G287" s="143" t="n"/>
      <c r="H287" s="27" t="n"/>
    </row>
    <row r="288" ht="17.25" customHeight="1" s="322">
      <c r="A288" s="27" t="n"/>
      <c r="B288" s="506" t="n"/>
      <c r="C288" s="141" t="n"/>
      <c r="D288" s="141" t="n"/>
      <c r="E288" s="141" t="n"/>
      <c r="F288" s="141" t="n"/>
      <c r="G288" s="143" t="n"/>
      <c r="H288" s="27" t="n"/>
    </row>
    <row r="289" ht="17.25" customHeight="1" s="322">
      <c r="A289" s="27" t="n"/>
      <c r="B289" s="506" t="n"/>
      <c r="C289" s="141" t="n"/>
      <c r="D289" s="141" t="n"/>
      <c r="E289" s="141" t="n"/>
      <c r="F289" s="141" t="n"/>
      <c r="G289" s="143" t="n"/>
      <c r="H289" s="27" t="n"/>
    </row>
    <row r="290" ht="17.25" customHeight="1" s="322">
      <c r="A290" s="27" t="n"/>
      <c r="B290" s="506" t="n"/>
      <c r="C290" s="141" t="n"/>
      <c r="D290" s="141" t="n"/>
      <c r="E290" s="141" t="n"/>
      <c r="F290" s="141" t="n"/>
      <c r="G290" s="143" t="n"/>
      <c r="H290" s="27" t="n"/>
    </row>
    <row r="291" ht="17.25" customHeight="1" s="322">
      <c r="A291" s="27" t="n"/>
      <c r="B291" s="506" t="n"/>
      <c r="C291" s="141" t="n"/>
      <c r="D291" s="141" t="n"/>
      <c r="E291" s="141" t="n"/>
      <c r="F291" s="141" t="n"/>
      <c r="G291" s="143" t="n"/>
      <c r="H291" s="27" t="n"/>
    </row>
    <row r="292" ht="17.25" customHeight="1" s="322">
      <c r="A292" s="27" t="n"/>
      <c r="B292" s="506" t="n"/>
      <c r="C292" s="141" t="n"/>
      <c r="D292" s="141" t="n"/>
      <c r="E292" s="141" t="n"/>
      <c r="F292" s="141" t="n"/>
      <c r="G292" s="143" t="n"/>
      <c r="H292" s="27" t="n"/>
    </row>
    <row r="293" ht="17.25" customHeight="1" s="322">
      <c r="A293" s="27" t="n"/>
      <c r="B293" s="506" t="n"/>
      <c r="C293" s="141" t="n"/>
      <c r="D293" s="141" t="n"/>
      <c r="E293" s="141" t="n"/>
      <c r="F293" s="141" t="n"/>
      <c r="G293" s="143" t="n"/>
      <c r="H293" s="27" t="n"/>
    </row>
    <row r="294" ht="17.25" customHeight="1" s="322">
      <c r="A294" s="27" t="n"/>
      <c r="B294" s="506" t="n"/>
      <c r="C294" s="141" t="n"/>
      <c r="D294" s="141" t="n"/>
      <c r="E294" s="141" t="n"/>
      <c r="F294" s="141" t="n"/>
      <c r="G294" s="143" t="n"/>
      <c r="H294" s="27" t="n"/>
    </row>
    <row r="295" ht="17.25" customHeight="1" s="322">
      <c r="A295" s="27" t="n"/>
      <c r="B295" s="506" t="n"/>
      <c r="C295" s="141" t="n"/>
      <c r="D295" s="141" t="n"/>
      <c r="E295" s="141" t="n"/>
      <c r="F295" s="141" t="n"/>
      <c r="G295" s="143" t="n"/>
      <c r="H295" s="27" t="n"/>
    </row>
    <row r="296" ht="17.25" customHeight="1" s="322">
      <c r="A296" s="27" t="n"/>
      <c r="B296" s="506" t="n"/>
      <c r="C296" s="141" t="n"/>
      <c r="D296" s="141" t="n"/>
      <c r="E296" s="141" t="n"/>
      <c r="F296" s="141" t="n"/>
      <c r="G296" s="143" t="n"/>
      <c r="H296" s="27" t="n"/>
    </row>
    <row r="297" ht="17.25" customHeight="1" s="322">
      <c r="A297" s="27" t="n"/>
      <c r="B297" s="506" t="n"/>
      <c r="C297" s="141" t="n"/>
      <c r="D297" s="141" t="n"/>
      <c r="E297" s="141" t="n"/>
      <c r="F297" s="141" t="n"/>
      <c r="G297" s="143" t="n"/>
      <c r="H297" s="27" t="n"/>
    </row>
    <row r="298" ht="17.25" customHeight="1" s="322">
      <c r="A298" s="27" t="n"/>
      <c r="B298" s="506" t="n"/>
      <c r="C298" s="141" t="n"/>
      <c r="D298" s="141" t="n"/>
      <c r="E298" s="141" t="n"/>
      <c r="F298" s="141" t="n"/>
      <c r="G298" s="143" t="n"/>
      <c r="H298" s="27" t="n"/>
    </row>
    <row r="299" ht="17.25" customHeight="1" s="322">
      <c r="A299" s="27" t="n"/>
      <c r="B299" s="506" t="n"/>
      <c r="C299" s="141" t="n"/>
      <c r="D299" s="141" t="n"/>
      <c r="E299" s="141" t="n"/>
      <c r="F299" s="141" t="n"/>
      <c r="G299" s="143" t="n"/>
      <c r="H299" s="27" t="n"/>
    </row>
    <row r="300" ht="17.25" customHeight="1" s="322">
      <c r="A300" s="27" t="n"/>
      <c r="B300" s="506" t="n"/>
      <c r="C300" s="141" t="n"/>
      <c r="D300" s="141" t="n"/>
      <c r="E300" s="141" t="n"/>
      <c r="F300" s="141" t="n"/>
      <c r="G300" s="143" t="n"/>
      <c r="H300" s="27" t="n"/>
    </row>
    <row r="301" ht="17.25" customHeight="1" s="322">
      <c r="A301" s="27" t="n"/>
      <c r="B301" s="506" t="n"/>
      <c r="C301" s="141" t="n"/>
      <c r="D301" s="141" t="n"/>
      <c r="E301" s="141" t="n"/>
      <c r="F301" s="141" t="n"/>
      <c r="G301" s="143" t="n"/>
      <c r="H301" s="27" t="n"/>
    </row>
    <row r="302" ht="17.25" customHeight="1" s="322">
      <c r="A302" s="27" t="n"/>
      <c r="B302" s="506" t="n"/>
      <c r="C302" s="141" t="n"/>
      <c r="D302" s="141" t="n"/>
      <c r="E302" s="141" t="n"/>
      <c r="F302" s="141" t="n"/>
      <c r="G302" s="143" t="n"/>
      <c r="H302" s="27" t="n"/>
    </row>
    <row r="303" ht="17.25" customHeight="1" s="322">
      <c r="A303" s="27" t="n"/>
      <c r="B303" s="506" t="n"/>
      <c r="C303" s="141" t="n"/>
      <c r="D303" s="141" t="n"/>
      <c r="E303" s="141" t="n"/>
      <c r="F303" s="141" t="n"/>
      <c r="G303" s="143" t="n"/>
      <c r="H303" s="27" t="n"/>
    </row>
    <row r="304" ht="17.25" customHeight="1" s="322">
      <c r="A304" s="27" t="n"/>
      <c r="B304" s="506" t="n"/>
      <c r="C304" s="141" t="n"/>
      <c r="D304" s="141" t="n"/>
      <c r="E304" s="141" t="n"/>
      <c r="F304" s="141" t="n"/>
      <c r="G304" s="143" t="n"/>
      <c r="H304" s="27" t="n"/>
    </row>
    <row r="305" ht="17.25" customHeight="1" s="322">
      <c r="A305" s="27" t="n"/>
      <c r="B305" s="506" t="n"/>
      <c r="C305" s="141" t="n"/>
      <c r="D305" s="141" t="n"/>
      <c r="E305" s="141" t="n"/>
      <c r="F305" s="141" t="n"/>
      <c r="G305" s="143" t="n"/>
      <c r="H305" s="27" t="n"/>
    </row>
    <row r="306" ht="17.25" customHeight="1" s="322">
      <c r="A306" s="27" t="n"/>
      <c r="B306" s="506" t="n"/>
      <c r="C306" s="141" t="n"/>
      <c r="D306" s="141" t="n"/>
      <c r="E306" s="141" t="n"/>
      <c r="F306" s="141" t="n"/>
      <c r="G306" s="143" t="n"/>
      <c r="H306" s="27" t="n"/>
    </row>
    <row r="307" ht="17.25" customHeight="1" s="322">
      <c r="A307" s="27" t="n"/>
      <c r="B307" s="506" t="n"/>
      <c r="C307" s="141" t="n"/>
      <c r="D307" s="141" t="n"/>
      <c r="E307" s="141" t="n"/>
      <c r="F307" s="141" t="n"/>
      <c r="G307" s="143" t="n"/>
      <c r="H307" s="27" t="n"/>
    </row>
    <row r="308" ht="17.25" customHeight="1" s="322">
      <c r="A308" s="27" t="n"/>
      <c r="B308" s="506" t="n"/>
      <c r="C308" s="141" t="n"/>
      <c r="D308" s="141" t="n"/>
      <c r="E308" s="141" t="n"/>
      <c r="F308" s="141" t="n"/>
      <c r="G308" s="143" t="n"/>
      <c r="H308" s="27" t="n"/>
    </row>
    <row r="309" ht="17.25" customHeight="1" s="322">
      <c r="A309" s="27" t="n"/>
      <c r="B309" s="506" t="n"/>
      <c r="C309" s="141" t="n"/>
      <c r="D309" s="141" t="n"/>
      <c r="E309" s="141" t="n"/>
      <c r="F309" s="141" t="n"/>
      <c r="G309" s="143" t="n"/>
      <c r="H309" s="27" t="n"/>
    </row>
    <row r="310" ht="17.25" customHeight="1" s="322">
      <c r="A310" s="27" t="n"/>
      <c r="B310" s="506" t="n"/>
      <c r="C310" s="141" t="n"/>
      <c r="D310" s="141" t="n"/>
      <c r="E310" s="141" t="n"/>
      <c r="F310" s="141" t="n"/>
      <c r="G310" s="143" t="n"/>
      <c r="H310" s="27" t="n"/>
    </row>
    <row r="311" ht="17.25" customHeight="1" s="322">
      <c r="A311" s="27" t="n"/>
      <c r="B311" s="506" t="n"/>
      <c r="C311" s="141" t="n"/>
      <c r="D311" s="141" t="n"/>
      <c r="E311" s="141" t="n"/>
      <c r="F311" s="141" t="n"/>
      <c r="G311" s="143" t="n"/>
      <c r="H311" s="27" t="n"/>
    </row>
    <row r="312" ht="17.25" customHeight="1" s="322">
      <c r="A312" s="27" t="n"/>
      <c r="B312" s="506" t="n"/>
      <c r="C312" s="141" t="n"/>
      <c r="D312" s="141" t="n"/>
      <c r="E312" s="141" t="n"/>
      <c r="F312" s="141" t="n"/>
      <c r="G312" s="143" t="n"/>
      <c r="H312" s="27" t="n"/>
    </row>
    <row r="313" ht="17.25" customHeight="1" s="322">
      <c r="A313" s="27" t="n"/>
      <c r="B313" s="506" t="n"/>
      <c r="C313" s="141" t="n"/>
      <c r="D313" s="141" t="n"/>
      <c r="E313" s="141" t="n"/>
      <c r="F313" s="141" t="n"/>
      <c r="G313" s="143" t="n"/>
      <c r="H313" s="27" t="n"/>
    </row>
    <row r="314" ht="17.25" customHeight="1" s="322">
      <c r="A314" s="27" t="n"/>
      <c r="B314" s="506" t="n"/>
      <c r="C314" s="141" t="n"/>
      <c r="D314" s="141" t="n"/>
      <c r="E314" s="141" t="n"/>
      <c r="F314" s="141" t="n"/>
      <c r="G314" s="143" t="n"/>
      <c r="H314" s="27" t="n"/>
    </row>
    <row r="315" ht="17.25" customHeight="1" s="322">
      <c r="A315" s="27" t="n"/>
      <c r="B315" s="506" t="n"/>
      <c r="C315" s="141" t="n"/>
      <c r="D315" s="141" t="n"/>
      <c r="E315" s="141" t="n"/>
      <c r="F315" s="141" t="n"/>
      <c r="G315" s="143" t="n"/>
      <c r="H315" s="27" t="n"/>
    </row>
    <row r="316" ht="17.25" customHeight="1" s="322">
      <c r="A316" s="27" t="n"/>
      <c r="B316" s="506" t="n"/>
      <c r="C316" s="141" t="n"/>
      <c r="D316" s="141" t="n"/>
      <c r="E316" s="141" t="n"/>
      <c r="F316" s="141" t="n"/>
      <c r="G316" s="143" t="n"/>
      <c r="H316" s="27" t="n"/>
    </row>
    <row r="317" ht="17.25" customHeight="1" s="322">
      <c r="A317" s="27" t="n"/>
      <c r="B317" s="506" t="n"/>
      <c r="C317" s="141" t="n"/>
      <c r="D317" s="141" t="n"/>
      <c r="E317" s="141" t="n"/>
      <c r="F317" s="141" t="n"/>
      <c r="G317" s="143" t="n"/>
      <c r="H317" s="27" t="n"/>
    </row>
    <row r="318" ht="17.25" customHeight="1" s="322">
      <c r="A318" s="27" t="n"/>
      <c r="B318" s="506" t="n"/>
      <c r="C318" s="141" t="n"/>
      <c r="D318" s="141" t="n"/>
      <c r="E318" s="141" t="n"/>
      <c r="F318" s="141" t="n"/>
      <c r="G318" s="143" t="n"/>
      <c r="H318" s="27" t="n"/>
    </row>
    <row r="319" ht="17.25" customHeight="1" s="322">
      <c r="A319" s="27" t="n"/>
      <c r="B319" s="506" t="n"/>
      <c r="C319" s="141" t="n"/>
      <c r="D319" s="141" t="n"/>
      <c r="E319" s="141" t="n"/>
      <c r="F319" s="141" t="n"/>
      <c r="G319" s="143" t="n"/>
      <c r="H319" s="27" t="n"/>
    </row>
    <row r="320" ht="17.25" customHeight="1" s="322">
      <c r="A320" s="27" t="n"/>
      <c r="B320" s="506" t="n"/>
      <c r="C320" s="141" t="n"/>
      <c r="D320" s="141" t="n"/>
      <c r="E320" s="141" t="n"/>
      <c r="F320" s="141" t="n"/>
      <c r="G320" s="143" t="n"/>
      <c r="H320" s="27" t="n"/>
    </row>
    <row r="321" ht="17.25" customHeight="1" s="322">
      <c r="A321" s="27" t="n"/>
      <c r="B321" s="506" t="n"/>
      <c r="C321" s="141" t="n"/>
      <c r="D321" s="141" t="n"/>
      <c r="E321" s="141" t="n"/>
      <c r="F321" s="141" t="n"/>
      <c r="G321" s="143" t="n"/>
      <c r="H321" s="27" t="n"/>
    </row>
    <row r="322" ht="17.25" customHeight="1" s="322">
      <c r="A322" s="27" t="n"/>
      <c r="B322" s="506" t="n"/>
      <c r="C322" s="141" t="n"/>
      <c r="D322" s="141" t="n"/>
      <c r="E322" s="141" t="n"/>
      <c r="F322" s="141" t="n"/>
      <c r="G322" s="143" t="n"/>
      <c r="H322" s="27" t="n"/>
    </row>
    <row r="323" ht="17.25" customHeight="1" s="322">
      <c r="A323" s="27" t="n"/>
      <c r="B323" s="506" t="n"/>
      <c r="C323" s="141" t="n"/>
      <c r="D323" s="141" t="n"/>
      <c r="E323" s="141" t="n"/>
      <c r="F323" s="141" t="n"/>
      <c r="G323" s="143" t="n"/>
      <c r="H323" s="27" t="n"/>
    </row>
    <row r="324" ht="17.25" customHeight="1" s="322">
      <c r="A324" s="27" t="n"/>
      <c r="B324" s="506" t="n"/>
      <c r="C324" s="141" t="n"/>
      <c r="D324" s="141" t="n"/>
      <c r="E324" s="141" t="n"/>
      <c r="F324" s="141" t="n"/>
      <c r="G324" s="143" t="n"/>
      <c r="H324" s="27" t="n"/>
    </row>
    <row r="325" ht="17.25" customHeight="1" s="322">
      <c r="A325" s="27" t="n"/>
      <c r="B325" s="506" t="n"/>
      <c r="C325" s="141" t="n"/>
      <c r="D325" s="141" t="n"/>
      <c r="E325" s="141" t="n"/>
      <c r="F325" s="141" t="n"/>
      <c r="G325" s="143" t="n"/>
      <c r="H325" s="27" t="n"/>
    </row>
    <row r="326" ht="17.25" customHeight="1" s="322">
      <c r="A326" s="27" t="n"/>
      <c r="B326" s="506" t="n"/>
      <c r="C326" s="141" t="n"/>
      <c r="D326" s="141" t="n"/>
      <c r="E326" s="141" t="n"/>
      <c r="F326" s="141" t="n"/>
      <c r="G326" s="143" t="n"/>
      <c r="H326" s="27" t="n"/>
    </row>
    <row r="327" ht="17.25" customHeight="1" s="322">
      <c r="A327" s="27" t="n"/>
      <c r="B327" s="506" t="n"/>
      <c r="C327" s="141" t="n"/>
      <c r="D327" s="141" t="n"/>
      <c r="E327" s="141" t="n"/>
      <c r="F327" s="141" t="n"/>
      <c r="G327" s="143" t="n"/>
      <c r="H327" s="27" t="n"/>
    </row>
    <row r="328" ht="17.25" customHeight="1" s="322">
      <c r="A328" s="27" t="n"/>
      <c r="B328" s="506" t="n"/>
      <c r="C328" s="141" t="n"/>
      <c r="D328" s="141" t="n"/>
      <c r="E328" s="141" t="n"/>
      <c r="F328" s="141" t="n"/>
      <c r="G328" s="143" t="n"/>
      <c r="H328" s="27" t="n"/>
    </row>
    <row r="329" ht="17.25" customHeight="1" s="322">
      <c r="A329" s="27" t="n"/>
      <c r="B329" s="506" t="n"/>
      <c r="C329" s="141" t="n"/>
      <c r="D329" s="141" t="n"/>
      <c r="E329" s="141" t="n"/>
      <c r="F329" s="141" t="n"/>
      <c r="G329" s="143" t="n"/>
      <c r="H329" s="27" t="n"/>
    </row>
    <row r="330" ht="17.25" customHeight="1" s="322">
      <c r="A330" s="27" t="n"/>
      <c r="B330" s="506" t="n"/>
      <c r="C330" s="141" t="n"/>
      <c r="D330" s="141" t="n"/>
      <c r="E330" s="141" t="n"/>
      <c r="F330" s="141" t="n"/>
      <c r="G330" s="143" t="n"/>
      <c r="H330" s="27" t="n"/>
    </row>
    <row r="331" ht="17.25" customHeight="1" s="322">
      <c r="A331" s="27" t="n"/>
      <c r="B331" s="506" t="n"/>
      <c r="C331" s="141" t="n"/>
      <c r="D331" s="141" t="n"/>
      <c r="E331" s="141" t="n"/>
      <c r="F331" s="141" t="n"/>
      <c r="G331" s="143" t="n"/>
      <c r="H331" s="27" t="n"/>
    </row>
    <row r="332" ht="17.25" customHeight="1" s="322">
      <c r="A332" s="27" t="n"/>
      <c r="B332" s="506" t="n"/>
      <c r="C332" s="141" t="n"/>
      <c r="D332" s="141" t="n"/>
      <c r="E332" s="141" t="n"/>
      <c r="F332" s="141" t="n"/>
      <c r="G332" s="143" t="n"/>
      <c r="H332" s="27" t="n"/>
    </row>
    <row r="333" ht="17.25" customHeight="1" s="322">
      <c r="A333" s="27" t="n"/>
      <c r="B333" s="506" t="n"/>
      <c r="C333" s="141" t="n"/>
      <c r="D333" s="141" t="n"/>
      <c r="E333" s="141" t="n"/>
      <c r="F333" s="141" t="n"/>
      <c r="G333" s="143" t="n"/>
      <c r="H333" s="27" t="n"/>
    </row>
    <row r="334" ht="17.25" customHeight="1" s="322">
      <c r="A334" s="27" t="n"/>
      <c r="B334" s="506" t="n"/>
      <c r="C334" s="141" t="n"/>
      <c r="D334" s="141" t="n"/>
      <c r="E334" s="141" t="n"/>
      <c r="F334" s="141" t="n"/>
      <c r="G334" s="143" t="n"/>
      <c r="H334" s="27" t="n"/>
    </row>
    <row r="335" ht="17.25" customHeight="1" s="322">
      <c r="A335" s="27" t="n"/>
      <c r="B335" s="506" t="n"/>
      <c r="C335" s="141" t="n"/>
      <c r="D335" s="141" t="n"/>
      <c r="E335" s="141" t="n"/>
      <c r="F335" s="141" t="n"/>
      <c r="G335" s="143" t="n"/>
      <c r="H335" s="27" t="n"/>
    </row>
    <row r="336" ht="17.25" customHeight="1" s="322">
      <c r="A336" s="27" t="n"/>
      <c r="B336" s="506" t="n"/>
      <c r="C336" s="141" t="n"/>
      <c r="D336" s="141" t="n"/>
      <c r="E336" s="141" t="n"/>
      <c r="F336" s="141" t="n"/>
      <c r="G336" s="143" t="n"/>
      <c r="H336" s="27" t="n"/>
    </row>
    <row r="337" ht="17.25" customHeight="1" s="322">
      <c r="A337" s="27" t="n"/>
      <c r="B337" s="506" t="n"/>
      <c r="C337" s="141" t="n"/>
      <c r="D337" s="141" t="n"/>
      <c r="E337" s="141" t="n"/>
      <c r="F337" s="141" t="n"/>
      <c r="G337" s="143" t="n"/>
      <c r="H337" s="27" t="n"/>
    </row>
    <row r="338" ht="17.25" customHeight="1" s="322">
      <c r="A338" s="27" t="n"/>
      <c r="B338" s="506" t="n"/>
      <c r="C338" s="141" t="n"/>
      <c r="D338" s="141" t="n"/>
      <c r="E338" s="141" t="n"/>
      <c r="F338" s="141" t="n"/>
      <c r="G338" s="143" t="n"/>
      <c r="H338" s="27" t="n"/>
    </row>
    <row r="339" ht="17.25" customHeight="1" s="322">
      <c r="A339" s="27" t="n"/>
      <c r="B339" s="506" t="n"/>
      <c r="C339" s="141" t="n"/>
      <c r="D339" s="141" t="n"/>
      <c r="E339" s="141" t="n"/>
      <c r="F339" s="141" t="n"/>
      <c r="G339" s="143" t="n"/>
      <c r="H339" s="27" t="n"/>
    </row>
    <row r="340" ht="17.25" customHeight="1" s="322">
      <c r="A340" s="27" t="n"/>
      <c r="B340" s="506" t="n"/>
      <c r="C340" s="141" t="n"/>
      <c r="D340" s="141" t="n"/>
      <c r="E340" s="141" t="n"/>
      <c r="F340" s="141" t="n"/>
      <c r="G340" s="143" t="n"/>
      <c r="H340" s="27" t="n"/>
    </row>
    <row r="341" ht="17.25" customHeight="1" s="322">
      <c r="A341" s="27" t="n"/>
      <c r="B341" s="506" t="n"/>
      <c r="C341" s="141" t="n"/>
      <c r="D341" s="141" t="n"/>
      <c r="E341" s="141" t="n"/>
      <c r="F341" s="141" t="n"/>
      <c r="G341" s="143" t="n"/>
      <c r="H341" s="27" t="n"/>
    </row>
    <row r="342" ht="17.25" customHeight="1" s="322">
      <c r="A342" s="27" t="n"/>
      <c r="B342" s="506" t="n"/>
      <c r="C342" s="141" t="n"/>
      <c r="D342" s="141" t="n"/>
      <c r="E342" s="141" t="n"/>
      <c r="F342" s="141" t="n"/>
      <c r="G342" s="143" t="n"/>
      <c r="H342" s="27" t="n"/>
    </row>
    <row r="343" ht="17.25" customHeight="1" s="322">
      <c r="A343" s="27" t="n"/>
      <c r="B343" s="506" t="n"/>
      <c r="C343" s="141" t="n"/>
      <c r="D343" s="141" t="n"/>
      <c r="E343" s="141" t="n"/>
      <c r="F343" s="141" t="n"/>
      <c r="G343" s="143" t="n"/>
      <c r="H343" s="27" t="n"/>
    </row>
    <row r="344" ht="17.25" customHeight="1" s="322">
      <c r="A344" s="27" t="n"/>
      <c r="B344" s="506" t="n"/>
      <c r="C344" s="141" t="n"/>
      <c r="D344" s="141" t="n"/>
      <c r="E344" s="141" t="n"/>
      <c r="F344" s="141" t="n"/>
      <c r="G344" s="143" t="n"/>
      <c r="H344" s="27" t="n"/>
    </row>
    <row r="345" ht="17.25" customHeight="1" s="322">
      <c r="A345" s="27" t="n"/>
      <c r="B345" s="506" t="n"/>
      <c r="C345" s="141" t="n"/>
      <c r="D345" s="141" t="n"/>
      <c r="E345" s="141" t="n"/>
      <c r="F345" s="141" t="n"/>
      <c r="G345" s="143" t="n"/>
      <c r="H345" s="27" t="n"/>
    </row>
    <row r="346" ht="17.25" customHeight="1" s="322">
      <c r="A346" s="27" t="n"/>
      <c r="B346" s="506" t="n"/>
      <c r="C346" s="141" t="n"/>
      <c r="D346" s="141" t="n"/>
      <c r="E346" s="141" t="n"/>
      <c r="F346" s="141" t="n"/>
      <c r="G346" s="143" t="n"/>
      <c r="H346" s="27" t="n"/>
    </row>
    <row r="347" ht="17.25" customHeight="1" s="322">
      <c r="A347" s="27" t="n"/>
      <c r="B347" s="506" t="n"/>
      <c r="C347" s="141" t="n"/>
      <c r="D347" s="141" t="n"/>
      <c r="E347" s="141" t="n"/>
      <c r="F347" s="141" t="n"/>
      <c r="G347" s="143" t="n"/>
      <c r="H347" s="27" t="n"/>
    </row>
    <row r="348" ht="17.25" customHeight="1" s="322">
      <c r="A348" s="27" t="n"/>
      <c r="B348" s="506" t="n"/>
      <c r="C348" s="141" t="n"/>
      <c r="D348" s="141" t="n"/>
      <c r="E348" s="141" t="n"/>
      <c r="F348" s="141" t="n"/>
      <c r="G348" s="143" t="n"/>
      <c r="H348" s="27" t="n"/>
    </row>
    <row r="349" ht="17.25" customHeight="1" s="322">
      <c r="A349" s="27" t="n"/>
      <c r="B349" s="506" t="n"/>
      <c r="C349" s="141" t="n"/>
      <c r="D349" s="141" t="n"/>
      <c r="E349" s="141" t="n"/>
      <c r="F349" s="141" t="n"/>
      <c r="G349" s="143" t="n"/>
      <c r="H349" s="27" t="n"/>
    </row>
    <row r="350" ht="17.25" customHeight="1" s="322">
      <c r="A350" s="27" t="n"/>
      <c r="B350" s="506" t="n"/>
      <c r="C350" s="141" t="n"/>
      <c r="D350" s="141" t="n"/>
      <c r="E350" s="141" t="n"/>
      <c r="F350" s="141" t="n"/>
      <c r="G350" s="143" t="n"/>
      <c r="H350" s="27" t="n"/>
    </row>
    <row r="351" ht="17.25" customHeight="1" s="322">
      <c r="A351" s="27" t="n"/>
      <c r="B351" s="506" t="n"/>
      <c r="C351" s="141" t="n"/>
      <c r="D351" s="141" t="n"/>
      <c r="E351" s="141" t="n"/>
      <c r="F351" s="141" t="n"/>
      <c r="G351" s="143" t="n"/>
      <c r="H351" s="27" t="n"/>
    </row>
    <row r="352" ht="17.25" customHeight="1" s="322">
      <c r="A352" s="27" t="n"/>
      <c r="B352" s="506" t="n"/>
      <c r="C352" s="141" t="n"/>
      <c r="D352" s="141" t="n"/>
      <c r="E352" s="141" t="n"/>
      <c r="F352" s="141" t="n"/>
      <c r="G352" s="143" t="n"/>
      <c r="H352" s="27" t="n"/>
    </row>
    <row r="353" ht="17.25" customHeight="1" s="322">
      <c r="A353" s="27" t="n"/>
      <c r="B353" s="506" t="n"/>
      <c r="C353" s="141" t="n"/>
      <c r="D353" s="141" t="n"/>
      <c r="E353" s="141" t="n"/>
      <c r="F353" s="141" t="n"/>
      <c r="G353" s="143" t="n"/>
      <c r="H353" s="27" t="n"/>
    </row>
    <row r="354" ht="17.25" customHeight="1" s="322">
      <c r="A354" s="27" t="n"/>
      <c r="B354" s="506" t="n"/>
      <c r="C354" s="141" t="n"/>
      <c r="D354" s="141" t="n"/>
      <c r="E354" s="141" t="n"/>
      <c r="F354" s="141" t="n"/>
      <c r="G354" s="143" t="n"/>
      <c r="H354" s="27" t="n"/>
    </row>
    <row r="355" ht="17.25" customHeight="1" s="322">
      <c r="A355" s="27" t="n"/>
      <c r="B355" s="506" t="n"/>
      <c r="C355" s="141" t="n"/>
      <c r="D355" s="141" t="n"/>
      <c r="E355" s="141" t="n"/>
      <c r="F355" s="141" t="n"/>
      <c r="G355" s="143" t="n"/>
      <c r="H355" s="27" t="n"/>
    </row>
    <row r="356" ht="17.25" customHeight="1" s="322">
      <c r="A356" s="27" t="n"/>
      <c r="B356" s="506" t="n"/>
      <c r="C356" s="141" t="n"/>
      <c r="D356" s="141" t="n"/>
      <c r="E356" s="141" t="n"/>
      <c r="F356" s="141" t="n"/>
      <c r="G356" s="143" t="n"/>
      <c r="H356" s="27" t="n"/>
    </row>
    <row r="357" ht="17.25" customHeight="1" s="322">
      <c r="A357" s="27" t="n"/>
      <c r="B357" s="506" t="n"/>
      <c r="C357" s="141" t="n"/>
      <c r="D357" s="141" t="n"/>
      <c r="E357" s="141" t="n"/>
      <c r="F357" s="141" t="n"/>
      <c r="G357" s="143" t="n"/>
      <c r="H357" s="27" t="n"/>
    </row>
    <row r="358" ht="17.25" customHeight="1" s="322">
      <c r="A358" s="27" t="n"/>
      <c r="B358" s="506" t="n"/>
      <c r="C358" s="141" t="n"/>
      <c r="D358" s="141" t="n"/>
      <c r="E358" s="141" t="n"/>
      <c r="F358" s="141" t="n"/>
      <c r="G358" s="143" t="n"/>
      <c r="H358" s="27" t="n"/>
    </row>
    <row r="359" ht="17.25" customHeight="1" s="322">
      <c r="A359" s="27" t="n"/>
      <c r="B359" s="506" t="n"/>
      <c r="C359" s="141" t="n"/>
      <c r="D359" s="141" t="n"/>
      <c r="E359" s="141" t="n"/>
      <c r="F359" s="141" t="n"/>
      <c r="G359" s="143" t="n"/>
      <c r="H359" s="27" t="n"/>
    </row>
    <row r="360" ht="17.25" customHeight="1" s="322">
      <c r="A360" s="27" t="n"/>
      <c r="B360" s="506" t="n"/>
      <c r="C360" s="141" t="n"/>
      <c r="D360" s="141" t="n"/>
      <c r="E360" s="141" t="n"/>
      <c r="F360" s="141" t="n"/>
      <c r="G360" s="143" t="n"/>
      <c r="H360" s="27" t="n"/>
    </row>
    <row r="361" ht="17.25" customHeight="1" s="322">
      <c r="A361" s="27" t="n"/>
      <c r="B361" s="506" t="n"/>
      <c r="C361" s="141" t="n"/>
      <c r="D361" s="141" t="n"/>
      <c r="E361" s="141" t="n"/>
      <c r="F361" s="141" t="n"/>
      <c r="G361" s="143" t="n"/>
      <c r="H361" s="27" t="n"/>
    </row>
    <row r="362" ht="17.25" customHeight="1" s="322">
      <c r="A362" s="27" t="n"/>
      <c r="B362" s="506" t="n"/>
      <c r="C362" s="141" t="n"/>
      <c r="D362" s="141" t="n"/>
      <c r="E362" s="141" t="n"/>
      <c r="F362" s="141" t="n"/>
      <c r="G362" s="143" t="n"/>
      <c r="H362" s="27" t="n"/>
    </row>
    <row r="363" ht="17.25" customHeight="1" s="322">
      <c r="A363" s="27" t="n"/>
      <c r="B363" s="506" t="n"/>
      <c r="C363" s="141" t="n"/>
      <c r="D363" s="141" t="n"/>
      <c r="E363" s="141" t="n"/>
      <c r="F363" s="141" t="n"/>
      <c r="G363" s="143" t="n"/>
      <c r="H363" s="27" t="n"/>
    </row>
    <row r="364" ht="17.25" customHeight="1" s="322">
      <c r="A364" s="27" t="n"/>
      <c r="B364" s="506" t="n"/>
      <c r="C364" s="141" t="n"/>
      <c r="D364" s="141" t="n"/>
      <c r="E364" s="141" t="n"/>
      <c r="F364" s="141" t="n"/>
      <c r="G364" s="143" t="n"/>
      <c r="H364" s="27" t="n"/>
    </row>
    <row r="365" ht="17.25" customHeight="1" s="322">
      <c r="A365" s="27" t="n"/>
      <c r="B365" s="506" t="n"/>
      <c r="C365" s="141" t="n"/>
      <c r="D365" s="141" t="n"/>
      <c r="E365" s="141" t="n"/>
      <c r="F365" s="141" t="n"/>
      <c r="G365" s="143" t="n"/>
      <c r="H365" s="27" t="n"/>
    </row>
    <row r="366" ht="17.25" customHeight="1" s="322">
      <c r="A366" s="27" t="n"/>
      <c r="B366" s="506" t="n"/>
      <c r="C366" s="141" t="n"/>
      <c r="D366" s="141" t="n"/>
      <c r="E366" s="141" t="n"/>
      <c r="F366" s="141" t="n"/>
      <c r="G366" s="143" t="n"/>
      <c r="H366" s="27" t="n"/>
    </row>
    <row r="367" ht="17.25" customHeight="1" s="322">
      <c r="A367" s="27" t="n"/>
      <c r="B367" s="506" t="n"/>
      <c r="C367" s="141" t="n"/>
      <c r="D367" s="141" t="n"/>
      <c r="E367" s="141" t="n"/>
      <c r="F367" s="141" t="n"/>
      <c r="G367" s="143" t="n"/>
      <c r="H367" s="27" t="n"/>
    </row>
    <row r="368" ht="17.25" customHeight="1" s="322">
      <c r="A368" s="27" t="n"/>
      <c r="B368" s="506" t="n"/>
      <c r="C368" s="141" t="n"/>
      <c r="D368" s="141" t="n"/>
      <c r="E368" s="141" t="n"/>
      <c r="F368" s="141" t="n"/>
      <c r="G368" s="143" t="n"/>
      <c r="H368" s="27" t="n"/>
    </row>
    <row r="369" ht="17.25" customHeight="1" s="322">
      <c r="A369" s="27" t="n"/>
      <c r="B369" s="506" t="n"/>
      <c r="C369" s="141" t="n"/>
      <c r="D369" s="141" t="n"/>
      <c r="E369" s="141" t="n"/>
      <c r="F369" s="141" t="n"/>
      <c r="G369" s="143" t="n"/>
      <c r="H369" s="27" t="n"/>
    </row>
    <row r="370" ht="17.25" customHeight="1" s="322">
      <c r="A370" s="27" t="n"/>
      <c r="B370" s="506" t="n"/>
      <c r="C370" s="141" t="n"/>
      <c r="D370" s="141" t="n"/>
      <c r="E370" s="141" t="n"/>
      <c r="F370" s="141" t="n"/>
      <c r="G370" s="143" t="n"/>
      <c r="H370" s="27" t="n"/>
    </row>
    <row r="371" ht="17.25" customHeight="1" s="322">
      <c r="A371" s="27" t="n"/>
      <c r="B371" s="506" t="n"/>
      <c r="C371" s="141" t="n"/>
      <c r="D371" s="141" t="n"/>
      <c r="E371" s="141" t="n"/>
      <c r="F371" s="141" t="n"/>
      <c r="G371" s="143" t="n"/>
      <c r="H371" s="27" t="n"/>
    </row>
    <row r="372" ht="17.25" customHeight="1" s="322">
      <c r="A372" s="27" t="n"/>
      <c r="B372" s="506" t="n"/>
      <c r="C372" s="141" t="n"/>
      <c r="D372" s="141" t="n"/>
      <c r="E372" s="141" t="n"/>
      <c r="F372" s="141" t="n"/>
      <c r="G372" s="143" t="n"/>
      <c r="H372" s="27" t="n"/>
    </row>
    <row r="373" ht="17.25" customHeight="1" s="322">
      <c r="A373" s="27" t="n"/>
      <c r="B373" s="506" t="n"/>
      <c r="C373" s="141" t="n"/>
      <c r="D373" s="141" t="n"/>
      <c r="E373" s="141" t="n"/>
      <c r="F373" s="141" t="n"/>
      <c r="G373" s="143" t="n"/>
      <c r="H373" s="27" t="n"/>
    </row>
    <row r="374" ht="17.25" customHeight="1" s="322">
      <c r="A374" s="27" t="n"/>
      <c r="B374" s="506" t="n"/>
      <c r="C374" s="141" t="n"/>
      <c r="D374" s="141" t="n"/>
      <c r="E374" s="141" t="n"/>
      <c r="F374" s="141" t="n"/>
      <c r="G374" s="143" t="n"/>
      <c r="H374" s="27" t="n"/>
    </row>
    <row r="375" ht="17.25" customHeight="1" s="322">
      <c r="A375" s="27" t="n"/>
      <c r="B375" s="506" t="n"/>
      <c r="C375" s="141" t="n"/>
      <c r="D375" s="141" t="n"/>
      <c r="E375" s="141" t="n"/>
      <c r="F375" s="141" t="n"/>
      <c r="G375" s="143" t="n"/>
      <c r="H375" s="27" t="n"/>
    </row>
    <row r="376" ht="17.25" customHeight="1" s="322">
      <c r="A376" s="27" t="n"/>
      <c r="B376" s="506" t="n"/>
      <c r="C376" s="141" t="n"/>
      <c r="D376" s="141" t="n"/>
      <c r="E376" s="141" t="n"/>
      <c r="F376" s="141" t="n"/>
      <c r="G376" s="143" t="n"/>
      <c r="H376" s="27" t="n"/>
    </row>
    <row r="377" ht="17.25" customHeight="1" s="322">
      <c r="A377" s="27" t="n"/>
      <c r="B377" s="506" t="n"/>
      <c r="C377" s="141" t="n"/>
      <c r="D377" s="141" t="n"/>
      <c r="E377" s="141" t="n"/>
      <c r="F377" s="141" t="n"/>
      <c r="G377" s="143" t="n"/>
      <c r="H377" s="27" t="n"/>
    </row>
    <row r="378" ht="17.25" customHeight="1" s="322">
      <c r="A378" s="27" t="n"/>
      <c r="B378" s="506" t="n"/>
      <c r="C378" s="141" t="n"/>
      <c r="D378" s="141" t="n"/>
      <c r="E378" s="141" t="n"/>
      <c r="F378" s="141" t="n"/>
      <c r="G378" s="143" t="n"/>
      <c r="H378" s="27" t="n"/>
    </row>
    <row r="379" ht="17.25" customHeight="1" s="322">
      <c r="A379" s="27" t="n"/>
      <c r="B379" s="506" t="n"/>
      <c r="C379" s="141" t="n"/>
      <c r="D379" s="141" t="n"/>
      <c r="E379" s="141" t="n"/>
      <c r="F379" s="141" t="n"/>
      <c r="G379" s="143" t="n"/>
      <c r="H379" s="27" t="n"/>
    </row>
    <row r="380" ht="17.25" customHeight="1" s="322">
      <c r="A380" s="27" t="n"/>
      <c r="B380" s="506" t="n"/>
      <c r="C380" s="141" t="n"/>
      <c r="D380" s="141" t="n"/>
      <c r="E380" s="141" t="n"/>
      <c r="F380" s="141" t="n"/>
      <c r="G380" s="143" t="n"/>
      <c r="H380" s="27" t="n"/>
    </row>
    <row r="381" ht="17.25" customHeight="1" s="322">
      <c r="A381" s="27" t="n"/>
      <c r="B381" s="506" t="n"/>
      <c r="C381" s="141" t="n"/>
      <c r="D381" s="141" t="n"/>
      <c r="E381" s="141" t="n"/>
      <c r="F381" s="141" t="n"/>
      <c r="G381" s="143" t="n"/>
      <c r="H381" s="27" t="n"/>
    </row>
    <row r="382" ht="17.25" customHeight="1" s="322">
      <c r="A382" s="27" t="n"/>
      <c r="B382" s="506" t="n"/>
      <c r="C382" s="141" t="n"/>
      <c r="D382" s="141" t="n"/>
      <c r="E382" s="141" t="n"/>
      <c r="F382" s="141" t="n"/>
      <c r="G382" s="143" t="n"/>
      <c r="H382" s="27" t="n"/>
    </row>
    <row r="383" ht="17.25" customHeight="1" s="322">
      <c r="A383" s="27" t="n"/>
      <c r="B383" s="506" t="n"/>
      <c r="C383" s="141" t="n"/>
      <c r="D383" s="141" t="n"/>
      <c r="E383" s="141" t="n"/>
      <c r="F383" s="141" t="n"/>
      <c r="G383" s="143" t="n"/>
      <c r="H383" s="27" t="n"/>
    </row>
    <row r="384" ht="17.25" customHeight="1" s="322">
      <c r="A384" s="27" t="n"/>
      <c r="B384" s="506" t="n"/>
      <c r="C384" s="141" t="n"/>
      <c r="D384" s="141" t="n"/>
      <c r="E384" s="141" t="n"/>
      <c r="F384" s="141" t="n"/>
      <c r="G384" s="143" t="n"/>
      <c r="H384" s="27" t="n"/>
    </row>
    <row r="385" ht="17.25" customHeight="1" s="322">
      <c r="A385" s="27" t="n"/>
      <c r="B385" s="506" t="n"/>
      <c r="C385" s="141" t="n"/>
      <c r="D385" s="141" t="n"/>
      <c r="E385" s="141" t="n"/>
      <c r="F385" s="141" t="n"/>
      <c r="G385" s="143" t="n"/>
      <c r="H385" s="27" t="n"/>
    </row>
    <row r="386" ht="17.25" customHeight="1" s="322">
      <c r="A386" s="27" t="n"/>
      <c r="B386" s="506" t="n"/>
      <c r="C386" s="141" t="n"/>
      <c r="D386" s="141" t="n"/>
      <c r="E386" s="141" t="n"/>
      <c r="F386" s="141" t="n"/>
      <c r="G386" s="143" t="n"/>
      <c r="H386" s="27" t="n"/>
    </row>
    <row r="387" ht="17.25" customHeight="1" s="322">
      <c r="A387" s="27" t="n"/>
      <c r="B387" s="506" t="n"/>
      <c r="C387" s="141" t="n"/>
      <c r="D387" s="141" t="n"/>
      <c r="E387" s="141" t="n"/>
      <c r="F387" s="141" t="n"/>
      <c r="G387" s="143" t="n"/>
      <c r="H387" s="27" t="n"/>
    </row>
    <row r="388" ht="17.25" customHeight="1" s="322">
      <c r="A388" s="27" t="n"/>
      <c r="B388" s="506" t="n"/>
      <c r="C388" s="141" t="n"/>
      <c r="D388" s="141" t="n"/>
      <c r="E388" s="141" t="n"/>
      <c r="F388" s="141" t="n"/>
      <c r="G388" s="143" t="n"/>
      <c r="H388" s="27" t="n"/>
    </row>
    <row r="389" ht="17.25" customHeight="1" s="322">
      <c r="A389" s="27" t="n"/>
      <c r="B389" s="506" t="n"/>
      <c r="C389" s="141" t="n"/>
      <c r="D389" s="141" t="n"/>
      <c r="E389" s="141" t="n"/>
      <c r="F389" s="141" t="n"/>
      <c r="G389" s="143" t="n"/>
      <c r="H389" s="27" t="n"/>
    </row>
    <row r="390" ht="17.25" customHeight="1" s="322">
      <c r="A390" s="27" t="n"/>
      <c r="B390" s="506" t="n"/>
      <c r="C390" s="141" t="n"/>
      <c r="D390" s="141" t="n"/>
      <c r="E390" s="141" t="n"/>
      <c r="F390" s="141" t="n"/>
      <c r="G390" s="143" t="n"/>
      <c r="H390" s="27" t="n"/>
    </row>
    <row r="391" ht="17.25" customHeight="1" s="322">
      <c r="A391" s="27" t="n"/>
      <c r="B391" s="506" t="n"/>
      <c r="C391" s="141" t="n"/>
      <c r="D391" s="141" t="n"/>
      <c r="E391" s="141" t="n"/>
      <c r="F391" s="141" t="n"/>
      <c r="G391" s="143" t="n"/>
      <c r="H391" s="27" t="n"/>
    </row>
    <row r="392" ht="17.25" customHeight="1" s="322">
      <c r="A392" s="27" t="n"/>
      <c r="B392" s="506" t="n"/>
      <c r="C392" s="141" t="n"/>
      <c r="D392" s="141" t="n"/>
      <c r="E392" s="141" t="n"/>
      <c r="F392" s="141" t="n"/>
      <c r="G392" s="143" t="n"/>
      <c r="H392" s="27" t="n"/>
    </row>
    <row r="393" ht="17.25" customHeight="1" s="322">
      <c r="A393" s="27" t="n"/>
      <c r="B393" s="506" t="n"/>
      <c r="C393" s="141" t="n"/>
      <c r="D393" s="141" t="n"/>
      <c r="E393" s="141" t="n"/>
      <c r="F393" s="141" t="n"/>
      <c r="G393" s="143" t="n"/>
      <c r="H393" s="27" t="n"/>
    </row>
    <row r="394" ht="17.25" customHeight="1" s="322">
      <c r="A394" s="27" t="n"/>
      <c r="B394" s="506" t="n"/>
      <c r="C394" s="141" t="n"/>
      <c r="D394" s="141" t="n"/>
      <c r="E394" s="141" t="n"/>
      <c r="F394" s="141" t="n"/>
      <c r="G394" s="143" t="n"/>
      <c r="H394" s="27" t="n"/>
    </row>
    <row r="395" ht="17.25" customHeight="1" s="322">
      <c r="A395" s="27" t="n"/>
      <c r="B395" s="506" t="n"/>
      <c r="C395" s="141" t="n"/>
      <c r="D395" s="141" t="n"/>
      <c r="E395" s="141" t="n"/>
      <c r="F395" s="141" t="n"/>
      <c r="G395" s="143" t="n"/>
      <c r="H395" s="27" t="n"/>
    </row>
    <row r="396" ht="17.25" customHeight="1" s="322">
      <c r="A396" s="27" t="n"/>
      <c r="B396" s="506" t="n"/>
      <c r="C396" s="141" t="n"/>
      <c r="D396" s="141" t="n"/>
      <c r="E396" s="141" t="n"/>
      <c r="F396" s="141" t="n"/>
      <c r="G396" s="143" t="n"/>
      <c r="H396" s="27" t="n"/>
    </row>
    <row r="397" ht="17.25" customHeight="1" s="322">
      <c r="A397" s="27" t="n"/>
      <c r="B397" s="506" t="n"/>
      <c r="C397" s="141" t="n"/>
      <c r="D397" s="141" t="n"/>
      <c r="E397" s="141" t="n"/>
      <c r="F397" s="141" t="n"/>
      <c r="G397" s="143" t="n"/>
      <c r="H397" s="27" t="n"/>
    </row>
    <row r="398" ht="17.25" customHeight="1" s="322">
      <c r="A398" s="27" t="n"/>
      <c r="B398" s="506" t="n"/>
      <c r="C398" s="141" t="n"/>
      <c r="D398" s="141" t="n"/>
      <c r="E398" s="141" t="n"/>
      <c r="F398" s="141" t="n"/>
      <c r="G398" s="143" t="n"/>
      <c r="H398" s="27" t="n"/>
    </row>
    <row r="399" ht="17.25" customHeight="1" s="322">
      <c r="A399" s="27" t="n"/>
      <c r="B399" s="506" t="n"/>
      <c r="C399" s="141" t="n"/>
      <c r="D399" s="141" t="n"/>
      <c r="E399" s="141" t="n"/>
      <c r="F399" s="141" t="n"/>
      <c r="G399" s="143" t="n"/>
      <c r="H399" s="27" t="n"/>
    </row>
    <row r="400" ht="17.25" customHeight="1" s="322">
      <c r="A400" s="27" t="n"/>
      <c r="B400" s="506" t="n"/>
      <c r="C400" s="141" t="n"/>
      <c r="D400" s="141" t="n"/>
      <c r="E400" s="141" t="n"/>
      <c r="F400" s="141" t="n"/>
      <c r="G400" s="143" t="n"/>
      <c r="H400" s="27" t="n"/>
    </row>
    <row r="401" ht="17.25" customHeight="1" s="322">
      <c r="A401" s="27" t="n"/>
      <c r="B401" s="506" t="n"/>
      <c r="C401" s="141" t="n"/>
      <c r="D401" s="141" t="n"/>
      <c r="E401" s="141" t="n"/>
      <c r="F401" s="141" t="n"/>
      <c r="G401" s="143" t="n"/>
      <c r="H401" s="27" t="n"/>
    </row>
    <row r="402" ht="17.25" customHeight="1" s="322">
      <c r="A402" s="27" t="n"/>
      <c r="B402" s="506" t="n"/>
      <c r="C402" s="141" t="n"/>
      <c r="D402" s="141" t="n"/>
      <c r="E402" s="141" t="n"/>
      <c r="F402" s="141" t="n"/>
      <c r="G402" s="143" t="n"/>
      <c r="H402" s="27" t="n"/>
    </row>
    <row r="403" ht="17.25" customHeight="1" s="322">
      <c r="A403" s="27" t="n"/>
      <c r="B403" s="506" t="n"/>
      <c r="C403" s="141" t="n"/>
      <c r="D403" s="141" t="n"/>
      <c r="E403" s="141" t="n"/>
      <c r="F403" s="141" t="n"/>
      <c r="G403" s="143" t="n"/>
      <c r="H403" s="27" t="n"/>
    </row>
    <row r="404" ht="17.25" customHeight="1" s="322">
      <c r="A404" s="27" t="n"/>
      <c r="B404" s="506" t="n"/>
      <c r="C404" s="141" t="n"/>
      <c r="D404" s="141" t="n"/>
      <c r="E404" s="141" t="n"/>
      <c r="F404" s="141" t="n"/>
      <c r="G404" s="143" t="n"/>
      <c r="H404" s="27" t="n"/>
    </row>
    <row r="405" ht="17.25" customHeight="1" s="322">
      <c r="A405" s="27" t="n"/>
      <c r="B405" s="506" t="n"/>
      <c r="C405" s="141" t="n"/>
      <c r="D405" s="141" t="n"/>
      <c r="E405" s="141" t="n"/>
      <c r="F405" s="141" t="n"/>
      <c r="G405" s="143" t="n"/>
      <c r="H405" s="27" t="n"/>
    </row>
    <row r="406" ht="17.25" customHeight="1" s="322">
      <c r="A406" s="27" t="n"/>
      <c r="B406" s="506" t="n"/>
      <c r="C406" s="141" t="n"/>
      <c r="D406" s="141" t="n"/>
      <c r="E406" s="141" t="n"/>
      <c r="F406" s="141" t="n"/>
      <c r="G406" s="143" t="n"/>
      <c r="H406" s="27" t="n"/>
    </row>
    <row r="407" ht="17.25" customHeight="1" s="322">
      <c r="A407" s="27" t="n"/>
      <c r="B407" s="506" t="n"/>
      <c r="C407" s="141" t="n"/>
      <c r="D407" s="141" t="n"/>
      <c r="E407" s="141" t="n"/>
      <c r="F407" s="141" t="n"/>
      <c r="G407" s="143" t="n"/>
      <c r="H407" s="27" t="n"/>
    </row>
    <row r="408" ht="17.25" customHeight="1" s="322">
      <c r="A408" s="27" t="n"/>
      <c r="B408" s="506" t="n"/>
      <c r="C408" s="141" t="n"/>
      <c r="D408" s="141" t="n"/>
      <c r="E408" s="141" t="n"/>
      <c r="F408" s="141" t="n"/>
      <c r="G408" s="143" t="n"/>
      <c r="H408" s="27" t="n"/>
    </row>
    <row r="409" ht="17.25" customHeight="1" s="322">
      <c r="A409" s="27" t="n"/>
      <c r="B409" s="506" t="n"/>
      <c r="C409" s="141" t="n"/>
      <c r="D409" s="141" t="n"/>
      <c r="E409" s="141" t="n"/>
      <c r="F409" s="141" t="n"/>
      <c r="G409" s="143" t="n"/>
      <c r="H409" s="27" t="n"/>
    </row>
    <row r="410" ht="17.25" customHeight="1" s="322">
      <c r="A410" s="27" t="n"/>
      <c r="B410" s="506" t="n"/>
      <c r="C410" s="141" t="n"/>
      <c r="D410" s="141" t="n"/>
      <c r="E410" s="141" t="n"/>
      <c r="F410" s="141" t="n"/>
      <c r="G410" s="143" t="n"/>
      <c r="H410" s="27" t="n"/>
    </row>
    <row r="411" ht="17.25" customHeight="1" s="322">
      <c r="A411" s="27" t="n"/>
      <c r="B411" s="506" t="n"/>
      <c r="C411" s="141" t="n"/>
      <c r="D411" s="141" t="n"/>
      <c r="E411" s="141" t="n"/>
      <c r="F411" s="141" t="n"/>
      <c r="G411" s="143" t="n"/>
      <c r="H411" s="27" t="n"/>
    </row>
    <row r="412" ht="17.25" customHeight="1" s="322">
      <c r="A412" s="27" t="n"/>
      <c r="B412" s="506" t="n"/>
      <c r="C412" s="141" t="n"/>
      <c r="D412" s="141" t="n"/>
      <c r="E412" s="141" t="n"/>
      <c r="F412" s="141" t="n"/>
      <c r="G412" s="143" t="n"/>
      <c r="H412" s="27" t="n"/>
    </row>
    <row r="413" ht="17.25" customHeight="1" s="322">
      <c r="A413" s="27" t="n"/>
      <c r="B413" s="506" t="n"/>
      <c r="C413" s="141" t="n"/>
      <c r="D413" s="141" t="n"/>
      <c r="E413" s="141" t="n"/>
      <c r="F413" s="141" t="n"/>
      <c r="G413" s="143" t="n"/>
      <c r="H413" s="27" t="n"/>
    </row>
    <row r="414" ht="17.25" customHeight="1" s="322">
      <c r="A414" s="27" t="n"/>
      <c r="B414" s="506" t="n"/>
      <c r="C414" s="141" t="n"/>
      <c r="D414" s="141" t="n"/>
      <c r="E414" s="141" t="n"/>
      <c r="F414" s="141" t="n"/>
      <c r="G414" s="143" t="n"/>
      <c r="H414" s="27" t="n"/>
    </row>
    <row r="415" ht="17.25" customHeight="1" s="322">
      <c r="A415" s="27" t="n"/>
      <c r="B415" s="506" t="n"/>
      <c r="C415" s="141" t="n"/>
      <c r="D415" s="141" t="n"/>
      <c r="E415" s="141" t="n"/>
      <c r="F415" s="141" t="n"/>
      <c r="G415" s="143" t="n"/>
      <c r="H415" s="27" t="n"/>
    </row>
    <row r="416" ht="17.25" customHeight="1" s="322">
      <c r="A416" s="27" t="n"/>
      <c r="B416" s="506" t="n"/>
      <c r="C416" s="141" t="n"/>
      <c r="D416" s="141" t="n"/>
      <c r="E416" s="141" t="n"/>
      <c r="F416" s="141" t="n"/>
      <c r="G416" s="143" t="n"/>
      <c r="H416" s="27" t="n"/>
    </row>
    <row r="417" ht="17.25" customHeight="1" s="322">
      <c r="A417" s="27" t="n"/>
      <c r="B417" s="506" t="n"/>
      <c r="C417" s="141" t="n"/>
      <c r="D417" s="141" t="n"/>
      <c r="E417" s="141" t="n"/>
      <c r="F417" s="141" t="n"/>
      <c r="G417" s="143" t="n"/>
      <c r="H417" s="27" t="n"/>
    </row>
    <row r="418" ht="17.25" customHeight="1" s="322">
      <c r="A418" s="27" t="n"/>
      <c r="B418" s="506" t="n"/>
      <c r="C418" s="141" t="n"/>
      <c r="D418" s="141" t="n"/>
      <c r="E418" s="141" t="n"/>
      <c r="F418" s="141" t="n"/>
      <c r="G418" s="143" t="n"/>
      <c r="H418" s="27" t="n"/>
    </row>
    <row r="419" ht="17.25" customHeight="1" s="322">
      <c r="A419" s="27" t="n"/>
      <c r="B419" s="506" t="n"/>
      <c r="C419" s="141" t="n"/>
      <c r="D419" s="141" t="n"/>
      <c r="E419" s="141" t="n"/>
      <c r="F419" s="141" t="n"/>
      <c r="G419" s="143" t="n"/>
      <c r="H419" s="27" t="n"/>
    </row>
    <row r="420" ht="17.25" customHeight="1" s="322">
      <c r="A420" s="27" t="n"/>
      <c r="B420" s="506" t="n"/>
      <c r="C420" s="141" t="n"/>
      <c r="D420" s="141" t="n"/>
      <c r="E420" s="141" t="n"/>
      <c r="F420" s="141" t="n"/>
      <c r="G420" s="143" t="n"/>
      <c r="H420" s="27" t="n"/>
    </row>
    <row r="421" ht="17.25" customHeight="1" s="322">
      <c r="A421" s="27" t="n"/>
      <c r="B421" s="506" t="n"/>
      <c r="C421" s="141" t="n"/>
      <c r="D421" s="141" t="n"/>
      <c r="E421" s="141" t="n"/>
      <c r="F421" s="141" t="n"/>
      <c r="G421" s="143" t="n"/>
      <c r="H421" s="27" t="n"/>
    </row>
    <row r="422" ht="17.25" customHeight="1" s="322">
      <c r="A422" s="27" t="n"/>
      <c r="B422" s="506" t="n"/>
      <c r="C422" s="141" t="n"/>
      <c r="D422" s="141" t="n"/>
      <c r="E422" s="141" t="n"/>
      <c r="F422" s="141" t="n"/>
      <c r="G422" s="143" t="n"/>
      <c r="H422" s="27" t="n"/>
    </row>
    <row r="423" ht="17.25" customHeight="1" s="322">
      <c r="A423" s="27" t="n"/>
      <c r="B423" s="506" t="n"/>
      <c r="C423" s="141" t="n"/>
      <c r="D423" s="141" t="n"/>
      <c r="E423" s="141" t="n"/>
      <c r="F423" s="141" t="n"/>
      <c r="G423" s="143" t="n"/>
      <c r="H423" s="27" t="n"/>
    </row>
    <row r="424" ht="17.25" customHeight="1" s="322">
      <c r="A424" s="27" t="n"/>
      <c r="B424" s="506" t="n"/>
      <c r="C424" s="141" t="n"/>
      <c r="D424" s="141" t="n"/>
      <c r="E424" s="141" t="n"/>
      <c r="F424" s="141" t="n"/>
      <c r="G424" s="143" t="n"/>
      <c r="H424" s="27" t="n"/>
    </row>
    <row r="425" ht="17.25" customHeight="1" s="322">
      <c r="A425" s="27" t="n"/>
      <c r="B425" s="506" t="n"/>
      <c r="C425" s="141" t="n"/>
      <c r="D425" s="141" t="n"/>
      <c r="E425" s="141" t="n"/>
      <c r="F425" s="141" t="n"/>
      <c r="G425" s="143" t="n"/>
      <c r="H425" s="27" t="n"/>
    </row>
    <row r="426" ht="17.25" customHeight="1" s="322">
      <c r="A426" s="27" t="n"/>
      <c r="B426" s="506" t="n"/>
      <c r="C426" s="141" t="n"/>
      <c r="D426" s="141" t="n"/>
      <c r="E426" s="141" t="n"/>
      <c r="F426" s="141" t="n"/>
      <c r="G426" s="143" t="n"/>
      <c r="H426" s="27" t="n"/>
    </row>
    <row r="427" ht="17.25" customHeight="1" s="322">
      <c r="A427" s="27" t="n"/>
      <c r="B427" s="506" t="n"/>
      <c r="C427" s="141" t="n"/>
      <c r="D427" s="141" t="n"/>
      <c r="E427" s="141" t="n"/>
      <c r="F427" s="141" t="n"/>
      <c r="G427" s="143" t="n"/>
      <c r="H427" s="27" t="n"/>
    </row>
    <row r="428" ht="17.25" customHeight="1" s="322">
      <c r="A428" s="27" t="n"/>
      <c r="B428" s="506" t="n"/>
      <c r="C428" s="141" t="n"/>
      <c r="D428" s="141" t="n"/>
      <c r="E428" s="141" t="n"/>
      <c r="F428" s="141" t="n"/>
      <c r="G428" s="143" t="n"/>
      <c r="H428" s="27" t="n"/>
    </row>
    <row r="429" ht="17.25" customHeight="1" s="322">
      <c r="A429" s="27" t="n"/>
      <c r="B429" s="506" t="n"/>
      <c r="C429" s="141" t="n"/>
      <c r="D429" s="141" t="n"/>
      <c r="E429" s="141" t="n"/>
      <c r="F429" s="141" t="n"/>
      <c r="G429" s="143" t="n"/>
      <c r="H429" s="27" t="n"/>
    </row>
    <row r="430" ht="17.25" customHeight="1" s="322">
      <c r="A430" s="27" t="n"/>
      <c r="B430" s="506" t="n"/>
      <c r="C430" s="141" t="n"/>
      <c r="D430" s="141" t="n"/>
      <c r="E430" s="141" t="n"/>
      <c r="F430" s="141" t="n"/>
      <c r="G430" s="143" t="n"/>
      <c r="H430" s="27" t="n"/>
    </row>
    <row r="431" ht="17.25" customHeight="1" s="322">
      <c r="A431" s="27" t="n"/>
      <c r="B431" s="506" t="n"/>
      <c r="C431" s="141" t="n"/>
      <c r="D431" s="141" t="n"/>
      <c r="E431" s="141" t="n"/>
      <c r="F431" s="141" t="n"/>
      <c r="G431" s="143" t="n"/>
      <c r="H431" s="27" t="n"/>
    </row>
    <row r="432" ht="17.25" customHeight="1" s="322">
      <c r="A432" s="27" t="n"/>
      <c r="B432" s="506" t="n"/>
      <c r="C432" s="141" t="n"/>
      <c r="D432" s="141" t="n"/>
      <c r="E432" s="141" t="n"/>
      <c r="F432" s="141" t="n"/>
      <c r="G432" s="143" t="n"/>
      <c r="H432" s="27" t="n"/>
    </row>
    <row r="433" ht="17.25" customHeight="1" s="322">
      <c r="A433" s="27" t="n"/>
      <c r="B433" s="506" t="n"/>
      <c r="C433" s="141" t="n"/>
      <c r="D433" s="141" t="n"/>
      <c r="E433" s="141" t="n"/>
      <c r="F433" s="141" t="n"/>
      <c r="G433" s="143" t="n"/>
      <c r="H433" s="27" t="n"/>
    </row>
    <row r="434" ht="17.25" customHeight="1" s="322">
      <c r="A434" s="27" t="n"/>
      <c r="B434" s="506" t="n"/>
      <c r="C434" s="141" t="n"/>
      <c r="D434" s="141" t="n"/>
      <c r="E434" s="141" t="n"/>
      <c r="F434" s="141" t="n"/>
      <c r="G434" s="143" t="n"/>
      <c r="H434" s="27" t="n"/>
    </row>
    <row r="435" ht="17.25" customHeight="1" s="322">
      <c r="A435" s="27" t="n"/>
      <c r="B435" s="506" t="n"/>
      <c r="C435" s="141" t="n"/>
      <c r="D435" s="141" t="n"/>
      <c r="E435" s="141" t="n"/>
      <c r="F435" s="141" t="n"/>
      <c r="G435" s="143" t="n"/>
      <c r="H435" s="27" t="n"/>
    </row>
    <row r="436" ht="17.25" customHeight="1" s="322">
      <c r="A436" s="27" t="n"/>
      <c r="B436" s="506" t="n"/>
      <c r="C436" s="141" t="n"/>
      <c r="D436" s="141" t="n"/>
      <c r="E436" s="141" t="n"/>
      <c r="F436" s="141" t="n"/>
      <c r="G436" s="143" t="n"/>
      <c r="H436" s="27" t="n"/>
    </row>
    <row r="437" ht="17.25" customHeight="1" s="322">
      <c r="A437" s="27" t="n"/>
      <c r="B437" s="506" t="n"/>
      <c r="C437" s="141" t="n"/>
      <c r="D437" s="141" t="n"/>
      <c r="E437" s="141" t="n"/>
      <c r="F437" s="141" t="n"/>
      <c r="G437" s="143" t="n"/>
      <c r="H437" s="27" t="n"/>
    </row>
    <row r="438" ht="17.25" customHeight="1" s="322">
      <c r="A438" s="27" t="n"/>
      <c r="B438" s="506" t="n"/>
      <c r="C438" s="141" t="n"/>
      <c r="D438" s="141" t="n"/>
      <c r="E438" s="141" t="n"/>
      <c r="F438" s="141" t="n"/>
      <c r="G438" s="143" t="n"/>
      <c r="H438" s="27" t="n"/>
    </row>
    <row r="439" ht="17.25" customHeight="1" s="322">
      <c r="A439" s="27" t="n"/>
      <c r="B439" s="506" t="n"/>
      <c r="C439" s="141" t="n"/>
      <c r="D439" s="141" t="n"/>
      <c r="E439" s="141" t="n"/>
      <c r="F439" s="141" t="n"/>
      <c r="G439" s="143" t="n"/>
      <c r="H439" s="27" t="n"/>
    </row>
    <row r="440" ht="17.25" customHeight="1" s="322">
      <c r="A440" s="27" t="n"/>
      <c r="B440" s="506" t="n"/>
      <c r="C440" s="141" t="n"/>
      <c r="D440" s="141" t="n"/>
      <c r="E440" s="141" t="n"/>
      <c r="F440" s="141" t="n"/>
      <c r="G440" s="143" t="n"/>
      <c r="H440" s="27" t="n"/>
    </row>
    <row r="441" ht="17.25" customHeight="1" s="322">
      <c r="A441" s="27" t="n"/>
      <c r="B441" s="506" t="n"/>
      <c r="C441" s="141" t="n"/>
      <c r="D441" s="141" t="n"/>
      <c r="E441" s="141" t="n"/>
      <c r="F441" s="141" t="n"/>
      <c r="G441" s="143" t="n"/>
      <c r="H441" s="27" t="n"/>
    </row>
    <row r="442" ht="17.25" customHeight="1" s="322">
      <c r="A442" s="27" t="n"/>
      <c r="B442" s="506" t="n"/>
      <c r="C442" s="141" t="n"/>
      <c r="D442" s="141" t="n"/>
      <c r="E442" s="141" t="n"/>
      <c r="F442" s="141" t="n"/>
      <c r="G442" s="143" t="n"/>
      <c r="H442" s="27" t="n"/>
    </row>
    <row r="443" ht="17.25" customHeight="1" s="322">
      <c r="A443" s="27" t="n"/>
      <c r="B443" s="506" t="n"/>
      <c r="C443" s="141" t="n"/>
      <c r="D443" s="141" t="n"/>
      <c r="E443" s="141" t="n"/>
      <c r="F443" s="141" t="n"/>
      <c r="G443" s="143" t="n"/>
      <c r="H443" s="27" t="n"/>
    </row>
    <row r="444" ht="17.25" customHeight="1" s="322">
      <c r="A444" s="27" t="n"/>
      <c r="B444" s="506" t="n"/>
      <c r="C444" s="141" t="n"/>
      <c r="D444" s="141" t="n"/>
      <c r="E444" s="141" t="n"/>
      <c r="F444" s="141" t="n"/>
      <c r="G444" s="143" t="n"/>
      <c r="H444" s="27" t="n"/>
    </row>
    <row r="445" ht="17.25" customHeight="1" s="322">
      <c r="A445" s="27" t="n"/>
      <c r="B445" s="506" t="n"/>
      <c r="C445" s="141" t="n"/>
      <c r="D445" s="141" t="n"/>
      <c r="E445" s="141" t="n"/>
      <c r="F445" s="141" t="n"/>
      <c r="G445" s="143" t="n"/>
      <c r="H445" s="27" t="n"/>
    </row>
    <row r="446" ht="17.25" customHeight="1" s="322">
      <c r="A446" s="27" t="n"/>
      <c r="B446" s="506" t="n"/>
      <c r="C446" s="141" t="n"/>
      <c r="D446" s="141" t="n"/>
      <c r="E446" s="141" t="n"/>
      <c r="F446" s="141" t="n"/>
      <c r="G446" s="143" t="n"/>
      <c r="H446" s="27" t="n"/>
    </row>
    <row r="447" ht="17.25" customHeight="1" s="322">
      <c r="A447" s="27" t="n"/>
      <c r="B447" s="506" t="n"/>
      <c r="C447" s="141" t="n"/>
      <c r="D447" s="141" t="n"/>
      <c r="E447" s="141" t="n"/>
      <c r="F447" s="141" t="n"/>
      <c r="G447" s="143" t="n"/>
      <c r="H447" s="27" t="n"/>
    </row>
    <row r="448" ht="17.25" customHeight="1" s="322">
      <c r="A448" s="27" t="n"/>
      <c r="B448" s="506" t="n"/>
      <c r="C448" s="141" t="n"/>
      <c r="D448" s="141" t="n"/>
      <c r="E448" s="141" t="n"/>
      <c r="F448" s="141" t="n"/>
      <c r="G448" s="143" t="n"/>
      <c r="H448" s="27" t="n"/>
    </row>
    <row r="449" ht="17.25" customHeight="1" s="322">
      <c r="A449" s="27" t="n"/>
      <c r="B449" s="506" t="n"/>
      <c r="C449" s="141" t="n"/>
      <c r="D449" s="141" t="n"/>
      <c r="E449" s="141" t="n"/>
      <c r="F449" s="141" t="n"/>
      <c r="G449" s="143" t="n"/>
      <c r="H449" s="27" t="n"/>
    </row>
    <row r="450" ht="17.25" customHeight="1" s="322">
      <c r="A450" s="27" t="n"/>
      <c r="B450" s="506" t="n"/>
      <c r="C450" s="141" t="n"/>
      <c r="D450" s="141" t="n"/>
      <c r="E450" s="141" t="n"/>
      <c r="F450" s="141" t="n"/>
      <c r="G450" s="143" t="n"/>
      <c r="H450" s="27" t="n"/>
    </row>
    <row r="451" ht="17.25" customHeight="1" s="322">
      <c r="A451" s="27" t="n"/>
      <c r="B451" s="506" t="n"/>
      <c r="C451" s="141" t="n"/>
      <c r="D451" s="141" t="n"/>
      <c r="E451" s="141" t="n"/>
      <c r="F451" s="141" t="n"/>
      <c r="G451" s="143" t="n"/>
      <c r="H451" s="27" t="n"/>
    </row>
    <row r="452" ht="17.25" customHeight="1" s="322">
      <c r="A452" s="27" t="n"/>
      <c r="B452" s="506" t="n"/>
      <c r="C452" s="141" t="n"/>
      <c r="D452" s="141" t="n"/>
      <c r="E452" s="141" t="n"/>
      <c r="F452" s="141" t="n"/>
      <c r="G452" s="143" t="n"/>
      <c r="H452" s="27" t="n"/>
    </row>
    <row r="453" ht="17.25" customHeight="1" s="322">
      <c r="A453" s="27" t="n"/>
      <c r="B453" s="506" t="n"/>
      <c r="C453" s="141" t="n"/>
      <c r="D453" s="141" t="n"/>
      <c r="E453" s="141" t="n"/>
      <c r="F453" s="141" t="n"/>
      <c r="G453" s="143" t="n"/>
      <c r="H453" s="27" t="n"/>
    </row>
    <row r="454" ht="17.25" customHeight="1" s="322">
      <c r="A454" s="27" t="n"/>
      <c r="B454" s="506" t="n"/>
      <c r="C454" s="141" t="n"/>
      <c r="D454" s="141" t="n"/>
      <c r="E454" s="141" t="n"/>
      <c r="F454" s="141" t="n"/>
      <c r="G454" s="143" t="n"/>
      <c r="H454" s="27" t="n"/>
    </row>
    <row r="455" ht="17.25" customHeight="1" s="322">
      <c r="A455" s="27" t="n"/>
      <c r="B455" s="506" t="n"/>
      <c r="C455" s="141" t="n"/>
      <c r="D455" s="141" t="n"/>
      <c r="E455" s="141" t="n"/>
      <c r="F455" s="141" t="n"/>
      <c r="G455" s="143" t="n"/>
      <c r="H455" s="27" t="n"/>
    </row>
    <row r="456" ht="17.25" customHeight="1" s="322">
      <c r="A456" s="27" t="n"/>
      <c r="B456" s="506" t="n"/>
      <c r="C456" s="141" t="n"/>
      <c r="D456" s="141" t="n"/>
      <c r="E456" s="141" t="n"/>
      <c r="F456" s="141" t="n"/>
      <c r="G456" s="143" t="n"/>
      <c r="H456" s="27" t="n"/>
    </row>
    <row r="457" ht="17.25" customHeight="1" s="322">
      <c r="A457" s="27" t="n"/>
      <c r="B457" s="506" t="n"/>
      <c r="C457" s="141" t="n"/>
      <c r="D457" s="141" t="n"/>
      <c r="E457" s="141" t="n"/>
      <c r="F457" s="141" t="n"/>
      <c r="G457" s="143" t="n"/>
      <c r="H457" s="27" t="n"/>
    </row>
    <row r="458" ht="17.25" customHeight="1" s="322">
      <c r="A458" s="27" t="n"/>
      <c r="B458" s="506" t="n"/>
      <c r="C458" s="141" t="n"/>
      <c r="D458" s="141" t="n"/>
      <c r="E458" s="141" t="n"/>
      <c r="F458" s="141" t="n"/>
      <c r="G458" s="143" t="n"/>
      <c r="H458" s="27" t="n"/>
    </row>
    <row r="459" ht="17.25" customHeight="1" s="322">
      <c r="A459" s="27" t="n"/>
      <c r="B459" s="506" t="n"/>
      <c r="C459" s="141" t="n"/>
      <c r="D459" s="141" t="n"/>
      <c r="E459" s="141" t="n"/>
      <c r="F459" s="141" t="n"/>
      <c r="G459" s="143" t="n"/>
      <c r="H459" s="27" t="n"/>
    </row>
    <row r="460" ht="17.25" customHeight="1" s="322">
      <c r="A460" s="27" t="n"/>
      <c r="B460" s="506" t="n"/>
      <c r="C460" s="141" t="n"/>
      <c r="D460" s="141" t="n"/>
      <c r="E460" s="141" t="n"/>
      <c r="F460" s="141" t="n"/>
      <c r="G460" s="143" t="n"/>
      <c r="H460" s="27" t="n"/>
    </row>
    <row r="461" ht="17.25" customHeight="1" s="322">
      <c r="A461" s="27" t="n"/>
      <c r="B461" s="506" t="n"/>
      <c r="C461" s="141" t="n"/>
      <c r="D461" s="141" t="n"/>
      <c r="E461" s="141" t="n"/>
      <c r="F461" s="141" t="n"/>
      <c r="G461" s="143" t="n"/>
      <c r="H461" s="27" t="n"/>
    </row>
    <row r="462" ht="17.25" customHeight="1" s="322">
      <c r="A462" s="27" t="n"/>
      <c r="B462" s="506" t="n"/>
      <c r="C462" s="141" t="n"/>
      <c r="D462" s="141" t="n"/>
      <c r="E462" s="141" t="n"/>
      <c r="F462" s="141" t="n"/>
      <c r="G462" s="143" t="n"/>
      <c r="H462" s="27" t="n"/>
    </row>
    <row r="463" ht="17.25" customHeight="1" s="322">
      <c r="A463" s="27" t="n"/>
      <c r="B463" s="506" t="n"/>
      <c r="C463" s="141" t="n"/>
      <c r="D463" s="141" t="n"/>
      <c r="E463" s="141" t="n"/>
      <c r="F463" s="141" t="n"/>
      <c r="G463" s="143" t="n"/>
      <c r="H463" s="27" t="n"/>
    </row>
    <row r="464" ht="17.25" customHeight="1" s="322">
      <c r="A464" s="27" t="n"/>
      <c r="B464" s="506" t="n"/>
      <c r="C464" s="141" t="n"/>
      <c r="D464" s="141" t="n"/>
      <c r="E464" s="141" t="n"/>
      <c r="F464" s="141" t="n"/>
      <c r="G464" s="143" t="n"/>
      <c r="H464" s="27" t="n"/>
    </row>
    <row r="465" ht="17.25" customHeight="1" s="322">
      <c r="A465" s="27" t="n"/>
      <c r="B465" s="506" t="n"/>
      <c r="C465" s="141" t="n"/>
      <c r="D465" s="141" t="n"/>
      <c r="E465" s="141" t="n"/>
      <c r="F465" s="141" t="n"/>
      <c r="G465" s="143" t="n"/>
      <c r="H465" s="27" t="n"/>
    </row>
    <row r="466" ht="17.25" customHeight="1" s="322">
      <c r="A466" s="27" t="n"/>
      <c r="B466" s="506" t="n"/>
      <c r="C466" s="141" t="n"/>
      <c r="D466" s="141" t="n"/>
      <c r="E466" s="141" t="n"/>
      <c r="F466" s="141" t="n"/>
      <c r="G466" s="143" t="n"/>
      <c r="H466" s="27" t="n"/>
    </row>
    <row r="467" ht="17.25" customHeight="1" s="322">
      <c r="A467" s="27" t="n"/>
      <c r="B467" s="506" t="n"/>
      <c r="C467" s="141" t="n"/>
      <c r="D467" s="141" t="n"/>
      <c r="E467" s="141" t="n"/>
      <c r="F467" s="141" t="n"/>
      <c r="G467" s="143" t="n"/>
      <c r="H467" s="27" t="n"/>
    </row>
    <row r="468" ht="17.25" customHeight="1" s="322">
      <c r="A468" s="27" t="n"/>
      <c r="B468" s="506" t="n"/>
      <c r="C468" s="141" t="n"/>
      <c r="D468" s="141" t="n"/>
      <c r="E468" s="141" t="n"/>
      <c r="F468" s="141" t="n"/>
      <c r="G468" s="143" t="n"/>
      <c r="H468" s="27" t="n"/>
    </row>
    <row r="469" ht="17.25" customHeight="1" s="322">
      <c r="A469" s="27" t="n"/>
      <c r="B469" s="506" t="n"/>
      <c r="C469" s="141" t="n"/>
      <c r="D469" s="141" t="n"/>
      <c r="E469" s="141" t="n"/>
      <c r="F469" s="141" t="n"/>
      <c r="G469" s="143" t="n"/>
      <c r="H469" s="27" t="n"/>
    </row>
    <row r="470" ht="17.25" customHeight="1" s="322">
      <c r="A470" s="27" t="n"/>
      <c r="B470" s="506" t="n"/>
      <c r="C470" s="141" t="n"/>
      <c r="D470" s="141" t="n"/>
      <c r="E470" s="141" t="n"/>
      <c r="F470" s="141" t="n"/>
      <c r="G470" s="143" t="n"/>
      <c r="H470" s="27" t="n"/>
    </row>
    <row r="471" ht="17.25" customHeight="1" s="322">
      <c r="A471" s="27" t="n"/>
      <c r="B471" s="506" t="n"/>
      <c r="C471" s="141" t="n"/>
      <c r="D471" s="141" t="n"/>
      <c r="E471" s="141" t="n"/>
      <c r="F471" s="141" t="n"/>
      <c r="G471" s="143" t="n"/>
      <c r="H471" s="27" t="n"/>
    </row>
    <row r="472" ht="17.25" customHeight="1" s="322">
      <c r="A472" s="27" t="n"/>
      <c r="B472" s="506" t="n"/>
      <c r="C472" s="141" t="n"/>
      <c r="D472" s="141" t="n"/>
      <c r="E472" s="141" t="n"/>
      <c r="F472" s="141" t="n"/>
      <c r="G472" s="143" t="n"/>
      <c r="H472" s="27" t="n"/>
    </row>
    <row r="473" ht="17.25" customHeight="1" s="322">
      <c r="A473" s="27" t="n"/>
      <c r="B473" s="506" t="n"/>
      <c r="C473" s="141" t="n"/>
      <c r="D473" s="141" t="n"/>
      <c r="E473" s="141" t="n"/>
      <c r="F473" s="141" t="n"/>
      <c r="G473" s="143" t="n"/>
      <c r="H473" s="27" t="n"/>
    </row>
    <row r="474" ht="17.25" customHeight="1" s="322">
      <c r="A474" s="27" t="n"/>
      <c r="B474" s="506" t="n"/>
      <c r="C474" s="141" t="n"/>
      <c r="D474" s="141" t="n"/>
      <c r="E474" s="141" t="n"/>
      <c r="F474" s="141" t="n"/>
      <c r="G474" s="143" t="n"/>
      <c r="H474" s="27" t="n"/>
    </row>
    <row r="475" ht="17.25" customHeight="1" s="322">
      <c r="A475" s="27" t="n"/>
      <c r="B475" s="506" t="n"/>
      <c r="C475" s="141" t="n"/>
      <c r="D475" s="141" t="n"/>
      <c r="E475" s="141" t="n"/>
      <c r="F475" s="141" t="n"/>
      <c r="G475" s="143" t="n"/>
      <c r="H475" s="27" t="n"/>
    </row>
    <row r="476" ht="17.25" customHeight="1" s="322">
      <c r="A476" s="27" t="n"/>
      <c r="B476" s="506" t="n"/>
      <c r="C476" s="141" t="n"/>
      <c r="D476" s="141" t="n"/>
      <c r="E476" s="141" t="n"/>
      <c r="F476" s="141" t="n"/>
      <c r="G476" s="143" t="n"/>
      <c r="H476" s="27" t="n"/>
    </row>
    <row r="477" ht="17.25" customHeight="1" s="322">
      <c r="A477" s="27" t="n"/>
      <c r="B477" s="506" t="n"/>
      <c r="C477" s="141" t="n"/>
      <c r="D477" s="141" t="n"/>
      <c r="E477" s="141" t="n"/>
      <c r="F477" s="141" t="n"/>
      <c r="G477" s="143" t="n"/>
      <c r="H477" s="27" t="n"/>
    </row>
    <row r="478" ht="17.25" customHeight="1" s="322">
      <c r="A478" s="27" t="n"/>
      <c r="B478" s="506" t="n"/>
      <c r="C478" s="141" t="n"/>
      <c r="D478" s="141" t="n"/>
      <c r="E478" s="141" t="n"/>
      <c r="F478" s="141" t="n"/>
      <c r="G478" s="143" t="n"/>
      <c r="H478" s="27" t="n"/>
    </row>
    <row r="479" ht="17.25" customHeight="1" s="322">
      <c r="A479" s="27" t="n"/>
      <c r="B479" s="506" t="n"/>
      <c r="C479" s="141" t="n"/>
      <c r="D479" s="141" t="n"/>
      <c r="E479" s="141" t="n"/>
      <c r="F479" s="141" t="n"/>
      <c r="G479" s="143" t="n"/>
      <c r="H479" s="27" t="n"/>
    </row>
    <row r="480" ht="17.25" customHeight="1" s="322">
      <c r="A480" s="27" t="n"/>
      <c r="B480" s="506" t="n"/>
      <c r="C480" s="141" t="n"/>
      <c r="D480" s="141" t="n"/>
      <c r="E480" s="141" t="n"/>
      <c r="F480" s="141" t="n"/>
      <c r="G480" s="143" t="n"/>
      <c r="H480" s="27" t="n"/>
    </row>
    <row r="481" ht="17.25" customHeight="1" s="322">
      <c r="A481" s="27" t="n"/>
      <c r="B481" s="506" t="n"/>
      <c r="C481" s="141" t="n"/>
      <c r="D481" s="141" t="n"/>
      <c r="E481" s="141" t="n"/>
      <c r="F481" s="141" t="n"/>
      <c r="G481" s="143" t="n"/>
      <c r="H481" s="27" t="n"/>
    </row>
    <row r="482" ht="17.25" customHeight="1" s="322">
      <c r="A482" s="27" t="n"/>
      <c r="B482" s="506" t="n"/>
      <c r="C482" s="141" t="n"/>
      <c r="D482" s="141" t="n"/>
      <c r="E482" s="141" t="n"/>
      <c r="F482" s="141" t="n"/>
      <c r="G482" s="143" t="n"/>
      <c r="H482" s="27" t="n"/>
    </row>
    <row r="483" ht="17.25" customHeight="1" s="322">
      <c r="A483" s="27" t="n"/>
      <c r="B483" s="506" t="n"/>
      <c r="C483" s="141" t="n"/>
      <c r="D483" s="141" t="n"/>
      <c r="E483" s="141" t="n"/>
      <c r="F483" s="141" t="n"/>
      <c r="G483" s="143" t="n"/>
      <c r="H483" s="27" t="n"/>
    </row>
    <row r="484" ht="17.25" customHeight="1" s="322">
      <c r="A484" s="27" t="n"/>
      <c r="B484" s="506" t="n"/>
      <c r="C484" s="141" t="n"/>
      <c r="D484" s="141" t="n"/>
      <c r="E484" s="141" t="n"/>
      <c r="F484" s="141" t="n"/>
      <c r="G484" s="143" t="n"/>
      <c r="H484" s="27" t="n"/>
    </row>
    <row r="485" ht="17.25" customHeight="1" s="322">
      <c r="A485" s="27" t="n"/>
      <c r="B485" s="506" t="n"/>
      <c r="C485" s="141" t="n"/>
      <c r="D485" s="141" t="n"/>
      <c r="E485" s="141" t="n"/>
      <c r="F485" s="141" t="n"/>
      <c r="G485" s="143" t="n"/>
      <c r="H485" s="27" t="n"/>
    </row>
    <row r="486" ht="17.25" customHeight="1" s="322">
      <c r="A486" s="27" t="n"/>
      <c r="B486" s="506" t="n"/>
      <c r="C486" s="141" t="n"/>
      <c r="D486" s="141" t="n"/>
      <c r="E486" s="141" t="n"/>
      <c r="F486" s="141" t="n"/>
      <c r="G486" s="143" t="n"/>
      <c r="H486" s="27" t="n"/>
    </row>
    <row r="487" ht="17.25" customHeight="1" s="322">
      <c r="A487" s="27" t="n"/>
      <c r="B487" s="506" t="n"/>
      <c r="C487" s="141" t="n"/>
      <c r="D487" s="141" t="n"/>
      <c r="E487" s="141" t="n"/>
      <c r="F487" s="141" t="n"/>
      <c r="G487" s="143" t="n"/>
      <c r="H487" s="27" t="n"/>
    </row>
    <row r="488" ht="17.25" customHeight="1" s="322">
      <c r="A488" s="27" t="n"/>
      <c r="B488" s="506" t="n"/>
      <c r="C488" s="141" t="n"/>
      <c r="D488" s="141" t="n"/>
      <c r="E488" s="141" t="n"/>
      <c r="F488" s="141" t="n"/>
      <c r="G488" s="143" t="n"/>
      <c r="H488" s="27" t="n"/>
    </row>
    <row r="489" ht="17.25" customHeight="1" s="322">
      <c r="A489" s="27" t="n"/>
      <c r="B489" s="506" t="n"/>
      <c r="C489" s="141" t="n"/>
      <c r="D489" s="141" t="n"/>
      <c r="E489" s="141" t="n"/>
      <c r="F489" s="141" t="n"/>
      <c r="G489" s="143" t="n"/>
      <c r="H489" s="27" t="n"/>
    </row>
    <row r="490" ht="17.25" customHeight="1" s="322">
      <c r="A490" s="27" t="n"/>
      <c r="B490" s="506" t="n"/>
      <c r="C490" s="141" t="n"/>
      <c r="D490" s="141" t="n"/>
      <c r="E490" s="141" t="n"/>
      <c r="F490" s="141" t="n"/>
      <c r="G490" s="143" t="n"/>
      <c r="H490" s="27" t="n"/>
    </row>
    <row r="491" ht="17.25" customHeight="1" s="322">
      <c r="A491" s="27" t="n"/>
      <c r="B491" s="506" t="n"/>
      <c r="C491" s="141" t="n"/>
      <c r="D491" s="141" t="n"/>
      <c r="E491" s="141" t="n"/>
      <c r="F491" s="141" t="n"/>
      <c r="G491" s="143" t="n"/>
      <c r="H491" s="27" t="n"/>
    </row>
    <row r="492" ht="17.25" customHeight="1" s="322">
      <c r="A492" s="27" t="n"/>
      <c r="B492" s="506" t="n"/>
      <c r="C492" s="141" t="n"/>
      <c r="D492" s="141" t="n"/>
      <c r="E492" s="141" t="n"/>
      <c r="F492" s="141" t="n"/>
      <c r="G492" s="143" t="n"/>
      <c r="H492" s="27" t="n"/>
    </row>
    <row r="493" ht="17.25" customHeight="1" s="322">
      <c r="A493" s="27" t="n"/>
      <c r="B493" s="506" t="n"/>
      <c r="C493" s="141" t="n"/>
      <c r="D493" s="141" t="n"/>
      <c r="E493" s="141" t="n"/>
      <c r="F493" s="141" t="n"/>
      <c r="G493" s="143" t="n"/>
      <c r="H493" s="27" t="n"/>
    </row>
    <row r="494" ht="17.25" customHeight="1" s="322">
      <c r="A494" s="27" t="n"/>
      <c r="B494" s="506" t="n"/>
      <c r="C494" s="141" t="n"/>
      <c r="D494" s="141" t="n"/>
      <c r="E494" s="141" t="n"/>
      <c r="F494" s="141" t="n"/>
      <c r="G494" s="143" t="n"/>
      <c r="H494" s="27" t="n"/>
    </row>
    <row r="495" ht="17.25" customHeight="1" s="322">
      <c r="A495" s="27" t="n"/>
      <c r="B495" s="506" t="n"/>
      <c r="C495" s="141" t="n"/>
      <c r="D495" s="141" t="n"/>
      <c r="E495" s="141" t="n"/>
      <c r="F495" s="141" t="n"/>
      <c r="G495" s="143" t="n"/>
      <c r="H495" s="27" t="n"/>
    </row>
    <row r="496" ht="17.25" customHeight="1" s="322">
      <c r="A496" s="27" t="n"/>
      <c r="B496" s="506" t="n"/>
      <c r="C496" s="141" t="n"/>
      <c r="D496" s="141" t="n"/>
      <c r="E496" s="141" t="n"/>
      <c r="F496" s="141" t="n"/>
      <c r="G496" s="143" t="n"/>
      <c r="H496" s="27" t="n"/>
    </row>
    <row r="497" ht="17.25" customHeight="1" s="322">
      <c r="A497" s="27" t="n"/>
      <c r="B497" s="506" t="n"/>
      <c r="C497" s="141" t="n"/>
      <c r="D497" s="141" t="n"/>
      <c r="E497" s="141" t="n"/>
      <c r="F497" s="141" t="n"/>
      <c r="G497" s="143" t="n"/>
      <c r="H497" s="27" t="n"/>
    </row>
    <row r="498" ht="17.25" customHeight="1" s="322">
      <c r="A498" s="27" t="n"/>
      <c r="B498" s="506" t="n"/>
      <c r="C498" s="141" t="n"/>
      <c r="D498" s="141" t="n"/>
      <c r="E498" s="141" t="n"/>
      <c r="F498" s="141" t="n"/>
      <c r="G498" s="143" t="n"/>
      <c r="H498" s="27" t="n"/>
    </row>
    <row r="499" ht="17.25" customHeight="1" s="322">
      <c r="A499" s="27" t="n"/>
      <c r="B499" s="506" t="n"/>
      <c r="C499" s="141" t="n"/>
      <c r="D499" s="141" t="n"/>
      <c r="E499" s="141" t="n"/>
      <c r="F499" s="141" t="n"/>
      <c r="G499" s="143" t="n"/>
      <c r="H499" s="27" t="n"/>
    </row>
    <row r="500" ht="17.25" customHeight="1" s="322">
      <c r="A500" s="27" t="n"/>
      <c r="B500" s="506" t="n"/>
      <c r="C500" s="141" t="n"/>
      <c r="D500" s="141" t="n"/>
      <c r="E500" s="141" t="n"/>
      <c r="F500" s="141" t="n"/>
      <c r="G500" s="143" t="n"/>
      <c r="H500" s="27" t="n"/>
    </row>
    <row r="501" ht="17.25" customHeight="1" s="322">
      <c r="A501" s="27" t="n"/>
      <c r="B501" s="506" t="n"/>
      <c r="C501" s="141" t="n"/>
      <c r="D501" s="141" t="n"/>
      <c r="E501" s="141" t="n"/>
      <c r="F501" s="141" t="n"/>
      <c r="G501" s="143" t="n"/>
      <c r="H501" s="27" t="n"/>
    </row>
    <row r="502" ht="17.25" customHeight="1" s="322">
      <c r="A502" s="27" t="n"/>
      <c r="B502" s="506" t="n"/>
      <c r="C502" s="141" t="n"/>
      <c r="D502" s="141" t="n"/>
      <c r="E502" s="141" t="n"/>
      <c r="F502" s="141" t="n"/>
      <c r="G502" s="143" t="n"/>
      <c r="H502" s="27" t="n"/>
    </row>
    <row r="503" ht="17.25" customHeight="1" s="322">
      <c r="A503" s="27" t="n"/>
      <c r="B503" s="506" t="n"/>
      <c r="C503" s="141" t="n"/>
      <c r="D503" s="141" t="n"/>
      <c r="E503" s="141" t="n"/>
      <c r="F503" s="141" t="n"/>
      <c r="G503" s="143" t="n"/>
      <c r="H503" s="27" t="n"/>
    </row>
    <row r="504" ht="17.25" customHeight="1" s="322">
      <c r="A504" s="27" t="n"/>
      <c r="B504" s="506" t="n"/>
      <c r="C504" s="141" t="n"/>
      <c r="D504" s="141" t="n"/>
      <c r="E504" s="141" t="n"/>
      <c r="F504" s="141" t="n"/>
      <c r="G504" s="143" t="n"/>
      <c r="H504" s="27" t="n"/>
    </row>
    <row r="505" ht="17.25" customHeight="1" s="322">
      <c r="A505" s="27" t="n"/>
      <c r="B505" s="506" t="n"/>
      <c r="C505" s="141" t="n"/>
      <c r="D505" s="141" t="n"/>
      <c r="E505" s="141" t="n"/>
      <c r="F505" s="141" t="n"/>
      <c r="G505" s="143" t="n"/>
      <c r="H505" s="27" t="n"/>
    </row>
    <row r="506" ht="17.25" customHeight="1" s="322">
      <c r="A506" s="27" t="n"/>
      <c r="B506" s="506" t="n"/>
      <c r="C506" s="141" t="n"/>
      <c r="D506" s="141" t="n"/>
      <c r="E506" s="141" t="n"/>
      <c r="F506" s="141" t="n"/>
      <c r="G506" s="143" t="n"/>
      <c r="H506" s="27" t="n"/>
    </row>
    <row r="507" ht="17.25" customHeight="1" s="322">
      <c r="A507" s="27" t="n"/>
      <c r="B507" s="506" t="n"/>
      <c r="C507" s="141" t="n"/>
      <c r="D507" s="141" t="n"/>
      <c r="E507" s="141" t="n"/>
      <c r="F507" s="141" t="n"/>
      <c r="G507" s="143" t="n"/>
      <c r="H507" s="27" t="n"/>
    </row>
    <row r="508" ht="17.25" customHeight="1" s="322">
      <c r="A508" s="27" t="n"/>
      <c r="B508" s="506" t="n"/>
      <c r="C508" s="141" t="n"/>
      <c r="D508" s="141" t="n"/>
      <c r="E508" s="141" t="n"/>
      <c r="F508" s="141" t="n"/>
      <c r="G508" s="143" t="n"/>
      <c r="H508" s="27" t="n"/>
    </row>
    <row r="509" ht="17.25" customHeight="1" s="322">
      <c r="A509" s="27" t="n"/>
      <c r="B509" s="506" t="n"/>
      <c r="C509" s="141" t="n"/>
      <c r="D509" s="141" t="n"/>
      <c r="E509" s="141" t="n"/>
      <c r="F509" s="141" t="n"/>
      <c r="G509" s="143" t="n"/>
      <c r="H509" s="27" t="n"/>
    </row>
    <row r="510" ht="17.25" customHeight="1" s="322">
      <c r="A510" s="27" t="n"/>
      <c r="B510" s="506" t="n"/>
      <c r="C510" s="141" t="n"/>
      <c r="D510" s="141" t="n"/>
      <c r="E510" s="141" t="n"/>
      <c r="F510" s="141" t="n"/>
      <c r="G510" s="143" t="n"/>
      <c r="H510" s="27" t="n"/>
    </row>
    <row r="511" ht="17.25" customHeight="1" s="322">
      <c r="A511" s="27" t="n"/>
      <c r="B511" s="506" t="n"/>
      <c r="C511" s="141" t="n"/>
      <c r="D511" s="141" t="n"/>
      <c r="E511" s="141" t="n"/>
      <c r="F511" s="141" t="n"/>
      <c r="G511" s="143" t="n"/>
      <c r="H511" s="27" t="n"/>
    </row>
    <row r="512" ht="17.25" customHeight="1" s="322">
      <c r="A512" s="27" t="n"/>
      <c r="B512" s="506" t="n"/>
      <c r="C512" s="141" t="n"/>
      <c r="D512" s="141" t="n"/>
      <c r="E512" s="141" t="n"/>
      <c r="F512" s="141" t="n"/>
      <c r="G512" s="143" t="n"/>
      <c r="H512" s="27" t="n"/>
    </row>
    <row r="513" ht="17.25" customHeight="1" s="322">
      <c r="A513" s="27" t="n"/>
      <c r="B513" s="506" t="n"/>
      <c r="C513" s="141" t="n"/>
      <c r="D513" s="141" t="n"/>
      <c r="E513" s="141" t="n"/>
      <c r="F513" s="141" t="n"/>
      <c r="G513" s="143" t="n"/>
      <c r="H513" s="27" t="n"/>
    </row>
    <row r="514" ht="17.25" customHeight="1" s="322">
      <c r="A514" s="27" t="n"/>
      <c r="B514" s="506" t="n"/>
      <c r="C514" s="141" t="n"/>
      <c r="D514" s="141" t="n"/>
      <c r="E514" s="141" t="n"/>
      <c r="F514" s="141" t="n"/>
      <c r="G514" s="143" t="n"/>
      <c r="H514" s="27" t="n"/>
    </row>
    <row r="515" ht="17.25" customHeight="1" s="322">
      <c r="A515" s="27" t="n"/>
      <c r="B515" s="506" t="n"/>
      <c r="C515" s="141" t="n"/>
      <c r="D515" s="141" t="n"/>
      <c r="E515" s="141" t="n"/>
      <c r="F515" s="141" t="n"/>
      <c r="G515" s="143" t="n"/>
      <c r="H515" s="27" t="n"/>
    </row>
    <row r="516" ht="17.25" customHeight="1" s="322">
      <c r="A516" s="27" t="n"/>
      <c r="B516" s="506" t="n"/>
      <c r="C516" s="141" t="n"/>
      <c r="D516" s="141" t="n"/>
      <c r="E516" s="141" t="n"/>
      <c r="F516" s="141" t="n"/>
      <c r="G516" s="143" t="n"/>
      <c r="H516" s="27" t="n"/>
    </row>
    <row r="517" ht="17.25" customHeight="1" s="322">
      <c r="A517" s="27" t="n"/>
      <c r="B517" s="506" t="n"/>
      <c r="C517" s="141" t="n"/>
      <c r="D517" s="141" t="n"/>
      <c r="E517" s="141" t="n"/>
      <c r="F517" s="141" t="n"/>
      <c r="G517" s="143" t="n"/>
      <c r="H517" s="27" t="n"/>
    </row>
    <row r="518" ht="17.25" customHeight="1" s="322">
      <c r="A518" s="27" t="n"/>
      <c r="B518" s="506" t="n"/>
      <c r="C518" s="141" t="n"/>
      <c r="D518" s="141" t="n"/>
      <c r="E518" s="141" t="n"/>
      <c r="F518" s="141" t="n"/>
      <c r="G518" s="143" t="n"/>
      <c r="H518" s="27" t="n"/>
    </row>
    <row r="519" ht="17.25" customHeight="1" s="322">
      <c r="A519" s="27" t="n"/>
      <c r="B519" s="506" t="n"/>
      <c r="C519" s="141" t="n"/>
      <c r="D519" s="141" t="n"/>
      <c r="E519" s="141" t="n"/>
      <c r="F519" s="141" t="n"/>
      <c r="G519" s="143" t="n"/>
      <c r="H519" s="27" t="n"/>
    </row>
    <row r="520" ht="17.25" customHeight="1" s="322">
      <c r="A520" s="27" t="n"/>
      <c r="B520" s="506" t="n"/>
      <c r="C520" s="141" t="n"/>
      <c r="D520" s="141" t="n"/>
      <c r="E520" s="141" t="n"/>
      <c r="F520" s="141" t="n"/>
      <c r="G520" s="143" t="n"/>
      <c r="H520" s="27" t="n"/>
    </row>
    <row r="521" ht="17.25" customHeight="1" s="322">
      <c r="A521" s="27" t="n"/>
      <c r="B521" s="506" t="n"/>
      <c r="C521" s="141" t="n"/>
      <c r="D521" s="141" t="n"/>
      <c r="E521" s="141" t="n"/>
      <c r="F521" s="141" t="n"/>
      <c r="G521" s="143" t="n"/>
      <c r="H521" s="27" t="n"/>
    </row>
    <row r="522" ht="17.25" customHeight="1" s="322">
      <c r="A522" s="27" t="n"/>
      <c r="B522" s="506" t="n"/>
      <c r="C522" s="141" t="n"/>
      <c r="D522" s="141" t="n"/>
      <c r="E522" s="141" t="n"/>
      <c r="F522" s="141" t="n"/>
      <c r="G522" s="143" t="n"/>
      <c r="H522" s="27" t="n"/>
    </row>
    <row r="523" ht="17.25" customHeight="1" s="322">
      <c r="A523" s="27" t="n"/>
      <c r="B523" s="506" t="n"/>
      <c r="C523" s="141" t="n"/>
      <c r="D523" s="141" t="n"/>
      <c r="E523" s="141" t="n"/>
      <c r="F523" s="141" t="n"/>
      <c r="G523" s="143" t="n"/>
      <c r="H523" s="27" t="n"/>
    </row>
    <row r="524" ht="17.25" customHeight="1" s="322">
      <c r="A524" s="27" t="n"/>
      <c r="B524" s="506" t="n"/>
      <c r="C524" s="141" t="n"/>
      <c r="D524" s="141" t="n"/>
      <c r="E524" s="141" t="n"/>
      <c r="F524" s="141" t="n"/>
      <c r="G524" s="143" t="n"/>
      <c r="H524" s="27" t="n"/>
    </row>
    <row r="525" ht="17.25" customHeight="1" s="322">
      <c r="A525" s="27" t="n"/>
      <c r="B525" s="506" t="n"/>
      <c r="C525" s="141" t="n"/>
      <c r="D525" s="141" t="n"/>
      <c r="E525" s="141" t="n"/>
      <c r="F525" s="141" t="n"/>
      <c r="G525" s="143" t="n"/>
      <c r="H525" s="27" t="n"/>
    </row>
    <row r="526" ht="17.25" customHeight="1" s="322">
      <c r="A526" s="27" t="n"/>
      <c r="B526" s="506" t="n"/>
      <c r="C526" s="141" t="n"/>
      <c r="D526" s="141" t="n"/>
      <c r="E526" s="141" t="n"/>
      <c r="F526" s="141" t="n"/>
      <c r="G526" s="143" t="n"/>
      <c r="H526" s="27" t="n"/>
    </row>
    <row r="527" ht="17.25" customHeight="1" s="322">
      <c r="A527" s="27" t="n"/>
      <c r="B527" s="506" t="n"/>
      <c r="C527" s="141" t="n"/>
      <c r="D527" s="141" t="n"/>
      <c r="E527" s="141" t="n"/>
      <c r="F527" s="141" t="n"/>
      <c r="G527" s="143" t="n"/>
      <c r="H527" s="27" t="n"/>
    </row>
    <row r="528" ht="17.25" customHeight="1" s="322">
      <c r="A528" s="27" t="n"/>
      <c r="B528" s="506" t="n"/>
      <c r="C528" s="141" t="n"/>
      <c r="D528" s="141" t="n"/>
      <c r="E528" s="141" t="n"/>
      <c r="F528" s="141" t="n"/>
      <c r="G528" s="143" t="n"/>
      <c r="H528" s="27" t="n"/>
    </row>
    <row r="529" ht="17.25" customHeight="1" s="322">
      <c r="A529" s="27" t="n"/>
      <c r="B529" s="506" t="n"/>
      <c r="C529" s="141" t="n"/>
      <c r="D529" s="141" t="n"/>
      <c r="E529" s="141" t="n"/>
      <c r="F529" s="141" t="n"/>
      <c r="G529" s="143" t="n"/>
      <c r="H529" s="27" t="n"/>
    </row>
    <row r="530" ht="17.25" customHeight="1" s="322">
      <c r="A530" s="27" t="n"/>
      <c r="B530" s="506" t="n"/>
      <c r="C530" s="141" t="n"/>
      <c r="D530" s="141" t="n"/>
      <c r="E530" s="141" t="n"/>
      <c r="F530" s="141" t="n"/>
      <c r="G530" s="143" t="n"/>
      <c r="H530" s="27" t="n"/>
    </row>
    <row r="531" ht="17.25" customHeight="1" s="322">
      <c r="A531" s="27" t="n"/>
      <c r="B531" s="506" t="n"/>
      <c r="C531" s="141" t="n"/>
      <c r="D531" s="141" t="n"/>
      <c r="E531" s="141" t="n"/>
      <c r="F531" s="141" t="n"/>
      <c r="G531" s="143" t="n"/>
      <c r="H531" s="27" t="n"/>
    </row>
    <row r="532" ht="17.25" customHeight="1" s="322">
      <c r="A532" s="27" t="n"/>
      <c r="B532" s="506" t="n"/>
      <c r="C532" s="141" t="n"/>
      <c r="D532" s="141" t="n"/>
      <c r="E532" s="141" t="n"/>
      <c r="F532" s="141" t="n"/>
      <c r="G532" s="143" t="n"/>
      <c r="H532" s="27" t="n"/>
    </row>
    <row r="533" ht="17.25" customHeight="1" s="322">
      <c r="A533" s="27" t="n"/>
      <c r="B533" s="506" t="n"/>
      <c r="C533" s="141" t="n"/>
      <c r="D533" s="141" t="n"/>
      <c r="E533" s="141" t="n"/>
      <c r="F533" s="141" t="n"/>
      <c r="G533" s="143" t="n"/>
      <c r="H533" s="27" t="n"/>
    </row>
    <row r="534" ht="17.25" customHeight="1" s="322">
      <c r="A534" s="27" t="n"/>
      <c r="B534" s="506" t="n"/>
      <c r="C534" s="141" t="n"/>
      <c r="D534" s="141" t="n"/>
      <c r="E534" s="141" t="n"/>
      <c r="F534" s="141" t="n"/>
      <c r="G534" s="143" t="n"/>
      <c r="H534" s="27" t="n"/>
    </row>
    <row r="535" ht="17.25" customHeight="1" s="322">
      <c r="A535" s="27" t="n"/>
      <c r="B535" s="506" t="n"/>
      <c r="C535" s="141" t="n"/>
      <c r="D535" s="141" t="n"/>
      <c r="E535" s="141" t="n"/>
      <c r="F535" s="141" t="n"/>
      <c r="G535" s="143" t="n"/>
      <c r="H535" s="27" t="n"/>
    </row>
    <row r="536" ht="17.25" customHeight="1" s="322">
      <c r="A536" s="27" t="n"/>
      <c r="B536" s="506" t="n"/>
      <c r="C536" s="141" t="n"/>
      <c r="D536" s="141" t="n"/>
      <c r="E536" s="141" t="n"/>
      <c r="F536" s="141" t="n"/>
      <c r="G536" s="143" t="n"/>
      <c r="H536" s="27" t="n"/>
    </row>
    <row r="537" ht="17.25" customHeight="1" s="322">
      <c r="A537" s="27" t="n"/>
      <c r="B537" s="506" t="n"/>
      <c r="C537" s="141" t="n"/>
      <c r="D537" s="141" t="n"/>
      <c r="E537" s="141" t="n"/>
      <c r="F537" s="141" t="n"/>
      <c r="G537" s="143" t="n"/>
      <c r="H537" s="27" t="n"/>
    </row>
    <row r="538" ht="17.25" customHeight="1" s="322">
      <c r="A538" s="27" t="n"/>
      <c r="B538" s="506" t="n"/>
      <c r="C538" s="141" t="n"/>
      <c r="D538" s="141" t="n"/>
      <c r="E538" s="141" t="n"/>
      <c r="F538" s="141" t="n"/>
      <c r="G538" s="143" t="n"/>
      <c r="H538" s="27" t="n"/>
    </row>
    <row r="539" ht="17.25" customHeight="1" s="322">
      <c r="A539" s="27" t="n"/>
      <c r="B539" s="506" t="n"/>
      <c r="C539" s="141" t="n"/>
      <c r="D539" s="141" t="n"/>
      <c r="E539" s="141" t="n"/>
      <c r="F539" s="141" t="n"/>
      <c r="G539" s="143" t="n"/>
      <c r="H539" s="27" t="n"/>
    </row>
    <row r="540" ht="17.25" customHeight="1" s="322">
      <c r="A540" s="27" t="n"/>
      <c r="B540" s="506" t="n"/>
      <c r="C540" s="141" t="n"/>
      <c r="D540" s="141" t="n"/>
      <c r="E540" s="141" t="n"/>
      <c r="F540" s="141" t="n"/>
      <c r="G540" s="143" t="n"/>
      <c r="H540" s="27" t="n"/>
    </row>
    <row r="541" ht="17.25" customHeight="1" s="322">
      <c r="A541" s="27" t="n"/>
      <c r="B541" s="506" t="n"/>
      <c r="C541" s="141" t="n"/>
      <c r="D541" s="141" t="n"/>
      <c r="E541" s="141" t="n"/>
      <c r="F541" s="141" t="n"/>
      <c r="G541" s="143" t="n"/>
      <c r="H541" s="27" t="n"/>
    </row>
    <row r="542" ht="17.25" customHeight="1" s="322">
      <c r="A542" s="27" t="n"/>
      <c r="B542" s="506" t="n"/>
      <c r="C542" s="141" t="n"/>
      <c r="D542" s="141" t="n"/>
      <c r="E542" s="141" t="n"/>
      <c r="F542" s="141" t="n"/>
      <c r="G542" s="143" t="n"/>
      <c r="H542" s="27" t="n"/>
    </row>
    <row r="543" ht="17.25" customHeight="1" s="322">
      <c r="A543" s="27" t="n"/>
      <c r="B543" s="506" t="n"/>
      <c r="C543" s="141" t="n"/>
      <c r="D543" s="141" t="n"/>
      <c r="E543" s="141" t="n"/>
      <c r="F543" s="141" t="n"/>
      <c r="G543" s="143" t="n"/>
      <c r="H543" s="27" t="n"/>
    </row>
    <row r="544" ht="17.25" customHeight="1" s="322">
      <c r="A544" s="27" t="n"/>
      <c r="B544" s="506" t="n"/>
      <c r="C544" s="141" t="n"/>
      <c r="D544" s="141" t="n"/>
      <c r="E544" s="141" t="n"/>
      <c r="F544" s="141" t="n"/>
      <c r="G544" s="143" t="n"/>
      <c r="H544" s="27" t="n"/>
    </row>
    <row r="545" ht="17.25" customHeight="1" s="322">
      <c r="A545" s="27" t="n"/>
      <c r="B545" s="506" t="n"/>
      <c r="C545" s="141" t="n"/>
      <c r="D545" s="141" t="n"/>
      <c r="E545" s="141" t="n"/>
      <c r="F545" s="141" t="n"/>
      <c r="G545" s="143" t="n"/>
      <c r="H545" s="27" t="n"/>
    </row>
    <row r="546" ht="17.25" customHeight="1" s="322">
      <c r="A546" s="27" t="n"/>
      <c r="B546" s="506" t="n"/>
      <c r="C546" s="141" t="n"/>
      <c r="D546" s="141" t="n"/>
      <c r="E546" s="141" t="n"/>
      <c r="F546" s="141" t="n"/>
      <c r="G546" s="143" t="n"/>
      <c r="H546" s="27" t="n"/>
    </row>
    <row r="547" ht="17.25" customHeight="1" s="322">
      <c r="A547" s="27" t="n"/>
      <c r="B547" s="506" t="n"/>
      <c r="C547" s="141" t="n"/>
      <c r="D547" s="141" t="n"/>
      <c r="E547" s="141" t="n"/>
      <c r="F547" s="141" t="n"/>
      <c r="G547" s="143" t="n"/>
      <c r="H547" s="27" t="n"/>
    </row>
    <row r="548" ht="17.25" customHeight="1" s="322">
      <c r="A548" s="27" t="n"/>
      <c r="B548" s="506" t="n"/>
      <c r="C548" s="141" t="n"/>
      <c r="D548" s="141" t="n"/>
      <c r="E548" s="141" t="n"/>
      <c r="F548" s="141" t="n"/>
      <c r="G548" s="143" t="n"/>
      <c r="H548" s="27" t="n"/>
    </row>
    <row r="549" ht="17.25" customHeight="1" s="322">
      <c r="A549" s="27" t="n"/>
      <c r="B549" s="506" t="n"/>
      <c r="C549" s="141" t="n"/>
      <c r="D549" s="141" t="n"/>
      <c r="E549" s="141" t="n"/>
      <c r="F549" s="141" t="n"/>
      <c r="G549" s="143" t="n"/>
      <c r="H549" s="27" t="n"/>
    </row>
    <row r="550" ht="17.25" customHeight="1" s="322">
      <c r="A550" s="27" t="n"/>
      <c r="B550" s="506" t="n"/>
      <c r="C550" s="141" t="n"/>
      <c r="D550" s="141" t="n"/>
      <c r="E550" s="141" t="n"/>
      <c r="F550" s="141" t="n"/>
      <c r="G550" s="143" t="n"/>
      <c r="H550" s="27" t="n"/>
    </row>
    <row r="551" ht="17.25" customHeight="1" s="322">
      <c r="A551" s="27" t="n"/>
      <c r="B551" s="506" t="n"/>
      <c r="C551" s="141" t="n"/>
      <c r="D551" s="141" t="n"/>
      <c r="E551" s="141" t="n"/>
      <c r="F551" s="141" t="n"/>
      <c r="G551" s="143" t="n"/>
      <c r="H551" s="27" t="n"/>
    </row>
    <row r="552" ht="17.25" customHeight="1" s="322">
      <c r="A552" s="27" t="n"/>
      <c r="B552" s="506" t="n"/>
      <c r="C552" s="141" t="n"/>
      <c r="D552" s="141" t="n"/>
      <c r="E552" s="141" t="n"/>
      <c r="F552" s="141" t="n"/>
      <c r="G552" s="143" t="n"/>
      <c r="H552" s="27" t="n"/>
    </row>
    <row r="553" ht="17.25" customHeight="1" s="322">
      <c r="A553" s="27" t="n"/>
      <c r="B553" s="506" t="n"/>
      <c r="C553" s="141" t="n"/>
      <c r="D553" s="141" t="n"/>
      <c r="E553" s="141" t="n"/>
      <c r="F553" s="141" t="n"/>
      <c r="G553" s="143" t="n"/>
      <c r="H553" s="27" t="n"/>
    </row>
    <row r="554" ht="17.25" customHeight="1" s="322">
      <c r="A554" s="27" t="n"/>
      <c r="B554" s="506" t="n"/>
      <c r="C554" s="141" t="n"/>
      <c r="D554" s="141" t="n"/>
      <c r="E554" s="141" t="n"/>
      <c r="F554" s="141" t="n"/>
      <c r="G554" s="143" t="n"/>
      <c r="H554" s="27" t="n"/>
    </row>
    <row r="555" ht="17.25" customHeight="1" s="322">
      <c r="A555" s="27" t="n"/>
      <c r="B555" s="506" t="n"/>
      <c r="C555" s="141" t="n"/>
      <c r="D555" s="141" t="n"/>
      <c r="E555" s="141" t="n"/>
      <c r="F555" s="141" t="n"/>
      <c r="G555" s="143" t="n"/>
      <c r="H555" s="27" t="n"/>
    </row>
    <row r="556" ht="17.25" customHeight="1" s="322">
      <c r="A556" s="27" t="n"/>
      <c r="B556" s="506" t="n"/>
      <c r="C556" s="141" t="n"/>
      <c r="D556" s="141" t="n"/>
      <c r="E556" s="141" t="n"/>
      <c r="F556" s="141" t="n"/>
      <c r="G556" s="143" t="n"/>
      <c r="H556" s="27" t="n"/>
    </row>
    <row r="557" ht="17.25" customHeight="1" s="322">
      <c r="A557" s="27" t="n"/>
      <c r="B557" s="506" t="n"/>
      <c r="C557" s="141" t="n"/>
      <c r="D557" s="141" t="n"/>
      <c r="E557" s="141" t="n"/>
      <c r="F557" s="141" t="n"/>
      <c r="G557" s="143" t="n"/>
      <c r="H557" s="27" t="n"/>
    </row>
    <row r="558" ht="17.25" customHeight="1" s="322">
      <c r="A558" s="27" t="n"/>
      <c r="B558" s="506" t="n"/>
      <c r="C558" s="141" t="n"/>
      <c r="D558" s="141" t="n"/>
      <c r="E558" s="141" t="n"/>
      <c r="F558" s="141" t="n"/>
      <c r="G558" s="143" t="n"/>
      <c r="H558" s="27" t="n"/>
    </row>
    <row r="559" ht="17.25" customHeight="1" s="322">
      <c r="A559" s="27" t="n"/>
      <c r="B559" s="506" t="n"/>
      <c r="C559" s="141" t="n"/>
      <c r="D559" s="141" t="n"/>
      <c r="E559" s="141" t="n"/>
      <c r="F559" s="141" t="n"/>
      <c r="G559" s="143" t="n"/>
      <c r="H559" s="27" t="n"/>
    </row>
    <row r="560" ht="17.25" customHeight="1" s="322">
      <c r="A560" s="27" t="n"/>
      <c r="B560" s="506" t="n"/>
      <c r="C560" s="141" t="n"/>
      <c r="D560" s="141" t="n"/>
      <c r="E560" s="141" t="n"/>
      <c r="F560" s="141" t="n"/>
      <c r="G560" s="143" t="n"/>
      <c r="H560" s="27" t="n"/>
    </row>
    <row r="561" ht="17.25" customHeight="1" s="322">
      <c r="A561" s="27" t="n"/>
      <c r="B561" s="506" t="n"/>
      <c r="C561" s="141" t="n"/>
      <c r="D561" s="141" t="n"/>
      <c r="E561" s="141" t="n"/>
      <c r="F561" s="141" t="n"/>
      <c r="G561" s="143" t="n"/>
      <c r="H561" s="27" t="n"/>
    </row>
    <row r="562" ht="17.25" customHeight="1" s="322">
      <c r="A562" s="27" t="n"/>
      <c r="B562" s="506" t="n"/>
      <c r="C562" s="141" t="n"/>
      <c r="D562" s="141" t="n"/>
      <c r="E562" s="141" t="n"/>
      <c r="F562" s="141" t="n"/>
      <c r="G562" s="143" t="n"/>
      <c r="H562" s="27" t="n"/>
    </row>
    <row r="563" ht="17.25" customHeight="1" s="322">
      <c r="A563" s="27" t="n"/>
      <c r="B563" s="506" t="n"/>
      <c r="C563" s="141" t="n"/>
      <c r="D563" s="141" t="n"/>
      <c r="E563" s="141" t="n"/>
      <c r="F563" s="141" t="n"/>
      <c r="G563" s="143" t="n"/>
      <c r="H563" s="27" t="n"/>
    </row>
    <row r="564" ht="17.25" customHeight="1" s="322">
      <c r="A564" s="27" t="n"/>
      <c r="B564" s="506" t="n"/>
      <c r="C564" s="141" t="n"/>
      <c r="D564" s="141" t="n"/>
      <c r="E564" s="141" t="n"/>
      <c r="F564" s="141" t="n"/>
      <c r="G564" s="143" t="n"/>
      <c r="H564" s="27" t="n"/>
    </row>
    <row r="565" ht="17.25" customHeight="1" s="322">
      <c r="A565" s="27" t="n"/>
      <c r="B565" s="506" t="n"/>
      <c r="C565" s="141" t="n"/>
      <c r="D565" s="141" t="n"/>
      <c r="E565" s="141" t="n"/>
      <c r="F565" s="141" t="n"/>
      <c r="G565" s="143" t="n"/>
      <c r="H565" s="27" t="n"/>
    </row>
    <row r="566" ht="17.25" customHeight="1" s="322">
      <c r="A566" s="27" t="n"/>
      <c r="B566" s="506" t="n"/>
      <c r="C566" s="141" t="n"/>
      <c r="D566" s="141" t="n"/>
      <c r="E566" s="141" t="n"/>
      <c r="F566" s="141" t="n"/>
      <c r="G566" s="143" t="n"/>
      <c r="H566" s="27" t="n"/>
    </row>
    <row r="567" ht="17.25" customHeight="1" s="322">
      <c r="A567" s="27" t="n"/>
      <c r="B567" s="506" t="n"/>
      <c r="C567" s="141" t="n"/>
      <c r="D567" s="141" t="n"/>
      <c r="E567" s="141" t="n"/>
      <c r="F567" s="141" t="n"/>
      <c r="G567" s="143" t="n"/>
      <c r="H567" s="27" t="n"/>
    </row>
    <row r="568" ht="17.25" customHeight="1" s="322">
      <c r="A568" s="27" t="n"/>
      <c r="B568" s="506" t="n"/>
      <c r="C568" s="141" t="n"/>
      <c r="D568" s="141" t="n"/>
      <c r="E568" s="141" t="n"/>
      <c r="F568" s="141" t="n"/>
      <c r="G568" s="143" t="n"/>
      <c r="H568" s="27" t="n"/>
    </row>
    <row r="569" ht="17.25" customHeight="1" s="322">
      <c r="A569" s="27" t="n"/>
      <c r="B569" s="506" t="n"/>
      <c r="C569" s="141" t="n"/>
      <c r="D569" s="141" t="n"/>
      <c r="E569" s="141" t="n"/>
      <c r="F569" s="141" t="n"/>
      <c r="G569" s="143" t="n"/>
      <c r="H569" s="27" t="n"/>
    </row>
    <row r="570" ht="17.25" customHeight="1" s="322">
      <c r="A570" s="27" t="n"/>
      <c r="B570" s="506" t="n"/>
      <c r="C570" s="141" t="n"/>
      <c r="D570" s="141" t="n"/>
      <c r="E570" s="141" t="n"/>
      <c r="F570" s="141" t="n"/>
      <c r="G570" s="143" t="n"/>
      <c r="H570" s="27" t="n"/>
    </row>
    <row r="571" ht="17.25" customHeight="1" s="322">
      <c r="A571" s="27" t="n"/>
      <c r="B571" s="506" t="n"/>
      <c r="C571" s="141" t="n"/>
      <c r="D571" s="141" t="n"/>
      <c r="E571" s="141" t="n"/>
      <c r="F571" s="141" t="n"/>
      <c r="G571" s="143" t="n"/>
      <c r="H571" s="27" t="n"/>
    </row>
    <row r="572" ht="17.25" customHeight="1" s="322">
      <c r="A572" s="27" t="n"/>
      <c r="B572" s="506" t="n"/>
      <c r="C572" s="141" t="n"/>
      <c r="D572" s="141" t="n"/>
      <c r="E572" s="141" t="n"/>
      <c r="F572" s="141" t="n"/>
      <c r="G572" s="143" t="n"/>
      <c r="H572" s="27" t="n"/>
    </row>
    <row r="573" ht="17.25" customHeight="1" s="322">
      <c r="A573" s="27" t="n"/>
      <c r="B573" s="506" t="n"/>
      <c r="C573" s="141" t="n"/>
      <c r="D573" s="141" t="n"/>
      <c r="E573" s="141" t="n"/>
      <c r="F573" s="141" t="n"/>
      <c r="G573" s="143" t="n"/>
      <c r="H573" s="27" t="n"/>
    </row>
    <row r="574" ht="17.25" customHeight="1" s="322">
      <c r="A574" s="27" t="n"/>
      <c r="B574" s="506" t="n"/>
      <c r="C574" s="141" t="n"/>
      <c r="D574" s="141" t="n"/>
      <c r="E574" s="141" t="n"/>
      <c r="F574" s="141" t="n"/>
      <c r="G574" s="143" t="n"/>
      <c r="H574" s="27" t="n"/>
    </row>
    <row r="575" ht="17.25" customHeight="1" s="322">
      <c r="A575" s="27" t="n"/>
      <c r="B575" s="506" t="n"/>
      <c r="C575" s="141" t="n"/>
      <c r="D575" s="141" t="n"/>
      <c r="E575" s="141" t="n"/>
      <c r="F575" s="141" t="n"/>
      <c r="G575" s="143" t="n"/>
      <c r="H575" s="27" t="n"/>
    </row>
    <row r="576" ht="17.25" customHeight="1" s="322">
      <c r="A576" s="27" t="n"/>
      <c r="B576" s="506" t="n"/>
      <c r="C576" s="141" t="n"/>
      <c r="D576" s="141" t="n"/>
      <c r="E576" s="141" t="n"/>
      <c r="F576" s="141" t="n"/>
      <c r="G576" s="143" t="n"/>
      <c r="H576" s="27" t="n"/>
    </row>
    <row r="577" ht="17.25" customHeight="1" s="322">
      <c r="A577" s="27" t="n"/>
      <c r="B577" s="506" t="n"/>
      <c r="C577" s="141" t="n"/>
      <c r="D577" s="141" t="n"/>
      <c r="E577" s="141" t="n"/>
      <c r="F577" s="141" t="n"/>
      <c r="G577" s="143" t="n"/>
      <c r="H577" s="27" t="n"/>
    </row>
    <row r="578" ht="17.25" customHeight="1" s="322">
      <c r="A578" s="27" t="n"/>
      <c r="B578" s="506" t="n"/>
      <c r="C578" s="141" t="n"/>
      <c r="D578" s="141" t="n"/>
      <c r="E578" s="141" t="n"/>
      <c r="F578" s="141" t="n"/>
      <c r="G578" s="143" t="n"/>
      <c r="H578" s="27" t="n"/>
    </row>
    <row r="579" ht="17.25" customHeight="1" s="322">
      <c r="A579" s="27" t="n"/>
      <c r="B579" s="506" t="n"/>
      <c r="C579" s="141" t="n"/>
      <c r="D579" s="141" t="n"/>
      <c r="E579" s="141" t="n"/>
      <c r="F579" s="141" t="n"/>
      <c r="G579" s="143" t="n"/>
      <c r="H579" s="27" t="n"/>
    </row>
    <row r="580" ht="17.25" customHeight="1" s="322">
      <c r="A580" s="27" t="n"/>
      <c r="B580" s="506" t="n"/>
      <c r="C580" s="141" t="n"/>
      <c r="D580" s="141" t="n"/>
      <c r="E580" s="141" t="n"/>
      <c r="F580" s="141" t="n"/>
      <c r="G580" s="143" t="n"/>
      <c r="H580" s="27" t="n"/>
    </row>
    <row r="581" ht="17.25" customHeight="1" s="322">
      <c r="A581" s="27" t="n"/>
      <c r="B581" s="506" t="n"/>
      <c r="C581" s="141" t="n"/>
      <c r="D581" s="141" t="n"/>
      <c r="E581" s="141" t="n"/>
      <c r="F581" s="141" t="n"/>
      <c r="G581" s="143" t="n"/>
      <c r="H581" s="27" t="n"/>
    </row>
    <row r="582" ht="17.25" customHeight="1" s="322">
      <c r="A582" s="27" t="n"/>
      <c r="B582" s="506" t="n"/>
      <c r="C582" s="141" t="n"/>
      <c r="D582" s="141" t="n"/>
      <c r="E582" s="141" t="n"/>
      <c r="F582" s="141" t="n"/>
      <c r="G582" s="143" t="n"/>
      <c r="H582" s="27" t="n"/>
    </row>
    <row r="583" ht="17.25" customHeight="1" s="322">
      <c r="A583" s="27" t="n"/>
      <c r="B583" s="506" t="n"/>
      <c r="C583" s="141" t="n"/>
      <c r="D583" s="141" t="n"/>
      <c r="E583" s="141" t="n"/>
      <c r="F583" s="141" t="n"/>
      <c r="G583" s="143" t="n"/>
      <c r="H583" s="27" t="n"/>
    </row>
    <row r="584" ht="17.25" customHeight="1" s="322">
      <c r="A584" s="27" t="n"/>
      <c r="B584" s="506" t="n"/>
      <c r="C584" s="141" t="n"/>
      <c r="D584" s="141" t="n"/>
      <c r="E584" s="141" t="n"/>
      <c r="F584" s="141" t="n"/>
      <c r="G584" s="143" t="n"/>
      <c r="H584" s="27" t="n"/>
    </row>
    <row r="585" ht="17.25" customHeight="1" s="322">
      <c r="A585" s="27" t="n"/>
      <c r="B585" s="506" t="n"/>
      <c r="C585" s="141" t="n"/>
      <c r="D585" s="141" t="n"/>
      <c r="E585" s="141" t="n"/>
      <c r="F585" s="141" t="n"/>
      <c r="G585" s="143" t="n"/>
      <c r="H585" s="27" t="n"/>
    </row>
    <row r="586" ht="17.25" customHeight="1" s="322">
      <c r="A586" s="27" t="n"/>
      <c r="B586" s="506" t="n"/>
      <c r="C586" s="141" t="n"/>
      <c r="D586" s="141" t="n"/>
      <c r="E586" s="141" t="n"/>
      <c r="F586" s="141" t="n"/>
      <c r="G586" s="143" t="n"/>
      <c r="H586" s="27" t="n"/>
    </row>
    <row r="587" ht="17.25" customHeight="1" s="322">
      <c r="A587" s="27" t="n"/>
      <c r="B587" s="506" t="n"/>
      <c r="C587" s="141" t="n"/>
      <c r="D587" s="141" t="n"/>
      <c r="E587" s="141" t="n"/>
      <c r="F587" s="141" t="n"/>
      <c r="G587" s="143" t="n"/>
      <c r="H587" s="27" t="n"/>
    </row>
    <row r="588" ht="17.25" customHeight="1" s="322">
      <c r="A588" s="27" t="n"/>
      <c r="B588" s="506" t="n"/>
      <c r="C588" s="141" t="n"/>
      <c r="D588" s="141" t="n"/>
      <c r="E588" s="141" t="n"/>
      <c r="F588" s="141" t="n"/>
      <c r="G588" s="143" t="n"/>
      <c r="H588" s="27" t="n"/>
    </row>
    <row r="589" ht="17.25" customHeight="1" s="322">
      <c r="A589" s="27" t="n"/>
      <c r="B589" s="506" t="n"/>
      <c r="C589" s="141" t="n"/>
      <c r="D589" s="141" t="n"/>
      <c r="E589" s="141" t="n"/>
      <c r="F589" s="141" t="n"/>
      <c r="G589" s="143" t="n"/>
      <c r="H589" s="27" t="n"/>
    </row>
    <row r="590" ht="17.25" customHeight="1" s="322">
      <c r="A590" s="27" t="n"/>
      <c r="B590" s="506" t="n"/>
      <c r="C590" s="141" t="n"/>
      <c r="D590" s="141" t="n"/>
      <c r="E590" s="141" t="n"/>
      <c r="F590" s="141" t="n"/>
      <c r="G590" s="143" t="n"/>
      <c r="H590" s="27" t="n"/>
    </row>
    <row r="591" ht="17.25" customHeight="1" s="322">
      <c r="A591" s="27" t="n"/>
      <c r="B591" s="506" t="n"/>
      <c r="C591" s="141" t="n"/>
      <c r="D591" s="141" t="n"/>
      <c r="E591" s="141" t="n"/>
      <c r="F591" s="141" t="n"/>
      <c r="G591" s="143" t="n"/>
      <c r="H591" s="27" t="n"/>
    </row>
    <row r="592" ht="17.25" customHeight="1" s="322">
      <c r="A592" s="27" t="n"/>
      <c r="B592" s="506" t="n"/>
      <c r="C592" s="141" t="n"/>
      <c r="D592" s="141" t="n"/>
      <c r="E592" s="141" t="n"/>
      <c r="F592" s="141" t="n"/>
      <c r="G592" s="143" t="n"/>
      <c r="H592" s="27" t="n"/>
    </row>
    <row r="593" ht="17.25" customHeight="1" s="322">
      <c r="A593" s="27" t="n"/>
      <c r="B593" s="506" t="n"/>
      <c r="C593" s="141" t="n"/>
      <c r="D593" s="141" t="n"/>
      <c r="E593" s="141" t="n"/>
      <c r="F593" s="141" t="n"/>
      <c r="G593" s="143" t="n"/>
      <c r="H593" s="27" t="n"/>
    </row>
    <row r="594" ht="17.25" customHeight="1" s="322">
      <c r="A594" s="27" t="n"/>
      <c r="B594" s="506" t="n"/>
      <c r="C594" s="141" t="n"/>
      <c r="D594" s="141" t="n"/>
      <c r="E594" s="141" t="n"/>
      <c r="F594" s="141" t="n"/>
      <c r="G594" s="143" t="n"/>
      <c r="H594" s="27" t="n"/>
    </row>
    <row r="595" ht="17.25" customHeight="1" s="322">
      <c r="A595" s="27" t="n"/>
      <c r="B595" s="506" t="n"/>
      <c r="C595" s="141" t="n"/>
      <c r="D595" s="141" t="n"/>
      <c r="E595" s="141" t="n"/>
      <c r="F595" s="141" t="n"/>
      <c r="G595" s="143" t="n"/>
      <c r="H595" s="27" t="n"/>
    </row>
    <row r="596" ht="17.25" customHeight="1" s="322">
      <c r="A596" s="27" t="n"/>
      <c r="B596" s="506" t="n"/>
      <c r="C596" s="141" t="n"/>
      <c r="D596" s="141" t="n"/>
      <c r="E596" s="141" t="n"/>
      <c r="F596" s="141" t="n"/>
      <c r="G596" s="143" t="n"/>
      <c r="H596" s="27" t="n"/>
    </row>
    <row r="597" ht="17.25" customHeight="1" s="322">
      <c r="A597" s="27" t="n"/>
      <c r="B597" s="506" t="n"/>
      <c r="C597" s="141" t="n"/>
      <c r="D597" s="141" t="n"/>
      <c r="E597" s="141" t="n"/>
      <c r="F597" s="141" t="n"/>
      <c r="G597" s="143" t="n"/>
      <c r="H597" s="27" t="n"/>
    </row>
    <row r="598" ht="17.25" customHeight="1" s="322">
      <c r="A598" s="27" t="n"/>
      <c r="B598" s="506" t="n"/>
      <c r="C598" s="141" t="n"/>
      <c r="D598" s="141" t="n"/>
      <c r="E598" s="141" t="n"/>
      <c r="F598" s="141" t="n"/>
      <c r="G598" s="143" t="n"/>
      <c r="H598" s="27" t="n"/>
    </row>
    <row r="599" ht="17.25" customHeight="1" s="322">
      <c r="A599" s="27" t="n"/>
      <c r="B599" s="506" t="n"/>
      <c r="C599" s="141" t="n"/>
      <c r="D599" s="141" t="n"/>
      <c r="E599" s="141" t="n"/>
      <c r="F599" s="141" t="n"/>
      <c r="G599" s="143" t="n"/>
      <c r="H599" s="27" t="n"/>
    </row>
    <row r="600" ht="17.25" customHeight="1" s="322">
      <c r="A600" s="27" t="n"/>
      <c r="B600" s="506" t="n"/>
      <c r="C600" s="141" t="n"/>
      <c r="D600" s="141" t="n"/>
      <c r="E600" s="141" t="n"/>
      <c r="F600" s="141" t="n"/>
      <c r="G600" s="143" t="n"/>
      <c r="H600" s="27" t="n"/>
    </row>
    <row r="601" ht="17.25" customHeight="1" s="322">
      <c r="A601" s="27" t="n"/>
      <c r="B601" s="506" t="n"/>
      <c r="C601" s="141" t="n"/>
      <c r="D601" s="141" t="n"/>
      <c r="E601" s="141" t="n"/>
      <c r="F601" s="141" t="n"/>
      <c r="G601" s="143" t="n"/>
      <c r="H601" s="27" t="n"/>
    </row>
    <row r="602" ht="17.25" customHeight="1" s="322">
      <c r="A602" s="27" t="n"/>
      <c r="B602" s="506" t="n"/>
      <c r="C602" s="141" t="n"/>
      <c r="D602" s="141" t="n"/>
      <c r="E602" s="141" t="n"/>
      <c r="F602" s="141" t="n"/>
      <c r="G602" s="143" t="n"/>
      <c r="H602" s="27" t="n"/>
    </row>
    <row r="603" ht="17.25" customHeight="1" s="322">
      <c r="A603" s="27" t="n"/>
      <c r="B603" s="506" t="n"/>
      <c r="C603" s="141" t="n"/>
      <c r="D603" s="141" t="n"/>
      <c r="E603" s="141" t="n"/>
      <c r="F603" s="141" t="n"/>
      <c r="G603" s="143" t="n"/>
      <c r="H603" s="27" t="n"/>
    </row>
    <row r="604" ht="17.25" customHeight="1" s="322">
      <c r="A604" s="27" t="n"/>
      <c r="B604" s="506" t="n"/>
      <c r="C604" s="141" t="n"/>
      <c r="D604" s="141" t="n"/>
      <c r="E604" s="141" t="n"/>
      <c r="F604" s="141" t="n"/>
      <c r="G604" s="143" t="n"/>
      <c r="H604" s="27" t="n"/>
    </row>
    <row r="605" ht="17.25" customHeight="1" s="322">
      <c r="A605" s="27" t="n"/>
      <c r="B605" s="506" t="n"/>
      <c r="C605" s="141" t="n"/>
      <c r="D605" s="141" t="n"/>
      <c r="E605" s="141" t="n"/>
      <c r="F605" s="141" t="n"/>
      <c r="G605" s="143" t="n"/>
      <c r="H605" s="27" t="n"/>
    </row>
    <row r="606" ht="17.25" customHeight="1" s="322">
      <c r="A606" s="27" t="n"/>
      <c r="B606" s="506" t="n"/>
      <c r="C606" s="141" t="n"/>
      <c r="D606" s="141" t="n"/>
      <c r="E606" s="141" t="n"/>
      <c r="F606" s="141" t="n"/>
      <c r="G606" s="143" t="n"/>
      <c r="H606" s="27" t="n"/>
    </row>
    <row r="607" ht="17.25" customHeight="1" s="322">
      <c r="A607" s="27" t="n"/>
      <c r="B607" s="506" t="n"/>
      <c r="C607" s="141" t="n"/>
      <c r="D607" s="141" t="n"/>
      <c r="E607" s="141" t="n"/>
      <c r="F607" s="141" t="n"/>
      <c r="G607" s="143" t="n"/>
      <c r="H607" s="27" t="n"/>
    </row>
    <row r="608" ht="17.25" customHeight="1" s="322">
      <c r="A608" s="27" t="n"/>
      <c r="B608" s="506" t="n"/>
      <c r="C608" s="141" t="n"/>
      <c r="D608" s="141" t="n"/>
      <c r="E608" s="141" t="n"/>
      <c r="F608" s="141" t="n"/>
      <c r="G608" s="143" t="n"/>
      <c r="H608" s="27" t="n"/>
    </row>
    <row r="609" ht="17.25" customHeight="1" s="322">
      <c r="A609" s="27" t="n"/>
      <c r="B609" s="506" t="n"/>
      <c r="C609" s="141" t="n"/>
      <c r="D609" s="141" t="n"/>
      <c r="E609" s="141" t="n"/>
      <c r="F609" s="141" t="n"/>
      <c r="G609" s="143" t="n"/>
      <c r="H609" s="27" t="n"/>
    </row>
    <row r="610" ht="17.25" customHeight="1" s="322">
      <c r="A610" s="27" t="n"/>
      <c r="B610" s="506" t="n"/>
      <c r="C610" s="141" t="n"/>
      <c r="D610" s="141" t="n"/>
      <c r="E610" s="141" t="n"/>
      <c r="F610" s="141" t="n"/>
      <c r="G610" s="143" t="n"/>
      <c r="H610" s="27" t="n"/>
    </row>
    <row r="611" ht="17.25" customHeight="1" s="322">
      <c r="A611" s="27" t="n"/>
      <c r="B611" s="506" t="n"/>
      <c r="C611" s="141" t="n"/>
      <c r="D611" s="141" t="n"/>
      <c r="E611" s="141" t="n"/>
      <c r="F611" s="141" t="n"/>
      <c r="G611" s="143" t="n"/>
      <c r="H611" s="27" t="n"/>
    </row>
    <row r="612" ht="17.25" customHeight="1" s="322">
      <c r="A612" s="27" t="n"/>
      <c r="B612" s="506" t="n"/>
      <c r="C612" s="141" t="n"/>
      <c r="D612" s="141" t="n"/>
      <c r="E612" s="141" t="n"/>
      <c r="F612" s="141" t="n"/>
      <c r="G612" s="143" t="n"/>
      <c r="H612" s="27" t="n"/>
    </row>
    <row r="613" ht="17.25" customHeight="1" s="322">
      <c r="A613" s="27" t="n"/>
      <c r="B613" s="506" t="n"/>
      <c r="C613" s="141" t="n"/>
      <c r="D613" s="141" t="n"/>
      <c r="E613" s="141" t="n"/>
      <c r="F613" s="141" t="n"/>
      <c r="G613" s="143" t="n"/>
      <c r="H613" s="27" t="n"/>
    </row>
    <row r="614" ht="17.25" customHeight="1" s="322">
      <c r="A614" s="27" t="n"/>
      <c r="B614" s="506" t="n"/>
      <c r="C614" s="141" t="n"/>
      <c r="D614" s="141" t="n"/>
      <c r="E614" s="141" t="n"/>
      <c r="F614" s="141" t="n"/>
      <c r="G614" s="143" t="n"/>
      <c r="H614" s="27" t="n"/>
    </row>
    <row r="615" ht="17.25" customHeight="1" s="322">
      <c r="A615" s="27" t="n"/>
      <c r="B615" s="506" t="n"/>
      <c r="C615" s="141" t="n"/>
      <c r="D615" s="141" t="n"/>
      <c r="E615" s="141" t="n"/>
      <c r="F615" s="141" t="n"/>
      <c r="G615" s="143" t="n"/>
      <c r="H615" s="27" t="n"/>
    </row>
    <row r="616" ht="17.25" customHeight="1" s="322">
      <c r="A616" s="27" t="n"/>
      <c r="B616" s="506" t="n"/>
      <c r="C616" s="141" t="n"/>
      <c r="D616" s="141" t="n"/>
      <c r="E616" s="141" t="n"/>
      <c r="F616" s="141" t="n"/>
      <c r="G616" s="143" t="n"/>
      <c r="H616" s="27" t="n"/>
    </row>
    <row r="617" ht="17.25" customHeight="1" s="322">
      <c r="A617" s="27" t="n"/>
      <c r="B617" s="506" t="n"/>
      <c r="C617" s="141" t="n"/>
      <c r="D617" s="141" t="n"/>
      <c r="E617" s="141" t="n"/>
      <c r="F617" s="141" t="n"/>
      <c r="G617" s="143" t="n"/>
      <c r="H617" s="27" t="n"/>
    </row>
    <row r="618" ht="17.25" customHeight="1" s="322">
      <c r="A618" s="27" t="n"/>
      <c r="B618" s="506" t="n"/>
      <c r="C618" s="141" t="n"/>
      <c r="D618" s="141" t="n"/>
      <c r="E618" s="141" t="n"/>
      <c r="F618" s="141" t="n"/>
      <c r="G618" s="143" t="n"/>
      <c r="H618" s="27" t="n"/>
    </row>
    <row r="619" ht="17.25" customHeight="1" s="322">
      <c r="A619" s="27" t="n"/>
      <c r="B619" s="506" t="n"/>
      <c r="C619" s="141" t="n"/>
      <c r="D619" s="141" t="n"/>
      <c r="E619" s="141" t="n"/>
      <c r="F619" s="141" t="n"/>
      <c r="G619" s="143" t="n"/>
      <c r="H619" s="27" t="n"/>
    </row>
    <row r="620" ht="17.25" customHeight="1" s="322">
      <c r="A620" s="27" t="n"/>
      <c r="B620" s="506" t="n"/>
      <c r="C620" s="141" t="n"/>
      <c r="D620" s="141" t="n"/>
      <c r="E620" s="141" t="n"/>
      <c r="F620" s="141" t="n"/>
      <c r="G620" s="143" t="n"/>
      <c r="H620" s="27" t="n"/>
    </row>
    <row r="621" ht="17.25" customHeight="1" s="322">
      <c r="A621" s="27" t="n"/>
      <c r="B621" s="506" t="n"/>
      <c r="C621" s="141" t="n"/>
      <c r="D621" s="141" t="n"/>
      <c r="E621" s="141" t="n"/>
      <c r="F621" s="141" t="n"/>
      <c r="G621" s="143" t="n"/>
      <c r="H621" s="27" t="n"/>
    </row>
    <row r="622" ht="17.25" customHeight="1" s="322">
      <c r="A622" s="27" t="n"/>
      <c r="B622" s="506" t="n"/>
      <c r="C622" s="141" t="n"/>
      <c r="D622" s="141" t="n"/>
      <c r="E622" s="141" t="n"/>
      <c r="F622" s="141" t="n"/>
      <c r="G622" s="143" t="n"/>
      <c r="H622" s="27" t="n"/>
    </row>
    <row r="623" ht="17.25" customHeight="1" s="322">
      <c r="A623" s="27" t="n"/>
      <c r="B623" s="506" t="n"/>
      <c r="C623" s="141" t="n"/>
      <c r="D623" s="141" t="n"/>
      <c r="E623" s="141" t="n"/>
      <c r="F623" s="141" t="n"/>
      <c r="G623" s="143" t="n"/>
      <c r="H623" s="27" t="n"/>
    </row>
    <row r="624" ht="17.25" customHeight="1" s="322">
      <c r="A624" s="27" t="n"/>
      <c r="B624" s="506" t="n"/>
      <c r="C624" s="141" t="n"/>
      <c r="D624" s="141" t="n"/>
      <c r="E624" s="141" t="n"/>
      <c r="F624" s="141" t="n"/>
      <c r="G624" s="143" t="n"/>
      <c r="H624" s="27" t="n"/>
    </row>
    <row r="625" ht="17.25" customHeight="1" s="322">
      <c r="A625" s="27" t="n"/>
      <c r="B625" s="506" t="n"/>
      <c r="C625" s="141" t="n"/>
      <c r="D625" s="141" t="n"/>
      <c r="E625" s="141" t="n"/>
      <c r="F625" s="141" t="n"/>
      <c r="G625" s="143" t="n"/>
      <c r="H625" s="27" t="n"/>
    </row>
    <row r="626" ht="17.25" customHeight="1" s="322">
      <c r="A626" s="27" t="n"/>
      <c r="B626" s="506" t="n"/>
      <c r="C626" s="141" t="n"/>
      <c r="D626" s="141" t="n"/>
      <c r="E626" s="141" t="n"/>
      <c r="F626" s="141" t="n"/>
      <c r="G626" s="143" t="n"/>
      <c r="H626" s="27" t="n"/>
    </row>
    <row r="627" ht="17.25" customHeight="1" s="322">
      <c r="A627" s="27" t="n"/>
      <c r="B627" s="506" t="n"/>
      <c r="C627" s="141" t="n"/>
      <c r="D627" s="141" t="n"/>
      <c r="E627" s="141" t="n"/>
      <c r="F627" s="141" t="n"/>
      <c r="G627" s="143" t="n"/>
      <c r="H627" s="27" t="n"/>
    </row>
    <row r="628" ht="17.25" customHeight="1" s="322">
      <c r="A628" s="27" t="n"/>
      <c r="B628" s="506" t="n"/>
      <c r="C628" s="141" t="n"/>
      <c r="D628" s="141" t="n"/>
      <c r="E628" s="141" t="n"/>
      <c r="F628" s="141" t="n"/>
      <c r="G628" s="143" t="n"/>
      <c r="H628" s="27" t="n"/>
    </row>
    <row r="629" ht="17.25" customHeight="1" s="322">
      <c r="A629" s="27" t="n"/>
      <c r="B629" s="506" t="n"/>
      <c r="C629" s="141" t="n"/>
      <c r="D629" s="141" t="n"/>
      <c r="E629" s="141" t="n"/>
      <c r="F629" s="141" t="n"/>
      <c r="G629" s="143" t="n"/>
      <c r="H629" s="27" t="n"/>
    </row>
    <row r="630" ht="17.25" customHeight="1" s="322">
      <c r="A630" s="27" t="n"/>
      <c r="B630" s="506" t="n"/>
      <c r="C630" s="141" t="n"/>
      <c r="D630" s="141" t="n"/>
      <c r="E630" s="141" t="n"/>
      <c r="F630" s="141" t="n"/>
      <c r="G630" s="143" t="n"/>
      <c r="H630" s="27" t="n"/>
    </row>
    <row r="631" ht="17.25" customHeight="1" s="322">
      <c r="A631" s="27" t="n"/>
      <c r="B631" s="506" t="n"/>
      <c r="C631" s="141" t="n"/>
      <c r="D631" s="141" t="n"/>
      <c r="E631" s="141" t="n"/>
      <c r="F631" s="141" t="n"/>
      <c r="G631" s="143" t="n"/>
      <c r="H631" s="27" t="n"/>
    </row>
    <row r="632" ht="17.25" customHeight="1" s="322">
      <c r="A632" s="27" t="n"/>
      <c r="B632" s="506" t="n"/>
      <c r="C632" s="141" t="n"/>
      <c r="D632" s="141" t="n"/>
      <c r="E632" s="141" t="n"/>
      <c r="F632" s="141" t="n"/>
      <c r="G632" s="143" t="n"/>
      <c r="H632" s="27" t="n"/>
    </row>
    <row r="633" ht="17.25" customHeight="1" s="322">
      <c r="A633" s="27" t="n"/>
      <c r="B633" s="506" t="n"/>
      <c r="C633" s="141" t="n"/>
      <c r="D633" s="141" t="n"/>
      <c r="E633" s="141" t="n"/>
      <c r="F633" s="141" t="n"/>
      <c r="G633" s="143" t="n"/>
      <c r="H633" s="27" t="n"/>
    </row>
    <row r="634" ht="17.25" customHeight="1" s="322">
      <c r="A634" s="27" t="n"/>
      <c r="B634" s="506" t="n"/>
      <c r="C634" s="141" t="n"/>
      <c r="D634" s="141" t="n"/>
      <c r="E634" s="141" t="n"/>
      <c r="F634" s="141" t="n"/>
      <c r="G634" s="143" t="n"/>
      <c r="H634" s="27" t="n"/>
    </row>
    <row r="635" ht="17.25" customHeight="1" s="322">
      <c r="A635" s="27" t="n"/>
      <c r="B635" s="506" t="n"/>
      <c r="C635" s="141" t="n"/>
      <c r="D635" s="141" t="n"/>
      <c r="E635" s="141" t="n"/>
      <c r="F635" s="141" t="n"/>
      <c r="G635" s="143" t="n"/>
      <c r="H635" s="27" t="n"/>
    </row>
    <row r="636" ht="17.25" customHeight="1" s="322">
      <c r="A636" s="27" t="n"/>
      <c r="B636" s="506" t="n"/>
      <c r="C636" s="141" t="n"/>
      <c r="D636" s="141" t="n"/>
      <c r="E636" s="141" t="n"/>
      <c r="F636" s="141" t="n"/>
      <c r="G636" s="143" t="n"/>
      <c r="H636" s="27" t="n"/>
    </row>
    <row r="637" ht="17.25" customHeight="1" s="322">
      <c r="A637" s="27" t="n"/>
      <c r="B637" s="506" t="n"/>
      <c r="C637" s="141" t="n"/>
      <c r="D637" s="141" t="n"/>
      <c r="E637" s="141" t="n"/>
      <c r="F637" s="141" t="n"/>
      <c r="G637" s="143" t="n"/>
      <c r="H637" s="27" t="n"/>
    </row>
    <row r="638" ht="17.25" customHeight="1" s="322">
      <c r="A638" s="27" t="n"/>
      <c r="B638" s="506" t="n"/>
      <c r="C638" s="141" t="n"/>
      <c r="D638" s="141" t="n"/>
      <c r="E638" s="141" t="n"/>
      <c r="F638" s="141" t="n"/>
      <c r="G638" s="143" t="n"/>
      <c r="H638" s="27" t="n"/>
    </row>
    <row r="639" ht="17.25" customHeight="1" s="322">
      <c r="A639" s="27" t="n"/>
      <c r="B639" s="506" t="n"/>
      <c r="C639" s="141" t="n"/>
      <c r="D639" s="141" t="n"/>
      <c r="E639" s="141" t="n"/>
      <c r="F639" s="141" t="n"/>
      <c r="G639" s="143" t="n"/>
      <c r="H639" s="27" t="n"/>
    </row>
    <row r="640" ht="17.25" customHeight="1" s="322">
      <c r="A640" s="27" t="n"/>
      <c r="B640" s="506" t="n"/>
      <c r="C640" s="141" t="n"/>
      <c r="D640" s="141" t="n"/>
      <c r="E640" s="141" t="n"/>
      <c r="F640" s="141" t="n"/>
      <c r="G640" s="143" t="n"/>
      <c r="H640" s="27" t="n"/>
    </row>
    <row r="641" ht="17.25" customHeight="1" s="322">
      <c r="A641" s="27" t="n"/>
      <c r="B641" s="506" t="n"/>
      <c r="C641" s="141" t="n"/>
      <c r="D641" s="141" t="n"/>
      <c r="E641" s="141" t="n"/>
      <c r="F641" s="141" t="n"/>
      <c r="G641" s="143" t="n"/>
      <c r="H641" s="27" t="n"/>
    </row>
    <row r="642" ht="17.25" customHeight="1" s="322">
      <c r="A642" s="27" t="n"/>
      <c r="B642" s="506" t="n"/>
      <c r="C642" s="141" t="n"/>
      <c r="D642" s="141" t="n"/>
      <c r="E642" s="141" t="n"/>
      <c r="F642" s="141" t="n"/>
      <c r="G642" s="143" t="n"/>
      <c r="H642" s="27" t="n"/>
    </row>
    <row r="643" ht="17.25" customHeight="1" s="322">
      <c r="A643" s="27" t="n"/>
      <c r="B643" s="506" t="n"/>
      <c r="C643" s="141" t="n"/>
      <c r="D643" s="141" t="n"/>
      <c r="E643" s="141" t="n"/>
      <c r="F643" s="141" t="n"/>
      <c r="G643" s="143" t="n"/>
      <c r="H643" s="27" t="n"/>
    </row>
    <row r="644" ht="17.25" customHeight="1" s="322">
      <c r="A644" s="27" t="n"/>
      <c r="B644" s="506" t="n"/>
      <c r="C644" s="141" t="n"/>
      <c r="D644" s="141" t="n"/>
      <c r="E644" s="141" t="n"/>
      <c r="F644" s="141" t="n"/>
      <c r="G644" s="143" t="n"/>
      <c r="H644" s="27" t="n"/>
    </row>
    <row r="645" ht="17.25" customHeight="1" s="322">
      <c r="A645" s="27" t="n"/>
      <c r="B645" s="506" t="n"/>
      <c r="C645" s="141" t="n"/>
      <c r="D645" s="141" t="n"/>
      <c r="E645" s="141" t="n"/>
      <c r="F645" s="141" t="n"/>
      <c r="G645" s="143" t="n"/>
      <c r="H645" s="27" t="n"/>
    </row>
    <row r="646" ht="17.25" customHeight="1" s="322">
      <c r="A646" s="27" t="n"/>
      <c r="B646" s="506" t="n"/>
      <c r="C646" s="141" t="n"/>
      <c r="D646" s="141" t="n"/>
      <c r="E646" s="141" t="n"/>
      <c r="F646" s="141" t="n"/>
      <c r="G646" s="143" t="n"/>
      <c r="H646" s="27" t="n"/>
    </row>
    <row r="647" ht="17.25" customHeight="1" s="322">
      <c r="A647" s="27" t="n"/>
      <c r="B647" s="506" t="n"/>
      <c r="C647" s="141" t="n"/>
      <c r="D647" s="141" t="n"/>
      <c r="E647" s="141" t="n"/>
      <c r="F647" s="141" t="n"/>
      <c r="G647" s="143" t="n"/>
      <c r="H647" s="27" t="n"/>
    </row>
    <row r="648" ht="17.25" customHeight="1" s="322">
      <c r="A648" s="27" t="n"/>
      <c r="B648" s="506" t="n"/>
      <c r="C648" s="141" t="n"/>
      <c r="D648" s="141" t="n"/>
      <c r="E648" s="141" t="n"/>
      <c r="F648" s="141" t="n"/>
      <c r="G648" s="143" t="n"/>
      <c r="H648" s="27" t="n"/>
    </row>
    <row r="649" ht="17.25" customHeight="1" s="322">
      <c r="A649" s="27" t="n"/>
      <c r="B649" s="506" t="n"/>
      <c r="C649" s="141" t="n"/>
      <c r="D649" s="141" t="n"/>
      <c r="E649" s="141" t="n"/>
      <c r="F649" s="141" t="n"/>
      <c r="G649" s="143" t="n"/>
      <c r="H649" s="27" t="n"/>
    </row>
    <row r="650" ht="17.25" customHeight="1" s="322">
      <c r="A650" s="27" t="n"/>
      <c r="B650" s="506" t="n"/>
      <c r="C650" s="141" t="n"/>
      <c r="D650" s="141" t="n"/>
      <c r="E650" s="141" t="n"/>
      <c r="F650" s="141" t="n"/>
      <c r="G650" s="143" t="n"/>
      <c r="H650" s="27" t="n"/>
    </row>
    <row r="651" ht="17.25" customHeight="1" s="322">
      <c r="A651" s="27" t="n"/>
      <c r="B651" s="506" t="n"/>
      <c r="C651" s="141" t="n"/>
      <c r="D651" s="141" t="n"/>
      <c r="E651" s="141" t="n"/>
      <c r="F651" s="141" t="n"/>
      <c r="G651" s="143" t="n"/>
      <c r="H651" s="27" t="n"/>
    </row>
    <row r="652" ht="17.25" customHeight="1" s="322">
      <c r="A652" s="27" t="n"/>
      <c r="B652" s="506" t="n"/>
      <c r="C652" s="141" t="n"/>
      <c r="D652" s="141" t="n"/>
      <c r="E652" s="141" t="n"/>
      <c r="F652" s="141" t="n"/>
      <c r="G652" s="143" t="n"/>
      <c r="H652" s="27" t="n"/>
    </row>
    <row r="653" ht="17.25" customHeight="1" s="322">
      <c r="A653" s="27" t="n"/>
      <c r="B653" s="506" t="n"/>
      <c r="C653" s="141" t="n"/>
      <c r="D653" s="141" t="n"/>
      <c r="E653" s="141" t="n"/>
      <c r="F653" s="141" t="n"/>
      <c r="G653" s="143" t="n"/>
      <c r="H653" s="27" t="n"/>
    </row>
    <row r="654" ht="17.25" customHeight="1" s="322">
      <c r="A654" s="27" t="n"/>
      <c r="B654" s="506" t="n"/>
      <c r="C654" s="141" t="n"/>
      <c r="D654" s="141" t="n"/>
      <c r="E654" s="141" t="n"/>
      <c r="F654" s="141" t="n"/>
      <c r="G654" s="143" t="n"/>
      <c r="H654" s="27" t="n"/>
    </row>
    <row r="655" ht="17.25" customHeight="1" s="322">
      <c r="A655" s="27" t="n"/>
      <c r="B655" s="506" t="n"/>
      <c r="C655" s="141" t="n"/>
      <c r="D655" s="141" t="n"/>
      <c r="E655" s="141" t="n"/>
      <c r="F655" s="141" t="n"/>
      <c r="G655" s="143" t="n"/>
      <c r="H655" s="27" t="n"/>
    </row>
    <row r="656" ht="17.25" customHeight="1" s="322">
      <c r="A656" s="27" t="n"/>
      <c r="B656" s="506" t="n"/>
      <c r="C656" s="141" t="n"/>
      <c r="D656" s="141" t="n"/>
      <c r="E656" s="141" t="n"/>
      <c r="F656" s="141" t="n"/>
      <c r="G656" s="143" t="n"/>
      <c r="H656" s="27" t="n"/>
    </row>
    <row r="657" ht="17.25" customHeight="1" s="322">
      <c r="A657" s="27" t="n"/>
      <c r="B657" s="506" t="n"/>
      <c r="C657" s="141" t="n"/>
      <c r="D657" s="141" t="n"/>
      <c r="E657" s="141" t="n"/>
      <c r="F657" s="141" t="n"/>
      <c r="G657" s="143" t="n"/>
      <c r="H657" s="27" t="n"/>
    </row>
    <row r="658" ht="17.25" customHeight="1" s="322">
      <c r="A658" s="27" t="n"/>
      <c r="B658" s="506" t="n"/>
      <c r="C658" s="141" t="n"/>
      <c r="D658" s="141" t="n"/>
      <c r="E658" s="141" t="n"/>
      <c r="F658" s="141" t="n"/>
      <c r="G658" s="143" t="n"/>
      <c r="H658" s="27" t="n"/>
    </row>
    <row r="659" ht="17.25" customHeight="1" s="322">
      <c r="A659" s="27" t="n"/>
      <c r="B659" s="506" t="n"/>
      <c r="C659" s="141" t="n"/>
      <c r="D659" s="141" t="n"/>
      <c r="E659" s="141" t="n"/>
      <c r="F659" s="141" t="n"/>
      <c r="G659" s="143" t="n"/>
      <c r="H659" s="27" t="n"/>
    </row>
    <row r="660" ht="17.25" customHeight="1" s="322">
      <c r="A660" s="27" t="n"/>
      <c r="B660" s="506" t="n"/>
      <c r="C660" s="141" t="n"/>
      <c r="D660" s="141" t="n"/>
      <c r="E660" s="141" t="n"/>
      <c r="F660" s="141" t="n"/>
      <c r="G660" s="143" t="n"/>
      <c r="H660" s="27" t="n"/>
    </row>
    <row r="661" ht="17.25" customHeight="1" s="322">
      <c r="A661" s="27" t="n"/>
      <c r="B661" s="506" t="n"/>
      <c r="C661" s="141" t="n"/>
      <c r="D661" s="141" t="n"/>
      <c r="E661" s="141" t="n"/>
      <c r="F661" s="141" t="n"/>
      <c r="G661" s="143" t="n"/>
      <c r="H661" s="27" t="n"/>
    </row>
    <row r="662" ht="17.25" customHeight="1" s="322">
      <c r="A662" s="27" t="n"/>
      <c r="B662" s="506" t="n"/>
      <c r="C662" s="141" t="n"/>
      <c r="D662" s="141" t="n"/>
      <c r="E662" s="141" t="n"/>
      <c r="F662" s="141" t="n"/>
      <c r="G662" s="143" t="n"/>
      <c r="H662" s="27" t="n"/>
    </row>
    <row r="663" ht="17.25" customHeight="1" s="322">
      <c r="A663" s="27" t="n"/>
      <c r="B663" s="506" t="n"/>
      <c r="C663" s="141" t="n"/>
      <c r="D663" s="141" t="n"/>
      <c r="E663" s="141" t="n"/>
      <c r="F663" s="141" t="n"/>
      <c r="G663" s="143" t="n"/>
      <c r="H663" s="27" t="n"/>
    </row>
    <row r="664" ht="17.25" customHeight="1" s="322">
      <c r="A664" s="27" t="n"/>
      <c r="B664" s="506" t="n"/>
      <c r="C664" s="141" t="n"/>
      <c r="D664" s="141" t="n"/>
      <c r="E664" s="141" t="n"/>
      <c r="F664" s="141" t="n"/>
      <c r="G664" s="143" t="n"/>
      <c r="H664" s="27" t="n"/>
    </row>
    <row r="665" ht="17.25" customHeight="1" s="322">
      <c r="A665" s="27" t="n"/>
      <c r="B665" s="506" t="n"/>
      <c r="C665" s="141" t="n"/>
      <c r="D665" s="141" t="n"/>
      <c r="E665" s="141" t="n"/>
      <c r="F665" s="141" t="n"/>
      <c r="G665" s="143" t="n"/>
      <c r="H665" s="27" t="n"/>
    </row>
    <row r="666" ht="17.25" customHeight="1" s="322">
      <c r="A666" s="27" t="n"/>
      <c r="B666" s="506" t="n"/>
      <c r="C666" s="141" t="n"/>
      <c r="D666" s="141" t="n"/>
      <c r="E666" s="141" t="n"/>
      <c r="F666" s="141" t="n"/>
      <c r="G666" s="143" t="n"/>
      <c r="H666" s="27" t="n"/>
    </row>
    <row r="667" ht="17.25" customHeight="1" s="322">
      <c r="A667" s="27" t="n"/>
      <c r="B667" s="506" t="n"/>
      <c r="C667" s="141" t="n"/>
      <c r="D667" s="141" t="n"/>
      <c r="E667" s="141" t="n"/>
      <c r="F667" s="141" t="n"/>
      <c r="G667" s="143" t="n"/>
      <c r="H667" s="27" t="n"/>
    </row>
    <row r="668" ht="17.25" customHeight="1" s="322">
      <c r="A668" s="27" t="n"/>
      <c r="B668" s="506" t="n"/>
      <c r="C668" s="141" t="n"/>
      <c r="D668" s="141" t="n"/>
      <c r="E668" s="141" t="n"/>
      <c r="F668" s="141" t="n"/>
      <c r="G668" s="143" t="n"/>
      <c r="H668" s="27" t="n"/>
    </row>
    <row r="669" ht="17.25" customHeight="1" s="322">
      <c r="A669" s="27" t="n"/>
      <c r="B669" s="506" t="n"/>
      <c r="C669" s="141" t="n"/>
      <c r="D669" s="141" t="n"/>
      <c r="E669" s="141" t="n"/>
      <c r="F669" s="141" t="n"/>
      <c r="G669" s="143" t="n"/>
      <c r="H669" s="27" t="n"/>
    </row>
    <row r="670" ht="17.25" customHeight="1" s="322">
      <c r="A670" s="27" t="n"/>
      <c r="B670" s="506" t="n"/>
      <c r="C670" s="141" t="n"/>
      <c r="D670" s="141" t="n"/>
      <c r="E670" s="141" t="n"/>
      <c r="F670" s="141" t="n"/>
      <c r="G670" s="143" t="n"/>
      <c r="H670" s="27" t="n"/>
    </row>
    <row r="671" ht="17.25" customHeight="1" s="322">
      <c r="A671" s="27" t="n"/>
      <c r="B671" s="506" t="n"/>
      <c r="C671" s="141" t="n"/>
      <c r="D671" s="141" t="n"/>
      <c r="E671" s="141" t="n"/>
      <c r="F671" s="141" t="n"/>
      <c r="G671" s="143" t="n"/>
      <c r="H671" s="27" t="n"/>
    </row>
    <row r="672" ht="17.25" customHeight="1" s="322">
      <c r="A672" s="27" t="n"/>
      <c r="B672" s="506" t="n"/>
      <c r="C672" s="141" t="n"/>
      <c r="D672" s="141" t="n"/>
      <c r="E672" s="141" t="n"/>
      <c r="F672" s="141" t="n"/>
      <c r="G672" s="143" t="n"/>
      <c r="H672" s="27" t="n"/>
    </row>
    <row r="673" ht="17.25" customHeight="1" s="322">
      <c r="A673" s="27" t="n"/>
      <c r="B673" s="506" t="n"/>
      <c r="C673" s="141" t="n"/>
      <c r="D673" s="141" t="n"/>
      <c r="E673" s="141" t="n"/>
      <c r="F673" s="141" t="n"/>
      <c r="G673" s="143" t="n"/>
      <c r="H673" s="27" t="n"/>
    </row>
    <row r="674" ht="17.25" customHeight="1" s="322">
      <c r="A674" s="27" t="n"/>
      <c r="B674" s="506" t="n"/>
      <c r="C674" s="141" t="n"/>
      <c r="D674" s="141" t="n"/>
      <c r="E674" s="141" t="n"/>
      <c r="F674" s="141" t="n"/>
      <c r="G674" s="143" t="n"/>
      <c r="H674" s="27" t="n"/>
    </row>
    <row r="675" ht="17.25" customHeight="1" s="322">
      <c r="A675" s="27" t="n"/>
      <c r="B675" s="506" t="n"/>
      <c r="C675" s="141" t="n"/>
      <c r="D675" s="141" t="n"/>
      <c r="E675" s="141" t="n"/>
      <c r="F675" s="141" t="n"/>
      <c r="G675" s="143" t="n"/>
      <c r="H675" s="27" t="n"/>
    </row>
    <row r="676" ht="17.25" customHeight="1" s="322">
      <c r="A676" s="27" t="n"/>
      <c r="B676" s="506" t="n"/>
      <c r="C676" s="141" t="n"/>
      <c r="D676" s="141" t="n"/>
      <c r="E676" s="141" t="n"/>
      <c r="F676" s="141" t="n"/>
      <c r="G676" s="143" t="n"/>
      <c r="H676" s="27" t="n"/>
    </row>
    <row r="677" ht="17.25" customHeight="1" s="322">
      <c r="A677" s="27" t="n"/>
      <c r="B677" s="506" t="n"/>
      <c r="C677" s="141" t="n"/>
      <c r="D677" s="141" t="n"/>
      <c r="E677" s="141" t="n"/>
      <c r="F677" s="141" t="n"/>
      <c r="G677" s="143" t="n"/>
      <c r="H677" s="27" t="n"/>
    </row>
    <row r="678" ht="17.25" customHeight="1" s="322">
      <c r="A678" s="27" t="n"/>
      <c r="B678" s="506" t="n"/>
      <c r="C678" s="141" t="n"/>
      <c r="D678" s="141" t="n"/>
      <c r="E678" s="141" t="n"/>
      <c r="F678" s="141" t="n"/>
      <c r="G678" s="143" t="n"/>
      <c r="H678" s="27" t="n"/>
    </row>
    <row r="679" ht="17.25" customHeight="1" s="322">
      <c r="A679" s="27" t="n"/>
      <c r="B679" s="506" t="n"/>
      <c r="C679" s="141" t="n"/>
      <c r="D679" s="141" t="n"/>
      <c r="E679" s="141" t="n"/>
      <c r="F679" s="141" t="n"/>
      <c r="G679" s="143" t="n"/>
      <c r="H679" s="27" t="n"/>
    </row>
    <row r="680" ht="17.25" customHeight="1" s="322">
      <c r="A680" s="27" t="n"/>
      <c r="B680" s="506" t="n"/>
      <c r="C680" s="141" t="n"/>
      <c r="D680" s="141" t="n"/>
      <c r="E680" s="141" t="n"/>
      <c r="F680" s="141" t="n"/>
      <c r="G680" s="143" t="n"/>
      <c r="H680" s="27" t="n"/>
    </row>
    <row r="681" ht="17.25" customHeight="1" s="322">
      <c r="A681" s="27" t="n"/>
      <c r="B681" s="506" t="n"/>
      <c r="C681" s="141" t="n"/>
      <c r="D681" s="141" t="n"/>
      <c r="E681" s="141" t="n"/>
      <c r="F681" s="141" t="n"/>
      <c r="G681" s="143" t="n"/>
      <c r="H681" s="27" t="n"/>
    </row>
    <row r="682" ht="17.25" customHeight="1" s="322">
      <c r="A682" s="27" t="n"/>
      <c r="B682" s="506" t="n"/>
      <c r="C682" s="141" t="n"/>
      <c r="D682" s="141" t="n"/>
      <c r="E682" s="141" t="n"/>
      <c r="F682" s="141" t="n"/>
      <c r="G682" s="143" t="n"/>
      <c r="H682" s="27" t="n"/>
    </row>
    <row r="683" ht="17.25" customHeight="1" s="322">
      <c r="A683" s="27" t="n"/>
      <c r="B683" s="506" t="n"/>
      <c r="C683" s="141" t="n"/>
      <c r="D683" s="141" t="n"/>
      <c r="E683" s="141" t="n"/>
      <c r="F683" s="141" t="n"/>
      <c r="G683" s="143" t="n"/>
      <c r="H683" s="27" t="n"/>
    </row>
    <row r="684" ht="17.25" customHeight="1" s="322">
      <c r="A684" s="27" t="n"/>
      <c r="B684" s="506" t="n"/>
      <c r="C684" s="141" t="n"/>
      <c r="D684" s="141" t="n"/>
      <c r="E684" s="141" t="n"/>
      <c r="F684" s="141" t="n"/>
      <c r="G684" s="143" t="n"/>
      <c r="H684" s="27" t="n"/>
    </row>
    <row r="685" ht="17.25" customHeight="1" s="322">
      <c r="A685" s="27" t="n"/>
      <c r="B685" s="506" t="n"/>
      <c r="C685" s="141" t="n"/>
      <c r="D685" s="141" t="n"/>
      <c r="E685" s="141" t="n"/>
      <c r="F685" s="141" t="n"/>
      <c r="G685" s="143" t="n"/>
      <c r="H685" s="27" t="n"/>
    </row>
    <row r="686" ht="17.25" customHeight="1" s="322">
      <c r="A686" s="27" t="n"/>
      <c r="B686" s="506" t="n"/>
      <c r="C686" s="141" t="n"/>
      <c r="D686" s="141" t="n"/>
      <c r="E686" s="141" t="n"/>
      <c r="F686" s="141" t="n"/>
      <c r="G686" s="143" t="n"/>
      <c r="H686" s="27" t="n"/>
    </row>
    <row r="687" ht="17.25" customHeight="1" s="322">
      <c r="A687" s="27" t="n"/>
      <c r="B687" s="506" t="n"/>
      <c r="C687" s="141" t="n"/>
      <c r="D687" s="141" t="n"/>
      <c r="E687" s="141" t="n"/>
      <c r="F687" s="141" t="n"/>
      <c r="G687" s="143" t="n"/>
      <c r="H687" s="27" t="n"/>
    </row>
    <row r="688" ht="17.25" customHeight="1" s="322">
      <c r="A688" s="27" t="n"/>
      <c r="B688" s="506" t="n"/>
      <c r="C688" s="141" t="n"/>
      <c r="D688" s="141" t="n"/>
      <c r="E688" s="141" t="n"/>
      <c r="F688" s="141" t="n"/>
      <c r="G688" s="143" t="n"/>
      <c r="H688" s="27" t="n"/>
    </row>
    <row r="689" ht="17.25" customHeight="1" s="322">
      <c r="A689" s="27" t="n"/>
      <c r="B689" s="506" t="n"/>
      <c r="C689" s="141" t="n"/>
      <c r="D689" s="141" t="n"/>
      <c r="E689" s="141" t="n"/>
      <c r="F689" s="141" t="n"/>
      <c r="G689" s="143" t="n"/>
      <c r="H689" s="27" t="n"/>
    </row>
    <row r="690" ht="17.25" customHeight="1" s="322">
      <c r="A690" s="27" t="n"/>
      <c r="B690" s="506" t="n"/>
      <c r="C690" s="141" t="n"/>
      <c r="D690" s="141" t="n"/>
      <c r="E690" s="141" t="n"/>
      <c r="F690" s="141" t="n"/>
      <c r="G690" s="143" t="n"/>
      <c r="H690" s="27" t="n"/>
    </row>
    <row r="691" ht="17.25" customHeight="1" s="322">
      <c r="A691" s="27" t="n"/>
      <c r="B691" s="506" t="n"/>
      <c r="C691" s="141" t="n"/>
      <c r="D691" s="141" t="n"/>
      <c r="E691" s="141" t="n"/>
      <c r="F691" s="141" t="n"/>
      <c r="G691" s="143" t="n"/>
      <c r="H691" s="27" t="n"/>
    </row>
    <row r="692" ht="17.25" customHeight="1" s="322">
      <c r="A692" s="27" t="n"/>
      <c r="B692" s="506" t="n"/>
      <c r="C692" s="141" t="n"/>
      <c r="D692" s="141" t="n"/>
      <c r="E692" s="141" t="n"/>
      <c r="F692" s="141" t="n"/>
      <c r="G692" s="143" t="n"/>
      <c r="H692" s="27" t="n"/>
    </row>
    <row r="693" ht="17.25" customHeight="1" s="322">
      <c r="A693" s="27" t="n"/>
      <c r="B693" s="506" t="n"/>
      <c r="C693" s="141" t="n"/>
      <c r="D693" s="141" t="n"/>
      <c r="E693" s="141" t="n"/>
      <c r="F693" s="141" t="n"/>
      <c r="G693" s="143" t="n"/>
      <c r="H693" s="27" t="n"/>
    </row>
    <row r="694" ht="17.25" customHeight="1" s="322">
      <c r="A694" s="27" t="n"/>
      <c r="B694" s="506" t="n"/>
      <c r="C694" s="141" t="n"/>
      <c r="D694" s="141" t="n"/>
      <c r="E694" s="141" t="n"/>
      <c r="F694" s="141" t="n"/>
      <c r="G694" s="143" t="n"/>
      <c r="H694" s="27" t="n"/>
    </row>
    <row r="695" ht="17.25" customHeight="1" s="322">
      <c r="A695" s="27" t="n"/>
      <c r="B695" s="506" t="n"/>
      <c r="C695" s="141" t="n"/>
      <c r="D695" s="141" t="n"/>
      <c r="E695" s="141" t="n"/>
      <c r="F695" s="141" t="n"/>
      <c r="G695" s="143" t="n"/>
      <c r="H695" s="27" t="n"/>
    </row>
    <row r="696" ht="17.25" customHeight="1" s="322">
      <c r="A696" s="27" t="n"/>
      <c r="B696" s="506" t="n"/>
      <c r="C696" s="141" t="n"/>
      <c r="D696" s="141" t="n"/>
      <c r="E696" s="141" t="n"/>
      <c r="F696" s="141" t="n"/>
      <c r="G696" s="143" t="n"/>
      <c r="H696" s="27" t="n"/>
    </row>
    <row r="697" ht="17.25" customHeight="1" s="322">
      <c r="A697" s="27" t="n"/>
      <c r="B697" s="506" t="n"/>
      <c r="C697" s="141" t="n"/>
      <c r="D697" s="141" t="n"/>
      <c r="E697" s="141" t="n"/>
      <c r="F697" s="141" t="n"/>
      <c r="G697" s="143" t="n"/>
      <c r="H697" s="27" t="n"/>
    </row>
    <row r="698" ht="17.25" customHeight="1" s="322">
      <c r="A698" s="27" t="n"/>
      <c r="B698" s="506" t="n"/>
      <c r="C698" s="141" t="n"/>
      <c r="D698" s="141" t="n"/>
      <c r="E698" s="141" t="n"/>
      <c r="F698" s="141" t="n"/>
      <c r="G698" s="143" t="n"/>
      <c r="H698" s="27" t="n"/>
    </row>
    <row r="699" ht="17.25" customHeight="1" s="322">
      <c r="A699" s="27" t="n"/>
      <c r="B699" s="506" t="n"/>
      <c r="C699" s="141" t="n"/>
      <c r="D699" s="141" t="n"/>
      <c r="E699" s="141" t="n"/>
      <c r="F699" s="141" t="n"/>
      <c r="G699" s="143" t="n"/>
      <c r="H699" s="27" t="n"/>
    </row>
    <row r="700" ht="17.25" customHeight="1" s="322">
      <c r="A700" s="27" t="n"/>
      <c r="B700" s="506" t="n"/>
      <c r="C700" s="141" t="n"/>
      <c r="D700" s="141" t="n"/>
      <c r="E700" s="141" t="n"/>
      <c r="F700" s="141" t="n"/>
      <c r="G700" s="143" t="n"/>
      <c r="H700" s="27" t="n"/>
    </row>
    <row r="701" ht="17.25" customHeight="1" s="322">
      <c r="A701" s="27" t="n"/>
      <c r="B701" s="506" t="n"/>
      <c r="C701" s="141" t="n"/>
      <c r="D701" s="141" t="n"/>
      <c r="E701" s="141" t="n"/>
      <c r="F701" s="141" t="n"/>
      <c r="G701" s="143" t="n"/>
      <c r="H701" s="27" t="n"/>
    </row>
    <row r="702" ht="17.25" customHeight="1" s="322">
      <c r="A702" s="27" t="n"/>
      <c r="B702" s="506" t="n"/>
      <c r="C702" s="141" t="n"/>
      <c r="D702" s="141" t="n"/>
      <c r="E702" s="141" t="n"/>
      <c r="F702" s="141" t="n"/>
      <c r="G702" s="143" t="n"/>
      <c r="H702" s="27" t="n"/>
    </row>
    <row r="703" ht="17.25" customHeight="1" s="322">
      <c r="A703" s="27" t="n"/>
      <c r="B703" s="506" t="n"/>
      <c r="C703" s="141" t="n"/>
      <c r="D703" s="141" t="n"/>
      <c r="E703" s="141" t="n"/>
      <c r="F703" s="141" t="n"/>
      <c r="G703" s="143" t="n"/>
      <c r="H703" s="27" t="n"/>
    </row>
    <row r="704" ht="17.25" customHeight="1" s="322">
      <c r="A704" s="27" t="n"/>
      <c r="B704" s="506" t="n"/>
      <c r="C704" s="141" t="n"/>
      <c r="D704" s="141" t="n"/>
      <c r="E704" s="141" t="n"/>
      <c r="F704" s="141" t="n"/>
      <c r="G704" s="143" t="n"/>
      <c r="H704" s="27" t="n"/>
    </row>
    <row r="705" ht="17.25" customHeight="1" s="322">
      <c r="A705" s="27" t="n"/>
      <c r="B705" s="506" t="n"/>
      <c r="C705" s="141" t="n"/>
      <c r="D705" s="141" t="n"/>
      <c r="E705" s="141" t="n"/>
      <c r="F705" s="141" t="n"/>
      <c r="G705" s="143" t="n"/>
      <c r="H705" s="27" t="n"/>
    </row>
    <row r="706" ht="17.25" customHeight="1" s="322">
      <c r="A706" s="27" t="n"/>
      <c r="B706" s="506" t="n"/>
      <c r="C706" s="141" t="n"/>
      <c r="D706" s="141" t="n"/>
      <c r="E706" s="141" t="n"/>
      <c r="F706" s="141" t="n"/>
      <c r="G706" s="143" t="n"/>
      <c r="H706" s="27" t="n"/>
    </row>
    <row r="707" ht="17.25" customHeight="1" s="322">
      <c r="A707" s="27" t="n"/>
      <c r="B707" s="506" t="n"/>
      <c r="C707" s="141" t="n"/>
      <c r="D707" s="141" t="n"/>
      <c r="E707" s="141" t="n"/>
      <c r="F707" s="141" t="n"/>
      <c r="G707" s="143" t="n"/>
      <c r="H707" s="27" t="n"/>
    </row>
    <row r="708" ht="17.25" customHeight="1" s="322">
      <c r="A708" s="27" t="n"/>
      <c r="B708" s="506" t="n"/>
      <c r="C708" s="141" t="n"/>
      <c r="D708" s="141" t="n"/>
      <c r="E708" s="141" t="n"/>
      <c r="F708" s="141" t="n"/>
      <c r="G708" s="143" t="n"/>
      <c r="H708" s="27" t="n"/>
    </row>
    <row r="709" ht="17.25" customHeight="1" s="322">
      <c r="A709" s="27" t="n"/>
      <c r="B709" s="506" t="n"/>
      <c r="C709" s="141" t="n"/>
      <c r="D709" s="141" t="n"/>
      <c r="E709" s="141" t="n"/>
      <c r="F709" s="141" t="n"/>
      <c r="G709" s="143" t="n"/>
      <c r="H709" s="27" t="n"/>
    </row>
    <row r="710" ht="17.25" customHeight="1" s="322">
      <c r="A710" s="27" t="n"/>
      <c r="B710" s="506" t="n"/>
      <c r="C710" s="141" t="n"/>
      <c r="D710" s="141" t="n"/>
      <c r="E710" s="141" t="n"/>
      <c r="F710" s="141" t="n"/>
      <c r="G710" s="143" t="n"/>
      <c r="H710" s="27" t="n"/>
    </row>
    <row r="711" ht="17.25" customHeight="1" s="322">
      <c r="A711" s="27" t="n"/>
      <c r="B711" s="506" t="n"/>
      <c r="C711" s="141" t="n"/>
      <c r="D711" s="141" t="n"/>
      <c r="E711" s="141" t="n"/>
      <c r="F711" s="141" t="n"/>
      <c r="G711" s="143" t="n"/>
      <c r="H711" s="27" t="n"/>
    </row>
    <row r="712" ht="17.25" customHeight="1" s="322">
      <c r="A712" s="27" t="n"/>
      <c r="B712" s="506" t="n"/>
      <c r="C712" s="141" t="n"/>
      <c r="D712" s="141" t="n"/>
      <c r="E712" s="141" t="n"/>
      <c r="F712" s="141" t="n"/>
      <c r="G712" s="143" t="n"/>
      <c r="H712" s="27" t="n"/>
    </row>
    <row r="713" ht="17.25" customHeight="1" s="322">
      <c r="A713" s="27" t="n"/>
      <c r="B713" s="506" t="n"/>
      <c r="C713" s="141" t="n"/>
      <c r="D713" s="141" t="n"/>
      <c r="E713" s="141" t="n"/>
      <c r="F713" s="141" t="n"/>
      <c r="G713" s="143" t="n"/>
      <c r="H713" s="27" t="n"/>
    </row>
    <row r="714" ht="17.25" customHeight="1" s="322">
      <c r="A714" s="27" t="n"/>
      <c r="B714" s="506" t="n"/>
      <c r="C714" s="141" t="n"/>
      <c r="D714" s="141" t="n"/>
      <c r="E714" s="141" t="n"/>
      <c r="F714" s="141" t="n"/>
      <c r="G714" s="143" t="n"/>
      <c r="H714" s="27" t="n"/>
    </row>
    <row r="715" ht="17.25" customHeight="1" s="322">
      <c r="A715" s="27" t="n"/>
      <c r="B715" s="506" t="n"/>
      <c r="C715" s="141" t="n"/>
      <c r="D715" s="141" t="n"/>
      <c r="E715" s="141" t="n"/>
      <c r="F715" s="141" t="n"/>
      <c r="G715" s="143" t="n"/>
      <c r="H715" s="27" t="n"/>
    </row>
    <row r="716" ht="17.25" customHeight="1" s="322">
      <c r="A716" s="27" t="n"/>
      <c r="B716" s="506" t="n"/>
      <c r="C716" s="141" t="n"/>
      <c r="D716" s="141" t="n"/>
      <c r="E716" s="141" t="n"/>
      <c r="F716" s="141" t="n"/>
      <c r="G716" s="143" t="n"/>
      <c r="H716" s="27" t="n"/>
    </row>
    <row r="717" ht="17.25" customHeight="1" s="322">
      <c r="A717" s="27" t="n"/>
      <c r="B717" s="506" t="n"/>
      <c r="C717" s="141" t="n"/>
      <c r="D717" s="141" t="n"/>
      <c r="E717" s="141" t="n"/>
      <c r="F717" s="141" t="n"/>
      <c r="G717" s="143" t="n"/>
      <c r="H717" s="27" t="n"/>
    </row>
    <row r="718" ht="17.25" customHeight="1" s="322">
      <c r="A718" s="27" t="n"/>
      <c r="B718" s="506" t="n"/>
      <c r="C718" s="141" t="n"/>
      <c r="D718" s="141" t="n"/>
      <c r="E718" s="141" t="n"/>
      <c r="F718" s="141" t="n"/>
      <c r="G718" s="143" t="n"/>
      <c r="H718" s="27" t="n"/>
    </row>
    <row r="719" ht="17.25" customHeight="1" s="322">
      <c r="A719" s="27" t="n"/>
      <c r="B719" s="506" t="n"/>
      <c r="C719" s="141" t="n"/>
      <c r="D719" s="141" t="n"/>
      <c r="E719" s="141" t="n"/>
      <c r="F719" s="141" t="n"/>
      <c r="G719" s="143" t="n"/>
      <c r="H719" s="27" t="n"/>
    </row>
    <row r="720" ht="17.25" customHeight="1" s="322">
      <c r="A720" s="27" t="n"/>
      <c r="B720" s="506" t="n"/>
      <c r="C720" s="141" t="n"/>
      <c r="D720" s="141" t="n"/>
      <c r="E720" s="141" t="n"/>
      <c r="F720" s="141" t="n"/>
      <c r="G720" s="143" t="n"/>
      <c r="H720" s="27" t="n"/>
    </row>
    <row r="721" ht="17.25" customHeight="1" s="322">
      <c r="A721" s="27" t="n"/>
      <c r="B721" s="506" t="n"/>
      <c r="C721" s="141" t="n"/>
      <c r="D721" s="141" t="n"/>
      <c r="E721" s="141" t="n"/>
      <c r="F721" s="141" t="n"/>
      <c r="G721" s="143" t="n"/>
      <c r="H721" s="27" t="n"/>
    </row>
    <row r="722" ht="17.25" customHeight="1" s="322">
      <c r="A722" s="27" t="n"/>
      <c r="B722" s="506" t="n"/>
      <c r="C722" s="141" t="n"/>
      <c r="D722" s="141" t="n"/>
      <c r="E722" s="141" t="n"/>
      <c r="F722" s="141" t="n"/>
      <c r="G722" s="143" t="n"/>
      <c r="H722" s="27" t="n"/>
    </row>
    <row r="723" ht="17.25" customHeight="1" s="322">
      <c r="A723" s="27" t="n"/>
      <c r="B723" s="506" t="n"/>
      <c r="C723" s="141" t="n"/>
      <c r="D723" s="141" t="n"/>
      <c r="E723" s="141" t="n"/>
      <c r="F723" s="141" t="n"/>
      <c r="G723" s="143" t="n"/>
      <c r="H723" s="27" t="n"/>
    </row>
    <row r="724" ht="17.25" customHeight="1" s="322">
      <c r="A724" s="27" t="n"/>
      <c r="B724" s="506" t="n"/>
      <c r="C724" s="141" t="n"/>
      <c r="D724" s="141" t="n"/>
      <c r="E724" s="141" t="n"/>
      <c r="F724" s="141" t="n"/>
      <c r="G724" s="143" t="n"/>
      <c r="H724" s="27" t="n"/>
    </row>
    <row r="725" ht="17.25" customHeight="1" s="322">
      <c r="A725" s="27" t="n"/>
      <c r="B725" s="506" t="n"/>
      <c r="C725" s="141" t="n"/>
      <c r="D725" s="141" t="n"/>
      <c r="E725" s="141" t="n"/>
      <c r="F725" s="141" t="n"/>
      <c r="G725" s="143" t="n"/>
      <c r="H725" s="27" t="n"/>
    </row>
    <row r="726" ht="17.25" customHeight="1" s="322">
      <c r="A726" s="27" t="n"/>
      <c r="B726" s="506" t="n"/>
      <c r="C726" s="141" t="n"/>
      <c r="D726" s="141" t="n"/>
      <c r="E726" s="141" t="n"/>
      <c r="F726" s="141" t="n"/>
      <c r="G726" s="143" t="n"/>
      <c r="H726" s="27" t="n"/>
    </row>
    <row r="727" ht="17.25" customHeight="1" s="322">
      <c r="A727" s="27" t="n"/>
      <c r="B727" s="506" t="n"/>
      <c r="C727" s="141" t="n"/>
      <c r="D727" s="141" t="n"/>
      <c r="E727" s="141" t="n"/>
      <c r="F727" s="141" t="n"/>
      <c r="G727" s="143" t="n"/>
      <c r="H727" s="27" t="n"/>
    </row>
    <row r="728" ht="17.25" customHeight="1" s="322">
      <c r="A728" s="27" t="n"/>
      <c r="B728" s="506" t="n"/>
      <c r="C728" s="141" t="n"/>
      <c r="D728" s="141" t="n"/>
      <c r="E728" s="141" t="n"/>
      <c r="F728" s="141" t="n"/>
      <c r="G728" s="143" t="n"/>
      <c r="H728" s="27" t="n"/>
    </row>
    <row r="729" ht="17.25" customHeight="1" s="322">
      <c r="A729" s="27" t="n"/>
      <c r="B729" s="506" t="n"/>
      <c r="C729" s="141" t="n"/>
      <c r="D729" s="141" t="n"/>
      <c r="E729" s="141" t="n"/>
      <c r="F729" s="141" t="n"/>
      <c r="G729" s="143" t="n"/>
      <c r="H729" s="27" t="n"/>
    </row>
    <row r="730" ht="17.25" customHeight="1" s="322">
      <c r="A730" s="27" t="n"/>
      <c r="B730" s="506" t="n"/>
      <c r="C730" s="141" t="n"/>
      <c r="D730" s="141" t="n"/>
      <c r="E730" s="141" t="n"/>
      <c r="F730" s="141" t="n"/>
      <c r="G730" s="143" t="n"/>
      <c r="H730" s="27" t="n"/>
    </row>
    <row r="731" ht="17.25" customHeight="1" s="322">
      <c r="A731" s="27" t="n"/>
      <c r="B731" s="506" t="n"/>
      <c r="C731" s="141" t="n"/>
      <c r="D731" s="141" t="n"/>
      <c r="E731" s="141" t="n"/>
      <c r="F731" s="141" t="n"/>
      <c r="G731" s="143" t="n"/>
      <c r="H731" s="27" t="n"/>
    </row>
    <row r="732" ht="17.25" customHeight="1" s="322">
      <c r="A732" s="27" t="n"/>
      <c r="B732" s="506" t="n"/>
      <c r="C732" s="141" t="n"/>
      <c r="D732" s="141" t="n"/>
      <c r="E732" s="141" t="n"/>
      <c r="F732" s="141" t="n"/>
      <c r="G732" s="143" t="n"/>
      <c r="H732" s="27" t="n"/>
    </row>
    <row r="733" ht="17.25" customHeight="1" s="322">
      <c r="A733" s="27" t="n"/>
      <c r="B733" s="506" t="n"/>
      <c r="C733" s="141" t="n"/>
      <c r="D733" s="141" t="n"/>
      <c r="E733" s="141" t="n"/>
      <c r="F733" s="141" t="n"/>
      <c r="G733" s="143" t="n"/>
      <c r="H733" s="27" t="n"/>
    </row>
    <row r="734" ht="17.25" customHeight="1" s="322">
      <c r="A734" s="27" t="n"/>
      <c r="B734" s="506" t="n"/>
      <c r="C734" s="141" t="n"/>
      <c r="D734" s="141" t="n"/>
      <c r="E734" s="141" t="n"/>
      <c r="F734" s="141" t="n"/>
      <c r="G734" s="143" t="n"/>
      <c r="H734" s="27" t="n"/>
    </row>
    <row r="735" ht="17.25" customHeight="1" s="322">
      <c r="A735" s="27" t="n"/>
      <c r="B735" s="506" t="n"/>
      <c r="C735" s="141" t="n"/>
      <c r="D735" s="141" t="n"/>
      <c r="E735" s="141" t="n"/>
      <c r="F735" s="141" t="n"/>
      <c r="G735" s="143" t="n"/>
      <c r="H735" s="27" t="n"/>
    </row>
    <row r="736" ht="17.25" customHeight="1" s="322">
      <c r="A736" s="27" t="n"/>
      <c r="B736" s="506" t="n"/>
      <c r="C736" s="141" t="n"/>
      <c r="D736" s="141" t="n"/>
      <c r="E736" s="141" t="n"/>
      <c r="F736" s="141" t="n"/>
      <c r="G736" s="143" t="n"/>
      <c r="H736" s="27" t="n"/>
    </row>
    <row r="737" ht="17.25" customHeight="1" s="322">
      <c r="A737" s="27" t="n"/>
      <c r="B737" s="506" t="n"/>
      <c r="C737" s="141" t="n"/>
      <c r="D737" s="141" t="n"/>
      <c r="E737" s="141" t="n"/>
      <c r="F737" s="141" t="n"/>
      <c r="G737" s="143" t="n"/>
      <c r="H737" s="27" t="n"/>
    </row>
    <row r="738" ht="17.25" customHeight="1" s="322">
      <c r="A738" s="27" t="n"/>
      <c r="B738" s="506" t="n"/>
      <c r="C738" s="141" t="n"/>
      <c r="D738" s="141" t="n"/>
      <c r="E738" s="141" t="n"/>
      <c r="F738" s="141" t="n"/>
      <c r="G738" s="143" t="n"/>
      <c r="H738" s="27" t="n"/>
    </row>
    <row r="739" ht="17.25" customHeight="1" s="322">
      <c r="A739" s="27" t="n"/>
      <c r="B739" s="506" t="n"/>
      <c r="C739" s="141" t="n"/>
      <c r="D739" s="141" t="n"/>
      <c r="E739" s="141" t="n"/>
      <c r="F739" s="141" t="n"/>
      <c r="G739" s="143" t="n"/>
      <c r="H739" s="27" t="n"/>
    </row>
    <row r="740" ht="17.25" customHeight="1" s="322">
      <c r="A740" s="27" t="n"/>
      <c r="B740" s="506" t="n"/>
      <c r="C740" s="141" t="n"/>
      <c r="D740" s="141" t="n"/>
      <c r="E740" s="141" t="n"/>
      <c r="F740" s="141" t="n"/>
      <c r="G740" s="143" t="n"/>
      <c r="H740" s="27" t="n"/>
    </row>
    <row r="741" ht="17.25" customHeight="1" s="322">
      <c r="A741" s="27" t="n"/>
      <c r="B741" s="506" t="n"/>
      <c r="C741" s="141" t="n"/>
      <c r="D741" s="141" t="n"/>
      <c r="E741" s="141" t="n"/>
      <c r="F741" s="141" t="n"/>
      <c r="G741" s="143" t="n"/>
      <c r="H741" s="27" t="n"/>
    </row>
    <row r="742" ht="17.25" customHeight="1" s="322">
      <c r="A742" s="27" t="n"/>
      <c r="B742" s="506" t="n"/>
      <c r="C742" s="141" t="n"/>
      <c r="D742" s="141" t="n"/>
      <c r="E742" s="141" t="n"/>
      <c r="F742" s="141" t="n"/>
      <c r="G742" s="143" t="n"/>
      <c r="H742" s="27" t="n"/>
    </row>
    <row r="743" ht="17.25" customHeight="1" s="322">
      <c r="A743" s="27" t="n"/>
      <c r="B743" s="506" t="n"/>
      <c r="C743" s="141" t="n"/>
      <c r="D743" s="141" t="n"/>
      <c r="E743" s="141" t="n"/>
      <c r="F743" s="141" t="n"/>
      <c r="G743" s="143" t="n"/>
      <c r="H743" s="27" t="n"/>
    </row>
    <row r="744" ht="17.25" customHeight="1" s="322">
      <c r="A744" s="27" t="n"/>
      <c r="B744" s="506" t="n"/>
      <c r="C744" s="141" t="n"/>
      <c r="D744" s="141" t="n"/>
      <c r="E744" s="141" t="n"/>
      <c r="F744" s="141" t="n"/>
      <c r="G744" s="143" t="n"/>
      <c r="H744" s="27" t="n"/>
    </row>
    <row r="745" ht="17.25" customHeight="1" s="322">
      <c r="A745" s="27" t="n"/>
      <c r="B745" s="506" t="n"/>
      <c r="C745" s="141" t="n"/>
      <c r="D745" s="141" t="n"/>
      <c r="E745" s="141" t="n"/>
      <c r="F745" s="141" t="n"/>
      <c r="G745" s="143" t="n"/>
      <c r="H745" s="27" t="n"/>
    </row>
    <row r="746" ht="17.25" customHeight="1" s="322">
      <c r="A746" s="27" t="n"/>
      <c r="B746" s="506" t="n"/>
      <c r="C746" s="141" t="n"/>
      <c r="D746" s="141" t="n"/>
      <c r="E746" s="141" t="n"/>
      <c r="F746" s="141" t="n"/>
      <c r="G746" s="143" t="n"/>
      <c r="H746" s="27" t="n"/>
    </row>
    <row r="747" ht="17.25" customHeight="1" s="322">
      <c r="A747" s="27" t="n"/>
      <c r="B747" s="506" t="n"/>
      <c r="C747" s="141" t="n"/>
      <c r="D747" s="141" t="n"/>
      <c r="E747" s="141" t="n"/>
      <c r="F747" s="141" t="n"/>
      <c r="G747" s="143" t="n"/>
      <c r="H747" s="27" t="n"/>
    </row>
    <row r="748" ht="17.25" customHeight="1" s="322">
      <c r="A748" s="27" t="n"/>
      <c r="B748" s="506" t="n"/>
      <c r="C748" s="141" t="n"/>
      <c r="D748" s="141" t="n"/>
      <c r="E748" s="141" t="n"/>
      <c r="F748" s="141" t="n"/>
      <c r="G748" s="143" t="n"/>
      <c r="H748" s="27" t="n"/>
    </row>
    <row r="749" ht="17.25" customHeight="1" s="322">
      <c r="A749" s="27" t="n"/>
      <c r="B749" s="506" t="n"/>
      <c r="C749" s="141" t="n"/>
      <c r="D749" s="141" t="n"/>
      <c r="E749" s="141" t="n"/>
      <c r="F749" s="141" t="n"/>
      <c r="G749" s="143" t="n"/>
      <c r="H749" s="27" t="n"/>
    </row>
    <row r="750" ht="17.25" customHeight="1" s="322">
      <c r="A750" s="27" t="n"/>
      <c r="B750" s="506" t="n"/>
      <c r="C750" s="141" t="n"/>
      <c r="D750" s="141" t="n"/>
      <c r="E750" s="141" t="n"/>
      <c r="F750" s="141" t="n"/>
      <c r="G750" s="143" t="n"/>
      <c r="H750" s="27" t="n"/>
    </row>
    <row r="751" ht="17.25" customHeight="1" s="322">
      <c r="A751" s="27" t="n"/>
      <c r="B751" s="506" t="n"/>
      <c r="C751" s="141" t="n"/>
      <c r="D751" s="141" t="n"/>
      <c r="E751" s="141" t="n"/>
      <c r="F751" s="141" t="n"/>
      <c r="G751" s="143" t="n"/>
      <c r="H751" s="27" t="n"/>
    </row>
    <row r="752" ht="17.25" customHeight="1" s="322">
      <c r="A752" s="27" t="n"/>
      <c r="B752" s="506" t="n"/>
      <c r="C752" s="141" t="n"/>
      <c r="D752" s="141" t="n"/>
      <c r="E752" s="141" t="n"/>
      <c r="F752" s="141" t="n"/>
      <c r="G752" s="143" t="n"/>
      <c r="H752" s="27" t="n"/>
    </row>
    <row r="753" ht="17.25" customHeight="1" s="322">
      <c r="A753" s="27" t="n"/>
      <c r="B753" s="506" t="n"/>
      <c r="C753" s="141" t="n"/>
      <c r="D753" s="141" t="n"/>
      <c r="E753" s="141" t="n"/>
      <c r="F753" s="141" t="n"/>
      <c r="G753" s="143" t="n"/>
      <c r="H753" s="27" t="n"/>
    </row>
    <row r="754" ht="17.25" customHeight="1" s="322">
      <c r="A754" s="27" t="n"/>
      <c r="B754" s="506" t="n"/>
      <c r="C754" s="141" t="n"/>
      <c r="D754" s="141" t="n"/>
      <c r="E754" s="141" t="n"/>
      <c r="F754" s="141" t="n"/>
      <c r="G754" s="143" t="n"/>
      <c r="H754" s="27" t="n"/>
    </row>
    <row r="755" ht="17.25" customHeight="1" s="322">
      <c r="A755" s="27" t="n"/>
      <c r="B755" s="506" t="n"/>
      <c r="C755" s="141" t="n"/>
      <c r="D755" s="141" t="n"/>
      <c r="E755" s="141" t="n"/>
      <c r="F755" s="141" t="n"/>
      <c r="G755" s="143" t="n"/>
      <c r="H755" s="27" t="n"/>
    </row>
    <row r="756" ht="17.25" customHeight="1" s="322">
      <c r="A756" s="27" t="n"/>
      <c r="B756" s="506" t="n"/>
      <c r="C756" s="141" t="n"/>
      <c r="D756" s="141" t="n"/>
      <c r="E756" s="141" t="n"/>
      <c r="F756" s="141" t="n"/>
      <c r="G756" s="143" t="n"/>
      <c r="H756" s="27" t="n"/>
    </row>
    <row r="757" ht="17.25" customHeight="1" s="322">
      <c r="A757" s="27" t="n"/>
      <c r="B757" s="506" t="n"/>
      <c r="C757" s="141" t="n"/>
      <c r="D757" s="141" t="n"/>
      <c r="E757" s="141" t="n"/>
      <c r="F757" s="141" t="n"/>
      <c r="G757" s="143" t="n"/>
      <c r="H757" s="27" t="n"/>
    </row>
    <row r="758" ht="17.25" customHeight="1" s="322">
      <c r="A758" s="27" t="n"/>
      <c r="B758" s="506" t="n"/>
      <c r="C758" s="141" t="n"/>
      <c r="D758" s="141" t="n"/>
      <c r="E758" s="141" t="n"/>
      <c r="F758" s="141" t="n"/>
      <c r="G758" s="143" t="n"/>
      <c r="H758" s="27" t="n"/>
    </row>
    <row r="759" ht="17.25" customHeight="1" s="322">
      <c r="A759" s="27" t="n"/>
      <c r="B759" s="506" t="n"/>
      <c r="C759" s="141" t="n"/>
      <c r="D759" s="141" t="n"/>
      <c r="E759" s="141" t="n"/>
      <c r="F759" s="141" t="n"/>
      <c r="G759" s="143" t="n"/>
      <c r="H759" s="27" t="n"/>
    </row>
    <row r="760" ht="17.25" customHeight="1" s="322">
      <c r="A760" s="27" t="n"/>
      <c r="B760" s="506" t="n"/>
      <c r="C760" s="141" t="n"/>
      <c r="D760" s="141" t="n"/>
      <c r="E760" s="141" t="n"/>
      <c r="F760" s="141" t="n"/>
      <c r="G760" s="143" t="n"/>
      <c r="H760" s="27" t="n"/>
    </row>
    <row r="761" ht="17.25" customHeight="1" s="322">
      <c r="A761" s="27" t="n"/>
      <c r="B761" s="506" t="n"/>
      <c r="C761" s="141" t="n"/>
      <c r="D761" s="141" t="n"/>
      <c r="E761" s="141" t="n"/>
      <c r="F761" s="141" t="n"/>
      <c r="G761" s="143" t="n"/>
      <c r="H761" s="27" t="n"/>
    </row>
    <row r="762" ht="17.25" customHeight="1" s="322">
      <c r="A762" s="27" t="n"/>
      <c r="B762" s="506" t="n"/>
      <c r="C762" s="141" t="n"/>
      <c r="D762" s="141" t="n"/>
      <c r="E762" s="141" t="n"/>
      <c r="F762" s="141" t="n"/>
      <c r="G762" s="143" t="n"/>
      <c r="H762" s="27" t="n"/>
    </row>
    <row r="763" ht="17.25" customHeight="1" s="322">
      <c r="A763" s="27" t="n"/>
      <c r="B763" s="506" t="n"/>
      <c r="C763" s="141" t="n"/>
      <c r="D763" s="141" t="n"/>
      <c r="E763" s="141" t="n"/>
      <c r="F763" s="141" t="n"/>
      <c r="G763" s="143" t="n"/>
      <c r="H763" s="27" t="n"/>
    </row>
    <row r="764" ht="17.25" customHeight="1" s="322">
      <c r="A764" s="27" t="n"/>
      <c r="B764" s="506" t="n"/>
      <c r="C764" s="141" t="n"/>
      <c r="D764" s="141" t="n"/>
      <c r="E764" s="141" t="n"/>
      <c r="F764" s="141" t="n"/>
      <c r="G764" s="143" t="n"/>
      <c r="H764" s="27" t="n"/>
    </row>
    <row r="765" ht="17.25" customHeight="1" s="322">
      <c r="A765" s="27" t="n"/>
      <c r="B765" s="506" t="n"/>
      <c r="C765" s="141" t="n"/>
      <c r="D765" s="141" t="n"/>
      <c r="E765" s="141" t="n"/>
      <c r="F765" s="141" t="n"/>
      <c r="G765" s="143" t="n"/>
      <c r="H765" s="27" t="n"/>
    </row>
    <row r="766" ht="17.25" customHeight="1" s="322">
      <c r="A766" s="27" t="n"/>
      <c r="B766" s="506" t="n"/>
      <c r="C766" s="141" t="n"/>
      <c r="D766" s="141" t="n"/>
      <c r="E766" s="141" t="n"/>
      <c r="F766" s="141" t="n"/>
      <c r="G766" s="143" t="n"/>
      <c r="H766" s="27" t="n"/>
    </row>
    <row r="767" ht="17.25" customHeight="1" s="322">
      <c r="A767" s="27" t="n"/>
      <c r="B767" s="506" t="n"/>
      <c r="C767" s="141" t="n"/>
      <c r="D767" s="141" t="n"/>
      <c r="E767" s="141" t="n"/>
      <c r="F767" s="141" t="n"/>
      <c r="G767" s="143" t="n"/>
      <c r="H767" s="27" t="n"/>
    </row>
    <row r="768" ht="17.25" customHeight="1" s="322">
      <c r="A768" s="27" t="n"/>
      <c r="B768" s="506" t="n"/>
      <c r="C768" s="141" t="n"/>
      <c r="D768" s="141" t="n"/>
      <c r="E768" s="141" t="n"/>
      <c r="F768" s="141" t="n"/>
      <c r="G768" s="143" t="n"/>
      <c r="H768" s="27" t="n"/>
    </row>
    <row r="769" ht="17.25" customHeight="1" s="322">
      <c r="A769" s="27" t="n"/>
      <c r="B769" s="506" t="n"/>
      <c r="C769" s="141" t="n"/>
      <c r="D769" s="141" t="n"/>
      <c r="E769" s="141" t="n"/>
      <c r="F769" s="141" t="n"/>
      <c r="G769" s="143" t="n"/>
      <c r="H769" s="27" t="n"/>
    </row>
    <row r="770" ht="17.25" customHeight="1" s="322">
      <c r="A770" s="27" t="n"/>
      <c r="B770" s="506" t="n"/>
      <c r="C770" s="141" t="n"/>
      <c r="D770" s="141" t="n"/>
      <c r="E770" s="141" t="n"/>
      <c r="F770" s="141" t="n"/>
      <c r="G770" s="143" t="n"/>
      <c r="H770" s="27" t="n"/>
    </row>
    <row r="771" ht="17.25" customHeight="1" s="322">
      <c r="A771" s="27" t="n"/>
      <c r="B771" s="506" t="n"/>
      <c r="C771" s="141" t="n"/>
      <c r="D771" s="141" t="n"/>
      <c r="E771" s="141" t="n"/>
      <c r="F771" s="141" t="n"/>
      <c r="G771" s="143" t="n"/>
      <c r="H771" s="27" t="n"/>
    </row>
    <row r="772" ht="17.25" customHeight="1" s="322">
      <c r="A772" s="27" t="n"/>
      <c r="B772" s="506" t="n"/>
      <c r="C772" s="141" t="n"/>
      <c r="D772" s="141" t="n"/>
      <c r="E772" s="141" t="n"/>
      <c r="F772" s="141" t="n"/>
      <c r="G772" s="143" t="n"/>
      <c r="H772" s="27" t="n"/>
    </row>
    <row r="773" ht="17.25" customHeight="1" s="322">
      <c r="A773" s="27" t="n"/>
      <c r="B773" s="506" t="n"/>
      <c r="C773" s="141" t="n"/>
      <c r="D773" s="141" t="n"/>
      <c r="E773" s="141" t="n"/>
      <c r="F773" s="141" t="n"/>
      <c r="G773" s="143" t="n"/>
      <c r="H773" s="27" t="n"/>
    </row>
    <row r="774" ht="17.25" customHeight="1" s="322">
      <c r="A774" s="27" t="n"/>
      <c r="B774" s="506" t="n"/>
      <c r="C774" s="141" t="n"/>
      <c r="D774" s="141" t="n"/>
      <c r="E774" s="141" t="n"/>
      <c r="F774" s="141" t="n"/>
      <c r="G774" s="143" t="n"/>
      <c r="H774" s="27" t="n"/>
    </row>
    <row r="775" ht="17.25" customHeight="1" s="322">
      <c r="A775" s="27" t="n"/>
      <c r="B775" s="506" t="n"/>
      <c r="C775" s="141" t="n"/>
      <c r="D775" s="141" t="n"/>
      <c r="E775" s="141" t="n"/>
      <c r="F775" s="141" t="n"/>
      <c r="G775" s="143" t="n"/>
      <c r="H775" s="27" t="n"/>
    </row>
    <row r="776" ht="17.25" customHeight="1" s="322">
      <c r="A776" s="27" t="n"/>
      <c r="B776" s="506" t="n"/>
      <c r="C776" s="141" t="n"/>
      <c r="D776" s="141" t="n"/>
      <c r="E776" s="141" t="n"/>
      <c r="F776" s="141" t="n"/>
      <c r="G776" s="143" t="n"/>
      <c r="H776" s="27" t="n"/>
    </row>
    <row r="777" ht="17.25" customHeight="1" s="322">
      <c r="A777" s="27" t="n"/>
      <c r="B777" s="506" t="n"/>
      <c r="C777" s="141" t="n"/>
      <c r="D777" s="141" t="n"/>
      <c r="E777" s="141" t="n"/>
      <c r="F777" s="141" t="n"/>
      <c r="G777" s="143" t="n"/>
      <c r="H777" s="27" t="n"/>
    </row>
    <row r="778" ht="17.25" customHeight="1" s="322">
      <c r="A778" s="27" t="n"/>
      <c r="B778" s="506" t="n"/>
      <c r="C778" s="141" t="n"/>
      <c r="D778" s="141" t="n"/>
      <c r="E778" s="141" t="n"/>
      <c r="F778" s="141" t="n"/>
      <c r="G778" s="143" t="n"/>
      <c r="H778" s="27" t="n"/>
    </row>
    <row r="779" ht="17.25" customHeight="1" s="322">
      <c r="A779" s="27" t="n"/>
      <c r="B779" s="506" t="n"/>
      <c r="C779" s="141" t="n"/>
      <c r="D779" s="141" t="n"/>
      <c r="E779" s="141" t="n"/>
      <c r="F779" s="141" t="n"/>
      <c r="G779" s="143" t="n"/>
      <c r="H779" s="27" t="n"/>
    </row>
    <row r="780" ht="17.25" customHeight="1" s="322">
      <c r="A780" s="27" t="n"/>
      <c r="B780" s="506" t="n"/>
      <c r="C780" s="141" t="n"/>
      <c r="D780" s="141" t="n"/>
      <c r="E780" s="141" t="n"/>
      <c r="F780" s="141" t="n"/>
      <c r="G780" s="143" t="n"/>
      <c r="H780" s="27" t="n"/>
    </row>
    <row r="781" ht="17.25" customHeight="1" s="322">
      <c r="A781" s="27" t="n"/>
      <c r="B781" s="506" t="n"/>
      <c r="C781" s="141" t="n"/>
      <c r="D781" s="141" t="n"/>
      <c r="E781" s="141" t="n"/>
      <c r="F781" s="141" t="n"/>
      <c r="G781" s="143" t="n"/>
      <c r="H781" s="27" t="n"/>
    </row>
    <row r="782" ht="17.25" customHeight="1" s="322">
      <c r="A782" s="27" t="n"/>
      <c r="B782" s="506" t="n"/>
      <c r="C782" s="141" t="n"/>
      <c r="D782" s="141" t="n"/>
      <c r="E782" s="141" t="n"/>
      <c r="F782" s="141" t="n"/>
      <c r="G782" s="143" t="n"/>
      <c r="H782" s="27" t="n"/>
    </row>
    <row r="783" ht="17.25" customHeight="1" s="322">
      <c r="A783" s="27" t="n"/>
      <c r="B783" s="506" t="n"/>
      <c r="C783" s="141" t="n"/>
      <c r="D783" s="141" t="n"/>
      <c r="E783" s="141" t="n"/>
      <c r="F783" s="141" t="n"/>
      <c r="G783" s="143" t="n"/>
      <c r="H783" s="27" t="n"/>
    </row>
    <row r="784" ht="17.25" customHeight="1" s="322">
      <c r="A784" s="27" t="n"/>
      <c r="B784" s="506" t="n"/>
      <c r="C784" s="141" t="n"/>
      <c r="D784" s="141" t="n"/>
      <c r="E784" s="141" t="n"/>
      <c r="F784" s="141" t="n"/>
      <c r="G784" s="143" t="n"/>
      <c r="H784" s="27" t="n"/>
    </row>
    <row r="785" ht="17.25" customHeight="1" s="322">
      <c r="A785" s="27" t="n"/>
      <c r="B785" s="506" t="n"/>
      <c r="C785" s="141" t="n"/>
      <c r="D785" s="141" t="n"/>
      <c r="E785" s="141" t="n"/>
      <c r="F785" s="141" t="n"/>
      <c r="G785" s="143" t="n"/>
      <c r="H785" s="27" t="n"/>
    </row>
    <row r="786" ht="17.25" customHeight="1" s="322">
      <c r="A786" s="27" t="n"/>
      <c r="B786" s="506" t="n"/>
      <c r="C786" s="141" t="n"/>
      <c r="D786" s="141" t="n"/>
      <c r="E786" s="141" t="n"/>
      <c r="F786" s="141" t="n"/>
      <c r="G786" s="143" t="n"/>
      <c r="H786" s="27" t="n"/>
    </row>
    <row r="787" ht="17.25" customHeight="1" s="322">
      <c r="A787" s="27" t="n"/>
      <c r="B787" s="506" t="n"/>
      <c r="C787" s="141" t="n"/>
      <c r="D787" s="141" t="n"/>
      <c r="E787" s="141" t="n"/>
      <c r="F787" s="141" t="n"/>
      <c r="G787" s="143" t="n"/>
      <c r="H787" s="27" t="n"/>
    </row>
    <row r="788" ht="17.25" customHeight="1" s="322">
      <c r="A788" s="27" t="n"/>
      <c r="B788" s="506" t="n"/>
      <c r="C788" s="141" t="n"/>
      <c r="D788" s="141" t="n"/>
      <c r="E788" s="141" t="n"/>
      <c r="F788" s="141" t="n"/>
      <c r="G788" s="143" t="n"/>
      <c r="H788" s="27" t="n"/>
    </row>
    <row r="789" ht="17.25" customHeight="1" s="322">
      <c r="A789" s="27" t="n"/>
      <c r="B789" s="506" t="n"/>
      <c r="C789" s="141" t="n"/>
      <c r="D789" s="141" t="n"/>
      <c r="E789" s="141" t="n"/>
      <c r="F789" s="141" t="n"/>
      <c r="G789" s="143" t="n"/>
      <c r="H789" s="27" t="n"/>
    </row>
    <row r="790" ht="17.25" customHeight="1" s="322">
      <c r="A790" s="27" t="n"/>
      <c r="B790" s="506" t="n"/>
      <c r="C790" s="141" t="n"/>
      <c r="D790" s="141" t="n"/>
      <c r="E790" s="141" t="n"/>
      <c r="F790" s="141" t="n"/>
      <c r="G790" s="143" t="n"/>
      <c r="H790" s="27" t="n"/>
    </row>
    <row r="791" ht="17.25" customHeight="1" s="322">
      <c r="A791" s="27" t="n"/>
      <c r="B791" s="506" t="n"/>
      <c r="C791" s="141" t="n"/>
      <c r="D791" s="141" t="n"/>
      <c r="E791" s="141" t="n"/>
      <c r="F791" s="141" t="n"/>
      <c r="G791" s="143" t="n"/>
      <c r="H791" s="27" t="n"/>
    </row>
    <row r="792" ht="17.25" customHeight="1" s="322">
      <c r="A792" s="27" t="n"/>
      <c r="B792" s="506" t="n"/>
      <c r="C792" s="141" t="n"/>
      <c r="D792" s="141" t="n"/>
      <c r="E792" s="141" t="n"/>
      <c r="F792" s="141" t="n"/>
      <c r="G792" s="143" t="n"/>
      <c r="H792" s="27" t="n"/>
    </row>
    <row r="793" ht="17.25" customHeight="1" s="322">
      <c r="A793" s="27" t="n"/>
      <c r="B793" s="506" t="n"/>
      <c r="C793" s="141" t="n"/>
      <c r="D793" s="141" t="n"/>
      <c r="E793" s="141" t="n"/>
      <c r="F793" s="141" t="n"/>
      <c r="G793" s="143" t="n"/>
      <c r="H793" s="27" t="n"/>
    </row>
    <row r="794" ht="17.25" customHeight="1" s="322">
      <c r="A794" s="27" t="n"/>
      <c r="B794" s="506" t="n"/>
      <c r="C794" s="141" t="n"/>
      <c r="D794" s="141" t="n"/>
      <c r="E794" s="141" t="n"/>
      <c r="F794" s="141" t="n"/>
      <c r="G794" s="143" t="n"/>
      <c r="H794" s="27" t="n"/>
    </row>
    <row r="795" ht="17.25" customHeight="1" s="322">
      <c r="A795" s="27" t="n"/>
      <c r="B795" s="506" t="n"/>
      <c r="C795" s="141" t="n"/>
      <c r="D795" s="141" t="n"/>
      <c r="E795" s="141" t="n"/>
      <c r="F795" s="141" t="n"/>
      <c r="G795" s="143" t="n"/>
      <c r="H795" s="27" t="n"/>
    </row>
    <row r="796" ht="17.25" customHeight="1" s="322">
      <c r="A796" s="27" t="n"/>
      <c r="B796" s="506" t="n"/>
      <c r="C796" s="141" t="n"/>
      <c r="D796" s="141" t="n"/>
      <c r="E796" s="141" t="n"/>
      <c r="F796" s="141" t="n"/>
      <c r="G796" s="143" t="n"/>
      <c r="H796" s="27" t="n"/>
    </row>
    <row r="797" ht="17.25" customHeight="1" s="322">
      <c r="A797" s="27" t="n"/>
      <c r="B797" s="506" t="n"/>
      <c r="C797" s="141" t="n"/>
      <c r="D797" s="141" t="n"/>
      <c r="E797" s="141" t="n"/>
      <c r="F797" s="141" t="n"/>
      <c r="G797" s="143" t="n"/>
      <c r="H797" s="27" t="n"/>
    </row>
    <row r="798" ht="17.25" customHeight="1" s="322">
      <c r="A798" s="27" t="n"/>
      <c r="B798" s="506" t="n"/>
      <c r="C798" s="141" t="n"/>
      <c r="D798" s="141" t="n"/>
      <c r="E798" s="141" t="n"/>
      <c r="F798" s="141" t="n"/>
      <c r="G798" s="143" t="n"/>
      <c r="H798" s="27" t="n"/>
    </row>
    <row r="799" ht="17.25" customHeight="1" s="322">
      <c r="A799" s="27" t="n"/>
      <c r="B799" s="506" t="n"/>
      <c r="C799" s="141" t="n"/>
      <c r="D799" s="141" t="n"/>
      <c r="E799" s="141" t="n"/>
      <c r="F799" s="141" t="n"/>
      <c r="G799" s="143" t="n"/>
      <c r="H799" s="27" t="n"/>
    </row>
    <row r="800" ht="17.25" customHeight="1" s="322">
      <c r="A800" s="27" t="n"/>
      <c r="B800" s="506" t="n"/>
      <c r="C800" s="141" t="n"/>
      <c r="D800" s="141" t="n"/>
      <c r="E800" s="141" t="n"/>
      <c r="F800" s="141" t="n"/>
      <c r="G800" s="143" t="n"/>
      <c r="H800" s="27" t="n"/>
    </row>
    <row r="801" ht="17.25" customHeight="1" s="322">
      <c r="A801" s="27" t="n"/>
      <c r="B801" s="506" t="n"/>
      <c r="C801" s="141" t="n"/>
      <c r="D801" s="141" t="n"/>
      <c r="E801" s="141" t="n"/>
      <c r="F801" s="141" t="n"/>
      <c r="G801" s="143" t="n"/>
      <c r="H801" s="27" t="n"/>
    </row>
    <row r="802" ht="17.25" customHeight="1" s="322">
      <c r="A802" s="27" t="n"/>
      <c r="B802" s="506" t="n"/>
      <c r="C802" s="141" t="n"/>
      <c r="D802" s="141" t="n"/>
      <c r="E802" s="141" t="n"/>
      <c r="F802" s="141" t="n"/>
      <c r="G802" s="143" t="n"/>
      <c r="H802" s="27" t="n"/>
    </row>
    <row r="803" ht="17.25" customHeight="1" s="322">
      <c r="A803" s="27" t="n"/>
      <c r="B803" s="506" t="n"/>
      <c r="C803" s="141" t="n"/>
      <c r="D803" s="141" t="n"/>
      <c r="E803" s="141" t="n"/>
      <c r="F803" s="141" t="n"/>
      <c r="G803" s="143" t="n"/>
      <c r="H803" s="27" t="n"/>
    </row>
    <row r="804" ht="17.25" customHeight="1" s="322">
      <c r="A804" s="27" t="n"/>
      <c r="B804" s="506" t="n"/>
      <c r="C804" s="141" t="n"/>
      <c r="D804" s="141" t="n"/>
      <c r="E804" s="141" t="n"/>
      <c r="F804" s="141" t="n"/>
      <c r="G804" s="143" t="n"/>
      <c r="H804" s="27" t="n"/>
    </row>
    <row r="805" ht="17.25" customHeight="1" s="322">
      <c r="A805" s="27" t="n"/>
      <c r="B805" s="506" t="n"/>
      <c r="C805" s="141" t="n"/>
      <c r="D805" s="141" t="n"/>
      <c r="E805" s="141" t="n"/>
      <c r="F805" s="141" t="n"/>
      <c r="G805" s="143" t="n"/>
      <c r="H805" s="27" t="n"/>
    </row>
    <row r="806" ht="17.25" customHeight="1" s="322">
      <c r="A806" s="27" t="n"/>
      <c r="B806" s="506" t="n"/>
      <c r="C806" s="141" t="n"/>
      <c r="D806" s="141" t="n"/>
      <c r="E806" s="141" t="n"/>
      <c r="F806" s="141" t="n"/>
      <c r="G806" s="143" t="n"/>
      <c r="H806" s="27" t="n"/>
    </row>
    <row r="807" ht="17.25" customHeight="1" s="322">
      <c r="A807" s="27" t="n"/>
      <c r="B807" s="506" t="n"/>
      <c r="C807" s="141" t="n"/>
      <c r="D807" s="141" t="n"/>
      <c r="E807" s="141" t="n"/>
      <c r="F807" s="141" t="n"/>
      <c r="G807" s="143" t="n"/>
      <c r="H807" s="27" t="n"/>
    </row>
    <row r="808" ht="17.25" customHeight="1" s="322">
      <c r="A808" s="27" t="n"/>
      <c r="B808" s="506" t="n"/>
      <c r="C808" s="141" t="n"/>
      <c r="D808" s="141" t="n"/>
      <c r="E808" s="141" t="n"/>
      <c r="F808" s="141" t="n"/>
      <c r="G808" s="143" t="n"/>
      <c r="H808" s="27" t="n"/>
    </row>
    <row r="809" ht="17.25" customHeight="1" s="322">
      <c r="A809" s="27" t="n"/>
      <c r="B809" s="506" t="n"/>
      <c r="C809" s="141" t="n"/>
      <c r="D809" s="141" t="n"/>
      <c r="E809" s="141" t="n"/>
      <c r="F809" s="141" t="n"/>
      <c r="G809" s="143" t="n"/>
      <c r="H809" s="27" t="n"/>
    </row>
    <row r="810" ht="17.25" customHeight="1" s="322">
      <c r="A810" s="27" t="n"/>
      <c r="B810" s="506" t="n"/>
      <c r="C810" s="141" t="n"/>
      <c r="D810" s="141" t="n"/>
      <c r="E810" s="141" t="n"/>
      <c r="F810" s="141" t="n"/>
      <c r="G810" s="143" t="n"/>
      <c r="H810" s="27" t="n"/>
    </row>
    <row r="811" ht="17.25" customHeight="1" s="322">
      <c r="A811" s="27" t="n"/>
      <c r="B811" s="506" t="n"/>
      <c r="C811" s="141" t="n"/>
      <c r="D811" s="141" t="n"/>
      <c r="E811" s="141" t="n"/>
      <c r="F811" s="141" t="n"/>
      <c r="G811" s="143" t="n"/>
      <c r="H811" s="27" t="n"/>
    </row>
    <row r="812" ht="17.25" customHeight="1" s="322">
      <c r="A812" s="27" t="n"/>
      <c r="B812" s="506" t="n"/>
      <c r="C812" s="141" t="n"/>
      <c r="D812" s="141" t="n"/>
      <c r="E812" s="141" t="n"/>
      <c r="F812" s="141" t="n"/>
      <c r="G812" s="143" t="n"/>
      <c r="H812" s="27" t="n"/>
    </row>
    <row r="813" ht="17.25" customHeight="1" s="322">
      <c r="A813" s="27" t="n"/>
      <c r="B813" s="506" t="n"/>
      <c r="C813" s="141" t="n"/>
      <c r="D813" s="141" t="n"/>
      <c r="E813" s="141" t="n"/>
      <c r="F813" s="141" t="n"/>
      <c r="G813" s="143" t="n"/>
      <c r="H813" s="27" t="n"/>
    </row>
    <row r="814" ht="17.25" customHeight="1" s="322">
      <c r="A814" s="27" t="n"/>
      <c r="B814" s="506" t="n"/>
      <c r="C814" s="141" t="n"/>
      <c r="D814" s="141" t="n"/>
      <c r="E814" s="141" t="n"/>
      <c r="F814" s="141" t="n"/>
      <c r="G814" s="143" t="n"/>
      <c r="H814" s="27" t="n"/>
    </row>
    <row r="815" ht="17.25" customHeight="1" s="322">
      <c r="A815" s="27" t="n"/>
      <c r="B815" s="506" t="n"/>
      <c r="C815" s="141" t="n"/>
      <c r="D815" s="141" t="n"/>
      <c r="E815" s="141" t="n"/>
      <c r="F815" s="141" t="n"/>
      <c r="G815" s="143" t="n"/>
      <c r="H815" s="27" t="n"/>
    </row>
    <row r="816" ht="17.25" customHeight="1" s="322">
      <c r="A816" s="27" t="n"/>
      <c r="B816" s="506" t="n"/>
      <c r="C816" s="141" t="n"/>
      <c r="D816" s="141" t="n"/>
      <c r="E816" s="141" t="n"/>
      <c r="F816" s="141" t="n"/>
      <c r="G816" s="143" t="n"/>
      <c r="H816" s="27" t="n"/>
    </row>
    <row r="817" ht="17.25" customHeight="1" s="322">
      <c r="A817" s="27" t="n"/>
      <c r="B817" s="506" t="n"/>
      <c r="C817" s="141" t="n"/>
      <c r="D817" s="141" t="n"/>
      <c r="E817" s="141" t="n"/>
      <c r="F817" s="141" t="n"/>
      <c r="G817" s="143" t="n"/>
      <c r="H817" s="27" t="n"/>
    </row>
    <row r="818" ht="17.25" customHeight="1" s="322">
      <c r="A818" s="27" t="n"/>
      <c r="B818" s="506" t="n"/>
      <c r="C818" s="141" t="n"/>
      <c r="D818" s="141" t="n"/>
      <c r="E818" s="141" t="n"/>
      <c r="F818" s="141" t="n"/>
      <c r="G818" s="143" t="n"/>
      <c r="H818" s="27" t="n"/>
    </row>
    <row r="819" ht="17.25" customHeight="1" s="322">
      <c r="A819" s="27" t="n"/>
      <c r="B819" s="506" t="n"/>
      <c r="C819" s="141" t="n"/>
      <c r="D819" s="141" t="n"/>
      <c r="E819" s="141" t="n"/>
      <c r="F819" s="141" t="n"/>
      <c r="G819" s="143" t="n"/>
      <c r="H819" s="27" t="n"/>
    </row>
    <row r="820" ht="17.25" customHeight="1" s="322">
      <c r="A820" s="27" t="n"/>
      <c r="B820" s="506" t="n"/>
      <c r="C820" s="141" t="n"/>
      <c r="D820" s="141" t="n"/>
      <c r="E820" s="141" t="n"/>
      <c r="F820" s="141" t="n"/>
      <c r="G820" s="143" t="n"/>
      <c r="H820" s="27" t="n"/>
    </row>
    <row r="821" ht="17.25" customHeight="1" s="322">
      <c r="A821" s="27" t="n"/>
      <c r="B821" s="506" t="n"/>
      <c r="C821" s="141" t="n"/>
      <c r="D821" s="141" t="n"/>
      <c r="E821" s="141" t="n"/>
      <c r="F821" s="141" t="n"/>
      <c r="G821" s="143" t="n"/>
      <c r="H821" s="27" t="n"/>
    </row>
    <row r="822" ht="17.25" customHeight="1" s="322">
      <c r="A822" s="27" t="n"/>
      <c r="B822" s="506" t="n"/>
      <c r="C822" s="141" t="n"/>
      <c r="D822" s="141" t="n"/>
      <c r="E822" s="141" t="n"/>
      <c r="F822" s="141" t="n"/>
      <c r="G822" s="143" t="n"/>
      <c r="H822" s="27" t="n"/>
    </row>
    <row r="823" ht="17.25" customHeight="1" s="322">
      <c r="A823" s="27" t="n"/>
      <c r="B823" s="506" t="n"/>
      <c r="C823" s="141" t="n"/>
      <c r="D823" s="141" t="n"/>
      <c r="E823" s="141" t="n"/>
      <c r="F823" s="141" t="n"/>
      <c r="G823" s="143" t="n"/>
      <c r="H823" s="27" t="n"/>
    </row>
    <row r="824" ht="17.25" customHeight="1" s="322">
      <c r="A824" s="27" t="n"/>
      <c r="B824" s="506" t="n"/>
      <c r="C824" s="141" t="n"/>
      <c r="D824" s="141" t="n"/>
      <c r="E824" s="141" t="n"/>
      <c r="F824" s="141" t="n"/>
      <c r="G824" s="143" t="n"/>
      <c r="H824" s="27" t="n"/>
    </row>
    <row r="825" ht="17.25" customHeight="1" s="322">
      <c r="A825" s="27" t="n"/>
      <c r="B825" s="506" t="n"/>
      <c r="C825" s="141" t="n"/>
      <c r="D825" s="141" t="n"/>
      <c r="E825" s="141" t="n"/>
      <c r="F825" s="141" t="n"/>
      <c r="G825" s="143" t="n"/>
      <c r="H825" s="27" t="n"/>
    </row>
    <row r="826" ht="17.25" customHeight="1" s="322">
      <c r="A826" s="27" t="n"/>
      <c r="B826" s="506" t="n"/>
      <c r="C826" s="141" t="n"/>
      <c r="D826" s="141" t="n"/>
      <c r="E826" s="141" t="n"/>
      <c r="F826" s="141" t="n"/>
      <c r="G826" s="143" t="n"/>
      <c r="H826" s="27" t="n"/>
    </row>
    <row r="827" ht="17.25" customHeight="1" s="322">
      <c r="A827" s="27" t="n"/>
      <c r="B827" s="506" t="n"/>
      <c r="C827" s="141" t="n"/>
      <c r="D827" s="141" t="n"/>
      <c r="E827" s="141" t="n"/>
      <c r="F827" s="141" t="n"/>
      <c r="G827" s="143" t="n"/>
      <c r="H827" s="27" t="n"/>
    </row>
    <row r="828" ht="17.25" customHeight="1" s="322">
      <c r="A828" s="27" t="n"/>
      <c r="B828" s="506" t="n"/>
      <c r="C828" s="141" t="n"/>
      <c r="D828" s="141" t="n"/>
      <c r="E828" s="141" t="n"/>
      <c r="F828" s="141" t="n"/>
      <c r="G828" s="143" t="n"/>
      <c r="H828" s="27" t="n"/>
    </row>
    <row r="829" ht="17.25" customHeight="1" s="322">
      <c r="A829" s="27" t="n"/>
      <c r="B829" s="506" t="n"/>
      <c r="C829" s="141" t="n"/>
      <c r="D829" s="141" t="n"/>
      <c r="E829" s="141" t="n"/>
      <c r="F829" s="141" t="n"/>
      <c r="G829" s="143" t="n"/>
      <c r="H829" s="27" t="n"/>
    </row>
    <row r="830" ht="17.25" customHeight="1" s="322">
      <c r="A830" s="27" t="n"/>
      <c r="B830" s="506" t="n"/>
      <c r="C830" s="141" t="n"/>
      <c r="D830" s="141" t="n"/>
      <c r="E830" s="141" t="n"/>
      <c r="F830" s="141" t="n"/>
      <c r="G830" s="143" t="n"/>
      <c r="H830" s="27" t="n"/>
    </row>
    <row r="831" ht="17.25" customHeight="1" s="322">
      <c r="A831" s="27" t="n"/>
      <c r="B831" s="506" t="n"/>
      <c r="C831" s="141" t="n"/>
      <c r="D831" s="141" t="n"/>
      <c r="E831" s="141" t="n"/>
      <c r="F831" s="141" t="n"/>
      <c r="G831" s="143" t="n"/>
      <c r="H831" s="27" t="n"/>
    </row>
    <row r="832" ht="17.25" customHeight="1" s="322">
      <c r="A832" s="27" t="n"/>
      <c r="B832" s="506" t="n"/>
      <c r="C832" s="141" t="n"/>
      <c r="D832" s="141" t="n"/>
      <c r="E832" s="141" t="n"/>
      <c r="F832" s="141" t="n"/>
      <c r="G832" s="143" t="n"/>
      <c r="H832" s="27" t="n"/>
    </row>
    <row r="833" ht="17.25" customHeight="1" s="322">
      <c r="A833" s="27" t="n"/>
      <c r="B833" s="506" t="n"/>
      <c r="C833" s="141" t="n"/>
      <c r="D833" s="141" t="n"/>
      <c r="E833" s="141" t="n"/>
      <c r="F833" s="141" t="n"/>
      <c r="G833" s="143" t="n"/>
      <c r="H833" s="27" t="n"/>
    </row>
    <row r="834" ht="17.25" customHeight="1" s="322">
      <c r="A834" s="27" t="n"/>
      <c r="B834" s="506" t="n"/>
      <c r="C834" s="141" t="n"/>
      <c r="D834" s="141" t="n"/>
      <c r="E834" s="141" t="n"/>
      <c r="F834" s="141" t="n"/>
      <c r="G834" s="143" t="n"/>
      <c r="H834" s="27" t="n"/>
    </row>
    <row r="835" ht="17.25" customHeight="1" s="322">
      <c r="A835" s="27" t="n"/>
      <c r="B835" s="506" t="n"/>
      <c r="C835" s="141" t="n"/>
      <c r="D835" s="141" t="n"/>
      <c r="E835" s="141" t="n"/>
      <c r="F835" s="141" t="n"/>
      <c r="G835" s="143" t="n"/>
      <c r="H835" s="27" t="n"/>
    </row>
    <row r="836" ht="17.25" customHeight="1" s="322">
      <c r="A836" s="27" t="n"/>
      <c r="B836" s="506" t="n"/>
      <c r="C836" s="141" t="n"/>
      <c r="D836" s="141" t="n"/>
      <c r="E836" s="141" t="n"/>
      <c r="F836" s="141" t="n"/>
      <c r="G836" s="143" t="n"/>
      <c r="H836" s="27" t="n"/>
    </row>
    <row r="837" ht="17.25" customHeight="1" s="322">
      <c r="A837" s="27" t="n"/>
      <c r="B837" s="506" t="n"/>
      <c r="C837" s="141" t="n"/>
      <c r="D837" s="141" t="n"/>
      <c r="E837" s="141" t="n"/>
      <c r="F837" s="141" t="n"/>
      <c r="G837" s="143" t="n"/>
      <c r="H837" s="27" t="n"/>
    </row>
    <row r="838" ht="17.25" customHeight="1" s="322">
      <c r="A838" s="27" t="n"/>
      <c r="B838" s="506" t="n"/>
      <c r="C838" s="141" t="n"/>
      <c r="D838" s="141" t="n"/>
      <c r="E838" s="141" t="n"/>
      <c r="F838" s="141" t="n"/>
      <c r="G838" s="143" t="n"/>
      <c r="H838" s="27" t="n"/>
    </row>
    <row r="839" ht="17.25" customHeight="1" s="322">
      <c r="A839" s="27" t="n"/>
      <c r="B839" s="506" t="n"/>
      <c r="C839" s="141" t="n"/>
      <c r="D839" s="141" t="n"/>
      <c r="E839" s="141" t="n"/>
      <c r="F839" s="141" t="n"/>
      <c r="G839" s="143" t="n"/>
      <c r="H839" s="27" t="n"/>
    </row>
    <row r="840" ht="17.25" customHeight="1" s="322">
      <c r="A840" s="27" t="n"/>
      <c r="B840" s="506" t="n"/>
      <c r="C840" s="141" t="n"/>
      <c r="D840" s="141" t="n"/>
      <c r="E840" s="141" t="n"/>
      <c r="F840" s="141" t="n"/>
      <c r="G840" s="143" t="n"/>
      <c r="H840" s="27" t="n"/>
    </row>
    <row r="841" ht="17.25" customHeight="1" s="322">
      <c r="A841" s="27" t="n"/>
      <c r="B841" s="506" t="n"/>
      <c r="C841" s="141" t="n"/>
      <c r="D841" s="141" t="n"/>
      <c r="E841" s="141" t="n"/>
      <c r="F841" s="141" t="n"/>
      <c r="G841" s="143" t="n"/>
      <c r="H841" s="27" t="n"/>
    </row>
    <row r="842" ht="17.25" customHeight="1" s="322">
      <c r="A842" s="27" t="n"/>
      <c r="B842" s="506" t="n"/>
      <c r="C842" s="141" t="n"/>
      <c r="D842" s="141" t="n"/>
      <c r="E842" s="141" t="n"/>
      <c r="F842" s="141" t="n"/>
      <c r="G842" s="143" t="n"/>
      <c r="H842" s="27" t="n"/>
    </row>
    <row r="843" ht="17.25" customHeight="1" s="322">
      <c r="A843" s="27" t="n"/>
      <c r="B843" s="506" t="n"/>
      <c r="C843" s="141" t="n"/>
      <c r="D843" s="141" t="n"/>
      <c r="E843" s="141" t="n"/>
      <c r="F843" s="141" t="n"/>
      <c r="G843" s="143" t="n"/>
      <c r="H843" s="27" t="n"/>
    </row>
    <row r="844" ht="17.25" customHeight="1" s="322">
      <c r="A844" s="27" t="n"/>
      <c r="B844" s="506" t="n"/>
      <c r="C844" s="141" t="n"/>
      <c r="D844" s="141" t="n"/>
      <c r="E844" s="141" t="n"/>
      <c r="F844" s="141" t="n"/>
      <c r="G844" s="143" t="n"/>
      <c r="H844" s="27" t="n"/>
    </row>
    <row r="845" ht="17.25" customHeight="1" s="322">
      <c r="A845" s="27" t="n"/>
      <c r="B845" s="506" t="n"/>
      <c r="C845" s="141" t="n"/>
      <c r="D845" s="141" t="n"/>
      <c r="E845" s="141" t="n"/>
      <c r="F845" s="141" t="n"/>
      <c r="G845" s="143" t="n"/>
      <c r="H845" s="27" t="n"/>
    </row>
    <row r="846" ht="17.25" customHeight="1" s="322">
      <c r="A846" s="27" t="n"/>
      <c r="B846" s="506" t="n"/>
      <c r="C846" s="141" t="n"/>
      <c r="D846" s="141" t="n"/>
      <c r="E846" s="141" t="n"/>
      <c r="F846" s="141" t="n"/>
      <c r="G846" s="143" t="n"/>
      <c r="H846" s="27" t="n"/>
    </row>
    <row r="847" ht="17.25" customHeight="1" s="322">
      <c r="A847" s="27" t="n"/>
      <c r="B847" s="506" t="n"/>
      <c r="C847" s="141" t="n"/>
      <c r="D847" s="141" t="n"/>
      <c r="E847" s="141" t="n"/>
      <c r="F847" s="141" t="n"/>
      <c r="G847" s="143" t="n"/>
      <c r="H847" s="27" t="n"/>
    </row>
    <row r="848" ht="17.25" customHeight="1" s="322">
      <c r="A848" s="27" t="n"/>
      <c r="B848" s="506" t="n"/>
      <c r="C848" s="141" t="n"/>
      <c r="D848" s="141" t="n"/>
      <c r="E848" s="141" t="n"/>
      <c r="F848" s="141" t="n"/>
      <c r="G848" s="143" t="n"/>
      <c r="H848" s="27" t="n"/>
    </row>
    <row r="849" ht="17.25" customHeight="1" s="322">
      <c r="A849" s="27" t="n"/>
      <c r="B849" s="506" t="n"/>
      <c r="C849" s="141" t="n"/>
      <c r="D849" s="141" t="n"/>
      <c r="E849" s="141" t="n"/>
      <c r="F849" s="141" t="n"/>
      <c r="G849" s="143" t="n"/>
      <c r="H849" s="27" t="n"/>
    </row>
    <row r="850" ht="17.25" customHeight="1" s="322">
      <c r="A850" s="27" t="n"/>
      <c r="B850" s="506" t="n"/>
      <c r="C850" s="141" t="n"/>
      <c r="D850" s="141" t="n"/>
      <c r="E850" s="141" t="n"/>
      <c r="F850" s="141" t="n"/>
      <c r="G850" s="143" t="n"/>
      <c r="H850" s="27" t="n"/>
    </row>
    <row r="851" ht="17.25" customHeight="1" s="322">
      <c r="A851" s="27" t="n"/>
      <c r="B851" s="506" t="n"/>
      <c r="C851" s="141" t="n"/>
      <c r="D851" s="141" t="n"/>
      <c r="E851" s="141" t="n"/>
      <c r="F851" s="141" t="n"/>
      <c r="G851" s="143" t="n"/>
      <c r="H851" s="27" t="n"/>
    </row>
    <row r="852" ht="17.25" customHeight="1" s="322">
      <c r="A852" s="27" t="n"/>
      <c r="B852" s="506" t="n"/>
      <c r="C852" s="141" t="n"/>
      <c r="D852" s="141" t="n"/>
      <c r="E852" s="141" t="n"/>
      <c r="F852" s="141" t="n"/>
      <c r="G852" s="143" t="n"/>
      <c r="H852" s="27" t="n"/>
    </row>
    <row r="853" ht="17.25" customHeight="1" s="322">
      <c r="A853" s="27" t="n"/>
      <c r="B853" s="506" t="n"/>
      <c r="C853" s="141" t="n"/>
      <c r="D853" s="141" t="n"/>
      <c r="E853" s="141" t="n"/>
      <c r="F853" s="141" t="n"/>
      <c r="G853" s="143" t="n"/>
      <c r="H853" s="27" t="n"/>
    </row>
    <row r="854" ht="17.25" customHeight="1" s="322">
      <c r="A854" s="27" t="n"/>
      <c r="B854" s="506" t="n"/>
      <c r="C854" s="141" t="n"/>
      <c r="D854" s="141" t="n"/>
      <c r="E854" s="141" t="n"/>
      <c r="F854" s="141" t="n"/>
      <c r="G854" s="143" t="n"/>
      <c r="H854" s="27" t="n"/>
    </row>
    <row r="855" ht="17.25" customHeight="1" s="322">
      <c r="A855" s="27" t="n"/>
      <c r="B855" s="506" t="n"/>
      <c r="C855" s="141" t="n"/>
      <c r="D855" s="141" t="n"/>
      <c r="E855" s="141" t="n"/>
      <c r="F855" s="141" t="n"/>
      <c r="G855" s="143" t="n"/>
      <c r="H855" s="27" t="n"/>
    </row>
    <row r="856" ht="17.25" customHeight="1" s="322">
      <c r="A856" s="27" t="n"/>
      <c r="B856" s="506" t="n"/>
      <c r="C856" s="141" t="n"/>
      <c r="D856" s="141" t="n"/>
      <c r="E856" s="141" t="n"/>
      <c r="F856" s="141" t="n"/>
      <c r="G856" s="143" t="n"/>
      <c r="H856" s="27" t="n"/>
    </row>
    <row r="857" ht="17.25" customHeight="1" s="322">
      <c r="A857" s="27" t="n"/>
      <c r="B857" s="506" t="n"/>
      <c r="C857" s="141" t="n"/>
      <c r="D857" s="141" t="n"/>
      <c r="E857" s="141" t="n"/>
      <c r="F857" s="141" t="n"/>
      <c r="G857" s="143" t="n"/>
      <c r="H857" s="27" t="n"/>
    </row>
    <row r="858" ht="17.25" customHeight="1" s="322">
      <c r="A858" s="27" t="n"/>
      <c r="B858" s="506" t="n"/>
      <c r="C858" s="141" t="n"/>
      <c r="D858" s="141" t="n"/>
      <c r="E858" s="141" t="n"/>
      <c r="F858" s="141" t="n"/>
      <c r="G858" s="143" t="n"/>
      <c r="H858" s="27" t="n"/>
    </row>
    <row r="859" ht="17.25" customHeight="1" s="322">
      <c r="A859" s="27" t="n"/>
      <c r="B859" s="506" t="n"/>
      <c r="C859" s="141" t="n"/>
      <c r="D859" s="141" t="n"/>
      <c r="E859" s="141" t="n"/>
      <c r="F859" s="141" t="n"/>
      <c r="G859" s="143" t="n"/>
      <c r="H859" s="27" t="n"/>
    </row>
    <row r="860" ht="17.25" customHeight="1" s="322">
      <c r="A860" s="27" t="n"/>
      <c r="B860" s="506" t="n"/>
      <c r="C860" s="141" t="n"/>
      <c r="D860" s="141" t="n"/>
      <c r="E860" s="141" t="n"/>
      <c r="F860" s="141" t="n"/>
      <c r="G860" s="143" t="n"/>
      <c r="H860" s="27" t="n"/>
    </row>
    <row r="861" ht="17.25" customHeight="1" s="322">
      <c r="A861" s="27" t="n"/>
      <c r="B861" s="506" t="n"/>
      <c r="C861" s="141" t="n"/>
      <c r="D861" s="141" t="n"/>
      <c r="E861" s="141" t="n"/>
      <c r="F861" s="141" t="n"/>
      <c r="G861" s="143" t="n"/>
      <c r="H861" s="27" t="n"/>
    </row>
    <row r="862" ht="17.25" customHeight="1" s="322">
      <c r="A862" s="27" t="n"/>
      <c r="B862" s="506" t="n"/>
      <c r="C862" s="141" t="n"/>
      <c r="D862" s="141" t="n"/>
      <c r="E862" s="141" t="n"/>
      <c r="F862" s="141" t="n"/>
      <c r="G862" s="143" t="n"/>
      <c r="H862" s="27" t="n"/>
    </row>
    <row r="863" ht="17.25" customHeight="1" s="322">
      <c r="A863" s="27" t="n"/>
      <c r="B863" s="506" t="n"/>
      <c r="C863" s="141" t="n"/>
      <c r="D863" s="141" t="n"/>
      <c r="E863" s="141" t="n"/>
      <c r="F863" s="141" t="n"/>
      <c r="G863" s="143" t="n"/>
      <c r="H863" s="27" t="n"/>
    </row>
    <row r="864" ht="17.25" customHeight="1" s="322">
      <c r="A864" s="27" t="n"/>
      <c r="B864" s="506" t="n"/>
      <c r="C864" s="141" t="n"/>
      <c r="D864" s="141" t="n"/>
      <c r="E864" s="141" t="n"/>
      <c r="F864" s="141" t="n"/>
      <c r="G864" s="143" t="n"/>
      <c r="H864" s="27" t="n"/>
    </row>
    <row r="865" ht="17.25" customHeight="1" s="322">
      <c r="A865" s="27" t="n"/>
      <c r="B865" s="506" t="n"/>
      <c r="C865" s="141" t="n"/>
      <c r="D865" s="141" t="n"/>
      <c r="E865" s="141" t="n"/>
      <c r="F865" s="141" t="n"/>
      <c r="G865" s="143" t="n"/>
      <c r="H865" s="27" t="n"/>
    </row>
    <row r="866" ht="17.25" customHeight="1" s="322">
      <c r="A866" s="27" t="n"/>
      <c r="B866" s="506" t="n"/>
      <c r="C866" s="141" t="n"/>
      <c r="D866" s="141" t="n"/>
      <c r="E866" s="141" t="n"/>
      <c r="F866" s="141" t="n"/>
      <c r="G866" s="143" t="n"/>
      <c r="H866" s="27" t="n"/>
    </row>
    <row r="867" ht="17.25" customHeight="1" s="322">
      <c r="A867" s="27" t="n"/>
      <c r="B867" s="506" t="n"/>
      <c r="C867" s="141" t="n"/>
      <c r="D867" s="141" t="n"/>
      <c r="E867" s="141" t="n"/>
      <c r="F867" s="141" t="n"/>
      <c r="G867" s="143" t="n"/>
      <c r="H867" s="27" t="n"/>
    </row>
    <row r="868" ht="17.25" customHeight="1" s="322">
      <c r="A868" s="27" t="n"/>
      <c r="B868" s="506" t="n"/>
      <c r="C868" s="141" t="n"/>
      <c r="D868" s="141" t="n"/>
      <c r="E868" s="141" t="n"/>
      <c r="F868" s="141" t="n"/>
      <c r="G868" s="143" t="n"/>
      <c r="H868" s="27" t="n"/>
    </row>
    <row r="869" ht="17.25" customHeight="1" s="322">
      <c r="A869" s="27" t="n"/>
      <c r="B869" s="506" t="n"/>
      <c r="C869" s="141" t="n"/>
      <c r="D869" s="141" t="n"/>
      <c r="E869" s="141" t="n"/>
      <c r="F869" s="141" t="n"/>
      <c r="G869" s="143" t="n"/>
      <c r="H869" s="27" t="n"/>
    </row>
    <row r="870" ht="17.25" customHeight="1" s="322">
      <c r="A870" s="27" t="n"/>
      <c r="B870" s="506" t="n"/>
      <c r="C870" s="141" t="n"/>
      <c r="D870" s="141" t="n"/>
      <c r="E870" s="141" t="n"/>
      <c r="F870" s="141" t="n"/>
      <c r="G870" s="143" t="n"/>
      <c r="H870" s="27" t="n"/>
    </row>
    <row r="871" ht="17.25" customHeight="1" s="322">
      <c r="A871" s="27" t="n"/>
      <c r="B871" s="506" t="n"/>
      <c r="C871" s="141" t="n"/>
      <c r="D871" s="141" t="n"/>
      <c r="E871" s="141" t="n"/>
      <c r="F871" s="141" t="n"/>
      <c r="G871" s="143" t="n"/>
      <c r="H871" s="27" t="n"/>
    </row>
    <row r="872" ht="17.25" customHeight="1" s="322">
      <c r="A872" s="27" t="n"/>
      <c r="B872" s="506" t="n"/>
      <c r="C872" s="141" t="n"/>
      <c r="D872" s="141" t="n"/>
      <c r="E872" s="141" t="n"/>
      <c r="F872" s="141" t="n"/>
      <c r="G872" s="143" t="n"/>
      <c r="H872" s="27" t="n"/>
    </row>
    <row r="873" ht="17.25" customHeight="1" s="322">
      <c r="A873" s="27" t="n"/>
      <c r="B873" s="506" t="n"/>
      <c r="C873" s="141" t="n"/>
      <c r="D873" s="141" t="n"/>
      <c r="E873" s="141" t="n"/>
      <c r="F873" s="141" t="n"/>
      <c r="G873" s="143" t="n"/>
      <c r="H873" s="27" t="n"/>
    </row>
    <row r="874" ht="17.25" customHeight="1" s="322">
      <c r="A874" s="27" t="n"/>
      <c r="B874" s="506" t="n"/>
      <c r="C874" s="141" t="n"/>
      <c r="D874" s="141" t="n"/>
      <c r="E874" s="141" t="n"/>
      <c r="F874" s="141" t="n"/>
      <c r="G874" s="143" t="n"/>
      <c r="H874" s="27" t="n"/>
    </row>
    <row r="875" ht="17.25" customHeight="1" s="322">
      <c r="A875" s="27" t="n"/>
      <c r="B875" s="506" t="n"/>
      <c r="C875" s="141" t="n"/>
      <c r="D875" s="141" t="n"/>
      <c r="E875" s="141" t="n"/>
      <c r="F875" s="141" t="n"/>
      <c r="G875" s="143" t="n"/>
      <c r="H875" s="27" t="n"/>
    </row>
    <row r="876" ht="17.25" customHeight="1" s="322">
      <c r="A876" s="27" t="n"/>
      <c r="B876" s="506" t="n"/>
      <c r="C876" s="141" t="n"/>
      <c r="D876" s="141" t="n"/>
      <c r="E876" s="141" t="n"/>
      <c r="F876" s="141" t="n"/>
      <c r="G876" s="143" t="n"/>
      <c r="H876" s="27" t="n"/>
    </row>
    <row r="877" ht="17.25" customHeight="1" s="322">
      <c r="A877" s="27" t="n"/>
      <c r="B877" s="506" t="n"/>
      <c r="C877" s="141" t="n"/>
      <c r="D877" s="141" t="n"/>
      <c r="E877" s="141" t="n"/>
      <c r="F877" s="141" t="n"/>
      <c r="G877" s="143" t="n"/>
      <c r="H877" s="27" t="n"/>
    </row>
    <row r="878" ht="17.25" customHeight="1" s="322">
      <c r="A878" s="27" t="n"/>
      <c r="B878" s="506" t="n"/>
      <c r="C878" s="141" t="n"/>
      <c r="D878" s="141" t="n"/>
      <c r="E878" s="141" t="n"/>
      <c r="F878" s="141" t="n"/>
      <c r="G878" s="143" t="n"/>
      <c r="H878" s="27" t="n"/>
    </row>
    <row r="879" ht="17.25" customHeight="1" s="322">
      <c r="A879" s="27" t="n"/>
      <c r="B879" s="506" t="n"/>
      <c r="C879" s="141" t="n"/>
      <c r="D879" s="141" t="n"/>
      <c r="E879" s="141" t="n"/>
      <c r="F879" s="141" t="n"/>
      <c r="G879" s="143" t="n"/>
      <c r="H879" s="27" t="n"/>
    </row>
    <row r="880" ht="17.25" customHeight="1" s="322">
      <c r="A880" s="27" t="n"/>
      <c r="B880" s="506" t="n"/>
      <c r="C880" s="141" t="n"/>
      <c r="D880" s="141" t="n"/>
      <c r="E880" s="141" t="n"/>
      <c r="F880" s="141" t="n"/>
      <c r="G880" s="143" t="n"/>
      <c r="H880" s="27" t="n"/>
    </row>
    <row r="881" ht="17.25" customHeight="1" s="322">
      <c r="A881" s="27" t="n"/>
      <c r="B881" s="506" t="n"/>
      <c r="C881" s="141" t="n"/>
      <c r="D881" s="141" t="n"/>
      <c r="E881" s="141" t="n"/>
      <c r="F881" s="141" t="n"/>
      <c r="G881" s="143" t="n"/>
      <c r="H881" s="27" t="n"/>
    </row>
    <row r="882" ht="17.25" customHeight="1" s="322">
      <c r="A882" s="27" t="n"/>
      <c r="B882" s="506" t="n"/>
      <c r="C882" s="141" t="n"/>
      <c r="D882" s="141" t="n"/>
      <c r="E882" s="141" t="n"/>
      <c r="F882" s="141" t="n"/>
      <c r="G882" s="143" t="n"/>
      <c r="H882" s="27" t="n"/>
    </row>
    <row r="883" ht="17.25" customHeight="1" s="322">
      <c r="A883" s="27" t="n"/>
      <c r="B883" s="506" t="n"/>
      <c r="C883" s="141" t="n"/>
      <c r="D883" s="141" t="n"/>
      <c r="E883" s="141" t="n"/>
      <c r="F883" s="141" t="n"/>
      <c r="G883" s="143" t="n"/>
      <c r="H883" s="27" t="n"/>
    </row>
    <row r="884" ht="17.25" customHeight="1" s="322">
      <c r="A884" s="27" t="n"/>
      <c r="B884" s="506" t="n"/>
      <c r="C884" s="141" t="n"/>
      <c r="D884" s="141" t="n"/>
      <c r="E884" s="141" t="n"/>
      <c r="F884" s="141" t="n"/>
      <c r="G884" s="143" t="n"/>
      <c r="H884" s="27" t="n"/>
    </row>
    <row r="885" ht="17.25" customHeight="1" s="322">
      <c r="A885" s="27" t="n"/>
      <c r="B885" s="506" t="n"/>
      <c r="C885" s="141" t="n"/>
      <c r="D885" s="141" t="n"/>
      <c r="E885" s="141" t="n"/>
      <c r="F885" s="141" t="n"/>
      <c r="G885" s="143" t="n"/>
      <c r="H885" s="27" t="n"/>
    </row>
    <row r="886" ht="17.25" customHeight="1" s="322">
      <c r="A886" s="27" t="n"/>
      <c r="B886" s="506" t="n"/>
      <c r="C886" s="141" t="n"/>
      <c r="D886" s="141" t="n"/>
      <c r="E886" s="141" t="n"/>
      <c r="F886" s="141" t="n"/>
      <c r="G886" s="143" t="n"/>
      <c r="H886" s="27" t="n"/>
    </row>
    <row r="887" ht="17.25" customHeight="1" s="322">
      <c r="A887" s="27" t="n"/>
      <c r="B887" s="506" t="n"/>
      <c r="C887" s="141" t="n"/>
      <c r="D887" s="141" t="n"/>
      <c r="E887" s="141" t="n"/>
      <c r="F887" s="141" t="n"/>
      <c r="G887" s="143" t="n"/>
      <c r="H887" s="27" t="n"/>
    </row>
    <row r="888" ht="17.25" customHeight="1" s="322">
      <c r="A888" s="27" t="n"/>
      <c r="B888" s="506" t="n"/>
      <c r="C888" s="141" t="n"/>
      <c r="D888" s="141" t="n"/>
      <c r="E888" s="141" t="n"/>
      <c r="F888" s="141" t="n"/>
      <c r="G888" s="143" t="n"/>
      <c r="H888" s="27" t="n"/>
    </row>
    <row r="889" ht="17.25" customHeight="1" s="322">
      <c r="A889" s="27" t="n"/>
      <c r="B889" s="506" t="n"/>
      <c r="C889" s="141" t="n"/>
      <c r="D889" s="141" t="n"/>
      <c r="E889" s="141" t="n"/>
      <c r="F889" s="141" t="n"/>
      <c r="G889" s="143" t="n"/>
      <c r="H889" s="27" t="n"/>
    </row>
    <row r="890" ht="17.25" customHeight="1" s="322">
      <c r="A890" s="27" t="n"/>
      <c r="B890" s="506" t="n"/>
      <c r="C890" s="141" t="n"/>
      <c r="D890" s="141" t="n"/>
      <c r="E890" s="141" t="n"/>
      <c r="F890" s="141" t="n"/>
      <c r="G890" s="143" t="n"/>
      <c r="H890" s="27" t="n"/>
    </row>
    <row r="891" ht="17.25" customHeight="1" s="322">
      <c r="A891" s="27" t="n"/>
      <c r="B891" s="506" t="n"/>
      <c r="C891" s="141" t="n"/>
      <c r="D891" s="141" t="n"/>
      <c r="E891" s="141" t="n"/>
      <c r="F891" s="141" t="n"/>
      <c r="G891" s="143" t="n"/>
      <c r="H891" s="27" t="n"/>
    </row>
    <row r="892" ht="17.25" customHeight="1" s="322">
      <c r="A892" s="27" t="n"/>
      <c r="B892" s="506" t="n"/>
      <c r="C892" s="141" t="n"/>
      <c r="D892" s="141" t="n"/>
      <c r="E892" s="141" t="n"/>
      <c r="F892" s="141" t="n"/>
      <c r="G892" s="143" t="n"/>
      <c r="H892" s="27" t="n"/>
    </row>
    <row r="893" ht="17.25" customHeight="1" s="322">
      <c r="A893" s="27" t="n"/>
      <c r="B893" s="506" t="n"/>
      <c r="C893" s="141" t="n"/>
      <c r="D893" s="141" t="n"/>
      <c r="E893" s="141" t="n"/>
      <c r="F893" s="141" t="n"/>
      <c r="G893" s="143" t="n"/>
      <c r="H893" s="27" t="n"/>
    </row>
    <row r="894" ht="17.25" customHeight="1" s="322">
      <c r="A894" s="27" t="n"/>
      <c r="B894" s="506" t="n"/>
      <c r="C894" s="141" t="n"/>
      <c r="D894" s="141" t="n"/>
      <c r="E894" s="141" t="n"/>
      <c r="F894" s="141" t="n"/>
      <c r="G894" s="143" t="n"/>
      <c r="H894" s="27" t="n"/>
    </row>
    <row r="895" ht="17.25" customHeight="1" s="322">
      <c r="A895" s="27" t="n"/>
      <c r="B895" s="506" t="n"/>
      <c r="C895" s="141" t="n"/>
      <c r="D895" s="141" t="n"/>
      <c r="E895" s="141" t="n"/>
      <c r="F895" s="141" t="n"/>
      <c r="G895" s="143" t="n"/>
      <c r="H895" s="27" t="n"/>
    </row>
    <row r="896" ht="17.25" customHeight="1" s="322">
      <c r="A896" s="27" t="n"/>
      <c r="B896" s="506" t="n"/>
      <c r="C896" s="141" t="n"/>
      <c r="D896" s="141" t="n"/>
      <c r="E896" s="141" t="n"/>
      <c r="F896" s="141" t="n"/>
      <c r="G896" s="143" t="n"/>
      <c r="H896" s="27" t="n"/>
    </row>
    <row r="897" ht="17.25" customHeight="1" s="322">
      <c r="A897" s="27" t="n"/>
      <c r="B897" s="506" t="n"/>
      <c r="C897" s="141" t="n"/>
      <c r="D897" s="141" t="n"/>
      <c r="E897" s="141" t="n"/>
      <c r="F897" s="141" t="n"/>
      <c r="G897" s="143" t="n"/>
      <c r="H897" s="27" t="n"/>
    </row>
    <row r="898" ht="17.25" customHeight="1" s="322">
      <c r="A898" s="27" t="n"/>
      <c r="B898" s="506" t="n"/>
      <c r="C898" s="141" t="n"/>
      <c r="D898" s="141" t="n"/>
      <c r="E898" s="141" t="n"/>
      <c r="F898" s="141" t="n"/>
      <c r="G898" s="143" t="n"/>
      <c r="H898" s="27" t="n"/>
    </row>
    <row r="899" ht="17.25" customHeight="1" s="322">
      <c r="A899" s="27" t="n"/>
      <c r="B899" s="506" t="n"/>
      <c r="C899" s="141" t="n"/>
      <c r="D899" s="141" t="n"/>
      <c r="E899" s="141" t="n"/>
      <c r="F899" s="141" t="n"/>
      <c r="G899" s="143" t="n"/>
      <c r="H899" s="27" t="n"/>
    </row>
    <row r="900" ht="17.25" customHeight="1" s="322">
      <c r="A900" s="27" t="n"/>
      <c r="B900" s="506" t="n"/>
      <c r="C900" s="141" t="n"/>
      <c r="D900" s="141" t="n"/>
      <c r="E900" s="141" t="n"/>
      <c r="F900" s="141" t="n"/>
      <c r="G900" s="143" t="n"/>
      <c r="H900" s="27" t="n"/>
    </row>
    <row r="901" ht="17.25" customHeight="1" s="322">
      <c r="A901" s="27" t="n"/>
      <c r="B901" s="506" t="n"/>
      <c r="C901" s="141" t="n"/>
      <c r="D901" s="141" t="n"/>
      <c r="E901" s="141" t="n"/>
      <c r="F901" s="141" t="n"/>
      <c r="G901" s="143" t="n"/>
      <c r="H901" s="27" t="n"/>
    </row>
    <row r="902" ht="17.25" customHeight="1" s="322">
      <c r="A902" s="27" t="n"/>
      <c r="B902" s="506" t="n"/>
      <c r="C902" s="141" t="n"/>
      <c r="D902" s="141" t="n"/>
      <c r="E902" s="141" t="n"/>
      <c r="F902" s="141" t="n"/>
      <c r="G902" s="143" t="n"/>
      <c r="H902" s="27" t="n"/>
    </row>
    <row r="903" ht="17.25" customHeight="1" s="322">
      <c r="A903" s="27" t="n"/>
      <c r="B903" s="506" t="n"/>
      <c r="C903" s="141" t="n"/>
      <c r="D903" s="141" t="n"/>
      <c r="E903" s="141" t="n"/>
      <c r="F903" s="141" t="n"/>
      <c r="G903" s="143" t="n"/>
      <c r="H903" s="27" t="n"/>
    </row>
    <row r="904" ht="17.25" customHeight="1" s="322">
      <c r="A904" s="27" t="n"/>
      <c r="B904" s="506" t="n"/>
      <c r="C904" s="141" t="n"/>
      <c r="D904" s="141" t="n"/>
      <c r="E904" s="141" t="n"/>
      <c r="F904" s="141" t="n"/>
      <c r="G904" s="143" t="n"/>
      <c r="H904" s="27" t="n"/>
    </row>
    <row r="905" ht="17.25" customHeight="1" s="322">
      <c r="A905" s="27" t="n"/>
      <c r="B905" s="506" t="n"/>
      <c r="C905" s="141" t="n"/>
      <c r="D905" s="141" t="n"/>
      <c r="E905" s="141" t="n"/>
      <c r="F905" s="141" t="n"/>
      <c r="G905" s="143" t="n"/>
      <c r="H905" s="27" t="n"/>
    </row>
    <row r="906" ht="17.25" customHeight="1" s="322">
      <c r="A906" s="27" t="n"/>
      <c r="B906" s="506" t="n"/>
      <c r="C906" s="141" t="n"/>
      <c r="D906" s="141" t="n"/>
      <c r="E906" s="141" t="n"/>
      <c r="F906" s="141" t="n"/>
      <c r="G906" s="143" t="n"/>
      <c r="H906" s="27" t="n"/>
    </row>
    <row r="907" ht="17.25" customHeight="1" s="322">
      <c r="A907" s="27" t="n"/>
      <c r="B907" s="506" t="n"/>
      <c r="C907" s="141" t="n"/>
      <c r="D907" s="141" t="n"/>
      <c r="E907" s="141" t="n"/>
      <c r="F907" s="141" t="n"/>
      <c r="G907" s="143" t="n"/>
      <c r="H907" s="27" t="n"/>
    </row>
    <row r="908" ht="17.25" customHeight="1" s="322">
      <c r="A908" s="27" t="n"/>
      <c r="B908" s="506" t="n"/>
      <c r="C908" s="141" t="n"/>
      <c r="D908" s="141" t="n"/>
      <c r="E908" s="141" t="n"/>
      <c r="F908" s="141" t="n"/>
      <c r="G908" s="143" t="n"/>
      <c r="H908" s="27" t="n"/>
    </row>
    <row r="909" ht="17.25" customHeight="1" s="322">
      <c r="A909" s="27" t="n"/>
      <c r="B909" s="506" t="n"/>
      <c r="C909" s="141" t="n"/>
      <c r="D909" s="141" t="n"/>
      <c r="E909" s="141" t="n"/>
      <c r="F909" s="141" t="n"/>
      <c r="G909" s="143" t="n"/>
      <c r="H909" s="27" t="n"/>
    </row>
    <row r="910" ht="17.25" customHeight="1" s="322">
      <c r="A910" s="27" t="n"/>
      <c r="B910" s="506" t="n"/>
      <c r="C910" s="141" t="n"/>
      <c r="D910" s="141" t="n"/>
      <c r="E910" s="141" t="n"/>
      <c r="F910" s="141" t="n"/>
      <c r="G910" s="143" t="n"/>
      <c r="H910" s="27" t="n"/>
    </row>
    <row r="911" ht="17.25" customHeight="1" s="322">
      <c r="A911" s="27" t="n"/>
      <c r="B911" s="506" t="n"/>
      <c r="C911" s="141" t="n"/>
      <c r="D911" s="141" t="n"/>
      <c r="E911" s="141" t="n"/>
      <c r="F911" s="141" t="n"/>
      <c r="G911" s="143" t="n"/>
      <c r="H911" s="27" t="n"/>
    </row>
    <row r="912" ht="17.25" customHeight="1" s="322">
      <c r="A912" s="27" t="n"/>
      <c r="B912" s="506" t="n"/>
      <c r="C912" s="141" t="n"/>
      <c r="D912" s="141" t="n"/>
      <c r="E912" s="141" t="n"/>
      <c r="F912" s="141" t="n"/>
      <c r="G912" s="143" t="n"/>
      <c r="H912" s="27" t="n"/>
    </row>
    <row r="913" ht="17.25" customHeight="1" s="322">
      <c r="A913" s="27" t="n"/>
      <c r="B913" s="506" t="n"/>
      <c r="C913" s="141" t="n"/>
      <c r="D913" s="141" t="n"/>
      <c r="E913" s="141" t="n"/>
      <c r="F913" s="141" t="n"/>
      <c r="G913" s="143" t="n"/>
      <c r="H913" s="27" t="n"/>
    </row>
    <row r="914" ht="17.25" customHeight="1" s="322">
      <c r="A914" s="27" t="n"/>
      <c r="B914" s="506" t="n"/>
      <c r="C914" s="141" t="n"/>
      <c r="D914" s="141" t="n"/>
      <c r="E914" s="141" t="n"/>
      <c r="F914" s="141" t="n"/>
      <c r="G914" s="143" t="n"/>
      <c r="H914" s="27" t="n"/>
    </row>
    <row r="915" ht="17.25" customHeight="1" s="322">
      <c r="A915" s="27" t="n"/>
      <c r="B915" s="506" t="n"/>
      <c r="C915" s="141" t="n"/>
      <c r="D915" s="141" t="n"/>
      <c r="E915" s="141" t="n"/>
      <c r="F915" s="141" t="n"/>
      <c r="G915" s="143" t="n"/>
      <c r="H915" s="27" t="n"/>
    </row>
    <row r="916" ht="17.25" customHeight="1" s="322">
      <c r="A916" s="27" t="n"/>
      <c r="B916" s="506" t="n"/>
      <c r="C916" s="141" t="n"/>
      <c r="D916" s="141" t="n"/>
      <c r="E916" s="141" t="n"/>
      <c r="F916" s="141" t="n"/>
      <c r="G916" s="143" t="n"/>
      <c r="H916" s="27" t="n"/>
    </row>
    <row r="917" ht="17.25" customHeight="1" s="322">
      <c r="A917" s="27" t="n"/>
      <c r="B917" s="506" t="n"/>
      <c r="C917" s="141" t="n"/>
      <c r="D917" s="141" t="n"/>
      <c r="E917" s="141" t="n"/>
      <c r="F917" s="141" t="n"/>
      <c r="G917" s="143" t="n"/>
      <c r="H917" s="27" t="n"/>
    </row>
    <row r="918" ht="17.25" customHeight="1" s="322">
      <c r="A918" s="27" t="n"/>
      <c r="B918" s="506" t="n"/>
      <c r="C918" s="141" t="n"/>
      <c r="D918" s="141" t="n"/>
      <c r="E918" s="141" t="n"/>
      <c r="F918" s="141" t="n"/>
      <c r="G918" s="143" t="n"/>
      <c r="H918" s="27" t="n"/>
    </row>
    <row r="919" ht="17.25" customHeight="1" s="322">
      <c r="A919" s="27" t="n"/>
      <c r="B919" s="506" t="n"/>
      <c r="C919" s="141" t="n"/>
      <c r="D919" s="141" t="n"/>
      <c r="E919" s="141" t="n"/>
      <c r="F919" s="141" t="n"/>
      <c r="G919" s="143" t="n"/>
      <c r="H919" s="27" t="n"/>
    </row>
    <row r="920" ht="17.25" customHeight="1" s="322">
      <c r="A920" s="27" t="n"/>
      <c r="B920" s="506" t="n"/>
      <c r="C920" s="141" t="n"/>
      <c r="D920" s="141" t="n"/>
      <c r="E920" s="141" t="n"/>
      <c r="F920" s="141" t="n"/>
      <c r="G920" s="143" t="n"/>
      <c r="H920" s="27" t="n"/>
    </row>
    <row r="921" ht="17.25" customHeight="1" s="322">
      <c r="A921" s="27" t="n"/>
      <c r="B921" s="506" t="n"/>
      <c r="C921" s="141" t="n"/>
      <c r="D921" s="141" t="n"/>
      <c r="E921" s="141" t="n"/>
      <c r="F921" s="141" t="n"/>
      <c r="G921" s="143" t="n"/>
      <c r="H921" s="27" t="n"/>
    </row>
    <row r="922" ht="17.25" customHeight="1" s="322">
      <c r="A922" s="27" t="n"/>
      <c r="B922" s="506" t="n"/>
      <c r="C922" s="141" t="n"/>
      <c r="D922" s="141" t="n"/>
      <c r="E922" s="141" t="n"/>
      <c r="F922" s="141" t="n"/>
      <c r="G922" s="143" t="n"/>
      <c r="H922" s="27" t="n"/>
    </row>
    <row r="923" ht="17.25" customHeight="1" s="322">
      <c r="A923" s="27" t="n"/>
      <c r="B923" s="506" t="n"/>
      <c r="C923" s="141" t="n"/>
      <c r="D923" s="141" t="n"/>
      <c r="E923" s="141" t="n"/>
      <c r="F923" s="141" t="n"/>
      <c r="G923" s="143" t="n"/>
      <c r="H923" s="27" t="n"/>
    </row>
    <row r="924" ht="17.25" customHeight="1" s="322">
      <c r="A924" s="27" t="n"/>
      <c r="B924" s="506" t="n"/>
      <c r="C924" s="141" t="n"/>
      <c r="D924" s="141" t="n"/>
      <c r="E924" s="141" t="n"/>
      <c r="F924" s="141" t="n"/>
      <c r="G924" s="143" t="n"/>
      <c r="H924" s="27" t="n"/>
    </row>
    <row r="925" ht="17.25" customHeight="1" s="322">
      <c r="A925" s="27" t="n"/>
      <c r="B925" s="506" t="n"/>
      <c r="C925" s="141" t="n"/>
      <c r="D925" s="141" t="n"/>
      <c r="E925" s="141" t="n"/>
      <c r="F925" s="141" t="n"/>
      <c r="G925" s="143" t="n"/>
      <c r="H925" s="27" t="n"/>
    </row>
    <row r="926" ht="17.25" customHeight="1" s="322">
      <c r="A926" s="27" t="n"/>
      <c r="B926" s="506" t="n"/>
      <c r="C926" s="141" t="n"/>
      <c r="D926" s="141" t="n"/>
      <c r="E926" s="141" t="n"/>
      <c r="F926" s="141" t="n"/>
      <c r="G926" s="143" t="n"/>
      <c r="H926" s="27" t="n"/>
    </row>
    <row r="927" ht="17.25" customHeight="1" s="322">
      <c r="A927" s="27" t="n"/>
      <c r="B927" s="506" t="n"/>
      <c r="C927" s="141" t="n"/>
      <c r="D927" s="141" t="n"/>
      <c r="E927" s="141" t="n"/>
      <c r="F927" s="141" t="n"/>
      <c r="G927" s="143" t="n"/>
      <c r="H927" s="27" t="n"/>
    </row>
    <row r="928" ht="17.25" customHeight="1" s="322">
      <c r="A928" s="27" t="n"/>
      <c r="B928" s="506" t="n"/>
      <c r="C928" s="141" t="n"/>
      <c r="D928" s="141" t="n"/>
      <c r="E928" s="141" t="n"/>
      <c r="F928" s="141" t="n"/>
      <c r="G928" s="143" t="n"/>
      <c r="H928" s="27" t="n"/>
    </row>
    <row r="929" ht="17.25" customHeight="1" s="322">
      <c r="A929" s="27" t="n"/>
      <c r="B929" s="506" t="n"/>
      <c r="C929" s="141" t="n"/>
      <c r="D929" s="141" t="n"/>
      <c r="E929" s="141" t="n"/>
      <c r="F929" s="141" t="n"/>
      <c r="G929" s="143" t="n"/>
      <c r="H929" s="27" t="n"/>
    </row>
    <row r="930" ht="17.25" customHeight="1" s="322">
      <c r="A930" s="27" t="n"/>
      <c r="B930" s="506" t="n"/>
      <c r="C930" s="141" t="n"/>
      <c r="D930" s="141" t="n"/>
      <c r="E930" s="141" t="n"/>
      <c r="F930" s="141" t="n"/>
      <c r="G930" s="143" t="n"/>
      <c r="H930" s="27" t="n"/>
    </row>
    <row r="931" ht="17.25" customHeight="1" s="322">
      <c r="A931" s="27" t="n"/>
      <c r="B931" s="506" t="n"/>
      <c r="C931" s="141" t="n"/>
      <c r="D931" s="141" t="n"/>
      <c r="E931" s="141" t="n"/>
      <c r="F931" s="141" t="n"/>
      <c r="G931" s="143" t="n"/>
      <c r="H931" s="27" t="n"/>
    </row>
    <row r="932" ht="17.25" customHeight="1" s="322">
      <c r="A932" s="27" t="n"/>
      <c r="B932" s="506" t="n"/>
      <c r="C932" s="141" t="n"/>
      <c r="D932" s="141" t="n"/>
      <c r="E932" s="141" t="n"/>
      <c r="F932" s="141" t="n"/>
      <c r="G932" s="143" t="n"/>
      <c r="H932" s="27" t="n"/>
    </row>
    <row r="933" ht="17.25" customHeight="1" s="322">
      <c r="A933" s="27" t="n"/>
      <c r="B933" s="506" t="n"/>
      <c r="C933" s="141" t="n"/>
      <c r="D933" s="141" t="n"/>
      <c r="E933" s="141" t="n"/>
      <c r="F933" s="141" t="n"/>
      <c r="G933" s="143" t="n"/>
      <c r="H933" s="27" t="n"/>
    </row>
    <row r="934" ht="17.25" customHeight="1" s="322">
      <c r="A934" s="27" t="n"/>
      <c r="B934" s="506" t="n"/>
      <c r="C934" s="141" t="n"/>
      <c r="D934" s="141" t="n"/>
      <c r="E934" s="141" t="n"/>
      <c r="F934" s="141" t="n"/>
      <c r="G934" s="143" t="n"/>
      <c r="H934" s="27" t="n"/>
    </row>
    <row r="935" ht="17.25" customHeight="1" s="322">
      <c r="A935" s="27" t="n"/>
      <c r="B935" s="506" t="n"/>
      <c r="C935" s="141" t="n"/>
      <c r="D935" s="141" t="n"/>
      <c r="E935" s="141" t="n"/>
      <c r="F935" s="141" t="n"/>
      <c r="G935" s="143" t="n"/>
      <c r="H935" s="27" t="n"/>
    </row>
    <row r="936" ht="17.25" customHeight="1" s="322">
      <c r="A936" s="27" t="n"/>
      <c r="B936" s="506" t="n"/>
      <c r="C936" s="141" t="n"/>
      <c r="D936" s="141" t="n"/>
      <c r="E936" s="141" t="n"/>
      <c r="F936" s="141" t="n"/>
      <c r="G936" s="143" t="n"/>
      <c r="H936" s="27" t="n"/>
    </row>
    <row r="937" ht="17.25" customHeight="1" s="322">
      <c r="A937" s="27" t="n"/>
      <c r="B937" s="506" t="n"/>
      <c r="C937" s="141" t="n"/>
      <c r="D937" s="141" t="n"/>
      <c r="E937" s="141" t="n"/>
      <c r="F937" s="141" t="n"/>
      <c r="G937" s="143" t="n"/>
      <c r="H937" s="27" t="n"/>
    </row>
    <row r="938" ht="17.25" customHeight="1" s="322">
      <c r="A938" s="27" t="n"/>
      <c r="B938" s="506" t="n"/>
      <c r="C938" s="141" t="n"/>
      <c r="D938" s="141" t="n"/>
      <c r="E938" s="141" t="n"/>
      <c r="F938" s="141" t="n"/>
      <c r="G938" s="143" t="n"/>
      <c r="H938" s="27" t="n"/>
    </row>
    <row r="939" ht="17.25" customHeight="1" s="322">
      <c r="A939" s="27" t="n"/>
      <c r="B939" s="506" t="n"/>
      <c r="C939" s="141" t="n"/>
      <c r="D939" s="141" t="n"/>
      <c r="E939" s="141" t="n"/>
      <c r="F939" s="141" t="n"/>
      <c r="G939" s="143" t="n"/>
      <c r="H939" s="27" t="n"/>
    </row>
    <row r="940" ht="17.25" customHeight="1" s="322">
      <c r="A940" s="27" t="n"/>
      <c r="B940" s="506" t="n"/>
      <c r="C940" s="141" t="n"/>
      <c r="D940" s="141" t="n"/>
      <c r="E940" s="141" t="n"/>
      <c r="F940" s="141" t="n"/>
      <c r="G940" s="143" t="n"/>
      <c r="H940" s="27" t="n"/>
    </row>
    <row r="941" ht="17.25" customHeight="1" s="322">
      <c r="A941" s="27" t="n"/>
      <c r="B941" s="506" t="n"/>
      <c r="C941" s="141" t="n"/>
      <c r="D941" s="141" t="n"/>
      <c r="E941" s="141" t="n"/>
      <c r="F941" s="141" t="n"/>
      <c r="G941" s="143" t="n"/>
      <c r="H941" s="27" t="n"/>
    </row>
    <row r="942" ht="17.25" customHeight="1" s="322">
      <c r="A942" s="27" t="n"/>
      <c r="B942" s="506" t="n"/>
      <c r="C942" s="141" t="n"/>
      <c r="D942" s="141" t="n"/>
      <c r="E942" s="141" t="n"/>
      <c r="F942" s="141" t="n"/>
      <c r="G942" s="143" t="n"/>
      <c r="H942" s="27" t="n"/>
    </row>
    <row r="943" ht="17.25" customHeight="1" s="322">
      <c r="A943" s="27" t="n"/>
      <c r="B943" s="506" t="n"/>
      <c r="C943" s="141" t="n"/>
      <c r="D943" s="141" t="n"/>
      <c r="E943" s="141" t="n"/>
      <c r="F943" s="141" t="n"/>
      <c r="G943" s="143" t="n"/>
      <c r="H943" s="27" t="n"/>
    </row>
    <row r="944" ht="17.25" customHeight="1" s="322">
      <c r="A944" s="27" t="n"/>
      <c r="B944" s="506" t="n"/>
      <c r="C944" s="141" t="n"/>
      <c r="D944" s="141" t="n"/>
      <c r="E944" s="141" t="n"/>
      <c r="F944" s="141" t="n"/>
      <c r="G944" s="143" t="n"/>
      <c r="H944" s="27" t="n"/>
    </row>
    <row r="945" ht="17.25" customHeight="1" s="322">
      <c r="A945" s="27" t="n"/>
      <c r="B945" s="506" t="n"/>
      <c r="C945" s="141" t="n"/>
      <c r="D945" s="141" t="n"/>
      <c r="E945" s="141" t="n"/>
      <c r="F945" s="141" t="n"/>
      <c r="G945" s="143" t="n"/>
      <c r="H945" s="27" t="n"/>
    </row>
    <row r="946" ht="17.25" customHeight="1" s="322">
      <c r="A946" s="27" t="n"/>
      <c r="B946" s="506" t="n"/>
      <c r="C946" s="141" t="n"/>
      <c r="D946" s="141" t="n"/>
      <c r="E946" s="141" t="n"/>
      <c r="F946" s="141" t="n"/>
      <c r="G946" s="143" t="n"/>
      <c r="H946" s="27" t="n"/>
    </row>
    <row r="947" ht="17.25" customHeight="1" s="322">
      <c r="A947" s="27" t="n"/>
      <c r="B947" s="506" t="n"/>
      <c r="C947" s="141" t="n"/>
      <c r="D947" s="141" t="n"/>
      <c r="E947" s="141" t="n"/>
      <c r="F947" s="141" t="n"/>
      <c r="G947" s="143" t="n"/>
      <c r="H947" s="27" t="n"/>
    </row>
    <row r="948" ht="17.25" customHeight="1" s="322">
      <c r="A948" s="27" t="n"/>
      <c r="B948" s="506" t="n"/>
      <c r="C948" s="141" t="n"/>
      <c r="D948" s="141" t="n"/>
      <c r="E948" s="141" t="n"/>
      <c r="F948" s="141" t="n"/>
      <c r="G948" s="143" t="n"/>
      <c r="H948" s="27" t="n"/>
    </row>
    <row r="949" ht="17.25" customHeight="1" s="322">
      <c r="A949" s="27" t="n"/>
      <c r="B949" s="506" t="n"/>
      <c r="C949" s="141" t="n"/>
      <c r="D949" s="141" t="n"/>
      <c r="E949" s="141" t="n"/>
      <c r="F949" s="141" t="n"/>
      <c r="G949" s="143" t="n"/>
      <c r="H949" s="27" t="n"/>
    </row>
    <row r="950" ht="17.25" customHeight="1" s="322">
      <c r="A950" s="27" t="n"/>
      <c r="B950" s="506" t="n"/>
      <c r="C950" s="141" t="n"/>
      <c r="D950" s="141" t="n"/>
      <c r="E950" s="141" t="n"/>
      <c r="F950" s="141" t="n"/>
      <c r="G950" s="143" t="n"/>
      <c r="H950" s="27" t="n"/>
    </row>
    <row r="951" ht="17.25" customHeight="1" s="322">
      <c r="A951" s="27" t="n"/>
      <c r="B951" s="506" t="n"/>
      <c r="C951" s="141" t="n"/>
      <c r="D951" s="141" t="n"/>
      <c r="E951" s="141" t="n"/>
      <c r="F951" s="141" t="n"/>
      <c r="G951" s="143" t="n"/>
      <c r="H951" s="27" t="n"/>
    </row>
    <row r="952" ht="17.25" customHeight="1" s="322">
      <c r="A952" s="27" t="n"/>
      <c r="B952" s="506" t="n"/>
      <c r="C952" s="141" t="n"/>
      <c r="D952" s="141" t="n"/>
      <c r="E952" s="141" t="n"/>
      <c r="F952" s="141" t="n"/>
      <c r="G952" s="143" t="n"/>
      <c r="H952" s="27" t="n"/>
    </row>
    <row r="953" ht="17.25" customHeight="1" s="322">
      <c r="A953" s="27" t="n"/>
      <c r="B953" s="506" t="n"/>
      <c r="C953" s="141" t="n"/>
      <c r="D953" s="141" t="n"/>
      <c r="E953" s="141" t="n"/>
      <c r="F953" s="141" t="n"/>
      <c r="G953" s="143" t="n"/>
      <c r="H953" s="27" t="n"/>
    </row>
    <row r="954" ht="17.25" customHeight="1" s="322">
      <c r="A954" s="27" t="n"/>
      <c r="B954" s="506" t="n"/>
      <c r="C954" s="141" t="n"/>
      <c r="D954" s="141" t="n"/>
      <c r="E954" s="141" t="n"/>
      <c r="F954" s="141" t="n"/>
      <c r="G954" s="143" t="n"/>
      <c r="H954" s="27" t="n"/>
    </row>
    <row r="955" ht="17.25" customHeight="1" s="322">
      <c r="A955" s="27" t="n"/>
      <c r="B955" s="506" t="n"/>
      <c r="C955" s="141" t="n"/>
      <c r="D955" s="141" t="n"/>
      <c r="E955" s="141" t="n"/>
      <c r="F955" s="141" t="n"/>
      <c r="G955" s="143" t="n"/>
      <c r="H955" s="27" t="n"/>
    </row>
    <row r="956" ht="17.25" customHeight="1" s="322">
      <c r="A956" s="27" t="n"/>
      <c r="B956" s="506" t="n"/>
      <c r="C956" s="141" t="n"/>
      <c r="D956" s="141" t="n"/>
      <c r="E956" s="141" t="n"/>
      <c r="F956" s="141" t="n"/>
      <c r="G956" s="143" t="n"/>
      <c r="H956" s="27" t="n"/>
    </row>
    <row r="957" ht="17.25" customHeight="1" s="322">
      <c r="A957" s="27" t="n"/>
      <c r="B957" s="506" t="n"/>
      <c r="C957" s="141" t="n"/>
      <c r="D957" s="141" t="n"/>
      <c r="E957" s="141" t="n"/>
      <c r="F957" s="141" t="n"/>
      <c r="G957" s="143" t="n"/>
      <c r="H957" s="27" t="n"/>
    </row>
    <row r="958" ht="17.25" customHeight="1" s="322">
      <c r="A958" s="27" t="n"/>
      <c r="B958" s="506" t="n"/>
      <c r="C958" s="141" t="n"/>
      <c r="D958" s="141" t="n"/>
      <c r="E958" s="141" t="n"/>
      <c r="F958" s="141" t="n"/>
      <c r="G958" s="143" t="n"/>
      <c r="H958" s="27" t="n"/>
    </row>
    <row r="959" ht="17.25" customHeight="1" s="322">
      <c r="A959" s="27" t="n"/>
      <c r="B959" s="506" t="n"/>
      <c r="C959" s="141" t="n"/>
      <c r="D959" s="141" t="n"/>
      <c r="E959" s="141" t="n"/>
      <c r="F959" s="141" t="n"/>
      <c r="G959" s="143" t="n"/>
      <c r="H959" s="27" t="n"/>
    </row>
    <row r="960" ht="17.25" customHeight="1" s="322">
      <c r="A960" s="27" t="n"/>
      <c r="B960" s="506" t="n"/>
      <c r="C960" s="141" t="n"/>
      <c r="D960" s="141" t="n"/>
      <c r="E960" s="141" t="n"/>
      <c r="F960" s="141" t="n"/>
      <c r="G960" s="143" t="n"/>
      <c r="H960" s="27" t="n"/>
    </row>
    <row r="961" ht="17.25" customHeight="1" s="322">
      <c r="A961" s="27" t="n"/>
      <c r="B961" s="506" t="n"/>
      <c r="C961" s="141" t="n"/>
      <c r="D961" s="141" t="n"/>
      <c r="E961" s="141" t="n"/>
      <c r="F961" s="141" t="n"/>
      <c r="G961" s="143" t="n"/>
      <c r="H961" s="27" t="n"/>
    </row>
    <row r="962" ht="17.25" customHeight="1" s="322">
      <c r="A962" s="27" t="n"/>
      <c r="B962" s="506" t="n"/>
      <c r="C962" s="141" t="n"/>
      <c r="D962" s="141" t="n"/>
      <c r="E962" s="141" t="n"/>
      <c r="F962" s="141" t="n"/>
      <c r="G962" s="143" t="n"/>
      <c r="H962" s="27" t="n"/>
    </row>
    <row r="963" ht="17.25" customHeight="1" s="322">
      <c r="A963" s="27" t="n"/>
      <c r="B963" s="506" t="n"/>
      <c r="C963" s="141" t="n"/>
      <c r="D963" s="141" t="n"/>
      <c r="E963" s="141" t="n"/>
      <c r="F963" s="141" t="n"/>
      <c r="G963" s="143" t="n"/>
      <c r="H963" s="27" t="n"/>
    </row>
    <row r="964" ht="17.25" customHeight="1" s="322">
      <c r="A964" s="27" t="n"/>
      <c r="B964" s="506" t="n"/>
      <c r="C964" s="141" t="n"/>
      <c r="D964" s="141" t="n"/>
      <c r="E964" s="141" t="n"/>
      <c r="F964" s="141" t="n"/>
      <c r="G964" s="143" t="n"/>
      <c r="H964" s="27" t="n"/>
    </row>
    <row r="965" ht="17.25" customHeight="1" s="322">
      <c r="A965" s="27" t="n"/>
      <c r="B965" s="506" t="n"/>
      <c r="C965" s="141" t="n"/>
      <c r="D965" s="141" t="n"/>
      <c r="E965" s="141" t="n"/>
      <c r="F965" s="141" t="n"/>
      <c r="G965" s="143" t="n"/>
      <c r="H965" s="27" t="n"/>
    </row>
    <row r="966" ht="17.25" customHeight="1" s="322">
      <c r="A966" s="27" t="n"/>
      <c r="B966" s="506" t="n"/>
      <c r="C966" s="141" t="n"/>
      <c r="D966" s="141" t="n"/>
      <c r="E966" s="141" t="n"/>
      <c r="F966" s="141" t="n"/>
      <c r="G966" s="143" t="n"/>
      <c r="H966" s="27" t="n"/>
    </row>
    <row r="967" ht="17.25" customHeight="1" s="322">
      <c r="A967" s="27" t="n"/>
      <c r="B967" s="506" t="n"/>
      <c r="C967" s="141" t="n"/>
      <c r="D967" s="141" t="n"/>
      <c r="E967" s="141" t="n"/>
      <c r="F967" s="141" t="n"/>
      <c r="G967" s="143" t="n"/>
      <c r="H967" s="27" t="n"/>
    </row>
    <row r="968" ht="17.25" customHeight="1" s="322">
      <c r="A968" s="27" t="n"/>
      <c r="B968" s="506" t="n"/>
      <c r="C968" s="141" t="n"/>
      <c r="D968" s="141" t="n"/>
      <c r="E968" s="141" t="n"/>
      <c r="F968" s="141" t="n"/>
      <c r="G968" s="143" t="n"/>
      <c r="H968" s="27" t="n"/>
    </row>
    <row r="969" ht="17.25" customHeight="1" s="322">
      <c r="A969" s="27" t="n"/>
      <c r="B969" s="506" t="n"/>
      <c r="C969" s="141" t="n"/>
      <c r="D969" s="141" t="n"/>
      <c r="E969" s="141" t="n"/>
      <c r="F969" s="141" t="n"/>
      <c r="G969" s="143" t="n"/>
      <c r="H969" s="27" t="n"/>
    </row>
    <row r="970" ht="17.25" customHeight="1" s="322">
      <c r="A970" s="27" t="n"/>
      <c r="B970" s="506" t="n"/>
      <c r="C970" s="141" t="n"/>
      <c r="D970" s="141" t="n"/>
      <c r="E970" s="141" t="n"/>
      <c r="F970" s="141" t="n"/>
      <c r="G970" s="143" t="n"/>
      <c r="H970" s="27" t="n"/>
    </row>
    <row r="971" ht="17.25" customHeight="1" s="322">
      <c r="A971" s="27" t="n"/>
      <c r="B971" s="506" t="n"/>
      <c r="C971" s="141" t="n"/>
      <c r="D971" s="141" t="n"/>
      <c r="E971" s="141" t="n"/>
      <c r="F971" s="141" t="n"/>
      <c r="G971" s="143" t="n"/>
      <c r="H971" s="27" t="n"/>
    </row>
    <row r="972" ht="17.25" customHeight="1" s="322">
      <c r="A972" s="27" t="n"/>
      <c r="B972" s="506" t="n"/>
      <c r="C972" s="141" t="n"/>
      <c r="D972" s="141" t="n"/>
      <c r="E972" s="141" t="n"/>
      <c r="F972" s="141" t="n"/>
      <c r="G972" s="143" t="n"/>
      <c r="H972" s="27" t="n"/>
    </row>
    <row r="973" ht="17.25" customHeight="1" s="322">
      <c r="A973" s="27" t="n"/>
      <c r="B973" s="506" t="n"/>
      <c r="C973" s="141" t="n"/>
      <c r="D973" s="141" t="n"/>
      <c r="E973" s="141" t="n"/>
      <c r="F973" s="141" t="n"/>
      <c r="G973" s="143" t="n"/>
      <c r="H973" s="27" t="n"/>
    </row>
    <row r="974" ht="17.25" customHeight="1" s="322">
      <c r="A974" s="27" t="n"/>
      <c r="B974" s="506" t="n"/>
      <c r="C974" s="141" t="n"/>
      <c r="D974" s="141" t="n"/>
      <c r="E974" s="141" t="n"/>
      <c r="F974" s="141" t="n"/>
      <c r="G974" s="143" t="n"/>
      <c r="H974" s="27" t="n"/>
    </row>
    <row r="975" ht="17.25" customHeight="1" s="322">
      <c r="A975" s="27" t="n"/>
      <c r="B975" s="506" t="n"/>
      <c r="C975" s="141" t="n"/>
      <c r="D975" s="141" t="n"/>
      <c r="E975" s="141" t="n"/>
      <c r="F975" s="141" t="n"/>
      <c r="G975" s="143" t="n"/>
      <c r="H975" s="27" t="n"/>
    </row>
    <row r="976" ht="17.25" customHeight="1" s="322">
      <c r="A976" s="27" t="n"/>
      <c r="B976" s="506" t="n"/>
      <c r="C976" s="141" t="n"/>
      <c r="D976" s="141" t="n"/>
      <c r="E976" s="141" t="n"/>
      <c r="F976" s="141" t="n"/>
      <c r="G976" s="143" t="n"/>
      <c r="H976" s="27" t="n"/>
    </row>
    <row r="977" ht="17.25" customHeight="1" s="322">
      <c r="A977" s="27" t="n"/>
      <c r="B977" s="506" t="n"/>
      <c r="C977" s="141" t="n"/>
      <c r="D977" s="141" t="n"/>
      <c r="E977" s="141" t="n"/>
      <c r="F977" s="141" t="n"/>
      <c r="G977" s="143" t="n"/>
      <c r="H977" s="27" t="n"/>
    </row>
    <row r="978" ht="17.25" customHeight="1" s="322">
      <c r="A978" s="27" t="n"/>
      <c r="B978" s="506" t="n"/>
      <c r="C978" s="141" t="n"/>
      <c r="D978" s="141" t="n"/>
      <c r="E978" s="141" t="n"/>
      <c r="F978" s="141" t="n"/>
      <c r="G978" s="143" t="n"/>
      <c r="H978" s="27" t="n"/>
    </row>
    <row r="979" ht="17.25" customHeight="1" s="322">
      <c r="A979" s="27" t="n"/>
      <c r="B979" s="506" t="n"/>
      <c r="C979" s="141" t="n"/>
      <c r="D979" s="141" t="n"/>
      <c r="E979" s="141" t="n"/>
      <c r="F979" s="141" t="n"/>
      <c r="G979" s="143" t="n"/>
      <c r="H979" s="27" t="n"/>
    </row>
    <row r="980" ht="17.25" customHeight="1" s="322">
      <c r="A980" s="27" t="n"/>
      <c r="B980" s="506" t="n"/>
      <c r="C980" s="141" t="n"/>
      <c r="D980" s="141" t="n"/>
      <c r="E980" s="141" t="n"/>
      <c r="F980" s="141" t="n"/>
      <c r="G980" s="143" t="n"/>
      <c r="H980" s="27" t="n"/>
    </row>
    <row r="981" ht="17.25" customHeight="1" s="322">
      <c r="A981" s="27" t="n"/>
      <c r="B981" s="506" t="n"/>
      <c r="C981" s="141" t="n"/>
      <c r="D981" s="141" t="n"/>
      <c r="E981" s="141" t="n"/>
      <c r="F981" s="141" t="n"/>
      <c r="G981" s="143" t="n"/>
      <c r="H981" s="27" t="n"/>
    </row>
    <row r="982" ht="17.25" customHeight="1" s="322">
      <c r="A982" s="27" t="n"/>
      <c r="B982" s="506" t="n"/>
      <c r="C982" s="141" t="n"/>
      <c r="D982" s="141" t="n"/>
      <c r="E982" s="141" t="n"/>
      <c r="F982" s="141" t="n"/>
      <c r="G982" s="143" t="n"/>
      <c r="H982" s="27" t="n"/>
    </row>
    <row r="983" ht="17.25" customHeight="1" s="322">
      <c r="A983" s="27" t="n"/>
      <c r="B983" s="506" t="n"/>
      <c r="C983" s="141" t="n"/>
      <c r="D983" s="141" t="n"/>
      <c r="E983" s="141" t="n"/>
      <c r="F983" s="141" t="n"/>
      <c r="G983" s="143" t="n"/>
      <c r="H983" s="27" t="n"/>
    </row>
    <row r="984" ht="17.25" customHeight="1" s="322">
      <c r="A984" s="27" t="n"/>
      <c r="B984" s="506" t="n"/>
      <c r="C984" s="141" t="n"/>
      <c r="D984" s="141" t="n"/>
      <c r="E984" s="141" t="n"/>
      <c r="F984" s="141" t="n"/>
      <c r="G984" s="143" t="n"/>
      <c r="H984" s="27" t="n"/>
    </row>
    <row r="985" ht="17.25" customHeight="1" s="322">
      <c r="A985" s="27" t="n"/>
      <c r="B985" s="506" t="n"/>
      <c r="C985" s="141" t="n"/>
      <c r="D985" s="141" t="n"/>
      <c r="E985" s="141" t="n"/>
      <c r="F985" s="141" t="n"/>
      <c r="G985" s="143" t="n"/>
      <c r="H985" s="27" t="n"/>
    </row>
    <row r="986" ht="17.25" customHeight="1" s="322">
      <c r="A986" s="27" t="n"/>
      <c r="B986" s="506" t="n"/>
      <c r="C986" s="141" t="n"/>
      <c r="D986" s="141" t="n"/>
      <c r="E986" s="141" t="n"/>
      <c r="F986" s="141" t="n"/>
      <c r="G986" s="143" t="n"/>
      <c r="H986" s="27" t="n"/>
    </row>
    <row r="987" ht="17.25" customHeight="1" s="322">
      <c r="A987" s="27" t="n"/>
      <c r="B987" s="506" t="n"/>
      <c r="C987" s="141" t="n"/>
      <c r="D987" s="141" t="n"/>
      <c r="E987" s="141" t="n"/>
      <c r="F987" s="141" t="n"/>
      <c r="G987" s="143" t="n"/>
      <c r="H987" s="27" t="n"/>
    </row>
    <row r="988" ht="17.25" customHeight="1" s="322">
      <c r="A988" s="27" t="n"/>
      <c r="B988" s="506" t="n"/>
      <c r="C988" s="141" t="n"/>
      <c r="D988" s="141" t="n"/>
      <c r="E988" s="141" t="n"/>
      <c r="F988" s="141" t="n"/>
      <c r="G988" s="143" t="n"/>
      <c r="H988" s="27" t="n"/>
    </row>
    <row r="989" ht="17.25" customHeight="1" s="322">
      <c r="A989" s="27" t="n"/>
      <c r="B989" s="506" t="n"/>
      <c r="C989" s="141" t="n"/>
      <c r="D989" s="141" t="n"/>
      <c r="E989" s="141" t="n"/>
      <c r="F989" s="141" t="n"/>
      <c r="G989" s="143" t="n"/>
      <c r="H989" s="27" t="n"/>
    </row>
    <row r="990" ht="17.25" customHeight="1" s="322">
      <c r="A990" s="27" t="n"/>
      <c r="B990" s="506" t="n"/>
      <c r="C990" s="141" t="n"/>
      <c r="D990" s="141" t="n"/>
      <c r="E990" s="141" t="n"/>
      <c r="F990" s="141" t="n"/>
      <c r="G990" s="143" t="n"/>
      <c r="H990" s="27" t="n"/>
    </row>
    <row r="991" ht="17.25" customHeight="1" s="322">
      <c r="A991" s="27" t="n"/>
      <c r="B991" s="506" t="n"/>
      <c r="C991" s="141" t="n"/>
      <c r="D991" s="141" t="n"/>
      <c r="E991" s="141" t="n"/>
      <c r="F991" s="141" t="n"/>
      <c r="G991" s="143" t="n"/>
      <c r="H991" s="27" t="n"/>
    </row>
    <row r="992" ht="17.25" customHeight="1" s="322">
      <c r="A992" s="27" t="n"/>
      <c r="B992" s="506" t="n"/>
      <c r="C992" s="141" t="n"/>
      <c r="D992" s="141" t="n"/>
      <c r="E992" s="141" t="n"/>
      <c r="F992" s="141" t="n"/>
      <c r="G992" s="143" t="n"/>
      <c r="H992" s="27" t="n"/>
    </row>
    <row r="993" ht="17.25" customHeight="1" s="322">
      <c r="A993" s="27" t="n"/>
      <c r="B993" s="506" t="n"/>
      <c r="C993" s="141" t="n"/>
      <c r="D993" s="141" t="n"/>
      <c r="E993" s="141" t="n"/>
      <c r="F993" s="141" t="n"/>
      <c r="G993" s="143" t="n"/>
      <c r="H993" s="27" t="n"/>
    </row>
    <row r="994" ht="17.25" customHeight="1" s="322">
      <c r="A994" s="27" t="n"/>
      <c r="B994" s="506" t="n"/>
      <c r="C994" s="141" t="n"/>
      <c r="D994" s="141" t="n"/>
      <c r="E994" s="141" t="n"/>
      <c r="F994" s="141" t="n"/>
      <c r="G994" s="143" t="n"/>
      <c r="H994" s="27" t="n"/>
    </row>
    <row r="995" ht="17.25" customHeight="1" s="322">
      <c r="A995" s="27" t="n"/>
      <c r="B995" s="506" t="n"/>
      <c r="C995" s="141" t="n"/>
      <c r="D995" s="141" t="n"/>
      <c r="E995" s="141" t="n"/>
      <c r="F995" s="141" t="n"/>
      <c r="G995" s="143" t="n"/>
      <c r="H995" s="27" t="n"/>
    </row>
    <row r="996" ht="17.25" customHeight="1" s="322">
      <c r="A996" s="27" t="n"/>
      <c r="B996" s="506" t="n"/>
      <c r="C996" s="141" t="n"/>
      <c r="D996" s="141" t="n"/>
      <c r="E996" s="141" t="n"/>
      <c r="F996" s="141" t="n"/>
      <c r="G996" s="143" t="n"/>
      <c r="H996" s="27" t="n"/>
    </row>
    <row r="997" ht="17.25" customHeight="1" s="322">
      <c r="A997" s="27" t="n"/>
      <c r="B997" s="506" t="n"/>
      <c r="C997" s="141" t="n"/>
      <c r="D997" s="141" t="n"/>
      <c r="E997" s="141" t="n"/>
      <c r="F997" s="141" t="n"/>
      <c r="G997" s="143" t="n"/>
      <c r="H997" s="27" t="n"/>
    </row>
    <row r="998" ht="17.25" customHeight="1" s="322">
      <c r="A998" s="27" t="n"/>
      <c r="B998" s="506" t="n"/>
      <c r="C998" s="141" t="n"/>
      <c r="D998" s="141" t="n"/>
      <c r="E998" s="141" t="n"/>
      <c r="F998" s="141" t="n"/>
      <c r="G998" s="143" t="n"/>
      <c r="H998" s="27" t="n"/>
    </row>
    <row r="999" ht="17.25" customHeight="1" s="322">
      <c r="A999" s="27" t="n"/>
      <c r="B999" s="506" t="n"/>
      <c r="C999" s="141" t="n"/>
      <c r="D999" s="141" t="n"/>
      <c r="E999" s="141" t="n"/>
      <c r="F999" s="141" t="n"/>
      <c r="G999" s="143" t="n"/>
      <c r="H999" s="27" t="n"/>
    </row>
    <row r="1000" ht="17.25" customHeight="1" s="322">
      <c r="A1000" s="27" t="n"/>
      <c r="B1000" s="506" t="n"/>
      <c r="C1000" s="141" t="n"/>
      <c r="D1000" s="141" t="n"/>
      <c r="E1000" s="141" t="n"/>
      <c r="F1000" s="141" t="n"/>
      <c r="G1000" s="143" t="n"/>
      <c r="H1000" s="27" t="n"/>
    </row>
  </sheetData>
  <mergeCells count="3">
    <mergeCell ref="B1:F2"/>
    <mergeCell ref="B7:G7"/>
    <mergeCell ref="B10:C10"/>
  </mergeCells>
  <conditionalFormatting sqref="D10:E10">
    <cfRule type="cellIs" priority="5" operator="lessThan" dxfId="5">
      <formula>0</formula>
    </cfRule>
    <cfRule type="cellIs" priority="6" operator="greaterThan" dxfId="4">
      <formula>0</formula>
    </cfRule>
  </conditionalFormatting>
  <conditionalFormatting sqref="F28:F1000">
    <cfRule type="expression" priority="1" dxfId="3">
      <formula>AND(F28=MAX(F$28:F$1000),F28&gt;0)</formula>
    </cfRule>
    <cfRule type="expression" priority="2" dxfId="2">
      <formula>AND(F28=MIN(F$28:F$1000),F28&gt;0)</formula>
    </cfRule>
  </conditionalFormatting>
  <conditionalFormatting sqref="F29:F1000">
    <cfRule type="expression" priority="3" dxfId="1">
      <formula>F29&gt;F27</formula>
    </cfRule>
    <cfRule type="expression" priority="4" dxfId="0">
      <formula>F29&lt;F27</formula>
    </cfRule>
  </conditionalFormatting>
  <conditionalFormatting sqref="G15">
    <cfRule type="colorScale" priority="7">
      <colorScale>
        <cfvo type="min"/>
        <cfvo type="max"/>
        <color rgb="FF57BB8A"/>
        <color rgb="FFFFFFFF"/>
      </colorScale>
    </cfRule>
  </conditionalFormatting>
  <dataValidations count="1">
    <dataValidation sqref="G15" showDropDown="0" showInputMessage="1" showErrorMessage="1" allowBlank="1" prompt="Click and enter a value from the list of items" type="list">
      <formula1>"1 Month,3 Months,6 Months,12 Months,36 Months"</formula1>
    </dataValidation>
  </dataValidations>
  <hyperlinks>
    <hyperlink xmlns:r="http://schemas.openxmlformats.org/officeDocument/2006/relationships" ref="B1" r:id="rId1"/>
    <hyperlink xmlns:r="http://schemas.openxmlformats.org/officeDocument/2006/relationships" ref="G2" r:id="rId2"/>
  </hyperlinks>
  <pageMargins left="0.7" right="0.7" top="0.75" bottom="0.75" header="0.3" footer="0.3"/>
  <drawing xmlns:r="http://schemas.openxmlformats.org/officeDocument/2006/relationships" r:id="rId3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H1000"/>
  <sheetViews>
    <sheetView showGridLines="0" workbookViewId="0">
      <selection activeCell="A1" sqref="A1"/>
    </sheetView>
  </sheetViews>
  <sheetFormatPr baseColWidth="8" defaultColWidth="12.5703125" defaultRowHeight="15.75" customHeight="1"/>
  <cols>
    <col width="5.42578125" customWidth="1" style="322" min="1" max="1"/>
    <col width="15.7109375" customWidth="1" style="322" min="2" max="2"/>
    <col width="5.42578125" customWidth="1" style="322" min="8" max="8"/>
  </cols>
  <sheetData>
    <row r="1" ht="22.5" customHeight="1" s="322">
      <c r="A1" s="69" t="n"/>
      <c r="B1" s="455" t="inlineStr">
        <is>
          <t>← 관심종목으로 돌아가기</t>
        </is>
      </c>
      <c r="G1" s="72" t="inlineStr">
        <is>
          <t>제공:</t>
        </is>
      </c>
      <c r="H1" s="69" t="n"/>
    </row>
    <row r="2" ht="22.5" customHeight="1" s="322">
      <c r="A2" s="69" t="n"/>
      <c r="G2" s="77" t="inlineStr">
        <is>
          <t>Google Finance</t>
        </is>
      </c>
      <c r="H2" s="69" t="n"/>
    </row>
    <row r="3" ht="11.25" customHeight="1" s="322">
      <c r="A3" s="1" t="n"/>
      <c r="B3" s="1" t="n"/>
      <c r="C3" s="1" t="n"/>
      <c r="D3" s="1" t="n"/>
      <c r="E3" s="1" t="n"/>
      <c r="F3" s="1" t="n"/>
      <c r="G3" s="1" t="n"/>
      <c r="H3" s="1" t="n"/>
    </row>
    <row r="4" ht="15.75" customHeight="1" s="322">
      <c r="A4" s="1" t="n"/>
      <c r="B4" s="80" t="inlineStr">
        <is>
          <t>EEM</t>
        </is>
      </c>
      <c r="C4" s="81" t="inlineStr">
        <is>
          <t>&lt;&lt; 종목코드 입력</t>
        </is>
      </c>
      <c r="D4" s="1" t="n"/>
      <c r="E4" s="1" t="n"/>
      <c r="F4" s="1" t="n"/>
      <c r="G4" s="1" t="n"/>
      <c r="H4" s="1" t="n"/>
    </row>
    <row r="5" ht="15.75" customHeight="1" s="322">
      <c r="A5" s="1" t="n"/>
      <c r="B5" s="82" t="n"/>
      <c r="C5" s="81" t="inlineStr">
        <is>
          <t>&lt;&lt; 필요한 경우 거래소 입력(예: NASDAQ, NYSE)</t>
        </is>
      </c>
      <c r="D5" s="85" t="n"/>
      <c r="E5" s="1" t="n"/>
      <c r="F5" s="1" t="n"/>
      <c r="G5" s="1" t="n"/>
      <c r="H5" s="1" t="n"/>
    </row>
    <row r="6" ht="11.25" customHeight="1" s="322">
      <c r="A6" s="27" t="n"/>
      <c r="B6" s="27" t="n"/>
      <c r="C6" s="27" t="n"/>
      <c r="D6" s="27" t="n"/>
      <c r="E6" s="27" t="n"/>
      <c r="F6" s="27" t="n"/>
      <c r="G6" s="27" t="n"/>
      <c r="H6" s="27" t="n"/>
    </row>
    <row r="7" ht="20.25" customHeight="1" s="322">
      <c r="A7" s="12" t="n"/>
      <c r="B7" s="501">
        <f>IFERROR(__xludf.DUMMYFUNCTION("GOOGLEFINANCE(B18,""name"")"),"iShares MSCI Emerging Markets ETF")</f>
        <v/>
      </c>
      <c r="H7" s="12" t="n"/>
    </row>
    <row r="8" ht="11.25" customHeight="1" s="322">
      <c r="A8" s="12" t="n"/>
      <c r="B8" s="12" t="n"/>
      <c r="C8" s="12" t="n"/>
      <c r="D8" s="12" t="n"/>
      <c r="E8" s="12" t="n"/>
      <c r="F8" s="12" t="n"/>
      <c r="G8" s="12" t="n"/>
      <c r="H8" s="12" t="n"/>
    </row>
    <row r="9" ht="12" customHeight="1" s="322">
      <c r="A9" s="1" t="n"/>
      <c r="B9" s="90" t="inlineStr">
        <is>
          <t>현재가</t>
        </is>
      </c>
      <c r="C9" s="1" t="n"/>
      <c r="D9" s="90" t="inlineStr">
        <is>
          <t>전일대비</t>
        </is>
      </c>
      <c r="E9" s="90" t="inlineStr">
        <is>
          <t>등락률(%)</t>
        </is>
      </c>
      <c r="F9" s="1" t="n"/>
      <c r="G9" s="1" t="n"/>
      <c r="H9" s="1" t="n"/>
    </row>
    <row r="10" ht="31.5" customHeight="1" s="322">
      <c r="A10" s="12" t="n"/>
      <c r="B10" s="502">
        <f>IFERROR(__xludf.DUMMYFUNCTION("GOOGLEFINANCE(B18,""price"")"),61.07)</f>
        <v/>
      </c>
      <c r="D10" s="503">
        <f>IFERROR(__xludf.DUMMYFUNCTION("IFERROR(GOOGLEFINANCE(B18,""change""),""-"")"),-1.29)</f>
        <v/>
      </c>
      <c r="E10" s="504">
        <f>IFERROR(__xludf.DUMMYFUNCTION("IFERROR(GOOGLEFINANCE(B18,""changepct"")/100,""-"")"),-0.0207)</f>
        <v/>
      </c>
      <c r="F10" s="12" t="n"/>
      <c r="G10" s="12" t="n"/>
      <c r="H10" s="12" t="n"/>
    </row>
    <row r="11" ht="11.25" customHeight="1" s="322">
      <c r="A11" s="12" t="n"/>
      <c r="B11" s="106" t="n"/>
      <c r="C11" s="106" t="n"/>
      <c r="D11" s="106" t="n"/>
      <c r="E11" s="106" t="n"/>
      <c r="F11" s="106" t="n"/>
      <c r="G11" s="106" t="n"/>
      <c r="H11" s="12" t="n"/>
    </row>
    <row r="12" ht="11.25" customHeight="1" s="322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 ht="12" customHeight="1" s="322">
      <c r="A13" s="1" t="n"/>
      <c r="B13" s="90" t="inlineStr">
        <is>
          <t>시가총액</t>
        </is>
      </c>
      <c r="C13" s="90" t="inlineStr">
        <is>
          <t>PER</t>
        </is>
      </c>
      <c r="D13" s="90" t="inlineStr">
        <is>
          <t>베타계수</t>
        </is>
      </c>
      <c r="E13" s="1" t="n"/>
      <c r="F13" s="1" t="n"/>
      <c r="G13" s="1" t="n"/>
      <c r="H13" s="1" t="n"/>
    </row>
    <row r="14">
      <c r="A14" s="113" t="n"/>
      <c r="B14" s="505">
        <f>IFERROR(__xludf.DUMMYFUNCTION("IFERROR(GOOGLEFINANCE(B18,""marketcap""),""-"")"),38611507307)</f>
        <v/>
      </c>
      <c r="C14" s="115">
        <f>IFERROR(__xludf.DUMMYFUNCTION("IFERROR(GOOGLEFINANCE(B18,""pe""),""-"")"),"-")</f>
        <v/>
      </c>
      <c r="D14" s="115">
        <f>IFERROR(__xludf.DUMMYFUNCTION("IFERROR(GOOGLEFINANCE(B18,""beta""),""-"")"),"-")</f>
        <v/>
      </c>
      <c r="E14" s="113" t="n"/>
      <c r="F14" s="113" t="n"/>
      <c r="G14" s="113" t="n"/>
      <c r="H14" s="113" t="n"/>
    </row>
    <row r="15" ht="15.75" customHeight="1" s="322">
      <c r="A15" s="12" t="n"/>
      <c r="B15" s="12" t="n"/>
      <c r="C15" s="12" t="n"/>
      <c r="D15" s="12" t="n"/>
      <c r="E15" s="12" t="n"/>
      <c r="F15" s="12" t="n"/>
      <c r="G15" s="123" t="inlineStr">
        <is>
          <t>12 Months</t>
        </is>
      </c>
      <c r="H15" s="12" t="n"/>
    </row>
    <row r="16" ht="15.75" customHeight="1" s="322">
      <c r="A16" s="12" t="n"/>
      <c r="B16" s="12" t="n"/>
      <c r="C16" s="12" t="n"/>
      <c r="D16" s="12" t="n"/>
      <c r="E16" s="12" t="n"/>
      <c r="F16" s="12" t="n"/>
      <c r="G16" s="12" t="n"/>
      <c r="H16" s="12" t="n"/>
    </row>
    <row r="17" ht="15.75" customHeight="1" s="322">
      <c r="A17" s="12" t="n"/>
      <c r="B17" s="12" t="n"/>
      <c r="C17" s="12" t="n"/>
      <c r="D17" s="12" t="n"/>
      <c r="E17" s="12" t="n"/>
      <c r="F17" s="12" t="n"/>
      <c r="G17" s="12" t="n"/>
      <c r="H17" s="12" t="n"/>
    </row>
    <row r="18" ht="15.75" customHeight="1" s="322">
      <c r="A18" s="12" t="n"/>
      <c r="B18" s="127">
        <f>IF(ISBLANK(B5),"",B5&amp;":")&amp;B4</f>
        <v/>
      </c>
      <c r="C18" s="12" t="n"/>
      <c r="D18" s="12" t="n"/>
      <c r="E18" s="12" t="n"/>
      <c r="F18" s="12" t="n"/>
      <c r="G18" s="12" t="n"/>
      <c r="H18" s="12" t="n"/>
    </row>
    <row r="19" ht="15.75" customHeight="1" s="322">
      <c r="A19" s="12" t="n"/>
      <c r="B19" s="12" t="n"/>
      <c r="C19" s="12" t="n"/>
      <c r="D19" s="12" t="n"/>
      <c r="E19" s="12" t="n"/>
      <c r="F19" s="12" t="n"/>
      <c r="G19" s="12" t="n"/>
      <c r="H19" s="12" t="n"/>
    </row>
    <row r="20" ht="15.75" customHeight="1" s="322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1" ht="15.75" customHeight="1" s="322">
      <c r="A21" s="12" t="n"/>
      <c r="B21" s="12" t="n"/>
      <c r="C21" s="12" t="n"/>
      <c r="D21" s="12" t="n"/>
      <c r="E21" s="12" t="n"/>
      <c r="F21" s="12" t="n"/>
      <c r="G21" s="12" t="n"/>
      <c r="H21" s="12" t="n"/>
    </row>
    <row r="22" ht="15.75" customHeight="1" s="322">
      <c r="A22" s="12" t="n"/>
      <c r="B22" s="12" t="n"/>
      <c r="C22" s="12" t="n"/>
      <c r="D22" s="12" t="n"/>
      <c r="E22" s="12" t="n"/>
      <c r="F22" s="12" t="n"/>
      <c r="G22" s="12" t="n"/>
      <c r="H22" s="12" t="n"/>
    </row>
    <row r="23" ht="15.75" customHeight="1" s="322">
      <c r="A23" s="12" t="n"/>
      <c r="B23" s="12" t="n"/>
      <c r="C23" s="12" t="n"/>
      <c r="D23" s="12" t="n"/>
      <c r="E23" s="12" t="n"/>
      <c r="F23" s="12" t="n"/>
      <c r="G23" s="12" t="n"/>
      <c r="H23" s="12" t="n"/>
    </row>
    <row r="24" ht="15.75" customHeight="1" s="322">
      <c r="A24" s="12" t="n"/>
      <c r="B24" s="12" t="n"/>
      <c r="C24" s="12" t="n"/>
      <c r="D24" s="12" t="n"/>
      <c r="E24" s="12" t="n"/>
      <c r="F24" s="12" t="n"/>
      <c r="G24" s="12" t="n"/>
      <c r="H24" s="12" t="n"/>
    </row>
    <row r="25" ht="15.75" customHeight="1" s="322">
      <c r="A25" s="12" t="n"/>
      <c r="B25" s="12" t="n"/>
      <c r="C25" s="12" t="n"/>
      <c r="D25" s="12" t="n"/>
      <c r="E25" s="12" t="n"/>
      <c r="F25" s="12" t="n"/>
      <c r="G25" s="12" t="n"/>
      <c r="H25" s="12" t="n"/>
    </row>
    <row r="26" ht="15.75" customHeight="1" s="322">
      <c r="A26" s="12" t="n"/>
      <c r="B26" s="12" t="n"/>
      <c r="C26" s="12" t="n"/>
      <c r="D26" s="12" t="n"/>
      <c r="E26" s="12" t="n"/>
      <c r="F26" s="12" t="n"/>
      <c r="G26" s="12" t="n"/>
      <c r="H26" s="12" t="n"/>
    </row>
    <row r="27" ht="15.75" customHeight="1" s="322">
      <c r="A27" s="133" t="n"/>
      <c r="B27" s="136">
        <f>IFERROR(__xludf.DUMMYFUNCTION("GOOGLEFINANCE(B18, ""all"", EDATE(TODAY(), -LEFT(G15, FIND("" "", G15))), TODAY(), ""DAILY"")"),"Date")</f>
        <v/>
      </c>
      <c r="C27" s="137">
        <f>IFERROR(__xludf.DUMMYFUNCTION("""COMPUTED_VALUE"""),"Open")</f>
        <v/>
      </c>
      <c r="D27" s="137">
        <f>IFERROR(__xludf.DUMMYFUNCTION("""COMPUTED_VALUE"""),"High")</f>
        <v/>
      </c>
      <c r="E27" s="137">
        <f>IFERROR(__xludf.DUMMYFUNCTION("""COMPUTED_VALUE"""),"Low")</f>
        <v/>
      </c>
      <c r="F27" s="137">
        <f>IFERROR(__xludf.DUMMYFUNCTION("""COMPUTED_VALUE"""),"Close")</f>
        <v/>
      </c>
      <c r="G27" s="137">
        <f>IFERROR(__xludf.DUMMYFUNCTION("""COMPUTED_VALUE"""),"Volume")</f>
        <v/>
      </c>
      <c r="H27" s="133" t="n"/>
    </row>
    <row r="28" ht="17.25" customHeight="1" s="322">
      <c r="A28" s="27" t="n"/>
      <c r="B28" s="506">
        <f>IFERROR(__xludf.DUMMYFUNCTION("""COMPUTED_VALUE"""),45868.6666666666)</f>
        <v/>
      </c>
      <c r="C28" s="141">
        <f>IFERROR(__xludf.DUMMYFUNCTION("""COMPUTED_VALUE"""),49.04)</f>
        <v/>
      </c>
      <c r="D28" s="141">
        <f>IFERROR(__xludf.DUMMYFUNCTION("""COMPUTED_VALUE"""),49.13)</f>
        <v/>
      </c>
      <c r="E28" s="141">
        <f>IFERROR(__xludf.DUMMYFUNCTION("""COMPUTED_VALUE"""),48.74)</f>
        <v/>
      </c>
      <c r="F28" s="141">
        <f>IFERROR(__xludf.DUMMYFUNCTION("""COMPUTED_VALUE"""),48.84)</f>
        <v/>
      </c>
      <c r="G28" s="143">
        <f>IFERROR(__xludf.DUMMYFUNCTION("""COMPUTED_VALUE"""),37855503)</f>
        <v/>
      </c>
      <c r="H28" s="27" t="n"/>
    </row>
    <row r="29" ht="17.25" customHeight="1" s="322">
      <c r="A29" s="27" t="n"/>
      <c r="B29" s="506">
        <f>IFERROR(__xludf.DUMMYFUNCTION("""COMPUTED_VALUE"""),45869.6666666666)</f>
        <v/>
      </c>
      <c r="C29" s="141">
        <f>IFERROR(__xludf.DUMMYFUNCTION("""COMPUTED_VALUE"""),48.73)</f>
        <v/>
      </c>
      <c r="D29" s="141">
        <f>IFERROR(__xludf.DUMMYFUNCTION("""COMPUTED_VALUE"""),48.81)</f>
        <v/>
      </c>
      <c r="E29" s="141">
        <f>IFERROR(__xludf.DUMMYFUNCTION("""COMPUTED_VALUE"""),48.48)</f>
        <v/>
      </c>
      <c r="F29" s="141">
        <f>IFERROR(__xludf.DUMMYFUNCTION("""COMPUTED_VALUE"""),48.56)</f>
        <v/>
      </c>
      <c r="G29" s="143">
        <f>IFERROR(__xludf.DUMMYFUNCTION("""COMPUTED_VALUE"""),30587088)</f>
        <v/>
      </c>
      <c r="H29" s="27" t="n"/>
    </row>
    <row r="30" ht="17.25" customHeight="1" s="322">
      <c r="A30" s="27" t="n"/>
      <c r="B30" s="506">
        <f>IFERROR(__xludf.DUMMYFUNCTION("""COMPUTED_VALUE"""),45870.6666666666)</f>
        <v/>
      </c>
      <c r="C30" s="141">
        <f>IFERROR(__xludf.DUMMYFUNCTION("""COMPUTED_VALUE"""),48.38)</f>
        <v/>
      </c>
      <c r="D30" s="141">
        <f>IFERROR(__xludf.DUMMYFUNCTION("""COMPUTED_VALUE"""),48.38)</f>
        <v/>
      </c>
      <c r="E30" s="141">
        <f>IFERROR(__xludf.DUMMYFUNCTION("""COMPUTED_VALUE"""),47.98)</f>
        <v/>
      </c>
      <c r="F30" s="141">
        <f>IFERROR(__xludf.DUMMYFUNCTION("""COMPUTED_VALUE"""),48.2)</f>
        <v/>
      </c>
      <c r="G30" s="143">
        <f>IFERROR(__xludf.DUMMYFUNCTION("""COMPUTED_VALUE"""),27234648)</f>
        <v/>
      </c>
      <c r="H30" s="27" t="n"/>
    </row>
    <row r="31" ht="17.25" customHeight="1" s="322">
      <c r="A31" s="27" t="n"/>
      <c r="B31" s="506">
        <f>IFERROR(__xludf.DUMMYFUNCTION("""COMPUTED_VALUE"""),45873.6666666666)</f>
        <v/>
      </c>
      <c r="C31" s="141">
        <f>IFERROR(__xludf.DUMMYFUNCTION("""COMPUTED_VALUE"""),48.74)</f>
        <v/>
      </c>
      <c r="D31" s="141">
        <f>IFERROR(__xludf.DUMMYFUNCTION("""COMPUTED_VALUE"""),48.79)</f>
        <v/>
      </c>
      <c r="E31" s="141">
        <f>IFERROR(__xludf.DUMMYFUNCTION("""COMPUTED_VALUE"""),48.56)</f>
        <v/>
      </c>
      <c r="F31" s="141">
        <f>IFERROR(__xludf.DUMMYFUNCTION("""COMPUTED_VALUE"""),48.7)</f>
        <v/>
      </c>
      <c r="G31" s="143">
        <f>IFERROR(__xludf.DUMMYFUNCTION("""COMPUTED_VALUE"""),32920385)</f>
        <v/>
      </c>
      <c r="H31" s="27" t="n"/>
    </row>
    <row r="32" ht="17.25" customHeight="1" s="322">
      <c r="A32" s="27" t="n"/>
      <c r="B32" s="506">
        <f>IFERROR(__xludf.DUMMYFUNCTION("""COMPUTED_VALUE"""),45874.6666666666)</f>
        <v/>
      </c>
      <c r="C32" s="141">
        <f>IFERROR(__xludf.DUMMYFUNCTION("""COMPUTED_VALUE"""),48.96)</f>
        <v/>
      </c>
      <c r="D32" s="141">
        <f>IFERROR(__xludf.DUMMYFUNCTION("""COMPUTED_VALUE"""),49.02)</f>
        <v/>
      </c>
      <c r="E32" s="141">
        <f>IFERROR(__xludf.DUMMYFUNCTION("""COMPUTED_VALUE"""),48.73)</f>
        <v/>
      </c>
      <c r="F32" s="141">
        <f>IFERROR(__xludf.DUMMYFUNCTION("""COMPUTED_VALUE"""),48.84)</f>
        <v/>
      </c>
      <c r="G32" s="143">
        <f>IFERROR(__xludf.DUMMYFUNCTION("""COMPUTED_VALUE"""),18709201)</f>
        <v/>
      </c>
      <c r="H32" s="27" t="n"/>
    </row>
    <row r="33" ht="17.25" customHeight="1" s="322">
      <c r="A33" s="27" t="n"/>
      <c r="B33" s="506">
        <f>IFERROR(__xludf.DUMMYFUNCTION("""COMPUTED_VALUE"""),45875.6666666666)</f>
        <v/>
      </c>
      <c r="C33" s="141">
        <f>IFERROR(__xludf.DUMMYFUNCTION("""COMPUTED_VALUE"""),48.9)</f>
        <v/>
      </c>
      <c r="D33" s="141">
        <f>IFERROR(__xludf.DUMMYFUNCTION("""COMPUTED_VALUE"""),49.1)</f>
        <v/>
      </c>
      <c r="E33" s="141">
        <f>IFERROR(__xludf.DUMMYFUNCTION("""COMPUTED_VALUE"""),48.8)</f>
        <v/>
      </c>
      <c r="F33" s="141">
        <f>IFERROR(__xludf.DUMMYFUNCTION("""COMPUTED_VALUE"""),49.07)</f>
        <v/>
      </c>
      <c r="G33" s="143">
        <f>IFERROR(__xludf.DUMMYFUNCTION("""COMPUTED_VALUE"""),17094077)</f>
        <v/>
      </c>
      <c r="H33" s="27" t="n"/>
    </row>
    <row r="34" ht="17.25" customHeight="1" s="322">
      <c r="A34" s="27" t="n"/>
      <c r="B34" s="506">
        <f>IFERROR(__xludf.DUMMYFUNCTION("""COMPUTED_VALUE"""),45876.6666666666)</f>
        <v/>
      </c>
      <c r="C34" s="141">
        <f>IFERROR(__xludf.DUMMYFUNCTION("""COMPUTED_VALUE"""),49.6)</f>
        <v/>
      </c>
      <c r="D34" s="141">
        <f>IFERROR(__xludf.DUMMYFUNCTION("""COMPUTED_VALUE"""),49.68)</f>
        <v/>
      </c>
      <c r="E34" s="141">
        <f>IFERROR(__xludf.DUMMYFUNCTION("""COMPUTED_VALUE"""),49.35)</f>
        <v/>
      </c>
      <c r="F34" s="141">
        <f>IFERROR(__xludf.DUMMYFUNCTION("""COMPUTED_VALUE"""),49.48)</f>
        <v/>
      </c>
      <c r="G34" s="143">
        <f>IFERROR(__xludf.DUMMYFUNCTION("""COMPUTED_VALUE"""),23379228)</f>
        <v/>
      </c>
      <c r="H34" s="27" t="n"/>
    </row>
    <row r="35" ht="17.25" customHeight="1" s="322">
      <c r="A35" s="27" t="n"/>
      <c r="B35" s="506">
        <f>IFERROR(__xludf.DUMMYFUNCTION("""COMPUTED_VALUE"""),45877.6666666666)</f>
        <v/>
      </c>
      <c r="C35" s="141">
        <f>IFERROR(__xludf.DUMMYFUNCTION("""COMPUTED_VALUE"""),49.33)</f>
        <v/>
      </c>
      <c r="D35" s="141">
        <f>IFERROR(__xludf.DUMMYFUNCTION("""COMPUTED_VALUE"""),49.46)</f>
        <v/>
      </c>
      <c r="E35" s="141">
        <f>IFERROR(__xludf.DUMMYFUNCTION("""COMPUTED_VALUE"""),49.29)</f>
        <v/>
      </c>
      <c r="F35" s="141">
        <f>IFERROR(__xludf.DUMMYFUNCTION("""COMPUTED_VALUE"""),49.44)</f>
        <v/>
      </c>
      <c r="G35" s="143">
        <f>IFERROR(__xludf.DUMMYFUNCTION("""COMPUTED_VALUE"""),16926907)</f>
        <v/>
      </c>
      <c r="H35" s="27" t="n"/>
    </row>
    <row r="36" ht="17.25" customHeight="1" s="322">
      <c r="A36" s="27" t="n"/>
      <c r="B36" s="506">
        <f>IFERROR(__xludf.DUMMYFUNCTION("""COMPUTED_VALUE"""),45880.6666666666)</f>
        <v/>
      </c>
      <c r="C36" s="141">
        <f>IFERROR(__xludf.DUMMYFUNCTION("""COMPUTED_VALUE"""),49.4)</f>
        <v/>
      </c>
      <c r="D36" s="141">
        <f>IFERROR(__xludf.DUMMYFUNCTION("""COMPUTED_VALUE"""),49.46)</f>
        <v/>
      </c>
      <c r="E36" s="141">
        <f>IFERROR(__xludf.DUMMYFUNCTION("""COMPUTED_VALUE"""),49.23)</f>
        <v/>
      </c>
      <c r="F36" s="141">
        <f>IFERROR(__xludf.DUMMYFUNCTION("""COMPUTED_VALUE"""),49.3)</f>
        <v/>
      </c>
      <c r="G36" s="143">
        <f>IFERROR(__xludf.DUMMYFUNCTION("""COMPUTED_VALUE"""),15176100)</f>
        <v/>
      </c>
      <c r="H36" s="27" t="n"/>
    </row>
    <row r="37" ht="17.25" customHeight="1" s="322">
      <c r="A37" s="27" t="n"/>
      <c r="B37" s="506">
        <f>IFERROR(__xludf.DUMMYFUNCTION("""COMPUTED_VALUE"""),45881.6666666666)</f>
        <v/>
      </c>
      <c r="C37" s="141">
        <f>IFERROR(__xludf.DUMMYFUNCTION("""COMPUTED_VALUE"""),49.51)</f>
        <v/>
      </c>
      <c r="D37" s="141">
        <f>IFERROR(__xludf.DUMMYFUNCTION("""COMPUTED_VALUE"""),49.93)</f>
        <v/>
      </c>
      <c r="E37" s="141">
        <f>IFERROR(__xludf.DUMMYFUNCTION("""COMPUTED_VALUE"""),49.47)</f>
        <v/>
      </c>
      <c r="F37" s="141">
        <f>IFERROR(__xludf.DUMMYFUNCTION("""COMPUTED_VALUE"""),49.9)</f>
        <v/>
      </c>
      <c r="G37" s="143">
        <f>IFERROR(__xludf.DUMMYFUNCTION("""COMPUTED_VALUE"""),22908716)</f>
        <v/>
      </c>
      <c r="H37" s="27" t="n"/>
    </row>
    <row r="38" ht="17.25" customHeight="1" s="322">
      <c r="A38" s="27" t="n"/>
      <c r="B38" s="506">
        <f>IFERROR(__xludf.DUMMYFUNCTION("""COMPUTED_VALUE"""),45882.6666666666)</f>
        <v/>
      </c>
      <c r="C38" s="141">
        <f>IFERROR(__xludf.DUMMYFUNCTION("""COMPUTED_VALUE"""),50.45)</f>
        <v/>
      </c>
      <c r="D38" s="141">
        <f>IFERROR(__xludf.DUMMYFUNCTION("""COMPUTED_VALUE"""),50.59)</f>
        <v/>
      </c>
      <c r="E38" s="141">
        <f>IFERROR(__xludf.DUMMYFUNCTION("""COMPUTED_VALUE"""),50.41)</f>
        <v/>
      </c>
      <c r="F38" s="141">
        <f>IFERROR(__xludf.DUMMYFUNCTION("""COMPUTED_VALUE"""),50.5)</f>
        <v/>
      </c>
      <c r="G38" s="143">
        <f>IFERROR(__xludf.DUMMYFUNCTION("""COMPUTED_VALUE"""),28585673)</f>
        <v/>
      </c>
      <c r="H38" s="27" t="n"/>
    </row>
    <row r="39" ht="17.25" customHeight="1" s="322">
      <c r="A39" s="27" t="n"/>
      <c r="B39" s="506">
        <f>IFERROR(__xludf.DUMMYFUNCTION("""COMPUTED_VALUE"""),45883.6666666666)</f>
        <v/>
      </c>
      <c r="C39" s="141">
        <f>IFERROR(__xludf.DUMMYFUNCTION("""COMPUTED_VALUE"""),49.87)</f>
        <v/>
      </c>
      <c r="D39" s="141">
        <f>IFERROR(__xludf.DUMMYFUNCTION("""COMPUTED_VALUE"""),50.01)</f>
        <v/>
      </c>
      <c r="E39" s="141">
        <f>IFERROR(__xludf.DUMMYFUNCTION("""COMPUTED_VALUE"""),49.74)</f>
        <v/>
      </c>
      <c r="F39" s="141">
        <f>IFERROR(__xludf.DUMMYFUNCTION("""COMPUTED_VALUE"""),49.88)</f>
        <v/>
      </c>
      <c r="G39" s="143">
        <f>IFERROR(__xludf.DUMMYFUNCTION("""COMPUTED_VALUE"""),28016613)</f>
        <v/>
      </c>
      <c r="H39" s="27" t="n"/>
    </row>
    <row r="40" ht="17.25" customHeight="1" s="322">
      <c r="A40" s="27" t="n"/>
      <c r="B40" s="506">
        <f>IFERROR(__xludf.DUMMYFUNCTION("""COMPUTED_VALUE"""),45884.6666666666)</f>
        <v/>
      </c>
      <c r="C40" s="141">
        <f>IFERROR(__xludf.DUMMYFUNCTION("""COMPUTED_VALUE"""),50.03)</f>
        <v/>
      </c>
      <c r="D40" s="141">
        <f>IFERROR(__xludf.DUMMYFUNCTION("""COMPUTED_VALUE"""),50.08)</f>
        <v/>
      </c>
      <c r="E40" s="141">
        <f>IFERROR(__xludf.DUMMYFUNCTION("""COMPUTED_VALUE"""),49.88)</f>
        <v/>
      </c>
      <c r="F40" s="141">
        <f>IFERROR(__xludf.DUMMYFUNCTION("""COMPUTED_VALUE"""),49.94)</f>
        <v/>
      </c>
      <c r="G40" s="143">
        <f>IFERROR(__xludf.DUMMYFUNCTION("""COMPUTED_VALUE"""),24042556)</f>
        <v/>
      </c>
      <c r="H40" s="27" t="n"/>
    </row>
    <row r="41" ht="17.25" customHeight="1" s="322">
      <c r="A41" s="27" t="n"/>
      <c r="B41" s="506">
        <f>IFERROR(__xludf.DUMMYFUNCTION("""COMPUTED_VALUE"""),45887.6666666666)</f>
        <v/>
      </c>
      <c r="C41" s="141">
        <f>IFERROR(__xludf.DUMMYFUNCTION("""COMPUTED_VALUE"""),50.16)</f>
        <v/>
      </c>
      <c r="D41" s="141">
        <f>IFERROR(__xludf.DUMMYFUNCTION("""COMPUTED_VALUE"""),50.24)</f>
        <v/>
      </c>
      <c r="E41" s="141">
        <f>IFERROR(__xludf.DUMMYFUNCTION("""COMPUTED_VALUE"""),50.1)</f>
        <v/>
      </c>
      <c r="F41" s="141">
        <f>IFERROR(__xludf.DUMMYFUNCTION("""COMPUTED_VALUE"""),50.23)</f>
        <v/>
      </c>
      <c r="G41" s="143">
        <f>IFERROR(__xludf.DUMMYFUNCTION("""COMPUTED_VALUE"""),19212460)</f>
        <v/>
      </c>
      <c r="H41" s="27" t="n"/>
    </row>
    <row r="42" ht="17.25" customHeight="1" s="322">
      <c r="A42" s="27" t="n"/>
      <c r="B42" s="506">
        <f>IFERROR(__xludf.DUMMYFUNCTION("""COMPUTED_VALUE"""),45888.6666666666)</f>
        <v/>
      </c>
      <c r="C42" s="141">
        <f>IFERROR(__xludf.DUMMYFUNCTION("""COMPUTED_VALUE"""),50.1)</f>
        <v/>
      </c>
      <c r="D42" s="141">
        <f>IFERROR(__xludf.DUMMYFUNCTION("""COMPUTED_VALUE"""),50.1)</f>
        <v/>
      </c>
      <c r="E42" s="141">
        <f>IFERROR(__xludf.DUMMYFUNCTION("""COMPUTED_VALUE"""),49.76)</f>
        <v/>
      </c>
      <c r="F42" s="141">
        <f>IFERROR(__xludf.DUMMYFUNCTION("""COMPUTED_VALUE"""),49.82)</f>
        <v/>
      </c>
      <c r="G42" s="143">
        <f>IFERROR(__xludf.DUMMYFUNCTION("""COMPUTED_VALUE"""),17226997)</f>
        <v/>
      </c>
      <c r="H42" s="27" t="n"/>
    </row>
    <row r="43" ht="17.25" customHeight="1" s="322">
      <c r="A43" s="27" t="n"/>
      <c r="B43" s="506">
        <f>IFERROR(__xludf.DUMMYFUNCTION("""COMPUTED_VALUE"""),45889.6666666666)</f>
        <v/>
      </c>
      <c r="C43" s="141">
        <f>IFERROR(__xludf.DUMMYFUNCTION("""COMPUTED_VALUE"""),49.73)</f>
        <v/>
      </c>
      <c r="D43" s="141">
        <f>IFERROR(__xludf.DUMMYFUNCTION("""COMPUTED_VALUE"""),49.8)</f>
        <v/>
      </c>
      <c r="E43" s="141">
        <f>IFERROR(__xludf.DUMMYFUNCTION("""COMPUTED_VALUE"""),49.45)</f>
        <v/>
      </c>
      <c r="F43" s="141">
        <f>IFERROR(__xludf.DUMMYFUNCTION("""COMPUTED_VALUE"""),49.75)</f>
        <v/>
      </c>
      <c r="G43" s="143">
        <f>IFERROR(__xludf.DUMMYFUNCTION("""COMPUTED_VALUE"""),20299186)</f>
        <v/>
      </c>
      <c r="H43" s="27" t="n"/>
    </row>
    <row r="44" ht="17.25" customHeight="1" s="322">
      <c r="A44" s="27" t="n"/>
      <c r="B44" s="506">
        <f>IFERROR(__xludf.DUMMYFUNCTION("""COMPUTED_VALUE"""),45890.6666666666)</f>
        <v/>
      </c>
      <c r="C44" s="141">
        <f>IFERROR(__xludf.DUMMYFUNCTION("""COMPUTED_VALUE"""),49.58)</f>
        <v/>
      </c>
      <c r="D44" s="141">
        <f>IFERROR(__xludf.DUMMYFUNCTION("""COMPUTED_VALUE"""),49.74)</f>
        <v/>
      </c>
      <c r="E44" s="141">
        <f>IFERROR(__xludf.DUMMYFUNCTION("""COMPUTED_VALUE"""),49.54)</f>
        <v/>
      </c>
      <c r="F44" s="141">
        <f>IFERROR(__xludf.DUMMYFUNCTION("""COMPUTED_VALUE"""),49.64)</f>
        <v/>
      </c>
      <c r="G44" s="143">
        <f>IFERROR(__xludf.DUMMYFUNCTION("""COMPUTED_VALUE"""),14428472)</f>
        <v/>
      </c>
      <c r="H44" s="27" t="n"/>
    </row>
    <row r="45" ht="17.25" customHeight="1" s="322">
      <c r="A45" s="27" t="n"/>
      <c r="B45" s="506">
        <f>IFERROR(__xludf.DUMMYFUNCTION("""COMPUTED_VALUE"""),45891.6666666666)</f>
        <v/>
      </c>
      <c r="C45" s="141">
        <f>IFERROR(__xludf.DUMMYFUNCTION("""COMPUTED_VALUE"""),49.93)</f>
        <v/>
      </c>
      <c r="D45" s="141">
        <f>IFERROR(__xludf.DUMMYFUNCTION("""COMPUTED_VALUE"""),50.63)</f>
        <v/>
      </c>
      <c r="E45" s="141">
        <f>IFERROR(__xludf.DUMMYFUNCTION("""COMPUTED_VALUE"""),49.89)</f>
        <v/>
      </c>
      <c r="F45" s="141">
        <f>IFERROR(__xludf.DUMMYFUNCTION("""COMPUTED_VALUE"""),50.63)</f>
        <v/>
      </c>
      <c r="G45" s="143">
        <f>IFERROR(__xludf.DUMMYFUNCTION("""COMPUTED_VALUE"""),31264250)</f>
        <v/>
      </c>
      <c r="H45" s="27" t="n"/>
    </row>
    <row r="46" ht="17.25" customHeight="1" s="322">
      <c r="A46" s="27" t="n"/>
      <c r="B46" s="506">
        <f>IFERROR(__xludf.DUMMYFUNCTION("""COMPUTED_VALUE"""),45894.6666666666)</f>
        <v/>
      </c>
      <c r="C46" s="141">
        <f>IFERROR(__xludf.DUMMYFUNCTION("""COMPUTED_VALUE"""),50.54)</f>
        <v/>
      </c>
      <c r="D46" s="141">
        <f>IFERROR(__xludf.DUMMYFUNCTION("""COMPUTED_VALUE"""),50.67)</f>
        <v/>
      </c>
      <c r="E46" s="141">
        <f>IFERROR(__xludf.DUMMYFUNCTION("""COMPUTED_VALUE"""),50.33)</f>
        <v/>
      </c>
      <c r="F46" s="141">
        <f>IFERROR(__xludf.DUMMYFUNCTION("""COMPUTED_VALUE"""),50.34)</f>
        <v/>
      </c>
      <c r="G46" s="143">
        <f>IFERROR(__xludf.DUMMYFUNCTION("""COMPUTED_VALUE"""),23701444)</f>
        <v/>
      </c>
      <c r="H46" s="27" t="n"/>
    </row>
    <row r="47" ht="17.25" customHeight="1" s="322">
      <c r="A47" s="27" t="n"/>
      <c r="B47" s="506">
        <f>IFERROR(__xludf.DUMMYFUNCTION("""COMPUTED_VALUE"""),45895.6666666666)</f>
        <v/>
      </c>
      <c r="C47" s="141">
        <f>IFERROR(__xludf.DUMMYFUNCTION("""COMPUTED_VALUE"""),50.29)</f>
        <v/>
      </c>
      <c r="D47" s="141">
        <f>IFERROR(__xludf.DUMMYFUNCTION("""COMPUTED_VALUE"""),50.36)</f>
        <v/>
      </c>
      <c r="E47" s="141">
        <f>IFERROR(__xludf.DUMMYFUNCTION("""COMPUTED_VALUE"""),50.16)</f>
        <v/>
      </c>
      <c r="F47" s="141">
        <f>IFERROR(__xludf.DUMMYFUNCTION("""COMPUTED_VALUE"""),50.21)</f>
        <v/>
      </c>
      <c r="G47" s="143">
        <f>IFERROR(__xludf.DUMMYFUNCTION("""COMPUTED_VALUE"""),25684053)</f>
        <v/>
      </c>
      <c r="H47" s="27" t="n"/>
    </row>
    <row r="48" ht="17.25" customHeight="1" s="322">
      <c r="A48" s="27" t="n"/>
      <c r="B48" s="506">
        <f>IFERROR(__xludf.DUMMYFUNCTION("""COMPUTED_VALUE"""),45896.6666666666)</f>
        <v/>
      </c>
      <c r="C48" s="141">
        <f>IFERROR(__xludf.DUMMYFUNCTION("""COMPUTED_VALUE"""),49.63)</f>
        <v/>
      </c>
      <c r="D48" s="141">
        <f>IFERROR(__xludf.DUMMYFUNCTION("""COMPUTED_VALUE"""),49.93)</f>
        <v/>
      </c>
      <c r="E48" s="141">
        <f>IFERROR(__xludf.DUMMYFUNCTION("""COMPUTED_VALUE"""),49.59)</f>
        <v/>
      </c>
      <c r="F48" s="141">
        <f>IFERROR(__xludf.DUMMYFUNCTION("""COMPUTED_VALUE"""),49.91)</f>
        <v/>
      </c>
      <c r="G48" s="143">
        <f>IFERROR(__xludf.DUMMYFUNCTION("""COMPUTED_VALUE"""),31452898)</f>
        <v/>
      </c>
      <c r="H48" s="27" t="n"/>
    </row>
    <row r="49" ht="17.25" customHeight="1" s="322">
      <c r="A49" s="27" t="n"/>
      <c r="B49" s="506">
        <f>IFERROR(__xludf.DUMMYFUNCTION("""COMPUTED_VALUE"""),45897.6666666666)</f>
        <v/>
      </c>
      <c r="C49" s="141">
        <f>IFERROR(__xludf.DUMMYFUNCTION("""COMPUTED_VALUE"""),49.86)</f>
        <v/>
      </c>
      <c r="D49" s="141">
        <f>IFERROR(__xludf.DUMMYFUNCTION("""COMPUTED_VALUE"""),50.12)</f>
        <v/>
      </c>
      <c r="E49" s="141">
        <f>IFERROR(__xludf.DUMMYFUNCTION("""COMPUTED_VALUE"""),49.84)</f>
        <v/>
      </c>
      <c r="F49" s="141">
        <f>IFERROR(__xludf.DUMMYFUNCTION("""COMPUTED_VALUE"""),50.1)</f>
        <v/>
      </c>
      <c r="G49" s="143">
        <f>IFERROR(__xludf.DUMMYFUNCTION("""COMPUTED_VALUE"""),21353962)</f>
        <v/>
      </c>
      <c r="H49" s="27" t="n"/>
    </row>
    <row r="50" ht="17.25" customHeight="1" s="322">
      <c r="A50" s="27" t="n"/>
      <c r="B50" s="506">
        <f>IFERROR(__xludf.DUMMYFUNCTION("""COMPUTED_VALUE"""),45898.6666666666)</f>
        <v/>
      </c>
      <c r="C50" s="141">
        <f>IFERROR(__xludf.DUMMYFUNCTION("""COMPUTED_VALUE"""),49.81)</f>
        <v/>
      </c>
      <c r="D50" s="141">
        <f>IFERROR(__xludf.DUMMYFUNCTION("""COMPUTED_VALUE"""),49.9)</f>
        <v/>
      </c>
      <c r="E50" s="141">
        <f>IFERROR(__xludf.DUMMYFUNCTION("""COMPUTED_VALUE"""),49.65)</f>
        <v/>
      </c>
      <c r="F50" s="141">
        <f>IFERROR(__xludf.DUMMYFUNCTION("""COMPUTED_VALUE"""),49.86)</f>
        <v/>
      </c>
      <c r="G50" s="143">
        <f>IFERROR(__xludf.DUMMYFUNCTION("""COMPUTED_VALUE"""),24867355)</f>
        <v/>
      </c>
      <c r="H50" s="27" t="n"/>
    </row>
    <row r="51" ht="17.25" customHeight="1" s="322">
      <c r="A51" s="27" t="n"/>
      <c r="B51" s="506">
        <f>IFERROR(__xludf.DUMMYFUNCTION("""COMPUTED_VALUE"""),45902.6666666666)</f>
        <v/>
      </c>
      <c r="C51" s="141">
        <f>IFERROR(__xludf.DUMMYFUNCTION("""COMPUTED_VALUE"""),49.41)</f>
        <v/>
      </c>
      <c r="D51" s="141">
        <f>IFERROR(__xludf.DUMMYFUNCTION("""COMPUTED_VALUE"""),49.83)</f>
        <v/>
      </c>
      <c r="E51" s="141">
        <f>IFERROR(__xludf.DUMMYFUNCTION("""COMPUTED_VALUE"""),49.35)</f>
        <v/>
      </c>
      <c r="F51" s="141">
        <f>IFERROR(__xludf.DUMMYFUNCTION("""COMPUTED_VALUE"""),49.82)</f>
        <v/>
      </c>
      <c r="G51" s="143">
        <f>IFERROR(__xludf.DUMMYFUNCTION("""COMPUTED_VALUE"""),24343881)</f>
        <v/>
      </c>
      <c r="H51" s="27" t="n"/>
    </row>
    <row r="52" ht="17.25" customHeight="1" s="322">
      <c r="A52" s="27" t="n"/>
      <c r="B52" s="506">
        <f>IFERROR(__xludf.DUMMYFUNCTION("""COMPUTED_VALUE"""),45903.6666666666)</f>
        <v/>
      </c>
      <c r="C52" s="141">
        <f>IFERROR(__xludf.DUMMYFUNCTION("""COMPUTED_VALUE"""),49.97)</f>
        <v/>
      </c>
      <c r="D52" s="141">
        <f>IFERROR(__xludf.DUMMYFUNCTION("""COMPUTED_VALUE"""),50.07)</f>
        <v/>
      </c>
      <c r="E52" s="141">
        <f>IFERROR(__xludf.DUMMYFUNCTION("""COMPUTED_VALUE"""),49.88)</f>
        <v/>
      </c>
      <c r="F52" s="141">
        <f>IFERROR(__xludf.DUMMYFUNCTION("""COMPUTED_VALUE"""),50.01)</f>
        <v/>
      </c>
      <c r="G52" s="143">
        <f>IFERROR(__xludf.DUMMYFUNCTION("""COMPUTED_VALUE"""),29036034)</f>
        <v/>
      </c>
      <c r="H52" s="27" t="n"/>
    </row>
    <row r="53" ht="17.25" customHeight="1" s="322">
      <c r="A53" s="27" t="n"/>
      <c r="B53" s="506">
        <f>IFERROR(__xludf.DUMMYFUNCTION("""COMPUTED_VALUE"""),45904.6666666666)</f>
        <v/>
      </c>
      <c r="C53" s="141">
        <f>IFERROR(__xludf.DUMMYFUNCTION("""COMPUTED_VALUE"""),49.69)</f>
        <v/>
      </c>
      <c r="D53" s="141">
        <f>IFERROR(__xludf.DUMMYFUNCTION("""COMPUTED_VALUE"""),49.85)</f>
        <v/>
      </c>
      <c r="E53" s="141">
        <f>IFERROR(__xludf.DUMMYFUNCTION("""COMPUTED_VALUE"""),49.53)</f>
        <v/>
      </c>
      <c r="F53" s="141">
        <f>IFERROR(__xludf.DUMMYFUNCTION("""COMPUTED_VALUE"""),49.85)</f>
        <v/>
      </c>
      <c r="G53" s="143">
        <f>IFERROR(__xludf.DUMMYFUNCTION("""COMPUTED_VALUE"""),14791956)</f>
        <v/>
      </c>
      <c r="H53" s="27" t="n"/>
    </row>
    <row r="54" ht="17.25" customHeight="1" s="322">
      <c r="A54" s="27" t="n"/>
      <c r="B54" s="506">
        <f>IFERROR(__xludf.DUMMYFUNCTION("""COMPUTED_VALUE"""),45905.6666666666)</f>
        <v/>
      </c>
      <c r="C54" s="141">
        <f>IFERROR(__xludf.DUMMYFUNCTION("""COMPUTED_VALUE"""),50.53)</f>
        <v/>
      </c>
      <c r="D54" s="141">
        <f>IFERROR(__xludf.DUMMYFUNCTION("""COMPUTED_VALUE"""),50.62)</f>
        <v/>
      </c>
      <c r="E54" s="141">
        <f>IFERROR(__xludf.DUMMYFUNCTION("""COMPUTED_VALUE"""),50.18)</f>
        <v/>
      </c>
      <c r="F54" s="141">
        <f>IFERROR(__xludf.DUMMYFUNCTION("""COMPUTED_VALUE"""),50.45)</f>
        <v/>
      </c>
      <c r="G54" s="143">
        <f>IFERROR(__xludf.DUMMYFUNCTION("""COMPUTED_VALUE"""),24805860)</f>
        <v/>
      </c>
      <c r="H54" s="27" t="n"/>
    </row>
    <row r="55" ht="17.25" customHeight="1" s="322">
      <c r="A55" s="27" t="n"/>
      <c r="B55" s="506">
        <f>IFERROR(__xludf.DUMMYFUNCTION("""COMPUTED_VALUE"""),45908.6666666666)</f>
        <v/>
      </c>
      <c r="C55" s="141">
        <f>IFERROR(__xludf.DUMMYFUNCTION("""COMPUTED_VALUE"""),50.71)</f>
        <v/>
      </c>
      <c r="D55" s="141">
        <f>IFERROR(__xludf.DUMMYFUNCTION("""COMPUTED_VALUE"""),50.92)</f>
        <v/>
      </c>
      <c r="E55" s="141">
        <f>IFERROR(__xludf.DUMMYFUNCTION("""COMPUTED_VALUE"""),50.63)</f>
        <v/>
      </c>
      <c r="F55" s="141">
        <f>IFERROR(__xludf.DUMMYFUNCTION("""COMPUTED_VALUE"""),50.91)</f>
        <v/>
      </c>
      <c r="G55" s="143">
        <f>IFERROR(__xludf.DUMMYFUNCTION("""COMPUTED_VALUE"""),23345120)</f>
        <v/>
      </c>
      <c r="H55" s="27" t="n"/>
    </row>
    <row r="56" ht="17.25" customHeight="1" s="322">
      <c r="A56" s="27" t="n"/>
      <c r="B56" s="506">
        <f>IFERROR(__xludf.DUMMYFUNCTION("""COMPUTED_VALUE"""),45909.6666666666)</f>
        <v/>
      </c>
      <c r="C56" s="141">
        <f>IFERROR(__xludf.DUMMYFUNCTION("""COMPUTED_VALUE"""),51.11)</f>
        <v/>
      </c>
      <c r="D56" s="141">
        <f>IFERROR(__xludf.DUMMYFUNCTION("""COMPUTED_VALUE"""),51.29)</f>
        <v/>
      </c>
      <c r="E56" s="141">
        <f>IFERROR(__xludf.DUMMYFUNCTION("""COMPUTED_VALUE"""),51.1)</f>
        <v/>
      </c>
      <c r="F56" s="141">
        <f>IFERROR(__xludf.DUMMYFUNCTION("""COMPUTED_VALUE"""),51.19)</f>
        <v/>
      </c>
      <c r="G56" s="143">
        <f>IFERROR(__xludf.DUMMYFUNCTION("""COMPUTED_VALUE"""),23818569)</f>
        <v/>
      </c>
      <c r="H56" s="27" t="n"/>
    </row>
    <row r="57" ht="17.25" customHeight="1" s="322">
      <c r="A57" s="27" t="n"/>
      <c r="B57" s="506">
        <f>IFERROR(__xludf.DUMMYFUNCTION("""COMPUTED_VALUE"""),45910.6666666666)</f>
        <v/>
      </c>
      <c r="C57" s="141">
        <f>IFERROR(__xludf.DUMMYFUNCTION("""COMPUTED_VALUE"""),51.6)</f>
        <v/>
      </c>
      <c r="D57" s="141">
        <f>IFERROR(__xludf.DUMMYFUNCTION("""COMPUTED_VALUE"""),51.75)</f>
        <v/>
      </c>
      <c r="E57" s="141">
        <f>IFERROR(__xludf.DUMMYFUNCTION("""COMPUTED_VALUE"""),51.5)</f>
        <v/>
      </c>
      <c r="F57" s="141">
        <f>IFERROR(__xludf.DUMMYFUNCTION("""COMPUTED_VALUE"""),51.54)</f>
        <v/>
      </c>
      <c r="G57" s="143">
        <f>IFERROR(__xludf.DUMMYFUNCTION("""COMPUTED_VALUE"""),27151984)</f>
        <v/>
      </c>
      <c r="H57" s="27" t="n"/>
    </row>
    <row r="58" ht="17.25" customHeight="1" s="322">
      <c r="A58" s="27" t="n"/>
      <c r="B58" s="506">
        <f>IFERROR(__xludf.DUMMYFUNCTION("""COMPUTED_VALUE"""),45911.6666666666)</f>
        <v/>
      </c>
      <c r="C58" s="141">
        <f>IFERROR(__xludf.DUMMYFUNCTION("""COMPUTED_VALUE"""),51.89)</f>
        <v/>
      </c>
      <c r="D58" s="141">
        <f>IFERROR(__xludf.DUMMYFUNCTION("""COMPUTED_VALUE"""),52.32)</f>
        <v/>
      </c>
      <c r="E58" s="141">
        <f>IFERROR(__xludf.DUMMYFUNCTION("""COMPUTED_VALUE"""),51.87)</f>
        <v/>
      </c>
      <c r="F58" s="141">
        <f>IFERROR(__xludf.DUMMYFUNCTION("""COMPUTED_VALUE"""),52.29)</f>
        <v/>
      </c>
      <c r="G58" s="143">
        <f>IFERROR(__xludf.DUMMYFUNCTION("""COMPUTED_VALUE"""),38948461)</f>
        <v/>
      </c>
      <c r="H58" s="27" t="n"/>
    </row>
    <row r="59" ht="17.25" customHeight="1" s="322">
      <c r="A59" s="27" t="n"/>
      <c r="B59" s="506">
        <f>IFERROR(__xludf.DUMMYFUNCTION("""COMPUTED_VALUE"""),45912.6666666666)</f>
        <v/>
      </c>
      <c r="C59" s="141">
        <f>IFERROR(__xludf.DUMMYFUNCTION("""COMPUTED_VALUE"""),52.33)</f>
        <v/>
      </c>
      <c r="D59" s="141">
        <f>IFERROR(__xludf.DUMMYFUNCTION("""COMPUTED_VALUE"""),52.35)</f>
        <v/>
      </c>
      <c r="E59" s="141">
        <f>IFERROR(__xludf.DUMMYFUNCTION("""COMPUTED_VALUE"""),52.19)</f>
        <v/>
      </c>
      <c r="F59" s="141">
        <f>IFERROR(__xludf.DUMMYFUNCTION("""COMPUTED_VALUE"""),52.26)</f>
        <v/>
      </c>
      <c r="G59" s="143">
        <f>IFERROR(__xludf.DUMMYFUNCTION("""COMPUTED_VALUE"""),17773082)</f>
        <v/>
      </c>
      <c r="H59" s="27" t="n"/>
    </row>
    <row r="60" ht="17.25" customHeight="1" s="322">
      <c r="A60" s="27" t="n"/>
      <c r="B60" s="506">
        <f>IFERROR(__xludf.DUMMYFUNCTION("""COMPUTED_VALUE"""),45915.6666666666)</f>
        <v/>
      </c>
      <c r="C60" s="141">
        <f>IFERROR(__xludf.DUMMYFUNCTION("""COMPUTED_VALUE"""),52.58)</f>
        <v/>
      </c>
      <c r="D60" s="141">
        <f>IFERROR(__xludf.DUMMYFUNCTION("""COMPUTED_VALUE"""),52.67)</f>
        <v/>
      </c>
      <c r="E60" s="141">
        <f>IFERROR(__xludf.DUMMYFUNCTION("""COMPUTED_VALUE"""),52.49)</f>
        <v/>
      </c>
      <c r="F60" s="141">
        <f>IFERROR(__xludf.DUMMYFUNCTION("""COMPUTED_VALUE"""),52.64)</f>
        <v/>
      </c>
      <c r="G60" s="143">
        <f>IFERROR(__xludf.DUMMYFUNCTION("""COMPUTED_VALUE"""),22076431)</f>
        <v/>
      </c>
      <c r="H60" s="27" t="n"/>
    </row>
    <row r="61" ht="17.25" customHeight="1" s="322">
      <c r="A61" s="27" t="n"/>
      <c r="B61" s="506">
        <f>IFERROR(__xludf.DUMMYFUNCTION("""COMPUTED_VALUE"""),45916.6666666666)</f>
        <v/>
      </c>
      <c r="C61" s="141">
        <f>IFERROR(__xludf.DUMMYFUNCTION("""COMPUTED_VALUE"""),52.88)</f>
        <v/>
      </c>
      <c r="D61" s="141">
        <f>IFERROR(__xludf.DUMMYFUNCTION("""COMPUTED_VALUE"""),53.07)</f>
        <v/>
      </c>
      <c r="E61" s="141">
        <f>IFERROR(__xludf.DUMMYFUNCTION("""COMPUTED_VALUE"""),52.77)</f>
        <v/>
      </c>
      <c r="F61" s="141">
        <f>IFERROR(__xludf.DUMMYFUNCTION("""COMPUTED_VALUE"""),53.03)</f>
        <v/>
      </c>
      <c r="G61" s="143">
        <f>IFERROR(__xludf.DUMMYFUNCTION("""COMPUTED_VALUE"""),28614384)</f>
        <v/>
      </c>
      <c r="H61" s="27" t="n"/>
    </row>
    <row r="62" ht="17.25" customHeight="1" s="322">
      <c r="A62" s="27" t="n"/>
      <c r="B62" s="506">
        <f>IFERROR(__xludf.DUMMYFUNCTION("""COMPUTED_VALUE"""),45917.6666666666)</f>
        <v/>
      </c>
      <c r="C62" s="141">
        <f>IFERROR(__xludf.DUMMYFUNCTION("""COMPUTED_VALUE"""),53.25)</f>
        <v/>
      </c>
      <c r="D62" s="141">
        <f>IFERROR(__xludf.DUMMYFUNCTION("""COMPUTED_VALUE"""),53.67)</f>
        <v/>
      </c>
      <c r="E62" s="141">
        <f>IFERROR(__xludf.DUMMYFUNCTION("""COMPUTED_VALUE"""),52.99)</f>
        <v/>
      </c>
      <c r="F62" s="141">
        <f>IFERROR(__xludf.DUMMYFUNCTION("""COMPUTED_VALUE"""),53.26)</f>
        <v/>
      </c>
      <c r="G62" s="143">
        <f>IFERROR(__xludf.DUMMYFUNCTION("""COMPUTED_VALUE"""),53353369)</f>
        <v/>
      </c>
      <c r="H62" s="27" t="n"/>
    </row>
    <row r="63" ht="17.25" customHeight="1" s="322">
      <c r="A63" s="27" t="n"/>
      <c r="B63" s="506">
        <f>IFERROR(__xludf.DUMMYFUNCTION("""COMPUTED_VALUE"""),45918.6666666666)</f>
        <v/>
      </c>
      <c r="C63" s="141">
        <f>IFERROR(__xludf.DUMMYFUNCTION("""COMPUTED_VALUE"""),52.91)</f>
        <v/>
      </c>
      <c r="D63" s="141">
        <f>IFERROR(__xludf.DUMMYFUNCTION("""COMPUTED_VALUE"""),53.16)</f>
        <v/>
      </c>
      <c r="E63" s="141">
        <f>IFERROR(__xludf.DUMMYFUNCTION("""COMPUTED_VALUE"""),52.79)</f>
        <v/>
      </c>
      <c r="F63" s="141">
        <f>IFERROR(__xludf.DUMMYFUNCTION("""COMPUTED_VALUE"""),53.13)</f>
        <v/>
      </c>
      <c r="G63" s="143">
        <f>IFERROR(__xludf.DUMMYFUNCTION("""COMPUTED_VALUE"""),30544534)</f>
        <v/>
      </c>
      <c r="H63" s="27" t="n"/>
    </row>
    <row r="64" ht="17.25" customHeight="1" s="322">
      <c r="A64" s="27" t="n"/>
      <c r="B64" s="506">
        <f>IFERROR(__xludf.DUMMYFUNCTION("""COMPUTED_VALUE"""),45919.6666666666)</f>
        <v/>
      </c>
      <c r="C64" s="141">
        <f>IFERROR(__xludf.DUMMYFUNCTION("""COMPUTED_VALUE"""),53.07)</f>
        <v/>
      </c>
      <c r="D64" s="141">
        <f>IFERROR(__xludf.DUMMYFUNCTION("""COMPUTED_VALUE"""),53.12)</f>
        <v/>
      </c>
      <c r="E64" s="141">
        <f>IFERROR(__xludf.DUMMYFUNCTION("""COMPUTED_VALUE"""),52.91)</f>
        <v/>
      </c>
      <c r="F64" s="141">
        <f>IFERROR(__xludf.DUMMYFUNCTION("""COMPUTED_VALUE"""),53.01)</f>
        <v/>
      </c>
      <c r="G64" s="143">
        <f>IFERROR(__xludf.DUMMYFUNCTION("""COMPUTED_VALUE"""),37385059)</f>
        <v/>
      </c>
      <c r="H64" s="27" t="n"/>
    </row>
    <row r="65" ht="17.25" customHeight="1" s="322">
      <c r="A65" s="27" t="n"/>
      <c r="B65" s="506">
        <f>IFERROR(__xludf.DUMMYFUNCTION("""COMPUTED_VALUE"""),45922.6666666666)</f>
        <v/>
      </c>
      <c r="C65" s="141">
        <f>IFERROR(__xludf.DUMMYFUNCTION("""COMPUTED_VALUE"""),53.05)</f>
        <v/>
      </c>
      <c r="D65" s="141">
        <f>IFERROR(__xludf.DUMMYFUNCTION("""COMPUTED_VALUE"""),53.28)</f>
        <v/>
      </c>
      <c r="E65" s="141">
        <f>IFERROR(__xludf.DUMMYFUNCTION("""COMPUTED_VALUE"""),52.98)</f>
        <v/>
      </c>
      <c r="F65" s="141">
        <f>IFERROR(__xludf.DUMMYFUNCTION("""COMPUTED_VALUE"""),53.27)</f>
        <v/>
      </c>
      <c r="G65" s="143">
        <f>IFERROR(__xludf.DUMMYFUNCTION("""COMPUTED_VALUE"""),18357714)</f>
        <v/>
      </c>
      <c r="H65" s="27" t="n"/>
    </row>
    <row r="66" ht="17.25" customHeight="1" s="322">
      <c r="A66" s="27" t="n"/>
      <c r="B66" s="506">
        <f>IFERROR(__xludf.DUMMYFUNCTION("""COMPUTED_VALUE"""),45923.6666666666)</f>
        <v/>
      </c>
      <c r="C66" s="141">
        <f>IFERROR(__xludf.DUMMYFUNCTION("""COMPUTED_VALUE"""),53.32)</f>
        <v/>
      </c>
      <c r="D66" s="141">
        <f>IFERROR(__xludf.DUMMYFUNCTION("""COMPUTED_VALUE"""),53.53)</f>
        <v/>
      </c>
      <c r="E66" s="141">
        <f>IFERROR(__xludf.DUMMYFUNCTION("""COMPUTED_VALUE"""),53.25)</f>
        <v/>
      </c>
      <c r="F66" s="141">
        <f>IFERROR(__xludf.DUMMYFUNCTION("""COMPUTED_VALUE"""),53.3)</f>
        <v/>
      </c>
      <c r="G66" s="143">
        <f>IFERROR(__xludf.DUMMYFUNCTION("""COMPUTED_VALUE"""),21298580)</f>
        <v/>
      </c>
      <c r="H66" s="27" t="n"/>
    </row>
    <row r="67" ht="17.25" customHeight="1" s="322">
      <c r="A67" s="27" t="n"/>
      <c r="B67" s="506">
        <f>IFERROR(__xludf.DUMMYFUNCTION("""COMPUTED_VALUE"""),45924.6666666666)</f>
        <v/>
      </c>
      <c r="C67" s="141">
        <f>IFERROR(__xludf.DUMMYFUNCTION("""COMPUTED_VALUE"""),53.26)</f>
        <v/>
      </c>
      <c r="D67" s="141">
        <f>IFERROR(__xludf.DUMMYFUNCTION("""COMPUTED_VALUE"""),53.35)</f>
        <v/>
      </c>
      <c r="E67" s="141">
        <f>IFERROR(__xludf.DUMMYFUNCTION("""COMPUTED_VALUE"""),53.05)</f>
        <v/>
      </c>
      <c r="F67" s="141">
        <f>IFERROR(__xludf.DUMMYFUNCTION("""COMPUTED_VALUE"""),53.12)</f>
        <v/>
      </c>
      <c r="G67" s="143">
        <f>IFERROR(__xludf.DUMMYFUNCTION("""COMPUTED_VALUE"""),24947218)</f>
        <v/>
      </c>
      <c r="H67" s="27" t="n"/>
    </row>
    <row r="68" ht="17.25" customHeight="1" s="322">
      <c r="A68" s="27" t="n"/>
      <c r="B68" s="506">
        <f>IFERROR(__xludf.DUMMYFUNCTION("""COMPUTED_VALUE"""),45925.6666666666)</f>
        <v/>
      </c>
      <c r="C68" s="141">
        <f>IFERROR(__xludf.DUMMYFUNCTION("""COMPUTED_VALUE"""),52.78)</f>
        <v/>
      </c>
      <c r="D68" s="141">
        <f>IFERROR(__xludf.DUMMYFUNCTION("""COMPUTED_VALUE"""),52.98)</f>
        <v/>
      </c>
      <c r="E68" s="141">
        <f>IFERROR(__xludf.DUMMYFUNCTION("""COMPUTED_VALUE"""),52.64)</f>
        <v/>
      </c>
      <c r="F68" s="141">
        <f>IFERROR(__xludf.DUMMYFUNCTION("""COMPUTED_VALUE"""),52.81)</f>
        <v/>
      </c>
      <c r="G68" s="143">
        <f>IFERROR(__xludf.DUMMYFUNCTION("""COMPUTED_VALUE"""),27611881)</f>
        <v/>
      </c>
      <c r="H68" s="27" t="n"/>
    </row>
    <row r="69" ht="17.25" customHeight="1" s="322">
      <c r="A69" s="27" t="n"/>
      <c r="B69" s="506">
        <f>IFERROR(__xludf.DUMMYFUNCTION("""COMPUTED_VALUE"""),45926.6666666666)</f>
        <v/>
      </c>
      <c r="C69" s="141">
        <f>IFERROR(__xludf.DUMMYFUNCTION("""COMPUTED_VALUE"""),52.44)</f>
        <v/>
      </c>
      <c r="D69" s="141">
        <f>IFERROR(__xludf.DUMMYFUNCTION("""COMPUTED_VALUE"""),52.71)</f>
        <v/>
      </c>
      <c r="E69" s="141">
        <f>IFERROR(__xludf.DUMMYFUNCTION("""COMPUTED_VALUE"""),52.35)</f>
        <v/>
      </c>
      <c r="F69" s="141">
        <f>IFERROR(__xludf.DUMMYFUNCTION("""COMPUTED_VALUE"""),52.71)</f>
        <v/>
      </c>
      <c r="G69" s="143">
        <f>IFERROR(__xludf.DUMMYFUNCTION("""COMPUTED_VALUE"""),22608775)</f>
        <v/>
      </c>
      <c r="H69" s="27" t="n"/>
    </row>
    <row r="70" ht="17.25" customHeight="1" s="322">
      <c r="A70" s="27" t="n"/>
      <c r="B70" s="506">
        <f>IFERROR(__xludf.DUMMYFUNCTION("""COMPUTED_VALUE"""),45929.6666666666)</f>
        <v/>
      </c>
      <c r="C70" s="141">
        <f>IFERROR(__xludf.DUMMYFUNCTION("""COMPUTED_VALUE"""),53.24)</f>
        <v/>
      </c>
      <c r="D70" s="141">
        <f>IFERROR(__xludf.DUMMYFUNCTION("""COMPUTED_VALUE"""),53.39)</f>
        <v/>
      </c>
      <c r="E70" s="141">
        <f>IFERROR(__xludf.DUMMYFUNCTION("""COMPUTED_VALUE"""),53.12)</f>
        <v/>
      </c>
      <c r="F70" s="141">
        <f>IFERROR(__xludf.DUMMYFUNCTION("""COMPUTED_VALUE"""),53.19)</f>
        <v/>
      </c>
      <c r="G70" s="143">
        <f>IFERROR(__xludf.DUMMYFUNCTION("""COMPUTED_VALUE"""),26754738)</f>
        <v/>
      </c>
      <c r="H70" s="27" t="n"/>
    </row>
    <row r="71" ht="17.25" customHeight="1" s="322">
      <c r="A71" s="27" t="n"/>
      <c r="B71" s="506">
        <f>IFERROR(__xludf.DUMMYFUNCTION("""COMPUTED_VALUE"""),45930.6666666666)</f>
        <v/>
      </c>
      <c r="C71" s="141">
        <f>IFERROR(__xludf.DUMMYFUNCTION("""COMPUTED_VALUE"""),53.34)</f>
        <v/>
      </c>
      <c r="D71" s="141">
        <f>IFERROR(__xludf.DUMMYFUNCTION("""COMPUTED_VALUE"""),53.44)</f>
        <v/>
      </c>
      <c r="E71" s="141">
        <f>IFERROR(__xludf.DUMMYFUNCTION("""COMPUTED_VALUE"""),53.2)</f>
        <v/>
      </c>
      <c r="F71" s="141">
        <f>IFERROR(__xludf.DUMMYFUNCTION("""COMPUTED_VALUE"""),53.4)</f>
        <v/>
      </c>
      <c r="G71" s="143">
        <f>IFERROR(__xludf.DUMMYFUNCTION("""COMPUTED_VALUE"""),25165263)</f>
        <v/>
      </c>
      <c r="H71" s="27" t="n"/>
    </row>
    <row r="72" ht="17.25" customHeight="1" s="322">
      <c r="A72" s="27" t="n"/>
      <c r="B72" s="506">
        <f>IFERROR(__xludf.DUMMYFUNCTION("""COMPUTED_VALUE"""),45931.6666666666)</f>
        <v/>
      </c>
      <c r="C72" s="141">
        <f>IFERROR(__xludf.DUMMYFUNCTION("""COMPUTED_VALUE"""),53.59)</f>
        <v/>
      </c>
      <c r="D72" s="141">
        <f>IFERROR(__xludf.DUMMYFUNCTION("""COMPUTED_VALUE"""),53.85)</f>
        <v/>
      </c>
      <c r="E72" s="141">
        <f>IFERROR(__xludf.DUMMYFUNCTION("""COMPUTED_VALUE"""),53.59)</f>
        <v/>
      </c>
      <c r="F72" s="141">
        <f>IFERROR(__xludf.DUMMYFUNCTION("""COMPUTED_VALUE"""),53.82)</f>
        <v/>
      </c>
      <c r="G72" s="143">
        <f>IFERROR(__xludf.DUMMYFUNCTION("""COMPUTED_VALUE"""),29971269)</f>
        <v/>
      </c>
      <c r="H72" s="27" t="n"/>
    </row>
    <row r="73" ht="17.25" customHeight="1" s="322">
      <c r="A73" s="27" t="n"/>
      <c r="B73" s="506">
        <f>IFERROR(__xludf.DUMMYFUNCTION("""COMPUTED_VALUE"""),45932.6666666666)</f>
        <v/>
      </c>
      <c r="C73" s="141">
        <f>IFERROR(__xludf.DUMMYFUNCTION("""COMPUTED_VALUE"""),54.35)</f>
        <v/>
      </c>
      <c r="D73" s="141">
        <f>IFERROR(__xludf.DUMMYFUNCTION("""COMPUTED_VALUE"""),54.35)</f>
        <v/>
      </c>
      <c r="E73" s="141">
        <f>IFERROR(__xludf.DUMMYFUNCTION("""COMPUTED_VALUE"""),53.9)</f>
        <v/>
      </c>
      <c r="F73" s="141">
        <f>IFERROR(__xludf.DUMMYFUNCTION("""COMPUTED_VALUE"""),54.07)</f>
        <v/>
      </c>
      <c r="G73" s="143">
        <f>IFERROR(__xludf.DUMMYFUNCTION("""COMPUTED_VALUE"""),27872025)</f>
        <v/>
      </c>
      <c r="H73" s="27" t="n"/>
    </row>
    <row r="74" ht="17.25" customHeight="1" s="322">
      <c r="A74" s="27" t="n"/>
      <c r="B74" s="506">
        <f>IFERROR(__xludf.DUMMYFUNCTION("""COMPUTED_VALUE"""),45933.6666666666)</f>
        <v/>
      </c>
      <c r="C74" s="141">
        <f>IFERROR(__xludf.DUMMYFUNCTION("""COMPUTED_VALUE"""),54.33)</f>
        <v/>
      </c>
      <c r="D74" s="141">
        <f>IFERROR(__xludf.DUMMYFUNCTION("""COMPUTED_VALUE"""),54.39)</f>
        <v/>
      </c>
      <c r="E74" s="141">
        <f>IFERROR(__xludf.DUMMYFUNCTION("""COMPUTED_VALUE"""),54.06)</f>
        <v/>
      </c>
      <c r="F74" s="141">
        <f>IFERROR(__xludf.DUMMYFUNCTION("""COMPUTED_VALUE"""),54.23)</f>
        <v/>
      </c>
      <c r="G74" s="143">
        <f>IFERROR(__xludf.DUMMYFUNCTION("""COMPUTED_VALUE"""),21836027)</f>
        <v/>
      </c>
      <c r="H74" s="27" t="n"/>
    </row>
    <row r="75" ht="17.25" customHeight="1" s="322">
      <c r="A75" s="27" t="n"/>
      <c r="B75" s="506">
        <f>IFERROR(__xludf.DUMMYFUNCTION("""COMPUTED_VALUE"""),45936.6666666666)</f>
        <v/>
      </c>
      <c r="C75" s="141">
        <f>IFERROR(__xludf.DUMMYFUNCTION("""COMPUTED_VALUE"""),54.35)</f>
        <v/>
      </c>
      <c r="D75" s="141">
        <f>IFERROR(__xludf.DUMMYFUNCTION("""COMPUTED_VALUE"""),54.55)</f>
        <v/>
      </c>
      <c r="E75" s="141">
        <f>IFERROR(__xludf.DUMMYFUNCTION("""COMPUTED_VALUE"""),54.3)</f>
        <v/>
      </c>
      <c r="F75" s="141">
        <f>IFERROR(__xludf.DUMMYFUNCTION("""COMPUTED_VALUE"""),54.48)</f>
        <v/>
      </c>
      <c r="G75" s="143">
        <f>IFERROR(__xludf.DUMMYFUNCTION("""COMPUTED_VALUE"""),17890471)</f>
        <v/>
      </c>
      <c r="H75" s="27" t="n"/>
    </row>
    <row r="76" ht="17.25" customHeight="1" s="322">
      <c r="A76" s="27" t="n"/>
      <c r="B76" s="506">
        <f>IFERROR(__xludf.DUMMYFUNCTION("""COMPUTED_VALUE"""),45937.6666666666)</f>
        <v/>
      </c>
      <c r="C76" s="141">
        <f>IFERROR(__xludf.DUMMYFUNCTION("""COMPUTED_VALUE"""),54.68)</f>
        <v/>
      </c>
      <c r="D76" s="141">
        <f>IFERROR(__xludf.DUMMYFUNCTION("""COMPUTED_VALUE"""),54.69)</f>
        <v/>
      </c>
      <c r="E76" s="141">
        <f>IFERROR(__xludf.DUMMYFUNCTION("""COMPUTED_VALUE"""),54.02)</f>
        <v/>
      </c>
      <c r="F76" s="141">
        <f>IFERROR(__xludf.DUMMYFUNCTION("""COMPUTED_VALUE"""),54.06)</f>
        <v/>
      </c>
      <c r="G76" s="143">
        <f>IFERROR(__xludf.DUMMYFUNCTION("""COMPUTED_VALUE"""),18605590)</f>
        <v/>
      </c>
      <c r="H76" s="27" t="n"/>
    </row>
    <row r="77" ht="17.25" customHeight="1" s="322">
      <c r="A77" s="27" t="n"/>
      <c r="B77" s="506">
        <f>IFERROR(__xludf.DUMMYFUNCTION("""COMPUTED_VALUE"""),45938.6666666666)</f>
        <v/>
      </c>
      <c r="C77" s="141">
        <f>IFERROR(__xludf.DUMMYFUNCTION("""COMPUTED_VALUE"""),54.13)</f>
        <v/>
      </c>
      <c r="D77" s="141">
        <f>IFERROR(__xludf.DUMMYFUNCTION("""COMPUTED_VALUE"""),54.49)</f>
        <v/>
      </c>
      <c r="E77" s="141">
        <f>IFERROR(__xludf.DUMMYFUNCTION("""COMPUTED_VALUE"""),54.12)</f>
        <v/>
      </c>
      <c r="F77" s="141">
        <f>IFERROR(__xludf.DUMMYFUNCTION("""COMPUTED_VALUE"""),54.49)</f>
        <v/>
      </c>
      <c r="G77" s="143">
        <f>IFERROR(__xludf.DUMMYFUNCTION("""COMPUTED_VALUE"""),15391626)</f>
        <v/>
      </c>
      <c r="H77" s="27" t="n"/>
    </row>
    <row r="78" ht="17.25" customHeight="1" s="322">
      <c r="A78" s="27" t="n"/>
      <c r="B78" s="506">
        <f>IFERROR(__xludf.DUMMYFUNCTION("""COMPUTED_VALUE"""),45939.6666666666)</f>
        <v/>
      </c>
      <c r="C78" s="141">
        <f>IFERROR(__xludf.DUMMYFUNCTION("""COMPUTED_VALUE"""),54.52)</f>
        <v/>
      </c>
      <c r="D78" s="141">
        <f>IFERROR(__xludf.DUMMYFUNCTION("""COMPUTED_VALUE"""),54.53)</f>
        <v/>
      </c>
      <c r="E78" s="141">
        <f>IFERROR(__xludf.DUMMYFUNCTION("""COMPUTED_VALUE"""),53.8)</f>
        <v/>
      </c>
      <c r="F78" s="141">
        <f>IFERROR(__xludf.DUMMYFUNCTION("""COMPUTED_VALUE"""),53.93)</f>
        <v/>
      </c>
      <c r="G78" s="143">
        <f>IFERROR(__xludf.DUMMYFUNCTION("""COMPUTED_VALUE"""),24685544)</f>
        <v/>
      </c>
      <c r="H78" s="27" t="n"/>
    </row>
    <row r="79" ht="17.25" customHeight="1" s="322">
      <c r="A79" s="27" t="n"/>
      <c r="B79" s="506">
        <f>IFERROR(__xludf.DUMMYFUNCTION("""COMPUTED_VALUE"""),45940.6666666666)</f>
        <v/>
      </c>
      <c r="C79" s="141">
        <f>IFERROR(__xludf.DUMMYFUNCTION("""COMPUTED_VALUE"""),53.96)</f>
        <v/>
      </c>
      <c r="D79" s="141">
        <f>IFERROR(__xludf.DUMMYFUNCTION("""COMPUTED_VALUE"""),54.04)</f>
        <v/>
      </c>
      <c r="E79" s="141">
        <f>IFERROR(__xludf.DUMMYFUNCTION("""COMPUTED_VALUE"""),51.82)</f>
        <v/>
      </c>
      <c r="F79" s="141">
        <f>IFERROR(__xludf.DUMMYFUNCTION("""COMPUTED_VALUE"""),51.94)</f>
        <v/>
      </c>
      <c r="G79" s="143">
        <f>IFERROR(__xludf.DUMMYFUNCTION("""COMPUTED_VALUE"""),67908246)</f>
        <v/>
      </c>
      <c r="H79" s="27" t="n"/>
    </row>
    <row r="80" ht="17.25" customHeight="1" s="322">
      <c r="A80" s="27" t="n"/>
      <c r="B80" s="506">
        <f>IFERROR(__xludf.DUMMYFUNCTION("""COMPUTED_VALUE"""),45943.6666666666)</f>
        <v/>
      </c>
      <c r="C80" s="141">
        <f>IFERROR(__xludf.DUMMYFUNCTION("""COMPUTED_VALUE"""),53.44)</f>
        <v/>
      </c>
      <c r="D80" s="141">
        <f>IFERROR(__xludf.DUMMYFUNCTION("""COMPUTED_VALUE"""),53.65)</f>
        <v/>
      </c>
      <c r="E80" s="141">
        <f>IFERROR(__xludf.DUMMYFUNCTION("""COMPUTED_VALUE"""),53.2)</f>
        <v/>
      </c>
      <c r="F80" s="141">
        <f>IFERROR(__xludf.DUMMYFUNCTION("""COMPUTED_VALUE"""),53.45)</f>
        <v/>
      </c>
      <c r="G80" s="143">
        <f>IFERROR(__xludf.DUMMYFUNCTION("""COMPUTED_VALUE"""),34717490)</f>
        <v/>
      </c>
      <c r="H80" s="27" t="n"/>
    </row>
    <row r="81" ht="17.25" customHeight="1" s="322">
      <c r="A81" s="27" t="n"/>
      <c r="B81" s="506">
        <f>IFERROR(__xludf.DUMMYFUNCTION("""COMPUTED_VALUE"""),45944.6666666666)</f>
        <v/>
      </c>
      <c r="C81" s="141">
        <f>IFERROR(__xludf.DUMMYFUNCTION("""COMPUTED_VALUE"""),52.61)</f>
        <v/>
      </c>
      <c r="D81" s="141">
        <f>IFERROR(__xludf.DUMMYFUNCTION("""COMPUTED_VALUE"""),53.37)</f>
        <v/>
      </c>
      <c r="E81" s="141">
        <f>IFERROR(__xludf.DUMMYFUNCTION("""COMPUTED_VALUE"""),52.53)</f>
        <v/>
      </c>
      <c r="F81" s="141">
        <f>IFERROR(__xludf.DUMMYFUNCTION("""COMPUTED_VALUE"""),52.97)</f>
        <v/>
      </c>
      <c r="G81" s="143">
        <f>IFERROR(__xludf.DUMMYFUNCTION("""COMPUTED_VALUE"""),36062758)</f>
        <v/>
      </c>
      <c r="H81" s="27" t="n"/>
    </row>
    <row r="82" ht="17.25" customHeight="1" s="322">
      <c r="A82" s="27" t="n"/>
      <c r="B82" s="506">
        <f>IFERROR(__xludf.DUMMYFUNCTION("""COMPUTED_VALUE"""),45945.6666666666)</f>
        <v/>
      </c>
      <c r="C82" s="141">
        <f>IFERROR(__xludf.DUMMYFUNCTION("""COMPUTED_VALUE"""),53.85)</f>
        <v/>
      </c>
      <c r="D82" s="141">
        <f>IFERROR(__xludf.DUMMYFUNCTION("""COMPUTED_VALUE"""),54.04)</f>
        <v/>
      </c>
      <c r="E82" s="141">
        <f>IFERROR(__xludf.DUMMYFUNCTION("""COMPUTED_VALUE"""),53.51)</f>
        <v/>
      </c>
      <c r="F82" s="141">
        <f>IFERROR(__xludf.DUMMYFUNCTION("""COMPUTED_VALUE"""),53.84)</f>
        <v/>
      </c>
      <c r="G82" s="143">
        <f>IFERROR(__xludf.DUMMYFUNCTION("""COMPUTED_VALUE"""),31145700)</f>
        <v/>
      </c>
      <c r="H82" s="27" t="n"/>
    </row>
    <row r="83" ht="17.25" customHeight="1" s="322">
      <c r="A83" s="27" t="n"/>
      <c r="B83" s="506">
        <f>IFERROR(__xludf.DUMMYFUNCTION("""COMPUTED_VALUE"""),45946.6666666666)</f>
        <v/>
      </c>
      <c r="C83" s="141">
        <f>IFERROR(__xludf.DUMMYFUNCTION("""COMPUTED_VALUE"""),54.34)</f>
        <v/>
      </c>
      <c r="D83" s="141">
        <f>IFERROR(__xludf.DUMMYFUNCTION("""COMPUTED_VALUE"""),54.58)</f>
        <v/>
      </c>
      <c r="E83" s="141">
        <f>IFERROR(__xludf.DUMMYFUNCTION("""COMPUTED_VALUE"""),54.05)</f>
        <v/>
      </c>
      <c r="F83" s="141">
        <f>IFERROR(__xludf.DUMMYFUNCTION("""COMPUTED_VALUE"""),54.19)</f>
        <v/>
      </c>
      <c r="G83" s="143">
        <f>IFERROR(__xludf.DUMMYFUNCTION("""COMPUTED_VALUE"""),29782033)</f>
        <v/>
      </c>
      <c r="H83" s="27" t="n"/>
    </row>
    <row r="84" ht="17.25" customHeight="1" s="322">
      <c r="A84" s="27" t="n"/>
      <c r="B84" s="506">
        <f>IFERROR(__xludf.DUMMYFUNCTION("""COMPUTED_VALUE"""),45947.6666666666)</f>
        <v/>
      </c>
      <c r="C84" s="141">
        <f>IFERROR(__xludf.DUMMYFUNCTION("""COMPUTED_VALUE"""),53.83)</f>
        <v/>
      </c>
      <c r="D84" s="141">
        <f>IFERROR(__xludf.DUMMYFUNCTION("""COMPUTED_VALUE"""),54.28)</f>
        <v/>
      </c>
      <c r="E84" s="141">
        <f>IFERROR(__xludf.DUMMYFUNCTION("""COMPUTED_VALUE"""),53.8)</f>
        <v/>
      </c>
      <c r="F84" s="141">
        <f>IFERROR(__xludf.DUMMYFUNCTION("""COMPUTED_VALUE"""),54.18)</f>
        <v/>
      </c>
      <c r="G84" s="143">
        <f>IFERROR(__xludf.DUMMYFUNCTION("""COMPUTED_VALUE"""),24373618)</f>
        <v/>
      </c>
      <c r="H84" s="27" t="n"/>
    </row>
    <row r="85" ht="17.25" customHeight="1" s="322">
      <c r="A85" s="27" t="n"/>
      <c r="B85" s="506">
        <f>IFERROR(__xludf.DUMMYFUNCTION("""COMPUTED_VALUE"""),45950.6666666666)</f>
        <v/>
      </c>
      <c r="C85" s="141">
        <f>IFERROR(__xludf.DUMMYFUNCTION("""COMPUTED_VALUE"""),54.56)</f>
        <v/>
      </c>
      <c r="D85" s="141">
        <f>IFERROR(__xludf.DUMMYFUNCTION("""COMPUTED_VALUE"""),55.03)</f>
        <v/>
      </c>
      <c r="E85" s="141">
        <f>IFERROR(__xludf.DUMMYFUNCTION("""COMPUTED_VALUE"""),54.56)</f>
        <v/>
      </c>
      <c r="F85" s="141">
        <f>IFERROR(__xludf.DUMMYFUNCTION("""COMPUTED_VALUE"""),54.92)</f>
        <v/>
      </c>
      <c r="G85" s="143">
        <f>IFERROR(__xludf.DUMMYFUNCTION("""COMPUTED_VALUE"""),29450610)</f>
        <v/>
      </c>
      <c r="H85" s="27" t="n"/>
    </row>
    <row r="86" ht="17.25" customHeight="1" s="322">
      <c r="A86" s="27" t="n"/>
      <c r="B86" s="506">
        <f>IFERROR(__xludf.DUMMYFUNCTION("""COMPUTED_VALUE"""),45951.6666666666)</f>
        <v/>
      </c>
      <c r="C86" s="141">
        <f>IFERROR(__xludf.DUMMYFUNCTION("""COMPUTED_VALUE"""),54.59)</f>
        <v/>
      </c>
      <c r="D86" s="141">
        <f>IFERROR(__xludf.DUMMYFUNCTION("""COMPUTED_VALUE"""),54.59)</f>
        <v/>
      </c>
      <c r="E86" s="141">
        <f>IFERROR(__xludf.DUMMYFUNCTION("""COMPUTED_VALUE"""),54.31)</f>
        <v/>
      </c>
      <c r="F86" s="141">
        <f>IFERROR(__xludf.DUMMYFUNCTION("""COMPUTED_VALUE"""),54.31)</f>
        <v/>
      </c>
      <c r="G86" s="143">
        <f>IFERROR(__xludf.DUMMYFUNCTION("""COMPUTED_VALUE"""),27091775)</f>
        <v/>
      </c>
      <c r="H86" s="27" t="n"/>
    </row>
    <row r="87" ht="17.25" customHeight="1" s="322">
      <c r="A87" s="27" t="n"/>
      <c r="B87" s="506">
        <f>IFERROR(__xludf.DUMMYFUNCTION("""COMPUTED_VALUE"""),45952.6666666666)</f>
        <v/>
      </c>
      <c r="C87" s="141">
        <f>IFERROR(__xludf.DUMMYFUNCTION("""COMPUTED_VALUE"""),54.43)</f>
        <v/>
      </c>
      <c r="D87" s="141">
        <f>IFERROR(__xludf.DUMMYFUNCTION("""COMPUTED_VALUE"""),54.69)</f>
        <v/>
      </c>
      <c r="E87" s="141">
        <f>IFERROR(__xludf.DUMMYFUNCTION("""COMPUTED_VALUE"""),54.01)</f>
        <v/>
      </c>
      <c r="F87" s="141">
        <f>IFERROR(__xludf.DUMMYFUNCTION("""COMPUTED_VALUE"""),54.26)</f>
        <v/>
      </c>
      <c r="G87" s="143">
        <f>IFERROR(__xludf.DUMMYFUNCTION("""COMPUTED_VALUE"""),23595474)</f>
        <v/>
      </c>
      <c r="H87" s="27" t="n"/>
    </row>
    <row r="88" ht="17.25" customHeight="1" s="322">
      <c r="A88" s="27" t="n"/>
      <c r="B88" s="506">
        <f>IFERROR(__xludf.DUMMYFUNCTION("""COMPUTED_VALUE"""),45953.6666666666)</f>
        <v/>
      </c>
      <c r="C88" s="141">
        <f>IFERROR(__xludf.DUMMYFUNCTION("""COMPUTED_VALUE"""),54.48)</f>
        <v/>
      </c>
      <c r="D88" s="141">
        <f>IFERROR(__xludf.DUMMYFUNCTION("""COMPUTED_VALUE"""),54.86)</f>
        <v/>
      </c>
      <c r="E88" s="141">
        <f>IFERROR(__xludf.DUMMYFUNCTION("""COMPUTED_VALUE"""),54.46)</f>
        <v/>
      </c>
      <c r="F88" s="141">
        <f>IFERROR(__xludf.DUMMYFUNCTION("""COMPUTED_VALUE"""),54.74)</f>
        <v/>
      </c>
      <c r="G88" s="143">
        <f>IFERROR(__xludf.DUMMYFUNCTION("""COMPUTED_VALUE"""),19655835)</f>
        <v/>
      </c>
      <c r="H88" s="27" t="n"/>
    </row>
    <row r="89" ht="17.25" customHeight="1" s="322">
      <c r="A89" s="27" t="n"/>
      <c r="B89" s="506">
        <f>IFERROR(__xludf.DUMMYFUNCTION("""COMPUTED_VALUE"""),45954.6666666666)</f>
        <v/>
      </c>
      <c r="C89" s="141">
        <f>IFERROR(__xludf.DUMMYFUNCTION("""COMPUTED_VALUE"""),55.18)</f>
        <v/>
      </c>
      <c r="D89" s="141">
        <f>IFERROR(__xludf.DUMMYFUNCTION("""COMPUTED_VALUE"""),55.21)</f>
        <v/>
      </c>
      <c r="E89" s="141">
        <f>IFERROR(__xludf.DUMMYFUNCTION("""COMPUTED_VALUE"""),55.01)</f>
        <v/>
      </c>
      <c r="F89" s="141">
        <f>IFERROR(__xludf.DUMMYFUNCTION("""COMPUTED_VALUE"""),55.1)</f>
        <v/>
      </c>
      <c r="G89" s="143">
        <f>IFERROR(__xludf.DUMMYFUNCTION("""COMPUTED_VALUE"""),19506251)</f>
        <v/>
      </c>
      <c r="H89" s="27" t="n"/>
    </row>
    <row r="90" ht="17.25" customHeight="1" s="322">
      <c r="A90" s="27" t="n"/>
      <c r="B90" s="506">
        <f>IFERROR(__xludf.DUMMYFUNCTION("""COMPUTED_VALUE"""),45957.6666666666)</f>
        <v/>
      </c>
      <c r="C90" s="141">
        <f>IFERROR(__xludf.DUMMYFUNCTION("""COMPUTED_VALUE"""),55.72)</f>
        <v/>
      </c>
      <c r="D90" s="141">
        <f>IFERROR(__xludf.DUMMYFUNCTION("""COMPUTED_VALUE"""),55.74)</f>
        <v/>
      </c>
      <c r="E90" s="141">
        <f>IFERROR(__xludf.DUMMYFUNCTION("""COMPUTED_VALUE"""),55.5)</f>
        <v/>
      </c>
      <c r="F90" s="141">
        <f>IFERROR(__xludf.DUMMYFUNCTION("""COMPUTED_VALUE"""),55.71)</f>
        <v/>
      </c>
      <c r="G90" s="143">
        <f>IFERROR(__xludf.DUMMYFUNCTION("""COMPUTED_VALUE"""),24016505)</f>
        <v/>
      </c>
      <c r="H90" s="27" t="n"/>
    </row>
    <row r="91" ht="17.25" customHeight="1" s="322">
      <c r="A91" s="27" t="n"/>
      <c r="B91" s="506">
        <f>IFERROR(__xludf.DUMMYFUNCTION("""COMPUTED_VALUE"""),45958.6666666666)</f>
        <v/>
      </c>
      <c r="C91" s="141">
        <f>IFERROR(__xludf.DUMMYFUNCTION("""COMPUTED_VALUE"""),55.38)</f>
        <v/>
      </c>
      <c r="D91" s="141">
        <f>IFERROR(__xludf.DUMMYFUNCTION("""COMPUTED_VALUE"""),55.77)</f>
        <v/>
      </c>
      <c r="E91" s="141">
        <f>IFERROR(__xludf.DUMMYFUNCTION("""COMPUTED_VALUE"""),55.33)</f>
        <v/>
      </c>
      <c r="F91" s="141">
        <f>IFERROR(__xludf.DUMMYFUNCTION("""COMPUTED_VALUE"""),55.69)</f>
        <v/>
      </c>
      <c r="G91" s="143">
        <f>IFERROR(__xludf.DUMMYFUNCTION("""COMPUTED_VALUE"""),25911549)</f>
        <v/>
      </c>
      <c r="H91" s="27" t="n"/>
    </row>
    <row r="92" ht="17.25" customHeight="1" s="322">
      <c r="A92" s="27" t="n"/>
      <c r="B92" s="506">
        <f>IFERROR(__xludf.DUMMYFUNCTION("""COMPUTED_VALUE"""),45959.6666666666)</f>
        <v/>
      </c>
      <c r="C92" s="141">
        <f>IFERROR(__xludf.DUMMYFUNCTION("""COMPUTED_VALUE"""),56.22)</f>
        <v/>
      </c>
      <c r="D92" s="141">
        <f>IFERROR(__xludf.DUMMYFUNCTION("""COMPUTED_VALUE"""),56.31)</f>
        <v/>
      </c>
      <c r="E92" s="141">
        <f>IFERROR(__xludf.DUMMYFUNCTION("""COMPUTED_VALUE"""),55.75)</f>
        <v/>
      </c>
      <c r="F92" s="141">
        <f>IFERROR(__xludf.DUMMYFUNCTION("""COMPUTED_VALUE"""),56.01)</f>
        <v/>
      </c>
      <c r="G92" s="143">
        <f>IFERROR(__xludf.DUMMYFUNCTION("""COMPUTED_VALUE"""),32924601)</f>
        <v/>
      </c>
      <c r="H92" s="27" t="n"/>
    </row>
    <row r="93" ht="17.25" customHeight="1" s="322">
      <c r="A93" s="27" t="n"/>
      <c r="B93" s="506">
        <f>IFERROR(__xludf.DUMMYFUNCTION("""COMPUTED_VALUE"""),45960.6666666666)</f>
        <v/>
      </c>
      <c r="C93" s="141">
        <f>IFERROR(__xludf.DUMMYFUNCTION("""COMPUTED_VALUE"""),55.45)</f>
        <v/>
      </c>
      <c r="D93" s="141">
        <f>IFERROR(__xludf.DUMMYFUNCTION("""COMPUTED_VALUE"""),55.66)</f>
        <v/>
      </c>
      <c r="E93" s="141">
        <f>IFERROR(__xludf.DUMMYFUNCTION("""COMPUTED_VALUE"""),55.32)</f>
        <v/>
      </c>
      <c r="F93" s="141">
        <f>IFERROR(__xludf.DUMMYFUNCTION("""COMPUTED_VALUE"""),55.43)</f>
        <v/>
      </c>
      <c r="G93" s="143">
        <f>IFERROR(__xludf.DUMMYFUNCTION("""COMPUTED_VALUE"""),22532835)</f>
        <v/>
      </c>
      <c r="H93" s="27" t="n"/>
    </row>
    <row r="94" ht="17.25" customHeight="1" s="322">
      <c r="A94" s="27" t="n"/>
      <c r="B94" s="506">
        <f>IFERROR(__xludf.DUMMYFUNCTION("""COMPUTED_VALUE"""),45961.6666666666)</f>
        <v/>
      </c>
      <c r="C94" s="141">
        <f>IFERROR(__xludf.DUMMYFUNCTION("""COMPUTED_VALUE"""),55.34)</f>
        <v/>
      </c>
      <c r="D94" s="141">
        <f>IFERROR(__xludf.DUMMYFUNCTION("""COMPUTED_VALUE"""),55.39)</f>
        <v/>
      </c>
      <c r="E94" s="141">
        <f>IFERROR(__xludf.DUMMYFUNCTION("""COMPUTED_VALUE"""),55.03)</f>
        <v/>
      </c>
      <c r="F94" s="141">
        <f>IFERROR(__xludf.DUMMYFUNCTION("""COMPUTED_VALUE"""),55.3)</f>
        <v/>
      </c>
      <c r="G94" s="143">
        <f>IFERROR(__xludf.DUMMYFUNCTION("""COMPUTED_VALUE"""),29316434)</f>
        <v/>
      </c>
      <c r="H94" s="27" t="n"/>
    </row>
    <row r="95" ht="17.25" customHeight="1" s="322">
      <c r="A95" s="27" t="n"/>
      <c r="B95" s="506">
        <f>IFERROR(__xludf.DUMMYFUNCTION("""COMPUTED_VALUE"""),45964.6666666666)</f>
        <v/>
      </c>
      <c r="C95" s="141">
        <f>IFERROR(__xludf.DUMMYFUNCTION("""COMPUTED_VALUE"""),55.69)</f>
        <v/>
      </c>
      <c r="D95" s="141">
        <f>IFERROR(__xludf.DUMMYFUNCTION("""COMPUTED_VALUE"""),55.73)</f>
        <v/>
      </c>
      <c r="E95" s="141">
        <f>IFERROR(__xludf.DUMMYFUNCTION("""COMPUTED_VALUE"""),55.37)</f>
        <v/>
      </c>
      <c r="F95" s="141">
        <f>IFERROR(__xludf.DUMMYFUNCTION("""COMPUTED_VALUE"""),55.65)</f>
        <v/>
      </c>
      <c r="G95" s="143">
        <f>IFERROR(__xludf.DUMMYFUNCTION("""COMPUTED_VALUE"""),18735927)</f>
        <v/>
      </c>
      <c r="H95" s="27" t="n"/>
    </row>
    <row r="96" ht="17.25" customHeight="1" s="322">
      <c r="A96" s="27" t="n"/>
      <c r="B96" s="506">
        <f>IFERROR(__xludf.DUMMYFUNCTION("""COMPUTED_VALUE"""),45965.6666666666)</f>
        <v/>
      </c>
      <c r="C96" s="141">
        <f>IFERROR(__xludf.DUMMYFUNCTION("""COMPUTED_VALUE"""),54.73)</f>
        <v/>
      </c>
      <c r="D96" s="141">
        <f>IFERROR(__xludf.DUMMYFUNCTION("""COMPUTED_VALUE"""),55.07)</f>
        <v/>
      </c>
      <c r="E96" s="141">
        <f>IFERROR(__xludf.DUMMYFUNCTION("""COMPUTED_VALUE"""),54.61)</f>
        <v/>
      </c>
      <c r="F96" s="141">
        <f>IFERROR(__xludf.DUMMYFUNCTION("""COMPUTED_VALUE"""),54.63)</f>
        <v/>
      </c>
      <c r="G96" s="143">
        <f>IFERROR(__xludf.DUMMYFUNCTION("""COMPUTED_VALUE"""),25655752)</f>
        <v/>
      </c>
      <c r="H96" s="27" t="n"/>
    </row>
    <row r="97" ht="17.25" customHeight="1" s="322">
      <c r="A97" s="27" t="n"/>
      <c r="B97" s="506">
        <f>IFERROR(__xludf.DUMMYFUNCTION("""COMPUTED_VALUE"""),45966.6666666666)</f>
        <v/>
      </c>
      <c r="C97" s="141">
        <f>IFERROR(__xludf.DUMMYFUNCTION("""COMPUTED_VALUE"""),54.64)</f>
        <v/>
      </c>
      <c r="D97" s="141">
        <f>IFERROR(__xludf.DUMMYFUNCTION("""COMPUTED_VALUE"""),55.25)</f>
        <v/>
      </c>
      <c r="E97" s="141">
        <f>IFERROR(__xludf.DUMMYFUNCTION("""COMPUTED_VALUE"""),54.61)</f>
        <v/>
      </c>
      <c r="F97" s="141">
        <f>IFERROR(__xludf.DUMMYFUNCTION("""COMPUTED_VALUE"""),55.12)</f>
        <v/>
      </c>
      <c r="G97" s="143">
        <f>IFERROR(__xludf.DUMMYFUNCTION("""COMPUTED_VALUE"""),22362009)</f>
        <v/>
      </c>
      <c r="H97" s="27" t="n"/>
    </row>
    <row r="98" ht="17.25" customHeight="1" s="322">
      <c r="A98" s="27" t="n"/>
      <c r="B98" s="506">
        <f>IFERROR(__xludf.DUMMYFUNCTION("""COMPUTED_VALUE"""),45967.6666666666)</f>
        <v/>
      </c>
      <c r="C98" s="141">
        <f>IFERROR(__xludf.DUMMYFUNCTION("""COMPUTED_VALUE"""),55.07)</f>
        <v/>
      </c>
      <c r="D98" s="141">
        <f>IFERROR(__xludf.DUMMYFUNCTION("""COMPUTED_VALUE"""),55.22)</f>
        <v/>
      </c>
      <c r="E98" s="141">
        <f>IFERROR(__xludf.DUMMYFUNCTION("""COMPUTED_VALUE"""),54.52)</f>
        <v/>
      </c>
      <c r="F98" s="141">
        <f>IFERROR(__xludf.DUMMYFUNCTION("""COMPUTED_VALUE"""),54.71)</f>
        <v/>
      </c>
      <c r="G98" s="143">
        <f>IFERROR(__xludf.DUMMYFUNCTION("""COMPUTED_VALUE"""),24880814)</f>
        <v/>
      </c>
      <c r="H98" s="27" t="n"/>
    </row>
    <row r="99" ht="17.25" customHeight="1" s="322">
      <c r="A99" s="27" t="n"/>
      <c r="B99" s="506">
        <f>IFERROR(__xludf.DUMMYFUNCTION("""COMPUTED_VALUE"""),45968.6666666666)</f>
        <v/>
      </c>
      <c r="C99" s="141">
        <f>IFERROR(__xludf.DUMMYFUNCTION("""COMPUTED_VALUE"""),54.21)</f>
        <v/>
      </c>
      <c r="D99" s="141">
        <f>IFERROR(__xludf.DUMMYFUNCTION("""COMPUTED_VALUE"""),54.55)</f>
        <v/>
      </c>
      <c r="E99" s="141">
        <f>IFERROR(__xludf.DUMMYFUNCTION("""COMPUTED_VALUE"""),53.8)</f>
        <v/>
      </c>
      <c r="F99" s="141">
        <f>IFERROR(__xludf.DUMMYFUNCTION("""COMPUTED_VALUE"""),54.55)</f>
        <v/>
      </c>
      <c r="G99" s="143">
        <f>IFERROR(__xludf.DUMMYFUNCTION("""COMPUTED_VALUE"""),32432333)</f>
        <v/>
      </c>
      <c r="H99" s="27" t="n"/>
    </row>
    <row r="100" ht="17.25" customHeight="1" s="322">
      <c r="A100" s="27" t="n"/>
      <c r="B100" s="506">
        <f>IFERROR(__xludf.DUMMYFUNCTION("""COMPUTED_VALUE"""),45971.6666666666)</f>
        <v/>
      </c>
      <c r="C100" s="141">
        <f>IFERROR(__xludf.DUMMYFUNCTION("""COMPUTED_VALUE"""),55.28)</f>
        <v/>
      </c>
      <c r="D100" s="141">
        <f>IFERROR(__xludf.DUMMYFUNCTION("""COMPUTED_VALUE"""),55.55)</f>
        <v/>
      </c>
      <c r="E100" s="141">
        <f>IFERROR(__xludf.DUMMYFUNCTION("""COMPUTED_VALUE"""),55.1)</f>
        <v/>
      </c>
      <c r="F100" s="141">
        <f>IFERROR(__xludf.DUMMYFUNCTION("""COMPUTED_VALUE"""),55.51)</f>
        <v/>
      </c>
      <c r="G100" s="143">
        <f>IFERROR(__xludf.DUMMYFUNCTION("""COMPUTED_VALUE"""),27712194)</f>
        <v/>
      </c>
      <c r="H100" s="27" t="n"/>
    </row>
    <row r="101" ht="17.25" customHeight="1" s="322">
      <c r="A101" s="27" t="n"/>
      <c r="B101" s="506">
        <f>IFERROR(__xludf.DUMMYFUNCTION("""COMPUTED_VALUE"""),45972.6666666666)</f>
        <v/>
      </c>
      <c r="C101" s="141">
        <f>IFERROR(__xludf.DUMMYFUNCTION("""COMPUTED_VALUE"""),55.51)</f>
        <v/>
      </c>
      <c r="D101" s="141">
        <f>IFERROR(__xludf.DUMMYFUNCTION("""COMPUTED_VALUE"""),55.7)</f>
        <v/>
      </c>
      <c r="E101" s="141">
        <f>IFERROR(__xludf.DUMMYFUNCTION("""COMPUTED_VALUE"""),55.37)</f>
        <v/>
      </c>
      <c r="F101" s="141">
        <f>IFERROR(__xludf.DUMMYFUNCTION("""COMPUTED_VALUE"""),55.57)</f>
        <v/>
      </c>
      <c r="G101" s="143">
        <f>IFERROR(__xludf.DUMMYFUNCTION("""COMPUTED_VALUE"""),22791823)</f>
        <v/>
      </c>
      <c r="H101" s="27" t="n"/>
    </row>
    <row r="102" ht="17.25" customHeight="1" s="322">
      <c r="A102" s="27" t="n"/>
      <c r="B102" s="506">
        <f>IFERROR(__xludf.DUMMYFUNCTION("""COMPUTED_VALUE"""),45973.6666666666)</f>
        <v/>
      </c>
      <c r="C102" s="141">
        <f>IFERROR(__xludf.DUMMYFUNCTION("""COMPUTED_VALUE"""),55.66)</f>
        <v/>
      </c>
      <c r="D102" s="141">
        <f>IFERROR(__xludf.DUMMYFUNCTION("""COMPUTED_VALUE"""),55.66)</f>
        <v/>
      </c>
      <c r="E102" s="141">
        <f>IFERROR(__xludf.DUMMYFUNCTION("""COMPUTED_VALUE"""),55.42)</f>
        <v/>
      </c>
      <c r="F102" s="141">
        <f>IFERROR(__xludf.DUMMYFUNCTION("""COMPUTED_VALUE"""),55.58)</f>
        <v/>
      </c>
      <c r="G102" s="143">
        <f>IFERROR(__xludf.DUMMYFUNCTION("""COMPUTED_VALUE"""),24137861)</f>
        <v/>
      </c>
      <c r="H102" s="27" t="n"/>
    </row>
    <row r="103" ht="17.25" customHeight="1" s="322">
      <c r="A103" s="27" t="n"/>
      <c r="B103" s="506">
        <f>IFERROR(__xludf.DUMMYFUNCTION("""COMPUTED_VALUE"""),45974.6666666666)</f>
        <v/>
      </c>
      <c r="C103" s="141">
        <f>IFERROR(__xludf.DUMMYFUNCTION("""COMPUTED_VALUE"""),55.7)</f>
        <v/>
      </c>
      <c r="D103" s="141">
        <f>IFERROR(__xludf.DUMMYFUNCTION("""COMPUTED_VALUE"""),55.73)</f>
        <v/>
      </c>
      <c r="E103" s="141">
        <f>IFERROR(__xludf.DUMMYFUNCTION("""COMPUTED_VALUE"""),54.82)</f>
        <v/>
      </c>
      <c r="F103" s="141">
        <f>IFERROR(__xludf.DUMMYFUNCTION("""COMPUTED_VALUE"""),54.93)</f>
        <v/>
      </c>
      <c r="G103" s="143">
        <f>IFERROR(__xludf.DUMMYFUNCTION("""COMPUTED_VALUE"""),29877469)</f>
        <v/>
      </c>
      <c r="H103" s="27" t="n"/>
    </row>
    <row r="104" ht="17.25" customHeight="1" s="322">
      <c r="A104" s="27" t="n"/>
      <c r="B104" s="506">
        <f>IFERROR(__xludf.DUMMYFUNCTION("""COMPUTED_VALUE"""),45975.6666666666)</f>
        <v/>
      </c>
      <c r="C104" s="141">
        <f>IFERROR(__xludf.DUMMYFUNCTION("""COMPUTED_VALUE"""),54.53)</f>
        <v/>
      </c>
      <c r="D104" s="141">
        <f>IFERROR(__xludf.DUMMYFUNCTION("""COMPUTED_VALUE"""),55.3)</f>
        <v/>
      </c>
      <c r="E104" s="141">
        <f>IFERROR(__xludf.DUMMYFUNCTION("""COMPUTED_VALUE"""),54.41)</f>
        <v/>
      </c>
      <c r="F104" s="141">
        <f>IFERROR(__xludf.DUMMYFUNCTION("""COMPUTED_VALUE"""),54.96)</f>
        <v/>
      </c>
      <c r="G104" s="143">
        <f>IFERROR(__xludf.DUMMYFUNCTION("""COMPUTED_VALUE"""),27660028)</f>
        <v/>
      </c>
      <c r="H104" s="27" t="n"/>
    </row>
    <row r="105" ht="17.25" customHeight="1" s="322">
      <c r="A105" s="27" t="n"/>
      <c r="B105" s="506">
        <f>IFERROR(__xludf.DUMMYFUNCTION("""COMPUTED_VALUE"""),45978.6666666666)</f>
        <v/>
      </c>
      <c r="C105" s="141">
        <f>IFERROR(__xludf.DUMMYFUNCTION("""COMPUTED_VALUE"""),54.52)</f>
        <v/>
      </c>
      <c r="D105" s="141">
        <f>IFERROR(__xludf.DUMMYFUNCTION("""COMPUTED_VALUE"""),54.89)</f>
        <v/>
      </c>
      <c r="E105" s="141">
        <f>IFERROR(__xludf.DUMMYFUNCTION("""COMPUTED_VALUE"""),54.14)</f>
        <v/>
      </c>
      <c r="F105" s="141">
        <f>IFERROR(__xludf.DUMMYFUNCTION("""COMPUTED_VALUE"""),54.31)</f>
        <v/>
      </c>
      <c r="G105" s="143">
        <f>IFERROR(__xludf.DUMMYFUNCTION("""COMPUTED_VALUE"""),24765074)</f>
        <v/>
      </c>
      <c r="H105" s="27" t="n"/>
    </row>
    <row r="106" ht="17.25" customHeight="1" s="322">
      <c r="A106" s="27" t="n"/>
      <c r="B106" s="506">
        <f>IFERROR(__xludf.DUMMYFUNCTION("""COMPUTED_VALUE"""),45979.6666666666)</f>
        <v/>
      </c>
      <c r="C106" s="141">
        <f>IFERROR(__xludf.DUMMYFUNCTION("""COMPUTED_VALUE"""),53.88)</f>
        <v/>
      </c>
      <c r="D106" s="141">
        <f>IFERROR(__xludf.DUMMYFUNCTION("""COMPUTED_VALUE"""),54.25)</f>
        <v/>
      </c>
      <c r="E106" s="141">
        <f>IFERROR(__xludf.DUMMYFUNCTION("""COMPUTED_VALUE"""),53.68)</f>
        <v/>
      </c>
      <c r="F106" s="141">
        <f>IFERROR(__xludf.DUMMYFUNCTION("""COMPUTED_VALUE"""),54.04)</f>
        <v/>
      </c>
      <c r="G106" s="143">
        <f>IFERROR(__xludf.DUMMYFUNCTION("""COMPUTED_VALUE"""),29360262)</f>
        <v/>
      </c>
      <c r="H106" s="27" t="n"/>
    </row>
    <row r="107" ht="17.25" customHeight="1" s="322">
      <c r="A107" s="27" t="n"/>
      <c r="B107" s="506">
        <f>IFERROR(__xludf.DUMMYFUNCTION("""COMPUTED_VALUE"""),45980.6666666666)</f>
        <v/>
      </c>
      <c r="C107" s="141">
        <f>IFERROR(__xludf.DUMMYFUNCTION("""COMPUTED_VALUE"""),53.84)</f>
        <v/>
      </c>
      <c r="D107" s="141">
        <f>IFERROR(__xludf.DUMMYFUNCTION("""COMPUTED_VALUE"""),54.17)</f>
        <v/>
      </c>
      <c r="E107" s="141">
        <f>IFERROR(__xludf.DUMMYFUNCTION("""COMPUTED_VALUE"""),53.61)</f>
        <v/>
      </c>
      <c r="F107" s="141">
        <f>IFERROR(__xludf.DUMMYFUNCTION("""COMPUTED_VALUE"""),53.85)</f>
        <v/>
      </c>
      <c r="G107" s="143">
        <f>IFERROR(__xludf.DUMMYFUNCTION("""COMPUTED_VALUE"""),20897928)</f>
        <v/>
      </c>
      <c r="H107" s="27" t="n"/>
    </row>
    <row r="108" ht="17.25" customHeight="1" s="322">
      <c r="A108" s="27" t="n"/>
      <c r="B108" s="506">
        <f>IFERROR(__xludf.DUMMYFUNCTION("""COMPUTED_VALUE"""),45981.6666666666)</f>
        <v/>
      </c>
      <c r="C108" s="141">
        <f>IFERROR(__xludf.DUMMYFUNCTION("""COMPUTED_VALUE"""),54.43)</f>
        <v/>
      </c>
      <c r="D108" s="141">
        <f>IFERROR(__xludf.DUMMYFUNCTION("""COMPUTED_VALUE"""),54.49)</f>
        <v/>
      </c>
      <c r="E108" s="141">
        <f>IFERROR(__xludf.DUMMYFUNCTION("""COMPUTED_VALUE"""),53.08)</f>
        <v/>
      </c>
      <c r="F108" s="141">
        <f>IFERROR(__xludf.DUMMYFUNCTION("""COMPUTED_VALUE"""),53.11)</f>
        <v/>
      </c>
      <c r="G108" s="143">
        <f>IFERROR(__xludf.DUMMYFUNCTION("""COMPUTED_VALUE"""),32026351)</f>
        <v/>
      </c>
      <c r="H108" s="27" t="n"/>
    </row>
    <row r="109" ht="17.25" customHeight="1" s="322">
      <c r="A109" s="27" t="n"/>
      <c r="B109" s="506">
        <f>IFERROR(__xludf.DUMMYFUNCTION("""COMPUTED_VALUE"""),45982.6666666666)</f>
        <v/>
      </c>
      <c r="C109" s="141">
        <f>IFERROR(__xludf.DUMMYFUNCTION("""COMPUTED_VALUE"""),52.71)</f>
        <v/>
      </c>
      <c r="D109" s="141">
        <f>IFERROR(__xludf.DUMMYFUNCTION("""COMPUTED_VALUE"""),53.33)</f>
        <v/>
      </c>
      <c r="E109" s="141">
        <f>IFERROR(__xludf.DUMMYFUNCTION("""COMPUTED_VALUE"""),52.38)</f>
        <v/>
      </c>
      <c r="F109" s="141">
        <f>IFERROR(__xludf.DUMMYFUNCTION("""COMPUTED_VALUE"""),53.1)</f>
        <v/>
      </c>
      <c r="G109" s="143">
        <f>IFERROR(__xludf.DUMMYFUNCTION("""COMPUTED_VALUE"""),40328780)</f>
        <v/>
      </c>
      <c r="H109" s="27" t="n"/>
    </row>
    <row r="110" ht="17.25" customHeight="1" s="322">
      <c r="A110" s="27" t="n"/>
      <c r="B110" s="506">
        <f>IFERROR(__xludf.DUMMYFUNCTION("""COMPUTED_VALUE"""),45985.6666666666)</f>
        <v/>
      </c>
      <c r="C110" s="141">
        <f>IFERROR(__xludf.DUMMYFUNCTION("""COMPUTED_VALUE"""),53.12)</f>
        <v/>
      </c>
      <c r="D110" s="141">
        <f>IFERROR(__xludf.DUMMYFUNCTION("""COMPUTED_VALUE"""),53.7)</f>
        <v/>
      </c>
      <c r="E110" s="141">
        <f>IFERROR(__xludf.DUMMYFUNCTION("""COMPUTED_VALUE"""),53.12)</f>
        <v/>
      </c>
      <c r="F110" s="141">
        <f>IFERROR(__xludf.DUMMYFUNCTION("""COMPUTED_VALUE"""),53.66)</f>
        <v/>
      </c>
      <c r="G110" s="143">
        <f>IFERROR(__xludf.DUMMYFUNCTION("""COMPUTED_VALUE"""),33650563)</f>
        <v/>
      </c>
      <c r="H110" s="27" t="n"/>
    </row>
    <row r="111" ht="17.25" customHeight="1" s="322">
      <c r="A111" s="27" t="n"/>
      <c r="B111" s="506">
        <f>IFERROR(__xludf.DUMMYFUNCTION("""COMPUTED_VALUE"""),45986.6666666666)</f>
        <v/>
      </c>
      <c r="C111" s="141">
        <f>IFERROR(__xludf.DUMMYFUNCTION("""COMPUTED_VALUE"""),53.63)</f>
        <v/>
      </c>
      <c r="D111" s="141">
        <f>IFERROR(__xludf.DUMMYFUNCTION("""COMPUTED_VALUE"""),53.87)</f>
        <v/>
      </c>
      <c r="E111" s="141">
        <f>IFERROR(__xludf.DUMMYFUNCTION("""COMPUTED_VALUE"""),53.21)</f>
        <v/>
      </c>
      <c r="F111" s="141">
        <f>IFERROR(__xludf.DUMMYFUNCTION("""COMPUTED_VALUE"""),53.85)</f>
        <v/>
      </c>
      <c r="G111" s="143">
        <f>IFERROR(__xludf.DUMMYFUNCTION("""COMPUTED_VALUE"""),25248180)</f>
        <v/>
      </c>
      <c r="H111" s="27" t="n"/>
    </row>
    <row r="112" ht="17.25" customHeight="1" s="322">
      <c r="A112" s="27" t="n"/>
      <c r="B112" s="506">
        <f>IFERROR(__xludf.DUMMYFUNCTION("""COMPUTED_VALUE"""),45987.6666666666)</f>
        <v/>
      </c>
      <c r="C112" s="141">
        <f>IFERROR(__xludf.DUMMYFUNCTION("""COMPUTED_VALUE"""),54.1)</f>
        <v/>
      </c>
      <c r="D112" s="141">
        <f>IFERROR(__xludf.DUMMYFUNCTION("""COMPUTED_VALUE"""),54.33)</f>
        <v/>
      </c>
      <c r="E112" s="141">
        <f>IFERROR(__xludf.DUMMYFUNCTION("""COMPUTED_VALUE"""),53.96)</f>
        <v/>
      </c>
      <c r="F112" s="141">
        <f>IFERROR(__xludf.DUMMYFUNCTION("""COMPUTED_VALUE"""),54.24)</f>
        <v/>
      </c>
      <c r="G112" s="143">
        <f>IFERROR(__xludf.DUMMYFUNCTION("""COMPUTED_VALUE"""),22161638)</f>
        <v/>
      </c>
      <c r="H112" s="27" t="n"/>
    </row>
    <row r="113" ht="17.25" customHeight="1" s="322">
      <c r="A113" s="27" t="n"/>
      <c r="B113" s="506">
        <f>IFERROR(__xludf.DUMMYFUNCTION("""COMPUTED_VALUE"""),45989.5520833333)</f>
        <v/>
      </c>
      <c r="C113" s="141">
        <f>IFERROR(__xludf.DUMMYFUNCTION("""COMPUTED_VALUE"""),54.16)</f>
        <v/>
      </c>
      <c r="D113" s="141">
        <f>IFERROR(__xludf.DUMMYFUNCTION("""COMPUTED_VALUE"""),54.37)</f>
        <v/>
      </c>
      <c r="E113" s="141">
        <f>IFERROR(__xludf.DUMMYFUNCTION("""COMPUTED_VALUE"""),54.12)</f>
        <v/>
      </c>
      <c r="F113" s="141">
        <f>IFERROR(__xludf.DUMMYFUNCTION("""COMPUTED_VALUE"""),54.32)</f>
        <v/>
      </c>
      <c r="G113" s="143">
        <f>IFERROR(__xludf.DUMMYFUNCTION("""COMPUTED_VALUE"""),15057453)</f>
        <v/>
      </c>
      <c r="H113" s="27" t="n"/>
    </row>
    <row r="114" ht="17.25" customHeight="1" s="322">
      <c r="A114" s="27" t="n"/>
      <c r="B114" s="506">
        <f>IFERROR(__xludf.DUMMYFUNCTION("""COMPUTED_VALUE"""),45992.6666666666)</f>
        <v/>
      </c>
      <c r="C114" s="141">
        <f>IFERROR(__xludf.DUMMYFUNCTION("""COMPUTED_VALUE"""),54.15)</f>
        <v/>
      </c>
      <c r="D114" s="141">
        <f>IFERROR(__xludf.DUMMYFUNCTION("""COMPUTED_VALUE"""),54.45)</f>
        <v/>
      </c>
      <c r="E114" s="141">
        <f>IFERROR(__xludf.DUMMYFUNCTION("""COMPUTED_VALUE"""),54.15)</f>
        <v/>
      </c>
      <c r="F114" s="141">
        <f>IFERROR(__xludf.DUMMYFUNCTION("""COMPUTED_VALUE"""),54.28)</f>
        <v/>
      </c>
      <c r="G114" s="143">
        <f>IFERROR(__xludf.DUMMYFUNCTION("""COMPUTED_VALUE"""),17854074)</f>
        <v/>
      </c>
      <c r="H114" s="27" t="n"/>
    </row>
    <row r="115" ht="17.25" customHeight="1" s="322">
      <c r="A115" s="27" t="n"/>
      <c r="B115" s="506">
        <f>IFERROR(__xludf.DUMMYFUNCTION("""COMPUTED_VALUE"""),45993.6666666666)</f>
        <v/>
      </c>
      <c r="C115" s="141">
        <f>IFERROR(__xludf.DUMMYFUNCTION("""COMPUTED_VALUE"""),54.36)</f>
        <v/>
      </c>
      <c r="D115" s="141">
        <f>IFERROR(__xludf.DUMMYFUNCTION("""COMPUTED_VALUE"""),54.38)</f>
        <v/>
      </c>
      <c r="E115" s="141">
        <f>IFERROR(__xludf.DUMMYFUNCTION("""COMPUTED_VALUE"""),54.07)</f>
        <v/>
      </c>
      <c r="F115" s="141">
        <f>IFERROR(__xludf.DUMMYFUNCTION("""COMPUTED_VALUE"""),54.3)</f>
        <v/>
      </c>
      <c r="G115" s="143">
        <f>IFERROR(__xludf.DUMMYFUNCTION("""COMPUTED_VALUE"""),22523089)</f>
        <v/>
      </c>
      <c r="H115" s="27" t="n"/>
    </row>
    <row r="116" ht="17.25" customHeight="1" s="322">
      <c r="A116" s="27" t="n"/>
      <c r="B116" s="506">
        <f>IFERROR(__xludf.DUMMYFUNCTION("""COMPUTED_VALUE"""),45994.6666666666)</f>
        <v/>
      </c>
      <c r="C116" s="141">
        <f>IFERROR(__xludf.DUMMYFUNCTION("""COMPUTED_VALUE"""),54.14)</f>
        <v/>
      </c>
      <c r="D116" s="141">
        <f>IFERROR(__xludf.DUMMYFUNCTION("""COMPUTED_VALUE"""),54.35)</f>
        <v/>
      </c>
      <c r="E116" s="141">
        <f>IFERROR(__xludf.DUMMYFUNCTION("""COMPUTED_VALUE"""),54.05)</f>
        <v/>
      </c>
      <c r="F116" s="141">
        <f>IFERROR(__xludf.DUMMYFUNCTION("""COMPUTED_VALUE"""),54.34)</f>
        <v/>
      </c>
      <c r="G116" s="143">
        <f>IFERROR(__xludf.DUMMYFUNCTION("""COMPUTED_VALUE"""),16750182)</f>
        <v/>
      </c>
      <c r="H116" s="27" t="n"/>
    </row>
    <row r="117" ht="17.25" customHeight="1" s="322">
      <c r="A117" s="27" t="n"/>
      <c r="B117" s="506">
        <f>IFERROR(__xludf.DUMMYFUNCTION("""COMPUTED_VALUE"""),45995.6666666666)</f>
        <v/>
      </c>
      <c r="C117" s="141">
        <f>IFERROR(__xludf.DUMMYFUNCTION("""COMPUTED_VALUE"""),54.41)</f>
        <v/>
      </c>
      <c r="D117" s="141">
        <f>IFERROR(__xludf.DUMMYFUNCTION("""COMPUTED_VALUE"""),54.41)</f>
        <v/>
      </c>
      <c r="E117" s="141">
        <f>IFERROR(__xludf.DUMMYFUNCTION("""COMPUTED_VALUE"""),54.18)</f>
        <v/>
      </c>
      <c r="F117" s="141">
        <f>IFERROR(__xludf.DUMMYFUNCTION("""COMPUTED_VALUE"""),54.33)</f>
        <v/>
      </c>
      <c r="G117" s="143">
        <f>IFERROR(__xludf.DUMMYFUNCTION("""COMPUTED_VALUE"""),14443495)</f>
        <v/>
      </c>
      <c r="H117" s="27" t="n"/>
    </row>
    <row r="118" ht="17.25" customHeight="1" s="322">
      <c r="A118" s="27" t="n"/>
      <c r="B118" s="506">
        <f>IFERROR(__xludf.DUMMYFUNCTION("""COMPUTED_VALUE"""),45996.6666666666)</f>
        <v/>
      </c>
      <c r="C118" s="141">
        <f>IFERROR(__xludf.DUMMYFUNCTION("""COMPUTED_VALUE"""),54.93)</f>
        <v/>
      </c>
      <c r="D118" s="141">
        <f>IFERROR(__xludf.DUMMYFUNCTION("""COMPUTED_VALUE"""),55.12)</f>
        <v/>
      </c>
      <c r="E118" s="141">
        <f>IFERROR(__xludf.DUMMYFUNCTION("""COMPUTED_VALUE"""),54.67)</f>
        <v/>
      </c>
      <c r="F118" s="141">
        <f>IFERROR(__xludf.DUMMYFUNCTION("""COMPUTED_VALUE"""),54.74)</f>
        <v/>
      </c>
      <c r="G118" s="143">
        <f>IFERROR(__xludf.DUMMYFUNCTION("""COMPUTED_VALUE"""),20114547)</f>
        <v/>
      </c>
      <c r="H118" s="27" t="n"/>
    </row>
    <row r="119" ht="17.25" customHeight="1" s="322">
      <c r="A119" s="27" t="n"/>
      <c r="B119" s="506">
        <f>IFERROR(__xludf.DUMMYFUNCTION("""COMPUTED_VALUE"""),45999.6666666666)</f>
        <v/>
      </c>
      <c r="C119" s="141">
        <f>IFERROR(__xludf.DUMMYFUNCTION("""COMPUTED_VALUE"""),54.87)</f>
        <v/>
      </c>
      <c r="D119" s="141">
        <f>IFERROR(__xludf.DUMMYFUNCTION("""COMPUTED_VALUE"""),54.87)</f>
        <v/>
      </c>
      <c r="E119" s="141">
        <f>IFERROR(__xludf.DUMMYFUNCTION("""COMPUTED_VALUE"""),54.48)</f>
        <v/>
      </c>
      <c r="F119" s="141">
        <f>IFERROR(__xludf.DUMMYFUNCTION("""COMPUTED_VALUE"""),54.62)</f>
        <v/>
      </c>
      <c r="G119" s="143">
        <f>IFERROR(__xludf.DUMMYFUNCTION("""COMPUTED_VALUE"""),29055648)</f>
        <v/>
      </c>
      <c r="H119" s="27" t="n"/>
    </row>
    <row r="120" ht="17.25" customHeight="1" s="322">
      <c r="A120" s="27" t="n"/>
      <c r="B120" s="506">
        <f>IFERROR(__xludf.DUMMYFUNCTION("""COMPUTED_VALUE"""),46000.6666666666)</f>
        <v/>
      </c>
      <c r="C120" s="141">
        <f>IFERROR(__xludf.DUMMYFUNCTION("""COMPUTED_VALUE"""),54.3)</f>
        <v/>
      </c>
      <c r="D120" s="141">
        <f>IFERROR(__xludf.DUMMYFUNCTION("""COMPUTED_VALUE"""),54.58)</f>
        <v/>
      </c>
      <c r="E120" s="141">
        <f>IFERROR(__xludf.DUMMYFUNCTION("""COMPUTED_VALUE"""),54.25)</f>
        <v/>
      </c>
      <c r="F120" s="141">
        <f>IFERROR(__xludf.DUMMYFUNCTION("""COMPUTED_VALUE"""),54.53)</f>
        <v/>
      </c>
      <c r="G120" s="143">
        <f>IFERROR(__xludf.DUMMYFUNCTION("""COMPUTED_VALUE"""),17789155)</f>
        <v/>
      </c>
      <c r="H120" s="27" t="n"/>
    </row>
    <row r="121" ht="17.25" customHeight="1" s="322">
      <c r="A121" s="27" t="n"/>
      <c r="B121" s="506">
        <f>IFERROR(__xludf.DUMMYFUNCTION("""COMPUTED_VALUE"""),46001.6666666666)</f>
        <v/>
      </c>
      <c r="C121" s="141">
        <f>IFERROR(__xludf.DUMMYFUNCTION("""COMPUTED_VALUE"""),54.65)</f>
        <v/>
      </c>
      <c r="D121" s="141">
        <f>IFERROR(__xludf.DUMMYFUNCTION("""COMPUTED_VALUE"""),55.24)</f>
        <v/>
      </c>
      <c r="E121" s="141">
        <f>IFERROR(__xludf.DUMMYFUNCTION("""COMPUTED_VALUE"""),54.58)</f>
        <v/>
      </c>
      <c r="F121" s="141">
        <f>IFERROR(__xludf.DUMMYFUNCTION("""COMPUTED_VALUE"""),55.14)</f>
        <v/>
      </c>
      <c r="G121" s="143">
        <f>IFERROR(__xludf.DUMMYFUNCTION("""COMPUTED_VALUE"""),35022917)</f>
        <v/>
      </c>
      <c r="H121" s="27" t="n"/>
    </row>
    <row r="122" ht="17.25" customHeight="1" s="322">
      <c r="A122" s="27" t="n"/>
      <c r="B122" s="506">
        <f>IFERROR(__xludf.DUMMYFUNCTION("""COMPUTED_VALUE"""),46002.6666666666)</f>
        <v/>
      </c>
      <c r="C122" s="141">
        <f>IFERROR(__xludf.DUMMYFUNCTION("""COMPUTED_VALUE"""),54.7)</f>
        <v/>
      </c>
      <c r="D122" s="141">
        <f>IFERROR(__xludf.DUMMYFUNCTION("""COMPUTED_VALUE"""),54.95)</f>
        <v/>
      </c>
      <c r="E122" s="141">
        <f>IFERROR(__xludf.DUMMYFUNCTION("""COMPUTED_VALUE"""),54.48)</f>
        <v/>
      </c>
      <c r="F122" s="141">
        <f>IFERROR(__xludf.DUMMYFUNCTION("""COMPUTED_VALUE"""),54.88)</f>
        <v/>
      </c>
      <c r="G122" s="143">
        <f>IFERROR(__xludf.DUMMYFUNCTION("""COMPUTED_VALUE"""),22013616)</f>
        <v/>
      </c>
      <c r="H122" s="27" t="n"/>
    </row>
    <row r="123" ht="17.25" customHeight="1" s="322">
      <c r="A123" s="27" t="n"/>
      <c r="B123" s="506">
        <f>IFERROR(__xludf.DUMMYFUNCTION("""COMPUTED_VALUE"""),46003.6666666666)</f>
        <v/>
      </c>
      <c r="C123" s="141">
        <f>IFERROR(__xludf.DUMMYFUNCTION("""COMPUTED_VALUE"""),54.91)</f>
        <v/>
      </c>
      <c r="D123" s="141">
        <f>IFERROR(__xludf.DUMMYFUNCTION("""COMPUTED_VALUE"""),54.95)</f>
        <v/>
      </c>
      <c r="E123" s="141">
        <f>IFERROR(__xludf.DUMMYFUNCTION("""COMPUTED_VALUE"""),54.1)</f>
        <v/>
      </c>
      <c r="F123" s="141">
        <f>IFERROR(__xludf.DUMMYFUNCTION("""COMPUTED_VALUE"""),54.24)</f>
        <v/>
      </c>
      <c r="G123" s="143">
        <f>IFERROR(__xludf.DUMMYFUNCTION("""COMPUTED_VALUE"""),30590003)</f>
        <v/>
      </c>
      <c r="H123" s="27" t="n"/>
    </row>
    <row r="124" ht="17.25" customHeight="1" s="322">
      <c r="A124" s="27" t="n"/>
      <c r="B124" s="506">
        <f>IFERROR(__xludf.DUMMYFUNCTION("""COMPUTED_VALUE"""),46006.6666666666)</f>
        <v/>
      </c>
      <c r="C124" s="141">
        <f>IFERROR(__xludf.DUMMYFUNCTION("""COMPUTED_VALUE"""),54.55)</f>
        <v/>
      </c>
      <c r="D124" s="141">
        <f>IFERROR(__xludf.DUMMYFUNCTION("""COMPUTED_VALUE"""),54.58)</f>
        <v/>
      </c>
      <c r="E124" s="141">
        <f>IFERROR(__xludf.DUMMYFUNCTION("""COMPUTED_VALUE"""),54.07)</f>
        <v/>
      </c>
      <c r="F124" s="141">
        <f>IFERROR(__xludf.DUMMYFUNCTION("""COMPUTED_VALUE"""),54.08)</f>
        <v/>
      </c>
      <c r="G124" s="143">
        <f>IFERROR(__xludf.DUMMYFUNCTION("""COMPUTED_VALUE"""),29137022)</f>
        <v/>
      </c>
      <c r="H124" s="27" t="n"/>
    </row>
    <row r="125" ht="17.25" customHeight="1" s="322">
      <c r="A125" s="27" t="n"/>
      <c r="B125" s="506">
        <f>IFERROR(__xludf.DUMMYFUNCTION("""COMPUTED_VALUE"""),46007.6666666666)</f>
        <v/>
      </c>
      <c r="C125" s="141">
        <f>IFERROR(__xludf.DUMMYFUNCTION("""COMPUTED_VALUE"""),52.96)</f>
        <v/>
      </c>
      <c r="D125" s="141">
        <f>IFERROR(__xludf.DUMMYFUNCTION("""COMPUTED_VALUE"""),53.13)</f>
        <v/>
      </c>
      <c r="E125" s="141">
        <f>IFERROR(__xludf.DUMMYFUNCTION("""COMPUTED_VALUE"""),52.77)</f>
        <v/>
      </c>
      <c r="F125" s="141">
        <f>IFERROR(__xludf.DUMMYFUNCTION("""COMPUTED_VALUE"""),52.98)</f>
        <v/>
      </c>
      <c r="G125" s="143">
        <f>IFERROR(__xludf.DUMMYFUNCTION("""COMPUTED_VALUE"""),38180868)</f>
        <v/>
      </c>
      <c r="H125" s="27" t="n"/>
    </row>
    <row r="126" ht="17.25" customHeight="1" s="322">
      <c r="A126" s="27" t="n"/>
      <c r="B126" s="506">
        <f>IFERROR(__xludf.DUMMYFUNCTION("""COMPUTED_VALUE"""),46008.6666666666)</f>
        <v/>
      </c>
      <c r="C126" s="141">
        <f>IFERROR(__xludf.DUMMYFUNCTION("""COMPUTED_VALUE"""),53.26)</f>
        <v/>
      </c>
      <c r="D126" s="141">
        <f>IFERROR(__xludf.DUMMYFUNCTION("""COMPUTED_VALUE"""),53.31)</f>
        <v/>
      </c>
      <c r="E126" s="141">
        <f>IFERROR(__xludf.DUMMYFUNCTION("""COMPUTED_VALUE"""),52.58)</f>
        <v/>
      </c>
      <c r="F126" s="141">
        <f>IFERROR(__xludf.DUMMYFUNCTION("""COMPUTED_VALUE"""),52.6)</f>
        <v/>
      </c>
      <c r="G126" s="143">
        <f>IFERROR(__xludf.DUMMYFUNCTION("""COMPUTED_VALUE"""),35740791)</f>
        <v/>
      </c>
      <c r="H126" s="27" t="n"/>
    </row>
    <row r="127" ht="17.25" customHeight="1" s="322">
      <c r="A127" s="27" t="n"/>
      <c r="B127" s="506">
        <f>IFERROR(__xludf.DUMMYFUNCTION("""COMPUTED_VALUE"""),46009.6666666666)</f>
        <v/>
      </c>
      <c r="C127" s="141">
        <f>IFERROR(__xludf.DUMMYFUNCTION("""COMPUTED_VALUE"""),53.27)</f>
        <v/>
      </c>
      <c r="D127" s="141">
        <f>IFERROR(__xludf.DUMMYFUNCTION("""COMPUTED_VALUE"""),53.5)</f>
        <v/>
      </c>
      <c r="E127" s="141">
        <f>IFERROR(__xludf.DUMMYFUNCTION("""COMPUTED_VALUE"""),53.14)</f>
        <v/>
      </c>
      <c r="F127" s="141">
        <f>IFERROR(__xludf.DUMMYFUNCTION("""COMPUTED_VALUE"""),53.2)</f>
        <v/>
      </c>
      <c r="G127" s="143">
        <f>IFERROR(__xludf.DUMMYFUNCTION("""COMPUTED_VALUE"""),29985716)</f>
        <v/>
      </c>
      <c r="H127" s="27" t="n"/>
    </row>
    <row r="128" ht="17.25" customHeight="1" s="322">
      <c r="A128" s="27" t="n"/>
      <c r="B128" s="506">
        <f>IFERROR(__xludf.DUMMYFUNCTION("""COMPUTED_VALUE"""),46010.6666666666)</f>
        <v/>
      </c>
      <c r="C128" s="141">
        <f>IFERROR(__xludf.DUMMYFUNCTION("""COMPUTED_VALUE"""),53.54)</f>
        <v/>
      </c>
      <c r="D128" s="141">
        <f>IFERROR(__xludf.DUMMYFUNCTION("""COMPUTED_VALUE"""),53.89)</f>
        <v/>
      </c>
      <c r="E128" s="141">
        <f>IFERROR(__xludf.DUMMYFUNCTION("""COMPUTED_VALUE"""),53.5)</f>
        <v/>
      </c>
      <c r="F128" s="141">
        <f>IFERROR(__xludf.DUMMYFUNCTION("""COMPUTED_VALUE"""),53.72)</f>
        <v/>
      </c>
      <c r="G128" s="143">
        <f>IFERROR(__xludf.DUMMYFUNCTION("""COMPUTED_VALUE"""),28831658)</f>
        <v/>
      </c>
      <c r="H128" s="27" t="n"/>
    </row>
    <row r="129" ht="17.25" customHeight="1" s="322">
      <c r="A129" s="27" t="n"/>
      <c r="B129" s="506">
        <f>IFERROR(__xludf.DUMMYFUNCTION("""COMPUTED_VALUE"""),46013.6666666666)</f>
        <v/>
      </c>
      <c r="C129" s="141">
        <f>IFERROR(__xludf.DUMMYFUNCTION("""COMPUTED_VALUE"""),53.97)</f>
        <v/>
      </c>
      <c r="D129" s="141">
        <f>IFERROR(__xludf.DUMMYFUNCTION("""COMPUTED_VALUE"""),54.05)</f>
        <v/>
      </c>
      <c r="E129" s="141">
        <f>IFERROR(__xludf.DUMMYFUNCTION("""COMPUTED_VALUE"""),53.89)</f>
        <v/>
      </c>
      <c r="F129" s="141">
        <f>IFERROR(__xludf.DUMMYFUNCTION("""COMPUTED_VALUE"""),54.01)</f>
        <v/>
      </c>
      <c r="G129" s="143">
        <f>IFERROR(__xludf.DUMMYFUNCTION("""COMPUTED_VALUE"""),21645446)</f>
        <v/>
      </c>
      <c r="H129" s="27" t="n"/>
    </row>
    <row r="130" ht="17.25" customHeight="1" s="322">
      <c r="A130" s="27" t="n"/>
      <c r="B130" s="506">
        <f>IFERROR(__xludf.DUMMYFUNCTION("""COMPUTED_VALUE"""),46014.6666666666)</f>
        <v/>
      </c>
      <c r="C130" s="141">
        <f>IFERROR(__xludf.DUMMYFUNCTION("""COMPUTED_VALUE"""),53.99)</f>
        <v/>
      </c>
      <c r="D130" s="141">
        <f>IFERROR(__xludf.DUMMYFUNCTION("""COMPUTED_VALUE"""),54.33)</f>
        <v/>
      </c>
      <c r="E130" s="141">
        <f>IFERROR(__xludf.DUMMYFUNCTION("""COMPUTED_VALUE"""),53.9)</f>
        <v/>
      </c>
      <c r="F130" s="141">
        <f>IFERROR(__xludf.DUMMYFUNCTION("""COMPUTED_VALUE"""),54.31)</f>
        <v/>
      </c>
      <c r="G130" s="143">
        <f>IFERROR(__xludf.DUMMYFUNCTION("""COMPUTED_VALUE"""),25319659)</f>
        <v/>
      </c>
      <c r="H130" s="27" t="n"/>
    </row>
    <row r="131" ht="17.25" customHeight="1" s="322">
      <c r="A131" s="27" t="n"/>
      <c r="B131" s="506">
        <f>IFERROR(__xludf.DUMMYFUNCTION("""COMPUTED_VALUE"""),46015.5416666666)</f>
        <v/>
      </c>
      <c r="C131" s="141">
        <f>IFERROR(__xludf.DUMMYFUNCTION("""COMPUTED_VALUE"""),54.41)</f>
        <v/>
      </c>
      <c r="D131" s="141">
        <f>IFERROR(__xludf.DUMMYFUNCTION("""COMPUTED_VALUE"""),54.46)</f>
        <v/>
      </c>
      <c r="E131" s="141">
        <f>IFERROR(__xludf.DUMMYFUNCTION("""COMPUTED_VALUE"""),54.34)</f>
        <v/>
      </c>
      <c r="F131" s="141">
        <f>IFERROR(__xludf.DUMMYFUNCTION("""COMPUTED_VALUE"""),54.42)</f>
        <v/>
      </c>
      <c r="G131" s="143">
        <f>IFERROR(__xludf.DUMMYFUNCTION("""COMPUTED_VALUE"""),9565286)</f>
        <v/>
      </c>
      <c r="H131" s="27" t="n"/>
    </row>
    <row r="132" ht="17.25" customHeight="1" s="322">
      <c r="A132" s="27" t="n"/>
      <c r="B132" s="506">
        <f>IFERROR(__xludf.DUMMYFUNCTION("""COMPUTED_VALUE"""),46017.6666666666)</f>
        <v/>
      </c>
      <c r="C132" s="141">
        <f>IFERROR(__xludf.DUMMYFUNCTION("""COMPUTED_VALUE"""),54.59)</f>
        <v/>
      </c>
      <c r="D132" s="141">
        <f>IFERROR(__xludf.DUMMYFUNCTION("""COMPUTED_VALUE"""),54.82)</f>
        <v/>
      </c>
      <c r="E132" s="141">
        <f>IFERROR(__xludf.DUMMYFUNCTION("""COMPUTED_VALUE"""),54.53)</f>
        <v/>
      </c>
      <c r="F132" s="141">
        <f>IFERROR(__xludf.DUMMYFUNCTION("""COMPUTED_VALUE"""),54.8)</f>
        <v/>
      </c>
      <c r="G132" s="143">
        <f>IFERROR(__xludf.DUMMYFUNCTION("""COMPUTED_VALUE"""),11351951)</f>
        <v/>
      </c>
      <c r="H132" s="27" t="n"/>
    </row>
    <row r="133" ht="17.25" customHeight="1" s="322">
      <c r="A133" s="27" t="n"/>
      <c r="B133" s="506">
        <f>IFERROR(__xludf.DUMMYFUNCTION("""COMPUTED_VALUE"""),46020.6666666666)</f>
        <v/>
      </c>
      <c r="C133" s="141">
        <f>IFERROR(__xludf.DUMMYFUNCTION("""COMPUTED_VALUE"""),54.52)</f>
        <v/>
      </c>
      <c r="D133" s="141">
        <f>IFERROR(__xludf.DUMMYFUNCTION("""COMPUTED_VALUE"""),54.68)</f>
        <v/>
      </c>
      <c r="E133" s="141">
        <f>IFERROR(__xludf.DUMMYFUNCTION("""COMPUTED_VALUE"""),54.43)</f>
        <v/>
      </c>
      <c r="F133" s="141">
        <f>IFERROR(__xludf.DUMMYFUNCTION("""COMPUTED_VALUE"""),54.66)</f>
        <v/>
      </c>
      <c r="G133" s="143">
        <f>IFERROR(__xludf.DUMMYFUNCTION("""COMPUTED_VALUE"""),18816661)</f>
        <v/>
      </c>
      <c r="H133" s="27" t="n"/>
    </row>
    <row r="134" ht="17.25" customHeight="1" s="322">
      <c r="A134" s="27" t="n"/>
      <c r="B134" s="506">
        <f>IFERROR(__xludf.DUMMYFUNCTION("""COMPUTED_VALUE"""),46021.6666666666)</f>
        <v/>
      </c>
      <c r="C134" s="141">
        <f>IFERROR(__xludf.DUMMYFUNCTION("""COMPUTED_VALUE"""),54.87)</f>
        <v/>
      </c>
      <c r="D134" s="141">
        <f>IFERROR(__xludf.DUMMYFUNCTION("""COMPUTED_VALUE"""),54.99)</f>
        <v/>
      </c>
      <c r="E134" s="141">
        <f>IFERROR(__xludf.DUMMYFUNCTION("""COMPUTED_VALUE"""),54.81)</f>
        <v/>
      </c>
      <c r="F134" s="141">
        <f>IFERROR(__xludf.DUMMYFUNCTION("""COMPUTED_VALUE"""),54.88)</f>
        <v/>
      </c>
      <c r="G134" s="143">
        <f>IFERROR(__xludf.DUMMYFUNCTION("""COMPUTED_VALUE"""),24643047)</f>
        <v/>
      </c>
      <c r="H134" s="27" t="n"/>
    </row>
    <row r="135" ht="17.25" customHeight="1" s="322">
      <c r="A135" s="27" t="n"/>
      <c r="B135" s="506">
        <f>IFERROR(__xludf.DUMMYFUNCTION("""COMPUTED_VALUE"""),46022.6666666666)</f>
        <v/>
      </c>
      <c r="C135" s="141">
        <f>IFERROR(__xludf.DUMMYFUNCTION("""COMPUTED_VALUE"""),54.9)</f>
        <v/>
      </c>
      <c r="D135" s="141">
        <f>IFERROR(__xludf.DUMMYFUNCTION("""COMPUTED_VALUE"""),54.92)</f>
        <v/>
      </c>
      <c r="E135" s="141">
        <f>IFERROR(__xludf.DUMMYFUNCTION("""COMPUTED_VALUE"""),54.68)</f>
        <v/>
      </c>
      <c r="F135" s="141">
        <f>IFERROR(__xludf.DUMMYFUNCTION("""COMPUTED_VALUE"""),54.71)</f>
        <v/>
      </c>
      <c r="G135" s="143">
        <f>IFERROR(__xludf.DUMMYFUNCTION("""COMPUTED_VALUE"""),20000924)</f>
        <v/>
      </c>
      <c r="H135" s="27" t="n"/>
    </row>
    <row r="136" ht="17.25" customHeight="1" s="322">
      <c r="A136" s="27" t="n"/>
      <c r="B136" s="506">
        <f>IFERROR(__xludf.DUMMYFUNCTION("""COMPUTED_VALUE"""),46024.6666666666)</f>
        <v/>
      </c>
      <c r="C136" s="141">
        <f>IFERROR(__xludf.DUMMYFUNCTION("""COMPUTED_VALUE"""),55.89)</f>
        <v/>
      </c>
      <c r="D136" s="141">
        <f>IFERROR(__xludf.DUMMYFUNCTION("""COMPUTED_VALUE"""),56.25)</f>
        <v/>
      </c>
      <c r="E136" s="141">
        <f>IFERROR(__xludf.DUMMYFUNCTION("""COMPUTED_VALUE"""),55.81)</f>
        <v/>
      </c>
      <c r="F136" s="141">
        <f>IFERROR(__xludf.DUMMYFUNCTION("""COMPUTED_VALUE"""),56.24)</f>
        <v/>
      </c>
      <c r="G136" s="143">
        <f>IFERROR(__xludf.DUMMYFUNCTION("""COMPUTED_VALUE"""),38255887)</f>
        <v/>
      </c>
      <c r="H136" s="27" t="n"/>
    </row>
    <row r="137" ht="17.25" customHeight="1" s="322">
      <c r="A137" s="27" t="n"/>
      <c r="B137" s="506">
        <f>IFERROR(__xludf.DUMMYFUNCTION("""COMPUTED_VALUE"""),46027.6666666666)</f>
        <v/>
      </c>
      <c r="C137" s="141">
        <f>IFERROR(__xludf.DUMMYFUNCTION("""COMPUTED_VALUE"""),56.59)</f>
        <v/>
      </c>
      <c r="D137" s="141">
        <f>IFERROR(__xludf.DUMMYFUNCTION("""COMPUTED_VALUE"""),56.86)</f>
        <v/>
      </c>
      <c r="E137" s="141">
        <f>IFERROR(__xludf.DUMMYFUNCTION("""COMPUTED_VALUE"""),56.36)</f>
        <v/>
      </c>
      <c r="F137" s="141">
        <f>IFERROR(__xludf.DUMMYFUNCTION("""COMPUTED_VALUE"""),56.86)</f>
        <v/>
      </c>
      <c r="G137" s="143">
        <f>IFERROR(__xludf.DUMMYFUNCTION("""COMPUTED_VALUE"""),37082488)</f>
        <v/>
      </c>
      <c r="H137" s="27" t="n"/>
    </row>
    <row r="138" ht="17.25" customHeight="1" s="322">
      <c r="A138" s="27" t="n"/>
      <c r="B138" s="506">
        <f>IFERROR(__xludf.DUMMYFUNCTION("""COMPUTED_VALUE"""),46028.6666666666)</f>
        <v/>
      </c>
      <c r="C138" s="141">
        <f>IFERROR(__xludf.DUMMYFUNCTION("""COMPUTED_VALUE"""),57.17)</f>
        <v/>
      </c>
      <c r="D138" s="141">
        <f>IFERROR(__xludf.DUMMYFUNCTION("""COMPUTED_VALUE"""),57.43)</f>
        <v/>
      </c>
      <c r="E138" s="141">
        <f>IFERROR(__xludf.DUMMYFUNCTION("""COMPUTED_VALUE"""),57.16)</f>
        <v/>
      </c>
      <c r="F138" s="141">
        <f>IFERROR(__xludf.DUMMYFUNCTION("""COMPUTED_VALUE"""),57.28)</f>
        <v/>
      </c>
      <c r="G138" s="143">
        <f>IFERROR(__xludf.DUMMYFUNCTION("""COMPUTED_VALUE"""),29801701)</f>
        <v/>
      </c>
      <c r="H138" s="27" t="n"/>
    </row>
    <row r="139" ht="17.25" customHeight="1" s="322">
      <c r="A139" s="27" t="n"/>
      <c r="B139" s="506">
        <f>IFERROR(__xludf.DUMMYFUNCTION("""COMPUTED_VALUE"""),46029.6666666666)</f>
        <v/>
      </c>
      <c r="C139" s="141">
        <f>IFERROR(__xludf.DUMMYFUNCTION("""COMPUTED_VALUE"""),57.03)</f>
        <v/>
      </c>
      <c r="D139" s="141">
        <f>IFERROR(__xludf.DUMMYFUNCTION("""COMPUTED_VALUE"""),57.05)</f>
        <v/>
      </c>
      <c r="E139" s="141">
        <f>IFERROR(__xludf.DUMMYFUNCTION("""COMPUTED_VALUE"""),56.8)</f>
        <v/>
      </c>
      <c r="F139" s="141">
        <f>IFERROR(__xludf.DUMMYFUNCTION("""COMPUTED_VALUE"""),56.85)</f>
        <v/>
      </c>
      <c r="G139" s="143">
        <f>IFERROR(__xludf.DUMMYFUNCTION("""COMPUTED_VALUE"""),26931301)</f>
        <v/>
      </c>
      <c r="H139" s="27" t="n"/>
    </row>
    <row r="140" ht="17.25" customHeight="1" s="322">
      <c r="A140" s="27" t="n"/>
      <c r="B140" s="506">
        <f>IFERROR(__xludf.DUMMYFUNCTION("""COMPUTED_VALUE"""),46030.6666666666)</f>
        <v/>
      </c>
      <c r="C140" s="141">
        <f>IFERROR(__xludf.DUMMYFUNCTION("""COMPUTED_VALUE"""),56.75)</f>
        <v/>
      </c>
      <c r="D140" s="141">
        <f>IFERROR(__xludf.DUMMYFUNCTION("""COMPUTED_VALUE"""),56.89)</f>
        <v/>
      </c>
      <c r="E140" s="141">
        <f>IFERROR(__xludf.DUMMYFUNCTION("""COMPUTED_VALUE"""),56.62)</f>
        <v/>
      </c>
      <c r="F140" s="141">
        <f>IFERROR(__xludf.DUMMYFUNCTION("""COMPUTED_VALUE"""),56.87)</f>
        <v/>
      </c>
      <c r="G140" s="143">
        <f>IFERROR(__xludf.DUMMYFUNCTION("""COMPUTED_VALUE"""),27719776)</f>
        <v/>
      </c>
      <c r="H140" s="27" t="n"/>
    </row>
    <row r="141" ht="17.25" customHeight="1" s="322">
      <c r="A141" s="27" t="n"/>
      <c r="B141" s="506">
        <f>IFERROR(__xludf.DUMMYFUNCTION("""COMPUTED_VALUE"""),46031.6666666666)</f>
        <v/>
      </c>
      <c r="C141" s="141">
        <f>IFERROR(__xludf.DUMMYFUNCTION("""COMPUTED_VALUE"""),56.88)</f>
        <v/>
      </c>
      <c r="D141" s="141">
        <f>IFERROR(__xludf.DUMMYFUNCTION("""COMPUTED_VALUE"""),57.16)</f>
        <v/>
      </c>
      <c r="E141" s="141">
        <f>IFERROR(__xludf.DUMMYFUNCTION("""COMPUTED_VALUE"""),56.71)</f>
        <v/>
      </c>
      <c r="F141" s="141">
        <f>IFERROR(__xludf.DUMMYFUNCTION("""COMPUTED_VALUE"""),57.14)</f>
        <v/>
      </c>
      <c r="G141" s="143">
        <f>IFERROR(__xludf.DUMMYFUNCTION("""COMPUTED_VALUE"""),31540743)</f>
        <v/>
      </c>
      <c r="H141" s="27" t="n"/>
    </row>
    <row r="142" ht="17.25" customHeight="1" s="322">
      <c r="A142" s="27" t="n"/>
      <c r="B142" s="506">
        <f>IFERROR(__xludf.DUMMYFUNCTION("""COMPUTED_VALUE"""),46034.6666666666)</f>
        <v/>
      </c>
      <c r="C142" s="141">
        <f>IFERROR(__xludf.DUMMYFUNCTION("""COMPUTED_VALUE"""),57.24)</f>
        <v/>
      </c>
      <c r="D142" s="141">
        <f>IFERROR(__xludf.DUMMYFUNCTION("""COMPUTED_VALUE"""),57.97)</f>
        <v/>
      </c>
      <c r="E142" s="141">
        <f>IFERROR(__xludf.DUMMYFUNCTION("""COMPUTED_VALUE"""),57.21)</f>
        <v/>
      </c>
      <c r="F142" s="141">
        <f>IFERROR(__xludf.DUMMYFUNCTION("""COMPUTED_VALUE"""),57.94)</f>
        <v/>
      </c>
      <c r="G142" s="143">
        <f>IFERROR(__xludf.DUMMYFUNCTION("""COMPUTED_VALUE"""),47304266)</f>
        <v/>
      </c>
      <c r="H142" s="27" t="n"/>
    </row>
    <row r="143" ht="17.25" customHeight="1" s="322">
      <c r="A143" s="27" t="n"/>
      <c r="B143" s="506">
        <f>IFERROR(__xludf.DUMMYFUNCTION("""COMPUTED_VALUE"""),46035.6666666666)</f>
        <v/>
      </c>
      <c r="C143" s="141">
        <f>IFERROR(__xludf.DUMMYFUNCTION("""COMPUTED_VALUE"""),57.77)</f>
        <v/>
      </c>
      <c r="D143" s="141">
        <f>IFERROR(__xludf.DUMMYFUNCTION("""COMPUTED_VALUE"""),57.81)</f>
        <v/>
      </c>
      <c r="E143" s="141">
        <f>IFERROR(__xludf.DUMMYFUNCTION("""COMPUTED_VALUE"""),57.38)</f>
        <v/>
      </c>
      <c r="F143" s="141">
        <f>IFERROR(__xludf.DUMMYFUNCTION("""COMPUTED_VALUE"""),57.51)</f>
        <v/>
      </c>
      <c r="G143" s="143">
        <f>IFERROR(__xludf.DUMMYFUNCTION("""COMPUTED_VALUE"""),34414934)</f>
        <v/>
      </c>
      <c r="H143" s="27" t="n"/>
    </row>
    <row r="144" ht="17.25" customHeight="1" s="322">
      <c r="A144" s="27" t="n"/>
      <c r="B144" s="506">
        <f>IFERROR(__xludf.DUMMYFUNCTION("""COMPUTED_VALUE"""),46036.6666666666)</f>
        <v/>
      </c>
      <c r="C144" s="141">
        <f>IFERROR(__xludf.DUMMYFUNCTION("""COMPUTED_VALUE"""),57.58)</f>
        <v/>
      </c>
      <c r="D144" s="141">
        <f>IFERROR(__xludf.DUMMYFUNCTION("""COMPUTED_VALUE"""),57.77)</f>
        <v/>
      </c>
      <c r="E144" s="141">
        <f>IFERROR(__xludf.DUMMYFUNCTION("""COMPUTED_VALUE"""),57.44)</f>
        <v/>
      </c>
      <c r="F144" s="141">
        <f>IFERROR(__xludf.DUMMYFUNCTION("""COMPUTED_VALUE"""),57.75)</f>
        <v/>
      </c>
      <c r="G144" s="143">
        <f>IFERROR(__xludf.DUMMYFUNCTION("""COMPUTED_VALUE"""),45156387)</f>
        <v/>
      </c>
      <c r="H144" s="27" t="n"/>
    </row>
    <row r="145" ht="17.25" customHeight="1" s="322">
      <c r="A145" s="27" t="n"/>
      <c r="B145" s="506">
        <f>IFERROR(__xludf.DUMMYFUNCTION("""COMPUTED_VALUE"""),46037.6666666666)</f>
        <v/>
      </c>
      <c r="C145" s="141">
        <f>IFERROR(__xludf.DUMMYFUNCTION("""COMPUTED_VALUE"""),58.15)</f>
        <v/>
      </c>
      <c r="D145" s="141">
        <f>IFERROR(__xludf.DUMMYFUNCTION("""COMPUTED_VALUE"""),58.38)</f>
        <v/>
      </c>
      <c r="E145" s="141">
        <f>IFERROR(__xludf.DUMMYFUNCTION("""COMPUTED_VALUE"""),57.93)</f>
        <v/>
      </c>
      <c r="F145" s="141">
        <f>IFERROR(__xludf.DUMMYFUNCTION("""COMPUTED_VALUE"""),58.09)</f>
        <v/>
      </c>
      <c r="G145" s="143">
        <f>IFERROR(__xludf.DUMMYFUNCTION("""COMPUTED_VALUE"""),60438104)</f>
        <v/>
      </c>
      <c r="H145" s="27" t="n"/>
    </row>
    <row r="146" ht="17.25" customHeight="1" s="322">
      <c r="A146" s="27" t="n"/>
      <c r="B146" s="506">
        <f>IFERROR(__xludf.DUMMYFUNCTION("""COMPUTED_VALUE"""),46038.6666666666)</f>
        <v/>
      </c>
      <c r="C146" s="141">
        <f>IFERROR(__xludf.DUMMYFUNCTION("""COMPUTED_VALUE"""),57.97)</f>
        <v/>
      </c>
      <c r="D146" s="141">
        <f>IFERROR(__xludf.DUMMYFUNCTION("""COMPUTED_VALUE"""),58.01)</f>
        <v/>
      </c>
      <c r="E146" s="141">
        <f>IFERROR(__xludf.DUMMYFUNCTION("""COMPUTED_VALUE"""),57.57)</f>
        <v/>
      </c>
      <c r="F146" s="141">
        <f>IFERROR(__xludf.DUMMYFUNCTION("""COMPUTED_VALUE"""),57.87)</f>
        <v/>
      </c>
      <c r="G146" s="143">
        <f>IFERROR(__xludf.DUMMYFUNCTION("""COMPUTED_VALUE"""),30623987)</f>
        <v/>
      </c>
      <c r="H146" s="27" t="n"/>
    </row>
    <row r="147" ht="17.25" customHeight="1" s="322">
      <c r="A147" s="27" t="n"/>
      <c r="B147" s="506">
        <f>IFERROR(__xludf.DUMMYFUNCTION("""COMPUTED_VALUE"""),46042.6666666666)</f>
        <v/>
      </c>
      <c r="C147" s="141">
        <f>IFERROR(__xludf.DUMMYFUNCTION("""COMPUTED_VALUE"""),57.35)</f>
        <v/>
      </c>
      <c r="D147" s="141">
        <f>IFERROR(__xludf.DUMMYFUNCTION("""COMPUTED_VALUE"""),57.75)</f>
        <v/>
      </c>
      <c r="E147" s="141">
        <f>IFERROR(__xludf.DUMMYFUNCTION("""COMPUTED_VALUE"""),57.24)</f>
        <v/>
      </c>
      <c r="F147" s="141">
        <f>IFERROR(__xludf.DUMMYFUNCTION("""COMPUTED_VALUE"""),57.31)</f>
        <v/>
      </c>
      <c r="G147" s="143">
        <f>IFERROR(__xludf.DUMMYFUNCTION("""COMPUTED_VALUE"""),37026874)</f>
        <v/>
      </c>
      <c r="H147" s="27" t="n"/>
    </row>
    <row r="148" ht="17.25" customHeight="1" s="322">
      <c r="A148" s="27" t="n"/>
      <c r="B148" s="506">
        <f>IFERROR(__xludf.DUMMYFUNCTION("""COMPUTED_VALUE"""),46043.6666666666)</f>
        <v/>
      </c>
      <c r="C148" s="141">
        <f>IFERROR(__xludf.DUMMYFUNCTION("""COMPUTED_VALUE"""),57.99)</f>
        <v/>
      </c>
      <c r="D148" s="141">
        <f>IFERROR(__xludf.DUMMYFUNCTION("""COMPUTED_VALUE"""),58.48)</f>
        <v/>
      </c>
      <c r="E148" s="141">
        <f>IFERROR(__xludf.DUMMYFUNCTION("""COMPUTED_VALUE"""),57.92)</f>
        <v/>
      </c>
      <c r="F148" s="141">
        <f>IFERROR(__xludf.DUMMYFUNCTION("""COMPUTED_VALUE"""),58.26)</f>
        <v/>
      </c>
      <c r="G148" s="143">
        <f>IFERROR(__xludf.DUMMYFUNCTION("""COMPUTED_VALUE"""),44193755)</f>
        <v/>
      </c>
      <c r="H148" s="27" t="n"/>
    </row>
    <row r="149" ht="17.25" customHeight="1" s="322">
      <c r="A149" s="27" t="n"/>
      <c r="B149" s="506">
        <f>IFERROR(__xludf.DUMMYFUNCTION("""COMPUTED_VALUE"""),46044.6666666666)</f>
        <v/>
      </c>
      <c r="C149" s="141">
        <f>IFERROR(__xludf.DUMMYFUNCTION("""COMPUTED_VALUE"""),58.7)</f>
        <v/>
      </c>
      <c r="D149" s="141">
        <f>IFERROR(__xludf.DUMMYFUNCTION("""COMPUTED_VALUE"""),58.93)</f>
        <v/>
      </c>
      <c r="E149" s="141">
        <f>IFERROR(__xludf.DUMMYFUNCTION("""COMPUTED_VALUE"""),58.5)</f>
        <v/>
      </c>
      <c r="F149" s="141">
        <f>IFERROR(__xludf.DUMMYFUNCTION("""COMPUTED_VALUE"""),58.7)</f>
        <v/>
      </c>
      <c r="G149" s="143">
        <f>IFERROR(__xludf.DUMMYFUNCTION("""COMPUTED_VALUE"""),33731365)</f>
        <v/>
      </c>
      <c r="H149" s="27" t="n"/>
    </row>
    <row r="150" ht="17.25" customHeight="1" s="322">
      <c r="A150" s="27" t="n"/>
      <c r="B150" s="506">
        <f>IFERROR(__xludf.DUMMYFUNCTION("""COMPUTED_VALUE"""),46045.6666666666)</f>
        <v/>
      </c>
      <c r="C150" s="141">
        <f>IFERROR(__xludf.DUMMYFUNCTION("""COMPUTED_VALUE"""),58.56)</f>
        <v/>
      </c>
      <c r="D150" s="141">
        <f>IFERROR(__xludf.DUMMYFUNCTION("""COMPUTED_VALUE"""),59.15)</f>
        <v/>
      </c>
      <c r="E150" s="141">
        <f>IFERROR(__xludf.DUMMYFUNCTION("""COMPUTED_VALUE"""),58.43)</f>
        <v/>
      </c>
      <c r="F150" s="141">
        <f>IFERROR(__xludf.DUMMYFUNCTION("""COMPUTED_VALUE"""),59.07)</f>
        <v/>
      </c>
      <c r="G150" s="143">
        <f>IFERROR(__xludf.DUMMYFUNCTION("""COMPUTED_VALUE"""),31584651)</f>
        <v/>
      </c>
      <c r="H150" s="27" t="n"/>
    </row>
    <row r="151" ht="17.25" customHeight="1" s="322">
      <c r="A151" s="27" t="n"/>
      <c r="B151" s="506">
        <f>IFERROR(__xludf.DUMMYFUNCTION("""COMPUTED_VALUE"""),46048.6666666666)</f>
        <v/>
      </c>
      <c r="C151" s="141">
        <f>IFERROR(__xludf.DUMMYFUNCTION("""COMPUTED_VALUE"""),59.04)</f>
        <v/>
      </c>
      <c r="D151" s="141">
        <f>IFERROR(__xludf.DUMMYFUNCTION("""COMPUTED_VALUE"""),59.39)</f>
        <v/>
      </c>
      <c r="E151" s="141">
        <f>IFERROR(__xludf.DUMMYFUNCTION("""COMPUTED_VALUE"""),58.99)</f>
        <v/>
      </c>
      <c r="F151" s="141">
        <f>IFERROR(__xludf.DUMMYFUNCTION("""COMPUTED_VALUE"""),59.17)</f>
        <v/>
      </c>
      <c r="G151" s="143">
        <f>IFERROR(__xludf.DUMMYFUNCTION("""COMPUTED_VALUE"""),37944967)</f>
        <v/>
      </c>
      <c r="H151" s="27" t="n"/>
    </row>
    <row r="152" ht="17.25" customHeight="1" s="322">
      <c r="A152" s="27" t="n"/>
      <c r="B152" s="506">
        <f>IFERROR(__xludf.DUMMYFUNCTION("""COMPUTED_VALUE"""),46049.6666666666)</f>
        <v/>
      </c>
      <c r="C152" s="141">
        <f>IFERROR(__xludf.DUMMYFUNCTION("""COMPUTED_VALUE"""),59.97)</f>
        <v/>
      </c>
      <c r="D152" s="141">
        <f>IFERROR(__xludf.DUMMYFUNCTION("""COMPUTED_VALUE"""),60.37)</f>
        <v/>
      </c>
      <c r="E152" s="141">
        <f>IFERROR(__xludf.DUMMYFUNCTION("""COMPUTED_VALUE"""),59.88)</f>
        <v/>
      </c>
      <c r="F152" s="141">
        <f>IFERROR(__xludf.DUMMYFUNCTION("""COMPUTED_VALUE"""),60.34)</f>
        <v/>
      </c>
      <c r="G152" s="143">
        <f>IFERROR(__xludf.DUMMYFUNCTION("""COMPUTED_VALUE"""),62222268)</f>
        <v/>
      </c>
      <c r="H152" s="27" t="n"/>
    </row>
    <row r="153" ht="17.25" customHeight="1" s="322">
      <c r="A153" s="27" t="n"/>
      <c r="B153" s="506">
        <f>IFERROR(__xludf.DUMMYFUNCTION("""COMPUTED_VALUE"""),46050.6666666666)</f>
        <v/>
      </c>
      <c r="C153" s="141">
        <f>IFERROR(__xludf.DUMMYFUNCTION("""COMPUTED_VALUE"""),60.87)</f>
        <v/>
      </c>
      <c r="D153" s="141">
        <f>IFERROR(__xludf.DUMMYFUNCTION("""COMPUTED_VALUE"""),60.87)</f>
        <v/>
      </c>
      <c r="E153" s="141">
        <f>IFERROR(__xludf.DUMMYFUNCTION("""COMPUTED_VALUE"""),60.37)</f>
        <v/>
      </c>
      <c r="F153" s="141">
        <f>IFERROR(__xludf.DUMMYFUNCTION("""COMPUTED_VALUE"""),60.75)</f>
        <v/>
      </c>
      <c r="G153" s="143">
        <f>IFERROR(__xludf.DUMMYFUNCTION("""COMPUTED_VALUE"""),52067699)</f>
        <v/>
      </c>
      <c r="H153" s="27" t="n"/>
    </row>
    <row r="154" ht="17.25" customHeight="1" s="322">
      <c r="A154" s="27" t="n"/>
      <c r="B154" s="506">
        <f>IFERROR(__xludf.DUMMYFUNCTION("""COMPUTED_VALUE"""),46051.6666666666)</f>
        <v/>
      </c>
      <c r="C154" s="141">
        <f>IFERROR(__xludf.DUMMYFUNCTION("""COMPUTED_VALUE"""),60.86)</f>
        <v/>
      </c>
      <c r="D154" s="141">
        <f>IFERROR(__xludf.DUMMYFUNCTION("""COMPUTED_VALUE"""),60.95)</f>
        <v/>
      </c>
      <c r="E154" s="141">
        <f>IFERROR(__xludf.DUMMYFUNCTION("""COMPUTED_VALUE"""),59.55)</f>
        <v/>
      </c>
      <c r="F154" s="141">
        <f>IFERROR(__xludf.DUMMYFUNCTION("""COMPUTED_VALUE"""),60.44)</f>
        <v/>
      </c>
      <c r="G154" s="143">
        <f>IFERROR(__xludf.DUMMYFUNCTION("""COMPUTED_VALUE"""),70851897)</f>
        <v/>
      </c>
      <c r="H154" s="27" t="n"/>
    </row>
    <row r="155" ht="17.25" customHeight="1" s="322">
      <c r="A155" s="27" t="n"/>
      <c r="B155" s="506">
        <f>IFERROR(__xludf.DUMMYFUNCTION("""COMPUTED_VALUE"""),46052.6666666666)</f>
        <v/>
      </c>
      <c r="C155" s="141">
        <f>IFERROR(__xludf.DUMMYFUNCTION("""COMPUTED_VALUE"""),59.81)</f>
        <v/>
      </c>
      <c r="D155" s="141">
        <f>IFERROR(__xludf.DUMMYFUNCTION("""COMPUTED_VALUE"""),60.07)</f>
        <v/>
      </c>
      <c r="E155" s="141">
        <f>IFERROR(__xludf.DUMMYFUNCTION("""COMPUTED_VALUE"""),58.83)</f>
        <v/>
      </c>
      <c r="F155" s="141">
        <f>IFERROR(__xludf.DUMMYFUNCTION("""COMPUTED_VALUE"""),59.1)</f>
        <v/>
      </c>
      <c r="G155" s="143">
        <f>IFERROR(__xludf.DUMMYFUNCTION("""COMPUTED_VALUE"""),73861242)</f>
        <v/>
      </c>
      <c r="H155" s="27" t="n"/>
    </row>
    <row r="156" ht="17.25" customHeight="1" s="322">
      <c r="A156" s="27" t="n"/>
      <c r="B156" s="506">
        <f>IFERROR(__xludf.DUMMYFUNCTION("""COMPUTED_VALUE"""),46055.6666666666)</f>
        <v/>
      </c>
      <c r="C156" s="141">
        <f>IFERROR(__xludf.DUMMYFUNCTION("""COMPUTED_VALUE"""),58.58)</f>
        <v/>
      </c>
      <c r="D156" s="141">
        <f>IFERROR(__xludf.DUMMYFUNCTION("""COMPUTED_VALUE"""),59.47)</f>
        <v/>
      </c>
      <c r="E156" s="141">
        <f>IFERROR(__xludf.DUMMYFUNCTION("""COMPUTED_VALUE"""),58.56)</f>
        <v/>
      </c>
      <c r="F156" s="141">
        <f>IFERROR(__xludf.DUMMYFUNCTION("""COMPUTED_VALUE"""),59.28)</f>
        <v/>
      </c>
      <c r="G156" s="143">
        <f>IFERROR(__xludf.DUMMYFUNCTION("""COMPUTED_VALUE"""),44512251)</f>
        <v/>
      </c>
      <c r="H156" s="27" t="n"/>
    </row>
    <row r="157" ht="17.25" customHeight="1" s="322">
      <c r="A157" s="27" t="n"/>
      <c r="B157" s="506">
        <f>IFERROR(__xludf.DUMMYFUNCTION("""COMPUTED_VALUE"""),46056.6666666666)</f>
        <v/>
      </c>
      <c r="C157" s="141">
        <f>IFERROR(__xludf.DUMMYFUNCTION("""COMPUTED_VALUE"""),59.93)</f>
        <v/>
      </c>
      <c r="D157" s="141">
        <f>IFERROR(__xludf.DUMMYFUNCTION("""COMPUTED_VALUE"""),59.99)</f>
        <v/>
      </c>
      <c r="E157" s="141">
        <f>IFERROR(__xludf.DUMMYFUNCTION("""COMPUTED_VALUE"""),59.03)</f>
        <v/>
      </c>
      <c r="F157" s="141">
        <f>IFERROR(__xludf.DUMMYFUNCTION("""COMPUTED_VALUE"""),59.6)</f>
        <v/>
      </c>
      <c r="G157" s="143">
        <f>IFERROR(__xludf.DUMMYFUNCTION("""COMPUTED_VALUE"""),41132269)</f>
        <v/>
      </c>
      <c r="H157" s="27" t="n"/>
    </row>
    <row r="158" ht="17.25" customHeight="1" s="322">
      <c r="A158" s="27" t="n"/>
      <c r="B158" s="506">
        <f>IFERROR(__xludf.DUMMYFUNCTION("""COMPUTED_VALUE"""),46057.6666666666)</f>
        <v/>
      </c>
      <c r="C158" s="141">
        <f>IFERROR(__xludf.DUMMYFUNCTION("""COMPUTED_VALUE"""),59.89)</f>
        <v/>
      </c>
      <c r="D158" s="141">
        <f>IFERROR(__xludf.DUMMYFUNCTION("""COMPUTED_VALUE"""),59.91)</f>
        <v/>
      </c>
      <c r="E158" s="141">
        <f>IFERROR(__xludf.DUMMYFUNCTION("""COMPUTED_VALUE"""),58.55)</f>
        <v/>
      </c>
      <c r="F158" s="141">
        <f>IFERROR(__xludf.DUMMYFUNCTION("""COMPUTED_VALUE"""),58.8)</f>
        <v/>
      </c>
      <c r="G158" s="143">
        <f>IFERROR(__xludf.DUMMYFUNCTION("""COMPUTED_VALUE"""),50852437)</f>
        <v/>
      </c>
      <c r="H158" s="27" t="n"/>
    </row>
    <row r="159" ht="17.25" customHeight="1" s="322">
      <c r="A159" s="27" t="n"/>
      <c r="B159" s="506">
        <f>IFERROR(__xludf.DUMMYFUNCTION("""COMPUTED_VALUE"""),46058.6666666666)</f>
        <v/>
      </c>
      <c r="C159" s="141">
        <f>IFERROR(__xludf.DUMMYFUNCTION("""COMPUTED_VALUE"""),58.55)</f>
        <v/>
      </c>
      <c r="D159" s="141">
        <f>IFERROR(__xludf.DUMMYFUNCTION("""COMPUTED_VALUE"""),59.03)</f>
        <v/>
      </c>
      <c r="E159" s="141">
        <f>IFERROR(__xludf.DUMMYFUNCTION("""COMPUTED_VALUE"""),58.22)</f>
        <v/>
      </c>
      <c r="F159" s="141">
        <f>IFERROR(__xludf.DUMMYFUNCTION("""COMPUTED_VALUE"""),58.53)</f>
        <v/>
      </c>
      <c r="G159" s="143">
        <f>IFERROR(__xludf.DUMMYFUNCTION("""COMPUTED_VALUE"""),50880874)</f>
        <v/>
      </c>
      <c r="H159" s="27" t="n"/>
    </row>
    <row r="160" ht="17.25" customHeight="1" s="322">
      <c r="A160" s="27" t="n"/>
      <c r="B160" s="506">
        <f>IFERROR(__xludf.DUMMYFUNCTION("""COMPUTED_VALUE"""),46059.6666666666)</f>
        <v/>
      </c>
      <c r="C160" s="141">
        <f>IFERROR(__xludf.DUMMYFUNCTION("""COMPUTED_VALUE"""),59.24)</f>
        <v/>
      </c>
      <c r="D160" s="141">
        <f>IFERROR(__xludf.DUMMYFUNCTION("""COMPUTED_VALUE"""),60.09)</f>
        <v/>
      </c>
      <c r="E160" s="141">
        <f>IFERROR(__xludf.DUMMYFUNCTION("""COMPUTED_VALUE"""),59.22)</f>
        <v/>
      </c>
      <c r="F160" s="141">
        <f>IFERROR(__xludf.DUMMYFUNCTION("""COMPUTED_VALUE"""),60.07)</f>
        <v/>
      </c>
      <c r="G160" s="143">
        <f>IFERROR(__xludf.DUMMYFUNCTION("""COMPUTED_VALUE"""),37534828)</f>
        <v/>
      </c>
      <c r="H160" s="27" t="n"/>
    </row>
    <row r="161" ht="17.25" customHeight="1" s="322">
      <c r="A161" s="27" t="n"/>
      <c r="B161" s="506">
        <f>IFERROR(__xludf.DUMMYFUNCTION("""COMPUTED_VALUE"""),46062.6666666666)</f>
        <v/>
      </c>
      <c r="C161" s="141">
        <f>IFERROR(__xludf.DUMMYFUNCTION("""COMPUTED_VALUE"""),59.97)</f>
        <v/>
      </c>
      <c r="D161" s="141">
        <f>IFERROR(__xludf.DUMMYFUNCTION("""COMPUTED_VALUE"""),60.65)</f>
        <v/>
      </c>
      <c r="E161" s="141">
        <f>IFERROR(__xludf.DUMMYFUNCTION("""COMPUTED_VALUE"""),59.9)</f>
        <v/>
      </c>
      <c r="F161" s="141">
        <f>IFERROR(__xludf.DUMMYFUNCTION("""COMPUTED_VALUE"""),60.51)</f>
        <v/>
      </c>
      <c r="G161" s="143">
        <f>IFERROR(__xludf.DUMMYFUNCTION("""COMPUTED_VALUE"""),35324336)</f>
        <v/>
      </c>
      <c r="H161" s="27" t="n"/>
    </row>
    <row r="162" ht="17.25" customHeight="1" s="322">
      <c r="A162" s="27" t="n"/>
      <c r="B162" s="506">
        <f>IFERROR(__xludf.DUMMYFUNCTION("""COMPUTED_VALUE"""),46063.6666666666)</f>
        <v/>
      </c>
      <c r="C162" s="141">
        <f>IFERROR(__xludf.DUMMYFUNCTION("""COMPUTED_VALUE"""),60.72)</f>
        <v/>
      </c>
      <c r="D162" s="141">
        <f>IFERROR(__xludf.DUMMYFUNCTION("""COMPUTED_VALUE"""),60.82)</f>
        <v/>
      </c>
      <c r="E162" s="141">
        <f>IFERROR(__xludf.DUMMYFUNCTION("""COMPUTED_VALUE"""),60.42)</f>
        <v/>
      </c>
      <c r="F162" s="141">
        <f>IFERROR(__xludf.DUMMYFUNCTION("""COMPUTED_VALUE"""),60.6)</f>
        <v/>
      </c>
      <c r="G162" s="143">
        <f>IFERROR(__xludf.DUMMYFUNCTION("""COMPUTED_VALUE"""),32247095)</f>
        <v/>
      </c>
      <c r="H162" s="27" t="n"/>
    </row>
    <row r="163" ht="17.25" customHeight="1" s="322">
      <c r="A163" s="27" t="n"/>
      <c r="B163" s="506">
        <f>IFERROR(__xludf.DUMMYFUNCTION("""COMPUTED_VALUE"""),46064.6666666666)</f>
        <v/>
      </c>
      <c r="C163" s="141">
        <f>IFERROR(__xludf.DUMMYFUNCTION("""COMPUTED_VALUE"""),61.18)</f>
        <v/>
      </c>
      <c r="D163" s="141">
        <f>IFERROR(__xludf.DUMMYFUNCTION("""COMPUTED_VALUE"""),61.63)</f>
        <v/>
      </c>
      <c r="E163" s="141">
        <f>IFERROR(__xludf.DUMMYFUNCTION("""COMPUTED_VALUE"""),60.78)</f>
        <v/>
      </c>
      <c r="F163" s="141">
        <f>IFERROR(__xludf.DUMMYFUNCTION("""COMPUTED_VALUE"""),61.56)</f>
        <v/>
      </c>
      <c r="G163" s="143">
        <f>IFERROR(__xludf.DUMMYFUNCTION("""COMPUTED_VALUE"""),38158948)</f>
        <v/>
      </c>
      <c r="H163" s="27" t="n"/>
    </row>
    <row r="164" ht="17.25" customHeight="1" s="322">
      <c r="A164" s="27" t="n"/>
      <c r="B164" s="506">
        <f>IFERROR(__xludf.DUMMYFUNCTION("""COMPUTED_VALUE"""),46065.6666666666)</f>
        <v/>
      </c>
      <c r="C164" s="141">
        <f>IFERROR(__xludf.DUMMYFUNCTION("""COMPUTED_VALUE"""),61.84)</f>
        <v/>
      </c>
      <c r="D164" s="141">
        <f>IFERROR(__xludf.DUMMYFUNCTION("""COMPUTED_VALUE"""),61.91)</f>
        <v/>
      </c>
      <c r="E164" s="141">
        <f>IFERROR(__xludf.DUMMYFUNCTION("""COMPUTED_VALUE"""),60.68)</f>
        <v/>
      </c>
      <c r="F164" s="141">
        <f>IFERROR(__xludf.DUMMYFUNCTION("""COMPUTED_VALUE"""),60.86)</f>
        <v/>
      </c>
      <c r="G164" s="143">
        <f>IFERROR(__xludf.DUMMYFUNCTION("""COMPUTED_VALUE"""),48070636)</f>
        <v/>
      </c>
      <c r="H164" s="27" t="n"/>
    </row>
    <row r="165" ht="17.25" customHeight="1" s="322">
      <c r="A165" s="27" t="n"/>
      <c r="B165" s="506">
        <f>IFERROR(__xludf.DUMMYFUNCTION("""COMPUTED_VALUE"""),46066.6666666666)</f>
        <v/>
      </c>
      <c r="C165" s="141">
        <f>IFERROR(__xludf.DUMMYFUNCTION("""COMPUTED_VALUE"""),60.72)</f>
        <v/>
      </c>
      <c r="D165" s="141">
        <f>IFERROR(__xludf.DUMMYFUNCTION("""COMPUTED_VALUE"""),61.21)</f>
        <v/>
      </c>
      <c r="E165" s="141">
        <f>IFERROR(__xludf.DUMMYFUNCTION("""COMPUTED_VALUE"""),60.13)</f>
        <v/>
      </c>
      <c r="F165" s="141">
        <f>IFERROR(__xludf.DUMMYFUNCTION("""COMPUTED_VALUE"""),61.12)</f>
        <v/>
      </c>
      <c r="G165" s="143">
        <f>IFERROR(__xludf.DUMMYFUNCTION("""COMPUTED_VALUE"""),40091288)</f>
        <v/>
      </c>
      <c r="H165" s="27" t="n"/>
    </row>
    <row r="166" ht="17.25" customHeight="1" s="322">
      <c r="A166" s="27" t="n"/>
      <c r="B166" s="506">
        <f>IFERROR(__xludf.DUMMYFUNCTION("""COMPUTED_VALUE"""),46070.6666666666)</f>
        <v/>
      </c>
      <c r="C166" s="141">
        <f>IFERROR(__xludf.DUMMYFUNCTION("""COMPUTED_VALUE"""),60.72)</f>
        <v/>
      </c>
      <c r="D166" s="141">
        <f>IFERROR(__xludf.DUMMYFUNCTION("""COMPUTED_VALUE"""),61.08)</f>
        <v/>
      </c>
      <c r="E166" s="141">
        <f>IFERROR(__xludf.DUMMYFUNCTION("""COMPUTED_VALUE"""),60.19)</f>
        <v/>
      </c>
      <c r="F166" s="141">
        <f>IFERROR(__xludf.DUMMYFUNCTION("""COMPUTED_VALUE"""),60.87)</f>
        <v/>
      </c>
      <c r="G166" s="143">
        <f>IFERROR(__xludf.DUMMYFUNCTION("""COMPUTED_VALUE"""),38127228)</f>
        <v/>
      </c>
      <c r="H166" s="27" t="n"/>
    </row>
    <row r="167" ht="17.25" customHeight="1" s="322">
      <c r="A167" s="27" t="n"/>
      <c r="B167" s="506">
        <f>IFERROR(__xludf.DUMMYFUNCTION("""COMPUTED_VALUE"""),46071.6666666666)</f>
        <v/>
      </c>
      <c r="C167" s="141">
        <f>IFERROR(__xludf.DUMMYFUNCTION("""COMPUTED_VALUE"""),61.03)</f>
        <v/>
      </c>
      <c r="D167" s="141">
        <f>IFERROR(__xludf.DUMMYFUNCTION("""COMPUTED_VALUE"""),61.55)</f>
        <v/>
      </c>
      <c r="E167" s="141">
        <f>IFERROR(__xludf.DUMMYFUNCTION("""COMPUTED_VALUE"""),60.91)</f>
        <v/>
      </c>
      <c r="F167" s="141">
        <f>IFERROR(__xludf.DUMMYFUNCTION("""COMPUTED_VALUE"""),61.19)</f>
        <v/>
      </c>
      <c r="G167" s="143">
        <f>IFERROR(__xludf.DUMMYFUNCTION("""COMPUTED_VALUE"""),29966901)</f>
        <v/>
      </c>
      <c r="H167" s="27" t="n"/>
    </row>
    <row r="168" ht="17.25" customHeight="1" s="322">
      <c r="A168" s="27" t="n"/>
      <c r="B168" s="506">
        <f>IFERROR(__xludf.DUMMYFUNCTION("""COMPUTED_VALUE"""),46072.6666666666)</f>
        <v/>
      </c>
      <c r="C168" s="141">
        <f>IFERROR(__xludf.DUMMYFUNCTION("""COMPUTED_VALUE"""),60.83)</f>
        <v/>
      </c>
      <c r="D168" s="141">
        <f>IFERROR(__xludf.DUMMYFUNCTION("""COMPUTED_VALUE"""),61.07)</f>
        <v/>
      </c>
      <c r="E168" s="141">
        <f>IFERROR(__xludf.DUMMYFUNCTION("""COMPUTED_VALUE"""),60.58)</f>
        <v/>
      </c>
      <c r="F168" s="141">
        <f>IFERROR(__xludf.DUMMYFUNCTION("""COMPUTED_VALUE"""),61.04)</f>
        <v/>
      </c>
      <c r="G168" s="143">
        <f>IFERROR(__xludf.DUMMYFUNCTION("""COMPUTED_VALUE"""),38043844)</f>
        <v/>
      </c>
      <c r="H168" s="27" t="n"/>
    </row>
    <row r="169" ht="17.25" customHeight="1" s="322">
      <c r="A169" s="27" t="n"/>
      <c r="B169" s="506">
        <f>IFERROR(__xludf.DUMMYFUNCTION("""COMPUTED_VALUE"""),46073.6666666666)</f>
        <v/>
      </c>
      <c r="C169" s="141">
        <f>IFERROR(__xludf.DUMMYFUNCTION("""COMPUTED_VALUE"""),61.01)</f>
        <v/>
      </c>
      <c r="D169" s="141">
        <f>IFERROR(__xludf.DUMMYFUNCTION("""COMPUTED_VALUE"""),62.36)</f>
        <v/>
      </c>
      <c r="E169" s="141">
        <f>IFERROR(__xludf.DUMMYFUNCTION("""COMPUTED_VALUE"""),60.97)</f>
        <v/>
      </c>
      <c r="F169" s="141">
        <f>IFERROR(__xludf.DUMMYFUNCTION("""COMPUTED_VALUE"""),62.34)</f>
        <v/>
      </c>
      <c r="G169" s="143">
        <f>IFERROR(__xludf.DUMMYFUNCTION("""COMPUTED_VALUE"""),56421588)</f>
        <v/>
      </c>
      <c r="H169" s="27" t="n"/>
    </row>
    <row r="170" ht="17.25" customHeight="1" s="322">
      <c r="A170" s="27" t="n"/>
      <c r="B170" s="506">
        <f>IFERROR(__xludf.DUMMYFUNCTION("""COMPUTED_VALUE"""),46076.6666666666)</f>
        <v/>
      </c>
      <c r="C170" s="141">
        <f>IFERROR(__xludf.DUMMYFUNCTION("""COMPUTED_VALUE"""),62.02)</f>
        <v/>
      </c>
      <c r="D170" s="141">
        <f>IFERROR(__xludf.DUMMYFUNCTION("""COMPUTED_VALUE"""),62.25)</f>
        <v/>
      </c>
      <c r="E170" s="141">
        <f>IFERROR(__xludf.DUMMYFUNCTION("""COMPUTED_VALUE"""),61.51)</f>
        <v/>
      </c>
      <c r="F170" s="141">
        <f>IFERROR(__xludf.DUMMYFUNCTION("""COMPUTED_VALUE"""),61.65)</f>
        <v/>
      </c>
      <c r="G170" s="143">
        <f>IFERROR(__xludf.DUMMYFUNCTION("""COMPUTED_VALUE"""),35274525)</f>
        <v/>
      </c>
      <c r="H170" s="27" t="n"/>
    </row>
    <row r="171" ht="17.25" customHeight="1" s="322">
      <c r="A171" s="27" t="n"/>
      <c r="B171" s="506">
        <f>IFERROR(__xludf.DUMMYFUNCTION("""COMPUTED_VALUE"""),46077.6666666666)</f>
        <v/>
      </c>
      <c r="C171" s="141">
        <f>IFERROR(__xludf.DUMMYFUNCTION("""COMPUTED_VALUE"""),62.24)</f>
        <v/>
      </c>
      <c r="D171" s="141">
        <f>IFERROR(__xludf.DUMMYFUNCTION("""COMPUTED_VALUE"""),62.84)</f>
        <v/>
      </c>
      <c r="E171" s="141">
        <f>IFERROR(__xludf.DUMMYFUNCTION("""COMPUTED_VALUE"""),62.11)</f>
        <v/>
      </c>
      <c r="F171" s="141">
        <f>IFERROR(__xludf.DUMMYFUNCTION("""COMPUTED_VALUE"""),62.62)</f>
        <v/>
      </c>
      <c r="G171" s="143">
        <f>IFERROR(__xludf.DUMMYFUNCTION("""COMPUTED_VALUE"""),44353146)</f>
        <v/>
      </c>
      <c r="H171" s="27" t="n"/>
    </row>
    <row r="172" ht="17.25" customHeight="1" s="322">
      <c r="A172" s="27" t="n"/>
      <c r="B172" s="506">
        <f>IFERROR(__xludf.DUMMYFUNCTION("""COMPUTED_VALUE"""),46078.6666666666)</f>
        <v/>
      </c>
      <c r="C172" s="141">
        <f>IFERROR(__xludf.DUMMYFUNCTION("""COMPUTED_VALUE"""),63.42)</f>
        <v/>
      </c>
      <c r="D172" s="141">
        <f>IFERROR(__xludf.DUMMYFUNCTION("""COMPUTED_VALUE"""),63.43)</f>
        <v/>
      </c>
      <c r="E172" s="141">
        <f>IFERROR(__xludf.DUMMYFUNCTION("""COMPUTED_VALUE"""),63.04)</f>
        <v/>
      </c>
      <c r="F172" s="141">
        <f>IFERROR(__xludf.DUMMYFUNCTION("""COMPUTED_VALUE"""),63.31)</f>
        <v/>
      </c>
      <c r="G172" s="143">
        <f>IFERROR(__xludf.DUMMYFUNCTION("""COMPUTED_VALUE"""),41897806)</f>
        <v/>
      </c>
      <c r="H172" s="27" t="n"/>
    </row>
    <row r="173" ht="17.25" customHeight="1" s="322">
      <c r="A173" s="27" t="n"/>
      <c r="B173" s="506">
        <f>IFERROR(__xludf.DUMMYFUNCTION("""COMPUTED_VALUE"""),46079.6666666666)</f>
        <v/>
      </c>
      <c r="C173" s="141">
        <f>IFERROR(__xludf.DUMMYFUNCTION("""COMPUTED_VALUE"""),63.28)</f>
        <v/>
      </c>
      <c r="D173" s="141">
        <f>IFERROR(__xludf.DUMMYFUNCTION("""COMPUTED_VALUE"""),63.31)</f>
        <v/>
      </c>
      <c r="E173" s="141">
        <f>IFERROR(__xludf.DUMMYFUNCTION("""COMPUTED_VALUE"""),62.08)</f>
        <v/>
      </c>
      <c r="F173" s="141">
        <f>IFERROR(__xludf.DUMMYFUNCTION("""COMPUTED_VALUE"""),62.71)</f>
        <v/>
      </c>
      <c r="G173" s="143">
        <f>IFERROR(__xludf.DUMMYFUNCTION("""COMPUTED_VALUE"""),52018035)</f>
        <v/>
      </c>
      <c r="H173" s="27" t="n"/>
    </row>
    <row r="174" ht="17.25" customHeight="1" s="322">
      <c r="A174" s="27" t="n"/>
      <c r="B174" s="506">
        <f>IFERROR(__xludf.DUMMYFUNCTION("""COMPUTED_VALUE"""),46080.6666666666)</f>
        <v/>
      </c>
      <c r="C174" s="141">
        <f>IFERROR(__xludf.DUMMYFUNCTION("""COMPUTED_VALUE"""),62.2)</f>
        <v/>
      </c>
      <c r="D174" s="141">
        <f>IFERROR(__xludf.DUMMYFUNCTION("""COMPUTED_VALUE"""),65.96)</f>
        <v/>
      </c>
      <c r="E174" s="141">
        <f>IFERROR(__xludf.DUMMYFUNCTION("""COMPUTED_VALUE"""),62.12)</f>
        <v/>
      </c>
      <c r="F174" s="141">
        <f>IFERROR(__xludf.DUMMYFUNCTION("""COMPUTED_VALUE"""),62.58)</f>
        <v/>
      </c>
      <c r="G174" s="143">
        <f>IFERROR(__xludf.DUMMYFUNCTION("""COMPUTED_VALUE"""),34493811)</f>
        <v/>
      </c>
      <c r="H174" s="27" t="n"/>
    </row>
    <row r="175" ht="17.25" customHeight="1" s="322">
      <c r="A175" s="27" t="n"/>
      <c r="B175" s="506">
        <f>IFERROR(__xludf.DUMMYFUNCTION("""COMPUTED_VALUE"""),46083.6666666666)</f>
        <v/>
      </c>
      <c r="C175" s="141">
        <f>IFERROR(__xludf.DUMMYFUNCTION("""COMPUTED_VALUE"""),60.79)</f>
        <v/>
      </c>
      <c r="D175" s="141">
        <f>IFERROR(__xludf.DUMMYFUNCTION("""COMPUTED_VALUE"""),61.85)</f>
        <v/>
      </c>
      <c r="E175" s="141">
        <f>IFERROR(__xludf.DUMMYFUNCTION("""COMPUTED_VALUE"""),60.79)</f>
        <v/>
      </c>
      <c r="F175" s="141">
        <f>IFERROR(__xludf.DUMMYFUNCTION("""COMPUTED_VALUE"""),61.5)</f>
        <v/>
      </c>
      <c r="G175" s="143">
        <f>IFERROR(__xludf.DUMMYFUNCTION("""COMPUTED_VALUE"""),46697063)</f>
        <v/>
      </c>
      <c r="H175" s="27" t="n"/>
    </row>
    <row r="176" ht="17.25" customHeight="1" s="322">
      <c r="A176" s="27" t="n"/>
      <c r="B176" s="506">
        <f>IFERROR(__xludf.DUMMYFUNCTION("""COMPUTED_VALUE"""),46084.6666666666)</f>
        <v/>
      </c>
      <c r="C176" s="141">
        <f>IFERROR(__xludf.DUMMYFUNCTION("""COMPUTED_VALUE"""),57.97)</f>
        <v/>
      </c>
      <c r="D176" s="141">
        <f>IFERROR(__xludf.DUMMYFUNCTION("""COMPUTED_VALUE"""),58.91)</f>
        <v/>
      </c>
      <c r="E176" s="141">
        <f>IFERROR(__xludf.DUMMYFUNCTION("""COMPUTED_VALUE"""),56.74)</f>
        <v/>
      </c>
      <c r="F176" s="141">
        <f>IFERROR(__xludf.DUMMYFUNCTION("""COMPUTED_VALUE"""),58.42)</f>
        <v/>
      </c>
      <c r="G176" s="143">
        <f>IFERROR(__xludf.DUMMYFUNCTION("""COMPUTED_VALUE"""),99552491)</f>
        <v/>
      </c>
      <c r="H176" s="27" t="n"/>
    </row>
    <row r="177" ht="17.25" customHeight="1" s="322">
      <c r="A177" s="27" t="n"/>
      <c r="B177" s="506">
        <f>IFERROR(__xludf.DUMMYFUNCTION("""COMPUTED_VALUE"""),46085.6666666666)</f>
        <v/>
      </c>
      <c r="C177" s="141">
        <f>IFERROR(__xludf.DUMMYFUNCTION("""COMPUTED_VALUE"""),58.55)</f>
        <v/>
      </c>
      <c r="D177" s="141">
        <f>IFERROR(__xludf.DUMMYFUNCTION("""COMPUTED_VALUE"""),59.58)</f>
        <v/>
      </c>
      <c r="E177" s="141">
        <f>IFERROR(__xludf.DUMMYFUNCTION("""COMPUTED_VALUE"""),58.24)</f>
        <v/>
      </c>
      <c r="F177" s="141">
        <f>IFERROR(__xludf.DUMMYFUNCTION("""COMPUTED_VALUE"""),59.05)</f>
        <v/>
      </c>
      <c r="G177" s="143">
        <f>IFERROR(__xludf.DUMMYFUNCTION("""COMPUTED_VALUE"""),73881733)</f>
        <v/>
      </c>
      <c r="H177" s="27" t="n"/>
    </row>
    <row r="178" ht="17.25" customHeight="1" s="322">
      <c r="A178" s="27" t="n"/>
      <c r="B178" s="506">
        <f>IFERROR(__xludf.DUMMYFUNCTION("""COMPUTED_VALUE"""),46086.6666666666)</f>
        <v/>
      </c>
      <c r="C178" s="141">
        <f>IFERROR(__xludf.DUMMYFUNCTION("""COMPUTED_VALUE"""),58.02)</f>
        <v/>
      </c>
      <c r="D178" s="141">
        <f>IFERROR(__xludf.DUMMYFUNCTION("""COMPUTED_VALUE"""),58.58)</f>
        <v/>
      </c>
      <c r="E178" s="141">
        <f>IFERROR(__xludf.DUMMYFUNCTION("""COMPUTED_VALUE"""),56.89)</f>
        <v/>
      </c>
      <c r="F178" s="141">
        <f>IFERROR(__xludf.DUMMYFUNCTION("""COMPUTED_VALUE"""),57.63)</f>
        <v/>
      </c>
      <c r="G178" s="143">
        <f>IFERROR(__xludf.DUMMYFUNCTION("""COMPUTED_VALUE"""),80396334)</f>
        <v/>
      </c>
      <c r="H178" s="27" t="n"/>
    </row>
    <row r="179" ht="17.25" customHeight="1" s="322">
      <c r="A179" s="27" t="n"/>
      <c r="B179" s="506">
        <f>IFERROR(__xludf.DUMMYFUNCTION("""COMPUTED_VALUE"""),46087.6666666666)</f>
        <v/>
      </c>
      <c r="C179" s="141">
        <f>IFERROR(__xludf.DUMMYFUNCTION("""COMPUTED_VALUE"""),56.83)</f>
        <v/>
      </c>
      <c r="D179" s="141">
        <f>IFERROR(__xludf.DUMMYFUNCTION("""COMPUTED_VALUE"""),57.7)</f>
        <v/>
      </c>
      <c r="E179" s="141">
        <f>IFERROR(__xludf.DUMMYFUNCTION("""COMPUTED_VALUE"""),56.56)</f>
        <v/>
      </c>
      <c r="F179" s="141">
        <f>IFERROR(__xludf.DUMMYFUNCTION("""COMPUTED_VALUE"""),57.32)</f>
        <v/>
      </c>
      <c r="G179" s="143">
        <f>IFERROR(__xludf.DUMMYFUNCTION("""COMPUTED_VALUE"""),54612821)</f>
        <v/>
      </c>
      <c r="H179" s="27" t="n"/>
    </row>
    <row r="180" ht="17.25" customHeight="1" s="322">
      <c r="A180" s="27" t="n"/>
      <c r="B180" s="506">
        <f>IFERROR(__xludf.DUMMYFUNCTION("""COMPUTED_VALUE"""),46090.6666666666)</f>
        <v/>
      </c>
      <c r="C180" s="141">
        <f>IFERROR(__xludf.DUMMYFUNCTION("""COMPUTED_VALUE"""),56.66)</f>
        <v/>
      </c>
      <c r="D180" s="141">
        <f>IFERROR(__xludf.DUMMYFUNCTION("""COMPUTED_VALUE"""),58.65)</f>
        <v/>
      </c>
      <c r="E180" s="141">
        <f>IFERROR(__xludf.DUMMYFUNCTION("""COMPUTED_VALUE"""),56.24)</f>
        <v/>
      </c>
      <c r="F180" s="141">
        <f>IFERROR(__xludf.DUMMYFUNCTION("""COMPUTED_VALUE"""),58.45)</f>
        <v/>
      </c>
      <c r="G180" s="143">
        <f>IFERROR(__xludf.DUMMYFUNCTION("""COMPUTED_VALUE"""),64721661)</f>
        <v/>
      </c>
      <c r="H180" s="27" t="n"/>
    </row>
    <row r="181" ht="17.25" customHeight="1" s="322">
      <c r="A181" s="27" t="n"/>
      <c r="B181" s="506">
        <f>IFERROR(__xludf.DUMMYFUNCTION("""COMPUTED_VALUE"""),46091.6666666666)</f>
        <v/>
      </c>
      <c r="C181" s="141">
        <f>IFERROR(__xludf.DUMMYFUNCTION("""COMPUTED_VALUE"""),58.66)</f>
        <v/>
      </c>
      <c r="D181" s="141">
        <f>IFERROR(__xludf.DUMMYFUNCTION("""COMPUTED_VALUE"""),59.88)</f>
        <v/>
      </c>
      <c r="E181" s="141">
        <f>IFERROR(__xludf.DUMMYFUNCTION("""COMPUTED_VALUE"""),58.34)</f>
        <v/>
      </c>
      <c r="F181" s="141">
        <f>IFERROR(__xludf.DUMMYFUNCTION("""COMPUTED_VALUE"""),58.68)</f>
        <v/>
      </c>
      <c r="G181" s="143">
        <f>IFERROR(__xludf.DUMMYFUNCTION("""COMPUTED_VALUE"""),55826909)</f>
        <v/>
      </c>
      <c r="H181" s="27" t="n"/>
    </row>
    <row r="182" ht="17.25" customHeight="1" s="322">
      <c r="A182" s="27" t="n"/>
      <c r="B182" s="506">
        <f>IFERROR(__xludf.DUMMYFUNCTION("""COMPUTED_VALUE"""),46092.6666666666)</f>
        <v/>
      </c>
      <c r="C182" s="141">
        <f>IFERROR(__xludf.DUMMYFUNCTION("""COMPUTED_VALUE"""),58.7)</f>
        <v/>
      </c>
      <c r="D182" s="141">
        <f>IFERROR(__xludf.DUMMYFUNCTION("""COMPUTED_VALUE"""),59.16)</f>
        <v/>
      </c>
      <c r="E182" s="141">
        <f>IFERROR(__xludf.DUMMYFUNCTION("""COMPUTED_VALUE"""),58.39)</f>
        <v/>
      </c>
      <c r="F182" s="141">
        <f>IFERROR(__xludf.DUMMYFUNCTION("""COMPUTED_VALUE"""),58.83)</f>
        <v/>
      </c>
      <c r="G182" s="143">
        <f>IFERROR(__xludf.DUMMYFUNCTION("""COMPUTED_VALUE"""),35658158)</f>
        <v/>
      </c>
      <c r="H182" s="27" t="n"/>
    </row>
    <row r="183" ht="17.25" customHeight="1" s="322">
      <c r="A183" s="27" t="n"/>
      <c r="B183" s="506">
        <f>IFERROR(__xludf.DUMMYFUNCTION("""COMPUTED_VALUE"""),46093.6666666666)</f>
        <v/>
      </c>
      <c r="C183" s="141">
        <f>IFERROR(__xludf.DUMMYFUNCTION("""COMPUTED_VALUE"""),57.99)</f>
        <v/>
      </c>
      <c r="D183" s="141">
        <f>IFERROR(__xludf.DUMMYFUNCTION("""COMPUTED_VALUE"""),58.03)</f>
        <v/>
      </c>
      <c r="E183" s="141">
        <f>IFERROR(__xludf.DUMMYFUNCTION("""COMPUTED_VALUE"""),56.86)</f>
        <v/>
      </c>
      <c r="F183" s="141">
        <f>IFERROR(__xludf.DUMMYFUNCTION("""COMPUTED_VALUE"""),56.95)</f>
        <v/>
      </c>
      <c r="G183" s="143">
        <f>IFERROR(__xludf.DUMMYFUNCTION("""COMPUTED_VALUE"""),53035002)</f>
        <v/>
      </c>
      <c r="H183" s="27" t="n"/>
    </row>
    <row r="184" ht="17.25" customHeight="1" s="322">
      <c r="A184" s="27" t="n"/>
      <c r="B184" s="506">
        <f>IFERROR(__xludf.DUMMYFUNCTION("""COMPUTED_VALUE"""),46094.6666666666)</f>
        <v/>
      </c>
      <c r="C184" s="141">
        <f>IFERROR(__xludf.DUMMYFUNCTION("""COMPUTED_VALUE"""),57.62)</f>
        <v/>
      </c>
      <c r="D184" s="141">
        <f>IFERROR(__xludf.DUMMYFUNCTION("""COMPUTED_VALUE"""),58.01)</f>
        <v/>
      </c>
      <c r="E184" s="141">
        <f>IFERROR(__xludf.DUMMYFUNCTION("""COMPUTED_VALUE"""),56.66)</f>
        <v/>
      </c>
      <c r="F184" s="141">
        <f>IFERROR(__xludf.DUMMYFUNCTION("""COMPUTED_VALUE"""),56.8)</f>
        <v/>
      </c>
      <c r="G184" s="143">
        <f>IFERROR(__xludf.DUMMYFUNCTION("""COMPUTED_VALUE"""),47897122)</f>
        <v/>
      </c>
      <c r="H184" s="27" t="n"/>
    </row>
    <row r="185" ht="17.25" customHeight="1" s="322">
      <c r="A185" s="27" t="n"/>
      <c r="B185" s="506">
        <f>IFERROR(__xludf.DUMMYFUNCTION("""COMPUTED_VALUE"""),46097.6666666666)</f>
        <v/>
      </c>
      <c r="C185" s="141">
        <f>IFERROR(__xludf.DUMMYFUNCTION("""COMPUTED_VALUE"""),58.05)</f>
        <v/>
      </c>
      <c r="D185" s="141">
        <f>IFERROR(__xludf.DUMMYFUNCTION("""COMPUTED_VALUE"""),58.64)</f>
        <v/>
      </c>
      <c r="E185" s="141">
        <f>IFERROR(__xludf.DUMMYFUNCTION("""COMPUTED_VALUE"""),57.99)</f>
        <v/>
      </c>
      <c r="F185" s="141">
        <f>IFERROR(__xludf.DUMMYFUNCTION("""COMPUTED_VALUE"""),58.38)</f>
        <v/>
      </c>
      <c r="G185" s="143">
        <f>IFERROR(__xludf.DUMMYFUNCTION("""COMPUTED_VALUE"""),36204921)</f>
        <v/>
      </c>
      <c r="H185" s="27" t="n"/>
    </row>
    <row r="186" ht="17.25" customHeight="1" s="322">
      <c r="A186" s="27" t="n"/>
      <c r="B186" s="506">
        <f>IFERROR(__xludf.DUMMYFUNCTION("""COMPUTED_VALUE"""),46098.6666666666)</f>
        <v/>
      </c>
      <c r="C186" s="141">
        <f>IFERROR(__xludf.DUMMYFUNCTION("""COMPUTED_VALUE"""),58.88)</f>
        <v/>
      </c>
      <c r="D186" s="141">
        <f>IFERROR(__xludf.DUMMYFUNCTION("""COMPUTED_VALUE"""),59.06)</f>
        <v/>
      </c>
      <c r="E186" s="141">
        <f>IFERROR(__xludf.DUMMYFUNCTION("""COMPUTED_VALUE"""),58.53)</f>
        <v/>
      </c>
      <c r="F186" s="141">
        <f>IFERROR(__xludf.DUMMYFUNCTION("""COMPUTED_VALUE"""),58.75)</f>
        <v/>
      </c>
      <c r="G186" s="143">
        <f>IFERROR(__xludf.DUMMYFUNCTION("""COMPUTED_VALUE"""),24929124)</f>
        <v/>
      </c>
      <c r="H186" s="27" t="n"/>
    </row>
    <row r="187" ht="17.25" customHeight="1" s="322">
      <c r="A187" s="27" t="n"/>
      <c r="B187" s="506">
        <f>IFERROR(__xludf.DUMMYFUNCTION("""COMPUTED_VALUE"""),46099.6666666666)</f>
        <v/>
      </c>
      <c r="C187" s="141">
        <f>IFERROR(__xludf.DUMMYFUNCTION("""COMPUTED_VALUE"""),58.38)</f>
        <v/>
      </c>
      <c r="D187" s="141">
        <f>IFERROR(__xludf.DUMMYFUNCTION("""COMPUTED_VALUE"""),58.63)</f>
        <v/>
      </c>
      <c r="E187" s="141">
        <f>IFERROR(__xludf.DUMMYFUNCTION("""COMPUTED_VALUE"""),57.54)</f>
        <v/>
      </c>
      <c r="F187" s="141">
        <f>IFERROR(__xludf.DUMMYFUNCTION("""COMPUTED_VALUE"""),57.56)</f>
        <v/>
      </c>
      <c r="G187" s="143">
        <f>IFERROR(__xludf.DUMMYFUNCTION("""COMPUTED_VALUE"""),37207424)</f>
        <v/>
      </c>
      <c r="H187" s="27" t="n"/>
    </row>
    <row r="188" ht="17.25" customHeight="1" s="322">
      <c r="A188" s="27" t="n"/>
      <c r="B188" s="506">
        <f>IFERROR(__xludf.DUMMYFUNCTION("""COMPUTED_VALUE"""),46100.6666666666)</f>
        <v/>
      </c>
      <c r="C188" s="141">
        <f>IFERROR(__xludf.DUMMYFUNCTION("""COMPUTED_VALUE"""),56.44)</f>
        <v/>
      </c>
      <c r="D188" s="141">
        <f>IFERROR(__xludf.DUMMYFUNCTION("""COMPUTED_VALUE"""),57.87)</f>
        <v/>
      </c>
      <c r="E188" s="141">
        <f>IFERROR(__xludf.DUMMYFUNCTION("""COMPUTED_VALUE"""),56.26)</f>
        <v/>
      </c>
      <c r="F188" s="141">
        <f>IFERROR(__xludf.DUMMYFUNCTION("""COMPUTED_VALUE"""),57.62)</f>
        <v/>
      </c>
      <c r="G188" s="143">
        <f>IFERROR(__xludf.DUMMYFUNCTION("""COMPUTED_VALUE"""),50957579)</f>
        <v/>
      </c>
      <c r="H188" s="27" t="n"/>
    </row>
    <row r="189" ht="17.25" customHeight="1" s="322">
      <c r="A189" s="27" t="n"/>
      <c r="B189" s="506">
        <f>IFERROR(__xludf.DUMMYFUNCTION("""COMPUTED_VALUE"""),46101.6666666666)</f>
        <v/>
      </c>
      <c r="C189" s="141">
        <f>IFERROR(__xludf.DUMMYFUNCTION("""COMPUTED_VALUE"""),56.95)</f>
        <v/>
      </c>
      <c r="D189" s="141">
        <f>IFERROR(__xludf.DUMMYFUNCTION("""COMPUTED_VALUE"""),57.01)</f>
        <v/>
      </c>
      <c r="E189" s="141">
        <f>IFERROR(__xludf.DUMMYFUNCTION("""COMPUTED_VALUE"""),55.44)</f>
        <v/>
      </c>
      <c r="F189" s="141">
        <f>IFERROR(__xludf.DUMMYFUNCTION("""COMPUTED_VALUE"""),55.64)</f>
        <v/>
      </c>
      <c r="G189" s="143">
        <f>IFERROR(__xludf.DUMMYFUNCTION("""COMPUTED_VALUE"""),78534156)</f>
        <v/>
      </c>
      <c r="H189" s="27" t="n"/>
    </row>
    <row r="190" ht="17.25" customHeight="1" s="322">
      <c r="A190" s="27" t="n"/>
      <c r="B190" s="506">
        <f>IFERROR(__xludf.DUMMYFUNCTION("""COMPUTED_VALUE"""),46104.6666666666)</f>
        <v/>
      </c>
      <c r="C190" s="141">
        <f>IFERROR(__xludf.DUMMYFUNCTION("""COMPUTED_VALUE"""),56.89)</f>
        <v/>
      </c>
      <c r="D190" s="141">
        <f>IFERROR(__xludf.DUMMYFUNCTION("""COMPUTED_VALUE"""),57.84)</f>
        <v/>
      </c>
      <c r="E190" s="141">
        <f>IFERROR(__xludf.DUMMYFUNCTION("""COMPUTED_VALUE"""),56.56)</f>
        <v/>
      </c>
      <c r="F190" s="141">
        <f>IFERROR(__xludf.DUMMYFUNCTION("""COMPUTED_VALUE"""),57.31)</f>
        <v/>
      </c>
      <c r="G190" s="143">
        <f>IFERROR(__xludf.DUMMYFUNCTION("""COMPUTED_VALUE"""),61193446)</f>
        <v/>
      </c>
      <c r="H190" s="27" t="n"/>
    </row>
    <row r="191" ht="17.25" customHeight="1" s="322">
      <c r="A191" s="27" t="n"/>
      <c r="B191" s="506">
        <f>IFERROR(__xludf.DUMMYFUNCTION("""COMPUTED_VALUE"""),46105.6666666666)</f>
        <v/>
      </c>
      <c r="C191" s="141">
        <f>IFERROR(__xludf.DUMMYFUNCTION("""COMPUTED_VALUE"""),56.1)</f>
        <v/>
      </c>
      <c r="D191" s="141">
        <f>IFERROR(__xludf.DUMMYFUNCTION("""COMPUTED_VALUE"""),56.92)</f>
        <v/>
      </c>
      <c r="E191" s="141">
        <f>IFERROR(__xludf.DUMMYFUNCTION("""COMPUTED_VALUE"""),56.03)</f>
        <v/>
      </c>
      <c r="F191" s="141">
        <f>IFERROR(__xludf.DUMMYFUNCTION("""COMPUTED_VALUE"""),56.52)</f>
        <v/>
      </c>
      <c r="G191" s="143">
        <f>IFERROR(__xludf.DUMMYFUNCTION("""COMPUTED_VALUE"""),37192273)</f>
        <v/>
      </c>
      <c r="H191" s="27" t="n"/>
    </row>
    <row r="192" ht="17.25" customHeight="1" s="322">
      <c r="A192" s="27" t="n"/>
      <c r="B192" s="506">
        <f>IFERROR(__xludf.DUMMYFUNCTION("""COMPUTED_VALUE"""),46106.6666666666)</f>
        <v/>
      </c>
      <c r="C192" s="141">
        <f>IFERROR(__xludf.DUMMYFUNCTION("""COMPUTED_VALUE"""),57.42)</f>
        <v/>
      </c>
      <c r="D192" s="141">
        <f>IFERROR(__xludf.DUMMYFUNCTION("""COMPUTED_VALUE"""),57.77)</f>
        <v/>
      </c>
      <c r="E192" s="141">
        <f>IFERROR(__xludf.DUMMYFUNCTION("""COMPUTED_VALUE"""),57.03)</f>
        <v/>
      </c>
      <c r="F192" s="141">
        <f>IFERROR(__xludf.DUMMYFUNCTION("""COMPUTED_VALUE"""),57.42)</f>
        <v/>
      </c>
      <c r="G192" s="143">
        <f>IFERROR(__xludf.DUMMYFUNCTION("""COMPUTED_VALUE"""),36444043)</f>
        <v/>
      </c>
      <c r="H192" s="27" t="n"/>
    </row>
    <row r="193" ht="17.25" customHeight="1" s="322">
      <c r="A193" s="27" t="n"/>
      <c r="B193" s="506">
        <f>IFERROR(__xludf.DUMMYFUNCTION("""COMPUTED_VALUE"""),46107.6666666666)</f>
        <v/>
      </c>
      <c r="C193" s="141">
        <f>IFERROR(__xludf.DUMMYFUNCTION("""COMPUTED_VALUE"""),56.26)</f>
        <v/>
      </c>
      <c r="D193" s="141">
        <f>IFERROR(__xludf.DUMMYFUNCTION("""COMPUTED_VALUE"""),56.64)</f>
        <v/>
      </c>
      <c r="E193" s="141">
        <f>IFERROR(__xludf.DUMMYFUNCTION("""COMPUTED_VALUE"""),55.44)</f>
        <v/>
      </c>
      <c r="F193" s="141">
        <f>IFERROR(__xludf.DUMMYFUNCTION("""COMPUTED_VALUE"""),55.47)</f>
        <v/>
      </c>
      <c r="G193" s="143">
        <f>IFERROR(__xludf.DUMMYFUNCTION("""COMPUTED_VALUE"""),42794940)</f>
        <v/>
      </c>
      <c r="H193" s="27" t="n"/>
    </row>
    <row r="194" ht="17.25" customHeight="1" s="322">
      <c r="A194" s="27" t="n"/>
      <c r="B194" s="506">
        <f>IFERROR(__xludf.DUMMYFUNCTION("""COMPUTED_VALUE"""),46108.6666666666)</f>
        <v/>
      </c>
      <c r="C194" s="141">
        <f>IFERROR(__xludf.DUMMYFUNCTION("""COMPUTED_VALUE"""),55.35)</f>
        <v/>
      </c>
      <c r="D194" s="141">
        <f>IFERROR(__xludf.DUMMYFUNCTION("""COMPUTED_VALUE"""),55.74)</f>
        <v/>
      </c>
      <c r="E194" s="141">
        <f>IFERROR(__xludf.DUMMYFUNCTION("""COMPUTED_VALUE"""),55)</f>
        <v/>
      </c>
      <c r="F194" s="141">
        <f>IFERROR(__xludf.DUMMYFUNCTION("""COMPUTED_VALUE"""),55.2)</f>
        <v/>
      </c>
      <c r="G194" s="143">
        <f>IFERROR(__xludf.DUMMYFUNCTION("""COMPUTED_VALUE"""),38596105)</f>
        <v/>
      </c>
      <c r="H194" s="27" t="n"/>
    </row>
    <row r="195" ht="17.25" customHeight="1" s="322">
      <c r="A195" s="27" t="n"/>
      <c r="B195" s="506">
        <f>IFERROR(__xludf.DUMMYFUNCTION("""COMPUTED_VALUE"""),46111.6666666666)</f>
        <v/>
      </c>
      <c r="C195" s="141">
        <f>IFERROR(__xludf.DUMMYFUNCTION("""COMPUTED_VALUE"""),55.5)</f>
        <v/>
      </c>
      <c r="D195" s="141">
        <f>IFERROR(__xludf.DUMMYFUNCTION("""COMPUTED_VALUE"""),55.54)</f>
        <v/>
      </c>
      <c r="E195" s="141">
        <f>IFERROR(__xludf.DUMMYFUNCTION("""COMPUTED_VALUE"""),54.44)</f>
        <v/>
      </c>
      <c r="F195" s="141">
        <f>IFERROR(__xludf.DUMMYFUNCTION("""COMPUTED_VALUE"""),54.75)</f>
        <v/>
      </c>
      <c r="G195" s="143">
        <f>IFERROR(__xludf.DUMMYFUNCTION("""COMPUTED_VALUE"""),32281490)</f>
        <v/>
      </c>
      <c r="H195" s="27" t="n"/>
    </row>
    <row r="196" ht="17.25" customHeight="1" s="322">
      <c r="A196" s="27" t="n"/>
      <c r="B196" s="506">
        <f>IFERROR(__xludf.DUMMYFUNCTION("""COMPUTED_VALUE"""),46112.6666666666)</f>
        <v/>
      </c>
      <c r="C196" s="141">
        <f>IFERROR(__xludf.DUMMYFUNCTION("""COMPUTED_VALUE"""),54.94)</f>
        <v/>
      </c>
      <c r="D196" s="141">
        <f>IFERROR(__xludf.DUMMYFUNCTION("""COMPUTED_VALUE"""),56.86)</f>
        <v/>
      </c>
      <c r="E196" s="141">
        <f>IFERROR(__xludf.DUMMYFUNCTION("""COMPUTED_VALUE"""),54.88)</f>
        <v/>
      </c>
      <c r="F196" s="141">
        <f>IFERROR(__xludf.DUMMYFUNCTION("""COMPUTED_VALUE"""),56.79)</f>
        <v/>
      </c>
      <c r="G196" s="143">
        <f>IFERROR(__xludf.DUMMYFUNCTION("""COMPUTED_VALUE"""),64809405)</f>
        <v/>
      </c>
      <c r="H196" s="27" t="n"/>
    </row>
    <row r="197" ht="17.25" customHeight="1" s="322">
      <c r="A197" s="27" t="n"/>
      <c r="B197" s="506">
        <f>IFERROR(__xludf.DUMMYFUNCTION("""COMPUTED_VALUE"""),46113.6666666666)</f>
        <v/>
      </c>
      <c r="C197" s="141">
        <f>IFERROR(__xludf.DUMMYFUNCTION("""COMPUTED_VALUE"""),57.21)</f>
        <v/>
      </c>
      <c r="D197" s="141">
        <f>IFERROR(__xludf.DUMMYFUNCTION("""COMPUTED_VALUE"""),57.83)</f>
        <v/>
      </c>
      <c r="E197" s="141">
        <f>IFERROR(__xludf.DUMMYFUNCTION("""COMPUTED_VALUE"""),57.02)</f>
        <v/>
      </c>
      <c r="F197" s="141">
        <f>IFERROR(__xludf.DUMMYFUNCTION("""COMPUTED_VALUE"""),57.23)</f>
        <v/>
      </c>
      <c r="G197" s="143">
        <f>IFERROR(__xludf.DUMMYFUNCTION("""COMPUTED_VALUE"""),51176297)</f>
        <v/>
      </c>
      <c r="H197" s="27" t="n"/>
    </row>
    <row r="198" ht="17.25" customHeight="1" s="322">
      <c r="A198" s="27" t="n"/>
      <c r="B198" s="506">
        <f>IFERROR(__xludf.DUMMYFUNCTION("""COMPUTED_VALUE"""),46114.6666666666)</f>
        <v/>
      </c>
      <c r="C198" s="141">
        <f>IFERROR(__xludf.DUMMYFUNCTION("""COMPUTED_VALUE"""),55.57)</f>
        <v/>
      </c>
      <c r="D198" s="141">
        <f>IFERROR(__xludf.DUMMYFUNCTION("""COMPUTED_VALUE"""),57.03)</f>
        <v/>
      </c>
      <c r="E198" s="141">
        <f>IFERROR(__xludf.DUMMYFUNCTION("""COMPUTED_VALUE"""),55.43)</f>
        <v/>
      </c>
      <c r="F198" s="141">
        <f>IFERROR(__xludf.DUMMYFUNCTION("""COMPUTED_VALUE"""),56.59)</f>
        <v/>
      </c>
      <c r="G198" s="143">
        <f>IFERROR(__xludf.DUMMYFUNCTION("""COMPUTED_VALUE"""),33449846)</f>
        <v/>
      </c>
      <c r="H198" s="27" t="n"/>
    </row>
    <row r="199" ht="17.25" customHeight="1" s="322">
      <c r="A199" s="27" t="n"/>
      <c r="B199" s="506">
        <f>IFERROR(__xludf.DUMMYFUNCTION("""COMPUTED_VALUE"""),46118.6666666666)</f>
        <v/>
      </c>
      <c r="C199" s="141">
        <f>IFERROR(__xludf.DUMMYFUNCTION("""COMPUTED_VALUE"""),56.95)</f>
        <v/>
      </c>
      <c r="D199" s="141">
        <f>IFERROR(__xludf.DUMMYFUNCTION("""COMPUTED_VALUE"""),57.42)</f>
        <v/>
      </c>
      <c r="E199" s="141">
        <f>IFERROR(__xludf.DUMMYFUNCTION("""COMPUTED_VALUE"""),56.74)</f>
        <v/>
      </c>
      <c r="F199" s="141">
        <f>IFERROR(__xludf.DUMMYFUNCTION("""COMPUTED_VALUE"""),57.11)</f>
        <v/>
      </c>
      <c r="G199" s="143">
        <f>IFERROR(__xludf.DUMMYFUNCTION("""COMPUTED_VALUE"""),19981724)</f>
        <v/>
      </c>
      <c r="H199" s="27" t="n"/>
    </row>
    <row r="200" ht="17.25" customHeight="1" s="322">
      <c r="A200" s="27" t="n"/>
      <c r="B200" s="506">
        <f>IFERROR(__xludf.DUMMYFUNCTION("""COMPUTED_VALUE"""),46119.6666666666)</f>
        <v/>
      </c>
      <c r="C200" s="141">
        <f>IFERROR(__xludf.DUMMYFUNCTION("""COMPUTED_VALUE"""),57.17)</f>
        <v/>
      </c>
      <c r="D200" s="141">
        <f>IFERROR(__xludf.DUMMYFUNCTION("""COMPUTED_VALUE"""),57.33)</f>
        <v/>
      </c>
      <c r="E200" s="141">
        <f>IFERROR(__xludf.DUMMYFUNCTION("""COMPUTED_VALUE"""),56.33)</f>
        <v/>
      </c>
      <c r="F200" s="141">
        <f>IFERROR(__xludf.DUMMYFUNCTION("""COMPUTED_VALUE"""),57.31)</f>
        <v/>
      </c>
      <c r="G200" s="143">
        <f>IFERROR(__xludf.DUMMYFUNCTION("""COMPUTED_VALUE"""),28112832)</f>
        <v/>
      </c>
      <c r="H200" s="27" t="n"/>
    </row>
    <row r="201" ht="17.25" customHeight="1" s="322">
      <c r="A201" s="27" t="n"/>
      <c r="B201" s="506">
        <f>IFERROR(__xludf.DUMMYFUNCTION("""COMPUTED_VALUE"""),46120.6666666666)</f>
        <v/>
      </c>
      <c r="C201" s="141">
        <f>IFERROR(__xludf.DUMMYFUNCTION("""COMPUTED_VALUE"""),60.86)</f>
        <v/>
      </c>
      <c r="D201" s="141">
        <f>IFERROR(__xludf.DUMMYFUNCTION("""COMPUTED_VALUE"""),60.99)</f>
        <v/>
      </c>
      <c r="E201" s="141">
        <f>IFERROR(__xludf.DUMMYFUNCTION("""COMPUTED_VALUE"""),59.9)</f>
        <v/>
      </c>
      <c r="F201" s="141">
        <f>IFERROR(__xludf.DUMMYFUNCTION("""COMPUTED_VALUE"""),60.44)</f>
        <v/>
      </c>
      <c r="G201" s="143">
        <f>IFERROR(__xludf.DUMMYFUNCTION("""COMPUTED_VALUE"""),50444840)</f>
        <v/>
      </c>
      <c r="H201" s="27" t="n"/>
    </row>
    <row r="202" ht="17.25" customHeight="1" s="322">
      <c r="A202" s="27" t="n"/>
      <c r="B202" s="506">
        <f>IFERROR(__xludf.DUMMYFUNCTION("""COMPUTED_VALUE"""),46121.6666666666)</f>
        <v/>
      </c>
      <c r="C202" s="141">
        <f>IFERROR(__xludf.DUMMYFUNCTION("""COMPUTED_VALUE"""),59.76)</f>
        <v/>
      </c>
      <c r="D202" s="141">
        <f>IFERROR(__xludf.DUMMYFUNCTION("""COMPUTED_VALUE"""),60.52)</f>
        <v/>
      </c>
      <c r="E202" s="141">
        <f>IFERROR(__xludf.DUMMYFUNCTION("""COMPUTED_VALUE"""),59.49)</f>
        <v/>
      </c>
      <c r="F202" s="141">
        <f>IFERROR(__xludf.DUMMYFUNCTION("""COMPUTED_VALUE"""),60.28)</f>
        <v/>
      </c>
      <c r="G202" s="143">
        <f>IFERROR(__xludf.DUMMYFUNCTION("""COMPUTED_VALUE"""),35719550)</f>
        <v/>
      </c>
      <c r="H202" s="27" t="n"/>
    </row>
    <row r="203" ht="17.25" customHeight="1" s="322">
      <c r="A203" s="27" t="n"/>
      <c r="B203" s="506">
        <f>IFERROR(__xludf.DUMMYFUNCTION("""COMPUTED_VALUE"""),46122.6666666666)</f>
        <v/>
      </c>
      <c r="C203" s="141">
        <f>IFERROR(__xludf.DUMMYFUNCTION("""COMPUTED_VALUE"""),60.71)</f>
        <v/>
      </c>
      <c r="D203" s="141">
        <f>IFERROR(__xludf.DUMMYFUNCTION("""COMPUTED_VALUE"""),60.89)</f>
        <v/>
      </c>
      <c r="E203" s="141">
        <f>IFERROR(__xludf.DUMMYFUNCTION("""COMPUTED_VALUE"""),60.37)</f>
        <v/>
      </c>
      <c r="F203" s="141">
        <f>IFERROR(__xludf.DUMMYFUNCTION("""COMPUTED_VALUE"""),60.56)</f>
        <v/>
      </c>
      <c r="G203" s="143">
        <f>IFERROR(__xludf.DUMMYFUNCTION("""COMPUTED_VALUE"""),20508652)</f>
        <v/>
      </c>
      <c r="H203" s="27" t="n"/>
    </row>
    <row r="204" ht="17.25" customHeight="1" s="322">
      <c r="A204" s="27" t="n"/>
      <c r="B204" s="506">
        <f>IFERROR(__xludf.DUMMYFUNCTION("""COMPUTED_VALUE"""),46125.6666666666)</f>
        <v/>
      </c>
      <c r="C204" s="141">
        <f>IFERROR(__xludf.DUMMYFUNCTION("""COMPUTED_VALUE"""),60.08)</f>
        <v/>
      </c>
      <c r="D204" s="141">
        <f>IFERROR(__xludf.DUMMYFUNCTION("""COMPUTED_VALUE"""),61.13)</f>
        <v/>
      </c>
      <c r="E204" s="141">
        <f>IFERROR(__xludf.DUMMYFUNCTION("""COMPUTED_VALUE"""),60)</f>
        <v/>
      </c>
      <c r="F204" s="141">
        <f>IFERROR(__xludf.DUMMYFUNCTION("""COMPUTED_VALUE"""),61.07)</f>
        <v/>
      </c>
      <c r="G204" s="143">
        <f>IFERROR(__xludf.DUMMYFUNCTION("""COMPUTED_VALUE"""),24457387)</f>
        <v/>
      </c>
      <c r="H204" s="27" t="n"/>
    </row>
    <row r="205" ht="17.25" customHeight="1" s="322">
      <c r="A205" s="27" t="n"/>
      <c r="B205" s="506">
        <f>IFERROR(__xludf.DUMMYFUNCTION("""COMPUTED_VALUE"""),46126.6666666666)</f>
        <v/>
      </c>
      <c r="C205" s="141">
        <f>IFERROR(__xludf.DUMMYFUNCTION("""COMPUTED_VALUE"""),61.6)</f>
        <v/>
      </c>
      <c r="D205" s="141">
        <f>IFERROR(__xludf.DUMMYFUNCTION("""COMPUTED_VALUE"""),62.26)</f>
        <v/>
      </c>
      <c r="E205" s="141">
        <f>IFERROR(__xludf.DUMMYFUNCTION("""COMPUTED_VALUE"""),61.57)</f>
        <v/>
      </c>
      <c r="F205" s="141">
        <f>IFERROR(__xludf.DUMMYFUNCTION("""COMPUTED_VALUE"""),62.24)</f>
        <v/>
      </c>
      <c r="G205" s="143">
        <f>IFERROR(__xludf.DUMMYFUNCTION("""COMPUTED_VALUE"""),23734193)</f>
        <v/>
      </c>
      <c r="H205" s="27" t="n"/>
    </row>
    <row r="206" ht="17.25" customHeight="1" s="322">
      <c r="A206" s="27" t="n"/>
      <c r="B206" s="506">
        <f>IFERROR(__xludf.DUMMYFUNCTION("""COMPUTED_VALUE"""),46127.6666666666)</f>
        <v/>
      </c>
      <c r="C206" s="141">
        <f>IFERROR(__xludf.DUMMYFUNCTION("""COMPUTED_VALUE"""),62.04)</f>
        <v/>
      </c>
      <c r="D206" s="141">
        <f>IFERROR(__xludf.DUMMYFUNCTION("""COMPUTED_VALUE"""),62.32)</f>
        <v/>
      </c>
      <c r="E206" s="141">
        <f>IFERROR(__xludf.DUMMYFUNCTION("""COMPUTED_VALUE"""),61.86)</f>
        <v/>
      </c>
      <c r="F206" s="141">
        <f>IFERROR(__xludf.DUMMYFUNCTION("""COMPUTED_VALUE"""),62.2)</f>
        <v/>
      </c>
      <c r="G206" s="143">
        <f>IFERROR(__xludf.DUMMYFUNCTION("""COMPUTED_VALUE"""),26278694)</f>
        <v/>
      </c>
      <c r="H206" s="27" t="n"/>
    </row>
    <row r="207" ht="17.25" customHeight="1" s="322">
      <c r="A207" s="27" t="n"/>
      <c r="B207" s="506">
        <f>IFERROR(__xludf.DUMMYFUNCTION("""COMPUTED_VALUE"""),46128.6666666666)</f>
        <v/>
      </c>
      <c r="C207" s="141">
        <f>IFERROR(__xludf.DUMMYFUNCTION("""COMPUTED_VALUE"""),62.43)</f>
        <v/>
      </c>
      <c r="D207" s="141">
        <f>IFERROR(__xludf.DUMMYFUNCTION("""COMPUTED_VALUE"""),62.73)</f>
        <v/>
      </c>
      <c r="E207" s="141">
        <f>IFERROR(__xludf.DUMMYFUNCTION("""COMPUTED_VALUE"""),62.06)</f>
        <v/>
      </c>
      <c r="F207" s="141">
        <f>IFERROR(__xludf.DUMMYFUNCTION("""COMPUTED_VALUE"""),62.45)</f>
        <v/>
      </c>
      <c r="G207" s="143">
        <f>IFERROR(__xludf.DUMMYFUNCTION("""COMPUTED_VALUE"""),32327551)</f>
        <v/>
      </c>
      <c r="H207" s="27" t="n"/>
    </row>
    <row r="208" ht="17.25" customHeight="1" s="322">
      <c r="A208" s="27" t="n"/>
      <c r="B208" s="506">
        <f>IFERROR(__xludf.DUMMYFUNCTION("""COMPUTED_VALUE"""),46129.6666666666)</f>
        <v/>
      </c>
      <c r="C208" s="141">
        <f>IFERROR(__xludf.DUMMYFUNCTION("""COMPUTED_VALUE"""),63.53)</f>
        <v/>
      </c>
      <c r="D208" s="141">
        <f>IFERROR(__xludf.DUMMYFUNCTION("""COMPUTED_VALUE"""),64.22)</f>
        <v/>
      </c>
      <c r="E208" s="141">
        <f>IFERROR(__xludf.DUMMYFUNCTION("""COMPUTED_VALUE"""),63.37)</f>
        <v/>
      </c>
      <c r="F208" s="141">
        <f>IFERROR(__xludf.DUMMYFUNCTION("""COMPUTED_VALUE"""),63.64)</f>
        <v/>
      </c>
      <c r="G208" s="143">
        <f>IFERROR(__xludf.DUMMYFUNCTION("""COMPUTED_VALUE"""),46228644)</f>
        <v/>
      </c>
      <c r="H208" s="27" t="n"/>
    </row>
    <row r="209" ht="17.25" customHeight="1" s="322">
      <c r="A209" s="27" t="n"/>
      <c r="B209" s="506">
        <f>IFERROR(__xludf.DUMMYFUNCTION("""COMPUTED_VALUE"""),46132.6666666666)</f>
        <v/>
      </c>
      <c r="C209" s="141">
        <f>IFERROR(__xludf.DUMMYFUNCTION("""COMPUTED_VALUE"""),63.11)</f>
        <v/>
      </c>
      <c r="D209" s="141">
        <f>IFERROR(__xludf.DUMMYFUNCTION("""COMPUTED_VALUE"""),63.26)</f>
        <v/>
      </c>
      <c r="E209" s="141">
        <f>IFERROR(__xludf.DUMMYFUNCTION("""COMPUTED_VALUE"""),62.78)</f>
        <v/>
      </c>
      <c r="F209" s="141">
        <f>IFERROR(__xludf.DUMMYFUNCTION("""COMPUTED_VALUE"""),63.18)</f>
        <v/>
      </c>
      <c r="G209" s="143">
        <f>IFERROR(__xludf.DUMMYFUNCTION("""COMPUTED_VALUE"""),20045649)</f>
        <v/>
      </c>
      <c r="H209" s="27" t="n"/>
    </row>
    <row r="210" ht="17.25" customHeight="1" s="322">
      <c r="A210" s="27" t="n"/>
      <c r="B210" s="506">
        <f>IFERROR(__xludf.DUMMYFUNCTION("""COMPUTED_VALUE"""),46133.6666666666)</f>
        <v/>
      </c>
      <c r="C210" s="141">
        <f>IFERROR(__xludf.DUMMYFUNCTION("""COMPUTED_VALUE"""),63.28)</f>
        <v/>
      </c>
      <c r="D210" s="141">
        <f>IFERROR(__xludf.DUMMYFUNCTION("""COMPUTED_VALUE"""),63.37)</f>
        <v/>
      </c>
      <c r="E210" s="141">
        <f>IFERROR(__xludf.DUMMYFUNCTION("""COMPUTED_VALUE"""),62.15)</f>
        <v/>
      </c>
      <c r="F210" s="141">
        <f>IFERROR(__xludf.DUMMYFUNCTION("""COMPUTED_VALUE"""),62.25)</f>
        <v/>
      </c>
      <c r="G210" s="143">
        <f>IFERROR(__xludf.DUMMYFUNCTION("""COMPUTED_VALUE"""),25552580)</f>
        <v/>
      </c>
      <c r="H210" s="27" t="n"/>
    </row>
    <row r="211" ht="17.25" customHeight="1" s="322">
      <c r="A211" s="27" t="n"/>
      <c r="B211" s="506">
        <f>IFERROR(__xludf.DUMMYFUNCTION("""COMPUTED_VALUE"""),46134.6666666666)</f>
        <v/>
      </c>
      <c r="C211" s="141">
        <f>IFERROR(__xludf.DUMMYFUNCTION("""COMPUTED_VALUE"""),62.99)</f>
        <v/>
      </c>
      <c r="D211" s="141">
        <f>IFERROR(__xludf.DUMMYFUNCTION("""COMPUTED_VALUE"""),63.42)</f>
        <v/>
      </c>
      <c r="E211" s="141">
        <f>IFERROR(__xludf.DUMMYFUNCTION("""COMPUTED_VALUE"""),62.89)</f>
        <v/>
      </c>
      <c r="F211" s="141">
        <f>IFERROR(__xludf.DUMMYFUNCTION("""COMPUTED_VALUE"""),63.38)</f>
        <v/>
      </c>
      <c r="G211" s="143">
        <f>IFERROR(__xludf.DUMMYFUNCTION("""COMPUTED_VALUE"""),19635732)</f>
        <v/>
      </c>
      <c r="H211" s="27" t="n"/>
    </row>
    <row r="212" ht="17.25" customHeight="1" s="322">
      <c r="A212" s="27" t="n"/>
      <c r="B212" s="506">
        <f>IFERROR(__xludf.DUMMYFUNCTION("""COMPUTED_VALUE"""),46135.6666666666)</f>
        <v/>
      </c>
      <c r="C212" s="141">
        <f>IFERROR(__xludf.DUMMYFUNCTION("""COMPUTED_VALUE"""),62.75)</f>
        <v/>
      </c>
      <c r="D212" s="141">
        <f>IFERROR(__xludf.DUMMYFUNCTION("""COMPUTED_VALUE"""),63.07)</f>
        <v/>
      </c>
      <c r="E212" s="141">
        <f>IFERROR(__xludf.DUMMYFUNCTION("""COMPUTED_VALUE"""),61.7)</f>
        <v/>
      </c>
      <c r="F212" s="141">
        <f>IFERROR(__xludf.DUMMYFUNCTION("""COMPUTED_VALUE"""),62.35)</f>
        <v/>
      </c>
      <c r="G212" s="143">
        <f>IFERROR(__xludf.DUMMYFUNCTION("""COMPUTED_VALUE"""),33271524)</f>
        <v/>
      </c>
      <c r="H212" s="27" t="n"/>
    </row>
    <row r="213" ht="17.25" customHeight="1" s="322">
      <c r="A213" s="27" t="n"/>
      <c r="B213" s="506">
        <f>IFERROR(__xludf.DUMMYFUNCTION("""COMPUTED_VALUE"""),46136.6666666666)</f>
        <v/>
      </c>
      <c r="C213" s="141">
        <f>IFERROR(__xludf.DUMMYFUNCTION("""COMPUTED_VALUE"""),63.28)</f>
        <v/>
      </c>
      <c r="D213" s="141">
        <f>IFERROR(__xludf.DUMMYFUNCTION("""COMPUTED_VALUE"""),63.82)</f>
        <v/>
      </c>
      <c r="E213" s="141">
        <f>IFERROR(__xludf.DUMMYFUNCTION("""COMPUTED_VALUE"""),63.1)</f>
        <v/>
      </c>
      <c r="F213" s="141">
        <f>IFERROR(__xludf.DUMMYFUNCTION("""COMPUTED_VALUE"""),63.74)</f>
        <v/>
      </c>
      <c r="G213" s="143">
        <f>IFERROR(__xludf.DUMMYFUNCTION("""COMPUTED_VALUE"""),26360827)</f>
        <v/>
      </c>
      <c r="H213" s="27" t="n"/>
    </row>
    <row r="214" ht="17.25" customHeight="1" s="322">
      <c r="A214" s="27" t="n"/>
      <c r="B214" s="506">
        <f>IFERROR(__xludf.DUMMYFUNCTION("""COMPUTED_VALUE"""),46139.6666666666)</f>
        <v/>
      </c>
      <c r="C214" s="141">
        <f>IFERROR(__xludf.DUMMYFUNCTION("""COMPUTED_VALUE"""),63.9)</f>
        <v/>
      </c>
      <c r="D214" s="141">
        <f>IFERROR(__xludf.DUMMYFUNCTION("""COMPUTED_VALUE"""),63.98)</f>
        <v/>
      </c>
      <c r="E214" s="141">
        <f>IFERROR(__xludf.DUMMYFUNCTION("""COMPUTED_VALUE"""),63.5)</f>
        <v/>
      </c>
      <c r="F214" s="141">
        <f>IFERROR(__xludf.DUMMYFUNCTION("""COMPUTED_VALUE"""),63.64)</f>
        <v/>
      </c>
      <c r="G214" s="143">
        <f>IFERROR(__xludf.DUMMYFUNCTION("""COMPUTED_VALUE"""),14689535)</f>
        <v/>
      </c>
      <c r="H214" s="27" t="n"/>
    </row>
    <row r="215" ht="17.25" customHeight="1" s="322">
      <c r="A215" s="27" t="n"/>
      <c r="B215" s="506">
        <f>IFERROR(__xludf.DUMMYFUNCTION("""COMPUTED_VALUE"""),46140.6666666666)</f>
        <v/>
      </c>
      <c r="C215" s="141">
        <f>IFERROR(__xludf.DUMMYFUNCTION("""COMPUTED_VALUE"""),62.79)</f>
        <v/>
      </c>
      <c r="D215" s="141">
        <f>IFERROR(__xludf.DUMMYFUNCTION("""COMPUTED_VALUE"""),63.12)</f>
        <v/>
      </c>
      <c r="E215" s="141">
        <f>IFERROR(__xludf.DUMMYFUNCTION("""COMPUTED_VALUE"""),62.53)</f>
        <v/>
      </c>
      <c r="F215" s="141">
        <f>IFERROR(__xludf.DUMMYFUNCTION("""COMPUTED_VALUE"""),62.99)</f>
        <v/>
      </c>
      <c r="G215" s="143">
        <f>IFERROR(__xludf.DUMMYFUNCTION("""COMPUTED_VALUE"""),20628904)</f>
        <v/>
      </c>
      <c r="H215" s="27" t="n"/>
    </row>
    <row r="216" ht="17.25" customHeight="1" s="322">
      <c r="A216" s="27" t="n"/>
      <c r="B216" s="506">
        <f>IFERROR(__xludf.DUMMYFUNCTION("""COMPUTED_VALUE"""),46141.6666666666)</f>
        <v/>
      </c>
      <c r="C216" s="141">
        <f>IFERROR(__xludf.DUMMYFUNCTION("""COMPUTED_VALUE"""),63.07)</f>
        <v/>
      </c>
      <c r="D216" s="141">
        <f>IFERROR(__xludf.DUMMYFUNCTION("""COMPUTED_VALUE"""),63.12)</f>
        <v/>
      </c>
      <c r="E216" s="141">
        <f>IFERROR(__xludf.DUMMYFUNCTION("""COMPUTED_VALUE"""),62.44)</f>
        <v/>
      </c>
      <c r="F216" s="141">
        <f>IFERROR(__xludf.DUMMYFUNCTION("""COMPUTED_VALUE"""),62.69)</f>
        <v/>
      </c>
      <c r="G216" s="143">
        <f>IFERROR(__xludf.DUMMYFUNCTION("""COMPUTED_VALUE"""),21066220)</f>
        <v/>
      </c>
      <c r="H216" s="27" t="n"/>
    </row>
    <row r="217" ht="17.25" customHeight="1" s="322">
      <c r="A217" s="27" t="n"/>
      <c r="B217" s="506">
        <f>IFERROR(__xludf.DUMMYFUNCTION("""COMPUTED_VALUE"""),46142.6666666666)</f>
        <v/>
      </c>
      <c r="C217" s="141">
        <f>IFERROR(__xludf.DUMMYFUNCTION("""COMPUTED_VALUE"""),63.24)</f>
        <v/>
      </c>
      <c r="D217" s="141">
        <f>IFERROR(__xludf.DUMMYFUNCTION("""COMPUTED_VALUE"""),64.14)</f>
        <v/>
      </c>
      <c r="E217" s="141">
        <f>IFERROR(__xludf.DUMMYFUNCTION("""COMPUTED_VALUE"""),62.88)</f>
        <v/>
      </c>
      <c r="F217" s="141">
        <f>IFERROR(__xludf.DUMMYFUNCTION("""COMPUTED_VALUE"""),63.99)</f>
        <v/>
      </c>
      <c r="G217" s="143">
        <f>IFERROR(__xludf.DUMMYFUNCTION("""COMPUTED_VALUE"""),32196998)</f>
        <v/>
      </c>
      <c r="H217" s="27" t="n"/>
    </row>
    <row r="218" ht="17.25" customHeight="1" s="322">
      <c r="A218" s="27" t="n"/>
      <c r="B218" s="506">
        <f>IFERROR(__xludf.DUMMYFUNCTION("""COMPUTED_VALUE"""),46143.6666666666)</f>
        <v/>
      </c>
      <c r="C218" s="141">
        <f>IFERROR(__xludf.DUMMYFUNCTION("""COMPUTED_VALUE"""),63.84)</f>
        <v/>
      </c>
      <c r="D218" s="141">
        <f>IFERROR(__xludf.DUMMYFUNCTION("""COMPUTED_VALUE"""),64.67)</f>
        <v/>
      </c>
      <c r="E218" s="141">
        <f>IFERROR(__xludf.DUMMYFUNCTION("""COMPUTED_VALUE"""),63.8)</f>
        <v/>
      </c>
      <c r="F218" s="141">
        <f>IFERROR(__xludf.DUMMYFUNCTION("""COMPUTED_VALUE"""),64.13)</f>
        <v/>
      </c>
      <c r="G218" s="143">
        <f>IFERROR(__xludf.DUMMYFUNCTION("""COMPUTED_VALUE"""),22489221)</f>
        <v/>
      </c>
      <c r="H218" s="27" t="n"/>
    </row>
    <row r="219" ht="17.25" customHeight="1" s="322">
      <c r="A219" s="27" t="n"/>
      <c r="B219" s="506">
        <f>IFERROR(__xludf.DUMMYFUNCTION("""COMPUTED_VALUE"""),46146.6666666666)</f>
        <v/>
      </c>
      <c r="C219" s="141">
        <f>IFERROR(__xludf.DUMMYFUNCTION("""COMPUTED_VALUE"""),64.47)</f>
        <v/>
      </c>
      <c r="D219" s="141">
        <f>IFERROR(__xludf.DUMMYFUNCTION("""COMPUTED_VALUE"""),64.86)</f>
        <v/>
      </c>
      <c r="E219" s="141">
        <f>IFERROR(__xludf.DUMMYFUNCTION("""COMPUTED_VALUE"""),63.81)</f>
        <v/>
      </c>
      <c r="F219" s="141">
        <f>IFERROR(__xludf.DUMMYFUNCTION("""COMPUTED_VALUE"""),64.1)</f>
        <v/>
      </c>
      <c r="G219" s="143">
        <f>IFERROR(__xludf.DUMMYFUNCTION("""COMPUTED_VALUE"""),19751754)</f>
        <v/>
      </c>
      <c r="H219" s="27" t="n"/>
    </row>
    <row r="220" ht="17.25" customHeight="1" s="322">
      <c r="A220" s="27" t="n"/>
      <c r="B220" s="506">
        <f>IFERROR(__xludf.DUMMYFUNCTION("""COMPUTED_VALUE"""),46147.6666666666)</f>
        <v/>
      </c>
      <c r="C220" s="141">
        <f>IFERROR(__xludf.DUMMYFUNCTION("""COMPUTED_VALUE"""),64.98)</f>
        <v/>
      </c>
      <c r="D220" s="141">
        <f>IFERROR(__xludf.DUMMYFUNCTION("""COMPUTED_VALUE"""),65.63)</f>
        <v/>
      </c>
      <c r="E220" s="141">
        <f>IFERROR(__xludf.DUMMYFUNCTION("""COMPUTED_VALUE"""),64.89)</f>
        <v/>
      </c>
      <c r="F220" s="141">
        <f>IFERROR(__xludf.DUMMYFUNCTION("""COMPUTED_VALUE"""),65.4)</f>
        <v/>
      </c>
      <c r="G220" s="143">
        <f>IFERROR(__xludf.DUMMYFUNCTION("""COMPUTED_VALUE"""),18700983)</f>
        <v/>
      </c>
      <c r="H220" s="27" t="n"/>
    </row>
    <row r="221" ht="17.25" customHeight="1" s="322">
      <c r="A221" s="27" t="n"/>
      <c r="B221" s="506">
        <f>IFERROR(__xludf.DUMMYFUNCTION("""COMPUTED_VALUE"""),46148.6666666666)</f>
        <v/>
      </c>
      <c r="C221" s="141">
        <f>IFERROR(__xludf.DUMMYFUNCTION("""COMPUTED_VALUE"""),66.85)</f>
        <v/>
      </c>
      <c r="D221" s="141">
        <f>IFERROR(__xludf.DUMMYFUNCTION("""COMPUTED_VALUE"""),67.59)</f>
        <v/>
      </c>
      <c r="E221" s="141">
        <f>IFERROR(__xludf.DUMMYFUNCTION("""COMPUTED_VALUE"""),66.64)</f>
        <v/>
      </c>
      <c r="F221" s="141">
        <f>IFERROR(__xludf.DUMMYFUNCTION("""COMPUTED_VALUE"""),67.49)</f>
        <v/>
      </c>
      <c r="G221" s="143">
        <f>IFERROR(__xludf.DUMMYFUNCTION("""COMPUTED_VALUE"""),35376450)</f>
        <v/>
      </c>
      <c r="H221" s="27" t="n"/>
    </row>
    <row r="222" ht="17.25" customHeight="1" s="322">
      <c r="A222" s="27" t="n"/>
      <c r="B222" s="506">
        <f>IFERROR(__xludf.DUMMYFUNCTION("""COMPUTED_VALUE"""),46149.6666666666)</f>
        <v/>
      </c>
      <c r="C222" s="141">
        <f>IFERROR(__xludf.DUMMYFUNCTION("""COMPUTED_VALUE"""),67.67)</f>
        <v/>
      </c>
      <c r="D222" s="141">
        <f>IFERROR(__xludf.DUMMYFUNCTION("""COMPUTED_VALUE"""),67.67)</f>
        <v/>
      </c>
      <c r="E222" s="141">
        <f>IFERROR(__xludf.DUMMYFUNCTION("""COMPUTED_VALUE"""),66.48)</f>
        <v/>
      </c>
      <c r="F222" s="141">
        <f>IFERROR(__xludf.DUMMYFUNCTION("""COMPUTED_VALUE"""),66.59)</f>
        <v/>
      </c>
      <c r="G222" s="143">
        <f>IFERROR(__xludf.DUMMYFUNCTION("""COMPUTED_VALUE"""),34734668)</f>
        <v/>
      </c>
      <c r="H222" s="27" t="n"/>
    </row>
    <row r="223" ht="17.25" customHeight="1" s="322">
      <c r="A223" s="27" t="n"/>
      <c r="B223" s="506">
        <f>IFERROR(__xludf.DUMMYFUNCTION("""COMPUTED_VALUE"""),46150.6666666666)</f>
        <v/>
      </c>
      <c r="C223" s="141">
        <f>IFERROR(__xludf.DUMMYFUNCTION("""COMPUTED_VALUE"""),67.33)</f>
        <v/>
      </c>
      <c r="D223" s="141">
        <f>IFERROR(__xludf.DUMMYFUNCTION("""COMPUTED_VALUE"""),67.96)</f>
        <v/>
      </c>
      <c r="E223" s="141">
        <f>IFERROR(__xludf.DUMMYFUNCTION("""COMPUTED_VALUE"""),67.28)</f>
        <v/>
      </c>
      <c r="F223" s="141">
        <f>IFERROR(__xludf.DUMMYFUNCTION("""COMPUTED_VALUE"""),67.94)</f>
        <v/>
      </c>
      <c r="G223" s="143">
        <f>IFERROR(__xludf.DUMMYFUNCTION("""COMPUTED_VALUE"""),27606254)</f>
        <v/>
      </c>
      <c r="H223" s="27" t="n"/>
    </row>
    <row r="224" ht="17.25" customHeight="1" s="322">
      <c r="A224" s="27" t="n"/>
      <c r="B224" s="506">
        <f>IFERROR(__xludf.DUMMYFUNCTION("""COMPUTED_VALUE"""),46153.6666666666)</f>
        <v/>
      </c>
      <c r="C224" s="141">
        <f>IFERROR(__xludf.DUMMYFUNCTION("""COMPUTED_VALUE"""),67.83)</f>
        <v/>
      </c>
      <c r="D224" s="141">
        <f>IFERROR(__xludf.DUMMYFUNCTION("""COMPUTED_VALUE"""),68.15)</f>
        <v/>
      </c>
      <c r="E224" s="141">
        <f>IFERROR(__xludf.DUMMYFUNCTION("""COMPUTED_VALUE"""),67.58)</f>
        <v/>
      </c>
      <c r="F224" s="141">
        <f>IFERROR(__xludf.DUMMYFUNCTION("""COMPUTED_VALUE"""),67.89)</f>
        <v/>
      </c>
      <c r="G224" s="143">
        <f>IFERROR(__xludf.DUMMYFUNCTION("""COMPUTED_VALUE"""),14667108)</f>
        <v/>
      </c>
      <c r="H224" s="27" t="n"/>
    </row>
    <row r="225" ht="17.25" customHeight="1" s="322">
      <c r="A225" s="27" t="n"/>
      <c r="B225" s="506">
        <f>IFERROR(__xludf.DUMMYFUNCTION("""COMPUTED_VALUE"""),46154.6666666666)</f>
        <v/>
      </c>
      <c r="C225" s="141">
        <f>IFERROR(__xludf.DUMMYFUNCTION("""COMPUTED_VALUE"""),66.22)</f>
        <v/>
      </c>
      <c r="D225" s="141">
        <f>IFERROR(__xludf.DUMMYFUNCTION("""COMPUTED_VALUE"""),66.51)</f>
        <v/>
      </c>
      <c r="E225" s="141">
        <f>IFERROR(__xludf.DUMMYFUNCTION("""COMPUTED_VALUE"""),64.99)</f>
        <v/>
      </c>
      <c r="F225" s="141">
        <f>IFERROR(__xludf.DUMMYFUNCTION("""COMPUTED_VALUE"""),65.82)</f>
        <v/>
      </c>
      <c r="G225" s="143">
        <f>IFERROR(__xludf.DUMMYFUNCTION("""COMPUTED_VALUE"""),37773354)</f>
        <v/>
      </c>
      <c r="H225" s="27" t="n"/>
    </row>
    <row r="226" ht="17.25" customHeight="1" s="322">
      <c r="A226" s="27" t="n"/>
      <c r="B226" s="506">
        <f>IFERROR(__xludf.DUMMYFUNCTION("""COMPUTED_VALUE"""),46155.6666666666)</f>
        <v/>
      </c>
      <c r="C226" s="141">
        <f>IFERROR(__xludf.DUMMYFUNCTION("""COMPUTED_VALUE"""),66.57)</f>
        <v/>
      </c>
      <c r="D226" s="141">
        <f>IFERROR(__xludf.DUMMYFUNCTION("""COMPUTED_VALUE"""),67.44)</f>
        <v/>
      </c>
      <c r="E226" s="141">
        <f>IFERROR(__xludf.DUMMYFUNCTION("""COMPUTED_VALUE"""),66.27)</f>
        <v/>
      </c>
      <c r="F226" s="141">
        <f>IFERROR(__xludf.DUMMYFUNCTION("""COMPUTED_VALUE"""),67.21)</f>
        <v/>
      </c>
      <c r="G226" s="143">
        <f>IFERROR(__xludf.DUMMYFUNCTION("""COMPUTED_VALUE"""),26065354)</f>
        <v/>
      </c>
      <c r="H226" s="27" t="n"/>
    </row>
    <row r="227" ht="17.25" customHeight="1" s="322">
      <c r="A227" s="27" t="n"/>
      <c r="B227" s="506">
        <f>IFERROR(__xludf.DUMMYFUNCTION("""COMPUTED_VALUE"""),46156.6666666666)</f>
        <v/>
      </c>
      <c r="C227" s="141">
        <f>IFERROR(__xludf.DUMMYFUNCTION("""COMPUTED_VALUE"""),66.95)</f>
        <v/>
      </c>
      <c r="D227" s="141">
        <f>IFERROR(__xludf.DUMMYFUNCTION("""COMPUTED_VALUE"""),67.52)</f>
        <v/>
      </c>
      <c r="E227" s="141">
        <f>IFERROR(__xludf.DUMMYFUNCTION("""COMPUTED_VALUE"""),66.83)</f>
        <v/>
      </c>
      <c r="F227" s="141">
        <f>IFERROR(__xludf.DUMMYFUNCTION("""COMPUTED_VALUE"""),67.38)</f>
        <v/>
      </c>
      <c r="G227" s="143">
        <f>IFERROR(__xludf.DUMMYFUNCTION("""COMPUTED_VALUE"""),21184438)</f>
        <v/>
      </c>
      <c r="H227" s="27" t="n"/>
    </row>
    <row r="228" ht="17.25" customHeight="1" s="322">
      <c r="A228" s="27" t="n"/>
      <c r="B228" s="506">
        <f>IFERROR(__xludf.DUMMYFUNCTION("""COMPUTED_VALUE"""),46157.6666666666)</f>
        <v/>
      </c>
      <c r="C228" s="141">
        <f>IFERROR(__xludf.DUMMYFUNCTION("""COMPUTED_VALUE"""),65.23)</f>
        <v/>
      </c>
      <c r="D228" s="141">
        <f>IFERROR(__xludf.DUMMYFUNCTION("""COMPUTED_VALUE"""),65.47)</f>
        <v/>
      </c>
      <c r="E228" s="141">
        <f>IFERROR(__xludf.DUMMYFUNCTION("""COMPUTED_VALUE"""),64.72)</f>
        <v/>
      </c>
      <c r="F228" s="141">
        <f>IFERROR(__xludf.DUMMYFUNCTION("""COMPUTED_VALUE"""),65.07)</f>
        <v/>
      </c>
      <c r="G228" s="143">
        <f>IFERROR(__xludf.DUMMYFUNCTION("""COMPUTED_VALUE"""),34830879)</f>
        <v/>
      </c>
      <c r="H228" s="27" t="n"/>
    </row>
    <row r="229" ht="17.25" customHeight="1" s="322">
      <c r="A229" s="27" t="n"/>
      <c r="B229" s="506">
        <f>IFERROR(__xludf.DUMMYFUNCTION("""COMPUTED_VALUE"""),46160.6666666666)</f>
        <v/>
      </c>
      <c r="C229" s="141">
        <f>IFERROR(__xludf.DUMMYFUNCTION("""COMPUTED_VALUE"""),65.66)</f>
        <v/>
      </c>
      <c r="D229" s="141">
        <f>IFERROR(__xludf.DUMMYFUNCTION("""COMPUTED_VALUE"""),65.76)</f>
        <v/>
      </c>
      <c r="E229" s="141">
        <f>IFERROR(__xludf.DUMMYFUNCTION("""COMPUTED_VALUE"""),64.38)</f>
        <v/>
      </c>
      <c r="F229" s="141">
        <f>IFERROR(__xludf.DUMMYFUNCTION("""COMPUTED_VALUE"""),64.97)</f>
        <v/>
      </c>
      <c r="G229" s="143">
        <f>IFERROR(__xludf.DUMMYFUNCTION("""COMPUTED_VALUE"""),37739831)</f>
        <v/>
      </c>
      <c r="H229" s="27" t="n"/>
    </row>
    <row r="230" ht="17.25" customHeight="1" s="322">
      <c r="A230" s="27" t="n"/>
      <c r="B230" s="506">
        <f>IFERROR(__xludf.DUMMYFUNCTION("""COMPUTED_VALUE"""),46161.6666666666)</f>
        <v/>
      </c>
      <c r="C230" s="141">
        <f>IFERROR(__xludf.DUMMYFUNCTION("""COMPUTED_VALUE"""),63.62)</f>
        <v/>
      </c>
      <c r="D230" s="141">
        <f>IFERROR(__xludf.DUMMYFUNCTION("""COMPUTED_VALUE"""),64.85)</f>
        <v/>
      </c>
      <c r="E230" s="141">
        <f>IFERROR(__xludf.DUMMYFUNCTION("""COMPUTED_VALUE"""),63.48)</f>
        <v/>
      </c>
      <c r="F230" s="141">
        <f>IFERROR(__xludf.DUMMYFUNCTION("""COMPUTED_VALUE"""),64.26)</f>
        <v/>
      </c>
      <c r="G230" s="143">
        <f>IFERROR(__xludf.DUMMYFUNCTION("""COMPUTED_VALUE"""),37009420)</f>
        <v/>
      </c>
      <c r="H230" s="27" t="n"/>
    </row>
    <row r="231" ht="17.25" customHeight="1" s="322">
      <c r="A231" s="27" t="n"/>
      <c r="B231" s="506">
        <f>IFERROR(__xludf.DUMMYFUNCTION("""COMPUTED_VALUE"""),46162.6666666666)</f>
        <v/>
      </c>
      <c r="C231" s="141">
        <f>IFERROR(__xludf.DUMMYFUNCTION("""COMPUTED_VALUE"""),64.63)</f>
        <v/>
      </c>
      <c r="D231" s="141">
        <f>IFERROR(__xludf.DUMMYFUNCTION("""COMPUTED_VALUE"""),65.56)</f>
        <v/>
      </c>
      <c r="E231" s="141">
        <f>IFERROR(__xludf.DUMMYFUNCTION("""COMPUTED_VALUE"""),64.4)</f>
        <v/>
      </c>
      <c r="F231" s="141">
        <f>IFERROR(__xludf.DUMMYFUNCTION("""COMPUTED_VALUE"""),65.46)</f>
        <v/>
      </c>
      <c r="G231" s="143">
        <f>IFERROR(__xludf.DUMMYFUNCTION("""COMPUTED_VALUE"""),32484717)</f>
        <v/>
      </c>
      <c r="H231" s="27" t="n"/>
    </row>
    <row r="232" ht="17.25" customHeight="1" s="322">
      <c r="A232" s="27" t="n"/>
      <c r="B232" s="506">
        <f>IFERROR(__xludf.DUMMYFUNCTION("""COMPUTED_VALUE"""),46163.6666666666)</f>
        <v/>
      </c>
      <c r="C232" s="141">
        <f>IFERROR(__xludf.DUMMYFUNCTION("""COMPUTED_VALUE"""),65.23)</f>
        <v/>
      </c>
      <c r="D232" s="141">
        <f>IFERROR(__xludf.DUMMYFUNCTION("""COMPUTED_VALUE"""),66.35)</f>
        <v/>
      </c>
      <c r="E232" s="141">
        <f>IFERROR(__xludf.DUMMYFUNCTION("""COMPUTED_VALUE"""),65.05)</f>
        <v/>
      </c>
      <c r="F232" s="141">
        <f>IFERROR(__xludf.DUMMYFUNCTION("""COMPUTED_VALUE"""),66.03)</f>
        <v/>
      </c>
      <c r="G232" s="143">
        <f>IFERROR(__xludf.DUMMYFUNCTION("""COMPUTED_VALUE"""),28726486)</f>
        <v/>
      </c>
      <c r="H232" s="27" t="n"/>
    </row>
    <row r="233" ht="17.25" customHeight="1" s="322">
      <c r="A233" s="27" t="n"/>
      <c r="B233" s="506">
        <f>IFERROR(__xludf.DUMMYFUNCTION("""COMPUTED_VALUE"""),46164.6666666666)</f>
        <v/>
      </c>
      <c r="C233" s="141">
        <f>IFERROR(__xludf.DUMMYFUNCTION("""COMPUTED_VALUE"""),66)</f>
        <v/>
      </c>
      <c r="D233" s="141">
        <f>IFERROR(__xludf.DUMMYFUNCTION("""COMPUTED_VALUE"""),66.39)</f>
        <v/>
      </c>
      <c r="E233" s="141">
        <f>IFERROR(__xludf.DUMMYFUNCTION("""COMPUTED_VALUE"""),65.74)</f>
        <v/>
      </c>
      <c r="F233" s="141">
        <f>IFERROR(__xludf.DUMMYFUNCTION("""COMPUTED_VALUE"""),65.88)</f>
        <v/>
      </c>
      <c r="G233" s="143">
        <f>IFERROR(__xludf.DUMMYFUNCTION("""COMPUTED_VALUE"""),30850969)</f>
        <v/>
      </c>
      <c r="H233" s="27" t="n"/>
    </row>
    <row r="234" ht="17.25" customHeight="1" s="322">
      <c r="A234" s="27" t="n"/>
      <c r="B234" s="506">
        <f>IFERROR(__xludf.DUMMYFUNCTION("""COMPUTED_VALUE"""),46168.6666666666)</f>
        <v/>
      </c>
      <c r="C234" s="141">
        <f>IFERROR(__xludf.DUMMYFUNCTION("""COMPUTED_VALUE"""),67.72)</f>
        <v/>
      </c>
      <c r="D234" s="141">
        <f>IFERROR(__xludf.DUMMYFUNCTION("""COMPUTED_VALUE"""),68.5)</f>
        <v/>
      </c>
      <c r="E234" s="141">
        <f>IFERROR(__xludf.DUMMYFUNCTION("""COMPUTED_VALUE"""),67.69)</f>
        <v/>
      </c>
      <c r="F234" s="141">
        <f>IFERROR(__xludf.DUMMYFUNCTION("""COMPUTED_VALUE"""),68.4)</f>
        <v/>
      </c>
      <c r="G234" s="143">
        <f>IFERROR(__xludf.DUMMYFUNCTION("""COMPUTED_VALUE"""),25457012)</f>
        <v/>
      </c>
      <c r="H234" s="27" t="n"/>
    </row>
    <row r="235" ht="17.25" customHeight="1" s="322">
      <c r="A235" s="27" t="n"/>
      <c r="B235" s="506">
        <f>IFERROR(__xludf.DUMMYFUNCTION("""COMPUTED_VALUE"""),46169.6666666666)</f>
        <v/>
      </c>
      <c r="C235" s="141">
        <f>IFERROR(__xludf.DUMMYFUNCTION("""COMPUTED_VALUE"""),68.76)</f>
        <v/>
      </c>
      <c r="D235" s="141">
        <f>IFERROR(__xludf.DUMMYFUNCTION("""COMPUTED_VALUE"""),68.96)</f>
        <v/>
      </c>
      <c r="E235" s="141">
        <f>IFERROR(__xludf.DUMMYFUNCTION("""COMPUTED_VALUE"""),67.94)</f>
        <v/>
      </c>
      <c r="F235" s="141">
        <f>IFERROR(__xludf.DUMMYFUNCTION("""COMPUTED_VALUE"""),68.39)</f>
        <v/>
      </c>
      <c r="G235" s="143">
        <f>IFERROR(__xludf.DUMMYFUNCTION("""COMPUTED_VALUE"""),31992372)</f>
        <v/>
      </c>
      <c r="H235" s="27" t="n"/>
    </row>
    <row r="236" ht="17.25" customHeight="1" s="322">
      <c r="A236" s="27" t="n"/>
      <c r="B236" s="506">
        <f>IFERROR(__xludf.DUMMYFUNCTION("""COMPUTED_VALUE"""),46170.6666666666)</f>
        <v/>
      </c>
      <c r="C236" s="141">
        <f>IFERROR(__xludf.DUMMYFUNCTION("""COMPUTED_VALUE"""),67.65)</f>
        <v/>
      </c>
      <c r="D236" s="141">
        <f>IFERROR(__xludf.DUMMYFUNCTION("""COMPUTED_VALUE"""),68.77)</f>
        <v/>
      </c>
      <c r="E236" s="141">
        <f>IFERROR(__xludf.DUMMYFUNCTION("""COMPUTED_VALUE"""),67.43)</f>
        <v/>
      </c>
      <c r="F236" s="141">
        <f>IFERROR(__xludf.DUMMYFUNCTION("""COMPUTED_VALUE"""),68.61)</f>
        <v/>
      </c>
      <c r="G236" s="143">
        <f>IFERROR(__xludf.DUMMYFUNCTION("""COMPUTED_VALUE"""),33063296)</f>
        <v/>
      </c>
      <c r="H236" s="27" t="n"/>
    </row>
    <row r="237" ht="17.25" customHeight="1" s="322">
      <c r="A237" s="27" t="n"/>
      <c r="B237" s="506">
        <f>IFERROR(__xludf.DUMMYFUNCTION("""COMPUTED_VALUE"""),46171.6666666666)</f>
        <v/>
      </c>
      <c r="C237" s="141">
        <f>IFERROR(__xludf.DUMMYFUNCTION("""COMPUTED_VALUE"""),68.93)</f>
        <v/>
      </c>
      <c r="D237" s="141">
        <f>IFERROR(__xludf.DUMMYFUNCTION("""COMPUTED_VALUE"""),69.11)</f>
        <v/>
      </c>
      <c r="E237" s="141">
        <f>IFERROR(__xludf.DUMMYFUNCTION("""COMPUTED_VALUE"""),68.5)</f>
        <v/>
      </c>
      <c r="F237" s="141">
        <f>IFERROR(__xludf.DUMMYFUNCTION("""COMPUTED_VALUE"""),68.6)</f>
        <v/>
      </c>
      <c r="G237" s="143">
        <f>IFERROR(__xludf.DUMMYFUNCTION("""COMPUTED_VALUE"""),32143085)</f>
        <v/>
      </c>
      <c r="H237" s="27" t="n"/>
    </row>
    <row r="238" ht="17.25" customHeight="1" s="322">
      <c r="A238" s="27" t="n"/>
      <c r="B238" s="506">
        <f>IFERROR(__xludf.DUMMYFUNCTION("""COMPUTED_VALUE"""),46174.6666666666)</f>
        <v/>
      </c>
      <c r="C238" s="141">
        <f>IFERROR(__xludf.DUMMYFUNCTION("""COMPUTED_VALUE"""),69.38)</f>
        <v/>
      </c>
      <c r="D238" s="141">
        <f>IFERROR(__xludf.DUMMYFUNCTION("""COMPUTED_VALUE"""),70.51)</f>
        <v/>
      </c>
      <c r="E238" s="141">
        <f>IFERROR(__xludf.DUMMYFUNCTION("""COMPUTED_VALUE"""),69.13)</f>
        <v/>
      </c>
      <c r="F238" s="141">
        <f>IFERROR(__xludf.DUMMYFUNCTION("""COMPUTED_VALUE"""),70.08)</f>
        <v/>
      </c>
      <c r="G238" s="143">
        <f>IFERROR(__xludf.DUMMYFUNCTION("""COMPUTED_VALUE"""),31731104)</f>
        <v/>
      </c>
      <c r="H238" s="27" t="n"/>
    </row>
    <row r="239" ht="17.25" customHeight="1" s="322">
      <c r="A239" s="27" t="n"/>
      <c r="B239" s="506">
        <f>IFERROR(__xludf.DUMMYFUNCTION("""COMPUTED_VALUE"""),46175.6666666666)</f>
        <v/>
      </c>
      <c r="C239" s="141">
        <f>IFERROR(__xludf.DUMMYFUNCTION("""COMPUTED_VALUE"""),70.29)</f>
        <v/>
      </c>
      <c r="D239" s="141">
        <f>IFERROR(__xludf.DUMMYFUNCTION("""COMPUTED_VALUE"""),70.86)</f>
        <v/>
      </c>
      <c r="E239" s="141">
        <f>IFERROR(__xludf.DUMMYFUNCTION("""COMPUTED_VALUE"""),70.06)</f>
        <v/>
      </c>
      <c r="F239" s="141">
        <f>IFERROR(__xludf.DUMMYFUNCTION("""COMPUTED_VALUE"""),70.8)</f>
        <v/>
      </c>
      <c r="G239" s="143">
        <f>IFERROR(__xludf.DUMMYFUNCTION("""COMPUTED_VALUE"""),16577427)</f>
        <v/>
      </c>
      <c r="H239" s="27" t="n"/>
    </row>
    <row r="240" ht="17.25" customHeight="1" s="322">
      <c r="A240" s="27" t="n"/>
      <c r="B240" s="506">
        <f>IFERROR(__xludf.DUMMYFUNCTION("""COMPUTED_VALUE"""),46176.6666666666)</f>
        <v/>
      </c>
      <c r="C240" s="141">
        <f>IFERROR(__xludf.DUMMYFUNCTION("""COMPUTED_VALUE"""),70.41)</f>
        <v/>
      </c>
      <c r="D240" s="141">
        <f>IFERROR(__xludf.DUMMYFUNCTION("""COMPUTED_VALUE"""),70.47)</f>
        <v/>
      </c>
      <c r="E240" s="141">
        <f>IFERROR(__xludf.DUMMYFUNCTION("""COMPUTED_VALUE"""),69.56)</f>
        <v/>
      </c>
      <c r="F240" s="141">
        <f>IFERROR(__xludf.DUMMYFUNCTION("""COMPUTED_VALUE"""),69.92)</f>
        <v/>
      </c>
      <c r="G240" s="143">
        <f>IFERROR(__xludf.DUMMYFUNCTION("""COMPUTED_VALUE"""),22147085)</f>
        <v/>
      </c>
      <c r="H240" s="27" t="n"/>
    </row>
    <row r="241" ht="17.25" customHeight="1" s="322">
      <c r="A241" s="27" t="n"/>
      <c r="B241" s="506">
        <f>IFERROR(__xludf.DUMMYFUNCTION("""COMPUTED_VALUE"""),46177.6666666666)</f>
        <v/>
      </c>
      <c r="C241" s="141">
        <f>IFERROR(__xludf.DUMMYFUNCTION("""COMPUTED_VALUE"""),68.52)</f>
        <v/>
      </c>
      <c r="D241" s="141">
        <f>IFERROR(__xludf.DUMMYFUNCTION("""COMPUTED_VALUE"""),69.29)</f>
        <v/>
      </c>
      <c r="E241" s="141">
        <f>IFERROR(__xludf.DUMMYFUNCTION("""COMPUTED_VALUE"""),68.08)</f>
        <v/>
      </c>
      <c r="F241" s="141">
        <f>IFERROR(__xludf.DUMMYFUNCTION("""COMPUTED_VALUE"""),69.1)</f>
        <v/>
      </c>
      <c r="G241" s="143">
        <f>IFERROR(__xludf.DUMMYFUNCTION("""COMPUTED_VALUE"""),21260298)</f>
        <v/>
      </c>
      <c r="H241" s="27" t="n"/>
    </row>
    <row r="242" ht="17.25" customHeight="1" s="322">
      <c r="A242" s="27" t="n"/>
      <c r="B242" s="506">
        <f>IFERROR(__xludf.DUMMYFUNCTION("""COMPUTED_VALUE"""),46178.6666666666)</f>
        <v/>
      </c>
      <c r="C242" s="141">
        <f>IFERROR(__xludf.DUMMYFUNCTION("""COMPUTED_VALUE"""),66.73)</f>
        <v/>
      </c>
      <c r="D242" s="141">
        <f>IFERROR(__xludf.DUMMYFUNCTION("""COMPUTED_VALUE"""),66.89)</f>
        <v/>
      </c>
      <c r="E242" s="141">
        <f>IFERROR(__xludf.DUMMYFUNCTION("""COMPUTED_VALUE"""),64.36)</f>
        <v/>
      </c>
      <c r="F242" s="141">
        <f>IFERROR(__xludf.DUMMYFUNCTION("""COMPUTED_VALUE"""),64.59)</f>
        <v/>
      </c>
      <c r="G242" s="143">
        <f>IFERROR(__xludf.DUMMYFUNCTION("""COMPUTED_VALUE"""),56184498)</f>
        <v/>
      </c>
      <c r="H242" s="27" t="n"/>
    </row>
    <row r="243" ht="17.25" customHeight="1" s="322">
      <c r="A243" s="27" t="n"/>
      <c r="B243" s="506">
        <f>IFERROR(__xludf.DUMMYFUNCTION("""COMPUTED_VALUE"""),46181.6666666666)</f>
        <v/>
      </c>
      <c r="C243" s="141">
        <f>IFERROR(__xludf.DUMMYFUNCTION("""COMPUTED_VALUE"""),66.07)</f>
        <v/>
      </c>
      <c r="D243" s="141">
        <f>IFERROR(__xludf.DUMMYFUNCTION("""COMPUTED_VALUE"""),66.37)</f>
        <v/>
      </c>
      <c r="E243" s="141">
        <f>IFERROR(__xludf.DUMMYFUNCTION("""COMPUTED_VALUE"""),65.59)</f>
        <v/>
      </c>
      <c r="F243" s="141">
        <f>IFERROR(__xludf.DUMMYFUNCTION("""COMPUTED_VALUE"""),65.75)</f>
        <v/>
      </c>
      <c r="G243" s="143">
        <f>IFERROR(__xludf.DUMMYFUNCTION("""COMPUTED_VALUE"""),29088374)</f>
        <v/>
      </c>
      <c r="H243" s="27" t="n"/>
    </row>
    <row r="244" ht="17.25" customHeight="1" s="322">
      <c r="A244" s="27" t="n"/>
      <c r="B244" s="506">
        <f>IFERROR(__xludf.DUMMYFUNCTION("""COMPUTED_VALUE"""),46182.6666666666)</f>
        <v/>
      </c>
      <c r="C244" s="141">
        <f>IFERROR(__xludf.DUMMYFUNCTION("""COMPUTED_VALUE"""),67.21)</f>
        <v/>
      </c>
      <c r="D244" s="141">
        <f>IFERROR(__xludf.DUMMYFUNCTION("""COMPUTED_VALUE"""),67.46)</f>
        <v/>
      </c>
      <c r="E244" s="141">
        <f>IFERROR(__xludf.DUMMYFUNCTION("""COMPUTED_VALUE"""),64.07)</f>
        <v/>
      </c>
      <c r="F244" s="141">
        <f>IFERROR(__xludf.DUMMYFUNCTION("""COMPUTED_VALUE"""),65.82)</f>
        <v/>
      </c>
      <c r="G244" s="143">
        <f>IFERROR(__xludf.DUMMYFUNCTION("""COMPUTED_VALUE"""),42106665)</f>
        <v/>
      </c>
      <c r="H244" s="27" t="n"/>
    </row>
    <row r="245" ht="17.25" customHeight="1" s="322">
      <c r="A245" s="27" t="n"/>
      <c r="B245" s="506">
        <f>IFERROR(__xludf.DUMMYFUNCTION("""COMPUTED_VALUE"""),46183.6666666666)</f>
        <v/>
      </c>
      <c r="C245" s="141">
        <f>IFERROR(__xludf.DUMMYFUNCTION("""COMPUTED_VALUE"""),65.31)</f>
        <v/>
      </c>
      <c r="D245" s="141">
        <f>IFERROR(__xludf.DUMMYFUNCTION("""COMPUTED_VALUE"""),66.28)</f>
        <v/>
      </c>
      <c r="E245" s="141">
        <f>IFERROR(__xludf.DUMMYFUNCTION("""COMPUTED_VALUE"""),64.58)</f>
        <v/>
      </c>
      <c r="F245" s="141">
        <f>IFERROR(__xludf.DUMMYFUNCTION("""COMPUTED_VALUE"""),64.66)</f>
        <v/>
      </c>
      <c r="G245" s="143">
        <f>IFERROR(__xludf.DUMMYFUNCTION("""COMPUTED_VALUE"""),37541930)</f>
        <v/>
      </c>
      <c r="H245" s="27" t="n"/>
    </row>
    <row r="246" ht="17.25" customHeight="1" s="322">
      <c r="A246" s="27" t="n"/>
      <c r="B246" s="506">
        <f>IFERROR(__xludf.DUMMYFUNCTION("""COMPUTED_VALUE"""),46184.6666666666)</f>
        <v/>
      </c>
      <c r="C246" s="141">
        <f>IFERROR(__xludf.DUMMYFUNCTION("""COMPUTED_VALUE"""),65.27)</f>
        <v/>
      </c>
      <c r="D246" s="141">
        <f>IFERROR(__xludf.DUMMYFUNCTION("""COMPUTED_VALUE"""),67.6)</f>
        <v/>
      </c>
      <c r="E246" s="141">
        <f>IFERROR(__xludf.DUMMYFUNCTION("""COMPUTED_VALUE"""),65.18)</f>
        <v/>
      </c>
      <c r="F246" s="141">
        <f>IFERROR(__xludf.DUMMYFUNCTION("""COMPUTED_VALUE"""),67.5)</f>
        <v/>
      </c>
      <c r="G246" s="143">
        <f>IFERROR(__xludf.DUMMYFUNCTION("""COMPUTED_VALUE"""),41505658)</f>
        <v/>
      </c>
      <c r="H246" s="27" t="n"/>
    </row>
    <row r="247" ht="17.25" customHeight="1" s="322">
      <c r="A247" s="27" t="n"/>
      <c r="B247" s="506">
        <f>IFERROR(__xludf.DUMMYFUNCTION("""COMPUTED_VALUE"""),46185.6666666666)</f>
        <v/>
      </c>
      <c r="C247" s="141">
        <f>IFERROR(__xludf.DUMMYFUNCTION("""COMPUTED_VALUE"""),67.53)</f>
        <v/>
      </c>
      <c r="D247" s="141">
        <f>IFERROR(__xludf.DUMMYFUNCTION("""COMPUTED_VALUE"""),68.2)</f>
        <v/>
      </c>
      <c r="E247" s="141">
        <f>IFERROR(__xludf.DUMMYFUNCTION("""COMPUTED_VALUE"""),67.08)</f>
        <v/>
      </c>
      <c r="F247" s="141">
        <f>IFERROR(__xludf.DUMMYFUNCTION("""COMPUTED_VALUE"""),67.88)</f>
        <v/>
      </c>
      <c r="G247" s="143">
        <f>IFERROR(__xludf.DUMMYFUNCTION("""COMPUTED_VALUE"""),39782751)</f>
        <v/>
      </c>
      <c r="H247" s="27" t="n"/>
    </row>
    <row r="248" ht="17.25" customHeight="1" s="322">
      <c r="A248" s="27" t="n"/>
      <c r="B248" s="506">
        <f>IFERROR(__xludf.DUMMYFUNCTION("""COMPUTED_VALUE"""),46188.6666666666)</f>
        <v/>
      </c>
      <c r="C248" s="141">
        <f>IFERROR(__xludf.DUMMYFUNCTION("""COMPUTED_VALUE"""),69.61)</f>
        <v/>
      </c>
      <c r="D248" s="141">
        <f>IFERROR(__xludf.DUMMYFUNCTION("""COMPUTED_VALUE"""),69.88)</f>
        <v/>
      </c>
      <c r="E248" s="141">
        <f>IFERROR(__xludf.DUMMYFUNCTION("""COMPUTED_VALUE"""),69.38)</f>
        <v/>
      </c>
      <c r="F248" s="141">
        <f>IFERROR(__xludf.DUMMYFUNCTION("""COMPUTED_VALUE"""),69.75)</f>
        <v/>
      </c>
      <c r="G248" s="143">
        <f>IFERROR(__xludf.DUMMYFUNCTION("""COMPUTED_VALUE"""),37751515)</f>
        <v/>
      </c>
      <c r="H248" s="27" t="n"/>
    </row>
    <row r="249" ht="17.25" customHeight="1" s="322">
      <c r="A249" s="27" t="n"/>
      <c r="B249" s="506">
        <f>IFERROR(__xludf.DUMMYFUNCTION("""COMPUTED_VALUE"""),46189.6666666666)</f>
        <v/>
      </c>
      <c r="C249" s="141">
        <f>IFERROR(__xludf.DUMMYFUNCTION("""COMPUTED_VALUE"""),69.33)</f>
        <v/>
      </c>
      <c r="D249" s="141">
        <f>IFERROR(__xludf.DUMMYFUNCTION("""COMPUTED_VALUE"""),69.74)</f>
        <v/>
      </c>
      <c r="E249" s="141">
        <f>IFERROR(__xludf.DUMMYFUNCTION("""COMPUTED_VALUE"""),68.58)</f>
        <v/>
      </c>
      <c r="F249" s="141">
        <f>IFERROR(__xludf.DUMMYFUNCTION("""COMPUTED_VALUE"""),68.64)</f>
        <v/>
      </c>
      <c r="G249" s="143">
        <f>IFERROR(__xludf.DUMMYFUNCTION("""COMPUTED_VALUE"""),31283482)</f>
        <v/>
      </c>
      <c r="H249" s="27" t="n"/>
    </row>
    <row r="250" ht="17.25" customHeight="1" s="322">
      <c r="A250" s="27" t="n"/>
      <c r="B250" s="506">
        <f>IFERROR(__xludf.DUMMYFUNCTION("""COMPUTED_VALUE"""),46190.6666666666)</f>
        <v/>
      </c>
      <c r="C250" s="141">
        <f>IFERROR(__xludf.DUMMYFUNCTION("""COMPUTED_VALUE"""),69.57)</f>
        <v/>
      </c>
      <c r="D250" s="141">
        <f>IFERROR(__xludf.DUMMYFUNCTION("""COMPUTED_VALUE"""),70.08)</f>
        <v/>
      </c>
      <c r="E250" s="141">
        <f>IFERROR(__xludf.DUMMYFUNCTION("""COMPUTED_VALUE"""),68.41)</f>
        <v/>
      </c>
      <c r="F250" s="141">
        <f>IFERROR(__xludf.DUMMYFUNCTION("""COMPUTED_VALUE"""),68.56)</f>
        <v/>
      </c>
      <c r="G250" s="143">
        <f>IFERROR(__xludf.DUMMYFUNCTION("""COMPUTED_VALUE"""),36131294)</f>
        <v/>
      </c>
      <c r="H250" s="27" t="n"/>
    </row>
    <row r="251" ht="17.25" customHeight="1" s="322">
      <c r="A251" s="27" t="n"/>
      <c r="B251" s="506">
        <f>IFERROR(__xludf.DUMMYFUNCTION("""COMPUTED_VALUE"""),46191.6666666666)</f>
        <v/>
      </c>
      <c r="C251" s="141">
        <f>IFERROR(__xludf.DUMMYFUNCTION("""COMPUTED_VALUE"""),70.18)</f>
        <v/>
      </c>
      <c r="D251" s="141">
        <f>IFERROR(__xludf.DUMMYFUNCTION("""COMPUTED_VALUE"""),70.92)</f>
        <v/>
      </c>
      <c r="E251" s="141">
        <f>IFERROR(__xludf.DUMMYFUNCTION("""COMPUTED_VALUE"""),70.15)</f>
        <v/>
      </c>
      <c r="F251" s="141">
        <f>IFERROR(__xludf.DUMMYFUNCTION("""COMPUTED_VALUE"""),70.79)</f>
        <v/>
      </c>
      <c r="G251" s="143">
        <f>IFERROR(__xludf.DUMMYFUNCTION("""COMPUTED_VALUE"""),49998097)</f>
        <v/>
      </c>
      <c r="H251" s="27" t="n"/>
    </row>
    <row r="252" ht="17.25" customHeight="1" s="322">
      <c r="A252" s="27" t="n"/>
      <c r="B252" s="506">
        <f>IFERROR(__xludf.DUMMYFUNCTION("""COMPUTED_VALUE"""),46195.6666666666)</f>
        <v/>
      </c>
      <c r="C252" s="141">
        <f>IFERROR(__xludf.DUMMYFUNCTION("""COMPUTED_VALUE"""),71.29)</f>
        <v/>
      </c>
      <c r="D252" s="141">
        <f>IFERROR(__xludf.DUMMYFUNCTION("""COMPUTED_VALUE"""),71.57)</f>
        <v/>
      </c>
      <c r="E252" s="141">
        <f>IFERROR(__xludf.DUMMYFUNCTION("""COMPUTED_VALUE"""),70.99)</f>
        <v/>
      </c>
      <c r="F252" s="141">
        <f>IFERROR(__xludf.DUMMYFUNCTION("""COMPUTED_VALUE"""),71.21)</f>
        <v/>
      </c>
      <c r="G252" s="143">
        <f>IFERROR(__xludf.DUMMYFUNCTION("""COMPUTED_VALUE"""),25302327)</f>
        <v/>
      </c>
      <c r="H252" s="27" t="n"/>
    </row>
    <row r="253" ht="17.25" customHeight="1" s="322">
      <c r="A253" s="27" t="n"/>
      <c r="B253" s="506">
        <f>IFERROR(__xludf.DUMMYFUNCTION("""COMPUTED_VALUE"""),46196.6666666666)</f>
        <v/>
      </c>
      <c r="C253" s="141">
        <f>IFERROR(__xludf.DUMMYFUNCTION("""COMPUTED_VALUE"""),67.25)</f>
        <v/>
      </c>
      <c r="D253" s="141">
        <f>IFERROR(__xludf.DUMMYFUNCTION("""COMPUTED_VALUE"""),68.23)</f>
        <v/>
      </c>
      <c r="E253" s="141">
        <f>IFERROR(__xludf.DUMMYFUNCTION("""COMPUTED_VALUE"""),67.07)</f>
        <v/>
      </c>
      <c r="F253" s="141">
        <f>IFERROR(__xludf.DUMMYFUNCTION("""COMPUTED_VALUE"""),67.17)</f>
        <v/>
      </c>
      <c r="G253" s="143">
        <f>IFERROR(__xludf.DUMMYFUNCTION("""COMPUTED_VALUE"""),39068999)</f>
        <v/>
      </c>
      <c r="H253" s="27" t="n"/>
    </row>
    <row r="254" ht="17.25" customHeight="1" s="322">
      <c r="A254" s="27" t="n"/>
      <c r="B254" s="506">
        <f>IFERROR(__xludf.DUMMYFUNCTION("""COMPUTED_VALUE"""),46197.6666666666)</f>
        <v/>
      </c>
      <c r="C254" s="141">
        <f>IFERROR(__xludf.DUMMYFUNCTION("""COMPUTED_VALUE"""),67.38)</f>
        <v/>
      </c>
      <c r="D254" s="141">
        <f>IFERROR(__xludf.DUMMYFUNCTION("""COMPUTED_VALUE"""),67.61)</f>
        <v/>
      </c>
      <c r="E254" s="141">
        <f>IFERROR(__xludf.DUMMYFUNCTION("""COMPUTED_VALUE"""),66.6)</f>
        <v/>
      </c>
      <c r="F254" s="141">
        <f>IFERROR(__xludf.DUMMYFUNCTION("""COMPUTED_VALUE"""),67.25)</f>
        <v/>
      </c>
      <c r="G254" s="143">
        <f>IFERROR(__xludf.DUMMYFUNCTION("""COMPUTED_VALUE"""),22973259)</f>
        <v/>
      </c>
      <c r="H254" s="27" t="n"/>
    </row>
    <row r="255" ht="17.25" customHeight="1" s="322">
      <c r="A255" s="27" t="n"/>
      <c r="B255" s="506">
        <f>IFERROR(__xludf.DUMMYFUNCTION("""COMPUTED_VALUE"""),46198.6666666666)</f>
        <v/>
      </c>
      <c r="C255" s="141">
        <f>IFERROR(__xludf.DUMMYFUNCTION("""COMPUTED_VALUE"""),68.91)</f>
        <v/>
      </c>
      <c r="D255" s="141">
        <f>IFERROR(__xludf.DUMMYFUNCTION("""COMPUTED_VALUE"""),68.99)</f>
        <v/>
      </c>
      <c r="E255" s="141">
        <f>IFERROR(__xludf.DUMMYFUNCTION("""COMPUTED_VALUE"""),67.27)</f>
        <v/>
      </c>
      <c r="F255" s="141">
        <f>IFERROR(__xludf.DUMMYFUNCTION("""COMPUTED_VALUE"""),67.96)</f>
        <v/>
      </c>
      <c r="G255" s="143">
        <f>IFERROR(__xludf.DUMMYFUNCTION("""COMPUTED_VALUE"""),24479776)</f>
        <v/>
      </c>
      <c r="H255" s="27" t="n"/>
    </row>
    <row r="256" ht="17.25" customHeight="1" s="322">
      <c r="A256" s="27" t="n"/>
      <c r="B256" s="506">
        <f>IFERROR(__xludf.DUMMYFUNCTION("""COMPUTED_VALUE"""),46199.6666666666)</f>
        <v/>
      </c>
      <c r="C256" s="141">
        <f>IFERROR(__xludf.DUMMYFUNCTION("""COMPUTED_VALUE"""),66.34)</f>
        <v/>
      </c>
      <c r="D256" s="141">
        <f>IFERROR(__xludf.DUMMYFUNCTION("""COMPUTED_VALUE"""),67.72)</f>
        <v/>
      </c>
      <c r="E256" s="141">
        <f>IFERROR(__xludf.DUMMYFUNCTION("""COMPUTED_VALUE"""),66.27)</f>
        <v/>
      </c>
      <c r="F256" s="141">
        <f>IFERROR(__xludf.DUMMYFUNCTION("""COMPUTED_VALUE"""),67.19)</f>
        <v/>
      </c>
      <c r="G256" s="143">
        <f>IFERROR(__xludf.DUMMYFUNCTION("""COMPUTED_VALUE"""),24158895)</f>
        <v/>
      </c>
      <c r="H256" s="27" t="n"/>
    </row>
    <row r="257" ht="17.25" customHeight="1" s="322">
      <c r="A257" s="27" t="n"/>
      <c r="B257" s="506">
        <f>IFERROR(__xludf.DUMMYFUNCTION("""COMPUTED_VALUE"""),46202.6666666666)</f>
        <v/>
      </c>
      <c r="C257" s="141">
        <f>IFERROR(__xludf.DUMMYFUNCTION("""COMPUTED_VALUE"""),66.99)</f>
        <v/>
      </c>
      <c r="D257" s="141">
        <f>IFERROR(__xludf.DUMMYFUNCTION("""COMPUTED_VALUE"""),67.46)</f>
        <v/>
      </c>
      <c r="E257" s="141">
        <f>IFERROR(__xludf.DUMMYFUNCTION("""COMPUTED_VALUE"""),66)</f>
        <v/>
      </c>
      <c r="F257" s="141">
        <f>IFERROR(__xludf.DUMMYFUNCTION("""COMPUTED_VALUE"""),67.43)</f>
        <v/>
      </c>
      <c r="G257" s="143">
        <f>IFERROR(__xludf.DUMMYFUNCTION("""COMPUTED_VALUE"""),18609726)</f>
        <v/>
      </c>
      <c r="H257" s="27" t="n"/>
    </row>
    <row r="258" ht="17.25" customHeight="1" s="322">
      <c r="A258" s="27" t="n"/>
      <c r="B258" s="506">
        <f>IFERROR(__xludf.DUMMYFUNCTION("""COMPUTED_VALUE"""),46203.6666666666)</f>
        <v/>
      </c>
      <c r="C258" s="141">
        <f>IFERROR(__xludf.DUMMYFUNCTION("""COMPUTED_VALUE"""),67.59)</f>
        <v/>
      </c>
      <c r="D258" s="141">
        <f>IFERROR(__xludf.DUMMYFUNCTION("""COMPUTED_VALUE"""),68.5)</f>
        <v/>
      </c>
      <c r="E258" s="141">
        <f>IFERROR(__xludf.DUMMYFUNCTION("""COMPUTED_VALUE"""),67.48)</f>
        <v/>
      </c>
      <c r="F258" s="141">
        <f>IFERROR(__xludf.DUMMYFUNCTION("""COMPUTED_VALUE"""),68.41)</f>
        <v/>
      </c>
      <c r="G258" s="143">
        <f>IFERROR(__xludf.DUMMYFUNCTION("""COMPUTED_VALUE"""),20384263)</f>
        <v/>
      </c>
      <c r="H258" s="27" t="n"/>
    </row>
    <row r="259" ht="17.25" customHeight="1" s="322">
      <c r="A259" s="27" t="n"/>
      <c r="B259" s="506">
        <f>IFERROR(__xludf.DUMMYFUNCTION("""COMPUTED_VALUE"""),46204.6666666666)</f>
        <v/>
      </c>
      <c r="C259" s="141">
        <f>IFERROR(__xludf.DUMMYFUNCTION("""COMPUTED_VALUE"""),66.91)</f>
        <v/>
      </c>
      <c r="D259" s="141">
        <f>IFERROR(__xludf.DUMMYFUNCTION("""COMPUTED_VALUE"""),67.46)</f>
        <v/>
      </c>
      <c r="E259" s="141">
        <f>IFERROR(__xludf.DUMMYFUNCTION("""COMPUTED_VALUE"""),66.48)</f>
        <v/>
      </c>
      <c r="F259" s="141">
        <f>IFERROR(__xludf.DUMMYFUNCTION("""COMPUTED_VALUE"""),66.48)</f>
        <v/>
      </c>
      <c r="G259" s="143">
        <f>IFERROR(__xludf.DUMMYFUNCTION("""COMPUTED_VALUE"""),28146677)</f>
        <v/>
      </c>
      <c r="H259" s="27" t="n"/>
    </row>
    <row r="260" ht="17.25" customHeight="1" s="322">
      <c r="A260" s="27" t="n"/>
      <c r="B260" s="506">
        <f>IFERROR(__xludf.DUMMYFUNCTION("""COMPUTED_VALUE"""),46205.6666666666)</f>
        <v/>
      </c>
      <c r="C260" s="141">
        <f>IFERROR(__xludf.DUMMYFUNCTION("""COMPUTED_VALUE"""),66.53)</f>
        <v/>
      </c>
      <c r="D260" s="141">
        <f>IFERROR(__xludf.DUMMYFUNCTION("""COMPUTED_VALUE"""),67.19)</f>
        <v/>
      </c>
      <c r="E260" s="141">
        <f>IFERROR(__xludf.DUMMYFUNCTION("""COMPUTED_VALUE"""),64.8)</f>
        <v/>
      </c>
      <c r="F260" s="141">
        <f>IFERROR(__xludf.DUMMYFUNCTION("""COMPUTED_VALUE"""),65.7)</f>
        <v/>
      </c>
      <c r="G260" s="143">
        <f>IFERROR(__xludf.DUMMYFUNCTION("""COMPUTED_VALUE"""),34260828)</f>
        <v/>
      </c>
      <c r="H260" s="27" t="n"/>
    </row>
    <row r="261" ht="17.25" customHeight="1" s="322">
      <c r="A261" s="27" t="n"/>
      <c r="B261" s="506">
        <f>IFERROR(__xludf.DUMMYFUNCTION("""COMPUTED_VALUE"""),46209.6666666666)</f>
        <v/>
      </c>
      <c r="C261" s="141">
        <f>IFERROR(__xludf.DUMMYFUNCTION("""COMPUTED_VALUE"""),67.25)</f>
        <v/>
      </c>
      <c r="D261" s="141">
        <f>IFERROR(__xludf.DUMMYFUNCTION("""COMPUTED_VALUE"""),67.79)</f>
        <v/>
      </c>
      <c r="E261" s="141">
        <f>IFERROR(__xludf.DUMMYFUNCTION("""COMPUTED_VALUE"""),67.21)</f>
        <v/>
      </c>
      <c r="F261" s="141">
        <f>IFERROR(__xludf.DUMMYFUNCTION("""COMPUTED_VALUE"""),67.57)</f>
        <v/>
      </c>
      <c r="G261" s="143">
        <f>IFERROR(__xludf.DUMMYFUNCTION("""COMPUTED_VALUE"""),24039307)</f>
        <v/>
      </c>
      <c r="H261" s="27" t="n"/>
    </row>
    <row r="262" ht="17.25" customHeight="1" s="322">
      <c r="A262" s="27" t="n"/>
      <c r="B262" s="506">
        <f>IFERROR(__xludf.DUMMYFUNCTION("""COMPUTED_VALUE"""),46210.6666666666)</f>
        <v/>
      </c>
      <c r="C262" s="141">
        <f>IFERROR(__xludf.DUMMYFUNCTION("""COMPUTED_VALUE"""),65.99)</f>
        <v/>
      </c>
      <c r="D262" s="141">
        <f>IFERROR(__xludf.DUMMYFUNCTION("""COMPUTED_VALUE"""),66.33)</f>
        <v/>
      </c>
      <c r="E262" s="141">
        <f>IFERROR(__xludf.DUMMYFUNCTION("""COMPUTED_VALUE"""),65.26)</f>
        <v/>
      </c>
      <c r="F262" s="141">
        <f>IFERROR(__xludf.DUMMYFUNCTION("""COMPUTED_VALUE"""),65.72)</f>
        <v/>
      </c>
      <c r="G262" s="143">
        <f>IFERROR(__xludf.DUMMYFUNCTION("""COMPUTED_VALUE"""),26285125)</f>
        <v/>
      </c>
      <c r="H262" s="27" t="n"/>
    </row>
    <row r="263" ht="17.25" customHeight="1" s="322">
      <c r="A263" s="27" t="n"/>
      <c r="B263" s="506">
        <f>IFERROR(__xludf.DUMMYFUNCTION("""COMPUTED_VALUE"""),46211.6666666666)</f>
        <v/>
      </c>
      <c r="C263" s="141">
        <f>IFERROR(__xludf.DUMMYFUNCTION("""COMPUTED_VALUE"""),65.16)</f>
        <v/>
      </c>
      <c r="D263" s="141">
        <f>IFERROR(__xludf.DUMMYFUNCTION("""COMPUTED_VALUE"""),66.25)</f>
        <v/>
      </c>
      <c r="E263" s="141">
        <f>IFERROR(__xludf.DUMMYFUNCTION("""COMPUTED_VALUE"""),64.97)</f>
        <v/>
      </c>
      <c r="F263" s="141">
        <f>IFERROR(__xludf.DUMMYFUNCTION("""COMPUTED_VALUE"""),66.23)</f>
        <v/>
      </c>
      <c r="G263" s="143">
        <f>IFERROR(__xludf.DUMMYFUNCTION("""COMPUTED_VALUE"""),20723496)</f>
        <v/>
      </c>
      <c r="H263" s="27" t="n"/>
    </row>
    <row r="264" ht="17.25" customHeight="1" s="322">
      <c r="A264" s="27" t="n"/>
      <c r="B264" s="506">
        <f>IFERROR(__xludf.DUMMYFUNCTION("""COMPUTED_VALUE"""),46212.6666666666)</f>
        <v/>
      </c>
      <c r="C264" s="141">
        <f>IFERROR(__xludf.DUMMYFUNCTION("""COMPUTED_VALUE"""),66.57)</f>
        <v/>
      </c>
      <c r="D264" s="141">
        <f>IFERROR(__xludf.DUMMYFUNCTION("""COMPUTED_VALUE"""),66.96)</f>
        <v/>
      </c>
      <c r="E264" s="141">
        <f>IFERROR(__xludf.DUMMYFUNCTION("""COMPUTED_VALUE"""),66.36)</f>
        <v/>
      </c>
      <c r="F264" s="141">
        <f>IFERROR(__xludf.DUMMYFUNCTION("""COMPUTED_VALUE"""),66.78)</f>
        <v/>
      </c>
      <c r="G264" s="143">
        <f>IFERROR(__xludf.DUMMYFUNCTION("""COMPUTED_VALUE"""),19566804)</f>
        <v/>
      </c>
      <c r="H264" s="27" t="n"/>
    </row>
    <row r="265" ht="17.25" customHeight="1" s="322">
      <c r="A265" s="27" t="n"/>
      <c r="B265" s="506">
        <f>IFERROR(__xludf.DUMMYFUNCTION("""COMPUTED_VALUE"""),46213.6666666666)</f>
        <v/>
      </c>
      <c r="C265" s="141">
        <f>IFERROR(__xludf.DUMMYFUNCTION("""COMPUTED_VALUE"""),66.54)</f>
        <v/>
      </c>
      <c r="D265" s="141">
        <f>IFERROR(__xludf.DUMMYFUNCTION("""COMPUTED_VALUE"""),67.02)</f>
        <v/>
      </c>
      <c r="E265" s="141">
        <f>IFERROR(__xludf.DUMMYFUNCTION("""COMPUTED_VALUE"""),66.19)</f>
        <v/>
      </c>
      <c r="F265" s="141">
        <f>IFERROR(__xludf.DUMMYFUNCTION("""COMPUTED_VALUE"""),66.9)</f>
        <v/>
      </c>
      <c r="G265" s="143">
        <f>IFERROR(__xludf.DUMMYFUNCTION("""COMPUTED_VALUE"""),18694776)</f>
        <v/>
      </c>
      <c r="H265" s="27" t="n"/>
    </row>
    <row r="266" ht="17.25" customHeight="1" s="322">
      <c r="A266" s="27" t="n"/>
      <c r="B266" s="506">
        <f>IFERROR(__xludf.DUMMYFUNCTION("""COMPUTED_VALUE"""),46216.6666666666)</f>
        <v/>
      </c>
      <c r="C266" s="141">
        <f>IFERROR(__xludf.DUMMYFUNCTION("""COMPUTED_VALUE"""),65.19)</f>
        <v/>
      </c>
      <c r="D266" s="141">
        <f>IFERROR(__xludf.DUMMYFUNCTION("""COMPUTED_VALUE"""),65.29)</f>
        <v/>
      </c>
      <c r="E266" s="141">
        <f>IFERROR(__xludf.DUMMYFUNCTION("""COMPUTED_VALUE"""),64.39)</f>
        <v/>
      </c>
      <c r="F266" s="141">
        <f>IFERROR(__xludf.DUMMYFUNCTION("""COMPUTED_VALUE"""),64.5)</f>
        <v/>
      </c>
      <c r="G266" s="143">
        <f>IFERROR(__xludf.DUMMYFUNCTION("""COMPUTED_VALUE"""),25474755)</f>
        <v/>
      </c>
      <c r="H266" s="27" t="n"/>
    </row>
    <row r="267" ht="17.25" customHeight="1" s="322">
      <c r="A267" s="27" t="n"/>
      <c r="B267" s="506">
        <f>IFERROR(__xludf.DUMMYFUNCTION("""COMPUTED_VALUE"""),46217.6666666666)</f>
        <v/>
      </c>
      <c r="C267" s="141">
        <f>IFERROR(__xludf.DUMMYFUNCTION("""COMPUTED_VALUE"""),65.53)</f>
        <v/>
      </c>
      <c r="D267" s="141">
        <f>IFERROR(__xludf.DUMMYFUNCTION("""COMPUTED_VALUE"""),65.8)</f>
        <v/>
      </c>
      <c r="E267" s="141">
        <f>IFERROR(__xludf.DUMMYFUNCTION("""COMPUTED_VALUE"""),65.11)</f>
        <v/>
      </c>
      <c r="F267" s="141">
        <f>IFERROR(__xludf.DUMMYFUNCTION("""COMPUTED_VALUE"""),65.67)</f>
        <v/>
      </c>
      <c r="G267" s="143">
        <f>IFERROR(__xludf.DUMMYFUNCTION("""COMPUTED_VALUE"""),18557843)</f>
        <v/>
      </c>
      <c r="H267" s="27" t="n"/>
    </row>
    <row r="268" ht="17.25" customHeight="1" s="322">
      <c r="A268" s="27" t="n"/>
      <c r="B268" s="506">
        <f>IFERROR(__xludf.DUMMYFUNCTION("""COMPUTED_VALUE"""),46218.6666666666)</f>
        <v/>
      </c>
      <c r="C268" s="141">
        <f>IFERROR(__xludf.DUMMYFUNCTION("""COMPUTED_VALUE"""),65.87)</f>
        <v/>
      </c>
      <c r="D268" s="141">
        <f>IFERROR(__xludf.DUMMYFUNCTION("""COMPUTED_VALUE"""),66.04)</f>
        <v/>
      </c>
      <c r="E268" s="141">
        <f>IFERROR(__xludf.DUMMYFUNCTION("""COMPUTED_VALUE"""),64.66)</f>
        <v/>
      </c>
      <c r="F268" s="141">
        <f>IFERROR(__xludf.DUMMYFUNCTION("""COMPUTED_VALUE"""),65.57)</f>
        <v/>
      </c>
      <c r="G268" s="143">
        <f>IFERROR(__xludf.DUMMYFUNCTION("""COMPUTED_VALUE"""),30073857)</f>
        <v/>
      </c>
      <c r="H268" s="27" t="n"/>
    </row>
    <row r="269" ht="17.25" customHeight="1" s="322">
      <c r="A269" s="27" t="n"/>
      <c r="B269" s="506">
        <f>IFERROR(__xludf.DUMMYFUNCTION("""COMPUTED_VALUE"""),46219.6666666666)</f>
        <v/>
      </c>
      <c r="C269" s="141">
        <f>IFERROR(__xludf.DUMMYFUNCTION("""COMPUTED_VALUE"""),64.43)</f>
        <v/>
      </c>
      <c r="D269" s="141">
        <f>IFERROR(__xludf.DUMMYFUNCTION("""COMPUTED_VALUE"""),64.72)</f>
        <v/>
      </c>
      <c r="E269" s="141">
        <f>IFERROR(__xludf.DUMMYFUNCTION("""COMPUTED_VALUE"""),63.92)</f>
        <v/>
      </c>
      <c r="F269" s="141">
        <f>IFERROR(__xludf.DUMMYFUNCTION("""COMPUTED_VALUE"""),64.19)</f>
        <v/>
      </c>
      <c r="G269" s="143">
        <f>IFERROR(__xludf.DUMMYFUNCTION("""COMPUTED_VALUE"""),21565693)</f>
        <v/>
      </c>
      <c r="H269" s="27" t="n"/>
    </row>
    <row r="270" ht="17.25" customHeight="1" s="322">
      <c r="A270" s="27" t="n"/>
      <c r="B270" s="506">
        <f>IFERROR(__xludf.DUMMYFUNCTION("""COMPUTED_VALUE"""),46220.6666666666)</f>
        <v/>
      </c>
      <c r="C270" s="141">
        <f>IFERROR(__xludf.DUMMYFUNCTION("""COMPUTED_VALUE"""),62.3)</f>
        <v/>
      </c>
      <c r="D270" s="141">
        <f>IFERROR(__xludf.DUMMYFUNCTION("""COMPUTED_VALUE"""),63.89)</f>
        <v/>
      </c>
      <c r="E270" s="141">
        <f>IFERROR(__xludf.DUMMYFUNCTION("""COMPUTED_VALUE"""),62.01)</f>
        <v/>
      </c>
      <c r="F270" s="141">
        <f>IFERROR(__xludf.DUMMYFUNCTION("""COMPUTED_VALUE"""),63.29)</f>
        <v/>
      </c>
      <c r="G270" s="143">
        <f>IFERROR(__xludf.DUMMYFUNCTION("""COMPUTED_VALUE"""),35145370)</f>
        <v/>
      </c>
      <c r="H270" s="27" t="n"/>
    </row>
    <row r="271" ht="17.25" customHeight="1" s="322">
      <c r="A271" s="27" t="n"/>
      <c r="B271" s="506">
        <f>IFERROR(__xludf.DUMMYFUNCTION("""COMPUTED_VALUE"""),46223.6666666666)</f>
        <v/>
      </c>
      <c r="C271" s="141">
        <f>IFERROR(__xludf.DUMMYFUNCTION("""COMPUTED_VALUE"""),64.04)</f>
        <v/>
      </c>
      <c r="D271" s="141">
        <f>IFERROR(__xludf.DUMMYFUNCTION("""COMPUTED_VALUE"""),64.17)</f>
        <v/>
      </c>
      <c r="E271" s="141">
        <f>IFERROR(__xludf.DUMMYFUNCTION("""COMPUTED_VALUE"""),63.48)</f>
        <v/>
      </c>
      <c r="F271" s="141">
        <f>IFERROR(__xludf.DUMMYFUNCTION("""COMPUTED_VALUE"""),63.56)</f>
        <v/>
      </c>
      <c r="G271" s="143">
        <f>IFERROR(__xludf.DUMMYFUNCTION("""COMPUTED_VALUE"""),19269609)</f>
        <v/>
      </c>
      <c r="H271" s="27" t="n"/>
    </row>
    <row r="272" ht="17.25" customHeight="1" s="322">
      <c r="A272" s="27" t="n"/>
      <c r="B272" s="506">
        <f>IFERROR(__xludf.DUMMYFUNCTION("""COMPUTED_VALUE"""),46224.6666666666)</f>
        <v/>
      </c>
      <c r="C272" s="141">
        <f>IFERROR(__xludf.DUMMYFUNCTION("""COMPUTED_VALUE"""),65.12)</f>
        <v/>
      </c>
      <c r="D272" s="141">
        <f>IFERROR(__xludf.DUMMYFUNCTION("""COMPUTED_VALUE"""),65.5)</f>
        <v/>
      </c>
      <c r="E272" s="141">
        <f>IFERROR(__xludf.DUMMYFUNCTION("""COMPUTED_VALUE"""),64.82)</f>
        <v/>
      </c>
      <c r="F272" s="141">
        <f>IFERROR(__xludf.DUMMYFUNCTION("""COMPUTED_VALUE"""),65.34)</f>
        <v/>
      </c>
      <c r="G272" s="143">
        <f>IFERROR(__xludf.DUMMYFUNCTION("""COMPUTED_VALUE"""),20839300)</f>
        <v/>
      </c>
      <c r="H272" s="27" t="n"/>
    </row>
    <row r="273" ht="17.25" customHeight="1" s="322">
      <c r="A273" s="27" t="n"/>
      <c r="B273" s="506">
        <f>IFERROR(__xludf.DUMMYFUNCTION("""COMPUTED_VALUE"""),46225.6666666666)</f>
        <v/>
      </c>
      <c r="C273" s="141">
        <f>IFERROR(__xludf.DUMMYFUNCTION("""COMPUTED_VALUE"""),64.64)</f>
        <v/>
      </c>
      <c r="D273" s="141">
        <f>IFERROR(__xludf.DUMMYFUNCTION("""COMPUTED_VALUE"""),65.19)</f>
        <v/>
      </c>
      <c r="E273" s="141">
        <f>IFERROR(__xludf.DUMMYFUNCTION("""COMPUTED_VALUE"""),64.63)</f>
        <v/>
      </c>
      <c r="F273" s="141">
        <f>IFERROR(__xludf.DUMMYFUNCTION("""COMPUTED_VALUE"""),64.99)</f>
        <v/>
      </c>
      <c r="G273" s="143">
        <f>IFERROR(__xludf.DUMMYFUNCTION("""COMPUTED_VALUE"""),13400147)</f>
        <v/>
      </c>
      <c r="H273" s="27" t="n"/>
    </row>
    <row r="274" ht="17.25" customHeight="1" s="322">
      <c r="A274" s="27" t="n"/>
      <c r="B274" s="506">
        <f>IFERROR(__xludf.DUMMYFUNCTION("""COMPUTED_VALUE"""),46226.6666666666)</f>
        <v/>
      </c>
      <c r="C274" s="141">
        <f>IFERROR(__xludf.DUMMYFUNCTION("""COMPUTED_VALUE"""),64.49)</f>
        <v/>
      </c>
      <c r="D274" s="141">
        <f>IFERROR(__xludf.DUMMYFUNCTION("""COMPUTED_VALUE"""),65.04)</f>
        <v/>
      </c>
      <c r="E274" s="141">
        <f>IFERROR(__xludf.DUMMYFUNCTION("""COMPUTED_VALUE"""),63.99)</f>
        <v/>
      </c>
      <c r="F274" s="141">
        <f>IFERROR(__xludf.DUMMYFUNCTION("""COMPUTED_VALUE"""),64.6)</f>
        <v/>
      </c>
      <c r="G274" s="143">
        <f>IFERROR(__xludf.DUMMYFUNCTION("""COMPUTED_VALUE"""),13003342)</f>
        <v/>
      </c>
      <c r="H274" s="27" t="n"/>
    </row>
    <row r="275" ht="17.25" customHeight="1" s="322">
      <c r="A275" s="27" t="n"/>
      <c r="B275" s="506">
        <f>IFERROR(__xludf.DUMMYFUNCTION("""COMPUTED_VALUE"""),46227.6666666666)</f>
        <v/>
      </c>
      <c r="C275" s="141">
        <f>IFERROR(__xludf.DUMMYFUNCTION("""COMPUTED_VALUE"""),63.95)</f>
        <v/>
      </c>
      <c r="D275" s="141">
        <f>IFERROR(__xludf.DUMMYFUNCTION("""COMPUTED_VALUE"""),64.15)</f>
        <v/>
      </c>
      <c r="E275" s="141">
        <f>IFERROR(__xludf.DUMMYFUNCTION("""COMPUTED_VALUE"""),63.25)</f>
        <v/>
      </c>
      <c r="F275" s="141">
        <f>IFERROR(__xludf.DUMMYFUNCTION("""COMPUTED_VALUE"""),63.33)</f>
        <v/>
      </c>
      <c r="G275" s="143">
        <f>IFERROR(__xludf.DUMMYFUNCTION("""COMPUTED_VALUE"""),20525619)</f>
        <v/>
      </c>
      <c r="H275" s="27" t="n"/>
    </row>
    <row r="276" ht="17.25" customHeight="1" s="322">
      <c r="A276" s="27" t="n"/>
      <c r="B276" s="506">
        <f>IFERROR(__xludf.DUMMYFUNCTION("""COMPUTED_VALUE"""),46230.6666666666)</f>
        <v/>
      </c>
      <c r="C276" s="141">
        <f>IFERROR(__xludf.DUMMYFUNCTION("""COMPUTED_VALUE"""),64.22)</f>
        <v/>
      </c>
      <c r="D276" s="141">
        <f>IFERROR(__xludf.DUMMYFUNCTION("""COMPUTED_VALUE"""),64.27)</f>
        <v/>
      </c>
      <c r="E276" s="141">
        <f>IFERROR(__xludf.DUMMYFUNCTION("""COMPUTED_VALUE"""),62.85)</f>
        <v/>
      </c>
      <c r="F276" s="141">
        <f>IFERROR(__xludf.DUMMYFUNCTION("""COMPUTED_VALUE"""),63.62)</f>
        <v/>
      </c>
      <c r="G276" s="143">
        <f>IFERROR(__xludf.DUMMYFUNCTION("""COMPUTED_VALUE"""),23441421)</f>
        <v/>
      </c>
      <c r="H276" s="27" t="n"/>
    </row>
    <row r="277" ht="17.25" customHeight="1" s="322">
      <c r="A277" s="27" t="n"/>
      <c r="B277" s="506">
        <f>IFERROR(__xludf.DUMMYFUNCTION("""COMPUTED_VALUE"""),46231.6666666666)</f>
        <v/>
      </c>
      <c r="C277" s="141">
        <f>IFERROR(__xludf.DUMMYFUNCTION("""COMPUTED_VALUE"""),62.06)</f>
        <v/>
      </c>
      <c r="D277" s="141">
        <f>IFERROR(__xludf.DUMMYFUNCTION("""COMPUTED_VALUE"""),62.8)</f>
        <v/>
      </c>
      <c r="E277" s="141">
        <f>IFERROR(__xludf.DUMMYFUNCTION("""COMPUTED_VALUE"""),61.68)</f>
        <v/>
      </c>
      <c r="F277" s="141">
        <f>IFERROR(__xludf.DUMMYFUNCTION("""COMPUTED_VALUE"""),62.36)</f>
        <v/>
      </c>
      <c r="G277" s="143">
        <f>IFERROR(__xludf.DUMMYFUNCTION("""COMPUTED_VALUE"""),29000865)</f>
        <v/>
      </c>
      <c r="H277" s="27" t="n"/>
    </row>
    <row r="278" ht="17.25" customHeight="1" s="322">
      <c r="A278" s="27" t="n"/>
      <c r="B278" s="506">
        <f>IFERROR(__xludf.DUMMYFUNCTION("""COMPUTED_VALUE"""),46232.6666666666)</f>
        <v/>
      </c>
      <c r="C278" s="141">
        <f>IFERROR(__xludf.DUMMYFUNCTION("""COMPUTED_VALUE"""),61.73)</f>
        <v/>
      </c>
      <c r="D278" s="141">
        <f>IFERROR(__xludf.DUMMYFUNCTION("""COMPUTED_VALUE"""),62.7)</f>
        <v/>
      </c>
      <c r="E278" s="141">
        <f>IFERROR(__xludf.DUMMYFUNCTION("""COMPUTED_VALUE"""),60.77)</f>
        <v/>
      </c>
      <c r="F278" s="141">
        <f>IFERROR(__xludf.DUMMYFUNCTION("""COMPUTED_VALUE"""),61.07)</f>
        <v/>
      </c>
      <c r="G278" s="143">
        <f>IFERROR(__xludf.DUMMYFUNCTION("""COMPUTED_VALUE"""),32406506)</f>
        <v/>
      </c>
      <c r="H278" s="27" t="n"/>
    </row>
    <row r="279" ht="17.25" customHeight="1" s="322">
      <c r="A279" s="27" t="n"/>
      <c r="B279" s="506" t="n"/>
      <c r="C279" s="141" t="n"/>
      <c r="D279" s="141" t="n"/>
      <c r="E279" s="141" t="n"/>
      <c r="F279" s="141" t="n"/>
      <c r="G279" s="143" t="n"/>
      <c r="H279" s="27" t="n"/>
    </row>
    <row r="280" ht="17.25" customHeight="1" s="322">
      <c r="A280" s="27" t="n"/>
      <c r="B280" s="506" t="n"/>
      <c r="C280" s="141" t="n"/>
      <c r="D280" s="141" t="n"/>
      <c r="E280" s="141" t="n"/>
      <c r="F280" s="141" t="n"/>
      <c r="G280" s="143" t="n"/>
      <c r="H280" s="27" t="n"/>
    </row>
    <row r="281" ht="17.25" customHeight="1" s="322">
      <c r="A281" s="27" t="n"/>
      <c r="B281" s="506" t="n"/>
      <c r="C281" s="141" t="n"/>
      <c r="D281" s="141" t="n"/>
      <c r="E281" s="141" t="n"/>
      <c r="F281" s="141" t="n"/>
      <c r="G281" s="143" t="n"/>
      <c r="H281" s="27" t="n"/>
    </row>
    <row r="282" ht="17.25" customHeight="1" s="322">
      <c r="A282" s="27" t="n"/>
      <c r="B282" s="506" t="n"/>
      <c r="C282" s="141" t="n"/>
      <c r="D282" s="141" t="n"/>
      <c r="E282" s="141" t="n"/>
      <c r="F282" s="141" t="n"/>
      <c r="G282" s="143" t="n"/>
      <c r="H282" s="27" t="n"/>
    </row>
    <row r="283" ht="17.25" customHeight="1" s="322">
      <c r="A283" s="27" t="n"/>
      <c r="B283" s="506" t="n"/>
      <c r="C283" s="141" t="n"/>
      <c r="D283" s="141" t="n"/>
      <c r="E283" s="141" t="n"/>
      <c r="F283" s="141" t="n"/>
      <c r="G283" s="143" t="n"/>
      <c r="H283" s="27" t="n"/>
    </row>
    <row r="284" ht="17.25" customHeight="1" s="322">
      <c r="A284" s="27" t="n"/>
      <c r="B284" s="506" t="n"/>
      <c r="C284" s="141" t="n"/>
      <c r="D284" s="141" t="n"/>
      <c r="E284" s="141" t="n"/>
      <c r="F284" s="141" t="n"/>
      <c r="G284" s="143" t="n"/>
      <c r="H284" s="27" t="n"/>
    </row>
    <row r="285" ht="17.25" customHeight="1" s="322">
      <c r="A285" s="27" t="n"/>
      <c r="B285" s="506" t="n"/>
      <c r="C285" s="141" t="n"/>
      <c r="D285" s="141" t="n"/>
      <c r="E285" s="141" t="n"/>
      <c r="F285" s="141" t="n"/>
      <c r="G285" s="143" t="n"/>
      <c r="H285" s="27" t="n"/>
    </row>
    <row r="286" ht="17.25" customHeight="1" s="322">
      <c r="A286" s="27" t="n"/>
      <c r="B286" s="506" t="n"/>
      <c r="C286" s="141" t="n"/>
      <c r="D286" s="141" t="n"/>
      <c r="E286" s="141" t="n"/>
      <c r="F286" s="141" t="n"/>
      <c r="G286" s="143" t="n"/>
      <c r="H286" s="27" t="n"/>
    </row>
    <row r="287" ht="17.25" customHeight="1" s="322">
      <c r="A287" s="27" t="n"/>
      <c r="B287" s="506" t="n"/>
      <c r="C287" s="141" t="n"/>
      <c r="D287" s="141" t="n"/>
      <c r="E287" s="141" t="n"/>
      <c r="F287" s="141" t="n"/>
      <c r="G287" s="143" t="n"/>
      <c r="H287" s="27" t="n"/>
    </row>
    <row r="288" ht="17.25" customHeight="1" s="322">
      <c r="A288" s="27" t="n"/>
      <c r="B288" s="506" t="n"/>
      <c r="C288" s="141" t="n"/>
      <c r="D288" s="141" t="n"/>
      <c r="E288" s="141" t="n"/>
      <c r="F288" s="141" t="n"/>
      <c r="G288" s="143" t="n"/>
      <c r="H288" s="27" t="n"/>
    </row>
    <row r="289" ht="17.25" customHeight="1" s="322">
      <c r="A289" s="27" t="n"/>
      <c r="B289" s="506" t="n"/>
      <c r="C289" s="141" t="n"/>
      <c r="D289" s="141" t="n"/>
      <c r="E289" s="141" t="n"/>
      <c r="F289" s="141" t="n"/>
      <c r="G289" s="143" t="n"/>
      <c r="H289" s="27" t="n"/>
    </row>
    <row r="290" ht="17.25" customHeight="1" s="322">
      <c r="A290" s="27" t="n"/>
      <c r="B290" s="506" t="n"/>
      <c r="C290" s="141" t="n"/>
      <c r="D290" s="141" t="n"/>
      <c r="E290" s="141" t="n"/>
      <c r="F290" s="141" t="n"/>
      <c r="G290" s="143" t="n"/>
      <c r="H290" s="27" t="n"/>
    </row>
    <row r="291" ht="17.25" customHeight="1" s="322">
      <c r="A291" s="27" t="n"/>
      <c r="B291" s="506" t="n"/>
      <c r="C291" s="141" t="n"/>
      <c r="D291" s="141" t="n"/>
      <c r="E291" s="141" t="n"/>
      <c r="F291" s="141" t="n"/>
      <c r="G291" s="143" t="n"/>
      <c r="H291" s="27" t="n"/>
    </row>
    <row r="292" ht="17.25" customHeight="1" s="322">
      <c r="A292" s="27" t="n"/>
      <c r="B292" s="506" t="n"/>
      <c r="C292" s="141" t="n"/>
      <c r="D292" s="141" t="n"/>
      <c r="E292" s="141" t="n"/>
      <c r="F292" s="141" t="n"/>
      <c r="G292" s="143" t="n"/>
      <c r="H292" s="27" t="n"/>
    </row>
    <row r="293" ht="17.25" customHeight="1" s="322">
      <c r="A293" s="27" t="n"/>
      <c r="B293" s="506" t="n"/>
      <c r="C293" s="141" t="n"/>
      <c r="D293" s="141" t="n"/>
      <c r="E293" s="141" t="n"/>
      <c r="F293" s="141" t="n"/>
      <c r="G293" s="143" t="n"/>
      <c r="H293" s="27" t="n"/>
    </row>
    <row r="294" ht="17.25" customHeight="1" s="322">
      <c r="A294" s="27" t="n"/>
      <c r="B294" s="506" t="n"/>
      <c r="C294" s="141" t="n"/>
      <c r="D294" s="141" t="n"/>
      <c r="E294" s="141" t="n"/>
      <c r="F294" s="141" t="n"/>
      <c r="G294" s="143" t="n"/>
      <c r="H294" s="27" t="n"/>
    </row>
    <row r="295" ht="17.25" customHeight="1" s="322">
      <c r="A295" s="27" t="n"/>
      <c r="B295" s="506" t="n"/>
      <c r="C295" s="141" t="n"/>
      <c r="D295" s="141" t="n"/>
      <c r="E295" s="141" t="n"/>
      <c r="F295" s="141" t="n"/>
      <c r="G295" s="143" t="n"/>
      <c r="H295" s="27" t="n"/>
    </row>
    <row r="296" ht="17.25" customHeight="1" s="322">
      <c r="A296" s="27" t="n"/>
      <c r="B296" s="506" t="n"/>
      <c r="C296" s="141" t="n"/>
      <c r="D296" s="141" t="n"/>
      <c r="E296" s="141" t="n"/>
      <c r="F296" s="141" t="n"/>
      <c r="G296" s="143" t="n"/>
      <c r="H296" s="27" t="n"/>
    </row>
    <row r="297" ht="17.25" customHeight="1" s="322">
      <c r="A297" s="27" t="n"/>
      <c r="B297" s="506" t="n"/>
      <c r="C297" s="141" t="n"/>
      <c r="D297" s="141" t="n"/>
      <c r="E297" s="141" t="n"/>
      <c r="F297" s="141" t="n"/>
      <c r="G297" s="143" t="n"/>
      <c r="H297" s="27" t="n"/>
    </row>
    <row r="298" ht="17.25" customHeight="1" s="322">
      <c r="A298" s="27" t="n"/>
      <c r="B298" s="506" t="n"/>
      <c r="C298" s="141" t="n"/>
      <c r="D298" s="141" t="n"/>
      <c r="E298" s="141" t="n"/>
      <c r="F298" s="141" t="n"/>
      <c r="G298" s="143" t="n"/>
      <c r="H298" s="27" t="n"/>
    </row>
    <row r="299" ht="17.25" customHeight="1" s="322">
      <c r="A299" s="27" t="n"/>
      <c r="B299" s="506" t="n"/>
      <c r="C299" s="141" t="n"/>
      <c r="D299" s="141" t="n"/>
      <c r="E299" s="141" t="n"/>
      <c r="F299" s="141" t="n"/>
      <c r="G299" s="143" t="n"/>
      <c r="H299" s="27" t="n"/>
    </row>
    <row r="300" ht="17.25" customHeight="1" s="322">
      <c r="A300" s="27" t="n"/>
      <c r="B300" s="506" t="n"/>
      <c r="C300" s="141" t="n"/>
      <c r="D300" s="141" t="n"/>
      <c r="E300" s="141" t="n"/>
      <c r="F300" s="141" t="n"/>
      <c r="G300" s="143" t="n"/>
      <c r="H300" s="27" t="n"/>
    </row>
    <row r="301" ht="17.25" customHeight="1" s="322">
      <c r="A301" s="27" t="n"/>
      <c r="B301" s="506" t="n"/>
      <c r="C301" s="141" t="n"/>
      <c r="D301" s="141" t="n"/>
      <c r="E301" s="141" t="n"/>
      <c r="F301" s="141" t="n"/>
      <c r="G301" s="143" t="n"/>
      <c r="H301" s="27" t="n"/>
    </row>
    <row r="302" ht="17.25" customHeight="1" s="322">
      <c r="A302" s="27" t="n"/>
      <c r="B302" s="506" t="n"/>
      <c r="C302" s="141" t="n"/>
      <c r="D302" s="141" t="n"/>
      <c r="E302" s="141" t="n"/>
      <c r="F302" s="141" t="n"/>
      <c r="G302" s="143" t="n"/>
      <c r="H302" s="27" t="n"/>
    </row>
    <row r="303" ht="17.25" customHeight="1" s="322">
      <c r="A303" s="27" t="n"/>
      <c r="B303" s="506" t="n"/>
      <c r="C303" s="141" t="n"/>
      <c r="D303" s="141" t="n"/>
      <c r="E303" s="141" t="n"/>
      <c r="F303" s="141" t="n"/>
      <c r="G303" s="143" t="n"/>
      <c r="H303" s="27" t="n"/>
    </row>
    <row r="304" ht="17.25" customHeight="1" s="322">
      <c r="A304" s="27" t="n"/>
      <c r="B304" s="506" t="n"/>
      <c r="C304" s="141" t="n"/>
      <c r="D304" s="141" t="n"/>
      <c r="E304" s="141" t="n"/>
      <c r="F304" s="141" t="n"/>
      <c r="G304" s="143" t="n"/>
      <c r="H304" s="27" t="n"/>
    </row>
    <row r="305" ht="17.25" customHeight="1" s="322">
      <c r="A305" s="27" t="n"/>
      <c r="B305" s="506" t="n"/>
      <c r="C305" s="141" t="n"/>
      <c r="D305" s="141" t="n"/>
      <c r="E305" s="141" t="n"/>
      <c r="F305" s="141" t="n"/>
      <c r="G305" s="143" t="n"/>
      <c r="H305" s="27" t="n"/>
    </row>
    <row r="306" ht="17.25" customHeight="1" s="322">
      <c r="A306" s="27" t="n"/>
      <c r="B306" s="506" t="n"/>
      <c r="C306" s="141" t="n"/>
      <c r="D306" s="141" t="n"/>
      <c r="E306" s="141" t="n"/>
      <c r="F306" s="141" t="n"/>
      <c r="G306" s="143" t="n"/>
      <c r="H306" s="27" t="n"/>
    </row>
    <row r="307" ht="17.25" customHeight="1" s="322">
      <c r="A307" s="27" t="n"/>
      <c r="B307" s="506" t="n"/>
      <c r="C307" s="141" t="n"/>
      <c r="D307" s="141" t="n"/>
      <c r="E307" s="141" t="n"/>
      <c r="F307" s="141" t="n"/>
      <c r="G307" s="143" t="n"/>
      <c r="H307" s="27" t="n"/>
    </row>
    <row r="308" ht="17.25" customHeight="1" s="322">
      <c r="A308" s="27" t="n"/>
      <c r="B308" s="506" t="n"/>
      <c r="C308" s="141" t="n"/>
      <c r="D308" s="141" t="n"/>
      <c r="E308" s="141" t="n"/>
      <c r="F308" s="141" t="n"/>
      <c r="G308" s="143" t="n"/>
      <c r="H308" s="27" t="n"/>
    </row>
    <row r="309" ht="17.25" customHeight="1" s="322">
      <c r="A309" s="27" t="n"/>
      <c r="B309" s="506" t="n"/>
      <c r="C309" s="141" t="n"/>
      <c r="D309" s="141" t="n"/>
      <c r="E309" s="141" t="n"/>
      <c r="F309" s="141" t="n"/>
      <c r="G309" s="143" t="n"/>
      <c r="H309" s="27" t="n"/>
    </row>
    <row r="310" ht="17.25" customHeight="1" s="322">
      <c r="A310" s="27" t="n"/>
      <c r="B310" s="506" t="n"/>
      <c r="C310" s="141" t="n"/>
      <c r="D310" s="141" t="n"/>
      <c r="E310" s="141" t="n"/>
      <c r="F310" s="141" t="n"/>
      <c r="G310" s="143" t="n"/>
      <c r="H310" s="27" t="n"/>
    </row>
    <row r="311" ht="17.25" customHeight="1" s="322">
      <c r="A311" s="27" t="n"/>
      <c r="B311" s="506" t="n"/>
      <c r="C311" s="141" t="n"/>
      <c r="D311" s="141" t="n"/>
      <c r="E311" s="141" t="n"/>
      <c r="F311" s="141" t="n"/>
      <c r="G311" s="143" t="n"/>
      <c r="H311" s="27" t="n"/>
    </row>
    <row r="312" ht="17.25" customHeight="1" s="322">
      <c r="A312" s="27" t="n"/>
      <c r="B312" s="506" t="n"/>
      <c r="C312" s="141" t="n"/>
      <c r="D312" s="141" t="n"/>
      <c r="E312" s="141" t="n"/>
      <c r="F312" s="141" t="n"/>
      <c r="G312" s="143" t="n"/>
      <c r="H312" s="27" t="n"/>
    </row>
    <row r="313" ht="17.25" customHeight="1" s="322">
      <c r="A313" s="27" t="n"/>
      <c r="B313" s="506" t="n"/>
      <c r="C313" s="141" t="n"/>
      <c r="D313" s="141" t="n"/>
      <c r="E313" s="141" t="n"/>
      <c r="F313" s="141" t="n"/>
      <c r="G313" s="143" t="n"/>
      <c r="H313" s="27" t="n"/>
    </row>
    <row r="314" ht="17.25" customHeight="1" s="322">
      <c r="A314" s="27" t="n"/>
      <c r="B314" s="506" t="n"/>
      <c r="C314" s="141" t="n"/>
      <c r="D314" s="141" t="n"/>
      <c r="E314" s="141" t="n"/>
      <c r="F314" s="141" t="n"/>
      <c r="G314" s="143" t="n"/>
      <c r="H314" s="27" t="n"/>
    </row>
    <row r="315" ht="17.25" customHeight="1" s="322">
      <c r="A315" s="27" t="n"/>
      <c r="B315" s="506" t="n"/>
      <c r="C315" s="141" t="n"/>
      <c r="D315" s="141" t="n"/>
      <c r="E315" s="141" t="n"/>
      <c r="F315" s="141" t="n"/>
      <c r="G315" s="143" t="n"/>
      <c r="H315" s="27" t="n"/>
    </row>
    <row r="316" ht="17.25" customHeight="1" s="322">
      <c r="A316" s="27" t="n"/>
      <c r="B316" s="506" t="n"/>
      <c r="C316" s="141" t="n"/>
      <c r="D316" s="141" t="n"/>
      <c r="E316" s="141" t="n"/>
      <c r="F316" s="141" t="n"/>
      <c r="G316" s="143" t="n"/>
      <c r="H316" s="27" t="n"/>
    </row>
    <row r="317" ht="17.25" customHeight="1" s="322">
      <c r="A317" s="27" t="n"/>
      <c r="B317" s="506" t="n"/>
      <c r="C317" s="141" t="n"/>
      <c r="D317" s="141" t="n"/>
      <c r="E317" s="141" t="n"/>
      <c r="F317" s="141" t="n"/>
      <c r="G317" s="143" t="n"/>
      <c r="H317" s="27" t="n"/>
    </row>
    <row r="318" ht="17.25" customHeight="1" s="322">
      <c r="A318" s="27" t="n"/>
      <c r="B318" s="506" t="n"/>
      <c r="C318" s="141" t="n"/>
      <c r="D318" s="141" t="n"/>
      <c r="E318" s="141" t="n"/>
      <c r="F318" s="141" t="n"/>
      <c r="G318" s="143" t="n"/>
      <c r="H318" s="27" t="n"/>
    </row>
    <row r="319" ht="17.25" customHeight="1" s="322">
      <c r="A319" s="27" t="n"/>
      <c r="B319" s="506" t="n"/>
      <c r="C319" s="141" t="n"/>
      <c r="D319" s="141" t="n"/>
      <c r="E319" s="141" t="n"/>
      <c r="F319" s="141" t="n"/>
      <c r="G319" s="143" t="n"/>
      <c r="H319" s="27" t="n"/>
    </row>
    <row r="320" ht="17.25" customHeight="1" s="322">
      <c r="A320" s="27" t="n"/>
      <c r="B320" s="506" t="n"/>
      <c r="C320" s="141" t="n"/>
      <c r="D320" s="141" t="n"/>
      <c r="E320" s="141" t="n"/>
      <c r="F320" s="141" t="n"/>
      <c r="G320" s="143" t="n"/>
      <c r="H320" s="27" t="n"/>
    </row>
    <row r="321" ht="17.25" customHeight="1" s="322">
      <c r="A321" s="27" t="n"/>
      <c r="B321" s="506" t="n"/>
      <c r="C321" s="141" t="n"/>
      <c r="D321" s="141" t="n"/>
      <c r="E321" s="141" t="n"/>
      <c r="F321" s="141" t="n"/>
      <c r="G321" s="143" t="n"/>
      <c r="H321" s="27" t="n"/>
    </row>
    <row r="322" ht="17.25" customHeight="1" s="322">
      <c r="A322" s="27" t="n"/>
      <c r="B322" s="506" t="n"/>
      <c r="C322" s="141" t="n"/>
      <c r="D322" s="141" t="n"/>
      <c r="E322" s="141" t="n"/>
      <c r="F322" s="141" t="n"/>
      <c r="G322" s="143" t="n"/>
      <c r="H322" s="27" t="n"/>
    </row>
    <row r="323" ht="17.25" customHeight="1" s="322">
      <c r="A323" s="27" t="n"/>
      <c r="B323" s="506" t="n"/>
      <c r="C323" s="141" t="n"/>
      <c r="D323" s="141" t="n"/>
      <c r="E323" s="141" t="n"/>
      <c r="F323" s="141" t="n"/>
      <c r="G323" s="143" t="n"/>
      <c r="H323" s="27" t="n"/>
    </row>
    <row r="324" ht="17.25" customHeight="1" s="322">
      <c r="A324" s="27" t="n"/>
      <c r="B324" s="506" t="n"/>
      <c r="C324" s="141" t="n"/>
      <c r="D324" s="141" t="n"/>
      <c r="E324" s="141" t="n"/>
      <c r="F324" s="141" t="n"/>
      <c r="G324" s="143" t="n"/>
      <c r="H324" s="27" t="n"/>
    </row>
    <row r="325" ht="17.25" customHeight="1" s="322">
      <c r="A325" s="27" t="n"/>
      <c r="B325" s="506" t="n"/>
      <c r="C325" s="141" t="n"/>
      <c r="D325" s="141" t="n"/>
      <c r="E325" s="141" t="n"/>
      <c r="F325" s="141" t="n"/>
      <c r="G325" s="143" t="n"/>
      <c r="H325" s="27" t="n"/>
    </row>
    <row r="326" ht="17.25" customHeight="1" s="322">
      <c r="A326" s="27" t="n"/>
      <c r="B326" s="506" t="n"/>
      <c r="C326" s="141" t="n"/>
      <c r="D326" s="141" t="n"/>
      <c r="E326" s="141" t="n"/>
      <c r="F326" s="141" t="n"/>
      <c r="G326" s="143" t="n"/>
      <c r="H326" s="27" t="n"/>
    </row>
    <row r="327" ht="17.25" customHeight="1" s="322">
      <c r="A327" s="27" t="n"/>
      <c r="B327" s="506" t="n"/>
      <c r="C327" s="141" t="n"/>
      <c r="D327" s="141" t="n"/>
      <c r="E327" s="141" t="n"/>
      <c r="F327" s="141" t="n"/>
      <c r="G327" s="143" t="n"/>
      <c r="H327" s="27" t="n"/>
    </row>
    <row r="328" ht="17.25" customHeight="1" s="322">
      <c r="A328" s="27" t="n"/>
      <c r="B328" s="506" t="n"/>
      <c r="C328" s="141" t="n"/>
      <c r="D328" s="141" t="n"/>
      <c r="E328" s="141" t="n"/>
      <c r="F328" s="141" t="n"/>
      <c r="G328" s="143" t="n"/>
      <c r="H328" s="27" t="n"/>
    </row>
    <row r="329" ht="17.25" customHeight="1" s="322">
      <c r="A329" s="27" t="n"/>
      <c r="B329" s="506" t="n"/>
      <c r="C329" s="141" t="n"/>
      <c r="D329" s="141" t="n"/>
      <c r="E329" s="141" t="n"/>
      <c r="F329" s="141" t="n"/>
      <c r="G329" s="143" t="n"/>
      <c r="H329" s="27" t="n"/>
    </row>
    <row r="330" ht="17.25" customHeight="1" s="322">
      <c r="A330" s="27" t="n"/>
      <c r="B330" s="506" t="n"/>
      <c r="C330" s="141" t="n"/>
      <c r="D330" s="141" t="n"/>
      <c r="E330" s="141" t="n"/>
      <c r="F330" s="141" t="n"/>
      <c r="G330" s="143" t="n"/>
      <c r="H330" s="27" t="n"/>
    </row>
    <row r="331" ht="17.25" customHeight="1" s="322">
      <c r="A331" s="27" t="n"/>
      <c r="B331" s="506" t="n"/>
      <c r="C331" s="141" t="n"/>
      <c r="D331" s="141" t="n"/>
      <c r="E331" s="141" t="n"/>
      <c r="F331" s="141" t="n"/>
      <c r="G331" s="143" t="n"/>
      <c r="H331" s="27" t="n"/>
    </row>
    <row r="332" ht="17.25" customHeight="1" s="322">
      <c r="A332" s="27" t="n"/>
      <c r="B332" s="506" t="n"/>
      <c r="C332" s="141" t="n"/>
      <c r="D332" s="141" t="n"/>
      <c r="E332" s="141" t="n"/>
      <c r="F332" s="141" t="n"/>
      <c r="G332" s="143" t="n"/>
      <c r="H332" s="27" t="n"/>
    </row>
    <row r="333" ht="17.25" customHeight="1" s="322">
      <c r="A333" s="27" t="n"/>
      <c r="B333" s="506" t="n"/>
      <c r="C333" s="141" t="n"/>
      <c r="D333" s="141" t="n"/>
      <c r="E333" s="141" t="n"/>
      <c r="F333" s="141" t="n"/>
      <c r="G333" s="143" t="n"/>
      <c r="H333" s="27" t="n"/>
    </row>
    <row r="334" ht="17.25" customHeight="1" s="322">
      <c r="A334" s="27" t="n"/>
      <c r="B334" s="506" t="n"/>
      <c r="C334" s="141" t="n"/>
      <c r="D334" s="141" t="n"/>
      <c r="E334" s="141" t="n"/>
      <c r="F334" s="141" t="n"/>
      <c r="G334" s="143" t="n"/>
      <c r="H334" s="27" t="n"/>
    </row>
    <row r="335" ht="17.25" customHeight="1" s="322">
      <c r="A335" s="27" t="n"/>
      <c r="B335" s="506" t="n"/>
      <c r="C335" s="141" t="n"/>
      <c r="D335" s="141" t="n"/>
      <c r="E335" s="141" t="n"/>
      <c r="F335" s="141" t="n"/>
      <c r="G335" s="143" t="n"/>
      <c r="H335" s="27" t="n"/>
    </row>
    <row r="336" ht="17.25" customHeight="1" s="322">
      <c r="A336" s="27" t="n"/>
      <c r="B336" s="506" t="n"/>
      <c r="C336" s="141" t="n"/>
      <c r="D336" s="141" t="n"/>
      <c r="E336" s="141" t="n"/>
      <c r="F336" s="141" t="n"/>
      <c r="G336" s="143" t="n"/>
      <c r="H336" s="27" t="n"/>
    </row>
    <row r="337" ht="17.25" customHeight="1" s="322">
      <c r="A337" s="27" t="n"/>
      <c r="B337" s="506" t="n"/>
      <c r="C337" s="141" t="n"/>
      <c r="D337" s="141" t="n"/>
      <c r="E337" s="141" t="n"/>
      <c r="F337" s="141" t="n"/>
      <c r="G337" s="143" t="n"/>
      <c r="H337" s="27" t="n"/>
    </row>
    <row r="338" ht="17.25" customHeight="1" s="322">
      <c r="A338" s="27" t="n"/>
      <c r="B338" s="506" t="n"/>
      <c r="C338" s="141" t="n"/>
      <c r="D338" s="141" t="n"/>
      <c r="E338" s="141" t="n"/>
      <c r="F338" s="141" t="n"/>
      <c r="G338" s="143" t="n"/>
      <c r="H338" s="27" t="n"/>
    </row>
    <row r="339" ht="17.25" customHeight="1" s="322">
      <c r="A339" s="27" t="n"/>
      <c r="B339" s="506" t="n"/>
      <c r="C339" s="141" t="n"/>
      <c r="D339" s="141" t="n"/>
      <c r="E339" s="141" t="n"/>
      <c r="F339" s="141" t="n"/>
      <c r="G339" s="143" t="n"/>
      <c r="H339" s="27" t="n"/>
    </row>
    <row r="340" ht="17.25" customHeight="1" s="322">
      <c r="A340" s="27" t="n"/>
      <c r="B340" s="506" t="n"/>
      <c r="C340" s="141" t="n"/>
      <c r="D340" s="141" t="n"/>
      <c r="E340" s="141" t="n"/>
      <c r="F340" s="141" t="n"/>
      <c r="G340" s="143" t="n"/>
      <c r="H340" s="27" t="n"/>
    </row>
    <row r="341" ht="17.25" customHeight="1" s="322">
      <c r="A341" s="27" t="n"/>
      <c r="B341" s="506" t="n"/>
      <c r="C341" s="141" t="n"/>
      <c r="D341" s="141" t="n"/>
      <c r="E341" s="141" t="n"/>
      <c r="F341" s="141" t="n"/>
      <c r="G341" s="143" t="n"/>
      <c r="H341" s="27" t="n"/>
    </row>
    <row r="342" ht="17.25" customHeight="1" s="322">
      <c r="A342" s="27" t="n"/>
      <c r="B342" s="506" t="n"/>
      <c r="C342" s="141" t="n"/>
      <c r="D342" s="141" t="n"/>
      <c r="E342" s="141" t="n"/>
      <c r="F342" s="141" t="n"/>
      <c r="G342" s="143" t="n"/>
      <c r="H342" s="27" t="n"/>
    </row>
    <row r="343" ht="17.25" customHeight="1" s="322">
      <c r="A343" s="27" t="n"/>
      <c r="B343" s="506" t="n"/>
      <c r="C343" s="141" t="n"/>
      <c r="D343" s="141" t="n"/>
      <c r="E343" s="141" t="n"/>
      <c r="F343" s="141" t="n"/>
      <c r="G343" s="143" t="n"/>
      <c r="H343" s="27" t="n"/>
    </row>
    <row r="344" ht="17.25" customHeight="1" s="322">
      <c r="A344" s="27" t="n"/>
      <c r="B344" s="506" t="n"/>
      <c r="C344" s="141" t="n"/>
      <c r="D344" s="141" t="n"/>
      <c r="E344" s="141" t="n"/>
      <c r="F344" s="141" t="n"/>
      <c r="G344" s="143" t="n"/>
      <c r="H344" s="27" t="n"/>
    </row>
    <row r="345" ht="17.25" customHeight="1" s="322">
      <c r="A345" s="27" t="n"/>
      <c r="B345" s="506" t="n"/>
      <c r="C345" s="141" t="n"/>
      <c r="D345" s="141" t="n"/>
      <c r="E345" s="141" t="n"/>
      <c r="F345" s="141" t="n"/>
      <c r="G345" s="143" t="n"/>
      <c r="H345" s="27" t="n"/>
    </row>
    <row r="346" ht="17.25" customHeight="1" s="322">
      <c r="A346" s="27" t="n"/>
      <c r="B346" s="506" t="n"/>
      <c r="C346" s="141" t="n"/>
      <c r="D346" s="141" t="n"/>
      <c r="E346" s="141" t="n"/>
      <c r="F346" s="141" t="n"/>
      <c r="G346" s="143" t="n"/>
      <c r="H346" s="27" t="n"/>
    </row>
    <row r="347" ht="17.25" customHeight="1" s="322">
      <c r="A347" s="27" t="n"/>
      <c r="B347" s="506" t="n"/>
      <c r="C347" s="141" t="n"/>
      <c r="D347" s="141" t="n"/>
      <c r="E347" s="141" t="n"/>
      <c r="F347" s="141" t="n"/>
      <c r="G347" s="143" t="n"/>
      <c r="H347" s="27" t="n"/>
    </row>
    <row r="348" ht="17.25" customHeight="1" s="322">
      <c r="A348" s="27" t="n"/>
      <c r="B348" s="506" t="n"/>
      <c r="C348" s="141" t="n"/>
      <c r="D348" s="141" t="n"/>
      <c r="E348" s="141" t="n"/>
      <c r="F348" s="141" t="n"/>
      <c r="G348" s="143" t="n"/>
      <c r="H348" s="27" t="n"/>
    </row>
    <row r="349" ht="17.25" customHeight="1" s="322">
      <c r="A349" s="27" t="n"/>
      <c r="B349" s="506" t="n"/>
      <c r="C349" s="141" t="n"/>
      <c r="D349" s="141" t="n"/>
      <c r="E349" s="141" t="n"/>
      <c r="F349" s="141" t="n"/>
      <c r="G349" s="143" t="n"/>
      <c r="H349" s="27" t="n"/>
    </row>
    <row r="350" ht="17.25" customHeight="1" s="322">
      <c r="A350" s="27" t="n"/>
      <c r="B350" s="506" t="n"/>
      <c r="C350" s="141" t="n"/>
      <c r="D350" s="141" t="n"/>
      <c r="E350" s="141" t="n"/>
      <c r="F350" s="141" t="n"/>
      <c r="G350" s="143" t="n"/>
      <c r="H350" s="27" t="n"/>
    </row>
    <row r="351" ht="17.25" customHeight="1" s="322">
      <c r="A351" s="27" t="n"/>
      <c r="B351" s="506" t="n"/>
      <c r="C351" s="141" t="n"/>
      <c r="D351" s="141" t="n"/>
      <c r="E351" s="141" t="n"/>
      <c r="F351" s="141" t="n"/>
      <c r="G351" s="143" t="n"/>
      <c r="H351" s="27" t="n"/>
    </row>
    <row r="352" ht="17.25" customHeight="1" s="322">
      <c r="A352" s="27" t="n"/>
      <c r="B352" s="506" t="n"/>
      <c r="C352" s="141" t="n"/>
      <c r="D352" s="141" t="n"/>
      <c r="E352" s="141" t="n"/>
      <c r="F352" s="141" t="n"/>
      <c r="G352" s="143" t="n"/>
      <c r="H352" s="27" t="n"/>
    </row>
    <row r="353" ht="17.25" customHeight="1" s="322">
      <c r="A353" s="27" t="n"/>
      <c r="B353" s="506" t="n"/>
      <c r="C353" s="141" t="n"/>
      <c r="D353" s="141" t="n"/>
      <c r="E353" s="141" t="n"/>
      <c r="F353" s="141" t="n"/>
      <c r="G353" s="143" t="n"/>
      <c r="H353" s="27" t="n"/>
    </row>
    <row r="354" ht="17.25" customHeight="1" s="322">
      <c r="A354" s="27" t="n"/>
      <c r="B354" s="506" t="n"/>
      <c r="C354" s="141" t="n"/>
      <c r="D354" s="141" t="n"/>
      <c r="E354" s="141" t="n"/>
      <c r="F354" s="141" t="n"/>
      <c r="G354" s="143" t="n"/>
      <c r="H354" s="27" t="n"/>
    </row>
    <row r="355" ht="17.25" customHeight="1" s="322">
      <c r="A355" s="27" t="n"/>
      <c r="B355" s="506" t="n"/>
      <c r="C355" s="141" t="n"/>
      <c r="D355" s="141" t="n"/>
      <c r="E355" s="141" t="n"/>
      <c r="F355" s="141" t="n"/>
      <c r="G355" s="143" t="n"/>
      <c r="H355" s="27" t="n"/>
    </row>
    <row r="356" ht="17.25" customHeight="1" s="322">
      <c r="A356" s="27" t="n"/>
      <c r="B356" s="506" t="n"/>
      <c r="C356" s="141" t="n"/>
      <c r="D356" s="141" t="n"/>
      <c r="E356" s="141" t="n"/>
      <c r="F356" s="141" t="n"/>
      <c r="G356" s="143" t="n"/>
      <c r="H356" s="27" t="n"/>
    </row>
    <row r="357" ht="17.25" customHeight="1" s="322">
      <c r="A357" s="27" t="n"/>
      <c r="B357" s="506" t="n"/>
      <c r="C357" s="141" t="n"/>
      <c r="D357" s="141" t="n"/>
      <c r="E357" s="141" t="n"/>
      <c r="F357" s="141" t="n"/>
      <c r="G357" s="143" t="n"/>
      <c r="H357" s="27" t="n"/>
    </row>
    <row r="358" ht="17.25" customHeight="1" s="322">
      <c r="A358" s="27" t="n"/>
      <c r="B358" s="506" t="n"/>
      <c r="C358" s="141" t="n"/>
      <c r="D358" s="141" t="n"/>
      <c r="E358" s="141" t="n"/>
      <c r="F358" s="141" t="n"/>
      <c r="G358" s="143" t="n"/>
      <c r="H358" s="27" t="n"/>
    </row>
    <row r="359" ht="17.25" customHeight="1" s="322">
      <c r="A359" s="27" t="n"/>
      <c r="B359" s="506" t="n"/>
      <c r="C359" s="141" t="n"/>
      <c r="D359" s="141" t="n"/>
      <c r="E359" s="141" t="n"/>
      <c r="F359" s="141" t="n"/>
      <c r="G359" s="143" t="n"/>
      <c r="H359" s="27" t="n"/>
    </row>
    <row r="360" ht="17.25" customHeight="1" s="322">
      <c r="A360" s="27" t="n"/>
      <c r="B360" s="506" t="n"/>
      <c r="C360" s="141" t="n"/>
      <c r="D360" s="141" t="n"/>
      <c r="E360" s="141" t="n"/>
      <c r="F360" s="141" t="n"/>
      <c r="G360" s="143" t="n"/>
      <c r="H360" s="27" t="n"/>
    </row>
    <row r="361" ht="17.25" customHeight="1" s="322">
      <c r="A361" s="27" t="n"/>
      <c r="B361" s="506" t="n"/>
      <c r="C361" s="141" t="n"/>
      <c r="D361" s="141" t="n"/>
      <c r="E361" s="141" t="n"/>
      <c r="F361" s="141" t="n"/>
      <c r="G361" s="143" t="n"/>
      <c r="H361" s="27" t="n"/>
    </row>
    <row r="362" ht="17.25" customHeight="1" s="322">
      <c r="A362" s="27" t="n"/>
      <c r="B362" s="506" t="n"/>
      <c r="C362" s="141" t="n"/>
      <c r="D362" s="141" t="n"/>
      <c r="E362" s="141" t="n"/>
      <c r="F362" s="141" t="n"/>
      <c r="G362" s="143" t="n"/>
      <c r="H362" s="27" t="n"/>
    </row>
    <row r="363" ht="17.25" customHeight="1" s="322">
      <c r="A363" s="27" t="n"/>
      <c r="B363" s="506" t="n"/>
      <c r="C363" s="141" t="n"/>
      <c r="D363" s="141" t="n"/>
      <c r="E363" s="141" t="n"/>
      <c r="F363" s="141" t="n"/>
      <c r="G363" s="143" t="n"/>
      <c r="H363" s="27" t="n"/>
    </row>
    <row r="364" ht="17.25" customHeight="1" s="322">
      <c r="A364" s="27" t="n"/>
      <c r="B364" s="506" t="n"/>
      <c r="C364" s="141" t="n"/>
      <c r="D364" s="141" t="n"/>
      <c r="E364" s="141" t="n"/>
      <c r="F364" s="141" t="n"/>
      <c r="G364" s="143" t="n"/>
      <c r="H364" s="27" t="n"/>
    </row>
    <row r="365" ht="17.25" customHeight="1" s="322">
      <c r="A365" s="27" t="n"/>
      <c r="B365" s="506" t="n"/>
      <c r="C365" s="141" t="n"/>
      <c r="D365" s="141" t="n"/>
      <c r="E365" s="141" t="n"/>
      <c r="F365" s="141" t="n"/>
      <c r="G365" s="143" t="n"/>
      <c r="H365" s="27" t="n"/>
    </row>
    <row r="366" ht="17.25" customHeight="1" s="322">
      <c r="A366" s="27" t="n"/>
      <c r="B366" s="506" t="n"/>
      <c r="C366" s="141" t="n"/>
      <c r="D366" s="141" t="n"/>
      <c r="E366" s="141" t="n"/>
      <c r="F366" s="141" t="n"/>
      <c r="G366" s="143" t="n"/>
      <c r="H366" s="27" t="n"/>
    </row>
    <row r="367" ht="17.25" customHeight="1" s="322">
      <c r="A367" s="27" t="n"/>
      <c r="B367" s="506" t="n"/>
      <c r="C367" s="141" t="n"/>
      <c r="D367" s="141" t="n"/>
      <c r="E367" s="141" t="n"/>
      <c r="F367" s="141" t="n"/>
      <c r="G367" s="143" t="n"/>
      <c r="H367" s="27" t="n"/>
    </row>
    <row r="368" ht="17.25" customHeight="1" s="322">
      <c r="A368" s="27" t="n"/>
      <c r="B368" s="506" t="n"/>
      <c r="C368" s="141" t="n"/>
      <c r="D368" s="141" t="n"/>
      <c r="E368" s="141" t="n"/>
      <c r="F368" s="141" t="n"/>
      <c r="G368" s="143" t="n"/>
      <c r="H368" s="27" t="n"/>
    </row>
    <row r="369" ht="17.25" customHeight="1" s="322">
      <c r="A369" s="27" t="n"/>
      <c r="B369" s="506" t="n"/>
      <c r="C369" s="141" t="n"/>
      <c r="D369" s="141" t="n"/>
      <c r="E369" s="141" t="n"/>
      <c r="F369" s="141" t="n"/>
      <c r="G369" s="143" t="n"/>
      <c r="H369" s="27" t="n"/>
    </row>
    <row r="370" ht="17.25" customHeight="1" s="322">
      <c r="A370" s="27" t="n"/>
      <c r="B370" s="506" t="n"/>
      <c r="C370" s="141" t="n"/>
      <c r="D370" s="141" t="n"/>
      <c r="E370" s="141" t="n"/>
      <c r="F370" s="141" t="n"/>
      <c r="G370" s="143" t="n"/>
      <c r="H370" s="27" t="n"/>
    </row>
    <row r="371" ht="17.25" customHeight="1" s="322">
      <c r="A371" s="27" t="n"/>
      <c r="B371" s="506" t="n"/>
      <c r="C371" s="141" t="n"/>
      <c r="D371" s="141" t="n"/>
      <c r="E371" s="141" t="n"/>
      <c r="F371" s="141" t="n"/>
      <c r="G371" s="143" t="n"/>
      <c r="H371" s="27" t="n"/>
    </row>
    <row r="372" ht="17.25" customHeight="1" s="322">
      <c r="A372" s="27" t="n"/>
      <c r="B372" s="506" t="n"/>
      <c r="C372" s="141" t="n"/>
      <c r="D372" s="141" t="n"/>
      <c r="E372" s="141" t="n"/>
      <c r="F372" s="141" t="n"/>
      <c r="G372" s="143" t="n"/>
      <c r="H372" s="27" t="n"/>
    </row>
    <row r="373" ht="17.25" customHeight="1" s="322">
      <c r="A373" s="27" t="n"/>
      <c r="B373" s="506" t="n"/>
      <c r="C373" s="141" t="n"/>
      <c r="D373" s="141" t="n"/>
      <c r="E373" s="141" t="n"/>
      <c r="F373" s="141" t="n"/>
      <c r="G373" s="143" t="n"/>
      <c r="H373" s="27" t="n"/>
    </row>
    <row r="374" ht="17.25" customHeight="1" s="322">
      <c r="A374" s="27" t="n"/>
      <c r="B374" s="506" t="n"/>
      <c r="C374" s="141" t="n"/>
      <c r="D374" s="141" t="n"/>
      <c r="E374" s="141" t="n"/>
      <c r="F374" s="141" t="n"/>
      <c r="G374" s="143" t="n"/>
      <c r="H374" s="27" t="n"/>
    </row>
    <row r="375" ht="17.25" customHeight="1" s="322">
      <c r="A375" s="27" t="n"/>
      <c r="B375" s="506" t="n"/>
      <c r="C375" s="141" t="n"/>
      <c r="D375" s="141" t="n"/>
      <c r="E375" s="141" t="n"/>
      <c r="F375" s="141" t="n"/>
      <c r="G375" s="143" t="n"/>
      <c r="H375" s="27" t="n"/>
    </row>
    <row r="376" ht="17.25" customHeight="1" s="322">
      <c r="A376" s="27" t="n"/>
      <c r="B376" s="506" t="n"/>
      <c r="C376" s="141" t="n"/>
      <c r="D376" s="141" t="n"/>
      <c r="E376" s="141" t="n"/>
      <c r="F376" s="141" t="n"/>
      <c r="G376" s="143" t="n"/>
      <c r="H376" s="27" t="n"/>
    </row>
    <row r="377" ht="17.25" customHeight="1" s="322">
      <c r="A377" s="27" t="n"/>
      <c r="B377" s="506" t="n"/>
      <c r="C377" s="141" t="n"/>
      <c r="D377" s="141" t="n"/>
      <c r="E377" s="141" t="n"/>
      <c r="F377" s="141" t="n"/>
      <c r="G377" s="143" t="n"/>
      <c r="H377" s="27" t="n"/>
    </row>
    <row r="378" ht="17.25" customHeight="1" s="322">
      <c r="A378" s="27" t="n"/>
      <c r="B378" s="506" t="n"/>
      <c r="C378" s="141" t="n"/>
      <c r="D378" s="141" t="n"/>
      <c r="E378" s="141" t="n"/>
      <c r="F378" s="141" t="n"/>
      <c r="G378" s="143" t="n"/>
      <c r="H378" s="27" t="n"/>
    </row>
    <row r="379" ht="17.25" customHeight="1" s="322">
      <c r="A379" s="27" t="n"/>
      <c r="B379" s="506" t="n"/>
      <c r="C379" s="141" t="n"/>
      <c r="D379" s="141" t="n"/>
      <c r="E379" s="141" t="n"/>
      <c r="F379" s="141" t="n"/>
      <c r="G379" s="143" t="n"/>
      <c r="H379" s="27" t="n"/>
    </row>
    <row r="380" ht="17.25" customHeight="1" s="322">
      <c r="A380" s="27" t="n"/>
      <c r="B380" s="506" t="n"/>
      <c r="C380" s="141" t="n"/>
      <c r="D380" s="141" t="n"/>
      <c r="E380" s="141" t="n"/>
      <c r="F380" s="141" t="n"/>
      <c r="G380" s="143" t="n"/>
      <c r="H380" s="27" t="n"/>
    </row>
    <row r="381" ht="17.25" customHeight="1" s="322">
      <c r="A381" s="27" t="n"/>
      <c r="B381" s="506" t="n"/>
      <c r="C381" s="141" t="n"/>
      <c r="D381" s="141" t="n"/>
      <c r="E381" s="141" t="n"/>
      <c r="F381" s="141" t="n"/>
      <c r="G381" s="143" t="n"/>
      <c r="H381" s="27" t="n"/>
    </row>
    <row r="382" ht="17.25" customHeight="1" s="322">
      <c r="A382" s="27" t="n"/>
      <c r="B382" s="506" t="n"/>
      <c r="C382" s="141" t="n"/>
      <c r="D382" s="141" t="n"/>
      <c r="E382" s="141" t="n"/>
      <c r="F382" s="141" t="n"/>
      <c r="G382" s="143" t="n"/>
      <c r="H382" s="27" t="n"/>
    </row>
    <row r="383" ht="17.25" customHeight="1" s="322">
      <c r="A383" s="27" t="n"/>
      <c r="B383" s="506" t="n"/>
      <c r="C383" s="141" t="n"/>
      <c r="D383" s="141" t="n"/>
      <c r="E383" s="141" t="n"/>
      <c r="F383" s="141" t="n"/>
      <c r="G383" s="143" t="n"/>
      <c r="H383" s="27" t="n"/>
    </row>
    <row r="384" ht="17.25" customHeight="1" s="322">
      <c r="A384" s="27" t="n"/>
      <c r="B384" s="506" t="n"/>
      <c r="C384" s="141" t="n"/>
      <c r="D384" s="141" t="n"/>
      <c r="E384" s="141" t="n"/>
      <c r="F384" s="141" t="n"/>
      <c r="G384" s="143" t="n"/>
      <c r="H384" s="27" t="n"/>
    </row>
    <row r="385" ht="17.25" customHeight="1" s="322">
      <c r="A385" s="27" t="n"/>
      <c r="B385" s="506" t="n"/>
      <c r="C385" s="141" t="n"/>
      <c r="D385" s="141" t="n"/>
      <c r="E385" s="141" t="n"/>
      <c r="F385" s="141" t="n"/>
      <c r="G385" s="143" t="n"/>
      <c r="H385" s="27" t="n"/>
    </row>
    <row r="386" ht="17.25" customHeight="1" s="322">
      <c r="A386" s="27" t="n"/>
      <c r="B386" s="506" t="n"/>
      <c r="C386" s="141" t="n"/>
      <c r="D386" s="141" t="n"/>
      <c r="E386" s="141" t="n"/>
      <c r="F386" s="141" t="n"/>
      <c r="G386" s="143" t="n"/>
      <c r="H386" s="27" t="n"/>
    </row>
    <row r="387" ht="17.25" customHeight="1" s="322">
      <c r="A387" s="27" t="n"/>
      <c r="B387" s="506" t="n"/>
      <c r="C387" s="141" t="n"/>
      <c r="D387" s="141" t="n"/>
      <c r="E387" s="141" t="n"/>
      <c r="F387" s="141" t="n"/>
      <c r="G387" s="143" t="n"/>
      <c r="H387" s="27" t="n"/>
    </row>
    <row r="388" ht="17.25" customHeight="1" s="322">
      <c r="A388" s="27" t="n"/>
      <c r="B388" s="506" t="n"/>
      <c r="C388" s="141" t="n"/>
      <c r="D388" s="141" t="n"/>
      <c r="E388" s="141" t="n"/>
      <c r="F388" s="141" t="n"/>
      <c r="G388" s="143" t="n"/>
      <c r="H388" s="27" t="n"/>
    </row>
    <row r="389" ht="17.25" customHeight="1" s="322">
      <c r="A389" s="27" t="n"/>
      <c r="B389" s="506" t="n"/>
      <c r="C389" s="141" t="n"/>
      <c r="D389" s="141" t="n"/>
      <c r="E389" s="141" t="n"/>
      <c r="F389" s="141" t="n"/>
      <c r="G389" s="143" t="n"/>
      <c r="H389" s="27" t="n"/>
    </row>
    <row r="390" ht="17.25" customHeight="1" s="322">
      <c r="A390" s="27" t="n"/>
      <c r="B390" s="506" t="n"/>
      <c r="C390" s="141" t="n"/>
      <c r="D390" s="141" t="n"/>
      <c r="E390" s="141" t="n"/>
      <c r="F390" s="141" t="n"/>
      <c r="G390" s="143" t="n"/>
      <c r="H390" s="27" t="n"/>
    </row>
    <row r="391" ht="17.25" customHeight="1" s="322">
      <c r="A391" s="27" t="n"/>
      <c r="B391" s="506" t="n"/>
      <c r="C391" s="141" t="n"/>
      <c r="D391" s="141" t="n"/>
      <c r="E391" s="141" t="n"/>
      <c r="F391" s="141" t="n"/>
      <c r="G391" s="143" t="n"/>
      <c r="H391" s="27" t="n"/>
    </row>
    <row r="392" ht="17.25" customHeight="1" s="322">
      <c r="A392" s="27" t="n"/>
      <c r="B392" s="506" t="n"/>
      <c r="C392" s="141" t="n"/>
      <c r="D392" s="141" t="n"/>
      <c r="E392" s="141" t="n"/>
      <c r="F392" s="141" t="n"/>
      <c r="G392" s="143" t="n"/>
      <c r="H392" s="27" t="n"/>
    </row>
    <row r="393" ht="17.25" customHeight="1" s="322">
      <c r="A393" s="27" t="n"/>
      <c r="B393" s="506" t="n"/>
      <c r="C393" s="141" t="n"/>
      <c r="D393" s="141" t="n"/>
      <c r="E393" s="141" t="n"/>
      <c r="F393" s="141" t="n"/>
      <c r="G393" s="143" t="n"/>
      <c r="H393" s="27" t="n"/>
    </row>
    <row r="394" ht="17.25" customHeight="1" s="322">
      <c r="A394" s="27" t="n"/>
      <c r="B394" s="506" t="n"/>
      <c r="C394" s="141" t="n"/>
      <c r="D394" s="141" t="n"/>
      <c r="E394" s="141" t="n"/>
      <c r="F394" s="141" t="n"/>
      <c r="G394" s="143" t="n"/>
      <c r="H394" s="27" t="n"/>
    </row>
    <row r="395" ht="17.25" customHeight="1" s="322">
      <c r="A395" s="27" t="n"/>
      <c r="B395" s="506" t="n"/>
      <c r="C395" s="141" t="n"/>
      <c r="D395" s="141" t="n"/>
      <c r="E395" s="141" t="n"/>
      <c r="F395" s="141" t="n"/>
      <c r="G395" s="143" t="n"/>
      <c r="H395" s="27" t="n"/>
    </row>
    <row r="396" ht="17.25" customHeight="1" s="322">
      <c r="A396" s="27" t="n"/>
      <c r="B396" s="506" t="n"/>
      <c r="C396" s="141" t="n"/>
      <c r="D396" s="141" t="n"/>
      <c r="E396" s="141" t="n"/>
      <c r="F396" s="141" t="n"/>
      <c r="G396" s="143" t="n"/>
      <c r="H396" s="27" t="n"/>
    </row>
    <row r="397" ht="17.25" customHeight="1" s="322">
      <c r="A397" s="27" t="n"/>
      <c r="B397" s="506" t="n"/>
      <c r="C397" s="141" t="n"/>
      <c r="D397" s="141" t="n"/>
      <c r="E397" s="141" t="n"/>
      <c r="F397" s="141" t="n"/>
      <c r="G397" s="143" t="n"/>
      <c r="H397" s="27" t="n"/>
    </row>
    <row r="398" ht="17.25" customHeight="1" s="322">
      <c r="A398" s="27" t="n"/>
      <c r="B398" s="506" t="n"/>
      <c r="C398" s="141" t="n"/>
      <c r="D398" s="141" t="n"/>
      <c r="E398" s="141" t="n"/>
      <c r="F398" s="141" t="n"/>
      <c r="G398" s="143" t="n"/>
      <c r="H398" s="27" t="n"/>
    </row>
    <row r="399" ht="17.25" customHeight="1" s="322">
      <c r="A399" s="27" t="n"/>
      <c r="B399" s="506" t="n"/>
      <c r="C399" s="141" t="n"/>
      <c r="D399" s="141" t="n"/>
      <c r="E399" s="141" t="n"/>
      <c r="F399" s="141" t="n"/>
      <c r="G399" s="143" t="n"/>
      <c r="H399" s="27" t="n"/>
    </row>
    <row r="400" ht="17.25" customHeight="1" s="322">
      <c r="A400" s="27" t="n"/>
      <c r="B400" s="506" t="n"/>
      <c r="C400" s="141" t="n"/>
      <c r="D400" s="141" t="n"/>
      <c r="E400" s="141" t="n"/>
      <c r="F400" s="141" t="n"/>
      <c r="G400" s="143" t="n"/>
      <c r="H400" s="27" t="n"/>
    </row>
    <row r="401" ht="17.25" customHeight="1" s="322">
      <c r="A401" s="27" t="n"/>
      <c r="B401" s="506" t="n"/>
      <c r="C401" s="141" t="n"/>
      <c r="D401" s="141" t="n"/>
      <c r="E401" s="141" t="n"/>
      <c r="F401" s="141" t="n"/>
      <c r="G401" s="143" t="n"/>
      <c r="H401" s="27" t="n"/>
    </row>
    <row r="402" ht="17.25" customHeight="1" s="322">
      <c r="A402" s="27" t="n"/>
      <c r="B402" s="506" t="n"/>
      <c r="C402" s="141" t="n"/>
      <c r="D402" s="141" t="n"/>
      <c r="E402" s="141" t="n"/>
      <c r="F402" s="141" t="n"/>
      <c r="G402" s="143" t="n"/>
      <c r="H402" s="27" t="n"/>
    </row>
    <row r="403" ht="17.25" customHeight="1" s="322">
      <c r="A403" s="27" t="n"/>
      <c r="B403" s="506" t="n"/>
      <c r="C403" s="141" t="n"/>
      <c r="D403" s="141" t="n"/>
      <c r="E403" s="141" t="n"/>
      <c r="F403" s="141" t="n"/>
      <c r="G403" s="143" t="n"/>
      <c r="H403" s="27" t="n"/>
    </row>
    <row r="404" ht="17.25" customHeight="1" s="322">
      <c r="A404" s="27" t="n"/>
      <c r="B404" s="506" t="n"/>
      <c r="C404" s="141" t="n"/>
      <c r="D404" s="141" t="n"/>
      <c r="E404" s="141" t="n"/>
      <c r="F404" s="141" t="n"/>
      <c r="G404" s="143" t="n"/>
      <c r="H404" s="27" t="n"/>
    </row>
    <row r="405" ht="17.25" customHeight="1" s="322">
      <c r="A405" s="27" t="n"/>
      <c r="B405" s="506" t="n"/>
      <c r="C405" s="141" t="n"/>
      <c r="D405" s="141" t="n"/>
      <c r="E405" s="141" t="n"/>
      <c r="F405" s="141" t="n"/>
      <c r="G405" s="143" t="n"/>
      <c r="H405" s="27" t="n"/>
    </row>
    <row r="406" ht="17.25" customHeight="1" s="322">
      <c r="A406" s="27" t="n"/>
      <c r="B406" s="506" t="n"/>
      <c r="C406" s="141" t="n"/>
      <c r="D406" s="141" t="n"/>
      <c r="E406" s="141" t="n"/>
      <c r="F406" s="141" t="n"/>
      <c r="G406" s="143" t="n"/>
      <c r="H406" s="27" t="n"/>
    </row>
    <row r="407" ht="17.25" customHeight="1" s="322">
      <c r="A407" s="27" t="n"/>
      <c r="B407" s="506" t="n"/>
      <c r="C407" s="141" t="n"/>
      <c r="D407" s="141" t="n"/>
      <c r="E407" s="141" t="n"/>
      <c r="F407" s="141" t="n"/>
      <c r="G407" s="143" t="n"/>
      <c r="H407" s="27" t="n"/>
    </row>
    <row r="408" ht="17.25" customHeight="1" s="322">
      <c r="A408" s="27" t="n"/>
      <c r="B408" s="506" t="n"/>
      <c r="C408" s="141" t="n"/>
      <c r="D408" s="141" t="n"/>
      <c r="E408" s="141" t="n"/>
      <c r="F408" s="141" t="n"/>
      <c r="G408" s="143" t="n"/>
      <c r="H408" s="27" t="n"/>
    </row>
    <row r="409" ht="17.25" customHeight="1" s="322">
      <c r="A409" s="27" t="n"/>
      <c r="B409" s="506" t="n"/>
      <c r="C409" s="141" t="n"/>
      <c r="D409" s="141" t="n"/>
      <c r="E409" s="141" t="n"/>
      <c r="F409" s="141" t="n"/>
      <c r="G409" s="143" t="n"/>
      <c r="H409" s="27" t="n"/>
    </row>
    <row r="410" ht="17.25" customHeight="1" s="322">
      <c r="A410" s="27" t="n"/>
      <c r="B410" s="506" t="n"/>
      <c r="C410" s="141" t="n"/>
      <c r="D410" s="141" t="n"/>
      <c r="E410" s="141" t="n"/>
      <c r="F410" s="141" t="n"/>
      <c r="G410" s="143" t="n"/>
      <c r="H410" s="27" t="n"/>
    </row>
    <row r="411" ht="17.25" customHeight="1" s="322">
      <c r="A411" s="27" t="n"/>
      <c r="B411" s="506" t="n"/>
      <c r="C411" s="141" t="n"/>
      <c r="D411" s="141" t="n"/>
      <c r="E411" s="141" t="n"/>
      <c r="F411" s="141" t="n"/>
      <c r="G411" s="143" t="n"/>
      <c r="H411" s="27" t="n"/>
    </row>
    <row r="412" ht="17.25" customHeight="1" s="322">
      <c r="A412" s="27" t="n"/>
      <c r="B412" s="506" t="n"/>
      <c r="C412" s="141" t="n"/>
      <c r="D412" s="141" t="n"/>
      <c r="E412" s="141" t="n"/>
      <c r="F412" s="141" t="n"/>
      <c r="G412" s="143" t="n"/>
      <c r="H412" s="27" t="n"/>
    </row>
    <row r="413" ht="17.25" customHeight="1" s="322">
      <c r="A413" s="27" t="n"/>
      <c r="B413" s="506" t="n"/>
      <c r="C413" s="141" t="n"/>
      <c r="D413" s="141" t="n"/>
      <c r="E413" s="141" t="n"/>
      <c r="F413" s="141" t="n"/>
      <c r="G413" s="143" t="n"/>
      <c r="H413" s="27" t="n"/>
    </row>
    <row r="414" ht="17.25" customHeight="1" s="322">
      <c r="A414" s="27" t="n"/>
      <c r="B414" s="506" t="n"/>
      <c r="C414" s="141" t="n"/>
      <c r="D414" s="141" t="n"/>
      <c r="E414" s="141" t="n"/>
      <c r="F414" s="141" t="n"/>
      <c r="G414" s="143" t="n"/>
      <c r="H414" s="27" t="n"/>
    </row>
    <row r="415" ht="17.25" customHeight="1" s="322">
      <c r="A415" s="27" t="n"/>
      <c r="B415" s="506" t="n"/>
      <c r="C415" s="141" t="n"/>
      <c r="D415" s="141" t="n"/>
      <c r="E415" s="141" t="n"/>
      <c r="F415" s="141" t="n"/>
      <c r="G415" s="143" t="n"/>
      <c r="H415" s="27" t="n"/>
    </row>
    <row r="416" ht="17.25" customHeight="1" s="322">
      <c r="A416" s="27" t="n"/>
      <c r="B416" s="506" t="n"/>
      <c r="C416" s="141" t="n"/>
      <c r="D416" s="141" t="n"/>
      <c r="E416" s="141" t="n"/>
      <c r="F416" s="141" t="n"/>
      <c r="G416" s="143" t="n"/>
      <c r="H416" s="27" t="n"/>
    </row>
    <row r="417" ht="17.25" customHeight="1" s="322">
      <c r="A417" s="27" t="n"/>
      <c r="B417" s="506" t="n"/>
      <c r="C417" s="141" t="n"/>
      <c r="D417" s="141" t="n"/>
      <c r="E417" s="141" t="n"/>
      <c r="F417" s="141" t="n"/>
      <c r="G417" s="143" t="n"/>
      <c r="H417" s="27" t="n"/>
    </row>
    <row r="418" ht="17.25" customHeight="1" s="322">
      <c r="A418" s="27" t="n"/>
      <c r="B418" s="506" t="n"/>
      <c r="C418" s="141" t="n"/>
      <c r="D418" s="141" t="n"/>
      <c r="E418" s="141" t="n"/>
      <c r="F418" s="141" t="n"/>
      <c r="G418" s="143" t="n"/>
      <c r="H418" s="27" t="n"/>
    </row>
    <row r="419" ht="17.25" customHeight="1" s="322">
      <c r="A419" s="27" t="n"/>
      <c r="B419" s="506" t="n"/>
      <c r="C419" s="141" t="n"/>
      <c r="D419" s="141" t="n"/>
      <c r="E419" s="141" t="n"/>
      <c r="F419" s="141" t="n"/>
      <c r="G419" s="143" t="n"/>
      <c r="H419" s="27" t="n"/>
    </row>
    <row r="420" ht="17.25" customHeight="1" s="322">
      <c r="A420" s="27" t="n"/>
      <c r="B420" s="506" t="n"/>
      <c r="C420" s="141" t="n"/>
      <c r="D420" s="141" t="n"/>
      <c r="E420" s="141" t="n"/>
      <c r="F420" s="141" t="n"/>
      <c r="G420" s="143" t="n"/>
      <c r="H420" s="27" t="n"/>
    </row>
    <row r="421" ht="17.25" customHeight="1" s="322">
      <c r="A421" s="27" t="n"/>
      <c r="B421" s="506" t="n"/>
      <c r="C421" s="141" t="n"/>
      <c r="D421" s="141" t="n"/>
      <c r="E421" s="141" t="n"/>
      <c r="F421" s="141" t="n"/>
      <c r="G421" s="143" t="n"/>
      <c r="H421" s="27" t="n"/>
    </row>
    <row r="422" ht="17.25" customHeight="1" s="322">
      <c r="A422" s="27" t="n"/>
      <c r="B422" s="506" t="n"/>
      <c r="C422" s="141" t="n"/>
      <c r="D422" s="141" t="n"/>
      <c r="E422" s="141" t="n"/>
      <c r="F422" s="141" t="n"/>
      <c r="G422" s="143" t="n"/>
      <c r="H422" s="27" t="n"/>
    </row>
    <row r="423" ht="17.25" customHeight="1" s="322">
      <c r="A423" s="27" t="n"/>
      <c r="B423" s="506" t="n"/>
      <c r="C423" s="141" t="n"/>
      <c r="D423" s="141" t="n"/>
      <c r="E423" s="141" t="n"/>
      <c r="F423" s="141" t="n"/>
      <c r="G423" s="143" t="n"/>
      <c r="H423" s="27" t="n"/>
    </row>
    <row r="424" ht="17.25" customHeight="1" s="322">
      <c r="A424" s="27" t="n"/>
      <c r="B424" s="506" t="n"/>
      <c r="C424" s="141" t="n"/>
      <c r="D424" s="141" t="n"/>
      <c r="E424" s="141" t="n"/>
      <c r="F424" s="141" t="n"/>
      <c r="G424" s="143" t="n"/>
      <c r="H424" s="27" t="n"/>
    </row>
    <row r="425" ht="17.25" customHeight="1" s="322">
      <c r="A425" s="27" t="n"/>
      <c r="B425" s="506" t="n"/>
      <c r="C425" s="141" t="n"/>
      <c r="D425" s="141" t="n"/>
      <c r="E425" s="141" t="n"/>
      <c r="F425" s="141" t="n"/>
      <c r="G425" s="143" t="n"/>
      <c r="H425" s="27" t="n"/>
    </row>
    <row r="426" ht="17.25" customHeight="1" s="322">
      <c r="A426" s="27" t="n"/>
      <c r="B426" s="506" t="n"/>
      <c r="C426" s="141" t="n"/>
      <c r="D426" s="141" t="n"/>
      <c r="E426" s="141" t="n"/>
      <c r="F426" s="141" t="n"/>
      <c r="G426" s="143" t="n"/>
      <c r="H426" s="27" t="n"/>
    </row>
    <row r="427" ht="17.25" customHeight="1" s="322">
      <c r="A427" s="27" t="n"/>
      <c r="B427" s="506" t="n"/>
      <c r="C427" s="141" t="n"/>
      <c r="D427" s="141" t="n"/>
      <c r="E427" s="141" t="n"/>
      <c r="F427" s="141" t="n"/>
      <c r="G427" s="143" t="n"/>
      <c r="H427" s="27" t="n"/>
    </row>
    <row r="428" ht="17.25" customHeight="1" s="322">
      <c r="A428" s="27" t="n"/>
      <c r="B428" s="506" t="n"/>
      <c r="C428" s="141" t="n"/>
      <c r="D428" s="141" t="n"/>
      <c r="E428" s="141" t="n"/>
      <c r="F428" s="141" t="n"/>
      <c r="G428" s="143" t="n"/>
      <c r="H428" s="27" t="n"/>
    </row>
    <row r="429" ht="17.25" customHeight="1" s="322">
      <c r="A429" s="27" t="n"/>
      <c r="B429" s="506" t="n"/>
      <c r="C429" s="141" t="n"/>
      <c r="D429" s="141" t="n"/>
      <c r="E429" s="141" t="n"/>
      <c r="F429" s="141" t="n"/>
      <c r="G429" s="143" t="n"/>
      <c r="H429" s="27" t="n"/>
    </row>
    <row r="430" ht="17.25" customHeight="1" s="322">
      <c r="A430" s="27" t="n"/>
      <c r="B430" s="506" t="n"/>
      <c r="C430" s="141" t="n"/>
      <c r="D430" s="141" t="n"/>
      <c r="E430" s="141" t="n"/>
      <c r="F430" s="141" t="n"/>
      <c r="G430" s="143" t="n"/>
      <c r="H430" s="27" t="n"/>
    </row>
    <row r="431" ht="17.25" customHeight="1" s="322">
      <c r="A431" s="27" t="n"/>
      <c r="B431" s="506" t="n"/>
      <c r="C431" s="141" t="n"/>
      <c r="D431" s="141" t="n"/>
      <c r="E431" s="141" t="n"/>
      <c r="F431" s="141" t="n"/>
      <c r="G431" s="143" t="n"/>
      <c r="H431" s="27" t="n"/>
    </row>
    <row r="432" ht="17.25" customHeight="1" s="322">
      <c r="A432" s="27" t="n"/>
      <c r="B432" s="506" t="n"/>
      <c r="C432" s="141" t="n"/>
      <c r="D432" s="141" t="n"/>
      <c r="E432" s="141" t="n"/>
      <c r="F432" s="141" t="n"/>
      <c r="G432" s="143" t="n"/>
      <c r="H432" s="27" t="n"/>
    </row>
    <row r="433" ht="17.25" customHeight="1" s="322">
      <c r="A433" s="27" t="n"/>
      <c r="B433" s="506" t="n"/>
      <c r="C433" s="141" t="n"/>
      <c r="D433" s="141" t="n"/>
      <c r="E433" s="141" t="n"/>
      <c r="F433" s="141" t="n"/>
      <c r="G433" s="143" t="n"/>
      <c r="H433" s="27" t="n"/>
    </row>
    <row r="434" ht="17.25" customHeight="1" s="322">
      <c r="A434" s="27" t="n"/>
      <c r="B434" s="506" t="n"/>
      <c r="C434" s="141" t="n"/>
      <c r="D434" s="141" t="n"/>
      <c r="E434" s="141" t="n"/>
      <c r="F434" s="141" t="n"/>
      <c r="G434" s="143" t="n"/>
      <c r="H434" s="27" t="n"/>
    </row>
    <row r="435" ht="17.25" customHeight="1" s="322">
      <c r="A435" s="27" t="n"/>
      <c r="B435" s="506" t="n"/>
      <c r="C435" s="141" t="n"/>
      <c r="D435" s="141" t="n"/>
      <c r="E435" s="141" t="n"/>
      <c r="F435" s="141" t="n"/>
      <c r="G435" s="143" t="n"/>
      <c r="H435" s="27" t="n"/>
    </row>
    <row r="436" ht="17.25" customHeight="1" s="322">
      <c r="A436" s="27" t="n"/>
      <c r="B436" s="506" t="n"/>
      <c r="C436" s="141" t="n"/>
      <c r="D436" s="141" t="n"/>
      <c r="E436" s="141" t="n"/>
      <c r="F436" s="141" t="n"/>
      <c r="G436" s="143" t="n"/>
      <c r="H436" s="27" t="n"/>
    </row>
    <row r="437" ht="17.25" customHeight="1" s="322">
      <c r="A437" s="27" t="n"/>
      <c r="B437" s="506" t="n"/>
      <c r="C437" s="141" t="n"/>
      <c r="D437" s="141" t="n"/>
      <c r="E437" s="141" t="n"/>
      <c r="F437" s="141" t="n"/>
      <c r="G437" s="143" t="n"/>
      <c r="H437" s="27" t="n"/>
    </row>
    <row r="438" ht="17.25" customHeight="1" s="322">
      <c r="A438" s="27" t="n"/>
      <c r="B438" s="506" t="n"/>
      <c r="C438" s="141" t="n"/>
      <c r="D438" s="141" t="n"/>
      <c r="E438" s="141" t="n"/>
      <c r="F438" s="141" t="n"/>
      <c r="G438" s="143" t="n"/>
      <c r="H438" s="27" t="n"/>
    </row>
    <row r="439" ht="17.25" customHeight="1" s="322">
      <c r="A439" s="27" t="n"/>
      <c r="B439" s="506" t="n"/>
      <c r="C439" s="141" t="n"/>
      <c r="D439" s="141" t="n"/>
      <c r="E439" s="141" t="n"/>
      <c r="F439" s="141" t="n"/>
      <c r="G439" s="143" t="n"/>
      <c r="H439" s="27" t="n"/>
    </row>
    <row r="440" ht="17.25" customHeight="1" s="322">
      <c r="A440" s="27" t="n"/>
      <c r="B440" s="506" t="n"/>
      <c r="C440" s="141" t="n"/>
      <c r="D440" s="141" t="n"/>
      <c r="E440" s="141" t="n"/>
      <c r="F440" s="141" t="n"/>
      <c r="G440" s="143" t="n"/>
      <c r="H440" s="27" t="n"/>
    </row>
    <row r="441" ht="17.25" customHeight="1" s="322">
      <c r="A441" s="27" t="n"/>
      <c r="B441" s="506" t="n"/>
      <c r="C441" s="141" t="n"/>
      <c r="D441" s="141" t="n"/>
      <c r="E441" s="141" t="n"/>
      <c r="F441" s="141" t="n"/>
      <c r="G441" s="143" t="n"/>
      <c r="H441" s="27" t="n"/>
    </row>
    <row r="442" ht="17.25" customHeight="1" s="322">
      <c r="A442" s="27" t="n"/>
      <c r="B442" s="506" t="n"/>
      <c r="C442" s="141" t="n"/>
      <c r="D442" s="141" t="n"/>
      <c r="E442" s="141" t="n"/>
      <c r="F442" s="141" t="n"/>
      <c r="G442" s="143" t="n"/>
      <c r="H442" s="27" t="n"/>
    </row>
    <row r="443" ht="17.25" customHeight="1" s="322">
      <c r="A443" s="27" t="n"/>
      <c r="B443" s="506" t="n"/>
      <c r="C443" s="141" t="n"/>
      <c r="D443" s="141" t="n"/>
      <c r="E443" s="141" t="n"/>
      <c r="F443" s="141" t="n"/>
      <c r="G443" s="143" t="n"/>
      <c r="H443" s="27" t="n"/>
    </row>
    <row r="444" ht="17.25" customHeight="1" s="322">
      <c r="A444" s="27" t="n"/>
      <c r="B444" s="506" t="n"/>
      <c r="C444" s="141" t="n"/>
      <c r="D444" s="141" t="n"/>
      <c r="E444" s="141" t="n"/>
      <c r="F444" s="141" t="n"/>
      <c r="G444" s="143" t="n"/>
      <c r="H444" s="27" t="n"/>
    </row>
    <row r="445" ht="17.25" customHeight="1" s="322">
      <c r="A445" s="27" t="n"/>
      <c r="B445" s="506" t="n"/>
      <c r="C445" s="141" t="n"/>
      <c r="D445" s="141" t="n"/>
      <c r="E445" s="141" t="n"/>
      <c r="F445" s="141" t="n"/>
      <c r="G445" s="143" t="n"/>
      <c r="H445" s="27" t="n"/>
    </row>
    <row r="446" ht="17.25" customHeight="1" s="322">
      <c r="A446" s="27" t="n"/>
      <c r="B446" s="506" t="n"/>
      <c r="C446" s="141" t="n"/>
      <c r="D446" s="141" t="n"/>
      <c r="E446" s="141" t="n"/>
      <c r="F446" s="141" t="n"/>
      <c r="G446" s="143" t="n"/>
      <c r="H446" s="27" t="n"/>
    </row>
    <row r="447" ht="17.25" customHeight="1" s="322">
      <c r="A447" s="27" t="n"/>
      <c r="B447" s="506" t="n"/>
      <c r="C447" s="141" t="n"/>
      <c r="D447" s="141" t="n"/>
      <c r="E447" s="141" t="n"/>
      <c r="F447" s="141" t="n"/>
      <c r="G447" s="143" t="n"/>
      <c r="H447" s="27" t="n"/>
    </row>
    <row r="448" ht="17.25" customHeight="1" s="322">
      <c r="A448" s="27" t="n"/>
      <c r="B448" s="506" t="n"/>
      <c r="C448" s="141" t="n"/>
      <c r="D448" s="141" t="n"/>
      <c r="E448" s="141" t="n"/>
      <c r="F448" s="141" t="n"/>
      <c r="G448" s="143" t="n"/>
      <c r="H448" s="27" t="n"/>
    </row>
    <row r="449" ht="17.25" customHeight="1" s="322">
      <c r="A449" s="27" t="n"/>
      <c r="B449" s="506" t="n"/>
      <c r="C449" s="141" t="n"/>
      <c r="D449" s="141" t="n"/>
      <c r="E449" s="141" t="n"/>
      <c r="F449" s="141" t="n"/>
      <c r="G449" s="143" t="n"/>
      <c r="H449" s="27" t="n"/>
    </row>
    <row r="450" ht="17.25" customHeight="1" s="322">
      <c r="A450" s="27" t="n"/>
      <c r="B450" s="506" t="n"/>
      <c r="C450" s="141" t="n"/>
      <c r="D450" s="141" t="n"/>
      <c r="E450" s="141" t="n"/>
      <c r="F450" s="141" t="n"/>
      <c r="G450" s="143" t="n"/>
      <c r="H450" s="27" t="n"/>
    </row>
    <row r="451" ht="17.25" customHeight="1" s="322">
      <c r="A451" s="27" t="n"/>
      <c r="B451" s="506" t="n"/>
      <c r="C451" s="141" t="n"/>
      <c r="D451" s="141" t="n"/>
      <c r="E451" s="141" t="n"/>
      <c r="F451" s="141" t="n"/>
      <c r="G451" s="143" t="n"/>
      <c r="H451" s="27" t="n"/>
    </row>
    <row r="452" ht="17.25" customHeight="1" s="322">
      <c r="A452" s="27" t="n"/>
      <c r="B452" s="506" t="n"/>
      <c r="C452" s="141" t="n"/>
      <c r="D452" s="141" t="n"/>
      <c r="E452" s="141" t="n"/>
      <c r="F452" s="141" t="n"/>
      <c r="G452" s="143" t="n"/>
      <c r="H452" s="27" t="n"/>
    </row>
    <row r="453" ht="17.25" customHeight="1" s="322">
      <c r="A453" s="27" t="n"/>
      <c r="B453" s="506" t="n"/>
      <c r="C453" s="141" t="n"/>
      <c r="D453" s="141" t="n"/>
      <c r="E453" s="141" t="n"/>
      <c r="F453" s="141" t="n"/>
      <c r="G453" s="143" t="n"/>
      <c r="H453" s="27" t="n"/>
    </row>
    <row r="454" ht="17.25" customHeight="1" s="322">
      <c r="A454" s="27" t="n"/>
      <c r="B454" s="506" t="n"/>
      <c r="C454" s="141" t="n"/>
      <c r="D454" s="141" t="n"/>
      <c r="E454" s="141" t="n"/>
      <c r="F454" s="141" t="n"/>
      <c r="G454" s="143" t="n"/>
      <c r="H454" s="27" t="n"/>
    </row>
    <row r="455" ht="17.25" customHeight="1" s="322">
      <c r="A455" s="27" t="n"/>
      <c r="B455" s="506" t="n"/>
      <c r="C455" s="141" t="n"/>
      <c r="D455" s="141" t="n"/>
      <c r="E455" s="141" t="n"/>
      <c r="F455" s="141" t="n"/>
      <c r="G455" s="143" t="n"/>
      <c r="H455" s="27" t="n"/>
    </row>
    <row r="456" ht="17.25" customHeight="1" s="322">
      <c r="A456" s="27" t="n"/>
      <c r="B456" s="506" t="n"/>
      <c r="C456" s="141" t="n"/>
      <c r="D456" s="141" t="n"/>
      <c r="E456" s="141" t="n"/>
      <c r="F456" s="141" t="n"/>
      <c r="G456" s="143" t="n"/>
      <c r="H456" s="27" t="n"/>
    </row>
    <row r="457" ht="17.25" customHeight="1" s="322">
      <c r="A457" s="27" t="n"/>
      <c r="B457" s="506" t="n"/>
      <c r="C457" s="141" t="n"/>
      <c r="D457" s="141" t="n"/>
      <c r="E457" s="141" t="n"/>
      <c r="F457" s="141" t="n"/>
      <c r="G457" s="143" t="n"/>
      <c r="H457" s="27" t="n"/>
    </row>
    <row r="458" ht="17.25" customHeight="1" s="322">
      <c r="A458" s="27" t="n"/>
      <c r="B458" s="506" t="n"/>
      <c r="C458" s="141" t="n"/>
      <c r="D458" s="141" t="n"/>
      <c r="E458" s="141" t="n"/>
      <c r="F458" s="141" t="n"/>
      <c r="G458" s="143" t="n"/>
      <c r="H458" s="27" t="n"/>
    </row>
    <row r="459" ht="17.25" customHeight="1" s="322">
      <c r="A459" s="27" t="n"/>
      <c r="B459" s="506" t="n"/>
      <c r="C459" s="141" t="n"/>
      <c r="D459" s="141" t="n"/>
      <c r="E459" s="141" t="n"/>
      <c r="F459" s="141" t="n"/>
      <c r="G459" s="143" t="n"/>
      <c r="H459" s="27" t="n"/>
    </row>
    <row r="460" ht="17.25" customHeight="1" s="322">
      <c r="A460" s="27" t="n"/>
      <c r="B460" s="506" t="n"/>
      <c r="C460" s="141" t="n"/>
      <c r="D460" s="141" t="n"/>
      <c r="E460" s="141" t="n"/>
      <c r="F460" s="141" t="n"/>
      <c r="G460" s="143" t="n"/>
      <c r="H460" s="27" t="n"/>
    </row>
    <row r="461" ht="17.25" customHeight="1" s="322">
      <c r="A461" s="27" t="n"/>
      <c r="B461" s="506" t="n"/>
      <c r="C461" s="141" t="n"/>
      <c r="D461" s="141" t="n"/>
      <c r="E461" s="141" t="n"/>
      <c r="F461" s="141" t="n"/>
      <c r="G461" s="143" t="n"/>
      <c r="H461" s="27" t="n"/>
    </row>
    <row r="462" ht="17.25" customHeight="1" s="322">
      <c r="A462" s="27" t="n"/>
      <c r="B462" s="506" t="n"/>
      <c r="C462" s="141" t="n"/>
      <c r="D462" s="141" t="n"/>
      <c r="E462" s="141" t="n"/>
      <c r="F462" s="141" t="n"/>
      <c r="G462" s="143" t="n"/>
      <c r="H462" s="27" t="n"/>
    </row>
    <row r="463" ht="17.25" customHeight="1" s="322">
      <c r="A463" s="27" t="n"/>
      <c r="B463" s="506" t="n"/>
      <c r="C463" s="141" t="n"/>
      <c r="D463" s="141" t="n"/>
      <c r="E463" s="141" t="n"/>
      <c r="F463" s="141" t="n"/>
      <c r="G463" s="143" t="n"/>
      <c r="H463" s="27" t="n"/>
    </row>
    <row r="464" ht="17.25" customHeight="1" s="322">
      <c r="A464" s="27" t="n"/>
      <c r="B464" s="506" t="n"/>
      <c r="C464" s="141" t="n"/>
      <c r="D464" s="141" t="n"/>
      <c r="E464" s="141" t="n"/>
      <c r="F464" s="141" t="n"/>
      <c r="G464" s="143" t="n"/>
      <c r="H464" s="27" t="n"/>
    </row>
    <row r="465" ht="17.25" customHeight="1" s="322">
      <c r="A465" s="27" t="n"/>
      <c r="B465" s="506" t="n"/>
      <c r="C465" s="141" t="n"/>
      <c r="D465" s="141" t="n"/>
      <c r="E465" s="141" t="n"/>
      <c r="F465" s="141" t="n"/>
      <c r="G465" s="143" t="n"/>
      <c r="H465" s="27" t="n"/>
    </row>
    <row r="466" ht="17.25" customHeight="1" s="322">
      <c r="A466" s="27" t="n"/>
      <c r="B466" s="506" t="n"/>
      <c r="C466" s="141" t="n"/>
      <c r="D466" s="141" t="n"/>
      <c r="E466" s="141" t="n"/>
      <c r="F466" s="141" t="n"/>
      <c r="G466" s="143" t="n"/>
      <c r="H466" s="27" t="n"/>
    </row>
    <row r="467" ht="17.25" customHeight="1" s="322">
      <c r="A467" s="27" t="n"/>
      <c r="B467" s="506" t="n"/>
      <c r="C467" s="141" t="n"/>
      <c r="D467" s="141" t="n"/>
      <c r="E467" s="141" t="n"/>
      <c r="F467" s="141" t="n"/>
      <c r="G467" s="143" t="n"/>
      <c r="H467" s="27" t="n"/>
    </row>
    <row r="468" ht="17.25" customHeight="1" s="322">
      <c r="A468" s="27" t="n"/>
      <c r="B468" s="506" t="n"/>
      <c r="C468" s="141" t="n"/>
      <c r="D468" s="141" t="n"/>
      <c r="E468" s="141" t="n"/>
      <c r="F468" s="141" t="n"/>
      <c r="G468" s="143" t="n"/>
      <c r="H468" s="27" t="n"/>
    </row>
    <row r="469" ht="17.25" customHeight="1" s="322">
      <c r="A469" s="27" t="n"/>
      <c r="B469" s="506" t="n"/>
      <c r="C469" s="141" t="n"/>
      <c r="D469" s="141" t="n"/>
      <c r="E469" s="141" t="n"/>
      <c r="F469" s="141" t="n"/>
      <c r="G469" s="143" t="n"/>
      <c r="H469" s="27" t="n"/>
    </row>
    <row r="470" ht="17.25" customHeight="1" s="322">
      <c r="A470" s="27" t="n"/>
      <c r="B470" s="506" t="n"/>
      <c r="C470" s="141" t="n"/>
      <c r="D470" s="141" t="n"/>
      <c r="E470" s="141" t="n"/>
      <c r="F470" s="141" t="n"/>
      <c r="G470" s="143" t="n"/>
      <c r="H470" s="27" t="n"/>
    </row>
    <row r="471" ht="17.25" customHeight="1" s="322">
      <c r="A471" s="27" t="n"/>
      <c r="B471" s="506" t="n"/>
      <c r="C471" s="141" t="n"/>
      <c r="D471" s="141" t="n"/>
      <c r="E471" s="141" t="n"/>
      <c r="F471" s="141" t="n"/>
      <c r="G471" s="143" t="n"/>
      <c r="H471" s="27" t="n"/>
    </row>
    <row r="472" ht="17.25" customHeight="1" s="322">
      <c r="A472" s="27" t="n"/>
      <c r="B472" s="506" t="n"/>
      <c r="C472" s="141" t="n"/>
      <c r="D472" s="141" t="n"/>
      <c r="E472" s="141" t="n"/>
      <c r="F472" s="141" t="n"/>
      <c r="G472" s="143" t="n"/>
      <c r="H472" s="27" t="n"/>
    </row>
    <row r="473" ht="17.25" customHeight="1" s="322">
      <c r="A473" s="27" t="n"/>
      <c r="B473" s="506" t="n"/>
      <c r="C473" s="141" t="n"/>
      <c r="D473" s="141" t="n"/>
      <c r="E473" s="141" t="n"/>
      <c r="F473" s="141" t="n"/>
      <c r="G473" s="143" t="n"/>
      <c r="H473" s="27" t="n"/>
    </row>
    <row r="474" ht="17.25" customHeight="1" s="322">
      <c r="A474" s="27" t="n"/>
      <c r="B474" s="506" t="n"/>
      <c r="C474" s="141" t="n"/>
      <c r="D474" s="141" t="n"/>
      <c r="E474" s="141" t="n"/>
      <c r="F474" s="141" t="n"/>
      <c r="G474" s="143" t="n"/>
      <c r="H474" s="27" t="n"/>
    </row>
    <row r="475" ht="17.25" customHeight="1" s="322">
      <c r="A475" s="27" t="n"/>
      <c r="B475" s="506" t="n"/>
      <c r="C475" s="141" t="n"/>
      <c r="D475" s="141" t="n"/>
      <c r="E475" s="141" t="n"/>
      <c r="F475" s="141" t="n"/>
      <c r="G475" s="143" t="n"/>
      <c r="H475" s="27" t="n"/>
    </row>
    <row r="476" ht="17.25" customHeight="1" s="322">
      <c r="A476" s="27" t="n"/>
      <c r="B476" s="506" t="n"/>
      <c r="C476" s="141" t="n"/>
      <c r="D476" s="141" t="n"/>
      <c r="E476" s="141" t="n"/>
      <c r="F476" s="141" t="n"/>
      <c r="G476" s="143" t="n"/>
      <c r="H476" s="27" t="n"/>
    </row>
    <row r="477" ht="17.25" customHeight="1" s="322">
      <c r="A477" s="27" t="n"/>
      <c r="B477" s="506" t="n"/>
      <c r="C477" s="141" t="n"/>
      <c r="D477" s="141" t="n"/>
      <c r="E477" s="141" t="n"/>
      <c r="F477" s="141" t="n"/>
      <c r="G477" s="143" t="n"/>
      <c r="H477" s="27" t="n"/>
    </row>
    <row r="478" ht="17.25" customHeight="1" s="322">
      <c r="A478" s="27" t="n"/>
      <c r="B478" s="506" t="n"/>
      <c r="C478" s="141" t="n"/>
      <c r="D478" s="141" t="n"/>
      <c r="E478" s="141" t="n"/>
      <c r="F478" s="141" t="n"/>
      <c r="G478" s="143" t="n"/>
      <c r="H478" s="27" t="n"/>
    </row>
    <row r="479" ht="17.25" customHeight="1" s="322">
      <c r="A479" s="27" t="n"/>
      <c r="B479" s="506" t="n"/>
      <c r="C479" s="141" t="n"/>
      <c r="D479" s="141" t="n"/>
      <c r="E479" s="141" t="n"/>
      <c r="F479" s="141" t="n"/>
      <c r="G479" s="143" t="n"/>
      <c r="H479" s="27" t="n"/>
    </row>
    <row r="480" ht="17.25" customHeight="1" s="322">
      <c r="A480" s="27" t="n"/>
      <c r="B480" s="506" t="n"/>
      <c r="C480" s="141" t="n"/>
      <c r="D480" s="141" t="n"/>
      <c r="E480" s="141" t="n"/>
      <c r="F480" s="141" t="n"/>
      <c r="G480" s="143" t="n"/>
      <c r="H480" s="27" t="n"/>
    </row>
    <row r="481" ht="17.25" customHeight="1" s="322">
      <c r="A481" s="27" t="n"/>
      <c r="B481" s="506" t="n"/>
      <c r="C481" s="141" t="n"/>
      <c r="D481" s="141" t="n"/>
      <c r="E481" s="141" t="n"/>
      <c r="F481" s="141" t="n"/>
      <c r="G481" s="143" t="n"/>
      <c r="H481" s="27" t="n"/>
    </row>
    <row r="482" ht="17.25" customHeight="1" s="322">
      <c r="A482" s="27" t="n"/>
      <c r="B482" s="506" t="n"/>
      <c r="C482" s="141" t="n"/>
      <c r="D482" s="141" t="n"/>
      <c r="E482" s="141" t="n"/>
      <c r="F482" s="141" t="n"/>
      <c r="G482" s="143" t="n"/>
      <c r="H482" s="27" t="n"/>
    </row>
    <row r="483" ht="17.25" customHeight="1" s="322">
      <c r="A483" s="27" t="n"/>
      <c r="B483" s="506" t="n"/>
      <c r="C483" s="141" t="n"/>
      <c r="D483" s="141" t="n"/>
      <c r="E483" s="141" t="n"/>
      <c r="F483" s="141" t="n"/>
      <c r="G483" s="143" t="n"/>
      <c r="H483" s="27" t="n"/>
    </row>
    <row r="484" ht="17.25" customHeight="1" s="322">
      <c r="A484" s="27" t="n"/>
      <c r="B484" s="506" t="n"/>
      <c r="C484" s="141" t="n"/>
      <c r="D484" s="141" t="n"/>
      <c r="E484" s="141" t="n"/>
      <c r="F484" s="141" t="n"/>
      <c r="G484" s="143" t="n"/>
      <c r="H484" s="27" t="n"/>
    </row>
    <row r="485" ht="17.25" customHeight="1" s="322">
      <c r="A485" s="27" t="n"/>
      <c r="B485" s="506" t="n"/>
      <c r="C485" s="141" t="n"/>
      <c r="D485" s="141" t="n"/>
      <c r="E485" s="141" t="n"/>
      <c r="F485" s="141" t="n"/>
      <c r="G485" s="143" t="n"/>
      <c r="H485" s="27" t="n"/>
    </row>
    <row r="486" ht="17.25" customHeight="1" s="322">
      <c r="A486" s="27" t="n"/>
      <c r="B486" s="506" t="n"/>
      <c r="C486" s="141" t="n"/>
      <c r="D486" s="141" t="n"/>
      <c r="E486" s="141" t="n"/>
      <c r="F486" s="141" t="n"/>
      <c r="G486" s="143" t="n"/>
      <c r="H486" s="27" t="n"/>
    </row>
    <row r="487" ht="17.25" customHeight="1" s="322">
      <c r="A487" s="27" t="n"/>
      <c r="B487" s="506" t="n"/>
      <c r="C487" s="141" t="n"/>
      <c r="D487" s="141" t="n"/>
      <c r="E487" s="141" t="n"/>
      <c r="F487" s="141" t="n"/>
      <c r="G487" s="143" t="n"/>
      <c r="H487" s="27" t="n"/>
    </row>
    <row r="488" ht="17.25" customHeight="1" s="322">
      <c r="A488" s="27" t="n"/>
      <c r="B488" s="506" t="n"/>
      <c r="C488" s="141" t="n"/>
      <c r="D488" s="141" t="n"/>
      <c r="E488" s="141" t="n"/>
      <c r="F488" s="141" t="n"/>
      <c r="G488" s="143" t="n"/>
      <c r="H488" s="27" t="n"/>
    </row>
    <row r="489" ht="17.25" customHeight="1" s="322">
      <c r="A489" s="27" t="n"/>
      <c r="B489" s="506" t="n"/>
      <c r="C489" s="141" t="n"/>
      <c r="D489" s="141" t="n"/>
      <c r="E489" s="141" t="n"/>
      <c r="F489" s="141" t="n"/>
      <c r="G489" s="143" t="n"/>
      <c r="H489" s="27" t="n"/>
    </row>
    <row r="490" ht="17.25" customHeight="1" s="322">
      <c r="A490" s="27" t="n"/>
      <c r="B490" s="506" t="n"/>
      <c r="C490" s="141" t="n"/>
      <c r="D490" s="141" t="n"/>
      <c r="E490" s="141" t="n"/>
      <c r="F490" s="141" t="n"/>
      <c r="G490" s="143" t="n"/>
      <c r="H490" s="27" t="n"/>
    </row>
    <row r="491" ht="17.25" customHeight="1" s="322">
      <c r="A491" s="27" t="n"/>
      <c r="B491" s="506" t="n"/>
      <c r="C491" s="141" t="n"/>
      <c r="D491" s="141" t="n"/>
      <c r="E491" s="141" t="n"/>
      <c r="F491" s="141" t="n"/>
      <c r="G491" s="143" t="n"/>
      <c r="H491" s="27" t="n"/>
    </row>
    <row r="492" ht="17.25" customHeight="1" s="322">
      <c r="A492" s="27" t="n"/>
      <c r="B492" s="506" t="n"/>
      <c r="C492" s="141" t="n"/>
      <c r="D492" s="141" t="n"/>
      <c r="E492" s="141" t="n"/>
      <c r="F492" s="141" t="n"/>
      <c r="G492" s="143" t="n"/>
      <c r="H492" s="27" t="n"/>
    </row>
    <row r="493" ht="17.25" customHeight="1" s="322">
      <c r="A493" s="27" t="n"/>
      <c r="B493" s="506" t="n"/>
      <c r="C493" s="141" t="n"/>
      <c r="D493" s="141" t="n"/>
      <c r="E493" s="141" t="n"/>
      <c r="F493" s="141" t="n"/>
      <c r="G493" s="143" t="n"/>
      <c r="H493" s="27" t="n"/>
    </row>
    <row r="494" ht="17.25" customHeight="1" s="322">
      <c r="A494" s="27" t="n"/>
      <c r="B494" s="506" t="n"/>
      <c r="C494" s="141" t="n"/>
      <c r="D494" s="141" t="n"/>
      <c r="E494" s="141" t="n"/>
      <c r="F494" s="141" t="n"/>
      <c r="G494" s="143" t="n"/>
      <c r="H494" s="27" t="n"/>
    </row>
    <row r="495" ht="17.25" customHeight="1" s="322">
      <c r="A495" s="27" t="n"/>
      <c r="B495" s="506" t="n"/>
      <c r="C495" s="141" t="n"/>
      <c r="D495" s="141" t="n"/>
      <c r="E495" s="141" t="n"/>
      <c r="F495" s="141" t="n"/>
      <c r="G495" s="143" t="n"/>
      <c r="H495" s="27" t="n"/>
    </row>
    <row r="496" ht="17.25" customHeight="1" s="322">
      <c r="A496" s="27" t="n"/>
      <c r="B496" s="506" t="n"/>
      <c r="C496" s="141" t="n"/>
      <c r="D496" s="141" t="n"/>
      <c r="E496" s="141" t="n"/>
      <c r="F496" s="141" t="n"/>
      <c r="G496" s="143" t="n"/>
      <c r="H496" s="27" t="n"/>
    </row>
    <row r="497" ht="17.25" customHeight="1" s="322">
      <c r="A497" s="27" t="n"/>
      <c r="B497" s="506" t="n"/>
      <c r="C497" s="141" t="n"/>
      <c r="D497" s="141" t="n"/>
      <c r="E497" s="141" t="n"/>
      <c r="F497" s="141" t="n"/>
      <c r="G497" s="143" t="n"/>
      <c r="H497" s="27" t="n"/>
    </row>
    <row r="498" ht="17.25" customHeight="1" s="322">
      <c r="A498" s="27" t="n"/>
      <c r="B498" s="506" t="n"/>
      <c r="C498" s="141" t="n"/>
      <c r="D498" s="141" t="n"/>
      <c r="E498" s="141" t="n"/>
      <c r="F498" s="141" t="n"/>
      <c r="G498" s="143" t="n"/>
      <c r="H498" s="27" t="n"/>
    </row>
    <row r="499" ht="17.25" customHeight="1" s="322">
      <c r="A499" s="27" t="n"/>
      <c r="B499" s="506" t="n"/>
      <c r="C499" s="141" t="n"/>
      <c r="D499" s="141" t="n"/>
      <c r="E499" s="141" t="n"/>
      <c r="F499" s="141" t="n"/>
      <c r="G499" s="143" t="n"/>
      <c r="H499" s="27" t="n"/>
    </row>
    <row r="500" ht="17.25" customHeight="1" s="322">
      <c r="A500" s="27" t="n"/>
      <c r="B500" s="506" t="n"/>
      <c r="C500" s="141" t="n"/>
      <c r="D500" s="141" t="n"/>
      <c r="E500" s="141" t="n"/>
      <c r="F500" s="141" t="n"/>
      <c r="G500" s="143" t="n"/>
      <c r="H500" s="27" t="n"/>
    </row>
    <row r="501" ht="17.25" customHeight="1" s="322">
      <c r="A501" s="27" t="n"/>
      <c r="B501" s="506" t="n"/>
      <c r="C501" s="141" t="n"/>
      <c r="D501" s="141" t="n"/>
      <c r="E501" s="141" t="n"/>
      <c r="F501" s="141" t="n"/>
      <c r="G501" s="143" t="n"/>
      <c r="H501" s="27" t="n"/>
    </row>
    <row r="502" ht="17.25" customHeight="1" s="322">
      <c r="A502" s="27" t="n"/>
      <c r="B502" s="506" t="n"/>
      <c r="C502" s="141" t="n"/>
      <c r="D502" s="141" t="n"/>
      <c r="E502" s="141" t="n"/>
      <c r="F502" s="141" t="n"/>
      <c r="G502" s="143" t="n"/>
      <c r="H502" s="27" t="n"/>
    </row>
    <row r="503" ht="17.25" customHeight="1" s="322">
      <c r="A503" s="27" t="n"/>
      <c r="B503" s="506" t="n"/>
      <c r="C503" s="141" t="n"/>
      <c r="D503" s="141" t="n"/>
      <c r="E503" s="141" t="n"/>
      <c r="F503" s="141" t="n"/>
      <c r="G503" s="143" t="n"/>
      <c r="H503" s="27" t="n"/>
    </row>
    <row r="504" ht="17.25" customHeight="1" s="322">
      <c r="A504" s="27" t="n"/>
      <c r="B504" s="506" t="n"/>
      <c r="C504" s="141" t="n"/>
      <c r="D504" s="141" t="n"/>
      <c r="E504" s="141" t="n"/>
      <c r="F504" s="141" t="n"/>
      <c r="G504" s="143" t="n"/>
      <c r="H504" s="27" t="n"/>
    </row>
    <row r="505" ht="17.25" customHeight="1" s="322">
      <c r="A505" s="27" t="n"/>
      <c r="B505" s="506" t="n"/>
      <c r="C505" s="141" t="n"/>
      <c r="D505" s="141" t="n"/>
      <c r="E505" s="141" t="n"/>
      <c r="F505" s="141" t="n"/>
      <c r="G505" s="143" t="n"/>
      <c r="H505" s="27" t="n"/>
    </row>
    <row r="506" ht="17.25" customHeight="1" s="322">
      <c r="A506" s="27" t="n"/>
      <c r="B506" s="506" t="n"/>
      <c r="C506" s="141" t="n"/>
      <c r="D506" s="141" t="n"/>
      <c r="E506" s="141" t="n"/>
      <c r="F506" s="141" t="n"/>
      <c r="G506" s="143" t="n"/>
      <c r="H506" s="27" t="n"/>
    </row>
    <row r="507" ht="17.25" customHeight="1" s="322">
      <c r="A507" s="27" t="n"/>
      <c r="B507" s="506" t="n"/>
      <c r="C507" s="141" t="n"/>
      <c r="D507" s="141" t="n"/>
      <c r="E507" s="141" t="n"/>
      <c r="F507" s="141" t="n"/>
      <c r="G507" s="143" t="n"/>
      <c r="H507" s="27" t="n"/>
    </row>
    <row r="508" ht="17.25" customHeight="1" s="322">
      <c r="A508" s="27" t="n"/>
      <c r="B508" s="506" t="n"/>
      <c r="C508" s="141" t="n"/>
      <c r="D508" s="141" t="n"/>
      <c r="E508" s="141" t="n"/>
      <c r="F508" s="141" t="n"/>
      <c r="G508" s="143" t="n"/>
      <c r="H508" s="27" t="n"/>
    </row>
    <row r="509" ht="17.25" customHeight="1" s="322">
      <c r="A509" s="27" t="n"/>
      <c r="B509" s="506" t="n"/>
      <c r="C509" s="141" t="n"/>
      <c r="D509" s="141" t="n"/>
      <c r="E509" s="141" t="n"/>
      <c r="F509" s="141" t="n"/>
      <c r="G509" s="143" t="n"/>
      <c r="H509" s="27" t="n"/>
    </row>
    <row r="510" ht="17.25" customHeight="1" s="322">
      <c r="A510" s="27" t="n"/>
      <c r="B510" s="506" t="n"/>
      <c r="C510" s="141" t="n"/>
      <c r="D510" s="141" t="n"/>
      <c r="E510" s="141" t="n"/>
      <c r="F510" s="141" t="n"/>
      <c r="G510" s="143" t="n"/>
      <c r="H510" s="27" t="n"/>
    </row>
    <row r="511" ht="17.25" customHeight="1" s="322">
      <c r="A511" s="27" t="n"/>
      <c r="B511" s="506" t="n"/>
      <c r="C511" s="141" t="n"/>
      <c r="D511" s="141" t="n"/>
      <c r="E511" s="141" t="n"/>
      <c r="F511" s="141" t="n"/>
      <c r="G511" s="143" t="n"/>
      <c r="H511" s="27" t="n"/>
    </row>
    <row r="512" ht="17.25" customHeight="1" s="322">
      <c r="A512" s="27" t="n"/>
      <c r="B512" s="506" t="n"/>
      <c r="C512" s="141" t="n"/>
      <c r="D512" s="141" t="n"/>
      <c r="E512" s="141" t="n"/>
      <c r="F512" s="141" t="n"/>
      <c r="G512" s="143" t="n"/>
      <c r="H512" s="27" t="n"/>
    </row>
    <row r="513" ht="17.25" customHeight="1" s="322">
      <c r="A513" s="27" t="n"/>
      <c r="B513" s="506" t="n"/>
      <c r="C513" s="141" t="n"/>
      <c r="D513" s="141" t="n"/>
      <c r="E513" s="141" t="n"/>
      <c r="F513" s="141" t="n"/>
      <c r="G513" s="143" t="n"/>
      <c r="H513" s="27" t="n"/>
    </row>
    <row r="514" ht="17.25" customHeight="1" s="322">
      <c r="A514" s="27" t="n"/>
      <c r="B514" s="506" t="n"/>
      <c r="C514" s="141" t="n"/>
      <c r="D514" s="141" t="n"/>
      <c r="E514" s="141" t="n"/>
      <c r="F514" s="141" t="n"/>
      <c r="G514" s="143" t="n"/>
      <c r="H514" s="27" t="n"/>
    </row>
    <row r="515" ht="17.25" customHeight="1" s="322">
      <c r="A515" s="27" t="n"/>
      <c r="B515" s="506" t="n"/>
      <c r="C515" s="141" t="n"/>
      <c r="D515" s="141" t="n"/>
      <c r="E515" s="141" t="n"/>
      <c r="F515" s="141" t="n"/>
      <c r="G515" s="143" t="n"/>
      <c r="H515" s="27" t="n"/>
    </row>
    <row r="516" ht="17.25" customHeight="1" s="322">
      <c r="A516" s="27" t="n"/>
      <c r="B516" s="506" t="n"/>
      <c r="C516" s="141" t="n"/>
      <c r="D516" s="141" t="n"/>
      <c r="E516" s="141" t="n"/>
      <c r="F516" s="141" t="n"/>
      <c r="G516" s="143" t="n"/>
      <c r="H516" s="27" t="n"/>
    </row>
    <row r="517" ht="17.25" customHeight="1" s="322">
      <c r="A517" s="27" t="n"/>
      <c r="B517" s="506" t="n"/>
      <c r="C517" s="141" t="n"/>
      <c r="D517" s="141" t="n"/>
      <c r="E517" s="141" t="n"/>
      <c r="F517" s="141" t="n"/>
      <c r="G517" s="143" t="n"/>
      <c r="H517" s="27" t="n"/>
    </row>
    <row r="518" ht="17.25" customHeight="1" s="322">
      <c r="A518" s="27" t="n"/>
      <c r="B518" s="506" t="n"/>
      <c r="C518" s="141" t="n"/>
      <c r="D518" s="141" t="n"/>
      <c r="E518" s="141" t="n"/>
      <c r="F518" s="141" t="n"/>
      <c r="G518" s="143" t="n"/>
      <c r="H518" s="27" t="n"/>
    </row>
    <row r="519" ht="17.25" customHeight="1" s="322">
      <c r="A519" s="27" t="n"/>
      <c r="B519" s="506" t="n"/>
      <c r="C519" s="141" t="n"/>
      <c r="D519" s="141" t="n"/>
      <c r="E519" s="141" t="n"/>
      <c r="F519" s="141" t="n"/>
      <c r="G519" s="143" t="n"/>
      <c r="H519" s="27" t="n"/>
    </row>
    <row r="520" ht="17.25" customHeight="1" s="322">
      <c r="A520" s="27" t="n"/>
      <c r="B520" s="506" t="n"/>
      <c r="C520" s="141" t="n"/>
      <c r="D520" s="141" t="n"/>
      <c r="E520" s="141" t="n"/>
      <c r="F520" s="141" t="n"/>
      <c r="G520" s="143" t="n"/>
      <c r="H520" s="27" t="n"/>
    </row>
    <row r="521" ht="17.25" customHeight="1" s="322">
      <c r="A521" s="27" t="n"/>
      <c r="B521" s="506" t="n"/>
      <c r="C521" s="141" t="n"/>
      <c r="D521" s="141" t="n"/>
      <c r="E521" s="141" t="n"/>
      <c r="F521" s="141" t="n"/>
      <c r="G521" s="143" t="n"/>
      <c r="H521" s="27" t="n"/>
    </row>
    <row r="522" ht="17.25" customHeight="1" s="322">
      <c r="A522" s="27" t="n"/>
      <c r="B522" s="506" t="n"/>
      <c r="C522" s="141" t="n"/>
      <c r="D522" s="141" t="n"/>
      <c r="E522" s="141" t="n"/>
      <c r="F522" s="141" t="n"/>
      <c r="G522" s="143" t="n"/>
      <c r="H522" s="27" t="n"/>
    </row>
    <row r="523" ht="17.25" customHeight="1" s="322">
      <c r="A523" s="27" t="n"/>
      <c r="B523" s="506" t="n"/>
      <c r="C523" s="141" t="n"/>
      <c r="D523" s="141" t="n"/>
      <c r="E523" s="141" t="n"/>
      <c r="F523" s="141" t="n"/>
      <c r="G523" s="143" t="n"/>
      <c r="H523" s="27" t="n"/>
    </row>
    <row r="524" ht="17.25" customHeight="1" s="322">
      <c r="A524" s="27" t="n"/>
      <c r="B524" s="506" t="n"/>
      <c r="C524" s="141" t="n"/>
      <c r="D524" s="141" t="n"/>
      <c r="E524" s="141" t="n"/>
      <c r="F524" s="141" t="n"/>
      <c r="G524" s="143" t="n"/>
      <c r="H524" s="27" t="n"/>
    </row>
    <row r="525" ht="17.25" customHeight="1" s="322">
      <c r="A525" s="27" t="n"/>
      <c r="B525" s="506" t="n"/>
      <c r="C525" s="141" t="n"/>
      <c r="D525" s="141" t="n"/>
      <c r="E525" s="141" t="n"/>
      <c r="F525" s="141" t="n"/>
      <c r="G525" s="143" t="n"/>
      <c r="H525" s="27" t="n"/>
    </row>
    <row r="526" ht="17.25" customHeight="1" s="322">
      <c r="A526" s="27" t="n"/>
      <c r="B526" s="506" t="n"/>
      <c r="C526" s="141" t="n"/>
      <c r="D526" s="141" t="n"/>
      <c r="E526" s="141" t="n"/>
      <c r="F526" s="141" t="n"/>
      <c r="G526" s="143" t="n"/>
      <c r="H526" s="27" t="n"/>
    </row>
    <row r="527" ht="17.25" customHeight="1" s="322">
      <c r="A527" s="27" t="n"/>
      <c r="B527" s="506" t="n"/>
      <c r="C527" s="141" t="n"/>
      <c r="D527" s="141" t="n"/>
      <c r="E527" s="141" t="n"/>
      <c r="F527" s="141" t="n"/>
      <c r="G527" s="143" t="n"/>
      <c r="H527" s="27" t="n"/>
    </row>
    <row r="528" ht="17.25" customHeight="1" s="322">
      <c r="A528" s="27" t="n"/>
      <c r="B528" s="506" t="n"/>
      <c r="C528" s="141" t="n"/>
      <c r="D528" s="141" t="n"/>
      <c r="E528" s="141" t="n"/>
      <c r="F528" s="141" t="n"/>
      <c r="G528" s="143" t="n"/>
      <c r="H528" s="27" t="n"/>
    </row>
    <row r="529" ht="17.25" customHeight="1" s="322">
      <c r="A529" s="27" t="n"/>
      <c r="B529" s="506" t="n"/>
      <c r="C529" s="141" t="n"/>
      <c r="D529" s="141" t="n"/>
      <c r="E529" s="141" t="n"/>
      <c r="F529" s="141" t="n"/>
      <c r="G529" s="143" t="n"/>
      <c r="H529" s="27" t="n"/>
    </row>
    <row r="530" ht="17.25" customHeight="1" s="322">
      <c r="A530" s="27" t="n"/>
      <c r="B530" s="506" t="n"/>
      <c r="C530" s="141" t="n"/>
      <c r="D530" s="141" t="n"/>
      <c r="E530" s="141" t="n"/>
      <c r="F530" s="141" t="n"/>
      <c r="G530" s="143" t="n"/>
      <c r="H530" s="27" t="n"/>
    </row>
    <row r="531" ht="17.25" customHeight="1" s="322">
      <c r="A531" s="27" t="n"/>
      <c r="B531" s="506" t="n"/>
      <c r="C531" s="141" t="n"/>
      <c r="D531" s="141" t="n"/>
      <c r="E531" s="141" t="n"/>
      <c r="F531" s="141" t="n"/>
      <c r="G531" s="143" t="n"/>
      <c r="H531" s="27" t="n"/>
    </row>
    <row r="532" ht="17.25" customHeight="1" s="322">
      <c r="A532" s="27" t="n"/>
      <c r="B532" s="506" t="n"/>
      <c r="C532" s="141" t="n"/>
      <c r="D532" s="141" t="n"/>
      <c r="E532" s="141" t="n"/>
      <c r="F532" s="141" t="n"/>
      <c r="G532" s="143" t="n"/>
      <c r="H532" s="27" t="n"/>
    </row>
    <row r="533" ht="17.25" customHeight="1" s="322">
      <c r="A533" s="27" t="n"/>
      <c r="B533" s="506" t="n"/>
      <c r="C533" s="141" t="n"/>
      <c r="D533" s="141" t="n"/>
      <c r="E533" s="141" t="n"/>
      <c r="F533" s="141" t="n"/>
      <c r="G533" s="143" t="n"/>
      <c r="H533" s="27" t="n"/>
    </row>
    <row r="534" ht="17.25" customHeight="1" s="322">
      <c r="A534" s="27" t="n"/>
      <c r="B534" s="506" t="n"/>
      <c r="C534" s="141" t="n"/>
      <c r="D534" s="141" t="n"/>
      <c r="E534" s="141" t="n"/>
      <c r="F534" s="141" t="n"/>
      <c r="G534" s="143" t="n"/>
      <c r="H534" s="27" t="n"/>
    </row>
    <row r="535" ht="17.25" customHeight="1" s="322">
      <c r="A535" s="27" t="n"/>
      <c r="B535" s="506" t="n"/>
      <c r="C535" s="141" t="n"/>
      <c r="D535" s="141" t="n"/>
      <c r="E535" s="141" t="n"/>
      <c r="F535" s="141" t="n"/>
      <c r="G535" s="143" t="n"/>
      <c r="H535" s="27" t="n"/>
    </row>
    <row r="536" ht="17.25" customHeight="1" s="322">
      <c r="A536" s="27" t="n"/>
      <c r="B536" s="506" t="n"/>
      <c r="C536" s="141" t="n"/>
      <c r="D536" s="141" t="n"/>
      <c r="E536" s="141" t="n"/>
      <c r="F536" s="141" t="n"/>
      <c r="G536" s="143" t="n"/>
      <c r="H536" s="27" t="n"/>
    </row>
    <row r="537" ht="17.25" customHeight="1" s="322">
      <c r="A537" s="27" t="n"/>
      <c r="B537" s="506" t="n"/>
      <c r="C537" s="141" t="n"/>
      <c r="D537" s="141" t="n"/>
      <c r="E537" s="141" t="n"/>
      <c r="F537" s="141" t="n"/>
      <c r="G537" s="143" t="n"/>
      <c r="H537" s="27" t="n"/>
    </row>
    <row r="538" ht="17.25" customHeight="1" s="322">
      <c r="A538" s="27" t="n"/>
      <c r="B538" s="506" t="n"/>
      <c r="C538" s="141" t="n"/>
      <c r="D538" s="141" t="n"/>
      <c r="E538" s="141" t="n"/>
      <c r="F538" s="141" t="n"/>
      <c r="G538" s="143" t="n"/>
      <c r="H538" s="27" t="n"/>
    </row>
    <row r="539" ht="17.25" customHeight="1" s="322">
      <c r="A539" s="27" t="n"/>
      <c r="B539" s="506" t="n"/>
      <c r="C539" s="141" t="n"/>
      <c r="D539" s="141" t="n"/>
      <c r="E539" s="141" t="n"/>
      <c r="F539" s="141" t="n"/>
      <c r="G539" s="143" t="n"/>
      <c r="H539" s="27" t="n"/>
    </row>
    <row r="540" ht="17.25" customHeight="1" s="322">
      <c r="A540" s="27" t="n"/>
      <c r="B540" s="506" t="n"/>
      <c r="C540" s="141" t="n"/>
      <c r="D540" s="141" t="n"/>
      <c r="E540" s="141" t="n"/>
      <c r="F540" s="141" t="n"/>
      <c r="G540" s="143" t="n"/>
      <c r="H540" s="27" t="n"/>
    </row>
    <row r="541" ht="17.25" customHeight="1" s="322">
      <c r="A541" s="27" t="n"/>
      <c r="B541" s="506" t="n"/>
      <c r="C541" s="141" t="n"/>
      <c r="D541" s="141" t="n"/>
      <c r="E541" s="141" t="n"/>
      <c r="F541" s="141" t="n"/>
      <c r="G541" s="143" t="n"/>
      <c r="H541" s="27" t="n"/>
    </row>
    <row r="542" ht="17.25" customHeight="1" s="322">
      <c r="A542" s="27" t="n"/>
      <c r="B542" s="506" t="n"/>
      <c r="C542" s="141" t="n"/>
      <c r="D542" s="141" t="n"/>
      <c r="E542" s="141" t="n"/>
      <c r="F542" s="141" t="n"/>
      <c r="G542" s="143" t="n"/>
      <c r="H542" s="27" t="n"/>
    </row>
    <row r="543" ht="17.25" customHeight="1" s="322">
      <c r="A543" s="27" t="n"/>
      <c r="B543" s="506" t="n"/>
      <c r="C543" s="141" t="n"/>
      <c r="D543" s="141" t="n"/>
      <c r="E543" s="141" t="n"/>
      <c r="F543" s="141" t="n"/>
      <c r="G543" s="143" t="n"/>
      <c r="H543" s="27" t="n"/>
    </row>
    <row r="544" ht="17.25" customHeight="1" s="322">
      <c r="A544" s="27" t="n"/>
      <c r="B544" s="506" t="n"/>
      <c r="C544" s="141" t="n"/>
      <c r="D544" s="141" t="n"/>
      <c r="E544" s="141" t="n"/>
      <c r="F544" s="141" t="n"/>
      <c r="G544" s="143" t="n"/>
      <c r="H544" s="27" t="n"/>
    </row>
    <row r="545" ht="17.25" customHeight="1" s="322">
      <c r="A545" s="27" t="n"/>
      <c r="B545" s="506" t="n"/>
      <c r="C545" s="141" t="n"/>
      <c r="D545" s="141" t="n"/>
      <c r="E545" s="141" t="n"/>
      <c r="F545" s="141" t="n"/>
      <c r="G545" s="143" t="n"/>
      <c r="H545" s="27" t="n"/>
    </row>
    <row r="546" ht="17.25" customHeight="1" s="322">
      <c r="A546" s="27" t="n"/>
      <c r="B546" s="506" t="n"/>
      <c r="C546" s="141" t="n"/>
      <c r="D546" s="141" t="n"/>
      <c r="E546" s="141" t="n"/>
      <c r="F546" s="141" t="n"/>
      <c r="G546" s="143" t="n"/>
      <c r="H546" s="27" t="n"/>
    </row>
    <row r="547" ht="17.25" customHeight="1" s="322">
      <c r="A547" s="27" t="n"/>
      <c r="B547" s="506" t="n"/>
      <c r="C547" s="141" t="n"/>
      <c r="D547" s="141" t="n"/>
      <c r="E547" s="141" t="n"/>
      <c r="F547" s="141" t="n"/>
      <c r="G547" s="143" t="n"/>
      <c r="H547" s="27" t="n"/>
    </row>
    <row r="548" ht="17.25" customHeight="1" s="322">
      <c r="A548" s="27" t="n"/>
      <c r="B548" s="506" t="n"/>
      <c r="C548" s="141" t="n"/>
      <c r="D548" s="141" t="n"/>
      <c r="E548" s="141" t="n"/>
      <c r="F548" s="141" t="n"/>
      <c r="G548" s="143" t="n"/>
      <c r="H548" s="27" t="n"/>
    </row>
    <row r="549" ht="17.25" customHeight="1" s="322">
      <c r="A549" s="27" t="n"/>
      <c r="B549" s="506" t="n"/>
      <c r="C549" s="141" t="n"/>
      <c r="D549" s="141" t="n"/>
      <c r="E549" s="141" t="n"/>
      <c r="F549" s="141" t="n"/>
      <c r="G549" s="143" t="n"/>
      <c r="H549" s="27" t="n"/>
    </row>
    <row r="550" ht="17.25" customHeight="1" s="322">
      <c r="A550" s="27" t="n"/>
      <c r="B550" s="506" t="n"/>
      <c r="C550" s="141" t="n"/>
      <c r="D550" s="141" t="n"/>
      <c r="E550" s="141" t="n"/>
      <c r="F550" s="141" t="n"/>
      <c r="G550" s="143" t="n"/>
      <c r="H550" s="27" t="n"/>
    </row>
    <row r="551" ht="17.25" customHeight="1" s="322">
      <c r="A551" s="27" t="n"/>
      <c r="B551" s="506" t="n"/>
      <c r="C551" s="141" t="n"/>
      <c r="D551" s="141" t="n"/>
      <c r="E551" s="141" t="n"/>
      <c r="F551" s="141" t="n"/>
      <c r="G551" s="143" t="n"/>
      <c r="H551" s="27" t="n"/>
    </row>
    <row r="552" ht="17.25" customHeight="1" s="322">
      <c r="A552" s="27" t="n"/>
      <c r="B552" s="506" t="n"/>
      <c r="C552" s="141" t="n"/>
      <c r="D552" s="141" t="n"/>
      <c r="E552" s="141" t="n"/>
      <c r="F552" s="141" t="n"/>
      <c r="G552" s="143" t="n"/>
      <c r="H552" s="27" t="n"/>
    </row>
    <row r="553" ht="17.25" customHeight="1" s="322">
      <c r="A553" s="27" t="n"/>
      <c r="B553" s="506" t="n"/>
      <c r="C553" s="141" t="n"/>
      <c r="D553" s="141" t="n"/>
      <c r="E553" s="141" t="n"/>
      <c r="F553" s="141" t="n"/>
      <c r="G553" s="143" t="n"/>
      <c r="H553" s="27" t="n"/>
    </row>
    <row r="554" ht="17.25" customHeight="1" s="322">
      <c r="A554" s="27" t="n"/>
      <c r="B554" s="506" t="n"/>
      <c r="C554" s="141" t="n"/>
      <c r="D554" s="141" t="n"/>
      <c r="E554" s="141" t="n"/>
      <c r="F554" s="141" t="n"/>
      <c r="G554" s="143" t="n"/>
      <c r="H554" s="27" t="n"/>
    </row>
    <row r="555" ht="17.25" customHeight="1" s="322">
      <c r="A555" s="27" t="n"/>
      <c r="B555" s="506" t="n"/>
      <c r="C555" s="141" t="n"/>
      <c r="D555" s="141" t="n"/>
      <c r="E555" s="141" t="n"/>
      <c r="F555" s="141" t="n"/>
      <c r="G555" s="143" t="n"/>
      <c r="H555" s="27" t="n"/>
    </row>
    <row r="556" ht="17.25" customHeight="1" s="322">
      <c r="A556" s="27" t="n"/>
      <c r="B556" s="506" t="n"/>
      <c r="C556" s="141" t="n"/>
      <c r="D556" s="141" t="n"/>
      <c r="E556" s="141" t="n"/>
      <c r="F556" s="141" t="n"/>
      <c r="G556" s="143" t="n"/>
      <c r="H556" s="27" t="n"/>
    </row>
    <row r="557" ht="17.25" customHeight="1" s="322">
      <c r="A557" s="27" t="n"/>
      <c r="B557" s="506" t="n"/>
      <c r="C557" s="141" t="n"/>
      <c r="D557" s="141" t="n"/>
      <c r="E557" s="141" t="n"/>
      <c r="F557" s="141" t="n"/>
      <c r="G557" s="143" t="n"/>
      <c r="H557" s="27" t="n"/>
    </row>
    <row r="558" ht="17.25" customHeight="1" s="322">
      <c r="A558" s="27" t="n"/>
      <c r="B558" s="506" t="n"/>
      <c r="C558" s="141" t="n"/>
      <c r="D558" s="141" t="n"/>
      <c r="E558" s="141" t="n"/>
      <c r="F558" s="141" t="n"/>
      <c r="G558" s="143" t="n"/>
      <c r="H558" s="27" t="n"/>
    </row>
    <row r="559" ht="17.25" customHeight="1" s="322">
      <c r="A559" s="27" t="n"/>
      <c r="B559" s="506" t="n"/>
      <c r="C559" s="141" t="n"/>
      <c r="D559" s="141" t="n"/>
      <c r="E559" s="141" t="n"/>
      <c r="F559" s="141" t="n"/>
      <c r="G559" s="143" t="n"/>
      <c r="H559" s="27" t="n"/>
    </row>
    <row r="560" ht="17.25" customHeight="1" s="322">
      <c r="A560" s="27" t="n"/>
      <c r="B560" s="506" t="n"/>
      <c r="C560" s="141" t="n"/>
      <c r="D560" s="141" t="n"/>
      <c r="E560" s="141" t="n"/>
      <c r="F560" s="141" t="n"/>
      <c r="G560" s="143" t="n"/>
      <c r="H560" s="27" t="n"/>
    </row>
    <row r="561" ht="17.25" customHeight="1" s="322">
      <c r="A561" s="27" t="n"/>
      <c r="B561" s="506" t="n"/>
      <c r="C561" s="141" t="n"/>
      <c r="D561" s="141" t="n"/>
      <c r="E561" s="141" t="n"/>
      <c r="F561" s="141" t="n"/>
      <c r="G561" s="143" t="n"/>
      <c r="H561" s="27" t="n"/>
    </row>
    <row r="562" ht="17.25" customHeight="1" s="322">
      <c r="A562" s="27" t="n"/>
      <c r="B562" s="506" t="n"/>
      <c r="C562" s="141" t="n"/>
      <c r="D562" s="141" t="n"/>
      <c r="E562" s="141" t="n"/>
      <c r="F562" s="141" t="n"/>
      <c r="G562" s="143" t="n"/>
      <c r="H562" s="27" t="n"/>
    </row>
    <row r="563" ht="17.25" customHeight="1" s="322">
      <c r="A563" s="27" t="n"/>
      <c r="B563" s="506" t="n"/>
      <c r="C563" s="141" t="n"/>
      <c r="D563" s="141" t="n"/>
      <c r="E563" s="141" t="n"/>
      <c r="F563" s="141" t="n"/>
      <c r="G563" s="143" t="n"/>
      <c r="H563" s="27" t="n"/>
    </row>
    <row r="564" ht="17.25" customHeight="1" s="322">
      <c r="A564" s="27" t="n"/>
      <c r="B564" s="506" t="n"/>
      <c r="C564" s="141" t="n"/>
      <c r="D564" s="141" t="n"/>
      <c r="E564" s="141" t="n"/>
      <c r="F564" s="141" t="n"/>
      <c r="G564" s="143" t="n"/>
      <c r="H564" s="27" t="n"/>
    </row>
    <row r="565" ht="17.25" customHeight="1" s="322">
      <c r="A565" s="27" t="n"/>
      <c r="B565" s="506" t="n"/>
      <c r="C565" s="141" t="n"/>
      <c r="D565" s="141" t="n"/>
      <c r="E565" s="141" t="n"/>
      <c r="F565" s="141" t="n"/>
      <c r="G565" s="143" t="n"/>
      <c r="H565" s="27" t="n"/>
    </row>
    <row r="566" ht="17.25" customHeight="1" s="322">
      <c r="A566" s="27" t="n"/>
      <c r="B566" s="506" t="n"/>
      <c r="C566" s="141" t="n"/>
      <c r="D566" s="141" t="n"/>
      <c r="E566" s="141" t="n"/>
      <c r="F566" s="141" t="n"/>
      <c r="G566" s="143" t="n"/>
      <c r="H566" s="27" t="n"/>
    </row>
    <row r="567" ht="17.25" customHeight="1" s="322">
      <c r="A567" s="27" t="n"/>
      <c r="B567" s="506" t="n"/>
      <c r="C567" s="141" t="n"/>
      <c r="D567" s="141" t="n"/>
      <c r="E567" s="141" t="n"/>
      <c r="F567" s="141" t="n"/>
      <c r="G567" s="143" t="n"/>
      <c r="H567" s="27" t="n"/>
    </row>
    <row r="568" ht="17.25" customHeight="1" s="322">
      <c r="A568" s="27" t="n"/>
      <c r="B568" s="506" t="n"/>
      <c r="C568" s="141" t="n"/>
      <c r="D568" s="141" t="n"/>
      <c r="E568" s="141" t="n"/>
      <c r="F568" s="141" t="n"/>
      <c r="G568" s="143" t="n"/>
      <c r="H568" s="27" t="n"/>
    </row>
    <row r="569" ht="17.25" customHeight="1" s="322">
      <c r="A569" s="27" t="n"/>
      <c r="B569" s="506" t="n"/>
      <c r="C569" s="141" t="n"/>
      <c r="D569" s="141" t="n"/>
      <c r="E569" s="141" t="n"/>
      <c r="F569" s="141" t="n"/>
      <c r="G569" s="143" t="n"/>
      <c r="H569" s="27" t="n"/>
    </row>
    <row r="570" ht="17.25" customHeight="1" s="322">
      <c r="A570" s="27" t="n"/>
      <c r="B570" s="506" t="n"/>
      <c r="C570" s="141" t="n"/>
      <c r="D570" s="141" t="n"/>
      <c r="E570" s="141" t="n"/>
      <c r="F570" s="141" t="n"/>
      <c r="G570" s="143" t="n"/>
      <c r="H570" s="27" t="n"/>
    </row>
    <row r="571" ht="17.25" customHeight="1" s="322">
      <c r="A571" s="27" t="n"/>
      <c r="B571" s="506" t="n"/>
      <c r="C571" s="141" t="n"/>
      <c r="D571" s="141" t="n"/>
      <c r="E571" s="141" t="n"/>
      <c r="F571" s="141" t="n"/>
      <c r="G571" s="143" t="n"/>
      <c r="H571" s="27" t="n"/>
    </row>
    <row r="572" ht="17.25" customHeight="1" s="322">
      <c r="A572" s="27" t="n"/>
      <c r="B572" s="506" t="n"/>
      <c r="C572" s="141" t="n"/>
      <c r="D572" s="141" t="n"/>
      <c r="E572" s="141" t="n"/>
      <c r="F572" s="141" t="n"/>
      <c r="G572" s="143" t="n"/>
      <c r="H572" s="27" t="n"/>
    </row>
    <row r="573" ht="17.25" customHeight="1" s="322">
      <c r="A573" s="27" t="n"/>
      <c r="B573" s="506" t="n"/>
      <c r="C573" s="141" t="n"/>
      <c r="D573" s="141" t="n"/>
      <c r="E573" s="141" t="n"/>
      <c r="F573" s="141" t="n"/>
      <c r="G573" s="143" t="n"/>
      <c r="H573" s="27" t="n"/>
    </row>
    <row r="574" ht="17.25" customHeight="1" s="322">
      <c r="A574" s="27" t="n"/>
      <c r="B574" s="506" t="n"/>
      <c r="C574" s="141" t="n"/>
      <c r="D574" s="141" t="n"/>
      <c r="E574" s="141" t="n"/>
      <c r="F574" s="141" t="n"/>
      <c r="G574" s="143" t="n"/>
      <c r="H574" s="27" t="n"/>
    </row>
    <row r="575" ht="17.25" customHeight="1" s="322">
      <c r="A575" s="27" t="n"/>
      <c r="B575" s="506" t="n"/>
      <c r="C575" s="141" t="n"/>
      <c r="D575" s="141" t="n"/>
      <c r="E575" s="141" t="n"/>
      <c r="F575" s="141" t="n"/>
      <c r="G575" s="143" t="n"/>
      <c r="H575" s="27" t="n"/>
    </row>
    <row r="576" ht="17.25" customHeight="1" s="322">
      <c r="A576" s="27" t="n"/>
      <c r="B576" s="506" t="n"/>
      <c r="C576" s="141" t="n"/>
      <c r="D576" s="141" t="n"/>
      <c r="E576" s="141" t="n"/>
      <c r="F576" s="141" t="n"/>
      <c r="G576" s="143" t="n"/>
      <c r="H576" s="27" t="n"/>
    </row>
    <row r="577" ht="17.25" customHeight="1" s="322">
      <c r="A577" s="27" t="n"/>
      <c r="B577" s="506" t="n"/>
      <c r="C577" s="141" t="n"/>
      <c r="D577" s="141" t="n"/>
      <c r="E577" s="141" t="n"/>
      <c r="F577" s="141" t="n"/>
      <c r="G577" s="143" t="n"/>
      <c r="H577" s="27" t="n"/>
    </row>
    <row r="578" ht="17.25" customHeight="1" s="322">
      <c r="A578" s="27" t="n"/>
      <c r="B578" s="506" t="n"/>
      <c r="C578" s="141" t="n"/>
      <c r="D578" s="141" t="n"/>
      <c r="E578" s="141" t="n"/>
      <c r="F578" s="141" t="n"/>
      <c r="G578" s="143" t="n"/>
      <c r="H578" s="27" t="n"/>
    </row>
    <row r="579" ht="17.25" customHeight="1" s="322">
      <c r="A579" s="27" t="n"/>
      <c r="B579" s="506" t="n"/>
      <c r="C579" s="141" t="n"/>
      <c r="D579" s="141" t="n"/>
      <c r="E579" s="141" t="n"/>
      <c r="F579" s="141" t="n"/>
      <c r="G579" s="143" t="n"/>
      <c r="H579" s="27" t="n"/>
    </row>
    <row r="580" ht="17.25" customHeight="1" s="322">
      <c r="A580" s="27" t="n"/>
      <c r="B580" s="506" t="n"/>
      <c r="C580" s="141" t="n"/>
      <c r="D580" s="141" t="n"/>
      <c r="E580" s="141" t="n"/>
      <c r="F580" s="141" t="n"/>
      <c r="G580" s="143" t="n"/>
      <c r="H580" s="27" t="n"/>
    </row>
    <row r="581" ht="17.25" customHeight="1" s="322">
      <c r="A581" s="27" t="n"/>
      <c r="B581" s="506" t="n"/>
      <c r="C581" s="141" t="n"/>
      <c r="D581" s="141" t="n"/>
      <c r="E581" s="141" t="n"/>
      <c r="F581" s="141" t="n"/>
      <c r="G581" s="143" t="n"/>
      <c r="H581" s="27" t="n"/>
    </row>
    <row r="582" ht="17.25" customHeight="1" s="322">
      <c r="A582" s="27" t="n"/>
      <c r="B582" s="506" t="n"/>
      <c r="C582" s="141" t="n"/>
      <c r="D582" s="141" t="n"/>
      <c r="E582" s="141" t="n"/>
      <c r="F582" s="141" t="n"/>
      <c r="G582" s="143" t="n"/>
      <c r="H582" s="27" t="n"/>
    </row>
    <row r="583" ht="17.25" customHeight="1" s="322">
      <c r="A583" s="27" t="n"/>
      <c r="B583" s="506" t="n"/>
      <c r="C583" s="141" t="n"/>
      <c r="D583" s="141" t="n"/>
      <c r="E583" s="141" t="n"/>
      <c r="F583" s="141" t="n"/>
      <c r="G583" s="143" t="n"/>
      <c r="H583" s="27" t="n"/>
    </row>
    <row r="584" ht="17.25" customHeight="1" s="322">
      <c r="A584" s="27" t="n"/>
      <c r="B584" s="506" t="n"/>
      <c r="C584" s="141" t="n"/>
      <c r="D584" s="141" t="n"/>
      <c r="E584" s="141" t="n"/>
      <c r="F584" s="141" t="n"/>
      <c r="G584" s="143" t="n"/>
      <c r="H584" s="27" t="n"/>
    </row>
    <row r="585" ht="17.25" customHeight="1" s="322">
      <c r="A585" s="27" t="n"/>
      <c r="B585" s="506" t="n"/>
      <c r="C585" s="141" t="n"/>
      <c r="D585" s="141" t="n"/>
      <c r="E585" s="141" t="n"/>
      <c r="F585" s="141" t="n"/>
      <c r="G585" s="143" t="n"/>
      <c r="H585" s="27" t="n"/>
    </row>
    <row r="586" ht="17.25" customHeight="1" s="322">
      <c r="A586" s="27" t="n"/>
      <c r="B586" s="506" t="n"/>
      <c r="C586" s="141" t="n"/>
      <c r="D586" s="141" t="n"/>
      <c r="E586" s="141" t="n"/>
      <c r="F586" s="141" t="n"/>
      <c r="G586" s="143" t="n"/>
      <c r="H586" s="27" t="n"/>
    </row>
    <row r="587" ht="17.25" customHeight="1" s="322">
      <c r="A587" s="27" t="n"/>
      <c r="B587" s="506" t="n"/>
      <c r="C587" s="141" t="n"/>
      <c r="D587" s="141" t="n"/>
      <c r="E587" s="141" t="n"/>
      <c r="F587" s="141" t="n"/>
      <c r="G587" s="143" t="n"/>
      <c r="H587" s="27" t="n"/>
    </row>
    <row r="588" ht="17.25" customHeight="1" s="322">
      <c r="A588" s="27" t="n"/>
      <c r="B588" s="506" t="n"/>
      <c r="C588" s="141" t="n"/>
      <c r="D588" s="141" t="n"/>
      <c r="E588" s="141" t="n"/>
      <c r="F588" s="141" t="n"/>
      <c r="G588" s="143" t="n"/>
      <c r="H588" s="27" t="n"/>
    </row>
    <row r="589" ht="17.25" customHeight="1" s="322">
      <c r="A589" s="27" t="n"/>
      <c r="B589" s="506" t="n"/>
      <c r="C589" s="141" t="n"/>
      <c r="D589" s="141" t="n"/>
      <c r="E589" s="141" t="n"/>
      <c r="F589" s="141" t="n"/>
      <c r="G589" s="143" t="n"/>
      <c r="H589" s="27" t="n"/>
    </row>
    <row r="590" ht="17.25" customHeight="1" s="322">
      <c r="A590" s="27" t="n"/>
      <c r="B590" s="506" t="n"/>
      <c r="C590" s="141" t="n"/>
      <c r="D590" s="141" t="n"/>
      <c r="E590" s="141" t="n"/>
      <c r="F590" s="141" t="n"/>
      <c r="G590" s="143" t="n"/>
      <c r="H590" s="27" t="n"/>
    </row>
    <row r="591" ht="17.25" customHeight="1" s="322">
      <c r="A591" s="27" t="n"/>
      <c r="B591" s="506" t="n"/>
      <c r="C591" s="141" t="n"/>
      <c r="D591" s="141" t="n"/>
      <c r="E591" s="141" t="n"/>
      <c r="F591" s="141" t="n"/>
      <c r="G591" s="143" t="n"/>
      <c r="H591" s="27" t="n"/>
    </row>
    <row r="592" ht="17.25" customHeight="1" s="322">
      <c r="A592" s="27" t="n"/>
      <c r="B592" s="506" t="n"/>
      <c r="C592" s="141" t="n"/>
      <c r="D592" s="141" t="n"/>
      <c r="E592" s="141" t="n"/>
      <c r="F592" s="141" t="n"/>
      <c r="G592" s="143" t="n"/>
      <c r="H592" s="27" t="n"/>
    </row>
    <row r="593" ht="17.25" customHeight="1" s="322">
      <c r="A593" s="27" t="n"/>
      <c r="B593" s="506" t="n"/>
      <c r="C593" s="141" t="n"/>
      <c r="D593" s="141" t="n"/>
      <c r="E593" s="141" t="n"/>
      <c r="F593" s="141" t="n"/>
      <c r="G593" s="143" t="n"/>
      <c r="H593" s="27" t="n"/>
    </row>
    <row r="594" ht="17.25" customHeight="1" s="322">
      <c r="A594" s="27" t="n"/>
      <c r="B594" s="506" t="n"/>
      <c r="C594" s="141" t="n"/>
      <c r="D594" s="141" t="n"/>
      <c r="E594" s="141" t="n"/>
      <c r="F594" s="141" t="n"/>
      <c r="G594" s="143" t="n"/>
      <c r="H594" s="27" t="n"/>
    </row>
    <row r="595" ht="17.25" customHeight="1" s="322">
      <c r="A595" s="27" t="n"/>
      <c r="B595" s="506" t="n"/>
      <c r="C595" s="141" t="n"/>
      <c r="D595" s="141" t="n"/>
      <c r="E595" s="141" t="n"/>
      <c r="F595" s="141" t="n"/>
      <c r="G595" s="143" t="n"/>
      <c r="H595" s="27" t="n"/>
    </row>
    <row r="596" ht="17.25" customHeight="1" s="322">
      <c r="A596" s="27" t="n"/>
      <c r="B596" s="506" t="n"/>
      <c r="C596" s="141" t="n"/>
      <c r="D596" s="141" t="n"/>
      <c r="E596" s="141" t="n"/>
      <c r="F596" s="141" t="n"/>
      <c r="G596" s="143" t="n"/>
      <c r="H596" s="27" t="n"/>
    </row>
    <row r="597" ht="17.25" customHeight="1" s="322">
      <c r="A597" s="27" t="n"/>
      <c r="B597" s="506" t="n"/>
      <c r="C597" s="141" t="n"/>
      <c r="D597" s="141" t="n"/>
      <c r="E597" s="141" t="n"/>
      <c r="F597" s="141" t="n"/>
      <c r="G597" s="143" t="n"/>
      <c r="H597" s="27" t="n"/>
    </row>
    <row r="598" ht="17.25" customHeight="1" s="322">
      <c r="A598" s="27" t="n"/>
      <c r="B598" s="506" t="n"/>
      <c r="C598" s="141" t="n"/>
      <c r="D598" s="141" t="n"/>
      <c r="E598" s="141" t="n"/>
      <c r="F598" s="141" t="n"/>
      <c r="G598" s="143" t="n"/>
      <c r="H598" s="27" t="n"/>
    </row>
    <row r="599" ht="17.25" customHeight="1" s="322">
      <c r="A599" s="27" t="n"/>
      <c r="B599" s="506" t="n"/>
      <c r="C599" s="141" t="n"/>
      <c r="D599" s="141" t="n"/>
      <c r="E599" s="141" t="n"/>
      <c r="F599" s="141" t="n"/>
      <c r="G599" s="143" t="n"/>
      <c r="H599" s="27" t="n"/>
    </row>
    <row r="600" ht="17.25" customHeight="1" s="322">
      <c r="A600" s="27" t="n"/>
      <c r="B600" s="506" t="n"/>
      <c r="C600" s="141" t="n"/>
      <c r="D600" s="141" t="n"/>
      <c r="E600" s="141" t="n"/>
      <c r="F600" s="141" t="n"/>
      <c r="G600" s="143" t="n"/>
      <c r="H600" s="27" t="n"/>
    </row>
    <row r="601" ht="17.25" customHeight="1" s="322">
      <c r="A601" s="27" t="n"/>
      <c r="B601" s="506" t="n"/>
      <c r="C601" s="141" t="n"/>
      <c r="D601" s="141" t="n"/>
      <c r="E601" s="141" t="n"/>
      <c r="F601" s="141" t="n"/>
      <c r="G601" s="143" t="n"/>
      <c r="H601" s="27" t="n"/>
    </row>
    <row r="602" ht="17.25" customHeight="1" s="322">
      <c r="A602" s="27" t="n"/>
      <c r="B602" s="506" t="n"/>
      <c r="C602" s="141" t="n"/>
      <c r="D602" s="141" t="n"/>
      <c r="E602" s="141" t="n"/>
      <c r="F602" s="141" t="n"/>
      <c r="G602" s="143" t="n"/>
      <c r="H602" s="27" t="n"/>
    </row>
    <row r="603" ht="17.25" customHeight="1" s="322">
      <c r="A603" s="27" t="n"/>
      <c r="B603" s="506" t="n"/>
      <c r="C603" s="141" t="n"/>
      <c r="D603" s="141" t="n"/>
      <c r="E603" s="141" t="n"/>
      <c r="F603" s="141" t="n"/>
      <c r="G603" s="143" t="n"/>
      <c r="H603" s="27" t="n"/>
    </row>
    <row r="604" ht="17.25" customHeight="1" s="322">
      <c r="A604" s="27" t="n"/>
      <c r="B604" s="506" t="n"/>
      <c r="C604" s="141" t="n"/>
      <c r="D604" s="141" t="n"/>
      <c r="E604" s="141" t="n"/>
      <c r="F604" s="141" t="n"/>
      <c r="G604" s="143" t="n"/>
      <c r="H604" s="27" t="n"/>
    </row>
    <row r="605" ht="17.25" customHeight="1" s="322">
      <c r="A605" s="27" t="n"/>
      <c r="B605" s="506" t="n"/>
      <c r="C605" s="141" t="n"/>
      <c r="D605" s="141" t="n"/>
      <c r="E605" s="141" t="n"/>
      <c r="F605" s="141" t="n"/>
      <c r="G605" s="143" t="n"/>
      <c r="H605" s="27" t="n"/>
    </row>
    <row r="606" ht="17.25" customHeight="1" s="322">
      <c r="A606" s="27" t="n"/>
      <c r="B606" s="506" t="n"/>
      <c r="C606" s="141" t="n"/>
      <c r="D606" s="141" t="n"/>
      <c r="E606" s="141" t="n"/>
      <c r="F606" s="141" t="n"/>
      <c r="G606" s="143" t="n"/>
      <c r="H606" s="27" t="n"/>
    </row>
    <row r="607" ht="17.25" customHeight="1" s="322">
      <c r="A607" s="27" t="n"/>
      <c r="B607" s="506" t="n"/>
      <c r="C607" s="141" t="n"/>
      <c r="D607" s="141" t="n"/>
      <c r="E607" s="141" t="n"/>
      <c r="F607" s="141" t="n"/>
      <c r="G607" s="143" t="n"/>
      <c r="H607" s="27" t="n"/>
    </row>
    <row r="608" ht="17.25" customHeight="1" s="322">
      <c r="A608" s="27" t="n"/>
      <c r="B608" s="506" t="n"/>
      <c r="C608" s="141" t="n"/>
      <c r="D608" s="141" t="n"/>
      <c r="E608" s="141" t="n"/>
      <c r="F608" s="141" t="n"/>
      <c r="G608" s="143" t="n"/>
      <c r="H608" s="27" t="n"/>
    </row>
    <row r="609" ht="17.25" customHeight="1" s="322">
      <c r="A609" s="27" t="n"/>
      <c r="B609" s="506" t="n"/>
      <c r="C609" s="141" t="n"/>
      <c r="D609" s="141" t="n"/>
      <c r="E609" s="141" t="n"/>
      <c r="F609" s="141" t="n"/>
      <c r="G609" s="143" t="n"/>
      <c r="H609" s="27" t="n"/>
    </row>
    <row r="610" ht="17.25" customHeight="1" s="322">
      <c r="A610" s="27" t="n"/>
      <c r="B610" s="506" t="n"/>
      <c r="C610" s="141" t="n"/>
      <c r="D610" s="141" t="n"/>
      <c r="E610" s="141" t="n"/>
      <c r="F610" s="141" t="n"/>
      <c r="G610" s="143" t="n"/>
      <c r="H610" s="27" t="n"/>
    </row>
    <row r="611" ht="17.25" customHeight="1" s="322">
      <c r="A611" s="27" t="n"/>
      <c r="B611" s="506" t="n"/>
      <c r="C611" s="141" t="n"/>
      <c r="D611" s="141" t="n"/>
      <c r="E611" s="141" t="n"/>
      <c r="F611" s="141" t="n"/>
      <c r="G611" s="143" t="n"/>
      <c r="H611" s="27" t="n"/>
    </row>
    <row r="612" ht="17.25" customHeight="1" s="322">
      <c r="A612" s="27" t="n"/>
      <c r="B612" s="506" t="n"/>
      <c r="C612" s="141" t="n"/>
      <c r="D612" s="141" t="n"/>
      <c r="E612" s="141" t="n"/>
      <c r="F612" s="141" t="n"/>
      <c r="G612" s="143" t="n"/>
      <c r="H612" s="27" t="n"/>
    </row>
    <row r="613" ht="17.25" customHeight="1" s="322">
      <c r="A613" s="27" t="n"/>
      <c r="B613" s="506" t="n"/>
      <c r="C613" s="141" t="n"/>
      <c r="D613" s="141" t="n"/>
      <c r="E613" s="141" t="n"/>
      <c r="F613" s="141" t="n"/>
      <c r="G613" s="143" t="n"/>
      <c r="H613" s="27" t="n"/>
    </row>
    <row r="614" ht="17.25" customHeight="1" s="322">
      <c r="A614" s="27" t="n"/>
      <c r="B614" s="506" t="n"/>
      <c r="C614" s="141" t="n"/>
      <c r="D614" s="141" t="n"/>
      <c r="E614" s="141" t="n"/>
      <c r="F614" s="141" t="n"/>
      <c r="G614" s="143" t="n"/>
      <c r="H614" s="27" t="n"/>
    </row>
    <row r="615" ht="17.25" customHeight="1" s="322">
      <c r="A615" s="27" t="n"/>
      <c r="B615" s="506" t="n"/>
      <c r="C615" s="141" t="n"/>
      <c r="D615" s="141" t="n"/>
      <c r="E615" s="141" t="n"/>
      <c r="F615" s="141" t="n"/>
      <c r="G615" s="143" t="n"/>
      <c r="H615" s="27" t="n"/>
    </row>
    <row r="616" ht="17.25" customHeight="1" s="322">
      <c r="A616" s="27" t="n"/>
      <c r="B616" s="506" t="n"/>
      <c r="C616" s="141" t="n"/>
      <c r="D616" s="141" t="n"/>
      <c r="E616" s="141" t="n"/>
      <c r="F616" s="141" t="n"/>
      <c r="G616" s="143" t="n"/>
      <c r="H616" s="27" t="n"/>
    </row>
    <row r="617" ht="17.25" customHeight="1" s="322">
      <c r="A617" s="27" t="n"/>
      <c r="B617" s="506" t="n"/>
      <c r="C617" s="141" t="n"/>
      <c r="D617" s="141" t="n"/>
      <c r="E617" s="141" t="n"/>
      <c r="F617" s="141" t="n"/>
      <c r="G617" s="143" t="n"/>
      <c r="H617" s="27" t="n"/>
    </row>
    <row r="618" ht="17.25" customHeight="1" s="322">
      <c r="A618" s="27" t="n"/>
      <c r="B618" s="506" t="n"/>
      <c r="C618" s="141" t="n"/>
      <c r="D618" s="141" t="n"/>
      <c r="E618" s="141" t="n"/>
      <c r="F618" s="141" t="n"/>
      <c r="G618" s="143" t="n"/>
      <c r="H618" s="27" t="n"/>
    </row>
    <row r="619" ht="17.25" customHeight="1" s="322">
      <c r="A619" s="27" t="n"/>
      <c r="B619" s="506" t="n"/>
      <c r="C619" s="141" t="n"/>
      <c r="D619" s="141" t="n"/>
      <c r="E619" s="141" t="n"/>
      <c r="F619" s="141" t="n"/>
      <c r="G619" s="143" t="n"/>
      <c r="H619" s="27" t="n"/>
    </row>
    <row r="620" ht="17.25" customHeight="1" s="322">
      <c r="A620" s="27" t="n"/>
      <c r="B620" s="506" t="n"/>
      <c r="C620" s="141" t="n"/>
      <c r="D620" s="141" t="n"/>
      <c r="E620" s="141" t="n"/>
      <c r="F620" s="141" t="n"/>
      <c r="G620" s="143" t="n"/>
      <c r="H620" s="27" t="n"/>
    </row>
    <row r="621" ht="17.25" customHeight="1" s="322">
      <c r="A621" s="27" t="n"/>
      <c r="B621" s="506" t="n"/>
      <c r="C621" s="141" t="n"/>
      <c r="D621" s="141" t="n"/>
      <c r="E621" s="141" t="n"/>
      <c r="F621" s="141" t="n"/>
      <c r="G621" s="143" t="n"/>
      <c r="H621" s="27" t="n"/>
    </row>
    <row r="622" ht="17.25" customHeight="1" s="322">
      <c r="A622" s="27" t="n"/>
      <c r="B622" s="506" t="n"/>
      <c r="C622" s="141" t="n"/>
      <c r="D622" s="141" t="n"/>
      <c r="E622" s="141" t="n"/>
      <c r="F622" s="141" t="n"/>
      <c r="G622" s="143" t="n"/>
      <c r="H622" s="27" t="n"/>
    </row>
    <row r="623" ht="17.25" customHeight="1" s="322">
      <c r="A623" s="27" t="n"/>
      <c r="B623" s="506" t="n"/>
      <c r="C623" s="141" t="n"/>
      <c r="D623" s="141" t="n"/>
      <c r="E623" s="141" t="n"/>
      <c r="F623" s="141" t="n"/>
      <c r="G623" s="143" t="n"/>
      <c r="H623" s="27" t="n"/>
    </row>
    <row r="624" ht="17.25" customHeight="1" s="322">
      <c r="A624" s="27" t="n"/>
      <c r="B624" s="506" t="n"/>
      <c r="C624" s="141" t="n"/>
      <c r="D624" s="141" t="n"/>
      <c r="E624" s="141" t="n"/>
      <c r="F624" s="141" t="n"/>
      <c r="G624" s="143" t="n"/>
      <c r="H624" s="27" t="n"/>
    </row>
    <row r="625" ht="17.25" customHeight="1" s="322">
      <c r="A625" s="27" t="n"/>
      <c r="B625" s="506" t="n"/>
      <c r="C625" s="141" t="n"/>
      <c r="D625" s="141" t="n"/>
      <c r="E625" s="141" t="n"/>
      <c r="F625" s="141" t="n"/>
      <c r="G625" s="143" t="n"/>
      <c r="H625" s="27" t="n"/>
    </row>
    <row r="626" ht="17.25" customHeight="1" s="322">
      <c r="A626" s="27" t="n"/>
      <c r="B626" s="506" t="n"/>
      <c r="C626" s="141" t="n"/>
      <c r="D626" s="141" t="n"/>
      <c r="E626" s="141" t="n"/>
      <c r="F626" s="141" t="n"/>
      <c r="G626" s="143" t="n"/>
      <c r="H626" s="27" t="n"/>
    </row>
    <row r="627" ht="17.25" customHeight="1" s="322">
      <c r="A627" s="27" t="n"/>
      <c r="B627" s="506" t="n"/>
      <c r="C627" s="141" t="n"/>
      <c r="D627" s="141" t="n"/>
      <c r="E627" s="141" t="n"/>
      <c r="F627" s="141" t="n"/>
      <c r="G627" s="143" t="n"/>
      <c r="H627" s="27" t="n"/>
    </row>
    <row r="628" ht="17.25" customHeight="1" s="322">
      <c r="A628" s="27" t="n"/>
      <c r="B628" s="506" t="n"/>
      <c r="C628" s="141" t="n"/>
      <c r="D628" s="141" t="n"/>
      <c r="E628" s="141" t="n"/>
      <c r="F628" s="141" t="n"/>
      <c r="G628" s="143" t="n"/>
      <c r="H628" s="27" t="n"/>
    </row>
    <row r="629" ht="17.25" customHeight="1" s="322">
      <c r="A629" s="27" t="n"/>
      <c r="B629" s="506" t="n"/>
      <c r="C629" s="141" t="n"/>
      <c r="D629" s="141" t="n"/>
      <c r="E629" s="141" t="n"/>
      <c r="F629" s="141" t="n"/>
      <c r="G629" s="143" t="n"/>
      <c r="H629" s="27" t="n"/>
    </row>
    <row r="630" ht="17.25" customHeight="1" s="322">
      <c r="A630" s="27" t="n"/>
      <c r="B630" s="506" t="n"/>
      <c r="C630" s="141" t="n"/>
      <c r="D630" s="141" t="n"/>
      <c r="E630" s="141" t="n"/>
      <c r="F630" s="141" t="n"/>
      <c r="G630" s="143" t="n"/>
      <c r="H630" s="27" t="n"/>
    </row>
    <row r="631" ht="17.25" customHeight="1" s="322">
      <c r="A631" s="27" t="n"/>
      <c r="B631" s="506" t="n"/>
      <c r="C631" s="141" t="n"/>
      <c r="D631" s="141" t="n"/>
      <c r="E631" s="141" t="n"/>
      <c r="F631" s="141" t="n"/>
      <c r="G631" s="143" t="n"/>
      <c r="H631" s="27" t="n"/>
    </row>
    <row r="632" ht="17.25" customHeight="1" s="322">
      <c r="A632" s="27" t="n"/>
      <c r="B632" s="506" t="n"/>
      <c r="C632" s="141" t="n"/>
      <c r="D632" s="141" t="n"/>
      <c r="E632" s="141" t="n"/>
      <c r="F632" s="141" t="n"/>
      <c r="G632" s="143" t="n"/>
      <c r="H632" s="27" t="n"/>
    </row>
    <row r="633" ht="17.25" customHeight="1" s="322">
      <c r="A633" s="27" t="n"/>
      <c r="B633" s="506" t="n"/>
      <c r="C633" s="141" t="n"/>
      <c r="D633" s="141" t="n"/>
      <c r="E633" s="141" t="n"/>
      <c r="F633" s="141" t="n"/>
      <c r="G633" s="143" t="n"/>
      <c r="H633" s="27" t="n"/>
    </row>
    <row r="634" ht="17.25" customHeight="1" s="322">
      <c r="A634" s="27" t="n"/>
      <c r="B634" s="506" t="n"/>
      <c r="C634" s="141" t="n"/>
      <c r="D634" s="141" t="n"/>
      <c r="E634" s="141" t="n"/>
      <c r="F634" s="141" t="n"/>
      <c r="G634" s="143" t="n"/>
      <c r="H634" s="27" t="n"/>
    </row>
    <row r="635" ht="17.25" customHeight="1" s="322">
      <c r="A635" s="27" t="n"/>
      <c r="B635" s="506" t="n"/>
      <c r="C635" s="141" t="n"/>
      <c r="D635" s="141" t="n"/>
      <c r="E635" s="141" t="n"/>
      <c r="F635" s="141" t="n"/>
      <c r="G635" s="143" t="n"/>
      <c r="H635" s="27" t="n"/>
    </row>
    <row r="636" ht="17.25" customHeight="1" s="322">
      <c r="A636" s="27" t="n"/>
      <c r="B636" s="506" t="n"/>
      <c r="C636" s="141" t="n"/>
      <c r="D636" s="141" t="n"/>
      <c r="E636" s="141" t="n"/>
      <c r="F636" s="141" t="n"/>
      <c r="G636" s="143" t="n"/>
      <c r="H636" s="27" t="n"/>
    </row>
    <row r="637" ht="17.25" customHeight="1" s="322">
      <c r="A637" s="27" t="n"/>
      <c r="B637" s="506" t="n"/>
      <c r="C637" s="141" t="n"/>
      <c r="D637" s="141" t="n"/>
      <c r="E637" s="141" t="n"/>
      <c r="F637" s="141" t="n"/>
      <c r="G637" s="143" t="n"/>
      <c r="H637" s="27" t="n"/>
    </row>
    <row r="638" ht="17.25" customHeight="1" s="322">
      <c r="A638" s="27" t="n"/>
      <c r="B638" s="506" t="n"/>
      <c r="C638" s="141" t="n"/>
      <c r="D638" s="141" t="n"/>
      <c r="E638" s="141" t="n"/>
      <c r="F638" s="141" t="n"/>
      <c r="G638" s="143" t="n"/>
      <c r="H638" s="27" t="n"/>
    </row>
    <row r="639" ht="17.25" customHeight="1" s="322">
      <c r="A639" s="27" t="n"/>
      <c r="B639" s="506" t="n"/>
      <c r="C639" s="141" t="n"/>
      <c r="D639" s="141" t="n"/>
      <c r="E639" s="141" t="n"/>
      <c r="F639" s="141" t="n"/>
      <c r="G639" s="143" t="n"/>
      <c r="H639" s="27" t="n"/>
    </row>
    <row r="640" ht="17.25" customHeight="1" s="322">
      <c r="A640" s="27" t="n"/>
      <c r="B640" s="506" t="n"/>
      <c r="C640" s="141" t="n"/>
      <c r="D640" s="141" t="n"/>
      <c r="E640" s="141" t="n"/>
      <c r="F640" s="141" t="n"/>
      <c r="G640" s="143" t="n"/>
      <c r="H640" s="27" t="n"/>
    </row>
    <row r="641" ht="17.25" customHeight="1" s="322">
      <c r="A641" s="27" t="n"/>
      <c r="B641" s="506" t="n"/>
      <c r="C641" s="141" t="n"/>
      <c r="D641" s="141" t="n"/>
      <c r="E641" s="141" t="n"/>
      <c r="F641" s="141" t="n"/>
      <c r="G641" s="143" t="n"/>
      <c r="H641" s="27" t="n"/>
    </row>
    <row r="642" ht="17.25" customHeight="1" s="322">
      <c r="A642" s="27" t="n"/>
      <c r="B642" s="506" t="n"/>
      <c r="C642" s="141" t="n"/>
      <c r="D642" s="141" t="n"/>
      <c r="E642" s="141" t="n"/>
      <c r="F642" s="141" t="n"/>
      <c r="G642" s="143" t="n"/>
      <c r="H642" s="27" t="n"/>
    </row>
    <row r="643" ht="17.25" customHeight="1" s="322">
      <c r="A643" s="27" t="n"/>
      <c r="B643" s="506" t="n"/>
      <c r="C643" s="141" t="n"/>
      <c r="D643" s="141" t="n"/>
      <c r="E643" s="141" t="n"/>
      <c r="F643" s="141" t="n"/>
      <c r="G643" s="143" t="n"/>
      <c r="H643" s="27" t="n"/>
    </row>
    <row r="644" ht="17.25" customHeight="1" s="322">
      <c r="A644" s="27" t="n"/>
      <c r="B644" s="506" t="n"/>
      <c r="C644" s="141" t="n"/>
      <c r="D644" s="141" t="n"/>
      <c r="E644" s="141" t="n"/>
      <c r="F644" s="141" t="n"/>
      <c r="G644" s="143" t="n"/>
      <c r="H644" s="27" t="n"/>
    </row>
    <row r="645" ht="17.25" customHeight="1" s="322">
      <c r="A645" s="27" t="n"/>
      <c r="B645" s="506" t="n"/>
      <c r="C645" s="141" t="n"/>
      <c r="D645" s="141" t="n"/>
      <c r="E645" s="141" t="n"/>
      <c r="F645" s="141" t="n"/>
      <c r="G645" s="143" t="n"/>
      <c r="H645" s="27" t="n"/>
    </row>
    <row r="646" ht="17.25" customHeight="1" s="322">
      <c r="A646" s="27" t="n"/>
      <c r="B646" s="506" t="n"/>
      <c r="C646" s="141" t="n"/>
      <c r="D646" s="141" t="n"/>
      <c r="E646" s="141" t="n"/>
      <c r="F646" s="141" t="n"/>
      <c r="G646" s="143" t="n"/>
      <c r="H646" s="27" t="n"/>
    </row>
    <row r="647" ht="17.25" customHeight="1" s="322">
      <c r="A647" s="27" t="n"/>
      <c r="B647" s="506" t="n"/>
      <c r="C647" s="141" t="n"/>
      <c r="D647" s="141" t="n"/>
      <c r="E647" s="141" t="n"/>
      <c r="F647" s="141" t="n"/>
      <c r="G647" s="143" t="n"/>
      <c r="H647" s="27" t="n"/>
    </row>
    <row r="648" ht="17.25" customHeight="1" s="322">
      <c r="A648" s="27" t="n"/>
      <c r="B648" s="506" t="n"/>
      <c r="C648" s="141" t="n"/>
      <c r="D648" s="141" t="n"/>
      <c r="E648" s="141" t="n"/>
      <c r="F648" s="141" t="n"/>
      <c r="G648" s="143" t="n"/>
      <c r="H648" s="27" t="n"/>
    </row>
    <row r="649" ht="17.25" customHeight="1" s="322">
      <c r="A649" s="27" t="n"/>
      <c r="B649" s="506" t="n"/>
      <c r="C649" s="141" t="n"/>
      <c r="D649" s="141" t="n"/>
      <c r="E649" s="141" t="n"/>
      <c r="F649" s="141" t="n"/>
      <c r="G649" s="143" t="n"/>
      <c r="H649" s="27" t="n"/>
    </row>
    <row r="650" ht="17.25" customHeight="1" s="322">
      <c r="A650" s="27" t="n"/>
      <c r="B650" s="506" t="n"/>
      <c r="C650" s="141" t="n"/>
      <c r="D650" s="141" t="n"/>
      <c r="E650" s="141" t="n"/>
      <c r="F650" s="141" t="n"/>
      <c r="G650" s="143" t="n"/>
      <c r="H650" s="27" t="n"/>
    </row>
    <row r="651" ht="17.25" customHeight="1" s="322">
      <c r="A651" s="27" t="n"/>
      <c r="B651" s="506" t="n"/>
      <c r="C651" s="141" t="n"/>
      <c r="D651" s="141" t="n"/>
      <c r="E651" s="141" t="n"/>
      <c r="F651" s="141" t="n"/>
      <c r="G651" s="143" t="n"/>
      <c r="H651" s="27" t="n"/>
    </row>
    <row r="652" ht="17.25" customHeight="1" s="322">
      <c r="A652" s="27" t="n"/>
      <c r="B652" s="506" t="n"/>
      <c r="C652" s="141" t="n"/>
      <c r="D652" s="141" t="n"/>
      <c r="E652" s="141" t="n"/>
      <c r="F652" s="141" t="n"/>
      <c r="G652" s="143" t="n"/>
      <c r="H652" s="27" t="n"/>
    </row>
    <row r="653" ht="17.25" customHeight="1" s="322">
      <c r="A653" s="27" t="n"/>
      <c r="B653" s="506" t="n"/>
      <c r="C653" s="141" t="n"/>
      <c r="D653" s="141" t="n"/>
      <c r="E653" s="141" t="n"/>
      <c r="F653" s="141" t="n"/>
      <c r="G653" s="143" t="n"/>
      <c r="H653" s="27" t="n"/>
    </row>
    <row r="654" ht="17.25" customHeight="1" s="322">
      <c r="A654" s="27" t="n"/>
      <c r="B654" s="506" t="n"/>
      <c r="C654" s="141" t="n"/>
      <c r="D654" s="141" t="n"/>
      <c r="E654" s="141" t="n"/>
      <c r="F654" s="141" t="n"/>
      <c r="G654" s="143" t="n"/>
      <c r="H654" s="27" t="n"/>
    </row>
    <row r="655" ht="17.25" customHeight="1" s="322">
      <c r="A655" s="27" t="n"/>
      <c r="B655" s="506" t="n"/>
      <c r="C655" s="141" t="n"/>
      <c r="D655" s="141" t="n"/>
      <c r="E655" s="141" t="n"/>
      <c r="F655" s="141" t="n"/>
      <c r="G655" s="143" t="n"/>
      <c r="H655" s="27" t="n"/>
    </row>
    <row r="656" ht="17.25" customHeight="1" s="322">
      <c r="A656" s="27" t="n"/>
      <c r="B656" s="506" t="n"/>
      <c r="C656" s="141" t="n"/>
      <c r="D656" s="141" t="n"/>
      <c r="E656" s="141" t="n"/>
      <c r="F656" s="141" t="n"/>
      <c r="G656" s="143" t="n"/>
      <c r="H656" s="27" t="n"/>
    </row>
    <row r="657" ht="17.25" customHeight="1" s="322">
      <c r="A657" s="27" t="n"/>
      <c r="B657" s="506" t="n"/>
      <c r="C657" s="141" t="n"/>
      <c r="D657" s="141" t="n"/>
      <c r="E657" s="141" t="n"/>
      <c r="F657" s="141" t="n"/>
      <c r="G657" s="143" t="n"/>
      <c r="H657" s="27" t="n"/>
    </row>
    <row r="658" ht="17.25" customHeight="1" s="322">
      <c r="A658" s="27" t="n"/>
      <c r="B658" s="506" t="n"/>
      <c r="C658" s="141" t="n"/>
      <c r="D658" s="141" t="n"/>
      <c r="E658" s="141" t="n"/>
      <c r="F658" s="141" t="n"/>
      <c r="G658" s="143" t="n"/>
      <c r="H658" s="27" t="n"/>
    </row>
    <row r="659" ht="17.25" customHeight="1" s="322">
      <c r="A659" s="27" t="n"/>
      <c r="B659" s="506" t="n"/>
      <c r="C659" s="141" t="n"/>
      <c r="D659" s="141" t="n"/>
      <c r="E659" s="141" t="n"/>
      <c r="F659" s="141" t="n"/>
      <c r="G659" s="143" t="n"/>
      <c r="H659" s="27" t="n"/>
    </row>
    <row r="660" ht="17.25" customHeight="1" s="322">
      <c r="A660" s="27" t="n"/>
      <c r="B660" s="506" t="n"/>
      <c r="C660" s="141" t="n"/>
      <c r="D660" s="141" t="n"/>
      <c r="E660" s="141" t="n"/>
      <c r="F660" s="141" t="n"/>
      <c r="G660" s="143" t="n"/>
      <c r="H660" s="27" t="n"/>
    </row>
    <row r="661" ht="17.25" customHeight="1" s="322">
      <c r="A661" s="27" t="n"/>
      <c r="B661" s="506" t="n"/>
      <c r="C661" s="141" t="n"/>
      <c r="D661" s="141" t="n"/>
      <c r="E661" s="141" t="n"/>
      <c r="F661" s="141" t="n"/>
      <c r="G661" s="143" t="n"/>
      <c r="H661" s="27" t="n"/>
    </row>
    <row r="662" ht="17.25" customHeight="1" s="322">
      <c r="A662" s="27" t="n"/>
      <c r="B662" s="506" t="n"/>
      <c r="C662" s="141" t="n"/>
      <c r="D662" s="141" t="n"/>
      <c r="E662" s="141" t="n"/>
      <c r="F662" s="141" t="n"/>
      <c r="G662" s="143" t="n"/>
      <c r="H662" s="27" t="n"/>
    </row>
    <row r="663" ht="17.25" customHeight="1" s="322">
      <c r="A663" s="27" t="n"/>
      <c r="B663" s="506" t="n"/>
      <c r="C663" s="141" t="n"/>
      <c r="D663" s="141" t="n"/>
      <c r="E663" s="141" t="n"/>
      <c r="F663" s="141" t="n"/>
      <c r="G663" s="143" t="n"/>
      <c r="H663" s="27" t="n"/>
    </row>
    <row r="664" ht="17.25" customHeight="1" s="322">
      <c r="A664" s="27" t="n"/>
      <c r="B664" s="506" t="n"/>
      <c r="C664" s="141" t="n"/>
      <c r="D664" s="141" t="n"/>
      <c r="E664" s="141" t="n"/>
      <c r="F664" s="141" t="n"/>
      <c r="G664" s="143" t="n"/>
      <c r="H664" s="27" t="n"/>
    </row>
    <row r="665" ht="17.25" customHeight="1" s="322">
      <c r="A665" s="27" t="n"/>
      <c r="B665" s="506" t="n"/>
      <c r="C665" s="141" t="n"/>
      <c r="D665" s="141" t="n"/>
      <c r="E665" s="141" t="n"/>
      <c r="F665" s="141" t="n"/>
      <c r="G665" s="143" t="n"/>
      <c r="H665" s="27" t="n"/>
    </row>
    <row r="666" ht="17.25" customHeight="1" s="322">
      <c r="A666" s="27" t="n"/>
      <c r="B666" s="506" t="n"/>
      <c r="C666" s="141" t="n"/>
      <c r="D666" s="141" t="n"/>
      <c r="E666" s="141" t="n"/>
      <c r="F666" s="141" t="n"/>
      <c r="G666" s="143" t="n"/>
      <c r="H666" s="27" t="n"/>
    </row>
    <row r="667" ht="17.25" customHeight="1" s="322">
      <c r="A667" s="27" t="n"/>
      <c r="B667" s="506" t="n"/>
      <c r="C667" s="141" t="n"/>
      <c r="D667" s="141" t="n"/>
      <c r="E667" s="141" t="n"/>
      <c r="F667" s="141" t="n"/>
      <c r="G667" s="143" t="n"/>
      <c r="H667" s="27" t="n"/>
    </row>
    <row r="668" ht="17.25" customHeight="1" s="322">
      <c r="A668" s="27" t="n"/>
      <c r="B668" s="506" t="n"/>
      <c r="C668" s="141" t="n"/>
      <c r="D668" s="141" t="n"/>
      <c r="E668" s="141" t="n"/>
      <c r="F668" s="141" t="n"/>
      <c r="G668" s="143" t="n"/>
      <c r="H668" s="27" t="n"/>
    </row>
    <row r="669" ht="17.25" customHeight="1" s="322">
      <c r="A669" s="27" t="n"/>
      <c r="B669" s="506" t="n"/>
      <c r="C669" s="141" t="n"/>
      <c r="D669" s="141" t="n"/>
      <c r="E669" s="141" t="n"/>
      <c r="F669" s="141" t="n"/>
      <c r="G669" s="143" t="n"/>
      <c r="H669" s="27" t="n"/>
    </row>
    <row r="670" ht="17.25" customHeight="1" s="322">
      <c r="A670" s="27" t="n"/>
      <c r="B670" s="506" t="n"/>
      <c r="C670" s="141" t="n"/>
      <c r="D670" s="141" t="n"/>
      <c r="E670" s="141" t="n"/>
      <c r="F670" s="141" t="n"/>
      <c r="G670" s="143" t="n"/>
      <c r="H670" s="27" t="n"/>
    </row>
    <row r="671" ht="17.25" customHeight="1" s="322">
      <c r="A671" s="27" t="n"/>
      <c r="B671" s="506" t="n"/>
      <c r="C671" s="141" t="n"/>
      <c r="D671" s="141" t="n"/>
      <c r="E671" s="141" t="n"/>
      <c r="F671" s="141" t="n"/>
      <c r="G671" s="143" t="n"/>
      <c r="H671" s="27" t="n"/>
    </row>
    <row r="672" ht="17.25" customHeight="1" s="322">
      <c r="A672" s="27" t="n"/>
      <c r="B672" s="506" t="n"/>
      <c r="C672" s="141" t="n"/>
      <c r="D672" s="141" t="n"/>
      <c r="E672" s="141" t="n"/>
      <c r="F672" s="141" t="n"/>
      <c r="G672" s="143" t="n"/>
      <c r="H672" s="27" t="n"/>
    </row>
    <row r="673" ht="17.25" customHeight="1" s="322">
      <c r="A673" s="27" t="n"/>
      <c r="B673" s="506" t="n"/>
      <c r="C673" s="141" t="n"/>
      <c r="D673" s="141" t="n"/>
      <c r="E673" s="141" t="n"/>
      <c r="F673" s="141" t="n"/>
      <c r="G673" s="143" t="n"/>
      <c r="H673" s="27" t="n"/>
    </row>
    <row r="674" ht="17.25" customHeight="1" s="322">
      <c r="A674" s="27" t="n"/>
      <c r="B674" s="506" t="n"/>
      <c r="C674" s="141" t="n"/>
      <c r="D674" s="141" t="n"/>
      <c r="E674" s="141" t="n"/>
      <c r="F674" s="141" t="n"/>
      <c r="G674" s="143" t="n"/>
      <c r="H674" s="27" t="n"/>
    </row>
    <row r="675" ht="17.25" customHeight="1" s="322">
      <c r="A675" s="27" t="n"/>
      <c r="B675" s="506" t="n"/>
      <c r="C675" s="141" t="n"/>
      <c r="D675" s="141" t="n"/>
      <c r="E675" s="141" t="n"/>
      <c r="F675" s="141" t="n"/>
      <c r="G675" s="143" t="n"/>
      <c r="H675" s="27" t="n"/>
    </row>
    <row r="676" ht="17.25" customHeight="1" s="322">
      <c r="A676" s="27" t="n"/>
      <c r="B676" s="506" t="n"/>
      <c r="C676" s="141" t="n"/>
      <c r="D676" s="141" t="n"/>
      <c r="E676" s="141" t="n"/>
      <c r="F676" s="141" t="n"/>
      <c r="G676" s="143" t="n"/>
      <c r="H676" s="27" t="n"/>
    </row>
    <row r="677" ht="17.25" customHeight="1" s="322">
      <c r="A677" s="27" t="n"/>
      <c r="B677" s="506" t="n"/>
      <c r="C677" s="141" t="n"/>
      <c r="D677" s="141" t="n"/>
      <c r="E677" s="141" t="n"/>
      <c r="F677" s="141" t="n"/>
      <c r="G677" s="143" t="n"/>
      <c r="H677" s="27" t="n"/>
    </row>
    <row r="678" ht="17.25" customHeight="1" s="322">
      <c r="A678" s="27" t="n"/>
      <c r="B678" s="506" t="n"/>
      <c r="C678" s="141" t="n"/>
      <c r="D678" s="141" t="n"/>
      <c r="E678" s="141" t="n"/>
      <c r="F678" s="141" t="n"/>
      <c r="G678" s="143" t="n"/>
      <c r="H678" s="27" t="n"/>
    </row>
    <row r="679" ht="17.25" customHeight="1" s="322">
      <c r="A679" s="27" t="n"/>
      <c r="B679" s="506" t="n"/>
      <c r="C679" s="141" t="n"/>
      <c r="D679" s="141" t="n"/>
      <c r="E679" s="141" t="n"/>
      <c r="F679" s="141" t="n"/>
      <c r="G679" s="143" t="n"/>
      <c r="H679" s="27" t="n"/>
    </row>
    <row r="680" ht="17.25" customHeight="1" s="322">
      <c r="A680" s="27" t="n"/>
      <c r="B680" s="506" t="n"/>
      <c r="C680" s="141" t="n"/>
      <c r="D680" s="141" t="n"/>
      <c r="E680" s="141" t="n"/>
      <c r="F680" s="141" t="n"/>
      <c r="G680" s="143" t="n"/>
      <c r="H680" s="27" t="n"/>
    </row>
    <row r="681" ht="17.25" customHeight="1" s="322">
      <c r="A681" s="27" t="n"/>
      <c r="B681" s="506" t="n"/>
      <c r="C681" s="141" t="n"/>
      <c r="D681" s="141" t="n"/>
      <c r="E681" s="141" t="n"/>
      <c r="F681" s="141" t="n"/>
      <c r="G681" s="143" t="n"/>
      <c r="H681" s="27" t="n"/>
    </row>
    <row r="682" ht="17.25" customHeight="1" s="322">
      <c r="A682" s="27" t="n"/>
      <c r="B682" s="506" t="n"/>
      <c r="C682" s="141" t="n"/>
      <c r="D682" s="141" t="n"/>
      <c r="E682" s="141" t="n"/>
      <c r="F682" s="141" t="n"/>
      <c r="G682" s="143" t="n"/>
      <c r="H682" s="27" t="n"/>
    </row>
    <row r="683" ht="17.25" customHeight="1" s="322">
      <c r="A683" s="27" t="n"/>
      <c r="B683" s="506" t="n"/>
      <c r="C683" s="141" t="n"/>
      <c r="D683" s="141" t="n"/>
      <c r="E683" s="141" t="n"/>
      <c r="F683" s="141" t="n"/>
      <c r="G683" s="143" t="n"/>
      <c r="H683" s="27" t="n"/>
    </row>
    <row r="684" ht="17.25" customHeight="1" s="322">
      <c r="A684" s="27" t="n"/>
      <c r="B684" s="506" t="n"/>
      <c r="C684" s="141" t="n"/>
      <c r="D684" s="141" t="n"/>
      <c r="E684" s="141" t="n"/>
      <c r="F684" s="141" t="n"/>
      <c r="G684" s="143" t="n"/>
      <c r="H684" s="27" t="n"/>
    </row>
    <row r="685" ht="17.25" customHeight="1" s="322">
      <c r="A685" s="27" t="n"/>
      <c r="B685" s="506" t="n"/>
      <c r="C685" s="141" t="n"/>
      <c r="D685" s="141" t="n"/>
      <c r="E685" s="141" t="n"/>
      <c r="F685" s="141" t="n"/>
      <c r="G685" s="143" t="n"/>
      <c r="H685" s="27" t="n"/>
    </row>
    <row r="686" ht="17.25" customHeight="1" s="322">
      <c r="A686" s="27" t="n"/>
      <c r="B686" s="506" t="n"/>
      <c r="C686" s="141" t="n"/>
      <c r="D686" s="141" t="n"/>
      <c r="E686" s="141" t="n"/>
      <c r="F686" s="141" t="n"/>
      <c r="G686" s="143" t="n"/>
      <c r="H686" s="27" t="n"/>
    </row>
    <row r="687" ht="17.25" customHeight="1" s="322">
      <c r="A687" s="27" t="n"/>
      <c r="B687" s="506" t="n"/>
      <c r="C687" s="141" t="n"/>
      <c r="D687" s="141" t="n"/>
      <c r="E687" s="141" t="n"/>
      <c r="F687" s="141" t="n"/>
      <c r="G687" s="143" t="n"/>
      <c r="H687" s="27" t="n"/>
    </row>
    <row r="688" ht="17.25" customHeight="1" s="322">
      <c r="A688" s="27" t="n"/>
      <c r="B688" s="506" t="n"/>
      <c r="C688" s="141" t="n"/>
      <c r="D688" s="141" t="n"/>
      <c r="E688" s="141" t="n"/>
      <c r="F688" s="141" t="n"/>
      <c r="G688" s="143" t="n"/>
      <c r="H688" s="27" t="n"/>
    </row>
    <row r="689" ht="17.25" customHeight="1" s="322">
      <c r="A689" s="27" t="n"/>
      <c r="B689" s="506" t="n"/>
      <c r="C689" s="141" t="n"/>
      <c r="D689" s="141" t="n"/>
      <c r="E689" s="141" t="n"/>
      <c r="F689" s="141" t="n"/>
      <c r="G689" s="143" t="n"/>
      <c r="H689" s="27" t="n"/>
    </row>
    <row r="690" ht="17.25" customHeight="1" s="322">
      <c r="A690" s="27" t="n"/>
      <c r="B690" s="506" t="n"/>
      <c r="C690" s="141" t="n"/>
      <c r="D690" s="141" t="n"/>
      <c r="E690" s="141" t="n"/>
      <c r="F690" s="141" t="n"/>
      <c r="G690" s="143" t="n"/>
      <c r="H690" s="27" t="n"/>
    </row>
    <row r="691" ht="17.25" customHeight="1" s="322">
      <c r="A691" s="27" t="n"/>
      <c r="B691" s="506" t="n"/>
      <c r="C691" s="141" t="n"/>
      <c r="D691" s="141" t="n"/>
      <c r="E691" s="141" t="n"/>
      <c r="F691" s="141" t="n"/>
      <c r="G691" s="143" t="n"/>
      <c r="H691" s="27" t="n"/>
    </row>
    <row r="692" ht="17.25" customHeight="1" s="322">
      <c r="A692" s="27" t="n"/>
      <c r="B692" s="506" t="n"/>
      <c r="C692" s="141" t="n"/>
      <c r="D692" s="141" t="n"/>
      <c r="E692" s="141" t="n"/>
      <c r="F692" s="141" t="n"/>
      <c r="G692" s="143" t="n"/>
      <c r="H692" s="27" t="n"/>
    </row>
    <row r="693" ht="17.25" customHeight="1" s="322">
      <c r="A693" s="27" t="n"/>
      <c r="B693" s="506" t="n"/>
      <c r="C693" s="141" t="n"/>
      <c r="D693" s="141" t="n"/>
      <c r="E693" s="141" t="n"/>
      <c r="F693" s="141" t="n"/>
      <c r="G693" s="143" t="n"/>
      <c r="H693" s="27" t="n"/>
    </row>
    <row r="694" ht="17.25" customHeight="1" s="322">
      <c r="A694" s="27" t="n"/>
      <c r="B694" s="506" t="n"/>
      <c r="C694" s="141" t="n"/>
      <c r="D694" s="141" t="n"/>
      <c r="E694" s="141" t="n"/>
      <c r="F694" s="141" t="n"/>
      <c r="G694" s="143" t="n"/>
      <c r="H694" s="27" t="n"/>
    </row>
    <row r="695" ht="17.25" customHeight="1" s="322">
      <c r="A695" s="27" t="n"/>
      <c r="B695" s="506" t="n"/>
      <c r="C695" s="141" t="n"/>
      <c r="D695" s="141" t="n"/>
      <c r="E695" s="141" t="n"/>
      <c r="F695" s="141" t="n"/>
      <c r="G695" s="143" t="n"/>
      <c r="H695" s="27" t="n"/>
    </row>
    <row r="696" ht="17.25" customHeight="1" s="322">
      <c r="A696" s="27" t="n"/>
      <c r="B696" s="506" t="n"/>
      <c r="C696" s="141" t="n"/>
      <c r="D696" s="141" t="n"/>
      <c r="E696" s="141" t="n"/>
      <c r="F696" s="141" t="n"/>
      <c r="G696" s="143" t="n"/>
      <c r="H696" s="27" t="n"/>
    </row>
    <row r="697" ht="17.25" customHeight="1" s="322">
      <c r="A697" s="27" t="n"/>
      <c r="B697" s="506" t="n"/>
      <c r="C697" s="141" t="n"/>
      <c r="D697" s="141" t="n"/>
      <c r="E697" s="141" t="n"/>
      <c r="F697" s="141" t="n"/>
      <c r="G697" s="143" t="n"/>
      <c r="H697" s="27" t="n"/>
    </row>
    <row r="698" ht="17.25" customHeight="1" s="322">
      <c r="A698" s="27" t="n"/>
      <c r="B698" s="506" t="n"/>
      <c r="C698" s="141" t="n"/>
      <c r="D698" s="141" t="n"/>
      <c r="E698" s="141" t="n"/>
      <c r="F698" s="141" t="n"/>
      <c r="G698" s="143" t="n"/>
      <c r="H698" s="27" t="n"/>
    </row>
    <row r="699" ht="17.25" customHeight="1" s="322">
      <c r="A699" s="27" t="n"/>
      <c r="B699" s="506" t="n"/>
      <c r="C699" s="141" t="n"/>
      <c r="D699" s="141" t="n"/>
      <c r="E699" s="141" t="n"/>
      <c r="F699" s="141" t="n"/>
      <c r="G699" s="143" t="n"/>
      <c r="H699" s="27" t="n"/>
    </row>
    <row r="700" ht="17.25" customHeight="1" s="322">
      <c r="A700" s="27" t="n"/>
      <c r="B700" s="506" t="n"/>
      <c r="C700" s="141" t="n"/>
      <c r="D700" s="141" t="n"/>
      <c r="E700" s="141" t="n"/>
      <c r="F700" s="141" t="n"/>
      <c r="G700" s="143" t="n"/>
      <c r="H700" s="27" t="n"/>
    </row>
    <row r="701" ht="17.25" customHeight="1" s="322">
      <c r="A701" s="27" t="n"/>
      <c r="B701" s="506" t="n"/>
      <c r="C701" s="141" t="n"/>
      <c r="D701" s="141" t="n"/>
      <c r="E701" s="141" t="n"/>
      <c r="F701" s="141" t="n"/>
      <c r="G701" s="143" t="n"/>
      <c r="H701" s="27" t="n"/>
    </row>
    <row r="702" ht="17.25" customHeight="1" s="322">
      <c r="A702" s="27" t="n"/>
      <c r="B702" s="506" t="n"/>
      <c r="C702" s="141" t="n"/>
      <c r="D702" s="141" t="n"/>
      <c r="E702" s="141" t="n"/>
      <c r="F702" s="141" t="n"/>
      <c r="G702" s="143" t="n"/>
      <c r="H702" s="27" t="n"/>
    </row>
    <row r="703" ht="17.25" customHeight="1" s="322">
      <c r="A703" s="27" t="n"/>
      <c r="B703" s="506" t="n"/>
      <c r="C703" s="141" t="n"/>
      <c r="D703" s="141" t="n"/>
      <c r="E703" s="141" t="n"/>
      <c r="F703" s="141" t="n"/>
      <c r="G703" s="143" t="n"/>
      <c r="H703" s="27" t="n"/>
    </row>
    <row r="704" ht="17.25" customHeight="1" s="322">
      <c r="A704" s="27" t="n"/>
      <c r="B704" s="506" t="n"/>
      <c r="C704" s="141" t="n"/>
      <c r="D704" s="141" t="n"/>
      <c r="E704" s="141" t="n"/>
      <c r="F704" s="141" t="n"/>
      <c r="G704" s="143" t="n"/>
      <c r="H704" s="27" t="n"/>
    </row>
    <row r="705" ht="17.25" customHeight="1" s="322">
      <c r="A705" s="27" t="n"/>
      <c r="B705" s="506" t="n"/>
      <c r="C705" s="141" t="n"/>
      <c r="D705" s="141" t="n"/>
      <c r="E705" s="141" t="n"/>
      <c r="F705" s="141" t="n"/>
      <c r="G705" s="143" t="n"/>
      <c r="H705" s="27" t="n"/>
    </row>
    <row r="706" ht="17.25" customHeight="1" s="322">
      <c r="A706" s="27" t="n"/>
      <c r="B706" s="506" t="n"/>
      <c r="C706" s="141" t="n"/>
      <c r="D706" s="141" t="n"/>
      <c r="E706" s="141" t="n"/>
      <c r="F706" s="141" t="n"/>
      <c r="G706" s="143" t="n"/>
      <c r="H706" s="27" t="n"/>
    </row>
    <row r="707" ht="17.25" customHeight="1" s="322">
      <c r="A707" s="27" t="n"/>
      <c r="B707" s="506" t="n"/>
      <c r="C707" s="141" t="n"/>
      <c r="D707" s="141" t="n"/>
      <c r="E707" s="141" t="n"/>
      <c r="F707" s="141" t="n"/>
      <c r="G707" s="143" t="n"/>
      <c r="H707" s="27" t="n"/>
    </row>
    <row r="708" ht="17.25" customHeight="1" s="322">
      <c r="A708" s="27" t="n"/>
      <c r="B708" s="506" t="n"/>
      <c r="C708" s="141" t="n"/>
      <c r="D708" s="141" t="n"/>
      <c r="E708" s="141" t="n"/>
      <c r="F708" s="141" t="n"/>
      <c r="G708" s="143" t="n"/>
      <c r="H708" s="27" t="n"/>
    </row>
    <row r="709" ht="17.25" customHeight="1" s="322">
      <c r="A709" s="27" t="n"/>
      <c r="B709" s="506" t="n"/>
      <c r="C709" s="141" t="n"/>
      <c r="D709" s="141" t="n"/>
      <c r="E709" s="141" t="n"/>
      <c r="F709" s="141" t="n"/>
      <c r="G709" s="143" t="n"/>
      <c r="H709" s="27" t="n"/>
    </row>
    <row r="710" ht="17.25" customHeight="1" s="322">
      <c r="A710" s="27" t="n"/>
      <c r="B710" s="506" t="n"/>
      <c r="C710" s="141" t="n"/>
      <c r="D710" s="141" t="n"/>
      <c r="E710" s="141" t="n"/>
      <c r="F710" s="141" t="n"/>
      <c r="G710" s="143" t="n"/>
      <c r="H710" s="27" t="n"/>
    </row>
    <row r="711" ht="17.25" customHeight="1" s="322">
      <c r="A711" s="27" t="n"/>
      <c r="B711" s="506" t="n"/>
      <c r="C711" s="141" t="n"/>
      <c r="D711" s="141" t="n"/>
      <c r="E711" s="141" t="n"/>
      <c r="F711" s="141" t="n"/>
      <c r="G711" s="143" t="n"/>
      <c r="H711" s="27" t="n"/>
    </row>
    <row r="712" ht="17.25" customHeight="1" s="322">
      <c r="A712" s="27" t="n"/>
      <c r="B712" s="506" t="n"/>
      <c r="C712" s="141" t="n"/>
      <c r="D712" s="141" t="n"/>
      <c r="E712" s="141" t="n"/>
      <c r="F712" s="141" t="n"/>
      <c r="G712" s="143" t="n"/>
      <c r="H712" s="27" t="n"/>
    </row>
    <row r="713" ht="17.25" customHeight="1" s="322">
      <c r="A713" s="27" t="n"/>
      <c r="B713" s="506" t="n"/>
      <c r="C713" s="141" t="n"/>
      <c r="D713" s="141" t="n"/>
      <c r="E713" s="141" t="n"/>
      <c r="F713" s="141" t="n"/>
      <c r="G713" s="143" t="n"/>
      <c r="H713" s="27" t="n"/>
    </row>
    <row r="714" ht="17.25" customHeight="1" s="322">
      <c r="A714" s="27" t="n"/>
      <c r="B714" s="506" t="n"/>
      <c r="C714" s="141" t="n"/>
      <c r="D714" s="141" t="n"/>
      <c r="E714" s="141" t="n"/>
      <c r="F714" s="141" t="n"/>
      <c r="G714" s="143" t="n"/>
      <c r="H714" s="27" t="n"/>
    </row>
    <row r="715" ht="17.25" customHeight="1" s="322">
      <c r="A715" s="27" t="n"/>
      <c r="B715" s="506" t="n"/>
      <c r="C715" s="141" t="n"/>
      <c r="D715" s="141" t="n"/>
      <c r="E715" s="141" t="n"/>
      <c r="F715" s="141" t="n"/>
      <c r="G715" s="143" t="n"/>
      <c r="H715" s="27" t="n"/>
    </row>
    <row r="716" ht="17.25" customHeight="1" s="322">
      <c r="A716" s="27" t="n"/>
      <c r="B716" s="506" t="n"/>
      <c r="C716" s="141" t="n"/>
      <c r="D716" s="141" t="n"/>
      <c r="E716" s="141" t="n"/>
      <c r="F716" s="141" t="n"/>
      <c r="G716" s="143" t="n"/>
      <c r="H716" s="27" t="n"/>
    </row>
    <row r="717" ht="17.25" customHeight="1" s="322">
      <c r="A717" s="27" t="n"/>
      <c r="B717" s="506" t="n"/>
      <c r="C717" s="141" t="n"/>
      <c r="D717" s="141" t="n"/>
      <c r="E717" s="141" t="n"/>
      <c r="F717" s="141" t="n"/>
      <c r="G717" s="143" t="n"/>
      <c r="H717" s="27" t="n"/>
    </row>
    <row r="718" ht="17.25" customHeight="1" s="322">
      <c r="A718" s="27" t="n"/>
      <c r="B718" s="506" t="n"/>
      <c r="C718" s="141" t="n"/>
      <c r="D718" s="141" t="n"/>
      <c r="E718" s="141" t="n"/>
      <c r="F718" s="141" t="n"/>
      <c r="G718" s="143" t="n"/>
      <c r="H718" s="27" t="n"/>
    </row>
    <row r="719" ht="17.25" customHeight="1" s="322">
      <c r="A719" s="27" t="n"/>
      <c r="B719" s="506" t="n"/>
      <c r="C719" s="141" t="n"/>
      <c r="D719" s="141" t="n"/>
      <c r="E719" s="141" t="n"/>
      <c r="F719" s="141" t="n"/>
      <c r="G719" s="143" t="n"/>
      <c r="H719" s="27" t="n"/>
    </row>
    <row r="720" ht="17.25" customHeight="1" s="322">
      <c r="A720" s="27" t="n"/>
      <c r="B720" s="506" t="n"/>
      <c r="C720" s="141" t="n"/>
      <c r="D720" s="141" t="n"/>
      <c r="E720" s="141" t="n"/>
      <c r="F720" s="141" t="n"/>
      <c r="G720" s="143" t="n"/>
      <c r="H720" s="27" t="n"/>
    </row>
    <row r="721" ht="17.25" customHeight="1" s="322">
      <c r="A721" s="27" t="n"/>
      <c r="B721" s="506" t="n"/>
      <c r="C721" s="141" t="n"/>
      <c r="D721" s="141" t="n"/>
      <c r="E721" s="141" t="n"/>
      <c r="F721" s="141" t="n"/>
      <c r="G721" s="143" t="n"/>
      <c r="H721" s="27" t="n"/>
    </row>
    <row r="722" ht="17.25" customHeight="1" s="322">
      <c r="A722" s="27" t="n"/>
      <c r="B722" s="506" t="n"/>
      <c r="C722" s="141" t="n"/>
      <c r="D722" s="141" t="n"/>
      <c r="E722" s="141" t="n"/>
      <c r="F722" s="141" t="n"/>
      <c r="G722" s="143" t="n"/>
      <c r="H722" s="27" t="n"/>
    </row>
    <row r="723" ht="17.25" customHeight="1" s="322">
      <c r="A723" s="27" t="n"/>
      <c r="B723" s="506" t="n"/>
      <c r="C723" s="141" t="n"/>
      <c r="D723" s="141" t="n"/>
      <c r="E723" s="141" t="n"/>
      <c r="F723" s="141" t="n"/>
      <c r="G723" s="143" t="n"/>
      <c r="H723" s="27" t="n"/>
    </row>
    <row r="724" ht="17.25" customHeight="1" s="322">
      <c r="A724" s="27" t="n"/>
      <c r="B724" s="506" t="n"/>
      <c r="C724" s="141" t="n"/>
      <c r="D724" s="141" t="n"/>
      <c r="E724" s="141" t="n"/>
      <c r="F724" s="141" t="n"/>
      <c r="G724" s="143" t="n"/>
      <c r="H724" s="27" t="n"/>
    </row>
    <row r="725" ht="17.25" customHeight="1" s="322">
      <c r="A725" s="27" t="n"/>
      <c r="B725" s="506" t="n"/>
      <c r="C725" s="141" t="n"/>
      <c r="D725" s="141" t="n"/>
      <c r="E725" s="141" t="n"/>
      <c r="F725" s="141" t="n"/>
      <c r="G725" s="143" t="n"/>
      <c r="H725" s="27" t="n"/>
    </row>
    <row r="726" ht="17.25" customHeight="1" s="322">
      <c r="A726" s="27" t="n"/>
      <c r="B726" s="506" t="n"/>
      <c r="C726" s="141" t="n"/>
      <c r="D726" s="141" t="n"/>
      <c r="E726" s="141" t="n"/>
      <c r="F726" s="141" t="n"/>
      <c r="G726" s="143" t="n"/>
      <c r="H726" s="27" t="n"/>
    </row>
    <row r="727" ht="17.25" customHeight="1" s="322">
      <c r="A727" s="27" t="n"/>
      <c r="B727" s="506" t="n"/>
      <c r="C727" s="141" t="n"/>
      <c r="D727" s="141" t="n"/>
      <c r="E727" s="141" t="n"/>
      <c r="F727" s="141" t="n"/>
      <c r="G727" s="143" t="n"/>
      <c r="H727" s="27" t="n"/>
    </row>
    <row r="728" ht="17.25" customHeight="1" s="322">
      <c r="A728" s="27" t="n"/>
      <c r="B728" s="506" t="n"/>
      <c r="C728" s="141" t="n"/>
      <c r="D728" s="141" t="n"/>
      <c r="E728" s="141" t="n"/>
      <c r="F728" s="141" t="n"/>
      <c r="G728" s="143" t="n"/>
      <c r="H728" s="27" t="n"/>
    </row>
    <row r="729" ht="17.25" customHeight="1" s="322">
      <c r="A729" s="27" t="n"/>
      <c r="B729" s="506" t="n"/>
      <c r="C729" s="141" t="n"/>
      <c r="D729" s="141" t="n"/>
      <c r="E729" s="141" t="n"/>
      <c r="F729" s="141" t="n"/>
      <c r="G729" s="143" t="n"/>
      <c r="H729" s="27" t="n"/>
    </row>
    <row r="730" ht="17.25" customHeight="1" s="322">
      <c r="A730" s="27" t="n"/>
      <c r="B730" s="506" t="n"/>
      <c r="C730" s="141" t="n"/>
      <c r="D730" s="141" t="n"/>
      <c r="E730" s="141" t="n"/>
      <c r="F730" s="141" t="n"/>
      <c r="G730" s="143" t="n"/>
      <c r="H730" s="27" t="n"/>
    </row>
    <row r="731" ht="17.25" customHeight="1" s="322">
      <c r="A731" s="27" t="n"/>
      <c r="B731" s="506" t="n"/>
      <c r="C731" s="141" t="n"/>
      <c r="D731" s="141" t="n"/>
      <c r="E731" s="141" t="n"/>
      <c r="F731" s="141" t="n"/>
      <c r="G731" s="143" t="n"/>
      <c r="H731" s="27" t="n"/>
    </row>
    <row r="732" ht="17.25" customHeight="1" s="322">
      <c r="A732" s="27" t="n"/>
      <c r="B732" s="506" t="n"/>
      <c r="C732" s="141" t="n"/>
      <c r="D732" s="141" t="n"/>
      <c r="E732" s="141" t="n"/>
      <c r="F732" s="141" t="n"/>
      <c r="G732" s="143" t="n"/>
      <c r="H732" s="27" t="n"/>
    </row>
    <row r="733" ht="17.25" customHeight="1" s="322">
      <c r="A733" s="27" t="n"/>
      <c r="B733" s="506" t="n"/>
      <c r="C733" s="141" t="n"/>
      <c r="D733" s="141" t="n"/>
      <c r="E733" s="141" t="n"/>
      <c r="F733" s="141" t="n"/>
      <c r="G733" s="143" t="n"/>
      <c r="H733" s="27" t="n"/>
    </row>
    <row r="734" ht="17.25" customHeight="1" s="322">
      <c r="A734" s="27" t="n"/>
      <c r="B734" s="506" t="n"/>
      <c r="C734" s="141" t="n"/>
      <c r="D734" s="141" t="n"/>
      <c r="E734" s="141" t="n"/>
      <c r="F734" s="141" t="n"/>
      <c r="G734" s="143" t="n"/>
      <c r="H734" s="27" t="n"/>
    </row>
    <row r="735" ht="17.25" customHeight="1" s="322">
      <c r="A735" s="27" t="n"/>
      <c r="B735" s="506" t="n"/>
      <c r="C735" s="141" t="n"/>
      <c r="D735" s="141" t="n"/>
      <c r="E735" s="141" t="n"/>
      <c r="F735" s="141" t="n"/>
      <c r="G735" s="143" t="n"/>
      <c r="H735" s="27" t="n"/>
    </row>
    <row r="736" ht="17.25" customHeight="1" s="322">
      <c r="A736" s="27" t="n"/>
      <c r="B736" s="506" t="n"/>
      <c r="C736" s="141" t="n"/>
      <c r="D736" s="141" t="n"/>
      <c r="E736" s="141" t="n"/>
      <c r="F736" s="141" t="n"/>
      <c r="G736" s="143" t="n"/>
      <c r="H736" s="27" t="n"/>
    </row>
    <row r="737" ht="17.25" customHeight="1" s="322">
      <c r="A737" s="27" t="n"/>
      <c r="B737" s="506" t="n"/>
      <c r="C737" s="141" t="n"/>
      <c r="D737" s="141" t="n"/>
      <c r="E737" s="141" t="n"/>
      <c r="F737" s="141" t="n"/>
      <c r="G737" s="143" t="n"/>
      <c r="H737" s="27" t="n"/>
    </row>
    <row r="738" ht="17.25" customHeight="1" s="322">
      <c r="A738" s="27" t="n"/>
      <c r="B738" s="506" t="n"/>
      <c r="C738" s="141" t="n"/>
      <c r="D738" s="141" t="n"/>
      <c r="E738" s="141" t="n"/>
      <c r="F738" s="141" t="n"/>
      <c r="G738" s="143" t="n"/>
      <c r="H738" s="27" t="n"/>
    </row>
    <row r="739" ht="17.25" customHeight="1" s="322">
      <c r="A739" s="27" t="n"/>
      <c r="B739" s="506" t="n"/>
      <c r="C739" s="141" t="n"/>
      <c r="D739" s="141" t="n"/>
      <c r="E739" s="141" t="n"/>
      <c r="F739" s="141" t="n"/>
      <c r="G739" s="143" t="n"/>
      <c r="H739" s="27" t="n"/>
    </row>
    <row r="740" ht="17.25" customHeight="1" s="322">
      <c r="A740" s="27" t="n"/>
      <c r="B740" s="506" t="n"/>
      <c r="C740" s="141" t="n"/>
      <c r="D740" s="141" t="n"/>
      <c r="E740" s="141" t="n"/>
      <c r="F740" s="141" t="n"/>
      <c r="G740" s="143" t="n"/>
      <c r="H740" s="27" t="n"/>
    </row>
    <row r="741" ht="17.25" customHeight="1" s="322">
      <c r="A741" s="27" t="n"/>
      <c r="B741" s="506" t="n"/>
      <c r="C741" s="141" t="n"/>
      <c r="D741" s="141" t="n"/>
      <c r="E741" s="141" t="n"/>
      <c r="F741" s="141" t="n"/>
      <c r="G741" s="143" t="n"/>
      <c r="H741" s="27" t="n"/>
    </row>
    <row r="742" ht="17.25" customHeight="1" s="322">
      <c r="A742" s="27" t="n"/>
      <c r="B742" s="506" t="n"/>
      <c r="C742" s="141" t="n"/>
      <c r="D742" s="141" t="n"/>
      <c r="E742" s="141" t="n"/>
      <c r="F742" s="141" t="n"/>
      <c r="G742" s="143" t="n"/>
      <c r="H742" s="27" t="n"/>
    </row>
    <row r="743" ht="17.25" customHeight="1" s="322">
      <c r="A743" s="27" t="n"/>
      <c r="B743" s="506" t="n"/>
      <c r="C743" s="141" t="n"/>
      <c r="D743" s="141" t="n"/>
      <c r="E743" s="141" t="n"/>
      <c r="F743" s="141" t="n"/>
      <c r="G743" s="143" t="n"/>
      <c r="H743" s="27" t="n"/>
    </row>
    <row r="744" ht="17.25" customHeight="1" s="322">
      <c r="A744" s="27" t="n"/>
      <c r="B744" s="506" t="n"/>
      <c r="C744" s="141" t="n"/>
      <c r="D744" s="141" t="n"/>
      <c r="E744" s="141" t="n"/>
      <c r="F744" s="141" t="n"/>
      <c r="G744" s="143" t="n"/>
      <c r="H744" s="27" t="n"/>
    </row>
    <row r="745" ht="17.25" customHeight="1" s="322">
      <c r="A745" s="27" t="n"/>
      <c r="B745" s="506" t="n"/>
      <c r="C745" s="141" t="n"/>
      <c r="D745" s="141" t="n"/>
      <c r="E745" s="141" t="n"/>
      <c r="F745" s="141" t="n"/>
      <c r="G745" s="143" t="n"/>
      <c r="H745" s="27" t="n"/>
    </row>
    <row r="746" ht="17.25" customHeight="1" s="322">
      <c r="A746" s="27" t="n"/>
      <c r="B746" s="506" t="n"/>
      <c r="C746" s="141" t="n"/>
      <c r="D746" s="141" t="n"/>
      <c r="E746" s="141" t="n"/>
      <c r="F746" s="141" t="n"/>
      <c r="G746" s="143" t="n"/>
      <c r="H746" s="27" t="n"/>
    </row>
    <row r="747" ht="17.25" customHeight="1" s="322">
      <c r="A747" s="27" t="n"/>
      <c r="B747" s="506" t="n"/>
      <c r="C747" s="141" t="n"/>
      <c r="D747" s="141" t="n"/>
      <c r="E747" s="141" t="n"/>
      <c r="F747" s="141" t="n"/>
      <c r="G747" s="143" t="n"/>
      <c r="H747" s="27" t="n"/>
    </row>
    <row r="748" ht="17.25" customHeight="1" s="322">
      <c r="A748" s="27" t="n"/>
      <c r="B748" s="506" t="n"/>
      <c r="C748" s="141" t="n"/>
      <c r="D748" s="141" t="n"/>
      <c r="E748" s="141" t="n"/>
      <c r="F748" s="141" t="n"/>
      <c r="G748" s="143" t="n"/>
      <c r="H748" s="27" t="n"/>
    </row>
    <row r="749" ht="17.25" customHeight="1" s="322">
      <c r="A749" s="27" t="n"/>
      <c r="B749" s="506" t="n"/>
      <c r="C749" s="141" t="n"/>
      <c r="D749" s="141" t="n"/>
      <c r="E749" s="141" t="n"/>
      <c r="F749" s="141" t="n"/>
      <c r="G749" s="143" t="n"/>
      <c r="H749" s="27" t="n"/>
    </row>
    <row r="750" ht="17.25" customHeight="1" s="322">
      <c r="A750" s="27" t="n"/>
      <c r="B750" s="506" t="n"/>
      <c r="C750" s="141" t="n"/>
      <c r="D750" s="141" t="n"/>
      <c r="E750" s="141" t="n"/>
      <c r="F750" s="141" t="n"/>
      <c r="G750" s="143" t="n"/>
      <c r="H750" s="27" t="n"/>
    </row>
    <row r="751" ht="17.25" customHeight="1" s="322">
      <c r="A751" s="27" t="n"/>
      <c r="B751" s="506" t="n"/>
      <c r="C751" s="141" t="n"/>
      <c r="D751" s="141" t="n"/>
      <c r="E751" s="141" t="n"/>
      <c r="F751" s="141" t="n"/>
      <c r="G751" s="143" t="n"/>
      <c r="H751" s="27" t="n"/>
    </row>
    <row r="752" ht="17.25" customHeight="1" s="322">
      <c r="A752" s="27" t="n"/>
      <c r="B752" s="506" t="n"/>
      <c r="C752" s="141" t="n"/>
      <c r="D752" s="141" t="n"/>
      <c r="E752" s="141" t="n"/>
      <c r="F752" s="141" t="n"/>
      <c r="G752" s="143" t="n"/>
      <c r="H752" s="27" t="n"/>
    </row>
    <row r="753" ht="17.25" customHeight="1" s="322">
      <c r="A753" s="27" t="n"/>
      <c r="B753" s="506" t="n"/>
      <c r="C753" s="141" t="n"/>
      <c r="D753" s="141" t="n"/>
      <c r="E753" s="141" t="n"/>
      <c r="F753" s="141" t="n"/>
      <c r="G753" s="143" t="n"/>
      <c r="H753" s="27" t="n"/>
    </row>
    <row r="754" ht="17.25" customHeight="1" s="322">
      <c r="A754" s="27" t="n"/>
      <c r="B754" s="506" t="n"/>
      <c r="C754" s="141" t="n"/>
      <c r="D754" s="141" t="n"/>
      <c r="E754" s="141" t="n"/>
      <c r="F754" s="141" t="n"/>
      <c r="G754" s="143" t="n"/>
      <c r="H754" s="27" t="n"/>
    </row>
    <row r="755" ht="17.25" customHeight="1" s="322">
      <c r="A755" s="27" t="n"/>
      <c r="B755" s="506" t="n"/>
      <c r="C755" s="141" t="n"/>
      <c r="D755" s="141" t="n"/>
      <c r="E755" s="141" t="n"/>
      <c r="F755" s="141" t="n"/>
      <c r="G755" s="143" t="n"/>
      <c r="H755" s="27" t="n"/>
    </row>
    <row r="756" ht="17.25" customHeight="1" s="322">
      <c r="A756" s="27" t="n"/>
      <c r="B756" s="506" t="n"/>
      <c r="C756" s="141" t="n"/>
      <c r="D756" s="141" t="n"/>
      <c r="E756" s="141" t="n"/>
      <c r="F756" s="141" t="n"/>
      <c r="G756" s="143" t="n"/>
      <c r="H756" s="27" t="n"/>
    </row>
    <row r="757" ht="17.25" customHeight="1" s="322">
      <c r="A757" s="27" t="n"/>
      <c r="B757" s="506" t="n"/>
      <c r="C757" s="141" t="n"/>
      <c r="D757" s="141" t="n"/>
      <c r="E757" s="141" t="n"/>
      <c r="F757" s="141" t="n"/>
      <c r="G757" s="143" t="n"/>
      <c r="H757" s="27" t="n"/>
    </row>
    <row r="758" ht="17.25" customHeight="1" s="322">
      <c r="A758" s="27" t="n"/>
      <c r="B758" s="506" t="n"/>
      <c r="C758" s="141" t="n"/>
      <c r="D758" s="141" t="n"/>
      <c r="E758" s="141" t="n"/>
      <c r="F758" s="141" t="n"/>
      <c r="G758" s="143" t="n"/>
      <c r="H758" s="27" t="n"/>
    </row>
    <row r="759" ht="17.25" customHeight="1" s="322">
      <c r="A759" s="27" t="n"/>
      <c r="B759" s="506" t="n"/>
      <c r="C759" s="141" t="n"/>
      <c r="D759" s="141" t="n"/>
      <c r="E759" s="141" t="n"/>
      <c r="F759" s="141" t="n"/>
      <c r="G759" s="143" t="n"/>
      <c r="H759" s="27" t="n"/>
    </row>
    <row r="760" ht="17.25" customHeight="1" s="322">
      <c r="A760" s="27" t="n"/>
      <c r="B760" s="506" t="n"/>
      <c r="C760" s="141" t="n"/>
      <c r="D760" s="141" t="n"/>
      <c r="E760" s="141" t="n"/>
      <c r="F760" s="141" t="n"/>
      <c r="G760" s="143" t="n"/>
      <c r="H760" s="27" t="n"/>
    </row>
    <row r="761" ht="17.25" customHeight="1" s="322">
      <c r="A761" s="27" t="n"/>
      <c r="B761" s="506" t="n"/>
      <c r="C761" s="141" t="n"/>
      <c r="D761" s="141" t="n"/>
      <c r="E761" s="141" t="n"/>
      <c r="F761" s="141" t="n"/>
      <c r="G761" s="143" t="n"/>
      <c r="H761" s="27" t="n"/>
    </row>
    <row r="762" ht="17.25" customHeight="1" s="322">
      <c r="A762" s="27" t="n"/>
      <c r="B762" s="506" t="n"/>
      <c r="C762" s="141" t="n"/>
      <c r="D762" s="141" t="n"/>
      <c r="E762" s="141" t="n"/>
      <c r="F762" s="141" t="n"/>
      <c r="G762" s="143" t="n"/>
      <c r="H762" s="27" t="n"/>
    </row>
    <row r="763" ht="17.25" customHeight="1" s="322">
      <c r="A763" s="27" t="n"/>
      <c r="B763" s="506" t="n"/>
      <c r="C763" s="141" t="n"/>
      <c r="D763" s="141" t="n"/>
      <c r="E763" s="141" t="n"/>
      <c r="F763" s="141" t="n"/>
      <c r="G763" s="143" t="n"/>
      <c r="H763" s="27" t="n"/>
    </row>
    <row r="764" ht="17.25" customHeight="1" s="322">
      <c r="A764" s="27" t="n"/>
      <c r="B764" s="506" t="n"/>
      <c r="C764" s="141" t="n"/>
      <c r="D764" s="141" t="n"/>
      <c r="E764" s="141" t="n"/>
      <c r="F764" s="141" t="n"/>
      <c r="G764" s="143" t="n"/>
      <c r="H764" s="27" t="n"/>
    </row>
    <row r="765" ht="17.25" customHeight="1" s="322">
      <c r="A765" s="27" t="n"/>
      <c r="B765" s="506" t="n"/>
      <c r="C765" s="141" t="n"/>
      <c r="D765" s="141" t="n"/>
      <c r="E765" s="141" t="n"/>
      <c r="F765" s="141" t="n"/>
      <c r="G765" s="143" t="n"/>
      <c r="H765" s="27" t="n"/>
    </row>
    <row r="766" ht="17.25" customHeight="1" s="322">
      <c r="A766" s="27" t="n"/>
      <c r="B766" s="506" t="n"/>
      <c r="C766" s="141" t="n"/>
      <c r="D766" s="141" t="n"/>
      <c r="E766" s="141" t="n"/>
      <c r="F766" s="141" t="n"/>
      <c r="G766" s="143" t="n"/>
      <c r="H766" s="27" t="n"/>
    </row>
    <row r="767" ht="17.25" customHeight="1" s="322">
      <c r="A767" s="27" t="n"/>
      <c r="B767" s="506" t="n"/>
      <c r="C767" s="141" t="n"/>
      <c r="D767" s="141" t="n"/>
      <c r="E767" s="141" t="n"/>
      <c r="F767" s="141" t="n"/>
      <c r="G767" s="143" t="n"/>
      <c r="H767" s="27" t="n"/>
    </row>
    <row r="768" ht="17.25" customHeight="1" s="322">
      <c r="A768" s="27" t="n"/>
      <c r="B768" s="506" t="n"/>
      <c r="C768" s="141" t="n"/>
      <c r="D768" s="141" t="n"/>
      <c r="E768" s="141" t="n"/>
      <c r="F768" s="141" t="n"/>
      <c r="G768" s="143" t="n"/>
      <c r="H768" s="27" t="n"/>
    </row>
    <row r="769" ht="17.25" customHeight="1" s="322">
      <c r="A769" s="27" t="n"/>
      <c r="B769" s="506" t="n"/>
      <c r="C769" s="141" t="n"/>
      <c r="D769" s="141" t="n"/>
      <c r="E769" s="141" t="n"/>
      <c r="F769" s="141" t="n"/>
      <c r="G769" s="143" t="n"/>
      <c r="H769" s="27" t="n"/>
    </row>
    <row r="770" ht="17.25" customHeight="1" s="322">
      <c r="A770" s="27" t="n"/>
      <c r="B770" s="506" t="n"/>
      <c r="C770" s="141" t="n"/>
      <c r="D770" s="141" t="n"/>
      <c r="E770" s="141" t="n"/>
      <c r="F770" s="141" t="n"/>
      <c r="G770" s="143" t="n"/>
      <c r="H770" s="27" t="n"/>
    </row>
    <row r="771" ht="17.25" customHeight="1" s="322">
      <c r="A771" s="27" t="n"/>
      <c r="B771" s="506" t="n"/>
      <c r="C771" s="141" t="n"/>
      <c r="D771" s="141" t="n"/>
      <c r="E771" s="141" t="n"/>
      <c r="F771" s="141" t="n"/>
      <c r="G771" s="143" t="n"/>
      <c r="H771" s="27" t="n"/>
    </row>
    <row r="772" ht="17.25" customHeight="1" s="322">
      <c r="A772" s="27" t="n"/>
      <c r="B772" s="506" t="n"/>
      <c r="C772" s="141" t="n"/>
      <c r="D772" s="141" t="n"/>
      <c r="E772" s="141" t="n"/>
      <c r="F772" s="141" t="n"/>
      <c r="G772" s="143" t="n"/>
      <c r="H772" s="27" t="n"/>
    </row>
    <row r="773" ht="17.25" customHeight="1" s="322">
      <c r="A773" s="27" t="n"/>
      <c r="B773" s="506" t="n"/>
      <c r="C773" s="141" t="n"/>
      <c r="D773" s="141" t="n"/>
      <c r="E773" s="141" t="n"/>
      <c r="F773" s="141" t="n"/>
      <c r="G773" s="143" t="n"/>
      <c r="H773" s="27" t="n"/>
    </row>
    <row r="774" ht="17.25" customHeight="1" s="322">
      <c r="A774" s="27" t="n"/>
      <c r="B774" s="506" t="n"/>
      <c r="C774" s="141" t="n"/>
      <c r="D774" s="141" t="n"/>
      <c r="E774" s="141" t="n"/>
      <c r="F774" s="141" t="n"/>
      <c r="G774" s="143" t="n"/>
      <c r="H774" s="27" t="n"/>
    </row>
    <row r="775" ht="17.25" customHeight="1" s="322">
      <c r="A775" s="27" t="n"/>
      <c r="B775" s="506" t="n"/>
      <c r="C775" s="141" t="n"/>
      <c r="D775" s="141" t="n"/>
      <c r="E775" s="141" t="n"/>
      <c r="F775" s="141" t="n"/>
      <c r="G775" s="143" t="n"/>
      <c r="H775" s="27" t="n"/>
    </row>
    <row r="776" ht="17.25" customHeight="1" s="322">
      <c r="A776" s="27" t="n"/>
      <c r="B776" s="506" t="n"/>
      <c r="C776" s="141" t="n"/>
      <c r="D776" s="141" t="n"/>
      <c r="E776" s="141" t="n"/>
      <c r="F776" s="141" t="n"/>
      <c r="G776" s="143" t="n"/>
      <c r="H776" s="27" t="n"/>
    </row>
    <row r="777" ht="17.25" customHeight="1" s="322">
      <c r="A777" s="27" t="n"/>
      <c r="B777" s="506" t="n"/>
      <c r="C777" s="141" t="n"/>
      <c r="D777" s="141" t="n"/>
      <c r="E777" s="141" t="n"/>
      <c r="F777" s="141" t="n"/>
      <c r="G777" s="143" t="n"/>
      <c r="H777" s="27" t="n"/>
    </row>
    <row r="778" ht="17.25" customHeight="1" s="322">
      <c r="A778" s="27" t="n"/>
      <c r="B778" s="506" t="n"/>
      <c r="C778" s="141" t="n"/>
      <c r="D778" s="141" t="n"/>
      <c r="E778" s="141" t="n"/>
      <c r="F778" s="141" t="n"/>
      <c r="G778" s="143" t="n"/>
      <c r="H778" s="27" t="n"/>
    </row>
    <row r="779" ht="17.25" customHeight="1" s="322">
      <c r="A779" s="27" t="n"/>
      <c r="B779" s="506" t="n"/>
      <c r="C779" s="141" t="n"/>
      <c r="D779" s="141" t="n"/>
      <c r="E779" s="141" t="n"/>
      <c r="F779" s="141" t="n"/>
      <c r="G779" s="143" t="n"/>
      <c r="H779" s="27" t="n"/>
    </row>
    <row r="780" ht="17.25" customHeight="1" s="322">
      <c r="A780" s="27" t="n"/>
      <c r="B780" s="506" t="n"/>
      <c r="C780" s="141" t="n"/>
      <c r="D780" s="141" t="n"/>
      <c r="E780" s="141" t="n"/>
      <c r="F780" s="141" t="n"/>
      <c r="G780" s="143" t="n"/>
      <c r="H780" s="27" t="n"/>
    </row>
    <row r="781" ht="17.25" customHeight="1" s="322">
      <c r="A781" s="27" t="n"/>
      <c r="B781" s="506" t="n"/>
      <c r="C781" s="141" t="n"/>
      <c r="D781" s="141" t="n"/>
      <c r="E781" s="141" t="n"/>
      <c r="F781" s="141" t="n"/>
      <c r="G781" s="143" t="n"/>
      <c r="H781" s="27" t="n"/>
    </row>
    <row r="782" ht="17.25" customHeight="1" s="322">
      <c r="A782" s="27" t="n"/>
      <c r="B782" s="506" t="n"/>
      <c r="C782" s="141" t="n"/>
      <c r="D782" s="141" t="n"/>
      <c r="E782" s="141" t="n"/>
      <c r="F782" s="141" t="n"/>
      <c r="G782" s="143" t="n"/>
      <c r="H782" s="27" t="n"/>
    </row>
    <row r="783" ht="17.25" customHeight="1" s="322">
      <c r="A783" s="27" t="n"/>
      <c r="B783" s="506" t="n"/>
      <c r="C783" s="141" t="n"/>
      <c r="D783" s="141" t="n"/>
      <c r="E783" s="141" t="n"/>
      <c r="F783" s="141" t="n"/>
      <c r="G783" s="143" t="n"/>
      <c r="H783" s="27" t="n"/>
    </row>
    <row r="784" ht="17.25" customHeight="1" s="322">
      <c r="A784" s="27" t="n"/>
      <c r="B784" s="506" t="n"/>
      <c r="C784" s="141" t="n"/>
      <c r="D784" s="141" t="n"/>
      <c r="E784" s="141" t="n"/>
      <c r="F784" s="141" t="n"/>
      <c r="G784" s="143" t="n"/>
      <c r="H784" s="27" t="n"/>
    </row>
    <row r="785" ht="17.25" customHeight="1" s="322">
      <c r="A785" s="27" t="n"/>
      <c r="B785" s="506" t="n"/>
      <c r="C785" s="141" t="n"/>
      <c r="D785" s="141" t="n"/>
      <c r="E785" s="141" t="n"/>
      <c r="F785" s="141" t="n"/>
      <c r="G785" s="143" t="n"/>
      <c r="H785" s="27" t="n"/>
    </row>
    <row r="786" ht="17.25" customHeight="1" s="322">
      <c r="A786" s="27" t="n"/>
      <c r="B786" s="506" t="n"/>
      <c r="C786" s="141" t="n"/>
      <c r="D786" s="141" t="n"/>
      <c r="E786" s="141" t="n"/>
      <c r="F786" s="141" t="n"/>
      <c r="G786" s="143" t="n"/>
      <c r="H786" s="27" t="n"/>
    </row>
    <row r="787" ht="17.25" customHeight="1" s="322">
      <c r="A787" s="27" t="n"/>
      <c r="B787" s="506" t="n"/>
      <c r="C787" s="141" t="n"/>
      <c r="D787" s="141" t="n"/>
      <c r="E787" s="141" t="n"/>
      <c r="F787" s="141" t="n"/>
      <c r="G787" s="143" t="n"/>
      <c r="H787" s="27" t="n"/>
    </row>
    <row r="788" ht="17.25" customHeight="1" s="322">
      <c r="A788" s="27" t="n"/>
      <c r="B788" s="506" t="n"/>
      <c r="C788" s="141" t="n"/>
      <c r="D788" s="141" t="n"/>
      <c r="E788" s="141" t="n"/>
      <c r="F788" s="141" t="n"/>
      <c r="G788" s="143" t="n"/>
      <c r="H788" s="27" t="n"/>
    </row>
    <row r="789" ht="17.25" customHeight="1" s="322">
      <c r="A789" s="27" t="n"/>
      <c r="B789" s="506" t="n"/>
      <c r="C789" s="141" t="n"/>
      <c r="D789" s="141" t="n"/>
      <c r="E789" s="141" t="n"/>
      <c r="F789" s="141" t="n"/>
      <c r="G789" s="143" t="n"/>
      <c r="H789" s="27" t="n"/>
    </row>
    <row r="790" ht="17.25" customHeight="1" s="322">
      <c r="A790" s="27" t="n"/>
      <c r="B790" s="506" t="n"/>
      <c r="C790" s="141" t="n"/>
      <c r="D790" s="141" t="n"/>
      <c r="E790" s="141" t="n"/>
      <c r="F790" s="141" t="n"/>
      <c r="G790" s="143" t="n"/>
      <c r="H790" s="27" t="n"/>
    </row>
    <row r="791" ht="17.25" customHeight="1" s="322">
      <c r="A791" s="27" t="n"/>
      <c r="B791" s="506" t="n"/>
      <c r="C791" s="141" t="n"/>
      <c r="D791" s="141" t="n"/>
      <c r="E791" s="141" t="n"/>
      <c r="F791" s="141" t="n"/>
      <c r="G791" s="143" t="n"/>
      <c r="H791" s="27" t="n"/>
    </row>
    <row r="792" ht="17.25" customHeight="1" s="322">
      <c r="A792" s="27" t="n"/>
      <c r="B792" s="506" t="n"/>
      <c r="C792" s="141" t="n"/>
      <c r="D792" s="141" t="n"/>
      <c r="E792" s="141" t="n"/>
      <c r="F792" s="141" t="n"/>
      <c r="G792" s="143" t="n"/>
      <c r="H792" s="27" t="n"/>
    </row>
    <row r="793" ht="17.25" customHeight="1" s="322">
      <c r="A793" s="27" t="n"/>
      <c r="B793" s="506" t="n"/>
      <c r="C793" s="141" t="n"/>
      <c r="D793" s="141" t="n"/>
      <c r="E793" s="141" t="n"/>
      <c r="F793" s="141" t="n"/>
      <c r="G793" s="143" t="n"/>
      <c r="H793" s="27" t="n"/>
    </row>
    <row r="794" ht="17.25" customHeight="1" s="322">
      <c r="A794" s="27" t="n"/>
      <c r="B794" s="506" t="n"/>
      <c r="C794" s="141" t="n"/>
      <c r="D794" s="141" t="n"/>
      <c r="E794" s="141" t="n"/>
      <c r="F794" s="141" t="n"/>
      <c r="G794" s="143" t="n"/>
      <c r="H794" s="27" t="n"/>
    </row>
    <row r="795" ht="17.25" customHeight="1" s="322">
      <c r="A795" s="27" t="n"/>
      <c r="B795" s="506" t="n"/>
      <c r="C795" s="141" t="n"/>
      <c r="D795" s="141" t="n"/>
      <c r="E795" s="141" t="n"/>
      <c r="F795" s="141" t="n"/>
      <c r="G795" s="143" t="n"/>
      <c r="H795" s="27" t="n"/>
    </row>
    <row r="796" ht="17.25" customHeight="1" s="322">
      <c r="A796" s="27" t="n"/>
      <c r="B796" s="506" t="n"/>
      <c r="C796" s="141" t="n"/>
      <c r="D796" s="141" t="n"/>
      <c r="E796" s="141" t="n"/>
      <c r="F796" s="141" t="n"/>
      <c r="G796" s="143" t="n"/>
      <c r="H796" s="27" t="n"/>
    </row>
    <row r="797" ht="17.25" customHeight="1" s="322">
      <c r="A797" s="27" t="n"/>
      <c r="B797" s="506" t="n"/>
      <c r="C797" s="141" t="n"/>
      <c r="D797" s="141" t="n"/>
      <c r="E797" s="141" t="n"/>
      <c r="F797" s="141" t="n"/>
      <c r="G797" s="143" t="n"/>
      <c r="H797" s="27" t="n"/>
    </row>
    <row r="798" ht="17.25" customHeight="1" s="322">
      <c r="A798" s="27" t="n"/>
      <c r="B798" s="506" t="n"/>
      <c r="C798" s="141" t="n"/>
      <c r="D798" s="141" t="n"/>
      <c r="E798" s="141" t="n"/>
      <c r="F798" s="141" t="n"/>
      <c r="G798" s="143" t="n"/>
      <c r="H798" s="27" t="n"/>
    </row>
    <row r="799" ht="17.25" customHeight="1" s="322">
      <c r="A799" s="27" t="n"/>
      <c r="B799" s="506" t="n"/>
      <c r="C799" s="141" t="n"/>
      <c r="D799" s="141" t="n"/>
      <c r="E799" s="141" t="n"/>
      <c r="F799" s="141" t="n"/>
      <c r="G799" s="143" t="n"/>
      <c r="H799" s="27" t="n"/>
    </row>
    <row r="800" ht="17.25" customHeight="1" s="322">
      <c r="A800" s="27" t="n"/>
      <c r="B800" s="506" t="n"/>
      <c r="C800" s="141" t="n"/>
      <c r="D800" s="141" t="n"/>
      <c r="E800" s="141" t="n"/>
      <c r="F800" s="141" t="n"/>
      <c r="G800" s="143" t="n"/>
      <c r="H800" s="27" t="n"/>
    </row>
    <row r="801" ht="17.25" customHeight="1" s="322">
      <c r="A801" s="27" t="n"/>
      <c r="B801" s="506" t="n"/>
      <c r="C801" s="141" t="n"/>
      <c r="D801" s="141" t="n"/>
      <c r="E801" s="141" t="n"/>
      <c r="F801" s="141" t="n"/>
      <c r="G801" s="143" t="n"/>
      <c r="H801" s="27" t="n"/>
    </row>
    <row r="802" ht="17.25" customHeight="1" s="322">
      <c r="A802" s="27" t="n"/>
      <c r="B802" s="506" t="n"/>
      <c r="C802" s="141" t="n"/>
      <c r="D802" s="141" t="n"/>
      <c r="E802" s="141" t="n"/>
      <c r="F802" s="141" t="n"/>
      <c r="G802" s="143" t="n"/>
      <c r="H802" s="27" t="n"/>
    </row>
    <row r="803" ht="17.25" customHeight="1" s="322">
      <c r="A803" s="27" t="n"/>
      <c r="B803" s="506" t="n"/>
      <c r="C803" s="141" t="n"/>
      <c r="D803" s="141" t="n"/>
      <c r="E803" s="141" t="n"/>
      <c r="F803" s="141" t="n"/>
      <c r="G803" s="143" t="n"/>
      <c r="H803" s="27" t="n"/>
    </row>
    <row r="804" ht="17.25" customHeight="1" s="322">
      <c r="A804" s="27" t="n"/>
      <c r="B804" s="506" t="n"/>
      <c r="C804" s="141" t="n"/>
      <c r="D804" s="141" t="n"/>
      <c r="E804" s="141" t="n"/>
      <c r="F804" s="141" t="n"/>
      <c r="G804" s="143" t="n"/>
      <c r="H804" s="27" t="n"/>
    </row>
    <row r="805" ht="17.25" customHeight="1" s="322">
      <c r="A805" s="27" t="n"/>
      <c r="B805" s="506" t="n"/>
      <c r="C805" s="141" t="n"/>
      <c r="D805" s="141" t="n"/>
      <c r="E805" s="141" t="n"/>
      <c r="F805" s="141" t="n"/>
      <c r="G805" s="143" t="n"/>
      <c r="H805" s="27" t="n"/>
    </row>
    <row r="806" ht="17.25" customHeight="1" s="322">
      <c r="A806" s="27" t="n"/>
      <c r="B806" s="506" t="n"/>
      <c r="C806" s="141" t="n"/>
      <c r="D806" s="141" t="n"/>
      <c r="E806" s="141" t="n"/>
      <c r="F806" s="141" t="n"/>
      <c r="G806" s="143" t="n"/>
      <c r="H806" s="27" t="n"/>
    </row>
    <row r="807" ht="17.25" customHeight="1" s="322">
      <c r="A807" s="27" t="n"/>
      <c r="B807" s="506" t="n"/>
      <c r="C807" s="141" t="n"/>
      <c r="D807" s="141" t="n"/>
      <c r="E807" s="141" t="n"/>
      <c r="F807" s="141" t="n"/>
      <c r="G807" s="143" t="n"/>
      <c r="H807" s="27" t="n"/>
    </row>
    <row r="808" ht="17.25" customHeight="1" s="322">
      <c r="A808" s="27" t="n"/>
      <c r="B808" s="506" t="n"/>
      <c r="C808" s="141" t="n"/>
      <c r="D808" s="141" t="n"/>
      <c r="E808" s="141" t="n"/>
      <c r="F808" s="141" t="n"/>
      <c r="G808" s="143" t="n"/>
      <c r="H808" s="27" t="n"/>
    </row>
    <row r="809" ht="17.25" customHeight="1" s="322">
      <c r="A809" s="27" t="n"/>
      <c r="B809" s="506" t="n"/>
      <c r="C809" s="141" t="n"/>
      <c r="D809" s="141" t="n"/>
      <c r="E809" s="141" t="n"/>
      <c r="F809" s="141" t="n"/>
      <c r="G809" s="143" t="n"/>
      <c r="H809" s="27" t="n"/>
    </row>
    <row r="810" ht="17.25" customHeight="1" s="322">
      <c r="A810" s="27" t="n"/>
      <c r="B810" s="506" t="n"/>
      <c r="C810" s="141" t="n"/>
      <c r="D810" s="141" t="n"/>
      <c r="E810" s="141" t="n"/>
      <c r="F810" s="141" t="n"/>
      <c r="G810" s="143" t="n"/>
      <c r="H810" s="27" t="n"/>
    </row>
    <row r="811" ht="17.25" customHeight="1" s="322">
      <c r="A811" s="27" t="n"/>
      <c r="B811" s="506" t="n"/>
      <c r="C811" s="141" t="n"/>
      <c r="D811" s="141" t="n"/>
      <c r="E811" s="141" t="n"/>
      <c r="F811" s="141" t="n"/>
      <c r="G811" s="143" t="n"/>
      <c r="H811" s="27" t="n"/>
    </row>
    <row r="812" ht="17.25" customHeight="1" s="322">
      <c r="A812" s="27" t="n"/>
      <c r="B812" s="506" t="n"/>
      <c r="C812" s="141" t="n"/>
      <c r="D812" s="141" t="n"/>
      <c r="E812" s="141" t="n"/>
      <c r="F812" s="141" t="n"/>
      <c r="G812" s="143" t="n"/>
      <c r="H812" s="27" t="n"/>
    </row>
    <row r="813" ht="17.25" customHeight="1" s="322">
      <c r="A813" s="27" t="n"/>
      <c r="B813" s="506" t="n"/>
      <c r="C813" s="141" t="n"/>
      <c r="D813" s="141" t="n"/>
      <c r="E813" s="141" t="n"/>
      <c r="F813" s="141" t="n"/>
      <c r="G813" s="143" t="n"/>
      <c r="H813" s="27" t="n"/>
    </row>
    <row r="814" ht="17.25" customHeight="1" s="322">
      <c r="A814" s="27" t="n"/>
      <c r="B814" s="506" t="n"/>
      <c r="C814" s="141" t="n"/>
      <c r="D814" s="141" t="n"/>
      <c r="E814" s="141" t="n"/>
      <c r="F814" s="141" t="n"/>
      <c r="G814" s="143" t="n"/>
      <c r="H814" s="27" t="n"/>
    </row>
    <row r="815" ht="17.25" customHeight="1" s="322">
      <c r="A815" s="27" t="n"/>
      <c r="B815" s="506" t="n"/>
      <c r="C815" s="141" t="n"/>
      <c r="D815" s="141" t="n"/>
      <c r="E815" s="141" t="n"/>
      <c r="F815" s="141" t="n"/>
      <c r="G815" s="143" t="n"/>
      <c r="H815" s="27" t="n"/>
    </row>
    <row r="816" ht="17.25" customHeight="1" s="322">
      <c r="A816" s="27" t="n"/>
      <c r="B816" s="506" t="n"/>
      <c r="C816" s="141" t="n"/>
      <c r="D816" s="141" t="n"/>
      <c r="E816" s="141" t="n"/>
      <c r="F816" s="141" t="n"/>
      <c r="G816" s="143" t="n"/>
      <c r="H816" s="27" t="n"/>
    </row>
    <row r="817" ht="17.25" customHeight="1" s="322">
      <c r="A817" s="27" t="n"/>
      <c r="B817" s="506" t="n"/>
      <c r="C817" s="141" t="n"/>
      <c r="D817" s="141" t="n"/>
      <c r="E817" s="141" t="n"/>
      <c r="F817" s="141" t="n"/>
      <c r="G817" s="143" t="n"/>
      <c r="H817" s="27" t="n"/>
    </row>
    <row r="818" ht="17.25" customHeight="1" s="322">
      <c r="A818" s="27" t="n"/>
      <c r="B818" s="506" t="n"/>
      <c r="C818" s="141" t="n"/>
      <c r="D818" s="141" t="n"/>
      <c r="E818" s="141" t="n"/>
      <c r="F818" s="141" t="n"/>
      <c r="G818" s="143" t="n"/>
      <c r="H818" s="27" t="n"/>
    </row>
    <row r="819" ht="17.25" customHeight="1" s="322">
      <c r="A819" s="27" t="n"/>
      <c r="B819" s="506" t="n"/>
      <c r="C819" s="141" t="n"/>
      <c r="D819" s="141" t="n"/>
      <c r="E819" s="141" t="n"/>
      <c r="F819" s="141" t="n"/>
      <c r="G819" s="143" t="n"/>
      <c r="H819" s="27" t="n"/>
    </row>
    <row r="820" ht="17.25" customHeight="1" s="322">
      <c r="A820" s="27" t="n"/>
      <c r="B820" s="506" t="n"/>
      <c r="C820" s="141" t="n"/>
      <c r="D820" s="141" t="n"/>
      <c r="E820" s="141" t="n"/>
      <c r="F820" s="141" t="n"/>
      <c r="G820" s="143" t="n"/>
      <c r="H820" s="27" t="n"/>
    </row>
    <row r="821" ht="17.25" customHeight="1" s="322">
      <c r="A821" s="27" t="n"/>
      <c r="B821" s="506" t="n"/>
      <c r="C821" s="141" t="n"/>
      <c r="D821" s="141" t="n"/>
      <c r="E821" s="141" t="n"/>
      <c r="F821" s="141" t="n"/>
      <c r="G821" s="143" t="n"/>
      <c r="H821" s="27" t="n"/>
    </row>
    <row r="822" ht="17.25" customHeight="1" s="322">
      <c r="A822" s="27" t="n"/>
      <c r="B822" s="506" t="n"/>
      <c r="C822" s="141" t="n"/>
      <c r="D822" s="141" t="n"/>
      <c r="E822" s="141" t="n"/>
      <c r="F822" s="141" t="n"/>
      <c r="G822" s="143" t="n"/>
      <c r="H822" s="27" t="n"/>
    </row>
    <row r="823" ht="17.25" customHeight="1" s="322">
      <c r="A823" s="27" t="n"/>
      <c r="B823" s="506" t="n"/>
      <c r="C823" s="141" t="n"/>
      <c r="D823" s="141" t="n"/>
      <c r="E823" s="141" t="n"/>
      <c r="F823" s="141" t="n"/>
      <c r="G823" s="143" t="n"/>
      <c r="H823" s="27" t="n"/>
    </row>
    <row r="824" ht="17.25" customHeight="1" s="322">
      <c r="A824" s="27" t="n"/>
      <c r="B824" s="506" t="n"/>
      <c r="C824" s="141" t="n"/>
      <c r="D824" s="141" t="n"/>
      <c r="E824" s="141" t="n"/>
      <c r="F824" s="141" t="n"/>
      <c r="G824" s="143" t="n"/>
      <c r="H824" s="27" t="n"/>
    </row>
    <row r="825" ht="17.25" customHeight="1" s="322">
      <c r="A825" s="27" t="n"/>
      <c r="B825" s="506" t="n"/>
      <c r="C825" s="141" t="n"/>
      <c r="D825" s="141" t="n"/>
      <c r="E825" s="141" t="n"/>
      <c r="F825" s="141" t="n"/>
      <c r="G825" s="143" t="n"/>
      <c r="H825" s="27" t="n"/>
    </row>
    <row r="826" ht="17.25" customHeight="1" s="322">
      <c r="A826" s="27" t="n"/>
      <c r="B826" s="506" t="n"/>
      <c r="C826" s="141" t="n"/>
      <c r="D826" s="141" t="n"/>
      <c r="E826" s="141" t="n"/>
      <c r="F826" s="141" t="n"/>
      <c r="G826" s="143" t="n"/>
      <c r="H826" s="27" t="n"/>
    </row>
    <row r="827" ht="17.25" customHeight="1" s="322">
      <c r="A827" s="27" t="n"/>
      <c r="B827" s="506" t="n"/>
      <c r="C827" s="141" t="n"/>
      <c r="D827" s="141" t="n"/>
      <c r="E827" s="141" t="n"/>
      <c r="F827" s="141" t="n"/>
      <c r="G827" s="143" t="n"/>
      <c r="H827" s="27" t="n"/>
    </row>
    <row r="828" ht="17.25" customHeight="1" s="322">
      <c r="A828" s="27" t="n"/>
      <c r="B828" s="506" t="n"/>
      <c r="C828" s="141" t="n"/>
      <c r="D828" s="141" t="n"/>
      <c r="E828" s="141" t="n"/>
      <c r="F828" s="141" t="n"/>
      <c r="G828" s="143" t="n"/>
      <c r="H828" s="27" t="n"/>
    </row>
    <row r="829" ht="17.25" customHeight="1" s="322">
      <c r="A829" s="27" t="n"/>
      <c r="B829" s="506" t="n"/>
      <c r="C829" s="141" t="n"/>
      <c r="D829" s="141" t="n"/>
      <c r="E829" s="141" t="n"/>
      <c r="F829" s="141" t="n"/>
      <c r="G829" s="143" t="n"/>
      <c r="H829" s="27" t="n"/>
    </row>
    <row r="830" ht="17.25" customHeight="1" s="322">
      <c r="A830" s="27" t="n"/>
      <c r="B830" s="506" t="n"/>
      <c r="C830" s="141" t="n"/>
      <c r="D830" s="141" t="n"/>
      <c r="E830" s="141" t="n"/>
      <c r="F830" s="141" t="n"/>
      <c r="G830" s="143" t="n"/>
      <c r="H830" s="27" t="n"/>
    </row>
    <row r="831" ht="17.25" customHeight="1" s="322">
      <c r="A831" s="27" t="n"/>
      <c r="B831" s="506" t="n"/>
      <c r="C831" s="141" t="n"/>
      <c r="D831" s="141" t="n"/>
      <c r="E831" s="141" t="n"/>
      <c r="F831" s="141" t="n"/>
      <c r="G831" s="143" t="n"/>
      <c r="H831" s="27" t="n"/>
    </row>
    <row r="832" ht="17.25" customHeight="1" s="322">
      <c r="A832" s="27" t="n"/>
      <c r="B832" s="506" t="n"/>
      <c r="C832" s="141" t="n"/>
      <c r="D832" s="141" t="n"/>
      <c r="E832" s="141" t="n"/>
      <c r="F832" s="141" t="n"/>
      <c r="G832" s="143" t="n"/>
      <c r="H832" s="27" t="n"/>
    </row>
    <row r="833" ht="17.25" customHeight="1" s="322">
      <c r="A833" s="27" t="n"/>
      <c r="B833" s="506" t="n"/>
      <c r="C833" s="141" t="n"/>
      <c r="D833" s="141" t="n"/>
      <c r="E833" s="141" t="n"/>
      <c r="F833" s="141" t="n"/>
      <c r="G833" s="143" t="n"/>
      <c r="H833" s="27" t="n"/>
    </row>
    <row r="834" ht="17.25" customHeight="1" s="322">
      <c r="A834" s="27" t="n"/>
      <c r="B834" s="506" t="n"/>
      <c r="C834" s="141" t="n"/>
      <c r="D834" s="141" t="n"/>
      <c r="E834" s="141" t="n"/>
      <c r="F834" s="141" t="n"/>
      <c r="G834" s="143" t="n"/>
      <c r="H834" s="27" t="n"/>
    </row>
    <row r="835" ht="17.25" customHeight="1" s="322">
      <c r="A835" s="27" t="n"/>
      <c r="B835" s="506" t="n"/>
      <c r="C835" s="141" t="n"/>
      <c r="D835" s="141" t="n"/>
      <c r="E835" s="141" t="n"/>
      <c r="F835" s="141" t="n"/>
      <c r="G835" s="143" t="n"/>
      <c r="H835" s="27" t="n"/>
    </row>
    <row r="836" ht="17.25" customHeight="1" s="322">
      <c r="A836" s="27" t="n"/>
      <c r="B836" s="506" t="n"/>
      <c r="C836" s="141" t="n"/>
      <c r="D836" s="141" t="n"/>
      <c r="E836" s="141" t="n"/>
      <c r="F836" s="141" t="n"/>
      <c r="G836" s="143" t="n"/>
      <c r="H836" s="27" t="n"/>
    </row>
    <row r="837" ht="17.25" customHeight="1" s="322">
      <c r="A837" s="27" t="n"/>
      <c r="B837" s="506" t="n"/>
      <c r="C837" s="141" t="n"/>
      <c r="D837" s="141" t="n"/>
      <c r="E837" s="141" t="n"/>
      <c r="F837" s="141" t="n"/>
      <c r="G837" s="143" t="n"/>
      <c r="H837" s="27" t="n"/>
    </row>
    <row r="838" ht="17.25" customHeight="1" s="322">
      <c r="A838" s="27" t="n"/>
      <c r="B838" s="506" t="n"/>
      <c r="C838" s="141" t="n"/>
      <c r="D838" s="141" t="n"/>
      <c r="E838" s="141" t="n"/>
      <c r="F838" s="141" t="n"/>
      <c r="G838" s="143" t="n"/>
      <c r="H838" s="27" t="n"/>
    </row>
    <row r="839" ht="17.25" customHeight="1" s="322">
      <c r="A839" s="27" t="n"/>
      <c r="B839" s="506" t="n"/>
      <c r="C839" s="141" t="n"/>
      <c r="D839" s="141" t="n"/>
      <c r="E839" s="141" t="n"/>
      <c r="F839" s="141" t="n"/>
      <c r="G839" s="143" t="n"/>
      <c r="H839" s="27" t="n"/>
    </row>
    <row r="840" ht="17.25" customHeight="1" s="322">
      <c r="A840" s="27" t="n"/>
      <c r="B840" s="506" t="n"/>
      <c r="C840" s="141" t="n"/>
      <c r="D840" s="141" t="n"/>
      <c r="E840" s="141" t="n"/>
      <c r="F840" s="141" t="n"/>
      <c r="G840" s="143" t="n"/>
      <c r="H840" s="27" t="n"/>
    </row>
    <row r="841" ht="17.25" customHeight="1" s="322">
      <c r="A841" s="27" t="n"/>
      <c r="B841" s="506" t="n"/>
      <c r="C841" s="141" t="n"/>
      <c r="D841" s="141" t="n"/>
      <c r="E841" s="141" t="n"/>
      <c r="F841" s="141" t="n"/>
      <c r="G841" s="143" t="n"/>
      <c r="H841" s="27" t="n"/>
    </row>
    <row r="842" ht="17.25" customHeight="1" s="322">
      <c r="A842" s="27" t="n"/>
      <c r="B842" s="506" t="n"/>
      <c r="C842" s="141" t="n"/>
      <c r="D842" s="141" t="n"/>
      <c r="E842" s="141" t="n"/>
      <c r="F842" s="141" t="n"/>
      <c r="G842" s="143" t="n"/>
      <c r="H842" s="27" t="n"/>
    </row>
    <row r="843" ht="17.25" customHeight="1" s="322">
      <c r="A843" s="27" t="n"/>
      <c r="B843" s="506" t="n"/>
      <c r="C843" s="141" t="n"/>
      <c r="D843" s="141" t="n"/>
      <c r="E843" s="141" t="n"/>
      <c r="F843" s="141" t="n"/>
      <c r="G843" s="143" t="n"/>
      <c r="H843" s="27" t="n"/>
    </row>
    <row r="844" ht="17.25" customHeight="1" s="322">
      <c r="A844" s="27" t="n"/>
      <c r="B844" s="506" t="n"/>
      <c r="C844" s="141" t="n"/>
      <c r="D844" s="141" t="n"/>
      <c r="E844" s="141" t="n"/>
      <c r="F844" s="141" t="n"/>
      <c r="G844" s="143" t="n"/>
      <c r="H844" s="27" t="n"/>
    </row>
    <row r="845" ht="17.25" customHeight="1" s="322">
      <c r="A845" s="27" t="n"/>
      <c r="B845" s="506" t="n"/>
      <c r="C845" s="141" t="n"/>
      <c r="D845" s="141" t="n"/>
      <c r="E845" s="141" t="n"/>
      <c r="F845" s="141" t="n"/>
      <c r="G845" s="143" t="n"/>
      <c r="H845" s="27" t="n"/>
    </row>
    <row r="846" ht="17.25" customHeight="1" s="322">
      <c r="A846" s="27" t="n"/>
      <c r="B846" s="506" t="n"/>
      <c r="C846" s="141" t="n"/>
      <c r="D846" s="141" t="n"/>
      <c r="E846" s="141" t="n"/>
      <c r="F846" s="141" t="n"/>
      <c r="G846" s="143" t="n"/>
      <c r="H846" s="27" t="n"/>
    </row>
    <row r="847" ht="17.25" customHeight="1" s="322">
      <c r="A847" s="27" t="n"/>
      <c r="B847" s="506" t="n"/>
      <c r="C847" s="141" t="n"/>
      <c r="D847" s="141" t="n"/>
      <c r="E847" s="141" t="n"/>
      <c r="F847" s="141" t="n"/>
      <c r="G847" s="143" t="n"/>
      <c r="H847" s="27" t="n"/>
    </row>
    <row r="848" ht="17.25" customHeight="1" s="322">
      <c r="A848" s="27" t="n"/>
      <c r="B848" s="506" t="n"/>
      <c r="C848" s="141" t="n"/>
      <c r="D848" s="141" t="n"/>
      <c r="E848" s="141" t="n"/>
      <c r="F848" s="141" t="n"/>
      <c r="G848" s="143" t="n"/>
      <c r="H848" s="27" t="n"/>
    </row>
    <row r="849" ht="17.25" customHeight="1" s="322">
      <c r="A849" s="27" t="n"/>
      <c r="B849" s="506" t="n"/>
      <c r="C849" s="141" t="n"/>
      <c r="D849" s="141" t="n"/>
      <c r="E849" s="141" t="n"/>
      <c r="F849" s="141" t="n"/>
      <c r="G849" s="143" t="n"/>
      <c r="H849" s="27" t="n"/>
    </row>
    <row r="850" ht="17.25" customHeight="1" s="322">
      <c r="A850" s="27" t="n"/>
      <c r="B850" s="506" t="n"/>
      <c r="C850" s="141" t="n"/>
      <c r="D850" s="141" t="n"/>
      <c r="E850" s="141" t="n"/>
      <c r="F850" s="141" t="n"/>
      <c r="G850" s="143" t="n"/>
      <c r="H850" s="27" t="n"/>
    </row>
    <row r="851" ht="17.25" customHeight="1" s="322">
      <c r="A851" s="27" t="n"/>
      <c r="B851" s="506" t="n"/>
      <c r="C851" s="141" t="n"/>
      <c r="D851" s="141" t="n"/>
      <c r="E851" s="141" t="n"/>
      <c r="F851" s="141" t="n"/>
      <c r="G851" s="143" t="n"/>
      <c r="H851" s="27" t="n"/>
    </row>
    <row r="852" ht="17.25" customHeight="1" s="322">
      <c r="A852" s="27" t="n"/>
      <c r="B852" s="506" t="n"/>
      <c r="C852" s="141" t="n"/>
      <c r="D852" s="141" t="n"/>
      <c r="E852" s="141" t="n"/>
      <c r="F852" s="141" t="n"/>
      <c r="G852" s="143" t="n"/>
      <c r="H852" s="27" t="n"/>
    </row>
    <row r="853" ht="17.25" customHeight="1" s="322">
      <c r="A853" s="27" t="n"/>
      <c r="B853" s="506" t="n"/>
      <c r="C853" s="141" t="n"/>
      <c r="D853" s="141" t="n"/>
      <c r="E853" s="141" t="n"/>
      <c r="F853" s="141" t="n"/>
      <c r="G853" s="143" t="n"/>
      <c r="H853" s="27" t="n"/>
    </row>
    <row r="854" ht="17.25" customHeight="1" s="322">
      <c r="A854" s="27" t="n"/>
      <c r="B854" s="506" t="n"/>
      <c r="C854" s="141" t="n"/>
      <c r="D854" s="141" t="n"/>
      <c r="E854" s="141" t="n"/>
      <c r="F854" s="141" t="n"/>
      <c r="G854" s="143" t="n"/>
      <c r="H854" s="27" t="n"/>
    </row>
    <row r="855" ht="17.25" customHeight="1" s="322">
      <c r="A855" s="27" t="n"/>
      <c r="B855" s="506" t="n"/>
      <c r="C855" s="141" t="n"/>
      <c r="D855" s="141" t="n"/>
      <c r="E855" s="141" t="n"/>
      <c r="F855" s="141" t="n"/>
      <c r="G855" s="143" t="n"/>
      <c r="H855" s="27" t="n"/>
    </row>
    <row r="856" ht="17.25" customHeight="1" s="322">
      <c r="A856" s="27" t="n"/>
      <c r="B856" s="506" t="n"/>
      <c r="C856" s="141" t="n"/>
      <c r="D856" s="141" t="n"/>
      <c r="E856" s="141" t="n"/>
      <c r="F856" s="141" t="n"/>
      <c r="G856" s="143" t="n"/>
      <c r="H856" s="27" t="n"/>
    </row>
    <row r="857" ht="17.25" customHeight="1" s="322">
      <c r="A857" s="27" t="n"/>
      <c r="B857" s="506" t="n"/>
      <c r="C857" s="141" t="n"/>
      <c r="D857" s="141" t="n"/>
      <c r="E857" s="141" t="n"/>
      <c r="F857" s="141" t="n"/>
      <c r="G857" s="143" t="n"/>
      <c r="H857" s="27" t="n"/>
    </row>
    <row r="858" ht="17.25" customHeight="1" s="322">
      <c r="A858" s="27" t="n"/>
      <c r="B858" s="506" t="n"/>
      <c r="C858" s="141" t="n"/>
      <c r="D858" s="141" t="n"/>
      <c r="E858" s="141" t="n"/>
      <c r="F858" s="141" t="n"/>
      <c r="G858" s="143" t="n"/>
      <c r="H858" s="27" t="n"/>
    </row>
    <row r="859" ht="17.25" customHeight="1" s="322">
      <c r="A859" s="27" t="n"/>
      <c r="B859" s="506" t="n"/>
      <c r="C859" s="141" t="n"/>
      <c r="D859" s="141" t="n"/>
      <c r="E859" s="141" t="n"/>
      <c r="F859" s="141" t="n"/>
      <c r="G859" s="143" t="n"/>
      <c r="H859" s="27" t="n"/>
    </row>
    <row r="860" ht="17.25" customHeight="1" s="322">
      <c r="A860" s="27" t="n"/>
      <c r="B860" s="506" t="n"/>
      <c r="C860" s="141" t="n"/>
      <c r="D860" s="141" t="n"/>
      <c r="E860" s="141" t="n"/>
      <c r="F860" s="141" t="n"/>
      <c r="G860" s="143" t="n"/>
      <c r="H860" s="27" t="n"/>
    </row>
    <row r="861" ht="17.25" customHeight="1" s="322">
      <c r="A861" s="27" t="n"/>
      <c r="B861" s="506" t="n"/>
      <c r="C861" s="141" t="n"/>
      <c r="D861" s="141" t="n"/>
      <c r="E861" s="141" t="n"/>
      <c r="F861" s="141" t="n"/>
      <c r="G861" s="143" t="n"/>
      <c r="H861" s="27" t="n"/>
    </row>
    <row r="862" ht="17.25" customHeight="1" s="322">
      <c r="A862" s="27" t="n"/>
      <c r="B862" s="506" t="n"/>
      <c r="C862" s="141" t="n"/>
      <c r="D862" s="141" t="n"/>
      <c r="E862" s="141" t="n"/>
      <c r="F862" s="141" t="n"/>
      <c r="G862" s="143" t="n"/>
      <c r="H862" s="27" t="n"/>
    </row>
    <row r="863" ht="17.25" customHeight="1" s="322">
      <c r="A863" s="27" t="n"/>
      <c r="B863" s="506" t="n"/>
      <c r="C863" s="141" t="n"/>
      <c r="D863" s="141" t="n"/>
      <c r="E863" s="141" t="n"/>
      <c r="F863" s="141" t="n"/>
      <c r="G863" s="143" t="n"/>
      <c r="H863" s="27" t="n"/>
    </row>
    <row r="864" ht="17.25" customHeight="1" s="322">
      <c r="A864" s="27" t="n"/>
      <c r="B864" s="506" t="n"/>
      <c r="C864" s="141" t="n"/>
      <c r="D864" s="141" t="n"/>
      <c r="E864" s="141" t="n"/>
      <c r="F864" s="141" t="n"/>
      <c r="G864" s="143" t="n"/>
      <c r="H864" s="27" t="n"/>
    </row>
    <row r="865" ht="17.25" customHeight="1" s="322">
      <c r="A865" s="27" t="n"/>
      <c r="B865" s="506" t="n"/>
      <c r="C865" s="141" t="n"/>
      <c r="D865" s="141" t="n"/>
      <c r="E865" s="141" t="n"/>
      <c r="F865" s="141" t="n"/>
      <c r="G865" s="143" t="n"/>
      <c r="H865" s="27" t="n"/>
    </row>
    <row r="866" ht="17.25" customHeight="1" s="322">
      <c r="A866" s="27" t="n"/>
      <c r="B866" s="506" t="n"/>
      <c r="C866" s="141" t="n"/>
      <c r="D866" s="141" t="n"/>
      <c r="E866" s="141" t="n"/>
      <c r="F866" s="141" t="n"/>
      <c r="G866" s="143" t="n"/>
      <c r="H866" s="27" t="n"/>
    </row>
    <row r="867" ht="17.25" customHeight="1" s="322">
      <c r="A867" s="27" t="n"/>
      <c r="B867" s="506" t="n"/>
      <c r="C867" s="141" t="n"/>
      <c r="D867" s="141" t="n"/>
      <c r="E867" s="141" t="n"/>
      <c r="F867" s="141" t="n"/>
      <c r="G867" s="143" t="n"/>
      <c r="H867" s="27" t="n"/>
    </row>
    <row r="868" ht="17.25" customHeight="1" s="322">
      <c r="A868" s="27" t="n"/>
      <c r="B868" s="506" t="n"/>
      <c r="C868" s="141" t="n"/>
      <c r="D868" s="141" t="n"/>
      <c r="E868" s="141" t="n"/>
      <c r="F868" s="141" t="n"/>
      <c r="G868" s="143" t="n"/>
      <c r="H868" s="27" t="n"/>
    </row>
    <row r="869" ht="17.25" customHeight="1" s="322">
      <c r="A869" s="27" t="n"/>
      <c r="B869" s="506" t="n"/>
      <c r="C869" s="141" t="n"/>
      <c r="D869" s="141" t="n"/>
      <c r="E869" s="141" t="n"/>
      <c r="F869" s="141" t="n"/>
      <c r="G869" s="143" t="n"/>
      <c r="H869" s="27" t="n"/>
    </row>
    <row r="870" ht="17.25" customHeight="1" s="322">
      <c r="A870" s="27" t="n"/>
      <c r="B870" s="506" t="n"/>
      <c r="C870" s="141" t="n"/>
      <c r="D870" s="141" t="n"/>
      <c r="E870" s="141" t="n"/>
      <c r="F870" s="141" t="n"/>
      <c r="G870" s="143" t="n"/>
      <c r="H870" s="27" t="n"/>
    </row>
    <row r="871" ht="17.25" customHeight="1" s="322">
      <c r="A871" s="27" t="n"/>
      <c r="B871" s="506" t="n"/>
      <c r="C871" s="141" t="n"/>
      <c r="D871" s="141" t="n"/>
      <c r="E871" s="141" t="n"/>
      <c r="F871" s="141" t="n"/>
      <c r="G871" s="143" t="n"/>
      <c r="H871" s="27" t="n"/>
    </row>
    <row r="872" ht="17.25" customHeight="1" s="322">
      <c r="A872" s="27" t="n"/>
      <c r="B872" s="506" t="n"/>
      <c r="C872" s="141" t="n"/>
      <c r="D872" s="141" t="n"/>
      <c r="E872" s="141" t="n"/>
      <c r="F872" s="141" t="n"/>
      <c r="G872" s="143" t="n"/>
      <c r="H872" s="27" t="n"/>
    </row>
    <row r="873" ht="17.25" customHeight="1" s="322">
      <c r="A873" s="27" t="n"/>
      <c r="B873" s="506" t="n"/>
      <c r="C873" s="141" t="n"/>
      <c r="D873" s="141" t="n"/>
      <c r="E873" s="141" t="n"/>
      <c r="F873" s="141" t="n"/>
      <c r="G873" s="143" t="n"/>
      <c r="H873" s="27" t="n"/>
    </row>
    <row r="874" ht="17.25" customHeight="1" s="322">
      <c r="A874" s="27" t="n"/>
      <c r="B874" s="506" t="n"/>
      <c r="C874" s="141" t="n"/>
      <c r="D874" s="141" t="n"/>
      <c r="E874" s="141" t="n"/>
      <c r="F874" s="141" t="n"/>
      <c r="G874" s="143" t="n"/>
      <c r="H874" s="27" t="n"/>
    </row>
    <row r="875" ht="17.25" customHeight="1" s="322">
      <c r="A875" s="27" t="n"/>
      <c r="B875" s="506" t="n"/>
      <c r="C875" s="141" t="n"/>
      <c r="D875" s="141" t="n"/>
      <c r="E875" s="141" t="n"/>
      <c r="F875" s="141" t="n"/>
      <c r="G875" s="143" t="n"/>
      <c r="H875" s="27" t="n"/>
    </row>
    <row r="876" ht="17.25" customHeight="1" s="322">
      <c r="A876" s="27" t="n"/>
      <c r="B876" s="506" t="n"/>
      <c r="C876" s="141" t="n"/>
      <c r="D876" s="141" t="n"/>
      <c r="E876" s="141" t="n"/>
      <c r="F876" s="141" t="n"/>
      <c r="G876" s="143" t="n"/>
      <c r="H876" s="27" t="n"/>
    </row>
    <row r="877" ht="17.25" customHeight="1" s="322">
      <c r="A877" s="27" t="n"/>
      <c r="B877" s="506" t="n"/>
      <c r="C877" s="141" t="n"/>
      <c r="D877" s="141" t="n"/>
      <c r="E877" s="141" t="n"/>
      <c r="F877" s="141" t="n"/>
      <c r="G877" s="143" t="n"/>
      <c r="H877" s="27" t="n"/>
    </row>
    <row r="878" ht="17.25" customHeight="1" s="322">
      <c r="A878" s="27" t="n"/>
      <c r="B878" s="506" t="n"/>
      <c r="C878" s="141" t="n"/>
      <c r="D878" s="141" t="n"/>
      <c r="E878" s="141" t="n"/>
      <c r="F878" s="141" t="n"/>
      <c r="G878" s="143" t="n"/>
      <c r="H878" s="27" t="n"/>
    </row>
    <row r="879" ht="17.25" customHeight="1" s="322">
      <c r="A879" s="27" t="n"/>
      <c r="B879" s="506" t="n"/>
      <c r="C879" s="141" t="n"/>
      <c r="D879" s="141" t="n"/>
      <c r="E879" s="141" t="n"/>
      <c r="F879" s="141" t="n"/>
      <c r="G879" s="143" t="n"/>
      <c r="H879" s="27" t="n"/>
    </row>
    <row r="880" ht="17.25" customHeight="1" s="322">
      <c r="A880" s="27" t="n"/>
      <c r="B880" s="506" t="n"/>
      <c r="C880" s="141" t="n"/>
      <c r="D880" s="141" t="n"/>
      <c r="E880" s="141" t="n"/>
      <c r="F880" s="141" t="n"/>
      <c r="G880" s="143" t="n"/>
      <c r="H880" s="27" t="n"/>
    </row>
    <row r="881" ht="17.25" customHeight="1" s="322">
      <c r="A881" s="27" t="n"/>
      <c r="B881" s="506" t="n"/>
      <c r="C881" s="141" t="n"/>
      <c r="D881" s="141" t="n"/>
      <c r="E881" s="141" t="n"/>
      <c r="F881" s="141" t="n"/>
      <c r="G881" s="143" t="n"/>
      <c r="H881" s="27" t="n"/>
    </row>
    <row r="882" ht="17.25" customHeight="1" s="322">
      <c r="A882" s="27" t="n"/>
      <c r="B882" s="506" t="n"/>
      <c r="C882" s="141" t="n"/>
      <c r="D882" s="141" t="n"/>
      <c r="E882" s="141" t="n"/>
      <c r="F882" s="141" t="n"/>
      <c r="G882" s="143" t="n"/>
      <c r="H882" s="27" t="n"/>
    </row>
    <row r="883" ht="17.25" customHeight="1" s="322">
      <c r="A883" s="27" t="n"/>
      <c r="B883" s="506" t="n"/>
      <c r="C883" s="141" t="n"/>
      <c r="D883" s="141" t="n"/>
      <c r="E883" s="141" t="n"/>
      <c r="F883" s="141" t="n"/>
      <c r="G883" s="143" t="n"/>
      <c r="H883" s="27" t="n"/>
    </row>
    <row r="884" ht="17.25" customHeight="1" s="322">
      <c r="A884" s="27" t="n"/>
      <c r="B884" s="506" t="n"/>
      <c r="C884" s="141" t="n"/>
      <c r="D884" s="141" t="n"/>
      <c r="E884" s="141" t="n"/>
      <c r="F884" s="141" t="n"/>
      <c r="G884" s="143" t="n"/>
      <c r="H884" s="27" t="n"/>
    </row>
    <row r="885" ht="17.25" customHeight="1" s="322">
      <c r="A885" s="27" t="n"/>
      <c r="B885" s="506" t="n"/>
      <c r="C885" s="141" t="n"/>
      <c r="D885" s="141" t="n"/>
      <c r="E885" s="141" t="n"/>
      <c r="F885" s="141" t="n"/>
      <c r="G885" s="143" t="n"/>
      <c r="H885" s="27" t="n"/>
    </row>
    <row r="886" ht="17.25" customHeight="1" s="322">
      <c r="A886" s="27" t="n"/>
      <c r="B886" s="506" t="n"/>
      <c r="C886" s="141" t="n"/>
      <c r="D886" s="141" t="n"/>
      <c r="E886" s="141" t="n"/>
      <c r="F886" s="141" t="n"/>
      <c r="G886" s="143" t="n"/>
      <c r="H886" s="27" t="n"/>
    </row>
    <row r="887" ht="17.25" customHeight="1" s="322">
      <c r="A887" s="27" t="n"/>
      <c r="B887" s="506" t="n"/>
      <c r="C887" s="141" t="n"/>
      <c r="D887" s="141" t="n"/>
      <c r="E887" s="141" t="n"/>
      <c r="F887" s="141" t="n"/>
      <c r="G887" s="143" t="n"/>
      <c r="H887" s="27" t="n"/>
    </row>
    <row r="888" ht="17.25" customHeight="1" s="322">
      <c r="A888" s="27" t="n"/>
      <c r="B888" s="506" t="n"/>
      <c r="C888" s="141" t="n"/>
      <c r="D888" s="141" t="n"/>
      <c r="E888" s="141" t="n"/>
      <c r="F888" s="141" t="n"/>
      <c r="G888" s="143" t="n"/>
      <c r="H888" s="27" t="n"/>
    </row>
    <row r="889" ht="17.25" customHeight="1" s="322">
      <c r="A889" s="27" t="n"/>
      <c r="B889" s="506" t="n"/>
      <c r="C889" s="141" t="n"/>
      <c r="D889" s="141" t="n"/>
      <c r="E889" s="141" t="n"/>
      <c r="F889" s="141" t="n"/>
      <c r="G889" s="143" t="n"/>
      <c r="H889" s="27" t="n"/>
    </row>
    <row r="890" ht="17.25" customHeight="1" s="322">
      <c r="A890" s="27" t="n"/>
      <c r="B890" s="506" t="n"/>
      <c r="C890" s="141" t="n"/>
      <c r="D890" s="141" t="n"/>
      <c r="E890" s="141" t="n"/>
      <c r="F890" s="141" t="n"/>
      <c r="G890" s="143" t="n"/>
      <c r="H890" s="27" t="n"/>
    </row>
    <row r="891" ht="17.25" customHeight="1" s="322">
      <c r="A891" s="27" t="n"/>
      <c r="B891" s="506" t="n"/>
      <c r="C891" s="141" t="n"/>
      <c r="D891" s="141" t="n"/>
      <c r="E891" s="141" t="n"/>
      <c r="F891" s="141" t="n"/>
      <c r="G891" s="143" t="n"/>
      <c r="H891" s="27" t="n"/>
    </row>
    <row r="892" ht="17.25" customHeight="1" s="322">
      <c r="A892" s="27" t="n"/>
      <c r="B892" s="506" t="n"/>
      <c r="C892" s="141" t="n"/>
      <c r="D892" s="141" t="n"/>
      <c r="E892" s="141" t="n"/>
      <c r="F892" s="141" t="n"/>
      <c r="G892" s="143" t="n"/>
      <c r="H892" s="27" t="n"/>
    </row>
    <row r="893" ht="17.25" customHeight="1" s="322">
      <c r="A893" s="27" t="n"/>
      <c r="B893" s="506" t="n"/>
      <c r="C893" s="141" t="n"/>
      <c r="D893" s="141" t="n"/>
      <c r="E893" s="141" t="n"/>
      <c r="F893" s="141" t="n"/>
      <c r="G893" s="143" t="n"/>
      <c r="H893" s="27" t="n"/>
    </row>
    <row r="894" ht="17.25" customHeight="1" s="322">
      <c r="A894" s="27" t="n"/>
      <c r="B894" s="506" t="n"/>
      <c r="C894" s="141" t="n"/>
      <c r="D894" s="141" t="n"/>
      <c r="E894" s="141" t="n"/>
      <c r="F894" s="141" t="n"/>
      <c r="G894" s="143" t="n"/>
      <c r="H894" s="27" t="n"/>
    </row>
    <row r="895" ht="17.25" customHeight="1" s="322">
      <c r="A895" s="27" t="n"/>
      <c r="B895" s="506" t="n"/>
      <c r="C895" s="141" t="n"/>
      <c r="D895" s="141" t="n"/>
      <c r="E895" s="141" t="n"/>
      <c r="F895" s="141" t="n"/>
      <c r="G895" s="143" t="n"/>
      <c r="H895" s="27" t="n"/>
    </row>
    <row r="896" ht="17.25" customHeight="1" s="322">
      <c r="A896" s="27" t="n"/>
      <c r="B896" s="506" t="n"/>
      <c r="C896" s="141" t="n"/>
      <c r="D896" s="141" t="n"/>
      <c r="E896" s="141" t="n"/>
      <c r="F896" s="141" t="n"/>
      <c r="G896" s="143" t="n"/>
      <c r="H896" s="27" t="n"/>
    </row>
    <row r="897" ht="17.25" customHeight="1" s="322">
      <c r="A897" s="27" t="n"/>
      <c r="B897" s="506" t="n"/>
      <c r="C897" s="141" t="n"/>
      <c r="D897" s="141" t="n"/>
      <c r="E897" s="141" t="n"/>
      <c r="F897" s="141" t="n"/>
      <c r="G897" s="143" t="n"/>
      <c r="H897" s="27" t="n"/>
    </row>
    <row r="898" ht="17.25" customHeight="1" s="322">
      <c r="A898" s="27" t="n"/>
      <c r="B898" s="506" t="n"/>
      <c r="C898" s="141" t="n"/>
      <c r="D898" s="141" t="n"/>
      <c r="E898" s="141" t="n"/>
      <c r="F898" s="141" t="n"/>
      <c r="G898" s="143" t="n"/>
      <c r="H898" s="27" t="n"/>
    </row>
    <row r="899" ht="17.25" customHeight="1" s="322">
      <c r="A899" s="27" t="n"/>
      <c r="B899" s="506" t="n"/>
      <c r="C899" s="141" t="n"/>
      <c r="D899" s="141" t="n"/>
      <c r="E899" s="141" t="n"/>
      <c r="F899" s="141" t="n"/>
      <c r="G899" s="143" t="n"/>
      <c r="H899" s="27" t="n"/>
    </row>
    <row r="900" ht="17.25" customHeight="1" s="322">
      <c r="A900" s="27" t="n"/>
      <c r="B900" s="506" t="n"/>
      <c r="C900" s="141" t="n"/>
      <c r="D900" s="141" t="n"/>
      <c r="E900" s="141" t="n"/>
      <c r="F900" s="141" t="n"/>
      <c r="G900" s="143" t="n"/>
      <c r="H900" s="27" t="n"/>
    </row>
    <row r="901" ht="17.25" customHeight="1" s="322">
      <c r="A901" s="27" t="n"/>
      <c r="B901" s="506" t="n"/>
      <c r="C901" s="141" t="n"/>
      <c r="D901" s="141" t="n"/>
      <c r="E901" s="141" t="n"/>
      <c r="F901" s="141" t="n"/>
      <c r="G901" s="143" t="n"/>
      <c r="H901" s="27" t="n"/>
    </row>
    <row r="902" ht="17.25" customHeight="1" s="322">
      <c r="A902" s="27" t="n"/>
      <c r="B902" s="506" t="n"/>
      <c r="C902" s="141" t="n"/>
      <c r="D902" s="141" t="n"/>
      <c r="E902" s="141" t="n"/>
      <c r="F902" s="141" t="n"/>
      <c r="G902" s="143" t="n"/>
      <c r="H902" s="27" t="n"/>
    </row>
    <row r="903" ht="17.25" customHeight="1" s="322">
      <c r="A903" s="27" t="n"/>
      <c r="B903" s="506" t="n"/>
      <c r="C903" s="141" t="n"/>
      <c r="D903" s="141" t="n"/>
      <c r="E903" s="141" t="n"/>
      <c r="F903" s="141" t="n"/>
      <c r="G903" s="143" t="n"/>
      <c r="H903" s="27" t="n"/>
    </row>
    <row r="904" ht="17.25" customHeight="1" s="322">
      <c r="A904" s="27" t="n"/>
      <c r="B904" s="506" t="n"/>
      <c r="C904" s="141" t="n"/>
      <c r="D904" s="141" t="n"/>
      <c r="E904" s="141" t="n"/>
      <c r="F904" s="141" t="n"/>
      <c r="G904" s="143" t="n"/>
      <c r="H904" s="27" t="n"/>
    </row>
    <row r="905" ht="17.25" customHeight="1" s="322">
      <c r="A905" s="27" t="n"/>
      <c r="B905" s="506" t="n"/>
      <c r="C905" s="141" t="n"/>
      <c r="D905" s="141" t="n"/>
      <c r="E905" s="141" t="n"/>
      <c r="F905" s="141" t="n"/>
      <c r="G905" s="143" t="n"/>
      <c r="H905" s="27" t="n"/>
    </row>
    <row r="906" ht="17.25" customHeight="1" s="322">
      <c r="A906" s="27" t="n"/>
      <c r="B906" s="506" t="n"/>
      <c r="C906" s="141" t="n"/>
      <c r="D906" s="141" t="n"/>
      <c r="E906" s="141" t="n"/>
      <c r="F906" s="141" t="n"/>
      <c r="G906" s="143" t="n"/>
      <c r="H906" s="27" t="n"/>
    </row>
    <row r="907" ht="17.25" customHeight="1" s="322">
      <c r="A907" s="27" t="n"/>
      <c r="B907" s="506" t="n"/>
      <c r="C907" s="141" t="n"/>
      <c r="D907" s="141" t="n"/>
      <c r="E907" s="141" t="n"/>
      <c r="F907" s="141" t="n"/>
      <c r="G907" s="143" t="n"/>
      <c r="H907" s="27" t="n"/>
    </row>
    <row r="908" ht="17.25" customHeight="1" s="322">
      <c r="A908" s="27" t="n"/>
      <c r="B908" s="506" t="n"/>
      <c r="C908" s="141" t="n"/>
      <c r="D908" s="141" t="n"/>
      <c r="E908" s="141" t="n"/>
      <c r="F908" s="141" t="n"/>
      <c r="G908" s="143" t="n"/>
      <c r="H908" s="27" t="n"/>
    </row>
    <row r="909" ht="17.25" customHeight="1" s="322">
      <c r="A909" s="27" t="n"/>
      <c r="B909" s="506" t="n"/>
      <c r="C909" s="141" t="n"/>
      <c r="D909" s="141" t="n"/>
      <c r="E909" s="141" t="n"/>
      <c r="F909" s="141" t="n"/>
      <c r="G909" s="143" t="n"/>
      <c r="H909" s="27" t="n"/>
    </row>
    <row r="910" ht="17.25" customHeight="1" s="322">
      <c r="A910" s="27" t="n"/>
      <c r="B910" s="506" t="n"/>
      <c r="C910" s="141" t="n"/>
      <c r="D910" s="141" t="n"/>
      <c r="E910" s="141" t="n"/>
      <c r="F910" s="141" t="n"/>
      <c r="G910" s="143" t="n"/>
      <c r="H910" s="27" t="n"/>
    </row>
    <row r="911" ht="17.25" customHeight="1" s="322">
      <c r="A911" s="27" t="n"/>
      <c r="B911" s="506" t="n"/>
      <c r="C911" s="141" t="n"/>
      <c r="D911" s="141" t="n"/>
      <c r="E911" s="141" t="n"/>
      <c r="F911" s="141" t="n"/>
      <c r="G911" s="143" t="n"/>
      <c r="H911" s="27" t="n"/>
    </row>
    <row r="912" ht="17.25" customHeight="1" s="322">
      <c r="A912" s="27" t="n"/>
      <c r="B912" s="506" t="n"/>
      <c r="C912" s="141" t="n"/>
      <c r="D912" s="141" t="n"/>
      <c r="E912" s="141" t="n"/>
      <c r="F912" s="141" t="n"/>
      <c r="G912" s="143" t="n"/>
      <c r="H912" s="27" t="n"/>
    </row>
    <row r="913" ht="17.25" customHeight="1" s="322">
      <c r="A913" s="27" t="n"/>
      <c r="B913" s="506" t="n"/>
      <c r="C913" s="141" t="n"/>
      <c r="D913" s="141" t="n"/>
      <c r="E913" s="141" t="n"/>
      <c r="F913" s="141" t="n"/>
      <c r="G913" s="143" t="n"/>
      <c r="H913" s="27" t="n"/>
    </row>
    <row r="914" ht="17.25" customHeight="1" s="322">
      <c r="A914" s="27" t="n"/>
      <c r="B914" s="506" t="n"/>
      <c r="C914" s="141" t="n"/>
      <c r="D914" s="141" t="n"/>
      <c r="E914" s="141" t="n"/>
      <c r="F914" s="141" t="n"/>
      <c r="G914" s="143" t="n"/>
      <c r="H914" s="27" t="n"/>
    </row>
    <row r="915" ht="17.25" customHeight="1" s="322">
      <c r="A915" s="27" t="n"/>
      <c r="B915" s="506" t="n"/>
      <c r="C915" s="141" t="n"/>
      <c r="D915" s="141" t="n"/>
      <c r="E915" s="141" t="n"/>
      <c r="F915" s="141" t="n"/>
      <c r="G915" s="143" t="n"/>
      <c r="H915" s="27" t="n"/>
    </row>
    <row r="916" ht="17.25" customHeight="1" s="322">
      <c r="A916" s="27" t="n"/>
      <c r="B916" s="506" t="n"/>
      <c r="C916" s="141" t="n"/>
      <c r="D916" s="141" t="n"/>
      <c r="E916" s="141" t="n"/>
      <c r="F916" s="141" t="n"/>
      <c r="G916" s="143" t="n"/>
      <c r="H916" s="27" t="n"/>
    </row>
    <row r="917" ht="17.25" customHeight="1" s="322">
      <c r="A917" s="27" t="n"/>
      <c r="B917" s="506" t="n"/>
      <c r="C917" s="141" t="n"/>
      <c r="D917" s="141" t="n"/>
      <c r="E917" s="141" t="n"/>
      <c r="F917" s="141" t="n"/>
      <c r="G917" s="143" t="n"/>
      <c r="H917" s="27" t="n"/>
    </row>
    <row r="918" ht="17.25" customHeight="1" s="322">
      <c r="A918" s="27" t="n"/>
      <c r="B918" s="506" t="n"/>
      <c r="C918" s="141" t="n"/>
      <c r="D918" s="141" t="n"/>
      <c r="E918" s="141" t="n"/>
      <c r="F918" s="141" t="n"/>
      <c r="G918" s="143" t="n"/>
      <c r="H918" s="27" t="n"/>
    </row>
    <row r="919" ht="17.25" customHeight="1" s="322">
      <c r="A919" s="27" t="n"/>
      <c r="B919" s="506" t="n"/>
      <c r="C919" s="141" t="n"/>
      <c r="D919" s="141" t="n"/>
      <c r="E919" s="141" t="n"/>
      <c r="F919" s="141" t="n"/>
      <c r="G919" s="143" t="n"/>
      <c r="H919" s="27" t="n"/>
    </row>
    <row r="920" ht="17.25" customHeight="1" s="322">
      <c r="A920" s="27" t="n"/>
      <c r="B920" s="506" t="n"/>
      <c r="C920" s="141" t="n"/>
      <c r="D920" s="141" t="n"/>
      <c r="E920" s="141" t="n"/>
      <c r="F920" s="141" t="n"/>
      <c r="G920" s="143" t="n"/>
      <c r="H920" s="27" t="n"/>
    </row>
    <row r="921" ht="17.25" customHeight="1" s="322">
      <c r="A921" s="27" t="n"/>
      <c r="B921" s="506" t="n"/>
      <c r="C921" s="141" t="n"/>
      <c r="D921" s="141" t="n"/>
      <c r="E921" s="141" t="n"/>
      <c r="F921" s="141" t="n"/>
      <c r="G921" s="143" t="n"/>
      <c r="H921" s="27" t="n"/>
    </row>
    <row r="922" ht="17.25" customHeight="1" s="322">
      <c r="A922" s="27" t="n"/>
      <c r="B922" s="506" t="n"/>
      <c r="C922" s="141" t="n"/>
      <c r="D922" s="141" t="n"/>
      <c r="E922" s="141" t="n"/>
      <c r="F922" s="141" t="n"/>
      <c r="G922" s="143" t="n"/>
      <c r="H922" s="27" t="n"/>
    </row>
    <row r="923" ht="17.25" customHeight="1" s="322">
      <c r="A923" s="27" t="n"/>
      <c r="B923" s="506" t="n"/>
      <c r="C923" s="141" t="n"/>
      <c r="D923" s="141" t="n"/>
      <c r="E923" s="141" t="n"/>
      <c r="F923" s="141" t="n"/>
      <c r="G923" s="143" t="n"/>
      <c r="H923" s="27" t="n"/>
    </row>
    <row r="924" ht="17.25" customHeight="1" s="322">
      <c r="A924" s="27" t="n"/>
      <c r="B924" s="506" t="n"/>
      <c r="C924" s="141" t="n"/>
      <c r="D924" s="141" t="n"/>
      <c r="E924" s="141" t="n"/>
      <c r="F924" s="141" t="n"/>
      <c r="G924" s="143" t="n"/>
      <c r="H924" s="27" t="n"/>
    </row>
    <row r="925" ht="17.25" customHeight="1" s="322">
      <c r="A925" s="27" t="n"/>
      <c r="B925" s="506" t="n"/>
      <c r="C925" s="141" t="n"/>
      <c r="D925" s="141" t="n"/>
      <c r="E925" s="141" t="n"/>
      <c r="F925" s="141" t="n"/>
      <c r="G925" s="143" t="n"/>
      <c r="H925" s="27" t="n"/>
    </row>
    <row r="926" ht="17.25" customHeight="1" s="322">
      <c r="A926" s="27" t="n"/>
      <c r="B926" s="506" t="n"/>
      <c r="C926" s="141" t="n"/>
      <c r="D926" s="141" t="n"/>
      <c r="E926" s="141" t="n"/>
      <c r="F926" s="141" t="n"/>
      <c r="G926" s="143" t="n"/>
      <c r="H926" s="27" t="n"/>
    </row>
    <row r="927" ht="17.25" customHeight="1" s="322">
      <c r="A927" s="27" t="n"/>
      <c r="B927" s="506" t="n"/>
      <c r="C927" s="141" t="n"/>
      <c r="D927" s="141" t="n"/>
      <c r="E927" s="141" t="n"/>
      <c r="F927" s="141" t="n"/>
      <c r="G927" s="143" t="n"/>
      <c r="H927" s="27" t="n"/>
    </row>
    <row r="928" ht="17.25" customHeight="1" s="322">
      <c r="A928" s="27" t="n"/>
      <c r="B928" s="506" t="n"/>
      <c r="C928" s="141" t="n"/>
      <c r="D928" s="141" t="n"/>
      <c r="E928" s="141" t="n"/>
      <c r="F928" s="141" t="n"/>
      <c r="G928" s="143" t="n"/>
      <c r="H928" s="27" t="n"/>
    </row>
    <row r="929" ht="17.25" customHeight="1" s="322">
      <c r="A929" s="27" t="n"/>
      <c r="B929" s="506" t="n"/>
      <c r="C929" s="141" t="n"/>
      <c r="D929" s="141" t="n"/>
      <c r="E929" s="141" t="n"/>
      <c r="F929" s="141" t="n"/>
      <c r="G929" s="143" t="n"/>
      <c r="H929" s="27" t="n"/>
    </row>
    <row r="930" ht="17.25" customHeight="1" s="322">
      <c r="A930" s="27" t="n"/>
      <c r="B930" s="506" t="n"/>
      <c r="C930" s="141" t="n"/>
      <c r="D930" s="141" t="n"/>
      <c r="E930" s="141" t="n"/>
      <c r="F930" s="141" t="n"/>
      <c r="G930" s="143" t="n"/>
      <c r="H930" s="27" t="n"/>
    </row>
    <row r="931" ht="17.25" customHeight="1" s="322">
      <c r="A931" s="27" t="n"/>
      <c r="B931" s="506" t="n"/>
      <c r="C931" s="141" t="n"/>
      <c r="D931" s="141" t="n"/>
      <c r="E931" s="141" t="n"/>
      <c r="F931" s="141" t="n"/>
      <c r="G931" s="143" t="n"/>
      <c r="H931" s="27" t="n"/>
    </row>
    <row r="932" ht="17.25" customHeight="1" s="322">
      <c r="A932" s="27" t="n"/>
      <c r="B932" s="506" t="n"/>
      <c r="C932" s="141" t="n"/>
      <c r="D932" s="141" t="n"/>
      <c r="E932" s="141" t="n"/>
      <c r="F932" s="141" t="n"/>
      <c r="G932" s="143" t="n"/>
      <c r="H932" s="27" t="n"/>
    </row>
    <row r="933" ht="17.25" customHeight="1" s="322">
      <c r="A933" s="27" t="n"/>
      <c r="B933" s="506" t="n"/>
      <c r="C933" s="141" t="n"/>
      <c r="D933" s="141" t="n"/>
      <c r="E933" s="141" t="n"/>
      <c r="F933" s="141" t="n"/>
      <c r="G933" s="143" t="n"/>
      <c r="H933" s="27" t="n"/>
    </row>
    <row r="934" ht="17.25" customHeight="1" s="322">
      <c r="A934" s="27" t="n"/>
      <c r="B934" s="506" t="n"/>
      <c r="C934" s="141" t="n"/>
      <c r="D934" s="141" t="n"/>
      <c r="E934" s="141" t="n"/>
      <c r="F934" s="141" t="n"/>
      <c r="G934" s="143" t="n"/>
      <c r="H934" s="27" t="n"/>
    </row>
    <row r="935" ht="17.25" customHeight="1" s="322">
      <c r="A935" s="27" t="n"/>
      <c r="B935" s="506" t="n"/>
      <c r="C935" s="141" t="n"/>
      <c r="D935" s="141" t="n"/>
      <c r="E935" s="141" t="n"/>
      <c r="F935" s="141" t="n"/>
      <c r="G935" s="143" t="n"/>
      <c r="H935" s="27" t="n"/>
    </row>
    <row r="936" ht="17.25" customHeight="1" s="322">
      <c r="A936" s="27" t="n"/>
      <c r="B936" s="506" t="n"/>
      <c r="C936" s="141" t="n"/>
      <c r="D936" s="141" t="n"/>
      <c r="E936" s="141" t="n"/>
      <c r="F936" s="141" t="n"/>
      <c r="G936" s="143" t="n"/>
      <c r="H936" s="27" t="n"/>
    </row>
    <row r="937" ht="17.25" customHeight="1" s="322">
      <c r="A937" s="27" t="n"/>
      <c r="B937" s="506" t="n"/>
      <c r="C937" s="141" t="n"/>
      <c r="D937" s="141" t="n"/>
      <c r="E937" s="141" t="n"/>
      <c r="F937" s="141" t="n"/>
      <c r="G937" s="143" t="n"/>
      <c r="H937" s="27" t="n"/>
    </row>
    <row r="938" ht="17.25" customHeight="1" s="322">
      <c r="A938" s="27" t="n"/>
      <c r="B938" s="506" t="n"/>
      <c r="C938" s="141" t="n"/>
      <c r="D938" s="141" t="n"/>
      <c r="E938" s="141" t="n"/>
      <c r="F938" s="141" t="n"/>
      <c r="G938" s="143" t="n"/>
      <c r="H938" s="27" t="n"/>
    </row>
    <row r="939" ht="17.25" customHeight="1" s="322">
      <c r="A939" s="27" t="n"/>
      <c r="B939" s="506" t="n"/>
      <c r="C939" s="141" t="n"/>
      <c r="D939" s="141" t="n"/>
      <c r="E939" s="141" t="n"/>
      <c r="F939" s="141" t="n"/>
      <c r="G939" s="143" t="n"/>
      <c r="H939" s="27" t="n"/>
    </row>
    <row r="940" ht="17.25" customHeight="1" s="322">
      <c r="A940" s="27" t="n"/>
      <c r="B940" s="506" t="n"/>
      <c r="C940" s="141" t="n"/>
      <c r="D940" s="141" t="n"/>
      <c r="E940" s="141" t="n"/>
      <c r="F940" s="141" t="n"/>
      <c r="G940" s="143" t="n"/>
      <c r="H940" s="27" t="n"/>
    </row>
    <row r="941" ht="17.25" customHeight="1" s="322">
      <c r="A941" s="27" t="n"/>
      <c r="B941" s="506" t="n"/>
      <c r="C941" s="141" t="n"/>
      <c r="D941" s="141" t="n"/>
      <c r="E941" s="141" t="n"/>
      <c r="F941" s="141" t="n"/>
      <c r="G941" s="143" t="n"/>
      <c r="H941" s="27" t="n"/>
    </row>
    <row r="942" ht="17.25" customHeight="1" s="322">
      <c r="A942" s="27" t="n"/>
      <c r="B942" s="506" t="n"/>
      <c r="C942" s="141" t="n"/>
      <c r="D942" s="141" t="n"/>
      <c r="E942" s="141" t="n"/>
      <c r="F942" s="141" t="n"/>
      <c r="G942" s="143" t="n"/>
      <c r="H942" s="27" t="n"/>
    </row>
    <row r="943" ht="17.25" customHeight="1" s="322">
      <c r="A943" s="27" t="n"/>
      <c r="B943" s="506" t="n"/>
      <c r="C943" s="141" t="n"/>
      <c r="D943" s="141" t="n"/>
      <c r="E943" s="141" t="n"/>
      <c r="F943" s="141" t="n"/>
      <c r="G943" s="143" t="n"/>
      <c r="H943" s="27" t="n"/>
    </row>
    <row r="944" ht="17.25" customHeight="1" s="322">
      <c r="A944" s="27" t="n"/>
      <c r="B944" s="506" t="n"/>
      <c r="C944" s="141" t="n"/>
      <c r="D944" s="141" t="n"/>
      <c r="E944" s="141" t="n"/>
      <c r="F944" s="141" t="n"/>
      <c r="G944" s="143" t="n"/>
      <c r="H944" s="27" t="n"/>
    </row>
    <row r="945" ht="17.25" customHeight="1" s="322">
      <c r="A945" s="27" t="n"/>
      <c r="B945" s="506" t="n"/>
      <c r="C945" s="141" t="n"/>
      <c r="D945" s="141" t="n"/>
      <c r="E945" s="141" t="n"/>
      <c r="F945" s="141" t="n"/>
      <c r="G945" s="143" t="n"/>
      <c r="H945" s="27" t="n"/>
    </row>
    <row r="946" ht="17.25" customHeight="1" s="322">
      <c r="A946" s="27" t="n"/>
      <c r="B946" s="506" t="n"/>
      <c r="C946" s="141" t="n"/>
      <c r="D946" s="141" t="n"/>
      <c r="E946" s="141" t="n"/>
      <c r="F946" s="141" t="n"/>
      <c r="G946" s="143" t="n"/>
      <c r="H946" s="27" t="n"/>
    </row>
    <row r="947" ht="17.25" customHeight="1" s="322">
      <c r="A947" s="27" t="n"/>
      <c r="B947" s="506" t="n"/>
      <c r="C947" s="141" t="n"/>
      <c r="D947" s="141" t="n"/>
      <c r="E947" s="141" t="n"/>
      <c r="F947" s="141" t="n"/>
      <c r="G947" s="143" t="n"/>
      <c r="H947" s="27" t="n"/>
    </row>
    <row r="948" ht="17.25" customHeight="1" s="322">
      <c r="A948" s="27" t="n"/>
      <c r="B948" s="506" t="n"/>
      <c r="C948" s="141" t="n"/>
      <c r="D948" s="141" t="n"/>
      <c r="E948" s="141" t="n"/>
      <c r="F948" s="141" t="n"/>
      <c r="G948" s="143" t="n"/>
      <c r="H948" s="27" t="n"/>
    </row>
    <row r="949" ht="17.25" customHeight="1" s="322">
      <c r="A949" s="27" t="n"/>
      <c r="B949" s="506" t="n"/>
      <c r="C949" s="141" t="n"/>
      <c r="D949" s="141" t="n"/>
      <c r="E949" s="141" t="n"/>
      <c r="F949" s="141" t="n"/>
      <c r="G949" s="143" t="n"/>
      <c r="H949" s="27" t="n"/>
    </row>
    <row r="950" ht="17.25" customHeight="1" s="322">
      <c r="A950" s="27" t="n"/>
      <c r="B950" s="506" t="n"/>
      <c r="C950" s="141" t="n"/>
      <c r="D950" s="141" t="n"/>
      <c r="E950" s="141" t="n"/>
      <c r="F950" s="141" t="n"/>
      <c r="G950" s="143" t="n"/>
      <c r="H950" s="27" t="n"/>
    </row>
    <row r="951" ht="17.25" customHeight="1" s="322">
      <c r="A951" s="27" t="n"/>
      <c r="B951" s="506" t="n"/>
      <c r="C951" s="141" t="n"/>
      <c r="D951" s="141" t="n"/>
      <c r="E951" s="141" t="n"/>
      <c r="F951" s="141" t="n"/>
      <c r="G951" s="143" t="n"/>
      <c r="H951" s="27" t="n"/>
    </row>
    <row r="952" ht="17.25" customHeight="1" s="322">
      <c r="A952" s="27" t="n"/>
      <c r="B952" s="506" t="n"/>
      <c r="C952" s="141" t="n"/>
      <c r="D952" s="141" t="n"/>
      <c r="E952" s="141" t="n"/>
      <c r="F952" s="141" t="n"/>
      <c r="G952" s="143" t="n"/>
      <c r="H952" s="27" t="n"/>
    </row>
    <row r="953" ht="17.25" customHeight="1" s="322">
      <c r="A953" s="27" t="n"/>
      <c r="B953" s="506" t="n"/>
      <c r="C953" s="141" t="n"/>
      <c r="D953" s="141" t="n"/>
      <c r="E953" s="141" t="n"/>
      <c r="F953" s="141" t="n"/>
      <c r="G953" s="143" t="n"/>
      <c r="H953" s="27" t="n"/>
    </row>
    <row r="954" ht="17.25" customHeight="1" s="322">
      <c r="A954" s="27" t="n"/>
      <c r="B954" s="506" t="n"/>
      <c r="C954" s="141" t="n"/>
      <c r="D954" s="141" t="n"/>
      <c r="E954" s="141" t="n"/>
      <c r="F954" s="141" t="n"/>
      <c r="G954" s="143" t="n"/>
      <c r="H954" s="27" t="n"/>
    </row>
    <row r="955" ht="17.25" customHeight="1" s="322">
      <c r="A955" s="27" t="n"/>
      <c r="B955" s="506" t="n"/>
      <c r="C955" s="141" t="n"/>
      <c r="D955" s="141" t="n"/>
      <c r="E955" s="141" t="n"/>
      <c r="F955" s="141" t="n"/>
      <c r="G955" s="143" t="n"/>
      <c r="H955" s="27" t="n"/>
    </row>
    <row r="956" ht="17.25" customHeight="1" s="322">
      <c r="A956" s="27" t="n"/>
      <c r="B956" s="506" t="n"/>
      <c r="C956" s="141" t="n"/>
      <c r="D956" s="141" t="n"/>
      <c r="E956" s="141" t="n"/>
      <c r="F956" s="141" t="n"/>
      <c r="G956" s="143" t="n"/>
      <c r="H956" s="27" t="n"/>
    </row>
    <row r="957" ht="17.25" customHeight="1" s="322">
      <c r="A957" s="27" t="n"/>
      <c r="B957" s="506" t="n"/>
      <c r="C957" s="141" t="n"/>
      <c r="D957" s="141" t="n"/>
      <c r="E957" s="141" t="n"/>
      <c r="F957" s="141" t="n"/>
      <c r="G957" s="143" t="n"/>
      <c r="H957" s="27" t="n"/>
    </row>
    <row r="958" ht="17.25" customHeight="1" s="322">
      <c r="A958" s="27" t="n"/>
      <c r="B958" s="506" t="n"/>
      <c r="C958" s="141" t="n"/>
      <c r="D958" s="141" t="n"/>
      <c r="E958" s="141" t="n"/>
      <c r="F958" s="141" t="n"/>
      <c r="G958" s="143" t="n"/>
      <c r="H958" s="27" t="n"/>
    </row>
    <row r="959" ht="17.25" customHeight="1" s="322">
      <c r="A959" s="27" t="n"/>
      <c r="B959" s="506" t="n"/>
      <c r="C959" s="141" t="n"/>
      <c r="D959" s="141" t="n"/>
      <c r="E959" s="141" t="n"/>
      <c r="F959" s="141" t="n"/>
      <c r="G959" s="143" t="n"/>
      <c r="H959" s="27" t="n"/>
    </row>
    <row r="960" ht="17.25" customHeight="1" s="322">
      <c r="A960" s="27" t="n"/>
      <c r="B960" s="506" t="n"/>
      <c r="C960" s="141" t="n"/>
      <c r="D960" s="141" t="n"/>
      <c r="E960" s="141" t="n"/>
      <c r="F960" s="141" t="n"/>
      <c r="G960" s="143" t="n"/>
      <c r="H960" s="27" t="n"/>
    </row>
    <row r="961" ht="17.25" customHeight="1" s="322">
      <c r="A961" s="27" t="n"/>
      <c r="B961" s="506" t="n"/>
      <c r="C961" s="141" t="n"/>
      <c r="D961" s="141" t="n"/>
      <c r="E961" s="141" t="n"/>
      <c r="F961" s="141" t="n"/>
      <c r="G961" s="143" t="n"/>
      <c r="H961" s="27" t="n"/>
    </row>
    <row r="962" ht="17.25" customHeight="1" s="322">
      <c r="A962" s="27" t="n"/>
      <c r="B962" s="506" t="n"/>
      <c r="C962" s="141" t="n"/>
      <c r="D962" s="141" t="n"/>
      <c r="E962" s="141" t="n"/>
      <c r="F962" s="141" t="n"/>
      <c r="G962" s="143" t="n"/>
      <c r="H962" s="27" t="n"/>
    </row>
    <row r="963" ht="17.25" customHeight="1" s="322">
      <c r="A963" s="27" t="n"/>
      <c r="B963" s="506" t="n"/>
      <c r="C963" s="141" t="n"/>
      <c r="D963" s="141" t="n"/>
      <c r="E963" s="141" t="n"/>
      <c r="F963" s="141" t="n"/>
      <c r="G963" s="143" t="n"/>
      <c r="H963" s="27" t="n"/>
    </row>
    <row r="964" ht="17.25" customHeight="1" s="322">
      <c r="A964" s="27" t="n"/>
      <c r="B964" s="506" t="n"/>
      <c r="C964" s="141" t="n"/>
      <c r="D964" s="141" t="n"/>
      <c r="E964" s="141" t="n"/>
      <c r="F964" s="141" t="n"/>
      <c r="G964" s="143" t="n"/>
      <c r="H964" s="27" t="n"/>
    </row>
    <row r="965" ht="17.25" customHeight="1" s="322">
      <c r="A965" s="27" t="n"/>
      <c r="B965" s="506" t="n"/>
      <c r="C965" s="141" t="n"/>
      <c r="D965" s="141" t="n"/>
      <c r="E965" s="141" t="n"/>
      <c r="F965" s="141" t="n"/>
      <c r="G965" s="143" t="n"/>
      <c r="H965" s="27" t="n"/>
    </row>
    <row r="966" ht="17.25" customHeight="1" s="322">
      <c r="A966" s="27" t="n"/>
      <c r="B966" s="506" t="n"/>
      <c r="C966" s="141" t="n"/>
      <c r="D966" s="141" t="n"/>
      <c r="E966" s="141" t="n"/>
      <c r="F966" s="141" t="n"/>
      <c r="G966" s="143" t="n"/>
      <c r="H966" s="27" t="n"/>
    </row>
    <row r="967" ht="17.25" customHeight="1" s="322">
      <c r="A967" s="27" t="n"/>
      <c r="B967" s="506" t="n"/>
      <c r="C967" s="141" t="n"/>
      <c r="D967" s="141" t="n"/>
      <c r="E967" s="141" t="n"/>
      <c r="F967" s="141" t="n"/>
      <c r="G967" s="143" t="n"/>
      <c r="H967" s="27" t="n"/>
    </row>
    <row r="968" ht="17.25" customHeight="1" s="322">
      <c r="A968" s="27" t="n"/>
      <c r="B968" s="506" t="n"/>
      <c r="C968" s="141" t="n"/>
      <c r="D968" s="141" t="n"/>
      <c r="E968" s="141" t="n"/>
      <c r="F968" s="141" t="n"/>
      <c r="G968" s="143" t="n"/>
      <c r="H968" s="27" t="n"/>
    </row>
    <row r="969" ht="17.25" customHeight="1" s="322">
      <c r="A969" s="27" t="n"/>
      <c r="B969" s="506" t="n"/>
      <c r="C969" s="141" t="n"/>
      <c r="D969" s="141" t="n"/>
      <c r="E969" s="141" t="n"/>
      <c r="F969" s="141" t="n"/>
      <c r="G969" s="143" t="n"/>
      <c r="H969" s="27" t="n"/>
    </row>
    <row r="970" ht="17.25" customHeight="1" s="322">
      <c r="A970" s="27" t="n"/>
      <c r="B970" s="506" t="n"/>
      <c r="C970" s="141" t="n"/>
      <c r="D970" s="141" t="n"/>
      <c r="E970" s="141" t="n"/>
      <c r="F970" s="141" t="n"/>
      <c r="G970" s="143" t="n"/>
      <c r="H970" s="27" t="n"/>
    </row>
    <row r="971" ht="17.25" customHeight="1" s="322">
      <c r="A971" s="27" t="n"/>
      <c r="B971" s="506" t="n"/>
      <c r="C971" s="141" t="n"/>
      <c r="D971" s="141" t="n"/>
      <c r="E971" s="141" t="n"/>
      <c r="F971" s="141" t="n"/>
      <c r="G971" s="143" t="n"/>
      <c r="H971" s="27" t="n"/>
    </row>
    <row r="972" ht="17.25" customHeight="1" s="322">
      <c r="A972" s="27" t="n"/>
      <c r="B972" s="506" t="n"/>
      <c r="C972" s="141" t="n"/>
      <c r="D972" s="141" t="n"/>
      <c r="E972" s="141" t="n"/>
      <c r="F972" s="141" t="n"/>
      <c r="G972" s="143" t="n"/>
      <c r="H972" s="27" t="n"/>
    </row>
    <row r="973" ht="17.25" customHeight="1" s="322">
      <c r="A973" s="27" t="n"/>
      <c r="B973" s="506" t="n"/>
      <c r="C973" s="141" t="n"/>
      <c r="D973" s="141" t="n"/>
      <c r="E973" s="141" t="n"/>
      <c r="F973" s="141" t="n"/>
      <c r="G973" s="143" t="n"/>
      <c r="H973" s="27" t="n"/>
    </row>
    <row r="974" ht="17.25" customHeight="1" s="322">
      <c r="A974" s="27" t="n"/>
      <c r="B974" s="506" t="n"/>
      <c r="C974" s="141" t="n"/>
      <c r="D974" s="141" t="n"/>
      <c r="E974" s="141" t="n"/>
      <c r="F974" s="141" t="n"/>
      <c r="G974" s="143" t="n"/>
      <c r="H974" s="27" t="n"/>
    </row>
    <row r="975" ht="17.25" customHeight="1" s="322">
      <c r="A975" s="27" t="n"/>
      <c r="B975" s="506" t="n"/>
      <c r="C975" s="141" t="n"/>
      <c r="D975" s="141" t="n"/>
      <c r="E975" s="141" t="n"/>
      <c r="F975" s="141" t="n"/>
      <c r="G975" s="143" t="n"/>
      <c r="H975" s="27" t="n"/>
    </row>
    <row r="976" ht="17.25" customHeight="1" s="322">
      <c r="A976" s="27" t="n"/>
      <c r="B976" s="506" t="n"/>
      <c r="C976" s="141" t="n"/>
      <c r="D976" s="141" t="n"/>
      <c r="E976" s="141" t="n"/>
      <c r="F976" s="141" t="n"/>
      <c r="G976" s="143" t="n"/>
      <c r="H976" s="27" t="n"/>
    </row>
    <row r="977" ht="17.25" customHeight="1" s="322">
      <c r="A977" s="27" t="n"/>
      <c r="B977" s="506" t="n"/>
      <c r="C977" s="141" t="n"/>
      <c r="D977" s="141" t="n"/>
      <c r="E977" s="141" t="n"/>
      <c r="F977" s="141" t="n"/>
      <c r="G977" s="143" t="n"/>
      <c r="H977" s="27" t="n"/>
    </row>
    <row r="978" ht="17.25" customHeight="1" s="322">
      <c r="A978" s="27" t="n"/>
      <c r="B978" s="506" t="n"/>
      <c r="C978" s="141" t="n"/>
      <c r="D978" s="141" t="n"/>
      <c r="E978" s="141" t="n"/>
      <c r="F978" s="141" t="n"/>
      <c r="G978" s="143" t="n"/>
      <c r="H978" s="27" t="n"/>
    </row>
    <row r="979" ht="17.25" customHeight="1" s="322">
      <c r="A979" s="27" t="n"/>
      <c r="B979" s="506" t="n"/>
      <c r="C979" s="141" t="n"/>
      <c r="D979" s="141" t="n"/>
      <c r="E979" s="141" t="n"/>
      <c r="F979" s="141" t="n"/>
      <c r="G979" s="143" t="n"/>
      <c r="H979" s="27" t="n"/>
    </row>
    <row r="980" ht="17.25" customHeight="1" s="322">
      <c r="A980" s="27" t="n"/>
      <c r="B980" s="506" t="n"/>
      <c r="C980" s="141" t="n"/>
      <c r="D980" s="141" t="n"/>
      <c r="E980" s="141" t="n"/>
      <c r="F980" s="141" t="n"/>
      <c r="G980" s="143" t="n"/>
      <c r="H980" s="27" t="n"/>
    </row>
    <row r="981" ht="17.25" customHeight="1" s="322">
      <c r="A981" s="27" t="n"/>
      <c r="B981" s="506" t="n"/>
      <c r="C981" s="141" t="n"/>
      <c r="D981" s="141" t="n"/>
      <c r="E981" s="141" t="n"/>
      <c r="F981" s="141" t="n"/>
      <c r="G981" s="143" t="n"/>
      <c r="H981" s="27" t="n"/>
    </row>
    <row r="982" ht="17.25" customHeight="1" s="322">
      <c r="A982" s="27" t="n"/>
      <c r="B982" s="506" t="n"/>
      <c r="C982" s="141" t="n"/>
      <c r="D982" s="141" t="n"/>
      <c r="E982" s="141" t="n"/>
      <c r="F982" s="141" t="n"/>
      <c r="G982" s="143" t="n"/>
      <c r="H982" s="27" t="n"/>
    </row>
    <row r="983" ht="17.25" customHeight="1" s="322">
      <c r="A983" s="27" t="n"/>
      <c r="B983" s="506" t="n"/>
      <c r="C983" s="141" t="n"/>
      <c r="D983" s="141" t="n"/>
      <c r="E983" s="141" t="n"/>
      <c r="F983" s="141" t="n"/>
      <c r="G983" s="143" t="n"/>
      <c r="H983" s="27" t="n"/>
    </row>
    <row r="984" ht="17.25" customHeight="1" s="322">
      <c r="A984" s="27" t="n"/>
      <c r="B984" s="506" t="n"/>
      <c r="C984" s="141" t="n"/>
      <c r="D984" s="141" t="n"/>
      <c r="E984" s="141" t="n"/>
      <c r="F984" s="141" t="n"/>
      <c r="G984" s="143" t="n"/>
      <c r="H984" s="27" t="n"/>
    </row>
    <row r="985" ht="17.25" customHeight="1" s="322">
      <c r="A985" s="27" t="n"/>
      <c r="B985" s="506" t="n"/>
      <c r="C985" s="141" t="n"/>
      <c r="D985" s="141" t="n"/>
      <c r="E985" s="141" t="n"/>
      <c r="F985" s="141" t="n"/>
      <c r="G985" s="143" t="n"/>
      <c r="H985" s="27" t="n"/>
    </row>
    <row r="986" ht="17.25" customHeight="1" s="322">
      <c r="A986" s="27" t="n"/>
      <c r="B986" s="506" t="n"/>
      <c r="C986" s="141" t="n"/>
      <c r="D986" s="141" t="n"/>
      <c r="E986" s="141" t="n"/>
      <c r="F986" s="141" t="n"/>
      <c r="G986" s="143" t="n"/>
      <c r="H986" s="27" t="n"/>
    </row>
    <row r="987" ht="17.25" customHeight="1" s="322">
      <c r="A987" s="27" t="n"/>
      <c r="B987" s="506" t="n"/>
      <c r="C987" s="141" t="n"/>
      <c r="D987" s="141" t="n"/>
      <c r="E987" s="141" t="n"/>
      <c r="F987" s="141" t="n"/>
      <c r="G987" s="143" t="n"/>
      <c r="H987" s="27" t="n"/>
    </row>
    <row r="988" ht="17.25" customHeight="1" s="322">
      <c r="A988" s="27" t="n"/>
      <c r="B988" s="506" t="n"/>
      <c r="C988" s="141" t="n"/>
      <c r="D988" s="141" t="n"/>
      <c r="E988" s="141" t="n"/>
      <c r="F988" s="141" t="n"/>
      <c r="G988" s="143" t="n"/>
      <c r="H988" s="27" t="n"/>
    </row>
    <row r="989" ht="17.25" customHeight="1" s="322">
      <c r="A989" s="27" t="n"/>
      <c r="B989" s="506" t="n"/>
      <c r="C989" s="141" t="n"/>
      <c r="D989" s="141" t="n"/>
      <c r="E989" s="141" t="n"/>
      <c r="F989" s="141" t="n"/>
      <c r="G989" s="143" t="n"/>
      <c r="H989" s="27" t="n"/>
    </row>
    <row r="990" ht="17.25" customHeight="1" s="322">
      <c r="A990" s="27" t="n"/>
      <c r="B990" s="506" t="n"/>
      <c r="C990" s="141" t="n"/>
      <c r="D990" s="141" t="n"/>
      <c r="E990" s="141" t="n"/>
      <c r="F990" s="141" t="n"/>
      <c r="G990" s="143" t="n"/>
      <c r="H990" s="27" t="n"/>
    </row>
    <row r="991" ht="17.25" customHeight="1" s="322">
      <c r="A991" s="27" t="n"/>
      <c r="B991" s="506" t="n"/>
      <c r="C991" s="141" t="n"/>
      <c r="D991" s="141" t="n"/>
      <c r="E991" s="141" t="n"/>
      <c r="F991" s="141" t="n"/>
      <c r="G991" s="143" t="n"/>
      <c r="H991" s="27" t="n"/>
    </row>
    <row r="992" ht="17.25" customHeight="1" s="322">
      <c r="A992" s="27" t="n"/>
      <c r="B992" s="506" t="n"/>
      <c r="C992" s="141" t="n"/>
      <c r="D992" s="141" t="n"/>
      <c r="E992" s="141" t="n"/>
      <c r="F992" s="141" t="n"/>
      <c r="G992" s="143" t="n"/>
      <c r="H992" s="27" t="n"/>
    </row>
    <row r="993" ht="17.25" customHeight="1" s="322">
      <c r="A993" s="27" t="n"/>
      <c r="B993" s="506" t="n"/>
      <c r="C993" s="141" t="n"/>
      <c r="D993" s="141" t="n"/>
      <c r="E993" s="141" t="n"/>
      <c r="F993" s="141" t="n"/>
      <c r="G993" s="143" t="n"/>
      <c r="H993" s="27" t="n"/>
    </row>
    <row r="994" ht="17.25" customHeight="1" s="322">
      <c r="A994" s="27" t="n"/>
      <c r="B994" s="506" t="n"/>
      <c r="C994" s="141" t="n"/>
      <c r="D994" s="141" t="n"/>
      <c r="E994" s="141" t="n"/>
      <c r="F994" s="141" t="n"/>
      <c r="G994" s="143" t="n"/>
      <c r="H994" s="27" t="n"/>
    </row>
    <row r="995" ht="17.25" customHeight="1" s="322">
      <c r="A995" s="27" t="n"/>
      <c r="B995" s="506" t="n"/>
      <c r="C995" s="141" t="n"/>
      <c r="D995" s="141" t="n"/>
      <c r="E995" s="141" t="n"/>
      <c r="F995" s="141" t="n"/>
      <c r="G995" s="143" t="n"/>
      <c r="H995" s="27" t="n"/>
    </row>
    <row r="996" ht="17.25" customHeight="1" s="322">
      <c r="A996" s="27" t="n"/>
      <c r="B996" s="506" t="n"/>
      <c r="C996" s="141" t="n"/>
      <c r="D996" s="141" t="n"/>
      <c r="E996" s="141" t="n"/>
      <c r="F996" s="141" t="n"/>
      <c r="G996" s="143" t="n"/>
      <c r="H996" s="27" t="n"/>
    </row>
    <row r="997" ht="17.25" customHeight="1" s="322">
      <c r="A997" s="27" t="n"/>
      <c r="B997" s="506" t="n"/>
      <c r="C997" s="141" t="n"/>
      <c r="D997" s="141" t="n"/>
      <c r="E997" s="141" t="n"/>
      <c r="F997" s="141" t="n"/>
      <c r="G997" s="143" t="n"/>
      <c r="H997" s="27" t="n"/>
    </row>
    <row r="998" ht="17.25" customHeight="1" s="322">
      <c r="A998" s="27" t="n"/>
      <c r="B998" s="506" t="n"/>
      <c r="C998" s="141" t="n"/>
      <c r="D998" s="141" t="n"/>
      <c r="E998" s="141" t="n"/>
      <c r="F998" s="141" t="n"/>
      <c r="G998" s="143" t="n"/>
      <c r="H998" s="27" t="n"/>
    </row>
    <row r="999" ht="17.25" customHeight="1" s="322">
      <c r="A999" s="27" t="n"/>
      <c r="B999" s="506" t="n"/>
      <c r="C999" s="141" t="n"/>
      <c r="D999" s="141" t="n"/>
      <c r="E999" s="141" t="n"/>
      <c r="F999" s="141" t="n"/>
      <c r="G999" s="143" t="n"/>
      <c r="H999" s="27" t="n"/>
    </row>
    <row r="1000" ht="17.25" customHeight="1" s="322">
      <c r="A1000" s="27" t="n"/>
      <c r="B1000" s="506" t="n"/>
      <c r="C1000" s="141" t="n"/>
      <c r="D1000" s="141" t="n"/>
      <c r="E1000" s="141" t="n"/>
      <c r="F1000" s="141" t="n"/>
      <c r="G1000" s="143" t="n"/>
      <c r="H1000" s="27" t="n"/>
    </row>
  </sheetData>
  <mergeCells count="3">
    <mergeCell ref="B1:F2"/>
    <mergeCell ref="B7:G7"/>
    <mergeCell ref="B10:C10"/>
  </mergeCells>
  <conditionalFormatting sqref="D10:E10">
    <cfRule type="cellIs" priority="5" operator="lessThan" dxfId="5">
      <formula>0</formula>
    </cfRule>
    <cfRule type="cellIs" priority="6" operator="greaterThan" dxfId="4">
      <formula>0</formula>
    </cfRule>
  </conditionalFormatting>
  <conditionalFormatting sqref="F28:F1000">
    <cfRule type="expression" priority="1" dxfId="3">
      <formula>AND(F28=MAX(F$28:F$1000),F28&gt;0)</formula>
    </cfRule>
    <cfRule type="expression" priority="2" dxfId="2">
      <formula>AND(F28=MIN(F$28:F$1000),F28&gt;0)</formula>
    </cfRule>
  </conditionalFormatting>
  <conditionalFormatting sqref="F29:F1000">
    <cfRule type="expression" priority="3" dxfId="1">
      <formula>F29&gt;F27</formula>
    </cfRule>
    <cfRule type="expression" priority="4" dxfId="0">
      <formula>F29&lt;F27</formula>
    </cfRule>
  </conditionalFormatting>
  <conditionalFormatting sqref="G15">
    <cfRule type="colorScale" priority="7">
      <colorScale>
        <cfvo type="min"/>
        <cfvo type="max"/>
        <color rgb="FF57BB8A"/>
        <color rgb="FFFFFFFF"/>
      </colorScale>
    </cfRule>
  </conditionalFormatting>
  <dataValidations count="1">
    <dataValidation sqref="G15" showDropDown="0" showInputMessage="1" showErrorMessage="1" allowBlank="1" prompt="Click and enter a value from the list of items" type="list">
      <formula1>"1 Month,3 Months,6 Months,12 Months,36 Months"</formula1>
    </dataValidation>
  </dataValidations>
  <hyperlinks>
    <hyperlink xmlns:r="http://schemas.openxmlformats.org/officeDocument/2006/relationships" ref="B1" r:id="rId1"/>
    <hyperlink xmlns:r="http://schemas.openxmlformats.org/officeDocument/2006/relationships" ref="G2" r:id="rId2"/>
  </hyperlinks>
  <pageMargins left="0.7" right="0.7" top="0.75" bottom="0.75" header="0.3" footer="0.3"/>
  <drawing xmlns:r="http://schemas.openxmlformats.org/officeDocument/2006/relationships" r:id="rId3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H1000"/>
  <sheetViews>
    <sheetView showGridLines="0" workbookViewId="0">
      <selection activeCell="A1" sqref="A1"/>
    </sheetView>
  </sheetViews>
  <sheetFormatPr baseColWidth="8" defaultColWidth="12.5703125" defaultRowHeight="15.75" customHeight="1"/>
  <cols>
    <col width="5.42578125" customWidth="1" style="322" min="1" max="1"/>
    <col width="15.7109375" customWidth="1" style="322" min="2" max="2"/>
    <col width="5.42578125" customWidth="1" style="322" min="8" max="8"/>
  </cols>
  <sheetData>
    <row r="1" ht="22.5" customHeight="1" s="322">
      <c r="A1" s="69" t="n"/>
      <c r="B1" s="455" t="inlineStr">
        <is>
          <t>← 관심종목으로 돌아가기</t>
        </is>
      </c>
      <c r="G1" s="72" t="inlineStr">
        <is>
          <t>제공:</t>
        </is>
      </c>
      <c r="H1" s="69" t="n"/>
    </row>
    <row r="2" ht="22.5" customHeight="1" s="322">
      <c r="A2" s="69" t="n"/>
      <c r="G2" s="77" t="inlineStr">
        <is>
          <t>Google Finance</t>
        </is>
      </c>
      <c r="H2" s="69" t="n"/>
    </row>
    <row r="3" ht="11.25" customHeight="1" s="322">
      <c r="A3" s="1" t="n"/>
      <c r="B3" s="1" t="n"/>
      <c r="C3" s="1" t="n"/>
      <c r="D3" s="1" t="n"/>
      <c r="E3" s="1" t="n"/>
      <c r="F3" s="1" t="n"/>
      <c r="G3" s="1" t="n"/>
      <c r="H3" s="1" t="n"/>
    </row>
    <row r="4" ht="15.75" customHeight="1" s="322">
      <c r="A4" s="1" t="n"/>
      <c r="B4" s="80" t="inlineStr">
        <is>
          <t>AGG</t>
        </is>
      </c>
      <c r="C4" s="81" t="inlineStr">
        <is>
          <t>&lt;&lt; 종목코드 입력</t>
        </is>
      </c>
      <c r="D4" s="1" t="n"/>
      <c r="E4" s="1" t="n"/>
      <c r="F4" s="1" t="n"/>
      <c r="G4" s="1" t="n"/>
      <c r="H4" s="1" t="n"/>
    </row>
    <row r="5" ht="15.75" customHeight="1" s="322">
      <c r="A5" s="1" t="n"/>
      <c r="B5" s="82" t="n"/>
      <c r="C5" s="81" t="inlineStr">
        <is>
          <t>&lt;&lt; 필요한 경우 거래소 입력(예: NASDAQ, NYSE)</t>
        </is>
      </c>
      <c r="D5" s="85" t="n"/>
      <c r="E5" s="1" t="n"/>
      <c r="F5" s="1" t="n"/>
      <c r="G5" s="1" t="n"/>
      <c r="H5" s="1" t="n"/>
    </row>
    <row r="6" ht="11.25" customHeight="1" s="322">
      <c r="A6" s="27" t="n"/>
      <c r="B6" s="27" t="n"/>
      <c r="C6" s="27" t="n"/>
      <c r="D6" s="27" t="n"/>
      <c r="E6" s="27" t="n"/>
      <c r="F6" s="27" t="n"/>
      <c r="G6" s="27" t="n"/>
      <c r="H6" s="27" t="n"/>
    </row>
    <row r="7" ht="20.25" customHeight="1" s="322">
      <c r="A7" s="12" t="n"/>
      <c r="B7" s="501">
        <f>IFERROR(__xludf.DUMMYFUNCTION("GOOGLEFINANCE(B18,""name"")"),"iShares Core US Aggregate Bond ETF")</f>
        <v/>
      </c>
      <c r="H7" s="12" t="n"/>
    </row>
    <row r="8" ht="11.25" customHeight="1" s="322">
      <c r="A8" s="12" t="n"/>
      <c r="B8" s="12" t="n"/>
      <c r="C8" s="12" t="n"/>
      <c r="D8" s="12" t="n"/>
      <c r="E8" s="12" t="n"/>
      <c r="F8" s="12" t="n"/>
      <c r="G8" s="12" t="n"/>
      <c r="H8" s="12" t="n"/>
    </row>
    <row r="9" ht="12" customHeight="1" s="322">
      <c r="A9" s="1" t="n"/>
      <c r="B9" s="90" t="inlineStr">
        <is>
          <t>현재가</t>
        </is>
      </c>
      <c r="C9" s="1" t="n"/>
      <c r="D9" s="90" t="inlineStr">
        <is>
          <t>전일대비</t>
        </is>
      </c>
      <c r="E9" s="90" t="inlineStr">
        <is>
          <t>등락률(%)</t>
        </is>
      </c>
      <c r="F9" s="1" t="n"/>
      <c r="G9" s="1" t="n"/>
      <c r="H9" s="1" t="n"/>
    </row>
    <row r="10" ht="31.5" customHeight="1" s="322">
      <c r="A10" s="12" t="n"/>
      <c r="B10" s="502">
        <f>IFERROR(__xludf.DUMMYFUNCTION("GOOGLEFINANCE(B18,""price"")"),97.55)</f>
        <v/>
      </c>
      <c r="D10" s="503">
        <f>IFERROR(__xludf.DUMMYFUNCTION("IFERROR(GOOGLEFINANCE(B18,""change""),""-"")"),-0.37)</f>
        <v/>
      </c>
      <c r="E10" s="504">
        <f>IFERROR(__xludf.DUMMYFUNCTION("IFERROR(GOOGLEFINANCE(B18,""changepct"")/100,""-"")"),-0.0038)</f>
        <v/>
      </c>
      <c r="F10" s="12" t="n"/>
      <c r="G10" s="12" t="n"/>
      <c r="H10" s="12" t="n"/>
    </row>
    <row r="11" ht="11.25" customHeight="1" s="322">
      <c r="A11" s="12" t="n"/>
      <c r="B11" s="106" t="n"/>
      <c r="C11" s="106" t="n"/>
      <c r="D11" s="106" t="n"/>
      <c r="E11" s="106" t="n"/>
      <c r="F11" s="106" t="n"/>
      <c r="G11" s="106" t="n"/>
      <c r="H11" s="12" t="n"/>
    </row>
    <row r="12" ht="11.25" customHeight="1" s="322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 ht="12" customHeight="1" s="322">
      <c r="A13" s="1" t="n"/>
      <c r="B13" s="90" t="inlineStr">
        <is>
          <t>시가총액</t>
        </is>
      </c>
      <c r="C13" s="90" t="inlineStr">
        <is>
          <t>PER</t>
        </is>
      </c>
      <c r="D13" s="90" t="inlineStr">
        <is>
          <t>베타계수</t>
        </is>
      </c>
      <c r="E13" s="1" t="n"/>
      <c r="F13" s="1" t="n"/>
      <c r="G13" s="1" t="n"/>
      <c r="H13" s="1" t="n"/>
    </row>
    <row r="14">
      <c r="A14" s="113" t="n"/>
      <c r="B14" s="505">
        <f>IFERROR(__xludf.DUMMYFUNCTION("IFERROR(GOOGLEFINANCE(B18,""marketcap""),""-"")"),57564256800)</f>
        <v/>
      </c>
      <c r="C14" s="115">
        <f>IFERROR(__xludf.DUMMYFUNCTION("IFERROR(GOOGLEFINANCE(B18,""pe""),""-"")"),"-")</f>
        <v/>
      </c>
      <c r="D14" s="115">
        <f>IFERROR(__xludf.DUMMYFUNCTION("IFERROR(GOOGLEFINANCE(B18,""beta""),""-"")"),"-")</f>
        <v/>
      </c>
      <c r="E14" s="113" t="n"/>
      <c r="F14" s="113" t="n"/>
      <c r="G14" s="113" t="n"/>
      <c r="H14" s="113" t="n"/>
    </row>
    <row r="15" ht="15.75" customHeight="1" s="322">
      <c r="A15" s="12" t="n"/>
      <c r="B15" s="12" t="n"/>
      <c r="C15" s="12" t="n"/>
      <c r="D15" s="12" t="n"/>
      <c r="E15" s="12" t="n"/>
      <c r="F15" s="12" t="n"/>
      <c r="G15" s="123" t="inlineStr">
        <is>
          <t>12 Months</t>
        </is>
      </c>
      <c r="H15" s="12" t="n"/>
    </row>
    <row r="16" ht="15.75" customHeight="1" s="322">
      <c r="A16" s="12" t="n"/>
      <c r="B16" s="12" t="n"/>
      <c r="C16" s="12" t="n"/>
      <c r="D16" s="12" t="n"/>
      <c r="E16" s="12" t="n"/>
      <c r="F16" s="12" t="n"/>
      <c r="G16" s="12" t="n"/>
      <c r="H16" s="12" t="n"/>
    </row>
    <row r="17" ht="15.75" customHeight="1" s="322">
      <c r="A17" s="12" t="n"/>
      <c r="B17" s="12" t="n"/>
      <c r="C17" s="12" t="n"/>
      <c r="D17" s="12" t="n"/>
      <c r="E17" s="12" t="n"/>
      <c r="F17" s="12" t="n"/>
      <c r="G17" s="12" t="n"/>
      <c r="H17" s="12" t="n"/>
    </row>
    <row r="18" ht="15.75" customHeight="1" s="322">
      <c r="A18" s="12" t="n"/>
      <c r="B18" s="127">
        <f>IF(ISBLANK(B5),"",B5&amp;":")&amp;B4</f>
        <v/>
      </c>
      <c r="C18" s="12" t="n"/>
      <c r="D18" s="12" t="n"/>
      <c r="E18" s="12" t="n"/>
      <c r="F18" s="12" t="n"/>
      <c r="G18" s="12" t="n"/>
      <c r="H18" s="12" t="n"/>
    </row>
    <row r="19" ht="15.75" customHeight="1" s="322">
      <c r="A19" s="12" t="n"/>
      <c r="B19" s="12" t="n"/>
      <c r="C19" s="12" t="n"/>
      <c r="D19" s="12" t="n"/>
      <c r="E19" s="12" t="n"/>
      <c r="F19" s="12" t="n"/>
      <c r="G19" s="12" t="n"/>
      <c r="H19" s="12" t="n"/>
    </row>
    <row r="20" ht="15.75" customHeight="1" s="322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1" ht="15.75" customHeight="1" s="322">
      <c r="A21" s="12" t="n"/>
      <c r="B21" s="12" t="n"/>
      <c r="C21" s="12" t="n"/>
      <c r="D21" s="12" t="n"/>
      <c r="E21" s="12" t="n"/>
      <c r="F21" s="12" t="n"/>
      <c r="G21" s="12" t="n"/>
      <c r="H21" s="12" t="n"/>
    </row>
    <row r="22" ht="15.75" customHeight="1" s="322">
      <c r="A22" s="12" t="n"/>
      <c r="B22" s="12" t="n"/>
      <c r="C22" s="12" t="n"/>
      <c r="D22" s="12" t="n"/>
      <c r="E22" s="12" t="n"/>
      <c r="F22" s="12" t="n"/>
      <c r="G22" s="12" t="n"/>
      <c r="H22" s="12" t="n"/>
    </row>
    <row r="23" ht="15.75" customHeight="1" s="322">
      <c r="A23" s="12" t="n"/>
      <c r="B23" s="12" t="n"/>
      <c r="C23" s="12" t="n"/>
      <c r="D23" s="12" t="n"/>
      <c r="E23" s="12" t="n"/>
      <c r="F23" s="12" t="n"/>
      <c r="G23" s="12" t="n"/>
      <c r="H23" s="12" t="n"/>
    </row>
    <row r="24" ht="15.75" customHeight="1" s="322">
      <c r="A24" s="12" t="n"/>
      <c r="B24" s="12" t="n"/>
      <c r="C24" s="12" t="n"/>
      <c r="D24" s="12" t="n"/>
      <c r="E24" s="12" t="n"/>
      <c r="F24" s="12" t="n"/>
      <c r="G24" s="12" t="n"/>
      <c r="H24" s="12" t="n"/>
    </row>
    <row r="25" ht="15.75" customHeight="1" s="322">
      <c r="A25" s="12" t="n"/>
      <c r="B25" s="12" t="n"/>
      <c r="C25" s="12" t="n"/>
      <c r="D25" s="12" t="n"/>
      <c r="E25" s="12" t="n"/>
      <c r="F25" s="12" t="n"/>
      <c r="G25" s="12" t="n"/>
      <c r="H25" s="12" t="n"/>
    </row>
    <row r="26" ht="15.75" customHeight="1" s="322">
      <c r="A26" s="12" t="n"/>
      <c r="B26" s="12" t="n"/>
      <c r="C26" s="12" t="n"/>
      <c r="D26" s="12" t="n"/>
      <c r="E26" s="12" t="n"/>
      <c r="F26" s="12" t="n"/>
      <c r="G26" s="12" t="n"/>
      <c r="H26" s="12" t="n"/>
    </row>
    <row r="27" ht="15.75" customHeight="1" s="322">
      <c r="A27" s="133" t="n"/>
      <c r="B27" s="136">
        <f>IFERROR(__xludf.DUMMYFUNCTION("GOOGLEFINANCE(B18, ""all"", EDATE(TODAY(), -LEFT(G15, FIND("" "", G15))), TODAY(), ""DAILY"")"),"Date")</f>
        <v/>
      </c>
      <c r="C27" s="137">
        <f>IFERROR(__xludf.DUMMYFUNCTION("""COMPUTED_VALUE"""),"Open")</f>
        <v/>
      </c>
      <c r="D27" s="137">
        <f>IFERROR(__xludf.DUMMYFUNCTION("""COMPUTED_VALUE"""),"High")</f>
        <v/>
      </c>
      <c r="E27" s="137">
        <f>IFERROR(__xludf.DUMMYFUNCTION("""COMPUTED_VALUE"""),"Low")</f>
        <v/>
      </c>
      <c r="F27" s="137">
        <f>IFERROR(__xludf.DUMMYFUNCTION("""COMPUTED_VALUE"""),"Close")</f>
        <v/>
      </c>
      <c r="G27" s="137">
        <f>IFERROR(__xludf.DUMMYFUNCTION("""COMPUTED_VALUE"""),"Volume")</f>
        <v/>
      </c>
      <c r="H27" s="133" t="n"/>
    </row>
    <row r="28" ht="17.25" customHeight="1" s="322">
      <c r="A28" s="27" t="n"/>
      <c r="B28" s="506">
        <f>IFERROR(__xludf.DUMMYFUNCTION("""COMPUTED_VALUE"""),45868.6666666666)</f>
        <v/>
      </c>
      <c r="C28" s="141">
        <f>IFERROR(__xludf.DUMMYFUNCTION("""COMPUTED_VALUE"""),98.67)</f>
        <v/>
      </c>
      <c r="D28" s="141">
        <f>IFERROR(__xludf.DUMMYFUNCTION("""COMPUTED_VALUE"""),98.82)</f>
        <v/>
      </c>
      <c r="E28" s="141">
        <f>IFERROR(__xludf.DUMMYFUNCTION("""COMPUTED_VALUE"""),98.52)</f>
        <v/>
      </c>
      <c r="F28" s="141">
        <f>IFERROR(__xludf.DUMMYFUNCTION("""COMPUTED_VALUE"""),98.57)</f>
        <v/>
      </c>
      <c r="G28" s="143">
        <f>IFERROR(__xludf.DUMMYFUNCTION("""COMPUTED_VALUE"""),8305360)</f>
        <v/>
      </c>
      <c r="H28" s="27" t="n"/>
    </row>
    <row r="29" ht="17.25" customHeight="1" s="322">
      <c r="A29" s="27" t="n"/>
      <c r="B29" s="506">
        <f>IFERROR(__xludf.DUMMYFUNCTION("""COMPUTED_VALUE"""),45869.6666666666)</f>
        <v/>
      </c>
      <c r="C29" s="141">
        <f>IFERROR(__xludf.DUMMYFUNCTION("""COMPUTED_VALUE"""),98.72)</f>
        <v/>
      </c>
      <c r="D29" s="141">
        <f>IFERROR(__xludf.DUMMYFUNCTION("""COMPUTED_VALUE"""),98.83)</f>
        <v/>
      </c>
      <c r="E29" s="141">
        <f>IFERROR(__xludf.DUMMYFUNCTION("""COMPUTED_VALUE"""),98.57)</f>
        <v/>
      </c>
      <c r="F29" s="141">
        <f>IFERROR(__xludf.DUMMYFUNCTION("""COMPUTED_VALUE"""),98.62)</f>
        <v/>
      </c>
      <c r="G29" s="143">
        <f>IFERROR(__xludf.DUMMYFUNCTION("""COMPUTED_VALUE"""),19774718)</f>
        <v/>
      </c>
      <c r="H29" s="27" t="n"/>
    </row>
    <row r="30" ht="17.25" customHeight="1" s="322">
      <c r="A30" s="27" t="n"/>
      <c r="B30" s="506">
        <f>IFERROR(__xludf.DUMMYFUNCTION("""COMPUTED_VALUE"""),45870.6666666666)</f>
        <v/>
      </c>
      <c r="C30" s="141">
        <f>IFERROR(__xludf.DUMMYFUNCTION("""COMPUTED_VALUE"""),98.87)</f>
        <v/>
      </c>
      <c r="D30" s="141">
        <f>IFERROR(__xludf.DUMMYFUNCTION("""COMPUTED_VALUE"""),99.16)</f>
        <v/>
      </c>
      <c r="E30" s="141">
        <f>IFERROR(__xludf.DUMMYFUNCTION("""COMPUTED_VALUE"""),98.85)</f>
        <v/>
      </c>
      <c r="F30" s="141">
        <f>IFERROR(__xludf.DUMMYFUNCTION("""COMPUTED_VALUE"""),99.14)</f>
        <v/>
      </c>
      <c r="G30" s="143">
        <f>IFERROR(__xludf.DUMMYFUNCTION("""COMPUTED_VALUE"""),12416285)</f>
        <v/>
      </c>
      <c r="H30" s="27" t="n"/>
    </row>
    <row r="31" ht="17.25" customHeight="1" s="322">
      <c r="A31" s="27" t="n"/>
      <c r="B31" s="506">
        <f>IFERROR(__xludf.DUMMYFUNCTION("""COMPUTED_VALUE"""),45873.6666666666)</f>
        <v/>
      </c>
      <c r="C31" s="141">
        <f>IFERROR(__xludf.DUMMYFUNCTION("""COMPUTED_VALUE"""),99.16)</f>
        <v/>
      </c>
      <c r="D31" s="141">
        <f>IFERROR(__xludf.DUMMYFUNCTION("""COMPUTED_VALUE"""),99.24)</f>
        <v/>
      </c>
      <c r="E31" s="141">
        <f>IFERROR(__xludf.DUMMYFUNCTION("""COMPUTED_VALUE"""),99.03)</f>
        <v/>
      </c>
      <c r="F31" s="141">
        <f>IFERROR(__xludf.DUMMYFUNCTION("""COMPUTED_VALUE"""),99.22)</f>
        <v/>
      </c>
      <c r="G31" s="143">
        <f>IFERROR(__xludf.DUMMYFUNCTION("""COMPUTED_VALUE"""),6717955)</f>
        <v/>
      </c>
      <c r="H31" s="27" t="n"/>
    </row>
    <row r="32" ht="17.25" customHeight="1" s="322">
      <c r="A32" s="27" t="n"/>
      <c r="B32" s="506">
        <f>IFERROR(__xludf.DUMMYFUNCTION("""COMPUTED_VALUE"""),45874.6666666666)</f>
        <v/>
      </c>
      <c r="C32" s="141">
        <f>IFERROR(__xludf.DUMMYFUNCTION("""COMPUTED_VALUE"""),99.13)</f>
        <v/>
      </c>
      <c r="D32" s="141">
        <f>IFERROR(__xludf.DUMMYFUNCTION("""COMPUTED_VALUE"""),99.31)</f>
        <v/>
      </c>
      <c r="E32" s="141">
        <f>IFERROR(__xludf.DUMMYFUNCTION("""COMPUTED_VALUE"""),99.11)</f>
        <v/>
      </c>
      <c r="F32" s="141">
        <f>IFERROR(__xludf.DUMMYFUNCTION("""COMPUTED_VALUE"""),99.25)</f>
        <v/>
      </c>
      <c r="G32" s="143">
        <f>IFERROR(__xludf.DUMMYFUNCTION("""COMPUTED_VALUE"""),9092372)</f>
        <v/>
      </c>
      <c r="H32" s="27" t="n"/>
    </row>
    <row r="33" ht="17.25" customHeight="1" s="322">
      <c r="A33" s="27" t="n"/>
      <c r="B33" s="506">
        <f>IFERROR(__xludf.DUMMYFUNCTION("""COMPUTED_VALUE"""),45875.6666666666)</f>
        <v/>
      </c>
      <c r="C33" s="141">
        <f>IFERROR(__xludf.DUMMYFUNCTION("""COMPUTED_VALUE"""),99.14)</f>
        <v/>
      </c>
      <c r="D33" s="141">
        <f>IFERROR(__xludf.DUMMYFUNCTION("""COMPUTED_VALUE"""),99.29)</f>
        <v/>
      </c>
      <c r="E33" s="141">
        <f>IFERROR(__xludf.DUMMYFUNCTION("""COMPUTED_VALUE"""),98.84)</f>
        <v/>
      </c>
      <c r="F33" s="141">
        <f>IFERROR(__xludf.DUMMYFUNCTION("""COMPUTED_VALUE"""),99.21)</f>
        <v/>
      </c>
      <c r="G33" s="143">
        <f>IFERROR(__xludf.DUMMYFUNCTION("""COMPUTED_VALUE"""),8102718)</f>
        <v/>
      </c>
      <c r="H33" s="27" t="n"/>
    </row>
    <row r="34" ht="17.25" customHeight="1" s="322">
      <c r="A34" s="27" t="n"/>
      <c r="B34" s="506">
        <f>IFERROR(__xludf.DUMMYFUNCTION("""COMPUTED_VALUE"""),45876.6666666666)</f>
        <v/>
      </c>
      <c r="C34" s="141">
        <f>IFERROR(__xludf.DUMMYFUNCTION("""COMPUTED_VALUE"""),99.23)</f>
        <v/>
      </c>
      <c r="D34" s="141">
        <f>IFERROR(__xludf.DUMMYFUNCTION("""COMPUTED_VALUE"""),99.32)</f>
        <v/>
      </c>
      <c r="E34" s="141">
        <f>IFERROR(__xludf.DUMMYFUNCTION("""COMPUTED_VALUE"""),99.09)</f>
        <v/>
      </c>
      <c r="F34" s="141">
        <f>IFERROR(__xludf.DUMMYFUNCTION("""COMPUTED_VALUE"""),99.13)</f>
        <v/>
      </c>
      <c r="G34" s="143">
        <f>IFERROR(__xludf.DUMMYFUNCTION("""COMPUTED_VALUE"""),7869348)</f>
        <v/>
      </c>
      <c r="H34" s="27" t="n"/>
    </row>
    <row r="35" ht="17.25" customHeight="1" s="322">
      <c r="A35" s="27" t="n"/>
      <c r="B35" s="506">
        <f>IFERROR(__xludf.DUMMYFUNCTION("""COMPUTED_VALUE"""),45877.6666666666)</f>
        <v/>
      </c>
      <c r="C35" s="141">
        <f>IFERROR(__xludf.DUMMYFUNCTION("""COMPUTED_VALUE"""),99)</f>
        <v/>
      </c>
      <c r="D35" s="141">
        <f>IFERROR(__xludf.DUMMYFUNCTION("""COMPUTED_VALUE"""),99.12)</f>
        <v/>
      </c>
      <c r="E35" s="141">
        <f>IFERROR(__xludf.DUMMYFUNCTION("""COMPUTED_VALUE"""),98.89)</f>
        <v/>
      </c>
      <c r="F35" s="141">
        <f>IFERROR(__xludf.DUMMYFUNCTION("""COMPUTED_VALUE"""),98.94)</f>
        <v/>
      </c>
      <c r="G35" s="143">
        <f>IFERROR(__xludf.DUMMYFUNCTION("""COMPUTED_VALUE"""),8238131)</f>
        <v/>
      </c>
      <c r="H35" s="27" t="n"/>
    </row>
    <row r="36" ht="17.25" customHeight="1" s="322">
      <c r="A36" s="27" t="n"/>
      <c r="B36" s="506">
        <f>IFERROR(__xludf.DUMMYFUNCTION("""COMPUTED_VALUE"""),45880.6666666666)</f>
        <v/>
      </c>
      <c r="C36" s="141">
        <f>IFERROR(__xludf.DUMMYFUNCTION("""COMPUTED_VALUE"""),99.01)</f>
        <v/>
      </c>
      <c r="D36" s="141">
        <f>IFERROR(__xludf.DUMMYFUNCTION("""COMPUTED_VALUE"""),99.12)</f>
        <v/>
      </c>
      <c r="E36" s="141">
        <f>IFERROR(__xludf.DUMMYFUNCTION("""COMPUTED_VALUE"""),98.94)</f>
        <v/>
      </c>
      <c r="F36" s="141">
        <f>IFERROR(__xludf.DUMMYFUNCTION("""COMPUTED_VALUE"""),99.01)</f>
        <v/>
      </c>
      <c r="G36" s="143">
        <f>IFERROR(__xludf.DUMMYFUNCTION("""COMPUTED_VALUE"""),9698278)</f>
        <v/>
      </c>
      <c r="H36" s="27" t="n"/>
    </row>
    <row r="37" ht="17.25" customHeight="1" s="322">
      <c r="A37" s="27" t="n"/>
      <c r="B37" s="506">
        <f>IFERROR(__xludf.DUMMYFUNCTION("""COMPUTED_VALUE"""),45881.6666666666)</f>
        <v/>
      </c>
      <c r="C37" s="141">
        <f>IFERROR(__xludf.DUMMYFUNCTION("""COMPUTED_VALUE"""),98.91)</f>
        <v/>
      </c>
      <c r="D37" s="141">
        <f>IFERROR(__xludf.DUMMYFUNCTION("""COMPUTED_VALUE"""),99.01)</f>
        <v/>
      </c>
      <c r="E37" s="141">
        <f>IFERROR(__xludf.DUMMYFUNCTION("""COMPUTED_VALUE"""),98.8)</f>
        <v/>
      </c>
      <c r="F37" s="141">
        <f>IFERROR(__xludf.DUMMYFUNCTION("""COMPUTED_VALUE"""),99.01)</f>
        <v/>
      </c>
      <c r="G37" s="143">
        <f>IFERROR(__xludf.DUMMYFUNCTION("""COMPUTED_VALUE"""),12239542)</f>
        <v/>
      </c>
      <c r="H37" s="27" t="n"/>
    </row>
    <row r="38" ht="17.25" customHeight="1" s="322">
      <c r="A38" s="27" t="n"/>
      <c r="B38" s="506">
        <f>IFERROR(__xludf.DUMMYFUNCTION("""COMPUTED_VALUE"""),45882.6666666666)</f>
        <v/>
      </c>
      <c r="C38" s="141">
        <f>IFERROR(__xludf.DUMMYFUNCTION("""COMPUTED_VALUE"""),99.28)</f>
        <v/>
      </c>
      <c r="D38" s="141">
        <f>IFERROR(__xludf.DUMMYFUNCTION("""COMPUTED_VALUE"""),99.41)</f>
        <v/>
      </c>
      <c r="E38" s="141">
        <f>IFERROR(__xludf.DUMMYFUNCTION("""COMPUTED_VALUE"""),99.26)</f>
        <v/>
      </c>
      <c r="F38" s="141">
        <f>IFERROR(__xludf.DUMMYFUNCTION("""COMPUTED_VALUE"""),99.37)</f>
        <v/>
      </c>
      <c r="G38" s="143">
        <f>IFERROR(__xludf.DUMMYFUNCTION("""COMPUTED_VALUE"""),5386916)</f>
        <v/>
      </c>
      <c r="H38" s="27" t="n"/>
    </row>
    <row r="39" ht="17.25" customHeight="1" s="322">
      <c r="A39" s="27" t="n"/>
      <c r="B39" s="506">
        <f>IFERROR(__xludf.DUMMYFUNCTION("""COMPUTED_VALUE"""),45883.6666666666)</f>
        <v/>
      </c>
      <c r="C39" s="141">
        <f>IFERROR(__xludf.DUMMYFUNCTION("""COMPUTED_VALUE"""),99.18)</f>
        <v/>
      </c>
      <c r="D39" s="141">
        <f>IFERROR(__xludf.DUMMYFUNCTION("""COMPUTED_VALUE"""),99.27)</f>
        <v/>
      </c>
      <c r="E39" s="141">
        <f>IFERROR(__xludf.DUMMYFUNCTION("""COMPUTED_VALUE"""),99.02)</f>
        <v/>
      </c>
      <c r="F39" s="141">
        <f>IFERROR(__xludf.DUMMYFUNCTION("""COMPUTED_VALUE"""),99.09)</f>
        <v/>
      </c>
      <c r="G39" s="143">
        <f>IFERROR(__xludf.DUMMYFUNCTION("""COMPUTED_VALUE"""),5208674)</f>
        <v/>
      </c>
      <c r="H39" s="27" t="n"/>
    </row>
    <row r="40" ht="17.25" customHeight="1" s="322">
      <c r="A40" s="27" t="n"/>
      <c r="B40" s="506">
        <f>IFERROR(__xludf.DUMMYFUNCTION("""COMPUTED_VALUE"""),45884.6666666666)</f>
        <v/>
      </c>
      <c r="C40" s="141">
        <f>IFERROR(__xludf.DUMMYFUNCTION("""COMPUTED_VALUE"""),99.07)</f>
        <v/>
      </c>
      <c r="D40" s="141">
        <f>IFERROR(__xludf.DUMMYFUNCTION("""COMPUTED_VALUE"""),99.1)</f>
        <v/>
      </c>
      <c r="E40" s="141">
        <f>IFERROR(__xludf.DUMMYFUNCTION("""COMPUTED_VALUE"""),98.87)</f>
        <v/>
      </c>
      <c r="F40" s="141">
        <f>IFERROR(__xludf.DUMMYFUNCTION("""COMPUTED_VALUE"""),98.94)</f>
        <v/>
      </c>
      <c r="G40" s="143">
        <f>IFERROR(__xludf.DUMMYFUNCTION("""COMPUTED_VALUE"""),6884785)</f>
        <v/>
      </c>
      <c r="H40" s="27" t="n"/>
    </row>
    <row r="41" ht="17.25" customHeight="1" s="322">
      <c r="A41" s="27" t="n"/>
      <c r="B41" s="506">
        <f>IFERROR(__xludf.DUMMYFUNCTION("""COMPUTED_VALUE"""),45887.6666666666)</f>
        <v/>
      </c>
      <c r="C41" s="141">
        <f>IFERROR(__xludf.DUMMYFUNCTION("""COMPUTED_VALUE"""),99)</f>
        <v/>
      </c>
      <c r="D41" s="141">
        <f>IFERROR(__xludf.DUMMYFUNCTION("""COMPUTED_VALUE"""),99)</f>
        <v/>
      </c>
      <c r="E41" s="141">
        <f>IFERROR(__xludf.DUMMYFUNCTION("""COMPUTED_VALUE"""),98.75)</f>
        <v/>
      </c>
      <c r="F41" s="141">
        <f>IFERROR(__xludf.DUMMYFUNCTION("""COMPUTED_VALUE"""),98.83)</f>
        <v/>
      </c>
      <c r="G41" s="143">
        <f>IFERROR(__xludf.DUMMYFUNCTION("""COMPUTED_VALUE"""),7906363)</f>
        <v/>
      </c>
      <c r="H41" s="27" t="n"/>
    </row>
    <row r="42" ht="17.25" customHeight="1" s="322">
      <c r="A42" s="27" t="n"/>
      <c r="B42" s="506">
        <f>IFERROR(__xludf.DUMMYFUNCTION("""COMPUTED_VALUE"""),45888.6666666666)</f>
        <v/>
      </c>
      <c r="C42" s="141">
        <f>IFERROR(__xludf.DUMMYFUNCTION("""COMPUTED_VALUE"""),98.94)</f>
        <v/>
      </c>
      <c r="D42" s="141">
        <f>IFERROR(__xludf.DUMMYFUNCTION("""COMPUTED_VALUE"""),99.04)</f>
        <v/>
      </c>
      <c r="E42" s="141">
        <f>IFERROR(__xludf.DUMMYFUNCTION("""COMPUTED_VALUE"""),98.91)</f>
        <v/>
      </c>
      <c r="F42" s="141">
        <f>IFERROR(__xludf.DUMMYFUNCTION("""COMPUTED_VALUE"""),99.02)</f>
        <v/>
      </c>
      <c r="G42" s="143">
        <f>IFERROR(__xludf.DUMMYFUNCTION("""COMPUTED_VALUE"""),9946958)</f>
        <v/>
      </c>
      <c r="H42" s="27" t="n"/>
    </row>
    <row r="43" ht="17.25" customHeight="1" s="322">
      <c r="A43" s="27" t="n"/>
      <c r="B43" s="506">
        <f>IFERROR(__xludf.DUMMYFUNCTION("""COMPUTED_VALUE"""),45889.6666666666)</f>
        <v/>
      </c>
      <c r="C43" s="141">
        <f>IFERROR(__xludf.DUMMYFUNCTION("""COMPUTED_VALUE"""),98.99)</f>
        <v/>
      </c>
      <c r="D43" s="141">
        <f>IFERROR(__xludf.DUMMYFUNCTION("""COMPUTED_VALUE"""),99.16)</f>
        <v/>
      </c>
      <c r="E43" s="141">
        <f>IFERROR(__xludf.DUMMYFUNCTION("""COMPUTED_VALUE"""),98.98)</f>
        <v/>
      </c>
      <c r="F43" s="141">
        <f>IFERROR(__xludf.DUMMYFUNCTION("""COMPUTED_VALUE"""),99.08)</f>
        <v/>
      </c>
      <c r="G43" s="143">
        <f>IFERROR(__xludf.DUMMYFUNCTION("""COMPUTED_VALUE"""),5615239)</f>
        <v/>
      </c>
      <c r="H43" s="27" t="n"/>
    </row>
    <row r="44" ht="17.25" customHeight="1" s="322">
      <c r="A44" s="27" t="n"/>
      <c r="B44" s="506">
        <f>IFERROR(__xludf.DUMMYFUNCTION("""COMPUTED_VALUE"""),45890.6666666666)</f>
        <v/>
      </c>
      <c r="C44" s="141">
        <f>IFERROR(__xludf.DUMMYFUNCTION("""COMPUTED_VALUE"""),98.96)</f>
        <v/>
      </c>
      <c r="D44" s="141">
        <f>IFERROR(__xludf.DUMMYFUNCTION("""COMPUTED_VALUE"""),98.99)</f>
        <v/>
      </c>
      <c r="E44" s="141">
        <f>IFERROR(__xludf.DUMMYFUNCTION("""COMPUTED_VALUE"""),98.73)</f>
        <v/>
      </c>
      <c r="F44" s="141">
        <f>IFERROR(__xludf.DUMMYFUNCTION("""COMPUTED_VALUE"""),98.85)</f>
        <v/>
      </c>
      <c r="G44" s="143">
        <f>IFERROR(__xludf.DUMMYFUNCTION("""COMPUTED_VALUE"""),7129167)</f>
        <v/>
      </c>
      <c r="H44" s="27" t="n"/>
    </row>
    <row r="45" ht="17.25" customHeight="1" s="322">
      <c r="A45" s="27" t="n"/>
      <c r="B45" s="506">
        <f>IFERROR(__xludf.DUMMYFUNCTION("""COMPUTED_VALUE"""),45891.6666666666)</f>
        <v/>
      </c>
      <c r="C45" s="141">
        <f>IFERROR(__xludf.DUMMYFUNCTION("""COMPUTED_VALUE"""),99.03)</f>
        <v/>
      </c>
      <c r="D45" s="141">
        <f>IFERROR(__xludf.DUMMYFUNCTION("""COMPUTED_VALUE"""),99.45)</f>
        <v/>
      </c>
      <c r="E45" s="141">
        <f>IFERROR(__xludf.DUMMYFUNCTION("""COMPUTED_VALUE"""),99)</f>
        <v/>
      </c>
      <c r="F45" s="141">
        <f>IFERROR(__xludf.DUMMYFUNCTION("""COMPUTED_VALUE"""),99.4)</f>
        <v/>
      </c>
      <c r="G45" s="143">
        <f>IFERROR(__xludf.DUMMYFUNCTION("""COMPUTED_VALUE"""),9451448)</f>
        <v/>
      </c>
      <c r="H45" s="27" t="n"/>
    </row>
    <row r="46" ht="17.25" customHeight="1" s="322">
      <c r="A46" s="27" t="n"/>
      <c r="B46" s="506">
        <f>IFERROR(__xludf.DUMMYFUNCTION("""COMPUTED_VALUE"""),45894.6666666666)</f>
        <v/>
      </c>
      <c r="C46" s="141">
        <f>IFERROR(__xludf.DUMMYFUNCTION("""COMPUTED_VALUE"""),99.21)</f>
        <v/>
      </c>
      <c r="D46" s="141">
        <f>IFERROR(__xludf.DUMMYFUNCTION("""COMPUTED_VALUE"""),99.34)</f>
        <v/>
      </c>
      <c r="E46" s="141">
        <f>IFERROR(__xludf.DUMMYFUNCTION("""COMPUTED_VALUE"""),99.16)</f>
        <v/>
      </c>
      <c r="F46" s="141">
        <f>IFERROR(__xludf.DUMMYFUNCTION("""COMPUTED_VALUE"""),99.25)</f>
        <v/>
      </c>
      <c r="G46" s="143">
        <f>IFERROR(__xludf.DUMMYFUNCTION("""COMPUTED_VALUE"""),5625046)</f>
        <v/>
      </c>
      <c r="H46" s="27" t="n"/>
    </row>
    <row r="47" ht="17.25" customHeight="1" s="322">
      <c r="A47" s="27" t="n"/>
      <c r="B47" s="506">
        <f>IFERROR(__xludf.DUMMYFUNCTION("""COMPUTED_VALUE"""),45895.6666666666)</f>
        <v/>
      </c>
      <c r="C47" s="141">
        <f>IFERROR(__xludf.DUMMYFUNCTION("""COMPUTED_VALUE"""),99.24)</f>
        <v/>
      </c>
      <c r="D47" s="141">
        <f>IFERROR(__xludf.DUMMYFUNCTION("""COMPUTED_VALUE"""),99.39)</f>
        <v/>
      </c>
      <c r="E47" s="141">
        <f>IFERROR(__xludf.DUMMYFUNCTION("""COMPUTED_VALUE"""),99.16)</f>
        <v/>
      </c>
      <c r="F47" s="141">
        <f>IFERROR(__xludf.DUMMYFUNCTION("""COMPUTED_VALUE"""),99.37)</f>
        <v/>
      </c>
      <c r="G47" s="143">
        <f>IFERROR(__xludf.DUMMYFUNCTION("""COMPUTED_VALUE"""),4695983)</f>
        <v/>
      </c>
      <c r="H47" s="27" t="n"/>
    </row>
    <row r="48" ht="17.25" customHeight="1" s="322">
      <c r="A48" s="27" t="n"/>
      <c r="B48" s="506">
        <f>IFERROR(__xludf.DUMMYFUNCTION("""COMPUTED_VALUE"""),45896.6666666666)</f>
        <v/>
      </c>
      <c r="C48" s="141">
        <f>IFERROR(__xludf.DUMMYFUNCTION("""COMPUTED_VALUE"""),99.22)</f>
        <v/>
      </c>
      <c r="D48" s="141">
        <f>IFERROR(__xludf.DUMMYFUNCTION("""COMPUTED_VALUE"""),99.47)</f>
        <v/>
      </c>
      <c r="E48" s="141">
        <f>IFERROR(__xludf.DUMMYFUNCTION("""COMPUTED_VALUE"""),99.17)</f>
        <v/>
      </c>
      <c r="F48" s="141">
        <f>IFERROR(__xludf.DUMMYFUNCTION("""COMPUTED_VALUE"""),99.47)</f>
        <v/>
      </c>
      <c r="G48" s="143">
        <f>IFERROR(__xludf.DUMMYFUNCTION("""COMPUTED_VALUE"""),7320773)</f>
        <v/>
      </c>
      <c r="H48" s="27" t="n"/>
    </row>
    <row r="49" ht="17.25" customHeight="1" s="322">
      <c r="A49" s="27" t="n"/>
      <c r="B49" s="506">
        <f>IFERROR(__xludf.DUMMYFUNCTION("""COMPUTED_VALUE"""),45897.6666666666)</f>
        <v/>
      </c>
      <c r="C49" s="141">
        <f>IFERROR(__xludf.DUMMYFUNCTION("""COMPUTED_VALUE"""),99.43)</f>
        <v/>
      </c>
      <c r="D49" s="141">
        <f>IFERROR(__xludf.DUMMYFUNCTION("""COMPUTED_VALUE"""),99.61)</f>
        <v/>
      </c>
      <c r="E49" s="141">
        <f>IFERROR(__xludf.DUMMYFUNCTION("""COMPUTED_VALUE"""),99.41)</f>
        <v/>
      </c>
      <c r="F49" s="141">
        <f>IFERROR(__xludf.DUMMYFUNCTION("""COMPUTED_VALUE"""),99.59)</f>
        <v/>
      </c>
      <c r="G49" s="143">
        <f>IFERROR(__xludf.DUMMYFUNCTION("""COMPUTED_VALUE"""),7068538)</f>
        <v/>
      </c>
      <c r="H49" s="27" t="n"/>
    </row>
    <row r="50" ht="17.25" customHeight="1" s="322">
      <c r="A50" s="27" t="n"/>
      <c r="B50" s="506">
        <f>IFERROR(__xludf.DUMMYFUNCTION("""COMPUTED_VALUE"""),45898.6666666666)</f>
        <v/>
      </c>
      <c r="C50" s="141">
        <f>IFERROR(__xludf.DUMMYFUNCTION("""COMPUTED_VALUE"""),99.47)</f>
        <v/>
      </c>
      <c r="D50" s="141">
        <f>IFERROR(__xludf.DUMMYFUNCTION("""COMPUTED_VALUE"""),99.54)</f>
        <v/>
      </c>
      <c r="E50" s="141">
        <f>IFERROR(__xludf.DUMMYFUNCTION("""COMPUTED_VALUE"""),99.4)</f>
        <v/>
      </c>
      <c r="F50" s="141">
        <f>IFERROR(__xludf.DUMMYFUNCTION("""COMPUTED_VALUE"""),99.46)</f>
        <v/>
      </c>
      <c r="G50" s="143">
        <f>IFERROR(__xludf.DUMMYFUNCTION("""COMPUTED_VALUE"""),9181441)</f>
        <v/>
      </c>
      <c r="H50" s="27" t="n"/>
    </row>
    <row r="51" ht="17.25" customHeight="1" s="322">
      <c r="A51" s="27" t="n"/>
      <c r="B51" s="506">
        <f>IFERROR(__xludf.DUMMYFUNCTION("""COMPUTED_VALUE"""),45902.6666666666)</f>
        <v/>
      </c>
      <c r="C51" s="141">
        <f>IFERROR(__xludf.DUMMYFUNCTION("""COMPUTED_VALUE"""),98.82)</f>
        <v/>
      </c>
      <c r="D51" s="141">
        <f>IFERROR(__xludf.DUMMYFUNCTION("""COMPUTED_VALUE"""),98.95)</f>
        <v/>
      </c>
      <c r="E51" s="141">
        <f>IFERROR(__xludf.DUMMYFUNCTION("""COMPUTED_VALUE"""),98.79)</f>
        <v/>
      </c>
      <c r="F51" s="141">
        <f>IFERROR(__xludf.DUMMYFUNCTION("""COMPUTED_VALUE"""),98.87)</f>
        <v/>
      </c>
      <c r="G51" s="143">
        <f>IFERROR(__xludf.DUMMYFUNCTION("""COMPUTED_VALUE"""),8530146)</f>
        <v/>
      </c>
      <c r="H51" s="27" t="n"/>
    </row>
    <row r="52" ht="17.25" customHeight="1" s="322">
      <c r="A52" s="27" t="n"/>
      <c r="B52" s="506">
        <f>IFERROR(__xludf.DUMMYFUNCTION("""COMPUTED_VALUE"""),45903.6666666666)</f>
        <v/>
      </c>
      <c r="C52" s="141">
        <f>IFERROR(__xludf.DUMMYFUNCTION("""COMPUTED_VALUE"""),98.95)</f>
        <v/>
      </c>
      <c r="D52" s="141">
        <f>IFERROR(__xludf.DUMMYFUNCTION("""COMPUTED_VALUE"""),99.33)</f>
        <v/>
      </c>
      <c r="E52" s="141">
        <f>IFERROR(__xludf.DUMMYFUNCTION("""COMPUTED_VALUE"""),98.95)</f>
        <v/>
      </c>
      <c r="F52" s="141">
        <f>IFERROR(__xludf.DUMMYFUNCTION("""COMPUTED_VALUE"""),99.23)</f>
        <v/>
      </c>
      <c r="G52" s="143">
        <f>IFERROR(__xludf.DUMMYFUNCTION("""COMPUTED_VALUE"""),8399985)</f>
        <v/>
      </c>
      <c r="H52" s="27" t="n"/>
    </row>
    <row r="53" ht="17.25" customHeight="1" s="322">
      <c r="A53" s="27" t="n"/>
      <c r="B53" s="506">
        <f>IFERROR(__xludf.DUMMYFUNCTION("""COMPUTED_VALUE"""),45904.6666666666)</f>
        <v/>
      </c>
      <c r="C53" s="141">
        <f>IFERROR(__xludf.DUMMYFUNCTION("""COMPUTED_VALUE"""),99.44)</f>
        <v/>
      </c>
      <c r="D53" s="141">
        <f>IFERROR(__xludf.DUMMYFUNCTION("""COMPUTED_VALUE"""),99.64)</f>
        <v/>
      </c>
      <c r="E53" s="141">
        <f>IFERROR(__xludf.DUMMYFUNCTION("""COMPUTED_VALUE"""),99.34)</f>
        <v/>
      </c>
      <c r="F53" s="141">
        <f>IFERROR(__xludf.DUMMYFUNCTION("""COMPUTED_VALUE"""),99.63)</f>
        <v/>
      </c>
      <c r="G53" s="143">
        <f>IFERROR(__xludf.DUMMYFUNCTION("""COMPUTED_VALUE"""),6297263)</f>
        <v/>
      </c>
      <c r="H53" s="27" t="n"/>
    </row>
    <row r="54" ht="17.25" customHeight="1" s="322">
      <c r="A54" s="27" t="n"/>
      <c r="B54" s="506">
        <f>IFERROR(__xludf.DUMMYFUNCTION("""COMPUTED_VALUE"""),45905.6666666666)</f>
        <v/>
      </c>
      <c r="C54" s="141">
        <f>IFERROR(__xludf.DUMMYFUNCTION("""COMPUTED_VALUE"""),100.14)</f>
        <v/>
      </c>
      <c r="D54" s="141">
        <f>IFERROR(__xludf.DUMMYFUNCTION("""COMPUTED_VALUE"""),100.23)</f>
        <v/>
      </c>
      <c r="E54" s="141">
        <f>IFERROR(__xludf.DUMMYFUNCTION("""COMPUTED_VALUE"""),100.08)</f>
        <v/>
      </c>
      <c r="F54" s="141">
        <f>IFERROR(__xludf.DUMMYFUNCTION("""COMPUTED_VALUE"""),100.1)</f>
        <v/>
      </c>
      <c r="G54" s="143">
        <f>IFERROR(__xludf.DUMMYFUNCTION("""COMPUTED_VALUE"""),7617276)</f>
        <v/>
      </c>
      <c r="H54" s="27" t="n"/>
    </row>
    <row r="55" ht="17.25" customHeight="1" s="322">
      <c r="A55" s="27" t="n"/>
      <c r="B55" s="506">
        <f>IFERROR(__xludf.DUMMYFUNCTION("""COMPUTED_VALUE"""),45908.6666666666)</f>
        <v/>
      </c>
      <c r="C55" s="141">
        <f>IFERROR(__xludf.DUMMYFUNCTION("""COMPUTED_VALUE"""),100.33)</f>
        <v/>
      </c>
      <c r="D55" s="141">
        <f>IFERROR(__xludf.DUMMYFUNCTION("""COMPUTED_VALUE"""),100.45)</f>
        <v/>
      </c>
      <c r="E55" s="141">
        <f>IFERROR(__xludf.DUMMYFUNCTION("""COMPUTED_VALUE"""),100.3)</f>
        <v/>
      </c>
      <c r="F55" s="141">
        <f>IFERROR(__xludf.DUMMYFUNCTION("""COMPUTED_VALUE"""),100.44)</f>
        <v/>
      </c>
      <c r="G55" s="143">
        <f>IFERROR(__xludf.DUMMYFUNCTION("""COMPUTED_VALUE"""),7202666)</f>
        <v/>
      </c>
      <c r="H55" s="27" t="n"/>
    </row>
    <row r="56" ht="17.25" customHeight="1" s="322">
      <c r="A56" s="27" t="n"/>
      <c r="B56" s="506">
        <f>IFERROR(__xludf.DUMMYFUNCTION("""COMPUTED_VALUE"""),45909.6666666666)</f>
        <v/>
      </c>
      <c r="C56" s="141">
        <f>IFERROR(__xludf.DUMMYFUNCTION("""COMPUTED_VALUE"""),100.38)</f>
        <v/>
      </c>
      <c r="D56" s="141">
        <f>IFERROR(__xludf.DUMMYFUNCTION("""COMPUTED_VALUE"""),100.46)</f>
        <v/>
      </c>
      <c r="E56" s="141">
        <f>IFERROR(__xludf.DUMMYFUNCTION("""COMPUTED_VALUE"""),100.16)</f>
        <v/>
      </c>
      <c r="F56" s="141">
        <f>IFERROR(__xludf.DUMMYFUNCTION("""COMPUTED_VALUE"""),100.24)</f>
        <v/>
      </c>
      <c r="G56" s="143">
        <f>IFERROR(__xludf.DUMMYFUNCTION("""COMPUTED_VALUE"""),7090107)</f>
        <v/>
      </c>
      <c r="H56" s="27" t="n"/>
    </row>
    <row r="57" ht="17.25" customHeight="1" s="322">
      <c r="A57" s="27" t="n"/>
      <c r="B57" s="506">
        <f>IFERROR(__xludf.DUMMYFUNCTION("""COMPUTED_VALUE"""),45910.6666666666)</f>
        <v/>
      </c>
      <c r="C57" s="141">
        <f>IFERROR(__xludf.DUMMYFUNCTION("""COMPUTED_VALUE"""),100.41)</f>
        <v/>
      </c>
      <c r="D57" s="141">
        <f>IFERROR(__xludf.DUMMYFUNCTION("""COMPUTED_VALUE"""),100.59)</f>
        <v/>
      </c>
      <c r="E57" s="141">
        <f>IFERROR(__xludf.DUMMYFUNCTION("""COMPUTED_VALUE"""),100.34)</f>
        <v/>
      </c>
      <c r="F57" s="141">
        <f>IFERROR(__xludf.DUMMYFUNCTION("""COMPUTED_VALUE"""),100.44)</f>
        <v/>
      </c>
      <c r="G57" s="143">
        <f>IFERROR(__xludf.DUMMYFUNCTION("""COMPUTED_VALUE"""),5952390)</f>
        <v/>
      </c>
      <c r="H57" s="27" t="n"/>
    </row>
    <row r="58" ht="17.25" customHeight="1" s="322">
      <c r="A58" s="27" t="n"/>
      <c r="B58" s="506">
        <f>IFERROR(__xludf.DUMMYFUNCTION("""COMPUTED_VALUE"""),45911.6666666666)</f>
        <v/>
      </c>
      <c r="C58" s="141">
        <f>IFERROR(__xludf.DUMMYFUNCTION("""COMPUTED_VALUE"""),100.55)</f>
        <v/>
      </c>
      <c r="D58" s="141">
        <f>IFERROR(__xludf.DUMMYFUNCTION("""COMPUTED_VALUE"""),100.78)</f>
        <v/>
      </c>
      <c r="E58" s="141">
        <f>IFERROR(__xludf.DUMMYFUNCTION("""COMPUTED_VALUE"""),100.53)</f>
        <v/>
      </c>
      <c r="F58" s="141">
        <f>IFERROR(__xludf.DUMMYFUNCTION("""COMPUTED_VALUE"""),100.63)</f>
        <v/>
      </c>
      <c r="G58" s="143">
        <f>IFERROR(__xludf.DUMMYFUNCTION("""COMPUTED_VALUE"""),6776518)</f>
        <v/>
      </c>
      <c r="H58" s="27" t="n"/>
    </row>
    <row r="59" ht="17.25" customHeight="1" s="322">
      <c r="A59" s="27" t="n"/>
      <c r="B59" s="506">
        <f>IFERROR(__xludf.DUMMYFUNCTION("""COMPUTED_VALUE"""),45912.6666666666)</f>
        <v/>
      </c>
      <c r="C59" s="141">
        <f>IFERROR(__xludf.DUMMYFUNCTION("""COMPUTED_VALUE"""),100.48)</f>
        <v/>
      </c>
      <c r="D59" s="141">
        <f>IFERROR(__xludf.DUMMYFUNCTION("""COMPUTED_VALUE"""),100.54)</f>
        <v/>
      </c>
      <c r="E59" s="141">
        <f>IFERROR(__xludf.DUMMYFUNCTION("""COMPUTED_VALUE"""),100.34)</f>
        <v/>
      </c>
      <c r="F59" s="141">
        <f>IFERROR(__xludf.DUMMYFUNCTION("""COMPUTED_VALUE"""),100.54)</f>
        <v/>
      </c>
      <c r="G59" s="143">
        <f>IFERROR(__xludf.DUMMYFUNCTION("""COMPUTED_VALUE"""),6525926)</f>
        <v/>
      </c>
      <c r="H59" s="27" t="n"/>
    </row>
    <row r="60" ht="17.25" customHeight="1" s="322">
      <c r="A60" s="27" t="n"/>
      <c r="B60" s="506">
        <f>IFERROR(__xludf.DUMMYFUNCTION("""COMPUTED_VALUE"""),45915.6666666666)</f>
        <v/>
      </c>
      <c r="C60" s="141">
        <f>IFERROR(__xludf.DUMMYFUNCTION("""COMPUTED_VALUE"""),100.67)</f>
        <v/>
      </c>
      <c r="D60" s="141">
        <f>IFERROR(__xludf.DUMMYFUNCTION("""COMPUTED_VALUE"""),100.74)</f>
        <v/>
      </c>
      <c r="E60" s="141">
        <f>IFERROR(__xludf.DUMMYFUNCTION("""COMPUTED_VALUE"""),100.62)</f>
        <v/>
      </c>
      <c r="F60" s="141">
        <f>IFERROR(__xludf.DUMMYFUNCTION("""COMPUTED_VALUE"""),100.71)</f>
        <v/>
      </c>
      <c r="G60" s="143">
        <f>IFERROR(__xludf.DUMMYFUNCTION("""COMPUTED_VALUE"""),5038980)</f>
        <v/>
      </c>
      <c r="H60" s="27" t="n"/>
    </row>
    <row r="61" ht="17.25" customHeight="1" s="322">
      <c r="A61" s="27" t="n"/>
      <c r="B61" s="506">
        <f>IFERROR(__xludf.DUMMYFUNCTION("""COMPUTED_VALUE"""),45916.6666666666)</f>
        <v/>
      </c>
      <c r="C61" s="141">
        <f>IFERROR(__xludf.DUMMYFUNCTION("""COMPUTED_VALUE"""),100.75)</f>
        <v/>
      </c>
      <c r="D61" s="141">
        <f>IFERROR(__xludf.DUMMYFUNCTION("""COMPUTED_VALUE"""),100.97)</f>
        <v/>
      </c>
      <c r="E61" s="141">
        <f>IFERROR(__xludf.DUMMYFUNCTION("""COMPUTED_VALUE"""),100.65)</f>
        <v/>
      </c>
      <c r="F61" s="141">
        <f>IFERROR(__xludf.DUMMYFUNCTION("""COMPUTED_VALUE"""),100.75)</f>
        <v/>
      </c>
      <c r="G61" s="143">
        <f>IFERROR(__xludf.DUMMYFUNCTION("""COMPUTED_VALUE"""),8264633)</f>
        <v/>
      </c>
      <c r="H61" s="27" t="n"/>
    </row>
    <row r="62" ht="17.25" customHeight="1" s="322">
      <c r="A62" s="27" t="n"/>
      <c r="B62" s="506">
        <f>IFERROR(__xludf.DUMMYFUNCTION("""COMPUTED_VALUE"""),45917.6666666666)</f>
        <v/>
      </c>
      <c r="C62" s="141">
        <f>IFERROR(__xludf.DUMMYFUNCTION("""COMPUTED_VALUE"""),100.87)</f>
        <v/>
      </c>
      <c r="D62" s="141">
        <f>IFERROR(__xludf.DUMMYFUNCTION("""COMPUTED_VALUE"""),101.02)</f>
        <v/>
      </c>
      <c r="E62" s="141">
        <f>IFERROR(__xludf.DUMMYFUNCTION("""COMPUTED_VALUE"""),100.49)</f>
        <v/>
      </c>
      <c r="F62" s="141">
        <f>IFERROR(__xludf.DUMMYFUNCTION("""COMPUTED_VALUE"""),100.57)</f>
        <v/>
      </c>
      <c r="G62" s="143">
        <f>IFERROR(__xludf.DUMMYFUNCTION("""COMPUTED_VALUE"""),7878394)</f>
        <v/>
      </c>
      <c r="H62" s="27" t="n"/>
    </row>
    <row r="63" ht="17.25" customHeight="1" s="322">
      <c r="A63" s="27" t="n"/>
      <c r="B63" s="506">
        <f>IFERROR(__xludf.DUMMYFUNCTION("""COMPUTED_VALUE"""),45918.6666666666)</f>
        <v/>
      </c>
      <c r="C63" s="141">
        <f>IFERROR(__xludf.DUMMYFUNCTION("""COMPUTED_VALUE"""),100.27)</f>
        <v/>
      </c>
      <c r="D63" s="141">
        <f>IFERROR(__xludf.DUMMYFUNCTION("""COMPUTED_VALUE"""),100.41)</f>
        <v/>
      </c>
      <c r="E63" s="141">
        <f>IFERROR(__xludf.DUMMYFUNCTION("""COMPUTED_VALUE"""),100.16)</f>
        <v/>
      </c>
      <c r="F63" s="141">
        <f>IFERROR(__xludf.DUMMYFUNCTION("""COMPUTED_VALUE"""),100.29)</f>
        <v/>
      </c>
      <c r="G63" s="143">
        <f>IFERROR(__xludf.DUMMYFUNCTION("""COMPUTED_VALUE"""),7123780)</f>
        <v/>
      </c>
      <c r="H63" s="27" t="n"/>
    </row>
    <row r="64" ht="17.25" customHeight="1" s="322">
      <c r="A64" s="27" t="n"/>
      <c r="B64" s="506">
        <f>IFERROR(__xludf.DUMMYFUNCTION("""COMPUTED_VALUE"""),45919.6666666666)</f>
        <v/>
      </c>
      <c r="C64" s="141">
        <f>IFERROR(__xludf.DUMMYFUNCTION("""COMPUTED_VALUE"""),100.3)</f>
        <v/>
      </c>
      <c r="D64" s="141">
        <f>IFERROR(__xludf.DUMMYFUNCTION("""COMPUTED_VALUE"""),100.36)</f>
        <v/>
      </c>
      <c r="E64" s="141">
        <f>IFERROR(__xludf.DUMMYFUNCTION("""COMPUTED_VALUE"""),100.21)</f>
        <v/>
      </c>
      <c r="F64" s="141">
        <f>IFERROR(__xludf.DUMMYFUNCTION("""COMPUTED_VALUE"""),100.29)</f>
        <v/>
      </c>
      <c r="G64" s="143">
        <f>IFERROR(__xludf.DUMMYFUNCTION("""COMPUTED_VALUE"""),7238582)</f>
        <v/>
      </c>
      <c r="H64" s="27" t="n"/>
    </row>
    <row r="65" ht="17.25" customHeight="1" s="322">
      <c r="A65" s="27" t="n"/>
      <c r="B65" s="506">
        <f>IFERROR(__xludf.DUMMYFUNCTION("""COMPUTED_VALUE"""),45922.6666666666)</f>
        <v/>
      </c>
      <c r="C65" s="141">
        <f>IFERROR(__xludf.DUMMYFUNCTION("""COMPUTED_VALUE"""),100.26)</f>
        <v/>
      </c>
      <c r="D65" s="141">
        <f>IFERROR(__xludf.DUMMYFUNCTION("""COMPUTED_VALUE"""),100.29)</f>
        <v/>
      </c>
      <c r="E65" s="141">
        <f>IFERROR(__xludf.DUMMYFUNCTION("""COMPUTED_VALUE"""),100.12)</f>
        <v/>
      </c>
      <c r="F65" s="141">
        <f>IFERROR(__xludf.DUMMYFUNCTION("""COMPUTED_VALUE"""),100.17)</f>
        <v/>
      </c>
      <c r="G65" s="143">
        <f>IFERROR(__xludf.DUMMYFUNCTION("""COMPUTED_VALUE"""),5642221)</f>
        <v/>
      </c>
      <c r="H65" s="27" t="n"/>
    </row>
    <row r="66" ht="17.25" customHeight="1" s="322">
      <c r="A66" s="27" t="n"/>
      <c r="B66" s="506">
        <f>IFERROR(__xludf.DUMMYFUNCTION("""COMPUTED_VALUE"""),45923.6666666666)</f>
        <v/>
      </c>
      <c r="C66" s="141">
        <f>IFERROR(__xludf.DUMMYFUNCTION("""COMPUTED_VALUE"""),100.24)</f>
        <v/>
      </c>
      <c r="D66" s="141">
        <f>IFERROR(__xludf.DUMMYFUNCTION("""COMPUTED_VALUE"""),100.36)</f>
        <v/>
      </c>
      <c r="E66" s="141">
        <f>IFERROR(__xludf.DUMMYFUNCTION("""COMPUTED_VALUE"""),100.16)</f>
        <v/>
      </c>
      <c r="F66" s="141">
        <f>IFERROR(__xludf.DUMMYFUNCTION("""COMPUTED_VALUE"""),100.33)</f>
        <v/>
      </c>
      <c r="G66" s="143">
        <f>IFERROR(__xludf.DUMMYFUNCTION("""COMPUTED_VALUE"""),8095806)</f>
        <v/>
      </c>
      <c r="H66" s="27" t="n"/>
    </row>
    <row r="67" ht="17.25" customHeight="1" s="322">
      <c r="A67" s="27" t="n"/>
      <c r="B67" s="506">
        <f>IFERROR(__xludf.DUMMYFUNCTION("""COMPUTED_VALUE"""),45924.6666666666)</f>
        <v/>
      </c>
      <c r="C67" s="141">
        <f>IFERROR(__xludf.DUMMYFUNCTION("""COMPUTED_VALUE"""),100.24)</f>
        <v/>
      </c>
      <c r="D67" s="141">
        <f>IFERROR(__xludf.DUMMYFUNCTION("""COMPUTED_VALUE"""),100.36)</f>
        <v/>
      </c>
      <c r="E67" s="141">
        <f>IFERROR(__xludf.DUMMYFUNCTION("""COMPUTED_VALUE"""),100.16)</f>
        <v/>
      </c>
      <c r="F67" s="141">
        <f>IFERROR(__xludf.DUMMYFUNCTION("""COMPUTED_VALUE"""),100.33)</f>
        <v/>
      </c>
      <c r="G67" s="143">
        <f>IFERROR(__xludf.DUMMYFUNCTION("""COMPUTED_VALUE"""),78104)</f>
        <v/>
      </c>
      <c r="H67" s="27" t="n"/>
    </row>
    <row r="68" ht="17.25" customHeight="1" s="322">
      <c r="A68" s="27" t="n"/>
      <c r="B68" s="506">
        <f>IFERROR(__xludf.DUMMYFUNCTION("""COMPUTED_VALUE"""),45925.6666666666)</f>
        <v/>
      </c>
      <c r="C68" s="141">
        <f>IFERROR(__xludf.DUMMYFUNCTION("""COMPUTED_VALUE"""),100)</f>
        <v/>
      </c>
      <c r="D68" s="141">
        <f>IFERROR(__xludf.DUMMYFUNCTION("""COMPUTED_VALUE"""),100.06)</f>
        <v/>
      </c>
      <c r="E68" s="141">
        <f>IFERROR(__xludf.DUMMYFUNCTION("""COMPUTED_VALUE"""),99.85)</f>
        <v/>
      </c>
      <c r="F68" s="141">
        <f>IFERROR(__xludf.DUMMYFUNCTION("""COMPUTED_VALUE"""),100)</f>
        <v/>
      </c>
      <c r="G68" s="143">
        <f>IFERROR(__xludf.DUMMYFUNCTION("""COMPUTED_VALUE"""),8743587)</f>
        <v/>
      </c>
      <c r="H68" s="27" t="n"/>
    </row>
    <row r="69" ht="17.25" customHeight="1" s="322">
      <c r="A69" s="27" t="n"/>
      <c r="B69" s="506">
        <f>IFERROR(__xludf.DUMMYFUNCTION("""COMPUTED_VALUE"""),45926.6666666666)</f>
        <v/>
      </c>
      <c r="C69" s="141">
        <f>IFERROR(__xludf.DUMMYFUNCTION("""COMPUTED_VALUE"""),100.09)</f>
        <v/>
      </c>
      <c r="D69" s="141">
        <f>IFERROR(__xludf.DUMMYFUNCTION("""COMPUTED_VALUE"""),100.21)</f>
        <v/>
      </c>
      <c r="E69" s="141">
        <f>IFERROR(__xludf.DUMMYFUNCTION("""COMPUTED_VALUE"""),99.97)</f>
        <v/>
      </c>
      <c r="F69" s="141">
        <f>IFERROR(__xludf.DUMMYFUNCTION("""COMPUTED_VALUE"""),100.07)</f>
        <v/>
      </c>
      <c r="G69" s="143">
        <f>IFERROR(__xludf.DUMMYFUNCTION("""COMPUTED_VALUE"""),6868258)</f>
        <v/>
      </c>
      <c r="H69" s="27" t="n"/>
    </row>
    <row r="70" ht="17.25" customHeight="1" s="322">
      <c r="A70" s="27" t="n"/>
      <c r="B70" s="506">
        <f>IFERROR(__xludf.DUMMYFUNCTION("""COMPUTED_VALUE"""),45929.6666666666)</f>
        <v/>
      </c>
      <c r="C70" s="141">
        <f>IFERROR(__xludf.DUMMYFUNCTION("""COMPUTED_VALUE"""),100.18)</f>
        <v/>
      </c>
      <c r="D70" s="141">
        <f>IFERROR(__xludf.DUMMYFUNCTION("""COMPUTED_VALUE"""),100.33)</f>
        <v/>
      </c>
      <c r="E70" s="141">
        <f>IFERROR(__xludf.DUMMYFUNCTION("""COMPUTED_VALUE"""),100.14)</f>
        <v/>
      </c>
      <c r="F70" s="141">
        <f>IFERROR(__xludf.DUMMYFUNCTION("""COMPUTED_VALUE"""),100.26)</f>
        <v/>
      </c>
      <c r="G70" s="143">
        <f>IFERROR(__xludf.DUMMYFUNCTION("""COMPUTED_VALUE"""),7751896)</f>
        <v/>
      </c>
      <c r="H70" s="27" t="n"/>
    </row>
    <row r="71" ht="17.25" customHeight="1" s="322">
      <c r="A71" s="27" t="n"/>
      <c r="B71" s="506">
        <f>IFERROR(__xludf.DUMMYFUNCTION("""COMPUTED_VALUE"""),45930.6666666666)</f>
        <v/>
      </c>
      <c r="C71" s="141">
        <f>IFERROR(__xludf.DUMMYFUNCTION("""COMPUTED_VALUE"""),100.33)</f>
        <v/>
      </c>
      <c r="D71" s="141">
        <f>IFERROR(__xludf.DUMMYFUNCTION("""COMPUTED_VALUE"""),100.49)</f>
        <v/>
      </c>
      <c r="E71" s="141">
        <f>IFERROR(__xludf.DUMMYFUNCTION("""COMPUTED_VALUE"""),100.2)</f>
        <v/>
      </c>
      <c r="F71" s="141">
        <f>IFERROR(__xludf.DUMMYFUNCTION("""COMPUTED_VALUE"""),100.25)</f>
        <v/>
      </c>
      <c r="G71" s="143">
        <f>IFERROR(__xludf.DUMMYFUNCTION("""COMPUTED_VALUE"""),12400667)</f>
        <v/>
      </c>
      <c r="H71" s="27" t="n"/>
    </row>
    <row r="72" ht="17.25" customHeight="1" s="322">
      <c r="A72" s="27" t="n"/>
      <c r="B72" s="506">
        <f>IFERROR(__xludf.DUMMYFUNCTION("""COMPUTED_VALUE"""),45931.6666666666)</f>
        <v/>
      </c>
      <c r="C72" s="141">
        <f>IFERROR(__xludf.DUMMYFUNCTION("""COMPUTED_VALUE"""),100.18)</f>
        <v/>
      </c>
      <c r="D72" s="141">
        <f>IFERROR(__xludf.DUMMYFUNCTION("""COMPUTED_VALUE"""),100.26)</f>
        <v/>
      </c>
      <c r="E72" s="141">
        <f>IFERROR(__xludf.DUMMYFUNCTION("""COMPUTED_VALUE"""),100.03)</f>
        <v/>
      </c>
      <c r="F72" s="141">
        <f>IFERROR(__xludf.DUMMYFUNCTION("""COMPUTED_VALUE"""),100.18)</f>
        <v/>
      </c>
      <c r="G72" s="143">
        <f>IFERROR(__xludf.DUMMYFUNCTION("""COMPUTED_VALUE"""),6961327)</f>
        <v/>
      </c>
      <c r="H72" s="27" t="n"/>
    </row>
    <row r="73" ht="17.25" customHeight="1" s="322">
      <c r="A73" s="27" t="n"/>
      <c r="B73" s="506">
        <f>IFERROR(__xludf.DUMMYFUNCTION("""COMPUTED_VALUE"""),45932.6666666666)</f>
        <v/>
      </c>
      <c r="C73" s="141">
        <f>IFERROR(__xludf.DUMMYFUNCTION("""COMPUTED_VALUE"""),100.14)</f>
        <v/>
      </c>
      <c r="D73" s="141">
        <f>IFERROR(__xludf.DUMMYFUNCTION("""COMPUTED_VALUE"""),100.32)</f>
        <v/>
      </c>
      <c r="E73" s="141">
        <f>IFERROR(__xludf.DUMMYFUNCTION("""COMPUTED_VALUE"""),100.1)</f>
        <v/>
      </c>
      <c r="F73" s="141">
        <f>IFERROR(__xludf.DUMMYFUNCTION("""COMPUTED_VALUE"""),100.29)</f>
        <v/>
      </c>
      <c r="G73" s="143">
        <f>IFERROR(__xludf.DUMMYFUNCTION("""COMPUTED_VALUE"""),6055896)</f>
        <v/>
      </c>
      <c r="H73" s="27" t="n"/>
    </row>
    <row r="74" ht="17.25" customHeight="1" s="322">
      <c r="A74" s="27" t="n"/>
      <c r="B74" s="506">
        <f>IFERROR(__xludf.DUMMYFUNCTION("""COMPUTED_VALUE"""),45933.6666666666)</f>
        <v/>
      </c>
      <c r="C74" s="141">
        <f>IFERROR(__xludf.DUMMYFUNCTION("""COMPUTED_VALUE"""),100.32)</f>
        <v/>
      </c>
      <c r="D74" s="141">
        <f>IFERROR(__xludf.DUMMYFUNCTION("""COMPUTED_VALUE"""),100.38)</f>
        <v/>
      </c>
      <c r="E74" s="141">
        <f>IFERROR(__xludf.DUMMYFUNCTION("""COMPUTED_VALUE"""),100.16)</f>
        <v/>
      </c>
      <c r="F74" s="141">
        <f>IFERROR(__xludf.DUMMYFUNCTION("""COMPUTED_VALUE"""),100.18)</f>
        <v/>
      </c>
      <c r="G74" s="143">
        <f>IFERROR(__xludf.DUMMYFUNCTION("""COMPUTED_VALUE"""),5268682)</f>
        <v/>
      </c>
      <c r="H74" s="27" t="n"/>
    </row>
    <row r="75" ht="17.25" customHeight="1" s="322">
      <c r="A75" s="27" t="n"/>
      <c r="B75" s="506">
        <f>IFERROR(__xludf.DUMMYFUNCTION("""COMPUTED_VALUE"""),45936.6666666666)</f>
        <v/>
      </c>
      <c r="C75" s="141">
        <f>IFERROR(__xludf.DUMMYFUNCTION("""COMPUTED_VALUE"""),100)</f>
        <v/>
      </c>
      <c r="D75" s="141">
        <f>IFERROR(__xludf.DUMMYFUNCTION("""COMPUTED_VALUE"""),100.15)</f>
        <v/>
      </c>
      <c r="E75" s="141">
        <f>IFERROR(__xludf.DUMMYFUNCTION("""COMPUTED_VALUE"""),99.95)</f>
        <v/>
      </c>
      <c r="F75" s="141">
        <f>IFERROR(__xludf.DUMMYFUNCTION("""COMPUTED_VALUE"""),99.96)</f>
        <v/>
      </c>
      <c r="G75" s="143">
        <f>IFERROR(__xludf.DUMMYFUNCTION("""COMPUTED_VALUE"""),6950292)</f>
        <v/>
      </c>
      <c r="H75" s="27" t="n"/>
    </row>
    <row r="76" ht="17.25" customHeight="1" s="322">
      <c r="A76" s="27" t="n"/>
      <c r="B76" s="506">
        <f>IFERROR(__xludf.DUMMYFUNCTION("""COMPUTED_VALUE"""),45937.6666666666)</f>
        <v/>
      </c>
      <c r="C76" s="141">
        <f>IFERROR(__xludf.DUMMYFUNCTION("""COMPUTED_VALUE"""),100.08)</f>
        <v/>
      </c>
      <c r="D76" s="141">
        <f>IFERROR(__xludf.DUMMYFUNCTION("""COMPUTED_VALUE"""),100.23)</f>
        <v/>
      </c>
      <c r="E76" s="141">
        <f>IFERROR(__xludf.DUMMYFUNCTION("""COMPUTED_VALUE"""),100.02)</f>
        <v/>
      </c>
      <c r="F76" s="141">
        <f>IFERROR(__xludf.DUMMYFUNCTION("""COMPUTED_VALUE"""),100.13)</f>
        <v/>
      </c>
      <c r="G76" s="143">
        <f>IFERROR(__xludf.DUMMYFUNCTION("""COMPUTED_VALUE"""),6379424)</f>
        <v/>
      </c>
      <c r="H76" s="27" t="n"/>
    </row>
    <row r="77" ht="17.25" customHeight="1" s="322">
      <c r="A77" s="27" t="n"/>
      <c r="B77" s="506">
        <f>IFERROR(__xludf.DUMMYFUNCTION("""COMPUTED_VALUE"""),45938.6666666666)</f>
        <v/>
      </c>
      <c r="C77" s="141">
        <f>IFERROR(__xludf.DUMMYFUNCTION("""COMPUTED_VALUE"""),100.31)</f>
        <v/>
      </c>
      <c r="D77" s="141">
        <f>IFERROR(__xludf.DUMMYFUNCTION("""COMPUTED_VALUE"""),100.33)</f>
        <v/>
      </c>
      <c r="E77" s="141">
        <f>IFERROR(__xludf.DUMMYFUNCTION("""COMPUTED_VALUE"""),100.11)</f>
        <v/>
      </c>
      <c r="F77" s="141">
        <f>IFERROR(__xludf.DUMMYFUNCTION("""COMPUTED_VALUE"""),100.14)</f>
        <v/>
      </c>
      <c r="G77" s="143">
        <f>IFERROR(__xludf.DUMMYFUNCTION("""COMPUTED_VALUE"""),5726913)</f>
        <v/>
      </c>
      <c r="H77" s="27" t="n"/>
    </row>
    <row r="78" ht="17.25" customHeight="1" s="322">
      <c r="A78" s="27" t="n"/>
      <c r="B78" s="506">
        <f>IFERROR(__xludf.DUMMYFUNCTION("""COMPUTED_VALUE"""),45939.6666666666)</f>
        <v/>
      </c>
      <c r="C78" s="141">
        <f>IFERROR(__xludf.DUMMYFUNCTION("""COMPUTED_VALUE"""),100.08)</f>
        <v/>
      </c>
      <c r="D78" s="141">
        <f>IFERROR(__xludf.DUMMYFUNCTION("""COMPUTED_VALUE"""),100.1)</f>
        <v/>
      </c>
      <c r="E78" s="141">
        <f>IFERROR(__xludf.DUMMYFUNCTION("""COMPUTED_VALUE"""),100)</f>
        <v/>
      </c>
      <c r="F78" s="141">
        <f>IFERROR(__xludf.DUMMYFUNCTION("""COMPUTED_VALUE"""),100.02)</f>
        <v/>
      </c>
      <c r="G78" s="143">
        <f>IFERROR(__xludf.DUMMYFUNCTION("""COMPUTED_VALUE"""),5199511)</f>
        <v/>
      </c>
      <c r="H78" s="27" t="n"/>
    </row>
    <row r="79" ht="17.25" customHeight="1" s="322">
      <c r="A79" s="27" t="n"/>
      <c r="B79" s="506">
        <f>IFERROR(__xludf.DUMMYFUNCTION("""COMPUTED_VALUE"""),45940.6666666666)</f>
        <v/>
      </c>
      <c r="C79" s="141">
        <f>IFERROR(__xludf.DUMMYFUNCTION("""COMPUTED_VALUE"""),100.36)</f>
        <v/>
      </c>
      <c r="D79" s="141">
        <f>IFERROR(__xludf.DUMMYFUNCTION("""COMPUTED_VALUE"""),100.54)</f>
        <v/>
      </c>
      <c r="E79" s="141">
        <f>IFERROR(__xludf.DUMMYFUNCTION("""COMPUTED_VALUE"""),100.25)</f>
        <v/>
      </c>
      <c r="F79" s="141">
        <f>IFERROR(__xludf.DUMMYFUNCTION("""COMPUTED_VALUE"""),100.43)</f>
        <v/>
      </c>
      <c r="G79" s="143">
        <f>IFERROR(__xludf.DUMMYFUNCTION("""COMPUTED_VALUE"""),10204147)</f>
        <v/>
      </c>
      <c r="H79" s="27" t="n"/>
    </row>
    <row r="80" ht="17.25" customHeight="1" s="322">
      <c r="A80" s="27" t="n"/>
      <c r="B80" s="506">
        <f>IFERROR(__xludf.DUMMYFUNCTION("""COMPUTED_VALUE"""),45943.6666666666)</f>
        <v/>
      </c>
      <c r="C80" s="141">
        <f>IFERROR(__xludf.DUMMYFUNCTION("""COMPUTED_VALUE"""),100.46)</f>
        <v/>
      </c>
      <c r="D80" s="141">
        <f>IFERROR(__xludf.DUMMYFUNCTION("""COMPUTED_VALUE"""),100.63)</f>
        <v/>
      </c>
      <c r="E80" s="141">
        <f>IFERROR(__xludf.DUMMYFUNCTION("""COMPUTED_VALUE"""),100.36)</f>
        <v/>
      </c>
      <c r="F80" s="141">
        <f>IFERROR(__xludf.DUMMYFUNCTION("""COMPUTED_VALUE"""),100.62)</f>
        <v/>
      </c>
      <c r="G80" s="143">
        <f>IFERROR(__xludf.DUMMYFUNCTION("""COMPUTED_VALUE"""),8320524)</f>
        <v/>
      </c>
      <c r="H80" s="27" t="n"/>
    </row>
    <row r="81" ht="17.25" customHeight="1" s="322">
      <c r="A81" s="27" t="n"/>
      <c r="B81" s="506">
        <f>IFERROR(__xludf.DUMMYFUNCTION("""COMPUTED_VALUE"""),45944.6666666666)</f>
        <v/>
      </c>
      <c r="C81" s="141">
        <f>IFERROR(__xludf.DUMMYFUNCTION("""COMPUTED_VALUE"""),100.57)</f>
        <v/>
      </c>
      <c r="D81" s="141">
        <f>IFERROR(__xludf.DUMMYFUNCTION("""COMPUTED_VALUE"""),100.79)</f>
        <v/>
      </c>
      <c r="E81" s="141">
        <f>IFERROR(__xludf.DUMMYFUNCTION("""COMPUTED_VALUE"""),100.53)</f>
        <v/>
      </c>
      <c r="F81" s="141">
        <f>IFERROR(__xludf.DUMMYFUNCTION("""COMPUTED_VALUE"""),100.78)</f>
        <v/>
      </c>
      <c r="G81" s="143">
        <f>IFERROR(__xludf.DUMMYFUNCTION("""COMPUTED_VALUE"""),8508742)</f>
        <v/>
      </c>
      <c r="H81" s="27" t="n"/>
    </row>
    <row r="82" ht="17.25" customHeight="1" s="322">
      <c r="A82" s="27" t="n"/>
      <c r="B82" s="506">
        <f>IFERROR(__xludf.DUMMYFUNCTION("""COMPUTED_VALUE"""),45945.6666666666)</f>
        <v/>
      </c>
      <c r="C82" s="141">
        <f>IFERROR(__xludf.DUMMYFUNCTION("""COMPUTED_VALUE"""),100.82)</f>
        <v/>
      </c>
      <c r="D82" s="141">
        <f>IFERROR(__xludf.DUMMYFUNCTION("""COMPUTED_VALUE"""),100.93)</f>
        <v/>
      </c>
      <c r="E82" s="141">
        <f>IFERROR(__xludf.DUMMYFUNCTION("""COMPUTED_VALUE"""),100.65)</f>
        <v/>
      </c>
      <c r="F82" s="141">
        <f>IFERROR(__xludf.DUMMYFUNCTION("""COMPUTED_VALUE"""),100.74)</f>
        <v/>
      </c>
      <c r="G82" s="143">
        <f>IFERROR(__xludf.DUMMYFUNCTION("""COMPUTED_VALUE"""),6297053)</f>
        <v/>
      </c>
      <c r="H82" s="27" t="n"/>
    </row>
    <row r="83" ht="17.25" customHeight="1" s="322">
      <c r="A83" s="27" t="n"/>
      <c r="B83" s="506">
        <f>IFERROR(__xludf.DUMMYFUNCTION("""COMPUTED_VALUE"""),45946.6666666666)</f>
        <v/>
      </c>
      <c r="C83" s="141">
        <f>IFERROR(__xludf.DUMMYFUNCTION("""COMPUTED_VALUE"""),100.69)</f>
        <v/>
      </c>
      <c r="D83" s="141">
        <f>IFERROR(__xludf.DUMMYFUNCTION("""COMPUTED_VALUE"""),101.11)</f>
        <v/>
      </c>
      <c r="E83" s="141">
        <f>IFERROR(__xludf.DUMMYFUNCTION("""COMPUTED_VALUE"""),100.67)</f>
        <v/>
      </c>
      <c r="F83" s="141">
        <f>IFERROR(__xludf.DUMMYFUNCTION("""COMPUTED_VALUE"""),101.1)</f>
        <v/>
      </c>
      <c r="G83" s="143">
        <f>IFERROR(__xludf.DUMMYFUNCTION("""COMPUTED_VALUE"""),10035366)</f>
        <v/>
      </c>
      <c r="H83" s="27" t="n"/>
    </row>
    <row r="84" ht="17.25" customHeight="1" s="322">
      <c r="A84" s="27" t="n"/>
      <c r="B84" s="506">
        <f>IFERROR(__xludf.DUMMYFUNCTION("""COMPUTED_VALUE"""),45947.6666666666)</f>
        <v/>
      </c>
      <c r="C84" s="141">
        <f>IFERROR(__xludf.DUMMYFUNCTION("""COMPUTED_VALUE"""),101.01)</f>
        <v/>
      </c>
      <c r="D84" s="141">
        <f>IFERROR(__xludf.DUMMYFUNCTION("""COMPUTED_VALUE"""),101.01)</f>
        <v/>
      </c>
      <c r="E84" s="141">
        <f>IFERROR(__xludf.DUMMYFUNCTION("""COMPUTED_VALUE"""),100.86)</f>
        <v/>
      </c>
      <c r="F84" s="141">
        <f>IFERROR(__xludf.DUMMYFUNCTION("""COMPUTED_VALUE"""),100.96)</f>
        <v/>
      </c>
      <c r="G84" s="143">
        <f>IFERROR(__xludf.DUMMYFUNCTION("""COMPUTED_VALUE"""),11738939)</f>
        <v/>
      </c>
      <c r="H84" s="27" t="n"/>
    </row>
    <row r="85" ht="17.25" customHeight="1" s="322">
      <c r="A85" s="27" t="n"/>
      <c r="B85" s="506">
        <f>IFERROR(__xludf.DUMMYFUNCTION("""COMPUTED_VALUE"""),45950.6666666666)</f>
        <v/>
      </c>
      <c r="C85" s="141">
        <f>IFERROR(__xludf.DUMMYFUNCTION("""COMPUTED_VALUE"""),101.07)</f>
        <v/>
      </c>
      <c r="D85" s="141">
        <f>IFERROR(__xludf.DUMMYFUNCTION("""COMPUTED_VALUE"""),101.13)</f>
        <v/>
      </c>
      <c r="E85" s="141">
        <f>IFERROR(__xludf.DUMMYFUNCTION("""COMPUTED_VALUE"""),101.02)</f>
        <v/>
      </c>
      <c r="F85" s="141">
        <f>IFERROR(__xludf.DUMMYFUNCTION("""COMPUTED_VALUE"""),101.13)</f>
        <v/>
      </c>
      <c r="G85" s="143">
        <f>IFERROR(__xludf.DUMMYFUNCTION("""COMPUTED_VALUE"""),7299173)</f>
        <v/>
      </c>
      <c r="H85" s="27" t="n"/>
    </row>
    <row r="86" ht="17.25" customHeight="1" s="322">
      <c r="A86" s="27" t="n"/>
      <c r="B86" s="506">
        <f>IFERROR(__xludf.DUMMYFUNCTION("""COMPUTED_VALUE"""),45951.6666666666)</f>
        <v/>
      </c>
      <c r="C86" s="141">
        <f>IFERROR(__xludf.DUMMYFUNCTION("""COMPUTED_VALUE"""),101.27)</f>
        <v/>
      </c>
      <c r="D86" s="141">
        <f>IFERROR(__xludf.DUMMYFUNCTION("""COMPUTED_VALUE"""),101.35)</f>
        <v/>
      </c>
      <c r="E86" s="141">
        <f>IFERROR(__xludf.DUMMYFUNCTION("""COMPUTED_VALUE"""),101.2)</f>
        <v/>
      </c>
      <c r="F86" s="141">
        <f>IFERROR(__xludf.DUMMYFUNCTION("""COMPUTED_VALUE"""),101.23)</f>
        <v/>
      </c>
      <c r="G86" s="143">
        <f>IFERROR(__xludf.DUMMYFUNCTION("""COMPUTED_VALUE"""),12966016)</f>
        <v/>
      </c>
      <c r="H86" s="27" t="n"/>
    </row>
    <row r="87" ht="17.25" customHeight="1" s="322">
      <c r="A87" s="27" t="n"/>
      <c r="B87" s="506">
        <f>IFERROR(__xludf.DUMMYFUNCTION("""COMPUTED_VALUE"""),45952.6666666666)</f>
        <v/>
      </c>
      <c r="C87" s="141">
        <f>IFERROR(__xludf.DUMMYFUNCTION("""COMPUTED_VALUE"""),101.16)</f>
        <v/>
      </c>
      <c r="D87" s="141">
        <f>IFERROR(__xludf.DUMMYFUNCTION("""COMPUTED_VALUE"""),101.24)</f>
        <v/>
      </c>
      <c r="E87" s="141">
        <f>IFERROR(__xludf.DUMMYFUNCTION("""COMPUTED_VALUE"""),101.09)</f>
        <v/>
      </c>
      <c r="F87" s="141">
        <f>IFERROR(__xludf.DUMMYFUNCTION("""COMPUTED_VALUE"""),101.22)</f>
        <v/>
      </c>
      <c r="G87" s="143">
        <f>IFERROR(__xludf.DUMMYFUNCTION("""COMPUTED_VALUE"""),13263181)</f>
        <v/>
      </c>
      <c r="H87" s="27" t="n"/>
    </row>
    <row r="88" ht="17.25" customHeight="1" s="322">
      <c r="A88" s="27" t="n"/>
      <c r="B88" s="506">
        <f>IFERROR(__xludf.DUMMYFUNCTION("""COMPUTED_VALUE"""),45953.6666666666)</f>
        <v/>
      </c>
      <c r="C88" s="141">
        <f>IFERROR(__xludf.DUMMYFUNCTION("""COMPUTED_VALUE"""),101.11)</f>
        <v/>
      </c>
      <c r="D88" s="141">
        <f>IFERROR(__xludf.DUMMYFUNCTION("""COMPUTED_VALUE"""),101.17)</f>
        <v/>
      </c>
      <c r="E88" s="141">
        <f>IFERROR(__xludf.DUMMYFUNCTION("""COMPUTED_VALUE"""),101.01)</f>
        <v/>
      </c>
      <c r="F88" s="141">
        <f>IFERROR(__xludf.DUMMYFUNCTION("""COMPUTED_VALUE"""),101.04)</f>
        <v/>
      </c>
      <c r="G88" s="143">
        <f>IFERROR(__xludf.DUMMYFUNCTION("""COMPUTED_VALUE"""),9975319)</f>
        <v/>
      </c>
      <c r="H88" s="27" t="n"/>
    </row>
    <row r="89" ht="17.25" customHeight="1" s="322">
      <c r="A89" s="27" t="n"/>
      <c r="B89" s="506">
        <f>IFERROR(__xludf.DUMMYFUNCTION("""COMPUTED_VALUE"""),45954.6666666666)</f>
        <v/>
      </c>
      <c r="C89" s="141">
        <f>IFERROR(__xludf.DUMMYFUNCTION("""COMPUTED_VALUE"""),101.17)</f>
        <v/>
      </c>
      <c r="D89" s="141">
        <f>IFERROR(__xludf.DUMMYFUNCTION("""COMPUTED_VALUE"""),101.2)</f>
        <v/>
      </c>
      <c r="E89" s="141">
        <f>IFERROR(__xludf.DUMMYFUNCTION("""COMPUTED_VALUE"""),101.02)</f>
        <v/>
      </c>
      <c r="F89" s="141">
        <f>IFERROR(__xludf.DUMMYFUNCTION("""COMPUTED_VALUE"""),101.14)</f>
        <v/>
      </c>
      <c r="G89" s="143">
        <f>IFERROR(__xludf.DUMMYFUNCTION("""COMPUTED_VALUE"""),6544551)</f>
        <v/>
      </c>
      <c r="H89" s="27" t="n"/>
    </row>
    <row r="90" ht="17.25" customHeight="1" s="322">
      <c r="A90" s="27" t="n"/>
      <c r="B90" s="506">
        <f>IFERROR(__xludf.DUMMYFUNCTION("""COMPUTED_VALUE"""),45957.6666666666)</f>
        <v/>
      </c>
      <c r="C90" s="141">
        <f>IFERROR(__xludf.DUMMYFUNCTION("""COMPUTED_VALUE"""),101.08)</f>
        <v/>
      </c>
      <c r="D90" s="141">
        <f>IFERROR(__xludf.DUMMYFUNCTION("""COMPUTED_VALUE"""),101.21)</f>
        <v/>
      </c>
      <c r="E90" s="141">
        <f>IFERROR(__xludf.DUMMYFUNCTION("""COMPUTED_VALUE"""),100.97)</f>
        <v/>
      </c>
      <c r="F90" s="141">
        <f>IFERROR(__xludf.DUMMYFUNCTION("""COMPUTED_VALUE"""),101.21)</f>
        <v/>
      </c>
      <c r="G90" s="143">
        <f>IFERROR(__xludf.DUMMYFUNCTION("""COMPUTED_VALUE"""),8527970)</f>
        <v/>
      </c>
      <c r="H90" s="27" t="n"/>
    </row>
    <row r="91" ht="17.25" customHeight="1" s="322">
      <c r="A91" s="27" t="n"/>
      <c r="B91" s="506">
        <f>IFERROR(__xludf.DUMMYFUNCTION("""COMPUTED_VALUE"""),45958.6666666666)</f>
        <v/>
      </c>
      <c r="C91" s="141">
        <f>IFERROR(__xludf.DUMMYFUNCTION("""COMPUTED_VALUE"""),101.19)</f>
        <v/>
      </c>
      <c r="D91" s="141">
        <f>IFERROR(__xludf.DUMMYFUNCTION("""COMPUTED_VALUE"""),101.3)</f>
        <v/>
      </c>
      <c r="E91" s="141">
        <f>IFERROR(__xludf.DUMMYFUNCTION("""COMPUTED_VALUE"""),101.14)</f>
        <v/>
      </c>
      <c r="F91" s="141">
        <f>IFERROR(__xludf.DUMMYFUNCTION("""COMPUTED_VALUE"""),101.27)</f>
        <v/>
      </c>
      <c r="G91" s="143">
        <f>IFERROR(__xludf.DUMMYFUNCTION("""COMPUTED_VALUE"""),10300923)</f>
        <v/>
      </c>
      <c r="H91" s="27" t="n"/>
    </row>
    <row r="92" ht="17.25" customHeight="1" s="322">
      <c r="A92" s="27" t="n"/>
      <c r="B92" s="506">
        <f>IFERROR(__xludf.DUMMYFUNCTION("""COMPUTED_VALUE"""),45959.6666666666)</f>
        <v/>
      </c>
      <c r="C92" s="141">
        <f>IFERROR(__xludf.DUMMYFUNCTION("""COMPUTED_VALUE"""),101.25)</f>
        <v/>
      </c>
      <c r="D92" s="141">
        <f>IFERROR(__xludf.DUMMYFUNCTION("""COMPUTED_VALUE"""),101.25)</f>
        <v/>
      </c>
      <c r="E92" s="141">
        <f>IFERROR(__xludf.DUMMYFUNCTION("""COMPUTED_VALUE"""),100.76)</f>
        <v/>
      </c>
      <c r="F92" s="141">
        <f>IFERROR(__xludf.DUMMYFUNCTION("""COMPUTED_VALUE"""),100.79)</f>
        <v/>
      </c>
      <c r="G92" s="143">
        <f>IFERROR(__xludf.DUMMYFUNCTION("""COMPUTED_VALUE"""),9275654)</f>
        <v/>
      </c>
      <c r="H92" s="27" t="n"/>
    </row>
    <row r="93" ht="17.25" customHeight="1" s="322">
      <c r="A93" s="27" t="n"/>
      <c r="B93" s="506">
        <f>IFERROR(__xludf.DUMMYFUNCTION("""COMPUTED_VALUE"""),45960.6666666666)</f>
        <v/>
      </c>
      <c r="C93" s="141">
        <f>IFERROR(__xludf.DUMMYFUNCTION("""COMPUTED_VALUE"""),100.48)</f>
        <v/>
      </c>
      <c r="D93" s="141">
        <f>IFERROR(__xludf.DUMMYFUNCTION("""COMPUTED_VALUE"""),100.76)</f>
        <v/>
      </c>
      <c r="E93" s="141">
        <f>IFERROR(__xludf.DUMMYFUNCTION("""COMPUTED_VALUE"""),100.46)</f>
        <v/>
      </c>
      <c r="F93" s="141">
        <f>IFERROR(__xludf.DUMMYFUNCTION("""COMPUTED_VALUE"""),100.6)</f>
        <v/>
      </c>
      <c r="G93" s="143">
        <f>IFERROR(__xludf.DUMMYFUNCTION("""COMPUTED_VALUE"""),13563858)</f>
        <v/>
      </c>
      <c r="H93" s="27" t="n"/>
    </row>
    <row r="94" ht="17.25" customHeight="1" s="322">
      <c r="A94" s="27" t="n"/>
      <c r="B94" s="506">
        <f>IFERROR(__xludf.DUMMYFUNCTION("""COMPUTED_VALUE"""),45961.6666666666)</f>
        <v/>
      </c>
      <c r="C94" s="141">
        <f>IFERROR(__xludf.DUMMYFUNCTION("""COMPUTED_VALUE"""),100.66)</f>
        <v/>
      </c>
      <c r="D94" s="141">
        <f>IFERROR(__xludf.DUMMYFUNCTION("""COMPUTED_VALUE"""),100.7)</f>
        <v/>
      </c>
      <c r="E94" s="141">
        <f>IFERROR(__xludf.DUMMYFUNCTION("""COMPUTED_VALUE"""),100.5)</f>
        <v/>
      </c>
      <c r="F94" s="141">
        <f>IFERROR(__xludf.DUMMYFUNCTION("""COMPUTED_VALUE"""),100.54)</f>
        <v/>
      </c>
      <c r="G94" s="143">
        <f>IFERROR(__xludf.DUMMYFUNCTION("""COMPUTED_VALUE"""),13111993)</f>
        <v/>
      </c>
      <c r="H94" s="27" t="n"/>
    </row>
    <row r="95" ht="17.25" customHeight="1" s="322">
      <c r="A95" s="27" t="n"/>
      <c r="B95" s="506">
        <f>IFERROR(__xludf.DUMMYFUNCTION("""COMPUTED_VALUE"""),45964.6666666666)</f>
        <v/>
      </c>
      <c r="C95" s="141">
        <f>IFERROR(__xludf.DUMMYFUNCTION("""COMPUTED_VALUE"""),100.07)</f>
        <v/>
      </c>
      <c r="D95" s="141">
        <f>IFERROR(__xludf.DUMMYFUNCTION("""COMPUTED_VALUE"""),100.15)</f>
        <v/>
      </c>
      <c r="E95" s="141">
        <f>IFERROR(__xludf.DUMMYFUNCTION("""COMPUTED_VALUE"""),100)</f>
        <v/>
      </c>
      <c r="F95" s="141">
        <f>IFERROR(__xludf.DUMMYFUNCTION("""COMPUTED_VALUE"""),100.09)</f>
        <v/>
      </c>
      <c r="G95" s="143">
        <f>IFERROR(__xludf.DUMMYFUNCTION("""COMPUTED_VALUE"""),9042118)</f>
        <v/>
      </c>
      <c r="H95" s="27" t="n"/>
    </row>
    <row r="96" ht="17.25" customHeight="1" s="322">
      <c r="A96" s="27" t="n"/>
      <c r="B96" s="506">
        <f>IFERROR(__xludf.DUMMYFUNCTION("""COMPUTED_VALUE"""),45965.6666666666)</f>
        <v/>
      </c>
      <c r="C96" s="141">
        <f>IFERROR(__xludf.DUMMYFUNCTION("""COMPUTED_VALUE"""),100.15)</f>
        <v/>
      </c>
      <c r="D96" s="141">
        <f>IFERROR(__xludf.DUMMYFUNCTION("""COMPUTED_VALUE"""),100.28)</f>
        <v/>
      </c>
      <c r="E96" s="141">
        <f>IFERROR(__xludf.DUMMYFUNCTION("""COMPUTED_VALUE"""),100.13)</f>
        <v/>
      </c>
      <c r="F96" s="141">
        <f>IFERROR(__xludf.DUMMYFUNCTION("""COMPUTED_VALUE"""),100.14)</f>
        <v/>
      </c>
      <c r="G96" s="143">
        <f>IFERROR(__xludf.DUMMYFUNCTION("""COMPUTED_VALUE"""),29687556)</f>
        <v/>
      </c>
      <c r="H96" s="27" t="n"/>
    </row>
    <row r="97" ht="17.25" customHeight="1" s="322">
      <c r="A97" s="27" t="n"/>
      <c r="B97" s="506">
        <f>IFERROR(__xludf.DUMMYFUNCTION("""COMPUTED_VALUE"""),45966.6666666666)</f>
        <v/>
      </c>
      <c r="C97" s="141">
        <f>IFERROR(__xludf.DUMMYFUNCTION("""COMPUTED_VALUE"""),100.1)</f>
        <v/>
      </c>
      <c r="D97" s="141">
        <f>IFERROR(__xludf.DUMMYFUNCTION("""COMPUTED_VALUE"""),100.11)</f>
        <v/>
      </c>
      <c r="E97" s="141">
        <f>IFERROR(__xludf.DUMMYFUNCTION("""COMPUTED_VALUE"""),99.82)</f>
        <v/>
      </c>
      <c r="F97" s="141">
        <f>IFERROR(__xludf.DUMMYFUNCTION("""COMPUTED_VALUE"""),99.87)</f>
        <v/>
      </c>
      <c r="G97" s="143">
        <f>IFERROR(__xludf.DUMMYFUNCTION("""COMPUTED_VALUE"""),8164985)</f>
        <v/>
      </c>
      <c r="H97" s="27" t="n"/>
    </row>
    <row r="98" ht="17.25" customHeight="1" s="322">
      <c r="A98" s="27" t="n"/>
      <c r="B98" s="506">
        <f>IFERROR(__xludf.DUMMYFUNCTION("""COMPUTED_VALUE"""),45967.6666666666)</f>
        <v/>
      </c>
      <c r="C98" s="141">
        <f>IFERROR(__xludf.DUMMYFUNCTION("""COMPUTED_VALUE"""),100.18)</f>
        <v/>
      </c>
      <c r="D98" s="141">
        <f>IFERROR(__xludf.DUMMYFUNCTION("""COMPUTED_VALUE"""),100.3)</f>
        <v/>
      </c>
      <c r="E98" s="141">
        <f>IFERROR(__xludf.DUMMYFUNCTION("""COMPUTED_VALUE"""),100.14)</f>
        <v/>
      </c>
      <c r="F98" s="141">
        <f>IFERROR(__xludf.DUMMYFUNCTION("""COMPUTED_VALUE"""),100.24)</f>
        <v/>
      </c>
      <c r="G98" s="143">
        <f>IFERROR(__xludf.DUMMYFUNCTION("""COMPUTED_VALUE"""),7247564)</f>
        <v/>
      </c>
      <c r="H98" s="27" t="n"/>
    </row>
    <row r="99" ht="17.25" customHeight="1" s="322">
      <c r="A99" s="27" t="n"/>
      <c r="B99" s="506">
        <f>IFERROR(__xludf.DUMMYFUNCTION("""COMPUTED_VALUE"""),45968.6666666666)</f>
        <v/>
      </c>
      <c r="C99" s="141">
        <f>IFERROR(__xludf.DUMMYFUNCTION("""COMPUTED_VALUE"""),100.13)</f>
        <v/>
      </c>
      <c r="D99" s="141">
        <f>IFERROR(__xludf.DUMMYFUNCTION("""COMPUTED_VALUE"""),100.34)</f>
        <v/>
      </c>
      <c r="E99" s="141">
        <f>IFERROR(__xludf.DUMMYFUNCTION("""COMPUTED_VALUE"""),100.11)</f>
        <v/>
      </c>
      <c r="F99" s="141">
        <f>IFERROR(__xludf.DUMMYFUNCTION("""COMPUTED_VALUE"""),100.2)</f>
        <v/>
      </c>
      <c r="G99" s="143">
        <f>IFERROR(__xludf.DUMMYFUNCTION("""COMPUTED_VALUE"""),5708277)</f>
        <v/>
      </c>
      <c r="H99" s="27" t="n"/>
    </row>
    <row r="100" ht="17.25" customHeight="1" s="322">
      <c r="A100" s="27" t="n"/>
      <c r="B100" s="506">
        <f>IFERROR(__xludf.DUMMYFUNCTION("""COMPUTED_VALUE"""),45971.6666666666)</f>
        <v/>
      </c>
      <c r="C100" s="141">
        <f>IFERROR(__xludf.DUMMYFUNCTION("""COMPUTED_VALUE"""),100.2)</f>
        <v/>
      </c>
      <c r="D100" s="141">
        <f>IFERROR(__xludf.DUMMYFUNCTION("""COMPUTED_VALUE"""),100.27)</f>
        <v/>
      </c>
      <c r="E100" s="141">
        <f>IFERROR(__xludf.DUMMYFUNCTION("""COMPUTED_VALUE"""),100.1)</f>
        <v/>
      </c>
      <c r="F100" s="141">
        <f>IFERROR(__xludf.DUMMYFUNCTION("""COMPUTED_VALUE"""),100.16)</f>
        <v/>
      </c>
      <c r="G100" s="143">
        <f>IFERROR(__xludf.DUMMYFUNCTION("""COMPUTED_VALUE"""),7944991)</f>
        <v/>
      </c>
      <c r="H100" s="27" t="n"/>
    </row>
    <row r="101" ht="17.25" customHeight="1" s="322">
      <c r="A101" s="27" t="n"/>
      <c r="B101" s="506">
        <f>IFERROR(__xludf.DUMMYFUNCTION("""COMPUTED_VALUE"""),45972.6666666666)</f>
        <v/>
      </c>
      <c r="C101" s="141">
        <f>IFERROR(__xludf.DUMMYFUNCTION("""COMPUTED_VALUE"""),100.38)</f>
        <v/>
      </c>
      <c r="D101" s="141">
        <f>IFERROR(__xludf.DUMMYFUNCTION("""COMPUTED_VALUE"""),100.49)</f>
        <v/>
      </c>
      <c r="E101" s="141">
        <f>IFERROR(__xludf.DUMMYFUNCTION("""COMPUTED_VALUE"""),100.33)</f>
        <v/>
      </c>
      <c r="F101" s="141">
        <f>IFERROR(__xludf.DUMMYFUNCTION("""COMPUTED_VALUE"""),100.46)</f>
        <v/>
      </c>
      <c r="G101" s="143">
        <f>IFERROR(__xludf.DUMMYFUNCTION("""COMPUTED_VALUE"""),5186222)</f>
        <v/>
      </c>
      <c r="H101" s="27" t="n"/>
    </row>
    <row r="102" ht="17.25" customHeight="1" s="322">
      <c r="A102" s="27" t="n"/>
      <c r="B102" s="506">
        <f>IFERROR(__xludf.DUMMYFUNCTION("""COMPUTED_VALUE"""),45973.6666666666)</f>
        <v/>
      </c>
      <c r="C102" s="141">
        <f>IFERROR(__xludf.DUMMYFUNCTION("""COMPUTED_VALUE"""),100.42)</f>
        <v/>
      </c>
      <c r="D102" s="141">
        <f>IFERROR(__xludf.DUMMYFUNCTION("""COMPUTED_VALUE"""),100.5)</f>
        <v/>
      </c>
      <c r="E102" s="141">
        <f>IFERROR(__xludf.DUMMYFUNCTION("""COMPUTED_VALUE"""),100.36)</f>
        <v/>
      </c>
      <c r="F102" s="141">
        <f>IFERROR(__xludf.DUMMYFUNCTION("""COMPUTED_VALUE"""),100.42)</f>
        <v/>
      </c>
      <c r="G102" s="143">
        <f>IFERROR(__xludf.DUMMYFUNCTION("""COMPUTED_VALUE"""),6267263)</f>
        <v/>
      </c>
      <c r="H102" s="27" t="n"/>
    </row>
    <row r="103" ht="17.25" customHeight="1" s="322">
      <c r="A103" s="27" t="n"/>
      <c r="B103" s="506">
        <f>IFERROR(__xludf.DUMMYFUNCTION("""COMPUTED_VALUE"""),45974.6666666666)</f>
        <v/>
      </c>
      <c r="C103" s="141">
        <f>IFERROR(__xludf.DUMMYFUNCTION("""COMPUTED_VALUE"""),100.24)</f>
        <v/>
      </c>
      <c r="D103" s="141">
        <f>IFERROR(__xludf.DUMMYFUNCTION("""COMPUTED_VALUE"""),100.33)</f>
        <v/>
      </c>
      <c r="E103" s="141">
        <f>IFERROR(__xludf.DUMMYFUNCTION("""COMPUTED_VALUE"""),100.12)</f>
        <v/>
      </c>
      <c r="F103" s="141">
        <f>IFERROR(__xludf.DUMMYFUNCTION("""COMPUTED_VALUE"""),100.12)</f>
        <v/>
      </c>
      <c r="G103" s="143">
        <f>IFERROR(__xludf.DUMMYFUNCTION("""COMPUTED_VALUE"""),7541607)</f>
        <v/>
      </c>
      <c r="H103" s="27" t="n"/>
    </row>
    <row r="104" ht="17.25" customHeight="1" s="322">
      <c r="A104" s="27" t="n"/>
      <c r="B104" s="506">
        <f>IFERROR(__xludf.DUMMYFUNCTION("""COMPUTED_VALUE"""),45975.6666666666)</f>
        <v/>
      </c>
      <c r="C104" s="141">
        <f>IFERROR(__xludf.DUMMYFUNCTION("""COMPUTED_VALUE"""),100.3)</f>
        <v/>
      </c>
      <c r="D104" s="141">
        <f>IFERROR(__xludf.DUMMYFUNCTION("""COMPUTED_VALUE"""),100.33)</f>
        <v/>
      </c>
      <c r="E104" s="141">
        <f>IFERROR(__xludf.DUMMYFUNCTION("""COMPUTED_VALUE"""),99.98)</f>
        <v/>
      </c>
      <c r="F104" s="141">
        <f>IFERROR(__xludf.DUMMYFUNCTION("""COMPUTED_VALUE"""),100)</f>
        <v/>
      </c>
      <c r="G104" s="143">
        <f>IFERROR(__xludf.DUMMYFUNCTION("""COMPUTED_VALUE"""),6350455)</f>
        <v/>
      </c>
      <c r="H104" s="27" t="n"/>
    </row>
    <row r="105" ht="17.25" customHeight="1" s="322">
      <c r="A105" s="27" t="n"/>
      <c r="B105" s="506">
        <f>IFERROR(__xludf.DUMMYFUNCTION("""COMPUTED_VALUE"""),45978.6666666666)</f>
        <v/>
      </c>
      <c r="C105" s="141">
        <f>IFERROR(__xludf.DUMMYFUNCTION("""COMPUTED_VALUE"""),100.05)</f>
        <v/>
      </c>
      <c r="D105" s="141">
        <f>IFERROR(__xludf.DUMMYFUNCTION("""COMPUTED_VALUE"""),100.14)</f>
        <v/>
      </c>
      <c r="E105" s="141">
        <f>IFERROR(__xludf.DUMMYFUNCTION("""COMPUTED_VALUE"""),100.01)</f>
        <v/>
      </c>
      <c r="F105" s="141">
        <f>IFERROR(__xludf.DUMMYFUNCTION("""COMPUTED_VALUE"""),100.02)</f>
        <v/>
      </c>
      <c r="G105" s="143">
        <f>IFERROR(__xludf.DUMMYFUNCTION("""COMPUTED_VALUE"""),7821945)</f>
        <v/>
      </c>
      <c r="H105" s="27" t="n"/>
    </row>
    <row r="106" ht="17.25" customHeight="1" s="322">
      <c r="A106" s="27" t="n"/>
      <c r="B106" s="506">
        <f>IFERROR(__xludf.DUMMYFUNCTION("""COMPUTED_VALUE"""),45979.6666666666)</f>
        <v/>
      </c>
      <c r="C106" s="141">
        <f>IFERROR(__xludf.DUMMYFUNCTION("""COMPUTED_VALUE"""),100.25)</f>
        <v/>
      </c>
      <c r="D106" s="141">
        <f>IFERROR(__xludf.DUMMYFUNCTION("""COMPUTED_VALUE"""),100.27)</f>
        <v/>
      </c>
      <c r="E106" s="141">
        <f>IFERROR(__xludf.DUMMYFUNCTION("""COMPUTED_VALUE"""),100)</f>
        <v/>
      </c>
      <c r="F106" s="141">
        <f>IFERROR(__xludf.DUMMYFUNCTION("""COMPUTED_VALUE"""),100.08)</f>
        <v/>
      </c>
      <c r="G106" s="143">
        <f>IFERROR(__xludf.DUMMYFUNCTION("""COMPUTED_VALUE"""),7731817)</f>
        <v/>
      </c>
      <c r="H106" s="27" t="n"/>
    </row>
    <row r="107" ht="17.25" customHeight="1" s="322">
      <c r="A107" s="27" t="n"/>
      <c r="B107" s="506">
        <f>IFERROR(__xludf.DUMMYFUNCTION("""COMPUTED_VALUE"""),45980.6666666666)</f>
        <v/>
      </c>
      <c r="C107" s="141">
        <f>IFERROR(__xludf.DUMMYFUNCTION("""COMPUTED_VALUE"""),100.2)</f>
        <v/>
      </c>
      <c r="D107" s="141">
        <f>IFERROR(__xludf.DUMMYFUNCTION("""COMPUTED_VALUE"""),100.25)</f>
        <v/>
      </c>
      <c r="E107" s="141">
        <f>IFERROR(__xludf.DUMMYFUNCTION("""COMPUTED_VALUE"""),100.03)</f>
        <v/>
      </c>
      <c r="F107" s="141">
        <f>IFERROR(__xludf.DUMMYFUNCTION("""COMPUTED_VALUE"""),100.08)</f>
        <v/>
      </c>
      <c r="G107" s="143">
        <f>IFERROR(__xludf.DUMMYFUNCTION("""COMPUTED_VALUE"""),8951707)</f>
        <v/>
      </c>
      <c r="H107" s="27" t="n"/>
    </row>
    <row r="108" ht="17.25" customHeight="1" s="322">
      <c r="A108" s="27" t="n"/>
      <c r="B108" s="506">
        <f>IFERROR(__xludf.DUMMYFUNCTION("""COMPUTED_VALUE"""),45981.6666666666)</f>
        <v/>
      </c>
      <c r="C108" s="141">
        <f>IFERROR(__xludf.DUMMYFUNCTION("""COMPUTED_VALUE"""),100.18)</f>
        <v/>
      </c>
      <c r="D108" s="141">
        <f>IFERROR(__xludf.DUMMYFUNCTION("""COMPUTED_VALUE"""),100.28)</f>
        <v/>
      </c>
      <c r="E108" s="141">
        <f>IFERROR(__xludf.DUMMYFUNCTION("""COMPUTED_VALUE"""),100.14)</f>
        <v/>
      </c>
      <c r="F108" s="141">
        <f>IFERROR(__xludf.DUMMYFUNCTION("""COMPUTED_VALUE"""),100.2)</f>
        <v/>
      </c>
      <c r="G108" s="143">
        <f>IFERROR(__xludf.DUMMYFUNCTION("""COMPUTED_VALUE"""),12968079)</f>
        <v/>
      </c>
      <c r="H108" s="27" t="n"/>
    </row>
    <row r="109" ht="17.25" customHeight="1" s="322">
      <c r="A109" s="27" t="n"/>
      <c r="B109" s="506">
        <f>IFERROR(__xludf.DUMMYFUNCTION("""COMPUTED_VALUE"""),45982.6666666666)</f>
        <v/>
      </c>
      <c r="C109" s="141">
        <f>IFERROR(__xludf.DUMMYFUNCTION("""COMPUTED_VALUE"""),100.45)</f>
        <v/>
      </c>
      <c r="D109" s="141">
        <f>IFERROR(__xludf.DUMMYFUNCTION("""COMPUTED_VALUE"""),100.5)</f>
        <v/>
      </c>
      <c r="E109" s="141">
        <f>IFERROR(__xludf.DUMMYFUNCTION("""COMPUTED_VALUE"""),100.28)</f>
        <v/>
      </c>
      <c r="F109" s="141">
        <f>IFERROR(__xludf.DUMMYFUNCTION("""COMPUTED_VALUE"""),100.44)</f>
        <v/>
      </c>
      <c r="G109" s="143">
        <f>IFERROR(__xludf.DUMMYFUNCTION("""COMPUTED_VALUE"""),9334905)</f>
        <v/>
      </c>
      <c r="H109" s="27" t="n"/>
    </row>
    <row r="110" ht="17.25" customHeight="1" s="322">
      <c r="A110" s="27" t="n"/>
      <c r="B110" s="506">
        <f>IFERROR(__xludf.DUMMYFUNCTION("""COMPUTED_VALUE"""),45985.6666666666)</f>
        <v/>
      </c>
      <c r="C110" s="141">
        <f>IFERROR(__xludf.DUMMYFUNCTION("""COMPUTED_VALUE"""),100.51)</f>
        <v/>
      </c>
      <c r="D110" s="141">
        <f>IFERROR(__xludf.DUMMYFUNCTION("""COMPUTED_VALUE"""),100.66)</f>
        <v/>
      </c>
      <c r="E110" s="141">
        <f>IFERROR(__xludf.DUMMYFUNCTION("""COMPUTED_VALUE"""),100.5)</f>
        <v/>
      </c>
      <c r="F110" s="141">
        <f>IFERROR(__xludf.DUMMYFUNCTION("""COMPUTED_VALUE"""),100.64)</f>
        <v/>
      </c>
      <c r="G110" s="143">
        <f>IFERROR(__xludf.DUMMYFUNCTION("""COMPUTED_VALUE"""),7717732)</f>
        <v/>
      </c>
      <c r="H110" s="27" t="n"/>
    </row>
    <row r="111" ht="17.25" customHeight="1" s="322">
      <c r="A111" s="27" t="n"/>
      <c r="B111" s="506">
        <f>IFERROR(__xludf.DUMMYFUNCTION("""COMPUTED_VALUE"""),45986.6666666666)</f>
        <v/>
      </c>
      <c r="C111" s="141">
        <f>IFERROR(__xludf.DUMMYFUNCTION("""COMPUTED_VALUE"""),100.71)</f>
        <v/>
      </c>
      <c r="D111" s="141">
        <f>IFERROR(__xludf.DUMMYFUNCTION("""COMPUTED_VALUE"""),100.95)</f>
        <v/>
      </c>
      <c r="E111" s="141">
        <f>IFERROR(__xludf.DUMMYFUNCTION("""COMPUTED_VALUE"""),100.7)</f>
        <v/>
      </c>
      <c r="F111" s="141">
        <f>IFERROR(__xludf.DUMMYFUNCTION("""COMPUTED_VALUE"""),100.8)</f>
        <v/>
      </c>
      <c r="G111" s="143">
        <f>IFERROR(__xludf.DUMMYFUNCTION("""COMPUTED_VALUE"""),16788420)</f>
        <v/>
      </c>
      <c r="H111" s="27" t="n"/>
    </row>
    <row r="112" ht="17.25" customHeight="1" s="322">
      <c r="A112" s="27" t="n"/>
      <c r="B112" s="506">
        <f>IFERROR(__xludf.DUMMYFUNCTION("""COMPUTED_VALUE"""),45987.6666666666)</f>
        <v/>
      </c>
      <c r="C112" s="141">
        <f>IFERROR(__xludf.DUMMYFUNCTION("""COMPUTED_VALUE"""),100.78)</f>
        <v/>
      </c>
      <c r="D112" s="141">
        <f>IFERROR(__xludf.DUMMYFUNCTION("""COMPUTED_VALUE"""),100.97)</f>
        <v/>
      </c>
      <c r="E112" s="141">
        <f>IFERROR(__xludf.DUMMYFUNCTION("""COMPUTED_VALUE"""),100.66)</f>
        <v/>
      </c>
      <c r="F112" s="141">
        <f>IFERROR(__xludf.DUMMYFUNCTION("""COMPUTED_VALUE"""),100.96)</f>
        <v/>
      </c>
      <c r="G112" s="143">
        <f>IFERROR(__xludf.DUMMYFUNCTION("""COMPUTED_VALUE"""),8935197)</f>
        <v/>
      </c>
      <c r="H112" s="27" t="n"/>
    </row>
    <row r="113" ht="17.25" customHeight="1" s="322">
      <c r="A113" s="27" t="n"/>
      <c r="B113" s="506">
        <f>IFERROR(__xludf.DUMMYFUNCTION("""COMPUTED_VALUE"""),45989.5520833333)</f>
        <v/>
      </c>
      <c r="C113" s="141">
        <f>IFERROR(__xludf.DUMMYFUNCTION("""COMPUTED_VALUE"""),100.91)</f>
        <v/>
      </c>
      <c r="D113" s="141">
        <f>IFERROR(__xludf.DUMMYFUNCTION("""COMPUTED_VALUE"""),100.94)</f>
        <v/>
      </c>
      <c r="E113" s="141">
        <f>IFERROR(__xludf.DUMMYFUNCTION("""COMPUTED_VALUE"""),100.7)</f>
        <v/>
      </c>
      <c r="F113" s="141">
        <f>IFERROR(__xludf.DUMMYFUNCTION("""COMPUTED_VALUE"""),100.82)</f>
        <v/>
      </c>
      <c r="G113" s="143">
        <f>IFERROR(__xludf.DUMMYFUNCTION("""COMPUTED_VALUE"""),5064814)</f>
        <v/>
      </c>
      <c r="H113" s="27" t="n"/>
    </row>
    <row r="114" ht="17.25" customHeight="1" s="322">
      <c r="A114" s="27" t="n"/>
      <c r="B114" s="506">
        <f>IFERROR(__xludf.DUMMYFUNCTION("""COMPUTED_VALUE"""),45992.6666666666)</f>
        <v/>
      </c>
      <c r="C114" s="141">
        <f>IFERROR(__xludf.DUMMYFUNCTION("""COMPUTED_VALUE"""),100.07)</f>
        <v/>
      </c>
      <c r="D114" s="141">
        <f>IFERROR(__xludf.DUMMYFUNCTION("""COMPUTED_VALUE"""),100.14)</f>
        <v/>
      </c>
      <c r="E114" s="141">
        <f>IFERROR(__xludf.DUMMYFUNCTION("""COMPUTED_VALUE"""),100.02)</f>
        <v/>
      </c>
      <c r="F114" s="141">
        <f>IFERROR(__xludf.DUMMYFUNCTION("""COMPUTED_VALUE"""),100.06)</f>
        <v/>
      </c>
      <c r="G114" s="143">
        <f>IFERROR(__xludf.DUMMYFUNCTION("""COMPUTED_VALUE"""),7249251)</f>
        <v/>
      </c>
      <c r="H114" s="27" t="n"/>
    </row>
    <row r="115" ht="17.25" customHeight="1" s="322">
      <c r="A115" s="27" t="n"/>
      <c r="B115" s="506">
        <f>IFERROR(__xludf.DUMMYFUNCTION("""COMPUTED_VALUE"""),45993.6666666666)</f>
        <v/>
      </c>
      <c r="C115" s="141">
        <f>IFERROR(__xludf.DUMMYFUNCTION("""COMPUTED_VALUE"""),100.07)</f>
        <v/>
      </c>
      <c r="D115" s="141">
        <f>IFERROR(__xludf.DUMMYFUNCTION("""COMPUTED_VALUE"""),100.22)</f>
        <v/>
      </c>
      <c r="E115" s="141">
        <f>IFERROR(__xludf.DUMMYFUNCTION("""COMPUTED_VALUE"""),100.04)</f>
        <v/>
      </c>
      <c r="F115" s="141">
        <f>IFERROR(__xludf.DUMMYFUNCTION("""COMPUTED_VALUE"""),100.19)</f>
        <v/>
      </c>
      <c r="G115" s="143">
        <f>IFERROR(__xludf.DUMMYFUNCTION("""COMPUTED_VALUE"""),7972078)</f>
        <v/>
      </c>
      <c r="H115" s="27" t="n"/>
    </row>
    <row r="116" ht="17.25" customHeight="1" s="322">
      <c r="A116" s="27" t="n"/>
      <c r="B116" s="506">
        <f>IFERROR(__xludf.DUMMYFUNCTION("""COMPUTED_VALUE"""),45994.6666666666)</f>
        <v/>
      </c>
      <c r="C116" s="141">
        <f>IFERROR(__xludf.DUMMYFUNCTION("""COMPUTED_VALUE"""),100.3)</f>
        <v/>
      </c>
      <c r="D116" s="141">
        <f>IFERROR(__xludf.DUMMYFUNCTION("""COMPUTED_VALUE"""),100.39)</f>
        <v/>
      </c>
      <c r="E116" s="141">
        <f>IFERROR(__xludf.DUMMYFUNCTION("""COMPUTED_VALUE"""),100.21)</f>
        <v/>
      </c>
      <c r="F116" s="141">
        <f>IFERROR(__xludf.DUMMYFUNCTION("""COMPUTED_VALUE"""),100.38)</f>
        <v/>
      </c>
      <c r="G116" s="143">
        <f>IFERROR(__xludf.DUMMYFUNCTION("""COMPUTED_VALUE"""),9744487)</f>
        <v/>
      </c>
      <c r="H116" s="27" t="n"/>
    </row>
    <row r="117" ht="17.25" customHeight="1" s="322">
      <c r="A117" s="27" t="n"/>
      <c r="B117" s="506">
        <f>IFERROR(__xludf.DUMMYFUNCTION("""COMPUTED_VALUE"""),45995.6666666666)</f>
        <v/>
      </c>
      <c r="C117" s="141">
        <f>IFERROR(__xludf.DUMMYFUNCTION("""COMPUTED_VALUE"""),100.25)</f>
        <v/>
      </c>
      <c r="D117" s="141">
        <f>IFERROR(__xludf.DUMMYFUNCTION("""COMPUTED_VALUE"""),100.31)</f>
        <v/>
      </c>
      <c r="E117" s="141">
        <f>IFERROR(__xludf.DUMMYFUNCTION("""COMPUTED_VALUE"""),100.11)</f>
        <v/>
      </c>
      <c r="F117" s="141">
        <f>IFERROR(__xludf.DUMMYFUNCTION("""COMPUTED_VALUE"""),100.14)</f>
        <v/>
      </c>
      <c r="G117" s="143">
        <f>IFERROR(__xludf.DUMMYFUNCTION("""COMPUTED_VALUE"""),6953210)</f>
        <v/>
      </c>
      <c r="H117" s="27" t="n"/>
    </row>
    <row r="118" ht="17.25" customHeight="1" s="322">
      <c r="A118" s="27" t="n"/>
      <c r="B118" s="506">
        <f>IFERROR(__xludf.DUMMYFUNCTION("""COMPUTED_VALUE"""),45996.6666666666)</f>
        <v/>
      </c>
      <c r="C118" s="141">
        <f>IFERROR(__xludf.DUMMYFUNCTION("""COMPUTED_VALUE"""),100.17)</f>
        <v/>
      </c>
      <c r="D118" s="141">
        <f>IFERROR(__xludf.DUMMYFUNCTION("""COMPUTED_VALUE"""),100.17)</f>
        <v/>
      </c>
      <c r="E118" s="141">
        <f>IFERROR(__xludf.DUMMYFUNCTION("""COMPUTED_VALUE"""),99.96)</f>
        <v/>
      </c>
      <c r="F118" s="141">
        <f>IFERROR(__xludf.DUMMYFUNCTION("""COMPUTED_VALUE"""),100.03)</f>
        <v/>
      </c>
      <c r="G118" s="143">
        <f>IFERROR(__xludf.DUMMYFUNCTION("""COMPUTED_VALUE"""),6870064)</f>
        <v/>
      </c>
      <c r="H118" s="27" t="n"/>
    </row>
    <row r="119" ht="17.25" customHeight="1" s="322">
      <c r="A119" s="27" t="n"/>
      <c r="B119" s="506">
        <f>IFERROR(__xludf.DUMMYFUNCTION("""COMPUTED_VALUE"""),45999.6666666666)</f>
        <v/>
      </c>
      <c r="C119" s="141">
        <f>IFERROR(__xludf.DUMMYFUNCTION("""COMPUTED_VALUE"""),100.02)</f>
        <v/>
      </c>
      <c r="D119" s="141">
        <f>IFERROR(__xludf.DUMMYFUNCTION("""COMPUTED_VALUE"""),100.03)</f>
        <v/>
      </c>
      <c r="E119" s="141">
        <f>IFERROR(__xludf.DUMMYFUNCTION("""COMPUTED_VALUE"""),99.74)</f>
        <v/>
      </c>
      <c r="F119" s="141">
        <f>IFERROR(__xludf.DUMMYFUNCTION("""COMPUTED_VALUE"""),99.87)</f>
        <v/>
      </c>
      <c r="G119" s="143">
        <f>IFERROR(__xludf.DUMMYFUNCTION("""COMPUTED_VALUE"""),8039061)</f>
        <v/>
      </c>
      <c r="H119" s="27" t="n"/>
    </row>
    <row r="120" ht="17.25" customHeight="1" s="322">
      <c r="A120" s="27" t="n"/>
      <c r="B120" s="506">
        <f>IFERROR(__xludf.DUMMYFUNCTION("""COMPUTED_VALUE"""),46000.6666666666)</f>
        <v/>
      </c>
      <c r="C120" s="141">
        <f>IFERROR(__xludf.DUMMYFUNCTION("""COMPUTED_VALUE"""),100.04)</f>
        <v/>
      </c>
      <c r="D120" s="141">
        <f>IFERROR(__xludf.DUMMYFUNCTION("""COMPUTED_VALUE"""),100.04)</f>
        <v/>
      </c>
      <c r="E120" s="141">
        <f>IFERROR(__xludf.DUMMYFUNCTION("""COMPUTED_VALUE"""),99.77)</f>
        <v/>
      </c>
      <c r="F120" s="141">
        <f>IFERROR(__xludf.DUMMYFUNCTION("""COMPUTED_VALUE"""),99.78)</f>
        <v/>
      </c>
      <c r="G120" s="143">
        <f>IFERROR(__xludf.DUMMYFUNCTION("""COMPUTED_VALUE"""),5967960)</f>
        <v/>
      </c>
      <c r="H120" s="27" t="n"/>
    </row>
    <row r="121" ht="17.25" customHeight="1" s="322">
      <c r="A121" s="27" t="n"/>
      <c r="B121" s="506">
        <f>IFERROR(__xludf.DUMMYFUNCTION("""COMPUTED_VALUE"""),46001.6666666666)</f>
        <v/>
      </c>
      <c r="C121" s="141">
        <f>IFERROR(__xludf.DUMMYFUNCTION("""COMPUTED_VALUE"""),99.77)</f>
        <v/>
      </c>
      <c r="D121" s="141">
        <f>IFERROR(__xludf.DUMMYFUNCTION("""COMPUTED_VALUE"""),100.13)</f>
        <v/>
      </c>
      <c r="E121" s="141">
        <f>IFERROR(__xludf.DUMMYFUNCTION("""COMPUTED_VALUE"""),99.76)</f>
        <v/>
      </c>
      <c r="F121" s="141">
        <f>IFERROR(__xludf.DUMMYFUNCTION("""COMPUTED_VALUE"""),100.1)</f>
        <v/>
      </c>
      <c r="G121" s="143">
        <f>IFERROR(__xludf.DUMMYFUNCTION("""COMPUTED_VALUE"""),9279664)</f>
        <v/>
      </c>
      <c r="H121" s="27" t="n"/>
    </row>
    <row r="122" ht="17.25" customHeight="1" s="322">
      <c r="A122" s="27" t="n"/>
      <c r="B122" s="506">
        <f>IFERROR(__xludf.DUMMYFUNCTION("""COMPUTED_VALUE"""),46002.6666666666)</f>
        <v/>
      </c>
      <c r="C122" s="141">
        <f>IFERROR(__xludf.DUMMYFUNCTION("""COMPUTED_VALUE"""),100.32)</f>
        <v/>
      </c>
      <c r="D122" s="141">
        <f>IFERROR(__xludf.DUMMYFUNCTION("""COMPUTED_VALUE"""),100.35)</f>
        <v/>
      </c>
      <c r="E122" s="141">
        <f>IFERROR(__xludf.DUMMYFUNCTION("""COMPUTED_VALUE"""),100.08)</f>
        <v/>
      </c>
      <c r="F122" s="141">
        <f>IFERROR(__xludf.DUMMYFUNCTION("""COMPUTED_VALUE"""),100.12)</f>
        <v/>
      </c>
      <c r="G122" s="143">
        <f>IFERROR(__xludf.DUMMYFUNCTION("""COMPUTED_VALUE"""),9961268)</f>
        <v/>
      </c>
      <c r="H122" s="27" t="n"/>
    </row>
    <row r="123" ht="17.25" customHeight="1" s="322">
      <c r="A123" s="27" t="n"/>
      <c r="B123" s="506">
        <f>IFERROR(__xludf.DUMMYFUNCTION("""COMPUTED_VALUE"""),46003.6666666666)</f>
        <v/>
      </c>
      <c r="C123" s="141">
        <f>IFERROR(__xludf.DUMMYFUNCTION("""COMPUTED_VALUE"""),99.84)</f>
        <v/>
      </c>
      <c r="D123" s="141">
        <f>IFERROR(__xludf.DUMMYFUNCTION("""COMPUTED_VALUE"""),99.92)</f>
        <v/>
      </c>
      <c r="E123" s="141">
        <f>IFERROR(__xludf.DUMMYFUNCTION("""COMPUTED_VALUE"""),99.78)</f>
        <v/>
      </c>
      <c r="F123" s="141">
        <f>IFERROR(__xludf.DUMMYFUNCTION("""COMPUTED_VALUE"""),99.81)</f>
        <v/>
      </c>
      <c r="G123" s="143">
        <f>IFERROR(__xludf.DUMMYFUNCTION("""COMPUTED_VALUE"""),7588508)</f>
        <v/>
      </c>
      <c r="H123" s="27" t="n"/>
    </row>
    <row r="124" ht="17.25" customHeight="1" s="322">
      <c r="A124" s="27" t="n"/>
      <c r="B124" s="506">
        <f>IFERROR(__xludf.DUMMYFUNCTION("""COMPUTED_VALUE"""),46006.6666666666)</f>
        <v/>
      </c>
      <c r="C124" s="141">
        <f>IFERROR(__xludf.DUMMYFUNCTION("""COMPUTED_VALUE"""),100.01)</f>
        <v/>
      </c>
      <c r="D124" s="141">
        <f>IFERROR(__xludf.DUMMYFUNCTION("""COMPUTED_VALUE"""),100.08)</f>
        <v/>
      </c>
      <c r="E124" s="141">
        <f>IFERROR(__xludf.DUMMYFUNCTION("""COMPUTED_VALUE"""),99.88)</f>
        <v/>
      </c>
      <c r="F124" s="141">
        <f>IFERROR(__xludf.DUMMYFUNCTION("""COMPUTED_VALUE"""),99.91)</f>
        <v/>
      </c>
      <c r="G124" s="143">
        <f>IFERROR(__xludf.DUMMYFUNCTION("""COMPUTED_VALUE"""),9960413)</f>
        <v/>
      </c>
      <c r="H124" s="27" t="n"/>
    </row>
    <row r="125" ht="17.25" customHeight="1" s="322">
      <c r="A125" s="27" t="n"/>
      <c r="B125" s="506">
        <f>IFERROR(__xludf.DUMMYFUNCTION("""COMPUTED_VALUE"""),46007.6666666666)</f>
        <v/>
      </c>
      <c r="C125" s="141">
        <f>IFERROR(__xludf.DUMMYFUNCTION("""COMPUTED_VALUE"""),99.87)</f>
        <v/>
      </c>
      <c r="D125" s="141">
        <f>IFERROR(__xludf.DUMMYFUNCTION("""COMPUTED_VALUE"""),100.15)</f>
        <v/>
      </c>
      <c r="E125" s="141">
        <f>IFERROR(__xludf.DUMMYFUNCTION("""COMPUTED_VALUE"""),99.86)</f>
        <v/>
      </c>
      <c r="F125" s="141">
        <f>IFERROR(__xludf.DUMMYFUNCTION("""COMPUTED_VALUE"""),100.1)</f>
        <v/>
      </c>
      <c r="G125" s="143">
        <f>IFERROR(__xludf.DUMMYFUNCTION("""COMPUTED_VALUE"""),8614448)</f>
        <v/>
      </c>
      <c r="H125" s="27" t="n"/>
    </row>
    <row r="126" ht="17.25" customHeight="1" s="322">
      <c r="A126" s="27" t="n"/>
      <c r="B126" s="506">
        <f>IFERROR(__xludf.DUMMYFUNCTION("""COMPUTED_VALUE"""),46008.6666666666)</f>
        <v/>
      </c>
      <c r="C126" s="141">
        <f>IFERROR(__xludf.DUMMYFUNCTION("""COMPUTED_VALUE"""),100.03)</f>
        <v/>
      </c>
      <c r="D126" s="141">
        <f>IFERROR(__xludf.DUMMYFUNCTION("""COMPUTED_VALUE"""),100.14)</f>
        <v/>
      </c>
      <c r="E126" s="141">
        <f>IFERROR(__xludf.DUMMYFUNCTION("""COMPUTED_VALUE"""),100.02)</f>
        <v/>
      </c>
      <c r="F126" s="141">
        <f>IFERROR(__xludf.DUMMYFUNCTION("""COMPUTED_VALUE"""),100.07)</f>
        <v/>
      </c>
      <c r="G126" s="143">
        <f>IFERROR(__xludf.DUMMYFUNCTION("""COMPUTED_VALUE"""),12010954)</f>
        <v/>
      </c>
      <c r="H126" s="27" t="n"/>
    </row>
    <row r="127" ht="17.25" customHeight="1" s="322">
      <c r="A127" s="27" t="n"/>
      <c r="B127" s="506">
        <f>IFERROR(__xludf.DUMMYFUNCTION("""COMPUTED_VALUE"""),46009.6666666666)</f>
        <v/>
      </c>
      <c r="C127" s="141">
        <f>IFERROR(__xludf.DUMMYFUNCTION("""COMPUTED_VALUE"""),100.32)</f>
        <v/>
      </c>
      <c r="D127" s="141">
        <f>IFERROR(__xludf.DUMMYFUNCTION("""COMPUTED_VALUE"""),100.37)</f>
        <v/>
      </c>
      <c r="E127" s="141">
        <f>IFERROR(__xludf.DUMMYFUNCTION("""COMPUTED_VALUE"""),100.22)</f>
        <v/>
      </c>
      <c r="F127" s="141">
        <f>IFERROR(__xludf.DUMMYFUNCTION("""COMPUTED_VALUE"""),100.32)</f>
        <v/>
      </c>
      <c r="G127" s="143">
        <f>IFERROR(__xludf.DUMMYFUNCTION("""COMPUTED_VALUE"""),8191080)</f>
        <v/>
      </c>
      <c r="H127" s="27" t="n"/>
    </row>
    <row r="128" ht="17.25" customHeight="1" s="322">
      <c r="A128" s="27" t="n"/>
      <c r="B128" s="506">
        <f>IFERROR(__xludf.DUMMYFUNCTION("""COMPUTED_VALUE"""),46010.6666666666)</f>
        <v/>
      </c>
      <c r="C128" s="141">
        <f>IFERROR(__xludf.DUMMYFUNCTION("""COMPUTED_VALUE"""),99.89)</f>
        <v/>
      </c>
      <c r="D128" s="141">
        <f>IFERROR(__xludf.DUMMYFUNCTION("""COMPUTED_VALUE"""),99.95)</f>
        <v/>
      </c>
      <c r="E128" s="141">
        <f>IFERROR(__xludf.DUMMYFUNCTION("""COMPUTED_VALUE"""),99.8)</f>
        <v/>
      </c>
      <c r="F128" s="141">
        <f>IFERROR(__xludf.DUMMYFUNCTION("""COMPUTED_VALUE"""),99.84)</f>
        <v/>
      </c>
      <c r="G128" s="143">
        <f>IFERROR(__xludf.DUMMYFUNCTION("""COMPUTED_VALUE"""),6216568)</f>
        <v/>
      </c>
      <c r="H128" s="27" t="n"/>
    </row>
    <row r="129" ht="17.25" customHeight="1" s="322">
      <c r="A129" s="27" t="n"/>
      <c r="B129" s="506">
        <f>IFERROR(__xludf.DUMMYFUNCTION("""COMPUTED_VALUE"""),46013.6666666666)</f>
        <v/>
      </c>
      <c r="C129" s="141">
        <f>IFERROR(__xludf.DUMMYFUNCTION("""COMPUTED_VALUE"""),99.82)</f>
        <v/>
      </c>
      <c r="D129" s="141">
        <f>IFERROR(__xludf.DUMMYFUNCTION("""COMPUTED_VALUE"""),99.83)</f>
        <v/>
      </c>
      <c r="E129" s="141">
        <f>IFERROR(__xludf.DUMMYFUNCTION("""COMPUTED_VALUE"""),99.74)</f>
        <v/>
      </c>
      <c r="F129" s="141">
        <f>IFERROR(__xludf.DUMMYFUNCTION("""COMPUTED_VALUE"""),99.8)</f>
        <v/>
      </c>
      <c r="G129" s="143">
        <f>IFERROR(__xludf.DUMMYFUNCTION("""COMPUTED_VALUE"""),6178745)</f>
        <v/>
      </c>
      <c r="H129" s="27" t="n"/>
    </row>
    <row r="130" ht="17.25" customHeight="1" s="322">
      <c r="A130" s="27" t="n"/>
      <c r="B130" s="506">
        <f>IFERROR(__xludf.DUMMYFUNCTION("""COMPUTED_VALUE"""),46014.6666666666)</f>
        <v/>
      </c>
      <c r="C130" s="141">
        <f>IFERROR(__xludf.DUMMYFUNCTION("""COMPUTED_VALUE"""),99.6)</f>
        <v/>
      </c>
      <c r="D130" s="141">
        <f>IFERROR(__xludf.DUMMYFUNCTION("""COMPUTED_VALUE"""),99.82)</f>
        <v/>
      </c>
      <c r="E130" s="141">
        <f>IFERROR(__xludf.DUMMYFUNCTION("""COMPUTED_VALUE"""),99.58)</f>
        <v/>
      </c>
      <c r="F130" s="141">
        <f>IFERROR(__xludf.DUMMYFUNCTION("""COMPUTED_VALUE"""),99.8)</f>
        <v/>
      </c>
      <c r="G130" s="143">
        <f>IFERROR(__xludf.DUMMYFUNCTION("""COMPUTED_VALUE"""),9744231)</f>
        <v/>
      </c>
      <c r="H130" s="27" t="n"/>
    </row>
    <row r="131" ht="17.25" customHeight="1" s="322">
      <c r="A131" s="27" t="n"/>
      <c r="B131" s="506">
        <f>IFERROR(__xludf.DUMMYFUNCTION("""COMPUTED_VALUE"""),46015.5416666666)</f>
        <v/>
      </c>
      <c r="C131" s="141">
        <f>IFERROR(__xludf.DUMMYFUNCTION("""COMPUTED_VALUE"""),99.9)</f>
        <v/>
      </c>
      <c r="D131" s="141">
        <f>IFERROR(__xludf.DUMMYFUNCTION("""COMPUTED_VALUE"""),100.04)</f>
        <v/>
      </c>
      <c r="E131" s="141">
        <f>IFERROR(__xludf.DUMMYFUNCTION("""COMPUTED_VALUE"""),99.85)</f>
        <v/>
      </c>
      <c r="F131" s="141">
        <f>IFERROR(__xludf.DUMMYFUNCTION("""COMPUTED_VALUE"""),100.02)</f>
        <v/>
      </c>
      <c r="G131" s="143">
        <f>IFERROR(__xludf.DUMMYFUNCTION("""COMPUTED_VALUE"""),4483895)</f>
        <v/>
      </c>
      <c r="H131" s="27" t="n"/>
    </row>
    <row r="132" ht="17.25" customHeight="1" s="322">
      <c r="A132" s="27" t="n"/>
      <c r="B132" s="506">
        <f>IFERROR(__xludf.DUMMYFUNCTION("""COMPUTED_VALUE"""),46017.6666666666)</f>
        <v/>
      </c>
      <c r="C132" s="141">
        <f>IFERROR(__xludf.DUMMYFUNCTION("""COMPUTED_VALUE"""),100.13)</f>
        <v/>
      </c>
      <c r="D132" s="141">
        <f>IFERROR(__xludf.DUMMYFUNCTION("""COMPUTED_VALUE"""),100.15)</f>
        <v/>
      </c>
      <c r="E132" s="141">
        <f>IFERROR(__xludf.DUMMYFUNCTION("""COMPUTED_VALUE"""),99.97)</f>
        <v/>
      </c>
      <c r="F132" s="141">
        <f>IFERROR(__xludf.DUMMYFUNCTION("""COMPUTED_VALUE"""),100.04)</f>
        <v/>
      </c>
      <c r="G132" s="143">
        <f>IFERROR(__xludf.DUMMYFUNCTION("""COMPUTED_VALUE"""),6503670)</f>
        <v/>
      </c>
      <c r="H132" s="27" t="n"/>
    </row>
    <row r="133" ht="17.25" customHeight="1" s="322">
      <c r="A133" s="27" t="n"/>
      <c r="B133" s="506">
        <f>IFERROR(__xludf.DUMMYFUNCTION("""COMPUTED_VALUE"""),46020.6666666666)</f>
        <v/>
      </c>
      <c r="C133" s="141">
        <f>IFERROR(__xludf.DUMMYFUNCTION("""COMPUTED_VALUE"""),100.12)</f>
        <v/>
      </c>
      <c r="D133" s="141">
        <f>IFERROR(__xludf.DUMMYFUNCTION("""COMPUTED_VALUE"""),100.19)</f>
        <v/>
      </c>
      <c r="E133" s="141">
        <f>IFERROR(__xludf.DUMMYFUNCTION("""COMPUTED_VALUE"""),100.06)</f>
        <v/>
      </c>
      <c r="F133" s="141">
        <f>IFERROR(__xludf.DUMMYFUNCTION("""COMPUTED_VALUE"""),100.16)</f>
        <v/>
      </c>
      <c r="G133" s="143">
        <f>IFERROR(__xludf.DUMMYFUNCTION("""COMPUTED_VALUE"""),7886660)</f>
        <v/>
      </c>
      <c r="H133" s="27" t="n"/>
    </row>
    <row r="134" ht="17.25" customHeight="1" s="322">
      <c r="A134" s="27" t="n"/>
      <c r="B134" s="506">
        <f>IFERROR(__xludf.DUMMYFUNCTION("""COMPUTED_VALUE"""),46021.6666666666)</f>
        <v/>
      </c>
      <c r="C134" s="141">
        <f>IFERROR(__xludf.DUMMYFUNCTION("""COMPUTED_VALUE"""),100.06)</f>
        <v/>
      </c>
      <c r="D134" s="141">
        <f>IFERROR(__xludf.DUMMYFUNCTION("""COMPUTED_VALUE"""),100.18)</f>
        <v/>
      </c>
      <c r="E134" s="141">
        <f>IFERROR(__xludf.DUMMYFUNCTION("""COMPUTED_VALUE"""),100.03)</f>
        <v/>
      </c>
      <c r="F134" s="141">
        <f>IFERROR(__xludf.DUMMYFUNCTION("""COMPUTED_VALUE"""),100.12)</f>
        <v/>
      </c>
      <c r="G134" s="143">
        <f>IFERROR(__xludf.DUMMYFUNCTION("""COMPUTED_VALUE"""),7955848)</f>
        <v/>
      </c>
      <c r="H134" s="27" t="n"/>
    </row>
    <row r="135" ht="17.25" customHeight="1" s="322">
      <c r="A135" s="27" t="n"/>
      <c r="B135" s="506">
        <f>IFERROR(__xludf.DUMMYFUNCTION("""COMPUTED_VALUE"""),46022.6666666666)</f>
        <v/>
      </c>
      <c r="C135" s="141">
        <f>IFERROR(__xludf.DUMMYFUNCTION("""COMPUTED_VALUE"""),100.02)</f>
        <v/>
      </c>
      <c r="D135" s="141">
        <f>IFERROR(__xludf.DUMMYFUNCTION("""COMPUTED_VALUE"""),100.12)</f>
        <v/>
      </c>
      <c r="E135" s="141">
        <f>IFERROR(__xludf.DUMMYFUNCTION("""COMPUTED_VALUE"""),99.88)</f>
        <v/>
      </c>
      <c r="F135" s="141">
        <f>IFERROR(__xludf.DUMMYFUNCTION("""COMPUTED_VALUE"""),99.88)</f>
        <v/>
      </c>
      <c r="G135" s="143">
        <f>IFERROR(__xludf.DUMMYFUNCTION("""COMPUTED_VALUE"""),13535517)</f>
        <v/>
      </c>
      <c r="H135" s="27" t="n"/>
    </row>
    <row r="136" ht="17.25" customHeight="1" s="322">
      <c r="A136" s="27" t="n"/>
      <c r="B136" s="506">
        <f>IFERROR(__xludf.DUMMYFUNCTION("""COMPUTED_VALUE"""),46024.6666666666)</f>
        <v/>
      </c>
      <c r="C136" s="141">
        <f>IFERROR(__xludf.DUMMYFUNCTION("""COMPUTED_VALUE"""),100.01)</f>
        <v/>
      </c>
      <c r="D136" s="141">
        <f>IFERROR(__xludf.DUMMYFUNCTION("""COMPUTED_VALUE"""),100.01)</f>
        <v/>
      </c>
      <c r="E136" s="141">
        <f>IFERROR(__xludf.DUMMYFUNCTION("""COMPUTED_VALUE"""),99.81)</f>
        <v/>
      </c>
      <c r="F136" s="141">
        <f>IFERROR(__xludf.DUMMYFUNCTION("""COMPUTED_VALUE"""),99.85)</f>
        <v/>
      </c>
      <c r="G136" s="143">
        <f>IFERROR(__xludf.DUMMYFUNCTION("""COMPUTED_VALUE"""),6730314)</f>
        <v/>
      </c>
      <c r="H136" s="27" t="n"/>
    </row>
    <row r="137" ht="17.25" customHeight="1" s="322">
      <c r="A137" s="27" t="n"/>
      <c r="B137" s="506">
        <f>IFERROR(__xludf.DUMMYFUNCTION("""COMPUTED_VALUE"""),46027.6666666666)</f>
        <v/>
      </c>
      <c r="C137" s="141">
        <f>IFERROR(__xludf.DUMMYFUNCTION("""COMPUTED_VALUE"""),99.93)</f>
        <v/>
      </c>
      <c r="D137" s="141">
        <f>IFERROR(__xludf.DUMMYFUNCTION("""COMPUTED_VALUE"""),100.07)</f>
        <v/>
      </c>
      <c r="E137" s="141">
        <f>IFERROR(__xludf.DUMMYFUNCTION("""COMPUTED_VALUE"""),99.88)</f>
        <v/>
      </c>
      <c r="F137" s="141">
        <f>IFERROR(__xludf.DUMMYFUNCTION("""COMPUTED_VALUE"""),100.04)</f>
        <v/>
      </c>
      <c r="G137" s="143">
        <f>IFERROR(__xludf.DUMMYFUNCTION("""COMPUTED_VALUE"""),9364905)</f>
        <v/>
      </c>
      <c r="H137" s="27" t="n"/>
    </row>
    <row r="138" ht="17.25" customHeight="1" s="322">
      <c r="A138" s="27" t="n"/>
      <c r="B138" s="506">
        <f>IFERROR(__xludf.DUMMYFUNCTION("""COMPUTED_VALUE"""),46028.6666666666)</f>
        <v/>
      </c>
      <c r="C138" s="141">
        <f>IFERROR(__xludf.DUMMYFUNCTION("""COMPUTED_VALUE"""),99.93)</f>
        <v/>
      </c>
      <c r="D138" s="141">
        <f>IFERROR(__xludf.DUMMYFUNCTION("""COMPUTED_VALUE"""),100.03)</f>
        <v/>
      </c>
      <c r="E138" s="141">
        <f>IFERROR(__xludf.DUMMYFUNCTION("""COMPUTED_VALUE"""),99.81)</f>
        <v/>
      </c>
      <c r="F138" s="141">
        <f>IFERROR(__xludf.DUMMYFUNCTION("""COMPUTED_VALUE"""),100.02)</f>
        <v/>
      </c>
      <c r="G138" s="143">
        <f>IFERROR(__xludf.DUMMYFUNCTION("""COMPUTED_VALUE"""),8573862)</f>
        <v/>
      </c>
      <c r="H138" s="27" t="n"/>
    </row>
    <row r="139" ht="17.25" customHeight="1" s="322">
      <c r="A139" s="27" t="n"/>
      <c r="B139" s="506">
        <f>IFERROR(__xludf.DUMMYFUNCTION("""COMPUTED_VALUE"""),46029.6666666666)</f>
        <v/>
      </c>
      <c r="C139" s="141">
        <f>IFERROR(__xludf.DUMMYFUNCTION("""COMPUTED_VALUE"""),100.17)</f>
        <v/>
      </c>
      <c r="D139" s="141">
        <f>IFERROR(__xludf.DUMMYFUNCTION("""COMPUTED_VALUE"""),100.2)</f>
        <v/>
      </c>
      <c r="E139" s="141">
        <f>IFERROR(__xludf.DUMMYFUNCTION("""COMPUTED_VALUE"""),100.03)</f>
        <v/>
      </c>
      <c r="F139" s="141">
        <f>IFERROR(__xludf.DUMMYFUNCTION("""COMPUTED_VALUE"""),100.12)</f>
        <v/>
      </c>
      <c r="G139" s="143">
        <f>IFERROR(__xludf.DUMMYFUNCTION("""COMPUTED_VALUE"""),7151866)</f>
        <v/>
      </c>
      <c r="H139" s="27" t="n"/>
    </row>
    <row r="140" ht="17.25" customHeight="1" s="322">
      <c r="A140" s="27" t="n"/>
      <c r="B140" s="506">
        <f>IFERROR(__xludf.DUMMYFUNCTION("""COMPUTED_VALUE"""),46030.6666666666)</f>
        <v/>
      </c>
      <c r="C140" s="141">
        <f>IFERROR(__xludf.DUMMYFUNCTION("""COMPUTED_VALUE"""),99.94)</f>
        <v/>
      </c>
      <c r="D140" s="141">
        <f>IFERROR(__xludf.DUMMYFUNCTION("""COMPUTED_VALUE"""),100.01)</f>
        <v/>
      </c>
      <c r="E140" s="141">
        <f>IFERROR(__xludf.DUMMYFUNCTION("""COMPUTED_VALUE"""),99.91)</f>
        <v/>
      </c>
      <c r="F140" s="141">
        <f>IFERROR(__xludf.DUMMYFUNCTION("""COMPUTED_VALUE"""),99.94)</f>
        <v/>
      </c>
      <c r="G140" s="143">
        <f>IFERROR(__xludf.DUMMYFUNCTION("""COMPUTED_VALUE"""),6184140)</f>
        <v/>
      </c>
      <c r="H140" s="27" t="n"/>
    </row>
    <row r="141" ht="17.25" customHeight="1" s="322">
      <c r="A141" s="27" t="n"/>
      <c r="B141" s="506">
        <f>IFERROR(__xludf.DUMMYFUNCTION("""COMPUTED_VALUE"""),46031.6666666666)</f>
        <v/>
      </c>
      <c r="C141" s="141">
        <f>IFERROR(__xludf.DUMMYFUNCTION("""COMPUTED_VALUE"""),100.08)</f>
        <v/>
      </c>
      <c r="D141" s="141">
        <f>IFERROR(__xludf.DUMMYFUNCTION("""COMPUTED_VALUE"""),100.27)</f>
        <v/>
      </c>
      <c r="E141" s="141">
        <f>IFERROR(__xludf.DUMMYFUNCTION("""COMPUTED_VALUE"""),99.97)</f>
        <v/>
      </c>
      <c r="F141" s="141">
        <f>IFERROR(__xludf.DUMMYFUNCTION("""COMPUTED_VALUE"""),100.16)</f>
        <v/>
      </c>
      <c r="G141" s="143">
        <f>IFERROR(__xludf.DUMMYFUNCTION("""COMPUTED_VALUE"""),9879943)</f>
        <v/>
      </c>
      <c r="H141" s="27" t="n"/>
    </row>
    <row r="142" ht="17.25" customHeight="1" s="322">
      <c r="A142" s="27" t="n"/>
      <c r="B142" s="506">
        <f>IFERROR(__xludf.DUMMYFUNCTION("""COMPUTED_VALUE"""),46034.6666666666)</f>
        <v/>
      </c>
      <c r="C142" s="141">
        <f>IFERROR(__xludf.DUMMYFUNCTION("""COMPUTED_VALUE"""),100.06)</f>
        <v/>
      </c>
      <c r="D142" s="141">
        <f>IFERROR(__xludf.DUMMYFUNCTION("""COMPUTED_VALUE"""),100.21)</f>
        <v/>
      </c>
      <c r="E142" s="141">
        <f>IFERROR(__xludf.DUMMYFUNCTION("""COMPUTED_VALUE"""),100.03)</f>
        <v/>
      </c>
      <c r="F142" s="141">
        <f>IFERROR(__xludf.DUMMYFUNCTION("""COMPUTED_VALUE"""),100.11)</f>
        <v/>
      </c>
      <c r="G142" s="143">
        <f>IFERROR(__xludf.DUMMYFUNCTION("""COMPUTED_VALUE"""),9871275)</f>
        <v/>
      </c>
      <c r="H142" s="27" t="n"/>
    </row>
    <row r="143" ht="17.25" customHeight="1" s="322">
      <c r="A143" s="27" t="n"/>
      <c r="B143" s="506">
        <f>IFERROR(__xludf.DUMMYFUNCTION("""COMPUTED_VALUE"""),46035.6666666666)</f>
        <v/>
      </c>
      <c r="C143" s="141">
        <f>IFERROR(__xludf.DUMMYFUNCTION("""COMPUTED_VALUE"""),100.24)</f>
        <v/>
      </c>
      <c r="D143" s="141">
        <f>IFERROR(__xludf.DUMMYFUNCTION("""COMPUTED_VALUE"""),100.24)</f>
        <v/>
      </c>
      <c r="E143" s="141">
        <f>IFERROR(__xludf.DUMMYFUNCTION("""COMPUTED_VALUE"""),100.09)</f>
        <v/>
      </c>
      <c r="F143" s="141">
        <f>IFERROR(__xludf.DUMMYFUNCTION("""COMPUTED_VALUE"""),100.2)</f>
        <v/>
      </c>
      <c r="G143" s="143">
        <f>IFERROR(__xludf.DUMMYFUNCTION("""COMPUTED_VALUE"""),7561565)</f>
        <v/>
      </c>
      <c r="H143" s="27" t="n"/>
    </row>
    <row r="144" ht="17.25" customHeight="1" s="322">
      <c r="A144" s="27" t="n"/>
      <c r="B144" s="506">
        <f>IFERROR(__xludf.DUMMYFUNCTION("""COMPUTED_VALUE"""),46036.6666666666)</f>
        <v/>
      </c>
      <c r="C144" s="141">
        <f>IFERROR(__xludf.DUMMYFUNCTION("""COMPUTED_VALUE"""),100.23)</f>
        <v/>
      </c>
      <c r="D144" s="141">
        <f>IFERROR(__xludf.DUMMYFUNCTION("""COMPUTED_VALUE"""),100.41)</f>
        <v/>
      </c>
      <c r="E144" s="141">
        <f>IFERROR(__xludf.DUMMYFUNCTION("""COMPUTED_VALUE"""),100.23)</f>
        <v/>
      </c>
      <c r="F144" s="141">
        <f>IFERROR(__xludf.DUMMYFUNCTION("""COMPUTED_VALUE"""),100.35)</f>
        <v/>
      </c>
      <c r="G144" s="143">
        <f>IFERROR(__xludf.DUMMYFUNCTION("""COMPUTED_VALUE"""),8585382)</f>
        <v/>
      </c>
      <c r="H144" s="27" t="n"/>
    </row>
    <row r="145" ht="17.25" customHeight="1" s="322">
      <c r="A145" s="27" t="n"/>
      <c r="B145" s="506">
        <f>IFERROR(__xludf.DUMMYFUNCTION("""COMPUTED_VALUE"""),46037.6666666666)</f>
        <v/>
      </c>
      <c r="C145" s="141">
        <f>IFERROR(__xludf.DUMMYFUNCTION("""COMPUTED_VALUE"""),100.42)</f>
        <v/>
      </c>
      <c r="D145" s="141">
        <f>IFERROR(__xludf.DUMMYFUNCTION("""COMPUTED_VALUE"""),100.42)</f>
        <v/>
      </c>
      <c r="E145" s="141">
        <f>IFERROR(__xludf.DUMMYFUNCTION("""COMPUTED_VALUE"""),100.22)</f>
        <v/>
      </c>
      <c r="F145" s="141">
        <f>IFERROR(__xludf.DUMMYFUNCTION("""COMPUTED_VALUE"""),100.22)</f>
        <v/>
      </c>
      <c r="G145" s="143">
        <f>IFERROR(__xludf.DUMMYFUNCTION("""COMPUTED_VALUE"""),9923598)</f>
        <v/>
      </c>
      <c r="H145" s="27" t="n"/>
    </row>
    <row r="146" ht="17.25" customHeight="1" s="322">
      <c r="A146" s="27" t="n"/>
      <c r="B146" s="506">
        <f>IFERROR(__xludf.DUMMYFUNCTION("""COMPUTED_VALUE"""),46038.6666666666)</f>
        <v/>
      </c>
      <c r="C146" s="141">
        <f>IFERROR(__xludf.DUMMYFUNCTION("""COMPUTED_VALUE"""),100.22)</f>
        <v/>
      </c>
      <c r="D146" s="141">
        <f>IFERROR(__xludf.DUMMYFUNCTION("""COMPUTED_VALUE"""),100.24)</f>
        <v/>
      </c>
      <c r="E146" s="141">
        <f>IFERROR(__xludf.DUMMYFUNCTION("""COMPUTED_VALUE"""),100.04)</f>
        <v/>
      </c>
      <c r="F146" s="141">
        <f>IFERROR(__xludf.DUMMYFUNCTION("""COMPUTED_VALUE"""),100.05)</f>
        <v/>
      </c>
      <c r="G146" s="143">
        <f>IFERROR(__xludf.DUMMYFUNCTION("""COMPUTED_VALUE"""),10332456)</f>
        <v/>
      </c>
      <c r="H146" s="27" t="n"/>
    </row>
    <row r="147" ht="17.25" customHeight="1" s="322">
      <c r="A147" s="27" t="n"/>
      <c r="B147" s="506">
        <f>IFERROR(__xludf.DUMMYFUNCTION("""COMPUTED_VALUE"""),46042.6666666666)</f>
        <v/>
      </c>
      <c r="C147" s="141">
        <f>IFERROR(__xludf.DUMMYFUNCTION("""COMPUTED_VALUE"""),99.77)</f>
        <v/>
      </c>
      <c r="D147" s="141">
        <f>IFERROR(__xludf.DUMMYFUNCTION("""COMPUTED_VALUE"""),99.86)</f>
        <v/>
      </c>
      <c r="E147" s="141">
        <f>IFERROR(__xludf.DUMMYFUNCTION("""COMPUTED_VALUE"""),99.66)</f>
        <v/>
      </c>
      <c r="F147" s="141">
        <f>IFERROR(__xludf.DUMMYFUNCTION("""COMPUTED_VALUE"""),99.67)</f>
        <v/>
      </c>
      <c r="G147" s="143">
        <f>IFERROR(__xludf.DUMMYFUNCTION("""COMPUTED_VALUE"""),14337314)</f>
        <v/>
      </c>
      <c r="H147" s="27" t="n"/>
    </row>
    <row r="148" ht="17.25" customHeight="1" s="322">
      <c r="A148" s="27" t="n"/>
      <c r="B148" s="506">
        <f>IFERROR(__xludf.DUMMYFUNCTION("""COMPUTED_VALUE"""),46043.6666666666)</f>
        <v/>
      </c>
      <c r="C148" s="141">
        <f>IFERROR(__xludf.DUMMYFUNCTION("""COMPUTED_VALUE"""),99.77)</f>
        <v/>
      </c>
      <c r="D148" s="141">
        <f>IFERROR(__xludf.DUMMYFUNCTION("""COMPUTED_VALUE"""),100.03)</f>
        <v/>
      </c>
      <c r="E148" s="141">
        <f>IFERROR(__xludf.DUMMYFUNCTION("""COMPUTED_VALUE"""),99.72)</f>
        <v/>
      </c>
      <c r="F148" s="141">
        <f>IFERROR(__xludf.DUMMYFUNCTION("""COMPUTED_VALUE"""),100)</f>
        <v/>
      </c>
      <c r="G148" s="143">
        <f>IFERROR(__xludf.DUMMYFUNCTION("""COMPUTED_VALUE"""),16939838)</f>
        <v/>
      </c>
      <c r="H148" s="27" t="n"/>
    </row>
    <row r="149" ht="17.25" customHeight="1" s="322">
      <c r="A149" s="27" t="n"/>
      <c r="B149" s="506">
        <f>IFERROR(__xludf.DUMMYFUNCTION("""COMPUTED_VALUE"""),46044.6666666666)</f>
        <v/>
      </c>
      <c r="C149" s="141">
        <f>IFERROR(__xludf.DUMMYFUNCTION("""COMPUTED_VALUE"""),99.91)</f>
        <v/>
      </c>
      <c r="D149" s="141">
        <f>IFERROR(__xludf.DUMMYFUNCTION("""COMPUTED_VALUE"""),100.08)</f>
        <v/>
      </c>
      <c r="E149" s="141">
        <f>IFERROR(__xludf.DUMMYFUNCTION("""COMPUTED_VALUE"""),99.87)</f>
        <v/>
      </c>
      <c r="F149" s="141">
        <f>IFERROR(__xludf.DUMMYFUNCTION("""COMPUTED_VALUE"""),100.02)</f>
        <v/>
      </c>
      <c r="G149" s="143">
        <f>IFERROR(__xludf.DUMMYFUNCTION("""COMPUTED_VALUE"""),10154555)</f>
        <v/>
      </c>
      <c r="H149" s="27" t="n"/>
    </row>
    <row r="150" ht="17.25" customHeight="1" s="322">
      <c r="A150" s="27" t="n"/>
      <c r="B150" s="506">
        <f>IFERROR(__xludf.DUMMYFUNCTION("""COMPUTED_VALUE"""),46045.6666666666)</f>
        <v/>
      </c>
      <c r="C150" s="141">
        <f>IFERROR(__xludf.DUMMYFUNCTION("""COMPUTED_VALUE"""),100.05)</f>
        <v/>
      </c>
      <c r="D150" s="141">
        <f>IFERROR(__xludf.DUMMYFUNCTION("""COMPUTED_VALUE"""),100.15)</f>
        <v/>
      </c>
      <c r="E150" s="141">
        <f>IFERROR(__xludf.DUMMYFUNCTION("""COMPUTED_VALUE"""),99.96)</f>
        <v/>
      </c>
      <c r="F150" s="141">
        <f>IFERROR(__xludf.DUMMYFUNCTION("""COMPUTED_VALUE"""),100.11)</f>
        <v/>
      </c>
      <c r="G150" s="143">
        <f>IFERROR(__xludf.DUMMYFUNCTION("""COMPUTED_VALUE"""),8621395)</f>
        <v/>
      </c>
      <c r="H150" s="27" t="n"/>
    </row>
    <row r="151" ht="17.25" customHeight="1" s="322">
      <c r="A151" s="27" t="n"/>
      <c r="B151" s="506">
        <f>IFERROR(__xludf.DUMMYFUNCTION("""COMPUTED_VALUE"""),46048.6666666666)</f>
        <v/>
      </c>
      <c r="C151" s="141">
        <f>IFERROR(__xludf.DUMMYFUNCTION("""COMPUTED_VALUE"""),100.26)</f>
        <v/>
      </c>
      <c r="D151" s="141">
        <f>IFERROR(__xludf.DUMMYFUNCTION("""COMPUTED_VALUE"""),100.31)</f>
        <v/>
      </c>
      <c r="E151" s="141">
        <f>IFERROR(__xludf.DUMMYFUNCTION("""COMPUTED_VALUE"""),100.21)</f>
        <v/>
      </c>
      <c r="F151" s="141">
        <f>IFERROR(__xludf.DUMMYFUNCTION("""COMPUTED_VALUE"""),100.26)</f>
        <v/>
      </c>
      <c r="G151" s="143">
        <f>IFERROR(__xludf.DUMMYFUNCTION("""COMPUTED_VALUE"""),6527090)</f>
        <v/>
      </c>
      <c r="H151" s="27" t="n"/>
    </row>
    <row r="152" ht="17.25" customHeight="1" s="322">
      <c r="A152" s="27" t="n"/>
      <c r="B152" s="506">
        <f>IFERROR(__xludf.DUMMYFUNCTION("""COMPUTED_VALUE"""),46049.6666666666)</f>
        <v/>
      </c>
      <c r="C152" s="141">
        <f>IFERROR(__xludf.DUMMYFUNCTION("""COMPUTED_VALUE"""),100.25)</f>
        <v/>
      </c>
      <c r="D152" s="141">
        <f>IFERROR(__xludf.DUMMYFUNCTION("""COMPUTED_VALUE"""),100.33)</f>
        <v/>
      </c>
      <c r="E152" s="141">
        <f>IFERROR(__xludf.DUMMYFUNCTION("""COMPUTED_VALUE"""),100.17)</f>
        <v/>
      </c>
      <c r="F152" s="141">
        <f>IFERROR(__xludf.DUMMYFUNCTION("""COMPUTED_VALUE"""),100.19)</f>
        <v/>
      </c>
      <c r="G152" s="143">
        <f>IFERROR(__xludf.DUMMYFUNCTION("""COMPUTED_VALUE"""),7571771)</f>
        <v/>
      </c>
      <c r="H152" s="27" t="n"/>
    </row>
    <row r="153" ht="17.25" customHeight="1" s="322">
      <c r="A153" s="27" t="n"/>
      <c r="B153" s="506">
        <f>IFERROR(__xludf.DUMMYFUNCTION("""COMPUTED_VALUE"""),46050.6666666666)</f>
        <v/>
      </c>
      <c r="C153" s="141">
        <f>IFERROR(__xludf.DUMMYFUNCTION("""COMPUTED_VALUE"""),100.15)</f>
        <v/>
      </c>
      <c r="D153" s="141">
        <f>IFERROR(__xludf.DUMMYFUNCTION("""COMPUTED_VALUE"""),100.17)</f>
        <v/>
      </c>
      <c r="E153" s="141">
        <f>IFERROR(__xludf.DUMMYFUNCTION("""COMPUTED_VALUE"""),100)</f>
        <v/>
      </c>
      <c r="F153" s="141">
        <f>IFERROR(__xludf.DUMMYFUNCTION("""COMPUTED_VALUE"""),100.15)</f>
        <v/>
      </c>
      <c r="G153" s="143">
        <f>IFERROR(__xludf.DUMMYFUNCTION("""COMPUTED_VALUE"""),14730062)</f>
        <v/>
      </c>
      <c r="H153" s="27" t="n"/>
    </row>
    <row r="154" ht="17.25" customHeight="1" s="322">
      <c r="A154" s="27" t="n"/>
      <c r="B154" s="506">
        <f>IFERROR(__xludf.DUMMYFUNCTION("""COMPUTED_VALUE"""),46051.6666666666)</f>
        <v/>
      </c>
      <c r="C154" s="141">
        <f>IFERROR(__xludf.DUMMYFUNCTION("""COMPUTED_VALUE"""),100.1)</f>
        <v/>
      </c>
      <c r="D154" s="141">
        <f>IFERROR(__xludf.DUMMYFUNCTION("""COMPUTED_VALUE"""),100.24)</f>
        <v/>
      </c>
      <c r="E154" s="141">
        <f>IFERROR(__xludf.DUMMYFUNCTION("""COMPUTED_VALUE"""),100.01)</f>
        <v/>
      </c>
      <c r="F154" s="141">
        <f>IFERROR(__xludf.DUMMYFUNCTION("""COMPUTED_VALUE"""),100.15)</f>
        <v/>
      </c>
      <c r="G154" s="143">
        <f>IFERROR(__xludf.DUMMYFUNCTION("""COMPUTED_VALUE"""),10066549)</f>
        <v/>
      </c>
      <c r="H154" s="27" t="n"/>
    </row>
    <row r="155" ht="17.25" customHeight="1" s="322">
      <c r="A155" s="27" t="n"/>
      <c r="B155" s="506">
        <f>IFERROR(__xludf.DUMMYFUNCTION("""COMPUTED_VALUE"""),46052.6666666666)</f>
        <v/>
      </c>
      <c r="C155" s="141">
        <f>IFERROR(__xludf.DUMMYFUNCTION("""COMPUTED_VALUE"""),100.16)</f>
        <v/>
      </c>
      <c r="D155" s="141">
        <f>IFERROR(__xludf.DUMMYFUNCTION("""COMPUTED_VALUE"""),100.22)</f>
        <v/>
      </c>
      <c r="E155" s="141">
        <f>IFERROR(__xludf.DUMMYFUNCTION("""COMPUTED_VALUE"""),100.11)</f>
        <v/>
      </c>
      <c r="F155" s="141">
        <f>IFERROR(__xludf.DUMMYFUNCTION("""COMPUTED_VALUE"""),100.13)</f>
        <v/>
      </c>
      <c r="G155" s="143">
        <f>IFERROR(__xludf.DUMMYFUNCTION("""COMPUTED_VALUE"""),12469668)</f>
        <v/>
      </c>
      <c r="H155" s="27" t="n"/>
    </row>
    <row r="156" ht="17.25" customHeight="1" s="322">
      <c r="A156" s="27" t="n"/>
      <c r="B156" s="506">
        <f>IFERROR(__xludf.DUMMYFUNCTION("""COMPUTED_VALUE"""),46055.6666666666)</f>
        <v/>
      </c>
      <c r="C156" s="141">
        <f>IFERROR(__xludf.DUMMYFUNCTION("""COMPUTED_VALUE"""),99.84)</f>
        <v/>
      </c>
      <c r="D156" s="141">
        <f>IFERROR(__xludf.DUMMYFUNCTION("""COMPUTED_VALUE"""),99.85)</f>
        <v/>
      </c>
      <c r="E156" s="141">
        <f>IFERROR(__xludf.DUMMYFUNCTION("""COMPUTED_VALUE"""),99.66)</f>
        <v/>
      </c>
      <c r="F156" s="141">
        <f>IFERROR(__xludf.DUMMYFUNCTION("""COMPUTED_VALUE"""),99.69)</f>
        <v/>
      </c>
      <c r="G156" s="143">
        <f>IFERROR(__xludf.DUMMYFUNCTION("""COMPUTED_VALUE"""),13264310)</f>
        <v/>
      </c>
      <c r="H156" s="27" t="n"/>
    </row>
    <row r="157" ht="17.25" customHeight="1" s="322">
      <c r="A157" s="27" t="n"/>
      <c r="B157" s="506">
        <f>IFERROR(__xludf.DUMMYFUNCTION("""COMPUTED_VALUE"""),46056.6666666666)</f>
        <v/>
      </c>
      <c r="C157" s="141">
        <f>IFERROR(__xludf.DUMMYFUNCTION("""COMPUTED_VALUE"""),99.62)</f>
        <v/>
      </c>
      <c r="D157" s="141">
        <f>IFERROR(__xludf.DUMMYFUNCTION("""COMPUTED_VALUE"""),99.72)</f>
        <v/>
      </c>
      <c r="E157" s="141">
        <f>IFERROR(__xludf.DUMMYFUNCTION("""COMPUTED_VALUE"""),99.59)</f>
        <v/>
      </c>
      <c r="F157" s="141">
        <f>IFERROR(__xludf.DUMMYFUNCTION("""COMPUTED_VALUE"""),99.7)</f>
        <v/>
      </c>
      <c r="G157" s="143">
        <f>IFERROR(__xludf.DUMMYFUNCTION("""COMPUTED_VALUE"""),9358818)</f>
        <v/>
      </c>
      <c r="H157" s="27" t="n"/>
    </row>
    <row r="158" ht="17.25" customHeight="1" s="322">
      <c r="A158" s="27" t="n"/>
      <c r="B158" s="506">
        <f>IFERROR(__xludf.DUMMYFUNCTION("""COMPUTED_VALUE"""),46057.6666666666)</f>
        <v/>
      </c>
      <c r="C158" s="141">
        <f>IFERROR(__xludf.DUMMYFUNCTION("""COMPUTED_VALUE"""),99.62)</f>
        <v/>
      </c>
      <c r="D158" s="141">
        <f>IFERROR(__xludf.DUMMYFUNCTION("""COMPUTED_VALUE"""),99.75)</f>
        <v/>
      </c>
      <c r="E158" s="141">
        <f>IFERROR(__xludf.DUMMYFUNCTION("""COMPUTED_VALUE"""),99.6)</f>
        <v/>
      </c>
      <c r="F158" s="141">
        <f>IFERROR(__xludf.DUMMYFUNCTION("""COMPUTED_VALUE"""),99.64)</f>
        <v/>
      </c>
      <c r="G158" s="143">
        <f>IFERROR(__xludf.DUMMYFUNCTION("""COMPUTED_VALUE"""),12574247)</f>
        <v/>
      </c>
      <c r="H158" s="27" t="n"/>
    </row>
    <row r="159" ht="17.25" customHeight="1" s="322">
      <c r="A159" s="27" t="n"/>
      <c r="B159" s="506">
        <f>IFERROR(__xludf.DUMMYFUNCTION("""COMPUTED_VALUE"""),46058.6666666666)</f>
        <v/>
      </c>
      <c r="C159" s="141">
        <f>IFERROR(__xludf.DUMMYFUNCTION("""COMPUTED_VALUE"""),99.87)</f>
        <v/>
      </c>
      <c r="D159" s="141">
        <f>IFERROR(__xludf.DUMMYFUNCTION("""COMPUTED_VALUE"""),100.11)</f>
        <v/>
      </c>
      <c r="E159" s="141">
        <f>IFERROR(__xludf.DUMMYFUNCTION("""COMPUTED_VALUE"""),99.81)</f>
        <v/>
      </c>
      <c r="F159" s="141">
        <f>IFERROR(__xludf.DUMMYFUNCTION("""COMPUTED_VALUE"""),100.07)</f>
        <v/>
      </c>
      <c r="G159" s="143">
        <f>IFERROR(__xludf.DUMMYFUNCTION("""COMPUTED_VALUE"""),11442183)</f>
        <v/>
      </c>
      <c r="H159" s="27" t="n"/>
    </row>
    <row r="160" ht="17.25" customHeight="1" s="322">
      <c r="A160" s="27" t="n"/>
      <c r="B160" s="506">
        <f>IFERROR(__xludf.DUMMYFUNCTION("""COMPUTED_VALUE"""),46059.6666666666)</f>
        <v/>
      </c>
      <c r="C160" s="141">
        <f>IFERROR(__xludf.DUMMYFUNCTION("""COMPUTED_VALUE"""),100.09)</f>
        <v/>
      </c>
      <c r="D160" s="141">
        <f>IFERROR(__xludf.DUMMYFUNCTION("""COMPUTED_VALUE"""),100.14)</f>
        <v/>
      </c>
      <c r="E160" s="141">
        <f>IFERROR(__xludf.DUMMYFUNCTION("""COMPUTED_VALUE"""),99.98)</f>
        <v/>
      </c>
      <c r="F160" s="141">
        <f>IFERROR(__xludf.DUMMYFUNCTION("""COMPUTED_VALUE"""),100.13)</f>
        <v/>
      </c>
      <c r="G160" s="143">
        <f>IFERROR(__xludf.DUMMYFUNCTION("""COMPUTED_VALUE"""),9471919)</f>
        <v/>
      </c>
      <c r="H160" s="27" t="n"/>
    </row>
    <row r="161" ht="17.25" customHeight="1" s="322">
      <c r="A161" s="27" t="n"/>
      <c r="B161" s="506">
        <f>IFERROR(__xludf.DUMMYFUNCTION("""COMPUTED_VALUE"""),46062.6666666666)</f>
        <v/>
      </c>
      <c r="C161" s="141">
        <f>IFERROR(__xludf.DUMMYFUNCTION("""COMPUTED_VALUE"""),100.04)</f>
        <v/>
      </c>
      <c r="D161" s="141">
        <f>IFERROR(__xludf.DUMMYFUNCTION("""COMPUTED_VALUE"""),100.17)</f>
        <v/>
      </c>
      <c r="E161" s="141">
        <f>IFERROR(__xludf.DUMMYFUNCTION("""COMPUTED_VALUE"""),100)</f>
        <v/>
      </c>
      <c r="F161" s="141">
        <f>IFERROR(__xludf.DUMMYFUNCTION("""COMPUTED_VALUE"""),100.16)</f>
        <v/>
      </c>
      <c r="G161" s="143">
        <f>IFERROR(__xludf.DUMMYFUNCTION("""COMPUTED_VALUE"""),9307581)</f>
        <v/>
      </c>
      <c r="H161" s="27" t="n"/>
    </row>
    <row r="162" ht="17.25" customHeight="1" s="322">
      <c r="A162" s="27" t="n"/>
      <c r="B162" s="506">
        <f>IFERROR(__xludf.DUMMYFUNCTION("""COMPUTED_VALUE"""),46063.6666666666)</f>
        <v/>
      </c>
      <c r="C162" s="141">
        <f>IFERROR(__xludf.DUMMYFUNCTION("""COMPUTED_VALUE"""),100.4)</f>
        <v/>
      </c>
      <c r="D162" s="141">
        <f>IFERROR(__xludf.DUMMYFUNCTION("""COMPUTED_VALUE"""),100.5)</f>
        <v/>
      </c>
      <c r="E162" s="141">
        <f>IFERROR(__xludf.DUMMYFUNCTION("""COMPUTED_VALUE"""),100.37)</f>
        <v/>
      </c>
      <c r="F162" s="141">
        <f>IFERROR(__xludf.DUMMYFUNCTION("""COMPUTED_VALUE"""),100.45)</f>
        <v/>
      </c>
      <c r="G162" s="143">
        <f>IFERROR(__xludf.DUMMYFUNCTION("""COMPUTED_VALUE"""),8566531)</f>
        <v/>
      </c>
      <c r="H162" s="27" t="n"/>
    </row>
    <row r="163" ht="17.25" customHeight="1" s="322">
      <c r="A163" s="27" t="n"/>
      <c r="B163" s="506">
        <f>IFERROR(__xludf.DUMMYFUNCTION("""COMPUTED_VALUE"""),46064.6666666666)</f>
        <v/>
      </c>
      <c r="C163" s="141">
        <f>IFERROR(__xludf.DUMMYFUNCTION("""COMPUTED_VALUE"""),100.22)</f>
        <v/>
      </c>
      <c r="D163" s="141">
        <f>IFERROR(__xludf.DUMMYFUNCTION("""COMPUTED_VALUE"""),100.4)</f>
        <v/>
      </c>
      <c r="E163" s="141">
        <f>IFERROR(__xludf.DUMMYFUNCTION("""COMPUTED_VALUE"""),100.19)</f>
        <v/>
      </c>
      <c r="F163" s="141">
        <f>IFERROR(__xludf.DUMMYFUNCTION("""COMPUTED_VALUE"""),100.22)</f>
        <v/>
      </c>
      <c r="G163" s="143">
        <f>IFERROR(__xludf.DUMMYFUNCTION("""COMPUTED_VALUE"""),8484945)</f>
        <v/>
      </c>
      <c r="H163" s="27" t="n"/>
    </row>
    <row r="164" ht="17.25" customHeight="1" s="322">
      <c r="A164" s="27" t="n"/>
      <c r="B164" s="506">
        <f>IFERROR(__xludf.DUMMYFUNCTION("""COMPUTED_VALUE"""),46065.6666666666)</f>
        <v/>
      </c>
      <c r="C164" s="141">
        <f>IFERROR(__xludf.DUMMYFUNCTION("""COMPUTED_VALUE"""),100.4)</f>
        <v/>
      </c>
      <c r="D164" s="141">
        <f>IFERROR(__xludf.DUMMYFUNCTION("""COMPUTED_VALUE"""),100.7)</f>
        <v/>
      </c>
      <c r="E164" s="141">
        <f>IFERROR(__xludf.DUMMYFUNCTION("""COMPUTED_VALUE"""),100.39)</f>
        <v/>
      </c>
      <c r="F164" s="141">
        <f>IFERROR(__xludf.DUMMYFUNCTION("""COMPUTED_VALUE"""),100.67)</f>
        <v/>
      </c>
      <c r="G164" s="143">
        <f>IFERROR(__xludf.DUMMYFUNCTION("""COMPUTED_VALUE"""),11167542)</f>
        <v/>
      </c>
      <c r="H164" s="27" t="n"/>
    </row>
    <row r="165" ht="17.25" customHeight="1" s="322">
      <c r="A165" s="27" t="n"/>
      <c r="B165" s="506">
        <f>IFERROR(__xludf.DUMMYFUNCTION("""COMPUTED_VALUE"""),46066.6666666666)</f>
        <v/>
      </c>
      <c r="C165" s="141">
        <f>IFERROR(__xludf.DUMMYFUNCTION("""COMPUTED_VALUE"""),100.93)</f>
        <v/>
      </c>
      <c r="D165" s="141">
        <f>IFERROR(__xludf.DUMMYFUNCTION("""COMPUTED_VALUE"""),101.01)</f>
        <v/>
      </c>
      <c r="E165" s="141">
        <f>IFERROR(__xludf.DUMMYFUNCTION("""COMPUTED_VALUE"""),100.89)</f>
        <v/>
      </c>
      <c r="F165" s="141">
        <f>IFERROR(__xludf.DUMMYFUNCTION("""COMPUTED_VALUE"""),100.99)</f>
        <v/>
      </c>
      <c r="G165" s="143">
        <f>IFERROR(__xludf.DUMMYFUNCTION("""COMPUTED_VALUE"""),5927123)</f>
        <v/>
      </c>
      <c r="H165" s="27" t="n"/>
    </row>
    <row r="166" ht="17.25" customHeight="1" s="322">
      <c r="A166" s="27" t="n"/>
      <c r="B166" s="506">
        <f>IFERROR(__xludf.DUMMYFUNCTION("""COMPUTED_VALUE"""),46070.6666666666)</f>
        <v/>
      </c>
      <c r="C166" s="141">
        <f>IFERROR(__xludf.DUMMYFUNCTION("""COMPUTED_VALUE"""),101)</f>
        <v/>
      </c>
      <c r="D166" s="141">
        <f>IFERROR(__xludf.DUMMYFUNCTION("""COMPUTED_VALUE"""),101.04)</f>
        <v/>
      </c>
      <c r="E166" s="141">
        <f>IFERROR(__xludf.DUMMYFUNCTION("""COMPUTED_VALUE"""),100.94)</f>
        <v/>
      </c>
      <c r="F166" s="141">
        <f>IFERROR(__xludf.DUMMYFUNCTION("""COMPUTED_VALUE"""),101)</f>
        <v/>
      </c>
      <c r="G166" s="143">
        <f>IFERROR(__xludf.DUMMYFUNCTION("""COMPUTED_VALUE"""),6588816)</f>
        <v/>
      </c>
      <c r="H166" s="27" t="n"/>
    </row>
    <row r="167" ht="17.25" customHeight="1" s="322">
      <c r="A167" s="27" t="n"/>
      <c r="B167" s="506">
        <f>IFERROR(__xludf.DUMMYFUNCTION("""COMPUTED_VALUE"""),46071.6666666666)</f>
        <v/>
      </c>
      <c r="C167" s="141">
        <f>IFERROR(__xludf.DUMMYFUNCTION("""COMPUTED_VALUE"""),100.87)</f>
        <v/>
      </c>
      <c r="D167" s="141">
        <f>IFERROR(__xludf.DUMMYFUNCTION("""COMPUTED_VALUE"""),100.96)</f>
        <v/>
      </c>
      <c r="E167" s="141">
        <f>IFERROR(__xludf.DUMMYFUNCTION("""COMPUTED_VALUE"""),100.84)</f>
        <v/>
      </c>
      <c r="F167" s="141">
        <f>IFERROR(__xludf.DUMMYFUNCTION("""COMPUTED_VALUE"""),100.86)</f>
        <v/>
      </c>
      <c r="G167" s="143">
        <f>IFERROR(__xludf.DUMMYFUNCTION("""COMPUTED_VALUE"""),5460232)</f>
        <v/>
      </c>
      <c r="H167" s="27" t="n"/>
    </row>
    <row r="168" ht="17.25" customHeight="1" s="322">
      <c r="A168" s="27" t="n"/>
      <c r="B168" s="506">
        <f>IFERROR(__xludf.DUMMYFUNCTION("""COMPUTED_VALUE"""),46072.6666666666)</f>
        <v/>
      </c>
      <c r="C168" s="141">
        <f>IFERROR(__xludf.DUMMYFUNCTION("""COMPUTED_VALUE"""),100.79)</f>
        <v/>
      </c>
      <c r="D168" s="141">
        <f>IFERROR(__xludf.DUMMYFUNCTION("""COMPUTED_VALUE"""),100.94)</f>
        <v/>
      </c>
      <c r="E168" s="141">
        <f>IFERROR(__xludf.DUMMYFUNCTION("""COMPUTED_VALUE"""),100.77)</f>
        <v/>
      </c>
      <c r="F168" s="141">
        <f>IFERROR(__xludf.DUMMYFUNCTION("""COMPUTED_VALUE"""),100.88)</f>
        <v/>
      </c>
      <c r="G168" s="143">
        <f>IFERROR(__xludf.DUMMYFUNCTION("""COMPUTED_VALUE"""),6600713)</f>
        <v/>
      </c>
      <c r="H168" s="27" t="n"/>
    </row>
    <row r="169" ht="17.25" customHeight="1" s="322">
      <c r="A169" s="27" t="n"/>
      <c r="B169" s="506">
        <f>IFERROR(__xludf.DUMMYFUNCTION("""COMPUTED_VALUE"""),46073.6666666666)</f>
        <v/>
      </c>
      <c r="C169" s="141">
        <f>IFERROR(__xludf.DUMMYFUNCTION("""COMPUTED_VALUE"""),100.9)</f>
        <v/>
      </c>
      <c r="D169" s="141">
        <f>IFERROR(__xludf.DUMMYFUNCTION("""COMPUTED_VALUE"""),100.93)</f>
        <v/>
      </c>
      <c r="E169" s="141">
        <f>IFERROR(__xludf.DUMMYFUNCTION("""COMPUTED_VALUE"""),100.74)</f>
        <v/>
      </c>
      <c r="F169" s="141">
        <f>IFERROR(__xludf.DUMMYFUNCTION("""COMPUTED_VALUE"""),100.9)</f>
        <v/>
      </c>
      <c r="G169" s="143">
        <f>IFERROR(__xludf.DUMMYFUNCTION("""COMPUTED_VALUE"""),8651032)</f>
        <v/>
      </c>
      <c r="H169" s="27" t="n"/>
    </row>
    <row r="170" ht="17.25" customHeight="1" s="322">
      <c r="A170" s="27" t="n"/>
      <c r="B170" s="506">
        <f>IFERROR(__xludf.DUMMYFUNCTION("""COMPUTED_VALUE"""),46076.6666666666)</f>
        <v/>
      </c>
      <c r="C170" s="141">
        <f>IFERROR(__xludf.DUMMYFUNCTION("""COMPUTED_VALUE"""),100.96)</f>
        <v/>
      </c>
      <c r="D170" s="141">
        <f>IFERROR(__xludf.DUMMYFUNCTION("""COMPUTED_VALUE"""),101.18)</f>
        <v/>
      </c>
      <c r="E170" s="141">
        <f>IFERROR(__xludf.DUMMYFUNCTION("""COMPUTED_VALUE"""),100.95)</f>
        <v/>
      </c>
      <c r="F170" s="141">
        <f>IFERROR(__xludf.DUMMYFUNCTION("""COMPUTED_VALUE"""),101.1)</f>
        <v/>
      </c>
      <c r="G170" s="143">
        <f>IFERROR(__xludf.DUMMYFUNCTION("""COMPUTED_VALUE"""),9650747)</f>
        <v/>
      </c>
      <c r="H170" s="27" t="n"/>
    </row>
    <row r="171" ht="17.25" customHeight="1" s="322">
      <c r="A171" s="27" t="n"/>
      <c r="B171" s="506">
        <f>IFERROR(__xludf.DUMMYFUNCTION("""COMPUTED_VALUE"""),46077.6666666666)</f>
        <v/>
      </c>
      <c r="C171" s="141">
        <f>IFERROR(__xludf.DUMMYFUNCTION("""COMPUTED_VALUE"""),101.09)</f>
        <v/>
      </c>
      <c r="D171" s="141">
        <f>IFERROR(__xludf.DUMMYFUNCTION("""COMPUTED_VALUE"""),101.15)</f>
        <v/>
      </c>
      <c r="E171" s="141">
        <f>IFERROR(__xludf.DUMMYFUNCTION("""COMPUTED_VALUE"""),101.01)</f>
        <v/>
      </c>
      <c r="F171" s="141">
        <f>IFERROR(__xludf.DUMMYFUNCTION("""COMPUTED_VALUE"""),101.09)</f>
        <v/>
      </c>
      <c r="G171" s="143">
        <f>IFERROR(__xludf.DUMMYFUNCTION("""COMPUTED_VALUE"""),7588071)</f>
        <v/>
      </c>
      <c r="H171" s="27" t="n"/>
    </row>
    <row r="172" ht="17.25" customHeight="1" s="322">
      <c r="A172" s="27" t="n"/>
      <c r="B172" s="506">
        <f>IFERROR(__xludf.DUMMYFUNCTION("""COMPUTED_VALUE"""),46078.6666666666)</f>
        <v/>
      </c>
      <c r="C172" s="141">
        <f>IFERROR(__xludf.DUMMYFUNCTION("""COMPUTED_VALUE"""),101.01)</f>
        <v/>
      </c>
      <c r="D172" s="141">
        <f>IFERROR(__xludf.DUMMYFUNCTION("""COMPUTED_VALUE"""),101.13)</f>
        <v/>
      </c>
      <c r="E172" s="141">
        <f>IFERROR(__xludf.DUMMYFUNCTION("""COMPUTED_VALUE"""),101.01)</f>
        <v/>
      </c>
      <c r="F172" s="141">
        <f>IFERROR(__xludf.DUMMYFUNCTION("""COMPUTED_VALUE"""),101.04)</f>
        <v/>
      </c>
      <c r="G172" s="143">
        <f>IFERROR(__xludf.DUMMYFUNCTION("""COMPUTED_VALUE"""),6867386)</f>
        <v/>
      </c>
      <c r="H172" s="27" t="n"/>
    </row>
    <row r="173" ht="17.25" customHeight="1" s="322">
      <c r="A173" s="27" t="n"/>
      <c r="B173" s="506">
        <f>IFERROR(__xludf.DUMMYFUNCTION("""COMPUTED_VALUE"""),46079.6666666666)</f>
        <v/>
      </c>
      <c r="C173" s="141">
        <f>IFERROR(__xludf.DUMMYFUNCTION("""COMPUTED_VALUE"""),101.09)</f>
        <v/>
      </c>
      <c r="D173" s="141">
        <f>IFERROR(__xludf.DUMMYFUNCTION("""COMPUTED_VALUE"""),101.21)</f>
        <v/>
      </c>
      <c r="E173" s="141">
        <f>IFERROR(__xludf.DUMMYFUNCTION("""COMPUTED_VALUE"""),101.08)</f>
        <v/>
      </c>
      <c r="F173" s="141">
        <f>IFERROR(__xludf.DUMMYFUNCTION("""COMPUTED_VALUE"""),101.2)</f>
        <v/>
      </c>
      <c r="G173" s="143">
        <f>IFERROR(__xludf.DUMMYFUNCTION("""COMPUTED_VALUE"""),8917156)</f>
        <v/>
      </c>
      <c r="H173" s="27" t="n"/>
    </row>
    <row r="174" ht="17.25" customHeight="1" s="322">
      <c r="A174" s="27" t="n"/>
      <c r="B174" s="506">
        <f>IFERROR(__xludf.DUMMYFUNCTION("""COMPUTED_VALUE"""),46080.6666666666)</f>
        <v/>
      </c>
      <c r="C174" s="141">
        <f>IFERROR(__xludf.DUMMYFUNCTION("""COMPUTED_VALUE"""),101.37)</f>
        <v/>
      </c>
      <c r="D174" s="141">
        <f>IFERROR(__xludf.DUMMYFUNCTION("""COMPUTED_VALUE"""),101.46)</f>
        <v/>
      </c>
      <c r="E174" s="141">
        <f>IFERROR(__xludf.DUMMYFUNCTION("""COMPUTED_VALUE"""),101.34)</f>
        <v/>
      </c>
      <c r="F174" s="141">
        <f>IFERROR(__xludf.DUMMYFUNCTION("""COMPUTED_VALUE"""),101.4)</f>
        <v/>
      </c>
      <c r="G174" s="143">
        <f>IFERROR(__xludf.DUMMYFUNCTION("""COMPUTED_VALUE"""),9016313)</f>
        <v/>
      </c>
      <c r="H174" s="27" t="n"/>
    </row>
    <row r="175" ht="17.25" customHeight="1" s="322">
      <c r="A175" s="27" t="n"/>
      <c r="B175" s="506">
        <f>IFERROR(__xludf.DUMMYFUNCTION("""COMPUTED_VALUE"""),46083.6666666666)</f>
        <v/>
      </c>
      <c r="C175" s="141">
        <f>IFERROR(__xludf.DUMMYFUNCTION("""COMPUTED_VALUE"""),100.78)</f>
        <v/>
      </c>
      <c r="D175" s="141">
        <f>IFERROR(__xludf.DUMMYFUNCTION("""COMPUTED_VALUE"""),100.8)</f>
        <v/>
      </c>
      <c r="E175" s="141">
        <f>IFERROR(__xludf.DUMMYFUNCTION("""COMPUTED_VALUE"""),100.56)</f>
        <v/>
      </c>
      <c r="F175" s="141">
        <f>IFERROR(__xludf.DUMMYFUNCTION("""COMPUTED_VALUE"""),100.68)</f>
        <v/>
      </c>
      <c r="G175" s="143">
        <f>IFERROR(__xludf.DUMMYFUNCTION("""COMPUTED_VALUE"""),10203570)</f>
        <v/>
      </c>
      <c r="H175" s="27" t="n"/>
    </row>
    <row r="176" ht="17.25" customHeight="1" s="322">
      <c r="A176" s="27" t="n"/>
      <c r="B176" s="506">
        <f>IFERROR(__xludf.DUMMYFUNCTION("""COMPUTED_VALUE"""),46084.6666666666)</f>
        <v/>
      </c>
      <c r="C176" s="141">
        <f>IFERROR(__xludf.DUMMYFUNCTION("""COMPUTED_VALUE"""),100.26)</f>
        <v/>
      </c>
      <c r="D176" s="141">
        <f>IFERROR(__xludf.DUMMYFUNCTION("""COMPUTED_VALUE"""),100.71)</f>
        <v/>
      </c>
      <c r="E176" s="141">
        <f>IFERROR(__xludf.DUMMYFUNCTION("""COMPUTED_VALUE"""),100.24)</f>
        <v/>
      </c>
      <c r="F176" s="141">
        <f>IFERROR(__xludf.DUMMYFUNCTION("""COMPUTED_VALUE"""),100.57)</f>
        <v/>
      </c>
      <c r="G176" s="143">
        <f>IFERROR(__xludf.DUMMYFUNCTION("""COMPUTED_VALUE"""),10436348)</f>
        <v/>
      </c>
      <c r="H176" s="27" t="n"/>
    </row>
    <row r="177" ht="17.25" customHeight="1" s="322">
      <c r="A177" s="27" t="n"/>
      <c r="B177" s="506">
        <f>IFERROR(__xludf.DUMMYFUNCTION("""COMPUTED_VALUE"""),46085.6666666666)</f>
        <v/>
      </c>
      <c r="C177" s="141">
        <f>IFERROR(__xludf.DUMMYFUNCTION("""COMPUTED_VALUE"""),100.58)</f>
        <v/>
      </c>
      <c r="D177" s="141">
        <f>IFERROR(__xludf.DUMMYFUNCTION("""COMPUTED_VALUE"""),100.62)</f>
        <v/>
      </c>
      <c r="E177" s="141">
        <f>IFERROR(__xludf.DUMMYFUNCTION("""COMPUTED_VALUE"""),100.48)</f>
        <v/>
      </c>
      <c r="F177" s="141">
        <f>IFERROR(__xludf.DUMMYFUNCTION("""COMPUTED_VALUE"""),100.53)</f>
        <v/>
      </c>
      <c r="G177" s="143">
        <f>IFERROR(__xludf.DUMMYFUNCTION("""COMPUTED_VALUE"""),13741301)</f>
        <v/>
      </c>
      <c r="H177" s="27" t="n"/>
    </row>
    <row r="178" ht="17.25" customHeight="1" s="322">
      <c r="A178" s="27" t="n"/>
      <c r="B178" s="506">
        <f>IFERROR(__xludf.DUMMYFUNCTION("""COMPUTED_VALUE"""),46086.6666666666)</f>
        <v/>
      </c>
      <c r="C178" s="141">
        <f>IFERROR(__xludf.DUMMYFUNCTION("""COMPUTED_VALUE"""),100.22)</f>
        <v/>
      </c>
      <c r="D178" s="141">
        <f>IFERROR(__xludf.DUMMYFUNCTION("""COMPUTED_VALUE"""),100.32)</f>
        <v/>
      </c>
      <c r="E178" s="141">
        <f>IFERROR(__xludf.DUMMYFUNCTION("""COMPUTED_VALUE"""),100.15)</f>
        <v/>
      </c>
      <c r="F178" s="141">
        <f>IFERROR(__xludf.DUMMYFUNCTION("""COMPUTED_VALUE"""),100.24)</f>
        <v/>
      </c>
      <c r="G178" s="143">
        <f>IFERROR(__xludf.DUMMYFUNCTION("""COMPUTED_VALUE"""),8474106)</f>
        <v/>
      </c>
      <c r="H178" s="27" t="n"/>
    </row>
    <row r="179" ht="17.25" customHeight="1" s="322">
      <c r="A179" s="27" t="n"/>
      <c r="B179" s="506">
        <f>IFERROR(__xludf.DUMMYFUNCTION("""COMPUTED_VALUE"""),46087.6666666666)</f>
        <v/>
      </c>
      <c r="C179" s="141">
        <f>IFERROR(__xludf.DUMMYFUNCTION("""COMPUTED_VALUE"""),99.97)</f>
        <v/>
      </c>
      <c r="D179" s="141">
        <f>IFERROR(__xludf.DUMMYFUNCTION("""COMPUTED_VALUE"""),100.37)</f>
        <v/>
      </c>
      <c r="E179" s="141">
        <f>IFERROR(__xludf.DUMMYFUNCTION("""COMPUTED_VALUE"""),99.91)</f>
        <v/>
      </c>
      <c r="F179" s="141">
        <f>IFERROR(__xludf.DUMMYFUNCTION("""COMPUTED_VALUE"""),100.12)</f>
        <v/>
      </c>
      <c r="G179" s="143">
        <f>IFERROR(__xludf.DUMMYFUNCTION("""COMPUTED_VALUE"""),9355702)</f>
        <v/>
      </c>
      <c r="H179" s="27" t="n"/>
    </row>
    <row r="180" ht="17.25" customHeight="1" s="322">
      <c r="A180" s="27" t="n"/>
      <c r="B180" s="506">
        <f>IFERROR(__xludf.DUMMYFUNCTION("""COMPUTED_VALUE"""),46090.6666666666)</f>
        <v/>
      </c>
      <c r="C180" s="141">
        <f>IFERROR(__xludf.DUMMYFUNCTION("""COMPUTED_VALUE"""),100.08)</f>
        <v/>
      </c>
      <c r="D180" s="141">
        <f>IFERROR(__xludf.DUMMYFUNCTION("""COMPUTED_VALUE"""),100.48)</f>
        <v/>
      </c>
      <c r="E180" s="141">
        <f>IFERROR(__xludf.DUMMYFUNCTION("""COMPUTED_VALUE"""),99.96)</f>
        <v/>
      </c>
      <c r="F180" s="141">
        <f>IFERROR(__xludf.DUMMYFUNCTION("""COMPUTED_VALUE"""),100.44)</f>
        <v/>
      </c>
      <c r="G180" s="143">
        <f>IFERROR(__xludf.DUMMYFUNCTION("""COMPUTED_VALUE"""),8588972)</f>
        <v/>
      </c>
      <c r="H180" s="27" t="n"/>
    </row>
    <row r="181" ht="17.25" customHeight="1" s="322">
      <c r="A181" s="27" t="n"/>
      <c r="B181" s="506">
        <f>IFERROR(__xludf.DUMMYFUNCTION("""COMPUTED_VALUE"""),46091.6666666666)</f>
        <v/>
      </c>
      <c r="C181" s="141">
        <f>IFERROR(__xludf.DUMMYFUNCTION("""COMPUTED_VALUE"""),100.36)</f>
        <v/>
      </c>
      <c r="D181" s="141">
        <f>IFERROR(__xludf.DUMMYFUNCTION("""COMPUTED_VALUE"""),100.44)</f>
        <v/>
      </c>
      <c r="E181" s="141">
        <f>IFERROR(__xludf.DUMMYFUNCTION("""COMPUTED_VALUE"""),100.11)</f>
        <v/>
      </c>
      <c r="F181" s="141">
        <f>IFERROR(__xludf.DUMMYFUNCTION("""COMPUTED_VALUE"""),100.11)</f>
        <v/>
      </c>
      <c r="G181" s="143">
        <f>IFERROR(__xludf.DUMMYFUNCTION("""COMPUTED_VALUE"""),10177277)</f>
        <v/>
      </c>
      <c r="H181" s="27" t="n"/>
    </row>
    <row r="182" ht="17.25" customHeight="1" s="322">
      <c r="A182" s="27" t="n"/>
      <c r="B182" s="506">
        <f>IFERROR(__xludf.DUMMYFUNCTION("""COMPUTED_VALUE"""),46092.6666666666)</f>
        <v/>
      </c>
      <c r="C182" s="141">
        <f>IFERROR(__xludf.DUMMYFUNCTION("""COMPUTED_VALUE"""),99.92)</f>
        <v/>
      </c>
      <c r="D182" s="141">
        <f>IFERROR(__xludf.DUMMYFUNCTION("""COMPUTED_VALUE"""),100)</f>
        <v/>
      </c>
      <c r="E182" s="141">
        <f>IFERROR(__xludf.DUMMYFUNCTION("""COMPUTED_VALUE"""),99.61)</f>
        <v/>
      </c>
      <c r="F182" s="141">
        <f>IFERROR(__xludf.DUMMYFUNCTION("""COMPUTED_VALUE"""),99.66)</f>
        <v/>
      </c>
      <c r="G182" s="143">
        <f>IFERROR(__xludf.DUMMYFUNCTION("""COMPUTED_VALUE"""),5933234)</f>
        <v/>
      </c>
      <c r="H182" s="27" t="n"/>
    </row>
    <row r="183" ht="17.25" customHeight="1" s="322">
      <c r="A183" s="27" t="n"/>
      <c r="B183" s="506">
        <f>IFERROR(__xludf.DUMMYFUNCTION("""COMPUTED_VALUE"""),46093.6666666666)</f>
        <v/>
      </c>
      <c r="C183" s="141">
        <f>IFERROR(__xludf.DUMMYFUNCTION("""COMPUTED_VALUE"""),99.5)</f>
        <v/>
      </c>
      <c r="D183" s="141">
        <f>IFERROR(__xludf.DUMMYFUNCTION("""COMPUTED_VALUE"""),99.57)</f>
        <v/>
      </c>
      <c r="E183" s="141">
        <f>IFERROR(__xludf.DUMMYFUNCTION("""COMPUTED_VALUE"""),99.18)</f>
        <v/>
      </c>
      <c r="F183" s="141">
        <f>IFERROR(__xludf.DUMMYFUNCTION("""COMPUTED_VALUE"""),99.29)</f>
        <v/>
      </c>
      <c r="G183" s="143">
        <f>IFERROR(__xludf.DUMMYFUNCTION("""COMPUTED_VALUE"""),10195965)</f>
        <v/>
      </c>
      <c r="H183" s="27" t="n"/>
    </row>
    <row r="184" ht="17.25" customHeight="1" s="322">
      <c r="A184" s="27" t="n"/>
      <c r="B184" s="506">
        <f>IFERROR(__xludf.DUMMYFUNCTION("""COMPUTED_VALUE"""),46094.6666666666)</f>
        <v/>
      </c>
      <c r="C184" s="141">
        <f>IFERROR(__xludf.DUMMYFUNCTION("""COMPUTED_VALUE"""),99.45)</f>
        <v/>
      </c>
      <c r="D184" s="141">
        <f>IFERROR(__xludf.DUMMYFUNCTION("""COMPUTED_VALUE"""),99.54)</f>
        <v/>
      </c>
      <c r="E184" s="141">
        <f>IFERROR(__xludf.DUMMYFUNCTION("""COMPUTED_VALUE"""),99.14)</f>
        <v/>
      </c>
      <c r="F184" s="141">
        <f>IFERROR(__xludf.DUMMYFUNCTION("""COMPUTED_VALUE"""),99.21)</f>
        <v/>
      </c>
      <c r="G184" s="143">
        <f>IFERROR(__xludf.DUMMYFUNCTION("""COMPUTED_VALUE"""),8749922)</f>
        <v/>
      </c>
      <c r="H184" s="27" t="n"/>
    </row>
    <row r="185" ht="17.25" customHeight="1" s="322">
      <c r="A185" s="27" t="n"/>
      <c r="B185" s="506">
        <f>IFERROR(__xludf.DUMMYFUNCTION("""COMPUTED_VALUE"""),46097.6666666666)</f>
        <v/>
      </c>
      <c r="C185" s="141">
        <f>IFERROR(__xludf.DUMMYFUNCTION("""COMPUTED_VALUE"""),99.59)</f>
        <v/>
      </c>
      <c r="D185" s="141">
        <f>IFERROR(__xludf.DUMMYFUNCTION("""COMPUTED_VALUE"""),99.65)</f>
        <v/>
      </c>
      <c r="E185" s="141">
        <f>IFERROR(__xludf.DUMMYFUNCTION("""COMPUTED_VALUE"""),99.44)</f>
        <v/>
      </c>
      <c r="F185" s="141">
        <f>IFERROR(__xludf.DUMMYFUNCTION("""COMPUTED_VALUE"""),99.6)</f>
        <v/>
      </c>
      <c r="G185" s="143">
        <f>IFERROR(__xludf.DUMMYFUNCTION("""COMPUTED_VALUE"""),6168749)</f>
        <v/>
      </c>
      <c r="H185" s="27" t="n"/>
    </row>
    <row r="186" ht="17.25" customHeight="1" s="322">
      <c r="A186" s="27" t="n"/>
      <c r="B186" s="506">
        <f>IFERROR(__xludf.DUMMYFUNCTION("""COMPUTED_VALUE"""),46098.6666666666)</f>
        <v/>
      </c>
      <c r="C186" s="141">
        <f>IFERROR(__xludf.DUMMYFUNCTION("""COMPUTED_VALUE"""),99.74)</f>
        <v/>
      </c>
      <c r="D186" s="141">
        <f>IFERROR(__xludf.DUMMYFUNCTION("""COMPUTED_VALUE"""),99.83)</f>
        <v/>
      </c>
      <c r="E186" s="141">
        <f>IFERROR(__xludf.DUMMYFUNCTION("""COMPUTED_VALUE"""),99.72)</f>
        <v/>
      </c>
      <c r="F186" s="141">
        <f>IFERROR(__xludf.DUMMYFUNCTION("""COMPUTED_VALUE"""),99.8)</f>
        <v/>
      </c>
      <c r="G186" s="143">
        <f>IFERROR(__xludf.DUMMYFUNCTION("""COMPUTED_VALUE"""),7377413)</f>
        <v/>
      </c>
      <c r="H186" s="27" t="n"/>
    </row>
    <row r="187" ht="17.25" customHeight="1" s="322">
      <c r="A187" s="27" t="n"/>
      <c r="B187" s="506">
        <f>IFERROR(__xludf.DUMMYFUNCTION("""COMPUTED_VALUE"""),46099.6666666666)</f>
        <v/>
      </c>
      <c r="C187" s="141">
        <f>IFERROR(__xludf.DUMMYFUNCTION("""COMPUTED_VALUE"""),99.66)</f>
        <v/>
      </c>
      <c r="D187" s="141">
        <f>IFERROR(__xludf.DUMMYFUNCTION("""COMPUTED_VALUE"""),99.74)</f>
        <v/>
      </c>
      <c r="E187" s="141">
        <f>IFERROR(__xludf.DUMMYFUNCTION("""COMPUTED_VALUE"""),99.38)</f>
        <v/>
      </c>
      <c r="F187" s="141">
        <f>IFERROR(__xludf.DUMMYFUNCTION("""COMPUTED_VALUE"""),99.38)</f>
        <v/>
      </c>
      <c r="G187" s="143">
        <f>IFERROR(__xludf.DUMMYFUNCTION("""COMPUTED_VALUE"""),8241323)</f>
        <v/>
      </c>
      <c r="H187" s="27" t="n"/>
    </row>
    <row r="188" ht="17.25" customHeight="1" s="322">
      <c r="A188" s="27" t="n"/>
      <c r="B188" s="506">
        <f>IFERROR(__xludf.DUMMYFUNCTION("""COMPUTED_VALUE"""),46100.6666666666)</f>
        <v/>
      </c>
      <c r="C188" s="141">
        <f>IFERROR(__xludf.DUMMYFUNCTION("""COMPUTED_VALUE"""),99.15)</f>
        <v/>
      </c>
      <c r="D188" s="141">
        <f>IFERROR(__xludf.DUMMYFUNCTION("""COMPUTED_VALUE"""),99.62)</f>
        <v/>
      </c>
      <c r="E188" s="141">
        <f>IFERROR(__xludf.DUMMYFUNCTION("""COMPUTED_VALUE"""),99.14)</f>
        <v/>
      </c>
      <c r="F188" s="141">
        <f>IFERROR(__xludf.DUMMYFUNCTION("""COMPUTED_VALUE"""),99.49)</f>
        <v/>
      </c>
      <c r="G188" s="143">
        <f>IFERROR(__xludf.DUMMYFUNCTION("""COMPUTED_VALUE"""),13223736)</f>
        <v/>
      </c>
      <c r="H188" s="27" t="n"/>
    </row>
    <row r="189" ht="17.25" customHeight="1" s="322">
      <c r="A189" s="27" t="n"/>
      <c r="B189" s="506">
        <f>IFERROR(__xludf.DUMMYFUNCTION("""COMPUTED_VALUE"""),46101.6666666666)</f>
        <v/>
      </c>
      <c r="C189" s="141">
        <f>IFERROR(__xludf.DUMMYFUNCTION("""COMPUTED_VALUE"""),99.12)</f>
        <v/>
      </c>
      <c r="D189" s="141">
        <f>IFERROR(__xludf.DUMMYFUNCTION("""COMPUTED_VALUE"""),99.17)</f>
        <v/>
      </c>
      <c r="E189" s="141">
        <f>IFERROR(__xludf.DUMMYFUNCTION("""COMPUTED_VALUE"""),98.66)</f>
        <v/>
      </c>
      <c r="F189" s="141">
        <f>IFERROR(__xludf.DUMMYFUNCTION("""COMPUTED_VALUE"""),98.66)</f>
        <v/>
      </c>
      <c r="G189" s="143">
        <f>IFERROR(__xludf.DUMMYFUNCTION("""COMPUTED_VALUE"""),14458777)</f>
        <v/>
      </c>
      <c r="H189" s="27" t="n"/>
    </row>
    <row r="190" ht="17.25" customHeight="1" s="322">
      <c r="A190" s="27" t="n"/>
      <c r="B190" s="506">
        <f>IFERROR(__xludf.DUMMYFUNCTION("""COMPUTED_VALUE"""),46104.6666666666)</f>
        <v/>
      </c>
      <c r="C190" s="141">
        <f>IFERROR(__xludf.DUMMYFUNCTION("""COMPUTED_VALUE"""),98.86)</f>
        <v/>
      </c>
      <c r="D190" s="141">
        <f>IFERROR(__xludf.DUMMYFUNCTION("""COMPUTED_VALUE"""),99.24)</f>
        <v/>
      </c>
      <c r="E190" s="141">
        <f>IFERROR(__xludf.DUMMYFUNCTION("""COMPUTED_VALUE"""),98.77)</f>
        <v/>
      </c>
      <c r="F190" s="141">
        <f>IFERROR(__xludf.DUMMYFUNCTION("""COMPUTED_VALUE"""),99.03)</f>
        <v/>
      </c>
      <c r="G190" s="143">
        <f>IFERROR(__xludf.DUMMYFUNCTION("""COMPUTED_VALUE"""),27624890)</f>
        <v/>
      </c>
      <c r="H190" s="27" t="n"/>
    </row>
    <row r="191" ht="17.25" customHeight="1" s="322">
      <c r="A191" s="27" t="n"/>
      <c r="B191" s="506">
        <f>IFERROR(__xludf.DUMMYFUNCTION("""COMPUTED_VALUE"""),46105.6666666666)</f>
        <v/>
      </c>
      <c r="C191" s="141">
        <f>IFERROR(__xludf.DUMMYFUNCTION("""COMPUTED_VALUE"""),98.63)</f>
        <v/>
      </c>
      <c r="D191" s="141">
        <f>IFERROR(__xludf.DUMMYFUNCTION("""COMPUTED_VALUE"""),98.97)</f>
        <v/>
      </c>
      <c r="E191" s="141">
        <f>IFERROR(__xludf.DUMMYFUNCTION("""COMPUTED_VALUE"""),98.57)</f>
        <v/>
      </c>
      <c r="F191" s="141">
        <f>IFERROR(__xludf.DUMMYFUNCTION("""COMPUTED_VALUE"""),98.76)</f>
        <v/>
      </c>
      <c r="G191" s="143">
        <f>IFERROR(__xludf.DUMMYFUNCTION("""COMPUTED_VALUE"""),16738670)</f>
        <v/>
      </c>
      <c r="H191" s="27" t="n"/>
    </row>
    <row r="192" ht="17.25" customHeight="1" s="322">
      <c r="A192" s="27" t="n"/>
      <c r="B192" s="506">
        <f>IFERROR(__xludf.DUMMYFUNCTION("""COMPUTED_VALUE"""),46106.6666666666)</f>
        <v/>
      </c>
      <c r="C192" s="141">
        <f>IFERROR(__xludf.DUMMYFUNCTION("""COMPUTED_VALUE"""),99.15)</f>
        <v/>
      </c>
      <c r="D192" s="141">
        <f>IFERROR(__xludf.DUMMYFUNCTION("""COMPUTED_VALUE"""),99.21)</f>
        <v/>
      </c>
      <c r="E192" s="141">
        <f>IFERROR(__xludf.DUMMYFUNCTION("""COMPUTED_VALUE"""),99)</f>
        <v/>
      </c>
      <c r="F192" s="141">
        <f>IFERROR(__xludf.DUMMYFUNCTION("""COMPUTED_VALUE"""),99.11)</f>
        <v/>
      </c>
      <c r="G192" s="143">
        <f>IFERROR(__xludf.DUMMYFUNCTION("""COMPUTED_VALUE"""),16242713)</f>
        <v/>
      </c>
      <c r="H192" s="27" t="n"/>
    </row>
    <row r="193" ht="17.25" customHeight="1" s="322">
      <c r="A193" s="27" t="n"/>
      <c r="B193" s="506">
        <f>IFERROR(__xludf.DUMMYFUNCTION("""COMPUTED_VALUE"""),46107.6666666666)</f>
        <v/>
      </c>
      <c r="C193" s="141">
        <f>IFERROR(__xludf.DUMMYFUNCTION("""COMPUTED_VALUE"""),98.84)</f>
        <v/>
      </c>
      <c r="D193" s="141">
        <f>IFERROR(__xludf.DUMMYFUNCTION("""COMPUTED_VALUE"""),98.97)</f>
        <v/>
      </c>
      <c r="E193" s="141">
        <f>IFERROR(__xludf.DUMMYFUNCTION("""COMPUTED_VALUE"""),98.55)</f>
        <v/>
      </c>
      <c r="F193" s="141">
        <f>IFERROR(__xludf.DUMMYFUNCTION("""COMPUTED_VALUE"""),98.55)</f>
        <v/>
      </c>
      <c r="G193" s="143">
        <f>IFERROR(__xludf.DUMMYFUNCTION("""COMPUTED_VALUE"""),12299448)</f>
        <v/>
      </c>
      <c r="H193" s="27" t="n"/>
    </row>
    <row r="194" ht="17.25" customHeight="1" s="322">
      <c r="A194" s="27" t="n"/>
      <c r="B194" s="506">
        <f>IFERROR(__xludf.DUMMYFUNCTION("""COMPUTED_VALUE"""),46108.6666666666)</f>
        <v/>
      </c>
      <c r="C194" s="141">
        <f>IFERROR(__xludf.DUMMYFUNCTION("""COMPUTED_VALUE"""),98.34)</f>
        <v/>
      </c>
      <c r="D194" s="141">
        <f>IFERROR(__xludf.DUMMYFUNCTION("""COMPUTED_VALUE"""),98.67)</f>
        <v/>
      </c>
      <c r="E194" s="141">
        <f>IFERROR(__xludf.DUMMYFUNCTION("""COMPUTED_VALUE"""),98.29)</f>
        <v/>
      </c>
      <c r="F194" s="141">
        <f>IFERROR(__xludf.DUMMYFUNCTION("""COMPUTED_VALUE"""),98.54)</f>
        <v/>
      </c>
      <c r="G194" s="143">
        <f>IFERROR(__xludf.DUMMYFUNCTION("""COMPUTED_VALUE"""),15511343)</f>
        <v/>
      </c>
      <c r="H194" s="27" t="n"/>
    </row>
    <row r="195" ht="17.25" customHeight="1" s="322">
      <c r="A195" s="27" t="n"/>
      <c r="B195" s="506">
        <f>IFERROR(__xludf.DUMMYFUNCTION("""COMPUTED_VALUE"""),46111.6666666666)</f>
        <v/>
      </c>
      <c r="C195" s="141">
        <f>IFERROR(__xludf.DUMMYFUNCTION("""COMPUTED_VALUE"""),99.03)</f>
        <v/>
      </c>
      <c r="D195" s="141">
        <f>IFERROR(__xludf.DUMMYFUNCTION("""COMPUTED_VALUE"""),99.2)</f>
        <v/>
      </c>
      <c r="E195" s="141">
        <f>IFERROR(__xludf.DUMMYFUNCTION("""COMPUTED_VALUE"""),98.95)</f>
        <v/>
      </c>
      <c r="F195" s="141">
        <f>IFERROR(__xludf.DUMMYFUNCTION("""COMPUTED_VALUE"""),99.04)</f>
        <v/>
      </c>
      <c r="G195" s="143">
        <f>IFERROR(__xludf.DUMMYFUNCTION("""COMPUTED_VALUE"""),12882722)</f>
        <v/>
      </c>
      <c r="H195" s="27" t="n"/>
    </row>
    <row r="196" ht="17.25" customHeight="1" s="322">
      <c r="A196" s="27" t="n"/>
      <c r="B196" s="506">
        <f>IFERROR(__xludf.DUMMYFUNCTION("""COMPUTED_VALUE"""),46112.6666666666)</f>
        <v/>
      </c>
      <c r="C196" s="141">
        <f>IFERROR(__xludf.DUMMYFUNCTION("""COMPUTED_VALUE"""),99.28)</f>
        <v/>
      </c>
      <c r="D196" s="141">
        <f>IFERROR(__xludf.DUMMYFUNCTION("""COMPUTED_VALUE"""),99.48)</f>
        <v/>
      </c>
      <c r="E196" s="141">
        <f>IFERROR(__xludf.DUMMYFUNCTION("""COMPUTED_VALUE"""),99.18)</f>
        <v/>
      </c>
      <c r="F196" s="141">
        <f>IFERROR(__xludf.DUMMYFUNCTION("""COMPUTED_VALUE"""),99.27)</f>
        <v/>
      </c>
      <c r="G196" s="143">
        <f>IFERROR(__xludf.DUMMYFUNCTION("""COMPUTED_VALUE"""),23478539)</f>
        <v/>
      </c>
      <c r="H196" s="27" t="n"/>
    </row>
    <row r="197" ht="17.25" customHeight="1" s="322">
      <c r="A197" s="27" t="n"/>
      <c r="B197" s="506">
        <f>IFERROR(__xludf.DUMMYFUNCTION("""COMPUTED_VALUE"""),46113.6666666666)</f>
        <v/>
      </c>
      <c r="C197" s="141">
        <f>IFERROR(__xludf.DUMMYFUNCTION("""COMPUTED_VALUE"""),98.97)</f>
        <v/>
      </c>
      <c r="D197" s="141">
        <f>IFERROR(__xludf.DUMMYFUNCTION("""COMPUTED_VALUE"""),99.17)</f>
        <v/>
      </c>
      <c r="E197" s="141">
        <f>IFERROR(__xludf.DUMMYFUNCTION("""COMPUTED_VALUE"""),98.92)</f>
        <v/>
      </c>
      <c r="F197" s="141">
        <f>IFERROR(__xludf.DUMMYFUNCTION("""COMPUTED_VALUE"""),99)</f>
        <v/>
      </c>
      <c r="G197" s="143">
        <f>IFERROR(__xludf.DUMMYFUNCTION("""COMPUTED_VALUE"""),20860917)</f>
        <v/>
      </c>
      <c r="H197" s="27" t="n"/>
    </row>
    <row r="198" ht="17.25" customHeight="1" s="322">
      <c r="A198" s="27" t="n"/>
      <c r="B198" s="506">
        <f>IFERROR(__xludf.DUMMYFUNCTION("""COMPUTED_VALUE"""),46114.6666666666)</f>
        <v/>
      </c>
      <c r="C198" s="141">
        <f>IFERROR(__xludf.DUMMYFUNCTION("""COMPUTED_VALUE"""),98.89)</f>
        <v/>
      </c>
      <c r="D198" s="141">
        <f>IFERROR(__xludf.DUMMYFUNCTION("""COMPUTED_VALUE"""),99.29)</f>
        <v/>
      </c>
      <c r="E198" s="141">
        <f>IFERROR(__xludf.DUMMYFUNCTION("""COMPUTED_VALUE"""),98.88)</f>
        <v/>
      </c>
      <c r="F198" s="141">
        <f>IFERROR(__xludf.DUMMYFUNCTION("""COMPUTED_VALUE"""),99.23)</f>
        <v/>
      </c>
      <c r="G198" s="143">
        <f>IFERROR(__xludf.DUMMYFUNCTION("""COMPUTED_VALUE"""),12024569)</f>
        <v/>
      </c>
      <c r="H198" s="27" t="n"/>
    </row>
    <row r="199" ht="17.25" customHeight="1" s="322">
      <c r="A199" s="27" t="n"/>
      <c r="B199" s="506">
        <f>IFERROR(__xludf.DUMMYFUNCTION("""COMPUTED_VALUE"""),46118.6666666666)</f>
        <v/>
      </c>
      <c r="C199" s="141">
        <f>IFERROR(__xludf.DUMMYFUNCTION("""COMPUTED_VALUE"""),99)</f>
        <v/>
      </c>
      <c r="D199" s="141">
        <f>IFERROR(__xludf.DUMMYFUNCTION("""COMPUTED_VALUE"""),99.17)</f>
        <v/>
      </c>
      <c r="E199" s="141">
        <f>IFERROR(__xludf.DUMMYFUNCTION("""COMPUTED_VALUE"""),99)</f>
        <v/>
      </c>
      <c r="F199" s="141">
        <f>IFERROR(__xludf.DUMMYFUNCTION("""COMPUTED_VALUE"""),99.05)</f>
        <v/>
      </c>
      <c r="G199" s="143">
        <f>IFERROR(__xludf.DUMMYFUNCTION("""COMPUTED_VALUE"""),14350283)</f>
        <v/>
      </c>
      <c r="H199" s="27" t="n"/>
    </row>
    <row r="200" ht="17.25" customHeight="1" s="322">
      <c r="A200" s="27" t="n"/>
      <c r="B200" s="506">
        <f>IFERROR(__xludf.DUMMYFUNCTION("""COMPUTED_VALUE"""),46119.6666666666)</f>
        <v/>
      </c>
      <c r="C200" s="141">
        <f>IFERROR(__xludf.DUMMYFUNCTION("""COMPUTED_VALUE"""),99.07)</f>
        <v/>
      </c>
      <c r="D200" s="141">
        <f>IFERROR(__xludf.DUMMYFUNCTION("""COMPUTED_VALUE"""),99.22)</f>
        <v/>
      </c>
      <c r="E200" s="141">
        <f>IFERROR(__xludf.DUMMYFUNCTION("""COMPUTED_VALUE"""),98.74)</f>
        <v/>
      </c>
      <c r="F200" s="141">
        <f>IFERROR(__xludf.DUMMYFUNCTION("""COMPUTED_VALUE"""),99.17)</f>
        <v/>
      </c>
      <c r="G200" s="143">
        <f>IFERROR(__xludf.DUMMYFUNCTION("""COMPUTED_VALUE"""),14034116)</f>
        <v/>
      </c>
      <c r="H200" s="27" t="n"/>
    </row>
    <row r="201" ht="17.25" customHeight="1" s="322">
      <c r="A201" s="27" t="n"/>
      <c r="B201" s="506">
        <f>IFERROR(__xludf.DUMMYFUNCTION("""COMPUTED_VALUE"""),46120.6666666666)</f>
        <v/>
      </c>
      <c r="C201" s="141">
        <f>IFERROR(__xludf.DUMMYFUNCTION("""COMPUTED_VALUE"""),99.67)</f>
        <v/>
      </c>
      <c r="D201" s="141">
        <f>IFERROR(__xludf.DUMMYFUNCTION("""COMPUTED_VALUE"""),99.72)</f>
        <v/>
      </c>
      <c r="E201" s="141">
        <f>IFERROR(__xludf.DUMMYFUNCTION("""COMPUTED_VALUE"""),99.34)</f>
        <v/>
      </c>
      <c r="F201" s="141">
        <f>IFERROR(__xludf.DUMMYFUNCTION("""COMPUTED_VALUE"""),99.43)</f>
        <v/>
      </c>
      <c r="G201" s="143">
        <f>IFERROR(__xludf.DUMMYFUNCTION("""COMPUTED_VALUE"""),8882043)</f>
        <v/>
      </c>
      <c r="H201" s="27" t="n"/>
    </row>
    <row r="202" ht="17.25" customHeight="1" s="322">
      <c r="A202" s="27" t="n"/>
      <c r="B202" s="506">
        <f>IFERROR(__xludf.DUMMYFUNCTION("""COMPUTED_VALUE"""),46121.6666666666)</f>
        <v/>
      </c>
      <c r="C202" s="141">
        <f>IFERROR(__xludf.DUMMYFUNCTION("""COMPUTED_VALUE"""),99.34)</f>
        <v/>
      </c>
      <c r="D202" s="141">
        <f>IFERROR(__xludf.DUMMYFUNCTION("""COMPUTED_VALUE"""),99.64)</f>
        <v/>
      </c>
      <c r="E202" s="141">
        <f>IFERROR(__xludf.DUMMYFUNCTION("""COMPUTED_VALUE"""),99.22)</f>
        <v/>
      </c>
      <c r="F202" s="141">
        <f>IFERROR(__xludf.DUMMYFUNCTION("""COMPUTED_VALUE"""),99.49)</f>
        <v/>
      </c>
      <c r="G202" s="143">
        <f>IFERROR(__xludf.DUMMYFUNCTION("""COMPUTED_VALUE"""),8004988)</f>
        <v/>
      </c>
      <c r="H202" s="27" t="n"/>
    </row>
    <row r="203" ht="17.25" customHeight="1" s="322">
      <c r="A203" s="27" t="n"/>
      <c r="B203" s="506">
        <f>IFERROR(__xludf.DUMMYFUNCTION("""COMPUTED_VALUE"""),46122.6666666666)</f>
        <v/>
      </c>
      <c r="C203" s="141">
        <f>IFERROR(__xludf.DUMMYFUNCTION("""COMPUTED_VALUE"""),99.46)</f>
        <v/>
      </c>
      <c r="D203" s="141">
        <f>IFERROR(__xludf.DUMMYFUNCTION("""COMPUTED_VALUE"""),99.49)</f>
        <v/>
      </c>
      <c r="E203" s="141">
        <f>IFERROR(__xludf.DUMMYFUNCTION("""COMPUTED_VALUE"""),99.3)</f>
        <v/>
      </c>
      <c r="F203" s="141">
        <f>IFERROR(__xludf.DUMMYFUNCTION("""COMPUTED_VALUE"""),99.32)</f>
        <v/>
      </c>
      <c r="G203" s="143">
        <f>IFERROR(__xludf.DUMMYFUNCTION("""COMPUTED_VALUE"""),4512201)</f>
        <v/>
      </c>
      <c r="H203" s="27" t="n"/>
    </row>
    <row r="204" ht="17.25" customHeight="1" s="322">
      <c r="A204" s="27" t="n"/>
      <c r="B204" s="506">
        <f>IFERROR(__xludf.DUMMYFUNCTION("""COMPUTED_VALUE"""),46125.6666666666)</f>
        <v/>
      </c>
      <c r="C204" s="141">
        <f>IFERROR(__xludf.DUMMYFUNCTION("""COMPUTED_VALUE"""),99.33)</f>
        <v/>
      </c>
      <c r="D204" s="141">
        <f>IFERROR(__xludf.DUMMYFUNCTION("""COMPUTED_VALUE"""),99.56)</f>
        <v/>
      </c>
      <c r="E204" s="141">
        <f>IFERROR(__xludf.DUMMYFUNCTION("""COMPUTED_VALUE"""),99.27)</f>
        <v/>
      </c>
      <c r="F204" s="141">
        <f>IFERROR(__xludf.DUMMYFUNCTION("""COMPUTED_VALUE"""),99.52)</f>
        <v/>
      </c>
      <c r="G204" s="143">
        <f>IFERROR(__xludf.DUMMYFUNCTION("""COMPUTED_VALUE"""),5838924)</f>
        <v/>
      </c>
      <c r="H204" s="27" t="n"/>
    </row>
    <row r="205" ht="17.25" customHeight="1" s="322">
      <c r="A205" s="27" t="n"/>
      <c r="B205" s="506">
        <f>IFERROR(__xludf.DUMMYFUNCTION("""COMPUTED_VALUE"""),46126.6666666666)</f>
        <v/>
      </c>
      <c r="C205" s="141">
        <f>IFERROR(__xludf.DUMMYFUNCTION("""COMPUTED_VALUE"""),99.53)</f>
        <v/>
      </c>
      <c r="D205" s="141">
        <f>IFERROR(__xludf.DUMMYFUNCTION("""COMPUTED_VALUE"""),99.79)</f>
        <v/>
      </c>
      <c r="E205" s="141">
        <f>IFERROR(__xludf.DUMMYFUNCTION("""COMPUTED_VALUE"""),99.5)</f>
        <v/>
      </c>
      <c r="F205" s="141">
        <f>IFERROR(__xludf.DUMMYFUNCTION("""COMPUTED_VALUE"""),99.78)</f>
        <v/>
      </c>
      <c r="G205" s="143">
        <f>IFERROR(__xludf.DUMMYFUNCTION("""COMPUTED_VALUE"""),5811240)</f>
        <v/>
      </c>
      <c r="H205" s="27" t="n"/>
    </row>
    <row r="206" ht="17.25" customHeight="1" s="322">
      <c r="A206" s="27" t="n"/>
      <c r="B206" s="506">
        <f>IFERROR(__xludf.DUMMYFUNCTION("""COMPUTED_VALUE"""),46127.6666666666)</f>
        <v/>
      </c>
      <c r="C206" s="141">
        <f>IFERROR(__xludf.DUMMYFUNCTION("""COMPUTED_VALUE"""),99.68)</f>
        <v/>
      </c>
      <c r="D206" s="141">
        <f>IFERROR(__xludf.DUMMYFUNCTION("""COMPUTED_VALUE"""),99.7)</f>
        <v/>
      </c>
      <c r="E206" s="141">
        <f>IFERROR(__xludf.DUMMYFUNCTION("""COMPUTED_VALUE"""),99.55)</f>
        <v/>
      </c>
      <c r="F206" s="141">
        <f>IFERROR(__xludf.DUMMYFUNCTION("""COMPUTED_VALUE"""),99.62)</f>
        <v/>
      </c>
      <c r="G206" s="143">
        <f>IFERROR(__xludf.DUMMYFUNCTION("""COMPUTED_VALUE"""),6536975)</f>
        <v/>
      </c>
      <c r="H206" s="27" t="n"/>
    </row>
    <row r="207" ht="17.25" customHeight="1" s="322">
      <c r="A207" s="27" t="n"/>
      <c r="B207" s="506">
        <f>IFERROR(__xludf.DUMMYFUNCTION("""COMPUTED_VALUE"""),46128.6666666666)</f>
        <v/>
      </c>
      <c r="C207" s="141">
        <f>IFERROR(__xludf.DUMMYFUNCTION("""COMPUTED_VALUE"""),99.73)</f>
        <v/>
      </c>
      <c r="D207" s="141">
        <f>IFERROR(__xludf.DUMMYFUNCTION("""COMPUTED_VALUE"""),99.75)</f>
        <v/>
      </c>
      <c r="E207" s="141">
        <f>IFERROR(__xludf.DUMMYFUNCTION("""COMPUTED_VALUE"""),99.41)</f>
        <v/>
      </c>
      <c r="F207" s="141">
        <f>IFERROR(__xludf.DUMMYFUNCTION("""COMPUTED_VALUE"""),99.48)</f>
        <v/>
      </c>
      <c r="G207" s="143">
        <f>IFERROR(__xludf.DUMMYFUNCTION("""COMPUTED_VALUE"""),10659934)</f>
        <v/>
      </c>
      <c r="H207" s="27" t="n"/>
    </row>
    <row r="208" ht="17.25" customHeight="1" s="322">
      <c r="A208" s="27" t="n"/>
      <c r="B208" s="506">
        <f>IFERROR(__xludf.DUMMYFUNCTION("""COMPUTED_VALUE"""),46129.6666666666)</f>
        <v/>
      </c>
      <c r="C208" s="141">
        <f>IFERROR(__xludf.DUMMYFUNCTION("""COMPUTED_VALUE"""),99.89)</f>
        <v/>
      </c>
      <c r="D208" s="141">
        <f>IFERROR(__xludf.DUMMYFUNCTION("""COMPUTED_VALUE"""),100)</f>
        <v/>
      </c>
      <c r="E208" s="141">
        <f>IFERROR(__xludf.DUMMYFUNCTION("""COMPUTED_VALUE"""),99.81)</f>
        <v/>
      </c>
      <c r="F208" s="141">
        <f>IFERROR(__xludf.DUMMYFUNCTION("""COMPUTED_VALUE"""),99.85)</f>
        <v/>
      </c>
      <c r="G208" s="143">
        <f>IFERROR(__xludf.DUMMYFUNCTION("""COMPUTED_VALUE"""),5614180)</f>
        <v/>
      </c>
      <c r="H208" s="27" t="n"/>
    </row>
    <row r="209" ht="17.25" customHeight="1" s="322">
      <c r="A209" s="27" t="n"/>
      <c r="B209" s="506">
        <f>IFERROR(__xludf.DUMMYFUNCTION("""COMPUTED_VALUE"""),46132.6666666666)</f>
        <v/>
      </c>
      <c r="C209" s="141">
        <f>IFERROR(__xludf.DUMMYFUNCTION("""COMPUTED_VALUE"""),99.88)</f>
        <v/>
      </c>
      <c r="D209" s="141">
        <f>IFERROR(__xludf.DUMMYFUNCTION("""COMPUTED_VALUE"""),99.88)</f>
        <v/>
      </c>
      <c r="E209" s="141">
        <f>IFERROR(__xludf.DUMMYFUNCTION("""COMPUTED_VALUE"""),99.7)</f>
        <v/>
      </c>
      <c r="F209" s="141">
        <f>IFERROR(__xludf.DUMMYFUNCTION("""COMPUTED_VALUE"""),99.84)</f>
        <v/>
      </c>
      <c r="G209" s="143">
        <f>IFERROR(__xludf.DUMMYFUNCTION("""COMPUTED_VALUE"""),5687893)</f>
        <v/>
      </c>
      <c r="H209" s="27" t="n"/>
    </row>
    <row r="210" ht="17.25" customHeight="1" s="322">
      <c r="A210" s="27" t="n"/>
      <c r="B210" s="506">
        <f>IFERROR(__xludf.DUMMYFUNCTION("""COMPUTED_VALUE"""),46133.6666666666)</f>
        <v/>
      </c>
      <c r="C210" s="141">
        <f>IFERROR(__xludf.DUMMYFUNCTION("""COMPUTED_VALUE"""),99.77)</f>
        <v/>
      </c>
      <c r="D210" s="141">
        <f>IFERROR(__xludf.DUMMYFUNCTION("""COMPUTED_VALUE"""),99.77)</f>
        <v/>
      </c>
      <c r="E210" s="141">
        <f>IFERROR(__xludf.DUMMYFUNCTION("""COMPUTED_VALUE"""),99.47)</f>
        <v/>
      </c>
      <c r="F210" s="141">
        <f>IFERROR(__xludf.DUMMYFUNCTION("""COMPUTED_VALUE"""),99.47)</f>
        <v/>
      </c>
      <c r="G210" s="143">
        <f>IFERROR(__xludf.DUMMYFUNCTION("""COMPUTED_VALUE"""),7583619)</f>
        <v/>
      </c>
      <c r="H210" s="27" t="n"/>
    </row>
    <row r="211" ht="17.25" customHeight="1" s="322">
      <c r="A211" s="27" t="n"/>
      <c r="B211" s="506">
        <f>IFERROR(__xludf.DUMMYFUNCTION("""COMPUTED_VALUE"""),46134.6666666666)</f>
        <v/>
      </c>
      <c r="C211" s="141">
        <f>IFERROR(__xludf.DUMMYFUNCTION("""COMPUTED_VALUE"""),99.77)</f>
        <v/>
      </c>
      <c r="D211" s="141">
        <f>IFERROR(__xludf.DUMMYFUNCTION("""COMPUTED_VALUE"""),99.77)</f>
        <v/>
      </c>
      <c r="E211" s="141">
        <f>IFERROR(__xludf.DUMMYFUNCTION("""COMPUTED_VALUE"""),99.58)</f>
        <v/>
      </c>
      <c r="F211" s="141">
        <f>IFERROR(__xludf.DUMMYFUNCTION("""COMPUTED_VALUE"""),99.61)</f>
        <v/>
      </c>
      <c r="G211" s="143">
        <f>IFERROR(__xludf.DUMMYFUNCTION("""COMPUTED_VALUE"""),7874056)</f>
        <v/>
      </c>
      <c r="H211" s="27" t="n"/>
    </row>
    <row r="212" ht="17.25" customHeight="1" s="322">
      <c r="A212" s="27" t="n"/>
      <c r="B212" s="506">
        <f>IFERROR(__xludf.DUMMYFUNCTION("""COMPUTED_VALUE"""),46135.6666666666)</f>
        <v/>
      </c>
      <c r="C212" s="141">
        <f>IFERROR(__xludf.DUMMYFUNCTION("""COMPUTED_VALUE"""),99.6)</f>
        <v/>
      </c>
      <c r="D212" s="141">
        <f>IFERROR(__xludf.DUMMYFUNCTION("""COMPUTED_VALUE"""),99.7)</f>
        <v/>
      </c>
      <c r="E212" s="141">
        <f>IFERROR(__xludf.DUMMYFUNCTION("""COMPUTED_VALUE"""),99.29)</f>
        <v/>
      </c>
      <c r="F212" s="141">
        <f>IFERROR(__xludf.DUMMYFUNCTION("""COMPUTED_VALUE"""),99.45)</f>
        <v/>
      </c>
      <c r="G212" s="143">
        <f>IFERROR(__xludf.DUMMYFUNCTION("""COMPUTED_VALUE"""),5063495)</f>
        <v/>
      </c>
      <c r="H212" s="27" t="n"/>
    </row>
    <row r="213" ht="17.25" customHeight="1" s="322">
      <c r="A213" s="27" t="n"/>
      <c r="B213" s="506">
        <f>IFERROR(__xludf.DUMMYFUNCTION("""COMPUTED_VALUE"""),46136.6666666666)</f>
        <v/>
      </c>
      <c r="C213" s="141">
        <f>IFERROR(__xludf.DUMMYFUNCTION("""COMPUTED_VALUE"""),99.4)</f>
        <v/>
      </c>
      <c r="D213" s="141">
        <f>IFERROR(__xludf.DUMMYFUNCTION("""COMPUTED_VALUE"""),99.64)</f>
        <v/>
      </c>
      <c r="E213" s="141">
        <f>IFERROR(__xludf.DUMMYFUNCTION("""COMPUTED_VALUE"""),99.32)</f>
        <v/>
      </c>
      <c r="F213" s="141">
        <f>IFERROR(__xludf.DUMMYFUNCTION("""COMPUTED_VALUE"""),99.59)</f>
        <v/>
      </c>
      <c r="G213" s="143">
        <f>IFERROR(__xludf.DUMMYFUNCTION("""COMPUTED_VALUE"""),4791849)</f>
        <v/>
      </c>
      <c r="H213" s="27" t="n"/>
    </row>
    <row r="214" ht="17.25" customHeight="1" s="322">
      <c r="A214" s="27" t="n"/>
      <c r="B214" s="506">
        <f>IFERROR(__xludf.DUMMYFUNCTION("""COMPUTED_VALUE"""),46139.6666666666)</f>
        <v/>
      </c>
      <c r="C214" s="141">
        <f>IFERROR(__xludf.DUMMYFUNCTION("""COMPUTED_VALUE"""),99.52)</f>
        <v/>
      </c>
      <c r="D214" s="141">
        <f>IFERROR(__xludf.DUMMYFUNCTION("""COMPUTED_VALUE"""),99.58)</f>
        <v/>
      </c>
      <c r="E214" s="141">
        <f>IFERROR(__xludf.DUMMYFUNCTION("""COMPUTED_VALUE"""),99.36)</f>
        <v/>
      </c>
      <c r="F214" s="141">
        <f>IFERROR(__xludf.DUMMYFUNCTION("""COMPUTED_VALUE"""),99.44)</f>
        <v/>
      </c>
      <c r="G214" s="143">
        <f>IFERROR(__xludf.DUMMYFUNCTION("""COMPUTED_VALUE"""),7852013)</f>
        <v/>
      </c>
      <c r="H214" s="27" t="n"/>
    </row>
    <row r="215" ht="17.25" customHeight="1" s="322">
      <c r="A215" s="27" t="n"/>
      <c r="B215" s="506">
        <f>IFERROR(__xludf.DUMMYFUNCTION("""COMPUTED_VALUE"""),46140.6666666666)</f>
        <v/>
      </c>
      <c r="C215" s="141">
        <f>IFERROR(__xludf.DUMMYFUNCTION("""COMPUTED_VALUE"""),99.34)</f>
        <v/>
      </c>
      <c r="D215" s="141">
        <f>IFERROR(__xludf.DUMMYFUNCTION("""COMPUTED_VALUE"""),99.41)</f>
        <v/>
      </c>
      <c r="E215" s="141">
        <f>IFERROR(__xludf.DUMMYFUNCTION("""COMPUTED_VALUE"""),99.27)</f>
        <v/>
      </c>
      <c r="F215" s="141">
        <f>IFERROR(__xludf.DUMMYFUNCTION("""COMPUTED_VALUE"""),99.4)</f>
        <v/>
      </c>
      <c r="G215" s="143">
        <f>IFERROR(__xludf.DUMMYFUNCTION("""COMPUTED_VALUE"""),8672858)</f>
        <v/>
      </c>
      <c r="H215" s="27" t="n"/>
    </row>
    <row r="216" ht="17.25" customHeight="1" s="322">
      <c r="A216" s="27" t="n"/>
      <c r="B216" s="506">
        <f>IFERROR(__xludf.DUMMYFUNCTION("""COMPUTED_VALUE"""),46141.6666666666)</f>
        <v/>
      </c>
      <c r="C216" s="141">
        <f>IFERROR(__xludf.DUMMYFUNCTION("""COMPUTED_VALUE"""),99.23)</f>
        <v/>
      </c>
      <c r="D216" s="141">
        <f>IFERROR(__xludf.DUMMYFUNCTION("""COMPUTED_VALUE"""),99.23)</f>
        <v/>
      </c>
      <c r="E216" s="141">
        <f>IFERROR(__xludf.DUMMYFUNCTION("""COMPUTED_VALUE"""),98.88)</f>
        <v/>
      </c>
      <c r="F216" s="141">
        <f>IFERROR(__xludf.DUMMYFUNCTION("""COMPUTED_VALUE"""),98.96)</f>
        <v/>
      </c>
      <c r="G216" s="143">
        <f>IFERROR(__xludf.DUMMYFUNCTION("""COMPUTED_VALUE"""),6764328)</f>
        <v/>
      </c>
      <c r="H216" s="27" t="n"/>
    </row>
    <row r="217" ht="17.25" customHeight="1" s="322">
      <c r="A217" s="27" t="n"/>
      <c r="B217" s="506">
        <f>IFERROR(__xludf.DUMMYFUNCTION("""COMPUTED_VALUE"""),46142.6666666666)</f>
        <v/>
      </c>
      <c r="C217" s="141">
        <f>IFERROR(__xludf.DUMMYFUNCTION("""COMPUTED_VALUE"""),99.15)</f>
        <v/>
      </c>
      <c r="D217" s="141">
        <f>IFERROR(__xludf.DUMMYFUNCTION("""COMPUTED_VALUE"""),99.22)</f>
        <v/>
      </c>
      <c r="E217" s="141">
        <f>IFERROR(__xludf.DUMMYFUNCTION("""COMPUTED_VALUE"""),99.03)</f>
        <v/>
      </c>
      <c r="F217" s="141">
        <f>IFERROR(__xludf.DUMMYFUNCTION("""COMPUTED_VALUE"""),99.1)</f>
        <v/>
      </c>
      <c r="G217" s="143">
        <f>IFERROR(__xludf.DUMMYFUNCTION("""COMPUTED_VALUE"""),13320144)</f>
        <v/>
      </c>
      <c r="H217" s="27" t="n"/>
    </row>
    <row r="218" ht="17.25" customHeight="1" s="322">
      <c r="A218" s="27" t="n"/>
      <c r="B218" s="506">
        <f>IFERROR(__xludf.DUMMYFUNCTION("""COMPUTED_VALUE"""),46143.6666666666)</f>
        <v/>
      </c>
      <c r="C218" s="141">
        <f>IFERROR(__xludf.DUMMYFUNCTION("""COMPUTED_VALUE"""),98.84)</f>
        <v/>
      </c>
      <c r="D218" s="141">
        <f>IFERROR(__xludf.DUMMYFUNCTION("""COMPUTED_VALUE"""),99.13)</f>
        <v/>
      </c>
      <c r="E218" s="141">
        <f>IFERROR(__xludf.DUMMYFUNCTION("""COMPUTED_VALUE"""),98.78)</f>
        <v/>
      </c>
      <c r="F218" s="141">
        <f>IFERROR(__xludf.DUMMYFUNCTION("""COMPUTED_VALUE"""),98.9)</f>
        <v/>
      </c>
      <c r="G218" s="143">
        <f>IFERROR(__xludf.DUMMYFUNCTION("""COMPUTED_VALUE"""),11661616)</f>
        <v/>
      </c>
      <c r="H218" s="27" t="n"/>
    </row>
    <row r="219" ht="17.25" customHeight="1" s="322">
      <c r="A219" s="27" t="n"/>
      <c r="B219" s="506">
        <f>IFERROR(__xludf.DUMMYFUNCTION("""COMPUTED_VALUE"""),46146.6666666666)</f>
        <v/>
      </c>
      <c r="C219" s="141">
        <f>IFERROR(__xludf.DUMMYFUNCTION("""COMPUTED_VALUE"""),98.77)</f>
        <v/>
      </c>
      <c r="D219" s="141">
        <f>IFERROR(__xludf.DUMMYFUNCTION("""COMPUTED_VALUE"""),98.8)</f>
        <v/>
      </c>
      <c r="E219" s="141">
        <f>IFERROR(__xludf.DUMMYFUNCTION("""COMPUTED_VALUE"""),98.41)</f>
        <v/>
      </c>
      <c r="F219" s="141">
        <f>IFERROR(__xludf.DUMMYFUNCTION("""COMPUTED_VALUE"""),98.59)</f>
        <v/>
      </c>
      <c r="G219" s="143">
        <f>IFERROR(__xludf.DUMMYFUNCTION("""COMPUTED_VALUE"""),7580407)</f>
        <v/>
      </c>
      <c r="H219" s="27" t="n"/>
    </row>
    <row r="220" ht="17.25" customHeight="1" s="322">
      <c r="A220" s="27" t="n"/>
      <c r="B220" s="506">
        <f>IFERROR(__xludf.DUMMYFUNCTION("""COMPUTED_VALUE"""),46147.6666666666)</f>
        <v/>
      </c>
      <c r="C220" s="141">
        <f>IFERROR(__xludf.DUMMYFUNCTION("""COMPUTED_VALUE"""),98.7)</f>
        <v/>
      </c>
      <c r="D220" s="141">
        <f>IFERROR(__xludf.DUMMYFUNCTION("""COMPUTED_VALUE"""),98.85)</f>
        <v/>
      </c>
      <c r="E220" s="141">
        <f>IFERROR(__xludf.DUMMYFUNCTION("""COMPUTED_VALUE"""),98.66)</f>
        <v/>
      </c>
      <c r="F220" s="141">
        <f>IFERROR(__xludf.DUMMYFUNCTION("""COMPUTED_VALUE"""),98.77)</f>
        <v/>
      </c>
      <c r="G220" s="143">
        <f>IFERROR(__xludf.DUMMYFUNCTION("""COMPUTED_VALUE"""),10045693)</f>
        <v/>
      </c>
      <c r="H220" s="27" t="n"/>
    </row>
    <row r="221" ht="17.25" customHeight="1" s="322">
      <c r="A221" s="27" t="n"/>
      <c r="B221" s="506">
        <f>IFERROR(__xludf.DUMMYFUNCTION("""COMPUTED_VALUE"""),46148.6666666666)</f>
        <v/>
      </c>
      <c r="C221" s="141">
        <f>IFERROR(__xludf.DUMMYFUNCTION("""COMPUTED_VALUE"""),99.12)</f>
        <v/>
      </c>
      <c r="D221" s="141">
        <f>IFERROR(__xludf.DUMMYFUNCTION("""COMPUTED_VALUE"""),99.22)</f>
        <v/>
      </c>
      <c r="E221" s="141">
        <f>IFERROR(__xludf.DUMMYFUNCTION("""COMPUTED_VALUE"""),99.06)</f>
        <v/>
      </c>
      <c r="F221" s="141">
        <f>IFERROR(__xludf.DUMMYFUNCTION("""COMPUTED_VALUE"""),99.19)</f>
        <v/>
      </c>
      <c r="G221" s="143">
        <f>IFERROR(__xludf.DUMMYFUNCTION("""COMPUTED_VALUE"""),6968842)</f>
        <v/>
      </c>
      <c r="H221" s="27" t="n"/>
    </row>
    <row r="222" ht="17.25" customHeight="1" s="322">
      <c r="A222" s="27" t="n"/>
      <c r="B222" s="506">
        <f>IFERROR(__xludf.DUMMYFUNCTION("""COMPUTED_VALUE"""),46149.6666666666)</f>
        <v/>
      </c>
      <c r="C222" s="141">
        <f>IFERROR(__xludf.DUMMYFUNCTION("""COMPUTED_VALUE"""),99.34)</f>
        <v/>
      </c>
      <c r="D222" s="141">
        <f>IFERROR(__xludf.DUMMYFUNCTION("""COMPUTED_VALUE"""),99.39)</f>
        <v/>
      </c>
      <c r="E222" s="141">
        <f>IFERROR(__xludf.DUMMYFUNCTION("""COMPUTED_VALUE"""),98.9)</f>
        <v/>
      </c>
      <c r="F222" s="141">
        <f>IFERROR(__xludf.DUMMYFUNCTION("""COMPUTED_VALUE"""),98.95)</f>
        <v/>
      </c>
      <c r="G222" s="143">
        <f>IFERROR(__xludf.DUMMYFUNCTION("""COMPUTED_VALUE"""),10903136)</f>
        <v/>
      </c>
      <c r="H222" s="27" t="n"/>
    </row>
    <row r="223" ht="17.25" customHeight="1" s="322">
      <c r="A223" s="27" t="n"/>
      <c r="B223" s="506">
        <f>IFERROR(__xludf.DUMMYFUNCTION("""COMPUTED_VALUE"""),46150.6666666666)</f>
        <v/>
      </c>
      <c r="C223" s="141">
        <f>IFERROR(__xludf.DUMMYFUNCTION("""COMPUTED_VALUE"""),99.21)</f>
        <v/>
      </c>
      <c r="D223" s="141">
        <f>IFERROR(__xludf.DUMMYFUNCTION("""COMPUTED_VALUE"""),99.26)</f>
        <v/>
      </c>
      <c r="E223" s="141">
        <f>IFERROR(__xludf.DUMMYFUNCTION("""COMPUTED_VALUE"""),99.13)</f>
        <v/>
      </c>
      <c r="F223" s="141">
        <f>IFERROR(__xludf.DUMMYFUNCTION("""COMPUTED_VALUE"""),99.18)</f>
        <v/>
      </c>
      <c r="G223" s="143">
        <f>IFERROR(__xludf.DUMMYFUNCTION("""COMPUTED_VALUE"""),8205018)</f>
        <v/>
      </c>
      <c r="H223" s="27" t="n"/>
    </row>
    <row r="224" ht="17.25" customHeight="1" s="322">
      <c r="A224" s="27" t="n"/>
      <c r="B224" s="506">
        <f>IFERROR(__xludf.DUMMYFUNCTION("""COMPUTED_VALUE"""),46153.6666666666)</f>
        <v/>
      </c>
      <c r="C224" s="141">
        <f>IFERROR(__xludf.DUMMYFUNCTION("""COMPUTED_VALUE"""),99.05)</f>
        <v/>
      </c>
      <c r="D224" s="141">
        <f>IFERROR(__xludf.DUMMYFUNCTION("""COMPUTED_VALUE"""),99.11)</f>
        <v/>
      </c>
      <c r="E224" s="141">
        <f>IFERROR(__xludf.DUMMYFUNCTION("""COMPUTED_VALUE"""),98.92)</f>
        <v/>
      </c>
      <c r="F224" s="141">
        <f>IFERROR(__xludf.DUMMYFUNCTION("""COMPUTED_VALUE"""),98.92)</f>
        <v/>
      </c>
      <c r="G224" s="143">
        <f>IFERROR(__xludf.DUMMYFUNCTION("""COMPUTED_VALUE"""),6848275)</f>
        <v/>
      </c>
      <c r="H224" s="27" t="n"/>
    </row>
    <row r="225" ht="17.25" customHeight="1" s="322">
      <c r="A225" s="27" t="n"/>
      <c r="B225" s="506">
        <f>IFERROR(__xludf.DUMMYFUNCTION("""COMPUTED_VALUE"""),46154.6666666666)</f>
        <v/>
      </c>
      <c r="C225" s="141">
        <f>IFERROR(__xludf.DUMMYFUNCTION("""COMPUTED_VALUE"""),98.71)</f>
        <v/>
      </c>
      <c r="D225" s="141">
        <f>IFERROR(__xludf.DUMMYFUNCTION("""COMPUTED_VALUE"""),98.73)</f>
        <v/>
      </c>
      <c r="E225" s="141">
        <f>IFERROR(__xludf.DUMMYFUNCTION("""COMPUTED_VALUE"""),98.61)</f>
        <v/>
      </c>
      <c r="F225" s="141">
        <f>IFERROR(__xludf.DUMMYFUNCTION("""COMPUTED_VALUE"""),98.63)</f>
        <v/>
      </c>
      <c r="G225" s="143">
        <f>IFERROR(__xludf.DUMMYFUNCTION("""COMPUTED_VALUE"""),6336367)</f>
        <v/>
      </c>
      <c r="H225" s="27" t="n"/>
    </row>
    <row r="226" ht="17.25" customHeight="1" s="322">
      <c r="A226" s="27" t="n"/>
      <c r="B226" s="506">
        <f>IFERROR(__xludf.DUMMYFUNCTION("""COMPUTED_VALUE"""),46155.6666666666)</f>
        <v/>
      </c>
      <c r="C226" s="141">
        <f>IFERROR(__xludf.DUMMYFUNCTION("""COMPUTED_VALUE"""),98.62)</f>
        <v/>
      </c>
      <c r="D226" s="141">
        <f>IFERROR(__xludf.DUMMYFUNCTION("""COMPUTED_VALUE"""),98.69)</f>
        <v/>
      </c>
      <c r="E226" s="141">
        <f>IFERROR(__xludf.DUMMYFUNCTION("""COMPUTED_VALUE"""),98.48)</f>
        <v/>
      </c>
      <c r="F226" s="141">
        <f>IFERROR(__xludf.DUMMYFUNCTION("""COMPUTED_VALUE"""),98.67)</f>
        <v/>
      </c>
      <c r="G226" s="143">
        <f>IFERROR(__xludf.DUMMYFUNCTION("""COMPUTED_VALUE"""),5396308)</f>
        <v/>
      </c>
      <c r="H226" s="27" t="n"/>
    </row>
    <row r="227" ht="17.25" customHeight="1" s="322">
      <c r="A227" s="27" t="n"/>
      <c r="B227" s="506">
        <f>IFERROR(__xludf.DUMMYFUNCTION("""COMPUTED_VALUE"""),46156.6666666666)</f>
        <v/>
      </c>
      <c r="C227" s="141">
        <f>IFERROR(__xludf.DUMMYFUNCTION("""COMPUTED_VALUE"""),98.86)</f>
        <v/>
      </c>
      <c r="D227" s="141">
        <f>IFERROR(__xludf.DUMMYFUNCTION("""COMPUTED_VALUE"""),98.89)</f>
        <v/>
      </c>
      <c r="E227" s="141">
        <f>IFERROR(__xludf.DUMMYFUNCTION("""COMPUTED_VALUE"""),98.63)</f>
        <v/>
      </c>
      <c r="F227" s="141">
        <f>IFERROR(__xludf.DUMMYFUNCTION("""COMPUTED_VALUE"""),98.64)</f>
        <v/>
      </c>
      <c r="G227" s="143">
        <f>IFERROR(__xludf.DUMMYFUNCTION("""COMPUTED_VALUE"""),5124044)</f>
        <v/>
      </c>
      <c r="H227" s="27" t="n"/>
    </row>
    <row r="228" ht="17.25" customHeight="1" s="322">
      <c r="A228" s="27" t="n"/>
      <c r="B228" s="506">
        <f>IFERROR(__xludf.DUMMYFUNCTION("""COMPUTED_VALUE"""),46157.6666666666)</f>
        <v/>
      </c>
      <c r="C228" s="141">
        <f>IFERROR(__xludf.DUMMYFUNCTION("""COMPUTED_VALUE"""),98.14)</f>
        <v/>
      </c>
      <c r="D228" s="141">
        <f>IFERROR(__xludf.DUMMYFUNCTION("""COMPUTED_VALUE"""),98.2)</f>
        <v/>
      </c>
      <c r="E228" s="141">
        <f>IFERROR(__xludf.DUMMYFUNCTION("""COMPUTED_VALUE"""),98.01)</f>
        <v/>
      </c>
      <c r="F228" s="141">
        <f>IFERROR(__xludf.DUMMYFUNCTION("""COMPUTED_VALUE"""),98.02)</f>
        <v/>
      </c>
      <c r="G228" s="143">
        <f>IFERROR(__xludf.DUMMYFUNCTION("""COMPUTED_VALUE"""),8026908)</f>
        <v/>
      </c>
      <c r="H228" s="27" t="n"/>
    </row>
    <row r="229" ht="17.25" customHeight="1" s="322">
      <c r="A229" s="27" t="n"/>
      <c r="B229" s="506">
        <f>IFERROR(__xludf.DUMMYFUNCTION("""COMPUTED_VALUE"""),46160.6666666666)</f>
        <v/>
      </c>
      <c r="C229" s="141">
        <f>IFERROR(__xludf.DUMMYFUNCTION("""COMPUTED_VALUE"""),98.11)</f>
        <v/>
      </c>
      <c r="D229" s="141">
        <f>IFERROR(__xludf.DUMMYFUNCTION("""COMPUTED_VALUE"""),98.21)</f>
        <v/>
      </c>
      <c r="E229" s="141">
        <f>IFERROR(__xludf.DUMMYFUNCTION("""COMPUTED_VALUE"""),97.86)</f>
        <v/>
      </c>
      <c r="F229" s="141">
        <f>IFERROR(__xludf.DUMMYFUNCTION("""COMPUTED_VALUE"""),98.01)</f>
        <v/>
      </c>
      <c r="G229" s="143">
        <f>IFERROR(__xludf.DUMMYFUNCTION("""COMPUTED_VALUE"""),7774550)</f>
        <v/>
      </c>
      <c r="H229" s="27" t="n"/>
    </row>
    <row r="230" ht="17.25" customHeight="1" s="322">
      <c r="A230" s="27" t="n"/>
      <c r="B230" s="506">
        <f>IFERROR(__xludf.DUMMYFUNCTION("""COMPUTED_VALUE"""),46161.6666666666)</f>
        <v/>
      </c>
      <c r="C230" s="141">
        <f>IFERROR(__xludf.DUMMYFUNCTION("""COMPUTED_VALUE"""),97.65)</f>
        <v/>
      </c>
      <c r="D230" s="141">
        <f>IFERROR(__xludf.DUMMYFUNCTION("""COMPUTED_VALUE"""),97.8)</f>
        <v/>
      </c>
      <c r="E230" s="141">
        <f>IFERROR(__xludf.DUMMYFUNCTION("""COMPUTED_VALUE"""),97.52)</f>
        <v/>
      </c>
      <c r="F230" s="141">
        <f>IFERROR(__xludf.DUMMYFUNCTION("""COMPUTED_VALUE"""),97.63)</f>
        <v/>
      </c>
      <c r="G230" s="143">
        <f>IFERROR(__xludf.DUMMYFUNCTION("""COMPUTED_VALUE"""),8945503)</f>
        <v/>
      </c>
      <c r="H230" s="27" t="n"/>
    </row>
    <row r="231" ht="17.25" customHeight="1" s="322">
      <c r="A231" s="27" t="n"/>
      <c r="B231" s="506">
        <f>IFERROR(__xludf.DUMMYFUNCTION("""COMPUTED_VALUE"""),46162.6666666666)</f>
        <v/>
      </c>
      <c r="C231" s="141">
        <f>IFERROR(__xludf.DUMMYFUNCTION("""COMPUTED_VALUE"""),97.69)</f>
        <v/>
      </c>
      <c r="D231" s="141">
        <f>IFERROR(__xludf.DUMMYFUNCTION("""COMPUTED_VALUE"""),98.28)</f>
        <v/>
      </c>
      <c r="E231" s="141">
        <f>IFERROR(__xludf.DUMMYFUNCTION("""COMPUTED_VALUE"""),97.67)</f>
        <v/>
      </c>
      <c r="F231" s="141">
        <f>IFERROR(__xludf.DUMMYFUNCTION("""COMPUTED_VALUE"""),98.22)</f>
        <v/>
      </c>
      <c r="G231" s="143">
        <f>IFERROR(__xludf.DUMMYFUNCTION("""COMPUTED_VALUE"""),15851068)</f>
        <v/>
      </c>
      <c r="H231" s="27" t="n"/>
    </row>
    <row r="232" ht="17.25" customHeight="1" s="322">
      <c r="A232" s="27" t="n"/>
      <c r="B232" s="506">
        <f>IFERROR(__xludf.DUMMYFUNCTION("""COMPUTED_VALUE"""),46163.6666666666)</f>
        <v/>
      </c>
      <c r="C232" s="141">
        <f>IFERROR(__xludf.DUMMYFUNCTION("""COMPUTED_VALUE"""),97.97)</f>
        <v/>
      </c>
      <c r="D232" s="141">
        <f>IFERROR(__xludf.DUMMYFUNCTION("""COMPUTED_VALUE"""),98.34)</f>
        <v/>
      </c>
      <c r="E232" s="141">
        <f>IFERROR(__xludf.DUMMYFUNCTION("""COMPUTED_VALUE"""),97.84)</f>
        <v/>
      </c>
      <c r="F232" s="141">
        <f>IFERROR(__xludf.DUMMYFUNCTION("""COMPUTED_VALUE"""),98.34)</f>
        <v/>
      </c>
      <c r="G232" s="143">
        <f>IFERROR(__xludf.DUMMYFUNCTION("""COMPUTED_VALUE"""),7072651)</f>
        <v/>
      </c>
      <c r="H232" s="27" t="n"/>
    </row>
    <row r="233" ht="17.25" customHeight="1" s="322">
      <c r="A233" s="27" t="n"/>
      <c r="B233" s="506">
        <f>IFERROR(__xludf.DUMMYFUNCTION("""COMPUTED_VALUE"""),46164.6666666666)</f>
        <v/>
      </c>
      <c r="C233" s="141">
        <f>IFERROR(__xludf.DUMMYFUNCTION("""COMPUTED_VALUE"""),98.49)</f>
        <v/>
      </c>
      <c r="D233" s="141">
        <f>IFERROR(__xludf.DUMMYFUNCTION("""COMPUTED_VALUE"""),98.51)</f>
        <v/>
      </c>
      <c r="E233" s="141">
        <f>IFERROR(__xludf.DUMMYFUNCTION("""COMPUTED_VALUE"""),98.19)</f>
        <v/>
      </c>
      <c r="F233" s="141">
        <f>IFERROR(__xludf.DUMMYFUNCTION("""COMPUTED_VALUE"""),98.44)</f>
        <v/>
      </c>
      <c r="G233" s="143">
        <f>IFERROR(__xludf.DUMMYFUNCTION("""COMPUTED_VALUE"""),6950638)</f>
        <v/>
      </c>
      <c r="H233" s="27" t="n"/>
    </row>
    <row r="234" ht="17.25" customHeight="1" s="322">
      <c r="A234" s="27" t="n"/>
      <c r="B234" s="506">
        <f>IFERROR(__xludf.DUMMYFUNCTION("""COMPUTED_VALUE"""),46168.6666666666)</f>
        <v/>
      </c>
      <c r="C234" s="141">
        <f>IFERROR(__xludf.DUMMYFUNCTION("""COMPUTED_VALUE"""),98.78)</f>
        <v/>
      </c>
      <c r="D234" s="141">
        <f>IFERROR(__xludf.DUMMYFUNCTION("""COMPUTED_VALUE"""),98.85)</f>
        <v/>
      </c>
      <c r="E234" s="141">
        <f>IFERROR(__xludf.DUMMYFUNCTION("""COMPUTED_VALUE"""),98.61)</f>
        <v/>
      </c>
      <c r="F234" s="141">
        <f>IFERROR(__xludf.DUMMYFUNCTION("""COMPUTED_VALUE"""),98.72)</f>
        <v/>
      </c>
      <c r="G234" s="143">
        <f>IFERROR(__xludf.DUMMYFUNCTION("""COMPUTED_VALUE"""),5334788)</f>
        <v/>
      </c>
      <c r="H234" s="27" t="n"/>
    </row>
    <row r="235" ht="17.25" customHeight="1" s="322">
      <c r="A235" s="27" t="n"/>
      <c r="B235" s="506">
        <f>IFERROR(__xludf.DUMMYFUNCTION("""COMPUTED_VALUE"""),46169.6666666666)</f>
        <v/>
      </c>
      <c r="C235" s="141">
        <f>IFERROR(__xludf.DUMMYFUNCTION("""COMPUTED_VALUE"""),98.81)</f>
        <v/>
      </c>
      <c r="D235" s="141">
        <f>IFERROR(__xludf.DUMMYFUNCTION("""COMPUTED_VALUE"""),98.9)</f>
        <v/>
      </c>
      <c r="E235" s="141">
        <f>IFERROR(__xludf.DUMMYFUNCTION("""COMPUTED_VALUE"""),98.76)</f>
        <v/>
      </c>
      <c r="F235" s="141">
        <f>IFERROR(__xludf.DUMMYFUNCTION("""COMPUTED_VALUE"""),98.8)</f>
        <v/>
      </c>
      <c r="G235" s="143">
        <f>IFERROR(__xludf.DUMMYFUNCTION("""COMPUTED_VALUE"""),6899980)</f>
        <v/>
      </c>
      <c r="H235" s="27" t="n"/>
    </row>
    <row r="236" ht="17.25" customHeight="1" s="322">
      <c r="A236" s="27" t="n"/>
      <c r="B236" s="506">
        <f>IFERROR(__xludf.DUMMYFUNCTION("""COMPUTED_VALUE"""),46170.6666666666)</f>
        <v/>
      </c>
      <c r="C236" s="141">
        <f>IFERROR(__xludf.DUMMYFUNCTION("""COMPUTED_VALUE"""),98.82)</f>
        <v/>
      </c>
      <c r="D236" s="141">
        <f>IFERROR(__xludf.DUMMYFUNCTION("""COMPUTED_VALUE"""),99.1)</f>
        <v/>
      </c>
      <c r="E236" s="141">
        <f>IFERROR(__xludf.DUMMYFUNCTION("""COMPUTED_VALUE"""),98.77)</f>
        <v/>
      </c>
      <c r="F236" s="141">
        <f>IFERROR(__xludf.DUMMYFUNCTION("""COMPUTED_VALUE"""),99)</f>
        <v/>
      </c>
      <c r="G236" s="143">
        <f>IFERROR(__xludf.DUMMYFUNCTION("""COMPUTED_VALUE"""),10302760)</f>
        <v/>
      </c>
      <c r="H236" s="27" t="n"/>
    </row>
    <row r="237" ht="17.25" customHeight="1" s="322">
      <c r="A237" s="27" t="n"/>
      <c r="B237" s="506">
        <f>IFERROR(__xludf.DUMMYFUNCTION("""COMPUTED_VALUE"""),46171.6666666666)</f>
        <v/>
      </c>
      <c r="C237" s="141">
        <f>IFERROR(__xludf.DUMMYFUNCTION("""COMPUTED_VALUE"""),99.09)</f>
        <v/>
      </c>
      <c r="D237" s="141">
        <f>IFERROR(__xludf.DUMMYFUNCTION("""COMPUTED_VALUE"""),99.19)</f>
        <v/>
      </c>
      <c r="E237" s="141">
        <f>IFERROR(__xludf.DUMMYFUNCTION("""COMPUTED_VALUE"""),99.02)</f>
        <v/>
      </c>
      <c r="F237" s="141">
        <f>IFERROR(__xludf.DUMMYFUNCTION("""COMPUTED_VALUE"""),99.06)</f>
        <v/>
      </c>
      <c r="G237" s="143">
        <f>IFERROR(__xludf.DUMMYFUNCTION("""COMPUTED_VALUE"""),8936782)</f>
        <v/>
      </c>
      <c r="H237" s="27" t="n"/>
    </row>
    <row r="238" ht="17.25" customHeight="1" s="322">
      <c r="A238" s="27" t="n"/>
      <c r="B238" s="506">
        <f>IFERROR(__xludf.DUMMYFUNCTION("""COMPUTED_VALUE"""),46174.6666666666)</f>
        <v/>
      </c>
      <c r="C238" s="141">
        <f>IFERROR(__xludf.DUMMYFUNCTION("""COMPUTED_VALUE"""),98.44)</f>
        <v/>
      </c>
      <c r="D238" s="141">
        <f>IFERROR(__xludf.DUMMYFUNCTION("""COMPUTED_VALUE"""),98.7)</f>
        <v/>
      </c>
      <c r="E238" s="141">
        <f>IFERROR(__xludf.DUMMYFUNCTION("""COMPUTED_VALUE"""),98.36)</f>
        <v/>
      </c>
      <c r="F238" s="141">
        <f>IFERROR(__xludf.DUMMYFUNCTION("""COMPUTED_VALUE"""),98.68)</f>
        <v/>
      </c>
      <c r="G238" s="143">
        <f>IFERROR(__xludf.DUMMYFUNCTION("""COMPUTED_VALUE"""),8816658)</f>
        <v/>
      </c>
      <c r="H238" s="27" t="n"/>
    </row>
    <row r="239" ht="17.25" customHeight="1" s="322">
      <c r="A239" s="27" t="n"/>
      <c r="B239" s="506">
        <f>IFERROR(__xludf.DUMMYFUNCTION("""COMPUTED_VALUE"""),46175.6666666666)</f>
        <v/>
      </c>
      <c r="C239" s="141">
        <f>IFERROR(__xludf.DUMMYFUNCTION("""COMPUTED_VALUE"""),98.8)</f>
        <v/>
      </c>
      <c r="D239" s="141">
        <f>IFERROR(__xludf.DUMMYFUNCTION("""COMPUTED_VALUE"""),98.84)</f>
        <v/>
      </c>
      <c r="E239" s="141">
        <f>IFERROR(__xludf.DUMMYFUNCTION("""COMPUTED_VALUE"""),98.66)</f>
        <v/>
      </c>
      <c r="F239" s="141">
        <f>IFERROR(__xludf.DUMMYFUNCTION("""COMPUTED_VALUE"""),98.71)</f>
        <v/>
      </c>
      <c r="G239" s="143">
        <f>IFERROR(__xludf.DUMMYFUNCTION("""COMPUTED_VALUE"""),6863326)</f>
        <v/>
      </c>
      <c r="H239" s="27" t="n"/>
    </row>
    <row r="240" ht="17.25" customHeight="1" s="322">
      <c r="A240" s="27" t="n"/>
      <c r="B240" s="506">
        <f>IFERROR(__xludf.DUMMYFUNCTION("""COMPUTED_VALUE"""),46176.6666666666)</f>
        <v/>
      </c>
      <c r="C240" s="141">
        <f>IFERROR(__xludf.DUMMYFUNCTION("""COMPUTED_VALUE"""),98.51)</f>
        <v/>
      </c>
      <c r="D240" s="141">
        <f>IFERROR(__xludf.DUMMYFUNCTION("""COMPUTED_VALUE"""),98.59)</f>
        <v/>
      </c>
      <c r="E240" s="141">
        <f>IFERROR(__xludf.DUMMYFUNCTION("""COMPUTED_VALUE"""),98.41)</f>
        <v/>
      </c>
      <c r="F240" s="141">
        <f>IFERROR(__xludf.DUMMYFUNCTION("""COMPUTED_VALUE"""),98.5)</f>
        <v/>
      </c>
      <c r="G240" s="143">
        <f>IFERROR(__xludf.DUMMYFUNCTION("""COMPUTED_VALUE"""),7331020)</f>
        <v/>
      </c>
      <c r="H240" s="27" t="n"/>
    </row>
    <row r="241" ht="17.25" customHeight="1" s="322">
      <c r="A241" s="27" t="n"/>
      <c r="B241" s="506">
        <f>IFERROR(__xludf.DUMMYFUNCTION("""COMPUTED_VALUE"""),46177.6666666666)</f>
        <v/>
      </c>
      <c r="C241" s="141">
        <f>IFERROR(__xludf.DUMMYFUNCTION("""COMPUTED_VALUE"""),98.71)</f>
        <v/>
      </c>
      <c r="D241" s="141">
        <f>IFERROR(__xludf.DUMMYFUNCTION("""COMPUTED_VALUE"""),99)</f>
        <v/>
      </c>
      <c r="E241" s="141">
        <f>IFERROR(__xludf.DUMMYFUNCTION("""COMPUTED_VALUE"""),98.61)</f>
        <v/>
      </c>
      <c r="F241" s="141">
        <f>IFERROR(__xludf.DUMMYFUNCTION("""COMPUTED_VALUE"""),98.66)</f>
        <v/>
      </c>
      <c r="G241" s="143">
        <f>IFERROR(__xludf.DUMMYFUNCTION("""COMPUTED_VALUE"""),7001329)</f>
        <v/>
      </c>
      <c r="H241" s="27" t="n"/>
    </row>
    <row r="242" ht="17.25" customHeight="1" s="322">
      <c r="A242" s="27" t="n"/>
      <c r="B242" s="506">
        <f>IFERROR(__xludf.DUMMYFUNCTION("""COMPUTED_VALUE"""),46178.6666666666)</f>
        <v/>
      </c>
      <c r="C242" s="141">
        <f>IFERROR(__xludf.DUMMYFUNCTION("""COMPUTED_VALUE"""),98.33)</f>
        <v/>
      </c>
      <c r="D242" s="141">
        <f>IFERROR(__xludf.DUMMYFUNCTION("""COMPUTED_VALUE"""),98.37)</f>
        <v/>
      </c>
      <c r="E242" s="141">
        <f>IFERROR(__xludf.DUMMYFUNCTION("""COMPUTED_VALUE"""),98.17)</f>
        <v/>
      </c>
      <c r="F242" s="141">
        <f>IFERROR(__xludf.DUMMYFUNCTION("""COMPUTED_VALUE"""),98.17)</f>
        <v/>
      </c>
      <c r="G242" s="143">
        <f>IFERROR(__xludf.DUMMYFUNCTION("""COMPUTED_VALUE"""),13805499)</f>
        <v/>
      </c>
      <c r="H242" s="27" t="n"/>
    </row>
    <row r="243" ht="17.25" customHeight="1" s="322">
      <c r="A243" s="27" t="n"/>
      <c r="B243" s="506">
        <f>IFERROR(__xludf.DUMMYFUNCTION("""COMPUTED_VALUE"""),46181.6666666666)</f>
        <v/>
      </c>
      <c r="C243" s="141">
        <f>IFERROR(__xludf.DUMMYFUNCTION("""COMPUTED_VALUE"""),98.4)</f>
        <v/>
      </c>
      <c r="D243" s="141">
        <f>IFERROR(__xludf.DUMMYFUNCTION("""COMPUTED_VALUE"""),98.43)</f>
        <v/>
      </c>
      <c r="E243" s="141">
        <f>IFERROR(__xludf.DUMMYFUNCTION("""COMPUTED_VALUE"""),98.15)</f>
        <v/>
      </c>
      <c r="F243" s="141">
        <f>IFERROR(__xludf.DUMMYFUNCTION("""COMPUTED_VALUE"""),98.17)</f>
        <v/>
      </c>
      <c r="G243" s="143">
        <f>IFERROR(__xludf.DUMMYFUNCTION("""COMPUTED_VALUE"""),8965396)</f>
        <v/>
      </c>
      <c r="H243" s="27" t="n"/>
    </row>
    <row r="244" ht="17.25" customHeight="1" s="322">
      <c r="A244" s="27" t="n"/>
      <c r="B244" s="506">
        <f>IFERROR(__xludf.DUMMYFUNCTION("""COMPUTED_VALUE"""),46182.6666666666)</f>
        <v/>
      </c>
      <c r="C244" s="141">
        <f>IFERROR(__xludf.DUMMYFUNCTION("""COMPUTED_VALUE"""),98.33)</f>
        <v/>
      </c>
      <c r="D244" s="141">
        <f>IFERROR(__xludf.DUMMYFUNCTION("""COMPUTED_VALUE"""),98.42)</f>
        <v/>
      </c>
      <c r="E244" s="141">
        <f>IFERROR(__xludf.DUMMYFUNCTION("""COMPUTED_VALUE"""),98.22)</f>
        <v/>
      </c>
      <c r="F244" s="141">
        <f>IFERROR(__xludf.DUMMYFUNCTION("""COMPUTED_VALUE"""),98.37)</f>
        <v/>
      </c>
      <c r="G244" s="143">
        <f>IFERROR(__xludf.DUMMYFUNCTION("""COMPUTED_VALUE"""),14475607)</f>
        <v/>
      </c>
      <c r="H244" s="27" t="n"/>
    </row>
    <row r="245" ht="17.25" customHeight="1" s="322">
      <c r="A245" s="27" t="n"/>
      <c r="B245" s="506">
        <f>IFERROR(__xludf.DUMMYFUNCTION("""COMPUTED_VALUE"""),46183.6666666666)</f>
        <v/>
      </c>
      <c r="C245" s="141">
        <f>IFERROR(__xludf.DUMMYFUNCTION("""COMPUTED_VALUE"""),98.42)</f>
        <v/>
      </c>
      <c r="D245" s="141">
        <f>IFERROR(__xludf.DUMMYFUNCTION("""COMPUTED_VALUE"""),98.48)</f>
        <v/>
      </c>
      <c r="E245" s="141">
        <f>IFERROR(__xludf.DUMMYFUNCTION("""COMPUTED_VALUE"""),98.22)</f>
        <v/>
      </c>
      <c r="F245" s="141">
        <f>IFERROR(__xludf.DUMMYFUNCTION("""COMPUTED_VALUE"""),98.31)</f>
        <v/>
      </c>
      <c r="G245" s="143">
        <f>IFERROR(__xludf.DUMMYFUNCTION("""COMPUTED_VALUE"""),4781005)</f>
        <v/>
      </c>
      <c r="H245" s="27" t="n"/>
    </row>
    <row r="246" ht="17.25" customHeight="1" s="322">
      <c r="A246" s="27" t="n"/>
      <c r="B246" s="506">
        <f>IFERROR(__xludf.DUMMYFUNCTION("""COMPUTED_VALUE"""),46184.6666666666)</f>
        <v/>
      </c>
      <c r="C246" s="141">
        <f>IFERROR(__xludf.DUMMYFUNCTION("""COMPUTED_VALUE"""),98.39)</f>
        <v/>
      </c>
      <c r="D246" s="141">
        <f>IFERROR(__xludf.DUMMYFUNCTION("""COMPUTED_VALUE"""),98.92)</f>
        <v/>
      </c>
      <c r="E246" s="141">
        <f>IFERROR(__xludf.DUMMYFUNCTION("""COMPUTED_VALUE"""),98.34)</f>
        <v/>
      </c>
      <c r="F246" s="141">
        <f>IFERROR(__xludf.DUMMYFUNCTION("""COMPUTED_VALUE"""),98.88)</f>
        <v/>
      </c>
      <c r="G246" s="143">
        <f>IFERROR(__xludf.DUMMYFUNCTION("""COMPUTED_VALUE"""),7137771)</f>
        <v/>
      </c>
      <c r="H246" s="27" t="n"/>
    </row>
    <row r="247" ht="17.25" customHeight="1" s="322">
      <c r="A247" s="27" t="n"/>
      <c r="B247" s="506">
        <f>IFERROR(__xludf.DUMMYFUNCTION("""COMPUTED_VALUE"""),46185.6666666666)</f>
        <v/>
      </c>
      <c r="C247" s="141">
        <f>IFERROR(__xludf.DUMMYFUNCTION("""COMPUTED_VALUE"""),98.73)</f>
        <v/>
      </c>
      <c r="D247" s="141">
        <f>IFERROR(__xludf.DUMMYFUNCTION("""COMPUTED_VALUE"""),98.82)</f>
        <v/>
      </c>
      <c r="E247" s="141">
        <f>IFERROR(__xludf.DUMMYFUNCTION("""COMPUTED_VALUE"""),98.59)</f>
        <v/>
      </c>
      <c r="F247" s="141">
        <f>IFERROR(__xludf.DUMMYFUNCTION("""COMPUTED_VALUE"""),98.76)</f>
        <v/>
      </c>
      <c r="G247" s="143">
        <f>IFERROR(__xludf.DUMMYFUNCTION("""COMPUTED_VALUE"""),6317034)</f>
        <v/>
      </c>
      <c r="H247" s="27" t="n"/>
    </row>
    <row r="248" ht="17.25" customHeight="1" s="322">
      <c r="A248" s="27" t="n"/>
      <c r="B248" s="506">
        <f>IFERROR(__xludf.DUMMYFUNCTION("""COMPUTED_VALUE"""),46188.6666666666)</f>
        <v/>
      </c>
      <c r="C248" s="141">
        <f>IFERROR(__xludf.DUMMYFUNCTION("""COMPUTED_VALUE"""),98.96)</f>
        <v/>
      </c>
      <c r="D248" s="141">
        <f>IFERROR(__xludf.DUMMYFUNCTION("""COMPUTED_VALUE"""),99.03)</f>
        <v/>
      </c>
      <c r="E248" s="141">
        <f>IFERROR(__xludf.DUMMYFUNCTION("""COMPUTED_VALUE"""),98.82)</f>
        <v/>
      </c>
      <c r="F248" s="141">
        <f>IFERROR(__xludf.DUMMYFUNCTION("""COMPUTED_VALUE"""),98.85)</f>
        <v/>
      </c>
      <c r="G248" s="143">
        <f>IFERROR(__xludf.DUMMYFUNCTION("""COMPUTED_VALUE"""),7115765)</f>
        <v/>
      </c>
      <c r="H248" s="27" t="n"/>
    </row>
    <row r="249" ht="17.25" customHeight="1" s="322">
      <c r="A249" s="27" t="n"/>
      <c r="B249" s="506">
        <f>IFERROR(__xludf.DUMMYFUNCTION("""COMPUTED_VALUE"""),46189.6666666666)</f>
        <v/>
      </c>
      <c r="C249" s="141">
        <f>IFERROR(__xludf.DUMMYFUNCTION("""COMPUTED_VALUE"""),98.9)</f>
        <v/>
      </c>
      <c r="D249" s="141">
        <f>IFERROR(__xludf.DUMMYFUNCTION("""COMPUTED_VALUE"""),99.09)</f>
        <v/>
      </c>
      <c r="E249" s="141">
        <f>IFERROR(__xludf.DUMMYFUNCTION("""COMPUTED_VALUE"""),98.88)</f>
        <v/>
      </c>
      <c r="F249" s="141">
        <f>IFERROR(__xludf.DUMMYFUNCTION("""COMPUTED_VALUE"""),98.97)</f>
        <v/>
      </c>
      <c r="G249" s="143">
        <f>IFERROR(__xludf.DUMMYFUNCTION("""COMPUTED_VALUE"""),6353242)</f>
        <v/>
      </c>
      <c r="H249" s="27" t="n"/>
    </row>
    <row r="250" ht="17.25" customHeight="1" s="322">
      <c r="A250" s="27" t="n"/>
      <c r="B250" s="506">
        <f>IFERROR(__xludf.DUMMYFUNCTION("""COMPUTED_VALUE"""),46190.6666666666)</f>
        <v/>
      </c>
      <c r="C250" s="141">
        <f>IFERROR(__xludf.DUMMYFUNCTION("""COMPUTED_VALUE"""),99)</f>
        <v/>
      </c>
      <c r="D250" s="141">
        <f>IFERROR(__xludf.DUMMYFUNCTION("""COMPUTED_VALUE"""),99.07)</f>
        <v/>
      </c>
      <c r="E250" s="141">
        <f>IFERROR(__xludf.DUMMYFUNCTION("""COMPUTED_VALUE"""),98.57)</f>
        <v/>
      </c>
      <c r="F250" s="141">
        <f>IFERROR(__xludf.DUMMYFUNCTION("""COMPUTED_VALUE"""),98.61)</f>
        <v/>
      </c>
      <c r="G250" s="143">
        <f>IFERROR(__xludf.DUMMYFUNCTION("""COMPUTED_VALUE"""),9348576)</f>
        <v/>
      </c>
      <c r="H250" s="27" t="n"/>
    </row>
    <row r="251" ht="17.25" customHeight="1" s="322">
      <c r="A251" s="27" t="n"/>
      <c r="B251" s="506">
        <f>IFERROR(__xludf.DUMMYFUNCTION("""COMPUTED_VALUE"""),46191.6666666666)</f>
        <v/>
      </c>
      <c r="C251" s="141">
        <f>IFERROR(__xludf.DUMMYFUNCTION("""COMPUTED_VALUE"""),99)</f>
        <v/>
      </c>
      <c r="D251" s="141">
        <f>IFERROR(__xludf.DUMMYFUNCTION("""COMPUTED_VALUE"""),99.11)</f>
        <v/>
      </c>
      <c r="E251" s="141">
        <f>IFERROR(__xludf.DUMMYFUNCTION("""COMPUTED_VALUE"""),98.87)</f>
        <v/>
      </c>
      <c r="F251" s="141">
        <f>IFERROR(__xludf.DUMMYFUNCTION("""COMPUTED_VALUE"""),98.9)</f>
        <v/>
      </c>
      <c r="G251" s="143">
        <f>IFERROR(__xludf.DUMMYFUNCTION("""COMPUTED_VALUE"""),4635657)</f>
        <v/>
      </c>
      <c r="H251" s="27" t="n"/>
    </row>
    <row r="252" ht="17.25" customHeight="1" s="322">
      <c r="A252" s="27" t="n"/>
      <c r="B252" s="506">
        <f>IFERROR(__xludf.DUMMYFUNCTION("""COMPUTED_VALUE"""),46195.6666666666)</f>
        <v/>
      </c>
      <c r="C252" s="141">
        <f>IFERROR(__xludf.DUMMYFUNCTION("""COMPUTED_VALUE"""),98.74)</f>
        <v/>
      </c>
      <c r="D252" s="141">
        <f>IFERROR(__xludf.DUMMYFUNCTION("""COMPUTED_VALUE"""),98.77)</f>
        <v/>
      </c>
      <c r="E252" s="141">
        <f>IFERROR(__xludf.DUMMYFUNCTION("""COMPUTED_VALUE"""),98.58)</f>
        <v/>
      </c>
      <c r="F252" s="141">
        <f>IFERROR(__xludf.DUMMYFUNCTION("""COMPUTED_VALUE"""),98.63)</f>
        <v/>
      </c>
      <c r="G252" s="143">
        <f>IFERROR(__xludf.DUMMYFUNCTION("""COMPUTED_VALUE"""),6323333)</f>
        <v/>
      </c>
      <c r="H252" s="27" t="n"/>
    </row>
    <row r="253" ht="17.25" customHeight="1" s="322">
      <c r="A253" s="27" t="n"/>
      <c r="B253" s="506">
        <f>IFERROR(__xludf.DUMMYFUNCTION("""COMPUTED_VALUE"""),46196.6666666666)</f>
        <v/>
      </c>
      <c r="C253" s="141">
        <f>IFERROR(__xludf.DUMMYFUNCTION("""COMPUTED_VALUE"""),98.73)</f>
        <v/>
      </c>
      <c r="D253" s="141">
        <f>IFERROR(__xludf.DUMMYFUNCTION("""COMPUTED_VALUE"""),98.85)</f>
        <v/>
      </c>
      <c r="E253" s="141">
        <f>IFERROR(__xludf.DUMMYFUNCTION("""COMPUTED_VALUE"""),98.7)</f>
        <v/>
      </c>
      <c r="F253" s="141">
        <f>IFERROR(__xludf.DUMMYFUNCTION("""COMPUTED_VALUE"""),98.71)</f>
        <v/>
      </c>
      <c r="G253" s="143">
        <f>IFERROR(__xludf.DUMMYFUNCTION("""COMPUTED_VALUE"""),12089071)</f>
        <v/>
      </c>
      <c r="H253" s="27" t="n"/>
    </row>
    <row r="254" ht="17.25" customHeight="1" s="322">
      <c r="A254" s="27" t="n"/>
      <c r="B254" s="506">
        <f>IFERROR(__xludf.DUMMYFUNCTION("""COMPUTED_VALUE"""),46197.6666666666)</f>
        <v/>
      </c>
      <c r="C254" s="141">
        <f>IFERROR(__xludf.DUMMYFUNCTION("""COMPUTED_VALUE"""),99.1)</f>
        <v/>
      </c>
      <c r="D254" s="141">
        <f>IFERROR(__xludf.DUMMYFUNCTION("""COMPUTED_VALUE"""),99.24)</f>
        <v/>
      </c>
      <c r="E254" s="141">
        <f>IFERROR(__xludf.DUMMYFUNCTION("""COMPUTED_VALUE"""),99.07)</f>
        <v/>
      </c>
      <c r="F254" s="141">
        <f>IFERROR(__xludf.DUMMYFUNCTION("""COMPUTED_VALUE"""),99.19)</f>
        <v/>
      </c>
      <c r="G254" s="143">
        <f>IFERROR(__xludf.DUMMYFUNCTION("""COMPUTED_VALUE"""),6517082)</f>
        <v/>
      </c>
      <c r="H254" s="27" t="n"/>
    </row>
    <row r="255" ht="17.25" customHeight="1" s="322">
      <c r="A255" s="27" t="n"/>
      <c r="B255" s="506">
        <f>IFERROR(__xludf.DUMMYFUNCTION("""COMPUTED_VALUE"""),46198.6666666666)</f>
        <v/>
      </c>
      <c r="C255" s="141">
        <f>IFERROR(__xludf.DUMMYFUNCTION("""COMPUTED_VALUE"""),99.32)</f>
        <v/>
      </c>
      <c r="D255" s="141">
        <f>IFERROR(__xludf.DUMMYFUNCTION("""COMPUTED_VALUE"""),99.43)</f>
        <v/>
      </c>
      <c r="E255" s="141">
        <f>IFERROR(__xludf.DUMMYFUNCTION("""COMPUTED_VALUE"""),99.24)</f>
        <v/>
      </c>
      <c r="F255" s="141">
        <f>IFERROR(__xludf.DUMMYFUNCTION("""COMPUTED_VALUE"""),99.25)</f>
        <v/>
      </c>
      <c r="G255" s="143">
        <f>IFERROR(__xludf.DUMMYFUNCTION("""COMPUTED_VALUE"""),8178995)</f>
        <v/>
      </c>
      <c r="H255" s="27" t="n"/>
    </row>
    <row r="256" ht="17.25" customHeight="1" s="322">
      <c r="A256" s="27" t="n"/>
      <c r="B256" s="506">
        <f>IFERROR(__xludf.DUMMYFUNCTION("""COMPUTED_VALUE"""),46199.6666666666)</f>
        <v/>
      </c>
      <c r="C256" s="141">
        <f>IFERROR(__xludf.DUMMYFUNCTION("""COMPUTED_VALUE"""),99.24)</f>
        <v/>
      </c>
      <c r="D256" s="141">
        <f>IFERROR(__xludf.DUMMYFUNCTION("""COMPUTED_VALUE"""),99.42)</f>
        <v/>
      </c>
      <c r="E256" s="141">
        <f>IFERROR(__xludf.DUMMYFUNCTION("""COMPUTED_VALUE"""),99.23)</f>
        <v/>
      </c>
      <c r="F256" s="141">
        <f>IFERROR(__xludf.DUMMYFUNCTION("""COMPUTED_VALUE"""),99.34)</f>
        <v/>
      </c>
      <c r="G256" s="143">
        <f>IFERROR(__xludf.DUMMYFUNCTION("""COMPUTED_VALUE"""),9920100)</f>
        <v/>
      </c>
      <c r="H256" s="27" t="n"/>
    </row>
    <row r="257" ht="17.25" customHeight="1" s="322">
      <c r="A257" s="27" t="n"/>
      <c r="B257" s="506">
        <f>IFERROR(__xludf.DUMMYFUNCTION("""COMPUTED_VALUE"""),46202.6666666666)</f>
        <v/>
      </c>
      <c r="C257" s="141">
        <f>IFERROR(__xludf.DUMMYFUNCTION("""COMPUTED_VALUE"""),99.34)</f>
        <v/>
      </c>
      <c r="D257" s="141">
        <f>IFERROR(__xludf.DUMMYFUNCTION("""COMPUTED_VALUE"""),99.41)</f>
        <v/>
      </c>
      <c r="E257" s="141">
        <f>IFERROR(__xludf.DUMMYFUNCTION("""COMPUTED_VALUE"""),99.3)</f>
        <v/>
      </c>
      <c r="F257" s="141">
        <f>IFERROR(__xludf.DUMMYFUNCTION("""COMPUTED_VALUE"""),99.37)</f>
        <v/>
      </c>
      <c r="G257" s="143">
        <f>IFERROR(__xludf.DUMMYFUNCTION("""COMPUTED_VALUE"""),8163695)</f>
        <v/>
      </c>
      <c r="H257" s="27" t="n"/>
    </row>
    <row r="258" ht="17.25" customHeight="1" s="322">
      <c r="A258" s="27" t="n"/>
      <c r="B258" s="506">
        <f>IFERROR(__xludf.DUMMYFUNCTION("""COMPUTED_VALUE"""),46203.6666666666)</f>
        <v/>
      </c>
      <c r="C258" s="141">
        <f>IFERROR(__xludf.DUMMYFUNCTION("""COMPUTED_VALUE"""),99.3)</f>
        <v/>
      </c>
      <c r="D258" s="141">
        <f>IFERROR(__xludf.DUMMYFUNCTION("""COMPUTED_VALUE"""),99.3)</f>
        <v/>
      </c>
      <c r="E258" s="141">
        <f>IFERROR(__xludf.DUMMYFUNCTION("""COMPUTED_VALUE"""),98.95)</f>
        <v/>
      </c>
      <c r="F258" s="141">
        <f>IFERROR(__xludf.DUMMYFUNCTION("""COMPUTED_VALUE"""),98.98)</f>
        <v/>
      </c>
      <c r="G258" s="143">
        <f>IFERROR(__xludf.DUMMYFUNCTION("""COMPUTED_VALUE"""),19005170)</f>
        <v/>
      </c>
      <c r="H258" s="27" t="n"/>
    </row>
    <row r="259" ht="17.25" customHeight="1" s="322">
      <c r="A259" s="27" t="n"/>
      <c r="B259" s="506">
        <f>IFERROR(__xludf.DUMMYFUNCTION("""COMPUTED_VALUE"""),46204.6666666666)</f>
        <v/>
      </c>
      <c r="C259" s="141">
        <f>IFERROR(__xludf.DUMMYFUNCTION("""COMPUTED_VALUE"""),98.48)</f>
        <v/>
      </c>
      <c r="D259" s="141">
        <f>IFERROR(__xludf.DUMMYFUNCTION("""COMPUTED_VALUE"""),98.61)</f>
        <v/>
      </c>
      <c r="E259" s="141">
        <f>IFERROR(__xludf.DUMMYFUNCTION("""COMPUTED_VALUE"""),98.42)</f>
        <v/>
      </c>
      <c r="F259" s="141">
        <f>IFERROR(__xludf.DUMMYFUNCTION("""COMPUTED_VALUE"""),98.5)</f>
        <v/>
      </c>
      <c r="G259" s="143">
        <f>IFERROR(__xludf.DUMMYFUNCTION("""COMPUTED_VALUE"""),10914676)</f>
        <v/>
      </c>
      <c r="H259" s="27" t="n"/>
    </row>
    <row r="260" ht="17.25" customHeight="1" s="322">
      <c r="A260" s="27" t="n"/>
      <c r="B260" s="506">
        <f>IFERROR(__xludf.DUMMYFUNCTION("""COMPUTED_VALUE"""),46205.6666666666)</f>
        <v/>
      </c>
      <c r="C260" s="141">
        <f>IFERROR(__xludf.DUMMYFUNCTION("""COMPUTED_VALUE"""),98.54)</f>
        <v/>
      </c>
      <c r="D260" s="141">
        <f>IFERROR(__xludf.DUMMYFUNCTION("""COMPUTED_VALUE"""),98.66)</f>
        <v/>
      </c>
      <c r="E260" s="141">
        <f>IFERROR(__xludf.DUMMYFUNCTION("""COMPUTED_VALUE"""),98.49)</f>
        <v/>
      </c>
      <c r="F260" s="141">
        <f>IFERROR(__xludf.DUMMYFUNCTION("""COMPUTED_VALUE"""),98.61)</f>
        <v/>
      </c>
      <c r="G260" s="143">
        <f>IFERROR(__xludf.DUMMYFUNCTION("""COMPUTED_VALUE"""),8407130)</f>
        <v/>
      </c>
      <c r="H260" s="27" t="n"/>
    </row>
    <row r="261" ht="17.25" customHeight="1" s="322">
      <c r="A261" s="27" t="n"/>
      <c r="B261" s="506">
        <f>IFERROR(__xludf.DUMMYFUNCTION("""COMPUTED_VALUE"""),46209.6666666666)</f>
        <v/>
      </c>
      <c r="C261" s="141">
        <f>IFERROR(__xludf.DUMMYFUNCTION("""COMPUTED_VALUE"""),98.6)</f>
        <v/>
      </c>
      <c r="D261" s="141">
        <f>IFERROR(__xludf.DUMMYFUNCTION("""COMPUTED_VALUE"""),98.67)</f>
        <v/>
      </c>
      <c r="E261" s="141">
        <f>IFERROR(__xludf.DUMMYFUNCTION("""COMPUTED_VALUE"""),98.48)</f>
        <v/>
      </c>
      <c r="F261" s="141">
        <f>IFERROR(__xludf.DUMMYFUNCTION("""COMPUTED_VALUE"""),98.66)</f>
        <v/>
      </c>
      <c r="G261" s="143">
        <f>IFERROR(__xludf.DUMMYFUNCTION("""COMPUTED_VALUE"""),6837115)</f>
        <v/>
      </c>
      <c r="H261" s="27" t="n"/>
    </row>
    <row r="262" ht="17.25" customHeight="1" s="322">
      <c r="A262" s="27" t="n"/>
      <c r="B262" s="506">
        <f>IFERROR(__xludf.DUMMYFUNCTION("""COMPUTED_VALUE"""),46210.6666666666)</f>
        <v/>
      </c>
      <c r="C262" s="141">
        <f>IFERROR(__xludf.DUMMYFUNCTION("""COMPUTED_VALUE"""),98.46)</f>
        <v/>
      </c>
      <c r="D262" s="141">
        <f>IFERROR(__xludf.DUMMYFUNCTION("""COMPUTED_VALUE"""),98.49)</f>
        <v/>
      </c>
      <c r="E262" s="141">
        <f>IFERROR(__xludf.DUMMYFUNCTION("""COMPUTED_VALUE"""),98.16)</f>
        <v/>
      </c>
      <c r="F262" s="141">
        <f>IFERROR(__xludf.DUMMYFUNCTION("""COMPUTED_VALUE"""),98.21)</f>
        <v/>
      </c>
      <c r="G262" s="143">
        <f>IFERROR(__xludf.DUMMYFUNCTION("""COMPUTED_VALUE"""),9137277)</f>
        <v/>
      </c>
      <c r="H262" s="27" t="n"/>
    </row>
    <row r="263" ht="17.25" customHeight="1" s="322">
      <c r="A263" s="27" t="n"/>
      <c r="B263" s="506">
        <f>IFERROR(__xludf.DUMMYFUNCTION("""COMPUTED_VALUE"""),46211.6666666666)</f>
        <v/>
      </c>
      <c r="C263" s="141">
        <f>IFERROR(__xludf.DUMMYFUNCTION("""COMPUTED_VALUE"""),98.08)</f>
        <v/>
      </c>
      <c r="D263" s="141">
        <f>IFERROR(__xludf.DUMMYFUNCTION("""COMPUTED_VALUE"""),98.11)</f>
        <v/>
      </c>
      <c r="E263" s="141">
        <f>IFERROR(__xludf.DUMMYFUNCTION("""COMPUTED_VALUE"""),97.9)</f>
        <v/>
      </c>
      <c r="F263" s="141">
        <f>IFERROR(__xludf.DUMMYFUNCTION("""COMPUTED_VALUE"""),98.04)</f>
        <v/>
      </c>
      <c r="G263" s="143">
        <f>IFERROR(__xludf.DUMMYFUNCTION("""COMPUTED_VALUE"""),7482994)</f>
        <v/>
      </c>
      <c r="H263" s="27" t="n"/>
    </row>
    <row r="264" ht="17.25" customHeight="1" s="322">
      <c r="A264" s="27" t="n"/>
      <c r="B264" s="506">
        <f>IFERROR(__xludf.DUMMYFUNCTION("""COMPUTED_VALUE"""),46212.6666666666)</f>
        <v/>
      </c>
      <c r="C264" s="141">
        <f>IFERROR(__xludf.DUMMYFUNCTION("""COMPUTED_VALUE"""),98.12)</f>
        <v/>
      </c>
      <c r="D264" s="141">
        <f>IFERROR(__xludf.DUMMYFUNCTION("""COMPUTED_VALUE"""),98.31)</f>
        <v/>
      </c>
      <c r="E264" s="141">
        <f>IFERROR(__xludf.DUMMYFUNCTION("""COMPUTED_VALUE"""),98.04)</f>
        <v/>
      </c>
      <c r="F264" s="141">
        <f>IFERROR(__xludf.DUMMYFUNCTION("""COMPUTED_VALUE"""),98.18)</f>
        <v/>
      </c>
      <c r="G264" s="143">
        <f>IFERROR(__xludf.DUMMYFUNCTION("""COMPUTED_VALUE"""),9011059)</f>
        <v/>
      </c>
      <c r="H264" s="27" t="n"/>
    </row>
    <row r="265" ht="17.25" customHeight="1" s="322">
      <c r="A265" s="27" t="n"/>
      <c r="B265" s="506">
        <f>IFERROR(__xludf.DUMMYFUNCTION("""COMPUTED_VALUE"""),46213.6666666666)</f>
        <v/>
      </c>
      <c r="C265" s="141">
        <f>IFERROR(__xludf.DUMMYFUNCTION("""COMPUTED_VALUE"""),98.41)</f>
        <v/>
      </c>
      <c r="D265" s="141">
        <f>IFERROR(__xludf.DUMMYFUNCTION("""COMPUTED_VALUE"""),98.48)</f>
        <v/>
      </c>
      <c r="E265" s="141">
        <f>IFERROR(__xludf.DUMMYFUNCTION("""COMPUTED_VALUE"""),98.02)</f>
        <v/>
      </c>
      <c r="F265" s="141">
        <f>IFERROR(__xludf.DUMMYFUNCTION("""COMPUTED_VALUE"""),98.08)</f>
        <v/>
      </c>
      <c r="G265" s="143">
        <f>IFERROR(__xludf.DUMMYFUNCTION("""COMPUTED_VALUE"""),7745450)</f>
        <v/>
      </c>
      <c r="H265" s="27" t="n"/>
    </row>
    <row r="266" ht="17.25" customHeight="1" s="322">
      <c r="A266" s="27" t="n"/>
      <c r="B266" s="506">
        <f>IFERROR(__xludf.DUMMYFUNCTION("""COMPUTED_VALUE"""),46216.6666666666)</f>
        <v/>
      </c>
      <c r="C266" s="141">
        <f>IFERROR(__xludf.DUMMYFUNCTION("""COMPUTED_VALUE"""),97.93)</f>
        <v/>
      </c>
      <c r="D266" s="141">
        <f>IFERROR(__xludf.DUMMYFUNCTION("""COMPUTED_VALUE"""),98.02)</f>
        <v/>
      </c>
      <c r="E266" s="141">
        <f>IFERROR(__xludf.DUMMYFUNCTION("""COMPUTED_VALUE"""),97.71)</f>
        <v/>
      </c>
      <c r="F266" s="141">
        <f>IFERROR(__xludf.DUMMYFUNCTION("""COMPUTED_VALUE"""),97.71)</f>
        <v/>
      </c>
      <c r="G266" s="143">
        <f>IFERROR(__xludf.DUMMYFUNCTION("""COMPUTED_VALUE"""),8320066)</f>
        <v/>
      </c>
      <c r="H266" s="27" t="n"/>
    </row>
    <row r="267" ht="17.25" customHeight="1" s="322">
      <c r="A267" s="27" t="n"/>
      <c r="B267" s="506">
        <f>IFERROR(__xludf.DUMMYFUNCTION("""COMPUTED_VALUE"""),46217.6666666666)</f>
        <v/>
      </c>
      <c r="C267" s="141">
        <f>IFERROR(__xludf.DUMMYFUNCTION("""COMPUTED_VALUE"""),97.98)</f>
        <v/>
      </c>
      <c r="D267" s="141">
        <f>IFERROR(__xludf.DUMMYFUNCTION("""COMPUTED_VALUE"""),98.13)</f>
        <v/>
      </c>
      <c r="E267" s="141">
        <f>IFERROR(__xludf.DUMMYFUNCTION("""COMPUTED_VALUE"""),97.9)</f>
        <v/>
      </c>
      <c r="F267" s="141">
        <f>IFERROR(__xludf.DUMMYFUNCTION("""COMPUTED_VALUE"""),98)</f>
        <v/>
      </c>
      <c r="G267" s="143">
        <f>IFERROR(__xludf.DUMMYFUNCTION("""COMPUTED_VALUE"""),6715092)</f>
        <v/>
      </c>
      <c r="H267" s="27" t="n"/>
    </row>
    <row r="268" ht="17.25" customHeight="1" s="322">
      <c r="A268" s="27" t="n"/>
      <c r="B268" s="506">
        <f>IFERROR(__xludf.DUMMYFUNCTION("""COMPUTED_VALUE"""),46218.6666666666)</f>
        <v/>
      </c>
      <c r="C268" s="141">
        <f>IFERROR(__xludf.DUMMYFUNCTION("""COMPUTED_VALUE"""),98.06)</f>
        <v/>
      </c>
      <c r="D268" s="141">
        <f>IFERROR(__xludf.DUMMYFUNCTION("""COMPUTED_VALUE"""),98.26)</f>
        <v/>
      </c>
      <c r="E268" s="141">
        <f>IFERROR(__xludf.DUMMYFUNCTION("""COMPUTED_VALUE"""),98.06)</f>
        <v/>
      </c>
      <c r="F268" s="141">
        <f>IFERROR(__xludf.DUMMYFUNCTION("""COMPUTED_VALUE"""),98.14)</f>
        <v/>
      </c>
      <c r="G268" s="143">
        <f>IFERROR(__xludf.DUMMYFUNCTION("""COMPUTED_VALUE"""),11873004)</f>
        <v/>
      </c>
      <c r="H268" s="27" t="n"/>
    </row>
    <row r="269" ht="17.25" customHeight="1" s="322">
      <c r="A269" s="27" t="n"/>
      <c r="B269" s="506">
        <f>IFERROR(__xludf.DUMMYFUNCTION("""COMPUTED_VALUE"""),46219.6666666666)</f>
        <v/>
      </c>
      <c r="C269" s="141">
        <f>IFERROR(__xludf.DUMMYFUNCTION("""COMPUTED_VALUE"""),98.03)</f>
        <v/>
      </c>
      <c r="D269" s="141">
        <f>IFERROR(__xludf.DUMMYFUNCTION("""COMPUTED_VALUE"""),98.17)</f>
        <v/>
      </c>
      <c r="E269" s="141">
        <f>IFERROR(__xludf.DUMMYFUNCTION("""COMPUTED_VALUE"""),97.99)</f>
        <v/>
      </c>
      <c r="F269" s="141">
        <f>IFERROR(__xludf.DUMMYFUNCTION("""COMPUTED_VALUE"""),98.13)</f>
        <v/>
      </c>
      <c r="G269" s="143">
        <f>IFERROR(__xludf.DUMMYFUNCTION("""COMPUTED_VALUE"""),6691804)</f>
        <v/>
      </c>
      <c r="H269" s="27" t="n"/>
    </row>
    <row r="270" ht="17.25" customHeight="1" s="322">
      <c r="A270" s="27" t="n"/>
      <c r="B270" s="506">
        <f>IFERROR(__xludf.DUMMYFUNCTION("""COMPUTED_VALUE"""),46220.6666666666)</f>
        <v/>
      </c>
      <c r="C270" s="141">
        <f>IFERROR(__xludf.DUMMYFUNCTION("""COMPUTED_VALUE"""),98.32)</f>
        <v/>
      </c>
      <c r="D270" s="141">
        <f>IFERROR(__xludf.DUMMYFUNCTION("""COMPUTED_VALUE"""),98.4)</f>
        <v/>
      </c>
      <c r="E270" s="141">
        <f>IFERROR(__xludf.DUMMYFUNCTION("""COMPUTED_VALUE"""),98.18)</f>
        <v/>
      </c>
      <c r="F270" s="141">
        <f>IFERROR(__xludf.DUMMYFUNCTION("""COMPUTED_VALUE"""),98.2)</f>
        <v/>
      </c>
      <c r="G270" s="143">
        <f>IFERROR(__xludf.DUMMYFUNCTION("""COMPUTED_VALUE"""),6552298)</f>
        <v/>
      </c>
      <c r="H270" s="27" t="n"/>
    </row>
    <row r="271" ht="17.25" customHeight="1" s="322">
      <c r="A271" s="27" t="n"/>
      <c r="B271" s="506">
        <f>IFERROR(__xludf.DUMMYFUNCTION("""COMPUTED_VALUE"""),46223.6666666666)</f>
        <v/>
      </c>
      <c r="C271" s="141">
        <f>IFERROR(__xludf.DUMMYFUNCTION("""COMPUTED_VALUE"""),98.17)</f>
        <v/>
      </c>
      <c r="D271" s="141">
        <f>IFERROR(__xludf.DUMMYFUNCTION("""COMPUTED_VALUE"""),98.18)</f>
        <v/>
      </c>
      <c r="E271" s="141">
        <f>IFERROR(__xludf.DUMMYFUNCTION("""COMPUTED_VALUE"""),97.9)</f>
        <v/>
      </c>
      <c r="F271" s="141">
        <f>IFERROR(__xludf.DUMMYFUNCTION("""COMPUTED_VALUE"""),97.95)</f>
        <v/>
      </c>
      <c r="G271" s="143">
        <f>IFERROR(__xludf.DUMMYFUNCTION("""COMPUTED_VALUE"""),4949443)</f>
        <v/>
      </c>
      <c r="H271" s="27" t="n"/>
    </row>
    <row r="272" ht="17.25" customHeight="1" s="322">
      <c r="A272" s="27" t="n"/>
      <c r="B272" s="506">
        <f>IFERROR(__xludf.DUMMYFUNCTION("""COMPUTED_VALUE"""),46224.6666666666)</f>
        <v/>
      </c>
      <c r="C272" s="141">
        <f>IFERROR(__xludf.DUMMYFUNCTION("""COMPUTED_VALUE"""),97.85)</f>
        <v/>
      </c>
      <c r="D272" s="141">
        <f>IFERROR(__xludf.DUMMYFUNCTION("""COMPUTED_VALUE"""),97.9)</f>
        <v/>
      </c>
      <c r="E272" s="141">
        <f>IFERROR(__xludf.DUMMYFUNCTION("""COMPUTED_VALUE"""),97.72)</f>
        <v/>
      </c>
      <c r="F272" s="141">
        <f>IFERROR(__xludf.DUMMYFUNCTION("""COMPUTED_VALUE"""),97.74)</f>
        <v/>
      </c>
      <c r="G272" s="143">
        <f>IFERROR(__xludf.DUMMYFUNCTION("""COMPUTED_VALUE"""),9518208)</f>
        <v/>
      </c>
      <c r="H272" s="27" t="n"/>
    </row>
    <row r="273" ht="17.25" customHeight="1" s="322">
      <c r="A273" s="27" t="n"/>
      <c r="B273" s="506">
        <f>IFERROR(__xludf.DUMMYFUNCTION("""COMPUTED_VALUE"""),46225.6666666666)</f>
        <v/>
      </c>
      <c r="C273" s="141">
        <f>IFERROR(__xludf.DUMMYFUNCTION("""COMPUTED_VALUE"""),97.71)</f>
        <v/>
      </c>
      <c r="D273" s="141">
        <f>IFERROR(__xludf.DUMMYFUNCTION("""COMPUTED_VALUE"""),97.74)</f>
        <v/>
      </c>
      <c r="E273" s="141">
        <f>IFERROR(__xludf.DUMMYFUNCTION("""COMPUTED_VALUE"""),97.58)</f>
        <v/>
      </c>
      <c r="F273" s="141">
        <f>IFERROR(__xludf.DUMMYFUNCTION("""COMPUTED_VALUE"""),97.58)</f>
        <v/>
      </c>
      <c r="G273" s="143">
        <f>IFERROR(__xludf.DUMMYFUNCTION("""COMPUTED_VALUE"""),6313324)</f>
        <v/>
      </c>
      <c r="H273" s="27" t="n"/>
    </row>
    <row r="274" ht="17.25" customHeight="1" s="322">
      <c r="A274" s="27" t="n"/>
      <c r="B274" s="506">
        <f>IFERROR(__xludf.DUMMYFUNCTION("""COMPUTED_VALUE"""),46226.6666666666)</f>
        <v/>
      </c>
      <c r="C274" s="141">
        <f>IFERROR(__xludf.DUMMYFUNCTION("""COMPUTED_VALUE"""),97.32)</f>
        <v/>
      </c>
      <c r="D274" s="141">
        <f>IFERROR(__xludf.DUMMYFUNCTION("""COMPUTED_VALUE"""),97.4)</f>
        <v/>
      </c>
      <c r="E274" s="141">
        <f>IFERROR(__xludf.DUMMYFUNCTION("""COMPUTED_VALUE"""),97.27)</f>
        <v/>
      </c>
      <c r="F274" s="141">
        <f>IFERROR(__xludf.DUMMYFUNCTION("""COMPUTED_VALUE"""),97.34)</f>
        <v/>
      </c>
      <c r="G274" s="143">
        <f>IFERROR(__xludf.DUMMYFUNCTION("""COMPUTED_VALUE"""),6394375)</f>
        <v/>
      </c>
      <c r="H274" s="27" t="n"/>
    </row>
    <row r="275" ht="17.25" customHeight="1" s="322">
      <c r="A275" s="27" t="n"/>
      <c r="B275" s="506">
        <f>IFERROR(__xludf.DUMMYFUNCTION("""COMPUTED_VALUE"""),46227.6666666666)</f>
        <v/>
      </c>
      <c r="C275" s="141">
        <f>IFERROR(__xludf.DUMMYFUNCTION("""COMPUTED_VALUE"""),97.45)</f>
        <v/>
      </c>
      <c r="D275" s="141">
        <f>IFERROR(__xludf.DUMMYFUNCTION("""COMPUTED_VALUE"""),97.64)</f>
        <v/>
      </c>
      <c r="E275" s="141">
        <f>IFERROR(__xludf.DUMMYFUNCTION("""COMPUTED_VALUE"""),97.41)</f>
        <v/>
      </c>
      <c r="F275" s="141">
        <f>IFERROR(__xludf.DUMMYFUNCTION("""COMPUTED_VALUE"""),97.46)</f>
        <v/>
      </c>
      <c r="G275" s="143">
        <f>IFERROR(__xludf.DUMMYFUNCTION("""COMPUTED_VALUE"""),5908311)</f>
        <v/>
      </c>
      <c r="H275" s="27" t="n"/>
    </row>
    <row r="276" ht="17.25" customHeight="1" s="322">
      <c r="A276" s="27" t="n"/>
      <c r="B276" s="506">
        <f>IFERROR(__xludf.DUMMYFUNCTION("""COMPUTED_VALUE"""),46230.6666666666)</f>
        <v/>
      </c>
      <c r="C276" s="141">
        <f>IFERROR(__xludf.DUMMYFUNCTION("""COMPUTED_VALUE"""),97.64)</f>
        <v/>
      </c>
      <c r="D276" s="141">
        <f>IFERROR(__xludf.DUMMYFUNCTION("""COMPUTED_VALUE"""),97.73)</f>
        <v/>
      </c>
      <c r="E276" s="141">
        <f>IFERROR(__xludf.DUMMYFUNCTION("""COMPUTED_VALUE"""),97.59)</f>
        <v/>
      </c>
      <c r="F276" s="141">
        <f>IFERROR(__xludf.DUMMYFUNCTION("""COMPUTED_VALUE"""),97.69)</f>
        <v/>
      </c>
      <c r="G276" s="143">
        <f>IFERROR(__xludf.DUMMYFUNCTION("""COMPUTED_VALUE"""),7043943)</f>
        <v/>
      </c>
      <c r="H276" s="27" t="n"/>
    </row>
    <row r="277" ht="17.25" customHeight="1" s="322">
      <c r="A277" s="27" t="n"/>
      <c r="B277" s="506">
        <f>IFERROR(__xludf.DUMMYFUNCTION("""COMPUTED_VALUE"""),46231.6666666666)</f>
        <v/>
      </c>
      <c r="C277" s="141">
        <f>IFERROR(__xludf.DUMMYFUNCTION("""COMPUTED_VALUE"""),97.79)</f>
        <v/>
      </c>
      <c r="D277" s="141">
        <f>IFERROR(__xludf.DUMMYFUNCTION("""COMPUTED_VALUE"""),98.01)</f>
        <v/>
      </c>
      <c r="E277" s="141">
        <f>IFERROR(__xludf.DUMMYFUNCTION("""COMPUTED_VALUE"""),97.77)</f>
        <v/>
      </c>
      <c r="F277" s="141">
        <f>IFERROR(__xludf.DUMMYFUNCTION("""COMPUTED_VALUE"""),97.92)</f>
        <v/>
      </c>
      <c r="G277" s="143">
        <f>IFERROR(__xludf.DUMMYFUNCTION("""COMPUTED_VALUE"""),12020860)</f>
        <v/>
      </c>
      <c r="H277" s="27" t="n"/>
    </row>
    <row r="278" ht="17.25" customHeight="1" s="322">
      <c r="A278" s="27" t="n"/>
      <c r="B278" s="506">
        <f>IFERROR(__xludf.DUMMYFUNCTION("""COMPUTED_VALUE"""),46232.6666666666)</f>
        <v/>
      </c>
      <c r="C278" s="141">
        <f>IFERROR(__xludf.DUMMYFUNCTION("""COMPUTED_VALUE"""),97.83)</f>
        <v/>
      </c>
      <c r="D278" s="141">
        <f>IFERROR(__xludf.DUMMYFUNCTION("""COMPUTED_VALUE"""),97.9)</f>
        <v/>
      </c>
      <c r="E278" s="141">
        <f>IFERROR(__xludf.DUMMYFUNCTION("""COMPUTED_VALUE"""),97.55)</f>
        <v/>
      </c>
      <c r="F278" s="141">
        <f>IFERROR(__xludf.DUMMYFUNCTION("""COMPUTED_VALUE"""),97.55)</f>
        <v/>
      </c>
      <c r="G278" s="143">
        <f>IFERROR(__xludf.DUMMYFUNCTION("""COMPUTED_VALUE"""),6256986)</f>
        <v/>
      </c>
      <c r="H278" s="27" t="n"/>
    </row>
    <row r="279" ht="17.25" customHeight="1" s="322">
      <c r="A279" s="27" t="n"/>
      <c r="B279" s="506" t="n"/>
      <c r="C279" s="141" t="n"/>
      <c r="D279" s="141" t="n"/>
      <c r="E279" s="141" t="n"/>
      <c r="F279" s="141" t="n"/>
      <c r="G279" s="143" t="n"/>
      <c r="H279" s="27" t="n"/>
    </row>
    <row r="280" ht="17.25" customHeight="1" s="322">
      <c r="A280" s="27" t="n"/>
      <c r="B280" s="506" t="n"/>
      <c r="C280" s="141" t="n"/>
      <c r="D280" s="141" t="n"/>
      <c r="E280" s="141" t="n"/>
      <c r="F280" s="141" t="n"/>
      <c r="G280" s="143" t="n"/>
      <c r="H280" s="27" t="n"/>
    </row>
    <row r="281" ht="17.25" customHeight="1" s="322">
      <c r="A281" s="27" t="n"/>
      <c r="B281" s="506" t="n"/>
      <c r="C281" s="141" t="n"/>
      <c r="D281" s="141" t="n"/>
      <c r="E281" s="141" t="n"/>
      <c r="F281" s="141" t="n"/>
      <c r="G281" s="143" t="n"/>
      <c r="H281" s="27" t="n"/>
    </row>
    <row r="282" ht="17.25" customHeight="1" s="322">
      <c r="A282" s="27" t="n"/>
      <c r="B282" s="506" t="n"/>
      <c r="C282" s="141" t="n"/>
      <c r="D282" s="141" t="n"/>
      <c r="E282" s="141" t="n"/>
      <c r="F282" s="141" t="n"/>
      <c r="G282" s="143" t="n"/>
      <c r="H282" s="27" t="n"/>
    </row>
    <row r="283" ht="17.25" customHeight="1" s="322">
      <c r="A283" s="27" t="n"/>
      <c r="B283" s="506" t="n"/>
      <c r="C283" s="141" t="n"/>
      <c r="D283" s="141" t="n"/>
      <c r="E283" s="141" t="n"/>
      <c r="F283" s="141" t="n"/>
      <c r="G283" s="143" t="n"/>
      <c r="H283" s="27" t="n"/>
    </row>
    <row r="284" ht="17.25" customHeight="1" s="322">
      <c r="A284" s="27" t="n"/>
      <c r="B284" s="506" t="n"/>
      <c r="C284" s="141" t="n"/>
      <c r="D284" s="141" t="n"/>
      <c r="E284" s="141" t="n"/>
      <c r="F284" s="141" t="n"/>
      <c r="G284" s="143" t="n"/>
      <c r="H284" s="27" t="n"/>
    </row>
    <row r="285" ht="17.25" customHeight="1" s="322">
      <c r="A285" s="27" t="n"/>
      <c r="B285" s="506" t="n"/>
      <c r="C285" s="141" t="n"/>
      <c r="D285" s="141" t="n"/>
      <c r="E285" s="141" t="n"/>
      <c r="F285" s="141" t="n"/>
      <c r="G285" s="143" t="n"/>
      <c r="H285" s="27" t="n"/>
    </row>
    <row r="286" ht="17.25" customHeight="1" s="322">
      <c r="A286" s="27" t="n"/>
      <c r="B286" s="506" t="n"/>
      <c r="C286" s="141" t="n"/>
      <c r="D286" s="141" t="n"/>
      <c r="E286" s="141" t="n"/>
      <c r="F286" s="141" t="n"/>
      <c r="G286" s="143" t="n"/>
      <c r="H286" s="27" t="n"/>
    </row>
    <row r="287" ht="17.25" customHeight="1" s="322">
      <c r="A287" s="27" t="n"/>
      <c r="B287" s="506" t="n"/>
      <c r="C287" s="141" t="n"/>
      <c r="D287" s="141" t="n"/>
      <c r="E287" s="141" t="n"/>
      <c r="F287" s="141" t="n"/>
      <c r="G287" s="143" t="n"/>
      <c r="H287" s="27" t="n"/>
    </row>
    <row r="288" ht="17.25" customHeight="1" s="322">
      <c r="A288" s="27" t="n"/>
      <c r="B288" s="506" t="n"/>
      <c r="C288" s="141" t="n"/>
      <c r="D288" s="141" t="n"/>
      <c r="E288" s="141" t="n"/>
      <c r="F288" s="141" t="n"/>
      <c r="G288" s="143" t="n"/>
      <c r="H288" s="27" t="n"/>
    </row>
    <row r="289" ht="17.25" customHeight="1" s="322">
      <c r="A289" s="27" t="n"/>
      <c r="B289" s="506" t="n"/>
      <c r="C289" s="141" t="n"/>
      <c r="D289" s="141" t="n"/>
      <c r="E289" s="141" t="n"/>
      <c r="F289" s="141" t="n"/>
      <c r="G289" s="143" t="n"/>
      <c r="H289" s="27" t="n"/>
    </row>
    <row r="290" ht="17.25" customHeight="1" s="322">
      <c r="A290" s="27" t="n"/>
      <c r="B290" s="506" t="n"/>
      <c r="C290" s="141" t="n"/>
      <c r="D290" s="141" t="n"/>
      <c r="E290" s="141" t="n"/>
      <c r="F290" s="141" t="n"/>
      <c r="G290" s="143" t="n"/>
      <c r="H290" s="27" t="n"/>
    </row>
    <row r="291" ht="17.25" customHeight="1" s="322">
      <c r="A291" s="27" t="n"/>
      <c r="B291" s="506" t="n"/>
      <c r="C291" s="141" t="n"/>
      <c r="D291" s="141" t="n"/>
      <c r="E291" s="141" t="n"/>
      <c r="F291" s="141" t="n"/>
      <c r="G291" s="143" t="n"/>
      <c r="H291" s="27" t="n"/>
    </row>
    <row r="292" ht="17.25" customHeight="1" s="322">
      <c r="A292" s="27" t="n"/>
      <c r="B292" s="506" t="n"/>
      <c r="C292" s="141" t="n"/>
      <c r="D292" s="141" t="n"/>
      <c r="E292" s="141" t="n"/>
      <c r="F292" s="141" t="n"/>
      <c r="G292" s="143" t="n"/>
      <c r="H292" s="27" t="n"/>
    </row>
    <row r="293" ht="17.25" customHeight="1" s="322">
      <c r="A293" s="27" t="n"/>
      <c r="B293" s="506" t="n"/>
      <c r="C293" s="141" t="n"/>
      <c r="D293" s="141" t="n"/>
      <c r="E293" s="141" t="n"/>
      <c r="F293" s="141" t="n"/>
      <c r="G293" s="143" t="n"/>
      <c r="H293" s="27" t="n"/>
    </row>
    <row r="294" ht="17.25" customHeight="1" s="322">
      <c r="A294" s="27" t="n"/>
      <c r="B294" s="506" t="n"/>
      <c r="C294" s="141" t="n"/>
      <c r="D294" s="141" t="n"/>
      <c r="E294" s="141" t="n"/>
      <c r="F294" s="141" t="n"/>
      <c r="G294" s="143" t="n"/>
      <c r="H294" s="27" t="n"/>
    </row>
    <row r="295" ht="17.25" customHeight="1" s="322">
      <c r="A295" s="27" t="n"/>
      <c r="B295" s="506" t="n"/>
      <c r="C295" s="141" t="n"/>
      <c r="D295" s="141" t="n"/>
      <c r="E295" s="141" t="n"/>
      <c r="F295" s="141" t="n"/>
      <c r="G295" s="143" t="n"/>
      <c r="H295" s="27" t="n"/>
    </row>
    <row r="296" ht="17.25" customHeight="1" s="322">
      <c r="A296" s="27" t="n"/>
      <c r="B296" s="506" t="n"/>
      <c r="C296" s="141" t="n"/>
      <c r="D296" s="141" t="n"/>
      <c r="E296" s="141" t="n"/>
      <c r="F296" s="141" t="n"/>
      <c r="G296" s="143" t="n"/>
      <c r="H296" s="27" t="n"/>
    </row>
    <row r="297" ht="17.25" customHeight="1" s="322">
      <c r="A297" s="27" t="n"/>
      <c r="B297" s="506" t="n"/>
      <c r="C297" s="141" t="n"/>
      <c r="D297" s="141" t="n"/>
      <c r="E297" s="141" t="n"/>
      <c r="F297" s="141" t="n"/>
      <c r="G297" s="143" t="n"/>
      <c r="H297" s="27" t="n"/>
    </row>
    <row r="298" ht="17.25" customHeight="1" s="322">
      <c r="A298" s="27" t="n"/>
      <c r="B298" s="506" t="n"/>
      <c r="C298" s="141" t="n"/>
      <c r="D298" s="141" t="n"/>
      <c r="E298" s="141" t="n"/>
      <c r="F298" s="141" t="n"/>
      <c r="G298" s="143" t="n"/>
      <c r="H298" s="27" t="n"/>
    </row>
    <row r="299" ht="17.25" customHeight="1" s="322">
      <c r="A299" s="27" t="n"/>
      <c r="B299" s="506" t="n"/>
      <c r="C299" s="141" t="n"/>
      <c r="D299" s="141" t="n"/>
      <c r="E299" s="141" t="n"/>
      <c r="F299" s="141" t="n"/>
      <c r="G299" s="143" t="n"/>
      <c r="H299" s="27" t="n"/>
    </row>
    <row r="300" ht="17.25" customHeight="1" s="322">
      <c r="A300" s="27" t="n"/>
      <c r="B300" s="506" t="n"/>
      <c r="C300" s="141" t="n"/>
      <c r="D300" s="141" t="n"/>
      <c r="E300" s="141" t="n"/>
      <c r="F300" s="141" t="n"/>
      <c r="G300" s="143" t="n"/>
      <c r="H300" s="27" t="n"/>
    </row>
    <row r="301" ht="17.25" customHeight="1" s="322">
      <c r="A301" s="27" t="n"/>
      <c r="B301" s="506" t="n"/>
      <c r="C301" s="141" t="n"/>
      <c r="D301" s="141" t="n"/>
      <c r="E301" s="141" t="n"/>
      <c r="F301" s="141" t="n"/>
      <c r="G301" s="143" t="n"/>
      <c r="H301" s="27" t="n"/>
    </row>
    <row r="302" ht="17.25" customHeight="1" s="322">
      <c r="A302" s="27" t="n"/>
      <c r="B302" s="506" t="n"/>
      <c r="C302" s="141" t="n"/>
      <c r="D302" s="141" t="n"/>
      <c r="E302" s="141" t="n"/>
      <c r="F302" s="141" t="n"/>
      <c r="G302" s="143" t="n"/>
      <c r="H302" s="27" t="n"/>
    </row>
    <row r="303" ht="17.25" customHeight="1" s="322">
      <c r="A303" s="27" t="n"/>
      <c r="B303" s="506" t="n"/>
      <c r="C303" s="141" t="n"/>
      <c r="D303" s="141" t="n"/>
      <c r="E303" s="141" t="n"/>
      <c r="F303" s="141" t="n"/>
      <c r="G303" s="143" t="n"/>
      <c r="H303" s="27" t="n"/>
    </row>
    <row r="304" ht="17.25" customHeight="1" s="322">
      <c r="A304" s="27" t="n"/>
      <c r="B304" s="506" t="n"/>
      <c r="C304" s="141" t="n"/>
      <c r="D304" s="141" t="n"/>
      <c r="E304" s="141" t="n"/>
      <c r="F304" s="141" t="n"/>
      <c r="G304" s="143" t="n"/>
      <c r="H304" s="27" t="n"/>
    </row>
    <row r="305" ht="17.25" customHeight="1" s="322">
      <c r="A305" s="27" t="n"/>
      <c r="B305" s="506" t="n"/>
      <c r="C305" s="141" t="n"/>
      <c r="D305" s="141" t="n"/>
      <c r="E305" s="141" t="n"/>
      <c r="F305" s="141" t="n"/>
      <c r="G305" s="143" t="n"/>
      <c r="H305" s="27" t="n"/>
    </row>
    <row r="306" ht="17.25" customHeight="1" s="322">
      <c r="A306" s="27" t="n"/>
      <c r="B306" s="506" t="n"/>
      <c r="C306" s="141" t="n"/>
      <c r="D306" s="141" t="n"/>
      <c r="E306" s="141" t="n"/>
      <c r="F306" s="141" t="n"/>
      <c r="G306" s="143" t="n"/>
      <c r="H306" s="27" t="n"/>
    </row>
    <row r="307" ht="17.25" customHeight="1" s="322">
      <c r="A307" s="27" t="n"/>
      <c r="B307" s="506" t="n"/>
      <c r="C307" s="141" t="n"/>
      <c r="D307" s="141" t="n"/>
      <c r="E307" s="141" t="n"/>
      <c r="F307" s="141" t="n"/>
      <c r="G307" s="143" t="n"/>
      <c r="H307" s="27" t="n"/>
    </row>
    <row r="308" ht="17.25" customHeight="1" s="322">
      <c r="A308" s="27" t="n"/>
      <c r="B308" s="506" t="n"/>
      <c r="C308" s="141" t="n"/>
      <c r="D308" s="141" t="n"/>
      <c r="E308" s="141" t="n"/>
      <c r="F308" s="141" t="n"/>
      <c r="G308" s="143" t="n"/>
      <c r="H308" s="27" t="n"/>
    </row>
    <row r="309" ht="17.25" customHeight="1" s="322">
      <c r="A309" s="27" t="n"/>
      <c r="B309" s="506" t="n"/>
      <c r="C309" s="141" t="n"/>
      <c r="D309" s="141" t="n"/>
      <c r="E309" s="141" t="n"/>
      <c r="F309" s="141" t="n"/>
      <c r="G309" s="143" t="n"/>
      <c r="H309" s="27" t="n"/>
    </row>
    <row r="310" ht="17.25" customHeight="1" s="322">
      <c r="A310" s="27" t="n"/>
      <c r="B310" s="506" t="n"/>
      <c r="C310" s="141" t="n"/>
      <c r="D310" s="141" t="n"/>
      <c r="E310" s="141" t="n"/>
      <c r="F310" s="141" t="n"/>
      <c r="G310" s="143" t="n"/>
      <c r="H310" s="27" t="n"/>
    </row>
    <row r="311" ht="17.25" customHeight="1" s="322">
      <c r="A311" s="27" t="n"/>
      <c r="B311" s="506" t="n"/>
      <c r="C311" s="141" t="n"/>
      <c r="D311" s="141" t="n"/>
      <c r="E311" s="141" t="n"/>
      <c r="F311" s="141" t="n"/>
      <c r="G311" s="143" t="n"/>
      <c r="H311" s="27" t="n"/>
    </row>
    <row r="312" ht="17.25" customHeight="1" s="322">
      <c r="A312" s="27" t="n"/>
      <c r="B312" s="506" t="n"/>
      <c r="C312" s="141" t="n"/>
      <c r="D312" s="141" t="n"/>
      <c r="E312" s="141" t="n"/>
      <c r="F312" s="141" t="n"/>
      <c r="G312" s="143" t="n"/>
      <c r="H312" s="27" t="n"/>
    </row>
    <row r="313" ht="17.25" customHeight="1" s="322">
      <c r="A313" s="27" t="n"/>
      <c r="B313" s="506" t="n"/>
      <c r="C313" s="141" t="n"/>
      <c r="D313" s="141" t="n"/>
      <c r="E313" s="141" t="n"/>
      <c r="F313" s="141" t="n"/>
      <c r="G313" s="143" t="n"/>
      <c r="H313" s="27" t="n"/>
    </row>
    <row r="314" ht="17.25" customHeight="1" s="322">
      <c r="A314" s="27" t="n"/>
      <c r="B314" s="506" t="n"/>
      <c r="C314" s="141" t="n"/>
      <c r="D314" s="141" t="n"/>
      <c r="E314" s="141" t="n"/>
      <c r="F314" s="141" t="n"/>
      <c r="G314" s="143" t="n"/>
      <c r="H314" s="27" t="n"/>
    </row>
    <row r="315" ht="17.25" customHeight="1" s="322">
      <c r="A315" s="27" t="n"/>
      <c r="B315" s="506" t="n"/>
      <c r="C315" s="141" t="n"/>
      <c r="D315" s="141" t="n"/>
      <c r="E315" s="141" t="n"/>
      <c r="F315" s="141" t="n"/>
      <c r="G315" s="143" t="n"/>
      <c r="H315" s="27" t="n"/>
    </row>
    <row r="316" ht="17.25" customHeight="1" s="322">
      <c r="A316" s="27" t="n"/>
      <c r="B316" s="506" t="n"/>
      <c r="C316" s="141" t="n"/>
      <c r="D316" s="141" t="n"/>
      <c r="E316" s="141" t="n"/>
      <c r="F316" s="141" t="n"/>
      <c r="G316" s="143" t="n"/>
      <c r="H316" s="27" t="n"/>
    </row>
    <row r="317" ht="17.25" customHeight="1" s="322">
      <c r="A317" s="27" t="n"/>
      <c r="B317" s="506" t="n"/>
      <c r="C317" s="141" t="n"/>
      <c r="D317" s="141" t="n"/>
      <c r="E317" s="141" t="n"/>
      <c r="F317" s="141" t="n"/>
      <c r="G317" s="143" t="n"/>
      <c r="H317" s="27" t="n"/>
    </row>
    <row r="318" ht="17.25" customHeight="1" s="322">
      <c r="A318" s="27" t="n"/>
      <c r="B318" s="506" t="n"/>
      <c r="C318" s="141" t="n"/>
      <c r="D318" s="141" t="n"/>
      <c r="E318" s="141" t="n"/>
      <c r="F318" s="141" t="n"/>
      <c r="G318" s="143" t="n"/>
      <c r="H318" s="27" t="n"/>
    </row>
    <row r="319" ht="17.25" customHeight="1" s="322">
      <c r="A319" s="27" t="n"/>
      <c r="B319" s="506" t="n"/>
      <c r="C319" s="141" t="n"/>
      <c r="D319" s="141" t="n"/>
      <c r="E319" s="141" t="n"/>
      <c r="F319" s="141" t="n"/>
      <c r="G319" s="143" t="n"/>
      <c r="H319" s="27" t="n"/>
    </row>
    <row r="320" ht="17.25" customHeight="1" s="322">
      <c r="A320" s="27" t="n"/>
      <c r="B320" s="506" t="n"/>
      <c r="C320" s="141" t="n"/>
      <c r="D320" s="141" t="n"/>
      <c r="E320" s="141" t="n"/>
      <c r="F320" s="141" t="n"/>
      <c r="G320" s="143" t="n"/>
      <c r="H320" s="27" t="n"/>
    </row>
    <row r="321" ht="17.25" customHeight="1" s="322">
      <c r="A321" s="27" t="n"/>
      <c r="B321" s="506" t="n"/>
      <c r="C321" s="141" t="n"/>
      <c r="D321" s="141" t="n"/>
      <c r="E321" s="141" t="n"/>
      <c r="F321" s="141" t="n"/>
      <c r="G321" s="143" t="n"/>
      <c r="H321" s="27" t="n"/>
    </row>
    <row r="322" ht="17.25" customHeight="1" s="322">
      <c r="A322" s="27" t="n"/>
      <c r="B322" s="506" t="n"/>
      <c r="C322" s="141" t="n"/>
      <c r="D322" s="141" t="n"/>
      <c r="E322" s="141" t="n"/>
      <c r="F322" s="141" t="n"/>
      <c r="G322" s="143" t="n"/>
      <c r="H322" s="27" t="n"/>
    </row>
    <row r="323" ht="17.25" customHeight="1" s="322">
      <c r="A323" s="27" t="n"/>
      <c r="B323" s="506" t="n"/>
      <c r="C323" s="141" t="n"/>
      <c r="D323" s="141" t="n"/>
      <c r="E323" s="141" t="n"/>
      <c r="F323" s="141" t="n"/>
      <c r="G323" s="143" t="n"/>
      <c r="H323" s="27" t="n"/>
    </row>
    <row r="324" ht="17.25" customHeight="1" s="322">
      <c r="A324" s="27" t="n"/>
      <c r="B324" s="506" t="n"/>
      <c r="C324" s="141" t="n"/>
      <c r="D324" s="141" t="n"/>
      <c r="E324" s="141" t="n"/>
      <c r="F324" s="141" t="n"/>
      <c r="G324" s="143" t="n"/>
      <c r="H324" s="27" t="n"/>
    </row>
    <row r="325" ht="17.25" customHeight="1" s="322">
      <c r="A325" s="27" t="n"/>
      <c r="B325" s="506" t="n"/>
      <c r="C325" s="141" t="n"/>
      <c r="D325" s="141" t="n"/>
      <c r="E325" s="141" t="n"/>
      <c r="F325" s="141" t="n"/>
      <c r="G325" s="143" t="n"/>
      <c r="H325" s="27" t="n"/>
    </row>
    <row r="326" ht="17.25" customHeight="1" s="322">
      <c r="A326" s="27" t="n"/>
      <c r="B326" s="506" t="n"/>
      <c r="C326" s="141" t="n"/>
      <c r="D326" s="141" t="n"/>
      <c r="E326" s="141" t="n"/>
      <c r="F326" s="141" t="n"/>
      <c r="G326" s="143" t="n"/>
      <c r="H326" s="27" t="n"/>
    </row>
    <row r="327" ht="17.25" customHeight="1" s="322">
      <c r="A327" s="27" t="n"/>
      <c r="B327" s="506" t="n"/>
      <c r="C327" s="141" t="n"/>
      <c r="D327" s="141" t="n"/>
      <c r="E327" s="141" t="n"/>
      <c r="F327" s="141" t="n"/>
      <c r="G327" s="143" t="n"/>
      <c r="H327" s="27" t="n"/>
    </row>
    <row r="328" ht="17.25" customHeight="1" s="322">
      <c r="A328" s="27" t="n"/>
      <c r="B328" s="506" t="n"/>
      <c r="C328" s="141" t="n"/>
      <c r="D328" s="141" t="n"/>
      <c r="E328" s="141" t="n"/>
      <c r="F328" s="141" t="n"/>
      <c r="G328" s="143" t="n"/>
      <c r="H328" s="27" t="n"/>
    </row>
    <row r="329" ht="17.25" customHeight="1" s="322">
      <c r="A329" s="27" t="n"/>
      <c r="B329" s="506" t="n"/>
      <c r="C329" s="141" t="n"/>
      <c r="D329" s="141" t="n"/>
      <c r="E329" s="141" t="n"/>
      <c r="F329" s="141" t="n"/>
      <c r="G329" s="143" t="n"/>
      <c r="H329" s="27" t="n"/>
    </row>
    <row r="330" ht="17.25" customHeight="1" s="322">
      <c r="A330" s="27" t="n"/>
      <c r="B330" s="506" t="n"/>
      <c r="C330" s="141" t="n"/>
      <c r="D330" s="141" t="n"/>
      <c r="E330" s="141" t="n"/>
      <c r="F330" s="141" t="n"/>
      <c r="G330" s="143" t="n"/>
      <c r="H330" s="27" t="n"/>
    </row>
    <row r="331" ht="17.25" customHeight="1" s="322">
      <c r="A331" s="27" t="n"/>
      <c r="B331" s="506" t="n"/>
      <c r="C331" s="141" t="n"/>
      <c r="D331" s="141" t="n"/>
      <c r="E331" s="141" t="n"/>
      <c r="F331" s="141" t="n"/>
      <c r="G331" s="143" t="n"/>
      <c r="H331" s="27" t="n"/>
    </row>
    <row r="332" ht="17.25" customHeight="1" s="322">
      <c r="A332" s="27" t="n"/>
      <c r="B332" s="506" t="n"/>
      <c r="C332" s="141" t="n"/>
      <c r="D332" s="141" t="n"/>
      <c r="E332" s="141" t="n"/>
      <c r="F332" s="141" t="n"/>
      <c r="G332" s="143" t="n"/>
      <c r="H332" s="27" t="n"/>
    </row>
    <row r="333" ht="17.25" customHeight="1" s="322">
      <c r="A333" s="27" t="n"/>
      <c r="B333" s="506" t="n"/>
      <c r="C333" s="141" t="n"/>
      <c r="D333" s="141" t="n"/>
      <c r="E333" s="141" t="n"/>
      <c r="F333" s="141" t="n"/>
      <c r="G333" s="143" t="n"/>
      <c r="H333" s="27" t="n"/>
    </row>
    <row r="334" ht="17.25" customHeight="1" s="322">
      <c r="A334" s="27" t="n"/>
      <c r="B334" s="506" t="n"/>
      <c r="C334" s="141" t="n"/>
      <c r="D334" s="141" t="n"/>
      <c r="E334" s="141" t="n"/>
      <c r="F334" s="141" t="n"/>
      <c r="G334" s="143" t="n"/>
      <c r="H334" s="27" t="n"/>
    </row>
    <row r="335" ht="17.25" customHeight="1" s="322">
      <c r="A335" s="27" t="n"/>
      <c r="B335" s="506" t="n"/>
      <c r="C335" s="141" t="n"/>
      <c r="D335" s="141" t="n"/>
      <c r="E335" s="141" t="n"/>
      <c r="F335" s="141" t="n"/>
      <c r="G335" s="143" t="n"/>
      <c r="H335" s="27" t="n"/>
    </row>
    <row r="336" ht="17.25" customHeight="1" s="322">
      <c r="A336" s="27" t="n"/>
      <c r="B336" s="506" t="n"/>
      <c r="C336" s="141" t="n"/>
      <c r="D336" s="141" t="n"/>
      <c r="E336" s="141" t="n"/>
      <c r="F336" s="141" t="n"/>
      <c r="G336" s="143" t="n"/>
      <c r="H336" s="27" t="n"/>
    </row>
    <row r="337" ht="17.25" customHeight="1" s="322">
      <c r="A337" s="27" t="n"/>
      <c r="B337" s="506" t="n"/>
      <c r="C337" s="141" t="n"/>
      <c r="D337" s="141" t="n"/>
      <c r="E337" s="141" t="n"/>
      <c r="F337" s="141" t="n"/>
      <c r="G337" s="143" t="n"/>
      <c r="H337" s="27" t="n"/>
    </row>
    <row r="338" ht="17.25" customHeight="1" s="322">
      <c r="A338" s="27" t="n"/>
      <c r="B338" s="506" t="n"/>
      <c r="C338" s="141" t="n"/>
      <c r="D338" s="141" t="n"/>
      <c r="E338" s="141" t="n"/>
      <c r="F338" s="141" t="n"/>
      <c r="G338" s="143" t="n"/>
      <c r="H338" s="27" t="n"/>
    </row>
    <row r="339" ht="17.25" customHeight="1" s="322">
      <c r="A339" s="27" t="n"/>
      <c r="B339" s="506" t="n"/>
      <c r="C339" s="141" t="n"/>
      <c r="D339" s="141" t="n"/>
      <c r="E339" s="141" t="n"/>
      <c r="F339" s="141" t="n"/>
      <c r="G339" s="143" t="n"/>
      <c r="H339" s="27" t="n"/>
    </row>
    <row r="340" ht="17.25" customHeight="1" s="322">
      <c r="A340" s="27" t="n"/>
      <c r="B340" s="506" t="n"/>
      <c r="C340" s="141" t="n"/>
      <c r="D340" s="141" t="n"/>
      <c r="E340" s="141" t="n"/>
      <c r="F340" s="141" t="n"/>
      <c r="G340" s="143" t="n"/>
      <c r="H340" s="27" t="n"/>
    </row>
    <row r="341" ht="17.25" customHeight="1" s="322">
      <c r="A341" s="27" t="n"/>
      <c r="B341" s="506" t="n"/>
      <c r="C341" s="141" t="n"/>
      <c r="D341" s="141" t="n"/>
      <c r="E341" s="141" t="n"/>
      <c r="F341" s="141" t="n"/>
      <c r="G341" s="143" t="n"/>
      <c r="H341" s="27" t="n"/>
    </row>
    <row r="342" ht="17.25" customHeight="1" s="322">
      <c r="A342" s="27" t="n"/>
      <c r="B342" s="506" t="n"/>
      <c r="C342" s="141" t="n"/>
      <c r="D342" s="141" t="n"/>
      <c r="E342" s="141" t="n"/>
      <c r="F342" s="141" t="n"/>
      <c r="G342" s="143" t="n"/>
      <c r="H342" s="27" t="n"/>
    </row>
    <row r="343" ht="17.25" customHeight="1" s="322">
      <c r="A343" s="27" t="n"/>
      <c r="B343" s="506" t="n"/>
      <c r="C343" s="141" t="n"/>
      <c r="D343" s="141" t="n"/>
      <c r="E343" s="141" t="n"/>
      <c r="F343" s="141" t="n"/>
      <c r="G343" s="143" t="n"/>
      <c r="H343" s="27" t="n"/>
    </row>
    <row r="344" ht="17.25" customHeight="1" s="322">
      <c r="A344" s="27" t="n"/>
      <c r="B344" s="506" t="n"/>
      <c r="C344" s="141" t="n"/>
      <c r="D344" s="141" t="n"/>
      <c r="E344" s="141" t="n"/>
      <c r="F344" s="141" t="n"/>
      <c r="G344" s="143" t="n"/>
      <c r="H344" s="27" t="n"/>
    </row>
    <row r="345" ht="17.25" customHeight="1" s="322">
      <c r="A345" s="27" t="n"/>
      <c r="B345" s="506" t="n"/>
      <c r="C345" s="141" t="n"/>
      <c r="D345" s="141" t="n"/>
      <c r="E345" s="141" t="n"/>
      <c r="F345" s="141" t="n"/>
      <c r="G345" s="143" t="n"/>
      <c r="H345" s="27" t="n"/>
    </row>
    <row r="346" ht="17.25" customHeight="1" s="322">
      <c r="A346" s="27" t="n"/>
      <c r="B346" s="506" t="n"/>
      <c r="C346" s="141" t="n"/>
      <c r="D346" s="141" t="n"/>
      <c r="E346" s="141" t="n"/>
      <c r="F346" s="141" t="n"/>
      <c r="G346" s="143" t="n"/>
      <c r="H346" s="27" t="n"/>
    </row>
    <row r="347" ht="17.25" customHeight="1" s="322">
      <c r="A347" s="27" t="n"/>
      <c r="B347" s="506" t="n"/>
      <c r="C347" s="141" t="n"/>
      <c r="D347" s="141" t="n"/>
      <c r="E347" s="141" t="n"/>
      <c r="F347" s="141" t="n"/>
      <c r="G347" s="143" t="n"/>
      <c r="H347" s="27" t="n"/>
    </row>
    <row r="348" ht="17.25" customHeight="1" s="322">
      <c r="A348" s="27" t="n"/>
      <c r="B348" s="506" t="n"/>
      <c r="C348" s="141" t="n"/>
      <c r="D348" s="141" t="n"/>
      <c r="E348" s="141" t="n"/>
      <c r="F348" s="141" t="n"/>
      <c r="G348" s="143" t="n"/>
      <c r="H348" s="27" t="n"/>
    </row>
    <row r="349" ht="17.25" customHeight="1" s="322">
      <c r="A349" s="27" t="n"/>
      <c r="B349" s="506" t="n"/>
      <c r="C349" s="141" t="n"/>
      <c r="D349" s="141" t="n"/>
      <c r="E349" s="141" t="n"/>
      <c r="F349" s="141" t="n"/>
      <c r="G349" s="143" t="n"/>
      <c r="H349" s="27" t="n"/>
    </row>
    <row r="350" ht="17.25" customHeight="1" s="322">
      <c r="A350" s="27" t="n"/>
      <c r="B350" s="506" t="n"/>
      <c r="C350" s="141" t="n"/>
      <c r="D350" s="141" t="n"/>
      <c r="E350" s="141" t="n"/>
      <c r="F350" s="141" t="n"/>
      <c r="G350" s="143" t="n"/>
      <c r="H350" s="27" t="n"/>
    </row>
    <row r="351" ht="17.25" customHeight="1" s="322">
      <c r="A351" s="27" t="n"/>
      <c r="B351" s="506" t="n"/>
      <c r="C351" s="141" t="n"/>
      <c r="D351" s="141" t="n"/>
      <c r="E351" s="141" t="n"/>
      <c r="F351" s="141" t="n"/>
      <c r="G351" s="143" t="n"/>
      <c r="H351" s="27" t="n"/>
    </row>
    <row r="352" ht="17.25" customHeight="1" s="322">
      <c r="A352" s="27" t="n"/>
      <c r="B352" s="506" t="n"/>
      <c r="C352" s="141" t="n"/>
      <c r="D352" s="141" t="n"/>
      <c r="E352" s="141" t="n"/>
      <c r="F352" s="141" t="n"/>
      <c r="G352" s="143" t="n"/>
      <c r="H352" s="27" t="n"/>
    </row>
    <row r="353" ht="17.25" customHeight="1" s="322">
      <c r="A353" s="27" t="n"/>
      <c r="B353" s="506" t="n"/>
      <c r="C353" s="141" t="n"/>
      <c r="D353" s="141" t="n"/>
      <c r="E353" s="141" t="n"/>
      <c r="F353" s="141" t="n"/>
      <c r="G353" s="143" t="n"/>
      <c r="H353" s="27" t="n"/>
    </row>
    <row r="354" ht="17.25" customHeight="1" s="322">
      <c r="A354" s="27" t="n"/>
      <c r="B354" s="506" t="n"/>
      <c r="C354" s="141" t="n"/>
      <c r="D354" s="141" t="n"/>
      <c r="E354" s="141" t="n"/>
      <c r="F354" s="141" t="n"/>
      <c r="G354" s="143" t="n"/>
      <c r="H354" s="27" t="n"/>
    </row>
    <row r="355" ht="17.25" customHeight="1" s="322">
      <c r="A355" s="27" t="n"/>
      <c r="B355" s="506" t="n"/>
      <c r="C355" s="141" t="n"/>
      <c r="D355" s="141" t="n"/>
      <c r="E355" s="141" t="n"/>
      <c r="F355" s="141" t="n"/>
      <c r="G355" s="143" t="n"/>
      <c r="H355" s="27" t="n"/>
    </row>
    <row r="356" ht="17.25" customHeight="1" s="322">
      <c r="A356" s="27" t="n"/>
      <c r="B356" s="506" t="n"/>
      <c r="C356" s="141" t="n"/>
      <c r="D356" s="141" t="n"/>
      <c r="E356" s="141" t="n"/>
      <c r="F356" s="141" t="n"/>
      <c r="G356" s="143" t="n"/>
      <c r="H356" s="27" t="n"/>
    </row>
    <row r="357" ht="17.25" customHeight="1" s="322">
      <c r="A357" s="27" t="n"/>
      <c r="B357" s="506" t="n"/>
      <c r="C357" s="141" t="n"/>
      <c r="D357" s="141" t="n"/>
      <c r="E357" s="141" t="n"/>
      <c r="F357" s="141" t="n"/>
      <c r="G357" s="143" t="n"/>
      <c r="H357" s="27" t="n"/>
    </row>
    <row r="358" ht="17.25" customHeight="1" s="322">
      <c r="A358" s="27" t="n"/>
      <c r="B358" s="506" t="n"/>
      <c r="C358" s="141" t="n"/>
      <c r="D358" s="141" t="n"/>
      <c r="E358" s="141" t="n"/>
      <c r="F358" s="141" t="n"/>
      <c r="G358" s="143" t="n"/>
      <c r="H358" s="27" t="n"/>
    </row>
    <row r="359" ht="17.25" customHeight="1" s="322">
      <c r="A359" s="27" t="n"/>
      <c r="B359" s="506" t="n"/>
      <c r="C359" s="141" t="n"/>
      <c r="D359" s="141" t="n"/>
      <c r="E359" s="141" t="n"/>
      <c r="F359" s="141" t="n"/>
      <c r="G359" s="143" t="n"/>
      <c r="H359" s="27" t="n"/>
    </row>
    <row r="360" ht="17.25" customHeight="1" s="322">
      <c r="A360" s="27" t="n"/>
      <c r="B360" s="506" t="n"/>
      <c r="C360" s="141" t="n"/>
      <c r="D360" s="141" t="n"/>
      <c r="E360" s="141" t="n"/>
      <c r="F360" s="141" t="n"/>
      <c r="G360" s="143" t="n"/>
      <c r="H360" s="27" t="n"/>
    </row>
    <row r="361" ht="17.25" customHeight="1" s="322">
      <c r="A361" s="27" t="n"/>
      <c r="B361" s="506" t="n"/>
      <c r="C361" s="141" t="n"/>
      <c r="D361" s="141" t="n"/>
      <c r="E361" s="141" t="n"/>
      <c r="F361" s="141" t="n"/>
      <c r="G361" s="143" t="n"/>
      <c r="H361" s="27" t="n"/>
    </row>
    <row r="362" ht="17.25" customHeight="1" s="322">
      <c r="A362" s="27" t="n"/>
      <c r="B362" s="506" t="n"/>
      <c r="C362" s="141" t="n"/>
      <c r="D362" s="141" t="n"/>
      <c r="E362" s="141" t="n"/>
      <c r="F362" s="141" t="n"/>
      <c r="G362" s="143" t="n"/>
      <c r="H362" s="27" t="n"/>
    </row>
    <row r="363" ht="17.25" customHeight="1" s="322">
      <c r="A363" s="27" t="n"/>
      <c r="B363" s="506" t="n"/>
      <c r="C363" s="141" t="n"/>
      <c r="D363" s="141" t="n"/>
      <c r="E363" s="141" t="n"/>
      <c r="F363" s="141" t="n"/>
      <c r="G363" s="143" t="n"/>
      <c r="H363" s="27" t="n"/>
    </row>
    <row r="364" ht="17.25" customHeight="1" s="322">
      <c r="A364" s="27" t="n"/>
      <c r="B364" s="506" t="n"/>
      <c r="C364" s="141" t="n"/>
      <c r="D364" s="141" t="n"/>
      <c r="E364" s="141" t="n"/>
      <c r="F364" s="141" t="n"/>
      <c r="G364" s="143" t="n"/>
      <c r="H364" s="27" t="n"/>
    </row>
    <row r="365" ht="17.25" customHeight="1" s="322">
      <c r="A365" s="27" t="n"/>
      <c r="B365" s="506" t="n"/>
      <c r="C365" s="141" t="n"/>
      <c r="D365" s="141" t="n"/>
      <c r="E365" s="141" t="n"/>
      <c r="F365" s="141" t="n"/>
      <c r="G365" s="143" t="n"/>
      <c r="H365" s="27" t="n"/>
    </row>
    <row r="366" ht="17.25" customHeight="1" s="322">
      <c r="A366" s="27" t="n"/>
      <c r="B366" s="506" t="n"/>
      <c r="C366" s="141" t="n"/>
      <c r="D366" s="141" t="n"/>
      <c r="E366" s="141" t="n"/>
      <c r="F366" s="141" t="n"/>
      <c r="G366" s="143" t="n"/>
      <c r="H366" s="27" t="n"/>
    </row>
    <row r="367" ht="17.25" customHeight="1" s="322">
      <c r="A367" s="27" t="n"/>
      <c r="B367" s="506" t="n"/>
      <c r="C367" s="141" t="n"/>
      <c r="D367" s="141" t="n"/>
      <c r="E367" s="141" t="n"/>
      <c r="F367" s="141" t="n"/>
      <c r="G367" s="143" t="n"/>
      <c r="H367" s="27" t="n"/>
    </row>
    <row r="368" ht="17.25" customHeight="1" s="322">
      <c r="A368" s="27" t="n"/>
      <c r="B368" s="506" t="n"/>
      <c r="C368" s="141" t="n"/>
      <c r="D368" s="141" t="n"/>
      <c r="E368" s="141" t="n"/>
      <c r="F368" s="141" t="n"/>
      <c r="G368" s="143" t="n"/>
      <c r="H368" s="27" t="n"/>
    </row>
    <row r="369" ht="17.25" customHeight="1" s="322">
      <c r="A369" s="27" t="n"/>
      <c r="B369" s="506" t="n"/>
      <c r="C369" s="141" t="n"/>
      <c r="D369" s="141" t="n"/>
      <c r="E369" s="141" t="n"/>
      <c r="F369" s="141" t="n"/>
      <c r="G369" s="143" t="n"/>
      <c r="H369" s="27" t="n"/>
    </row>
    <row r="370" ht="17.25" customHeight="1" s="322">
      <c r="A370" s="27" t="n"/>
      <c r="B370" s="506" t="n"/>
      <c r="C370" s="141" t="n"/>
      <c r="D370" s="141" t="n"/>
      <c r="E370" s="141" t="n"/>
      <c r="F370" s="141" t="n"/>
      <c r="G370" s="143" t="n"/>
      <c r="H370" s="27" t="n"/>
    </row>
    <row r="371" ht="17.25" customHeight="1" s="322">
      <c r="A371" s="27" t="n"/>
      <c r="B371" s="506" t="n"/>
      <c r="C371" s="141" t="n"/>
      <c r="D371" s="141" t="n"/>
      <c r="E371" s="141" t="n"/>
      <c r="F371" s="141" t="n"/>
      <c r="G371" s="143" t="n"/>
      <c r="H371" s="27" t="n"/>
    </row>
    <row r="372" ht="17.25" customHeight="1" s="322">
      <c r="A372" s="27" t="n"/>
      <c r="B372" s="506" t="n"/>
      <c r="C372" s="141" t="n"/>
      <c r="D372" s="141" t="n"/>
      <c r="E372" s="141" t="n"/>
      <c r="F372" s="141" t="n"/>
      <c r="G372" s="143" t="n"/>
      <c r="H372" s="27" t="n"/>
    </row>
    <row r="373" ht="17.25" customHeight="1" s="322">
      <c r="A373" s="27" t="n"/>
      <c r="B373" s="506" t="n"/>
      <c r="C373" s="141" t="n"/>
      <c r="D373" s="141" t="n"/>
      <c r="E373" s="141" t="n"/>
      <c r="F373" s="141" t="n"/>
      <c r="G373" s="143" t="n"/>
      <c r="H373" s="27" t="n"/>
    </row>
    <row r="374" ht="17.25" customHeight="1" s="322">
      <c r="A374" s="27" t="n"/>
      <c r="B374" s="506" t="n"/>
      <c r="C374" s="141" t="n"/>
      <c r="D374" s="141" t="n"/>
      <c r="E374" s="141" t="n"/>
      <c r="F374" s="141" t="n"/>
      <c r="G374" s="143" t="n"/>
      <c r="H374" s="27" t="n"/>
    </row>
    <row r="375" ht="17.25" customHeight="1" s="322">
      <c r="A375" s="27" t="n"/>
      <c r="B375" s="506" t="n"/>
      <c r="C375" s="141" t="n"/>
      <c r="D375" s="141" t="n"/>
      <c r="E375" s="141" t="n"/>
      <c r="F375" s="141" t="n"/>
      <c r="G375" s="143" t="n"/>
      <c r="H375" s="27" t="n"/>
    </row>
    <row r="376" ht="17.25" customHeight="1" s="322">
      <c r="A376" s="27" t="n"/>
      <c r="B376" s="506" t="n"/>
      <c r="C376" s="141" t="n"/>
      <c r="D376" s="141" t="n"/>
      <c r="E376" s="141" t="n"/>
      <c r="F376" s="141" t="n"/>
      <c r="G376" s="143" t="n"/>
      <c r="H376" s="27" t="n"/>
    </row>
    <row r="377" ht="17.25" customHeight="1" s="322">
      <c r="A377" s="27" t="n"/>
      <c r="B377" s="506" t="n"/>
      <c r="C377" s="141" t="n"/>
      <c r="D377" s="141" t="n"/>
      <c r="E377" s="141" t="n"/>
      <c r="F377" s="141" t="n"/>
      <c r="G377" s="143" t="n"/>
      <c r="H377" s="27" t="n"/>
    </row>
    <row r="378" ht="17.25" customHeight="1" s="322">
      <c r="A378" s="27" t="n"/>
      <c r="B378" s="506" t="n"/>
      <c r="C378" s="141" t="n"/>
      <c r="D378" s="141" t="n"/>
      <c r="E378" s="141" t="n"/>
      <c r="F378" s="141" t="n"/>
      <c r="G378" s="143" t="n"/>
      <c r="H378" s="27" t="n"/>
    </row>
    <row r="379" ht="17.25" customHeight="1" s="322">
      <c r="A379" s="27" t="n"/>
      <c r="B379" s="506" t="n"/>
      <c r="C379" s="141" t="n"/>
      <c r="D379" s="141" t="n"/>
      <c r="E379" s="141" t="n"/>
      <c r="F379" s="141" t="n"/>
      <c r="G379" s="143" t="n"/>
      <c r="H379" s="27" t="n"/>
    </row>
    <row r="380" ht="17.25" customHeight="1" s="322">
      <c r="A380" s="27" t="n"/>
      <c r="B380" s="506" t="n"/>
      <c r="C380" s="141" t="n"/>
      <c r="D380" s="141" t="n"/>
      <c r="E380" s="141" t="n"/>
      <c r="F380" s="141" t="n"/>
      <c r="G380" s="143" t="n"/>
      <c r="H380" s="27" t="n"/>
    </row>
    <row r="381" ht="17.25" customHeight="1" s="322">
      <c r="A381" s="27" t="n"/>
      <c r="B381" s="506" t="n"/>
      <c r="C381" s="141" t="n"/>
      <c r="D381" s="141" t="n"/>
      <c r="E381" s="141" t="n"/>
      <c r="F381" s="141" t="n"/>
      <c r="G381" s="143" t="n"/>
      <c r="H381" s="27" t="n"/>
    </row>
    <row r="382" ht="17.25" customHeight="1" s="322">
      <c r="A382" s="27" t="n"/>
      <c r="B382" s="506" t="n"/>
      <c r="C382" s="141" t="n"/>
      <c r="D382" s="141" t="n"/>
      <c r="E382" s="141" t="n"/>
      <c r="F382" s="141" t="n"/>
      <c r="G382" s="143" t="n"/>
      <c r="H382" s="27" t="n"/>
    </row>
    <row r="383" ht="17.25" customHeight="1" s="322">
      <c r="A383" s="27" t="n"/>
      <c r="B383" s="506" t="n"/>
      <c r="C383" s="141" t="n"/>
      <c r="D383" s="141" t="n"/>
      <c r="E383" s="141" t="n"/>
      <c r="F383" s="141" t="n"/>
      <c r="G383" s="143" t="n"/>
      <c r="H383" s="27" t="n"/>
    </row>
    <row r="384" ht="17.25" customHeight="1" s="322">
      <c r="A384" s="27" t="n"/>
      <c r="B384" s="506" t="n"/>
      <c r="C384" s="141" t="n"/>
      <c r="D384" s="141" t="n"/>
      <c r="E384" s="141" t="n"/>
      <c r="F384" s="141" t="n"/>
      <c r="G384" s="143" t="n"/>
      <c r="H384" s="27" t="n"/>
    </row>
    <row r="385" ht="17.25" customHeight="1" s="322">
      <c r="A385" s="27" t="n"/>
      <c r="B385" s="506" t="n"/>
      <c r="C385" s="141" t="n"/>
      <c r="D385" s="141" t="n"/>
      <c r="E385" s="141" t="n"/>
      <c r="F385" s="141" t="n"/>
      <c r="G385" s="143" t="n"/>
      <c r="H385" s="27" t="n"/>
    </row>
    <row r="386" ht="17.25" customHeight="1" s="322">
      <c r="A386" s="27" t="n"/>
      <c r="B386" s="506" t="n"/>
      <c r="C386" s="141" t="n"/>
      <c r="D386" s="141" t="n"/>
      <c r="E386" s="141" t="n"/>
      <c r="F386" s="141" t="n"/>
      <c r="G386" s="143" t="n"/>
      <c r="H386" s="27" t="n"/>
    </row>
    <row r="387" ht="17.25" customHeight="1" s="322">
      <c r="A387" s="27" t="n"/>
      <c r="B387" s="506" t="n"/>
      <c r="C387" s="141" t="n"/>
      <c r="D387" s="141" t="n"/>
      <c r="E387" s="141" t="n"/>
      <c r="F387" s="141" t="n"/>
      <c r="G387" s="143" t="n"/>
      <c r="H387" s="27" t="n"/>
    </row>
    <row r="388" ht="17.25" customHeight="1" s="322">
      <c r="A388" s="27" t="n"/>
      <c r="B388" s="506" t="n"/>
      <c r="C388" s="141" t="n"/>
      <c r="D388" s="141" t="n"/>
      <c r="E388" s="141" t="n"/>
      <c r="F388" s="141" t="n"/>
      <c r="G388" s="143" t="n"/>
      <c r="H388" s="27" t="n"/>
    </row>
    <row r="389" ht="17.25" customHeight="1" s="322">
      <c r="A389" s="27" t="n"/>
      <c r="B389" s="506" t="n"/>
      <c r="C389" s="141" t="n"/>
      <c r="D389" s="141" t="n"/>
      <c r="E389" s="141" t="n"/>
      <c r="F389" s="141" t="n"/>
      <c r="G389" s="143" t="n"/>
      <c r="H389" s="27" t="n"/>
    </row>
    <row r="390" ht="17.25" customHeight="1" s="322">
      <c r="A390" s="27" t="n"/>
      <c r="B390" s="506" t="n"/>
      <c r="C390" s="141" t="n"/>
      <c r="D390" s="141" t="n"/>
      <c r="E390" s="141" t="n"/>
      <c r="F390" s="141" t="n"/>
      <c r="G390" s="143" t="n"/>
      <c r="H390" s="27" t="n"/>
    </row>
    <row r="391" ht="17.25" customHeight="1" s="322">
      <c r="A391" s="27" t="n"/>
      <c r="B391" s="506" t="n"/>
      <c r="C391" s="141" t="n"/>
      <c r="D391" s="141" t="n"/>
      <c r="E391" s="141" t="n"/>
      <c r="F391" s="141" t="n"/>
      <c r="G391" s="143" t="n"/>
      <c r="H391" s="27" t="n"/>
    </row>
    <row r="392" ht="17.25" customHeight="1" s="322">
      <c r="A392" s="27" t="n"/>
      <c r="B392" s="506" t="n"/>
      <c r="C392" s="141" t="n"/>
      <c r="D392" s="141" t="n"/>
      <c r="E392" s="141" t="n"/>
      <c r="F392" s="141" t="n"/>
      <c r="G392" s="143" t="n"/>
      <c r="H392" s="27" t="n"/>
    </row>
    <row r="393" ht="17.25" customHeight="1" s="322">
      <c r="A393" s="27" t="n"/>
      <c r="B393" s="506" t="n"/>
      <c r="C393" s="141" t="n"/>
      <c r="D393" s="141" t="n"/>
      <c r="E393" s="141" t="n"/>
      <c r="F393" s="141" t="n"/>
      <c r="G393" s="143" t="n"/>
      <c r="H393" s="27" t="n"/>
    </row>
    <row r="394" ht="17.25" customHeight="1" s="322">
      <c r="A394" s="27" t="n"/>
      <c r="B394" s="506" t="n"/>
      <c r="C394" s="141" t="n"/>
      <c r="D394" s="141" t="n"/>
      <c r="E394" s="141" t="n"/>
      <c r="F394" s="141" t="n"/>
      <c r="G394" s="143" t="n"/>
      <c r="H394" s="27" t="n"/>
    </row>
    <row r="395" ht="17.25" customHeight="1" s="322">
      <c r="A395" s="27" t="n"/>
      <c r="B395" s="506" t="n"/>
      <c r="C395" s="141" t="n"/>
      <c r="D395" s="141" t="n"/>
      <c r="E395" s="141" t="n"/>
      <c r="F395" s="141" t="n"/>
      <c r="G395" s="143" t="n"/>
      <c r="H395" s="27" t="n"/>
    </row>
    <row r="396" ht="17.25" customHeight="1" s="322">
      <c r="A396" s="27" t="n"/>
      <c r="B396" s="506" t="n"/>
      <c r="C396" s="141" t="n"/>
      <c r="D396" s="141" t="n"/>
      <c r="E396" s="141" t="n"/>
      <c r="F396" s="141" t="n"/>
      <c r="G396" s="143" t="n"/>
      <c r="H396" s="27" t="n"/>
    </row>
    <row r="397" ht="17.25" customHeight="1" s="322">
      <c r="A397" s="27" t="n"/>
      <c r="B397" s="506" t="n"/>
      <c r="C397" s="141" t="n"/>
      <c r="D397" s="141" t="n"/>
      <c r="E397" s="141" t="n"/>
      <c r="F397" s="141" t="n"/>
      <c r="G397" s="143" t="n"/>
      <c r="H397" s="27" t="n"/>
    </row>
    <row r="398" ht="17.25" customHeight="1" s="322">
      <c r="A398" s="27" t="n"/>
      <c r="B398" s="506" t="n"/>
      <c r="C398" s="141" t="n"/>
      <c r="D398" s="141" t="n"/>
      <c r="E398" s="141" t="n"/>
      <c r="F398" s="141" t="n"/>
      <c r="G398" s="143" t="n"/>
      <c r="H398" s="27" t="n"/>
    </row>
    <row r="399" ht="17.25" customHeight="1" s="322">
      <c r="A399" s="27" t="n"/>
      <c r="B399" s="506" t="n"/>
      <c r="C399" s="141" t="n"/>
      <c r="D399" s="141" t="n"/>
      <c r="E399" s="141" t="n"/>
      <c r="F399" s="141" t="n"/>
      <c r="G399" s="143" t="n"/>
      <c r="H399" s="27" t="n"/>
    </row>
    <row r="400" ht="17.25" customHeight="1" s="322">
      <c r="A400" s="27" t="n"/>
      <c r="B400" s="506" t="n"/>
      <c r="C400" s="141" t="n"/>
      <c r="D400" s="141" t="n"/>
      <c r="E400" s="141" t="n"/>
      <c r="F400" s="141" t="n"/>
      <c r="G400" s="143" t="n"/>
      <c r="H400" s="27" t="n"/>
    </row>
    <row r="401" ht="17.25" customHeight="1" s="322">
      <c r="A401" s="27" t="n"/>
      <c r="B401" s="506" t="n"/>
      <c r="C401" s="141" t="n"/>
      <c r="D401" s="141" t="n"/>
      <c r="E401" s="141" t="n"/>
      <c r="F401" s="141" t="n"/>
      <c r="G401" s="143" t="n"/>
      <c r="H401" s="27" t="n"/>
    </row>
    <row r="402" ht="17.25" customHeight="1" s="322">
      <c r="A402" s="27" t="n"/>
      <c r="B402" s="506" t="n"/>
      <c r="C402" s="141" t="n"/>
      <c r="D402" s="141" t="n"/>
      <c r="E402" s="141" t="n"/>
      <c r="F402" s="141" t="n"/>
      <c r="G402" s="143" t="n"/>
      <c r="H402" s="27" t="n"/>
    </row>
    <row r="403" ht="17.25" customHeight="1" s="322">
      <c r="A403" s="27" t="n"/>
      <c r="B403" s="506" t="n"/>
      <c r="C403" s="141" t="n"/>
      <c r="D403" s="141" t="n"/>
      <c r="E403" s="141" t="n"/>
      <c r="F403" s="141" t="n"/>
      <c r="G403" s="143" t="n"/>
      <c r="H403" s="27" t="n"/>
    </row>
    <row r="404" ht="17.25" customHeight="1" s="322">
      <c r="A404" s="27" t="n"/>
      <c r="B404" s="506" t="n"/>
      <c r="C404" s="141" t="n"/>
      <c r="D404" s="141" t="n"/>
      <c r="E404" s="141" t="n"/>
      <c r="F404" s="141" t="n"/>
      <c r="G404" s="143" t="n"/>
      <c r="H404" s="27" t="n"/>
    </row>
    <row r="405" ht="17.25" customHeight="1" s="322">
      <c r="A405" s="27" t="n"/>
      <c r="B405" s="506" t="n"/>
      <c r="C405" s="141" t="n"/>
      <c r="D405" s="141" t="n"/>
      <c r="E405" s="141" t="n"/>
      <c r="F405" s="141" t="n"/>
      <c r="G405" s="143" t="n"/>
      <c r="H405" s="27" t="n"/>
    </row>
    <row r="406" ht="17.25" customHeight="1" s="322">
      <c r="A406" s="27" t="n"/>
      <c r="B406" s="506" t="n"/>
      <c r="C406" s="141" t="n"/>
      <c r="D406" s="141" t="n"/>
      <c r="E406" s="141" t="n"/>
      <c r="F406" s="141" t="n"/>
      <c r="G406" s="143" t="n"/>
      <c r="H406" s="27" t="n"/>
    </row>
    <row r="407" ht="17.25" customHeight="1" s="322">
      <c r="A407" s="27" t="n"/>
      <c r="B407" s="506" t="n"/>
      <c r="C407" s="141" t="n"/>
      <c r="D407" s="141" t="n"/>
      <c r="E407" s="141" t="n"/>
      <c r="F407" s="141" t="n"/>
      <c r="G407" s="143" t="n"/>
      <c r="H407" s="27" t="n"/>
    </row>
    <row r="408" ht="17.25" customHeight="1" s="322">
      <c r="A408" s="27" t="n"/>
      <c r="B408" s="506" t="n"/>
      <c r="C408" s="141" t="n"/>
      <c r="D408" s="141" t="n"/>
      <c r="E408" s="141" t="n"/>
      <c r="F408" s="141" t="n"/>
      <c r="G408" s="143" t="n"/>
      <c r="H408" s="27" t="n"/>
    </row>
    <row r="409" ht="17.25" customHeight="1" s="322">
      <c r="A409" s="27" t="n"/>
      <c r="B409" s="506" t="n"/>
      <c r="C409" s="141" t="n"/>
      <c r="D409" s="141" t="n"/>
      <c r="E409" s="141" t="n"/>
      <c r="F409" s="141" t="n"/>
      <c r="G409" s="143" t="n"/>
      <c r="H409" s="27" t="n"/>
    </row>
    <row r="410" ht="17.25" customHeight="1" s="322">
      <c r="A410" s="27" t="n"/>
      <c r="B410" s="506" t="n"/>
      <c r="C410" s="141" t="n"/>
      <c r="D410" s="141" t="n"/>
      <c r="E410" s="141" t="n"/>
      <c r="F410" s="141" t="n"/>
      <c r="G410" s="143" t="n"/>
      <c r="H410" s="27" t="n"/>
    </row>
    <row r="411" ht="17.25" customHeight="1" s="322">
      <c r="A411" s="27" t="n"/>
      <c r="B411" s="506" t="n"/>
      <c r="C411" s="141" t="n"/>
      <c r="D411" s="141" t="n"/>
      <c r="E411" s="141" t="n"/>
      <c r="F411" s="141" t="n"/>
      <c r="G411" s="143" t="n"/>
      <c r="H411" s="27" t="n"/>
    </row>
    <row r="412" ht="17.25" customHeight="1" s="322">
      <c r="A412" s="27" t="n"/>
      <c r="B412" s="506" t="n"/>
      <c r="C412" s="141" t="n"/>
      <c r="D412" s="141" t="n"/>
      <c r="E412" s="141" t="n"/>
      <c r="F412" s="141" t="n"/>
      <c r="G412" s="143" t="n"/>
      <c r="H412" s="27" t="n"/>
    </row>
    <row r="413" ht="17.25" customHeight="1" s="322">
      <c r="A413" s="27" t="n"/>
      <c r="B413" s="506" t="n"/>
      <c r="C413" s="141" t="n"/>
      <c r="D413" s="141" t="n"/>
      <c r="E413" s="141" t="n"/>
      <c r="F413" s="141" t="n"/>
      <c r="G413" s="143" t="n"/>
      <c r="H413" s="27" t="n"/>
    </row>
    <row r="414" ht="17.25" customHeight="1" s="322">
      <c r="A414" s="27" t="n"/>
      <c r="B414" s="506" t="n"/>
      <c r="C414" s="141" t="n"/>
      <c r="D414" s="141" t="n"/>
      <c r="E414" s="141" t="n"/>
      <c r="F414" s="141" t="n"/>
      <c r="G414" s="143" t="n"/>
      <c r="H414" s="27" t="n"/>
    </row>
    <row r="415" ht="17.25" customHeight="1" s="322">
      <c r="A415" s="27" t="n"/>
      <c r="B415" s="506" t="n"/>
      <c r="C415" s="141" t="n"/>
      <c r="D415" s="141" t="n"/>
      <c r="E415" s="141" t="n"/>
      <c r="F415" s="141" t="n"/>
      <c r="G415" s="143" t="n"/>
      <c r="H415" s="27" t="n"/>
    </row>
    <row r="416" ht="17.25" customHeight="1" s="322">
      <c r="A416" s="27" t="n"/>
      <c r="B416" s="506" t="n"/>
      <c r="C416" s="141" t="n"/>
      <c r="D416" s="141" t="n"/>
      <c r="E416" s="141" t="n"/>
      <c r="F416" s="141" t="n"/>
      <c r="G416" s="143" t="n"/>
      <c r="H416" s="27" t="n"/>
    </row>
    <row r="417" ht="17.25" customHeight="1" s="322">
      <c r="A417" s="27" t="n"/>
      <c r="B417" s="506" t="n"/>
      <c r="C417" s="141" t="n"/>
      <c r="D417" s="141" t="n"/>
      <c r="E417" s="141" t="n"/>
      <c r="F417" s="141" t="n"/>
      <c r="G417" s="143" t="n"/>
      <c r="H417" s="27" t="n"/>
    </row>
    <row r="418" ht="17.25" customHeight="1" s="322">
      <c r="A418" s="27" t="n"/>
      <c r="B418" s="506" t="n"/>
      <c r="C418" s="141" t="n"/>
      <c r="D418" s="141" t="n"/>
      <c r="E418" s="141" t="n"/>
      <c r="F418" s="141" t="n"/>
      <c r="G418" s="143" t="n"/>
      <c r="H418" s="27" t="n"/>
    </row>
    <row r="419" ht="17.25" customHeight="1" s="322">
      <c r="A419" s="27" t="n"/>
      <c r="B419" s="506" t="n"/>
      <c r="C419" s="141" t="n"/>
      <c r="D419" s="141" t="n"/>
      <c r="E419" s="141" t="n"/>
      <c r="F419" s="141" t="n"/>
      <c r="G419" s="143" t="n"/>
      <c r="H419" s="27" t="n"/>
    </row>
    <row r="420" ht="17.25" customHeight="1" s="322">
      <c r="A420" s="27" t="n"/>
      <c r="B420" s="506" t="n"/>
      <c r="C420" s="141" t="n"/>
      <c r="D420" s="141" t="n"/>
      <c r="E420" s="141" t="n"/>
      <c r="F420" s="141" t="n"/>
      <c r="G420" s="143" t="n"/>
      <c r="H420" s="27" t="n"/>
    </row>
    <row r="421" ht="17.25" customHeight="1" s="322">
      <c r="A421" s="27" t="n"/>
      <c r="B421" s="506" t="n"/>
      <c r="C421" s="141" t="n"/>
      <c r="D421" s="141" t="n"/>
      <c r="E421" s="141" t="n"/>
      <c r="F421" s="141" t="n"/>
      <c r="G421" s="143" t="n"/>
      <c r="H421" s="27" t="n"/>
    </row>
    <row r="422" ht="17.25" customHeight="1" s="322">
      <c r="A422" s="27" t="n"/>
      <c r="B422" s="506" t="n"/>
      <c r="C422" s="141" t="n"/>
      <c r="D422" s="141" t="n"/>
      <c r="E422" s="141" t="n"/>
      <c r="F422" s="141" t="n"/>
      <c r="G422" s="143" t="n"/>
      <c r="H422" s="27" t="n"/>
    </row>
    <row r="423" ht="17.25" customHeight="1" s="322">
      <c r="A423" s="27" t="n"/>
      <c r="B423" s="506" t="n"/>
      <c r="C423" s="141" t="n"/>
      <c r="D423" s="141" t="n"/>
      <c r="E423" s="141" t="n"/>
      <c r="F423" s="141" t="n"/>
      <c r="G423" s="143" t="n"/>
      <c r="H423" s="27" t="n"/>
    </row>
    <row r="424" ht="17.25" customHeight="1" s="322">
      <c r="A424" s="27" t="n"/>
      <c r="B424" s="506" t="n"/>
      <c r="C424" s="141" t="n"/>
      <c r="D424" s="141" t="n"/>
      <c r="E424" s="141" t="n"/>
      <c r="F424" s="141" t="n"/>
      <c r="G424" s="143" t="n"/>
      <c r="H424" s="27" t="n"/>
    </row>
    <row r="425" ht="17.25" customHeight="1" s="322">
      <c r="A425" s="27" t="n"/>
      <c r="B425" s="506" t="n"/>
      <c r="C425" s="141" t="n"/>
      <c r="D425" s="141" t="n"/>
      <c r="E425" s="141" t="n"/>
      <c r="F425" s="141" t="n"/>
      <c r="G425" s="143" t="n"/>
      <c r="H425" s="27" t="n"/>
    </row>
    <row r="426" ht="17.25" customHeight="1" s="322">
      <c r="A426" s="27" t="n"/>
      <c r="B426" s="506" t="n"/>
      <c r="C426" s="141" t="n"/>
      <c r="D426" s="141" t="n"/>
      <c r="E426" s="141" t="n"/>
      <c r="F426" s="141" t="n"/>
      <c r="G426" s="143" t="n"/>
      <c r="H426" s="27" t="n"/>
    </row>
    <row r="427" ht="17.25" customHeight="1" s="322">
      <c r="A427" s="27" t="n"/>
      <c r="B427" s="506" t="n"/>
      <c r="C427" s="141" t="n"/>
      <c r="D427" s="141" t="n"/>
      <c r="E427" s="141" t="n"/>
      <c r="F427" s="141" t="n"/>
      <c r="G427" s="143" t="n"/>
      <c r="H427" s="27" t="n"/>
    </row>
    <row r="428" ht="17.25" customHeight="1" s="322">
      <c r="A428" s="27" t="n"/>
      <c r="B428" s="506" t="n"/>
      <c r="C428" s="141" t="n"/>
      <c r="D428" s="141" t="n"/>
      <c r="E428" s="141" t="n"/>
      <c r="F428" s="141" t="n"/>
      <c r="G428" s="143" t="n"/>
      <c r="H428" s="27" t="n"/>
    </row>
    <row r="429" ht="17.25" customHeight="1" s="322">
      <c r="A429" s="27" t="n"/>
      <c r="B429" s="506" t="n"/>
      <c r="C429" s="141" t="n"/>
      <c r="D429" s="141" t="n"/>
      <c r="E429" s="141" t="n"/>
      <c r="F429" s="141" t="n"/>
      <c r="G429" s="143" t="n"/>
      <c r="H429" s="27" t="n"/>
    </row>
    <row r="430" ht="17.25" customHeight="1" s="322">
      <c r="A430" s="27" t="n"/>
      <c r="B430" s="506" t="n"/>
      <c r="C430" s="141" t="n"/>
      <c r="D430" s="141" t="n"/>
      <c r="E430" s="141" t="n"/>
      <c r="F430" s="141" t="n"/>
      <c r="G430" s="143" t="n"/>
      <c r="H430" s="27" t="n"/>
    </row>
    <row r="431" ht="17.25" customHeight="1" s="322">
      <c r="A431" s="27" t="n"/>
      <c r="B431" s="506" t="n"/>
      <c r="C431" s="141" t="n"/>
      <c r="D431" s="141" t="n"/>
      <c r="E431" s="141" t="n"/>
      <c r="F431" s="141" t="n"/>
      <c r="G431" s="143" t="n"/>
      <c r="H431" s="27" t="n"/>
    </row>
    <row r="432" ht="17.25" customHeight="1" s="322">
      <c r="A432" s="27" t="n"/>
      <c r="B432" s="506" t="n"/>
      <c r="C432" s="141" t="n"/>
      <c r="D432" s="141" t="n"/>
      <c r="E432" s="141" t="n"/>
      <c r="F432" s="141" t="n"/>
      <c r="G432" s="143" t="n"/>
      <c r="H432" s="27" t="n"/>
    </row>
    <row r="433" ht="17.25" customHeight="1" s="322">
      <c r="A433" s="27" t="n"/>
      <c r="B433" s="506" t="n"/>
      <c r="C433" s="141" t="n"/>
      <c r="D433" s="141" t="n"/>
      <c r="E433" s="141" t="n"/>
      <c r="F433" s="141" t="n"/>
      <c r="G433" s="143" t="n"/>
      <c r="H433" s="27" t="n"/>
    </row>
    <row r="434" ht="17.25" customHeight="1" s="322">
      <c r="A434" s="27" t="n"/>
      <c r="B434" s="506" t="n"/>
      <c r="C434" s="141" t="n"/>
      <c r="D434" s="141" t="n"/>
      <c r="E434" s="141" t="n"/>
      <c r="F434" s="141" t="n"/>
      <c r="G434" s="143" t="n"/>
      <c r="H434" s="27" t="n"/>
    </row>
    <row r="435" ht="17.25" customHeight="1" s="322">
      <c r="A435" s="27" t="n"/>
      <c r="B435" s="506" t="n"/>
      <c r="C435" s="141" t="n"/>
      <c r="D435" s="141" t="n"/>
      <c r="E435" s="141" t="n"/>
      <c r="F435" s="141" t="n"/>
      <c r="G435" s="143" t="n"/>
      <c r="H435" s="27" t="n"/>
    </row>
    <row r="436" ht="17.25" customHeight="1" s="322">
      <c r="A436" s="27" t="n"/>
      <c r="B436" s="506" t="n"/>
      <c r="C436" s="141" t="n"/>
      <c r="D436" s="141" t="n"/>
      <c r="E436" s="141" t="n"/>
      <c r="F436" s="141" t="n"/>
      <c r="G436" s="143" t="n"/>
      <c r="H436" s="27" t="n"/>
    </row>
    <row r="437" ht="17.25" customHeight="1" s="322">
      <c r="A437" s="27" t="n"/>
      <c r="B437" s="506" t="n"/>
      <c r="C437" s="141" t="n"/>
      <c r="D437" s="141" t="n"/>
      <c r="E437" s="141" t="n"/>
      <c r="F437" s="141" t="n"/>
      <c r="G437" s="143" t="n"/>
      <c r="H437" s="27" t="n"/>
    </row>
    <row r="438" ht="17.25" customHeight="1" s="322">
      <c r="A438" s="27" t="n"/>
      <c r="B438" s="506" t="n"/>
      <c r="C438" s="141" t="n"/>
      <c r="D438" s="141" t="n"/>
      <c r="E438" s="141" t="n"/>
      <c r="F438" s="141" t="n"/>
      <c r="G438" s="143" t="n"/>
      <c r="H438" s="27" t="n"/>
    </row>
    <row r="439" ht="17.25" customHeight="1" s="322">
      <c r="A439" s="27" t="n"/>
      <c r="B439" s="506" t="n"/>
      <c r="C439" s="141" t="n"/>
      <c r="D439" s="141" t="n"/>
      <c r="E439" s="141" t="n"/>
      <c r="F439" s="141" t="n"/>
      <c r="G439" s="143" t="n"/>
      <c r="H439" s="27" t="n"/>
    </row>
    <row r="440" ht="17.25" customHeight="1" s="322">
      <c r="A440" s="27" t="n"/>
      <c r="B440" s="506" t="n"/>
      <c r="C440" s="141" t="n"/>
      <c r="D440" s="141" t="n"/>
      <c r="E440" s="141" t="n"/>
      <c r="F440" s="141" t="n"/>
      <c r="G440" s="143" t="n"/>
      <c r="H440" s="27" t="n"/>
    </row>
    <row r="441" ht="17.25" customHeight="1" s="322">
      <c r="A441" s="27" t="n"/>
      <c r="B441" s="506" t="n"/>
      <c r="C441" s="141" t="n"/>
      <c r="D441" s="141" t="n"/>
      <c r="E441" s="141" t="n"/>
      <c r="F441" s="141" t="n"/>
      <c r="G441" s="143" t="n"/>
      <c r="H441" s="27" t="n"/>
    </row>
    <row r="442" ht="17.25" customHeight="1" s="322">
      <c r="A442" s="27" t="n"/>
      <c r="B442" s="506" t="n"/>
      <c r="C442" s="141" t="n"/>
      <c r="D442" s="141" t="n"/>
      <c r="E442" s="141" t="n"/>
      <c r="F442" s="141" t="n"/>
      <c r="G442" s="143" t="n"/>
      <c r="H442" s="27" t="n"/>
    </row>
    <row r="443" ht="17.25" customHeight="1" s="322">
      <c r="A443" s="27" t="n"/>
      <c r="B443" s="506" t="n"/>
      <c r="C443" s="141" t="n"/>
      <c r="D443" s="141" t="n"/>
      <c r="E443" s="141" t="n"/>
      <c r="F443" s="141" t="n"/>
      <c r="G443" s="143" t="n"/>
      <c r="H443" s="27" t="n"/>
    </row>
    <row r="444" ht="17.25" customHeight="1" s="322">
      <c r="A444" s="27" t="n"/>
      <c r="B444" s="506" t="n"/>
      <c r="C444" s="141" t="n"/>
      <c r="D444" s="141" t="n"/>
      <c r="E444" s="141" t="n"/>
      <c r="F444" s="141" t="n"/>
      <c r="G444" s="143" t="n"/>
      <c r="H444" s="27" t="n"/>
    </row>
    <row r="445" ht="17.25" customHeight="1" s="322">
      <c r="A445" s="27" t="n"/>
      <c r="B445" s="506" t="n"/>
      <c r="C445" s="141" t="n"/>
      <c r="D445" s="141" t="n"/>
      <c r="E445" s="141" t="n"/>
      <c r="F445" s="141" t="n"/>
      <c r="G445" s="143" t="n"/>
      <c r="H445" s="27" t="n"/>
    </row>
    <row r="446" ht="17.25" customHeight="1" s="322">
      <c r="A446" s="27" t="n"/>
      <c r="B446" s="506" t="n"/>
      <c r="C446" s="141" t="n"/>
      <c r="D446" s="141" t="n"/>
      <c r="E446" s="141" t="n"/>
      <c r="F446" s="141" t="n"/>
      <c r="G446" s="143" t="n"/>
      <c r="H446" s="27" t="n"/>
    </row>
    <row r="447" ht="17.25" customHeight="1" s="322">
      <c r="A447" s="27" t="n"/>
      <c r="B447" s="506" t="n"/>
      <c r="C447" s="141" t="n"/>
      <c r="D447" s="141" t="n"/>
      <c r="E447" s="141" t="n"/>
      <c r="F447" s="141" t="n"/>
      <c r="G447" s="143" t="n"/>
      <c r="H447" s="27" t="n"/>
    </row>
    <row r="448" ht="17.25" customHeight="1" s="322">
      <c r="A448" s="27" t="n"/>
      <c r="B448" s="506" t="n"/>
      <c r="C448" s="141" t="n"/>
      <c r="D448" s="141" t="n"/>
      <c r="E448" s="141" t="n"/>
      <c r="F448" s="141" t="n"/>
      <c r="G448" s="143" t="n"/>
      <c r="H448" s="27" t="n"/>
    </row>
    <row r="449" ht="17.25" customHeight="1" s="322">
      <c r="A449" s="27" t="n"/>
      <c r="B449" s="506" t="n"/>
      <c r="C449" s="141" t="n"/>
      <c r="D449" s="141" t="n"/>
      <c r="E449" s="141" t="n"/>
      <c r="F449" s="141" t="n"/>
      <c r="G449" s="143" t="n"/>
      <c r="H449" s="27" t="n"/>
    </row>
    <row r="450" ht="17.25" customHeight="1" s="322">
      <c r="A450" s="27" t="n"/>
      <c r="B450" s="506" t="n"/>
      <c r="C450" s="141" t="n"/>
      <c r="D450" s="141" t="n"/>
      <c r="E450" s="141" t="n"/>
      <c r="F450" s="141" t="n"/>
      <c r="G450" s="143" t="n"/>
      <c r="H450" s="27" t="n"/>
    </row>
    <row r="451" ht="17.25" customHeight="1" s="322">
      <c r="A451" s="27" t="n"/>
      <c r="B451" s="506" t="n"/>
      <c r="C451" s="141" t="n"/>
      <c r="D451" s="141" t="n"/>
      <c r="E451" s="141" t="n"/>
      <c r="F451" s="141" t="n"/>
      <c r="G451" s="143" t="n"/>
      <c r="H451" s="27" t="n"/>
    </row>
    <row r="452" ht="17.25" customHeight="1" s="322">
      <c r="A452" s="27" t="n"/>
      <c r="B452" s="506" t="n"/>
      <c r="C452" s="141" t="n"/>
      <c r="D452" s="141" t="n"/>
      <c r="E452" s="141" t="n"/>
      <c r="F452" s="141" t="n"/>
      <c r="G452" s="143" t="n"/>
      <c r="H452" s="27" t="n"/>
    </row>
    <row r="453" ht="17.25" customHeight="1" s="322">
      <c r="A453" s="27" t="n"/>
      <c r="B453" s="506" t="n"/>
      <c r="C453" s="141" t="n"/>
      <c r="D453" s="141" t="n"/>
      <c r="E453" s="141" t="n"/>
      <c r="F453" s="141" t="n"/>
      <c r="G453" s="143" t="n"/>
      <c r="H453" s="27" t="n"/>
    </row>
    <row r="454" ht="17.25" customHeight="1" s="322">
      <c r="A454" s="27" t="n"/>
      <c r="B454" s="506" t="n"/>
      <c r="C454" s="141" t="n"/>
      <c r="D454" s="141" t="n"/>
      <c r="E454" s="141" t="n"/>
      <c r="F454" s="141" t="n"/>
      <c r="G454" s="143" t="n"/>
      <c r="H454" s="27" t="n"/>
    </row>
    <row r="455" ht="17.25" customHeight="1" s="322">
      <c r="A455" s="27" t="n"/>
      <c r="B455" s="506" t="n"/>
      <c r="C455" s="141" t="n"/>
      <c r="D455" s="141" t="n"/>
      <c r="E455" s="141" t="n"/>
      <c r="F455" s="141" t="n"/>
      <c r="G455" s="143" t="n"/>
      <c r="H455" s="27" t="n"/>
    </row>
    <row r="456" ht="17.25" customHeight="1" s="322">
      <c r="A456" s="27" t="n"/>
      <c r="B456" s="506" t="n"/>
      <c r="C456" s="141" t="n"/>
      <c r="D456" s="141" t="n"/>
      <c r="E456" s="141" t="n"/>
      <c r="F456" s="141" t="n"/>
      <c r="G456" s="143" t="n"/>
      <c r="H456" s="27" t="n"/>
    </row>
    <row r="457" ht="17.25" customHeight="1" s="322">
      <c r="A457" s="27" t="n"/>
      <c r="B457" s="506" t="n"/>
      <c r="C457" s="141" t="n"/>
      <c r="D457" s="141" t="n"/>
      <c r="E457" s="141" t="n"/>
      <c r="F457" s="141" t="n"/>
      <c r="G457" s="143" t="n"/>
      <c r="H457" s="27" t="n"/>
    </row>
    <row r="458" ht="17.25" customHeight="1" s="322">
      <c r="A458" s="27" t="n"/>
      <c r="B458" s="506" t="n"/>
      <c r="C458" s="141" t="n"/>
      <c r="D458" s="141" t="n"/>
      <c r="E458" s="141" t="n"/>
      <c r="F458" s="141" t="n"/>
      <c r="G458" s="143" t="n"/>
      <c r="H458" s="27" t="n"/>
    </row>
    <row r="459" ht="17.25" customHeight="1" s="322">
      <c r="A459" s="27" t="n"/>
      <c r="B459" s="506" t="n"/>
      <c r="C459" s="141" t="n"/>
      <c r="D459" s="141" t="n"/>
      <c r="E459" s="141" t="n"/>
      <c r="F459" s="141" t="n"/>
      <c r="G459" s="143" t="n"/>
      <c r="H459" s="27" t="n"/>
    </row>
    <row r="460" ht="17.25" customHeight="1" s="322">
      <c r="A460" s="27" t="n"/>
      <c r="B460" s="506" t="n"/>
      <c r="C460" s="141" t="n"/>
      <c r="D460" s="141" t="n"/>
      <c r="E460" s="141" t="n"/>
      <c r="F460" s="141" t="n"/>
      <c r="G460" s="143" t="n"/>
      <c r="H460" s="27" t="n"/>
    </row>
    <row r="461" ht="17.25" customHeight="1" s="322">
      <c r="A461" s="27" t="n"/>
      <c r="B461" s="506" t="n"/>
      <c r="C461" s="141" t="n"/>
      <c r="D461" s="141" t="n"/>
      <c r="E461" s="141" t="n"/>
      <c r="F461" s="141" t="n"/>
      <c r="G461" s="143" t="n"/>
      <c r="H461" s="27" t="n"/>
    </row>
    <row r="462" ht="17.25" customHeight="1" s="322">
      <c r="A462" s="27" t="n"/>
      <c r="B462" s="506" t="n"/>
      <c r="C462" s="141" t="n"/>
      <c r="D462" s="141" t="n"/>
      <c r="E462" s="141" t="n"/>
      <c r="F462" s="141" t="n"/>
      <c r="G462" s="143" t="n"/>
      <c r="H462" s="27" t="n"/>
    </row>
    <row r="463" ht="17.25" customHeight="1" s="322">
      <c r="A463" s="27" t="n"/>
      <c r="B463" s="506" t="n"/>
      <c r="C463" s="141" t="n"/>
      <c r="D463" s="141" t="n"/>
      <c r="E463" s="141" t="n"/>
      <c r="F463" s="141" t="n"/>
      <c r="G463" s="143" t="n"/>
      <c r="H463" s="27" t="n"/>
    </row>
    <row r="464" ht="17.25" customHeight="1" s="322">
      <c r="A464" s="27" t="n"/>
      <c r="B464" s="506" t="n"/>
      <c r="C464" s="141" t="n"/>
      <c r="D464" s="141" t="n"/>
      <c r="E464" s="141" t="n"/>
      <c r="F464" s="141" t="n"/>
      <c r="G464" s="143" t="n"/>
      <c r="H464" s="27" t="n"/>
    </row>
    <row r="465" ht="17.25" customHeight="1" s="322">
      <c r="A465" s="27" t="n"/>
      <c r="B465" s="506" t="n"/>
      <c r="C465" s="141" t="n"/>
      <c r="D465" s="141" t="n"/>
      <c r="E465" s="141" t="n"/>
      <c r="F465" s="141" t="n"/>
      <c r="G465" s="143" t="n"/>
      <c r="H465" s="27" t="n"/>
    </row>
    <row r="466" ht="17.25" customHeight="1" s="322">
      <c r="A466" s="27" t="n"/>
      <c r="B466" s="506" t="n"/>
      <c r="C466" s="141" t="n"/>
      <c r="D466" s="141" t="n"/>
      <c r="E466" s="141" t="n"/>
      <c r="F466" s="141" t="n"/>
      <c r="G466" s="143" t="n"/>
      <c r="H466" s="27" t="n"/>
    </row>
    <row r="467" ht="17.25" customHeight="1" s="322">
      <c r="A467" s="27" t="n"/>
      <c r="B467" s="506" t="n"/>
      <c r="C467" s="141" t="n"/>
      <c r="D467" s="141" t="n"/>
      <c r="E467" s="141" t="n"/>
      <c r="F467" s="141" t="n"/>
      <c r="G467" s="143" t="n"/>
      <c r="H467" s="27" t="n"/>
    </row>
    <row r="468" ht="17.25" customHeight="1" s="322">
      <c r="A468" s="27" t="n"/>
      <c r="B468" s="506" t="n"/>
      <c r="C468" s="141" t="n"/>
      <c r="D468" s="141" t="n"/>
      <c r="E468" s="141" t="n"/>
      <c r="F468" s="141" t="n"/>
      <c r="G468" s="143" t="n"/>
      <c r="H468" s="27" t="n"/>
    </row>
    <row r="469" ht="17.25" customHeight="1" s="322">
      <c r="A469" s="27" t="n"/>
      <c r="B469" s="506" t="n"/>
      <c r="C469" s="141" t="n"/>
      <c r="D469" s="141" t="n"/>
      <c r="E469" s="141" t="n"/>
      <c r="F469" s="141" t="n"/>
      <c r="G469" s="143" t="n"/>
      <c r="H469" s="27" t="n"/>
    </row>
    <row r="470" ht="17.25" customHeight="1" s="322">
      <c r="A470" s="27" t="n"/>
      <c r="B470" s="506" t="n"/>
      <c r="C470" s="141" t="n"/>
      <c r="D470" s="141" t="n"/>
      <c r="E470" s="141" t="n"/>
      <c r="F470" s="141" t="n"/>
      <c r="G470" s="143" t="n"/>
      <c r="H470" s="27" t="n"/>
    </row>
    <row r="471" ht="17.25" customHeight="1" s="322">
      <c r="A471" s="27" t="n"/>
      <c r="B471" s="506" t="n"/>
      <c r="C471" s="141" t="n"/>
      <c r="D471" s="141" t="n"/>
      <c r="E471" s="141" t="n"/>
      <c r="F471" s="141" t="n"/>
      <c r="G471" s="143" t="n"/>
      <c r="H471" s="27" t="n"/>
    </row>
    <row r="472" ht="17.25" customHeight="1" s="322">
      <c r="A472" s="27" t="n"/>
      <c r="B472" s="506" t="n"/>
      <c r="C472" s="141" t="n"/>
      <c r="D472" s="141" t="n"/>
      <c r="E472" s="141" t="n"/>
      <c r="F472" s="141" t="n"/>
      <c r="G472" s="143" t="n"/>
      <c r="H472" s="27" t="n"/>
    </row>
    <row r="473" ht="17.25" customHeight="1" s="322">
      <c r="A473" s="27" t="n"/>
      <c r="B473" s="506" t="n"/>
      <c r="C473" s="141" t="n"/>
      <c r="D473" s="141" t="n"/>
      <c r="E473" s="141" t="n"/>
      <c r="F473" s="141" t="n"/>
      <c r="G473" s="143" t="n"/>
      <c r="H473" s="27" t="n"/>
    </row>
    <row r="474" ht="17.25" customHeight="1" s="322">
      <c r="A474" s="27" t="n"/>
      <c r="B474" s="506" t="n"/>
      <c r="C474" s="141" t="n"/>
      <c r="D474" s="141" t="n"/>
      <c r="E474" s="141" t="n"/>
      <c r="F474" s="141" t="n"/>
      <c r="G474" s="143" t="n"/>
      <c r="H474" s="27" t="n"/>
    </row>
    <row r="475" ht="17.25" customHeight="1" s="322">
      <c r="A475" s="27" t="n"/>
      <c r="B475" s="506" t="n"/>
      <c r="C475" s="141" t="n"/>
      <c r="D475" s="141" t="n"/>
      <c r="E475" s="141" t="n"/>
      <c r="F475" s="141" t="n"/>
      <c r="G475" s="143" t="n"/>
      <c r="H475" s="27" t="n"/>
    </row>
    <row r="476" ht="17.25" customHeight="1" s="322">
      <c r="A476" s="27" t="n"/>
      <c r="B476" s="506" t="n"/>
      <c r="C476" s="141" t="n"/>
      <c r="D476" s="141" t="n"/>
      <c r="E476" s="141" t="n"/>
      <c r="F476" s="141" t="n"/>
      <c r="G476" s="143" t="n"/>
      <c r="H476" s="27" t="n"/>
    </row>
    <row r="477" ht="17.25" customHeight="1" s="322">
      <c r="A477" s="27" t="n"/>
      <c r="B477" s="506" t="n"/>
      <c r="C477" s="141" t="n"/>
      <c r="D477" s="141" t="n"/>
      <c r="E477" s="141" t="n"/>
      <c r="F477" s="141" t="n"/>
      <c r="G477" s="143" t="n"/>
      <c r="H477" s="27" t="n"/>
    </row>
    <row r="478" ht="17.25" customHeight="1" s="322">
      <c r="A478" s="27" t="n"/>
      <c r="B478" s="506" t="n"/>
      <c r="C478" s="141" t="n"/>
      <c r="D478" s="141" t="n"/>
      <c r="E478" s="141" t="n"/>
      <c r="F478" s="141" t="n"/>
      <c r="G478" s="143" t="n"/>
      <c r="H478" s="27" t="n"/>
    </row>
    <row r="479" ht="17.25" customHeight="1" s="322">
      <c r="A479" s="27" t="n"/>
      <c r="B479" s="506" t="n"/>
      <c r="C479" s="141" t="n"/>
      <c r="D479" s="141" t="n"/>
      <c r="E479" s="141" t="n"/>
      <c r="F479" s="141" t="n"/>
      <c r="G479" s="143" t="n"/>
      <c r="H479" s="27" t="n"/>
    </row>
    <row r="480" ht="17.25" customHeight="1" s="322">
      <c r="A480" s="27" t="n"/>
      <c r="B480" s="506" t="n"/>
      <c r="C480" s="141" t="n"/>
      <c r="D480" s="141" t="n"/>
      <c r="E480" s="141" t="n"/>
      <c r="F480" s="141" t="n"/>
      <c r="G480" s="143" t="n"/>
      <c r="H480" s="27" t="n"/>
    </row>
    <row r="481" ht="17.25" customHeight="1" s="322">
      <c r="A481" s="27" t="n"/>
      <c r="B481" s="506" t="n"/>
      <c r="C481" s="141" t="n"/>
      <c r="D481" s="141" t="n"/>
      <c r="E481" s="141" t="n"/>
      <c r="F481" s="141" t="n"/>
      <c r="G481" s="143" t="n"/>
      <c r="H481" s="27" t="n"/>
    </row>
    <row r="482" ht="17.25" customHeight="1" s="322">
      <c r="A482" s="27" t="n"/>
      <c r="B482" s="506" t="n"/>
      <c r="C482" s="141" t="n"/>
      <c r="D482" s="141" t="n"/>
      <c r="E482" s="141" t="n"/>
      <c r="F482" s="141" t="n"/>
      <c r="G482" s="143" t="n"/>
      <c r="H482" s="27" t="n"/>
    </row>
    <row r="483" ht="17.25" customHeight="1" s="322">
      <c r="A483" s="27" t="n"/>
      <c r="B483" s="506" t="n"/>
      <c r="C483" s="141" t="n"/>
      <c r="D483" s="141" t="n"/>
      <c r="E483" s="141" t="n"/>
      <c r="F483" s="141" t="n"/>
      <c r="G483" s="143" t="n"/>
      <c r="H483" s="27" t="n"/>
    </row>
    <row r="484" ht="17.25" customHeight="1" s="322">
      <c r="A484" s="27" t="n"/>
      <c r="B484" s="506" t="n"/>
      <c r="C484" s="141" t="n"/>
      <c r="D484" s="141" t="n"/>
      <c r="E484" s="141" t="n"/>
      <c r="F484" s="141" t="n"/>
      <c r="G484" s="143" t="n"/>
      <c r="H484" s="27" t="n"/>
    </row>
    <row r="485" ht="17.25" customHeight="1" s="322">
      <c r="A485" s="27" t="n"/>
      <c r="B485" s="506" t="n"/>
      <c r="C485" s="141" t="n"/>
      <c r="D485" s="141" t="n"/>
      <c r="E485" s="141" t="n"/>
      <c r="F485" s="141" t="n"/>
      <c r="G485" s="143" t="n"/>
      <c r="H485" s="27" t="n"/>
    </row>
    <row r="486" ht="17.25" customHeight="1" s="322">
      <c r="A486" s="27" t="n"/>
      <c r="B486" s="506" t="n"/>
      <c r="C486" s="141" t="n"/>
      <c r="D486" s="141" t="n"/>
      <c r="E486" s="141" t="n"/>
      <c r="F486" s="141" t="n"/>
      <c r="G486" s="143" t="n"/>
      <c r="H486" s="27" t="n"/>
    </row>
    <row r="487" ht="17.25" customHeight="1" s="322">
      <c r="A487" s="27" t="n"/>
      <c r="B487" s="506" t="n"/>
      <c r="C487" s="141" t="n"/>
      <c r="D487" s="141" t="n"/>
      <c r="E487" s="141" t="n"/>
      <c r="F487" s="141" t="n"/>
      <c r="G487" s="143" t="n"/>
      <c r="H487" s="27" t="n"/>
    </row>
    <row r="488" ht="17.25" customHeight="1" s="322">
      <c r="A488" s="27" t="n"/>
      <c r="B488" s="506" t="n"/>
      <c r="C488" s="141" t="n"/>
      <c r="D488" s="141" t="n"/>
      <c r="E488" s="141" t="n"/>
      <c r="F488" s="141" t="n"/>
      <c r="G488" s="143" t="n"/>
      <c r="H488" s="27" t="n"/>
    </row>
    <row r="489" ht="17.25" customHeight="1" s="322">
      <c r="A489" s="27" t="n"/>
      <c r="B489" s="506" t="n"/>
      <c r="C489" s="141" t="n"/>
      <c r="D489" s="141" t="n"/>
      <c r="E489" s="141" t="n"/>
      <c r="F489" s="141" t="n"/>
      <c r="G489" s="143" t="n"/>
      <c r="H489" s="27" t="n"/>
    </row>
    <row r="490" ht="17.25" customHeight="1" s="322">
      <c r="A490" s="27" t="n"/>
      <c r="B490" s="506" t="n"/>
      <c r="C490" s="141" t="n"/>
      <c r="D490" s="141" t="n"/>
      <c r="E490" s="141" t="n"/>
      <c r="F490" s="141" t="n"/>
      <c r="G490" s="143" t="n"/>
      <c r="H490" s="27" t="n"/>
    </row>
    <row r="491" ht="17.25" customHeight="1" s="322">
      <c r="A491" s="27" t="n"/>
      <c r="B491" s="506" t="n"/>
      <c r="C491" s="141" t="n"/>
      <c r="D491" s="141" t="n"/>
      <c r="E491" s="141" t="n"/>
      <c r="F491" s="141" t="n"/>
      <c r="G491" s="143" t="n"/>
      <c r="H491" s="27" t="n"/>
    </row>
    <row r="492" ht="17.25" customHeight="1" s="322">
      <c r="A492" s="27" t="n"/>
      <c r="B492" s="506" t="n"/>
      <c r="C492" s="141" t="n"/>
      <c r="D492" s="141" t="n"/>
      <c r="E492" s="141" t="n"/>
      <c r="F492" s="141" t="n"/>
      <c r="G492" s="143" t="n"/>
      <c r="H492" s="27" t="n"/>
    </row>
    <row r="493" ht="17.25" customHeight="1" s="322">
      <c r="A493" s="27" t="n"/>
      <c r="B493" s="506" t="n"/>
      <c r="C493" s="141" t="n"/>
      <c r="D493" s="141" t="n"/>
      <c r="E493" s="141" t="n"/>
      <c r="F493" s="141" t="n"/>
      <c r="G493" s="143" t="n"/>
      <c r="H493" s="27" t="n"/>
    </row>
    <row r="494" ht="17.25" customHeight="1" s="322">
      <c r="A494" s="27" t="n"/>
      <c r="B494" s="506" t="n"/>
      <c r="C494" s="141" t="n"/>
      <c r="D494" s="141" t="n"/>
      <c r="E494" s="141" t="n"/>
      <c r="F494" s="141" t="n"/>
      <c r="G494" s="143" t="n"/>
      <c r="H494" s="27" t="n"/>
    </row>
    <row r="495" ht="17.25" customHeight="1" s="322">
      <c r="A495" s="27" t="n"/>
      <c r="B495" s="506" t="n"/>
      <c r="C495" s="141" t="n"/>
      <c r="D495" s="141" t="n"/>
      <c r="E495" s="141" t="n"/>
      <c r="F495" s="141" t="n"/>
      <c r="G495" s="143" t="n"/>
      <c r="H495" s="27" t="n"/>
    </row>
    <row r="496" ht="17.25" customHeight="1" s="322">
      <c r="A496" s="27" t="n"/>
      <c r="B496" s="506" t="n"/>
      <c r="C496" s="141" t="n"/>
      <c r="D496" s="141" t="n"/>
      <c r="E496" s="141" t="n"/>
      <c r="F496" s="141" t="n"/>
      <c r="G496" s="143" t="n"/>
      <c r="H496" s="27" t="n"/>
    </row>
    <row r="497" ht="17.25" customHeight="1" s="322">
      <c r="A497" s="27" t="n"/>
      <c r="B497" s="506" t="n"/>
      <c r="C497" s="141" t="n"/>
      <c r="D497" s="141" t="n"/>
      <c r="E497" s="141" t="n"/>
      <c r="F497" s="141" t="n"/>
      <c r="G497" s="143" t="n"/>
      <c r="H497" s="27" t="n"/>
    </row>
    <row r="498" ht="17.25" customHeight="1" s="322">
      <c r="A498" s="27" t="n"/>
      <c r="B498" s="506" t="n"/>
      <c r="C498" s="141" t="n"/>
      <c r="D498" s="141" t="n"/>
      <c r="E498" s="141" t="n"/>
      <c r="F498" s="141" t="n"/>
      <c r="G498" s="143" t="n"/>
      <c r="H498" s="27" t="n"/>
    </row>
    <row r="499" ht="17.25" customHeight="1" s="322">
      <c r="A499" s="27" t="n"/>
      <c r="B499" s="506" t="n"/>
      <c r="C499" s="141" t="n"/>
      <c r="D499" s="141" t="n"/>
      <c r="E499" s="141" t="n"/>
      <c r="F499" s="141" t="n"/>
      <c r="G499" s="143" t="n"/>
      <c r="H499" s="27" t="n"/>
    </row>
    <row r="500" ht="17.25" customHeight="1" s="322">
      <c r="A500" s="27" t="n"/>
      <c r="B500" s="506" t="n"/>
      <c r="C500" s="141" t="n"/>
      <c r="D500" s="141" t="n"/>
      <c r="E500" s="141" t="n"/>
      <c r="F500" s="141" t="n"/>
      <c r="G500" s="143" t="n"/>
      <c r="H500" s="27" t="n"/>
    </row>
    <row r="501" ht="17.25" customHeight="1" s="322">
      <c r="A501" s="27" t="n"/>
      <c r="B501" s="506" t="n"/>
      <c r="C501" s="141" t="n"/>
      <c r="D501" s="141" t="n"/>
      <c r="E501" s="141" t="n"/>
      <c r="F501" s="141" t="n"/>
      <c r="G501" s="143" t="n"/>
      <c r="H501" s="27" t="n"/>
    </row>
    <row r="502" ht="17.25" customHeight="1" s="322">
      <c r="A502" s="27" t="n"/>
      <c r="B502" s="506" t="n"/>
      <c r="C502" s="141" t="n"/>
      <c r="D502" s="141" t="n"/>
      <c r="E502" s="141" t="n"/>
      <c r="F502" s="141" t="n"/>
      <c r="G502" s="143" t="n"/>
      <c r="H502" s="27" t="n"/>
    </row>
    <row r="503" ht="17.25" customHeight="1" s="322">
      <c r="A503" s="27" t="n"/>
      <c r="B503" s="506" t="n"/>
      <c r="C503" s="141" t="n"/>
      <c r="D503" s="141" t="n"/>
      <c r="E503" s="141" t="n"/>
      <c r="F503" s="141" t="n"/>
      <c r="G503" s="143" t="n"/>
      <c r="H503" s="27" t="n"/>
    </row>
    <row r="504" ht="17.25" customHeight="1" s="322">
      <c r="A504" s="27" t="n"/>
      <c r="B504" s="506" t="n"/>
      <c r="C504" s="141" t="n"/>
      <c r="D504" s="141" t="n"/>
      <c r="E504" s="141" t="n"/>
      <c r="F504" s="141" t="n"/>
      <c r="G504" s="143" t="n"/>
      <c r="H504" s="27" t="n"/>
    </row>
    <row r="505" ht="17.25" customHeight="1" s="322">
      <c r="A505" s="27" t="n"/>
      <c r="B505" s="506" t="n"/>
      <c r="C505" s="141" t="n"/>
      <c r="D505" s="141" t="n"/>
      <c r="E505" s="141" t="n"/>
      <c r="F505" s="141" t="n"/>
      <c r="G505" s="143" t="n"/>
      <c r="H505" s="27" t="n"/>
    </row>
    <row r="506" ht="17.25" customHeight="1" s="322">
      <c r="A506" s="27" t="n"/>
      <c r="B506" s="506" t="n"/>
      <c r="C506" s="141" t="n"/>
      <c r="D506" s="141" t="n"/>
      <c r="E506" s="141" t="n"/>
      <c r="F506" s="141" t="n"/>
      <c r="G506" s="143" t="n"/>
      <c r="H506" s="27" t="n"/>
    </row>
    <row r="507" ht="17.25" customHeight="1" s="322">
      <c r="A507" s="27" t="n"/>
      <c r="B507" s="506" t="n"/>
      <c r="C507" s="141" t="n"/>
      <c r="D507" s="141" t="n"/>
      <c r="E507" s="141" t="n"/>
      <c r="F507" s="141" t="n"/>
      <c r="G507" s="143" t="n"/>
      <c r="H507" s="27" t="n"/>
    </row>
    <row r="508" ht="17.25" customHeight="1" s="322">
      <c r="A508" s="27" t="n"/>
      <c r="B508" s="506" t="n"/>
      <c r="C508" s="141" t="n"/>
      <c r="D508" s="141" t="n"/>
      <c r="E508" s="141" t="n"/>
      <c r="F508" s="141" t="n"/>
      <c r="G508" s="143" t="n"/>
      <c r="H508" s="27" t="n"/>
    </row>
    <row r="509" ht="17.25" customHeight="1" s="322">
      <c r="A509" s="27" t="n"/>
      <c r="B509" s="506" t="n"/>
      <c r="C509" s="141" t="n"/>
      <c r="D509" s="141" t="n"/>
      <c r="E509" s="141" t="n"/>
      <c r="F509" s="141" t="n"/>
      <c r="G509" s="143" t="n"/>
      <c r="H509" s="27" t="n"/>
    </row>
    <row r="510" ht="17.25" customHeight="1" s="322">
      <c r="A510" s="27" t="n"/>
      <c r="B510" s="506" t="n"/>
      <c r="C510" s="141" t="n"/>
      <c r="D510" s="141" t="n"/>
      <c r="E510" s="141" t="n"/>
      <c r="F510" s="141" t="n"/>
      <c r="G510" s="143" t="n"/>
      <c r="H510" s="27" t="n"/>
    </row>
    <row r="511" ht="17.25" customHeight="1" s="322">
      <c r="A511" s="27" t="n"/>
      <c r="B511" s="506" t="n"/>
      <c r="C511" s="141" t="n"/>
      <c r="D511" s="141" t="n"/>
      <c r="E511" s="141" t="n"/>
      <c r="F511" s="141" t="n"/>
      <c r="G511" s="143" t="n"/>
      <c r="H511" s="27" t="n"/>
    </row>
    <row r="512" ht="17.25" customHeight="1" s="322">
      <c r="A512" s="27" t="n"/>
      <c r="B512" s="506" t="n"/>
      <c r="C512" s="141" t="n"/>
      <c r="D512" s="141" t="n"/>
      <c r="E512" s="141" t="n"/>
      <c r="F512" s="141" t="n"/>
      <c r="G512" s="143" t="n"/>
      <c r="H512" s="27" t="n"/>
    </row>
    <row r="513" ht="17.25" customHeight="1" s="322">
      <c r="A513" s="27" t="n"/>
      <c r="B513" s="506" t="n"/>
      <c r="C513" s="141" t="n"/>
      <c r="D513" s="141" t="n"/>
      <c r="E513" s="141" t="n"/>
      <c r="F513" s="141" t="n"/>
      <c r="G513" s="143" t="n"/>
      <c r="H513" s="27" t="n"/>
    </row>
    <row r="514" ht="17.25" customHeight="1" s="322">
      <c r="A514" s="27" t="n"/>
      <c r="B514" s="506" t="n"/>
      <c r="C514" s="141" t="n"/>
      <c r="D514" s="141" t="n"/>
      <c r="E514" s="141" t="n"/>
      <c r="F514" s="141" t="n"/>
      <c r="G514" s="143" t="n"/>
      <c r="H514" s="27" t="n"/>
    </row>
    <row r="515" ht="17.25" customHeight="1" s="322">
      <c r="A515" s="27" t="n"/>
      <c r="B515" s="506" t="n"/>
      <c r="C515" s="141" t="n"/>
      <c r="D515" s="141" t="n"/>
      <c r="E515" s="141" t="n"/>
      <c r="F515" s="141" t="n"/>
      <c r="G515" s="143" t="n"/>
      <c r="H515" s="27" t="n"/>
    </row>
    <row r="516" ht="17.25" customHeight="1" s="322">
      <c r="A516" s="27" t="n"/>
      <c r="B516" s="506" t="n"/>
      <c r="C516" s="141" t="n"/>
      <c r="D516" s="141" t="n"/>
      <c r="E516" s="141" t="n"/>
      <c r="F516" s="141" t="n"/>
      <c r="G516" s="143" t="n"/>
      <c r="H516" s="27" t="n"/>
    </row>
    <row r="517" ht="17.25" customHeight="1" s="322">
      <c r="A517" s="27" t="n"/>
      <c r="B517" s="506" t="n"/>
      <c r="C517" s="141" t="n"/>
      <c r="D517" s="141" t="n"/>
      <c r="E517" s="141" t="n"/>
      <c r="F517" s="141" t="n"/>
      <c r="G517" s="143" t="n"/>
      <c r="H517" s="27" t="n"/>
    </row>
    <row r="518" ht="17.25" customHeight="1" s="322">
      <c r="A518" s="27" t="n"/>
      <c r="B518" s="506" t="n"/>
      <c r="C518" s="141" t="n"/>
      <c r="D518" s="141" t="n"/>
      <c r="E518" s="141" t="n"/>
      <c r="F518" s="141" t="n"/>
      <c r="G518" s="143" t="n"/>
      <c r="H518" s="27" t="n"/>
    </row>
    <row r="519" ht="17.25" customHeight="1" s="322">
      <c r="A519" s="27" t="n"/>
      <c r="B519" s="506" t="n"/>
      <c r="C519" s="141" t="n"/>
      <c r="D519" s="141" t="n"/>
      <c r="E519" s="141" t="n"/>
      <c r="F519" s="141" t="n"/>
      <c r="G519" s="143" t="n"/>
      <c r="H519" s="27" t="n"/>
    </row>
    <row r="520" ht="17.25" customHeight="1" s="322">
      <c r="A520" s="27" t="n"/>
      <c r="B520" s="506" t="n"/>
      <c r="C520" s="141" t="n"/>
      <c r="D520" s="141" t="n"/>
      <c r="E520" s="141" t="n"/>
      <c r="F520" s="141" t="n"/>
      <c r="G520" s="143" t="n"/>
      <c r="H520" s="27" t="n"/>
    </row>
    <row r="521" ht="17.25" customHeight="1" s="322">
      <c r="A521" s="27" t="n"/>
      <c r="B521" s="506" t="n"/>
      <c r="C521" s="141" t="n"/>
      <c r="D521" s="141" t="n"/>
      <c r="E521" s="141" t="n"/>
      <c r="F521" s="141" t="n"/>
      <c r="G521" s="143" t="n"/>
      <c r="H521" s="27" t="n"/>
    </row>
    <row r="522" ht="17.25" customHeight="1" s="322">
      <c r="A522" s="27" t="n"/>
      <c r="B522" s="506" t="n"/>
      <c r="C522" s="141" t="n"/>
      <c r="D522" s="141" t="n"/>
      <c r="E522" s="141" t="n"/>
      <c r="F522" s="141" t="n"/>
      <c r="G522" s="143" t="n"/>
      <c r="H522" s="27" t="n"/>
    </row>
    <row r="523" ht="17.25" customHeight="1" s="322">
      <c r="A523" s="27" t="n"/>
      <c r="B523" s="506" t="n"/>
      <c r="C523" s="141" t="n"/>
      <c r="D523" s="141" t="n"/>
      <c r="E523" s="141" t="n"/>
      <c r="F523" s="141" t="n"/>
      <c r="G523" s="143" t="n"/>
      <c r="H523" s="27" t="n"/>
    </row>
    <row r="524" ht="17.25" customHeight="1" s="322">
      <c r="A524" s="27" t="n"/>
      <c r="B524" s="506" t="n"/>
      <c r="C524" s="141" t="n"/>
      <c r="D524" s="141" t="n"/>
      <c r="E524" s="141" t="n"/>
      <c r="F524" s="141" t="n"/>
      <c r="G524" s="143" t="n"/>
      <c r="H524" s="27" t="n"/>
    </row>
    <row r="525" ht="17.25" customHeight="1" s="322">
      <c r="A525" s="27" t="n"/>
      <c r="B525" s="506" t="n"/>
      <c r="C525" s="141" t="n"/>
      <c r="D525" s="141" t="n"/>
      <c r="E525" s="141" t="n"/>
      <c r="F525" s="141" t="n"/>
      <c r="G525" s="143" t="n"/>
      <c r="H525" s="27" t="n"/>
    </row>
    <row r="526" ht="17.25" customHeight="1" s="322">
      <c r="A526" s="27" t="n"/>
      <c r="B526" s="506" t="n"/>
      <c r="C526" s="141" t="n"/>
      <c r="D526" s="141" t="n"/>
      <c r="E526" s="141" t="n"/>
      <c r="F526" s="141" t="n"/>
      <c r="G526" s="143" t="n"/>
      <c r="H526" s="27" t="n"/>
    </row>
    <row r="527" ht="17.25" customHeight="1" s="322">
      <c r="A527" s="27" t="n"/>
      <c r="B527" s="506" t="n"/>
      <c r="C527" s="141" t="n"/>
      <c r="D527" s="141" t="n"/>
      <c r="E527" s="141" t="n"/>
      <c r="F527" s="141" t="n"/>
      <c r="G527" s="143" t="n"/>
      <c r="H527" s="27" t="n"/>
    </row>
    <row r="528" ht="17.25" customHeight="1" s="322">
      <c r="A528" s="27" t="n"/>
      <c r="B528" s="506" t="n"/>
      <c r="C528" s="141" t="n"/>
      <c r="D528" s="141" t="n"/>
      <c r="E528" s="141" t="n"/>
      <c r="F528" s="141" t="n"/>
      <c r="G528" s="143" t="n"/>
      <c r="H528" s="27" t="n"/>
    </row>
    <row r="529" ht="17.25" customHeight="1" s="322">
      <c r="A529" s="27" t="n"/>
      <c r="B529" s="506" t="n"/>
      <c r="C529" s="141" t="n"/>
      <c r="D529" s="141" t="n"/>
      <c r="E529" s="141" t="n"/>
      <c r="F529" s="141" t="n"/>
      <c r="G529" s="143" t="n"/>
      <c r="H529" s="27" t="n"/>
    </row>
    <row r="530" ht="17.25" customHeight="1" s="322">
      <c r="A530" s="27" t="n"/>
      <c r="B530" s="506" t="n"/>
      <c r="C530" s="141" t="n"/>
      <c r="D530" s="141" t="n"/>
      <c r="E530" s="141" t="n"/>
      <c r="F530" s="141" t="n"/>
      <c r="G530" s="143" t="n"/>
      <c r="H530" s="27" t="n"/>
    </row>
    <row r="531" ht="17.25" customHeight="1" s="322">
      <c r="A531" s="27" t="n"/>
      <c r="B531" s="506" t="n"/>
      <c r="C531" s="141" t="n"/>
      <c r="D531" s="141" t="n"/>
      <c r="E531" s="141" t="n"/>
      <c r="F531" s="141" t="n"/>
      <c r="G531" s="143" t="n"/>
      <c r="H531" s="27" t="n"/>
    </row>
    <row r="532" ht="17.25" customHeight="1" s="322">
      <c r="A532" s="27" t="n"/>
      <c r="B532" s="506" t="n"/>
      <c r="C532" s="141" t="n"/>
      <c r="D532" s="141" t="n"/>
      <c r="E532" s="141" t="n"/>
      <c r="F532" s="141" t="n"/>
      <c r="G532" s="143" t="n"/>
      <c r="H532" s="27" t="n"/>
    </row>
    <row r="533" ht="17.25" customHeight="1" s="322">
      <c r="A533" s="27" t="n"/>
      <c r="B533" s="506" t="n"/>
      <c r="C533" s="141" t="n"/>
      <c r="D533" s="141" t="n"/>
      <c r="E533" s="141" t="n"/>
      <c r="F533" s="141" t="n"/>
      <c r="G533" s="143" t="n"/>
      <c r="H533" s="27" t="n"/>
    </row>
    <row r="534" ht="17.25" customHeight="1" s="322">
      <c r="A534" s="27" t="n"/>
      <c r="B534" s="506" t="n"/>
      <c r="C534" s="141" t="n"/>
      <c r="D534" s="141" t="n"/>
      <c r="E534" s="141" t="n"/>
      <c r="F534" s="141" t="n"/>
      <c r="G534" s="143" t="n"/>
      <c r="H534" s="27" t="n"/>
    </row>
    <row r="535" ht="17.25" customHeight="1" s="322">
      <c r="A535" s="27" t="n"/>
      <c r="B535" s="506" t="n"/>
      <c r="C535" s="141" t="n"/>
      <c r="D535" s="141" t="n"/>
      <c r="E535" s="141" t="n"/>
      <c r="F535" s="141" t="n"/>
      <c r="G535" s="143" t="n"/>
      <c r="H535" s="27" t="n"/>
    </row>
    <row r="536" ht="17.25" customHeight="1" s="322">
      <c r="A536" s="27" t="n"/>
      <c r="B536" s="506" t="n"/>
      <c r="C536" s="141" t="n"/>
      <c r="D536" s="141" t="n"/>
      <c r="E536" s="141" t="n"/>
      <c r="F536" s="141" t="n"/>
      <c r="G536" s="143" t="n"/>
      <c r="H536" s="27" t="n"/>
    </row>
    <row r="537" ht="17.25" customHeight="1" s="322">
      <c r="A537" s="27" t="n"/>
      <c r="B537" s="506" t="n"/>
      <c r="C537" s="141" t="n"/>
      <c r="D537" s="141" t="n"/>
      <c r="E537" s="141" t="n"/>
      <c r="F537" s="141" t="n"/>
      <c r="G537" s="143" t="n"/>
      <c r="H537" s="27" t="n"/>
    </row>
    <row r="538" ht="17.25" customHeight="1" s="322">
      <c r="A538" s="27" t="n"/>
      <c r="B538" s="506" t="n"/>
      <c r="C538" s="141" t="n"/>
      <c r="D538" s="141" t="n"/>
      <c r="E538" s="141" t="n"/>
      <c r="F538" s="141" t="n"/>
      <c r="G538" s="143" t="n"/>
      <c r="H538" s="27" t="n"/>
    </row>
    <row r="539" ht="17.25" customHeight="1" s="322">
      <c r="A539" s="27" t="n"/>
      <c r="B539" s="506" t="n"/>
      <c r="C539" s="141" t="n"/>
      <c r="D539" s="141" t="n"/>
      <c r="E539" s="141" t="n"/>
      <c r="F539" s="141" t="n"/>
      <c r="G539" s="143" t="n"/>
      <c r="H539" s="27" t="n"/>
    </row>
    <row r="540" ht="17.25" customHeight="1" s="322">
      <c r="A540" s="27" t="n"/>
      <c r="B540" s="506" t="n"/>
      <c r="C540" s="141" t="n"/>
      <c r="D540" s="141" t="n"/>
      <c r="E540" s="141" t="n"/>
      <c r="F540" s="141" t="n"/>
      <c r="G540" s="143" t="n"/>
      <c r="H540" s="27" t="n"/>
    </row>
    <row r="541" ht="17.25" customHeight="1" s="322">
      <c r="A541" s="27" t="n"/>
      <c r="B541" s="506" t="n"/>
      <c r="C541" s="141" t="n"/>
      <c r="D541" s="141" t="n"/>
      <c r="E541" s="141" t="n"/>
      <c r="F541" s="141" t="n"/>
      <c r="G541" s="143" t="n"/>
      <c r="H541" s="27" t="n"/>
    </row>
    <row r="542" ht="17.25" customHeight="1" s="322">
      <c r="A542" s="27" t="n"/>
      <c r="B542" s="506" t="n"/>
      <c r="C542" s="141" t="n"/>
      <c r="D542" s="141" t="n"/>
      <c r="E542" s="141" t="n"/>
      <c r="F542" s="141" t="n"/>
      <c r="G542" s="143" t="n"/>
      <c r="H542" s="27" t="n"/>
    </row>
    <row r="543" ht="17.25" customHeight="1" s="322">
      <c r="A543" s="27" t="n"/>
      <c r="B543" s="506" t="n"/>
      <c r="C543" s="141" t="n"/>
      <c r="D543" s="141" t="n"/>
      <c r="E543" s="141" t="n"/>
      <c r="F543" s="141" t="n"/>
      <c r="G543" s="143" t="n"/>
      <c r="H543" s="27" t="n"/>
    </row>
    <row r="544" ht="17.25" customHeight="1" s="322">
      <c r="A544" s="27" t="n"/>
      <c r="B544" s="506" t="n"/>
      <c r="C544" s="141" t="n"/>
      <c r="D544" s="141" t="n"/>
      <c r="E544" s="141" t="n"/>
      <c r="F544" s="141" t="n"/>
      <c r="G544" s="143" t="n"/>
      <c r="H544" s="27" t="n"/>
    </row>
    <row r="545" ht="17.25" customHeight="1" s="322">
      <c r="A545" s="27" t="n"/>
      <c r="B545" s="506" t="n"/>
      <c r="C545" s="141" t="n"/>
      <c r="D545" s="141" t="n"/>
      <c r="E545" s="141" t="n"/>
      <c r="F545" s="141" t="n"/>
      <c r="G545" s="143" t="n"/>
      <c r="H545" s="27" t="n"/>
    </row>
    <row r="546" ht="17.25" customHeight="1" s="322">
      <c r="A546" s="27" t="n"/>
      <c r="B546" s="506" t="n"/>
      <c r="C546" s="141" t="n"/>
      <c r="D546" s="141" t="n"/>
      <c r="E546" s="141" t="n"/>
      <c r="F546" s="141" t="n"/>
      <c r="G546" s="143" t="n"/>
      <c r="H546" s="27" t="n"/>
    </row>
    <row r="547" ht="17.25" customHeight="1" s="322">
      <c r="A547" s="27" t="n"/>
      <c r="B547" s="506" t="n"/>
      <c r="C547" s="141" t="n"/>
      <c r="D547" s="141" t="n"/>
      <c r="E547" s="141" t="n"/>
      <c r="F547" s="141" t="n"/>
      <c r="G547" s="143" t="n"/>
      <c r="H547" s="27" t="n"/>
    </row>
    <row r="548" ht="17.25" customHeight="1" s="322">
      <c r="A548" s="27" t="n"/>
      <c r="B548" s="506" t="n"/>
      <c r="C548" s="141" t="n"/>
      <c r="D548" s="141" t="n"/>
      <c r="E548" s="141" t="n"/>
      <c r="F548" s="141" t="n"/>
      <c r="G548" s="143" t="n"/>
      <c r="H548" s="27" t="n"/>
    </row>
    <row r="549" ht="17.25" customHeight="1" s="322">
      <c r="A549" s="27" t="n"/>
      <c r="B549" s="506" t="n"/>
      <c r="C549" s="141" t="n"/>
      <c r="D549" s="141" t="n"/>
      <c r="E549" s="141" t="n"/>
      <c r="F549" s="141" t="n"/>
      <c r="G549" s="143" t="n"/>
      <c r="H549" s="27" t="n"/>
    </row>
    <row r="550" ht="17.25" customHeight="1" s="322">
      <c r="A550" s="27" t="n"/>
      <c r="B550" s="506" t="n"/>
      <c r="C550" s="141" t="n"/>
      <c r="D550" s="141" t="n"/>
      <c r="E550" s="141" t="n"/>
      <c r="F550" s="141" t="n"/>
      <c r="G550" s="143" t="n"/>
      <c r="H550" s="27" t="n"/>
    </row>
    <row r="551" ht="17.25" customHeight="1" s="322">
      <c r="A551" s="27" t="n"/>
      <c r="B551" s="506" t="n"/>
      <c r="C551" s="141" t="n"/>
      <c r="D551" s="141" t="n"/>
      <c r="E551" s="141" t="n"/>
      <c r="F551" s="141" t="n"/>
      <c r="G551" s="143" t="n"/>
      <c r="H551" s="27" t="n"/>
    </row>
    <row r="552" ht="17.25" customHeight="1" s="322">
      <c r="A552" s="27" t="n"/>
      <c r="B552" s="506" t="n"/>
      <c r="C552" s="141" t="n"/>
      <c r="D552" s="141" t="n"/>
      <c r="E552" s="141" t="n"/>
      <c r="F552" s="141" t="n"/>
      <c r="G552" s="143" t="n"/>
      <c r="H552" s="27" t="n"/>
    </row>
    <row r="553" ht="17.25" customHeight="1" s="322">
      <c r="A553" s="27" t="n"/>
      <c r="B553" s="506" t="n"/>
      <c r="C553" s="141" t="n"/>
      <c r="D553" s="141" t="n"/>
      <c r="E553" s="141" t="n"/>
      <c r="F553" s="141" t="n"/>
      <c r="G553" s="143" t="n"/>
      <c r="H553" s="27" t="n"/>
    </row>
    <row r="554" ht="17.25" customHeight="1" s="322">
      <c r="A554" s="27" t="n"/>
      <c r="B554" s="506" t="n"/>
      <c r="C554" s="141" t="n"/>
      <c r="D554" s="141" t="n"/>
      <c r="E554" s="141" t="n"/>
      <c r="F554" s="141" t="n"/>
      <c r="G554" s="143" t="n"/>
      <c r="H554" s="27" t="n"/>
    </row>
    <row r="555" ht="17.25" customHeight="1" s="322">
      <c r="A555" s="27" t="n"/>
      <c r="B555" s="506" t="n"/>
      <c r="C555" s="141" t="n"/>
      <c r="D555" s="141" t="n"/>
      <c r="E555" s="141" t="n"/>
      <c r="F555" s="141" t="n"/>
      <c r="G555" s="143" t="n"/>
      <c r="H555" s="27" t="n"/>
    </row>
    <row r="556" ht="17.25" customHeight="1" s="322">
      <c r="A556" s="27" t="n"/>
      <c r="B556" s="506" t="n"/>
      <c r="C556" s="141" t="n"/>
      <c r="D556" s="141" t="n"/>
      <c r="E556" s="141" t="n"/>
      <c r="F556" s="141" t="n"/>
      <c r="G556" s="143" t="n"/>
      <c r="H556" s="27" t="n"/>
    </row>
    <row r="557" ht="17.25" customHeight="1" s="322">
      <c r="A557" s="27" t="n"/>
      <c r="B557" s="506" t="n"/>
      <c r="C557" s="141" t="n"/>
      <c r="D557" s="141" t="n"/>
      <c r="E557" s="141" t="n"/>
      <c r="F557" s="141" t="n"/>
      <c r="G557" s="143" t="n"/>
      <c r="H557" s="27" t="n"/>
    </row>
    <row r="558" ht="17.25" customHeight="1" s="322">
      <c r="A558" s="27" t="n"/>
      <c r="B558" s="506" t="n"/>
      <c r="C558" s="141" t="n"/>
      <c r="D558" s="141" t="n"/>
      <c r="E558" s="141" t="n"/>
      <c r="F558" s="141" t="n"/>
      <c r="G558" s="143" t="n"/>
      <c r="H558" s="27" t="n"/>
    </row>
    <row r="559" ht="17.25" customHeight="1" s="322">
      <c r="A559" s="27" t="n"/>
      <c r="B559" s="506" t="n"/>
      <c r="C559" s="141" t="n"/>
      <c r="D559" s="141" t="n"/>
      <c r="E559" s="141" t="n"/>
      <c r="F559" s="141" t="n"/>
      <c r="G559" s="143" t="n"/>
      <c r="H559" s="27" t="n"/>
    </row>
    <row r="560" ht="17.25" customHeight="1" s="322">
      <c r="A560" s="27" t="n"/>
      <c r="B560" s="506" t="n"/>
      <c r="C560" s="141" t="n"/>
      <c r="D560" s="141" t="n"/>
      <c r="E560" s="141" t="n"/>
      <c r="F560" s="141" t="n"/>
      <c r="G560" s="143" t="n"/>
      <c r="H560" s="27" t="n"/>
    </row>
    <row r="561" ht="17.25" customHeight="1" s="322">
      <c r="A561" s="27" t="n"/>
      <c r="B561" s="506" t="n"/>
      <c r="C561" s="141" t="n"/>
      <c r="D561" s="141" t="n"/>
      <c r="E561" s="141" t="n"/>
      <c r="F561" s="141" t="n"/>
      <c r="G561" s="143" t="n"/>
      <c r="H561" s="27" t="n"/>
    </row>
    <row r="562" ht="17.25" customHeight="1" s="322">
      <c r="A562" s="27" t="n"/>
      <c r="B562" s="506" t="n"/>
      <c r="C562" s="141" t="n"/>
      <c r="D562" s="141" t="n"/>
      <c r="E562" s="141" t="n"/>
      <c r="F562" s="141" t="n"/>
      <c r="G562" s="143" t="n"/>
      <c r="H562" s="27" t="n"/>
    </row>
    <row r="563" ht="17.25" customHeight="1" s="322">
      <c r="A563" s="27" t="n"/>
      <c r="B563" s="506" t="n"/>
      <c r="C563" s="141" t="n"/>
      <c r="D563" s="141" t="n"/>
      <c r="E563" s="141" t="n"/>
      <c r="F563" s="141" t="n"/>
      <c r="G563" s="143" t="n"/>
      <c r="H563" s="27" t="n"/>
    </row>
    <row r="564" ht="17.25" customHeight="1" s="322">
      <c r="A564" s="27" t="n"/>
      <c r="B564" s="506" t="n"/>
      <c r="C564" s="141" t="n"/>
      <c r="D564" s="141" t="n"/>
      <c r="E564" s="141" t="n"/>
      <c r="F564" s="141" t="n"/>
      <c r="G564" s="143" t="n"/>
      <c r="H564" s="27" t="n"/>
    </row>
    <row r="565" ht="17.25" customHeight="1" s="322">
      <c r="A565" s="27" t="n"/>
      <c r="B565" s="506" t="n"/>
      <c r="C565" s="141" t="n"/>
      <c r="D565" s="141" t="n"/>
      <c r="E565" s="141" t="n"/>
      <c r="F565" s="141" t="n"/>
      <c r="G565" s="143" t="n"/>
      <c r="H565" s="27" t="n"/>
    </row>
    <row r="566" ht="17.25" customHeight="1" s="322">
      <c r="A566" s="27" t="n"/>
      <c r="B566" s="506" t="n"/>
      <c r="C566" s="141" t="n"/>
      <c r="D566" s="141" t="n"/>
      <c r="E566" s="141" t="n"/>
      <c r="F566" s="141" t="n"/>
      <c r="G566" s="143" t="n"/>
      <c r="H566" s="27" t="n"/>
    </row>
    <row r="567" ht="17.25" customHeight="1" s="322">
      <c r="A567" s="27" t="n"/>
      <c r="B567" s="506" t="n"/>
      <c r="C567" s="141" t="n"/>
      <c r="D567" s="141" t="n"/>
      <c r="E567" s="141" t="n"/>
      <c r="F567" s="141" t="n"/>
      <c r="G567" s="143" t="n"/>
      <c r="H567" s="27" t="n"/>
    </row>
    <row r="568" ht="17.25" customHeight="1" s="322">
      <c r="A568" s="27" t="n"/>
      <c r="B568" s="506" t="n"/>
      <c r="C568" s="141" t="n"/>
      <c r="D568" s="141" t="n"/>
      <c r="E568" s="141" t="n"/>
      <c r="F568" s="141" t="n"/>
      <c r="G568" s="143" t="n"/>
      <c r="H568" s="27" t="n"/>
    </row>
    <row r="569" ht="17.25" customHeight="1" s="322">
      <c r="A569" s="27" t="n"/>
      <c r="B569" s="506" t="n"/>
      <c r="C569" s="141" t="n"/>
      <c r="D569" s="141" t="n"/>
      <c r="E569" s="141" t="n"/>
      <c r="F569" s="141" t="n"/>
      <c r="G569" s="143" t="n"/>
      <c r="H569" s="27" t="n"/>
    </row>
    <row r="570" ht="17.25" customHeight="1" s="322">
      <c r="A570" s="27" t="n"/>
      <c r="B570" s="506" t="n"/>
      <c r="C570" s="141" t="n"/>
      <c r="D570" s="141" t="n"/>
      <c r="E570" s="141" t="n"/>
      <c r="F570" s="141" t="n"/>
      <c r="G570" s="143" t="n"/>
      <c r="H570" s="27" t="n"/>
    </row>
    <row r="571" ht="17.25" customHeight="1" s="322">
      <c r="A571" s="27" t="n"/>
      <c r="B571" s="506" t="n"/>
      <c r="C571" s="141" t="n"/>
      <c r="D571" s="141" t="n"/>
      <c r="E571" s="141" t="n"/>
      <c r="F571" s="141" t="n"/>
      <c r="G571" s="143" t="n"/>
      <c r="H571" s="27" t="n"/>
    </row>
    <row r="572" ht="17.25" customHeight="1" s="322">
      <c r="A572" s="27" t="n"/>
      <c r="B572" s="506" t="n"/>
      <c r="C572" s="141" t="n"/>
      <c r="D572" s="141" t="n"/>
      <c r="E572" s="141" t="n"/>
      <c r="F572" s="141" t="n"/>
      <c r="G572" s="143" t="n"/>
      <c r="H572" s="27" t="n"/>
    </row>
    <row r="573" ht="17.25" customHeight="1" s="322">
      <c r="A573" s="27" t="n"/>
      <c r="B573" s="506" t="n"/>
      <c r="C573" s="141" t="n"/>
      <c r="D573" s="141" t="n"/>
      <c r="E573" s="141" t="n"/>
      <c r="F573" s="141" t="n"/>
      <c r="G573" s="143" t="n"/>
      <c r="H573" s="27" t="n"/>
    </row>
    <row r="574" ht="17.25" customHeight="1" s="322">
      <c r="A574" s="27" t="n"/>
      <c r="B574" s="506" t="n"/>
      <c r="C574" s="141" t="n"/>
      <c r="D574" s="141" t="n"/>
      <c r="E574" s="141" t="n"/>
      <c r="F574" s="141" t="n"/>
      <c r="G574" s="143" t="n"/>
      <c r="H574" s="27" t="n"/>
    </row>
    <row r="575" ht="17.25" customHeight="1" s="322">
      <c r="A575" s="27" t="n"/>
      <c r="B575" s="506" t="n"/>
      <c r="C575" s="141" t="n"/>
      <c r="D575" s="141" t="n"/>
      <c r="E575" s="141" t="n"/>
      <c r="F575" s="141" t="n"/>
      <c r="G575" s="143" t="n"/>
      <c r="H575" s="27" t="n"/>
    </row>
    <row r="576" ht="17.25" customHeight="1" s="322">
      <c r="A576" s="27" t="n"/>
      <c r="B576" s="506" t="n"/>
      <c r="C576" s="141" t="n"/>
      <c r="D576" s="141" t="n"/>
      <c r="E576" s="141" t="n"/>
      <c r="F576" s="141" t="n"/>
      <c r="G576" s="143" t="n"/>
      <c r="H576" s="27" t="n"/>
    </row>
    <row r="577" ht="17.25" customHeight="1" s="322">
      <c r="A577" s="27" t="n"/>
      <c r="B577" s="506" t="n"/>
      <c r="C577" s="141" t="n"/>
      <c r="D577" s="141" t="n"/>
      <c r="E577" s="141" t="n"/>
      <c r="F577" s="141" t="n"/>
      <c r="G577" s="143" t="n"/>
      <c r="H577" s="27" t="n"/>
    </row>
    <row r="578" ht="17.25" customHeight="1" s="322">
      <c r="A578" s="27" t="n"/>
      <c r="B578" s="506" t="n"/>
      <c r="C578" s="141" t="n"/>
      <c r="D578" s="141" t="n"/>
      <c r="E578" s="141" t="n"/>
      <c r="F578" s="141" t="n"/>
      <c r="G578" s="143" t="n"/>
      <c r="H578" s="27" t="n"/>
    </row>
    <row r="579" ht="17.25" customHeight="1" s="322">
      <c r="A579" s="27" t="n"/>
      <c r="B579" s="506" t="n"/>
      <c r="C579" s="141" t="n"/>
      <c r="D579" s="141" t="n"/>
      <c r="E579" s="141" t="n"/>
      <c r="F579" s="141" t="n"/>
      <c r="G579" s="143" t="n"/>
      <c r="H579" s="27" t="n"/>
    </row>
    <row r="580" ht="17.25" customHeight="1" s="322">
      <c r="A580" s="27" t="n"/>
      <c r="B580" s="506" t="n"/>
      <c r="C580" s="141" t="n"/>
      <c r="D580" s="141" t="n"/>
      <c r="E580" s="141" t="n"/>
      <c r="F580" s="141" t="n"/>
      <c r="G580" s="143" t="n"/>
      <c r="H580" s="27" t="n"/>
    </row>
    <row r="581" ht="17.25" customHeight="1" s="322">
      <c r="A581" s="27" t="n"/>
      <c r="B581" s="506" t="n"/>
      <c r="C581" s="141" t="n"/>
      <c r="D581" s="141" t="n"/>
      <c r="E581" s="141" t="n"/>
      <c r="F581" s="141" t="n"/>
      <c r="G581" s="143" t="n"/>
      <c r="H581" s="27" t="n"/>
    </row>
    <row r="582" ht="17.25" customHeight="1" s="322">
      <c r="A582" s="27" t="n"/>
      <c r="B582" s="506" t="n"/>
      <c r="C582" s="141" t="n"/>
      <c r="D582" s="141" t="n"/>
      <c r="E582" s="141" t="n"/>
      <c r="F582" s="141" t="n"/>
      <c r="G582" s="143" t="n"/>
      <c r="H582" s="27" t="n"/>
    </row>
    <row r="583" ht="17.25" customHeight="1" s="322">
      <c r="A583" s="27" t="n"/>
      <c r="B583" s="506" t="n"/>
      <c r="C583" s="141" t="n"/>
      <c r="D583" s="141" t="n"/>
      <c r="E583" s="141" t="n"/>
      <c r="F583" s="141" t="n"/>
      <c r="G583" s="143" t="n"/>
      <c r="H583" s="27" t="n"/>
    </row>
    <row r="584" ht="17.25" customHeight="1" s="322">
      <c r="A584" s="27" t="n"/>
      <c r="B584" s="506" t="n"/>
      <c r="C584" s="141" t="n"/>
      <c r="D584" s="141" t="n"/>
      <c r="E584" s="141" t="n"/>
      <c r="F584" s="141" t="n"/>
      <c r="G584" s="143" t="n"/>
      <c r="H584" s="27" t="n"/>
    </row>
    <row r="585" ht="17.25" customHeight="1" s="322">
      <c r="A585" s="27" t="n"/>
      <c r="B585" s="506" t="n"/>
      <c r="C585" s="141" t="n"/>
      <c r="D585" s="141" t="n"/>
      <c r="E585" s="141" t="n"/>
      <c r="F585" s="141" t="n"/>
      <c r="G585" s="143" t="n"/>
      <c r="H585" s="27" t="n"/>
    </row>
    <row r="586" ht="17.25" customHeight="1" s="322">
      <c r="A586" s="27" t="n"/>
      <c r="B586" s="506" t="n"/>
      <c r="C586" s="141" t="n"/>
      <c r="D586" s="141" t="n"/>
      <c r="E586" s="141" t="n"/>
      <c r="F586" s="141" t="n"/>
      <c r="G586" s="143" t="n"/>
      <c r="H586" s="27" t="n"/>
    </row>
    <row r="587" ht="17.25" customHeight="1" s="322">
      <c r="A587" s="27" t="n"/>
      <c r="B587" s="506" t="n"/>
      <c r="C587" s="141" t="n"/>
      <c r="D587" s="141" t="n"/>
      <c r="E587" s="141" t="n"/>
      <c r="F587" s="141" t="n"/>
      <c r="G587" s="143" t="n"/>
      <c r="H587" s="27" t="n"/>
    </row>
    <row r="588" ht="17.25" customHeight="1" s="322">
      <c r="A588" s="27" t="n"/>
      <c r="B588" s="506" t="n"/>
      <c r="C588" s="141" t="n"/>
      <c r="D588" s="141" t="n"/>
      <c r="E588" s="141" t="n"/>
      <c r="F588" s="141" t="n"/>
      <c r="G588" s="143" t="n"/>
      <c r="H588" s="27" t="n"/>
    </row>
    <row r="589" ht="17.25" customHeight="1" s="322">
      <c r="A589" s="27" t="n"/>
      <c r="B589" s="506" t="n"/>
      <c r="C589" s="141" t="n"/>
      <c r="D589" s="141" t="n"/>
      <c r="E589" s="141" t="n"/>
      <c r="F589" s="141" t="n"/>
      <c r="G589" s="143" t="n"/>
      <c r="H589" s="27" t="n"/>
    </row>
    <row r="590" ht="17.25" customHeight="1" s="322">
      <c r="A590" s="27" t="n"/>
      <c r="B590" s="506" t="n"/>
      <c r="C590" s="141" t="n"/>
      <c r="D590" s="141" t="n"/>
      <c r="E590" s="141" t="n"/>
      <c r="F590" s="141" t="n"/>
      <c r="G590" s="143" t="n"/>
      <c r="H590" s="27" t="n"/>
    </row>
    <row r="591" ht="17.25" customHeight="1" s="322">
      <c r="A591" s="27" t="n"/>
      <c r="B591" s="506" t="n"/>
      <c r="C591" s="141" t="n"/>
      <c r="D591" s="141" t="n"/>
      <c r="E591" s="141" t="n"/>
      <c r="F591" s="141" t="n"/>
      <c r="G591" s="143" t="n"/>
      <c r="H591" s="27" t="n"/>
    </row>
    <row r="592" ht="17.25" customHeight="1" s="322">
      <c r="A592" s="27" t="n"/>
      <c r="B592" s="506" t="n"/>
      <c r="C592" s="141" t="n"/>
      <c r="D592" s="141" t="n"/>
      <c r="E592" s="141" t="n"/>
      <c r="F592" s="141" t="n"/>
      <c r="G592" s="143" t="n"/>
      <c r="H592" s="27" t="n"/>
    </row>
    <row r="593" ht="17.25" customHeight="1" s="322">
      <c r="A593" s="27" t="n"/>
      <c r="B593" s="506" t="n"/>
      <c r="C593" s="141" t="n"/>
      <c r="D593" s="141" t="n"/>
      <c r="E593" s="141" t="n"/>
      <c r="F593" s="141" t="n"/>
      <c r="G593" s="143" t="n"/>
      <c r="H593" s="27" t="n"/>
    </row>
    <row r="594" ht="17.25" customHeight="1" s="322">
      <c r="A594" s="27" t="n"/>
      <c r="B594" s="506" t="n"/>
      <c r="C594" s="141" t="n"/>
      <c r="D594" s="141" t="n"/>
      <c r="E594" s="141" t="n"/>
      <c r="F594" s="141" t="n"/>
      <c r="G594" s="143" t="n"/>
      <c r="H594" s="27" t="n"/>
    </row>
    <row r="595" ht="17.25" customHeight="1" s="322">
      <c r="A595" s="27" t="n"/>
      <c r="B595" s="506" t="n"/>
      <c r="C595" s="141" t="n"/>
      <c r="D595" s="141" t="n"/>
      <c r="E595" s="141" t="n"/>
      <c r="F595" s="141" t="n"/>
      <c r="G595" s="143" t="n"/>
      <c r="H595" s="27" t="n"/>
    </row>
    <row r="596" ht="17.25" customHeight="1" s="322">
      <c r="A596" s="27" t="n"/>
      <c r="B596" s="506" t="n"/>
      <c r="C596" s="141" t="n"/>
      <c r="D596" s="141" t="n"/>
      <c r="E596" s="141" t="n"/>
      <c r="F596" s="141" t="n"/>
      <c r="G596" s="143" t="n"/>
      <c r="H596" s="27" t="n"/>
    </row>
    <row r="597" ht="17.25" customHeight="1" s="322">
      <c r="A597" s="27" t="n"/>
      <c r="B597" s="506" t="n"/>
      <c r="C597" s="141" t="n"/>
      <c r="D597" s="141" t="n"/>
      <c r="E597" s="141" t="n"/>
      <c r="F597" s="141" t="n"/>
      <c r="G597" s="143" t="n"/>
      <c r="H597" s="27" t="n"/>
    </row>
    <row r="598" ht="17.25" customHeight="1" s="322">
      <c r="A598" s="27" t="n"/>
      <c r="B598" s="506" t="n"/>
      <c r="C598" s="141" t="n"/>
      <c r="D598" s="141" t="n"/>
      <c r="E598" s="141" t="n"/>
      <c r="F598" s="141" t="n"/>
      <c r="G598" s="143" t="n"/>
      <c r="H598" s="27" t="n"/>
    </row>
    <row r="599" ht="17.25" customHeight="1" s="322">
      <c r="A599" s="27" t="n"/>
      <c r="B599" s="506" t="n"/>
      <c r="C599" s="141" t="n"/>
      <c r="D599" s="141" t="n"/>
      <c r="E599" s="141" t="n"/>
      <c r="F599" s="141" t="n"/>
      <c r="G599" s="143" t="n"/>
      <c r="H599" s="27" t="n"/>
    </row>
    <row r="600" ht="17.25" customHeight="1" s="322">
      <c r="A600" s="27" t="n"/>
      <c r="B600" s="506" t="n"/>
      <c r="C600" s="141" t="n"/>
      <c r="D600" s="141" t="n"/>
      <c r="E600" s="141" t="n"/>
      <c r="F600" s="141" t="n"/>
      <c r="G600" s="143" t="n"/>
      <c r="H600" s="27" t="n"/>
    </row>
    <row r="601" ht="17.25" customHeight="1" s="322">
      <c r="A601" s="27" t="n"/>
      <c r="B601" s="506" t="n"/>
      <c r="C601" s="141" t="n"/>
      <c r="D601" s="141" t="n"/>
      <c r="E601" s="141" t="n"/>
      <c r="F601" s="141" t="n"/>
      <c r="G601" s="143" t="n"/>
      <c r="H601" s="27" t="n"/>
    </row>
    <row r="602" ht="17.25" customHeight="1" s="322">
      <c r="A602" s="27" t="n"/>
      <c r="B602" s="506" t="n"/>
      <c r="C602" s="141" t="n"/>
      <c r="D602" s="141" t="n"/>
      <c r="E602" s="141" t="n"/>
      <c r="F602" s="141" t="n"/>
      <c r="G602" s="143" t="n"/>
      <c r="H602" s="27" t="n"/>
    </row>
    <row r="603" ht="17.25" customHeight="1" s="322">
      <c r="A603" s="27" t="n"/>
      <c r="B603" s="506" t="n"/>
      <c r="C603" s="141" t="n"/>
      <c r="D603" s="141" t="n"/>
      <c r="E603" s="141" t="n"/>
      <c r="F603" s="141" t="n"/>
      <c r="G603" s="143" t="n"/>
      <c r="H603" s="27" t="n"/>
    </row>
    <row r="604" ht="17.25" customHeight="1" s="322">
      <c r="A604" s="27" t="n"/>
      <c r="B604" s="506" t="n"/>
      <c r="C604" s="141" t="n"/>
      <c r="D604" s="141" t="n"/>
      <c r="E604" s="141" t="n"/>
      <c r="F604" s="141" t="n"/>
      <c r="G604" s="143" t="n"/>
      <c r="H604" s="27" t="n"/>
    </row>
    <row r="605" ht="17.25" customHeight="1" s="322">
      <c r="A605" s="27" t="n"/>
      <c r="B605" s="506" t="n"/>
      <c r="C605" s="141" t="n"/>
      <c r="D605" s="141" t="n"/>
      <c r="E605" s="141" t="n"/>
      <c r="F605" s="141" t="n"/>
      <c r="G605" s="143" t="n"/>
      <c r="H605" s="27" t="n"/>
    </row>
    <row r="606" ht="17.25" customHeight="1" s="322">
      <c r="A606" s="27" t="n"/>
      <c r="B606" s="506" t="n"/>
      <c r="C606" s="141" t="n"/>
      <c r="D606" s="141" t="n"/>
      <c r="E606" s="141" t="n"/>
      <c r="F606" s="141" t="n"/>
      <c r="G606" s="143" t="n"/>
      <c r="H606" s="27" t="n"/>
    </row>
    <row r="607" ht="17.25" customHeight="1" s="322">
      <c r="A607" s="27" t="n"/>
      <c r="B607" s="506" t="n"/>
      <c r="C607" s="141" t="n"/>
      <c r="D607" s="141" t="n"/>
      <c r="E607" s="141" t="n"/>
      <c r="F607" s="141" t="n"/>
      <c r="G607" s="143" t="n"/>
      <c r="H607" s="27" t="n"/>
    </row>
    <row r="608" ht="17.25" customHeight="1" s="322">
      <c r="A608" s="27" t="n"/>
      <c r="B608" s="506" t="n"/>
      <c r="C608" s="141" t="n"/>
      <c r="D608" s="141" t="n"/>
      <c r="E608" s="141" t="n"/>
      <c r="F608" s="141" t="n"/>
      <c r="G608" s="143" t="n"/>
      <c r="H608" s="27" t="n"/>
    </row>
    <row r="609" ht="17.25" customHeight="1" s="322">
      <c r="A609" s="27" t="n"/>
      <c r="B609" s="506" t="n"/>
      <c r="C609" s="141" t="n"/>
      <c r="D609" s="141" t="n"/>
      <c r="E609" s="141" t="n"/>
      <c r="F609" s="141" t="n"/>
      <c r="G609" s="143" t="n"/>
      <c r="H609" s="27" t="n"/>
    </row>
    <row r="610" ht="17.25" customHeight="1" s="322">
      <c r="A610" s="27" t="n"/>
      <c r="B610" s="506" t="n"/>
      <c r="C610" s="141" t="n"/>
      <c r="D610" s="141" t="n"/>
      <c r="E610" s="141" t="n"/>
      <c r="F610" s="141" t="n"/>
      <c r="G610" s="143" t="n"/>
      <c r="H610" s="27" t="n"/>
    </row>
    <row r="611" ht="17.25" customHeight="1" s="322">
      <c r="A611" s="27" t="n"/>
      <c r="B611" s="506" t="n"/>
      <c r="C611" s="141" t="n"/>
      <c r="D611" s="141" t="n"/>
      <c r="E611" s="141" t="n"/>
      <c r="F611" s="141" t="n"/>
      <c r="G611" s="143" t="n"/>
      <c r="H611" s="27" t="n"/>
    </row>
    <row r="612" ht="17.25" customHeight="1" s="322">
      <c r="A612" s="27" t="n"/>
      <c r="B612" s="506" t="n"/>
      <c r="C612" s="141" t="n"/>
      <c r="D612" s="141" t="n"/>
      <c r="E612" s="141" t="n"/>
      <c r="F612" s="141" t="n"/>
      <c r="G612" s="143" t="n"/>
      <c r="H612" s="27" t="n"/>
    </row>
    <row r="613" ht="17.25" customHeight="1" s="322">
      <c r="A613" s="27" t="n"/>
      <c r="B613" s="506" t="n"/>
      <c r="C613" s="141" t="n"/>
      <c r="D613" s="141" t="n"/>
      <c r="E613" s="141" t="n"/>
      <c r="F613" s="141" t="n"/>
      <c r="G613" s="143" t="n"/>
      <c r="H613" s="27" t="n"/>
    </row>
    <row r="614" ht="17.25" customHeight="1" s="322">
      <c r="A614" s="27" t="n"/>
      <c r="B614" s="506" t="n"/>
      <c r="C614" s="141" t="n"/>
      <c r="D614" s="141" t="n"/>
      <c r="E614" s="141" t="n"/>
      <c r="F614" s="141" t="n"/>
      <c r="G614" s="143" t="n"/>
      <c r="H614" s="27" t="n"/>
    </row>
    <row r="615" ht="17.25" customHeight="1" s="322">
      <c r="A615" s="27" t="n"/>
      <c r="B615" s="506" t="n"/>
      <c r="C615" s="141" t="n"/>
      <c r="D615" s="141" t="n"/>
      <c r="E615" s="141" t="n"/>
      <c r="F615" s="141" t="n"/>
      <c r="G615" s="143" t="n"/>
      <c r="H615" s="27" t="n"/>
    </row>
    <row r="616" ht="17.25" customHeight="1" s="322">
      <c r="A616" s="27" t="n"/>
      <c r="B616" s="506" t="n"/>
      <c r="C616" s="141" t="n"/>
      <c r="D616" s="141" t="n"/>
      <c r="E616" s="141" t="n"/>
      <c r="F616" s="141" t="n"/>
      <c r="G616" s="143" t="n"/>
      <c r="H616" s="27" t="n"/>
    </row>
    <row r="617" ht="17.25" customHeight="1" s="322">
      <c r="A617" s="27" t="n"/>
      <c r="B617" s="506" t="n"/>
      <c r="C617" s="141" t="n"/>
      <c r="D617" s="141" t="n"/>
      <c r="E617" s="141" t="n"/>
      <c r="F617" s="141" t="n"/>
      <c r="G617" s="143" t="n"/>
      <c r="H617" s="27" t="n"/>
    </row>
    <row r="618" ht="17.25" customHeight="1" s="322">
      <c r="A618" s="27" t="n"/>
      <c r="B618" s="506" t="n"/>
      <c r="C618" s="141" t="n"/>
      <c r="D618" s="141" t="n"/>
      <c r="E618" s="141" t="n"/>
      <c r="F618" s="141" t="n"/>
      <c r="G618" s="143" t="n"/>
      <c r="H618" s="27" t="n"/>
    </row>
    <row r="619" ht="17.25" customHeight="1" s="322">
      <c r="A619" s="27" t="n"/>
      <c r="B619" s="506" t="n"/>
      <c r="C619" s="141" t="n"/>
      <c r="D619" s="141" t="n"/>
      <c r="E619" s="141" t="n"/>
      <c r="F619" s="141" t="n"/>
      <c r="G619" s="143" t="n"/>
      <c r="H619" s="27" t="n"/>
    </row>
    <row r="620" ht="17.25" customHeight="1" s="322">
      <c r="A620" s="27" t="n"/>
      <c r="B620" s="506" t="n"/>
      <c r="C620" s="141" t="n"/>
      <c r="D620" s="141" t="n"/>
      <c r="E620" s="141" t="n"/>
      <c r="F620" s="141" t="n"/>
      <c r="G620" s="143" t="n"/>
      <c r="H620" s="27" t="n"/>
    </row>
    <row r="621" ht="17.25" customHeight="1" s="322">
      <c r="A621" s="27" t="n"/>
      <c r="B621" s="506" t="n"/>
      <c r="C621" s="141" t="n"/>
      <c r="D621" s="141" t="n"/>
      <c r="E621" s="141" t="n"/>
      <c r="F621" s="141" t="n"/>
      <c r="G621" s="143" t="n"/>
      <c r="H621" s="27" t="n"/>
    </row>
    <row r="622" ht="17.25" customHeight="1" s="322">
      <c r="A622" s="27" t="n"/>
      <c r="B622" s="506" t="n"/>
      <c r="C622" s="141" t="n"/>
      <c r="D622" s="141" t="n"/>
      <c r="E622" s="141" t="n"/>
      <c r="F622" s="141" t="n"/>
      <c r="G622" s="143" t="n"/>
      <c r="H622" s="27" t="n"/>
    </row>
    <row r="623" ht="17.25" customHeight="1" s="322">
      <c r="A623" s="27" t="n"/>
      <c r="B623" s="506" t="n"/>
      <c r="C623" s="141" t="n"/>
      <c r="D623" s="141" t="n"/>
      <c r="E623" s="141" t="n"/>
      <c r="F623" s="141" t="n"/>
      <c r="G623" s="143" t="n"/>
      <c r="H623" s="27" t="n"/>
    </row>
    <row r="624" ht="17.25" customHeight="1" s="322">
      <c r="A624" s="27" t="n"/>
      <c r="B624" s="506" t="n"/>
      <c r="C624" s="141" t="n"/>
      <c r="D624" s="141" t="n"/>
      <c r="E624" s="141" t="n"/>
      <c r="F624" s="141" t="n"/>
      <c r="G624" s="143" t="n"/>
      <c r="H624" s="27" t="n"/>
    </row>
    <row r="625" ht="17.25" customHeight="1" s="322">
      <c r="A625" s="27" t="n"/>
      <c r="B625" s="506" t="n"/>
      <c r="C625" s="141" t="n"/>
      <c r="D625" s="141" t="n"/>
      <c r="E625" s="141" t="n"/>
      <c r="F625" s="141" t="n"/>
      <c r="G625" s="143" t="n"/>
      <c r="H625" s="27" t="n"/>
    </row>
    <row r="626" ht="17.25" customHeight="1" s="322">
      <c r="A626" s="27" t="n"/>
      <c r="B626" s="506" t="n"/>
      <c r="C626" s="141" t="n"/>
      <c r="D626" s="141" t="n"/>
      <c r="E626" s="141" t="n"/>
      <c r="F626" s="141" t="n"/>
      <c r="G626" s="143" t="n"/>
      <c r="H626" s="27" t="n"/>
    </row>
    <row r="627" ht="17.25" customHeight="1" s="322">
      <c r="A627" s="27" t="n"/>
      <c r="B627" s="506" t="n"/>
      <c r="C627" s="141" t="n"/>
      <c r="D627" s="141" t="n"/>
      <c r="E627" s="141" t="n"/>
      <c r="F627" s="141" t="n"/>
      <c r="G627" s="143" t="n"/>
      <c r="H627" s="27" t="n"/>
    </row>
    <row r="628" ht="17.25" customHeight="1" s="322">
      <c r="A628" s="27" t="n"/>
      <c r="B628" s="506" t="n"/>
      <c r="C628" s="141" t="n"/>
      <c r="D628" s="141" t="n"/>
      <c r="E628" s="141" t="n"/>
      <c r="F628" s="141" t="n"/>
      <c r="G628" s="143" t="n"/>
      <c r="H628" s="27" t="n"/>
    </row>
    <row r="629" ht="17.25" customHeight="1" s="322">
      <c r="A629" s="27" t="n"/>
      <c r="B629" s="506" t="n"/>
      <c r="C629" s="141" t="n"/>
      <c r="D629" s="141" t="n"/>
      <c r="E629" s="141" t="n"/>
      <c r="F629" s="141" t="n"/>
      <c r="G629" s="143" t="n"/>
      <c r="H629" s="27" t="n"/>
    </row>
    <row r="630" ht="17.25" customHeight="1" s="322">
      <c r="A630" s="27" t="n"/>
      <c r="B630" s="506" t="n"/>
      <c r="C630" s="141" t="n"/>
      <c r="D630" s="141" t="n"/>
      <c r="E630" s="141" t="n"/>
      <c r="F630" s="141" t="n"/>
      <c r="G630" s="143" t="n"/>
      <c r="H630" s="27" t="n"/>
    </row>
    <row r="631" ht="17.25" customHeight="1" s="322">
      <c r="A631" s="27" t="n"/>
      <c r="B631" s="506" t="n"/>
      <c r="C631" s="141" t="n"/>
      <c r="D631" s="141" t="n"/>
      <c r="E631" s="141" t="n"/>
      <c r="F631" s="141" t="n"/>
      <c r="G631" s="143" t="n"/>
      <c r="H631" s="27" t="n"/>
    </row>
    <row r="632" ht="17.25" customHeight="1" s="322">
      <c r="A632" s="27" t="n"/>
      <c r="B632" s="506" t="n"/>
      <c r="C632" s="141" t="n"/>
      <c r="D632" s="141" t="n"/>
      <c r="E632" s="141" t="n"/>
      <c r="F632" s="141" t="n"/>
      <c r="G632" s="143" t="n"/>
      <c r="H632" s="27" t="n"/>
    </row>
    <row r="633" ht="17.25" customHeight="1" s="322">
      <c r="A633" s="27" t="n"/>
      <c r="B633" s="506" t="n"/>
      <c r="C633" s="141" t="n"/>
      <c r="D633" s="141" t="n"/>
      <c r="E633" s="141" t="n"/>
      <c r="F633" s="141" t="n"/>
      <c r="G633" s="143" t="n"/>
      <c r="H633" s="27" t="n"/>
    </row>
    <row r="634" ht="17.25" customHeight="1" s="322">
      <c r="A634" s="27" t="n"/>
      <c r="B634" s="506" t="n"/>
      <c r="C634" s="141" t="n"/>
      <c r="D634" s="141" t="n"/>
      <c r="E634" s="141" t="n"/>
      <c r="F634" s="141" t="n"/>
      <c r="G634" s="143" t="n"/>
      <c r="H634" s="27" t="n"/>
    </row>
    <row r="635" ht="17.25" customHeight="1" s="322">
      <c r="A635" s="27" t="n"/>
      <c r="B635" s="506" t="n"/>
      <c r="C635" s="141" t="n"/>
      <c r="D635" s="141" t="n"/>
      <c r="E635" s="141" t="n"/>
      <c r="F635" s="141" t="n"/>
      <c r="G635" s="143" t="n"/>
      <c r="H635" s="27" t="n"/>
    </row>
    <row r="636" ht="17.25" customHeight="1" s="322">
      <c r="A636" s="27" t="n"/>
      <c r="B636" s="506" t="n"/>
      <c r="C636" s="141" t="n"/>
      <c r="D636" s="141" t="n"/>
      <c r="E636" s="141" t="n"/>
      <c r="F636" s="141" t="n"/>
      <c r="G636" s="143" t="n"/>
      <c r="H636" s="27" t="n"/>
    </row>
    <row r="637" ht="17.25" customHeight="1" s="322">
      <c r="A637" s="27" t="n"/>
      <c r="B637" s="506" t="n"/>
      <c r="C637" s="141" t="n"/>
      <c r="D637" s="141" t="n"/>
      <c r="E637" s="141" t="n"/>
      <c r="F637" s="141" t="n"/>
      <c r="G637" s="143" t="n"/>
      <c r="H637" s="27" t="n"/>
    </row>
    <row r="638" ht="17.25" customHeight="1" s="322">
      <c r="A638" s="27" t="n"/>
      <c r="B638" s="506" t="n"/>
      <c r="C638" s="141" t="n"/>
      <c r="D638" s="141" t="n"/>
      <c r="E638" s="141" t="n"/>
      <c r="F638" s="141" t="n"/>
      <c r="G638" s="143" t="n"/>
      <c r="H638" s="27" t="n"/>
    </row>
    <row r="639" ht="17.25" customHeight="1" s="322">
      <c r="A639" s="27" t="n"/>
      <c r="B639" s="506" t="n"/>
      <c r="C639" s="141" t="n"/>
      <c r="D639" s="141" t="n"/>
      <c r="E639" s="141" t="n"/>
      <c r="F639" s="141" t="n"/>
      <c r="G639" s="143" t="n"/>
      <c r="H639" s="27" t="n"/>
    </row>
    <row r="640" ht="17.25" customHeight="1" s="322">
      <c r="A640" s="27" t="n"/>
      <c r="B640" s="506" t="n"/>
      <c r="C640" s="141" t="n"/>
      <c r="D640" s="141" t="n"/>
      <c r="E640" s="141" t="n"/>
      <c r="F640" s="141" t="n"/>
      <c r="G640" s="143" t="n"/>
      <c r="H640" s="27" t="n"/>
    </row>
    <row r="641" ht="17.25" customHeight="1" s="322">
      <c r="A641" s="27" t="n"/>
      <c r="B641" s="506" t="n"/>
      <c r="C641" s="141" t="n"/>
      <c r="D641" s="141" t="n"/>
      <c r="E641" s="141" t="n"/>
      <c r="F641" s="141" t="n"/>
      <c r="G641" s="143" t="n"/>
      <c r="H641" s="27" t="n"/>
    </row>
    <row r="642" ht="17.25" customHeight="1" s="322">
      <c r="A642" s="27" t="n"/>
      <c r="B642" s="506" t="n"/>
      <c r="C642" s="141" t="n"/>
      <c r="D642" s="141" t="n"/>
      <c r="E642" s="141" t="n"/>
      <c r="F642" s="141" t="n"/>
      <c r="G642" s="143" t="n"/>
      <c r="H642" s="27" t="n"/>
    </row>
    <row r="643" ht="17.25" customHeight="1" s="322">
      <c r="A643" s="27" t="n"/>
      <c r="B643" s="506" t="n"/>
      <c r="C643" s="141" t="n"/>
      <c r="D643" s="141" t="n"/>
      <c r="E643" s="141" t="n"/>
      <c r="F643" s="141" t="n"/>
      <c r="G643" s="143" t="n"/>
      <c r="H643" s="27" t="n"/>
    </row>
    <row r="644" ht="17.25" customHeight="1" s="322">
      <c r="A644" s="27" t="n"/>
      <c r="B644" s="506" t="n"/>
      <c r="C644" s="141" t="n"/>
      <c r="D644" s="141" t="n"/>
      <c r="E644" s="141" t="n"/>
      <c r="F644" s="141" t="n"/>
      <c r="G644" s="143" t="n"/>
      <c r="H644" s="27" t="n"/>
    </row>
    <row r="645" ht="17.25" customHeight="1" s="322">
      <c r="A645" s="27" t="n"/>
      <c r="B645" s="506" t="n"/>
      <c r="C645" s="141" t="n"/>
      <c r="D645" s="141" t="n"/>
      <c r="E645" s="141" t="n"/>
      <c r="F645" s="141" t="n"/>
      <c r="G645" s="143" t="n"/>
      <c r="H645" s="27" t="n"/>
    </row>
    <row r="646" ht="17.25" customHeight="1" s="322">
      <c r="A646" s="27" t="n"/>
      <c r="B646" s="506" t="n"/>
      <c r="C646" s="141" t="n"/>
      <c r="D646" s="141" t="n"/>
      <c r="E646" s="141" t="n"/>
      <c r="F646" s="141" t="n"/>
      <c r="G646" s="143" t="n"/>
      <c r="H646" s="27" t="n"/>
    </row>
    <row r="647" ht="17.25" customHeight="1" s="322">
      <c r="A647" s="27" t="n"/>
      <c r="B647" s="506" t="n"/>
      <c r="C647" s="141" t="n"/>
      <c r="D647" s="141" t="n"/>
      <c r="E647" s="141" t="n"/>
      <c r="F647" s="141" t="n"/>
      <c r="G647" s="143" t="n"/>
      <c r="H647" s="27" t="n"/>
    </row>
    <row r="648" ht="17.25" customHeight="1" s="322">
      <c r="A648" s="27" t="n"/>
      <c r="B648" s="506" t="n"/>
      <c r="C648" s="141" t="n"/>
      <c r="D648" s="141" t="n"/>
      <c r="E648" s="141" t="n"/>
      <c r="F648" s="141" t="n"/>
      <c r="G648" s="143" t="n"/>
      <c r="H648" s="27" t="n"/>
    </row>
    <row r="649" ht="17.25" customHeight="1" s="322">
      <c r="A649" s="27" t="n"/>
      <c r="B649" s="506" t="n"/>
      <c r="C649" s="141" t="n"/>
      <c r="D649" s="141" t="n"/>
      <c r="E649" s="141" t="n"/>
      <c r="F649" s="141" t="n"/>
      <c r="G649" s="143" t="n"/>
      <c r="H649" s="27" t="n"/>
    </row>
    <row r="650" ht="17.25" customHeight="1" s="322">
      <c r="A650" s="27" t="n"/>
      <c r="B650" s="506" t="n"/>
      <c r="C650" s="141" t="n"/>
      <c r="D650" s="141" t="n"/>
      <c r="E650" s="141" t="n"/>
      <c r="F650" s="141" t="n"/>
      <c r="G650" s="143" t="n"/>
      <c r="H650" s="27" t="n"/>
    </row>
    <row r="651" ht="17.25" customHeight="1" s="322">
      <c r="A651" s="27" t="n"/>
      <c r="B651" s="506" t="n"/>
      <c r="C651" s="141" t="n"/>
      <c r="D651" s="141" t="n"/>
      <c r="E651" s="141" t="n"/>
      <c r="F651" s="141" t="n"/>
      <c r="G651" s="143" t="n"/>
      <c r="H651" s="27" t="n"/>
    </row>
    <row r="652" ht="17.25" customHeight="1" s="322">
      <c r="A652" s="27" t="n"/>
      <c r="B652" s="506" t="n"/>
      <c r="C652" s="141" t="n"/>
      <c r="D652" s="141" t="n"/>
      <c r="E652" s="141" t="n"/>
      <c r="F652" s="141" t="n"/>
      <c r="G652" s="143" t="n"/>
      <c r="H652" s="27" t="n"/>
    </row>
    <row r="653" ht="17.25" customHeight="1" s="322">
      <c r="A653" s="27" t="n"/>
      <c r="B653" s="506" t="n"/>
      <c r="C653" s="141" t="n"/>
      <c r="D653" s="141" t="n"/>
      <c r="E653" s="141" t="n"/>
      <c r="F653" s="141" t="n"/>
      <c r="G653" s="143" t="n"/>
      <c r="H653" s="27" t="n"/>
    </row>
    <row r="654" ht="17.25" customHeight="1" s="322">
      <c r="A654" s="27" t="n"/>
      <c r="B654" s="506" t="n"/>
      <c r="C654" s="141" t="n"/>
      <c r="D654" s="141" t="n"/>
      <c r="E654" s="141" t="n"/>
      <c r="F654" s="141" t="n"/>
      <c r="G654" s="143" t="n"/>
      <c r="H654" s="27" t="n"/>
    </row>
    <row r="655" ht="17.25" customHeight="1" s="322">
      <c r="A655" s="27" t="n"/>
      <c r="B655" s="506" t="n"/>
      <c r="C655" s="141" t="n"/>
      <c r="D655" s="141" t="n"/>
      <c r="E655" s="141" t="n"/>
      <c r="F655" s="141" t="n"/>
      <c r="G655" s="143" t="n"/>
      <c r="H655" s="27" t="n"/>
    </row>
    <row r="656" ht="17.25" customHeight="1" s="322">
      <c r="A656" s="27" t="n"/>
      <c r="B656" s="506" t="n"/>
      <c r="C656" s="141" t="n"/>
      <c r="D656" s="141" t="n"/>
      <c r="E656" s="141" t="n"/>
      <c r="F656" s="141" t="n"/>
      <c r="G656" s="143" t="n"/>
      <c r="H656" s="27" t="n"/>
    </row>
    <row r="657" ht="17.25" customHeight="1" s="322">
      <c r="A657" s="27" t="n"/>
      <c r="B657" s="506" t="n"/>
      <c r="C657" s="141" t="n"/>
      <c r="D657" s="141" t="n"/>
      <c r="E657" s="141" t="n"/>
      <c r="F657" s="141" t="n"/>
      <c r="G657" s="143" t="n"/>
      <c r="H657" s="27" t="n"/>
    </row>
    <row r="658" ht="17.25" customHeight="1" s="322">
      <c r="A658" s="27" t="n"/>
      <c r="B658" s="506" t="n"/>
      <c r="C658" s="141" t="n"/>
      <c r="D658" s="141" t="n"/>
      <c r="E658" s="141" t="n"/>
      <c r="F658" s="141" t="n"/>
      <c r="G658" s="143" t="n"/>
      <c r="H658" s="27" t="n"/>
    </row>
    <row r="659" ht="17.25" customHeight="1" s="322">
      <c r="A659" s="27" t="n"/>
      <c r="B659" s="506" t="n"/>
      <c r="C659" s="141" t="n"/>
      <c r="D659" s="141" t="n"/>
      <c r="E659" s="141" t="n"/>
      <c r="F659" s="141" t="n"/>
      <c r="G659" s="143" t="n"/>
      <c r="H659" s="27" t="n"/>
    </row>
    <row r="660" ht="17.25" customHeight="1" s="322">
      <c r="A660" s="27" t="n"/>
      <c r="B660" s="506" t="n"/>
      <c r="C660" s="141" t="n"/>
      <c r="D660" s="141" t="n"/>
      <c r="E660" s="141" t="n"/>
      <c r="F660" s="141" t="n"/>
      <c r="G660" s="143" t="n"/>
      <c r="H660" s="27" t="n"/>
    </row>
    <row r="661" ht="17.25" customHeight="1" s="322">
      <c r="A661" s="27" t="n"/>
      <c r="B661" s="506" t="n"/>
      <c r="C661" s="141" t="n"/>
      <c r="D661" s="141" t="n"/>
      <c r="E661" s="141" t="n"/>
      <c r="F661" s="141" t="n"/>
      <c r="G661" s="143" t="n"/>
      <c r="H661" s="27" t="n"/>
    </row>
    <row r="662" ht="17.25" customHeight="1" s="322">
      <c r="A662" s="27" t="n"/>
      <c r="B662" s="506" t="n"/>
      <c r="C662" s="141" t="n"/>
      <c r="D662" s="141" t="n"/>
      <c r="E662" s="141" t="n"/>
      <c r="F662" s="141" t="n"/>
      <c r="G662" s="143" t="n"/>
      <c r="H662" s="27" t="n"/>
    </row>
    <row r="663" ht="17.25" customHeight="1" s="322">
      <c r="A663" s="27" t="n"/>
      <c r="B663" s="506" t="n"/>
      <c r="C663" s="141" t="n"/>
      <c r="D663" s="141" t="n"/>
      <c r="E663" s="141" t="n"/>
      <c r="F663" s="141" t="n"/>
      <c r="G663" s="143" t="n"/>
      <c r="H663" s="27" t="n"/>
    </row>
    <row r="664" ht="17.25" customHeight="1" s="322">
      <c r="A664" s="27" t="n"/>
      <c r="B664" s="506" t="n"/>
      <c r="C664" s="141" t="n"/>
      <c r="D664" s="141" t="n"/>
      <c r="E664" s="141" t="n"/>
      <c r="F664" s="141" t="n"/>
      <c r="G664" s="143" t="n"/>
      <c r="H664" s="27" t="n"/>
    </row>
    <row r="665" ht="17.25" customHeight="1" s="322">
      <c r="A665" s="27" t="n"/>
      <c r="B665" s="506" t="n"/>
      <c r="C665" s="141" t="n"/>
      <c r="D665" s="141" t="n"/>
      <c r="E665" s="141" t="n"/>
      <c r="F665" s="141" t="n"/>
      <c r="G665" s="143" t="n"/>
      <c r="H665" s="27" t="n"/>
    </row>
    <row r="666" ht="17.25" customHeight="1" s="322">
      <c r="A666" s="27" t="n"/>
      <c r="B666" s="506" t="n"/>
      <c r="C666" s="141" t="n"/>
      <c r="D666" s="141" t="n"/>
      <c r="E666" s="141" t="n"/>
      <c r="F666" s="141" t="n"/>
      <c r="G666" s="143" t="n"/>
      <c r="H666" s="27" t="n"/>
    </row>
    <row r="667" ht="17.25" customHeight="1" s="322">
      <c r="A667" s="27" t="n"/>
      <c r="B667" s="506" t="n"/>
      <c r="C667" s="141" t="n"/>
      <c r="D667" s="141" t="n"/>
      <c r="E667" s="141" t="n"/>
      <c r="F667" s="141" t="n"/>
      <c r="G667" s="143" t="n"/>
      <c r="H667" s="27" t="n"/>
    </row>
    <row r="668" ht="17.25" customHeight="1" s="322">
      <c r="A668" s="27" t="n"/>
      <c r="B668" s="506" t="n"/>
      <c r="C668" s="141" t="n"/>
      <c r="D668" s="141" t="n"/>
      <c r="E668" s="141" t="n"/>
      <c r="F668" s="141" t="n"/>
      <c r="G668" s="143" t="n"/>
      <c r="H668" s="27" t="n"/>
    </row>
    <row r="669" ht="17.25" customHeight="1" s="322">
      <c r="A669" s="27" t="n"/>
      <c r="B669" s="506" t="n"/>
      <c r="C669" s="141" t="n"/>
      <c r="D669" s="141" t="n"/>
      <c r="E669" s="141" t="n"/>
      <c r="F669" s="141" t="n"/>
      <c r="G669" s="143" t="n"/>
      <c r="H669" s="27" t="n"/>
    </row>
    <row r="670" ht="17.25" customHeight="1" s="322">
      <c r="A670" s="27" t="n"/>
      <c r="B670" s="506" t="n"/>
      <c r="C670" s="141" t="n"/>
      <c r="D670" s="141" t="n"/>
      <c r="E670" s="141" t="n"/>
      <c r="F670" s="141" t="n"/>
      <c r="G670" s="143" t="n"/>
      <c r="H670" s="27" t="n"/>
    </row>
    <row r="671" ht="17.25" customHeight="1" s="322">
      <c r="A671" s="27" t="n"/>
      <c r="B671" s="506" t="n"/>
      <c r="C671" s="141" t="n"/>
      <c r="D671" s="141" t="n"/>
      <c r="E671" s="141" t="n"/>
      <c r="F671" s="141" t="n"/>
      <c r="G671" s="143" t="n"/>
      <c r="H671" s="27" t="n"/>
    </row>
    <row r="672" ht="17.25" customHeight="1" s="322">
      <c r="A672" s="27" t="n"/>
      <c r="B672" s="506" t="n"/>
      <c r="C672" s="141" t="n"/>
      <c r="D672" s="141" t="n"/>
      <c r="E672" s="141" t="n"/>
      <c r="F672" s="141" t="n"/>
      <c r="G672" s="143" t="n"/>
      <c r="H672" s="27" t="n"/>
    </row>
    <row r="673" ht="17.25" customHeight="1" s="322">
      <c r="A673" s="27" t="n"/>
      <c r="B673" s="506" t="n"/>
      <c r="C673" s="141" t="n"/>
      <c r="D673" s="141" t="n"/>
      <c r="E673" s="141" t="n"/>
      <c r="F673" s="141" t="n"/>
      <c r="G673" s="143" t="n"/>
      <c r="H673" s="27" t="n"/>
    </row>
    <row r="674" ht="17.25" customHeight="1" s="322">
      <c r="A674" s="27" t="n"/>
      <c r="B674" s="506" t="n"/>
      <c r="C674" s="141" t="n"/>
      <c r="D674" s="141" t="n"/>
      <c r="E674" s="141" t="n"/>
      <c r="F674" s="141" t="n"/>
      <c r="G674" s="143" t="n"/>
      <c r="H674" s="27" t="n"/>
    </row>
    <row r="675" ht="17.25" customHeight="1" s="322">
      <c r="A675" s="27" t="n"/>
      <c r="B675" s="506" t="n"/>
      <c r="C675" s="141" t="n"/>
      <c r="D675" s="141" t="n"/>
      <c r="E675" s="141" t="n"/>
      <c r="F675" s="141" t="n"/>
      <c r="G675" s="143" t="n"/>
      <c r="H675" s="27" t="n"/>
    </row>
    <row r="676" ht="17.25" customHeight="1" s="322">
      <c r="A676" s="27" t="n"/>
      <c r="B676" s="506" t="n"/>
      <c r="C676" s="141" t="n"/>
      <c r="D676" s="141" t="n"/>
      <c r="E676" s="141" t="n"/>
      <c r="F676" s="141" t="n"/>
      <c r="G676" s="143" t="n"/>
      <c r="H676" s="27" t="n"/>
    </row>
    <row r="677" ht="17.25" customHeight="1" s="322">
      <c r="A677" s="27" t="n"/>
      <c r="B677" s="506" t="n"/>
      <c r="C677" s="141" t="n"/>
      <c r="D677" s="141" t="n"/>
      <c r="E677" s="141" t="n"/>
      <c r="F677" s="141" t="n"/>
      <c r="G677" s="143" t="n"/>
      <c r="H677" s="27" t="n"/>
    </row>
    <row r="678" ht="17.25" customHeight="1" s="322">
      <c r="A678" s="27" t="n"/>
      <c r="B678" s="506" t="n"/>
      <c r="C678" s="141" t="n"/>
      <c r="D678" s="141" t="n"/>
      <c r="E678" s="141" t="n"/>
      <c r="F678" s="141" t="n"/>
      <c r="G678" s="143" t="n"/>
      <c r="H678" s="27" t="n"/>
    </row>
    <row r="679" ht="17.25" customHeight="1" s="322">
      <c r="A679" s="27" t="n"/>
      <c r="B679" s="506" t="n"/>
      <c r="C679" s="141" t="n"/>
      <c r="D679" s="141" t="n"/>
      <c r="E679" s="141" t="n"/>
      <c r="F679" s="141" t="n"/>
      <c r="G679" s="143" t="n"/>
      <c r="H679" s="27" t="n"/>
    </row>
    <row r="680" ht="17.25" customHeight="1" s="322">
      <c r="A680" s="27" t="n"/>
      <c r="B680" s="506" t="n"/>
      <c r="C680" s="141" t="n"/>
      <c r="D680" s="141" t="n"/>
      <c r="E680" s="141" t="n"/>
      <c r="F680" s="141" t="n"/>
      <c r="G680" s="143" t="n"/>
      <c r="H680" s="27" t="n"/>
    </row>
    <row r="681" ht="17.25" customHeight="1" s="322">
      <c r="A681" s="27" t="n"/>
      <c r="B681" s="506" t="n"/>
      <c r="C681" s="141" t="n"/>
      <c r="D681" s="141" t="n"/>
      <c r="E681" s="141" t="n"/>
      <c r="F681" s="141" t="n"/>
      <c r="G681" s="143" t="n"/>
      <c r="H681" s="27" t="n"/>
    </row>
    <row r="682" ht="17.25" customHeight="1" s="322">
      <c r="A682" s="27" t="n"/>
      <c r="B682" s="506" t="n"/>
      <c r="C682" s="141" t="n"/>
      <c r="D682" s="141" t="n"/>
      <c r="E682" s="141" t="n"/>
      <c r="F682" s="141" t="n"/>
      <c r="G682" s="143" t="n"/>
      <c r="H682" s="27" t="n"/>
    </row>
    <row r="683" ht="17.25" customHeight="1" s="322">
      <c r="A683" s="27" t="n"/>
      <c r="B683" s="506" t="n"/>
      <c r="C683" s="141" t="n"/>
      <c r="D683" s="141" t="n"/>
      <c r="E683" s="141" t="n"/>
      <c r="F683" s="141" t="n"/>
      <c r="G683" s="143" t="n"/>
      <c r="H683" s="27" t="n"/>
    </row>
    <row r="684" ht="17.25" customHeight="1" s="322">
      <c r="A684" s="27" t="n"/>
      <c r="B684" s="506" t="n"/>
      <c r="C684" s="141" t="n"/>
      <c r="D684" s="141" t="n"/>
      <c r="E684" s="141" t="n"/>
      <c r="F684" s="141" t="n"/>
      <c r="G684" s="143" t="n"/>
      <c r="H684" s="27" t="n"/>
    </row>
    <row r="685" ht="17.25" customHeight="1" s="322">
      <c r="A685" s="27" t="n"/>
      <c r="B685" s="506" t="n"/>
      <c r="C685" s="141" t="n"/>
      <c r="D685" s="141" t="n"/>
      <c r="E685" s="141" t="n"/>
      <c r="F685" s="141" t="n"/>
      <c r="G685" s="143" t="n"/>
      <c r="H685" s="27" t="n"/>
    </row>
    <row r="686" ht="17.25" customHeight="1" s="322">
      <c r="A686" s="27" t="n"/>
      <c r="B686" s="506" t="n"/>
      <c r="C686" s="141" t="n"/>
      <c r="D686" s="141" t="n"/>
      <c r="E686" s="141" t="n"/>
      <c r="F686" s="141" t="n"/>
      <c r="G686" s="143" t="n"/>
      <c r="H686" s="27" t="n"/>
    </row>
    <row r="687" ht="17.25" customHeight="1" s="322">
      <c r="A687" s="27" t="n"/>
      <c r="B687" s="506" t="n"/>
      <c r="C687" s="141" t="n"/>
      <c r="D687" s="141" t="n"/>
      <c r="E687" s="141" t="n"/>
      <c r="F687" s="141" t="n"/>
      <c r="G687" s="143" t="n"/>
      <c r="H687" s="27" t="n"/>
    </row>
    <row r="688" ht="17.25" customHeight="1" s="322">
      <c r="A688" s="27" t="n"/>
      <c r="B688" s="506" t="n"/>
      <c r="C688" s="141" t="n"/>
      <c r="D688" s="141" t="n"/>
      <c r="E688" s="141" t="n"/>
      <c r="F688" s="141" t="n"/>
      <c r="G688" s="143" t="n"/>
      <c r="H688" s="27" t="n"/>
    </row>
    <row r="689" ht="17.25" customHeight="1" s="322">
      <c r="A689" s="27" t="n"/>
      <c r="B689" s="506" t="n"/>
      <c r="C689" s="141" t="n"/>
      <c r="D689" s="141" t="n"/>
      <c r="E689" s="141" t="n"/>
      <c r="F689" s="141" t="n"/>
      <c r="G689" s="143" t="n"/>
      <c r="H689" s="27" t="n"/>
    </row>
    <row r="690" ht="17.25" customHeight="1" s="322">
      <c r="A690" s="27" t="n"/>
      <c r="B690" s="506" t="n"/>
      <c r="C690" s="141" t="n"/>
      <c r="D690" s="141" t="n"/>
      <c r="E690" s="141" t="n"/>
      <c r="F690" s="141" t="n"/>
      <c r="G690" s="143" t="n"/>
      <c r="H690" s="27" t="n"/>
    </row>
    <row r="691" ht="17.25" customHeight="1" s="322">
      <c r="A691" s="27" t="n"/>
      <c r="B691" s="506" t="n"/>
      <c r="C691" s="141" t="n"/>
      <c r="D691" s="141" t="n"/>
      <c r="E691" s="141" t="n"/>
      <c r="F691" s="141" t="n"/>
      <c r="G691" s="143" t="n"/>
      <c r="H691" s="27" t="n"/>
    </row>
    <row r="692" ht="17.25" customHeight="1" s="322">
      <c r="A692" s="27" t="n"/>
      <c r="B692" s="506" t="n"/>
      <c r="C692" s="141" t="n"/>
      <c r="D692" s="141" t="n"/>
      <c r="E692" s="141" t="n"/>
      <c r="F692" s="141" t="n"/>
      <c r="G692" s="143" t="n"/>
      <c r="H692" s="27" t="n"/>
    </row>
    <row r="693" ht="17.25" customHeight="1" s="322">
      <c r="A693" s="27" t="n"/>
      <c r="B693" s="506" t="n"/>
      <c r="C693" s="141" t="n"/>
      <c r="D693" s="141" t="n"/>
      <c r="E693" s="141" t="n"/>
      <c r="F693" s="141" t="n"/>
      <c r="G693" s="143" t="n"/>
      <c r="H693" s="27" t="n"/>
    </row>
    <row r="694" ht="17.25" customHeight="1" s="322">
      <c r="A694" s="27" t="n"/>
      <c r="B694" s="506" t="n"/>
      <c r="C694" s="141" t="n"/>
      <c r="D694" s="141" t="n"/>
      <c r="E694" s="141" t="n"/>
      <c r="F694" s="141" t="n"/>
      <c r="G694" s="143" t="n"/>
      <c r="H694" s="27" t="n"/>
    </row>
    <row r="695" ht="17.25" customHeight="1" s="322">
      <c r="A695" s="27" t="n"/>
      <c r="B695" s="506" t="n"/>
      <c r="C695" s="141" t="n"/>
      <c r="D695" s="141" t="n"/>
      <c r="E695" s="141" t="n"/>
      <c r="F695" s="141" t="n"/>
      <c r="G695" s="143" t="n"/>
      <c r="H695" s="27" t="n"/>
    </row>
    <row r="696" ht="17.25" customHeight="1" s="322">
      <c r="A696" s="27" t="n"/>
      <c r="B696" s="506" t="n"/>
      <c r="C696" s="141" t="n"/>
      <c r="D696" s="141" t="n"/>
      <c r="E696" s="141" t="n"/>
      <c r="F696" s="141" t="n"/>
      <c r="G696" s="143" t="n"/>
      <c r="H696" s="27" t="n"/>
    </row>
    <row r="697" ht="17.25" customHeight="1" s="322">
      <c r="A697" s="27" t="n"/>
      <c r="B697" s="506" t="n"/>
      <c r="C697" s="141" t="n"/>
      <c r="D697" s="141" t="n"/>
      <c r="E697" s="141" t="n"/>
      <c r="F697" s="141" t="n"/>
      <c r="G697" s="143" t="n"/>
      <c r="H697" s="27" t="n"/>
    </row>
    <row r="698" ht="17.25" customHeight="1" s="322">
      <c r="A698" s="27" t="n"/>
      <c r="B698" s="506" t="n"/>
      <c r="C698" s="141" t="n"/>
      <c r="D698" s="141" t="n"/>
      <c r="E698" s="141" t="n"/>
      <c r="F698" s="141" t="n"/>
      <c r="G698" s="143" t="n"/>
      <c r="H698" s="27" t="n"/>
    </row>
    <row r="699" ht="17.25" customHeight="1" s="322">
      <c r="A699" s="27" t="n"/>
      <c r="B699" s="506" t="n"/>
      <c r="C699" s="141" t="n"/>
      <c r="D699" s="141" t="n"/>
      <c r="E699" s="141" t="n"/>
      <c r="F699" s="141" t="n"/>
      <c r="G699" s="143" t="n"/>
      <c r="H699" s="27" t="n"/>
    </row>
    <row r="700" ht="17.25" customHeight="1" s="322">
      <c r="A700" s="27" t="n"/>
      <c r="B700" s="506" t="n"/>
      <c r="C700" s="141" t="n"/>
      <c r="D700" s="141" t="n"/>
      <c r="E700" s="141" t="n"/>
      <c r="F700" s="141" t="n"/>
      <c r="G700" s="143" t="n"/>
      <c r="H700" s="27" t="n"/>
    </row>
    <row r="701" ht="17.25" customHeight="1" s="322">
      <c r="A701" s="27" t="n"/>
      <c r="B701" s="506" t="n"/>
      <c r="C701" s="141" t="n"/>
      <c r="D701" s="141" t="n"/>
      <c r="E701" s="141" t="n"/>
      <c r="F701" s="141" t="n"/>
      <c r="G701" s="143" t="n"/>
      <c r="H701" s="27" t="n"/>
    </row>
    <row r="702" ht="17.25" customHeight="1" s="322">
      <c r="A702" s="27" t="n"/>
      <c r="B702" s="506" t="n"/>
      <c r="C702" s="141" t="n"/>
      <c r="D702" s="141" t="n"/>
      <c r="E702" s="141" t="n"/>
      <c r="F702" s="141" t="n"/>
      <c r="G702" s="143" t="n"/>
      <c r="H702" s="27" t="n"/>
    </row>
    <row r="703" ht="17.25" customHeight="1" s="322">
      <c r="A703" s="27" t="n"/>
      <c r="B703" s="506" t="n"/>
      <c r="C703" s="141" t="n"/>
      <c r="D703" s="141" t="n"/>
      <c r="E703" s="141" t="n"/>
      <c r="F703" s="141" t="n"/>
      <c r="G703" s="143" t="n"/>
      <c r="H703" s="27" t="n"/>
    </row>
    <row r="704" ht="17.25" customHeight="1" s="322">
      <c r="A704" s="27" t="n"/>
      <c r="B704" s="506" t="n"/>
      <c r="C704" s="141" t="n"/>
      <c r="D704" s="141" t="n"/>
      <c r="E704" s="141" t="n"/>
      <c r="F704" s="141" t="n"/>
      <c r="G704" s="143" t="n"/>
      <c r="H704" s="27" t="n"/>
    </row>
    <row r="705" ht="17.25" customHeight="1" s="322">
      <c r="A705" s="27" t="n"/>
      <c r="B705" s="506" t="n"/>
      <c r="C705" s="141" t="n"/>
      <c r="D705" s="141" t="n"/>
      <c r="E705" s="141" t="n"/>
      <c r="F705" s="141" t="n"/>
      <c r="G705" s="143" t="n"/>
      <c r="H705" s="27" t="n"/>
    </row>
    <row r="706" ht="17.25" customHeight="1" s="322">
      <c r="A706" s="27" t="n"/>
      <c r="B706" s="506" t="n"/>
      <c r="C706" s="141" t="n"/>
      <c r="D706" s="141" t="n"/>
      <c r="E706" s="141" t="n"/>
      <c r="F706" s="141" t="n"/>
      <c r="G706" s="143" t="n"/>
      <c r="H706" s="27" t="n"/>
    </row>
    <row r="707" ht="17.25" customHeight="1" s="322">
      <c r="A707" s="27" t="n"/>
      <c r="B707" s="506" t="n"/>
      <c r="C707" s="141" t="n"/>
      <c r="D707" s="141" t="n"/>
      <c r="E707" s="141" t="n"/>
      <c r="F707" s="141" t="n"/>
      <c r="G707" s="143" t="n"/>
      <c r="H707" s="27" t="n"/>
    </row>
    <row r="708" ht="17.25" customHeight="1" s="322">
      <c r="A708" s="27" t="n"/>
      <c r="B708" s="506" t="n"/>
      <c r="C708" s="141" t="n"/>
      <c r="D708" s="141" t="n"/>
      <c r="E708" s="141" t="n"/>
      <c r="F708" s="141" t="n"/>
      <c r="G708" s="143" t="n"/>
      <c r="H708" s="27" t="n"/>
    </row>
    <row r="709" ht="17.25" customHeight="1" s="322">
      <c r="A709" s="27" t="n"/>
      <c r="B709" s="506" t="n"/>
      <c r="C709" s="141" t="n"/>
      <c r="D709" s="141" t="n"/>
      <c r="E709" s="141" t="n"/>
      <c r="F709" s="141" t="n"/>
      <c r="G709" s="143" t="n"/>
      <c r="H709" s="27" t="n"/>
    </row>
    <row r="710" ht="17.25" customHeight="1" s="322">
      <c r="A710" s="27" t="n"/>
      <c r="B710" s="506" t="n"/>
      <c r="C710" s="141" t="n"/>
      <c r="D710" s="141" t="n"/>
      <c r="E710" s="141" t="n"/>
      <c r="F710" s="141" t="n"/>
      <c r="G710" s="143" t="n"/>
      <c r="H710" s="27" t="n"/>
    </row>
    <row r="711" ht="17.25" customHeight="1" s="322">
      <c r="A711" s="27" t="n"/>
      <c r="B711" s="506" t="n"/>
      <c r="C711" s="141" t="n"/>
      <c r="D711" s="141" t="n"/>
      <c r="E711" s="141" t="n"/>
      <c r="F711" s="141" t="n"/>
      <c r="G711" s="143" t="n"/>
      <c r="H711" s="27" t="n"/>
    </row>
    <row r="712" ht="17.25" customHeight="1" s="322">
      <c r="A712" s="27" t="n"/>
      <c r="B712" s="506" t="n"/>
      <c r="C712" s="141" t="n"/>
      <c r="D712" s="141" t="n"/>
      <c r="E712" s="141" t="n"/>
      <c r="F712" s="141" t="n"/>
      <c r="G712" s="143" t="n"/>
      <c r="H712" s="27" t="n"/>
    </row>
    <row r="713" ht="17.25" customHeight="1" s="322">
      <c r="A713" s="27" t="n"/>
      <c r="B713" s="506" t="n"/>
      <c r="C713" s="141" t="n"/>
      <c r="D713" s="141" t="n"/>
      <c r="E713" s="141" t="n"/>
      <c r="F713" s="141" t="n"/>
      <c r="G713" s="143" t="n"/>
      <c r="H713" s="27" t="n"/>
    </row>
    <row r="714" ht="17.25" customHeight="1" s="322">
      <c r="A714" s="27" t="n"/>
      <c r="B714" s="506" t="n"/>
      <c r="C714" s="141" t="n"/>
      <c r="D714" s="141" t="n"/>
      <c r="E714" s="141" t="n"/>
      <c r="F714" s="141" t="n"/>
      <c r="G714" s="143" t="n"/>
      <c r="H714" s="27" t="n"/>
    </row>
    <row r="715" ht="17.25" customHeight="1" s="322">
      <c r="A715" s="27" t="n"/>
      <c r="B715" s="506" t="n"/>
      <c r="C715" s="141" t="n"/>
      <c r="D715" s="141" t="n"/>
      <c r="E715" s="141" t="n"/>
      <c r="F715" s="141" t="n"/>
      <c r="G715" s="143" t="n"/>
      <c r="H715" s="27" t="n"/>
    </row>
    <row r="716" ht="17.25" customHeight="1" s="322">
      <c r="A716" s="27" t="n"/>
      <c r="B716" s="506" t="n"/>
      <c r="C716" s="141" t="n"/>
      <c r="D716" s="141" t="n"/>
      <c r="E716" s="141" t="n"/>
      <c r="F716" s="141" t="n"/>
      <c r="G716" s="143" t="n"/>
      <c r="H716" s="27" t="n"/>
    </row>
    <row r="717" ht="17.25" customHeight="1" s="322">
      <c r="A717" s="27" t="n"/>
      <c r="B717" s="506" t="n"/>
      <c r="C717" s="141" t="n"/>
      <c r="D717" s="141" t="n"/>
      <c r="E717" s="141" t="n"/>
      <c r="F717" s="141" t="n"/>
      <c r="G717" s="143" t="n"/>
      <c r="H717" s="27" t="n"/>
    </row>
    <row r="718" ht="17.25" customHeight="1" s="322">
      <c r="A718" s="27" t="n"/>
      <c r="B718" s="506" t="n"/>
      <c r="C718" s="141" t="n"/>
      <c r="D718" s="141" t="n"/>
      <c r="E718" s="141" t="n"/>
      <c r="F718" s="141" t="n"/>
      <c r="G718" s="143" t="n"/>
      <c r="H718" s="27" t="n"/>
    </row>
    <row r="719" ht="17.25" customHeight="1" s="322">
      <c r="A719" s="27" t="n"/>
      <c r="B719" s="506" t="n"/>
      <c r="C719" s="141" t="n"/>
      <c r="D719" s="141" t="n"/>
      <c r="E719" s="141" t="n"/>
      <c r="F719" s="141" t="n"/>
      <c r="G719" s="143" t="n"/>
      <c r="H719" s="27" t="n"/>
    </row>
    <row r="720" ht="17.25" customHeight="1" s="322">
      <c r="A720" s="27" t="n"/>
      <c r="B720" s="506" t="n"/>
      <c r="C720" s="141" t="n"/>
      <c r="D720" s="141" t="n"/>
      <c r="E720" s="141" t="n"/>
      <c r="F720" s="141" t="n"/>
      <c r="G720" s="143" t="n"/>
      <c r="H720" s="27" t="n"/>
    </row>
    <row r="721" ht="17.25" customHeight="1" s="322">
      <c r="A721" s="27" t="n"/>
      <c r="B721" s="506" t="n"/>
      <c r="C721" s="141" t="n"/>
      <c r="D721" s="141" t="n"/>
      <c r="E721" s="141" t="n"/>
      <c r="F721" s="141" t="n"/>
      <c r="G721" s="143" t="n"/>
      <c r="H721" s="27" t="n"/>
    </row>
    <row r="722" ht="17.25" customHeight="1" s="322">
      <c r="A722" s="27" t="n"/>
      <c r="B722" s="506" t="n"/>
      <c r="C722" s="141" t="n"/>
      <c r="D722" s="141" t="n"/>
      <c r="E722" s="141" t="n"/>
      <c r="F722" s="141" t="n"/>
      <c r="G722" s="143" t="n"/>
      <c r="H722" s="27" t="n"/>
    </row>
    <row r="723" ht="17.25" customHeight="1" s="322">
      <c r="A723" s="27" t="n"/>
      <c r="B723" s="506" t="n"/>
      <c r="C723" s="141" t="n"/>
      <c r="D723" s="141" t="n"/>
      <c r="E723" s="141" t="n"/>
      <c r="F723" s="141" t="n"/>
      <c r="G723" s="143" t="n"/>
      <c r="H723" s="27" t="n"/>
    </row>
    <row r="724" ht="17.25" customHeight="1" s="322">
      <c r="A724" s="27" t="n"/>
      <c r="B724" s="506" t="n"/>
      <c r="C724" s="141" t="n"/>
      <c r="D724" s="141" t="n"/>
      <c r="E724" s="141" t="n"/>
      <c r="F724" s="141" t="n"/>
      <c r="G724" s="143" t="n"/>
      <c r="H724" s="27" t="n"/>
    </row>
    <row r="725" ht="17.25" customHeight="1" s="322">
      <c r="A725" s="27" t="n"/>
      <c r="B725" s="506" t="n"/>
      <c r="C725" s="141" t="n"/>
      <c r="D725" s="141" t="n"/>
      <c r="E725" s="141" t="n"/>
      <c r="F725" s="141" t="n"/>
      <c r="G725" s="143" t="n"/>
      <c r="H725" s="27" t="n"/>
    </row>
    <row r="726" ht="17.25" customHeight="1" s="322">
      <c r="A726" s="27" t="n"/>
      <c r="B726" s="506" t="n"/>
      <c r="C726" s="141" t="n"/>
      <c r="D726" s="141" t="n"/>
      <c r="E726" s="141" t="n"/>
      <c r="F726" s="141" t="n"/>
      <c r="G726" s="143" t="n"/>
      <c r="H726" s="27" t="n"/>
    </row>
    <row r="727" ht="17.25" customHeight="1" s="322">
      <c r="A727" s="27" t="n"/>
      <c r="B727" s="506" t="n"/>
      <c r="C727" s="141" t="n"/>
      <c r="D727" s="141" t="n"/>
      <c r="E727" s="141" t="n"/>
      <c r="F727" s="141" t="n"/>
      <c r="G727" s="143" t="n"/>
      <c r="H727" s="27" t="n"/>
    </row>
    <row r="728" ht="17.25" customHeight="1" s="322">
      <c r="A728" s="27" t="n"/>
      <c r="B728" s="506" t="n"/>
      <c r="C728" s="141" t="n"/>
      <c r="D728" s="141" t="n"/>
      <c r="E728" s="141" t="n"/>
      <c r="F728" s="141" t="n"/>
      <c r="G728" s="143" t="n"/>
      <c r="H728" s="27" t="n"/>
    </row>
    <row r="729" ht="17.25" customHeight="1" s="322">
      <c r="A729" s="27" t="n"/>
      <c r="B729" s="506" t="n"/>
      <c r="C729" s="141" t="n"/>
      <c r="D729" s="141" t="n"/>
      <c r="E729" s="141" t="n"/>
      <c r="F729" s="141" t="n"/>
      <c r="G729" s="143" t="n"/>
      <c r="H729" s="27" t="n"/>
    </row>
    <row r="730" ht="17.25" customHeight="1" s="322">
      <c r="A730" s="27" t="n"/>
      <c r="B730" s="506" t="n"/>
      <c r="C730" s="141" t="n"/>
      <c r="D730" s="141" t="n"/>
      <c r="E730" s="141" t="n"/>
      <c r="F730" s="141" t="n"/>
      <c r="G730" s="143" t="n"/>
      <c r="H730" s="27" t="n"/>
    </row>
    <row r="731" ht="17.25" customHeight="1" s="322">
      <c r="A731" s="27" t="n"/>
      <c r="B731" s="506" t="n"/>
      <c r="C731" s="141" t="n"/>
      <c r="D731" s="141" t="n"/>
      <c r="E731" s="141" t="n"/>
      <c r="F731" s="141" t="n"/>
      <c r="G731" s="143" t="n"/>
      <c r="H731" s="27" t="n"/>
    </row>
    <row r="732" ht="17.25" customHeight="1" s="322">
      <c r="A732" s="27" t="n"/>
      <c r="B732" s="506" t="n"/>
      <c r="C732" s="141" t="n"/>
      <c r="D732" s="141" t="n"/>
      <c r="E732" s="141" t="n"/>
      <c r="F732" s="141" t="n"/>
      <c r="G732" s="143" t="n"/>
      <c r="H732" s="27" t="n"/>
    </row>
    <row r="733" ht="17.25" customHeight="1" s="322">
      <c r="A733" s="27" t="n"/>
      <c r="B733" s="506" t="n"/>
      <c r="C733" s="141" t="n"/>
      <c r="D733" s="141" t="n"/>
      <c r="E733" s="141" t="n"/>
      <c r="F733" s="141" t="n"/>
      <c r="G733" s="143" t="n"/>
      <c r="H733" s="27" t="n"/>
    </row>
    <row r="734" ht="17.25" customHeight="1" s="322">
      <c r="A734" s="27" t="n"/>
      <c r="B734" s="506" t="n"/>
      <c r="C734" s="141" t="n"/>
      <c r="D734" s="141" t="n"/>
      <c r="E734" s="141" t="n"/>
      <c r="F734" s="141" t="n"/>
      <c r="G734" s="143" t="n"/>
      <c r="H734" s="27" t="n"/>
    </row>
    <row r="735" ht="17.25" customHeight="1" s="322">
      <c r="A735" s="27" t="n"/>
      <c r="B735" s="506" t="n"/>
      <c r="C735" s="141" t="n"/>
      <c r="D735" s="141" t="n"/>
      <c r="E735" s="141" t="n"/>
      <c r="F735" s="141" t="n"/>
      <c r="G735" s="143" t="n"/>
      <c r="H735" s="27" t="n"/>
    </row>
    <row r="736" ht="17.25" customHeight="1" s="322">
      <c r="A736" s="27" t="n"/>
      <c r="B736" s="506" t="n"/>
      <c r="C736" s="141" t="n"/>
      <c r="D736" s="141" t="n"/>
      <c r="E736" s="141" t="n"/>
      <c r="F736" s="141" t="n"/>
      <c r="G736" s="143" t="n"/>
      <c r="H736" s="27" t="n"/>
    </row>
    <row r="737" ht="17.25" customHeight="1" s="322">
      <c r="A737" s="27" t="n"/>
      <c r="B737" s="506" t="n"/>
      <c r="C737" s="141" t="n"/>
      <c r="D737" s="141" t="n"/>
      <c r="E737" s="141" t="n"/>
      <c r="F737" s="141" t="n"/>
      <c r="G737" s="143" t="n"/>
      <c r="H737" s="27" t="n"/>
    </row>
    <row r="738" ht="17.25" customHeight="1" s="322">
      <c r="A738" s="27" t="n"/>
      <c r="B738" s="506" t="n"/>
      <c r="C738" s="141" t="n"/>
      <c r="D738" s="141" t="n"/>
      <c r="E738" s="141" t="n"/>
      <c r="F738" s="141" t="n"/>
      <c r="G738" s="143" t="n"/>
      <c r="H738" s="27" t="n"/>
    </row>
    <row r="739" ht="17.25" customHeight="1" s="322">
      <c r="A739" s="27" t="n"/>
      <c r="B739" s="506" t="n"/>
      <c r="C739" s="141" t="n"/>
      <c r="D739" s="141" t="n"/>
      <c r="E739" s="141" t="n"/>
      <c r="F739" s="141" t="n"/>
      <c r="G739" s="143" t="n"/>
      <c r="H739" s="27" t="n"/>
    </row>
    <row r="740" ht="17.25" customHeight="1" s="322">
      <c r="A740" s="27" t="n"/>
      <c r="B740" s="506" t="n"/>
      <c r="C740" s="141" t="n"/>
      <c r="D740" s="141" t="n"/>
      <c r="E740" s="141" t="n"/>
      <c r="F740" s="141" t="n"/>
      <c r="G740" s="143" t="n"/>
      <c r="H740" s="27" t="n"/>
    </row>
    <row r="741" ht="17.25" customHeight="1" s="322">
      <c r="A741" s="27" t="n"/>
      <c r="B741" s="506" t="n"/>
      <c r="C741" s="141" t="n"/>
      <c r="D741" s="141" t="n"/>
      <c r="E741" s="141" t="n"/>
      <c r="F741" s="141" t="n"/>
      <c r="G741" s="143" t="n"/>
      <c r="H741" s="27" t="n"/>
    </row>
    <row r="742" ht="17.25" customHeight="1" s="322">
      <c r="A742" s="27" t="n"/>
      <c r="B742" s="506" t="n"/>
      <c r="C742" s="141" t="n"/>
      <c r="D742" s="141" t="n"/>
      <c r="E742" s="141" t="n"/>
      <c r="F742" s="141" t="n"/>
      <c r="G742" s="143" t="n"/>
      <c r="H742" s="27" t="n"/>
    </row>
    <row r="743" ht="17.25" customHeight="1" s="322">
      <c r="A743" s="27" t="n"/>
      <c r="B743" s="506" t="n"/>
      <c r="C743" s="141" t="n"/>
      <c r="D743" s="141" t="n"/>
      <c r="E743" s="141" t="n"/>
      <c r="F743" s="141" t="n"/>
      <c r="G743" s="143" t="n"/>
      <c r="H743" s="27" t="n"/>
    </row>
    <row r="744" ht="17.25" customHeight="1" s="322">
      <c r="A744" s="27" t="n"/>
      <c r="B744" s="506" t="n"/>
      <c r="C744" s="141" t="n"/>
      <c r="D744" s="141" t="n"/>
      <c r="E744" s="141" t="n"/>
      <c r="F744" s="141" t="n"/>
      <c r="G744" s="143" t="n"/>
      <c r="H744" s="27" t="n"/>
    </row>
    <row r="745" ht="17.25" customHeight="1" s="322">
      <c r="A745" s="27" t="n"/>
      <c r="B745" s="506" t="n"/>
      <c r="C745" s="141" t="n"/>
      <c r="D745" s="141" t="n"/>
      <c r="E745" s="141" t="n"/>
      <c r="F745" s="141" t="n"/>
      <c r="G745" s="143" t="n"/>
      <c r="H745" s="27" t="n"/>
    </row>
    <row r="746" ht="17.25" customHeight="1" s="322">
      <c r="A746" s="27" t="n"/>
      <c r="B746" s="506" t="n"/>
      <c r="C746" s="141" t="n"/>
      <c r="D746" s="141" t="n"/>
      <c r="E746" s="141" t="n"/>
      <c r="F746" s="141" t="n"/>
      <c r="G746" s="143" t="n"/>
      <c r="H746" s="27" t="n"/>
    </row>
    <row r="747" ht="17.25" customHeight="1" s="322">
      <c r="A747" s="27" t="n"/>
      <c r="B747" s="506" t="n"/>
      <c r="C747" s="141" t="n"/>
      <c r="D747" s="141" t="n"/>
      <c r="E747" s="141" t="n"/>
      <c r="F747" s="141" t="n"/>
      <c r="G747" s="143" t="n"/>
      <c r="H747" s="27" t="n"/>
    </row>
    <row r="748" ht="17.25" customHeight="1" s="322">
      <c r="A748" s="27" t="n"/>
      <c r="B748" s="506" t="n"/>
      <c r="C748" s="141" t="n"/>
      <c r="D748" s="141" t="n"/>
      <c r="E748" s="141" t="n"/>
      <c r="F748" s="141" t="n"/>
      <c r="G748" s="143" t="n"/>
      <c r="H748" s="27" t="n"/>
    </row>
    <row r="749" ht="17.25" customHeight="1" s="322">
      <c r="A749" s="27" t="n"/>
      <c r="B749" s="506" t="n"/>
      <c r="C749" s="141" t="n"/>
      <c r="D749" s="141" t="n"/>
      <c r="E749" s="141" t="n"/>
      <c r="F749" s="141" t="n"/>
      <c r="G749" s="143" t="n"/>
      <c r="H749" s="27" t="n"/>
    </row>
    <row r="750" ht="17.25" customHeight="1" s="322">
      <c r="A750" s="27" t="n"/>
      <c r="B750" s="506" t="n"/>
      <c r="C750" s="141" t="n"/>
      <c r="D750" s="141" t="n"/>
      <c r="E750" s="141" t="n"/>
      <c r="F750" s="141" t="n"/>
      <c r="G750" s="143" t="n"/>
      <c r="H750" s="27" t="n"/>
    </row>
    <row r="751" ht="17.25" customHeight="1" s="322">
      <c r="A751" s="27" t="n"/>
      <c r="B751" s="506" t="n"/>
      <c r="C751" s="141" t="n"/>
      <c r="D751" s="141" t="n"/>
      <c r="E751" s="141" t="n"/>
      <c r="F751" s="141" t="n"/>
      <c r="G751" s="143" t="n"/>
      <c r="H751" s="27" t="n"/>
    </row>
    <row r="752" ht="17.25" customHeight="1" s="322">
      <c r="A752" s="27" t="n"/>
      <c r="B752" s="506" t="n"/>
      <c r="C752" s="141" t="n"/>
      <c r="D752" s="141" t="n"/>
      <c r="E752" s="141" t="n"/>
      <c r="F752" s="141" t="n"/>
      <c r="G752" s="143" t="n"/>
      <c r="H752" s="27" t="n"/>
    </row>
    <row r="753" ht="17.25" customHeight="1" s="322">
      <c r="A753" s="27" t="n"/>
      <c r="B753" s="506" t="n"/>
      <c r="C753" s="141" t="n"/>
      <c r="D753" s="141" t="n"/>
      <c r="E753" s="141" t="n"/>
      <c r="F753" s="141" t="n"/>
      <c r="G753" s="143" t="n"/>
      <c r="H753" s="27" t="n"/>
    </row>
    <row r="754" ht="17.25" customHeight="1" s="322">
      <c r="A754" s="27" t="n"/>
      <c r="B754" s="506" t="n"/>
      <c r="C754" s="141" t="n"/>
      <c r="D754" s="141" t="n"/>
      <c r="E754" s="141" t="n"/>
      <c r="F754" s="141" t="n"/>
      <c r="G754" s="143" t="n"/>
      <c r="H754" s="27" t="n"/>
    </row>
    <row r="755" ht="17.25" customHeight="1" s="322">
      <c r="A755" s="27" t="n"/>
      <c r="B755" s="506" t="n"/>
      <c r="C755" s="141" t="n"/>
      <c r="D755" s="141" t="n"/>
      <c r="E755" s="141" t="n"/>
      <c r="F755" s="141" t="n"/>
      <c r="G755" s="143" t="n"/>
      <c r="H755" s="27" t="n"/>
    </row>
    <row r="756" ht="17.25" customHeight="1" s="322">
      <c r="A756" s="27" t="n"/>
      <c r="B756" s="506" t="n"/>
      <c r="C756" s="141" t="n"/>
      <c r="D756" s="141" t="n"/>
      <c r="E756" s="141" t="n"/>
      <c r="F756" s="141" t="n"/>
      <c r="G756" s="143" t="n"/>
      <c r="H756" s="27" t="n"/>
    </row>
    <row r="757" ht="17.25" customHeight="1" s="322">
      <c r="A757" s="27" t="n"/>
      <c r="B757" s="506" t="n"/>
      <c r="C757" s="141" t="n"/>
      <c r="D757" s="141" t="n"/>
      <c r="E757" s="141" t="n"/>
      <c r="F757" s="141" t="n"/>
      <c r="G757" s="143" t="n"/>
      <c r="H757" s="27" t="n"/>
    </row>
    <row r="758" ht="17.25" customHeight="1" s="322">
      <c r="A758" s="27" t="n"/>
      <c r="B758" s="506" t="n"/>
      <c r="C758" s="141" t="n"/>
      <c r="D758" s="141" t="n"/>
      <c r="E758" s="141" t="n"/>
      <c r="F758" s="141" t="n"/>
      <c r="G758" s="143" t="n"/>
      <c r="H758" s="27" t="n"/>
    </row>
    <row r="759" ht="17.25" customHeight="1" s="322">
      <c r="A759" s="27" t="n"/>
      <c r="B759" s="506" t="n"/>
      <c r="C759" s="141" t="n"/>
      <c r="D759" s="141" t="n"/>
      <c r="E759" s="141" t="n"/>
      <c r="F759" s="141" t="n"/>
      <c r="G759" s="143" t="n"/>
      <c r="H759" s="27" t="n"/>
    </row>
    <row r="760" ht="17.25" customHeight="1" s="322">
      <c r="A760" s="27" t="n"/>
      <c r="B760" s="506" t="n"/>
      <c r="C760" s="141" t="n"/>
      <c r="D760" s="141" t="n"/>
      <c r="E760" s="141" t="n"/>
      <c r="F760" s="141" t="n"/>
      <c r="G760" s="143" t="n"/>
      <c r="H760" s="27" t="n"/>
    </row>
    <row r="761" ht="17.25" customHeight="1" s="322">
      <c r="A761" s="27" t="n"/>
      <c r="B761" s="506" t="n"/>
      <c r="C761" s="141" t="n"/>
      <c r="D761" s="141" t="n"/>
      <c r="E761" s="141" t="n"/>
      <c r="F761" s="141" t="n"/>
      <c r="G761" s="143" t="n"/>
      <c r="H761" s="27" t="n"/>
    </row>
    <row r="762" ht="17.25" customHeight="1" s="322">
      <c r="A762" s="27" t="n"/>
      <c r="B762" s="506" t="n"/>
      <c r="C762" s="141" t="n"/>
      <c r="D762" s="141" t="n"/>
      <c r="E762" s="141" t="n"/>
      <c r="F762" s="141" t="n"/>
      <c r="G762" s="143" t="n"/>
      <c r="H762" s="27" t="n"/>
    </row>
    <row r="763" ht="17.25" customHeight="1" s="322">
      <c r="A763" s="27" t="n"/>
      <c r="B763" s="506" t="n"/>
      <c r="C763" s="141" t="n"/>
      <c r="D763" s="141" t="n"/>
      <c r="E763" s="141" t="n"/>
      <c r="F763" s="141" t="n"/>
      <c r="G763" s="143" t="n"/>
      <c r="H763" s="27" t="n"/>
    </row>
    <row r="764" ht="17.25" customHeight="1" s="322">
      <c r="A764" s="27" t="n"/>
      <c r="B764" s="506" t="n"/>
      <c r="C764" s="141" t="n"/>
      <c r="D764" s="141" t="n"/>
      <c r="E764" s="141" t="n"/>
      <c r="F764" s="141" t="n"/>
      <c r="G764" s="143" t="n"/>
      <c r="H764" s="27" t="n"/>
    </row>
    <row r="765" ht="17.25" customHeight="1" s="322">
      <c r="A765" s="27" t="n"/>
      <c r="B765" s="506" t="n"/>
      <c r="C765" s="141" t="n"/>
      <c r="D765" s="141" t="n"/>
      <c r="E765" s="141" t="n"/>
      <c r="F765" s="141" t="n"/>
      <c r="G765" s="143" t="n"/>
      <c r="H765" s="27" t="n"/>
    </row>
    <row r="766" ht="17.25" customHeight="1" s="322">
      <c r="A766" s="27" t="n"/>
      <c r="B766" s="506" t="n"/>
      <c r="C766" s="141" t="n"/>
      <c r="D766" s="141" t="n"/>
      <c r="E766" s="141" t="n"/>
      <c r="F766" s="141" t="n"/>
      <c r="G766" s="143" t="n"/>
      <c r="H766" s="27" t="n"/>
    </row>
    <row r="767" ht="17.25" customHeight="1" s="322">
      <c r="A767" s="27" t="n"/>
      <c r="B767" s="506" t="n"/>
      <c r="C767" s="141" t="n"/>
      <c r="D767" s="141" t="n"/>
      <c r="E767" s="141" t="n"/>
      <c r="F767" s="141" t="n"/>
      <c r="G767" s="143" t="n"/>
      <c r="H767" s="27" t="n"/>
    </row>
    <row r="768" ht="17.25" customHeight="1" s="322">
      <c r="A768" s="27" t="n"/>
      <c r="B768" s="506" t="n"/>
      <c r="C768" s="141" t="n"/>
      <c r="D768" s="141" t="n"/>
      <c r="E768" s="141" t="n"/>
      <c r="F768" s="141" t="n"/>
      <c r="G768" s="143" t="n"/>
      <c r="H768" s="27" t="n"/>
    </row>
    <row r="769" ht="17.25" customHeight="1" s="322">
      <c r="A769" s="27" t="n"/>
      <c r="B769" s="506" t="n"/>
      <c r="C769" s="141" t="n"/>
      <c r="D769" s="141" t="n"/>
      <c r="E769" s="141" t="n"/>
      <c r="F769" s="141" t="n"/>
      <c r="G769" s="143" t="n"/>
      <c r="H769" s="27" t="n"/>
    </row>
    <row r="770" ht="17.25" customHeight="1" s="322">
      <c r="A770" s="27" t="n"/>
      <c r="B770" s="506" t="n"/>
      <c r="C770" s="141" t="n"/>
      <c r="D770" s="141" t="n"/>
      <c r="E770" s="141" t="n"/>
      <c r="F770" s="141" t="n"/>
      <c r="G770" s="143" t="n"/>
      <c r="H770" s="27" t="n"/>
    </row>
    <row r="771" ht="17.25" customHeight="1" s="322">
      <c r="A771" s="27" t="n"/>
      <c r="B771" s="506" t="n"/>
      <c r="C771" s="141" t="n"/>
      <c r="D771" s="141" t="n"/>
      <c r="E771" s="141" t="n"/>
      <c r="F771" s="141" t="n"/>
      <c r="G771" s="143" t="n"/>
      <c r="H771" s="27" t="n"/>
    </row>
    <row r="772" ht="17.25" customHeight="1" s="322">
      <c r="A772" s="27" t="n"/>
      <c r="B772" s="506" t="n"/>
      <c r="C772" s="141" t="n"/>
      <c r="D772" s="141" t="n"/>
      <c r="E772" s="141" t="n"/>
      <c r="F772" s="141" t="n"/>
      <c r="G772" s="143" t="n"/>
      <c r="H772" s="27" t="n"/>
    </row>
    <row r="773" ht="17.25" customHeight="1" s="322">
      <c r="A773" s="27" t="n"/>
      <c r="B773" s="506" t="n"/>
      <c r="C773" s="141" t="n"/>
      <c r="D773" s="141" t="n"/>
      <c r="E773" s="141" t="n"/>
      <c r="F773" s="141" t="n"/>
      <c r="G773" s="143" t="n"/>
      <c r="H773" s="27" t="n"/>
    </row>
    <row r="774" ht="17.25" customHeight="1" s="322">
      <c r="A774" s="27" t="n"/>
      <c r="B774" s="506" t="n"/>
      <c r="C774" s="141" t="n"/>
      <c r="D774" s="141" t="n"/>
      <c r="E774" s="141" t="n"/>
      <c r="F774" s="141" t="n"/>
      <c r="G774" s="143" t="n"/>
      <c r="H774" s="27" t="n"/>
    </row>
    <row r="775" ht="17.25" customHeight="1" s="322">
      <c r="A775" s="27" t="n"/>
      <c r="B775" s="506" t="n"/>
      <c r="C775" s="141" t="n"/>
      <c r="D775" s="141" t="n"/>
      <c r="E775" s="141" t="n"/>
      <c r="F775" s="141" t="n"/>
      <c r="G775" s="143" t="n"/>
      <c r="H775" s="27" t="n"/>
    </row>
    <row r="776" ht="17.25" customHeight="1" s="322">
      <c r="A776" s="27" t="n"/>
      <c r="B776" s="506" t="n"/>
      <c r="C776" s="141" t="n"/>
      <c r="D776" s="141" t="n"/>
      <c r="E776" s="141" t="n"/>
      <c r="F776" s="141" t="n"/>
      <c r="G776" s="143" t="n"/>
      <c r="H776" s="27" t="n"/>
    </row>
    <row r="777" ht="17.25" customHeight="1" s="322">
      <c r="A777" s="27" t="n"/>
      <c r="B777" s="506" t="n"/>
      <c r="C777" s="141" t="n"/>
      <c r="D777" s="141" t="n"/>
      <c r="E777" s="141" t="n"/>
      <c r="F777" s="141" t="n"/>
      <c r="G777" s="143" t="n"/>
      <c r="H777" s="27" t="n"/>
    </row>
    <row r="778" ht="17.25" customHeight="1" s="322">
      <c r="A778" s="27" t="n"/>
      <c r="B778" s="506" t="n"/>
      <c r="C778" s="141" t="n"/>
      <c r="D778" s="141" t="n"/>
      <c r="E778" s="141" t="n"/>
      <c r="F778" s="141" t="n"/>
      <c r="G778" s="143" t="n"/>
      <c r="H778" s="27" t="n"/>
    </row>
    <row r="779" ht="17.25" customHeight="1" s="322">
      <c r="A779" s="27" t="n"/>
      <c r="B779" s="506" t="n"/>
      <c r="C779" s="141" t="n"/>
      <c r="D779" s="141" t="n"/>
      <c r="E779" s="141" t="n"/>
      <c r="F779" s="141" t="n"/>
      <c r="G779" s="143" t="n"/>
      <c r="H779" s="27" t="n"/>
    </row>
    <row r="780" ht="17.25" customHeight="1" s="322">
      <c r="A780" s="27" t="n"/>
      <c r="B780" s="506" t="n"/>
      <c r="C780" s="141" t="n"/>
      <c r="D780" s="141" t="n"/>
      <c r="E780" s="141" t="n"/>
      <c r="F780" s="141" t="n"/>
      <c r="G780" s="143" t="n"/>
      <c r="H780" s="27" t="n"/>
    </row>
    <row r="781" ht="17.25" customHeight="1" s="322">
      <c r="A781" s="27" t="n"/>
      <c r="B781" s="506" t="n"/>
      <c r="C781" s="141" t="n"/>
      <c r="D781" s="141" t="n"/>
      <c r="E781" s="141" t="n"/>
      <c r="F781" s="141" t="n"/>
      <c r="G781" s="143" t="n"/>
      <c r="H781" s="27" t="n"/>
    </row>
    <row r="782" ht="17.25" customHeight="1" s="322">
      <c r="A782" s="27" t="n"/>
      <c r="B782" s="506" t="n"/>
      <c r="C782" s="141" t="n"/>
      <c r="D782" s="141" t="n"/>
      <c r="E782" s="141" t="n"/>
      <c r="F782" s="141" t="n"/>
      <c r="G782" s="143" t="n"/>
      <c r="H782" s="27" t="n"/>
    </row>
    <row r="783" ht="17.25" customHeight="1" s="322">
      <c r="A783" s="27" t="n"/>
      <c r="B783" s="506" t="n"/>
      <c r="C783" s="141" t="n"/>
      <c r="D783" s="141" t="n"/>
      <c r="E783" s="141" t="n"/>
      <c r="F783" s="141" t="n"/>
      <c r="G783" s="143" t="n"/>
      <c r="H783" s="27" t="n"/>
    </row>
    <row r="784" ht="17.25" customHeight="1" s="322">
      <c r="A784" s="27" t="n"/>
      <c r="B784" s="506" t="n"/>
      <c r="C784" s="141" t="n"/>
      <c r="D784" s="141" t="n"/>
      <c r="E784" s="141" t="n"/>
      <c r="F784" s="141" t="n"/>
      <c r="G784" s="143" t="n"/>
      <c r="H784" s="27" t="n"/>
    </row>
    <row r="785" ht="17.25" customHeight="1" s="322">
      <c r="A785" s="27" t="n"/>
      <c r="B785" s="506" t="n"/>
      <c r="C785" s="141" t="n"/>
      <c r="D785" s="141" t="n"/>
      <c r="E785" s="141" t="n"/>
      <c r="F785" s="141" t="n"/>
      <c r="G785" s="143" t="n"/>
      <c r="H785" s="27" t="n"/>
    </row>
    <row r="786" ht="17.25" customHeight="1" s="322">
      <c r="A786" s="27" t="n"/>
      <c r="B786" s="506" t="n"/>
      <c r="C786" s="141" t="n"/>
      <c r="D786" s="141" t="n"/>
      <c r="E786" s="141" t="n"/>
      <c r="F786" s="141" t="n"/>
      <c r="G786" s="143" t="n"/>
      <c r="H786" s="27" t="n"/>
    </row>
    <row r="787" ht="17.25" customHeight="1" s="322">
      <c r="A787" s="27" t="n"/>
      <c r="B787" s="506" t="n"/>
      <c r="C787" s="141" t="n"/>
      <c r="D787" s="141" t="n"/>
      <c r="E787" s="141" t="n"/>
      <c r="F787" s="141" t="n"/>
      <c r="G787" s="143" t="n"/>
      <c r="H787" s="27" t="n"/>
    </row>
    <row r="788" ht="17.25" customHeight="1" s="322">
      <c r="A788" s="27" t="n"/>
      <c r="B788" s="506" t="n"/>
      <c r="C788" s="141" t="n"/>
      <c r="D788" s="141" t="n"/>
      <c r="E788" s="141" t="n"/>
      <c r="F788" s="141" t="n"/>
      <c r="G788" s="143" t="n"/>
      <c r="H788" s="27" t="n"/>
    </row>
    <row r="789" ht="17.25" customHeight="1" s="322">
      <c r="A789" s="27" t="n"/>
      <c r="B789" s="506" t="n"/>
      <c r="C789" s="141" t="n"/>
      <c r="D789" s="141" t="n"/>
      <c r="E789" s="141" t="n"/>
      <c r="F789" s="141" t="n"/>
      <c r="G789" s="143" t="n"/>
      <c r="H789" s="27" t="n"/>
    </row>
    <row r="790" ht="17.25" customHeight="1" s="322">
      <c r="A790" s="27" t="n"/>
      <c r="B790" s="506" t="n"/>
      <c r="C790" s="141" t="n"/>
      <c r="D790" s="141" t="n"/>
      <c r="E790" s="141" t="n"/>
      <c r="F790" s="141" t="n"/>
      <c r="G790" s="143" t="n"/>
      <c r="H790" s="27" t="n"/>
    </row>
    <row r="791" ht="17.25" customHeight="1" s="322">
      <c r="A791" s="27" t="n"/>
      <c r="B791" s="506" t="n"/>
      <c r="C791" s="141" t="n"/>
      <c r="D791" s="141" t="n"/>
      <c r="E791" s="141" t="n"/>
      <c r="F791" s="141" t="n"/>
      <c r="G791" s="143" t="n"/>
      <c r="H791" s="27" t="n"/>
    </row>
    <row r="792" ht="17.25" customHeight="1" s="322">
      <c r="A792" s="27" t="n"/>
      <c r="B792" s="506" t="n"/>
      <c r="C792" s="141" t="n"/>
      <c r="D792" s="141" t="n"/>
      <c r="E792" s="141" t="n"/>
      <c r="F792" s="141" t="n"/>
      <c r="G792" s="143" t="n"/>
      <c r="H792" s="27" t="n"/>
    </row>
    <row r="793" ht="17.25" customHeight="1" s="322">
      <c r="A793" s="27" t="n"/>
      <c r="B793" s="506" t="n"/>
      <c r="C793" s="141" t="n"/>
      <c r="D793" s="141" t="n"/>
      <c r="E793" s="141" t="n"/>
      <c r="F793" s="141" t="n"/>
      <c r="G793" s="143" t="n"/>
      <c r="H793" s="27" t="n"/>
    </row>
    <row r="794" ht="17.25" customHeight="1" s="322">
      <c r="A794" s="27" t="n"/>
      <c r="B794" s="506" t="n"/>
      <c r="C794" s="141" t="n"/>
      <c r="D794" s="141" t="n"/>
      <c r="E794" s="141" t="n"/>
      <c r="F794" s="141" t="n"/>
      <c r="G794" s="143" t="n"/>
      <c r="H794" s="27" t="n"/>
    </row>
    <row r="795" ht="17.25" customHeight="1" s="322">
      <c r="A795" s="27" t="n"/>
      <c r="B795" s="506" t="n"/>
      <c r="C795" s="141" t="n"/>
      <c r="D795" s="141" t="n"/>
      <c r="E795" s="141" t="n"/>
      <c r="F795" s="141" t="n"/>
      <c r="G795" s="143" t="n"/>
      <c r="H795" s="27" t="n"/>
    </row>
    <row r="796" ht="17.25" customHeight="1" s="322">
      <c r="A796" s="27" t="n"/>
      <c r="B796" s="506" t="n"/>
      <c r="C796" s="141" t="n"/>
      <c r="D796" s="141" t="n"/>
      <c r="E796" s="141" t="n"/>
      <c r="F796" s="141" t="n"/>
      <c r="G796" s="143" t="n"/>
      <c r="H796" s="27" t="n"/>
    </row>
    <row r="797" ht="17.25" customHeight="1" s="322">
      <c r="A797" s="27" t="n"/>
      <c r="B797" s="506" t="n"/>
      <c r="C797" s="141" t="n"/>
      <c r="D797" s="141" t="n"/>
      <c r="E797" s="141" t="n"/>
      <c r="F797" s="141" t="n"/>
      <c r="G797" s="143" t="n"/>
      <c r="H797" s="27" t="n"/>
    </row>
    <row r="798" ht="17.25" customHeight="1" s="322">
      <c r="A798" s="27" t="n"/>
      <c r="B798" s="506" t="n"/>
      <c r="C798" s="141" t="n"/>
      <c r="D798" s="141" t="n"/>
      <c r="E798" s="141" t="n"/>
      <c r="F798" s="141" t="n"/>
      <c r="G798" s="143" t="n"/>
      <c r="H798" s="27" t="n"/>
    </row>
    <row r="799" ht="17.25" customHeight="1" s="322">
      <c r="A799" s="27" t="n"/>
      <c r="B799" s="506" t="n"/>
      <c r="C799" s="141" t="n"/>
      <c r="D799" s="141" t="n"/>
      <c r="E799" s="141" t="n"/>
      <c r="F799" s="141" t="n"/>
      <c r="G799" s="143" t="n"/>
      <c r="H799" s="27" t="n"/>
    </row>
    <row r="800" ht="17.25" customHeight="1" s="322">
      <c r="A800" s="27" t="n"/>
      <c r="B800" s="506" t="n"/>
      <c r="C800" s="141" t="n"/>
      <c r="D800" s="141" t="n"/>
      <c r="E800" s="141" t="n"/>
      <c r="F800" s="141" t="n"/>
      <c r="G800" s="143" t="n"/>
      <c r="H800" s="27" t="n"/>
    </row>
    <row r="801" ht="17.25" customHeight="1" s="322">
      <c r="A801" s="27" t="n"/>
      <c r="B801" s="506" t="n"/>
      <c r="C801" s="141" t="n"/>
      <c r="D801" s="141" t="n"/>
      <c r="E801" s="141" t="n"/>
      <c r="F801" s="141" t="n"/>
      <c r="G801" s="143" t="n"/>
      <c r="H801" s="27" t="n"/>
    </row>
    <row r="802" ht="17.25" customHeight="1" s="322">
      <c r="A802" s="27" t="n"/>
      <c r="B802" s="506" t="n"/>
      <c r="C802" s="141" t="n"/>
      <c r="D802" s="141" t="n"/>
      <c r="E802" s="141" t="n"/>
      <c r="F802" s="141" t="n"/>
      <c r="G802" s="143" t="n"/>
      <c r="H802" s="27" t="n"/>
    </row>
    <row r="803" ht="17.25" customHeight="1" s="322">
      <c r="A803" s="27" t="n"/>
      <c r="B803" s="506" t="n"/>
      <c r="C803" s="141" t="n"/>
      <c r="D803" s="141" t="n"/>
      <c r="E803" s="141" t="n"/>
      <c r="F803" s="141" t="n"/>
      <c r="G803" s="143" t="n"/>
      <c r="H803" s="27" t="n"/>
    </row>
    <row r="804" ht="17.25" customHeight="1" s="322">
      <c r="A804" s="27" t="n"/>
      <c r="B804" s="506" t="n"/>
      <c r="C804" s="141" t="n"/>
      <c r="D804" s="141" t="n"/>
      <c r="E804" s="141" t="n"/>
      <c r="F804" s="141" t="n"/>
      <c r="G804" s="143" t="n"/>
      <c r="H804" s="27" t="n"/>
    </row>
    <row r="805" ht="17.25" customHeight="1" s="322">
      <c r="A805" s="27" t="n"/>
      <c r="B805" s="506" t="n"/>
      <c r="C805" s="141" t="n"/>
      <c r="D805" s="141" t="n"/>
      <c r="E805" s="141" t="n"/>
      <c r="F805" s="141" t="n"/>
      <c r="G805" s="143" t="n"/>
      <c r="H805" s="27" t="n"/>
    </row>
    <row r="806" ht="17.25" customHeight="1" s="322">
      <c r="A806" s="27" t="n"/>
      <c r="B806" s="506" t="n"/>
      <c r="C806" s="141" t="n"/>
      <c r="D806" s="141" t="n"/>
      <c r="E806" s="141" t="n"/>
      <c r="F806" s="141" t="n"/>
      <c r="G806" s="143" t="n"/>
      <c r="H806" s="27" t="n"/>
    </row>
    <row r="807" ht="17.25" customHeight="1" s="322">
      <c r="A807" s="27" t="n"/>
      <c r="B807" s="506" t="n"/>
      <c r="C807" s="141" t="n"/>
      <c r="D807" s="141" t="n"/>
      <c r="E807" s="141" t="n"/>
      <c r="F807" s="141" t="n"/>
      <c r="G807" s="143" t="n"/>
      <c r="H807" s="27" t="n"/>
    </row>
    <row r="808" ht="17.25" customHeight="1" s="322">
      <c r="A808" s="27" t="n"/>
      <c r="B808" s="506" t="n"/>
      <c r="C808" s="141" t="n"/>
      <c r="D808" s="141" t="n"/>
      <c r="E808" s="141" t="n"/>
      <c r="F808" s="141" t="n"/>
      <c r="G808" s="143" t="n"/>
      <c r="H808" s="27" t="n"/>
    </row>
    <row r="809" ht="17.25" customHeight="1" s="322">
      <c r="A809" s="27" t="n"/>
      <c r="B809" s="506" t="n"/>
      <c r="C809" s="141" t="n"/>
      <c r="D809" s="141" t="n"/>
      <c r="E809" s="141" t="n"/>
      <c r="F809" s="141" t="n"/>
      <c r="G809" s="143" t="n"/>
      <c r="H809" s="27" t="n"/>
    </row>
    <row r="810" ht="17.25" customHeight="1" s="322">
      <c r="A810" s="27" t="n"/>
      <c r="B810" s="506" t="n"/>
      <c r="C810" s="141" t="n"/>
      <c r="D810" s="141" t="n"/>
      <c r="E810" s="141" t="n"/>
      <c r="F810" s="141" t="n"/>
      <c r="G810" s="143" t="n"/>
      <c r="H810" s="27" t="n"/>
    </row>
    <row r="811" ht="17.25" customHeight="1" s="322">
      <c r="A811" s="27" t="n"/>
      <c r="B811" s="506" t="n"/>
      <c r="C811" s="141" t="n"/>
      <c r="D811" s="141" t="n"/>
      <c r="E811" s="141" t="n"/>
      <c r="F811" s="141" t="n"/>
      <c r="G811" s="143" t="n"/>
      <c r="H811" s="27" t="n"/>
    </row>
    <row r="812" ht="17.25" customHeight="1" s="322">
      <c r="A812" s="27" t="n"/>
      <c r="B812" s="506" t="n"/>
      <c r="C812" s="141" t="n"/>
      <c r="D812" s="141" t="n"/>
      <c r="E812" s="141" t="n"/>
      <c r="F812" s="141" t="n"/>
      <c r="G812" s="143" t="n"/>
      <c r="H812" s="27" t="n"/>
    </row>
    <row r="813" ht="17.25" customHeight="1" s="322">
      <c r="A813" s="27" t="n"/>
      <c r="B813" s="506" t="n"/>
      <c r="C813" s="141" t="n"/>
      <c r="D813" s="141" t="n"/>
      <c r="E813" s="141" t="n"/>
      <c r="F813" s="141" t="n"/>
      <c r="G813" s="143" t="n"/>
      <c r="H813" s="27" t="n"/>
    </row>
    <row r="814" ht="17.25" customHeight="1" s="322">
      <c r="A814" s="27" t="n"/>
      <c r="B814" s="506" t="n"/>
      <c r="C814" s="141" t="n"/>
      <c r="D814" s="141" t="n"/>
      <c r="E814" s="141" t="n"/>
      <c r="F814" s="141" t="n"/>
      <c r="G814" s="143" t="n"/>
      <c r="H814" s="27" t="n"/>
    </row>
    <row r="815" ht="17.25" customHeight="1" s="322">
      <c r="A815" s="27" t="n"/>
      <c r="B815" s="506" t="n"/>
      <c r="C815" s="141" t="n"/>
      <c r="D815" s="141" t="n"/>
      <c r="E815" s="141" t="n"/>
      <c r="F815" s="141" t="n"/>
      <c r="G815" s="143" t="n"/>
      <c r="H815" s="27" t="n"/>
    </row>
    <row r="816" ht="17.25" customHeight="1" s="322">
      <c r="A816" s="27" t="n"/>
      <c r="B816" s="506" t="n"/>
      <c r="C816" s="141" t="n"/>
      <c r="D816" s="141" t="n"/>
      <c r="E816" s="141" t="n"/>
      <c r="F816" s="141" t="n"/>
      <c r="G816" s="143" t="n"/>
      <c r="H816" s="27" t="n"/>
    </row>
    <row r="817" ht="17.25" customHeight="1" s="322">
      <c r="A817" s="27" t="n"/>
      <c r="B817" s="506" t="n"/>
      <c r="C817" s="141" t="n"/>
      <c r="D817" s="141" t="n"/>
      <c r="E817" s="141" t="n"/>
      <c r="F817" s="141" t="n"/>
      <c r="G817" s="143" t="n"/>
      <c r="H817" s="27" t="n"/>
    </row>
    <row r="818" ht="17.25" customHeight="1" s="322">
      <c r="A818" s="27" t="n"/>
      <c r="B818" s="506" t="n"/>
      <c r="C818" s="141" t="n"/>
      <c r="D818" s="141" t="n"/>
      <c r="E818" s="141" t="n"/>
      <c r="F818" s="141" t="n"/>
      <c r="G818" s="143" t="n"/>
      <c r="H818" s="27" t="n"/>
    </row>
    <row r="819" ht="17.25" customHeight="1" s="322">
      <c r="A819" s="27" t="n"/>
      <c r="B819" s="506" t="n"/>
      <c r="C819" s="141" t="n"/>
      <c r="D819" s="141" t="n"/>
      <c r="E819" s="141" t="n"/>
      <c r="F819" s="141" t="n"/>
      <c r="G819" s="143" t="n"/>
      <c r="H819" s="27" t="n"/>
    </row>
    <row r="820" ht="17.25" customHeight="1" s="322">
      <c r="A820" s="27" t="n"/>
      <c r="B820" s="506" t="n"/>
      <c r="C820" s="141" t="n"/>
      <c r="D820" s="141" t="n"/>
      <c r="E820" s="141" t="n"/>
      <c r="F820" s="141" t="n"/>
      <c r="G820" s="143" t="n"/>
      <c r="H820" s="27" t="n"/>
    </row>
    <row r="821" ht="17.25" customHeight="1" s="322">
      <c r="A821" s="27" t="n"/>
      <c r="B821" s="506" t="n"/>
      <c r="C821" s="141" t="n"/>
      <c r="D821" s="141" t="n"/>
      <c r="E821" s="141" t="n"/>
      <c r="F821" s="141" t="n"/>
      <c r="G821" s="143" t="n"/>
      <c r="H821" s="27" t="n"/>
    </row>
    <row r="822" ht="17.25" customHeight="1" s="322">
      <c r="A822" s="27" t="n"/>
      <c r="B822" s="506" t="n"/>
      <c r="C822" s="141" t="n"/>
      <c r="D822" s="141" t="n"/>
      <c r="E822" s="141" t="n"/>
      <c r="F822" s="141" t="n"/>
      <c r="G822" s="143" t="n"/>
      <c r="H822" s="27" t="n"/>
    </row>
    <row r="823" ht="17.25" customHeight="1" s="322">
      <c r="A823" s="27" t="n"/>
      <c r="B823" s="506" t="n"/>
      <c r="C823" s="141" t="n"/>
      <c r="D823" s="141" t="n"/>
      <c r="E823" s="141" t="n"/>
      <c r="F823" s="141" t="n"/>
      <c r="G823" s="143" t="n"/>
      <c r="H823" s="27" t="n"/>
    </row>
    <row r="824" ht="17.25" customHeight="1" s="322">
      <c r="A824" s="27" t="n"/>
      <c r="B824" s="506" t="n"/>
      <c r="C824" s="141" t="n"/>
      <c r="D824" s="141" t="n"/>
      <c r="E824" s="141" t="n"/>
      <c r="F824" s="141" t="n"/>
      <c r="G824" s="143" t="n"/>
      <c r="H824" s="27" t="n"/>
    </row>
    <row r="825" ht="17.25" customHeight="1" s="322">
      <c r="A825" s="27" t="n"/>
      <c r="B825" s="506" t="n"/>
      <c r="C825" s="141" t="n"/>
      <c r="D825" s="141" t="n"/>
      <c r="E825" s="141" t="n"/>
      <c r="F825" s="141" t="n"/>
      <c r="G825" s="143" t="n"/>
      <c r="H825" s="27" t="n"/>
    </row>
    <row r="826" ht="17.25" customHeight="1" s="322">
      <c r="A826" s="27" t="n"/>
      <c r="B826" s="506" t="n"/>
      <c r="C826" s="141" t="n"/>
      <c r="D826" s="141" t="n"/>
      <c r="E826" s="141" t="n"/>
      <c r="F826" s="141" t="n"/>
      <c r="G826" s="143" t="n"/>
      <c r="H826" s="27" t="n"/>
    </row>
    <row r="827" ht="17.25" customHeight="1" s="322">
      <c r="A827" s="27" t="n"/>
      <c r="B827" s="506" t="n"/>
      <c r="C827" s="141" t="n"/>
      <c r="D827" s="141" t="n"/>
      <c r="E827" s="141" t="n"/>
      <c r="F827" s="141" t="n"/>
      <c r="G827" s="143" t="n"/>
      <c r="H827" s="27" t="n"/>
    </row>
    <row r="828" ht="17.25" customHeight="1" s="322">
      <c r="A828" s="27" t="n"/>
      <c r="B828" s="506" t="n"/>
      <c r="C828" s="141" t="n"/>
      <c r="D828" s="141" t="n"/>
      <c r="E828" s="141" t="n"/>
      <c r="F828" s="141" t="n"/>
      <c r="G828" s="143" t="n"/>
      <c r="H828" s="27" t="n"/>
    </row>
    <row r="829" ht="17.25" customHeight="1" s="322">
      <c r="A829" s="27" t="n"/>
      <c r="B829" s="506" t="n"/>
      <c r="C829" s="141" t="n"/>
      <c r="D829" s="141" t="n"/>
      <c r="E829" s="141" t="n"/>
      <c r="F829" s="141" t="n"/>
      <c r="G829" s="143" t="n"/>
      <c r="H829" s="27" t="n"/>
    </row>
    <row r="830" ht="17.25" customHeight="1" s="322">
      <c r="A830" s="27" t="n"/>
      <c r="B830" s="506" t="n"/>
      <c r="C830" s="141" t="n"/>
      <c r="D830" s="141" t="n"/>
      <c r="E830" s="141" t="n"/>
      <c r="F830" s="141" t="n"/>
      <c r="G830" s="143" t="n"/>
      <c r="H830" s="27" t="n"/>
    </row>
    <row r="831" ht="17.25" customHeight="1" s="322">
      <c r="A831" s="27" t="n"/>
      <c r="B831" s="506" t="n"/>
      <c r="C831" s="141" t="n"/>
      <c r="D831" s="141" t="n"/>
      <c r="E831" s="141" t="n"/>
      <c r="F831" s="141" t="n"/>
      <c r="G831" s="143" t="n"/>
      <c r="H831" s="27" t="n"/>
    </row>
    <row r="832" ht="17.25" customHeight="1" s="322">
      <c r="A832" s="27" t="n"/>
      <c r="B832" s="506" t="n"/>
      <c r="C832" s="141" t="n"/>
      <c r="D832" s="141" t="n"/>
      <c r="E832" s="141" t="n"/>
      <c r="F832" s="141" t="n"/>
      <c r="G832" s="143" t="n"/>
      <c r="H832" s="27" t="n"/>
    </row>
    <row r="833" ht="17.25" customHeight="1" s="322">
      <c r="A833" s="27" t="n"/>
      <c r="B833" s="506" t="n"/>
      <c r="C833" s="141" t="n"/>
      <c r="D833" s="141" t="n"/>
      <c r="E833" s="141" t="n"/>
      <c r="F833" s="141" t="n"/>
      <c r="G833" s="143" t="n"/>
      <c r="H833" s="27" t="n"/>
    </row>
    <row r="834" ht="17.25" customHeight="1" s="322">
      <c r="A834" s="27" t="n"/>
      <c r="B834" s="506" t="n"/>
      <c r="C834" s="141" t="n"/>
      <c r="D834" s="141" t="n"/>
      <c r="E834" s="141" t="n"/>
      <c r="F834" s="141" t="n"/>
      <c r="G834" s="143" t="n"/>
      <c r="H834" s="27" t="n"/>
    </row>
    <row r="835" ht="17.25" customHeight="1" s="322">
      <c r="A835" s="27" t="n"/>
      <c r="B835" s="506" t="n"/>
      <c r="C835" s="141" t="n"/>
      <c r="D835" s="141" t="n"/>
      <c r="E835" s="141" t="n"/>
      <c r="F835" s="141" t="n"/>
      <c r="G835" s="143" t="n"/>
      <c r="H835" s="27" t="n"/>
    </row>
    <row r="836" ht="17.25" customHeight="1" s="322">
      <c r="A836" s="27" t="n"/>
      <c r="B836" s="506" t="n"/>
      <c r="C836" s="141" t="n"/>
      <c r="D836" s="141" t="n"/>
      <c r="E836" s="141" t="n"/>
      <c r="F836" s="141" t="n"/>
      <c r="G836" s="143" t="n"/>
      <c r="H836" s="27" t="n"/>
    </row>
    <row r="837" ht="17.25" customHeight="1" s="322">
      <c r="A837" s="27" t="n"/>
      <c r="B837" s="506" t="n"/>
      <c r="C837" s="141" t="n"/>
      <c r="D837" s="141" t="n"/>
      <c r="E837" s="141" t="n"/>
      <c r="F837" s="141" t="n"/>
      <c r="G837" s="143" t="n"/>
      <c r="H837" s="27" t="n"/>
    </row>
    <row r="838" ht="17.25" customHeight="1" s="322">
      <c r="A838" s="27" t="n"/>
      <c r="B838" s="506" t="n"/>
      <c r="C838" s="141" t="n"/>
      <c r="D838" s="141" t="n"/>
      <c r="E838" s="141" t="n"/>
      <c r="F838" s="141" t="n"/>
      <c r="G838" s="143" t="n"/>
      <c r="H838" s="27" t="n"/>
    </row>
    <row r="839" ht="17.25" customHeight="1" s="322">
      <c r="A839" s="27" t="n"/>
      <c r="B839" s="506" t="n"/>
      <c r="C839" s="141" t="n"/>
      <c r="D839" s="141" t="n"/>
      <c r="E839" s="141" t="n"/>
      <c r="F839" s="141" t="n"/>
      <c r="G839" s="143" t="n"/>
      <c r="H839" s="27" t="n"/>
    </row>
    <row r="840" ht="17.25" customHeight="1" s="322">
      <c r="A840" s="27" t="n"/>
      <c r="B840" s="506" t="n"/>
      <c r="C840" s="141" t="n"/>
      <c r="D840" s="141" t="n"/>
      <c r="E840" s="141" t="n"/>
      <c r="F840" s="141" t="n"/>
      <c r="G840" s="143" t="n"/>
      <c r="H840" s="27" t="n"/>
    </row>
    <row r="841" ht="17.25" customHeight="1" s="322">
      <c r="A841" s="27" t="n"/>
      <c r="B841" s="506" t="n"/>
      <c r="C841" s="141" t="n"/>
      <c r="D841" s="141" t="n"/>
      <c r="E841" s="141" t="n"/>
      <c r="F841" s="141" t="n"/>
      <c r="G841" s="143" t="n"/>
      <c r="H841" s="27" t="n"/>
    </row>
    <row r="842" ht="17.25" customHeight="1" s="322">
      <c r="A842" s="27" t="n"/>
      <c r="B842" s="506" t="n"/>
      <c r="C842" s="141" t="n"/>
      <c r="D842" s="141" t="n"/>
      <c r="E842" s="141" t="n"/>
      <c r="F842" s="141" t="n"/>
      <c r="G842" s="143" t="n"/>
      <c r="H842" s="27" t="n"/>
    </row>
    <row r="843" ht="17.25" customHeight="1" s="322">
      <c r="A843" s="27" t="n"/>
      <c r="B843" s="506" t="n"/>
      <c r="C843" s="141" t="n"/>
      <c r="D843" s="141" t="n"/>
      <c r="E843" s="141" t="n"/>
      <c r="F843" s="141" t="n"/>
      <c r="G843" s="143" t="n"/>
      <c r="H843" s="27" t="n"/>
    </row>
    <row r="844" ht="17.25" customHeight="1" s="322">
      <c r="A844" s="27" t="n"/>
      <c r="B844" s="506" t="n"/>
      <c r="C844" s="141" t="n"/>
      <c r="D844" s="141" t="n"/>
      <c r="E844" s="141" t="n"/>
      <c r="F844" s="141" t="n"/>
      <c r="G844" s="143" t="n"/>
      <c r="H844" s="27" t="n"/>
    </row>
    <row r="845" ht="17.25" customHeight="1" s="322">
      <c r="A845" s="27" t="n"/>
      <c r="B845" s="506" t="n"/>
      <c r="C845" s="141" t="n"/>
      <c r="D845" s="141" t="n"/>
      <c r="E845" s="141" t="n"/>
      <c r="F845" s="141" t="n"/>
      <c r="G845" s="143" t="n"/>
      <c r="H845" s="27" t="n"/>
    </row>
    <row r="846" ht="17.25" customHeight="1" s="322">
      <c r="A846" s="27" t="n"/>
      <c r="B846" s="506" t="n"/>
      <c r="C846" s="141" t="n"/>
      <c r="D846" s="141" t="n"/>
      <c r="E846" s="141" t="n"/>
      <c r="F846" s="141" t="n"/>
      <c r="G846" s="143" t="n"/>
      <c r="H846" s="27" t="n"/>
    </row>
    <row r="847" ht="17.25" customHeight="1" s="322">
      <c r="A847" s="27" t="n"/>
      <c r="B847" s="506" t="n"/>
      <c r="C847" s="141" t="n"/>
      <c r="D847" s="141" t="n"/>
      <c r="E847" s="141" t="n"/>
      <c r="F847" s="141" t="n"/>
      <c r="G847" s="143" t="n"/>
      <c r="H847" s="27" t="n"/>
    </row>
    <row r="848" ht="17.25" customHeight="1" s="322">
      <c r="A848" s="27" t="n"/>
      <c r="B848" s="506" t="n"/>
      <c r="C848" s="141" t="n"/>
      <c r="D848" s="141" t="n"/>
      <c r="E848" s="141" t="n"/>
      <c r="F848" s="141" t="n"/>
      <c r="G848" s="143" t="n"/>
      <c r="H848" s="27" t="n"/>
    </row>
    <row r="849" ht="17.25" customHeight="1" s="322">
      <c r="A849" s="27" t="n"/>
      <c r="B849" s="506" t="n"/>
      <c r="C849" s="141" t="n"/>
      <c r="D849" s="141" t="n"/>
      <c r="E849" s="141" t="n"/>
      <c r="F849" s="141" t="n"/>
      <c r="G849" s="143" t="n"/>
      <c r="H849" s="27" t="n"/>
    </row>
    <row r="850" ht="17.25" customHeight="1" s="322">
      <c r="A850" s="27" t="n"/>
      <c r="B850" s="506" t="n"/>
      <c r="C850" s="141" t="n"/>
      <c r="D850" s="141" t="n"/>
      <c r="E850" s="141" t="n"/>
      <c r="F850" s="141" t="n"/>
      <c r="G850" s="143" t="n"/>
      <c r="H850" s="27" t="n"/>
    </row>
    <row r="851" ht="17.25" customHeight="1" s="322">
      <c r="A851" s="27" t="n"/>
      <c r="B851" s="506" t="n"/>
      <c r="C851" s="141" t="n"/>
      <c r="D851" s="141" t="n"/>
      <c r="E851" s="141" t="n"/>
      <c r="F851" s="141" t="n"/>
      <c r="G851" s="143" t="n"/>
      <c r="H851" s="27" t="n"/>
    </row>
    <row r="852" ht="17.25" customHeight="1" s="322">
      <c r="A852" s="27" t="n"/>
      <c r="B852" s="506" t="n"/>
      <c r="C852" s="141" t="n"/>
      <c r="D852" s="141" t="n"/>
      <c r="E852" s="141" t="n"/>
      <c r="F852" s="141" t="n"/>
      <c r="G852" s="143" t="n"/>
      <c r="H852" s="27" t="n"/>
    </row>
    <row r="853" ht="17.25" customHeight="1" s="322">
      <c r="A853" s="27" t="n"/>
      <c r="B853" s="506" t="n"/>
      <c r="C853" s="141" t="n"/>
      <c r="D853" s="141" t="n"/>
      <c r="E853" s="141" t="n"/>
      <c r="F853" s="141" t="n"/>
      <c r="G853" s="143" t="n"/>
      <c r="H853" s="27" t="n"/>
    </row>
    <row r="854" ht="17.25" customHeight="1" s="322">
      <c r="A854" s="27" t="n"/>
      <c r="B854" s="506" t="n"/>
      <c r="C854" s="141" t="n"/>
      <c r="D854" s="141" t="n"/>
      <c r="E854" s="141" t="n"/>
      <c r="F854" s="141" t="n"/>
      <c r="G854" s="143" t="n"/>
      <c r="H854" s="27" t="n"/>
    </row>
    <row r="855" ht="17.25" customHeight="1" s="322">
      <c r="A855" s="27" t="n"/>
      <c r="B855" s="506" t="n"/>
      <c r="C855" s="141" t="n"/>
      <c r="D855" s="141" t="n"/>
      <c r="E855" s="141" t="n"/>
      <c r="F855" s="141" t="n"/>
      <c r="G855" s="143" t="n"/>
      <c r="H855" s="27" t="n"/>
    </row>
    <row r="856" ht="17.25" customHeight="1" s="322">
      <c r="A856" s="27" t="n"/>
      <c r="B856" s="506" t="n"/>
      <c r="C856" s="141" t="n"/>
      <c r="D856" s="141" t="n"/>
      <c r="E856" s="141" t="n"/>
      <c r="F856" s="141" t="n"/>
      <c r="G856" s="143" t="n"/>
      <c r="H856" s="27" t="n"/>
    </row>
    <row r="857" ht="17.25" customHeight="1" s="322">
      <c r="A857" s="27" t="n"/>
      <c r="B857" s="506" t="n"/>
      <c r="C857" s="141" t="n"/>
      <c r="D857" s="141" t="n"/>
      <c r="E857" s="141" t="n"/>
      <c r="F857" s="141" t="n"/>
      <c r="G857" s="143" t="n"/>
      <c r="H857" s="27" t="n"/>
    </row>
    <row r="858" ht="17.25" customHeight="1" s="322">
      <c r="A858" s="27" t="n"/>
      <c r="B858" s="506" t="n"/>
      <c r="C858" s="141" t="n"/>
      <c r="D858" s="141" t="n"/>
      <c r="E858" s="141" t="n"/>
      <c r="F858" s="141" t="n"/>
      <c r="G858" s="143" t="n"/>
      <c r="H858" s="27" t="n"/>
    </row>
    <row r="859" ht="17.25" customHeight="1" s="322">
      <c r="A859" s="27" t="n"/>
      <c r="B859" s="506" t="n"/>
      <c r="C859" s="141" t="n"/>
      <c r="D859" s="141" t="n"/>
      <c r="E859" s="141" t="n"/>
      <c r="F859" s="141" t="n"/>
      <c r="G859" s="143" t="n"/>
      <c r="H859" s="27" t="n"/>
    </row>
    <row r="860" ht="17.25" customHeight="1" s="322">
      <c r="A860" s="27" t="n"/>
      <c r="B860" s="506" t="n"/>
      <c r="C860" s="141" t="n"/>
      <c r="D860" s="141" t="n"/>
      <c r="E860" s="141" t="n"/>
      <c r="F860" s="141" t="n"/>
      <c r="G860" s="143" t="n"/>
      <c r="H860" s="27" t="n"/>
    </row>
    <row r="861" ht="17.25" customHeight="1" s="322">
      <c r="A861" s="27" t="n"/>
      <c r="B861" s="506" t="n"/>
      <c r="C861" s="141" t="n"/>
      <c r="D861" s="141" t="n"/>
      <c r="E861" s="141" t="n"/>
      <c r="F861" s="141" t="n"/>
      <c r="G861" s="143" t="n"/>
      <c r="H861" s="27" t="n"/>
    </row>
    <row r="862" ht="17.25" customHeight="1" s="322">
      <c r="A862" s="27" t="n"/>
      <c r="B862" s="506" t="n"/>
      <c r="C862" s="141" t="n"/>
      <c r="D862" s="141" t="n"/>
      <c r="E862" s="141" t="n"/>
      <c r="F862" s="141" t="n"/>
      <c r="G862" s="143" t="n"/>
      <c r="H862" s="27" t="n"/>
    </row>
    <row r="863" ht="17.25" customHeight="1" s="322">
      <c r="A863" s="27" t="n"/>
      <c r="B863" s="506" t="n"/>
      <c r="C863" s="141" t="n"/>
      <c r="D863" s="141" t="n"/>
      <c r="E863" s="141" t="n"/>
      <c r="F863" s="141" t="n"/>
      <c r="G863" s="143" t="n"/>
      <c r="H863" s="27" t="n"/>
    </row>
    <row r="864" ht="17.25" customHeight="1" s="322">
      <c r="A864" s="27" t="n"/>
      <c r="B864" s="506" t="n"/>
      <c r="C864" s="141" t="n"/>
      <c r="D864" s="141" t="n"/>
      <c r="E864" s="141" t="n"/>
      <c r="F864" s="141" t="n"/>
      <c r="G864" s="143" t="n"/>
      <c r="H864" s="27" t="n"/>
    </row>
    <row r="865" ht="17.25" customHeight="1" s="322">
      <c r="A865" s="27" t="n"/>
      <c r="B865" s="506" t="n"/>
      <c r="C865" s="141" t="n"/>
      <c r="D865" s="141" t="n"/>
      <c r="E865" s="141" t="n"/>
      <c r="F865" s="141" t="n"/>
      <c r="G865" s="143" t="n"/>
      <c r="H865" s="27" t="n"/>
    </row>
    <row r="866" ht="17.25" customHeight="1" s="322">
      <c r="A866" s="27" t="n"/>
      <c r="B866" s="506" t="n"/>
      <c r="C866" s="141" t="n"/>
      <c r="D866" s="141" t="n"/>
      <c r="E866" s="141" t="n"/>
      <c r="F866" s="141" t="n"/>
      <c r="G866" s="143" t="n"/>
      <c r="H866" s="27" t="n"/>
    </row>
    <row r="867" ht="17.25" customHeight="1" s="322">
      <c r="A867" s="27" t="n"/>
      <c r="B867" s="506" t="n"/>
      <c r="C867" s="141" t="n"/>
      <c r="D867" s="141" t="n"/>
      <c r="E867" s="141" t="n"/>
      <c r="F867" s="141" t="n"/>
      <c r="G867" s="143" t="n"/>
      <c r="H867" s="27" t="n"/>
    </row>
    <row r="868" ht="17.25" customHeight="1" s="322">
      <c r="A868" s="27" t="n"/>
      <c r="B868" s="506" t="n"/>
      <c r="C868" s="141" t="n"/>
      <c r="D868" s="141" t="n"/>
      <c r="E868" s="141" t="n"/>
      <c r="F868" s="141" t="n"/>
      <c r="G868" s="143" t="n"/>
      <c r="H868" s="27" t="n"/>
    </row>
    <row r="869" ht="17.25" customHeight="1" s="322">
      <c r="A869" s="27" t="n"/>
      <c r="B869" s="506" t="n"/>
      <c r="C869" s="141" t="n"/>
      <c r="D869" s="141" t="n"/>
      <c r="E869" s="141" t="n"/>
      <c r="F869" s="141" t="n"/>
      <c r="G869" s="143" t="n"/>
      <c r="H869" s="27" t="n"/>
    </row>
    <row r="870" ht="17.25" customHeight="1" s="322">
      <c r="A870" s="27" t="n"/>
      <c r="B870" s="506" t="n"/>
      <c r="C870" s="141" t="n"/>
      <c r="D870" s="141" t="n"/>
      <c r="E870" s="141" t="n"/>
      <c r="F870" s="141" t="n"/>
      <c r="G870" s="143" t="n"/>
      <c r="H870" s="27" t="n"/>
    </row>
    <row r="871" ht="17.25" customHeight="1" s="322">
      <c r="A871" s="27" t="n"/>
      <c r="B871" s="506" t="n"/>
      <c r="C871" s="141" t="n"/>
      <c r="D871" s="141" t="n"/>
      <c r="E871" s="141" t="n"/>
      <c r="F871" s="141" t="n"/>
      <c r="G871" s="143" t="n"/>
      <c r="H871" s="27" t="n"/>
    </row>
    <row r="872" ht="17.25" customHeight="1" s="322">
      <c r="A872" s="27" t="n"/>
      <c r="B872" s="506" t="n"/>
      <c r="C872" s="141" t="n"/>
      <c r="D872" s="141" t="n"/>
      <c r="E872" s="141" t="n"/>
      <c r="F872" s="141" t="n"/>
      <c r="G872" s="143" t="n"/>
      <c r="H872" s="27" t="n"/>
    </row>
    <row r="873" ht="17.25" customHeight="1" s="322">
      <c r="A873" s="27" t="n"/>
      <c r="B873" s="506" t="n"/>
      <c r="C873" s="141" t="n"/>
      <c r="D873" s="141" t="n"/>
      <c r="E873" s="141" t="n"/>
      <c r="F873" s="141" t="n"/>
      <c r="G873" s="143" t="n"/>
      <c r="H873" s="27" t="n"/>
    </row>
    <row r="874" ht="17.25" customHeight="1" s="322">
      <c r="A874" s="27" t="n"/>
      <c r="B874" s="506" t="n"/>
      <c r="C874" s="141" t="n"/>
      <c r="D874" s="141" t="n"/>
      <c r="E874" s="141" t="n"/>
      <c r="F874" s="141" t="n"/>
      <c r="G874" s="143" t="n"/>
      <c r="H874" s="27" t="n"/>
    </row>
    <row r="875" ht="17.25" customHeight="1" s="322">
      <c r="A875" s="27" t="n"/>
      <c r="B875" s="506" t="n"/>
      <c r="C875" s="141" t="n"/>
      <c r="D875" s="141" t="n"/>
      <c r="E875" s="141" t="n"/>
      <c r="F875" s="141" t="n"/>
      <c r="G875" s="143" t="n"/>
      <c r="H875" s="27" t="n"/>
    </row>
    <row r="876" ht="17.25" customHeight="1" s="322">
      <c r="A876" s="27" t="n"/>
      <c r="B876" s="506" t="n"/>
      <c r="C876" s="141" t="n"/>
      <c r="D876" s="141" t="n"/>
      <c r="E876" s="141" t="n"/>
      <c r="F876" s="141" t="n"/>
      <c r="G876" s="143" t="n"/>
      <c r="H876" s="27" t="n"/>
    </row>
    <row r="877" ht="17.25" customHeight="1" s="322">
      <c r="A877" s="27" t="n"/>
      <c r="B877" s="506" t="n"/>
      <c r="C877" s="141" t="n"/>
      <c r="D877" s="141" t="n"/>
      <c r="E877" s="141" t="n"/>
      <c r="F877" s="141" t="n"/>
      <c r="G877" s="143" t="n"/>
      <c r="H877" s="27" t="n"/>
    </row>
    <row r="878" ht="17.25" customHeight="1" s="322">
      <c r="A878" s="27" t="n"/>
      <c r="B878" s="506" t="n"/>
      <c r="C878" s="141" t="n"/>
      <c r="D878" s="141" t="n"/>
      <c r="E878" s="141" t="n"/>
      <c r="F878" s="141" t="n"/>
      <c r="G878" s="143" t="n"/>
      <c r="H878" s="27" t="n"/>
    </row>
    <row r="879" ht="17.25" customHeight="1" s="322">
      <c r="A879" s="27" t="n"/>
      <c r="B879" s="506" t="n"/>
      <c r="C879" s="141" t="n"/>
      <c r="D879" s="141" t="n"/>
      <c r="E879" s="141" t="n"/>
      <c r="F879" s="141" t="n"/>
      <c r="G879" s="143" t="n"/>
      <c r="H879" s="27" t="n"/>
    </row>
    <row r="880" ht="17.25" customHeight="1" s="322">
      <c r="A880" s="27" t="n"/>
      <c r="B880" s="506" t="n"/>
      <c r="C880" s="141" t="n"/>
      <c r="D880" s="141" t="n"/>
      <c r="E880" s="141" t="n"/>
      <c r="F880" s="141" t="n"/>
      <c r="G880" s="143" t="n"/>
      <c r="H880" s="27" t="n"/>
    </row>
    <row r="881" ht="17.25" customHeight="1" s="322">
      <c r="A881" s="27" t="n"/>
      <c r="B881" s="506" t="n"/>
      <c r="C881" s="141" t="n"/>
      <c r="D881" s="141" t="n"/>
      <c r="E881" s="141" t="n"/>
      <c r="F881" s="141" t="n"/>
      <c r="G881" s="143" t="n"/>
      <c r="H881" s="27" t="n"/>
    </row>
    <row r="882" ht="17.25" customHeight="1" s="322">
      <c r="A882" s="27" t="n"/>
      <c r="B882" s="506" t="n"/>
      <c r="C882" s="141" t="n"/>
      <c r="D882" s="141" t="n"/>
      <c r="E882" s="141" t="n"/>
      <c r="F882" s="141" t="n"/>
      <c r="G882" s="143" t="n"/>
      <c r="H882" s="27" t="n"/>
    </row>
    <row r="883" ht="17.25" customHeight="1" s="322">
      <c r="A883" s="27" t="n"/>
      <c r="B883" s="506" t="n"/>
      <c r="C883" s="141" t="n"/>
      <c r="D883" s="141" t="n"/>
      <c r="E883" s="141" t="n"/>
      <c r="F883" s="141" t="n"/>
      <c r="G883" s="143" t="n"/>
      <c r="H883" s="27" t="n"/>
    </row>
    <row r="884" ht="17.25" customHeight="1" s="322">
      <c r="A884" s="27" t="n"/>
      <c r="B884" s="506" t="n"/>
      <c r="C884" s="141" t="n"/>
      <c r="D884" s="141" t="n"/>
      <c r="E884" s="141" t="n"/>
      <c r="F884" s="141" t="n"/>
      <c r="G884" s="143" t="n"/>
      <c r="H884" s="27" t="n"/>
    </row>
    <row r="885" ht="17.25" customHeight="1" s="322">
      <c r="A885" s="27" t="n"/>
      <c r="B885" s="506" t="n"/>
      <c r="C885" s="141" t="n"/>
      <c r="D885" s="141" t="n"/>
      <c r="E885" s="141" t="n"/>
      <c r="F885" s="141" t="n"/>
      <c r="G885" s="143" t="n"/>
      <c r="H885" s="27" t="n"/>
    </row>
    <row r="886" ht="17.25" customHeight="1" s="322">
      <c r="A886" s="27" t="n"/>
      <c r="B886" s="506" t="n"/>
      <c r="C886" s="141" t="n"/>
      <c r="D886" s="141" t="n"/>
      <c r="E886" s="141" t="n"/>
      <c r="F886" s="141" t="n"/>
      <c r="G886" s="143" t="n"/>
      <c r="H886" s="27" t="n"/>
    </row>
    <row r="887" ht="17.25" customHeight="1" s="322">
      <c r="A887" s="27" t="n"/>
      <c r="B887" s="506" t="n"/>
      <c r="C887" s="141" t="n"/>
      <c r="D887" s="141" t="n"/>
      <c r="E887" s="141" t="n"/>
      <c r="F887" s="141" t="n"/>
      <c r="G887" s="143" t="n"/>
      <c r="H887" s="27" t="n"/>
    </row>
    <row r="888" ht="17.25" customHeight="1" s="322">
      <c r="A888" s="27" t="n"/>
      <c r="B888" s="506" t="n"/>
      <c r="C888" s="141" t="n"/>
      <c r="D888" s="141" t="n"/>
      <c r="E888" s="141" t="n"/>
      <c r="F888" s="141" t="n"/>
      <c r="G888" s="143" t="n"/>
      <c r="H888" s="27" t="n"/>
    </row>
    <row r="889" ht="17.25" customHeight="1" s="322">
      <c r="A889" s="27" t="n"/>
      <c r="B889" s="506" t="n"/>
      <c r="C889" s="141" t="n"/>
      <c r="D889" s="141" t="n"/>
      <c r="E889" s="141" t="n"/>
      <c r="F889" s="141" t="n"/>
      <c r="G889" s="143" t="n"/>
      <c r="H889" s="27" t="n"/>
    </row>
    <row r="890" ht="17.25" customHeight="1" s="322">
      <c r="A890" s="27" t="n"/>
      <c r="B890" s="506" t="n"/>
      <c r="C890" s="141" t="n"/>
      <c r="D890" s="141" t="n"/>
      <c r="E890" s="141" t="n"/>
      <c r="F890" s="141" t="n"/>
      <c r="G890" s="143" t="n"/>
      <c r="H890" s="27" t="n"/>
    </row>
    <row r="891" ht="17.25" customHeight="1" s="322">
      <c r="A891" s="27" t="n"/>
      <c r="B891" s="506" t="n"/>
      <c r="C891" s="141" t="n"/>
      <c r="D891" s="141" t="n"/>
      <c r="E891" s="141" t="n"/>
      <c r="F891" s="141" t="n"/>
      <c r="G891" s="143" t="n"/>
      <c r="H891" s="27" t="n"/>
    </row>
    <row r="892" ht="17.25" customHeight="1" s="322">
      <c r="A892" s="27" t="n"/>
      <c r="B892" s="506" t="n"/>
      <c r="C892" s="141" t="n"/>
      <c r="D892" s="141" t="n"/>
      <c r="E892" s="141" t="n"/>
      <c r="F892" s="141" t="n"/>
      <c r="G892" s="143" t="n"/>
      <c r="H892" s="27" t="n"/>
    </row>
    <row r="893" ht="17.25" customHeight="1" s="322">
      <c r="A893" s="27" t="n"/>
      <c r="B893" s="506" t="n"/>
      <c r="C893" s="141" t="n"/>
      <c r="D893" s="141" t="n"/>
      <c r="E893" s="141" t="n"/>
      <c r="F893" s="141" t="n"/>
      <c r="G893" s="143" t="n"/>
      <c r="H893" s="27" t="n"/>
    </row>
    <row r="894" ht="17.25" customHeight="1" s="322">
      <c r="A894" s="27" t="n"/>
      <c r="B894" s="506" t="n"/>
      <c r="C894" s="141" t="n"/>
      <c r="D894" s="141" t="n"/>
      <c r="E894" s="141" t="n"/>
      <c r="F894" s="141" t="n"/>
      <c r="G894" s="143" t="n"/>
      <c r="H894" s="27" t="n"/>
    </row>
    <row r="895" ht="17.25" customHeight="1" s="322">
      <c r="A895" s="27" t="n"/>
      <c r="B895" s="506" t="n"/>
      <c r="C895" s="141" t="n"/>
      <c r="D895" s="141" t="n"/>
      <c r="E895" s="141" t="n"/>
      <c r="F895" s="141" t="n"/>
      <c r="G895" s="143" t="n"/>
      <c r="H895" s="27" t="n"/>
    </row>
    <row r="896" ht="17.25" customHeight="1" s="322">
      <c r="A896" s="27" t="n"/>
      <c r="B896" s="506" t="n"/>
      <c r="C896" s="141" t="n"/>
      <c r="D896" s="141" t="n"/>
      <c r="E896" s="141" t="n"/>
      <c r="F896" s="141" t="n"/>
      <c r="G896" s="143" t="n"/>
      <c r="H896" s="27" t="n"/>
    </row>
    <row r="897" ht="17.25" customHeight="1" s="322">
      <c r="A897" s="27" t="n"/>
      <c r="B897" s="506" t="n"/>
      <c r="C897" s="141" t="n"/>
      <c r="D897" s="141" t="n"/>
      <c r="E897" s="141" t="n"/>
      <c r="F897" s="141" t="n"/>
      <c r="G897" s="143" t="n"/>
      <c r="H897" s="27" t="n"/>
    </row>
    <row r="898" ht="17.25" customHeight="1" s="322">
      <c r="A898" s="27" t="n"/>
      <c r="B898" s="506" t="n"/>
      <c r="C898" s="141" t="n"/>
      <c r="D898" s="141" t="n"/>
      <c r="E898" s="141" t="n"/>
      <c r="F898" s="141" t="n"/>
      <c r="G898" s="143" t="n"/>
      <c r="H898" s="27" t="n"/>
    </row>
    <row r="899" ht="17.25" customHeight="1" s="322">
      <c r="A899" s="27" t="n"/>
      <c r="B899" s="506" t="n"/>
      <c r="C899" s="141" t="n"/>
      <c r="D899" s="141" t="n"/>
      <c r="E899" s="141" t="n"/>
      <c r="F899" s="141" t="n"/>
      <c r="G899" s="143" t="n"/>
      <c r="H899" s="27" t="n"/>
    </row>
    <row r="900" ht="17.25" customHeight="1" s="322">
      <c r="A900" s="27" t="n"/>
      <c r="B900" s="506" t="n"/>
      <c r="C900" s="141" t="n"/>
      <c r="D900" s="141" t="n"/>
      <c r="E900" s="141" t="n"/>
      <c r="F900" s="141" t="n"/>
      <c r="G900" s="143" t="n"/>
      <c r="H900" s="27" t="n"/>
    </row>
    <row r="901" ht="17.25" customHeight="1" s="322">
      <c r="A901" s="27" t="n"/>
      <c r="B901" s="506" t="n"/>
      <c r="C901" s="141" t="n"/>
      <c r="D901" s="141" t="n"/>
      <c r="E901" s="141" t="n"/>
      <c r="F901" s="141" t="n"/>
      <c r="G901" s="143" t="n"/>
      <c r="H901" s="27" t="n"/>
    </row>
    <row r="902" ht="17.25" customHeight="1" s="322">
      <c r="A902" s="27" t="n"/>
      <c r="B902" s="506" t="n"/>
      <c r="C902" s="141" t="n"/>
      <c r="D902" s="141" t="n"/>
      <c r="E902" s="141" t="n"/>
      <c r="F902" s="141" t="n"/>
      <c r="G902" s="143" t="n"/>
      <c r="H902" s="27" t="n"/>
    </row>
    <row r="903" ht="17.25" customHeight="1" s="322">
      <c r="A903" s="27" t="n"/>
      <c r="B903" s="506" t="n"/>
      <c r="C903" s="141" t="n"/>
      <c r="D903" s="141" t="n"/>
      <c r="E903" s="141" t="n"/>
      <c r="F903" s="141" t="n"/>
      <c r="G903" s="143" t="n"/>
      <c r="H903" s="27" t="n"/>
    </row>
    <row r="904" ht="17.25" customHeight="1" s="322">
      <c r="A904" s="27" t="n"/>
      <c r="B904" s="506" t="n"/>
      <c r="C904" s="141" t="n"/>
      <c r="D904" s="141" t="n"/>
      <c r="E904" s="141" t="n"/>
      <c r="F904" s="141" t="n"/>
      <c r="G904" s="143" t="n"/>
      <c r="H904" s="27" t="n"/>
    </row>
    <row r="905" ht="17.25" customHeight="1" s="322">
      <c r="A905" s="27" t="n"/>
      <c r="B905" s="506" t="n"/>
      <c r="C905" s="141" t="n"/>
      <c r="D905" s="141" t="n"/>
      <c r="E905" s="141" t="n"/>
      <c r="F905" s="141" t="n"/>
      <c r="G905" s="143" t="n"/>
      <c r="H905" s="27" t="n"/>
    </row>
    <row r="906" ht="17.25" customHeight="1" s="322">
      <c r="A906" s="27" t="n"/>
      <c r="B906" s="506" t="n"/>
      <c r="C906" s="141" t="n"/>
      <c r="D906" s="141" t="n"/>
      <c r="E906" s="141" t="n"/>
      <c r="F906" s="141" t="n"/>
      <c r="G906" s="143" t="n"/>
      <c r="H906" s="27" t="n"/>
    </row>
    <row r="907" ht="17.25" customHeight="1" s="322">
      <c r="A907" s="27" t="n"/>
      <c r="B907" s="506" t="n"/>
      <c r="C907" s="141" t="n"/>
      <c r="D907" s="141" t="n"/>
      <c r="E907" s="141" t="n"/>
      <c r="F907" s="141" t="n"/>
      <c r="G907" s="143" t="n"/>
      <c r="H907" s="27" t="n"/>
    </row>
    <row r="908" ht="17.25" customHeight="1" s="322">
      <c r="A908" s="27" t="n"/>
      <c r="B908" s="506" t="n"/>
      <c r="C908" s="141" t="n"/>
      <c r="D908" s="141" t="n"/>
      <c r="E908" s="141" t="n"/>
      <c r="F908" s="141" t="n"/>
      <c r="G908" s="143" t="n"/>
      <c r="H908" s="27" t="n"/>
    </row>
    <row r="909" ht="17.25" customHeight="1" s="322">
      <c r="A909" s="27" t="n"/>
      <c r="B909" s="506" t="n"/>
      <c r="C909" s="141" t="n"/>
      <c r="D909" s="141" t="n"/>
      <c r="E909" s="141" t="n"/>
      <c r="F909" s="141" t="n"/>
      <c r="G909" s="143" t="n"/>
      <c r="H909" s="27" t="n"/>
    </row>
    <row r="910" ht="17.25" customHeight="1" s="322">
      <c r="A910" s="27" t="n"/>
      <c r="B910" s="506" t="n"/>
      <c r="C910" s="141" t="n"/>
      <c r="D910" s="141" t="n"/>
      <c r="E910" s="141" t="n"/>
      <c r="F910" s="141" t="n"/>
      <c r="G910" s="143" t="n"/>
      <c r="H910" s="27" t="n"/>
    </row>
    <row r="911" ht="17.25" customHeight="1" s="322">
      <c r="A911" s="27" t="n"/>
      <c r="B911" s="506" t="n"/>
      <c r="C911" s="141" t="n"/>
      <c r="D911" s="141" t="n"/>
      <c r="E911" s="141" t="n"/>
      <c r="F911" s="141" t="n"/>
      <c r="G911" s="143" t="n"/>
      <c r="H911" s="27" t="n"/>
    </row>
    <row r="912" ht="17.25" customHeight="1" s="322">
      <c r="A912" s="27" t="n"/>
      <c r="B912" s="506" t="n"/>
      <c r="C912" s="141" t="n"/>
      <c r="D912" s="141" t="n"/>
      <c r="E912" s="141" t="n"/>
      <c r="F912" s="141" t="n"/>
      <c r="G912" s="143" t="n"/>
      <c r="H912" s="27" t="n"/>
    </row>
    <row r="913" ht="17.25" customHeight="1" s="322">
      <c r="A913" s="27" t="n"/>
      <c r="B913" s="506" t="n"/>
      <c r="C913" s="141" t="n"/>
      <c r="D913" s="141" t="n"/>
      <c r="E913" s="141" t="n"/>
      <c r="F913" s="141" t="n"/>
      <c r="G913" s="143" t="n"/>
      <c r="H913" s="27" t="n"/>
    </row>
    <row r="914" ht="17.25" customHeight="1" s="322">
      <c r="A914" s="27" t="n"/>
      <c r="B914" s="506" t="n"/>
      <c r="C914" s="141" t="n"/>
      <c r="D914" s="141" t="n"/>
      <c r="E914" s="141" t="n"/>
      <c r="F914" s="141" t="n"/>
      <c r="G914" s="143" t="n"/>
      <c r="H914" s="27" t="n"/>
    </row>
    <row r="915" ht="17.25" customHeight="1" s="322">
      <c r="A915" s="27" t="n"/>
      <c r="B915" s="506" t="n"/>
      <c r="C915" s="141" t="n"/>
      <c r="D915" s="141" t="n"/>
      <c r="E915" s="141" t="n"/>
      <c r="F915" s="141" t="n"/>
      <c r="G915" s="143" t="n"/>
      <c r="H915" s="27" t="n"/>
    </row>
    <row r="916" ht="17.25" customHeight="1" s="322">
      <c r="A916" s="27" t="n"/>
      <c r="B916" s="506" t="n"/>
      <c r="C916" s="141" t="n"/>
      <c r="D916" s="141" t="n"/>
      <c r="E916" s="141" t="n"/>
      <c r="F916" s="141" t="n"/>
      <c r="G916" s="143" t="n"/>
      <c r="H916" s="27" t="n"/>
    </row>
    <row r="917" ht="17.25" customHeight="1" s="322">
      <c r="A917" s="27" t="n"/>
      <c r="B917" s="506" t="n"/>
      <c r="C917" s="141" t="n"/>
      <c r="D917" s="141" t="n"/>
      <c r="E917" s="141" t="n"/>
      <c r="F917" s="141" t="n"/>
      <c r="G917" s="143" t="n"/>
      <c r="H917" s="27" t="n"/>
    </row>
    <row r="918" ht="17.25" customHeight="1" s="322">
      <c r="A918" s="27" t="n"/>
      <c r="B918" s="506" t="n"/>
      <c r="C918" s="141" t="n"/>
      <c r="D918" s="141" t="n"/>
      <c r="E918" s="141" t="n"/>
      <c r="F918" s="141" t="n"/>
      <c r="G918" s="143" t="n"/>
      <c r="H918" s="27" t="n"/>
    </row>
    <row r="919" ht="17.25" customHeight="1" s="322">
      <c r="A919" s="27" t="n"/>
      <c r="B919" s="506" t="n"/>
      <c r="C919" s="141" t="n"/>
      <c r="D919" s="141" t="n"/>
      <c r="E919" s="141" t="n"/>
      <c r="F919" s="141" t="n"/>
      <c r="G919" s="143" t="n"/>
      <c r="H919" s="27" t="n"/>
    </row>
    <row r="920" ht="17.25" customHeight="1" s="322">
      <c r="A920" s="27" t="n"/>
      <c r="B920" s="506" t="n"/>
      <c r="C920" s="141" t="n"/>
      <c r="D920" s="141" t="n"/>
      <c r="E920" s="141" t="n"/>
      <c r="F920" s="141" t="n"/>
      <c r="G920" s="143" t="n"/>
      <c r="H920" s="27" t="n"/>
    </row>
    <row r="921" ht="17.25" customHeight="1" s="322">
      <c r="A921" s="27" t="n"/>
      <c r="B921" s="506" t="n"/>
      <c r="C921" s="141" t="n"/>
      <c r="D921" s="141" t="n"/>
      <c r="E921" s="141" t="n"/>
      <c r="F921" s="141" t="n"/>
      <c r="G921" s="143" t="n"/>
      <c r="H921" s="27" t="n"/>
    </row>
    <row r="922" ht="17.25" customHeight="1" s="322">
      <c r="A922" s="27" t="n"/>
      <c r="B922" s="506" t="n"/>
      <c r="C922" s="141" t="n"/>
      <c r="D922" s="141" t="n"/>
      <c r="E922" s="141" t="n"/>
      <c r="F922" s="141" t="n"/>
      <c r="G922" s="143" t="n"/>
      <c r="H922" s="27" t="n"/>
    </row>
    <row r="923" ht="17.25" customHeight="1" s="322">
      <c r="A923" s="27" t="n"/>
      <c r="B923" s="506" t="n"/>
      <c r="C923" s="141" t="n"/>
      <c r="D923" s="141" t="n"/>
      <c r="E923" s="141" t="n"/>
      <c r="F923" s="141" t="n"/>
      <c r="G923" s="143" t="n"/>
      <c r="H923" s="27" t="n"/>
    </row>
    <row r="924" ht="17.25" customHeight="1" s="322">
      <c r="A924" s="27" t="n"/>
      <c r="B924" s="506" t="n"/>
      <c r="C924" s="141" t="n"/>
      <c r="D924" s="141" t="n"/>
      <c r="E924" s="141" t="n"/>
      <c r="F924" s="141" t="n"/>
      <c r="G924" s="143" t="n"/>
      <c r="H924" s="27" t="n"/>
    </row>
    <row r="925" ht="17.25" customHeight="1" s="322">
      <c r="A925" s="27" t="n"/>
      <c r="B925" s="506" t="n"/>
      <c r="C925" s="141" t="n"/>
      <c r="D925" s="141" t="n"/>
      <c r="E925" s="141" t="n"/>
      <c r="F925" s="141" t="n"/>
      <c r="G925" s="143" t="n"/>
      <c r="H925" s="27" t="n"/>
    </row>
    <row r="926" ht="17.25" customHeight="1" s="322">
      <c r="A926" s="27" t="n"/>
      <c r="B926" s="506" t="n"/>
      <c r="C926" s="141" t="n"/>
      <c r="D926" s="141" t="n"/>
      <c r="E926" s="141" t="n"/>
      <c r="F926" s="141" t="n"/>
      <c r="G926" s="143" t="n"/>
      <c r="H926" s="27" t="n"/>
    </row>
    <row r="927" ht="17.25" customHeight="1" s="322">
      <c r="A927" s="27" t="n"/>
      <c r="B927" s="506" t="n"/>
      <c r="C927" s="141" t="n"/>
      <c r="D927" s="141" t="n"/>
      <c r="E927" s="141" t="n"/>
      <c r="F927" s="141" t="n"/>
      <c r="G927" s="143" t="n"/>
      <c r="H927" s="27" t="n"/>
    </row>
    <row r="928" ht="17.25" customHeight="1" s="322">
      <c r="A928" s="27" t="n"/>
      <c r="B928" s="506" t="n"/>
      <c r="C928" s="141" t="n"/>
      <c r="D928" s="141" t="n"/>
      <c r="E928" s="141" t="n"/>
      <c r="F928" s="141" t="n"/>
      <c r="G928" s="143" t="n"/>
      <c r="H928" s="27" t="n"/>
    </row>
    <row r="929" ht="17.25" customHeight="1" s="322">
      <c r="A929" s="27" t="n"/>
      <c r="B929" s="506" t="n"/>
      <c r="C929" s="141" t="n"/>
      <c r="D929" s="141" t="n"/>
      <c r="E929" s="141" t="n"/>
      <c r="F929" s="141" t="n"/>
      <c r="G929" s="143" t="n"/>
      <c r="H929" s="27" t="n"/>
    </row>
    <row r="930" ht="17.25" customHeight="1" s="322">
      <c r="A930" s="27" t="n"/>
      <c r="B930" s="506" t="n"/>
      <c r="C930" s="141" t="n"/>
      <c r="D930" s="141" t="n"/>
      <c r="E930" s="141" t="n"/>
      <c r="F930" s="141" t="n"/>
      <c r="G930" s="143" t="n"/>
      <c r="H930" s="27" t="n"/>
    </row>
    <row r="931" ht="17.25" customHeight="1" s="322">
      <c r="A931" s="27" t="n"/>
      <c r="B931" s="506" t="n"/>
      <c r="C931" s="141" t="n"/>
      <c r="D931" s="141" t="n"/>
      <c r="E931" s="141" t="n"/>
      <c r="F931" s="141" t="n"/>
      <c r="G931" s="143" t="n"/>
      <c r="H931" s="27" t="n"/>
    </row>
    <row r="932" ht="17.25" customHeight="1" s="322">
      <c r="A932" s="27" t="n"/>
      <c r="B932" s="506" t="n"/>
      <c r="C932" s="141" t="n"/>
      <c r="D932" s="141" t="n"/>
      <c r="E932" s="141" t="n"/>
      <c r="F932" s="141" t="n"/>
      <c r="G932" s="143" t="n"/>
      <c r="H932" s="27" t="n"/>
    </row>
    <row r="933" ht="17.25" customHeight="1" s="322">
      <c r="A933" s="27" t="n"/>
      <c r="B933" s="506" t="n"/>
      <c r="C933" s="141" t="n"/>
      <c r="D933" s="141" t="n"/>
      <c r="E933" s="141" t="n"/>
      <c r="F933" s="141" t="n"/>
      <c r="G933" s="143" t="n"/>
      <c r="H933" s="27" t="n"/>
    </row>
    <row r="934" ht="17.25" customHeight="1" s="322">
      <c r="A934" s="27" t="n"/>
      <c r="B934" s="506" t="n"/>
      <c r="C934" s="141" t="n"/>
      <c r="D934" s="141" t="n"/>
      <c r="E934" s="141" t="n"/>
      <c r="F934" s="141" t="n"/>
      <c r="G934" s="143" t="n"/>
      <c r="H934" s="27" t="n"/>
    </row>
    <row r="935" ht="17.25" customHeight="1" s="322">
      <c r="A935" s="27" t="n"/>
      <c r="B935" s="506" t="n"/>
      <c r="C935" s="141" t="n"/>
      <c r="D935" s="141" t="n"/>
      <c r="E935" s="141" t="n"/>
      <c r="F935" s="141" t="n"/>
      <c r="G935" s="143" t="n"/>
      <c r="H935" s="27" t="n"/>
    </row>
    <row r="936" ht="17.25" customHeight="1" s="322">
      <c r="A936" s="27" t="n"/>
      <c r="B936" s="506" t="n"/>
      <c r="C936" s="141" t="n"/>
      <c r="D936" s="141" t="n"/>
      <c r="E936" s="141" t="n"/>
      <c r="F936" s="141" t="n"/>
      <c r="G936" s="143" t="n"/>
      <c r="H936" s="27" t="n"/>
    </row>
    <row r="937" ht="17.25" customHeight="1" s="322">
      <c r="A937" s="27" t="n"/>
      <c r="B937" s="506" t="n"/>
      <c r="C937" s="141" t="n"/>
      <c r="D937" s="141" t="n"/>
      <c r="E937" s="141" t="n"/>
      <c r="F937" s="141" t="n"/>
      <c r="G937" s="143" t="n"/>
      <c r="H937" s="27" t="n"/>
    </row>
    <row r="938" ht="17.25" customHeight="1" s="322">
      <c r="A938" s="27" t="n"/>
      <c r="B938" s="506" t="n"/>
      <c r="C938" s="141" t="n"/>
      <c r="D938" s="141" t="n"/>
      <c r="E938" s="141" t="n"/>
      <c r="F938" s="141" t="n"/>
      <c r="G938" s="143" t="n"/>
      <c r="H938" s="27" t="n"/>
    </row>
    <row r="939" ht="17.25" customHeight="1" s="322">
      <c r="A939" s="27" t="n"/>
      <c r="B939" s="506" t="n"/>
      <c r="C939" s="141" t="n"/>
      <c r="D939" s="141" t="n"/>
      <c r="E939" s="141" t="n"/>
      <c r="F939" s="141" t="n"/>
      <c r="G939" s="143" t="n"/>
      <c r="H939" s="27" t="n"/>
    </row>
    <row r="940" ht="17.25" customHeight="1" s="322">
      <c r="A940" s="27" t="n"/>
      <c r="B940" s="506" t="n"/>
      <c r="C940" s="141" t="n"/>
      <c r="D940" s="141" t="n"/>
      <c r="E940" s="141" t="n"/>
      <c r="F940" s="141" t="n"/>
      <c r="G940" s="143" t="n"/>
      <c r="H940" s="27" t="n"/>
    </row>
    <row r="941" ht="17.25" customHeight="1" s="322">
      <c r="A941" s="27" t="n"/>
      <c r="B941" s="506" t="n"/>
      <c r="C941" s="141" t="n"/>
      <c r="D941" s="141" t="n"/>
      <c r="E941" s="141" t="n"/>
      <c r="F941" s="141" t="n"/>
      <c r="G941" s="143" t="n"/>
      <c r="H941" s="27" t="n"/>
    </row>
    <row r="942" ht="17.25" customHeight="1" s="322">
      <c r="A942" s="27" t="n"/>
      <c r="B942" s="506" t="n"/>
      <c r="C942" s="141" t="n"/>
      <c r="D942" s="141" t="n"/>
      <c r="E942" s="141" t="n"/>
      <c r="F942" s="141" t="n"/>
      <c r="G942" s="143" t="n"/>
      <c r="H942" s="27" t="n"/>
    </row>
    <row r="943" ht="17.25" customHeight="1" s="322">
      <c r="A943" s="27" t="n"/>
      <c r="B943" s="506" t="n"/>
      <c r="C943" s="141" t="n"/>
      <c r="D943" s="141" t="n"/>
      <c r="E943" s="141" t="n"/>
      <c r="F943" s="141" t="n"/>
      <c r="G943" s="143" t="n"/>
      <c r="H943" s="27" t="n"/>
    </row>
    <row r="944" ht="17.25" customHeight="1" s="322">
      <c r="A944" s="27" t="n"/>
      <c r="B944" s="506" t="n"/>
      <c r="C944" s="141" t="n"/>
      <c r="D944" s="141" t="n"/>
      <c r="E944" s="141" t="n"/>
      <c r="F944" s="141" t="n"/>
      <c r="G944" s="143" t="n"/>
      <c r="H944" s="27" t="n"/>
    </row>
    <row r="945" ht="17.25" customHeight="1" s="322">
      <c r="A945" s="27" t="n"/>
      <c r="B945" s="506" t="n"/>
      <c r="C945" s="141" t="n"/>
      <c r="D945" s="141" t="n"/>
      <c r="E945" s="141" t="n"/>
      <c r="F945" s="141" t="n"/>
      <c r="G945" s="143" t="n"/>
      <c r="H945" s="27" t="n"/>
    </row>
    <row r="946" ht="17.25" customHeight="1" s="322">
      <c r="A946" s="27" t="n"/>
      <c r="B946" s="506" t="n"/>
      <c r="C946" s="141" t="n"/>
      <c r="D946" s="141" t="n"/>
      <c r="E946" s="141" t="n"/>
      <c r="F946" s="141" t="n"/>
      <c r="G946" s="143" t="n"/>
      <c r="H946" s="27" t="n"/>
    </row>
    <row r="947" ht="17.25" customHeight="1" s="322">
      <c r="A947" s="27" t="n"/>
      <c r="B947" s="506" t="n"/>
      <c r="C947" s="141" t="n"/>
      <c r="D947" s="141" t="n"/>
      <c r="E947" s="141" t="n"/>
      <c r="F947" s="141" t="n"/>
      <c r="G947" s="143" t="n"/>
      <c r="H947" s="27" t="n"/>
    </row>
    <row r="948" ht="17.25" customHeight="1" s="322">
      <c r="A948" s="27" t="n"/>
      <c r="B948" s="506" t="n"/>
      <c r="C948" s="141" t="n"/>
      <c r="D948" s="141" t="n"/>
      <c r="E948" s="141" t="n"/>
      <c r="F948" s="141" t="n"/>
      <c r="G948" s="143" t="n"/>
      <c r="H948" s="27" t="n"/>
    </row>
    <row r="949" ht="17.25" customHeight="1" s="322">
      <c r="A949" s="27" t="n"/>
      <c r="B949" s="506" t="n"/>
      <c r="C949" s="141" t="n"/>
      <c r="D949" s="141" t="n"/>
      <c r="E949" s="141" t="n"/>
      <c r="F949" s="141" t="n"/>
      <c r="G949" s="143" t="n"/>
      <c r="H949" s="27" t="n"/>
    </row>
    <row r="950" ht="17.25" customHeight="1" s="322">
      <c r="A950" s="27" t="n"/>
      <c r="B950" s="506" t="n"/>
      <c r="C950" s="141" t="n"/>
      <c r="D950" s="141" t="n"/>
      <c r="E950" s="141" t="n"/>
      <c r="F950" s="141" t="n"/>
      <c r="G950" s="143" t="n"/>
      <c r="H950" s="27" t="n"/>
    </row>
    <row r="951" ht="17.25" customHeight="1" s="322">
      <c r="A951" s="27" t="n"/>
      <c r="B951" s="506" t="n"/>
      <c r="C951" s="141" t="n"/>
      <c r="D951" s="141" t="n"/>
      <c r="E951" s="141" t="n"/>
      <c r="F951" s="141" t="n"/>
      <c r="G951" s="143" t="n"/>
      <c r="H951" s="27" t="n"/>
    </row>
    <row r="952" ht="17.25" customHeight="1" s="322">
      <c r="A952" s="27" t="n"/>
      <c r="B952" s="506" t="n"/>
      <c r="C952" s="141" t="n"/>
      <c r="D952" s="141" t="n"/>
      <c r="E952" s="141" t="n"/>
      <c r="F952" s="141" t="n"/>
      <c r="G952" s="143" t="n"/>
      <c r="H952" s="27" t="n"/>
    </row>
    <row r="953" ht="17.25" customHeight="1" s="322">
      <c r="A953" s="27" t="n"/>
      <c r="B953" s="506" t="n"/>
      <c r="C953" s="141" t="n"/>
      <c r="D953" s="141" t="n"/>
      <c r="E953" s="141" t="n"/>
      <c r="F953" s="141" t="n"/>
      <c r="G953" s="143" t="n"/>
      <c r="H953" s="27" t="n"/>
    </row>
    <row r="954" ht="17.25" customHeight="1" s="322">
      <c r="A954" s="27" t="n"/>
      <c r="B954" s="506" t="n"/>
      <c r="C954" s="141" t="n"/>
      <c r="D954" s="141" t="n"/>
      <c r="E954" s="141" t="n"/>
      <c r="F954" s="141" t="n"/>
      <c r="G954" s="143" t="n"/>
      <c r="H954" s="27" t="n"/>
    </row>
    <row r="955" ht="17.25" customHeight="1" s="322">
      <c r="A955" s="27" t="n"/>
      <c r="B955" s="506" t="n"/>
      <c r="C955" s="141" t="n"/>
      <c r="D955" s="141" t="n"/>
      <c r="E955" s="141" t="n"/>
      <c r="F955" s="141" t="n"/>
      <c r="G955" s="143" t="n"/>
      <c r="H955" s="27" t="n"/>
    </row>
    <row r="956" ht="17.25" customHeight="1" s="322">
      <c r="A956" s="27" t="n"/>
      <c r="B956" s="506" t="n"/>
      <c r="C956" s="141" t="n"/>
      <c r="D956" s="141" t="n"/>
      <c r="E956" s="141" t="n"/>
      <c r="F956" s="141" t="n"/>
      <c r="G956" s="143" t="n"/>
      <c r="H956" s="27" t="n"/>
    </row>
    <row r="957" ht="17.25" customHeight="1" s="322">
      <c r="A957" s="27" t="n"/>
      <c r="B957" s="506" t="n"/>
      <c r="C957" s="141" t="n"/>
      <c r="D957" s="141" t="n"/>
      <c r="E957" s="141" t="n"/>
      <c r="F957" s="141" t="n"/>
      <c r="G957" s="143" t="n"/>
      <c r="H957" s="27" t="n"/>
    </row>
    <row r="958" ht="17.25" customHeight="1" s="322">
      <c r="A958" s="27" t="n"/>
      <c r="B958" s="506" t="n"/>
      <c r="C958" s="141" t="n"/>
      <c r="D958" s="141" t="n"/>
      <c r="E958" s="141" t="n"/>
      <c r="F958" s="141" t="n"/>
      <c r="G958" s="143" t="n"/>
      <c r="H958" s="27" t="n"/>
    </row>
    <row r="959" ht="17.25" customHeight="1" s="322">
      <c r="A959" s="27" t="n"/>
      <c r="B959" s="506" t="n"/>
      <c r="C959" s="141" t="n"/>
      <c r="D959" s="141" t="n"/>
      <c r="E959" s="141" t="n"/>
      <c r="F959" s="141" t="n"/>
      <c r="G959" s="143" t="n"/>
      <c r="H959" s="27" t="n"/>
    </row>
    <row r="960" ht="17.25" customHeight="1" s="322">
      <c r="A960" s="27" t="n"/>
      <c r="B960" s="506" t="n"/>
      <c r="C960" s="141" t="n"/>
      <c r="D960" s="141" t="n"/>
      <c r="E960" s="141" t="n"/>
      <c r="F960" s="141" t="n"/>
      <c r="G960" s="143" t="n"/>
      <c r="H960" s="27" t="n"/>
    </row>
    <row r="961" ht="17.25" customHeight="1" s="322">
      <c r="A961" s="27" t="n"/>
      <c r="B961" s="506" t="n"/>
      <c r="C961" s="141" t="n"/>
      <c r="D961" s="141" t="n"/>
      <c r="E961" s="141" t="n"/>
      <c r="F961" s="141" t="n"/>
      <c r="G961" s="143" t="n"/>
      <c r="H961" s="27" t="n"/>
    </row>
    <row r="962" ht="17.25" customHeight="1" s="322">
      <c r="A962" s="27" t="n"/>
      <c r="B962" s="506" t="n"/>
      <c r="C962" s="141" t="n"/>
      <c r="D962" s="141" t="n"/>
      <c r="E962" s="141" t="n"/>
      <c r="F962" s="141" t="n"/>
      <c r="G962" s="143" t="n"/>
      <c r="H962" s="27" t="n"/>
    </row>
    <row r="963" ht="17.25" customHeight="1" s="322">
      <c r="A963" s="27" t="n"/>
      <c r="B963" s="506" t="n"/>
      <c r="C963" s="141" t="n"/>
      <c r="D963" s="141" t="n"/>
      <c r="E963" s="141" t="n"/>
      <c r="F963" s="141" t="n"/>
      <c r="G963" s="143" t="n"/>
      <c r="H963" s="27" t="n"/>
    </row>
    <row r="964" ht="17.25" customHeight="1" s="322">
      <c r="A964" s="27" t="n"/>
      <c r="B964" s="506" t="n"/>
      <c r="C964" s="141" t="n"/>
      <c r="D964" s="141" t="n"/>
      <c r="E964" s="141" t="n"/>
      <c r="F964" s="141" t="n"/>
      <c r="G964" s="143" t="n"/>
      <c r="H964" s="27" t="n"/>
    </row>
    <row r="965" ht="17.25" customHeight="1" s="322">
      <c r="A965" s="27" t="n"/>
      <c r="B965" s="506" t="n"/>
      <c r="C965" s="141" t="n"/>
      <c r="D965" s="141" t="n"/>
      <c r="E965" s="141" t="n"/>
      <c r="F965" s="141" t="n"/>
      <c r="G965" s="143" t="n"/>
      <c r="H965" s="27" t="n"/>
    </row>
    <row r="966" ht="17.25" customHeight="1" s="322">
      <c r="A966" s="27" t="n"/>
      <c r="B966" s="506" t="n"/>
      <c r="C966" s="141" t="n"/>
      <c r="D966" s="141" t="n"/>
      <c r="E966" s="141" t="n"/>
      <c r="F966" s="141" t="n"/>
      <c r="G966" s="143" t="n"/>
      <c r="H966" s="27" t="n"/>
    </row>
    <row r="967" ht="17.25" customHeight="1" s="322">
      <c r="A967" s="27" t="n"/>
      <c r="B967" s="506" t="n"/>
      <c r="C967" s="141" t="n"/>
      <c r="D967" s="141" t="n"/>
      <c r="E967" s="141" t="n"/>
      <c r="F967" s="141" t="n"/>
      <c r="G967" s="143" t="n"/>
      <c r="H967" s="27" t="n"/>
    </row>
    <row r="968" ht="17.25" customHeight="1" s="322">
      <c r="A968" s="27" t="n"/>
      <c r="B968" s="506" t="n"/>
      <c r="C968" s="141" t="n"/>
      <c r="D968" s="141" t="n"/>
      <c r="E968" s="141" t="n"/>
      <c r="F968" s="141" t="n"/>
      <c r="G968" s="143" t="n"/>
      <c r="H968" s="27" t="n"/>
    </row>
    <row r="969" ht="17.25" customHeight="1" s="322">
      <c r="A969" s="27" t="n"/>
      <c r="B969" s="506" t="n"/>
      <c r="C969" s="141" t="n"/>
      <c r="D969" s="141" t="n"/>
      <c r="E969" s="141" t="n"/>
      <c r="F969" s="141" t="n"/>
      <c r="G969" s="143" t="n"/>
      <c r="H969" s="27" t="n"/>
    </row>
    <row r="970" ht="17.25" customHeight="1" s="322">
      <c r="A970" s="27" t="n"/>
      <c r="B970" s="506" t="n"/>
      <c r="C970" s="141" t="n"/>
      <c r="D970" s="141" t="n"/>
      <c r="E970" s="141" t="n"/>
      <c r="F970" s="141" t="n"/>
      <c r="G970" s="143" t="n"/>
      <c r="H970" s="27" t="n"/>
    </row>
    <row r="971" ht="17.25" customHeight="1" s="322">
      <c r="A971" s="27" t="n"/>
      <c r="B971" s="506" t="n"/>
      <c r="C971" s="141" t="n"/>
      <c r="D971" s="141" t="n"/>
      <c r="E971" s="141" t="n"/>
      <c r="F971" s="141" t="n"/>
      <c r="G971" s="143" t="n"/>
      <c r="H971" s="27" t="n"/>
    </row>
    <row r="972" ht="17.25" customHeight="1" s="322">
      <c r="A972" s="27" t="n"/>
      <c r="B972" s="506" t="n"/>
      <c r="C972" s="141" t="n"/>
      <c r="D972" s="141" t="n"/>
      <c r="E972" s="141" t="n"/>
      <c r="F972" s="141" t="n"/>
      <c r="G972" s="143" t="n"/>
      <c r="H972" s="27" t="n"/>
    </row>
    <row r="973" ht="17.25" customHeight="1" s="322">
      <c r="A973" s="27" t="n"/>
      <c r="B973" s="506" t="n"/>
      <c r="C973" s="141" t="n"/>
      <c r="D973" s="141" t="n"/>
      <c r="E973" s="141" t="n"/>
      <c r="F973" s="141" t="n"/>
      <c r="G973" s="143" t="n"/>
      <c r="H973" s="27" t="n"/>
    </row>
    <row r="974" ht="17.25" customHeight="1" s="322">
      <c r="A974" s="27" t="n"/>
      <c r="B974" s="506" t="n"/>
      <c r="C974" s="141" t="n"/>
      <c r="D974" s="141" t="n"/>
      <c r="E974" s="141" t="n"/>
      <c r="F974" s="141" t="n"/>
      <c r="G974" s="143" t="n"/>
      <c r="H974" s="27" t="n"/>
    </row>
    <row r="975" ht="17.25" customHeight="1" s="322">
      <c r="A975" s="27" t="n"/>
      <c r="B975" s="506" t="n"/>
      <c r="C975" s="141" t="n"/>
      <c r="D975" s="141" t="n"/>
      <c r="E975" s="141" t="n"/>
      <c r="F975" s="141" t="n"/>
      <c r="G975" s="143" t="n"/>
      <c r="H975" s="27" t="n"/>
    </row>
    <row r="976" ht="17.25" customHeight="1" s="322">
      <c r="A976" s="27" t="n"/>
      <c r="B976" s="506" t="n"/>
      <c r="C976" s="141" t="n"/>
      <c r="D976" s="141" t="n"/>
      <c r="E976" s="141" t="n"/>
      <c r="F976" s="141" t="n"/>
      <c r="G976" s="143" t="n"/>
      <c r="H976" s="27" t="n"/>
    </row>
    <row r="977" ht="17.25" customHeight="1" s="322">
      <c r="A977" s="27" t="n"/>
      <c r="B977" s="506" t="n"/>
      <c r="C977" s="141" t="n"/>
      <c r="D977" s="141" t="n"/>
      <c r="E977" s="141" t="n"/>
      <c r="F977" s="141" t="n"/>
      <c r="G977" s="143" t="n"/>
      <c r="H977" s="27" t="n"/>
    </row>
    <row r="978" ht="17.25" customHeight="1" s="322">
      <c r="A978" s="27" t="n"/>
      <c r="B978" s="506" t="n"/>
      <c r="C978" s="141" t="n"/>
      <c r="D978" s="141" t="n"/>
      <c r="E978" s="141" t="n"/>
      <c r="F978" s="141" t="n"/>
      <c r="G978" s="143" t="n"/>
      <c r="H978" s="27" t="n"/>
    </row>
    <row r="979" ht="17.25" customHeight="1" s="322">
      <c r="A979" s="27" t="n"/>
      <c r="B979" s="506" t="n"/>
      <c r="C979" s="141" t="n"/>
      <c r="D979" s="141" t="n"/>
      <c r="E979" s="141" t="n"/>
      <c r="F979" s="141" t="n"/>
      <c r="G979" s="143" t="n"/>
      <c r="H979" s="27" t="n"/>
    </row>
    <row r="980" ht="17.25" customHeight="1" s="322">
      <c r="A980" s="27" t="n"/>
      <c r="B980" s="506" t="n"/>
      <c r="C980" s="141" t="n"/>
      <c r="D980" s="141" t="n"/>
      <c r="E980" s="141" t="n"/>
      <c r="F980" s="141" t="n"/>
      <c r="G980" s="143" t="n"/>
      <c r="H980" s="27" t="n"/>
    </row>
    <row r="981" ht="17.25" customHeight="1" s="322">
      <c r="A981" s="27" t="n"/>
      <c r="B981" s="506" t="n"/>
      <c r="C981" s="141" t="n"/>
      <c r="D981" s="141" t="n"/>
      <c r="E981" s="141" t="n"/>
      <c r="F981" s="141" t="n"/>
      <c r="G981" s="143" t="n"/>
      <c r="H981" s="27" t="n"/>
    </row>
    <row r="982" ht="17.25" customHeight="1" s="322">
      <c r="A982" s="27" t="n"/>
      <c r="B982" s="506" t="n"/>
      <c r="C982" s="141" t="n"/>
      <c r="D982" s="141" t="n"/>
      <c r="E982" s="141" t="n"/>
      <c r="F982" s="141" t="n"/>
      <c r="G982" s="143" t="n"/>
      <c r="H982" s="27" t="n"/>
    </row>
    <row r="983" ht="17.25" customHeight="1" s="322">
      <c r="A983" s="27" t="n"/>
      <c r="B983" s="506" t="n"/>
      <c r="C983" s="141" t="n"/>
      <c r="D983" s="141" t="n"/>
      <c r="E983" s="141" t="n"/>
      <c r="F983" s="141" t="n"/>
      <c r="G983" s="143" t="n"/>
      <c r="H983" s="27" t="n"/>
    </row>
    <row r="984" ht="17.25" customHeight="1" s="322">
      <c r="A984" s="27" t="n"/>
      <c r="B984" s="506" t="n"/>
      <c r="C984" s="141" t="n"/>
      <c r="D984" s="141" t="n"/>
      <c r="E984" s="141" t="n"/>
      <c r="F984" s="141" t="n"/>
      <c r="G984" s="143" t="n"/>
      <c r="H984" s="27" t="n"/>
    </row>
    <row r="985" ht="17.25" customHeight="1" s="322">
      <c r="A985" s="27" t="n"/>
      <c r="B985" s="506" t="n"/>
      <c r="C985" s="141" t="n"/>
      <c r="D985" s="141" t="n"/>
      <c r="E985" s="141" t="n"/>
      <c r="F985" s="141" t="n"/>
      <c r="G985" s="143" t="n"/>
      <c r="H985" s="27" t="n"/>
    </row>
    <row r="986" ht="17.25" customHeight="1" s="322">
      <c r="A986" s="27" t="n"/>
      <c r="B986" s="506" t="n"/>
      <c r="C986" s="141" t="n"/>
      <c r="D986" s="141" t="n"/>
      <c r="E986" s="141" t="n"/>
      <c r="F986" s="141" t="n"/>
      <c r="G986" s="143" t="n"/>
      <c r="H986" s="27" t="n"/>
    </row>
    <row r="987" ht="17.25" customHeight="1" s="322">
      <c r="A987" s="27" t="n"/>
      <c r="B987" s="506" t="n"/>
      <c r="C987" s="141" t="n"/>
      <c r="D987" s="141" t="n"/>
      <c r="E987" s="141" t="n"/>
      <c r="F987" s="141" t="n"/>
      <c r="G987" s="143" t="n"/>
      <c r="H987" s="27" t="n"/>
    </row>
    <row r="988" ht="17.25" customHeight="1" s="322">
      <c r="A988" s="27" t="n"/>
      <c r="B988" s="506" t="n"/>
      <c r="C988" s="141" t="n"/>
      <c r="D988" s="141" t="n"/>
      <c r="E988" s="141" t="n"/>
      <c r="F988" s="141" t="n"/>
      <c r="G988" s="143" t="n"/>
      <c r="H988" s="27" t="n"/>
    </row>
    <row r="989" ht="17.25" customHeight="1" s="322">
      <c r="A989" s="27" t="n"/>
      <c r="B989" s="506" t="n"/>
      <c r="C989" s="141" t="n"/>
      <c r="D989" s="141" t="n"/>
      <c r="E989" s="141" t="n"/>
      <c r="F989" s="141" t="n"/>
      <c r="G989" s="143" t="n"/>
      <c r="H989" s="27" t="n"/>
    </row>
    <row r="990" ht="17.25" customHeight="1" s="322">
      <c r="A990" s="27" t="n"/>
      <c r="B990" s="506" t="n"/>
      <c r="C990" s="141" t="n"/>
      <c r="D990" s="141" t="n"/>
      <c r="E990" s="141" t="n"/>
      <c r="F990" s="141" t="n"/>
      <c r="G990" s="143" t="n"/>
      <c r="H990" s="27" t="n"/>
    </row>
    <row r="991" ht="17.25" customHeight="1" s="322">
      <c r="A991" s="27" t="n"/>
      <c r="B991" s="506" t="n"/>
      <c r="C991" s="141" t="n"/>
      <c r="D991" s="141" t="n"/>
      <c r="E991" s="141" t="n"/>
      <c r="F991" s="141" t="n"/>
      <c r="G991" s="143" t="n"/>
      <c r="H991" s="27" t="n"/>
    </row>
    <row r="992" ht="17.25" customHeight="1" s="322">
      <c r="A992" s="27" t="n"/>
      <c r="B992" s="506" t="n"/>
      <c r="C992" s="141" t="n"/>
      <c r="D992" s="141" t="n"/>
      <c r="E992" s="141" t="n"/>
      <c r="F992" s="141" t="n"/>
      <c r="G992" s="143" t="n"/>
      <c r="H992" s="27" t="n"/>
    </row>
    <row r="993" ht="17.25" customHeight="1" s="322">
      <c r="A993" s="27" t="n"/>
      <c r="B993" s="506" t="n"/>
      <c r="C993" s="141" t="n"/>
      <c r="D993" s="141" t="n"/>
      <c r="E993" s="141" t="n"/>
      <c r="F993" s="141" t="n"/>
      <c r="G993" s="143" t="n"/>
      <c r="H993" s="27" t="n"/>
    </row>
    <row r="994" ht="17.25" customHeight="1" s="322">
      <c r="A994" s="27" t="n"/>
      <c r="B994" s="506" t="n"/>
      <c r="C994" s="141" t="n"/>
      <c r="D994" s="141" t="n"/>
      <c r="E994" s="141" t="n"/>
      <c r="F994" s="141" t="n"/>
      <c r="G994" s="143" t="n"/>
      <c r="H994" s="27" t="n"/>
    </row>
    <row r="995" ht="17.25" customHeight="1" s="322">
      <c r="A995" s="27" t="n"/>
      <c r="B995" s="506" t="n"/>
      <c r="C995" s="141" t="n"/>
      <c r="D995" s="141" t="n"/>
      <c r="E995" s="141" t="n"/>
      <c r="F995" s="141" t="n"/>
      <c r="G995" s="143" t="n"/>
      <c r="H995" s="27" t="n"/>
    </row>
    <row r="996" ht="17.25" customHeight="1" s="322">
      <c r="A996" s="27" t="n"/>
      <c r="B996" s="506" t="n"/>
      <c r="C996" s="141" t="n"/>
      <c r="D996" s="141" t="n"/>
      <c r="E996" s="141" t="n"/>
      <c r="F996" s="141" t="n"/>
      <c r="G996" s="143" t="n"/>
      <c r="H996" s="27" t="n"/>
    </row>
    <row r="997" ht="17.25" customHeight="1" s="322">
      <c r="A997" s="27" t="n"/>
      <c r="B997" s="506" t="n"/>
      <c r="C997" s="141" t="n"/>
      <c r="D997" s="141" t="n"/>
      <c r="E997" s="141" t="n"/>
      <c r="F997" s="141" t="n"/>
      <c r="G997" s="143" t="n"/>
      <c r="H997" s="27" t="n"/>
    </row>
    <row r="998" ht="17.25" customHeight="1" s="322">
      <c r="A998" s="27" t="n"/>
      <c r="B998" s="506" t="n"/>
      <c r="C998" s="141" t="n"/>
      <c r="D998" s="141" t="n"/>
      <c r="E998" s="141" t="n"/>
      <c r="F998" s="141" t="n"/>
      <c r="G998" s="143" t="n"/>
      <c r="H998" s="27" t="n"/>
    </row>
    <row r="999" ht="17.25" customHeight="1" s="322">
      <c r="A999" s="27" t="n"/>
      <c r="B999" s="506" t="n"/>
      <c r="C999" s="141" t="n"/>
      <c r="D999" s="141" t="n"/>
      <c r="E999" s="141" t="n"/>
      <c r="F999" s="141" t="n"/>
      <c r="G999" s="143" t="n"/>
      <c r="H999" s="27" t="n"/>
    </row>
    <row r="1000" ht="17.25" customHeight="1" s="322">
      <c r="A1000" s="27" t="n"/>
      <c r="B1000" s="506" t="n"/>
      <c r="C1000" s="141" t="n"/>
      <c r="D1000" s="141" t="n"/>
      <c r="E1000" s="141" t="n"/>
      <c r="F1000" s="141" t="n"/>
      <c r="G1000" s="143" t="n"/>
      <c r="H1000" s="27" t="n"/>
    </row>
  </sheetData>
  <mergeCells count="3">
    <mergeCell ref="B1:F2"/>
    <mergeCell ref="B7:G7"/>
    <mergeCell ref="B10:C10"/>
  </mergeCells>
  <conditionalFormatting sqref="D10:E10">
    <cfRule type="cellIs" priority="5" operator="lessThan" dxfId="5">
      <formula>0</formula>
    </cfRule>
    <cfRule type="cellIs" priority="6" operator="greaterThan" dxfId="4">
      <formula>0</formula>
    </cfRule>
  </conditionalFormatting>
  <conditionalFormatting sqref="F28:F1000">
    <cfRule type="expression" priority="1" dxfId="3">
      <formula>AND(F28=MAX(F$28:F$1000),F28&gt;0)</formula>
    </cfRule>
    <cfRule type="expression" priority="2" dxfId="2">
      <formula>AND(F28=MIN(F$28:F$1000),F28&gt;0)</formula>
    </cfRule>
  </conditionalFormatting>
  <conditionalFormatting sqref="F29:F1000">
    <cfRule type="expression" priority="3" dxfId="1">
      <formula>F29&gt;F27</formula>
    </cfRule>
    <cfRule type="expression" priority="4" dxfId="0">
      <formula>F29&lt;F27</formula>
    </cfRule>
  </conditionalFormatting>
  <conditionalFormatting sqref="G15">
    <cfRule type="colorScale" priority="7">
      <colorScale>
        <cfvo type="min"/>
        <cfvo type="max"/>
        <color rgb="FF57BB8A"/>
        <color rgb="FFFFFFFF"/>
      </colorScale>
    </cfRule>
  </conditionalFormatting>
  <dataValidations count="1">
    <dataValidation sqref="G15" showDropDown="0" showInputMessage="1" showErrorMessage="1" allowBlank="1" prompt="Click and enter a value from the list of items" type="list">
      <formula1>"1 Month,3 Months,6 Months,12 Months,36 Months"</formula1>
    </dataValidation>
  </dataValidations>
  <hyperlinks>
    <hyperlink xmlns:r="http://schemas.openxmlformats.org/officeDocument/2006/relationships" ref="B1" r:id="rId1"/>
    <hyperlink xmlns:r="http://schemas.openxmlformats.org/officeDocument/2006/relationships" ref="G2" r:id="rId2"/>
  </hyperlinks>
  <pageMargins left="0.7" right="0.7" top="0.75" bottom="0.75" header="0.3" footer="0.3"/>
  <drawing xmlns:r="http://schemas.openxmlformats.org/officeDocument/2006/relationships" r:id="rId3"/>
</worksheet>
</file>

<file path=xl/worksheets/sheet23.xml><?xml version="1.0" encoding="utf-8"?>
<worksheet xmlns="http://schemas.openxmlformats.org/spreadsheetml/2006/main">
  <sheetPr>
    <outlinePr summaryBelow="0" summaryRight="0"/>
    <pageSetUpPr/>
  </sheetPr>
  <dimension ref="A1:H1000"/>
  <sheetViews>
    <sheetView showGridLines="0" workbookViewId="0">
      <selection activeCell="A1" sqref="A1"/>
    </sheetView>
  </sheetViews>
  <sheetFormatPr baseColWidth="8" defaultColWidth="12.5703125" defaultRowHeight="15.75" customHeight="1"/>
  <cols>
    <col width="5.42578125" customWidth="1" style="322" min="1" max="1"/>
    <col width="15.7109375" customWidth="1" style="322" min="2" max="2"/>
    <col width="5.42578125" customWidth="1" style="322" min="8" max="8"/>
  </cols>
  <sheetData>
    <row r="1" ht="22.5" customHeight="1" s="322">
      <c r="A1" s="69" t="n"/>
      <c r="B1" s="455" t="inlineStr">
        <is>
          <t>← 관심종목으로 돌아가기</t>
        </is>
      </c>
      <c r="G1" s="72" t="inlineStr">
        <is>
          <t>제공:</t>
        </is>
      </c>
      <c r="H1" s="69" t="n"/>
    </row>
    <row r="2" ht="22.5" customHeight="1" s="322">
      <c r="A2" s="69" t="n"/>
      <c r="G2" s="77" t="inlineStr">
        <is>
          <t>Google Finance</t>
        </is>
      </c>
      <c r="H2" s="69" t="n"/>
    </row>
    <row r="3" ht="11.25" customHeight="1" s="322">
      <c r="A3" s="1" t="n"/>
      <c r="B3" s="1" t="n"/>
      <c r="C3" s="1" t="n"/>
      <c r="D3" s="1" t="n"/>
      <c r="E3" s="1" t="n"/>
      <c r="F3" s="1" t="n"/>
      <c r="G3" s="1" t="n"/>
      <c r="H3" s="1" t="n"/>
    </row>
    <row r="4" ht="15.75" customHeight="1" s="322">
      <c r="A4" s="1" t="n"/>
      <c r="B4" s="80" t="inlineStr">
        <is>
          <t>LQD</t>
        </is>
      </c>
      <c r="C4" s="81" t="inlineStr">
        <is>
          <t>&lt;&lt; 종목코드 입력</t>
        </is>
      </c>
      <c r="D4" s="1" t="n"/>
      <c r="E4" s="1" t="n"/>
      <c r="F4" s="1" t="n"/>
      <c r="G4" s="1" t="n"/>
      <c r="H4" s="1" t="n"/>
    </row>
    <row r="5" ht="15.75" customHeight="1" s="322">
      <c r="A5" s="1" t="n"/>
      <c r="B5" s="82" t="n"/>
      <c r="C5" s="81" t="inlineStr">
        <is>
          <t>&lt;&lt; 필요한 경우 거래소 입력(예: NASDAQ, NYSE)</t>
        </is>
      </c>
      <c r="D5" s="85" t="n"/>
      <c r="E5" s="1" t="n"/>
      <c r="F5" s="1" t="n"/>
      <c r="G5" s="1" t="n"/>
      <c r="H5" s="1" t="n"/>
    </row>
    <row r="6" ht="11.25" customHeight="1" s="322">
      <c r="A6" s="27" t="n"/>
      <c r="B6" s="27" t="n"/>
      <c r="C6" s="27" t="n"/>
      <c r="D6" s="27" t="n"/>
      <c r="E6" s="27" t="n"/>
      <c r="F6" s="27" t="n"/>
      <c r="G6" s="27" t="n"/>
      <c r="H6" s="27" t="n"/>
    </row>
    <row r="7" ht="20.25" customHeight="1" s="322">
      <c r="A7" s="12" t="n"/>
      <c r="B7" s="501">
        <f>IFERROR(__xludf.DUMMYFUNCTION("GOOGLEFINANCE(B18,""name"")"),"iShares iBoxx $ Inv Grade Corporate Bond ETF")</f>
        <v/>
      </c>
      <c r="H7" s="12" t="n"/>
    </row>
    <row r="8" ht="11.25" customHeight="1" s="322">
      <c r="A8" s="12" t="n"/>
      <c r="B8" s="12" t="n"/>
      <c r="C8" s="12" t="n"/>
      <c r="D8" s="12" t="n"/>
      <c r="E8" s="12" t="n"/>
      <c r="F8" s="12" t="n"/>
      <c r="G8" s="12" t="n"/>
      <c r="H8" s="12" t="n"/>
    </row>
    <row r="9" ht="12" customHeight="1" s="322">
      <c r="A9" s="1" t="n"/>
      <c r="B9" s="90" t="inlineStr">
        <is>
          <t>현재가</t>
        </is>
      </c>
      <c r="C9" s="1" t="n"/>
      <c r="D9" s="90" t="inlineStr">
        <is>
          <t>전일대비</t>
        </is>
      </c>
      <c r="E9" s="90" t="inlineStr">
        <is>
          <t>등락률(%)</t>
        </is>
      </c>
      <c r="F9" s="1" t="n"/>
      <c r="G9" s="1" t="n"/>
      <c r="H9" s="1" t="n"/>
    </row>
    <row r="10" ht="31.5" customHeight="1" s="322">
      <c r="A10" s="12" t="n"/>
      <c r="B10" s="502">
        <f>IFERROR(__xludf.DUMMYFUNCTION("GOOGLEFINANCE(B18,""price"")"),106.22)</f>
        <v/>
      </c>
      <c r="D10" s="503">
        <f>IFERROR(__xludf.DUMMYFUNCTION("IFERROR(GOOGLEFINANCE(B18,""change""),""-"")"),-0.61)</f>
        <v/>
      </c>
      <c r="E10" s="504">
        <f>IFERROR(__xludf.DUMMYFUNCTION("IFERROR(GOOGLEFINANCE(B18,""changepct"")/100,""-"")"),-0.00569999999999999)</f>
        <v/>
      </c>
      <c r="F10" s="12" t="n"/>
      <c r="G10" s="12" t="n"/>
      <c r="H10" s="12" t="n"/>
    </row>
    <row r="11" ht="11.25" customHeight="1" s="322">
      <c r="A11" s="12" t="n"/>
      <c r="B11" s="106" t="n"/>
      <c r="C11" s="106" t="n"/>
      <c r="D11" s="106" t="n"/>
      <c r="E11" s="106" t="n"/>
      <c r="F11" s="106" t="n"/>
      <c r="G11" s="106" t="n"/>
      <c r="H11" s="12" t="n"/>
    </row>
    <row r="12" ht="11.25" customHeight="1" s="322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 ht="12" customHeight="1" s="322">
      <c r="A13" s="1" t="n"/>
      <c r="B13" s="90" t="inlineStr">
        <is>
          <t>시가총액</t>
        </is>
      </c>
      <c r="C13" s="90" t="inlineStr">
        <is>
          <t>PER</t>
        </is>
      </c>
      <c r="D13" s="90" t="inlineStr">
        <is>
          <t>베타계수</t>
        </is>
      </c>
      <c r="E13" s="1" t="n"/>
      <c r="F13" s="1" t="n"/>
      <c r="G13" s="1" t="n"/>
      <c r="H13" s="1" t="n"/>
    </row>
    <row r="14">
      <c r="A14" s="113" t="n"/>
      <c r="B14" s="505">
        <f>IFERROR(__xludf.DUMMYFUNCTION("IFERROR(GOOGLEFINANCE(B18,""marketcap""),""-"")"),28987427711)</f>
        <v/>
      </c>
      <c r="C14" s="115">
        <f>IFERROR(__xludf.DUMMYFUNCTION("IFERROR(GOOGLEFINANCE(B18,""pe""),""-"")"),"-")</f>
        <v/>
      </c>
      <c r="D14" s="115">
        <f>IFERROR(__xludf.DUMMYFUNCTION("IFERROR(GOOGLEFINANCE(B18,""beta""),""-"")"),"-")</f>
        <v/>
      </c>
      <c r="E14" s="113" t="n"/>
      <c r="F14" s="113" t="n"/>
      <c r="G14" s="113" t="n"/>
      <c r="H14" s="113" t="n"/>
    </row>
    <row r="15" ht="15.75" customHeight="1" s="322">
      <c r="A15" s="12" t="n"/>
      <c r="B15" s="12" t="n"/>
      <c r="C15" s="12" t="n"/>
      <c r="D15" s="12" t="n"/>
      <c r="E15" s="12" t="n"/>
      <c r="F15" s="12" t="n"/>
      <c r="G15" s="123" t="inlineStr">
        <is>
          <t>12 Months</t>
        </is>
      </c>
      <c r="H15" s="12" t="n"/>
    </row>
    <row r="16" ht="15.75" customHeight="1" s="322">
      <c r="A16" s="12" t="n"/>
      <c r="B16" s="12" t="n"/>
      <c r="C16" s="12" t="n"/>
      <c r="D16" s="12" t="n"/>
      <c r="E16" s="12" t="n"/>
      <c r="F16" s="12" t="n"/>
      <c r="G16" s="12" t="n"/>
      <c r="H16" s="12" t="n"/>
    </row>
    <row r="17" ht="15.75" customHeight="1" s="322">
      <c r="A17" s="12" t="n"/>
      <c r="B17" s="12" t="n"/>
      <c r="C17" s="12" t="n"/>
      <c r="D17" s="12" t="n"/>
      <c r="E17" s="12" t="n"/>
      <c r="F17" s="12" t="n"/>
      <c r="G17" s="12" t="n"/>
      <c r="H17" s="12" t="n"/>
    </row>
    <row r="18" ht="15.75" customHeight="1" s="322">
      <c r="A18" s="12" t="n"/>
      <c r="B18" s="127">
        <f>IF(ISBLANK(B5),"",B5&amp;":")&amp;B4</f>
        <v/>
      </c>
      <c r="C18" s="12" t="n"/>
      <c r="D18" s="12" t="n"/>
      <c r="E18" s="12" t="n"/>
      <c r="F18" s="12" t="n"/>
      <c r="G18" s="12" t="n"/>
      <c r="H18" s="12" t="n"/>
    </row>
    <row r="19" ht="15.75" customHeight="1" s="322">
      <c r="A19" s="12" t="n"/>
      <c r="B19" s="12" t="n"/>
      <c r="C19" s="12" t="n"/>
      <c r="D19" s="12" t="n"/>
      <c r="E19" s="12" t="n"/>
      <c r="F19" s="12" t="n"/>
      <c r="G19" s="12" t="n"/>
      <c r="H19" s="12" t="n"/>
    </row>
    <row r="20" ht="15.75" customHeight="1" s="322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1" ht="15.75" customHeight="1" s="322">
      <c r="A21" s="12" t="n"/>
      <c r="B21" s="12" t="n"/>
      <c r="C21" s="12" t="n"/>
      <c r="D21" s="12" t="n"/>
      <c r="E21" s="12" t="n"/>
      <c r="F21" s="12" t="n"/>
      <c r="G21" s="12" t="n"/>
      <c r="H21" s="12" t="n"/>
    </row>
    <row r="22" ht="15.75" customHeight="1" s="322">
      <c r="A22" s="12" t="n"/>
      <c r="B22" s="12" t="n"/>
      <c r="C22" s="12" t="n"/>
      <c r="D22" s="12" t="n"/>
      <c r="E22" s="12" t="n"/>
      <c r="F22" s="12" t="n"/>
      <c r="G22" s="12" t="n"/>
      <c r="H22" s="12" t="n"/>
    </row>
    <row r="23" ht="15.75" customHeight="1" s="322">
      <c r="A23" s="12" t="n"/>
      <c r="B23" s="12" t="n"/>
      <c r="C23" s="12" t="n"/>
      <c r="D23" s="12" t="n"/>
      <c r="E23" s="12" t="n"/>
      <c r="F23" s="12" t="n"/>
      <c r="G23" s="12" t="n"/>
      <c r="H23" s="12" t="n"/>
    </row>
    <row r="24" ht="15.75" customHeight="1" s="322">
      <c r="A24" s="12" t="n"/>
      <c r="B24" s="12" t="n"/>
      <c r="C24" s="12" t="n"/>
      <c r="D24" s="12" t="n"/>
      <c r="E24" s="12" t="n"/>
      <c r="F24" s="12" t="n"/>
      <c r="G24" s="12" t="n"/>
      <c r="H24" s="12" t="n"/>
    </row>
    <row r="25" ht="15.75" customHeight="1" s="322">
      <c r="A25" s="12" t="n"/>
      <c r="B25" s="12" t="n"/>
      <c r="C25" s="12" t="n"/>
      <c r="D25" s="12" t="n"/>
      <c r="E25" s="12" t="n"/>
      <c r="F25" s="12" t="n"/>
      <c r="G25" s="12" t="n"/>
      <c r="H25" s="12" t="n"/>
    </row>
    <row r="26" ht="15.75" customHeight="1" s="322">
      <c r="A26" s="12" t="n"/>
      <c r="B26" s="12" t="n"/>
      <c r="C26" s="12" t="n"/>
      <c r="D26" s="12" t="n"/>
      <c r="E26" s="12" t="n"/>
      <c r="F26" s="12" t="n"/>
      <c r="G26" s="12" t="n"/>
      <c r="H26" s="12" t="n"/>
    </row>
    <row r="27" ht="15.75" customHeight="1" s="322">
      <c r="A27" s="133" t="n"/>
      <c r="B27" s="136">
        <f>IFERROR(__xludf.DUMMYFUNCTION("GOOGLEFINANCE(B18, ""all"", EDATE(TODAY(), -LEFT(G15, FIND("" "", G15))), TODAY(), ""DAILY"")"),"Date")</f>
        <v/>
      </c>
      <c r="C27" s="137">
        <f>IFERROR(__xludf.DUMMYFUNCTION("""COMPUTED_VALUE"""),"Open")</f>
        <v/>
      </c>
      <c r="D27" s="137">
        <f>IFERROR(__xludf.DUMMYFUNCTION("""COMPUTED_VALUE"""),"High")</f>
        <v/>
      </c>
      <c r="E27" s="137">
        <f>IFERROR(__xludf.DUMMYFUNCTION("""COMPUTED_VALUE"""),"Low")</f>
        <v/>
      </c>
      <c r="F27" s="137">
        <f>IFERROR(__xludf.DUMMYFUNCTION("""COMPUTED_VALUE"""),"Close")</f>
        <v/>
      </c>
      <c r="G27" s="137">
        <f>IFERROR(__xludf.DUMMYFUNCTION("""COMPUTED_VALUE"""),"Volume")</f>
        <v/>
      </c>
      <c r="H27" s="133" t="n"/>
    </row>
    <row r="28" ht="17.25" customHeight="1" s="322">
      <c r="A28" s="27" t="n"/>
      <c r="B28" s="506">
        <f>IFERROR(__xludf.DUMMYFUNCTION("""COMPUTED_VALUE"""),45868.6666666666)</f>
        <v/>
      </c>
      <c r="C28" s="141">
        <f>IFERROR(__xludf.DUMMYFUNCTION("""COMPUTED_VALUE"""),109.09)</f>
        <v/>
      </c>
      <c r="D28" s="141">
        <f>IFERROR(__xludf.DUMMYFUNCTION("""COMPUTED_VALUE"""),109.45)</f>
        <v/>
      </c>
      <c r="E28" s="141">
        <f>IFERROR(__xludf.DUMMYFUNCTION("""COMPUTED_VALUE"""),108.98)</f>
        <v/>
      </c>
      <c r="F28" s="141">
        <f>IFERROR(__xludf.DUMMYFUNCTION("""COMPUTED_VALUE"""),109.08)</f>
        <v/>
      </c>
      <c r="G28" s="143">
        <f>IFERROR(__xludf.DUMMYFUNCTION("""COMPUTED_VALUE"""),23313275)</f>
        <v/>
      </c>
      <c r="H28" s="27" t="n"/>
    </row>
    <row r="29" ht="17.25" customHeight="1" s="322">
      <c r="A29" s="27" t="n"/>
      <c r="B29" s="506">
        <f>IFERROR(__xludf.DUMMYFUNCTION("""COMPUTED_VALUE"""),45869.6666666666)</f>
        <v/>
      </c>
      <c r="C29" s="141">
        <f>IFERROR(__xludf.DUMMYFUNCTION("""COMPUTED_VALUE"""),109.41)</f>
        <v/>
      </c>
      <c r="D29" s="141">
        <f>IFERROR(__xludf.DUMMYFUNCTION("""COMPUTED_VALUE"""),109.5)</f>
        <v/>
      </c>
      <c r="E29" s="141">
        <f>IFERROR(__xludf.DUMMYFUNCTION("""COMPUTED_VALUE"""),109.09)</f>
        <v/>
      </c>
      <c r="F29" s="141">
        <f>IFERROR(__xludf.DUMMYFUNCTION("""COMPUTED_VALUE"""),109.11)</f>
        <v/>
      </c>
      <c r="G29" s="143">
        <f>IFERROR(__xludf.DUMMYFUNCTION("""COMPUTED_VALUE"""),31745016)</f>
        <v/>
      </c>
      <c r="H29" s="27" t="n"/>
    </row>
    <row r="30" ht="17.25" customHeight="1" s="322">
      <c r="A30" s="27" t="n"/>
      <c r="B30" s="506">
        <f>IFERROR(__xludf.DUMMYFUNCTION("""COMPUTED_VALUE"""),45870.6666666666)</f>
        <v/>
      </c>
      <c r="C30" s="141">
        <f>IFERROR(__xludf.DUMMYFUNCTION("""COMPUTED_VALUE"""),109.32)</f>
        <v/>
      </c>
      <c r="D30" s="141">
        <f>IFERROR(__xludf.DUMMYFUNCTION("""COMPUTED_VALUE"""),109.7)</f>
        <v/>
      </c>
      <c r="E30" s="141">
        <f>IFERROR(__xludf.DUMMYFUNCTION("""COMPUTED_VALUE"""),109.12)</f>
        <v/>
      </c>
      <c r="F30" s="141">
        <f>IFERROR(__xludf.DUMMYFUNCTION("""COMPUTED_VALUE"""),109.63)</f>
        <v/>
      </c>
      <c r="G30" s="143">
        <f>IFERROR(__xludf.DUMMYFUNCTION("""COMPUTED_VALUE"""),46073844)</f>
        <v/>
      </c>
      <c r="H30" s="27" t="n"/>
    </row>
    <row r="31" ht="17.25" customHeight="1" s="322">
      <c r="A31" s="27" t="n"/>
      <c r="B31" s="506">
        <f>IFERROR(__xludf.DUMMYFUNCTION("""COMPUTED_VALUE"""),45873.6666666666)</f>
        <v/>
      </c>
      <c r="C31" s="141">
        <f>IFERROR(__xludf.DUMMYFUNCTION("""COMPUTED_VALUE"""),109.78)</f>
        <v/>
      </c>
      <c r="D31" s="141">
        <f>IFERROR(__xludf.DUMMYFUNCTION("""COMPUTED_VALUE"""),109.89)</f>
        <v/>
      </c>
      <c r="E31" s="141">
        <f>IFERROR(__xludf.DUMMYFUNCTION("""COMPUTED_VALUE"""),109.58)</f>
        <v/>
      </c>
      <c r="F31" s="141">
        <f>IFERROR(__xludf.DUMMYFUNCTION("""COMPUTED_VALUE"""),109.82)</f>
        <v/>
      </c>
      <c r="G31" s="143">
        <f>IFERROR(__xludf.DUMMYFUNCTION("""COMPUTED_VALUE"""),31779657)</f>
        <v/>
      </c>
      <c r="H31" s="27" t="n"/>
    </row>
    <row r="32" ht="17.25" customHeight="1" s="322">
      <c r="A32" s="27" t="n"/>
      <c r="B32" s="506">
        <f>IFERROR(__xludf.DUMMYFUNCTION("""COMPUTED_VALUE"""),45874.6666666666)</f>
        <v/>
      </c>
      <c r="C32" s="141">
        <f>IFERROR(__xludf.DUMMYFUNCTION("""COMPUTED_VALUE"""),109.63)</f>
        <v/>
      </c>
      <c r="D32" s="141">
        <f>IFERROR(__xludf.DUMMYFUNCTION("""COMPUTED_VALUE"""),109.93)</f>
        <v/>
      </c>
      <c r="E32" s="141">
        <f>IFERROR(__xludf.DUMMYFUNCTION("""COMPUTED_VALUE"""),109.61)</f>
        <v/>
      </c>
      <c r="F32" s="141">
        <f>IFERROR(__xludf.DUMMYFUNCTION("""COMPUTED_VALUE"""),109.9)</f>
        <v/>
      </c>
      <c r="G32" s="143">
        <f>IFERROR(__xludf.DUMMYFUNCTION("""COMPUTED_VALUE"""),25922894)</f>
        <v/>
      </c>
      <c r="H32" s="27" t="n"/>
    </row>
    <row r="33" ht="17.25" customHeight="1" s="322">
      <c r="A33" s="27" t="n"/>
      <c r="B33" s="506">
        <f>IFERROR(__xludf.DUMMYFUNCTION("""COMPUTED_VALUE"""),45875.6666666666)</f>
        <v/>
      </c>
      <c r="C33" s="141">
        <f>IFERROR(__xludf.DUMMYFUNCTION("""COMPUTED_VALUE"""),109.65)</f>
        <v/>
      </c>
      <c r="D33" s="141">
        <f>IFERROR(__xludf.DUMMYFUNCTION("""COMPUTED_VALUE"""),109.92)</f>
        <v/>
      </c>
      <c r="E33" s="141">
        <f>IFERROR(__xludf.DUMMYFUNCTION("""COMPUTED_VALUE"""),109.23)</f>
        <v/>
      </c>
      <c r="F33" s="141">
        <f>IFERROR(__xludf.DUMMYFUNCTION("""COMPUTED_VALUE"""),109.87)</f>
        <v/>
      </c>
      <c r="G33" s="143">
        <f>IFERROR(__xludf.DUMMYFUNCTION("""COMPUTED_VALUE"""),31825414)</f>
        <v/>
      </c>
      <c r="H33" s="27" t="n"/>
    </row>
    <row r="34" ht="17.25" customHeight="1" s="322">
      <c r="A34" s="27" t="n"/>
      <c r="B34" s="506">
        <f>IFERROR(__xludf.DUMMYFUNCTION("""COMPUTED_VALUE"""),45876.6666666666)</f>
        <v/>
      </c>
      <c r="C34" s="141">
        <f>IFERROR(__xludf.DUMMYFUNCTION("""COMPUTED_VALUE"""),109.91)</f>
        <v/>
      </c>
      <c r="D34" s="141">
        <f>IFERROR(__xludf.DUMMYFUNCTION("""COMPUTED_VALUE"""),110.08)</f>
        <v/>
      </c>
      <c r="E34" s="141">
        <f>IFERROR(__xludf.DUMMYFUNCTION("""COMPUTED_VALUE"""),109.69)</f>
        <v/>
      </c>
      <c r="F34" s="141">
        <f>IFERROR(__xludf.DUMMYFUNCTION("""COMPUTED_VALUE"""),109.76)</f>
        <v/>
      </c>
      <c r="G34" s="143">
        <f>IFERROR(__xludf.DUMMYFUNCTION("""COMPUTED_VALUE"""),29018104)</f>
        <v/>
      </c>
      <c r="H34" s="27" t="n"/>
    </row>
    <row r="35" ht="17.25" customHeight="1" s="322">
      <c r="A35" s="27" t="n"/>
      <c r="B35" s="506">
        <f>IFERROR(__xludf.DUMMYFUNCTION("""COMPUTED_VALUE"""),45877.6666666666)</f>
        <v/>
      </c>
      <c r="C35" s="141">
        <f>IFERROR(__xludf.DUMMYFUNCTION("""COMPUTED_VALUE"""),109.64)</f>
        <v/>
      </c>
      <c r="D35" s="141">
        <f>IFERROR(__xludf.DUMMYFUNCTION("""COMPUTED_VALUE"""),109.64)</f>
        <v/>
      </c>
      <c r="E35" s="141">
        <f>IFERROR(__xludf.DUMMYFUNCTION("""COMPUTED_VALUE"""),109.39)</f>
        <v/>
      </c>
      <c r="F35" s="141">
        <f>IFERROR(__xludf.DUMMYFUNCTION("""COMPUTED_VALUE"""),109.41)</f>
        <v/>
      </c>
      <c r="G35" s="143">
        <f>IFERROR(__xludf.DUMMYFUNCTION("""COMPUTED_VALUE"""),16946307)</f>
        <v/>
      </c>
      <c r="H35" s="27" t="n"/>
    </row>
    <row r="36" ht="17.25" customHeight="1" s="322">
      <c r="A36" s="27" t="n"/>
      <c r="B36" s="506">
        <f>IFERROR(__xludf.DUMMYFUNCTION("""COMPUTED_VALUE"""),45880.6666666666)</f>
        <v/>
      </c>
      <c r="C36" s="141">
        <f>IFERROR(__xludf.DUMMYFUNCTION("""COMPUTED_VALUE"""),109.57)</f>
        <v/>
      </c>
      <c r="D36" s="141">
        <f>IFERROR(__xludf.DUMMYFUNCTION("""COMPUTED_VALUE"""),109.72)</f>
        <v/>
      </c>
      <c r="E36" s="141">
        <f>IFERROR(__xludf.DUMMYFUNCTION("""COMPUTED_VALUE"""),109.45)</f>
        <v/>
      </c>
      <c r="F36" s="141">
        <f>IFERROR(__xludf.DUMMYFUNCTION("""COMPUTED_VALUE"""),109.58)</f>
        <v/>
      </c>
      <c r="G36" s="143">
        <f>IFERROR(__xludf.DUMMYFUNCTION("""COMPUTED_VALUE"""),24444317)</f>
        <v/>
      </c>
      <c r="H36" s="27" t="n"/>
    </row>
    <row r="37" ht="17.25" customHeight="1" s="322">
      <c r="A37" s="27" t="n"/>
      <c r="B37" s="506">
        <f>IFERROR(__xludf.DUMMYFUNCTION("""COMPUTED_VALUE"""),45881.6666666666)</f>
        <v/>
      </c>
      <c r="C37" s="141">
        <f>IFERROR(__xludf.DUMMYFUNCTION("""COMPUTED_VALUE"""),109.39)</f>
        <v/>
      </c>
      <c r="D37" s="141">
        <f>IFERROR(__xludf.DUMMYFUNCTION("""COMPUTED_VALUE"""),109.7)</f>
        <v/>
      </c>
      <c r="E37" s="141">
        <f>IFERROR(__xludf.DUMMYFUNCTION("""COMPUTED_VALUE"""),109.27)</f>
        <v/>
      </c>
      <c r="F37" s="141">
        <f>IFERROR(__xludf.DUMMYFUNCTION("""COMPUTED_VALUE"""),109.68)</f>
        <v/>
      </c>
      <c r="G37" s="143">
        <f>IFERROR(__xludf.DUMMYFUNCTION("""COMPUTED_VALUE"""),26513707)</f>
        <v/>
      </c>
      <c r="H37" s="27" t="n"/>
    </row>
    <row r="38" ht="17.25" customHeight="1" s="322">
      <c r="A38" s="27" t="n"/>
      <c r="B38" s="506">
        <f>IFERROR(__xludf.DUMMYFUNCTION("""COMPUTED_VALUE"""),45882.6666666666)</f>
        <v/>
      </c>
      <c r="C38" s="141">
        <f>IFERROR(__xludf.DUMMYFUNCTION("""COMPUTED_VALUE"""),110.06)</f>
        <v/>
      </c>
      <c r="D38" s="141">
        <f>IFERROR(__xludf.DUMMYFUNCTION("""COMPUTED_VALUE"""),110.32)</f>
        <v/>
      </c>
      <c r="E38" s="141">
        <f>IFERROR(__xludf.DUMMYFUNCTION("""COMPUTED_VALUE"""),110.05)</f>
        <v/>
      </c>
      <c r="F38" s="141">
        <f>IFERROR(__xludf.DUMMYFUNCTION("""COMPUTED_VALUE"""),110.26)</f>
        <v/>
      </c>
      <c r="G38" s="143">
        <f>IFERROR(__xludf.DUMMYFUNCTION("""COMPUTED_VALUE"""),27701429)</f>
        <v/>
      </c>
      <c r="H38" s="27" t="n"/>
    </row>
    <row r="39" ht="17.25" customHeight="1" s="322">
      <c r="A39" s="27" t="n"/>
      <c r="B39" s="506">
        <f>IFERROR(__xludf.DUMMYFUNCTION("""COMPUTED_VALUE"""),45883.6666666666)</f>
        <v/>
      </c>
      <c r="C39" s="141">
        <f>IFERROR(__xludf.DUMMYFUNCTION("""COMPUTED_VALUE"""),110)</f>
        <v/>
      </c>
      <c r="D39" s="141">
        <f>IFERROR(__xludf.DUMMYFUNCTION("""COMPUTED_VALUE"""),110.06)</f>
        <v/>
      </c>
      <c r="E39" s="141">
        <f>IFERROR(__xludf.DUMMYFUNCTION("""COMPUTED_VALUE"""),109.75)</f>
        <v/>
      </c>
      <c r="F39" s="141">
        <f>IFERROR(__xludf.DUMMYFUNCTION("""COMPUTED_VALUE"""),109.88)</f>
        <v/>
      </c>
      <c r="G39" s="143">
        <f>IFERROR(__xludf.DUMMYFUNCTION("""COMPUTED_VALUE"""),18817748)</f>
        <v/>
      </c>
      <c r="H39" s="27" t="n"/>
    </row>
    <row r="40" ht="17.25" customHeight="1" s="322">
      <c r="A40" s="27" t="n"/>
      <c r="B40" s="506">
        <f>IFERROR(__xludf.DUMMYFUNCTION("""COMPUTED_VALUE"""),45884.6666666666)</f>
        <v/>
      </c>
      <c r="C40" s="141">
        <f>IFERROR(__xludf.DUMMYFUNCTION("""COMPUTED_VALUE"""),109.84)</f>
        <v/>
      </c>
      <c r="D40" s="141">
        <f>IFERROR(__xludf.DUMMYFUNCTION("""COMPUTED_VALUE"""),109.93)</f>
        <v/>
      </c>
      <c r="E40" s="141">
        <f>IFERROR(__xludf.DUMMYFUNCTION("""COMPUTED_VALUE"""),109.63)</f>
        <v/>
      </c>
      <c r="F40" s="141">
        <f>IFERROR(__xludf.DUMMYFUNCTION("""COMPUTED_VALUE"""),109.74)</f>
        <v/>
      </c>
      <c r="G40" s="143">
        <f>IFERROR(__xludf.DUMMYFUNCTION("""COMPUTED_VALUE"""),20932192)</f>
        <v/>
      </c>
      <c r="H40" s="27" t="n"/>
    </row>
    <row r="41" ht="17.25" customHeight="1" s="322">
      <c r="A41" s="27" t="n"/>
      <c r="B41" s="506">
        <f>IFERROR(__xludf.DUMMYFUNCTION("""COMPUTED_VALUE"""),45887.6666666666)</f>
        <v/>
      </c>
      <c r="C41" s="141">
        <f>IFERROR(__xludf.DUMMYFUNCTION("""COMPUTED_VALUE"""),109.83)</f>
        <v/>
      </c>
      <c r="D41" s="141">
        <f>IFERROR(__xludf.DUMMYFUNCTION("""COMPUTED_VALUE"""),109.84)</f>
        <v/>
      </c>
      <c r="E41" s="141">
        <f>IFERROR(__xludf.DUMMYFUNCTION("""COMPUTED_VALUE"""),109.44)</f>
        <v/>
      </c>
      <c r="F41" s="141">
        <f>IFERROR(__xludf.DUMMYFUNCTION("""COMPUTED_VALUE"""),109.54)</f>
        <v/>
      </c>
      <c r="G41" s="143">
        <f>IFERROR(__xludf.DUMMYFUNCTION("""COMPUTED_VALUE"""),19579899)</f>
        <v/>
      </c>
      <c r="H41" s="27" t="n"/>
    </row>
    <row r="42" ht="17.25" customHeight="1" s="322">
      <c r="A42" s="27" t="n"/>
      <c r="B42" s="506">
        <f>IFERROR(__xludf.DUMMYFUNCTION("""COMPUTED_VALUE"""),45888.6666666666)</f>
        <v/>
      </c>
      <c r="C42" s="141">
        <f>IFERROR(__xludf.DUMMYFUNCTION("""COMPUTED_VALUE"""),109.68)</f>
        <v/>
      </c>
      <c r="D42" s="141">
        <f>IFERROR(__xludf.DUMMYFUNCTION("""COMPUTED_VALUE"""),109.78)</f>
        <v/>
      </c>
      <c r="E42" s="141">
        <f>IFERROR(__xludf.DUMMYFUNCTION("""COMPUTED_VALUE"""),109.61)</f>
        <v/>
      </c>
      <c r="F42" s="141">
        <f>IFERROR(__xludf.DUMMYFUNCTION("""COMPUTED_VALUE"""),109.71)</f>
        <v/>
      </c>
      <c r="G42" s="143">
        <f>IFERROR(__xludf.DUMMYFUNCTION("""COMPUTED_VALUE"""),26744245)</f>
        <v/>
      </c>
      <c r="H42" s="27" t="n"/>
    </row>
    <row r="43" ht="17.25" customHeight="1" s="322">
      <c r="A43" s="27" t="n"/>
      <c r="B43" s="506">
        <f>IFERROR(__xludf.DUMMYFUNCTION("""COMPUTED_VALUE"""),45889.6666666666)</f>
        <v/>
      </c>
      <c r="C43" s="141">
        <f>IFERROR(__xludf.DUMMYFUNCTION("""COMPUTED_VALUE"""),109.67)</f>
        <v/>
      </c>
      <c r="D43" s="141">
        <f>IFERROR(__xludf.DUMMYFUNCTION("""COMPUTED_VALUE"""),109.87)</f>
        <v/>
      </c>
      <c r="E43" s="141">
        <f>IFERROR(__xludf.DUMMYFUNCTION("""COMPUTED_VALUE"""),109.59)</f>
        <v/>
      </c>
      <c r="F43" s="141">
        <f>IFERROR(__xludf.DUMMYFUNCTION("""COMPUTED_VALUE"""),109.76)</f>
        <v/>
      </c>
      <c r="G43" s="143">
        <f>IFERROR(__xludf.DUMMYFUNCTION("""COMPUTED_VALUE"""),25054762)</f>
        <v/>
      </c>
      <c r="H43" s="27" t="n"/>
    </row>
    <row r="44" ht="17.25" customHeight="1" s="322">
      <c r="A44" s="27" t="n"/>
      <c r="B44" s="506">
        <f>IFERROR(__xludf.DUMMYFUNCTION("""COMPUTED_VALUE"""),45890.6666666666)</f>
        <v/>
      </c>
      <c r="C44" s="141">
        <f>IFERROR(__xludf.DUMMYFUNCTION("""COMPUTED_VALUE"""),109.56)</f>
        <v/>
      </c>
      <c r="D44" s="141">
        <f>IFERROR(__xludf.DUMMYFUNCTION("""COMPUTED_VALUE"""),109.57)</f>
        <v/>
      </c>
      <c r="E44" s="141">
        <f>IFERROR(__xludf.DUMMYFUNCTION("""COMPUTED_VALUE"""),109.19)</f>
        <v/>
      </c>
      <c r="F44" s="141">
        <f>IFERROR(__xludf.DUMMYFUNCTION("""COMPUTED_VALUE"""),109.34)</f>
        <v/>
      </c>
      <c r="G44" s="143">
        <f>IFERROR(__xludf.DUMMYFUNCTION("""COMPUTED_VALUE"""),25158000)</f>
        <v/>
      </c>
      <c r="H44" s="27" t="n"/>
    </row>
    <row r="45" ht="17.25" customHeight="1" s="322">
      <c r="A45" s="27" t="n"/>
      <c r="B45" s="506">
        <f>IFERROR(__xludf.DUMMYFUNCTION("""COMPUTED_VALUE"""),45891.6666666666)</f>
        <v/>
      </c>
      <c r="C45" s="141">
        <f>IFERROR(__xludf.DUMMYFUNCTION("""COMPUTED_VALUE"""),109.65)</f>
        <v/>
      </c>
      <c r="D45" s="141">
        <f>IFERROR(__xludf.DUMMYFUNCTION("""COMPUTED_VALUE"""),110.31)</f>
        <v/>
      </c>
      <c r="E45" s="141">
        <f>IFERROR(__xludf.DUMMYFUNCTION("""COMPUTED_VALUE"""),109.56)</f>
        <v/>
      </c>
      <c r="F45" s="141">
        <f>IFERROR(__xludf.DUMMYFUNCTION("""COMPUTED_VALUE"""),110.2)</f>
        <v/>
      </c>
      <c r="G45" s="143">
        <f>IFERROR(__xludf.DUMMYFUNCTION("""COMPUTED_VALUE"""),34562879)</f>
        <v/>
      </c>
      <c r="H45" s="27" t="n"/>
    </row>
    <row r="46" ht="17.25" customHeight="1" s="322">
      <c r="A46" s="27" t="n"/>
      <c r="B46" s="506">
        <f>IFERROR(__xludf.DUMMYFUNCTION("""COMPUTED_VALUE"""),45894.6666666666)</f>
        <v/>
      </c>
      <c r="C46" s="141">
        <f>IFERROR(__xludf.DUMMYFUNCTION("""COMPUTED_VALUE"""),109.97)</f>
        <v/>
      </c>
      <c r="D46" s="141">
        <f>IFERROR(__xludf.DUMMYFUNCTION("""COMPUTED_VALUE"""),110.14)</f>
        <v/>
      </c>
      <c r="E46" s="141">
        <f>IFERROR(__xludf.DUMMYFUNCTION("""COMPUTED_VALUE"""),109.88)</f>
        <v/>
      </c>
      <c r="F46" s="141">
        <f>IFERROR(__xludf.DUMMYFUNCTION("""COMPUTED_VALUE"""),109.91)</f>
        <v/>
      </c>
      <c r="G46" s="143">
        <f>IFERROR(__xludf.DUMMYFUNCTION("""COMPUTED_VALUE"""),18983095)</f>
        <v/>
      </c>
      <c r="H46" s="27" t="n"/>
    </row>
    <row r="47" ht="17.25" customHeight="1" s="322">
      <c r="A47" s="27" t="n"/>
      <c r="B47" s="506">
        <f>IFERROR(__xludf.DUMMYFUNCTION("""COMPUTED_VALUE"""),45895.6666666666)</f>
        <v/>
      </c>
      <c r="C47" s="141">
        <f>IFERROR(__xludf.DUMMYFUNCTION("""COMPUTED_VALUE"""),109.89)</f>
        <v/>
      </c>
      <c r="D47" s="141">
        <f>IFERROR(__xludf.DUMMYFUNCTION("""COMPUTED_VALUE"""),110.01)</f>
        <v/>
      </c>
      <c r="E47" s="141">
        <f>IFERROR(__xludf.DUMMYFUNCTION("""COMPUTED_VALUE"""),109.66)</f>
        <v/>
      </c>
      <c r="F47" s="141">
        <f>IFERROR(__xludf.DUMMYFUNCTION("""COMPUTED_VALUE"""),109.99)</f>
        <v/>
      </c>
      <c r="G47" s="143">
        <f>IFERROR(__xludf.DUMMYFUNCTION("""COMPUTED_VALUE"""),23246366)</f>
        <v/>
      </c>
      <c r="H47" s="27" t="n"/>
    </row>
    <row r="48" ht="17.25" customHeight="1" s="322">
      <c r="A48" s="27" t="n"/>
      <c r="B48" s="506">
        <f>IFERROR(__xludf.DUMMYFUNCTION("""COMPUTED_VALUE"""),45896.6666666666)</f>
        <v/>
      </c>
      <c r="C48" s="141">
        <f>IFERROR(__xludf.DUMMYFUNCTION("""COMPUTED_VALUE"""),109.68)</f>
        <v/>
      </c>
      <c r="D48" s="141">
        <f>IFERROR(__xludf.DUMMYFUNCTION("""COMPUTED_VALUE"""),110.06)</f>
        <v/>
      </c>
      <c r="E48" s="141">
        <f>IFERROR(__xludf.DUMMYFUNCTION("""COMPUTED_VALUE"""),109.59)</f>
        <v/>
      </c>
      <c r="F48" s="141">
        <f>IFERROR(__xludf.DUMMYFUNCTION("""COMPUTED_VALUE"""),110.03)</f>
        <v/>
      </c>
      <c r="G48" s="143">
        <f>IFERROR(__xludf.DUMMYFUNCTION("""COMPUTED_VALUE"""),25171734)</f>
        <v/>
      </c>
      <c r="H48" s="27" t="n"/>
    </row>
    <row r="49" ht="17.25" customHeight="1" s="322">
      <c r="A49" s="27" t="n"/>
      <c r="B49" s="506">
        <f>IFERROR(__xludf.DUMMYFUNCTION("""COMPUTED_VALUE"""),45897.6666666666)</f>
        <v/>
      </c>
      <c r="C49" s="141">
        <f>IFERROR(__xludf.DUMMYFUNCTION("""COMPUTED_VALUE"""),110.08)</f>
        <v/>
      </c>
      <c r="D49" s="141">
        <f>IFERROR(__xludf.DUMMYFUNCTION("""COMPUTED_VALUE"""),110.31)</f>
        <v/>
      </c>
      <c r="E49" s="141">
        <f>IFERROR(__xludf.DUMMYFUNCTION("""COMPUTED_VALUE"""),110)</f>
        <v/>
      </c>
      <c r="F49" s="141">
        <f>IFERROR(__xludf.DUMMYFUNCTION("""COMPUTED_VALUE"""),110.2)</f>
        <v/>
      </c>
      <c r="G49" s="143">
        <f>IFERROR(__xludf.DUMMYFUNCTION("""COMPUTED_VALUE"""),26892771)</f>
        <v/>
      </c>
      <c r="H49" s="27" t="n"/>
    </row>
    <row r="50" ht="17.25" customHeight="1" s="322">
      <c r="A50" s="27" t="n"/>
      <c r="B50" s="506">
        <f>IFERROR(__xludf.DUMMYFUNCTION("""COMPUTED_VALUE"""),45898.6666666666)</f>
        <v/>
      </c>
      <c r="C50" s="141">
        <f>IFERROR(__xludf.DUMMYFUNCTION("""COMPUTED_VALUE"""),109.99)</f>
        <v/>
      </c>
      <c r="D50" s="141">
        <f>IFERROR(__xludf.DUMMYFUNCTION("""COMPUTED_VALUE"""),110.01)</f>
        <v/>
      </c>
      <c r="E50" s="141">
        <f>IFERROR(__xludf.DUMMYFUNCTION("""COMPUTED_VALUE"""),109.75)</f>
        <v/>
      </c>
      <c r="F50" s="141">
        <f>IFERROR(__xludf.DUMMYFUNCTION("""COMPUTED_VALUE"""),109.8)</f>
        <v/>
      </c>
      <c r="G50" s="143">
        <f>IFERROR(__xludf.DUMMYFUNCTION("""COMPUTED_VALUE"""),32201129)</f>
        <v/>
      </c>
      <c r="H50" s="27" t="n"/>
    </row>
    <row r="51" ht="17.25" customHeight="1" s="322">
      <c r="A51" s="27" t="n"/>
      <c r="B51" s="506">
        <f>IFERROR(__xludf.DUMMYFUNCTION("""COMPUTED_VALUE"""),45902.6666666666)</f>
        <v/>
      </c>
      <c r="C51" s="141">
        <f>IFERROR(__xludf.DUMMYFUNCTION("""COMPUTED_VALUE"""),108.88)</f>
        <v/>
      </c>
      <c r="D51" s="141">
        <f>IFERROR(__xludf.DUMMYFUNCTION("""COMPUTED_VALUE"""),109.09)</f>
        <v/>
      </c>
      <c r="E51" s="141">
        <f>IFERROR(__xludf.DUMMYFUNCTION("""COMPUTED_VALUE"""),108.81)</f>
        <v/>
      </c>
      <c r="F51" s="141">
        <f>IFERROR(__xludf.DUMMYFUNCTION("""COMPUTED_VALUE"""),109.05)</f>
        <v/>
      </c>
      <c r="G51" s="143">
        <f>IFERROR(__xludf.DUMMYFUNCTION("""COMPUTED_VALUE"""),31044769)</f>
        <v/>
      </c>
      <c r="H51" s="27" t="n"/>
    </row>
    <row r="52" ht="17.25" customHeight="1" s="322">
      <c r="A52" s="27" t="n"/>
      <c r="B52" s="506">
        <f>IFERROR(__xludf.DUMMYFUNCTION("""COMPUTED_VALUE"""),45903.6666666666)</f>
        <v/>
      </c>
      <c r="C52" s="141">
        <f>IFERROR(__xludf.DUMMYFUNCTION("""COMPUTED_VALUE"""),109.26)</f>
        <v/>
      </c>
      <c r="D52" s="141">
        <f>IFERROR(__xludf.DUMMYFUNCTION("""COMPUTED_VALUE"""),109.83)</f>
        <v/>
      </c>
      <c r="E52" s="141">
        <f>IFERROR(__xludf.DUMMYFUNCTION("""COMPUTED_VALUE"""),109.24)</f>
        <v/>
      </c>
      <c r="F52" s="141">
        <f>IFERROR(__xludf.DUMMYFUNCTION("""COMPUTED_VALUE"""),109.7)</f>
        <v/>
      </c>
      <c r="G52" s="143">
        <f>IFERROR(__xludf.DUMMYFUNCTION("""COMPUTED_VALUE"""),34520896)</f>
        <v/>
      </c>
      <c r="H52" s="27" t="n"/>
    </row>
    <row r="53" ht="17.25" customHeight="1" s="322">
      <c r="A53" s="27" t="n"/>
      <c r="B53" s="506">
        <f>IFERROR(__xludf.DUMMYFUNCTION("""COMPUTED_VALUE"""),45904.6666666666)</f>
        <v/>
      </c>
      <c r="C53" s="141">
        <f>IFERROR(__xludf.DUMMYFUNCTION("""COMPUTED_VALUE"""),110.08)</f>
        <v/>
      </c>
      <c r="D53" s="141">
        <f>IFERROR(__xludf.DUMMYFUNCTION("""COMPUTED_VALUE"""),110.46)</f>
        <v/>
      </c>
      <c r="E53" s="141">
        <f>IFERROR(__xludf.DUMMYFUNCTION("""COMPUTED_VALUE"""),109.97)</f>
        <v/>
      </c>
      <c r="F53" s="141">
        <f>IFERROR(__xludf.DUMMYFUNCTION("""COMPUTED_VALUE"""),110.45)</f>
        <v/>
      </c>
      <c r="G53" s="143">
        <f>IFERROR(__xludf.DUMMYFUNCTION("""COMPUTED_VALUE"""),43026668)</f>
        <v/>
      </c>
      <c r="H53" s="27" t="n"/>
    </row>
    <row r="54" ht="17.25" customHeight="1" s="322">
      <c r="A54" s="27" t="n"/>
      <c r="B54" s="506">
        <f>IFERROR(__xludf.DUMMYFUNCTION("""COMPUTED_VALUE"""),45905.6666666666)</f>
        <v/>
      </c>
      <c r="C54" s="141">
        <f>IFERROR(__xludf.DUMMYFUNCTION("""COMPUTED_VALUE"""),111.21)</f>
        <v/>
      </c>
      <c r="D54" s="141">
        <f>IFERROR(__xludf.DUMMYFUNCTION("""COMPUTED_VALUE"""),111.31)</f>
        <v/>
      </c>
      <c r="E54" s="141">
        <f>IFERROR(__xludf.DUMMYFUNCTION("""COMPUTED_VALUE"""),111.06)</f>
        <v/>
      </c>
      <c r="F54" s="141">
        <f>IFERROR(__xludf.DUMMYFUNCTION("""COMPUTED_VALUE"""),111.17)</f>
        <v/>
      </c>
      <c r="G54" s="143">
        <f>IFERROR(__xludf.DUMMYFUNCTION("""COMPUTED_VALUE"""),36249070)</f>
        <v/>
      </c>
      <c r="H54" s="27" t="n"/>
    </row>
    <row r="55" ht="17.25" customHeight="1" s="322">
      <c r="A55" s="27" t="n"/>
      <c r="B55" s="506">
        <f>IFERROR(__xludf.DUMMYFUNCTION("""COMPUTED_VALUE"""),45908.6666666666)</f>
        <v/>
      </c>
      <c r="C55" s="141">
        <f>IFERROR(__xludf.DUMMYFUNCTION("""COMPUTED_VALUE"""),111.51)</f>
        <v/>
      </c>
      <c r="D55" s="141">
        <f>IFERROR(__xludf.DUMMYFUNCTION("""COMPUTED_VALUE"""),111.63)</f>
        <v/>
      </c>
      <c r="E55" s="141">
        <f>IFERROR(__xludf.DUMMYFUNCTION("""COMPUTED_VALUE"""),111.42)</f>
        <v/>
      </c>
      <c r="F55" s="141">
        <f>IFERROR(__xludf.DUMMYFUNCTION("""COMPUTED_VALUE"""),111.56)</f>
        <v/>
      </c>
      <c r="G55" s="143">
        <f>IFERROR(__xludf.DUMMYFUNCTION("""COMPUTED_VALUE"""),28998157)</f>
        <v/>
      </c>
      <c r="H55" s="27" t="n"/>
    </row>
    <row r="56" ht="17.25" customHeight="1" s="322">
      <c r="A56" s="27" t="n"/>
      <c r="B56" s="506">
        <f>IFERROR(__xludf.DUMMYFUNCTION("""COMPUTED_VALUE"""),45909.6666666666)</f>
        <v/>
      </c>
      <c r="C56" s="141">
        <f>IFERROR(__xludf.DUMMYFUNCTION("""COMPUTED_VALUE"""),111.44)</f>
        <v/>
      </c>
      <c r="D56" s="141">
        <f>IFERROR(__xludf.DUMMYFUNCTION("""COMPUTED_VALUE"""),111.55)</f>
        <v/>
      </c>
      <c r="E56" s="141">
        <f>IFERROR(__xludf.DUMMYFUNCTION("""COMPUTED_VALUE"""),111.12)</f>
        <v/>
      </c>
      <c r="F56" s="141">
        <f>IFERROR(__xludf.DUMMYFUNCTION("""COMPUTED_VALUE"""),111.36)</f>
        <v/>
      </c>
      <c r="G56" s="143">
        <f>IFERROR(__xludf.DUMMYFUNCTION("""COMPUTED_VALUE"""),24412518)</f>
        <v/>
      </c>
      <c r="H56" s="27" t="n"/>
    </row>
    <row r="57" ht="17.25" customHeight="1" s="322">
      <c r="A57" s="27" t="n"/>
      <c r="B57" s="506">
        <f>IFERROR(__xludf.DUMMYFUNCTION("""COMPUTED_VALUE"""),45910.6666666666)</f>
        <v/>
      </c>
      <c r="C57" s="141">
        <f>IFERROR(__xludf.DUMMYFUNCTION("""COMPUTED_VALUE"""),111.58)</f>
        <v/>
      </c>
      <c r="D57" s="141">
        <f>IFERROR(__xludf.DUMMYFUNCTION("""COMPUTED_VALUE"""),111.99)</f>
        <v/>
      </c>
      <c r="E57" s="141">
        <f>IFERROR(__xludf.DUMMYFUNCTION("""COMPUTED_VALUE"""),111.55)</f>
        <v/>
      </c>
      <c r="F57" s="141">
        <f>IFERROR(__xludf.DUMMYFUNCTION("""COMPUTED_VALUE"""),111.69)</f>
        <v/>
      </c>
      <c r="G57" s="143">
        <f>IFERROR(__xludf.DUMMYFUNCTION("""COMPUTED_VALUE"""),30188053)</f>
        <v/>
      </c>
      <c r="H57" s="27" t="n"/>
    </row>
    <row r="58" ht="17.25" customHeight="1" s="322">
      <c r="A58" s="27" t="n"/>
      <c r="B58" s="506">
        <f>IFERROR(__xludf.DUMMYFUNCTION("""COMPUTED_VALUE"""),45911.6666666666)</f>
        <v/>
      </c>
      <c r="C58" s="141">
        <f>IFERROR(__xludf.DUMMYFUNCTION("""COMPUTED_VALUE"""),111.89)</f>
        <v/>
      </c>
      <c r="D58" s="141">
        <f>IFERROR(__xludf.DUMMYFUNCTION("""COMPUTED_VALUE"""),112.33)</f>
        <v/>
      </c>
      <c r="E58" s="141">
        <f>IFERROR(__xludf.DUMMYFUNCTION("""COMPUTED_VALUE"""),111.87)</f>
        <v/>
      </c>
      <c r="F58" s="141">
        <f>IFERROR(__xludf.DUMMYFUNCTION("""COMPUTED_VALUE"""),112.21)</f>
        <v/>
      </c>
      <c r="G58" s="143">
        <f>IFERROR(__xludf.DUMMYFUNCTION("""COMPUTED_VALUE"""),28405698)</f>
        <v/>
      </c>
      <c r="H58" s="27" t="n"/>
    </row>
    <row r="59" ht="17.25" customHeight="1" s="322">
      <c r="A59" s="27" t="n"/>
      <c r="B59" s="506">
        <f>IFERROR(__xludf.DUMMYFUNCTION("""COMPUTED_VALUE"""),45912.6666666666)</f>
        <v/>
      </c>
      <c r="C59" s="141">
        <f>IFERROR(__xludf.DUMMYFUNCTION("""COMPUTED_VALUE"""),111.97)</f>
        <v/>
      </c>
      <c r="D59" s="141">
        <f>IFERROR(__xludf.DUMMYFUNCTION("""COMPUTED_VALUE"""),112.04)</f>
        <v/>
      </c>
      <c r="E59" s="141">
        <f>IFERROR(__xludf.DUMMYFUNCTION("""COMPUTED_VALUE"""),111.71)</f>
        <v/>
      </c>
      <c r="F59" s="141">
        <f>IFERROR(__xludf.DUMMYFUNCTION("""COMPUTED_VALUE"""),112.01)</f>
        <v/>
      </c>
      <c r="G59" s="143">
        <f>IFERROR(__xludf.DUMMYFUNCTION("""COMPUTED_VALUE"""),26728497)</f>
        <v/>
      </c>
      <c r="H59" s="27" t="n"/>
    </row>
    <row r="60" ht="17.25" customHeight="1" s="322">
      <c r="A60" s="27" t="n"/>
      <c r="B60" s="506">
        <f>IFERROR(__xludf.DUMMYFUNCTION("""COMPUTED_VALUE"""),45915.6666666666)</f>
        <v/>
      </c>
      <c r="C60" s="141">
        <f>IFERROR(__xludf.DUMMYFUNCTION("""COMPUTED_VALUE"""),112.23)</f>
        <v/>
      </c>
      <c r="D60" s="141">
        <f>IFERROR(__xludf.DUMMYFUNCTION("""COMPUTED_VALUE"""),112.42)</f>
        <v/>
      </c>
      <c r="E60" s="141">
        <f>IFERROR(__xludf.DUMMYFUNCTION("""COMPUTED_VALUE"""),112.23)</f>
        <v/>
      </c>
      <c r="F60" s="141">
        <f>IFERROR(__xludf.DUMMYFUNCTION("""COMPUTED_VALUE"""),112.36)</f>
        <v/>
      </c>
      <c r="G60" s="143">
        <f>IFERROR(__xludf.DUMMYFUNCTION("""COMPUTED_VALUE"""),21863832)</f>
        <v/>
      </c>
      <c r="H60" s="27" t="n"/>
    </row>
    <row r="61" ht="17.25" customHeight="1" s="322">
      <c r="A61" s="27" t="n"/>
      <c r="B61" s="506">
        <f>IFERROR(__xludf.DUMMYFUNCTION("""COMPUTED_VALUE"""),45916.6666666666)</f>
        <v/>
      </c>
      <c r="C61" s="141">
        <f>IFERROR(__xludf.DUMMYFUNCTION("""COMPUTED_VALUE"""),112.29)</f>
        <v/>
      </c>
      <c r="D61" s="141">
        <f>IFERROR(__xludf.DUMMYFUNCTION("""COMPUTED_VALUE"""),112.4)</f>
        <v/>
      </c>
      <c r="E61" s="141">
        <f>IFERROR(__xludf.DUMMYFUNCTION("""COMPUTED_VALUE"""),112.16)</f>
        <v/>
      </c>
      <c r="F61" s="141">
        <f>IFERROR(__xludf.DUMMYFUNCTION("""COMPUTED_VALUE"""),112.26)</f>
        <v/>
      </c>
      <c r="G61" s="143">
        <f>IFERROR(__xludf.DUMMYFUNCTION("""COMPUTED_VALUE"""),28232639)</f>
        <v/>
      </c>
      <c r="H61" s="27" t="n"/>
    </row>
    <row r="62" ht="17.25" customHeight="1" s="322">
      <c r="A62" s="27" t="n"/>
      <c r="B62" s="506">
        <f>IFERROR(__xludf.DUMMYFUNCTION("""COMPUTED_VALUE"""),45917.6666666666)</f>
        <v/>
      </c>
      <c r="C62" s="141">
        <f>IFERROR(__xludf.DUMMYFUNCTION("""COMPUTED_VALUE"""),112.46)</f>
        <v/>
      </c>
      <c r="D62" s="141">
        <f>IFERROR(__xludf.DUMMYFUNCTION("""COMPUTED_VALUE"""),112.64)</f>
        <v/>
      </c>
      <c r="E62" s="141">
        <f>IFERROR(__xludf.DUMMYFUNCTION("""COMPUTED_VALUE"""),111.82)</f>
        <v/>
      </c>
      <c r="F62" s="141">
        <f>IFERROR(__xludf.DUMMYFUNCTION("""COMPUTED_VALUE"""),112.06)</f>
        <v/>
      </c>
      <c r="G62" s="143">
        <f>IFERROR(__xludf.DUMMYFUNCTION("""COMPUTED_VALUE"""),34970042)</f>
        <v/>
      </c>
      <c r="H62" s="27" t="n"/>
    </row>
    <row r="63" ht="17.25" customHeight="1" s="322">
      <c r="A63" s="27" t="n"/>
      <c r="B63" s="506">
        <f>IFERROR(__xludf.DUMMYFUNCTION("""COMPUTED_VALUE"""),45918.6666666666)</f>
        <v/>
      </c>
      <c r="C63" s="141">
        <f>IFERROR(__xludf.DUMMYFUNCTION("""COMPUTED_VALUE"""),111.72)</f>
        <v/>
      </c>
      <c r="D63" s="141">
        <f>IFERROR(__xludf.DUMMYFUNCTION("""COMPUTED_VALUE"""),111.88)</f>
        <v/>
      </c>
      <c r="E63" s="141">
        <f>IFERROR(__xludf.DUMMYFUNCTION("""COMPUTED_VALUE"""),111.52)</f>
        <v/>
      </c>
      <c r="F63" s="141">
        <f>IFERROR(__xludf.DUMMYFUNCTION("""COMPUTED_VALUE"""),111.83)</f>
        <v/>
      </c>
      <c r="G63" s="143">
        <f>IFERROR(__xludf.DUMMYFUNCTION("""COMPUTED_VALUE"""),37159310)</f>
        <v/>
      </c>
      <c r="H63" s="27" t="n"/>
    </row>
    <row r="64" ht="17.25" customHeight="1" s="322">
      <c r="A64" s="27" t="n"/>
      <c r="B64" s="506">
        <f>IFERROR(__xludf.DUMMYFUNCTION("""COMPUTED_VALUE"""),45919.6666666666)</f>
        <v/>
      </c>
      <c r="C64" s="141">
        <f>IFERROR(__xludf.DUMMYFUNCTION("""COMPUTED_VALUE"""),111.74)</f>
        <v/>
      </c>
      <c r="D64" s="141">
        <f>IFERROR(__xludf.DUMMYFUNCTION("""COMPUTED_VALUE"""),111.84)</f>
        <v/>
      </c>
      <c r="E64" s="141">
        <f>IFERROR(__xludf.DUMMYFUNCTION("""COMPUTED_VALUE"""),111.56)</f>
        <v/>
      </c>
      <c r="F64" s="141">
        <f>IFERROR(__xludf.DUMMYFUNCTION("""COMPUTED_VALUE"""),111.74)</f>
        <v/>
      </c>
      <c r="G64" s="143">
        <f>IFERROR(__xludf.DUMMYFUNCTION("""COMPUTED_VALUE"""),26845364)</f>
        <v/>
      </c>
      <c r="H64" s="27" t="n"/>
    </row>
    <row r="65" ht="17.25" customHeight="1" s="322">
      <c r="A65" s="27" t="n"/>
      <c r="B65" s="506">
        <f>IFERROR(__xludf.DUMMYFUNCTION("""COMPUTED_VALUE"""),45922.6666666666)</f>
        <v/>
      </c>
      <c r="C65" s="141">
        <f>IFERROR(__xludf.DUMMYFUNCTION("""COMPUTED_VALUE"""),111.64)</f>
        <v/>
      </c>
      <c r="D65" s="141">
        <f>IFERROR(__xludf.DUMMYFUNCTION("""COMPUTED_VALUE"""),111.7)</f>
        <v/>
      </c>
      <c r="E65" s="141">
        <f>IFERROR(__xludf.DUMMYFUNCTION("""COMPUTED_VALUE"""),111.43)</f>
        <v/>
      </c>
      <c r="F65" s="141">
        <f>IFERROR(__xludf.DUMMYFUNCTION("""COMPUTED_VALUE"""),111.49)</f>
        <v/>
      </c>
      <c r="G65" s="143">
        <f>IFERROR(__xludf.DUMMYFUNCTION("""COMPUTED_VALUE"""),25908608)</f>
        <v/>
      </c>
      <c r="H65" s="27" t="n"/>
    </row>
    <row r="66" ht="17.25" customHeight="1" s="322">
      <c r="A66" s="27" t="n"/>
      <c r="B66" s="506">
        <f>IFERROR(__xludf.DUMMYFUNCTION("""COMPUTED_VALUE"""),45923.6666666666)</f>
        <v/>
      </c>
      <c r="C66" s="141">
        <f>IFERROR(__xludf.DUMMYFUNCTION("""COMPUTED_VALUE"""),111.65)</f>
        <v/>
      </c>
      <c r="D66" s="141">
        <f>IFERROR(__xludf.DUMMYFUNCTION("""COMPUTED_VALUE"""),111.75)</f>
        <v/>
      </c>
      <c r="E66" s="141">
        <f>IFERROR(__xludf.DUMMYFUNCTION("""COMPUTED_VALUE"""),111.49)</f>
        <v/>
      </c>
      <c r="F66" s="141">
        <f>IFERROR(__xludf.DUMMYFUNCTION("""COMPUTED_VALUE"""),111.71)</f>
        <v/>
      </c>
      <c r="G66" s="143">
        <f>IFERROR(__xludf.DUMMYFUNCTION("""COMPUTED_VALUE"""),31575414)</f>
        <v/>
      </c>
      <c r="H66" s="27" t="n"/>
    </row>
    <row r="67" ht="17.25" customHeight="1" s="322">
      <c r="A67" s="27" t="n"/>
      <c r="B67" s="506">
        <f>IFERROR(__xludf.DUMMYFUNCTION("""COMPUTED_VALUE"""),45924.6666666666)</f>
        <v/>
      </c>
      <c r="C67" s="141">
        <f>IFERROR(__xludf.DUMMYFUNCTION("""COMPUTED_VALUE"""),111.49)</f>
        <v/>
      </c>
      <c r="D67" s="141">
        <f>IFERROR(__xludf.DUMMYFUNCTION("""COMPUTED_VALUE"""),111.52)</f>
        <v/>
      </c>
      <c r="E67" s="141">
        <f>IFERROR(__xludf.DUMMYFUNCTION("""COMPUTED_VALUE"""),111.17)</f>
        <v/>
      </c>
      <c r="F67" s="141">
        <f>IFERROR(__xludf.DUMMYFUNCTION("""COMPUTED_VALUE"""),111.26)</f>
        <v/>
      </c>
      <c r="G67" s="143">
        <f>IFERROR(__xludf.DUMMYFUNCTION("""COMPUTED_VALUE"""),34756683)</f>
        <v/>
      </c>
      <c r="H67" s="27" t="n"/>
    </row>
    <row r="68" ht="17.25" customHeight="1" s="322">
      <c r="A68" s="27" t="n"/>
      <c r="B68" s="506">
        <f>IFERROR(__xludf.DUMMYFUNCTION("""COMPUTED_VALUE"""),45925.6666666666)</f>
        <v/>
      </c>
      <c r="C68" s="141">
        <f>IFERROR(__xludf.DUMMYFUNCTION("""COMPUTED_VALUE"""),111)</f>
        <v/>
      </c>
      <c r="D68" s="141">
        <f>IFERROR(__xludf.DUMMYFUNCTION("""COMPUTED_VALUE"""),111.08)</f>
        <v/>
      </c>
      <c r="E68" s="141">
        <f>IFERROR(__xludf.DUMMYFUNCTION("""COMPUTED_VALUE"""),110.68)</f>
        <v/>
      </c>
      <c r="F68" s="141">
        <f>IFERROR(__xludf.DUMMYFUNCTION("""COMPUTED_VALUE"""),111.06)</f>
        <v/>
      </c>
      <c r="G68" s="143">
        <f>IFERROR(__xludf.DUMMYFUNCTION("""COMPUTED_VALUE"""),36991180)</f>
        <v/>
      </c>
      <c r="H68" s="27" t="n"/>
    </row>
    <row r="69" ht="17.25" customHeight="1" s="322">
      <c r="A69" s="27" t="n"/>
      <c r="B69" s="506">
        <f>IFERROR(__xludf.DUMMYFUNCTION("""COMPUTED_VALUE"""),45926.6666666666)</f>
        <v/>
      </c>
      <c r="C69" s="141">
        <f>IFERROR(__xludf.DUMMYFUNCTION("""COMPUTED_VALUE"""),111.15)</f>
        <v/>
      </c>
      <c r="D69" s="141">
        <f>IFERROR(__xludf.DUMMYFUNCTION("""COMPUTED_VALUE"""),111.39)</f>
        <v/>
      </c>
      <c r="E69" s="141">
        <f>IFERROR(__xludf.DUMMYFUNCTION("""COMPUTED_VALUE"""),110.99)</f>
        <v/>
      </c>
      <c r="F69" s="141">
        <f>IFERROR(__xludf.DUMMYFUNCTION("""COMPUTED_VALUE"""),111.21)</f>
        <v/>
      </c>
      <c r="G69" s="143">
        <f>IFERROR(__xludf.DUMMYFUNCTION("""COMPUTED_VALUE"""),31962180)</f>
        <v/>
      </c>
      <c r="H69" s="27" t="n"/>
    </row>
    <row r="70" ht="17.25" customHeight="1" s="322">
      <c r="A70" s="27" t="n"/>
      <c r="B70" s="506">
        <f>IFERROR(__xludf.DUMMYFUNCTION("""COMPUTED_VALUE"""),45929.6666666666)</f>
        <v/>
      </c>
      <c r="C70" s="141">
        <f>IFERROR(__xludf.DUMMYFUNCTION("""COMPUTED_VALUE"""),111.46)</f>
        <v/>
      </c>
      <c r="D70" s="141">
        <f>IFERROR(__xludf.DUMMYFUNCTION("""COMPUTED_VALUE"""),111.7)</f>
        <v/>
      </c>
      <c r="E70" s="141">
        <f>IFERROR(__xludf.DUMMYFUNCTION("""COMPUTED_VALUE"""),111.42)</f>
        <v/>
      </c>
      <c r="F70" s="141">
        <f>IFERROR(__xludf.DUMMYFUNCTION("""COMPUTED_VALUE"""),111.58)</f>
        <v/>
      </c>
      <c r="G70" s="143">
        <f>IFERROR(__xludf.DUMMYFUNCTION("""COMPUTED_VALUE"""),31961905)</f>
        <v/>
      </c>
      <c r="H70" s="27" t="n"/>
    </row>
    <row r="71" ht="17.25" customHeight="1" s="322">
      <c r="A71" s="27" t="n"/>
      <c r="B71" s="506">
        <f>IFERROR(__xludf.DUMMYFUNCTION("""COMPUTED_VALUE"""),45930.6666666666)</f>
        <v/>
      </c>
      <c r="C71" s="141">
        <f>IFERROR(__xludf.DUMMYFUNCTION("""COMPUTED_VALUE"""),111.65)</f>
        <v/>
      </c>
      <c r="D71" s="141">
        <f>IFERROR(__xludf.DUMMYFUNCTION("""COMPUTED_VALUE"""),111.86)</f>
        <v/>
      </c>
      <c r="E71" s="141">
        <f>IFERROR(__xludf.DUMMYFUNCTION("""COMPUTED_VALUE"""),111.38)</f>
        <v/>
      </c>
      <c r="F71" s="141">
        <f>IFERROR(__xludf.DUMMYFUNCTION("""COMPUTED_VALUE"""),111.47)</f>
        <v/>
      </c>
      <c r="G71" s="143">
        <f>IFERROR(__xludf.DUMMYFUNCTION("""COMPUTED_VALUE"""),34939756)</f>
        <v/>
      </c>
      <c r="H71" s="27" t="n"/>
    </row>
    <row r="72" ht="17.25" customHeight="1" s="322">
      <c r="A72" s="27" t="n"/>
      <c r="B72" s="506">
        <f>IFERROR(__xludf.DUMMYFUNCTION("""COMPUTED_VALUE"""),45931.6666666666)</f>
        <v/>
      </c>
      <c r="C72" s="141">
        <f>IFERROR(__xludf.DUMMYFUNCTION("""COMPUTED_VALUE"""),111.44)</f>
        <v/>
      </c>
      <c r="D72" s="141">
        <f>IFERROR(__xludf.DUMMYFUNCTION("""COMPUTED_VALUE"""),111.51)</f>
        <v/>
      </c>
      <c r="E72" s="141">
        <f>IFERROR(__xludf.DUMMYFUNCTION("""COMPUTED_VALUE"""),111.23)</f>
        <v/>
      </c>
      <c r="F72" s="141">
        <f>IFERROR(__xludf.DUMMYFUNCTION("""COMPUTED_VALUE"""),111.51)</f>
        <v/>
      </c>
      <c r="G72" s="143">
        <f>IFERROR(__xludf.DUMMYFUNCTION("""COMPUTED_VALUE"""),30262694)</f>
        <v/>
      </c>
      <c r="H72" s="27" t="n"/>
    </row>
    <row r="73" ht="17.25" customHeight="1" s="322">
      <c r="A73" s="27" t="n"/>
      <c r="B73" s="506">
        <f>IFERROR(__xludf.DUMMYFUNCTION("""COMPUTED_VALUE"""),45932.6666666666)</f>
        <v/>
      </c>
      <c r="C73" s="141">
        <f>IFERROR(__xludf.DUMMYFUNCTION("""COMPUTED_VALUE"""),111.49)</f>
        <v/>
      </c>
      <c r="D73" s="141">
        <f>IFERROR(__xludf.DUMMYFUNCTION("""COMPUTED_VALUE"""),111.73)</f>
        <v/>
      </c>
      <c r="E73" s="141">
        <f>IFERROR(__xludf.DUMMYFUNCTION("""COMPUTED_VALUE"""),111.41)</f>
        <v/>
      </c>
      <c r="F73" s="141">
        <f>IFERROR(__xludf.DUMMYFUNCTION("""COMPUTED_VALUE"""),111.69)</f>
        <v/>
      </c>
      <c r="G73" s="143">
        <f>IFERROR(__xludf.DUMMYFUNCTION("""COMPUTED_VALUE"""),18259449)</f>
        <v/>
      </c>
      <c r="H73" s="27" t="n"/>
    </row>
    <row r="74" ht="17.25" customHeight="1" s="322">
      <c r="A74" s="27" t="n"/>
      <c r="B74" s="506">
        <f>IFERROR(__xludf.DUMMYFUNCTION("""COMPUTED_VALUE"""),45933.6666666666)</f>
        <v/>
      </c>
      <c r="C74" s="141">
        <f>IFERROR(__xludf.DUMMYFUNCTION("""COMPUTED_VALUE"""),111.69)</f>
        <v/>
      </c>
      <c r="D74" s="141">
        <f>IFERROR(__xludf.DUMMYFUNCTION("""COMPUTED_VALUE"""),111.77)</f>
        <v/>
      </c>
      <c r="E74" s="141">
        <f>IFERROR(__xludf.DUMMYFUNCTION("""COMPUTED_VALUE"""),111.48)</f>
        <v/>
      </c>
      <c r="F74" s="141">
        <f>IFERROR(__xludf.DUMMYFUNCTION("""COMPUTED_VALUE"""),111.55)</f>
        <v/>
      </c>
      <c r="G74" s="143">
        <f>IFERROR(__xludf.DUMMYFUNCTION("""COMPUTED_VALUE"""),19971319)</f>
        <v/>
      </c>
      <c r="H74" s="27" t="n"/>
    </row>
    <row r="75" ht="17.25" customHeight="1" s="322">
      <c r="A75" s="27" t="n"/>
      <c r="B75" s="506">
        <f>IFERROR(__xludf.DUMMYFUNCTION("""COMPUTED_VALUE"""),45936.6666666666)</f>
        <v/>
      </c>
      <c r="C75" s="141">
        <f>IFERROR(__xludf.DUMMYFUNCTION("""COMPUTED_VALUE"""),111.24)</f>
        <v/>
      </c>
      <c r="D75" s="141">
        <f>IFERROR(__xludf.DUMMYFUNCTION("""COMPUTED_VALUE"""),111.47)</f>
        <v/>
      </c>
      <c r="E75" s="141">
        <f>IFERROR(__xludf.DUMMYFUNCTION("""COMPUTED_VALUE"""),111.16)</f>
        <v/>
      </c>
      <c r="F75" s="141">
        <f>IFERROR(__xludf.DUMMYFUNCTION("""COMPUTED_VALUE"""),111.19)</f>
        <v/>
      </c>
      <c r="G75" s="143">
        <f>IFERROR(__xludf.DUMMYFUNCTION("""COMPUTED_VALUE"""),19553971)</f>
        <v/>
      </c>
      <c r="H75" s="27" t="n"/>
    </row>
    <row r="76" ht="17.25" customHeight="1" s="322">
      <c r="A76" s="27" t="n"/>
      <c r="B76" s="506">
        <f>IFERROR(__xludf.DUMMYFUNCTION("""COMPUTED_VALUE"""),45937.6666666666)</f>
        <v/>
      </c>
      <c r="C76" s="141">
        <f>IFERROR(__xludf.DUMMYFUNCTION("""COMPUTED_VALUE"""),111.34)</f>
        <v/>
      </c>
      <c r="D76" s="141">
        <f>IFERROR(__xludf.DUMMYFUNCTION("""COMPUTED_VALUE"""),111.49)</f>
        <v/>
      </c>
      <c r="E76" s="141">
        <f>IFERROR(__xludf.DUMMYFUNCTION("""COMPUTED_VALUE"""),111.17)</f>
        <v/>
      </c>
      <c r="F76" s="141">
        <f>IFERROR(__xludf.DUMMYFUNCTION("""COMPUTED_VALUE"""),111.4)</f>
        <v/>
      </c>
      <c r="G76" s="143">
        <f>IFERROR(__xludf.DUMMYFUNCTION("""COMPUTED_VALUE"""),29459480)</f>
        <v/>
      </c>
      <c r="H76" s="27" t="n"/>
    </row>
    <row r="77" ht="17.25" customHeight="1" s="322">
      <c r="A77" s="27" t="n"/>
      <c r="B77" s="506">
        <f>IFERROR(__xludf.DUMMYFUNCTION("""COMPUTED_VALUE"""),45938.6666666666)</f>
        <v/>
      </c>
      <c r="C77" s="141">
        <f>IFERROR(__xludf.DUMMYFUNCTION("""COMPUTED_VALUE"""),111.61)</f>
        <v/>
      </c>
      <c r="D77" s="141">
        <f>IFERROR(__xludf.DUMMYFUNCTION("""COMPUTED_VALUE"""),111.62)</f>
        <v/>
      </c>
      <c r="E77" s="141">
        <f>IFERROR(__xludf.DUMMYFUNCTION("""COMPUTED_VALUE"""),111.25)</f>
        <v/>
      </c>
      <c r="F77" s="141">
        <f>IFERROR(__xludf.DUMMYFUNCTION("""COMPUTED_VALUE"""),111.26)</f>
        <v/>
      </c>
      <c r="G77" s="143">
        <f>IFERROR(__xludf.DUMMYFUNCTION("""COMPUTED_VALUE"""),22462143)</f>
        <v/>
      </c>
      <c r="H77" s="27" t="n"/>
    </row>
    <row r="78" ht="17.25" customHeight="1" s="322">
      <c r="A78" s="27" t="n"/>
      <c r="B78" s="506">
        <f>IFERROR(__xludf.DUMMYFUNCTION("""COMPUTED_VALUE"""),45939.6666666666)</f>
        <v/>
      </c>
      <c r="C78" s="141">
        <f>IFERROR(__xludf.DUMMYFUNCTION("""COMPUTED_VALUE"""),111.17)</f>
        <v/>
      </c>
      <c r="D78" s="141">
        <f>IFERROR(__xludf.DUMMYFUNCTION("""COMPUTED_VALUE"""),111.21)</f>
        <v/>
      </c>
      <c r="E78" s="141">
        <f>IFERROR(__xludf.DUMMYFUNCTION("""COMPUTED_VALUE"""),110.95)</f>
        <v/>
      </c>
      <c r="F78" s="141">
        <f>IFERROR(__xludf.DUMMYFUNCTION("""COMPUTED_VALUE"""),111.04)</f>
        <v/>
      </c>
      <c r="G78" s="143">
        <f>IFERROR(__xludf.DUMMYFUNCTION("""COMPUTED_VALUE"""),29660685)</f>
        <v/>
      </c>
      <c r="H78" s="27" t="n"/>
    </row>
    <row r="79" ht="17.25" customHeight="1" s="322">
      <c r="A79" s="27" t="n"/>
      <c r="B79" s="506">
        <f>IFERROR(__xludf.DUMMYFUNCTION("""COMPUTED_VALUE"""),45940.6666666666)</f>
        <v/>
      </c>
      <c r="C79" s="141">
        <f>IFERROR(__xludf.DUMMYFUNCTION("""COMPUTED_VALUE"""),111.48)</f>
        <v/>
      </c>
      <c r="D79" s="141">
        <f>IFERROR(__xludf.DUMMYFUNCTION("""COMPUTED_VALUE"""),111.55)</f>
        <v/>
      </c>
      <c r="E79" s="141">
        <f>IFERROR(__xludf.DUMMYFUNCTION("""COMPUTED_VALUE"""),111.28)</f>
        <v/>
      </c>
      <c r="F79" s="141">
        <f>IFERROR(__xludf.DUMMYFUNCTION("""COMPUTED_VALUE"""),111.35)</f>
        <v/>
      </c>
      <c r="G79" s="143">
        <f>IFERROR(__xludf.DUMMYFUNCTION("""COMPUTED_VALUE"""),39146387)</f>
        <v/>
      </c>
      <c r="H79" s="27" t="n"/>
    </row>
    <row r="80" ht="17.25" customHeight="1" s="322">
      <c r="A80" s="27" t="n"/>
      <c r="B80" s="506">
        <f>IFERROR(__xludf.DUMMYFUNCTION("""COMPUTED_VALUE"""),45943.6666666666)</f>
        <v/>
      </c>
      <c r="C80" s="141">
        <f>IFERROR(__xludf.DUMMYFUNCTION("""COMPUTED_VALUE"""),111.4)</f>
        <v/>
      </c>
      <c r="D80" s="141">
        <f>IFERROR(__xludf.DUMMYFUNCTION("""COMPUTED_VALUE"""),111.8)</f>
        <v/>
      </c>
      <c r="E80" s="141">
        <f>IFERROR(__xludf.DUMMYFUNCTION("""COMPUTED_VALUE"""),111.33)</f>
        <v/>
      </c>
      <c r="F80" s="141">
        <f>IFERROR(__xludf.DUMMYFUNCTION("""COMPUTED_VALUE"""),111.73)</f>
        <v/>
      </c>
      <c r="G80" s="143">
        <f>IFERROR(__xludf.DUMMYFUNCTION("""COMPUTED_VALUE"""),11236009)</f>
        <v/>
      </c>
      <c r="H80" s="27" t="n"/>
    </row>
    <row r="81" ht="17.25" customHeight="1" s="322">
      <c r="A81" s="27" t="n"/>
      <c r="B81" s="506">
        <f>IFERROR(__xludf.DUMMYFUNCTION("""COMPUTED_VALUE"""),45944.6666666666)</f>
        <v/>
      </c>
      <c r="C81" s="141">
        <f>IFERROR(__xludf.DUMMYFUNCTION("""COMPUTED_VALUE"""),111.52)</f>
        <v/>
      </c>
      <c r="D81" s="141">
        <f>IFERROR(__xludf.DUMMYFUNCTION("""COMPUTED_VALUE"""),112.13)</f>
        <v/>
      </c>
      <c r="E81" s="141">
        <f>IFERROR(__xludf.DUMMYFUNCTION("""COMPUTED_VALUE"""),111.48)</f>
        <v/>
      </c>
      <c r="F81" s="141">
        <f>IFERROR(__xludf.DUMMYFUNCTION("""COMPUTED_VALUE"""),112.1)</f>
        <v/>
      </c>
      <c r="G81" s="143">
        <f>IFERROR(__xludf.DUMMYFUNCTION("""COMPUTED_VALUE"""),43975276)</f>
        <v/>
      </c>
      <c r="H81" s="27" t="n"/>
    </row>
    <row r="82" ht="17.25" customHeight="1" s="322">
      <c r="A82" s="27" t="n"/>
      <c r="B82" s="506">
        <f>IFERROR(__xludf.DUMMYFUNCTION("""COMPUTED_VALUE"""),45945.6666666666)</f>
        <v/>
      </c>
      <c r="C82" s="141">
        <f>IFERROR(__xludf.DUMMYFUNCTION("""COMPUTED_VALUE"""),112.26)</f>
        <v/>
      </c>
      <c r="D82" s="141">
        <f>IFERROR(__xludf.DUMMYFUNCTION("""COMPUTED_VALUE"""),112.5)</f>
        <v/>
      </c>
      <c r="E82" s="141">
        <f>IFERROR(__xludf.DUMMYFUNCTION("""COMPUTED_VALUE"""),111.91)</f>
        <v/>
      </c>
      <c r="F82" s="141">
        <f>IFERROR(__xludf.DUMMYFUNCTION("""COMPUTED_VALUE"""),112.1)</f>
        <v/>
      </c>
      <c r="G82" s="143">
        <f>IFERROR(__xludf.DUMMYFUNCTION("""COMPUTED_VALUE"""),45017330)</f>
        <v/>
      </c>
      <c r="H82" s="27" t="n"/>
    </row>
    <row r="83" ht="17.25" customHeight="1" s="322">
      <c r="A83" s="27" t="n"/>
      <c r="B83" s="506">
        <f>IFERROR(__xludf.DUMMYFUNCTION("""COMPUTED_VALUE"""),45946.6666666666)</f>
        <v/>
      </c>
      <c r="C83" s="141">
        <f>IFERROR(__xludf.DUMMYFUNCTION("""COMPUTED_VALUE"""),112.05)</f>
        <v/>
      </c>
      <c r="D83" s="141">
        <f>IFERROR(__xludf.DUMMYFUNCTION("""COMPUTED_VALUE"""),112.44)</f>
        <v/>
      </c>
      <c r="E83" s="141">
        <f>IFERROR(__xludf.DUMMYFUNCTION("""COMPUTED_VALUE"""),111.98)</f>
        <v/>
      </c>
      <c r="F83" s="141">
        <f>IFERROR(__xludf.DUMMYFUNCTION("""COMPUTED_VALUE"""),112.42)</f>
        <v/>
      </c>
      <c r="G83" s="143">
        <f>IFERROR(__xludf.DUMMYFUNCTION("""COMPUTED_VALUE"""),39858439)</f>
        <v/>
      </c>
      <c r="H83" s="27" t="n"/>
    </row>
    <row r="84" ht="17.25" customHeight="1" s="322">
      <c r="A84" s="27" t="n"/>
      <c r="B84" s="506">
        <f>IFERROR(__xludf.DUMMYFUNCTION("""COMPUTED_VALUE"""),45947.6666666666)</f>
        <v/>
      </c>
      <c r="C84" s="141">
        <f>IFERROR(__xludf.DUMMYFUNCTION("""COMPUTED_VALUE"""),112.29)</f>
        <v/>
      </c>
      <c r="D84" s="141">
        <f>IFERROR(__xludf.DUMMYFUNCTION("""COMPUTED_VALUE"""),112.32)</f>
        <v/>
      </c>
      <c r="E84" s="141">
        <f>IFERROR(__xludf.DUMMYFUNCTION("""COMPUTED_VALUE"""),112.11)</f>
        <v/>
      </c>
      <c r="F84" s="141">
        <f>IFERROR(__xludf.DUMMYFUNCTION("""COMPUTED_VALUE"""),112.2)</f>
        <v/>
      </c>
      <c r="G84" s="143">
        <f>IFERROR(__xludf.DUMMYFUNCTION("""COMPUTED_VALUE"""),35433551)</f>
        <v/>
      </c>
      <c r="H84" s="27" t="n"/>
    </row>
    <row r="85" ht="17.25" customHeight="1" s="322">
      <c r="A85" s="27" t="n"/>
      <c r="B85" s="506">
        <f>IFERROR(__xludf.DUMMYFUNCTION("""COMPUTED_VALUE"""),45950.6666666666)</f>
        <v/>
      </c>
      <c r="C85" s="141">
        <f>IFERROR(__xludf.DUMMYFUNCTION("""COMPUTED_VALUE"""),112.46)</f>
        <v/>
      </c>
      <c r="D85" s="141">
        <f>IFERROR(__xludf.DUMMYFUNCTION("""COMPUTED_VALUE"""),112.56)</f>
        <v/>
      </c>
      <c r="E85" s="141">
        <f>IFERROR(__xludf.DUMMYFUNCTION("""COMPUTED_VALUE"""),112.42)</f>
        <v/>
      </c>
      <c r="F85" s="141">
        <f>IFERROR(__xludf.DUMMYFUNCTION("""COMPUTED_VALUE"""),112.54)</f>
        <v/>
      </c>
      <c r="G85" s="143">
        <f>IFERROR(__xludf.DUMMYFUNCTION("""COMPUTED_VALUE"""),26361144)</f>
        <v/>
      </c>
      <c r="H85" s="27" t="n"/>
    </row>
    <row r="86" ht="17.25" customHeight="1" s="322">
      <c r="A86" s="27" t="n"/>
      <c r="B86" s="506">
        <f>IFERROR(__xludf.DUMMYFUNCTION("""COMPUTED_VALUE"""),45951.6666666666)</f>
        <v/>
      </c>
      <c r="C86" s="141">
        <f>IFERROR(__xludf.DUMMYFUNCTION("""COMPUTED_VALUE"""),112.82)</f>
        <v/>
      </c>
      <c r="D86" s="141">
        <f>IFERROR(__xludf.DUMMYFUNCTION("""COMPUTED_VALUE"""),112.89)</f>
        <v/>
      </c>
      <c r="E86" s="141">
        <f>IFERROR(__xludf.DUMMYFUNCTION("""COMPUTED_VALUE"""),112.55)</f>
        <v/>
      </c>
      <c r="F86" s="141">
        <f>IFERROR(__xludf.DUMMYFUNCTION("""COMPUTED_VALUE"""),112.56)</f>
        <v/>
      </c>
      <c r="G86" s="143">
        <f>IFERROR(__xludf.DUMMYFUNCTION("""COMPUTED_VALUE"""),27353849)</f>
        <v/>
      </c>
      <c r="H86" s="27" t="n"/>
    </row>
    <row r="87" ht="17.25" customHeight="1" s="322">
      <c r="A87" s="27" t="n"/>
      <c r="B87" s="506">
        <f>IFERROR(__xludf.DUMMYFUNCTION("""COMPUTED_VALUE"""),45952.6666666666)</f>
        <v/>
      </c>
      <c r="C87" s="141">
        <f>IFERROR(__xludf.DUMMYFUNCTION("""COMPUTED_VALUE"""),112.55)</f>
        <v/>
      </c>
      <c r="D87" s="141">
        <f>IFERROR(__xludf.DUMMYFUNCTION("""COMPUTED_VALUE"""),112.68)</f>
        <v/>
      </c>
      <c r="E87" s="141">
        <f>IFERROR(__xludf.DUMMYFUNCTION("""COMPUTED_VALUE"""),112.41)</f>
        <v/>
      </c>
      <c r="F87" s="141">
        <f>IFERROR(__xludf.DUMMYFUNCTION("""COMPUTED_VALUE"""),112.67)</f>
        <v/>
      </c>
      <c r="G87" s="143">
        <f>IFERROR(__xludf.DUMMYFUNCTION("""COMPUTED_VALUE"""),41003685)</f>
        <v/>
      </c>
      <c r="H87" s="27" t="n"/>
    </row>
    <row r="88" ht="17.25" customHeight="1" s="322">
      <c r="A88" s="27" t="n"/>
      <c r="B88" s="506">
        <f>IFERROR(__xludf.DUMMYFUNCTION("""COMPUTED_VALUE"""),45953.6666666666)</f>
        <v/>
      </c>
      <c r="C88" s="141">
        <f>IFERROR(__xludf.DUMMYFUNCTION("""COMPUTED_VALUE"""),112.52)</f>
        <v/>
      </c>
      <c r="D88" s="141">
        <f>IFERROR(__xludf.DUMMYFUNCTION("""COMPUTED_VALUE"""),112.69)</f>
        <v/>
      </c>
      <c r="E88" s="141">
        <f>IFERROR(__xludf.DUMMYFUNCTION("""COMPUTED_VALUE"""),112.46)</f>
        <v/>
      </c>
      <c r="F88" s="141">
        <f>IFERROR(__xludf.DUMMYFUNCTION("""COMPUTED_VALUE"""),112.53)</f>
        <v/>
      </c>
      <c r="G88" s="143">
        <f>IFERROR(__xludf.DUMMYFUNCTION("""COMPUTED_VALUE"""),27558499)</f>
        <v/>
      </c>
      <c r="H88" s="27" t="n"/>
    </row>
    <row r="89" ht="17.25" customHeight="1" s="322">
      <c r="A89" s="27" t="n"/>
      <c r="B89" s="506">
        <f>IFERROR(__xludf.DUMMYFUNCTION("""COMPUTED_VALUE"""),45954.6666666666)</f>
        <v/>
      </c>
      <c r="C89" s="141">
        <f>IFERROR(__xludf.DUMMYFUNCTION("""COMPUTED_VALUE"""),112.78)</f>
        <v/>
      </c>
      <c r="D89" s="141">
        <f>IFERROR(__xludf.DUMMYFUNCTION("""COMPUTED_VALUE"""),112.79)</f>
        <v/>
      </c>
      <c r="E89" s="141">
        <f>IFERROR(__xludf.DUMMYFUNCTION("""COMPUTED_VALUE"""),112.55)</f>
        <v/>
      </c>
      <c r="F89" s="141">
        <f>IFERROR(__xludf.DUMMYFUNCTION("""COMPUTED_VALUE"""),112.72)</f>
        <v/>
      </c>
      <c r="G89" s="143">
        <f>IFERROR(__xludf.DUMMYFUNCTION("""COMPUTED_VALUE"""),29474580)</f>
        <v/>
      </c>
      <c r="H89" s="27" t="n"/>
    </row>
    <row r="90" ht="17.25" customHeight="1" s="322">
      <c r="A90" s="27" t="n"/>
      <c r="B90" s="506">
        <f>IFERROR(__xludf.DUMMYFUNCTION("""COMPUTED_VALUE"""),45957.6666666666)</f>
        <v/>
      </c>
      <c r="C90" s="141">
        <f>IFERROR(__xludf.DUMMYFUNCTION("""COMPUTED_VALUE"""),112.71)</f>
        <v/>
      </c>
      <c r="D90" s="141">
        <f>IFERROR(__xludf.DUMMYFUNCTION("""COMPUTED_VALUE"""),112.93)</f>
        <v/>
      </c>
      <c r="E90" s="141">
        <f>IFERROR(__xludf.DUMMYFUNCTION("""COMPUTED_VALUE"""),112.55)</f>
        <v/>
      </c>
      <c r="F90" s="141">
        <f>IFERROR(__xludf.DUMMYFUNCTION("""COMPUTED_VALUE"""),112.91)</f>
        <v/>
      </c>
      <c r="G90" s="143">
        <f>IFERROR(__xludf.DUMMYFUNCTION("""COMPUTED_VALUE"""),23513396)</f>
        <v/>
      </c>
      <c r="H90" s="27" t="n"/>
    </row>
    <row r="91" ht="17.25" customHeight="1" s="322">
      <c r="A91" s="27" t="n"/>
      <c r="B91" s="506">
        <f>IFERROR(__xludf.DUMMYFUNCTION("""COMPUTED_VALUE"""),45958.6666666666)</f>
        <v/>
      </c>
      <c r="C91" s="141">
        <f>IFERROR(__xludf.DUMMYFUNCTION("""COMPUTED_VALUE"""),112.85)</f>
        <v/>
      </c>
      <c r="D91" s="141">
        <f>IFERROR(__xludf.DUMMYFUNCTION("""COMPUTED_VALUE"""),112.93)</f>
        <v/>
      </c>
      <c r="E91" s="141">
        <f>IFERROR(__xludf.DUMMYFUNCTION("""COMPUTED_VALUE"""),112.7)</f>
        <v/>
      </c>
      <c r="F91" s="141">
        <f>IFERROR(__xludf.DUMMYFUNCTION("""COMPUTED_VALUE"""),112.92)</f>
        <v/>
      </c>
      <c r="G91" s="143">
        <f>IFERROR(__xludf.DUMMYFUNCTION("""COMPUTED_VALUE"""),34236305)</f>
        <v/>
      </c>
      <c r="H91" s="27" t="n"/>
    </row>
    <row r="92" ht="17.25" customHeight="1" s="322">
      <c r="A92" s="27" t="n"/>
      <c r="B92" s="506">
        <f>IFERROR(__xludf.DUMMYFUNCTION("""COMPUTED_VALUE"""),45959.6666666666)</f>
        <v/>
      </c>
      <c r="C92" s="141">
        <f>IFERROR(__xludf.DUMMYFUNCTION("""COMPUTED_VALUE"""),112.86)</f>
        <v/>
      </c>
      <c r="D92" s="141">
        <f>IFERROR(__xludf.DUMMYFUNCTION("""COMPUTED_VALUE"""),112.89)</f>
        <v/>
      </c>
      <c r="E92" s="141">
        <f>IFERROR(__xludf.DUMMYFUNCTION("""COMPUTED_VALUE"""),112.19)</f>
        <v/>
      </c>
      <c r="F92" s="141">
        <f>IFERROR(__xludf.DUMMYFUNCTION("""COMPUTED_VALUE"""),112.28)</f>
        <v/>
      </c>
      <c r="G92" s="143">
        <f>IFERROR(__xludf.DUMMYFUNCTION("""COMPUTED_VALUE"""),36236250)</f>
        <v/>
      </c>
      <c r="H92" s="27" t="n"/>
    </row>
    <row r="93" ht="17.25" customHeight="1" s="322">
      <c r="A93" s="27" t="n"/>
      <c r="B93" s="506">
        <f>IFERROR(__xludf.DUMMYFUNCTION("""COMPUTED_VALUE"""),45960.6666666666)</f>
        <v/>
      </c>
      <c r="C93" s="141">
        <f>IFERROR(__xludf.DUMMYFUNCTION("""COMPUTED_VALUE"""),111.62)</f>
        <v/>
      </c>
      <c r="D93" s="141">
        <f>IFERROR(__xludf.DUMMYFUNCTION("""COMPUTED_VALUE"""),112.01)</f>
        <v/>
      </c>
      <c r="E93" s="141">
        <f>IFERROR(__xludf.DUMMYFUNCTION("""COMPUTED_VALUE"""),111.52)</f>
        <v/>
      </c>
      <c r="F93" s="141">
        <f>IFERROR(__xludf.DUMMYFUNCTION("""COMPUTED_VALUE"""),111.68)</f>
        <v/>
      </c>
      <c r="G93" s="143">
        <f>IFERROR(__xludf.DUMMYFUNCTION("""COMPUTED_VALUE"""),46045251)</f>
        <v/>
      </c>
      <c r="H93" s="27" t="n"/>
    </row>
    <row r="94" ht="17.25" customHeight="1" s="322">
      <c r="A94" s="27" t="n"/>
      <c r="B94" s="506">
        <f>IFERROR(__xludf.DUMMYFUNCTION("""COMPUTED_VALUE"""),45961.6666666666)</f>
        <v/>
      </c>
      <c r="C94" s="141">
        <f>IFERROR(__xludf.DUMMYFUNCTION("""COMPUTED_VALUE"""),111.78)</f>
        <v/>
      </c>
      <c r="D94" s="141">
        <f>IFERROR(__xludf.DUMMYFUNCTION("""COMPUTED_VALUE"""),111.78)</f>
        <v/>
      </c>
      <c r="E94" s="141">
        <f>IFERROR(__xludf.DUMMYFUNCTION("""COMPUTED_VALUE"""),111.19)</f>
        <v/>
      </c>
      <c r="F94" s="141">
        <f>IFERROR(__xludf.DUMMYFUNCTION("""COMPUTED_VALUE"""),111.23)</f>
        <v/>
      </c>
      <c r="G94" s="143">
        <f>IFERROR(__xludf.DUMMYFUNCTION("""COMPUTED_VALUE"""),57255523)</f>
        <v/>
      </c>
      <c r="H94" s="27" t="n"/>
    </row>
    <row r="95" ht="17.25" customHeight="1" s="322">
      <c r="A95" s="27" t="n"/>
      <c r="B95" s="506">
        <f>IFERROR(__xludf.DUMMYFUNCTION("""COMPUTED_VALUE"""),45964.6666666666)</f>
        <v/>
      </c>
      <c r="C95" s="141">
        <f>IFERROR(__xludf.DUMMYFUNCTION("""COMPUTED_VALUE"""),110.61)</f>
        <v/>
      </c>
      <c r="D95" s="141">
        <f>IFERROR(__xludf.DUMMYFUNCTION("""COMPUTED_VALUE"""),110.62)</f>
        <v/>
      </c>
      <c r="E95" s="141">
        <f>IFERROR(__xludf.DUMMYFUNCTION("""COMPUTED_VALUE"""),110.4)</f>
        <v/>
      </c>
      <c r="F95" s="141">
        <f>IFERROR(__xludf.DUMMYFUNCTION("""COMPUTED_VALUE"""),110.53)</f>
        <v/>
      </c>
      <c r="G95" s="143">
        <f>IFERROR(__xludf.DUMMYFUNCTION("""COMPUTED_VALUE"""),53372130)</f>
        <v/>
      </c>
      <c r="H95" s="27" t="n"/>
    </row>
    <row r="96" ht="17.25" customHeight="1" s="322">
      <c r="A96" s="27" t="n"/>
      <c r="B96" s="506">
        <f>IFERROR(__xludf.DUMMYFUNCTION("""COMPUTED_VALUE"""),45965.6666666666)</f>
        <v/>
      </c>
      <c r="C96" s="141">
        <f>IFERROR(__xludf.DUMMYFUNCTION("""COMPUTED_VALUE"""),110.46)</f>
        <v/>
      </c>
      <c r="D96" s="141">
        <f>IFERROR(__xludf.DUMMYFUNCTION("""COMPUTED_VALUE"""),110.96)</f>
        <v/>
      </c>
      <c r="E96" s="141">
        <f>IFERROR(__xludf.DUMMYFUNCTION("""COMPUTED_VALUE"""),110.45)</f>
        <v/>
      </c>
      <c r="F96" s="141">
        <f>IFERROR(__xludf.DUMMYFUNCTION("""COMPUTED_VALUE"""),110.68)</f>
        <v/>
      </c>
      <c r="G96" s="143">
        <f>IFERROR(__xludf.DUMMYFUNCTION("""COMPUTED_VALUE"""),62636734)</f>
        <v/>
      </c>
      <c r="H96" s="27" t="n"/>
    </row>
    <row r="97" ht="17.25" customHeight="1" s="322">
      <c r="A97" s="27" t="n"/>
      <c r="B97" s="506">
        <f>IFERROR(__xludf.DUMMYFUNCTION("""COMPUTED_VALUE"""),45966.6666666666)</f>
        <v/>
      </c>
      <c r="C97" s="141">
        <f>IFERROR(__xludf.DUMMYFUNCTION("""COMPUTED_VALUE"""),110.65)</f>
        <v/>
      </c>
      <c r="D97" s="141">
        <f>IFERROR(__xludf.DUMMYFUNCTION("""COMPUTED_VALUE"""),110.72)</f>
        <v/>
      </c>
      <c r="E97" s="141">
        <f>IFERROR(__xludf.DUMMYFUNCTION("""COMPUTED_VALUE"""),110.33)</f>
        <v/>
      </c>
      <c r="F97" s="141">
        <f>IFERROR(__xludf.DUMMYFUNCTION("""COMPUTED_VALUE"""),110.35)</f>
        <v/>
      </c>
      <c r="G97" s="143">
        <f>IFERROR(__xludf.DUMMYFUNCTION("""COMPUTED_VALUE"""),43258251)</f>
        <v/>
      </c>
      <c r="H97" s="27" t="n"/>
    </row>
    <row r="98" ht="17.25" customHeight="1" s="322">
      <c r="A98" s="27" t="n"/>
      <c r="B98" s="506">
        <f>IFERROR(__xludf.DUMMYFUNCTION("""COMPUTED_VALUE"""),45967.6666666666)</f>
        <v/>
      </c>
      <c r="C98" s="141">
        <f>IFERROR(__xludf.DUMMYFUNCTION("""COMPUTED_VALUE"""),110.8)</f>
        <v/>
      </c>
      <c r="D98" s="141">
        <f>IFERROR(__xludf.DUMMYFUNCTION("""COMPUTED_VALUE"""),110.93)</f>
        <v/>
      </c>
      <c r="E98" s="141">
        <f>IFERROR(__xludf.DUMMYFUNCTION("""COMPUTED_VALUE"""),110.73)</f>
        <v/>
      </c>
      <c r="F98" s="141">
        <f>IFERROR(__xludf.DUMMYFUNCTION("""COMPUTED_VALUE"""),110.93)</f>
        <v/>
      </c>
      <c r="G98" s="143">
        <f>IFERROR(__xludf.DUMMYFUNCTION("""COMPUTED_VALUE"""),37815113)</f>
        <v/>
      </c>
      <c r="H98" s="27" t="n"/>
    </row>
    <row r="99" ht="17.25" customHeight="1" s="322">
      <c r="A99" s="27" t="n"/>
      <c r="B99" s="506">
        <f>IFERROR(__xludf.DUMMYFUNCTION("""COMPUTED_VALUE"""),45968.6666666666)</f>
        <v/>
      </c>
      <c r="C99" s="141">
        <f>IFERROR(__xludf.DUMMYFUNCTION("""COMPUTED_VALUE"""),110.65)</f>
        <v/>
      </c>
      <c r="D99" s="141">
        <f>IFERROR(__xludf.DUMMYFUNCTION("""COMPUTED_VALUE"""),110.84)</f>
        <v/>
      </c>
      <c r="E99" s="141">
        <f>IFERROR(__xludf.DUMMYFUNCTION("""COMPUTED_VALUE"""),110.59)</f>
        <v/>
      </c>
      <c r="F99" s="141">
        <f>IFERROR(__xludf.DUMMYFUNCTION("""COMPUTED_VALUE"""),110.71)</f>
        <v/>
      </c>
      <c r="G99" s="143">
        <f>IFERROR(__xludf.DUMMYFUNCTION("""COMPUTED_VALUE"""),42671621)</f>
        <v/>
      </c>
      <c r="H99" s="27" t="n"/>
    </row>
    <row r="100" ht="17.25" customHeight="1" s="322">
      <c r="A100" s="27" t="n"/>
      <c r="B100" s="506">
        <f>IFERROR(__xludf.DUMMYFUNCTION("""COMPUTED_VALUE"""),45971.6666666666)</f>
        <v/>
      </c>
      <c r="C100" s="141">
        <f>IFERROR(__xludf.DUMMYFUNCTION("""COMPUTED_VALUE"""),110.77)</f>
        <v/>
      </c>
      <c r="D100" s="141">
        <f>IFERROR(__xludf.DUMMYFUNCTION("""COMPUTED_VALUE"""),110.9)</f>
        <v/>
      </c>
      <c r="E100" s="141">
        <f>IFERROR(__xludf.DUMMYFUNCTION("""COMPUTED_VALUE"""),110.71)</f>
        <v/>
      </c>
      <c r="F100" s="141">
        <f>IFERROR(__xludf.DUMMYFUNCTION("""COMPUTED_VALUE"""),110.77)</f>
        <v/>
      </c>
      <c r="G100" s="143">
        <f>IFERROR(__xludf.DUMMYFUNCTION("""COMPUTED_VALUE"""),45229107)</f>
        <v/>
      </c>
      <c r="H100" s="27" t="n"/>
    </row>
    <row r="101" ht="17.25" customHeight="1" s="322">
      <c r="A101" s="27" t="n"/>
      <c r="B101" s="506">
        <f>IFERROR(__xludf.DUMMYFUNCTION("""COMPUTED_VALUE"""),45972.6666666666)</f>
        <v/>
      </c>
      <c r="C101" s="141">
        <f>IFERROR(__xludf.DUMMYFUNCTION("""COMPUTED_VALUE"""),111.05)</f>
        <v/>
      </c>
      <c r="D101" s="141">
        <f>IFERROR(__xludf.DUMMYFUNCTION("""COMPUTED_VALUE"""),111.29)</f>
        <v/>
      </c>
      <c r="E101" s="141">
        <f>IFERROR(__xludf.DUMMYFUNCTION("""COMPUTED_VALUE"""),110.98)</f>
        <v/>
      </c>
      <c r="F101" s="141">
        <f>IFERROR(__xludf.DUMMYFUNCTION("""COMPUTED_VALUE"""),111.21)</f>
        <v/>
      </c>
      <c r="G101" s="143">
        <f>IFERROR(__xludf.DUMMYFUNCTION("""COMPUTED_VALUE"""),11282570)</f>
        <v/>
      </c>
      <c r="H101" s="27" t="n"/>
    </row>
    <row r="102" ht="17.25" customHeight="1" s="322">
      <c r="A102" s="27" t="n"/>
      <c r="B102" s="506">
        <f>IFERROR(__xludf.DUMMYFUNCTION("""COMPUTED_VALUE"""),45973.6666666666)</f>
        <v/>
      </c>
      <c r="C102" s="141">
        <f>IFERROR(__xludf.DUMMYFUNCTION("""COMPUTED_VALUE"""),111.14)</f>
        <v/>
      </c>
      <c r="D102" s="141">
        <f>IFERROR(__xludf.DUMMYFUNCTION("""COMPUTED_VALUE"""),111.19)</f>
        <v/>
      </c>
      <c r="E102" s="141">
        <f>IFERROR(__xludf.DUMMYFUNCTION("""COMPUTED_VALUE"""),111)</f>
        <v/>
      </c>
      <c r="F102" s="141">
        <f>IFERROR(__xludf.DUMMYFUNCTION("""COMPUTED_VALUE"""),111.1)</f>
        <v/>
      </c>
      <c r="G102" s="143">
        <f>IFERROR(__xludf.DUMMYFUNCTION("""COMPUTED_VALUE"""),39067935)</f>
        <v/>
      </c>
      <c r="H102" s="27" t="n"/>
    </row>
    <row r="103" ht="17.25" customHeight="1" s="322">
      <c r="A103" s="27" t="n"/>
      <c r="B103" s="506">
        <f>IFERROR(__xludf.DUMMYFUNCTION("""COMPUTED_VALUE"""),45974.6666666666)</f>
        <v/>
      </c>
      <c r="C103" s="141">
        <f>IFERROR(__xludf.DUMMYFUNCTION("""COMPUTED_VALUE"""),110.79)</f>
        <v/>
      </c>
      <c r="D103" s="141">
        <f>IFERROR(__xludf.DUMMYFUNCTION("""COMPUTED_VALUE"""),110.91)</f>
        <v/>
      </c>
      <c r="E103" s="141">
        <f>IFERROR(__xludf.DUMMYFUNCTION("""COMPUTED_VALUE"""),110.55)</f>
        <v/>
      </c>
      <c r="F103" s="141">
        <f>IFERROR(__xludf.DUMMYFUNCTION("""COMPUTED_VALUE"""),110.55)</f>
        <v/>
      </c>
      <c r="G103" s="143">
        <f>IFERROR(__xludf.DUMMYFUNCTION("""COMPUTED_VALUE"""),34125889)</f>
        <v/>
      </c>
      <c r="H103" s="27" t="n"/>
    </row>
    <row r="104" ht="17.25" customHeight="1" s="322">
      <c r="A104" s="27" t="n"/>
      <c r="B104" s="506">
        <f>IFERROR(__xludf.DUMMYFUNCTION("""COMPUTED_VALUE"""),45975.6666666666)</f>
        <v/>
      </c>
      <c r="C104" s="141">
        <f>IFERROR(__xludf.DUMMYFUNCTION("""COMPUTED_VALUE"""),110.64)</f>
        <v/>
      </c>
      <c r="D104" s="141">
        <f>IFERROR(__xludf.DUMMYFUNCTION("""COMPUTED_VALUE"""),110.73)</f>
        <v/>
      </c>
      <c r="E104" s="141">
        <f>IFERROR(__xludf.DUMMYFUNCTION("""COMPUTED_VALUE"""),110.24)</f>
        <v/>
      </c>
      <c r="F104" s="141">
        <f>IFERROR(__xludf.DUMMYFUNCTION("""COMPUTED_VALUE"""),110.25)</f>
        <v/>
      </c>
      <c r="G104" s="143">
        <f>IFERROR(__xludf.DUMMYFUNCTION("""COMPUTED_VALUE"""),31437629)</f>
        <v/>
      </c>
      <c r="H104" s="27" t="n"/>
    </row>
    <row r="105" ht="17.25" customHeight="1" s="322">
      <c r="A105" s="27" t="n"/>
      <c r="B105" s="506">
        <f>IFERROR(__xludf.DUMMYFUNCTION("""COMPUTED_VALUE"""),45978.6666666666)</f>
        <v/>
      </c>
      <c r="C105" s="141">
        <f>IFERROR(__xludf.DUMMYFUNCTION("""COMPUTED_VALUE"""),110.31)</f>
        <v/>
      </c>
      <c r="D105" s="141">
        <f>IFERROR(__xludf.DUMMYFUNCTION("""COMPUTED_VALUE"""),110.58)</f>
        <v/>
      </c>
      <c r="E105" s="141">
        <f>IFERROR(__xludf.DUMMYFUNCTION("""COMPUTED_VALUE"""),110.25)</f>
        <v/>
      </c>
      <c r="F105" s="141">
        <f>IFERROR(__xludf.DUMMYFUNCTION("""COMPUTED_VALUE"""),110.32)</f>
        <v/>
      </c>
      <c r="G105" s="143">
        <f>IFERROR(__xludf.DUMMYFUNCTION("""COMPUTED_VALUE"""),34343349)</f>
        <v/>
      </c>
      <c r="H105" s="27" t="n"/>
    </row>
    <row r="106" ht="17.25" customHeight="1" s="322">
      <c r="A106" s="27" t="n"/>
      <c r="B106" s="506">
        <f>IFERROR(__xludf.DUMMYFUNCTION("""COMPUTED_VALUE"""),45979.6666666666)</f>
        <v/>
      </c>
      <c r="C106" s="141">
        <f>IFERROR(__xludf.DUMMYFUNCTION("""COMPUTED_VALUE"""),110.51)</f>
        <v/>
      </c>
      <c r="D106" s="141">
        <f>IFERROR(__xludf.DUMMYFUNCTION("""COMPUTED_VALUE"""),110.58)</f>
        <v/>
      </c>
      <c r="E106" s="141">
        <f>IFERROR(__xludf.DUMMYFUNCTION("""COMPUTED_VALUE"""),110.26)</f>
        <v/>
      </c>
      <c r="F106" s="141">
        <f>IFERROR(__xludf.DUMMYFUNCTION("""COMPUTED_VALUE"""),110.37)</f>
        <v/>
      </c>
      <c r="G106" s="143">
        <f>IFERROR(__xludf.DUMMYFUNCTION("""COMPUTED_VALUE"""),30566074)</f>
        <v/>
      </c>
      <c r="H106" s="27" t="n"/>
    </row>
    <row r="107" ht="17.25" customHeight="1" s="322">
      <c r="A107" s="27" t="n"/>
      <c r="B107" s="506">
        <f>IFERROR(__xludf.DUMMYFUNCTION("""COMPUTED_VALUE"""),45980.6666666666)</f>
        <v/>
      </c>
      <c r="C107" s="141">
        <f>IFERROR(__xludf.DUMMYFUNCTION("""COMPUTED_VALUE"""),110.6)</f>
        <v/>
      </c>
      <c r="D107" s="141">
        <f>IFERROR(__xludf.DUMMYFUNCTION("""COMPUTED_VALUE"""),110.67)</f>
        <v/>
      </c>
      <c r="E107" s="141">
        <f>IFERROR(__xludf.DUMMYFUNCTION("""COMPUTED_VALUE"""),110.32)</f>
        <v/>
      </c>
      <c r="F107" s="141">
        <f>IFERROR(__xludf.DUMMYFUNCTION("""COMPUTED_VALUE"""),110.38)</f>
        <v/>
      </c>
      <c r="G107" s="143">
        <f>IFERROR(__xludf.DUMMYFUNCTION("""COMPUTED_VALUE"""),29144994)</f>
        <v/>
      </c>
      <c r="H107" s="27" t="n"/>
    </row>
    <row r="108" ht="17.25" customHeight="1" s="322">
      <c r="A108" s="27" t="n"/>
      <c r="B108" s="506">
        <f>IFERROR(__xludf.DUMMYFUNCTION("""COMPUTED_VALUE"""),45981.6666666666)</f>
        <v/>
      </c>
      <c r="C108" s="141">
        <f>IFERROR(__xludf.DUMMYFUNCTION("""COMPUTED_VALUE"""),110.67)</f>
        <v/>
      </c>
      <c r="D108" s="141">
        <f>IFERROR(__xludf.DUMMYFUNCTION("""COMPUTED_VALUE"""),110.81)</f>
        <v/>
      </c>
      <c r="E108" s="141">
        <f>IFERROR(__xludf.DUMMYFUNCTION("""COMPUTED_VALUE"""),110.43)</f>
        <v/>
      </c>
      <c r="F108" s="141">
        <f>IFERROR(__xludf.DUMMYFUNCTION("""COMPUTED_VALUE"""),110.53)</f>
        <v/>
      </c>
      <c r="G108" s="143">
        <f>IFERROR(__xludf.DUMMYFUNCTION("""COMPUTED_VALUE"""),49362254)</f>
        <v/>
      </c>
      <c r="H108" s="27" t="n"/>
    </row>
    <row r="109" ht="17.25" customHeight="1" s="322">
      <c r="A109" s="27" t="n"/>
      <c r="B109" s="506">
        <f>IFERROR(__xludf.DUMMYFUNCTION("""COMPUTED_VALUE"""),45982.6666666666)</f>
        <v/>
      </c>
      <c r="C109" s="141">
        <f>IFERROR(__xludf.DUMMYFUNCTION("""COMPUTED_VALUE"""),110.9)</f>
        <v/>
      </c>
      <c r="D109" s="141">
        <f>IFERROR(__xludf.DUMMYFUNCTION("""COMPUTED_VALUE"""),110.96)</f>
        <v/>
      </c>
      <c r="E109" s="141">
        <f>IFERROR(__xludf.DUMMYFUNCTION("""COMPUTED_VALUE"""),110.61)</f>
        <v/>
      </c>
      <c r="F109" s="141">
        <f>IFERROR(__xludf.DUMMYFUNCTION("""COMPUTED_VALUE"""),110.92)</f>
        <v/>
      </c>
      <c r="G109" s="143">
        <f>IFERROR(__xludf.DUMMYFUNCTION("""COMPUTED_VALUE"""),41000506)</f>
        <v/>
      </c>
      <c r="H109" s="27" t="n"/>
    </row>
    <row r="110" ht="17.25" customHeight="1" s="322">
      <c r="A110" s="27" t="n"/>
      <c r="B110" s="506">
        <f>IFERROR(__xludf.DUMMYFUNCTION("""COMPUTED_VALUE"""),45985.6666666666)</f>
        <v/>
      </c>
      <c r="C110" s="141">
        <f>IFERROR(__xludf.DUMMYFUNCTION("""COMPUTED_VALUE"""),111.18)</f>
        <v/>
      </c>
      <c r="D110" s="141">
        <f>IFERROR(__xludf.DUMMYFUNCTION("""COMPUTED_VALUE"""),111.36)</f>
        <v/>
      </c>
      <c r="E110" s="141">
        <f>IFERROR(__xludf.DUMMYFUNCTION("""COMPUTED_VALUE"""),111.09)</f>
        <v/>
      </c>
      <c r="F110" s="141">
        <f>IFERROR(__xludf.DUMMYFUNCTION("""COMPUTED_VALUE"""),111.36)</f>
        <v/>
      </c>
      <c r="G110" s="143">
        <f>IFERROR(__xludf.DUMMYFUNCTION("""COMPUTED_VALUE"""),28437903)</f>
        <v/>
      </c>
      <c r="H110" s="27" t="n"/>
    </row>
    <row r="111" ht="17.25" customHeight="1" s="322">
      <c r="A111" s="27" t="n"/>
      <c r="B111" s="506">
        <f>IFERROR(__xludf.DUMMYFUNCTION("""COMPUTED_VALUE"""),45986.6666666666)</f>
        <v/>
      </c>
      <c r="C111" s="141">
        <f>IFERROR(__xludf.DUMMYFUNCTION("""COMPUTED_VALUE"""),111.43)</f>
        <v/>
      </c>
      <c r="D111" s="141">
        <f>IFERROR(__xludf.DUMMYFUNCTION("""COMPUTED_VALUE"""),111.9)</f>
        <v/>
      </c>
      <c r="E111" s="141">
        <f>IFERROR(__xludf.DUMMYFUNCTION("""COMPUTED_VALUE"""),111.4)</f>
        <v/>
      </c>
      <c r="F111" s="141">
        <f>IFERROR(__xludf.DUMMYFUNCTION("""COMPUTED_VALUE"""),111.67)</f>
        <v/>
      </c>
      <c r="G111" s="143">
        <f>IFERROR(__xludf.DUMMYFUNCTION("""COMPUTED_VALUE"""),47560984)</f>
        <v/>
      </c>
      <c r="H111" s="27" t="n"/>
    </row>
    <row r="112" ht="17.25" customHeight="1" s="322">
      <c r="A112" s="27" t="n"/>
      <c r="B112" s="506">
        <f>IFERROR(__xludf.DUMMYFUNCTION("""COMPUTED_VALUE"""),45987.6666666666)</f>
        <v/>
      </c>
      <c r="C112" s="141">
        <f>IFERROR(__xludf.DUMMYFUNCTION("""COMPUTED_VALUE"""),111.67)</f>
        <v/>
      </c>
      <c r="D112" s="141">
        <f>IFERROR(__xludf.DUMMYFUNCTION("""COMPUTED_VALUE"""),112.06)</f>
        <v/>
      </c>
      <c r="E112" s="141">
        <f>IFERROR(__xludf.DUMMYFUNCTION("""COMPUTED_VALUE"""),111.54)</f>
        <v/>
      </c>
      <c r="F112" s="141">
        <f>IFERROR(__xludf.DUMMYFUNCTION("""COMPUTED_VALUE"""),112.05)</f>
        <v/>
      </c>
      <c r="G112" s="143">
        <f>IFERROR(__xludf.DUMMYFUNCTION("""COMPUTED_VALUE"""),24585384)</f>
        <v/>
      </c>
      <c r="H112" s="27" t="n"/>
    </row>
    <row r="113" ht="17.25" customHeight="1" s="322">
      <c r="A113" s="27" t="n"/>
      <c r="B113" s="506">
        <f>IFERROR(__xludf.DUMMYFUNCTION("""COMPUTED_VALUE"""),45989.5520833333)</f>
        <v/>
      </c>
      <c r="C113" s="141">
        <f>IFERROR(__xludf.DUMMYFUNCTION("""COMPUTED_VALUE"""),111.98)</f>
        <v/>
      </c>
      <c r="D113" s="141">
        <f>IFERROR(__xludf.DUMMYFUNCTION("""COMPUTED_VALUE"""),112.02)</f>
        <v/>
      </c>
      <c r="E113" s="141">
        <f>IFERROR(__xludf.DUMMYFUNCTION("""COMPUTED_VALUE"""),111.68)</f>
        <v/>
      </c>
      <c r="F113" s="141">
        <f>IFERROR(__xludf.DUMMYFUNCTION("""COMPUTED_VALUE"""),111.86)</f>
        <v/>
      </c>
      <c r="G113" s="143">
        <f>IFERROR(__xludf.DUMMYFUNCTION("""COMPUTED_VALUE"""),25471156)</f>
        <v/>
      </c>
      <c r="H113" s="27" t="n"/>
    </row>
    <row r="114" ht="17.25" customHeight="1" s="322">
      <c r="A114" s="27" t="n"/>
      <c r="B114" s="506">
        <f>IFERROR(__xludf.DUMMYFUNCTION("""COMPUTED_VALUE"""),45992.6666666666)</f>
        <v/>
      </c>
      <c r="C114" s="141">
        <f>IFERROR(__xludf.DUMMYFUNCTION("""COMPUTED_VALUE"""),110.77)</f>
        <v/>
      </c>
      <c r="D114" s="141">
        <f>IFERROR(__xludf.DUMMYFUNCTION("""COMPUTED_VALUE"""),110.89)</f>
        <v/>
      </c>
      <c r="E114" s="141">
        <f>IFERROR(__xludf.DUMMYFUNCTION("""COMPUTED_VALUE"""),110.66)</f>
        <v/>
      </c>
      <c r="F114" s="141">
        <f>IFERROR(__xludf.DUMMYFUNCTION("""COMPUTED_VALUE"""),110.85)</f>
        <v/>
      </c>
      <c r="G114" s="143">
        <f>IFERROR(__xludf.DUMMYFUNCTION("""COMPUTED_VALUE"""),24610135)</f>
        <v/>
      </c>
      <c r="H114" s="27" t="n"/>
    </row>
    <row r="115" ht="17.25" customHeight="1" s="322">
      <c r="A115" s="27" t="n"/>
      <c r="B115" s="506">
        <f>IFERROR(__xludf.DUMMYFUNCTION("""COMPUTED_VALUE"""),45993.6666666666)</f>
        <v/>
      </c>
      <c r="C115" s="141">
        <f>IFERROR(__xludf.DUMMYFUNCTION("""COMPUTED_VALUE"""),110.84)</f>
        <v/>
      </c>
      <c r="D115" s="141">
        <f>IFERROR(__xludf.DUMMYFUNCTION("""COMPUTED_VALUE"""),111.05)</f>
        <v/>
      </c>
      <c r="E115" s="141">
        <f>IFERROR(__xludf.DUMMYFUNCTION("""COMPUTED_VALUE"""),110.75)</f>
        <v/>
      </c>
      <c r="F115" s="141">
        <f>IFERROR(__xludf.DUMMYFUNCTION("""COMPUTED_VALUE"""),110.92)</f>
        <v/>
      </c>
      <c r="G115" s="143">
        <f>IFERROR(__xludf.DUMMYFUNCTION("""COMPUTED_VALUE"""),34955064)</f>
        <v/>
      </c>
      <c r="H115" s="27" t="n"/>
    </row>
    <row r="116" ht="17.25" customHeight="1" s="322">
      <c r="A116" s="27" t="n"/>
      <c r="B116" s="506">
        <f>IFERROR(__xludf.DUMMYFUNCTION("""COMPUTED_VALUE"""),45994.6666666666)</f>
        <v/>
      </c>
      <c r="C116" s="141">
        <f>IFERROR(__xludf.DUMMYFUNCTION("""COMPUTED_VALUE"""),111)</f>
        <v/>
      </c>
      <c r="D116" s="141">
        <f>IFERROR(__xludf.DUMMYFUNCTION("""COMPUTED_VALUE"""),111.27)</f>
        <v/>
      </c>
      <c r="E116" s="141">
        <f>IFERROR(__xludf.DUMMYFUNCTION("""COMPUTED_VALUE"""),110.95)</f>
        <v/>
      </c>
      <c r="F116" s="141">
        <f>IFERROR(__xludf.DUMMYFUNCTION("""COMPUTED_VALUE"""),111.17)</f>
        <v/>
      </c>
      <c r="G116" s="143">
        <f>IFERROR(__xludf.DUMMYFUNCTION("""COMPUTED_VALUE"""),20998021)</f>
        <v/>
      </c>
      <c r="H116" s="27" t="n"/>
    </row>
    <row r="117" ht="17.25" customHeight="1" s="322">
      <c r="A117" s="27" t="n"/>
      <c r="B117" s="506">
        <f>IFERROR(__xludf.DUMMYFUNCTION("""COMPUTED_VALUE"""),45995.6666666666)</f>
        <v/>
      </c>
      <c r="C117" s="141">
        <f>IFERROR(__xludf.DUMMYFUNCTION("""COMPUTED_VALUE"""),111.04)</f>
        <v/>
      </c>
      <c r="D117" s="141">
        <f>IFERROR(__xludf.DUMMYFUNCTION("""COMPUTED_VALUE"""),111.06)</f>
        <v/>
      </c>
      <c r="E117" s="141">
        <f>IFERROR(__xludf.DUMMYFUNCTION("""COMPUTED_VALUE"""),110.86)</f>
        <v/>
      </c>
      <c r="F117" s="141">
        <f>IFERROR(__xludf.DUMMYFUNCTION("""COMPUTED_VALUE"""),110.97)</f>
        <v/>
      </c>
      <c r="G117" s="143">
        <f>IFERROR(__xludf.DUMMYFUNCTION("""COMPUTED_VALUE"""),29846546)</f>
        <v/>
      </c>
      <c r="H117" s="27" t="n"/>
    </row>
    <row r="118" ht="17.25" customHeight="1" s="322">
      <c r="A118" s="27" t="n"/>
      <c r="B118" s="506">
        <f>IFERROR(__xludf.DUMMYFUNCTION("""COMPUTED_VALUE"""),45996.6666666666)</f>
        <v/>
      </c>
      <c r="C118" s="141">
        <f>IFERROR(__xludf.DUMMYFUNCTION("""COMPUTED_VALUE"""),111.02)</f>
        <v/>
      </c>
      <c r="D118" s="141">
        <f>IFERROR(__xludf.DUMMYFUNCTION("""COMPUTED_VALUE"""),111.03)</f>
        <v/>
      </c>
      <c r="E118" s="141">
        <f>IFERROR(__xludf.DUMMYFUNCTION("""COMPUTED_VALUE"""),110.7)</f>
        <v/>
      </c>
      <c r="F118" s="141">
        <f>IFERROR(__xludf.DUMMYFUNCTION("""COMPUTED_VALUE"""),110.86)</f>
        <v/>
      </c>
      <c r="G118" s="143">
        <f>IFERROR(__xludf.DUMMYFUNCTION("""COMPUTED_VALUE"""),25470026)</f>
        <v/>
      </c>
      <c r="H118" s="27" t="n"/>
    </row>
    <row r="119" ht="17.25" customHeight="1" s="322">
      <c r="A119" s="27" t="n"/>
      <c r="B119" s="506">
        <f>IFERROR(__xludf.DUMMYFUNCTION("""COMPUTED_VALUE"""),45999.6666666666)</f>
        <v/>
      </c>
      <c r="C119" s="141">
        <f>IFERROR(__xludf.DUMMYFUNCTION("""COMPUTED_VALUE"""),110.88)</f>
        <v/>
      </c>
      <c r="D119" s="141">
        <f>IFERROR(__xludf.DUMMYFUNCTION("""COMPUTED_VALUE"""),110.89)</f>
        <v/>
      </c>
      <c r="E119" s="141">
        <f>IFERROR(__xludf.DUMMYFUNCTION("""COMPUTED_VALUE"""),110.41)</f>
        <v/>
      </c>
      <c r="F119" s="141">
        <f>IFERROR(__xludf.DUMMYFUNCTION("""COMPUTED_VALUE"""),110.63)</f>
        <v/>
      </c>
      <c r="G119" s="143">
        <f>IFERROR(__xludf.DUMMYFUNCTION("""COMPUTED_VALUE"""),28815224)</f>
        <v/>
      </c>
      <c r="H119" s="27" t="n"/>
    </row>
    <row r="120" ht="17.25" customHeight="1" s="322">
      <c r="A120" s="27" t="n"/>
      <c r="B120" s="506">
        <f>IFERROR(__xludf.DUMMYFUNCTION("""COMPUTED_VALUE"""),46000.6666666666)</f>
        <v/>
      </c>
      <c r="C120" s="141">
        <f>IFERROR(__xludf.DUMMYFUNCTION("""COMPUTED_VALUE"""),110.86)</f>
        <v/>
      </c>
      <c r="D120" s="141">
        <f>IFERROR(__xludf.DUMMYFUNCTION("""COMPUTED_VALUE"""),110.88)</f>
        <v/>
      </c>
      <c r="E120" s="141">
        <f>IFERROR(__xludf.DUMMYFUNCTION("""COMPUTED_VALUE"""),110.4)</f>
        <v/>
      </c>
      <c r="F120" s="141">
        <f>IFERROR(__xludf.DUMMYFUNCTION("""COMPUTED_VALUE"""),110.49)</f>
        <v/>
      </c>
      <c r="G120" s="143">
        <f>IFERROR(__xludf.DUMMYFUNCTION("""COMPUTED_VALUE"""),29239889)</f>
        <v/>
      </c>
      <c r="H120" s="27" t="n"/>
    </row>
    <row r="121" ht="17.25" customHeight="1" s="322">
      <c r="A121" s="27" t="n"/>
      <c r="B121" s="506">
        <f>IFERROR(__xludf.DUMMYFUNCTION("""COMPUTED_VALUE"""),46001.6666666666)</f>
        <v/>
      </c>
      <c r="C121" s="141">
        <f>IFERROR(__xludf.DUMMYFUNCTION("""COMPUTED_VALUE"""),110.46)</f>
        <v/>
      </c>
      <c r="D121" s="141">
        <f>IFERROR(__xludf.DUMMYFUNCTION("""COMPUTED_VALUE"""),111.06)</f>
        <v/>
      </c>
      <c r="E121" s="141">
        <f>IFERROR(__xludf.DUMMYFUNCTION("""COMPUTED_VALUE"""),110.43)</f>
        <v/>
      </c>
      <c r="F121" s="141">
        <f>IFERROR(__xludf.DUMMYFUNCTION("""COMPUTED_VALUE"""),111)</f>
        <v/>
      </c>
      <c r="G121" s="143">
        <f>IFERROR(__xludf.DUMMYFUNCTION("""COMPUTED_VALUE"""),34019498)</f>
        <v/>
      </c>
      <c r="H121" s="27" t="n"/>
    </row>
    <row r="122" ht="17.25" customHeight="1" s="322">
      <c r="A122" s="27" t="n"/>
      <c r="B122" s="506">
        <f>IFERROR(__xludf.DUMMYFUNCTION("""COMPUTED_VALUE"""),46002.6666666666)</f>
        <v/>
      </c>
      <c r="C122" s="141">
        <f>IFERROR(__xludf.DUMMYFUNCTION("""COMPUTED_VALUE"""),111.19)</f>
        <v/>
      </c>
      <c r="D122" s="141">
        <f>IFERROR(__xludf.DUMMYFUNCTION("""COMPUTED_VALUE"""),111.31)</f>
        <v/>
      </c>
      <c r="E122" s="141">
        <f>IFERROR(__xludf.DUMMYFUNCTION("""COMPUTED_VALUE"""),110.79)</f>
        <v/>
      </c>
      <c r="F122" s="141">
        <f>IFERROR(__xludf.DUMMYFUNCTION("""COMPUTED_VALUE"""),110.84)</f>
        <v/>
      </c>
      <c r="G122" s="143">
        <f>IFERROR(__xludf.DUMMYFUNCTION("""COMPUTED_VALUE"""),41927196)</f>
        <v/>
      </c>
      <c r="H122" s="27" t="n"/>
    </row>
    <row r="123" ht="17.25" customHeight="1" s="322">
      <c r="A123" s="27" t="n"/>
      <c r="B123" s="506">
        <f>IFERROR(__xludf.DUMMYFUNCTION("""COMPUTED_VALUE"""),46003.6666666666)</f>
        <v/>
      </c>
      <c r="C123" s="141">
        <f>IFERROR(__xludf.DUMMYFUNCTION("""COMPUTED_VALUE"""),110.3)</f>
        <v/>
      </c>
      <c r="D123" s="141">
        <f>IFERROR(__xludf.DUMMYFUNCTION("""COMPUTED_VALUE"""),110.41)</f>
        <v/>
      </c>
      <c r="E123" s="141">
        <f>IFERROR(__xludf.DUMMYFUNCTION("""COMPUTED_VALUE"""),110.1)</f>
        <v/>
      </c>
      <c r="F123" s="141">
        <f>IFERROR(__xludf.DUMMYFUNCTION("""COMPUTED_VALUE"""),110.17)</f>
        <v/>
      </c>
      <c r="G123" s="143">
        <f>IFERROR(__xludf.DUMMYFUNCTION("""COMPUTED_VALUE"""),39040128)</f>
        <v/>
      </c>
      <c r="H123" s="27" t="n"/>
    </row>
    <row r="124" ht="17.25" customHeight="1" s="322">
      <c r="A124" s="27" t="n"/>
      <c r="B124" s="506">
        <f>IFERROR(__xludf.DUMMYFUNCTION("""COMPUTED_VALUE"""),46006.6666666666)</f>
        <v/>
      </c>
      <c r="C124" s="141">
        <f>IFERROR(__xludf.DUMMYFUNCTION("""COMPUTED_VALUE"""),110.53)</f>
        <v/>
      </c>
      <c r="D124" s="141">
        <f>IFERROR(__xludf.DUMMYFUNCTION("""COMPUTED_VALUE"""),110.61)</f>
        <v/>
      </c>
      <c r="E124" s="141">
        <f>IFERROR(__xludf.DUMMYFUNCTION("""COMPUTED_VALUE"""),110.22)</f>
        <v/>
      </c>
      <c r="F124" s="141">
        <f>IFERROR(__xludf.DUMMYFUNCTION("""COMPUTED_VALUE"""),110.3)</f>
        <v/>
      </c>
      <c r="G124" s="143">
        <f>IFERROR(__xludf.DUMMYFUNCTION("""COMPUTED_VALUE"""),22151514)</f>
        <v/>
      </c>
      <c r="H124" s="27" t="n"/>
    </row>
    <row r="125" ht="17.25" customHeight="1" s="322">
      <c r="A125" s="27" t="n"/>
      <c r="B125" s="506">
        <f>IFERROR(__xludf.DUMMYFUNCTION("""COMPUTED_VALUE"""),46007.6666666666)</f>
        <v/>
      </c>
      <c r="C125" s="141">
        <f>IFERROR(__xludf.DUMMYFUNCTION("""COMPUTED_VALUE"""),110.18)</f>
        <v/>
      </c>
      <c r="D125" s="141">
        <f>IFERROR(__xludf.DUMMYFUNCTION("""COMPUTED_VALUE"""),110.59)</f>
        <v/>
      </c>
      <c r="E125" s="141">
        <f>IFERROR(__xludf.DUMMYFUNCTION("""COMPUTED_VALUE"""),110.12)</f>
        <v/>
      </c>
      <c r="F125" s="141">
        <f>IFERROR(__xludf.DUMMYFUNCTION("""COMPUTED_VALUE"""),110.55)</f>
        <v/>
      </c>
      <c r="G125" s="143">
        <f>IFERROR(__xludf.DUMMYFUNCTION("""COMPUTED_VALUE"""),31692622)</f>
        <v/>
      </c>
      <c r="H125" s="27" t="n"/>
    </row>
    <row r="126" ht="17.25" customHeight="1" s="322">
      <c r="A126" s="27" t="n"/>
      <c r="B126" s="506">
        <f>IFERROR(__xludf.DUMMYFUNCTION("""COMPUTED_VALUE"""),46008.6666666666)</f>
        <v/>
      </c>
      <c r="C126" s="141">
        <f>IFERROR(__xludf.DUMMYFUNCTION("""COMPUTED_VALUE"""),110.43)</f>
        <v/>
      </c>
      <c r="D126" s="141">
        <f>IFERROR(__xludf.DUMMYFUNCTION("""COMPUTED_VALUE"""),110.58)</f>
        <v/>
      </c>
      <c r="E126" s="141">
        <f>IFERROR(__xludf.DUMMYFUNCTION("""COMPUTED_VALUE"""),110.35)</f>
        <v/>
      </c>
      <c r="F126" s="141">
        <f>IFERROR(__xludf.DUMMYFUNCTION("""COMPUTED_VALUE"""),110.43)</f>
        <v/>
      </c>
      <c r="G126" s="143">
        <f>IFERROR(__xludf.DUMMYFUNCTION("""COMPUTED_VALUE"""),22248040)</f>
        <v/>
      </c>
      <c r="H126" s="27" t="n"/>
    </row>
    <row r="127" ht="17.25" customHeight="1" s="322">
      <c r="A127" s="27" t="n"/>
      <c r="B127" s="506">
        <f>IFERROR(__xludf.DUMMYFUNCTION("""COMPUTED_VALUE"""),46009.6666666666)</f>
        <v/>
      </c>
      <c r="C127" s="141">
        <f>IFERROR(__xludf.DUMMYFUNCTION("""COMPUTED_VALUE"""),110.85)</f>
        <v/>
      </c>
      <c r="D127" s="141">
        <f>IFERROR(__xludf.DUMMYFUNCTION("""COMPUTED_VALUE"""),110.94)</f>
        <v/>
      </c>
      <c r="E127" s="141">
        <f>IFERROR(__xludf.DUMMYFUNCTION("""COMPUTED_VALUE"""),110.64)</f>
        <v/>
      </c>
      <c r="F127" s="141">
        <f>IFERROR(__xludf.DUMMYFUNCTION("""COMPUTED_VALUE"""),110.85)</f>
        <v/>
      </c>
      <c r="G127" s="143">
        <f>IFERROR(__xludf.DUMMYFUNCTION("""COMPUTED_VALUE"""),31844286)</f>
        <v/>
      </c>
      <c r="H127" s="27" t="n"/>
    </row>
    <row r="128" ht="17.25" customHeight="1" s="322">
      <c r="A128" s="27" t="n"/>
      <c r="B128" s="506">
        <f>IFERROR(__xludf.DUMMYFUNCTION("""COMPUTED_VALUE"""),46010.6666666666)</f>
        <v/>
      </c>
      <c r="C128" s="141">
        <f>IFERROR(__xludf.DUMMYFUNCTION("""COMPUTED_VALUE"""),110.28)</f>
        <v/>
      </c>
      <c r="D128" s="141">
        <f>IFERROR(__xludf.DUMMYFUNCTION("""COMPUTED_VALUE"""),110.34)</f>
        <v/>
      </c>
      <c r="E128" s="141">
        <f>IFERROR(__xludf.DUMMYFUNCTION("""COMPUTED_VALUE"""),110.1)</f>
        <v/>
      </c>
      <c r="F128" s="141">
        <f>IFERROR(__xludf.DUMMYFUNCTION("""COMPUTED_VALUE"""),110.13)</f>
        <v/>
      </c>
      <c r="G128" s="143">
        <f>IFERROR(__xludf.DUMMYFUNCTION("""COMPUTED_VALUE"""),28594887)</f>
        <v/>
      </c>
      <c r="H128" s="27" t="n"/>
    </row>
    <row r="129" ht="17.25" customHeight="1" s="322">
      <c r="A129" s="27" t="n"/>
      <c r="B129" s="506">
        <f>IFERROR(__xludf.DUMMYFUNCTION("""COMPUTED_VALUE"""),46013.6666666666)</f>
        <v/>
      </c>
      <c r="C129" s="141">
        <f>IFERROR(__xludf.DUMMYFUNCTION("""COMPUTED_VALUE"""),110.18)</f>
        <v/>
      </c>
      <c r="D129" s="141">
        <f>IFERROR(__xludf.DUMMYFUNCTION("""COMPUTED_VALUE"""),110.21)</f>
        <v/>
      </c>
      <c r="E129" s="141">
        <f>IFERROR(__xludf.DUMMYFUNCTION("""COMPUTED_VALUE"""),110.01)</f>
        <v/>
      </c>
      <c r="F129" s="141">
        <f>IFERROR(__xludf.DUMMYFUNCTION("""COMPUTED_VALUE"""),110.11)</f>
        <v/>
      </c>
      <c r="G129" s="143">
        <f>IFERROR(__xludf.DUMMYFUNCTION("""COMPUTED_VALUE"""),17335283)</f>
        <v/>
      </c>
      <c r="H129" s="27" t="n"/>
    </row>
    <row r="130" ht="17.25" customHeight="1" s="322">
      <c r="A130" s="27" t="n"/>
      <c r="B130" s="506">
        <f>IFERROR(__xludf.DUMMYFUNCTION("""COMPUTED_VALUE"""),46014.6666666666)</f>
        <v/>
      </c>
      <c r="C130" s="141">
        <f>IFERROR(__xludf.DUMMYFUNCTION("""COMPUTED_VALUE"""),109.91)</f>
        <v/>
      </c>
      <c r="D130" s="141">
        <f>IFERROR(__xludf.DUMMYFUNCTION("""COMPUTED_VALUE"""),110.27)</f>
        <v/>
      </c>
      <c r="E130" s="141">
        <f>IFERROR(__xludf.DUMMYFUNCTION("""COMPUTED_VALUE"""),109.85)</f>
        <v/>
      </c>
      <c r="F130" s="141">
        <f>IFERROR(__xludf.DUMMYFUNCTION("""COMPUTED_VALUE"""),110.22)</f>
        <v/>
      </c>
      <c r="G130" s="143">
        <f>IFERROR(__xludf.DUMMYFUNCTION("""COMPUTED_VALUE"""),16137321)</f>
        <v/>
      </c>
      <c r="H130" s="27" t="n"/>
    </row>
    <row r="131" ht="17.25" customHeight="1" s="322">
      <c r="A131" s="27" t="n"/>
      <c r="B131" s="506">
        <f>IFERROR(__xludf.DUMMYFUNCTION("""COMPUTED_VALUE"""),46015.5416666666)</f>
        <v/>
      </c>
      <c r="C131" s="141">
        <f>IFERROR(__xludf.DUMMYFUNCTION("""COMPUTED_VALUE"""),110.43)</f>
        <v/>
      </c>
      <c r="D131" s="141">
        <f>IFERROR(__xludf.DUMMYFUNCTION("""COMPUTED_VALUE"""),110.65)</f>
        <v/>
      </c>
      <c r="E131" s="141">
        <f>IFERROR(__xludf.DUMMYFUNCTION("""COMPUTED_VALUE"""),110.34)</f>
        <v/>
      </c>
      <c r="F131" s="141">
        <f>IFERROR(__xludf.DUMMYFUNCTION("""COMPUTED_VALUE"""),110.65)</f>
        <v/>
      </c>
      <c r="G131" s="143">
        <f>IFERROR(__xludf.DUMMYFUNCTION("""COMPUTED_VALUE"""),6400631)</f>
        <v/>
      </c>
      <c r="H131" s="27" t="n"/>
    </row>
    <row r="132" ht="17.25" customHeight="1" s="322">
      <c r="A132" s="27" t="n"/>
      <c r="B132" s="506">
        <f>IFERROR(__xludf.DUMMYFUNCTION("""COMPUTED_VALUE"""),46017.6666666666)</f>
        <v/>
      </c>
      <c r="C132" s="141">
        <f>IFERROR(__xludf.DUMMYFUNCTION("""COMPUTED_VALUE"""),110.75)</f>
        <v/>
      </c>
      <c r="D132" s="141">
        <f>IFERROR(__xludf.DUMMYFUNCTION("""COMPUTED_VALUE"""),110.8)</f>
        <v/>
      </c>
      <c r="E132" s="141">
        <f>IFERROR(__xludf.DUMMYFUNCTION("""COMPUTED_VALUE"""),110.47)</f>
        <v/>
      </c>
      <c r="F132" s="141">
        <f>IFERROR(__xludf.DUMMYFUNCTION("""COMPUTED_VALUE"""),110.64)</f>
        <v/>
      </c>
      <c r="G132" s="143">
        <f>IFERROR(__xludf.DUMMYFUNCTION("""COMPUTED_VALUE"""),10589292)</f>
        <v/>
      </c>
      <c r="H132" s="27" t="n"/>
    </row>
    <row r="133" ht="17.25" customHeight="1" s="322">
      <c r="A133" s="27" t="n"/>
      <c r="B133" s="506">
        <f>IFERROR(__xludf.DUMMYFUNCTION("""COMPUTED_VALUE"""),46020.6666666666)</f>
        <v/>
      </c>
      <c r="C133" s="141">
        <f>IFERROR(__xludf.DUMMYFUNCTION("""COMPUTED_VALUE"""),110.69)</f>
        <v/>
      </c>
      <c r="D133" s="141">
        <f>IFERROR(__xludf.DUMMYFUNCTION("""COMPUTED_VALUE"""),110.79)</f>
        <v/>
      </c>
      <c r="E133" s="141">
        <f>IFERROR(__xludf.DUMMYFUNCTION("""COMPUTED_VALUE"""),110.59)</f>
        <v/>
      </c>
      <c r="F133" s="141">
        <f>IFERROR(__xludf.DUMMYFUNCTION("""COMPUTED_VALUE"""),110.79)</f>
        <v/>
      </c>
      <c r="G133" s="143">
        <f>IFERROR(__xludf.DUMMYFUNCTION("""COMPUTED_VALUE"""),18943860)</f>
        <v/>
      </c>
      <c r="H133" s="27" t="n"/>
    </row>
    <row r="134" ht="17.25" customHeight="1" s="322">
      <c r="A134" s="27" t="n"/>
      <c r="B134" s="506">
        <f>IFERROR(__xludf.DUMMYFUNCTION("""COMPUTED_VALUE"""),46021.6666666666)</f>
        <v/>
      </c>
      <c r="C134" s="141">
        <f>IFERROR(__xludf.DUMMYFUNCTION("""COMPUTED_VALUE"""),110.57)</f>
        <v/>
      </c>
      <c r="D134" s="141">
        <f>IFERROR(__xludf.DUMMYFUNCTION("""COMPUTED_VALUE"""),110.76)</f>
        <v/>
      </c>
      <c r="E134" s="141">
        <f>IFERROR(__xludf.DUMMYFUNCTION("""COMPUTED_VALUE"""),110.48)</f>
        <v/>
      </c>
      <c r="F134" s="141">
        <f>IFERROR(__xludf.DUMMYFUNCTION("""COMPUTED_VALUE"""),110.66)</f>
        <v/>
      </c>
      <c r="G134" s="143">
        <f>IFERROR(__xludf.DUMMYFUNCTION("""COMPUTED_VALUE"""),21486365)</f>
        <v/>
      </c>
      <c r="H134" s="27" t="n"/>
    </row>
    <row r="135" ht="17.25" customHeight="1" s="322">
      <c r="A135" s="27" t="n"/>
      <c r="B135" s="506">
        <f>IFERROR(__xludf.DUMMYFUNCTION("""COMPUTED_VALUE"""),46022.6666666666)</f>
        <v/>
      </c>
      <c r="C135" s="141">
        <f>IFERROR(__xludf.DUMMYFUNCTION("""COMPUTED_VALUE"""),110.53)</f>
        <v/>
      </c>
      <c r="D135" s="141">
        <f>IFERROR(__xludf.DUMMYFUNCTION("""COMPUTED_VALUE"""),110.63)</f>
        <v/>
      </c>
      <c r="E135" s="141">
        <f>IFERROR(__xludf.DUMMYFUNCTION("""COMPUTED_VALUE"""),110.19)</f>
        <v/>
      </c>
      <c r="F135" s="141">
        <f>IFERROR(__xludf.DUMMYFUNCTION("""COMPUTED_VALUE"""),110.19)</f>
        <v/>
      </c>
      <c r="G135" s="143">
        <f>IFERROR(__xludf.DUMMYFUNCTION("""COMPUTED_VALUE"""),19124711)</f>
        <v/>
      </c>
      <c r="H135" s="27" t="n"/>
    </row>
    <row r="136" ht="17.25" customHeight="1" s="322">
      <c r="A136" s="27" t="n"/>
      <c r="B136" s="506">
        <f>IFERROR(__xludf.DUMMYFUNCTION("""COMPUTED_VALUE"""),46024.6666666666)</f>
        <v/>
      </c>
      <c r="C136" s="141">
        <f>IFERROR(__xludf.DUMMYFUNCTION("""COMPUTED_VALUE"""),110.32)</f>
        <v/>
      </c>
      <c r="D136" s="141">
        <f>IFERROR(__xludf.DUMMYFUNCTION("""COMPUTED_VALUE"""),110.4)</f>
        <v/>
      </c>
      <c r="E136" s="141">
        <f>IFERROR(__xludf.DUMMYFUNCTION("""COMPUTED_VALUE"""),110.04)</f>
        <v/>
      </c>
      <c r="F136" s="141">
        <f>IFERROR(__xludf.DUMMYFUNCTION("""COMPUTED_VALUE"""),110.16)</f>
        <v/>
      </c>
      <c r="G136" s="143">
        <f>IFERROR(__xludf.DUMMYFUNCTION("""COMPUTED_VALUE"""),25676222)</f>
        <v/>
      </c>
      <c r="H136" s="27" t="n"/>
    </row>
    <row r="137" ht="17.25" customHeight="1" s="322">
      <c r="A137" s="27" t="n"/>
      <c r="B137" s="506">
        <f>IFERROR(__xludf.DUMMYFUNCTION("""COMPUTED_VALUE"""),46027.6666666666)</f>
        <v/>
      </c>
      <c r="C137" s="141">
        <f>IFERROR(__xludf.DUMMYFUNCTION("""COMPUTED_VALUE"""),110.3)</f>
        <v/>
      </c>
      <c r="D137" s="141">
        <f>IFERROR(__xludf.DUMMYFUNCTION("""COMPUTED_VALUE"""),110.51)</f>
        <v/>
      </c>
      <c r="E137" s="141">
        <f>IFERROR(__xludf.DUMMYFUNCTION("""COMPUTED_VALUE"""),110.17)</f>
        <v/>
      </c>
      <c r="F137" s="141">
        <f>IFERROR(__xludf.DUMMYFUNCTION("""COMPUTED_VALUE"""),110.47)</f>
        <v/>
      </c>
      <c r="G137" s="143">
        <f>IFERROR(__xludf.DUMMYFUNCTION("""COMPUTED_VALUE"""),27771020)</f>
        <v/>
      </c>
      <c r="H137" s="27" t="n"/>
    </row>
    <row r="138" ht="17.25" customHeight="1" s="322">
      <c r="A138" s="27" t="n"/>
      <c r="B138" s="506">
        <f>IFERROR(__xludf.DUMMYFUNCTION("""COMPUTED_VALUE"""),46028.6666666666)</f>
        <v/>
      </c>
      <c r="C138" s="141">
        <f>IFERROR(__xludf.DUMMYFUNCTION("""COMPUTED_VALUE"""),110.31)</f>
        <v/>
      </c>
      <c r="D138" s="141">
        <f>IFERROR(__xludf.DUMMYFUNCTION("""COMPUTED_VALUE"""),110.48)</f>
        <v/>
      </c>
      <c r="E138" s="141">
        <f>IFERROR(__xludf.DUMMYFUNCTION("""COMPUTED_VALUE"""),110.13)</f>
        <v/>
      </c>
      <c r="F138" s="141">
        <f>IFERROR(__xludf.DUMMYFUNCTION("""COMPUTED_VALUE"""),110.47)</f>
        <v/>
      </c>
      <c r="G138" s="143">
        <f>IFERROR(__xludf.DUMMYFUNCTION("""COMPUTED_VALUE"""),31037322)</f>
        <v/>
      </c>
      <c r="H138" s="27" t="n"/>
    </row>
    <row r="139" ht="17.25" customHeight="1" s="322">
      <c r="A139" s="27" t="n"/>
      <c r="B139" s="506">
        <f>IFERROR(__xludf.DUMMYFUNCTION("""COMPUTED_VALUE"""),46029.6666666666)</f>
        <v/>
      </c>
      <c r="C139" s="141">
        <f>IFERROR(__xludf.DUMMYFUNCTION("""COMPUTED_VALUE"""),110.75)</f>
        <v/>
      </c>
      <c r="D139" s="141">
        <f>IFERROR(__xludf.DUMMYFUNCTION("""COMPUTED_VALUE"""),110.8)</f>
        <v/>
      </c>
      <c r="E139" s="141">
        <f>IFERROR(__xludf.DUMMYFUNCTION("""COMPUTED_VALUE"""),110.53)</f>
        <v/>
      </c>
      <c r="F139" s="141">
        <f>IFERROR(__xludf.DUMMYFUNCTION("""COMPUTED_VALUE"""),110.55)</f>
        <v/>
      </c>
      <c r="G139" s="143">
        <f>IFERROR(__xludf.DUMMYFUNCTION("""COMPUTED_VALUE"""),28107442)</f>
        <v/>
      </c>
      <c r="H139" s="27" t="n"/>
    </row>
    <row r="140" ht="17.25" customHeight="1" s="322">
      <c r="A140" s="27" t="n"/>
      <c r="B140" s="506">
        <f>IFERROR(__xludf.DUMMYFUNCTION("""COMPUTED_VALUE"""),46030.6666666666)</f>
        <v/>
      </c>
      <c r="C140" s="141">
        <f>IFERROR(__xludf.DUMMYFUNCTION("""COMPUTED_VALUE"""),110.2)</f>
        <v/>
      </c>
      <c r="D140" s="141">
        <f>IFERROR(__xludf.DUMMYFUNCTION("""COMPUTED_VALUE"""),110.39)</f>
        <v/>
      </c>
      <c r="E140" s="141">
        <f>IFERROR(__xludf.DUMMYFUNCTION("""COMPUTED_VALUE"""),110.19)</f>
        <v/>
      </c>
      <c r="F140" s="141">
        <f>IFERROR(__xludf.DUMMYFUNCTION("""COMPUTED_VALUE"""),110.24)</f>
        <v/>
      </c>
      <c r="G140" s="143">
        <f>IFERROR(__xludf.DUMMYFUNCTION("""COMPUTED_VALUE"""),26395662)</f>
        <v/>
      </c>
      <c r="H140" s="27" t="n"/>
    </row>
    <row r="141" ht="17.25" customHeight="1" s="322">
      <c r="A141" s="27" t="n"/>
      <c r="B141" s="506">
        <f>IFERROR(__xludf.DUMMYFUNCTION("""COMPUTED_VALUE"""),46031.6666666666)</f>
        <v/>
      </c>
      <c r="C141" s="141">
        <f>IFERROR(__xludf.DUMMYFUNCTION("""COMPUTED_VALUE"""),110.32)</f>
        <v/>
      </c>
      <c r="D141" s="141">
        <f>IFERROR(__xludf.DUMMYFUNCTION("""COMPUTED_VALUE"""),110.68)</f>
        <v/>
      </c>
      <c r="E141" s="141">
        <f>IFERROR(__xludf.DUMMYFUNCTION("""COMPUTED_VALUE"""),110.22)</f>
        <v/>
      </c>
      <c r="F141" s="141">
        <f>IFERROR(__xludf.DUMMYFUNCTION("""COMPUTED_VALUE"""),110.64)</f>
        <v/>
      </c>
      <c r="G141" s="143">
        <f>IFERROR(__xludf.DUMMYFUNCTION("""COMPUTED_VALUE"""),29660295)</f>
        <v/>
      </c>
      <c r="H141" s="27" t="n"/>
    </row>
    <row r="142" ht="17.25" customHeight="1" s="322">
      <c r="A142" s="27" t="n"/>
      <c r="B142" s="506">
        <f>IFERROR(__xludf.DUMMYFUNCTION("""COMPUTED_VALUE"""),46034.6666666666)</f>
        <v/>
      </c>
      <c r="C142" s="141">
        <f>IFERROR(__xludf.DUMMYFUNCTION("""COMPUTED_VALUE"""),110.37)</f>
        <v/>
      </c>
      <c r="D142" s="141">
        <f>IFERROR(__xludf.DUMMYFUNCTION("""COMPUTED_VALUE"""),110.65)</f>
        <v/>
      </c>
      <c r="E142" s="141">
        <f>IFERROR(__xludf.DUMMYFUNCTION("""COMPUTED_VALUE"""),110.32)</f>
        <v/>
      </c>
      <c r="F142" s="141">
        <f>IFERROR(__xludf.DUMMYFUNCTION("""COMPUTED_VALUE"""),110.51)</f>
        <v/>
      </c>
      <c r="G142" s="143">
        <f>IFERROR(__xludf.DUMMYFUNCTION("""COMPUTED_VALUE"""),28990065)</f>
        <v/>
      </c>
      <c r="H142" s="27" t="n"/>
    </row>
    <row r="143" ht="17.25" customHeight="1" s="322">
      <c r="A143" s="27" t="n"/>
      <c r="B143" s="506">
        <f>IFERROR(__xludf.DUMMYFUNCTION("""COMPUTED_VALUE"""),46035.6666666666)</f>
        <v/>
      </c>
      <c r="C143" s="141">
        <f>IFERROR(__xludf.DUMMYFUNCTION("""COMPUTED_VALUE"""),110.71)</f>
        <v/>
      </c>
      <c r="D143" s="141">
        <f>IFERROR(__xludf.DUMMYFUNCTION("""COMPUTED_VALUE"""),110.79)</f>
        <v/>
      </c>
      <c r="E143" s="141">
        <f>IFERROR(__xludf.DUMMYFUNCTION("""COMPUTED_VALUE"""),110.53)</f>
        <v/>
      </c>
      <c r="F143" s="141">
        <f>IFERROR(__xludf.DUMMYFUNCTION("""COMPUTED_VALUE"""),110.75)</f>
        <v/>
      </c>
      <c r="G143" s="143">
        <f>IFERROR(__xludf.DUMMYFUNCTION("""COMPUTED_VALUE"""),31139245)</f>
        <v/>
      </c>
      <c r="H143" s="27" t="n"/>
    </row>
    <row r="144" ht="17.25" customHeight="1" s="322">
      <c r="A144" s="27" t="n"/>
      <c r="B144" s="506">
        <f>IFERROR(__xludf.DUMMYFUNCTION("""COMPUTED_VALUE"""),46036.6666666666)</f>
        <v/>
      </c>
      <c r="C144" s="141">
        <f>IFERROR(__xludf.DUMMYFUNCTION("""COMPUTED_VALUE"""),110.8)</f>
        <v/>
      </c>
      <c r="D144" s="141">
        <f>IFERROR(__xludf.DUMMYFUNCTION("""COMPUTED_VALUE"""),111.04)</f>
        <v/>
      </c>
      <c r="E144" s="141">
        <f>IFERROR(__xludf.DUMMYFUNCTION("""COMPUTED_VALUE"""),110.77)</f>
        <v/>
      </c>
      <c r="F144" s="141">
        <f>IFERROR(__xludf.DUMMYFUNCTION("""COMPUTED_VALUE"""),111.03)</f>
        <v/>
      </c>
      <c r="G144" s="143">
        <f>IFERROR(__xludf.DUMMYFUNCTION("""COMPUTED_VALUE"""),27251958)</f>
        <v/>
      </c>
      <c r="H144" s="27" t="n"/>
    </row>
    <row r="145" ht="17.25" customHeight="1" s="322">
      <c r="A145" s="27" t="n"/>
      <c r="B145" s="506">
        <f>IFERROR(__xludf.DUMMYFUNCTION("""COMPUTED_VALUE"""),46037.6666666666)</f>
        <v/>
      </c>
      <c r="C145" s="141">
        <f>IFERROR(__xludf.DUMMYFUNCTION("""COMPUTED_VALUE"""),111.18)</f>
        <v/>
      </c>
      <c r="D145" s="141">
        <f>IFERROR(__xludf.DUMMYFUNCTION("""COMPUTED_VALUE"""),111.2)</f>
        <v/>
      </c>
      <c r="E145" s="141">
        <f>IFERROR(__xludf.DUMMYFUNCTION("""COMPUTED_VALUE"""),110.84)</f>
        <v/>
      </c>
      <c r="F145" s="141">
        <f>IFERROR(__xludf.DUMMYFUNCTION("""COMPUTED_VALUE"""),110.89)</f>
        <v/>
      </c>
      <c r="G145" s="143">
        <f>IFERROR(__xludf.DUMMYFUNCTION("""COMPUTED_VALUE"""),34534790)</f>
        <v/>
      </c>
      <c r="H145" s="27" t="n"/>
    </row>
    <row r="146" ht="17.25" customHeight="1" s="322">
      <c r="A146" s="27" t="n"/>
      <c r="B146" s="506">
        <f>IFERROR(__xludf.DUMMYFUNCTION("""COMPUTED_VALUE"""),46038.6666666666)</f>
        <v/>
      </c>
      <c r="C146" s="141">
        <f>IFERROR(__xludf.DUMMYFUNCTION("""COMPUTED_VALUE"""),110.82)</f>
        <v/>
      </c>
      <c r="D146" s="141">
        <f>IFERROR(__xludf.DUMMYFUNCTION("""COMPUTED_VALUE"""),110.87)</f>
        <v/>
      </c>
      <c r="E146" s="141">
        <f>IFERROR(__xludf.DUMMYFUNCTION("""COMPUTED_VALUE"""),110.55)</f>
        <v/>
      </c>
      <c r="F146" s="141">
        <f>IFERROR(__xludf.DUMMYFUNCTION("""COMPUTED_VALUE"""),110.57)</f>
        <v/>
      </c>
      <c r="G146" s="143">
        <f>IFERROR(__xludf.DUMMYFUNCTION("""COMPUTED_VALUE"""),38762069)</f>
        <v/>
      </c>
      <c r="H146" s="27" t="n"/>
    </row>
    <row r="147" ht="17.25" customHeight="1" s="322">
      <c r="A147" s="27" t="n"/>
      <c r="B147" s="506">
        <f>IFERROR(__xludf.DUMMYFUNCTION("""COMPUTED_VALUE"""),46042.6666666666)</f>
        <v/>
      </c>
      <c r="C147" s="141">
        <f>IFERROR(__xludf.DUMMYFUNCTION("""COMPUTED_VALUE"""),109.86)</f>
        <v/>
      </c>
      <c r="D147" s="141">
        <f>IFERROR(__xludf.DUMMYFUNCTION("""COMPUTED_VALUE"""),110.15)</f>
        <v/>
      </c>
      <c r="E147" s="141">
        <f>IFERROR(__xludf.DUMMYFUNCTION("""COMPUTED_VALUE"""),109.81)</f>
        <v/>
      </c>
      <c r="F147" s="141">
        <f>IFERROR(__xludf.DUMMYFUNCTION("""COMPUTED_VALUE"""),109.9)</f>
        <v/>
      </c>
      <c r="G147" s="143">
        <f>IFERROR(__xludf.DUMMYFUNCTION("""COMPUTED_VALUE"""),43500398)</f>
        <v/>
      </c>
      <c r="H147" s="27" t="n"/>
    </row>
    <row r="148" ht="17.25" customHeight="1" s="322">
      <c r="A148" s="27" t="n"/>
      <c r="B148" s="506">
        <f>IFERROR(__xludf.DUMMYFUNCTION("""COMPUTED_VALUE"""),46043.6666666666)</f>
        <v/>
      </c>
      <c r="C148" s="141">
        <f>IFERROR(__xludf.DUMMYFUNCTION("""COMPUTED_VALUE"""),110.13)</f>
        <v/>
      </c>
      <c r="D148" s="141">
        <f>IFERROR(__xludf.DUMMYFUNCTION("""COMPUTED_VALUE"""),110.66)</f>
        <v/>
      </c>
      <c r="E148" s="141">
        <f>IFERROR(__xludf.DUMMYFUNCTION("""COMPUTED_VALUE"""),110.03)</f>
        <v/>
      </c>
      <c r="F148" s="141">
        <f>IFERROR(__xludf.DUMMYFUNCTION("""COMPUTED_VALUE"""),110.56)</f>
        <v/>
      </c>
      <c r="G148" s="143">
        <f>IFERROR(__xludf.DUMMYFUNCTION("""COMPUTED_VALUE"""),38616550)</f>
        <v/>
      </c>
      <c r="H148" s="27" t="n"/>
    </row>
    <row r="149" ht="17.25" customHeight="1" s="322">
      <c r="A149" s="27" t="n"/>
      <c r="B149" s="506">
        <f>IFERROR(__xludf.DUMMYFUNCTION("""COMPUTED_VALUE"""),46044.6666666666)</f>
        <v/>
      </c>
      <c r="C149" s="141">
        <f>IFERROR(__xludf.DUMMYFUNCTION("""COMPUTED_VALUE"""),110.58)</f>
        <v/>
      </c>
      <c r="D149" s="141">
        <f>IFERROR(__xludf.DUMMYFUNCTION("""COMPUTED_VALUE"""),110.87)</f>
        <v/>
      </c>
      <c r="E149" s="141">
        <f>IFERROR(__xludf.DUMMYFUNCTION("""COMPUTED_VALUE"""),110.48)</f>
        <v/>
      </c>
      <c r="F149" s="141">
        <f>IFERROR(__xludf.DUMMYFUNCTION("""COMPUTED_VALUE"""),110.77)</f>
        <v/>
      </c>
      <c r="G149" s="143">
        <f>IFERROR(__xludf.DUMMYFUNCTION("""COMPUTED_VALUE"""),36343015)</f>
        <v/>
      </c>
      <c r="H149" s="27" t="n"/>
    </row>
    <row r="150" ht="17.25" customHeight="1" s="322">
      <c r="A150" s="27" t="n"/>
      <c r="B150" s="506">
        <f>IFERROR(__xludf.DUMMYFUNCTION("""COMPUTED_VALUE"""),46045.6666666666)</f>
        <v/>
      </c>
      <c r="C150" s="141">
        <f>IFERROR(__xludf.DUMMYFUNCTION("""COMPUTED_VALUE"""),110.76)</f>
        <v/>
      </c>
      <c r="D150" s="141">
        <f>IFERROR(__xludf.DUMMYFUNCTION("""COMPUTED_VALUE"""),110.86)</f>
        <v/>
      </c>
      <c r="E150" s="141">
        <f>IFERROR(__xludf.DUMMYFUNCTION("""COMPUTED_VALUE"""),110.51)</f>
        <v/>
      </c>
      <c r="F150" s="141">
        <f>IFERROR(__xludf.DUMMYFUNCTION("""COMPUTED_VALUE"""),110.84)</f>
        <v/>
      </c>
      <c r="G150" s="143">
        <f>IFERROR(__xludf.DUMMYFUNCTION("""COMPUTED_VALUE"""),30615345)</f>
        <v/>
      </c>
      <c r="H150" s="27" t="n"/>
    </row>
    <row r="151" ht="17.25" customHeight="1" s="322">
      <c r="A151" s="27" t="n"/>
      <c r="B151" s="506">
        <f>IFERROR(__xludf.DUMMYFUNCTION("""COMPUTED_VALUE"""),46048.6666666666)</f>
        <v/>
      </c>
      <c r="C151" s="141">
        <f>IFERROR(__xludf.DUMMYFUNCTION("""COMPUTED_VALUE"""),111.05)</f>
        <v/>
      </c>
      <c r="D151" s="141">
        <f>IFERROR(__xludf.DUMMYFUNCTION("""COMPUTED_VALUE"""),111.12)</f>
        <v/>
      </c>
      <c r="E151" s="141">
        <f>IFERROR(__xludf.DUMMYFUNCTION("""COMPUTED_VALUE"""),110.89)</f>
        <v/>
      </c>
      <c r="F151" s="141">
        <f>IFERROR(__xludf.DUMMYFUNCTION("""COMPUTED_VALUE"""),110.93)</f>
        <v/>
      </c>
      <c r="G151" s="143">
        <f>IFERROR(__xludf.DUMMYFUNCTION("""COMPUTED_VALUE"""),23629809)</f>
        <v/>
      </c>
      <c r="H151" s="27" t="n"/>
    </row>
    <row r="152" ht="17.25" customHeight="1" s="322">
      <c r="A152" s="27" t="n"/>
      <c r="B152" s="506">
        <f>IFERROR(__xludf.DUMMYFUNCTION("""COMPUTED_VALUE"""),46049.6666666666)</f>
        <v/>
      </c>
      <c r="C152" s="141">
        <f>IFERROR(__xludf.DUMMYFUNCTION("""COMPUTED_VALUE"""),110.84)</f>
        <v/>
      </c>
      <c r="D152" s="141">
        <f>IFERROR(__xludf.DUMMYFUNCTION("""COMPUTED_VALUE"""),111)</f>
        <v/>
      </c>
      <c r="E152" s="141">
        <f>IFERROR(__xludf.DUMMYFUNCTION("""COMPUTED_VALUE"""),110.74)</f>
        <v/>
      </c>
      <c r="F152" s="141">
        <f>IFERROR(__xludf.DUMMYFUNCTION("""COMPUTED_VALUE"""),110.81)</f>
        <v/>
      </c>
      <c r="G152" s="143">
        <f>IFERROR(__xludf.DUMMYFUNCTION("""COMPUTED_VALUE"""),27166194)</f>
        <v/>
      </c>
      <c r="H152" s="27" t="n"/>
    </row>
    <row r="153" ht="17.25" customHeight="1" s="322">
      <c r="A153" s="27" t="n"/>
      <c r="B153" s="506">
        <f>IFERROR(__xludf.DUMMYFUNCTION("""COMPUTED_VALUE"""),46050.6666666666)</f>
        <v/>
      </c>
      <c r="C153" s="141">
        <f>IFERROR(__xludf.DUMMYFUNCTION("""COMPUTED_VALUE"""),110.71)</f>
        <v/>
      </c>
      <c r="D153" s="141">
        <f>IFERROR(__xludf.DUMMYFUNCTION("""COMPUTED_VALUE"""),110.74)</f>
        <v/>
      </c>
      <c r="E153" s="141">
        <f>IFERROR(__xludf.DUMMYFUNCTION("""COMPUTED_VALUE"""),110.46)</f>
        <v/>
      </c>
      <c r="F153" s="141">
        <f>IFERROR(__xludf.DUMMYFUNCTION("""COMPUTED_VALUE"""),110.65)</f>
        <v/>
      </c>
      <c r="G153" s="143">
        <f>IFERROR(__xludf.DUMMYFUNCTION("""COMPUTED_VALUE"""),31045901)</f>
        <v/>
      </c>
      <c r="H153" s="27" t="n"/>
    </row>
    <row r="154" ht="17.25" customHeight="1" s="322">
      <c r="A154" s="27" t="n"/>
      <c r="B154" s="506">
        <f>IFERROR(__xludf.DUMMYFUNCTION("""COMPUTED_VALUE"""),46051.6666666666)</f>
        <v/>
      </c>
      <c r="C154" s="141">
        <f>IFERROR(__xludf.DUMMYFUNCTION("""COMPUTED_VALUE"""),110.43)</f>
        <v/>
      </c>
      <c r="D154" s="141">
        <f>IFERROR(__xludf.DUMMYFUNCTION("""COMPUTED_VALUE"""),110.71)</f>
        <v/>
      </c>
      <c r="E154" s="141">
        <f>IFERROR(__xludf.DUMMYFUNCTION("""COMPUTED_VALUE"""),110.32)</f>
        <v/>
      </c>
      <c r="F154" s="141">
        <f>IFERROR(__xludf.DUMMYFUNCTION("""COMPUTED_VALUE"""),110.68)</f>
        <v/>
      </c>
      <c r="G154" s="143">
        <f>IFERROR(__xludf.DUMMYFUNCTION("""COMPUTED_VALUE"""),45815467)</f>
        <v/>
      </c>
      <c r="H154" s="27" t="n"/>
    </row>
    <row r="155" ht="17.25" customHeight="1" s="322">
      <c r="A155" s="27" t="n"/>
      <c r="B155" s="506">
        <f>IFERROR(__xludf.DUMMYFUNCTION("""COMPUTED_VALUE"""),46052.6666666666)</f>
        <v/>
      </c>
      <c r="C155" s="141">
        <f>IFERROR(__xludf.DUMMYFUNCTION("""COMPUTED_VALUE"""),110.6)</f>
        <v/>
      </c>
      <c r="D155" s="141">
        <f>IFERROR(__xludf.DUMMYFUNCTION("""COMPUTED_VALUE"""),110.74)</f>
        <v/>
      </c>
      <c r="E155" s="141">
        <f>IFERROR(__xludf.DUMMYFUNCTION("""COMPUTED_VALUE"""),110.52)</f>
        <v/>
      </c>
      <c r="F155" s="141">
        <f>IFERROR(__xludf.DUMMYFUNCTION("""COMPUTED_VALUE"""),110.57)</f>
        <v/>
      </c>
      <c r="G155" s="143">
        <f>IFERROR(__xludf.DUMMYFUNCTION("""COMPUTED_VALUE"""),39631499)</f>
        <v/>
      </c>
      <c r="H155" s="27" t="n"/>
    </row>
    <row r="156" ht="17.25" customHeight="1" s="322">
      <c r="A156" s="27" t="n"/>
      <c r="B156" s="506">
        <f>IFERROR(__xludf.DUMMYFUNCTION("""COMPUTED_VALUE"""),46055.6666666666)</f>
        <v/>
      </c>
      <c r="C156" s="141">
        <f>IFERROR(__xludf.DUMMYFUNCTION("""COMPUTED_VALUE"""),110.15)</f>
        <v/>
      </c>
      <c r="D156" s="141">
        <f>IFERROR(__xludf.DUMMYFUNCTION("""COMPUTED_VALUE"""),110.32)</f>
        <v/>
      </c>
      <c r="E156" s="141">
        <f>IFERROR(__xludf.DUMMYFUNCTION("""COMPUTED_VALUE"""),110.03)</f>
        <v/>
      </c>
      <c r="F156" s="141">
        <f>IFERROR(__xludf.DUMMYFUNCTION("""COMPUTED_VALUE"""),110.06)</f>
        <v/>
      </c>
      <c r="G156" s="143">
        <f>IFERROR(__xludf.DUMMYFUNCTION("""COMPUTED_VALUE"""),35480376)</f>
        <v/>
      </c>
      <c r="H156" s="27" t="n"/>
    </row>
    <row r="157" ht="17.25" customHeight="1" s="322">
      <c r="A157" s="27" t="n"/>
      <c r="B157" s="506">
        <f>IFERROR(__xludf.DUMMYFUNCTION("""COMPUTED_VALUE"""),46056.6666666666)</f>
        <v/>
      </c>
      <c r="C157" s="141">
        <f>IFERROR(__xludf.DUMMYFUNCTION("""COMPUTED_VALUE"""),110.04)</f>
        <v/>
      </c>
      <c r="D157" s="141">
        <f>IFERROR(__xludf.DUMMYFUNCTION("""COMPUTED_VALUE"""),110.14)</f>
        <v/>
      </c>
      <c r="E157" s="141">
        <f>IFERROR(__xludf.DUMMYFUNCTION("""COMPUTED_VALUE"""),109.9)</f>
        <v/>
      </c>
      <c r="F157" s="141">
        <f>IFERROR(__xludf.DUMMYFUNCTION("""COMPUTED_VALUE"""),110.11)</f>
        <v/>
      </c>
      <c r="G157" s="143">
        <f>IFERROR(__xludf.DUMMYFUNCTION("""COMPUTED_VALUE"""),32761707)</f>
        <v/>
      </c>
      <c r="H157" s="27" t="n"/>
    </row>
    <row r="158" ht="17.25" customHeight="1" s="322">
      <c r="A158" s="27" t="n"/>
      <c r="B158" s="506">
        <f>IFERROR(__xludf.DUMMYFUNCTION("""COMPUTED_VALUE"""),46057.6666666666)</f>
        <v/>
      </c>
      <c r="C158" s="141">
        <f>IFERROR(__xludf.DUMMYFUNCTION("""COMPUTED_VALUE"""),109.97)</f>
        <v/>
      </c>
      <c r="D158" s="141">
        <f>IFERROR(__xludf.DUMMYFUNCTION("""COMPUTED_VALUE"""),110.05)</f>
        <v/>
      </c>
      <c r="E158" s="141">
        <f>IFERROR(__xludf.DUMMYFUNCTION("""COMPUTED_VALUE"""),109.83)</f>
        <v/>
      </c>
      <c r="F158" s="141">
        <f>IFERROR(__xludf.DUMMYFUNCTION("""COMPUTED_VALUE"""),109.97)</f>
        <v/>
      </c>
      <c r="G158" s="143">
        <f>IFERROR(__xludf.DUMMYFUNCTION("""COMPUTED_VALUE"""),31344403)</f>
        <v/>
      </c>
      <c r="H158" s="27" t="n"/>
    </row>
    <row r="159" ht="17.25" customHeight="1" s="322">
      <c r="A159" s="27" t="n"/>
      <c r="B159" s="506">
        <f>IFERROR(__xludf.DUMMYFUNCTION("""COMPUTED_VALUE"""),46058.6666666666)</f>
        <v/>
      </c>
      <c r="C159" s="141">
        <f>IFERROR(__xludf.DUMMYFUNCTION("""COMPUTED_VALUE"""),110.19)</f>
        <v/>
      </c>
      <c r="D159" s="141">
        <f>IFERROR(__xludf.DUMMYFUNCTION("""COMPUTED_VALUE"""),110.54)</f>
        <v/>
      </c>
      <c r="E159" s="141">
        <f>IFERROR(__xludf.DUMMYFUNCTION("""COMPUTED_VALUE"""),110.12)</f>
        <v/>
      </c>
      <c r="F159" s="141">
        <f>IFERROR(__xludf.DUMMYFUNCTION("""COMPUTED_VALUE"""),110.5)</f>
        <v/>
      </c>
      <c r="G159" s="143">
        <f>IFERROR(__xludf.DUMMYFUNCTION("""COMPUTED_VALUE"""),23929703)</f>
        <v/>
      </c>
      <c r="H159" s="27" t="n"/>
    </row>
    <row r="160" ht="17.25" customHeight="1" s="322">
      <c r="A160" s="27" t="n"/>
      <c r="B160" s="506">
        <f>IFERROR(__xludf.DUMMYFUNCTION("""COMPUTED_VALUE"""),46059.6666666666)</f>
        <v/>
      </c>
      <c r="C160" s="141">
        <f>IFERROR(__xludf.DUMMYFUNCTION("""COMPUTED_VALUE"""),110.47)</f>
        <v/>
      </c>
      <c r="D160" s="141">
        <f>IFERROR(__xludf.DUMMYFUNCTION("""COMPUTED_VALUE"""),110.6)</f>
        <v/>
      </c>
      <c r="E160" s="141">
        <f>IFERROR(__xludf.DUMMYFUNCTION("""COMPUTED_VALUE"""),110.31)</f>
        <v/>
      </c>
      <c r="F160" s="141">
        <f>IFERROR(__xludf.DUMMYFUNCTION("""COMPUTED_VALUE"""),110.56)</f>
        <v/>
      </c>
      <c r="G160" s="143">
        <f>IFERROR(__xludf.DUMMYFUNCTION("""COMPUTED_VALUE"""),29022331)</f>
        <v/>
      </c>
      <c r="H160" s="27" t="n"/>
    </row>
    <row r="161" ht="17.25" customHeight="1" s="322">
      <c r="A161" s="27" t="n"/>
      <c r="B161" s="506">
        <f>IFERROR(__xludf.DUMMYFUNCTION("""COMPUTED_VALUE"""),46062.6666666666)</f>
        <v/>
      </c>
      <c r="C161" s="141">
        <f>IFERROR(__xludf.DUMMYFUNCTION("""COMPUTED_VALUE"""),110.37)</f>
        <v/>
      </c>
      <c r="D161" s="141">
        <f>IFERROR(__xludf.DUMMYFUNCTION("""COMPUTED_VALUE"""),110.61)</f>
        <v/>
      </c>
      <c r="E161" s="141">
        <f>IFERROR(__xludf.DUMMYFUNCTION("""COMPUTED_VALUE"""),110.29)</f>
        <v/>
      </c>
      <c r="F161" s="141">
        <f>IFERROR(__xludf.DUMMYFUNCTION("""COMPUTED_VALUE"""),110.56)</f>
        <v/>
      </c>
      <c r="G161" s="143">
        <f>IFERROR(__xludf.DUMMYFUNCTION("""COMPUTED_VALUE"""),27356885)</f>
        <v/>
      </c>
      <c r="H161" s="27" t="n"/>
    </row>
    <row r="162" ht="17.25" customHeight="1" s="322">
      <c r="A162" s="27" t="n"/>
      <c r="B162" s="506">
        <f>IFERROR(__xludf.DUMMYFUNCTION("""COMPUTED_VALUE"""),46063.6666666666)</f>
        <v/>
      </c>
      <c r="C162" s="141">
        <f>IFERROR(__xludf.DUMMYFUNCTION("""COMPUTED_VALUE"""),110.9)</f>
        <v/>
      </c>
      <c r="D162" s="141">
        <f>IFERROR(__xludf.DUMMYFUNCTION("""COMPUTED_VALUE"""),111.04)</f>
        <v/>
      </c>
      <c r="E162" s="141">
        <f>IFERROR(__xludf.DUMMYFUNCTION("""COMPUTED_VALUE"""),110.77)</f>
        <v/>
      </c>
      <c r="F162" s="141">
        <f>IFERROR(__xludf.DUMMYFUNCTION("""COMPUTED_VALUE"""),110.82)</f>
        <v/>
      </c>
      <c r="G162" s="143">
        <f>IFERROR(__xludf.DUMMYFUNCTION("""COMPUTED_VALUE"""),34509805)</f>
        <v/>
      </c>
      <c r="H162" s="27" t="n"/>
    </row>
    <row r="163" ht="17.25" customHeight="1" s="322">
      <c r="A163" s="27" t="n"/>
      <c r="B163" s="506">
        <f>IFERROR(__xludf.DUMMYFUNCTION("""COMPUTED_VALUE"""),46064.6666666666)</f>
        <v/>
      </c>
      <c r="C163" s="141">
        <f>IFERROR(__xludf.DUMMYFUNCTION("""COMPUTED_VALUE"""),110.63)</f>
        <v/>
      </c>
      <c r="D163" s="141">
        <f>IFERROR(__xludf.DUMMYFUNCTION("""COMPUTED_VALUE"""),110.91)</f>
        <v/>
      </c>
      <c r="E163" s="141">
        <f>IFERROR(__xludf.DUMMYFUNCTION("""COMPUTED_VALUE"""),110.6)</f>
        <v/>
      </c>
      <c r="F163" s="141">
        <f>IFERROR(__xludf.DUMMYFUNCTION("""COMPUTED_VALUE"""),110.7)</f>
        <v/>
      </c>
      <c r="G163" s="143">
        <f>IFERROR(__xludf.DUMMYFUNCTION("""COMPUTED_VALUE"""),29955341)</f>
        <v/>
      </c>
      <c r="H163" s="27" t="n"/>
    </row>
    <row r="164" ht="17.25" customHeight="1" s="322">
      <c r="A164" s="27" t="n"/>
      <c r="B164" s="506">
        <f>IFERROR(__xludf.DUMMYFUNCTION("""COMPUTED_VALUE"""),46065.6666666666)</f>
        <v/>
      </c>
      <c r="C164" s="141">
        <f>IFERROR(__xludf.DUMMYFUNCTION("""COMPUTED_VALUE"""),110.99)</f>
        <v/>
      </c>
      <c r="D164" s="141">
        <f>IFERROR(__xludf.DUMMYFUNCTION("""COMPUTED_VALUE"""),111.29)</f>
        <v/>
      </c>
      <c r="E164" s="141">
        <f>IFERROR(__xludf.DUMMYFUNCTION("""COMPUTED_VALUE"""),110.97)</f>
        <v/>
      </c>
      <c r="F164" s="141">
        <f>IFERROR(__xludf.DUMMYFUNCTION("""COMPUTED_VALUE"""),111.22)</f>
        <v/>
      </c>
      <c r="G164" s="143">
        <f>IFERROR(__xludf.DUMMYFUNCTION("""COMPUTED_VALUE"""),39724173)</f>
        <v/>
      </c>
      <c r="H164" s="27" t="n"/>
    </row>
    <row r="165" ht="17.25" customHeight="1" s="322">
      <c r="A165" s="27" t="n"/>
      <c r="B165" s="506">
        <f>IFERROR(__xludf.DUMMYFUNCTION("""COMPUTED_VALUE"""),46066.6666666666)</f>
        <v/>
      </c>
      <c r="C165" s="141">
        <f>IFERROR(__xludf.DUMMYFUNCTION("""COMPUTED_VALUE"""),111.55)</f>
        <v/>
      </c>
      <c r="D165" s="141">
        <f>IFERROR(__xludf.DUMMYFUNCTION("""COMPUTED_VALUE"""),111.6)</f>
        <v/>
      </c>
      <c r="E165" s="141">
        <f>IFERROR(__xludf.DUMMYFUNCTION("""COMPUTED_VALUE"""),111.42)</f>
        <v/>
      </c>
      <c r="F165" s="141">
        <f>IFERROR(__xludf.DUMMYFUNCTION("""COMPUTED_VALUE"""),111.59)</f>
        <v/>
      </c>
      <c r="G165" s="143">
        <f>IFERROR(__xludf.DUMMYFUNCTION("""COMPUTED_VALUE"""),33609892)</f>
        <v/>
      </c>
      <c r="H165" s="27" t="n"/>
    </row>
    <row r="166" ht="17.25" customHeight="1" s="322">
      <c r="A166" s="27" t="n"/>
      <c r="B166" s="506">
        <f>IFERROR(__xludf.DUMMYFUNCTION("""COMPUTED_VALUE"""),46070.6666666666)</f>
        <v/>
      </c>
      <c r="C166" s="141">
        <f>IFERROR(__xludf.DUMMYFUNCTION("""COMPUTED_VALUE"""),111.57)</f>
        <v/>
      </c>
      <c r="D166" s="141">
        <f>IFERROR(__xludf.DUMMYFUNCTION("""COMPUTED_VALUE"""),111.74)</f>
        <v/>
      </c>
      <c r="E166" s="141">
        <f>IFERROR(__xludf.DUMMYFUNCTION("""COMPUTED_VALUE"""),111.49)</f>
        <v/>
      </c>
      <c r="F166" s="141">
        <f>IFERROR(__xludf.DUMMYFUNCTION("""COMPUTED_VALUE"""),111.7)</f>
        <v/>
      </c>
      <c r="G166" s="143">
        <f>IFERROR(__xludf.DUMMYFUNCTION("""COMPUTED_VALUE"""),33132619)</f>
        <v/>
      </c>
      <c r="H166" s="27" t="n"/>
    </row>
    <row r="167" ht="17.25" customHeight="1" s="322">
      <c r="A167" s="27" t="n"/>
      <c r="B167" s="506">
        <f>IFERROR(__xludf.DUMMYFUNCTION("""COMPUTED_VALUE"""),46071.6666666666)</f>
        <v/>
      </c>
      <c r="C167" s="141">
        <f>IFERROR(__xludf.DUMMYFUNCTION("""COMPUTED_VALUE"""),111.57)</f>
        <v/>
      </c>
      <c r="D167" s="141">
        <f>IFERROR(__xludf.DUMMYFUNCTION("""COMPUTED_VALUE"""),111.73)</f>
        <v/>
      </c>
      <c r="E167" s="141">
        <f>IFERROR(__xludf.DUMMYFUNCTION("""COMPUTED_VALUE"""),111.51)</f>
        <v/>
      </c>
      <c r="F167" s="141">
        <f>IFERROR(__xludf.DUMMYFUNCTION("""COMPUTED_VALUE"""),111.59)</f>
        <v/>
      </c>
      <c r="G167" s="143">
        <f>IFERROR(__xludf.DUMMYFUNCTION("""COMPUTED_VALUE"""),40087023)</f>
        <v/>
      </c>
      <c r="H167" s="27" t="n"/>
    </row>
    <row r="168" ht="17.25" customHeight="1" s="322">
      <c r="A168" s="27" t="n"/>
      <c r="B168" s="506">
        <f>IFERROR(__xludf.DUMMYFUNCTION("""COMPUTED_VALUE"""),46072.6666666666)</f>
        <v/>
      </c>
      <c r="C168" s="141">
        <f>IFERROR(__xludf.DUMMYFUNCTION("""COMPUTED_VALUE"""),111.41)</f>
        <v/>
      </c>
      <c r="D168" s="141">
        <f>IFERROR(__xludf.DUMMYFUNCTION("""COMPUTED_VALUE"""),111.68)</f>
        <v/>
      </c>
      <c r="E168" s="141">
        <f>IFERROR(__xludf.DUMMYFUNCTION("""COMPUTED_VALUE"""),111.4)</f>
        <v/>
      </c>
      <c r="F168" s="141">
        <f>IFERROR(__xludf.DUMMYFUNCTION("""COMPUTED_VALUE"""),111.68)</f>
        <v/>
      </c>
      <c r="G168" s="143">
        <f>IFERROR(__xludf.DUMMYFUNCTION("""COMPUTED_VALUE"""),30394457)</f>
        <v/>
      </c>
      <c r="H168" s="27" t="n"/>
    </row>
    <row r="169" ht="17.25" customHeight="1" s="322">
      <c r="A169" s="27" t="n"/>
      <c r="B169" s="506">
        <f>IFERROR(__xludf.DUMMYFUNCTION("""COMPUTED_VALUE"""),46073.6666666666)</f>
        <v/>
      </c>
      <c r="C169" s="141">
        <f>IFERROR(__xludf.DUMMYFUNCTION("""COMPUTED_VALUE"""),111.62)</f>
        <v/>
      </c>
      <c r="D169" s="141">
        <f>IFERROR(__xludf.DUMMYFUNCTION("""COMPUTED_VALUE"""),111.69)</f>
        <v/>
      </c>
      <c r="E169" s="141">
        <f>IFERROR(__xludf.DUMMYFUNCTION("""COMPUTED_VALUE"""),111.4)</f>
        <v/>
      </c>
      <c r="F169" s="141">
        <f>IFERROR(__xludf.DUMMYFUNCTION("""COMPUTED_VALUE"""),111.59)</f>
        <v/>
      </c>
      <c r="G169" s="143">
        <f>IFERROR(__xludf.DUMMYFUNCTION("""COMPUTED_VALUE"""),44837430)</f>
        <v/>
      </c>
      <c r="H169" s="27" t="n"/>
    </row>
    <row r="170" ht="17.25" customHeight="1" s="322">
      <c r="A170" s="27" t="n"/>
      <c r="B170" s="506">
        <f>IFERROR(__xludf.DUMMYFUNCTION("""COMPUTED_VALUE"""),46076.6666666666)</f>
        <v/>
      </c>
      <c r="C170" s="141">
        <f>IFERROR(__xludf.DUMMYFUNCTION("""COMPUTED_VALUE"""),111.62)</f>
        <v/>
      </c>
      <c r="D170" s="141">
        <f>IFERROR(__xludf.DUMMYFUNCTION("""COMPUTED_VALUE"""),111.83)</f>
        <v/>
      </c>
      <c r="E170" s="141">
        <f>IFERROR(__xludf.DUMMYFUNCTION("""COMPUTED_VALUE"""),111.58)</f>
        <v/>
      </c>
      <c r="F170" s="141">
        <f>IFERROR(__xludf.DUMMYFUNCTION("""COMPUTED_VALUE"""),111.71)</f>
        <v/>
      </c>
      <c r="G170" s="143">
        <f>IFERROR(__xludf.DUMMYFUNCTION("""COMPUTED_VALUE"""),33322328)</f>
        <v/>
      </c>
      <c r="H170" s="27" t="n"/>
    </row>
    <row r="171" ht="17.25" customHeight="1" s="322">
      <c r="A171" s="27" t="n"/>
      <c r="B171" s="506">
        <f>IFERROR(__xludf.DUMMYFUNCTION("""COMPUTED_VALUE"""),46077.6666666666)</f>
        <v/>
      </c>
      <c r="C171" s="141">
        <f>IFERROR(__xludf.DUMMYFUNCTION("""COMPUTED_VALUE"""),111.63)</f>
        <v/>
      </c>
      <c r="D171" s="141">
        <f>IFERROR(__xludf.DUMMYFUNCTION("""COMPUTED_VALUE"""),111.74)</f>
        <v/>
      </c>
      <c r="E171" s="141">
        <f>IFERROR(__xludf.DUMMYFUNCTION("""COMPUTED_VALUE"""),111.47)</f>
        <v/>
      </c>
      <c r="F171" s="141">
        <f>IFERROR(__xludf.DUMMYFUNCTION("""COMPUTED_VALUE"""),111.68)</f>
        <v/>
      </c>
      <c r="G171" s="143">
        <f>IFERROR(__xludf.DUMMYFUNCTION("""COMPUTED_VALUE"""),37795702)</f>
        <v/>
      </c>
      <c r="H171" s="27" t="n"/>
    </row>
    <row r="172" ht="17.25" customHeight="1" s="322">
      <c r="A172" s="27" t="n"/>
      <c r="B172" s="506">
        <f>IFERROR(__xludf.DUMMYFUNCTION("""COMPUTED_VALUE"""),46078.6666666666)</f>
        <v/>
      </c>
      <c r="C172" s="141">
        <f>IFERROR(__xludf.DUMMYFUNCTION("""COMPUTED_VALUE"""),111.6)</f>
        <v/>
      </c>
      <c r="D172" s="141">
        <f>IFERROR(__xludf.DUMMYFUNCTION("""COMPUTED_VALUE"""),111.77)</f>
        <v/>
      </c>
      <c r="E172" s="141">
        <f>IFERROR(__xludf.DUMMYFUNCTION("""COMPUTED_VALUE"""),111.57)</f>
        <v/>
      </c>
      <c r="F172" s="141">
        <f>IFERROR(__xludf.DUMMYFUNCTION("""COMPUTED_VALUE"""),111.65)</f>
        <v/>
      </c>
      <c r="G172" s="143">
        <f>IFERROR(__xludf.DUMMYFUNCTION("""COMPUTED_VALUE"""),33682168)</f>
        <v/>
      </c>
      <c r="H172" s="27" t="n"/>
    </row>
    <row r="173" ht="17.25" customHeight="1" s="322">
      <c r="A173" s="27" t="n"/>
      <c r="B173" s="506">
        <f>IFERROR(__xludf.DUMMYFUNCTION("""COMPUTED_VALUE"""),46079.6666666666)</f>
        <v/>
      </c>
      <c r="C173" s="141">
        <f>IFERROR(__xludf.DUMMYFUNCTION("""COMPUTED_VALUE"""),111.64)</f>
        <v/>
      </c>
      <c r="D173" s="141">
        <f>IFERROR(__xludf.DUMMYFUNCTION("""COMPUTED_VALUE"""),111.74)</f>
        <v/>
      </c>
      <c r="E173" s="141">
        <f>IFERROR(__xludf.DUMMYFUNCTION("""COMPUTED_VALUE"""),111.54)</f>
        <v/>
      </c>
      <c r="F173" s="141">
        <f>IFERROR(__xludf.DUMMYFUNCTION("""COMPUTED_VALUE"""),111.72)</f>
        <v/>
      </c>
      <c r="G173" s="143">
        <f>IFERROR(__xludf.DUMMYFUNCTION("""COMPUTED_VALUE"""),33028023)</f>
        <v/>
      </c>
      <c r="H173" s="27" t="n"/>
    </row>
    <row r="174" ht="17.25" customHeight="1" s="322">
      <c r="A174" s="27" t="n"/>
      <c r="B174" s="506">
        <f>IFERROR(__xludf.DUMMYFUNCTION("""COMPUTED_VALUE"""),46080.6666666666)</f>
        <v/>
      </c>
      <c r="C174" s="141">
        <f>IFERROR(__xludf.DUMMYFUNCTION("""COMPUTED_VALUE"""),111.7)</f>
        <v/>
      </c>
      <c r="D174" s="141">
        <f>IFERROR(__xludf.DUMMYFUNCTION("""COMPUTED_VALUE"""),111.93)</f>
        <v/>
      </c>
      <c r="E174" s="141">
        <f>IFERROR(__xludf.DUMMYFUNCTION("""COMPUTED_VALUE"""),111.66)</f>
        <v/>
      </c>
      <c r="F174" s="141">
        <f>IFERROR(__xludf.DUMMYFUNCTION("""COMPUTED_VALUE"""),111.68)</f>
        <v/>
      </c>
      <c r="G174" s="143">
        <f>IFERROR(__xludf.DUMMYFUNCTION("""COMPUTED_VALUE"""),47037529)</f>
        <v/>
      </c>
      <c r="H174" s="27" t="n"/>
    </row>
    <row r="175" ht="17.25" customHeight="1" s="322">
      <c r="A175" s="27" t="n"/>
      <c r="B175" s="506">
        <f>IFERROR(__xludf.DUMMYFUNCTION("""COMPUTED_VALUE"""),46083.6666666666)</f>
        <v/>
      </c>
      <c r="C175" s="141">
        <f>IFERROR(__xludf.DUMMYFUNCTION("""COMPUTED_VALUE"""),110.84)</f>
        <v/>
      </c>
      <c r="D175" s="141">
        <f>IFERROR(__xludf.DUMMYFUNCTION("""COMPUTED_VALUE"""),110.98)</f>
        <v/>
      </c>
      <c r="E175" s="141">
        <f>IFERROR(__xludf.DUMMYFUNCTION("""COMPUTED_VALUE"""),110.68)</f>
        <v/>
      </c>
      <c r="F175" s="141">
        <f>IFERROR(__xludf.DUMMYFUNCTION("""COMPUTED_VALUE"""),110.92)</f>
        <v/>
      </c>
      <c r="G175" s="143">
        <f>IFERROR(__xludf.DUMMYFUNCTION("""COMPUTED_VALUE"""),53770102)</f>
        <v/>
      </c>
      <c r="H175" s="27" t="n"/>
    </row>
    <row r="176" ht="17.25" customHeight="1" s="322">
      <c r="A176" s="27" t="n"/>
      <c r="B176" s="506">
        <f>IFERROR(__xludf.DUMMYFUNCTION("""COMPUTED_VALUE"""),46084.6666666666)</f>
        <v/>
      </c>
      <c r="C176" s="141">
        <f>IFERROR(__xludf.DUMMYFUNCTION("""COMPUTED_VALUE"""),110.17)</f>
        <v/>
      </c>
      <c r="D176" s="141">
        <f>IFERROR(__xludf.DUMMYFUNCTION("""COMPUTED_VALUE"""),111.13)</f>
        <v/>
      </c>
      <c r="E176" s="141">
        <f>IFERROR(__xludf.DUMMYFUNCTION("""COMPUTED_VALUE"""),110.17)</f>
        <v/>
      </c>
      <c r="F176" s="141">
        <f>IFERROR(__xludf.DUMMYFUNCTION("""COMPUTED_VALUE"""),110.87)</f>
        <v/>
      </c>
      <c r="G176" s="143">
        <f>IFERROR(__xludf.DUMMYFUNCTION("""COMPUTED_VALUE"""),78579099)</f>
        <v/>
      </c>
      <c r="H176" s="27" t="n"/>
    </row>
    <row r="177" ht="17.25" customHeight="1" s="322">
      <c r="A177" s="27" t="n"/>
      <c r="B177" s="506">
        <f>IFERROR(__xludf.DUMMYFUNCTION("""COMPUTED_VALUE"""),46085.6666666666)</f>
        <v/>
      </c>
      <c r="C177" s="141">
        <f>IFERROR(__xludf.DUMMYFUNCTION("""COMPUTED_VALUE"""),110.93)</f>
        <v/>
      </c>
      <c r="D177" s="141">
        <f>IFERROR(__xludf.DUMMYFUNCTION("""COMPUTED_VALUE"""),111.17)</f>
        <v/>
      </c>
      <c r="E177" s="141">
        <f>IFERROR(__xludf.DUMMYFUNCTION("""COMPUTED_VALUE"""),110.83)</f>
        <v/>
      </c>
      <c r="F177" s="141">
        <f>IFERROR(__xludf.DUMMYFUNCTION("""COMPUTED_VALUE"""),110.97)</f>
        <v/>
      </c>
      <c r="G177" s="143">
        <f>IFERROR(__xludf.DUMMYFUNCTION("""COMPUTED_VALUE"""),49041776)</f>
        <v/>
      </c>
      <c r="H177" s="27" t="n"/>
    </row>
    <row r="178" ht="17.25" customHeight="1" s="322">
      <c r="A178" s="27" t="n"/>
      <c r="B178" s="506">
        <f>IFERROR(__xludf.DUMMYFUNCTION("""COMPUTED_VALUE"""),46086.6666666666)</f>
        <v/>
      </c>
      <c r="C178" s="141">
        <f>IFERROR(__xludf.DUMMYFUNCTION("""COMPUTED_VALUE"""),110.42)</f>
        <v/>
      </c>
      <c r="D178" s="141">
        <f>IFERROR(__xludf.DUMMYFUNCTION("""COMPUTED_VALUE"""),110.6)</f>
        <v/>
      </c>
      <c r="E178" s="141">
        <f>IFERROR(__xludf.DUMMYFUNCTION("""COMPUTED_VALUE"""),110.29)</f>
        <v/>
      </c>
      <c r="F178" s="141">
        <f>IFERROR(__xludf.DUMMYFUNCTION("""COMPUTED_VALUE"""),110.53)</f>
        <v/>
      </c>
      <c r="G178" s="143">
        <f>IFERROR(__xludf.DUMMYFUNCTION("""COMPUTED_VALUE"""),47318153)</f>
        <v/>
      </c>
      <c r="H178" s="27" t="n"/>
    </row>
    <row r="179" ht="17.25" customHeight="1" s="322">
      <c r="A179" s="27" t="n"/>
      <c r="B179" s="506">
        <f>IFERROR(__xludf.DUMMYFUNCTION("""COMPUTED_VALUE"""),46087.6666666666)</f>
        <v/>
      </c>
      <c r="C179" s="141">
        <f>IFERROR(__xludf.DUMMYFUNCTION("""COMPUTED_VALUE"""),109.96)</f>
        <v/>
      </c>
      <c r="D179" s="141">
        <f>IFERROR(__xludf.DUMMYFUNCTION("""COMPUTED_VALUE"""),110.52)</f>
        <v/>
      </c>
      <c r="E179" s="141">
        <f>IFERROR(__xludf.DUMMYFUNCTION("""COMPUTED_VALUE"""),109.77)</f>
        <v/>
      </c>
      <c r="F179" s="141">
        <f>IFERROR(__xludf.DUMMYFUNCTION("""COMPUTED_VALUE"""),110.16)</f>
        <v/>
      </c>
      <c r="G179" s="143">
        <f>IFERROR(__xludf.DUMMYFUNCTION("""COMPUTED_VALUE"""),57506628)</f>
        <v/>
      </c>
      <c r="H179" s="27" t="n"/>
    </row>
    <row r="180" ht="17.25" customHeight="1" s="322">
      <c r="A180" s="27" t="n"/>
      <c r="B180" s="506">
        <f>IFERROR(__xludf.DUMMYFUNCTION("""COMPUTED_VALUE"""),46090.6666666666)</f>
        <v/>
      </c>
      <c r="C180" s="141">
        <f>IFERROR(__xludf.DUMMYFUNCTION("""COMPUTED_VALUE"""),109.84)</f>
        <v/>
      </c>
      <c r="D180" s="141">
        <f>IFERROR(__xludf.DUMMYFUNCTION("""COMPUTED_VALUE"""),110.87)</f>
        <v/>
      </c>
      <c r="E180" s="141">
        <f>IFERROR(__xludf.DUMMYFUNCTION("""COMPUTED_VALUE"""),109.84)</f>
        <v/>
      </c>
      <c r="F180" s="141">
        <f>IFERROR(__xludf.DUMMYFUNCTION("""COMPUTED_VALUE"""),110.82)</f>
        <v/>
      </c>
      <c r="G180" s="143">
        <f>IFERROR(__xludf.DUMMYFUNCTION("""COMPUTED_VALUE"""),44309819)</f>
        <v/>
      </c>
      <c r="H180" s="27" t="n"/>
    </row>
    <row r="181" ht="17.25" customHeight="1" s="322">
      <c r="A181" s="27" t="n"/>
      <c r="B181" s="506">
        <f>IFERROR(__xludf.DUMMYFUNCTION("""COMPUTED_VALUE"""),46091.6666666666)</f>
        <v/>
      </c>
      <c r="C181" s="141">
        <f>IFERROR(__xludf.DUMMYFUNCTION("""COMPUTED_VALUE"""),110.4)</f>
        <v/>
      </c>
      <c r="D181" s="141">
        <f>IFERROR(__xludf.DUMMYFUNCTION("""COMPUTED_VALUE"""),110.7)</f>
        <v/>
      </c>
      <c r="E181" s="141">
        <f>IFERROR(__xludf.DUMMYFUNCTION("""COMPUTED_VALUE"""),110.05)</f>
        <v/>
      </c>
      <c r="F181" s="141">
        <f>IFERROR(__xludf.DUMMYFUNCTION("""COMPUTED_VALUE"""),110.06)</f>
        <v/>
      </c>
      <c r="G181" s="143">
        <f>IFERROR(__xludf.DUMMYFUNCTION("""COMPUTED_VALUE"""),71045301)</f>
        <v/>
      </c>
      <c r="H181" s="27" t="n"/>
    </row>
    <row r="182" ht="17.25" customHeight="1" s="322">
      <c r="A182" s="27" t="n"/>
      <c r="B182" s="506">
        <f>IFERROR(__xludf.DUMMYFUNCTION("""COMPUTED_VALUE"""),46092.6666666666)</f>
        <v/>
      </c>
      <c r="C182" s="141">
        <f>IFERROR(__xludf.DUMMYFUNCTION("""COMPUTED_VALUE"""),109.73)</f>
        <v/>
      </c>
      <c r="D182" s="141">
        <f>IFERROR(__xludf.DUMMYFUNCTION("""COMPUTED_VALUE"""),109.76)</f>
        <v/>
      </c>
      <c r="E182" s="141">
        <f>IFERROR(__xludf.DUMMYFUNCTION("""COMPUTED_VALUE"""),109.01)</f>
        <v/>
      </c>
      <c r="F182" s="141">
        <f>IFERROR(__xludf.DUMMYFUNCTION("""COMPUTED_VALUE"""),109.16)</f>
        <v/>
      </c>
      <c r="G182" s="143">
        <f>IFERROR(__xludf.DUMMYFUNCTION("""COMPUTED_VALUE"""),66524080)</f>
        <v/>
      </c>
      <c r="H182" s="27" t="n"/>
    </row>
    <row r="183" ht="17.25" customHeight="1" s="322">
      <c r="A183" s="27" t="n"/>
      <c r="B183" s="506">
        <f>IFERROR(__xludf.DUMMYFUNCTION("""COMPUTED_VALUE"""),46093.6666666666)</f>
        <v/>
      </c>
      <c r="C183" s="141">
        <f>IFERROR(__xludf.DUMMYFUNCTION("""COMPUTED_VALUE"""),108.92)</f>
        <v/>
      </c>
      <c r="D183" s="141">
        <f>IFERROR(__xludf.DUMMYFUNCTION("""COMPUTED_VALUE"""),108.98)</f>
        <v/>
      </c>
      <c r="E183" s="141">
        <f>IFERROR(__xludf.DUMMYFUNCTION("""COMPUTED_VALUE"""),108.35)</f>
        <v/>
      </c>
      <c r="F183" s="141">
        <f>IFERROR(__xludf.DUMMYFUNCTION("""COMPUTED_VALUE"""),108.57)</f>
        <v/>
      </c>
      <c r="G183" s="143">
        <f>IFERROR(__xludf.DUMMYFUNCTION("""COMPUTED_VALUE"""),72750355)</f>
        <v/>
      </c>
      <c r="H183" s="27" t="n"/>
    </row>
    <row r="184" ht="17.25" customHeight="1" s="322">
      <c r="A184" s="27" t="n"/>
      <c r="B184" s="506">
        <f>IFERROR(__xludf.DUMMYFUNCTION("""COMPUTED_VALUE"""),46094.6666666666)</f>
        <v/>
      </c>
      <c r="C184" s="141">
        <f>IFERROR(__xludf.DUMMYFUNCTION("""COMPUTED_VALUE"""),108.75)</f>
        <v/>
      </c>
      <c r="D184" s="141">
        <f>IFERROR(__xludf.DUMMYFUNCTION("""COMPUTED_VALUE"""),108.99)</f>
        <v/>
      </c>
      <c r="E184" s="141">
        <f>IFERROR(__xludf.DUMMYFUNCTION("""COMPUTED_VALUE"""),108.02)</f>
        <v/>
      </c>
      <c r="F184" s="141">
        <f>IFERROR(__xludf.DUMMYFUNCTION("""COMPUTED_VALUE"""),108.17)</f>
        <v/>
      </c>
      <c r="G184" s="143">
        <f>IFERROR(__xludf.DUMMYFUNCTION("""COMPUTED_VALUE"""),54605097)</f>
        <v/>
      </c>
      <c r="H184" s="27" t="n"/>
    </row>
    <row r="185" ht="17.25" customHeight="1" s="322">
      <c r="A185" s="27" t="n"/>
      <c r="B185" s="506">
        <f>IFERROR(__xludf.DUMMYFUNCTION("""COMPUTED_VALUE"""),46097.6666666666)</f>
        <v/>
      </c>
      <c r="C185" s="141">
        <f>IFERROR(__xludf.DUMMYFUNCTION("""COMPUTED_VALUE"""),108.74)</f>
        <v/>
      </c>
      <c r="D185" s="141">
        <f>IFERROR(__xludf.DUMMYFUNCTION("""COMPUTED_VALUE"""),109.03)</f>
        <v/>
      </c>
      <c r="E185" s="141">
        <f>IFERROR(__xludf.DUMMYFUNCTION("""COMPUTED_VALUE"""),108.56)</f>
        <v/>
      </c>
      <c r="F185" s="141">
        <f>IFERROR(__xludf.DUMMYFUNCTION("""COMPUTED_VALUE"""),108.69)</f>
        <v/>
      </c>
      <c r="G185" s="143">
        <f>IFERROR(__xludf.DUMMYFUNCTION("""COMPUTED_VALUE"""),65429982)</f>
        <v/>
      </c>
      <c r="H185" s="27" t="n"/>
    </row>
    <row r="186" ht="17.25" customHeight="1" s="322">
      <c r="A186" s="27" t="n"/>
      <c r="B186" s="506">
        <f>IFERROR(__xludf.DUMMYFUNCTION("""COMPUTED_VALUE"""),46098.6666666666)</f>
        <v/>
      </c>
      <c r="C186" s="141">
        <f>IFERROR(__xludf.DUMMYFUNCTION("""COMPUTED_VALUE"""),108.99)</f>
        <v/>
      </c>
      <c r="D186" s="141">
        <f>IFERROR(__xludf.DUMMYFUNCTION("""COMPUTED_VALUE"""),109.33)</f>
        <v/>
      </c>
      <c r="E186" s="141">
        <f>IFERROR(__xludf.DUMMYFUNCTION("""COMPUTED_VALUE"""),108.99)</f>
        <v/>
      </c>
      <c r="F186" s="141">
        <f>IFERROR(__xludf.DUMMYFUNCTION("""COMPUTED_VALUE"""),109.3)</f>
        <v/>
      </c>
      <c r="G186" s="143">
        <f>IFERROR(__xludf.DUMMYFUNCTION("""COMPUTED_VALUE"""),53953870)</f>
        <v/>
      </c>
      <c r="H186" s="27" t="n"/>
    </row>
    <row r="187" ht="17.25" customHeight="1" s="322">
      <c r="A187" s="27" t="n"/>
      <c r="B187" s="506">
        <f>IFERROR(__xludf.DUMMYFUNCTION("""COMPUTED_VALUE"""),46099.6666666666)</f>
        <v/>
      </c>
      <c r="C187" s="141">
        <f>IFERROR(__xludf.DUMMYFUNCTION("""COMPUTED_VALUE"""),109.14)</f>
        <v/>
      </c>
      <c r="D187" s="141">
        <f>IFERROR(__xludf.DUMMYFUNCTION("""COMPUTED_VALUE"""),109.32)</f>
        <v/>
      </c>
      <c r="E187" s="141">
        <f>IFERROR(__xludf.DUMMYFUNCTION("""COMPUTED_VALUE"""),108.71)</f>
        <v/>
      </c>
      <c r="F187" s="141">
        <f>IFERROR(__xludf.DUMMYFUNCTION("""COMPUTED_VALUE"""),108.71)</f>
        <v/>
      </c>
      <c r="G187" s="143">
        <f>IFERROR(__xludf.DUMMYFUNCTION("""COMPUTED_VALUE"""),60359968)</f>
        <v/>
      </c>
      <c r="H187" s="27" t="n"/>
    </row>
    <row r="188" ht="17.25" customHeight="1" s="322">
      <c r="A188" s="27" t="n"/>
      <c r="B188" s="506">
        <f>IFERROR(__xludf.DUMMYFUNCTION("""COMPUTED_VALUE"""),46100.6666666666)</f>
        <v/>
      </c>
      <c r="C188" s="141">
        <f>IFERROR(__xludf.DUMMYFUNCTION("""COMPUTED_VALUE"""),108.35)</f>
        <v/>
      </c>
      <c r="D188" s="141">
        <f>IFERROR(__xludf.DUMMYFUNCTION("""COMPUTED_VALUE"""),109.35)</f>
        <v/>
      </c>
      <c r="E188" s="141">
        <f>IFERROR(__xludf.DUMMYFUNCTION("""COMPUTED_VALUE"""),108.31)</f>
        <v/>
      </c>
      <c r="F188" s="141">
        <f>IFERROR(__xludf.DUMMYFUNCTION("""COMPUTED_VALUE"""),109.19)</f>
        <v/>
      </c>
      <c r="G188" s="143">
        <f>IFERROR(__xludf.DUMMYFUNCTION("""COMPUTED_VALUE"""),60271160)</f>
        <v/>
      </c>
      <c r="H188" s="27" t="n"/>
    </row>
    <row r="189" ht="17.25" customHeight="1" s="322">
      <c r="A189" s="27" t="n"/>
      <c r="B189" s="506">
        <f>IFERROR(__xludf.DUMMYFUNCTION("""COMPUTED_VALUE"""),46101.6666666666)</f>
        <v/>
      </c>
      <c r="C189" s="141">
        <f>IFERROR(__xludf.DUMMYFUNCTION("""COMPUTED_VALUE"""),108.69)</f>
        <v/>
      </c>
      <c r="D189" s="141">
        <f>IFERROR(__xludf.DUMMYFUNCTION("""COMPUTED_VALUE"""),108.8)</f>
        <v/>
      </c>
      <c r="E189" s="141">
        <f>IFERROR(__xludf.DUMMYFUNCTION("""COMPUTED_VALUE"""),107.75)</f>
        <v/>
      </c>
      <c r="F189" s="141">
        <f>IFERROR(__xludf.DUMMYFUNCTION("""COMPUTED_VALUE"""),107.85)</f>
        <v/>
      </c>
      <c r="G189" s="143">
        <f>IFERROR(__xludf.DUMMYFUNCTION("""COMPUTED_VALUE"""),66609213)</f>
        <v/>
      </c>
      <c r="H189" s="27" t="n"/>
    </row>
    <row r="190" ht="17.25" customHeight="1" s="322">
      <c r="A190" s="27" t="n"/>
      <c r="B190" s="506">
        <f>IFERROR(__xludf.DUMMYFUNCTION("""COMPUTED_VALUE"""),46104.6666666666)</f>
        <v/>
      </c>
      <c r="C190" s="141">
        <f>IFERROR(__xludf.DUMMYFUNCTION("""COMPUTED_VALUE"""),108.2)</f>
        <v/>
      </c>
      <c r="D190" s="141">
        <f>IFERROR(__xludf.DUMMYFUNCTION("""COMPUTED_VALUE"""),108.91)</f>
        <v/>
      </c>
      <c r="E190" s="141">
        <f>IFERROR(__xludf.DUMMYFUNCTION("""COMPUTED_VALUE"""),108.05)</f>
        <v/>
      </c>
      <c r="F190" s="141">
        <f>IFERROR(__xludf.DUMMYFUNCTION("""COMPUTED_VALUE"""),108.56)</f>
        <v/>
      </c>
      <c r="G190" s="143">
        <f>IFERROR(__xludf.DUMMYFUNCTION("""COMPUTED_VALUE"""),54512830)</f>
        <v/>
      </c>
      <c r="H190" s="27" t="n"/>
    </row>
    <row r="191" ht="17.25" customHeight="1" s="322">
      <c r="A191" s="27" t="n"/>
      <c r="B191" s="506">
        <f>IFERROR(__xludf.DUMMYFUNCTION("""COMPUTED_VALUE"""),46105.6666666666)</f>
        <v/>
      </c>
      <c r="C191" s="141">
        <f>IFERROR(__xludf.DUMMYFUNCTION("""COMPUTED_VALUE"""),108.01)</f>
        <v/>
      </c>
      <c r="D191" s="141">
        <f>IFERROR(__xludf.DUMMYFUNCTION("""COMPUTED_VALUE"""),108.63)</f>
        <v/>
      </c>
      <c r="E191" s="141">
        <f>IFERROR(__xludf.DUMMYFUNCTION("""COMPUTED_VALUE"""),107.95)</f>
        <v/>
      </c>
      <c r="F191" s="141">
        <f>IFERROR(__xludf.DUMMYFUNCTION("""COMPUTED_VALUE"""),108.34)</f>
        <v/>
      </c>
      <c r="G191" s="143">
        <f>IFERROR(__xludf.DUMMYFUNCTION("""COMPUTED_VALUE"""),46515346)</f>
        <v/>
      </c>
      <c r="H191" s="27" t="n"/>
    </row>
    <row r="192" ht="17.25" customHeight="1" s="322">
      <c r="A192" s="27" t="n"/>
      <c r="B192" s="506">
        <f>IFERROR(__xludf.DUMMYFUNCTION("""COMPUTED_VALUE"""),46106.6666666666)</f>
        <v/>
      </c>
      <c r="C192" s="141">
        <f>IFERROR(__xludf.DUMMYFUNCTION("""COMPUTED_VALUE"""),109.05)</f>
        <v/>
      </c>
      <c r="D192" s="141">
        <f>IFERROR(__xludf.DUMMYFUNCTION("""COMPUTED_VALUE"""),109.05)</f>
        <v/>
      </c>
      <c r="E192" s="141">
        <f>IFERROR(__xludf.DUMMYFUNCTION("""COMPUTED_VALUE"""),108.69)</f>
        <v/>
      </c>
      <c r="F192" s="141">
        <f>IFERROR(__xludf.DUMMYFUNCTION("""COMPUTED_VALUE"""),108.73)</f>
        <v/>
      </c>
      <c r="G192" s="143">
        <f>IFERROR(__xludf.DUMMYFUNCTION("""COMPUTED_VALUE"""),48616286)</f>
        <v/>
      </c>
      <c r="H192" s="27" t="n"/>
    </row>
    <row r="193" ht="17.25" customHeight="1" s="322">
      <c r="A193" s="27" t="n"/>
      <c r="B193" s="506">
        <f>IFERROR(__xludf.DUMMYFUNCTION("""COMPUTED_VALUE"""),46107.6666666666)</f>
        <v/>
      </c>
      <c r="C193" s="141">
        <f>IFERROR(__xludf.DUMMYFUNCTION("""COMPUTED_VALUE"""),108.28)</f>
        <v/>
      </c>
      <c r="D193" s="141">
        <f>IFERROR(__xludf.DUMMYFUNCTION("""COMPUTED_VALUE"""),108.58)</f>
        <v/>
      </c>
      <c r="E193" s="141">
        <f>IFERROR(__xludf.DUMMYFUNCTION("""COMPUTED_VALUE"""),107.84)</f>
        <v/>
      </c>
      <c r="F193" s="141">
        <f>IFERROR(__xludf.DUMMYFUNCTION("""COMPUTED_VALUE"""),107.88)</f>
        <v/>
      </c>
      <c r="G193" s="143">
        <f>IFERROR(__xludf.DUMMYFUNCTION("""COMPUTED_VALUE"""),42072736)</f>
        <v/>
      </c>
      <c r="H193" s="27" t="n"/>
    </row>
    <row r="194" ht="17.25" customHeight="1" s="322">
      <c r="A194" s="27" t="n"/>
      <c r="B194" s="506">
        <f>IFERROR(__xludf.DUMMYFUNCTION("""COMPUTED_VALUE"""),46108.6666666666)</f>
        <v/>
      </c>
      <c r="C194" s="141">
        <f>IFERROR(__xludf.DUMMYFUNCTION("""COMPUTED_VALUE"""),107.47)</f>
        <v/>
      </c>
      <c r="D194" s="141">
        <f>IFERROR(__xludf.DUMMYFUNCTION("""COMPUTED_VALUE"""),107.87)</f>
        <v/>
      </c>
      <c r="E194" s="141">
        <f>IFERROR(__xludf.DUMMYFUNCTION("""COMPUTED_VALUE"""),107.36)</f>
        <v/>
      </c>
      <c r="F194" s="141">
        <f>IFERROR(__xludf.DUMMYFUNCTION("""COMPUTED_VALUE"""),107.62)</f>
        <v/>
      </c>
      <c r="G194" s="143">
        <f>IFERROR(__xludf.DUMMYFUNCTION("""COMPUTED_VALUE"""),42578567)</f>
        <v/>
      </c>
      <c r="H194" s="27" t="n"/>
    </row>
    <row r="195" ht="17.25" customHeight="1" s="322">
      <c r="A195" s="27" t="n"/>
      <c r="B195" s="506">
        <f>IFERROR(__xludf.DUMMYFUNCTION("""COMPUTED_VALUE"""),46111.6666666666)</f>
        <v/>
      </c>
      <c r="C195" s="141">
        <f>IFERROR(__xludf.DUMMYFUNCTION("""COMPUTED_VALUE"""),108.44)</f>
        <v/>
      </c>
      <c r="D195" s="141">
        <f>IFERROR(__xludf.DUMMYFUNCTION("""COMPUTED_VALUE"""),108.59)</f>
        <v/>
      </c>
      <c r="E195" s="141">
        <f>IFERROR(__xludf.DUMMYFUNCTION("""COMPUTED_VALUE"""),108.2)</f>
        <v/>
      </c>
      <c r="F195" s="141">
        <f>IFERROR(__xludf.DUMMYFUNCTION("""COMPUTED_VALUE"""),108.31)</f>
        <v/>
      </c>
      <c r="G195" s="143">
        <f>IFERROR(__xludf.DUMMYFUNCTION("""COMPUTED_VALUE"""),42676996)</f>
        <v/>
      </c>
      <c r="H195" s="27" t="n"/>
    </row>
    <row r="196" ht="17.25" customHeight="1" s="322">
      <c r="A196" s="27" t="n"/>
      <c r="B196" s="506">
        <f>IFERROR(__xludf.DUMMYFUNCTION("""COMPUTED_VALUE"""),46112.6666666666)</f>
        <v/>
      </c>
      <c r="C196" s="141">
        <f>IFERROR(__xludf.DUMMYFUNCTION("""COMPUTED_VALUE"""),108.72)</f>
        <v/>
      </c>
      <c r="D196" s="141">
        <f>IFERROR(__xludf.DUMMYFUNCTION("""COMPUTED_VALUE"""),109.2)</f>
        <v/>
      </c>
      <c r="E196" s="141">
        <f>IFERROR(__xludf.DUMMYFUNCTION("""COMPUTED_VALUE"""),108.6)</f>
        <v/>
      </c>
      <c r="F196" s="141">
        <f>IFERROR(__xludf.DUMMYFUNCTION("""COMPUTED_VALUE"""),108.99)</f>
        <v/>
      </c>
      <c r="G196" s="143">
        <f>IFERROR(__xludf.DUMMYFUNCTION("""COMPUTED_VALUE"""),57883821)</f>
        <v/>
      </c>
      <c r="H196" s="27" t="n"/>
    </row>
    <row r="197" ht="17.25" customHeight="1" s="322">
      <c r="A197" s="27" t="n"/>
      <c r="B197" s="506">
        <f>IFERROR(__xludf.DUMMYFUNCTION("""COMPUTED_VALUE"""),46113.6666666666)</f>
        <v/>
      </c>
      <c r="C197" s="141">
        <f>IFERROR(__xludf.DUMMYFUNCTION("""COMPUTED_VALUE"""),108.49)</f>
        <v/>
      </c>
      <c r="D197" s="141">
        <f>IFERROR(__xludf.DUMMYFUNCTION("""COMPUTED_VALUE"""),108.95)</f>
        <v/>
      </c>
      <c r="E197" s="141">
        <f>IFERROR(__xludf.DUMMYFUNCTION("""COMPUTED_VALUE"""),108.49)</f>
        <v/>
      </c>
      <c r="F197" s="141">
        <f>IFERROR(__xludf.DUMMYFUNCTION("""COMPUTED_VALUE"""),108.66)</f>
        <v/>
      </c>
      <c r="G197" s="143">
        <f>IFERROR(__xludf.DUMMYFUNCTION("""COMPUTED_VALUE"""),37445324)</f>
        <v/>
      </c>
      <c r="H197" s="27" t="n"/>
    </row>
    <row r="198" ht="17.25" customHeight="1" s="322">
      <c r="A198" s="27" t="n"/>
      <c r="B198" s="506">
        <f>IFERROR(__xludf.DUMMYFUNCTION("""COMPUTED_VALUE"""),46114.6666666666)</f>
        <v/>
      </c>
      <c r="C198" s="141">
        <f>IFERROR(__xludf.DUMMYFUNCTION("""COMPUTED_VALUE"""),108.41)</f>
        <v/>
      </c>
      <c r="D198" s="141">
        <f>IFERROR(__xludf.DUMMYFUNCTION("""COMPUTED_VALUE"""),109.25)</f>
        <v/>
      </c>
      <c r="E198" s="141">
        <f>IFERROR(__xludf.DUMMYFUNCTION("""COMPUTED_VALUE"""),108.37)</f>
        <v/>
      </c>
      <c r="F198" s="141">
        <f>IFERROR(__xludf.DUMMYFUNCTION("""COMPUTED_VALUE"""),109.12)</f>
        <v/>
      </c>
      <c r="G198" s="143">
        <f>IFERROR(__xludf.DUMMYFUNCTION("""COMPUTED_VALUE"""),27148571)</f>
        <v/>
      </c>
      <c r="H198" s="27" t="n"/>
    </row>
    <row r="199" ht="17.25" customHeight="1" s="322">
      <c r="A199" s="27" t="n"/>
      <c r="B199" s="506">
        <f>IFERROR(__xludf.DUMMYFUNCTION("""COMPUTED_VALUE"""),46118.6666666666)</f>
        <v/>
      </c>
      <c r="C199" s="141">
        <f>IFERROR(__xludf.DUMMYFUNCTION("""COMPUTED_VALUE"""),108.87)</f>
        <v/>
      </c>
      <c r="D199" s="141">
        <f>IFERROR(__xludf.DUMMYFUNCTION("""COMPUTED_VALUE"""),109.26)</f>
        <v/>
      </c>
      <c r="E199" s="141">
        <f>IFERROR(__xludf.DUMMYFUNCTION("""COMPUTED_VALUE"""),108.87)</f>
        <v/>
      </c>
      <c r="F199" s="141">
        <f>IFERROR(__xludf.DUMMYFUNCTION("""COMPUTED_VALUE"""),108.95)</f>
        <v/>
      </c>
      <c r="G199" s="143">
        <f>IFERROR(__xludf.DUMMYFUNCTION("""COMPUTED_VALUE"""),29080524)</f>
        <v/>
      </c>
      <c r="H199" s="27" t="n"/>
    </row>
    <row r="200" ht="17.25" customHeight="1" s="322">
      <c r="A200" s="27" t="n"/>
      <c r="B200" s="506">
        <f>IFERROR(__xludf.DUMMYFUNCTION("""COMPUTED_VALUE"""),46119.6666666666)</f>
        <v/>
      </c>
      <c r="C200" s="141">
        <f>IFERROR(__xludf.DUMMYFUNCTION("""COMPUTED_VALUE"""),108.86)</f>
        <v/>
      </c>
      <c r="D200" s="141">
        <f>IFERROR(__xludf.DUMMYFUNCTION("""COMPUTED_VALUE"""),109.15)</f>
        <v/>
      </c>
      <c r="E200" s="141">
        <f>IFERROR(__xludf.DUMMYFUNCTION("""COMPUTED_VALUE"""),108.27)</f>
        <v/>
      </c>
      <c r="F200" s="141">
        <f>IFERROR(__xludf.DUMMYFUNCTION("""COMPUTED_VALUE"""),109.07)</f>
        <v/>
      </c>
      <c r="G200" s="143">
        <f>IFERROR(__xludf.DUMMYFUNCTION("""COMPUTED_VALUE"""),41258924)</f>
        <v/>
      </c>
      <c r="H200" s="27" t="n"/>
    </row>
    <row r="201" ht="17.25" customHeight="1" s="322">
      <c r="A201" s="27" t="n"/>
      <c r="B201" s="506">
        <f>IFERROR(__xludf.DUMMYFUNCTION("""COMPUTED_VALUE"""),46120.6666666666)</f>
        <v/>
      </c>
      <c r="C201" s="141">
        <f>IFERROR(__xludf.DUMMYFUNCTION("""COMPUTED_VALUE"""),110)</f>
        <v/>
      </c>
      <c r="D201" s="141">
        <f>IFERROR(__xludf.DUMMYFUNCTION("""COMPUTED_VALUE"""),110)</f>
        <v/>
      </c>
      <c r="E201" s="141">
        <f>IFERROR(__xludf.DUMMYFUNCTION("""COMPUTED_VALUE"""),109.29)</f>
        <v/>
      </c>
      <c r="F201" s="141">
        <f>IFERROR(__xludf.DUMMYFUNCTION("""COMPUTED_VALUE"""),109.49)</f>
        <v/>
      </c>
      <c r="G201" s="143">
        <f>IFERROR(__xludf.DUMMYFUNCTION("""COMPUTED_VALUE"""),63694708)</f>
        <v/>
      </c>
      <c r="H201" s="27" t="n"/>
    </row>
    <row r="202" ht="17.25" customHeight="1" s="322">
      <c r="A202" s="27" t="n"/>
      <c r="B202" s="506">
        <f>IFERROR(__xludf.DUMMYFUNCTION("""COMPUTED_VALUE"""),46121.6666666666)</f>
        <v/>
      </c>
      <c r="C202" s="141">
        <f>IFERROR(__xludf.DUMMYFUNCTION("""COMPUTED_VALUE"""),109.31)</f>
        <v/>
      </c>
      <c r="D202" s="141">
        <f>IFERROR(__xludf.DUMMYFUNCTION("""COMPUTED_VALUE"""),109.79)</f>
        <v/>
      </c>
      <c r="E202" s="141">
        <f>IFERROR(__xludf.DUMMYFUNCTION("""COMPUTED_VALUE"""),109.16)</f>
        <v/>
      </c>
      <c r="F202" s="141">
        <f>IFERROR(__xludf.DUMMYFUNCTION("""COMPUTED_VALUE"""),109.49)</f>
        <v/>
      </c>
      <c r="G202" s="143">
        <f>IFERROR(__xludf.DUMMYFUNCTION("""COMPUTED_VALUE"""),39122037)</f>
        <v/>
      </c>
      <c r="H202" s="27" t="n"/>
    </row>
    <row r="203" ht="17.25" customHeight="1" s="322">
      <c r="A203" s="27" t="n"/>
      <c r="B203" s="506">
        <f>IFERROR(__xludf.DUMMYFUNCTION("""COMPUTED_VALUE"""),46122.6666666666)</f>
        <v/>
      </c>
      <c r="C203" s="141">
        <f>IFERROR(__xludf.DUMMYFUNCTION("""COMPUTED_VALUE"""),109.47)</f>
        <v/>
      </c>
      <c r="D203" s="141">
        <f>IFERROR(__xludf.DUMMYFUNCTION("""COMPUTED_VALUE"""),109.55)</f>
        <v/>
      </c>
      <c r="E203" s="141">
        <f>IFERROR(__xludf.DUMMYFUNCTION("""COMPUTED_VALUE"""),109.15)</f>
        <v/>
      </c>
      <c r="F203" s="141">
        <f>IFERROR(__xludf.DUMMYFUNCTION("""COMPUTED_VALUE"""),109.2)</f>
        <v/>
      </c>
      <c r="G203" s="143">
        <f>IFERROR(__xludf.DUMMYFUNCTION("""COMPUTED_VALUE"""),22857036)</f>
        <v/>
      </c>
      <c r="H203" s="27" t="n"/>
    </row>
    <row r="204" ht="17.25" customHeight="1" s="322">
      <c r="A204" s="27" t="n"/>
      <c r="B204" s="506">
        <f>IFERROR(__xludf.DUMMYFUNCTION("""COMPUTED_VALUE"""),46125.6666666666)</f>
        <v/>
      </c>
      <c r="C204" s="141">
        <f>IFERROR(__xludf.DUMMYFUNCTION("""COMPUTED_VALUE"""),109.14)</f>
        <v/>
      </c>
      <c r="D204" s="141">
        <f>IFERROR(__xludf.DUMMYFUNCTION("""COMPUTED_VALUE"""),109.68)</f>
        <v/>
      </c>
      <c r="E204" s="141">
        <f>IFERROR(__xludf.DUMMYFUNCTION("""COMPUTED_VALUE"""),109.11)</f>
        <v/>
      </c>
      <c r="F204" s="141">
        <f>IFERROR(__xludf.DUMMYFUNCTION("""COMPUTED_VALUE"""),109.62)</f>
        <v/>
      </c>
      <c r="G204" s="143">
        <f>IFERROR(__xludf.DUMMYFUNCTION("""COMPUTED_VALUE"""),19904151)</f>
        <v/>
      </c>
      <c r="H204" s="27" t="n"/>
    </row>
    <row r="205" ht="17.25" customHeight="1" s="322">
      <c r="A205" s="27" t="n"/>
      <c r="B205" s="506">
        <f>IFERROR(__xludf.DUMMYFUNCTION("""COMPUTED_VALUE"""),46126.6666666666)</f>
        <v/>
      </c>
      <c r="C205" s="141">
        <f>IFERROR(__xludf.DUMMYFUNCTION("""COMPUTED_VALUE"""),109.72)</f>
        <v/>
      </c>
      <c r="D205" s="141">
        <f>IFERROR(__xludf.DUMMYFUNCTION("""COMPUTED_VALUE"""),110.08)</f>
        <v/>
      </c>
      <c r="E205" s="141">
        <f>IFERROR(__xludf.DUMMYFUNCTION("""COMPUTED_VALUE"""),109.67)</f>
        <v/>
      </c>
      <c r="F205" s="141">
        <f>IFERROR(__xludf.DUMMYFUNCTION("""COMPUTED_VALUE"""),109.98)</f>
        <v/>
      </c>
      <c r="G205" s="143">
        <f>IFERROR(__xludf.DUMMYFUNCTION("""COMPUTED_VALUE"""),29507842)</f>
        <v/>
      </c>
      <c r="H205" s="27" t="n"/>
    </row>
    <row r="206" ht="17.25" customHeight="1" s="322">
      <c r="A206" s="27" t="n"/>
      <c r="B206" s="506">
        <f>IFERROR(__xludf.DUMMYFUNCTION("""COMPUTED_VALUE"""),46127.6666666666)</f>
        <v/>
      </c>
      <c r="C206" s="141">
        <f>IFERROR(__xludf.DUMMYFUNCTION("""COMPUTED_VALUE"""),109.85)</f>
        <v/>
      </c>
      <c r="D206" s="141">
        <f>IFERROR(__xludf.DUMMYFUNCTION("""COMPUTED_VALUE"""),109.96)</f>
        <v/>
      </c>
      <c r="E206" s="141">
        <f>IFERROR(__xludf.DUMMYFUNCTION("""COMPUTED_VALUE"""),109.76)</f>
        <v/>
      </c>
      <c r="F206" s="141">
        <f>IFERROR(__xludf.DUMMYFUNCTION("""COMPUTED_VALUE"""),109.94)</f>
        <v/>
      </c>
      <c r="G206" s="143">
        <f>IFERROR(__xludf.DUMMYFUNCTION("""COMPUTED_VALUE"""),30074417)</f>
        <v/>
      </c>
      <c r="H206" s="27" t="n"/>
    </row>
    <row r="207" ht="17.25" customHeight="1" s="322">
      <c r="A207" s="27" t="n"/>
      <c r="B207" s="506">
        <f>IFERROR(__xludf.DUMMYFUNCTION("""COMPUTED_VALUE"""),46128.6666666666)</f>
        <v/>
      </c>
      <c r="C207" s="141">
        <f>IFERROR(__xludf.DUMMYFUNCTION("""COMPUTED_VALUE"""),110.01)</f>
        <v/>
      </c>
      <c r="D207" s="141">
        <f>IFERROR(__xludf.DUMMYFUNCTION("""COMPUTED_VALUE"""),110.02)</f>
        <v/>
      </c>
      <c r="E207" s="141">
        <f>IFERROR(__xludf.DUMMYFUNCTION("""COMPUTED_VALUE"""),109.41)</f>
        <v/>
      </c>
      <c r="F207" s="141">
        <f>IFERROR(__xludf.DUMMYFUNCTION("""COMPUTED_VALUE"""),109.43)</f>
        <v/>
      </c>
      <c r="G207" s="143">
        <f>IFERROR(__xludf.DUMMYFUNCTION("""COMPUTED_VALUE"""),25833348)</f>
        <v/>
      </c>
      <c r="H207" s="27" t="n"/>
    </row>
    <row r="208" ht="17.25" customHeight="1" s="322">
      <c r="A208" s="27" t="n"/>
      <c r="B208" s="506">
        <f>IFERROR(__xludf.DUMMYFUNCTION("""COMPUTED_VALUE"""),46129.6666666666)</f>
        <v/>
      </c>
      <c r="C208" s="141">
        <f>IFERROR(__xludf.DUMMYFUNCTION("""COMPUTED_VALUE"""),110.13)</f>
        <v/>
      </c>
      <c r="D208" s="141">
        <f>IFERROR(__xludf.DUMMYFUNCTION("""COMPUTED_VALUE"""),110.29)</f>
        <v/>
      </c>
      <c r="E208" s="141">
        <f>IFERROR(__xludf.DUMMYFUNCTION("""COMPUTED_VALUE"""),109.97)</f>
        <v/>
      </c>
      <c r="F208" s="141">
        <f>IFERROR(__xludf.DUMMYFUNCTION("""COMPUTED_VALUE"""),110.04)</f>
        <v/>
      </c>
      <c r="G208" s="143">
        <f>IFERROR(__xludf.DUMMYFUNCTION("""COMPUTED_VALUE"""),44767750)</f>
        <v/>
      </c>
      <c r="H208" s="27" t="n"/>
    </row>
    <row r="209" ht="17.25" customHeight="1" s="322">
      <c r="A209" s="27" t="n"/>
      <c r="B209" s="506">
        <f>IFERROR(__xludf.DUMMYFUNCTION("""COMPUTED_VALUE"""),46132.6666666666)</f>
        <v/>
      </c>
      <c r="C209" s="141">
        <f>IFERROR(__xludf.DUMMYFUNCTION("""COMPUTED_VALUE"""),110.04)</f>
        <v/>
      </c>
      <c r="D209" s="141">
        <f>IFERROR(__xludf.DUMMYFUNCTION("""COMPUTED_VALUE"""),110.12)</f>
        <v/>
      </c>
      <c r="E209" s="141">
        <f>IFERROR(__xludf.DUMMYFUNCTION("""COMPUTED_VALUE"""),109.8)</f>
        <v/>
      </c>
      <c r="F209" s="141">
        <f>IFERROR(__xludf.DUMMYFUNCTION("""COMPUTED_VALUE"""),110.03)</f>
        <v/>
      </c>
      <c r="G209" s="143">
        <f>IFERROR(__xludf.DUMMYFUNCTION("""COMPUTED_VALUE"""),19935942)</f>
        <v/>
      </c>
      <c r="H209" s="27" t="n"/>
    </row>
    <row r="210" ht="17.25" customHeight="1" s="322">
      <c r="A210" s="27" t="n"/>
      <c r="B210" s="506">
        <f>IFERROR(__xludf.DUMMYFUNCTION("""COMPUTED_VALUE"""),46133.6666666666)</f>
        <v/>
      </c>
      <c r="C210" s="141">
        <f>IFERROR(__xludf.DUMMYFUNCTION("""COMPUTED_VALUE"""),109.94)</f>
        <v/>
      </c>
      <c r="D210" s="141">
        <f>IFERROR(__xludf.DUMMYFUNCTION("""COMPUTED_VALUE"""),110.03)</f>
        <v/>
      </c>
      <c r="E210" s="141">
        <f>IFERROR(__xludf.DUMMYFUNCTION("""COMPUTED_VALUE"""),109.58)</f>
        <v/>
      </c>
      <c r="F210" s="141">
        <f>IFERROR(__xludf.DUMMYFUNCTION("""COMPUTED_VALUE"""),109.61)</f>
        <v/>
      </c>
      <c r="G210" s="143">
        <f>IFERROR(__xludf.DUMMYFUNCTION("""COMPUTED_VALUE"""),26008052)</f>
        <v/>
      </c>
      <c r="H210" s="27" t="n"/>
    </row>
    <row r="211" ht="17.25" customHeight="1" s="322">
      <c r="A211" s="27" t="n"/>
      <c r="B211" s="506">
        <f>IFERROR(__xludf.DUMMYFUNCTION("""COMPUTED_VALUE"""),46134.6666666666)</f>
        <v/>
      </c>
      <c r="C211" s="141">
        <f>IFERROR(__xludf.DUMMYFUNCTION("""COMPUTED_VALUE"""),109.96)</f>
        <v/>
      </c>
      <c r="D211" s="141">
        <f>IFERROR(__xludf.DUMMYFUNCTION("""COMPUTED_VALUE"""),110.11)</f>
        <v/>
      </c>
      <c r="E211" s="141">
        <f>IFERROR(__xludf.DUMMYFUNCTION("""COMPUTED_VALUE"""),109.78)</f>
        <v/>
      </c>
      <c r="F211" s="141">
        <f>IFERROR(__xludf.DUMMYFUNCTION("""COMPUTED_VALUE"""),109.82)</f>
        <v/>
      </c>
      <c r="G211" s="143">
        <f>IFERROR(__xludf.DUMMYFUNCTION("""COMPUTED_VALUE"""),17815120)</f>
        <v/>
      </c>
      <c r="H211" s="27" t="n"/>
    </row>
    <row r="212" ht="17.25" customHeight="1" s="322">
      <c r="A212" s="27" t="n"/>
      <c r="B212" s="506">
        <f>IFERROR(__xludf.DUMMYFUNCTION("""COMPUTED_VALUE"""),46135.6666666666)</f>
        <v/>
      </c>
      <c r="C212" s="141">
        <f>IFERROR(__xludf.DUMMYFUNCTION("""COMPUTED_VALUE"""),109.8)</f>
        <v/>
      </c>
      <c r="D212" s="141">
        <f>IFERROR(__xludf.DUMMYFUNCTION("""COMPUTED_VALUE"""),109.95)</f>
        <v/>
      </c>
      <c r="E212" s="141">
        <f>IFERROR(__xludf.DUMMYFUNCTION("""COMPUTED_VALUE"""),109.26)</f>
        <v/>
      </c>
      <c r="F212" s="141">
        <f>IFERROR(__xludf.DUMMYFUNCTION("""COMPUTED_VALUE"""),109.52)</f>
        <v/>
      </c>
      <c r="G212" s="143">
        <f>IFERROR(__xludf.DUMMYFUNCTION("""COMPUTED_VALUE"""),25668581)</f>
        <v/>
      </c>
      <c r="H212" s="27" t="n"/>
    </row>
    <row r="213" ht="17.25" customHeight="1" s="322">
      <c r="A213" s="27" t="n"/>
      <c r="B213" s="506">
        <f>IFERROR(__xludf.DUMMYFUNCTION("""COMPUTED_VALUE"""),46136.6666666666)</f>
        <v/>
      </c>
      <c r="C213" s="141">
        <f>IFERROR(__xludf.DUMMYFUNCTION("""COMPUTED_VALUE"""),109.5)</f>
        <v/>
      </c>
      <c r="D213" s="141">
        <f>IFERROR(__xludf.DUMMYFUNCTION("""COMPUTED_VALUE"""),109.73)</f>
        <v/>
      </c>
      <c r="E213" s="141">
        <f>IFERROR(__xludf.DUMMYFUNCTION("""COMPUTED_VALUE"""),109.32)</f>
        <v/>
      </c>
      <c r="F213" s="141">
        <f>IFERROR(__xludf.DUMMYFUNCTION("""COMPUTED_VALUE"""),109.6)</f>
        <v/>
      </c>
      <c r="G213" s="143">
        <f>IFERROR(__xludf.DUMMYFUNCTION("""COMPUTED_VALUE"""),23212575)</f>
        <v/>
      </c>
      <c r="H213" s="27" t="n"/>
    </row>
    <row r="214" ht="17.25" customHeight="1" s="322">
      <c r="A214" s="27" t="n"/>
      <c r="B214" s="506">
        <f>IFERROR(__xludf.DUMMYFUNCTION("""COMPUTED_VALUE"""),46139.6666666666)</f>
        <v/>
      </c>
      <c r="C214" s="141">
        <f>IFERROR(__xludf.DUMMYFUNCTION("""COMPUTED_VALUE"""),109.52)</f>
        <v/>
      </c>
      <c r="D214" s="141">
        <f>IFERROR(__xludf.DUMMYFUNCTION("""COMPUTED_VALUE"""),109.59)</f>
        <v/>
      </c>
      <c r="E214" s="141">
        <f>IFERROR(__xludf.DUMMYFUNCTION("""COMPUTED_VALUE"""),109.2)</f>
        <v/>
      </c>
      <c r="F214" s="141">
        <f>IFERROR(__xludf.DUMMYFUNCTION("""COMPUTED_VALUE"""),109.29)</f>
        <v/>
      </c>
      <c r="G214" s="143">
        <f>IFERROR(__xludf.DUMMYFUNCTION("""COMPUTED_VALUE"""),21833249)</f>
        <v/>
      </c>
      <c r="H214" s="27" t="n"/>
    </row>
    <row r="215" ht="17.25" customHeight="1" s="322">
      <c r="A215" s="27" t="n"/>
      <c r="B215" s="506">
        <f>IFERROR(__xludf.DUMMYFUNCTION("""COMPUTED_VALUE"""),46140.6666666666)</f>
        <v/>
      </c>
      <c r="C215" s="141">
        <f>IFERROR(__xludf.DUMMYFUNCTION("""COMPUTED_VALUE"""),109.07)</f>
        <v/>
      </c>
      <c r="D215" s="141">
        <f>IFERROR(__xludf.DUMMYFUNCTION("""COMPUTED_VALUE"""),109.34)</f>
        <v/>
      </c>
      <c r="E215" s="141">
        <f>IFERROR(__xludf.DUMMYFUNCTION("""COMPUTED_VALUE"""),108.95)</f>
        <v/>
      </c>
      <c r="F215" s="141">
        <f>IFERROR(__xludf.DUMMYFUNCTION("""COMPUTED_VALUE"""),109.34)</f>
        <v/>
      </c>
      <c r="G215" s="143">
        <f>IFERROR(__xludf.DUMMYFUNCTION("""COMPUTED_VALUE"""),25603584)</f>
        <v/>
      </c>
      <c r="H215" s="27" t="n"/>
    </row>
    <row r="216" ht="17.25" customHeight="1" s="322">
      <c r="A216" s="27" t="n"/>
      <c r="B216" s="506">
        <f>IFERROR(__xludf.DUMMYFUNCTION("""COMPUTED_VALUE"""),46141.6666666666)</f>
        <v/>
      </c>
      <c r="C216" s="141">
        <f>IFERROR(__xludf.DUMMYFUNCTION("""COMPUTED_VALUE"""),109.04)</f>
        <v/>
      </c>
      <c r="D216" s="141">
        <f>IFERROR(__xludf.DUMMYFUNCTION("""COMPUTED_VALUE"""),109.04)</f>
        <v/>
      </c>
      <c r="E216" s="141">
        <f>IFERROR(__xludf.DUMMYFUNCTION("""COMPUTED_VALUE"""),108.57)</f>
        <v/>
      </c>
      <c r="F216" s="141">
        <f>IFERROR(__xludf.DUMMYFUNCTION("""COMPUTED_VALUE"""),108.73)</f>
        <v/>
      </c>
      <c r="G216" s="143">
        <f>IFERROR(__xludf.DUMMYFUNCTION("""COMPUTED_VALUE"""),21800933)</f>
        <v/>
      </c>
      <c r="H216" s="27" t="n"/>
    </row>
    <row r="217" ht="17.25" customHeight="1" s="322">
      <c r="A217" s="27" t="n"/>
      <c r="B217" s="506">
        <f>IFERROR(__xludf.DUMMYFUNCTION("""COMPUTED_VALUE"""),46142.6666666666)</f>
        <v/>
      </c>
      <c r="C217" s="141">
        <f>IFERROR(__xludf.DUMMYFUNCTION("""COMPUTED_VALUE"""),108.89)</f>
        <v/>
      </c>
      <c r="D217" s="141">
        <f>IFERROR(__xludf.DUMMYFUNCTION("""COMPUTED_VALUE"""),109.07)</f>
        <v/>
      </c>
      <c r="E217" s="141">
        <f>IFERROR(__xludf.DUMMYFUNCTION("""COMPUTED_VALUE"""),108.74)</f>
        <v/>
      </c>
      <c r="F217" s="141">
        <f>IFERROR(__xludf.DUMMYFUNCTION("""COMPUTED_VALUE"""),108.85)</f>
        <v/>
      </c>
      <c r="G217" s="143">
        <f>IFERROR(__xludf.DUMMYFUNCTION("""COMPUTED_VALUE"""),45530730)</f>
        <v/>
      </c>
      <c r="H217" s="27" t="n"/>
    </row>
    <row r="218" ht="17.25" customHeight="1" s="322">
      <c r="A218" s="27" t="n"/>
      <c r="B218" s="506">
        <f>IFERROR(__xludf.DUMMYFUNCTION("""COMPUTED_VALUE"""),46143.6666666666)</f>
        <v/>
      </c>
      <c r="C218" s="141">
        <f>IFERROR(__xludf.DUMMYFUNCTION("""COMPUTED_VALUE"""),108.55)</f>
        <v/>
      </c>
      <c r="D218" s="141">
        <f>IFERROR(__xludf.DUMMYFUNCTION("""COMPUTED_VALUE"""),109.01)</f>
        <v/>
      </c>
      <c r="E218" s="141">
        <f>IFERROR(__xludf.DUMMYFUNCTION("""COMPUTED_VALUE"""),108.46)</f>
        <v/>
      </c>
      <c r="F218" s="141">
        <f>IFERROR(__xludf.DUMMYFUNCTION("""COMPUTED_VALUE"""),108.6)</f>
        <v/>
      </c>
      <c r="G218" s="143">
        <f>IFERROR(__xludf.DUMMYFUNCTION("""COMPUTED_VALUE"""),34755466)</f>
        <v/>
      </c>
      <c r="H218" s="27" t="n"/>
    </row>
    <row r="219" ht="17.25" customHeight="1" s="322">
      <c r="A219" s="27" t="n"/>
      <c r="B219" s="506">
        <f>IFERROR(__xludf.DUMMYFUNCTION("""COMPUTED_VALUE"""),46146.6666666666)</f>
        <v/>
      </c>
      <c r="C219" s="141">
        <f>IFERROR(__xludf.DUMMYFUNCTION("""COMPUTED_VALUE"""),108.46)</f>
        <v/>
      </c>
      <c r="D219" s="141">
        <f>IFERROR(__xludf.DUMMYFUNCTION("""COMPUTED_VALUE"""),108.47)</f>
        <v/>
      </c>
      <c r="E219" s="141">
        <f>IFERROR(__xludf.DUMMYFUNCTION("""COMPUTED_VALUE"""),107.92)</f>
        <v/>
      </c>
      <c r="F219" s="141">
        <f>IFERROR(__xludf.DUMMYFUNCTION("""COMPUTED_VALUE"""),108.25)</f>
        <v/>
      </c>
      <c r="G219" s="143">
        <f>IFERROR(__xludf.DUMMYFUNCTION("""COMPUTED_VALUE"""),21983952)</f>
        <v/>
      </c>
      <c r="H219" s="27" t="n"/>
    </row>
    <row r="220" ht="17.25" customHeight="1" s="322">
      <c r="A220" s="27" t="n"/>
      <c r="B220" s="506">
        <f>IFERROR(__xludf.DUMMYFUNCTION("""COMPUTED_VALUE"""),46147.6666666666)</f>
        <v/>
      </c>
      <c r="C220" s="141">
        <f>IFERROR(__xludf.DUMMYFUNCTION("""COMPUTED_VALUE"""),108.47)</f>
        <v/>
      </c>
      <c r="D220" s="141">
        <f>IFERROR(__xludf.DUMMYFUNCTION("""COMPUTED_VALUE"""),108.79)</f>
        <v/>
      </c>
      <c r="E220" s="141">
        <f>IFERROR(__xludf.DUMMYFUNCTION("""COMPUTED_VALUE"""),108.41)</f>
        <v/>
      </c>
      <c r="F220" s="141">
        <f>IFERROR(__xludf.DUMMYFUNCTION("""COMPUTED_VALUE"""),108.65)</f>
        <v/>
      </c>
      <c r="G220" s="143">
        <f>IFERROR(__xludf.DUMMYFUNCTION("""COMPUTED_VALUE"""),33609745)</f>
        <v/>
      </c>
      <c r="H220" s="27" t="n"/>
    </row>
    <row r="221" ht="17.25" customHeight="1" s="322">
      <c r="A221" s="27" t="n"/>
      <c r="B221" s="506">
        <f>IFERROR(__xludf.DUMMYFUNCTION("""COMPUTED_VALUE"""),46148.6666666666)</f>
        <v/>
      </c>
      <c r="C221" s="141">
        <f>IFERROR(__xludf.DUMMYFUNCTION("""COMPUTED_VALUE"""),109.18)</f>
        <v/>
      </c>
      <c r="D221" s="141">
        <f>IFERROR(__xludf.DUMMYFUNCTION("""COMPUTED_VALUE"""),109.32)</f>
        <v/>
      </c>
      <c r="E221" s="141">
        <f>IFERROR(__xludf.DUMMYFUNCTION("""COMPUTED_VALUE"""),109.1)</f>
        <v/>
      </c>
      <c r="F221" s="141">
        <f>IFERROR(__xludf.DUMMYFUNCTION("""COMPUTED_VALUE"""),109.19)</f>
        <v/>
      </c>
      <c r="G221" s="143">
        <f>IFERROR(__xludf.DUMMYFUNCTION("""COMPUTED_VALUE"""),28417441)</f>
        <v/>
      </c>
      <c r="H221" s="27" t="n"/>
    </row>
    <row r="222" ht="17.25" customHeight="1" s="322">
      <c r="A222" s="27" t="n"/>
      <c r="B222" s="506">
        <f>IFERROR(__xludf.DUMMYFUNCTION("""COMPUTED_VALUE"""),46149.6666666666)</f>
        <v/>
      </c>
      <c r="C222" s="141">
        <f>IFERROR(__xludf.DUMMYFUNCTION("""COMPUTED_VALUE"""),109.37)</f>
        <v/>
      </c>
      <c r="D222" s="141">
        <f>IFERROR(__xludf.DUMMYFUNCTION("""COMPUTED_VALUE"""),109.39)</f>
        <v/>
      </c>
      <c r="E222" s="141">
        <f>IFERROR(__xludf.DUMMYFUNCTION("""COMPUTED_VALUE"""),108.68)</f>
        <v/>
      </c>
      <c r="F222" s="141">
        <f>IFERROR(__xludf.DUMMYFUNCTION("""COMPUTED_VALUE"""),108.74)</f>
        <v/>
      </c>
      <c r="G222" s="143">
        <f>IFERROR(__xludf.DUMMYFUNCTION("""COMPUTED_VALUE"""),24184895)</f>
        <v/>
      </c>
      <c r="H222" s="27" t="n"/>
    </row>
    <row r="223" ht="17.25" customHeight="1" s="322">
      <c r="A223" s="27" t="n"/>
      <c r="B223" s="506">
        <f>IFERROR(__xludf.DUMMYFUNCTION("""COMPUTED_VALUE"""),46150.6666666666)</f>
        <v/>
      </c>
      <c r="C223" s="141">
        <f>IFERROR(__xludf.DUMMYFUNCTION("""COMPUTED_VALUE"""),109.15)</f>
        <v/>
      </c>
      <c r="D223" s="141">
        <f>IFERROR(__xludf.DUMMYFUNCTION("""COMPUTED_VALUE"""),109.29)</f>
        <v/>
      </c>
      <c r="E223" s="141">
        <f>IFERROR(__xludf.DUMMYFUNCTION("""COMPUTED_VALUE"""),109.09)</f>
        <v/>
      </c>
      <c r="F223" s="141">
        <f>IFERROR(__xludf.DUMMYFUNCTION("""COMPUTED_VALUE"""),109.2)</f>
        <v/>
      </c>
      <c r="G223" s="143">
        <f>IFERROR(__xludf.DUMMYFUNCTION("""COMPUTED_VALUE"""),17503263)</f>
        <v/>
      </c>
      <c r="H223" s="27" t="n"/>
    </row>
    <row r="224" ht="17.25" customHeight="1" s="322">
      <c r="A224" s="27" t="n"/>
      <c r="B224" s="506">
        <f>IFERROR(__xludf.DUMMYFUNCTION("""COMPUTED_VALUE"""),46153.6666666666)</f>
        <v/>
      </c>
      <c r="C224" s="141">
        <f>IFERROR(__xludf.DUMMYFUNCTION("""COMPUTED_VALUE"""),109.04)</f>
        <v/>
      </c>
      <c r="D224" s="141">
        <f>IFERROR(__xludf.DUMMYFUNCTION("""COMPUTED_VALUE"""),109.18)</f>
        <v/>
      </c>
      <c r="E224" s="141">
        <f>IFERROR(__xludf.DUMMYFUNCTION("""COMPUTED_VALUE"""),108.89)</f>
        <v/>
      </c>
      <c r="F224" s="141">
        <f>IFERROR(__xludf.DUMMYFUNCTION("""COMPUTED_VALUE"""),108.93)</f>
        <v/>
      </c>
      <c r="G224" s="143">
        <f>IFERROR(__xludf.DUMMYFUNCTION("""COMPUTED_VALUE"""),23050594)</f>
        <v/>
      </c>
      <c r="H224" s="27" t="n"/>
    </row>
    <row r="225" ht="17.25" customHeight="1" s="322">
      <c r="A225" s="27" t="n"/>
      <c r="B225" s="506">
        <f>IFERROR(__xludf.DUMMYFUNCTION("""COMPUTED_VALUE"""),46154.6666666666)</f>
        <v/>
      </c>
      <c r="C225" s="141">
        <f>IFERROR(__xludf.DUMMYFUNCTION("""COMPUTED_VALUE"""),108.61)</f>
        <v/>
      </c>
      <c r="D225" s="141">
        <f>IFERROR(__xludf.DUMMYFUNCTION("""COMPUTED_VALUE"""),108.66)</f>
        <v/>
      </c>
      <c r="E225" s="141">
        <f>IFERROR(__xludf.DUMMYFUNCTION("""COMPUTED_VALUE"""),108.45)</f>
        <v/>
      </c>
      <c r="F225" s="141">
        <f>IFERROR(__xludf.DUMMYFUNCTION("""COMPUTED_VALUE"""),108.56)</f>
        <v/>
      </c>
      <c r="G225" s="143">
        <f>IFERROR(__xludf.DUMMYFUNCTION("""COMPUTED_VALUE"""),26579527)</f>
        <v/>
      </c>
      <c r="H225" s="27" t="n"/>
    </row>
    <row r="226" ht="17.25" customHeight="1" s="322">
      <c r="A226" s="27" t="n"/>
      <c r="B226" s="506">
        <f>IFERROR(__xludf.DUMMYFUNCTION("""COMPUTED_VALUE"""),46155.6666666666)</f>
        <v/>
      </c>
      <c r="C226" s="141">
        <f>IFERROR(__xludf.DUMMYFUNCTION("""COMPUTED_VALUE"""),108.53)</f>
        <v/>
      </c>
      <c r="D226" s="141">
        <f>IFERROR(__xludf.DUMMYFUNCTION("""COMPUTED_VALUE"""),108.63)</f>
        <v/>
      </c>
      <c r="E226" s="141">
        <f>IFERROR(__xludf.DUMMYFUNCTION("""COMPUTED_VALUE"""),108.3)</f>
        <v/>
      </c>
      <c r="F226" s="141">
        <f>IFERROR(__xludf.DUMMYFUNCTION("""COMPUTED_VALUE"""),108.62)</f>
        <v/>
      </c>
      <c r="G226" s="143">
        <f>IFERROR(__xludf.DUMMYFUNCTION("""COMPUTED_VALUE"""),19083030)</f>
        <v/>
      </c>
      <c r="H226" s="27" t="n"/>
    </row>
    <row r="227" ht="17.25" customHeight="1" s="322">
      <c r="A227" s="27" t="n"/>
      <c r="B227" s="506">
        <f>IFERROR(__xludf.DUMMYFUNCTION("""COMPUTED_VALUE"""),46156.6666666666)</f>
        <v/>
      </c>
      <c r="C227" s="141">
        <f>IFERROR(__xludf.DUMMYFUNCTION("""COMPUTED_VALUE"""),108.89)</f>
        <v/>
      </c>
      <c r="D227" s="141">
        <f>IFERROR(__xludf.DUMMYFUNCTION("""COMPUTED_VALUE"""),108.94)</f>
        <v/>
      </c>
      <c r="E227" s="141">
        <f>IFERROR(__xludf.DUMMYFUNCTION("""COMPUTED_VALUE"""),108.53)</f>
        <v/>
      </c>
      <c r="F227" s="141">
        <f>IFERROR(__xludf.DUMMYFUNCTION("""COMPUTED_VALUE"""),108.55)</f>
        <v/>
      </c>
      <c r="G227" s="143">
        <f>IFERROR(__xludf.DUMMYFUNCTION("""COMPUTED_VALUE"""),18038028)</f>
        <v/>
      </c>
      <c r="H227" s="27" t="n"/>
    </row>
    <row r="228" ht="17.25" customHeight="1" s="322">
      <c r="A228" s="27" t="n"/>
      <c r="B228" s="506">
        <f>IFERROR(__xludf.DUMMYFUNCTION("""COMPUTED_VALUE"""),46157.6666666666)</f>
        <v/>
      </c>
      <c r="C228" s="141">
        <f>IFERROR(__xludf.DUMMYFUNCTION("""COMPUTED_VALUE"""),107.87)</f>
        <v/>
      </c>
      <c r="D228" s="141">
        <f>IFERROR(__xludf.DUMMYFUNCTION("""COMPUTED_VALUE"""),107.95)</f>
        <v/>
      </c>
      <c r="E228" s="141">
        <f>IFERROR(__xludf.DUMMYFUNCTION("""COMPUTED_VALUE"""),107.69)</f>
        <v/>
      </c>
      <c r="F228" s="141">
        <f>IFERROR(__xludf.DUMMYFUNCTION("""COMPUTED_VALUE"""),107.86)</f>
        <v/>
      </c>
      <c r="G228" s="143">
        <f>IFERROR(__xludf.DUMMYFUNCTION("""COMPUTED_VALUE"""),49717962)</f>
        <v/>
      </c>
      <c r="H228" s="27" t="n"/>
    </row>
    <row r="229" ht="17.25" customHeight="1" s="322">
      <c r="A229" s="27" t="n"/>
      <c r="B229" s="506">
        <f>IFERROR(__xludf.DUMMYFUNCTION("""COMPUTED_VALUE"""),46160.6666666666)</f>
        <v/>
      </c>
      <c r="C229" s="141">
        <f>IFERROR(__xludf.DUMMYFUNCTION("""COMPUTED_VALUE"""),107.96)</f>
        <v/>
      </c>
      <c r="D229" s="141">
        <f>IFERROR(__xludf.DUMMYFUNCTION("""COMPUTED_VALUE"""),108.11)</f>
        <v/>
      </c>
      <c r="E229" s="141">
        <f>IFERROR(__xludf.DUMMYFUNCTION("""COMPUTED_VALUE"""),107.5)</f>
        <v/>
      </c>
      <c r="F229" s="141">
        <f>IFERROR(__xludf.DUMMYFUNCTION("""COMPUTED_VALUE"""),107.66)</f>
        <v/>
      </c>
      <c r="G229" s="143">
        <f>IFERROR(__xludf.DUMMYFUNCTION("""COMPUTED_VALUE"""),31145208)</f>
        <v/>
      </c>
      <c r="H229" s="27" t="n"/>
    </row>
    <row r="230" ht="17.25" customHeight="1" s="322">
      <c r="A230" s="27" t="n"/>
      <c r="B230" s="506">
        <f>IFERROR(__xludf.DUMMYFUNCTION("""COMPUTED_VALUE"""),46161.6666666666)</f>
        <v/>
      </c>
      <c r="C230" s="141">
        <f>IFERROR(__xludf.DUMMYFUNCTION("""COMPUTED_VALUE"""),107.22)</f>
        <v/>
      </c>
      <c r="D230" s="141">
        <f>IFERROR(__xludf.DUMMYFUNCTION("""COMPUTED_VALUE"""),107.4)</f>
        <v/>
      </c>
      <c r="E230" s="141">
        <f>IFERROR(__xludf.DUMMYFUNCTION("""COMPUTED_VALUE"""),106.93)</f>
        <v/>
      </c>
      <c r="F230" s="141">
        <f>IFERROR(__xludf.DUMMYFUNCTION("""COMPUTED_VALUE"""),107.12)</f>
        <v/>
      </c>
      <c r="G230" s="143">
        <f>IFERROR(__xludf.DUMMYFUNCTION("""COMPUTED_VALUE"""),36965511)</f>
        <v/>
      </c>
      <c r="H230" s="27" t="n"/>
    </row>
    <row r="231" ht="17.25" customHeight="1" s="322">
      <c r="A231" s="27" t="n"/>
      <c r="B231" s="506">
        <f>IFERROR(__xludf.DUMMYFUNCTION("""COMPUTED_VALUE"""),46162.6666666666)</f>
        <v/>
      </c>
      <c r="C231" s="141">
        <f>IFERROR(__xludf.DUMMYFUNCTION("""COMPUTED_VALUE"""),107.17)</f>
        <v/>
      </c>
      <c r="D231" s="141">
        <f>IFERROR(__xludf.DUMMYFUNCTION("""COMPUTED_VALUE"""),108.08)</f>
        <v/>
      </c>
      <c r="E231" s="141">
        <f>IFERROR(__xludf.DUMMYFUNCTION("""COMPUTED_VALUE"""),107.17)</f>
        <v/>
      </c>
      <c r="F231" s="141">
        <f>IFERROR(__xludf.DUMMYFUNCTION("""COMPUTED_VALUE"""),107.95)</f>
        <v/>
      </c>
      <c r="G231" s="143">
        <f>IFERROR(__xludf.DUMMYFUNCTION("""COMPUTED_VALUE"""),34281713)</f>
        <v/>
      </c>
      <c r="H231" s="27" t="n"/>
    </row>
    <row r="232" ht="17.25" customHeight="1" s="322">
      <c r="A232" s="27" t="n"/>
      <c r="B232" s="506">
        <f>IFERROR(__xludf.DUMMYFUNCTION("""COMPUTED_VALUE"""),46163.6666666666)</f>
        <v/>
      </c>
      <c r="C232" s="141">
        <f>IFERROR(__xludf.DUMMYFUNCTION("""COMPUTED_VALUE"""),107.65)</f>
        <v/>
      </c>
      <c r="D232" s="141">
        <f>IFERROR(__xludf.DUMMYFUNCTION("""COMPUTED_VALUE"""),108.18)</f>
        <v/>
      </c>
      <c r="E232" s="141">
        <f>IFERROR(__xludf.DUMMYFUNCTION("""COMPUTED_VALUE"""),107.46)</f>
        <v/>
      </c>
      <c r="F232" s="141">
        <f>IFERROR(__xludf.DUMMYFUNCTION("""COMPUTED_VALUE"""),108.17)</f>
        <v/>
      </c>
      <c r="G232" s="143">
        <f>IFERROR(__xludf.DUMMYFUNCTION("""COMPUTED_VALUE"""),25440409)</f>
        <v/>
      </c>
      <c r="H232" s="27" t="n"/>
    </row>
    <row r="233" ht="17.25" customHeight="1" s="322">
      <c r="A233" s="27" t="n"/>
      <c r="B233" s="506">
        <f>IFERROR(__xludf.DUMMYFUNCTION("""COMPUTED_VALUE"""),46164.6666666666)</f>
        <v/>
      </c>
      <c r="C233" s="141">
        <f>IFERROR(__xludf.DUMMYFUNCTION("""COMPUTED_VALUE"""),108.53)</f>
        <v/>
      </c>
      <c r="D233" s="141">
        <f>IFERROR(__xludf.DUMMYFUNCTION("""COMPUTED_VALUE"""),108.53)</f>
        <v/>
      </c>
      <c r="E233" s="141">
        <f>IFERROR(__xludf.DUMMYFUNCTION("""COMPUTED_VALUE"""),108.1)</f>
        <v/>
      </c>
      <c r="F233" s="141">
        <f>IFERROR(__xludf.DUMMYFUNCTION("""COMPUTED_VALUE"""),108.37)</f>
        <v/>
      </c>
      <c r="G233" s="143">
        <f>IFERROR(__xludf.DUMMYFUNCTION("""COMPUTED_VALUE"""),19668825)</f>
        <v/>
      </c>
      <c r="H233" s="27" t="n"/>
    </row>
    <row r="234" ht="17.25" customHeight="1" s="322">
      <c r="A234" s="27" t="n"/>
      <c r="B234" s="506">
        <f>IFERROR(__xludf.DUMMYFUNCTION("""COMPUTED_VALUE"""),46168.6666666666)</f>
        <v/>
      </c>
      <c r="C234" s="141">
        <f>IFERROR(__xludf.DUMMYFUNCTION("""COMPUTED_VALUE"""),108.97)</f>
        <v/>
      </c>
      <c r="D234" s="141">
        <f>IFERROR(__xludf.DUMMYFUNCTION("""COMPUTED_VALUE"""),109)</f>
        <v/>
      </c>
      <c r="E234" s="141">
        <f>IFERROR(__xludf.DUMMYFUNCTION("""COMPUTED_VALUE"""),108.68)</f>
        <v/>
      </c>
      <c r="F234" s="141">
        <f>IFERROR(__xludf.DUMMYFUNCTION("""COMPUTED_VALUE"""),108.78)</f>
        <v/>
      </c>
      <c r="G234" s="143">
        <f>IFERROR(__xludf.DUMMYFUNCTION("""COMPUTED_VALUE"""),23730508)</f>
        <v/>
      </c>
      <c r="H234" s="27" t="n"/>
    </row>
    <row r="235" ht="17.25" customHeight="1" s="322">
      <c r="A235" s="27" t="n"/>
      <c r="B235" s="506">
        <f>IFERROR(__xludf.DUMMYFUNCTION("""COMPUTED_VALUE"""),46169.6666666666)</f>
        <v/>
      </c>
      <c r="C235" s="141">
        <f>IFERROR(__xludf.DUMMYFUNCTION("""COMPUTED_VALUE"""),108.91)</f>
        <v/>
      </c>
      <c r="D235" s="141">
        <f>IFERROR(__xludf.DUMMYFUNCTION("""COMPUTED_VALUE"""),109.07)</f>
        <v/>
      </c>
      <c r="E235" s="141">
        <f>IFERROR(__xludf.DUMMYFUNCTION("""COMPUTED_VALUE"""),108.82)</f>
        <v/>
      </c>
      <c r="F235" s="141">
        <f>IFERROR(__xludf.DUMMYFUNCTION("""COMPUTED_VALUE"""),108.93)</f>
        <v/>
      </c>
      <c r="G235" s="143">
        <f>IFERROR(__xludf.DUMMYFUNCTION("""COMPUTED_VALUE"""),16208823)</f>
        <v/>
      </c>
      <c r="H235" s="27" t="n"/>
    </row>
    <row r="236" ht="17.25" customHeight="1" s="322">
      <c r="A236" s="27" t="n"/>
      <c r="B236" s="506">
        <f>IFERROR(__xludf.DUMMYFUNCTION("""COMPUTED_VALUE"""),46170.6666666666)</f>
        <v/>
      </c>
      <c r="C236" s="141">
        <f>IFERROR(__xludf.DUMMYFUNCTION("""COMPUTED_VALUE"""),108.99)</f>
        <v/>
      </c>
      <c r="D236" s="141">
        <f>IFERROR(__xludf.DUMMYFUNCTION("""COMPUTED_VALUE"""),109.41)</f>
        <v/>
      </c>
      <c r="E236" s="141">
        <f>IFERROR(__xludf.DUMMYFUNCTION("""COMPUTED_VALUE"""),108.87)</f>
        <v/>
      </c>
      <c r="F236" s="141">
        <f>IFERROR(__xludf.DUMMYFUNCTION("""COMPUTED_VALUE"""),109.26)</f>
        <v/>
      </c>
      <c r="G236" s="143">
        <f>IFERROR(__xludf.DUMMYFUNCTION("""COMPUTED_VALUE"""),24176803)</f>
        <v/>
      </c>
      <c r="H236" s="27" t="n"/>
    </row>
    <row r="237" ht="17.25" customHeight="1" s="322">
      <c r="A237" s="27" t="n"/>
      <c r="B237" s="506">
        <f>IFERROR(__xludf.DUMMYFUNCTION("""COMPUTED_VALUE"""),46171.6666666666)</f>
        <v/>
      </c>
      <c r="C237" s="141">
        <f>IFERROR(__xludf.DUMMYFUNCTION("""COMPUTED_VALUE"""),109.39)</f>
        <v/>
      </c>
      <c r="D237" s="141">
        <f>IFERROR(__xludf.DUMMYFUNCTION("""COMPUTED_VALUE"""),109.6)</f>
        <v/>
      </c>
      <c r="E237" s="141">
        <f>IFERROR(__xludf.DUMMYFUNCTION("""COMPUTED_VALUE"""),109.29)</f>
        <v/>
      </c>
      <c r="F237" s="141">
        <f>IFERROR(__xludf.DUMMYFUNCTION("""COMPUTED_VALUE"""),109.36)</f>
        <v/>
      </c>
      <c r="G237" s="143">
        <f>IFERROR(__xludf.DUMMYFUNCTION("""COMPUTED_VALUE"""),26551319)</f>
        <v/>
      </c>
      <c r="H237" s="27" t="n"/>
    </row>
    <row r="238" ht="17.25" customHeight="1" s="322">
      <c r="A238" s="27" t="n"/>
      <c r="B238" s="506">
        <f>IFERROR(__xludf.DUMMYFUNCTION("""COMPUTED_VALUE"""),46174.6666666666)</f>
        <v/>
      </c>
      <c r="C238" s="141">
        <f>IFERROR(__xludf.DUMMYFUNCTION("""COMPUTED_VALUE"""),108.56)</f>
        <v/>
      </c>
      <c r="D238" s="141">
        <f>IFERROR(__xludf.DUMMYFUNCTION("""COMPUTED_VALUE"""),108.96)</f>
        <v/>
      </c>
      <c r="E238" s="141">
        <f>IFERROR(__xludf.DUMMYFUNCTION("""COMPUTED_VALUE"""),108.43)</f>
        <v/>
      </c>
      <c r="F238" s="141">
        <f>IFERROR(__xludf.DUMMYFUNCTION("""COMPUTED_VALUE"""),108.93)</f>
        <v/>
      </c>
      <c r="G238" s="143">
        <f>IFERROR(__xludf.DUMMYFUNCTION("""COMPUTED_VALUE"""),19298047)</f>
        <v/>
      </c>
      <c r="H238" s="27" t="n"/>
    </row>
    <row r="239" ht="17.25" customHeight="1" s="322">
      <c r="A239" s="27" t="n"/>
      <c r="B239" s="506">
        <f>IFERROR(__xludf.DUMMYFUNCTION("""COMPUTED_VALUE"""),46175.6666666666)</f>
        <v/>
      </c>
      <c r="C239" s="141">
        <f>IFERROR(__xludf.DUMMYFUNCTION("""COMPUTED_VALUE"""),109.06)</f>
        <v/>
      </c>
      <c r="D239" s="141">
        <f>IFERROR(__xludf.DUMMYFUNCTION("""COMPUTED_VALUE"""),109.14)</f>
        <v/>
      </c>
      <c r="E239" s="141">
        <f>IFERROR(__xludf.DUMMYFUNCTION("""COMPUTED_VALUE"""),108.89)</f>
        <v/>
      </c>
      <c r="F239" s="141">
        <f>IFERROR(__xludf.DUMMYFUNCTION("""COMPUTED_VALUE"""),108.92)</f>
        <v/>
      </c>
      <c r="G239" s="143">
        <f>IFERROR(__xludf.DUMMYFUNCTION("""COMPUTED_VALUE"""),14395085)</f>
        <v/>
      </c>
      <c r="H239" s="27" t="n"/>
    </row>
    <row r="240" ht="17.25" customHeight="1" s="322">
      <c r="A240" s="27" t="n"/>
      <c r="B240" s="506">
        <f>IFERROR(__xludf.DUMMYFUNCTION("""COMPUTED_VALUE"""),46176.6666666666)</f>
        <v/>
      </c>
      <c r="C240" s="141">
        <f>IFERROR(__xludf.DUMMYFUNCTION("""COMPUTED_VALUE"""),108.59)</f>
        <v/>
      </c>
      <c r="D240" s="141">
        <f>IFERROR(__xludf.DUMMYFUNCTION("""COMPUTED_VALUE"""),108.7)</f>
        <v/>
      </c>
      <c r="E240" s="141">
        <f>IFERROR(__xludf.DUMMYFUNCTION("""COMPUTED_VALUE"""),108.47)</f>
        <v/>
      </c>
      <c r="F240" s="141">
        <f>IFERROR(__xludf.DUMMYFUNCTION("""COMPUTED_VALUE"""),108.62)</f>
        <v/>
      </c>
      <c r="G240" s="143">
        <f>IFERROR(__xludf.DUMMYFUNCTION("""COMPUTED_VALUE"""),24018745)</f>
        <v/>
      </c>
      <c r="H240" s="27" t="n"/>
    </row>
    <row r="241" ht="17.25" customHeight="1" s="322">
      <c r="A241" s="27" t="n"/>
      <c r="B241" s="506">
        <f>IFERROR(__xludf.DUMMYFUNCTION("""COMPUTED_VALUE"""),46177.6666666666)</f>
        <v/>
      </c>
      <c r="C241" s="141">
        <f>IFERROR(__xludf.DUMMYFUNCTION("""COMPUTED_VALUE"""),108.88)</f>
        <v/>
      </c>
      <c r="D241" s="141">
        <f>IFERROR(__xludf.DUMMYFUNCTION("""COMPUTED_VALUE"""),108.97)</f>
        <v/>
      </c>
      <c r="E241" s="141">
        <f>IFERROR(__xludf.DUMMYFUNCTION("""COMPUTED_VALUE"""),108.8)</f>
        <v/>
      </c>
      <c r="F241" s="141">
        <f>IFERROR(__xludf.DUMMYFUNCTION("""COMPUTED_VALUE"""),108.85)</f>
        <v/>
      </c>
      <c r="G241" s="143">
        <f>IFERROR(__xludf.DUMMYFUNCTION("""COMPUTED_VALUE"""),17881672)</f>
        <v/>
      </c>
      <c r="H241" s="27" t="n"/>
    </row>
    <row r="242" ht="17.25" customHeight="1" s="322">
      <c r="A242" s="27" t="n"/>
      <c r="B242" s="506">
        <f>IFERROR(__xludf.DUMMYFUNCTION("""COMPUTED_VALUE"""),46178.6666666666)</f>
        <v/>
      </c>
      <c r="C242" s="141">
        <f>IFERROR(__xludf.DUMMYFUNCTION("""COMPUTED_VALUE"""),108.41)</f>
        <v/>
      </c>
      <c r="D242" s="141">
        <f>IFERROR(__xludf.DUMMYFUNCTION("""COMPUTED_VALUE"""),108.47)</f>
        <v/>
      </c>
      <c r="E242" s="141">
        <f>IFERROR(__xludf.DUMMYFUNCTION("""COMPUTED_VALUE"""),108.14)</f>
        <v/>
      </c>
      <c r="F242" s="141">
        <f>IFERROR(__xludf.DUMMYFUNCTION("""COMPUTED_VALUE"""),108.17)</f>
        <v/>
      </c>
      <c r="G242" s="143">
        <f>IFERROR(__xludf.DUMMYFUNCTION("""COMPUTED_VALUE"""),30790276)</f>
        <v/>
      </c>
      <c r="H242" s="27" t="n"/>
    </row>
    <row r="243" ht="17.25" customHeight="1" s="322">
      <c r="A243" s="27" t="n"/>
      <c r="B243" s="506">
        <f>IFERROR(__xludf.DUMMYFUNCTION("""COMPUTED_VALUE"""),46181.6666666666)</f>
        <v/>
      </c>
      <c r="C243" s="141">
        <f>IFERROR(__xludf.DUMMYFUNCTION("""COMPUTED_VALUE"""),108.43)</f>
        <v/>
      </c>
      <c r="D243" s="141">
        <f>IFERROR(__xludf.DUMMYFUNCTION("""COMPUTED_VALUE"""),108.49)</f>
        <v/>
      </c>
      <c r="E243" s="141">
        <f>IFERROR(__xludf.DUMMYFUNCTION("""COMPUTED_VALUE"""),108.03)</f>
        <v/>
      </c>
      <c r="F243" s="141">
        <f>IFERROR(__xludf.DUMMYFUNCTION("""COMPUTED_VALUE"""),108.06)</f>
        <v/>
      </c>
      <c r="G243" s="143">
        <f>IFERROR(__xludf.DUMMYFUNCTION("""COMPUTED_VALUE"""),21944138)</f>
        <v/>
      </c>
      <c r="H243" s="27" t="n"/>
    </row>
    <row r="244" ht="17.25" customHeight="1" s="322">
      <c r="A244" s="27" t="n"/>
      <c r="B244" s="506">
        <f>IFERROR(__xludf.DUMMYFUNCTION("""COMPUTED_VALUE"""),46182.6666666666)</f>
        <v/>
      </c>
      <c r="C244" s="141">
        <f>IFERROR(__xludf.DUMMYFUNCTION("""COMPUTED_VALUE"""),108.32)</f>
        <v/>
      </c>
      <c r="D244" s="141">
        <f>IFERROR(__xludf.DUMMYFUNCTION("""COMPUTED_VALUE"""),108.45)</f>
        <v/>
      </c>
      <c r="E244" s="141">
        <f>IFERROR(__xludf.DUMMYFUNCTION("""COMPUTED_VALUE"""),108.05)</f>
        <v/>
      </c>
      <c r="F244" s="141">
        <f>IFERROR(__xludf.DUMMYFUNCTION("""COMPUTED_VALUE"""),108.41)</f>
        <v/>
      </c>
      <c r="G244" s="143">
        <f>IFERROR(__xludf.DUMMYFUNCTION("""COMPUTED_VALUE"""),37925357)</f>
        <v/>
      </c>
      <c r="H244" s="27" t="n"/>
    </row>
    <row r="245" ht="17.25" customHeight="1" s="322">
      <c r="A245" s="27" t="n"/>
      <c r="B245" s="506">
        <f>IFERROR(__xludf.DUMMYFUNCTION("""COMPUTED_VALUE"""),46183.6666666666)</f>
        <v/>
      </c>
      <c r="C245" s="141">
        <f>IFERROR(__xludf.DUMMYFUNCTION("""COMPUTED_VALUE"""),108.35)</f>
        <v/>
      </c>
      <c r="D245" s="141">
        <f>IFERROR(__xludf.DUMMYFUNCTION("""COMPUTED_VALUE"""),108.51)</f>
        <v/>
      </c>
      <c r="E245" s="141">
        <f>IFERROR(__xludf.DUMMYFUNCTION("""COMPUTED_VALUE"""),108.08)</f>
        <v/>
      </c>
      <c r="F245" s="141">
        <f>IFERROR(__xludf.DUMMYFUNCTION("""COMPUTED_VALUE"""),108.16)</f>
        <v/>
      </c>
      <c r="G245" s="143">
        <f>IFERROR(__xludf.DUMMYFUNCTION("""COMPUTED_VALUE"""),20870196)</f>
        <v/>
      </c>
      <c r="H245" s="27" t="n"/>
    </row>
    <row r="246" ht="17.25" customHeight="1" s="322">
      <c r="A246" s="27" t="n"/>
      <c r="B246" s="506">
        <f>IFERROR(__xludf.DUMMYFUNCTION("""COMPUTED_VALUE"""),46184.6666666666)</f>
        <v/>
      </c>
      <c r="C246" s="141">
        <f>IFERROR(__xludf.DUMMYFUNCTION("""COMPUTED_VALUE"""),108.43)</f>
        <v/>
      </c>
      <c r="D246" s="141">
        <f>IFERROR(__xludf.DUMMYFUNCTION("""COMPUTED_VALUE"""),109.15)</f>
        <v/>
      </c>
      <c r="E246" s="141">
        <f>IFERROR(__xludf.DUMMYFUNCTION("""COMPUTED_VALUE"""),108.25)</f>
        <v/>
      </c>
      <c r="F246" s="141">
        <f>IFERROR(__xludf.DUMMYFUNCTION("""COMPUTED_VALUE"""),109.08)</f>
        <v/>
      </c>
      <c r="G246" s="143">
        <f>IFERROR(__xludf.DUMMYFUNCTION("""COMPUTED_VALUE"""),34849499)</f>
        <v/>
      </c>
      <c r="H246" s="27" t="n"/>
    </row>
    <row r="247" ht="17.25" customHeight="1" s="322">
      <c r="A247" s="27" t="n"/>
      <c r="B247" s="506">
        <f>IFERROR(__xludf.DUMMYFUNCTION("""COMPUTED_VALUE"""),46185.6666666666)</f>
        <v/>
      </c>
      <c r="C247" s="141">
        <f>IFERROR(__xludf.DUMMYFUNCTION("""COMPUTED_VALUE"""),108.88)</f>
        <v/>
      </c>
      <c r="D247" s="141">
        <f>IFERROR(__xludf.DUMMYFUNCTION("""COMPUTED_VALUE"""),109.07)</f>
        <v/>
      </c>
      <c r="E247" s="141">
        <f>IFERROR(__xludf.DUMMYFUNCTION("""COMPUTED_VALUE"""),108.64)</f>
        <v/>
      </c>
      <c r="F247" s="141">
        <f>IFERROR(__xludf.DUMMYFUNCTION("""COMPUTED_VALUE"""),109.01)</f>
        <v/>
      </c>
      <c r="G247" s="143">
        <f>IFERROR(__xludf.DUMMYFUNCTION("""COMPUTED_VALUE"""),23422979)</f>
        <v/>
      </c>
      <c r="H247" s="27" t="n"/>
    </row>
    <row r="248" ht="17.25" customHeight="1" s="322">
      <c r="A248" s="27" t="n"/>
      <c r="B248" s="506">
        <f>IFERROR(__xludf.DUMMYFUNCTION("""COMPUTED_VALUE"""),46188.6666666666)</f>
        <v/>
      </c>
      <c r="C248" s="141">
        <f>IFERROR(__xludf.DUMMYFUNCTION("""COMPUTED_VALUE"""),109.28)</f>
        <v/>
      </c>
      <c r="D248" s="141">
        <f>IFERROR(__xludf.DUMMYFUNCTION("""COMPUTED_VALUE"""),109.34)</f>
        <v/>
      </c>
      <c r="E248" s="141">
        <f>IFERROR(__xludf.DUMMYFUNCTION("""COMPUTED_VALUE"""),108.98)</f>
        <v/>
      </c>
      <c r="F248" s="141">
        <f>IFERROR(__xludf.DUMMYFUNCTION("""COMPUTED_VALUE"""),108.99)</f>
        <v/>
      </c>
      <c r="G248" s="143">
        <f>IFERROR(__xludf.DUMMYFUNCTION("""COMPUTED_VALUE"""),27040544)</f>
        <v/>
      </c>
      <c r="H248" s="27" t="n"/>
    </row>
    <row r="249" ht="17.25" customHeight="1" s="322">
      <c r="A249" s="27" t="n"/>
      <c r="B249" s="506">
        <f>IFERROR(__xludf.DUMMYFUNCTION("""COMPUTED_VALUE"""),46189.6666666666)</f>
        <v/>
      </c>
      <c r="C249" s="141">
        <f>IFERROR(__xludf.DUMMYFUNCTION("""COMPUTED_VALUE"""),109.11)</f>
        <v/>
      </c>
      <c r="D249" s="141">
        <f>IFERROR(__xludf.DUMMYFUNCTION("""COMPUTED_VALUE"""),109.33)</f>
        <v/>
      </c>
      <c r="E249" s="141">
        <f>IFERROR(__xludf.DUMMYFUNCTION("""COMPUTED_VALUE"""),109.05)</f>
        <v/>
      </c>
      <c r="F249" s="141">
        <f>IFERROR(__xludf.DUMMYFUNCTION("""COMPUTED_VALUE"""),109.12)</f>
        <v/>
      </c>
      <c r="G249" s="143">
        <f>IFERROR(__xludf.DUMMYFUNCTION("""COMPUTED_VALUE"""),24297087)</f>
        <v/>
      </c>
      <c r="H249" s="27" t="n"/>
    </row>
    <row r="250" ht="17.25" customHeight="1" s="322">
      <c r="A250" s="27" t="n"/>
      <c r="B250" s="506">
        <f>IFERROR(__xludf.DUMMYFUNCTION("""COMPUTED_VALUE"""),46190.6666666666)</f>
        <v/>
      </c>
      <c r="C250" s="141">
        <f>IFERROR(__xludf.DUMMYFUNCTION("""COMPUTED_VALUE"""),109.08)</f>
        <v/>
      </c>
      <c r="D250" s="141">
        <f>IFERROR(__xludf.DUMMYFUNCTION("""COMPUTED_VALUE"""),109.31)</f>
        <v/>
      </c>
      <c r="E250" s="141">
        <f>IFERROR(__xludf.DUMMYFUNCTION("""COMPUTED_VALUE"""),108.71)</f>
        <v/>
      </c>
      <c r="F250" s="141">
        <f>IFERROR(__xludf.DUMMYFUNCTION("""COMPUTED_VALUE"""),108.77)</f>
        <v/>
      </c>
      <c r="G250" s="143">
        <f>IFERROR(__xludf.DUMMYFUNCTION("""COMPUTED_VALUE"""),31079637)</f>
        <v/>
      </c>
      <c r="H250" s="27" t="n"/>
    </row>
    <row r="251" ht="17.25" customHeight="1" s="322">
      <c r="A251" s="27" t="n"/>
      <c r="B251" s="506">
        <f>IFERROR(__xludf.DUMMYFUNCTION("""COMPUTED_VALUE"""),46191.6666666666)</f>
        <v/>
      </c>
      <c r="C251" s="141">
        <f>IFERROR(__xludf.DUMMYFUNCTION("""COMPUTED_VALUE"""),109.44)</f>
        <v/>
      </c>
      <c r="D251" s="141">
        <f>IFERROR(__xludf.DUMMYFUNCTION("""COMPUTED_VALUE"""),109.46)</f>
        <v/>
      </c>
      <c r="E251" s="141">
        <f>IFERROR(__xludf.DUMMYFUNCTION("""COMPUTED_VALUE"""),109.03)</f>
        <v/>
      </c>
      <c r="F251" s="141">
        <f>IFERROR(__xludf.DUMMYFUNCTION("""COMPUTED_VALUE"""),109.07)</f>
        <v/>
      </c>
      <c r="G251" s="143">
        <f>IFERROR(__xludf.DUMMYFUNCTION("""COMPUTED_VALUE"""),41725765)</f>
        <v/>
      </c>
      <c r="H251" s="27" t="n"/>
    </row>
    <row r="252" ht="17.25" customHeight="1" s="322">
      <c r="A252" s="27" t="n"/>
      <c r="B252" s="506">
        <f>IFERROR(__xludf.DUMMYFUNCTION("""COMPUTED_VALUE"""),46195.6666666666)</f>
        <v/>
      </c>
      <c r="C252" s="141">
        <f>IFERROR(__xludf.DUMMYFUNCTION("""COMPUTED_VALUE"""),108.73)</f>
        <v/>
      </c>
      <c r="D252" s="141">
        <f>IFERROR(__xludf.DUMMYFUNCTION("""COMPUTED_VALUE"""),108.81)</f>
        <v/>
      </c>
      <c r="E252" s="141">
        <f>IFERROR(__xludf.DUMMYFUNCTION("""COMPUTED_VALUE"""),108.59)</f>
        <v/>
      </c>
      <c r="F252" s="141">
        <f>IFERROR(__xludf.DUMMYFUNCTION("""COMPUTED_VALUE"""),108.78)</f>
        <v/>
      </c>
      <c r="G252" s="143">
        <f>IFERROR(__xludf.DUMMYFUNCTION("""COMPUTED_VALUE"""),22557335)</f>
        <v/>
      </c>
      <c r="H252" s="27" t="n"/>
    </row>
    <row r="253" ht="17.25" customHeight="1" s="322">
      <c r="A253" s="27" t="n"/>
      <c r="B253" s="506">
        <f>IFERROR(__xludf.DUMMYFUNCTION("""COMPUTED_VALUE"""),46196.6666666666)</f>
        <v/>
      </c>
      <c r="C253" s="141">
        <f>IFERROR(__xludf.DUMMYFUNCTION("""COMPUTED_VALUE"""),108.78)</f>
        <v/>
      </c>
      <c r="D253" s="141">
        <f>IFERROR(__xludf.DUMMYFUNCTION("""COMPUTED_VALUE"""),109.12)</f>
        <v/>
      </c>
      <c r="E253" s="141">
        <f>IFERROR(__xludf.DUMMYFUNCTION("""COMPUTED_VALUE"""),108.72)</f>
        <v/>
      </c>
      <c r="F253" s="141">
        <f>IFERROR(__xludf.DUMMYFUNCTION("""COMPUTED_VALUE"""),108.91)</f>
        <v/>
      </c>
      <c r="G253" s="143">
        <f>IFERROR(__xludf.DUMMYFUNCTION("""COMPUTED_VALUE"""),27509266)</f>
        <v/>
      </c>
      <c r="H253" s="27" t="n"/>
    </row>
    <row r="254" ht="17.25" customHeight="1" s="322">
      <c r="A254" s="27" t="n"/>
      <c r="B254" s="506">
        <f>IFERROR(__xludf.DUMMYFUNCTION("""COMPUTED_VALUE"""),46197.6666666666)</f>
        <v/>
      </c>
      <c r="C254" s="141">
        <f>IFERROR(__xludf.DUMMYFUNCTION("""COMPUTED_VALUE"""),109.39)</f>
        <v/>
      </c>
      <c r="D254" s="141">
        <f>IFERROR(__xludf.DUMMYFUNCTION("""COMPUTED_VALUE"""),109.61)</f>
        <v/>
      </c>
      <c r="E254" s="141">
        <f>IFERROR(__xludf.DUMMYFUNCTION("""COMPUTED_VALUE"""),109.31)</f>
        <v/>
      </c>
      <c r="F254" s="141">
        <f>IFERROR(__xludf.DUMMYFUNCTION("""COMPUTED_VALUE"""),109.41)</f>
        <v/>
      </c>
      <c r="G254" s="143">
        <f>IFERROR(__xludf.DUMMYFUNCTION("""COMPUTED_VALUE"""),31462614)</f>
        <v/>
      </c>
      <c r="H254" s="27" t="n"/>
    </row>
    <row r="255" ht="17.25" customHeight="1" s="322">
      <c r="A255" s="27" t="n"/>
      <c r="B255" s="506">
        <f>IFERROR(__xludf.DUMMYFUNCTION("""COMPUTED_VALUE"""),46198.6666666666)</f>
        <v/>
      </c>
      <c r="C255" s="141">
        <f>IFERROR(__xludf.DUMMYFUNCTION("""COMPUTED_VALUE"""),109.58)</f>
        <v/>
      </c>
      <c r="D255" s="141">
        <f>IFERROR(__xludf.DUMMYFUNCTION("""COMPUTED_VALUE"""),109.71)</f>
        <v/>
      </c>
      <c r="E255" s="141">
        <f>IFERROR(__xludf.DUMMYFUNCTION("""COMPUTED_VALUE"""),109.42)</f>
        <v/>
      </c>
      <c r="F255" s="141">
        <f>IFERROR(__xludf.DUMMYFUNCTION("""COMPUTED_VALUE"""),109.5)</f>
        <v/>
      </c>
      <c r="G255" s="143">
        <f>IFERROR(__xludf.DUMMYFUNCTION("""COMPUTED_VALUE"""),33772519)</f>
        <v/>
      </c>
      <c r="H255" s="27" t="n"/>
    </row>
    <row r="256" ht="17.25" customHeight="1" s="322">
      <c r="A256" s="27" t="n"/>
      <c r="B256" s="506">
        <f>IFERROR(__xludf.DUMMYFUNCTION("""COMPUTED_VALUE"""),46199.6666666666)</f>
        <v/>
      </c>
      <c r="C256" s="141">
        <f>IFERROR(__xludf.DUMMYFUNCTION("""COMPUTED_VALUE"""),109.29)</f>
        <v/>
      </c>
      <c r="D256" s="141">
        <f>IFERROR(__xludf.DUMMYFUNCTION("""COMPUTED_VALUE"""),109.65)</f>
        <v/>
      </c>
      <c r="E256" s="141">
        <f>IFERROR(__xludf.DUMMYFUNCTION("""COMPUTED_VALUE"""),109.26)</f>
        <v/>
      </c>
      <c r="F256" s="141">
        <f>IFERROR(__xludf.DUMMYFUNCTION("""COMPUTED_VALUE"""),109.5)</f>
        <v/>
      </c>
      <c r="G256" s="143">
        <f>IFERROR(__xludf.DUMMYFUNCTION("""COMPUTED_VALUE"""),26033529)</f>
        <v/>
      </c>
      <c r="H256" s="27" t="n"/>
    </row>
    <row r="257" ht="17.25" customHeight="1" s="322">
      <c r="A257" s="27" t="n"/>
      <c r="B257" s="506">
        <f>IFERROR(__xludf.DUMMYFUNCTION("""COMPUTED_VALUE"""),46202.6666666666)</f>
        <v/>
      </c>
      <c r="C257" s="141">
        <f>IFERROR(__xludf.DUMMYFUNCTION("""COMPUTED_VALUE"""),109.62)</f>
        <v/>
      </c>
      <c r="D257" s="141">
        <f>IFERROR(__xludf.DUMMYFUNCTION("""COMPUTED_VALUE"""),109.74)</f>
        <v/>
      </c>
      <c r="E257" s="141">
        <f>IFERROR(__xludf.DUMMYFUNCTION("""COMPUTED_VALUE"""),109.54)</f>
        <v/>
      </c>
      <c r="F257" s="141">
        <f>IFERROR(__xludf.DUMMYFUNCTION("""COMPUTED_VALUE"""),109.7)</f>
        <v/>
      </c>
      <c r="G257" s="143">
        <f>IFERROR(__xludf.DUMMYFUNCTION("""COMPUTED_VALUE"""),43883335)</f>
        <v/>
      </c>
      <c r="H257" s="27" t="n"/>
    </row>
    <row r="258" ht="17.25" customHeight="1" s="322">
      <c r="A258" s="27" t="n"/>
      <c r="B258" s="506">
        <f>IFERROR(__xludf.DUMMYFUNCTION("""COMPUTED_VALUE"""),46203.6666666666)</f>
        <v/>
      </c>
      <c r="C258" s="141">
        <f>IFERROR(__xludf.DUMMYFUNCTION("""COMPUTED_VALUE"""),109.5)</f>
        <v/>
      </c>
      <c r="D258" s="141">
        <f>IFERROR(__xludf.DUMMYFUNCTION("""COMPUTED_VALUE"""),109.56)</f>
        <v/>
      </c>
      <c r="E258" s="141">
        <f>IFERROR(__xludf.DUMMYFUNCTION("""COMPUTED_VALUE"""),109.05)</f>
        <v/>
      </c>
      <c r="F258" s="141">
        <f>IFERROR(__xludf.DUMMYFUNCTION("""COMPUTED_VALUE"""),109.07)</f>
        <v/>
      </c>
      <c r="G258" s="143">
        <f>IFERROR(__xludf.DUMMYFUNCTION("""COMPUTED_VALUE"""),32665352)</f>
        <v/>
      </c>
      <c r="H258" s="27" t="n"/>
    </row>
    <row r="259" ht="17.25" customHeight="1" s="322">
      <c r="A259" s="27" t="n"/>
      <c r="B259" s="506">
        <f>IFERROR(__xludf.DUMMYFUNCTION("""COMPUTED_VALUE"""),46204.6666666666)</f>
        <v/>
      </c>
      <c r="C259" s="141">
        <f>IFERROR(__xludf.DUMMYFUNCTION("""COMPUTED_VALUE"""),108.34)</f>
        <v/>
      </c>
      <c r="D259" s="141">
        <f>IFERROR(__xludf.DUMMYFUNCTION("""COMPUTED_VALUE"""),108.66)</f>
        <v/>
      </c>
      <c r="E259" s="141">
        <f>IFERROR(__xludf.DUMMYFUNCTION("""COMPUTED_VALUE"""),108.26)</f>
        <v/>
      </c>
      <c r="F259" s="141">
        <f>IFERROR(__xludf.DUMMYFUNCTION("""COMPUTED_VALUE"""),108.46)</f>
        <v/>
      </c>
      <c r="G259" s="143">
        <f>IFERROR(__xludf.DUMMYFUNCTION("""COMPUTED_VALUE"""),25563179)</f>
        <v/>
      </c>
      <c r="H259" s="27" t="n"/>
    </row>
    <row r="260" ht="17.25" customHeight="1" s="322">
      <c r="A260" s="27" t="n"/>
      <c r="B260" s="506">
        <f>IFERROR(__xludf.DUMMYFUNCTION("""COMPUTED_VALUE"""),46205.6666666666)</f>
        <v/>
      </c>
      <c r="C260" s="141">
        <f>IFERROR(__xludf.DUMMYFUNCTION("""COMPUTED_VALUE"""),108.57)</f>
        <v/>
      </c>
      <c r="D260" s="141">
        <f>IFERROR(__xludf.DUMMYFUNCTION("""COMPUTED_VALUE"""),108.72)</f>
        <v/>
      </c>
      <c r="E260" s="141">
        <f>IFERROR(__xludf.DUMMYFUNCTION("""COMPUTED_VALUE"""),108.42)</f>
        <v/>
      </c>
      <c r="F260" s="141">
        <f>IFERROR(__xludf.DUMMYFUNCTION("""COMPUTED_VALUE"""),108.64)</f>
        <v/>
      </c>
      <c r="G260" s="143">
        <f>IFERROR(__xludf.DUMMYFUNCTION("""COMPUTED_VALUE"""),18405993)</f>
        <v/>
      </c>
      <c r="H260" s="27" t="n"/>
    </row>
    <row r="261" ht="17.25" customHeight="1" s="322">
      <c r="A261" s="27" t="n"/>
      <c r="B261" s="506">
        <f>IFERROR(__xludf.DUMMYFUNCTION("""COMPUTED_VALUE"""),46209.6666666666)</f>
        <v/>
      </c>
      <c r="C261" s="141">
        <f>IFERROR(__xludf.DUMMYFUNCTION("""COMPUTED_VALUE"""),108.61)</f>
        <v/>
      </c>
      <c r="D261" s="141">
        <f>IFERROR(__xludf.DUMMYFUNCTION("""COMPUTED_VALUE"""),108.68)</f>
        <v/>
      </c>
      <c r="E261" s="141">
        <f>IFERROR(__xludf.DUMMYFUNCTION("""COMPUTED_VALUE"""),108.44)</f>
        <v/>
      </c>
      <c r="F261" s="141">
        <f>IFERROR(__xludf.DUMMYFUNCTION("""COMPUTED_VALUE"""),108.67)</f>
        <v/>
      </c>
      <c r="G261" s="143">
        <f>IFERROR(__xludf.DUMMYFUNCTION("""COMPUTED_VALUE"""),17471586)</f>
        <v/>
      </c>
      <c r="H261" s="27" t="n"/>
    </row>
    <row r="262" ht="17.25" customHeight="1" s="322">
      <c r="A262" s="27" t="n"/>
      <c r="B262" s="506">
        <f>IFERROR(__xludf.DUMMYFUNCTION("""COMPUTED_VALUE"""),46210.6666666666)</f>
        <v/>
      </c>
      <c r="C262" s="141">
        <f>IFERROR(__xludf.DUMMYFUNCTION("""COMPUTED_VALUE"""),108.29)</f>
        <v/>
      </c>
      <c r="D262" s="141">
        <f>IFERROR(__xludf.DUMMYFUNCTION("""COMPUTED_VALUE"""),108.34)</f>
        <v/>
      </c>
      <c r="E262" s="141">
        <f>IFERROR(__xludf.DUMMYFUNCTION("""COMPUTED_VALUE"""),107.77)</f>
        <v/>
      </c>
      <c r="F262" s="141">
        <f>IFERROR(__xludf.DUMMYFUNCTION("""COMPUTED_VALUE"""),107.88)</f>
        <v/>
      </c>
      <c r="G262" s="143">
        <f>IFERROR(__xludf.DUMMYFUNCTION("""COMPUTED_VALUE"""),32025024)</f>
        <v/>
      </c>
      <c r="H262" s="27" t="n"/>
    </row>
    <row r="263" ht="17.25" customHeight="1" s="322">
      <c r="A263" s="27" t="n"/>
      <c r="B263" s="506">
        <f>IFERROR(__xludf.DUMMYFUNCTION("""COMPUTED_VALUE"""),46211.6666666666)</f>
        <v/>
      </c>
      <c r="C263" s="141">
        <f>IFERROR(__xludf.DUMMYFUNCTION("""COMPUTED_VALUE"""),107.68)</f>
        <v/>
      </c>
      <c r="D263" s="141">
        <f>IFERROR(__xludf.DUMMYFUNCTION("""COMPUTED_VALUE"""),107.75)</f>
        <v/>
      </c>
      <c r="E263" s="141">
        <f>IFERROR(__xludf.DUMMYFUNCTION("""COMPUTED_VALUE"""),107.39)</f>
        <v/>
      </c>
      <c r="F263" s="141">
        <f>IFERROR(__xludf.DUMMYFUNCTION("""COMPUTED_VALUE"""),107.67)</f>
        <v/>
      </c>
      <c r="G263" s="143">
        <f>IFERROR(__xludf.DUMMYFUNCTION("""COMPUTED_VALUE"""),31080903)</f>
        <v/>
      </c>
      <c r="H263" s="27" t="n"/>
    </row>
    <row r="264" ht="17.25" customHeight="1" s="322">
      <c r="A264" s="27" t="n"/>
      <c r="B264" s="506">
        <f>IFERROR(__xludf.DUMMYFUNCTION("""COMPUTED_VALUE"""),46212.6666666666)</f>
        <v/>
      </c>
      <c r="C264" s="141">
        <f>IFERROR(__xludf.DUMMYFUNCTION("""COMPUTED_VALUE"""),107.71)</f>
        <v/>
      </c>
      <c r="D264" s="141">
        <f>IFERROR(__xludf.DUMMYFUNCTION("""COMPUTED_VALUE"""),108.01)</f>
        <v/>
      </c>
      <c r="E264" s="141">
        <f>IFERROR(__xludf.DUMMYFUNCTION("""COMPUTED_VALUE"""),107.64)</f>
        <v/>
      </c>
      <c r="F264" s="141">
        <f>IFERROR(__xludf.DUMMYFUNCTION("""COMPUTED_VALUE"""),107.71)</f>
        <v/>
      </c>
      <c r="G264" s="143">
        <f>IFERROR(__xludf.DUMMYFUNCTION("""COMPUTED_VALUE"""),24612725)</f>
        <v/>
      </c>
      <c r="H264" s="27" t="n"/>
    </row>
    <row r="265" ht="17.25" customHeight="1" s="322">
      <c r="A265" s="27" t="n"/>
      <c r="B265" s="506">
        <f>IFERROR(__xludf.DUMMYFUNCTION("""COMPUTED_VALUE"""),46213.6666666666)</f>
        <v/>
      </c>
      <c r="C265" s="141">
        <f>IFERROR(__xludf.DUMMYFUNCTION("""COMPUTED_VALUE"""),107.72)</f>
        <v/>
      </c>
      <c r="D265" s="141">
        <f>IFERROR(__xludf.DUMMYFUNCTION("""COMPUTED_VALUE"""),107.72)</f>
        <v/>
      </c>
      <c r="E265" s="141">
        <f>IFERROR(__xludf.DUMMYFUNCTION("""COMPUTED_VALUE"""),107.32)</f>
        <v/>
      </c>
      <c r="F265" s="141">
        <f>IFERROR(__xludf.DUMMYFUNCTION("""COMPUTED_VALUE"""),107.46)</f>
        <v/>
      </c>
      <c r="G265" s="143">
        <f>IFERROR(__xludf.DUMMYFUNCTION("""COMPUTED_VALUE"""),34114023)</f>
        <v/>
      </c>
      <c r="H265" s="27" t="n"/>
    </row>
    <row r="266" ht="17.25" customHeight="1" s="322">
      <c r="A266" s="27" t="n"/>
      <c r="B266" s="506">
        <f>IFERROR(__xludf.DUMMYFUNCTION("""COMPUTED_VALUE"""),46216.6666666666)</f>
        <v/>
      </c>
      <c r="C266" s="141">
        <f>IFERROR(__xludf.DUMMYFUNCTION("""COMPUTED_VALUE"""),107.35)</f>
        <v/>
      </c>
      <c r="D266" s="141">
        <f>IFERROR(__xludf.DUMMYFUNCTION("""COMPUTED_VALUE"""),107.43)</f>
        <v/>
      </c>
      <c r="E266" s="141">
        <f>IFERROR(__xludf.DUMMYFUNCTION("""COMPUTED_VALUE"""),106.94)</f>
        <v/>
      </c>
      <c r="F266" s="141">
        <f>IFERROR(__xludf.DUMMYFUNCTION("""COMPUTED_VALUE"""),106.96)</f>
        <v/>
      </c>
      <c r="G266" s="143">
        <f>IFERROR(__xludf.DUMMYFUNCTION("""COMPUTED_VALUE"""),29936141)</f>
        <v/>
      </c>
      <c r="H266" s="27" t="n"/>
    </row>
    <row r="267" ht="17.25" customHeight="1" s="322">
      <c r="A267" s="27" t="n"/>
      <c r="B267" s="506">
        <f>IFERROR(__xludf.DUMMYFUNCTION("""COMPUTED_VALUE"""),46217.6666666666)</f>
        <v/>
      </c>
      <c r="C267" s="141">
        <f>IFERROR(__xludf.DUMMYFUNCTION("""COMPUTED_VALUE"""),107.16)</f>
        <v/>
      </c>
      <c r="D267" s="141">
        <f>IFERROR(__xludf.DUMMYFUNCTION("""COMPUTED_VALUE"""),107.39)</f>
        <v/>
      </c>
      <c r="E267" s="141">
        <f>IFERROR(__xludf.DUMMYFUNCTION("""COMPUTED_VALUE"""),107.02)</f>
        <v/>
      </c>
      <c r="F267" s="141">
        <f>IFERROR(__xludf.DUMMYFUNCTION("""COMPUTED_VALUE"""),107.21)</f>
        <v/>
      </c>
      <c r="G267" s="143">
        <f>IFERROR(__xludf.DUMMYFUNCTION("""COMPUTED_VALUE"""),33689075)</f>
        <v/>
      </c>
      <c r="H267" s="27" t="n"/>
    </row>
    <row r="268" ht="17.25" customHeight="1" s="322">
      <c r="A268" s="27" t="n"/>
      <c r="B268" s="506">
        <f>IFERROR(__xludf.DUMMYFUNCTION("""COMPUTED_VALUE"""),46218.6666666666)</f>
        <v/>
      </c>
      <c r="C268" s="141">
        <f>IFERROR(__xludf.DUMMYFUNCTION("""COMPUTED_VALUE"""),107.27)</f>
        <v/>
      </c>
      <c r="D268" s="141">
        <f>IFERROR(__xludf.DUMMYFUNCTION("""COMPUTED_VALUE"""),107.66)</f>
        <v/>
      </c>
      <c r="E268" s="141">
        <f>IFERROR(__xludf.DUMMYFUNCTION("""COMPUTED_VALUE"""),107.27)</f>
        <v/>
      </c>
      <c r="F268" s="141">
        <f>IFERROR(__xludf.DUMMYFUNCTION("""COMPUTED_VALUE"""),107.58)</f>
        <v/>
      </c>
      <c r="G268" s="143">
        <f>IFERROR(__xludf.DUMMYFUNCTION("""COMPUTED_VALUE"""),27178734)</f>
        <v/>
      </c>
      <c r="H268" s="27" t="n"/>
    </row>
    <row r="269" ht="17.25" customHeight="1" s="322">
      <c r="A269" s="27" t="n"/>
      <c r="B269" s="506">
        <f>IFERROR(__xludf.DUMMYFUNCTION("""COMPUTED_VALUE"""),46219.6666666666)</f>
        <v/>
      </c>
      <c r="C269" s="141">
        <f>IFERROR(__xludf.DUMMYFUNCTION("""COMPUTED_VALUE"""),107.35)</f>
        <v/>
      </c>
      <c r="D269" s="141">
        <f>IFERROR(__xludf.DUMMYFUNCTION("""COMPUTED_VALUE"""),107.57)</f>
        <v/>
      </c>
      <c r="E269" s="141">
        <f>IFERROR(__xludf.DUMMYFUNCTION("""COMPUTED_VALUE"""),107.26)</f>
        <v/>
      </c>
      <c r="F269" s="141">
        <f>IFERROR(__xludf.DUMMYFUNCTION("""COMPUTED_VALUE"""),107.5)</f>
        <v/>
      </c>
      <c r="G269" s="143">
        <f>IFERROR(__xludf.DUMMYFUNCTION("""COMPUTED_VALUE"""),33413184)</f>
        <v/>
      </c>
      <c r="H269" s="27" t="n"/>
    </row>
    <row r="270" ht="17.25" customHeight="1" s="322">
      <c r="A270" s="27" t="n"/>
      <c r="B270" s="506">
        <f>IFERROR(__xludf.DUMMYFUNCTION("""COMPUTED_VALUE"""),46220.6666666666)</f>
        <v/>
      </c>
      <c r="C270" s="141">
        <f>IFERROR(__xludf.DUMMYFUNCTION("""COMPUTED_VALUE"""),107.65)</f>
        <v/>
      </c>
      <c r="D270" s="141">
        <f>IFERROR(__xludf.DUMMYFUNCTION("""COMPUTED_VALUE"""),107.79)</f>
        <v/>
      </c>
      <c r="E270" s="141">
        <f>IFERROR(__xludf.DUMMYFUNCTION("""COMPUTED_VALUE"""),107.53)</f>
        <v/>
      </c>
      <c r="F270" s="141">
        <f>IFERROR(__xludf.DUMMYFUNCTION("""COMPUTED_VALUE"""),107.56)</f>
        <v/>
      </c>
      <c r="G270" s="143">
        <f>IFERROR(__xludf.DUMMYFUNCTION("""COMPUTED_VALUE"""),25761550)</f>
        <v/>
      </c>
      <c r="H270" s="27" t="n"/>
    </row>
    <row r="271" ht="17.25" customHeight="1" s="322">
      <c r="A271" s="27" t="n"/>
      <c r="B271" s="506">
        <f>IFERROR(__xludf.DUMMYFUNCTION("""COMPUTED_VALUE"""),46223.6666666666)</f>
        <v/>
      </c>
      <c r="C271" s="141">
        <f>IFERROR(__xludf.DUMMYFUNCTION("""COMPUTED_VALUE"""),107.53)</f>
        <v/>
      </c>
      <c r="D271" s="141">
        <f>IFERROR(__xludf.DUMMYFUNCTION("""COMPUTED_VALUE"""),107.56)</f>
        <v/>
      </c>
      <c r="E271" s="141">
        <f>IFERROR(__xludf.DUMMYFUNCTION("""COMPUTED_VALUE"""),107.11)</f>
        <v/>
      </c>
      <c r="F271" s="141">
        <f>IFERROR(__xludf.DUMMYFUNCTION("""COMPUTED_VALUE"""),107.15)</f>
        <v/>
      </c>
      <c r="G271" s="143">
        <f>IFERROR(__xludf.DUMMYFUNCTION("""COMPUTED_VALUE"""),29445753)</f>
        <v/>
      </c>
      <c r="H271" s="27" t="n"/>
    </row>
    <row r="272" ht="17.25" customHeight="1" s="322">
      <c r="A272" s="27" t="n"/>
      <c r="B272" s="506">
        <f>IFERROR(__xludf.DUMMYFUNCTION("""COMPUTED_VALUE"""),46224.6666666666)</f>
        <v/>
      </c>
      <c r="C272" s="141">
        <f>IFERROR(__xludf.DUMMYFUNCTION("""COMPUTED_VALUE"""),107.01)</f>
        <v/>
      </c>
      <c r="D272" s="141">
        <f>IFERROR(__xludf.DUMMYFUNCTION("""COMPUTED_VALUE"""),107.05)</f>
        <v/>
      </c>
      <c r="E272" s="141">
        <f>IFERROR(__xludf.DUMMYFUNCTION("""COMPUTED_VALUE"""),106.77)</f>
        <v/>
      </c>
      <c r="F272" s="141">
        <f>IFERROR(__xludf.DUMMYFUNCTION("""COMPUTED_VALUE"""),106.85)</f>
        <v/>
      </c>
      <c r="G272" s="143">
        <f>IFERROR(__xludf.DUMMYFUNCTION("""COMPUTED_VALUE"""),26033364)</f>
        <v/>
      </c>
      <c r="H272" s="27" t="n"/>
    </row>
    <row r="273" ht="17.25" customHeight="1" s="322">
      <c r="A273" s="27" t="n"/>
      <c r="B273" s="506">
        <f>IFERROR(__xludf.DUMMYFUNCTION("""COMPUTED_VALUE"""),46225.6666666666)</f>
        <v/>
      </c>
      <c r="C273" s="141">
        <f>IFERROR(__xludf.DUMMYFUNCTION("""COMPUTED_VALUE"""),106.76)</f>
        <v/>
      </c>
      <c r="D273" s="141">
        <f>IFERROR(__xludf.DUMMYFUNCTION("""COMPUTED_VALUE"""),106.83)</f>
        <v/>
      </c>
      <c r="E273" s="141">
        <f>IFERROR(__xludf.DUMMYFUNCTION("""COMPUTED_VALUE"""),106.62)</f>
        <v/>
      </c>
      <c r="F273" s="141">
        <f>IFERROR(__xludf.DUMMYFUNCTION("""COMPUTED_VALUE"""),106.67)</f>
        <v/>
      </c>
      <c r="G273" s="143">
        <f>IFERROR(__xludf.DUMMYFUNCTION("""COMPUTED_VALUE"""),20115554)</f>
        <v/>
      </c>
      <c r="H273" s="27" t="n"/>
    </row>
    <row r="274" ht="17.25" customHeight="1" s="322">
      <c r="A274" s="27" t="n"/>
      <c r="B274" s="506">
        <f>IFERROR(__xludf.DUMMYFUNCTION("""COMPUTED_VALUE"""),46226.6666666666)</f>
        <v/>
      </c>
      <c r="C274" s="141">
        <f>IFERROR(__xludf.DUMMYFUNCTION("""COMPUTED_VALUE"""),106.13)</f>
        <v/>
      </c>
      <c r="D274" s="141">
        <f>IFERROR(__xludf.DUMMYFUNCTION("""COMPUTED_VALUE"""),106.32)</f>
        <v/>
      </c>
      <c r="E274" s="141">
        <f>IFERROR(__xludf.DUMMYFUNCTION("""COMPUTED_VALUE"""),106.07)</f>
        <v/>
      </c>
      <c r="F274" s="141">
        <f>IFERROR(__xludf.DUMMYFUNCTION("""COMPUTED_VALUE"""),106.26)</f>
        <v/>
      </c>
      <c r="G274" s="143">
        <f>IFERROR(__xludf.DUMMYFUNCTION("""COMPUTED_VALUE"""),35690741)</f>
        <v/>
      </c>
      <c r="H274" s="27" t="n"/>
    </row>
    <row r="275" ht="17.25" customHeight="1" s="322">
      <c r="A275" s="27" t="n"/>
      <c r="B275" s="506">
        <f>IFERROR(__xludf.DUMMYFUNCTION("""COMPUTED_VALUE"""),46227.6666666666)</f>
        <v/>
      </c>
      <c r="C275" s="141">
        <f>IFERROR(__xludf.DUMMYFUNCTION("""COMPUTED_VALUE"""),106.08)</f>
        <v/>
      </c>
      <c r="D275" s="141">
        <f>IFERROR(__xludf.DUMMYFUNCTION("""COMPUTED_VALUE"""),106.49)</f>
        <v/>
      </c>
      <c r="E275" s="141">
        <f>IFERROR(__xludf.DUMMYFUNCTION("""COMPUTED_VALUE"""),106.08)</f>
        <v/>
      </c>
      <c r="F275" s="141">
        <f>IFERROR(__xludf.DUMMYFUNCTION("""COMPUTED_VALUE"""),106.23)</f>
        <v/>
      </c>
      <c r="G275" s="143">
        <f>IFERROR(__xludf.DUMMYFUNCTION("""COMPUTED_VALUE"""),27980051)</f>
        <v/>
      </c>
      <c r="H275" s="27" t="n"/>
    </row>
    <row r="276" ht="17.25" customHeight="1" s="322">
      <c r="A276" s="27" t="n"/>
      <c r="B276" s="506">
        <f>IFERROR(__xludf.DUMMYFUNCTION("""COMPUTED_VALUE"""),46230.6666666666)</f>
        <v/>
      </c>
      <c r="C276" s="141">
        <f>IFERROR(__xludf.DUMMYFUNCTION("""COMPUTED_VALUE"""),106.56)</f>
        <v/>
      </c>
      <c r="D276" s="141">
        <f>IFERROR(__xludf.DUMMYFUNCTION("""COMPUTED_VALUE"""),106.62)</f>
        <v/>
      </c>
      <c r="E276" s="141">
        <f>IFERROR(__xludf.DUMMYFUNCTION("""COMPUTED_VALUE"""),106.43)</f>
        <v/>
      </c>
      <c r="F276" s="141">
        <f>IFERROR(__xludf.DUMMYFUNCTION("""COMPUTED_VALUE"""),106.51)</f>
        <v/>
      </c>
      <c r="G276" s="143">
        <f>IFERROR(__xludf.DUMMYFUNCTION("""COMPUTED_VALUE"""),33698062)</f>
        <v/>
      </c>
      <c r="H276" s="27" t="n"/>
    </row>
    <row r="277" ht="17.25" customHeight="1" s="322">
      <c r="A277" s="27" t="n"/>
      <c r="B277" s="506">
        <f>IFERROR(__xludf.DUMMYFUNCTION("""COMPUTED_VALUE"""),46231.6666666666)</f>
        <v/>
      </c>
      <c r="C277" s="141">
        <f>IFERROR(__xludf.DUMMYFUNCTION("""COMPUTED_VALUE"""),106.62)</f>
        <v/>
      </c>
      <c r="D277" s="141">
        <f>IFERROR(__xludf.DUMMYFUNCTION("""COMPUTED_VALUE"""),106.94)</f>
        <v/>
      </c>
      <c r="E277" s="141">
        <f>IFERROR(__xludf.DUMMYFUNCTION("""COMPUTED_VALUE"""),106.57)</f>
        <v/>
      </c>
      <c r="F277" s="141">
        <f>IFERROR(__xludf.DUMMYFUNCTION("""COMPUTED_VALUE"""),106.83)</f>
        <v/>
      </c>
      <c r="G277" s="143">
        <f>IFERROR(__xludf.DUMMYFUNCTION("""COMPUTED_VALUE"""),23347609)</f>
        <v/>
      </c>
      <c r="H277" s="27" t="n"/>
    </row>
    <row r="278" ht="17.25" customHeight="1" s="322">
      <c r="A278" s="27" t="n"/>
      <c r="B278" s="506">
        <f>IFERROR(__xludf.DUMMYFUNCTION("""COMPUTED_VALUE"""),46232.6666666666)</f>
        <v/>
      </c>
      <c r="C278" s="141">
        <f>IFERROR(__xludf.DUMMYFUNCTION("""COMPUTED_VALUE"""),106.72)</f>
        <v/>
      </c>
      <c r="D278" s="141">
        <f>IFERROR(__xludf.DUMMYFUNCTION("""COMPUTED_VALUE"""),106.8)</f>
        <v/>
      </c>
      <c r="E278" s="141">
        <f>IFERROR(__xludf.DUMMYFUNCTION("""COMPUTED_VALUE"""),106.15)</f>
        <v/>
      </c>
      <c r="F278" s="141">
        <f>IFERROR(__xludf.DUMMYFUNCTION("""COMPUTED_VALUE"""),106.22)</f>
        <v/>
      </c>
      <c r="G278" s="143">
        <f>IFERROR(__xludf.DUMMYFUNCTION("""COMPUTED_VALUE"""),44519405)</f>
        <v/>
      </c>
      <c r="H278" s="27" t="n"/>
    </row>
    <row r="279" ht="17.25" customHeight="1" s="322">
      <c r="A279" s="27" t="n"/>
      <c r="B279" s="506" t="n"/>
      <c r="C279" s="141" t="n"/>
      <c r="D279" s="141" t="n"/>
      <c r="E279" s="141" t="n"/>
      <c r="F279" s="141" t="n"/>
      <c r="G279" s="143" t="n"/>
      <c r="H279" s="27" t="n"/>
    </row>
    <row r="280" ht="17.25" customHeight="1" s="322">
      <c r="A280" s="27" t="n"/>
      <c r="B280" s="506" t="n"/>
      <c r="C280" s="141" t="n"/>
      <c r="D280" s="141" t="n"/>
      <c r="E280" s="141" t="n"/>
      <c r="F280" s="141" t="n"/>
      <c r="G280" s="143" t="n"/>
      <c r="H280" s="27" t="n"/>
    </row>
    <row r="281" ht="17.25" customHeight="1" s="322">
      <c r="A281" s="27" t="n"/>
      <c r="B281" s="506" t="n"/>
      <c r="C281" s="141" t="n"/>
      <c r="D281" s="141" t="n"/>
      <c r="E281" s="141" t="n"/>
      <c r="F281" s="141" t="n"/>
      <c r="G281" s="143" t="n"/>
      <c r="H281" s="27" t="n"/>
    </row>
    <row r="282" ht="17.25" customHeight="1" s="322">
      <c r="A282" s="27" t="n"/>
      <c r="B282" s="506" t="n"/>
      <c r="C282" s="141" t="n"/>
      <c r="D282" s="141" t="n"/>
      <c r="E282" s="141" t="n"/>
      <c r="F282" s="141" t="n"/>
      <c r="G282" s="143" t="n"/>
      <c r="H282" s="27" t="n"/>
    </row>
    <row r="283" ht="17.25" customHeight="1" s="322">
      <c r="A283" s="27" t="n"/>
      <c r="B283" s="506" t="n"/>
      <c r="C283" s="141" t="n"/>
      <c r="D283" s="141" t="n"/>
      <c r="E283" s="141" t="n"/>
      <c r="F283" s="141" t="n"/>
      <c r="G283" s="143" t="n"/>
      <c r="H283" s="27" t="n"/>
    </row>
    <row r="284" ht="17.25" customHeight="1" s="322">
      <c r="A284" s="27" t="n"/>
      <c r="B284" s="506" t="n"/>
      <c r="C284" s="141" t="n"/>
      <c r="D284" s="141" t="n"/>
      <c r="E284" s="141" t="n"/>
      <c r="F284" s="141" t="n"/>
      <c r="G284" s="143" t="n"/>
      <c r="H284" s="27" t="n"/>
    </row>
    <row r="285" ht="17.25" customHeight="1" s="322">
      <c r="A285" s="27" t="n"/>
      <c r="B285" s="506" t="n"/>
      <c r="C285" s="141" t="n"/>
      <c r="D285" s="141" t="n"/>
      <c r="E285" s="141" t="n"/>
      <c r="F285" s="141" t="n"/>
      <c r="G285" s="143" t="n"/>
      <c r="H285" s="27" t="n"/>
    </row>
    <row r="286" ht="17.25" customHeight="1" s="322">
      <c r="A286" s="27" t="n"/>
      <c r="B286" s="506" t="n"/>
      <c r="C286" s="141" t="n"/>
      <c r="D286" s="141" t="n"/>
      <c r="E286" s="141" t="n"/>
      <c r="F286" s="141" t="n"/>
      <c r="G286" s="143" t="n"/>
      <c r="H286" s="27" t="n"/>
    </row>
    <row r="287" ht="17.25" customHeight="1" s="322">
      <c r="A287" s="27" t="n"/>
      <c r="B287" s="506" t="n"/>
      <c r="C287" s="141" t="n"/>
      <c r="D287" s="141" t="n"/>
      <c r="E287" s="141" t="n"/>
      <c r="F287" s="141" t="n"/>
      <c r="G287" s="143" t="n"/>
      <c r="H287" s="27" t="n"/>
    </row>
    <row r="288" ht="17.25" customHeight="1" s="322">
      <c r="A288" s="27" t="n"/>
      <c r="B288" s="506" t="n"/>
      <c r="C288" s="141" t="n"/>
      <c r="D288" s="141" t="n"/>
      <c r="E288" s="141" t="n"/>
      <c r="F288" s="141" t="n"/>
      <c r="G288" s="143" t="n"/>
      <c r="H288" s="27" t="n"/>
    </row>
    <row r="289" ht="17.25" customHeight="1" s="322">
      <c r="A289" s="27" t="n"/>
      <c r="B289" s="506" t="n"/>
      <c r="C289" s="141" t="n"/>
      <c r="D289" s="141" t="n"/>
      <c r="E289" s="141" t="n"/>
      <c r="F289" s="141" t="n"/>
      <c r="G289" s="143" t="n"/>
      <c r="H289" s="27" t="n"/>
    </row>
    <row r="290" ht="17.25" customHeight="1" s="322">
      <c r="A290" s="27" t="n"/>
      <c r="B290" s="506" t="n"/>
      <c r="C290" s="141" t="n"/>
      <c r="D290" s="141" t="n"/>
      <c r="E290" s="141" t="n"/>
      <c r="F290" s="141" t="n"/>
      <c r="G290" s="143" t="n"/>
      <c r="H290" s="27" t="n"/>
    </row>
    <row r="291" ht="17.25" customHeight="1" s="322">
      <c r="A291" s="27" t="n"/>
      <c r="B291" s="506" t="n"/>
      <c r="C291" s="141" t="n"/>
      <c r="D291" s="141" t="n"/>
      <c r="E291" s="141" t="n"/>
      <c r="F291" s="141" t="n"/>
      <c r="G291" s="143" t="n"/>
      <c r="H291" s="27" t="n"/>
    </row>
    <row r="292" ht="17.25" customHeight="1" s="322">
      <c r="A292" s="27" t="n"/>
      <c r="B292" s="506" t="n"/>
      <c r="C292" s="141" t="n"/>
      <c r="D292" s="141" t="n"/>
      <c r="E292" s="141" t="n"/>
      <c r="F292" s="141" t="n"/>
      <c r="G292" s="143" t="n"/>
      <c r="H292" s="27" t="n"/>
    </row>
    <row r="293" ht="17.25" customHeight="1" s="322">
      <c r="A293" s="27" t="n"/>
      <c r="B293" s="506" t="n"/>
      <c r="C293" s="141" t="n"/>
      <c r="D293" s="141" t="n"/>
      <c r="E293" s="141" t="n"/>
      <c r="F293" s="141" t="n"/>
      <c r="G293" s="143" t="n"/>
      <c r="H293" s="27" t="n"/>
    </row>
    <row r="294" ht="17.25" customHeight="1" s="322">
      <c r="A294" s="27" t="n"/>
      <c r="B294" s="506" t="n"/>
      <c r="C294" s="141" t="n"/>
      <c r="D294" s="141" t="n"/>
      <c r="E294" s="141" t="n"/>
      <c r="F294" s="141" t="n"/>
      <c r="G294" s="143" t="n"/>
      <c r="H294" s="27" t="n"/>
    </row>
    <row r="295" ht="17.25" customHeight="1" s="322">
      <c r="A295" s="27" t="n"/>
      <c r="B295" s="506" t="n"/>
      <c r="C295" s="141" t="n"/>
      <c r="D295" s="141" t="n"/>
      <c r="E295" s="141" t="n"/>
      <c r="F295" s="141" t="n"/>
      <c r="G295" s="143" t="n"/>
      <c r="H295" s="27" t="n"/>
    </row>
    <row r="296" ht="17.25" customHeight="1" s="322">
      <c r="A296" s="27" t="n"/>
      <c r="B296" s="506" t="n"/>
      <c r="C296" s="141" t="n"/>
      <c r="D296" s="141" t="n"/>
      <c r="E296" s="141" t="n"/>
      <c r="F296" s="141" t="n"/>
      <c r="G296" s="143" t="n"/>
      <c r="H296" s="27" t="n"/>
    </row>
    <row r="297" ht="17.25" customHeight="1" s="322">
      <c r="A297" s="27" t="n"/>
      <c r="B297" s="506" t="n"/>
      <c r="C297" s="141" t="n"/>
      <c r="D297" s="141" t="n"/>
      <c r="E297" s="141" t="n"/>
      <c r="F297" s="141" t="n"/>
      <c r="G297" s="143" t="n"/>
      <c r="H297" s="27" t="n"/>
    </row>
    <row r="298" ht="17.25" customHeight="1" s="322">
      <c r="A298" s="27" t="n"/>
      <c r="B298" s="506" t="n"/>
      <c r="C298" s="141" t="n"/>
      <c r="D298" s="141" t="n"/>
      <c r="E298" s="141" t="n"/>
      <c r="F298" s="141" t="n"/>
      <c r="G298" s="143" t="n"/>
      <c r="H298" s="27" t="n"/>
    </row>
    <row r="299" ht="17.25" customHeight="1" s="322">
      <c r="A299" s="27" t="n"/>
      <c r="B299" s="506" t="n"/>
      <c r="C299" s="141" t="n"/>
      <c r="D299" s="141" t="n"/>
      <c r="E299" s="141" t="n"/>
      <c r="F299" s="141" t="n"/>
      <c r="G299" s="143" t="n"/>
      <c r="H299" s="27" t="n"/>
    </row>
    <row r="300" ht="17.25" customHeight="1" s="322">
      <c r="A300" s="27" t="n"/>
      <c r="B300" s="506" t="n"/>
      <c r="C300" s="141" t="n"/>
      <c r="D300" s="141" t="n"/>
      <c r="E300" s="141" t="n"/>
      <c r="F300" s="141" t="n"/>
      <c r="G300" s="143" t="n"/>
      <c r="H300" s="27" t="n"/>
    </row>
    <row r="301" ht="17.25" customHeight="1" s="322">
      <c r="A301" s="27" t="n"/>
      <c r="B301" s="506" t="n"/>
      <c r="C301" s="141" t="n"/>
      <c r="D301" s="141" t="n"/>
      <c r="E301" s="141" t="n"/>
      <c r="F301" s="141" t="n"/>
      <c r="G301" s="143" t="n"/>
      <c r="H301" s="27" t="n"/>
    </row>
    <row r="302" ht="17.25" customHeight="1" s="322">
      <c r="A302" s="27" t="n"/>
      <c r="B302" s="506" t="n"/>
      <c r="C302" s="141" t="n"/>
      <c r="D302" s="141" t="n"/>
      <c r="E302" s="141" t="n"/>
      <c r="F302" s="141" t="n"/>
      <c r="G302" s="143" t="n"/>
      <c r="H302" s="27" t="n"/>
    </row>
    <row r="303" ht="17.25" customHeight="1" s="322">
      <c r="A303" s="27" t="n"/>
      <c r="B303" s="506" t="n"/>
      <c r="C303" s="141" t="n"/>
      <c r="D303" s="141" t="n"/>
      <c r="E303" s="141" t="n"/>
      <c r="F303" s="141" t="n"/>
      <c r="G303" s="143" t="n"/>
      <c r="H303" s="27" t="n"/>
    </row>
    <row r="304" ht="17.25" customHeight="1" s="322">
      <c r="A304" s="27" t="n"/>
      <c r="B304" s="506" t="n"/>
      <c r="C304" s="141" t="n"/>
      <c r="D304" s="141" t="n"/>
      <c r="E304" s="141" t="n"/>
      <c r="F304" s="141" t="n"/>
      <c r="G304" s="143" t="n"/>
      <c r="H304" s="27" t="n"/>
    </row>
    <row r="305" ht="17.25" customHeight="1" s="322">
      <c r="A305" s="27" t="n"/>
      <c r="B305" s="506" t="n"/>
      <c r="C305" s="141" t="n"/>
      <c r="D305" s="141" t="n"/>
      <c r="E305" s="141" t="n"/>
      <c r="F305" s="141" t="n"/>
      <c r="G305" s="143" t="n"/>
      <c r="H305" s="27" t="n"/>
    </row>
    <row r="306" ht="17.25" customHeight="1" s="322">
      <c r="A306" s="27" t="n"/>
      <c r="B306" s="506" t="n"/>
      <c r="C306" s="141" t="n"/>
      <c r="D306" s="141" t="n"/>
      <c r="E306" s="141" t="n"/>
      <c r="F306" s="141" t="n"/>
      <c r="G306" s="143" t="n"/>
      <c r="H306" s="27" t="n"/>
    </row>
    <row r="307" ht="17.25" customHeight="1" s="322">
      <c r="A307" s="27" t="n"/>
      <c r="B307" s="506" t="n"/>
      <c r="C307" s="141" t="n"/>
      <c r="D307" s="141" t="n"/>
      <c r="E307" s="141" t="n"/>
      <c r="F307" s="141" t="n"/>
      <c r="G307" s="143" t="n"/>
      <c r="H307" s="27" t="n"/>
    </row>
    <row r="308" ht="17.25" customHeight="1" s="322">
      <c r="A308" s="27" t="n"/>
      <c r="B308" s="506" t="n"/>
      <c r="C308" s="141" t="n"/>
      <c r="D308" s="141" t="n"/>
      <c r="E308" s="141" t="n"/>
      <c r="F308" s="141" t="n"/>
      <c r="G308" s="143" t="n"/>
      <c r="H308" s="27" t="n"/>
    </row>
    <row r="309" ht="17.25" customHeight="1" s="322">
      <c r="A309" s="27" t="n"/>
      <c r="B309" s="506" t="n"/>
      <c r="C309" s="141" t="n"/>
      <c r="D309" s="141" t="n"/>
      <c r="E309" s="141" t="n"/>
      <c r="F309" s="141" t="n"/>
      <c r="G309" s="143" t="n"/>
      <c r="H309" s="27" t="n"/>
    </row>
    <row r="310" ht="17.25" customHeight="1" s="322">
      <c r="A310" s="27" t="n"/>
      <c r="B310" s="506" t="n"/>
      <c r="C310" s="141" t="n"/>
      <c r="D310" s="141" t="n"/>
      <c r="E310" s="141" t="n"/>
      <c r="F310" s="141" t="n"/>
      <c r="G310" s="143" t="n"/>
      <c r="H310" s="27" t="n"/>
    </row>
    <row r="311" ht="17.25" customHeight="1" s="322">
      <c r="A311" s="27" t="n"/>
      <c r="B311" s="506" t="n"/>
      <c r="C311" s="141" t="n"/>
      <c r="D311" s="141" t="n"/>
      <c r="E311" s="141" t="n"/>
      <c r="F311" s="141" t="n"/>
      <c r="G311" s="143" t="n"/>
      <c r="H311" s="27" t="n"/>
    </row>
    <row r="312" ht="17.25" customHeight="1" s="322">
      <c r="A312" s="27" t="n"/>
      <c r="B312" s="506" t="n"/>
      <c r="C312" s="141" t="n"/>
      <c r="D312" s="141" t="n"/>
      <c r="E312" s="141" t="n"/>
      <c r="F312" s="141" t="n"/>
      <c r="G312" s="143" t="n"/>
      <c r="H312" s="27" t="n"/>
    </row>
    <row r="313" ht="17.25" customHeight="1" s="322">
      <c r="A313" s="27" t="n"/>
      <c r="B313" s="506" t="n"/>
      <c r="C313" s="141" t="n"/>
      <c r="D313" s="141" t="n"/>
      <c r="E313" s="141" t="n"/>
      <c r="F313" s="141" t="n"/>
      <c r="G313" s="143" t="n"/>
      <c r="H313" s="27" t="n"/>
    </row>
    <row r="314" ht="17.25" customHeight="1" s="322">
      <c r="A314" s="27" t="n"/>
      <c r="B314" s="506" t="n"/>
      <c r="C314" s="141" t="n"/>
      <c r="D314" s="141" t="n"/>
      <c r="E314" s="141" t="n"/>
      <c r="F314" s="141" t="n"/>
      <c r="G314" s="143" t="n"/>
      <c r="H314" s="27" t="n"/>
    </row>
    <row r="315" ht="17.25" customHeight="1" s="322">
      <c r="A315" s="27" t="n"/>
      <c r="B315" s="506" t="n"/>
      <c r="C315" s="141" t="n"/>
      <c r="D315" s="141" t="n"/>
      <c r="E315" s="141" t="n"/>
      <c r="F315" s="141" t="n"/>
      <c r="G315" s="143" t="n"/>
      <c r="H315" s="27" t="n"/>
    </row>
    <row r="316" ht="17.25" customHeight="1" s="322">
      <c r="A316" s="27" t="n"/>
      <c r="B316" s="506" t="n"/>
      <c r="C316" s="141" t="n"/>
      <c r="D316" s="141" t="n"/>
      <c r="E316" s="141" t="n"/>
      <c r="F316" s="141" t="n"/>
      <c r="G316" s="143" t="n"/>
      <c r="H316" s="27" t="n"/>
    </row>
    <row r="317" ht="17.25" customHeight="1" s="322">
      <c r="A317" s="27" t="n"/>
      <c r="B317" s="506" t="n"/>
      <c r="C317" s="141" t="n"/>
      <c r="D317" s="141" t="n"/>
      <c r="E317" s="141" t="n"/>
      <c r="F317" s="141" t="n"/>
      <c r="G317" s="143" t="n"/>
      <c r="H317" s="27" t="n"/>
    </row>
    <row r="318" ht="17.25" customHeight="1" s="322">
      <c r="A318" s="27" t="n"/>
      <c r="B318" s="506" t="n"/>
      <c r="C318" s="141" t="n"/>
      <c r="D318" s="141" t="n"/>
      <c r="E318" s="141" t="n"/>
      <c r="F318" s="141" t="n"/>
      <c r="G318" s="143" t="n"/>
      <c r="H318" s="27" t="n"/>
    </row>
    <row r="319" ht="17.25" customHeight="1" s="322">
      <c r="A319" s="27" t="n"/>
      <c r="B319" s="506" t="n"/>
      <c r="C319" s="141" t="n"/>
      <c r="D319" s="141" t="n"/>
      <c r="E319" s="141" t="n"/>
      <c r="F319" s="141" t="n"/>
      <c r="G319" s="143" t="n"/>
      <c r="H319" s="27" t="n"/>
    </row>
    <row r="320" ht="17.25" customHeight="1" s="322">
      <c r="A320" s="27" t="n"/>
      <c r="B320" s="506" t="n"/>
      <c r="C320" s="141" t="n"/>
      <c r="D320" s="141" t="n"/>
      <c r="E320" s="141" t="n"/>
      <c r="F320" s="141" t="n"/>
      <c r="G320" s="143" t="n"/>
      <c r="H320" s="27" t="n"/>
    </row>
    <row r="321" ht="17.25" customHeight="1" s="322">
      <c r="A321" s="27" t="n"/>
      <c r="B321" s="506" t="n"/>
      <c r="C321" s="141" t="n"/>
      <c r="D321" s="141" t="n"/>
      <c r="E321" s="141" t="n"/>
      <c r="F321" s="141" t="n"/>
      <c r="G321" s="143" t="n"/>
      <c r="H321" s="27" t="n"/>
    </row>
    <row r="322" ht="17.25" customHeight="1" s="322">
      <c r="A322" s="27" t="n"/>
      <c r="B322" s="506" t="n"/>
      <c r="C322" s="141" t="n"/>
      <c r="D322" s="141" t="n"/>
      <c r="E322" s="141" t="n"/>
      <c r="F322" s="141" t="n"/>
      <c r="G322" s="143" t="n"/>
      <c r="H322" s="27" t="n"/>
    </row>
    <row r="323" ht="17.25" customHeight="1" s="322">
      <c r="A323" s="27" t="n"/>
      <c r="B323" s="506" t="n"/>
      <c r="C323" s="141" t="n"/>
      <c r="D323" s="141" t="n"/>
      <c r="E323" s="141" t="n"/>
      <c r="F323" s="141" t="n"/>
      <c r="G323" s="143" t="n"/>
      <c r="H323" s="27" t="n"/>
    </row>
    <row r="324" ht="17.25" customHeight="1" s="322">
      <c r="A324" s="27" t="n"/>
      <c r="B324" s="506" t="n"/>
      <c r="C324" s="141" t="n"/>
      <c r="D324" s="141" t="n"/>
      <c r="E324" s="141" t="n"/>
      <c r="F324" s="141" t="n"/>
      <c r="G324" s="143" t="n"/>
      <c r="H324" s="27" t="n"/>
    </row>
    <row r="325" ht="17.25" customHeight="1" s="322">
      <c r="A325" s="27" t="n"/>
      <c r="B325" s="506" t="n"/>
      <c r="C325" s="141" t="n"/>
      <c r="D325" s="141" t="n"/>
      <c r="E325" s="141" t="n"/>
      <c r="F325" s="141" t="n"/>
      <c r="G325" s="143" t="n"/>
      <c r="H325" s="27" t="n"/>
    </row>
    <row r="326" ht="17.25" customHeight="1" s="322">
      <c r="A326" s="27" t="n"/>
      <c r="B326" s="506" t="n"/>
      <c r="C326" s="141" t="n"/>
      <c r="D326" s="141" t="n"/>
      <c r="E326" s="141" t="n"/>
      <c r="F326" s="141" t="n"/>
      <c r="G326" s="143" t="n"/>
      <c r="H326" s="27" t="n"/>
    </row>
    <row r="327" ht="17.25" customHeight="1" s="322">
      <c r="A327" s="27" t="n"/>
      <c r="B327" s="506" t="n"/>
      <c r="C327" s="141" t="n"/>
      <c r="D327" s="141" t="n"/>
      <c r="E327" s="141" t="n"/>
      <c r="F327" s="141" t="n"/>
      <c r="G327" s="143" t="n"/>
      <c r="H327" s="27" t="n"/>
    </row>
    <row r="328" ht="17.25" customHeight="1" s="322">
      <c r="A328" s="27" t="n"/>
      <c r="B328" s="506" t="n"/>
      <c r="C328" s="141" t="n"/>
      <c r="D328" s="141" t="n"/>
      <c r="E328" s="141" t="n"/>
      <c r="F328" s="141" t="n"/>
      <c r="G328" s="143" t="n"/>
      <c r="H328" s="27" t="n"/>
    </row>
    <row r="329" ht="17.25" customHeight="1" s="322">
      <c r="A329" s="27" t="n"/>
      <c r="B329" s="506" t="n"/>
      <c r="C329" s="141" t="n"/>
      <c r="D329" s="141" t="n"/>
      <c r="E329" s="141" t="n"/>
      <c r="F329" s="141" t="n"/>
      <c r="G329" s="143" t="n"/>
      <c r="H329" s="27" t="n"/>
    </row>
    <row r="330" ht="17.25" customHeight="1" s="322">
      <c r="A330" s="27" t="n"/>
      <c r="B330" s="506" t="n"/>
      <c r="C330" s="141" t="n"/>
      <c r="D330" s="141" t="n"/>
      <c r="E330" s="141" t="n"/>
      <c r="F330" s="141" t="n"/>
      <c r="G330" s="143" t="n"/>
      <c r="H330" s="27" t="n"/>
    </row>
    <row r="331" ht="17.25" customHeight="1" s="322">
      <c r="A331" s="27" t="n"/>
      <c r="B331" s="506" t="n"/>
      <c r="C331" s="141" t="n"/>
      <c r="D331" s="141" t="n"/>
      <c r="E331" s="141" t="n"/>
      <c r="F331" s="141" t="n"/>
      <c r="G331" s="143" t="n"/>
      <c r="H331" s="27" t="n"/>
    </row>
    <row r="332" ht="17.25" customHeight="1" s="322">
      <c r="A332" s="27" t="n"/>
      <c r="B332" s="506" t="n"/>
      <c r="C332" s="141" t="n"/>
      <c r="D332" s="141" t="n"/>
      <c r="E332" s="141" t="n"/>
      <c r="F332" s="141" t="n"/>
      <c r="G332" s="143" t="n"/>
      <c r="H332" s="27" t="n"/>
    </row>
    <row r="333" ht="17.25" customHeight="1" s="322">
      <c r="A333" s="27" t="n"/>
      <c r="B333" s="506" t="n"/>
      <c r="C333" s="141" t="n"/>
      <c r="D333" s="141" t="n"/>
      <c r="E333" s="141" t="n"/>
      <c r="F333" s="141" t="n"/>
      <c r="G333" s="143" t="n"/>
      <c r="H333" s="27" t="n"/>
    </row>
    <row r="334" ht="17.25" customHeight="1" s="322">
      <c r="A334" s="27" t="n"/>
      <c r="B334" s="506" t="n"/>
      <c r="C334" s="141" t="n"/>
      <c r="D334" s="141" t="n"/>
      <c r="E334" s="141" t="n"/>
      <c r="F334" s="141" t="n"/>
      <c r="G334" s="143" t="n"/>
      <c r="H334" s="27" t="n"/>
    </row>
    <row r="335" ht="17.25" customHeight="1" s="322">
      <c r="A335" s="27" t="n"/>
      <c r="B335" s="506" t="n"/>
      <c r="C335" s="141" t="n"/>
      <c r="D335" s="141" t="n"/>
      <c r="E335" s="141" t="n"/>
      <c r="F335" s="141" t="n"/>
      <c r="G335" s="143" t="n"/>
      <c r="H335" s="27" t="n"/>
    </row>
    <row r="336" ht="17.25" customHeight="1" s="322">
      <c r="A336" s="27" t="n"/>
      <c r="B336" s="506" t="n"/>
      <c r="C336" s="141" t="n"/>
      <c r="D336" s="141" t="n"/>
      <c r="E336" s="141" t="n"/>
      <c r="F336" s="141" t="n"/>
      <c r="G336" s="143" t="n"/>
      <c r="H336" s="27" t="n"/>
    </row>
    <row r="337" ht="17.25" customHeight="1" s="322">
      <c r="A337" s="27" t="n"/>
      <c r="B337" s="506" t="n"/>
      <c r="C337" s="141" t="n"/>
      <c r="D337" s="141" t="n"/>
      <c r="E337" s="141" t="n"/>
      <c r="F337" s="141" t="n"/>
      <c r="G337" s="143" t="n"/>
      <c r="H337" s="27" t="n"/>
    </row>
    <row r="338" ht="17.25" customHeight="1" s="322">
      <c r="A338" s="27" t="n"/>
      <c r="B338" s="506" t="n"/>
      <c r="C338" s="141" t="n"/>
      <c r="D338" s="141" t="n"/>
      <c r="E338" s="141" t="n"/>
      <c r="F338" s="141" t="n"/>
      <c r="G338" s="143" t="n"/>
      <c r="H338" s="27" t="n"/>
    </row>
    <row r="339" ht="17.25" customHeight="1" s="322">
      <c r="A339" s="27" t="n"/>
      <c r="B339" s="506" t="n"/>
      <c r="C339" s="141" t="n"/>
      <c r="D339" s="141" t="n"/>
      <c r="E339" s="141" t="n"/>
      <c r="F339" s="141" t="n"/>
      <c r="G339" s="143" t="n"/>
      <c r="H339" s="27" t="n"/>
    </row>
    <row r="340" ht="17.25" customHeight="1" s="322">
      <c r="A340" s="27" t="n"/>
      <c r="B340" s="506" t="n"/>
      <c r="C340" s="141" t="n"/>
      <c r="D340" s="141" t="n"/>
      <c r="E340" s="141" t="n"/>
      <c r="F340" s="141" t="n"/>
      <c r="G340" s="143" t="n"/>
      <c r="H340" s="27" t="n"/>
    </row>
    <row r="341" ht="17.25" customHeight="1" s="322">
      <c r="A341" s="27" t="n"/>
      <c r="B341" s="506" t="n"/>
      <c r="C341" s="141" t="n"/>
      <c r="D341" s="141" t="n"/>
      <c r="E341" s="141" t="n"/>
      <c r="F341" s="141" t="n"/>
      <c r="G341" s="143" t="n"/>
      <c r="H341" s="27" t="n"/>
    </row>
    <row r="342" ht="17.25" customHeight="1" s="322">
      <c r="A342" s="27" t="n"/>
      <c r="B342" s="506" t="n"/>
      <c r="C342" s="141" t="n"/>
      <c r="D342" s="141" t="n"/>
      <c r="E342" s="141" t="n"/>
      <c r="F342" s="141" t="n"/>
      <c r="G342" s="143" t="n"/>
      <c r="H342" s="27" t="n"/>
    </row>
    <row r="343" ht="17.25" customHeight="1" s="322">
      <c r="A343" s="27" t="n"/>
      <c r="B343" s="506" t="n"/>
      <c r="C343" s="141" t="n"/>
      <c r="D343" s="141" t="n"/>
      <c r="E343" s="141" t="n"/>
      <c r="F343" s="141" t="n"/>
      <c r="G343" s="143" t="n"/>
      <c r="H343" s="27" t="n"/>
    </row>
    <row r="344" ht="17.25" customHeight="1" s="322">
      <c r="A344" s="27" t="n"/>
      <c r="B344" s="506" t="n"/>
      <c r="C344" s="141" t="n"/>
      <c r="D344" s="141" t="n"/>
      <c r="E344" s="141" t="n"/>
      <c r="F344" s="141" t="n"/>
      <c r="G344" s="143" t="n"/>
      <c r="H344" s="27" t="n"/>
    </row>
    <row r="345" ht="17.25" customHeight="1" s="322">
      <c r="A345" s="27" t="n"/>
      <c r="B345" s="506" t="n"/>
      <c r="C345" s="141" t="n"/>
      <c r="D345" s="141" t="n"/>
      <c r="E345" s="141" t="n"/>
      <c r="F345" s="141" t="n"/>
      <c r="G345" s="143" t="n"/>
      <c r="H345" s="27" t="n"/>
    </row>
    <row r="346" ht="17.25" customHeight="1" s="322">
      <c r="A346" s="27" t="n"/>
      <c r="B346" s="506" t="n"/>
      <c r="C346" s="141" t="n"/>
      <c r="D346" s="141" t="n"/>
      <c r="E346" s="141" t="n"/>
      <c r="F346" s="141" t="n"/>
      <c r="G346" s="143" t="n"/>
      <c r="H346" s="27" t="n"/>
    </row>
    <row r="347" ht="17.25" customHeight="1" s="322">
      <c r="A347" s="27" t="n"/>
      <c r="B347" s="506" t="n"/>
      <c r="C347" s="141" t="n"/>
      <c r="D347" s="141" t="n"/>
      <c r="E347" s="141" t="n"/>
      <c r="F347" s="141" t="n"/>
      <c r="G347" s="143" t="n"/>
      <c r="H347" s="27" t="n"/>
    </row>
    <row r="348" ht="17.25" customHeight="1" s="322">
      <c r="A348" s="27" t="n"/>
      <c r="B348" s="506" t="n"/>
      <c r="C348" s="141" t="n"/>
      <c r="D348" s="141" t="n"/>
      <c r="E348" s="141" t="n"/>
      <c r="F348" s="141" t="n"/>
      <c r="G348" s="143" t="n"/>
      <c r="H348" s="27" t="n"/>
    </row>
    <row r="349" ht="17.25" customHeight="1" s="322">
      <c r="A349" s="27" t="n"/>
      <c r="B349" s="506" t="n"/>
      <c r="C349" s="141" t="n"/>
      <c r="D349" s="141" t="n"/>
      <c r="E349" s="141" t="n"/>
      <c r="F349" s="141" t="n"/>
      <c r="G349" s="143" t="n"/>
      <c r="H349" s="27" t="n"/>
    </row>
    <row r="350" ht="17.25" customHeight="1" s="322">
      <c r="A350" s="27" t="n"/>
      <c r="B350" s="506" t="n"/>
      <c r="C350" s="141" t="n"/>
      <c r="D350" s="141" t="n"/>
      <c r="E350" s="141" t="n"/>
      <c r="F350" s="141" t="n"/>
      <c r="G350" s="143" t="n"/>
      <c r="H350" s="27" t="n"/>
    </row>
    <row r="351" ht="17.25" customHeight="1" s="322">
      <c r="A351" s="27" t="n"/>
      <c r="B351" s="506" t="n"/>
      <c r="C351" s="141" t="n"/>
      <c r="D351" s="141" t="n"/>
      <c r="E351" s="141" t="n"/>
      <c r="F351" s="141" t="n"/>
      <c r="G351" s="143" t="n"/>
      <c r="H351" s="27" t="n"/>
    </row>
    <row r="352" ht="17.25" customHeight="1" s="322">
      <c r="A352" s="27" t="n"/>
      <c r="B352" s="506" t="n"/>
      <c r="C352" s="141" t="n"/>
      <c r="D352" s="141" t="n"/>
      <c r="E352" s="141" t="n"/>
      <c r="F352" s="141" t="n"/>
      <c r="G352" s="143" t="n"/>
      <c r="H352" s="27" t="n"/>
    </row>
    <row r="353" ht="17.25" customHeight="1" s="322">
      <c r="A353" s="27" t="n"/>
      <c r="B353" s="506" t="n"/>
      <c r="C353" s="141" t="n"/>
      <c r="D353" s="141" t="n"/>
      <c r="E353" s="141" t="n"/>
      <c r="F353" s="141" t="n"/>
      <c r="G353" s="143" t="n"/>
      <c r="H353" s="27" t="n"/>
    </row>
    <row r="354" ht="17.25" customHeight="1" s="322">
      <c r="A354" s="27" t="n"/>
      <c r="B354" s="506" t="n"/>
      <c r="C354" s="141" t="n"/>
      <c r="D354" s="141" t="n"/>
      <c r="E354" s="141" t="n"/>
      <c r="F354" s="141" t="n"/>
      <c r="G354" s="143" t="n"/>
      <c r="H354" s="27" t="n"/>
    </row>
    <row r="355" ht="17.25" customHeight="1" s="322">
      <c r="A355" s="27" t="n"/>
      <c r="B355" s="506" t="n"/>
      <c r="C355" s="141" t="n"/>
      <c r="D355" s="141" t="n"/>
      <c r="E355" s="141" t="n"/>
      <c r="F355" s="141" t="n"/>
      <c r="G355" s="143" t="n"/>
      <c r="H355" s="27" t="n"/>
    </row>
    <row r="356" ht="17.25" customHeight="1" s="322">
      <c r="A356" s="27" t="n"/>
      <c r="B356" s="506" t="n"/>
      <c r="C356" s="141" t="n"/>
      <c r="D356" s="141" t="n"/>
      <c r="E356" s="141" t="n"/>
      <c r="F356" s="141" t="n"/>
      <c r="G356" s="143" t="n"/>
      <c r="H356" s="27" t="n"/>
    </row>
    <row r="357" ht="17.25" customHeight="1" s="322">
      <c r="A357" s="27" t="n"/>
      <c r="B357" s="506" t="n"/>
      <c r="C357" s="141" t="n"/>
      <c r="D357" s="141" t="n"/>
      <c r="E357" s="141" t="n"/>
      <c r="F357" s="141" t="n"/>
      <c r="G357" s="143" t="n"/>
      <c r="H357" s="27" t="n"/>
    </row>
    <row r="358" ht="17.25" customHeight="1" s="322">
      <c r="A358" s="27" t="n"/>
      <c r="B358" s="506" t="n"/>
      <c r="C358" s="141" t="n"/>
      <c r="D358" s="141" t="n"/>
      <c r="E358" s="141" t="n"/>
      <c r="F358" s="141" t="n"/>
      <c r="G358" s="143" t="n"/>
      <c r="H358" s="27" t="n"/>
    </row>
    <row r="359" ht="17.25" customHeight="1" s="322">
      <c r="A359" s="27" t="n"/>
      <c r="B359" s="506" t="n"/>
      <c r="C359" s="141" t="n"/>
      <c r="D359" s="141" t="n"/>
      <c r="E359" s="141" t="n"/>
      <c r="F359" s="141" t="n"/>
      <c r="G359" s="143" t="n"/>
      <c r="H359" s="27" t="n"/>
    </row>
    <row r="360" ht="17.25" customHeight="1" s="322">
      <c r="A360" s="27" t="n"/>
      <c r="B360" s="506" t="n"/>
      <c r="C360" s="141" t="n"/>
      <c r="D360" s="141" t="n"/>
      <c r="E360" s="141" t="n"/>
      <c r="F360" s="141" t="n"/>
      <c r="G360" s="143" t="n"/>
      <c r="H360" s="27" t="n"/>
    </row>
    <row r="361" ht="17.25" customHeight="1" s="322">
      <c r="A361" s="27" t="n"/>
      <c r="B361" s="506" t="n"/>
      <c r="C361" s="141" t="n"/>
      <c r="D361" s="141" t="n"/>
      <c r="E361" s="141" t="n"/>
      <c r="F361" s="141" t="n"/>
      <c r="G361" s="143" t="n"/>
      <c r="H361" s="27" t="n"/>
    </row>
    <row r="362" ht="17.25" customHeight="1" s="322">
      <c r="A362" s="27" t="n"/>
      <c r="B362" s="506" t="n"/>
      <c r="C362" s="141" t="n"/>
      <c r="D362" s="141" t="n"/>
      <c r="E362" s="141" t="n"/>
      <c r="F362" s="141" t="n"/>
      <c r="G362" s="143" t="n"/>
      <c r="H362" s="27" t="n"/>
    </row>
    <row r="363" ht="17.25" customHeight="1" s="322">
      <c r="A363" s="27" t="n"/>
      <c r="B363" s="506" t="n"/>
      <c r="C363" s="141" t="n"/>
      <c r="D363" s="141" t="n"/>
      <c r="E363" s="141" t="n"/>
      <c r="F363" s="141" t="n"/>
      <c r="G363" s="143" t="n"/>
      <c r="H363" s="27" t="n"/>
    </row>
    <row r="364" ht="17.25" customHeight="1" s="322">
      <c r="A364" s="27" t="n"/>
      <c r="B364" s="506" t="n"/>
      <c r="C364" s="141" t="n"/>
      <c r="D364" s="141" t="n"/>
      <c r="E364" s="141" t="n"/>
      <c r="F364" s="141" t="n"/>
      <c r="G364" s="143" t="n"/>
      <c r="H364" s="27" t="n"/>
    </row>
    <row r="365" ht="17.25" customHeight="1" s="322">
      <c r="A365" s="27" t="n"/>
      <c r="B365" s="506" t="n"/>
      <c r="C365" s="141" t="n"/>
      <c r="D365" s="141" t="n"/>
      <c r="E365" s="141" t="n"/>
      <c r="F365" s="141" t="n"/>
      <c r="G365" s="143" t="n"/>
      <c r="H365" s="27" t="n"/>
    </row>
    <row r="366" ht="17.25" customHeight="1" s="322">
      <c r="A366" s="27" t="n"/>
      <c r="B366" s="506" t="n"/>
      <c r="C366" s="141" t="n"/>
      <c r="D366" s="141" t="n"/>
      <c r="E366" s="141" t="n"/>
      <c r="F366" s="141" t="n"/>
      <c r="G366" s="143" t="n"/>
      <c r="H366" s="27" t="n"/>
    </row>
    <row r="367" ht="17.25" customHeight="1" s="322">
      <c r="A367" s="27" t="n"/>
      <c r="B367" s="506" t="n"/>
      <c r="C367" s="141" t="n"/>
      <c r="D367" s="141" t="n"/>
      <c r="E367" s="141" t="n"/>
      <c r="F367" s="141" t="n"/>
      <c r="G367" s="143" t="n"/>
      <c r="H367" s="27" t="n"/>
    </row>
    <row r="368" ht="17.25" customHeight="1" s="322">
      <c r="A368" s="27" t="n"/>
      <c r="B368" s="506" t="n"/>
      <c r="C368" s="141" t="n"/>
      <c r="D368" s="141" t="n"/>
      <c r="E368" s="141" t="n"/>
      <c r="F368" s="141" t="n"/>
      <c r="G368" s="143" t="n"/>
      <c r="H368" s="27" t="n"/>
    </row>
    <row r="369" ht="17.25" customHeight="1" s="322">
      <c r="A369" s="27" t="n"/>
      <c r="B369" s="506" t="n"/>
      <c r="C369" s="141" t="n"/>
      <c r="D369" s="141" t="n"/>
      <c r="E369" s="141" t="n"/>
      <c r="F369" s="141" t="n"/>
      <c r="G369" s="143" t="n"/>
      <c r="H369" s="27" t="n"/>
    </row>
    <row r="370" ht="17.25" customHeight="1" s="322">
      <c r="A370" s="27" t="n"/>
      <c r="B370" s="506" t="n"/>
      <c r="C370" s="141" t="n"/>
      <c r="D370" s="141" t="n"/>
      <c r="E370" s="141" t="n"/>
      <c r="F370" s="141" t="n"/>
      <c r="G370" s="143" t="n"/>
      <c r="H370" s="27" t="n"/>
    </row>
    <row r="371" ht="17.25" customHeight="1" s="322">
      <c r="A371" s="27" t="n"/>
      <c r="B371" s="506" t="n"/>
      <c r="C371" s="141" t="n"/>
      <c r="D371" s="141" t="n"/>
      <c r="E371" s="141" t="n"/>
      <c r="F371" s="141" t="n"/>
      <c r="G371" s="143" t="n"/>
      <c r="H371" s="27" t="n"/>
    </row>
    <row r="372" ht="17.25" customHeight="1" s="322">
      <c r="A372" s="27" t="n"/>
      <c r="B372" s="506" t="n"/>
      <c r="C372" s="141" t="n"/>
      <c r="D372" s="141" t="n"/>
      <c r="E372" s="141" t="n"/>
      <c r="F372" s="141" t="n"/>
      <c r="G372" s="143" t="n"/>
      <c r="H372" s="27" t="n"/>
    </row>
    <row r="373" ht="17.25" customHeight="1" s="322">
      <c r="A373" s="27" t="n"/>
      <c r="B373" s="506" t="n"/>
      <c r="C373" s="141" t="n"/>
      <c r="D373" s="141" t="n"/>
      <c r="E373" s="141" t="n"/>
      <c r="F373" s="141" t="n"/>
      <c r="G373" s="143" t="n"/>
      <c r="H373" s="27" t="n"/>
    </row>
    <row r="374" ht="17.25" customHeight="1" s="322">
      <c r="A374" s="27" t="n"/>
      <c r="B374" s="506" t="n"/>
      <c r="C374" s="141" t="n"/>
      <c r="D374" s="141" t="n"/>
      <c r="E374" s="141" t="n"/>
      <c r="F374" s="141" t="n"/>
      <c r="G374" s="143" t="n"/>
      <c r="H374" s="27" t="n"/>
    </row>
    <row r="375" ht="17.25" customHeight="1" s="322">
      <c r="A375" s="27" t="n"/>
      <c r="B375" s="506" t="n"/>
      <c r="C375" s="141" t="n"/>
      <c r="D375" s="141" t="n"/>
      <c r="E375" s="141" t="n"/>
      <c r="F375" s="141" t="n"/>
      <c r="G375" s="143" t="n"/>
      <c r="H375" s="27" t="n"/>
    </row>
    <row r="376" ht="17.25" customHeight="1" s="322">
      <c r="A376" s="27" t="n"/>
      <c r="B376" s="506" t="n"/>
      <c r="C376" s="141" t="n"/>
      <c r="D376" s="141" t="n"/>
      <c r="E376" s="141" t="n"/>
      <c r="F376" s="141" t="n"/>
      <c r="G376" s="143" t="n"/>
      <c r="H376" s="27" t="n"/>
    </row>
    <row r="377" ht="17.25" customHeight="1" s="322">
      <c r="A377" s="27" t="n"/>
      <c r="B377" s="506" t="n"/>
      <c r="C377" s="141" t="n"/>
      <c r="D377" s="141" t="n"/>
      <c r="E377" s="141" t="n"/>
      <c r="F377" s="141" t="n"/>
      <c r="G377" s="143" t="n"/>
      <c r="H377" s="27" t="n"/>
    </row>
    <row r="378" ht="17.25" customHeight="1" s="322">
      <c r="A378" s="27" t="n"/>
      <c r="B378" s="506" t="n"/>
      <c r="C378" s="141" t="n"/>
      <c r="D378" s="141" t="n"/>
      <c r="E378" s="141" t="n"/>
      <c r="F378" s="141" t="n"/>
      <c r="G378" s="143" t="n"/>
      <c r="H378" s="27" t="n"/>
    </row>
    <row r="379" ht="17.25" customHeight="1" s="322">
      <c r="A379" s="27" t="n"/>
      <c r="B379" s="506" t="n"/>
      <c r="C379" s="141" t="n"/>
      <c r="D379" s="141" t="n"/>
      <c r="E379" s="141" t="n"/>
      <c r="F379" s="141" t="n"/>
      <c r="G379" s="143" t="n"/>
      <c r="H379" s="27" t="n"/>
    </row>
    <row r="380" ht="17.25" customHeight="1" s="322">
      <c r="A380" s="27" t="n"/>
      <c r="B380" s="506" t="n"/>
      <c r="C380" s="141" t="n"/>
      <c r="D380" s="141" t="n"/>
      <c r="E380" s="141" t="n"/>
      <c r="F380" s="141" t="n"/>
      <c r="G380" s="143" t="n"/>
      <c r="H380" s="27" t="n"/>
    </row>
    <row r="381" ht="17.25" customHeight="1" s="322">
      <c r="A381" s="27" t="n"/>
      <c r="B381" s="506" t="n"/>
      <c r="C381" s="141" t="n"/>
      <c r="D381" s="141" t="n"/>
      <c r="E381" s="141" t="n"/>
      <c r="F381" s="141" t="n"/>
      <c r="G381" s="143" t="n"/>
      <c r="H381" s="27" t="n"/>
    </row>
    <row r="382" ht="17.25" customHeight="1" s="322">
      <c r="A382" s="27" t="n"/>
      <c r="B382" s="506" t="n"/>
      <c r="C382" s="141" t="n"/>
      <c r="D382" s="141" t="n"/>
      <c r="E382" s="141" t="n"/>
      <c r="F382" s="141" t="n"/>
      <c r="G382" s="143" t="n"/>
      <c r="H382" s="27" t="n"/>
    </row>
    <row r="383" ht="17.25" customHeight="1" s="322">
      <c r="A383" s="27" t="n"/>
      <c r="B383" s="506" t="n"/>
      <c r="C383" s="141" t="n"/>
      <c r="D383" s="141" t="n"/>
      <c r="E383" s="141" t="n"/>
      <c r="F383" s="141" t="n"/>
      <c r="G383" s="143" t="n"/>
      <c r="H383" s="27" t="n"/>
    </row>
    <row r="384" ht="17.25" customHeight="1" s="322">
      <c r="A384" s="27" t="n"/>
      <c r="B384" s="506" t="n"/>
      <c r="C384" s="141" t="n"/>
      <c r="D384" s="141" t="n"/>
      <c r="E384" s="141" t="n"/>
      <c r="F384" s="141" t="n"/>
      <c r="G384" s="143" t="n"/>
      <c r="H384" s="27" t="n"/>
    </row>
    <row r="385" ht="17.25" customHeight="1" s="322">
      <c r="A385" s="27" t="n"/>
      <c r="B385" s="506" t="n"/>
      <c r="C385" s="141" t="n"/>
      <c r="D385" s="141" t="n"/>
      <c r="E385" s="141" t="n"/>
      <c r="F385" s="141" t="n"/>
      <c r="G385" s="143" t="n"/>
      <c r="H385" s="27" t="n"/>
    </row>
    <row r="386" ht="17.25" customHeight="1" s="322">
      <c r="A386" s="27" t="n"/>
      <c r="B386" s="506" t="n"/>
      <c r="C386" s="141" t="n"/>
      <c r="D386" s="141" t="n"/>
      <c r="E386" s="141" t="n"/>
      <c r="F386" s="141" t="n"/>
      <c r="G386" s="143" t="n"/>
      <c r="H386" s="27" t="n"/>
    </row>
    <row r="387" ht="17.25" customHeight="1" s="322">
      <c r="A387" s="27" t="n"/>
      <c r="B387" s="506" t="n"/>
      <c r="C387" s="141" t="n"/>
      <c r="D387" s="141" t="n"/>
      <c r="E387" s="141" t="n"/>
      <c r="F387" s="141" t="n"/>
      <c r="G387" s="143" t="n"/>
      <c r="H387" s="27" t="n"/>
    </row>
    <row r="388" ht="17.25" customHeight="1" s="322">
      <c r="A388" s="27" t="n"/>
      <c r="B388" s="506" t="n"/>
      <c r="C388" s="141" t="n"/>
      <c r="D388" s="141" t="n"/>
      <c r="E388" s="141" t="n"/>
      <c r="F388" s="141" t="n"/>
      <c r="G388" s="143" t="n"/>
      <c r="H388" s="27" t="n"/>
    </row>
    <row r="389" ht="17.25" customHeight="1" s="322">
      <c r="A389" s="27" t="n"/>
      <c r="B389" s="506" t="n"/>
      <c r="C389" s="141" t="n"/>
      <c r="D389" s="141" t="n"/>
      <c r="E389" s="141" t="n"/>
      <c r="F389" s="141" t="n"/>
      <c r="G389" s="143" t="n"/>
      <c r="H389" s="27" t="n"/>
    </row>
    <row r="390" ht="17.25" customHeight="1" s="322">
      <c r="A390" s="27" t="n"/>
      <c r="B390" s="506" t="n"/>
      <c r="C390" s="141" t="n"/>
      <c r="D390" s="141" t="n"/>
      <c r="E390" s="141" t="n"/>
      <c r="F390" s="141" t="n"/>
      <c r="G390" s="143" t="n"/>
      <c r="H390" s="27" t="n"/>
    </row>
    <row r="391" ht="17.25" customHeight="1" s="322">
      <c r="A391" s="27" t="n"/>
      <c r="B391" s="506" t="n"/>
      <c r="C391" s="141" t="n"/>
      <c r="D391" s="141" t="n"/>
      <c r="E391" s="141" t="n"/>
      <c r="F391" s="141" t="n"/>
      <c r="G391" s="143" t="n"/>
      <c r="H391" s="27" t="n"/>
    </row>
    <row r="392" ht="17.25" customHeight="1" s="322">
      <c r="A392" s="27" t="n"/>
      <c r="B392" s="506" t="n"/>
      <c r="C392" s="141" t="n"/>
      <c r="D392" s="141" t="n"/>
      <c r="E392" s="141" t="n"/>
      <c r="F392" s="141" t="n"/>
      <c r="G392" s="143" t="n"/>
      <c r="H392" s="27" t="n"/>
    </row>
    <row r="393" ht="17.25" customHeight="1" s="322">
      <c r="A393" s="27" t="n"/>
      <c r="B393" s="506" t="n"/>
      <c r="C393" s="141" t="n"/>
      <c r="D393" s="141" t="n"/>
      <c r="E393" s="141" t="n"/>
      <c r="F393" s="141" t="n"/>
      <c r="G393" s="143" t="n"/>
      <c r="H393" s="27" t="n"/>
    </row>
    <row r="394" ht="17.25" customHeight="1" s="322">
      <c r="A394" s="27" t="n"/>
      <c r="B394" s="506" t="n"/>
      <c r="C394" s="141" t="n"/>
      <c r="D394" s="141" t="n"/>
      <c r="E394" s="141" t="n"/>
      <c r="F394" s="141" t="n"/>
      <c r="G394" s="143" t="n"/>
      <c r="H394" s="27" t="n"/>
    </row>
    <row r="395" ht="17.25" customHeight="1" s="322">
      <c r="A395" s="27" t="n"/>
      <c r="B395" s="506" t="n"/>
      <c r="C395" s="141" t="n"/>
      <c r="D395" s="141" t="n"/>
      <c r="E395" s="141" t="n"/>
      <c r="F395" s="141" t="n"/>
      <c r="G395" s="143" t="n"/>
      <c r="H395" s="27" t="n"/>
    </row>
    <row r="396" ht="17.25" customHeight="1" s="322">
      <c r="A396" s="27" t="n"/>
      <c r="B396" s="506" t="n"/>
      <c r="C396" s="141" t="n"/>
      <c r="D396" s="141" t="n"/>
      <c r="E396" s="141" t="n"/>
      <c r="F396" s="141" t="n"/>
      <c r="G396" s="143" t="n"/>
      <c r="H396" s="27" t="n"/>
    </row>
    <row r="397" ht="17.25" customHeight="1" s="322">
      <c r="A397" s="27" t="n"/>
      <c r="B397" s="506" t="n"/>
      <c r="C397" s="141" t="n"/>
      <c r="D397" s="141" t="n"/>
      <c r="E397" s="141" t="n"/>
      <c r="F397" s="141" t="n"/>
      <c r="G397" s="143" t="n"/>
      <c r="H397" s="27" t="n"/>
    </row>
    <row r="398" ht="17.25" customHeight="1" s="322">
      <c r="A398" s="27" t="n"/>
      <c r="B398" s="506" t="n"/>
      <c r="C398" s="141" t="n"/>
      <c r="D398" s="141" t="n"/>
      <c r="E398" s="141" t="n"/>
      <c r="F398" s="141" t="n"/>
      <c r="G398" s="143" t="n"/>
      <c r="H398" s="27" t="n"/>
    </row>
    <row r="399" ht="17.25" customHeight="1" s="322">
      <c r="A399" s="27" t="n"/>
      <c r="B399" s="506" t="n"/>
      <c r="C399" s="141" t="n"/>
      <c r="D399" s="141" t="n"/>
      <c r="E399" s="141" t="n"/>
      <c r="F399" s="141" t="n"/>
      <c r="G399" s="143" t="n"/>
      <c r="H399" s="27" t="n"/>
    </row>
    <row r="400" ht="17.25" customHeight="1" s="322">
      <c r="A400" s="27" t="n"/>
      <c r="B400" s="506" t="n"/>
      <c r="C400" s="141" t="n"/>
      <c r="D400" s="141" t="n"/>
      <c r="E400" s="141" t="n"/>
      <c r="F400" s="141" t="n"/>
      <c r="G400" s="143" t="n"/>
      <c r="H400" s="27" t="n"/>
    </row>
    <row r="401" ht="17.25" customHeight="1" s="322">
      <c r="A401" s="27" t="n"/>
      <c r="B401" s="506" t="n"/>
      <c r="C401" s="141" t="n"/>
      <c r="D401" s="141" t="n"/>
      <c r="E401" s="141" t="n"/>
      <c r="F401" s="141" t="n"/>
      <c r="G401" s="143" t="n"/>
      <c r="H401" s="27" t="n"/>
    </row>
    <row r="402" ht="17.25" customHeight="1" s="322">
      <c r="A402" s="27" t="n"/>
      <c r="B402" s="506" t="n"/>
      <c r="C402" s="141" t="n"/>
      <c r="D402" s="141" t="n"/>
      <c r="E402" s="141" t="n"/>
      <c r="F402" s="141" t="n"/>
      <c r="G402" s="143" t="n"/>
      <c r="H402" s="27" t="n"/>
    </row>
    <row r="403" ht="17.25" customHeight="1" s="322">
      <c r="A403" s="27" t="n"/>
      <c r="B403" s="506" t="n"/>
      <c r="C403" s="141" t="n"/>
      <c r="D403" s="141" t="n"/>
      <c r="E403" s="141" t="n"/>
      <c r="F403" s="141" t="n"/>
      <c r="G403" s="143" t="n"/>
      <c r="H403" s="27" t="n"/>
    </row>
    <row r="404" ht="17.25" customHeight="1" s="322">
      <c r="A404" s="27" t="n"/>
      <c r="B404" s="506" t="n"/>
      <c r="C404" s="141" t="n"/>
      <c r="D404" s="141" t="n"/>
      <c r="E404" s="141" t="n"/>
      <c r="F404" s="141" t="n"/>
      <c r="G404" s="143" t="n"/>
      <c r="H404" s="27" t="n"/>
    </row>
    <row r="405" ht="17.25" customHeight="1" s="322">
      <c r="A405" s="27" t="n"/>
      <c r="B405" s="506" t="n"/>
      <c r="C405" s="141" t="n"/>
      <c r="D405" s="141" t="n"/>
      <c r="E405" s="141" t="n"/>
      <c r="F405" s="141" t="n"/>
      <c r="G405" s="143" t="n"/>
      <c r="H405" s="27" t="n"/>
    </row>
    <row r="406" ht="17.25" customHeight="1" s="322">
      <c r="A406" s="27" t="n"/>
      <c r="B406" s="506" t="n"/>
      <c r="C406" s="141" t="n"/>
      <c r="D406" s="141" t="n"/>
      <c r="E406" s="141" t="n"/>
      <c r="F406" s="141" t="n"/>
      <c r="G406" s="143" t="n"/>
      <c r="H406" s="27" t="n"/>
    </row>
    <row r="407" ht="17.25" customHeight="1" s="322">
      <c r="A407" s="27" t="n"/>
      <c r="B407" s="506" t="n"/>
      <c r="C407" s="141" t="n"/>
      <c r="D407" s="141" t="n"/>
      <c r="E407" s="141" t="n"/>
      <c r="F407" s="141" t="n"/>
      <c r="G407" s="143" t="n"/>
      <c r="H407" s="27" t="n"/>
    </row>
    <row r="408" ht="17.25" customHeight="1" s="322">
      <c r="A408" s="27" t="n"/>
      <c r="B408" s="506" t="n"/>
      <c r="C408" s="141" t="n"/>
      <c r="D408" s="141" t="n"/>
      <c r="E408" s="141" t="n"/>
      <c r="F408" s="141" t="n"/>
      <c r="G408" s="143" t="n"/>
      <c r="H408" s="27" t="n"/>
    </row>
    <row r="409" ht="17.25" customHeight="1" s="322">
      <c r="A409" s="27" t="n"/>
      <c r="B409" s="506" t="n"/>
      <c r="C409" s="141" t="n"/>
      <c r="D409" s="141" t="n"/>
      <c r="E409" s="141" t="n"/>
      <c r="F409" s="141" t="n"/>
      <c r="G409" s="143" t="n"/>
      <c r="H409" s="27" t="n"/>
    </row>
    <row r="410" ht="17.25" customHeight="1" s="322">
      <c r="A410" s="27" t="n"/>
      <c r="B410" s="506" t="n"/>
      <c r="C410" s="141" t="n"/>
      <c r="D410" s="141" t="n"/>
      <c r="E410" s="141" t="n"/>
      <c r="F410" s="141" t="n"/>
      <c r="G410" s="143" t="n"/>
      <c r="H410" s="27" t="n"/>
    </row>
    <row r="411" ht="17.25" customHeight="1" s="322">
      <c r="A411" s="27" t="n"/>
      <c r="B411" s="506" t="n"/>
      <c r="C411" s="141" t="n"/>
      <c r="D411" s="141" t="n"/>
      <c r="E411" s="141" t="n"/>
      <c r="F411" s="141" t="n"/>
      <c r="G411" s="143" t="n"/>
      <c r="H411" s="27" t="n"/>
    </row>
    <row r="412" ht="17.25" customHeight="1" s="322">
      <c r="A412" s="27" t="n"/>
      <c r="B412" s="506" t="n"/>
      <c r="C412" s="141" t="n"/>
      <c r="D412" s="141" t="n"/>
      <c r="E412" s="141" t="n"/>
      <c r="F412" s="141" t="n"/>
      <c r="G412" s="143" t="n"/>
      <c r="H412" s="27" t="n"/>
    </row>
    <row r="413" ht="17.25" customHeight="1" s="322">
      <c r="A413" s="27" t="n"/>
      <c r="B413" s="506" t="n"/>
      <c r="C413" s="141" t="n"/>
      <c r="D413" s="141" t="n"/>
      <c r="E413" s="141" t="n"/>
      <c r="F413" s="141" t="n"/>
      <c r="G413" s="143" t="n"/>
      <c r="H413" s="27" t="n"/>
    </row>
    <row r="414" ht="17.25" customHeight="1" s="322">
      <c r="A414" s="27" t="n"/>
      <c r="B414" s="506" t="n"/>
      <c r="C414" s="141" t="n"/>
      <c r="D414" s="141" t="n"/>
      <c r="E414" s="141" t="n"/>
      <c r="F414" s="141" t="n"/>
      <c r="G414" s="143" t="n"/>
      <c r="H414" s="27" t="n"/>
    </row>
    <row r="415" ht="17.25" customHeight="1" s="322">
      <c r="A415" s="27" t="n"/>
      <c r="B415" s="506" t="n"/>
      <c r="C415" s="141" t="n"/>
      <c r="D415" s="141" t="n"/>
      <c r="E415" s="141" t="n"/>
      <c r="F415" s="141" t="n"/>
      <c r="G415" s="143" t="n"/>
      <c r="H415" s="27" t="n"/>
    </row>
    <row r="416" ht="17.25" customHeight="1" s="322">
      <c r="A416" s="27" t="n"/>
      <c r="B416" s="506" t="n"/>
      <c r="C416" s="141" t="n"/>
      <c r="D416" s="141" t="n"/>
      <c r="E416" s="141" t="n"/>
      <c r="F416" s="141" t="n"/>
      <c r="G416" s="143" t="n"/>
      <c r="H416" s="27" t="n"/>
    </row>
    <row r="417" ht="17.25" customHeight="1" s="322">
      <c r="A417" s="27" t="n"/>
      <c r="B417" s="506" t="n"/>
      <c r="C417" s="141" t="n"/>
      <c r="D417" s="141" t="n"/>
      <c r="E417" s="141" t="n"/>
      <c r="F417" s="141" t="n"/>
      <c r="G417" s="143" t="n"/>
      <c r="H417" s="27" t="n"/>
    </row>
    <row r="418" ht="17.25" customHeight="1" s="322">
      <c r="A418" s="27" t="n"/>
      <c r="B418" s="506" t="n"/>
      <c r="C418" s="141" t="n"/>
      <c r="D418" s="141" t="n"/>
      <c r="E418" s="141" t="n"/>
      <c r="F418" s="141" t="n"/>
      <c r="G418" s="143" t="n"/>
      <c r="H418" s="27" t="n"/>
    </row>
    <row r="419" ht="17.25" customHeight="1" s="322">
      <c r="A419" s="27" t="n"/>
      <c r="B419" s="506" t="n"/>
      <c r="C419" s="141" t="n"/>
      <c r="D419" s="141" t="n"/>
      <c r="E419" s="141" t="n"/>
      <c r="F419" s="141" t="n"/>
      <c r="G419" s="143" t="n"/>
      <c r="H419" s="27" t="n"/>
    </row>
    <row r="420" ht="17.25" customHeight="1" s="322">
      <c r="A420" s="27" t="n"/>
      <c r="B420" s="506" t="n"/>
      <c r="C420" s="141" t="n"/>
      <c r="D420" s="141" t="n"/>
      <c r="E420" s="141" t="n"/>
      <c r="F420" s="141" t="n"/>
      <c r="G420" s="143" t="n"/>
      <c r="H420" s="27" t="n"/>
    </row>
    <row r="421" ht="17.25" customHeight="1" s="322">
      <c r="A421" s="27" t="n"/>
      <c r="B421" s="506" t="n"/>
      <c r="C421" s="141" t="n"/>
      <c r="D421" s="141" t="n"/>
      <c r="E421" s="141" t="n"/>
      <c r="F421" s="141" t="n"/>
      <c r="G421" s="143" t="n"/>
      <c r="H421" s="27" t="n"/>
    </row>
    <row r="422" ht="17.25" customHeight="1" s="322">
      <c r="A422" s="27" t="n"/>
      <c r="B422" s="506" t="n"/>
      <c r="C422" s="141" t="n"/>
      <c r="D422" s="141" t="n"/>
      <c r="E422" s="141" t="n"/>
      <c r="F422" s="141" t="n"/>
      <c r="G422" s="143" t="n"/>
      <c r="H422" s="27" t="n"/>
    </row>
    <row r="423" ht="17.25" customHeight="1" s="322">
      <c r="A423" s="27" t="n"/>
      <c r="B423" s="506" t="n"/>
      <c r="C423" s="141" t="n"/>
      <c r="D423" s="141" t="n"/>
      <c r="E423" s="141" t="n"/>
      <c r="F423" s="141" t="n"/>
      <c r="G423" s="143" t="n"/>
      <c r="H423" s="27" t="n"/>
    </row>
    <row r="424" ht="17.25" customHeight="1" s="322">
      <c r="A424" s="27" t="n"/>
      <c r="B424" s="506" t="n"/>
      <c r="C424" s="141" t="n"/>
      <c r="D424" s="141" t="n"/>
      <c r="E424" s="141" t="n"/>
      <c r="F424" s="141" t="n"/>
      <c r="G424" s="143" t="n"/>
      <c r="H424" s="27" t="n"/>
    </row>
    <row r="425" ht="17.25" customHeight="1" s="322">
      <c r="A425" s="27" t="n"/>
      <c r="B425" s="506" t="n"/>
      <c r="C425" s="141" t="n"/>
      <c r="D425" s="141" t="n"/>
      <c r="E425" s="141" t="n"/>
      <c r="F425" s="141" t="n"/>
      <c r="G425" s="143" t="n"/>
      <c r="H425" s="27" t="n"/>
    </row>
    <row r="426" ht="17.25" customHeight="1" s="322">
      <c r="A426" s="27" t="n"/>
      <c r="B426" s="506" t="n"/>
      <c r="C426" s="141" t="n"/>
      <c r="D426" s="141" t="n"/>
      <c r="E426" s="141" t="n"/>
      <c r="F426" s="141" t="n"/>
      <c r="G426" s="143" t="n"/>
      <c r="H426" s="27" t="n"/>
    </row>
    <row r="427" ht="17.25" customHeight="1" s="322">
      <c r="A427" s="27" t="n"/>
      <c r="B427" s="506" t="n"/>
      <c r="C427" s="141" t="n"/>
      <c r="D427" s="141" t="n"/>
      <c r="E427" s="141" t="n"/>
      <c r="F427" s="141" t="n"/>
      <c r="G427" s="143" t="n"/>
      <c r="H427" s="27" t="n"/>
    </row>
    <row r="428" ht="17.25" customHeight="1" s="322">
      <c r="A428" s="27" t="n"/>
      <c r="B428" s="506" t="n"/>
      <c r="C428" s="141" t="n"/>
      <c r="D428" s="141" t="n"/>
      <c r="E428" s="141" t="n"/>
      <c r="F428" s="141" t="n"/>
      <c r="G428" s="143" t="n"/>
      <c r="H428" s="27" t="n"/>
    </row>
    <row r="429" ht="17.25" customHeight="1" s="322">
      <c r="A429" s="27" t="n"/>
      <c r="B429" s="506" t="n"/>
      <c r="C429" s="141" t="n"/>
      <c r="D429" s="141" t="n"/>
      <c r="E429" s="141" t="n"/>
      <c r="F429" s="141" t="n"/>
      <c r="G429" s="143" t="n"/>
      <c r="H429" s="27" t="n"/>
    </row>
    <row r="430" ht="17.25" customHeight="1" s="322">
      <c r="A430" s="27" t="n"/>
      <c r="B430" s="506" t="n"/>
      <c r="C430" s="141" t="n"/>
      <c r="D430" s="141" t="n"/>
      <c r="E430" s="141" t="n"/>
      <c r="F430" s="141" t="n"/>
      <c r="G430" s="143" t="n"/>
      <c r="H430" s="27" t="n"/>
    </row>
    <row r="431" ht="17.25" customHeight="1" s="322">
      <c r="A431" s="27" t="n"/>
      <c r="B431" s="506" t="n"/>
      <c r="C431" s="141" t="n"/>
      <c r="D431" s="141" t="n"/>
      <c r="E431" s="141" t="n"/>
      <c r="F431" s="141" t="n"/>
      <c r="G431" s="143" t="n"/>
      <c r="H431" s="27" t="n"/>
    </row>
    <row r="432" ht="17.25" customHeight="1" s="322">
      <c r="A432" s="27" t="n"/>
      <c r="B432" s="506" t="n"/>
      <c r="C432" s="141" t="n"/>
      <c r="D432" s="141" t="n"/>
      <c r="E432" s="141" t="n"/>
      <c r="F432" s="141" t="n"/>
      <c r="G432" s="143" t="n"/>
      <c r="H432" s="27" t="n"/>
    </row>
    <row r="433" ht="17.25" customHeight="1" s="322">
      <c r="A433" s="27" t="n"/>
      <c r="B433" s="506" t="n"/>
      <c r="C433" s="141" t="n"/>
      <c r="D433" s="141" t="n"/>
      <c r="E433" s="141" t="n"/>
      <c r="F433" s="141" t="n"/>
      <c r="G433" s="143" t="n"/>
      <c r="H433" s="27" t="n"/>
    </row>
    <row r="434" ht="17.25" customHeight="1" s="322">
      <c r="A434" s="27" t="n"/>
      <c r="B434" s="506" t="n"/>
      <c r="C434" s="141" t="n"/>
      <c r="D434" s="141" t="n"/>
      <c r="E434" s="141" t="n"/>
      <c r="F434" s="141" t="n"/>
      <c r="G434" s="143" t="n"/>
      <c r="H434" s="27" t="n"/>
    </row>
    <row r="435" ht="17.25" customHeight="1" s="322">
      <c r="A435" s="27" t="n"/>
      <c r="B435" s="506" t="n"/>
      <c r="C435" s="141" t="n"/>
      <c r="D435" s="141" t="n"/>
      <c r="E435" s="141" t="n"/>
      <c r="F435" s="141" t="n"/>
      <c r="G435" s="143" t="n"/>
      <c r="H435" s="27" t="n"/>
    </row>
    <row r="436" ht="17.25" customHeight="1" s="322">
      <c r="A436" s="27" t="n"/>
      <c r="B436" s="506" t="n"/>
      <c r="C436" s="141" t="n"/>
      <c r="D436" s="141" t="n"/>
      <c r="E436" s="141" t="n"/>
      <c r="F436" s="141" t="n"/>
      <c r="G436" s="143" t="n"/>
      <c r="H436" s="27" t="n"/>
    </row>
    <row r="437" ht="17.25" customHeight="1" s="322">
      <c r="A437" s="27" t="n"/>
      <c r="B437" s="506" t="n"/>
      <c r="C437" s="141" t="n"/>
      <c r="D437" s="141" t="n"/>
      <c r="E437" s="141" t="n"/>
      <c r="F437" s="141" t="n"/>
      <c r="G437" s="143" t="n"/>
      <c r="H437" s="27" t="n"/>
    </row>
    <row r="438" ht="17.25" customHeight="1" s="322">
      <c r="A438" s="27" t="n"/>
      <c r="B438" s="506" t="n"/>
      <c r="C438" s="141" t="n"/>
      <c r="D438" s="141" t="n"/>
      <c r="E438" s="141" t="n"/>
      <c r="F438" s="141" t="n"/>
      <c r="G438" s="143" t="n"/>
      <c r="H438" s="27" t="n"/>
    </row>
    <row r="439" ht="17.25" customHeight="1" s="322">
      <c r="A439" s="27" t="n"/>
      <c r="B439" s="506" t="n"/>
      <c r="C439" s="141" t="n"/>
      <c r="D439" s="141" t="n"/>
      <c r="E439" s="141" t="n"/>
      <c r="F439" s="141" t="n"/>
      <c r="G439" s="143" t="n"/>
      <c r="H439" s="27" t="n"/>
    </row>
    <row r="440" ht="17.25" customHeight="1" s="322">
      <c r="A440" s="27" t="n"/>
      <c r="B440" s="506" t="n"/>
      <c r="C440" s="141" t="n"/>
      <c r="D440" s="141" t="n"/>
      <c r="E440" s="141" t="n"/>
      <c r="F440" s="141" t="n"/>
      <c r="G440" s="143" t="n"/>
      <c r="H440" s="27" t="n"/>
    </row>
    <row r="441" ht="17.25" customHeight="1" s="322">
      <c r="A441" s="27" t="n"/>
      <c r="B441" s="506" t="n"/>
      <c r="C441" s="141" t="n"/>
      <c r="D441" s="141" t="n"/>
      <c r="E441" s="141" t="n"/>
      <c r="F441" s="141" t="n"/>
      <c r="G441" s="143" t="n"/>
      <c r="H441" s="27" t="n"/>
    </row>
    <row r="442" ht="17.25" customHeight="1" s="322">
      <c r="A442" s="27" t="n"/>
      <c r="B442" s="506" t="n"/>
      <c r="C442" s="141" t="n"/>
      <c r="D442" s="141" t="n"/>
      <c r="E442" s="141" t="n"/>
      <c r="F442" s="141" t="n"/>
      <c r="G442" s="143" t="n"/>
      <c r="H442" s="27" t="n"/>
    </row>
    <row r="443" ht="17.25" customHeight="1" s="322">
      <c r="A443" s="27" t="n"/>
      <c r="B443" s="506" t="n"/>
      <c r="C443" s="141" t="n"/>
      <c r="D443" s="141" t="n"/>
      <c r="E443" s="141" t="n"/>
      <c r="F443" s="141" t="n"/>
      <c r="G443" s="143" t="n"/>
      <c r="H443" s="27" t="n"/>
    </row>
    <row r="444" ht="17.25" customHeight="1" s="322">
      <c r="A444" s="27" t="n"/>
      <c r="B444" s="506" t="n"/>
      <c r="C444" s="141" t="n"/>
      <c r="D444" s="141" t="n"/>
      <c r="E444" s="141" t="n"/>
      <c r="F444" s="141" t="n"/>
      <c r="G444" s="143" t="n"/>
      <c r="H444" s="27" t="n"/>
    </row>
    <row r="445" ht="17.25" customHeight="1" s="322">
      <c r="A445" s="27" t="n"/>
      <c r="B445" s="506" t="n"/>
      <c r="C445" s="141" t="n"/>
      <c r="D445" s="141" t="n"/>
      <c r="E445" s="141" t="n"/>
      <c r="F445" s="141" t="n"/>
      <c r="G445" s="143" t="n"/>
      <c r="H445" s="27" t="n"/>
    </row>
    <row r="446" ht="17.25" customHeight="1" s="322">
      <c r="A446" s="27" t="n"/>
      <c r="B446" s="506" t="n"/>
      <c r="C446" s="141" t="n"/>
      <c r="D446" s="141" t="n"/>
      <c r="E446" s="141" t="n"/>
      <c r="F446" s="141" t="n"/>
      <c r="G446" s="143" t="n"/>
      <c r="H446" s="27" t="n"/>
    </row>
    <row r="447" ht="17.25" customHeight="1" s="322">
      <c r="A447" s="27" t="n"/>
      <c r="B447" s="506" t="n"/>
      <c r="C447" s="141" t="n"/>
      <c r="D447" s="141" t="n"/>
      <c r="E447" s="141" t="n"/>
      <c r="F447" s="141" t="n"/>
      <c r="G447" s="143" t="n"/>
      <c r="H447" s="27" t="n"/>
    </row>
    <row r="448" ht="17.25" customHeight="1" s="322">
      <c r="A448" s="27" t="n"/>
      <c r="B448" s="506" t="n"/>
      <c r="C448" s="141" t="n"/>
      <c r="D448" s="141" t="n"/>
      <c r="E448" s="141" t="n"/>
      <c r="F448" s="141" t="n"/>
      <c r="G448" s="143" t="n"/>
      <c r="H448" s="27" t="n"/>
    </row>
    <row r="449" ht="17.25" customHeight="1" s="322">
      <c r="A449" s="27" t="n"/>
      <c r="B449" s="506" t="n"/>
      <c r="C449" s="141" t="n"/>
      <c r="D449" s="141" t="n"/>
      <c r="E449" s="141" t="n"/>
      <c r="F449" s="141" t="n"/>
      <c r="G449" s="143" t="n"/>
      <c r="H449" s="27" t="n"/>
    </row>
    <row r="450" ht="17.25" customHeight="1" s="322">
      <c r="A450" s="27" t="n"/>
      <c r="B450" s="506" t="n"/>
      <c r="C450" s="141" t="n"/>
      <c r="D450" s="141" t="n"/>
      <c r="E450" s="141" t="n"/>
      <c r="F450" s="141" t="n"/>
      <c r="G450" s="143" t="n"/>
      <c r="H450" s="27" t="n"/>
    </row>
    <row r="451" ht="17.25" customHeight="1" s="322">
      <c r="A451" s="27" t="n"/>
      <c r="B451" s="506" t="n"/>
      <c r="C451" s="141" t="n"/>
      <c r="D451" s="141" t="n"/>
      <c r="E451" s="141" t="n"/>
      <c r="F451" s="141" t="n"/>
      <c r="G451" s="143" t="n"/>
      <c r="H451" s="27" t="n"/>
    </row>
    <row r="452" ht="17.25" customHeight="1" s="322">
      <c r="A452" s="27" t="n"/>
      <c r="B452" s="506" t="n"/>
      <c r="C452" s="141" t="n"/>
      <c r="D452" s="141" t="n"/>
      <c r="E452" s="141" t="n"/>
      <c r="F452" s="141" t="n"/>
      <c r="G452" s="143" t="n"/>
      <c r="H452" s="27" t="n"/>
    </row>
    <row r="453" ht="17.25" customHeight="1" s="322">
      <c r="A453" s="27" t="n"/>
      <c r="B453" s="506" t="n"/>
      <c r="C453" s="141" t="n"/>
      <c r="D453" s="141" t="n"/>
      <c r="E453" s="141" t="n"/>
      <c r="F453" s="141" t="n"/>
      <c r="G453" s="143" t="n"/>
      <c r="H453" s="27" t="n"/>
    </row>
    <row r="454" ht="17.25" customHeight="1" s="322">
      <c r="A454" s="27" t="n"/>
      <c r="B454" s="506" t="n"/>
      <c r="C454" s="141" t="n"/>
      <c r="D454" s="141" t="n"/>
      <c r="E454" s="141" t="n"/>
      <c r="F454" s="141" t="n"/>
      <c r="G454" s="143" t="n"/>
      <c r="H454" s="27" t="n"/>
    </row>
    <row r="455" ht="17.25" customHeight="1" s="322">
      <c r="A455" s="27" t="n"/>
      <c r="B455" s="506" t="n"/>
      <c r="C455" s="141" t="n"/>
      <c r="D455" s="141" t="n"/>
      <c r="E455" s="141" t="n"/>
      <c r="F455" s="141" t="n"/>
      <c r="G455" s="143" t="n"/>
      <c r="H455" s="27" t="n"/>
    </row>
    <row r="456" ht="17.25" customHeight="1" s="322">
      <c r="A456" s="27" t="n"/>
      <c r="B456" s="506" t="n"/>
      <c r="C456" s="141" t="n"/>
      <c r="D456" s="141" t="n"/>
      <c r="E456" s="141" t="n"/>
      <c r="F456" s="141" t="n"/>
      <c r="G456" s="143" t="n"/>
      <c r="H456" s="27" t="n"/>
    </row>
    <row r="457" ht="17.25" customHeight="1" s="322">
      <c r="A457" s="27" t="n"/>
      <c r="B457" s="506" t="n"/>
      <c r="C457" s="141" t="n"/>
      <c r="D457" s="141" t="n"/>
      <c r="E457" s="141" t="n"/>
      <c r="F457" s="141" t="n"/>
      <c r="G457" s="143" t="n"/>
      <c r="H457" s="27" t="n"/>
    </row>
    <row r="458" ht="17.25" customHeight="1" s="322">
      <c r="A458" s="27" t="n"/>
      <c r="B458" s="506" t="n"/>
      <c r="C458" s="141" t="n"/>
      <c r="D458" s="141" t="n"/>
      <c r="E458" s="141" t="n"/>
      <c r="F458" s="141" t="n"/>
      <c r="G458" s="143" t="n"/>
      <c r="H458" s="27" t="n"/>
    </row>
    <row r="459" ht="17.25" customHeight="1" s="322">
      <c r="A459" s="27" t="n"/>
      <c r="B459" s="506" t="n"/>
      <c r="C459" s="141" t="n"/>
      <c r="D459" s="141" t="n"/>
      <c r="E459" s="141" t="n"/>
      <c r="F459" s="141" t="n"/>
      <c r="G459" s="143" t="n"/>
      <c r="H459" s="27" t="n"/>
    </row>
    <row r="460" ht="17.25" customHeight="1" s="322">
      <c r="A460" s="27" t="n"/>
      <c r="B460" s="506" t="n"/>
      <c r="C460" s="141" t="n"/>
      <c r="D460" s="141" t="n"/>
      <c r="E460" s="141" t="n"/>
      <c r="F460" s="141" t="n"/>
      <c r="G460" s="143" t="n"/>
      <c r="H460" s="27" t="n"/>
    </row>
    <row r="461" ht="17.25" customHeight="1" s="322">
      <c r="A461" s="27" t="n"/>
      <c r="B461" s="506" t="n"/>
      <c r="C461" s="141" t="n"/>
      <c r="D461" s="141" t="n"/>
      <c r="E461" s="141" t="n"/>
      <c r="F461" s="141" t="n"/>
      <c r="G461" s="143" t="n"/>
      <c r="H461" s="27" t="n"/>
    </row>
    <row r="462" ht="17.25" customHeight="1" s="322">
      <c r="A462" s="27" t="n"/>
      <c r="B462" s="506" t="n"/>
      <c r="C462" s="141" t="n"/>
      <c r="D462" s="141" t="n"/>
      <c r="E462" s="141" t="n"/>
      <c r="F462" s="141" t="n"/>
      <c r="G462" s="143" t="n"/>
      <c r="H462" s="27" t="n"/>
    </row>
    <row r="463" ht="17.25" customHeight="1" s="322">
      <c r="A463" s="27" t="n"/>
      <c r="B463" s="506" t="n"/>
      <c r="C463" s="141" t="n"/>
      <c r="D463" s="141" t="n"/>
      <c r="E463" s="141" t="n"/>
      <c r="F463" s="141" t="n"/>
      <c r="G463" s="143" t="n"/>
      <c r="H463" s="27" t="n"/>
    </row>
    <row r="464" ht="17.25" customHeight="1" s="322">
      <c r="A464" s="27" t="n"/>
      <c r="B464" s="506" t="n"/>
      <c r="C464" s="141" t="n"/>
      <c r="D464" s="141" t="n"/>
      <c r="E464" s="141" t="n"/>
      <c r="F464" s="141" t="n"/>
      <c r="G464" s="143" t="n"/>
      <c r="H464" s="27" t="n"/>
    </row>
    <row r="465" ht="17.25" customHeight="1" s="322">
      <c r="A465" s="27" t="n"/>
      <c r="B465" s="506" t="n"/>
      <c r="C465" s="141" t="n"/>
      <c r="D465" s="141" t="n"/>
      <c r="E465" s="141" t="n"/>
      <c r="F465" s="141" t="n"/>
      <c r="G465" s="143" t="n"/>
      <c r="H465" s="27" t="n"/>
    </row>
    <row r="466" ht="17.25" customHeight="1" s="322">
      <c r="A466" s="27" t="n"/>
      <c r="B466" s="506" t="n"/>
      <c r="C466" s="141" t="n"/>
      <c r="D466" s="141" t="n"/>
      <c r="E466" s="141" t="n"/>
      <c r="F466" s="141" t="n"/>
      <c r="G466" s="143" t="n"/>
      <c r="H466" s="27" t="n"/>
    </row>
    <row r="467" ht="17.25" customHeight="1" s="322">
      <c r="A467" s="27" t="n"/>
      <c r="B467" s="506" t="n"/>
      <c r="C467" s="141" t="n"/>
      <c r="D467" s="141" t="n"/>
      <c r="E467" s="141" t="n"/>
      <c r="F467" s="141" t="n"/>
      <c r="G467" s="143" t="n"/>
      <c r="H467" s="27" t="n"/>
    </row>
    <row r="468" ht="17.25" customHeight="1" s="322">
      <c r="A468" s="27" t="n"/>
      <c r="B468" s="506" t="n"/>
      <c r="C468" s="141" t="n"/>
      <c r="D468" s="141" t="n"/>
      <c r="E468" s="141" t="n"/>
      <c r="F468" s="141" t="n"/>
      <c r="G468" s="143" t="n"/>
      <c r="H468" s="27" t="n"/>
    </row>
    <row r="469" ht="17.25" customHeight="1" s="322">
      <c r="A469" s="27" t="n"/>
      <c r="B469" s="506" t="n"/>
      <c r="C469" s="141" t="n"/>
      <c r="D469" s="141" t="n"/>
      <c r="E469" s="141" t="n"/>
      <c r="F469" s="141" t="n"/>
      <c r="G469" s="143" t="n"/>
      <c r="H469" s="27" t="n"/>
    </row>
    <row r="470" ht="17.25" customHeight="1" s="322">
      <c r="A470" s="27" t="n"/>
      <c r="B470" s="506" t="n"/>
      <c r="C470" s="141" t="n"/>
      <c r="D470" s="141" t="n"/>
      <c r="E470" s="141" t="n"/>
      <c r="F470" s="141" t="n"/>
      <c r="G470" s="143" t="n"/>
      <c r="H470" s="27" t="n"/>
    </row>
    <row r="471" ht="17.25" customHeight="1" s="322">
      <c r="A471" s="27" t="n"/>
      <c r="B471" s="506" t="n"/>
      <c r="C471" s="141" t="n"/>
      <c r="D471" s="141" t="n"/>
      <c r="E471" s="141" t="n"/>
      <c r="F471" s="141" t="n"/>
      <c r="G471" s="143" t="n"/>
      <c r="H471" s="27" t="n"/>
    </row>
    <row r="472" ht="17.25" customHeight="1" s="322">
      <c r="A472" s="27" t="n"/>
      <c r="B472" s="506" t="n"/>
      <c r="C472" s="141" t="n"/>
      <c r="D472" s="141" t="n"/>
      <c r="E472" s="141" t="n"/>
      <c r="F472" s="141" t="n"/>
      <c r="G472" s="143" t="n"/>
      <c r="H472" s="27" t="n"/>
    </row>
    <row r="473" ht="17.25" customHeight="1" s="322">
      <c r="A473" s="27" t="n"/>
      <c r="B473" s="506" t="n"/>
      <c r="C473" s="141" t="n"/>
      <c r="D473" s="141" t="n"/>
      <c r="E473" s="141" t="n"/>
      <c r="F473" s="141" t="n"/>
      <c r="G473" s="143" t="n"/>
      <c r="H473" s="27" t="n"/>
    </row>
    <row r="474" ht="17.25" customHeight="1" s="322">
      <c r="A474" s="27" t="n"/>
      <c r="B474" s="506" t="n"/>
      <c r="C474" s="141" t="n"/>
      <c r="D474" s="141" t="n"/>
      <c r="E474" s="141" t="n"/>
      <c r="F474" s="141" t="n"/>
      <c r="G474" s="143" t="n"/>
      <c r="H474" s="27" t="n"/>
    </row>
    <row r="475" ht="17.25" customHeight="1" s="322">
      <c r="A475" s="27" t="n"/>
      <c r="B475" s="506" t="n"/>
      <c r="C475" s="141" t="n"/>
      <c r="D475" s="141" t="n"/>
      <c r="E475" s="141" t="n"/>
      <c r="F475" s="141" t="n"/>
      <c r="G475" s="143" t="n"/>
      <c r="H475" s="27" t="n"/>
    </row>
    <row r="476" ht="17.25" customHeight="1" s="322">
      <c r="A476" s="27" t="n"/>
      <c r="B476" s="506" t="n"/>
      <c r="C476" s="141" t="n"/>
      <c r="D476" s="141" t="n"/>
      <c r="E476" s="141" t="n"/>
      <c r="F476" s="141" t="n"/>
      <c r="G476" s="143" t="n"/>
      <c r="H476" s="27" t="n"/>
    </row>
    <row r="477" ht="17.25" customHeight="1" s="322">
      <c r="A477" s="27" t="n"/>
      <c r="B477" s="506" t="n"/>
      <c r="C477" s="141" t="n"/>
      <c r="D477" s="141" t="n"/>
      <c r="E477" s="141" t="n"/>
      <c r="F477" s="141" t="n"/>
      <c r="G477" s="143" t="n"/>
      <c r="H477" s="27" t="n"/>
    </row>
    <row r="478" ht="17.25" customHeight="1" s="322">
      <c r="A478" s="27" t="n"/>
      <c r="B478" s="506" t="n"/>
      <c r="C478" s="141" t="n"/>
      <c r="D478" s="141" t="n"/>
      <c r="E478" s="141" t="n"/>
      <c r="F478" s="141" t="n"/>
      <c r="G478" s="143" t="n"/>
      <c r="H478" s="27" t="n"/>
    </row>
    <row r="479" ht="17.25" customHeight="1" s="322">
      <c r="A479" s="27" t="n"/>
      <c r="B479" s="506" t="n"/>
      <c r="C479" s="141" t="n"/>
      <c r="D479" s="141" t="n"/>
      <c r="E479" s="141" t="n"/>
      <c r="F479" s="141" t="n"/>
      <c r="G479" s="143" t="n"/>
      <c r="H479" s="27" t="n"/>
    </row>
    <row r="480" ht="17.25" customHeight="1" s="322">
      <c r="A480" s="27" t="n"/>
      <c r="B480" s="506" t="n"/>
      <c r="C480" s="141" t="n"/>
      <c r="D480" s="141" t="n"/>
      <c r="E480" s="141" t="n"/>
      <c r="F480" s="141" t="n"/>
      <c r="G480" s="143" t="n"/>
      <c r="H480" s="27" t="n"/>
    </row>
    <row r="481" ht="17.25" customHeight="1" s="322">
      <c r="A481" s="27" t="n"/>
      <c r="B481" s="506" t="n"/>
      <c r="C481" s="141" t="n"/>
      <c r="D481" s="141" t="n"/>
      <c r="E481" s="141" t="n"/>
      <c r="F481" s="141" t="n"/>
      <c r="G481" s="143" t="n"/>
      <c r="H481" s="27" t="n"/>
    </row>
    <row r="482" ht="17.25" customHeight="1" s="322">
      <c r="A482" s="27" t="n"/>
      <c r="B482" s="506" t="n"/>
      <c r="C482" s="141" t="n"/>
      <c r="D482" s="141" t="n"/>
      <c r="E482" s="141" t="n"/>
      <c r="F482" s="141" t="n"/>
      <c r="G482" s="143" t="n"/>
      <c r="H482" s="27" t="n"/>
    </row>
    <row r="483" ht="17.25" customHeight="1" s="322">
      <c r="A483" s="27" t="n"/>
      <c r="B483" s="506" t="n"/>
      <c r="C483" s="141" t="n"/>
      <c r="D483" s="141" t="n"/>
      <c r="E483" s="141" t="n"/>
      <c r="F483" s="141" t="n"/>
      <c r="G483" s="143" t="n"/>
      <c r="H483" s="27" t="n"/>
    </row>
    <row r="484" ht="17.25" customHeight="1" s="322">
      <c r="A484" s="27" t="n"/>
      <c r="B484" s="506" t="n"/>
      <c r="C484" s="141" t="n"/>
      <c r="D484" s="141" t="n"/>
      <c r="E484" s="141" t="n"/>
      <c r="F484" s="141" t="n"/>
      <c r="G484" s="143" t="n"/>
      <c r="H484" s="27" t="n"/>
    </row>
    <row r="485" ht="17.25" customHeight="1" s="322">
      <c r="A485" s="27" t="n"/>
      <c r="B485" s="506" t="n"/>
      <c r="C485" s="141" t="n"/>
      <c r="D485" s="141" t="n"/>
      <c r="E485" s="141" t="n"/>
      <c r="F485" s="141" t="n"/>
      <c r="G485" s="143" t="n"/>
      <c r="H485" s="27" t="n"/>
    </row>
    <row r="486" ht="17.25" customHeight="1" s="322">
      <c r="A486" s="27" t="n"/>
      <c r="B486" s="506" t="n"/>
      <c r="C486" s="141" t="n"/>
      <c r="D486" s="141" t="n"/>
      <c r="E486" s="141" t="n"/>
      <c r="F486" s="141" t="n"/>
      <c r="G486" s="143" t="n"/>
      <c r="H486" s="27" t="n"/>
    </row>
    <row r="487" ht="17.25" customHeight="1" s="322">
      <c r="A487" s="27" t="n"/>
      <c r="B487" s="506" t="n"/>
      <c r="C487" s="141" t="n"/>
      <c r="D487" s="141" t="n"/>
      <c r="E487" s="141" t="n"/>
      <c r="F487" s="141" t="n"/>
      <c r="G487" s="143" t="n"/>
      <c r="H487" s="27" t="n"/>
    </row>
    <row r="488" ht="17.25" customHeight="1" s="322">
      <c r="A488" s="27" t="n"/>
      <c r="B488" s="506" t="n"/>
      <c r="C488" s="141" t="n"/>
      <c r="D488" s="141" t="n"/>
      <c r="E488" s="141" t="n"/>
      <c r="F488" s="141" t="n"/>
      <c r="G488" s="143" t="n"/>
      <c r="H488" s="27" t="n"/>
    </row>
    <row r="489" ht="17.25" customHeight="1" s="322">
      <c r="A489" s="27" t="n"/>
      <c r="B489" s="506" t="n"/>
      <c r="C489" s="141" t="n"/>
      <c r="D489" s="141" t="n"/>
      <c r="E489" s="141" t="n"/>
      <c r="F489" s="141" t="n"/>
      <c r="G489" s="143" t="n"/>
      <c r="H489" s="27" t="n"/>
    </row>
    <row r="490" ht="17.25" customHeight="1" s="322">
      <c r="A490" s="27" t="n"/>
      <c r="B490" s="506" t="n"/>
      <c r="C490" s="141" t="n"/>
      <c r="D490" s="141" t="n"/>
      <c r="E490" s="141" t="n"/>
      <c r="F490" s="141" t="n"/>
      <c r="G490" s="143" t="n"/>
      <c r="H490" s="27" t="n"/>
    </row>
    <row r="491" ht="17.25" customHeight="1" s="322">
      <c r="A491" s="27" t="n"/>
      <c r="B491" s="506" t="n"/>
      <c r="C491" s="141" t="n"/>
      <c r="D491" s="141" t="n"/>
      <c r="E491" s="141" t="n"/>
      <c r="F491" s="141" t="n"/>
      <c r="G491" s="143" t="n"/>
      <c r="H491" s="27" t="n"/>
    </row>
    <row r="492" ht="17.25" customHeight="1" s="322">
      <c r="A492" s="27" t="n"/>
      <c r="B492" s="506" t="n"/>
      <c r="C492" s="141" t="n"/>
      <c r="D492" s="141" t="n"/>
      <c r="E492" s="141" t="n"/>
      <c r="F492" s="141" t="n"/>
      <c r="G492" s="143" t="n"/>
      <c r="H492" s="27" t="n"/>
    </row>
    <row r="493" ht="17.25" customHeight="1" s="322">
      <c r="A493" s="27" t="n"/>
      <c r="B493" s="506" t="n"/>
      <c r="C493" s="141" t="n"/>
      <c r="D493" s="141" t="n"/>
      <c r="E493" s="141" t="n"/>
      <c r="F493" s="141" t="n"/>
      <c r="G493" s="143" t="n"/>
      <c r="H493" s="27" t="n"/>
    </row>
    <row r="494" ht="17.25" customHeight="1" s="322">
      <c r="A494" s="27" t="n"/>
      <c r="B494" s="506" t="n"/>
      <c r="C494" s="141" t="n"/>
      <c r="D494" s="141" t="n"/>
      <c r="E494" s="141" t="n"/>
      <c r="F494" s="141" t="n"/>
      <c r="G494" s="143" t="n"/>
      <c r="H494" s="27" t="n"/>
    </row>
    <row r="495" ht="17.25" customHeight="1" s="322">
      <c r="A495" s="27" t="n"/>
      <c r="B495" s="506" t="n"/>
      <c r="C495" s="141" t="n"/>
      <c r="D495" s="141" t="n"/>
      <c r="E495" s="141" t="n"/>
      <c r="F495" s="141" t="n"/>
      <c r="G495" s="143" t="n"/>
      <c r="H495" s="27" t="n"/>
    </row>
    <row r="496" ht="17.25" customHeight="1" s="322">
      <c r="A496" s="27" t="n"/>
      <c r="B496" s="506" t="n"/>
      <c r="C496" s="141" t="n"/>
      <c r="D496" s="141" t="n"/>
      <c r="E496" s="141" t="n"/>
      <c r="F496" s="141" t="n"/>
      <c r="G496" s="143" t="n"/>
      <c r="H496" s="27" t="n"/>
    </row>
    <row r="497" ht="17.25" customHeight="1" s="322">
      <c r="A497" s="27" t="n"/>
      <c r="B497" s="506" t="n"/>
      <c r="C497" s="141" t="n"/>
      <c r="D497" s="141" t="n"/>
      <c r="E497" s="141" t="n"/>
      <c r="F497" s="141" t="n"/>
      <c r="G497" s="143" t="n"/>
      <c r="H497" s="27" t="n"/>
    </row>
    <row r="498" ht="17.25" customHeight="1" s="322">
      <c r="A498" s="27" t="n"/>
      <c r="B498" s="506" t="n"/>
      <c r="C498" s="141" t="n"/>
      <c r="D498" s="141" t="n"/>
      <c r="E498" s="141" t="n"/>
      <c r="F498" s="141" t="n"/>
      <c r="G498" s="143" t="n"/>
      <c r="H498" s="27" t="n"/>
    </row>
    <row r="499" ht="17.25" customHeight="1" s="322">
      <c r="A499" s="27" t="n"/>
      <c r="B499" s="506" t="n"/>
      <c r="C499" s="141" t="n"/>
      <c r="D499" s="141" t="n"/>
      <c r="E499" s="141" t="n"/>
      <c r="F499" s="141" t="n"/>
      <c r="G499" s="143" t="n"/>
      <c r="H499" s="27" t="n"/>
    </row>
    <row r="500" ht="17.25" customHeight="1" s="322">
      <c r="A500" s="27" t="n"/>
      <c r="B500" s="506" t="n"/>
      <c r="C500" s="141" t="n"/>
      <c r="D500" s="141" t="n"/>
      <c r="E500" s="141" t="n"/>
      <c r="F500" s="141" t="n"/>
      <c r="G500" s="143" t="n"/>
      <c r="H500" s="27" t="n"/>
    </row>
    <row r="501" ht="17.25" customHeight="1" s="322">
      <c r="A501" s="27" t="n"/>
      <c r="B501" s="506" t="n"/>
      <c r="C501" s="141" t="n"/>
      <c r="D501" s="141" t="n"/>
      <c r="E501" s="141" t="n"/>
      <c r="F501" s="141" t="n"/>
      <c r="G501" s="143" t="n"/>
      <c r="H501" s="27" t="n"/>
    </row>
    <row r="502" ht="17.25" customHeight="1" s="322">
      <c r="A502" s="27" t="n"/>
      <c r="B502" s="506" t="n"/>
      <c r="C502" s="141" t="n"/>
      <c r="D502" s="141" t="n"/>
      <c r="E502" s="141" t="n"/>
      <c r="F502" s="141" t="n"/>
      <c r="G502" s="143" t="n"/>
      <c r="H502" s="27" t="n"/>
    </row>
    <row r="503" ht="17.25" customHeight="1" s="322">
      <c r="A503" s="27" t="n"/>
      <c r="B503" s="506" t="n"/>
      <c r="C503" s="141" t="n"/>
      <c r="D503" s="141" t="n"/>
      <c r="E503" s="141" t="n"/>
      <c r="F503" s="141" t="n"/>
      <c r="G503" s="143" t="n"/>
      <c r="H503" s="27" t="n"/>
    </row>
    <row r="504" ht="17.25" customHeight="1" s="322">
      <c r="A504" s="27" t="n"/>
      <c r="B504" s="506" t="n"/>
      <c r="C504" s="141" t="n"/>
      <c r="D504" s="141" t="n"/>
      <c r="E504" s="141" t="n"/>
      <c r="F504" s="141" t="n"/>
      <c r="G504" s="143" t="n"/>
      <c r="H504" s="27" t="n"/>
    </row>
    <row r="505" ht="17.25" customHeight="1" s="322">
      <c r="A505" s="27" t="n"/>
      <c r="B505" s="506" t="n"/>
      <c r="C505" s="141" t="n"/>
      <c r="D505" s="141" t="n"/>
      <c r="E505" s="141" t="n"/>
      <c r="F505" s="141" t="n"/>
      <c r="G505" s="143" t="n"/>
      <c r="H505" s="27" t="n"/>
    </row>
    <row r="506" ht="17.25" customHeight="1" s="322">
      <c r="A506" s="27" t="n"/>
      <c r="B506" s="506" t="n"/>
      <c r="C506" s="141" t="n"/>
      <c r="D506" s="141" t="n"/>
      <c r="E506" s="141" t="n"/>
      <c r="F506" s="141" t="n"/>
      <c r="G506" s="143" t="n"/>
      <c r="H506" s="27" t="n"/>
    </row>
    <row r="507" ht="17.25" customHeight="1" s="322">
      <c r="A507" s="27" t="n"/>
      <c r="B507" s="506" t="n"/>
      <c r="C507" s="141" t="n"/>
      <c r="D507" s="141" t="n"/>
      <c r="E507" s="141" t="n"/>
      <c r="F507" s="141" t="n"/>
      <c r="G507" s="143" t="n"/>
      <c r="H507" s="27" t="n"/>
    </row>
    <row r="508" ht="17.25" customHeight="1" s="322">
      <c r="A508" s="27" t="n"/>
      <c r="B508" s="506" t="n"/>
      <c r="C508" s="141" t="n"/>
      <c r="D508" s="141" t="n"/>
      <c r="E508" s="141" t="n"/>
      <c r="F508" s="141" t="n"/>
      <c r="G508" s="143" t="n"/>
      <c r="H508" s="27" t="n"/>
    </row>
    <row r="509" ht="17.25" customHeight="1" s="322">
      <c r="A509" s="27" t="n"/>
      <c r="B509" s="506" t="n"/>
      <c r="C509" s="141" t="n"/>
      <c r="D509" s="141" t="n"/>
      <c r="E509" s="141" t="n"/>
      <c r="F509" s="141" t="n"/>
      <c r="G509" s="143" t="n"/>
      <c r="H509" s="27" t="n"/>
    </row>
    <row r="510" ht="17.25" customHeight="1" s="322">
      <c r="A510" s="27" t="n"/>
      <c r="B510" s="506" t="n"/>
      <c r="C510" s="141" t="n"/>
      <c r="D510" s="141" t="n"/>
      <c r="E510" s="141" t="n"/>
      <c r="F510" s="141" t="n"/>
      <c r="G510" s="143" t="n"/>
      <c r="H510" s="27" t="n"/>
    </row>
    <row r="511" ht="17.25" customHeight="1" s="322">
      <c r="A511" s="27" t="n"/>
      <c r="B511" s="506" t="n"/>
      <c r="C511" s="141" t="n"/>
      <c r="D511" s="141" t="n"/>
      <c r="E511" s="141" t="n"/>
      <c r="F511" s="141" t="n"/>
      <c r="G511" s="143" t="n"/>
      <c r="H511" s="27" t="n"/>
    </row>
    <row r="512" ht="17.25" customHeight="1" s="322">
      <c r="A512" s="27" t="n"/>
      <c r="B512" s="506" t="n"/>
      <c r="C512" s="141" t="n"/>
      <c r="D512" s="141" t="n"/>
      <c r="E512" s="141" t="n"/>
      <c r="F512" s="141" t="n"/>
      <c r="G512" s="143" t="n"/>
      <c r="H512" s="27" t="n"/>
    </row>
    <row r="513" ht="17.25" customHeight="1" s="322">
      <c r="A513" s="27" t="n"/>
      <c r="B513" s="506" t="n"/>
      <c r="C513" s="141" t="n"/>
      <c r="D513" s="141" t="n"/>
      <c r="E513" s="141" t="n"/>
      <c r="F513" s="141" t="n"/>
      <c r="G513" s="143" t="n"/>
      <c r="H513" s="27" t="n"/>
    </row>
    <row r="514" ht="17.25" customHeight="1" s="322">
      <c r="A514" s="27" t="n"/>
      <c r="B514" s="506" t="n"/>
      <c r="C514" s="141" t="n"/>
      <c r="D514" s="141" t="n"/>
      <c r="E514" s="141" t="n"/>
      <c r="F514" s="141" t="n"/>
      <c r="G514" s="143" t="n"/>
      <c r="H514" s="27" t="n"/>
    </row>
    <row r="515" ht="17.25" customHeight="1" s="322">
      <c r="A515" s="27" t="n"/>
      <c r="B515" s="506" t="n"/>
      <c r="C515" s="141" t="n"/>
      <c r="D515" s="141" t="n"/>
      <c r="E515" s="141" t="n"/>
      <c r="F515" s="141" t="n"/>
      <c r="G515" s="143" t="n"/>
      <c r="H515" s="27" t="n"/>
    </row>
    <row r="516" ht="17.25" customHeight="1" s="322">
      <c r="A516" s="27" t="n"/>
      <c r="B516" s="506" t="n"/>
      <c r="C516" s="141" t="n"/>
      <c r="D516" s="141" t="n"/>
      <c r="E516" s="141" t="n"/>
      <c r="F516" s="141" t="n"/>
      <c r="G516" s="143" t="n"/>
      <c r="H516" s="27" t="n"/>
    </row>
    <row r="517" ht="17.25" customHeight="1" s="322">
      <c r="A517" s="27" t="n"/>
      <c r="B517" s="506" t="n"/>
      <c r="C517" s="141" t="n"/>
      <c r="D517" s="141" t="n"/>
      <c r="E517" s="141" t="n"/>
      <c r="F517" s="141" t="n"/>
      <c r="G517" s="143" t="n"/>
      <c r="H517" s="27" t="n"/>
    </row>
    <row r="518" ht="17.25" customHeight="1" s="322">
      <c r="A518" s="27" t="n"/>
      <c r="B518" s="506" t="n"/>
      <c r="C518" s="141" t="n"/>
      <c r="D518" s="141" t="n"/>
      <c r="E518" s="141" t="n"/>
      <c r="F518" s="141" t="n"/>
      <c r="G518" s="143" t="n"/>
      <c r="H518" s="27" t="n"/>
    </row>
    <row r="519" ht="17.25" customHeight="1" s="322">
      <c r="A519" s="27" t="n"/>
      <c r="B519" s="506" t="n"/>
      <c r="C519" s="141" t="n"/>
      <c r="D519" s="141" t="n"/>
      <c r="E519" s="141" t="n"/>
      <c r="F519" s="141" t="n"/>
      <c r="G519" s="143" t="n"/>
      <c r="H519" s="27" t="n"/>
    </row>
    <row r="520" ht="17.25" customHeight="1" s="322">
      <c r="A520" s="27" t="n"/>
      <c r="B520" s="506" t="n"/>
      <c r="C520" s="141" t="n"/>
      <c r="D520" s="141" t="n"/>
      <c r="E520" s="141" t="n"/>
      <c r="F520" s="141" t="n"/>
      <c r="G520" s="143" t="n"/>
      <c r="H520" s="27" t="n"/>
    </row>
    <row r="521" ht="17.25" customHeight="1" s="322">
      <c r="A521" s="27" t="n"/>
      <c r="B521" s="506" t="n"/>
      <c r="C521" s="141" t="n"/>
      <c r="D521" s="141" t="n"/>
      <c r="E521" s="141" t="n"/>
      <c r="F521" s="141" t="n"/>
      <c r="G521" s="143" t="n"/>
      <c r="H521" s="27" t="n"/>
    </row>
    <row r="522" ht="17.25" customHeight="1" s="322">
      <c r="A522" s="27" t="n"/>
      <c r="B522" s="506" t="n"/>
      <c r="C522" s="141" t="n"/>
      <c r="D522" s="141" t="n"/>
      <c r="E522" s="141" t="n"/>
      <c r="F522" s="141" t="n"/>
      <c r="G522" s="143" t="n"/>
      <c r="H522" s="27" t="n"/>
    </row>
    <row r="523" ht="17.25" customHeight="1" s="322">
      <c r="A523" s="27" t="n"/>
      <c r="B523" s="506" t="n"/>
      <c r="C523" s="141" t="n"/>
      <c r="D523" s="141" t="n"/>
      <c r="E523" s="141" t="n"/>
      <c r="F523" s="141" t="n"/>
      <c r="G523" s="143" t="n"/>
      <c r="H523" s="27" t="n"/>
    </row>
    <row r="524" ht="17.25" customHeight="1" s="322">
      <c r="A524" s="27" t="n"/>
      <c r="B524" s="506" t="n"/>
      <c r="C524" s="141" t="n"/>
      <c r="D524" s="141" t="n"/>
      <c r="E524" s="141" t="n"/>
      <c r="F524" s="141" t="n"/>
      <c r="G524" s="143" t="n"/>
      <c r="H524" s="27" t="n"/>
    </row>
    <row r="525" ht="17.25" customHeight="1" s="322">
      <c r="A525" s="27" t="n"/>
      <c r="B525" s="506" t="n"/>
      <c r="C525" s="141" t="n"/>
      <c r="D525" s="141" t="n"/>
      <c r="E525" s="141" t="n"/>
      <c r="F525" s="141" t="n"/>
      <c r="G525" s="143" t="n"/>
      <c r="H525" s="27" t="n"/>
    </row>
    <row r="526" ht="17.25" customHeight="1" s="322">
      <c r="A526" s="27" t="n"/>
      <c r="B526" s="506" t="n"/>
      <c r="C526" s="141" t="n"/>
      <c r="D526" s="141" t="n"/>
      <c r="E526" s="141" t="n"/>
      <c r="F526" s="141" t="n"/>
      <c r="G526" s="143" t="n"/>
      <c r="H526" s="27" t="n"/>
    </row>
    <row r="527" ht="17.25" customHeight="1" s="322">
      <c r="A527" s="27" t="n"/>
      <c r="B527" s="506" t="n"/>
      <c r="C527" s="141" t="n"/>
      <c r="D527" s="141" t="n"/>
      <c r="E527" s="141" t="n"/>
      <c r="F527" s="141" t="n"/>
      <c r="G527" s="143" t="n"/>
      <c r="H527" s="27" t="n"/>
    </row>
    <row r="528" ht="17.25" customHeight="1" s="322">
      <c r="A528" s="27" t="n"/>
      <c r="B528" s="506" t="n"/>
      <c r="C528" s="141" t="n"/>
      <c r="D528" s="141" t="n"/>
      <c r="E528" s="141" t="n"/>
      <c r="F528" s="141" t="n"/>
      <c r="G528" s="143" t="n"/>
      <c r="H528" s="27" t="n"/>
    </row>
    <row r="529" ht="17.25" customHeight="1" s="322">
      <c r="A529" s="27" t="n"/>
      <c r="B529" s="506" t="n"/>
      <c r="C529" s="141" t="n"/>
      <c r="D529" s="141" t="n"/>
      <c r="E529" s="141" t="n"/>
      <c r="F529" s="141" t="n"/>
      <c r="G529" s="143" t="n"/>
      <c r="H529" s="27" t="n"/>
    </row>
    <row r="530" ht="17.25" customHeight="1" s="322">
      <c r="A530" s="27" t="n"/>
      <c r="B530" s="506" t="n"/>
      <c r="C530" s="141" t="n"/>
      <c r="D530" s="141" t="n"/>
      <c r="E530" s="141" t="n"/>
      <c r="F530" s="141" t="n"/>
      <c r="G530" s="143" t="n"/>
      <c r="H530" s="27" t="n"/>
    </row>
    <row r="531" ht="17.25" customHeight="1" s="322">
      <c r="A531" s="27" t="n"/>
      <c r="B531" s="506" t="n"/>
      <c r="C531" s="141" t="n"/>
      <c r="D531" s="141" t="n"/>
      <c r="E531" s="141" t="n"/>
      <c r="F531" s="141" t="n"/>
      <c r="G531" s="143" t="n"/>
      <c r="H531" s="27" t="n"/>
    </row>
    <row r="532" ht="17.25" customHeight="1" s="322">
      <c r="A532" s="27" t="n"/>
      <c r="B532" s="506" t="n"/>
      <c r="C532" s="141" t="n"/>
      <c r="D532" s="141" t="n"/>
      <c r="E532" s="141" t="n"/>
      <c r="F532" s="141" t="n"/>
      <c r="G532" s="143" t="n"/>
      <c r="H532" s="27" t="n"/>
    </row>
    <row r="533" ht="17.25" customHeight="1" s="322">
      <c r="A533" s="27" t="n"/>
      <c r="B533" s="506" t="n"/>
      <c r="C533" s="141" t="n"/>
      <c r="D533" s="141" t="n"/>
      <c r="E533" s="141" t="n"/>
      <c r="F533" s="141" t="n"/>
      <c r="G533" s="143" t="n"/>
      <c r="H533" s="27" t="n"/>
    </row>
    <row r="534" ht="17.25" customHeight="1" s="322">
      <c r="A534" s="27" t="n"/>
      <c r="B534" s="506" t="n"/>
      <c r="C534" s="141" t="n"/>
      <c r="D534" s="141" t="n"/>
      <c r="E534" s="141" t="n"/>
      <c r="F534" s="141" t="n"/>
      <c r="G534" s="143" t="n"/>
      <c r="H534" s="27" t="n"/>
    </row>
    <row r="535" ht="17.25" customHeight="1" s="322">
      <c r="A535" s="27" t="n"/>
      <c r="B535" s="506" t="n"/>
      <c r="C535" s="141" t="n"/>
      <c r="D535" s="141" t="n"/>
      <c r="E535" s="141" t="n"/>
      <c r="F535" s="141" t="n"/>
      <c r="G535" s="143" t="n"/>
      <c r="H535" s="27" t="n"/>
    </row>
    <row r="536" ht="17.25" customHeight="1" s="322">
      <c r="A536" s="27" t="n"/>
      <c r="B536" s="506" t="n"/>
      <c r="C536" s="141" t="n"/>
      <c r="D536" s="141" t="n"/>
      <c r="E536" s="141" t="n"/>
      <c r="F536" s="141" t="n"/>
      <c r="G536" s="143" t="n"/>
      <c r="H536" s="27" t="n"/>
    </row>
    <row r="537" ht="17.25" customHeight="1" s="322">
      <c r="A537" s="27" t="n"/>
      <c r="B537" s="506" t="n"/>
      <c r="C537" s="141" t="n"/>
      <c r="D537" s="141" t="n"/>
      <c r="E537" s="141" t="n"/>
      <c r="F537" s="141" t="n"/>
      <c r="G537" s="143" t="n"/>
      <c r="H537" s="27" t="n"/>
    </row>
    <row r="538" ht="17.25" customHeight="1" s="322">
      <c r="A538" s="27" t="n"/>
      <c r="B538" s="506" t="n"/>
      <c r="C538" s="141" t="n"/>
      <c r="D538" s="141" t="n"/>
      <c r="E538" s="141" t="n"/>
      <c r="F538" s="141" t="n"/>
      <c r="G538" s="143" t="n"/>
      <c r="H538" s="27" t="n"/>
    </row>
    <row r="539" ht="17.25" customHeight="1" s="322">
      <c r="A539" s="27" t="n"/>
      <c r="B539" s="506" t="n"/>
      <c r="C539" s="141" t="n"/>
      <c r="D539" s="141" t="n"/>
      <c r="E539" s="141" t="n"/>
      <c r="F539" s="141" t="n"/>
      <c r="G539" s="143" t="n"/>
      <c r="H539" s="27" t="n"/>
    </row>
    <row r="540" ht="17.25" customHeight="1" s="322">
      <c r="A540" s="27" t="n"/>
      <c r="B540" s="506" t="n"/>
      <c r="C540" s="141" t="n"/>
      <c r="D540" s="141" t="n"/>
      <c r="E540" s="141" t="n"/>
      <c r="F540" s="141" t="n"/>
      <c r="G540" s="143" t="n"/>
      <c r="H540" s="27" t="n"/>
    </row>
    <row r="541" ht="17.25" customHeight="1" s="322">
      <c r="A541" s="27" t="n"/>
      <c r="B541" s="506" t="n"/>
      <c r="C541" s="141" t="n"/>
      <c r="D541" s="141" t="n"/>
      <c r="E541" s="141" t="n"/>
      <c r="F541" s="141" t="n"/>
      <c r="G541" s="143" t="n"/>
      <c r="H541" s="27" t="n"/>
    </row>
    <row r="542" ht="17.25" customHeight="1" s="322">
      <c r="A542" s="27" t="n"/>
      <c r="B542" s="506" t="n"/>
      <c r="C542" s="141" t="n"/>
      <c r="D542" s="141" t="n"/>
      <c r="E542" s="141" t="n"/>
      <c r="F542" s="141" t="n"/>
      <c r="G542" s="143" t="n"/>
      <c r="H542" s="27" t="n"/>
    </row>
    <row r="543" ht="17.25" customHeight="1" s="322">
      <c r="A543" s="27" t="n"/>
      <c r="B543" s="506" t="n"/>
      <c r="C543" s="141" t="n"/>
      <c r="D543" s="141" t="n"/>
      <c r="E543" s="141" t="n"/>
      <c r="F543" s="141" t="n"/>
      <c r="G543" s="143" t="n"/>
      <c r="H543" s="27" t="n"/>
    </row>
    <row r="544" ht="17.25" customHeight="1" s="322">
      <c r="A544" s="27" t="n"/>
      <c r="B544" s="506" t="n"/>
      <c r="C544" s="141" t="n"/>
      <c r="D544" s="141" t="n"/>
      <c r="E544" s="141" t="n"/>
      <c r="F544" s="141" t="n"/>
      <c r="G544" s="143" t="n"/>
      <c r="H544" s="27" t="n"/>
    </row>
    <row r="545" ht="17.25" customHeight="1" s="322">
      <c r="A545" s="27" t="n"/>
      <c r="B545" s="506" t="n"/>
      <c r="C545" s="141" t="n"/>
      <c r="D545" s="141" t="n"/>
      <c r="E545" s="141" t="n"/>
      <c r="F545" s="141" t="n"/>
      <c r="G545" s="143" t="n"/>
      <c r="H545" s="27" t="n"/>
    </row>
    <row r="546" ht="17.25" customHeight="1" s="322">
      <c r="A546" s="27" t="n"/>
      <c r="B546" s="506" t="n"/>
      <c r="C546" s="141" t="n"/>
      <c r="D546" s="141" t="n"/>
      <c r="E546" s="141" t="n"/>
      <c r="F546" s="141" t="n"/>
      <c r="G546" s="143" t="n"/>
      <c r="H546" s="27" t="n"/>
    </row>
    <row r="547" ht="17.25" customHeight="1" s="322">
      <c r="A547" s="27" t="n"/>
      <c r="B547" s="506" t="n"/>
      <c r="C547" s="141" t="n"/>
      <c r="D547" s="141" t="n"/>
      <c r="E547" s="141" t="n"/>
      <c r="F547" s="141" t="n"/>
      <c r="G547" s="143" t="n"/>
      <c r="H547" s="27" t="n"/>
    </row>
    <row r="548" ht="17.25" customHeight="1" s="322">
      <c r="A548" s="27" t="n"/>
      <c r="B548" s="506" t="n"/>
      <c r="C548" s="141" t="n"/>
      <c r="D548" s="141" t="n"/>
      <c r="E548" s="141" t="n"/>
      <c r="F548" s="141" t="n"/>
      <c r="G548" s="143" t="n"/>
      <c r="H548" s="27" t="n"/>
    </row>
    <row r="549" ht="17.25" customHeight="1" s="322">
      <c r="A549" s="27" t="n"/>
      <c r="B549" s="506" t="n"/>
      <c r="C549" s="141" t="n"/>
      <c r="D549" s="141" t="n"/>
      <c r="E549" s="141" t="n"/>
      <c r="F549" s="141" t="n"/>
      <c r="G549" s="143" t="n"/>
      <c r="H549" s="27" t="n"/>
    </row>
    <row r="550" ht="17.25" customHeight="1" s="322">
      <c r="A550" s="27" t="n"/>
      <c r="B550" s="506" t="n"/>
      <c r="C550" s="141" t="n"/>
      <c r="D550" s="141" t="n"/>
      <c r="E550" s="141" t="n"/>
      <c r="F550" s="141" t="n"/>
      <c r="G550" s="143" t="n"/>
      <c r="H550" s="27" t="n"/>
    </row>
    <row r="551" ht="17.25" customHeight="1" s="322">
      <c r="A551" s="27" t="n"/>
      <c r="B551" s="506" t="n"/>
      <c r="C551" s="141" t="n"/>
      <c r="D551" s="141" t="n"/>
      <c r="E551" s="141" t="n"/>
      <c r="F551" s="141" t="n"/>
      <c r="G551" s="143" t="n"/>
      <c r="H551" s="27" t="n"/>
    </row>
    <row r="552" ht="17.25" customHeight="1" s="322">
      <c r="A552" s="27" t="n"/>
      <c r="B552" s="506" t="n"/>
      <c r="C552" s="141" t="n"/>
      <c r="D552" s="141" t="n"/>
      <c r="E552" s="141" t="n"/>
      <c r="F552" s="141" t="n"/>
      <c r="G552" s="143" t="n"/>
      <c r="H552" s="27" t="n"/>
    </row>
    <row r="553" ht="17.25" customHeight="1" s="322">
      <c r="A553" s="27" t="n"/>
      <c r="B553" s="506" t="n"/>
      <c r="C553" s="141" t="n"/>
      <c r="D553" s="141" t="n"/>
      <c r="E553" s="141" t="n"/>
      <c r="F553" s="141" t="n"/>
      <c r="G553" s="143" t="n"/>
      <c r="H553" s="27" t="n"/>
    </row>
    <row r="554" ht="17.25" customHeight="1" s="322">
      <c r="A554" s="27" t="n"/>
      <c r="B554" s="506" t="n"/>
      <c r="C554" s="141" t="n"/>
      <c r="D554" s="141" t="n"/>
      <c r="E554" s="141" t="n"/>
      <c r="F554" s="141" t="n"/>
      <c r="G554" s="143" t="n"/>
      <c r="H554" s="27" t="n"/>
    </row>
    <row r="555" ht="17.25" customHeight="1" s="322">
      <c r="A555" s="27" t="n"/>
      <c r="B555" s="506" t="n"/>
      <c r="C555" s="141" t="n"/>
      <c r="D555" s="141" t="n"/>
      <c r="E555" s="141" t="n"/>
      <c r="F555" s="141" t="n"/>
      <c r="G555" s="143" t="n"/>
      <c r="H555" s="27" t="n"/>
    </row>
    <row r="556" ht="17.25" customHeight="1" s="322">
      <c r="A556" s="27" t="n"/>
      <c r="B556" s="506" t="n"/>
      <c r="C556" s="141" t="n"/>
      <c r="D556" s="141" t="n"/>
      <c r="E556" s="141" t="n"/>
      <c r="F556" s="141" t="n"/>
      <c r="G556" s="143" t="n"/>
      <c r="H556" s="27" t="n"/>
    </row>
    <row r="557" ht="17.25" customHeight="1" s="322">
      <c r="A557" s="27" t="n"/>
      <c r="B557" s="506" t="n"/>
      <c r="C557" s="141" t="n"/>
      <c r="D557" s="141" t="n"/>
      <c r="E557" s="141" t="n"/>
      <c r="F557" s="141" t="n"/>
      <c r="G557" s="143" t="n"/>
      <c r="H557" s="27" t="n"/>
    </row>
    <row r="558" ht="17.25" customHeight="1" s="322">
      <c r="A558" s="27" t="n"/>
      <c r="B558" s="506" t="n"/>
      <c r="C558" s="141" t="n"/>
      <c r="D558" s="141" t="n"/>
      <c r="E558" s="141" t="n"/>
      <c r="F558" s="141" t="n"/>
      <c r="G558" s="143" t="n"/>
      <c r="H558" s="27" t="n"/>
    </row>
    <row r="559" ht="17.25" customHeight="1" s="322">
      <c r="A559" s="27" t="n"/>
      <c r="B559" s="506" t="n"/>
      <c r="C559" s="141" t="n"/>
      <c r="D559" s="141" t="n"/>
      <c r="E559" s="141" t="n"/>
      <c r="F559" s="141" t="n"/>
      <c r="G559" s="143" t="n"/>
      <c r="H559" s="27" t="n"/>
    </row>
    <row r="560" ht="17.25" customHeight="1" s="322">
      <c r="A560" s="27" t="n"/>
      <c r="B560" s="506" t="n"/>
      <c r="C560" s="141" t="n"/>
      <c r="D560" s="141" t="n"/>
      <c r="E560" s="141" t="n"/>
      <c r="F560" s="141" t="n"/>
      <c r="G560" s="143" t="n"/>
      <c r="H560" s="27" t="n"/>
    </row>
    <row r="561" ht="17.25" customHeight="1" s="322">
      <c r="A561" s="27" t="n"/>
      <c r="B561" s="506" t="n"/>
      <c r="C561" s="141" t="n"/>
      <c r="D561" s="141" t="n"/>
      <c r="E561" s="141" t="n"/>
      <c r="F561" s="141" t="n"/>
      <c r="G561" s="143" t="n"/>
      <c r="H561" s="27" t="n"/>
    </row>
    <row r="562" ht="17.25" customHeight="1" s="322">
      <c r="A562" s="27" t="n"/>
      <c r="B562" s="506" t="n"/>
      <c r="C562" s="141" t="n"/>
      <c r="D562" s="141" t="n"/>
      <c r="E562" s="141" t="n"/>
      <c r="F562" s="141" t="n"/>
      <c r="G562" s="143" t="n"/>
      <c r="H562" s="27" t="n"/>
    </row>
    <row r="563" ht="17.25" customHeight="1" s="322">
      <c r="A563" s="27" t="n"/>
      <c r="B563" s="506" t="n"/>
      <c r="C563" s="141" t="n"/>
      <c r="D563" s="141" t="n"/>
      <c r="E563" s="141" t="n"/>
      <c r="F563" s="141" t="n"/>
      <c r="G563" s="143" t="n"/>
      <c r="H563" s="27" t="n"/>
    </row>
    <row r="564" ht="17.25" customHeight="1" s="322">
      <c r="A564" s="27" t="n"/>
      <c r="B564" s="506" t="n"/>
      <c r="C564" s="141" t="n"/>
      <c r="D564" s="141" t="n"/>
      <c r="E564" s="141" t="n"/>
      <c r="F564" s="141" t="n"/>
      <c r="G564" s="143" t="n"/>
      <c r="H564" s="27" t="n"/>
    </row>
    <row r="565" ht="17.25" customHeight="1" s="322">
      <c r="A565" s="27" t="n"/>
      <c r="B565" s="506" t="n"/>
      <c r="C565" s="141" t="n"/>
      <c r="D565" s="141" t="n"/>
      <c r="E565" s="141" t="n"/>
      <c r="F565" s="141" t="n"/>
      <c r="G565" s="143" t="n"/>
      <c r="H565" s="27" t="n"/>
    </row>
    <row r="566" ht="17.25" customHeight="1" s="322">
      <c r="A566" s="27" t="n"/>
      <c r="B566" s="506" t="n"/>
      <c r="C566" s="141" t="n"/>
      <c r="D566" s="141" t="n"/>
      <c r="E566" s="141" t="n"/>
      <c r="F566" s="141" t="n"/>
      <c r="G566" s="143" t="n"/>
      <c r="H566" s="27" t="n"/>
    </row>
    <row r="567" ht="17.25" customHeight="1" s="322">
      <c r="A567" s="27" t="n"/>
      <c r="B567" s="506" t="n"/>
      <c r="C567" s="141" t="n"/>
      <c r="D567" s="141" t="n"/>
      <c r="E567" s="141" t="n"/>
      <c r="F567" s="141" t="n"/>
      <c r="G567" s="143" t="n"/>
      <c r="H567" s="27" t="n"/>
    </row>
    <row r="568" ht="17.25" customHeight="1" s="322">
      <c r="A568" s="27" t="n"/>
      <c r="B568" s="506" t="n"/>
      <c r="C568" s="141" t="n"/>
      <c r="D568" s="141" t="n"/>
      <c r="E568" s="141" t="n"/>
      <c r="F568" s="141" t="n"/>
      <c r="G568" s="143" t="n"/>
      <c r="H568" s="27" t="n"/>
    </row>
    <row r="569" ht="17.25" customHeight="1" s="322">
      <c r="A569" s="27" t="n"/>
      <c r="B569" s="506" t="n"/>
      <c r="C569" s="141" t="n"/>
      <c r="D569" s="141" t="n"/>
      <c r="E569" s="141" t="n"/>
      <c r="F569" s="141" t="n"/>
      <c r="G569" s="143" t="n"/>
      <c r="H569" s="27" t="n"/>
    </row>
    <row r="570" ht="17.25" customHeight="1" s="322">
      <c r="A570" s="27" t="n"/>
      <c r="B570" s="506" t="n"/>
      <c r="C570" s="141" t="n"/>
      <c r="D570" s="141" t="n"/>
      <c r="E570" s="141" t="n"/>
      <c r="F570" s="141" t="n"/>
      <c r="G570" s="143" t="n"/>
      <c r="H570" s="27" t="n"/>
    </row>
    <row r="571" ht="17.25" customHeight="1" s="322">
      <c r="A571" s="27" t="n"/>
      <c r="B571" s="506" t="n"/>
      <c r="C571" s="141" t="n"/>
      <c r="D571" s="141" t="n"/>
      <c r="E571" s="141" t="n"/>
      <c r="F571" s="141" t="n"/>
      <c r="G571" s="143" t="n"/>
      <c r="H571" s="27" t="n"/>
    </row>
    <row r="572" ht="17.25" customHeight="1" s="322">
      <c r="A572" s="27" t="n"/>
      <c r="B572" s="506" t="n"/>
      <c r="C572" s="141" t="n"/>
      <c r="D572" s="141" t="n"/>
      <c r="E572" s="141" t="n"/>
      <c r="F572" s="141" t="n"/>
      <c r="G572" s="143" t="n"/>
      <c r="H572" s="27" t="n"/>
    </row>
    <row r="573" ht="17.25" customHeight="1" s="322">
      <c r="A573" s="27" t="n"/>
      <c r="B573" s="506" t="n"/>
      <c r="C573" s="141" t="n"/>
      <c r="D573" s="141" t="n"/>
      <c r="E573" s="141" t="n"/>
      <c r="F573" s="141" t="n"/>
      <c r="G573" s="143" t="n"/>
      <c r="H573" s="27" t="n"/>
    </row>
    <row r="574" ht="17.25" customHeight="1" s="322">
      <c r="A574" s="27" t="n"/>
      <c r="B574" s="506" t="n"/>
      <c r="C574" s="141" t="n"/>
      <c r="D574" s="141" t="n"/>
      <c r="E574" s="141" t="n"/>
      <c r="F574" s="141" t="n"/>
      <c r="G574" s="143" t="n"/>
      <c r="H574" s="27" t="n"/>
    </row>
    <row r="575" ht="17.25" customHeight="1" s="322">
      <c r="A575" s="27" t="n"/>
      <c r="B575" s="506" t="n"/>
      <c r="C575" s="141" t="n"/>
      <c r="D575" s="141" t="n"/>
      <c r="E575" s="141" t="n"/>
      <c r="F575" s="141" t="n"/>
      <c r="G575" s="143" t="n"/>
      <c r="H575" s="27" t="n"/>
    </row>
    <row r="576" ht="17.25" customHeight="1" s="322">
      <c r="A576" s="27" t="n"/>
      <c r="B576" s="506" t="n"/>
      <c r="C576" s="141" t="n"/>
      <c r="D576" s="141" t="n"/>
      <c r="E576" s="141" t="n"/>
      <c r="F576" s="141" t="n"/>
      <c r="G576" s="143" t="n"/>
      <c r="H576" s="27" t="n"/>
    </row>
    <row r="577" ht="17.25" customHeight="1" s="322">
      <c r="A577" s="27" t="n"/>
      <c r="B577" s="506" t="n"/>
      <c r="C577" s="141" t="n"/>
      <c r="D577" s="141" t="n"/>
      <c r="E577" s="141" t="n"/>
      <c r="F577" s="141" t="n"/>
      <c r="G577" s="143" t="n"/>
      <c r="H577" s="27" t="n"/>
    </row>
    <row r="578" ht="17.25" customHeight="1" s="322">
      <c r="A578" s="27" t="n"/>
      <c r="B578" s="506" t="n"/>
      <c r="C578" s="141" t="n"/>
      <c r="D578" s="141" t="n"/>
      <c r="E578" s="141" t="n"/>
      <c r="F578" s="141" t="n"/>
      <c r="G578" s="143" t="n"/>
      <c r="H578" s="27" t="n"/>
    </row>
    <row r="579" ht="17.25" customHeight="1" s="322">
      <c r="A579" s="27" t="n"/>
      <c r="B579" s="506" t="n"/>
      <c r="C579" s="141" t="n"/>
      <c r="D579" s="141" t="n"/>
      <c r="E579" s="141" t="n"/>
      <c r="F579" s="141" t="n"/>
      <c r="G579" s="143" t="n"/>
      <c r="H579" s="27" t="n"/>
    </row>
    <row r="580" ht="17.25" customHeight="1" s="322">
      <c r="A580" s="27" t="n"/>
      <c r="B580" s="506" t="n"/>
      <c r="C580" s="141" t="n"/>
      <c r="D580" s="141" t="n"/>
      <c r="E580" s="141" t="n"/>
      <c r="F580" s="141" t="n"/>
      <c r="G580" s="143" t="n"/>
      <c r="H580" s="27" t="n"/>
    </row>
    <row r="581" ht="17.25" customHeight="1" s="322">
      <c r="A581" s="27" t="n"/>
      <c r="B581" s="506" t="n"/>
      <c r="C581" s="141" t="n"/>
      <c r="D581" s="141" t="n"/>
      <c r="E581" s="141" t="n"/>
      <c r="F581" s="141" t="n"/>
      <c r="G581" s="143" t="n"/>
      <c r="H581" s="27" t="n"/>
    </row>
    <row r="582" ht="17.25" customHeight="1" s="322">
      <c r="A582" s="27" t="n"/>
      <c r="B582" s="506" t="n"/>
      <c r="C582" s="141" t="n"/>
      <c r="D582" s="141" t="n"/>
      <c r="E582" s="141" t="n"/>
      <c r="F582" s="141" t="n"/>
      <c r="G582" s="143" t="n"/>
      <c r="H582" s="27" t="n"/>
    </row>
    <row r="583" ht="17.25" customHeight="1" s="322">
      <c r="A583" s="27" t="n"/>
      <c r="B583" s="506" t="n"/>
      <c r="C583" s="141" t="n"/>
      <c r="D583" s="141" t="n"/>
      <c r="E583" s="141" t="n"/>
      <c r="F583" s="141" t="n"/>
      <c r="G583" s="143" t="n"/>
      <c r="H583" s="27" t="n"/>
    </row>
    <row r="584" ht="17.25" customHeight="1" s="322">
      <c r="A584" s="27" t="n"/>
      <c r="B584" s="506" t="n"/>
      <c r="C584" s="141" t="n"/>
      <c r="D584" s="141" t="n"/>
      <c r="E584" s="141" t="n"/>
      <c r="F584" s="141" t="n"/>
      <c r="G584" s="143" t="n"/>
      <c r="H584" s="27" t="n"/>
    </row>
    <row r="585" ht="17.25" customHeight="1" s="322">
      <c r="A585" s="27" t="n"/>
      <c r="B585" s="506" t="n"/>
      <c r="C585" s="141" t="n"/>
      <c r="D585" s="141" t="n"/>
      <c r="E585" s="141" t="n"/>
      <c r="F585" s="141" t="n"/>
      <c r="G585" s="143" t="n"/>
      <c r="H585" s="27" t="n"/>
    </row>
    <row r="586" ht="17.25" customHeight="1" s="322">
      <c r="A586" s="27" t="n"/>
      <c r="B586" s="506" t="n"/>
      <c r="C586" s="141" t="n"/>
      <c r="D586" s="141" t="n"/>
      <c r="E586" s="141" t="n"/>
      <c r="F586" s="141" t="n"/>
      <c r="G586" s="143" t="n"/>
      <c r="H586" s="27" t="n"/>
    </row>
    <row r="587" ht="17.25" customHeight="1" s="322">
      <c r="A587" s="27" t="n"/>
      <c r="B587" s="506" t="n"/>
      <c r="C587" s="141" t="n"/>
      <c r="D587" s="141" t="n"/>
      <c r="E587" s="141" t="n"/>
      <c r="F587" s="141" t="n"/>
      <c r="G587" s="143" t="n"/>
      <c r="H587" s="27" t="n"/>
    </row>
    <row r="588" ht="17.25" customHeight="1" s="322">
      <c r="A588" s="27" t="n"/>
      <c r="B588" s="506" t="n"/>
      <c r="C588" s="141" t="n"/>
      <c r="D588" s="141" t="n"/>
      <c r="E588" s="141" t="n"/>
      <c r="F588" s="141" t="n"/>
      <c r="G588" s="143" t="n"/>
      <c r="H588" s="27" t="n"/>
    </row>
    <row r="589" ht="17.25" customHeight="1" s="322">
      <c r="A589" s="27" t="n"/>
      <c r="B589" s="506" t="n"/>
      <c r="C589" s="141" t="n"/>
      <c r="D589" s="141" t="n"/>
      <c r="E589" s="141" t="n"/>
      <c r="F589" s="141" t="n"/>
      <c r="G589" s="143" t="n"/>
      <c r="H589" s="27" t="n"/>
    </row>
    <row r="590" ht="17.25" customHeight="1" s="322">
      <c r="A590" s="27" t="n"/>
      <c r="B590" s="506" t="n"/>
      <c r="C590" s="141" t="n"/>
      <c r="D590" s="141" t="n"/>
      <c r="E590" s="141" t="n"/>
      <c r="F590" s="141" t="n"/>
      <c r="G590" s="143" t="n"/>
      <c r="H590" s="27" t="n"/>
    </row>
    <row r="591" ht="17.25" customHeight="1" s="322">
      <c r="A591" s="27" t="n"/>
      <c r="B591" s="506" t="n"/>
      <c r="C591" s="141" t="n"/>
      <c r="D591" s="141" t="n"/>
      <c r="E591" s="141" t="n"/>
      <c r="F591" s="141" t="n"/>
      <c r="G591" s="143" t="n"/>
      <c r="H591" s="27" t="n"/>
    </row>
    <row r="592" ht="17.25" customHeight="1" s="322">
      <c r="A592" s="27" t="n"/>
      <c r="B592" s="506" t="n"/>
      <c r="C592" s="141" t="n"/>
      <c r="D592" s="141" t="n"/>
      <c r="E592" s="141" t="n"/>
      <c r="F592" s="141" t="n"/>
      <c r="G592" s="143" t="n"/>
      <c r="H592" s="27" t="n"/>
    </row>
    <row r="593" ht="17.25" customHeight="1" s="322">
      <c r="A593" s="27" t="n"/>
      <c r="B593" s="506" t="n"/>
      <c r="C593" s="141" t="n"/>
      <c r="D593" s="141" t="n"/>
      <c r="E593" s="141" t="n"/>
      <c r="F593" s="141" t="n"/>
      <c r="G593" s="143" t="n"/>
      <c r="H593" s="27" t="n"/>
    </row>
    <row r="594" ht="17.25" customHeight="1" s="322">
      <c r="A594" s="27" t="n"/>
      <c r="B594" s="506" t="n"/>
      <c r="C594" s="141" t="n"/>
      <c r="D594" s="141" t="n"/>
      <c r="E594" s="141" t="n"/>
      <c r="F594" s="141" t="n"/>
      <c r="G594" s="143" t="n"/>
      <c r="H594" s="27" t="n"/>
    </row>
    <row r="595" ht="17.25" customHeight="1" s="322">
      <c r="A595" s="27" t="n"/>
      <c r="B595" s="506" t="n"/>
      <c r="C595" s="141" t="n"/>
      <c r="D595" s="141" t="n"/>
      <c r="E595" s="141" t="n"/>
      <c r="F595" s="141" t="n"/>
      <c r="G595" s="143" t="n"/>
      <c r="H595" s="27" t="n"/>
    </row>
    <row r="596" ht="17.25" customHeight="1" s="322">
      <c r="A596" s="27" t="n"/>
      <c r="B596" s="506" t="n"/>
      <c r="C596" s="141" t="n"/>
      <c r="D596" s="141" t="n"/>
      <c r="E596" s="141" t="n"/>
      <c r="F596" s="141" t="n"/>
      <c r="G596" s="143" t="n"/>
      <c r="H596" s="27" t="n"/>
    </row>
    <row r="597" ht="17.25" customHeight="1" s="322">
      <c r="A597" s="27" t="n"/>
      <c r="B597" s="506" t="n"/>
      <c r="C597" s="141" t="n"/>
      <c r="D597" s="141" t="n"/>
      <c r="E597" s="141" t="n"/>
      <c r="F597" s="141" t="n"/>
      <c r="G597" s="143" t="n"/>
      <c r="H597" s="27" t="n"/>
    </row>
    <row r="598" ht="17.25" customHeight="1" s="322">
      <c r="A598" s="27" t="n"/>
      <c r="B598" s="506" t="n"/>
      <c r="C598" s="141" t="n"/>
      <c r="D598" s="141" t="n"/>
      <c r="E598" s="141" t="n"/>
      <c r="F598" s="141" t="n"/>
      <c r="G598" s="143" t="n"/>
      <c r="H598" s="27" t="n"/>
    </row>
    <row r="599" ht="17.25" customHeight="1" s="322">
      <c r="A599" s="27" t="n"/>
      <c r="B599" s="506" t="n"/>
      <c r="C599" s="141" t="n"/>
      <c r="D599" s="141" t="n"/>
      <c r="E599" s="141" t="n"/>
      <c r="F599" s="141" t="n"/>
      <c r="G599" s="143" t="n"/>
      <c r="H599" s="27" t="n"/>
    </row>
    <row r="600" ht="17.25" customHeight="1" s="322">
      <c r="A600" s="27" t="n"/>
      <c r="B600" s="506" t="n"/>
      <c r="C600" s="141" t="n"/>
      <c r="D600" s="141" t="n"/>
      <c r="E600" s="141" t="n"/>
      <c r="F600" s="141" t="n"/>
      <c r="G600" s="143" t="n"/>
      <c r="H600" s="27" t="n"/>
    </row>
    <row r="601" ht="17.25" customHeight="1" s="322">
      <c r="A601" s="27" t="n"/>
      <c r="B601" s="506" t="n"/>
      <c r="C601" s="141" t="n"/>
      <c r="D601" s="141" t="n"/>
      <c r="E601" s="141" t="n"/>
      <c r="F601" s="141" t="n"/>
      <c r="G601" s="143" t="n"/>
      <c r="H601" s="27" t="n"/>
    </row>
    <row r="602" ht="17.25" customHeight="1" s="322">
      <c r="A602" s="27" t="n"/>
      <c r="B602" s="506" t="n"/>
      <c r="C602" s="141" t="n"/>
      <c r="D602" s="141" t="n"/>
      <c r="E602" s="141" t="n"/>
      <c r="F602" s="141" t="n"/>
      <c r="G602" s="143" t="n"/>
      <c r="H602" s="27" t="n"/>
    </row>
    <row r="603" ht="17.25" customHeight="1" s="322">
      <c r="A603" s="27" t="n"/>
      <c r="B603" s="506" t="n"/>
      <c r="C603" s="141" t="n"/>
      <c r="D603" s="141" t="n"/>
      <c r="E603" s="141" t="n"/>
      <c r="F603" s="141" t="n"/>
      <c r="G603" s="143" t="n"/>
      <c r="H603" s="27" t="n"/>
    </row>
    <row r="604" ht="17.25" customHeight="1" s="322">
      <c r="A604" s="27" t="n"/>
      <c r="B604" s="506" t="n"/>
      <c r="C604" s="141" t="n"/>
      <c r="D604" s="141" t="n"/>
      <c r="E604" s="141" t="n"/>
      <c r="F604" s="141" t="n"/>
      <c r="G604" s="143" t="n"/>
      <c r="H604" s="27" t="n"/>
    </row>
    <row r="605" ht="17.25" customHeight="1" s="322">
      <c r="A605" s="27" t="n"/>
      <c r="B605" s="506" t="n"/>
      <c r="C605" s="141" t="n"/>
      <c r="D605" s="141" t="n"/>
      <c r="E605" s="141" t="n"/>
      <c r="F605" s="141" t="n"/>
      <c r="G605" s="143" t="n"/>
      <c r="H605" s="27" t="n"/>
    </row>
    <row r="606" ht="17.25" customHeight="1" s="322">
      <c r="A606" s="27" t="n"/>
      <c r="B606" s="506" t="n"/>
      <c r="C606" s="141" t="n"/>
      <c r="D606" s="141" t="n"/>
      <c r="E606" s="141" t="n"/>
      <c r="F606" s="141" t="n"/>
      <c r="G606" s="143" t="n"/>
      <c r="H606" s="27" t="n"/>
    </row>
    <row r="607" ht="17.25" customHeight="1" s="322">
      <c r="A607" s="27" t="n"/>
      <c r="B607" s="506" t="n"/>
      <c r="C607" s="141" t="n"/>
      <c r="D607" s="141" t="n"/>
      <c r="E607" s="141" t="n"/>
      <c r="F607" s="141" t="n"/>
      <c r="G607" s="143" t="n"/>
      <c r="H607" s="27" t="n"/>
    </row>
    <row r="608" ht="17.25" customHeight="1" s="322">
      <c r="A608" s="27" t="n"/>
      <c r="B608" s="506" t="n"/>
      <c r="C608" s="141" t="n"/>
      <c r="D608" s="141" t="n"/>
      <c r="E608" s="141" t="n"/>
      <c r="F608" s="141" t="n"/>
      <c r="G608" s="143" t="n"/>
      <c r="H608" s="27" t="n"/>
    </row>
    <row r="609" ht="17.25" customHeight="1" s="322">
      <c r="A609" s="27" t="n"/>
      <c r="B609" s="506" t="n"/>
      <c r="C609" s="141" t="n"/>
      <c r="D609" s="141" t="n"/>
      <c r="E609" s="141" t="n"/>
      <c r="F609" s="141" t="n"/>
      <c r="G609" s="143" t="n"/>
      <c r="H609" s="27" t="n"/>
    </row>
    <row r="610" ht="17.25" customHeight="1" s="322">
      <c r="A610" s="27" t="n"/>
      <c r="B610" s="506" t="n"/>
      <c r="C610" s="141" t="n"/>
      <c r="D610" s="141" t="n"/>
      <c r="E610" s="141" t="n"/>
      <c r="F610" s="141" t="n"/>
      <c r="G610" s="143" t="n"/>
      <c r="H610" s="27" t="n"/>
    </row>
    <row r="611" ht="17.25" customHeight="1" s="322">
      <c r="A611" s="27" t="n"/>
      <c r="B611" s="506" t="n"/>
      <c r="C611" s="141" t="n"/>
      <c r="D611" s="141" t="n"/>
      <c r="E611" s="141" t="n"/>
      <c r="F611" s="141" t="n"/>
      <c r="G611" s="143" t="n"/>
      <c r="H611" s="27" t="n"/>
    </row>
    <row r="612" ht="17.25" customHeight="1" s="322">
      <c r="A612" s="27" t="n"/>
      <c r="B612" s="506" t="n"/>
      <c r="C612" s="141" t="n"/>
      <c r="D612" s="141" t="n"/>
      <c r="E612" s="141" t="n"/>
      <c r="F612" s="141" t="n"/>
      <c r="G612" s="143" t="n"/>
      <c r="H612" s="27" t="n"/>
    </row>
    <row r="613" ht="17.25" customHeight="1" s="322">
      <c r="A613" s="27" t="n"/>
      <c r="B613" s="506" t="n"/>
      <c r="C613" s="141" t="n"/>
      <c r="D613" s="141" t="n"/>
      <c r="E613" s="141" t="n"/>
      <c r="F613" s="141" t="n"/>
      <c r="G613" s="143" t="n"/>
      <c r="H613" s="27" t="n"/>
    </row>
    <row r="614" ht="17.25" customHeight="1" s="322">
      <c r="A614" s="27" t="n"/>
      <c r="B614" s="506" t="n"/>
      <c r="C614" s="141" t="n"/>
      <c r="D614" s="141" t="n"/>
      <c r="E614" s="141" t="n"/>
      <c r="F614" s="141" t="n"/>
      <c r="G614" s="143" t="n"/>
      <c r="H614" s="27" t="n"/>
    </row>
    <row r="615" ht="17.25" customHeight="1" s="322">
      <c r="A615" s="27" t="n"/>
      <c r="B615" s="506" t="n"/>
      <c r="C615" s="141" t="n"/>
      <c r="D615" s="141" t="n"/>
      <c r="E615" s="141" t="n"/>
      <c r="F615" s="141" t="n"/>
      <c r="G615" s="143" t="n"/>
      <c r="H615" s="27" t="n"/>
    </row>
    <row r="616" ht="17.25" customHeight="1" s="322">
      <c r="A616" s="27" t="n"/>
      <c r="B616" s="506" t="n"/>
      <c r="C616" s="141" t="n"/>
      <c r="D616" s="141" t="n"/>
      <c r="E616" s="141" t="n"/>
      <c r="F616" s="141" t="n"/>
      <c r="G616" s="143" t="n"/>
      <c r="H616" s="27" t="n"/>
    </row>
    <row r="617" ht="17.25" customHeight="1" s="322">
      <c r="A617" s="27" t="n"/>
      <c r="B617" s="506" t="n"/>
      <c r="C617" s="141" t="n"/>
      <c r="D617" s="141" t="n"/>
      <c r="E617" s="141" t="n"/>
      <c r="F617" s="141" t="n"/>
      <c r="G617" s="143" t="n"/>
      <c r="H617" s="27" t="n"/>
    </row>
    <row r="618" ht="17.25" customHeight="1" s="322">
      <c r="A618" s="27" t="n"/>
      <c r="B618" s="506" t="n"/>
      <c r="C618" s="141" t="n"/>
      <c r="D618" s="141" t="n"/>
      <c r="E618" s="141" t="n"/>
      <c r="F618" s="141" t="n"/>
      <c r="G618" s="143" t="n"/>
      <c r="H618" s="27" t="n"/>
    </row>
    <row r="619" ht="17.25" customHeight="1" s="322">
      <c r="A619" s="27" t="n"/>
      <c r="B619" s="506" t="n"/>
      <c r="C619" s="141" t="n"/>
      <c r="D619" s="141" t="n"/>
      <c r="E619" s="141" t="n"/>
      <c r="F619" s="141" t="n"/>
      <c r="G619" s="143" t="n"/>
      <c r="H619" s="27" t="n"/>
    </row>
    <row r="620" ht="17.25" customHeight="1" s="322">
      <c r="A620" s="27" t="n"/>
      <c r="B620" s="506" t="n"/>
      <c r="C620" s="141" t="n"/>
      <c r="D620" s="141" t="n"/>
      <c r="E620" s="141" t="n"/>
      <c r="F620" s="141" t="n"/>
      <c r="G620" s="143" t="n"/>
      <c r="H620" s="27" t="n"/>
    </row>
    <row r="621" ht="17.25" customHeight="1" s="322">
      <c r="A621" s="27" t="n"/>
      <c r="B621" s="506" t="n"/>
      <c r="C621" s="141" t="n"/>
      <c r="D621" s="141" t="n"/>
      <c r="E621" s="141" t="n"/>
      <c r="F621" s="141" t="n"/>
      <c r="G621" s="143" t="n"/>
      <c r="H621" s="27" t="n"/>
    </row>
    <row r="622" ht="17.25" customHeight="1" s="322">
      <c r="A622" s="27" t="n"/>
      <c r="B622" s="506" t="n"/>
      <c r="C622" s="141" t="n"/>
      <c r="D622" s="141" t="n"/>
      <c r="E622" s="141" t="n"/>
      <c r="F622" s="141" t="n"/>
      <c r="G622" s="143" t="n"/>
      <c r="H622" s="27" t="n"/>
    </row>
    <row r="623" ht="17.25" customHeight="1" s="322">
      <c r="A623" s="27" t="n"/>
      <c r="B623" s="506" t="n"/>
      <c r="C623" s="141" t="n"/>
      <c r="D623" s="141" t="n"/>
      <c r="E623" s="141" t="n"/>
      <c r="F623" s="141" t="n"/>
      <c r="G623" s="143" t="n"/>
      <c r="H623" s="27" t="n"/>
    </row>
    <row r="624" ht="17.25" customHeight="1" s="322">
      <c r="A624" s="27" t="n"/>
      <c r="B624" s="506" t="n"/>
      <c r="C624" s="141" t="n"/>
      <c r="D624" s="141" t="n"/>
      <c r="E624" s="141" t="n"/>
      <c r="F624" s="141" t="n"/>
      <c r="G624" s="143" t="n"/>
      <c r="H624" s="27" t="n"/>
    </row>
    <row r="625" ht="17.25" customHeight="1" s="322">
      <c r="A625" s="27" t="n"/>
      <c r="B625" s="506" t="n"/>
      <c r="C625" s="141" t="n"/>
      <c r="D625" s="141" t="n"/>
      <c r="E625" s="141" t="n"/>
      <c r="F625" s="141" t="n"/>
      <c r="G625" s="143" t="n"/>
      <c r="H625" s="27" t="n"/>
    </row>
    <row r="626" ht="17.25" customHeight="1" s="322">
      <c r="A626" s="27" t="n"/>
      <c r="B626" s="506" t="n"/>
      <c r="C626" s="141" t="n"/>
      <c r="D626" s="141" t="n"/>
      <c r="E626" s="141" t="n"/>
      <c r="F626" s="141" t="n"/>
      <c r="G626" s="143" t="n"/>
      <c r="H626" s="27" t="n"/>
    </row>
    <row r="627" ht="17.25" customHeight="1" s="322">
      <c r="A627" s="27" t="n"/>
      <c r="B627" s="506" t="n"/>
      <c r="C627" s="141" t="n"/>
      <c r="D627" s="141" t="n"/>
      <c r="E627" s="141" t="n"/>
      <c r="F627" s="141" t="n"/>
      <c r="G627" s="143" t="n"/>
      <c r="H627" s="27" t="n"/>
    </row>
    <row r="628" ht="17.25" customHeight="1" s="322">
      <c r="A628" s="27" t="n"/>
      <c r="B628" s="506" t="n"/>
      <c r="C628" s="141" t="n"/>
      <c r="D628" s="141" t="n"/>
      <c r="E628" s="141" t="n"/>
      <c r="F628" s="141" t="n"/>
      <c r="G628" s="143" t="n"/>
      <c r="H628" s="27" t="n"/>
    </row>
    <row r="629" ht="17.25" customHeight="1" s="322">
      <c r="A629" s="27" t="n"/>
      <c r="B629" s="506" t="n"/>
      <c r="C629" s="141" t="n"/>
      <c r="D629" s="141" t="n"/>
      <c r="E629" s="141" t="n"/>
      <c r="F629" s="141" t="n"/>
      <c r="G629" s="143" t="n"/>
      <c r="H629" s="27" t="n"/>
    </row>
    <row r="630" ht="17.25" customHeight="1" s="322">
      <c r="A630" s="27" t="n"/>
      <c r="B630" s="506" t="n"/>
      <c r="C630" s="141" t="n"/>
      <c r="D630" s="141" t="n"/>
      <c r="E630" s="141" t="n"/>
      <c r="F630" s="141" t="n"/>
      <c r="G630" s="143" t="n"/>
      <c r="H630" s="27" t="n"/>
    </row>
    <row r="631" ht="17.25" customHeight="1" s="322">
      <c r="A631" s="27" t="n"/>
      <c r="B631" s="506" t="n"/>
      <c r="C631" s="141" t="n"/>
      <c r="D631" s="141" t="n"/>
      <c r="E631" s="141" t="n"/>
      <c r="F631" s="141" t="n"/>
      <c r="G631" s="143" t="n"/>
      <c r="H631" s="27" t="n"/>
    </row>
    <row r="632" ht="17.25" customHeight="1" s="322">
      <c r="A632" s="27" t="n"/>
      <c r="B632" s="506" t="n"/>
      <c r="C632" s="141" t="n"/>
      <c r="D632" s="141" t="n"/>
      <c r="E632" s="141" t="n"/>
      <c r="F632" s="141" t="n"/>
      <c r="G632" s="143" t="n"/>
      <c r="H632" s="27" t="n"/>
    </row>
    <row r="633" ht="17.25" customHeight="1" s="322">
      <c r="A633" s="27" t="n"/>
      <c r="B633" s="506" t="n"/>
      <c r="C633" s="141" t="n"/>
      <c r="D633" s="141" t="n"/>
      <c r="E633" s="141" t="n"/>
      <c r="F633" s="141" t="n"/>
      <c r="G633" s="143" t="n"/>
      <c r="H633" s="27" t="n"/>
    </row>
    <row r="634" ht="17.25" customHeight="1" s="322">
      <c r="A634" s="27" t="n"/>
      <c r="B634" s="506" t="n"/>
      <c r="C634" s="141" t="n"/>
      <c r="D634" s="141" t="n"/>
      <c r="E634" s="141" t="n"/>
      <c r="F634" s="141" t="n"/>
      <c r="G634" s="143" t="n"/>
      <c r="H634" s="27" t="n"/>
    </row>
    <row r="635" ht="17.25" customHeight="1" s="322">
      <c r="A635" s="27" t="n"/>
      <c r="B635" s="506" t="n"/>
      <c r="C635" s="141" t="n"/>
      <c r="D635" s="141" t="n"/>
      <c r="E635" s="141" t="n"/>
      <c r="F635" s="141" t="n"/>
      <c r="G635" s="143" t="n"/>
      <c r="H635" s="27" t="n"/>
    </row>
    <row r="636" ht="17.25" customHeight="1" s="322">
      <c r="A636" s="27" t="n"/>
      <c r="B636" s="506" t="n"/>
      <c r="C636" s="141" t="n"/>
      <c r="D636" s="141" t="n"/>
      <c r="E636" s="141" t="n"/>
      <c r="F636" s="141" t="n"/>
      <c r="G636" s="143" t="n"/>
      <c r="H636" s="27" t="n"/>
    </row>
    <row r="637" ht="17.25" customHeight="1" s="322">
      <c r="A637" s="27" t="n"/>
      <c r="B637" s="506" t="n"/>
      <c r="C637" s="141" t="n"/>
      <c r="D637" s="141" t="n"/>
      <c r="E637" s="141" t="n"/>
      <c r="F637" s="141" t="n"/>
      <c r="G637" s="143" t="n"/>
      <c r="H637" s="27" t="n"/>
    </row>
    <row r="638" ht="17.25" customHeight="1" s="322">
      <c r="A638" s="27" t="n"/>
      <c r="B638" s="506" t="n"/>
      <c r="C638" s="141" t="n"/>
      <c r="D638" s="141" t="n"/>
      <c r="E638" s="141" t="n"/>
      <c r="F638" s="141" t="n"/>
      <c r="G638" s="143" t="n"/>
      <c r="H638" s="27" t="n"/>
    </row>
    <row r="639" ht="17.25" customHeight="1" s="322">
      <c r="A639" s="27" t="n"/>
      <c r="B639" s="506" t="n"/>
      <c r="C639" s="141" t="n"/>
      <c r="D639" s="141" t="n"/>
      <c r="E639" s="141" t="n"/>
      <c r="F639" s="141" t="n"/>
      <c r="G639" s="143" t="n"/>
      <c r="H639" s="27" t="n"/>
    </row>
    <row r="640" ht="17.25" customHeight="1" s="322">
      <c r="A640" s="27" t="n"/>
      <c r="B640" s="506" t="n"/>
      <c r="C640" s="141" t="n"/>
      <c r="D640" s="141" t="n"/>
      <c r="E640" s="141" t="n"/>
      <c r="F640" s="141" t="n"/>
      <c r="G640" s="143" t="n"/>
      <c r="H640" s="27" t="n"/>
    </row>
    <row r="641" ht="17.25" customHeight="1" s="322">
      <c r="A641" s="27" t="n"/>
      <c r="B641" s="506" t="n"/>
      <c r="C641" s="141" t="n"/>
      <c r="D641" s="141" t="n"/>
      <c r="E641" s="141" t="n"/>
      <c r="F641" s="141" t="n"/>
      <c r="G641" s="143" t="n"/>
      <c r="H641" s="27" t="n"/>
    </row>
    <row r="642" ht="17.25" customHeight="1" s="322">
      <c r="A642" s="27" t="n"/>
      <c r="B642" s="506" t="n"/>
      <c r="C642" s="141" t="n"/>
      <c r="D642" s="141" t="n"/>
      <c r="E642" s="141" t="n"/>
      <c r="F642" s="141" t="n"/>
      <c r="G642" s="143" t="n"/>
      <c r="H642" s="27" t="n"/>
    </row>
    <row r="643" ht="17.25" customHeight="1" s="322">
      <c r="A643" s="27" t="n"/>
      <c r="B643" s="506" t="n"/>
      <c r="C643" s="141" t="n"/>
      <c r="D643" s="141" t="n"/>
      <c r="E643" s="141" t="n"/>
      <c r="F643" s="141" t="n"/>
      <c r="G643" s="143" t="n"/>
      <c r="H643" s="27" t="n"/>
    </row>
    <row r="644" ht="17.25" customHeight="1" s="322">
      <c r="A644" s="27" t="n"/>
      <c r="B644" s="506" t="n"/>
      <c r="C644" s="141" t="n"/>
      <c r="D644" s="141" t="n"/>
      <c r="E644" s="141" t="n"/>
      <c r="F644" s="141" t="n"/>
      <c r="G644" s="143" t="n"/>
      <c r="H644" s="27" t="n"/>
    </row>
    <row r="645" ht="17.25" customHeight="1" s="322">
      <c r="A645" s="27" t="n"/>
      <c r="B645" s="506" t="n"/>
      <c r="C645" s="141" t="n"/>
      <c r="D645" s="141" t="n"/>
      <c r="E645" s="141" t="n"/>
      <c r="F645" s="141" t="n"/>
      <c r="G645" s="143" t="n"/>
      <c r="H645" s="27" t="n"/>
    </row>
    <row r="646" ht="17.25" customHeight="1" s="322">
      <c r="A646" s="27" t="n"/>
      <c r="B646" s="506" t="n"/>
      <c r="C646" s="141" t="n"/>
      <c r="D646" s="141" t="n"/>
      <c r="E646" s="141" t="n"/>
      <c r="F646" s="141" t="n"/>
      <c r="G646" s="143" t="n"/>
      <c r="H646" s="27" t="n"/>
    </row>
    <row r="647" ht="17.25" customHeight="1" s="322">
      <c r="A647" s="27" t="n"/>
      <c r="B647" s="506" t="n"/>
      <c r="C647" s="141" t="n"/>
      <c r="D647" s="141" t="n"/>
      <c r="E647" s="141" t="n"/>
      <c r="F647" s="141" t="n"/>
      <c r="G647" s="143" t="n"/>
      <c r="H647" s="27" t="n"/>
    </row>
    <row r="648" ht="17.25" customHeight="1" s="322">
      <c r="A648" s="27" t="n"/>
      <c r="B648" s="506" t="n"/>
      <c r="C648" s="141" t="n"/>
      <c r="D648" s="141" t="n"/>
      <c r="E648" s="141" t="n"/>
      <c r="F648" s="141" t="n"/>
      <c r="G648" s="143" t="n"/>
      <c r="H648" s="27" t="n"/>
    </row>
    <row r="649" ht="17.25" customHeight="1" s="322">
      <c r="A649" s="27" t="n"/>
      <c r="B649" s="506" t="n"/>
      <c r="C649" s="141" t="n"/>
      <c r="D649" s="141" t="n"/>
      <c r="E649" s="141" t="n"/>
      <c r="F649" s="141" t="n"/>
      <c r="G649" s="143" t="n"/>
      <c r="H649" s="27" t="n"/>
    </row>
    <row r="650" ht="17.25" customHeight="1" s="322">
      <c r="A650" s="27" t="n"/>
      <c r="B650" s="506" t="n"/>
      <c r="C650" s="141" t="n"/>
      <c r="D650" s="141" t="n"/>
      <c r="E650" s="141" t="n"/>
      <c r="F650" s="141" t="n"/>
      <c r="G650" s="143" t="n"/>
      <c r="H650" s="27" t="n"/>
    </row>
    <row r="651" ht="17.25" customHeight="1" s="322">
      <c r="A651" s="27" t="n"/>
      <c r="B651" s="506" t="n"/>
      <c r="C651" s="141" t="n"/>
      <c r="D651" s="141" t="n"/>
      <c r="E651" s="141" t="n"/>
      <c r="F651" s="141" t="n"/>
      <c r="G651" s="143" t="n"/>
      <c r="H651" s="27" t="n"/>
    </row>
    <row r="652" ht="17.25" customHeight="1" s="322">
      <c r="A652" s="27" t="n"/>
      <c r="B652" s="506" t="n"/>
      <c r="C652" s="141" t="n"/>
      <c r="D652" s="141" t="n"/>
      <c r="E652" s="141" t="n"/>
      <c r="F652" s="141" t="n"/>
      <c r="G652" s="143" t="n"/>
      <c r="H652" s="27" t="n"/>
    </row>
    <row r="653" ht="17.25" customHeight="1" s="322">
      <c r="A653" s="27" t="n"/>
      <c r="B653" s="506" t="n"/>
      <c r="C653" s="141" t="n"/>
      <c r="D653" s="141" t="n"/>
      <c r="E653" s="141" t="n"/>
      <c r="F653" s="141" t="n"/>
      <c r="G653" s="143" t="n"/>
      <c r="H653" s="27" t="n"/>
    </row>
    <row r="654" ht="17.25" customHeight="1" s="322">
      <c r="A654" s="27" t="n"/>
      <c r="B654" s="506" t="n"/>
      <c r="C654" s="141" t="n"/>
      <c r="D654" s="141" t="n"/>
      <c r="E654" s="141" t="n"/>
      <c r="F654" s="141" t="n"/>
      <c r="G654" s="143" t="n"/>
      <c r="H654" s="27" t="n"/>
    </row>
    <row r="655" ht="17.25" customHeight="1" s="322">
      <c r="A655" s="27" t="n"/>
      <c r="B655" s="506" t="n"/>
      <c r="C655" s="141" t="n"/>
      <c r="D655" s="141" t="n"/>
      <c r="E655" s="141" t="n"/>
      <c r="F655" s="141" t="n"/>
      <c r="G655" s="143" t="n"/>
      <c r="H655" s="27" t="n"/>
    </row>
    <row r="656" ht="17.25" customHeight="1" s="322">
      <c r="A656" s="27" t="n"/>
      <c r="B656" s="506" t="n"/>
      <c r="C656" s="141" t="n"/>
      <c r="D656" s="141" t="n"/>
      <c r="E656" s="141" t="n"/>
      <c r="F656" s="141" t="n"/>
      <c r="G656" s="143" t="n"/>
      <c r="H656" s="27" t="n"/>
    </row>
    <row r="657" ht="17.25" customHeight="1" s="322">
      <c r="A657" s="27" t="n"/>
      <c r="B657" s="506" t="n"/>
      <c r="C657" s="141" t="n"/>
      <c r="D657" s="141" t="n"/>
      <c r="E657" s="141" t="n"/>
      <c r="F657" s="141" t="n"/>
      <c r="G657" s="143" t="n"/>
      <c r="H657" s="27" t="n"/>
    </row>
    <row r="658" ht="17.25" customHeight="1" s="322">
      <c r="A658" s="27" t="n"/>
      <c r="B658" s="506" t="n"/>
      <c r="C658" s="141" t="n"/>
      <c r="D658" s="141" t="n"/>
      <c r="E658" s="141" t="n"/>
      <c r="F658" s="141" t="n"/>
      <c r="G658" s="143" t="n"/>
      <c r="H658" s="27" t="n"/>
    </row>
    <row r="659" ht="17.25" customHeight="1" s="322">
      <c r="A659" s="27" t="n"/>
      <c r="B659" s="506" t="n"/>
      <c r="C659" s="141" t="n"/>
      <c r="D659" s="141" t="n"/>
      <c r="E659" s="141" t="n"/>
      <c r="F659" s="141" t="n"/>
      <c r="G659" s="143" t="n"/>
      <c r="H659" s="27" t="n"/>
    </row>
    <row r="660" ht="17.25" customHeight="1" s="322">
      <c r="A660" s="27" t="n"/>
      <c r="B660" s="506" t="n"/>
      <c r="C660" s="141" t="n"/>
      <c r="D660" s="141" t="n"/>
      <c r="E660" s="141" t="n"/>
      <c r="F660" s="141" t="n"/>
      <c r="G660" s="143" t="n"/>
      <c r="H660" s="27" t="n"/>
    </row>
    <row r="661" ht="17.25" customHeight="1" s="322">
      <c r="A661" s="27" t="n"/>
      <c r="B661" s="506" t="n"/>
      <c r="C661" s="141" t="n"/>
      <c r="D661" s="141" t="n"/>
      <c r="E661" s="141" t="n"/>
      <c r="F661" s="141" t="n"/>
      <c r="G661" s="143" t="n"/>
      <c r="H661" s="27" t="n"/>
    </row>
    <row r="662" ht="17.25" customHeight="1" s="322">
      <c r="A662" s="27" t="n"/>
      <c r="B662" s="506" t="n"/>
      <c r="C662" s="141" t="n"/>
      <c r="D662" s="141" t="n"/>
      <c r="E662" s="141" t="n"/>
      <c r="F662" s="141" t="n"/>
      <c r="G662" s="143" t="n"/>
      <c r="H662" s="27" t="n"/>
    </row>
    <row r="663" ht="17.25" customHeight="1" s="322">
      <c r="A663" s="27" t="n"/>
      <c r="B663" s="506" t="n"/>
      <c r="C663" s="141" t="n"/>
      <c r="D663" s="141" t="n"/>
      <c r="E663" s="141" t="n"/>
      <c r="F663" s="141" t="n"/>
      <c r="G663" s="143" t="n"/>
      <c r="H663" s="27" t="n"/>
    </row>
    <row r="664" ht="17.25" customHeight="1" s="322">
      <c r="A664" s="27" t="n"/>
      <c r="B664" s="506" t="n"/>
      <c r="C664" s="141" t="n"/>
      <c r="D664" s="141" t="n"/>
      <c r="E664" s="141" t="n"/>
      <c r="F664" s="141" t="n"/>
      <c r="G664" s="143" t="n"/>
      <c r="H664" s="27" t="n"/>
    </row>
    <row r="665" ht="17.25" customHeight="1" s="322">
      <c r="A665" s="27" t="n"/>
      <c r="B665" s="506" t="n"/>
      <c r="C665" s="141" t="n"/>
      <c r="D665" s="141" t="n"/>
      <c r="E665" s="141" t="n"/>
      <c r="F665" s="141" t="n"/>
      <c r="G665" s="143" t="n"/>
      <c r="H665" s="27" t="n"/>
    </row>
    <row r="666" ht="17.25" customHeight="1" s="322">
      <c r="A666" s="27" t="n"/>
      <c r="B666" s="506" t="n"/>
      <c r="C666" s="141" t="n"/>
      <c r="D666" s="141" t="n"/>
      <c r="E666" s="141" t="n"/>
      <c r="F666" s="141" t="n"/>
      <c r="G666" s="143" t="n"/>
      <c r="H666" s="27" t="n"/>
    </row>
    <row r="667" ht="17.25" customHeight="1" s="322">
      <c r="A667" s="27" t="n"/>
      <c r="B667" s="506" t="n"/>
      <c r="C667" s="141" t="n"/>
      <c r="D667" s="141" t="n"/>
      <c r="E667" s="141" t="n"/>
      <c r="F667" s="141" t="n"/>
      <c r="G667" s="143" t="n"/>
      <c r="H667" s="27" t="n"/>
    </row>
    <row r="668" ht="17.25" customHeight="1" s="322">
      <c r="A668" s="27" t="n"/>
      <c r="B668" s="506" t="n"/>
      <c r="C668" s="141" t="n"/>
      <c r="D668" s="141" t="n"/>
      <c r="E668" s="141" t="n"/>
      <c r="F668" s="141" t="n"/>
      <c r="G668" s="143" t="n"/>
      <c r="H668" s="27" t="n"/>
    </row>
    <row r="669" ht="17.25" customHeight="1" s="322">
      <c r="A669" s="27" t="n"/>
      <c r="B669" s="506" t="n"/>
      <c r="C669" s="141" t="n"/>
      <c r="D669" s="141" t="n"/>
      <c r="E669" s="141" t="n"/>
      <c r="F669" s="141" t="n"/>
      <c r="G669" s="143" t="n"/>
      <c r="H669" s="27" t="n"/>
    </row>
    <row r="670" ht="17.25" customHeight="1" s="322">
      <c r="A670" s="27" t="n"/>
      <c r="B670" s="506" t="n"/>
      <c r="C670" s="141" t="n"/>
      <c r="D670" s="141" t="n"/>
      <c r="E670" s="141" t="n"/>
      <c r="F670" s="141" t="n"/>
      <c r="G670" s="143" t="n"/>
      <c r="H670" s="27" t="n"/>
    </row>
    <row r="671" ht="17.25" customHeight="1" s="322">
      <c r="A671" s="27" t="n"/>
      <c r="B671" s="506" t="n"/>
      <c r="C671" s="141" t="n"/>
      <c r="D671" s="141" t="n"/>
      <c r="E671" s="141" t="n"/>
      <c r="F671" s="141" t="n"/>
      <c r="G671" s="143" t="n"/>
      <c r="H671" s="27" t="n"/>
    </row>
    <row r="672" ht="17.25" customHeight="1" s="322">
      <c r="A672" s="27" t="n"/>
      <c r="B672" s="506" t="n"/>
      <c r="C672" s="141" t="n"/>
      <c r="D672" s="141" t="n"/>
      <c r="E672" s="141" t="n"/>
      <c r="F672" s="141" t="n"/>
      <c r="G672" s="143" t="n"/>
      <c r="H672" s="27" t="n"/>
    </row>
    <row r="673" ht="17.25" customHeight="1" s="322">
      <c r="A673" s="27" t="n"/>
      <c r="B673" s="506" t="n"/>
      <c r="C673" s="141" t="n"/>
      <c r="D673" s="141" t="n"/>
      <c r="E673" s="141" t="n"/>
      <c r="F673" s="141" t="n"/>
      <c r="G673" s="143" t="n"/>
      <c r="H673" s="27" t="n"/>
    </row>
    <row r="674" ht="17.25" customHeight="1" s="322">
      <c r="A674" s="27" t="n"/>
      <c r="B674" s="506" t="n"/>
      <c r="C674" s="141" t="n"/>
      <c r="D674" s="141" t="n"/>
      <c r="E674" s="141" t="n"/>
      <c r="F674" s="141" t="n"/>
      <c r="G674" s="143" t="n"/>
      <c r="H674" s="27" t="n"/>
    </row>
    <row r="675" ht="17.25" customHeight="1" s="322">
      <c r="A675" s="27" t="n"/>
      <c r="B675" s="506" t="n"/>
      <c r="C675" s="141" t="n"/>
      <c r="D675" s="141" t="n"/>
      <c r="E675" s="141" t="n"/>
      <c r="F675" s="141" t="n"/>
      <c r="G675" s="143" t="n"/>
      <c r="H675" s="27" t="n"/>
    </row>
    <row r="676" ht="17.25" customHeight="1" s="322">
      <c r="A676" s="27" t="n"/>
      <c r="B676" s="506" t="n"/>
      <c r="C676" s="141" t="n"/>
      <c r="D676" s="141" t="n"/>
      <c r="E676" s="141" t="n"/>
      <c r="F676" s="141" t="n"/>
      <c r="G676" s="143" t="n"/>
      <c r="H676" s="27" t="n"/>
    </row>
    <row r="677" ht="17.25" customHeight="1" s="322">
      <c r="A677" s="27" t="n"/>
      <c r="B677" s="506" t="n"/>
      <c r="C677" s="141" t="n"/>
      <c r="D677" s="141" t="n"/>
      <c r="E677" s="141" t="n"/>
      <c r="F677" s="141" t="n"/>
      <c r="G677" s="143" t="n"/>
      <c r="H677" s="27" t="n"/>
    </row>
    <row r="678" ht="17.25" customHeight="1" s="322">
      <c r="A678" s="27" t="n"/>
      <c r="B678" s="506" t="n"/>
      <c r="C678" s="141" t="n"/>
      <c r="D678" s="141" t="n"/>
      <c r="E678" s="141" t="n"/>
      <c r="F678" s="141" t="n"/>
      <c r="G678" s="143" t="n"/>
      <c r="H678" s="27" t="n"/>
    </row>
    <row r="679" ht="17.25" customHeight="1" s="322">
      <c r="A679" s="27" t="n"/>
      <c r="B679" s="506" t="n"/>
      <c r="C679" s="141" t="n"/>
      <c r="D679" s="141" t="n"/>
      <c r="E679" s="141" t="n"/>
      <c r="F679" s="141" t="n"/>
      <c r="G679" s="143" t="n"/>
      <c r="H679" s="27" t="n"/>
    </row>
    <row r="680" ht="17.25" customHeight="1" s="322">
      <c r="A680" s="27" t="n"/>
      <c r="B680" s="506" t="n"/>
      <c r="C680" s="141" t="n"/>
      <c r="D680" s="141" t="n"/>
      <c r="E680" s="141" t="n"/>
      <c r="F680" s="141" t="n"/>
      <c r="G680" s="143" t="n"/>
      <c r="H680" s="27" t="n"/>
    </row>
    <row r="681" ht="17.25" customHeight="1" s="322">
      <c r="A681" s="27" t="n"/>
      <c r="B681" s="506" t="n"/>
      <c r="C681" s="141" t="n"/>
      <c r="D681" s="141" t="n"/>
      <c r="E681" s="141" t="n"/>
      <c r="F681" s="141" t="n"/>
      <c r="G681" s="143" t="n"/>
      <c r="H681" s="27" t="n"/>
    </row>
    <row r="682" ht="17.25" customHeight="1" s="322">
      <c r="A682" s="27" t="n"/>
      <c r="B682" s="506" t="n"/>
      <c r="C682" s="141" t="n"/>
      <c r="D682" s="141" t="n"/>
      <c r="E682" s="141" t="n"/>
      <c r="F682" s="141" t="n"/>
      <c r="G682" s="143" t="n"/>
      <c r="H682" s="27" t="n"/>
    </row>
    <row r="683" ht="17.25" customHeight="1" s="322">
      <c r="A683" s="27" t="n"/>
      <c r="B683" s="506" t="n"/>
      <c r="C683" s="141" t="n"/>
      <c r="D683" s="141" t="n"/>
      <c r="E683" s="141" t="n"/>
      <c r="F683" s="141" t="n"/>
      <c r="G683" s="143" t="n"/>
      <c r="H683" s="27" t="n"/>
    </row>
    <row r="684" ht="17.25" customHeight="1" s="322">
      <c r="A684" s="27" t="n"/>
      <c r="B684" s="506" t="n"/>
      <c r="C684" s="141" t="n"/>
      <c r="D684" s="141" t="n"/>
      <c r="E684" s="141" t="n"/>
      <c r="F684" s="141" t="n"/>
      <c r="G684" s="143" t="n"/>
      <c r="H684" s="27" t="n"/>
    </row>
    <row r="685" ht="17.25" customHeight="1" s="322">
      <c r="A685" s="27" t="n"/>
      <c r="B685" s="506" t="n"/>
      <c r="C685" s="141" t="n"/>
      <c r="D685" s="141" t="n"/>
      <c r="E685" s="141" t="n"/>
      <c r="F685" s="141" t="n"/>
      <c r="G685" s="143" t="n"/>
      <c r="H685" s="27" t="n"/>
    </row>
    <row r="686" ht="17.25" customHeight="1" s="322">
      <c r="A686" s="27" t="n"/>
      <c r="B686" s="506" t="n"/>
      <c r="C686" s="141" t="n"/>
      <c r="D686" s="141" t="n"/>
      <c r="E686" s="141" t="n"/>
      <c r="F686" s="141" t="n"/>
      <c r="G686" s="143" t="n"/>
      <c r="H686" s="27" t="n"/>
    </row>
    <row r="687" ht="17.25" customHeight="1" s="322">
      <c r="A687" s="27" t="n"/>
      <c r="B687" s="506" t="n"/>
      <c r="C687" s="141" t="n"/>
      <c r="D687" s="141" t="n"/>
      <c r="E687" s="141" t="n"/>
      <c r="F687" s="141" t="n"/>
      <c r="G687" s="143" t="n"/>
      <c r="H687" s="27" t="n"/>
    </row>
    <row r="688" ht="17.25" customHeight="1" s="322">
      <c r="A688" s="27" t="n"/>
      <c r="B688" s="506" t="n"/>
      <c r="C688" s="141" t="n"/>
      <c r="D688" s="141" t="n"/>
      <c r="E688" s="141" t="n"/>
      <c r="F688" s="141" t="n"/>
      <c r="G688" s="143" t="n"/>
      <c r="H688" s="27" t="n"/>
    </row>
    <row r="689" ht="17.25" customHeight="1" s="322">
      <c r="A689" s="27" t="n"/>
      <c r="B689" s="506" t="n"/>
      <c r="C689" s="141" t="n"/>
      <c r="D689" s="141" t="n"/>
      <c r="E689" s="141" t="n"/>
      <c r="F689" s="141" t="n"/>
      <c r="G689" s="143" t="n"/>
      <c r="H689" s="27" t="n"/>
    </row>
    <row r="690" ht="17.25" customHeight="1" s="322">
      <c r="A690" s="27" t="n"/>
      <c r="B690" s="506" t="n"/>
      <c r="C690" s="141" t="n"/>
      <c r="D690" s="141" t="n"/>
      <c r="E690" s="141" t="n"/>
      <c r="F690" s="141" t="n"/>
      <c r="G690" s="143" t="n"/>
      <c r="H690" s="27" t="n"/>
    </row>
    <row r="691" ht="17.25" customHeight="1" s="322">
      <c r="A691" s="27" t="n"/>
      <c r="B691" s="506" t="n"/>
      <c r="C691" s="141" t="n"/>
      <c r="D691" s="141" t="n"/>
      <c r="E691" s="141" t="n"/>
      <c r="F691" s="141" t="n"/>
      <c r="G691" s="143" t="n"/>
      <c r="H691" s="27" t="n"/>
    </row>
    <row r="692" ht="17.25" customHeight="1" s="322">
      <c r="A692" s="27" t="n"/>
      <c r="B692" s="506" t="n"/>
      <c r="C692" s="141" t="n"/>
      <c r="D692" s="141" t="n"/>
      <c r="E692" s="141" t="n"/>
      <c r="F692" s="141" t="n"/>
      <c r="G692" s="143" t="n"/>
      <c r="H692" s="27" t="n"/>
    </row>
    <row r="693" ht="17.25" customHeight="1" s="322">
      <c r="A693" s="27" t="n"/>
      <c r="B693" s="506" t="n"/>
      <c r="C693" s="141" t="n"/>
      <c r="D693" s="141" t="n"/>
      <c r="E693" s="141" t="n"/>
      <c r="F693" s="141" t="n"/>
      <c r="G693" s="143" t="n"/>
      <c r="H693" s="27" t="n"/>
    </row>
    <row r="694" ht="17.25" customHeight="1" s="322">
      <c r="A694" s="27" t="n"/>
      <c r="B694" s="506" t="n"/>
      <c r="C694" s="141" t="n"/>
      <c r="D694" s="141" t="n"/>
      <c r="E694" s="141" t="n"/>
      <c r="F694" s="141" t="n"/>
      <c r="G694" s="143" t="n"/>
      <c r="H694" s="27" t="n"/>
    </row>
    <row r="695" ht="17.25" customHeight="1" s="322">
      <c r="A695" s="27" t="n"/>
      <c r="B695" s="506" t="n"/>
      <c r="C695" s="141" t="n"/>
      <c r="D695" s="141" t="n"/>
      <c r="E695" s="141" t="n"/>
      <c r="F695" s="141" t="n"/>
      <c r="G695" s="143" t="n"/>
      <c r="H695" s="27" t="n"/>
    </row>
    <row r="696" ht="17.25" customHeight="1" s="322">
      <c r="A696" s="27" t="n"/>
      <c r="B696" s="506" t="n"/>
      <c r="C696" s="141" t="n"/>
      <c r="D696" s="141" t="n"/>
      <c r="E696" s="141" t="n"/>
      <c r="F696" s="141" t="n"/>
      <c r="G696" s="143" t="n"/>
      <c r="H696" s="27" t="n"/>
    </row>
    <row r="697" ht="17.25" customHeight="1" s="322">
      <c r="A697" s="27" t="n"/>
      <c r="B697" s="506" t="n"/>
      <c r="C697" s="141" t="n"/>
      <c r="D697" s="141" t="n"/>
      <c r="E697" s="141" t="n"/>
      <c r="F697" s="141" t="n"/>
      <c r="G697" s="143" t="n"/>
      <c r="H697" s="27" t="n"/>
    </row>
    <row r="698" ht="17.25" customHeight="1" s="322">
      <c r="A698" s="27" t="n"/>
      <c r="B698" s="506" t="n"/>
      <c r="C698" s="141" t="n"/>
      <c r="D698" s="141" t="n"/>
      <c r="E698" s="141" t="n"/>
      <c r="F698" s="141" t="n"/>
      <c r="G698" s="143" t="n"/>
      <c r="H698" s="27" t="n"/>
    </row>
    <row r="699" ht="17.25" customHeight="1" s="322">
      <c r="A699" s="27" t="n"/>
      <c r="B699" s="506" t="n"/>
      <c r="C699" s="141" t="n"/>
      <c r="D699" s="141" t="n"/>
      <c r="E699" s="141" t="n"/>
      <c r="F699" s="141" t="n"/>
      <c r="G699" s="143" t="n"/>
      <c r="H699" s="27" t="n"/>
    </row>
    <row r="700" ht="17.25" customHeight="1" s="322">
      <c r="A700" s="27" t="n"/>
      <c r="B700" s="506" t="n"/>
      <c r="C700" s="141" t="n"/>
      <c r="D700" s="141" t="n"/>
      <c r="E700" s="141" t="n"/>
      <c r="F700" s="141" t="n"/>
      <c r="G700" s="143" t="n"/>
      <c r="H700" s="27" t="n"/>
    </row>
    <row r="701" ht="17.25" customHeight="1" s="322">
      <c r="A701" s="27" t="n"/>
      <c r="B701" s="506" t="n"/>
      <c r="C701" s="141" t="n"/>
      <c r="D701" s="141" t="n"/>
      <c r="E701" s="141" t="n"/>
      <c r="F701" s="141" t="n"/>
      <c r="G701" s="143" t="n"/>
      <c r="H701" s="27" t="n"/>
    </row>
    <row r="702" ht="17.25" customHeight="1" s="322">
      <c r="A702" s="27" t="n"/>
      <c r="B702" s="506" t="n"/>
      <c r="C702" s="141" t="n"/>
      <c r="D702" s="141" t="n"/>
      <c r="E702" s="141" t="n"/>
      <c r="F702" s="141" t="n"/>
      <c r="G702" s="143" t="n"/>
      <c r="H702" s="27" t="n"/>
    </row>
    <row r="703" ht="17.25" customHeight="1" s="322">
      <c r="A703" s="27" t="n"/>
      <c r="B703" s="506" t="n"/>
      <c r="C703" s="141" t="n"/>
      <c r="D703" s="141" t="n"/>
      <c r="E703" s="141" t="n"/>
      <c r="F703" s="141" t="n"/>
      <c r="G703" s="143" t="n"/>
      <c r="H703" s="27" t="n"/>
    </row>
    <row r="704" ht="17.25" customHeight="1" s="322">
      <c r="A704" s="27" t="n"/>
      <c r="B704" s="506" t="n"/>
      <c r="C704" s="141" t="n"/>
      <c r="D704" s="141" t="n"/>
      <c r="E704" s="141" t="n"/>
      <c r="F704" s="141" t="n"/>
      <c r="G704" s="143" t="n"/>
      <c r="H704" s="27" t="n"/>
    </row>
    <row r="705" ht="17.25" customHeight="1" s="322">
      <c r="A705" s="27" t="n"/>
      <c r="B705" s="506" t="n"/>
      <c r="C705" s="141" t="n"/>
      <c r="D705" s="141" t="n"/>
      <c r="E705" s="141" t="n"/>
      <c r="F705" s="141" t="n"/>
      <c r="G705" s="143" t="n"/>
      <c r="H705" s="27" t="n"/>
    </row>
    <row r="706" ht="17.25" customHeight="1" s="322">
      <c r="A706" s="27" t="n"/>
      <c r="B706" s="506" t="n"/>
      <c r="C706" s="141" t="n"/>
      <c r="D706" s="141" t="n"/>
      <c r="E706" s="141" t="n"/>
      <c r="F706" s="141" t="n"/>
      <c r="G706" s="143" t="n"/>
      <c r="H706" s="27" t="n"/>
    </row>
    <row r="707" ht="17.25" customHeight="1" s="322">
      <c r="A707" s="27" t="n"/>
      <c r="B707" s="506" t="n"/>
      <c r="C707" s="141" t="n"/>
      <c r="D707" s="141" t="n"/>
      <c r="E707" s="141" t="n"/>
      <c r="F707" s="141" t="n"/>
      <c r="G707" s="143" t="n"/>
      <c r="H707" s="27" t="n"/>
    </row>
    <row r="708" ht="17.25" customHeight="1" s="322">
      <c r="A708" s="27" t="n"/>
      <c r="B708" s="506" t="n"/>
      <c r="C708" s="141" t="n"/>
      <c r="D708" s="141" t="n"/>
      <c r="E708" s="141" t="n"/>
      <c r="F708" s="141" t="n"/>
      <c r="G708" s="143" t="n"/>
      <c r="H708" s="27" t="n"/>
    </row>
    <row r="709" ht="17.25" customHeight="1" s="322">
      <c r="A709" s="27" t="n"/>
      <c r="B709" s="506" t="n"/>
      <c r="C709" s="141" t="n"/>
      <c r="D709" s="141" t="n"/>
      <c r="E709" s="141" t="n"/>
      <c r="F709" s="141" t="n"/>
      <c r="G709" s="143" t="n"/>
      <c r="H709" s="27" t="n"/>
    </row>
    <row r="710" ht="17.25" customHeight="1" s="322">
      <c r="A710" s="27" t="n"/>
      <c r="B710" s="506" t="n"/>
      <c r="C710" s="141" t="n"/>
      <c r="D710" s="141" t="n"/>
      <c r="E710" s="141" t="n"/>
      <c r="F710" s="141" t="n"/>
      <c r="G710" s="143" t="n"/>
      <c r="H710" s="27" t="n"/>
    </row>
    <row r="711" ht="17.25" customHeight="1" s="322">
      <c r="A711" s="27" t="n"/>
      <c r="B711" s="506" t="n"/>
      <c r="C711" s="141" t="n"/>
      <c r="D711" s="141" t="n"/>
      <c r="E711" s="141" t="n"/>
      <c r="F711" s="141" t="n"/>
      <c r="G711" s="143" t="n"/>
      <c r="H711" s="27" t="n"/>
    </row>
    <row r="712" ht="17.25" customHeight="1" s="322">
      <c r="A712" s="27" t="n"/>
      <c r="B712" s="506" t="n"/>
      <c r="C712" s="141" t="n"/>
      <c r="D712" s="141" t="n"/>
      <c r="E712" s="141" t="n"/>
      <c r="F712" s="141" t="n"/>
      <c r="G712" s="143" t="n"/>
      <c r="H712" s="27" t="n"/>
    </row>
    <row r="713" ht="17.25" customHeight="1" s="322">
      <c r="A713" s="27" t="n"/>
      <c r="B713" s="506" t="n"/>
      <c r="C713" s="141" t="n"/>
      <c r="D713" s="141" t="n"/>
      <c r="E713" s="141" t="n"/>
      <c r="F713" s="141" t="n"/>
      <c r="G713" s="143" t="n"/>
      <c r="H713" s="27" t="n"/>
    </row>
    <row r="714" ht="17.25" customHeight="1" s="322">
      <c r="A714" s="27" t="n"/>
      <c r="B714" s="506" t="n"/>
      <c r="C714" s="141" t="n"/>
      <c r="D714" s="141" t="n"/>
      <c r="E714" s="141" t="n"/>
      <c r="F714" s="141" t="n"/>
      <c r="G714" s="143" t="n"/>
      <c r="H714" s="27" t="n"/>
    </row>
    <row r="715" ht="17.25" customHeight="1" s="322">
      <c r="A715" s="27" t="n"/>
      <c r="B715" s="506" t="n"/>
      <c r="C715" s="141" t="n"/>
      <c r="D715" s="141" t="n"/>
      <c r="E715" s="141" t="n"/>
      <c r="F715" s="141" t="n"/>
      <c r="G715" s="143" t="n"/>
      <c r="H715" s="27" t="n"/>
    </row>
    <row r="716" ht="17.25" customHeight="1" s="322">
      <c r="A716" s="27" t="n"/>
      <c r="B716" s="506" t="n"/>
      <c r="C716" s="141" t="n"/>
      <c r="D716" s="141" t="n"/>
      <c r="E716" s="141" t="n"/>
      <c r="F716" s="141" t="n"/>
      <c r="G716" s="143" t="n"/>
      <c r="H716" s="27" t="n"/>
    </row>
    <row r="717" ht="17.25" customHeight="1" s="322">
      <c r="A717" s="27" t="n"/>
      <c r="B717" s="506" t="n"/>
      <c r="C717" s="141" t="n"/>
      <c r="D717" s="141" t="n"/>
      <c r="E717" s="141" t="n"/>
      <c r="F717" s="141" t="n"/>
      <c r="G717" s="143" t="n"/>
      <c r="H717" s="27" t="n"/>
    </row>
    <row r="718" ht="17.25" customHeight="1" s="322">
      <c r="A718" s="27" t="n"/>
      <c r="B718" s="506" t="n"/>
      <c r="C718" s="141" t="n"/>
      <c r="D718" s="141" t="n"/>
      <c r="E718" s="141" t="n"/>
      <c r="F718" s="141" t="n"/>
      <c r="G718" s="143" t="n"/>
      <c r="H718" s="27" t="n"/>
    </row>
    <row r="719" ht="17.25" customHeight="1" s="322">
      <c r="A719" s="27" t="n"/>
      <c r="B719" s="506" t="n"/>
      <c r="C719" s="141" t="n"/>
      <c r="D719" s="141" t="n"/>
      <c r="E719" s="141" t="n"/>
      <c r="F719" s="141" t="n"/>
      <c r="G719" s="143" t="n"/>
      <c r="H719" s="27" t="n"/>
    </row>
    <row r="720" ht="17.25" customHeight="1" s="322">
      <c r="A720" s="27" t="n"/>
      <c r="B720" s="506" t="n"/>
      <c r="C720" s="141" t="n"/>
      <c r="D720" s="141" t="n"/>
      <c r="E720" s="141" t="n"/>
      <c r="F720" s="141" t="n"/>
      <c r="G720" s="143" t="n"/>
      <c r="H720" s="27" t="n"/>
    </row>
    <row r="721" ht="17.25" customHeight="1" s="322">
      <c r="A721" s="27" t="n"/>
      <c r="B721" s="506" t="n"/>
      <c r="C721" s="141" t="n"/>
      <c r="D721" s="141" t="n"/>
      <c r="E721" s="141" t="n"/>
      <c r="F721" s="141" t="n"/>
      <c r="G721" s="143" t="n"/>
      <c r="H721" s="27" t="n"/>
    </row>
    <row r="722" ht="17.25" customHeight="1" s="322">
      <c r="A722" s="27" t="n"/>
      <c r="B722" s="506" t="n"/>
      <c r="C722" s="141" t="n"/>
      <c r="D722" s="141" t="n"/>
      <c r="E722" s="141" t="n"/>
      <c r="F722" s="141" t="n"/>
      <c r="G722" s="143" t="n"/>
      <c r="H722" s="27" t="n"/>
    </row>
    <row r="723" ht="17.25" customHeight="1" s="322">
      <c r="A723" s="27" t="n"/>
      <c r="B723" s="506" t="n"/>
      <c r="C723" s="141" t="n"/>
      <c r="D723" s="141" t="n"/>
      <c r="E723" s="141" t="n"/>
      <c r="F723" s="141" t="n"/>
      <c r="G723" s="143" t="n"/>
      <c r="H723" s="27" t="n"/>
    </row>
    <row r="724" ht="17.25" customHeight="1" s="322">
      <c r="A724" s="27" t="n"/>
      <c r="B724" s="506" t="n"/>
      <c r="C724" s="141" t="n"/>
      <c r="D724" s="141" t="n"/>
      <c r="E724" s="141" t="n"/>
      <c r="F724" s="141" t="n"/>
      <c r="G724" s="143" t="n"/>
      <c r="H724" s="27" t="n"/>
    </row>
    <row r="725" ht="17.25" customHeight="1" s="322">
      <c r="A725" s="27" t="n"/>
      <c r="B725" s="506" t="n"/>
      <c r="C725" s="141" t="n"/>
      <c r="D725" s="141" t="n"/>
      <c r="E725" s="141" t="n"/>
      <c r="F725" s="141" t="n"/>
      <c r="G725" s="143" t="n"/>
      <c r="H725" s="27" t="n"/>
    </row>
    <row r="726" ht="17.25" customHeight="1" s="322">
      <c r="A726" s="27" t="n"/>
      <c r="B726" s="506" t="n"/>
      <c r="C726" s="141" t="n"/>
      <c r="D726" s="141" t="n"/>
      <c r="E726" s="141" t="n"/>
      <c r="F726" s="141" t="n"/>
      <c r="G726" s="143" t="n"/>
      <c r="H726" s="27" t="n"/>
    </row>
    <row r="727" ht="17.25" customHeight="1" s="322">
      <c r="A727" s="27" t="n"/>
      <c r="B727" s="506" t="n"/>
      <c r="C727" s="141" t="n"/>
      <c r="D727" s="141" t="n"/>
      <c r="E727" s="141" t="n"/>
      <c r="F727" s="141" t="n"/>
      <c r="G727" s="143" t="n"/>
      <c r="H727" s="27" t="n"/>
    </row>
    <row r="728" ht="17.25" customHeight="1" s="322">
      <c r="A728" s="27" t="n"/>
      <c r="B728" s="506" t="n"/>
      <c r="C728" s="141" t="n"/>
      <c r="D728" s="141" t="n"/>
      <c r="E728" s="141" t="n"/>
      <c r="F728" s="141" t="n"/>
      <c r="G728" s="143" t="n"/>
      <c r="H728" s="27" t="n"/>
    </row>
    <row r="729" ht="17.25" customHeight="1" s="322">
      <c r="A729" s="27" t="n"/>
      <c r="B729" s="506" t="n"/>
      <c r="C729" s="141" t="n"/>
      <c r="D729" s="141" t="n"/>
      <c r="E729" s="141" t="n"/>
      <c r="F729" s="141" t="n"/>
      <c r="G729" s="143" t="n"/>
      <c r="H729" s="27" t="n"/>
    </row>
    <row r="730" ht="17.25" customHeight="1" s="322">
      <c r="A730" s="27" t="n"/>
      <c r="B730" s="506" t="n"/>
      <c r="C730" s="141" t="n"/>
      <c r="D730" s="141" t="n"/>
      <c r="E730" s="141" t="n"/>
      <c r="F730" s="141" t="n"/>
      <c r="G730" s="143" t="n"/>
      <c r="H730" s="27" t="n"/>
    </row>
    <row r="731" ht="17.25" customHeight="1" s="322">
      <c r="A731" s="27" t="n"/>
      <c r="B731" s="506" t="n"/>
      <c r="C731" s="141" t="n"/>
      <c r="D731" s="141" t="n"/>
      <c r="E731" s="141" t="n"/>
      <c r="F731" s="141" t="n"/>
      <c r="G731" s="143" t="n"/>
      <c r="H731" s="27" t="n"/>
    </row>
    <row r="732" ht="17.25" customHeight="1" s="322">
      <c r="A732" s="27" t="n"/>
      <c r="B732" s="506" t="n"/>
      <c r="C732" s="141" t="n"/>
      <c r="D732" s="141" t="n"/>
      <c r="E732" s="141" t="n"/>
      <c r="F732" s="141" t="n"/>
      <c r="G732" s="143" t="n"/>
      <c r="H732" s="27" t="n"/>
    </row>
    <row r="733" ht="17.25" customHeight="1" s="322">
      <c r="A733" s="27" t="n"/>
      <c r="B733" s="506" t="n"/>
      <c r="C733" s="141" t="n"/>
      <c r="D733" s="141" t="n"/>
      <c r="E733" s="141" t="n"/>
      <c r="F733" s="141" t="n"/>
      <c r="G733" s="143" t="n"/>
      <c r="H733" s="27" t="n"/>
    </row>
    <row r="734" ht="17.25" customHeight="1" s="322">
      <c r="A734" s="27" t="n"/>
      <c r="B734" s="506" t="n"/>
      <c r="C734" s="141" t="n"/>
      <c r="D734" s="141" t="n"/>
      <c r="E734" s="141" t="n"/>
      <c r="F734" s="141" t="n"/>
      <c r="G734" s="143" t="n"/>
      <c r="H734" s="27" t="n"/>
    </row>
    <row r="735" ht="17.25" customHeight="1" s="322">
      <c r="A735" s="27" t="n"/>
      <c r="B735" s="506" t="n"/>
      <c r="C735" s="141" t="n"/>
      <c r="D735" s="141" t="n"/>
      <c r="E735" s="141" t="n"/>
      <c r="F735" s="141" t="n"/>
      <c r="G735" s="143" t="n"/>
      <c r="H735" s="27" t="n"/>
    </row>
    <row r="736" ht="17.25" customHeight="1" s="322">
      <c r="A736" s="27" t="n"/>
      <c r="B736" s="506" t="n"/>
      <c r="C736" s="141" t="n"/>
      <c r="D736" s="141" t="n"/>
      <c r="E736" s="141" t="n"/>
      <c r="F736" s="141" t="n"/>
      <c r="G736" s="143" t="n"/>
      <c r="H736" s="27" t="n"/>
    </row>
    <row r="737" ht="17.25" customHeight="1" s="322">
      <c r="A737" s="27" t="n"/>
      <c r="B737" s="506" t="n"/>
      <c r="C737" s="141" t="n"/>
      <c r="D737" s="141" t="n"/>
      <c r="E737" s="141" t="n"/>
      <c r="F737" s="141" t="n"/>
      <c r="G737" s="143" t="n"/>
      <c r="H737" s="27" t="n"/>
    </row>
    <row r="738" ht="17.25" customHeight="1" s="322">
      <c r="A738" s="27" t="n"/>
      <c r="B738" s="506" t="n"/>
      <c r="C738" s="141" t="n"/>
      <c r="D738" s="141" t="n"/>
      <c r="E738" s="141" t="n"/>
      <c r="F738" s="141" t="n"/>
      <c r="G738" s="143" t="n"/>
      <c r="H738" s="27" t="n"/>
    </row>
    <row r="739" ht="17.25" customHeight="1" s="322">
      <c r="A739" s="27" t="n"/>
      <c r="B739" s="506" t="n"/>
      <c r="C739" s="141" t="n"/>
      <c r="D739" s="141" t="n"/>
      <c r="E739" s="141" t="n"/>
      <c r="F739" s="141" t="n"/>
      <c r="G739" s="143" t="n"/>
      <c r="H739" s="27" t="n"/>
    </row>
    <row r="740" ht="17.25" customHeight="1" s="322">
      <c r="A740" s="27" t="n"/>
      <c r="B740" s="506" t="n"/>
      <c r="C740" s="141" t="n"/>
      <c r="D740" s="141" t="n"/>
      <c r="E740" s="141" t="n"/>
      <c r="F740" s="141" t="n"/>
      <c r="G740" s="143" t="n"/>
      <c r="H740" s="27" t="n"/>
    </row>
    <row r="741" ht="17.25" customHeight="1" s="322">
      <c r="A741" s="27" t="n"/>
      <c r="B741" s="506" t="n"/>
      <c r="C741" s="141" t="n"/>
      <c r="D741" s="141" t="n"/>
      <c r="E741" s="141" t="n"/>
      <c r="F741" s="141" t="n"/>
      <c r="G741" s="143" t="n"/>
      <c r="H741" s="27" t="n"/>
    </row>
    <row r="742" ht="17.25" customHeight="1" s="322">
      <c r="A742" s="27" t="n"/>
      <c r="B742" s="506" t="n"/>
      <c r="C742" s="141" t="n"/>
      <c r="D742" s="141" t="n"/>
      <c r="E742" s="141" t="n"/>
      <c r="F742" s="141" t="n"/>
      <c r="G742" s="143" t="n"/>
      <c r="H742" s="27" t="n"/>
    </row>
    <row r="743" ht="17.25" customHeight="1" s="322">
      <c r="A743" s="27" t="n"/>
      <c r="B743" s="506" t="n"/>
      <c r="C743" s="141" t="n"/>
      <c r="D743" s="141" t="n"/>
      <c r="E743" s="141" t="n"/>
      <c r="F743" s="141" t="n"/>
      <c r="G743" s="143" t="n"/>
      <c r="H743" s="27" t="n"/>
    </row>
    <row r="744" ht="17.25" customHeight="1" s="322">
      <c r="A744" s="27" t="n"/>
      <c r="B744" s="506" t="n"/>
      <c r="C744" s="141" t="n"/>
      <c r="D744" s="141" t="n"/>
      <c r="E744" s="141" t="n"/>
      <c r="F744" s="141" t="n"/>
      <c r="G744" s="143" t="n"/>
      <c r="H744" s="27" t="n"/>
    </row>
    <row r="745" ht="17.25" customHeight="1" s="322">
      <c r="A745" s="27" t="n"/>
      <c r="B745" s="506" t="n"/>
      <c r="C745" s="141" t="n"/>
      <c r="D745" s="141" t="n"/>
      <c r="E745" s="141" t="n"/>
      <c r="F745" s="141" t="n"/>
      <c r="G745" s="143" t="n"/>
      <c r="H745" s="27" t="n"/>
    </row>
    <row r="746" ht="17.25" customHeight="1" s="322">
      <c r="A746" s="27" t="n"/>
      <c r="B746" s="506" t="n"/>
      <c r="C746" s="141" t="n"/>
      <c r="D746" s="141" t="n"/>
      <c r="E746" s="141" t="n"/>
      <c r="F746" s="141" t="n"/>
      <c r="G746" s="143" t="n"/>
      <c r="H746" s="27" t="n"/>
    </row>
    <row r="747" ht="17.25" customHeight="1" s="322">
      <c r="A747" s="27" t="n"/>
      <c r="B747" s="506" t="n"/>
      <c r="C747" s="141" t="n"/>
      <c r="D747" s="141" t="n"/>
      <c r="E747" s="141" t="n"/>
      <c r="F747" s="141" t="n"/>
      <c r="G747" s="143" t="n"/>
      <c r="H747" s="27" t="n"/>
    </row>
    <row r="748" ht="17.25" customHeight="1" s="322">
      <c r="A748" s="27" t="n"/>
      <c r="B748" s="506" t="n"/>
      <c r="C748" s="141" t="n"/>
      <c r="D748" s="141" t="n"/>
      <c r="E748" s="141" t="n"/>
      <c r="F748" s="141" t="n"/>
      <c r="G748" s="143" t="n"/>
      <c r="H748" s="27" t="n"/>
    </row>
    <row r="749" ht="17.25" customHeight="1" s="322">
      <c r="A749" s="27" t="n"/>
      <c r="B749" s="506" t="n"/>
      <c r="C749" s="141" t="n"/>
      <c r="D749" s="141" t="n"/>
      <c r="E749" s="141" t="n"/>
      <c r="F749" s="141" t="n"/>
      <c r="G749" s="143" t="n"/>
      <c r="H749" s="27" t="n"/>
    </row>
    <row r="750" ht="17.25" customHeight="1" s="322">
      <c r="A750" s="27" t="n"/>
      <c r="B750" s="506" t="n"/>
      <c r="C750" s="141" t="n"/>
      <c r="D750" s="141" t="n"/>
      <c r="E750" s="141" t="n"/>
      <c r="F750" s="141" t="n"/>
      <c r="G750" s="143" t="n"/>
      <c r="H750" s="27" t="n"/>
    </row>
    <row r="751" ht="17.25" customHeight="1" s="322">
      <c r="A751" s="27" t="n"/>
      <c r="B751" s="506" t="n"/>
      <c r="C751" s="141" t="n"/>
      <c r="D751" s="141" t="n"/>
      <c r="E751" s="141" t="n"/>
      <c r="F751" s="141" t="n"/>
      <c r="G751" s="143" t="n"/>
      <c r="H751" s="27" t="n"/>
    </row>
    <row r="752" ht="17.25" customHeight="1" s="322">
      <c r="A752" s="27" t="n"/>
      <c r="B752" s="506" t="n"/>
      <c r="C752" s="141" t="n"/>
      <c r="D752" s="141" t="n"/>
      <c r="E752" s="141" t="n"/>
      <c r="F752" s="141" t="n"/>
      <c r="G752" s="143" t="n"/>
      <c r="H752" s="27" t="n"/>
    </row>
    <row r="753" ht="17.25" customHeight="1" s="322">
      <c r="A753" s="27" t="n"/>
      <c r="B753" s="506" t="n"/>
      <c r="C753" s="141" t="n"/>
      <c r="D753" s="141" t="n"/>
      <c r="E753" s="141" t="n"/>
      <c r="F753" s="141" t="n"/>
      <c r="G753" s="143" t="n"/>
      <c r="H753" s="27" t="n"/>
    </row>
    <row r="754" ht="17.25" customHeight="1" s="322">
      <c r="A754" s="27" t="n"/>
      <c r="B754" s="506" t="n"/>
      <c r="C754" s="141" t="n"/>
      <c r="D754" s="141" t="n"/>
      <c r="E754" s="141" t="n"/>
      <c r="F754" s="141" t="n"/>
      <c r="G754" s="143" t="n"/>
      <c r="H754" s="27" t="n"/>
    </row>
    <row r="755" ht="17.25" customHeight="1" s="322">
      <c r="A755" s="27" t="n"/>
      <c r="B755" s="506" t="n"/>
      <c r="C755" s="141" t="n"/>
      <c r="D755" s="141" t="n"/>
      <c r="E755" s="141" t="n"/>
      <c r="F755" s="141" t="n"/>
      <c r="G755" s="143" t="n"/>
      <c r="H755" s="27" t="n"/>
    </row>
    <row r="756" ht="17.25" customHeight="1" s="322">
      <c r="A756" s="27" t="n"/>
      <c r="B756" s="506" t="n"/>
      <c r="C756" s="141" t="n"/>
      <c r="D756" s="141" t="n"/>
      <c r="E756" s="141" t="n"/>
      <c r="F756" s="141" t="n"/>
      <c r="G756" s="143" t="n"/>
      <c r="H756" s="27" t="n"/>
    </row>
    <row r="757" ht="17.25" customHeight="1" s="322">
      <c r="A757" s="27" t="n"/>
      <c r="B757" s="506" t="n"/>
      <c r="C757" s="141" t="n"/>
      <c r="D757" s="141" t="n"/>
      <c r="E757" s="141" t="n"/>
      <c r="F757" s="141" t="n"/>
      <c r="G757" s="143" t="n"/>
      <c r="H757" s="27" t="n"/>
    </row>
    <row r="758" ht="17.25" customHeight="1" s="322">
      <c r="A758" s="27" t="n"/>
      <c r="B758" s="506" t="n"/>
      <c r="C758" s="141" t="n"/>
      <c r="D758" s="141" t="n"/>
      <c r="E758" s="141" t="n"/>
      <c r="F758" s="141" t="n"/>
      <c r="G758" s="143" t="n"/>
      <c r="H758" s="27" t="n"/>
    </row>
    <row r="759" ht="17.25" customHeight="1" s="322">
      <c r="A759" s="27" t="n"/>
      <c r="B759" s="506" t="n"/>
      <c r="C759" s="141" t="n"/>
      <c r="D759" s="141" t="n"/>
      <c r="E759" s="141" t="n"/>
      <c r="F759" s="141" t="n"/>
      <c r="G759" s="143" t="n"/>
      <c r="H759" s="27" t="n"/>
    </row>
    <row r="760" ht="17.25" customHeight="1" s="322">
      <c r="A760" s="27" t="n"/>
      <c r="B760" s="506" t="n"/>
      <c r="C760" s="141" t="n"/>
      <c r="D760" s="141" t="n"/>
      <c r="E760" s="141" t="n"/>
      <c r="F760" s="141" t="n"/>
      <c r="G760" s="143" t="n"/>
      <c r="H760" s="27" t="n"/>
    </row>
    <row r="761" ht="17.25" customHeight="1" s="322">
      <c r="A761" s="27" t="n"/>
      <c r="B761" s="506" t="n"/>
      <c r="C761" s="141" t="n"/>
      <c r="D761" s="141" t="n"/>
      <c r="E761" s="141" t="n"/>
      <c r="F761" s="141" t="n"/>
      <c r="G761" s="143" t="n"/>
      <c r="H761" s="27" t="n"/>
    </row>
    <row r="762" ht="17.25" customHeight="1" s="322">
      <c r="A762" s="27" t="n"/>
      <c r="B762" s="506" t="n"/>
      <c r="C762" s="141" t="n"/>
      <c r="D762" s="141" t="n"/>
      <c r="E762" s="141" t="n"/>
      <c r="F762" s="141" t="n"/>
      <c r="G762" s="143" t="n"/>
      <c r="H762" s="27" t="n"/>
    </row>
    <row r="763" ht="17.25" customHeight="1" s="322">
      <c r="A763" s="27" t="n"/>
      <c r="B763" s="506" t="n"/>
      <c r="C763" s="141" t="n"/>
      <c r="D763" s="141" t="n"/>
      <c r="E763" s="141" t="n"/>
      <c r="F763" s="141" t="n"/>
      <c r="G763" s="143" t="n"/>
      <c r="H763" s="27" t="n"/>
    </row>
    <row r="764" ht="17.25" customHeight="1" s="322">
      <c r="A764" s="27" t="n"/>
      <c r="B764" s="506" t="n"/>
      <c r="C764" s="141" t="n"/>
      <c r="D764" s="141" t="n"/>
      <c r="E764" s="141" t="n"/>
      <c r="F764" s="141" t="n"/>
      <c r="G764" s="143" t="n"/>
      <c r="H764" s="27" t="n"/>
    </row>
    <row r="765" ht="17.25" customHeight="1" s="322">
      <c r="A765" s="27" t="n"/>
      <c r="B765" s="506" t="n"/>
      <c r="C765" s="141" t="n"/>
      <c r="D765" s="141" t="n"/>
      <c r="E765" s="141" t="n"/>
      <c r="F765" s="141" t="n"/>
      <c r="G765" s="143" t="n"/>
      <c r="H765" s="27" t="n"/>
    </row>
    <row r="766" ht="17.25" customHeight="1" s="322">
      <c r="A766" s="27" t="n"/>
      <c r="B766" s="506" t="n"/>
      <c r="C766" s="141" t="n"/>
      <c r="D766" s="141" t="n"/>
      <c r="E766" s="141" t="n"/>
      <c r="F766" s="141" t="n"/>
      <c r="G766" s="143" t="n"/>
      <c r="H766" s="27" t="n"/>
    </row>
    <row r="767" ht="17.25" customHeight="1" s="322">
      <c r="A767" s="27" t="n"/>
      <c r="B767" s="506" t="n"/>
      <c r="C767" s="141" t="n"/>
      <c r="D767" s="141" t="n"/>
      <c r="E767" s="141" t="n"/>
      <c r="F767" s="141" t="n"/>
      <c r="G767" s="143" t="n"/>
      <c r="H767" s="27" t="n"/>
    </row>
    <row r="768" ht="17.25" customHeight="1" s="322">
      <c r="A768" s="27" t="n"/>
      <c r="B768" s="506" t="n"/>
      <c r="C768" s="141" t="n"/>
      <c r="D768" s="141" t="n"/>
      <c r="E768" s="141" t="n"/>
      <c r="F768" s="141" t="n"/>
      <c r="G768" s="143" t="n"/>
      <c r="H768" s="27" t="n"/>
    </row>
    <row r="769" ht="17.25" customHeight="1" s="322">
      <c r="A769" s="27" t="n"/>
      <c r="B769" s="506" t="n"/>
      <c r="C769" s="141" t="n"/>
      <c r="D769" s="141" t="n"/>
      <c r="E769" s="141" t="n"/>
      <c r="F769" s="141" t="n"/>
      <c r="G769" s="143" t="n"/>
      <c r="H769" s="27" t="n"/>
    </row>
    <row r="770" ht="17.25" customHeight="1" s="322">
      <c r="A770" s="27" t="n"/>
      <c r="B770" s="506" t="n"/>
      <c r="C770" s="141" t="n"/>
      <c r="D770" s="141" t="n"/>
      <c r="E770" s="141" t="n"/>
      <c r="F770" s="141" t="n"/>
      <c r="G770" s="143" t="n"/>
      <c r="H770" s="27" t="n"/>
    </row>
    <row r="771" ht="17.25" customHeight="1" s="322">
      <c r="A771" s="27" t="n"/>
      <c r="B771" s="506" t="n"/>
      <c r="C771" s="141" t="n"/>
      <c r="D771" s="141" t="n"/>
      <c r="E771" s="141" t="n"/>
      <c r="F771" s="141" t="n"/>
      <c r="G771" s="143" t="n"/>
      <c r="H771" s="27" t="n"/>
    </row>
    <row r="772" ht="17.25" customHeight="1" s="322">
      <c r="A772" s="27" t="n"/>
      <c r="B772" s="506" t="n"/>
      <c r="C772" s="141" t="n"/>
      <c r="D772" s="141" t="n"/>
      <c r="E772" s="141" t="n"/>
      <c r="F772" s="141" t="n"/>
      <c r="G772" s="143" t="n"/>
      <c r="H772" s="27" t="n"/>
    </row>
    <row r="773" ht="17.25" customHeight="1" s="322">
      <c r="A773" s="27" t="n"/>
      <c r="B773" s="506" t="n"/>
      <c r="C773" s="141" t="n"/>
      <c r="D773" s="141" t="n"/>
      <c r="E773" s="141" t="n"/>
      <c r="F773" s="141" t="n"/>
      <c r="G773" s="143" t="n"/>
      <c r="H773" s="27" t="n"/>
    </row>
    <row r="774" ht="17.25" customHeight="1" s="322">
      <c r="A774" s="27" t="n"/>
      <c r="B774" s="506" t="n"/>
      <c r="C774" s="141" t="n"/>
      <c r="D774" s="141" t="n"/>
      <c r="E774" s="141" t="n"/>
      <c r="F774" s="141" t="n"/>
      <c r="G774" s="143" t="n"/>
      <c r="H774" s="27" t="n"/>
    </row>
    <row r="775" ht="17.25" customHeight="1" s="322">
      <c r="A775" s="27" t="n"/>
      <c r="B775" s="506" t="n"/>
      <c r="C775" s="141" t="n"/>
      <c r="D775" s="141" t="n"/>
      <c r="E775" s="141" t="n"/>
      <c r="F775" s="141" t="n"/>
      <c r="G775" s="143" t="n"/>
      <c r="H775" s="27" t="n"/>
    </row>
    <row r="776" ht="17.25" customHeight="1" s="322">
      <c r="A776" s="27" t="n"/>
      <c r="B776" s="506" t="n"/>
      <c r="C776" s="141" t="n"/>
      <c r="D776" s="141" t="n"/>
      <c r="E776" s="141" t="n"/>
      <c r="F776" s="141" t="n"/>
      <c r="G776" s="143" t="n"/>
      <c r="H776" s="27" t="n"/>
    </row>
    <row r="777" ht="17.25" customHeight="1" s="322">
      <c r="A777" s="27" t="n"/>
      <c r="B777" s="506" t="n"/>
      <c r="C777" s="141" t="n"/>
      <c r="D777" s="141" t="n"/>
      <c r="E777" s="141" t="n"/>
      <c r="F777" s="141" t="n"/>
      <c r="G777" s="143" t="n"/>
      <c r="H777" s="27" t="n"/>
    </row>
    <row r="778" ht="17.25" customHeight="1" s="322">
      <c r="A778" s="27" t="n"/>
      <c r="B778" s="506" t="n"/>
      <c r="C778" s="141" t="n"/>
      <c r="D778" s="141" t="n"/>
      <c r="E778" s="141" t="n"/>
      <c r="F778" s="141" t="n"/>
      <c r="G778" s="143" t="n"/>
      <c r="H778" s="27" t="n"/>
    </row>
    <row r="779" ht="17.25" customHeight="1" s="322">
      <c r="A779" s="27" t="n"/>
      <c r="B779" s="506" t="n"/>
      <c r="C779" s="141" t="n"/>
      <c r="D779" s="141" t="n"/>
      <c r="E779" s="141" t="n"/>
      <c r="F779" s="141" t="n"/>
      <c r="G779" s="143" t="n"/>
      <c r="H779" s="27" t="n"/>
    </row>
    <row r="780" ht="17.25" customHeight="1" s="322">
      <c r="A780" s="27" t="n"/>
      <c r="B780" s="506" t="n"/>
      <c r="C780" s="141" t="n"/>
      <c r="D780" s="141" t="n"/>
      <c r="E780" s="141" t="n"/>
      <c r="F780" s="141" t="n"/>
      <c r="G780" s="143" t="n"/>
      <c r="H780" s="27" t="n"/>
    </row>
    <row r="781" ht="17.25" customHeight="1" s="322">
      <c r="A781" s="27" t="n"/>
      <c r="B781" s="506" t="n"/>
      <c r="C781" s="141" t="n"/>
      <c r="D781" s="141" t="n"/>
      <c r="E781" s="141" t="n"/>
      <c r="F781" s="141" t="n"/>
      <c r="G781" s="143" t="n"/>
      <c r="H781" s="27" t="n"/>
    </row>
    <row r="782" ht="17.25" customHeight="1" s="322">
      <c r="A782" s="27" t="n"/>
      <c r="B782" s="506" t="n"/>
      <c r="C782" s="141" t="n"/>
      <c r="D782" s="141" t="n"/>
      <c r="E782" s="141" t="n"/>
      <c r="F782" s="141" t="n"/>
      <c r="G782" s="143" t="n"/>
      <c r="H782" s="27" t="n"/>
    </row>
    <row r="783" ht="17.25" customHeight="1" s="322">
      <c r="A783" s="27" t="n"/>
      <c r="B783" s="506" t="n"/>
      <c r="C783" s="141" t="n"/>
      <c r="D783" s="141" t="n"/>
      <c r="E783" s="141" t="n"/>
      <c r="F783" s="141" t="n"/>
      <c r="G783" s="143" t="n"/>
      <c r="H783" s="27" t="n"/>
    </row>
    <row r="784" ht="17.25" customHeight="1" s="322">
      <c r="A784" s="27" t="n"/>
      <c r="B784" s="506" t="n"/>
      <c r="C784" s="141" t="n"/>
      <c r="D784" s="141" t="n"/>
      <c r="E784" s="141" t="n"/>
      <c r="F784" s="141" t="n"/>
      <c r="G784" s="143" t="n"/>
      <c r="H784" s="27" t="n"/>
    </row>
    <row r="785" ht="17.25" customHeight="1" s="322">
      <c r="A785" s="27" t="n"/>
      <c r="B785" s="506" t="n"/>
      <c r="C785" s="141" t="n"/>
      <c r="D785" s="141" t="n"/>
      <c r="E785" s="141" t="n"/>
      <c r="F785" s="141" t="n"/>
      <c r="G785" s="143" t="n"/>
      <c r="H785" s="27" t="n"/>
    </row>
    <row r="786" ht="17.25" customHeight="1" s="322">
      <c r="A786" s="27" t="n"/>
      <c r="B786" s="506" t="n"/>
      <c r="C786" s="141" t="n"/>
      <c r="D786" s="141" t="n"/>
      <c r="E786" s="141" t="n"/>
      <c r="F786" s="141" t="n"/>
      <c r="G786" s="143" t="n"/>
      <c r="H786" s="27" t="n"/>
    </row>
    <row r="787" ht="17.25" customHeight="1" s="322">
      <c r="A787" s="27" t="n"/>
      <c r="B787" s="506" t="n"/>
      <c r="C787" s="141" t="n"/>
      <c r="D787" s="141" t="n"/>
      <c r="E787" s="141" t="n"/>
      <c r="F787" s="141" t="n"/>
      <c r="G787" s="143" t="n"/>
      <c r="H787" s="27" t="n"/>
    </row>
    <row r="788" ht="17.25" customHeight="1" s="322">
      <c r="A788" s="27" t="n"/>
      <c r="B788" s="506" t="n"/>
      <c r="C788" s="141" t="n"/>
      <c r="D788" s="141" t="n"/>
      <c r="E788" s="141" t="n"/>
      <c r="F788" s="141" t="n"/>
      <c r="G788" s="143" t="n"/>
      <c r="H788" s="27" t="n"/>
    </row>
    <row r="789" ht="17.25" customHeight="1" s="322">
      <c r="A789" s="27" t="n"/>
      <c r="B789" s="506" t="n"/>
      <c r="C789" s="141" t="n"/>
      <c r="D789" s="141" t="n"/>
      <c r="E789" s="141" t="n"/>
      <c r="F789" s="141" t="n"/>
      <c r="G789" s="143" t="n"/>
      <c r="H789" s="27" t="n"/>
    </row>
    <row r="790" ht="17.25" customHeight="1" s="322">
      <c r="A790" s="27" t="n"/>
      <c r="B790" s="506" t="n"/>
      <c r="C790" s="141" t="n"/>
      <c r="D790" s="141" t="n"/>
      <c r="E790" s="141" t="n"/>
      <c r="F790" s="141" t="n"/>
      <c r="G790" s="143" t="n"/>
      <c r="H790" s="27" t="n"/>
    </row>
    <row r="791" ht="17.25" customHeight="1" s="322">
      <c r="A791" s="27" t="n"/>
      <c r="B791" s="506" t="n"/>
      <c r="C791" s="141" t="n"/>
      <c r="D791" s="141" t="n"/>
      <c r="E791" s="141" t="n"/>
      <c r="F791" s="141" t="n"/>
      <c r="G791" s="143" t="n"/>
      <c r="H791" s="27" t="n"/>
    </row>
    <row r="792" ht="17.25" customHeight="1" s="322">
      <c r="A792" s="27" t="n"/>
      <c r="B792" s="506" t="n"/>
      <c r="C792" s="141" t="n"/>
      <c r="D792" s="141" t="n"/>
      <c r="E792" s="141" t="n"/>
      <c r="F792" s="141" t="n"/>
      <c r="G792" s="143" t="n"/>
      <c r="H792" s="27" t="n"/>
    </row>
    <row r="793" ht="17.25" customHeight="1" s="322">
      <c r="A793" s="27" t="n"/>
      <c r="B793" s="506" t="n"/>
      <c r="C793" s="141" t="n"/>
      <c r="D793" s="141" t="n"/>
      <c r="E793" s="141" t="n"/>
      <c r="F793" s="141" t="n"/>
      <c r="G793" s="143" t="n"/>
      <c r="H793" s="27" t="n"/>
    </row>
    <row r="794" ht="17.25" customHeight="1" s="322">
      <c r="A794" s="27" t="n"/>
      <c r="B794" s="506" t="n"/>
      <c r="C794" s="141" t="n"/>
      <c r="D794" s="141" t="n"/>
      <c r="E794" s="141" t="n"/>
      <c r="F794" s="141" t="n"/>
      <c r="G794" s="143" t="n"/>
      <c r="H794" s="27" t="n"/>
    </row>
    <row r="795" ht="17.25" customHeight="1" s="322">
      <c r="A795" s="27" t="n"/>
      <c r="B795" s="506" t="n"/>
      <c r="C795" s="141" t="n"/>
      <c r="D795" s="141" t="n"/>
      <c r="E795" s="141" t="n"/>
      <c r="F795" s="141" t="n"/>
      <c r="G795" s="143" t="n"/>
      <c r="H795" s="27" t="n"/>
    </row>
    <row r="796" ht="17.25" customHeight="1" s="322">
      <c r="A796" s="27" t="n"/>
      <c r="B796" s="506" t="n"/>
      <c r="C796" s="141" t="n"/>
      <c r="D796" s="141" t="n"/>
      <c r="E796" s="141" t="n"/>
      <c r="F796" s="141" t="n"/>
      <c r="G796" s="143" t="n"/>
      <c r="H796" s="27" t="n"/>
    </row>
    <row r="797" ht="17.25" customHeight="1" s="322">
      <c r="A797" s="27" t="n"/>
      <c r="B797" s="506" t="n"/>
      <c r="C797" s="141" t="n"/>
      <c r="D797" s="141" t="n"/>
      <c r="E797" s="141" t="n"/>
      <c r="F797" s="141" t="n"/>
      <c r="G797" s="143" t="n"/>
      <c r="H797" s="27" t="n"/>
    </row>
    <row r="798" ht="17.25" customHeight="1" s="322">
      <c r="A798" s="27" t="n"/>
      <c r="B798" s="506" t="n"/>
      <c r="C798" s="141" t="n"/>
      <c r="D798" s="141" t="n"/>
      <c r="E798" s="141" t="n"/>
      <c r="F798" s="141" t="n"/>
      <c r="G798" s="143" t="n"/>
      <c r="H798" s="27" t="n"/>
    </row>
    <row r="799" ht="17.25" customHeight="1" s="322">
      <c r="A799" s="27" t="n"/>
      <c r="B799" s="506" t="n"/>
      <c r="C799" s="141" t="n"/>
      <c r="D799" s="141" t="n"/>
      <c r="E799" s="141" t="n"/>
      <c r="F799" s="141" t="n"/>
      <c r="G799" s="143" t="n"/>
      <c r="H799" s="27" t="n"/>
    </row>
    <row r="800" ht="17.25" customHeight="1" s="322">
      <c r="A800" s="27" t="n"/>
      <c r="B800" s="506" t="n"/>
      <c r="C800" s="141" t="n"/>
      <c r="D800" s="141" t="n"/>
      <c r="E800" s="141" t="n"/>
      <c r="F800" s="141" t="n"/>
      <c r="G800" s="143" t="n"/>
      <c r="H800" s="27" t="n"/>
    </row>
    <row r="801" ht="17.25" customHeight="1" s="322">
      <c r="A801" s="27" t="n"/>
      <c r="B801" s="506" t="n"/>
      <c r="C801" s="141" t="n"/>
      <c r="D801" s="141" t="n"/>
      <c r="E801" s="141" t="n"/>
      <c r="F801" s="141" t="n"/>
      <c r="G801" s="143" t="n"/>
      <c r="H801" s="27" t="n"/>
    </row>
    <row r="802" ht="17.25" customHeight="1" s="322">
      <c r="A802" s="27" t="n"/>
      <c r="B802" s="506" t="n"/>
      <c r="C802" s="141" t="n"/>
      <c r="D802" s="141" t="n"/>
      <c r="E802" s="141" t="n"/>
      <c r="F802" s="141" t="n"/>
      <c r="G802" s="143" t="n"/>
      <c r="H802" s="27" t="n"/>
    </row>
    <row r="803" ht="17.25" customHeight="1" s="322">
      <c r="A803" s="27" t="n"/>
      <c r="B803" s="506" t="n"/>
      <c r="C803" s="141" t="n"/>
      <c r="D803" s="141" t="n"/>
      <c r="E803" s="141" t="n"/>
      <c r="F803" s="141" t="n"/>
      <c r="G803" s="143" t="n"/>
      <c r="H803" s="27" t="n"/>
    </row>
    <row r="804" ht="17.25" customHeight="1" s="322">
      <c r="A804" s="27" t="n"/>
      <c r="B804" s="506" t="n"/>
      <c r="C804" s="141" t="n"/>
      <c r="D804" s="141" t="n"/>
      <c r="E804" s="141" t="n"/>
      <c r="F804" s="141" t="n"/>
      <c r="G804" s="143" t="n"/>
      <c r="H804" s="27" t="n"/>
    </row>
    <row r="805" ht="17.25" customHeight="1" s="322">
      <c r="A805" s="27" t="n"/>
      <c r="B805" s="506" t="n"/>
      <c r="C805" s="141" t="n"/>
      <c r="D805" s="141" t="n"/>
      <c r="E805" s="141" t="n"/>
      <c r="F805" s="141" t="n"/>
      <c r="G805" s="143" t="n"/>
      <c r="H805" s="27" t="n"/>
    </row>
    <row r="806" ht="17.25" customHeight="1" s="322">
      <c r="A806" s="27" t="n"/>
      <c r="B806" s="506" t="n"/>
      <c r="C806" s="141" t="n"/>
      <c r="D806" s="141" t="n"/>
      <c r="E806" s="141" t="n"/>
      <c r="F806" s="141" t="n"/>
      <c r="G806" s="143" t="n"/>
      <c r="H806" s="27" t="n"/>
    </row>
    <row r="807" ht="17.25" customHeight="1" s="322">
      <c r="A807" s="27" t="n"/>
      <c r="B807" s="506" t="n"/>
      <c r="C807" s="141" t="n"/>
      <c r="D807" s="141" t="n"/>
      <c r="E807" s="141" t="n"/>
      <c r="F807" s="141" t="n"/>
      <c r="G807" s="143" t="n"/>
      <c r="H807" s="27" t="n"/>
    </row>
    <row r="808" ht="17.25" customHeight="1" s="322">
      <c r="A808" s="27" t="n"/>
      <c r="B808" s="506" t="n"/>
      <c r="C808" s="141" t="n"/>
      <c r="D808" s="141" t="n"/>
      <c r="E808" s="141" t="n"/>
      <c r="F808" s="141" t="n"/>
      <c r="G808" s="143" t="n"/>
      <c r="H808" s="27" t="n"/>
    </row>
    <row r="809" ht="17.25" customHeight="1" s="322">
      <c r="A809" s="27" t="n"/>
      <c r="B809" s="506" t="n"/>
      <c r="C809" s="141" t="n"/>
      <c r="D809" s="141" t="n"/>
      <c r="E809" s="141" t="n"/>
      <c r="F809" s="141" t="n"/>
      <c r="G809" s="143" t="n"/>
      <c r="H809" s="27" t="n"/>
    </row>
    <row r="810" ht="17.25" customHeight="1" s="322">
      <c r="A810" s="27" t="n"/>
      <c r="B810" s="506" t="n"/>
      <c r="C810" s="141" t="n"/>
      <c r="D810" s="141" t="n"/>
      <c r="E810" s="141" t="n"/>
      <c r="F810" s="141" t="n"/>
      <c r="G810" s="143" t="n"/>
      <c r="H810" s="27" t="n"/>
    </row>
    <row r="811" ht="17.25" customHeight="1" s="322">
      <c r="A811" s="27" t="n"/>
      <c r="B811" s="506" t="n"/>
      <c r="C811" s="141" t="n"/>
      <c r="D811" s="141" t="n"/>
      <c r="E811" s="141" t="n"/>
      <c r="F811" s="141" t="n"/>
      <c r="G811" s="143" t="n"/>
      <c r="H811" s="27" t="n"/>
    </row>
    <row r="812" ht="17.25" customHeight="1" s="322">
      <c r="A812" s="27" t="n"/>
      <c r="B812" s="506" t="n"/>
      <c r="C812" s="141" t="n"/>
      <c r="D812" s="141" t="n"/>
      <c r="E812" s="141" t="n"/>
      <c r="F812" s="141" t="n"/>
      <c r="G812" s="143" t="n"/>
      <c r="H812" s="27" t="n"/>
    </row>
    <row r="813" ht="17.25" customHeight="1" s="322">
      <c r="A813" s="27" t="n"/>
      <c r="B813" s="506" t="n"/>
      <c r="C813" s="141" t="n"/>
      <c r="D813" s="141" t="n"/>
      <c r="E813" s="141" t="n"/>
      <c r="F813" s="141" t="n"/>
      <c r="G813" s="143" t="n"/>
      <c r="H813" s="27" t="n"/>
    </row>
    <row r="814" ht="17.25" customHeight="1" s="322">
      <c r="A814" s="27" t="n"/>
      <c r="B814" s="506" t="n"/>
      <c r="C814" s="141" t="n"/>
      <c r="D814" s="141" t="n"/>
      <c r="E814" s="141" t="n"/>
      <c r="F814" s="141" t="n"/>
      <c r="G814" s="143" t="n"/>
      <c r="H814" s="27" t="n"/>
    </row>
    <row r="815" ht="17.25" customHeight="1" s="322">
      <c r="A815" s="27" t="n"/>
      <c r="B815" s="506" t="n"/>
      <c r="C815" s="141" t="n"/>
      <c r="D815" s="141" t="n"/>
      <c r="E815" s="141" t="n"/>
      <c r="F815" s="141" t="n"/>
      <c r="G815" s="143" t="n"/>
      <c r="H815" s="27" t="n"/>
    </row>
    <row r="816" ht="17.25" customHeight="1" s="322">
      <c r="A816" s="27" t="n"/>
      <c r="B816" s="506" t="n"/>
      <c r="C816" s="141" t="n"/>
      <c r="D816" s="141" t="n"/>
      <c r="E816" s="141" t="n"/>
      <c r="F816" s="141" t="n"/>
      <c r="G816" s="143" t="n"/>
      <c r="H816" s="27" t="n"/>
    </row>
    <row r="817" ht="17.25" customHeight="1" s="322">
      <c r="A817" s="27" t="n"/>
      <c r="B817" s="506" t="n"/>
      <c r="C817" s="141" t="n"/>
      <c r="D817" s="141" t="n"/>
      <c r="E817" s="141" t="n"/>
      <c r="F817" s="141" t="n"/>
      <c r="G817" s="143" t="n"/>
      <c r="H817" s="27" t="n"/>
    </row>
    <row r="818" ht="17.25" customHeight="1" s="322">
      <c r="A818" s="27" t="n"/>
      <c r="B818" s="506" t="n"/>
      <c r="C818" s="141" t="n"/>
      <c r="D818" s="141" t="n"/>
      <c r="E818" s="141" t="n"/>
      <c r="F818" s="141" t="n"/>
      <c r="G818" s="143" t="n"/>
      <c r="H818" s="27" t="n"/>
    </row>
    <row r="819" ht="17.25" customHeight="1" s="322">
      <c r="A819" s="27" t="n"/>
      <c r="B819" s="506" t="n"/>
      <c r="C819" s="141" t="n"/>
      <c r="D819" s="141" t="n"/>
      <c r="E819" s="141" t="n"/>
      <c r="F819" s="141" t="n"/>
      <c r="G819" s="143" t="n"/>
      <c r="H819" s="27" t="n"/>
    </row>
    <row r="820" ht="17.25" customHeight="1" s="322">
      <c r="A820" s="27" t="n"/>
      <c r="B820" s="506" t="n"/>
      <c r="C820" s="141" t="n"/>
      <c r="D820" s="141" t="n"/>
      <c r="E820" s="141" t="n"/>
      <c r="F820" s="141" t="n"/>
      <c r="G820" s="143" t="n"/>
      <c r="H820" s="27" t="n"/>
    </row>
    <row r="821" ht="17.25" customHeight="1" s="322">
      <c r="A821" s="27" t="n"/>
      <c r="B821" s="506" t="n"/>
      <c r="C821" s="141" t="n"/>
      <c r="D821" s="141" t="n"/>
      <c r="E821" s="141" t="n"/>
      <c r="F821" s="141" t="n"/>
      <c r="G821" s="143" t="n"/>
      <c r="H821" s="27" t="n"/>
    </row>
    <row r="822" ht="17.25" customHeight="1" s="322">
      <c r="A822" s="27" t="n"/>
      <c r="B822" s="506" t="n"/>
      <c r="C822" s="141" t="n"/>
      <c r="D822" s="141" t="n"/>
      <c r="E822" s="141" t="n"/>
      <c r="F822" s="141" t="n"/>
      <c r="G822" s="143" t="n"/>
      <c r="H822" s="27" t="n"/>
    </row>
    <row r="823" ht="17.25" customHeight="1" s="322">
      <c r="A823" s="27" t="n"/>
      <c r="B823" s="506" t="n"/>
      <c r="C823" s="141" t="n"/>
      <c r="D823" s="141" t="n"/>
      <c r="E823" s="141" t="n"/>
      <c r="F823" s="141" t="n"/>
      <c r="G823" s="143" t="n"/>
      <c r="H823" s="27" t="n"/>
    </row>
    <row r="824" ht="17.25" customHeight="1" s="322">
      <c r="A824" s="27" t="n"/>
      <c r="B824" s="506" t="n"/>
      <c r="C824" s="141" t="n"/>
      <c r="D824" s="141" t="n"/>
      <c r="E824" s="141" t="n"/>
      <c r="F824" s="141" t="n"/>
      <c r="G824" s="143" t="n"/>
      <c r="H824" s="27" t="n"/>
    </row>
    <row r="825" ht="17.25" customHeight="1" s="322">
      <c r="A825" s="27" t="n"/>
      <c r="B825" s="506" t="n"/>
      <c r="C825" s="141" t="n"/>
      <c r="D825" s="141" t="n"/>
      <c r="E825" s="141" t="n"/>
      <c r="F825" s="141" t="n"/>
      <c r="G825" s="143" t="n"/>
      <c r="H825" s="27" t="n"/>
    </row>
    <row r="826" ht="17.25" customHeight="1" s="322">
      <c r="A826" s="27" t="n"/>
      <c r="B826" s="506" t="n"/>
      <c r="C826" s="141" t="n"/>
      <c r="D826" s="141" t="n"/>
      <c r="E826" s="141" t="n"/>
      <c r="F826" s="141" t="n"/>
      <c r="G826" s="143" t="n"/>
      <c r="H826" s="27" t="n"/>
    </row>
    <row r="827" ht="17.25" customHeight="1" s="322">
      <c r="A827" s="27" t="n"/>
      <c r="B827" s="506" t="n"/>
      <c r="C827" s="141" t="n"/>
      <c r="D827" s="141" t="n"/>
      <c r="E827" s="141" t="n"/>
      <c r="F827" s="141" t="n"/>
      <c r="G827" s="143" t="n"/>
      <c r="H827" s="27" t="n"/>
    </row>
    <row r="828" ht="17.25" customHeight="1" s="322">
      <c r="A828" s="27" t="n"/>
      <c r="B828" s="506" t="n"/>
      <c r="C828" s="141" t="n"/>
      <c r="D828" s="141" t="n"/>
      <c r="E828" s="141" t="n"/>
      <c r="F828" s="141" t="n"/>
      <c r="G828" s="143" t="n"/>
      <c r="H828" s="27" t="n"/>
    </row>
    <row r="829" ht="17.25" customHeight="1" s="322">
      <c r="A829" s="27" t="n"/>
      <c r="B829" s="506" t="n"/>
      <c r="C829" s="141" t="n"/>
      <c r="D829" s="141" t="n"/>
      <c r="E829" s="141" t="n"/>
      <c r="F829" s="141" t="n"/>
      <c r="G829" s="143" t="n"/>
      <c r="H829" s="27" t="n"/>
    </row>
    <row r="830" ht="17.25" customHeight="1" s="322">
      <c r="A830" s="27" t="n"/>
      <c r="B830" s="506" t="n"/>
      <c r="C830" s="141" t="n"/>
      <c r="D830" s="141" t="n"/>
      <c r="E830" s="141" t="n"/>
      <c r="F830" s="141" t="n"/>
      <c r="G830" s="143" t="n"/>
      <c r="H830" s="27" t="n"/>
    </row>
    <row r="831" ht="17.25" customHeight="1" s="322">
      <c r="A831" s="27" t="n"/>
      <c r="B831" s="506" t="n"/>
      <c r="C831" s="141" t="n"/>
      <c r="D831" s="141" t="n"/>
      <c r="E831" s="141" t="n"/>
      <c r="F831" s="141" t="n"/>
      <c r="G831" s="143" t="n"/>
      <c r="H831" s="27" t="n"/>
    </row>
    <row r="832" ht="17.25" customHeight="1" s="322">
      <c r="A832" s="27" t="n"/>
      <c r="B832" s="506" t="n"/>
      <c r="C832" s="141" t="n"/>
      <c r="D832" s="141" t="n"/>
      <c r="E832" s="141" t="n"/>
      <c r="F832" s="141" t="n"/>
      <c r="G832" s="143" t="n"/>
      <c r="H832" s="27" t="n"/>
    </row>
    <row r="833" ht="17.25" customHeight="1" s="322">
      <c r="A833" s="27" t="n"/>
      <c r="B833" s="506" t="n"/>
      <c r="C833" s="141" t="n"/>
      <c r="D833" s="141" t="n"/>
      <c r="E833" s="141" t="n"/>
      <c r="F833" s="141" t="n"/>
      <c r="G833" s="143" t="n"/>
      <c r="H833" s="27" t="n"/>
    </row>
    <row r="834" ht="17.25" customHeight="1" s="322">
      <c r="A834" s="27" t="n"/>
      <c r="B834" s="506" t="n"/>
      <c r="C834" s="141" t="n"/>
      <c r="D834" s="141" t="n"/>
      <c r="E834" s="141" t="n"/>
      <c r="F834" s="141" t="n"/>
      <c r="G834" s="143" t="n"/>
      <c r="H834" s="27" t="n"/>
    </row>
    <row r="835" ht="17.25" customHeight="1" s="322">
      <c r="A835" s="27" t="n"/>
      <c r="B835" s="506" t="n"/>
      <c r="C835" s="141" t="n"/>
      <c r="D835" s="141" t="n"/>
      <c r="E835" s="141" t="n"/>
      <c r="F835" s="141" t="n"/>
      <c r="G835" s="143" t="n"/>
      <c r="H835" s="27" t="n"/>
    </row>
    <row r="836" ht="17.25" customHeight="1" s="322">
      <c r="A836" s="27" t="n"/>
      <c r="B836" s="506" t="n"/>
      <c r="C836" s="141" t="n"/>
      <c r="D836" s="141" t="n"/>
      <c r="E836" s="141" t="n"/>
      <c r="F836" s="141" t="n"/>
      <c r="G836" s="143" t="n"/>
      <c r="H836" s="27" t="n"/>
    </row>
    <row r="837" ht="17.25" customHeight="1" s="322">
      <c r="A837" s="27" t="n"/>
      <c r="B837" s="506" t="n"/>
      <c r="C837" s="141" t="n"/>
      <c r="D837" s="141" t="n"/>
      <c r="E837" s="141" t="n"/>
      <c r="F837" s="141" t="n"/>
      <c r="G837" s="143" t="n"/>
      <c r="H837" s="27" t="n"/>
    </row>
    <row r="838" ht="17.25" customHeight="1" s="322">
      <c r="A838" s="27" t="n"/>
      <c r="B838" s="506" t="n"/>
      <c r="C838" s="141" t="n"/>
      <c r="D838" s="141" t="n"/>
      <c r="E838" s="141" t="n"/>
      <c r="F838" s="141" t="n"/>
      <c r="G838" s="143" t="n"/>
      <c r="H838" s="27" t="n"/>
    </row>
    <row r="839" ht="17.25" customHeight="1" s="322">
      <c r="A839" s="27" t="n"/>
      <c r="B839" s="506" t="n"/>
      <c r="C839" s="141" t="n"/>
      <c r="D839" s="141" t="n"/>
      <c r="E839" s="141" t="n"/>
      <c r="F839" s="141" t="n"/>
      <c r="G839" s="143" t="n"/>
      <c r="H839" s="27" t="n"/>
    </row>
    <row r="840" ht="17.25" customHeight="1" s="322">
      <c r="A840" s="27" t="n"/>
      <c r="B840" s="506" t="n"/>
      <c r="C840" s="141" t="n"/>
      <c r="D840" s="141" t="n"/>
      <c r="E840" s="141" t="n"/>
      <c r="F840" s="141" t="n"/>
      <c r="G840" s="143" t="n"/>
      <c r="H840" s="27" t="n"/>
    </row>
    <row r="841" ht="17.25" customHeight="1" s="322">
      <c r="A841" s="27" t="n"/>
      <c r="B841" s="506" t="n"/>
      <c r="C841" s="141" t="n"/>
      <c r="D841" s="141" t="n"/>
      <c r="E841" s="141" t="n"/>
      <c r="F841" s="141" t="n"/>
      <c r="G841" s="143" t="n"/>
      <c r="H841" s="27" t="n"/>
    </row>
    <row r="842" ht="17.25" customHeight="1" s="322">
      <c r="A842" s="27" t="n"/>
      <c r="B842" s="506" t="n"/>
      <c r="C842" s="141" t="n"/>
      <c r="D842" s="141" t="n"/>
      <c r="E842" s="141" t="n"/>
      <c r="F842" s="141" t="n"/>
      <c r="G842" s="143" t="n"/>
      <c r="H842" s="27" t="n"/>
    </row>
    <row r="843" ht="17.25" customHeight="1" s="322">
      <c r="A843" s="27" t="n"/>
      <c r="B843" s="506" t="n"/>
      <c r="C843" s="141" t="n"/>
      <c r="D843" s="141" t="n"/>
      <c r="E843" s="141" t="n"/>
      <c r="F843" s="141" t="n"/>
      <c r="G843" s="143" t="n"/>
      <c r="H843" s="27" t="n"/>
    </row>
    <row r="844" ht="17.25" customHeight="1" s="322">
      <c r="A844" s="27" t="n"/>
      <c r="B844" s="506" t="n"/>
      <c r="C844" s="141" t="n"/>
      <c r="D844" s="141" t="n"/>
      <c r="E844" s="141" t="n"/>
      <c r="F844" s="141" t="n"/>
      <c r="G844" s="143" t="n"/>
      <c r="H844" s="27" t="n"/>
    </row>
    <row r="845" ht="17.25" customHeight="1" s="322">
      <c r="A845" s="27" t="n"/>
      <c r="B845" s="506" t="n"/>
      <c r="C845" s="141" t="n"/>
      <c r="D845" s="141" t="n"/>
      <c r="E845" s="141" t="n"/>
      <c r="F845" s="141" t="n"/>
      <c r="G845" s="143" t="n"/>
      <c r="H845" s="27" t="n"/>
    </row>
    <row r="846" ht="17.25" customHeight="1" s="322">
      <c r="A846" s="27" t="n"/>
      <c r="B846" s="506" t="n"/>
      <c r="C846" s="141" t="n"/>
      <c r="D846" s="141" t="n"/>
      <c r="E846" s="141" t="n"/>
      <c r="F846" s="141" t="n"/>
      <c r="G846" s="143" t="n"/>
      <c r="H846" s="27" t="n"/>
    </row>
    <row r="847" ht="17.25" customHeight="1" s="322">
      <c r="A847" s="27" t="n"/>
      <c r="B847" s="506" t="n"/>
      <c r="C847" s="141" t="n"/>
      <c r="D847" s="141" t="n"/>
      <c r="E847" s="141" t="n"/>
      <c r="F847" s="141" t="n"/>
      <c r="G847" s="143" t="n"/>
      <c r="H847" s="27" t="n"/>
    </row>
    <row r="848" ht="17.25" customHeight="1" s="322">
      <c r="A848" s="27" t="n"/>
      <c r="B848" s="506" t="n"/>
      <c r="C848" s="141" t="n"/>
      <c r="D848" s="141" t="n"/>
      <c r="E848" s="141" t="n"/>
      <c r="F848" s="141" t="n"/>
      <c r="G848" s="143" t="n"/>
      <c r="H848" s="27" t="n"/>
    </row>
    <row r="849" ht="17.25" customHeight="1" s="322">
      <c r="A849" s="27" t="n"/>
      <c r="B849" s="506" t="n"/>
      <c r="C849" s="141" t="n"/>
      <c r="D849" s="141" t="n"/>
      <c r="E849" s="141" t="n"/>
      <c r="F849" s="141" t="n"/>
      <c r="G849" s="143" t="n"/>
      <c r="H849" s="27" t="n"/>
    </row>
    <row r="850" ht="17.25" customHeight="1" s="322">
      <c r="A850" s="27" t="n"/>
      <c r="B850" s="506" t="n"/>
      <c r="C850" s="141" t="n"/>
      <c r="D850" s="141" t="n"/>
      <c r="E850" s="141" t="n"/>
      <c r="F850" s="141" t="n"/>
      <c r="G850" s="143" t="n"/>
      <c r="H850" s="27" t="n"/>
    </row>
    <row r="851" ht="17.25" customHeight="1" s="322">
      <c r="A851" s="27" t="n"/>
      <c r="B851" s="506" t="n"/>
      <c r="C851" s="141" t="n"/>
      <c r="D851" s="141" t="n"/>
      <c r="E851" s="141" t="n"/>
      <c r="F851" s="141" t="n"/>
      <c r="G851" s="143" t="n"/>
      <c r="H851" s="27" t="n"/>
    </row>
    <row r="852" ht="17.25" customHeight="1" s="322">
      <c r="A852" s="27" t="n"/>
      <c r="B852" s="506" t="n"/>
      <c r="C852" s="141" t="n"/>
      <c r="D852" s="141" t="n"/>
      <c r="E852" s="141" t="n"/>
      <c r="F852" s="141" t="n"/>
      <c r="G852" s="143" t="n"/>
      <c r="H852" s="27" t="n"/>
    </row>
    <row r="853" ht="17.25" customHeight="1" s="322">
      <c r="A853" s="27" t="n"/>
      <c r="B853" s="506" t="n"/>
      <c r="C853" s="141" t="n"/>
      <c r="D853" s="141" t="n"/>
      <c r="E853" s="141" t="n"/>
      <c r="F853" s="141" t="n"/>
      <c r="G853" s="143" t="n"/>
      <c r="H853" s="27" t="n"/>
    </row>
    <row r="854" ht="17.25" customHeight="1" s="322">
      <c r="A854" s="27" t="n"/>
      <c r="B854" s="506" t="n"/>
      <c r="C854" s="141" t="n"/>
      <c r="D854" s="141" t="n"/>
      <c r="E854" s="141" t="n"/>
      <c r="F854" s="141" t="n"/>
      <c r="G854" s="143" t="n"/>
      <c r="H854" s="27" t="n"/>
    </row>
    <row r="855" ht="17.25" customHeight="1" s="322">
      <c r="A855" s="27" t="n"/>
      <c r="B855" s="506" t="n"/>
      <c r="C855" s="141" t="n"/>
      <c r="D855" s="141" t="n"/>
      <c r="E855" s="141" t="n"/>
      <c r="F855" s="141" t="n"/>
      <c r="G855" s="143" t="n"/>
      <c r="H855" s="27" t="n"/>
    </row>
    <row r="856" ht="17.25" customHeight="1" s="322">
      <c r="A856" s="27" t="n"/>
      <c r="B856" s="506" t="n"/>
      <c r="C856" s="141" t="n"/>
      <c r="D856" s="141" t="n"/>
      <c r="E856" s="141" t="n"/>
      <c r="F856" s="141" t="n"/>
      <c r="G856" s="143" t="n"/>
      <c r="H856" s="27" t="n"/>
    </row>
    <row r="857" ht="17.25" customHeight="1" s="322">
      <c r="A857" s="27" t="n"/>
      <c r="B857" s="506" t="n"/>
      <c r="C857" s="141" t="n"/>
      <c r="D857" s="141" t="n"/>
      <c r="E857" s="141" t="n"/>
      <c r="F857" s="141" t="n"/>
      <c r="G857" s="143" t="n"/>
      <c r="H857" s="27" t="n"/>
    </row>
    <row r="858" ht="17.25" customHeight="1" s="322">
      <c r="A858" s="27" t="n"/>
      <c r="B858" s="506" t="n"/>
      <c r="C858" s="141" t="n"/>
      <c r="D858" s="141" t="n"/>
      <c r="E858" s="141" t="n"/>
      <c r="F858" s="141" t="n"/>
      <c r="G858" s="143" t="n"/>
      <c r="H858" s="27" t="n"/>
    </row>
    <row r="859" ht="17.25" customHeight="1" s="322">
      <c r="A859" s="27" t="n"/>
      <c r="B859" s="506" t="n"/>
      <c r="C859" s="141" t="n"/>
      <c r="D859" s="141" t="n"/>
      <c r="E859" s="141" t="n"/>
      <c r="F859" s="141" t="n"/>
      <c r="G859" s="143" t="n"/>
      <c r="H859" s="27" t="n"/>
    </row>
    <row r="860" ht="17.25" customHeight="1" s="322">
      <c r="A860" s="27" t="n"/>
      <c r="B860" s="506" t="n"/>
      <c r="C860" s="141" t="n"/>
      <c r="D860" s="141" t="n"/>
      <c r="E860" s="141" t="n"/>
      <c r="F860" s="141" t="n"/>
      <c r="G860" s="143" t="n"/>
      <c r="H860" s="27" t="n"/>
    </row>
    <row r="861" ht="17.25" customHeight="1" s="322">
      <c r="A861" s="27" t="n"/>
      <c r="B861" s="506" t="n"/>
      <c r="C861" s="141" t="n"/>
      <c r="D861" s="141" t="n"/>
      <c r="E861" s="141" t="n"/>
      <c r="F861" s="141" t="n"/>
      <c r="G861" s="143" t="n"/>
      <c r="H861" s="27" t="n"/>
    </row>
    <row r="862" ht="17.25" customHeight="1" s="322">
      <c r="A862" s="27" t="n"/>
      <c r="B862" s="506" t="n"/>
      <c r="C862" s="141" t="n"/>
      <c r="D862" s="141" t="n"/>
      <c r="E862" s="141" t="n"/>
      <c r="F862" s="141" t="n"/>
      <c r="G862" s="143" t="n"/>
      <c r="H862" s="27" t="n"/>
    </row>
    <row r="863" ht="17.25" customHeight="1" s="322">
      <c r="A863" s="27" t="n"/>
      <c r="B863" s="506" t="n"/>
      <c r="C863" s="141" t="n"/>
      <c r="D863" s="141" t="n"/>
      <c r="E863" s="141" t="n"/>
      <c r="F863" s="141" t="n"/>
      <c r="G863" s="143" t="n"/>
      <c r="H863" s="27" t="n"/>
    </row>
    <row r="864" ht="17.25" customHeight="1" s="322">
      <c r="A864" s="27" t="n"/>
      <c r="B864" s="506" t="n"/>
      <c r="C864" s="141" t="n"/>
      <c r="D864" s="141" t="n"/>
      <c r="E864" s="141" t="n"/>
      <c r="F864" s="141" t="n"/>
      <c r="G864" s="143" t="n"/>
      <c r="H864" s="27" t="n"/>
    </row>
    <row r="865" ht="17.25" customHeight="1" s="322">
      <c r="A865" s="27" t="n"/>
      <c r="B865" s="506" t="n"/>
      <c r="C865" s="141" t="n"/>
      <c r="D865" s="141" t="n"/>
      <c r="E865" s="141" t="n"/>
      <c r="F865" s="141" t="n"/>
      <c r="G865" s="143" t="n"/>
      <c r="H865" s="27" t="n"/>
    </row>
    <row r="866" ht="17.25" customHeight="1" s="322">
      <c r="A866" s="27" t="n"/>
      <c r="B866" s="506" t="n"/>
      <c r="C866" s="141" t="n"/>
      <c r="D866" s="141" t="n"/>
      <c r="E866" s="141" t="n"/>
      <c r="F866" s="141" t="n"/>
      <c r="G866" s="143" t="n"/>
      <c r="H866" s="27" t="n"/>
    </row>
    <row r="867" ht="17.25" customHeight="1" s="322">
      <c r="A867" s="27" t="n"/>
      <c r="B867" s="506" t="n"/>
      <c r="C867" s="141" t="n"/>
      <c r="D867" s="141" t="n"/>
      <c r="E867" s="141" t="n"/>
      <c r="F867" s="141" t="n"/>
      <c r="G867" s="143" t="n"/>
      <c r="H867" s="27" t="n"/>
    </row>
    <row r="868" ht="17.25" customHeight="1" s="322">
      <c r="A868" s="27" t="n"/>
      <c r="B868" s="506" t="n"/>
      <c r="C868" s="141" t="n"/>
      <c r="D868" s="141" t="n"/>
      <c r="E868" s="141" t="n"/>
      <c r="F868" s="141" t="n"/>
      <c r="G868" s="143" t="n"/>
      <c r="H868" s="27" t="n"/>
    </row>
    <row r="869" ht="17.25" customHeight="1" s="322">
      <c r="A869" s="27" t="n"/>
      <c r="B869" s="506" t="n"/>
      <c r="C869" s="141" t="n"/>
      <c r="D869" s="141" t="n"/>
      <c r="E869" s="141" t="n"/>
      <c r="F869" s="141" t="n"/>
      <c r="G869" s="143" t="n"/>
      <c r="H869" s="27" t="n"/>
    </row>
    <row r="870" ht="17.25" customHeight="1" s="322">
      <c r="A870" s="27" t="n"/>
      <c r="B870" s="506" t="n"/>
      <c r="C870" s="141" t="n"/>
      <c r="D870" s="141" t="n"/>
      <c r="E870" s="141" t="n"/>
      <c r="F870" s="141" t="n"/>
      <c r="G870" s="143" t="n"/>
      <c r="H870" s="27" t="n"/>
    </row>
    <row r="871" ht="17.25" customHeight="1" s="322">
      <c r="A871" s="27" t="n"/>
      <c r="B871" s="506" t="n"/>
      <c r="C871" s="141" t="n"/>
      <c r="D871" s="141" t="n"/>
      <c r="E871" s="141" t="n"/>
      <c r="F871" s="141" t="n"/>
      <c r="G871" s="143" t="n"/>
      <c r="H871" s="27" t="n"/>
    </row>
    <row r="872" ht="17.25" customHeight="1" s="322">
      <c r="A872" s="27" t="n"/>
      <c r="B872" s="506" t="n"/>
      <c r="C872" s="141" t="n"/>
      <c r="D872" s="141" t="n"/>
      <c r="E872" s="141" t="n"/>
      <c r="F872" s="141" t="n"/>
      <c r="G872" s="143" t="n"/>
      <c r="H872" s="27" t="n"/>
    </row>
    <row r="873" ht="17.25" customHeight="1" s="322">
      <c r="A873" s="27" t="n"/>
      <c r="B873" s="506" t="n"/>
      <c r="C873" s="141" t="n"/>
      <c r="D873" s="141" t="n"/>
      <c r="E873" s="141" t="n"/>
      <c r="F873" s="141" t="n"/>
      <c r="G873" s="143" t="n"/>
      <c r="H873" s="27" t="n"/>
    </row>
    <row r="874" ht="17.25" customHeight="1" s="322">
      <c r="A874" s="27" t="n"/>
      <c r="B874" s="506" t="n"/>
      <c r="C874" s="141" t="n"/>
      <c r="D874" s="141" t="n"/>
      <c r="E874" s="141" t="n"/>
      <c r="F874" s="141" t="n"/>
      <c r="G874" s="143" t="n"/>
      <c r="H874" s="27" t="n"/>
    </row>
    <row r="875" ht="17.25" customHeight="1" s="322">
      <c r="A875" s="27" t="n"/>
      <c r="B875" s="506" t="n"/>
      <c r="C875" s="141" t="n"/>
      <c r="D875" s="141" t="n"/>
      <c r="E875" s="141" t="n"/>
      <c r="F875" s="141" t="n"/>
      <c r="G875" s="143" t="n"/>
      <c r="H875" s="27" t="n"/>
    </row>
    <row r="876" ht="17.25" customHeight="1" s="322">
      <c r="A876" s="27" t="n"/>
      <c r="B876" s="506" t="n"/>
      <c r="C876" s="141" t="n"/>
      <c r="D876" s="141" t="n"/>
      <c r="E876" s="141" t="n"/>
      <c r="F876" s="141" t="n"/>
      <c r="G876" s="143" t="n"/>
      <c r="H876" s="27" t="n"/>
    </row>
    <row r="877" ht="17.25" customHeight="1" s="322">
      <c r="A877" s="27" t="n"/>
      <c r="B877" s="506" t="n"/>
      <c r="C877" s="141" t="n"/>
      <c r="D877" s="141" t="n"/>
      <c r="E877" s="141" t="n"/>
      <c r="F877" s="141" t="n"/>
      <c r="G877" s="143" t="n"/>
      <c r="H877" s="27" t="n"/>
    </row>
    <row r="878" ht="17.25" customHeight="1" s="322">
      <c r="A878" s="27" t="n"/>
      <c r="B878" s="506" t="n"/>
      <c r="C878" s="141" t="n"/>
      <c r="D878" s="141" t="n"/>
      <c r="E878" s="141" t="n"/>
      <c r="F878" s="141" t="n"/>
      <c r="G878" s="143" t="n"/>
      <c r="H878" s="27" t="n"/>
    </row>
    <row r="879" ht="17.25" customHeight="1" s="322">
      <c r="A879" s="27" t="n"/>
      <c r="B879" s="506" t="n"/>
      <c r="C879" s="141" t="n"/>
      <c r="D879" s="141" t="n"/>
      <c r="E879" s="141" t="n"/>
      <c r="F879" s="141" t="n"/>
      <c r="G879" s="143" t="n"/>
      <c r="H879" s="27" t="n"/>
    </row>
    <row r="880" ht="17.25" customHeight="1" s="322">
      <c r="A880" s="27" t="n"/>
      <c r="B880" s="506" t="n"/>
      <c r="C880" s="141" t="n"/>
      <c r="D880" s="141" t="n"/>
      <c r="E880" s="141" t="n"/>
      <c r="F880" s="141" t="n"/>
      <c r="G880" s="143" t="n"/>
      <c r="H880" s="27" t="n"/>
    </row>
    <row r="881" ht="17.25" customHeight="1" s="322">
      <c r="A881" s="27" t="n"/>
      <c r="B881" s="506" t="n"/>
      <c r="C881" s="141" t="n"/>
      <c r="D881" s="141" t="n"/>
      <c r="E881" s="141" t="n"/>
      <c r="F881" s="141" t="n"/>
      <c r="G881" s="143" t="n"/>
      <c r="H881" s="27" t="n"/>
    </row>
    <row r="882" ht="17.25" customHeight="1" s="322">
      <c r="A882" s="27" t="n"/>
      <c r="B882" s="506" t="n"/>
      <c r="C882" s="141" t="n"/>
      <c r="D882" s="141" t="n"/>
      <c r="E882" s="141" t="n"/>
      <c r="F882" s="141" t="n"/>
      <c r="G882" s="143" t="n"/>
      <c r="H882" s="27" t="n"/>
    </row>
    <row r="883" ht="17.25" customHeight="1" s="322">
      <c r="A883" s="27" t="n"/>
      <c r="B883" s="506" t="n"/>
      <c r="C883" s="141" t="n"/>
      <c r="D883" s="141" t="n"/>
      <c r="E883" s="141" t="n"/>
      <c r="F883" s="141" t="n"/>
      <c r="G883" s="143" t="n"/>
      <c r="H883" s="27" t="n"/>
    </row>
    <row r="884" ht="17.25" customHeight="1" s="322">
      <c r="A884" s="27" t="n"/>
      <c r="B884" s="506" t="n"/>
      <c r="C884" s="141" t="n"/>
      <c r="D884" s="141" t="n"/>
      <c r="E884" s="141" t="n"/>
      <c r="F884" s="141" t="n"/>
      <c r="G884" s="143" t="n"/>
      <c r="H884" s="27" t="n"/>
    </row>
    <row r="885" ht="17.25" customHeight="1" s="322">
      <c r="A885" s="27" t="n"/>
      <c r="B885" s="506" t="n"/>
      <c r="C885" s="141" t="n"/>
      <c r="D885" s="141" t="n"/>
      <c r="E885" s="141" t="n"/>
      <c r="F885" s="141" t="n"/>
      <c r="G885" s="143" t="n"/>
      <c r="H885" s="27" t="n"/>
    </row>
    <row r="886" ht="17.25" customHeight="1" s="322">
      <c r="A886" s="27" t="n"/>
      <c r="B886" s="506" t="n"/>
      <c r="C886" s="141" t="n"/>
      <c r="D886" s="141" t="n"/>
      <c r="E886" s="141" t="n"/>
      <c r="F886" s="141" t="n"/>
      <c r="G886" s="143" t="n"/>
      <c r="H886" s="27" t="n"/>
    </row>
    <row r="887" ht="17.25" customHeight="1" s="322">
      <c r="A887" s="27" t="n"/>
      <c r="B887" s="506" t="n"/>
      <c r="C887" s="141" t="n"/>
      <c r="D887" s="141" t="n"/>
      <c r="E887" s="141" t="n"/>
      <c r="F887" s="141" t="n"/>
      <c r="G887" s="143" t="n"/>
      <c r="H887" s="27" t="n"/>
    </row>
    <row r="888" ht="17.25" customHeight="1" s="322">
      <c r="A888" s="27" t="n"/>
      <c r="B888" s="506" t="n"/>
      <c r="C888" s="141" t="n"/>
      <c r="D888" s="141" t="n"/>
      <c r="E888" s="141" t="n"/>
      <c r="F888" s="141" t="n"/>
      <c r="G888" s="143" t="n"/>
      <c r="H888" s="27" t="n"/>
    </row>
    <row r="889" ht="17.25" customHeight="1" s="322">
      <c r="A889" s="27" t="n"/>
      <c r="B889" s="506" t="n"/>
      <c r="C889" s="141" t="n"/>
      <c r="D889" s="141" t="n"/>
      <c r="E889" s="141" t="n"/>
      <c r="F889" s="141" t="n"/>
      <c r="G889" s="143" t="n"/>
      <c r="H889" s="27" t="n"/>
    </row>
    <row r="890" ht="17.25" customHeight="1" s="322">
      <c r="A890" s="27" t="n"/>
      <c r="B890" s="506" t="n"/>
      <c r="C890" s="141" t="n"/>
      <c r="D890" s="141" t="n"/>
      <c r="E890" s="141" t="n"/>
      <c r="F890" s="141" t="n"/>
      <c r="G890" s="143" t="n"/>
      <c r="H890" s="27" t="n"/>
    </row>
    <row r="891" ht="17.25" customHeight="1" s="322">
      <c r="A891" s="27" t="n"/>
      <c r="B891" s="506" t="n"/>
      <c r="C891" s="141" t="n"/>
      <c r="D891" s="141" t="n"/>
      <c r="E891" s="141" t="n"/>
      <c r="F891" s="141" t="n"/>
      <c r="G891" s="143" t="n"/>
      <c r="H891" s="27" t="n"/>
    </row>
    <row r="892" ht="17.25" customHeight="1" s="322">
      <c r="A892" s="27" t="n"/>
      <c r="B892" s="506" t="n"/>
      <c r="C892" s="141" t="n"/>
      <c r="D892" s="141" t="n"/>
      <c r="E892" s="141" t="n"/>
      <c r="F892" s="141" t="n"/>
      <c r="G892" s="143" t="n"/>
      <c r="H892" s="27" t="n"/>
    </row>
    <row r="893" ht="17.25" customHeight="1" s="322">
      <c r="A893" s="27" t="n"/>
      <c r="B893" s="506" t="n"/>
      <c r="C893" s="141" t="n"/>
      <c r="D893" s="141" t="n"/>
      <c r="E893" s="141" t="n"/>
      <c r="F893" s="141" t="n"/>
      <c r="G893" s="143" t="n"/>
      <c r="H893" s="27" t="n"/>
    </row>
    <row r="894" ht="17.25" customHeight="1" s="322">
      <c r="A894" s="27" t="n"/>
      <c r="B894" s="506" t="n"/>
      <c r="C894" s="141" t="n"/>
      <c r="D894" s="141" t="n"/>
      <c r="E894" s="141" t="n"/>
      <c r="F894" s="141" t="n"/>
      <c r="G894" s="143" t="n"/>
      <c r="H894" s="27" t="n"/>
    </row>
    <row r="895" ht="17.25" customHeight="1" s="322">
      <c r="A895" s="27" t="n"/>
      <c r="B895" s="506" t="n"/>
      <c r="C895" s="141" t="n"/>
      <c r="D895" s="141" t="n"/>
      <c r="E895" s="141" t="n"/>
      <c r="F895" s="141" t="n"/>
      <c r="G895" s="143" t="n"/>
      <c r="H895" s="27" t="n"/>
    </row>
    <row r="896" ht="17.25" customHeight="1" s="322">
      <c r="A896" s="27" t="n"/>
      <c r="B896" s="506" t="n"/>
      <c r="C896" s="141" t="n"/>
      <c r="D896" s="141" t="n"/>
      <c r="E896" s="141" t="n"/>
      <c r="F896" s="141" t="n"/>
      <c r="G896" s="143" t="n"/>
      <c r="H896" s="27" t="n"/>
    </row>
    <row r="897" ht="17.25" customHeight="1" s="322">
      <c r="A897" s="27" t="n"/>
      <c r="B897" s="506" t="n"/>
      <c r="C897" s="141" t="n"/>
      <c r="D897" s="141" t="n"/>
      <c r="E897" s="141" t="n"/>
      <c r="F897" s="141" t="n"/>
      <c r="G897" s="143" t="n"/>
      <c r="H897" s="27" t="n"/>
    </row>
    <row r="898" ht="17.25" customHeight="1" s="322">
      <c r="A898" s="27" t="n"/>
      <c r="B898" s="506" t="n"/>
      <c r="C898" s="141" t="n"/>
      <c r="D898" s="141" t="n"/>
      <c r="E898" s="141" t="n"/>
      <c r="F898" s="141" t="n"/>
      <c r="G898" s="143" t="n"/>
      <c r="H898" s="27" t="n"/>
    </row>
    <row r="899" ht="17.25" customHeight="1" s="322">
      <c r="A899" s="27" t="n"/>
      <c r="B899" s="506" t="n"/>
      <c r="C899" s="141" t="n"/>
      <c r="D899" s="141" t="n"/>
      <c r="E899" s="141" t="n"/>
      <c r="F899" s="141" t="n"/>
      <c r="G899" s="143" t="n"/>
      <c r="H899" s="27" t="n"/>
    </row>
    <row r="900" ht="17.25" customHeight="1" s="322">
      <c r="A900" s="27" t="n"/>
      <c r="B900" s="506" t="n"/>
      <c r="C900" s="141" t="n"/>
      <c r="D900" s="141" t="n"/>
      <c r="E900" s="141" t="n"/>
      <c r="F900" s="141" t="n"/>
      <c r="G900" s="143" t="n"/>
      <c r="H900" s="27" t="n"/>
    </row>
    <row r="901" ht="17.25" customHeight="1" s="322">
      <c r="A901" s="27" t="n"/>
      <c r="B901" s="506" t="n"/>
      <c r="C901" s="141" t="n"/>
      <c r="D901" s="141" t="n"/>
      <c r="E901" s="141" t="n"/>
      <c r="F901" s="141" t="n"/>
      <c r="G901" s="143" t="n"/>
      <c r="H901" s="27" t="n"/>
    </row>
    <row r="902" ht="17.25" customHeight="1" s="322">
      <c r="A902" s="27" t="n"/>
      <c r="B902" s="506" t="n"/>
      <c r="C902" s="141" t="n"/>
      <c r="D902" s="141" t="n"/>
      <c r="E902" s="141" t="n"/>
      <c r="F902" s="141" t="n"/>
      <c r="G902" s="143" t="n"/>
      <c r="H902" s="27" t="n"/>
    </row>
    <row r="903" ht="17.25" customHeight="1" s="322">
      <c r="A903" s="27" t="n"/>
      <c r="B903" s="506" t="n"/>
      <c r="C903" s="141" t="n"/>
      <c r="D903" s="141" t="n"/>
      <c r="E903" s="141" t="n"/>
      <c r="F903" s="141" t="n"/>
      <c r="G903" s="143" t="n"/>
      <c r="H903" s="27" t="n"/>
    </row>
    <row r="904" ht="17.25" customHeight="1" s="322">
      <c r="A904" s="27" t="n"/>
      <c r="B904" s="506" t="n"/>
      <c r="C904" s="141" t="n"/>
      <c r="D904" s="141" t="n"/>
      <c r="E904" s="141" t="n"/>
      <c r="F904" s="141" t="n"/>
      <c r="G904" s="143" t="n"/>
      <c r="H904" s="27" t="n"/>
    </row>
    <row r="905" ht="17.25" customHeight="1" s="322">
      <c r="A905" s="27" t="n"/>
      <c r="B905" s="506" t="n"/>
      <c r="C905" s="141" t="n"/>
      <c r="D905" s="141" t="n"/>
      <c r="E905" s="141" t="n"/>
      <c r="F905" s="141" t="n"/>
      <c r="G905" s="143" t="n"/>
      <c r="H905" s="27" t="n"/>
    </row>
    <row r="906" ht="17.25" customHeight="1" s="322">
      <c r="A906" s="27" t="n"/>
      <c r="B906" s="506" t="n"/>
      <c r="C906" s="141" t="n"/>
      <c r="D906" s="141" t="n"/>
      <c r="E906" s="141" t="n"/>
      <c r="F906" s="141" t="n"/>
      <c r="G906" s="143" t="n"/>
      <c r="H906" s="27" t="n"/>
    </row>
    <row r="907" ht="17.25" customHeight="1" s="322">
      <c r="A907" s="27" t="n"/>
      <c r="B907" s="506" t="n"/>
      <c r="C907" s="141" t="n"/>
      <c r="D907" s="141" t="n"/>
      <c r="E907" s="141" t="n"/>
      <c r="F907" s="141" t="n"/>
      <c r="G907" s="143" t="n"/>
      <c r="H907" s="27" t="n"/>
    </row>
    <row r="908" ht="17.25" customHeight="1" s="322">
      <c r="A908" s="27" t="n"/>
      <c r="B908" s="506" t="n"/>
      <c r="C908" s="141" t="n"/>
      <c r="D908" s="141" t="n"/>
      <c r="E908" s="141" t="n"/>
      <c r="F908" s="141" t="n"/>
      <c r="G908" s="143" t="n"/>
      <c r="H908" s="27" t="n"/>
    </row>
    <row r="909" ht="17.25" customHeight="1" s="322">
      <c r="A909" s="27" t="n"/>
      <c r="B909" s="506" t="n"/>
      <c r="C909" s="141" t="n"/>
      <c r="D909" s="141" t="n"/>
      <c r="E909" s="141" t="n"/>
      <c r="F909" s="141" t="n"/>
      <c r="G909" s="143" t="n"/>
      <c r="H909" s="27" t="n"/>
    </row>
    <row r="910" ht="17.25" customHeight="1" s="322">
      <c r="A910" s="27" t="n"/>
      <c r="B910" s="506" t="n"/>
      <c r="C910" s="141" t="n"/>
      <c r="D910" s="141" t="n"/>
      <c r="E910" s="141" t="n"/>
      <c r="F910" s="141" t="n"/>
      <c r="G910" s="143" t="n"/>
      <c r="H910" s="27" t="n"/>
    </row>
    <row r="911" ht="17.25" customHeight="1" s="322">
      <c r="A911" s="27" t="n"/>
      <c r="B911" s="506" t="n"/>
      <c r="C911" s="141" t="n"/>
      <c r="D911" s="141" t="n"/>
      <c r="E911" s="141" t="n"/>
      <c r="F911" s="141" t="n"/>
      <c r="G911" s="143" t="n"/>
      <c r="H911" s="27" t="n"/>
    </row>
    <row r="912" ht="17.25" customHeight="1" s="322">
      <c r="A912" s="27" t="n"/>
      <c r="B912" s="506" t="n"/>
      <c r="C912" s="141" t="n"/>
      <c r="D912" s="141" t="n"/>
      <c r="E912" s="141" t="n"/>
      <c r="F912" s="141" t="n"/>
      <c r="G912" s="143" t="n"/>
      <c r="H912" s="27" t="n"/>
    </row>
    <row r="913" ht="17.25" customHeight="1" s="322">
      <c r="A913" s="27" t="n"/>
      <c r="B913" s="506" t="n"/>
      <c r="C913" s="141" t="n"/>
      <c r="D913" s="141" t="n"/>
      <c r="E913" s="141" t="n"/>
      <c r="F913" s="141" t="n"/>
      <c r="G913" s="143" t="n"/>
      <c r="H913" s="27" t="n"/>
    </row>
    <row r="914" ht="17.25" customHeight="1" s="322">
      <c r="A914" s="27" t="n"/>
      <c r="B914" s="506" t="n"/>
      <c r="C914" s="141" t="n"/>
      <c r="D914" s="141" t="n"/>
      <c r="E914" s="141" t="n"/>
      <c r="F914" s="141" t="n"/>
      <c r="G914" s="143" t="n"/>
      <c r="H914" s="27" t="n"/>
    </row>
    <row r="915" ht="17.25" customHeight="1" s="322">
      <c r="A915" s="27" t="n"/>
      <c r="B915" s="506" t="n"/>
      <c r="C915" s="141" t="n"/>
      <c r="D915" s="141" t="n"/>
      <c r="E915" s="141" t="n"/>
      <c r="F915" s="141" t="n"/>
      <c r="G915" s="143" t="n"/>
      <c r="H915" s="27" t="n"/>
    </row>
    <row r="916" ht="17.25" customHeight="1" s="322">
      <c r="A916" s="27" t="n"/>
      <c r="B916" s="506" t="n"/>
      <c r="C916" s="141" t="n"/>
      <c r="D916" s="141" t="n"/>
      <c r="E916" s="141" t="n"/>
      <c r="F916" s="141" t="n"/>
      <c r="G916" s="143" t="n"/>
      <c r="H916" s="27" t="n"/>
    </row>
    <row r="917" ht="17.25" customHeight="1" s="322">
      <c r="A917" s="27" t="n"/>
      <c r="B917" s="506" t="n"/>
      <c r="C917" s="141" t="n"/>
      <c r="D917" s="141" t="n"/>
      <c r="E917" s="141" t="n"/>
      <c r="F917" s="141" t="n"/>
      <c r="G917" s="143" t="n"/>
      <c r="H917" s="27" t="n"/>
    </row>
    <row r="918" ht="17.25" customHeight="1" s="322">
      <c r="A918" s="27" t="n"/>
      <c r="B918" s="506" t="n"/>
      <c r="C918" s="141" t="n"/>
      <c r="D918" s="141" t="n"/>
      <c r="E918" s="141" t="n"/>
      <c r="F918" s="141" t="n"/>
      <c r="G918" s="143" t="n"/>
      <c r="H918" s="27" t="n"/>
    </row>
    <row r="919" ht="17.25" customHeight="1" s="322">
      <c r="A919" s="27" t="n"/>
      <c r="B919" s="506" t="n"/>
      <c r="C919" s="141" t="n"/>
      <c r="D919" s="141" t="n"/>
      <c r="E919" s="141" t="n"/>
      <c r="F919" s="141" t="n"/>
      <c r="G919" s="143" t="n"/>
      <c r="H919" s="27" t="n"/>
    </row>
    <row r="920" ht="17.25" customHeight="1" s="322">
      <c r="A920" s="27" t="n"/>
      <c r="B920" s="506" t="n"/>
      <c r="C920" s="141" t="n"/>
      <c r="D920" s="141" t="n"/>
      <c r="E920" s="141" t="n"/>
      <c r="F920" s="141" t="n"/>
      <c r="G920" s="143" t="n"/>
      <c r="H920" s="27" t="n"/>
    </row>
    <row r="921" ht="17.25" customHeight="1" s="322">
      <c r="A921" s="27" t="n"/>
      <c r="B921" s="506" t="n"/>
      <c r="C921" s="141" t="n"/>
      <c r="D921" s="141" t="n"/>
      <c r="E921" s="141" t="n"/>
      <c r="F921" s="141" t="n"/>
      <c r="G921" s="143" t="n"/>
      <c r="H921" s="27" t="n"/>
    </row>
    <row r="922" ht="17.25" customHeight="1" s="322">
      <c r="A922" s="27" t="n"/>
      <c r="B922" s="506" t="n"/>
      <c r="C922" s="141" t="n"/>
      <c r="D922" s="141" t="n"/>
      <c r="E922" s="141" t="n"/>
      <c r="F922" s="141" t="n"/>
      <c r="G922" s="143" t="n"/>
      <c r="H922" s="27" t="n"/>
    </row>
    <row r="923" ht="17.25" customHeight="1" s="322">
      <c r="A923" s="27" t="n"/>
      <c r="B923" s="506" t="n"/>
      <c r="C923" s="141" t="n"/>
      <c r="D923" s="141" t="n"/>
      <c r="E923" s="141" t="n"/>
      <c r="F923" s="141" t="n"/>
      <c r="G923" s="143" t="n"/>
      <c r="H923" s="27" t="n"/>
    </row>
    <row r="924" ht="17.25" customHeight="1" s="322">
      <c r="A924" s="27" t="n"/>
      <c r="B924" s="506" t="n"/>
      <c r="C924" s="141" t="n"/>
      <c r="D924" s="141" t="n"/>
      <c r="E924" s="141" t="n"/>
      <c r="F924" s="141" t="n"/>
      <c r="G924" s="143" t="n"/>
      <c r="H924" s="27" t="n"/>
    </row>
    <row r="925" ht="17.25" customHeight="1" s="322">
      <c r="A925" s="27" t="n"/>
      <c r="B925" s="506" t="n"/>
      <c r="C925" s="141" t="n"/>
      <c r="D925" s="141" t="n"/>
      <c r="E925" s="141" t="n"/>
      <c r="F925" s="141" t="n"/>
      <c r="G925" s="143" t="n"/>
      <c r="H925" s="27" t="n"/>
    </row>
    <row r="926" ht="17.25" customHeight="1" s="322">
      <c r="A926" s="27" t="n"/>
      <c r="B926" s="506" t="n"/>
      <c r="C926" s="141" t="n"/>
      <c r="D926" s="141" t="n"/>
      <c r="E926" s="141" t="n"/>
      <c r="F926" s="141" t="n"/>
      <c r="G926" s="143" t="n"/>
      <c r="H926" s="27" t="n"/>
    </row>
    <row r="927" ht="17.25" customHeight="1" s="322">
      <c r="A927" s="27" t="n"/>
      <c r="B927" s="506" t="n"/>
      <c r="C927" s="141" t="n"/>
      <c r="D927" s="141" t="n"/>
      <c r="E927" s="141" t="n"/>
      <c r="F927" s="141" t="n"/>
      <c r="G927" s="143" t="n"/>
      <c r="H927" s="27" t="n"/>
    </row>
    <row r="928" ht="17.25" customHeight="1" s="322">
      <c r="A928" s="27" t="n"/>
      <c r="B928" s="506" t="n"/>
      <c r="C928" s="141" t="n"/>
      <c r="D928" s="141" t="n"/>
      <c r="E928" s="141" t="n"/>
      <c r="F928" s="141" t="n"/>
      <c r="G928" s="143" t="n"/>
      <c r="H928" s="27" t="n"/>
    </row>
    <row r="929" ht="17.25" customHeight="1" s="322">
      <c r="A929" s="27" t="n"/>
      <c r="B929" s="506" t="n"/>
      <c r="C929" s="141" t="n"/>
      <c r="D929" s="141" t="n"/>
      <c r="E929" s="141" t="n"/>
      <c r="F929" s="141" t="n"/>
      <c r="G929" s="143" t="n"/>
      <c r="H929" s="27" t="n"/>
    </row>
    <row r="930" ht="17.25" customHeight="1" s="322">
      <c r="A930" s="27" t="n"/>
      <c r="B930" s="506" t="n"/>
      <c r="C930" s="141" t="n"/>
      <c r="D930" s="141" t="n"/>
      <c r="E930" s="141" t="n"/>
      <c r="F930" s="141" t="n"/>
      <c r="G930" s="143" t="n"/>
      <c r="H930" s="27" t="n"/>
    </row>
    <row r="931" ht="17.25" customHeight="1" s="322">
      <c r="A931" s="27" t="n"/>
      <c r="B931" s="506" t="n"/>
      <c r="C931" s="141" t="n"/>
      <c r="D931" s="141" t="n"/>
      <c r="E931" s="141" t="n"/>
      <c r="F931" s="141" t="n"/>
      <c r="G931" s="143" t="n"/>
      <c r="H931" s="27" t="n"/>
    </row>
    <row r="932" ht="17.25" customHeight="1" s="322">
      <c r="A932" s="27" t="n"/>
      <c r="B932" s="506" t="n"/>
      <c r="C932" s="141" t="n"/>
      <c r="D932" s="141" t="n"/>
      <c r="E932" s="141" t="n"/>
      <c r="F932" s="141" t="n"/>
      <c r="G932" s="143" t="n"/>
      <c r="H932" s="27" t="n"/>
    </row>
    <row r="933" ht="17.25" customHeight="1" s="322">
      <c r="A933" s="27" t="n"/>
      <c r="B933" s="506" t="n"/>
      <c r="C933" s="141" t="n"/>
      <c r="D933" s="141" t="n"/>
      <c r="E933" s="141" t="n"/>
      <c r="F933" s="141" t="n"/>
      <c r="G933" s="143" t="n"/>
      <c r="H933" s="27" t="n"/>
    </row>
    <row r="934" ht="17.25" customHeight="1" s="322">
      <c r="A934" s="27" t="n"/>
      <c r="B934" s="506" t="n"/>
      <c r="C934" s="141" t="n"/>
      <c r="D934" s="141" t="n"/>
      <c r="E934" s="141" t="n"/>
      <c r="F934" s="141" t="n"/>
      <c r="G934" s="143" t="n"/>
      <c r="H934" s="27" t="n"/>
    </row>
    <row r="935" ht="17.25" customHeight="1" s="322">
      <c r="A935" s="27" t="n"/>
      <c r="B935" s="506" t="n"/>
      <c r="C935" s="141" t="n"/>
      <c r="D935" s="141" t="n"/>
      <c r="E935" s="141" t="n"/>
      <c r="F935" s="141" t="n"/>
      <c r="G935" s="143" t="n"/>
      <c r="H935" s="27" t="n"/>
    </row>
    <row r="936" ht="17.25" customHeight="1" s="322">
      <c r="A936" s="27" t="n"/>
      <c r="B936" s="506" t="n"/>
      <c r="C936" s="141" t="n"/>
      <c r="D936" s="141" t="n"/>
      <c r="E936" s="141" t="n"/>
      <c r="F936" s="141" t="n"/>
      <c r="G936" s="143" t="n"/>
      <c r="H936" s="27" t="n"/>
    </row>
    <row r="937" ht="17.25" customHeight="1" s="322">
      <c r="A937" s="27" t="n"/>
      <c r="B937" s="506" t="n"/>
      <c r="C937" s="141" t="n"/>
      <c r="D937" s="141" t="n"/>
      <c r="E937" s="141" t="n"/>
      <c r="F937" s="141" t="n"/>
      <c r="G937" s="143" t="n"/>
      <c r="H937" s="27" t="n"/>
    </row>
    <row r="938" ht="17.25" customHeight="1" s="322">
      <c r="A938" s="27" t="n"/>
      <c r="B938" s="506" t="n"/>
      <c r="C938" s="141" t="n"/>
      <c r="D938" s="141" t="n"/>
      <c r="E938" s="141" t="n"/>
      <c r="F938" s="141" t="n"/>
      <c r="G938" s="143" t="n"/>
      <c r="H938" s="27" t="n"/>
    </row>
    <row r="939" ht="17.25" customHeight="1" s="322">
      <c r="A939" s="27" t="n"/>
      <c r="B939" s="506" t="n"/>
      <c r="C939" s="141" t="n"/>
      <c r="D939" s="141" t="n"/>
      <c r="E939" s="141" t="n"/>
      <c r="F939" s="141" t="n"/>
      <c r="G939" s="143" t="n"/>
      <c r="H939" s="27" t="n"/>
    </row>
    <row r="940" ht="17.25" customHeight="1" s="322">
      <c r="A940" s="27" t="n"/>
      <c r="B940" s="506" t="n"/>
      <c r="C940" s="141" t="n"/>
      <c r="D940" s="141" t="n"/>
      <c r="E940" s="141" t="n"/>
      <c r="F940" s="141" t="n"/>
      <c r="G940" s="143" t="n"/>
      <c r="H940" s="27" t="n"/>
    </row>
    <row r="941" ht="17.25" customHeight="1" s="322">
      <c r="A941" s="27" t="n"/>
      <c r="B941" s="506" t="n"/>
      <c r="C941" s="141" t="n"/>
      <c r="D941" s="141" t="n"/>
      <c r="E941" s="141" t="n"/>
      <c r="F941" s="141" t="n"/>
      <c r="G941" s="143" t="n"/>
      <c r="H941" s="27" t="n"/>
    </row>
    <row r="942" ht="17.25" customHeight="1" s="322">
      <c r="A942" s="27" t="n"/>
      <c r="B942" s="506" t="n"/>
      <c r="C942" s="141" t="n"/>
      <c r="D942" s="141" t="n"/>
      <c r="E942" s="141" t="n"/>
      <c r="F942" s="141" t="n"/>
      <c r="G942" s="143" t="n"/>
      <c r="H942" s="27" t="n"/>
    </row>
    <row r="943" ht="17.25" customHeight="1" s="322">
      <c r="A943" s="27" t="n"/>
      <c r="B943" s="506" t="n"/>
      <c r="C943" s="141" t="n"/>
      <c r="D943" s="141" t="n"/>
      <c r="E943" s="141" t="n"/>
      <c r="F943" s="141" t="n"/>
      <c r="G943" s="143" t="n"/>
      <c r="H943" s="27" t="n"/>
    </row>
    <row r="944" ht="17.25" customHeight="1" s="322">
      <c r="A944" s="27" t="n"/>
      <c r="B944" s="506" t="n"/>
      <c r="C944" s="141" t="n"/>
      <c r="D944" s="141" t="n"/>
      <c r="E944" s="141" t="n"/>
      <c r="F944" s="141" t="n"/>
      <c r="G944" s="143" t="n"/>
      <c r="H944" s="27" t="n"/>
    </row>
    <row r="945" ht="17.25" customHeight="1" s="322">
      <c r="A945" s="27" t="n"/>
      <c r="B945" s="506" t="n"/>
      <c r="C945" s="141" t="n"/>
      <c r="D945" s="141" t="n"/>
      <c r="E945" s="141" t="n"/>
      <c r="F945" s="141" t="n"/>
      <c r="G945" s="143" t="n"/>
      <c r="H945" s="27" t="n"/>
    </row>
    <row r="946" ht="17.25" customHeight="1" s="322">
      <c r="A946" s="27" t="n"/>
      <c r="B946" s="506" t="n"/>
      <c r="C946" s="141" t="n"/>
      <c r="D946" s="141" t="n"/>
      <c r="E946" s="141" t="n"/>
      <c r="F946" s="141" t="n"/>
      <c r="G946" s="143" t="n"/>
      <c r="H946" s="27" t="n"/>
    </row>
    <row r="947" ht="17.25" customHeight="1" s="322">
      <c r="A947" s="27" t="n"/>
      <c r="B947" s="506" t="n"/>
      <c r="C947" s="141" t="n"/>
      <c r="D947" s="141" t="n"/>
      <c r="E947" s="141" t="n"/>
      <c r="F947" s="141" t="n"/>
      <c r="G947" s="143" t="n"/>
      <c r="H947" s="27" t="n"/>
    </row>
    <row r="948" ht="17.25" customHeight="1" s="322">
      <c r="A948" s="27" t="n"/>
      <c r="B948" s="506" t="n"/>
      <c r="C948" s="141" t="n"/>
      <c r="D948" s="141" t="n"/>
      <c r="E948" s="141" t="n"/>
      <c r="F948" s="141" t="n"/>
      <c r="G948" s="143" t="n"/>
      <c r="H948" s="27" t="n"/>
    </row>
    <row r="949" ht="17.25" customHeight="1" s="322">
      <c r="A949" s="27" t="n"/>
      <c r="B949" s="506" t="n"/>
      <c r="C949" s="141" t="n"/>
      <c r="D949" s="141" t="n"/>
      <c r="E949" s="141" t="n"/>
      <c r="F949" s="141" t="n"/>
      <c r="G949" s="143" t="n"/>
      <c r="H949" s="27" t="n"/>
    </row>
    <row r="950" ht="17.25" customHeight="1" s="322">
      <c r="A950" s="27" t="n"/>
      <c r="B950" s="506" t="n"/>
      <c r="C950" s="141" t="n"/>
      <c r="D950" s="141" t="n"/>
      <c r="E950" s="141" t="n"/>
      <c r="F950" s="141" t="n"/>
      <c r="G950" s="143" t="n"/>
      <c r="H950" s="27" t="n"/>
    </row>
    <row r="951" ht="17.25" customHeight="1" s="322">
      <c r="A951" s="27" t="n"/>
      <c r="B951" s="506" t="n"/>
      <c r="C951" s="141" t="n"/>
      <c r="D951" s="141" t="n"/>
      <c r="E951" s="141" t="n"/>
      <c r="F951" s="141" t="n"/>
      <c r="G951" s="143" t="n"/>
      <c r="H951" s="27" t="n"/>
    </row>
    <row r="952" ht="17.25" customHeight="1" s="322">
      <c r="A952" s="27" t="n"/>
      <c r="B952" s="506" t="n"/>
      <c r="C952" s="141" t="n"/>
      <c r="D952" s="141" t="n"/>
      <c r="E952" s="141" t="n"/>
      <c r="F952" s="141" t="n"/>
      <c r="G952" s="143" t="n"/>
      <c r="H952" s="27" t="n"/>
    </row>
    <row r="953" ht="17.25" customHeight="1" s="322">
      <c r="A953" s="27" t="n"/>
      <c r="B953" s="506" t="n"/>
      <c r="C953" s="141" t="n"/>
      <c r="D953" s="141" t="n"/>
      <c r="E953" s="141" t="n"/>
      <c r="F953" s="141" t="n"/>
      <c r="G953" s="143" t="n"/>
      <c r="H953" s="27" t="n"/>
    </row>
    <row r="954" ht="17.25" customHeight="1" s="322">
      <c r="A954" s="27" t="n"/>
      <c r="B954" s="506" t="n"/>
      <c r="C954" s="141" t="n"/>
      <c r="D954" s="141" t="n"/>
      <c r="E954" s="141" t="n"/>
      <c r="F954" s="141" t="n"/>
      <c r="G954" s="143" t="n"/>
      <c r="H954" s="27" t="n"/>
    </row>
    <row r="955" ht="17.25" customHeight="1" s="322">
      <c r="A955" s="27" t="n"/>
      <c r="B955" s="506" t="n"/>
      <c r="C955" s="141" t="n"/>
      <c r="D955" s="141" t="n"/>
      <c r="E955" s="141" t="n"/>
      <c r="F955" s="141" t="n"/>
      <c r="G955" s="143" t="n"/>
      <c r="H955" s="27" t="n"/>
    </row>
    <row r="956" ht="17.25" customHeight="1" s="322">
      <c r="A956" s="27" t="n"/>
      <c r="B956" s="506" t="n"/>
      <c r="C956" s="141" t="n"/>
      <c r="D956" s="141" t="n"/>
      <c r="E956" s="141" t="n"/>
      <c r="F956" s="141" t="n"/>
      <c r="G956" s="143" t="n"/>
      <c r="H956" s="27" t="n"/>
    </row>
    <row r="957" ht="17.25" customHeight="1" s="322">
      <c r="A957" s="27" t="n"/>
      <c r="B957" s="506" t="n"/>
      <c r="C957" s="141" t="n"/>
      <c r="D957" s="141" t="n"/>
      <c r="E957" s="141" t="n"/>
      <c r="F957" s="141" t="n"/>
      <c r="G957" s="143" t="n"/>
      <c r="H957" s="27" t="n"/>
    </row>
    <row r="958" ht="17.25" customHeight="1" s="322">
      <c r="A958" s="27" t="n"/>
      <c r="B958" s="506" t="n"/>
      <c r="C958" s="141" t="n"/>
      <c r="D958" s="141" t="n"/>
      <c r="E958" s="141" t="n"/>
      <c r="F958" s="141" t="n"/>
      <c r="G958" s="143" t="n"/>
      <c r="H958" s="27" t="n"/>
    </row>
    <row r="959" ht="17.25" customHeight="1" s="322">
      <c r="A959" s="27" t="n"/>
      <c r="B959" s="506" t="n"/>
      <c r="C959" s="141" t="n"/>
      <c r="D959" s="141" t="n"/>
      <c r="E959" s="141" t="n"/>
      <c r="F959" s="141" t="n"/>
      <c r="G959" s="143" t="n"/>
      <c r="H959" s="27" t="n"/>
    </row>
    <row r="960" ht="17.25" customHeight="1" s="322">
      <c r="A960" s="27" t="n"/>
      <c r="B960" s="506" t="n"/>
      <c r="C960" s="141" t="n"/>
      <c r="D960" s="141" t="n"/>
      <c r="E960" s="141" t="n"/>
      <c r="F960" s="141" t="n"/>
      <c r="G960" s="143" t="n"/>
      <c r="H960" s="27" t="n"/>
    </row>
    <row r="961" ht="17.25" customHeight="1" s="322">
      <c r="A961" s="27" t="n"/>
      <c r="B961" s="506" t="n"/>
      <c r="C961" s="141" t="n"/>
      <c r="D961" s="141" t="n"/>
      <c r="E961" s="141" t="n"/>
      <c r="F961" s="141" t="n"/>
      <c r="G961" s="143" t="n"/>
      <c r="H961" s="27" t="n"/>
    </row>
    <row r="962" ht="17.25" customHeight="1" s="322">
      <c r="A962" s="27" t="n"/>
      <c r="B962" s="506" t="n"/>
      <c r="C962" s="141" t="n"/>
      <c r="D962" s="141" t="n"/>
      <c r="E962" s="141" t="n"/>
      <c r="F962" s="141" t="n"/>
      <c r="G962" s="143" t="n"/>
      <c r="H962" s="27" t="n"/>
    </row>
    <row r="963" ht="17.25" customHeight="1" s="322">
      <c r="A963" s="27" t="n"/>
      <c r="B963" s="506" t="n"/>
      <c r="C963" s="141" t="n"/>
      <c r="D963" s="141" t="n"/>
      <c r="E963" s="141" t="n"/>
      <c r="F963" s="141" t="n"/>
      <c r="G963" s="143" t="n"/>
      <c r="H963" s="27" t="n"/>
    </row>
    <row r="964" ht="17.25" customHeight="1" s="322">
      <c r="A964" s="27" t="n"/>
      <c r="B964" s="506" t="n"/>
      <c r="C964" s="141" t="n"/>
      <c r="D964" s="141" t="n"/>
      <c r="E964" s="141" t="n"/>
      <c r="F964" s="141" t="n"/>
      <c r="G964" s="143" t="n"/>
      <c r="H964" s="27" t="n"/>
    </row>
    <row r="965" ht="17.25" customHeight="1" s="322">
      <c r="A965" s="27" t="n"/>
      <c r="B965" s="506" t="n"/>
      <c r="C965" s="141" t="n"/>
      <c r="D965" s="141" t="n"/>
      <c r="E965" s="141" t="n"/>
      <c r="F965" s="141" t="n"/>
      <c r="G965" s="143" t="n"/>
      <c r="H965" s="27" t="n"/>
    </row>
    <row r="966" ht="17.25" customHeight="1" s="322">
      <c r="A966" s="27" t="n"/>
      <c r="B966" s="506" t="n"/>
      <c r="C966" s="141" t="n"/>
      <c r="D966" s="141" t="n"/>
      <c r="E966" s="141" t="n"/>
      <c r="F966" s="141" t="n"/>
      <c r="G966" s="143" t="n"/>
      <c r="H966" s="27" t="n"/>
    </row>
    <row r="967" ht="17.25" customHeight="1" s="322">
      <c r="A967" s="27" t="n"/>
      <c r="B967" s="506" t="n"/>
      <c r="C967" s="141" t="n"/>
      <c r="D967" s="141" t="n"/>
      <c r="E967" s="141" t="n"/>
      <c r="F967" s="141" t="n"/>
      <c r="G967" s="143" t="n"/>
      <c r="H967" s="27" t="n"/>
    </row>
    <row r="968" ht="17.25" customHeight="1" s="322">
      <c r="A968" s="27" t="n"/>
      <c r="B968" s="506" t="n"/>
      <c r="C968" s="141" t="n"/>
      <c r="D968" s="141" t="n"/>
      <c r="E968" s="141" t="n"/>
      <c r="F968" s="141" t="n"/>
      <c r="G968" s="143" t="n"/>
      <c r="H968" s="27" t="n"/>
    </row>
    <row r="969" ht="17.25" customHeight="1" s="322">
      <c r="A969" s="27" t="n"/>
      <c r="B969" s="506" t="n"/>
      <c r="C969" s="141" t="n"/>
      <c r="D969" s="141" t="n"/>
      <c r="E969" s="141" t="n"/>
      <c r="F969" s="141" t="n"/>
      <c r="G969" s="143" t="n"/>
      <c r="H969" s="27" t="n"/>
    </row>
    <row r="970" ht="17.25" customHeight="1" s="322">
      <c r="A970" s="27" t="n"/>
      <c r="B970" s="506" t="n"/>
      <c r="C970" s="141" t="n"/>
      <c r="D970" s="141" t="n"/>
      <c r="E970" s="141" t="n"/>
      <c r="F970" s="141" t="n"/>
      <c r="G970" s="143" t="n"/>
      <c r="H970" s="27" t="n"/>
    </row>
    <row r="971" ht="17.25" customHeight="1" s="322">
      <c r="A971" s="27" t="n"/>
      <c r="B971" s="506" t="n"/>
      <c r="C971" s="141" t="n"/>
      <c r="D971" s="141" t="n"/>
      <c r="E971" s="141" t="n"/>
      <c r="F971" s="141" t="n"/>
      <c r="G971" s="143" t="n"/>
      <c r="H971" s="27" t="n"/>
    </row>
    <row r="972" ht="17.25" customHeight="1" s="322">
      <c r="A972" s="27" t="n"/>
      <c r="B972" s="506" t="n"/>
      <c r="C972" s="141" t="n"/>
      <c r="D972" s="141" t="n"/>
      <c r="E972" s="141" t="n"/>
      <c r="F972" s="141" t="n"/>
      <c r="G972" s="143" t="n"/>
      <c r="H972" s="27" t="n"/>
    </row>
    <row r="973" ht="17.25" customHeight="1" s="322">
      <c r="A973" s="27" t="n"/>
      <c r="B973" s="506" t="n"/>
      <c r="C973" s="141" t="n"/>
      <c r="D973" s="141" t="n"/>
      <c r="E973" s="141" t="n"/>
      <c r="F973" s="141" t="n"/>
      <c r="G973" s="143" t="n"/>
      <c r="H973" s="27" t="n"/>
    </row>
    <row r="974" ht="17.25" customHeight="1" s="322">
      <c r="A974" s="27" t="n"/>
      <c r="B974" s="506" t="n"/>
      <c r="C974" s="141" t="n"/>
      <c r="D974" s="141" t="n"/>
      <c r="E974" s="141" t="n"/>
      <c r="F974" s="141" t="n"/>
      <c r="G974" s="143" t="n"/>
      <c r="H974" s="27" t="n"/>
    </row>
    <row r="975" ht="17.25" customHeight="1" s="322">
      <c r="A975" s="27" t="n"/>
      <c r="B975" s="506" t="n"/>
      <c r="C975" s="141" t="n"/>
      <c r="D975" s="141" t="n"/>
      <c r="E975" s="141" t="n"/>
      <c r="F975" s="141" t="n"/>
      <c r="G975" s="143" t="n"/>
      <c r="H975" s="27" t="n"/>
    </row>
    <row r="976" ht="17.25" customHeight="1" s="322">
      <c r="A976" s="27" t="n"/>
      <c r="B976" s="506" t="n"/>
      <c r="C976" s="141" t="n"/>
      <c r="D976" s="141" t="n"/>
      <c r="E976" s="141" t="n"/>
      <c r="F976" s="141" t="n"/>
      <c r="G976" s="143" t="n"/>
      <c r="H976" s="27" t="n"/>
    </row>
    <row r="977" ht="17.25" customHeight="1" s="322">
      <c r="A977" s="27" t="n"/>
      <c r="B977" s="506" t="n"/>
      <c r="C977" s="141" t="n"/>
      <c r="D977" s="141" t="n"/>
      <c r="E977" s="141" t="n"/>
      <c r="F977" s="141" t="n"/>
      <c r="G977" s="143" t="n"/>
      <c r="H977" s="27" t="n"/>
    </row>
    <row r="978" ht="17.25" customHeight="1" s="322">
      <c r="A978" s="27" t="n"/>
      <c r="B978" s="506" t="n"/>
      <c r="C978" s="141" t="n"/>
      <c r="D978" s="141" t="n"/>
      <c r="E978" s="141" t="n"/>
      <c r="F978" s="141" t="n"/>
      <c r="G978" s="143" t="n"/>
      <c r="H978" s="27" t="n"/>
    </row>
    <row r="979" ht="17.25" customHeight="1" s="322">
      <c r="A979" s="27" t="n"/>
      <c r="B979" s="506" t="n"/>
      <c r="C979" s="141" t="n"/>
      <c r="D979" s="141" t="n"/>
      <c r="E979" s="141" t="n"/>
      <c r="F979" s="141" t="n"/>
      <c r="G979" s="143" t="n"/>
      <c r="H979" s="27" t="n"/>
    </row>
    <row r="980" ht="17.25" customHeight="1" s="322">
      <c r="A980" s="27" t="n"/>
      <c r="B980" s="506" t="n"/>
      <c r="C980" s="141" t="n"/>
      <c r="D980" s="141" t="n"/>
      <c r="E980" s="141" t="n"/>
      <c r="F980" s="141" t="n"/>
      <c r="G980" s="143" t="n"/>
      <c r="H980" s="27" t="n"/>
    </row>
    <row r="981" ht="17.25" customHeight="1" s="322">
      <c r="A981" s="27" t="n"/>
      <c r="B981" s="506" t="n"/>
      <c r="C981" s="141" t="n"/>
      <c r="D981" s="141" t="n"/>
      <c r="E981" s="141" t="n"/>
      <c r="F981" s="141" t="n"/>
      <c r="G981" s="143" t="n"/>
      <c r="H981" s="27" t="n"/>
    </row>
    <row r="982" ht="17.25" customHeight="1" s="322">
      <c r="A982" s="27" t="n"/>
      <c r="B982" s="506" t="n"/>
      <c r="C982" s="141" t="n"/>
      <c r="D982" s="141" t="n"/>
      <c r="E982" s="141" t="n"/>
      <c r="F982" s="141" t="n"/>
      <c r="G982" s="143" t="n"/>
      <c r="H982" s="27" t="n"/>
    </row>
    <row r="983" ht="17.25" customHeight="1" s="322">
      <c r="A983" s="27" t="n"/>
      <c r="B983" s="506" t="n"/>
      <c r="C983" s="141" t="n"/>
      <c r="D983" s="141" t="n"/>
      <c r="E983" s="141" t="n"/>
      <c r="F983" s="141" t="n"/>
      <c r="G983" s="143" t="n"/>
      <c r="H983" s="27" t="n"/>
    </row>
    <row r="984" ht="17.25" customHeight="1" s="322">
      <c r="A984" s="27" t="n"/>
      <c r="B984" s="506" t="n"/>
      <c r="C984" s="141" t="n"/>
      <c r="D984" s="141" t="n"/>
      <c r="E984" s="141" t="n"/>
      <c r="F984" s="141" t="n"/>
      <c r="G984" s="143" t="n"/>
      <c r="H984" s="27" t="n"/>
    </row>
    <row r="985" ht="17.25" customHeight="1" s="322">
      <c r="A985" s="27" t="n"/>
      <c r="B985" s="506" t="n"/>
      <c r="C985" s="141" t="n"/>
      <c r="D985" s="141" t="n"/>
      <c r="E985" s="141" t="n"/>
      <c r="F985" s="141" t="n"/>
      <c r="G985" s="143" t="n"/>
      <c r="H985" s="27" t="n"/>
    </row>
    <row r="986" ht="17.25" customHeight="1" s="322">
      <c r="A986" s="27" t="n"/>
      <c r="B986" s="506" t="n"/>
      <c r="C986" s="141" t="n"/>
      <c r="D986" s="141" t="n"/>
      <c r="E986" s="141" t="n"/>
      <c r="F986" s="141" t="n"/>
      <c r="G986" s="143" t="n"/>
      <c r="H986" s="27" t="n"/>
    </row>
    <row r="987" ht="17.25" customHeight="1" s="322">
      <c r="A987" s="27" t="n"/>
      <c r="B987" s="506" t="n"/>
      <c r="C987" s="141" t="n"/>
      <c r="D987" s="141" t="n"/>
      <c r="E987" s="141" t="n"/>
      <c r="F987" s="141" t="n"/>
      <c r="G987" s="143" t="n"/>
      <c r="H987" s="27" t="n"/>
    </row>
    <row r="988" ht="17.25" customHeight="1" s="322">
      <c r="A988" s="27" t="n"/>
      <c r="B988" s="506" t="n"/>
      <c r="C988" s="141" t="n"/>
      <c r="D988" s="141" t="n"/>
      <c r="E988" s="141" t="n"/>
      <c r="F988" s="141" t="n"/>
      <c r="G988" s="143" t="n"/>
      <c r="H988" s="27" t="n"/>
    </row>
    <row r="989" ht="17.25" customHeight="1" s="322">
      <c r="A989" s="27" t="n"/>
      <c r="B989" s="506" t="n"/>
      <c r="C989" s="141" t="n"/>
      <c r="D989" s="141" t="n"/>
      <c r="E989" s="141" t="n"/>
      <c r="F989" s="141" t="n"/>
      <c r="G989" s="143" t="n"/>
      <c r="H989" s="27" t="n"/>
    </row>
    <row r="990" ht="17.25" customHeight="1" s="322">
      <c r="A990" s="27" t="n"/>
      <c r="B990" s="506" t="n"/>
      <c r="C990" s="141" t="n"/>
      <c r="D990" s="141" t="n"/>
      <c r="E990" s="141" t="n"/>
      <c r="F990" s="141" t="n"/>
      <c r="G990" s="143" t="n"/>
      <c r="H990" s="27" t="n"/>
    </row>
    <row r="991" ht="17.25" customHeight="1" s="322">
      <c r="A991" s="27" t="n"/>
      <c r="B991" s="506" t="n"/>
      <c r="C991" s="141" t="n"/>
      <c r="D991" s="141" t="n"/>
      <c r="E991" s="141" t="n"/>
      <c r="F991" s="141" t="n"/>
      <c r="G991" s="143" t="n"/>
      <c r="H991" s="27" t="n"/>
    </row>
    <row r="992" ht="17.25" customHeight="1" s="322">
      <c r="A992" s="27" t="n"/>
      <c r="B992" s="506" t="n"/>
      <c r="C992" s="141" t="n"/>
      <c r="D992" s="141" t="n"/>
      <c r="E992" s="141" t="n"/>
      <c r="F992" s="141" t="n"/>
      <c r="G992" s="143" t="n"/>
      <c r="H992" s="27" t="n"/>
    </row>
    <row r="993" ht="17.25" customHeight="1" s="322">
      <c r="A993" s="27" t="n"/>
      <c r="B993" s="506" t="n"/>
      <c r="C993" s="141" t="n"/>
      <c r="D993" s="141" t="n"/>
      <c r="E993" s="141" t="n"/>
      <c r="F993" s="141" t="n"/>
      <c r="G993" s="143" t="n"/>
      <c r="H993" s="27" t="n"/>
    </row>
    <row r="994" ht="17.25" customHeight="1" s="322">
      <c r="A994" s="27" t="n"/>
      <c r="B994" s="506" t="n"/>
      <c r="C994" s="141" t="n"/>
      <c r="D994" s="141" t="n"/>
      <c r="E994" s="141" t="n"/>
      <c r="F994" s="141" t="n"/>
      <c r="G994" s="143" t="n"/>
      <c r="H994" s="27" t="n"/>
    </row>
    <row r="995" ht="17.25" customHeight="1" s="322">
      <c r="A995" s="27" t="n"/>
      <c r="B995" s="506" t="n"/>
      <c r="C995" s="141" t="n"/>
      <c r="D995" s="141" t="n"/>
      <c r="E995" s="141" t="n"/>
      <c r="F995" s="141" t="n"/>
      <c r="G995" s="143" t="n"/>
      <c r="H995" s="27" t="n"/>
    </row>
    <row r="996" ht="17.25" customHeight="1" s="322">
      <c r="A996" s="27" t="n"/>
      <c r="B996" s="506" t="n"/>
      <c r="C996" s="141" t="n"/>
      <c r="D996" s="141" t="n"/>
      <c r="E996" s="141" t="n"/>
      <c r="F996" s="141" t="n"/>
      <c r="G996" s="143" t="n"/>
      <c r="H996" s="27" t="n"/>
    </row>
    <row r="997" ht="17.25" customHeight="1" s="322">
      <c r="A997" s="27" t="n"/>
      <c r="B997" s="506" t="n"/>
      <c r="C997" s="141" t="n"/>
      <c r="D997" s="141" t="n"/>
      <c r="E997" s="141" t="n"/>
      <c r="F997" s="141" t="n"/>
      <c r="G997" s="143" t="n"/>
      <c r="H997" s="27" t="n"/>
    </row>
    <row r="998" ht="17.25" customHeight="1" s="322">
      <c r="A998" s="27" t="n"/>
      <c r="B998" s="506" t="n"/>
      <c r="C998" s="141" t="n"/>
      <c r="D998" s="141" t="n"/>
      <c r="E998" s="141" t="n"/>
      <c r="F998" s="141" t="n"/>
      <c r="G998" s="143" t="n"/>
      <c r="H998" s="27" t="n"/>
    </row>
    <row r="999" ht="17.25" customHeight="1" s="322">
      <c r="A999" s="27" t="n"/>
      <c r="B999" s="506" t="n"/>
      <c r="C999" s="141" t="n"/>
      <c r="D999" s="141" t="n"/>
      <c r="E999" s="141" t="n"/>
      <c r="F999" s="141" t="n"/>
      <c r="G999" s="143" t="n"/>
      <c r="H999" s="27" t="n"/>
    </row>
    <row r="1000" ht="17.25" customHeight="1" s="322">
      <c r="A1000" s="27" t="n"/>
      <c r="B1000" s="506" t="n"/>
      <c r="C1000" s="141" t="n"/>
      <c r="D1000" s="141" t="n"/>
      <c r="E1000" s="141" t="n"/>
      <c r="F1000" s="141" t="n"/>
      <c r="G1000" s="143" t="n"/>
      <c r="H1000" s="27" t="n"/>
    </row>
  </sheetData>
  <mergeCells count="3">
    <mergeCell ref="B1:F2"/>
    <mergeCell ref="B7:G7"/>
    <mergeCell ref="B10:C10"/>
  </mergeCells>
  <conditionalFormatting sqref="D10:E10">
    <cfRule type="cellIs" priority="5" operator="lessThan" dxfId="5">
      <formula>0</formula>
    </cfRule>
    <cfRule type="cellIs" priority="6" operator="greaterThan" dxfId="4">
      <formula>0</formula>
    </cfRule>
  </conditionalFormatting>
  <conditionalFormatting sqref="F28:F1000">
    <cfRule type="expression" priority="1" dxfId="3">
      <formula>AND(F28=MAX(F$28:F$1000),F28&gt;0)</formula>
    </cfRule>
    <cfRule type="expression" priority="2" dxfId="2">
      <formula>AND(F28=MIN(F$28:F$1000),F28&gt;0)</formula>
    </cfRule>
  </conditionalFormatting>
  <conditionalFormatting sqref="F29:F1000">
    <cfRule type="expression" priority="3" dxfId="1">
      <formula>F29&gt;F27</formula>
    </cfRule>
    <cfRule type="expression" priority="4" dxfId="0">
      <formula>F29&lt;F27</formula>
    </cfRule>
  </conditionalFormatting>
  <conditionalFormatting sqref="G15">
    <cfRule type="colorScale" priority="7">
      <colorScale>
        <cfvo type="min"/>
        <cfvo type="max"/>
        <color rgb="FF57BB8A"/>
        <color rgb="FFFFFFFF"/>
      </colorScale>
    </cfRule>
  </conditionalFormatting>
  <dataValidations count="1">
    <dataValidation sqref="G15" showDropDown="0" showInputMessage="1" showErrorMessage="1" allowBlank="1" prompt="Click and enter a value from the list of items" type="list">
      <formula1>"1 Month,3 Months,6 Months,12 Months,36 Months"</formula1>
    </dataValidation>
  </dataValidations>
  <hyperlinks>
    <hyperlink xmlns:r="http://schemas.openxmlformats.org/officeDocument/2006/relationships" ref="B1" r:id="rId1"/>
    <hyperlink xmlns:r="http://schemas.openxmlformats.org/officeDocument/2006/relationships" ref="G2" r:id="rId2"/>
  </hyperlinks>
  <pageMargins left="0.7" right="0.7" top="0.75" bottom="0.75" header="0.3" footer="0.3"/>
  <drawing xmlns:r="http://schemas.openxmlformats.org/officeDocument/2006/relationships" r:id="rId3"/>
</worksheet>
</file>

<file path=xl/worksheets/sheet24.xml><?xml version="1.0" encoding="utf-8"?>
<worksheet xmlns="http://schemas.openxmlformats.org/spreadsheetml/2006/main">
  <sheetPr>
    <outlinePr summaryBelow="0" summaryRight="0"/>
    <pageSetUpPr/>
  </sheetPr>
  <dimension ref="A1:H1000"/>
  <sheetViews>
    <sheetView showGridLines="0" workbookViewId="0">
      <selection activeCell="A1" sqref="A1"/>
    </sheetView>
  </sheetViews>
  <sheetFormatPr baseColWidth="8" defaultColWidth="12.5703125" defaultRowHeight="15.75" customHeight="1"/>
  <cols>
    <col width="5.42578125" customWidth="1" style="322" min="1" max="1"/>
    <col width="15.7109375" customWidth="1" style="322" min="2" max="2"/>
    <col width="5.42578125" customWidth="1" style="322" min="8" max="8"/>
  </cols>
  <sheetData>
    <row r="1" ht="22.5" customHeight="1" s="322">
      <c r="A1" s="69" t="n"/>
      <c r="B1" s="455" t="inlineStr">
        <is>
          <t>← 관심종목으로 돌아가기</t>
        </is>
      </c>
      <c r="G1" s="72" t="inlineStr">
        <is>
          <t>제공:</t>
        </is>
      </c>
      <c r="H1" s="69" t="n"/>
    </row>
    <row r="2" ht="22.5" customHeight="1" s="322">
      <c r="A2" s="69" t="n"/>
      <c r="G2" s="77" t="inlineStr">
        <is>
          <t>Google Finance</t>
        </is>
      </c>
      <c r="H2" s="69" t="n"/>
    </row>
    <row r="3" ht="11.25" customHeight="1" s="322">
      <c r="A3" s="1" t="n"/>
      <c r="B3" s="1" t="n"/>
      <c r="C3" s="1" t="n"/>
      <c r="D3" s="1" t="n"/>
      <c r="E3" s="1" t="n"/>
      <c r="F3" s="1" t="n"/>
      <c r="G3" s="1" t="n"/>
      <c r="H3" s="1" t="n"/>
    </row>
    <row r="4" ht="15.75" customHeight="1" s="322">
      <c r="A4" s="1" t="n"/>
      <c r="B4" s="80" t="inlineStr">
        <is>
          <t>IEF</t>
        </is>
      </c>
      <c r="C4" s="81" t="inlineStr">
        <is>
          <t>&lt;&lt; 종목코드 입력</t>
        </is>
      </c>
      <c r="D4" s="1" t="n"/>
      <c r="E4" s="1" t="n"/>
      <c r="F4" s="1" t="n"/>
      <c r="G4" s="1" t="n"/>
      <c r="H4" s="1" t="n"/>
    </row>
    <row r="5" ht="15.75" customHeight="1" s="322">
      <c r="A5" s="1" t="n"/>
      <c r="B5" s="82" t="n"/>
      <c r="C5" s="81" t="inlineStr">
        <is>
          <t>&lt;&lt; 필요한 경우 거래소 입력(예: NASDAQ, NYSE)</t>
        </is>
      </c>
      <c r="D5" s="85" t="n"/>
      <c r="E5" s="1" t="n"/>
      <c r="F5" s="1" t="n"/>
      <c r="G5" s="1" t="n"/>
      <c r="H5" s="1" t="n"/>
    </row>
    <row r="6" ht="11.25" customHeight="1" s="322">
      <c r="A6" s="27" t="n"/>
      <c r="B6" s="27" t="n"/>
      <c r="C6" s="27" t="n"/>
      <c r="D6" s="27" t="n"/>
      <c r="E6" s="27" t="n"/>
      <c r="F6" s="27" t="n"/>
      <c r="G6" s="27" t="n"/>
      <c r="H6" s="27" t="n"/>
    </row>
    <row r="7" ht="20.25" customHeight="1" s="322">
      <c r="A7" s="12" t="n"/>
      <c r="B7" s="501">
        <f>IFERROR(__xludf.DUMMYFUNCTION("GOOGLEFINANCE(B18,""name"")"),"iShares 7-10 Year Treasury Bond ETF")</f>
        <v/>
      </c>
      <c r="H7" s="12" t="n"/>
    </row>
    <row r="8" ht="11.25" customHeight="1" s="322">
      <c r="A8" s="12" t="n"/>
      <c r="B8" s="12" t="n"/>
      <c r="C8" s="12" t="n"/>
      <c r="D8" s="12" t="n"/>
      <c r="E8" s="12" t="n"/>
      <c r="F8" s="12" t="n"/>
      <c r="G8" s="12" t="n"/>
      <c r="H8" s="12" t="n"/>
    </row>
    <row r="9" ht="12" customHeight="1" s="322">
      <c r="A9" s="1" t="n"/>
      <c r="B9" s="90" t="inlineStr">
        <is>
          <t>현재가</t>
        </is>
      </c>
      <c r="C9" s="1" t="n"/>
      <c r="D9" s="90" t="inlineStr">
        <is>
          <t>전일대비</t>
        </is>
      </c>
      <c r="E9" s="90" t="inlineStr">
        <is>
          <t>등락률(%)</t>
        </is>
      </c>
      <c r="F9" s="1" t="n"/>
      <c r="G9" s="1" t="n"/>
      <c r="H9" s="1" t="n"/>
    </row>
    <row r="10" ht="31.5" customHeight="1" s="322">
      <c r="A10" s="12" t="n"/>
      <c r="B10" s="502">
        <f>IFERROR(__xludf.DUMMYFUNCTION("GOOGLEFINANCE(B18,""price"")"),93.17)</f>
        <v/>
      </c>
      <c r="D10" s="503">
        <f>IFERROR(__xludf.DUMMYFUNCTION("IFERROR(GOOGLEFINANCE(B18,""change""),""-"")"),-0.39)</f>
        <v/>
      </c>
      <c r="E10" s="504">
        <f>IFERROR(__xludf.DUMMYFUNCTION("IFERROR(GOOGLEFINANCE(B18,""changepct"")/100,""-"")"),-0.0042)</f>
        <v/>
      </c>
      <c r="F10" s="12" t="n"/>
      <c r="G10" s="12" t="n"/>
      <c r="H10" s="12" t="n"/>
    </row>
    <row r="11" ht="11.25" customHeight="1" s="322">
      <c r="A11" s="12" t="n"/>
      <c r="B11" s="106" t="n"/>
      <c r="C11" s="106" t="n"/>
      <c r="D11" s="106" t="n"/>
      <c r="E11" s="106" t="n"/>
      <c r="F11" s="106" t="n"/>
      <c r="G11" s="106" t="n"/>
      <c r="H11" s="12" t="n"/>
    </row>
    <row r="12" ht="11.25" customHeight="1" s="322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 ht="12" customHeight="1" s="322">
      <c r="A13" s="1" t="n"/>
      <c r="B13" s="90" t="inlineStr">
        <is>
          <t>시가총액</t>
        </is>
      </c>
      <c r="C13" s="90" t="inlineStr">
        <is>
          <t>PER</t>
        </is>
      </c>
      <c r="D13" s="90" t="inlineStr">
        <is>
          <t>베타계수</t>
        </is>
      </c>
      <c r="E13" s="1" t="n"/>
      <c r="F13" s="1" t="n"/>
      <c r="G13" s="1" t="n"/>
      <c r="H13" s="1" t="n"/>
    </row>
    <row r="14">
      <c r="A14" s="113" t="n"/>
      <c r="B14" s="505">
        <f>IFERROR(__xludf.DUMMYFUNCTION("IFERROR(GOOGLEFINANCE(B18,""marketcap""),""-"")"),15913426370)</f>
        <v/>
      </c>
      <c r="C14" s="115">
        <f>IFERROR(__xludf.DUMMYFUNCTION("IFERROR(GOOGLEFINANCE(B18,""pe""),""-"")"),"-")</f>
        <v/>
      </c>
      <c r="D14" s="115">
        <f>IFERROR(__xludf.DUMMYFUNCTION("IFERROR(GOOGLEFINANCE(B18,""beta""),""-"")"),0.26)</f>
        <v/>
      </c>
      <c r="E14" s="113" t="n"/>
      <c r="F14" s="113" t="n"/>
      <c r="G14" s="113" t="n"/>
      <c r="H14" s="113" t="n"/>
    </row>
    <row r="15" ht="15.75" customHeight="1" s="322">
      <c r="A15" s="12" t="n"/>
      <c r="B15" s="12" t="n"/>
      <c r="C15" s="12" t="n"/>
      <c r="D15" s="12" t="n"/>
      <c r="E15" s="12" t="n"/>
      <c r="F15" s="12" t="n"/>
      <c r="G15" s="123" t="inlineStr">
        <is>
          <t>12 Months</t>
        </is>
      </c>
      <c r="H15" s="12" t="n"/>
    </row>
    <row r="16" ht="15.75" customHeight="1" s="322">
      <c r="A16" s="12" t="n"/>
      <c r="B16" s="12" t="n"/>
      <c r="C16" s="12" t="n"/>
      <c r="D16" s="12" t="n"/>
      <c r="E16" s="12" t="n"/>
      <c r="F16" s="12" t="n"/>
      <c r="G16" s="12" t="n"/>
      <c r="H16" s="12" t="n"/>
    </row>
    <row r="17" ht="15.75" customHeight="1" s="322">
      <c r="A17" s="12" t="n"/>
      <c r="B17" s="12" t="n"/>
      <c r="C17" s="12" t="n"/>
      <c r="D17" s="12" t="n"/>
      <c r="E17" s="12" t="n"/>
      <c r="F17" s="12" t="n"/>
      <c r="G17" s="12" t="n"/>
      <c r="H17" s="12" t="n"/>
    </row>
    <row r="18" ht="15.75" customHeight="1" s="322">
      <c r="A18" s="12" t="n"/>
      <c r="B18" s="127">
        <f>IF(ISBLANK(B5),"",B5&amp;":")&amp;B4</f>
        <v/>
      </c>
      <c r="C18" s="12" t="n"/>
      <c r="D18" s="12" t="n"/>
      <c r="E18" s="12" t="n"/>
      <c r="F18" s="12" t="n"/>
      <c r="G18" s="12" t="n"/>
      <c r="H18" s="12" t="n"/>
    </row>
    <row r="19" ht="15.75" customHeight="1" s="322">
      <c r="A19" s="12" t="n"/>
      <c r="B19" s="12" t="n"/>
      <c r="C19" s="12" t="n"/>
      <c r="D19" s="12" t="n"/>
      <c r="E19" s="12" t="n"/>
      <c r="F19" s="12" t="n"/>
      <c r="G19" s="12" t="n"/>
      <c r="H19" s="12" t="n"/>
    </row>
    <row r="20" ht="15.75" customHeight="1" s="322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1" ht="15.75" customHeight="1" s="322">
      <c r="A21" s="12" t="n"/>
      <c r="B21" s="12" t="n"/>
      <c r="C21" s="12" t="n"/>
      <c r="D21" s="12" t="n"/>
      <c r="E21" s="12" t="n"/>
      <c r="F21" s="12" t="n"/>
      <c r="G21" s="12" t="n"/>
      <c r="H21" s="12" t="n"/>
    </row>
    <row r="22" ht="15.75" customHeight="1" s="322">
      <c r="A22" s="12" t="n"/>
      <c r="B22" s="12" t="n"/>
      <c r="C22" s="12" t="n"/>
      <c r="D22" s="12" t="n"/>
      <c r="E22" s="12" t="n"/>
      <c r="F22" s="12" t="n"/>
      <c r="G22" s="12" t="n"/>
      <c r="H22" s="12" t="n"/>
    </row>
    <row r="23" ht="15.75" customHeight="1" s="322">
      <c r="A23" s="12" t="n"/>
      <c r="B23" s="12" t="n"/>
      <c r="C23" s="12" t="n"/>
      <c r="D23" s="12" t="n"/>
      <c r="E23" s="12" t="n"/>
      <c r="F23" s="12" t="n"/>
      <c r="G23" s="12" t="n"/>
      <c r="H23" s="12" t="n"/>
    </row>
    <row r="24" ht="15.75" customHeight="1" s="322">
      <c r="A24" s="12" t="n"/>
      <c r="B24" s="12" t="n"/>
      <c r="C24" s="12" t="n"/>
      <c r="D24" s="12" t="n"/>
      <c r="E24" s="12" t="n"/>
      <c r="F24" s="12" t="n"/>
      <c r="G24" s="12" t="n"/>
      <c r="H24" s="12" t="n"/>
    </row>
    <row r="25" ht="15.75" customHeight="1" s="322">
      <c r="A25" s="12" t="n"/>
      <c r="B25" s="12" t="n"/>
      <c r="C25" s="12" t="n"/>
      <c r="D25" s="12" t="n"/>
      <c r="E25" s="12" t="n"/>
      <c r="F25" s="12" t="n"/>
      <c r="G25" s="12" t="n"/>
      <c r="H25" s="12" t="n"/>
    </row>
    <row r="26" ht="15.75" customHeight="1" s="322">
      <c r="A26" s="12" t="n"/>
      <c r="B26" s="12" t="n"/>
      <c r="C26" s="12" t="n"/>
      <c r="D26" s="12" t="n"/>
      <c r="E26" s="12" t="n"/>
      <c r="F26" s="12" t="n"/>
      <c r="G26" s="12" t="n"/>
      <c r="H26" s="12" t="n"/>
    </row>
    <row r="27" ht="15.75" customHeight="1" s="322">
      <c r="A27" s="133" t="n"/>
      <c r="B27" s="136">
        <f>IFERROR(__xludf.DUMMYFUNCTION("GOOGLEFINANCE(B18, ""all"", EDATE(TODAY(), -LEFT(G15, FIND("" "", G15))), TODAY(), ""DAILY"")"),"Date")</f>
        <v/>
      </c>
      <c r="C27" s="137">
        <f>IFERROR(__xludf.DUMMYFUNCTION("""COMPUTED_VALUE"""),"Open")</f>
        <v/>
      </c>
      <c r="D27" s="137">
        <f>IFERROR(__xludf.DUMMYFUNCTION("""COMPUTED_VALUE"""),"High")</f>
        <v/>
      </c>
      <c r="E27" s="137">
        <f>IFERROR(__xludf.DUMMYFUNCTION("""COMPUTED_VALUE"""),"Low")</f>
        <v/>
      </c>
      <c r="F27" s="137">
        <f>IFERROR(__xludf.DUMMYFUNCTION("""COMPUTED_VALUE"""),"Close")</f>
        <v/>
      </c>
      <c r="G27" s="137">
        <f>IFERROR(__xludf.DUMMYFUNCTION("""COMPUTED_VALUE"""),"Volume")</f>
        <v/>
      </c>
      <c r="H27" s="133" t="n"/>
    </row>
    <row r="28" ht="17.25" customHeight="1" s="322">
      <c r="A28" s="27" t="n"/>
      <c r="B28" s="506">
        <f>IFERROR(__xludf.DUMMYFUNCTION("""COMPUTED_VALUE"""),45868.6666666666)</f>
        <v/>
      </c>
      <c r="C28" s="141">
        <f>IFERROR(__xludf.DUMMYFUNCTION("""COMPUTED_VALUE"""),94.82)</f>
        <v/>
      </c>
      <c r="D28" s="141">
        <f>IFERROR(__xludf.DUMMYFUNCTION("""COMPUTED_VALUE"""),95.08)</f>
        <v/>
      </c>
      <c r="E28" s="141">
        <f>IFERROR(__xludf.DUMMYFUNCTION("""COMPUTED_VALUE"""),94.75)</f>
        <v/>
      </c>
      <c r="F28" s="141">
        <f>IFERROR(__xludf.DUMMYFUNCTION("""COMPUTED_VALUE"""),94.82)</f>
        <v/>
      </c>
      <c r="G28" s="143">
        <f>IFERROR(__xludf.DUMMYFUNCTION("""COMPUTED_VALUE"""),7426036)</f>
        <v/>
      </c>
      <c r="H28" s="27" t="n"/>
    </row>
    <row r="29" ht="17.25" customHeight="1" s="322">
      <c r="A29" s="27" t="n"/>
      <c r="B29" s="506">
        <f>IFERROR(__xludf.DUMMYFUNCTION("""COMPUTED_VALUE"""),45869.6666666666)</f>
        <v/>
      </c>
      <c r="C29" s="141">
        <f>IFERROR(__xludf.DUMMYFUNCTION("""COMPUTED_VALUE"""),94.97)</f>
        <v/>
      </c>
      <c r="D29" s="141">
        <f>IFERROR(__xludf.DUMMYFUNCTION("""COMPUTED_VALUE"""),95.13)</f>
        <v/>
      </c>
      <c r="E29" s="141">
        <f>IFERROR(__xludf.DUMMYFUNCTION("""COMPUTED_VALUE"""),94.86)</f>
        <v/>
      </c>
      <c r="F29" s="141">
        <f>IFERROR(__xludf.DUMMYFUNCTION("""COMPUTED_VALUE"""),94.9)</f>
        <v/>
      </c>
      <c r="G29" s="143">
        <f>IFERROR(__xludf.DUMMYFUNCTION("""COMPUTED_VALUE"""),10411774)</f>
        <v/>
      </c>
      <c r="H29" s="27" t="n"/>
    </row>
    <row r="30" ht="17.25" customHeight="1" s="322">
      <c r="A30" s="27" t="n"/>
      <c r="B30" s="506">
        <f>IFERROR(__xludf.DUMMYFUNCTION("""COMPUTED_VALUE"""),45870.6666666666)</f>
        <v/>
      </c>
      <c r="C30" s="141">
        <f>IFERROR(__xludf.DUMMYFUNCTION("""COMPUTED_VALUE"""),95.36)</f>
        <v/>
      </c>
      <c r="D30" s="141">
        <f>IFERROR(__xludf.DUMMYFUNCTION("""COMPUTED_VALUE"""),95.73)</f>
        <v/>
      </c>
      <c r="E30" s="141">
        <f>IFERROR(__xludf.DUMMYFUNCTION("""COMPUTED_VALUE"""),95.34)</f>
        <v/>
      </c>
      <c r="F30" s="141">
        <f>IFERROR(__xludf.DUMMYFUNCTION("""COMPUTED_VALUE"""),95.68)</f>
        <v/>
      </c>
      <c r="G30" s="143">
        <f>IFERROR(__xludf.DUMMYFUNCTION("""COMPUTED_VALUE"""),11870207)</f>
        <v/>
      </c>
      <c r="H30" s="27" t="n"/>
    </row>
    <row r="31" ht="17.25" customHeight="1" s="322">
      <c r="A31" s="27" t="n"/>
      <c r="B31" s="506">
        <f>IFERROR(__xludf.DUMMYFUNCTION("""COMPUTED_VALUE"""),45873.6666666666)</f>
        <v/>
      </c>
      <c r="C31" s="141">
        <f>IFERROR(__xludf.DUMMYFUNCTION("""COMPUTED_VALUE"""),95.77)</f>
        <v/>
      </c>
      <c r="D31" s="141">
        <f>IFERROR(__xludf.DUMMYFUNCTION("""COMPUTED_VALUE"""),95.85)</f>
        <v/>
      </c>
      <c r="E31" s="141">
        <f>IFERROR(__xludf.DUMMYFUNCTION("""COMPUTED_VALUE"""),95.53)</f>
        <v/>
      </c>
      <c r="F31" s="141">
        <f>IFERROR(__xludf.DUMMYFUNCTION("""COMPUTED_VALUE"""),95.81)</f>
        <v/>
      </c>
      <c r="G31" s="143">
        <f>IFERROR(__xludf.DUMMYFUNCTION("""COMPUTED_VALUE"""),8449488)</f>
        <v/>
      </c>
      <c r="H31" s="27" t="n"/>
    </row>
    <row r="32" ht="17.25" customHeight="1" s="322">
      <c r="A32" s="27" t="n"/>
      <c r="B32" s="506">
        <f>IFERROR(__xludf.DUMMYFUNCTION("""COMPUTED_VALUE"""),45874.6666666666)</f>
        <v/>
      </c>
      <c r="C32" s="141">
        <f>IFERROR(__xludf.DUMMYFUNCTION("""COMPUTED_VALUE"""),95.64)</f>
        <v/>
      </c>
      <c r="D32" s="141">
        <f>IFERROR(__xludf.DUMMYFUNCTION("""COMPUTED_VALUE"""),95.86)</f>
        <v/>
      </c>
      <c r="E32" s="141">
        <f>IFERROR(__xludf.DUMMYFUNCTION("""COMPUTED_VALUE"""),95.62)</f>
        <v/>
      </c>
      <c r="F32" s="141">
        <f>IFERROR(__xludf.DUMMYFUNCTION("""COMPUTED_VALUE"""),95.74)</f>
        <v/>
      </c>
      <c r="G32" s="143">
        <f>IFERROR(__xludf.DUMMYFUNCTION("""COMPUTED_VALUE"""),8218754)</f>
        <v/>
      </c>
      <c r="H32" s="27" t="n"/>
    </row>
    <row r="33" ht="17.25" customHeight="1" s="322">
      <c r="A33" s="27" t="n"/>
      <c r="B33" s="506">
        <f>IFERROR(__xludf.DUMMYFUNCTION("""COMPUTED_VALUE"""),45875.6666666666)</f>
        <v/>
      </c>
      <c r="C33" s="141">
        <f>IFERROR(__xludf.DUMMYFUNCTION("""COMPUTED_VALUE"""),95.6)</f>
        <v/>
      </c>
      <c r="D33" s="141">
        <f>IFERROR(__xludf.DUMMYFUNCTION("""COMPUTED_VALUE"""),95.72)</f>
        <v/>
      </c>
      <c r="E33" s="141">
        <f>IFERROR(__xludf.DUMMYFUNCTION("""COMPUTED_VALUE"""),95.26)</f>
        <v/>
      </c>
      <c r="F33" s="141">
        <f>IFERROR(__xludf.DUMMYFUNCTION("""COMPUTED_VALUE"""),95.67)</f>
        <v/>
      </c>
      <c r="G33" s="143">
        <f>IFERROR(__xludf.DUMMYFUNCTION("""COMPUTED_VALUE"""),10107474)</f>
        <v/>
      </c>
      <c r="H33" s="27" t="n"/>
    </row>
    <row r="34" ht="17.25" customHeight="1" s="322">
      <c r="A34" s="27" t="n"/>
      <c r="B34" s="506">
        <f>IFERROR(__xludf.DUMMYFUNCTION("""COMPUTED_VALUE"""),45876.6666666666)</f>
        <v/>
      </c>
      <c r="C34" s="141">
        <f>IFERROR(__xludf.DUMMYFUNCTION("""COMPUTED_VALUE"""),95.67)</f>
        <v/>
      </c>
      <c r="D34" s="141">
        <f>IFERROR(__xludf.DUMMYFUNCTION("""COMPUTED_VALUE"""),95.77)</f>
        <v/>
      </c>
      <c r="E34" s="141">
        <f>IFERROR(__xludf.DUMMYFUNCTION("""COMPUTED_VALUE"""),95.53)</f>
        <v/>
      </c>
      <c r="F34" s="141">
        <f>IFERROR(__xludf.DUMMYFUNCTION("""COMPUTED_VALUE"""),95.6)</f>
        <v/>
      </c>
      <c r="G34" s="143">
        <f>IFERROR(__xludf.DUMMYFUNCTION("""COMPUTED_VALUE"""),5725876)</f>
        <v/>
      </c>
      <c r="H34" s="27" t="n"/>
    </row>
    <row r="35" ht="17.25" customHeight="1" s="322">
      <c r="A35" s="27" t="n"/>
      <c r="B35" s="506">
        <f>IFERROR(__xludf.DUMMYFUNCTION("""COMPUTED_VALUE"""),45877.6666666666)</f>
        <v/>
      </c>
      <c r="C35" s="141">
        <f>IFERROR(__xludf.DUMMYFUNCTION("""COMPUTED_VALUE"""),95.47)</f>
        <v/>
      </c>
      <c r="D35" s="141">
        <f>IFERROR(__xludf.DUMMYFUNCTION("""COMPUTED_VALUE"""),95.47)</f>
        <v/>
      </c>
      <c r="E35" s="141">
        <f>IFERROR(__xludf.DUMMYFUNCTION("""COMPUTED_VALUE"""),95.33)</f>
        <v/>
      </c>
      <c r="F35" s="141">
        <f>IFERROR(__xludf.DUMMYFUNCTION("""COMPUTED_VALUE"""),95.38)</f>
        <v/>
      </c>
      <c r="G35" s="143">
        <f>IFERROR(__xludf.DUMMYFUNCTION("""COMPUTED_VALUE"""),5623800)</f>
        <v/>
      </c>
      <c r="H35" s="27" t="n"/>
    </row>
    <row r="36" ht="17.25" customHeight="1" s="322">
      <c r="A36" s="27" t="n"/>
      <c r="B36" s="506">
        <f>IFERROR(__xludf.DUMMYFUNCTION("""COMPUTED_VALUE"""),45880.6666666666)</f>
        <v/>
      </c>
      <c r="C36" s="141">
        <f>IFERROR(__xludf.DUMMYFUNCTION("""COMPUTED_VALUE"""),95.45)</f>
        <v/>
      </c>
      <c r="D36" s="141">
        <f>IFERROR(__xludf.DUMMYFUNCTION("""COMPUTED_VALUE"""),95.54)</f>
        <v/>
      </c>
      <c r="E36" s="141">
        <f>IFERROR(__xludf.DUMMYFUNCTION("""COMPUTED_VALUE"""),95.36)</f>
        <v/>
      </c>
      <c r="F36" s="141">
        <f>IFERROR(__xludf.DUMMYFUNCTION("""COMPUTED_VALUE"""),95.41)</f>
        <v/>
      </c>
      <c r="G36" s="143">
        <f>IFERROR(__xludf.DUMMYFUNCTION("""COMPUTED_VALUE"""),4920182)</f>
        <v/>
      </c>
      <c r="H36" s="27" t="n"/>
    </row>
    <row r="37" ht="17.25" customHeight="1" s="322">
      <c r="A37" s="27" t="n"/>
      <c r="B37" s="506">
        <f>IFERROR(__xludf.DUMMYFUNCTION("""COMPUTED_VALUE"""),45881.6666666666)</f>
        <v/>
      </c>
      <c r="C37" s="141">
        <f>IFERROR(__xludf.DUMMYFUNCTION("""COMPUTED_VALUE"""),95.29)</f>
        <v/>
      </c>
      <c r="D37" s="141">
        <f>IFERROR(__xludf.DUMMYFUNCTION("""COMPUTED_VALUE"""),95.39)</f>
        <v/>
      </c>
      <c r="E37" s="141">
        <f>IFERROR(__xludf.DUMMYFUNCTION("""COMPUTED_VALUE"""),95.18)</f>
        <v/>
      </c>
      <c r="F37" s="141">
        <f>IFERROR(__xludf.DUMMYFUNCTION("""COMPUTED_VALUE"""),95.39)</f>
        <v/>
      </c>
      <c r="G37" s="143">
        <f>IFERROR(__xludf.DUMMYFUNCTION("""COMPUTED_VALUE"""),6727029)</f>
        <v/>
      </c>
      <c r="H37" s="27" t="n"/>
    </row>
    <row r="38" ht="17.25" customHeight="1" s="322">
      <c r="A38" s="27" t="n"/>
      <c r="B38" s="506">
        <f>IFERROR(__xludf.DUMMYFUNCTION("""COMPUTED_VALUE"""),45882.6666666666)</f>
        <v/>
      </c>
      <c r="C38" s="141">
        <f>IFERROR(__xludf.DUMMYFUNCTION("""COMPUTED_VALUE"""),95.66)</f>
        <v/>
      </c>
      <c r="D38" s="141">
        <f>IFERROR(__xludf.DUMMYFUNCTION("""COMPUTED_VALUE"""),95.83)</f>
        <v/>
      </c>
      <c r="E38" s="141">
        <f>IFERROR(__xludf.DUMMYFUNCTION("""COMPUTED_VALUE"""),95.64)</f>
        <v/>
      </c>
      <c r="F38" s="141">
        <f>IFERROR(__xludf.DUMMYFUNCTION("""COMPUTED_VALUE"""),95.73)</f>
        <v/>
      </c>
      <c r="G38" s="143">
        <f>IFERROR(__xludf.DUMMYFUNCTION("""COMPUTED_VALUE"""),5925164)</f>
        <v/>
      </c>
      <c r="H38" s="27" t="n"/>
    </row>
    <row r="39" ht="17.25" customHeight="1" s="322">
      <c r="A39" s="27" t="n"/>
      <c r="B39" s="506">
        <f>IFERROR(__xludf.DUMMYFUNCTION("""COMPUTED_VALUE"""),45883.6666666666)</f>
        <v/>
      </c>
      <c r="C39" s="141">
        <f>IFERROR(__xludf.DUMMYFUNCTION("""COMPUTED_VALUE"""),95.57)</f>
        <v/>
      </c>
      <c r="D39" s="141">
        <f>IFERROR(__xludf.DUMMYFUNCTION("""COMPUTED_VALUE"""),95.6)</f>
        <v/>
      </c>
      <c r="E39" s="141">
        <f>IFERROR(__xludf.DUMMYFUNCTION("""COMPUTED_VALUE"""),95.35)</f>
        <v/>
      </c>
      <c r="F39" s="141">
        <f>IFERROR(__xludf.DUMMYFUNCTION("""COMPUTED_VALUE"""),95.42)</f>
        <v/>
      </c>
      <c r="G39" s="143">
        <f>IFERROR(__xludf.DUMMYFUNCTION("""COMPUTED_VALUE"""),5527457)</f>
        <v/>
      </c>
      <c r="H39" s="27" t="n"/>
    </row>
    <row r="40" ht="17.25" customHeight="1" s="322">
      <c r="A40" s="27" t="n"/>
      <c r="B40" s="506">
        <f>IFERROR(__xludf.DUMMYFUNCTION("""COMPUTED_VALUE"""),45884.6666666666)</f>
        <v/>
      </c>
      <c r="C40" s="141">
        <f>IFERROR(__xludf.DUMMYFUNCTION("""COMPUTED_VALUE"""),95.38)</f>
        <v/>
      </c>
      <c r="D40" s="141">
        <f>IFERROR(__xludf.DUMMYFUNCTION("""COMPUTED_VALUE"""),95.44)</f>
        <v/>
      </c>
      <c r="E40" s="141">
        <f>IFERROR(__xludf.DUMMYFUNCTION("""COMPUTED_VALUE"""),95.17)</f>
        <v/>
      </c>
      <c r="F40" s="141">
        <f>IFERROR(__xludf.DUMMYFUNCTION("""COMPUTED_VALUE"""),95.23)</f>
        <v/>
      </c>
      <c r="G40" s="143">
        <f>IFERROR(__xludf.DUMMYFUNCTION("""COMPUTED_VALUE"""),7428568)</f>
        <v/>
      </c>
      <c r="H40" s="27" t="n"/>
    </row>
    <row r="41" ht="17.25" customHeight="1" s="322">
      <c r="A41" s="27" t="n"/>
      <c r="B41" s="506">
        <f>IFERROR(__xludf.DUMMYFUNCTION("""COMPUTED_VALUE"""),45887.6666666666)</f>
        <v/>
      </c>
      <c r="C41" s="141">
        <f>IFERROR(__xludf.DUMMYFUNCTION("""COMPUTED_VALUE"""),95.3)</f>
        <v/>
      </c>
      <c r="D41" s="141">
        <f>IFERROR(__xludf.DUMMYFUNCTION("""COMPUTED_VALUE"""),95.31)</f>
        <v/>
      </c>
      <c r="E41" s="141">
        <f>IFERROR(__xludf.DUMMYFUNCTION("""COMPUTED_VALUE"""),95.05)</f>
        <v/>
      </c>
      <c r="F41" s="141">
        <f>IFERROR(__xludf.DUMMYFUNCTION("""COMPUTED_VALUE"""),95.14)</f>
        <v/>
      </c>
      <c r="G41" s="143">
        <f>IFERROR(__xludf.DUMMYFUNCTION("""COMPUTED_VALUE"""),9669701)</f>
        <v/>
      </c>
      <c r="H41" s="27" t="n"/>
    </row>
    <row r="42" ht="17.25" customHeight="1" s="322">
      <c r="A42" s="27" t="n"/>
      <c r="B42" s="506">
        <f>IFERROR(__xludf.DUMMYFUNCTION("""COMPUTED_VALUE"""),45888.6666666666)</f>
        <v/>
      </c>
      <c r="C42" s="141">
        <f>IFERROR(__xludf.DUMMYFUNCTION("""COMPUTED_VALUE"""),95.28)</f>
        <v/>
      </c>
      <c r="D42" s="141">
        <f>IFERROR(__xludf.DUMMYFUNCTION("""COMPUTED_VALUE"""),95.42)</f>
        <v/>
      </c>
      <c r="E42" s="141">
        <f>IFERROR(__xludf.DUMMYFUNCTION("""COMPUTED_VALUE"""),95.27)</f>
        <v/>
      </c>
      <c r="F42" s="141">
        <f>IFERROR(__xludf.DUMMYFUNCTION("""COMPUTED_VALUE"""),95.38)</f>
        <v/>
      </c>
      <c r="G42" s="143">
        <f>IFERROR(__xludf.DUMMYFUNCTION("""COMPUTED_VALUE"""),6499330)</f>
        <v/>
      </c>
      <c r="H42" s="27" t="n"/>
    </row>
    <row r="43" ht="17.25" customHeight="1" s="322">
      <c r="A43" s="27" t="n"/>
      <c r="B43" s="506">
        <f>IFERROR(__xludf.DUMMYFUNCTION("""COMPUTED_VALUE"""),45889.6666666666)</f>
        <v/>
      </c>
      <c r="C43" s="141">
        <f>IFERROR(__xludf.DUMMYFUNCTION("""COMPUTED_VALUE"""),95.38)</f>
        <v/>
      </c>
      <c r="D43" s="141">
        <f>IFERROR(__xludf.DUMMYFUNCTION("""COMPUTED_VALUE"""),95.61)</f>
        <v/>
      </c>
      <c r="E43" s="141">
        <f>IFERROR(__xludf.DUMMYFUNCTION("""COMPUTED_VALUE"""),95.36)</f>
        <v/>
      </c>
      <c r="F43" s="141">
        <f>IFERROR(__xludf.DUMMYFUNCTION("""COMPUTED_VALUE"""),95.52)</f>
        <v/>
      </c>
      <c r="G43" s="143">
        <f>IFERROR(__xludf.DUMMYFUNCTION("""COMPUTED_VALUE"""),6270926)</f>
        <v/>
      </c>
      <c r="H43" s="27" t="n"/>
    </row>
    <row r="44" ht="17.25" customHeight="1" s="322">
      <c r="A44" s="27" t="n"/>
      <c r="B44" s="506">
        <f>IFERROR(__xludf.DUMMYFUNCTION("""COMPUTED_VALUE"""),45890.6666666666)</f>
        <v/>
      </c>
      <c r="C44" s="141">
        <f>IFERROR(__xludf.DUMMYFUNCTION("""COMPUTED_VALUE"""),95.39)</f>
        <v/>
      </c>
      <c r="D44" s="141">
        <f>IFERROR(__xludf.DUMMYFUNCTION("""COMPUTED_VALUE"""),95.44)</f>
        <v/>
      </c>
      <c r="E44" s="141">
        <f>IFERROR(__xludf.DUMMYFUNCTION("""COMPUTED_VALUE"""),95.11)</f>
        <v/>
      </c>
      <c r="F44" s="141">
        <f>IFERROR(__xludf.DUMMYFUNCTION("""COMPUTED_VALUE"""),95.24)</f>
        <v/>
      </c>
      <c r="G44" s="143">
        <f>IFERROR(__xludf.DUMMYFUNCTION("""COMPUTED_VALUE"""),5351542)</f>
        <v/>
      </c>
      <c r="H44" s="27" t="n"/>
    </row>
    <row r="45" ht="17.25" customHeight="1" s="322">
      <c r="A45" s="27" t="n"/>
      <c r="B45" s="506">
        <f>IFERROR(__xludf.DUMMYFUNCTION("""COMPUTED_VALUE"""),45891.6666666666)</f>
        <v/>
      </c>
      <c r="C45" s="141">
        <f>IFERROR(__xludf.DUMMYFUNCTION("""COMPUTED_VALUE"""),95.4)</f>
        <v/>
      </c>
      <c r="D45" s="141">
        <f>IFERROR(__xludf.DUMMYFUNCTION("""COMPUTED_VALUE"""),95.88)</f>
        <v/>
      </c>
      <c r="E45" s="141">
        <f>IFERROR(__xludf.DUMMYFUNCTION("""COMPUTED_VALUE"""),95.37)</f>
        <v/>
      </c>
      <c r="F45" s="141">
        <f>IFERROR(__xludf.DUMMYFUNCTION("""COMPUTED_VALUE"""),95.77)</f>
        <v/>
      </c>
      <c r="G45" s="143">
        <f>IFERROR(__xludf.DUMMYFUNCTION("""COMPUTED_VALUE"""),10867816)</f>
        <v/>
      </c>
      <c r="H45" s="27" t="n"/>
    </row>
    <row r="46" ht="17.25" customHeight="1" s="322">
      <c r="A46" s="27" t="n"/>
      <c r="B46" s="506">
        <f>IFERROR(__xludf.DUMMYFUNCTION("""COMPUTED_VALUE"""),45894.6666666666)</f>
        <v/>
      </c>
      <c r="C46" s="141">
        <f>IFERROR(__xludf.DUMMYFUNCTION("""COMPUTED_VALUE"""),95.6)</f>
        <v/>
      </c>
      <c r="D46" s="141">
        <f>IFERROR(__xludf.DUMMYFUNCTION("""COMPUTED_VALUE"""),95.71)</f>
        <v/>
      </c>
      <c r="E46" s="141">
        <f>IFERROR(__xludf.DUMMYFUNCTION("""COMPUTED_VALUE"""),95.53)</f>
        <v/>
      </c>
      <c r="F46" s="141">
        <f>IFERROR(__xludf.DUMMYFUNCTION("""COMPUTED_VALUE"""),95.58)</f>
        <v/>
      </c>
      <c r="G46" s="143">
        <f>IFERROR(__xludf.DUMMYFUNCTION("""COMPUTED_VALUE"""),9936718)</f>
        <v/>
      </c>
      <c r="H46" s="27" t="n"/>
    </row>
    <row r="47" ht="17.25" customHeight="1" s="322">
      <c r="A47" s="27" t="n"/>
      <c r="B47" s="506">
        <f>IFERROR(__xludf.DUMMYFUNCTION("""COMPUTED_VALUE"""),45895.6666666666)</f>
        <v/>
      </c>
      <c r="C47" s="141">
        <f>IFERROR(__xludf.DUMMYFUNCTION("""COMPUTED_VALUE"""),95.66)</f>
        <v/>
      </c>
      <c r="D47" s="141">
        <f>IFERROR(__xludf.DUMMYFUNCTION("""COMPUTED_VALUE"""),95.86)</f>
        <v/>
      </c>
      <c r="E47" s="141">
        <f>IFERROR(__xludf.DUMMYFUNCTION("""COMPUTED_VALUE"""),95.6)</f>
        <v/>
      </c>
      <c r="F47" s="141">
        <f>IFERROR(__xludf.DUMMYFUNCTION("""COMPUTED_VALUE"""),95.83)</f>
        <v/>
      </c>
      <c r="G47" s="143">
        <f>IFERROR(__xludf.DUMMYFUNCTION("""COMPUTED_VALUE"""),5871259)</f>
        <v/>
      </c>
      <c r="H47" s="27" t="n"/>
    </row>
    <row r="48" ht="17.25" customHeight="1" s="322">
      <c r="A48" s="27" t="n"/>
      <c r="B48" s="506">
        <f>IFERROR(__xludf.DUMMYFUNCTION("""COMPUTED_VALUE"""),45896.6666666666)</f>
        <v/>
      </c>
      <c r="C48" s="141">
        <f>IFERROR(__xludf.DUMMYFUNCTION("""COMPUTED_VALUE"""),95.7)</f>
        <v/>
      </c>
      <c r="D48" s="141">
        <f>IFERROR(__xludf.DUMMYFUNCTION("""COMPUTED_VALUE"""),96.01)</f>
        <v/>
      </c>
      <c r="E48" s="141">
        <f>IFERROR(__xludf.DUMMYFUNCTION("""COMPUTED_VALUE"""),95.64)</f>
        <v/>
      </c>
      <c r="F48" s="141">
        <f>IFERROR(__xludf.DUMMYFUNCTION("""COMPUTED_VALUE"""),96.01)</f>
        <v/>
      </c>
      <c r="G48" s="143">
        <f>IFERROR(__xludf.DUMMYFUNCTION("""COMPUTED_VALUE"""),5223249)</f>
        <v/>
      </c>
      <c r="H48" s="27" t="n"/>
    </row>
    <row r="49" ht="17.25" customHeight="1" s="322">
      <c r="A49" s="27" t="n"/>
      <c r="B49" s="506">
        <f>IFERROR(__xludf.DUMMYFUNCTION("""COMPUTED_VALUE"""),45897.6666666666)</f>
        <v/>
      </c>
      <c r="C49" s="141">
        <f>IFERROR(__xludf.DUMMYFUNCTION("""COMPUTED_VALUE"""),95.98)</f>
        <v/>
      </c>
      <c r="D49" s="141">
        <f>IFERROR(__xludf.DUMMYFUNCTION("""COMPUTED_VALUE"""),96.23)</f>
        <v/>
      </c>
      <c r="E49" s="141">
        <f>IFERROR(__xludf.DUMMYFUNCTION("""COMPUTED_VALUE"""),95.94)</f>
        <v/>
      </c>
      <c r="F49" s="141">
        <f>IFERROR(__xludf.DUMMYFUNCTION("""COMPUTED_VALUE"""),96.23)</f>
        <v/>
      </c>
      <c r="G49" s="143">
        <f>IFERROR(__xludf.DUMMYFUNCTION("""COMPUTED_VALUE"""),6545073)</f>
        <v/>
      </c>
      <c r="H49" s="27" t="n"/>
    </row>
    <row r="50" ht="17.25" customHeight="1" s="322">
      <c r="A50" s="27" t="n"/>
      <c r="B50" s="506">
        <f>IFERROR(__xludf.DUMMYFUNCTION("""COMPUTED_VALUE"""),45898.6666666666)</f>
        <v/>
      </c>
      <c r="C50" s="141">
        <f>IFERROR(__xludf.DUMMYFUNCTION("""COMPUTED_VALUE"""),96.12)</f>
        <v/>
      </c>
      <c r="D50" s="141">
        <f>IFERROR(__xludf.DUMMYFUNCTION("""COMPUTED_VALUE"""),96.23)</f>
        <v/>
      </c>
      <c r="E50" s="141">
        <f>IFERROR(__xludf.DUMMYFUNCTION("""COMPUTED_VALUE"""),96.03)</f>
        <v/>
      </c>
      <c r="F50" s="141">
        <f>IFERROR(__xludf.DUMMYFUNCTION("""COMPUTED_VALUE"""),96.15)</f>
        <v/>
      </c>
      <c r="G50" s="143">
        <f>IFERROR(__xludf.DUMMYFUNCTION("""COMPUTED_VALUE"""),6818939)</f>
        <v/>
      </c>
      <c r="H50" s="27" t="n"/>
    </row>
    <row r="51" ht="17.25" customHeight="1" s="322">
      <c r="A51" s="27" t="n"/>
      <c r="B51" s="506">
        <f>IFERROR(__xludf.DUMMYFUNCTION("""COMPUTED_VALUE"""),45902.6666666666)</f>
        <v/>
      </c>
      <c r="C51" s="141">
        <f>IFERROR(__xludf.DUMMYFUNCTION("""COMPUTED_VALUE"""),95.46)</f>
        <v/>
      </c>
      <c r="D51" s="141">
        <f>IFERROR(__xludf.DUMMYFUNCTION("""COMPUTED_VALUE"""),95.63)</f>
        <v/>
      </c>
      <c r="E51" s="141">
        <f>IFERROR(__xludf.DUMMYFUNCTION("""COMPUTED_VALUE"""),95.43)</f>
        <v/>
      </c>
      <c r="F51" s="141">
        <f>IFERROR(__xludf.DUMMYFUNCTION("""COMPUTED_VALUE"""),95.55)</f>
        <v/>
      </c>
      <c r="G51" s="143">
        <f>IFERROR(__xludf.DUMMYFUNCTION("""COMPUTED_VALUE"""),8623225)</f>
        <v/>
      </c>
      <c r="H51" s="27" t="n"/>
    </row>
    <row r="52" ht="17.25" customHeight="1" s="322">
      <c r="A52" s="27" t="n"/>
      <c r="B52" s="506">
        <f>IFERROR(__xludf.DUMMYFUNCTION("""COMPUTED_VALUE"""),45903.6666666666)</f>
        <v/>
      </c>
      <c r="C52" s="141">
        <f>IFERROR(__xludf.DUMMYFUNCTION("""COMPUTED_VALUE"""),95.56)</f>
        <v/>
      </c>
      <c r="D52" s="141">
        <f>IFERROR(__xludf.DUMMYFUNCTION("""COMPUTED_VALUE"""),96.02)</f>
        <v/>
      </c>
      <c r="E52" s="141">
        <f>IFERROR(__xludf.DUMMYFUNCTION("""COMPUTED_VALUE"""),95.56)</f>
        <v/>
      </c>
      <c r="F52" s="141">
        <f>IFERROR(__xludf.DUMMYFUNCTION("""COMPUTED_VALUE"""),95.88)</f>
        <v/>
      </c>
      <c r="G52" s="143">
        <f>IFERROR(__xludf.DUMMYFUNCTION("""COMPUTED_VALUE"""),7586121)</f>
        <v/>
      </c>
      <c r="H52" s="27" t="n"/>
    </row>
    <row r="53" ht="17.25" customHeight="1" s="322">
      <c r="A53" s="27" t="n"/>
      <c r="B53" s="506">
        <f>IFERROR(__xludf.DUMMYFUNCTION("""COMPUTED_VALUE"""),45904.6666666666)</f>
        <v/>
      </c>
      <c r="C53" s="141">
        <f>IFERROR(__xludf.DUMMYFUNCTION("""COMPUTED_VALUE"""),96.12)</f>
        <v/>
      </c>
      <c r="D53" s="141">
        <f>IFERROR(__xludf.DUMMYFUNCTION("""COMPUTED_VALUE"""),96.31)</f>
        <v/>
      </c>
      <c r="E53" s="141">
        <f>IFERROR(__xludf.DUMMYFUNCTION("""COMPUTED_VALUE"""),96)</f>
        <v/>
      </c>
      <c r="F53" s="141">
        <f>IFERROR(__xludf.DUMMYFUNCTION("""COMPUTED_VALUE"""),96.31)</f>
        <v/>
      </c>
      <c r="G53" s="143">
        <f>IFERROR(__xludf.DUMMYFUNCTION("""COMPUTED_VALUE"""),6395264)</f>
        <v/>
      </c>
      <c r="H53" s="27" t="n"/>
    </row>
    <row r="54" ht="17.25" customHeight="1" s="322">
      <c r="A54" s="27" t="n"/>
      <c r="B54" s="506">
        <f>IFERROR(__xludf.DUMMYFUNCTION("""COMPUTED_VALUE"""),45905.6666666666)</f>
        <v/>
      </c>
      <c r="C54" s="141">
        <f>IFERROR(__xludf.DUMMYFUNCTION("""COMPUTED_VALUE"""),96.91)</f>
        <v/>
      </c>
      <c r="D54" s="141">
        <f>IFERROR(__xludf.DUMMYFUNCTION("""COMPUTED_VALUE"""),97.02)</f>
        <v/>
      </c>
      <c r="E54" s="141">
        <f>IFERROR(__xludf.DUMMYFUNCTION("""COMPUTED_VALUE"""),96.78)</f>
        <v/>
      </c>
      <c r="F54" s="141">
        <f>IFERROR(__xludf.DUMMYFUNCTION("""COMPUTED_VALUE"""),96.78)</f>
        <v/>
      </c>
      <c r="G54" s="143">
        <f>IFERROR(__xludf.DUMMYFUNCTION("""COMPUTED_VALUE"""),9566288)</f>
        <v/>
      </c>
      <c r="H54" s="27" t="n"/>
    </row>
    <row r="55" ht="17.25" customHeight="1" s="322">
      <c r="A55" s="27" t="n"/>
      <c r="B55" s="506">
        <f>IFERROR(__xludf.DUMMYFUNCTION("""COMPUTED_VALUE"""),45908.6666666666)</f>
        <v/>
      </c>
      <c r="C55" s="141">
        <f>IFERROR(__xludf.DUMMYFUNCTION("""COMPUTED_VALUE"""),97.02)</f>
        <v/>
      </c>
      <c r="D55" s="141">
        <f>IFERROR(__xludf.DUMMYFUNCTION("""COMPUTED_VALUE"""),97.09)</f>
        <v/>
      </c>
      <c r="E55" s="141">
        <f>IFERROR(__xludf.DUMMYFUNCTION("""COMPUTED_VALUE"""),96.92)</f>
        <v/>
      </c>
      <c r="F55" s="141">
        <f>IFERROR(__xludf.DUMMYFUNCTION("""COMPUTED_VALUE"""),97.08)</f>
        <v/>
      </c>
      <c r="G55" s="143">
        <f>IFERROR(__xludf.DUMMYFUNCTION("""COMPUTED_VALUE"""),7599723)</f>
        <v/>
      </c>
      <c r="H55" s="27" t="n"/>
    </row>
    <row r="56" ht="17.25" customHeight="1" s="322">
      <c r="A56" s="27" t="n"/>
      <c r="B56" s="506">
        <f>IFERROR(__xludf.DUMMYFUNCTION("""COMPUTED_VALUE"""),45909.6666666666)</f>
        <v/>
      </c>
      <c r="C56" s="141">
        <f>IFERROR(__xludf.DUMMYFUNCTION("""COMPUTED_VALUE"""),97.03)</f>
        <v/>
      </c>
      <c r="D56" s="141">
        <f>IFERROR(__xludf.DUMMYFUNCTION("""COMPUTED_VALUE"""),97.14)</f>
        <v/>
      </c>
      <c r="E56" s="141">
        <f>IFERROR(__xludf.DUMMYFUNCTION("""COMPUTED_VALUE"""),96.76)</f>
        <v/>
      </c>
      <c r="F56" s="141">
        <f>IFERROR(__xludf.DUMMYFUNCTION("""COMPUTED_VALUE"""),96.85)</f>
        <v/>
      </c>
      <c r="G56" s="143">
        <f>IFERROR(__xludf.DUMMYFUNCTION("""COMPUTED_VALUE"""),8223260)</f>
        <v/>
      </c>
      <c r="H56" s="27" t="n"/>
    </row>
    <row r="57" ht="17.25" customHeight="1" s="322">
      <c r="A57" s="27" t="n"/>
      <c r="B57" s="506">
        <f>IFERROR(__xludf.DUMMYFUNCTION("""COMPUTED_VALUE"""),45910.6666666666)</f>
        <v/>
      </c>
      <c r="C57" s="141">
        <f>IFERROR(__xludf.DUMMYFUNCTION("""COMPUTED_VALUE"""),97.05)</f>
        <v/>
      </c>
      <c r="D57" s="141">
        <f>IFERROR(__xludf.DUMMYFUNCTION("""COMPUTED_VALUE"""),97.23)</f>
        <v/>
      </c>
      <c r="E57" s="141">
        <f>IFERROR(__xludf.DUMMYFUNCTION("""COMPUTED_VALUE"""),96.96)</f>
        <v/>
      </c>
      <c r="F57" s="141">
        <f>IFERROR(__xludf.DUMMYFUNCTION("""COMPUTED_VALUE"""),97.11)</f>
        <v/>
      </c>
      <c r="G57" s="143">
        <f>IFERROR(__xludf.DUMMYFUNCTION("""COMPUTED_VALUE"""),8864493)</f>
        <v/>
      </c>
      <c r="H57" s="27" t="n"/>
    </row>
    <row r="58" ht="17.25" customHeight="1" s="322">
      <c r="A58" s="27" t="n"/>
      <c r="B58" s="506">
        <f>IFERROR(__xludf.DUMMYFUNCTION("""COMPUTED_VALUE"""),45911.6666666666)</f>
        <v/>
      </c>
      <c r="C58" s="141">
        <f>IFERROR(__xludf.DUMMYFUNCTION("""COMPUTED_VALUE"""),97.24)</f>
        <v/>
      </c>
      <c r="D58" s="141">
        <f>IFERROR(__xludf.DUMMYFUNCTION("""COMPUTED_VALUE"""),97.46)</f>
        <v/>
      </c>
      <c r="E58" s="141">
        <f>IFERROR(__xludf.DUMMYFUNCTION("""COMPUTED_VALUE"""),97.23)</f>
        <v/>
      </c>
      <c r="F58" s="141">
        <f>IFERROR(__xludf.DUMMYFUNCTION("""COMPUTED_VALUE"""),97.26)</f>
        <v/>
      </c>
      <c r="G58" s="143">
        <f>IFERROR(__xludf.DUMMYFUNCTION("""COMPUTED_VALUE"""),8554434)</f>
        <v/>
      </c>
      <c r="H58" s="27" t="n"/>
    </row>
    <row r="59" ht="17.25" customHeight="1" s="322">
      <c r="A59" s="27" t="n"/>
      <c r="B59" s="506">
        <f>IFERROR(__xludf.DUMMYFUNCTION("""COMPUTED_VALUE"""),45912.6666666666)</f>
        <v/>
      </c>
      <c r="C59" s="141">
        <f>IFERROR(__xludf.DUMMYFUNCTION("""COMPUTED_VALUE"""),97.03)</f>
        <v/>
      </c>
      <c r="D59" s="141">
        <f>IFERROR(__xludf.DUMMYFUNCTION("""COMPUTED_VALUE"""),97.04)</f>
        <v/>
      </c>
      <c r="E59" s="141">
        <f>IFERROR(__xludf.DUMMYFUNCTION("""COMPUTED_VALUE"""),96.84)</f>
        <v/>
      </c>
      <c r="F59" s="141">
        <f>IFERROR(__xludf.DUMMYFUNCTION("""COMPUTED_VALUE"""),96.98)</f>
        <v/>
      </c>
      <c r="G59" s="143">
        <f>IFERROR(__xludf.DUMMYFUNCTION("""COMPUTED_VALUE"""),36502976)</f>
        <v/>
      </c>
      <c r="H59" s="27" t="n"/>
    </row>
    <row r="60" ht="17.25" customHeight="1" s="322">
      <c r="A60" s="27" t="n"/>
      <c r="B60" s="506">
        <f>IFERROR(__xludf.DUMMYFUNCTION("""COMPUTED_VALUE"""),45915.6666666666)</f>
        <v/>
      </c>
      <c r="C60" s="141">
        <f>IFERROR(__xludf.DUMMYFUNCTION("""COMPUTED_VALUE"""),97.15)</f>
        <v/>
      </c>
      <c r="D60" s="141">
        <f>IFERROR(__xludf.DUMMYFUNCTION("""COMPUTED_VALUE"""),97.22)</f>
        <v/>
      </c>
      <c r="E60" s="141">
        <f>IFERROR(__xludf.DUMMYFUNCTION("""COMPUTED_VALUE"""),97.1)</f>
        <v/>
      </c>
      <c r="F60" s="141">
        <f>IFERROR(__xludf.DUMMYFUNCTION("""COMPUTED_VALUE"""),97.14)</f>
        <v/>
      </c>
      <c r="G60" s="143">
        <f>IFERROR(__xludf.DUMMYFUNCTION("""COMPUTED_VALUE"""),4990170)</f>
        <v/>
      </c>
      <c r="H60" s="27" t="n"/>
    </row>
    <row r="61" ht="17.25" customHeight="1" s="322">
      <c r="A61" s="27" t="n"/>
      <c r="B61" s="506">
        <f>IFERROR(__xludf.DUMMYFUNCTION("""COMPUTED_VALUE"""),45916.6666666666)</f>
        <v/>
      </c>
      <c r="C61" s="141">
        <f>IFERROR(__xludf.DUMMYFUNCTION("""COMPUTED_VALUE"""),97.15)</f>
        <v/>
      </c>
      <c r="D61" s="141">
        <f>IFERROR(__xludf.DUMMYFUNCTION("""COMPUTED_VALUE"""),97.29)</f>
        <v/>
      </c>
      <c r="E61" s="141">
        <f>IFERROR(__xludf.DUMMYFUNCTION("""COMPUTED_VALUE"""),97.11)</f>
        <v/>
      </c>
      <c r="F61" s="141">
        <f>IFERROR(__xludf.DUMMYFUNCTION("""COMPUTED_VALUE"""),97.2)</f>
        <v/>
      </c>
      <c r="G61" s="143">
        <f>IFERROR(__xludf.DUMMYFUNCTION("""COMPUTED_VALUE"""),5848078)</f>
        <v/>
      </c>
      <c r="H61" s="27" t="n"/>
    </row>
    <row r="62" ht="17.25" customHeight="1" s="322">
      <c r="A62" s="27" t="n"/>
      <c r="B62" s="506">
        <f>IFERROR(__xludf.DUMMYFUNCTION("""COMPUTED_VALUE"""),45917.6666666666)</f>
        <v/>
      </c>
      <c r="C62" s="141">
        <f>IFERROR(__xludf.DUMMYFUNCTION("""COMPUTED_VALUE"""),97.3)</f>
        <v/>
      </c>
      <c r="D62" s="141">
        <f>IFERROR(__xludf.DUMMYFUNCTION("""COMPUTED_VALUE"""),97.52)</f>
        <v/>
      </c>
      <c r="E62" s="141">
        <f>IFERROR(__xludf.DUMMYFUNCTION("""COMPUTED_VALUE"""),96.87)</f>
        <v/>
      </c>
      <c r="F62" s="141">
        <f>IFERROR(__xludf.DUMMYFUNCTION("""COMPUTED_VALUE"""),96.99)</f>
        <v/>
      </c>
      <c r="G62" s="143">
        <f>IFERROR(__xludf.DUMMYFUNCTION("""COMPUTED_VALUE"""),10701673)</f>
        <v/>
      </c>
      <c r="H62" s="27" t="n"/>
    </row>
    <row r="63" ht="17.25" customHeight="1" s="322">
      <c r="A63" s="27" t="n"/>
      <c r="B63" s="506">
        <f>IFERROR(__xludf.DUMMYFUNCTION("""COMPUTED_VALUE"""),45918.6666666666)</f>
        <v/>
      </c>
      <c r="C63" s="141">
        <f>IFERROR(__xludf.DUMMYFUNCTION("""COMPUTED_VALUE"""),96.65)</f>
        <v/>
      </c>
      <c r="D63" s="141">
        <f>IFERROR(__xludf.DUMMYFUNCTION("""COMPUTED_VALUE"""),96.81)</f>
        <v/>
      </c>
      <c r="E63" s="141">
        <f>IFERROR(__xludf.DUMMYFUNCTION("""COMPUTED_VALUE"""),96.51)</f>
        <v/>
      </c>
      <c r="F63" s="141">
        <f>IFERROR(__xludf.DUMMYFUNCTION("""COMPUTED_VALUE"""),96.67)</f>
        <v/>
      </c>
      <c r="G63" s="143">
        <f>IFERROR(__xludf.DUMMYFUNCTION("""COMPUTED_VALUE"""),7589507)</f>
        <v/>
      </c>
      <c r="H63" s="27" t="n"/>
    </row>
    <row r="64" ht="17.25" customHeight="1" s="322">
      <c r="A64" s="27" t="n"/>
      <c r="B64" s="506">
        <f>IFERROR(__xludf.DUMMYFUNCTION("""COMPUTED_VALUE"""),45919.6666666666)</f>
        <v/>
      </c>
      <c r="C64" s="141">
        <f>IFERROR(__xludf.DUMMYFUNCTION("""COMPUTED_VALUE"""),96.62)</f>
        <v/>
      </c>
      <c r="D64" s="141">
        <f>IFERROR(__xludf.DUMMYFUNCTION("""COMPUTED_VALUE"""),96.7)</f>
        <v/>
      </c>
      <c r="E64" s="141">
        <f>IFERROR(__xludf.DUMMYFUNCTION("""COMPUTED_VALUE"""),96.5)</f>
        <v/>
      </c>
      <c r="F64" s="141">
        <f>IFERROR(__xludf.DUMMYFUNCTION("""COMPUTED_VALUE"""),96.63)</f>
        <v/>
      </c>
      <c r="G64" s="143">
        <f>IFERROR(__xludf.DUMMYFUNCTION("""COMPUTED_VALUE"""),5528784)</f>
        <v/>
      </c>
      <c r="H64" s="27" t="n"/>
    </row>
    <row r="65" ht="17.25" customHeight="1" s="322">
      <c r="A65" s="27" t="n"/>
      <c r="B65" s="506">
        <f>IFERROR(__xludf.DUMMYFUNCTION("""COMPUTED_VALUE"""),45922.6666666666)</f>
        <v/>
      </c>
      <c r="C65" s="141">
        <f>IFERROR(__xludf.DUMMYFUNCTION("""COMPUTED_VALUE"""),96.63)</f>
        <v/>
      </c>
      <c r="D65" s="141">
        <f>IFERROR(__xludf.DUMMYFUNCTION("""COMPUTED_VALUE"""),96.66)</f>
        <v/>
      </c>
      <c r="E65" s="141">
        <f>IFERROR(__xludf.DUMMYFUNCTION("""COMPUTED_VALUE"""),96.46)</f>
        <v/>
      </c>
      <c r="F65" s="141">
        <f>IFERROR(__xludf.DUMMYFUNCTION("""COMPUTED_VALUE"""),96.47)</f>
        <v/>
      </c>
      <c r="G65" s="143">
        <f>IFERROR(__xludf.DUMMYFUNCTION("""COMPUTED_VALUE"""),5282779)</f>
        <v/>
      </c>
      <c r="H65" s="27" t="n"/>
    </row>
    <row r="66" ht="17.25" customHeight="1" s="322">
      <c r="A66" s="27" t="n"/>
      <c r="B66" s="506">
        <f>IFERROR(__xludf.DUMMYFUNCTION("""COMPUTED_VALUE"""),45923.6666666666)</f>
        <v/>
      </c>
      <c r="C66" s="141">
        <f>IFERROR(__xludf.DUMMYFUNCTION("""COMPUTED_VALUE"""),96.61)</f>
        <v/>
      </c>
      <c r="D66" s="141">
        <f>IFERROR(__xludf.DUMMYFUNCTION("""COMPUTED_VALUE"""),96.75)</f>
        <v/>
      </c>
      <c r="E66" s="141">
        <f>IFERROR(__xludf.DUMMYFUNCTION("""COMPUTED_VALUE"""),96.49)</f>
        <v/>
      </c>
      <c r="F66" s="141">
        <f>IFERROR(__xludf.DUMMYFUNCTION("""COMPUTED_VALUE"""),96.74)</f>
        <v/>
      </c>
      <c r="G66" s="143">
        <f>IFERROR(__xludf.DUMMYFUNCTION("""COMPUTED_VALUE"""),7077910)</f>
        <v/>
      </c>
      <c r="H66" s="27" t="n"/>
    </row>
    <row r="67" ht="17.25" customHeight="1" s="322">
      <c r="A67" s="27" t="n"/>
      <c r="B67" s="506">
        <f>IFERROR(__xludf.DUMMYFUNCTION("""COMPUTED_VALUE"""),45924.6666666666)</f>
        <v/>
      </c>
      <c r="C67" s="141">
        <f>IFERROR(__xludf.DUMMYFUNCTION("""COMPUTED_VALUE"""),96.62)</f>
        <v/>
      </c>
      <c r="D67" s="141">
        <f>IFERROR(__xludf.DUMMYFUNCTION("""COMPUTED_VALUE"""),96.63)</f>
        <v/>
      </c>
      <c r="E67" s="141">
        <f>IFERROR(__xludf.DUMMYFUNCTION("""COMPUTED_VALUE"""),96.44)</f>
        <v/>
      </c>
      <c r="F67" s="141">
        <f>IFERROR(__xludf.DUMMYFUNCTION("""COMPUTED_VALUE"""),96.48)</f>
        <v/>
      </c>
      <c r="G67" s="143">
        <f>IFERROR(__xludf.DUMMYFUNCTION("""COMPUTED_VALUE"""),5419806)</f>
        <v/>
      </c>
      <c r="H67" s="27" t="n"/>
    </row>
    <row r="68" ht="17.25" customHeight="1" s="322">
      <c r="A68" s="27" t="n"/>
      <c r="B68" s="506">
        <f>IFERROR(__xludf.DUMMYFUNCTION("""COMPUTED_VALUE"""),45925.6666666666)</f>
        <v/>
      </c>
      <c r="C68" s="141">
        <f>IFERROR(__xludf.DUMMYFUNCTION("""COMPUTED_VALUE"""),96.26)</f>
        <v/>
      </c>
      <c r="D68" s="141">
        <f>IFERROR(__xludf.DUMMYFUNCTION("""COMPUTED_VALUE"""),96.32)</f>
        <v/>
      </c>
      <c r="E68" s="141">
        <f>IFERROR(__xludf.DUMMYFUNCTION("""COMPUTED_VALUE"""),96.1)</f>
        <v/>
      </c>
      <c r="F68" s="141">
        <f>IFERROR(__xludf.DUMMYFUNCTION("""COMPUTED_VALUE"""),96.27)</f>
        <v/>
      </c>
      <c r="G68" s="143">
        <f>IFERROR(__xludf.DUMMYFUNCTION("""COMPUTED_VALUE"""),6517524)</f>
        <v/>
      </c>
      <c r="H68" s="27" t="n"/>
    </row>
    <row r="69" ht="17.25" customHeight="1" s="322">
      <c r="A69" s="27" t="n"/>
      <c r="B69" s="506">
        <f>IFERROR(__xludf.DUMMYFUNCTION("""COMPUTED_VALUE"""),45926.6666666666)</f>
        <v/>
      </c>
      <c r="C69" s="141">
        <f>IFERROR(__xludf.DUMMYFUNCTION("""COMPUTED_VALUE"""),96.25)</f>
        <v/>
      </c>
      <c r="D69" s="141">
        <f>IFERROR(__xludf.DUMMYFUNCTION("""COMPUTED_VALUE"""),96.43)</f>
        <v/>
      </c>
      <c r="E69" s="141">
        <f>IFERROR(__xludf.DUMMYFUNCTION("""COMPUTED_VALUE"""),96.13)</f>
        <v/>
      </c>
      <c r="F69" s="141">
        <f>IFERROR(__xludf.DUMMYFUNCTION("""COMPUTED_VALUE"""),96.22)</f>
        <v/>
      </c>
      <c r="G69" s="143">
        <f>IFERROR(__xludf.DUMMYFUNCTION("""COMPUTED_VALUE"""),7295442)</f>
        <v/>
      </c>
      <c r="H69" s="27" t="n"/>
    </row>
    <row r="70" ht="17.25" customHeight="1" s="322">
      <c r="A70" s="27" t="n"/>
      <c r="B70" s="506">
        <f>IFERROR(__xludf.DUMMYFUNCTION("""COMPUTED_VALUE"""),45929.6666666666)</f>
        <v/>
      </c>
      <c r="C70" s="141">
        <f>IFERROR(__xludf.DUMMYFUNCTION("""COMPUTED_VALUE"""),96.34)</f>
        <v/>
      </c>
      <c r="D70" s="141">
        <f>IFERROR(__xludf.DUMMYFUNCTION("""COMPUTED_VALUE"""),96.55)</f>
        <v/>
      </c>
      <c r="E70" s="141">
        <f>IFERROR(__xludf.DUMMYFUNCTION("""COMPUTED_VALUE"""),96.33)</f>
        <v/>
      </c>
      <c r="F70" s="141">
        <f>IFERROR(__xludf.DUMMYFUNCTION("""COMPUTED_VALUE"""),96.5)</f>
        <v/>
      </c>
      <c r="G70" s="143">
        <f>IFERROR(__xludf.DUMMYFUNCTION("""COMPUTED_VALUE"""),6357833)</f>
        <v/>
      </c>
      <c r="H70" s="27" t="n"/>
    </row>
    <row r="71" ht="17.25" customHeight="1" s="322">
      <c r="A71" s="27" t="n"/>
      <c r="B71" s="506">
        <f>IFERROR(__xludf.DUMMYFUNCTION("""COMPUTED_VALUE"""),45930.6666666666)</f>
        <v/>
      </c>
      <c r="C71" s="141">
        <f>IFERROR(__xludf.DUMMYFUNCTION("""COMPUTED_VALUE"""),96.58)</f>
        <v/>
      </c>
      <c r="D71" s="141">
        <f>IFERROR(__xludf.DUMMYFUNCTION("""COMPUTED_VALUE"""),96.76)</f>
        <v/>
      </c>
      <c r="E71" s="141">
        <f>IFERROR(__xludf.DUMMYFUNCTION("""COMPUTED_VALUE"""),96.42)</f>
        <v/>
      </c>
      <c r="F71" s="141">
        <f>IFERROR(__xludf.DUMMYFUNCTION("""COMPUTED_VALUE"""),96.46)</f>
        <v/>
      </c>
      <c r="G71" s="143">
        <f>IFERROR(__xludf.DUMMYFUNCTION("""COMPUTED_VALUE"""),9257812)</f>
        <v/>
      </c>
      <c r="H71" s="27" t="n"/>
    </row>
    <row r="72" ht="17.25" customHeight="1" s="322">
      <c r="A72" s="27" t="n"/>
      <c r="B72" s="506">
        <f>IFERROR(__xludf.DUMMYFUNCTION("""COMPUTED_VALUE"""),45931.6666666666)</f>
        <v/>
      </c>
      <c r="C72" s="141">
        <f>IFERROR(__xludf.DUMMYFUNCTION("""COMPUTED_VALUE"""),96.56)</f>
        <v/>
      </c>
      <c r="D72" s="141">
        <f>IFERROR(__xludf.DUMMYFUNCTION("""COMPUTED_VALUE"""),96.63)</f>
        <v/>
      </c>
      <c r="E72" s="141">
        <f>IFERROR(__xludf.DUMMYFUNCTION("""COMPUTED_VALUE"""),96.34)</f>
        <v/>
      </c>
      <c r="F72" s="141">
        <f>IFERROR(__xludf.DUMMYFUNCTION("""COMPUTED_VALUE"""),96.49)</f>
        <v/>
      </c>
      <c r="G72" s="143">
        <f>IFERROR(__xludf.DUMMYFUNCTION("""COMPUTED_VALUE"""),8347312)</f>
        <v/>
      </c>
      <c r="H72" s="27" t="n"/>
    </row>
    <row r="73" ht="17.25" customHeight="1" s="322">
      <c r="A73" s="27" t="n"/>
      <c r="B73" s="506">
        <f>IFERROR(__xludf.DUMMYFUNCTION("""COMPUTED_VALUE"""),45932.6666666666)</f>
        <v/>
      </c>
      <c r="C73" s="141">
        <f>IFERROR(__xludf.DUMMYFUNCTION("""COMPUTED_VALUE"""),96.45)</f>
        <v/>
      </c>
      <c r="D73" s="141">
        <f>IFERROR(__xludf.DUMMYFUNCTION("""COMPUTED_VALUE"""),96.65)</f>
        <v/>
      </c>
      <c r="E73" s="141">
        <f>IFERROR(__xludf.DUMMYFUNCTION("""COMPUTED_VALUE"""),96.39)</f>
        <v/>
      </c>
      <c r="F73" s="141">
        <f>IFERROR(__xludf.DUMMYFUNCTION("""COMPUTED_VALUE"""),96.59)</f>
        <v/>
      </c>
      <c r="G73" s="143">
        <f>IFERROR(__xludf.DUMMYFUNCTION("""COMPUTED_VALUE"""),9420929)</f>
        <v/>
      </c>
      <c r="H73" s="27" t="n"/>
    </row>
    <row r="74" ht="17.25" customHeight="1" s="322">
      <c r="A74" s="27" t="n"/>
      <c r="B74" s="506">
        <f>IFERROR(__xludf.DUMMYFUNCTION("""COMPUTED_VALUE"""),45933.6666666666)</f>
        <v/>
      </c>
      <c r="C74" s="141">
        <f>IFERROR(__xludf.DUMMYFUNCTION("""COMPUTED_VALUE"""),96.6)</f>
        <v/>
      </c>
      <c r="D74" s="141">
        <f>IFERROR(__xludf.DUMMYFUNCTION("""COMPUTED_VALUE"""),96.64)</f>
        <v/>
      </c>
      <c r="E74" s="141">
        <f>IFERROR(__xludf.DUMMYFUNCTION("""COMPUTED_VALUE"""),96.38)</f>
        <v/>
      </c>
      <c r="F74" s="141">
        <f>IFERROR(__xludf.DUMMYFUNCTION("""COMPUTED_VALUE"""),96.4)</f>
        <v/>
      </c>
      <c r="G74" s="143">
        <f>IFERROR(__xludf.DUMMYFUNCTION("""COMPUTED_VALUE"""),5154346)</f>
        <v/>
      </c>
      <c r="H74" s="27" t="n"/>
    </row>
    <row r="75" ht="17.25" customHeight="1" s="322">
      <c r="A75" s="27" t="n"/>
      <c r="B75" s="506">
        <f>IFERROR(__xludf.DUMMYFUNCTION("""COMPUTED_VALUE"""),45936.6666666666)</f>
        <v/>
      </c>
      <c r="C75" s="141">
        <f>IFERROR(__xludf.DUMMYFUNCTION("""COMPUTED_VALUE"""),96.17)</f>
        <v/>
      </c>
      <c r="D75" s="141">
        <f>IFERROR(__xludf.DUMMYFUNCTION("""COMPUTED_VALUE"""),96.34)</f>
        <v/>
      </c>
      <c r="E75" s="141">
        <f>IFERROR(__xludf.DUMMYFUNCTION("""COMPUTED_VALUE"""),96.11)</f>
        <v/>
      </c>
      <c r="F75" s="141">
        <f>IFERROR(__xludf.DUMMYFUNCTION("""COMPUTED_VALUE"""),96.12)</f>
        <v/>
      </c>
      <c r="G75" s="143">
        <f>IFERROR(__xludf.DUMMYFUNCTION("""COMPUTED_VALUE"""),6319630)</f>
        <v/>
      </c>
      <c r="H75" s="27" t="n"/>
    </row>
    <row r="76" ht="17.25" customHeight="1" s="322">
      <c r="A76" s="27" t="n"/>
      <c r="B76" s="506">
        <f>IFERROR(__xludf.DUMMYFUNCTION("""COMPUTED_VALUE"""),45937.6666666666)</f>
        <v/>
      </c>
      <c r="C76" s="141">
        <f>IFERROR(__xludf.DUMMYFUNCTION("""COMPUTED_VALUE"""),96.24)</f>
        <v/>
      </c>
      <c r="D76" s="141">
        <f>IFERROR(__xludf.DUMMYFUNCTION("""COMPUTED_VALUE"""),96.49)</f>
        <v/>
      </c>
      <c r="E76" s="141">
        <f>IFERROR(__xludf.DUMMYFUNCTION("""COMPUTED_VALUE"""),96.18)</f>
        <v/>
      </c>
      <c r="F76" s="141">
        <f>IFERROR(__xludf.DUMMYFUNCTION("""COMPUTED_VALUE"""),96.36)</f>
        <v/>
      </c>
      <c r="G76" s="143">
        <f>IFERROR(__xludf.DUMMYFUNCTION("""COMPUTED_VALUE"""),5120243)</f>
        <v/>
      </c>
      <c r="H76" s="27" t="n"/>
    </row>
    <row r="77" ht="17.25" customHeight="1" s="322">
      <c r="A77" s="27" t="n"/>
      <c r="B77" s="506">
        <f>IFERROR(__xludf.DUMMYFUNCTION("""COMPUTED_VALUE"""),45938.6666666666)</f>
        <v/>
      </c>
      <c r="C77" s="141">
        <f>IFERROR(__xludf.DUMMYFUNCTION("""COMPUTED_VALUE"""),96.54)</f>
        <v/>
      </c>
      <c r="D77" s="141">
        <f>IFERROR(__xludf.DUMMYFUNCTION("""COMPUTED_VALUE"""),96.56)</f>
        <v/>
      </c>
      <c r="E77" s="141">
        <f>IFERROR(__xludf.DUMMYFUNCTION("""COMPUTED_VALUE"""),96.32)</f>
        <v/>
      </c>
      <c r="F77" s="141">
        <f>IFERROR(__xludf.DUMMYFUNCTION("""COMPUTED_VALUE"""),96.38)</f>
        <v/>
      </c>
      <c r="G77" s="143">
        <f>IFERROR(__xludf.DUMMYFUNCTION("""COMPUTED_VALUE"""),5141866)</f>
        <v/>
      </c>
      <c r="H77" s="27" t="n"/>
    </row>
    <row r="78" ht="17.25" customHeight="1" s="322">
      <c r="A78" s="27" t="n"/>
      <c r="B78" s="506">
        <f>IFERROR(__xludf.DUMMYFUNCTION("""COMPUTED_VALUE"""),45939.6666666666)</f>
        <v/>
      </c>
      <c r="C78" s="141">
        <f>IFERROR(__xludf.DUMMYFUNCTION("""COMPUTED_VALUE"""),96.29)</f>
        <v/>
      </c>
      <c r="D78" s="141">
        <f>IFERROR(__xludf.DUMMYFUNCTION("""COMPUTED_VALUE"""),96.36)</f>
        <v/>
      </c>
      <c r="E78" s="141">
        <f>IFERROR(__xludf.DUMMYFUNCTION("""COMPUTED_VALUE"""),96.23)</f>
        <v/>
      </c>
      <c r="F78" s="141">
        <f>IFERROR(__xludf.DUMMYFUNCTION("""COMPUTED_VALUE"""),96.31)</f>
        <v/>
      </c>
      <c r="G78" s="143">
        <f>IFERROR(__xludf.DUMMYFUNCTION("""COMPUTED_VALUE"""),7130649)</f>
        <v/>
      </c>
      <c r="H78" s="27" t="n"/>
    </row>
    <row r="79" ht="17.25" customHeight="1" s="322">
      <c r="A79" s="27" t="n"/>
      <c r="B79" s="506">
        <f>IFERROR(__xludf.DUMMYFUNCTION("""COMPUTED_VALUE"""),45940.6666666666)</f>
        <v/>
      </c>
      <c r="C79" s="141">
        <f>IFERROR(__xludf.DUMMYFUNCTION("""COMPUTED_VALUE"""),96.65)</f>
        <v/>
      </c>
      <c r="D79" s="141">
        <f>IFERROR(__xludf.DUMMYFUNCTION("""COMPUTED_VALUE"""),97.02)</f>
        <v/>
      </c>
      <c r="E79" s="141">
        <f>IFERROR(__xludf.DUMMYFUNCTION("""COMPUTED_VALUE"""),96.57)</f>
        <v/>
      </c>
      <c r="F79" s="141">
        <f>IFERROR(__xludf.DUMMYFUNCTION("""COMPUTED_VALUE"""),96.91)</f>
        <v/>
      </c>
      <c r="G79" s="143">
        <f>IFERROR(__xludf.DUMMYFUNCTION("""COMPUTED_VALUE"""),10417700)</f>
        <v/>
      </c>
      <c r="H79" s="27" t="n"/>
    </row>
    <row r="80" ht="17.25" customHeight="1" s="322">
      <c r="A80" s="27" t="n"/>
      <c r="B80" s="506">
        <f>IFERROR(__xludf.DUMMYFUNCTION("""COMPUTED_VALUE"""),45943.6666666666)</f>
        <v/>
      </c>
      <c r="C80" s="141">
        <f>IFERROR(__xludf.DUMMYFUNCTION("""COMPUTED_VALUE"""),96.9)</f>
        <v/>
      </c>
      <c r="D80" s="141">
        <f>IFERROR(__xludf.DUMMYFUNCTION("""COMPUTED_VALUE"""),96.99)</f>
        <v/>
      </c>
      <c r="E80" s="141">
        <f>IFERROR(__xludf.DUMMYFUNCTION("""COMPUTED_VALUE"""),96.78)</f>
        <v/>
      </c>
      <c r="F80" s="141">
        <f>IFERROR(__xludf.DUMMYFUNCTION("""COMPUTED_VALUE"""),96.96)</f>
        <v/>
      </c>
      <c r="G80" s="143">
        <f>IFERROR(__xludf.DUMMYFUNCTION("""COMPUTED_VALUE"""),5607641)</f>
        <v/>
      </c>
      <c r="H80" s="27" t="n"/>
    </row>
    <row r="81" ht="17.25" customHeight="1" s="322">
      <c r="A81" s="27" t="n"/>
      <c r="B81" s="506">
        <f>IFERROR(__xludf.DUMMYFUNCTION("""COMPUTED_VALUE"""),45944.6666666666)</f>
        <v/>
      </c>
      <c r="C81" s="141">
        <f>IFERROR(__xludf.DUMMYFUNCTION("""COMPUTED_VALUE"""),97.06)</f>
        <v/>
      </c>
      <c r="D81" s="141">
        <f>IFERROR(__xludf.DUMMYFUNCTION("""COMPUTED_VALUE"""),97.24)</f>
        <v/>
      </c>
      <c r="E81" s="141">
        <f>IFERROR(__xludf.DUMMYFUNCTION("""COMPUTED_VALUE"""),96.98)</f>
        <v/>
      </c>
      <c r="F81" s="141">
        <f>IFERROR(__xludf.DUMMYFUNCTION("""COMPUTED_VALUE"""),97.21)</f>
        <v/>
      </c>
      <c r="G81" s="143">
        <f>IFERROR(__xludf.DUMMYFUNCTION("""COMPUTED_VALUE"""),7650640)</f>
        <v/>
      </c>
      <c r="H81" s="27" t="n"/>
    </row>
    <row r="82" ht="17.25" customHeight="1" s="322">
      <c r="A82" s="27" t="n"/>
      <c r="B82" s="506">
        <f>IFERROR(__xludf.DUMMYFUNCTION("""COMPUTED_VALUE"""),45945.6666666666)</f>
        <v/>
      </c>
      <c r="C82" s="141">
        <f>IFERROR(__xludf.DUMMYFUNCTION("""COMPUTED_VALUE"""),97.21)</f>
        <v/>
      </c>
      <c r="D82" s="141">
        <f>IFERROR(__xludf.DUMMYFUNCTION("""COMPUTED_VALUE"""),97.33)</f>
        <v/>
      </c>
      <c r="E82" s="141">
        <f>IFERROR(__xludf.DUMMYFUNCTION("""COMPUTED_VALUE"""),97.02)</f>
        <v/>
      </c>
      <c r="F82" s="141">
        <f>IFERROR(__xludf.DUMMYFUNCTION("""COMPUTED_VALUE"""),97.1)</f>
        <v/>
      </c>
      <c r="G82" s="143">
        <f>IFERROR(__xludf.DUMMYFUNCTION("""COMPUTED_VALUE"""),7769455)</f>
        <v/>
      </c>
      <c r="H82" s="27" t="n"/>
    </row>
    <row r="83" ht="17.25" customHeight="1" s="322">
      <c r="A83" s="27" t="n"/>
      <c r="B83" s="506">
        <f>IFERROR(__xludf.DUMMYFUNCTION("""COMPUTED_VALUE"""),45946.6666666666)</f>
        <v/>
      </c>
      <c r="C83" s="141">
        <f>IFERROR(__xludf.DUMMYFUNCTION("""COMPUTED_VALUE"""),97.02)</f>
        <v/>
      </c>
      <c r="D83" s="141">
        <f>IFERROR(__xludf.DUMMYFUNCTION("""COMPUTED_VALUE"""),97.59)</f>
        <v/>
      </c>
      <c r="E83" s="141">
        <f>IFERROR(__xludf.DUMMYFUNCTION("""COMPUTED_VALUE"""),97)</f>
        <v/>
      </c>
      <c r="F83" s="141">
        <f>IFERROR(__xludf.DUMMYFUNCTION("""COMPUTED_VALUE"""),97.55)</f>
        <v/>
      </c>
      <c r="G83" s="143">
        <f>IFERROR(__xludf.DUMMYFUNCTION("""COMPUTED_VALUE"""),11627164)</f>
        <v/>
      </c>
      <c r="H83" s="27" t="n"/>
    </row>
    <row r="84" ht="17.25" customHeight="1" s="322">
      <c r="A84" s="27" t="n"/>
      <c r="B84" s="506">
        <f>IFERROR(__xludf.DUMMYFUNCTION("""COMPUTED_VALUE"""),45947.6666666666)</f>
        <v/>
      </c>
      <c r="C84" s="141">
        <f>IFERROR(__xludf.DUMMYFUNCTION("""COMPUTED_VALUE"""),97.46)</f>
        <v/>
      </c>
      <c r="D84" s="141">
        <f>IFERROR(__xludf.DUMMYFUNCTION("""COMPUTED_VALUE"""),97.48)</f>
        <v/>
      </c>
      <c r="E84" s="141">
        <f>IFERROR(__xludf.DUMMYFUNCTION("""COMPUTED_VALUE"""),97.27)</f>
        <v/>
      </c>
      <c r="F84" s="141">
        <f>IFERROR(__xludf.DUMMYFUNCTION("""COMPUTED_VALUE"""),97.39)</f>
        <v/>
      </c>
      <c r="G84" s="143">
        <f>IFERROR(__xludf.DUMMYFUNCTION("""COMPUTED_VALUE"""),12491024)</f>
        <v/>
      </c>
      <c r="H84" s="27" t="n"/>
    </row>
    <row r="85" ht="17.25" customHeight="1" s="322">
      <c r="A85" s="27" t="n"/>
      <c r="B85" s="506">
        <f>IFERROR(__xludf.DUMMYFUNCTION("""COMPUTED_VALUE"""),45950.6666666666)</f>
        <v/>
      </c>
      <c r="C85" s="141">
        <f>IFERROR(__xludf.DUMMYFUNCTION("""COMPUTED_VALUE"""),97.45)</f>
        <v/>
      </c>
      <c r="D85" s="141">
        <f>IFERROR(__xludf.DUMMYFUNCTION("""COMPUTED_VALUE"""),97.53)</f>
        <v/>
      </c>
      <c r="E85" s="141">
        <f>IFERROR(__xludf.DUMMYFUNCTION("""COMPUTED_VALUE"""),97.37)</f>
        <v/>
      </c>
      <c r="F85" s="141">
        <f>IFERROR(__xludf.DUMMYFUNCTION("""COMPUTED_VALUE"""),97.52)</f>
        <v/>
      </c>
      <c r="G85" s="143">
        <f>IFERROR(__xludf.DUMMYFUNCTION("""COMPUTED_VALUE"""),10437930)</f>
        <v/>
      </c>
      <c r="H85" s="27" t="n"/>
    </row>
    <row r="86" ht="17.25" customHeight="1" s="322">
      <c r="A86" s="27" t="n"/>
      <c r="B86" s="506">
        <f>IFERROR(__xludf.DUMMYFUNCTION("""COMPUTED_VALUE"""),45951.6666666666)</f>
        <v/>
      </c>
      <c r="C86" s="141">
        <f>IFERROR(__xludf.DUMMYFUNCTION("""COMPUTED_VALUE"""),97.69)</f>
        <v/>
      </c>
      <c r="D86" s="141">
        <f>IFERROR(__xludf.DUMMYFUNCTION("""COMPUTED_VALUE"""),97.77)</f>
        <v/>
      </c>
      <c r="E86" s="141">
        <f>IFERROR(__xludf.DUMMYFUNCTION("""COMPUTED_VALUE"""),97.63)</f>
        <v/>
      </c>
      <c r="F86" s="141">
        <f>IFERROR(__xludf.DUMMYFUNCTION("""COMPUTED_VALUE"""),97.7)</f>
        <v/>
      </c>
      <c r="G86" s="143">
        <f>IFERROR(__xludf.DUMMYFUNCTION("""COMPUTED_VALUE"""),7641969)</f>
        <v/>
      </c>
      <c r="H86" s="27" t="n"/>
    </row>
    <row r="87" ht="17.25" customHeight="1" s="322">
      <c r="A87" s="27" t="n"/>
      <c r="B87" s="506">
        <f>IFERROR(__xludf.DUMMYFUNCTION("""COMPUTED_VALUE"""),45952.6666666666)</f>
        <v/>
      </c>
      <c r="C87" s="141">
        <f>IFERROR(__xludf.DUMMYFUNCTION("""COMPUTED_VALUE"""),97.65)</f>
        <v/>
      </c>
      <c r="D87" s="141">
        <f>IFERROR(__xludf.DUMMYFUNCTION("""COMPUTED_VALUE"""),97.77)</f>
        <v/>
      </c>
      <c r="E87" s="141">
        <f>IFERROR(__xludf.DUMMYFUNCTION("""COMPUTED_VALUE"""),97.56)</f>
        <v/>
      </c>
      <c r="F87" s="141">
        <f>IFERROR(__xludf.DUMMYFUNCTION("""COMPUTED_VALUE"""),97.72)</f>
        <v/>
      </c>
      <c r="G87" s="143">
        <f>IFERROR(__xludf.DUMMYFUNCTION("""COMPUTED_VALUE"""),6523872)</f>
        <v/>
      </c>
      <c r="H87" s="27" t="n"/>
    </row>
    <row r="88" ht="17.25" customHeight="1" s="322">
      <c r="A88" s="27" t="n"/>
      <c r="B88" s="506">
        <f>IFERROR(__xludf.DUMMYFUNCTION("""COMPUTED_VALUE"""),45953.6666666666)</f>
        <v/>
      </c>
      <c r="C88" s="141">
        <f>IFERROR(__xludf.DUMMYFUNCTION("""COMPUTED_VALUE"""),97.52)</f>
        <v/>
      </c>
      <c r="D88" s="141">
        <f>IFERROR(__xludf.DUMMYFUNCTION("""COMPUTED_VALUE"""),97.58)</f>
        <v/>
      </c>
      <c r="E88" s="141">
        <f>IFERROR(__xludf.DUMMYFUNCTION("""COMPUTED_VALUE"""),97.38)</f>
        <v/>
      </c>
      <c r="F88" s="141">
        <f>IFERROR(__xludf.DUMMYFUNCTION("""COMPUTED_VALUE"""),97.4)</f>
        <v/>
      </c>
      <c r="G88" s="143">
        <f>IFERROR(__xludf.DUMMYFUNCTION("""COMPUTED_VALUE"""),6138339)</f>
        <v/>
      </c>
      <c r="H88" s="27" t="n"/>
    </row>
    <row r="89" ht="17.25" customHeight="1" s="322">
      <c r="A89" s="27" t="n"/>
      <c r="B89" s="506">
        <f>IFERROR(__xludf.DUMMYFUNCTION("""COMPUTED_VALUE"""),45954.6666666666)</f>
        <v/>
      </c>
      <c r="C89" s="141">
        <f>IFERROR(__xludf.DUMMYFUNCTION("""COMPUTED_VALUE"""),97.52)</f>
        <v/>
      </c>
      <c r="D89" s="141">
        <f>IFERROR(__xludf.DUMMYFUNCTION("""COMPUTED_VALUE"""),97.54)</f>
        <v/>
      </c>
      <c r="E89" s="141">
        <f>IFERROR(__xludf.DUMMYFUNCTION("""COMPUTED_VALUE"""),97.33)</f>
        <v/>
      </c>
      <c r="F89" s="141">
        <f>IFERROR(__xludf.DUMMYFUNCTION("""COMPUTED_VALUE"""),97.49)</f>
        <v/>
      </c>
      <c r="G89" s="143">
        <f>IFERROR(__xludf.DUMMYFUNCTION("""COMPUTED_VALUE"""),7555376)</f>
        <v/>
      </c>
      <c r="H89" s="27" t="n"/>
    </row>
    <row r="90" ht="17.25" customHeight="1" s="322">
      <c r="A90" s="27" t="n"/>
      <c r="B90" s="506">
        <f>IFERROR(__xludf.DUMMYFUNCTION("""COMPUTED_VALUE"""),45957.6666666666)</f>
        <v/>
      </c>
      <c r="C90" s="141">
        <f>IFERROR(__xludf.DUMMYFUNCTION("""COMPUTED_VALUE"""),97.34)</f>
        <v/>
      </c>
      <c r="D90" s="141">
        <f>IFERROR(__xludf.DUMMYFUNCTION("""COMPUTED_VALUE"""),97.49)</f>
        <v/>
      </c>
      <c r="E90" s="141">
        <f>IFERROR(__xludf.DUMMYFUNCTION("""COMPUTED_VALUE"""),97.21)</f>
        <v/>
      </c>
      <c r="F90" s="141">
        <f>IFERROR(__xludf.DUMMYFUNCTION("""COMPUTED_VALUE"""),97.49)</f>
        <v/>
      </c>
      <c r="G90" s="143">
        <f>IFERROR(__xludf.DUMMYFUNCTION("""COMPUTED_VALUE"""),7272562)</f>
        <v/>
      </c>
      <c r="H90" s="27" t="n"/>
    </row>
    <row r="91" ht="17.25" customHeight="1" s="322">
      <c r="A91" s="27" t="n"/>
      <c r="B91" s="506">
        <f>IFERROR(__xludf.DUMMYFUNCTION("""COMPUTED_VALUE"""),45958.6666666666)</f>
        <v/>
      </c>
      <c r="C91" s="141">
        <f>IFERROR(__xludf.DUMMYFUNCTION("""COMPUTED_VALUE"""),97.43)</f>
        <v/>
      </c>
      <c r="D91" s="141">
        <f>IFERROR(__xludf.DUMMYFUNCTION("""COMPUTED_VALUE"""),97.63)</f>
        <v/>
      </c>
      <c r="E91" s="141">
        <f>IFERROR(__xludf.DUMMYFUNCTION("""COMPUTED_VALUE"""),97.43)</f>
        <v/>
      </c>
      <c r="F91" s="141">
        <f>IFERROR(__xludf.DUMMYFUNCTION("""COMPUTED_VALUE"""),97.58)</f>
        <v/>
      </c>
      <c r="G91" s="143">
        <f>IFERROR(__xludf.DUMMYFUNCTION("""COMPUTED_VALUE"""),5539644)</f>
        <v/>
      </c>
      <c r="H91" s="27" t="n"/>
    </row>
    <row r="92" ht="17.25" customHeight="1" s="322">
      <c r="A92" s="27" t="n"/>
      <c r="B92" s="506">
        <f>IFERROR(__xludf.DUMMYFUNCTION("""COMPUTED_VALUE"""),45959.6666666666)</f>
        <v/>
      </c>
      <c r="C92" s="141">
        <f>IFERROR(__xludf.DUMMYFUNCTION("""COMPUTED_VALUE"""),97.53)</f>
        <v/>
      </c>
      <c r="D92" s="141">
        <f>IFERROR(__xludf.DUMMYFUNCTION("""COMPUTED_VALUE"""),97.53)</f>
        <v/>
      </c>
      <c r="E92" s="141">
        <f>IFERROR(__xludf.DUMMYFUNCTION("""COMPUTED_VALUE"""),96.9)</f>
        <v/>
      </c>
      <c r="F92" s="141">
        <f>IFERROR(__xludf.DUMMYFUNCTION("""COMPUTED_VALUE"""),96.95)</f>
        <v/>
      </c>
      <c r="G92" s="143">
        <f>IFERROR(__xludf.DUMMYFUNCTION("""COMPUTED_VALUE"""),11223261)</f>
        <v/>
      </c>
      <c r="H92" s="27" t="n"/>
    </row>
    <row r="93" ht="17.25" customHeight="1" s="322">
      <c r="A93" s="27" t="n"/>
      <c r="B93" s="506">
        <f>IFERROR(__xludf.DUMMYFUNCTION("""COMPUTED_VALUE"""),45960.6666666666)</f>
        <v/>
      </c>
      <c r="C93" s="141">
        <f>IFERROR(__xludf.DUMMYFUNCTION("""COMPUTED_VALUE"""),96.67)</f>
        <v/>
      </c>
      <c r="D93" s="141">
        <f>IFERROR(__xludf.DUMMYFUNCTION("""COMPUTED_VALUE"""),96.96)</f>
        <v/>
      </c>
      <c r="E93" s="141">
        <f>IFERROR(__xludf.DUMMYFUNCTION("""COMPUTED_VALUE"""),96.65)</f>
        <v/>
      </c>
      <c r="F93" s="141">
        <f>IFERROR(__xludf.DUMMYFUNCTION("""COMPUTED_VALUE"""),96.81)</f>
        <v/>
      </c>
      <c r="G93" s="143">
        <f>IFERROR(__xludf.DUMMYFUNCTION("""COMPUTED_VALUE"""),8958961)</f>
        <v/>
      </c>
      <c r="H93" s="27" t="n"/>
    </row>
    <row r="94" ht="17.25" customHeight="1" s="322">
      <c r="A94" s="27" t="n"/>
      <c r="B94" s="506">
        <f>IFERROR(__xludf.DUMMYFUNCTION("""COMPUTED_VALUE"""),45961.6666666666)</f>
        <v/>
      </c>
      <c r="C94" s="141">
        <f>IFERROR(__xludf.DUMMYFUNCTION("""COMPUTED_VALUE"""),96.87)</f>
        <v/>
      </c>
      <c r="D94" s="141">
        <f>IFERROR(__xludf.DUMMYFUNCTION("""COMPUTED_VALUE"""),96.95)</f>
        <v/>
      </c>
      <c r="E94" s="141">
        <f>IFERROR(__xludf.DUMMYFUNCTION("""COMPUTED_VALUE"""),96.79)</f>
        <v/>
      </c>
      <c r="F94" s="141">
        <f>IFERROR(__xludf.DUMMYFUNCTION("""COMPUTED_VALUE"""),96.85)</f>
        <v/>
      </c>
      <c r="G94" s="143">
        <f>IFERROR(__xludf.DUMMYFUNCTION("""COMPUTED_VALUE"""),9739897)</f>
        <v/>
      </c>
      <c r="H94" s="27" t="n"/>
    </row>
    <row r="95" ht="17.25" customHeight="1" s="322">
      <c r="A95" s="27" t="n"/>
      <c r="B95" s="506">
        <f>IFERROR(__xludf.DUMMYFUNCTION("""COMPUTED_VALUE"""),45964.6666666666)</f>
        <v/>
      </c>
      <c r="C95" s="141">
        <f>IFERROR(__xludf.DUMMYFUNCTION("""COMPUTED_VALUE"""),96.42)</f>
        <v/>
      </c>
      <c r="D95" s="141">
        <f>IFERROR(__xludf.DUMMYFUNCTION("""COMPUTED_VALUE"""),96.56)</f>
        <v/>
      </c>
      <c r="E95" s="141">
        <f>IFERROR(__xludf.DUMMYFUNCTION("""COMPUTED_VALUE"""),96.37)</f>
        <v/>
      </c>
      <c r="F95" s="141">
        <f>IFERROR(__xludf.DUMMYFUNCTION("""COMPUTED_VALUE"""),96.5)</f>
        <v/>
      </c>
      <c r="G95" s="143">
        <f>IFERROR(__xludf.DUMMYFUNCTION("""COMPUTED_VALUE"""),8012728)</f>
        <v/>
      </c>
      <c r="H95" s="27" t="n"/>
    </row>
    <row r="96" ht="17.25" customHeight="1" s="322">
      <c r="A96" s="27" t="n"/>
      <c r="B96" s="506">
        <f>IFERROR(__xludf.DUMMYFUNCTION("""COMPUTED_VALUE"""),45965.6666666666)</f>
        <v/>
      </c>
      <c r="C96" s="141">
        <f>IFERROR(__xludf.DUMMYFUNCTION("""COMPUTED_VALUE"""),96.57)</f>
        <v/>
      </c>
      <c r="D96" s="141">
        <f>IFERROR(__xludf.DUMMYFUNCTION("""COMPUTED_VALUE"""),96.67)</f>
        <v/>
      </c>
      <c r="E96" s="141">
        <f>IFERROR(__xludf.DUMMYFUNCTION("""COMPUTED_VALUE"""),96.55)</f>
        <v/>
      </c>
      <c r="F96" s="141">
        <f>IFERROR(__xludf.DUMMYFUNCTION("""COMPUTED_VALUE"""),96.62)</f>
        <v/>
      </c>
      <c r="G96" s="143">
        <f>IFERROR(__xludf.DUMMYFUNCTION("""COMPUTED_VALUE"""),6118993)</f>
        <v/>
      </c>
      <c r="H96" s="27" t="n"/>
    </row>
    <row r="97" ht="17.25" customHeight="1" s="322">
      <c r="A97" s="27" t="n"/>
      <c r="B97" s="506">
        <f>IFERROR(__xludf.DUMMYFUNCTION("""COMPUTED_VALUE"""),45966.6666666666)</f>
        <v/>
      </c>
      <c r="C97" s="141">
        <f>IFERROR(__xludf.DUMMYFUNCTION("""COMPUTED_VALUE"""),96.45)</f>
        <v/>
      </c>
      <c r="D97" s="141">
        <f>IFERROR(__xludf.DUMMYFUNCTION("""COMPUTED_VALUE"""),96.47)</f>
        <v/>
      </c>
      <c r="E97" s="141">
        <f>IFERROR(__xludf.DUMMYFUNCTION("""COMPUTED_VALUE"""),96.13)</f>
        <v/>
      </c>
      <c r="F97" s="141">
        <f>IFERROR(__xludf.DUMMYFUNCTION("""COMPUTED_VALUE"""),96.16)</f>
        <v/>
      </c>
      <c r="G97" s="143">
        <f>IFERROR(__xludf.DUMMYFUNCTION("""COMPUTED_VALUE"""),11749244)</f>
        <v/>
      </c>
      <c r="H97" s="27" t="n"/>
    </row>
    <row r="98" ht="17.25" customHeight="1" s="322">
      <c r="A98" s="27" t="n"/>
      <c r="B98" s="506">
        <f>IFERROR(__xludf.DUMMYFUNCTION("""COMPUTED_VALUE"""),45967.6666666666)</f>
        <v/>
      </c>
      <c r="C98" s="141">
        <f>IFERROR(__xludf.DUMMYFUNCTION("""COMPUTED_VALUE"""),96.52)</f>
        <v/>
      </c>
      <c r="D98" s="141">
        <f>IFERROR(__xludf.DUMMYFUNCTION("""COMPUTED_VALUE"""),96.72)</f>
        <v/>
      </c>
      <c r="E98" s="141">
        <f>IFERROR(__xludf.DUMMYFUNCTION("""COMPUTED_VALUE"""),96.51)</f>
        <v/>
      </c>
      <c r="F98" s="141">
        <f>IFERROR(__xludf.DUMMYFUNCTION("""COMPUTED_VALUE"""),96.65)</f>
        <v/>
      </c>
      <c r="G98" s="143">
        <f>IFERROR(__xludf.DUMMYFUNCTION("""COMPUTED_VALUE"""),7665059)</f>
        <v/>
      </c>
      <c r="H98" s="27" t="n"/>
    </row>
    <row r="99" ht="17.25" customHeight="1" s="322">
      <c r="A99" s="27" t="n"/>
      <c r="B99" s="506">
        <f>IFERROR(__xludf.DUMMYFUNCTION("""COMPUTED_VALUE"""),45968.6666666666)</f>
        <v/>
      </c>
      <c r="C99" s="141">
        <f>IFERROR(__xludf.DUMMYFUNCTION("""COMPUTED_VALUE"""),96.56)</f>
        <v/>
      </c>
      <c r="D99" s="141">
        <f>IFERROR(__xludf.DUMMYFUNCTION("""COMPUTED_VALUE"""),96.86)</f>
        <v/>
      </c>
      <c r="E99" s="141">
        <f>IFERROR(__xludf.DUMMYFUNCTION("""COMPUTED_VALUE"""),96.55)</f>
        <v/>
      </c>
      <c r="F99" s="141">
        <f>IFERROR(__xludf.DUMMYFUNCTION("""COMPUTED_VALUE"""),96.69)</f>
        <v/>
      </c>
      <c r="G99" s="143">
        <f>IFERROR(__xludf.DUMMYFUNCTION("""COMPUTED_VALUE"""),11460285)</f>
        <v/>
      </c>
      <c r="H99" s="27" t="n"/>
    </row>
    <row r="100" ht="17.25" customHeight="1" s="322">
      <c r="A100" s="27" t="n"/>
      <c r="B100" s="506">
        <f>IFERROR(__xludf.DUMMYFUNCTION("""COMPUTED_VALUE"""),45971.6666666666)</f>
        <v/>
      </c>
      <c r="C100" s="141">
        <f>IFERROR(__xludf.DUMMYFUNCTION("""COMPUTED_VALUE"""),96.57)</f>
        <v/>
      </c>
      <c r="D100" s="141">
        <f>IFERROR(__xludf.DUMMYFUNCTION("""COMPUTED_VALUE"""),96.65)</f>
        <v/>
      </c>
      <c r="E100" s="141">
        <f>IFERROR(__xludf.DUMMYFUNCTION("""COMPUTED_VALUE"""),96.51)</f>
        <v/>
      </c>
      <c r="F100" s="141">
        <f>IFERROR(__xludf.DUMMYFUNCTION("""COMPUTED_VALUE"""),96.56)</f>
        <v/>
      </c>
      <c r="G100" s="143">
        <f>IFERROR(__xludf.DUMMYFUNCTION("""COMPUTED_VALUE"""),9097469)</f>
        <v/>
      </c>
      <c r="H100" s="27" t="n"/>
    </row>
    <row r="101" ht="17.25" customHeight="1" s="322">
      <c r="A101" s="27" t="n"/>
      <c r="B101" s="506">
        <f>IFERROR(__xludf.DUMMYFUNCTION("""COMPUTED_VALUE"""),45972.6666666666)</f>
        <v/>
      </c>
      <c r="C101" s="141">
        <f>IFERROR(__xludf.DUMMYFUNCTION("""COMPUTED_VALUE"""),96.81)</f>
        <v/>
      </c>
      <c r="D101" s="141">
        <f>IFERROR(__xludf.DUMMYFUNCTION("""COMPUTED_VALUE"""),96.89)</f>
        <v/>
      </c>
      <c r="E101" s="141">
        <f>IFERROR(__xludf.DUMMYFUNCTION("""COMPUTED_VALUE"""),96.73)</f>
        <v/>
      </c>
      <c r="F101" s="141">
        <f>IFERROR(__xludf.DUMMYFUNCTION("""COMPUTED_VALUE"""),96.86)</f>
        <v/>
      </c>
      <c r="G101" s="143">
        <f>IFERROR(__xludf.DUMMYFUNCTION("""COMPUTED_VALUE"""),4937742)</f>
        <v/>
      </c>
      <c r="H101" s="27" t="n"/>
    </row>
    <row r="102" ht="17.25" customHeight="1" s="322">
      <c r="A102" s="27" t="n"/>
      <c r="B102" s="506">
        <f>IFERROR(__xludf.DUMMYFUNCTION("""COMPUTED_VALUE"""),45973.6666666666)</f>
        <v/>
      </c>
      <c r="C102" s="141">
        <f>IFERROR(__xludf.DUMMYFUNCTION("""COMPUTED_VALUE"""),96.81)</f>
        <v/>
      </c>
      <c r="D102" s="141">
        <f>IFERROR(__xludf.DUMMYFUNCTION("""COMPUTED_VALUE"""),96.95)</f>
        <v/>
      </c>
      <c r="E102" s="141">
        <f>IFERROR(__xludf.DUMMYFUNCTION("""COMPUTED_VALUE"""),96.78)</f>
        <v/>
      </c>
      <c r="F102" s="141">
        <f>IFERROR(__xludf.DUMMYFUNCTION("""COMPUTED_VALUE"""),96.88)</f>
        <v/>
      </c>
      <c r="G102" s="143">
        <f>IFERROR(__xludf.DUMMYFUNCTION("""COMPUTED_VALUE"""),7188206)</f>
        <v/>
      </c>
      <c r="H102" s="27" t="n"/>
    </row>
    <row r="103" ht="17.25" customHeight="1" s="322">
      <c r="A103" s="27" t="n"/>
      <c r="B103" s="506">
        <f>IFERROR(__xludf.DUMMYFUNCTION("""COMPUTED_VALUE"""),45974.6666666666)</f>
        <v/>
      </c>
      <c r="C103" s="141">
        <f>IFERROR(__xludf.DUMMYFUNCTION("""COMPUTED_VALUE"""),96.65)</f>
        <v/>
      </c>
      <c r="D103" s="141">
        <f>IFERROR(__xludf.DUMMYFUNCTION("""COMPUTED_VALUE"""),96.8)</f>
        <v/>
      </c>
      <c r="E103" s="141">
        <f>IFERROR(__xludf.DUMMYFUNCTION("""COMPUTED_VALUE"""),96.6)</f>
        <v/>
      </c>
      <c r="F103" s="141">
        <f>IFERROR(__xludf.DUMMYFUNCTION("""COMPUTED_VALUE"""),96.6)</f>
        <v/>
      </c>
      <c r="G103" s="143">
        <f>IFERROR(__xludf.DUMMYFUNCTION("""COMPUTED_VALUE"""),46965594)</f>
        <v/>
      </c>
      <c r="H103" s="27" t="n"/>
    </row>
    <row r="104" ht="17.25" customHeight="1" s="322">
      <c r="A104" s="27" t="n"/>
      <c r="B104" s="506">
        <f>IFERROR(__xludf.DUMMYFUNCTION("""COMPUTED_VALUE"""),45975.6666666666)</f>
        <v/>
      </c>
      <c r="C104" s="141">
        <f>IFERROR(__xludf.DUMMYFUNCTION("""COMPUTED_VALUE"""),96.88)</f>
        <v/>
      </c>
      <c r="D104" s="141">
        <f>IFERROR(__xludf.DUMMYFUNCTION("""COMPUTED_VALUE"""),96.93)</f>
        <v/>
      </c>
      <c r="E104" s="141">
        <f>IFERROR(__xludf.DUMMYFUNCTION("""COMPUTED_VALUE"""),96.42)</f>
        <v/>
      </c>
      <c r="F104" s="141">
        <f>IFERROR(__xludf.DUMMYFUNCTION("""COMPUTED_VALUE"""),96.44)</f>
        <v/>
      </c>
      <c r="G104" s="143">
        <f>IFERROR(__xludf.DUMMYFUNCTION("""COMPUTED_VALUE"""),11288457)</f>
        <v/>
      </c>
      <c r="H104" s="27" t="n"/>
    </row>
    <row r="105" ht="17.25" customHeight="1" s="322">
      <c r="A105" s="27" t="n"/>
      <c r="B105" s="506">
        <f>IFERROR(__xludf.DUMMYFUNCTION("""COMPUTED_VALUE"""),45978.6666666666)</f>
        <v/>
      </c>
      <c r="C105" s="141">
        <f>IFERROR(__xludf.DUMMYFUNCTION("""COMPUTED_VALUE"""),96.54)</f>
        <v/>
      </c>
      <c r="D105" s="141">
        <f>IFERROR(__xludf.DUMMYFUNCTION("""COMPUTED_VALUE"""),96.62)</f>
        <v/>
      </c>
      <c r="E105" s="141">
        <f>IFERROR(__xludf.DUMMYFUNCTION("""COMPUTED_VALUE"""),96.49)</f>
        <v/>
      </c>
      <c r="F105" s="141">
        <f>IFERROR(__xludf.DUMMYFUNCTION("""COMPUTED_VALUE"""),96.55)</f>
        <v/>
      </c>
      <c r="G105" s="143">
        <f>IFERROR(__xludf.DUMMYFUNCTION("""COMPUTED_VALUE"""),6648754)</f>
        <v/>
      </c>
      <c r="H105" s="27" t="n"/>
    </row>
    <row r="106" ht="17.25" customHeight="1" s="322">
      <c r="A106" s="27" t="n"/>
      <c r="B106" s="506">
        <f>IFERROR(__xludf.DUMMYFUNCTION("""COMPUTED_VALUE"""),45979.6666666666)</f>
        <v/>
      </c>
      <c r="C106" s="141">
        <f>IFERROR(__xludf.DUMMYFUNCTION("""COMPUTED_VALUE"""),96.84)</f>
        <v/>
      </c>
      <c r="D106" s="141">
        <f>IFERROR(__xludf.DUMMYFUNCTION("""COMPUTED_VALUE"""),96.93)</f>
        <v/>
      </c>
      <c r="E106" s="141">
        <f>IFERROR(__xludf.DUMMYFUNCTION("""COMPUTED_VALUE"""),96.57)</f>
        <v/>
      </c>
      <c r="F106" s="141">
        <f>IFERROR(__xludf.DUMMYFUNCTION("""COMPUTED_VALUE"""),96.71)</f>
        <v/>
      </c>
      <c r="G106" s="143">
        <f>IFERROR(__xludf.DUMMYFUNCTION("""COMPUTED_VALUE"""),8769024)</f>
        <v/>
      </c>
      <c r="H106" s="27" t="n"/>
    </row>
    <row r="107" ht="17.25" customHeight="1" s="322">
      <c r="A107" s="27" t="n"/>
      <c r="B107" s="506">
        <f>IFERROR(__xludf.DUMMYFUNCTION("""COMPUTED_VALUE"""),45980.6666666666)</f>
        <v/>
      </c>
      <c r="C107" s="141">
        <f>IFERROR(__xludf.DUMMYFUNCTION("""COMPUTED_VALUE"""),96.81)</f>
        <v/>
      </c>
      <c r="D107" s="141">
        <f>IFERROR(__xludf.DUMMYFUNCTION("""COMPUTED_VALUE"""),96.86)</f>
        <v/>
      </c>
      <c r="E107" s="141">
        <f>IFERROR(__xludf.DUMMYFUNCTION("""COMPUTED_VALUE"""),96.6)</f>
        <v/>
      </c>
      <c r="F107" s="141">
        <f>IFERROR(__xludf.DUMMYFUNCTION("""COMPUTED_VALUE"""),96.64)</f>
        <v/>
      </c>
      <c r="G107" s="143">
        <f>IFERROR(__xludf.DUMMYFUNCTION("""COMPUTED_VALUE"""),13075930)</f>
        <v/>
      </c>
      <c r="H107" s="27" t="n"/>
    </row>
    <row r="108" ht="17.25" customHeight="1" s="322">
      <c r="A108" s="27" t="n"/>
      <c r="B108" s="506">
        <f>IFERROR(__xludf.DUMMYFUNCTION("""COMPUTED_VALUE"""),45981.6666666666)</f>
        <v/>
      </c>
      <c r="C108" s="141">
        <f>IFERROR(__xludf.DUMMYFUNCTION("""COMPUTED_VALUE"""),96.74)</f>
        <v/>
      </c>
      <c r="D108" s="141">
        <f>IFERROR(__xludf.DUMMYFUNCTION("""COMPUTED_VALUE"""),96.95)</f>
        <v/>
      </c>
      <c r="E108" s="141">
        <f>IFERROR(__xludf.DUMMYFUNCTION("""COMPUTED_VALUE"""),96.7)</f>
        <v/>
      </c>
      <c r="F108" s="141">
        <f>IFERROR(__xludf.DUMMYFUNCTION("""COMPUTED_VALUE"""),96.87)</f>
        <v/>
      </c>
      <c r="G108" s="143">
        <f>IFERROR(__xludf.DUMMYFUNCTION("""COMPUTED_VALUE"""),9076414)</f>
        <v/>
      </c>
      <c r="H108" s="27" t="n"/>
    </row>
    <row r="109" ht="17.25" customHeight="1" s="322">
      <c r="A109" s="27" t="n"/>
      <c r="B109" s="506">
        <f>IFERROR(__xludf.DUMMYFUNCTION("""COMPUTED_VALUE"""),45982.6666666666)</f>
        <v/>
      </c>
      <c r="C109" s="141">
        <f>IFERROR(__xludf.DUMMYFUNCTION("""COMPUTED_VALUE"""),97.19)</f>
        <v/>
      </c>
      <c r="D109" s="141">
        <f>IFERROR(__xludf.DUMMYFUNCTION("""COMPUTED_VALUE"""),97.23)</f>
        <v/>
      </c>
      <c r="E109" s="141">
        <f>IFERROR(__xludf.DUMMYFUNCTION("""COMPUTED_VALUE"""),97)</f>
        <v/>
      </c>
      <c r="F109" s="141">
        <f>IFERROR(__xludf.DUMMYFUNCTION("""COMPUTED_VALUE"""),97.19)</f>
        <v/>
      </c>
      <c r="G109" s="143">
        <f>IFERROR(__xludf.DUMMYFUNCTION("""COMPUTED_VALUE"""),12551122)</f>
        <v/>
      </c>
      <c r="H109" s="27" t="n"/>
    </row>
    <row r="110" ht="17.25" customHeight="1" s="322">
      <c r="A110" s="27" t="n"/>
      <c r="B110" s="506">
        <f>IFERROR(__xludf.DUMMYFUNCTION("""COMPUTED_VALUE"""),45985.6666666666)</f>
        <v/>
      </c>
      <c r="C110" s="141">
        <f>IFERROR(__xludf.DUMMYFUNCTION("""COMPUTED_VALUE"""),97.29)</f>
        <v/>
      </c>
      <c r="D110" s="141">
        <f>IFERROR(__xludf.DUMMYFUNCTION("""COMPUTED_VALUE"""),97.36)</f>
        <v/>
      </c>
      <c r="E110" s="141">
        <f>IFERROR(__xludf.DUMMYFUNCTION("""COMPUTED_VALUE"""),97.18)</f>
        <v/>
      </c>
      <c r="F110" s="141">
        <f>IFERROR(__xludf.DUMMYFUNCTION("""COMPUTED_VALUE"""),97.34)</f>
        <v/>
      </c>
      <c r="G110" s="143">
        <f>IFERROR(__xludf.DUMMYFUNCTION("""COMPUTED_VALUE"""),6903895)</f>
        <v/>
      </c>
      <c r="H110" s="27" t="n"/>
    </row>
    <row r="111" ht="17.25" customHeight="1" s="322">
      <c r="A111" s="27" t="n"/>
      <c r="B111" s="506">
        <f>IFERROR(__xludf.DUMMYFUNCTION("""COMPUTED_VALUE"""),45986.6666666666)</f>
        <v/>
      </c>
      <c r="C111" s="141">
        <f>IFERROR(__xludf.DUMMYFUNCTION("""COMPUTED_VALUE"""),97.44)</f>
        <v/>
      </c>
      <c r="D111" s="141">
        <f>IFERROR(__xludf.DUMMYFUNCTION("""COMPUTED_VALUE"""),97.7)</f>
        <v/>
      </c>
      <c r="E111" s="141">
        <f>IFERROR(__xludf.DUMMYFUNCTION("""COMPUTED_VALUE"""),97.43)</f>
        <v/>
      </c>
      <c r="F111" s="141">
        <f>IFERROR(__xludf.DUMMYFUNCTION("""COMPUTED_VALUE"""),97.59)</f>
        <v/>
      </c>
      <c r="G111" s="143">
        <f>IFERROR(__xludf.DUMMYFUNCTION("""COMPUTED_VALUE"""),9193433)</f>
        <v/>
      </c>
      <c r="H111" s="27" t="n"/>
    </row>
    <row r="112" ht="17.25" customHeight="1" s="322">
      <c r="A112" s="27" t="n"/>
      <c r="B112" s="506">
        <f>IFERROR(__xludf.DUMMYFUNCTION("""COMPUTED_VALUE"""),45987.6666666666)</f>
        <v/>
      </c>
      <c r="C112" s="141">
        <f>IFERROR(__xludf.DUMMYFUNCTION("""COMPUTED_VALUE"""),97.48)</f>
        <v/>
      </c>
      <c r="D112" s="141">
        <f>IFERROR(__xludf.DUMMYFUNCTION("""COMPUTED_VALUE"""),97.67)</f>
        <v/>
      </c>
      <c r="E112" s="141">
        <f>IFERROR(__xludf.DUMMYFUNCTION("""COMPUTED_VALUE"""),97.33)</f>
        <v/>
      </c>
      <c r="F112" s="141">
        <f>IFERROR(__xludf.DUMMYFUNCTION("""COMPUTED_VALUE"""),97.67)</f>
        <v/>
      </c>
      <c r="G112" s="143">
        <f>IFERROR(__xludf.DUMMYFUNCTION("""COMPUTED_VALUE"""),7747109)</f>
        <v/>
      </c>
      <c r="H112" s="27" t="n"/>
    </row>
    <row r="113" ht="17.25" customHeight="1" s="322">
      <c r="A113" s="27" t="n"/>
      <c r="B113" s="506">
        <f>IFERROR(__xludf.DUMMYFUNCTION("""COMPUTED_VALUE"""),45989.5451388888)</f>
        <v/>
      </c>
      <c r="C113" s="141">
        <f>IFERROR(__xludf.DUMMYFUNCTION("""COMPUTED_VALUE"""),97.63)</f>
        <v/>
      </c>
      <c r="D113" s="141">
        <f>IFERROR(__xludf.DUMMYFUNCTION("""COMPUTED_VALUE"""),97.65)</f>
        <v/>
      </c>
      <c r="E113" s="141">
        <f>IFERROR(__xludf.DUMMYFUNCTION("""COMPUTED_VALUE"""),97.39)</f>
        <v/>
      </c>
      <c r="F113" s="141">
        <f>IFERROR(__xludf.DUMMYFUNCTION("""COMPUTED_VALUE"""),97.5)</f>
        <v/>
      </c>
      <c r="G113" s="143">
        <f>IFERROR(__xludf.DUMMYFUNCTION("""COMPUTED_VALUE"""),7798022)</f>
        <v/>
      </c>
      <c r="H113" s="27" t="n"/>
    </row>
    <row r="114" ht="17.25" customHeight="1" s="322">
      <c r="A114" s="27" t="n"/>
      <c r="B114" s="506">
        <f>IFERROR(__xludf.DUMMYFUNCTION("""COMPUTED_VALUE"""),45992.6666666666)</f>
        <v/>
      </c>
      <c r="C114" s="141">
        <f>IFERROR(__xludf.DUMMYFUNCTION("""COMPUTED_VALUE"""),96.77)</f>
        <v/>
      </c>
      <c r="D114" s="141">
        <f>IFERROR(__xludf.DUMMYFUNCTION("""COMPUTED_VALUE"""),96.84)</f>
        <v/>
      </c>
      <c r="E114" s="141">
        <f>IFERROR(__xludf.DUMMYFUNCTION("""COMPUTED_VALUE"""),96.68)</f>
        <v/>
      </c>
      <c r="F114" s="141">
        <f>IFERROR(__xludf.DUMMYFUNCTION("""COMPUTED_VALUE"""),96.69)</f>
        <v/>
      </c>
      <c r="G114" s="143">
        <f>IFERROR(__xludf.DUMMYFUNCTION("""COMPUTED_VALUE"""),9898164)</f>
        <v/>
      </c>
      <c r="H114" s="27" t="n"/>
    </row>
    <row r="115" ht="17.25" customHeight="1" s="322">
      <c r="A115" s="27" t="n"/>
      <c r="B115" s="506">
        <f>IFERROR(__xludf.DUMMYFUNCTION("""COMPUTED_VALUE"""),45993.6666666666)</f>
        <v/>
      </c>
      <c r="C115" s="141">
        <f>IFERROR(__xludf.DUMMYFUNCTION("""COMPUTED_VALUE"""),96.66)</f>
        <v/>
      </c>
      <c r="D115" s="141">
        <f>IFERROR(__xludf.DUMMYFUNCTION("""COMPUTED_VALUE"""),96.82)</f>
        <v/>
      </c>
      <c r="E115" s="141">
        <f>IFERROR(__xludf.DUMMYFUNCTION("""COMPUTED_VALUE"""),96.6)</f>
        <v/>
      </c>
      <c r="F115" s="141">
        <f>IFERROR(__xludf.DUMMYFUNCTION("""COMPUTED_VALUE"""),96.77)</f>
        <v/>
      </c>
      <c r="G115" s="143">
        <f>IFERROR(__xludf.DUMMYFUNCTION("""COMPUTED_VALUE"""),7317320)</f>
        <v/>
      </c>
      <c r="H115" s="27" t="n"/>
    </row>
    <row r="116" ht="17.25" customHeight="1" s="322">
      <c r="A116" s="27" t="n"/>
      <c r="B116" s="506">
        <f>IFERROR(__xludf.DUMMYFUNCTION("""COMPUTED_VALUE"""),45994.6666666666)</f>
        <v/>
      </c>
      <c r="C116" s="141">
        <f>IFERROR(__xludf.DUMMYFUNCTION("""COMPUTED_VALUE"""),96.93)</f>
        <v/>
      </c>
      <c r="D116" s="141">
        <f>IFERROR(__xludf.DUMMYFUNCTION("""COMPUTED_VALUE"""),97.03)</f>
        <v/>
      </c>
      <c r="E116" s="141">
        <f>IFERROR(__xludf.DUMMYFUNCTION("""COMPUTED_VALUE"""),96.81)</f>
        <v/>
      </c>
      <c r="F116" s="141">
        <f>IFERROR(__xludf.DUMMYFUNCTION("""COMPUTED_VALUE"""),96.97)</f>
        <v/>
      </c>
      <c r="G116" s="143">
        <f>IFERROR(__xludf.DUMMYFUNCTION("""COMPUTED_VALUE"""),6855103)</f>
        <v/>
      </c>
      <c r="H116" s="27" t="n"/>
    </row>
    <row r="117" ht="17.25" customHeight="1" s="322">
      <c r="A117" s="27" t="n"/>
      <c r="B117" s="506">
        <f>IFERROR(__xludf.DUMMYFUNCTION("""COMPUTED_VALUE"""),45995.6666666666)</f>
        <v/>
      </c>
      <c r="C117" s="141">
        <f>IFERROR(__xludf.DUMMYFUNCTION("""COMPUTED_VALUE"""),96.82)</f>
        <v/>
      </c>
      <c r="D117" s="141">
        <f>IFERROR(__xludf.DUMMYFUNCTION("""COMPUTED_VALUE"""),96.83)</f>
        <v/>
      </c>
      <c r="E117" s="141">
        <f>IFERROR(__xludf.DUMMYFUNCTION("""COMPUTED_VALUE"""),96.62)</f>
        <v/>
      </c>
      <c r="F117" s="141">
        <f>IFERROR(__xludf.DUMMYFUNCTION("""COMPUTED_VALUE"""),96.67)</f>
        <v/>
      </c>
      <c r="G117" s="143">
        <f>IFERROR(__xludf.DUMMYFUNCTION("""COMPUTED_VALUE"""),8929096)</f>
        <v/>
      </c>
      <c r="H117" s="27" t="n"/>
    </row>
    <row r="118" ht="17.25" customHeight="1" s="322">
      <c r="A118" s="27" t="n"/>
      <c r="B118" s="506">
        <f>IFERROR(__xludf.DUMMYFUNCTION("""COMPUTED_VALUE"""),45996.6666666666)</f>
        <v/>
      </c>
      <c r="C118" s="141">
        <f>IFERROR(__xludf.DUMMYFUNCTION("""COMPUTED_VALUE"""),96.69)</f>
        <v/>
      </c>
      <c r="D118" s="141">
        <f>IFERROR(__xludf.DUMMYFUNCTION("""COMPUTED_VALUE"""),96.7)</f>
        <v/>
      </c>
      <c r="E118" s="141">
        <f>IFERROR(__xludf.DUMMYFUNCTION("""COMPUTED_VALUE"""),96.42)</f>
        <v/>
      </c>
      <c r="F118" s="141">
        <f>IFERROR(__xludf.DUMMYFUNCTION("""COMPUTED_VALUE"""),96.47)</f>
        <v/>
      </c>
      <c r="G118" s="143">
        <f>IFERROR(__xludf.DUMMYFUNCTION("""COMPUTED_VALUE"""),9118800)</f>
        <v/>
      </c>
      <c r="H118" s="27" t="n"/>
    </row>
    <row r="119" ht="17.25" customHeight="1" s="322">
      <c r="A119" s="27" t="n"/>
      <c r="B119" s="506">
        <f>IFERROR(__xludf.DUMMYFUNCTION("""COMPUTED_VALUE"""),45999.6666666666)</f>
        <v/>
      </c>
      <c r="C119" s="141">
        <f>IFERROR(__xludf.DUMMYFUNCTION("""COMPUTED_VALUE"""),96.41)</f>
        <v/>
      </c>
      <c r="D119" s="141">
        <f>IFERROR(__xludf.DUMMYFUNCTION("""COMPUTED_VALUE"""),96.42)</f>
        <v/>
      </c>
      <c r="E119" s="141">
        <f>IFERROR(__xludf.DUMMYFUNCTION("""COMPUTED_VALUE"""),96.09)</f>
        <v/>
      </c>
      <c r="F119" s="141">
        <f>IFERROR(__xludf.DUMMYFUNCTION("""COMPUTED_VALUE"""),96.27)</f>
        <v/>
      </c>
      <c r="G119" s="143">
        <f>IFERROR(__xludf.DUMMYFUNCTION("""COMPUTED_VALUE"""),14728577)</f>
        <v/>
      </c>
      <c r="H119" s="27" t="n"/>
    </row>
    <row r="120" ht="17.25" customHeight="1" s="322">
      <c r="A120" s="27" t="n"/>
      <c r="B120" s="506">
        <f>IFERROR(__xludf.DUMMYFUNCTION("""COMPUTED_VALUE"""),46000.6666666666)</f>
        <v/>
      </c>
      <c r="C120" s="141">
        <f>IFERROR(__xludf.DUMMYFUNCTION("""COMPUTED_VALUE"""),96.41)</f>
        <v/>
      </c>
      <c r="D120" s="141">
        <f>IFERROR(__xludf.DUMMYFUNCTION("""COMPUTED_VALUE"""),96.41)</f>
        <v/>
      </c>
      <c r="E120" s="141">
        <f>IFERROR(__xludf.DUMMYFUNCTION("""COMPUTED_VALUE"""),96.11)</f>
        <v/>
      </c>
      <c r="F120" s="141">
        <f>IFERROR(__xludf.DUMMYFUNCTION("""COMPUTED_VALUE"""),96.13)</f>
        <v/>
      </c>
      <c r="G120" s="143">
        <f>IFERROR(__xludf.DUMMYFUNCTION("""COMPUTED_VALUE"""),8509228)</f>
        <v/>
      </c>
      <c r="H120" s="27" t="n"/>
    </row>
    <row r="121" ht="17.25" customHeight="1" s="322">
      <c r="A121" s="27" t="n"/>
      <c r="B121" s="506">
        <f>IFERROR(__xludf.DUMMYFUNCTION("""COMPUTED_VALUE"""),46001.6666666666)</f>
        <v/>
      </c>
      <c r="C121" s="141">
        <f>IFERROR(__xludf.DUMMYFUNCTION("""COMPUTED_VALUE"""),96.09)</f>
        <v/>
      </c>
      <c r="D121" s="141">
        <f>IFERROR(__xludf.DUMMYFUNCTION("""COMPUTED_VALUE"""),96.47)</f>
        <v/>
      </c>
      <c r="E121" s="141">
        <f>IFERROR(__xludf.DUMMYFUNCTION("""COMPUTED_VALUE"""),96.08)</f>
        <v/>
      </c>
      <c r="F121" s="141">
        <f>IFERROR(__xludf.DUMMYFUNCTION("""COMPUTED_VALUE"""),96.44)</f>
        <v/>
      </c>
      <c r="G121" s="143">
        <f>IFERROR(__xludf.DUMMYFUNCTION("""COMPUTED_VALUE"""),13356897)</f>
        <v/>
      </c>
      <c r="H121" s="27" t="n"/>
    </row>
    <row r="122" ht="17.25" customHeight="1" s="322">
      <c r="A122" s="27" t="n"/>
      <c r="B122" s="506">
        <f>IFERROR(__xludf.DUMMYFUNCTION("""COMPUTED_VALUE"""),46002.6666666666)</f>
        <v/>
      </c>
      <c r="C122" s="141">
        <f>IFERROR(__xludf.DUMMYFUNCTION("""COMPUTED_VALUE"""),96.68)</f>
        <v/>
      </c>
      <c r="D122" s="141">
        <f>IFERROR(__xludf.DUMMYFUNCTION("""COMPUTED_VALUE"""),96.73)</f>
        <v/>
      </c>
      <c r="E122" s="141">
        <f>IFERROR(__xludf.DUMMYFUNCTION("""COMPUTED_VALUE"""),96.42)</f>
        <v/>
      </c>
      <c r="F122" s="141">
        <f>IFERROR(__xludf.DUMMYFUNCTION("""COMPUTED_VALUE"""),96.45)</f>
        <v/>
      </c>
      <c r="G122" s="143">
        <f>IFERROR(__xludf.DUMMYFUNCTION("""COMPUTED_VALUE"""),8673034)</f>
        <v/>
      </c>
      <c r="H122" s="27" t="n"/>
    </row>
    <row r="123" ht="17.25" customHeight="1" s="322">
      <c r="A123" s="27" t="n"/>
      <c r="B123" s="506">
        <f>IFERROR(__xludf.DUMMYFUNCTION("""COMPUTED_VALUE"""),46003.6666666666)</f>
        <v/>
      </c>
      <c r="C123" s="141">
        <f>IFERROR(__xludf.DUMMYFUNCTION("""COMPUTED_VALUE"""),96.19)</f>
        <v/>
      </c>
      <c r="D123" s="141">
        <f>IFERROR(__xludf.DUMMYFUNCTION("""COMPUTED_VALUE"""),96.27)</f>
        <v/>
      </c>
      <c r="E123" s="141">
        <f>IFERROR(__xludf.DUMMYFUNCTION("""COMPUTED_VALUE"""),96.17)</f>
        <v/>
      </c>
      <c r="F123" s="141">
        <f>IFERROR(__xludf.DUMMYFUNCTION("""COMPUTED_VALUE"""),96.19)</f>
        <v/>
      </c>
      <c r="G123" s="143">
        <f>IFERROR(__xludf.DUMMYFUNCTION("""COMPUTED_VALUE"""),8348936)</f>
        <v/>
      </c>
      <c r="H123" s="27" t="n"/>
    </row>
    <row r="124" ht="17.25" customHeight="1" s="322">
      <c r="A124" s="27" t="n"/>
      <c r="B124" s="506">
        <f>IFERROR(__xludf.DUMMYFUNCTION("""COMPUTED_VALUE"""),46006.6666666666)</f>
        <v/>
      </c>
      <c r="C124" s="141">
        <f>IFERROR(__xludf.DUMMYFUNCTION("""COMPUTED_VALUE"""),96.41)</f>
        <v/>
      </c>
      <c r="D124" s="141">
        <f>IFERROR(__xludf.DUMMYFUNCTION("""COMPUTED_VALUE"""),96.51)</f>
        <v/>
      </c>
      <c r="E124" s="141">
        <f>IFERROR(__xludf.DUMMYFUNCTION("""COMPUTED_VALUE"""),96.25)</f>
        <v/>
      </c>
      <c r="F124" s="141">
        <f>IFERROR(__xludf.DUMMYFUNCTION("""COMPUTED_VALUE"""),96.27)</f>
        <v/>
      </c>
      <c r="G124" s="143">
        <f>IFERROR(__xludf.DUMMYFUNCTION("""COMPUTED_VALUE"""),6117094)</f>
        <v/>
      </c>
      <c r="H124" s="27" t="n"/>
    </row>
    <row r="125" ht="17.25" customHeight="1" s="322">
      <c r="A125" s="27" t="n"/>
      <c r="B125" s="506">
        <f>IFERROR(__xludf.DUMMYFUNCTION("""COMPUTED_VALUE"""),46007.6666666666)</f>
        <v/>
      </c>
      <c r="C125" s="141">
        <f>IFERROR(__xludf.DUMMYFUNCTION("""COMPUTED_VALUE"""),96.24)</f>
        <v/>
      </c>
      <c r="D125" s="141">
        <f>IFERROR(__xludf.DUMMYFUNCTION("""COMPUTED_VALUE"""),96.56)</f>
        <v/>
      </c>
      <c r="E125" s="141">
        <f>IFERROR(__xludf.DUMMYFUNCTION("""COMPUTED_VALUE"""),96.23)</f>
        <v/>
      </c>
      <c r="F125" s="141">
        <f>IFERROR(__xludf.DUMMYFUNCTION("""COMPUTED_VALUE"""),96.54)</f>
        <v/>
      </c>
      <c r="G125" s="143">
        <f>IFERROR(__xludf.DUMMYFUNCTION("""COMPUTED_VALUE"""),7456521)</f>
        <v/>
      </c>
      <c r="H125" s="27" t="n"/>
    </row>
    <row r="126" ht="17.25" customHeight="1" s="322">
      <c r="A126" s="27" t="n"/>
      <c r="B126" s="506">
        <f>IFERROR(__xludf.DUMMYFUNCTION("""COMPUTED_VALUE"""),46008.6666666666)</f>
        <v/>
      </c>
      <c r="C126" s="141">
        <f>IFERROR(__xludf.DUMMYFUNCTION("""COMPUTED_VALUE"""),96.42)</f>
        <v/>
      </c>
      <c r="D126" s="141">
        <f>IFERROR(__xludf.DUMMYFUNCTION("""COMPUTED_VALUE"""),96.57)</f>
        <v/>
      </c>
      <c r="E126" s="141">
        <f>IFERROR(__xludf.DUMMYFUNCTION("""COMPUTED_VALUE"""),96.4)</f>
        <v/>
      </c>
      <c r="F126" s="141">
        <f>IFERROR(__xludf.DUMMYFUNCTION("""COMPUTED_VALUE"""),96.52)</f>
        <v/>
      </c>
      <c r="G126" s="143">
        <f>IFERROR(__xludf.DUMMYFUNCTION("""COMPUTED_VALUE"""),5673211)</f>
        <v/>
      </c>
      <c r="H126" s="27" t="n"/>
    </row>
    <row r="127" ht="17.25" customHeight="1" s="322">
      <c r="A127" s="27" t="n"/>
      <c r="B127" s="506">
        <f>IFERROR(__xludf.DUMMYFUNCTION("""COMPUTED_VALUE"""),46009.6666666666)</f>
        <v/>
      </c>
      <c r="C127" s="141">
        <f>IFERROR(__xludf.DUMMYFUNCTION("""COMPUTED_VALUE"""),96.77)</f>
        <v/>
      </c>
      <c r="D127" s="141">
        <f>IFERROR(__xludf.DUMMYFUNCTION("""COMPUTED_VALUE"""),96.83)</f>
        <v/>
      </c>
      <c r="E127" s="141">
        <f>IFERROR(__xludf.DUMMYFUNCTION("""COMPUTED_VALUE"""),96.64)</f>
        <v/>
      </c>
      <c r="F127" s="141">
        <f>IFERROR(__xludf.DUMMYFUNCTION("""COMPUTED_VALUE"""),96.77)</f>
        <v/>
      </c>
      <c r="G127" s="143">
        <f>IFERROR(__xludf.DUMMYFUNCTION("""COMPUTED_VALUE"""),7357582)</f>
        <v/>
      </c>
      <c r="H127" s="27" t="n"/>
    </row>
    <row r="128" ht="17.25" customHeight="1" s="322">
      <c r="A128" s="27" t="n"/>
      <c r="B128" s="506">
        <f>IFERROR(__xludf.DUMMYFUNCTION("""COMPUTED_VALUE"""),46010.6666666666)</f>
        <v/>
      </c>
      <c r="C128" s="141">
        <f>IFERROR(__xludf.DUMMYFUNCTION("""COMPUTED_VALUE"""),96.3)</f>
        <v/>
      </c>
      <c r="D128" s="141">
        <f>IFERROR(__xludf.DUMMYFUNCTION("""COMPUTED_VALUE"""),96.39)</f>
        <v/>
      </c>
      <c r="E128" s="141">
        <f>IFERROR(__xludf.DUMMYFUNCTION("""COMPUTED_VALUE"""),96.2)</f>
        <v/>
      </c>
      <c r="F128" s="141">
        <f>IFERROR(__xludf.DUMMYFUNCTION("""COMPUTED_VALUE"""),96.24)</f>
        <v/>
      </c>
      <c r="G128" s="143">
        <f>IFERROR(__xludf.DUMMYFUNCTION("""COMPUTED_VALUE"""),5806622)</f>
        <v/>
      </c>
      <c r="H128" s="27" t="n"/>
    </row>
    <row r="129" ht="17.25" customHeight="1" s="322">
      <c r="A129" s="27" t="n"/>
      <c r="B129" s="506">
        <f>IFERROR(__xludf.DUMMYFUNCTION("""COMPUTED_VALUE"""),46013.6666666666)</f>
        <v/>
      </c>
      <c r="C129" s="141">
        <f>IFERROR(__xludf.DUMMYFUNCTION("""COMPUTED_VALUE"""),96.16)</f>
        <v/>
      </c>
      <c r="D129" s="141">
        <f>IFERROR(__xludf.DUMMYFUNCTION("""COMPUTED_VALUE"""),96.19)</f>
        <v/>
      </c>
      <c r="E129" s="141">
        <f>IFERROR(__xludf.DUMMYFUNCTION("""COMPUTED_VALUE"""),96.08)</f>
        <v/>
      </c>
      <c r="F129" s="141">
        <f>IFERROR(__xludf.DUMMYFUNCTION("""COMPUTED_VALUE"""),96.14)</f>
        <v/>
      </c>
      <c r="G129" s="143">
        <f>IFERROR(__xludf.DUMMYFUNCTION("""COMPUTED_VALUE"""),4672875)</f>
        <v/>
      </c>
      <c r="H129" s="27" t="n"/>
    </row>
    <row r="130" ht="17.25" customHeight="1" s="322">
      <c r="A130" s="27" t="n"/>
      <c r="B130" s="506">
        <f>IFERROR(__xludf.DUMMYFUNCTION("""COMPUTED_VALUE"""),46014.6666666666)</f>
        <v/>
      </c>
      <c r="C130" s="141">
        <f>IFERROR(__xludf.DUMMYFUNCTION("""COMPUTED_VALUE"""),95.93)</f>
        <v/>
      </c>
      <c r="D130" s="141">
        <f>IFERROR(__xludf.DUMMYFUNCTION("""COMPUTED_VALUE"""),96.13)</f>
        <v/>
      </c>
      <c r="E130" s="141">
        <f>IFERROR(__xludf.DUMMYFUNCTION("""COMPUTED_VALUE"""),95.88)</f>
        <v/>
      </c>
      <c r="F130" s="141">
        <f>IFERROR(__xludf.DUMMYFUNCTION("""COMPUTED_VALUE"""),96.1)</f>
        <v/>
      </c>
      <c r="G130" s="143">
        <f>IFERROR(__xludf.DUMMYFUNCTION("""COMPUTED_VALUE"""),5094032)</f>
        <v/>
      </c>
      <c r="H130" s="27" t="n"/>
    </row>
    <row r="131" ht="17.25" customHeight="1" s="322">
      <c r="A131" s="27" t="n"/>
      <c r="B131" s="506">
        <f>IFERROR(__xludf.DUMMYFUNCTION("""COMPUTED_VALUE"""),46015.5451388888)</f>
        <v/>
      </c>
      <c r="C131" s="141">
        <f>IFERROR(__xludf.DUMMYFUNCTION("""COMPUTED_VALUE"""),96.22)</f>
        <v/>
      </c>
      <c r="D131" s="141">
        <f>IFERROR(__xludf.DUMMYFUNCTION("""COMPUTED_VALUE"""),96.37)</f>
        <v/>
      </c>
      <c r="E131" s="141">
        <f>IFERROR(__xludf.DUMMYFUNCTION("""COMPUTED_VALUE"""),96.17)</f>
        <v/>
      </c>
      <c r="F131" s="141">
        <f>IFERROR(__xludf.DUMMYFUNCTION("""COMPUTED_VALUE"""),96.35)</f>
        <v/>
      </c>
      <c r="G131" s="143">
        <f>IFERROR(__xludf.DUMMYFUNCTION("""COMPUTED_VALUE"""),3967720)</f>
        <v/>
      </c>
      <c r="H131" s="27" t="n"/>
    </row>
    <row r="132" ht="17.25" customHeight="1" s="322">
      <c r="A132" s="27" t="n"/>
      <c r="B132" s="506">
        <f>IFERROR(__xludf.DUMMYFUNCTION("""COMPUTED_VALUE"""),46017.6666666666)</f>
        <v/>
      </c>
      <c r="C132" s="141">
        <f>IFERROR(__xludf.DUMMYFUNCTION("""COMPUTED_VALUE"""),96.49)</f>
        <v/>
      </c>
      <c r="D132" s="141">
        <f>IFERROR(__xludf.DUMMYFUNCTION("""COMPUTED_VALUE"""),96.51)</f>
        <v/>
      </c>
      <c r="E132" s="141">
        <f>IFERROR(__xludf.DUMMYFUNCTION("""COMPUTED_VALUE"""),96.33)</f>
        <v/>
      </c>
      <c r="F132" s="141">
        <f>IFERROR(__xludf.DUMMYFUNCTION("""COMPUTED_VALUE"""),96.44)</f>
        <v/>
      </c>
      <c r="G132" s="143">
        <f>IFERROR(__xludf.DUMMYFUNCTION("""COMPUTED_VALUE"""),3491560)</f>
        <v/>
      </c>
      <c r="H132" s="27" t="n"/>
    </row>
    <row r="133" ht="17.25" customHeight="1" s="322">
      <c r="A133" s="27" t="n"/>
      <c r="B133" s="506">
        <f>IFERROR(__xludf.DUMMYFUNCTION("""COMPUTED_VALUE"""),46020.6666666666)</f>
        <v/>
      </c>
      <c r="C133" s="141">
        <f>IFERROR(__xludf.DUMMYFUNCTION("""COMPUTED_VALUE"""),96.55)</f>
        <v/>
      </c>
      <c r="D133" s="141">
        <f>IFERROR(__xludf.DUMMYFUNCTION("""COMPUTED_VALUE"""),96.6)</f>
        <v/>
      </c>
      <c r="E133" s="141">
        <f>IFERROR(__xludf.DUMMYFUNCTION("""COMPUTED_VALUE"""),96.45)</f>
        <v/>
      </c>
      <c r="F133" s="141">
        <f>IFERROR(__xludf.DUMMYFUNCTION("""COMPUTED_VALUE"""),96.58)</f>
        <v/>
      </c>
      <c r="G133" s="143">
        <f>IFERROR(__xludf.DUMMYFUNCTION("""COMPUTED_VALUE"""),5034750)</f>
        <v/>
      </c>
      <c r="H133" s="27" t="n"/>
    </row>
    <row r="134" ht="17.25" customHeight="1" s="322">
      <c r="A134" s="27" t="n"/>
      <c r="B134" s="506">
        <f>IFERROR(__xludf.DUMMYFUNCTION("""COMPUTED_VALUE"""),46021.6666666666)</f>
        <v/>
      </c>
      <c r="C134" s="141">
        <f>IFERROR(__xludf.DUMMYFUNCTION("""COMPUTED_VALUE"""),96.44)</f>
        <v/>
      </c>
      <c r="D134" s="141">
        <f>IFERROR(__xludf.DUMMYFUNCTION("""COMPUTED_VALUE"""),96.56)</f>
        <v/>
      </c>
      <c r="E134" s="141">
        <f>IFERROR(__xludf.DUMMYFUNCTION("""COMPUTED_VALUE"""),96.4)</f>
        <v/>
      </c>
      <c r="F134" s="141">
        <f>IFERROR(__xludf.DUMMYFUNCTION("""COMPUTED_VALUE"""),96.48)</f>
        <v/>
      </c>
      <c r="G134" s="143">
        <f>IFERROR(__xludf.DUMMYFUNCTION("""COMPUTED_VALUE"""),4108645)</f>
        <v/>
      </c>
      <c r="H134" s="27" t="n"/>
    </row>
    <row r="135" ht="17.25" customHeight="1" s="322">
      <c r="A135" s="27" t="n"/>
      <c r="B135" s="506">
        <f>IFERROR(__xludf.DUMMYFUNCTION("""COMPUTED_VALUE"""),46022.6666666666)</f>
        <v/>
      </c>
      <c r="C135" s="141">
        <f>IFERROR(__xludf.DUMMYFUNCTION("""COMPUTED_VALUE"""),96.34)</f>
        <v/>
      </c>
      <c r="D135" s="141">
        <f>IFERROR(__xludf.DUMMYFUNCTION("""COMPUTED_VALUE"""),96.47)</f>
        <v/>
      </c>
      <c r="E135" s="141">
        <f>IFERROR(__xludf.DUMMYFUNCTION("""COMPUTED_VALUE"""),96.15)</f>
        <v/>
      </c>
      <c r="F135" s="141">
        <f>IFERROR(__xludf.DUMMYFUNCTION("""COMPUTED_VALUE"""),96.16)</f>
        <v/>
      </c>
      <c r="G135" s="143">
        <f>IFERROR(__xludf.DUMMYFUNCTION("""COMPUTED_VALUE"""),6802186)</f>
        <v/>
      </c>
      <c r="H135" s="27" t="n"/>
    </row>
    <row r="136" ht="17.25" customHeight="1" s="322">
      <c r="A136" s="27" t="n"/>
      <c r="B136" s="506">
        <f>IFERROR(__xludf.DUMMYFUNCTION("""COMPUTED_VALUE"""),46024.6666666666)</f>
        <v/>
      </c>
      <c r="C136" s="141">
        <f>IFERROR(__xludf.DUMMYFUNCTION("""COMPUTED_VALUE"""),96.29)</f>
        <v/>
      </c>
      <c r="D136" s="141">
        <f>IFERROR(__xludf.DUMMYFUNCTION("""COMPUTED_VALUE"""),96.29)</f>
        <v/>
      </c>
      <c r="E136" s="141">
        <f>IFERROR(__xludf.DUMMYFUNCTION("""COMPUTED_VALUE"""),96.07)</f>
        <v/>
      </c>
      <c r="F136" s="141">
        <f>IFERROR(__xludf.DUMMYFUNCTION("""COMPUTED_VALUE"""),96.08)</f>
        <v/>
      </c>
      <c r="G136" s="143">
        <f>IFERROR(__xludf.DUMMYFUNCTION("""COMPUTED_VALUE"""),6611758)</f>
        <v/>
      </c>
      <c r="H136" s="27" t="n"/>
    </row>
    <row r="137" ht="17.25" customHeight="1" s="322">
      <c r="A137" s="27" t="n"/>
      <c r="B137" s="506">
        <f>IFERROR(__xludf.DUMMYFUNCTION("""COMPUTED_VALUE"""),46027.6666666666)</f>
        <v/>
      </c>
      <c r="C137" s="141">
        <f>IFERROR(__xludf.DUMMYFUNCTION("""COMPUTED_VALUE"""),96.23)</f>
        <v/>
      </c>
      <c r="D137" s="141">
        <f>IFERROR(__xludf.DUMMYFUNCTION("""COMPUTED_VALUE"""),96.38)</f>
        <v/>
      </c>
      <c r="E137" s="141">
        <f>IFERROR(__xludf.DUMMYFUNCTION("""COMPUTED_VALUE"""),96.17)</f>
        <v/>
      </c>
      <c r="F137" s="141">
        <f>IFERROR(__xludf.DUMMYFUNCTION("""COMPUTED_VALUE"""),96.37)</f>
        <v/>
      </c>
      <c r="G137" s="143">
        <f>IFERROR(__xludf.DUMMYFUNCTION("""COMPUTED_VALUE"""),8693438)</f>
        <v/>
      </c>
      <c r="H137" s="27" t="n"/>
    </row>
    <row r="138" ht="17.25" customHeight="1" s="322">
      <c r="A138" s="27" t="n"/>
      <c r="B138" s="506">
        <f>IFERROR(__xludf.DUMMYFUNCTION("""COMPUTED_VALUE"""),46028.6666666666)</f>
        <v/>
      </c>
      <c r="C138" s="141">
        <f>IFERROR(__xludf.DUMMYFUNCTION("""COMPUTED_VALUE"""),96.25)</f>
        <v/>
      </c>
      <c r="D138" s="141">
        <f>IFERROR(__xludf.DUMMYFUNCTION("""COMPUTED_VALUE"""),96.32)</f>
        <v/>
      </c>
      <c r="E138" s="141">
        <f>IFERROR(__xludf.DUMMYFUNCTION("""COMPUTED_VALUE"""),96.1)</f>
        <v/>
      </c>
      <c r="F138" s="141">
        <f>IFERROR(__xludf.DUMMYFUNCTION("""COMPUTED_VALUE"""),96.3)</f>
        <v/>
      </c>
      <c r="G138" s="143">
        <f>IFERROR(__xludf.DUMMYFUNCTION("""COMPUTED_VALUE"""),12834157)</f>
        <v/>
      </c>
      <c r="H138" s="27" t="n"/>
    </row>
    <row r="139" ht="17.25" customHeight="1" s="322">
      <c r="A139" s="27" t="n"/>
      <c r="B139" s="506">
        <f>IFERROR(__xludf.DUMMYFUNCTION("""COMPUTED_VALUE"""),46029.6666666666)</f>
        <v/>
      </c>
      <c r="C139" s="141">
        <f>IFERROR(__xludf.DUMMYFUNCTION("""COMPUTED_VALUE"""),96.52)</f>
        <v/>
      </c>
      <c r="D139" s="141">
        <f>IFERROR(__xludf.DUMMYFUNCTION("""COMPUTED_VALUE"""),96.55)</f>
        <v/>
      </c>
      <c r="E139" s="141">
        <f>IFERROR(__xludf.DUMMYFUNCTION("""COMPUTED_VALUE"""),96.34)</f>
        <v/>
      </c>
      <c r="F139" s="141">
        <f>IFERROR(__xludf.DUMMYFUNCTION("""COMPUTED_VALUE"""),96.48)</f>
        <v/>
      </c>
      <c r="G139" s="143">
        <f>IFERROR(__xludf.DUMMYFUNCTION("""COMPUTED_VALUE"""),7990996)</f>
        <v/>
      </c>
      <c r="H139" s="27" t="n"/>
    </row>
    <row r="140" ht="17.25" customHeight="1" s="322">
      <c r="A140" s="27" t="n"/>
      <c r="B140" s="506">
        <f>IFERROR(__xludf.DUMMYFUNCTION("""COMPUTED_VALUE"""),46030.6666666666)</f>
        <v/>
      </c>
      <c r="C140" s="141">
        <f>IFERROR(__xludf.DUMMYFUNCTION("""COMPUTED_VALUE"""),96.23)</f>
        <v/>
      </c>
      <c r="D140" s="141">
        <f>IFERROR(__xludf.DUMMYFUNCTION("""COMPUTED_VALUE"""),96.31)</f>
        <v/>
      </c>
      <c r="E140" s="141">
        <f>IFERROR(__xludf.DUMMYFUNCTION("""COMPUTED_VALUE"""),96.18)</f>
        <v/>
      </c>
      <c r="F140" s="141">
        <f>IFERROR(__xludf.DUMMYFUNCTION("""COMPUTED_VALUE"""),96.19)</f>
        <v/>
      </c>
      <c r="G140" s="143">
        <f>IFERROR(__xludf.DUMMYFUNCTION("""COMPUTED_VALUE"""),6931841)</f>
        <v/>
      </c>
      <c r="H140" s="27" t="n"/>
    </row>
    <row r="141" ht="17.25" customHeight="1" s="322">
      <c r="A141" s="27" t="n"/>
      <c r="B141" s="506">
        <f>IFERROR(__xludf.DUMMYFUNCTION("""COMPUTED_VALUE"""),46031.6666666666)</f>
        <v/>
      </c>
      <c r="C141" s="141">
        <f>IFERROR(__xludf.DUMMYFUNCTION("""COMPUTED_VALUE"""),96.16)</f>
        <v/>
      </c>
      <c r="D141" s="141">
        <f>IFERROR(__xludf.DUMMYFUNCTION("""COMPUTED_VALUE"""),96.38)</f>
        <v/>
      </c>
      <c r="E141" s="141">
        <f>IFERROR(__xludf.DUMMYFUNCTION("""COMPUTED_VALUE"""),96.07)</f>
        <v/>
      </c>
      <c r="F141" s="141">
        <f>IFERROR(__xludf.DUMMYFUNCTION("""COMPUTED_VALUE"""),96.3)</f>
        <v/>
      </c>
      <c r="G141" s="143">
        <f>IFERROR(__xludf.DUMMYFUNCTION("""COMPUTED_VALUE"""),10277468)</f>
        <v/>
      </c>
      <c r="H141" s="27" t="n"/>
    </row>
    <row r="142" ht="17.25" customHeight="1" s="322">
      <c r="A142" s="27" t="n"/>
      <c r="B142" s="506">
        <f>IFERROR(__xludf.DUMMYFUNCTION("""COMPUTED_VALUE"""),46034.6666666666)</f>
        <v/>
      </c>
      <c r="C142" s="141">
        <f>IFERROR(__xludf.DUMMYFUNCTION("""COMPUTED_VALUE"""),96.15)</f>
        <v/>
      </c>
      <c r="D142" s="141">
        <f>IFERROR(__xludf.DUMMYFUNCTION("""COMPUTED_VALUE"""),96.3)</f>
        <v/>
      </c>
      <c r="E142" s="141">
        <f>IFERROR(__xludf.DUMMYFUNCTION("""COMPUTED_VALUE"""),96.12)</f>
        <v/>
      </c>
      <c r="F142" s="141">
        <f>IFERROR(__xludf.DUMMYFUNCTION("""COMPUTED_VALUE"""),96.18)</f>
        <v/>
      </c>
      <c r="G142" s="143">
        <f>IFERROR(__xludf.DUMMYFUNCTION("""COMPUTED_VALUE"""),6360965)</f>
        <v/>
      </c>
      <c r="H142" s="27" t="n"/>
    </row>
    <row r="143" ht="17.25" customHeight="1" s="322">
      <c r="A143" s="27" t="n"/>
      <c r="B143" s="506">
        <f>IFERROR(__xludf.DUMMYFUNCTION("""COMPUTED_VALUE"""),46035.6666666666)</f>
        <v/>
      </c>
      <c r="C143" s="141">
        <f>IFERROR(__xludf.DUMMYFUNCTION("""COMPUTED_VALUE"""),96.34)</f>
        <v/>
      </c>
      <c r="D143" s="141">
        <f>IFERROR(__xludf.DUMMYFUNCTION("""COMPUTED_VALUE"""),96.37)</f>
        <v/>
      </c>
      <c r="E143" s="141">
        <f>IFERROR(__xludf.DUMMYFUNCTION("""COMPUTED_VALUE"""),96.2)</f>
        <v/>
      </c>
      <c r="F143" s="141">
        <f>IFERROR(__xludf.DUMMYFUNCTION("""COMPUTED_VALUE"""),96.3)</f>
        <v/>
      </c>
      <c r="G143" s="143">
        <f>IFERROR(__xludf.DUMMYFUNCTION("""COMPUTED_VALUE"""),7622552)</f>
        <v/>
      </c>
      <c r="H143" s="27" t="n"/>
    </row>
    <row r="144" ht="17.25" customHeight="1" s="322">
      <c r="A144" s="27" t="n"/>
      <c r="B144" s="506">
        <f>IFERROR(__xludf.DUMMYFUNCTION("""COMPUTED_VALUE"""),46036.6666666666)</f>
        <v/>
      </c>
      <c r="C144" s="141">
        <f>IFERROR(__xludf.DUMMYFUNCTION("""COMPUTED_VALUE"""),96.38)</f>
        <v/>
      </c>
      <c r="D144" s="141">
        <f>IFERROR(__xludf.DUMMYFUNCTION("""COMPUTED_VALUE"""),96.6)</f>
        <v/>
      </c>
      <c r="E144" s="141">
        <f>IFERROR(__xludf.DUMMYFUNCTION("""COMPUTED_VALUE"""),96.37)</f>
        <v/>
      </c>
      <c r="F144" s="141">
        <f>IFERROR(__xludf.DUMMYFUNCTION("""COMPUTED_VALUE"""),96.5)</f>
        <v/>
      </c>
      <c r="G144" s="143">
        <f>IFERROR(__xludf.DUMMYFUNCTION("""COMPUTED_VALUE"""),7331256)</f>
        <v/>
      </c>
      <c r="H144" s="27" t="n"/>
    </row>
    <row r="145" ht="17.25" customHeight="1" s="322">
      <c r="A145" s="27" t="n"/>
      <c r="B145" s="506">
        <f>IFERROR(__xludf.DUMMYFUNCTION("""COMPUTED_VALUE"""),46037.6666666666)</f>
        <v/>
      </c>
      <c r="C145" s="141">
        <f>IFERROR(__xludf.DUMMYFUNCTION("""COMPUTED_VALUE"""),96.51)</f>
        <v/>
      </c>
      <c r="D145" s="141">
        <f>IFERROR(__xludf.DUMMYFUNCTION("""COMPUTED_VALUE"""),96.52)</f>
        <v/>
      </c>
      <c r="E145" s="141">
        <f>IFERROR(__xludf.DUMMYFUNCTION("""COMPUTED_VALUE"""),96.28)</f>
        <v/>
      </c>
      <c r="F145" s="141">
        <f>IFERROR(__xludf.DUMMYFUNCTION("""COMPUTED_VALUE"""),96.3)</f>
        <v/>
      </c>
      <c r="G145" s="143">
        <f>IFERROR(__xludf.DUMMYFUNCTION("""COMPUTED_VALUE"""),6172797)</f>
        <v/>
      </c>
      <c r="H145" s="27" t="n"/>
    </row>
    <row r="146" ht="17.25" customHeight="1" s="322">
      <c r="A146" s="27" t="n"/>
      <c r="B146" s="506">
        <f>IFERROR(__xludf.DUMMYFUNCTION("""COMPUTED_VALUE"""),46038.6666666666)</f>
        <v/>
      </c>
      <c r="C146" s="141">
        <f>IFERROR(__xludf.DUMMYFUNCTION("""COMPUTED_VALUE"""),96.23)</f>
        <v/>
      </c>
      <c r="D146" s="141">
        <f>IFERROR(__xludf.DUMMYFUNCTION("""COMPUTED_VALUE"""),96.26)</f>
        <v/>
      </c>
      <c r="E146" s="141">
        <f>IFERROR(__xludf.DUMMYFUNCTION("""COMPUTED_VALUE"""),95.91)</f>
        <v/>
      </c>
      <c r="F146" s="141">
        <f>IFERROR(__xludf.DUMMYFUNCTION("""COMPUTED_VALUE"""),95.93)</f>
        <v/>
      </c>
      <c r="G146" s="143">
        <f>IFERROR(__xludf.DUMMYFUNCTION("""COMPUTED_VALUE"""),11979391)</f>
        <v/>
      </c>
      <c r="H146" s="27" t="n"/>
    </row>
    <row r="147" ht="17.25" customHeight="1" s="322">
      <c r="A147" s="27" t="n"/>
      <c r="B147" s="506">
        <f>IFERROR(__xludf.DUMMYFUNCTION("""COMPUTED_VALUE"""),46042.6666666666)</f>
        <v/>
      </c>
      <c r="C147" s="141">
        <f>IFERROR(__xludf.DUMMYFUNCTION("""COMPUTED_VALUE"""),95.6)</f>
        <v/>
      </c>
      <c r="D147" s="141">
        <f>IFERROR(__xludf.DUMMYFUNCTION("""COMPUTED_VALUE"""),95.72)</f>
        <v/>
      </c>
      <c r="E147" s="141">
        <f>IFERROR(__xludf.DUMMYFUNCTION("""COMPUTED_VALUE"""),95.53)</f>
        <v/>
      </c>
      <c r="F147" s="141">
        <f>IFERROR(__xludf.DUMMYFUNCTION("""COMPUTED_VALUE"""),95.55)</f>
        <v/>
      </c>
      <c r="G147" s="143">
        <f>IFERROR(__xludf.DUMMYFUNCTION("""COMPUTED_VALUE"""),13607731)</f>
        <v/>
      </c>
      <c r="H147" s="27" t="n"/>
    </row>
    <row r="148" ht="17.25" customHeight="1" s="322">
      <c r="A148" s="27" t="n"/>
      <c r="B148" s="506">
        <f>IFERROR(__xludf.DUMMYFUNCTION("""COMPUTED_VALUE"""),46043.6666666666)</f>
        <v/>
      </c>
      <c r="C148" s="141">
        <f>IFERROR(__xludf.DUMMYFUNCTION("""COMPUTED_VALUE"""),95.66)</f>
        <v/>
      </c>
      <c r="D148" s="141">
        <f>IFERROR(__xludf.DUMMYFUNCTION("""COMPUTED_VALUE"""),95.84)</f>
        <v/>
      </c>
      <c r="E148" s="141">
        <f>IFERROR(__xludf.DUMMYFUNCTION("""COMPUTED_VALUE"""),95.56)</f>
        <v/>
      </c>
      <c r="F148" s="141">
        <f>IFERROR(__xludf.DUMMYFUNCTION("""COMPUTED_VALUE"""),95.8)</f>
        <v/>
      </c>
      <c r="G148" s="143">
        <f>IFERROR(__xludf.DUMMYFUNCTION("""COMPUTED_VALUE"""),11969124)</f>
        <v/>
      </c>
      <c r="H148" s="27" t="n"/>
    </row>
    <row r="149" ht="17.25" customHeight="1" s="322">
      <c r="A149" s="27" t="n"/>
      <c r="B149" s="506">
        <f>IFERROR(__xludf.DUMMYFUNCTION("""COMPUTED_VALUE"""),46044.6666666666)</f>
        <v/>
      </c>
      <c r="C149" s="141">
        <f>IFERROR(__xludf.DUMMYFUNCTION("""COMPUTED_VALUE"""),95.7)</f>
        <v/>
      </c>
      <c r="D149" s="141">
        <f>IFERROR(__xludf.DUMMYFUNCTION("""COMPUTED_VALUE"""),95.86)</f>
        <v/>
      </c>
      <c r="E149" s="141">
        <f>IFERROR(__xludf.DUMMYFUNCTION("""COMPUTED_VALUE"""),95.65)</f>
        <v/>
      </c>
      <c r="F149" s="141">
        <f>IFERROR(__xludf.DUMMYFUNCTION("""COMPUTED_VALUE"""),95.79)</f>
        <v/>
      </c>
      <c r="G149" s="143">
        <f>IFERROR(__xludf.DUMMYFUNCTION("""COMPUTED_VALUE"""),10209497)</f>
        <v/>
      </c>
      <c r="H149" s="27" t="n"/>
    </row>
    <row r="150" ht="17.25" customHeight="1" s="322">
      <c r="A150" s="27" t="n"/>
      <c r="B150" s="506">
        <f>IFERROR(__xludf.DUMMYFUNCTION("""COMPUTED_VALUE"""),46045.6666666666)</f>
        <v/>
      </c>
      <c r="C150" s="141">
        <f>IFERROR(__xludf.DUMMYFUNCTION("""COMPUTED_VALUE"""),95.83)</f>
        <v/>
      </c>
      <c r="D150" s="141">
        <f>IFERROR(__xludf.DUMMYFUNCTION("""COMPUTED_VALUE"""),95.97)</f>
        <v/>
      </c>
      <c r="E150" s="141">
        <f>IFERROR(__xludf.DUMMYFUNCTION("""COMPUTED_VALUE"""),95.75)</f>
        <v/>
      </c>
      <c r="F150" s="141">
        <f>IFERROR(__xludf.DUMMYFUNCTION("""COMPUTED_VALUE"""),95.95)</f>
        <v/>
      </c>
      <c r="G150" s="143">
        <f>IFERROR(__xludf.DUMMYFUNCTION("""COMPUTED_VALUE"""),8147517)</f>
        <v/>
      </c>
      <c r="H150" s="27" t="n"/>
    </row>
    <row r="151" ht="17.25" customHeight="1" s="322">
      <c r="A151" s="27" t="n"/>
      <c r="B151" s="506">
        <f>IFERROR(__xludf.DUMMYFUNCTION("""COMPUTED_VALUE"""),46048.6666666666)</f>
        <v/>
      </c>
      <c r="C151" s="141">
        <f>IFERROR(__xludf.DUMMYFUNCTION("""COMPUTED_VALUE"""),96.1)</f>
        <v/>
      </c>
      <c r="D151" s="141">
        <f>IFERROR(__xludf.DUMMYFUNCTION("""COMPUTED_VALUE"""),96.16)</f>
        <v/>
      </c>
      <c r="E151" s="141">
        <f>IFERROR(__xludf.DUMMYFUNCTION("""COMPUTED_VALUE"""),96.04)</f>
        <v/>
      </c>
      <c r="F151" s="141">
        <f>IFERROR(__xludf.DUMMYFUNCTION("""COMPUTED_VALUE"""),96.09)</f>
        <v/>
      </c>
      <c r="G151" s="143">
        <f>IFERROR(__xludf.DUMMYFUNCTION("""COMPUTED_VALUE"""),6803869)</f>
        <v/>
      </c>
      <c r="H151" s="27" t="n"/>
    </row>
    <row r="152" ht="17.25" customHeight="1" s="322">
      <c r="A152" s="27" t="n"/>
      <c r="B152" s="506">
        <f>IFERROR(__xludf.DUMMYFUNCTION("""COMPUTED_VALUE"""),46049.6666666666)</f>
        <v/>
      </c>
      <c r="C152" s="141">
        <f>IFERROR(__xludf.DUMMYFUNCTION("""COMPUTED_VALUE"""),96.03)</f>
        <v/>
      </c>
      <c r="D152" s="141">
        <f>IFERROR(__xludf.DUMMYFUNCTION("""COMPUTED_VALUE"""),96.15)</f>
        <v/>
      </c>
      <c r="E152" s="141">
        <f>IFERROR(__xludf.DUMMYFUNCTION("""COMPUTED_VALUE"""),95.95)</f>
        <v/>
      </c>
      <c r="F152" s="141">
        <f>IFERROR(__xludf.DUMMYFUNCTION("""COMPUTED_VALUE"""),95.98)</f>
        <v/>
      </c>
      <c r="G152" s="143">
        <f>IFERROR(__xludf.DUMMYFUNCTION("""COMPUTED_VALUE"""),9857199)</f>
        <v/>
      </c>
      <c r="H152" s="27" t="n"/>
    </row>
    <row r="153" ht="17.25" customHeight="1" s="322">
      <c r="A153" s="27" t="n"/>
      <c r="B153" s="506">
        <f>IFERROR(__xludf.DUMMYFUNCTION("""COMPUTED_VALUE"""),46050.6666666666)</f>
        <v/>
      </c>
      <c r="C153" s="141">
        <f>IFERROR(__xludf.DUMMYFUNCTION("""COMPUTED_VALUE"""),95.92)</f>
        <v/>
      </c>
      <c r="D153" s="141">
        <f>IFERROR(__xludf.DUMMYFUNCTION("""COMPUTED_VALUE"""),95.95)</f>
        <v/>
      </c>
      <c r="E153" s="141">
        <f>IFERROR(__xludf.DUMMYFUNCTION("""COMPUTED_VALUE"""),95.73)</f>
        <v/>
      </c>
      <c r="F153" s="141">
        <f>IFERROR(__xludf.DUMMYFUNCTION("""COMPUTED_VALUE"""),95.9)</f>
        <v/>
      </c>
      <c r="G153" s="143">
        <f>IFERROR(__xludf.DUMMYFUNCTION("""COMPUTED_VALUE"""),17032404)</f>
        <v/>
      </c>
      <c r="H153" s="27" t="n"/>
    </row>
    <row r="154" ht="17.25" customHeight="1" s="322">
      <c r="A154" s="27" t="n"/>
      <c r="B154" s="506">
        <f>IFERROR(__xludf.DUMMYFUNCTION("""COMPUTED_VALUE"""),46051.6666666666)</f>
        <v/>
      </c>
      <c r="C154" s="141">
        <f>IFERROR(__xludf.DUMMYFUNCTION("""COMPUTED_VALUE"""),95.8)</f>
        <v/>
      </c>
      <c r="D154" s="141">
        <f>IFERROR(__xludf.DUMMYFUNCTION("""COMPUTED_VALUE"""),96.09)</f>
        <v/>
      </c>
      <c r="E154" s="141">
        <f>IFERROR(__xludf.DUMMYFUNCTION("""COMPUTED_VALUE"""),95.78)</f>
        <v/>
      </c>
      <c r="F154" s="141">
        <f>IFERROR(__xludf.DUMMYFUNCTION("""COMPUTED_VALUE"""),96)</f>
        <v/>
      </c>
      <c r="G154" s="143">
        <f>IFERROR(__xludf.DUMMYFUNCTION("""COMPUTED_VALUE"""),11049404)</f>
        <v/>
      </c>
      <c r="H154" s="27" t="n"/>
    </row>
    <row r="155" ht="17.25" customHeight="1" s="322">
      <c r="A155" s="27" t="n"/>
      <c r="B155" s="506">
        <f>IFERROR(__xludf.DUMMYFUNCTION("""COMPUTED_VALUE"""),46052.6666666666)</f>
        <v/>
      </c>
      <c r="C155" s="141">
        <f>IFERROR(__xludf.DUMMYFUNCTION("""COMPUTED_VALUE"""),95.99)</f>
        <v/>
      </c>
      <c r="D155" s="141">
        <f>IFERROR(__xludf.DUMMYFUNCTION("""COMPUTED_VALUE"""),96.06)</f>
        <v/>
      </c>
      <c r="E155" s="141">
        <f>IFERROR(__xludf.DUMMYFUNCTION("""COMPUTED_VALUE"""),95.91)</f>
        <v/>
      </c>
      <c r="F155" s="141">
        <f>IFERROR(__xludf.DUMMYFUNCTION("""COMPUTED_VALUE"""),95.94)</f>
        <v/>
      </c>
      <c r="G155" s="143">
        <f>IFERROR(__xludf.DUMMYFUNCTION("""COMPUTED_VALUE"""),8238456)</f>
        <v/>
      </c>
      <c r="H155" s="27" t="n"/>
    </row>
    <row r="156" ht="17.25" customHeight="1" s="322">
      <c r="A156" s="27" t="n"/>
      <c r="B156" s="506">
        <f>IFERROR(__xludf.DUMMYFUNCTION("""COMPUTED_VALUE"""),46055.6666666666)</f>
        <v/>
      </c>
      <c r="C156" s="141">
        <f>IFERROR(__xludf.DUMMYFUNCTION("""COMPUTED_VALUE"""),95.67)</f>
        <v/>
      </c>
      <c r="D156" s="141">
        <f>IFERROR(__xludf.DUMMYFUNCTION("""COMPUTED_VALUE"""),95.7)</f>
        <v/>
      </c>
      <c r="E156" s="141">
        <f>IFERROR(__xludf.DUMMYFUNCTION("""COMPUTED_VALUE"""),95.44)</f>
        <v/>
      </c>
      <c r="F156" s="141">
        <f>IFERROR(__xludf.DUMMYFUNCTION("""COMPUTED_VALUE"""),95.44)</f>
        <v/>
      </c>
      <c r="G156" s="143">
        <f>IFERROR(__xludf.DUMMYFUNCTION("""COMPUTED_VALUE"""),8987366)</f>
        <v/>
      </c>
      <c r="H156" s="27" t="n"/>
    </row>
    <row r="157" ht="17.25" customHeight="1" s="322">
      <c r="A157" s="27" t="n"/>
      <c r="B157" s="506">
        <f>IFERROR(__xludf.DUMMYFUNCTION("""COMPUTED_VALUE"""),46056.6666666666)</f>
        <v/>
      </c>
      <c r="C157" s="141">
        <f>IFERROR(__xludf.DUMMYFUNCTION("""COMPUTED_VALUE"""),95.39)</f>
        <v/>
      </c>
      <c r="D157" s="141">
        <f>IFERROR(__xludf.DUMMYFUNCTION("""COMPUTED_VALUE"""),95.57)</f>
        <v/>
      </c>
      <c r="E157" s="141">
        <f>IFERROR(__xludf.DUMMYFUNCTION("""COMPUTED_VALUE"""),95.37)</f>
        <v/>
      </c>
      <c r="F157" s="141">
        <f>IFERROR(__xludf.DUMMYFUNCTION("""COMPUTED_VALUE"""),95.53)</f>
        <v/>
      </c>
      <c r="G157" s="143">
        <f>IFERROR(__xludf.DUMMYFUNCTION("""COMPUTED_VALUE"""),7314131)</f>
        <v/>
      </c>
      <c r="H157" s="27" t="n"/>
    </row>
    <row r="158" ht="17.25" customHeight="1" s="322">
      <c r="A158" s="27" t="n"/>
      <c r="B158" s="506">
        <f>IFERROR(__xludf.DUMMYFUNCTION("""COMPUTED_VALUE"""),46057.6666666666)</f>
        <v/>
      </c>
      <c r="C158" s="141">
        <f>IFERROR(__xludf.DUMMYFUNCTION("""COMPUTED_VALUE"""),95.45)</f>
        <v/>
      </c>
      <c r="D158" s="141">
        <f>IFERROR(__xludf.DUMMYFUNCTION("""COMPUTED_VALUE"""),95.61)</f>
        <v/>
      </c>
      <c r="E158" s="141">
        <f>IFERROR(__xludf.DUMMYFUNCTION("""COMPUTED_VALUE"""),95.41)</f>
        <v/>
      </c>
      <c r="F158" s="141">
        <f>IFERROR(__xludf.DUMMYFUNCTION("""COMPUTED_VALUE"""),95.51)</f>
        <v/>
      </c>
      <c r="G158" s="143">
        <f>IFERROR(__xludf.DUMMYFUNCTION("""COMPUTED_VALUE"""),7268703)</f>
        <v/>
      </c>
      <c r="H158" s="27" t="n"/>
    </row>
    <row r="159" ht="17.25" customHeight="1" s="322">
      <c r="A159" s="27" t="n"/>
      <c r="B159" s="506">
        <f>IFERROR(__xludf.DUMMYFUNCTION("""COMPUTED_VALUE"""),46058.6666666666)</f>
        <v/>
      </c>
      <c r="C159" s="141">
        <f>IFERROR(__xludf.DUMMYFUNCTION("""COMPUTED_VALUE"""),95.8)</f>
        <v/>
      </c>
      <c r="D159" s="141">
        <f>IFERROR(__xludf.DUMMYFUNCTION("""COMPUTED_VALUE"""),96.1)</f>
        <v/>
      </c>
      <c r="E159" s="141">
        <f>IFERROR(__xludf.DUMMYFUNCTION("""COMPUTED_VALUE"""),95.71)</f>
        <v/>
      </c>
      <c r="F159" s="141">
        <f>IFERROR(__xludf.DUMMYFUNCTION("""COMPUTED_VALUE"""),96.07)</f>
        <v/>
      </c>
      <c r="G159" s="143">
        <f>IFERROR(__xludf.DUMMYFUNCTION("""COMPUTED_VALUE"""),12086792)</f>
        <v/>
      </c>
      <c r="H159" s="27" t="n"/>
    </row>
    <row r="160" ht="17.25" customHeight="1" s="322">
      <c r="A160" s="27" t="n"/>
      <c r="B160" s="506">
        <f>IFERROR(__xludf.DUMMYFUNCTION("""COMPUTED_VALUE"""),46059.6666666666)</f>
        <v/>
      </c>
      <c r="C160" s="141">
        <f>IFERROR(__xludf.DUMMYFUNCTION("""COMPUTED_VALUE"""),96.12)</f>
        <v/>
      </c>
      <c r="D160" s="141">
        <f>IFERROR(__xludf.DUMMYFUNCTION("""COMPUTED_VALUE"""),96.13)</f>
        <v/>
      </c>
      <c r="E160" s="141">
        <f>IFERROR(__xludf.DUMMYFUNCTION("""COMPUTED_VALUE"""),95.92)</f>
        <v/>
      </c>
      <c r="F160" s="141">
        <f>IFERROR(__xludf.DUMMYFUNCTION("""COMPUTED_VALUE"""),96.07)</f>
        <v/>
      </c>
      <c r="G160" s="143">
        <f>IFERROR(__xludf.DUMMYFUNCTION("""COMPUTED_VALUE"""),7759939)</f>
        <v/>
      </c>
      <c r="H160" s="27" t="n"/>
    </row>
    <row r="161" ht="17.25" customHeight="1" s="322">
      <c r="A161" s="27" t="n"/>
      <c r="B161" s="506">
        <f>IFERROR(__xludf.DUMMYFUNCTION("""COMPUTED_VALUE"""),46062.6666666666)</f>
        <v/>
      </c>
      <c r="C161" s="141">
        <f>IFERROR(__xludf.DUMMYFUNCTION("""COMPUTED_VALUE"""),96.01)</f>
        <v/>
      </c>
      <c r="D161" s="141">
        <f>IFERROR(__xludf.DUMMYFUNCTION("""COMPUTED_VALUE"""),96.13)</f>
        <v/>
      </c>
      <c r="E161" s="141">
        <f>IFERROR(__xludf.DUMMYFUNCTION("""COMPUTED_VALUE"""),95.93)</f>
        <v/>
      </c>
      <c r="F161" s="141">
        <f>IFERROR(__xludf.DUMMYFUNCTION("""COMPUTED_VALUE"""),96.09)</f>
        <v/>
      </c>
      <c r="G161" s="143">
        <f>IFERROR(__xludf.DUMMYFUNCTION("""COMPUTED_VALUE"""),8165177)</f>
        <v/>
      </c>
      <c r="H161" s="27" t="n"/>
    </row>
    <row r="162" ht="17.25" customHeight="1" s="322">
      <c r="A162" s="27" t="n"/>
      <c r="B162" s="506">
        <f>IFERROR(__xludf.DUMMYFUNCTION("""COMPUTED_VALUE"""),46063.6666666666)</f>
        <v/>
      </c>
      <c r="C162" s="141">
        <f>IFERROR(__xludf.DUMMYFUNCTION("""COMPUTED_VALUE"""),96.43)</f>
        <v/>
      </c>
      <c r="D162" s="141">
        <f>IFERROR(__xludf.DUMMYFUNCTION("""COMPUTED_VALUE"""),96.55)</f>
        <v/>
      </c>
      <c r="E162" s="141">
        <f>IFERROR(__xludf.DUMMYFUNCTION("""COMPUTED_VALUE"""),96.41)</f>
        <v/>
      </c>
      <c r="F162" s="141">
        <f>IFERROR(__xludf.DUMMYFUNCTION("""COMPUTED_VALUE"""),96.51)</f>
        <v/>
      </c>
      <c r="G162" s="143">
        <f>IFERROR(__xludf.DUMMYFUNCTION("""COMPUTED_VALUE"""),9752387)</f>
        <v/>
      </c>
      <c r="H162" s="27" t="n"/>
    </row>
    <row r="163" ht="17.25" customHeight="1" s="322">
      <c r="A163" s="27" t="n"/>
      <c r="B163" s="506">
        <f>IFERROR(__xludf.DUMMYFUNCTION("""COMPUTED_VALUE"""),46064.6666666666)</f>
        <v/>
      </c>
      <c r="C163" s="141">
        <f>IFERROR(__xludf.DUMMYFUNCTION("""COMPUTED_VALUE"""),96.18)</f>
        <v/>
      </c>
      <c r="D163" s="141">
        <f>IFERROR(__xludf.DUMMYFUNCTION("""COMPUTED_VALUE"""),96.45)</f>
        <v/>
      </c>
      <c r="E163" s="141">
        <f>IFERROR(__xludf.DUMMYFUNCTION("""COMPUTED_VALUE"""),96.16)</f>
        <v/>
      </c>
      <c r="F163" s="141">
        <f>IFERROR(__xludf.DUMMYFUNCTION("""COMPUTED_VALUE"""),96.24)</f>
        <v/>
      </c>
      <c r="G163" s="143">
        <f>IFERROR(__xludf.DUMMYFUNCTION("""COMPUTED_VALUE"""),9106648)</f>
        <v/>
      </c>
      <c r="H163" s="27" t="n"/>
    </row>
    <row r="164" ht="17.25" customHeight="1" s="322">
      <c r="A164" s="27" t="n"/>
      <c r="B164" s="506">
        <f>IFERROR(__xludf.DUMMYFUNCTION("""COMPUTED_VALUE"""),46065.6666666666)</f>
        <v/>
      </c>
      <c r="C164" s="141">
        <f>IFERROR(__xludf.DUMMYFUNCTION("""COMPUTED_VALUE"""),96.4)</f>
        <v/>
      </c>
      <c r="D164" s="141">
        <f>IFERROR(__xludf.DUMMYFUNCTION("""COMPUTED_VALUE"""),96.85)</f>
        <v/>
      </c>
      <c r="E164" s="141">
        <f>IFERROR(__xludf.DUMMYFUNCTION("""COMPUTED_VALUE"""),96.39)</f>
        <v/>
      </c>
      <c r="F164" s="141">
        <f>IFERROR(__xludf.DUMMYFUNCTION("""COMPUTED_VALUE"""),96.83)</f>
        <v/>
      </c>
      <c r="G164" s="143">
        <f>IFERROR(__xludf.DUMMYFUNCTION("""COMPUTED_VALUE"""),13099865)</f>
        <v/>
      </c>
      <c r="H164" s="27" t="n"/>
    </row>
    <row r="165" ht="17.25" customHeight="1" s="322">
      <c r="A165" s="27" t="n"/>
      <c r="B165" s="506">
        <f>IFERROR(__xludf.DUMMYFUNCTION("""COMPUTED_VALUE"""),46066.6666666666)</f>
        <v/>
      </c>
      <c r="C165" s="141">
        <f>IFERROR(__xludf.DUMMYFUNCTION("""COMPUTED_VALUE"""),97.12)</f>
        <v/>
      </c>
      <c r="D165" s="141">
        <f>IFERROR(__xludf.DUMMYFUNCTION("""COMPUTED_VALUE"""),97.26)</f>
        <v/>
      </c>
      <c r="E165" s="141">
        <f>IFERROR(__xludf.DUMMYFUNCTION("""COMPUTED_VALUE"""),97.09)</f>
        <v/>
      </c>
      <c r="F165" s="141">
        <f>IFERROR(__xludf.DUMMYFUNCTION("""COMPUTED_VALUE"""),97.21)</f>
        <v/>
      </c>
      <c r="G165" s="143">
        <f>IFERROR(__xludf.DUMMYFUNCTION("""COMPUTED_VALUE"""),11681536)</f>
        <v/>
      </c>
      <c r="H165" s="27" t="n"/>
    </row>
    <row r="166" ht="17.25" customHeight="1" s="322">
      <c r="A166" s="27" t="n"/>
      <c r="B166" s="506">
        <f>IFERROR(__xludf.DUMMYFUNCTION("""COMPUTED_VALUE"""),46070.6666666666)</f>
        <v/>
      </c>
      <c r="C166" s="141">
        <f>IFERROR(__xludf.DUMMYFUNCTION("""COMPUTED_VALUE"""),97.25)</f>
        <v/>
      </c>
      <c r="D166" s="141">
        <f>IFERROR(__xludf.DUMMYFUNCTION("""COMPUTED_VALUE"""),97.31)</f>
        <v/>
      </c>
      <c r="E166" s="141">
        <f>IFERROR(__xludf.DUMMYFUNCTION("""COMPUTED_VALUE"""),97.15)</f>
        <v/>
      </c>
      <c r="F166" s="141">
        <f>IFERROR(__xludf.DUMMYFUNCTION("""COMPUTED_VALUE"""),97.2)</f>
        <v/>
      </c>
      <c r="G166" s="143">
        <f>IFERROR(__xludf.DUMMYFUNCTION("""COMPUTED_VALUE"""),8623799)</f>
        <v/>
      </c>
      <c r="H166" s="27" t="n"/>
    </row>
    <row r="167" ht="17.25" customHeight="1" s="322">
      <c r="A167" s="27" t="n"/>
      <c r="B167" s="506">
        <f>IFERROR(__xludf.DUMMYFUNCTION("""COMPUTED_VALUE"""),46071.6666666666)</f>
        <v/>
      </c>
      <c r="C167" s="141">
        <f>IFERROR(__xludf.DUMMYFUNCTION("""COMPUTED_VALUE"""),97.03)</f>
        <v/>
      </c>
      <c r="D167" s="141">
        <f>IFERROR(__xludf.DUMMYFUNCTION("""COMPUTED_VALUE"""),97.09)</f>
        <v/>
      </c>
      <c r="E167" s="141">
        <f>IFERROR(__xludf.DUMMYFUNCTION("""COMPUTED_VALUE"""),96.97)</f>
        <v/>
      </c>
      <c r="F167" s="141">
        <f>IFERROR(__xludf.DUMMYFUNCTION("""COMPUTED_VALUE"""),97)</f>
        <v/>
      </c>
      <c r="G167" s="143">
        <f>IFERROR(__xludf.DUMMYFUNCTION("""COMPUTED_VALUE"""),7779172)</f>
        <v/>
      </c>
      <c r="H167" s="27" t="n"/>
    </row>
    <row r="168" ht="17.25" customHeight="1" s="322">
      <c r="A168" s="27" t="n"/>
      <c r="B168" s="506">
        <f>IFERROR(__xludf.DUMMYFUNCTION("""COMPUTED_VALUE"""),46072.6666666666)</f>
        <v/>
      </c>
      <c r="C168" s="141">
        <f>IFERROR(__xludf.DUMMYFUNCTION("""COMPUTED_VALUE"""),96.96)</f>
        <v/>
      </c>
      <c r="D168" s="141">
        <f>IFERROR(__xludf.DUMMYFUNCTION("""COMPUTED_VALUE"""),97.14)</f>
        <v/>
      </c>
      <c r="E168" s="141">
        <f>IFERROR(__xludf.DUMMYFUNCTION("""COMPUTED_VALUE"""),96.94)</f>
        <v/>
      </c>
      <c r="F168" s="141">
        <f>IFERROR(__xludf.DUMMYFUNCTION("""COMPUTED_VALUE"""),97.09)</f>
        <v/>
      </c>
      <c r="G168" s="143">
        <f>IFERROR(__xludf.DUMMYFUNCTION("""COMPUTED_VALUE"""),4993144)</f>
        <v/>
      </c>
      <c r="H168" s="27" t="n"/>
    </row>
    <row r="169" ht="17.25" customHeight="1" s="322">
      <c r="A169" s="27" t="n"/>
      <c r="B169" s="506">
        <f>IFERROR(__xludf.DUMMYFUNCTION("""COMPUTED_VALUE"""),46073.6666666666)</f>
        <v/>
      </c>
      <c r="C169" s="141">
        <f>IFERROR(__xludf.DUMMYFUNCTION("""COMPUTED_VALUE"""),97.13)</f>
        <v/>
      </c>
      <c r="D169" s="141">
        <f>IFERROR(__xludf.DUMMYFUNCTION("""COMPUTED_VALUE"""),97.14)</f>
        <v/>
      </c>
      <c r="E169" s="141">
        <f>IFERROR(__xludf.DUMMYFUNCTION("""COMPUTED_VALUE"""),96.89)</f>
        <v/>
      </c>
      <c r="F169" s="141">
        <f>IFERROR(__xludf.DUMMYFUNCTION("""COMPUTED_VALUE"""),97.09)</f>
        <v/>
      </c>
      <c r="G169" s="143">
        <f>IFERROR(__xludf.DUMMYFUNCTION("""COMPUTED_VALUE"""),11200201)</f>
        <v/>
      </c>
      <c r="H169" s="27" t="n"/>
    </row>
    <row r="170" ht="17.25" customHeight="1" s="322">
      <c r="A170" s="27" t="n"/>
      <c r="B170" s="506">
        <f>IFERROR(__xludf.DUMMYFUNCTION("""COMPUTED_VALUE"""),46076.6666666666)</f>
        <v/>
      </c>
      <c r="C170" s="141">
        <f>IFERROR(__xludf.DUMMYFUNCTION("""COMPUTED_VALUE"""),97.17)</f>
        <v/>
      </c>
      <c r="D170" s="141">
        <f>IFERROR(__xludf.DUMMYFUNCTION("""COMPUTED_VALUE"""),97.53)</f>
        <v/>
      </c>
      <c r="E170" s="141">
        <f>IFERROR(__xludf.DUMMYFUNCTION("""COMPUTED_VALUE"""),97.17)</f>
        <v/>
      </c>
      <c r="F170" s="141">
        <f>IFERROR(__xludf.DUMMYFUNCTION("""COMPUTED_VALUE"""),97.44)</f>
        <v/>
      </c>
      <c r="G170" s="143">
        <f>IFERROR(__xludf.DUMMYFUNCTION("""COMPUTED_VALUE"""),9771236)</f>
        <v/>
      </c>
      <c r="H170" s="27" t="n"/>
    </row>
    <row r="171" ht="17.25" customHeight="1" s="322">
      <c r="A171" s="27" t="n"/>
      <c r="B171" s="506">
        <f>IFERROR(__xludf.DUMMYFUNCTION("""COMPUTED_VALUE"""),46077.6666666666)</f>
        <v/>
      </c>
      <c r="C171" s="141">
        <f>IFERROR(__xludf.DUMMYFUNCTION("""COMPUTED_VALUE"""),97.44)</f>
        <v/>
      </c>
      <c r="D171" s="141">
        <f>IFERROR(__xludf.DUMMYFUNCTION("""COMPUTED_VALUE"""),97.48)</f>
        <v/>
      </c>
      <c r="E171" s="141">
        <f>IFERROR(__xludf.DUMMYFUNCTION("""COMPUTED_VALUE"""),97.33)</f>
        <v/>
      </c>
      <c r="F171" s="141">
        <f>IFERROR(__xludf.DUMMYFUNCTION("""COMPUTED_VALUE"""),97.42)</f>
        <v/>
      </c>
      <c r="G171" s="143">
        <f>IFERROR(__xludf.DUMMYFUNCTION("""COMPUTED_VALUE"""),9461386)</f>
        <v/>
      </c>
      <c r="H171" s="27" t="n"/>
    </row>
    <row r="172" ht="17.25" customHeight="1" s="322">
      <c r="A172" s="27" t="n"/>
      <c r="B172" s="506">
        <f>IFERROR(__xludf.DUMMYFUNCTION("""COMPUTED_VALUE"""),46078.6666666666)</f>
        <v/>
      </c>
      <c r="C172" s="141">
        <f>IFERROR(__xludf.DUMMYFUNCTION("""COMPUTED_VALUE"""),97.27)</f>
        <v/>
      </c>
      <c r="D172" s="141">
        <f>IFERROR(__xludf.DUMMYFUNCTION("""COMPUTED_VALUE"""),97.42)</f>
        <v/>
      </c>
      <c r="E172" s="141">
        <f>IFERROR(__xludf.DUMMYFUNCTION("""COMPUTED_VALUE"""),97.27)</f>
        <v/>
      </c>
      <c r="F172" s="141">
        <f>IFERROR(__xludf.DUMMYFUNCTION("""COMPUTED_VALUE"""),97.34)</f>
        <v/>
      </c>
      <c r="G172" s="143">
        <f>IFERROR(__xludf.DUMMYFUNCTION("""COMPUTED_VALUE"""),8627357)</f>
        <v/>
      </c>
      <c r="H172" s="27" t="n"/>
    </row>
    <row r="173" ht="17.25" customHeight="1" s="322">
      <c r="A173" s="27" t="n"/>
      <c r="B173" s="506">
        <f>IFERROR(__xludf.DUMMYFUNCTION("""COMPUTED_VALUE"""),46079.6666666666)</f>
        <v/>
      </c>
      <c r="C173" s="141">
        <f>IFERROR(__xludf.DUMMYFUNCTION("""COMPUTED_VALUE"""),97.42)</f>
        <v/>
      </c>
      <c r="D173" s="141">
        <f>IFERROR(__xludf.DUMMYFUNCTION("""COMPUTED_VALUE"""),97.6)</f>
        <v/>
      </c>
      <c r="E173" s="141">
        <f>IFERROR(__xludf.DUMMYFUNCTION("""COMPUTED_VALUE"""),97.42)</f>
        <v/>
      </c>
      <c r="F173" s="141">
        <f>IFERROR(__xludf.DUMMYFUNCTION("""COMPUTED_VALUE"""),97.6)</f>
        <v/>
      </c>
      <c r="G173" s="143">
        <f>IFERROR(__xludf.DUMMYFUNCTION("""COMPUTED_VALUE"""),8164748)</f>
        <v/>
      </c>
      <c r="H173" s="27" t="n"/>
    </row>
    <row r="174" ht="17.25" customHeight="1" s="322">
      <c r="A174" s="27" t="n"/>
      <c r="B174" s="506">
        <f>IFERROR(__xludf.DUMMYFUNCTION("""COMPUTED_VALUE"""),46080.6666666666)</f>
        <v/>
      </c>
      <c r="C174" s="141">
        <f>IFERROR(__xludf.DUMMYFUNCTION("""COMPUTED_VALUE"""),97.88)</f>
        <v/>
      </c>
      <c r="D174" s="141">
        <f>IFERROR(__xludf.DUMMYFUNCTION("""COMPUTED_VALUE"""),98.05)</f>
        <v/>
      </c>
      <c r="E174" s="141">
        <f>IFERROR(__xludf.DUMMYFUNCTION("""COMPUTED_VALUE"""),97.83)</f>
        <v/>
      </c>
      <c r="F174" s="141">
        <f>IFERROR(__xludf.DUMMYFUNCTION("""COMPUTED_VALUE"""),97.99)</f>
        <v/>
      </c>
      <c r="G174" s="143">
        <f>IFERROR(__xludf.DUMMYFUNCTION("""COMPUTED_VALUE"""),9944946)</f>
        <v/>
      </c>
      <c r="H174" s="27" t="n"/>
    </row>
    <row r="175" ht="17.25" customHeight="1" s="322">
      <c r="A175" s="27" t="n"/>
      <c r="B175" s="506">
        <f>IFERROR(__xludf.DUMMYFUNCTION("""COMPUTED_VALUE"""),46083.6666666666)</f>
        <v/>
      </c>
      <c r="C175" s="141">
        <f>IFERROR(__xludf.DUMMYFUNCTION("""COMPUTED_VALUE"""),97.38)</f>
        <v/>
      </c>
      <c r="D175" s="141">
        <f>IFERROR(__xludf.DUMMYFUNCTION("""COMPUTED_VALUE"""),97.39)</f>
        <v/>
      </c>
      <c r="E175" s="141">
        <f>IFERROR(__xludf.DUMMYFUNCTION("""COMPUTED_VALUE"""),96.95)</f>
        <v/>
      </c>
      <c r="F175" s="141">
        <f>IFERROR(__xludf.DUMMYFUNCTION("""COMPUTED_VALUE"""),97.12)</f>
        <v/>
      </c>
      <c r="G175" s="143">
        <f>IFERROR(__xludf.DUMMYFUNCTION("""COMPUTED_VALUE"""),17708053)</f>
        <v/>
      </c>
      <c r="H175" s="27" t="n"/>
    </row>
    <row r="176" ht="17.25" customHeight="1" s="322">
      <c r="A176" s="27" t="n"/>
      <c r="B176" s="506">
        <f>IFERROR(__xludf.DUMMYFUNCTION("""COMPUTED_VALUE"""),46084.6666666666)</f>
        <v/>
      </c>
      <c r="C176" s="141">
        <f>IFERROR(__xludf.DUMMYFUNCTION("""COMPUTED_VALUE"""),96.67)</f>
        <v/>
      </c>
      <c r="D176" s="141">
        <f>IFERROR(__xludf.DUMMYFUNCTION("""COMPUTED_VALUE"""),97.15)</f>
        <v/>
      </c>
      <c r="E176" s="141">
        <f>IFERROR(__xludf.DUMMYFUNCTION("""COMPUTED_VALUE"""),96.64)</f>
        <v/>
      </c>
      <c r="F176" s="141">
        <f>IFERROR(__xludf.DUMMYFUNCTION("""COMPUTED_VALUE"""),97.01)</f>
        <v/>
      </c>
      <c r="G176" s="143">
        <f>IFERROR(__xludf.DUMMYFUNCTION("""COMPUTED_VALUE"""),13581020)</f>
        <v/>
      </c>
      <c r="H176" s="27" t="n"/>
    </row>
    <row r="177" ht="17.25" customHeight="1" s="322">
      <c r="A177" s="27" t="n"/>
      <c r="B177" s="506">
        <f>IFERROR(__xludf.DUMMYFUNCTION("""COMPUTED_VALUE"""),46085.6666666666)</f>
        <v/>
      </c>
      <c r="C177" s="141">
        <f>IFERROR(__xludf.DUMMYFUNCTION("""COMPUTED_VALUE"""),96.97)</f>
        <v/>
      </c>
      <c r="D177" s="141">
        <f>IFERROR(__xludf.DUMMYFUNCTION("""COMPUTED_VALUE"""),96.99)</f>
        <v/>
      </c>
      <c r="E177" s="141">
        <f>IFERROR(__xludf.DUMMYFUNCTION("""COMPUTED_VALUE"""),96.79)</f>
        <v/>
      </c>
      <c r="F177" s="141">
        <f>IFERROR(__xludf.DUMMYFUNCTION("""COMPUTED_VALUE"""),96.81)</f>
        <v/>
      </c>
      <c r="G177" s="143">
        <f>IFERROR(__xludf.DUMMYFUNCTION("""COMPUTED_VALUE"""),12500434)</f>
        <v/>
      </c>
      <c r="H177" s="27" t="n"/>
    </row>
    <row r="178" ht="17.25" customHeight="1" s="322">
      <c r="A178" s="27" t="n"/>
      <c r="B178" s="506">
        <f>IFERROR(__xludf.DUMMYFUNCTION("""COMPUTED_VALUE"""),46086.6666666666)</f>
        <v/>
      </c>
      <c r="C178" s="141">
        <f>IFERROR(__xludf.DUMMYFUNCTION("""COMPUTED_VALUE"""),96.45)</f>
        <v/>
      </c>
      <c r="D178" s="141">
        <f>IFERROR(__xludf.DUMMYFUNCTION("""COMPUTED_VALUE"""),96.58)</f>
        <v/>
      </c>
      <c r="E178" s="141">
        <f>IFERROR(__xludf.DUMMYFUNCTION("""COMPUTED_VALUE"""),96.39)</f>
        <v/>
      </c>
      <c r="F178" s="141">
        <f>IFERROR(__xludf.DUMMYFUNCTION("""COMPUTED_VALUE"""),96.51)</f>
        <v/>
      </c>
      <c r="G178" s="143">
        <f>IFERROR(__xludf.DUMMYFUNCTION("""COMPUTED_VALUE"""),12594885)</f>
        <v/>
      </c>
      <c r="H178" s="27" t="n"/>
    </row>
    <row r="179" ht="17.25" customHeight="1" s="322">
      <c r="A179" s="27" t="n"/>
      <c r="B179" s="506">
        <f>IFERROR(__xludf.DUMMYFUNCTION("""COMPUTED_VALUE"""),46087.6666666666)</f>
        <v/>
      </c>
      <c r="C179" s="141">
        <f>IFERROR(__xludf.DUMMYFUNCTION("""COMPUTED_VALUE"""),96.22)</f>
        <v/>
      </c>
      <c r="D179" s="141">
        <f>IFERROR(__xludf.DUMMYFUNCTION("""COMPUTED_VALUE"""),96.74)</f>
        <v/>
      </c>
      <c r="E179" s="141">
        <f>IFERROR(__xludf.DUMMYFUNCTION("""COMPUTED_VALUE"""),96.17)</f>
        <v/>
      </c>
      <c r="F179" s="141">
        <f>IFERROR(__xludf.DUMMYFUNCTION("""COMPUTED_VALUE"""),96.45)</f>
        <v/>
      </c>
      <c r="G179" s="143">
        <f>IFERROR(__xludf.DUMMYFUNCTION("""COMPUTED_VALUE"""),12749791)</f>
        <v/>
      </c>
      <c r="H179" s="27" t="n"/>
    </row>
    <row r="180" ht="17.25" customHeight="1" s="322">
      <c r="A180" s="27" t="n"/>
      <c r="B180" s="506">
        <f>IFERROR(__xludf.DUMMYFUNCTION("""COMPUTED_VALUE"""),46090.6666666666)</f>
        <v/>
      </c>
      <c r="C180" s="141">
        <f>IFERROR(__xludf.DUMMYFUNCTION("""COMPUTED_VALUE"""),96.36)</f>
        <v/>
      </c>
      <c r="D180" s="141">
        <f>IFERROR(__xludf.DUMMYFUNCTION("""COMPUTED_VALUE"""),96.8)</f>
        <v/>
      </c>
      <c r="E180" s="141">
        <f>IFERROR(__xludf.DUMMYFUNCTION("""COMPUTED_VALUE"""),96.25)</f>
        <v/>
      </c>
      <c r="F180" s="141">
        <f>IFERROR(__xludf.DUMMYFUNCTION("""COMPUTED_VALUE"""),96.75)</f>
        <v/>
      </c>
      <c r="G180" s="143">
        <f>IFERROR(__xludf.DUMMYFUNCTION("""COMPUTED_VALUE"""),12097945)</f>
        <v/>
      </c>
      <c r="H180" s="27" t="n"/>
    </row>
    <row r="181" ht="17.25" customHeight="1" s="322">
      <c r="A181" s="27" t="n"/>
      <c r="B181" s="506">
        <f>IFERROR(__xludf.DUMMYFUNCTION("""COMPUTED_VALUE"""),46091.6666666666)</f>
        <v/>
      </c>
      <c r="C181" s="141">
        <f>IFERROR(__xludf.DUMMYFUNCTION("""COMPUTED_VALUE"""),96.7)</f>
        <v/>
      </c>
      <c r="D181" s="141">
        <f>IFERROR(__xludf.DUMMYFUNCTION("""COMPUTED_VALUE"""),96.77)</f>
        <v/>
      </c>
      <c r="E181" s="141">
        <f>IFERROR(__xludf.DUMMYFUNCTION("""COMPUTED_VALUE"""),96.41)</f>
        <v/>
      </c>
      <c r="F181" s="141">
        <f>IFERROR(__xludf.DUMMYFUNCTION("""COMPUTED_VALUE"""),96.44)</f>
        <v/>
      </c>
      <c r="G181" s="143">
        <f>IFERROR(__xludf.DUMMYFUNCTION("""COMPUTED_VALUE"""),10548145)</f>
        <v/>
      </c>
      <c r="H181" s="27" t="n"/>
    </row>
    <row r="182" ht="17.25" customHeight="1" s="322">
      <c r="A182" s="27" t="n"/>
      <c r="B182" s="506">
        <f>IFERROR(__xludf.DUMMYFUNCTION("""COMPUTED_VALUE"""),46092.6666666666)</f>
        <v/>
      </c>
      <c r="C182" s="141">
        <f>IFERROR(__xludf.DUMMYFUNCTION("""COMPUTED_VALUE"""),96.26)</f>
        <v/>
      </c>
      <c r="D182" s="141">
        <f>IFERROR(__xludf.DUMMYFUNCTION("""COMPUTED_VALUE"""),96.31)</f>
        <v/>
      </c>
      <c r="E182" s="141">
        <f>IFERROR(__xludf.DUMMYFUNCTION("""COMPUTED_VALUE"""),95.98)</f>
        <v/>
      </c>
      <c r="F182" s="141">
        <f>IFERROR(__xludf.DUMMYFUNCTION("""COMPUTED_VALUE"""),96)</f>
        <v/>
      </c>
      <c r="G182" s="143">
        <f>IFERROR(__xludf.DUMMYFUNCTION("""COMPUTED_VALUE"""),12198450)</f>
        <v/>
      </c>
      <c r="H182" s="27" t="n"/>
    </row>
    <row r="183" ht="17.25" customHeight="1" s="322">
      <c r="A183" s="27" t="n"/>
      <c r="B183" s="506">
        <f>IFERROR(__xludf.DUMMYFUNCTION("""COMPUTED_VALUE"""),46093.6666666666)</f>
        <v/>
      </c>
      <c r="C183" s="141">
        <f>IFERROR(__xludf.DUMMYFUNCTION("""COMPUTED_VALUE"""),95.85)</f>
        <v/>
      </c>
      <c r="D183" s="141">
        <f>IFERROR(__xludf.DUMMYFUNCTION("""COMPUTED_VALUE"""),95.98)</f>
        <v/>
      </c>
      <c r="E183" s="141">
        <f>IFERROR(__xludf.DUMMYFUNCTION("""COMPUTED_VALUE"""),95.59)</f>
        <v/>
      </c>
      <c r="F183" s="141">
        <f>IFERROR(__xludf.DUMMYFUNCTION("""COMPUTED_VALUE"""),95.69)</f>
        <v/>
      </c>
      <c r="G183" s="143">
        <f>IFERROR(__xludf.DUMMYFUNCTION("""COMPUTED_VALUE"""),11401448)</f>
        <v/>
      </c>
      <c r="H183" s="27" t="n"/>
    </row>
    <row r="184" ht="17.25" customHeight="1" s="322">
      <c r="A184" s="27" t="n"/>
      <c r="B184" s="506">
        <f>IFERROR(__xludf.DUMMYFUNCTION("""COMPUTED_VALUE"""),46094.6666666666)</f>
        <v/>
      </c>
      <c r="C184" s="141">
        <f>IFERROR(__xludf.DUMMYFUNCTION("""COMPUTED_VALUE"""),95.84)</f>
        <v/>
      </c>
      <c r="D184" s="141">
        <f>IFERROR(__xludf.DUMMYFUNCTION("""COMPUTED_VALUE"""),95.93)</f>
        <v/>
      </c>
      <c r="E184" s="141">
        <f>IFERROR(__xludf.DUMMYFUNCTION("""COMPUTED_VALUE"""),95.55)</f>
        <v/>
      </c>
      <c r="F184" s="141">
        <f>IFERROR(__xludf.DUMMYFUNCTION("""COMPUTED_VALUE"""),95.59)</f>
        <v/>
      </c>
      <c r="G184" s="143">
        <f>IFERROR(__xludf.DUMMYFUNCTION("""COMPUTED_VALUE"""),11839932)</f>
        <v/>
      </c>
      <c r="H184" s="27" t="n"/>
    </row>
    <row r="185" ht="17.25" customHeight="1" s="322">
      <c r="A185" s="27" t="n"/>
      <c r="B185" s="506">
        <f>IFERROR(__xludf.DUMMYFUNCTION("""COMPUTED_VALUE"""),46097.6666666666)</f>
        <v/>
      </c>
      <c r="C185" s="141">
        <f>IFERROR(__xludf.DUMMYFUNCTION("""COMPUTED_VALUE"""),95.98)</f>
        <v/>
      </c>
      <c r="D185" s="141">
        <f>IFERROR(__xludf.DUMMYFUNCTION("""COMPUTED_VALUE"""),96.06)</f>
        <v/>
      </c>
      <c r="E185" s="141">
        <f>IFERROR(__xludf.DUMMYFUNCTION("""COMPUTED_VALUE"""),95.87)</f>
        <v/>
      </c>
      <c r="F185" s="141">
        <f>IFERROR(__xludf.DUMMYFUNCTION("""COMPUTED_VALUE"""),96.02)</f>
        <v/>
      </c>
      <c r="G185" s="143">
        <f>IFERROR(__xludf.DUMMYFUNCTION("""COMPUTED_VALUE"""),9092149)</f>
        <v/>
      </c>
      <c r="H185" s="27" t="n"/>
    </row>
    <row r="186" ht="17.25" customHeight="1" s="322">
      <c r="A186" s="27" t="n"/>
      <c r="B186" s="506">
        <f>IFERROR(__xludf.DUMMYFUNCTION("""COMPUTED_VALUE"""),46098.6666666666)</f>
        <v/>
      </c>
      <c r="C186" s="141">
        <f>IFERROR(__xludf.DUMMYFUNCTION("""COMPUTED_VALUE"""),96.17)</f>
        <v/>
      </c>
      <c r="D186" s="141">
        <f>IFERROR(__xludf.DUMMYFUNCTION("""COMPUTED_VALUE"""),96.28)</f>
        <v/>
      </c>
      <c r="E186" s="141">
        <f>IFERROR(__xludf.DUMMYFUNCTION("""COMPUTED_VALUE"""),96.13)</f>
        <v/>
      </c>
      <c r="F186" s="141">
        <f>IFERROR(__xludf.DUMMYFUNCTION("""COMPUTED_VALUE"""),96.19)</f>
        <v/>
      </c>
      <c r="G186" s="143">
        <f>IFERROR(__xludf.DUMMYFUNCTION("""COMPUTED_VALUE"""),7209667)</f>
        <v/>
      </c>
      <c r="H186" s="27" t="n"/>
    </row>
    <row r="187" ht="17.25" customHeight="1" s="322">
      <c r="A187" s="27" t="n"/>
      <c r="B187" s="506">
        <f>IFERROR(__xludf.DUMMYFUNCTION("""COMPUTED_VALUE"""),46099.6666666666)</f>
        <v/>
      </c>
      <c r="C187" s="141">
        <f>IFERROR(__xludf.DUMMYFUNCTION("""COMPUTED_VALUE"""),96.05)</f>
        <v/>
      </c>
      <c r="D187" s="141">
        <f>IFERROR(__xludf.DUMMYFUNCTION("""COMPUTED_VALUE"""),96.12)</f>
        <v/>
      </c>
      <c r="E187" s="141">
        <f>IFERROR(__xludf.DUMMYFUNCTION("""COMPUTED_VALUE"""),95.73)</f>
        <v/>
      </c>
      <c r="F187" s="141">
        <f>IFERROR(__xludf.DUMMYFUNCTION("""COMPUTED_VALUE"""),95.75)</f>
        <v/>
      </c>
      <c r="G187" s="143">
        <f>IFERROR(__xludf.DUMMYFUNCTION("""COMPUTED_VALUE"""),13049006)</f>
        <v/>
      </c>
      <c r="H187" s="27" t="n"/>
    </row>
    <row r="188" ht="17.25" customHeight="1" s="322">
      <c r="A188" s="27" t="n"/>
      <c r="B188" s="506">
        <f>IFERROR(__xludf.DUMMYFUNCTION("""COMPUTED_VALUE"""),46100.6666666666)</f>
        <v/>
      </c>
      <c r="C188" s="141">
        <f>IFERROR(__xludf.DUMMYFUNCTION("""COMPUTED_VALUE"""),95.49)</f>
        <v/>
      </c>
      <c r="D188" s="141">
        <f>IFERROR(__xludf.DUMMYFUNCTION("""COMPUTED_VALUE"""),95.88)</f>
        <v/>
      </c>
      <c r="E188" s="141">
        <f>IFERROR(__xludf.DUMMYFUNCTION("""COMPUTED_VALUE"""),95.48)</f>
        <v/>
      </c>
      <c r="F188" s="141">
        <f>IFERROR(__xludf.DUMMYFUNCTION("""COMPUTED_VALUE"""),95.74)</f>
        <v/>
      </c>
      <c r="G188" s="143">
        <f>IFERROR(__xludf.DUMMYFUNCTION("""COMPUTED_VALUE"""),18464915)</f>
        <v/>
      </c>
      <c r="H188" s="27" t="n"/>
    </row>
    <row r="189" ht="17.25" customHeight="1" s="322">
      <c r="A189" s="27" t="n"/>
      <c r="B189" s="506">
        <f>IFERROR(__xludf.DUMMYFUNCTION("""COMPUTED_VALUE"""),46101.6666666666)</f>
        <v/>
      </c>
      <c r="C189" s="141">
        <f>IFERROR(__xludf.DUMMYFUNCTION("""COMPUTED_VALUE"""),95.31)</f>
        <v/>
      </c>
      <c r="D189" s="141">
        <f>IFERROR(__xludf.DUMMYFUNCTION("""COMPUTED_VALUE"""),95.34)</f>
        <v/>
      </c>
      <c r="E189" s="141">
        <f>IFERROR(__xludf.DUMMYFUNCTION("""COMPUTED_VALUE"""),94.85)</f>
        <v/>
      </c>
      <c r="F189" s="141">
        <f>IFERROR(__xludf.DUMMYFUNCTION("""COMPUTED_VALUE"""),94.88)</f>
        <v/>
      </c>
      <c r="G189" s="143">
        <f>IFERROR(__xludf.DUMMYFUNCTION("""COMPUTED_VALUE"""),20761896)</f>
        <v/>
      </c>
      <c r="H189" s="27" t="n"/>
    </row>
    <row r="190" ht="17.25" customHeight="1" s="322">
      <c r="A190" s="27" t="n"/>
      <c r="B190" s="506">
        <f>IFERROR(__xludf.DUMMYFUNCTION("""COMPUTED_VALUE"""),46104.6666666666)</f>
        <v/>
      </c>
      <c r="C190" s="141">
        <f>IFERROR(__xludf.DUMMYFUNCTION("""COMPUTED_VALUE"""),95)</f>
        <v/>
      </c>
      <c r="D190" s="141">
        <f>IFERROR(__xludf.DUMMYFUNCTION("""COMPUTED_VALUE"""),95.43)</f>
        <v/>
      </c>
      <c r="E190" s="141">
        <f>IFERROR(__xludf.DUMMYFUNCTION("""COMPUTED_VALUE"""),94.89)</f>
        <v/>
      </c>
      <c r="F190" s="141">
        <f>IFERROR(__xludf.DUMMYFUNCTION("""COMPUTED_VALUE"""),95.18)</f>
        <v/>
      </c>
      <c r="G190" s="143">
        <f>IFERROR(__xludf.DUMMYFUNCTION("""COMPUTED_VALUE"""),28336254)</f>
        <v/>
      </c>
      <c r="H190" s="27" t="n"/>
    </row>
    <row r="191" ht="17.25" customHeight="1" s="322">
      <c r="A191" s="27" t="n"/>
      <c r="B191" s="506">
        <f>IFERROR(__xludf.DUMMYFUNCTION("""COMPUTED_VALUE"""),46105.6666666666)</f>
        <v/>
      </c>
      <c r="C191" s="141">
        <f>IFERROR(__xludf.DUMMYFUNCTION("""COMPUTED_VALUE"""),94.79)</f>
        <v/>
      </c>
      <c r="D191" s="141">
        <f>IFERROR(__xludf.DUMMYFUNCTION("""COMPUTED_VALUE"""),95.08)</f>
        <v/>
      </c>
      <c r="E191" s="141">
        <f>IFERROR(__xludf.DUMMYFUNCTION("""COMPUTED_VALUE"""),94.62)</f>
        <v/>
      </c>
      <c r="F191" s="141">
        <f>IFERROR(__xludf.DUMMYFUNCTION("""COMPUTED_VALUE"""),94.86)</f>
        <v/>
      </c>
      <c r="G191" s="143">
        <f>IFERROR(__xludf.DUMMYFUNCTION("""COMPUTED_VALUE"""),19785627)</f>
        <v/>
      </c>
      <c r="H191" s="27" t="n"/>
    </row>
    <row r="192" ht="17.25" customHeight="1" s="322">
      <c r="A192" s="27" t="n"/>
      <c r="B192" s="506">
        <f>IFERROR(__xludf.DUMMYFUNCTION("""COMPUTED_VALUE"""),46106.6666666666)</f>
        <v/>
      </c>
      <c r="C192" s="141">
        <f>IFERROR(__xludf.DUMMYFUNCTION("""COMPUTED_VALUE"""),95.29)</f>
        <v/>
      </c>
      <c r="D192" s="141">
        <f>IFERROR(__xludf.DUMMYFUNCTION("""COMPUTED_VALUE"""),95.4)</f>
        <v/>
      </c>
      <c r="E192" s="141">
        <f>IFERROR(__xludf.DUMMYFUNCTION("""COMPUTED_VALUE"""),95.14)</f>
        <v/>
      </c>
      <c r="F192" s="141">
        <f>IFERROR(__xludf.DUMMYFUNCTION("""COMPUTED_VALUE"""),95.36)</f>
        <v/>
      </c>
      <c r="G192" s="143">
        <f>IFERROR(__xludf.DUMMYFUNCTION("""COMPUTED_VALUE"""),15939218)</f>
        <v/>
      </c>
      <c r="H192" s="27" t="n"/>
    </row>
    <row r="193" ht="17.25" customHeight="1" s="322">
      <c r="A193" s="27" t="n"/>
      <c r="B193" s="506">
        <f>IFERROR(__xludf.DUMMYFUNCTION("""COMPUTED_VALUE"""),46107.6666666666)</f>
        <v/>
      </c>
      <c r="C193" s="141">
        <f>IFERROR(__xludf.DUMMYFUNCTION("""COMPUTED_VALUE"""),95.01)</f>
        <v/>
      </c>
      <c r="D193" s="141">
        <f>IFERROR(__xludf.DUMMYFUNCTION("""COMPUTED_VALUE"""),95.13)</f>
        <v/>
      </c>
      <c r="E193" s="141">
        <f>IFERROR(__xludf.DUMMYFUNCTION("""COMPUTED_VALUE"""),94.59)</f>
        <v/>
      </c>
      <c r="F193" s="141">
        <f>IFERROR(__xludf.DUMMYFUNCTION("""COMPUTED_VALUE"""),94.59)</f>
        <v/>
      </c>
      <c r="G193" s="143">
        <f>IFERROR(__xludf.DUMMYFUNCTION("""COMPUTED_VALUE"""),12897348)</f>
        <v/>
      </c>
      <c r="H193" s="27" t="n"/>
    </row>
    <row r="194" ht="17.25" customHeight="1" s="322">
      <c r="A194" s="27" t="n"/>
      <c r="B194" s="506">
        <f>IFERROR(__xludf.DUMMYFUNCTION("""COMPUTED_VALUE"""),46108.6666666666)</f>
        <v/>
      </c>
      <c r="C194" s="141">
        <f>IFERROR(__xludf.DUMMYFUNCTION("""COMPUTED_VALUE"""),94.37)</f>
        <v/>
      </c>
      <c r="D194" s="141">
        <f>IFERROR(__xludf.DUMMYFUNCTION("""COMPUTED_VALUE"""),94.78)</f>
        <v/>
      </c>
      <c r="E194" s="141">
        <f>IFERROR(__xludf.DUMMYFUNCTION("""COMPUTED_VALUE"""),94.36)</f>
        <v/>
      </c>
      <c r="F194" s="141">
        <f>IFERROR(__xludf.DUMMYFUNCTION("""COMPUTED_VALUE"""),94.6)</f>
        <v/>
      </c>
      <c r="G194" s="143">
        <f>IFERROR(__xludf.DUMMYFUNCTION("""COMPUTED_VALUE"""),11402036)</f>
        <v/>
      </c>
      <c r="H194" s="27" t="n"/>
    </row>
    <row r="195" ht="17.25" customHeight="1" s="322">
      <c r="A195" s="27" t="n"/>
      <c r="B195" s="506">
        <f>IFERROR(__xludf.DUMMYFUNCTION("""COMPUTED_VALUE"""),46111.6666666666)</f>
        <v/>
      </c>
      <c r="C195" s="141">
        <f>IFERROR(__xludf.DUMMYFUNCTION("""COMPUTED_VALUE"""),95.2)</f>
        <v/>
      </c>
      <c r="D195" s="141">
        <f>IFERROR(__xludf.DUMMYFUNCTION("""COMPUTED_VALUE"""),95.39)</f>
        <v/>
      </c>
      <c r="E195" s="141">
        <f>IFERROR(__xludf.DUMMYFUNCTION("""COMPUTED_VALUE"""),95.13)</f>
        <v/>
      </c>
      <c r="F195" s="141">
        <f>IFERROR(__xludf.DUMMYFUNCTION("""COMPUTED_VALUE"""),95.27)</f>
        <v/>
      </c>
      <c r="G195" s="143">
        <f>IFERROR(__xludf.DUMMYFUNCTION("""COMPUTED_VALUE"""),15429993)</f>
        <v/>
      </c>
      <c r="H195" s="27" t="n"/>
    </row>
    <row r="196" ht="17.25" customHeight="1" s="322">
      <c r="A196" s="27" t="n"/>
      <c r="B196" s="506">
        <f>IFERROR(__xludf.DUMMYFUNCTION("""COMPUTED_VALUE"""),46112.6666666666)</f>
        <v/>
      </c>
      <c r="C196" s="141">
        <f>IFERROR(__xludf.DUMMYFUNCTION("""COMPUTED_VALUE"""),95.54)</f>
        <v/>
      </c>
      <c r="D196" s="141">
        <f>IFERROR(__xludf.DUMMYFUNCTION("""COMPUTED_VALUE"""),95.68)</f>
        <v/>
      </c>
      <c r="E196" s="141">
        <f>IFERROR(__xludf.DUMMYFUNCTION("""COMPUTED_VALUE"""),95.35)</f>
        <v/>
      </c>
      <c r="F196" s="141">
        <f>IFERROR(__xludf.DUMMYFUNCTION("""COMPUTED_VALUE"""),95.44)</f>
        <v/>
      </c>
      <c r="G196" s="143">
        <f>IFERROR(__xludf.DUMMYFUNCTION("""COMPUTED_VALUE"""),18649729)</f>
        <v/>
      </c>
      <c r="H196" s="27" t="n"/>
    </row>
    <row r="197" ht="17.25" customHeight="1" s="322">
      <c r="A197" s="27" t="n"/>
      <c r="B197" s="506">
        <f>IFERROR(__xludf.DUMMYFUNCTION("""COMPUTED_VALUE"""),46113.6666666666)</f>
        <v/>
      </c>
      <c r="C197" s="141">
        <f>IFERROR(__xludf.DUMMYFUNCTION("""COMPUTED_VALUE"""),95.08)</f>
        <v/>
      </c>
      <c r="D197" s="141">
        <f>IFERROR(__xludf.DUMMYFUNCTION("""COMPUTED_VALUE"""),95.29)</f>
        <v/>
      </c>
      <c r="E197" s="141">
        <f>IFERROR(__xludf.DUMMYFUNCTION("""COMPUTED_VALUE"""),95.02)</f>
        <v/>
      </c>
      <c r="F197" s="141">
        <f>IFERROR(__xludf.DUMMYFUNCTION("""COMPUTED_VALUE"""),95.04)</f>
        <v/>
      </c>
      <c r="G197" s="143">
        <f>IFERROR(__xludf.DUMMYFUNCTION("""COMPUTED_VALUE"""),13557576)</f>
        <v/>
      </c>
      <c r="H197" s="27" t="n"/>
    </row>
    <row r="198" ht="17.25" customHeight="1" s="322">
      <c r="A198" s="27" t="n"/>
      <c r="B198" s="506">
        <f>IFERROR(__xludf.DUMMYFUNCTION("""COMPUTED_VALUE"""),46114.6666666666)</f>
        <v/>
      </c>
      <c r="C198" s="141">
        <f>IFERROR(__xludf.DUMMYFUNCTION("""COMPUTED_VALUE"""),95.03)</f>
        <v/>
      </c>
      <c r="D198" s="141">
        <f>IFERROR(__xludf.DUMMYFUNCTION("""COMPUTED_VALUE"""),95.39)</f>
        <v/>
      </c>
      <c r="E198" s="141">
        <f>IFERROR(__xludf.DUMMYFUNCTION("""COMPUTED_VALUE"""),95.01)</f>
        <v/>
      </c>
      <c r="F198" s="141">
        <f>IFERROR(__xludf.DUMMYFUNCTION("""COMPUTED_VALUE"""),95.26)</f>
        <v/>
      </c>
      <c r="G198" s="143">
        <f>IFERROR(__xludf.DUMMYFUNCTION("""COMPUTED_VALUE"""),13171749)</f>
        <v/>
      </c>
      <c r="H198" s="27" t="n"/>
    </row>
    <row r="199" ht="17.25" customHeight="1" s="322">
      <c r="A199" s="27" t="n"/>
      <c r="B199" s="506">
        <f>IFERROR(__xludf.DUMMYFUNCTION("""COMPUTED_VALUE"""),46118.6666666666)</f>
        <v/>
      </c>
      <c r="C199" s="141">
        <f>IFERROR(__xludf.DUMMYFUNCTION("""COMPUTED_VALUE"""),95)</f>
        <v/>
      </c>
      <c r="D199" s="141">
        <f>IFERROR(__xludf.DUMMYFUNCTION("""COMPUTED_VALUE"""),95.18)</f>
        <v/>
      </c>
      <c r="E199" s="141">
        <f>IFERROR(__xludf.DUMMYFUNCTION("""COMPUTED_VALUE"""),94.91)</f>
        <v/>
      </c>
      <c r="F199" s="141">
        <f>IFERROR(__xludf.DUMMYFUNCTION("""COMPUTED_VALUE"""),95.01)</f>
        <v/>
      </c>
      <c r="G199" s="143">
        <f>IFERROR(__xludf.DUMMYFUNCTION("""COMPUTED_VALUE"""),6104924)</f>
        <v/>
      </c>
      <c r="H199" s="27" t="n"/>
    </row>
    <row r="200" ht="17.25" customHeight="1" s="322">
      <c r="A200" s="27" t="n"/>
      <c r="B200" s="506">
        <f>IFERROR(__xludf.DUMMYFUNCTION("""COMPUTED_VALUE"""),46119.6666666666)</f>
        <v/>
      </c>
      <c r="C200" s="141">
        <f>IFERROR(__xludf.DUMMYFUNCTION("""COMPUTED_VALUE"""),95.07)</f>
        <v/>
      </c>
      <c r="D200" s="141">
        <f>IFERROR(__xludf.DUMMYFUNCTION("""COMPUTED_VALUE"""),95.29)</f>
        <v/>
      </c>
      <c r="E200" s="141">
        <f>IFERROR(__xludf.DUMMYFUNCTION("""COMPUTED_VALUE"""),94.76)</f>
        <v/>
      </c>
      <c r="F200" s="141">
        <f>IFERROR(__xludf.DUMMYFUNCTION("""COMPUTED_VALUE"""),95.25)</f>
        <v/>
      </c>
      <c r="G200" s="143">
        <f>IFERROR(__xludf.DUMMYFUNCTION("""COMPUTED_VALUE"""),6737450)</f>
        <v/>
      </c>
      <c r="H200" s="27" t="n"/>
    </row>
    <row r="201" ht="17.25" customHeight="1" s="322">
      <c r="A201" s="27" t="n"/>
      <c r="B201" s="506">
        <f>IFERROR(__xludf.DUMMYFUNCTION("""COMPUTED_VALUE"""),46120.6666666666)</f>
        <v/>
      </c>
      <c r="C201" s="141">
        <f>IFERROR(__xludf.DUMMYFUNCTION("""COMPUTED_VALUE"""),95.72)</f>
        <v/>
      </c>
      <c r="D201" s="141">
        <f>IFERROR(__xludf.DUMMYFUNCTION("""COMPUTED_VALUE"""),95.73)</f>
        <v/>
      </c>
      <c r="E201" s="141">
        <f>IFERROR(__xludf.DUMMYFUNCTION("""COMPUTED_VALUE"""),95.37)</f>
        <v/>
      </c>
      <c r="F201" s="141">
        <f>IFERROR(__xludf.DUMMYFUNCTION("""COMPUTED_VALUE"""),95.46)</f>
        <v/>
      </c>
      <c r="G201" s="143">
        <f>IFERROR(__xludf.DUMMYFUNCTION("""COMPUTED_VALUE"""),12107440)</f>
        <v/>
      </c>
      <c r="H201" s="27" t="n"/>
    </row>
    <row r="202" ht="17.25" customHeight="1" s="322">
      <c r="A202" s="27" t="n"/>
      <c r="B202" s="506">
        <f>IFERROR(__xludf.DUMMYFUNCTION("""COMPUTED_VALUE"""),46121.6666666666)</f>
        <v/>
      </c>
      <c r="C202" s="141">
        <f>IFERROR(__xludf.DUMMYFUNCTION("""COMPUTED_VALUE"""),95.37)</f>
        <v/>
      </c>
      <c r="D202" s="141">
        <f>IFERROR(__xludf.DUMMYFUNCTION("""COMPUTED_VALUE"""),95.65)</f>
        <v/>
      </c>
      <c r="E202" s="141">
        <f>IFERROR(__xludf.DUMMYFUNCTION("""COMPUTED_VALUE"""),95.23)</f>
        <v/>
      </c>
      <c r="F202" s="141">
        <f>IFERROR(__xludf.DUMMYFUNCTION("""COMPUTED_VALUE"""),95.43)</f>
        <v/>
      </c>
      <c r="G202" s="143">
        <f>IFERROR(__xludf.DUMMYFUNCTION("""COMPUTED_VALUE"""),11066061)</f>
        <v/>
      </c>
      <c r="H202" s="27" t="n"/>
    </row>
    <row r="203" ht="17.25" customHeight="1" s="322">
      <c r="A203" s="27" t="n"/>
      <c r="B203" s="506">
        <f>IFERROR(__xludf.DUMMYFUNCTION("""COMPUTED_VALUE"""),46122.6666666666)</f>
        <v/>
      </c>
      <c r="C203" s="141">
        <f>IFERROR(__xludf.DUMMYFUNCTION("""COMPUTED_VALUE"""),95.43)</f>
        <v/>
      </c>
      <c r="D203" s="141">
        <f>IFERROR(__xludf.DUMMYFUNCTION("""COMPUTED_VALUE"""),95.46)</f>
        <v/>
      </c>
      <c r="E203" s="141">
        <f>IFERROR(__xludf.DUMMYFUNCTION("""COMPUTED_VALUE"""),95.26)</f>
        <v/>
      </c>
      <c r="F203" s="141">
        <f>IFERROR(__xludf.DUMMYFUNCTION("""COMPUTED_VALUE"""),95.27)</f>
        <v/>
      </c>
      <c r="G203" s="143">
        <f>IFERROR(__xludf.DUMMYFUNCTION("""COMPUTED_VALUE"""),4404823)</f>
        <v/>
      </c>
      <c r="H203" s="27" t="n"/>
    </row>
    <row r="204" ht="17.25" customHeight="1" s="322">
      <c r="A204" s="27" t="n"/>
      <c r="B204" s="506">
        <f>IFERROR(__xludf.DUMMYFUNCTION("""COMPUTED_VALUE"""),46125.6666666666)</f>
        <v/>
      </c>
      <c r="C204" s="141">
        <f>IFERROR(__xludf.DUMMYFUNCTION("""COMPUTED_VALUE"""),95.27)</f>
        <v/>
      </c>
      <c r="D204" s="141">
        <f>IFERROR(__xludf.DUMMYFUNCTION("""COMPUTED_VALUE"""),95.49)</f>
        <v/>
      </c>
      <c r="E204" s="141">
        <f>IFERROR(__xludf.DUMMYFUNCTION("""COMPUTED_VALUE"""),95.17)</f>
        <v/>
      </c>
      <c r="F204" s="141">
        <f>IFERROR(__xludf.DUMMYFUNCTION("""COMPUTED_VALUE"""),95.48)</f>
        <v/>
      </c>
      <c r="G204" s="143">
        <f>IFERROR(__xludf.DUMMYFUNCTION("""COMPUTED_VALUE"""),4300302)</f>
        <v/>
      </c>
      <c r="H204" s="27" t="n"/>
    </row>
    <row r="205" ht="17.25" customHeight="1" s="322">
      <c r="A205" s="27" t="n"/>
      <c r="B205" s="506">
        <f>IFERROR(__xludf.DUMMYFUNCTION("""COMPUTED_VALUE"""),46126.6666666666)</f>
        <v/>
      </c>
      <c r="C205" s="141">
        <f>IFERROR(__xludf.DUMMYFUNCTION("""COMPUTED_VALUE"""),95.44)</f>
        <v/>
      </c>
      <c r="D205" s="141">
        <f>IFERROR(__xludf.DUMMYFUNCTION("""COMPUTED_VALUE"""),95.8)</f>
        <v/>
      </c>
      <c r="E205" s="141">
        <f>IFERROR(__xludf.DUMMYFUNCTION("""COMPUTED_VALUE"""),95.41)</f>
        <v/>
      </c>
      <c r="F205" s="141">
        <f>IFERROR(__xludf.DUMMYFUNCTION("""COMPUTED_VALUE"""),95.79)</f>
        <v/>
      </c>
      <c r="G205" s="143">
        <f>IFERROR(__xludf.DUMMYFUNCTION("""COMPUTED_VALUE"""),5239765)</f>
        <v/>
      </c>
      <c r="H205" s="27" t="n"/>
    </row>
    <row r="206" ht="17.25" customHeight="1" s="322">
      <c r="A206" s="27" t="n"/>
      <c r="B206" s="506">
        <f>IFERROR(__xludf.DUMMYFUNCTION("""COMPUTED_VALUE"""),46127.6666666666)</f>
        <v/>
      </c>
      <c r="C206" s="141">
        <f>IFERROR(__xludf.DUMMYFUNCTION("""COMPUTED_VALUE"""),95.69)</f>
        <v/>
      </c>
      <c r="D206" s="141">
        <f>IFERROR(__xludf.DUMMYFUNCTION("""COMPUTED_VALUE"""),95.7)</f>
        <v/>
      </c>
      <c r="E206" s="141">
        <f>IFERROR(__xludf.DUMMYFUNCTION("""COMPUTED_VALUE"""),95.5)</f>
        <v/>
      </c>
      <c r="F206" s="141">
        <f>IFERROR(__xludf.DUMMYFUNCTION("""COMPUTED_VALUE"""),95.58)</f>
        <v/>
      </c>
      <c r="G206" s="143">
        <f>IFERROR(__xludf.DUMMYFUNCTION("""COMPUTED_VALUE"""),5593168)</f>
        <v/>
      </c>
      <c r="H206" s="27" t="n"/>
    </row>
    <row r="207" ht="17.25" customHeight="1" s="322">
      <c r="A207" s="27" t="n"/>
      <c r="B207" s="506">
        <f>IFERROR(__xludf.DUMMYFUNCTION("""COMPUTED_VALUE"""),46128.6666666666)</f>
        <v/>
      </c>
      <c r="C207" s="141">
        <f>IFERROR(__xludf.DUMMYFUNCTION("""COMPUTED_VALUE"""),95.67)</f>
        <v/>
      </c>
      <c r="D207" s="141">
        <f>IFERROR(__xludf.DUMMYFUNCTION("""COMPUTED_VALUE"""),95.7)</f>
        <v/>
      </c>
      <c r="E207" s="141">
        <f>IFERROR(__xludf.DUMMYFUNCTION("""COMPUTED_VALUE"""),95.38)</f>
        <v/>
      </c>
      <c r="F207" s="141">
        <f>IFERROR(__xludf.DUMMYFUNCTION("""COMPUTED_VALUE"""),95.41)</f>
        <v/>
      </c>
      <c r="G207" s="143">
        <f>IFERROR(__xludf.DUMMYFUNCTION("""COMPUTED_VALUE"""),6619043)</f>
        <v/>
      </c>
      <c r="H207" s="27" t="n"/>
    </row>
    <row r="208" ht="17.25" customHeight="1" s="322">
      <c r="A208" s="27" t="n"/>
      <c r="B208" s="506">
        <f>IFERROR(__xludf.DUMMYFUNCTION("""COMPUTED_VALUE"""),46129.6666666666)</f>
        <v/>
      </c>
      <c r="C208" s="141">
        <f>IFERROR(__xludf.DUMMYFUNCTION("""COMPUTED_VALUE"""),95.89)</f>
        <v/>
      </c>
      <c r="D208" s="141">
        <f>IFERROR(__xludf.DUMMYFUNCTION("""COMPUTED_VALUE"""),96.05)</f>
        <v/>
      </c>
      <c r="E208" s="141">
        <f>IFERROR(__xludf.DUMMYFUNCTION("""COMPUTED_VALUE"""),95.84)</f>
        <v/>
      </c>
      <c r="F208" s="141">
        <f>IFERROR(__xludf.DUMMYFUNCTION("""COMPUTED_VALUE"""),95.93)</f>
        <v/>
      </c>
      <c r="G208" s="143">
        <f>IFERROR(__xludf.DUMMYFUNCTION("""COMPUTED_VALUE"""),6913071)</f>
        <v/>
      </c>
      <c r="H208" s="27" t="n"/>
    </row>
    <row r="209" ht="17.25" customHeight="1" s="322">
      <c r="A209" s="27" t="n"/>
      <c r="B209" s="506">
        <f>IFERROR(__xludf.DUMMYFUNCTION("""COMPUTED_VALUE"""),46132.6666666666)</f>
        <v/>
      </c>
      <c r="C209" s="141">
        <f>IFERROR(__xludf.DUMMYFUNCTION("""COMPUTED_VALUE"""),95.91)</f>
        <v/>
      </c>
      <c r="D209" s="141">
        <f>IFERROR(__xludf.DUMMYFUNCTION("""COMPUTED_VALUE"""),95.92)</f>
        <v/>
      </c>
      <c r="E209" s="141">
        <f>IFERROR(__xludf.DUMMYFUNCTION("""COMPUTED_VALUE"""),95.71)</f>
        <v/>
      </c>
      <c r="F209" s="141">
        <f>IFERROR(__xludf.DUMMYFUNCTION("""COMPUTED_VALUE"""),95.84)</f>
        <v/>
      </c>
      <c r="G209" s="143">
        <f>IFERROR(__xludf.DUMMYFUNCTION("""COMPUTED_VALUE"""),3868869)</f>
        <v/>
      </c>
      <c r="H209" s="27" t="n"/>
    </row>
    <row r="210" ht="17.25" customHeight="1" s="322">
      <c r="A210" s="27" t="n"/>
      <c r="B210" s="506">
        <f>IFERROR(__xludf.DUMMYFUNCTION("""COMPUTED_VALUE"""),46133.6666666666)</f>
        <v/>
      </c>
      <c r="C210" s="141">
        <f>IFERROR(__xludf.DUMMYFUNCTION("""COMPUTED_VALUE"""),95.69)</f>
        <v/>
      </c>
      <c r="D210" s="141">
        <f>IFERROR(__xludf.DUMMYFUNCTION("""COMPUTED_VALUE"""),95.75)</f>
        <v/>
      </c>
      <c r="E210" s="141">
        <f>IFERROR(__xludf.DUMMYFUNCTION("""COMPUTED_VALUE"""),95.41)</f>
        <v/>
      </c>
      <c r="F210" s="141">
        <f>IFERROR(__xludf.DUMMYFUNCTION("""COMPUTED_VALUE"""),95.42)</f>
        <v/>
      </c>
      <c r="G210" s="143">
        <f>IFERROR(__xludf.DUMMYFUNCTION("""COMPUTED_VALUE"""),4873035)</f>
        <v/>
      </c>
      <c r="H210" s="27" t="n"/>
    </row>
    <row r="211" ht="17.25" customHeight="1" s="322">
      <c r="A211" s="27" t="n"/>
      <c r="B211" s="506">
        <f>IFERROR(__xludf.DUMMYFUNCTION("""COMPUTED_VALUE"""),46134.6666666666)</f>
        <v/>
      </c>
      <c r="C211" s="141">
        <f>IFERROR(__xludf.DUMMYFUNCTION("""COMPUTED_VALUE"""),95.68)</f>
        <v/>
      </c>
      <c r="D211" s="141">
        <f>IFERROR(__xludf.DUMMYFUNCTION("""COMPUTED_VALUE"""),95.71)</f>
        <v/>
      </c>
      <c r="E211" s="141">
        <f>IFERROR(__xludf.DUMMYFUNCTION("""COMPUTED_VALUE"""),95.5)</f>
        <v/>
      </c>
      <c r="F211" s="141">
        <f>IFERROR(__xludf.DUMMYFUNCTION("""COMPUTED_VALUE"""),95.52)</f>
        <v/>
      </c>
      <c r="G211" s="143">
        <f>IFERROR(__xludf.DUMMYFUNCTION("""COMPUTED_VALUE"""),4121469)</f>
        <v/>
      </c>
      <c r="H211" s="27" t="n"/>
    </row>
    <row r="212" ht="17.25" customHeight="1" s="322">
      <c r="A212" s="27" t="n"/>
      <c r="B212" s="506">
        <f>IFERROR(__xludf.DUMMYFUNCTION("""COMPUTED_VALUE"""),46135.6666666666)</f>
        <v/>
      </c>
      <c r="C212" s="141">
        <f>IFERROR(__xludf.DUMMYFUNCTION("""COMPUTED_VALUE"""),95.56)</f>
        <v/>
      </c>
      <c r="D212" s="141">
        <f>IFERROR(__xludf.DUMMYFUNCTION("""COMPUTED_VALUE"""),95.63)</f>
        <v/>
      </c>
      <c r="E212" s="141">
        <f>IFERROR(__xludf.DUMMYFUNCTION("""COMPUTED_VALUE"""),95.19)</f>
        <v/>
      </c>
      <c r="F212" s="141">
        <f>IFERROR(__xludf.DUMMYFUNCTION("""COMPUTED_VALUE"""),95.37)</f>
        <v/>
      </c>
      <c r="G212" s="143">
        <f>IFERROR(__xludf.DUMMYFUNCTION("""COMPUTED_VALUE"""),6795570)</f>
        <v/>
      </c>
      <c r="H212" s="27" t="n"/>
    </row>
    <row r="213" ht="17.25" customHeight="1" s="322">
      <c r="A213" s="27" t="n"/>
      <c r="B213" s="506">
        <f>IFERROR(__xludf.DUMMYFUNCTION("""COMPUTED_VALUE"""),46136.6666666666)</f>
        <v/>
      </c>
      <c r="C213" s="141">
        <f>IFERROR(__xludf.DUMMYFUNCTION("""COMPUTED_VALUE"""),95.29)</f>
        <v/>
      </c>
      <c r="D213" s="141">
        <f>IFERROR(__xludf.DUMMYFUNCTION("""COMPUTED_VALUE"""),95.59)</f>
        <v/>
      </c>
      <c r="E213" s="141">
        <f>IFERROR(__xludf.DUMMYFUNCTION("""COMPUTED_VALUE"""),95.21)</f>
        <v/>
      </c>
      <c r="F213" s="141">
        <f>IFERROR(__xludf.DUMMYFUNCTION("""COMPUTED_VALUE"""),95.56)</f>
        <v/>
      </c>
      <c r="G213" s="143">
        <f>IFERROR(__xludf.DUMMYFUNCTION("""COMPUTED_VALUE"""),5490006)</f>
        <v/>
      </c>
      <c r="H213" s="27" t="n"/>
    </row>
    <row r="214" ht="17.25" customHeight="1" s="322">
      <c r="A214" s="27" t="n"/>
      <c r="B214" s="506">
        <f>IFERROR(__xludf.DUMMYFUNCTION("""COMPUTED_VALUE"""),46139.6666666666)</f>
        <v/>
      </c>
      <c r="C214" s="141">
        <f>IFERROR(__xludf.DUMMYFUNCTION("""COMPUTED_VALUE"""),95.42)</f>
        <v/>
      </c>
      <c r="D214" s="141">
        <f>IFERROR(__xludf.DUMMYFUNCTION("""COMPUTED_VALUE"""),95.53)</f>
        <v/>
      </c>
      <c r="E214" s="141">
        <f>IFERROR(__xludf.DUMMYFUNCTION("""COMPUTED_VALUE"""),95.28)</f>
        <v/>
      </c>
      <c r="F214" s="141">
        <f>IFERROR(__xludf.DUMMYFUNCTION("""COMPUTED_VALUE"""),95.34)</f>
        <v/>
      </c>
      <c r="G214" s="143">
        <f>IFERROR(__xludf.DUMMYFUNCTION("""COMPUTED_VALUE"""),4055523)</f>
        <v/>
      </c>
      <c r="H214" s="27" t="n"/>
    </row>
    <row r="215" ht="17.25" customHeight="1" s="322">
      <c r="A215" s="27" t="n"/>
      <c r="B215" s="506">
        <f>IFERROR(__xludf.DUMMYFUNCTION("""COMPUTED_VALUE"""),46140.6666666666)</f>
        <v/>
      </c>
      <c r="C215" s="141">
        <f>IFERROR(__xludf.DUMMYFUNCTION("""COMPUTED_VALUE"""),95.19)</f>
        <v/>
      </c>
      <c r="D215" s="141">
        <f>IFERROR(__xludf.DUMMYFUNCTION("""COMPUTED_VALUE"""),95.27)</f>
        <v/>
      </c>
      <c r="E215" s="141">
        <f>IFERROR(__xludf.DUMMYFUNCTION("""COMPUTED_VALUE"""),95.11)</f>
        <v/>
      </c>
      <c r="F215" s="141">
        <f>IFERROR(__xludf.DUMMYFUNCTION("""COMPUTED_VALUE"""),95.25)</f>
        <v/>
      </c>
      <c r="G215" s="143">
        <f>IFERROR(__xludf.DUMMYFUNCTION("""COMPUTED_VALUE"""),4867691)</f>
        <v/>
      </c>
      <c r="H215" s="27" t="n"/>
    </row>
    <row r="216" ht="17.25" customHeight="1" s="322">
      <c r="A216" s="27" t="n"/>
      <c r="B216" s="506">
        <f>IFERROR(__xludf.DUMMYFUNCTION("""COMPUTED_VALUE"""),46141.6666666666)</f>
        <v/>
      </c>
      <c r="C216" s="141">
        <f>IFERROR(__xludf.DUMMYFUNCTION("""COMPUTED_VALUE"""),95.03)</f>
        <v/>
      </c>
      <c r="D216" s="141">
        <f>IFERROR(__xludf.DUMMYFUNCTION("""COMPUTED_VALUE"""),95.03)</f>
        <v/>
      </c>
      <c r="E216" s="141">
        <f>IFERROR(__xludf.DUMMYFUNCTION("""COMPUTED_VALUE"""),94.7)</f>
        <v/>
      </c>
      <c r="F216" s="141">
        <f>IFERROR(__xludf.DUMMYFUNCTION("""COMPUTED_VALUE"""),94.8)</f>
        <v/>
      </c>
      <c r="G216" s="143">
        <f>IFERROR(__xludf.DUMMYFUNCTION("""COMPUTED_VALUE"""),7200337)</f>
        <v/>
      </c>
      <c r="H216" s="27" t="n"/>
    </row>
    <row r="217" ht="17.25" customHeight="1" s="322">
      <c r="A217" s="27" t="n"/>
      <c r="B217" s="506">
        <f>IFERROR(__xludf.DUMMYFUNCTION("""COMPUTED_VALUE"""),46142.6666666666)</f>
        <v/>
      </c>
      <c r="C217" s="141">
        <f>IFERROR(__xludf.DUMMYFUNCTION("""COMPUTED_VALUE"""),95.04)</f>
        <v/>
      </c>
      <c r="D217" s="141">
        <f>IFERROR(__xludf.DUMMYFUNCTION("""COMPUTED_VALUE"""),95.09)</f>
        <v/>
      </c>
      <c r="E217" s="141">
        <f>IFERROR(__xludf.DUMMYFUNCTION("""COMPUTED_VALUE"""),94.87)</f>
        <v/>
      </c>
      <c r="F217" s="141">
        <f>IFERROR(__xludf.DUMMYFUNCTION("""COMPUTED_VALUE"""),94.98)</f>
        <v/>
      </c>
      <c r="G217" s="143">
        <f>IFERROR(__xludf.DUMMYFUNCTION("""COMPUTED_VALUE"""),10382432)</f>
        <v/>
      </c>
      <c r="H217" s="27" t="n"/>
    </row>
    <row r="218" ht="17.25" customHeight="1" s="322">
      <c r="A218" s="27" t="n"/>
      <c r="B218" s="506">
        <f>IFERROR(__xludf.DUMMYFUNCTION("""COMPUTED_VALUE"""),46143.6666666666)</f>
        <v/>
      </c>
      <c r="C218" s="141">
        <f>IFERROR(__xludf.DUMMYFUNCTION("""COMPUTED_VALUE"""),94.69)</f>
        <v/>
      </c>
      <c r="D218" s="141">
        <f>IFERROR(__xludf.DUMMYFUNCTION("""COMPUTED_VALUE"""),95.04)</f>
        <v/>
      </c>
      <c r="E218" s="141">
        <f>IFERROR(__xludf.DUMMYFUNCTION("""COMPUTED_VALUE"""),94.62)</f>
        <v/>
      </c>
      <c r="F218" s="141">
        <f>IFERROR(__xludf.DUMMYFUNCTION("""COMPUTED_VALUE"""),94.74)</f>
        <v/>
      </c>
      <c r="G218" s="143">
        <f>IFERROR(__xludf.DUMMYFUNCTION("""COMPUTED_VALUE"""),5359322)</f>
        <v/>
      </c>
      <c r="H218" s="27" t="n"/>
    </row>
    <row r="219" ht="17.25" customHeight="1" s="322">
      <c r="A219" s="27" t="n"/>
      <c r="B219" s="506">
        <f>IFERROR(__xludf.DUMMYFUNCTION("""COMPUTED_VALUE"""),46146.6666666666)</f>
        <v/>
      </c>
      <c r="C219" s="141">
        <f>IFERROR(__xludf.DUMMYFUNCTION("""COMPUTED_VALUE"""),94.59)</f>
        <v/>
      </c>
      <c r="D219" s="141">
        <f>IFERROR(__xludf.DUMMYFUNCTION("""COMPUTED_VALUE"""),94.6)</f>
        <v/>
      </c>
      <c r="E219" s="141">
        <f>IFERROR(__xludf.DUMMYFUNCTION("""COMPUTED_VALUE"""),94.22)</f>
        <v/>
      </c>
      <c r="F219" s="141">
        <f>IFERROR(__xludf.DUMMYFUNCTION("""COMPUTED_VALUE"""),94.39)</f>
        <v/>
      </c>
      <c r="G219" s="143">
        <f>IFERROR(__xludf.DUMMYFUNCTION("""COMPUTED_VALUE"""),6594298)</f>
        <v/>
      </c>
      <c r="H219" s="27" t="n"/>
    </row>
    <row r="220" ht="17.25" customHeight="1" s="322">
      <c r="A220" s="27" t="n"/>
      <c r="B220" s="506">
        <f>IFERROR(__xludf.DUMMYFUNCTION("""COMPUTED_VALUE"""),46147.6666666666)</f>
        <v/>
      </c>
      <c r="C220" s="141">
        <f>IFERROR(__xludf.DUMMYFUNCTION("""COMPUTED_VALUE"""),94.5)</f>
        <v/>
      </c>
      <c r="D220" s="141">
        <f>IFERROR(__xludf.DUMMYFUNCTION("""COMPUTED_VALUE"""),94.64)</f>
        <v/>
      </c>
      <c r="E220" s="141">
        <f>IFERROR(__xludf.DUMMYFUNCTION("""COMPUTED_VALUE"""),94.47)</f>
        <v/>
      </c>
      <c r="F220" s="141">
        <f>IFERROR(__xludf.DUMMYFUNCTION("""COMPUTED_VALUE"""),94.53)</f>
        <v/>
      </c>
      <c r="G220" s="143">
        <f>IFERROR(__xludf.DUMMYFUNCTION("""COMPUTED_VALUE"""),11281931)</f>
        <v/>
      </c>
      <c r="H220" s="27" t="n"/>
    </row>
    <row r="221" ht="17.25" customHeight="1" s="322">
      <c r="A221" s="27" t="n"/>
      <c r="B221" s="506">
        <f>IFERROR(__xludf.DUMMYFUNCTION("""COMPUTED_VALUE"""),46148.6666666666)</f>
        <v/>
      </c>
      <c r="C221" s="141">
        <f>IFERROR(__xludf.DUMMYFUNCTION("""COMPUTED_VALUE"""),94.93)</f>
        <v/>
      </c>
      <c r="D221" s="141">
        <f>IFERROR(__xludf.DUMMYFUNCTION("""COMPUTED_VALUE"""),95.03)</f>
        <v/>
      </c>
      <c r="E221" s="141">
        <f>IFERROR(__xludf.DUMMYFUNCTION("""COMPUTED_VALUE"""),94.86)</f>
        <v/>
      </c>
      <c r="F221" s="141">
        <f>IFERROR(__xludf.DUMMYFUNCTION("""COMPUTED_VALUE"""),95)</f>
        <v/>
      </c>
      <c r="G221" s="143">
        <f>IFERROR(__xludf.DUMMYFUNCTION("""COMPUTED_VALUE"""),9031176)</f>
        <v/>
      </c>
      <c r="H221" s="27" t="n"/>
    </row>
    <row r="222" ht="17.25" customHeight="1" s="322">
      <c r="A222" s="27" t="n"/>
      <c r="B222" s="506">
        <f>IFERROR(__xludf.DUMMYFUNCTION("""COMPUTED_VALUE"""),46149.6666666666)</f>
        <v/>
      </c>
      <c r="C222" s="141">
        <f>IFERROR(__xludf.DUMMYFUNCTION("""COMPUTED_VALUE"""),95.18)</f>
        <v/>
      </c>
      <c r="D222" s="141">
        <f>IFERROR(__xludf.DUMMYFUNCTION("""COMPUTED_VALUE"""),95.18)</f>
        <v/>
      </c>
      <c r="E222" s="141">
        <f>IFERROR(__xludf.DUMMYFUNCTION("""COMPUTED_VALUE"""),94.69)</f>
        <v/>
      </c>
      <c r="F222" s="141">
        <f>IFERROR(__xludf.DUMMYFUNCTION("""COMPUTED_VALUE"""),94.71)</f>
        <v/>
      </c>
      <c r="G222" s="143">
        <f>IFERROR(__xludf.DUMMYFUNCTION("""COMPUTED_VALUE"""),5610063)</f>
        <v/>
      </c>
      <c r="H222" s="27" t="n"/>
    </row>
    <row r="223" ht="17.25" customHeight="1" s="322">
      <c r="A223" s="27" t="n"/>
      <c r="B223" s="506">
        <f>IFERROR(__xludf.DUMMYFUNCTION("""COMPUTED_VALUE"""),46150.6666666666)</f>
        <v/>
      </c>
      <c r="C223" s="141">
        <f>IFERROR(__xludf.DUMMYFUNCTION("""COMPUTED_VALUE"""),95.04)</f>
        <v/>
      </c>
      <c r="D223" s="141">
        <f>IFERROR(__xludf.DUMMYFUNCTION("""COMPUTED_VALUE"""),95.09)</f>
        <v/>
      </c>
      <c r="E223" s="141">
        <f>IFERROR(__xludf.DUMMYFUNCTION("""COMPUTED_VALUE"""),94.92)</f>
        <v/>
      </c>
      <c r="F223" s="141">
        <f>IFERROR(__xludf.DUMMYFUNCTION("""COMPUTED_VALUE"""),94.96)</f>
        <v/>
      </c>
      <c r="G223" s="143">
        <f>IFERROR(__xludf.DUMMYFUNCTION("""COMPUTED_VALUE"""),3215112)</f>
        <v/>
      </c>
      <c r="H223" s="27" t="n"/>
    </row>
    <row r="224" ht="17.25" customHeight="1" s="322">
      <c r="A224" s="27" t="n"/>
      <c r="B224" s="506">
        <f>IFERROR(__xludf.DUMMYFUNCTION("""COMPUTED_VALUE"""),46153.6666666666)</f>
        <v/>
      </c>
      <c r="C224" s="141">
        <f>IFERROR(__xludf.DUMMYFUNCTION("""COMPUTED_VALUE"""),94.86)</f>
        <v/>
      </c>
      <c r="D224" s="141">
        <f>IFERROR(__xludf.DUMMYFUNCTION("""COMPUTED_VALUE"""),94.88)</f>
        <v/>
      </c>
      <c r="E224" s="141">
        <f>IFERROR(__xludf.DUMMYFUNCTION("""COMPUTED_VALUE"""),94.64)</f>
        <v/>
      </c>
      <c r="F224" s="141">
        <f>IFERROR(__xludf.DUMMYFUNCTION("""COMPUTED_VALUE"""),94.64)</f>
        <v/>
      </c>
      <c r="G224" s="143">
        <f>IFERROR(__xludf.DUMMYFUNCTION("""COMPUTED_VALUE"""),4025429)</f>
        <v/>
      </c>
      <c r="H224" s="27" t="n"/>
    </row>
    <row r="225" ht="17.25" customHeight="1" s="322">
      <c r="A225" s="27" t="n"/>
      <c r="B225" s="506">
        <f>IFERROR(__xludf.DUMMYFUNCTION("""COMPUTED_VALUE"""),46154.6666666666)</f>
        <v/>
      </c>
      <c r="C225" s="141">
        <f>IFERROR(__xludf.DUMMYFUNCTION("""COMPUTED_VALUE"""),94.42)</f>
        <v/>
      </c>
      <c r="D225" s="141">
        <f>IFERROR(__xludf.DUMMYFUNCTION("""COMPUTED_VALUE"""),94.43)</f>
        <v/>
      </c>
      <c r="E225" s="141">
        <f>IFERROR(__xludf.DUMMYFUNCTION("""COMPUTED_VALUE"""),94.3)</f>
        <v/>
      </c>
      <c r="F225" s="141">
        <f>IFERROR(__xludf.DUMMYFUNCTION("""COMPUTED_VALUE"""),94.32)</f>
        <v/>
      </c>
      <c r="G225" s="143">
        <f>IFERROR(__xludf.DUMMYFUNCTION("""COMPUTED_VALUE"""),5686742)</f>
        <v/>
      </c>
      <c r="H225" s="27" t="n"/>
    </row>
    <row r="226" ht="17.25" customHeight="1" s="322">
      <c r="A226" s="27" t="n"/>
      <c r="B226" s="506">
        <f>IFERROR(__xludf.DUMMYFUNCTION("""COMPUTED_VALUE"""),46155.6666666666)</f>
        <v/>
      </c>
      <c r="C226" s="141">
        <f>IFERROR(__xludf.DUMMYFUNCTION("""COMPUTED_VALUE"""),94.3)</f>
        <v/>
      </c>
      <c r="D226" s="141">
        <f>IFERROR(__xludf.DUMMYFUNCTION("""COMPUTED_VALUE"""),94.38)</f>
        <v/>
      </c>
      <c r="E226" s="141">
        <f>IFERROR(__xludf.DUMMYFUNCTION("""COMPUTED_VALUE"""),94.11)</f>
        <v/>
      </c>
      <c r="F226" s="141">
        <f>IFERROR(__xludf.DUMMYFUNCTION("""COMPUTED_VALUE"""),94.32)</f>
        <v/>
      </c>
      <c r="G226" s="143">
        <f>IFERROR(__xludf.DUMMYFUNCTION("""COMPUTED_VALUE"""),3459151)</f>
        <v/>
      </c>
      <c r="H226" s="27" t="n"/>
    </row>
    <row r="227" ht="17.25" customHeight="1" s="322">
      <c r="A227" s="27" t="n"/>
      <c r="B227" s="506">
        <f>IFERROR(__xludf.DUMMYFUNCTION("""COMPUTED_VALUE"""),46156.6666666666)</f>
        <v/>
      </c>
      <c r="C227" s="141">
        <f>IFERROR(__xludf.DUMMYFUNCTION("""COMPUTED_VALUE"""),94.54)</f>
        <v/>
      </c>
      <c r="D227" s="141">
        <f>IFERROR(__xludf.DUMMYFUNCTION("""COMPUTED_VALUE"""),94.56)</f>
        <v/>
      </c>
      <c r="E227" s="141">
        <f>IFERROR(__xludf.DUMMYFUNCTION("""COMPUTED_VALUE"""),94.25)</f>
        <v/>
      </c>
      <c r="F227" s="141">
        <f>IFERROR(__xludf.DUMMYFUNCTION("""COMPUTED_VALUE"""),94.26)</f>
        <v/>
      </c>
      <c r="G227" s="143">
        <f>IFERROR(__xludf.DUMMYFUNCTION("""COMPUTED_VALUE"""),5167327)</f>
        <v/>
      </c>
      <c r="H227" s="27" t="n"/>
    </row>
    <row r="228" ht="17.25" customHeight="1" s="322">
      <c r="A228" s="27" t="n"/>
      <c r="B228" s="506">
        <f>IFERROR(__xludf.DUMMYFUNCTION("""COMPUTED_VALUE"""),46157.6666666666)</f>
        <v/>
      </c>
      <c r="C228" s="141">
        <f>IFERROR(__xludf.DUMMYFUNCTION("""COMPUTED_VALUE"""),93.72)</f>
        <v/>
      </c>
      <c r="D228" s="141">
        <f>IFERROR(__xludf.DUMMYFUNCTION("""COMPUTED_VALUE"""),93.75)</f>
        <v/>
      </c>
      <c r="E228" s="141">
        <f>IFERROR(__xludf.DUMMYFUNCTION("""COMPUTED_VALUE"""),93.49)</f>
        <v/>
      </c>
      <c r="F228" s="141">
        <f>IFERROR(__xludf.DUMMYFUNCTION("""COMPUTED_VALUE"""),93.51)</f>
        <v/>
      </c>
      <c r="G228" s="143">
        <f>IFERROR(__xludf.DUMMYFUNCTION("""COMPUTED_VALUE"""),12498686)</f>
        <v/>
      </c>
      <c r="H228" s="27" t="n"/>
    </row>
    <row r="229" ht="17.25" customHeight="1" s="322">
      <c r="A229" s="27" t="n"/>
      <c r="B229" s="506">
        <f>IFERROR(__xludf.DUMMYFUNCTION("""COMPUTED_VALUE"""),46160.6666666666)</f>
        <v/>
      </c>
      <c r="C229" s="141">
        <f>IFERROR(__xludf.DUMMYFUNCTION("""COMPUTED_VALUE"""),93.62)</f>
        <v/>
      </c>
      <c r="D229" s="141">
        <f>IFERROR(__xludf.DUMMYFUNCTION("""COMPUTED_VALUE"""),93.75)</f>
        <v/>
      </c>
      <c r="E229" s="141">
        <f>IFERROR(__xludf.DUMMYFUNCTION("""COMPUTED_VALUE"""),93.34)</f>
        <v/>
      </c>
      <c r="F229" s="141">
        <f>IFERROR(__xludf.DUMMYFUNCTION("""COMPUTED_VALUE"""),93.47)</f>
        <v/>
      </c>
      <c r="G229" s="143">
        <f>IFERROR(__xludf.DUMMYFUNCTION("""COMPUTED_VALUE"""),8422905)</f>
        <v/>
      </c>
      <c r="H229" s="27" t="n"/>
    </row>
    <row r="230" ht="17.25" customHeight="1" s="322">
      <c r="A230" s="27" t="n"/>
      <c r="B230" s="506">
        <f>IFERROR(__xludf.DUMMYFUNCTION("""COMPUTED_VALUE"""),46161.6666666666)</f>
        <v/>
      </c>
      <c r="C230" s="141">
        <f>IFERROR(__xludf.DUMMYFUNCTION("""COMPUTED_VALUE"""),93.13)</f>
        <v/>
      </c>
      <c r="D230" s="141">
        <f>IFERROR(__xludf.DUMMYFUNCTION("""COMPUTED_VALUE"""),93.27)</f>
        <v/>
      </c>
      <c r="E230" s="141">
        <f>IFERROR(__xludf.DUMMYFUNCTION("""COMPUTED_VALUE"""),92.95)</f>
        <v/>
      </c>
      <c r="F230" s="141">
        <f>IFERROR(__xludf.DUMMYFUNCTION("""COMPUTED_VALUE"""),93.11)</f>
        <v/>
      </c>
      <c r="G230" s="143">
        <f>IFERROR(__xludf.DUMMYFUNCTION("""COMPUTED_VALUE"""),10069810)</f>
        <v/>
      </c>
      <c r="H230" s="27" t="n"/>
    </row>
    <row r="231" ht="17.25" customHeight="1" s="322">
      <c r="A231" s="27" t="n"/>
      <c r="B231" s="506">
        <f>IFERROR(__xludf.DUMMYFUNCTION("""COMPUTED_VALUE"""),46162.6666666666)</f>
        <v/>
      </c>
      <c r="C231" s="141">
        <f>IFERROR(__xludf.DUMMYFUNCTION("""COMPUTED_VALUE"""),93.17)</f>
        <v/>
      </c>
      <c r="D231" s="141">
        <f>IFERROR(__xludf.DUMMYFUNCTION("""COMPUTED_VALUE"""),93.81)</f>
        <v/>
      </c>
      <c r="E231" s="141">
        <f>IFERROR(__xludf.DUMMYFUNCTION("""COMPUTED_VALUE"""),93.15)</f>
        <v/>
      </c>
      <c r="F231" s="141">
        <f>IFERROR(__xludf.DUMMYFUNCTION("""COMPUTED_VALUE"""),93.74)</f>
        <v/>
      </c>
      <c r="G231" s="143">
        <f>IFERROR(__xludf.DUMMYFUNCTION("""COMPUTED_VALUE"""),14892731)</f>
        <v/>
      </c>
      <c r="H231" s="27" t="n"/>
    </row>
    <row r="232" ht="17.25" customHeight="1" s="322">
      <c r="A232" s="27" t="n"/>
      <c r="B232" s="506">
        <f>IFERROR(__xludf.DUMMYFUNCTION("""COMPUTED_VALUE"""),46163.6666666666)</f>
        <v/>
      </c>
      <c r="C232" s="141">
        <f>IFERROR(__xludf.DUMMYFUNCTION("""COMPUTED_VALUE"""),93.47)</f>
        <v/>
      </c>
      <c r="D232" s="141">
        <f>IFERROR(__xludf.DUMMYFUNCTION("""COMPUTED_VALUE"""),93.84)</f>
        <v/>
      </c>
      <c r="E232" s="141">
        <f>IFERROR(__xludf.DUMMYFUNCTION("""COMPUTED_VALUE"""),93.31)</f>
        <v/>
      </c>
      <c r="F232" s="141">
        <f>IFERROR(__xludf.DUMMYFUNCTION("""COMPUTED_VALUE"""),93.8)</f>
        <v/>
      </c>
      <c r="G232" s="143">
        <f>IFERROR(__xludf.DUMMYFUNCTION("""COMPUTED_VALUE"""),7762271)</f>
        <v/>
      </c>
      <c r="H232" s="27" t="n"/>
    </row>
    <row r="233" ht="17.25" customHeight="1" s="322">
      <c r="A233" s="27" t="n"/>
      <c r="B233" s="506">
        <f>IFERROR(__xludf.DUMMYFUNCTION("""COMPUTED_VALUE"""),46164.6666666666)</f>
        <v/>
      </c>
      <c r="C233" s="141">
        <f>IFERROR(__xludf.DUMMYFUNCTION("""COMPUTED_VALUE"""),93.96)</f>
        <v/>
      </c>
      <c r="D233" s="141">
        <f>IFERROR(__xludf.DUMMYFUNCTION("""COMPUTED_VALUE"""),93.99)</f>
        <v/>
      </c>
      <c r="E233" s="141">
        <f>IFERROR(__xludf.DUMMYFUNCTION("""COMPUTED_VALUE"""),93.63)</f>
        <v/>
      </c>
      <c r="F233" s="141">
        <f>IFERROR(__xludf.DUMMYFUNCTION("""COMPUTED_VALUE"""),93.88)</f>
        <v/>
      </c>
      <c r="G233" s="143">
        <f>IFERROR(__xludf.DUMMYFUNCTION("""COMPUTED_VALUE"""),6322608)</f>
        <v/>
      </c>
      <c r="H233" s="27" t="n"/>
    </row>
    <row r="234" ht="17.25" customHeight="1" s="322">
      <c r="A234" s="27" t="n"/>
      <c r="B234" s="506">
        <f>IFERROR(__xludf.DUMMYFUNCTION("""COMPUTED_VALUE"""),46168.6666666666)</f>
        <v/>
      </c>
      <c r="C234" s="141">
        <f>IFERROR(__xludf.DUMMYFUNCTION("""COMPUTED_VALUE"""),94.34)</f>
        <v/>
      </c>
      <c r="D234" s="141">
        <f>IFERROR(__xludf.DUMMYFUNCTION("""COMPUTED_VALUE"""),94.35)</f>
        <v/>
      </c>
      <c r="E234" s="141">
        <f>IFERROR(__xludf.DUMMYFUNCTION("""COMPUTED_VALUE"""),94.13)</f>
        <v/>
      </c>
      <c r="F234" s="141">
        <f>IFERROR(__xludf.DUMMYFUNCTION("""COMPUTED_VALUE"""),94.28)</f>
        <v/>
      </c>
      <c r="G234" s="143">
        <f>IFERROR(__xludf.DUMMYFUNCTION("""COMPUTED_VALUE"""),5494478)</f>
        <v/>
      </c>
      <c r="H234" s="27" t="n"/>
    </row>
    <row r="235" ht="17.25" customHeight="1" s="322">
      <c r="A235" s="27" t="n"/>
      <c r="B235" s="506">
        <f>IFERROR(__xludf.DUMMYFUNCTION("""COMPUTED_VALUE"""),46169.6666666666)</f>
        <v/>
      </c>
      <c r="C235" s="141">
        <f>IFERROR(__xludf.DUMMYFUNCTION("""COMPUTED_VALUE"""),94.35)</f>
        <v/>
      </c>
      <c r="D235" s="141">
        <f>IFERROR(__xludf.DUMMYFUNCTION("""COMPUTED_VALUE"""),94.48)</f>
        <v/>
      </c>
      <c r="E235" s="141">
        <f>IFERROR(__xludf.DUMMYFUNCTION("""COMPUTED_VALUE"""),94.29)</f>
        <v/>
      </c>
      <c r="F235" s="141">
        <f>IFERROR(__xludf.DUMMYFUNCTION("""COMPUTED_VALUE"""),94.32)</f>
        <v/>
      </c>
      <c r="G235" s="143">
        <f>IFERROR(__xludf.DUMMYFUNCTION("""COMPUTED_VALUE"""),5959163)</f>
        <v/>
      </c>
      <c r="H235" s="27" t="n"/>
    </row>
    <row r="236" ht="17.25" customHeight="1" s="322">
      <c r="A236" s="27" t="n"/>
      <c r="B236" s="506">
        <f>IFERROR(__xludf.DUMMYFUNCTION("""COMPUTED_VALUE"""),46170.6666666666)</f>
        <v/>
      </c>
      <c r="C236" s="141">
        <f>IFERROR(__xludf.DUMMYFUNCTION("""COMPUTED_VALUE"""),94.35)</f>
        <v/>
      </c>
      <c r="D236" s="141">
        <f>IFERROR(__xludf.DUMMYFUNCTION("""COMPUTED_VALUE"""),94.67)</f>
        <v/>
      </c>
      <c r="E236" s="141">
        <f>IFERROR(__xludf.DUMMYFUNCTION("""COMPUTED_VALUE"""),94.29)</f>
        <v/>
      </c>
      <c r="F236" s="141">
        <f>IFERROR(__xludf.DUMMYFUNCTION("""COMPUTED_VALUE"""),94.54)</f>
        <v/>
      </c>
      <c r="G236" s="143">
        <f>IFERROR(__xludf.DUMMYFUNCTION("""COMPUTED_VALUE"""),5938371)</f>
        <v/>
      </c>
      <c r="H236" s="27" t="n"/>
    </row>
    <row r="237" ht="17.25" customHeight="1" s="322">
      <c r="A237" s="27" t="n"/>
      <c r="B237" s="506">
        <f>IFERROR(__xludf.DUMMYFUNCTION("""COMPUTED_VALUE"""),46171.6666666666)</f>
        <v/>
      </c>
      <c r="C237" s="141">
        <f>IFERROR(__xludf.DUMMYFUNCTION("""COMPUTED_VALUE"""),94.64)</f>
        <v/>
      </c>
      <c r="D237" s="141">
        <f>IFERROR(__xludf.DUMMYFUNCTION("""COMPUTED_VALUE"""),94.74)</f>
        <v/>
      </c>
      <c r="E237" s="141">
        <f>IFERROR(__xludf.DUMMYFUNCTION("""COMPUTED_VALUE"""),94.53)</f>
        <v/>
      </c>
      <c r="F237" s="141">
        <f>IFERROR(__xludf.DUMMYFUNCTION("""COMPUTED_VALUE"""),94.65)</f>
        <v/>
      </c>
      <c r="G237" s="143">
        <f>IFERROR(__xludf.DUMMYFUNCTION("""COMPUTED_VALUE"""),9639851)</f>
        <v/>
      </c>
      <c r="H237" s="27" t="n"/>
    </row>
    <row r="238" ht="17.25" customHeight="1" s="322">
      <c r="A238" s="27" t="n"/>
      <c r="B238" s="506">
        <f>IFERROR(__xludf.DUMMYFUNCTION("""COMPUTED_VALUE"""),46174.6666666666)</f>
        <v/>
      </c>
      <c r="C238" s="141">
        <f>IFERROR(__xludf.DUMMYFUNCTION("""COMPUTED_VALUE"""),93.91)</f>
        <v/>
      </c>
      <c r="D238" s="141">
        <f>IFERROR(__xludf.DUMMYFUNCTION("""COMPUTED_VALUE"""),94.2)</f>
        <v/>
      </c>
      <c r="E238" s="141">
        <f>IFERROR(__xludf.DUMMYFUNCTION("""COMPUTED_VALUE"""),93.81)</f>
        <v/>
      </c>
      <c r="F238" s="141">
        <f>IFERROR(__xludf.DUMMYFUNCTION("""COMPUTED_VALUE"""),94.17)</f>
        <v/>
      </c>
      <c r="G238" s="143">
        <f>IFERROR(__xludf.DUMMYFUNCTION("""COMPUTED_VALUE"""),8054120)</f>
        <v/>
      </c>
      <c r="H238" s="27" t="n"/>
    </row>
    <row r="239" ht="17.25" customHeight="1" s="322">
      <c r="A239" s="27" t="n"/>
      <c r="B239" s="506">
        <f>IFERROR(__xludf.DUMMYFUNCTION("""COMPUTED_VALUE"""),46175.6666666666)</f>
        <v/>
      </c>
      <c r="C239" s="141">
        <f>IFERROR(__xludf.DUMMYFUNCTION("""COMPUTED_VALUE"""),94.33)</f>
        <v/>
      </c>
      <c r="D239" s="141">
        <f>IFERROR(__xludf.DUMMYFUNCTION("""COMPUTED_VALUE"""),94.33)</f>
        <v/>
      </c>
      <c r="E239" s="141">
        <f>IFERROR(__xludf.DUMMYFUNCTION("""COMPUTED_VALUE"""),94.16)</f>
        <v/>
      </c>
      <c r="F239" s="141">
        <f>IFERROR(__xludf.DUMMYFUNCTION("""COMPUTED_VALUE"""),94.24)</f>
        <v/>
      </c>
      <c r="G239" s="143">
        <f>IFERROR(__xludf.DUMMYFUNCTION("""COMPUTED_VALUE"""),15426562)</f>
        <v/>
      </c>
      <c r="H239" s="27" t="n"/>
    </row>
    <row r="240" ht="17.25" customHeight="1" s="322">
      <c r="A240" s="27" t="n"/>
      <c r="B240" s="506">
        <f>IFERROR(__xludf.DUMMYFUNCTION("""COMPUTED_VALUE"""),46176.6666666666)</f>
        <v/>
      </c>
      <c r="C240" s="141">
        <f>IFERROR(__xludf.DUMMYFUNCTION("""COMPUTED_VALUE"""),93.99)</f>
        <v/>
      </c>
      <c r="D240" s="141">
        <f>IFERROR(__xludf.DUMMYFUNCTION("""COMPUTED_VALUE"""),94.1)</f>
        <v/>
      </c>
      <c r="E240" s="141">
        <f>IFERROR(__xludf.DUMMYFUNCTION("""COMPUTED_VALUE"""),93.91)</f>
        <v/>
      </c>
      <c r="F240" s="141">
        <f>IFERROR(__xludf.DUMMYFUNCTION("""COMPUTED_VALUE"""),94)</f>
        <v/>
      </c>
      <c r="G240" s="143">
        <f>IFERROR(__xludf.DUMMYFUNCTION("""COMPUTED_VALUE"""),7056524)</f>
        <v/>
      </c>
      <c r="H240" s="27" t="n"/>
    </row>
    <row r="241" ht="17.25" customHeight="1" s="322">
      <c r="A241" s="27" t="n"/>
      <c r="B241" s="506">
        <f>IFERROR(__xludf.DUMMYFUNCTION("""COMPUTED_VALUE"""),46177.6666666666)</f>
        <v/>
      </c>
      <c r="C241" s="141">
        <f>IFERROR(__xludf.DUMMYFUNCTION("""COMPUTED_VALUE"""),94.2)</f>
        <v/>
      </c>
      <c r="D241" s="141">
        <f>IFERROR(__xludf.DUMMYFUNCTION("""COMPUTED_VALUE"""),94.28)</f>
        <v/>
      </c>
      <c r="E241" s="141">
        <f>IFERROR(__xludf.DUMMYFUNCTION("""COMPUTED_VALUE"""),94.09)</f>
        <v/>
      </c>
      <c r="F241" s="141">
        <f>IFERROR(__xludf.DUMMYFUNCTION("""COMPUTED_VALUE"""),94.12)</f>
        <v/>
      </c>
      <c r="G241" s="143">
        <f>IFERROR(__xludf.DUMMYFUNCTION("""COMPUTED_VALUE"""),4417855)</f>
        <v/>
      </c>
      <c r="H241" s="27" t="n"/>
    </row>
    <row r="242" ht="17.25" customHeight="1" s="322">
      <c r="A242" s="27" t="n"/>
      <c r="B242" s="506">
        <f>IFERROR(__xludf.DUMMYFUNCTION("""COMPUTED_VALUE"""),46178.6666666666)</f>
        <v/>
      </c>
      <c r="C242" s="141">
        <f>IFERROR(__xludf.DUMMYFUNCTION("""COMPUTED_VALUE"""),93.71)</f>
        <v/>
      </c>
      <c r="D242" s="141">
        <f>IFERROR(__xludf.DUMMYFUNCTION("""COMPUTED_VALUE"""),93.79)</f>
        <v/>
      </c>
      <c r="E242" s="141">
        <f>IFERROR(__xludf.DUMMYFUNCTION("""COMPUTED_VALUE"""),93.59)</f>
        <v/>
      </c>
      <c r="F242" s="141">
        <f>IFERROR(__xludf.DUMMYFUNCTION("""COMPUTED_VALUE"""),93.62)</f>
        <v/>
      </c>
      <c r="G242" s="143">
        <f>IFERROR(__xludf.DUMMYFUNCTION("""COMPUTED_VALUE"""),9881047)</f>
        <v/>
      </c>
      <c r="H242" s="27" t="n"/>
    </row>
    <row r="243" ht="17.25" customHeight="1" s="322">
      <c r="A243" s="27" t="n"/>
      <c r="B243" s="506">
        <f>IFERROR(__xludf.DUMMYFUNCTION("""COMPUTED_VALUE"""),46181.6666666666)</f>
        <v/>
      </c>
      <c r="C243" s="141">
        <f>IFERROR(__xludf.DUMMYFUNCTION("""COMPUTED_VALUE"""),93.8)</f>
        <v/>
      </c>
      <c r="D243" s="141">
        <f>IFERROR(__xludf.DUMMYFUNCTION("""COMPUTED_VALUE"""),93.86)</f>
        <v/>
      </c>
      <c r="E243" s="141">
        <f>IFERROR(__xludf.DUMMYFUNCTION("""COMPUTED_VALUE"""),93.52)</f>
        <v/>
      </c>
      <c r="F243" s="141">
        <f>IFERROR(__xludf.DUMMYFUNCTION("""COMPUTED_VALUE"""),93.52)</f>
        <v/>
      </c>
      <c r="G243" s="143">
        <f>IFERROR(__xludf.DUMMYFUNCTION("""COMPUTED_VALUE"""),5352248)</f>
        <v/>
      </c>
      <c r="H243" s="27" t="n"/>
    </row>
    <row r="244" ht="17.25" customHeight="1" s="322">
      <c r="A244" s="27" t="n"/>
      <c r="B244" s="506">
        <f>IFERROR(__xludf.DUMMYFUNCTION("""COMPUTED_VALUE"""),46182.6666666666)</f>
        <v/>
      </c>
      <c r="C244" s="141">
        <f>IFERROR(__xludf.DUMMYFUNCTION("""COMPUTED_VALUE"""),93.71)</f>
        <v/>
      </c>
      <c r="D244" s="141">
        <f>IFERROR(__xludf.DUMMYFUNCTION("""COMPUTED_VALUE"""),93.85)</f>
        <v/>
      </c>
      <c r="E244" s="141">
        <f>IFERROR(__xludf.DUMMYFUNCTION("""COMPUTED_VALUE"""),93.61)</f>
        <v/>
      </c>
      <c r="F244" s="141">
        <f>IFERROR(__xludf.DUMMYFUNCTION("""COMPUTED_VALUE"""),93.78)</f>
        <v/>
      </c>
      <c r="G244" s="143">
        <f>IFERROR(__xludf.DUMMYFUNCTION("""COMPUTED_VALUE"""),8007261)</f>
        <v/>
      </c>
      <c r="H244" s="27" t="n"/>
    </row>
    <row r="245" ht="17.25" customHeight="1" s="322">
      <c r="A245" s="27" t="n"/>
      <c r="B245" s="506">
        <f>IFERROR(__xludf.DUMMYFUNCTION("""COMPUTED_VALUE"""),46183.6666666666)</f>
        <v/>
      </c>
      <c r="C245" s="141">
        <f>IFERROR(__xludf.DUMMYFUNCTION("""COMPUTED_VALUE"""),93.82)</f>
        <v/>
      </c>
      <c r="D245" s="141">
        <f>IFERROR(__xludf.DUMMYFUNCTION("""COMPUTED_VALUE"""),93.9)</f>
        <v/>
      </c>
      <c r="E245" s="141">
        <f>IFERROR(__xludf.DUMMYFUNCTION("""COMPUTED_VALUE"""),93.6)</f>
        <v/>
      </c>
      <c r="F245" s="141">
        <f>IFERROR(__xludf.DUMMYFUNCTION("""COMPUTED_VALUE"""),93.69)</f>
        <v/>
      </c>
      <c r="G245" s="143">
        <f>IFERROR(__xludf.DUMMYFUNCTION("""COMPUTED_VALUE"""),5804852)</f>
        <v/>
      </c>
      <c r="H245" s="27" t="n"/>
    </row>
    <row r="246" ht="17.25" customHeight="1" s="322">
      <c r="A246" s="27" t="n"/>
      <c r="B246" s="506">
        <f>IFERROR(__xludf.DUMMYFUNCTION("""COMPUTED_VALUE"""),46184.6666666666)</f>
        <v/>
      </c>
      <c r="C246" s="141">
        <f>IFERROR(__xludf.DUMMYFUNCTION("""COMPUTED_VALUE"""),93.8)</f>
        <v/>
      </c>
      <c r="D246" s="141">
        <f>IFERROR(__xludf.DUMMYFUNCTION("""COMPUTED_VALUE"""),94.38)</f>
        <v/>
      </c>
      <c r="E246" s="141">
        <f>IFERROR(__xludf.DUMMYFUNCTION("""COMPUTED_VALUE"""),93.75)</f>
        <v/>
      </c>
      <c r="F246" s="141">
        <f>IFERROR(__xludf.DUMMYFUNCTION("""COMPUTED_VALUE"""),94.34)</f>
        <v/>
      </c>
      <c r="G246" s="143">
        <f>IFERROR(__xludf.DUMMYFUNCTION("""COMPUTED_VALUE"""),11281600)</f>
        <v/>
      </c>
      <c r="H246" s="27" t="n"/>
    </row>
    <row r="247" ht="17.25" customHeight="1" s="322">
      <c r="A247" s="27" t="n"/>
      <c r="B247" s="506">
        <f>IFERROR(__xludf.DUMMYFUNCTION("""COMPUTED_VALUE"""),46185.6666666666)</f>
        <v/>
      </c>
      <c r="C247" s="141">
        <f>IFERROR(__xludf.DUMMYFUNCTION("""COMPUTED_VALUE"""),94.16)</f>
        <v/>
      </c>
      <c r="D247" s="141">
        <f>IFERROR(__xludf.DUMMYFUNCTION("""COMPUTED_VALUE"""),94.27)</f>
        <v/>
      </c>
      <c r="E247" s="141">
        <f>IFERROR(__xludf.DUMMYFUNCTION("""COMPUTED_VALUE"""),94.02)</f>
        <v/>
      </c>
      <c r="F247" s="141">
        <f>IFERROR(__xludf.DUMMYFUNCTION("""COMPUTED_VALUE"""),94.18)</f>
        <v/>
      </c>
      <c r="G247" s="143">
        <f>IFERROR(__xludf.DUMMYFUNCTION("""COMPUTED_VALUE"""),8863581)</f>
        <v/>
      </c>
      <c r="H247" s="27" t="n"/>
    </row>
    <row r="248" ht="17.25" customHeight="1" s="322">
      <c r="A248" s="27" t="n"/>
      <c r="B248" s="506">
        <f>IFERROR(__xludf.DUMMYFUNCTION("""COMPUTED_VALUE"""),46188.6666666666)</f>
        <v/>
      </c>
      <c r="C248" s="141">
        <f>IFERROR(__xludf.DUMMYFUNCTION("""COMPUTED_VALUE"""),94.39)</f>
        <v/>
      </c>
      <c r="D248" s="141">
        <f>IFERROR(__xludf.DUMMYFUNCTION("""COMPUTED_VALUE"""),94.47)</f>
        <v/>
      </c>
      <c r="E248" s="141">
        <f>IFERROR(__xludf.DUMMYFUNCTION("""COMPUTED_VALUE"""),94.26)</f>
        <v/>
      </c>
      <c r="F248" s="141">
        <f>IFERROR(__xludf.DUMMYFUNCTION("""COMPUTED_VALUE"""),94.28)</f>
        <v/>
      </c>
      <c r="G248" s="143">
        <f>IFERROR(__xludf.DUMMYFUNCTION("""COMPUTED_VALUE"""),3787574)</f>
        <v/>
      </c>
      <c r="H248" s="27" t="n"/>
    </row>
    <row r="249" ht="17.25" customHeight="1" s="322">
      <c r="A249" s="27" t="n"/>
      <c r="B249" s="506">
        <f>IFERROR(__xludf.DUMMYFUNCTION("""COMPUTED_VALUE"""),46189.6666666666)</f>
        <v/>
      </c>
      <c r="C249" s="141">
        <f>IFERROR(__xludf.DUMMYFUNCTION("""COMPUTED_VALUE"""),94.38)</f>
        <v/>
      </c>
      <c r="D249" s="141">
        <f>IFERROR(__xludf.DUMMYFUNCTION("""COMPUTED_VALUE"""),94.62)</f>
        <v/>
      </c>
      <c r="E249" s="141">
        <f>IFERROR(__xludf.DUMMYFUNCTION("""COMPUTED_VALUE"""),94.35)</f>
        <v/>
      </c>
      <c r="F249" s="141">
        <f>IFERROR(__xludf.DUMMYFUNCTION("""COMPUTED_VALUE"""),94.52)</f>
        <v/>
      </c>
      <c r="G249" s="143">
        <f>IFERROR(__xludf.DUMMYFUNCTION("""COMPUTED_VALUE"""),4675052)</f>
        <v/>
      </c>
      <c r="H249" s="27" t="n"/>
    </row>
    <row r="250" ht="17.25" customHeight="1" s="322">
      <c r="A250" s="27" t="n"/>
      <c r="B250" s="506">
        <f>IFERROR(__xludf.DUMMYFUNCTION("""COMPUTED_VALUE"""),46190.6666666666)</f>
        <v/>
      </c>
      <c r="C250" s="141">
        <f>IFERROR(__xludf.DUMMYFUNCTION("""COMPUTED_VALUE"""),94.53)</f>
        <v/>
      </c>
      <c r="D250" s="141">
        <f>IFERROR(__xludf.DUMMYFUNCTION("""COMPUTED_VALUE"""),94.58)</f>
        <v/>
      </c>
      <c r="E250" s="141">
        <f>IFERROR(__xludf.DUMMYFUNCTION("""COMPUTED_VALUE"""),94.01)</f>
        <v/>
      </c>
      <c r="F250" s="141">
        <f>IFERROR(__xludf.DUMMYFUNCTION("""COMPUTED_VALUE"""),94.02)</f>
        <v/>
      </c>
      <c r="G250" s="143">
        <f>IFERROR(__xludf.DUMMYFUNCTION("""COMPUTED_VALUE"""),11508273)</f>
        <v/>
      </c>
      <c r="H250" s="27" t="n"/>
    </row>
    <row r="251" ht="17.25" customHeight="1" s="322">
      <c r="A251" s="27" t="n"/>
      <c r="B251" s="506">
        <f>IFERROR(__xludf.DUMMYFUNCTION("""COMPUTED_VALUE"""),46191.6666666666)</f>
        <v/>
      </c>
      <c r="C251" s="141">
        <f>IFERROR(__xludf.DUMMYFUNCTION("""COMPUTED_VALUE"""),94.43)</f>
        <v/>
      </c>
      <c r="D251" s="141">
        <f>IFERROR(__xludf.DUMMYFUNCTION("""COMPUTED_VALUE"""),94.6)</f>
        <v/>
      </c>
      <c r="E251" s="141">
        <f>IFERROR(__xludf.DUMMYFUNCTION("""COMPUTED_VALUE"""),94.33)</f>
        <v/>
      </c>
      <c r="F251" s="141">
        <f>IFERROR(__xludf.DUMMYFUNCTION("""COMPUTED_VALUE"""),94.36)</f>
        <v/>
      </c>
      <c r="G251" s="143">
        <f>IFERROR(__xludf.DUMMYFUNCTION("""COMPUTED_VALUE"""),6836463)</f>
        <v/>
      </c>
      <c r="H251" s="27" t="n"/>
    </row>
    <row r="252" ht="17.25" customHeight="1" s="322">
      <c r="A252" s="27" t="n"/>
      <c r="B252" s="506">
        <f>IFERROR(__xludf.DUMMYFUNCTION("""COMPUTED_VALUE"""),46195.6666666666)</f>
        <v/>
      </c>
      <c r="C252" s="141">
        <f>IFERROR(__xludf.DUMMYFUNCTION("""COMPUTED_VALUE"""),94.11)</f>
        <v/>
      </c>
      <c r="D252" s="141">
        <f>IFERROR(__xludf.DUMMYFUNCTION("""COMPUTED_VALUE"""),94.13)</f>
        <v/>
      </c>
      <c r="E252" s="141">
        <f>IFERROR(__xludf.DUMMYFUNCTION("""COMPUTED_VALUE"""),93.97)</f>
        <v/>
      </c>
      <c r="F252" s="141">
        <f>IFERROR(__xludf.DUMMYFUNCTION("""COMPUTED_VALUE"""),94)</f>
        <v/>
      </c>
      <c r="G252" s="143">
        <f>IFERROR(__xludf.DUMMYFUNCTION("""COMPUTED_VALUE"""),4572484)</f>
        <v/>
      </c>
      <c r="H252" s="27" t="n"/>
    </row>
    <row r="253" ht="17.25" customHeight="1" s="322">
      <c r="A253" s="27" t="n"/>
      <c r="B253" s="506">
        <f>IFERROR(__xludf.DUMMYFUNCTION("""COMPUTED_VALUE"""),46196.6666666666)</f>
        <v/>
      </c>
      <c r="C253" s="141">
        <f>IFERROR(__xludf.DUMMYFUNCTION("""COMPUTED_VALUE"""),94.16)</f>
        <v/>
      </c>
      <c r="D253" s="141">
        <f>IFERROR(__xludf.DUMMYFUNCTION("""COMPUTED_VALUE"""),94.26)</f>
        <v/>
      </c>
      <c r="E253" s="141">
        <f>IFERROR(__xludf.DUMMYFUNCTION("""COMPUTED_VALUE"""),94.09)</f>
        <v/>
      </c>
      <c r="F253" s="141">
        <f>IFERROR(__xludf.DUMMYFUNCTION("""COMPUTED_VALUE"""),94.12)</f>
        <v/>
      </c>
      <c r="G253" s="143">
        <f>IFERROR(__xludf.DUMMYFUNCTION("""COMPUTED_VALUE"""),6504621)</f>
        <v/>
      </c>
      <c r="H253" s="27" t="n"/>
    </row>
    <row r="254" ht="17.25" customHeight="1" s="322">
      <c r="A254" s="27" t="n"/>
      <c r="B254" s="506">
        <f>IFERROR(__xludf.DUMMYFUNCTION("""COMPUTED_VALUE"""),46197.6666666666)</f>
        <v/>
      </c>
      <c r="C254" s="141">
        <f>IFERROR(__xludf.DUMMYFUNCTION("""COMPUTED_VALUE"""),94.57)</f>
        <v/>
      </c>
      <c r="D254" s="141">
        <f>IFERROR(__xludf.DUMMYFUNCTION("""COMPUTED_VALUE"""),94.78)</f>
        <v/>
      </c>
      <c r="E254" s="141">
        <f>IFERROR(__xludf.DUMMYFUNCTION("""COMPUTED_VALUE"""),94.56)</f>
        <v/>
      </c>
      <c r="F254" s="141">
        <f>IFERROR(__xludf.DUMMYFUNCTION("""COMPUTED_VALUE"""),94.73)</f>
        <v/>
      </c>
      <c r="G254" s="143">
        <f>IFERROR(__xludf.DUMMYFUNCTION("""COMPUTED_VALUE"""),5179932)</f>
        <v/>
      </c>
      <c r="H254" s="27" t="n"/>
    </row>
    <row r="255" ht="17.25" customHeight="1" s="322">
      <c r="A255" s="27" t="n"/>
      <c r="B255" s="506">
        <f>IFERROR(__xludf.DUMMYFUNCTION("""COMPUTED_VALUE"""),46198.6666666666)</f>
        <v/>
      </c>
      <c r="C255" s="141">
        <f>IFERROR(__xludf.DUMMYFUNCTION("""COMPUTED_VALUE"""),94.86)</f>
        <v/>
      </c>
      <c r="D255" s="141">
        <f>IFERROR(__xludf.DUMMYFUNCTION("""COMPUTED_VALUE"""),95.02)</f>
        <v/>
      </c>
      <c r="E255" s="141">
        <f>IFERROR(__xludf.DUMMYFUNCTION("""COMPUTED_VALUE"""),94.78)</f>
        <v/>
      </c>
      <c r="F255" s="141">
        <f>IFERROR(__xludf.DUMMYFUNCTION("""COMPUTED_VALUE"""),94.79)</f>
        <v/>
      </c>
      <c r="G255" s="143">
        <f>IFERROR(__xludf.DUMMYFUNCTION("""COMPUTED_VALUE"""),5630589)</f>
        <v/>
      </c>
      <c r="H255" s="27" t="n"/>
    </row>
    <row r="256" ht="17.25" customHeight="1" s="322">
      <c r="A256" s="27" t="n"/>
      <c r="B256" s="506">
        <f>IFERROR(__xludf.DUMMYFUNCTION("""COMPUTED_VALUE"""),46199.6666666666)</f>
        <v/>
      </c>
      <c r="C256" s="141">
        <f>IFERROR(__xludf.DUMMYFUNCTION("""COMPUTED_VALUE"""),94.83)</f>
        <v/>
      </c>
      <c r="D256" s="141">
        <f>IFERROR(__xludf.DUMMYFUNCTION("""COMPUTED_VALUE"""),95.08)</f>
        <v/>
      </c>
      <c r="E256" s="141">
        <f>IFERROR(__xludf.DUMMYFUNCTION("""COMPUTED_VALUE"""),94.83)</f>
        <v/>
      </c>
      <c r="F256" s="141">
        <f>IFERROR(__xludf.DUMMYFUNCTION("""COMPUTED_VALUE"""),95.03)</f>
        <v/>
      </c>
      <c r="G256" s="143">
        <f>IFERROR(__xludf.DUMMYFUNCTION("""COMPUTED_VALUE"""),5584092)</f>
        <v/>
      </c>
      <c r="H256" s="27" t="n"/>
    </row>
    <row r="257" ht="17.25" customHeight="1" s="322">
      <c r="A257" s="27" t="n"/>
      <c r="B257" s="506">
        <f>IFERROR(__xludf.DUMMYFUNCTION("""COMPUTED_VALUE"""),46202.6666666666)</f>
        <v/>
      </c>
      <c r="C257" s="141">
        <f>IFERROR(__xludf.DUMMYFUNCTION("""COMPUTED_VALUE"""),94.98)</f>
        <v/>
      </c>
      <c r="D257" s="141">
        <f>IFERROR(__xludf.DUMMYFUNCTION("""COMPUTED_VALUE"""),95.07)</f>
        <v/>
      </c>
      <c r="E257" s="141">
        <f>IFERROR(__xludf.DUMMYFUNCTION("""COMPUTED_VALUE"""),94.93)</f>
        <v/>
      </c>
      <c r="F257" s="141">
        <f>IFERROR(__xludf.DUMMYFUNCTION("""COMPUTED_VALUE"""),95.06)</f>
        <v/>
      </c>
      <c r="G257" s="143">
        <f>IFERROR(__xludf.DUMMYFUNCTION("""COMPUTED_VALUE"""),5901721)</f>
        <v/>
      </c>
      <c r="H257" s="27" t="n"/>
    </row>
    <row r="258" ht="17.25" customHeight="1" s="322">
      <c r="A258" s="27" t="n"/>
      <c r="B258" s="506">
        <f>IFERROR(__xludf.DUMMYFUNCTION("""COMPUTED_VALUE"""),46203.6666666666)</f>
        <v/>
      </c>
      <c r="C258" s="141">
        <f>IFERROR(__xludf.DUMMYFUNCTION("""COMPUTED_VALUE"""),94.88)</f>
        <v/>
      </c>
      <c r="D258" s="141">
        <f>IFERROR(__xludf.DUMMYFUNCTION("""COMPUTED_VALUE"""),94.9)</f>
        <v/>
      </c>
      <c r="E258" s="141">
        <f>IFERROR(__xludf.DUMMYFUNCTION("""COMPUTED_VALUE"""),94.55)</f>
        <v/>
      </c>
      <c r="F258" s="141">
        <f>IFERROR(__xludf.DUMMYFUNCTION("""COMPUTED_VALUE"""),94.57)</f>
        <v/>
      </c>
      <c r="G258" s="143">
        <f>IFERROR(__xludf.DUMMYFUNCTION("""COMPUTED_VALUE"""),8033987)</f>
        <v/>
      </c>
      <c r="H258" s="27" t="n"/>
    </row>
    <row r="259" ht="17.25" customHeight="1" s="322">
      <c r="A259" s="27" t="n"/>
      <c r="B259" s="506">
        <f>IFERROR(__xludf.DUMMYFUNCTION("""COMPUTED_VALUE"""),46204.6666666666)</f>
        <v/>
      </c>
      <c r="C259" s="141">
        <f>IFERROR(__xludf.DUMMYFUNCTION("""COMPUTED_VALUE"""),94.04)</f>
        <v/>
      </c>
      <c r="D259" s="141">
        <f>IFERROR(__xludf.DUMMYFUNCTION("""COMPUTED_VALUE"""),94.2)</f>
        <v/>
      </c>
      <c r="E259" s="141">
        <f>IFERROR(__xludf.DUMMYFUNCTION("""COMPUTED_VALUE"""),94)</f>
        <v/>
      </c>
      <c r="F259" s="141">
        <f>IFERROR(__xludf.DUMMYFUNCTION("""COMPUTED_VALUE"""),94.03)</f>
        <v/>
      </c>
      <c r="G259" s="143">
        <f>IFERROR(__xludf.DUMMYFUNCTION("""COMPUTED_VALUE"""),7890454)</f>
        <v/>
      </c>
      <c r="H259" s="27" t="n"/>
    </row>
    <row r="260" ht="17.25" customHeight="1" s="322">
      <c r="A260" s="27" t="n"/>
      <c r="B260" s="506">
        <f>IFERROR(__xludf.DUMMYFUNCTION("""COMPUTED_VALUE"""),46205.6666666666)</f>
        <v/>
      </c>
      <c r="C260" s="141">
        <f>IFERROR(__xludf.DUMMYFUNCTION("""COMPUTED_VALUE"""),94.09)</f>
        <v/>
      </c>
      <c r="D260" s="141">
        <f>IFERROR(__xludf.DUMMYFUNCTION("""COMPUTED_VALUE"""),94.26)</f>
        <v/>
      </c>
      <c r="E260" s="141">
        <f>IFERROR(__xludf.DUMMYFUNCTION("""COMPUTED_VALUE"""),94.03)</f>
        <v/>
      </c>
      <c r="F260" s="141">
        <f>IFERROR(__xludf.DUMMYFUNCTION("""COMPUTED_VALUE"""),94.12)</f>
        <v/>
      </c>
      <c r="G260" s="143">
        <f>IFERROR(__xludf.DUMMYFUNCTION("""COMPUTED_VALUE"""),7607169)</f>
        <v/>
      </c>
      <c r="H260" s="27" t="n"/>
    </row>
    <row r="261" ht="17.25" customHeight="1" s="322">
      <c r="A261" s="27" t="n"/>
      <c r="B261" s="506">
        <f>IFERROR(__xludf.DUMMYFUNCTION("""COMPUTED_VALUE"""),46209.6666666666)</f>
        <v/>
      </c>
      <c r="C261" s="141">
        <f>IFERROR(__xludf.DUMMYFUNCTION("""COMPUTED_VALUE"""),94.14)</f>
        <v/>
      </c>
      <c r="D261" s="141">
        <f>IFERROR(__xludf.DUMMYFUNCTION("""COMPUTED_VALUE"""),94.19)</f>
        <v/>
      </c>
      <c r="E261" s="141">
        <f>IFERROR(__xludf.DUMMYFUNCTION("""COMPUTED_VALUE"""),94.03)</f>
        <v/>
      </c>
      <c r="F261" s="141">
        <f>IFERROR(__xludf.DUMMYFUNCTION("""COMPUTED_VALUE"""),94.18)</f>
        <v/>
      </c>
      <c r="G261" s="143">
        <f>IFERROR(__xludf.DUMMYFUNCTION("""COMPUTED_VALUE"""),4600673)</f>
        <v/>
      </c>
      <c r="H261" s="27" t="n"/>
    </row>
    <row r="262" ht="17.25" customHeight="1" s="322">
      <c r="A262" s="27" t="n"/>
      <c r="B262" s="506">
        <f>IFERROR(__xludf.DUMMYFUNCTION("""COMPUTED_VALUE"""),46210.6666666666)</f>
        <v/>
      </c>
      <c r="C262" s="141">
        <f>IFERROR(__xludf.DUMMYFUNCTION("""COMPUTED_VALUE"""),94)</f>
        <v/>
      </c>
      <c r="D262" s="141">
        <f>IFERROR(__xludf.DUMMYFUNCTION("""COMPUTED_VALUE"""),94.02)</f>
        <v/>
      </c>
      <c r="E262" s="141">
        <f>IFERROR(__xludf.DUMMYFUNCTION("""COMPUTED_VALUE"""),93.69)</f>
        <v/>
      </c>
      <c r="F262" s="141">
        <f>IFERROR(__xludf.DUMMYFUNCTION("""COMPUTED_VALUE"""),93.7)</f>
        <v/>
      </c>
      <c r="G262" s="143">
        <f>IFERROR(__xludf.DUMMYFUNCTION("""COMPUTED_VALUE"""),5813601)</f>
        <v/>
      </c>
      <c r="H262" s="27" t="n"/>
    </row>
    <row r="263" ht="17.25" customHeight="1" s="322">
      <c r="A263" s="27" t="n"/>
      <c r="B263" s="506">
        <f>IFERROR(__xludf.DUMMYFUNCTION("""COMPUTED_VALUE"""),46211.6666666666)</f>
        <v/>
      </c>
      <c r="C263" s="141">
        <f>IFERROR(__xludf.DUMMYFUNCTION("""COMPUTED_VALUE"""),93.53)</f>
        <v/>
      </c>
      <c r="D263" s="141">
        <f>IFERROR(__xludf.DUMMYFUNCTION("""COMPUTED_VALUE"""),93.59)</f>
        <v/>
      </c>
      <c r="E263" s="141">
        <f>IFERROR(__xludf.DUMMYFUNCTION("""COMPUTED_VALUE"""),93.36)</f>
        <v/>
      </c>
      <c r="F263" s="141">
        <f>IFERROR(__xludf.DUMMYFUNCTION("""COMPUTED_VALUE"""),93.51)</f>
        <v/>
      </c>
      <c r="G263" s="143">
        <f>IFERROR(__xludf.DUMMYFUNCTION("""COMPUTED_VALUE"""),5509648)</f>
        <v/>
      </c>
      <c r="H263" s="27" t="n"/>
    </row>
    <row r="264" ht="17.25" customHeight="1" s="322">
      <c r="A264" s="27" t="n"/>
      <c r="B264" s="506">
        <f>IFERROR(__xludf.DUMMYFUNCTION("""COMPUTED_VALUE"""),46212.6666666666)</f>
        <v/>
      </c>
      <c r="C264" s="141">
        <f>IFERROR(__xludf.DUMMYFUNCTION("""COMPUTED_VALUE"""),93.59)</f>
        <v/>
      </c>
      <c r="D264" s="141">
        <f>IFERROR(__xludf.DUMMYFUNCTION("""COMPUTED_VALUE"""),93.85)</f>
        <v/>
      </c>
      <c r="E264" s="141">
        <f>IFERROR(__xludf.DUMMYFUNCTION("""COMPUTED_VALUE"""),93.59)</f>
        <v/>
      </c>
      <c r="F264" s="141">
        <f>IFERROR(__xludf.DUMMYFUNCTION("""COMPUTED_VALUE"""),93.71)</f>
        <v/>
      </c>
      <c r="G264" s="143">
        <f>IFERROR(__xludf.DUMMYFUNCTION("""COMPUTED_VALUE"""),3223115)</f>
        <v/>
      </c>
      <c r="H264" s="27" t="n"/>
    </row>
    <row r="265" ht="17.25" customHeight="1" s="322">
      <c r="A265" s="27" t="n"/>
      <c r="B265" s="506">
        <f>IFERROR(__xludf.DUMMYFUNCTION("""COMPUTED_VALUE"""),46213.6666666666)</f>
        <v/>
      </c>
      <c r="C265" s="141">
        <f>IFERROR(__xludf.DUMMYFUNCTION("""COMPUTED_VALUE"""),93.74)</f>
        <v/>
      </c>
      <c r="D265" s="141">
        <f>IFERROR(__xludf.DUMMYFUNCTION("""COMPUTED_VALUE"""),93.78)</f>
        <v/>
      </c>
      <c r="E265" s="141">
        <f>IFERROR(__xludf.DUMMYFUNCTION("""COMPUTED_VALUE"""),93.59)</f>
        <v/>
      </c>
      <c r="F265" s="141">
        <f>IFERROR(__xludf.DUMMYFUNCTION("""COMPUTED_VALUE"""),93.63)</f>
        <v/>
      </c>
      <c r="G265" s="143">
        <f>IFERROR(__xludf.DUMMYFUNCTION("""COMPUTED_VALUE"""),6507727)</f>
        <v/>
      </c>
      <c r="H265" s="27" t="n"/>
    </row>
    <row r="266" ht="17.25" customHeight="1" s="322">
      <c r="A266" s="27" t="n"/>
      <c r="B266" s="506">
        <f>IFERROR(__xludf.DUMMYFUNCTION("""COMPUTED_VALUE"""),46216.6666666666)</f>
        <v/>
      </c>
      <c r="C266" s="141">
        <f>IFERROR(__xludf.DUMMYFUNCTION("""COMPUTED_VALUE"""),93.5)</f>
        <v/>
      </c>
      <c r="D266" s="141">
        <f>IFERROR(__xludf.DUMMYFUNCTION("""COMPUTED_VALUE"""),93.52)</f>
        <v/>
      </c>
      <c r="E266" s="141">
        <f>IFERROR(__xludf.DUMMYFUNCTION("""COMPUTED_VALUE"""),93.26)</f>
        <v/>
      </c>
      <c r="F266" s="141">
        <f>IFERROR(__xludf.DUMMYFUNCTION("""COMPUTED_VALUE"""),93.29)</f>
        <v/>
      </c>
      <c r="G266" s="143">
        <f>IFERROR(__xludf.DUMMYFUNCTION("""COMPUTED_VALUE"""),5769743)</f>
        <v/>
      </c>
      <c r="H266" s="27" t="n"/>
    </row>
    <row r="267" ht="17.25" customHeight="1" s="322">
      <c r="A267" s="27" t="n"/>
      <c r="B267" s="506">
        <f>IFERROR(__xludf.DUMMYFUNCTION("""COMPUTED_VALUE"""),46217.6666666666)</f>
        <v/>
      </c>
      <c r="C267" s="141">
        <f>IFERROR(__xludf.DUMMYFUNCTION("""COMPUTED_VALUE"""),93.6)</f>
        <v/>
      </c>
      <c r="D267" s="141">
        <f>IFERROR(__xludf.DUMMYFUNCTION("""COMPUTED_VALUE"""),93.79)</f>
        <v/>
      </c>
      <c r="E267" s="141">
        <f>IFERROR(__xludf.DUMMYFUNCTION("""COMPUTED_VALUE"""),93.46)</f>
        <v/>
      </c>
      <c r="F267" s="141">
        <f>IFERROR(__xludf.DUMMYFUNCTION("""COMPUTED_VALUE"""),93.55)</f>
        <v/>
      </c>
      <c r="G267" s="143">
        <f>IFERROR(__xludf.DUMMYFUNCTION("""COMPUTED_VALUE"""),5316003)</f>
        <v/>
      </c>
      <c r="H267" s="27" t="n"/>
    </row>
    <row r="268" ht="17.25" customHeight="1" s="322">
      <c r="A268" s="27" t="n"/>
      <c r="B268" s="506">
        <f>IFERROR(__xludf.DUMMYFUNCTION("""COMPUTED_VALUE"""),46218.6666666666)</f>
        <v/>
      </c>
      <c r="C268" s="141">
        <f>IFERROR(__xludf.DUMMYFUNCTION("""COMPUTED_VALUE"""),93.64)</f>
        <v/>
      </c>
      <c r="D268" s="141">
        <f>IFERROR(__xludf.DUMMYFUNCTION("""COMPUTED_VALUE"""),93.87)</f>
        <v/>
      </c>
      <c r="E268" s="141">
        <f>IFERROR(__xludf.DUMMYFUNCTION("""COMPUTED_VALUE"""),93.64)</f>
        <v/>
      </c>
      <c r="F268" s="141">
        <f>IFERROR(__xludf.DUMMYFUNCTION("""COMPUTED_VALUE"""),93.78)</f>
        <v/>
      </c>
      <c r="G268" s="143">
        <f>IFERROR(__xludf.DUMMYFUNCTION("""COMPUTED_VALUE"""),6735459)</f>
        <v/>
      </c>
      <c r="H268" s="27" t="n"/>
    </row>
    <row r="269" ht="17.25" customHeight="1" s="322">
      <c r="A269" s="27" t="n"/>
      <c r="B269" s="506">
        <f>IFERROR(__xludf.DUMMYFUNCTION("""COMPUTED_VALUE"""),46219.6666666666)</f>
        <v/>
      </c>
      <c r="C269" s="141">
        <f>IFERROR(__xludf.DUMMYFUNCTION("""COMPUTED_VALUE"""),93.58)</f>
        <v/>
      </c>
      <c r="D269" s="141">
        <f>IFERROR(__xludf.DUMMYFUNCTION("""COMPUTED_VALUE"""),93.75)</f>
        <v/>
      </c>
      <c r="E269" s="141">
        <f>IFERROR(__xludf.DUMMYFUNCTION("""COMPUTED_VALUE"""),93.54)</f>
        <v/>
      </c>
      <c r="F269" s="141">
        <f>IFERROR(__xludf.DUMMYFUNCTION("""COMPUTED_VALUE"""),93.72)</f>
        <v/>
      </c>
      <c r="G269" s="143">
        <f>IFERROR(__xludf.DUMMYFUNCTION("""COMPUTED_VALUE"""),4841182)</f>
        <v/>
      </c>
      <c r="H269" s="27" t="n"/>
    </row>
    <row r="270" ht="17.25" customHeight="1" s="322">
      <c r="A270" s="27" t="n"/>
      <c r="B270" s="506">
        <f>IFERROR(__xludf.DUMMYFUNCTION("""COMPUTED_VALUE"""),46220.6666666666)</f>
        <v/>
      </c>
      <c r="C270" s="141">
        <f>IFERROR(__xludf.DUMMYFUNCTION("""COMPUTED_VALUE"""),93.96)</f>
        <v/>
      </c>
      <c r="D270" s="141">
        <f>IFERROR(__xludf.DUMMYFUNCTION("""COMPUTED_VALUE"""),94.1)</f>
        <v/>
      </c>
      <c r="E270" s="141">
        <f>IFERROR(__xludf.DUMMYFUNCTION("""COMPUTED_VALUE"""),93.82)</f>
        <v/>
      </c>
      <c r="F270" s="141">
        <f>IFERROR(__xludf.DUMMYFUNCTION("""COMPUTED_VALUE"""),93.84)</f>
        <v/>
      </c>
      <c r="G270" s="143">
        <f>IFERROR(__xludf.DUMMYFUNCTION("""COMPUTED_VALUE"""),7561338)</f>
        <v/>
      </c>
      <c r="H270" s="27" t="n"/>
    </row>
    <row r="271" ht="17.25" customHeight="1" s="322">
      <c r="A271" s="27" t="n"/>
      <c r="B271" s="506">
        <f>IFERROR(__xludf.DUMMYFUNCTION("""COMPUTED_VALUE"""),46223.6666666666)</f>
        <v/>
      </c>
      <c r="C271" s="141">
        <f>IFERROR(__xludf.DUMMYFUNCTION("""COMPUTED_VALUE"""),93.74)</f>
        <v/>
      </c>
      <c r="D271" s="141">
        <f>IFERROR(__xludf.DUMMYFUNCTION("""COMPUTED_VALUE"""),93.76)</f>
        <v/>
      </c>
      <c r="E271" s="141">
        <f>IFERROR(__xludf.DUMMYFUNCTION("""COMPUTED_VALUE"""),93.44)</f>
        <v/>
      </c>
      <c r="F271" s="141">
        <f>IFERROR(__xludf.DUMMYFUNCTION("""COMPUTED_VALUE"""),93.54)</f>
        <v/>
      </c>
      <c r="G271" s="143">
        <f>IFERROR(__xludf.DUMMYFUNCTION("""COMPUTED_VALUE"""),3784797)</f>
        <v/>
      </c>
      <c r="H271" s="27" t="n"/>
    </row>
    <row r="272" ht="17.25" customHeight="1" s="322">
      <c r="A272" s="27" t="n"/>
      <c r="B272" s="506">
        <f>IFERROR(__xludf.DUMMYFUNCTION("""COMPUTED_VALUE"""),46224.6666666666)</f>
        <v/>
      </c>
      <c r="C272" s="141">
        <f>IFERROR(__xludf.DUMMYFUNCTION("""COMPUTED_VALUE"""),93.4)</f>
        <v/>
      </c>
      <c r="D272" s="141">
        <f>IFERROR(__xludf.DUMMYFUNCTION("""COMPUTED_VALUE"""),93.42)</f>
        <v/>
      </c>
      <c r="E272" s="141">
        <f>IFERROR(__xludf.DUMMYFUNCTION("""COMPUTED_VALUE"""),93.26)</f>
        <v/>
      </c>
      <c r="F272" s="141">
        <f>IFERROR(__xludf.DUMMYFUNCTION("""COMPUTED_VALUE"""),93.31)</f>
        <v/>
      </c>
      <c r="G272" s="143">
        <f>IFERROR(__xludf.DUMMYFUNCTION("""COMPUTED_VALUE"""),2786215)</f>
        <v/>
      </c>
      <c r="H272" s="27" t="n"/>
    </row>
    <row r="273" ht="17.25" customHeight="1" s="322">
      <c r="A273" s="27" t="n"/>
      <c r="B273" s="506">
        <f>IFERROR(__xludf.DUMMYFUNCTION("""COMPUTED_VALUE"""),46225.6666666666)</f>
        <v/>
      </c>
      <c r="C273" s="141">
        <f>IFERROR(__xludf.DUMMYFUNCTION("""COMPUTED_VALUE"""),93.28)</f>
        <v/>
      </c>
      <c r="D273" s="141">
        <f>IFERROR(__xludf.DUMMYFUNCTION("""COMPUTED_VALUE"""),93.29)</f>
        <v/>
      </c>
      <c r="E273" s="141">
        <f>IFERROR(__xludf.DUMMYFUNCTION("""COMPUTED_VALUE"""),93.08)</f>
        <v/>
      </c>
      <c r="F273" s="141">
        <f>IFERROR(__xludf.DUMMYFUNCTION("""COMPUTED_VALUE"""),93.1)</f>
        <v/>
      </c>
      <c r="G273" s="143">
        <f>IFERROR(__xludf.DUMMYFUNCTION("""COMPUTED_VALUE"""),3428454)</f>
        <v/>
      </c>
      <c r="H273" s="27" t="n"/>
    </row>
    <row r="274" ht="17.25" customHeight="1" s="322">
      <c r="A274" s="27" t="n"/>
      <c r="B274" s="506">
        <f>IFERROR(__xludf.DUMMYFUNCTION("""COMPUTED_VALUE"""),46226.6666666666)</f>
        <v/>
      </c>
      <c r="C274" s="141">
        <f>IFERROR(__xludf.DUMMYFUNCTION("""COMPUTED_VALUE"""),92.8)</f>
        <v/>
      </c>
      <c r="D274" s="141">
        <f>IFERROR(__xludf.DUMMYFUNCTION("""COMPUTED_VALUE"""),92.9)</f>
        <v/>
      </c>
      <c r="E274" s="141">
        <f>IFERROR(__xludf.DUMMYFUNCTION("""COMPUTED_VALUE"""),92.76)</f>
        <v/>
      </c>
      <c r="F274" s="141">
        <f>IFERROR(__xludf.DUMMYFUNCTION("""COMPUTED_VALUE"""),92.85)</f>
        <v/>
      </c>
      <c r="G274" s="143">
        <f>IFERROR(__xludf.DUMMYFUNCTION("""COMPUTED_VALUE"""),5002401)</f>
        <v/>
      </c>
      <c r="H274" s="27" t="n"/>
    </row>
    <row r="275" ht="17.25" customHeight="1" s="322">
      <c r="A275" s="27" t="n"/>
      <c r="B275" s="506">
        <f>IFERROR(__xludf.DUMMYFUNCTION("""COMPUTED_VALUE"""),46227.6666666666)</f>
        <v/>
      </c>
      <c r="C275" s="141">
        <f>IFERROR(__xludf.DUMMYFUNCTION("""COMPUTED_VALUE"""),92.99)</f>
        <v/>
      </c>
      <c r="D275" s="141">
        <f>IFERROR(__xludf.DUMMYFUNCTION("""COMPUTED_VALUE"""),93.22)</f>
        <v/>
      </c>
      <c r="E275" s="141">
        <f>IFERROR(__xludf.DUMMYFUNCTION("""COMPUTED_VALUE"""),92.94)</f>
        <v/>
      </c>
      <c r="F275" s="141">
        <f>IFERROR(__xludf.DUMMYFUNCTION("""COMPUTED_VALUE"""),93.03)</f>
        <v/>
      </c>
      <c r="G275" s="143">
        <f>IFERROR(__xludf.DUMMYFUNCTION("""COMPUTED_VALUE"""),5092967)</f>
        <v/>
      </c>
      <c r="H275" s="27" t="n"/>
    </row>
    <row r="276" ht="17.25" customHeight="1" s="322">
      <c r="A276" s="27" t="n"/>
      <c r="B276" s="506">
        <f>IFERROR(__xludf.DUMMYFUNCTION("""COMPUTED_VALUE"""),46230.6666666666)</f>
        <v/>
      </c>
      <c r="C276" s="141">
        <f>IFERROR(__xludf.DUMMYFUNCTION("""COMPUTED_VALUE"""),93.21)</f>
        <v/>
      </c>
      <c r="D276" s="141">
        <f>IFERROR(__xludf.DUMMYFUNCTION("""COMPUTED_VALUE"""),93.35)</f>
        <v/>
      </c>
      <c r="E276" s="141">
        <f>IFERROR(__xludf.DUMMYFUNCTION("""COMPUTED_VALUE"""),93.14)</f>
        <v/>
      </c>
      <c r="F276" s="141">
        <f>IFERROR(__xludf.DUMMYFUNCTION("""COMPUTED_VALUE"""),93.28)</f>
        <v/>
      </c>
      <c r="G276" s="143">
        <f>IFERROR(__xludf.DUMMYFUNCTION("""COMPUTED_VALUE"""),4046604)</f>
        <v/>
      </c>
      <c r="H276" s="27" t="n"/>
    </row>
    <row r="277" ht="17.25" customHeight="1" s="322">
      <c r="A277" s="27" t="n"/>
      <c r="B277" s="506">
        <f>IFERROR(__xludf.DUMMYFUNCTION("""COMPUTED_VALUE"""),46231.6666666666)</f>
        <v/>
      </c>
      <c r="C277" s="141">
        <f>IFERROR(__xludf.DUMMYFUNCTION("""COMPUTED_VALUE"""),93.37)</f>
        <v/>
      </c>
      <c r="D277" s="141">
        <f>IFERROR(__xludf.DUMMYFUNCTION("""COMPUTED_VALUE"""),93.66)</f>
        <v/>
      </c>
      <c r="E277" s="141">
        <f>IFERROR(__xludf.DUMMYFUNCTION("""COMPUTED_VALUE"""),93.37)</f>
        <v/>
      </c>
      <c r="F277" s="141">
        <f>IFERROR(__xludf.DUMMYFUNCTION("""COMPUTED_VALUE"""),93.56)</f>
        <v/>
      </c>
      <c r="G277" s="143">
        <f>IFERROR(__xludf.DUMMYFUNCTION("""COMPUTED_VALUE"""),3322881)</f>
        <v/>
      </c>
      <c r="H277" s="27" t="n"/>
    </row>
    <row r="278" ht="17.25" customHeight="1" s="322">
      <c r="A278" s="27" t="n"/>
      <c r="B278" s="506">
        <f>IFERROR(__xludf.DUMMYFUNCTION("""COMPUTED_VALUE"""),46232.6666666666)</f>
        <v/>
      </c>
      <c r="C278" s="141">
        <f>IFERROR(__xludf.DUMMYFUNCTION("""COMPUTED_VALUE"""),93.41)</f>
        <v/>
      </c>
      <c r="D278" s="141">
        <f>IFERROR(__xludf.DUMMYFUNCTION("""COMPUTED_VALUE"""),93.53)</f>
        <v/>
      </c>
      <c r="E278" s="141">
        <f>IFERROR(__xludf.DUMMYFUNCTION("""COMPUTED_VALUE"""),93.16)</f>
        <v/>
      </c>
      <c r="F278" s="141">
        <f>IFERROR(__xludf.DUMMYFUNCTION("""COMPUTED_VALUE"""),93.17)</f>
        <v/>
      </c>
      <c r="G278" s="143">
        <f>IFERROR(__xludf.DUMMYFUNCTION("""COMPUTED_VALUE"""),5392562)</f>
        <v/>
      </c>
      <c r="H278" s="27" t="n"/>
    </row>
    <row r="279" ht="17.25" customHeight="1" s="322">
      <c r="A279" s="27" t="n"/>
      <c r="B279" s="506" t="n"/>
      <c r="C279" s="141" t="n"/>
      <c r="D279" s="141" t="n"/>
      <c r="E279" s="141" t="n"/>
      <c r="F279" s="141" t="n"/>
      <c r="G279" s="143" t="n"/>
      <c r="H279" s="27" t="n"/>
    </row>
    <row r="280" ht="17.25" customHeight="1" s="322">
      <c r="A280" s="27" t="n"/>
      <c r="B280" s="506" t="n"/>
      <c r="C280" s="141" t="n"/>
      <c r="D280" s="141" t="n"/>
      <c r="E280" s="141" t="n"/>
      <c r="F280" s="141" t="n"/>
      <c r="G280" s="143" t="n"/>
      <c r="H280" s="27" t="n"/>
    </row>
    <row r="281" ht="17.25" customHeight="1" s="322">
      <c r="A281" s="27" t="n"/>
      <c r="B281" s="506" t="n"/>
      <c r="C281" s="141" t="n"/>
      <c r="D281" s="141" t="n"/>
      <c r="E281" s="141" t="n"/>
      <c r="F281" s="141" t="n"/>
      <c r="G281" s="143" t="n"/>
      <c r="H281" s="27" t="n"/>
    </row>
    <row r="282" ht="17.25" customHeight="1" s="322">
      <c r="A282" s="27" t="n"/>
      <c r="B282" s="506" t="n"/>
      <c r="C282" s="141" t="n"/>
      <c r="D282" s="141" t="n"/>
      <c r="E282" s="141" t="n"/>
      <c r="F282" s="141" t="n"/>
      <c r="G282" s="143" t="n"/>
      <c r="H282" s="27" t="n"/>
    </row>
    <row r="283" ht="17.25" customHeight="1" s="322">
      <c r="A283" s="27" t="n"/>
      <c r="B283" s="506" t="n"/>
      <c r="C283" s="141" t="n"/>
      <c r="D283" s="141" t="n"/>
      <c r="E283" s="141" t="n"/>
      <c r="F283" s="141" t="n"/>
      <c r="G283" s="143" t="n"/>
      <c r="H283" s="27" t="n"/>
    </row>
    <row r="284" ht="17.25" customHeight="1" s="322">
      <c r="A284" s="27" t="n"/>
      <c r="B284" s="506" t="n"/>
      <c r="C284" s="141" t="n"/>
      <c r="D284" s="141" t="n"/>
      <c r="E284" s="141" t="n"/>
      <c r="F284" s="141" t="n"/>
      <c r="G284" s="143" t="n"/>
      <c r="H284" s="27" t="n"/>
    </row>
    <row r="285" ht="17.25" customHeight="1" s="322">
      <c r="A285" s="27" t="n"/>
      <c r="B285" s="506" t="n"/>
      <c r="C285" s="141" t="n"/>
      <c r="D285" s="141" t="n"/>
      <c r="E285" s="141" t="n"/>
      <c r="F285" s="141" t="n"/>
      <c r="G285" s="143" t="n"/>
      <c r="H285" s="27" t="n"/>
    </row>
    <row r="286" ht="17.25" customHeight="1" s="322">
      <c r="A286" s="27" t="n"/>
      <c r="B286" s="506" t="n"/>
      <c r="C286" s="141" t="n"/>
      <c r="D286" s="141" t="n"/>
      <c r="E286" s="141" t="n"/>
      <c r="F286" s="141" t="n"/>
      <c r="G286" s="143" t="n"/>
      <c r="H286" s="27" t="n"/>
    </row>
    <row r="287" ht="17.25" customHeight="1" s="322">
      <c r="A287" s="27" t="n"/>
      <c r="B287" s="506" t="n"/>
      <c r="C287" s="141" t="n"/>
      <c r="D287" s="141" t="n"/>
      <c r="E287" s="141" t="n"/>
      <c r="F287" s="141" t="n"/>
      <c r="G287" s="143" t="n"/>
      <c r="H287" s="27" t="n"/>
    </row>
    <row r="288" ht="17.25" customHeight="1" s="322">
      <c r="A288" s="27" t="n"/>
      <c r="B288" s="506" t="n"/>
      <c r="C288" s="141" t="n"/>
      <c r="D288" s="141" t="n"/>
      <c r="E288" s="141" t="n"/>
      <c r="F288" s="141" t="n"/>
      <c r="G288" s="143" t="n"/>
      <c r="H288" s="27" t="n"/>
    </row>
    <row r="289" ht="17.25" customHeight="1" s="322">
      <c r="A289" s="27" t="n"/>
      <c r="B289" s="506" t="n"/>
      <c r="C289" s="141" t="n"/>
      <c r="D289" s="141" t="n"/>
      <c r="E289" s="141" t="n"/>
      <c r="F289" s="141" t="n"/>
      <c r="G289" s="143" t="n"/>
      <c r="H289" s="27" t="n"/>
    </row>
    <row r="290" ht="17.25" customHeight="1" s="322">
      <c r="A290" s="27" t="n"/>
      <c r="B290" s="506" t="n"/>
      <c r="C290" s="141" t="n"/>
      <c r="D290" s="141" t="n"/>
      <c r="E290" s="141" t="n"/>
      <c r="F290" s="141" t="n"/>
      <c r="G290" s="143" t="n"/>
      <c r="H290" s="27" t="n"/>
    </row>
    <row r="291" ht="17.25" customHeight="1" s="322">
      <c r="A291" s="27" t="n"/>
      <c r="B291" s="506" t="n"/>
      <c r="C291" s="141" t="n"/>
      <c r="D291" s="141" t="n"/>
      <c r="E291" s="141" t="n"/>
      <c r="F291" s="141" t="n"/>
      <c r="G291" s="143" t="n"/>
      <c r="H291" s="27" t="n"/>
    </row>
    <row r="292" ht="17.25" customHeight="1" s="322">
      <c r="A292" s="27" t="n"/>
      <c r="B292" s="506" t="n"/>
      <c r="C292" s="141" t="n"/>
      <c r="D292" s="141" t="n"/>
      <c r="E292" s="141" t="n"/>
      <c r="F292" s="141" t="n"/>
      <c r="G292" s="143" t="n"/>
      <c r="H292" s="27" t="n"/>
    </row>
    <row r="293" ht="17.25" customHeight="1" s="322">
      <c r="A293" s="27" t="n"/>
      <c r="B293" s="506" t="n"/>
      <c r="C293" s="141" t="n"/>
      <c r="D293" s="141" t="n"/>
      <c r="E293" s="141" t="n"/>
      <c r="F293" s="141" t="n"/>
      <c r="G293" s="143" t="n"/>
      <c r="H293" s="27" t="n"/>
    </row>
    <row r="294" ht="17.25" customHeight="1" s="322">
      <c r="A294" s="27" t="n"/>
      <c r="B294" s="506" t="n"/>
      <c r="C294" s="141" t="n"/>
      <c r="D294" s="141" t="n"/>
      <c r="E294" s="141" t="n"/>
      <c r="F294" s="141" t="n"/>
      <c r="G294" s="143" t="n"/>
      <c r="H294" s="27" t="n"/>
    </row>
    <row r="295" ht="17.25" customHeight="1" s="322">
      <c r="A295" s="27" t="n"/>
      <c r="B295" s="506" t="n"/>
      <c r="C295" s="141" t="n"/>
      <c r="D295" s="141" t="n"/>
      <c r="E295" s="141" t="n"/>
      <c r="F295" s="141" t="n"/>
      <c r="G295" s="143" t="n"/>
      <c r="H295" s="27" t="n"/>
    </row>
    <row r="296" ht="17.25" customHeight="1" s="322">
      <c r="A296" s="27" t="n"/>
      <c r="B296" s="506" t="n"/>
      <c r="C296" s="141" t="n"/>
      <c r="D296" s="141" t="n"/>
      <c r="E296" s="141" t="n"/>
      <c r="F296" s="141" t="n"/>
      <c r="G296" s="143" t="n"/>
      <c r="H296" s="27" t="n"/>
    </row>
    <row r="297" ht="17.25" customHeight="1" s="322">
      <c r="A297" s="27" t="n"/>
      <c r="B297" s="506" t="n"/>
      <c r="C297" s="141" t="n"/>
      <c r="D297" s="141" t="n"/>
      <c r="E297" s="141" t="n"/>
      <c r="F297" s="141" t="n"/>
      <c r="G297" s="143" t="n"/>
      <c r="H297" s="27" t="n"/>
    </row>
    <row r="298" ht="17.25" customHeight="1" s="322">
      <c r="A298" s="27" t="n"/>
      <c r="B298" s="506" t="n"/>
      <c r="C298" s="141" t="n"/>
      <c r="D298" s="141" t="n"/>
      <c r="E298" s="141" t="n"/>
      <c r="F298" s="141" t="n"/>
      <c r="G298" s="143" t="n"/>
      <c r="H298" s="27" t="n"/>
    </row>
    <row r="299" ht="17.25" customHeight="1" s="322">
      <c r="A299" s="27" t="n"/>
      <c r="B299" s="506" t="n"/>
      <c r="C299" s="141" t="n"/>
      <c r="D299" s="141" t="n"/>
      <c r="E299" s="141" t="n"/>
      <c r="F299" s="141" t="n"/>
      <c r="G299" s="143" t="n"/>
      <c r="H299" s="27" t="n"/>
    </row>
    <row r="300" ht="17.25" customHeight="1" s="322">
      <c r="A300" s="27" t="n"/>
      <c r="B300" s="506" t="n"/>
      <c r="C300" s="141" t="n"/>
      <c r="D300" s="141" t="n"/>
      <c r="E300" s="141" t="n"/>
      <c r="F300" s="141" t="n"/>
      <c r="G300" s="143" t="n"/>
      <c r="H300" s="27" t="n"/>
    </row>
    <row r="301" ht="17.25" customHeight="1" s="322">
      <c r="A301" s="27" t="n"/>
      <c r="B301" s="506" t="n"/>
      <c r="C301" s="141" t="n"/>
      <c r="D301" s="141" t="n"/>
      <c r="E301" s="141" t="n"/>
      <c r="F301" s="141" t="n"/>
      <c r="G301" s="143" t="n"/>
      <c r="H301" s="27" t="n"/>
    </row>
    <row r="302" ht="17.25" customHeight="1" s="322">
      <c r="A302" s="27" t="n"/>
      <c r="B302" s="506" t="n"/>
      <c r="C302" s="141" t="n"/>
      <c r="D302" s="141" t="n"/>
      <c r="E302" s="141" t="n"/>
      <c r="F302" s="141" t="n"/>
      <c r="G302" s="143" t="n"/>
      <c r="H302" s="27" t="n"/>
    </row>
    <row r="303" ht="17.25" customHeight="1" s="322">
      <c r="A303" s="27" t="n"/>
      <c r="B303" s="506" t="n"/>
      <c r="C303" s="141" t="n"/>
      <c r="D303" s="141" t="n"/>
      <c r="E303" s="141" t="n"/>
      <c r="F303" s="141" t="n"/>
      <c r="G303" s="143" t="n"/>
      <c r="H303" s="27" t="n"/>
    </row>
    <row r="304" ht="17.25" customHeight="1" s="322">
      <c r="A304" s="27" t="n"/>
      <c r="B304" s="506" t="n"/>
      <c r="C304" s="141" t="n"/>
      <c r="D304" s="141" t="n"/>
      <c r="E304" s="141" t="n"/>
      <c r="F304" s="141" t="n"/>
      <c r="G304" s="143" t="n"/>
      <c r="H304" s="27" t="n"/>
    </row>
    <row r="305" ht="17.25" customHeight="1" s="322">
      <c r="A305" s="27" t="n"/>
      <c r="B305" s="506" t="n"/>
      <c r="C305" s="141" t="n"/>
      <c r="D305" s="141" t="n"/>
      <c r="E305" s="141" t="n"/>
      <c r="F305" s="141" t="n"/>
      <c r="G305" s="143" t="n"/>
      <c r="H305" s="27" t="n"/>
    </row>
    <row r="306" ht="17.25" customHeight="1" s="322">
      <c r="A306" s="27" t="n"/>
      <c r="B306" s="506" t="n"/>
      <c r="C306" s="141" t="n"/>
      <c r="D306" s="141" t="n"/>
      <c r="E306" s="141" t="n"/>
      <c r="F306" s="141" t="n"/>
      <c r="G306" s="143" t="n"/>
      <c r="H306" s="27" t="n"/>
    </row>
    <row r="307" ht="17.25" customHeight="1" s="322">
      <c r="A307" s="27" t="n"/>
      <c r="B307" s="506" t="n"/>
      <c r="C307" s="141" t="n"/>
      <c r="D307" s="141" t="n"/>
      <c r="E307" s="141" t="n"/>
      <c r="F307" s="141" t="n"/>
      <c r="G307" s="143" t="n"/>
      <c r="H307" s="27" t="n"/>
    </row>
    <row r="308" ht="17.25" customHeight="1" s="322">
      <c r="A308" s="27" t="n"/>
      <c r="B308" s="506" t="n"/>
      <c r="C308" s="141" t="n"/>
      <c r="D308" s="141" t="n"/>
      <c r="E308" s="141" t="n"/>
      <c r="F308" s="141" t="n"/>
      <c r="G308" s="143" t="n"/>
      <c r="H308" s="27" t="n"/>
    </row>
    <row r="309" ht="17.25" customHeight="1" s="322">
      <c r="A309" s="27" t="n"/>
      <c r="B309" s="506" t="n"/>
      <c r="C309" s="141" t="n"/>
      <c r="D309" s="141" t="n"/>
      <c r="E309" s="141" t="n"/>
      <c r="F309" s="141" t="n"/>
      <c r="G309" s="143" t="n"/>
      <c r="H309" s="27" t="n"/>
    </row>
    <row r="310" ht="17.25" customHeight="1" s="322">
      <c r="A310" s="27" t="n"/>
      <c r="B310" s="506" t="n"/>
      <c r="C310" s="141" t="n"/>
      <c r="D310" s="141" t="n"/>
      <c r="E310" s="141" t="n"/>
      <c r="F310" s="141" t="n"/>
      <c r="G310" s="143" t="n"/>
      <c r="H310" s="27" t="n"/>
    </row>
    <row r="311" ht="17.25" customHeight="1" s="322">
      <c r="A311" s="27" t="n"/>
      <c r="B311" s="506" t="n"/>
      <c r="C311" s="141" t="n"/>
      <c r="D311" s="141" t="n"/>
      <c r="E311" s="141" t="n"/>
      <c r="F311" s="141" t="n"/>
      <c r="G311" s="143" t="n"/>
      <c r="H311" s="27" t="n"/>
    </row>
    <row r="312" ht="17.25" customHeight="1" s="322">
      <c r="A312" s="27" t="n"/>
      <c r="B312" s="506" t="n"/>
      <c r="C312" s="141" t="n"/>
      <c r="D312" s="141" t="n"/>
      <c r="E312" s="141" t="n"/>
      <c r="F312" s="141" t="n"/>
      <c r="G312" s="143" t="n"/>
      <c r="H312" s="27" t="n"/>
    </row>
    <row r="313" ht="17.25" customHeight="1" s="322">
      <c r="A313" s="27" t="n"/>
      <c r="B313" s="506" t="n"/>
      <c r="C313" s="141" t="n"/>
      <c r="D313" s="141" t="n"/>
      <c r="E313" s="141" t="n"/>
      <c r="F313" s="141" t="n"/>
      <c r="G313" s="143" t="n"/>
      <c r="H313" s="27" t="n"/>
    </row>
    <row r="314" ht="17.25" customHeight="1" s="322">
      <c r="A314" s="27" t="n"/>
      <c r="B314" s="506" t="n"/>
      <c r="C314" s="141" t="n"/>
      <c r="D314" s="141" t="n"/>
      <c r="E314" s="141" t="n"/>
      <c r="F314" s="141" t="n"/>
      <c r="G314" s="143" t="n"/>
      <c r="H314" s="27" t="n"/>
    </row>
    <row r="315" ht="17.25" customHeight="1" s="322">
      <c r="A315" s="27" t="n"/>
      <c r="B315" s="506" t="n"/>
      <c r="C315" s="141" t="n"/>
      <c r="D315" s="141" t="n"/>
      <c r="E315" s="141" t="n"/>
      <c r="F315" s="141" t="n"/>
      <c r="G315" s="143" t="n"/>
      <c r="H315" s="27" t="n"/>
    </row>
    <row r="316" ht="17.25" customHeight="1" s="322">
      <c r="A316" s="27" t="n"/>
      <c r="B316" s="506" t="n"/>
      <c r="C316" s="141" t="n"/>
      <c r="D316" s="141" t="n"/>
      <c r="E316" s="141" t="n"/>
      <c r="F316" s="141" t="n"/>
      <c r="G316" s="143" t="n"/>
      <c r="H316" s="27" t="n"/>
    </row>
    <row r="317" ht="17.25" customHeight="1" s="322">
      <c r="A317" s="27" t="n"/>
      <c r="B317" s="506" t="n"/>
      <c r="C317" s="141" t="n"/>
      <c r="D317" s="141" t="n"/>
      <c r="E317" s="141" t="n"/>
      <c r="F317" s="141" t="n"/>
      <c r="G317" s="143" t="n"/>
      <c r="H317" s="27" t="n"/>
    </row>
    <row r="318" ht="17.25" customHeight="1" s="322">
      <c r="A318" s="27" t="n"/>
      <c r="B318" s="506" t="n"/>
      <c r="C318" s="141" t="n"/>
      <c r="D318" s="141" t="n"/>
      <c r="E318" s="141" t="n"/>
      <c r="F318" s="141" t="n"/>
      <c r="G318" s="143" t="n"/>
      <c r="H318" s="27" t="n"/>
    </row>
    <row r="319" ht="17.25" customHeight="1" s="322">
      <c r="A319" s="27" t="n"/>
      <c r="B319" s="506" t="n"/>
      <c r="C319" s="141" t="n"/>
      <c r="D319" s="141" t="n"/>
      <c r="E319" s="141" t="n"/>
      <c r="F319" s="141" t="n"/>
      <c r="G319" s="143" t="n"/>
      <c r="H319" s="27" t="n"/>
    </row>
    <row r="320" ht="17.25" customHeight="1" s="322">
      <c r="A320" s="27" t="n"/>
      <c r="B320" s="506" t="n"/>
      <c r="C320" s="141" t="n"/>
      <c r="D320" s="141" t="n"/>
      <c r="E320" s="141" t="n"/>
      <c r="F320" s="141" t="n"/>
      <c r="G320" s="143" t="n"/>
      <c r="H320" s="27" t="n"/>
    </row>
    <row r="321" ht="17.25" customHeight="1" s="322">
      <c r="A321" s="27" t="n"/>
      <c r="B321" s="506" t="n"/>
      <c r="C321" s="141" t="n"/>
      <c r="D321" s="141" t="n"/>
      <c r="E321" s="141" t="n"/>
      <c r="F321" s="141" t="n"/>
      <c r="G321" s="143" t="n"/>
      <c r="H321" s="27" t="n"/>
    </row>
    <row r="322" ht="17.25" customHeight="1" s="322">
      <c r="A322" s="27" t="n"/>
      <c r="B322" s="506" t="n"/>
      <c r="C322" s="141" t="n"/>
      <c r="D322" s="141" t="n"/>
      <c r="E322" s="141" t="n"/>
      <c r="F322" s="141" t="n"/>
      <c r="G322" s="143" t="n"/>
      <c r="H322" s="27" t="n"/>
    </row>
    <row r="323" ht="17.25" customHeight="1" s="322">
      <c r="A323" s="27" t="n"/>
      <c r="B323" s="506" t="n"/>
      <c r="C323" s="141" t="n"/>
      <c r="D323" s="141" t="n"/>
      <c r="E323" s="141" t="n"/>
      <c r="F323" s="141" t="n"/>
      <c r="G323" s="143" t="n"/>
      <c r="H323" s="27" t="n"/>
    </row>
    <row r="324" ht="17.25" customHeight="1" s="322">
      <c r="A324" s="27" t="n"/>
      <c r="B324" s="506" t="n"/>
      <c r="C324" s="141" t="n"/>
      <c r="D324" s="141" t="n"/>
      <c r="E324" s="141" t="n"/>
      <c r="F324" s="141" t="n"/>
      <c r="G324" s="143" t="n"/>
      <c r="H324" s="27" t="n"/>
    </row>
    <row r="325" ht="17.25" customHeight="1" s="322">
      <c r="A325" s="27" t="n"/>
      <c r="B325" s="506" t="n"/>
      <c r="C325" s="141" t="n"/>
      <c r="D325" s="141" t="n"/>
      <c r="E325" s="141" t="n"/>
      <c r="F325" s="141" t="n"/>
      <c r="G325" s="143" t="n"/>
      <c r="H325" s="27" t="n"/>
    </row>
    <row r="326" ht="17.25" customHeight="1" s="322">
      <c r="A326" s="27" t="n"/>
      <c r="B326" s="506" t="n"/>
      <c r="C326" s="141" t="n"/>
      <c r="D326" s="141" t="n"/>
      <c r="E326" s="141" t="n"/>
      <c r="F326" s="141" t="n"/>
      <c r="G326" s="143" t="n"/>
      <c r="H326" s="27" t="n"/>
    </row>
    <row r="327" ht="17.25" customHeight="1" s="322">
      <c r="A327" s="27" t="n"/>
      <c r="B327" s="506" t="n"/>
      <c r="C327" s="141" t="n"/>
      <c r="D327" s="141" t="n"/>
      <c r="E327" s="141" t="n"/>
      <c r="F327" s="141" t="n"/>
      <c r="G327" s="143" t="n"/>
      <c r="H327" s="27" t="n"/>
    </row>
    <row r="328" ht="17.25" customHeight="1" s="322">
      <c r="A328" s="27" t="n"/>
      <c r="B328" s="506" t="n"/>
      <c r="C328" s="141" t="n"/>
      <c r="D328" s="141" t="n"/>
      <c r="E328" s="141" t="n"/>
      <c r="F328" s="141" t="n"/>
      <c r="G328" s="143" t="n"/>
      <c r="H328" s="27" t="n"/>
    </row>
    <row r="329" ht="17.25" customHeight="1" s="322">
      <c r="A329" s="27" t="n"/>
      <c r="B329" s="506" t="n"/>
      <c r="C329" s="141" t="n"/>
      <c r="D329" s="141" t="n"/>
      <c r="E329" s="141" t="n"/>
      <c r="F329" s="141" t="n"/>
      <c r="G329" s="143" t="n"/>
      <c r="H329" s="27" t="n"/>
    </row>
    <row r="330" ht="17.25" customHeight="1" s="322">
      <c r="A330" s="27" t="n"/>
      <c r="B330" s="506" t="n"/>
      <c r="C330" s="141" t="n"/>
      <c r="D330" s="141" t="n"/>
      <c r="E330" s="141" t="n"/>
      <c r="F330" s="141" t="n"/>
      <c r="G330" s="143" t="n"/>
      <c r="H330" s="27" t="n"/>
    </row>
    <row r="331" ht="17.25" customHeight="1" s="322">
      <c r="A331" s="27" t="n"/>
      <c r="B331" s="506" t="n"/>
      <c r="C331" s="141" t="n"/>
      <c r="D331" s="141" t="n"/>
      <c r="E331" s="141" t="n"/>
      <c r="F331" s="141" t="n"/>
      <c r="G331" s="143" t="n"/>
      <c r="H331" s="27" t="n"/>
    </row>
    <row r="332" ht="17.25" customHeight="1" s="322">
      <c r="A332" s="27" t="n"/>
      <c r="B332" s="506" t="n"/>
      <c r="C332" s="141" t="n"/>
      <c r="D332" s="141" t="n"/>
      <c r="E332" s="141" t="n"/>
      <c r="F332" s="141" t="n"/>
      <c r="G332" s="143" t="n"/>
      <c r="H332" s="27" t="n"/>
    </row>
    <row r="333" ht="17.25" customHeight="1" s="322">
      <c r="A333" s="27" t="n"/>
      <c r="B333" s="506" t="n"/>
      <c r="C333" s="141" t="n"/>
      <c r="D333" s="141" t="n"/>
      <c r="E333" s="141" t="n"/>
      <c r="F333" s="141" t="n"/>
      <c r="G333" s="143" t="n"/>
      <c r="H333" s="27" t="n"/>
    </row>
    <row r="334" ht="17.25" customHeight="1" s="322">
      <c r="A334" s="27" t="n"/>
      <c r="B334" s="506" t="n"/>
      <c r="C334" s="141" t="n"/>
      <c r="D334" s="141" t="n"/>
      <c r="E334" s="141" t="n"/>
      <c r="F334" s="141" t="n"/>
      <c r="G334" s="143" t="n"/>
      <c r="H334" s="27" t="n"/>
    </row>
    <row r="335" ht="17.25" customHeight="1" s="322">
      <c r="A335" s="27" t="n"/>
      <c r="B335" s="506" t="n"/>
      <c r="C335" s="141" t="n"/>
      <c r="D335" s="141" t="n"/>
      <c r="E335" s="141" t="n"/>
      <c r="F335" s="141" t="n"/>
      <c r="G335" s="143" t="n"/>
      <c r="H335" s="27" t="n"/>
    </row>
    <row r="336" ht="17.25" customHeight="1" s="322">
      <c r="A336" s="27" t="n"/>
      <c r="B336" s="506" t="n"/>
      <c r="C336" s="141" t="n"/>
      <c r="D336" s="141" t="n"/>
      <c r="E336" s="141" t="n"/>
      <c r="F336" s="141" t="n"/>
      <c r="G336" s="143" t="n"/>
      <c r="H336" s="27" t="n"/>
    </row>
    <row r="337" ht="17.25" customHeight="1" s="322">
      <c r="A337" s="27" t="n"/>
      <c r="B337" s="506" t="n"/>
      <c r="C337" s="141" t="n"/>
      <c r="D337" s="141" t="n"/>
      <c r="E337" s="141" t="n"/>
      <c r="F337" s="141" t="n"/>
      <c r="G337" s="143" t="n"/>
      <c r="H337" s="27" t="n"/>
    </row>
    <row r="338" ht="17.25" customHeight="1" s="322">
      <c r="A338" s="27" t="n"/>
      <c r="B338" s="506" t="n"/>
      <c r="C338" s="141" t="n"/>
      <c r="D338" s="141" t="n"/>
      <c r="E338" s="141" t="n"/>
      <c r="F338" s="141" t="n"/>
      <c r="G338" s="143" t="n"/>
      <c r="H338" s="27" t="n"/>
    </row>
    <row r="339" ht="17.25" customHeight="1" s="322">
      <c r="A339" s="27" t="n"/>
      <c r="B339" s="506" t="n"/>
      <c r="C339" s="141" t="n"/>
      <c r="D339" s="141" t="n"/>
      <c r="E339" s="141" t="n"/>
      <c r="F339" s="141" t="n"/>
      <c r="G339" s="143" t="n"/>
      <c r="H339" s="27" t="n"/>
    </row>
    <row r="340" ht="17.25" customHeight="1" s="322">
      <c r="A340" s="27" t="n"/>
      <c r="B340" s="506" t="n"/>
      <c r="C340" s="141" t="n"/>
      <c r="D340" s="141" t="n"/>
      <c r="E340" s="141" t="n"/>
      <c r="F340" s="141" t="n"/>
      <c r="G340" s="143" t="n"/>
      <c r="H340" s="27" t="n"/>
    </row>
    <row r="341" ht="17.25" customHeight="1" s="322">
      <c r="A341" s="27" t="n"/>
      <c r="B341" s="506" t="n"/>
      <c r="C341" s="141" t="n"/>
      <c r="D341" s="141" t="n"/>
      <c r="E341" s="141" t="n"/>
      <c r="F341" s="141" t="n"/>
      <c r="G341" s="143" t="n"/>
      <c r="H341" s="27" t="n"/>
    </row>
    <row r="342" ht="17.25" customHeight="1" s="322">
      <c r="A342" s="27" t="n"/>
      <c r="B342" s="506" t="n"/>
      <c r="C342" s="141" t="n"/>
      <c r="D342" s="141" t="n"/>
      <c r="E342" s="141" t="n"/>
      <c r="F342" s="141" t="n"/>
      <c r="G342" s="143" t="n"/>
      <c r="H342" s="27" t="n"/>
    </row>
    <row r="343" ht="17.25" customHeight="1" s="322">
      <c r="A343" s="27" t="n"/>
      <c r="B343" s="506" t="n"/>
      <c r="C343" s="141" t="n"/>
      <c r="D343" s="141" t="n"/>
      <c r="E343" s="141" t="n"/>
      <c r="F343" s="141" t="n"/>
      <c r="G343" s="143" t="n"/>
      <c r="H343" s="27" t="n"/>
    </row>
    <row r="344" ht="17.25" customHeight="1" s="322">
      <c r="A344" s="27" t="n"/>
      <c r="B344" s="506" t="n"/>
      <c r="C344" s="141" t="n"/>
      <c r="D344" s="141" t="n"/>
      <c r="E344" s="141" t="n"/>
      <c r="F344" s="141" t="n"/>
      <c r="G344" s="143" t="n"/>
      <c r="H344" s="27" t="n"/>
    </row>
    <row r="345" ht="17.25" customHeight="1" s="322">
      <c r="A345" s="27" t="n"/>
      <c r="B345" s="506" t="n"/>
      <c r="C345" s="141" t="n"/>
      <c r="D345" s="141" t="n"/>
      <c r="E345" s="141" t="n"/>
      <c r="F345" s="141" t="n"/>
      <c r="G345" s="143" t="n"/>
      <c r="H345" s="27" t="n"/>
    </row>
    <row r="346" ht="17.25" customHeight="1" s="322">
      <c r="A346" s="27" t="n"/>
      <c r="B346" s="506" t="n"/>
      <c r="C346" s="141" t="n"/>
      <c r="D346" s="141" t="n"/>
      <c r="E346" s="141" t="n"/>
      <c r="F346" s="141" t="n"/>
      <c r="G346" s="143" t="n"/>
      <c r="H346" s="27" t="n"/>
    </row>
    <row r="347" ht="17.25" customHeight="1" s="322">
      <c r="A347" s="27" t="n"/>
      <c r="B347" s="506" t="n"/>
      <c r="C347" s="141" t="n"/>
      <c r="D347" s="141" t="n"/>
      <c r="E347" s="141" t="n"/>
      <c r="F347" s="141" t="n"/>
      <c r="G347" s="143" t="n"/>
      <c r="H347" s="27" t="n"/>
    </row>
    <row r="348" ht="17.25" customHeight="1" s="322">
      <c r="A348" s="27" t="n"/>
      <c r="B348" s="506" t="n"/>
      <c r="C348" s="141" t="n"/>
      <c r="D348" s="141" t="n"/>
      <c r="E348" s="141" t="n"/>
      <c r="F348" s="141" t="n"/>
      <c r="G348" s="143" t="n"/>
      <c r="H348" s="27" t="n"/>
    </row>
    <row r="349" ht="17.25" customHeight="1" s="322">
      <c r="A349" s="27" t="n"/>
      <c r="B349" s="506" t="n"/>
      <c r="C349" s="141" t="n"/>
      <c r="D349" s="141" t="n"/>
      <c r="E349" s="141" t="n"/>
      <c r="F349" s="141" t="n"/>
      <c r="G349" s="143" t="n"/>
      <c r="H349" s="27" t="n"/>
    </row>
    <row r="350" ht="17.25" customHeight="1" s="322">
      <c r="A350" s="27" t="n"/>
      <c r="B350" s="506" t="n"/>
      <c r="C350" s="141" t="n"/>
      <c r="D350" s="141" t="n"/>
      <c r="E350" s="141" t="n"/>
      <c r="F350" s="141" t="n"/>
      <c r="G350" s="143" t="n"/>
      <c r="H350" s="27" t="n"/>
    </row>
    <row r="351" ht="17.25" customHeight="1" s="322">
      <c r="A351" s="27" t="n"/>
      <c r="B351" s="506" t="n"/>
      <c r="C351" s="141" t="n"/>
      <c r="D351" s="141" t="n"/>
      <c r="E351" s="141" t="n"/>
      <c r="F351" s="141" t="n"/>
      <c r="G351" s="143" t="n"/>
      <c r="H351" s="27" t="n"/>
    </row>
    <row r="352" ht="17.25" customHeight="1" s="322">
      <c r="A352" s="27" t="n"/>
      <c r="B352" s="506" t="n"/>
      <c r="C352" s="141" t="n"/>
      <c r="D352" s="141" t="n"/>
      <c r="E352" s="141" t="n"/>
      <c r="F352" s="141" t="n"/>
      <c r="G352" s="143" t="n"/>
      <c r="H352" s="27" t="n"/>
    </row>
    <row r="353" ht="17.25" customHeight="1" s="322">
      <c r="A353" s="27" t="n"/>
      <c r="B353" s="506" t="n"/>
      <c r="C353" s="141" t="n"/>
      <c r="D353" s="141" t="n"/>
      <c r="E353" s="141" t="n"/>
      <c r="F353" s="141" t="n"/>
      <c r="G353" s="143" t="n"/>
      <c r="H353" s="27" t="n"/>
    </row>
    <row r="354" ht="17.25" customHeight="1" s="322">
      <c r="A354" s="27" t="n"/>
      <c r="B354" s="506" t="n"/>
      <c r="C354" s="141" t="n"/>
      <c r="D354" s="141" t="n"/>
      <c r="E354" s="141" t="n"/>
      <c r="F354" s="141" t="n"/>
      <c r="G354" s="143" t="n"/>
      <c r="H354" s="27" t="n"/>
    </row>
    <row r="355" ht="17.25" customHeight="1" s="322">
      <c r="A355" s="27" t="n"/>
      <c r="B355" s="506" t="n"/>
      <c r="C355" s="141" t="n"/>
      <c r="D355" s="141" t="n"/>
      <c r="E355" s="141" t="n"/>
      <c r="F355" s="141" t="n"/>
      <c r="G355" s="143" t="n"/>
      <c r="H355" s="27" t="n"/>
    </row>
    <row r="356" ht="17.25" customHeight="1" s="322">
      <c r="A356" s="27" t="n"/>
      <c r="B356" s="506" t="n"/>
      <c r="C356" s="141" t="n"/>
      <c r="D356" s="141" t="n"/>
      <c r="E356" s="141" t="n"/>
      <c r="F356" s="141" t="n"/>
      <c r="G356" s="143" t="n"/>
      <c r="H356" s="27" t="n"/>
    </row>
    <row r="357" ht="17.25" customHeight="1" s="322">
      <c r="A357" s="27" t="n"/>
      <c r="B357" s="506" t="n"/>
      <c r="C357" s="141" t="n"/>
      <c r="D357" s="141" t="n"/>
      <c r="E357" s="141" t="n"/>
      <c r="F357" s="141" t="n"/>
      <c r="G357" s="143" t="n"/>
      <c r="H357" s="27" t="n"/>
    </row>
    <row r="358" ht="17.25" customHeight="1" s="322">
      <c r="A358" s="27" t="n"/>
      <c r="B358" s="506" t="n"/>
      <c r="C358" s="141" t="n"/>
      <c r="D358" s="141" t="n"/>
      <c r="E358" s="141" t="n"/>
      <c r="F358" s="141" t="n"/>
      <c r="G358" s="143" t="n"/>
      <c r="H358" s="27" t="n"/>
    </row>
    <row r="359" ht="17.25" customHeight="1" s="322">
      <c r="A359" s="27" t="n"/>
      <c r="B359" s="506" t="n"/>
      <c r="C359" s="141" t="n"/>
      <c r="D359" s="141" t="n"/>
      <c r="E359" s="141" t="n"/>
      <c r="F359" s="141" t="n"/>
      <c r="G359" s="143" t="n"/>
      <c r="H359" s="27" t="n"/>
    </row>
    <row r="360" ht="17.25" customHeight="1" s="322">
      <c r="A360" s="27" t="n"/>
      <c r="B360" s="506" t="n"/>
      <c r="C360" s="141" t="n"/>
      <c r="D360" s="141" t="n"/>
      <c r="E360" s="141" t="n"/>
      <c r="F360" s="141" t="n"/>
      <c r="G360" s="143" t="n"/>
      <c r="H360" s="27" t="n"/>
    </row>
    <row r="361" ht="17.25" customHeight="1" s="322">
      <c r="A361" s="27" t="n"/>
      <c r="B361" s="506" t="n"/>
      <c r="C361" s="141" t="n"/>
      <c r="D361" s="141" t="n"/>
      <c r="E361" s="141" t="n"/>
      <c r="F361" s="141" t="n"/>
      <c r="G361" s="143" t="n"/>
      <c r="H361" s="27" t="n"/>
    </row>
    <row r="362" ht="17.25" customHeight="1" s="322">
      <c r="A362" s="27" t="n"/>
      <c r="B362" s="506" t="n"/>
      <c r="C362" s="141" t="n"/>
      <c r="D362" s="141" t="n"/>
      <c r="E362" s="141" t="n"/>
      <c r="F362" s="141" t="n"/>
      <c r="G362" s="143" t="n"/>
      <c r="H362" s="27" t="n"/>
    </row>
    <row r="363" ht="17.25" customHeight="1" s="322">
      <c r="A363" s="27" t="n"/>
      <c r="B363" s="506" t="n"/>
      <c r="C363" s="141" t="n"/>
      <c r="D363" s="141" t="n"/>
      <c r="E363" s="141" t="n"/>
      <c r="F363" s="141" t="n"/>
      <c r="G363" s="143" t="n"/>
      <c r="H363" s="27" t="n"/>
    </row>
    <row r="364" ht="17.25" customHeight="1" s="322">
      <c r="A364" s="27" t="n"/>
      <c r="B364" s="506" t="n"/>
      <c r="C364" s="141" t="n"/>
      <c r="D364" s="141" t="n"/>
      <c r="E364" s="141" t="n"/>
      <c r="F364" s="141" t="n"/>
      <c r="G364" s="143" t="n"/>
      <c r="H364" s="27" t="n"/>
    </row>
    <row r="365" ht="17.25" customHeight="1" s="322">
      <c r="A365" s="27" t="n"/>
      <c r="B365" s="506" t="n"/>
      <c r="C365" s="141" t="n"/>
      <c r="D365" s="141" t="n"/>
      <c r="E365" s="141" t="n"/>
      <c r="F365" s="141" t="n"/>
      <c r="G365" s="143" t="n"/>
      <c r="H365" s="27" t="n"/>
    </row>
    <row r="366" ht="17.25" customHeight="1" s="322">
      <c r="A366" s="27" t="n"/>
      <c r="B366" s="506" t="n"/>
      <c r="C366" s="141" t="n"/>
      <c r="D366" s="141" t="n"/>
      <c r="E366" s="141" t="n"/>
      <c r="F366" s="141" t="n"/>
      <c r="G366" s="143" t="n"/>
      <c r="H366" s="27" t="n"/>
    </row>
    <row r="367" ht="17.25" customHeight="1" s="322">
      <c r="A367" s="27" t="n"/>
      <c r="B367" s="506" t="n"/>
      <c r="C367" s="141" t="n"/>
      <c r="D367" s="141" t="n"/>
      <c r="E367" s="141" t="n"/>
      <c r="F367" s="141" t="n"/>
      <c r="G367" s="143" t="n"/>
      <c r="H367" s="27" t="n"/>
    </row>
    <row r="368" ht="17.25" customHeight="1" s="322">
      <c r="A368" s="27" t="n"/>
      <c r="B368" s="506" t="n"/>
      <c r="C368" s="141" t="n"/>
      <c r="D368" s="141" t="n"/>
      <c r="E368" s="141" t="n"/>
      <c r="F368" s="141" t="n"/>
      <c r="G368" s="143" t="n"/>
      <c r="H368" s="27" t="n"/>
    </row>
    <row r="369" ht="17.25" customHeight="1" s="322">
      <c r="A369" s="27" t="n"/>
      <c r="B369" s="506" t="n"/>
      <c r="C369" s="141" t="n"/>
      <c r="D369" s="141" t="n"/>
      <c r="E369" s="141" t="n"/>
      <c r="F369" s="141" t="n"/>
      <c r="G369" s="143" t="n"/>
      <c r="H369" s="27" t="n"/>
    </row>
    <row r="370" ht="17.25" customHeight="1" s="322">
      <c r="A370" s="27" t="n"/>
      <c r="B370" s="506" t="n"/>
      <c r="C370" s="141" t="n"/>
      <c r="D370" s="141" t="n"/>
      <c r="E370" s="141" t="n"/>
      <c r="F370" s="141" t="n"/>
      <c r="G370" s="143" t="n"/>
      <c r="H370" s="27" t="n"/>
    </row>
    <row r="371" ht="17.25" customHeight="1" s="322">
      <c r="A371" s="27" t="n"/>
      <c r="B371" s="506" t="n"/>
      <c r="C371" s="141" t="n"/>
      <c r="D371" s="141" t="n"/>
      <c r="E371" s="141" t="n"/>
      <c r="F371" s="141" t="n"/>
      <c r="G371" s="143" t="n"/>
      <c r="H371" s="27" t="n"/>
    </row>
    <row r="372" ht="17.25" customHeight="1" s="322">
      <c r="A372" s="27" t="n"/>
      <c r="B372" s="506" t="n"/>
      <c r="C372" s="141" t="n"/>
      <c r="D372" s="141" t="n"/>
      <c r="E372" s="141" t="n"/>
      <c r="F372" s="141" t="n"/>
      <c r="G372" s="143" t="n"/>
      <c r="H372" s="27" t="n"/>
    </row>
    <row r="373" ht="17.25" customHeight="1" s="322">
      <c r="A373" s="27" t="n"/>
      <c r="B373" s="506" t="n"/>
      <c r="C373" s="141" t="n"/>
      <c r="D373" s="141" t="n"/>
      <c r="E373" s="141" t="n"/>
      <c r="F373" s="141" t="n"/>
      <c r="G373" s="143" t="n"/>
      <c r="H373" s="27" t="n"/>
    </row>
    <row r="374" ht="17.25" customHeight="1" s="322">
      <c r="A374" s="27" t="n"/>
      <c r="B374" s="506" t="n"/>
      <c r="C374" s="141" t="n"/>
      <c r="D374" s="141" t="n"/>
      <c r="E374" s="141" t="n"/>
      <c r="F374" s="141" t="n"/>
      <c r="G374" s="143" t="n"/>
      <c r="H374" s="27" t="n"/>
    </row>
    <row r="375" ht="17.25" customHeight="1" s="322">
      <c r="A375" s="27" t="n"/>
      <c r="B375" s="506" t="n"/>
      <c r="C375" s="141" t="n"/>
      <c r="D375" s="141" t="n"/>
      <c r="E375" s="141" t="n"/>
      <c r="F375" s="141" t="n"/>
      <c r="G375" s="143" t="n"/>
      <c r="H375" s="27" t="n"/>
    </row>
    <row r="376" ht="17.25" customHeight="1" s="322">
      <c r="A376" s="27" t="n"/>
      <c r="B376" s="506" t="n"/>
      <c r="C376" s="141" t="n"/>
      <c r="D376" s="141" t="n"/>
      <c r="E376" s="141" t="n"/>
      <c r="F376" s="141" t="n"/>
      <c r="G376" s="143" t="n"/>
      <c r="H376" s="27" t="n"/>
    </row>
    <row r="377" ht="17.25" customHeight="1" s="322">
      <c r="A377" s="27" t="n"/>
      <c r="B377" s="506" t="n"/>
      <c r="C377" s="141" t="n"/>
      <c r="D377" s="141" t="n"/>
      <c r="E377" s="141" t="n"/>
      <c r="F377" s="141" t="n"/>
      <c r="G377" s="143" t="n"/>
      <c r="H377" s="27" t="n"/>
    </row>
    <row r="378" ht="17.25" customHeight="1" s="322">
      <c r="A378" s="27" t="n"/>
      <c r="B378" s="506" t="n"/>
      <c r="C378" s="141" t="n"/>
      <c r="D378" s="141" t="n"/>
      <c r="E378" s="141" t="n"/>
      <c r="F378" s="141" t="n"/>
      <c r="G378" s="143" t="n"/>
      <c r="H378" s="27" t="n"/>
    </row>
    <row r="379" ht="17.25" customHeight="1" s="322">
      <c r="A379" s="27" t="n"/>
      <c r="B379" s="506" t="n"/>
      <c r="C379" s="141" t="n"/>
      <c r="D379" s="141" t="n"/>
      <c r="E379" s="141" t="n"/>
      <c r="F379" s="141" t="n"/>
      <c r="G379" s="143" t="n"/>
      <c r="H379" s="27" t="n"/>
    </row>
    <row r="380" ht="17.25" customHeight="1" s="322">
      <c r="A380" s="27" t="n"/>
      <c r="B380" s="506" t="n"/>
      <c r="C380" s="141" t="n"/>
      <c r="D380" s="141" t="n"/>
      <c r="E380" s="141" t="n"/>
      <c r="F380" s="141" t="n"/>
      <c r="G380" s="143" t="n"/>
      <c r="H380" s="27" t="n"/>
    </row>
    <row r="381" ht="17.25" customHeight="1" s="322">
      <c r="A381" s="27" t="n"/>
      <c r="B381" s="506" t="n"/>
      <c r="C381" s="141" t="n"/>
      <c r="D381" s="141" t="n"/>
      <c r="E381" s="141" t="n"/>
      <c r="F381" s="141" t="n"/>
      <c r="G381" s="143" t="n"/>
      <c r="H381" s="27" t="n"/>
    </row>
    <row r="382" ht="17.25" customHeight="1" s="322">
      <c r="A382" s="27" t="n"/>
      <c r="B382" s="506" t="n"/>
      <c r="C382" s="141" t="n"/>
      <c r="D382" s="141" t="n"/>
      <c r="E382" s="141" t="n"/>
      <c r="F382" s="141" t="n"/>
      <c r="G382" s="143" t="n"/>
      <c r="H382" s="27" t="n"/>
    </row>
    <row r="383" ht="17.25" customHeight="1" s="322">
      <c r="A383" s="27" t="n"/>
      <c r="B383" s="506" t="n"/>
      <c r="C383" s="141" t="n"/>
      <c r="D383" s="141" t="n"/>
      <c r="E383" s="141" t="n"/>
      <c r="F383" s="141" t="n"/>
      <c r="G383" s="143" t="n"/>
      <c r="H383" s="27" t="n"/>
    </row>
    <row r="384" ht="17.25" customHeight="1" s="322">
      <c r="A384" s="27" t="n"/>
      <c r="B384" s="506" t="n"/>
      <c r="C384" s="141" t="n"/>
      <c r="D384" s="141" t="n"/>
      <c r="E384" s="141" t="n"/>
      <c r="F384" s="141" t="n"/>
      <c r="G384" s="143" t="n"/>
      <c r="H384" s="27" t="n"/>
    </row>
    <row r="385" ht="17.25" customHeight="1" s="322">
      <c r="A385" s="27" t="n"/>
      <c r="B385" s="506" t="n"/>
      <c r="C385" s="141" t="n"/>
      <c r="D385" s="141" t="n"/>
      <c r="E385" s="141" t="n"/>
      <c r="F385" s="141" t="n"/>
      <c r="G385" s="143" t="n"/>
      <c r="H385" s="27" t="n"/>
    </row>
    <row r="386" ht="17.25" customHeight="1" s="322">
      <c r="A386" s="27" t="n"/>
      <c r="B386" s="506" t="n"/>
      <c r="C386" s="141" t="n"/>
      <c r="D386" s="141" t="n"/>
      <c r="E386" s="141" t="n"/>
      <c r="F386" s="141" t="n"/>
      <c r="G386" s="143" t="n"/>
      <c r="H386" s="27" t="n"/>
    </row>
    <row r="387" ht="17.25" customHeight="1" s="322">
      <c r="A387" s="27" t="n"/>
      <c r="B387" s="506" t="n"/>
      <c r="C387" s="141" t="n"/>
      <c r="D387" s="141" t="n"/>
      <c r="E387" s="141" t="n"/>
      <c r="F387" s="141" t="n"/>
      <c r="G387" s="143" t="n"/>
      <c r="H387" s="27" t="n"/>
    </row>
    <row r="388" ht="17.25" customHeight="1" s="322">
      <c r="A388" s="27" t="n"/>
      <c r="B388" s="506" t="n"/>
      <c r="C388" s="141" t="n"/>
      <c r="D388" s="141" t="n"/>
      <c r="E388" s="141" t="n"/>
      <c r="F388" s="141" t="n"/>
      <c r="G388" s="143" t="n"/>
      <c r="H388" s="27" t="n"/>
    </row>
    <row r="389" ht="17.25" customHeight="1" s="322">
      <c r="A389" s="27" t="n"/>
      <c r="B389" s="506" t="n"/>
      <c r="C389" s="141" t="n"/>
      <c r="D389" s="141" t="n"/>
      <c r="E389" s="141" t="n"/>
      <c r="F389" s="141" t="n"/>
      <c r="G389" s="143" t="n"/>
      <c r="H389" s="27" t="n"/>
    </row>
    <row r="390" ht="17.25" customHeight="1" s="322">
      <c r="A390" s="27" t="n"/>
      <c r="B390" s="506" t="n"/>
      <c r="C390" s="141" t="n"/>
      <c r="D390" s="141" t="n"/>
      <c r="E390" s="141" t="n"/>
      <c r="F390" s="141" t="n"/>
      <c r="G390" s="143" t="n"/>
      <c r="H390" s="27" t="n"/>
    </row>
    <row r="391" ht="17.25" customHeight="1" s="322">
      <c r="A391" s="27" t="n"/>
      <c r="B391" s="506" t="n"/>
      <c r="C391" s="141" t="n"/>
      <c r="D391" s="141" t="n"/>
      <c r="E391" s="141" t="n"/>
      <c r="F391" s="141" t="n"/>
      <c r="G391" s="143" t="n"/>
      <c r="H391" s="27" t="n"/>
    </row>
    <row r="392" ht="17.25" customHeight="1" s="322">
      <c r="A392" s="27" t="n"/>
      <c r="B392" s="506" t="n"/>
      <c r="C392" s="141" t="n"/>
      <c r="D392" s="141" t="n"/>
      <c r="E392" s="141" t="n"/>
      <c r="F392" s="141" t="n"/>
      <c r="G392" s="143" t="n"/>
      <c r="H392" s="27" t="n"/>
    </row>
    <row r="393" ht="17.25" customHeight="1" s="322">
      <c r="A393" s="27" t="n"/>
      <c r="B393" s="506" t="n"/>
      <c r="C393" s="141" t="n"/>
      <c r="D393" s="141" t="n"/>
      <c r="E393" s="141" t="n"/>
      <c r="F393" s="141" t="n"/>
      <c r="G393" s="143" t="n"/>
      <c r="H393" s="27" t="n"/>
    </row>
    <row r="394" ht="17.25" customHeight="1" s="322">
      <c r="A394" s="27" t="n"/>
      <c r="B394" s="506" t="n"/>
      <c r="C394" s="141" t="n"/>
      <c r="D394" s="141" t="n"/>
      <c r="E394" s="141" t="n"/>
      <c r="F394" s="141" t="n"/>
      <c r="G394" s="143" t="n"/>
      <c r="H394" s="27" t="n"/>
    </row>
    <row r="395" ht="17.25" customHeight="1" s="322">
      <c r="A395" s="27" t="n"/>
      <c r="B395" s="506" t="n"/>
      <c r="C395" s="141" t="n"/>
      <c r="D395" s="141" t="n"/>
      <c r="E395" s="141" t="n"/>
      <c r="F395" s="141" t="n"/>
      <c r="G395" s="143" t="n"/>
      <c r="H395" s="27" t="n"/>
    </row>
    <row r="396" ht="17.25" customHeight="1" s="322">
      <c r="A396" s="27" t="n"/>
      <c r="B396" s="506" t="n"/>
      <c r="C396" s="141" t="n"/>
      <c r="D396" s="141" t="n"/>
      <c r="E396" s="141" t="n"/>
      <c r="F396" s="141" t="n"/>
      <c r="G396" s="143" t="n"/>
      <c r="H396" s="27" t="n"/>
    </row>
    <row r="397" ht="17.25" customHeight="1" s="322">
      <c r="A397" s="27" t="n"/>
      <c r="B397" s="506" t="n"/>
      <c r="C397" s="141" t="n"/>
      <c r="D397" s="141" t="n"/>
      <c r="E397" s="141" t="n"/>
      <c r="F397" s="141" t="n"/>
      <c r="G397" s="143" t="n"/>
      <c r="H397" s="27" t="n"/>
    </row>
    <row r="398" ht="17.25" customHeight="1" s="322">
      <c r="A398" s="27" t="n"/>
      <c r="B398" s="506" t="n"/>
      <c r="C398" s="141" t="n"/>
      <c r="D398" s="141" t="n"/>
      <c r="E398" s="141" t="n"/>
      <c r="F398" s="141" t="n"/>
      <c r="G398" s="143" t="n"/>
      <c r="H398" s="27" t="n"/>
    </row>
    <row r="399" ht="17.25" customHeight="1" s="322">
      <c r="A399" s="27" t="n"/>
      <c r="B399" s="506" t="n"/>
      <c r="C399" s="141" t="n"/>
      <c r="D399" s="141" t="n"/>
      <c r="E399" s="141" t="n"/>
      <c r="F399" s="141" t="n"/>
      <c r="G399" s="143" t="n"/>
      <c r="H399" s="27" t="n"/>
    </row>
    <row r="400" ht="17.25" customHeight="1" s="322">
      <c r="A400" s="27" t="n"/>
      <c r="B400" s="506" t="n"/>
      <c r="C400" s="141" t="n"/>
      <c r="D400" s="141" t="n"/>
      <c r="E400" s="141" t="n"/>
      <c r="F400" s="141" t="n"/>
      <c r="G400" s="143" t="n"/>
      <c r="H400" s="27" t="n"/>
    </row>
    <row r="401" ht="17.25" customHeight="1" s="322">
      <c r="A401" s="27" t="n"/>
      <c r="B401" s="506" t="n"/>
      <c r="C401" s="141" t="n"/>
      <c r="D401" s="141" t="n"/>
      <c r="E401" s="141" t="n"/>
      <c r="F401" s="141" t="n"/>
      <c r="G401" s="143" t="n"/>
      <c r="H401" s="27" t="n"/>
    </row>
    <row r="402" ht="17.25" customHeight="1" s="322">
      <c r="A402" s="27" t="n"/>
      <c r="B402" s="506" t="n"/>
      <c r="C402" s="141" t="n"/>
      <c r="D402" s="141" t="n"/>
      <c r="E402" s="141" t="n"/>
      <c r="F402" s="141" t="n"/>
      <c r="G402" s="143" t="n"/>
      <c r="H402" s="27" t="n"/>
    </row>
    <row r="403" ht="17.25" customHeight="1" s="322">
      <c r="A403" s="27" t="n"/>
      <c r="B403" s="506" t="n"/>
      <c r="C403" s="141" t="n"/>
      <c r="D403" s="141" t="n"/>
      <c r="E403" s="141" t="n"/>
      <c r="F403" s="141" t="n"/>
      <c r="G403" s="143" t="n"/>
      <c r="H403" s="27" t="n"/>
    </row>
    <row r="404" ht="17.25" customHeight="1" s="322">
      <c r="A404" s="27" t="n"/>
      <c r="B404" s="506" t="n"/>
      <c r="C404" s="141" t="n"/>
      <c r="D404" s="141" t="n"/>
      <c r="E404" s="141" t="n"/>
      <c r="F404" s="141" t="n"/>
      <c r="G404" s="143" t="n"/>
      <c r="H404" s="27" t="n"/>
    </row>
    <row r="405" ht="17.25" customHeight="1" s="322">
      <c r="A405" s="27" t="n"/>
      <c r="B405" s="506" t="n"/>
      <c r="C405" s="141" t="n"/>
      <c r="D405" s="141" t="n"/>
      <c r="E405" s="141" t="n"/>
      <c r="F405" s="141" t="n"/>
      <c r="G405" s="143" t="n"/>
      <c r="H405" s="27" t="n"/>
    </row>
    <row r="406" ht="17.25" customHeight="1" s="322">
      <c r="A406" s="27" t="n"/>
      <c r="B406" s="506" t="n"/>
      <c r="C406" s="141" t="n"/>
      <c r="D406" s="141" t="n"/>
      <c r="E406" s="141" t="n"/>
      <c r="F406" s="141" t="n"/>
      <c r="G406" s="143" t="n"/>
      <c r="H406" s="27" t="n"/>
    </row>
    <row r="407" ht="17.25" customHeight="1" s="322">
      <c r="A407" s="27" t="n"/>
      <c r="B407" s="506" t="n"/>
      <c r="C407" s="141" t="n"/>
      <c r="D407" s="141" t="n"/>
      <c r="E407" s="141" t="n"/>
      <c r="F407" s="141" t="n"/>
      <c r="G407" s="143" t="n"/>
      <c r="H407" s="27" t="n"/>
    </row>
    <row r="408" ht="17.25" customHeight="1" s="322">
      <c r="A408" s="27" t="n"/>
      <c r="B408" s="506" t="n"/>
      <c r="C408" s="141" t="n"/>
      <c r="D408" s="141" t="n"/>
      <c r="E408" s="141" t="n"/>
      <c r="F408" s="141" t="n"/>
      <c r="G408" s="143" t="n"/>
      <c r="H408" s="27" t="n"/>
    </row>
    <row r="409" ht="17.25" customHeight="1" s="322">
      <c r="A409" s="27" t="n"/>
      <c r="B409" s="506" t="n"/>
      <c r="C409" s="141" t="n"/>
      <c r="D409" s="141" t="n"/>
      <c r="E409" s="141" t="n"/>
      <c r="F409" s="141" t="n"/>
      <c r="G409" s="143" t="n"/>
      <c r="H409" s="27" t="n"/>
    </row>
    <row r="410" ht="17.25" customHeight="1" s="322">
      <c r="A410" s="27" t="n"/>
      <c r="B410" s="506" t="n"/>
      <c r="C410" s="141" t="n"/>
      <c r="D410" s="141" t="n"/>
      <c r="E410" s="141" t="n"/>
      <c r="F410" s="141" t="n"/>
      <c r="G410" s="143" t="n"/>
      <c r="H410" s="27" t="n"/>
    </row>
    <row r="411" ht="17.25" customHeight="1" s="322">
      <c r="A411" s="27" t="n"/>
      <c r="B411" s="506" t="n"/>
      <c r="C411" s="141" t="n"/>
      <c r="D411" s="141" t="n"/>
      <c r="E411" s="141" t="n"/>
      <c r="F411" s="141" t="n"/>
      <c r="G411" s="143" t="n"/>
      <c r="H411" s="27" t="n"/>
    </row>
    <row r="412" ht="17.25" customHeight="1" s="322">
      <c r="A412" s="27" t="n"/>
      <c r="B412" s="506" t="n"/>
      <c r="C412" s="141" t="n"/>
      <c r="D412" s="141" t="n"/>
      <c r="E412" s="141" t="n"/>
      <c r="F412" s="141" t="n"/>
      <c r="G412" s="143" t="n"/>
      <c r="H412" s="27" t="n"/>
    </row>
    <row r="413" ht="17.25" customHeight="1" s="322">
      <c r="A413" s="27" t="n"/>
      <c r="B413" s="506" t="n"/>
      <c r="C413" s="141" t="n"/>
      <c r="D413" s="141" t="n"/>
      <c r="E413" s="141" t="n"/>
      <c r="F413" s="141" t="n"/>
      <c r="G413" s="143" t="n"/>
      <c r="H413" s="27" t="n"/>
    </row>
    <row r="414" ht="17.25" customHeight="1" s="322">
      <c r="A414" s="27" t="n"/>
      <c r="B414" s="506" t="n"/>
      <c r="C414" s="141" t="n"/>
      <c r="D414" s="141" t="n"/>
      <c r="E414" s="141" t="n"/>
      <c r="F414" s="141" t="n"/>
      <c r="G414" s="143" t="n"/>
      <c r="H414" s="27" t="n"/>
    </row>
    <row r="415" ht="17.25" customHeight="1" s="322">
      <c r="A415" s="27" t="n"/>
      <c r="B415" s="506" t="n"/>
      <c r="C415" s="141" t="n"/>
      <c r="D415" s="141" t="n"/>
      <c r="E415" s="141" t="n"/>
      <c r="F415" s="141" t="n"/>
      <c r="G415" s="143" t="n"/>
      <c r="H415" s="27" t="n"/>
    </row>
    <row r="416" ht="17.25" customHeight="1" s="322">
      <c r="A416" s="27" t="n"/>
      <c r="B416" s="506" t="n"/>
      <c r="C416" s="141" t="n"/>
      <c r="D416" s="141" t="n"/>
      <c r="E416" s="141" t="n"/>
      <c r="F416" s="141" t="n"/>
      <c r="G416" s="143" t="n"/>
      <c r="H416" s="27" t="n"/>
    </row>
    <row r="417" ht="17.25" customHeight="1" s="322">
      <c r="A417" s="27" t="n"/>
      <c r="B417" s="506" t="n"/>
      <c r="C417" s="141" t="n"/>
      <c r="D417" s="141" t="n"/>
      <c r="E417" s="141" t="n"/>
      <c r="F417" s="141" t="n"/>
      <c r="G417" s="143" t="n"/>
      <c r="H417" s="27" t="n"/>
    </row>
    <row r="418" ht="17.25" customHeight="1" s="322">
      <c r="A418" s="27" t="n"/>
      <c r="B418" s="506" t="n"/>
      <c r="C418" s="141" t="n"/>
      <c r="D418" s="141" t="n"/>
      <c r="E418" s="141" t="n"/>
      <c r="F418" s="141" t="n"/>
      <c r="G418" s="143" t="n"/>
      <c r="H418" s="27" t="n"/>
    </row>
    <row r="419" ht="17.25" customHeight="1" s="322">
      <c r="A419" s="27" t="n"/>
      <c r="B419" s="506" t="n"/>
      <c r="C419" s="141" t="n"/>
      <c r="D419" s="141" t="n"/>
      <c r="E419" s="141" t="n"/>
      <c r="F419" s="141" t="n"/>
      <c r="G419" s="143" t="n"/>
      <c r="H419" s="27" t="n"/>
    </row>
    <row r="420" ht="17.25" customHeight="1" s="322">
      <c r="A420" s="27" t="n"/>
      <c r="B420" s="506" t="n"/>
      <c r="C420" s="141" t="n"/>
      <c r="D420" s="141" t="n"/>
      <c r="E420" s="141" t="n"/>
      <c r="F420" s="141" t="n"/>
      <c r="G420" s="143" t="n"/>
      <c r="H420" s="27" t="n"/>
    </row>
    <row r="421" ht="17.25" customHeight="1" s="322">
      <c r="A421" s="27" t="n"/>
      <c r="B421" s="506" t="n"/>
      <c r="C421" s="141" t="n"/>
      <c r="D421" s="141" t="n"/>
      <c r="E421" s="141" t="n"/>
      <c r="F421" s="141" t="n"/>
      <c r="G421" s="143" t="n"/>
      <c r="H421" s="27" t="n"/>
    </row>
    <row r="422" ht="17.25" customHeight="1" s="322">
      <c r="A422" s="27" t="n"/>
      <c r="B422" s="506" t="n"/>
      <c r="C422" s="141" t="n"/>
      <c r="D422" s="141" t="n"/>
      <c r="E422" s="141" t="n"/>
      <c r="F422" s="141" t="n"/>
      <c r="G422" s="143" t="n"/>
      <c r="H422" s="27" t="n"/>
    </row>
    <row r="423" ht="17.25" customHeight="1" s="322">
      <c r="A423" s="27" t="n"/>
      <c r="B423" s="506" t="n"/>
      <c r="C423" s="141" t="n"/>
      <c r="D423" s="141" t="n"/>
      <c r="E423" s="141" t="n"/>
      <c r="F423" s="141" t="n"/>
      <c r="G423" s="143" t="n"/>
      <c r="H423" s="27" t="n"/>
    </row>
    <row r="424" ht="17.25" customHeight="1" s="322">
      <c r="A424" s="27" t="n"/>
      <c r="B424" s="506" t="n"/>
      <c r="C424" s="141" t="n"/>
      <c r="D424" s="141" t="n"/>
      <c r="E424" s="141" t="n"/>
      <c r="F424" s="141" t="n"/>
      <c r="G424" s="143" t="n"/>
      <c r="H424" s="27" t="n"/>
    </row>
    <row r="425" ht="17.25" customHeight="1" s="322">
      <c r="A425" s="27" t="n"/>
      <c r="B425" s="506" t="n"/>
      <c r="C425" s="141" t="n"/>
      <c r="D425" s="141" t="n"/>
      <c r="E425" s="141" t="n"/>
      <c r="F425" s="141" t="n"/>
      <c r="G425" s="143" t="n"/>
      <c r="H425" s="27" t="n"/>
    </row>
    <row r="426" ht="17.25" customHeight="1" s="322">
      <c r="A426" s="27" t="n"/>
      <c r="B426" s="506" t="n"/>
      <c r="C426" s="141" t="n"/>
      <c r="D426" s="141" t="n"/>
      <c r="E426" s="141" t="n"/>
      <c r="F426" s="141" t="n"/>
      <c r="G426" s="143" t="n"/>
      <c r="H426" s="27" t="n"/>
    </row>
    <row r="427" ht="17.25" customHeight="1" s="322">
      <c r="A427" s="27" t="n"/>
      <c r="B427" s="506" t="n"/>
      <c r="C427" s="141" t="n"/>
      <c r="D427" s="141" t="n"/>
      <c r="E427" s="141" t="n"/>
      <c r="F427" s="141" t="n"/>
      <c r="G427" s="143" t="n"/>
      <c r="H427" s="27" t="n"/>
    </row>
    <row r="428" ht="17.25" customHeight="1" s="322">
      <c r="A428" s="27" t="n"/>
      <c r="B428" s="506" t="n"/>
      <c r="C428" s="141" t="n"/>
      <c r="D428" s="141" t="n"/>
      <c r="E428" s="141" t="n"/>
      <c r="F428" s="141" t="n"/>
      <c r="G428" s="143" t="n"/>
      <c r="H428" s="27" t="n"/>
    </row>
    <row r="429" ht="17.25" customHeight="1" s="322">
      <c r="A429" s="27" t="n"/>
      <c r="B429" s="506" t="n"/>
      <c r="C429" s="141" t="n"/>
      <c r="D429" s="141" t="n"/>
      <c r="E429" s="141" t="n"/>
      <c r="F429" s="141" t="n"/>
      <c r="G429" s="143" t="n"/>
      <c r="H429" s="27" t="n"/>
    </row>
    <row r="430" ht="17.25" customHeight="1" s="322">
      <c r="A430" s="27" t="n"/>
      <c r="B430" s="506" t="n"/>
      <c r="C430" s="141" t="n"/>
      <c r="D430" s="141" t="n"/>
      <c r="E430" s="141" t="n"/>
      <c r="F430" s="141" t="n"/>
      <c r="G430" s="143" t="n"/>
      <c r="H430" s="27" t="n"/>
    </row>
    <row r="431" ht="17.25" customHeight="1" s="322">
      <c r="A431" s="27" t="n"/>
      <c r="B431" s="506" t="n"/>
      <c r="C431" s="141" t="n"/>
      <c r="D431" s="141" t="n"/>
      <c r="E431" s="141" t="n"/>
      <c r="F431" s="141" t="n"/>
      <c r="G431" s="143" t="n"/>
      <c r="H431" s="27" t="n"/>
    </row>
    <row r="432" ht="17.25" customHeight="1" s="322">
      <c r="A432" s="27" t="n"/>
      <c r="B432" s="506" t="n"/>
      <c r="C432" s="141" t="n"/>
      <c r="D432" s="141" t="n"/>
      <c r="E432" s="141" t="n"/>
      <c r="F432" s="141" t="n"/>
      <c r="G432" s="143" t="n"/>
      <c r="H432" s="27" t="n"/>
    </row>
    <row r="433" ht="17.25" customHeight="1" s="322">
      <c r="A433" s="27" t="n"/>
      <c r="B433" s="506" t="n"/>
      <c r="C433" s="141" t="n"/>
      <c r="D433" s="141" t="n"/>
      <c r="E433" s="141" t="n"/>
      <c r="F433" s="141" t="n"/>
      <c r="G433" s="143" t="n"/>
      <c r="H433" s="27" t="n"/>
    </row>
    <row r="434" ht="17.25" customHeight="1" s="322">
      <c r="A434" s="27" t="n"/>
      <c r="B434" s="506" t="n"/>
      <c r="C434" s="141" t="n"/>
      <c r="D434" s="141" t="n"/>
      <c r="E434" s="141" t="n"/>
      <c r="F434" s="141" t="n"/>
      <c r="G434" s="143" t="n"/>
      <c r="H434" s="27" t="n"/>
    </row>
    <row r="435" ht="17.25" customHeight="1" s="322">
      <c r="A435" s="27" t="n"/>
      <c r="B435" s="506" t="n"/>
      <c r="C435" s="141" t="n"/>
      <c r="D435" s="141" t="n"/>
      <c r="E435" s="141" t="n"/>
      <c r="F435" s="141" t="n"/>
      <c r="G435" s="143" t="n"/>
      <c r="H435" s="27" t="n"/>
    </row>
    <row r="436" ht="17.25" customHeight="1" s="322">
      <c r="A436" s="27" t="n"/>
      <c r="B436" s="506" t="n"/>
      <c r="C436" s="141" t="n"/>
      <c r="D436" s="141" t="n"/>
      <c r="E436" s="141" t="n"/>
      <c r="F436" s="141" t="n"/>
      <c r="G436" s="143" t="n"/>
      <c r="H436" s="27" t="n"/>
    </row>
    <row r="437" ht="17.25" customHeight="1" s="322">
      <c r="A437" s="27" t="n"/>
      <c r="B437" s="506" t="n"/>
      <c r="C437" s="141" t="n"/>
      <c r="D437" s="141" t="n"/>
      <c r="E437" s="141" t="n"/>
      <c r="F437" s="141" t="n"/>
      <c r="G437" s="143" t="n"/>
      <c r="H437" s="27" t="n"/>
    </row>
    <row r="438" ht="17.25" customHeight="1" s="322">
      <c r="A438" s="27" t="n"/>
      <c r="B438" s="506" t="n"/>
      <c r="C438" s="141" t="n"/>
      <c r="D438" s="141" t="n"/>
      <c r="E438" s="141" t="n"/>
      <c r="F438" s="141" t="n"/>
      <c r="G438" s="143" t="n"/>
      <c r="H438" s="27" t="n"/>
    </row>
    <row r="439" ht="17.25" customHeight="1" s="322">
      <c r="A439" s="27" t="n"/>
      <c r="B439" s="506" t="n"/>
      <c r="C439" s="141" t="n"/>
      <c r="D439" s="141" t="n"/>
      <c r="E439" s="141" t="n"/>
      <c r="F439" s="141" t="n"/>
      <c r="G439" s="143" t="n"/>
      <c r="H439" s="27" t="n"/>
    </row>
    <row r="440" ht="17.25" customHeight="1" s="322">
      <c r="A440" s="27" t="n"/>
      <c r="B440" s="506" t="n"/>
      <c r="C440" s="141" t="n"/>
      <c r="D440" s="141" t="n"/>
      <c r="E440" s="141" t="n"/>
      <c r="F440" s="141" t="n"/>
      <c r="G440" s="143" t="n"/>
      <c r="H440" s="27" t="n"/>
    </row>
    <row r="441" ht="17.25" customHeight="1" s="322">
      <c r="A441" s="27" t="n"/>
      <c r="B441" s="506" t="n"/>
      <c r="C441" s="141" t="n"/>
      <c r="D441" s="141" t="n"/>
      <c r="E441" s="141" t="n"/>
      <c r="F441" s="141" t="n"/>
      <c r="G441" s="143" t="n"/>
      <c r="H441" s="27" t="n"/>
    </row>
    <row r="442" ht="17.25" customHeight="1" s="322">
      <c r="A442" s="27" t="n"/>
      <c r="B442" s="506" t="n"/>
      <c r="C442" s="141" t="n"/>
      <c r="D442" s="141" t="n"/>
      <c r="E442" s="141" t="n"/>
      <c r="F442" s="141" t="n"/>
      <c r="G442" s="143" t="n"/>
      <c r="H442" s="27" t="n"/>
    </row>
    <row r="443" ht="17.25" customHeight="1" s="322">
      <c r="A443" s="27" t="n"/>
      <c r="B443" s="506" t="n"/>
      <c r="C443" s="141" t="n"/>
      <c r="D443" s="141" t="n"/>
      <c r="E443" s="141" t="n"/>
      <c r="F443" s="141" t="n"/>
      <c r="G443" s="143" t="n"/>
      <c r="H443" s="27" t="n"/>
    </row>
    <row r="444" ht="17.25" customHeight="1" s="322">
      <c r="A444" s="27" t="n"/>
      <c r="B444" s="506" t="n"/>
      <c r="C444" s="141" t="n"/>
      <c r="D444" s="141" t="n"/>
      <c r="E444" s="141" t="n"/>
      <c r="F444" s="141" t="n"/>
      <c r="G444" s="143" t="n"/>
      <c r="H444" s="27" t="n"/>
    </row>
    <row r="445" ht="17.25" customHeight="1" s="322">
      <c r="A445" s="27" t="n"/>
      <c r="B445" s="506" t="n"/>
      <c r="C445" s="141" t="n"/>
      <c r="D445" s="141" t="n"/>
      <c r="E445" s="141" t="n"/>
      <c r="F445" s="141" t="n"/>
      <c r="G445" s="143" t="n"/>
      <c r="H445" s="27" t="n"/>
    </row>
    <row r="446" ht="17.25" customHeight="1" s="322">
      <c r="A446" s="27" t="n"/>
      <c r="B446" s="506" t="n"/>
      <c r="C446" s="141" t="n"/>
      <c r="D446" s="141" t="n"/>
      <c r="E446" s="141" t="n"/>
      <c r="F446" s="141" t="n"/>
      <c r="G446" s="143" t="n"/>
      <c r="H446" s="27" t="n"/>
    </row>
    <row r="447" ht="17.25" customHeight="1" s="322">
      <c r="A447" s="27" t="n"/>
      <c r="B447" s="506" t="n"/>
      <c r="C447" s="141" t="n"/>
      <c r="D447" s="141" t="n"/>
      <c r="E447" s="141" t="n"/>
      <c r="F447" s="141" t="n"/>
      <c r="G447" s="143" t="n"/>
      <c r="H447" s="27" t="n"/>
    </row>
    <row r="448" ht="17.25" customHeight="1" s="322">
      <c r="A448" s="27" t="n"/>
      <c r="B448" s="506" t="n"/>
      <c r="C448" s="141" t="n"/>
      <c r="D448" s="141" t="n"/>
      <c r="E448" s="141" t="n"/>
      <c r="F448" s="141" t="n"/>
      <c r="G448" s="143" t="n"/>
      <c r="H448" s="27" t="n"/>
    </row>
    <row r="449" ht="17.25" customHeight="1" s="322">
      <c r="A449" s="27" t="n"/>
      <c r="B449" s="506" t="n"/>
      <c r="C449" s="141" t="n"/>
      <c r="D449" s="141" t="n"/>
      <c r="E449" s="141" t="n"/>
      <c r="F449" s="141" t="n"/>
      <c r="G449" s="143" t="n"/>
      <c r="H449" s="27" t="n"/>
    </row>
    <row r="450" ht="17.25" customHeight="1" s="322">
      <c r="A450" s="27" t="n"/>
      <c r="B450" s="506" t="n"/>
      <c r="C450" s="141" t="n"/>
      <c r="D450" s="141" t="n"/>
      <c r="E450" s="141" t="n"/>
      <c r="F450" s="141" t="n"/>
      <c r="G450" s="143" t="n"/>
      <c r="H450" s="27" t="n"/>
    </row>
    <row r="451" ht="17.25" customHeight="1" s="322">
      <c r="A451" s="27" t="n"/>
      <c r="B451" s="506" t="n"/>
      <c r="C451" s="141" t="n"/>
      <c r="D451" s="141" t="n"/>
      <c r="E451" s="141" t="n"/>
      <c r="F451" s="141" t="n"/>
      <c r="G451" s="143" t="n"/>
      <c r="H451" s="27" t="n"/>
    </row>
    <row r="452" ht="17.25" customHeight="1" s="322">
      <c r="A452" s="27" t="n"/>
      <c r="B452" s="506" t="n"/>
      <c r="C452" s="141" t="n"/>
      <c r="D452" s="141" t="n"/>
      <c r="E452" s="141" t="n"/>
      <c r="F452" s="141" t="n"/>
      <c r="G452" s="143" t="n"/>
      <c r="H452" s="27" t="n"/>
    </row>
    <row r="453" ht="17.25" customHeight="1" s="322">
      <c r="A453" s="27" t="n"/>
      <c r="B453" s="506" t="n"/>
      <c r="C453" s="141" t="n"/>
      <c r="D453" s="141" t="n"/>
      <c r="E453" s="141" t="n"/>
      <c r="F453" s="141" t="n"/>
      <c r="G453" s="143" t="n"/>
      <c r="H453" s="27" t="n"/>
    </row>
    <row r="454" ht="17.25" customHeight="1" s="322">
      <c r="A454" s="27" t="n"/>
      <c r="B454" s="506" t="n"/>
      <c r="C454" s="141" t="n"/>
      <c r="D454" s="141" t="n"/>
      <c r="E454" s="141" t="n"/>
      <c r="F454" s="141" t="n"/>
      <c r="G454" s="143" t="n"/>
      <c r="H454" s="27" t="n"/>
    </row>
    <row r="455" ht="17.25" customHeight="1" s="322">
      <c r="A455" s="27" t="n"/>
      <c r="B455" s="506" t="n"/>
      <c r="C455" s="141" t="n"/>
      <c r="D455" s="141" t="n"/>
      <c r="E455" s="141" t="n"/>
      <c r="F455" s="141" t="n"/>
      <c r="G455" s="143" t="n"/>
      <c r="H455" s="27" t="n"/>
    </row>
    <row r="456" ht="17.25" customHeight="1" s="322">
      <c r="A456" s="27" t="n"/>
      <c r="B456" s="506" t="n"/>
      <c r="C456" s="141" t="n"/>
      <c r="D456" s="141" t="n"/>
      <c r="E456" s="141" t="n"/>
      <c r="F456" s="141" t="n"/>
      <c r="G456" s="143" t="n"/>
      <c r="H456" s="27" t="n"/>
    </row>
    <row r="457" ht="17.25" customHeight="1" s="322">
      <c r="A457" s="27" t="n"/>
      <c r="B457" s="506" t="n"/>
      <c r="C457" s="141" t="n"/>
      <c r="D457" s="141" t="n"/>
      <c r="E457" s="141" t="n"/>
      <c r="F457" s="141" t="n"/>
      <c r="G457" s="143" t="n"/>
      <c r="H457" s="27" t="n"/>
    </row>
    <row r="458" ht="17.25" customHeight="1" s="322">
      <c r="A458" s="27" t="n"/>
      <c r="B458" s="506" t="n"/>
      <c r="C458" s="141" t="n"/>
      <c r="D458" s="141" t="n"/>
      <c r="E458" s="141" t="n"/>
      <c r="F458" s="141" t="n"/>
      <c r="G458" s="143" t="n"/>
      <c r="H458" s="27" t="n"/>
    </row>
    <row r="459" ht="17.25" customHeight="1" s="322">
      <c r="A459" s="27" t="n"/>
      <c r="B459" s="506" t="n"/>
      <c r="C459" s="141" t="n"/>
      <c r="D459" s="141" t="n"/>
      <c r="E459" s="141" t="n"/>
      <c r="F459" s="141" t="n"/>
      <c r="G459" s="143" t="n"/>
      <c r="H459" s="27" t="n"/>
    </row>
    <row r="460" ht="17.25" customHeight="1" s="322">
      <c r="A460" s="27" t="n"/>
      <c r="B460" s="506" t="n"/>
      <c r="C460" s="141" t="n"/>
      <c r="D460" s="141" t="n"/>
      <c r="E460" s="141" t="n"/>
      <c r="F460" s="141" t="n"/>
      <c r="G460" s="143" t="n"/>
      <c r="H460" s="27" t="n"/>
    </row>
    <row r="461" ht="17.25" customHeight="1" s="322">
      <c r="A461" s="27" t="n"/>
      <c r="B461" s="506" t="n"/>
      <c r="C461" s="141" t="n"/>
      <c r="D461" s="141" t="n"/>
      <c r="E461" s="141" t="n"/>
      <c r="F461" s="141" t="n"/>
      <c r="G461" s="143" t="n"/>
      <c r="H461" s="27" t="n"/>
    </row>
    <row r="462" ht="17.25" customHeight="1" s="322">
      <c r="A462" s="27" t="n"/>
      <c r="B462" s="506" t="n"/>
      <c r="C462" s="141" t="n"/>
      <c r="D462" s="141" t="n"/>
      <c r="E462" s="141" t="n"/>
      <c r="F462" s="141" t="n"/>
      <c r="G462" s="143" t="n"/>
      <c r="H462" s="27" t="n"/>
    </row>
    <row r="463" ht="17.25" customHeight="1" s="322">
      <c r="A463" s="27" t="n"/>
      <c r="B463" s="506" t="n"/>
      <c r="C463" s="141" t="n"/>
      <c r="D463" s="141" t="n"/>
      <c r="E463" s="141" t="n"/>
      <c r="F463" s="141" t="n"/>
      <c r="G463" s="143" t="n"/>
      <c r="H463" s="27" t="n"/>
    </row>
    <row r="464" ht="17.25" customHeight="1" s="322">
      <c r="A464" s="27" t="n"/>
      <c r="B464" s="506" t="n"/>
      <c r="C464" s="141" t="n"/>
      <c r="D464" s="141" t="n"/>
      <c r="E464" s="141" t="n"/>
      <c r="F464" s="141" t="n"/>
      <c r="G464" s="143" t="n"/>
      <c r="H464" s="27" t="n"/>
    </row>
    <row r="465" ht="17.25" customHeight="1" s="322">
      <c r="A465" s="27" t="n"/>
      <c r="B465" s="506" t="n"/>
      <c r="C465" s="141" t="n"/>
      <c r="D465" s="141" t="n"/>
      <c r="E465" s="141" t="n"/>
      <c r="F465" s="141" t="n"/>
      <c r="G465" s="143" t="n"/>
      <c r="H465" s="27" t="n"/>
    </row>
    <row r="466" ht="17.25" customHeight="1" s="322">
      <c r="A466" s="27" t="n"/>
      <c r="B466" s="506" t="n"/>
      <c r="C466" s="141" t="n"/>
      <c r="D466" s="141" t="n"/>
      <c r="E466" s="141" t="n"/>
      <c r="F466" s="141" t="n"/>
      <c r="G466" s="143" t="n"/>
      <c r="H466" s="27" t="n"/>
    </row>
    <row r="467" ht="17.25" customHeight="1" s="322">
      <c r="A467" s="27" t="n"/>
      <c r="B467" s="506" t="n"/>
      <c r="C467" s="141" t="n"/>
      <c r="D467" s="141" t="n"/>
      <c r="E467" s="141" t="n"/>
      <c r="F467" s="141" t="n"/>
      <c r="G467" s="143" t="n"/>
      <c r="H467" s="27" t="n"/>
    </row>
    <row r="468" ht="17.25" customHeight="1" s="322">
      <c r="A468" s="27" t="n"/>
      <c r="B468" s="506" t="n"/>
      <c r="C468" s="141" t="n"/>
      <c r="D468" s="141" t="n"/>
      <c r="E468" s="141" t="n"/>
      <c r="F468" s="141" t="n"/>
      <c r="G468" s="143" t="n"/>
      <c r="H468" s="27" t="n"/>
    </row>
    <row r="469" ht="17.25" customHeight="1" s="322">
      <c r="A469" s="27" t="n"/>
      <c r="B469" s="506" t="n"/>
      <c r="C469" s="141" t="n"/>
      <c r="D469" s="141" t="n"/>
      <c r="E469" s="141" t="n"/>
      <c r="F469" s="141" t="n"/>
      <c r="G469" s="143" t="n"/>
      <c r="H469" s="27" t="n"/>
    </row>
    <row r="470" ht="17.25" customHeight="1" s="322">
      <c r="A470" s="27" t="n"/>
      <c r="B470" s="506" t="n"/>
      <c r="C470" s="141" t="n"/>
      <c r="D470" s="141" t="n"/>
      <c r="E470" s="141" t="n"/>
      <c r="F470" s="141" t="n"/>
      <c r="G470" s="143" t="n"/>
      <c r="H470" s="27" t="n"/>
    </row>
    <row r="471" ht="17.25" customHeight="1" s="322">
      <c r="A471" s="27" t="n"/>
      <c r="B471" s="506" t="n"/>
      <c r="C471" s="141" t="n"/>
      <c r="D471" s="141" t="n"/>
      <c r="E471" s="141" t="n"/>
      <c r="F471" s="141" t="n"/>
      <c r="G471" s="143" t="n"/>
      <c r="H471" s="27" t="n"/>
    </row>
    <row r="472" ht="17.25" customHeight="1" s="322">
      <c r="A472" s="27" t="n"/>
      <c r="B472" s="506" t="n"/>
      <c r="C472" s="141" t="n"/>
      <c r="D472" s="141" t="n"/>
      <c r="E472" s="141" t="n"/>
      <c r="F472" s="141" t="n"/>
      <c r="G472" s="143" t="n"/>
      <c r="H472" s="27" t="n"/>
    </row>
    <row r="473" ht="17.25" customHeight="1" s="322">
      <c r="A473" s="27" t="n"/>
      <c r="B473" s="506" t="n"/>
      <c r="C473" s="141" t="n"/>
      <c r="D473" s="141" t="n"/>
      <c r="E473" s="141" t="n"/>
      <c r="F473" s="141" t="n"/>
      <c r="G473" s="143" t="n"/>
      <c r="H473" s="27" t="n"/>
    </row>
    <row r="474" ht="17.25" customHeight="1" s="322">
      <c r="A474" s="27" t="n"/>
      <c r="B474" s="506" t="n"/>
      <c r="C474" s="141" t="n"/>
      <c r="D474" s="141" t="n"/>
      <c r="E474" s="141" t="n"/>
      <c r="F474" s="141" t="n"/>
      <c r="G474" s="143" t="n"/>
      <c r="H474" s="27" t="n"/>
    </row>
    <row r="475" ht="17.25" customHeight="1" s="322">
      <c r="A475" s="27" t="n"/>
      <c r="B475" s="506" t="n"/>
      <c r="C475" s="141" t="n"/>
      <c r="D475" s="141" t="n"/>
      <c r="E475" s="141" t="n"/>
      <c r="F475" s="141" t="n"/>
      <c r="G475" s="143" t="n"/>
      <c r="H475" s="27" t="n"/>
    </row>
    <row r="476" ht="17.25" customHeight="1" s="322">
      <c r="A476" s="27" t="n"/>
      <c r="B476" s="506" t="n"/>
      <c r="C476" s="141" t="n"/>
      <c r="D476" s="141" t="n"/>
      <c r="E476" s="141" t="n"/>
      <c r="F476" s="141" t="n"/>
      <c r="G476" s="143" t="n"/>
      <c r="H476" s="27" t="n"/>
    </row>
    <row r="477" ht="17.25" customHeight="1" s="322">
      <c r="A477" s="27" t="n"/>
      <c r="B477" s="506" t="n"/>
      <c r="C477" s="141" t="n"/>
      <c r="D477" s="141" t="n"/>
      <c r="E477" s="141" t="n"/>
      <c r="F477" s="141" t="n"/>
      <c r="G477" s="143" t="n"/>
      <c r="H477" s="27" t="n"/>
    </row>
    <row r="478" ht="17.25" customHeight="1" s="322">
      <c r="A478" s="27" t="n"/>
      <c r="B478" s="506" t="n"/>
      <c r="C478" s="141" t="n"/>
      <c r="D478" s="141" t="n"/>
      <c r="E478" s="141" t="n"/>
      <c r="F478" s="141" t="n"/>
      <c r="G478" s="143" t="n"/>
      <c r="H478" s="27" t="n"/>
    </row>
    <row r="479" ht="17.25" customHeight="1" s="322">
      <c r="A479" s="27" t="n"/>
      <c r="B479" s="506" t="n"/>
      <c r="C479" s="141" t="n"/>
      <c r="D479" s="141" t="n"/>
      <c r="E479" s="141" t="n"/>
      <c r="F479" s="141" t="n"/>
      <c r="G479" s="143" t="n"/>
      <c r="H479" s="27" t="n"/>
    </row>
    <row r="480" ht="17.25" customHeight="1" s="322">
      <c r="A480" s="27" t="n"/>
      <c r="B480" s="506" t="n"/>
      <c r="C480" s="141" t="n"/>
      <c r="D480" s="141" t="n"/>
      <c r="E480" s="141" t="n"/>
      <c r="F480" s="141" t="n"/>
      <c r="G480" s="143" t="n"/>
      <c r="H480" s="27" t="n"/>
    </row>
    <row r="481" ht="17.25" customHeight="1" s="322">
      <c r="A481" s="27" t="n"/>
      <c r="B481" s="506" t="n"/>
      <c r="C481" s="141" t="n"/>
      <c r="D481" s="141" t="n"/>
      <c r="E481" s="141" t="n"/>
      <c r="F481" s="141" t="n"/>
      <c r="G481" s="143" t="n"/>
      <c r="H481" s="27" t="n"/>
    </row>
    <row r="482" ht="17.25" customHeight="1" s="322">
      <c r="A482" s="27" t="n"/>
      <c r="B482" s="506" t="n"/>
      <c r="C482" s="141" t="n"/>
      <c r="D482" s="141" t="n"/>
      <c r="E482" s="141" t="n"/>
      <c r="F482" s="141" t="n"/>
      <c r="G482" s="143" t="n"/>
      <c r="H482" s="27" t="n"/>
    </row>
    <row r="483" ht="17.25" customHeight="1" s="322">
      <c r="A483" s="27" t="n"/>
      <c r="B483" s="506" t="n"/>
      <c r="C483" s="141" t="n"/>
      <c r="D483" s="141" t="n"/>
      <c r="E483" s="141" t="n"/>
      <c r="F483" s="141" t="n"/>
      <c r="G483" s="143" t="n"/>
      <c r="H483" s="27" t="n"/>
    </row>
    <row r="484" ht="17.25" customHeight="1" s="322">
      <c r="A484" s="27" t="n"/>
      <c r="B484" s="506" t="n"/>
      <c r="C484" s="141" t="n"/>
      <c r="D484" s="141" t="n"/>
      <c r="E484" s="141" t="n"/>
      <c r="F484" s="141" t="n"/>
      <c r="G484" s="143" t="n"/>
      <c r="H484" s="27" t="n"/>
    </row>
    <row r="485" ht="17.25" customHeight="1" s="322">
      <c r="A485" s="27" t="n"/>
      <c r="B485" s="506" t="n"/>
      <c r="C485" s="141" t="n"/>
      <c r="D485" s="141" t="n"/>
      <c r="E485" s="141" t="n"/>
      <c r="F485" s="141" t="n"/>
      <c r="G485" s="143" t="n"/>
      <c r="H485" s="27" t="n"/>
    </row>
    <row r="486" ht="17.25" customHeight="1" s="322">
      <c r="A486" s="27" t="n"/>
      <c r="B486" s="506" t="n"/>
      <c r="C486" s="141" t="n"/>
      <c r="D486" s="141" t="n"/>
      <c r="E486" s="141" t="n"/>
      <c r="F486" s="141" t="n"/>
      <c r="G486" s="143" t="n"/>
      <c r="H486" s="27" t="n"/>
    </row>
    <row r="487" ht="17.25" customHeight="1" s="322">
      <c r="A487" s="27" t="n"/>
      <c r="B487" s="506" t="n"/>
      <c r="C487" s="141" t="n"/>
      <c r="D487" s="141" t="n"/>
      <c r="E487" s="141" t="n"/>
      <c r="F487" s="141" t="n"/>
      <c r="G487" s="143" t="n"/>
      <c r="H487" s="27" t="n"/>
    </row>
    <row r="488" ht="17.25" customHeight="1" s="322">
      <c r="A488" s="27" t="n"/>
      <c r="B488" s="506" t="n"/>
      <c r="C488" s="141" t="n"/>
      <c r="D488" s="141" t="n"/>
      <c r="E488" s="141" t="n"/>
      <c r="F488" s="141" t="n"/>
      <c r="G488" s="143" t="n"/>
      <c r="H488" s="27" t="n"/>
    </row>
    <row r="489" ht="17.25" customHeight="1" s="322">
      <c r="A489" s="27" t="n"/>
      <c r="B489" s="506" t="n"/>
      <c r="C489" s="141" t="n"/>
      <c r="D489" s="141" t="n"/>
      <c r="E489" s="141" t="n"/>
      <c r="F489" s="141" t="n"/>
      <c r="G489" s="143" t="n"/>
      <c r="H489" s="27" t="n"/>
    </row>
    <row r="490" ht="17.25" customHeight="1" s="322">
      <c r="A490" s="27" t="n"/>
      <c r="B490" s="506" t="n"/>
      <c r="C490" s="141" t="n"/>
      <c r="D490" s="141" t="n"/>
      <c r="E490" s="141" t="n"/>
      <c r="F490" s="141" t="n"/>
      <c r="G490" s="143" t="n"/>
      <c r="H490" s="27" t="n"/>
    </row>
    <row r="491" ht="17.25" customHeight="1" s="322">
      <c r="A491" s="27" t="n"/>
      <c r="B491" s="506" t="n"/>
      <c r="C491" s="141" t="n"/>
      <c r="D491" s="141" t="n"/>
      <c r="E491" s="141" t="n"/>
      <c r="F491" s="141" t="n"/>
      <c r="G491" s="143" t="n"/>
      <c r="H491" s="27" t="n"/>
    </row>
    <row r="492" ht="17.25" customHeight="1" s="322">
      <c r="A492" s="27" t="n"/>
      <c r="B492" s="506" t="n"/>
      <c r="C492" s="141" t="n"/>
      <c r="D492" s="141" t="n"/>
      <c r="E492" s="141" t="n"/>
      <c r="F492" s="141" t="n"/>
      <c r="G492" s="143" t="n"/>
      <c r="H492" s="27" t="n"/>
    </row>
    <row r="493" ht="17.25" customHeight="1" s="322">
      <c r="A493" s="27" t="n"/>
      <c r="B493" s="506" t="n"/>
      <c r="C493" s="141" t="n"/>
      <c r="D493" s="141" t="n"/>
      <c r="E493" s="141" t="n"/>
      <c r="F493" s="141" t="n"/>
      <c r="G493" s="143" t="n"/>
      <c r="H493" s="27" t="n"/>
    </row>
    <row r="494" ht="17.25" customHeight="1" s="322">
      <c r="A494" s="27" t="n"/>
      <c r="B494" s="506" t="n"/>
      <c r="C494" s="141" t="n"/>
      <c r="D494" s="141" t="n"/>
      <c r="E494" s="141" t="n"/>
      <c r="F494" s="141" t="n"/>
      <c r="G494" s="143" t="n"/>
      <c r="H494" s="27" t="n"/>
    </row>
    <row r="495" ht="17.25" customHeight="1" s="322">
      <c r="A495" s="27" t="n"/>
      <c r="B495" s="506" t="n"/>
      <c r="C495" s="141" t="n"/>
      <c r="D495" s="141" t="n"/>
      <c r="E495" s="141" t="n"/>
      <c r="F495" s="141" t="n"/>
      <c r="G495" s="143" t="n"/>
      <c r="H495" s="27" t="n"/>
    </row>
    <row r="496" ht="17.25" customHeight="1" s="322">
      <c r="A496" s="27" t="n"/>
      <c r="B496" s="506" t="n"/>
      <c r="C496" s="141" t="n"/>
      <c r="D496" s="141" t="n"/>
      <c r="E496" s="141" t="n"/>
      <c r="F496" s="141" t="n"/>
      <c r="G496" s="143" t="n"/>
      <c r="H496" s="27" t="n"/>
    </row>
    <row r="497" ht="17.25" customHeight="1" s="322">
      <c r="A497" s="27" t="n"/>
      <c r="B497" s="506" t="n"/>
      <c r="C497" s="141" t="n"/>
      <c r="D497" s="141" t="n"/>
      <c r="E497" s="141" t="n"/>
      <c r="F497" s="141" t="n"/>
      <c r="G497" s="143" t="n"/>
      <c r="H497" s="27" t="n"/>
    </row>
    <row r="498" ht="17.25" customHeight="1" s="322">
      <c r="A498" s="27" t="n"/>
      <c r="B498" s="506" t="n"/>
      <c r="C498" s="141" t="n"/>
      <c r="D498" s="141" t="n"/>
      <c r="E498" s="141" t="n"/>
      <c r="F498" s="141" t="n"/>
      <c r="G498" s="143" t="n"/>
      <c r="H498" s="27" t="n"/>
    </row>
    <row r="499" ht="17.25" customHeight="1" s="322">
      <c r="A499" s="27" t="n"/>
      <c r="B499" s="506" t="n"/>
      <c r="C499" s="141" t="n"/>
      <c r="D499" s="141" t="n"/>
      <c r="E499" s="141" t="n"/>
      <c r="F499" s="141" t="n"/>
      <c r="G499" s="143" t="n"/>
      <c r="H499" s="27" t="n"/>
    </row>
    <row r="500" ht="17.25" customHeight="1" s="322">
      <c r="A500" s="27" t="n"/>
      <c r="B500" s="506" t="n"/>
      <c r="C500" s="141" t="n"/>
      <c r="D500" s="141" t="n"/>
      <c r="E500" s="141" t="n"/>
      <c r="F500" s="141" t="n"/>
      <c r="G500" s="143" t="n"/>
      <c r="H500" s="27" t="n"/>
    </row>
    <row r="501" ht="17.25" customHeight="1" s="322">
      <c r="A501" s="27" t="n"/>
      <c r="B501" s="506" t="n"/>
      <c r="C501" s="141" t="n"/>
      <c r="D501" s="141" t="n"/>
      <c r="E501" s="141" t="n"/>
      <c r="F501" s="141" t="n"/>
      <c r="G501" s="143" t="n"/>
      <c r="H501" s="27" t="n"/>
    </row>
    <row r="502" ht="17.25" customHeight="1" s="322">
      <c r="A502" s="27" t="n"/>
      <c r="B502" s="506" t="n"/>
      <c r="C502" s="141" t="n"/>
      <c r="D502" s="141" t="n"/>
      <c r="E502" s="141" t="n"/>
      <c r="F502" s="141" t="n"/>
      <c r="G502" s="143" t="n"/>
      <c r="H502" s="27" t="n"/>
    </row>
    <row r="503" ht="17.25" customHeight="1" s="322">
      <c r="A503" s="27" t="n"/>
      <c r="B503" s="506" t="n"/>
      <c r="C503" s="141" t="n"/>
      <c r="D503" s="141" t="n"/>
      <c r="E503" s="141" t="n"/>
      <c r="F503" s="141" t="n"/>
      <c r="G503" s="143" t="n"/>
      <c r="H503" s="27" t="n"/>
    </row>
    <row r="504" ht="17.25" customHeight="1" s="322">
      <c r="A504" s="27" t="n"/>
      <c r="B504" s="506" t="n"/>
      <c r="C504" s="141" t="n"/>
      <c r="D504" s="141" t="n"/>
      <c r="E504" s="141" t="n"/>
      <c r="F504" s="141" t="n"/>
      <c r="G504" s="143" t="n"/>
      <c r="H504" s="27" t="n"/>
    </row>
    <row r="505" ht="17.25" customHeight="1" s="322">
      <c r="A505" s="27" t="n"/>
      <c r="B505" s="506" t="n"/>
      <c r="C505" s="141" t="n"/>
      <c r="D505" s="141" t="n"/>
      <c r="E505" s="141" t="n"/>
      <c r="F505" s="141" t="n"/>
      <c r="G505" s="143" t="n"/>
      <c r="H505" s="27" t="n"/>
    </row>
    <row r="506" ht="17.25" customHeight="1" s="322">
      <c r="A506" s="27" t="n"/>
      <c r="B506" s="506" t="n"/>
      <c r="C506" s="141" t="n"/>
      <c r="D506" s="141" t="n"/>
      <c r="E506" s="141" t="n"/>
      <c r="F506" s="141" t="n"/>
      <c r="G506" s="143" t="n"/>
      <c r="H506" s="27" t="n"/>
    </row>
    <row r="507" ht="17.25" customHeight="1" s="322">
      <c r="A507" s="27" t="n"/>
      <c r="B507" s="506" t="n"/>
      <c r="C507" s="141" t="n"/>
      <c r="D507" s="141" t="n"/>
      <c r="E507" s="141" t="n"/>
      <c r="F507" s="141" t="n"/>
      <c r="G507" s="143" t="n"/>
      <c r="H507" s="27" t="n"/>
    </row>
    <row r="508" ht="17.25" customHeight="1" s="322">
      <c r="A508" s="27" t="n"/>
      <c r="B508" s="506" t="n"/>
      <c r="C508" s="141" t="n"/>
      <c r="D508" s="141" t="n"/>
      <c r="E508" s="141" t="n"/>
      <c r="F508" s="141" t="n"/>
      <c r="G508" s="143" t="n"/>
      <c r="H508" s="27" t="n"/>
    </row>
    <row r="509" ht="17.25" customHeight="1" s="322">
      <c r="A509" s="27" t="n"/>
      <c r="B509" s="506" t="n"/>
      <c r="C509" s="141" t="n"/>
      <c r="D509" s="141" t="n"/>
      <c r="E509" s="141" t="n"/>
      <c r="F509" s="141" t="n"/>
      <c r="G509" s="143" t="n"/>
      <c r="H509" s="27" t="n"/>
    </row>
    <row r="510" ht="17.25" customHeight="1" s="322">
      <c r="A510" s="27" t="n"/>
      <c r="B510" s="506" t="n"/>
      <c r="C510" s="141" t="n"/>
      <c r="D510" s="141" t="n"/>
      <c r="E510" s="141" t="n"/>
      <c r="F510" s="141" t="n"/>
      <c r="G510" s="143" t="n"/>
      <c r="H510" s="27" t="n"/>
    </row>
    <row r="511" ht="17.25" customHeight="1" s="322">
      <c r="A511" s="27" t="n"/>
      <c r="B511" s="506" t="n"/>
      <c r="C511" s="141" t="n"/>
      <c r="D511" s="141" t="n"/>
      <c r="E511" s="141" t="n"/>
      <c r="F511" s="141" t="n"/>
      <c r="G511" s="143" t="n"/>
      <c r="H511" s="27" t="n"/>
    </row>
    <row r="512" ht="17.25" customHeight="1" s="322">
      <c r="A512" s="27" t="n"/>
      <c r="B512" s="506" t="n"/>
      <c r="C512" s="141" t="n"/>
      <c r="D512" s="141" t="n"/>
      <c r="E512" s="141" t="n"/>
      <c r="F512" s="141" t="n"/>
      <c r="G512" s="143" t="n"/>
      <c r="H512" s="27" t="n"/>
    </row>
    <row r="513" ht="17.25" customHeight="1" s="322">
      <c r="A513" s="27" t="n"/>
      <c r="B513" s="506" t="n"/>
      <c r="C513" s="141" t="n"/>
      <c r="D513" s="141" t="n"/>
      <c r="E513" s="141" t="n"/>
      <c r="F513" s="141" t="n"/>
      <c r="G513" s="143" t="n"/>
      <c r="H513" s="27" t="n"/>
    </row>
    <row r="514" ht="17.25" customHeight="1" s="322">
      <c r="A514" s="27" t="n"/>
      <c r="B514" s="506" t="n"/>
      <c r="C514" s="141" t="n"/>
      <c r="D514" s="141" t="n"/>
      <c r="E514" s="141" t="n"/>
      <c r="F514" s="141" t="n"/>
      <c r="G514" s="143" t="n"/>
      <c r="H514" s="27" t="n"/>
    </row>
    <row r="515" ht="17.25" customHeight="1" s="322">
      <c r="A515" s="27" t="n"/>
      <c r="B515" s="506" t="n"/>
      <c r="C515" s="141" t="n"/>
      <c r="D515" s="141" t="n"/>
      <c r="E515" s="141" t="n"/>
      <c r="F515" s="141" t="n"/>
      <c r="G515" s="143" t="n"/>
      <c r="H515" s="27" t="n"/>
    </row>
    <row r="516" ht="17.25" customHeight="1" s="322">
      <c r="A516" s="27" t="n"/>
      <c r="B516" s="506" t="n"/>
      <c r="C516" s="141" t="n"/>
      <c r="D516" s="141" t="n"/>
      <c r="E516" s="141" t="n"/>
      <c r="F516" s="141" t="n"/>
      <c r="G516" s="143" t="n"/>
      <c r="H516" s="27" t="n"/>
    </row>
    <row r="517" ht="17.25" customHeight="1" s="322">
      <c r="A517" s="27" t="n"/>
      <c r="B517" s="506" t="n"/>
      <c r="C517" s="141" t="n"/>
      <c r="D517" s="141" t="n"/>
      <c r="E517" s="141" t="n"/>
      <c r="F517" s="141" t="n"/>
      <c r="G517" s="143" t="n"/>
      <c r="H517" s="27" t="n"/>
    </row>
    <row r="518" ht="17.25" customHeight="1" s="322">
      <c r="A518" s="27" t="n"/>
      <c r="B518" s="506" t="n"/>
      <c r="C518" s="141" t="n"/>
      <c r="D518" s="141" t="n"/>
      <c r="E518" s="141" t="n"/>
      <c r="F518" s="141" t="n"/>
      <c r="G518" s="143" t="n"/>
      <c r="H518" s="27" t="n"/>
    </row>
    <row r="519" ht="17.25" customHeight="1" s="322">
      <c r="A519" s="27" t="n"/>
      <c r="B519" s="506" t="n"/>
      <c r="C519" s="141" t="n"/>
      <c r="D519" s="141" t="n"/>
      <c r="E519" s="141" t="n"/>
      <c r="F519" s="141" t="n"/>
      <c r="G519" s="143" t="n"/>
      <c r="H519" s="27" t="n"/>
    </row>
    <row r="520" ht="17.25" customHeight="1" s="322">
      <c r="A520" s="27" t="n"/>
      <c r="B520" s="506" t="n"/>
      <c r="C520" s="141" t="n"/>
      <c r="D520" s="141" t="n"/>
      <c r="E520" s="141" t="n"/>
      <c r="F520" s="141" t="n"/>
      <c r="G520" s="143" t="n"/>
      <c r="H520" s="27" t="n"/>
    </row>
    <row r="521" ht="17.25" customHeight="1" s="322">
      <c r="A521" s="27" t="n"/>
      <c r="B521" s="506" t="n"/>
      <c r="C521" s="141" t="n"/>
      <c r="D521" s="141" t="n"/>
      <c r="E521" s="141" t="n"/>
      <c r="F521" s="141" t="n"/>
      <c r="G521" s="143" t="n"/>
      <c r="H521" s="27" t="n"/>
    </row>
    <row r="522" ht="17.25" customHeight="1" s="322">
      <c r="A522" s="27" t="n"/>
      <c r="B522" s="506" t="n"/>
      <c r="C522" s="141" t="n"/>
      <c r="D522" s="141" t="n"/>
      <c r="E522" s="141" t="n"/>
      <c r="F522" s="141" t="n"/>
      <c r="G522" s="143" t="n"/>
      <c r="H522" s="27" t="n"/>
    </row>
    <row r="523" ht="17.25" customHeight="1" s="322">
      <c r="A523" s="27" t="n"/>
      <c r="B523" s="506" t="n"/>
      <c r="C523" s="141" t="n"/>
      <c r="D523" s="141" t="n"/>
      <c r="E523" s="141" t="n"/>
      <c r="F523" s="141" t="n"/>
      <c r="G523" s="143" t="n"/>
      <c r="H523" s="27" t="n"/>
    </row>
    <row r="524" ht="17.25" customHeight="1" s="322">
      <c r="A524" s="27" t="n"/>
      <c r="B524" s="506" t="n"/>
      <c r="C524" s="141" t="n"/>
      <c r="D524" s="141" t="n"/>
      <c r="E524" s="141" t="n"/>
      <c r="F524" s="141" t="n"/>
      <c r="G524" s="143" t="n"/>
      <c r="H524" s="27" t="n"/>
    </row>
    <row r="525" ht="17.25" customHeight="1" s="322">
      <c r="A525" s="27" t="n"/>
      <c r="B525" s="506" t="n"/>
      <c r="C525" s="141" t="n"/>
      <c r="D525" s="141" t="n"/>
      <c r="E525" s="141" t="n"/>
      <c r="F525" s="141" t="n"/>
      <c r="G525" s="143" t="n"/>
      <c r="H525" s="27" t="n"/>
    </row>
    <row r="526" ht="17.25" customHeight="1" s="322">
      <c r="A526" s="27" t="n"/>
      <c r="B526" s="506" t="n"/>
      <c r="C526" s="141" t="n"/>
      <c r="D526" s="141" t="n"/>
      <c r="E526" s="141" t="n"/>
      <c r="F526" s="141" t="n"/>
      <c r="G526" s="143" t="n"/>
      <c r="H526" s="27" t="n"/>
    </row>
    <row r="527" ht="17.25" customHeight="1" s="322">
      <c r="A527" s="27" t="n"/>
      <c r="B527" s="506" t="n"/>
      <c r="C527" s="141" t="n"/>
      <c r="D527" s="141" t="n"/>
      <c r="E527" s="141" t="n"/>
      <c r="F527" s="141" t="n"/>
      <c r="G527" s="143" t="n"/>
      <c r="H527" s="27" t="n"/>
    </row>
    <row r="528" ht="17.25" customHeight="1" s="322">
      <c r="A528" s="27" t="n"/>
      <c r="B528" s="506" t="n"/>
      <c r="C528" s="141" t="n"/>
      <c r="D528" s="141" t="n"/>
      <c r="E528" s="141" t="n"/>
      <c r="F528" s="141" t="n"/>
      <c r="G528" s="143" t="n"/>
      <c r="H528" s="27" t="n"/>
    </row>
    <row r="529" ht="17.25" customHeight="1" s="322">
      <c r="A529" s="27" t="n"/>
      <c r="B529" s="506" t="n"/>
      <c r="C529" s="141" t="n"/>
      <c r="D529" s="141" t="n"/>
      <c r="E529" s="141" t="n"/>
      <c r="F529" s="141" t="n"/>
      <c r="G529" s="143" t="n"/>
      <c r="H529" s="27" t="n"/>
    </row>
    <row r="530" ht="17.25" customHeight="1" s="322">
      <c r="A530" s="27" t="n"/>
      <c r="B530" s="506" t="n"/>
      <c r="C530" s="141" t="n"/>
      <c r="D530" s="141" t="n"/>
      <c r="E530" s="141" t="n"/>
      <c r="F530" s="141" t="n"/>
      <c r="G530" s="143" t="n"/>
      <c r="H530" s="27" t="n"/>
    </row>
    <row r="531" ht="17.25" customHeight="1" s="322">
      <c r="A531" s="27" t="n"/>
      <c r="B531" s="506" t="n"/>
      <c r="C531" s="141" t="n"/>
      <c r="D531" s="141" t="n"/>
      <c r="E531" s="141" t="n"/>
      <c r="F531" s="141" t="n"/>
      <c r="G531" s="143" t="n"/>
      <c r="H531" s="27" t="n"/>
    </row>
    <row r="532" ht="17.25" customHeight="1" s="322">
      <c r="A532" s="27" t="n"/>
      <c r="B532" s="506" t="n"/>
      <c r="C532" s="141" t="n"/>
      <c r="D532" s="141" t="n"/>
      <c r="E532" s="141" t="n"/>
      <c r="F532" s="141" t="n"/>
      <c r="G532" s="143" t="n"/>
      <c r="H532" s="27" t="n"/>
    </row>
    <row r="533" ht="17.25" customHeight="1" s="322">
      <c r="A533" s="27" t="n"/>
      <c r="B533" s="506" t="n"/>
      <c r="C533" s="141" t="n"/>
      <c r="D533" s="141" t="n"/>
      <c r="E533" s="141" t="n"/>
      <c r="F533" s="141" t="n"/>
      <c r="G533" s="143" t="n"/>
      <c r="H533" s="27" t="n"/>
    </row>
    <row r="534" ht="17.25" customHeight="1" s="322">
      <c r="A534" s="27" t="n"/>
      <c r="B534" s="506" t="n"/>
      <c r="C534" s="141" t="n"/>
      <c r="D534" s="141" t="n"/>
      <c r="E534" s="141" t="n"/>
      <c r="F534" s="141" t="n"/>
      <c r="G534" s="143" t="n"/>
      <c r="H534" s="27" t="n"/>
    </row>
    <row r="535" ht="17.25" customHeight="1" s="322">
      <c r="A535" s="27" t="n"/>
      <c r="B535" s="506" t="n"/>
      <c r="C535" s="141" t="n"/>
      <c r="D535" s="141" t="n"/>
      <c r="E535" s="141" t="n"/>
      <c r="F535" s="141" t="n"/>
      <c r="G535" s="143" t="n"/>
      <c r="H535" s="27" t="n"/>
    </row>
    <row r="536" ht="17.25" customHeight="1" s="322">
      <c r="A536" s="27" t="n"/>
      <c r="B536" s="506" t="n"/>
      <c r="C536" s="141" t="n"/>
      <c r="D536" s="141" t="n"/>
      <c r="E536" s="141" t="n"/>
      <c r="F536" s="141" t="n"/>
      <c r="G536" s="143" t="n"/>
      <c r="H536" s="27" t="n"/>
    </row>
    <row r="537" ht="17.25" customHeight="1" s="322">
      <c r="A537" s="27" t="n"/>
      <c r="B537" s="506" t="n"/>
      <c r="C537" s="141" t="n"/>
      <c r="D537" s="141" t="n"/>
      <c r="E537" s="141" t="n"/>
      <c r="F537" s="141" t="n"/>
      <c r="G537" s="143" t="n"/>
      <c r="H537" s="27" t="n"/>
    </row>
    <row r="538" ht="17.25" customHeight="1" s="322">
      <c r="A538" s="27" t="n"/>
      <c r="B538" s="506" t="n"/>
      <c r="C538" s="141" t="n"/>
      <c r="D538" s="141" t="n"/>
      <c r="E538" s="141" t="n"/>
      <c r="F538" s="141" t="n"/>
      <c r="G538" s="143" t="n"/>
      <c r="H538" s="27" t="n"/>
    </row>
    <row r="539" ht="17.25" customHeight="1" s="322">
      <c r="A539" s="27" t="n"/>
      <c r="B539" s="506" t="n"/>
      <c r="C539" s="141" t="n"/>
      <c r="D539" s="141" t="n"/>
      <c r="E539" s="141" t="n"/>
      <c r="F539" s="141" t="n"/>
      <c r="G539" s="143" t="n"/>
      <c r="H539" s="27" t="n"/>
    </row>
    <row r="540" ht="17.25" customHeight="1" s="322">
      <c r="A540" s="27" t="n"/>
      <c r="B540" s="506" t="n"/>
      <c r="C540" s="141" t="n"/>
      <c r="D540" s="141" t="n"/>
      <c r="E540" s="141" t="n"/>
      <c r="F540" s="141" t="n"/>
      <c r="G540" s="143" t="n"/>
      <c r="H540" s="27" t="n"/>
    </row>
    <row r="541" ht="17.25" customHeight="1" s="322">
      <c r="A541" s="27" t="n"/>
      <c r="B541" s="506" t="n"/>
      <c r="C541" s="141" t="n"/>
      <c r="D541" s="141" t="n"/>
      <c r="E541" s="141" t="n"/>
      <c r="F541" s="141" t="n"/>
      <c r="G541" s="143" t="n"/>
      <c r="H541" s="27" t="n"/>
    </row>
    <row r="542" ht="17.25" customHeight="1" s="322">
      <c r="A542" s="27" t="n"/>
      <c r="B542" s="506" t="n"/>
      <c r="C542" s="141" t="n"/>
      <c r="D542" s="141" t="n"/>
      <c r="E542" s="141" t="n"/>
      <c r="F542" s="141" t="n"/>
      <c r="G542" s="143" t="n"/>
      <c r="H542" s="27" t="n"/>
    </row>
    <row r="543" ht="17.25" customHeight="1" s="322">
      <c r="A543" s="27" t="n"/>
      <c r="B543" s="506" t="n"/>
      <c r="C543" s="141" t="n"/>
      <c r="D543" s="141" t="n"/>
      <c r="E543" s="141" t="n"/>
      <c r="F543" s="141" t="n"/>
      <c r="G543" s="143" t="n"/>
      <c r="H543" s="27" t="n"/>
    </row>
    <row r="544" ht="17.25" customHeight="1" s="322">
      <c r="A544" s="27" t="n"/>
      <c r="B544" s="506" t="n"/>
      <c r="C544" s="141" t="n"/>
      <c r="D544" s="141" t="n"/>
      <c r="E544" s="141" t="n"/>
      <c r="F544" s="141" t="n"/>
      <c r="G544" s="143" t="n"/>
      <c r="H544" s="27" t="n"/>
    </row>
    <row r="545" ht="17.25" customHeight="1" s="322">
      <c r="A545" s="27" t="n"/>
      <c r="B545" s="506" t="n"/>
      <c r="C545" s="141" t="n"/>
      <c r="D545" s="141" t="n"/>
      <c r="E545" s="141" t="n"/>
      <c r="F545" s="141" t="n"/>
      <c r="G545" s="143" t="n"/>
      <c r="H545" s="27" t="n"/>
    </row>
    <row r="546" ht="17.25" customHeight="1" s="322">
      <c r="A546" s="27" t="n"/>
      <c r="B546" s="506" t="n"/>
      <c r="C546" s="141" t="n"/>
      <c r="D546" s="141" t="n"/>
      <c r="E546" s="141" t="n"/>
      <c r="F546" s="141" t="n"/>
      <c r="G546" s="143" t="n"/>
      <c r="H546" s="27" t="n"/>
    </row>
    <row r="547" ht="17.25" customHeight="1" s="322">
      <c r="A547" s="27" t="n"/>
      <c r="B547" s="506" t="n"/>
      <c r="C547" s="141" t="n"/>
      <c r="D547" s="141" t="n"/>
      <c r="E547" s="141" t="n"/>
      <c r="F547" s="141" t="n"/>
      <c r="G547" s="143" t="n"/>
      <c r="H547" s="27" t="n"/>
    </row>
    <row r="548" ht="17.25" customHeight="1" s="322">
      <c r="A548" s="27" t="n"/>
      <c r="B548" s="506" t="n"/>
      <c r="C548" s="141" t="n"/>
      <c r="D548" s="141" t="n"/>
      <c r="E548" s="141" t="n"/>
      <c r="F548" s="141" t="n"/>
      <c r="G548" s="143" t="n"/>
      <c r="H548" s="27" t="n"/>
    </row>
    <row r="549" ht="17.25" customHeight="1" s="322">
      <c r="A549" s="27" t="n"/>
      <c r="B549" s="506" t="n"/>
      <c r="C549" s="141" t="n"/>
      <c r="D549" s="141" t="n"/>
      <c r="E549" s="141" t="n"/>
      <c r="F549" s="141" t="n"/>
      <c r="G549" s="143" t="n"/>
      <c r="H549" s="27" t="n"/>
    </row>
    <row r="550" ht="17.25" customHeight="1" s="322">
      <c r="A550" s="27" t="n"/>
      <c r="B550" s="506" t="n"/>
      <c r="C550" s="141" t="n"/>
      <c r="D550" s="141" t="n"/>
      <c r="E550" s="141" t="n"/>
      <c r="F550" s="141" t="n"/>
      <c r="G550" s="143" t="n"/>
      <c r="H550" s="27" t="n"/>
    </row>
    <row r="551" ht="17.25" customHeight="1" s="322">
      <c r="A551" s="27" t="n"/>
      <c r="B551" s="506" t="n"/>
      <c r="C551" s="141" t="n"/>
      <c r="D551" s="141" t="n"/>
      <c r="E551" s="141" t="n"/>
      <c r="F551" s="141" t="n"/>
      <c r="G551" s="143" t="n"/>
      <c r="H551" s="27" t="n"/>
    </row>
    <row r="552" ht="17.25" customHeight="1" s="322">
      <c r="A552" s="27" t="n"/>
      <c r="B552" s="506" t="n"/>
      <c r="C552" s="141" t="n"/>
      <c r="D552" s="141" t="n"/>
      <c r="E552" s="141" t="n"/>
      <c r="F552" s="141" t="n"/>
      <c r="G552" s="143" t="n"/>
      <c r="H552" s="27" t="n"/>
    </row>
    <row r="553" ht="17.25" customHeight="1" s="322">
      <c r="A553" s="27" t="n"/>
      <c r="B553" s="506" t="n"/>
      <c r="C553" s="141" t="n"/>
      <c r="D553" s="141" t="n"/>
      <c r="E553" s="141" t="n"/>
      <c r="F553" s="141" t="n"/>
      <c r="G553" s="143" t="n"/>
      <c r="H553" s="27" t="n"/>
    </row>
    <row r="554" ht="17.25" customHeight="1" s="322">
      <c r="A554" s="27" t="n"/>
      <c r="B554" s="506" t="n"/>
      <c r="C554" s="141" t="n"/>
      <c r="D554" s="141" t="n"/>
      <c r="E554" s="141" t="n"/>
      <c r="F554" s="141" t="n"/>
      <c r="G554" s="143" t="n"/>
      <c r="H554" s="27" t="n"/>
    </row>
    <row r="555" ht="17.25" customHeight="1" s="322">
      <c r="A555" s="27" t="n"/>
      <c r="B555" s="506" t="n"/>
      <c r="C555" s="141" t="n"/>
      <c r="D555" s="141" t="n"/>
      <c r="E555" s="141" t="n"/>
      <c r="F555" s="141" t="n"/>
      <c r="G555" s="143" t="n"/>
      <c r="H555" s="27" t="n"/>
    </row>
    <row r="556" ht="17.25" customHeight="1" s="322">
      <c r="A556" s="27" t="n"/>
      <c r="B556" s="506" t="n"/>
      <c r="C556" s="141" t="n"/>
      <c r="D556" s="141" t="n"/>
      <c r="E556" s="141" t="n"/>
      <c r="F556" s="141" t="n"/>
      <c r="G556" s="143" t="n"/>
      <c r="H556" s="27" t="n"/>
    </row>
    <row r="557" ht="17.25" customHeight="1" s="322">
      <c r="A557" s="27" t="n"/>
      <c r="B557" s="506" t="n"/>
      <c r="C557" s="141" t="n"/>
      <c r="D557" s="141" t="n"/>
      <c r="E557" s="141" t="n"/>
      <c r="F557" s="141" t="n"/>
      <c r="G557" s="143" t="n"/>
      <c r="H557" s="27" t="n"/>
    </row>
    <row r="558" ht="17.25" customHeight="1" s="322">
      <c r="A558" s="27" t="n"/>
      <c r="B558" s="506" t="n"/>
      <c r="C558" s="141" t="n"/>
      <c r="D558" s="141" t="n"/>
      <c r="E558" s="141" t="n"/>
      <c r="F558" s="141" t="n"/>
      <c r="G558" s="143" t="n"/>
      <c r="H558" s="27" t="n"/>
    </row>
    <row r="559" ht="17.25" customHeight="1" s="322">
      <c r="A559" s="27" t="n"/>
      <c r="B559" s="506" t="n"/>
      <c r="C559" s="141" t="n"/>
      <c r="D559" s="141" t="n"/>
      <c r="E559" s="141" t="n"/>
      <c r="F559" s="141" t="n"/>
      <c r="G559" s="143" t="n"/>
      <c r="H559" s="27" t="n"/>
    </row>
    <row r="560" ht="17.25" customHeight="1" s="322">
      <c r="A560" s="27" t="n"/>
      <c r="B560" s="506" t="n"/>
      <c r="C560" s="141" t="n"/>
      <c r="D560" s="141" t="n"/>
      <c r="E560" s="141" t="n"/>
      <c r="F560" s="141" t="n"/>
      <c r="G560" s="143" t="n"/>
      <c r="H560" s="27" t="n"/>
    </row>
    <row r="561" ht="17.25" customHeight="1" s="322">
      <c r="A561" s="27" t="n"/>
      <c r="B561" s="506" t="n"/>
      <c r="C561" s="141" t="n"/>
      <c r="D561" s="141" t="n"/>
      <c r="E561" s="141" t="n"/>
      <c r="F561" s="141" t="n"/>
      <c r="G561" s="143" t="n"/>
      <c r="H561" s="27" t="n"/>
    </row>
    <row r="562" ht="17.25" customHeight="1" s="322">
      <c r="A562" s="27" t="n"/>
      <c r="B562" s="506" t="n"/>
      <c r="C562" s="141" t="n"/>
      <c r="D562" s="141" t="n"/>
      <c r="E562" s="141" t="n"/>
      <c r="F562" s="141" t="n"/>
      <c r="G562" s="143" t="n"/>
      <c r="H562" s="27" t="n"/>
    </row>
    <row r="563" ht="17.25" customHeight="1" s="322">
      <c r="A563" s="27" t="n"/>
      <c r="B563" s="506" t="n"/>
      <c r="C563" s="141" t="n"/>
      <c r="D563" s="141" t="n"/>
      <c r="E563" s="141" t="n"/>
      <c r="F563" s="141" t="n"/>
      <c r="G563" s="143" t="n"/>
      <c r="H563" s="27" t="n"/>
    </row>
    <row r="564" ht="17.25" customHeight="1" s="322">
      <c r="A564" s="27" t="n"/>
      <c r="B564" s="506" t="n"/>
      <c r="C564" s="141" t="n"/>
      <c r="D564" s="141" t="n"/>
      <c r="E564" s="141" t="n"/>
      <c r="F564" s="141" t="n"/>
      <c r="G564" s="143" t="n"/>
      <c r="H564" s="27" t="n"/>
    </row>
    <row r="565" ht="17.25" customHeight="1" s="322">
      <c r="A565" s="27" t="n"/>
      <c r="B565" s="506" t="n"/>
      <c r="C565" s="141" t="n"/>
      <c r="D565" s="141" t="n"/>
      <c r="E565" s="141" t="n"/>
      <c r="F565" s="141" t="n"/>
      <c r="G565" s="143" t="n"/>
      <c r="H565" s="27" t="n"/>
    </row>
    <row r="566" ht="17.25" customHeight="1" s="322">
      <c r="A566" s="27" t="n"/>
      <c r="B566" s="506" t="n"/>
      <c r="C566" s="141" t="n"/>
      <c r="D566" s="141" t="n"/>
      <c r="E566" s="141" t="n"/>
      <c r="F566" s="141" t="n"/>
      <c r="G566" s="143" t="n"/>
      <c r="H566" s="27" t="n"/>
    </row>
    <row r="567" ht="17.25" customHeight="1" s="322">
      <c r="A567" s="27" t="n"/>
      <c r="B567" s="506" t="n"/>
      <c r="C567" s="141" t="n"/>
      <c r="D567" s="141" t="n"/>
      <c r="E567" s="141" t="n"/>
      <c r="F567" s="141" t="n"/>
      <c r="G567" s="143" t="n"/>
      <c r="H567" s="27" t="n"/>
    </row>
    <row r="568" ht="17.25" customHeight="1" s="322">
      <c r="A568" s="27" t="n"/>
      <c r="B568" s="506" t="n"/>
      <c r="C568" s="141" t="n"/>
      <c r="D568" s="141" t="n"/>
      <c r="E568" s="141" t="n"/>
      <c r="F568" s="141" t="n"/>
      <c r="G568" s="143" t="n"/>
      <c r="H568" s="27" t="n"/>
    </row>
    <row r="569" ht="17.25" customHeight="1" s="322">
      <c r="A569" s="27" t="n"/>
      <c r="B569" s="506" t="n"/>
      <c r="C569" s="141" t="n"/>
      <c r="D569" s="141" t="n"/>
      <c r="E569" s="141" t="n"/>
      <c r="F569" s="141" t="n"/>
      <c r="G569" s="143" t="n"/>
      <c r="H569" s="27" t="n"/>
    </row>
    <row r="570" ht="17.25" customHeight="1" s="322">
      <c r="A570" s="27" t="n"/>
      <c r="B570" s="506" t="n"/>
      <c r="C570" s="141" t="n"/>
      <c r="D570" s="141" t="n"/>
      <c r="E570" s="141" t="n"/>
      <c r="F570" s="141" t="n"/>
      <c r="G570" s="143" t="n"/>
      <c r="H570" s="27" t="n"/>
    </row>
    <row r="571" ht="17.25" customHeight="1" s="322">
      <c r="A571" s="27" t="n"/>
      <c r="B571" s="506" t="n"/>
      <c r="C571" s="141" t="n"/>
      <c r="D571" s="141" t="n"/>
      <c r="E571" s="141" t="n"/>
      <c r="F571" s="141" t="n"/>
      <c r="G571" s="143" t="n"/>
      <c r="H571" s="27" t="n"/>
    </row>
    <row r="572" ht="17.25" customHeight="1" s="322">
      <c r="A572" s="27" t="n"/>
      <c r="B572" s="506" t="n"/>
      <c r="C572" s="141" t="n"/>
      <c r="D572" s="141" t="n"/>
      <c r="E572" s="141" t="n"/>
      <c r="F572" s="141" t="n"/>
      <c r="G572" s="143" t="n"/>
      <c r="H572" s="27" t="n"/>
    </row>
    <row r="573" ht="17.25" customHeight="1" s="322">
      <c r="A573" s="27" t="n"/>
      <c r="B573" s="506" t="n"/>
      <c r="C573" s="141" t="n"/>
      <c r="D573" s="141" t="n"/>
      <c r="E573" s="141" t="n"/>
      <c r="F573" s="141" t="n"/>
      <c r="G573" s="143" t="n"/>
      <c r="H573" s="27" t="n"/>
    </row>
    <row r="574" ht="17.25" customHeight="1" s="322">
      <c r="A574" s="27" t="n"/>
      <c r="B574" s="506" t="n"/>
      <c r="C574" s="141" t="n"/>
      <c r="D574" s="141" t="n"/>
      <c r="E574" s="141" t="n"/>
      <c r="F574" s="141" t="n"/>
      <c r="G574" s="143" t="n"/>
      <c r="H574" s="27" t="n"/>
    </row>
    <row r="575" ht="17.25" customHeight="1" s="322">
      <c r="A575" s="27" t="n"/>
      <c r="B575" s="506" t="n"/>
      <c r="C575" s="141" t="n"/>
      <c r="D575" s="141" t="n"/>
      <c r="E575" s="141" t="n"/>
      <c r="F575" s="141" t="n"/>
      <c r="G575" s="143" t="n"/>
      <c r="H575" s="27" t="n"/>
    </row>
    <row r="576" ht="17.25" customHeight="1" s="322">
      <c r="A576" s="27" t="n"/>
      <c r="B576" s="506" t="n"/>
      <c r="C576" s="141" t="n"/>
      <c r="D576" s="141" t="n"/>
      <c r="E576" s="141" t="n"/>
      <c r="F576" s="141" t="n"/>
      <c r="G576" s="143" t="n"/>
      <c r="H576" s="27" t="n"/>
    </row>
    <row r="577" ht="17.25" customHeight="1" s="322">
      <c r="A577" s="27" t="n"/>
      <c r="B577" s="506" t="n"/>
      <c r="C577" s="141" t="n"/>
      <c r="D577" s="141" t="n"/>
      <c r="E577" s="141" t="n"/>
      <c r="F577" s="141" t="n"/>
      <c r="G577" s="143" t="n"/>
      <c r="H577" s="27" t="n"/>
    </row>
    <row r="578" ht="17.25" customHeight="1" s="322">
      <c r="A578" s="27" t="n"/>
      <c r="B578" s="506" t="n"/>
      <c r="C578" s="141" t="n"/>
      <c r="D578" s="141" t="n"/>
      <c r="E578" s="141" t="n"/>
      <c r="F578" s="141" t="n"/>
      <c r="G578" s="143" t="n"/>
      <c r="H578" s="27" t="n"/>
    </row>
    <row r="579" ht="17.25" customHeight="1" s="322">
      <c r="A579" s="27" t="n"/>
      <c r="B579" s="506" t="n"/>
      <c r="C579" s="141" t="n"/>
      <c r="D579" s="141" t="n"/>
      <c r="E579" s="141" t="n"/>
      <c r="F579" s="141" t="n"/>
      <c r="G579" s="143" t="n"/>
      <c r="H579" s="27" t="n"/>
    </row>
    <row r="580" ht="17.25" customHeight="1" s="322">
      <c r="A580" s="27" t="n"/>
      <c r="B580" s="506" t="n"/>
      <c r="C580" s="141" t="n"/>
      <c r="D580" s="141" t="n"/>
      <c r="E580" s="141" t="n"/>
      <c r="F580" s="141" t="n"/>
      <c r="G580" s="143" t="n"/>
      <c r="H580" s="27" t="n"/>
    </row>
    <row r="581" ht="17.25" customHeight="1" s="322">
      <c r="A581" s="27" t="n"/>
      <c r="B581" s="506" t="n"/>
      <c r="C581" s="141" t="n"/>
      <c r="D581" s="141" t="n"/>
      <c r="E581" s="141" t="n"/>
      <c r="F581" s="141" t="n"/>
      <c r="G581" s="143" t="n"/>
      <c r="H581" s="27" t="n"/>
    </row>
    <row r="582" ht="17.25" customHeight="1" s="322">
      <c r="A582" s="27" t="n"/>
      <c r="B582" s="506" t="n"/>
      <c r="C582" s="141" t="n"/>
      <c r="D582" s="141" t="n"/>
      <c r="E582" s="141" t="n"/>
      <c r="F582" s="141" t="n"/>
      <c r="G582" s="143" t="n"/>
      <c r="H582" s="27" t="n"/>
    </row>
    <row r="583" ht="17.25" customHeight="1" s="322">
      <c r="A583" s="27" t="n"/>
      <c r="B583" s="506" t="n"/>
      <c r="C583" s="141" t="n"/>
      <c r="D583" s="141" t="n"/>
      <c r="E583" s="141" t="n"/>
      <c r="F583" s="141" t="n"/>
      <c r="G583" s="143" t="n"/>
      <c r="H583" s="27" t="n"/>
    </row>
    <row r="584" ht="17.25" customHeight="1" s="322">
      <c r="A584" s="27" t="n"/>
      <c r="B584" s="506" t="n"/>
      <c r="C584" s="141" t="n"/>
      <c r="D584" s="141" t="n"/>
      <c r="E584" s="141" t="n"/>
      <c r="F584" s="141" t="n"/>
      <c r="G584" s="143" t="n"/>
      <c r="H584" s="27" t="n"/>
    </row>
    <row r="585" ht="17.25" customHeight="1" s="322">
      <c r="A585" s="27" t="n"/>
      <c r="B585" s="506" t="n"/>
      <c r="C585" s="141" t="n"/>
      <c r="D585" s="141" t="n"/>
      <c r="E585" s="141" t="n"/>
      <c r="F585" s="141" t="n"/>
      <c r="G585" s="143" t="n"/>
      <c r="H585" s="27" t="n"/>
    </row>
    <row r="586" ht="17.25" customHeight="1" s="322">
      <c r="A586" s="27" t="n"/>
      <c r="B586" s="506" t="n"/>
      <c r="C586" s="141" t="n"/>
      <c r="D586" s="141" t="n"/>
      <c r="E586" s="141" t="n"/>
      <c r="F586" s="141" t="n"/>
      <c r="G586" s="143" t="n"/>
      <c r="H586" s="27" t="n"/>
    </row>
    <row r="587" ht="17.25" customHeight="1" s="322">
      <c r="A587" s="27" t="n"/>
      <c r="B587" s="506" t="n"/>
      <c r="C587" s="141" t="n"/>
      <c r="D587" s="141" t="n"/>
      <c r="E587" s="141" t="n"/>
      <c r="F587" s="141" t="n"/>
      <c r="G587" s="143" t="n"/>
      <c r="H587" s="27" t="n"/>
    </row>
    <row r="588" ht="17.25" customHeight="1" s="322">
      <c r="A588" s="27" t="n"/>
      <c r="B588" s="506" t="n"/>
      <c r="C588" s="141" t="n"/>
      <c r="D588" s="141" t="n"/>
      <c r="E588" s="141" t="n"/>
      <c r="F588" s="141" t="n"/>
      <c r="G588" s="143" t="n"/>
      <c r="H588" s="27" t="n"/>
    </row>
    <row r="589" ht="17.25" customHeight="1" s="322">
      <c r="A589" s="27" t="n"/>
      <c r="B589" s="506" t="n"/>
      <c r="C589" s="141" t="n"/>
      <c r="D589" s="141" t="n"/>
      <c r="E589" s="141" t="n"/>
      <c r="F589" s="141" t="n"/>
      <c r="G589" s="143" t="n"/>
      <c r="H589" s="27" t="n"/>
    </row>
    <row r="590" ht="17.25" customHeight="1" s="322">
      <c r="A590" s="27" t="n"/>
      <c r="B590" s="506" t="n"/>
      <c r="C590" s="141" t="n"/>
      <c r="D590" s="141" t="n"/>
      <c r="E590" s="141" t="n"/>
      <c r="F590" s="141" t="n"/>
      <c r="G590" s="143" t="n"/>
      <c r="H590" s="27" t="n"/>
    </row>
    <row r="591" ht="17.25" customHeight="1" s="322">
      <c r="A591" s="27" t="n"/>
      <c r="B591" s="506" t="n"/>
      <c r="C591" s="141" t="n"/>
      <c r="D591" s="141" t="n"/>
      <c r="E591" s="141" t="n"/>
      <c r="F591" s="141" t="n"/>
      <c r="G591" s="143" t="n"/>
      <c r="H591" s="27" t="n"/>
    </row>
    <row r="592" ht="17.25" customHeight="1" s="322">
      <c r="A592" s="27" t="n"/>
      <c r="B592" s="506" t="n"/>
      <c r="C592" s="141" t="n"/>
      <c r="D592" s="141" t="n"/>
      <c r="E592" s="141" t="n"/>
      <c r="F592" s="141" t="n"/>
      <c r="G592" s="143" t="n"/>
      <c r="H592" s="27" t="n"/>
    </row>
    <row r="593" ht="17.25" customHeight="1" s="322">
      <c r="A593" s="27" t="n"/>
      <c r="B593" s="506" t="n"/>
      <c r="C593" s="141" t="n"/>
      <c r="D593" s="141" t="n"/>
      <c r="E593" s="141" t="n"/>
      <c r="F593" s="141" t="n"/>
      <c r="G593" s="143" t="n"/>
      <c r="H593" s="27" t="n"/>
    </row>
    <row r="594" ht="17.25" customHeight="1" s="322">
      <c r="A594" s="27" t="n"/>
      <c r="B594" s="506" t="n"/>
      <c r="C594" s="141" t="n"/>
      <c r="D594" s="141" t="n"/>
      <c r="E594" s="141" t="n"/>
      <c r="F594" s="141" t="n"/>
      <c r="G594" s="143" t="n"/>
      <c r="H594" s="27" t="n"/>
    </row>
    <row r="595" ht="17.25" customHeight="1" s="322">
      <c r="A595" s="27" t="n"/>
      <c r="B595" s="506" t="n"/>
      <c r="C595" s="141" t="n"/>
      <c r="D595" s="141" t="n"/>
      <c r="E595" s="141" t="n"/>
      <c r="F595" s="141" t="n"/>
      <c r="G595" s="143" t="n"/>
      <c r="H595" s="27" t="n"/>
    </row>
    <row r="596" ht="17.25" customHeight="1" s="322">
      <c r="A596" s="27" t="n"/>
      <c r="B596" s="506" t="n"/>
      <c r="C596" s="141" t="n"/>
      <c r="D596" s="141" t="n"/>
      <c r="E596" s="141" t="n"/>
      <c r="F596" s="141" t="n"/>
      <c r="G596" s="143" t="n"/>
      <c r="H596" s="27" t="n"/>
    </row>
    <row r="597" ht="17.25" customHeight="1" s="322">
      <c r="A597" s="27" t="n"/>
      <c r="B597" s="506" t="n"/>
      <c r="C597" s="141" t="n"/>
      <c r="D597" s="141" t="n"/>
      <c r="E597" s="141" t="n"/>
      <c r="F597" s="141" t="n"/>
      <c r="G597" s="143" t="n"/>
      <c r="H597" s="27" t="n"/>
    </row>
    <row r="598" ht="17.25" customHeight="1" s="322">
      <c r="A598" s="27" t="n"/>
      <c r="B598" s="506" t="n"/>
      <c r="C598" s="141" t="n"/>
      <c r="D598" s="141" t="n"/>
      <c r="E598" s="141" t="n"/>
      <c r="F598" s="141" t="n"/>
      <c r="G598" s="143" t="n"/>
      <c r="H598" s="27" t="n"/>
    </row>
    <row r="599" ht="17.25" customHeight="1" s="322">
      <c r="A599" s="27" t="n"/>
      <c r="B599" s="506" t="n"/>
      <c r="C599" s="141" t="n"/>
      <c r="D599" s="141" t="n"/>
      <c r="E599" s="141" t="n"/>
      <c r="F599" s="141" t="n"/>
      <c r="G599" s="143" t="n"/>
      <c r="H599" s="27" t="n"/>
    </row>
    <row r="600" ht="17.25" customHeight="1" s="322">
      <c r="A600" s="27" t="n"/>
      <c r="B600" s="506" t="n"/>
      <c r="C600" s="141" t="n"/>
      <c r="D600" s="141" t="n"/>
      <c r="E600" s="141" t="n"/>
      <c r="F600" s="141" t="n"/>
      <c r="G600" s="143" t="n"/>
      <c r="H600" s="27" t="n"/>
    </row>
    <row r="601" ht="17.25" customHeight="1" s="322">
      <c r="A601" s="27" t="n"/>
      <c r="B601" s="506" t="n"/>
      <c r="C601" s="141" t="n"/>
      <c r="D601" s="141" t="n"/>
      <c r="E601" s="141" t="n"/>
      <c r="F601" s="141" t="n"/>
      <c r="G601" s="143" t="n"/>
      <c r="H601" s="27" t="n"/>
    </row>
    <row r="602" ht="17.25" customHeight="1" s="322">
      <c r="A602" s="27" t="n"/>
      <c r="B602" s="506" t="n"/>
      <c r="C602" s="141" t="n"/>
      <c r="D602" s="141" t="n"/>
      <c r="E602" s="141" t="n"/>
      <c r="F602" s="141" t="n"/>
      <c r="G602" s="143" t="n"/>
      <c r="H602" s="27" t="n"/>
    </row>
    <row r="603" ht="17.25" customHeight="1" s="322">
      <c r="A603" s="27" t="n"/>
      <c r="B603" s="506" t="n"/>
      <c r="C603" s="141" t="n"/>
      <c r="D603" s="141" t="n"/>
      <c r="E603" s="141" t="n"/>
      <c r="F603" s="141" t="n"/>
      <c r="G603" s="143" t="n"/>
      <c r="H603" s="27" t="n"/>
    </row>
    <row r="604" ht="17.25" customHeight="1" s="322">
      <c r="A604" s="27" t="n"/>
      <c r="B604" s="506" t="n"/>
      <c r="C604" s="141" t="n"/>
      <c r="D604" s="141" t="n"/>
      <c r="E604" s="141" t="n"/>
      <c r="F604" s="141" t="n"/>
      <c r="G604" s="143" t="n"/>
      <c r="H604" s="27" t="n"/>
    </row>
    <row r="605" ht="17.25" customHeight="1" s="322">
      <c r="A605" s="27" t="n"/>
      <c r="B605" s="506" t="n"/>
      <c r="C605" s="141" t="n"/>
      <c r="D605" s="141" t="n"/>
      <c r="E605" s="141" t="n"/>
      <c r="F605" s="141" t="n"/>
      <c r="G605" s="143" t="n"/>
      <c r="H605" s="27" t="n"/>
    </row>
    <row r="606" ht="17.25" customHeight="1" s="322">
      <c r="A606" s="27" t="n"/>
      <c r="B606" s="506" t="n"/>
      <c r="C606" s="141" t="n"/>
      <c r="D606" s="141" t="n"/>
      <c r="E606" s="141" t="n"/>
      <c r="F606" s="141" t="n"/>
      <c r="G606" s="143" t="n"/>
      <c r="H606" s="27" t="n"/>
    </row>
    <row r="607" ht="17.25" customHeight="1" s="322">
      <c r="A607" s="27" t="n"/>
      <c r="B607" s="506" t="n"/>
      <c r="C607" s="141" t="n"/>
      <c r="D607" s="141" t="n"/>
      <c r="E607" s="141" t="n"/>
      <c r="F607" s="141" t="n"/>
      <c r="G607" s="143" t="n"/>
      <c r="H607" s="27" t="n"/>
    </row>
    <row r="608" ht="17.25" customHeight="1" s="322">
      <c r="A608" s="27" t="n"/>
      <c r="B608" s="506" t="n"/>
      <c r="C608" s="141" t="n"/>
      <c r="D608" s="141" t="n"/>
      <c r="E608" s="141" t="n"/>
      <c r="F608" s="141" t="n"/>
      <c r="G608" s="143" t="n"/>
      <c r="H608" s="27" t="n"/>
    </row>
    <row r="609" ht="17.25" customHeight="1" s="322">
      <c r="A609" s="27" t="n"/>
      <c r="B609" s="506" t="n"/>
      <c r="C609" s="141" t="n"/>
      <c r="D609" s="141" t="n"/>
      <c r="E609" s="141" t="n"/>
      <c r="F609" s="141" t="n"/>
      <c r="G609" s="143" t="n"/>
      <c r="H609" s="27" t="n"/>
    </row>
    <row r="610" ht="17.25" customHeight="1" s="322">
      <c r="A610" s="27" t="n"/>
      <c r="B610" s="506" t="n"/>
      <c r="C610" s="141" t="n"/>
      <c r="D610" s="141" t="n"/>
      <c r="E610" s="141" t="n"/>
      <c r="F610" s="141" t="n"/>
      <c r="G610" s="143" t="n"/>
      <c r="H610" s="27" t="n"/>
    </row>
    <row r="611" ht="17.25" customHeight="1" s="322">
      <c r="A611" s="27" t="n"/>
      <c r="B611" s="506" t="n"/>
      <c r="C611" s="141" t="n"/>
      <c r="D611" s="141" t="n"/>
      <c r="E611" s="141" t="n"/>
      <c r="F611" s="141" t="n"/>
      <c r="G611" s="143" t="n"/>
      <c r="H611" s="27" t="n"/>
    </row>
    <row r="612" ht="17.25" customHeight="1" s="322">
      <c r="A612" s="27" t="n"/>
      <c r="B612" s="506" t="n"/>
      <c r="C612" s="141" t="n"/>
      <c r="D612" s="141" t="n"/>
      <c r="E612" s="141" t="n"/>
      <c r="F612" s="141" t="n"/>
      <c r="G612" s="143" t="n"/>
      <c r="H612" s="27" t="n"/>
    </row>
    <row r="613" ht="17.25" customHeight="1" s="322">
      <c r="A613" s="27" t="n"/>
      <c r="B613" s="506" t="n"/>
      <c r="C613" s="141" t="n"/>
      <c r="D613" s="141" t="n"/>
      <c r="E613" s="141" t="n"/>
      <c r="F613" s="141" t="n"/>
      <c r="G613" s="143" t="n"/>
      <c r="H613" s="27" t="n"/>
    </row>
    <row r="614" ht="17.25" customHeight="1" s="322">
      <c r="A614" s="27" t="n"/>
      <c r="B614" s="506" t="n"/>
      <c r="C614" s="141" t="n"/>
      <c r="D614" s="141" t="n"/>
      <c r="E614" s="141" t="n"/>
      <c r="F614" s="141" t="n"/>
      <c r="G614" s="143" t="n"/>
      <c r="H614" s="27" t="n"/>
    </row>
    <row r="615" ht="17.25" customHeight="1" s="322">
      <c r="A615" s="27" t="n"/>
      <c r="B615" s="506" t="n"/>
      <c r="C615" s="141" t="n"/>
      <c r="D615" s="141" t="n"/>
      <c r="E615" s="141" t="n"/>
      <c r="F615" s="141" t="n"/>
      <c r="G615" s="143" t="n"/>
      <c r="H615" s="27" t="n"/>
    </row>
    <row r="616" ht="17.25" customHeight="1" s="322">
      <c r="A616" s="27" t="n"/>
      <c r="B616" s="506" t="n"/>
      <c r="C616" s="141" t="n"/>
      <c r="D616" s="141" t="n"/>
      <c r="E616" s="141" t="n"/>
      <c r="F616" s="141" t="n"/>
      <c r="G616" s="143" t="n"/>
      <c r="H616" s="27" t="n"/>
    </row>
    <row r="617" ht="17.25" customHeight="1" s="322">
      <c r="A617" s="27" t="n"/>
      <c r="B617" s="506" t="n"/>
      <c r="C617" s="141" t="n"/>
      <c r="D617" s="141" t="n"/>
      <c r="E617" s="141" t="n"/>
      <c r="F617" s="141" t="n"/>
      <c r="G617" s="143" t="n"/>
      <c r="H617" s="27" t="n"/>
    </row>
    <row r="618" ht="17.25" customHeight="1" s="322">
      <c r="A618" s="27" t="n"/>
      <c r="B618" s="506" t="n"/>
      <c r="C618" s="141" t="n"/>
      <c r="D618" s="141" t="n"/>
      <c r="E618" s="141" t="n"/>
      <c r="F618" s="141" t="n"/>
      <c r="G618" s="143" t="n"/>
      <c r="H618" s="27" t="n"/>
    </row>
    <row r="619" ht="17.25" customHeight="1" s="322">
      <c r="A619" s="27" t="n"/>
      <c r="B619" s="506" t="n"/>
      <c r="C619" s="141" t="n"/>
      <c r="D619" s="141" t="n"/>
      <c r="E619" s="141" t="n"/>
      <c r="F619" s="141" t="n"/>
      <c r="G619" s="143" t="n"/>
      <c r="H619" s="27" t="n"/>
    </row>
    <row r="620" ht="17.25" customHeight="1" s="322">
      <c r="A620" s="27" t="n"/>
      <c r="B620" s="506" t="n"/>
      <c r="C620" s="141" t="n"/>
      <c r="D620" s="141" t="n"/>
      <c r="E620" s="141" t="n"/>
      <c r="F620" s="141" t="n"/>
      <c r="G620" s="143" t="n"/>
      <c r="H620" s="27" t="n"/>
    </row>
    <row r="621" ht="17.25" customHeight="1" s="322">
      <c r="A621" s="27" t="n"/>
      <c r="B621" s="506" t="n"/>
      <c r="C621" s="141" t="n"/>
      <c r="D621" s="141" t="n"/>
      <c r="E621" s="141" t="n"/>
      <c r="F621" s="141" t="n"/>
      <c r="G621" s="143" t="n"/>
      <c r="H621" s="27" t="n"/>
    </row>
    <row r="622" ht="17.25" customHeight="1" s="322">
      <c r="A622" s="27" t="n"/>
      <c r="B622" s="506" t="n"/>
      <c r="C622" s="141" t="n"/>
      <c r="D622" s="141" t="n"/>
      <c r="E622" s="141" t="n"/>
      <c r="F622" s="141" t="n"/>
      <c r="G622" s="143" t="n"/>
      <c r="H622" s="27" t="n"/>
    </row>
    <row r="623" ht="17.25" customHeight="1" s="322">
      <c r="A623" s="27" t="n"/>
      <c r="B623" s="506" t="n"/>
      <c r="C623" s="141" t="n"/>
      <c r="D623" s="141" t="n"/>
      <c r="E623" s="141" t="n"/>
      <c r="F623" s="141" t="n"/>
      <c r="G623" s="143" t="n"/>
      <c r="H623" s="27" t="n"/>
    </row>
    <row r="624" ht="17.25" customHeight="1" s="322">
      <c r="A624" s="27" t="n"/>
      <c r="B624" s="506" t="n"/>
      <c r="C624" s="141" t="n"/>
      <c r="D624" s="141" t="n"/>
      <c r="E624" s="141" t="n"/>
      <c r="F624" s="141" t="n"/>
      <c r="G624" s="143" t="n"/>
      <c r="H624" s="27" t="n"/>
    </row>
    <row r="625" ht="17.25" customHeight="1" s="322">
      <c r="A625" s="27" t="n"/>
      <c r="B625" s="506" t="n"/>
      <c r="C625" s="141" t="n"/>
      <c r="D625" s="141" t="n"/>
      <c r="E625" s="141" t="n"/>
      <c r="F625" s="141" t="n"/>
      <c r="G625" s="143" t="n"/>
      <c r="H625" s="27" t="n"/>
    </row>
    <row r="626" ht="17.25" customHeight="1" s="322">
      <c r="A626" s="27" t="n"/>
      <c r="B626" s="506" t="n"/>
      <c r="C626" s="141" t="n"/>
      <c r="D626" s="141" t="n"/>
      <c r="E626" s="141" t="n"/>
      <c r="F626" s="141" t="n"/>
      <c r="G626" s="143" t="n"/>
      <c r="H626" s="27" t="n"/>
    </row>
    <row r="627" ht="17.25" customHeight="1" s="322">
      <c r="A627" s="27" t="n"/>
      <c r="B627" s="506" t="n"/>
      <c r="C627" s="141" t="n"/>
      <c r="D627" s="141" t="n"/>
      <c r="E627" s="141" t="n"/>
      <c r="F627" s="141" t="n"/>
      <c r="G627" s="143" t="n"/>
      <c r="H627" s="27" t="n"/>
    </row>
    <row r="628" ht="17.25" customHeight="1" s="322">
      <c r="A628" s="27" t="n"/>
      <c r="B628" s="506" t="n"/>
      <c r="C628" s="141" t="n"/>
      <c r="D628" s="141" t="n"/>
      <c r="E628" s="141" t="n"/>
      <c r="F628" s="141" t="n"/>
      <c r="G628" s="143" t="n"/>
      <c r="H628" s="27" t="n"/>
    </row>
    <row r="629" ht="17.25" customHeight="1" s="322">
      <c r="A629" s="27" t="n"/>
      <c r="B629" s="506" t="n"/>
      <c r="C629" s="141" t="n"/>
      <c r="D629" s="141" t="n"/>
      <c r="E629" s="141" t="n"/>
      <c r="F629" s="141" t="n"/>
      <c r="G629" s="143" t="n"/>
      <c r="H629" s="27" t="n"/>
    </row>
    <row r="630" ht="17.25" customHeight="1" s="322">
      <c r="A630" s="27" t="n"/>
      <c r="B630" s="506" t="n"/>
      <c r="C630" s="141" t="n"/>
      <c r="D630" s="141" t="n"/>
      <c r="E630" s="141" t="n"/>
      <c r="F630" s="141" t="n"/>
      <c r="G630" s="143" t="n"/>
      <c r="H630" s="27" t="n"/>
    </row>
    <row r="631" ht="17.25" customHeight="1" s="322">
      <c r="A631" s="27" t="n"/>
      <c r="B631" s="506" t="n"/>
      <c r="C631" s="141" t="n"/>
      <c r="D631" s="141" t="n"/>
      <c r="E631" s="141" t="n"/>
      <c r="F631" s="141" t="n"/>
      <c r="G631" s="143" t="n"/>
      <c r="H631" s="27" t="n"/>
    </row>
    <row r="632" ht="17.25" customHeight="1" s="322">
      <c r="A632" s="27" t="n"/>
      <c r="B632" s="506" t="n"/>
      <c r="C632" s="141" t="n"/>
      <c r="D632" s="141" t="n"/>
      <c r="E632" s="141" t="n"/>
      <c r="F632" s="141" t="n"/>
      <c r="G632" s="143" t="n"/>
      <c r="H632" s="27" t="n"/>
    </row>
    <row r="633" ht="17.25" customHeight="1" s="322">
      <c r="A633" s="27" t="n"/>
      <c r="B633" s="506" t="n"/>
      <c r="C633" s="141" t="n"/>
      <c r="D633" s="141" t="n"/>
      <c r="E633" s="141" t="n"/>
      <c r="F633" s="141" t="n"/>
      <c r="G633" s="143" t="n"/>
      <c r="H633" s="27" t="n"/>
    </row>
    <row r="634" ht="17.25" customHeight="1" s="322">
      <c r="A634" s="27" t="n"/>
      <c r="B634" s="506" t="n"/>
      <c r="C634" s="141" t="n"/>
      <c r="D634" s="141" t="n"/>
      <c r="E634" s="141" t="n"/>
      <c r="F634" s="141" t="n"/>
      <c r="G634" s="143" t="n"/>
      <c r="H634" s="27" t="n"/>
    </row>
    <row r="635" ht="17.25" customHeight="1" s="322">
      <c r="A635" s="27" t="n"/>
      <c r="B635" s="506" t="n"/>
      <c r="C635" s="141" t="n"/>
      <c r="D635" s="141" t="n"/>
      <c r="E635" s="141" t="n"/>
      <c r="F635" s="141" t="n"/>
      <c r="G635" s="143" t="n"/>
      <c r="H635" s="27" t="n"/>
    </row>
    <row r="636" ht="17.25" customHeight="1" s="322">
      <c r="A636" s="27" t="n"/>
      <c r="B636" s="506" t="n"/>
      <c r="C636" s="141" t="n"/>
      <c r="D636" s="141" t="n"/>
      <c r="E636" s="141" t="n"/>
      <c r="F636" s="141" t="n"/>
      <c r="G636" s="143" t="n"/>
      <c r="H636" s="27" t="n"/>
    </row>
    <row r="637" ht="17.25" customHeight="1" s="322">
      <c r="A637" s="27" t="n"/>
      <c r="B637" s="506" t="n"/>
      <c r="C637" s="141" t="n"/>
      <c r="D637" s="141" t="n"/>
      <c r="E637" s="141" t="n"/>
      <c r="F637" s="141" t="n"/>
      <c r="G637" s="143" t="n"/>
      <c r="H637" s="27" t="n"/>
    </row>
    <row r="638" ht="17.25" customHeight="1" s="322">
      <c r="A638" s="27" t="n"/>
      <c r="B638" s="506" t="n"/>
      <c r="C638" s="141" t="n"/>
      <c r="D638" s="141" t="n"/>
      <c r="E638" s="141" t="n"/>
      <c r="F638" s="141" t="n"/>
      <c r="G638" s="143" t="n"/>
      <c r="H638" s="27" t="n"/>
    </row>
    <row r="639" ht="17.25" customHeight="1" s="322">
      <c r="A639" s="27" t="n"/>
      <c r="B639" s="506" t="n"/>
      <c r="C639" s="141" t="n"/>
      <c r="D639" s="141" t="n"/>
      <c r="E639" s="141" t="n"/>
      <c r="F639" s="141" t="n"/>
      <c r="G639" s="143" t="n"/>
      <c r="H639" s="27" t="n"/>
    </row>
    <row r="640" ht="17.25" customHeight="1" s="322">
      <c r="A640" s="27" t="n"/>
      <c r="B640" s="506" t="n"/>
      <c r="C640" s="141" t="n"/>
      <c r="D640" s="141" t="n"/>
      <c r="E640" s="141" t="n"/>
      <c r="F640" s="141" t="n"/>
      <c r="G640" s="143" t="n"/>
      <c r="H640" s="27" t="n"/>
    </row>
    <row r="641" ht="17.25" customHeight="1" s="322">
      <c r="A641" s="27" t="n"/>
      <c r="B641" s="506" t="n"/>
      <c r="C641" s="141" t="n"/>
      <c r="D641" s="141" t="n"/>
      <c r="E641" s="141" t="n"/>
      <c r="F641" s="141" t="n"/>
      <c r="G641" s="143" t="n"/>
      <c r="H641" s="27" t="n"/>
    </row>
    <row r="642" ht="17.25" customHeight="1" s="322">
      <c r="A642" s="27" t="n"/>
      <c r="B642" s="506" t="n"/>
      <c r="C642" s="141" t="n"/>
      <c r="D642" s="141" t="n"/>
      <c r="E642" s="141" t="n"/>
      <c r="F642" s="141" t="n"/>
      <c r="G642" s="143" t="n"/>
      <c r="H642" s="27" t="n"/>
    </row>
    <row r="643" ht="17.25" customHeight="1" s="322">
      <c r="A643" s="27" t="n"/>
      <c r="B643" s="506" t="n"/>
      <c r="C643" s="141" t="n"/>
      <c r="D643" s="141" t="n"/>
      <c r="E643" s="141" t="n"/>
      <c r="F643" s="141" t="n"/>
      <c r="G643" s="143" t="n"/>
      <c r="H643" s="27" t="n"/>
    </row>
    <row r="644" ht="17.25" customHeight="1" s="322">
      <c r="A644" s="27" t="n"/>
      <c r="B644" s="506" t="n"/>
      <c r="C644" s="141" t="n"/>
      <c r="D644" s="141" t="n"/>
      <c r="E644" s="141" t="n"/>
      <c r="F644" s="141" t="n"/>
      <c r="G644" s="143" t="n"/>
      <c r="H644" s="27" t="n"/>
    </row>
    <row r="645" ht="17.25" customHeight="1" s="322">
      <c r="A645" s="27" t="n"/>
      <c r="B645" s="506" t="n"/>
      <c r="C645" s="141" t="n"/>
      <c r="D645" s="141" t="n"/>
      <c r="E645" s="141" t="n"/>
      <c r="F645" s="141" t="n"/>
      <c r="G645" s="143" t="n"/>
      <c r="H645" s="27" t="n"/>
    </row>
    <row r="646" ht="17.25" customHeight="1" s="322">
      <c r="A646" s="27" t="n"/>
      <c r="B646" s="506" t="n"/>
      <c r="C646" s="141" t="n"/>
      <c r="D646" s="141" t="n"/>
      <c r="E646" s="141" t="n"/>
      <c r="F646" s="141" t="n"/>
      <c r="G646" s="143" t="n"/>
      <c r="H646" s="27" t="n"/>
    </row>
    <row r="647" ht="17.25" customHeight="1" s="322">
      <c r="A647" s="27" t="n"/>
      <c r="B647" s="506" t="n"/>
      <c r="C647" s="141" t="n"/>
      <c r="D647" s="141" t="n"/>
      <c r="E647" s="141" t="n"/>
      <c r="F647" s="141" t="n"/>
      <c r="G647" s="143" t="n"/>
      <c r="H647" s="27" t="n"/>
    </row>
    <row r="648" ht="17.25" customHeight="1" s="322">
      <c r="A648" s="27" t="n"/>
      <c r="B648" s="506" t="n"/>
      <c r="C648" s="141" t="n"/>
      <c r="D648" s="141" t="n"/>
      <c r="E648" s="141" t="n"/>
      <c r="F648" s="141" t="n"/>
      <c r="G648" s="143" t="n"/>
      <c r="H648" s="27" t="n"/>
    </row>
    <row r="649" ht="17.25" customHeight="1" s="322">
      <c r="A649" s="27" t="n"/>
      <c r="B649" s="506" t="n"/>
      <c r="C649" s="141" t="n"/>
      <c r="D649" s="141" t="n"/>
      <c r="E649" s="141" t="n"/>
      <c r="F649" s="141" t="n"/>
      <c r="G649" s="143" t="n"/>
      <c r="H649" s="27" t="n"/>
    </row>
    <row r="650" ht="17.25" customHeight="1" s="322">
      <c r="A650" s="27" t="n"/>
      <c r="B650" s="506" t="n"/>
      <c r="C650" s="141" t="n"/>
      <c r="D650" s="141" t="n"/>
      <c r="E650" s="141" t="n"/>
      <c r="F650" s="141" t="n"/>
      <c r="G650" s="143" t="n"/>
      <c r="H650" s="27" t="n"/>
    </row>
    <row r="651" ht="17.25" customHeight="1" s="322">
      <c r="A651" s="27" t="n"/>
      <c r="B651" s="506" t="n"/>
      <c r="C651" s="141" t="n"/>
      <c r="D651" s="141" t="n"/>
      <c r="E651" s="141" t="n"/>
      <c r="F651" s="141" t="n"/>
      <c r="G651" s="143" t="n"/>
      <c r="H651" s="27" t="n"/>
    </row>
    <row r="652" ht="17.25" customHeight="1" s="322">
      <c r="A652" s="27" t="n"/>
      <c r="B652" s="506" t="n"/>
      <c r="C652" s="141" t="n"/>
      <c r="D652" s="141" t="n"/>
      <c r="E652" s="141" t="n"/>
      <c r="F652" s="141" t="n"/>
      <c r="G652" s="143" t="n"/>
      <c r="H652" s="27" t="n"/>
    </row>
    <row r="653" ht="17.25" customHeight="1" s="322">
      <c r="A653" s="27" t="n"/>
      <c r="B653" s="506" t="n"/>
      <c r="C653" s="141" t="n"/>
      <c r="D653" s="141" t="n"/>
      <c r="E653" s="141" t="n"/>
      <c r="F653" s="141" t="n"/>
      <c r="G653" s="143" t="n"/>
      <c r="H653" s="27" t="n"/>
    </row>
    <row r="654" ht="17.25" customHeight="1" s="322">
      <c r="A654" s="27" t="n"/>
      <c r="B654" s="506" t="n"/>
      <c r="C654" s="141" t="n"/>
      <c r="D654" s="141" t="n"/>
      <c r="E654" s="141" t="n"/>
      <c r="F654" s="141" t="n"/>
      <c r="G654" s="143" t="n"/>
      <c r="H654" s="27" t="n"/>
    </row>
    <row r="655" ht="17.25" customHeight="1" s="322">
      <c r="A655" s="27" t="n"/>
      <c r="B655" s="506" t="n"/>
      <c r="C655" s="141" t="n"/>
      <c r="D655" s="141" t="n"/>
      <c r="E655" s="141" t="n"/>
      <c r="F655" s="141" t="n"/>
      <c r="G655" s="143" t="n"/>
      <c r="H655" s="27" t="n"/>
    </row>
    <row r="656" ht="17.25" customHeight="1" s="322">
      <c r="A656" s="27" t="n"/>
      <c r="B656" s="506" t="n"/>
      <c r="C656" s="141" t="n"/>
      <c r="D656" s="141" t="n"/>
      <c r="E656" s="141" t="n"/>
      <c r="F656" s="141" t="n"/>
      <c r="G656" s="143" t="n"/>
      <c r="H656" s="27" t="n"/>
    </row>
    <row r="657" ht="17.25" customHeight="1" s="322">
      <c r="A657" s="27" t="n"/>
      <c r="B657" s="506" t="n"/>
      <c r="C657" s="141" t="n"/>
      <c r="D657" s="141" t="n"/>
      <c r="E657" s="141" t="n"/>
      <c r="F657" s="141" t="n"/>
      <c r="G657" s="143" t="n"/>
      <c r="H657" s="27" t="n"/>
    </row>
    <row r="658" ht="17.25" customHeight="1" s="322">
      <c r="A658" s="27" t="n"/>
      <c r="B658" s="506" t="n"/>
      <c r="C658" s="141" t="n"/>
      <c r="D658" s="141" t="n"/>
      <c r="E658" s="141" t="n"/>
      <c r="F658" s="141" t="n"/>
      <c r="G658" s="143" t="n"/>
      <c r="H658" s="27" t="n"/>
    </row>
    <row r="659" ht="17.25" customHeight="1" s="322">
      <c r="A659" s="27" t="n"/>
      <c r="B659" s="506" t="n"/>
      <c r="C659" s="141" t="n"/>
      <c r="D659" s="141" t="n"/>
      <c r="E659" s="141" t="n"/>
      <c r="F659" s="141" t="n"/>
      <c r="G659" s="143" t="n"/>
      <c r="H659" s="27" t="n"/>
    </row>
    <row r="660" ht="17.25" customHeight="1" s="322">
      <c r="A660" s="27" t="n"/>
      <c r="B660" s="506" t="n"/>
      <c r="C660" s="141" t="n"/>
      <c r="D660" s="141" t="n"/>
      <c r="E660" s="141" t="n"/>
      <c r="F660" s="141" t="n"/>
      <c r="G660" s="143" t="n"/>
      <c r="H660" s="27" t="n"/>
    </row>
    <row r="661" ht="17.25" customHeight="1" s="322">
      <c r="A661" s="27" t="n"/>
      <c r="B661" s="506" t="n"/>
      <c r="C661" s="141" t="n"/>
      <c r="D661" s="141" t="n"/>
      <c r="E661" s="141" t="n"/>
      <c r="F661" s="141" t="n"/>
      <c r="G661" s="143" t="n"/>
      <c r="H661" s="27" t="n"/>
    </row>
    <row r="662" ht="17.25" customHeight="1" s="322">
      <c r="A662" s="27" t="n"/>
      <c r="B662" s="506" t="n"/>
      <c r="C662" s="141" t="n"/>
      <c r="D662" s="141" t="n"/>
      <c r="E662" s="141" t="n"/>
      <c r="F662" s="141" t="n"/>
      <c r="G662" s="143" t="n"/>
      <c r="H662" s="27" t="n"/>
    </row>
    <row r="663" ht="17.25" customHeight="1" s="322">
      <c r="A663" s="27" t="n"/>
      <c r="B663" s="506" t="n"/>
      <c r="C663" s="141" t="n"/>
      <c r="D663" s="141" t="n"/>
      <c r="E663" s="141" t="n"/>
      <c r="F663" s="141" t="n"/>
      <c r="G663" s="143" t="n"/>
      <c r="H663" s="27" t="n"/>
    </row>
    <row r="664" ht="17.25" customHeight="1" s="322">
      <c r="A664" s="27" t="n"/>
      <c r="B664" s="506" t="n"/>
      <c r="C664" s="141" t="n"/>
      <c r="D664" s="141" t="n"/>
      <c r="E664" s="141" t="n"/>
      <c r="F664" s="141" t="n"/>
      <c r="G664" s="143" t="n"/>
      <c r="H664" s="27" t="n"/>
    </row>
    <row r="665" ht="17.25" customHeight="1" s="322">
      <c r="A665" s="27" t="n"/>
      <c r="B665" s="506" t="n"/>
      <c r="C665" s="141" t="n"/>
      <c r="D665" s="141" t="n"/>
      <c r="E665" s="141" t="n"/>
      <c r="F665" s="141" t="n"/>
      <c r="G665" s="143" t="n"/>
      <c r="H665" s="27" t="n"/>
    </row>
    <row r="666" ht="17.25" customHeight="1" s="322">
      <c r="A666" s="27" t="n"/>
      <c r="B666" s="506" t="n"/>
      <c r="C666" s="141" t="n"/>
      <c r="D666" s="141" t="n"/>
      <c r="E666" s="141" t="n"/>
      <c r="F666" s="141" t="n"/>
      <c r="G666" s="143" t="n"/>
      <c r="H666" s="27" t="n"/>
    </row>
    <row r="667" ht="17.25" customHeight="1" s="322">
      <c r="A667" s="27" t="n"/>
      <c r="B667" s="506" t="n"/>
      <c r="C667" s="141" t="n"/>
      <c r="D667" s="141" t="n"/>
      <c r="E667" s="141" t="n"/>
      <c r="F667" s="141" t="n"/>
      <c r="G667" s="143" t="n"/>
      <c r="H667" s="27" t="n"/>
    </row>
    <row r="668" ht="17.25" customHeight="1" s="322">
      <c r="A668" s="27" t="n"/>
      <c r="B668" s="506" t="n"/>
      <c r="C668" s="141" t="n"/>
      <c r="D668" s="141" t="n"/>
      <c r="E668" s="141" t="n"/>
      <c r="F668" s="141" t="n"/>
      <c r="G668" s="143" t="n"/>
      <c r="H668" s="27" t="n"/>
    </row>
    <row r="669" ht="17.25" customHeight="1" s="322">
      <c r="A669" s="27" t="n"/>
      <c r="B669" s="506" t="n"/>
      <c r="C669" s="141" t="n"/>
      <c r="D669" s="141" t="n"/>
      <c r="E669" s="141" t="n"/>
      <c r="F669" s="141" t="n"/>
      <c r="G669" s="143" t="n"/>
      <c r="H669" s="27" t="n"/>
    </row>
    <row r="670" ht="17.25" customHeight="1" s="322">
      <c r="A670" s="27" t="n"/>
      <c r="B670" s="506" t="n"/>
      <c r="C670" s="141" t="n"/>
      <c r="D670" s="141" t="n"/>
      <c r="E670" s="141" t="n"/>
      <c r="F670" s="141" t="n"/>
      <c r="G670" s="143" t="n"/>
      <c r="H670" s="27" t="n"/>
    </row>
    <row r="671" ht="17.25" customHeight="1" s="322">
      <c r="A671" s="27" t="n"/>
      <c r="B671" s="506" t="n"/>
      <c r="C671" s="141" t="n"/>
      <c r="D671" s="141" t="n"/>
      <c r="E671" s="141" t="n"/>
      <c r="F671" s="141" t="n"/>
      <c r="G671" s="143" t="n"/>
      <c r="H671" s="27" t="n"/>
    </row>
    <row r="672" ht="17.25" customHeight="1" s="322">
      <c r="A672" s="27" t="n"/>
      <c r="B672" s="506" t="n"/>
      <c r="C672" s="141" t="n"/>
      <c r="D672" s="141" t="n"/>
      <c r="E672" s="141" t="n"/>
      <c r="F672" s="141" t="n"/>
      <c r="G672" s="143" t="n"/>
      <c r="H672" s="27" t="n"/>
    </row>
    <row r="673" ht="17.25" customHeight="1" s="322">
      <c r="A673" s="27" t="n"/>
      <c r="B673" s="506" t="n"/>
      <c r="C673" s="141" t="n"/>
      <c r="D673" s="141" t="n"/>
      <c r="E673" s="141" t="n"/>
      <c r="F673" s="141" t="n"/>
      <c r="G673" s="143" t="n"/>
      <c r="H673" s="27" t="n"/>
    </row>
    <row r="674" ht="17.25" customHeight="1" s="322">
      <c r="A674" s="27" t="n"/>
      <c r="B674" s="506" t="n"/>
      <c r="C674" s="141" t="n"/>
      <c r="D674" s="141" t="n"/>
      <c r="E674" s="141" t="n"/>
      <c r="F674" s="141" t="n"/>
      <c r="G674" s="143" t="n"/>
      <c r="H674" s="27" t="n"/>
    </row>
    <row r="675" ht="17.25" customHeight="1" s="322">
      <c r="A675" s="27" t="n"/>
      <c r="B675" s="506" t="n"/>
      <c r="C675" s="141" t="n"/>
      <c r="D675" s="141" t="n"/>
      <c r="E675" s="141" t="n"/>
      <c r="F675" s="141" t="n"/>
      <c r="G675" s="143" t="n"/>
      <c r="H675" s="27" t="n"/>
    </row>
    <row r="676" ht="17.25" customHeight="1" s="322">
      <c r="A676" s="27" t="n"/>
      <c r="B676" s="506" t="n"/>
      <c r="C676" s="141" t="n"/>
      <c r="D676" s="141" t="n"/>
      <c r="E676" s="141" t="n"/>
      <c r="F676" s="141" t="n"/>
      <c r="G676" s="143" t="n"/>
      <c r="H676" s="27" t="n"/>
    </row>
    <row r="677" ht="17.25" customHeight="1" s="322">
      <c r="A677" s="27" t="n"/>
      <c r="B677" s="506" t="n"/>
      <c r="C677" s="141" t="n"/>
      <c r="D677" s="141" t="n"/>
      <c r="E677" s="141" t="n"/>
      <c r="F677" s="141" t="n"/>
      <c r="G677" s="143" t="n"/>
      <c r="H677" s="27" t="n"/>
    </row>
    <row r="678" ht="17.25" customHeight="1" s="322">
      <c r="A678" s="27" t="n"/>
      <c r="B678" s="506" t="n"/>
      <c r="C678" s="141" t="n"/>
      <c r="D678" s="141" t="n"/>
      <c r="E678" s="141" t="n"/>
      <c r="F678" s="141" t="n"/>
      <c r="G678" s="143" t="n"/>
      <c r="H678" s="27" t="n"/>
    </row>
    <row r="679" ht="17.25" customHeight="1" s="322">
      <c r="A679" s="27" t="n"/>
      <c r="B679" s="506" t="n"/>
      <c r="C679" s="141" t="n"/>
      <c r="D679" s="141" t="n"/>
      <c r="E679" s="141" t="n"/>
      <c r="F679" s="141" t="n"/>
      <c r="G679" s="143" t="n"/>
      <c r="H679" s="27" t="n"/>
    </row>
    <row r="680" ht="17.25" customHeight="1" s="322">
      <c r="A680" s="27" t="n"/>
      <c r="B680" s="506" t="n"/>
      <c r="C680" s="141" t="n"/>
      <c r="D680" s="141" t="n"/>
      <c r="E680" s="141" t="n"/>
      <c r="F680" s="141" t="n"/>
      <c r="G680" s="143" t="n"/>
      <c r="H680" s="27" t="n"/>
    </row>
    <row r="681" ht="17.25" customHeight="1" s="322">
      <c r="A681" s="27" t="n"/>
      <c r="B681" s="506" t="n"/>
      <c r="C681" s="141" t="n"/>
      <c r="D681" s="141" t="n"/>
      <c r="E681" s="141" t="n"/>
      <c r="F681" s="141" t="n"/>
      <c r="G681" s="143" t="n"/>
      <c r="H681" s="27" t="n"/>
    </row>
    <row r="682" ht="17.25" customHeight="1" s="322">
      <c r="A682" s="27" t="n"/>
      <c r="B682" s="506" t="n"/>
      <c r="C682" s="141" t="n"/>
      <c r="D682" s="141" t="n"/>
      <c r="E682" s="141" t="n"/>
      <c r="F682" s="141" t="n"/>
      <c r="G682" s="143" t="n"/>
      <c r="H682" s="27" t="n"/>
    </row>
    <row r="683" ht="17.25" customHeight="1" s="322">
      <c r="A683" s="27" t="n"/>
      <c r="B683" s="506" t="n"/>
      <c r="C683" s="141" t="n"/>
      <c r="D683" s="141" t="n"/>
      <c r="E683" s="141" t="n"/>
      <c r="F683" s="141" t="n"/>
      <c r="G683" s="143" t="n"/>
      <c r="H683" s="27" t="n"/>
    </row>
    <row r="684" ht="17.25" customHeight="1" s="322">
      <c r="A684" s="27" t="n"/>
      <c r="B684" s="506" t="n"/>
      <c r="C684" s="141" t="n"/>
      <c r="D684" s="141" t="n"/>
      <c r="E684" s="141" t="n"/>
      <c r="F684" s="141" t="n"/>
      <c r="G684" s="143" t="n"/>
      <c r="H684" s="27" t="n"/>
    </row>
    <row r="685" ht="17.25" customHeight="1" s="322">
      <c r="A685" s="27" t="n"/>
      <c r="B685" s="506" t="n"/>
      <c r="C685" s="141" t="n"/>
      <c r="D685" s="141" t="n"/>
      <c r="E685" s="141" t="n"/>
      <c r="F685" s="141" t="n"/>
      <c r="G685" s="143" t="n"/>
      <c r="H685" s="27" t="n"/>
    </row>
    <row r="686" ht="17.25" customHeight="1" s="322">
      <c r="A686" s="27" t="n"/>
      <c r="B686" s="506" t="n"/>
      <c r="C686" s="141" t="n"/>
      <c r="D686" s="141" t="n"/>
      <c r="E686" s="141" t="n"/>
      <c r="F686" s="141" t="n"/>
      <c r="G686" s="143" t="n"/>
      <c r="H686" s="27" t="n"/>
    </row>
    <row r="687" ht="17.25" customHeight="1" s="322">
      <c r="A687" s="27" t="n"/>
      <c r="B687" s="506" t="n"/>
      <c r="C687" s="141" t="n"/>
      <c r="D687" s="141" t="n"/>
      <c r="E687" s="141" t="n"/>
      <c r="F687" s="141" t="n"/>
      <c r="G687" s="143" t="n"/>
      <c r="H687" s="27" t="n"/>
    </row>
    <row r="688" ht="17.25" customHeight="1" s="322">
      <c r="A688" s="27" t="n"/>
      <c r="B688" s="506" t="n"/>
      <c r="C688" s="141" t="n"/>
      <c r="D688" s="141" t="n"/>
      <c r="E688" s="141" t="n"/>
      <c r="F688" s="141" t="n"/>
      <c r="G688" s="143" t="n"/>
      <c r="H688" s="27" t="n"/>
    </row>
    <row r="689" ht="17.25" customHeight="1" s="322">
      <c r="A689" s="27" t="n"/>
      <c r="B689" s="506" t="n"/>
      <c r="C689" s="141" t="n"/>
      <c r="D689" s="141" t="n"/>
      <c r="E689" s="141" t="n"/>
      <c r="F689" s="141" t="n"/>
      <c r="G689" s="143" t="n"/>
      <c r="H689" s="27" t="n"/>
    </row>
    <row r="690" ht="17.25" customHeight="1" s="322">
      <c r="A690" s="27" t="n"/>
      <c r="B690" s="506" t="n"/>
      <c r="C690" s="141" t="n"/>
      <c r="D690" s="141" t="n"/>
      <c r="E690" s="141" t="n"/>
      <c r="F690" s="141" t="n"/>
      <c r="G690" s="143" t="n"/>
      <c r="H690" s="27" t="n"/>
    </row>
    <row r="691" ht="17.25" customHeight="1" s="322">
      <c r="A691" s="27" t="n"/>
      <c r="B691" s="506" t="n"/>
      <c r="C691" s="141" t="n"/>
      <c r="D691" s="141" t="n"/>
      <c r="E691" s="141" t="n"/>
      <c r="F691" s="141" t="n"/>
      <c r="G691" s="143" t="n"/>
      <c r="H691" s="27" t="n"/>
    </row>
    <row r="692" ht="17.25" customHeight="1" s="322">
      <c r="A692" s="27" t="n"/>
      <c r="B692" s="506" t="n"/>
      <c r="C692" s="141" t="n"/>
      <c r="D692" s="141" t="n"/>
      <c r="E692" s="141" t="n"/>
      <c r="F692" s="141" t="n"/>
      <c r="G692" s="143" t="n"/>
      <c r="H692" s="27" t="n"/>
    </row>
    <row r="693" ht="17.25" customHeight="1" s="322">
      <c r="A693" s="27" t="n"/>
      <c r="B693" s="506" t="n"/>
      <c r="C693" s="141" t="n"/>
      <c r="D693" s="141" t="n"/>
      <c r="E693" s="141" t="n"/>
      <c r="F693" s="141" t="n"/>
      <c r="G693" s="143" t="n"/>
      <c r="H693" s="27" t="n"/>
    </row>
    <row r="694" ht="17.25" customHeight="1" s="322">
      <c r="A694" s="27" t="n"/>
      <c r="B694" s="506" t="n"/>
      <c r="C694" s="141" t="n"/>
      <c r="D694" s="141" t="n"/>
      <c r="E694" s="141" t="n"/>
      <c r="F694" s="141" t="n"/>
      <c r="G694" s="143" t="n"/>
      <c r="H694" s="27" t="n"/>
    </row>
    <row r="695" ht="17.25" customHeight="1" s="322">
      <c r="A695" s="27" t="n"/>
      <c r="B695" s="506" t="n"/>
      <c r="C695" s="141" t="n"/>
      <c r="D695" s="141" t="n"/>
      <c r="E695" s="141" t="n"/>
      <c r="F695" s="141" t="n"/>
      <c r="G695" s="143" t="n"/>
      <c r="H695" s="27" t="n"/>
    </row>
    <row r="696" ht="17.25" customHeight="1" s="322">
      <c r="A696" s="27" t="n"/>
      <c r="B696" s="506" t="n"/>
      <c r="C696" s="141" t="n"/>
      <c r="D696" s="141" t="n"/>
      <c r="E696" s="141" t="n"/>
      <c r="F696" s="141" t="n"/>
      <c r="G696" s="143" t="n"/>
      <c r="H696" s="27" t="n"/>
    </row>
    <row r="697" ht="17.25" customHeight="1" s="322">
      <c r="A697" s="27" t="n"/>
      <c r="B697" s="506" t="n"/>
      <c r="C697" s="141" t="n"/>
      <c r="D697" s="141" t="n"/>
      <c r="E697" s="141" t="n"/>
      <c r="F697" s="141" t="n"/>
      <c r="G697" s="143" t="n"/>
      <c r="H697" s="27" t="n"/>
    </row>
    <row r="698" ht="17.25" customHeight="1" s="322">
      <c r="A698" s="27" t="n"/>
      <c r="B698" s="506" t="n"/>
      <c r="C698" s="141" t="n"/>
      <c r="D698" s="141" t="n"/>
      <c r="E698" s="141" t="n"/>
      <c r="F698" s="141" t="n"/>
      <c r="G698" s="143" t="n"/>
      <c r="H698" s="27" t="n"/>
    </row>
    <row r="699" ht="17.25" customHeight="1" s="322">
      <c r="A699" s="27" t="n"/>
      <c r="B699" s="506" t="n"/>
      <c r="C699" s="141" t="n"/>
      <c r="D699" s="141" t="n"/>
      <c r="E699" s="141" t="n"/>
      <c r="F699" s="141" t="n"/>
      <c r="G699" s="143" t="n"/>
      <c r="H699" s="27" t="n"/>
    </row>
    <row r="700" ht="17.25" customHeight="1" s="322">
      <c r="A700" s="27" t="n"/>
      <c r="B700" s="506" t="n"/>
      <c r="C700" s="141" t="n"/>
      <c r="D700" s="141" t="n"/>
      <c r="E700" s="141" t="n"/>
      <c r="F700" s="141" t="n"/>
      <c r="G700" s="143" t="n"/>
      <c r="H700" s="27" t="n"/>
    </row>
    <row r="701" ht="17.25" customHeight="1" s="322">
      <c r="A701" s="27" t="n"/>
      <c r="B701" s="506" t="n"/>
      <c r="C701" s="141" t="n"/>
      <c r="D701" s="141" t="n"/>
      <c r="E701" s="141" t="n"/>
      <c r="F701" s="141" t="n"/>
      <c r="G701" s="143" t="n"/>
      <c r="H701" s="27" t="n"/>
    </row>
    <row r="702" ht="17.25" customHeight="1" s="322">
      <c r="A702" s="27" t="n"/>
      <c r="B702" s="506" t="n"/>
      <c r="C702" s="141" t="n"/>
      <c r="D702" s="141" t="n"/>
      <c r="E702" s="141" t="n"/>
      <c r="F702" s="141" t="n"/>
      <c r="G702" s="143" t="n"/>
      <c r="H702" s="27" t="n"/>
    </row>
    <row r="703" ht="17.25" customHeight="1" s="322">
      <c r="A703" s="27" t="n"/>
      <c r="B703" s="506" t="n"/>
      <c r="C703" s="141" t="n"/>
      <c r="D703" s="141" t="n"/>
      <c r="E703" s="141" t="n"/>
      <c r="F703" s="141" t="n"/>
      <c r="G703" s="143" t="n"/>
      <c r="H703" s="27" t="n"/>
    </row>
    <row r="704" ht="17.25" customHeight="1" s="322">
      <c r="A704" s="27" t="n"/>
      <c r="B704" s="506" t="n"/>
      <c r="C704" s="141" t="n"/>
      <c r="D704" s="141" t="n"/>
      <c r="E704" s="141" t="n"/>
      <c r="F704" s="141" t="n"/>
      <c r="G704" s="143" t="n"/>
      <c r="H704" s="27" t="n"/>
    </row>
    <row r="705" ht="17.25" customHeight="1" s="322">
      <c r="A705" s="27" t="n"/>
      <c r="B705" s="506" t="n"/>
      <c r="C705" s="141" t="n"/>
      <c r="D705" s="141" t="n"/>
      <c r="E705" s="141" t="n"/>
      <c r="F705" s="141" t="n"/>
      <c r="G705" s="143" t="n"/>
      <c r="H705" s="27" t="n"/>
    </row>
    <row r="706" ht="17.25" customHeight="1" s="322">
      <c r="A706" s="27" t="n"/>
      <c r="B706" s="506" t="n"/>
      <c r="C706" s="141" t="n"/>
      <c r="D706" s="141" t="n"/>
      <c r="E706" s="141" t="n"/>
      <c r="F706" s="141" t="n"/>
      <c r="G706" s="143" t="n"/>
      <c r="H706" s="27" t="n"/>
    </row>
    <row r="707" ht="17.25" customHeight="1" s="322">
      <c r="A707" s="27" t="n"/>
      <c r="B707" s="506" t="n"/>
      <c r="C707" s="141" t="n"/>
      <c r="D707" s="141" t="n"/>
      <c r="E707" s="141" t="n"/>
      <c r="F707" s="141" t="n"/>
      <c r="G707" s="143" t="n"/>
      <c r="H707" s="27" t="n"/>
    </row>
    <row r="708" ht="17.25" customHeight="1" s="322">
      <c r="A708" s="27" t="n"/>
      <c r="B708" s="506" t="n"/>
      <c r="C708" s="141" t="n"/>
      <c r="D708" s="141" t="n"/>
      <c r="E708" s="141" t="n"/>
      <c r="F708" s="141" t="n"/>
      <c r="G708" s="143" t="n"/>
      <c r="H708" s="27" t="n"/>
    </row>
    <row r="709" ht="17.25" customHeight="1" s="322">
      <c r="A709" s="27" t="n"/>
      <c r="B709" s="506" t="n"/>
      <c r="C709" s="141" t="n"/>
      <c r="D709" s="141" t="n"/>
      <c r="E709" s="141" t="n"/>
      <c r="F709" s="141" t="n"/>
      <c r="G709" s="143" t="n"/>
      <c r="H709" s="27" t="n"/>
    </row>
    <row r="710" ht="17.25" customHeight="1" s="322">
      <c r="A710" s="27" t="n"/>
      <c r="B710" s="506" t="n"/>
      <c r="C710" s="141" t="n"/>
      <c r="D710" s="141" t="n"/>
      <c r="E710" s="141" t="n"/>
      <c r="F710" s="141" t="n"/>
      <c r="G710" s="143" t="n"/>
      <c r="H710" s="27" t="n"/>
    </row>
    <row r="711" ht="17.25" customHeight="1" s="322">
      <c r="A711" s="27" t="n"/>
      <c r="B711" s="506" t="n"/>
      <c r="C711" s="141" t="n"/>
      <c r="D711" s="141" t="n"/>
      <c r="E711" s="141" t="n"/>
      <c r="F711" s="141" t="n"/>
      <c r="G711" s="143" t="n"/>
      <c r="H711" s="27" t="n"/>
    </row>
    <row r="712" ht="17.25" customHeight="1" s="322">
      <c r="A712" s="27" t="n"/>
      <c r="B712" s="506" t="n"/>
      <c r="C712" s="141" t="n"/>
      <c r="D712" s="141" t="n"/>
      <c r="E712" s="141" t="n"/>
      <c r="F712" s="141" t="n"/>
      <c r="G712" s="143" t="n"/>
      <c r="H712" s="27" t="n"/>
    </row>
    <row r="713" ht="17.25" customHeight="1" s="322">
      <c r="A713" s="27" t="n"/>
      <c r="B713" s="506" t="n"/>
      <c r="C713" s="141" t="n"/>
      <c r="D713" s="141" t="n"/>
      <c r="E713" s="141" t="n"/>
      <c r="F713" s="141" t="n"/>
      <c r="G713" s="143" t="n"/>
      <c r="H713" s="27" t="n"/>
    </row>
    <row r="714" ht="17.25" customHeight="1" s="322">
      <c r="A714" s="27" t="n"/>
      <c r="B714" s="506" t="n"/>
      <c r="C714" s="141" t="n"/>
      <c r="D714" s="141" t="n"/>
      <c r="E714" s="141" t="n"/>
      <c r="F714" s="141" t="n"/>
      <c r="G714" s="143" t="n"/>
      <c r="H714" s="27" t="n"/>
    </row>
    <row r="715" ht="17.25" customHeight="1" s="322">
      <c r="A715" s="27" t="n"/>
      <c r="B715" s="506" t="n"/>
      <c r="C715" s="141" t="n"/>
      <c r="D715" s="141" t="n"/>
      <c r="E715" s="141" t="n"/>
      <c r="F715" s="141" t="n"/>
      <c r="G715" s="143" t="n"/>
      <c r="H715" s="27" t="n"/>
    </row>
    <row r="716" ht="17.25" customHeight="1" s="322">
      <c r="A716" s="27" t="n"/>
      <c r="B716" s="506" t="n"/>
      <c r="C716" s="141" t="n"/>
      <c r="D716" s="141" t="n"/>
      <c r="E716" s="141" t="n"/>
      <c r="F716" s="141" t="n"/>
      <c r="G716" s="143" t="n"/>
      <c r="H716" s="27" t="n"/>
    </row>
    <row r="717" ht="17.25" customHeight="1" s="322">
      <c r="A717" s="27" t="n"/>
      <c r="B717" s="506" t="n"/>
      <c r="C717" s="141" t="n"/>
      <c r="D717" s="141" t="n"/>
      <c r="E717" s="141" t="n"/>
      <c r="F717" s="141" t="n"/>
      <c r="G717" s="143" t="n"/>
      <c r="H717" s="27" t="n"/>
    </row>
    <row r="718" ht="17.25" customHeight="1" s="322">
      <c r="A718" s="27" t="n"/>
      <c r="B718" s="506" t="n"/>
      <c r="C718" s="141" t="n"/>
      <c r="D718" s="141" t="n"/>
      <c r="E718" s="141" t="n"/>
      <c r="F718" s="141" t="n"/>
      <c r="G718" s="143" t="n"/>
      <c r="H718" s="27" t="n"/>
    </row>
    <row r="719" ht="17.25" customHeight="1" s="322">
      <c r="A719" s="27" t="n"/>
      <c r="B719" s="506" t="n"/>
      <c r="C719" s="141" t="n"/>
      <c r="D719" s="141" t="n"/>
      <c r="E719" s="141" t="n"/>
      <c r="F719" s="141" t="n"/>
      <c r="G719" s="143" t="n"/>
      <c r="H719" s="27" t="n"/>
    </row>
    <row r="720" ht="17.25" customHeight="1" s="322">
      <c r="A720" s="27" t="n"/>
      <c r="B720" s="506" t="n"/>
      <c r="C720" s="141" t="n"/>
      <c r="D720" s="141" t="n"/>
      <c r="E720" s="141" t="n"/>
      <c r="F720" s="141" t="n"/>
      <c r="G720" s="143" t="n"/>
      <c r="H720" s="27" t="n"/>
    </row>
    <row r="721" ht="17.25" customHeight="1" s="322">
      <c r="A721" s="27" t="n"/>
      <c r="B721" s="506" t="n"/>
      <c r="C721" s="141" t="n"/>
      <c r="D721" s="141" t="n"/>
      <c r="E721" s="141" t="n"/>
      <c r="F721" s="141" t="n"/>
      <c r="G721" s="143" t="n"/>
      <c r="H721" s="27" t="n"/>
    </row>
    <row r="722" ht="17.25" customHeight="1" s="322">
      <c r="A722" s="27" t="n"/>
      <c r="B722" s="506" t="n"/>
      <c r="C722" s="141" t="n"/>
      <c r="D722" s="141" t="n"/>
      <c r="E722" s="141" t="n"/>
      <c r="F722" s="141" t="n"/>
      <c r="G722" s="143" t="n"/>
      <c r="H722" s="27" t="n"/>
    </row>
    <row r="723" ht="17.25" customHeight="1" s="322">
      <c r="A723" s="27" t="n"/>
      <c r="B723" s="506" t="n"/>
      <c r="C723" s="141" t="n"/>
      <c r="D723" s="141" t="n"/>
      <c r="E723" s="141" t="n"/>
      <c r="F723" s="141" t="n"/>
      <c r="G723" s="143" t="n"/>
      <c r="H723" s="27" t="n"/>
    </row>
    <row r="724" ht="17.25" customHeight="1" s="322">
      <c r="A724" s="27" t="n"/>
      <c r="B724" s="506" t="n"/>
      <c r="C724" s="141" t="n"/>
      <c r="D724" s="141" t="n"/>
      <c r="E724" s="141" t="n"/>
      <c r="F724" s="141" t="n"/>
      <c r="G724" s="143" t="n"/>
      <c r="H724" s="27" t="n"/>
    </row>
    <row r="725" ht="17.25" customHeight="1" s="322">
      <c r="A725" s="27" t="n"/>
      <c r="B725" s="506" t="n"/>
      <c r="C725" s="141" t="n"/>
      <c r="D725" s="141" t="n"/>
      <c r="E725" s="141" t="n"/>
      <c r="F725" s="141" t="n"/>
      <c r="G725" s="143" t="n"/>
      <c r="H725" s="27" t="n"/>
    </row>
    <row r="726" ht="17.25" customHeight="1" s="322">
      <c r="A726" s="27" t="n"/>
      <c r="B726" s="506" t="n"/>
      <c r="C726" s="141" t="n"/>
      <c r="D726" s="141" t="n"/>
      <c r="E726" s="141" t="n"/>
      <c r="F726" s="141" t="n"/>
      <c r="G726" s="143" t="n"/>
      <c r="H726" s="27" t="n"/>
    </row>
    <row r="727" ht="17.25" customHeight="1" s="322">
      <c r="A727" s="27" t="n"/>
      <c r="B727" s="506" t="n"/>
      <c r="C727" s="141" t="n"/>
      <c r="D727" s="141" t="n"/>
      <c r="E727" s="141" t="n"/>
      <c r="F727" s="141" t="n"/>
      <c r="G727" s="143" t="n"/>
      <c r="H727" s="27" t="n"/>
    </row>
    <row r="728" ht="17.25" customHeight="1" s="322">
      <c r="A728" s="27" t="n"/>
      <c r="B728" s="506" t="n"/>
      <c r="C728" s="141" t="n"/>
      <c r="D728" s="141" t="n"/>
      <c r="E728" s="141" t="n"/>
      <c r="F728" s="141" t="n"/>
      <c r="G728" s="143" t="n"/>
      <c r="H728" s="27" t="n"/>
    </row>
    <row r="729" ht="17.25" customHeight="1" s="322">
      <c r="A729" s="27" t="n"/>
      <c r="B729" s="506" t="n"/>
      <c r="C729" s="141" t="n"/>
      <c r="D729" s="141" t="n"/>
      <c r="E729" s="141" t="n"/>
      <c r="F729" s="141" t="n"/>
      <c r="G729" s="143" t="n"/>
      <c r="H729" s="27" t="n"/>
    </row>
    <row r="730" ht="17.25" customHeight="1" s="322">
      <c r="A730" s="27" t="n"/>
      <c r="B730" s="506" t="n"/>
      <c r="C730" s="141" t="n"/>
      <c r="D730" s="141" t="n"/>
      <c r="E730" s="141" t="n"/>
      <c r="F730" s="141" t="n"/>
      <c r="G730" s="143" t="n"/>
      <c r="H730" s="27" t="n"/>
    </row>
    <row r="731" ht="17.25" customHeight="1" s="322">
      <c r="A731" s="27" t="n"/>
      <c r="B731" s="506" t="n"/>
      <c r="C731" s="141" t="n"/>
      <c r="D731" s="141" t="n"/>
      <c r="E731" s="141" t="n"/>
      <c r="F731" s="141" t="n"/>
      <c r="G731" s="143" t="n"/>
      <c r="H731" s="27" t="n"/>
    </row>
    <row r="732" ht="17.25" customHeight="1" s="322">
      <c r="A732" s="27" t="n"/>
      <c r="B732" s="506" t="n"/>
      <c r="C732" s="141" t="n"/>
      <c r="D732" s="141" t="n"/>
      <c r="E732" s="141" t="n"/>
      <c r="F732" s="141" t="n"/>
      <c r="G732" s="143" t="n"/>
      <c r="H732" s="27" t="n"/>
    </row>
    <row r="733" ht="17.25" customHeight="1" s="322">
      <c r="A733" s="27" t="n"/>
      <c r="B733" s="506" t="n"/>
      <c r="C733" s="141" t="n"/>
      <c r="D733" s="141" t="n"/>
      <c r="E733" s="141" t="n"/>
      <c r="F733" s="141" t="n"/>
      <c r="G733" s="143" t="n"/>
      <c r="H733" s="27" t="n"/>
    </row>
    <row r="734" ht="17.25" customHeight="1" s="322">
      <c r="A734" s="27" t="n"/>
      <c r="B734" s="506" t="n"/>
      <c r="C734" s="141" t="n"/>
      <c r="D734" s="141" t="n"/>
      <c r="E734" s="141" t="n"/>
      <c r="F734" s="141" t="n"/>
      <c r="G734" s="143" t="n"/>
      <c r="H734" s="27" t="n"/>
    </row>
    <row r="735" ht="17.25" customHeight="1" s="322">
      <c r="A735" s="27" t="n"/>
      <c r="B735" s="506" t="n"/>
      <c r="C735" s="141" t="n"/>
      <c r="D735" s="141" t="n"/>
      <c r="E735" s="141" t="n"/>
      <c r="F735" s="141" t="n"/>
      <c r="G735" s="143" t="n"/>
      <c r="H735" s="27" t="n"/>
    </row>
    <row r="736" ht="17.25" customHeight="1" s="322">
      <c r="A736" s="27" t="n"/>
      <c r="B736" s="506" t="n"/>
      <c r="C736" s="141" t="n"/>
      <c r="D736" s="141" t="n"/>
      <c r="E736" s="141" t="n"/>
      <c r="F736" s="141" t="n"/>
      <c r="G736" s="143" t="n"/>
      <c r="H736" s="27" t="n"/>
    </row>
    <row r="737" ht="17.25" customHeight="1" s="322">
      <c r="A737" s="27" t="n"/>
      <c r="B737" s="506" t="n"/>
      <c r="C737" s="141" t="n"/>
      <c r="D737" s="141" t="n"/>
      <c r="E737" s="141" t="n"/>
      <c r="F737" s="141" t="n"/>
      <c r="G737" s="143" t="n"/>
      <c r="H737" s="27" t="n"/>
    </row>
    <row r="738" ht="17.25" customHeight="1" s="322">
      <c r="A738" s="27" t="n"/>
      <c r="B738" s="506" t="n"/>
      <c r="C738" s="141" t="n"/>
      <c r="D738" s="141" t="n"/>
      <c r="E738" s="141" t="n"/>
      <c r="F738" s="141" t="n"/>
      <c r="G738" s="143" t="n"/>
      <c r="H738" s="27" t="n"/>
    </row>
    <row r="739" ht="17.25" customHeight="1" s="322">
      <c r="A739" s="27" t="n"/>
      <c r="B739" s="506" t="n"/>
      <c r="C739" s="141" t="n"/>
      <c r="D739" s="141" t="n"/>
      <c r="E739" s="141" t="n"/>
      <c r="F739" s="141" t="n"/>
      <c r="G739" s="143" t="n"/>
      <c r="H739" s="27" t="n"/>
    </row>
    <row r="740" ht="17.25" customHeight="1" s="322">
      <c r="A740" s="27" t="n"/>
      <c r="B740" s="506" t="n"/>
      <c r="C740" s="141" t="n"/>
      <c r="D740" s="141" t="n"/>
      <c r="E740" s="141" t="n"/>
      <c r="F740" s="141" t="n"/>
      <c r="G740" s="143" t="n"/>
      <c r="H740" s="27" t="n"/>
    </row>
    <row r="741" ht="17.25" customHeight="1" s="322">
      <c r="A741" s="27" t="n"/>
      <c r="B741" s="506" t="n"/>
      <c r="C741" s="141" t="n"/>
      <c r="D741" s="141" t="n"/>
      <c r="E741" s="141" t="n"/>
      <c r="F741" s="141" t="n"/>
      <c r="G741" s="143" t="n"/>
      <c r="H741" s="27" t="n"/>
    </row>
    <row r="742" ht="17.25" customHeight="1" s="322">
      <c r="A742" s="27" t="n"/>
      <c r="B742" s="506" t="n"/>
      <c r="C742" s="141" t="n"/>
      <c r="D742" s="141" t="n"/>
      <c r="E742" s="141" t="n"/>
      <c r="F742" s="141" t="n"/>
      <c r="G742" s="143" t="n"/>
      <c r="H742" s="27" t="n"/>
    </row>
    <row r="743" ht="17.25" customHeight="1" s="322">
      <c r="A743" s="27" t="n"/>
      <c r="B743" s="506" t="n"/>
      <c r="C743" s="141" t="n"/>
      <c r="D743" s="141" t="n"/>
      <c r="E743" s="141" t="n"/>
      <c r="F743" s="141" t="n"/>
      <c r="G743" s="143" t="n"/>
      <c r="H743" s="27" t="n"/>
    </row>
    <row r="744" ht="17.25" customHeight="1" s="322">
      <c r="A744" s="27" t="n"/>
      <c r="B744" s="506" t="n"/>
      <c r="C744" s="141" t="n"/>
      <c r="D744" s="141" t="n"/>
      <c r="E744" s="141" t="n"/>
      <c r="F744" s="141" t="n"/>
      <c r="G744" s="143" t="n"/>
      <c r="H744" s="27" t="n"/>
    </row>
    <row r="745" ht="17.25" customHeight="1" s="322">
      <c r="A745" s="27" t="n"/>
      <c r="B745" s="506" t="n"/>
      <c r="C745" s="141" t="n"/>
      <c r="D745" s="141" t="n"/>
      <c r="E745" s="141" t="n"/>
      <c r="F745" s="141" t="n"/>
      <c r="G745" s="143" t="n"/>
      <c r="H745" s="27" t="n"/>
    </row>
    <row r="746" ht="17.25" customHeight="1" s="322">
      <c r="A746" s="27" t="n"/>
      <c r="B746" s="506" t="n"/>
      <c r="C746" s="141" t="n"/>
      <c r="D746" s="141" t="n"/>
      <c r="E746" s="141" t="n"/>
      <c r="F746" s="141" t="n"/>
      <c r="G746" s="143" t="n"/>
      <c r="H746" s="27" t="n"/>
    </row>
    <row r="747" ht="17.25" customHeight="1" s="322">
      <c r="A747" s="27" t="n"/>
      <c r="B747" s="506" t="n"/>
      <c r="C747" s="141" t="n"/>
      <c r="D747" s="141" t="n"/>
      <c r="E747" s="141" t="n"/>
      <c r="F747" s="141" t="n"/>
      <c r="G747" s="143" t="n"/>
      <c r="H747" s="27" t="n"/>
    </row>
    <row r="748" ht="17.25" customHeight="1" s="322">
      <c r="A748" s="27" t="n"/>
      <c r="B748" s="506" t="n"/>
      <c r="C748" s="141" t="n"/>
      <c r="D748" s="141" t="n"/>
      <c r="E748" s="141" t="n"/>
      <c r="F748" s="141" t="n"/>
      <c r="G748" s="143" t="n"/>
      <c r="H748" s="27" t="n"/>
    </row>
    <row r="749" ht="17.25" customHeight="1" s="322">
      <c r="A749" s="27" t="n"/>
      <c r="B749" s="506" t="n"/>
      <c r="C749" s="141" t="n"/>
      <c r="D749" s="141" t="n"/>
      <c r="E749" s="141" t="n"/>
      <c r="F749" s="141" t="n"/>
      <c r="G749" s="143" t="n"/>
      <c r="H749" s="27" t="n"/>
    </row>
    <row r="750" ht="17.25" customHeight="1" s="322">
      <c r="A750" s="27" t="n"/>
      <c r="B750" s="506" t="n"/>
      <c r="C750" s="141" t="n"/>
      <c r="D750" s="141" t="n"/>
      <c r="E750" s="141" t="n"/>
      <c r="F750" s="141" t="n"/>
      <c r="G750" s="143" t="n"/>
      <c r="H750" s="27" t="n"/>
    </row>
    <row r="751" ht="17.25" customHeight="1" s="322">
      <c r="A751" s="27" t="n"/>
      <c r="B751" s="506" t="n"/>
      <c r="C751" s="141" t="n"/>
      <c r="D751" s="141" t="n"/>
      <c r="E751" s="141" t="n"/>
      <c r="F751" s="141" t="n"/>
      <c r="G751" s="143" t="n"/>
      <c r="H751" s="27" t="n"/>
    </row>
    <row r="752" ht="17.25" customHeight="1" s="322">
      <c r="A752" s="27" t="n"/>
      <c r="B752" s="506" t="n"/>
      <c r="C752" s="141" t="n"/>
      <c r="D752" s="141" t="n"/>
      <c r="E752" s="141" t="n"/>
      <c r="F752" s="141" t="n"/>
      <c r="G752" s="143" t="n"/>
      <c r="H752" s="27" t="n"/>
    </row>
    <row r="753" ht="17.25" customHeight="1" s="322">
      <c r="A753" s="27" t="n"/>
      <c r="B753" s="506" t="n"/>
      <c r="C753" s="141" t="n"/>
      <c r="D753" s="141" t="n"/>
      <c r="E753" s="141" t="n"/>
      <c r="F753" s="141" t="n"/>
      <c r="G753" s="143" t="n"/>
      <c r="H753" s="27" t="n"/>
    </row>
    <row r="754" ht="17.25" customHeight="1" s="322">
      <c r="A754" s="27" t="n"/>
      <c r="B754" s="506" t="n"/>
      <c r="C754" s="141" t="n"/>
      <c r="D754" s="141" t="n"/>
      <c r="E754" s="141" t="n"/>
      <c r="F754" s="141" t="n"/>
      <c r="G754" s="143" t="n"/>
      <c r="H754" s="27" t="n"/>
    </row>
    <row r="755" ht="17.25" customHeight="1" s="322">
      <c r="A755" s="27" t="n"/>
      <c r="B755" s="506" t="n"/>
      <c r="C755" s="141" t="n"/>
      <c r="D755" s="141" t="n"/>
      <c r="E755" s="141" t="n"/>
      <c r="F755" s="141" t="n"/>
      <c r="G755" s="143" t="n"/>
      <c r="H755" s="27" t="n"/>
    </row>
    <row r="756" ht="17.25" customHeight="1" s="322">
      <c r="A756" s="27" t="n"/>
      <c r="B756" s="506" t="n"/>
      <c r="C756" s="141" t="n"/>
      <c r="D756" s="141" t="n"/>
      <c r="E756" s="141" t="n"/>
      <c r="F756" s="141" t="n"/>
      <c r="G756" s="143" t="n"/>
      <c r="H756" s="27" t="n"/>
    </row>
    <row r="757" ht="17.25" customHeight="1" s="322">
      <c r="A757" s="27" t="n"/>
      <c r="B757" s="506" t="n"/>
      <c r="C757" s="141" t="n"/>
      <c r="D757" s="141" t="n"/>
      <c r="E757" s="141" t="n"/>
      <c r="F757" s="141" t="n"/>
      <c r="G757" s="143" t="n"/>
      <c r="H757" s="27" t="n"/>
    </row>
    <row r="758" ht="17.25" customHeight="1" s="322">
      <c r="A758" s="27" t="n"/>
      <c r="B758" s="506" t="n"/>
      <c r="C758" s="141" t="n"/>
      <c r="D758" s="141" t="n"/>
      <c r="E758" s="141" t="n"/>
      <c r="F758" s="141" t="n"/>
      <c r="G758" s="143" t="n"/>
      <c r="H758" s="27" t="n"/>
    </row>
    <row r="759" ht="17.25" customHeight="1" s="322">
      <c r="A759" s="27" t="n"/>
      <c r="B759" s="506" t="n"/>
      <c r="C759" s="141" t="n"/>
      <c r="D759" s="141" t="n"/>
      <c r="E759" s="141" t="n"/>
      <c r="F759" s="141" t="n"/>
      <c r="G759" s="143" t="n"/>
      <c r="H759" s="27" t="n"/>
    </row>
    <row r="760" ht="17.25" customHeight="1" s="322">
      <c r="A760" s="27" t="n"/>
      <c r="B760" s="506" t="n"/>
      <c r="C760" s="141" t="n"/>
      <c r="D760" s="141" t="n"/>
      <c r="E760" s="141" t="n"/>
      <c r="F760" s="141" t="n"/>
      <c r="G760" s="143" t="n"/>
      <c r="H760" s="27" t="n"/>
    </row>
    <row r="761" ht="17.25" customHeight="1" s="322">
      <c r="A761" s="27" t="n"/>
      <c r="B761" s="506" t="n"/>
      <c r="C761" s="141" t="n"/>
      <c r="D761" s="141" t="n"/>
      <c r="E761" s="141" t="n"/>
      <c r="F761" s="141" t="n"/>
      <c r="G761" s="143" t="n"/>
      <c r="H761" s="27" t="n"/>
    </row>
    <row r="762" ht="17.25" customHeight="1" s="322">
      <c r="A762" s="27" t="n"/>
      <c r="B762" s="506" t="n"/>
      <c r="C762" s="141" t="n"/>
      <c r="D762" s="141" t="n"/>
      <c r="E762" s="141" t="n"/>
      <c r="F762" s="141" t="n"/>
      <c r="G762" s="143" t="n"/>
      <c r="H762" s="27" t="n"/>
    </row>
    <row r="763" ht="17.25" customHeight="1" s="322">
      <c r="A763" s="27" t="n"/>
      <c r="B763" s="506" t="n"/>
      <c r="C763" s="141" t="n"/>
      <c r="D763" s="141" t="n"/>
      <c r="E763" s="141" t="n"/>
      <c r="F763" s="141" t="n"/>
      <c r="G763" s="143" t="n"/>
      <c r="H763" s="27" t="n"/>
    </row>
    <row r="764" ht="17.25" customHeight="1" s="322">
      <c r="A764" s="27" t="n"/>
      <c r="B764" s="506" t="n"/>
      <c r="C764" s="141" t="n"/>
      <c r="D764" s="141" t="n"/>
      <c r="E764" s="141" t="n"/>
      <c r="F764" s="141" t="n"/>
      <c r="G764" s="143" t="n"/>
      <c r="H764" s="27" t="n"/>
    </row>
    <row r="765" ht="17.25" customHeight="1" s="322">
      <c r="A765" s="27" t="n"/>
      <c r="B765" s="506" t="n"/>
      <c r="C765" s="141" t="n"/>
      <c r="D765" s="141" t="n"/>
      <c r="E765" s="141" t="n"/>
      <c r="F765" s="141" t="n"/>
      <c r="G765" s="143" t="n"/>
      <c r="H765" s="27" t="n"/>
    </row>
    <row r="766" ht="17.25" customHeight="1" s="322">
      <c r="A766" s="27" t="n"/>
      <c r="B766" s="506" t="n"/>
      <c r="C766" s="141" t="n"/>
      <c r="D766" s="141" t="n"/>
      <c r="E766" s="141" t="n"/>
      <c r="F766" s="141" t="n"/>
      <c r="G766" s="143" t="n"/>
      <c r="H766" s="27" t="n"/>
    </row>
    <row r="767" ht="17.25" customHeight="1" s="322">
      <c r="A767" s="27" t="n"/>
      <c r="B767" s="506" t="n"/>
      <c r="C767" s="141" t="n"/>
      <c r="D767" s="141" t="n"/>
      <c r="E767" s="141" t="n"/>
      <c r="F767" s="141" t="n"/>
      <c r="G767" s="143" t="n"/>
      <c r="H767" s="27" t="n"/>
    </row>
    <row r="768" ht="17.25" customHeight="1" s="322">
      <c r="A768" s="27" t="n"/>
      <c r="B768" s="506" t="n"/>
      <c r="C768" s="141" t="n"/>
      <c r="D768" s="141" t="n"/>
      <c r="E768" s="141" t="n"/>
      <c r="F768" s="141" t="n"/>
      <c r="G768" s="143" t="n"/>
      <c r="H768" s="27" t="n"/>
    </row>
    <row r="769" ht="17.25" customHeight="1" s="322">
      <c r="A769" s="27" t="n"/>
      <c r="B769" s="506" t="n"/>
      <c r="C769" s="141" t="n"/>
      <c r="D769" s="141" t="n"/>
      <c r="E769" s="141" t="n"/>
      <c r="F769" s="141" t="n"/>
      <c r="G769" s="143" t="n"/>
      <c r="H769" s="27" t="n"/>
    </row>
    <row r="770" ht="17.25" customHeight="1" s="322">
      <c r="A770" s="27" t="n"/>
      <c r="B770" s="506" t="n"/>
      <c r="C770" s="141" t="n"/>
      <c r="D770" s="141" t="n"/>
      <c r="E770" s="141" t="n"/>
      <c r="F770" s="141" t="n"/>
      <c r="G770" s="143" t="n"/>
      <c r="H770" s="27" t="n"/>
    </row>
    <row r="771" ht="17.25" customHeight="1" s="322">
      <c r="A771" s="27" t="n"/>
      <c r="B771" s="506" t="n"/>
      <c r="C771" s="141" t="n"/>
      <c r="D771" s="141" t="n"/>
      <c r="E771" s="141" t="n"/>
      <c r="F771" s="141" t="n"/>
      <c r="G771" s="143" t="n"/>
      <c r="H771" s="27" t="n"/>
    </row>
    <row r="772" ht="17.25" customHeight="1" s="322">
      <c r="A772" s="27" t="n"/>
      <c r="B772" s="506" t="n"/>
      <c r="C772" s="141" t="n"/>
      <c r="D772" s="141" t="n"/>
      <c r="E772" s="141" t="n"/>
      <c r="F772" s="141" t="n"/>
      <c r="G772" s="143" t="n"/>
      <c r="H772" s="27" t="n"/>
    </row>
    <row r="773" ht="17.25" customHeight="1" s="322">
      <c r="A773" s="27" t="n"/>
      <c r="B773" s="506" t="n"/>
      <c r="C773" s="141" t="n"/>
      <c r="D773" s="141" t="n"/>
      <c r="E773" s="141" t="n"/>
      <c r="F773" s="141" t="n"/>
      <c r="G773" s="143" t="n"/>
      <c r="H773" s="27" t="n"/>
    </row>
    <row r="774" ht="17.25" customHeight="1" s="322">
      <c r="A774" s="27" t="n"/>
      <c r="B774" s="506" t="n"/>
      <c r="C774" s="141" t="n"/>
      <c r="D774" s="141" t="n"/>
      <c r="E774" s="141" t="n"/>
      <c r="F774" s="141" t="n"/>
      <c r="G774" s="143" t="n"/>
      <c r="H774" s="27" t="n"/>
    </row>
    <row r="775" ht="17.25" customHeight="1" s="322">
      <c r="A775" s="27" t="n"/>
      <c r="B775" s="506" t="n"/>
      <c r="C775" s="141" t="n"/>
      <c r="D775" s="141" t="n"/>
      <c r="E775" s="141" t="n"/>
      <c r="F775" s="141" t="n"/>
      <c r="G775" s="143" t="n"/>
      <c r="H775" s="27" t="n"/>
    </row>
    <row r="776" ht="17.25" customHeight="1" s="322">
      <c r="A776" s="27" t="n"/>
      <c r="B776" s="506" t="n"/>
      <c r="C776" s="141" t="n"/>
      <c r="D776" s="141" t="n"/>
      <c r="E776" s="141" t="n"/>
      <c r="F776" s="141" t="n"/>
      <c r="G776" s="143" t="n"/>
      <c r="H776" s="27" t="n"/>
    </row>
    <row r="777" ht="17.25" customHeight="1" s="322">
      <c r="A777" s="27" t="n"/>
      <c r="B777" s="506" t="n"/>
      <c r="C777" s="141" t="n"/>
      <c r="D777" s="141" t="n"/>
      <c r="E777" s="141" t="n"/>
      <c r="F777" s="141" t="n"/>
      <c r="G777" s="143" t="n"/>
      <c r="H777" s="27" t="n"/>
    </row>
    <row r="778" ht="17.25" customHeight="1" s="322">
      <c r="A778" s="27" t="n"/>
      <c r="B778" s="506" t="n"/>
      <c r="C778" s="141" t="n"/>
      <c r="D778" s="141" t="n"/>
      <c r="E778" s="141" t="n"/>
      <c r="F778" s="141" t="n"/>
      <c r="G778" s="143" t="n"/>
      <c r="H778" s="27" t="n"/>
    </row>
    <row r="779" ht="17.25" customHeight="1" s="322">
      <c r="A779" s="27" t="n"/>
      <c r="B779" s="506" t="n"/>
      <c r="C779" s="141" t="n"/>
      <c r="D779" s="141" t="n"/>
      <c r="E779" s="141" t="n"/>
      <c r="F779" s="141" t="n"/>
      <c r="G779" s="143" t="n"/>
      <c r="H779" s="27" t="n"/>
    </row>
    <row r="780" ht="17.25" customHeight="1" s="322">
      <c r="A780" s="27" t="n"/>
      <c r="B780" s="506" t="n"/>
      <c r="C780" s="141" t="n"/>
      <c r="D780" s="141" t="n"/>
      <c r="E780" s="141" t="n"/>
      <c r="F780" s="141" t="n"/>
      <c r="G780" s="143" t="n"/>
      <c r="H780" s="27" t="n"/>
    </row>
    <row r="781" ht="17.25" customHeight="1" s="322">
      <c r="A781" s="27" t="n"/>
      <c r="B781" s="506" t="n"/>
      <c r="C781" s="141" t="n"/>
      <c r="D781" s="141" t="n"/>
      <c r="E781" s="141" t="n"/>
      <c r="F781" s="141" t="n"/>
      <c r="G781" s="143" t="n"/>
      <c r="H781" s="27" t="n"/>
    </row>
    <row r="782" ht="17.25" customHeight="1" s="322">
      <c r="A782" s="27" t="n"/>
      <c r="B782" s="506" t="n"/>
      <c r="C782" s="141" t="n"/>
      <c r="D782" s="141" t="n"/>
      <c r="E782" s="141" t="n"/>
      <c r="F782" s="141" t="n"/>
      <c r="G782" s="143" t="n"/>
      <c r="H782" s="27" t="n"/>
    </row>
    <row r="783" ht="17.25" customHeight="1" s="322">
      <c r="A783" s="27" t="n"/>
      <c r="B783" s="506" t="n"/>
      <c r="C783" s="141" t="n"/>
      <c r="D783" s="141" t="n"/>
      <c r="E783" s="141" t="n"/>
      <c r="F783" s="141" t="n"/>
      <c r="G783" s="143" t="n"/>
      <c r="H783" s="27" t="n"/>
    </row>
    <row r="784" ht="17.25" customHeight="1" s="322">
      <c r="A784" s="27" t="n"/>
      <c r="B784" s="506" t="n"/>
      <c r="C784" s="141" t="n"/>
      <c r="D784" s="141" t="n"/>
      <c r="E784" s="141" t="n"/>
      <c r="F784" s="141" t="n"/>
      <c r="G784" s="143" t="n"/>
      <c r="H784" s="27" t="n"/>
    </row>
    <row r="785" ht="17.25" customHeight="1" s="322">
      <c r="A785" s="27" t="n"/>
      <c r="B785" s="506" t="n"/>
      <c r="C785" s="141" t="n"/>
      <c r="D785" s="141" t="n"/>
      <c r="E785" s="141" t="n"/>
      <c r="F785" s="141" t="n"/>
      <c r="G785" s="143" t="n"/>
      <c r="H785" s="27" t="n"/>
    </row>
    <row r="786" ht="17.25" customHeight="1" s="322">
      <c r="A786" s="27" t="n"/>
      <c r="B786" s="506" t="n"/>
      <c r="C786" s="141" t="n"/>
      <c r="D786" s="141" t="n"/>
      <c r="E786" s="141" t="n"/>
      <c r="F786" s="141" t="n"/>
      <c r="G786" s="143" t="n"/>
      <c r="H786" s="27" t="n"/>
    </row>
    <row r="787" ht="17.25" customHeight="1" s="322">
      <c r="A787" s="27" t="n"/>
      <c r="B787" s="506" t="n"/>
      <c r="C787" s="141" t="n"/>
      <c r="D787" s="141" t="n"/>
      <c r="E787" s="141" t="n"/>
      <c r="F787" s="141" t="n"/>
      <c r="G787" s="143" t="n"/>
      <c r="H787" s="27" t="n"/>
    </row>
    <row r="788" ht="17.25" customHeight="1" s="322">
      <c r="A788" s="27" t="n"/>
      <c r="B788" s="506" t="n"/>
      <c r="C788" s="141" t="n"/>
      <c r="D788" s="141" t="n"/>
      <c r="E788" s="141" t="n"/>
      <c r="F788" s="141" t="n"/>
      <c r="G788" s="143" t="n"/>
      <c r="H788" s="27" t="n"/>
    </row>
    <row r="789" ht="17.25" customHeight="1" s="322">
      <c r="A789" s="27" t="n"/>
      <c r="B789" s="506" t="n"/>
      <c r="C789" s="141" t="n"/>
      <c r="D789" s="141" t="n"/>
      <c r="E789" s="141" t="n"/>
      <c r="F789" s="141" t="n"/>
      <c r="G789" s="143" t="n"/>
      <c r="H789" s="27" t="n"/>
    </row>
    <row r="790" ht="17.25" customHeight="1" s="322">
      <c r="A790" s="27" t="n"/>
      <c r="B790" s="506" t="n"/>
      <c r="C790" s="141" t="n"/>
      <c r="D790" s="141" t="n"/>
      <c r="E790" s="141" t="n"/>
      <c r="F790" s="141" t="n"/>
      <c r="G790" s="143" t="n"/>
      <c r="H790" s="27" t="n"/>
    </row>
    <row r="791" ht="17.25" customHeight="1" s="322">
      <c r="A791" s="27" t="n"/>
      <c r="B791" s="506" t="n"/>
      <c r="C791" s="141" t="n"/>
      <c r="D791" s="141" t="n"/>
      <c r="E791" s="141" t="n"/>
      <c r="F791" s="141" t="n"/>
      <c r="G791" s="143" t="n"/>
      <c r="H791" s="27" t="n"/>
    </row>
    <row r="792" ht="17.25" customHeight="1" s="322">
      <c r="A792" s="27" t="n"/>
      <c r="B792" s="506" t="n"/>
      <c r="C792" s="141" t="n"/>
      <c r="D792" s="141" t="n"/>
      <c r="E792" s="141" t="n"/>
      <c r="F792" s="141" t="n"/>
      <c r="G792" s="143" t="n"/>
      <c r="H792" s="27" t="n"/>
    </row>
    <row r="793" ht="17.25" customHeight="1" s="322">
      <c r="A793" s="27" t="n"/>
      <c r="B793" s="506" t="n"/>
      <c r="C793" s="141" t="n"/>
      <c r="D793" s="141" t="n"/>
      <c r="E793" s="141" t="n"/>
      <c r="F793" s="141" t="n"/>
      <c r="G793" s="143" t="n"/>
      <c r="H793" s="27" t="n"/>
    </row>
    <row r="794" ht="17.25" customHeight="1" s="322">
      <c r="A794" s="27" t="n"/>
      <c r="B794" s="506" t="n"/>
      <c r="C794" s="141" t="n"/>
      <c r="D794" s="141" t="n"/>
      <c r="E794" s="141" t="n"/>
      <c r="F794" s="141" t="n"/>
      <c r="G794" s="143" t="n"/>
      <c r="H794" s="27" t="n"/>
    </row>
    <row r="795" ht="17.25" customHeight="1" s="322">
      <c r="A795" s="27" t="n"/>
      <c r="B795" s="506" t="n"/>
      <c r="C795" s="141" t="n"/>
      <c r="D795" s="141" t="n"/>
      <c r="E795" s="141" t="n"/>
      <c r="F795" s="141" t="n"/>
      <c r="G795" s="143" t="n"/>
      <c r="H795" s="27" t="n"/>
    </row>
    <row r="796" ht="17.25" customHeight="1" s="322">
      <c r="A796" s="27" t="n"/>
      <c r="B796" s="506" t="n"/>
      <c r="C796" s="141" t="n"/>
      <c r="D796" s="141" t="n"/>
      <c r="E796" s="141" t="n"/>
      <c r="F796" s="141" t="n"/>
      <c r="G796" s="143" t="n"/>
      <c r="H796" s="27" t="n"/>
    </row>
    <row r="797" ht="17.25" customHeight="1" s="322">
      <c r="A797" s="27" t="n"/>
      <c r="B797" s="506" t="n"/>
      <c r="C797" s="141" t="n"/>
      <c r="D797" s="141" t="n"/>
      <c r="E797" s="141" t="n"/>
      <c r="F797" s="141" t="n"/>
      <c r="G797" s="143" t="n"/>
      <c r="H797" s="27" t="n"/>
    </row>
    <row r="798" ht="17.25" customHeight="1" s="322">
      <c r="A798" s="27" t="n"/>
      <c r="B798" s="506" t="n"/>
      <c r="C798" s="141" t="n"/>
      <c r="D798" s="141" t="n"/>
      <c r="E798" s="141" t="n"/>
      <c r="F798" s="141" t="n"/>
      <c r="G798" s="143" t="n"/>
      <c r="H798" s="27" t="n"/>
    </row>
    <row r="799" ht="17.25" customHeight="1" s="322">
      <c r="A799" s="27" t="n"/>
      <c r="B799" s="506" t="n"/>
      <c r="C799" s="141" t="n"/>
      <c r="D799" s="141" t="n"/>
      <c r="E799" s="141" t="n"/>
      <c r="F799" s="141" t="n"/>
      <c r="G799" s="143" t="n"/>
      <c r="H799" s="27" t="n"/>
    </row>
    <row r="800" ht="17.25" customHeight="1" s="322">
      <c r="A800" s="27" t="n"/>
      <c r="B800" s="506" t="n"/>
      <c r="C800" s="141" t="n"/>
      <c r="D800" s="141" t="n"/>
      <c r="E800" s="141" t="n"/>
      <c r="F800" s="141" t="n"/>
      <c r="G800" s="143" t="n"/>
      <c r="H800" s="27" t="n"/>
    </row>
    <row r="801" ht="17.25" customHeight="1" s="322">
      <c r="A801" s="27" t="n"/>
      <c r="B801" s="506" t="n"/>
      <c r="C801" s="141" t="n"/>
      <c r="D801" s="141" t="n"/>
      <c r="E801" s="141" t="n"/>
      <c r="F801" s="141" t="n"/>
      <c r="G801" s="143" t="n"/>
      <c r="H801" s="27" t="n"/>
    </row>
    <row r="802" ht="17.25" customHeight="1" s="322">
      <c r="A802" s="27" t="n"/>
      <c r="B802" s="506" t="n"/>
      <c r="C802" s="141" t="n"/>
      <c r="D802" s="141" t="n"/>
      <c r="E802" s="141" t="n"/>
      <c r="F802" s="141" t="n"/>
      <c r="G802" s="143" t="n"/>
      <c r="H802" s="27" t="n"/>
    </row>
    <row r="803" ht="17.25" customHeight="1" s="322">
      <c r="A803" s="27" t="n"/>
      <c r="B803" s="506" t="n"/>
      <c r="C803" s="141" t="n"/>
      <c r="D803" s="141" t="n"/>
      <c r="E803" s="141" t="n"/>
      <c r="F803" s="141" t="n"/>
      <c r="G803" s="143" t="n"/>
      <c r="H803" s="27" t="n"/>
    </row>
    <row r="804" ht="17.25" customHeight="1" s="322">
      <c r="A804" s="27" t="n"/>
      <c r="B804" s="506" t="n"/>
      <c r="C804" s="141" t="n"/>
      <c r="D804" s="141" t="n"/>
      <c r="E804" s="141" t="n"/>
      <c r="F804" s="141" t="n"/>
      <c r="G804" s="143" t="n"/>
      <c r="H804" s="27" t="n"/>
    </row>
    <row r="805" ht="17.25" customHeight="1" s="322">
      <c r="A805" s="27" t="n"/>
      <c r="B805" s="506" t="n"/>
      <c r="C805" s="141" t="n"/>
      <c r="D805" s="141" t="n"/>
      <c r="E805" s="141" t="n"/>
      <c r="F805" s="141" t="n"/>
      <c r="G805" s="143" t="n"/>
      <c r="H805" s="27" t="n"/>
    </row>
    <row r="806" ht="17.25" customHeight="1" s="322">
      <c r="A806" s="27" t="n"/>
      <c r="B806" s="506" t="n"/>
      <c r="C806" s="141" t="n"/>
      <c r="D806" s="141" t="n"/>
      <c r="E806" s="141" t="n"/>
      <c r="F806" s="141" t="n"/>
      <c r="G806" s="143" t="n"/>
      <c r="H806" s="27" t="n"/>
    </row>
    <row r="807" ht="17.25" customHeight="1" s="322">
      <c r="A807" s="27" t="n"/>
      <c r="B807" s="506" t="n"/>
      <c r="C807" s="141" t="n"/>
      <c r="D807" s="141" t="n"/>
      <c r="E807" s="141" t="n"/>
      <c r="F807" s="141" t="n"/>
      <c r="G807" s="143" t="n"/>
      <c r="H807" s="27" t="n"/>
    </row>
    <row r="808" ht="17.25" customHeight="1" s="322">
      <c r="A808" s="27" t="n"/>
      <c r="B808" s="506" t="n"/>
      <c r="C808" s="141" t="n"/>
      <c r="D808" s="141" t="n"/>
      <c r="E808" s="141" t="n"/>
      <c r="F808" s="141" t="n"/>
      <c r="G808" s="143" t="n"/>
      <c r="H808" s="27" t="n"/>
    </row>
    <row r="809" ht="17.25" customHeight="1" s="322">
      <c r="A809" s="27" t="n"/>
      <c r="B809" s="506" t="n"/>
      <c r="C809" s="141" t="n"/>
      <c r="D809" s="141" t="n"/>
      <c r="E809" s="141" t="n"/>
      <c r="F809" s="141" t="n"/>
      <c r="G809" s="143" t="n"/>
      <c r="H809" s="27" t="n"/>
    </row>
    <row r="810" ht="17.25" customHeight="1" s="322">
      <c r="A810" s="27" t="n"/>
      <c r="B810" s="506" t="n"/>
      <c r="C810" s="141" t="n"/>
      <c r="D810" s="141" t="n"/>
      <c r="E810" s="141" t="n"/>
      <c r="F810" s="141" t="n"/>
      <c r="G810" s="143" t="n"/>
      <c r="H810" s="27" t="n"/>
    </row>
    <row r="811" ht="17.25" customHeight="1" s="322">
      <c r="A811" s="27" t="n"/>
      <c r="B811" s="506" t="n"/>
      <c r="C811" s="141" t="n"/>
      <c r="D811" s="141" t="n"/>
      <c r="E811" s="141" t="n"/>
      <c r="F811" s="141" t="n"/>
      <c r="G811" s="143" t="n"/>
      <c r="H811" s="27" t="n"/>
    </row>
    <row r="812" ht="17.25" customHeight="1" s="322">
      <c r="A812" s="27" t="n"/>
      <c r="B812" s="506" t="n"/>
      <c r="C812" s="141" t="n"/>
      <c r="D812" s="141" t="n"/>
      <c r="E812" s="141" t="n"/>
      <c r="F812" s="141" t="n"/>
      <c r="G812" s="143" t="n"/>
      <c r="H812" s="27" t="n"/>
    </row>
    <row r="813" ht="17.25" customHeight="1" s="322">
      <c r="A813" s="27" t="n"/>
      <c r="B813" s="506" t="n"/>
      <c r="C813" s="141" t="n"/>
      <c r="D813" s="141" t="n"/>
      <c r="E813" s="141" t="n"/>
      <c r="F813" s="141" t="n"/>
      <c r="G813" s="143" t="n"/>
      <c r="H813" s="27" t="n"/>
    </row>
    <row r="814" ht="17.25" customHeight="1" s="322">
      <c r="A814" s="27" t="n"/>
      <c r="B814" s="506" t="n"/>
      <c r="C814" s="141" t="n"/>
      <c r="D814" s="141" t="n"/>
      <c r="E814" s="141" t="n"/>
      <c r="F814" s="141" t="n"/>
      <c r="G814" s="143" t="n"/>
      <c r="H814" s="27" t="n"/>
    </row>
    <row r="815" ht="17.25" customHeight="1" s="322">
      <c r="A815" s="27" t="n"/>
      <c r="B815" s="506" t="n"/>
      <c r="C815" s="141" t="n"/>
      <c r="D815" s="141" t="n"/>
      <c r="E815" s="141" t="n"/>
      <c r="F815" s="141" t="n"/>
      <c r="G815" s="143" t="n"/>
      <c r="H815" s="27" t="n"/>
    </row>
    <row r="816" ht="17.25" customHeight="1" s="322">
      <c r="A816" s="27" t="n"/>
      <c r="B816" s="506" t="n"/>
      <c r="C816" s="141" t="n"/>
      <c r="D816" s="141" t="n"/>
      <c r="E816" s="141" t="n"/>
      <c r="F816" s="141" t="n"/>
      <c r="G816" s="143" t="n"/>
      <c r="H816" s="27" t="n"/>
    </row>
    <row r="817" ht="17.25" customHeight="1" s="322">
      <c r="A817" s="27" t="n"/>
      <c r="B817" s="506" t="n"/>
      <c r="C817" s="141" t="n"/>
      <c r="D817" s="141" t="n"/>
      <c r="E817" s="141" t="n"/>
      <c r="F817" s="141" t="n"/>
      <c r="G817" s="143" t="n"/>
      <c r="H817" s="27" t="n"/>
    </row>
    <row r="818" ht="17.25" customHeight="1" s="322">
      <c r="A818" s="27" t="n"/>
      <c r="B818" s="506" t="n"/>
      <c r="C818" s="141" t="n"/>
      <c r="D818" s="141" t="n"/>
      <c r="E818" s="141" t="n"/>
      <c r="F818" s="141" t="n"/>
      <c r="G818" s="143" t="n"/>
      <c r="H818" s="27" t="n"/>
    </row>
    <row r="819" ht="17.25" customHeight="1" s="322">
      <c r="A819" s="27" t="n"/>
      <c r="B819" s="506" t="n"/>
      <c r="C819" s="141" t="n"/>
      <c r="D819" s="141" t="n"/>
      <c r="E819" s="141" t="n"/>
      <c r="F819" s="141" t="n"/>
      <c r="G819" s="143" t="n"/>
      <c r="H819" s="27" t="n"/>
    </row>
    <row r="820" ht="17.25" customHeight="1" s="322">
      <c r="A820" s="27" t="n"/>
      <c r="B820" s="506" t="n"/>
      <c r="C820" s="141" t="n"/>
      <c r="D820" s="141" t="n"/>
      <c r="E820" s="141" t="n"/>
      <c r="F820" s="141" t="n"/>
      <c r="G820" s="143" t="n"/>
      <c r="H820" s="27" t="n"/>
    </row>
    <row r="821" ht="17.25" customHeight="1" s="322">
      <c r="A821" s="27" t="n"/>
      <c r="B821" s="506" t="n"/>
      <c r="C821" s="141" t="n"/>
      <c r="D821" s="141" t="n"/>
      <c r="E821" s="141" t="n"/>
      <c r="F821" s="141" t="n"/>
      <c r="G821" s="143" t="n"/>
      <c r="H821" s="27" t="n"/>
    </row>
    <row r="822" ht="17.25" customHeight="1" s="322">
      <c r="A822" s="27" t="n"/>
      <c r="B822" s="506" t="n"/>
      <c r="C822" s="141" t="n"/>
      <c r="D822" s="141" t="n"/>
      <c r="E822" s="141" t="n"/>
      <c r="F822" s="141" t="n"/>
      <c r="G822" s="143" t="n"/>
      <c r="H822" s="27" t="n"/>
    </row>
    <row r="823" ht="17.25" customHeight="1" s="322">
      <c r="A823" s="27" t="n"/>
      <c r="B823" s="506" t="n"/>
      <c r="C823" s="141" t="n"/>
      <c r="D823" s="141" t="n"/>
      <c r="E823" s="141" t="n"/>
      <c r="F823" s="141" t="n"/>
      <c r="G823" s="143" t="n"/>
      <c r="H823" s="27" t="n"/>
    </row>
    <row r="824" ht="17.25" customHeight="1" s="322">
      <c r="A824" s="27" t="n"/>
      <c r="B824" s="506" t="n"/>
      <c r="C824" s="141" t="n"/>
      <c r="D824" s="141" t="n"/>
      <c r="E824" s="141" t="n"/>
      <c r="F824" s="141" t="n"/>
      <c r="G824" s="143" t="n"/>
      <c r="H824" s="27" t="n"/>
    </row>
    <row r="825" ht="17.25" customHeight="1" s="322">
      <c r="A825" s="27" t="n"/>
      <c r="B825" s="506" t="n"/>
      <c r="C825" s="141" t="n"/>
      <c r="D825" s="141" t="n"/>
      <c r="E825" s="141" t="n"/>
      <c r="F825" s="141" t="n"/>
      <c r="G825" s="143" t="n"/>
      <c r="H825" s="27" t="n"/>
    </row>
    <row r="826" ht="17.25" customHeight="1" s="322">
      <c r="A826" s="27" t="n"/>
      <c r="B826" s="506" t="n"/>
      <c r="C826" s="141" t="n"/>
      <c r="D826" s="141" t="n"/>
      <c r="E826" s="141" t="n"/>
      <c r="F826" s="141" t="n"/>
      <c r="G826" s="143" t="n"/>
      <c r="H826" s="27" t="n"/>
    </row>
    <row r="827" ht="17.25" customHeight="1" s="322">
      <c r="A827" s="27" t="n"/>
      <c r="B827" s="506" t="n"/>
      <c r="C827" s="141" t="n"/>
      <c r="D827" s="141" t="n"/>
      <c r="E827" s="141" t="n"/>
      <c r="F827" s="141" t="n"/>
      <c r="G827" s="143" t="n"/>
      <c r="H827" s="27" t="n"/>
    </row>
    <row r="828" ht="17.25" customHeight="1" s="322">
      <c r="A828" s="27" t="n"/>
      <c r="B828" s="506" t="n"/>
      <c r="C828" s="141" t="n"/>
      <c r="D828" s="141" t="n"/>
      <c r="E828" s="141" t="n"/>
      <c r="F828" s="141" t="n"/>
      <c r="G828" s="143" t="n"/>
      <c r="H828" s="27" t="n"/>
    </row>
    <row r="829" ht="17.25" customHeight="1" s="322">
      <c r="A829" s="27" t="n"/>
      <c r="B829" s="506" t="n"/>
      <c r="C829" s="141" t="n"/>
      <c r="D829" s="141" t="n"/>
      <c r="E829" s="141" t="n"/>
      <c r="F829" s="141" t="n"/>
      <c r="G829" s="143" t="n"/>
      <c r="H829" s="27" t="n"/>
    </row>
    <row r="830" ht="17.25" customHeight="1" s="322">
      <c r="A830" s="27" t="n"/>
      <c r="B830" s="506" t="n"/>
      <c r="C830" s="141" t="n"/>
      <c r="D830" s="141" t="n"/>
      <c r="E830" s="141" t="n"/>
      <c r="F830" s="141" t="n"/>
      <c r="G830" s="143" t="n"/>
      <c r="H830" s="27" t="n"/>
    </row>
    <row r="831" ht="17.25" customHeight="1" s="322">
      <c r="A831" s="27" t="n"/>
      <c r="B831" s="506" t="n"/>
      <c r="C831" s="141" t="n"/>
      <c r="D831" s="141" t="n"/>
      <c r="E831" s="141" t="n"/>
      <c r="F831" s="141" t="n"/>
      <c r="G831" s="143" t="n"/>
      <c r="H831" s="27" t="n"/>
    </row>
    <row r="832" ht="17.25" customHeight="1" s="322">
      <c r="A832" s="27" t="n"/>
      <c r="B832" s="506" t="n"/>
      <c r="C832" s="141" t="n"/>
      <c r="D832" s="141" t="n"/>
      <c r="E832" s="141" t="n"/>
      <c r="F832" s="141" t="n"/>
      <c r="G832" s="143" t="n"/>
      <c r="H832" s="27" t="n"/>
    </row>
    <row r="833" ht="17.25" customHeight="1" s="322">
      <c r="A833" s="27" t="n"/>
      <c r="B833" s="506" t="n"/>
      <c r="C833" s="141" t="n"/>
      <c r="D833" s="141" t="n"/>
      <c r="E833" s="141" t="n"/>
      <c r="F833" s="141" t="n"/>
      <c r="G833" s="143" t="n"/>
      <c r="H833" s="27" t="n"/>
    </row>
    <row r="834" ht="17.25" customHeight="1" s="322">
      <c r="A834" s="27" t="n"/>
      <c r="B834" s="506" t="n"/>
      <c r="C834" s="141" t="n"/>
      <c r="D834" s="141" t="n"/>
      <c r="E834" s="141" t="n"/>
      <c r="F834" s="141" t="n"/>
      <c r="G834" s="143" t="n"/>
      <c r="H834" s="27" t="n"/>
    </row>
    <row r="835" ht="17.25" customHeight="1" s="322">
      <c r="A835" s="27" t="n"/>
      <c r="B835" s="506" t="n"/>
      <c r="C835" s="141" t="n"/>
      <c r="D835" s="141" t="n"/>
      <c r="E835" s="141" t="n"/>
      <c r="F835" s="141" t="n"/>
      <c r="G835" s="143" t="n"/>
      <c r="H835" s="27" t="n"/>
    </row>
    <row r="836" ht="17.25" customHeight="1" s="322">
      <c r="A836" s="27" t="n"/>
      <c r="B836" s="506" t="n"/>
      <c r="C836" s="141" t="n"/>
      <c r="D836" s="141" t="n"/>
      <c r="E836" s="141" t="n"/>
      <c r="F836" s="141" t="n"/>
      <c r="G836" s="143" t="n"/>
      <c r="H836" s="27" t="n"/>
    </row>
    <row r="837" ht="17.25" customHeight="1" s="322">
      <c r="A837" s="27" t="n"/>
      <c r="B837" s="506" t="n"/>
      <c r="C837" s="141" t="n"/>
      <c r="D837" s="141" t="n"/>
      <c r="E837" s="141" t="n"/>
      <c r="F837" s="141" t="n"/>
      <c r="G837" s="143" t="n"/>
      <c r="H837" s="27" t="n"/>
    </row>
    <row r="838" ht="17.25" customHeight="1" s="322">
      <c r="A838" s="27" t="n"/>
      <c r="B838" s="506" t="n"/>
      <c r="C838" s="141" t="n"/>
      <c r="D838" s="141" t="n"/>
      <c r="E838" s="141" t="n"/>
      <c r="F838" s="141" t="n"/>
      <c r="G838" s="143" t="n"/>
      <c r="H838" s="27" t="n"/>
    </row>
    <row r="839" ht="17.25" customHeight="1" s="322">
      <c r="A839" s="27" t="n"/>
      <c r="B839" s="506" t="n"/>
      <c r="C839" s="141" t="n"/>
      <c r="D839" s="141" t="n"/>
      <c r="E839" s="141" t="n"/>
      <c r="F839" s="141" t="n"/>
      <c r="G839" s="143" t="n"/>
      <c r="H839" s="27" t="n"/>
    </row>
    <row r="840" ht="17.25" customHeight="1" s="322">
      <c r="A840" s="27" t="n"/>
      <c r="B840" s="506" t="n"/>
      <c r="C840" s="141" t="n"/>
      <c r="D840" s="141" t="n"/>
      <c r="E840" s="141" t="n"/>
      <c r="F840" s="141" t="n"/>
      <c r="G840" s="143" t="n"/>
      <c r="H840" s="27" t="n"/>
    </row>
    <row r="841" ht="17.25" customHeight="1" s="322">
      <c r="A841" s="27" t="n"/>
      <c r="B841" s="506" t="n"/>
      <c r="C841" s="141" t="n"/>
      <c r="D841" s="141" t="n"/>
      <c r="E841" s="141" t="n"/>
      <c r="F841" s="141" t="n"/>
      <c r="G841" s="143" t="n"/>
      <c r="H841" s="27" t="n"/>
    </row>
    <row r="842" ht="17.25" customHeight="1" s="322">
      <c r="A842" s="27" t="n"/>
      <c r="B842" s="506" t="n"/>
      <c r="C842" s="141" t="n"/>
      <c r="D842" s="141" t="n"/>
      <c r="E842" s="141" t="n"/>
      <c r="F842" s="141" t="n"/>
      <c r="G842" s="143" t="n"/>
      <c r="H842" s="27" t="n"/>
    </row>
    <row r="843" ht="17.25" customHeight="1" s="322">
      <c r="A843" s="27" t="n"/>
      <c r="B843" s="506" t="n"/>
      <c r="C843" s="141" t="n"/>
      <c r="D843" s="141" t="n"/>
      <c r="E843" s="141" t="n"/>
      <c r="F843" s="141" t="n"/>
      <c r="G843" s="143" t="n"/>
      <c r="H843" s="27" t="n"/>
    </row>
    <row r="844" ht="17.25" customHeight="1" s="322">
      <c r="A844" s="27" t="n"/>
      <c r="B844" s="506" t="n"/>
      <c r="C844" s="141" t="n"/>
      <c r="D844" s="141" t="n"/>
      <c r="E844" s="141" t="n"/>
      <c r="F844" s="141" t="n"/>
      <c r="G844" s="143" t="n"/>
      <c r="H844" s="27" t="n"/>
    </row>
    <row r="845" ht="17.25" customHeight="1" s="322">
      <c r="A845" s="27" t="n"/>
      <c r="B845" s="506" t="n"/>
      <c r="C845" s="141" t="n"/>
      <c r="D845" s="141" t="n"/>
      <c r="E845" s="141" t="n"/>
      <c r="F845" s="141" t="n"/>
      <c r="G845" s="143" t="n"/>
      <c r="H845" s="27" t="n"/>
    </row>
    <row r="846" ht="17.25" customHeight="1" s="322">
      <c r="A846" s="27" t="n"/>
      <c r="B846" s="506" t="n"/>
      <c r="C846" s="141" t="n"/>
      <c r="D846" s="141" t="n"/>
      <c r="E846" s="141" t="n"/>
      <c r="F846" s="141" t="n"/>
      <c r="G846" s="143" t="n"/>
      <c r="H846" s="27" t="n"/>
    </row>
    <row r="847" ht="17.25" customHeight="1" s="322">
      <c r="A847" s="27" t="n"/>
      <c r="B847" s="506" t="n"/>
      <c r="C847" s="141" t="n"/>
      <c r="D847" s="141" t="n"/>
      <c r="E847" s="141" t="n"/>
      <c r="F847" s="141" t="n"/>
      <c r="G847" s="143" t="n"/>
      <c r="H847" s="27" t="n"/>
    </row>
    <row r="848" ht="17.25" customHeight="1" s="322">
      <c r="A848" s="27" t="n"/>
      <c r="B848" s="506" t="n"/>
      <c r="C848" s="141" t="n"/>
      <c r="D848" s="141" t="n"/>
      <c r="E848" s="141" t="n"/>
      <c r="F848" s="141" t="n"/>
      <c r="G848" s="143" t="n"/>
      <c r="H848" s="27" t="n"/>
    </row>
    <row r="849" ht="17.25" customHeight="1" s="322">
      <c r="A849" s="27" t="n"/>
      <c r="B849" s="506" t="n"/>
      <c r="C849" s="141" t="n"/>
      <c r="D849" s="141" t="n"/>
      <c r="E849" s="141" t="n"/>
      <c r="F849" s="141" t="n"/>
      <c r="G849" s="143" t="n"/>
      <c r="H849" s="27" t="n"/>
    </row>
    <row r="850" ht="17.25" customHeight="1" s="322">
      <c r="A850" s="27" t="n"/>
      <c r="B850" s="506" t="n"/>
      <c r="C850" s="141" t="n"/>
      <c r="D850" s="141" t="n"/>
      <c r="E850" s="141" t="n"/>
      <c r="F850" s="141" t="n"/>
      <c r="G850" s="143" t="n"/>
      <c r="H850" s="27" t="n"/>
    </row>
    <row r="851" ht="17.25" customHeight="1" s="322">
      <c r="A851" s="27" t="n"/>
      <c r="B851" s="506" t="n"/>
      <c r="C851" s="141" t="n"/>
      <c r="D851" s="141" t="n"/>
      <c r="E851" s="141" t="n"/>
      <c r="F851" s="141" t="n"/>
      <c r="G851" s="143" t="n"/>
      <c r="H851" s="27" t="n"/>
    </row>
    <row r="852" ht="17.25" customHeight="1" s="322">
      <c r="A852" s="27" t="n"/>
      <c r="B852" s="506" t="n"/>
      <c r="C852" s="141" t="n"/>
      <c r="D852" s="141" t="n"/>
      <c r="E852" s="141" t="n"/>
      <c r="F852" s="141" t="n"/>
      <c r="G852" s="143" t="n"/>
      <c r="H852" s="27" t="n"/>
    </row>
    <row r="853" ht="17.25" customHeight="1" s="322">
      <c r="A853" s="27" t="n"/>
      <c r="B853" s="506" t="n"/>
      <c r="C853" s="141" t="n"/>
      <c r="D853" s="141" t="n"/>
      <c r="E853" s="141" t="n"/>
      <c r="F853" s="141" t="n"/>
      <c r="G853" s="143" t="n"/>
      <c r="H853" s="27" t="n"/>
    </row>
    <row r="854" ht="17.25" customHeight="1" s="322">
      <c r="A854" s="27" t="n"/>
      <c r="B854" s="506" t="n"/>
      <c r="C854" s="141" t="n"/>
      <c r="D854" s="141" t="n"/>
      <c r="E854" s="141" t="n"/>
      <c r="F854" s="141" t="n"/>
      <c r="G854" s="143" t="n"/>
      <c r="H854" s="27" t="n"/>
    </row>
    <row r="855" ht="17.25" customHeight="1" s="322">
      <c r="A855" s="27" t="n"/>
      <c r="B855" s="506" t="n"/>
      <c r="C855" s="141" t="n"/>
      <c r="D855" s="141" t="n"/>
      <c r="E855" s="141" t="n"/>
      <c r="F855" s="141" t="n"/>
      <c r="G855" s="143" t="n"/>
      <c r="H855" s="27" t="n"/>
    </row>
    <row r="856" ht="17.25" customHeight="1" s="322">
      <c r="A856" s="27" t="n"/>
      <c r="B856" s="506" t="n"/>
      <c r="C856" s="141" t="n"/>
      <c r="D856" s="141" t="n"/>
      <c r="E856" s="141" t="n"/>
      <c r="F856" s="141" t="n"/>
      <c r="G856" s="143" t="n"/>
      <c r="H856" s="27" t="n"/>
    </row>
    <row r="857" ht="17.25" customHeight="1" s="322">
      <c r="A857" s="27" t="n"/>
      <c r="B857" s="506" t="n"/>
      <c r="C857" s="141" t="n"/>
      <c r="D857" s="141" t="n"/>
      <c r="E857" s="141" t="n"/>
      <c r="F857" s="141" t="n"/>
      <c r="G857" s="143" t="n"/>
      <c r="H857" s="27" t="n"/>
    </row>
    <row r="858" ht="17.25" customHeight="1" s="322">
      <c r="A858" s="27" t="n"/>
      <c r="B858" s="506" t="n"/>
      <c r="C858" s="141" t="n"/>
      <c r="D858" s="141" t="n"/>
      <c r="E858" s="141" t="n"/>
      <c r="F858" s="141" t="n"/>
      <c r="G858" s="143" t="n"/>
      <c r="H858" s="27" t="n"/>
    </row>
    <row r="859" ht="17.25" customHeight="1" s="322">
      <c r="A859" s="27" t="n"/>
      <c r="B859" s="506" t="n"/>
      <c r="C859" s="141" t="n"/>
      <c r="D859" s="141" t="n"/>
      <c r="E859" s="141" t="n"/>
      <c r="F859" s="141" t="n"/>
      <c r="G859" s="143" t="n"/>
      <c r="H859" s="27" t="n"/>
    </row>
    <row r="860" ht="17.25" customHeight="1" s="322">
      <c r="A860" s="27" t="n"/>
      <c r="B860" s="506" t="n"/>
      <c r="C860" s="141" t="n"/>
      <c r="D860" s="141" t="n"/>
      <c r="E860" s="141" t="n"/>
      <c r="F860" s="141" t="n"/>
      <c r="G860" s="143" t="n"/>
      <c r="H860" s="27" t="n"/>
    </row>
    <row r="861" ht="17.25" customHeight="1" s="322">
      <c r="A861" s="27" t="n"/>
      <c r="B861" s="506" t="n"/>
      <c r="C861" s="141" t="n"/>
      <c r="D861" s="141" t="n"/>
      <c r="E861" s="141" t="n"/>
      <c r="F861" s="141" t="n"/>
      <c r="G861" s="143" t="n"/>
      <c r="H861" s="27" t="n"/>
    </row>
    <row r="862" ht="17.25" customHeight="1" s="322">
      <c r="A862" s="27" t="n"/>
      <c r="B862" s="506" t="n"/>
      <c r="C862" s="141" t="n"/>
      <c r="D862" s="141" t="n"/>
      <c r="E862" s="141" t="n"/>
      <c r="F862" s="141" t="n"/>
      <c r="G862" s="143" t="n"/>
      <c r="H862" s="27" t="n"/>
    </row>
    <row r="863" ht="17.25" customHeight="1" s="322">
      <c r="A863" s="27" t="n"/>
      <c r="B863" s="506" t="n"/>
      <c r="C863" s="141" t="n"/>
      <c r="D863" s="141" t="n"/>
      <c r="E863" s="141" t="n"/>
      <c r="F863" s="141" t="n"/>
      <c r="G863" s="143" t="n"/>
      <c r="H863" s="27" t="n"/>
    </row>
    <row r="864" ht="17.25" customHeight="1" s="322">
      <c r="A864" s="27" t="n"/>
      <c r="B864" s="506" t="n"/>
      <c r="C864" s="141" t="n"/>
      <c r="D864" s="141" t="n"/>
      <c r="E864" s="141" t="n"/>
      <c r="F864" s="141" t="n"/>
      <c r="G864" s="143" t="n"/>
      <c r="H864" s="27" t="n"/>
    </row>
    <row r="865" ht="17.25" customHeight="1" s="322">
      <c r="A865" s="27" t="n"/>
      <c r="B865" s="506" t="n"/>
      <c r="C865" s="141" t="n"/>
      <c r="D865" s="141" t="n"/>
      <c r="E865" s="141" t="n"/>
      <c r="F865" s="141" t="n"/>
      <c r="G865" s="143" t="n"/>
      <c r="H865" s="27" t="n"/>
    </row>
    <row r="866" ht="17.25" customHeight="1" s="322">
      <c r="A866" s="27" t="n"/>
      <c r="B866" s="506" t="n"/>
      <c r="C866" s="141" t="n"/>
      <c r="D866" s="141" t="n"/>
      <c r="E866" s="141" t="n"/>
      <c r="F866" s="141" t="n"/>
      <c r="G866" s="143" t="n"/>
      <c r="H866" s="27" t="n"/>
    </row>
    <row r="867" ht="17.25" customHeight="1" s="322">
      <c r="A867" s="27" t="n"/>
      <c r="B867" s="506" t="n"/>
      <c r="C867" s="141" t="n"/>
      <c r="D867" s="141" t="n"/>
      <c r="E867" s="141" t="n"/>
      <c r="F867" s="141" t="n"/>
      <c r="G867" s="143" t="n"/>
      <c r="H867" s="27" t="n"/>
    </row>
    <row r="868" ht="17.25" customHeight="1" s="322">
      <c r="A868" s="27" t="n"/>
      <c r="B868" s="506" t="n"/>
      <c r="C868" s="141" t="n"/>
      <c r="D868" s="141" t="n"/>
      <c r="E868" s="141" t="n"/>
      <c r="F868" s="141" t="n"/>
      <c r="G868" s="143" t="n"/>
      <c r="H868" s="27" t="n"/>
    </row>
    <row r="869" ht="17.25" customHeight="1" s="322">
      <c r="A869" s="27" t="n"/>
      <c r="B869" s="506" t="n"/>
      <c r="C869" s="141" t="n"/>
      <c r="D869" s="141" t="n"/>
      <c r="E869" s="141" t="n"/>
      <c r="F869" s="141" t="n"/>
      <c r="G869" s="143" t="n"/>
      <c r="H869" s="27" t="n"/>
    </row>
    <row r="870" ht="17.25" customHeight="1" s="322">
      <c r="A870" s="27" t="n"/>
      <c r="B870" s="506" t="n"/>
      <c r="C870" s="141" t="n"/>
      <c r="D870" s="141" t="n"/>
      <c r="E870" s="141" t="n"/>
      <c r="F870" s="141" t="n"/>
      <c r="G870" s="143" t="n"/>
      <c r="H870" s="27" t="n"/>
    </row>
    <row r="871" ht="17.25" customHeight="1" s="322">
      <c r="A871" s="27" t="n"/>
      <c r="B871" s="506" t="n"/>
      <c r="C871" s="141" t="n"/>
      <c r="D871" s="141" t="n"/>
      <c r="E871" s="141" t="n"/>
      <c r="F871" s="141" t="n"/>
      <c r="G871" s="143" t="n"/>
      <c r="H871" s="27" t="n"/>
    </row>
    <row r="872" ht="17.25" customHeight="1" s="322">
      <c r="A872" s="27" t="n"/>
      <c r="B872" s="506" t="n"/>
      <c r="C872" s="141" t="n"/>
      <c r="D872" s="141" t="n"/>
      <c r="E872" s="141" t="n"/>
      <c r="F872" s="141" t="n"/>
      <c r="G872" s="143" t="n"/>
      <c r="H872" s="27" t="n"/>
    </row>
    <row r="873" ht="17.25" customHeight="1" s="322">
      <c r="A873" s="27" t="n"/>
      <c r="B873" s="506" t="n"/>
      <c r="C873" s="141" t="n"/>
      <c r="D873" s="141" t="n"/>
      <c r="E873" s="141" t="n"/>
      <c r="F873" s="141" t="n"/>
      <c r="G873" s="143" t="n"/>
      <c r="H873" s="27" t="n"/>
    </row>
    <row r="874" ht="17.25" customHeight="1" s="322">
      <c r="A874" s="27" t="n"/>
      <c r="B874" s="506" t="n"/>
      <c r="C874" s="141" t="n"/>
      <c r="D874" s="141" t="n"/>
      <c r="E874" s="141" t="n"/>
      <c r="F874" s="141" t="n"/>
      <c r="G874" s="143" t="n"/>
      <c r="H874" s="27" t="n"/>
    </row>
    <row r="875" ht="17.25" customHeight="1" s="322">
      <c r="A875" s="27" t="n"/>
      <c r="B875" s="506" t="n"/>
      <c r="C875" s="141" t="n"/>
      <c r="D875" s="141" t="n"/>
      <c r="E875" s="141" t="n"/>
      <c r="F875" s="141" t="n"/>
      <c r="G875" s="143" t="n"/>
      <c r="H875" s="27" t="n"/>
    </row>
    <row r="876" ht="17.25" customHeight="1" s="322">
      <c r="A876" s="27" t="n"/>
      <c r="B876" s="506" t="n"/>
      <c r="C876" s="141" t="n"/>
      <c r="D876" s="141" t="n"/>
      <c r="E876" s="141" t="n"/>
      <c r="F876" s="141" t="n"/>
      <c r="G876" s="143" t="n"/>
      <c r="H876" s="27" t="n"/>
    </row>
    <row r="877" ht="17.25" customHeight="1" s="322">
      <c r="A877" s="27" t="n"/>
      <c r="B877" s="506" t="n"/>
      <c r="C877" s="141" t="n"/>
      <c r="D877" s="141" t="n"/>
      <c r="E877" s="141" t="n"/>
      <c r="F877" s="141" t="n"/>
      <c r="G877" s="143" t="n"/>
      <c r="H877" s="27" t="n"/>
    </row>
    <row r="878" ht="17.25" customHeight="1" s="322">
      <c r="A878" s="27" t="n"/>
      <c r="B878" s="506" t="n"/>
      <c r="C878" s="141" t="n"/>
      <c r="D878" s="141" t="n"/>
      <c r="E878" s="141" t="n"/>
      <c r="F878" s="141" t="n"/>
      <c r="G878" s="143" t="n"/>
      <c r="H878" s="27" t="n"/>
    </row>
    <row r="879" ht="17.25" customHeight="1" s="322">
      <c r="A879" s="27" t="n"/>
      <c r="B879" s="506" t="n"/>
      <c r="C879" s="141" t="n"/>
      <c r="D879" s="141" t="n"/>
      <c r="E879" s="141" t="n"/>
      <c r="F879" s="141" t="n"/>
      <c r="G879" s="143" t="n"/>
      <c r="H879" s="27" t="n"/>
    </row>
    <row r="880" ht="17.25" customHeight="1" s="322">
      <c r="A880" s="27" t="n"/>
      <c r="B880" s="506" t="n"/>
      <c r="C880" s="141" t="n"/>
      <c r="D880" s="141" t="n"/>
      <c r="E880" s="141" t="n"/>
      <c r="F880" s="141" t="n"/>
      <c r="G880" s="143" t="n"/>
      <c r="H880" s="27" t="n"/>
    </row>
    <row r="881" ht="17.25" customHeight="1" s="322">
      <c r="A881" s="27" t="n"/>
      <c r="B881" s="506" t="n"/>
      <c r="C881" s="141" t="n"/>
      <c r="D881" s="141" t="n"/>
      <c r="E881" s="141" t="n"/>
      <c r="F881" s="141" t="n"/>
      <c r="G881" s="143" t="n"/>
      <c r="H881" s="27" t="n"/>
    </row>
    <row r="882" ht="17.25" customHeight="1" s="322">
      <c r="A882" s="27" t="n"/>
      <c r="B882" s="506" t="n"/>
      <c r="C882" s="141" t="n"/>
      <c r="D882" s="141" t="n"/>
      <c r="E882" s="141" t="n"/>
      <c r="F882" s="141" t="n"/>
      <c r="G882" s="143" t="n"/>
      <c r="H882" s="27" t="n"/>
    </row>
    <row r="883" ht="17.25" customHeight="1" s="322">
      <c r="A883" s="27" t="n"/>
      <c r="B883" s="506" t="n"/>
      <c r="C883" s="141" t="n"/>
      <c r="D883" s="141" t="n"/>
      <c r="E883" s="141" t="n"/>
      <c r="F883" s="141" t="n"/>
      <c r="G883" s="143" t="n"/>
      <c r="H883" s="27" t="n"/>
    </row>
    <row r="884" ht="17.25" customHeight="1" s="322">
      <c r="A884" s="27" t="n"/>
      <c r="B884" s="506" t="n"/>
      <c r="C884" s="141" t="n"/>
      <c r="D884" s="141" t="n"/>
      <c r="E884" s="141" t="n"/>
      <c r="F884" s="141" t="n"/>
      <c r="G884" s="143" t="n"/>
      <c r="H884" s="27" t="n"/>
    </row>
    <row r="885" ht="17.25" customHeight="1" s="322">
      <c r="A885" s="27" t="n"/>
      <c r="B885" s="506" t="n"/>
      <c r="C885" s="141" t="n"/>
      <c r="D885" s="141" t="n"/>
      <c r="E885" s="141" t="n"/>
      <c r="F885" s="141" t="n"/>
      <c r="G885" s="143" t="n"/>
      <c r="H885" s="27" t="n"/>
    </row>
    <row r="886" ht="17.25" customHeight="1" s="322">
      <c r="A886" s="27" t="n"/>
      <c r="B886" s="506" t="n"/>
      <c r="C886" s="141" t="n"/>
      <c r="D886" s="141" t="n"/>
      <c r="E886" s="141" t="n"/>
      <c r="F886" s="141" t="n"/>
      <c r="G886" s="143" t="n"/>
      <c r="H886" s="27" t="n"/>
    </row>
    <row r="887" ht="17.25" customHeight="1" s="322">
      <c r="A887" s="27" t="n"/>
      <c r="B887" s="506" t="n"/>
      <c r="C887" s="141" t="n"/>
      <c r="D887" s="141" t="n"/>
      <c r="E887" s="141" t="n"/>
      <c r="F887" s="141" t="n"/>
      <c r="G887" s="143" t="n"/>
      <c r="H887" s="27" t="n"/>
    </row>
    <row r="888" ht="17.25" customHeight="1" s="322">
      <c r="A888" s="27" t="n"/>
      <c r="B888" s="506" t="n"/>
      <c r="C888" s="141" t="n"/>
      <c r="D888" s="141" t="n"/>
      <c r="E888" s="141" t="n"/>
      <c r="F888" s="141" t="n"/>
      <c r="G888" s="143" t="n"/>
      <c r="H888" s="27" t="n"/>
    </row>
    <row r="889" ht="17.25" customHeight="1" s="322">
      <c r="A889" s="27" t="n"/>
      <c r="B889" s="506" t="n"/>
      <c r="C889" s="141" t="n"/>
      <c r="D889" s="141" t="n"/>
      <c r="E889" s="141" t="n"/>
      <c r="F889" s="141" t="n"/>
      <c r="G889" s="143" t="n"/>
      <c r="H889" s="27" t="n"/>
    </row>
    <row r="890" ht="17.25" customHeight="1" s="322">
      <c r="A890" s="27" t="n"/>
      <c r="B890" s="506" t="n"/>
      <c r="C890" s="141" t="n"/>
      <c r="D890" s="141" t="n"/>
      <c r="E890" s="141" t="n"/>
      <c r="F890" s="141" t="n"/>
      <c r="G890" s="143" t="n"/>
      <c r="H890" s="27" t="n"/>
    </row>
    <row r="891" ht="17.25" customHeight="1" s="322">
      <c r="A891" s="27" t="n"/>
      <c r="B891" s="506" t="n"/>
      <c r="C891" s="141" t="n"/>
      <c r="D891" s="141" t="n"/>
      <c r="E891" s="141" t="n"/>
      <c r="F891" s="141" t="n"/>
      <c r="G891" s="143" t="n"/>
      <c r="H891" s="27" t="n"/>
    </row>
    <row r="892" ht="17.25" customHeight="1" s="322">
      <c r="A892" s="27" t="n"/>
      <c r="B892" s="506" t="n"/>
      <c r="C892" s="141" t="n"/>
      <c r="D892" s="141" t="n"/>
      <c r="E892" s="141" t="n"/>
      <c r="F892" s="141" t="n"/>
      <c r="G892" s="143" t="n"/>
      <c r="H892" s="27" t="n"/>
    </row>
    <row r="893" ht="17.25" customHeight="1" s="322">
      <c r="A893" s="27" t="n"/>
      <c r="B893" s="506" t="n"/>
      <c r="C893" s="141" t="n"/>
      <c r="D893" s="141" t="n"/>
      <c r="E893" s="141" t="n"/>
      <c r="F893" s="141" t="n"/>
      <c r="G893" s="143" t="n"/>
      <c r="H893" s="27" t="n"/>
    </row>
    <row r="894" ht="17.25" customHeight="1" s="322">
      <c r="A894" s="27" t="n"/>
      <c r="B894" s="506" t="n"/>
      <c r="C894" s="141" t="n"/>
      <c r="D894" s="141" t="n"/>
      <c r="E894" s="141" t="n"/>
      <c r="F894" s="141" t="n"/>
      <c r="G894" s="143" t="n"/>
      <c r="H894" s="27" t="n"/>
    </row>
    <row r="895" ht="17.25" customHeight="1" s="322">
      <c r="A895" s="27" t="n"/>
      <c r="B895" s="506" t="n"/>
      <c r="C895" s="141" t="n"/>
      <c r="D895" s="141" t="n"/>
      <c r="E895" s="141" t="n"/>
      <c r="F895" s="141" t="n"/>
      <c r="G895" s="143" t="n"/>
      <c r="H895" s="27" t="n"/>
    </row>
    <row r="896" ht="17.25" customHeight="1" s="322">
      <c r="A896" s="27" t="n"/>
      <c r="B896" s="506" t="n"/>
      <c r="C896" s="141" t="n"/>
      <c r="D896" s="141" t="n"/>
      <c r="E896" s="141" t="n"/>
      <c r="F896" s="141" t="n"/>
      <c r="G896" s="143" t="n"/>
      <c r="H896" s="27" t="n"/>
    </row>
    <row r="897" ht="17.25" customHeight="1" s="322">
      <c r="A897" s="27" t="n"/>
      <c r="B897" s="506" t="n"/>
      <c r="C897" s="141" t="n"/>
      <c r="D897" s="141" t="n"/>
      <c r="E897" s="141" t="n"/>
      <c r="F897" s="141" t="n"/>
      <c r="G897" s="143" t="n"/>
      <c r="H897" s="27" t="n"/>
    </row>
    <row r="898" ht="17.25" customHeight="1" s="322">
      <c r="A898" s="27" t="n"/>
      <c r="B898" s="506" t="n"/>
      <c r="C898" s="141" t="n"/>
      <c r="D898" s="141" t="n"/>
      <c r="E898" s="141" t="n"/>
      <c r="F898" s="141" t="n"/>
      <c r="G898" s="143" t="n"/>
      <c r="H898" s="27" t="n"/>
    </row>
    <row r="899" ht="17.25" customHeight="1" s="322">
      <c r="A899" s="27" t="n"/>
      <c r="B899" s="506" t="n"/>
      <c r="C899" s="141" t="n"/>
      <c r="D899" s="141" t="n"/>
      <c r="E899" s="141" t="n"/>
      <c r="F899" s="141" t="n"/>
      <c r="G899" s="143" t="n"/>
      <c r="H899" s="27" t="n"/>
    </row>
    <row r="900" ht="17.25" customHeight="1" s="322">
      <c r="A900" s="27" t="n"/>
      <c r="B900" s="506" t="n"/>
      <c r="C900" s="141" t="n"/>
      <c r="D900" s="141" t="n"/>
      <c r="E900" s="141" t="n"/>
      <c r="F900" s="141" t="n"/>
      <c r="G900" s="143" t="n"/>
      <c r="H900" s="27" t="n"/>
    </row>
    <row r="901" ht="17.25" customHeight="1" s="322">
      <c r="A901" s="27" t="n"/>
      <c r="B901" s="506" t="n"/>
      <c r="C901" s="141" t="n"/>
      <c r="D901" s="141" t="n"/>
      <c r="E901" s="141" t="n"/>
      <c r="F901" s="141" t="n"/>
      <c r="G901" s="143" t="n"/>
      <c r="H901" s="27" t="n"/>
    </row>
    <row r="902" ht="17.25" customHeight="1" s="322">
      <c r="A902" s="27" t="n"/>
      <c r="B902" s="506" t="n"/>
      <c r="C902" s="141" t="n"/>
      <c r="D902" s="141" t="n"/>
      <c r="E902" s="141" t="n"/>
      <c r="F902" s="141" t="n"/>
      <c r="G902" s="143" t="n"/>
      <c r="H902" s="27" t="n"/>
    </row>
    <row r="903" ht="17.25" customHeight="1" s="322">
      <c r="A903" s="27" t="n"/>
      <c r="B903" s="506" t="n"/>
      <c r="C903" s="141" t="n"/>
      <c r="D903" s="141" t="n"/>
      <c r="E903" s="141" t="n"/>
      <c r="F903" s="141" t="n"/>
      <c r="G903" s="143" t="n"/>
      <c r="H903" s="27" t="n"/>
    </row>
    <row r="904" ht="17.25" customHeight="1" s="322">
      <c r="A904" s="27" t="n"/>
      <c r="B904" s="506" t="n"/>
      <c r="C904" s="141" t="n"/>
      <c r="D904" s="141" t="n"/>
      <c r="E904" s="141" t="n"/>
      <c r="F904" s="141" t="n"/>
      <c r="G904" s="143" t="n"/>
      <c r="H904" s="27" t="n"/>
    </row>
    <row r="905" ht="17.25" customHeight="1" s="322">
      <c r="A905" s="27" t="n"/>
      <c r="B905" s="506" t="n"/>
      <c r="C905" s="141" t="n"/>
      <c r="D905" s="141" t="n"/>
      <c r="E905" s="141" t="n"/>
      <c r="F905" s="141" t="n"/>
      <c r="G905" s="143" t="n"/>
      <c r="H905" s="27" t="n"/>
    </row>
    <row r="906" ht="17.25" customHeight="1" s="322">
      <c r="A906" s="27" t="n"/>
      <c r="B906" s="506" t="n"/>
      <c r="C906" s="141" t="n"/>
      <c r="D906" s="141" t="n"/>
      <c r="E906" s="141" t="n"/>
      <c r="F906" s="141" t="n"/>
      <c r="G906" s="143" t="n"/>
      <c r="H906" s="27" t="n"/>
    </row>
    <row r="907" ht="17.25" customHeight="1" s="322">
      <c r="A907" s="27" t="n"/>
      <c r="B907" s="506" t="n"/>
      <c r="C907" s="141" t="n"/>
      <c r="D907" s="141" t="n"/>
      <c r="E907" s="141" t="n"/>
      <c r="F907" s="141" t="n"/>
      <c r="G907" s="143" t="n"/>
      <c r="H907" s="27" t="n"/>
    </row>
    <row r="908" ht="17.25" customHeight="1" s="322">
      <c r="A908" s="27" t="n"/>
      <c r="B908" s="506" t="n"/>
      <c r="C908" s="141" t="n"/>
      <c r="D908" s="141" t="n"/>
      <c r="E908" s="141" t="n"/>
      <c r="F908" s="141" t="n"/>
      <c r="G908" s="143" t="n"/>
      <c r="H908" s="27" t="n"/>
    </row>
    <row r="909" ht="17.25" customHeight="1" s="322">
      <c r="A909" s="27" t="n"/>
      <c r="B909" s="506" t="n"/>
      <c r="C909" s="141" t="n"/>
      <c r="D909" s="141" t="n"/>
      <c r="E909" s="141" t="n"/>
      <c r="F909" s="141" t="n"/>
      <c r="G909" s="143" t="n"/>
      <c r="H909" s="27" t="n"/>
    </row>
    <row r="910" ht="17.25" customHeight="1" s="322">
      <c r="A910" s="27" t="n"/>
      <c r="B910" s="506" t="n"/>
      <c r="C910" s="141" t="n"/>
      <c r="D910" s="141" t="n"/>
      <c r="E910" s="141" t="n"/>
      <c r="F910" s="141" t="n"/>
      <c r="G910" s="143" t="n"/>
      <c r="H910" s="27" t="n"/>
    </row>
    <row r="911" ht="17.25" customHeight="1" s="322">
      <c r="A911" s="27" t="n"/>
      <c r="B911" s="506" t="n"/>
      <c r="C911" s="141" t="n"/>
      <c r="D911" s="141" t="n"/>
      <c r="E911" s="141" t="n"/>
      <c r="F911" s="141" t="n"/>
      <c r="G911" s="143" t="n"/>
      <c r="H911" s="27" t="n"/>
    </row>
    <row r="912" ht="17.25" customHeight="1" s="322">
      <c r="A912" s="27" t="n"/>
      <c r="B912" s="506" t="n"/>
      <c r="C912" s="141" t="n"/>
      <c r="D912" s="141" t="n"/>
      <c r="E912" s="141" t="n"/>
      <c r="F912" s="141" t="n"/>
      <c r="G912" s="143" t="n"/>
      <c r="H912" s="27" t="n"/>
    </row>
    <row r="913" ht="17.25" customHeight="1" s="322">
      <c r="A913" s="27" t="n"/>
      <c r="B913" s="506" t="n"/>
      <c r="C913" s="141" t="n"/>
      <c r="D913" s="141" t="n"/>
      <c r="E913" s="141" t="n"/>
      <c r="F913" s="141" t="n"/>
      <c r="G913" s="143" t="n"/>
      <c r="H913" s="27" t="n"/>
    </row>
    <row r="914" ht="17.25" customHeight="1" s="322">
      <c r="A914" s="27" t="n"/>
      <c r="B914" s="506" t="n"/>
      <c r="C914" s="141" t="n"/>
      <c r="D914" s="141" t="n"/>
      <c r="E914" s="141" t="n"/>
      <c r="F914" s="141" t="n"/>
      <c r="G914" s="143" t="n"/>
      <c r="H914" s="27" t="n"/>
    </row>
    <row r="915" ht="17.25" customHeight="1" s="322">
      <c r="A915" s="27" t="n"/>
      <c r="B915" s="506" t="n"/>
      <c r="C915" s="141" t="n"/>
      <c r="D915" s="141" t="n"/>
      <c r="E915" s="141" t="n"/>
      <c r="F915" s="141" t="n"/>
      <c r="G915" s="143" t="n"/>
      <c r="H915" s="27" t="n"/>
    </row>
    <row r="916" ht="17.25" customHeight="1" s="322">
      <c r="A916" s="27" t="n"/>
      <c r="B916" s="506" t="n"/>
      <c r="C916" s="141" t="n"/>
      <c r="D916" s="141" t="n"/>
      <c r="E916" s="141" t="n"/>
      <c r="F916" s="141" t="n"/>
      <c r="G916" s="143" t="n"/>
      <c r="H916" s="27" t="n"/>
    </row>
    <row r="917" ht="17.25" customHeight="1" s="322">
      <c r="A917" s="27" t="n"/>
      <c r="B917" s="506" t="n"/>
      <c r="C917" s="141" t="n"/>
      <c r="D917" s="141" t="n"/>
      <c r="E917" s="141" t="n"/>
      <c r="F917" s="141" t="n"/>
      <c r="G917" s="143" t="n"/>
      <c r="H917" s="27" t="n"/>
    </row>
    <row r="918" ht="17.25" customHeight="1" s="322">
      <c r="A918" s="27" t="n"/>
      <c r="B918" s="506" t="n"/>
      <c r="C918" s="141" t="n"/>
      <c r="D918" s="141" t="n"/>
      <c r="E918" s="141" t="n"/>
      <c r="F918" s="141" t="n"/>
      <c r="G918" s="143" t="n"/>
      <c r="H918" s="27" t="n"/>
    </row>
    <row r="919" ht="17.25" customHeight="1" s="322">
      <c r="A919" s="27" t="n"/>
      <c r="B919" s="506" t="n"/>
      <c r="C919" s="141" t="n"/>
      <c r="D919" s="141" t="n"/>
      <c r="E919" s="141" t="n"/>
      <c r="F919" s="141" t="n"/>
      <c r="G919" s="143" t="n"/>
      <c r="H919" s="27" t="n"/>
    </row>
    <row r="920" ht="17.25" customHeight="1" s="322">
      <c r="A920" s="27" t="n"/>
      <c r="B920" s="506" t="n"/>
      <c r="C920" s="141" t="n"/>
      <c r="D920" s="141" t="n"/>
      <c r="E920" s="141" t="n"/>
      <c r="F920" s="141" t="n"/>
      <c r="G920" s="143" t="n"/>
      <c r="H920" s="27" t="n"/>
    </row>
    <row r="921" ht="17.25" customHeight="1" s="322">
      <c r="A921" s="27" t="n"/>
      <c r="B921" s="506" t="n"/>
      <c r="C921" s="141" t="n"/>
      <c r="D921" s="141" t="n"/>
      <c r="E921" s="141" t="n"/>
      <c r="F921" s="141" t="n"/>
      <c r="G921" s="143" t="n"/>
      <c r="H921" s="27" t="n"/>
    </row>
    <row r="922" ht="17.25" customHeight="1" s="322">
      <c r="A922" s="27" t="n"/>
      <c r="B922" s="506" t="n"/>
      <c r="C922" s="141" t="n"/>
      <c r="D922" s="141" t="n"/>
      <c r="E922" s="141" t="n"/>
      <c r="F922" s="141" t="n"/>
      <c r="G922" s="143" t="n"/>
      <c r="H922" s="27" t="n"/>
    </row>
    <row r="923" ht="17.25" customHeight="1" s="322">
      <c r="A923" s="27" t="n"/>
      <c r="B923" s="506" t="n"/>
      <c r="C923" s="141" t="n"/>
      <c r="D923" s="141" t="n"/>
      <c r="E923" s="141" t="n"/>
      <c r="F923" s="141" t="n"/>
      <c r="G923" s="143" t="n"/>
      <c r="H923" s="27" t="n"/>
    </row>
    <row r="924" ht="17.25" customHeight="1" s="322">
      <c r="A924" s="27" t="n"/>
      <c r="B924" s="506" t="n"/>
      <c r="C924" s="141" t="n"/>
      <c r="D924" s="141" t="n"/>
      <c r="E924" s="141" t="n"/>
      <c r="F924" s="141" t="n"/>
      <c r="G924" s="143" t="n"/>
      <c r="H924" s="27" t="n"/>
    </row>
    <row r="925" ht="17.25" customHeight="1" s="322">
      <c r="A925" s="27" t="n"/>
      <c r="B925" s="506" t="n"/>
      <c r="C925" s="141" t="n"/>
      <c r="D925" s="141" t="n"/>
      <c r="E925" s="141" t="n"/>
      <c r="F925" s="141" t="n"/>
      <c r="G925" s="143" t="n"/>
      <c r="H925" s="27" t="n"/>
    </row>
    <row r="926" ht="17.25" customHeight="1" s="322">
      <c r="A926" s="27" t="n"/>
      <c r="B926" s="506" t="n"/>
      <c r="C926" s="141" t="n"/>
      <c r="D926" s="141" t="n"/>
      <c r="E926" s="141" t="n"/>
      <c r="F926" s="141" t="n"/>
      <c r="G926" s="143" t="n"/>
      <c r="H926" s="27" t="n"/>
    </row>
    <row r="927" ht="17.25" customHeight="1" s="322">
      <c r="A927" s="27" t="n"/>
      <c r="B927" s="506" t="n"/>
      <c r="C927" s="141" t="n"/>
      <c r="D927" s="141" t="n"/>
      <c r="E927" s="141" t="n"/>
      <c r="F927" s="141" t="n"/>
      <c r="G927" s="143" t="n"/>
      <c r="H927" s="27" t="n"/>
    </row>
    <row r="928" ht="17.25" customHeight="1" s="322">
      <c r="A928" s="27" t="n"/>
      <c r="B928" s="506" t="n"/>
      <c r="C928" s="141" t="n"/>
      <c r="D928" s="141" t="n"/>
      <c r="E928" s="141" t="n"/>
      <c r="F928" s="141" t="n"/>
      <c r="G928" s="143" t="n"/>
      <c r="H928" s="27" t="n"/>
    </row>
    <row r="929" ht="17.25" customHeight="1" s="322">
      <c r="A929" s="27" t="n"/>
      <c r="B929" s="506" t="n"/>
      <c r="C929" s="141" t="n"/>
      <c r="D929" s="141" t="n"/>
      <c r="E929" s="141" t="n"/>
      <c r="F929" s="141" t="n"/>
      <c r="G929" s="143" t="n"/>
      <c r="H929" s="27" t="n"/>
    </row>
    <row r="930" ht="17.25" customHeight="1" s="322">
      <c r="A930" s="27" t="n"/>
      <c r="B930" s="506" t="n"/>
      <c r="C930" s="141" t="n"/>
      <c r="D930" s="141" t="n"/>
      <c r="E930" s="141" t="n"/>
      <c r="F930" s="141" t="n"/>
      <c r="G930" s="143" t="n"/>
      <c r="H930" s="27" t="n"/>
    </row>
    <row r="931" ht="17.25" customHeight="1" s="322">
      <c r="A931" s="27" t="n"/>
      <c r="B931" s="506" t="n"/>
      <c r="C931" s="141" t="n"/>
      <c r="D931" s="141" t="n"/>
      <c r="E931" s="141" t="n"/>
      <c r="F931" s="141" t="n"/>
      <c r="G931" s="143" t="n"/>
      <c r="H931" s="27" t="n"/>
    </row>
    <row r="932" ht="17.25" customHeight="1" s="322">
      <c r="A932" s="27" t="n"/>
      <c r="B932" s="506" t="n"/>
      <c r="C932" s="141" t="n"/>
      <c r="D932" s="141" t="n"/>
      <c r="E932" s="141" t="n"/>
      <c r="F932" s="141" t="n"/>
      <c r="G932" s="143" t="n"/>
      <c r="H932" s="27" t="n"/>
    </row>
    <row r="933" ht="17.25" customHeight="1" s="322">
      <c r="A933" s="27" t="n"/>
      <c r="B933" s="506" t="n"/>
      <c r="C933" s="141" t="n"/>
      <c r="D933" s="141" t="n"/>
      <c r="E933" s="141" t="n"/>
      <c r="F933" s="141" t="n"/>
      <c r="G933" s="143" t="n"/>
      <c r="H933" s="27" t="n"/>
    </row>
    <row r="934" ht="17.25" customHeight="1" s="322">
      <c r="A934" s="27" t="n"/>
      <c r="B934" s="506" t="n"/>
      <c r="C934" s="141" t="n"/>
      <c r="D934" s="141" t="n"/>
      <c r="E934" s="141" t="n"/>
      <c r="F934" s="141" t="n"/>
      <c r="G934" s="143" t="n"/>
      <c r="H934" s="27" t="n"/>
    </row>
    <row r="935" ht="17.25" customHeight="1" s="322">
      <c r="A935" s="27" t="n"/>
      <c r="B935" s="506" t="n"/>
      <c r="C935" s="141" t="n"/>
      <c r="D935" s="141" t="n"/>
      <c r="E935" s="141" t="n"/>
      <c r="F935" s="141" t="n"/>
      <c r="G935" s="143" t="n"/>
      <c r="H935" s="27" t="n"/>
    </row>
    <row r="936" ht="17.25" customHeight="1" s="322">
      <c r="A936" s="27" t="n"/>
      <c r="B936" s="506" t="n"/>
      <c r="C936" s="141" t="n"/>
      <c r="D936" s="141" t="n"/>
      <c r="E936" s="141" t="n"/>
      <c r="F936" s="141" t="n"/>
      <c r="G936" s="143" t="n"/>
      <c r="H936" s="27" t="n"/>
    </row>
    <row r="937" ht="17.25" customHeight="1" s="322">
      <c r="A937" s="27" t="n"/>
      <c r="B937" s="506" t="n"/>
      <c r="C937" s="141" t="n"/>
      <c r="D937" s="141" t="n"/>
      <c r="E937" s="141" t="n"/>
      <c r="F937" s="141" t="n"/>
      <c r="G937" s="143" t="n"/>
      <c r="H937" s="27" t="n"/>
    </row>
    <row r="938" ht="17.25" customHeight="1" s="322">
      <c r="A938" s="27" t="n"/>
      <c r="B938" s="506" t="n"/>
      <c r="C938" s="141" t="n"/>
      <c r="D938" s="141" t="n"/>
      <c r="E938" s="141" t="n"/>
      <c r="F938" s="141" t="n"/>
      <c r="G938" s="143" t="n"/>
      <c r="H938" s="27" t="n"/>
    </row>
    <row r="939" ht="17.25" customHeight="1" s="322">
      <c r="A939" s="27" t="n"/>
      <c r="B939" s="506" t="n"/>
      <c r="C939" s="141" t="n"/>
      <c r="D939" s="141" t="n"/>
      <c r="E939" s="141" t="n"/>
      <c r="F939" s="141" t="n"/>
      <c r="G939" s="143" t="n"/>
      <c r="H939" s="27" t="n"/>
    </row>
    <row r="940" ht="17.25" customHeight="1" s="322">
      <c r="A940" s="27" t="n"/>
      <c r="B940" s="506" t="n"/>
      <c r="C940" s="141" t="n"/>
      <c r="D940" s="141" t="n"/>
      <c r="E940" s="141" t="n"/>
      <c r="F940" s="141" t="n"/>
      <c r="G940" s="143" t="n"/>
      <c r="H940" s="27" t="n"/>
    </row>
    <row r="941" ht="17.25" customHeight="1" s="322">
      <c r="A941" s="27" t="n"/>
      <c r="B941" s="506" t="n"/>
      <c r="C941" s="141" t="n"/>
      <c r="D941" s="141" t="n"/>
      <c r="E941" s="141" t="n"/>
      <c r="F941" s="141" t="n"/>
      <c r="G941" s="143" t="n"/>
      <c r="H941" s="27" t="n"/>
    </row>
    <row r="942" ht="17.25" customHeight="1" s="322">
      <c r="A942" s="27" t="n"/>
      <c r="B942" s="506" t="n"/>
      <c r="C942" s="141" t="n"/>
      <c r="D942" s="141" t="n"/>
      <c r="E942" s="141" t="n"/>
      <c r="F942" s="141" t="n"/>
      <c r="G942" s="143" t="n"/>
      <c r="H942" s="27" t="n"/>
    </row>
    <row r="943" ht="17.25" customHeight="1" s="322">
      <c r="A943" s="27" t="n"/>
      <c r="B943" s="506" t="n"/>
      <c r="C943" s="141" t="n"/>
      <c r="D943" s="141" t="n"/>
      <c r="E943" s="141" t="n"/>
      <c r="F943" s="141" t="n"/>
      <c r="G943" s="143" t="n"/>
      <c r="H943" s="27" t="n"/>
    </row>
    <row r="944" ht="17.25" customHeight="1" s="322">
      <c r="A944" s="27" t="n"/>
      <c r="B944" s="506" t="n"/>
      <c r="C944" s="141" t="n"/>
      <c r="D944" s="141" t="n"/>
      <c r="E944" s="141" t="n"/>
      <c r="F944" s="141" t="n"/>
      <c r="G944" s="143" t="n"/>
      <c r="H944" s="27" t="n"/>
    </row>
    <row r="945" ht="17.25" customHeight="1" s="322">
      <c r="A945" s="27" t="n"/>
      <c r="B945" s="506" t="n"/>
      <c r="C945" s="141" t="n"/>
      <c r="D945" s="141" t="n"/>
      <c r="E945" s="141" t="n"/>
      <c r="F945" s="141" t="n"/>
      <c r="G945" s="143" t="n"/>
      <c r="H945" s="27" t="n"/>
    </row>
    <row r="946" ht="17.25" customHeight="1" s="322">
      <c r="A946" s="27" t="n"/>
      <c r="B946" s="506" t="n"/>
      <c r="C946" s="141" t="n"/>
      <c r="D946" s="141" t="n"/>
      <c r="E946" s="141" t="n"/>
      <c r="F946" s="141" t="n"/>
      <c r="G946" s="143" t="n"/>
      <c r="H946" s="27" t="n"/>
    </row>
    <row r="947" ht="17.25" customHeight="1" s="322">
      <c r="A947" s="27" t="n"/>
      <c r="B947" s="506" t="n"/>
      <c r="C947" s="141" t="n"/>
      <c r="D947" s="141" t="n"/>
      <c r="E947" s="141" t="n"/>
      <c r="F947" s="141" t="n"/>
      <c r="G947" s="143" t="n"/>
      <c r="H947" s="27" t="n"/>
    </row>
    <row r="948" ht="17.25" customHeight="1" s="322">
      <c r="A948" s="27" t="n"/>
      <c r="B948" s="506" t="n"/>
      <c r="C948" s="141" t="n"/>
      <c r="D948" s="141" t="n"/>
      <c r="E948" s="141" t="n"/>
      <c r="F948" s="141" t="n"/>
      <c r="G948" s="143" t="n"/>
      <c r="H948" s="27" t="n"/>
    </row>
    <row r="949" ht="17.25" customHeight="1" s="322">
      <c r="A949" s="27" t="n"/>
      <c r="B949" s="506" t="n"/>
      <c r="C949" s="141" t="n"/>
      <c r="D949" s="141" t="n"/>
      <c r="E949" s="141" t="n"/>
      <c r="F949" s="141" t="n"/>
      <c r="G949" s="143" t="n"/>
      <c r="H949" s="27" t="n"/>
    </row>
    <row r="950" ht="17.25" customHeight="1" s="322">
      <c r="A950" s="27" t="n"/>
      <c r="B950" s="506" t="n"/>
      <c r="C950" s="141" t="n"/>
      <c r="D950" s="141" t="n"/>
      <c r="E950" s="141" t="n"/>
      <c r="F950" s="141" t="n"/>
      <c r="G950" s="143" t="n"/>
      <c r="H950" s="27" t="n"/>
    </row>
    <row r="951" ht="17.25" customHeight="1" s="322">
      <c r="A951" s="27" t="n"/>
      <c r="B951" s="506" t="n"/>
      <c r="C951" s="141" t="n"/>
      <c r="D951" s="141" t="n"/>
      <c r="E951" s="141" t="n"/>
      <c r="F951" s="141" t="n"/>
      <c r="G951" s="143" t="n"/>
      <c r="H951" s="27" t="n"/>
    </row>
    <row r="952" ht="17.25" customHeight="1" s="322">
      <c r="A952" s="27" t="n"/>
      <c r="B952" s="506" t="n"/>
      <c r="C952" s="141" t="n"/>
      <c r="D952" s="141" t="n"/>
      <c r="E952" s="141" t="n"/>
      <c r="F952" s="141" t="n"/>
      <c r="G952" s="143" t="n"/>
      <c r="H952" s="27" t="n"/>
    </row>
    <row r="953" ht="17.25" customHeight="1" s="322">
      <c r="A953" s="27" t="n"/>
      <c r="B953" s="506" t="n"/>
      <c r="C953" s="141" t="n"/>
      <c r="D953" s="141" t="n"/>
      <c r="E953" s="141" t="n"/>
      <c r="F953" s="141" t="n"/>
      <c r="G953" s="143" t="n"/>
      <c r="H953" s="27" t="n"/>
    </row>
    <row r="954" ht="17.25" customHeight="1" s="322">
      <c r="A954" s="27" t="n"/>
      <c r="B954" s="506" t="n"/>
      <c r="C954" s="141" t="n"/>
      <c r="D954" s="141" t="n"/>
      <c r="E954" s="141" t="n"/>
      <c r="F954" s="141" t="n"/>
      <c r="G954" s="143" t="n"/>
      <c r="H954" s="27" t="n"/>
    </row>
    <row r="955" ht="17.25" customHeight="1" s="322">
      <c r="A955" s="27" t="n"/>
      <c r="B955" s="506" t="n"/>
      <c r="C955" s="141" t="n"/>
      <c r="D955" s="141" t="n"/>
      <c r="E955" s="141" t="n"/>
      <c r="F955" s="141" t="n"/>
      <c r="G955" s="143" t="n"/>
      <c r="H955" s="27" t="n"/>
    </row>
    <row r="956" ht="17.25" customHeight="1" s="322">
      <c r="A956" s="27" t="n"/>
      <c r="B956" s="506" t="n"/>
      <c r="C956" s="141" t="n"/>
      <c r="D956" s="141" t="n"/>
      <c r="E956" s="141" t="n"/>
      <c r="F956" s="141" t="n"/>
      <c r="G956" s="143" t="n"/>
      <c r="H956" s="27" t="n"/>
    </row>
    <row r="957" ht="17.25" customHeight="1" s="322">
      <c r="A957" s="27" t="n"/>
      <c r="B957" s="506" t="n"/>
      <c r="C957" s="141" t="n"/>
      <c r="D957" s="141" t="n"/>
      <c r="E957" s="141" t="n"/>
      <c r="F957" s="141" t="n"/>
      <c r="G957" s="143" t="n"/>
      <c r="H957" s="27" t="n"/>
    </row>
    <row r="958" ht="17.25" customHeight="1" s="322">
      <c r="A958" s="27" t="n"/>
      <c r="B958" s="506" t="n"/>
      <c r="C958" s="141" t="n"/>
      <c r="D958" s="141" t="n"/>
      <c r="E958" s="141" t="n"/>
      <c r="F958" s="141" t="n"/>
      <c r="G958" s="143" t="n"/>
      <c r="H958" s="27" t="n"/>
    </row>
    <row r="959" ht="17.25" customHeight="1" s="322">
      <c r="A959" s="27" t="n"/>
      <c r="B959" s="506" t="n"/>
      <c r="C959" s="141" t="n"/>
      <c r="D959" s="141" t="n"/>
      <c r="E959" s="141" t="n"/>
      <c r="F959" s="141" t="n"/>
      <c r="G959" s="143" t="n"/>
      <c r="H959" s="27" t="n"/>
    </row>
    <row r="960" ht="17.25" customHeight="1" s="322">
      <c r="A960" s="27" t="n"/>
      <c r="B960" s="506" t="n"/>
      <c r="C960" s="141" t="n"/>
      <c r="D960" s="141" t="n"/>
      <c r="E960" s="141" t="n"/>
      <c r="F960" s="141" t="n"/>
      <c r="G960" s="143" t="n"/>
      <c r="H960" s="27" t="n"/>
    </row>
    <row r="961" ht="17.25" customHeight="1" s="322">
      <c r="A961" s="27" t="n"/>
      <c r="B961" s="506" t="n"/>
      <c r="C961" s="141" t="n"/>
      <c r="D961" s="141" t="n"/>
      <c r="E961" s="141" t="n"/>
      <c r="F961" s="141" t="n"/>
      <c r="G961" s="143" t="n"/>
      <c r="H961" s="27" t="n"/>
    </row>
    <row r="962" ht="17.25" customHeight="1" s="322">
      <c r="A962" s="27" t="n"/>
      <c r="B962" s="506" t="n"/>
      <c r="C962" s="141" t="n"/>
      <c r="D962" s="141" t="n"/>
      <c r="E962" s="141" t="n"/>
      <c r="F962" s="141" t="n"/>
      <c r="G962" s="143" t="n"/>
      <c r="H962" s="27" t="n"/>
    </row>
    <row r="963" ht="17.25" customHeight="1" s="322">
      <c r="A963" s="27" t="n"/>
      <c r="B963" s="506" t="n"/>
      <c r="C963" s="141" t="n"/>
      <c r="D963" s="141" t="n"/>
      <c r="E963" s="141" t="n"/>
      <c r="F963" s="141" t="n"/>
      <c r="G963" s="143" t="n"/>
      <c r="H963" s="27" t="n"/>
    </row>
    <row r="964" ht="17.25" customHeight="1" s="322">
      <c r="A964" s="27" t="n"/>
      <c r="B964" s="506" t="n"/>
      <c r="C964" s="141" t="n"/>
      <c r="D964" s="141" t="n"/>
      <c r="E964" s="141" t="n"/>
      <c r="F964" s="141" t="n"/>
      <c r="G964" s="143" t="n"/>
      <c r="H964" s="27" t="n"/>
    </row>
    <row r="965" ht="17.25" customHeight="1" s="322">
      <c r="A965" s="27" t="n"/>
      <c r="B965" s="506" t="n"/>
      <c r="C965" s="141" t="n"/>
      <c r="D965" s="141" t="n"/>
      <c r="E965" s="141" t="n"/>
      <c r="F965" s="141" t="n"/>
      <c r="G965" s="143" t="n"/>
      <c r="H965" s="27" t="n"/>
    </row>
    <row r="966" ht="17.25" customHeight="1" s="322">
      <c r="A966" s="27" t="n"/>
      <c r="B966" s="506" t="n"/>
      <c r="C966" s="141" t="n"/>
      <c r="D966" s="141" t="n"/>
      <c r="E966" s="141" t="n"/>
      <c r="F966" s="141" t="n"/>
      <c r="G966" s="143" t="n"/>
      <c r="H966" s="27" t="n"/>
    </row>
    <row r="967" ht="17.25" customHeight="1" s="322">
      <c r="A967" s="27" t="n"/>
      <c r="B967" s="506" t="n"/>
      <c r="C967" s="141" t="n"/>
      <c r="D967" s="141" t="n"/>
      <c r="E967" s="141" t="n"/>
      <c r="F967" s="141" t="n"/>
      <c r="G967" s="143" t="n"/>
      <c r="H967" s="27" t="n"/>
    </row>
    <row r="968" ht="17.25" customHeight="1" s="322">
      <c r="A968" s="27" t="n"/>
      <c r="B968" s="506" t="n"/>
      <c r="C968" s="141" t="n"/>
      <c r="D968" s="141" t="n"/>
      <c r="E968" s="141" t="n"/>
      <c r="F968" s="141" t="n"/>
      <c r="G968" s="143" t="n"/>
      <c r="H968" s="27" t="n"/>
    </row>
    <row r="969" ht="17.25" customHeight="1" s="322">
      <c r="A969" s="27" t="n"/>
      <c r="B969" s="506" t="n"/>
      <c r="C969" s="141" t="n"/>
      <c r="D969" s="141" t="n"/>
      <c r="E969" s="141" t="n"/>
      <c r="F969" s="141" t="n"/>
      <c r="G969" s="143" t="n"/>
      <c r="H969" s="27" t="n"/>
    </row>
    <row r="970" ht="17.25" customHeight="1" s="322">
      <c r="A970" s="27" t="n"/>
      <c r="B970" s="506" t="n"/>
      <c r="C970" s="141" t="n"/>
      <c r="D970" s="141" t="n"/>
      <c r="E970" s="141" t="n"/>
      <c r="F970" s="141" t="n"/>
      <c r="G970" s="143" t="n"/>
      <c r="H970" s="27" t="n"/>
    </row>
    <row r="971" ht="17.25" customHeight="1" s="322">
      <c r="A971" s="27" t="n"/>
      <c r="B971" s="506" t="n"/>
      <c r="C971" s="141" t="n"/>
      <c r="D971" s="141" t="n"/>
      <c r="E971" s="141" t="n"/>
      <c r="F971" s="141" t="n"/>
      <c r="G971" s="143" t="n"/>
      <c r="H971" s="27" t="n"/>
    </row>
    <row r="972" ht="17.25" customHeight="1" s="322">
      <c r="A972" s="27" t="n"/>
      <c r="B972" s="506" t="n"/>
      <c r="C972" s="141" t="n"/>
      <c r="D972" s="141" t="n"/>
      <c r="E972" s="141" t="n"/>
      <c r="F972" s="141" t="n"/>
      <c r="G972" s="143" t="n"/>
      <c r="H972" s="27" t="n"/>
    </row>
    <row r="973" ht="17.25" customHeight="1" s="322">
      <c r="A973" s="27" t="n"/>
      <c r="B973" s="506" t="n"/>
      <c r="C973" s="141" t="n"/>
      <c r="D973" s="141" t="n"/>
      <c r="E973" s="141" t="n"/>
      <c r="F973" s="141" t="n"/>
      <c r="G973" s="143" t="n"/>
      <c r="H973" s="27" t="n"/>
    </row>
    <row r="974" ht="17.25" customHeight="1" s="322">
      <c r="A974" s="27" t="n"/>
      <c r="B974" s="506" t="n"/>
      <c r="C974" s="141" t="n"/>
      <c r="D974" s="141" t="n"/>
      <c r="E974" s="141" t="n"/>
      <c r="F974" s="141" t="n"/>
      <c r="G974" s="143" t="n"/>
      <c r="H974" s="27" t="n"/>
    </row>
    <row r="975" ht="17.25" customHeight="1" s="322">
      <c r="A975" s="27" t="n"/>
      <c r="B975" s="506" t="n"/>
      <c r="C975" s="141" t="n"/>
      <c r="D975" s="141" t="n"/>
      <c r="E975" s="141" t="n"/>
      <c r="F975" s="141" t="n"/>
      <c r="G975" s="143" t="n"/>
      <c r="H975" s="27" t="n"/>
    </row>
    <row r="976" ht="17.25" customHeight="1" s="322">
      <c r="A976" s="27" t="n"/>
      <c r="B976" s="506" t="n"/>
      <c r="C976" s="141" t="n"/>
      <c r="D976" s="141" t="n"/>
      <c r="E976" s="141" t="n"/>
      <c r="F976" s="141" t="n"/>
      <c r="G976" s="143" t="n"/>
      <c r="H976" s="27" t="n"/>
    </row>
    <row r="977" ht="17.25" customHeight="1" s="322">
      <c r="A977" s="27" t="n"/>
      <c r="B977" s="506" t="n"/>
      <c r="C977" s="141" t="n"/>
      <c r="D977" s="141" t="n"/>
      <c r="E977" s="141" t="n"/>
      <c r="F977" s="141" t="n"/>
      <c r="G977" s="143" t="n"/>
      <c r="H977" s="27" t="n"/>
    </row>
    <row r="978" ht="17.25" customHeight="1" s="322">
      <c r="A978" s="27" t="n"/>
      <c r="B978" s="506" t="n"/>
      <c r="C978" s="141" t="n"/>
      <c r="D978" s="141" t="n"/>
      <c r="E978" s="141" t="n"/>
      <c r="F978" s="141" t="n"/>
      <c r="G978" s="143" t="n"/>
      <c r="H978" s="27" t="n"/>
    </row>
    <row r="979" ht="17.25" customHeight="1" s="322">
      <c r="A979" s="27" t="n"/>
      <c r="B979" s="506" t="n"/>
      <c r="C979" s="141" t="n"/>
      <c r="D979" s="141" t="n"/>
      <c r="E979" s="141" t="n"/>
      <c r="F979" s="141" t="n"/>
      <c r="G979" s="143" t="n"/>
      <c r="H979" s="27" t="n"/>
    </row>
    <row r="980" ht="17.25" customHeight="1" s="322">
      <c r="A980" s="27" t="n"/>
      <c r="B980" s="506" t="n"/>
      <c r="C980" s="141" t="n"/>
      <c r="D980" s="141" t="n"/>
      <c r="E980" s="141" t="n"/>
      <c r="F980" s="141" t="n"/>
      <c r="G980" s="143" t="n"/>
      <c r="H980" s="27" t="n"/>
    </row>
    <row r="981" ht="17.25" customHeight="1" s="322">
      <c r="A981" s="27" t="n"/>
      <c r="B981" s="506" t="n"/>
      <c r="C981" s="141" t="n"/>
      <c r="D981" s="141" t="n"/>
      <c r="E981" s="141" t="n"/>
      <c r="F981" s="141" t="n"/>
      <c r="G981" s="143" t="n"/>
      <c r="H981" s="27" t="n"/>
    </row>
    <row r="982" ht="17.25" customHeight="1" s="322">
      <c r="A982" s="27" t="n"/>
      <c r="B982" s="506" t="n"/>
      <c r="C982" s="141" t="n"/>
      <c r="D982" s="141" t="n"/>
      <c r="E982" s="141" t="n"/>
      <c r="F982" s="141" t="n"/>
      <c r="G982" s="143" t="n"/>
      <c r="H982" s="27" t="n"/>
    </row>
    <row r="983" ht="17.25" customHeight="1" s="322">
      <c r="A983" s="27" t="n"/>
      <c r="B983" s="506" t="n"/>
      <c r="C983" s="141" t="n"/>
      <c r="D983" s="141" t="n"/>
      <c r="E983" s="141" t="n"/>
      <c r="F983" s="141" t="n"/>
      <c r="G983" s="143" t="n"/>
      <c r="H983" s="27" t="n"/>
    </row>
    <row r="984" ht="17.25" customHeight="1" s="322">
      <c r="A984" s="27" t="n"/>
      <c r="B984" s="506" t="n"/>
      <c r="C984" s="141" t="n"/>
      <c r="D984" s="141" t="n"/>
      <c r="E984" s="141" t="n"/>
      <c r="F984" s="141" t="n"/>
      <c r="G984" s="143" t="n"/>
      <c r="H984" s="27" t="n"/>
    </row>
    <row r="985" ht="17.25" customHeight="1" s="322">
      <c r="A985" s="27" t="n"/>
      <c r="B985" s="506" t="n"/>
      <c r="C985" s="141" t="n"/>
      <c r="D985" s="141" t="n"/>
      <c r="E985" s="141" t="n"/>
      <c r="F985" s="141" t="n"/>
      <c r="G985" s="143" t="n"/>
      <c r="H985" s="27" t="n"/>
    </row>
    <row r="986" ht="17.25" customHeight="1" s="322">
      <c r="A986" s="27" t="n"/>
      <c r="B986" s="506" t="n"/>
      <c r="C986" s="141" t="n"/>
      <c r="D986" s="141" t="n"/>
      <c r="E986" s="141" t="n"/>
      <c r="F986" s="141" t="n"/>
      <c r="G986" s="143" t="n"/>
      <c r="H986" s="27" t="n"/>
    </row>
    <row r="987" ht="17.25" customHeight="1" s="322">
      <c r="A987" s="27" t="n"/>
      <c r="B987" s="506" t="n"/>
      <c r="C987" s="141" t="n"/>
      <c r="D987" s="141" t="n"/>
      <c r="E987" s="141" t="n"/>
      <c r="F987" s="141" t="n"/>
      <c r="G987" s="143" t="n"/>
      <c r="H987" s="27" t="n"/>
    </row>
    <row r="988" ht="17.25" customHeight="1" s="322">
      <c r="A988" s="27" t="n"/>
      <c r="B988" s="506" t="n"/>
      <c r="C988" s="141" t="n"/>
      <c r="D988" s="141" t="n"/>
      <c r="E988" s="141" t="n"/>
      <c r="F988" s="141" t="n"/>
      <c r="G988" s="143" t="n"/>
      <c r="H988" s="27" t="n"/>
    </row>
    <row r="989" ht="17.25" customHeight="1" s="322">
      <c r="A989" s="27" t="n"/>
      <c r="B989" s="506" t="n"/>
      <c r="C989" s="141" t="n"/>
      <c r="D989" s="141" t="n"/>
      <c r="E989" s="141" t="n"/>
      <c r="F989" s="141" t="n"/>
      <c r="G989" s="143" t="n"/>
      <c r="H989" s="27" t="n"/>
    </row>
    <row r="990" ht="17.25" customHeight="1" s="322">
      <c r="A990" s="27" t="n"/>
      <c r="B990" s="506" t="n"/>
      <c r="C990" s="141" t="n"/>
      <c r="D990" s="141" t="n"/>
      <c r="E990" s="141" t="n"/>
      <c r="F990" s="141" t="n"/>
      <c r="G990" s="143" t="n"/>
      <c r="H990" s="27" t="n"/>
    </row>
    <row r="991" ht="17.25" customHeight="1" s="322">
      <c r="A991" s="27" t="n"/>
      <c r="B991" s="506" t="n"/>
      <c r="C991" s="141" t="n"/>
      <c r="D991" s="141" t="n"/>
      <c r="E991" s="141" t="n"/>
      <c r="F991" s="141" t="n"/>
      <c r="G991" s="143" t="n"/>
      <c r="H991" s="27" t="n"/>
    </row>
    <row r="992" ht="17.25" customHeight="1" s="322">
      <c r="A992" s="27" t="n"/>
      <c r="B992" s="506" t="n"/>
      <c r="C992" s="141" t="n"/>
      <c r="D992" s="141" t="n"/>
      <c r="E992" s="141" t="n"/>
      <c r="F992" s="141" t="n"/>
      <c r="G992" s="143" t="n"/>
      <c r="H992" s="27" t="n"/>
    </row>
    <row r="993" ht="17.25" customHeight="1" s="322">
      <c r="A993" s="27" t="n"/>
      <c r="B993" s="506" t="n"/>
      <c r="C993" s="141" t="n"/>
      <c r="D993" s="141" t="n"/>
      <c r="E993" s="141" t="n"/>
      <c r="F993" s="141" t="n"/>
      <c r="G993" s="143" t="n"/>
      <c r="H993" s="27" t="n"/>
    </row>
    <row r="994" ht="17.25" customHeight="1" s="322">
      <c r="A994" s="27" t="n"/>
      <c r="B994" s="506" t="n"/>
      <c r="C994" s="141" t="n"/>
      <c r="D994" s="141" t="n"/>
      <c r="E994" s="141" t="n"/>
      <c r="F994" s="141" t="n"/>
      <c r="G994" s="143" t="n"/>
      <c r="H994" s="27" t="n"/>
    </row>
    <row r="995" ht="17.25" customHeight="1" s="322">
      <c r="A995" s="27" t="n"/>
      <c r="B995" s="506" t="n"/>
      <c r="C995" s="141" t="n"/>
      <c r="D995" s="141" t="n"/>
      <c r="E995" s="141" t="n"/>
      <c r="F995" s="141" t="n"/>
      <c r="G995" s="143" t="n"/>
      <c r="H995" s="27" t="n"/>
    </row>
    <row r="996" ht="17.25" customHeight="1" s="322">
      <c r="A996" s="27" t="n"/>
      <c r="B996" s="506" t="n"/>
      <c r="C996" s="141" t="n"/>
      <c r="D996" s="141" t="n"/>
      <c r="E996" s="141" t="n"/>
      <c r="F996" s="141" t="n"/>
      <c r="G996" s="143" t="n"/>
      <c r="H996" s="27" t="n"/>
    </row>
    <row r="997" ht="17.25" customHeight="1" s="322">
      <c r="A997" s="27" t="n"/>
      <c r="B997" s="506" t="n"/>
      <c r="C997" s="141" t="n"/>
      <c r="D997" s="141" t="n"/>
      <c r="E997" s="141" t="n"/>
      <c r="F997" s="141" t="n"/>
      <c r="G997" s="143" t="n"/>
      <c r="H997" s="27" t="n"/>
    </row>
    <row r="998" ht="17.25" customHeight="1" s="322">
      <c r="A998" s="27" t="n"/>
      <c r="B998" s="506" t="n"/>
      <c r="C998" s="141" t="n"/>
      <c r="D998" s="141" t="n"/>
      <c r="E998" s="141" t="n"/>
      <c r="F998" s="141" t="n"/>
      <c r="G998" s="143" t="n"/>
      <c r="H998" s="27" t="n"/>
    </row>
    <row r="999" ht="17.25" customHeight="1" s="322">
      <c r="A999" s="27" t="n"/>
      <c r="B999" s="506" t="n"/>
      <c r="C999" s="141" t="n"/>
      <c r="D999" s="141" t="n"/>
      <c r="E999" s="141" t="n"/>
      <c r="F999" s="141" t="n"/>
      <c r="G999" s="143" t="n"/>
      <c r="H999" s="27" t="n"/>
    </row>
    <row r="1000" ht="17.25" customHeight="1" s="322">
      <c r="A1000" s="27" t="n"/>
      <c r="B1000" s="506" t="n"/>
      <c r="C1000" s="141" t="n"/>
      <c r="D1000" s="141" t="n"/>
      <c r="E1000" s="141" t="n"/>
      <c r="F1000" s="141" t="n"/>
      <c r="G1000" s="143" t="n"/>
      <c r="H1000" s="27" t="n"/>
    </row>
  </sheetData>
  <mergeCells count="3">
    <mergeCell ref="B1:F2"/>
    <mergeCell ref="B7:G7"/>
    <mergeCell ref="B10:C10"/>
  </mergeCells>
  <conditionalFormatting sqref="D10:E10">
    <cfRule type="cellIs" priority="5" operator="lessThan" dxfId="5">
      <formula>0</formula>
    </cfRule>
    <cfRule type="cellIs" priority="6" operator="greaterThan" dxfId="4">
      <formula>0</formula>
    </cfRule>
  </conditionalFormatting>
  <conditionalFormatting sqref="F28:F1000">
    <cfRule type="expression" priority="1" dxfId="3">
      <formula>AND(F28=MAX(F$28:F$1000),F28&gt;0)</formula>
    </cfRule>
    <cfRule type="expression" priority="2" dxfId="2">
      <formula>AND(F28=MIN(F$28:F$1000),F28&gt;0)</formula>
    </cfRule>
  </conditionalFormatting>
  <conditionalFormatting sqref="F29:F1000">
    <cfRule type="expression" priority="3" dxfId="1">
      <formula>F29&gt;F27</formula>
    </cfRule>
    <cfRule type="expression" priority="4" dxfId="0">
      <formula>F29&lt;F27</formula>
    </cfRule>
  </conditionalFormatting>
  <conditionalFormatting sqref="G15">
    <cfRule type="colorScale" priority="7">
      <colorScale>
        <cfvo type="min"/>
        <cfvo type="max"/>
        <color rgb="FF57BB8A"/>
        <color rgb="FFFFFFFF"/>
      </colorScale>
    </cfRule>
  </conditionalFormatting>
  <dataValidations count="1">
    <dataValidation sqref="G15" showDropDown="0" showInputMessage="1" showErrorMessage="1" allowBlank="1" prompt="Click and enter a value from the list of items" type="list">
      <formula1>"1 Month,3 Months,6 Months,12 Months,36 Months"</formula1>
    </dataValidation>
  </dataValidations>
  <hyperlinks>
    <hyperlink xmlns:r="http://schemas.openxmlformats.org/officeDocument/2006/relationships" ref="B1" r:id="rId1"/>
    <hyperlink xmlns:r="http://schemas.openxmlformats.org/officeDocument/2006/relationships" ref="G2" r:id="rId2"/>
  </hyperlinks>
  <pageMargins left="0.7" right="0.7" top="0.75" bottom="0.75" header="0.3" footer="0.3"/>
  <drawing xmlns:r="http://schemas.openxmlformats.org/officeDocument/2006/relationships" r:id="rId3"/>
</worksheet>
</file>

<file path=xl/worksheets/sheet25.xml><?xml version="1.0" encoding="utf-8"?>
<worksheet xmlns="http://schemas.openxmlformats.org/spreadsheetml/2006/main">
  <sheetPr>
    <outlinePr summaryBelow="0" summaryRight="0"/>
    <pageSetUpPr/>
  </sheetPr>
  <dimension ref="A1:H1000"/>
  <sheetViews>
    <sheetView showGridLines="0" workbookViewId="0">
      <selection activeCell="A1" sqref="A1"/>
    </sheetView>
  </sheetViews>
  <sheetFormatPr baseColWidth="8" defaultColWidth="12.5703125" defaultRowHeight="15.75" customHeight="1"/>
  <cols>
    <col width="5.42578125" customWidth="1" style="322" min="1" max="1"/>
    <col width="15.7109375" customWidth="1" style="322" min="2" max="2"/>
    <col width="5.42578125" customWidth="1" style="322" min="8" max="8"/>
  </cols>
  <sheetData>
    <row r="1" ht="22.5" customHeight="1" s="322">
      <c r="A1" s="69" t="n"/>
      <c r="B1" s="455" t="inlineStr">
        <is>
          <t>← 관심종목으로 돌아가기</t>
        </is>
      </c>
      <c r="G1" s="72" t="inlineStr">
        <is>
          <t>제공:</t>
        </is>
      </c>
      <c r="H1" s="69" t="n"/>
    </row>
    <row r="2" ht="22.5" customHeight="1" s="322">
      <c r="A2" s="69" t="n"/>
      <c r="G2" s="77" t="inlineStr">
        <is>
          <t>Google Finance</t>
        </is>
      </c>
      <c r="H2" s="69" t="n"/>
    </row>
    <row r="3" ht="11.25" customHeight="1" s="322">
      <c r="A3" s="1" t="n"/>
      <c r="B3" s="1" t="n"/>
      <c r="C3" s="1" t="n"/>
      <c r="D3" s="1" t="n"/>
      <c r="E3" s="1" t="n"/>
      <c r="F3" s="1" t="n"/>
      <c r="G3" s="1" t="n"/>
      <c r="H3" s="1" t="n"/>
    </row>
    <row r="4" ht="15.75" customHeight="1" s="322">
      <c r="A4" s="1" t="n"/>
      <c r="B4" s="80" t="inlineStr">
        <is>
          <t>SHY</t>
        </is>
      </c>
      <c r="C4" s="81" t="inlineStr">
        <is>
          <t>&lt;&lt; 종목코드 입력</t>
        </is>
      </c>
      <c r="D4" s="1" t="n"/>
      <c r="E4" s="1" t="n"/>
      <c r="F4" s="1" t="n"/>
      <c r="G4" s="1" t="n"/>
      <c r="H4" s="1" t="n"/>
    </row>
    <row r="5" ht="15.75" customHeight="1" s="322">
      <c r="A5" s="1" t="n"/>
      <c r="B5" s="82" t="n"/>
      <c r="C5" s="81" t="inlineStr">
        <is>
          <t>&lt;&lt; 필요한 경우 거래소 입력(예: NASDAQ, NYSE)</t>
        </is>
      </c>
      <c r="D5" s="85" t="n"/>
      <c r="E5" s="1" t="n"/>
      <c r="F5" s="1" t="n"/>
      <c r="G5" s="1" t="n"/>
      <c r="H5" s="1" t="n"/>
    </row>
    <row r="6" ht="11.25" customHeight="1" s="322">
      <c r="A6" s="27" t="n"/>
      <c r="B6" s="27" t="n"/>
      <c r="C6" s="27" t="n"/>
      <c r="D6" s="27" t="n"/>
      <c r="E6" s="27" t="n"/>
      <c r="F6" s="27" t="n"/>
      <c r="G6" s="27" t="n"/>
      <c r="H6" s="27" t="n"/>
    </row>
    <row r="7" ht="20.25" customHeight="1" s="322">
      <c r="A7" s="12" t="n"/>
      <c r="B7" s="501">
        <f>IFERROR(__xludf.DUMMYFUNCTION("GOOGLEFINANCE(B18,""name"")"),"iShares 1-3 Year Treasury Bond ETF")</f>
        <v/>
      </c>
      <c r="H7" s="12" t="n"/>
    </row>
    <row r="8" ht="11.25" customHeight="1" s="322">
      <c r="A8" s="12" t="n"/>
      <c r="B8" s="12" t="n"/>
      <c r="C8" s="12" t="n"/>
      <c r="D8" s="12" t="n"/>
      <c r="E8" s="12" t="n"/>
      <c r="F8" s="12" t="n"/>
      <c r="G8" s="12" t="n"/>
      <c r="H8" s="12" t="n"/>
    </row>
    <row r="9" ht="12" customHeight="1" s="322">
      <c r="A9" s="1" t="n"/>
      <c r="B9" s="90" t="inlineStr">
        <is>
          <t>현재가</t>
        </is>
      </c>
      <c r="C9" s="1" t="n"/>
      <c r="D9" s="90" t="inlineStr">
        <is>
          <t>전일대비</t>
        </is>
      </c>
      <c r="E9" s="90" t="inlineStr">
        <is>
          <t>등락률(%)</t>
        </is>
      </c>
      <c r="F9" s="1" t="n"/>
      <c r="G9" s="1" t="n"/>
      <c r="H9" s="1" t="n"/>
    </row>
    <row r="10" ht="31.5" customHeight="1" s="322">
      <c r="A10" s="12" t="n"/>
      <c r="B10" s="502">
        <f>IFERROR(__xludf.DUMMYFUNCTION("GOOGLEFINANCE(B18,""price"")"),81.99)</f>
        <v/>
      </c>
      <c r="D10" s="503">
        <f>IFERROR(__xludf.DUMMYFUNCTION("IFERROR(GOOGLEFINANCE(B18,""change""),""-"")"),0.05)</f>
        <v/>
      </c>
      <c r="E10" s="504">
        <f>IFERROR(__xludf.DUMMYFUNCTION("IFERROR(GOOGLEFINANCE(B18,""changepct"")/100,""-"")"),0.0006)</f>
        <v/>
      </c>
      <c r="F10" s="12" t="n"/>
      <c r="G10" s="12" t="n"/>
      <c r="H10" s="12" t="n"/>
    </row>
    <row r="11" ht="11.25" customHeight="1" s="322">
      <c r="A11" s="12" t="n"/>
      <c r="B11" s="106" t="n"/>
      <c r="C11" s="106" t="n"/>
      <c r="D11" s="106" t="n"/>
      <c r="E11" s="106" t="n"/>
      <c r="F11" s="106" t="n"/>
      <c r="G11" s="106" t="n"/>
      <c r="H11" s="12" t="n"/>
    </row>
    <row r="12" ht="11.25" customHeight="1" s="322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 ht="12" customHeight="1" s="322">
      <c r="A13" s="1" t="n"/>
      <c r="B13" s="90" t="inlineStr">
        <is>
          <t>시가총액</t>
        </is>
      </c>
      <c r="C13" s="90" t="inlineStr">
        <is>
          <t>PER</t>
        </is>
      </c>
      <c r="D13" s="90" t="inlineStr">
        <is>
          <t>베타계수</t>
        </is>
      </c>
      <c r="E13" s="1" t="n"/>
      <c r="F13" s="1" t="n"/>
      <c r="G13" s="1" t="n"/>
      <c r="H13" s="1" t="n"/>
    </row>
    <row r="14">
      <c r="A14" s="113" t="n"/>
      <c r="B14" s="505">
        <f>IFERROR(__xludf.DUMMYFUNCTION("IFERROR(GOOGLEFINANCE(B18,""marketcap""),""-"")"),1973564456)</f>
        <v/>
      </c>
      <c r="C14" s="115">
        <f>IFERROR(__xludf.DUMMYFUNCTION("IFERROR(GOOGLEFINANCE(B18,""pe""),""-"")"),"-")</f>
        <v/>
      </c>
      <c r="D14" s="115">
        <f>IFERROR(__xludf.DUMMYFUNCTION("IFERROR(GOOGLEFINANCE(B18,""beta""),""-"")"),0.05)</f>
        <v/>
      </c>
      <c r="E14" s="113" t="n"/>
      <c r="F14" s="113" t="n"/>
      <c r="G14" s="113" t="n"/>
      <c r="H14" s="113" t="n"/>
    </row>
    <row r="15" ht="15.75" customHeight="1" s="322">
      <c r="A15" s="12" t="n"/>
      <c r="B15" s="12" t="n"/>
      <c r="C15" s="12" t="n"/>
      <c r="D15" s="12" t="n"/>
      <c r="E15" s="12" t="n"/>
      <c r="F15" s="12" t="n"/>
      <c r="G15" s="123" t="inlineStr">
        <is>
          <t>12 Months</t>
        </is>
      </c>
      <c r="H15" s="12" t="n"/>
    </row>
    <row r="16" ht="15.75" customHeight="1" s="322">
      <c r="A16" s="12" t="n"/>
      <c r="B16" s="12" t="n"/>
      <c r="C16" s="12" t="n"/>
      <c r="D16" s="12" t="n"/>
      <c r="E16" s="12" t="n"/>
      <c r="F16" s="12" t="n"/>
      <c r="G16" s="12" t="n"/>
      <c r="H16" s="12" t="n"/>
    </row>
    <row r="17" ht="15.75" customHeight="1" s="322">
      <c r="A17" s="12" t="n"/>
      <c r="B17" s="12" t="n"/>
      <c r="C17" s="12" t="n"/>
      <c r="D17" s="12" t="n"/>
      <c r="E17" s="12" t="n"/>
      <c r="F17" s="12" t="n"/>
      <c r="G17" s="12" t="n"/>
      <c r="H17" s="12" t="n"/>
    </row>
    <row r="18" ht="15.75" customHeight="1" s="322">
      <c r="A18" s="12" t="n"/>
      <c r="B18" s="127">
        <f>IF(ISBLANK(B5),"",B5&amp;":")&amp;B4</f>
        <v/>
      </c>
      <c r="C18" s="12" t="n"/>
      <c r="D18" s="12" t="n"/>
      <c r="E18" s="12" t="n"/>
      <c r="F18" s="12" t="n"/>
      <c r="G18" s="12" t="n"/>
      <c r="H18" s="12" t="n"/>
    </row>
    <row r="19" ht="15.75" customHeight="1" s="322">
      <c r="A19" s="12" t="n"/>
      <c r="B19" s="12" t="n"/>
      <c r="C19" s="12" t="n"/>
      <c r="D19" s="12" t="n"/>
      <c r="E19" s="12" t="n"/>
      <c r="F19" s="12" t="n"/>
      <c r="G19" s="12" t="n"/>
      <c r="H19" s="12" t="n"/>
    </row>
    <row r="20" ht="15.75" customHeight="1" s="322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1" ht="15.75" customHeight="1" s="322">
      <c r="A21" s="12" t="n"/>
      <c r="B21" s="12" t="n"/>
      <c r="C21" s="12" t="n"/>
      <c r="D21" s="12" t="n"/>
      <c r="E21" s="12" t="n"/>
      <c r="F21" s="12" t="n"/>
      <c r="G21" s="12" t="n"/>
      <c r="H21" s="12" t="n"/>
    </row>
    <row r="22" ht="15.75" customHeight="1" s="322">
      <c r="A22" s="12" t="n"/>
      <c r="B22" s="12" t="n"/>
      <c r="C22" s="12" t="n"/>
      <c r="D22" s="12" t="n"/>
      <c r="E22" s="12" t="n"/>
      <c r="F22" s="12" t="n"/>
      <c r="G22" s="12" t="n"/>
      <c r="H22" s="12" t="n"/>
    </row>
    <row r="23" ht="15.75" customHeight="1" s="322">
      <c r="A23" s="12" t="n"/>
      <c r="B23" s="12" t="n"/>
      <c r="C23" s="12" t="n"/>
      <c r="D23" s="12" t="n"/>
      <c r="E23" s="12" t="n"/>
      <c r="F23" s="12" t="n"/>
      <c r="G23" s="12" t="n"/>
      <c r="H23" s="12" t="n"/>
    </row>
    <row r="24" ht="15.75" customHeight="1" s="322">
      <c r="A24" s="12" t="n"/>
      <c r="B24" s="12" t="n"/>
      <c r="C24" s="12" t="n"/>
      <c r="D24" s="12" t="n"/>
      <c r="E24" s="12" t="n"/>
      <c r="F24" s="12" t="n"/>
      <c r="G24" s="12" t="n"/>
      <c r="H24" s="12" t="n"/>
    </row>
    <row r="25" ht="15.75" customHeight="1" s="322">
      <c r="A25" s="12" t="n"/>
      <c r="B25" s="12" t="n"/>
      <c r="C25" s="12" t="n"/>
      <c r="D25" s="12" t="n"/>
      <c r="E25" s="12" t="n"/>
      <c r="F25" s="12" t="n"/>
      <c r="G25" s="12" t="n"/>
      <c r="H25" s="12" t="n"/>
    </row>
    <row r="26" ht="15.75" customHeight="1" s="322">
      <c r="A26" s="12" t="n"/>
      <c r="B26" s="12" t="n"/>
      <c r="C26" s="12" t="n"/>
      <c r="D26" s="12" t="n"/>
      <c r="E26" s="12" t="n"/>
      <c r="F26" s="12" t="n"/>
      <c r="G26" s="12" t="n"/>
      <c r="H26" s="12" t="n"/>
    </row>
    <row r="27" ht="15.75" customHeight="1" s="322">
      <c r="A27" s="133" t="n"/>
      <c r="B27" s="136">
        <f>IFERROR(__xludf.DUMMYFUNCTION("GOOGLEFINANCE(B18, ""all"", EDATE(TODAY(), -LEFT(G15, FIND("" "", G15))), TODAY(), ""DAILY"")"),"Date")</f>
        <v/>
      </c>
      <c r="C27" s="137">
        <f>IFERROR(__xludf.DUMMYFUNCTION("""COMPUTED_VALUE"""),"Open")</f>
        <v/>
      </c>
      <c r="D27" s="137">
        <f>IFERROR(__xludf.DUMMYFUNCTION("""COMPUTED_VALUE"""),"High")</f>
        <v/>
      </c>
      <c r="E27" s="137">
        <f>IFERROR(__xludf.DUMMYFUNCTION("""COMPUTED_VALUE"""),"Low")</f>
        <v/>
      </c>
      <c r="F27" s="137">
        <f>IFERROR(__xludf.DUMMYFUNCTION("""COMPUTED_VALUE"""),"Close")</f>
        <v/>
      </c>
      <c r="G27" s="137">
        <f>IFERROR(__xludf.DUMMYFUNCTION("""COMPUTED_VALUE"""),"Volume")</f>
        <v/>
      </c>
      <c r="H27" s="133" t="n"/>
    </row>
    <row r="28" ht="17.25" customHeight="1" s="322">
      <c r="A28" s="27" t="n"/>
      <c r="B28" s="506">
        <f>IFERROR(__xludf.DUMMYFUNCTION("""COMPUTED_VALUE"""),45868.6666666666)</f>
        <v/>
      </c>
      <c r="C28" s="141">
        <f>IFERROR(__xludf.DUMMYFUNCTION("""COMPUTED_VALUE"""),82.57)</f>
        <v/>
      </c>
      <c r="D28" s="141">
        <f>IFERROR(__xludf.DUMMYFUNCTION("""COMPUTED_VALUE"""),82.64)</f>
        <v/>
      </c>
      <c r="E28" s="141">
        <f>IFERROR(__xludf.DUMMYFUNCTION("""COMPUTED_VALUE"""),82.52)</f>
        <v/>
      </c>
      <c r="F28" s="141">
        <f>IFERROR(__xludf.DUMMYFUNCTION("""COMPUTED_VALUE"""),82.52)</f>
        <v/>
      </c>
      <c r="G28" s="143">
        <f>IFERROR(__xludf.DUMMYFUNCTION("""COMPUTED_VALUE"""),3786204)</f>
        <v/>
      </c>
      <c r="H28" s="27" t="n"/>
    </row>
    <row r="29" ht="17.25" customHeight="1" s="322">
      <c r="A29" s="27" t="n"/>
      <c r="B29" s="506">
        <f>IFERROR(__xludf.DUMMYFUNCTION("""COMPUTED_VALUE"""),45869.6666666666)</f>
        <v/>
      </c>
      <c r="C29" s="141">
        <f>IFERROR(__xludf.DUMMYFUNCTION("""COMPUTED_VALUE"""),82.54)</f>
        <v/>
      </c>
      <c r="D29" s="141">
        <f>IFERROR(__xludf.DUMMYFUNCTION("""COMPUTED_VALUE"""),82.57)</f>
        <v/>
      </c>
      <c r="E29" s="141">
        <f>IFERROR(__xludf.DUMMYFUNCTION("""COMPUTED_VALUE"""),82.51)</f>
        <v/>
      </c>
      <c r="F29" s="141">
        <f>IFERROR(__xludf.DUMMYFUNCTION("""COMPUTED_VALUE"""),82.52)</f>
        <v/>
      </c>
      <c r="G29" s="143">
        <f>IFERROR(__xludf.DUMMYFUNCTION("""COMPUTED_VALUE"""),5883693)</f>
        <v/>
      </c>
      <c r="H29" s="27" t="n"/>
    </row>
    <row r="30" ht="17.25" customHeight="1" s="322">
      <c r="A30" s="27" t="n"/>
      <c r="B30" s="506">
        <f>IFERROR(__xludf.DUMMYFUNCTION("""COMPUTED_VALUE"""),45870.6666666666)</f>
        <v/>
      </c>
      <c r="C30" s="141">
        <f>IFERROR(__xludf.DUMMYFUNCTION("""COMPUTED_VALUE"""),82.55)</f>
        <v/>
      </c>
      <c r="D30" s="141">
        <f>IFERROR(__xludf.DUMMYFUNCTION("""COMPUTED_VALUE"""),82.69)</f>
        <v/>
      </c>
      <c r="E30" s="141">
        <f>IFERROR(__xludf.DUMMYFUNCTION("""COMPUTED_VALUE"""),82.55)</f>
        <v/>
      </c>
      <c r="F30" s="141">
        <f>IFERROR(__xludf.DUMMYFUNCTION("""COMPUTED_VALUE"""),82.66)</f>
        <v/>
      </c>
      <c r="G30" s="143">
        <f>IFERROR(__xludf.DUMMYFUNCTION("""COMPUTED_VALUE"""),6048671)</f>
        <v/>
      </c>
      <c r="H30" s="27" t="n"/>
    </row>
    <row r="31" ht="17.25" customHeight="1" s="322">
      <c r="A31" s="27" t="n"/>
      <c r="B31" s="506">
        <f>IFERROR(__xludf.DUMMYFUNCTION("""COMPUTED_VALUE"""),45873.6666666666)</f>
        <v/>
      </c>
      <c r="C31" s="141">
        <f>IFERROR(__xludf.DUMMYFUNCTION("""COMPUTED_VALUE"""),82.67)</f>
        <v/>
      </c>
      <c r="D31" s="141">
        <f>IFERROR(__xludf.DUMMYFUNCTION("""COMPUTED_VALUE"""),82.69)</f>
        <v/>
      </c>
      <c r="E31" s="141">
        <f>IFERROR(__xludf.DUMMYFUNCTION("""COMPUTED_VALUE"""),82.63)</f>
        <v/>
      </c>
      <c r="F31" s="141">
        <f>IFERROR(__xludf.DUMMYFUNCTION("""COMPUTED_VALUE"""),82.68)</f>
        <v/>
      </c>
      <c r="G31" s="143">
        <f>IFERROR(__xludf.DUMMYFUNCTION("""COMPUTED_VALUE"""),4535435)</f>
        <v/>
      </c>
      <c r="H31" s="27" t="n"/>
    </row>
    <row r="32" ht="17.25" customHeight="1" s="322">
      <c r="A32" s="27" t="n"/>
      <c r="B32" s="506">
        <f>IFERROR(__xludf.DUMMYFUNCTION("""COMPUTED_VALUE"""),45874.6666666666)</f>
        <v/>
      </c>
      <c r="C32" s="141">
        <f>IFERROR(__xludf.DUMMYFUNCTION("""COMPUTED_VALUE"""),82.65)</f>
        <v/>
      </c>
      <c r="D32" s="141">
        <f>IFERROR(__xludf.DUMMYFUNCTION("""COMPUTED_VALUE"""),82.69)</f>
        <v/>
      </c>
      <c r="E32" s="141">
        <f>IFERROR(__xludf.DUMMYFUNCTION("""COMPUTED_VALUE"""),82.62)</f>
        <v/>
      </c>
      <c r="F32" s="141">
        <f>IFERROR(__xludf.DUMMYFUNCTION("""COMPUTED_VALUE"""),82.65)</f>
        <v/>
      </c>
      <c r="G32" s="143">
        <f>IFERROR(__xludf.DUMMYFUNCTION("""COMPUTED_VALUE"""),6269421)</f>
        <v/>
      </c>
      <c r="H32" s="27" t="n"/>
    </row>
    <row r="33" ht="17.25" customHeight="1" s="322">
      <c r="A33" s="27" t="n"/>
      <c r="B33" s="506">
        <f>IFERROR(__xludf.DUMMYFUNCTION("""COMPUTED_VALUE"""),45875.6666666666)</f>
        <v/>
      </c>
      <c r="C33" s="141">
        <f>IFERROR(__xludf.DUMMYFUNCTION("""COMPUTED_VALUE"""),82.63)</f>
        <v/>
      </c>
      <c r="D33" s="141">
        <f>IFERROR(__xludf.DUMMYFUNCTION("""COMPUTED_VALUE"""),82.68)</f>
        <v/>
      </c>
      <c r="E33" s="141">
        <f>IFERROR(__xludf.DUMMYFUNCTION("""COMPUTED_VALUE"""),82.63)</f>
        <v/>
      </c>
      <c r="F33" s="141">
        <f>IFERROR(__xludf.DUMMYFUNCTION("""COMPUTED_VALUE"""),82.68)</f>
        <v/>
      </c>
      <c r="G33" s="143">
        <f>IFERROR(__xludf.DUMMYFUNCTION("""COMPUTED_VALUE"""),2741805)</f>
        <v/>
      </c>
      <c r="H33" s="27" t="n"/>
    </row>
    <row r="34" ht="17.25" customHeight="1" s="322">
      <c r="A34" s="27" t="n"/>
      <c r="B34" s="506">
        <f>IFERROR(__xludf.DUMMYFUNCTION("""COMPUTED_VALUE"""),45876.6666666666)</f>
        <v/>
      </c>
      <c r="C34" s="141">
        <f>IFERROR(__xludf.DUMMYFUNCTION("""COMPUTED_VALUE"""),82.66)</f>
        <v/>
      </c>
      <c r="D34" s="141">
        <f>IFERROR(__xludf.DUMMYFUNCTION("""COMPUTED_VALUE"""),82.68)</f>
        <v/>
      </c>
      <c r="E34" s="141">
        <f>IFERROR(__xludf.DUMMYFUNCTION("""COMPUTED_VALUE"""),82.63)</f>
        <v/>
      </c>
      <c r="F34" s="141">
        <f>IFERROR(__xludf.DUMMYFUNCTION("""COMPUTED_VALUE"""),82.64)</f>
        <v/>
      </c>
      <c r="G34" s="143">
        <f>IFERROR(__xludf.DUMMYFUNCTION("""COMPUTED_VALUE"""),2927744)</f>
        <v/>
      </c>
      <c r="H34" s="27" t="n"/>
    </row>
    <row r="35" ht="17.25" customHeight="1" s="322">
      <c r="A35" s="27" t="n"/>
      <c r="B35" s="506">
        <f>IFERROR(__xludf.DUMMYFUNCTION("""COMPUTED_VALUE"""),45877.6666666666)</f>
        <v/>
      </c>
      <c r="C35" s="141">
        <f>IFERROR(__xludf.DUMMYFUNCTION("""COMPUTED_VALUE"""),82.64)</f>
        <v/>
      </c>
      <c r="D35" s="141">
        <f>IFERROR(__xludf.DUMMYFUNCTION("""COMPUTED_VALUE"""),82.64)</f>
        <v/>
      </c>
      <c r="E35" s="141">
        <f>IFERROR(__xludf.DUMMYFUNCTION("""COMPUTED_VALUE"""),82.61)</f>
        <v/>
      </c>
      <c r="F35" s="141">
        <f>IFERROR(__xludf.DUMMYFUNCTION("""COMPUTED_VALUE"""),82.62)</f>
        <v/>
      </c>
      <c r="G35" s="143">
        <f>IFERROR(__xludf.DUMMYFUNCTION("""COMPUTED_VALUE"""),2621191)</f>
        <v/>
      </c>
      <c r="H35" s="27" t="n"/>
    </row>
    <row r="36" ht="17.25" customHeight="1" s="322">
      <c r="A36" s="27" t="n"/>
      <c r="B36" s="506">
        <f>IFERROR(__xludf.DUMMYFUNCTION("""COMPUTED_VALUE"""),45880.6666666666)</f>
        <v/>
      </c>
      <c r="C36" s="141">
        <f>IFERROR(__xludf.DUMMYFUNCTION("""COMPUTED_VALUE"""),82.61)</f>
        <v/>
      </c>
      <c r="D36" s="141">
        <f>IFERROR(__xludf.DUMMYFUNCTION("""COMPUTED_VALUE"""),82.64)</f>
        <v/>
      </c>
      <c r="E36" s="141">
        <f>IFERROR(__xludf.DUMMYFUNCTION("""COMPUTED_VALUE"""),82.61)</f>
        <v/>
      </c>
      <c r="F36" s="141">
        <f>IFERROR(__xludf.DUMMYFUNCTION("""COMPUTED_VALUE"""),82.62)</f>
        <v/>
      </c>
      <c r="G36" s="143">
        <f>IFERROR(__xludf.DUMMYFUNCTION("""COMPUTED_VALUE"""),2730620)</f>
        <v/>
      </c>
      <c r="H36" s="27" t="n"/>
    </row>
    <row r="37" ht="17.25" customHeight="1" s="322">
      <c r="A37" s="27" t="n"/>
      <c r="B37" s="506">
        <f>IFERROR(__xludf.DUMMYFUNCTION("""COMPUTED_VALUE"""),45881.6666666666)</f>
        <v/>
      </c>
      <c r="C37" s="141">
        <f>IFERROR(__xludf.DUMMYFUNCTION("""COMPUTED_VALUE"""),82.65)</f>
        <v/>
      </c>
      <c r="D37" s="141">
        <f>IFERROR(__xludf.DUMMYFUNCTION("""COMPUTED_VALUE"""),82.69)</f>
        <v/>
      </c>
      <c r="E37" s="141">
        <f>IFERROR(__xludf.DUMMYFUNCTION("""COMPUTED_VALUE"""),82.64)</f>
        <v/>
      </c>
      <c r="F37" s="141">
        <f>IFERROR(__xludf.DUMMYFUNCTION("""COMPUTED_VALUE"""),82.68)</f>
        <v/>
      </c>
      <c r="G37" s="143">
        <f>IFERROR(__xludf.DUMMYFUNCTION("""COMPUTED_VALUE"""),2846186)</f>
        <v/>
      </c>
      <c r="H37" s="27" t="n"/>
    </row>
    <row r="38" ht="17.25" customHeight="1" s="322">
      <c r="A38" s="27" t="n"/>
      <c r="B38" s="506">
        <f>IFERROR(__xludf.DUMMYFUNCTION("""COMPUTED_VALUE"""),45882.6666666666)</f>
        <v/>
      </c>
      <c r="C38" s="141">
        <f>IFERROR(__xludf.DUMMYFUNCTION("""COMPUTED_VALUE"""),82.75)</f>
        <v/>
      </c>
      <c r="D38" s="141">
        <f>IFERROR(__xludf.DUMMYFUNCTION("""COMPUTED_VALUE"""),82.79)</f>
        <v/>
      </c>
      <c r="E38" s="141">
        <f>IFERROR(__xludf.DUMMYFUNCTION("""COMPUTED_VALUE"""),82.74)</f>
        <v/>
      </c>
      <c r="F38" s="141">
        <f>IFERROR(__xludf.DUMMYFUNCTION("""COMPUTED_VALUE"""),82.79)</f>
        <v/>
      </c>
      <c r="G38" s="143">
        <f>IFERROR(__xludf.DUMMYFUNCTION("""COMPUTED_VALUE"""),3589612)</f>
        <v/>
      </c>
      <c r="H38" s="27" t="n"/>
    </row>
    <row r="39" ht="17.25" customHeight="1" s="322">
      <c r="A39" s="27" t="n"/>
      <c r="B39" s="506">
        <f>IFERROR(__xludf.DUMMYFUNCTION("""COMPUTED_VALUE"""),45883.6666666666)</f>
        <v/>
      </c>
      <c r="C39" s="141">
        <f>IFERROR(__xludf.DUMMYFUNCTION("""COMPUTED_VALUE"""),82.71)</f>
        <v/>
      </c>
      <c r="D39" s="141">
        <f>IFERROR(__xludf.DUMMYFUNCTION("""COMPUTED_VALUE"""),82.72)</f>
        <v/>
      </c>
      <c r="E39" s="141">
        <f>IFERROR(__xludf.DUMMYFUNCTION("""COMPUTED_VALUE"""),82.68)</f>
        <v/>
      </c>
      <c r="F39" s="141">
        <f>IFERROR(__xludf.DUMMYFUNCTION("""COMPUTED_VALUE"""),82.7)</f>
        <v/>
      </c>
      <c r="G39" s="143">
        <f>IFERROR(__xludf.DUMMYFUNCTION("""COMPUTED_VALUE"""),3934101)</f>
        <v/>
      </c>
      <c r="H39" s="27" t="n"/>
    </row>
    <row r="40" ht="17.25" customHeight="1" s="322">
      <c r="A40" s="27" t="n"/>
      <c r="B40" s="506">
        <f>IFERROR(__xludf.DUMMYFUNCTION("""COMPUTED_VALUE"""),45884.6666666666)</f>
        <v/>
      </c>
      <c r="C40" s="141">
        <f>IFERROR(__xludf.DUMMYFUNCTION("""COMPUTED_VALUE"""),82.72)</f>
        <v/>
      </c>
      <c r="D40" s="141">
        <f>IFERROR(__xludf.DUMMYFUNCTION("""COMPUTED_VALUE"""),82.74)</f>
        <v/>
      </c>
      <c r="E40" s="141">
        <f>IFERROR(__xludf.DUMMYFUNCTION("""COMPUTED_VALUE"""),82.67)</f>
        <v/>
      </c>
      <c r="F40" s="141">
        <f>IFERROR(__xludf.DUMMYFUNCTION("""COMPUTED_VALUE"""),82.67)</f>
        <v/>
      </c>
      <c r="G40" s="143">
        <f>IFERROR(__xludf.DUMMYFUNCTION("""COMPUTED_VALUE"""),1979404)</f>
        <v/>
      </c>
      <c r="H40" s="27" t="n"/>
    </row>
    <row r="41" ht="17.25" customHeight="1" s="322">
      <c r="A41" s="27" t="n"/>
      <c r="B41" s="506">
        <f>IFERROR(__xludf.DUMMYFUNCTION("""COMPUTED_VALUE"""),45887.6666666666)</f>
        <v/>
      </c>
      <c r="C41" s="141">
        <f>IFERROR(__xludf.DUMMYFUNCTION("""COMPUTED_VALUE"""),82.7)</f>
        <v/>
      </c>
      <c r="D41" s="141">
        <f>IFERROR(__xludf.DUMMYFUNCTION("""COMPUTED_VALUE"""),82.71)</f>
        <v/>
      </c>
      <c r="E41" s="141">
        <f>IFERROR(__xludf.DUMMYFUNCTION("""COMPUTED_VALUE"""),82.66)</f>
        <v/>
      </c>
      <c r="F41" s="141">
        <f>IFERROR(__xludf.DUMMYFUNCTION("""COMPUTED_VALUE"""),82.67)</f>
        <v/>
      </c>
      <c r="G41" s="143">
        <f>IFERROR(__xludf.DUMMYFUNCTION("""COMPUTED_VALUE"""),6377258)</f>
        <v/>
      </c>
      <c r="H41" s="27" t="n"/>
    </row>
    <row r="42" ht="17.25" customHeight="1" s="322">
      <c r="A42" s="27" t="n"/>
      <c r="B42" s="506">
        <f>IFERROR(__xludf.DUMMYFUNCTION("""COMPUTED_VALUE"""),45888.6666666666)</f>
        <v/>
      </c>
      <c r="C42" s="141">
        <f>IFERROR(__xludf.DUMMYFUNCTION("""COMPUTED_VALUE"""),82.71)</f>
        <v/>
      </c>
      <c r="D42" s="141">
        <f>IFERROR(__xludf.DUMMYFUNCTION("""COMPUTED_VALUE"""),82.73)</f>
        <v/>
      </c>
      <c r="E42" s="141">
        <f>IFERROR(__xludf.DUMMYFUNCTION("""COMPUTED_VALUE"""),82.7)</f>
        <v/>
      </c>
      <c r="F42" s="141">
        <f>IFERROR(__xludf.DUMMYFUNCTION("""COMPUTED_VALUE"""),82.71)</f>
        <v/>
      </c>
      <c r="G42" s="143">
        <f>IFERROR(__xludf.DUMMYFUNCTION("""COMPUTED_VALUE"""),7319146)</f>
        <v/>
      </c>
      <c r="H42" s="27" t="n"/>
    </row>
    <row r="43" ht="17.25" customHeight="1" s="322">
      <c r="A43" s="27" t="n"/>
      <c r="B43" s="506">
        <f>IFERROR(__xludf.DUMMYFUNCTION("""COMPUTED_VALUE"""),45889.6666666666)</f>
        <v/>
      </c>
      <c r="C43" s="141">
        <f>IFERROR(__xludf.DUMMYFUNCTION("""COMPUTED_VALUE"""),82.72)</f>
        <v/>
      </c>
      <c r="D43" s="141">
        <f>IFERROR(__xludf.DUMMYFUNCTION("""COMPUTED_VALUE"""),82.77)</f>
        <v/>
      </c>
      <c r="E43" s="141">
        <f>IFERROR(__xludf.DUMMYFUNCTION("""COMPUTED_VALUE"""),82.71)</f>
        <v/>
      </c>
      <c r="F43" s="141">
        <f>IFERROR(__xludf.DUMMYFUNCTION("""COMPUTED_VALUE"""),82.74)</f>
        <v/>
      </c>
      <c r="G43" s="143">
        <f>IFERROR(__xludf.DUMMYFUNCTION("""COMPUTED_VALUE"""),2613863)</f>
        <v/>
      </c>
      <c r="H43" s="27" t="n"/>
    </row>
    <row r="44" ht="17.25" customHeight="1" s="322">
      <c r="A44" s="27" t="n"/>
      <c r="B44" s="506">
        <f>IFERROR(__xludf.DUMMYFUNCTION("""COMPUTED_VALUE"""),45890.6666666666)</f>
        <v/>
      </c>
      <c r="C44" s="141">
        <f>IFERROR(__xludf.DUMMYFUNCTION("""COMPUTED_VALUE"""),82.72)</f>
        <v/>
      </c>
      <c r="D44" s="141">
        <f>IFERROR(__xludf.DUMMYFUNCTION("""COMPUTED_VALUE"""),82.73)</f>
        <v/>
      </c>
      <c r="E44" s="141">
        <f>IFERROR(__xludf.DUMMYFUNCTION("""COMPUTED_VALUE"""),82.65)</f>
        <v/>
      </c>
      <c r="F44" s="141">
        <f>IFERROR(__xludf.DUMMYFUNCTION("""COMPUTED_VALUE"""),82.67)</f>
        <v/>
      </c>
      <c r="G44" s="143">
        <f>IFERROR(__xludf.DUMMYFUNCTION("""COMPUTED_VALUE"""),3399806)</f>
        <v/>
      </c>
      <c r="H44" s="27" t="n"/>
    </row>
    <row r="45" ht="17.25" customHeight="1" s="322">
      <c r="A45" s="27" t="n"/>
      <c r="B45" s="506">
        <f>IFERROR(__xludf.DUMMYFUNCTION("""COMPUTED_VALUE"""),45891.6666666666)</f>
        <v/>
      </c>
      <c r="C45" s="141">
        <f>IFERROR(__xludf.DUMMYFUNCTION("""COMPUTED_VALUE"""),82.71)</f>
        <v/>
      </c>
      <c r="D45" s="141">
        <f>IFERROR(__xludf.DUMMYFUNCTION("""COMPUTED_VALUE"""),82.86)</f>
        <v/>
      </c>
      <c r="E45" s="141">
        <f>IFERROR(__xludf.DUMMYFUNCTION("""COMPUTED_VALUE"""),82.7)</f>
        <v/>
      </c>
      <c r="F45" s="141">
        <f>IFERROR(__xludf.DUMMYFUNCTION("""COMPUTED_VALUE"""),82.85)</f>
        <v/>
      </c>
      <c r="G45" s="143">
        <f>IFERROR(__xludf.DUMMYFUNCTION("""COMPUTED_VALUE"""),4815552)</f>
        <v/>
      </c>
      <c r="H45" s="27" t="n"/>
    </row>
    <row r="46" ht="17.25" customHeight="1" s="322">
      <c r="A46" s="27" t="n"/>
      <c r="B46" s="506">
        <f>IFERROR(__xludf.DUMMYFUNCTION("""COMPUTED_VALUE"""),45894.6666666666)</f>
        <v/>
      </c>
      <c r="C46" s="141">
        <f>IFERROR(__xludf.DUMMYFUNCTION("""COMPUTED_VALUE"""),82.8)</f>
        <v/>
      </c>
      <c r="D46" s="141">
        <f>IFERROR(__xludf.DUMMYFUNCTION("""COMPUTED_VALUE"""),82.81)</f>
        <v/>
      </c>
      <c r="E46" s="141">
        <f>IFERROR(__xludf.DUMMYFUNCTION("""COMPUTED_VALUE"""),82.79)</f>
        <v/>
      </c>
      <c r="F46" s="141">
        <f>IFERROR(__xludf.DUMMYFUNCTION("""COMPUTED_VALUE"""),82.81)</f>
        <v/>
      </c>
      <c r="G46" s="143">
        <f>IFERROR(__xludf.DUMMYFUNCTION("""COMPUTED_VALUE"""),5797305)</f>
        <v/>
      </c>
      <c r="H46" s="27" t="n"/>
    </row>
    <row r="47" ht="17.25" customHeight="1" s="322">
      <c r="A47" s="27" t="n"/>
      <c r="B47" s="506">
        <f>IFERROR(__xludf.DUMMYFUNCTION("""COMPUTED_VALUE"""),45895.6666666666)</f>
        <v/>
      </c>
      <c r="C47" s="141">
        <f>IFERROR(__xludf.DUMMYFUNCTION("""COMPUTED_VALUE"""),82.84)</f>
        <v/>
      </c>
      <c r="D47" s="141">
        <f>IFERROR(__xludf.DUMMYFUNCTION("""COMPUTED_VALUE"""),82.89)</f>
        <v/>
      </c>
      <c r="E47" s="141">
        <f>IFERROR(__xludf.DUMMYFUNCTION("""COMPUTED_VALUE"""),82.84)</f>
        <v/>
      </c>
      <c r="F47" s="141">
        <f>IFERROR(__xludf.DUMMYFUNCTION("""COMPUTED_VALUE"""),82.88)</f>
        <v/>
      </c>
      <c r="G47" s="143">
        <f>IFERROR(__xludf.DUMMYFUNCTION("""COMPUTED_VALUE"""),1673686)</f>
        <v/>
      </c>
      <c r="H47" s="27" t="n"/>
    </row>
    <row r="48" ht="17.25" customHeight="1" s="322">
      <c r="A48" s="27" t="n"/>
      <c r="B48" s="506">
        <f>IFERROR(__xludf.DUMMYFUNCTION("""COMPUTED_VALUE"""),45896.6666666666)</f>
        <v/>
      </c>
      <c r="C48" s="141">
        <f>IFERROR(__xludf.DUMMYFUNCTION("""COMPUTED_VALUE"""),82.89)</f>
        <v/>
      </c>
      <c r="D48" s="141">
        <f>IFERROR(__xludf.DUMMYFUNCTION("""COMPUTED_VALUE"""),82.94)</f>
        <v/>
      </c>
      <c r="E48" s="141">
        <f>IFERROR(__xludf.DUMMYFUNCTION("""COMPUTED_VALUE"""),82.88)</f>
        <v/>
      </c>
      <c r="F48" s="141">
        <f>IFERROR(__xludf.DUMMYFUNCTION("""COMPUTED_VALUE"""),82.94)</f>
        <v/>
      </c>
      <c r="G48" s="143">
        <f>IFERROR(__xludf.DUMMYFUNCTION("""COMPUTED_VALUE"""),2399543)</f>
        <v/>
      </c>
      <c r="H48" s="27" t="n"/>
    </row>
    <row r="49" ht="17.25" customHeight="1" s="322">
      <c r="A49" s="27" t="n"/>
      <c r="B49" s="506">
        <f>IFERROR(__xludf.DUMMYFUNCTION("""COMPUTED_VALUE"""),45897.6666666666)</f>
        <v/>
      </c>
      <c r="C49" s="141">
        <f>IFERROR(__xludf.DUMMYFUNCTION("""COMPUTED_VALUE"""),82.91)</f>
        <v/>
      </c>
      <c r="D49" s="141">
        <f>IFERROR(__xludf.DUMMYFUNCTION("""COMPUTED_VALUE"""),82.93)</f>
        <v/>
      </c>
      <c r="E49" s="141">
        <f>IFERROR(__xludf.DUMMYFUNCTION("""COMPUTED_VALUE"""),82.9)</f>
        <v/>
      </c>
      <c r="F49" s="141">
        <f>IFERROR(__xludf.DUMMYFUNCTION("""COMPUTED_VALUE"""),82.91)</f>
        <v/>
      </c>
      <c r="G49" s="143">
        <f>IFERROR(__xludf.DUMMYFUNCTION("""COMPUTED_VALUE"""),1824807)</f>
        <v/>
      </c>
      <c r="H49" s="27" t="n"/>
    </row>
    <row r="50" ht="17.25" customHeight="1" s="322">
      <c r="A50" s="27" t="n"/>
      <c r="B50" s="506">
        <f>IFERROR(__xludf.DUMMYFUNCTION("""COMPUTED_VALUE"""),45898.6666666666)</f>
        <v/>
      </c>
      <c r="C50" s="141">
        <f>IFERROR(__xludf.DUMMYFUNCTION("""COMPUTED_VALUE"""),82.95)</f>
        <v/>
      </c>
      <c r="D50" s="141">
        <f>IFERROR(__xludf.DUMMYFUNCTION("""COMPUTED_VALUE"""),83)</f>
        <v/>
      </c>
      <c r="E50" s="141">
        <f>IFERROR(__xludf.DUMMYFUNCTION("""COMPUTED_VALUE"""),82.94)</f>
        <v/>
      </c>
      <c r="F50" s="141">
        <f>IFERROR(__xludf.DUMMYFUNCTION("""COMPUTED_VALUE"""),82.98)</f>
        <v/>
      </c>
      <c r="G50" s="143">
        <f>IFERROR(__xludf.DUMMYFUNCTION("""COMPUTED_VALUE"""),2758042)</f>
        <v/>
      </c>
      <c r="H50" s="27" t="n"/>
    </row>
    <row r="51" ht="17.25" customHeight="1" s="322">
      <c r="A51" s="27" t="n"/>
      <c r="B51" s="506">
        <f>IFERROR(__xludf.DUMMYFUNCTION("""COMPUTED_VALUE"""),45902.6666666666)</f>
        <v/>
      </c>
      <c r="C51" s="141">
        <f>IFERROR(__xludf.DUMMYFUNCTION("""COMPUTED_VALUE"""),82.67)</f>
        <v/>
      </c>
      <c r="D51" s="141">
        <f>IFERROR(__xludf.DUMMYFUNCTION("""COMPUTED_VALUE"""),82.7)</f>
        <v/>
      </c>
      <c r="E51" s="141">
        <f>IFERROR(__xludf.DUMMYFUNCTION("""COMPUTED_VALUE"""),82.66)</f>
        <v/>
      </c>
      <c r="F51" s="141">
        <f>IFERROR(__xludf.DUMMYFUNCTION("""COMPUTED_VALUE"""),82.68)</f>
        <v/>
      </c>
      <c r="G51" s="143">
        <f>IFERROR(__xludf.DUMMYFUNCTION("""COMPUTED_VALUE"""),4372417)</f>
        <v/>
      </c>
      <c r="H51" s="27" t="n"/>
    </row>
    <row r="52" ht="17.25" customHeight="1" s="322">
      <c r="A52" s="27" t="n"/>
      <c r="B52" s="506">
        <f>IFERROR(__xludf.DUMMYFUNCTION("""COMPUTED_VALUE"""),45903.6666666666)</f>
        <v/>
      </c>
      <c r="C52" s="141">
        <f>IFERROR(__xludf.DUMMYFUNCTION("""COMPUTED_VALUE"""),82.68)</f>
        <v/>
      </c>
      <c r="D52" s="141">
        <f>IFERROR(__xludf.DUMMYFUNCTION("""COMPUTED_VALUE"""),82.76)</f>
        <v/>
      </c>
      <c r="E52" s="141">
        <f>IFERROR(__xludf.DUMMYFUNCTION("""COMPUTED_VALUE"""),82.67)</f>
        <v/>
      </c>
      <c r="F52" s="141">
        <f>IFERROR(__xludf.DUMMYFUNCTION("""COMPUTED_VALUE"""),82.74)</f>
        <v/>
      </c>
      <c r="G52" s="143">
        <f>IFERROR(__xludf.DUMMYFUNCTION("""COMPUTED_VALUE"""),3284520)</f>
        <v/>
      </c>
      <c r="H52" s="27" t="n"/>
    </row>
    <row r="53" ht="17.25" customHeight="1" s="322">
      <c r="A53" s="27" t="n"/>
      <c r="B53" s="506">
        <f>IFERROR(__xludf.DUMMYFUNCTION("""COMPUTED_VALUE"""),45904.6666666666)</f>
        <v/>
      </c>
      <c r="C53" s="141">
        <f>IFERROR(__xludf.DUMMYFUNCTION("""COMPUTED_VALUE"""),82.78)</f>
        <v/>
      </c>
      <c r="D53" s="141">
        <f>IFERROR(__xludf.DUMMYFUNCTION("""COMPUTED_VALUE"""),82.8)</f>
        <v/>
      </c>
      <c r="E53" s="141">
        <f>IFERROR(__xludf.DUMMYFUNCTION("""COMPUTED_VALUE"""),82.76)</f>
        <v/>
      </c>
      <c r="F53" s="141">
        <f>IFERROR(__xludf.DUMMYFUNCTION("""COMPUTED_VALUE"""),82.8)</f>
        <v/>
      </c>
      <c r="G53" s="143">
        <f>IFERROR(__xludf.DUMMYFUNCTION("""COMPUTED_VALUE"""),3232698)</f>
        <v/>
      </c>
      <c r="H53" s="27" t="n"/>
    </row>
    <row r="54" ht="17.25" customHeight="1" s="322">
      <c r="A54" s="27" t="n"/>
      <c r="B54" s="506">
        <f>IFERROR(__xludf.DUMMYFUNCTION("""COMPUTED_VALUE"""),45905.6666666666)</f>
        <v/>
      </c>
      <c r="C54" s="141">
        <f>IFERROR(__xludf.DUMMYFUNCTION("""COMPUTED_VALUE"""),82.98)</f>
        <v/>
      </c>
      <c r="D54" s="141">
        <f>IFERROR(__xludf.DUMMYFUNCTION("""COMPUTED_VALUE"""),83.01)</f>
        <v/>
      </c>
      <c r="E54" s="141">
        <f>IFERROR(__xludf.DUMMYFUNCTION("""COMPUTED_VALUE"""),82.91)</f>
        <v/>
      </c>
      <c r="F54" s="141">
        <f>IFERROR(__xludf.DUMMYFUNCTION("""COMPUTED_VALUE"""),82.92)</f>
        <v/>
      </c>
      <c r="G54" s="143">
        <f>IFERROR(__xludf.DUMMYFUNCTION("""COMPUTED_VALUE"""),5352503)</f>
        <v/>
      </c>
      <c r="H54" s="27" t="n"/>
    </row>
    <row r="55" ht="17.25" customHeight="1" s="322">
      <c r="A55" s="27" t="n"/>
      <c r="B55" s="506">
        <f>IFERROR(__xludf.DUMMYFUNCTION("""COMPUTED_VALUE"""),45908.6666666666)</f>
        <v/>
      </c>
      <c r="C55" s="141">
        <f>IFERROR(__xludf.DUMMYFUNCTION("""COMPUTED_VALUE"""),82.98)</f>
        <v/>
      </c>
      <c r="D55" s="141">
        <f>IFERROR(__xludf.DUMMYFUNCTION("""COMPUTED_VALUE"""),82.99)</f>
        <v/>
      </c>
      <c r="E55" s="141">
        <f>IFERROR(__xludf.DUMMYFUNCTION("""COMPUTED_VALUE"""),82.95)</f>
        <v/>
      </c>
      <c r="F55" s="141">
        <f>IFERROR(__xludf.DUMMYFUNCTION("""COMPUTED_VALUE"""),82.97)</f>
        <v/>
      </c>
      <c r="G55" s="143">
        <f>IFERROR(__xludf.DUMMYFUNCTION("""COMPUTED_VALUE"""),2281184)</f>
        <v/>
      </c>
      <c r="H55" s="27" t="n"/>
    </row>
    <row r="56" ht="17.25" customHeight="1" s="322">
      <c r="A56" s="27" t="n"/>
      <c r="B56" s="506">
        <f>IFERROR(__xludf.DUMMYFUNCTION("""COMPUTED_VALUE"""),45909.6666666666)</f>
        <v/>
      </c>
      <c r="C56" s="141">
        <f>IFERROR(__xludf.DUMMYFUNCTION("""COMPUTED_VALUE"""),82.97)</f>
        <v/>
      </c>
      <c r="D56" s="141">
        <f>IFERROR(__xludf.DUMMYFUNCTION("""COMPUTED_VALUE"""),83)</f>
        <v/>
      </c>
      <c r="E56" s="141">
        <f>IFERROR(__xludf.DUMMYFUNCTION("""COMPUTED_VALUE"""),82.9)</f>
        <v/>
      </c>
      <c r="F56" s="141">
        <f>IFERROR(__xludf.DUMMYFUNCTION("""COMPUTED_VALUE"""),82.9)</f>
        <v/>
      </c>
      <c r="G56" s="143">
        <f>IFERROR(__xludf.DUMMYFUNCTION("""COMPUTED_VALUE"""),2467765)</f>
        <v/>
      </c>
      <c r="H56" s="27" t="n"/>
    </row>
    <row r="57" ht="17.25" customHeight="1" s="322">
      <c r="A57" s="27" t="n"/>
      <c r="B57" s="506">
        <f>IFERROR(__xludf.DUMMYFUNCTION("""COMPUTED_VALUE"""),45910.6666666666)</f>
        <v/>
      </c>
      <c r="C57" s="141">
        <f>IFERROR(__xludf.DUMMYFUNCTION("""COMPUTED_VALUE"""),82.96)</f>
        <v/>
      </c>
      <c r="D57" s="141">
        <f>IFERROR(__xludf.DUMMYFUNCTION("""COMPUTED_VALUE"""),82.96)</f>
        <v/>
      </c>
      <c r="E57" s="141">
        <f>IFERROR(__xludf.DUMMYFUNCTION("""COMPUTED_VALUE"""),82.91)</f>
        <v/>
      </c>
      <c r="F57" s="141">
        <f>IFERROR(__xludf.DUMMYFUNCTION("""COMPUTED_VALUE"""),82.91)</f>
        <v/>
      </c>
      <c r="G57" s="143">
        <f>IFERROR(__xludf.DUMMYFUNCTION("""COMPUTED_VALUE"""),8269543)</f>
        <v/>
      </c>
      <c r="H57" s="27" t="n"/>
    </row>
    <row r="58" ht="17.25" customHeight="1" s="322">
      <c r="A58" s="27" t="n"/>
      <c r="B58" s="506">
        <f>IFERROR(__xludf.DUMMYFUNCTION("""COMPUTED_VALUE"""),45911.6666666666)</f>
        <v/>
      </c>
      <c r="C58" s="141">
        <f>IFERROR(__xludf.DUMMYFUNCTION("""COMPUTED_VALUE"""),82.97)</f>
        <v/>
      </c>
      <c r="D58" s="141">
        <f>IFERROR(__xludf.DUMMYFUNCTION("""COMPUTED_VALUE"""),83)</f>
        <v/>
      </c>
      <c r="E58" s="141">
        <f>IFERROR(__xludf.DUMMYFUNCTION("""COMPUTED_VALUE"""),82.93)</f>
        <v/>
      </c>
      <c r="F58" s="141">
        <f>IFERROR(__xludf.DUMMYFUNCTION("""COMPUTED_VALUE"""),82.94)</f>
        <v/>
      </c>
      <c r="G58" s="143">
        <f>IFERROR(__xludf.DUMMYFUNCTION("""COMPUTED_VALUE"""),4892415)</f>
        <v/>
      </c>
      <c r="H58" s="27" t="n"/>
    </row>
    <row r="59" ht="17.25" customHeight="1" s="322">
      <c r="A59" s="27" t="n"/>
      <c r="B59" s="506">
        <f>IFERROR(__xludf.DUMMYFUNCTION("""COMPUTED_VALUE"""),45912.6666666666)</f>
        <v/>
      </c>
      <c r="C59" s="141">
        <f>IFERROR(__xludf.DUMMYFUNCTION("""COMPUTED_VALUE"""),82.94)</f>
        <v/>
      </c>
      <c r="D59" s="141">
        <f>IFERROR(__xludf.DUMMYFUNCTION("""COMPUTED_VALUE"""),82.94)</f>
        <v/>
      </c>
      <c r="E59" s="141">
        <f>IFERROR(__xludf.DUMMYFUNCTION("""COMPUTED_VALUE"""),82.9)</f>
        <v/>
      </c>
      <c r="F59" s="141">
        <f>IFERROR(__xludf.DUMMYFUNCTION("""COMPUTED_VALUE"""),82.93)</f>
        <v/>
      </c>
      <c r="G59" s="143">
        <f>IFERROR(__xludf.DUMMYFUNCTION("""COMPUTED_VALUE"""),3057474)</f>
        <v/>
      </c>
      <c r="H59" s="27" t="n"/>
    </row>
    <row r="60" ht="17.25" customHeight="1" s="322">
      <c r="A60" s="27" t="n"/>
      <c r="B60" s="506">
        <f>IFERROR(__xludf.DUMMYFUNCTION("""COMPUTED_VALUE"""),45915.6666666666)</f>
        <v/>
      </c>
      <c r="C60" s="141">
        <f>IFERROR(__xludf.DUMMYFUNCTION("""COMPUTED_VALUE"""),82.98)</f>
        <v/>
      </c>
      <c r="D60" s="141">
        <f>IFERROR(__xludf.DUMMYFUNCTION("""COMPUTED_VALUE"""),82.98)</f>
        <v/>
      </c>
      <c r="E60" s="141">
        <f>IFERROR(__xludf.DUMMYFUNCTION("""COMPUTED_VALUE"""),82.96)</f>
        <v/>
      </c>
      <c r="F60" s="141">
        <f>IFERROR(__xludf.DUMMYFUNCTION("""COMPUTED_VALUE"""),82.96)</f>
        <v/>
      </c>
      <c r="G60" s="143">
        <f>IFERROR(__xludf.DUMMYFUNCTION("""COMPUTED_VALUE"""),1917452)</f>
        <v/>
      </c>
      <c r="H60" s="27" t="n"/>
    </row>
    <row r="61" ht="17.25" customHeight="1" s="322">
      <c r="A61" s="27" t="n"/>
      <c r="B61" s="506">
        <f>IFERROR(__xludf.DUMMYFUNCTION("""COMPUTED_VALUE"""),45916.6666666666)</f>
        <v/>
      </c>
      <c r="C61" s="141">
        <f>IFERROR(__xludf.DUMMYFUNCTION("""COMPUTED_VALUE"""),82.99)</f>
        <v/>
      </c>
      <c r="D61" s="141">
        <f>IFERROR(__xludf.DUMMYFUNCTION("""COMPUTED_VALUE"""),83.02)</f>
        <v/>
      </c>
      <c r="E61" s="141">
        <f>IFERROR(__xludf.DUMMYFUNCTION("""COMPUTED_VALUE"""),82.98)</f>
        <v/>
      </c>
      <c r="F61" s="141">
        <f>IFERROR(__xludf.DUMMYFUNCTION("""COMPUTED_VALUE"""),83)</f>
        <v/>
      </c>
      <c r="G61" s="143">
        <f>IFERROR(__xludf.DUMMYFUNCTION("""COMPUTED_VALUE"""),2091170)</f>
        <v/>
      </c>
      <c r="H61" s="27" t="n"/>
    </row>
    <row r="62" ht="17.25" customHeight="1" s="322">
      <c r="A62" s="27" t="n"/>
      <c r="B62" s="506">
        <f>IFERROR(__xludf.DUMMYFUNCTION("""COMPUTED_VALUE"""),45917.6666666666)</f>
        <v/>
      </c>
      <c r="C62" s="141">
        <f>IFERROR(__xludf.DUMMYFUNCTION("""COMPUTED_VALUE"""),83.02)</f>
        <v/>
      </c>
      <c r="D62" s="141">
        <f>IFERROR(__xludf.DUMMYFUNCTION("""COMPUTED_VALUE"""),83.09)</f>
        <v/>
      </c>
      <c r="E62" s="141">
        <f>IFERROR(__xludf.DUMMYFUNCTION("""COMPUTED_VALUE"""),82.96)</f>
        <v/>
      </c>
      <c r="F62" s="141">
        <f>IFERROR(__xludf.DUMMYFUNCTION("""COMPUTED_VALUE"""),82.96)</f>
        <v/>
      </c>
      <c r="G62" s="143">
        <f>IFERROR(__xludf.DUMMYFUNCTION("""COMPUTED_VALUE"""),4243874)</f>
        <v/>
      </c>
      <c r="H62" s="27" t="n"/>
    </row>
    <row r="63" ht="17.25" customHeight="1" s="322">
      <c r="A63" s="27" t="n"/>
      <c r="B63" s="506">
        <f>IFERROR(__xludf.DUMMYFUNCTION("""COMPUTED_VALUE"""),45918.6666666666)</f>
        <v/>
      </c>
      <c r="C63" s="141">
        <f>IFERROR(__xludf.DUMMYFUNCTION("""COMPUTED_VALUE"""),82.93)</f>
        <v/>
      </c>
      <c r="D63" s="141">
        <f>IFERROR(__xludf.DUMMYFUNCTION("""COMPUTED_VALUE"""),82.96)</f>
        <v/>
      </c>
      <c r="E63" s="141">
        <f>IFERROR(__xludf.DUMMYFUNCTION("""COMPUTED_VALUE"""),82.91)</f>
        <v/>
      </c>
      <c r="F63" s="141">
        <f>IFERROR(__xludf.DUMMYFUNCTION("""COMPUTED_VALUE"""),82.93)</f>
        <v/>
      </c>
      <c r="G63" s="143">
        <f>IFERROR(__xludf.DUMMYFUNCTION("""COMPUTED_VALUE"""),2847610)</f>
        <v/>
      </c>
      <c r="H63" s="27" t="n"/>
    </row>
    <row r="64" ht="17.25" customHeight="1" s="322">
      <c r="A64" s="27" t="n"/>
      <c r="B64" s="506">
        <f>IFERROR(__xludf.DUMMYFUNCTION("""COMPUTED_VALUE"""),45919.6666666666)</f>
        <v/>
      </c>
      <c r="C64" s="141">
        <f>IFERROR(__xludf.DUMMYFUNCTION("""COMPUTED_VALUE"""),82.96)</f>
        <v/>
      </c>
      <c r="D64" s="141">
        <f>IFERROR(__xludf.DUMMYFUNCTION("""COMPUTED_VALUE"""),82.98)</f>
        <v/>
      </c>
      <c r="E64" s="141">
        <f>IFERROR(__xludf.DUMMYFUNCTION("""COMPUTED_VALUE"""),82.95)</f>
        <v/>
      </c>
      <c r="F64" s="141">
        <f>IFERROR(__xludf.DUMMYFUNCTION("""COMPUTED_VALUE"""),82.96)</f>
        <v/>
      </c>
      <c r="G64" s="143">
        <f>IFERROR(__xludf.DUMMYFUNCTION("""COMPUTED_VALUE"""),2197043)</f>
        <v/>
      </c>
      <c r="H64" s="27" t="n"/>
    </row>
    <row r="65" ht="17.25" customHeight="1" s="322">
      <c r="A65" s="27" t="n"/>
      <c r="B65" s="506">
        <f>IFERROR(__xludf.DUMMYFUNCTION("""COMPUTED_VALUE"""),45922.6666666666)</f>
        <v/>
      </c>
      <c r="C65" s="141">
        <f>IFERROR(__xludf.DUMMYFUNCTION("""COMPUTED_VALUE"""),82.97)</f>
        <v/>
      </c>
      <c r="D65" s="141">
        <f>IFERROR(__xludf.DUMMYFUNCTION("""COMPUTED_VALUE"""),82.98)</f>
        <v/>
      </c>
      <c r="E65" s="141">
        <f>IFERROR(__xludf.DUMMYFUNCTION("""COMPUTED_VALUE"""),82.92)</f>
        <v/>
      </c>
      <c r="F65" s="141">
        <f>IFERROR(__xludf.DUMMYFUNCTION("""COMPUTED_VALUE"""),82.92)</f>
        <v/>
      </c>
      <c r="G65" s="143">
        <f>IFERROR(__xludf.DUMMYFUNCTION("""COMPUTED_VALUE"""),1835836)</f>
        <v/>
      </c>
      <c r="H65" s="27" t="n"/>
    </row>
    <row r="66" ht="17.25" customHeight="1" s="322">
      <c r="A66" s="27" t="n"/>
      <c r="B66" s="506">
        <f>IFERROR(__xludf.DUMMYFUNCTION("""COMPUTED_VALUE"""),45923.6666666666)</f>
        <v/>
      </c>
      <c r="C66" s="141">
        <f>IFERROR(__xludf.DUMMYFUNCTION("""COMPUTED_VALUE"""),82.94)</f>
        <v/>
      </c>
      <c r="D66" s="141">
        <f>IFERROR(__xludf.DUMMYFUNCTION("""COMPUTED_VALUE"""),82.97)</f>
        <v/>
      </c>
      <c r="E66" s="141">
        <f>IFERROR(__xludf.DUMMYFUNCTION("""COMPUTED_VALUE"""),82.93)</f>
        <v/>
      </c>
      <c r="F66" s="141">
        <f>IFERROR(__xludf.DUMMYFUNCTION("""COMPUTED_VALUE"""),82.95)</f>
        <v/>
      </c>
      <c r="G66" s="143">
        <f>IFERROR(__xludf.DUMMYFUNCTION("""COMPUTED_VALUE"""),2433314)</f>
        <v/>
      </c>
      <c r="H66" s="27" t="n"/>
    </row>
    <row r="67" ht="17.25" customHeight="1" s="322">
      <c r="A67" s="27" t="n"/>
      <c r="B67" s="506">
        <f>IFERROR(__xludf.DUMMYFUNCTION("""COMPUTED_VALUE"""),45924.6666666666)</f>
        <v/>
      </c>
      <c r="C67" s="141">
        <f>IFERROR(__xludf.DUMMYFUNCTION("""COMPUTED_VALUE"""),82.94)</f>
        <v/>
      </c>
      <c r="D67" s="141">
        <f>IFERROR(__xludf.DUMMYFUNCTION("""COMPUTED_VALUE"""),82.95)</f>
        <v/>
      </c>
      <c r="E67" s="141">
        <f>IFERROR(__xludf.DUMMYFUNCTION("""COMPUTED_VALUE"""),82.91)</f>
        <v/>
      </c>
      <c r="F67" s="141">
        <f>IFERROR(__xludf.DUMMYFUNCTION("""COMPUTED_VALUE"""),82.91)</f>
        <v/>
      </c>
      <c r="G67" s="143">
        <f>IFERROR(__xludf.DUMMYFUNCTION("""COMPUTED_VALUE"""),3073966)</f>
        <v/>
      </c>
      <c r="H67" s="27" t="n"/>
    </row>
    <row r="68" ht="17.25" customHeight="1" s="322">
      <c r="A68" s="27" t="n"/>
      <c r="B68" s="506">
        <f>IFERROR(__xludf.DUMMYFUNCTION("""COMPUTED_VALUE"""),45925.6666666666)</f>
        <v/>
      </c>
      <c r="C68" s="141">
        <f>IFERROR(__xludf.DUMMYFUNCTION("""COMPUTED_VALUE"""),82.86)</f>
        <v/>
      </c>
      <c r="D68" s="141">
        <f>IFERROR(__xludf.DUMMYFUNCTION("""COMPUTED_VALUE"""),82.87)</f>
        <v/>
      </c>
      <c r="E68" s="141">
        <f>IFERROR(__xludf.DUMMYFUNCTION("""COMPUTED_VALUE"""),82.83)</f>
        <v/>
      </c>
      <c r="F68" s="141">
        <f>IFERROR(__xludf.DUMMYFUNCTION("""COMPUTED_VALUE"""),82.84)</f>
        <v/>
      </c>
      <c r="G68" s="143">
        <f>IFERROR(__xludf.DUMMYFUNCTION("""COMPUTED_VALUE"""),3458195)</f>
        <v/>
      </c>
      <c r="H68" s="27" t="n"/>
    </row>
    <row r="69" ht="17.25" customHeight="1" s="322">
      <c r="A69" s="27" t="n"/>
      <c r="B69" s="506">
        <f>IFERROR(__xludf.DUMMYFUNCTION("""COMPUTED_VALUE"""),45926.6666666666)</f>
        <v/>
      </c>
      <c r="C69" s="141">
        <f>IFERROR(__xludf.DUMMYFUNCTION("""COMPUTED_VALUE"""),82.87)</f>
        <v/>
      </c>
      <c r="D69" s="141">
        <f>IFERROR(__xludf.DUMMYFUNCTION("""COMPUTED_VALUE"""),82.9)</f>
        <v/>
      </c>
      <c r="E69" s="141">
        <f>IFERROR(__xludf.DUMMYFUNCTION("""COMPUTED_VALUE"""),82.85)</f>
        <v/>
      </c>
      <c r="F69" s="141">
        <f>IFERROR(__xludf.DUMMYFUNCTION("""COMPUTED_VALUE"""),82.89)</f>
        <v/>
      </c>
      <c r="G69" s="143">
        <f>IFERROR(__xludf.DUMMYFUNCTION("""COMPUTED_VALUE"""),2291720)</f>
        <v/>
      </c>
      <c r="H69" s="27" t="n"/>
    </row>
    <row r="70" ht="17.25" customHeight="1" s="322">
      <c r="A70" s="27" t="n"/>
      <c r="B70" s="506">
        <f>IFERROR(__xludf.DUMMYFUNCTION("""COMPUTED_VALUE"""),45929.6666666666)</f>
        <v/>
      </c>
      <c r="C70" s="141">
        <f>IFERROR(__xludf.DUMMYFUNCTION("""COMPUTED_VALUE"""),82.9)</f>
        <v/>
      </c>
      <c r="D70" s="141">
        <f>IFERROR(__xludf.DUMMYFUNCTION("""COMPUTED_VALUE"""),82.93)</f>
        <v/>
      </c>
      <c r="E70" s="141">
        <f>IFERROR(__xludf.DUMMYFUNCTION("""COMPUTED_VALUE"""),82.9)</f>
        <v/>
      </c>
      <c r="F70" s="141">
        <f>IFERROR(__xludf.DUMMYFUNCTION("""COMPUTED_VALUE"""),82.92)</f>
        <v/>
      </c>
      <c r="G70" s="143">
        <f>IFERROR(__xludf.DUMMYFUNCTION("""COMPUTED_VALUE"""),3837216)</f>
        <v/>
      </c>
      <c r="H70" s="27" t="n"/>
    </row>
    <row r="71" ht="17.25" customHeight="1" s="322">
      <c r="A71" s="27" t="n"/>
      <c r="B71" s="506">
        <f>IFERROR(__xludf.DUMMYFUNCTION("""COMPUTED_VALUE"""),45930.6666666666)</f>
        <v/>
      </c>
      <c r="C71" s="141">
        <f>IFERROR(__xludf.DUMMYFUNCTION("""COMPUTED_VALUE"""),82.95)</f>
        <v/>
      </c>
      <c r="D71" s="141">
        <f>IFERROR(__xludf.DUMMYFUNCTION("""COMPUTED_VALUE"""),82.99)</f>
        <v/>
      </c>
      <c r="E71" s="141">
        <f>IFERROR(__xludf.DUMMYFUNCTION("""COMPUTED_VALUE"""),82.95)</f>
        <v/>
      </c>
      <c r="F71" s="141">
        <f>IFERROR(__xludf.DUMMYFUNCTION("""COMPUTED_VALUE"""),82.96)</f>
        <v/>
      </c>
      <c r="G71" s="143">
        <f>IFERROR(__xludf.DUMMYFUNCTION("""COMPUTED_VALUE"""),4044116)</f>
        <v/>
      </c>
      <c r="H71" s="27" t="n"/>
    </row>
    <row r="72" ht="17.25" customHeight="1" s="322">
      <c r="A72" s="27" t="n"/>
      <c r="B72" s="506">
        <f>IFERROR(__xludf.DUMMYFUNCTION("""COMPUTED_VALUE"""),45931.6666666666)</f>
        <v/>
      </c>
      <c r="C72" s="141">
        <f>IFERROR(__xludf.DUMMYFUNCTION("""COMPUTED_VALUE"""),82.81)</f>
        <v/>
      </c>
      <c r="D72" s="141">
        <f>IFERROR(__xludf.DUMMYFUNCTION("""COMPUTED_VALUE"""),82.82)</f>
        <v/>
      </c>
      <c r="E72" s="141">
        <f>IFERROR(__xludf.DUMMYFUNCTION("""COMPUTED_VALUE"""),82.77)</f>
        <v/>
      </c>
      <c r="F72" s="141">
        <f>IFERROR(__xludf.DUMMYFUNCTION("""COMPUTED_VALUE"""),82.8)</f>
        <v/>
      </c>
      <c r="G72" s="143">
        <f>IFERROR(__xludf.DUMMYFUNCTION("""COMPUTED_VALUE"""),4194432)</f>
        <v/>
      </c>
      <c r="H72" s="27" t="n"/>
    </row>
    <row r="73" ht="17.25" customHeight="1" s="322">
      <c r="A73" s="27" t="n"/>
      <c r="B73" s="506">
        <f>IFERROR(__xludf.DUMMYFUNCTION("""COMPUTED_VALUE"""),45932.6666666666)</f>
        <v/>
      </c>
      <c r="C73" s="141">
        <f>IFERROR(__xludf.DUMMYFUNCTION("""COMPUTED_VALUE"""),82.79)</f>
        <v/>
      </c>
      <c r="D73" s="141">
        <f>IFERROR(__xludf.DUMMYFUNCTION("""COMPUTED_VALUE"""),82.82)</f>
        <v/>
      </c>
      <c r="E73" s="141">
        <f>IFERROR(__xludf.DUMMYFUNCTION("""COMPUTED_VALUE"""),82.77)</f>
        <v/>
      </c>
      <c r="F73" s="141">
        <f>IFERROR(__xludf.DUMMYFUNCTION("""COMPUTED_VALUE"""),82.82)</f>
        <v/>
      </c>
      <c r="G73" s="143">
        <f>IFERROR(__xludf.DUMMYFUNCTION("""COMPUTED_VALUE"""),1896919)</f>
        <v/>
      </c>
      <c r="H73" s="27" t="n"/>
    </row>
    <row r="74" ht="17.25" customHeight="1" s="322">
      <c r="A74" s="27" t="n"/>
      <c r="B74" s="506">
        <f>IFERROR(__xludf.DUMMYFUNCTION("""COMPUTED_VALUE"""),45933.6666666666)</f>
        <v/>
      </c>
      <c r="C74" s="141">
        <f>IFERROR(__xludf.DUMMYFUNCTION("""COMPUTED_VALUE"""),82.82)</f>
        <v/>
      </c>
      <c r="D74" s="141">
        <f>IFERROR(__xludf.DUMMYFUNCTION("""COMPUTED_VALUE"""),82.85)</f>
        <v/>
      </c>
      <c r="E74" s="141">
        <f>IFERROR(__xludf.DUMMYFUNCTION("""COMPUTED_VALUE"""),82.79)</f>
        <v/>
      </c>
      <c r="F74" s="141">
        <f>IFERROR(__xludf.DUMMYFUNCTION("""COMPUTED_VALUE"""),82.79)</f>
        <v/>
      </c>
      <c r="G74" s="143">
        <f>IFERROR(__xludf.DUMMYFUNCTION("""COMPUTED_VALUE"""),2282252)</f>
        <v/>
      </c>
      <c r="H74" s="27" t="n"/>
    </row>
    <row r="75" ht="17.25" customHeight="1" s="322">
      <c r="A75" s="27" t="n"/>
      <c r="B75" s="506">
        <f>IFERROR(__xludf.DUMMYFUNCTION("""COMPUTED_VALUE"""),45936.6666666666)</f>
        <v/>
      </c>
      <c r="C75" s="141">
        <f>IFERROR(__xludf.DUMMYFUNCTION("""COMPUTED_VALUE"""),82.78)</f>
        <v/>
      </c>
      <c r="D75" s="141">
        <f>IFERROR(__xludf.DUMMYFUNCTION("""COMPUTED_VALUE"""),82.8)</f>
        <v/>
      </c>
      <c r="E75" s="141">
        <f>IFERROR(__xludf.DUMMYFUNCTION("""COMPUTED_VALUE"""),82.77)</f>
        <v/>
      </c>
      <c r="F75" s="141">
        <f>IFERROR(__xludf.DUMMYFUNCTION("""COMPUTED_VALUE"""),82.77)</f>
        <v/>
      </c>
      <c r="G75" s="143">
        <f>IFERROR(__xludf.DUMMYFUNCTION("""COMPUTED_VALUE"""),2637263)</f>
        <v/>
      </c>
      <c r="H75" s="27" t="n"/>
    </row>
    <row r="76" ht="17.25" customHeight="1" s="322">
      <c r="A76" s="27" t="n"/>
      <c r="B76" s="506">
        <f>IFERROR(__xludf.DUMMYFUNCTION("""COMPUTED_VALUE"""),45937.6666666666)</f>
        <v/>
      </c>
      <c r="C76" s="141">
        <f>IFERROR(__xludf.DUMMYFUNCTION("""COMPUTED_VALUE"""),82.79)</f>
        <v/>
      </c>
      <c r="D76" s="141">
        <f>IFERROR(__xludf.DUMMYFUNCTION("""COMPUTED_VALUE"""),82.83)</f>
        <v/>
      </c>
      <c r="E76" s="141">
        <f>IFERROR(__xludf.DUMMYFUNCTION("""COMPUTED_VALUE"""),82.78)</f>
        <v/>
      </c>
      <c r="F76" s="141">
        <f>IFERROR(__xludf.DUMMYFUNCTION("""COMPUTED_VALUE"""),82.81)</f>
        <v/>
      </c>
      <c r="G76" s="143">
        <f>IFERROR(__xludf.DUMMYFUNCTION("""COMPUTED_VALUE"""),2301831)</f>
        <v/>
      </c>
      <c r="H76" s="27" t="n"/>
    </row>
    <row r="77" ht="17.25" customHeight="1" s="322">
      <c r="A77" s="27" t="n"/>
      <c r="B77" s="506">
        <f>IFERROR(__xludf.DUMMYFUNCTION("""COMPUTED_VALUE"""),45938.6666666666)</f>
        <v/>
      </c>
      <c r="C77" s="141">
        <f>IFERROR(__xludf.DUMMYFUNCTION("""COMPUTED_VALUE"""),82.84)</f>
        <v/>
      </c>
      <c r="D77" s="141">
        <f>IFERROR(__xludf.DUMMYFUNCTION("""COMPUTED_VALUE"""),82.84)</f>
        <v/>
      </c>
      <c r="E77" s="141">
        <f>IFERROR(__xludf.DUMMYFUNCTION("""COMPUTED_VALUE"""),82.79)</f>
        <v/>
      </c>
      <c r="F77" s="141">
        <f>IFERROR(__xludf.DUMMYFUNCTION("""COMPUTED_VALUE"""),82.8)</f>
        <v/>
      </c>
      <c r="G77" s="143">
        <f>IFERROR(__xludf.DUMMYFUNCTION("""COMPUTED_VALUE"""),2942050)</f>
        <v/>
      </c>
      <c r="H77" s="27" t="n"/>
    </row>
    <row r="78" ht="17.25" customHeight="1" s="322">
      <c r="A78" s="27" t="n"/>
      <c r="B78" s="506">
        <f>IFERROR(__xludf.DUMMYFUNCTION("""COMPUTED_VALUE"""),45939.6666666666)</f>
        <v/>
      </c>
      <c r="C78" s="141">
        <f>IFERROR(__xludf.DUMMYFUNCTION("""COMPUTED_VALUE"""),82.8)</f>
        <v/>
      </c>
      <c r="D78" s="141">
        <f>IFERROR(__xludf.DUMMYFUNCTION("""COMPUTED_VALUE"""),82.81)</f>
        <v/>
      </c>
      <c r="E78" s="141">
        <f>IFERROR(__xludf.DUMMYFUNCTION("""COMPUTED_VALUE"""),82.78)</f>
        <v/>
      </c>
      <c r="F78" s="141">
        <f>IFERROR(__xludf.DUMMYFUNCTION("""COMPUTED_VALUE"""),82.79)</f>
        <v/>
      </c>
      <c r="G78" s="143">
        <f>IFERROR(__xludf.DUMMYFUNCTION("""COMPUTED_VALUE"""),2884793)</f>
        <v/>
      </c>
      <c r="H78" s="27" t="n"/>
    </row>
    <row r="79" ht="17.25" customHeight="1" s="322">
      <c r="A79" s="27" t="n"/>
      <c r="B79" s="506">
        <f>IFERROR(__xludf.DUMMYFUNCTION("""COMPUTED_VALUE"""),45940.6666666666)</f>
        <v/>
      </c>
      <c r="C79" s="141">
        <f>IFERROR(__xludf.DUMMYFUNCTION("""COMPUTED_VALUE"""),82.88)</f>
        <v/>
      </c>
      <c r="D79" s="141">
        <f>IFERROR(__xludf.DUMMYFUNCTION("""COMPUTED_VALUE"""),82.96)</f>
        <v/>
      </c>
      <c r="E79" s="141">
        <f>IFERROR(__xludf.DUMMYFUNCTION("""COMPUTED_VALUE"""),82.85)</f>
        <v/>
      </c>
      <c r="F79" s="141">
        <f>IFERROR(__xludf.DUMMYFUNCTION("""COMPUTED_VALUE"""),82.93)</f>
        <v/>
      </c>
      <c r="G79" s="143">
        <f>IFERROR(__xludf.DUMMYFUNCTION("""COMPUTED_VALUE"""),5552887)</f>
        <v/>
      </c>
      <c r="H79" s="27" t="n"/>
    </row>
    <row r="80" ht="17.25" customHeight="1" s="322">
      <c r="A80" s="27" t="n"/>
      <c r="B80" s="506">
        <f>IFERROR(__xludf.DUMMYFUNCTION("""COMPUTED_VALUE"""),45943.6666666666)</f>
        <v/>
      </c>
      <c r="C80" s="141">
        <f>IFERROR(__xludf.DUMMYFUNCTION("""COMPUTED_VALUE"""),82.95)</f>
        <v/>
      </c>
      <c r="D80" s="141">
        <f>IFERROR(__xludf.DUMMYFUNCTION("""COMPUTED_VALUE"""),83.09)</f>
        <v/>
      </c>
      <c r="E80" s="141">
        <f>IFERROR(__xludf.DUMMYFUNCTION("""COMPUTED_VALUE"""),82.93)</f>
        <v/>
      </c>
      <c r="F80" s="141">
        <f>IFERROR(__xludf.DUMMYFUNCTION("""COMPUTED_VALUE"""),83.09)</f>
        <v/>
      </c>
      <c r="G80" s="143">
        <f>IFERROR(__xludf.DUMMYFUNCTION("""COMPUTED_VALUE"""),9266422)</f>
        <v/>
      </c>
      <c r="H80" s="27" t="n"/>
    </row>
    <row r="81" ht="17.25" customHeight="1" s="322">
      <c r="A81" s="27" t="n"/>
      <c r="B81" s="506">
        <f>IFERROR(__xludf.DUMMYFUNCTION("""COMPUTED_VALUE"""),45944.6666666666)</f>
        <v/>
      </c>
      <c r="C81" s="141">
        <f>IFERROR(__xludf.DUMMYFUNCTION("""COMPUTED_VALUE"""),83)</f>
        <v/>
      </c>
      <c r="D81" s="141">
        <f>IFERROR(__xludf.DUMMYFUNCTION("""COMPUTED_VALUE"""),83.03)</f>
        <v/>
      </c>
      <c r="E81" s="141">
        <f>IFERROR(__xludf.DUMMYFUNCTION("""COMPUTED_VALUE"""),82.98)</f>
        <v/>
      </c>
      <c r="F81" s="141">
        <f>IFERROR(__xludf.DUMMYFUNCTION("""COMPUTED_VALUE"""),83.03)</f>
        <v/>
      </c>
      <c r="G81" s="143">
        <f>IFERROR(__xludf.DUMMYFUNCTION("""COMPUTED_VALUE"""),6221224)</f>
        <v/>
      </c>
      <c r="H81" s="27" t="n"/>
    </row>
    <row r="82" ht="17.25" customHeight="1" s="322">
      <c r="A82" s="27" t="n"/>
      <c r="B82" s="506">
        <f>IFERROR(__xludf.DUMMYFUNCTION("""COMPUTED_VALUE"""),45945.6666666666)</f>
        <v/>
      </c>
      <c r="C82" s="141">
        <f>IFERROR(__xludf.DUMMYFUNCTION("""COMPUTED_VALUE"""),83)</f>
        <v/>
      </c>
      <c r="D82" s="141">
        <f>IFERROR(__xludf.DUMMYFUNCTION("""COMPUTED_VALUE"""),83.02)</f>
        <v/>
      </c>
      <c r="E82" s="141">
        <f>IFERROR(__xludf.DUMMYFUNCTION("""COMPUTED_VALUE"""),82.98)</f>
        <v/>
      </c>
      <c r="F82" s="141">
        <f>IFERROR(__xludf.DUMMYFUNCTION("""COMPUTED_VALUE"""),82.99)</f>
        <v/>
      </c>
      <c r="G82" s="143">
        <f>IFERROR(__xludf.DUMMYFUNCTION("""COMPUTED_VALUE"""),3720308)</f>
        <v/>
      </c>
      <c r="H82" s="27" t="n"/>
    </row>
    <row r="83" ht="17.25" customHeight="1" s="322">
      <c r="A83" s="27" t="n"/>
      <c r="B83" s="506">
        <f>IFERROR(__xludf.DUMMYFUNCTION("""COMPUTED_VALUE"""),45946.6666666666)</f>
        <v/>
      </c>
      <c r="C83" s="141">
        <f>IFERROR(__xludf.DUMMYFUNCTION("""COMPUTED_VALUE"""),82.98)</f>
        <v/>
      </c>
      <c r="D83" s="141">
        <f>IFERROR(__xludf.DUMMYFUNCTION("""COMPUTED_VALUE"""),83.13)</f>
        <v/>
      </c>
      <c r="E83" s="141">
        <f>IFERROR(__xludf.DUMMYFUNCTION("""COMPUTED_VALUE"""),82.98)</f>
        <v/>
      </c>
      <c r="F83" s="141">
        <f>IFERROR(__xludf.DUMMYFUNCTION("""COMPUTED_VALUE"""),83.1)</f>
        <v/>
      </c>
      <c r="G83" s="143">
        <f>IFERROR(__xludf.DUMMYFUNCTION("""COMPUTED_VALUE"""),5563813)</f>
        <v/>
      </c>
      <c r="H83" s="27" t="n"/>
    </row>
    <row r="84" ht="17.25" customHeight="1" s="322">
      <c r="A84" s="27" t="n"/>
      <c r="B84" s="506">
        <f>IFERROR(__xludf.DUMMYFUNCTION("""COMPUTED_VALUE"""),45947.6666666666)</f>
        <v/>
      </c>
      <c r="C84" s="141">
        <f>IFERROR(__xludf.DUMMYFUNCTION("""COMPUTED_VALUE"""),83.1)</f>
        <v/>
      </c>
      <c r="D84" s="141">
        <f>IFERROR(__xludf.DUMMYFUNCTION("""COMPUTED_VALUE"""),83.12)</f>
        <v/>
      </c>
      <c r="E84" s="141">
        <f>IFERROR(__xludf.DUMMYFUNCTION("""COMPUTED_VALUE"""),83.07)</f>
        <v/>
      </c>
      <c r="F84" s="141">
        <f>IFERROR(__xludf.DUMMYFUNCTION("""COMPUTED_VALUE"""),83.09)</f>
        <v/>
      </c>
      <c r="G84" s="143">
        <f>IFERROR(__xludf.DUMMYFUNCTION("""COMPUTED_VALUE"""),3354775)</f>
        <v/>
      </c>
      <c r="H84" s="27" t="n"/>
    </row>
    <row r="85" ht="17.25" customHeight="1" s="322">
      <c r="A85" s="27" t="n"/>
      <c r="B85" s="506">
        <f>IFERROR(__xludf.DUMMYFUNCTION("""COMPUTED_VALUE"""),45950.6666666666)</f>
        <v/>
      </c>
      <c r="C85" s="141">
        <f>IFERROR(__xludf.DUMMYFUNCTION("""COMPUTED_VALUE"""),83.1)</f>
        <v/>
      </c>
      <c r="D85" s="141">
        <f>IFERROR(__xludf.DUMMYFUNCTION("""COMPUTED_VALUE"""),83.1)</f>
        <v/>
      </c>
      <c r="E85" s="141">
        <f>IFERROR(__xludf.DUMMYFUNCTION("""COMPUTED_VALUE"""),83.07)</f>
        <v/>
      </c>
      <c r="F85" s="141">
        <f>IFERROR(__xludf.DUMMYFUNCTION("""COMPUTED_VALUE"""),83.1)</f>
        <v/>
      </c>
      <c r="G85" s="143">
        <f>IFERROR(__xludf.DUMMYFUNCTION("""COMPUTED_VALUE"""),3331847)</f>
        <v/>
      </c>
      <c r="H85" s="27" t="n"/>
    </row>
    <row r="86" ht="17.25" customHeight="1" s="322">
      <c r="A86" s="27" t="n"/>
      <c r="B86" s="506">
        <f>IFERROR(__xludf.DUMMYFUNCTION("""COMPUTED_VALUE"""),45951.6666666666)</f>
        <v/>
      </c>
      <c r="C86" s="141">
        <f>IFERROR(__xludf.DUMMYFUNCTION("""COMPUTED_VALUE"""),83.12)</f>
        <v/>
      </c>
      <c r="D86" s="141">
        <f>IFERROR(__xludf.DUMMYFUNCTION("""COMPUTED_VALUE"""),83.13)</f>
        <v/>
      </c>
      <c r="E86" s="141">
        <f>IFERROR(__xludf.DUMMYFUNCTION("""COMPUTED_VALUE"""),83.1)</f>
        <v/>
      </c>
      <c r="F86" s="141">
        <f>IFERROR(__xludf.DUMMYFUNCTION("""COMPUTED_VALUE"""),83.12)</f>
        <v/>
      </c>
      <c r="G86" s="143">
        <f>IFERROR(__xludf.DUMMYFUNCTION("""COMPUTED_VALUE"""),4726847)</f>
        <v/>
      </c>
      <c r="H86" s="27" t="n"/>
    </row>
    <row r="87" ht="17.25" customHeight="1" s="322">
      <c r="A87" s="27" t="n"/>
      <c r="B87" s="506">
        <f>IFERROR(__xludf.DUMMYFUNCTION("""COMPUTED_VALUE"""),45952.6666666666)</f>
        <v/>
      </c>
      <c r="C87" s="141">
        <f>IFERROR(__xludf.DUMMYFUNCTION("""COMPUTED_VALUE"""),83.1)</f>
        <v/>
      </c>
      <c r="D87" s="141">
        <f>IFERROR(__xludf.DUMMYFUNCTION("""COMPUTED_VALUE"""),83.14)</f>
        <v/>
      </c>
      <c r="E87" s="141">
        <f>IFERROR(__xludf.DUMMYFUNCTION("""COMPUTED_VALUE"""),83.1)</f>
        <v/>
      </c>
      <c r="F87" s="141">
        <f>IFERROR(__xludf.DUMMYFUNCTION("""COMPUTED_VALUE"""),83.12)</f>
        <v/>
      </c>
      <c r="G87" s="143">
        <f>IFERROR(__xludf.DUMMYFUNCTION("""COMPUTED_VALUE"""),6952989)</f>
        <v/>
      </c>
      <c r="H87" s="27" t="n"/>
    </row>
    <row r="88" ht="17.25" customHeight="1" s="322">
      <c r="A88" s="27" t="n"/>
      <c r="B88" s="506">
        <f>IFERROR(__xludf.DUMMYFUNCTION("""COMPUTED_VALUE"""),45953.6666666666)</f>
        <v/>
      </c>
      <c r="C88" s="141">
        <f>IFERROR(__xludf.DUMMYFUNCTION("""COMPUTED_VALUE"""),83.1)</f>
        <v/>
      </c>
      <c r="D88" s="141">
        <f>IFERROR(__xludf.DUMMYFUNCTION("""COMPUTED_VALUE"""),83.11)</f>
        <v/>
      </c>
      <c r="E88" s="141">
        <f>IFERROR(__xludf.DUMMYFUNCTION("""COMPUTED_VALUE"""),83.06)</f>
        <v/>
      </c>
      <c r="F88" s="141">
        <f>IFERROR(__xludf.DUMMYFUNCTION("""COMPUTED_VALUE"""),83.06)</f>
        <v/>
      </c>
      <c r="G88" s="143">
        <f>IFERROR(__xludf.DUMMYFUNCTION("""COMPUTED_VALUE"""),4405478)</f>
        <v/>
      </c>
      <c r="H88" s="27" t="n"/>
    </row>
    <row r="89" ht="17.25" customHeight="1" s="322">
      <c r="A89" s="27" t="n"/>
      <c r="B89" s="506">
        <f>IFERROR(__xludf.DUMMYFUNCTION("""COMPUTED_VALUE"""),45954.6666666666)</f>
        <v/>
      </c>
      <c r="C89" s="141">
        <f>IFERROR(__xludf.DUMMYFUNCTION("""COMPUTED_VALUE"""),83.12)</f>
        <v/>
      </c>
      <c r="D89" s="141">
        <f>IFERROR(__xludf.DUMMYFUNCTION("""COMPUTED_VALUE"""),83.13)</f>
        <v/>
      </c>
      <c r="E89" s="141">
        <f>IFERROR(__xludf.DUMMYFUNCTION("""COMPUTED_VALUE"""),83.09)</f>
        <v/>
      </c>
      <c r="F89" s="141">
        <f>IFERROR(__xludf.DUMMYFUNCTION("""COMPUTED_VALUE"""),83.11)</f>
        <v/>
      </c>
      <c r="G89" s="143">
        <f>IFERROR(__xludf.DUMMYFUNCTION("""COMPUTED_VALUE"""),2293471)</f>
        <v/>
      </c>
      <c r="H89" s="27" t="n"/>
    </row>
    <row r="90" ht="17.25" customHeight="1" s="322">
      <c r="A90" s="27" t="n"/>
      <c r="B90" s="506">
        <f>IFERROR(__xludf.DUMMYFUNCTION("""COMPUTED_VALUE"""),45957.6666666666)</f>
        <v/>
      </c>
      <c r="C90" s="141">
        <f>IFERROR(__xludf.DUMMYFUNCTION("""COMPUTED_VALUE"""),83.09)</f>
        <v/>
      </c>
      <c r="D90" s="141">
        <f>IFERROR(__xludf.DUMMYFUNCTION("""COMPUTED_VALUE"""),83.1)</f>
        <v/>
      </c>
      <c r="E90" s="141">
        <f>IFERROR(__xludf.DUMMYFUNCTION("""COMPUTED_VALUE"""),83.06)</f>
        <v/>
      </c>
      <c r="F90" s="141">
        <f>IFERROR(__xludf.DUMMYFUNCTION("""COMPUTED_VALUE"""),83.09)</f>
        <v/>
      </c>
      <c r="G90" s="143">
        <f>IFERROR(__xludf.DUMMYFUNCTION("""COMPUTED_VALUE"""),6043823)</f>
        <v/>
      </c>
      <c r="H90" s="27" t="n"/>
    </row>
    <row r="91" ht="17.25" customHeight="1" s="322">
      <c r="A91" s="27" t="n"/>
      <c r="B91" s="506">
        <f>IFERROR(__xludf.DUMMYFUNCTION("""COMPUTED_VALUE"""),45958.6666666666)</f>
        <v/>
      </c>
      <c r="C91" s="141">
        <f>IFERROR(__xludf.DUMMYFUNCTION("""COMPUTED_VALUE"""),83.08)</f>
        <v/>
      </c>
      <c r="D91" s="141">
        <f>IFERROR(__xludf.DUMMYFUNCTION("""COMPUTED_VALUE"""),83.11)</f>
        <v/>
      </c>
      <c r="E91" s="141">
        <f>IFERROR(__xludf.DUMMYFUNCTION("""COMPUTED_VALUE"""),83.07)</f>
        <v/>
      </c>
      <c r="F91" s="141">
        <f>IFERROR(__xludf.DUMMYFUNCTION("""COMPUTED_VALUE"""),83.1)</f>
        <v/>
      </c>
      <c r="G91" s="143">
        <f>IFERROR(__xludf.DUMMYFUNCTION("""COMPUTED_VALUE"""),6114748)</f>
        <v/>
      </c>
      <c r="H91" s="27" t="n"/>
    </row>
    <row r="92" ht="17.25" customHeight="1" s="322">
      <c r="A92" s="27" t="n"/>
      <c r="B92" s="506">
        <f>IFERROR(__xludf.DUMMYFUNCTION("""COMPUTED_VALUE"""),45959.6666666666)</f>
        <v/>
      </c>
      <c r="C92" s="141">
        <f>IFERROR(__xludf.DUMMYFUNCTION("""COMPUTED_VALUE"""),83.11)</f>
        <v/>
      </c>
      <c r="D92" s="141">
        <f>IFERROR(__xludf.DUMMYFUNCTION("""COMPUTED_VALUE"""),83.11)</f>
        <v/>
      </c>
      <c r="E92" s="141">
        <f>IFERROR(__xludf.DUMMYFUNCTION("""COMPUTED_VALUE"""),82.93)</f>
        <v/>
      </c>
      <c r="F92" s="141">
        <f>IFERROR(__xludf.DUMMYFUNCTION("""COMPUTED_VALUE"""),82.94)</f>
        <v/>
      </c>
      <c r="G92" s="143">
        <f>IFERROR(__xludf.DUMMYFUNCTION("""COMPUTED_VALUE"""),5335003)</f>
        <v/>
      </c>
      <c r="H92" s="27" t="n"/>
    </row>
    <row r="93" ht="17.25" customHeight="1" s="322">
      <c r="A93" s="27" t="n"/>
      <c r="B93" s="506">
        <f>IFERROR(__xludf.DUMMYFUNCTION("""COMPUTED_VALUE"""),45960.6666666666)</f>
        <v/>
      </c>
      <c r="C93" s="141">
        <f>IFERROR(__xludf.DUMMYFUNCTION("""COMPUTED_VALUE"""),82.92)</f>
        <v/>
      </c>
      <c r="D93" s="141">
        <f>IFERROR(__xludf.DUMMYFUNCTION("""COMPUTED_VALUE"""),82.97)</f>
        <v/>
      </c>
      <c r="E93" s="141">
        <f>IFERROR(__xludf.DUMMYFUNCTION("""COMPUTED_VALUE"""),82.91)</f>
        <v/>
      </c>
      <c r="F93" s="141">
        <f>IFERROR(__xludf.DUMMYFUNCTION("""COMPUTED_VALUE"""),82.95)</f>
        <v/>
      </c>
      <c r="G93" s="143">
        <f>IFERROR(__xludf.DUMMYFUNCTION("""COMPUTED_VALUE"""),3799462)</f>
        <v/>
      </c>
      <c r="H93" s="27" t="n"/>
    </row>
    <row r="94" ht="17.25" customHeight="1" s="322">
      <c r="A94" s="27" t="n"/>
      <c r="B94" s="506">
        <f>IFERROR(__xludf.DUMMYFUNCTION("""COMPUTED_VALUE"""),45961.6666666666)</f>
        <v/>
      </c>
      <c r="C94" s="141">
        <f>IFERROR(__xludf.DUMMYFUNCTION("""COMPUTED_VALUE"""),82.98)</f>
        <v/>
      </c>
      <c r="D94" s="141">
        <f>IFERROR(__xludf.DUMMYFUNCTION("""COMPUTED_VALUE"""),82.99)</f>
        <v/>
      </c>
      <c r="E94" s="141">
        <f>IFERROR(__xludf.DUMMYFUNCTION("""COMPUTED_VALUE"""),82.96)</f>
        <v/>
      </c>
      <c r="F94" s="141">
        <f>IFERROR(__xludf.DUMMYFUNCTION("""COMPUTED_VALUE"""),82.98)</f>
        <v/>
      </c>
      <c r="G94" s="143">
        <f>IFERROR(__xludf.DUMMYFUNCTION("""COMPUTED_VALUE"""),3593078)</f>
        <v/>
      </c>
      <c r="H94" s="27" t="n"/>
    </row>
    <row r="95" ht="17.25" customHeight="1" s="322">
      <c r="A95" s="27" t="n"/>
      <c r="B95" s="506">
        <f>IFERROR(__xludf.DUMMYFUNCTION("""COMPUTED_VALUE"""),45964.6666666666)</f>
        <v/>
      </c>
      <c r="C95" s="141">
        <f>IFERROR(__xludf.DUMMYFUNCTION("""COMPUTED_VALUE"""),82.71)</f>
        <v/>
      </c>
      <c r="D95" s="141">
        <f>IFERROR(__xludf.DUMMYFUNCTION("""COMPUTED_VALUE"""),82.75)</f>
        <v/>
      </c>
      <c r="E95" s="141">
        <f>IFERROR(__xludf.DUMMYFUNCTION("""COMPUTED_VALUE"""),82.71)</f>
        <v/>
      </c>
      <c r="F95" s="141">
        <f>IFERROR(__xludf.DUMMYFUNCTION("""COMPUTED_VALUE"""),82.72)</f>
        <v/>
      </c>
      <c r="G95" s="143">
        <f>IFERROR(__xludf.DUMMYFUNCTION("""COMPUTED_VALUE"""),5418880)</f>
        <v/>
      </c>
      <c r="H95" s="27" t="n"/>
    </row>
    <row r="96" ht="17.25" customHeight="1" s="322">
      <c r="A96" s="27" t="n"/>
      <c r="B96" s="506">
        <f>IFERROR(__xludf.DUMMYFUNCTION("""COMPUTED_VALUE"""),45965.6666666666)</f>
        <v/>
      </c>
      <c r="C96" s="141">
        <f>IFERROR(__xludf.DUMMYFUNCTION("""COMPUTED_VALUE"""),82.76)</f>
        <v/>
      </c>
      <c r="D96" s="141">
        <f>IFERROR(__xludf.DUMMYFUNCTION("""COMPUTED_VALUE"""),82.78)</f>
        <v/>
      </c>
      <c r="E96" s="141">
        <f>IFERROR(__xludf.DUMMYFUNCTION("""COMPUTED_VALUE"""),82.75)</f>
        <v/>
      </c>
      <c r="F96" s="141">
        <f>IFERROR(__xludf.DUMMYFUNCTION("""COMPUTED_VALUE"""),82.75)</f>
        <v/>
      </c>
      <c r="G96" s="143">
        <f>IFERROR(__xludf.DUMMYFUNCTION("""COMPUTED_VALUE"""),6502044)</f>
        <v/>
      </c>
      <c r="H96" s="27" t="n"/>
    </row>
    <row r="97" ht="17.25" customHeight="1" s="322">
      <c r="A97" s="27" t="n"/>
      <c r="B97" s="506">
        <f>IFERROR(__xludf.DUMMYFUNCTION("""COMPUTED_VALUE"""),45966.6666666666)</f>
        <v/>
      </c>
      <c r="C97" s="141">
        <f>IFERROR(__xludf.DUMMYFUNCTION("""COMPUTED_VALUE"""),82.75)</f>
        <v/>
      </c>
      <c r="D97" s="141">
        <f>IFERROR(__xludf.DUMMYFUNCTION("""COMPUTED_VALUE"""),82.76)</f>
        <v/>
      </c>
      <c r="E97" s="141">
        <f>IFERROR(__xludf.DUMMYFUNCTION("""COMPUTED_VALUE"""),82.68)</f>
        <v/>
      </c>
      <c r="F97" s="141">
        <f>IFERROR(__xludf.DUMMYFUNCTION("""COMPUTED_VALUE"""),82.69)</f>
        <v/>
      </c>
      <c r="G97" s="143">
        <f>IFERROR(__xludf.DUMMYFUNCTION("""COMPUTED_VALUE"""),3952622)</f>
        <v/>
      </c>
      <c r="H97" s="27" t="n"/>
    </row>
    <row r="98" ht="17.25" customHeight="1" s="322">
      <c r="A98" s="27" t="n"/>
      <c r="B98" s="506">
        <f>IFERROR(__xludf.DUMMYFUNCTION("""COMPUTED_VALUE"""),45967.6666666666)</f>
        <v/>
      </c>
      <c r="C98" s="141">
        <f>IFERROR(__xludf.DUMMYFUNCTION("""COMPUTED_VALUE"""),82.78)</f>
        <v/>
      </c>
      <c r="D98" s="141">
        <f>IFERROR(__xludf.DUMMYFUNCTION("""COMPUTED_VALUE"""),82.82)</f>
        <v/>
      </c>
      <c r="E98" s="141">
        <f>IFERROR(__xludf.DUMMYFUNCTION("""COMPUTED_VALUE"""),82.77)</f>
        <v/>
      </c>
      <c r="F98" s="141">
        <f>IFERROR(__xludf.DUMMYFUNCTION("""COMPUTED_VALUE"""),82.79)</f>
        <v/>
      </c>
      <c r="G98" s="143">
        <f>IFERROR(__xludf.DUMMYFUNCTION("""COMPUTED_VALUE"""),3725171)</f>
        <v/>
      </c>
      <c r="H98" s="27" t="n"/>
    </row>
    <row r="99" ht="17.25" customHeight="1" s="322">
      <c r="A99" s="27" t="n"/>
      <c r="B99" s="506">
        <f>IFERROR(__xludf.DUMMYFUNCTION("""COMPUTED_VALUE"""),45968.6666666666)</f>
        <v/>
      </c>
      <c r="C99" s="141">
        <f>IFERROR(__xludf.DUMMYFUNCTION("""COMPUTED_VALUE"""),82.81)</f>
        <v/>
      </c>
      <c r="D99" s="141">
        <f>IFERROR(__xludf.DUMMYFUNCTION("""COMPUTED_VALUE"""),82.88)</f>
        <v/>
      </c>
      <c r="E99" s="141">
        <f>IFERROR(__xludf.DUMMYFUNCTION("""COMPUTED_VALUE"""),82.81)</f>
        <v/>
      </c>
      <c r="F99" s="141">
        <f>IFERROR(__xludf.DUMMYFUNCTION("""COMPUTED_VALUE"""),82.83)</f>
        <v/>
      </c>
      <c r="G99" s="143">
        <f>IFERROR(__xludf.DUMMYFUNCTION("""COMPUTED_VALUE"""),2943022)</f>
        <v/>
      </c>
      <c r="H99" s="27" t="n"/>
    </row>
    <row r="100" ht="17.25" customHeight="1" s="322">
      <c r="A100" s="27" t="n"/>
      <c r="B100" s="506">
        <f>IFERROR(__xludf.DUMMYFUNCTION("""COMPUTED_VALUE"""),45971.6666666666)</f>
        <v/>
      </c>
      <c r="C100" s="141">
        <f>IFERROR(__xludf.DUMMYFUNCTION("""COMPUTED_VALUE"""),82.82)</f>
        <v/>
      </c>
      <c r="D100" s="141">
        <f>IFERROR(__xludf.DUMMYFUNCTION("""COMPUTED_VALUE"""),82.83)</f>
        <v/>
      </c>
      <c r="E100" s="141">
        <f>IFERROR(__xludf.DUMMYFUNCTION("""COMPUTED_VALUE"""),82.8)</f>
        <v/>
      </c>
      <c r="F100" s="141">
        <f>IFERROR(__xludf.DUMMYFUNCTION("""COMPUTED_VALUE"""),82.81)</f>
        <v/>
      </c>
      <c r="G100" s="143">
        <f>IFERROR(__xludf.DUMMYFUNCTION("""COMPUTED_VALUE"""),6287859)</f>
        <v/>
      </c>
      <c r="H100" s="27" t="n"/>
    </row>
    <row r="101" ht="17.25" customHeight="1" s="322">
      <c r="A101" s="27" t="n"/>
      <c r="B101" s="506">
        <f>IFERROR(__xludf.DUMMYFUNCTION("""COMPUTED_VALUE"""),45972.6666666666)</f>
        <v/>
      </c>
      <c r="C101" s="141">
        <f>IFERROR(__xludf.DUMMYFUNCTION("""COMPUTED_VALUE"""),82.86)</f>
        <v/>
      </c>
      <c r="D101" s="141">
        <f>IFERROR(__xludf.DUMMYFUNCTION("""COMPUTED_VALUE"""),82.88)</f>
        <v/>
      </c>
      <c r="E101" s="141">
        <f>IFERROR(__xludf.DUMMYFUNCTION("""COMPUTED_VALUE"""),82.84)</f>
        <v/>
      </c>
      <c r="F101" s="141">
        <f>IFERROR(__xludf.DUMMYFUNCTION("""COMPUTED_VALUE"""),82.88)</f>
        <v/>
      </c>
      <c r="G101" s="143">
        <f>IFERROR(__xludf.DUMMYFUNCTION("""COMPUTED_VALUE"""),4175209)</f>
        <v/>
      </c>
      <c r="H101" s="27" t="n"/>
    </row>
    <row r="102" ht="17.25" customHeight="1" s="322">
      <c r="A102" s="27" t="n"/>
      <c r="B102" s="506">
        <f>IFERROR(__xludf.DUMMYFUNCTION("""COMPUTED_VALUE"""),45973.6666666666)</f>
        <v/>
      </c>
      <c r="C102" s="141">
        <f>IFERROR(__xludf.DUMMYFUNCTION("""COMPUTED_VALUE"""),82.85)</f>
        <v/>
      </c>
      <c r="D102" s="141">
        <f>IFERROR(__xludf.DUMMYFUNCTION("""COMPUTED_VALUE"""),82.87)</f>
        <v/>
      </c>
      <c r="E102" s="141">
        <f>IFERROR(__xludf.DUMMYFUNCTION("""COMPUTED_VALUE"""),82.84)</f>
        <v/>
      </c>
      <c r="F102" s="141">
        <f>IFERROR(__xludf.DUMMYFUNCTION("""COMPUTED_VALUE"""),82.85)</f>
        <v/>
      </c>
      <c r="G102" s="143">
        <f>IFERROR(__xludf.DUMMYFUNCTION("""COMPUTED_VALUE"""),2370006)</f>
        <v/>
      </c>
      <c r="H102" s="27" t="n"/>
    </row>
    <row r="103" ht="17.25" customHeight="1" s="322">
      <c r="A103" s="27" t="n"/>
      <c r="B103" s="506">
        <f>IFERROR(__xludf.DUMMYFUNCTION("""COMPUTED_VALUE"""),45974.6666666666)</f>
        <v/>
      </c>
      <c r="C103" s="141">
        <f>IFERROR(__xludf.DUMMYFUNCTION("""COMPUTED_VALUE"""),82.8)</f>
        <v/>
      </c>
      <c r="D103" s="141">
        <f>IFERROR(__xludf.DUMMYFUNCTION("""COMPUTED_VALUE"""),82.83)</f>
        <v/>
      </c>
      <c r="E103" s="141">
        <f>IFERROR(__xludf.DUMMYFUNCTION("""COMPUTED_VALUE"""),82.8)</f>
        <v/>
      </c>
      <c r="F103" s="141">
        <f>IFERROR(__xludf.DUMMYFUNCTION("""COMPUTED_VALUE"""),82.8)</f>
        <v/>
      </c>
      <c r="G103" s="143">
        <f>IFERROR(__xludf.DUMMYFUNCTION("""COMPUTED_VALUE"""),5328097)</f>
        <v/>
      </c>
      <c r="H103" s="27" t="n"/>
    </row>
    <row r="104" ht="17.25" customHeight="1" s="322">
      <c r="A104" s="27" t="n"/>
      <c r="B104" s="506">
        <f>IFERROR(__xludf.DUMMYFUNCTION("""COMPUTED_VALUE"""),45975.6666666666)</f>
        <v/>
      </c>
      <c r="C104" s="141">
        <f>IFERROR(__xludf.DUMMYFUNCTION("""COMPUTED_VALUE"""),82.88)</f>
        <v/>
      </c>
      <c r="D104" s="141">
        <f>IFERROR(__xludf.DUMMYFUNCTION("""COMPUTED_VALUE"""),82.89)</f>
        <v/>
      </c>
      <c r="E104" s="141">
        <f>IFERROR(__xludf.DUMMYFUNCTION("""COMPUTED_VALUE"""),82.8)</f>
        <v/>
      </c>
      <c r="F104" s="141">
        <f>IFERROR(__xludf.DUMMYFUNCTION("""COMPUTED_VALUE"""),82.83)</f>
        <v/>
      </c>
      <c r="G104" s="143">
        <f>IFERROR(__xludf.DUMMYFUNCTION("""COMPUTED_VALUE"""),5749973)</f>
        <v/>
      </c>
      <c r="H104" s="27" t="n"/>
    </row>
    <row r="105" ht="17.25" customHeight="1" s="322">
      <c r="A105" s="27" t="n"/>
      <c r="B105" s="506">
        <f>IFERROR(__xludf.DUMMYFUNCTION("""COMPUTED_VALUE"""),45978.6666666666)</f>
        <v/>
      </c>
      <c r="C105" s="141">
        <f>IFERROR(__xludf.DUMMYFUNCTION("""COMPUTED_VALUE"""),82.83)</f>
        <v/>
      </c>
      <c r="D105" s="141">
        <f>IFERROR(__xludf.DUMMYFUNCTION("""COMPUTED_VALUE"""),82.83)</f>
        <v/>
      </c>
      <c r="E105" s="141">
        <f>IFERROR(__xludf.DUMMYFUNCTION("""COMPUTED_VALUE"""),82.81)</f>
        <v/>
      </c>
      <c r="F105" s="141">
        <f>IFERROR(__xludf.DUMMYFUNCTION("""COMPUTED_VALUE"""),82.82)</f>
        <v/>
      </c>
      <c r="G105" s="143">
        <f>IFERROR(__xludf.DUMMYFUNCTION("""COMPUTED_VALUE"""),7200956)</f>
        <v/>
      </c>
      <c r="H105" s="27" t="n"/>
    </row>
    <row r="106" ht="17.25" customHeight="1" s="322">
      <c r="A106" s="27" t="n"/>
      <c r="B106" s="506">
        <f>IFERROR(__xludf.DUMMYFUNCTION("""COMPUTED_VALUE"""),45979.6666666666)</f>
        <v/>
      </c>
      <c r="C106" s="141">
        <f>IFERROR(__xludf.DUMMYFUNCTION("""COMPUTED_VALUE"""),82.9)</f>
        <v/>
      </c>
      <c r="D106" s="141">
        <f>IFERROR(__xludf.DUMMYFUNCTION("""COMPUTED_VALUE"""),82.92)</f>
        <v/>
      </c>
      <c r="E106" s="141">
        <f>IFERROR(__xludf.DUMMYFUNCTION("""COMPUTED_VALUE"""),82.85)</f>
        <v/>
      </c>
      <c r="F106" s="141">
        <f>IFERROR(__xludf.DUMMYFUNCTION("""COMPUTED_VALUE"""),82.87)</f>
        <v/>
      </c>
      <c r="G106" s="143">
        <f>IFERROR(__xludf.DUMMYFUNCTION("""COMPUTED_VALUE"""),3498469)</f>
        <v/>
      </c>
      <c r="H106" s="27" t="n"/>
    </row>
    <row r="107" ht="17.25" customHeight="1" s="322">
      <c r="A107" s="27" t="n"/>
      <c r="B107" s="506">
        <f>IFERROR(__xludf.DUMMYFUNCTION("""COMPUTED_VALUE"""),45980.6666666666)</f>
        <v/>
      </c>
      <c r="C107" s="141">
        <f>IFERROR(__xludf.DUMMYFUNCTION("""COMPUTED_VALUE"""),82.9)</f>
        <v/>
      </c>
      <c r="D107" s="141">
        <f>IFERROR(__xludf.DUMMYFUNCTION("""COMPUTED_VALUE"""),82.92)</f>
        <v/>
      </c>
      <c r="E107" s="141">
        <f>IFERROR(__xludf.DUMMYFUNCTION("""COMPUTED_VALUE"""),82.85)</f>
        <v/>
      </c>
      <c r="F107" s="141">
        <f>IFERROR(__xludf.DUMMYFUNCTION("""COMPUTED_VALUE"""),82.86)</f>
        <v/>
      </c>
      <c r="G107" s="143">
        <f>IFERROR(__xludf.DUMMYFUNCTION("""COMPUTED_VALUE"""),2679780)</f>
        <v/>
      </c>
      <c r="H107" s="27" t="n"/>
    </row>
    <row r="108" ht="17.25" customHeight="1" s="322">
      <c r="A108" s="27" t="n"/>
      <c r="B108" s="506">
        <f>IFERROR(__xludf.DUMMYFUNCTION("""COMPUTED_VALUE"""),45981.6666666666)</f>
        <v/>
      </c>
      <c r="C108" s="141">
        <f>IFERROR(__xludf.DUMMYFUNCTION("""COMPUTED_VALUE"""),82.9)</f>
        <v/>
      </c>
      <c r="D108" s="141">
        <f>IFERROR(__xludf.DUMMYFUNCTION("""COMPUTED_VALUE"""),82.96)</f>
        <v/>
      </c>
      <c r="E108" s="141">
        <f>IFERROR(__xludf.DUMMYFUNCTION("""COMPUTED_VALUE"""),82.89)</f>
        <v/>
      </c>
      <c r="F108" s="141">
        <f>IFERROR(__xludf.DUMMYFUNCTION("""COMPUTED_VALUE"""),82.93)</f>
        <v/>
      </c>
      <c r="G108" s="143">
        <f>IFERROR(__xludf.DUMMYFUNCTION("""COMPUTED_VALUE"""),5810789)</f>
        <v/>
      </c>
      <c r="H108" s="27" t="n"/>
    </row>
    <row r="109" ht="17.25" customHeight="1" s="322">
      <c r="A109" s="27" t="n"/>
      <c r="B109" s="506">
        <f>IFERROR(__xludf.DUMMYFUNCTION("""COMPUTED_VALUE"""),45982.6666666666)</f>
        <v/>
      </c>
      <c r="C109" s="141">
        <f>IFERROR(__xludf.DUMMYFUNCTION("""COMPUTED_VALUE"""),83.02)</f>
        <v/>
      </c>
      <c r="D109" s="141">
        <f>IFERROR(__xludf.DUMMYFUNCTION("""COMPUTED_VALUE"""),83.04)</f>
        <v/>
      </c>
      <c r="E109" s="141">
        <f>IFERROR(__xludf.DUMMYFUNCTION("""COMPUTED_VALUE"""),82.98)</f>
        <v/>
      </c>
      <c r="F109" s="141">
        <f>IFERROR(__xludf.DUMMYFUNCTION("""COMPUTED_VALUE"""),83.03)</f>
        <v/>
      </c>
      <c r="G109" s="143">
        <f>IFERROR(__xludf.DUMMYFUNCTION("""COMPUTED_VALUE"""),4849556)</f>
        <v/>
      </c>
      <c r="H109" s="27" t="n"/>
    </row>
    <row r="110" ht="17.25" customHeight="1" s="322">
      <c r="A110" s="27" t="n"/>
      <c r="B110" s="506">
        <f>IFERROR(__xludf.DUMMYFUNCTION("""COMPUTED_VALUE"""),45985.6666666666)</f>
        <v/>
      </c>
      <c r="C110" s="141">
        <f>IFERROR(__xludf.DUMMYFUNCTION("""COMPUTED_VALUE"""),83.03)</f>
        <v/>
      </c>
      <c r="D110" s="141">
        <f>IFERROR(__xludf.DUMMYFUNCTION("""COMPUTED_VALUE"""),83.04)</f>
        <v/>
      </c>
      <c r="E110" s="141">
        <f>IFERROR(__xludf.DUMMYFUNCTION("""COMPUTED_VALUE"""),83)</f>
        <v/>
      </c>
      <c r="F110" s="141">
        <f>IFERROR(__xludf.DUMMYFUNCTION("""COMPUTED_VALUE"""),83.04)</f>
        <v/>
      </c>
      <c r="G110" s="143">
        <f>IFERROR(__xludf.DUMMYFUNCTION("""COMPUTED_VALUE"""),5120669)</f>
        <v/>
      </c>
      <c r="H110" s="27" t="n"/>
    </row>
    <row r="111" ht="17.25" customHeight="1" s="322">
      <c r="A111" s="27" t="n"/>
      <c r="B111" s="506">
        <f>IFERROR(__xludf.DUMMYFUNCTION("""COMPUTED_VALUE"""),45986.6666666666)</f>
        <v/>
      </c>
      <c r="C111" s="141">
        <f>IFERROR(__xludf.DUMMYFUNCTION("""COMPUTED_VALUE"""),83.05)</f>
        <v/>
      </c>
      <c r="D111" s="141">
        <f>IFERROR(__xludf.DUMMYFUNCTION("""COMPUTED_VALUE"""),83.1)</f>
        <v/>
      </c>
      <c r="E111" s="141">
        <f>IFERROR(__xludf.DUMMYFUNCTION("""COMPUTED_VALUE"""),83.04)</f>
        <v/>
      </c>
      <c r="F111" s="141">
        <f>IFERROR(__xludf.DUMMYFUNCTION("""COMPUTED_VALUE"""),83.09)</f>
        <v/>
      </c>
      <c r="G111" s="143">
        <f>IFERROR(__xludf.DUMMYFUNCTION("""COMPUTED_VALUE"""),4276699)</f>
        <v/>
      </c>
      <c r="H111" s="27" t="n"/>
    </row>
    <row r="112" ht="17.25" customHeight="1" s="322">
      <c r="A112" s="27" t="n"/>
      <c r="B112" s="506">
        <f>IFERROR(__xludf.DUMMYFUNCTION("""COMPUTED_VALUE"""),45987.6666666666)</f>
        <v/>
      </c>
      <c r="C112" s="141">
        <f>IFERROR(__xludf.DUMMYFUNCTION("""COMPUTED_VALUE"""),83.07)</f>
        <v/>
      </c>
      <c r="D112" s="141">
        <f>IFERROR(__xludf.DUMMYFUNCTION("""COMPUTED_VALUE"""),83.08)</f>
        <v/>
      </c>
      <c r="E112" s="141">
        <f>IFERROR(__xludf.DUMMYFUNCTION("""COMPUTED_VALUE"""),83.04)</f>
        <v/>
      </c>
      <c r="F112" s="141">
        <f>IFERROR(__xludf.DUMMYFUNCTION("""COMPUTED_VALUE"""),83.08)</f>
        <v/>
      </c>
      <c r="G112" s="143">
        <f>IFERROR(__xludf.DUMMYFUNCTION("""COMPUTED_VALUE"""),4349665)</f>
        <v/>
      </c>
      <c r="H112" s="27" t="n"/>
    </row>
    <row r="113" ht="17.25" customHeight="1" s="322">
      <c r="A113" s="27" t="n"/>
      <c r="B113" s="506">
        <f>IFERROR(__xludf.DUMMYFUNCTION("""COMPUTED_VALUE"""),45989.5451388888)</f>
        <v/>
      </c>
      <c r="C113" s="141">
        <f>IFERROR(__xludf.DUMMYFUNCTION("""COMPUTED_VALUE"""),83.1)</f>
        <v/>
      </c>
      <c r="D113" s="141">
        <f>IFERROR(__xludf.DUMMYFUNCTION("""COMPUTED_VALUE"""),83.11)</f>
        <v/>
      </c>
      <c r="E113" s="141">
        <f>IFERROR(__xludf.DUMMYFUNCTION("""COMPUTED_VALUE"""),83.06)</f>
        <v/>
      </c>
      <c r="F113" s="141">
        <f>IFERROR(__xludf.DUMMYFUNCTION("""COMPUTED_VALUE"""),83.08)</f>
        <v/>
      </c>
      <c r="G113" s="143">
        <f>IFERROR(__xludf.DUMMYFUNCTION("""COMPUTED_VALUE"""),2799591)</f>
        <v/>
      </c>
      <c r="H113" s="27" t="n"/>
    </row>
    <row r="114" ht="17.25" customHeight="1" s="322">
      <c r="A114" s="27" t="n"/>
      <c r="B114" s="506">
        <f>IFERROR(__xludf.DUMMYFUNCTION("""COMPUTED_VALUE"""),45992.6666666666)</f>
        <v/>
      </c>
      <c r="C114" s="141">
        <f>IFERROR(__xludf.DUMMYFUNCTION("""COMPUTED_VALUE"""),82.79)</f>
        <v/>
      </c>
      <c r="D114" s="141">
        <f>IFERROR(__xludf.DUMMYFUNCTION("""COMPUTED_VALUE"""),82.79)</f>
        <v/>
      </c>
      <c r="E114" s="141">
        <f>IFERROR(__xludf.DUMMYFUNCTION("""COMPUTED_VALUE"""),82.76)</f>
        <v/>
      </c>
      <c r="F114" s="141">
        <f>IFERROR(__xludf.DUMMYFUNCTION("""COMPUTED_VALUE"""),82.76)</f>
        <v/>
      </c>
      <c r="G114" s="143">
        <f>IFERROR(__xludf.DUMMYFUNCTION("""COMPUTED_VALUE"""),3358651)</f>
        <v/>
      </c>
      <c r="H114" s="27" t="n"/>
    </row>
    <row r="115" ht="17.25" customHeight="1" s="322">
      <c r="A115" s="27" t="n"/>
      <c r="B115" s="506">
        <f>IFERROR(__xludf.DUMMYFUNCTION("""COMPUTED_VALUE"""),45993.6666666666)</f>
        <v/>
      </c>
      <c r="C115" s="141">
        <f>IFERROR(__xludf.DUMMYFUNCTION("""COMPUTED_VALUE"""),82.8)</f>
        <v/>
      </c>
      <c r="D115" s="141">
        <f>IFERROR(__xludf.DUMMYFUNCTION("""COMPUTED_VALUE"""),82.82)</f>
        <v/>
      </c>
      <c r="E115" s="141">
        <f>IFERROR(__xludf.DUMMYFUNCTION("""COMPUTED_VALUE"""),82.78)</f>
        <v/>
      </c>
      <c r="F115" s="141">
        <f>IFERROR(__xludf.DUMMYFUNCTION("""COMPUTED_VALUE"""),82.81)</f>
        <v/>
      </c>
      <c r="G115" s="143">
        <f>IFERROR(__xludf.DUMMYFUNCTION("""COMPUTED_VALUE"""),4653334)</f>
        <v/>
      </c>
      <c r="H115" s="27" t="n"/>
    </row>
    <row r="116" ht="17.25" customHeight="1" s="322">
      <c r="A116" s="27" t="n"/>
      <c r="B116" s="506">
        <f>IFERROR(__xludf.DUMMYFUNCTION("""COMPUTED_VALUE"""),45994.6666666666)</f>
        <v/>
      </c>
      <c r="C116" s="141">
        <f>IFERROR(__xludf.DUMMYFUNCTION("""COMPUTED_VALUE"""),82.87)</f>
        <v/>
      </c>
      <c r="D116" s="141">
        <f>IFERROR(__xludf.DUMMYFUNCTION("""COMPUTED_VALUE"""),82.87)</f>
        <v/>
      </c>
      <c r="E116" s="141">
        <f>IFERROR(__xludf.DUMMYFUNCTION("""COMPUTED_VALUE"""),82.83)</f>
        <v/>
      </c>
      <c r="F116" s="141">
        <f>IFERROR(__xludf.DUMMYFUNCTION("""COMPUTED_VALUE"""),82.86)</f>
        <v/>
      </c>
      <c r="G116" s="143">
        <f>IFERROR(__xludf.DUMMYFUNCTION("""COMPUTED_VALUE"""),2121270)</f>
        <v/>
      </c>
      <c r="H116" s="27" t="n"/>
    </row>
    <row r="117" ht="17.25" customHeight="1" s="322">
      <c r="A117" s="27" t="n"/>
      <c r="B117" s="506">
        <f>IFERROR(__xludf.DUMMYFUNCTION("""COMPUTED_VALUE"""),45995.6666666666)</f>
        <v/>
      </c>
      <c r="C117" s="141">
        <f>IFERROR(__xludf.DUMMYFUNCTION("""COMPUTED_VALUE"""),82.84)</f>
        <v/>
      </c>
      <c r="D117" s="141">
        <f>IFERROR(__xludf.DUMMYFUNCTION("""COMPUTED_VALUE"""),82.84)</f>
        <v/>
      </c>
      <c r="E117" s="141">
        <f>IFERROR(__xludf.DUMMYFUNCTION("""COMPUTED_VALUE"""),82.8)</f>
        <v/>
      </c>
      <c r="F117" s="141">
        <f>IFERROR(__xludf.DUMMYFUNCTION("""COMPUTED_VALUE"""),82.8)</f>
        <v/>
      </c>
      <c r="G117" s="143">
        <f>IFERROR(__xludf.DUMMYFUNCTION("""COMPUTED_VALUE"""),2474043)</f>
        <v/>
      </c>
      <c r="H117" s="27" t="n"/>
    </row>
    <row r="118" ht="17.25" customHeight="1" s="322">
      <c r="A118" s="27" t="n"/>
      <c r="B118" s="506">
        <f>IFERROR(__xludf.DUMMYFUNCTION("""COMPUTED_VALUE"""),45996.6666666666)</f>
        <v/>
      </c>
      <c r="C118" s="141">
        <f>IFERROR(__xludf.DUMMYFUNCTION("""COMPUTED_VALUE"""),82.82)</f>
        <v/>
      </c>
      <c r="D118" s="141">
        <f>IFERROR(__xludf.DUMMYFUNCTION("""COMPUTED_VALUE"""),82.82)</f>
        <v/>
      </c>
      <c r="E118" s="141">
        <f>IFERROR(__xludf.DUMMYFUNCTION("""COMPUTED_VALUE"""),82.77)</f>
        <v/>
      </c>
      <c r="F118" s="141">
        <f>IFERROR(__xludf.DUMMYFUNCTION("""COMPUTED_VALUE"""),82.77)</f>
        <v/>
      </c>
      <c r="G118" s="143">
        <f>IFERROR(__xludf.DUMMYFUNCTION("""COMPUTED_VALUE"""),2172498)</f>
        <v/>
      </c>
      <c r="H118" s="27" t="n"/>
    </row>
    <row r="119" ht="17.25" customHeight="1" s="322">
      <c r="A119" s="27" t="n"/>
      <c r="B119" s="506">
        <f>IFERROR(__xludf.DUMMYFUNCTION("""COMPUTED_VALUE"""),45999.6666666666)</f>
        <v/>
      </c>
      <c r="C119" s="141">
        <f>IFERROR(__xludf.DUMMYFUNCTION("""COMPUTED_VALUE"""),82.77)</f>
        <v/>
      </c>
      <c r="D119" s="141">
        <f>IFERROR(__xludf.DUMMYFUNCTION("""COMPUTED_VALUE"""),82.77)</f>
        <v/>
      </c>
      <c r="E119" s="141">
        <f>IFERROR(__xludf.DUMMYFUNCTION("""COMPUTED_VALUE"""),82.71)</f>
        <v/>
      </c>
      <c r="F119" s="141">
        <f>IFERROR(__xludf.DUMMYFUNCTION("""COMPUTED_VALUE"""),82.75)</f>
        <v/>
      </c>
      <c r="G119" s="143">
        <f>IFERROR(__xludf.DUMMYFUNCTION("""COMPUTED_VALUE"""),3378688)</f>
        <v/>
      </c>
      <c r="H119" s="27" t="n"/>
    </row>
    <row r="120" ht="17.25" customHeight="1" s="322">
      <c r="A120" s="27" t="n"/>
      <c r="B120" s="506">
        <f>IFERROR(__xludf.DUMMYFUNCTION("""COMPUTED_VALUE"""),46000.6666666666)</f>
        <v/>
      </c>
      <c r="C120" s="141">
        <f>IFERROR(__xludf.DUMMYFUNCTION("""COMPUTED_VALUE"""),82.79)</f>
        <v/>
      </c>
      <c r="D120" s="141">
        <f>IFERROR(__xludf.DUMMYFUNCTION("""COMPUTED_VALUE"""),82.79)</f>
        <v/>
      </c>
      <c r="E120" s="141">
        <f>IFERROR(__xludf.DUMMYFUNCTION("""COMPUTED_VALUE"""),82.71)</f>
        <v/>
      </c>
      <c r="F120" s="141">
        <f>IFERROR(__xludf.DUMMYFUNCTION("""COMPUTED_VALUE"""),82.71)</f>
        <v/>
      </c>
      <c r="G120" s="143">
        <f>IFERROR(__xludf.DUMMYFUNCTION("""COMPUTED_VALUE"""),2709948)</f>
        <v/>
      </c>
      <c r="H120" s="27" t="n"/>
    </row>
    <row r="121" ht="17.25" customHeight="1" s="322">
      <c r="A121" s="27" t="n"/>
      <c r="B121" s="506">
        <f>IFERROR(__xludf.DUMMYFUNCTION("""COMPUTED_VALUE"""),46001.6666666666)</f>
        <v/>
      </c>
      <c r="C121" s="141">
        <f>IFERROR(__xludf.DUMMYFUNCTION("""COMPUTED_VALUE"""),82.72)</f>
        <v/>
      </c>
      <c r="D121" s="141">
        <f>IFERROR(__xludf.DUMMYFUNCTION("""COMPUTED_VALUE"""),82.85)</f>
        <v/>
      </c>
      <c r="E121" s="141">
        <f>IFERROR(__xludf.DUMMYFUNCTION("""COMPUTED_VALUE"""),82.71)</f>
        <v/>
      </c>
      <c r="F121" s="141">
        <f>IFERROR(__xludf.DUMMYFUNCTION("""COMPUTED_VALUE"""),82.85)</f>
        <v/>
      </c>
      <c r="G121" s="143">
        <f>IFERROR(__xludf.DUMMYFUNCTION("""COMPUTED_VALUE"""),4431403)</f>
        <v/>
      </c>
      <c r="H121" s="27" t="n"/>
    </row>
    <row r="122" ht="17.25" customHeight="1" s="322">
      <c r="A122" s="27" t="n"/>
      <c r="B122" s="506">
        <f>IFERROR(__xludf.DUMMYFUNCTION("""COMPUTED_VALUE"""),46002.6666666666)</f>
        <v/>
      </c>
      <c r="C122" s="141">
        <f>IFERROR(__xludf.DUMMYFUNCTION("""COMPUTED_VALUE"""),82.89)</f>
        <v/>
      </c>
      <c r="D122" s="141">
        <f>IFERROR(__xludf.DUMMYFUNCTION("""COMPUTED_VALUE"""),82.9)</f>
        <v/>
      </c>
      <c r="E122" s="141">
        <f>IFERROR(__xludf.DUMMYFUNCTION("""COMPUTED_VALUE"""),82.85)</f>
        <v/>
      </c>
      <c r="F122" s="141">
        <f>IFERROR(__xludf.DUMMYFUNCTION("""COMPUTED_VALUE"""),82.86)</f>
        <v/>
      </c>
      <c r="G122" s="143">
        <f>IFERROR(__xludf.DUMMYFUNCTION("""COMPUTED_VALUE"""),3552418)</f>
        <v/>
      </c>
      <c r="H122" s="27" t="n"/>
    </row>
    <row r="123" ht="17.25" customHeight="1" s="322">
      <c r="A123" s="27" t="n"/>
      <c r="B123" s="506">
        <f>IFERROR(__xludf.DUMMYFUNCTION("""COMPUTED_VALUE"""),46003.6666666666)</f>
        <v/>
      </c>
      <c r="C123" s="141">
        <f>IFERROR(__xludf.DUMMYFUNCTION("""COMPUTED_VALUE"""),82.86)</f>
        <v/>
      </c>
      <c r="D123" s="141">
        <f>IFERROR(__xludf.DUMMYFUNCTION("""COMPUTED_VALUE"""),82.89)</f>
        <v/>
      </c>
      <c r="E123" s="141">
        <f>IFERROR(__xludf.DUMMYFUNCTION("""COMPUTED_VALUE"""),82.85)</f>
        <v/>
      </c>
      <c r="F123" s="141">
        <f>IFERROR(__xludf.DUMMYFUNCTION("""COMPUTED_VALUE"""),82.87)</f>
        <v/>
      </c>
      <c r="G123" s="143">
        <f>IFERROR(__xludf.DUMMYFUNCTION("""COMPUTED_VALUE"""),4256368)</f>
        <v/>
      </c>
      <c r="H123" s="27" t="n"/>
    </row>
    <row r="124" ht="17.25" customHeight="1" s="322">
      <c r="A124" s="27" t="n"/>
      <c r="B124" s="506">
        <f>IFERROR(__xludf.DUMMYFUNCTION("""COMPUTED_VALUE"""),46006.6666666666)</f>
        <v/>
      </c>
      <c r="C124" s="141">
        <f>IFERROR(__xludf.DUMMYFUNCTION("""COMPUTED_VALUE"""),82.93)</f>
        <v/>
      </c>
      <c r="D124" s="141">
        <f>IFERROR(__xludf.DUMMYFUNCTION("""COMPUTED_VALUE"""),82.94)</f>
        <v/>
      </c>
      <c r="E124" s="141">
        <f>IFERROR(__xludf.DUMMYFUNCTION("""COMPUTED_VALUE"""),82.9)</f>
        <v/>
      </c>
      <c r="F124" s="141">
        <f>IFERROR(__xludf.DUMMYFUNCTION("""COMPUTED_VALUE"""),82.92)</f>
        <v/>
      </c>
      <c r="G124" s="143">
        <f>IFERROR(__xludf.DUMMYFUNCTION("""COMPUTED_VALUE"""),5252379)</f>
        <v/>
      </c>
      <c r="H124" s="27" t="n"/>
    </row>
    <row r="125" ht="17.25" customHeight="1" s="322">
      <c r="A125" s="27" t="n"/>
      <c r="B125" s="506">
        <f>IFERROR(__xludf.DUMMYFUNCTION("""COMPUTED_VALUE"""),46007.6666666666)</f>
        <v/>
      </c>
      <c r="C125" s="141">
        <f>IFERROR(__xludf.DUMMYFUNCTION("""COMPUTED_VALUE"""),82.94)</f>
        <v/>
      </c>
      <c r="D125" s="141">
        <f>IFERROR(__xludf.DUMMYFUNCTION("""COMPUTED_VALUE"""),82.98)</f>
        <v/>
      </c>
      <c r="E125" s="141">
        <f>IFERROR(__xludf.DUMMYFUNCTION("""COMPUTED_VALUE"""),82.93)</f>
        <v/>
      </c>
      <c r="F125" s="141">
        <f>IFERROR(__xludf.DUMMYFUNCTION("""COMPUTED_VALUE"""),82.96)</f>
        <v/>
      </c>
      <c r="G125" s="143">
        <f>IFERROR(__xludf.DUMMYFUNCTION("""COMPUTED_VALUE"""),4004877)</f>
        <v/>
      </c>
      <c r="H125" s="27" t="n"/>
    </row>
    <row r="126" ht="17.25" customHeight="1" s="322">
      <c r="A126" s="27" t="n"/>
      <c r="B126" s="506">
        <f>IFERROR(__xludf.DUMMYFUNCTION("""COMPUTED_VALUE"""),46008.6666666666)</f>
        <v/>
      </c>
      <c r="C126" s="141">
        <f>IFERROR(__xludf.DUMMYFUNCTION("""COMPUTED_VALUE"""),82.95)</f>
        <v/>
      </c>
      <c r="D126" s="141">
        <f>IFERROR(__xludf.DUMMYFUNCTION("""COMPUTED_VALUE"""),82.98)</f>
        <v/>
      </c>
      <c r="E126" s="141">
        <f>IFERROR(__xludf.DUMMYFUNCTION("""COMPUTED_VALUE"""),82.94)</f>
        <v/>
      </c>
      <c r="F126" s="141">
        <f>IFERROR(__xludf.DUMMYFUNCTION("""COMPUTED_VALUE"""),82.97)</f>
        <v/>
      </c>
      <c r="G126" s="143">
        <f>IFERROR(__xludf.DUMMYFUNCTION("""COMPUTED_VALUE"""),5873901)</f>
        <v/>
      </c>
      <c r="H126" s="27" t="n"/>
    </row>
    <row r="127" ht="17.25" customHeight="1" s="322">
      <c r="A127" s="27" t="n"/>
      <c r="B127" s="506">
        <f>IFERROR(__xludf.DUMMYFUNCTION("""COMPUTED_VALUE"""),46009.6666666666)</f>
        <v/>
      </c>
      <c r="C127" s="141">
        <f>IFERROR(__xludf.DUMMYFUNCTION("""COMPUTED_VALUE"""),83.04)</f>
        <v/>
      </c>
      <c r="D127" s="141">
        <f>IFERROR(__xludf.DUMMYFUNCTION("""COMPUTED_VALUE"""),83.04)</f>
        <v/>
      </c>
      <c r="E127" s="141">
        <f>IFERROR(__xludf.DUMMYFUNCTION("""COMPUTED_VALUE"""),82.98)</f>
        <v/>
      </c>
      <c r="F127" s="141">
        <f>IFERROR(__xludf.DUMMYFUNCTION("""COMPUTED_VALUE"""),83.03)</f>
        <v/>
      </c>
      <c r="G127" s="143">
        <f>IFERROR(__xludf.DUMMYFUNCTION("""COMPUTED_VALUE"""),3896767)</f>
        <v/>
      </c>
      <c r="H127" s="27" t="n"/>
    </row>
    <row r="128" ht="17.25" customHeight="1" s="322">
      <c r="A128" s="27" t="n"/>
      <c r="B128" s="506">
        <f>IFERROR(__xludf.DUMMYFUNCTION("""COMPUTED_VALUE"""),46010.6666666666)</f>
        <v/>
      </c>
      <c r="C128" s="141">
        <f>IFERROR(__xludf.DUMMYFUNCTION("""COMPUTED_VALUE"""),82.76)</f>
        <v/>
      </c>
      <c r="D128" s="141">
        <f>IFERROR(__xludf.DUMMYFUNCTION("""COMPUTED_VALUE"""),82.77)</f>
        <v/>
      </c>
      <c r="E128" s="141">
        <f>IFERROR(__xludf.DUMMYFUNCTION("""COMPUTED_VALUE"""),82.74)</f>
        <v/>
      </c>
      <c r="F128" s="141">
        <f>IFERROR(__xludf.DUMMYFUNCTION("""COMPUTED_VALUE"""),82.76)</f>
        <v/>
      </c>
      <c r="G128" s="143">
        <f>IFERROR(__xludf.DUMMYFUNCTION("""COMPUTED_VALUE"""),4195196)</f>
        <v/>
      </c>
      <c r="H128" s="27" t="n"/>
    </row>
    <row r="129" ht="17.25" customHeight="1" s="322">
      <c r="A129" s="27" t="n"/>
      <c r="B129" s="506">
        <f>IFERROR(__xludf.DUMMYFUNCTION("""COMPUTED_VALUE"""),46013.6666666666)</f>
        <v/>
      </c>
      <c r="C129" s="141">
        <f>IFERROR(__xludf.DUMMYFUNCTION("""COMPUTED_VALUE"""),82.75)</f>
        <v/>
      </c>
      <c r="D129" s="141">
        <f>IFERROR(__xludf.DUMMYFUNCTION("""COMPUTED_VALUE"""),82.75)</f>
        <v/>
      </c>
      <c r="E129" s="141">
        <f>IFERROR(__xludf.DUMMYFUNCTION("""COMPUTED_VALUE"""),82.71)</f>
        <v/>
      </c>
      <c r="F129" s="141">
        <f>IFERROR(__xludf.DUMMYFUNCTION("""COMPUTED_VALUE"""),82.72)</f>
        <v/>
      </c>
      <c r="G129" s="143">
        <f>IFERROR(__xludf.DUMMYFUNCTION("""COMPUTED_VALUE"""),4489170)</f>
        <v/>
      </c>
      <c r="H129" s="27" t="n"/>
    </row>
    <row r="130" ht="17.25" customHeight="1" s="322">
      <c r="A130" s="27" t="n"/>
      <c r="B130" s="506">
        <f>IFERROR(__xludf.DUMMYFUNCTION("""COMPUTED_VALUE"""),46014.6666666666)</f>
        <v/>
      </c>
      <c r="C130" s="141">
        <f>IFERROR(__xludf.DUMMYFUNCTION("""COMPUTED_VALUE"""),82.66)</f>
        <v/>
      </c>
      <c r="D130" s="141">
        <f>IFERROR(__xludf.DUMMYFUNCTION("""COMPUTED_VALUE"""),82.69)</f>
        <v/>
      </c>
      <c r="E130" s="141">
        <f>IFERROR(__xludf.DUMMYFUNCTION("""COMPUTED_VALUE"""),82.65)</f>
        <v/>
      </c>
      <c r="F130" s="141">
        <f>IFERROR(__xludf.DUMMYFUNCTION("""COMPUTED_VALUE"""),82.68)</f>
        <v/>
      </c>
      <c r="G130" s="143">
        <f>IFERROR(__xludf.DUMMYFUNCTION("""COMPUTED_VALUE"""),3443157)</f>
        <v/>
      </c>
      <c r="H130" s="27" t="n"/>
    </row>
    <row r="131" ht="17.25" customHeight="1" s="322">
      <c r="A131" s="27" t="n"/>
      <c r="B131" s="506">
        <f>IFERROR(__xludf.DUMMYFUNCTION("""COMPUTED_VALUE"""),46015.5451388888)</f>
        <v/>
      </c>
      <c r="C131" s="141">
        <f>IFERROR(__xludf.DUMMYFUNCTION("""COMPUTED_VALUE"""),82.71)</f>
        <v/>
      </c>
      <c r="D131" s="141">
        <f>IFERROR(__xludf.DUMMYFUNCTION("""COMPUTED_VALUE"""),82.74)</f>
        <v/>
      </c>
      <c r="E131" s="141">
        <f>IFERROR(__xludf.DUMMYFUNCTION("""COMPUTED_VALUE"""),82.7)</f>
        <v/>
      </c>
      <c r="F131" s="141">
        <f>IFERROR(__xludf.DUMMYFUNCTION("""COMPUTED_VALUE"""),82.73)</f>
        <v/>
      </c>
      <c r="G131" s="143">
        <f>IFERROR(__xludf.DUMMYFUNCTION("""COMPUTED_VALUE"""),2287169)</f>
        <v/>
      </c>
      <c r="H131" s="27" t="n"/>
    </row>
    <row r="132" ht="17.25" customHeight="1" s="322">
      <c r="A132" s="27" t="n"/>
      <c r="B132" s="506">
        <f>IFERROR(__xludf.DUMMYFUNCTION("""COMPUTED_VALUE"""),46017.6666666666)</f>
        <v/>
      </c>
      <c r="C132" s="141">
        <f>IFERROR(__xludf.DUMMYFUNCTION("""COMPUTED_VALUE"""),82.8)</f>
        <v/>
      </c>
      <c r="D132" s="141">
        <f>IFERROR(__xludf.DUMMYFUNCTION("""COMPUTED_VALUE"""),82.81)</f>
        <v/>
      </c>
      <c r="E132" s="141">
        <f>IFERROR(__xludf.DUMMYFUNCTION("""COMPUTED_VALUE"""),82.78)</f>
        <v/>
      </c>
      <c r="F132" s="141">
        <f>IFERROR(__xludf.DUMMYFUNCTION("""COMPUTED_VALUE"""),82.79)</f>
        <v/>
      </c>
      <c r="G132" s="143">
        <f>IFERROR(__xludf.DUMMYFUNCTION("""COMPUTED_VALUE"""),2034930)</f>
        <v/>
      </c>
      <c r="H132" s="27" t="n"/>
    </row>
    <row r="133" ht="17.25" customHeight="1" s="322">
      <c r="A133" s="27" t="n"/>
      <c r="B133" s="506">
        <f>IFERROR(__xludf.DUMMYFUNCTION("""COMPUTED_VALUE"""),46020.6666666666)</f>
        <v/>
      </c>
      <c r="C133" s="141">
        <f>IFERROR(__xludf.DUMMYFUNCTION("""COMPUTED_VALUE"""),82.83)</f>
        <v/>
      </c>
      <c r="D133" s="141">
        <f>IFERROR(__xludf.DUMMYFUNCTION("""COMPUTED_VALUE"""),82.85)</f>
        <v/>
      </c>
      <c r="E133" s="141">
        <f>IFERROR(__xludf.DUMMYFUNCTION("""COMPUTED_VALUE"""),82.82)</f>
        <v/>
      </c>
      <c r="F133" s="141">
        <f>IFERROR(__xludf.DUMMYFUNCTION("""COMPUTED_VALUE"""),82.83)</f>
        <v/>
      </c>
      <c r="G133" s="143">
        <f>IFERROR(__xludf.DUMMYFUNCTION("""COMPUTED_VALUE"""),3432291)</f>
        <v/>
      </c>
      <c r="H133" s="27" t="n"/>
    </row>
    <row r="134" ht="17.25" customHeight="1" s="322">
      <c r="A134" s="27" t="n"/>
      <c r="B134" s="506">
        <f>IFERROR(__xludf.DUMMYFUNCTION("""COMPUTED_VALUE"""),46021.6666666666)</f>
        <v/>
      </c>
      <c r="C134" s="141">
        <f>IFERROR(__xludf.DUMMYFUNCTION("""COMPUTED_VALUE"""),82.83)</f>
        <v/>
      </c>
      <c r="D134" s="141">
        <f>IFERROR(__xludf.DUMMYFUNCTION("""COMPUTED_VALUE"""),82.86)</f>
        <v/>
      </c>
      <c r="E134" s="141">
        <f>IFERROR(__xludf.DUMMYFUNCTION("""COMPUTED_VALUE"""),82.83)</f>
        <v/>
      </c>
      <c r="F134" s="141">
        <f>IFERROR(__xludf.DUMMYFUNCTION("""COMPUTED_VALUE"""),82.85)</f>
        <v/>
      </c>
      <c r="G134" s="143">
        <f>IFERROR(__xludf.DUMMYFUNCTION("""COMPUTED_VALUE"""),3641291)</f>
        <v/>
      </c>
      <c r="H134" s="27" t="n"/>
    </row>
    <row r="135" ht="17.25" customHeight="1" s="322">
      <c r="A135" s="27" t="n"/>
      <c r="B135" s="506">
        <f>IFERROR(__xludf.DUMMYFUNCTION("""COMPUTED_VALUE"""),46022.6666666666)</f>
        <v/>
      </c>
      <c r="C135" s="141">
        <f>IFERROR(__xludf.DUMMYFUNCTION("""COMPUTED_VALUE"""),82.84)</f>
        <v/>
      </c>
      <c r="D135" s="141">
        <f>IFERROR(__xludf.DUMMYFUNCTION("""COMPUTED_VALUE"""),82.87)</f>
        <v/>
      </c>
      <c r="E135" s="141">
        <f>IFERROR(__xludf.DUMMYFUNCTION("""COMPUTED_VALUE"""),82.82)</f>
        <v/>
      </c>
      <c r="F135" s="141">
        <f>IFERROR(__xludf.DUMMYFUNCTION("""COMPUTED_VALUE"""),82.82)</f>
        <v/>
      </c>
      <c r="G135" s="143">
        <f>IFERROR(__xludf.DUMMYFUNCTION("""COMPUTED_VALUE"""),3753118)</f>
        <v/>
      </c>
      <c r="H135" s="27" t="n"/>
    </row>
    <row r="136" ht="17.25" customHeight="1" s="322">
      <c r="A136" s="27" t="n"/>
      <c r="B136" s="506">
        <f>IFERROR(__xludf.DUMMYFUNCTION("""COMPUTED_VALUE"""),46024.6666666666)</f>
        <v/>
      </c>
      <c r="C136" s="141">
        <f>IFERROR(__xludf.DUMMYFUNCTION("""COMPUTED_VALUE"""),82.87)</f>
        <v/>
      </c>
      <c r="D136" s="141">
        <f>IFERROR(__xludf.DUMMYFUNCTION("""COMPUTED_VALUE"""),82.87)</f>
        <v/>
      </c>
      <c r="E136" s="141">
        <f>IFERROR(__xludf.DUMMYFUNCTION("""COMPUTED_VALUE"""),82.84)</f>
        <v/>
      </c>
      <c r="F136" s="141">
        <f>IFERROR(__xludf.DUMMYFUNCTION("""COMPUTED_VALUE"""),82.86)</f>
        <v/>
      </c>
      <c r="G136" s="143">
        <f>IFERROR(__xludf.DUMMYFUNCTION("""COMPUTED_VALUE"""),3041729)</f>
        <v/>
      </c>
      <c r="H136" s="27" t="n"/>
    </row>
    <row r="137" ht="17.25" customHeight="1" s="322">
      <c r="A137" s="27" t="n"/>
      <c r="B137" s="506">
        <f>IFERROR(__xludf.DUMMYFUNCTION("""COMPUTED_VALUE"""),46027.6666666666)</f>
        <v/>
      </c>
      <c r="C137" s="141">
        <f>IFERROR(__xludf.DUMMYFUNCTION("""COMPUTED_VALUE"""),82.88)</f>
        <v/>
      </c>
      <c r="D137" s="141">
        <f>IFERROR(__xludf.DUMMYFUNCTION("""COMPUTED_VALUE"""),82.9)</f>
        <v/>
      </c>
      <c r="E137" s="141">
        <f>IFERROR(__xludf.DUMMYFUNCTION("""COMPUTED_VALUE"""),82.87)</f>
        <v/>
      </c>
      <c r="F137" s="141">
        <f>IFERROR(__xludf.DUMMYFUNCTION("""COMPUTED_VALUE"""),82.89)</f>
        <v/>
      </c>
      <c r="G137" s="143">
        <f>IFERROR(__xludf.DUMMYFUNCTION("""COMPUTED_VALUE"""),3063643)</f>
        <v/>
      </c>
      <c r="H137" s="27" t="n"/>
    </row>
    <row r="138" ht="17.25" customHeight="1" s="322">
      <c r="A138" s="27" t="n"/>
      <c r="B138" s="506">
        <f>IFERROR(__xludf.DUMMYFUNCTION("""COMPUTED_VALUE"""),46028.6666666666)</f>
        <v/>
      </c>
      <c r="C138" s="141">
        <f>IFERROR(__xludf.DUMMYFUNCTION("""COMPUTED_VALUE"""),82.88)</f>
        <v/>
      </c>
      <c r="D138" s="141">
        <f>IFERROR(__xludf.DUMMYFUNCTION("""COMPUTED_VALUE"""),82.9)</f>
        <v/>
      </c>
      <c r="E138" s="141">
        <f>IFERROR(__xludf.DUMMYFUNCTION("""COMPUTED_VALUE"""),82.85)</f>
        <v/>
      </c>
      <c r="F138" s="141">
        <f>IFERROR(__xludf.DUMMYFUNCTION("""COMPUTED_VALUE"""),82.9)</f>
        <v/>
      </c>
      <c r="G138" s="143">
        <f>IFERROR(__xludf.DUMMYFUNCTION("""COMPUTED_VALUE"""),4368940)</f>
        <v/>
      </c>
      <c r="H138" s="27" t="n"/>
    </row>
    <row r="139" ht="17.25" customHeight="1" s="322">
      <c r="A139" s="27" t="n"/>
      <c r="B139" s="506">
        <f>IFERROR(__xludf.DUMMYFUNCTION("""COMPUTED_VALUE"""),46029.6666666666)</f>
        <v/>
      </c>
      <c r="C139" s="141">
        <f>IFERROR(__xludf.DUMMYFUNCTION("""COMPUTED_VALUE"""),82.91)</f>
        <v/>
      </c>
      <c r="D139" s="141">
        <f>IFERROR(__xludf.DUMMYFUNCTION("""COMPUTED_VALUE"""),82.93)</f>
        <v/>
      </c>
      <c r="E139" s="141">
        <f>IFERROR(__xludf.DUMMYFUNCTION("""COMPUTED_VALUE"""),82.88)</f>
        <v/>
      </c>
      <c r="F139" s="141">
        <f>IFERROR(__xludf.DUMMYFUNCTION("""COMPUTED_VALUE"""),82.89)</f>
        <v/>
      </c>
      <c r="G139" s="143">
        <f>IFERROR(__xludf.DUMMYFUNCTION("""COMPUTED_VALUE"""),4297970)</f>
        <v/>
      </c>
      <c r="H139" s="27" t="n"/>
    </row>
    <row r="140" ht="17.25" customHeight="1" s="322">
      <c r="A140" s="27" t="n"/>
      <c r="B140" s="506">
        <f>IFERROR(__xludf.DUMMYFUNCTION("""COMPUTED_VALUE"""),46030.6666666666)</f>
        <v/>
      </c>
      <c r="C140" s="141">
        <f>IFERROR(__xludf.DUMMYFUNCTION("""COMPUTED_VALUE"""),82.87)</f>
        <v/>
      </c>
      <c r="D140" s="141">
        <f>IFERROR(__xludf.DUMMYFUNCTION("""COMPUTED_VALUE"""),82.88)</f>
        <v/>
      </c>
      <c r="E140" s="141">
        <f>IFERROR(__xludf.DUMMYFUNCTION("""COMPUTED_VALUE"""),82.86)</f>
        <v/>
      </c>
      <c r="F140" s="141">
        <f>IFERROR(__xludf.DUMMYFUNCTION("""COMPUTED_VALUE"""),82.86)</f>
        <v/>
      </c>
      <c r="G140" s="143">
        <f>IFERROR(__xludf.DUMMYFUNCTION("""COMPUTED_VALUE"""),2470734)</f>
        <v/>
      </c>
      <c r="H140" s="27" t="n"/>
    </row>
    <row r="141" ht="17.25" customHeight="1" s="322">
      <c r="A141" s="27" t="n"/>
      <c r="B141" s="506">
        <f>IFERROR(__xludf.DUMMYFUNCTION("""COMPUTED_VALUE"""),46031.6666666666)</f>
        <v/>
      </c>
      <c r="C141" s="141">
        <f>IFERROR(__xludf.DUMMYFUNCTION("""COMPUTED_VALUE"""),82.87)</f>
        <v/>
      </c>
      <c r="D141" s="141">
        <f>IFERROR(__xludf.DUMMYFUNCTION("""COMPUTED_VALUE"""),82.87)</f>
        <v/>
      </c>
      <c r="E141" s="141">
        <f>IFERROR(__xludf.DUMMYFUNCTION("""COMPUTED_VALUE"""),82.81)</f>
        <v/>
      </c>
      <c r="F141" s="141">
        <f>IFERROR(__xludf.DUMMYFUNCTION("""COMPUTED_VALUE"""),82.83)</f>
        <v/>
      </c>
      <c r="G141" s="143">
        <f>IFERROR(__xludf.DUMMYFUNCTION("""COMPUTED_VALUE"""),3409675)</f>
        <v/>
      </c>
      <c r="H141" s="27" t="n"/>
    </row>
    <row r="142" ht="17.25" customHeight="1" s="322">
      <c r="A142" s="27" t="n"/>
      <c r="B142" s="506">
        <f>IFERROR(__xludf.DUMMYFUNCTION("""COMPUTED_VALUE"""),46034.6666666666)</f>
        <v/>
      </c>
      <c r="C142" s="141">
        <f>IFERROR(__xludf.DUMMYFUNCTION("""COMPUTED_VALUE"""),82.82)</f>
        <v/>
      </c>
      <c r="D142" s="141">
        <f>IFERROR(__xludf.DUMMYFUNCTION("""COMPUTED_VALUE"""),82.84)</f>
        <v/>
      </c>
      <c r="E142" s="141">
        <f>IFERROR(__xludf.DUMMYFUNCTION("""COMPUTED_VALUE"""),82.81)</f>
        <v/>
      </c>
      <c r="F142" s="141">
        <f>IFERROR(__xludf.DUMMYFUNCTION("""COMPUTED_VALUE"""),82.83)</f>
        <v/>
      </c>
      <c r="G142" s="143">
        <f>IFERROR(__xludf.DUMMYFUNCTION("""COMPUTED_VALUE"""),2243111)</f>
        <v/>
      </c>
      <c r="H142" s="27" t="n"/>
    </row>
    <row r="143" ht="17.25" customHeight="1" s="322">
      <c r="A143" s="27" t="n"/>
      <c r="B143" s="506">
        <f>IFERROR(__xludf.DUMMYFUNCTION("""COMPUTED_VALUE"""),46035.6666666666)</f>
        <v/>
      </c>
      <c r="C143" s="141">
        <f>IFERROR(__xludf.DUMMYFUNCTION("""COMPUTED_VALUE"""),82.86)</f>
        <v/>
      </c>
      <c r="D143" s="141">
        <f>IFERROR(__xludf.DUMMYFUNCTION("""COMPUTED_VALUE"""),82.87)</f>
        <v/>
      </c>
      <c r="E143" s="141">
        <f>IFERROR(__xludf.DUMMYFUNCTION("""COMPUTED_VALUE"""),82.84)</f>
        <v/>
      </c>
      <c r="F143" s="141">
        <f>IFERROR(__xludf.DUMMYFUNCTION("""COMPUTED_VALUE"""),82.85)</f>
        <v/>
      </c>
      <c r="G143" s="143">
        <f>IFERROR(__xludf.DUMMYFUNCTION("""COMPUTED_VALUE"""),4656348)</f>
        <v/>
      </c>
      <c r="H143" s="27" t="n"/>
    </row>
    <row r="144" ht="17.25" customHeight="1" s="322">
      <c r="A144" s="27" t="n"/>
      <c r="B144" s="506">
        <f>IFERROR(__xludf.DUMMYFUNCTION("""COMPUTED_VALUE"""),46036.6666666666)</f>
        <v/>
      </c>
      <c r="C144" s="141">
        <f>IFERROR(__xludf.DUMMYFUNCTION("""COMPUTED_VALUE"""),82.88)</f>
        <v/>
      </c>
      <c r="D144" s="141">
        <f>IFERROR(__xludf.DUMMYFUNCTION("""COMPUTED_VALUE"""),82.9)</f>
        <v/>
      </c>
      <c r="E144" s="141">
        <f>IFERROR(__xludf.DUMMYFUNCTION("""COMPUTED_VALUE"""),82.87)</f>
        <v/>
      </c>
      <c r="F144" s="141">
        <f>IFERROR(__xludf.DUMMYFUNCTION("""COMPUTED_VALUE"""),82.87)</f>
        <v/>
      </c>
      <c r="G144" s="143">
        <f>IFERROR(__xludf.DUMMYFUNCTION("""COMPUTED_VALUE"""),3022481)</f>
        <v/>
      </c>
      <c r="H144" s="27" t="n"/>
    </row>
    <row r="145" ht="17.25" customHeight="1" s="322">
      <c r="A145" s="27" t="n"/>
      <c r="B145" s="506">
        <f>IFERROR(__xludf.DUMMYFUNCTION("""COMPUTED_VALUE"""),46037.6666666666)</f>
        <v/>
      </c>
      <c r="C145" s="141">
        <f>IFERROR(__xludf.DUMMYFUNCTION("""COMPUTED_VALUE"""),82.86)</f>
        <v/>
      </c>
      <c r="D145" s="141">
        <f>IFERROR(__xludf.DUMMYFUNCTION("""COMPUTED_VALUE"""),82.86)</f>
        <v/>
      </c>
      <c r="E145" s="141">
        <f>IFERROR(__xludf.DUMMYFUNCTION("""COMPUTED_VALUE"""),82.81)</f>
        <v/>
      </c>
      <c r="F145" s="141">
        <f>IFERROR(__xludf.DUMMYFUNCTION("""COMPUTED_VALUE"""),82.81)</f>
        <v/>
      </c>
      <c r="G145" s="143">
        <f>IFERROR(__xludf.DUMMYFUNCTION("""COMPUTED_VALUE"""),3306703)</f>
        <v/>
      </c>
      <c r="H145" s="27" t="n"/>
    </row>
    <row r="146" ht="17.25" customHeight="1" s="322">
      <c r="A146" s="27" t="n"/>
      <c r="B146" s="506">
        <f>IFERROR(__xludf.DUMMYFUNCTION("""COMPUTED_VALUE"""),46038.6666666666)</f>
        <v/>
      </c>
      <c r="C146" s="141">
        <f>IFERROR(__xludf.DUMMYFUNCTION("""COMPUTED_VALUE"""),82.84)</f>
        <v/>
      </c>
      <c r="D146" s="141">
        <f>IFERROR(__xludf.DUMMYFUNCTION("""COMPUTED_VALUE"""),82.84)</f>
        <v/>
      </c>
      <c r="E146" s="141">
        <f>IFERROR(__xludf.DUMMYFUNCTION("""COMPUTED_VALUE"""),82.78)</f>
        <v/>
      </c>
      <c r="F146" s="141">
        <f>IFERROR(__xludf.DUMMYFUNCTION("""COMPUTED_VALUE"""),82.79)</f>
        <v/>
      </c>
      <c r="G146" s="143">
        <f>IFERROR(__xludf.DUMMYFUNCTION("""COMPUTED_VALUE"""),4540148)</f>
        <v/>
      </c>
      <c r="H146" s="27" t="n"/>
    </row>
    <row r="147" ht="17.25" customHeight="1" s="322">
      <c r="A147" s="27" t="n"/>
      <c r="B147" s="506">
        <f>IFERROR(__xludf.DUMMYFUNCTION("""COMPUTED_VALUE"""),46042.6666666666)</f>
        <v/>
      </c>
      <c r="C147" s="141">
        <f>IFERROR(__xludf.DUMMYFUNCTION("""COMPUTED_VALUE"""),82.81)</f>
        <v/>
      </c>
      <c r="D147" s="141">
        <f>IFERROR(__xludf.DUMMYFUNCTION("""COMPUTED_VALUE"""),82.82)</f>
        <v/>
      </c>
      <c r="E147" s="141">
        <f>IFERROR(__xludf.DUMMYFUNCTION("""COMPUTED_VALUE"""),82.8)</f>
        <v/>
      </c>
      <c r="F147" s="141">
        <f>IFERROR(__xludf.DUMMYFUNCTION("""COMPUTED_VALUE"""),82.8)</f>
        <v/>
      </c>
      <c r="G147" s="143">
        <f>IFERROR(__xludf.DUMMYFUNCTION("""COMPUTED_VALUE"""),5763746)</f>
        <v/>
      </c>
      <c r="H147" s="27" t="n"/>
    </row>
    <row r="148" ht="17.25" customHeight="1" s="322">
      <c r="A148" s="27" t="n"/>
      <c r="B148" s="506">
        <f>IFERROR(__xludf.DUMMYFUNCTION("""COMPUTED_VALUE"""),46043.6666666666)</f>
        <v/>
      </c>
      <c r="C148" s="141">
        <f>IFERROR(__xludf.DUMMYFUNCTION("""COMPUTED_VALUE"""),82.83)</f>
        <v/>
      </c>
      <c r="D148" s="141">
        <f>IFERROR(__xludf.DUMMYFUNCTION("""COMPUTED_VALUE"""),82.84)</f>
        <v/>
      </c>
      <c r="E148" s="141">
        <f>IFERROR(__xludf.DUMMYFUNCTION("""COMPUTED_VALUE"""),82.81)</f>
        <v/>
      </c>
      <c r="F148" s="141">
        <f>IFERROR(__xludf.DUMMYFUNCTION("""COMPUTED_VALUE"""),82.84)</f>
        <v/>
      </c>
      <c r="G148" s="143">
        <f>IFERROR(__xludf.DUMMYFUNCTION("""COMPUTED_VALUE"""),14151395)</f>
        <v/>
      </c>
      <c r="H148" s="27" t="n"/>
    </row>
    <row r="149" ht="17.25" customHeight="1" s="322">
      <c r="A149" s="27" t="n"/>
      <c r="B149" s="506">
        <f>IFERROR(__xludf.DUMMYFUNCTION("""COMPUTED_VALUE"""),46044.6666666666)</f>
        <v/>
      </c>
      <c r="C149" s="141">
        <f>IFERROR(__xludf.DUMMYFUNCTION("""COMPUTED_VALUE"""),82.81)</f>
        <v/>
      </c>
      <c r="D149" s="141">
        <f>IFERROR(__xludf.DUMMYFUNCTION("""COMPUTED_VALUE"""),82.82)</f>
        <v/>
      </c>
      <c r="E149" s="141">
        <f>IFERROR(__xludf.DUMMYFUNCTION("""COMPUTED_VALUE"""),82.79)</f>
        <v/>
      </c>
      <c r="F149" s="141">
        <f>IFERROR(__xludf.DUMMYFUNCTION("""COMPUTED_VALUE"""),82.81)</f>
        <v/>
      </c>
      <c r="G149" s="143">
        <f>IFERROR(__xludf.DUMMYFUNCTION("""COMPUTED_VALUE"""),4878395)</f>
        <v/>
      </c>
      <c r="H149" s="27" t="n"/>
    </row>
    <row r="150" ht="17.25" customHeight="1" s="322">
      <c r="A150" s="27" t="n"/>
      <c r="B150" s="506">
        <f>IFERROR(__xludf.DUMMYFUNCTION("""COMPUTED_VALUE"""),46045.6666666666)</f>
        <v/>
      </c>
      <c r="C150" s="141">
        <f>IFERROR(__xludf.DUMMYFUNCTION("""COMPUTED_VALUE"""),82.83)</f>
        <v/>
      </c>
      <c r="D150" s="141">
        <f>IFERROR(__xludf.DUMMYFUNCTION("""COMPUTED_VALUE"""),82.85)</f>
        <v/>
      </c>
      <c r="E150" s="141">
        <f>IFERROR(__xludf.DUMMYFUNCTION("""COMPUTED_VALUE"""),82.82)</f>
        <v/>
      </c>
      <c r="F150" s="141">
        <f>IFERROR(__xludf.DUMMYFUNCTION("""COMPUTED_VALUE"""),82.84)</f>
        <v/>
      </c>
      <c r="G150" s="143">
        <f>IFERROR(__xludf.DUMMYFUNCTION("""COMPUTED_VALUE"""),2506894)</f>
        <v/>
      </c>
      <c r="H150" s="27" t="n"/>
    </row>
    <row r="151" ht="17.25" customHeight="1" s="322">
      <c r="A151" s="27" t="n"/>
      <c r="B151" s="506">
        <f>IFERROR(__xludf.DUMMYFUNCTION("""COMPUTED_VALUE"""),46048.6666666666)</f>
        <v/>
      </c>
      <c r="C151" s="141">
        <f>IFERROR(__xludf.DUMMYFUNCTION("""COMPUTED_VALUE"""),82.87)</f>
        <v/>
      </c>
      <c r="D151" s="141">
        <f>IFERROR(__xludf.DUMMYFUNCTION("""COMPUTED_VALUE"""),82.88)</f>
        <v/>
      </c>
      <c r="E151" s="141">
        <f>IFERROR(__xludf.DUMMYFUNCTION("""COMPUTED_VALUE"""),82.85)</f>
        <v/>
      </c>
      <c r="F151" s="141">
        <f>IFERROR(__xludf.DUMMYFUNCTION("""COMPUTED_VALUE"""),82.87)</f>
        <v/>
      </c>
      <c r="G151" s="143">
        <f>IFERROR(__xludf.DUMMYFUNCTION("""COMPUTED_VALUE"""),3094288)</f>
        <v/>
      </c>
      <c r="H151" s="27" t="n"/>
    </row>
    <row r="152" ht="17.25" customHeight="1" s="322">
      <c r="A152" s="27" t="n"/>
      <c r="B152" s="506">
        <f>IFERROR(__xludf.DUMMYFUNCTION("""COMPUTED_VALUE"""),46049.6666666666)</f>
        <v/>
      </c>
      <c r="C152" s="141">
        <f>IFERROR(__xludf.DUMMYFUNCTION("""COMPUTED_VALUE"""),82.87)</f>
        <v/>
      </c>
      <c r="D152" s="141">
        <f>IFERROR(__xludf.DUMMYFUNCTION("""COMPUTED_VALUE"""),82.91)</f>
        <v/>
      </c>
      <c r="E152" s="141">
        <f>IFERROR(__xludf.DUMMYFUNCTION("""COMPUTED_VALUE"""),82.87)</f>
        <v/>
      </c>
      <c r="F152" s="141">
        <f>IFERROR(__xludf.DUMMYFUNCTION("""COMPUTED_VALUE"""),82.89)</f>
        <v/>
      </c>
      <c r="G152" s="143">
        <f>IFERROR(__xludf.DUMMYFUNCTION("""COMPUTED_VALUE"""),4339298)</f>
        <v/>
      </c>
      <c r="H152" s="27" t="n"/>
    </row>
    <row r="153" ht="17.25" customHeight="1" s="322">
      <c r="A153" s="27" t="n"/>
      <c r="B153" s="506">
        <f>IFERROR(__xludf.DUMMYFUNCTION("""COMPUTED_VALUE"""),46050.6666666666)</f>
        <v/>
      </c>
      <c r="C153" s="141">
        <f>IFERROR(__xludf.DUMMYFUNCTION("""COMPUTED_VALUE"""),82.91)</f>
        <v/>
      </c>
      <c r="D153" s="141">
        <f>IFERROR(__xludf.DUMMYFUNCTION("""COMPUTED_VALUE"""),82.91)</f>
        <v/>
      </c>
      <c r="E153" s="141">
        <f>IFERROR(__xludf.DUMMYFUNCTION("""COMPUTED_VALUE"""),82.87)</f>
        <v/>
      </c>
      <c r="F153" s="141">
        <f>IFERROR(__xludf.DUMMYFUNCTION("""COMPUTED_VALUE"""),82.89)</f>
        <v/>
      </c>
      <c r="G153" s="143">
        <f>IFERROR(__xludf.DUMMYFUNCTION("""COMPUTED_VALUE"""),4157537)</f>
        <v/>
      </c>
      <c r="H153" s="27" t="n"/>
    </row>
    <row r="154" ht="17.25" customHeight="1" s="322">
      <c r="A154" s="27" t="n"/>
      <c r="B154" s="506">
        <f>IFERROR(__xludf.DUMMYFUNCTION("""COMPUTED_VALUE"""),46051.6666666666)</f>
        <v/>
      </c>
      <c r="C154" s="141">
        <f>IFERROR(__xludf.DUMMYFUNCTION("""COMPUTED_VALUE"""),82.9)</f>
        <v/>
      </c>
      <c r="D154" s="141">
        <f>IFERROR(__xludf.DUMMYFUNCTION("""COMPUTED_VALUE"""),82.95)</f>
        <v/>
      </c>
      <c r="E154" s="141">
        <f>IFERROR(__xludf.DUMMYFUNCTION("""COMPUTED_VALUE"""),82.9)</f>
        <v/>
      </c>
      <c r="F154" s="141">
        <f>IFERROR(__xludf.DUMMYFUNCTION("""COMPUTED_VALUE"""),82.92)</f>
        <v/>
      </c>
      <c r="G154" s="143">
        <f>IFERROR(__xludf.DUMMYFUNCTION("""COMPUTED_VALUE"""),4135826)</f>
        <v/>
      </c>
      <c r="H154" s="27" t="n"/>
    </row>
    <row r="155" ht="17.25" customHeight="1" s="322">
      <c r="A155" s="27" t="n"/>
      <c r="B155" s="506">
        <f>IFERROR(__xludf.DUMMYFUNCTION("""COMPUTED_VALUE"""),46052.6666666666)</f>
        <v/>
      </c>
      <c r="C155" s="141">
        <f>IFERROR(__xludf.DUMMYFUNCTION("""COMPUTED_VALUE"""),82.97)</f>
        <v/>
      </c>
      <c r="D155" s="141">
        <f>IFERROR(__xludf.DUMMYFUNCTION("""COMPUTED_VALUE"""),83.01)</f>
        <v/>
      </c>
      <c r="E155" s="141">
        <f>IFERROR(__xludf.DUMMYFUNCTION("""COMPUTED_VALUE"""),82.96)</f>
        <v/>
      </c>
      <c r="F155" s="141">
        <f>IFERROR(__xludf.DUMMYFUNCTION("""COMPUTED_VALUE"""),82.99)</f>
        <v/>
      </c>
      <c r="G155" s="143">
        <f>IFERROR(__xludf.DUMMYFUNCTION("""COMPUTED_VALUE"""),4272841)</f>
        <v/>
      </c>
      <c r="H155" s="27" t="n"/>
    </row>
    <row r="156" ht="17.25" customHeight="1" s="322">
      <c r="A156" s="27" t="n"/>
      <c r="B156" s="506">
        <f>IFERROR(__xludf.DUMMYFUNCTION("""COMPUTED_VALUE"""),46055.6666666666)</f>
        <v/>
      </c>
      <c r="C156" s="141">
        <f>IFERROR(__xludf.DUMMYFUNCTION("""COMPUTED_VALUE"""),82.74)</f>
        <v/>
      </c>
      <c r="D156" s="141">
        <f>IFERROR(__xludf.DUMMYFUNCTION("""COMPUTED_VALUE"""),82.75)</f>
        <v/>
      </c>
      <c r="E156" s="141">
        <f>IFERROR(__xludf.DUMMYFUNCTION("""COMPUTED_VALUE"""),82.69)</f>
        <v/>
      </c>
      <c r="F156" s="141">
        <f>IFERROR(__xludf.DUMMYFUNCTION("""COMPUTED_VALUE"""),82.7)</f>
        <v/>
      </c>
      <c r="G156" s="143">
        <f>IFERROR(__xludf.DUMMYFUNCTION("""COMPUTED_VALUE"""),4079383)</f>
        <v/>
      </c>
      <c r="H156" s="27" t="n"/>
    </row>
    <row r="157" ht="17.25" customHeight="1" s="322">
      <c r="A157" s="27" t="n"/>
      <c r="B157" s="506">
        <f>IFERROR(__xludf.DUMMYFUNCTION("""COMPUTED_VALUE"""),46056.6666666666)</f>
        <v/>
      </c>
      <c r="C157" s="141">
        <f>IFERROR(__xludf.DUMMYFUNCTION("""COMPUTED_VALUE"""),82.68)</f>
        <v/>
      </c>
      <c r="D157" s="141">
        <f>IFERROR(__xludf.DUMMYFUNCTION("""COMPUTED_VALUE"""),82.71)</f>
        <v/>
      </c>
      <c r="E157" s="141">
        <f>IFERROR(__xludf.DUMMYFUNCTION("""COMPUTED_VALUE"""),82.67)</f>
        <v/>
      </c>
      <c r="F157" s="141">
        <f>IFERROR(__xludf.DUMMYFUNCTION("""COMPUTED_VALUE"""),82.69)</f>
        <v/>
      </c>
      <c r="G157" s="143">
        <f>IFERROR(__xludf.DUMMYFUNCTION("""COMPUTED_VALUE"""),4449959)</f>
        <v/>
      </c>
      <c r="H157" s="27" t="n"/>
    </row>
    <row r="158" ht="17.25" customHeight="1" s="322">
      <c r="A158" s="27" t="n"/>
      <c r="B158" s="506">
        <f>IFERROR(__xludf.DUMMYFUNCTION("""COMPUTED_VALUE"""),46057.6666666666)</f>
        <v/>
      </c>
      <c r="C158" s="141">
        <f>IFERROR(__xludf.DUMMYFUNCTION("""COMPUTED_VALUE"""),82.69)</f>
        <v/>
      </c>
      <c r="D158" s="141">
        <f>IFERROR(__xludf.DUMMYFUNCTION("""COMPUTED_VALUE"""),82.74)</f>
        <v/>
      </c>
      <c r="E158" s="141">
        <f>IFERROR(__xludf.DUMMYFUNCTION("""COMPUTED_VALUE"""),82.69)</f>
        <v/>
      </c>
      <c r="F158" s="141">
        <f>IFERROR(__xludf.DUMMYFUNCTION("""COMPUTED_VALUE"""),82.73)</f>
        <v/>
      </c>
      <c r="G158" s="143">
        <f>IFERROR(__xludf.DUMMYFUNCTION("""COMPUTED_VALUE"""),3945386)</f>
        <v/>
      </c>
      <c r="H158" s="27" t="n"/>
    </row>
    <row r="159" ht="17.25" customHeight="1" s="322">
      <c r="A159" s="27" t="n"/>
      <c r="B159" s="506">
        <f>IFERROR(__xludf.DUMMYFUNCTION("""COMPUTED_VALUE"""),46058.6666666666)</f>
        <v/>
      </c>
      <c r="C159" s="141">
        <f>IFERROR(__xludf.DUMMYFUNCTION("""COMPUTED_VALUE"""),82.82)</f>
        <v/>
      </c>
      <c r="D159" s="141">
        <f>IFERROR(__xludf.DUMMYFUNCTION("""COMPUTED_VALUE"""),82.88)</f>
        <v/>
      </c>
      <c r="E159" s="141">
        <f>IFERROR(__xludf.DUMMYFUNCTION("""COMPUTED_VALUE"""),82.79)</f>
        <v/>
      </c>
      <c r="F159" s="141">
        <f>IFERROR(__xludf.DUMMYFUNCTION("""COMPUTED_VALUE"""),82.86)</f>
        <v/>
      </c>
      <c r="G159" s="143">
        <f>IFERROR(__xludf.DUMMYFUNCTION("""COMPUTED_VALUE"""),6013953)</f>
        <v/>
      </c>
      <c r="H159" s="27" t="n"/>
    </row>
    <row r="160" ht="17.25" customHeight="1" s="322">
      <c r="A160" s="27" t="n"/>
      <c r="B160" s="506">
        <f>IFERROR(__xludf.DUMMYFUNCTION("""COMPUTED_VALUE"""),46059.6666666666)</f>
        <v/>
      </c>
      <c r="C160" s="141">
        <f>IFERROR(__xludf.DUMMYFUNCTION("""COMPUTED_VALUE"""),82.89)</f>
        <v/>
      </c>
      <c r="D160" s="141">
        <f>IFERROR(__xludf.DUMMYFUNCTION("""COMPUTED_VALUE"""),82.89)</f>
        <v/>
      </c>
      <c r="E160" s="141">
        <f>IFERROR(__xludf.DUMMYFUNCTION("""COMPUTED_VALUE"""),82.83)</f>
        <v/>
      </c>
      <c r="F160" s="141">
        <f>IFERROR(__xludf.DUMMYFUNCTION("""COMPUTED_VALUE"""),82.86)</f>
        <v/>
      </c>
      <c r="G160" s="143">
        <f>IFERROR(__xludf.DUMMYFUNCTION("""COMPUTED_VALUE"""),7414430)</f>
        <v/>
      </c>
      <c r="H160" s="27" t="n"/>
    </row>
    <row r="161" ht="17.25" customHeight="1" s="322">
      <c r="A161" s="27" t="n"/>
      <c r="B161" s="506">
        <f>IFERROR(__xludf.DUMMYFUNCTION("""COMPUTED_VALUE"""),46062.6666666666)</f>
        <v/>
      </c>
      <c r="C161" s="141">
        <f>IFERROR(__xludf.DUMMYFUNCTION("""COMPUTED_VALUE"""),82.88)</f>
        <v/>
      </c>
      <c r="D161" s="141">
        <f>IFERROR(__xludf.DUMMYFUNCTION("""COMPUTED_VALUE"""),82.89)</f>
        <v/>
      </c>
      <c r="E161" s="141">
        <f>IFERROR(__xludf.DUMMYFUNCTION("""COMPUTED_VALUE"""),82.87)</f>
        <v/>
      </c>
      <c r="F161" s="141">
        <f>IFERROR(__xludf.DUMMYFUNCTION("""COMPUTED_VALUE"""),82.88)</f>
        <v/>
      </c>
      <c r="G161" s="143">
        <f>IFERROR(__xludf.DUMMYFUNCTION("""COMPUTED_VALUE"""),6928894)</f>
        <v/>
      </c>
      <c r="H161" s="27" t="n"/>
    </row>
    <row r="162" ht="17.25" customHeight="1" s="322">
      <c r="A162" s="27" t="n"/>
      <c r="B162" s="506">
        <f>IFERROR(__xludf.DUMMYFUNCTION("""COMPUTED_VALUE"""),46063.6666666666)</f>
        <v/>
      </c>
      <c r="C162" s="141">
        <f>IFERROR(__xludf.DUMMYFUNCTION("""COMPUTED_VALUE"""),82.93)</f>
        <v/>
      </c>
      <c r="D162" s="141">
        <f>IFERROR(__xludf.DUMMYFUNCTION("""COMPUTED_VALUE"""),82.95)</f>
        <v/>
      </c>
      <c r="E162" s="141">
        <f>IFERROR(__xludf.DUMMYFUNCTION("""COMPUTED_VALUE"""),82.92)</f>
        <v/>
      </c>
      <c r="F162" s="141">
        <f>IFERROR(__xludf.DUMMYFUNCTION("""COMPUTED_VALUE"""),82.93)</f>
        <v/>
      </c>
      <c r="G162" s="143">
        <f>IFERROR(__xludf.DUMMYFUNCTION("""COMPUTED_VALUE"""),4736221)</f>
        <v/>
      </c>
      <c r="H162" s="27" t="n"/>
    </row>
    <row r="163" ht="17.25" customHeight="1" s="322">
      <c r="A163" s="27" t="n"/>
      <c r="B163" s="506">
        <f>IFERROR(__xludf.DUMMYFUNCTION("""COMPUTED_VALUE"""),46064.6666666666)</f>
        <v/>
      </c>
      <c r="C163" s="141">
        <f>IFERROR(__xludf.DUMMYFUNCTION("""COMPUTED_VALUE"""),82.85)</f>
        <v/>
      </c>
      <c r="D163" s="141">
        <f>IFERROR(__xludf.DUMMYFUNCTION("""COMPUTED_VALUE"""),82.89)</f>
        <v/>
      </c>
      <c r="E163" s="141">
        <f>IFERROR(__xludf.DUMMYFUNCTION("""COMPUTED_VALUE"""),82.83)</f>
        <v/>
      </c>
      <c r="F163" s="141">
        <f>IFERROR(__xludf.DUMMYFUNCTION("""COMPUTED_VALUE"""),82.85)</f>
        <v/>
      </c>
      <c r="G163" s="143">
        <f>IFERROR(__xludf.DUMMYFUNCTION("""COMPUTED_VALUE"""),3509982)</f>
        <v/>
      </c>
      <c r="H163" s="27" t="n"/>
    </row>
    <row r="164" ht="17.25" customHeight="1" s="322">
      <c r="A164" s="27" t="n"/>
      <c r="B164" s="506">
        <f>IFERROR(__xludf.DUMMYFUNCTION("""COMPUTED_VALUE"""),46065.6666666666)</f>
        <v/>
      </c>
      <c r="C164" s="141">
        <f>IFERROR(__xludf.DUMMYFUNCTION("""COMPUTED_VALUE"""),82.88)</f>
        <v/>
      </c>
      <c r="D164" s="141">
        <f>IFERROR(__xludf.DUMMYFUNCTION("""COMPUTED_VALUE"""),82.95)</f>
        <v/>
      </c>
      <c r="E164" s="141">
        <f>IFERROR(__xludf.DUMMYFUNCTION("""COMPUTED_VALUE"""),82.87)</f>
        <v/>
      </c>
      <c r="F164" s="141">
        <f>IFERROR(__xludf.DUMMYFUNCTION("""COMPUTED_VALUE"""),82.93)</f>
        <v/>
      </c>
      <c r="G164" s="143">
        <f>IFERROR(__xludf.DUMMYFUNCTION("""COMPUTED_VALUE"""),3377323)</f>
        <v/>
      </c>
      <c r="H164" s="27" t="n"/>
    </row>
    <row r="165" ht="17.25" customHeight="1" s="322">
      <c r="A165" s="27" t="n"/>
      <c r="B165" s="506">
        <f>IFERROR(__xludf.DUMMYFUNCTION("""COMPUTED_VALUE"""),46066.6666666666)</f>
        <v/>
      </c>
      <c r="C165" s="141">
        <f>IFERROR(__xludf.DUMMYFUNCTION("""COMPUTED_VALUE"""),83.04)</f>
        <v/>
      </c>
      <c r="D165" s="141">
        <f>IFERROR(__xludf.DUMMYFUNCTION("""COMPUTED_VALUE"""),83.07)</f>
        <v/>
      </c>
      <c r="E165" s="141">
        <f>IFERROR(__xludf.DUMMYFUNCTION("""COMPUTED_VALUE"""),83.03)</f>
        <v/>
      </c>
      <c r="F165" s="141">
        <f>IFERROR(__xludf.DUMMYFUNCTION("""COMPUTED_VALUE"""),83.06)</f>
        <v/>
      </c>
      <c r="G165" s="143">
        <f>IFERROR(__xludf.DUMMYFUNCTION("""COMPUTED_VALUE"""),3564221)</f>
        <v/>
      </c>
      <c r="H165" s="27" t="n"/>
    </row>
    <row r="166" ht="17.25" customHeight="1" s="322">
      <c r="A166" s="27" t="n"/>
      <c r="B166" s="506">
        <f>IFERROR(__xludf.DUMMYFUNCTION("""COMPUTED_VALUE"""),46070.6666666666)</f>
        <v/>
      </c>
      <c r="C166" s="141">
        <f>IFERROR(__xludf.DUMMYFUNCTION("""COMPUTED_VALUE"""),83.04)</f>
        <v/>
      </c>
      <c r="D166" s="141">
        <f>IFERROR(__xludf.DUMMYFUNCTION("""COMPUTED_VALUE"""),83.05)</f>
        <v/>
      </c>
      <c r="E166" s="141">
        <f>IFERROR(__xludf.DUMMYFUNCTION("""COMPUTED_VALUE"""),83.01)</f>
        <v/>
      </c>
      <c r="F166" s="141">
        <f>IFERROR(__xludf.DUMMYFUNCTION("""COMPUTED_VALUE"""),83.03)</f>
        <v/>
      </c>
      <c r="G166" s="143">
        <f>IFERROR(__xludf.DUMMYFUNCTION("""COMPUTED_VALUE"""),3293803)</f>
        <v/>
      </c>
      <c r="H166" s="27" t="n"/>
    </row>
    <row r="167" ht="17.25" customHeight="1" s="322">
      <c r="A167" s="27" t="n"/>
      <c r="B167" s="506">
        <f>IFERROR(__xludf.DUMMYFUNCTION("""COMPUTED_VALUE"""),46071.6666666666)</f>
        <v/>
      </c>
      <c r="C167" s="141">
        <f>IFERROR(__xludf.DUMMYFUNCTION("""COMPUTED_VALUE"""),82.98)</f>
        <v/>
      </c>
      <c r="D167" s="141">
        <f>IFERROR(__xludf.DUMMYFUNCTION("""COMPUTED_VALUE"""),83)</f>
        <v/>
      </c>
      <c r="E167" s="141">
        <f>IFERROR(__xludf.DUMMYFUNCTION("""COMPUTED_VALUE"""),82.98)</f>
        <v/>
      </c>
      <c r="F167" s="141">
        <f>IFERROR(__xludf.DUMMYFUNCTION("""COMPUTED_VALUE"""),82.98)</f>
        <v/>
      </c>
      <c r="G167" s="143">
        <f>IFERROR(__xludf.DUMMYFUNCTION("""COMPUTED_VALUE"""),2145507)</f>
        <v/>
      </c>
      <c r="H167" s="27" t="n"/>
    </row>
    <row r="168" ht="17.25" customHeight="1" s="322">
      <c r="A168" s="27" t="n"/>
      <c r="B168" s="506">
        <f>IFERROR(__xludf.DUMMYFUNCTION("""COMPUTED_VALUE"""),46072.6666666666)</f>
        <v/>
      </c>
      <c r="C168" s="141">
        <f>IFERROR(__xludf.DUMMYFUNCTION("""COMPUTED_VALUE"""),82.97)</f>
        <v/>
      </c>
      <c r="D168" s="141">
        <f>IFERROR(__xludf.DUMMYFUNCTION("""COMPUTED_VALUE"""),83.01)</f>
        <v/>
      </c>
      <c r="E168" s="141">
        <f>IFERROR(__xludf.DUMMYFUNCTION("""COMPUTED_VALUE"""),82.97)</f>
        <v/>
      </c>
      <c r="F168" s="141">
        <f>IFERROR(__xludf.DUMMYFUNCTION("""COMPUTED_VALUE"""),82.98)</f>
        <v/>
      </c>
      <c r="G168" s="143">
        <f>IFERROR(__xludf.DUMMYFUNCTION("""COMPUTED_VALUE"""),2653949)</f>
        <v/>
      </c>
      <c r="H168" s="27" t="n"/>
    </row>
    <row r="169" ht="17.25" customHeight="1" s="322">
      <c r="A169" s="27" t="n"/>
      <c r="B169" s="506">
        <f>IFERROR(__xludf.DUMMYFUNCTION("""COMPUTED_VALUE"""),46073.6666666666)</f>
        <v/>
      </c>
      <c r="C169" s="141">
        <f>IFERROR(__xludf.DUMMYFUNCTION("""COMPUTED_VALUE"""),83.01)</f>
        <v/>
      </c>
      <c r="D169" s="141">
        <f>IFERROR(__xludf.DUMMYFUNCTION("""COMPUTED_VALUE"""),83.02)</f>
        <v/>
      </c>
      <c r="E169" s="141">
        <f>IFERROR(__xludf.DUMMYFUNCTION("""COMPUTED_VALUE"""),82.97)</f>
        <v/>
      </c>
      <c r="F169" s="141">
        <f>IFERROR(__xludf.DUMMYFUNCTION("""COMPUTED_VALUE"""),82.99)</f>
        <v/>
      </c>
      <c r="G169" s="143">
        <f>IFERROR(__xludf.DUMMYFUNCTION("""COMPUTED_VALUE"""),3451937)</f>
        <v/>
      </c>
      <c r="H169" s="27" t="n"/>
    </row>
    <row r="170" ht="17.25" customHeight="1" s="322">
      <c r="A170" s="27" t="n"/>
      <c r="B170" s="506">
        <f>IFERROR(__xludf.DUMMYFUNCTION("""COMPUTED_VALUE"""),46076.6666666666)</f>
        <v/>
      </c>
      <c r="C170" s="141">
        <f>IFERROR(__xludf.DUMMYFUNCTION("""COMPUTED_VALUE"""),83.02)</f>
        <v/>
      </c>
      <c r="D170" s="141">
        <f>IFERROR(__xludf.DUMMYFUNCTION("""COMPUTED_VALUE"""),83.08)</f>
        <v/>
      </c>
      <c r="E170" s="141">
        <f>IFERROR(__xludf.DUMMYFUNCTION("""COMPUTED_VALUE"""),83)</f>
        <v/>
      </c>
      <c r="F170" s="141">
        <f>IFERROR(__xludf.DUMMYFUNCTION("""COMPUTED_VALUE"""),83.06)</f>
        <v/>
      </c>
      <c r="G170" s="143">
        <f>IFERROR(__xludf.DUMMYFUNCTION("""COMPUTED_VALUE"""),2797087)</f>
        <v/>
      </c>
      <c r="H170" s="27" t="n"/>
    </row>
    <row r="171" ht="17.25" customHeight="1" s="322">
      <c r="A171" s="27" t="n"/>
      <c r="B171" s="506">
        <f>IFERROR(__xludf.DUMMYFUNCTION("""COMPUTED_VALUE"""),46077.6666666666)</f>
        <v/>
      </c>
      <c r="C171" s="141">
        <f>IFERROR(__xludf.DUMMYFUNCTION("""COMPUTED_VALUE"""),83.05)</f>
        <v/>
      </c>
      <c r="D171" s="141">
        <f>IFERROR(__xludf.DUMMYFUNCTION("""COMPUTED_VALUE"""),83.07)</f>
        <v/>
      </c>
      <c r="E171" s="141">
        <f>IFERROR(__xludf.DUMMYFUNCTION("""COMPUTED_VALUE"""),83.03)</f>
        <v/>
      </c>
      <c r="F171" s="141">
        <f>IFERROR(__xludf.DUMMYFUNCTION("""COMPUTED_VALUE"""),83.06)</f>
        <v/>
      </c>
      <c r="G171" s="143">
        <f>IFERROR(__xludf.DUMMYFUNCTION("""COMPUTED_VALUE"""),5223899)</f>
        <v/>
      </c>
      <c r="H171" s="27" t="n"/>
    </row>
    <row r="172" ht="17.25" customHeight="1" s="322">
      <c r="A172" s="27" t="n"/>
      <c r="B172" s="506">
        <f>IFERROR(__xludf.DUMMYFUNCTION("""COMPUTED_VALUE"""),46078.6666666666)</f>
        <v/>
      </c>
      <c r="C172" s="141">
        <f>IFERROR(__xludf.DUMMYFUNCTION("""COMPUTED_VALUE"""),83.03)</f>
        <v/>
      </c>
      <c r="D172" s="141">
        <f>IFERROR(__xludf.DUMMYFUNCTION("""COMPUTED_VALUE"""),83.04)</f>
        <v/>
      </c>
      <c r="E172" s="141">
        <f>IFERROR(__xludf.DUMMYFUNCTION("""COMPUTED_VALUE"""),83.01)</f>
        <v/>
      </c>
      <c r="F172" s="141">
        <f>IFERROR(__xludf.DUMMYFUNCTION("""COMPUTED_VALUE"""),83.04)</f>
        <v/>
      </c>
      <c r="G172" s="143">
        <f>IFERROR(__xludf.DUMMYFUNCTION("""COMPUTED_VALUE"""),4492766)</f>
        <v/>
      </c>
      <c r="H172" s="27" t="n"/>
    </row>
    <row r="173" ht="17.25" customHeight="1" s="322">
      <c r="A173" s="27" t="n"/>
      <c r="B173" s="506">
        <f>IFERROR(__xludf.DUMMYFUNCTION("""COMPUTED_VALUE"""),46079.6666666666)</f>
        <v/>
      </c>
      <c r="C173" s="141">
        <f>IFERROR(__xludf.DUMMYFUNCTION("""COMPUTED_VALUE"""),83.03)</f>
        <v/>
      </c>
      <c r="D173" s="141">
        <f>IFERROR(__xludf.DUMMYFUNCTION("""COMPUTED_VALUE"""),83.09)</f>
        <v/>
      </c>
      <c r="E173" s="141">
        <f>IFERROR(__xludf.DUMMYFUNCTION("""COMPUTED_VALUE"""),83.03)</f>
        <v/>
      </c>
      <c r="F173" s="141">
        <f>IFERROR(__xludf.DUMMYFUNCTION("""COMPUTED_VALUE"""),83.07)</f>
        <v/>
      </c>
      <c r="G173" s="143">
        <f>IFERROR(__xludf.DUMMYFUNCTION("""COMPUTED_VALUE"""),7833504)</f>
        <v/>
      </c>
      <c r="H173" s="27" t="n"/>
    </row>
    <row r="174" ht="17.25" customHeight="1" s="322">
      <c r="A174" s="27" t="n"/>
      <c r="B174" s="506">
        <f>IFERROR(__xludf.DUMMYFUNCTION("""COMPUTED_VALUE"""),46080.6666666666)</f>
        <v/>
      </c>
      <c r="C174" s="141">
        <f>IFERROR(__xludf.DUMMYFUNCTION("""COMPUTED_VALUE"""),83.16)</f>
        <v/>
      </c>
      <c r="D174" s="141">
        <f>IFERROR(__xludf.DUMMYFUNCTION("""COMPUTED_VALUE"""),83.2)</f>
        <v/>
      </c>
      <c r="E174" s="141">
        <f>IFERROR(__xludf.DUMMYFUNCTION("""COMPUTED_VALUE"""),83.15)</f>
        <v/>
      </c>
      <c r="F174" s="141">
        <f>IFERROR(__xludf.DUMMYFUNCTION("""COMPUTED_VALUE"""),83.18)</f>
        <v/>
      </c>
      <c r="G174" s="143">
        <f>IFERROR(__xludf.DUMMYFUNCTION("""COMPUTED_VALUE"""),5652017)</f>
        <v/>
      </c>
      <c r="H174" s="27" t="n"/>
    </row>
    <row r="175" ht="17.25" customHeight="1" s="322">
      <c r="A175" s="27" t="n"/>
      <c r="B175" s="506">
        <f>IFERROR(__xludf.DUMMYFUNCTION("""COMPUTED_VALUE"""),46083.6666666666)</f>
        <v/>
      </c>
      <c r="C175" s="141">
        <f>IFERROR(__xludf.DUMMYFUNCTION("""COMPUTED_VALUE"""),82.88)</f>
        <v/>
      </c>
      <c r="D175" s="141">
        <f>IFERROR(__xludf.DUMMYFUNCTION("""COMPUTED_VALUE"""),82.89)</f>
        <v/>
      </c>
      <c r="E175" s="141">
        <f>IFERROR(__xludf.DUMMYFUNCTION("""COMPUTED_VALUE"""),82.79)</f>
        <v/>
      </c>
      <c r="F175" s="141">
        <f>IFERROR(__xludf.DUMMYFUNCTION("""COMPUTED_VALUE"""),82.81)</f>
        <v/>
      </c>
      <c r="G175" s="143">
        <f>IFERROR(__xludf.DUMMYFUNCTION("""COMPUTED_VALUE"""),7067875)</f>
        <v/>
      </c>
      <c r="H175" s="27" t="n"/>
    </row>
    <row r="176" ht="17.25" customHeight="1" s="322">
      <c r="A176" s="27" t="n"/>
      <c r="B176" s="506">
        <f>IFERROR(__xludf.DUMMYFUNCTION("""COMPUTED_VALUE"""),46084.6666666666)</f>
        <v/>
      </c>
      <c r="C176" s="141">
        <f>IFERROR(__xludf.DUMMYFUNCTION("""COMPUTED_VALUE"""),82.72)</f>
        <v/>
      </c>
      <c r="D176" s="141">
        <f>IFERROR(__xludf.DUMMYFUNCTION("""COMPUTED_VALUE"""),82.82)</f>
        <v/>
      </c>
      <c r="E176" s="141">
        <f>IFERROR(__xludf.DUMMYFUNCTION("""COMPUTED_VALUE"""),82.71)</f>
        <v/>
      </c>
      <c r="F176" s="141">
        <f>IFERROR(__xludf.DUMMYFUNCTION("""COMPUTED_VALUE"""),82.8)</f>
        <v/>
      </c>
      <c r="G176" s="143">
        <f>IFERROR(__xludf.DUMMYFUNCTION("""COMPUTED_VALUE"""),5813807)</f>
        <v/>
      </c>
      <c r="H176" s="27" t="n"/>
    </row>
    <row r="177" ht="17.25" customHeight="1" s="322">
      <c r="A177" s="27" t="n"/>
      <c r="B177" s="506">
        <f>IFERROR(__xludf.DUMMYFUNCTION("""COMPUTED_VALUE"""),46085.6666666666)</f>
        <v/>
      </c>
      <c r="C177" s="141">
        <f>IFERROR(__xludf.DUMMYFUNCTION("""COMPUTED_VALUE"""),82.79)</f>
        <v/>
      </c>
      <c r="D177" s="141">
        <f>IFERROR(__xludf.DUMMYFUNCTION("""COMPUTED_VALUE"""),82.8)</f>
        <v/>
      </c>
      <c r="E177" s="141">
        <f>IFERROR(__xludf.DUMMYFUNCTION("""COMPUTED_VALUE"""),82.73)</f>
        <v/>
      </c>
      <c r="F177" s="141">
        <f>IFERROR(__xludf.DUMMYFUNCTION("""COMPUTED_VALUE"""),82.75)</f>
        <v/>
      </c>
      <c r="G177" s="143">
        <f>IFERROR(__xludf.DUMMYFUNCTION("""COMPUTED_VALUE"""),5024333)</f>
        <v/>
      </c>
      <c r="H177" s="27" t="n"/>
    </row>
    <row r="178" ht="17.25" customHeight="1" s="322">
      <c r="A178" s="27" t="n"/>
      <c r="B178" s="506">
        <f>IFERROR(__xludf.DUMMYFUNCTION("""COMPUTED_VALUE"""),46086.6666666666)</f>
        <v/>
      </c>
      <c r="C178" s="141">
        <f>IFERROR(__xludf.DUMMYFUNCTION("""COMPUTED_VALUE"""),82.68)</f>
        <v/>
      </c>
      <c r="D178" s="141">
        <f>IFERROR(__xludf.DUMMYFUNCTION("""COMPUTED_VALUE"""),82.71)</f>
        <v/>
      </c>
      <c r="E178" s="141">
        <f>IFERROR(__xludf.DUMMYFUNCTION("""COMPUTED_VALUE"""),82.66)</f>
        <v/>
      </c>
      <c r="F178" s="141">
        <f>IFERROR(__xludf.DUMMYFUNCTION("""COMPUTED_VALUE"""),82.69)</f>
        <v/>
      </c>
      <c r="G178" s="143">
        <f>IFERROR(__xludf.DUMMYFUNCTION("""COMPUTED_VALUE"""),7133963)</f>
        <v/>
      </c>
      <c r="H178" s="27" t="n"/>
    </row>
    <row r="179" ht="17.25" customHeight="1" s="322">
      <c r="A179" s="27" t="n"/>
      <c r="B179" s="506">
        <f>IFERROR(__xludf.DUMMYFUNCTION("""COMPUTED_VALUE"""),46087.6666666666)</f>
        <v/>
      </c>
      <c r="C179" s="141">
        <f>IFERROR(__xludf.DUMMYFUNCTION("""COMPUTED_VALUE"""),82.67)</f>
        <v/>
      </c>
      <c r="D179" s="141">
        <f>IFERROR(__xludf.DUMMYFUNCTION("""COMPUTED_VALUE"""),82.81)</f>
        <v/>
      </c>
      <c r="E179" s="141">
        <f>IFERROR(__xludf.DUMMYFUNCTION("""COMPUTED_VALUE"""),82.67)</f>
        <v/>
      </c>
      <c r="F179" s="141">
        <f>IFERROR(__xludf.DUMMYFUNCTION("""COMPUTED_VALUE"""),82.73)</f>
        <v/>
      </c>
      <c r="G179" s="143">
        <f>IFERROR(__xludf.DUMMYFUNCTION("""COMPUTED_VALUE"""),5746113)</f>
        <v/>
      </c>
      <c r="H179" s="27" t="n"/>
    </row>
    <row r="180" ht="17.25" customHeight="1" s="322">
      <c r="A180" s="27" t="n"/>
      <c r="B180" s="506">
        <f>IFERROR(__xludf.DUMMYFUNCTION("""COMPUTED_VALUE"""),46090.6666666666)</f>
        <v/>
      </c>
      <c r="C180" s="141">
        <f>IFERROR(__xludf.DUMMYFUNCTION("""COMPUTED_VALUE"""),82.7)</f>
        <v/>
      </c>
      <c r="D180" s="141">
        <f>IFERROR(__xludf.DUMMYFUNCTION("""COMPUTED_VALUE"""),82.78)</f>
        <v/>
      </c>
      <c r="E180" s="141">
        <f>IFERROR(__xludf.DUMMYFUNCTION("""COMPUTED_VALUE"""),82.67)</f>
        <v/>
      </c>
      <c r="F180" s="141">
        <f>IFERROR(__xludf.DUMMYFUNCTION("""COMPUTED_VALUE"""),82.77)</f>
        <v/>
      </c>
      <c r="G180" s="143">
        <f>IFERROR(__xludf.DUMMYFUNCTION("""COMPUTED_VALUE"""),4888756)</f>
        <v/>
      </c>
      <c r="H180" s="27" t="n"/>
    </row>
    <row r="181" ht="17.25" customHeight="1" s="322">
      <c r="A181" s="27" t="n"/>
      <c r="B181" s="506">
        <f>IFERROR(__xludf.DUMMYFUNCTION("""COMPUTED_VALUE"""),46091.6666666666)</f>
        <v/>
      </c>
      <c r="C181" s="141">
        <f>IFERROR(__xludf.DUMMYFUNCTION("""COMPUTED_VALUE"""),82.77)</f>
        <v/>
      </c>
      <c r="D181" s="141">
        <f>IFERROR(__xludf.DUMMYFUNCTION("""COMPUTED_VALUE"""),82.8)</f>
        <v/>
      </c>
      <c r="E181" s="141">
        <f>IFERROR(__xludf.DUMMYFUNCTION("""COMPUTED_VALUE"""),82.71)</f>
        <v/>
      </c>
      <c r="F181" s="141">
        <f>IFERROR(__xludf.DUMMYFUNCTION("""COMPUTED_VALUE"""),82.72)</f>
        <v/>
      </c>
      <c r="G181" s="143">
        <f>IFERROR(__xludf.DUMMYFUNCTION("""COMPUTED_VALUE"""),4496901)</f>
        <v/>
      </c>
      <c r="H181" s="27" t="n"/>
    </row>
    <row r="182" ht="17.25" customHeight="1" s="322">
      <c r="A182" s="27" t="n"/>
      <c r="B182" s="506">
        <f>IFERROR(__xludf.DUMMYFUNCTION("""COMPUTED_VALUE"""),46092.6666666666)</f>
        <v/>
      </c>
      <c r="C182" s="141">
        <f>IFERROR(__xludf.DUMMYFUNCTION("""COMPUTED_VALUE"""),82.68)</f>
        <v/>
      </c>
      <c r="D182" s="141">
        <f>IFERROR(__xludf.DUMMYFUNCTION("""COMPUTED_VALUE"""),82.69)</f>
        <v/>
      </c>
      <c r="E182" s="141">
        <f>IFERROR(__xludf.DUMMYFUNCTION("""COMPUTED_VALUE"""),82.64)</f>
        <v/>
      </c>
      <c r="F182" s="141">
        <f>IFERROR(__xludf.DUMMYFUNCTION("""COMPUTED_VALUE"""),82.64)</f>
        <v/>
      </c>
      <c r="G182" s="143">
        <f>IFERROR(__xludf.DUMMYFUNCTION("""COMPUTED_VALUE"""),3977180)</f>
        <v/>
      </c>
      <c r="H182" s="27" t="n"/>
    </row>
    <row r="183" ht="17.25" customHeight="1" s="322">
      <c r="A183" s="27" t="n"/>
      <c r="B183" s="506">
        <f>IFERROR(__xludf.DUMMYFUNCTION("""COMPUTED_VALUE"""),46093.6666666666)</f>
        <v/>
      </c>
      <c r="C183" s="141">
        <f>IFERROR(__xludf.DUMMYFUNCTION("""COMPUTED_VALUE"""),82.61)</f>
        <v/>
      </c>
      <c r="D183" s="141">
        <f>IFERROR(__xludf.DUMMYFUNCTION("""COMPUTED_VALUE"""),82.63)</f>
        <v/>
      </c>
      <c r="E183" s="141">
        <f>IFERROR(__xludf.DUMMYFUNCTION("""COMPUTED_VALUE"""),82.47)</f>
        <v/>
      </c>
      <c r="F183" s="141">
        <f>IFERROR(__xludf.DUMMYFUNCTION("""COMPUTED_VALUE"""),82.5)</f>
        <v/>
      </c>
      <c r="G183" s="143">
        <f>IFERROR(__xludf.DUMMYFUNCTION("""COMPUTED_VALUE"""),8506923)</f>
        <v/>
      </c>
      <c r="H183" s="27" t="n"/>
    </row>
    <row r="184" ht="17.25" customHeight="1" s="322">
      <c r="A184" s="27" t="n"/>
      <c r="B184" s="506">
        <f>IFERROR(__xludf.DUMMYFUNCTION("""COMPUTED_VALUE"""),46094.6666666666)</f>
        <v/>
      </c>
      <c r="C184" s="141">
        <f>IFERROR(__xludf.DUMMYFUNCTION("""COMPUTED_VALUE"""),82.6)</f>
        <v/>
      </c>
      <c r="D184" s="141">
        <f>IFERROR(__xludf.DUMMYFUNCTION("""COMPUTED_VALUE"""),82.61)</f>
        <v/>
      </c>
      <c r="E184" s="141">
        <f>IFERROR(__xludf.DUMMYFUNCTION("""COMPUTED_VALUE"""),82.53)</f>
        <v/>
      </c>
      <c r="F184" s="141">
        <f>IFERROR(__xludf.DUMMYFUNCTION("""COMPUTED_VALUE"""),82.55)</f>
        <v/>
      </c>
      <c r="G184" s="143">
        <f>IFERROR(__xludf.DUMMYFUNCTION("""COMPUTED_VALUE"""),7184093)</f>
        <v/>
      </c>
      <c r="H184" s="27" t="n"/>
    </row>
    <row r="185" ht="17.25" customHeight="1" s="322">
      <c r="A185" s="27" t="n"/>
      <c r="B185" s="506">
        <f>IFERROR(__xludf.DUMMYFUNCTION("""COMPUTED_VALUE"""),46097.6666666666)</f>
        <v/>
      </c>
      <c r="C185" s="141">
        <f>IFERROR(__xludf.DUMMYFUNCTION("""COMPUTED_VALUE"""),82.64)</f>
        <v/>
      </c>
      <c r="D185" s="141">
        <f>IFERROR(__xludf.DUMMYFUNCTION("""COMPUTED_VALUE"""),82.65)</f>
        <v/>
      </c>
      <c r="E185" s="141">
        <f>IFERROR(__xludf.DUMMYFUNCTION("""COMPUTED_VALUE"""),82.59)</f>
        <v/>
      </c>
      <c r="F185" s="141">
        <f>IFERROR(__xludf.DUMMYFUNCTION("""COMPUTED_VALUE"""),82.65)</f>
        <v/>
      </c>
      <c r="G185" s="143">
        <f>IFERROR(__xludf.DUMMYFUNCTION("""COMPUTED_VALUE"""),4785616)</f>
        <v/>
      </c>
      <c r="H185" s="27" t="n"/>
    </row>
    <row r="186" ht="17.25" customHeight="1" s="322">
      <c r="A186" s="27" t="n"/>
      <c r="B186" s="506">
        <f>IFERROR(__xludf.DUMMYFUNCTION("""COMPUTED_VALUE"""),46098.6666666666)</f>
        <v/>
      </c>
      <c r="C186" s="141">
        <f>IFERROR(__xludf.DUMMYFUNCTION("""COMPUTED_VALUE"""),82.65)</f>
        <v/>
      </c>
      <c r="D186" s="141">
        <f>IFERROR(__xludf.DUMMYFUNCTION("""COMPUTED_VALUE"""),82.68)</f>
        <v/>
      </c>
      <c r="E186" s="141">
        <f>IFERROR(__xludf.DUMMYFUNCTION("""COMPUTED_VALUE"""),82.65)</f>
        <v/>
      </c>
      <c r="F186" s="141">
        <f>IFERROR(__xludf.DUMMYFUNCTION("""COMPUTED_VALUE"""),82.66)</f>
        <v/>
      </c>
      <c r="G186" s="143">
        <f>IFERROR(__xludf.DUMMYFUNCTION("""COMPUTED_VALUE"""),3379676)</f>
        <v/>
      </c>
      <c r="H186" s="27" t="n"/>
    </row>
    <row r="187" ht="17.25" customHeight="1" s="322">
      <c r="A187" s="27" t="n"/>
      <c r="B187" s="506">
        <f>IFERROR(__xludf.DUMMYFUNCTION("""COMPUTED_VALUE"""),46099.6666666666)</f>
        <v/>
      </c>
      <c r="C187" s="141">
        <f>IFERROR(__xludf.DUMMYFUNCTION("""COMPUTED_VALUE"""),82.6)</f>
        <v/>
      </c>
      <c r="D187" s="141">
        <f>IFERROR(__xludf.DUMMYFUNCTION("""COMPUTED_VALUE"""),82.63)</f>
        <v/>
      </c>
      <c r="E187" s="141">
        <f>IFERROR(__xludf.DUMMYFUNCTION("""COMPUTED_VALUE"""),82.51)</f>
        <v/>
      </c>
      <c r="F187" s="141">
        <f>IFERROR(__xludf.DUMMYFUNCTION("""COMPUTED_VALUE"""),82.51)</f>
        <v/>
      </c>
      <c r="G187" s="143">
        <f>IFERROR(__xludf.DUMMYFUNCTION("""COMPUTED_VALUE"""),5624608)</f>
        <v/>
      </c>
      <c r="H187" s="27" t="n"/>
    </row>
    <row r="188" ht="17.25" customHeight="1" s="322">
      <c r="A188" s="27" t="n"/>
      <c r="B188" s="506">
        <f>IFERROR(__xludf.DUMMYFUNCTION("""COMPUTED_VALUE"""),46100.6666666666)</f>
        <v/>
      </c>
      <c r="C188" s="141">
        <f>IFERROR(__xludf.DUMMYFUNCTION("""COMPUTED_VALUE"""),82.39)</f>
        <v/>
      </c>
      <c r="D188" s="141">
        <f>IFERROR(__xludf.DUMMYFUNCTION("""COMPUTED_VALUE"""),82.53)</f>
        <v/>
      </c>
      <c r="E188" s="141">
        <f>IFERROR(__xludf.DUMMYFUNCTION("""COMPUTED_VALUE"""),82.37)</f>
        <v/>
      </c>
      <c r="F188" s="141">
        <f>IFERROR(__xludf.DUMMYFUNCTION("""COMPUTED_VALUE"""),82.49)</f>
        <v/>
      </c>
      <c r="G188" s="143">
        <f>IFERROR(__xludf.DUMMYFUNCTION("""COMPUTED_VALUE"""),12151286)</f>
        <v/>
      </c>
      <c r="H188" s="27" t="n"/>
    </row>
    <row r="189" ht="17.25" customHeight="1" s="322">
      <c r="A189" s="27" t="n"/>
      <c r="B189" s="506">
        <f>IFERROR(__xludf.DUMMYFUNCTION("""COMPUTED_VALUE"""),46101.6666666666)</f>
        <v/>
      </c>
      <c r="C189" s="141">
        <f>IFERROR(__xludf.DUMMYFUNCTION("""COMPUTED_VALUE"""),82.37)</f>
        <v/>
      </c>
      <c r="D189" s="141">
        <f>IFERROR(__xludf.DUMMYFUNCTION("""COMPUTED_VALUE"""),82.38)</f>
        <v/>
      </c>
      <c r="E189" s="141">
        <f>IFERROR(__xludf.DUMMYFUNCTION("""COMPUTED_VALUE"""),82.28)</f>
        <v/>
      </c>
      <c r="F189" s="141">
        <f>IFERROR(__xludf.DUMMYFUNCTION("""COMPUTED_VALUE"""),82.31)</f>
        <v/>
      </c>
      <c r="G189" s="143">
        <f>IFERROR(__xludf.DUMMYFUNCTION("""COMPUTED_VALUE"""),11512259)</f>
        <v/>
      </c>
      <c r="H189" s="27" t="n"/>
    </row>
    <row r="190" ht="17.25" customHeight="1" s="322">
      <c r="A190" s="27" t="n"/>
      <c r="B190" s="506">
        <f>IFERROR(__xludf.DUMMYFUNCTION("""COMPUTED_VALUE"""),46104.6666666666)</f>
        <v/>
      </c>
      <c r="C190" s="141">
        <f>IFERROR(__xludf.DUMMYFUNCTION("""COMPUTED_VALUE"""),82.36)</f>
        <v/>
      </c>
      <c r="D190" s="141">
        <f>IFERROR(__xludf.DUMMYFUNCTION("""COMPUTED_VALUE"""),82.49)</f>
        <v/>
      </c>
      <c r="E190" s="141">
        <f>IFERROR(__xludf.DUMMYFUNCTION("""COMPUTED_VALUE"""),82.34)</f>
        <v/>
      </c>
      <c r="F190" s="141">
        <f>IFERROR(__xludf.DUMMYFUNCTION("""COMPUTED_VALUE"""),82.43)</f>
        <v/>
      </c>
      <c r="G190" s="143">
        <f>IFERROR(__xludf.DUMMYFUNCTION("""COMPUTED_VALUE"""),8918052)</f>
        <v/>
      </c>
      <c r="H190" s="27" t="n"/>
    </row>
    <row r="191" ht="17.25" customHeight="1" s="322">
      <c r="A191" s="27" t="n"/>
      <c r="B191" s="506">
        <f>IFERROR(__xludf.DUMMYFUNCTION("""COMPUTED_VALUE"""),46105.6666666666)</f>
        <v/>
      </c>
      <c r="C191" s="141">
        <f>IFERROR(__xludf.DUMMYFUNCTION("""COMPUTED_VALUE"""),82.33)</f>
        <v/>
      </c>
      <c r="D191" s="141">
        <f>IFERROR(__xludf.DUMMYFUNCTION("""COMPUTED_VALUE"""),82.39)</f>
        <v/>
      </c>
      <c r="E191" s="141">
        <f>IFERROR(__xludf.DUMMYFUNCTION("""COMPUTED_VALUE"""),82.27)</f>
        <v/>
      </c>
      <c r="F191" s="141">
        <f>IFERROR(__xludf.DUMMYFUNCTION("""COMPUTED_VALUE"""),82.31)</f>
        <v/>
      </c>
      <c r="G191" s="143">
        <f>IFERROR(__xludf.DUMMYFUNCTION("""COMPUTED_VALUE"""),8547155)</f>
        <v/>
      </c>
      <c r="H191" s="27" t="n"/>
    </row>
    <row r="192" ht="17.25" customHeight="1" s="322">
      <c r="A192" s="27" t="n"/>
      <c r="B192" s="506">
        <f>IFERROR(__xludf.DUMMYFUNCTION("""COMPUTED_VALUE"""),46106.6666666666)</f>
        <v/>
      </c>
      <c r="C192" s="141">
        <f>IFERROR(__xludf.DUMMYFUNCTION("""COMPUTED_VALUE"""),82.4)</f>
        <v/>
      </c>
      <c r="D192" s="141">
        <f>IFERROR(__xludf.DUMMYFUNCTION("""COMPUTED_VALUE"""),82.43)</f>
        <v/>
      </c>
      <c r="E192" s="141">
        <f>IFERROR(__xludf.DUMMYFUNCTION("""COMPUTED_VALUE"""),82.37)</f>
        <v/>
      </c>
      <c r="F192" s="141">
        <f>IFERROR(__xludf.DUMMYFUNCTION("""COMPUTED_VALUE"""),82.4)</f>
        <v/>
      </c>
      <c r="G192" s="143">
        <f>IFERROR(__xludf.DUMMYFUNCTION("""COMPUTED_VALUE"""),5556037)</f>
        <v/>
      </c>
      <c r="H192" s="27" t="n"/>
    </row>
    <row r="193" ht="17.25" customHeight="1" s="322">
      <c r="A193" s="27" t="n"/>
      <c r="B193" s="506">
        <f>IFERROR(__xludf.DUMMYFUNCTION("""COMPUTED_VALUE"""),46107.6666666666)</f>
        <v/>
      </c>
      <c r="C193" s="141">
        <f>IFERROR(__xludf.DUMMYFUNCTION("""COMPUTED_VALUE"""),82.33)</f>
        <v/>
      </c>
      <c r="D193" s="141">
        <f>IFERROR(__xludf.DUMMYFUNCTION("""COMPUTED_VALUE"""),82.36)</f>
        <v/>
      </c>
      <c r="E193" s="141">
        <f>IFERROR(__xludf.DUMMYFUNCTION("""COMPUTED_VALUE"""),82.22)</f>
        <v/>
      </c>
      <c r="F193" s="141">
        <f>IFERROR(__xludf.DUMMYFUNCTION("""COMPUTED_VALUE"""),82.22)</f>
        <v/>
      </c>
      <c r="G193" s="143">
        <f>IFERROR(__xludf.DUMMYFUNCTION("""COMPUTED_VALUE"""),7405871)</f>
        <v/>
      </c>
      <c r="H193" s="27" t="n"/>
    </row>
    <row r="194" ht="17.25" customHeight="1" s="322">
      <c r="A194" s="27" t="n"/>
      <c r="B194" s="506">
        <f>IFERROR(__xludf.DUMMYFUNCTION("""COMPUTED_VALUE"""),46108.6666666666)</f>
        <v/>
      </c>
      <c r="C194" s="141">
        <f>IFERROR(__xludf.DUMMYFUNCTION("""COMPUTED_VALUE"""),82.28)</f>
        <v/>
      </c>
      <c r="D194" s="141">
        <f>IFERROR(__xludf.DUMMYFUNCTION("""COMPUTED_VALUE"""),82.39)</f>
        <v/>
      </c>
      <c r="E194" s="141">
        <f>IFERROR(__xludf.DUMMYFUNCTION("""COMPUTED_VALUE"""),82.28)</f>
        <v/>
      </c>
      <c r="F194" s="141">
        <f>IFERROR(__xludf.DUMMYFUNCTION("""COMPUTED_VALUE"""),82.39)</f>
        <v/>
      </c>
      <c r="G194" s="143">
        <f>IFERROR(__xludf.DUMMYFUNCTION("""COMPUTED_VALUE"""),7966358)</f>
        <v/>
      </c>
      <c r="H194" s="27" t="n"/>
    </row>
    <row r="195" ht="17.25" customHeight="1" s="322">
      <c r="A195" s="27" t="n"/>
      <c r="B195" s="506">
        <f>IFERROR(__xludf.DUMMYFUNCTION("""COMPUTED_VALUE"""),46111.6666666666)</f>
        <v/>
      </c>
      <c r="C195" s="141">
        <f>IFERROR(__xludf.DUMMYFUNCTION("""COMPUTED_VALUE"""),82.48)</f>
        <v/>
      </c>
      <c r="D195" s="141">
        <f>IFERROR(__xludf.DUMMYFUNCTION("""COMPUTED_VALUE"""),82.54)</f>
        <v/>
      </c>
      <c r="E195" s="141">
        <f>IFERROR(__xludf.DUMMYFUNCTION("""COMPUTED_VALUE"""),82.47)</f>
        <v/>
      </c>
      <c r="F195" s="141">
        <f>IFERROR(__xludf.DUMMYFUNCTION("""COMPUTED_VALUE"""),82.5)</f>
        <v/>
      </c>
      <c r="G195" s="143">
        <f>IFERROR(__xludf.DUMMYFUNCTION("""COMPUTED_VALUE"""),5461177)</f>
        <v/>
      </c>
      <c r="H195" s="27" t="n"/>
    </row>
    <row r="196" ht="17.25" customHeight="1" s="322">
      <c r="A196" s="27" t="n"/>
      <c r="B196" s="506">
        <f>IFERROR(__xludf.DUMMYFUNCTION("""COMPUTED_VALUE"""),46112.6666666666)</f>
        <v/>
      </c>
      <c r="C196" s="141">
        <f>IFERROR(__xludf.DUMMYFUNCTION("""COMPUTED_VALUE"""),82.59)</f>
        <v/>
      </c>
      <c r="D196" s="141">
        <f>IFERROR(__xludf.DUMMYFUNCTION("""COMPUTED_VALUE"""),82.62)</f>
        <v/>
      </c>
      <c r="E196" s="141">
        <f>IFERROR(__xludf.DUMMYFUNCTION("""COMPUTED_VALUE"""),82.55)</f>
        <v/>
      </c>
      <c r="F196" s="141">
        <f>IFERROR(__xludf.DUMMYFUNCTION("""COMPUTED_VALUE"""),82.57)</f>
        <v/>
      </c>
      <c r="G196" s="143">
        <f>IFERROR(__xludf.DUMMYFUNCTION("""COMPUTED_VALUE"""),10880070)</f>
        <v/>
      </c>
      <c r="H196" s="27" t="n"/>
    </row>
    <row r="197" ht="17.25" customHeight="1" s="322">
      <c r="A197" s="27" t="n"/>
      <c r="B197" s="506">
        <f>IFERROR(__xludf.DUMMYFUNCTION("""COMPUTED_VALUE"""),46113.6666666666)</f>
        <v/>
      </c>
      <c r="C197" s="141">
        <f>IFERROR(__xludf.DUMMYFUNCTION("""COMPUTED_VALUE"""),82.32)</f>
        <v/>
      </c>
      <c r="D197" s="141">
        <f>IFERROR(__xludf.DUMMYFUNCTION("""COMPUTED_VALUE"""),82.35)</f>
        <v/>
      </c>
      <c r="E197" s="141">
        <f>IFERROR(__xludf.DUMMYFUNCTION("""COMPUTED_VALUE"""),82.29)</f>
        <v/>
      </c>
      <c r="F197" s="141">
        <f>IFERROR(__xludf.DUMMYFUNCTION("""COMPUTED_VALUE"""),82.32)</f>
        <v/>
      </c>
      <c r="G197" s="143">
        <f>IFERROR(__xludf.DUMMYFUNCTION("""COMPUTED_VALUE"""),7672043)</f>
        <v/>
      </c>
      <c r="H197" s="27" t="n"/>
    </row>
    <row r="198" ht="17.25" customHeight="1" s="322">
      <c r="A198" s="27" t="n"/>
      <c r="B198" s="506">
        <f>IFERROR(__xludf.DUMMYFUNCTION("""COMPUTED_VALUE"""),46114.6666666666)</f>
        <v/>
      </c>
      <c r="C198" s="141">
        <f>IFERROR(__xludf.DUMMYFUNCTION("""COMPUTED_VALUE"""),82.33)</f>
        <v/>
      </c>
      <c r="D198" s="141">
        <f>IFERROR(__xludf.DUMMYFUNCTION("""COMPUTED_VALUE"""),82.39)</f>
        <v/>
      </c>
      <c r="E198" s="141">
        <f>IFERROR(__xludf.DUMMYFUNCTION("""COMPUTED_VALUE"""),82.32)</f>
        <v/>
      </c>
      <c r="F198" s="141">
        <f>IFERROR(__xludf.DUMMYFUNCTION("""COMPUTED_VALUE"""),82.36)</f>
        <v/>
      </c>
      <c r="G198" s="143">
        <f>IFERROR(__xludf.DUMMYFUNCTION("""COMPUTED_VALUE"""),4735174)</f>
        <v/>
      </c>
      <c r="H198" s="27" t="n"/>
    </row>
    <row r="199" ht="17.25" customHeight="1" s="322">
      <c r="A199" s="27" t="n"/>
      <c r="B199" s="506">
        <f>IFERROR(__xludf.DUMMYFUNCTION("""COMPUTED_VALUE"""),46118.6666666666)</f>
        <v/>
      </c>
      <c r="C199" s="141">
        <f>IFERROR(__xludf.DUMMYFUNCTION("""COMPUTED_VALUE"""),82.29)</f>
        <v/>
      </c>
      <c r="D199" s="141">
        <f>IFERROR(__xludf.DUMMYFUNCTION("""COMPUTED_VALUE"""),82.31)</f>
        <v/>
      </c>
      <c r="E199" s="141">
        <f>IFERROR(__xludf.DUMMYFUNCTION("""COMPUTED_VALUE"""),82.26)</f>
        <v/>
      </c>
      <c r="F199" s="141">
        <f>IFERROR(__xludf.DUMMYFUNCTION("""COMPUTED_VALUE"""),82.28)</f>
        <v/>
      </c>
      <c r="G199" s="143">
        <f>IFERROR(__xludf.DUMMYFUNCTION("""COMPUTED_VALUE"""),3659923)</f>
        <v/>
      </c>
      <c r="H199" s="27" t="n"/>
    </row>
    <row r="200" ht="17.25" customHeight="1" s="322">
      <c r="A200" s="27" t="n"/>
      <c r="B200" s="506">
        <f>IFERROR(__xludf.DUMMYFUNCTION("""COMPUTED_VALUE"""),46119.6666666666)</f>
        <v/>
      </c>
      <c r="C200" s="141">
        <f>IFERROR(__xludf.DUMMYFUNCTION("""COMPUTED_VALUE"""),82.3)</f>
        <v/>
      </c>
      <c r="D200" s="141">
        <f>IFERROR(__xludf.DUMMYFUNCTION("""COMPUTED_VALUE"""),82.38)</f>
        <v/>
      </c>
      <c r="E200" s="141">
        <f>IFERROR(__xludf.DUMMYFUNCTION("""COMPUTED_VALUE"""),82.25)</f>
        <v/>
      </c>
      <c r="F200" s="141">
        <f>IFERROR(__xludf.DUMMYFUNCTION("""COMPUTED_VALUE"""),82.34)</f>
        <v/>
      </c>
      <c r="G200" s="143">
        <f>IFERROR(__xludf.DUMMYFUNCTION("""COMPUTED_VALUE"""),3130472)</f>
        <v/>
      </c>
      <c r="H200" s="27" t="n"/>
    </row>
    <row r="201" ht="17.25" customHeight="1" s="322">
      <c r="A201" s="27" t="n"/>
      <c r="B201" s="506">
        <f>IFERROR(__xludf.DUMMYFUNCTION("""COMPUTED_VALUE"""),46120.6666666666)</f>
        <v/>
      </c>
      <c r="C201" s="141">
        <f>IFERROR(__xludf.DUMMYFUNCTION("""COMPUTED_VALUE"""),82.48)</f>
        <v/>
      </c>
      <c r="D201" s="141">
        <f>IFERROR(__xludf.DUMMYFUNCTION("""COMPUTED_VALUE"""),82.48)</f>
        <v/>
      </c>
      <c r="E201" s="141">
        <f>IFERROR(__xludf.DUMMYFUNCTION("""COMPUTED_VALUE"""),82.39)</f>
        <v/>
      </c>
      <c r="F201" s="141">
        <f>IFERROR(__xludf.DUMMYFUNCTION("""COMPUTED_VALUE"""),82.42)</f>
        <v/>
      </c>
      <c r="G201" s="143">
        <f>IFERROR(__xludf.DUMMYFUNCTION("""COMPUTED_VALUE"""),6026830)</f>
        <v/>
      </c>
      <c r="H201" s="27" t="n"/>
    </row>
    <row r="202" ht="17.25" customHeight="1" s="322">
      <c r="A202" s="27" t="n"/>
      <c r="B202" s="506">
        <f>IFERROR(__xludf.DUMMYFUNCTION("""COMPUTED_VALUE"""),46121.6666666666)</f>
        <v/>
      </c>
      <c r="C202" s="141">
        <f>IFERROR(__xludf.DUMMYFUNCTION("""COMPUTED_VALUE"""),82.42)</f>
        <v/>
      </c>
      <c r="D202" s="141">
        <f>IFERROR(__xludf.DUMMYFUNCTION("""COMPUTED_VALUE"""),82.48)</f>
        <v/>
      </c>
      <c r="E202" s="141">
        <f>IFERROR(__xludf.DUMMYFUNCTION("""COMPUTED_VALUE"""),82.39)</f>
        <v/>
      </c>
      <c r="F202" s="141">
        <f>IFERROR(__xludf.DUMMYFUNCTION("""COMPUTED_VALUE"""),82.44)</f>
        <v/>
      </c>
      <c r="G202" s="143">
        <f>IFERROR(__xludf.DUMMYFUNCTION("""COMPUTED_VALUE"""),6123474)</f>
        <v/>
      </c>
      <c r="H202" s="27" t="n"/>
    </row>
    <row r="203" ht="17.25" customHeight="1" s="322">
      <c r="A203" s="27" t="n"/>
      <c r="B203" s="506">
        <f>IFERROR(__xludf.DUMMYFUNCTION("""COMPUTED_VALUE"""),46122.6666666666)</f>
        <v/>
      </c>
      <c r="C203" s="141">
        <f>IFERROR(__xludf.DUMMYFUNCTION("""COMPUTED_VALUE"""),82.44)</f>
        <v/>
      </c>
      <c r="D203" s="141">
        <f>IFERROR(__xludf.DUMMYFUNCTION("""COMPUTED_VALUE"""),82.46)</f>
        <v/>
      </c>
      <c r="E203" s="141">
        <f>IFERROR(__xludf.DUMMYFUNCTION("""COMPUTED_VALUE"""),82.4)</f>
        <v/>
      </c>
      <c r="F203" s="141">
        <f>IFERROR(__xludf.DUMMYFUNCTION("""COMPUTED_VALUE"""),82.41)</f>
        <v/>
      </c>
      <c r="G203" s="143">
        <f>IFERROR(__xludf.DUMMYFUNCTION("""COMPUTED_VALUE"""),5766645)</f>
        <v/>
      </c>
      <c r="H203" s="27" t="n"/>
    </row>
    <row r="204" ht="17.25" customHeight="1" s="322">
      <c r="A204" s="27" t="n"/>
      <c r="B204" s="506">
        <f>IFERROR(__xludf.DUMMYFUNCTION("""COMPUTED_VALUE"""),46125.6666666666)</f>
        <v/>
      </c>
      <c r="C204" s="141">
        <f>IFERROR(__xludf.DUMMYFUNCTION("""COMPUTED_VALUE"""),82.43)</f>
        <v/>
      </c>
      <c r="D204" s="141">
        <f>IFERROR(__xludf.DUMMYFUNCTION("""COMPUTED_VALUE"""),82.47)</f>
        <v/>
      </c>
      <c r="E204" s="141">
        <f>IFERROR(__xludf.DUMMYFUNCTION("""COMPUTED_VALUE"""),82.4)</f>
        <v/>
      </c>
      <c r="F204" s="141">
        <f>IFERROR(__xludf.DUMMYFUNCTION("""COMPUTED_VALUE"""),82.47)</f>
        <v/>
      </c>
      <c r="G204" s="143">
        <f>IFERROR(__xludf.DUMMYFUNCTION("""COMPUTED_VALUE"""),2919868)</f>
        <v/>
      </c>
      <c r="H204" s="27" t="n"/>
    </row>
    <row r="205" ht="17.25" customHeight="1" s="322">
      <c r="A205" s="27" t="n"/>
      <c r="B205" s="506">
        <f>IFERROR(__xludf.DUMMYFUNCTION("""COMPUTED_VALUE"""),46126.6666666666)</f>
        <v/>
      </c>
      <c r="C205" s="141">
        <f>IFERROR(__xludf.DUMMYFUNCTION("""COMPUTED_VALUE"""),82.46)</f>
        <v/>
      </c>
      <c r="D205" s="141">
        <f>IFERROR(__xludf.DUMMYFUNCTION("""COMPUTED_VALUE"""),82.53)</f>
        <v/>
      </c>
      <c r="E205" s="141">
        <f>IFERROR(__xludf.DUMMYFUNCTION("""COMPUTED_VALUE"""),82.45)</f>
        <v/>
      </c>
      <c r="F205" s="141">
        <f>IFERROR(__xludf.DUMMYFUNCTION("""COMPUTED_VALUE"""),82.53)</f>
        <v/>
      </c>
      <c r="G205" s="143">
        <f>IFERROR(__xludf.DUMMYFUNCTION("""COMPUTED_VALUE"""),3521048)</f>
        <v/>
      </c>
      <c r="H205" s="27" t="n"/>
    </row>
    <row r="206" ht="17.25" customHeight="1" s="322">
      <c r="A206" s="27" t="n"/>
      <c r="B206" s="506">
        <f>IFERROR(__xludf.DUMMYFUNCTION("""COMPUTED_VALUE"""),46127.6666666666)</f>
        <v/>
      </c>
      <c r="C206" s="141">
        <f>IFERROR(__xludf.DUMMYFUNCTION("""COMPUTED_VALUE"""),82.52)</f>
        <v/>
      </c>
      <c r="D206" s="141">
        <f>IFERROR(__xludf.DUMMYFUNCTION("""COMPUTED_VALUE"""),82.52)</f>
        <v/>
      </c>
      <c r="E206" s="141">
        <f>IFERROR(__xludf.DUMMYFUNCTION("""COMPUTED_VALUE"""),82.48)</f>
        <v/>
      </c>
      <c r="F206" s="141">
        <f>IFERROR(__xludf.DUMMYFUNCTION("""COMPUTED_VALUE"""),82.51)</f>
        <v/>
      </c>
      <c r="G206" s="143">
        <f>IFERROR(__xludf.DUMMYFUNCTION("""COMPUTED_VALUE"""),3072830)</f>
        <v/>
      </c>
      <c r="H206" s="27" t="n"/>
    </row>
    <row r="207" ht="17.25" customHeight="1" s="322">
      <c r="A207" s="27" t="n"/>
      <c r="B207" s="506">
        <f>IFERROR(__xludf.DUMMYFUNCTION("""COMPUTED_VALUE"""),46128.6666666666)</f>
        <v/>
      </c>
      <c r="C207" s="141">
        <f>IFERROR(__xludf.DUMMYFUNCTION("""COMPUTED_VALUE"""),82.53)</f>
        <v/>
      </c>
      <c r="D207" s="141">
        <f>IFERROR(__xludf.DUMMYFUNCTION("""COMPUTED_VALUE"""),82.53)</f>
        <v/>
      </c>
      <c r="E207" s="141">
        <f>IFERROR(__xludf.DUMMYFUNCTION("""COMPUTED_VALUE"""),82.48)</f>
        <v/>
      </c>
      <c r="F207" s="141">
        <f>IFERROR(__xludf.DUMMYFUNCTION("""COMPUTED_VALUE"""),82.48)</f>
        <v/>
      </c>
      <c r="G207" s="143">
        <f>IFERROR(__xludf.DUMMYFUNCTION("""COMPUTED_VALUE"""),2875613)</f>
        <v/>
      </c>
      <c r="H207" s="27" t="n"/>
    </row>
    <row r="208" ht="17.25" customHeight="1" s="322">
      <c r="A208" s="27" t="n"/>
      <c r="B208" s="506">
        <f>IFERROR(__xludf.DUMMYFUNCTION("""COMPUTED_VALUE"""),46129.6666666666)</f>
        <v/>
      </c>
      <c r="C208" s="141">
        <f>IFERROR(__xludf.DUMMYFUNCTION("""COMPUTED_VALUE"""),82.61)</f>
        <v/>
      </c>
      <c r="D208" s="141">
        <f>IFERROR(__xludf.DUMMYFUNCTION("""COMPUTED_VALUE"""),82.66)</f>
        <v/>
      </c>
      <c r="E208" s="141">
        <f>IFERROR(__xludf.DUMMYFUNCTION("""COMPUTED_VALUE"""),82.6)</f>
        <v/>
      </c>
      <c r="F208" s="141">
        <f>IFERROR(__xludf.DUMMYFUNCTION("""COMPUTED_VALUE"""),82.64)</f>
        <v/>
      </c>
      <c r="G208" s="143">
        <f>IFERROR(__xludf.DUMMYFUNCTION("""COMPUTED_VALUE"""),4856665)</f>
        <v/>
      </c>
      <c r="H208" s="27" t="n"/>
    </row>
    <row r="209" ht="17.25" customHeight="1" s="322">
      <c r="A209" s="27" t="n"/>
      <c r="B209" s="506">
        <f>IFERROR(__xludf.DUMMYFUNCTION("""COMPUTED_VALUE"""),46132.6666666666)</f>
        <v/>
      </c>
      <c r="C209" s="141">
        <f>IFERROR(__xludf.DUMMYFUNCTION("""COMPUTED_VALUE"""),82.63)</f>
        <v/>
      </c>
      <c r="D209" s="141">
        <f>IFERROR(__xludf.DUMMYFUNCTION("""COMPUTED_VALUE"""),82.63)</f>
        <v/>
      </c>
      <c r="E209" s="141">
        <f>IFERROR(__xludf.DUMMYFUNCTION("""COMPUTED_VALUE"""),82.58)</f>
        <v/>
      </c>
      <c r="F209" s="141">
        <f>IFERROR(__xludf.DUMMYFUNCTION("""COMPUTED_VALUE"""),82.6)</f>
        <v/>
      </c>
      <c r="G209" s="143">
        <f>IFERROR(__xludf.DUMMYFUNCTION("""COMPUTED_VALUE"""),1800410)</f>
        <v/>
      </c>
      <c r="H209" s="27" t="n"/>
    </row>
    <row r="210" ht="17.25" customHeight="1" s="322">
      <c r="A210" s="27" t="n"/>
      <c r="B210" s="506">
        <f>IFERROR(__xludf.DUMMYFUNCTION("""COMPUTED_VALUE"""),46133.6666666666)</f>
        <v/>
      </c>
      <c r="C210" s="141">
        <f>IFERROR(__xludf.DUMMYFUNCTION("""COMPUTED_VALUE"""),82.56)</f>
        <v/>
      </c>
      <c r="D210" s="141">
        <f>IFERROR(__xludf.DUMMYFUNCTION("""COMPUTED_VALUE"""),82.56)</f>
        <v/>
      </c>
      <c r="E210" s="141">
        <f>IFERROR(__xludf.DUMMYFUNCTION("""COMPUTED_VALUE"""),82.48)</f>
        <v/>
      </c>
      <c r="F210" s="141">
        <f>IFERROR(__xludf.DUMMYFUNCTION("""COMPUTED_VALUE"""),82.48)</f>
        <v/>
      </c>
      <c r="G210" s="143">
        <f>IFERROR(__xludf.DUMMYFUNCTION("""COMPUTED_VALUE"""),3375628)</f>
        <v/>
      </c>
      <c r="H210" s="27" t="n"/>
    </row>
    <row r="211" ht="17.25" customHeight="1" s="322">
      <c r="A211" s="27" t="n"/>
      <c r="B211" s="506">
        <f>IFERROR(__xludf.DUMMYFUNCTION("""COMPUTED_VALUE"""),46134.6666666666)</f>
        <v/>
      </c>
      <c r="C211" s="141">
        <f>IFERROR(__xludf.DUMMYFUNCTION("""COMPUTED_VALUE"""),82.55)</f>
        <v/>
      </c>
      <c r="D211" s="141">
        <f>IFERROR(__xludf.DUMMYFUNCTION("""COMPUTED_VALUE"""),82.55)</f>
        <v/>
      </c>
      <c r="E211" s="141">
        <f>IFERROR(__xludf.DUMMYFUNCTION("""COMPUTED_VALUE"""),82.51)</f>
        <v/>
      </c>
      <c r="F211" s="141">
        <f>IFERROR(__xludf.DUMMYFUNCTION("""COMPUTED_VALUE"""),82.52)</f>
        <v/>
      </c>
      <c r="G211" s="143">
        <f>IFERROR(__xludf.DUMMYFUNCTION("""COMPUTED_VALUE"""),2126091)</f>
        <v/>
      </c>
      <c r="H211" s="27" t="n"/>
    </row>
    <row r="212" ht="17.25" customHeight="1" s="322">
      <c r="A212" s="27" t="n"/>
      <c r="B212" s="506">
        <f>IFERROR(__xludf.DUMMYFUNCTION("""COMPUTED_VALUE"""),46135.6666666666)</f>
        <v/>
      </c>
      <c r="C212" s="141">
        <f>IFERROR(__xludf.DUMMYFUNCTION("""COMPUTED_VALUE"""),82.52)</f>
        <v/>
      </c>
      <c r="D212" s="141">
        <f>IFERROR(__xludf.DUMMYFUNCTION("""COMPUTED_VALUE"""),82.53)</f>
        <v/>
      </c>
      <c r="E212" s="141">
        <f>IFERROR(__xludf.DUMMYFUNCTION("""COMPUTED_VALUE"""),82.45)</f>
        <v/>
      </c>
      <c r="F212" s="141">
        <f>IFERROR(__xludf.DUMMYFUNCTION("""COMPUTED_VALUE"""),82.48)</f>
        <v/>
      </c>
      <c r="G212" s="143">
        <f>IFERROR(__xludf.DUMMYFUNCTION("""COMPUTED_VALUE"""),3086102)</f>
        <v/>
      </c>
      <c r="H212" s="27" t="n"/>
    </row>
    <row r="213" ht="17.25" customHeight="1" s="322">
      <c r="A213" s="27" t="n"/>
      <c r="B213" s="506">
        <f>IFERROR(__xludf.DUMMYFUNCTION("""COMPUTED_VALUE"""),46136.6666666666)</f>
        <v/>
      </c>
      <c r="C213" s="141">
        <f>IFERROR(__xludf.DUMMYFUNCTION("""COMPUTED_VALUE"""),82.51)</f>
        <v/>
      </c>
      <c r="D213" s="141">
        <f>IFERROR(__xludf.DUMMYFUNCTION("""COMPUTED_VALUE"""),82.59)</f>
        <v/>
      </c>
      <c r="E213" s="141">
        <f>IFERROR(__xludf.DUMMYFUNCTION("""COMPUTED_VALUE"""),82.49)</f>
        <v/>
      </c>
      <c r="F213" s="141">
        <f>IFERROR(__xludf.DUMMYFUNCTION("""COMPUTED_VALUE"""),82.57)</f>
        <v/>
      </c>
      <c r="G213" s="143">
        <f>IFERROR(__xludf.DUMMYFUNCTION("""COMPUTED_VALUE"""),3271875)</f>
        <v/>
      </c>
      <c r="H213" s="27" t="n"/>
    </row>
    <row r="214" ht="17.25" customHeight="1" s="322">
      <c r="A214" s="27" t="n"/>
      <c r="B214" s="506">
        <f>IFERROR(__xludf.DUMMYFUNCTION("""COMPUTED_VALUE"""),46139.6666666666)</f>
        <v/>
      </c>
      <c r="C214" s="141">
        <f>IFERROR(__xludf.DUMMYFUNCTION("""COMPUTED_VALUE"""),82.56)</f>
        <v/>
      </c>
      <c r="D214" s="141">
        <f>IFERROR(__xludf.DUMMYFUNCTION("""COMPUTED_VALUE"""),82.58)</f>
        <v/>
      </c>
      <c r="E214" s="141">
        <f>IFERROR(__xludf.DUMMYFUNCTION("""COMPUTED_VALUE"""),82.54)</f>
        <v/>
      </c>
      <c r="F214" s="141">
        <f>IFERROR(__xludf.DUMMYFUNCTION("""COMPUTED_VALUE"""),82.55)</f>
        <v/>
      </c>
      <c r="G214" s="143">
        <f>IFERROR(__xludf.DUMMYFUNCTION("""COMPUTED_VALUE"""),2376376)</f>
        <v/>
      </c>
      <c r="H214" s="27" t="n"/>
    </row>
    <row r="215" ht="17.25" customHeight="1" s="322">
      <c r="A215" s="27" t="n"/>
      <c r="B215" s="506">
        <f>IFERROR(__xludf.DUMMYFUNCTION("""COMPUTED_VALUE"""),46140.6666666666)</f>
        <v/>
      </c>
      <c r="C215" s="141">
        <f>IFERROR(__xludf.DUMMYFUNCTION("""COMPUTED_VALUE"""),82.52)</f>
        <v/>
      </c>
      <c r="D215" s="141">
        <f>IFERROR(__xludf.DUMMYFUNCTION("""COMPUTED_VALUE"""),82.53)</f>
        <v/>
      </c>
      <c r="E215" s="141">
        <f>IFERROR(__xludf.DUMMYFUNCTION("""COMPUTED_VALUE"""),82.49)</f>
        <v/>
      </c>
      <c r="F215" s="141">
        <f>IFERROR(__xludf.DUMMYFUNCTION("""COMPUTED_VALUE"""),82.5)</f>
        <v/>
      </c>
      <c r="G215" s="143">
        <f>IFERROR(__xludf.DUMMYFUNCTION("""COMPUTED_VALUE"""),4175907)</f>
        <v/>
      </c>
      <c r="H215" s="27" t="n"/>
    </row>
    <row r="216" ht="17.25" customHeight="1" s="322">
      <c r="A216" s="27" t="n"/>
      <c r="B216" s="506">
        <f>IFERROR(__xludf.DUMMYFUNCTION("""COMPUTED_VALUE"""),46141.6666666666)</f>
        <v/>
      </c>
      <c r="C216" s="141">
        <f>IFERROR(__xludf.DUMMYFUNCTION("""COMPUTED_VALUE"""),82.47)</f>
        <v/>
      </c>
      <c r="D216" s="141">
        <f>IFERROR(__xludf.DUMMYFUNCTION("""COMPUTED_VALUE"""),82.47)</f>
        <v/>
      </c>
      <c r="E216" s="141">
        <f>IFERROR(__xludf.DUMMYFUNCTION("""COMPUTED_VALUE"""),82.36)</f>
        <v/>
      </c>
      <c r="F216" s="141">
        <f>IFERROR(__xludf.DUMMYFUNCTION("""COMPUTED_VALUE"""),82.39)</f>
        <v/>
      </c>
      <c r="G216" s="143">
        <f>IFERROR(__xludf.DUMMYFUNCTION("""COMPUTED_VALUE"""),4900949)</f>
        <v/>
      </c>
      <c r="H216" s="27" t="n"/>
    </row>
    <row r="217" ht="17.25" customHeight="1" s="322">
      <c r="A217" s="27" t="n"/>
      <c r="B217" s="506">
        <f>IFERROR(__xludf.DUMMYFUNCTION("""COMPUTED_VALUE"""),46142.6666666666)</f>
        <v/>
      </c>
      <c r="C217" s="141">
        <f>IFERROR(__xludf.DUMMYFUNCTION("""COMPUTED_VALUE"""),82.47)</f>
        <v/>
      </c>
      <c r="D217" s="141">
        <f>IFERROR(__xludf.DUMMYFUNCTION("""COMPUTED_VALUE"""),82.49)</f>
        <v/>
      </c>
      <c r="E217" s="141">
        <f>IFERROR(__xludf.DUMMYFUNCTION("""COMPUTED_VALUE"""),82.45)</f>
        <v/>
      </c>
      <c r="F217" s="141">
        <f>IFERROR(__xludf.DUMMYFUNCTION("""COMPUTED_VALUE"""),82.48)</f>
        <v/>
      </c>
      <c r="G217" s="143">
        <f>IFERROR(__xludf.DUMMYFUNCTION("""COMPUTED_VALUE"""),4183183)</f>
        <v/>
      </c>
      <c r="H217" s="27" t="n"/>
    </row>
    <row r="218" ht="17.25" customHeight="1" s="322">
      <c r="A218" s="27" t="n"/>
      <c r="B218" s="506">
        <f>IFERROR(__xludf.DUMMYFUNCTION("""COMPUTED_VALUE"""),46143.6666666666)</f>
        <v/>
      </c>
      <c r="C218" s="141">
        <f>IFERROR(__xludf.DUMMYFUNCTION("""COMPUTED_VALUE"""),82.24)</f>
        <v/>
      </c>
      <c r="D218" s="141">
        <f>IFERROR(__xludf.DUMMYFUNCTION("""COMPUTED_VALUE"""),82.31)</f>
        <v/>
      </c>
      <c r="E218" s="141">
        <f>IFERROR(__xludf.DUMMYFUNCTION("""COMPUTED_VALUE"""),82.22)</f>
        <v/>
      </c>
      <c r="F218" s="141">
        <f>IFERROR(__xludf.DUMMYFUNCTION("""COMPUTED_VALUE"""),82.25)</f>
        <v/>
      </c>
      <c r="G218" s="143">
        <f>IFERROR(__xludf.DUMMYFUNCTION("""COMPUTED_VALUE"""),2999474)</f>
        <v/>
      </c>
      <c r="H218" s="27" t="n"/>
    </row>
    <row r="219" ht="17.25" customHeight="1" s="322">
      <c r="A219" s="27" t="n"/>
      <c r="B219" s="506">
        <f>IFERROR(__xludf.DUMMYFUNCTION("""COMPUTED_VALUE"""),46146.6666666666)</f>
        <v/>
      </c>
      <c r="C219" s="141">
        <f>IFERROR(__xludf.DUMMYFUNCTION("""COMPUTED_VALUE"""),82.21)</f>
        <v/>
      </c>
      <c r="D219" s="141">
        <f>IFERROR(__xludf.DUMMYFUNCTION("""COMPUTED_VALUE"""),82.21)</f>
        <v/>
      </c>
      <c r="E219" s="141">
        <f>IFERROR(__xludf.DUMMYFUNCTION("""COMPUTED_VALUE"""),82.1)</f>
        <v/>
      </c>
      <c r="F219" s="141">
        <f>IFERROR(__xludf.DUMMYFUNCTION("""COMPUTED_VALUE"""),82.15)</f>
        <v/>
      </c>
      <c r="G219" s="143">
        <f>IFERROR(__xludf.DUMMYFUNCTION("""COMPUTED_VALUE"""),4021123)</f>
        <v/>
      </c>
      <c r="H219" s="27" t="n"/>
    </row>
    <row r="220" ht="17.25" customHeight="1" s="322">
      <c r="A220" s="27" t="n"/>
      <c r="B220" s="506">
        <f>IFERROR(__xludf.DUMMYFUNCTION("""COMPUTED_VALUE"""),46147.6666666666)</f>
        <v/>
      </c>
      <c r="C220" s="141">
        <f>IFERROR(__xludf.DUMMYFUNCTION("""COMPUTED_VALUE"""),82.19)</f>
        <v/>
      </c>
      <c r="D220" s="141">
        <f>IFERROR(__xludf.DUMMYFUNCTION("""COMPUTED_VALUE"""),82.22)</f>
        <v/>
      </c>
      <c r="E220" s="141">
        <f>IFERROR(__xludf.DUMMYFUNCTION("""COMPUTED_VALUE"""),82.18)</f>
        <v/>
      </c>
      <c r="F220" s="141">
        <f>IFERROR(__xludf.DUMMYFUNCTION("""COMPUTED_VALUE"""),82.19)</f>
        <v/>
      </c>
      <c r="G220" s="143">
        <f>IFERROR(__xludf.DUMMYFUNCTION("""COMPUTED_VALUE"""),3736667)</f>
        <v/>
      </c>
      <c r="H220" s="27" t="n"/>
    </row>
    <row r="221" ht="17.25" customHeight="1" s="322">
      <c r="A221" s="27" t="n"/>
      <c r="B221" s="506">
        <f>IFERROR(__xludf.DUMMYFUNCTION("""COMPUTED_VALUE"""),46148.6666666666)</f>
        <v/>
      </c>
      <c r="C221" s="141">
        <f>IFERROR(__xludf.DUMMYFUNCTION("""COMPUTED_VALUE"""),82.29)</f>
        <v/>
      </c>
      <c r="D221" s="141">
        <f>IFERROR(__xludf.DUMMYFUNCTION("""COMPUTED_VALUE"""),82.31)</f>
        <v/>
      </c>
      <c r="E221" s="141">
        <f>IFERROR(__xludf.DUMMYFUNCTION("""COMPUTED_VALUE"""),82.27)</f>
        <v/>
      </c>
      <c r="F221" s="141">
        <f>IFERROR(__xludf.DUMMYFUNCTION("""COMPUTED_VALUE"""),82.3)</f>
        <v/>
      </c>
      <c r="G221" s="143">
        <f>IFERROR(__xludf.DUMMYFUNCTION("""COMPUTED_VALUE"""),2842339)</f>
        <v/>
      </c>
      <c r="H221" s="27" t="n"/>
    </row>
    <row r="222" ht="17.25" customHeight="1" s="322">
      <c r="A222" s="27" t="n"/>
      <c r="B222" s="506">
        <f>IFERROR(__xludf.DUMMYFUNCTION("""COMPUTED_VALUE"""),46149.6666666666)</f>
        <v/>
      </c>
      <c r="C222" s="141">
        <f>IFERROR(__xludf.DUMMYFUNCTION("""COMPUTED_VALUE"""),82.36)</f>
        <v/>
      </c>
      <c r="D222" s="141">
        <f>IFERROR(__xludf.DUMMYFUNCTION("""COMPUTED_VALUE"""),82.36)</f>
        <v/>
      </c>
      <c r="E222" s="141">
        <f>IFERROR(__xludf.DUMMYFUNCTION("""COMPUTED_VALUE"""),82.22)</f>
        <v/>
      </c>
      <c r="F222" s="141">
        <f>IFERROR(__xludf.DUMMYFUNCTION("""COMPUTED_VALUE"""),82.23)</f>
        <v/>
      </c>
      <c r="G222" s="143">
        <f>IFERROR(__xludf.DUMMYFUNCTION("""COMPUTED_VALUE"""),2564842)</f>
        <v/>
      </c>
      <c r="H222" s="27" t="n"/>
    </row>
    <row r="223" ht="17.25" customHeight="1" s="322">
      <c r="A223" s="27" t="n"/>
      <c r="B223" s="506">
        <f>IFERROR(__xludf.DUMMYFUNCTION("""COMPUTED_VALUE"""),46150.6666666666)</f>
        <v/>
      </c>
      <c r="C223" s="141">
        <f>IFERROR(__xludf.DUMMYFUNCTION("""COMPUTED_VALUE"""),82.33)</f>
        <v/>
      </c>
      <c r="D223" s="141">
        <f>IFERROR(__xludf.DUMMYFUNCTION("""COMPUTED_VALUE"""),82.33)</f>
        <v/>
      </c>
      <c r="E223" s="141">
        <f>IFERROR(__xludf.DUMMYFUNCTION("""COMPUTED_VALUE"""),82.29)</f>
        <v/>
      </c>
      <c r="F223" s="141">
        <f>IFERROR(__xludf.DUMMYFUNCTION("""COMPUTED_VALUE"""),82.3)</f>
        <v/>
      </c>
      <c r="G223" s="143">
        <f>IFERROR(__xludf.DUMMYFUNCTION("""COMPUTED_VALUE"""),1597901)</f>
        <v/>
      </c>
      <c r="H223" s="27" t="n"/>
    </row>
    <row r="224" ht="17.25" customHeight="1" s="322">
      <c r="A224" s="27" t="n"/>
      <c r="B224" s="506">
        <f>IFERROR(__xludf.DUMMYFUNCTION("""COMPUTED_VALUE"""),46153.6666666666)</f>
        <v/>
      </c>
      <c r="C224" s="141">
        <f>IFERROR(__xludf.DUMMYFUNCTION("""COMPUTED_VALUE"""),82.28)</f>
        <v/>
      </c>
      <c r="D224" s="141">
        <f>IFERROR(__xludf.DUMMYFUNCTION("""COMPUTED_VALUE"""),82.29)</f>
        <v/>
      </c>
      <c r="E224" s="141">
        <f>IFERROR(__xludf.DUMMYFUNCTION("""COMPUTED_VALUE"""),82.22)</f>
        <v/>
      </c>
      <c r="F224" s="141">
        <f>IFERROR(__xludf.DUMMYFUNCTION("""COMPUTED_VALUE"""),82.22)</f>
        <v/>
      </c>
      <c r="G224" s="143">
        <f>IFERROR(__xludf.DUMMYFUNCTION("""COMPUTED_VALUE"""),1693985)</f>
        <v/>
      </c>
      <c r="H224" s="27" t="n"/>
    </row>
    <row r="225" ht="17.25" customHeight="1" s="322">
      <c r="A225" s="27" t="n"/>
      <c r="B225" s="506">
        <f>IFERROR(__xludf.DUMMYFUNCTION("""COMPUTED_VALUE"""),46154.6666666666)</f>
        <v/>
      </c>
      <c r="C225" s="141">
        <f>IFERROR(__xludf.DUMMYFUNCTION("""COMPUTED_VALUE"""),82.18)</f>
        <v/>
      </c>
      <c r="D225" s="141">
        <f>IFERROR(__xludf.DUMMYFUNCTION("""COMPUTED_VALUE"""),82.18)</f>
        <v/>
      </c>
      <c r="E225" s="141">
        <f>IFERROR(__xludf.DUMMYFUNCTION("""COMPUTED_VALUE"""),82.15)</f>
        <v/>
      </c>
      <c r="F225" s="141">
        <f>IFERROR(__xludf.DUMMYFUNCTION("""COMPUTED_VALUE"""),82.16)</f>
        <v/>
      </c>
      <c r="G225" s="143">
        <f>IFERROR(__xludf.DUMMYFUNCTION("""COMPUTED_VALUE"""),3292280)</f>
        <v/>
      </c>
      <c r="H225" s="27" t="n"/>
    </row>
    <row r="226" ht="17.25" customHeight="1" s="322">
      <c r="A226" s="27" t="n"/>
      <c r="B226" s="506">
        <f>IFERROR(__xludf.DUMMYFUNCTION("""COMPUTED_VALUE"""),46155.6666666666)</f>
        <v/>
      </c>
      <c r="C226" s="141">
        <f>IFERROR(__xludf.DUMMYFUNCTION("""COMPUTED_VALUE"""),82.18)</f>
        <v/>
      </c>
      <c r="D226" s="141">
        <f>IFERROR(__xludf.DUMMYFUNCTION("""COMPUTED_VALUE"""),82.2)</f>
        <v/>
      </c>
      <c r="E226" s="141">
        <f>IFERROR(__xludf.DUMMYFUNCTION("""COMPUTED_VALUE"""),82.14)</f>
        <v/>
      </c>
      <c r="F226" s="141">
        <f>IFERROR(__xludf.DUMMYFUNCTION("""COMPUTED_VALUE"""),82.19)</f>
        <v/>
      </c>
      <c r="G226" s="143">
        <f>IFERROR(__xludf.DUMMYFUNCTION("""COMPUTED_VALUE"""),2667479)</f>
        <v/>
      </c>
      <c r="H226" s="27" t="n"/>
    </row>
    <row r="227" ht="17.25" customHeight="1" s="322">
      <c r="A227" s="27" t="n"/>
      <c r="B227" s="506">
        <f>IFERROR(__xludf.DUMMYFUNCTION("""COMPUTED_VALUE"""),46156.6666666666)</f>
        <v/>
      </c>
      <c r="C227" s="141">
        <f>IFERROR(__xludf.DUMMYFUNCTION("""COMPUTED_VALUE"""),82.22)</f>
        <v/>
      </c>
      <c r="D227" s="141">
        <f>IFERROR(__xludf.DUMMYFUNCTION("""COMPUTED_VALUE"""),82.23)</f>
        <v/>
      </c>
      <c r="E227" s="141">
        <f>IFERROR(__xludf.DUMMYFUNCTION("""COMPUTED_VALUE"""),82.15)</f>
        <v/>
      </c>
      <c r="F227" s="141">
        <f>IFERROR(__xludf.DUMMYFUNCTION("""COMPUTED_VALUE"""),82.16)</f>
        <v/>
      </c>
      <c r="G227" s="143">
        <f>IFERROR(__xludf.DUMMYFUNCTION("""COMPUTED_VALUE"""),2185577)</f>
        <v/>
      </c>
      <c r="H227" s="27" t="n"/>
    </row>
    <row r="228" ht="17.25" customHeight="1" s="322">
      <c r="A228" s="27" t="n"/>
      <c r="B228" s="506">
        <f>IFERROR(__xludf.DUMMYFUNCTION("""COMPUTED_VALUE"""),46157.6666666666)</f>
        <v/>
      </c>
      <c r="C228" s="141">
        <f>IFERROR(__xludf.DUMMYFUNCTION("""COMPUTED_VALUE"""),82.09)</f>
        <v/>
      </c>
      <c r="D228" s="141">
        <f>IFERROR(__xludf.DUMMYFUNCTION("""COMPUTED_VALUE"""),82.1)</f>
        <v/>
      </c>
      <c r="E228" s="141">
        <f>IFERROR(__xludf.DUMMYFUNCTION("""COMPUTED_VALUE"""),82.06)</f>
        <v/>
      </c>
      <c r="F228" s="141">
        <f>IFERROR(__xludf.DUMMYFUNCTION("""COMPUTED_VALUE"""),82.06)</f>
        <v/>
      </c>
      <c r="G228" s="143">
        <f>IFERROR(__xludf.DUMMYFUNCTION("""COMPUTED_VALUE"""),3543593)</f>
        <v/>
      </c>
      <c r="H228" s="27" t="n"/>
    </row>
    <row r="229" ht="17.25" customHeight="1" s="322">
      <c r="A229" s="27" t="n"/>
      <c r="B229" s="506">
        <f>IFERROR(__xludf.DUMMYFUNCTION("""COMPUTED_VALUE"""),46160.6666666666)</f>
        <v/>
      </c>
      <c r="C229" s="141">
        <f>IFERROR(__xludf.DUMMYFUNCTION("""COMPUTED_VALUE"""),82.11)</f>
        <v/>
      </c>
      <c r="D229" s="141">
        <f>IFERROR(__xludf.DUMMYFUNCTION("""COMPUTED_VALUE"""),82.14)</f>
        <v/>
      </c>
      <c r="E229" s="141">
        <f>IFERROR(__xludf.DUMMYFUNCTION("""COMPUTED_VALUE"""),82.06)</f>
        <v/>
      </c>
      <c r="F229" s="141">
        <f>IFERROR(__xludf.DUMMYFUNCTION("""COMPUTED_VALUE"""),82.1)</f>
        <v/>
      </c>
      <c r="G229" s="143">
        <f>IFERROR(__xludf.DUMMYFUNCTION("""COMPUTED_VALUE"""),3800959)</f>
        <v/>
      </c>
      <c r="H229" s="27" t="n"/>
    </row>
    <row r="230" ht="17.25" customHeight="1" s="322">
      <c r="A230" s="27" t="n"/>
      <c r="B230" s="506">
        <f>IFERROR(__xludf.DUMMYFUNCTION("""COMPUTED_VALUE"""),46161.6666666666)</f>
        <v/>
      </c>
      <c r="C230" s="141">
        <f>IFERROR(__xludf.DUMMYFUNCTION("""COMPUTED_VALUE"""),82.04)</f>
        <v/>
      </c>
      <c r="D230" s="141">
        <f>IFERROR(__xludf.DUMMYFUNCTION("""COMPUTED_VALUE"""),82.07)</f>
        <v/>
      </c>
      <c r="E230" s="141">
        <f>IFERROR(__xludf.DUMMYFUNCTION("""COMPUTED_VALUE"""),82)</f>
        <v/>
      </c>
      <c r="F230" s="141">
        <f>IFERROR(__xludf.DUMMYFUNCTION("""COMPUTED_VALUE"""),82.04)</f>
        <v/>
      </c>
      <c r="G230" s="143">
        <f>IFERROR(__xludf.DUMMYFUNCTION("""COMPUTED_VALUE"""),3046904)</f>
        <v/>
      </c>
      <c r="H230" s="27" t="n"/>
    </row>
    <row r="231" ht="17.25" customHeight="1" s="322">
      <c r="A231" s="27" t="n"/>
      <c r="B231" s="506">
        <f>IFERROR(__xludf.DUMMYFUNCTION("""COMPUTED_VALUE"""),46162.6666666666)</f>
        <v/>
      </c>
      <c r="C231" s="141">
        <f>IFERROR(__xludf.DUMMYFUNCTION("""COMPUTED_VALUE"""),82.04)</f>
        <v/>
      </c>
      <c r="D231" s="141">
        <f>IFERROR(__xludf.DUMMYFUNCTION("""COMPUTED_VALUE"""),82.19)</f>
        <v/>
      </c>
      <c r="E231" s="141">
        <f>IFERROR(__xludf.DUMMYFUNCTION("""COMPUTED_VALUE"""),82.04)</f>
        <v/>
      </c>
      <c r="F231" s="141">
        <f>IFERROR(__xludf.DUMMYFUNCTION("""COMPUTED_VALUE"""),82.15)</f>
        <v/>
      </c>
      <c r="G231" s="143">
        <f>IFERROR(__xludf.DUMMYFUNCTION("""COMPUTED_VALUE"""),6917128)</f>
        <v/>
      </c>
      <c r="H231" s="27" t="n"/>
    </row>
    <row r="232" ht="17.25" customHeight="1" s="322">
      <c r="A232" s="27" t="n"/>
      <c r="B232" s="506">
        <f>IFERROR(__xludf.DUMMYFUNCTION("""COMPUTED_VALUE"""),46163.6666666666)</f>
        <v/>
      </c>
      <c r="C232" s="141">
        <f>IFERROR(__xludf.DUMMYFUNCTION("""COMPUTED_VALUE"""),82.07)</f>
        <v/>
      </c>
      <c r="D232" s="141">
        <f>IFERROR(__xludf.DUMMYFUNCTION("""COMPUTED_VALUE"""),82.16)</f>
        <v/>
      </c>
      <c r="E232" s="141">
        <f>IFERROR(__xludf.DUMMYFUNCTION("""COMPUTED_VALUE"""),82.05)</f>
        <v/>
      </c>
      <c r="F232" s="141">
        <f>IFERROR(__xludf.DUMMYFUNCTION("""COMPUTED_VALUE"""),82.14)</f>
        <v/>
      </c>
      <c r="G232" s="143">
        <f>IFERROR(__xludf.DUMMYFUNCTION("""COMPUTED_VALUE"""),5047294)</f>
        <v/>
      </c>
      <c r="H232" s="27" t="n"/>
    </row>
    <row r="233" ht="17.25" customHeight="1" s="322">
      <c r="A233" s="27" t="n"/>
      <c r="B233" s="506">
        <f>IFERROR(__xludf.DUMMYFUNCTION("""COMPUTED_VALUE"""),46164.6666666666)</f>
        <v/>
      </c>
      <c r="C233" s="141">
        <f>IFERROR(__xludf.DUMMYFUNCTION("""COMPUTED_VALUE"""),82.17)</f>
        <v/>
      </c>
      <c r="D233" s="141">
        <f>IFERROR(__xludf.DUMMYFUNCTION("""COMPUTED_VALUE"""),82.18)</f>
        <v/>
      </c>
      <c r="E233" s="141">
        <f>IFERROR(__xludf.DUMMYFUNCTION("""COMPUTED_VALUE"""),82.06)</f>
        <v/>
      </c>
      <c r="F233" s="141">
        <f>IFERROR(__xludf.DUMMYFUNCTION("""COMPUTED_VALUE"""),82.12)</f>
        <v/>
      </c>
      <c r="G233" s="143">
        <f>IFERROR(__xludf.DUMMYFUNCTION("""COMPUTED_VALUE"""),2722348)</f>
        <v/>
      </c>
      <c r="H233" s="27" t="n"/>
    </row>
    <row r="234" ht="17.25" customHeight="1" s="322">
      <c r="A234" s="27" t="n"/>
      <c r="B234" s="506">
        <f>IFERROR(__xludf.DUMMYFUNCTION("""COMPUTED_VALUE"""),46168.6666666666)</f>
        <v/>
      </c>
      <c r="C234" s="141">
        <f>IFERROR(__xludf.DUMMYFUNCTION("""COMPUTED_VALUE"""),82.2)</f>
        <v/>
      </c>
      <c r="D234" s="141">
        <f>IFERROR(__xludf.DUMMYFUNCTION("""COMPUTED_VALUE"""),82.21)</f>
        <v/>
      </c>
      <c r="E234" s="141">
        <f>IFERROR(__xludf.DUMMYFUNCTION("""COMPUTED_VALUE"""),82.16)</f>
        <v/>
      </c>
      <c r="F234" s="141">
        <f>IFERROR(__xludf.DUMMYFUNCTION("""COMPUTED_VALUE"""),82.21)</f>
        <v/>
      </c>
      <c r="G234" s="143">
        <f>IFERROR(__xludf.DUMMYFUNCTION("""COMPUTED_VALUE"""),2783588)</f>
        <v/>
      </c>
      <c r="H234" s="27" t="n"/>
    </row>
    <row r="235" ht="17.25" customHeight="1" s="322">
      <c r="A235" s="27" t="n"/>
      <c r="B235" s="506">
        <f>IFERROR(__xludf.DUMMYFUNCTION("""COMPUTED_VALUE"""),46169.6666666666)</f>
        <v/>
      </c>
      <c r="C235" s="141">
        <f>IFERROR(__xludf.DUMMYFUNCTION("""COMPUTED_VALUE"""),82.22)</f>
        <v/>
      </c>
      <c r="D235" s="141">
        <f>IFERROR(__xludf.DUMMYFUNCTION("""COMPUTED_VALUE"""),82.24)</f>
        <v/>
      </c>
      <c r="E235" s="141">
        <f>IFERROR(__xludf.DUMMYFUNCTION("""COMPUTED_VALUE"""),82.21)</f>
        <v/>
      </c>
      <c r="F235" s="141">
        <f>IFERROR(__xludf.DUMMYFUNCTION("""COMPUTED_VALUE"""),82.22)</f>
        <v/>
      </c>
      <c r="G235" s="143">
        <f>IFERROR(__xludf.DUMMYFUNCTION("""COMPUTED_VALUE"""),2002424)</f>
        <v/>
      </c>
      <c r="H235" s="27" t="n"/>
    </row>
    <row r="236" ht="17.25" customHeight="1" s="322">
      <c r="A236" s="27" t="n"/>
      <c r="B236" s="506">
        <f>IFERROR(__xludf.DUMMYFUNCTION("""COMPUTED_VALUE"""),46170.6666666666)</f>
        <v/>
      </c>
      <c r="C236" s="141">
        <f>IFERROR(__xludf.DUMMYFUNCTION("""COMPUTED_VALUE"""),82.22)</f>
        <v/>
      </c>
      <c r="D236" s="141">
        <f>IFERROR(__xludf.DUMMYFUNCTION("""COMPUTED_VALUE"""),82.3)</f>
        <v/>
      </c>
      <c r="E236" s="141">
        <f>IFERROR(__xludf.DUMMYFUNCTION("""COMPUTED_VALUE"""),82.21)</f>
        <v/>
      </c>
      <c r="F236" s="141">
        <f>IFERROR(__xludf.DUMMYFUNCTION("""COMPUTED_VALUE"""),82.26)</f>
        <v/>
      </c>
      <c r="G236" s="143">
        <f>IFERROR(__xludf.DUMMYFUNCTION("""COMPUTED_VALUE"""),2578906)</f>
        <v/>
      </c>
      <c r="H236" s="27" t="n"/>
    </row>
    <row r="237" ht="17.25" customHeight="1" s="322">
      <c r="A237" s="27" t="n"/>
      <c r="B237" s="506">
        <f>IFERROR(__xludf.DUMMYFUNCTION("""COMPUTED_VALUE"""),46171.6666666666)</f>
        <v/>
      </c>
      <c r="C237" s="141">
        <f>IFERROR(__xludf.DUMMYFUNCTION("""COMPUTED_VALUE"""),82.3)</f>
        <v/>
      </c>
      <c r="D237" s="141">
        <f>IFERROR(__xludf.DUMMYFUNCTION("""COMPUTED_VALUE"""),82.33)</f>
        <v/>
      </c>
      <c r="E237" s="141">
        <f>IFERROR(__xludf.DUMMYFUNCTION("""COMPUTED_VALUE"""),82.28)</f>
        <v/>
      </c>
      <c r="F237" s="141">
        <f>IFERROR(__xludf.DUMMYFUNCTION("""COMPUTED_VALUE"""),82.3)</f>
        <v/>
      </c>
      <c r="G237" s="143">
        <f>IFERROR(__xludf.DUMMYFUNCTION("""COMPUTED_VALUE"""),2521445)</f>
        <v/>
      </c>
      <c r="H237" s="27" t="n"/>
    </row>
    <row r="238" ht="17.25" customHeight="1" s="322">
      <c r="A238" s="27" t="n"/>
      <c r="B238" s="506">
        <f>IFERROR(__xludf.DUMMYFUNCTION("""COMPUTED_VALUE"""),46174.6666666666)</f>
        <v/>
      </c>
      <c r="C238" s="141">
        <f>IFERROR(__xludf.DUMMYFUNCTION("""COMPUTED_VALUE"""),81.98)</f>
        <v/>
      </c>
      <c r="D238" s="141">
        <f>IFERROR(__xludf.DUMMYFUNCTION("""COMPUTED_VALUE"""),82.02)</f>
        <v/>
      </c>
      <c r="E238" s="141">
        <f>IFERROR(__xludf.DUMMYFUNCTION("""COMPUTED_VALUE"""),81.94)</f>
        <v/>
      </c>
      <c r="F238" s="141">
        <f>IFERROR(__xludf.DUMMYFUNCTION("""COMPUTED_VALUE"""),82.01)</f>
        <v/>
      </c>
      <c r="G238" s="143">
        <f>IFERROR(__xludf.DUMMYFUNCTION("""COMPUTED_VALUE"""),2975918)</f>
        <v/>
      </c>
      <c r="H238" s="27" t="n"/>
    </row>
    <row r="239" ht="17.25" customHeight="1" s="322">
      <c r="A239" s="27" t="n"/>
      <c r="B239" s="506">
        <f>IFERROR(__xludf.DUMMYFUNCTION("""COMPUTED_VALUE"""),46175.6666666666)</f>
        <v/>
      </c>
      <c r="C239" s="141">
        <f>IFERROR(__xludf.DUMMYFUNCTION("""COMPUTED_VALUE"""),82.04)</f>
        <v/>
      </c>
      <c r="D239" s="141">
        <f>IFERROR(__xludf.DUMMYFUNCTION("""COMPUTED_VALUE"""),82.04)</f>
        <v/>
      </c>
      <c r="E239" s="141">
        <f>IFERROR(__xludf.DUMMYFUNCTION("""COMPUTED_VALUE"""),82)</f>
        <v/>
      </c>
      <c r="F239" s="141">
        <f>IFERROR(__xludf.DUMMYFUNCTION("""COMPUTED_VALUE"""),82.01)</f>
        <v/>
      </c>
      <c r="G239" s="143">
        <f>IFERROR(__xludf.DUMMYFUNCTION("""COMPUTED_VALUE"""),1890906)</f>
        <v/>
      </c>
      <c r="H239" s="27" t="n"/>
    </row>
    <row r="240" ht="17.25" customHeight="1" s="322">
      <c r="A240" s="27" t="n"/>
      <c r="B240" s="506">
        <f>IFERROR(__xludf.DUMMYFUNCTION("""COMPUTED_VALUE"""),46176.6666666666)</f>
        <v/>
      </c>
      <c r="C240" s="141">
        <f>IFERROR(__xludf.DUMMYFUNCTION("""COMPUTED_VALUE"""),81.96)</f>
        <v/>
      </c>
      <c r="D240" s="141">
        <f>IFERROR(__xludf.DUMMYFUNCTION("""COMPUTED_VALUE"""),81.99)</f>
        <v/>
      </c>
      <c r="E240" s="141">
        <f>IFERROR(__xludf.DUMMYFUNCTION("""COMPUTED_VALUE"""),81.95)</f>
        <v/>
      </c>
      <c r="F240" s="141">
        <f>IFERROR(__xludf.DUMMYFUNCTION("""COMPUTED_VALUE"""),81.97)</f>
        <v/>
      </c>
      <c r="G240" s="143">
        <f>IFERROR(__xludf.DUMMYFUNCTION("""COMPUTED_VALUE"""),3261733)</f>
        <v/>
      </c>
      <c r="H240" s="27" t="n"/>
    </row>
    <row r="241" ht="17.25" customHeight="1" s="322">
      <c r="A241" s="27" t="n"/>
      <c r="B241" s="506">
        <f>IFERROR(__xludf.DUMMYFUNCTION("""COMPUTED_VALUE"""),46177.6666666666)</f>
        <v/>
      </c>
      <c r="C241" s="141">
        <f>IFERROR(__xludf.DUMMYFUNCTION("""COMPUTED_VALUE"""),82.05)</f>
        <v/>
      </c>
      <c r="D241" s="141">
        <f>IFERROR(__xludf.DUMMYFUNCTION("""COMPUTED_VALUE"""),82.06)</f>
        <v/>
      </c>
      <c r="E241" s="141">
        <f>IFERROR(__xludf.DUMMYFUNCTION("""COMPUTED_VALUE"""),82.02)</f>
        <v/>
      </c>
      <c r="F241" s="141">
        <f>IFERROR(__xludf.DUMMYFUNCTION("""COMPUTED_VALUE"""),82.03)</f>
        <v/>
      </c>
      <c r="G241" s="143">
        <f>IFERROR(__xludf.DUMMYFUNCTION("""COMPUTED_VALUE"""),3010561)</f>
        <v/>
      </c>
      <c r="H241" s="27" t="n"/>
    </row>
    <row r="242" ht="17.25" customHeight="1" s="322">
      <c r="A242" s="27" t="n"/>
      <c r="B242" s="506">
        <f>IFERROR(__xludf.DUMMYFUNCTION("""COMPUTED_VALUE"""),46178.6666666666)</f>
        <v/>
      </c>
      <c r="C242" s="141">
        <f>IFERROR(__xludf.DUMMYFUNCTION("""COMPUTED_VALUE"""),81.92)</f>
        <v/>
      </c>
      <c r="D242" s="141">
        <f>IFERROR(__xludf.DUMMYFUNCTION("""COMPUTED_VALUE"""),81.93)</f>
        <v/>
      </c>
      <c r="E242" s="141">
        <f>IFERROR(__xludf.DUMMYFUNCTION("""COMPUTED_VALUE"""),81.86)</f>
        <v/>
      </c>
      <c r="F242" s="141">
        <f>IFERROR(__xludf.DUMMYFUNCTION("""COMPUTED_VALUE"""),81.86)</f>
        <v/>
      </c>
      <c r="G242" s="143">
        <f>IFERROR(__xludf.DUMMYFUNCTION("""COMPUTED_VALUE"""),5008143)</f>
        <v/>
      </c>
      <c r="H242" s="27" t="n"/>
    </row>
    <row r="243" ht="17.25" customHeight="1" s="322">
      <c r="A243" s="27" t="n"/>
      <c r="B243" s="506">
        <f>IFERROR(__xludf.DUMMYFUNCTION("""COMPUTED_VALUE"""),46181.6666666666)</f>
        <v/>
      </c>
      <c r="C243" s="141">
        <f>IFERROR(__xludf.DUMMYFUNCTION("""COMPUTED_VALUE"""),81.93)</f>
        <v/>
      </c>
      <c r="D243" s="141">
        <f>IFERROR(__xludf.DUMMYFUNCTION("""COMPUTED_VALUE"""),81.95)</f>
        <v/>
      </c>
      <c r="E243" s="141">
        <f>IFERROR(__xludf.DUMMYFUNCTION("""COMPUTED_VALUE"""),81.89)</f>
        <v/>
      </c>
      <c r="F243" s="141">
        <f>IFERROR(__xludf.DUMMYFUNCTION("""COMPUTED_VALUE"""),81.9)</f>
        <v/>
      </c>
      <c r="G243" s="143">
        <f>IFERROR(__xludf.DUMMYFUNCTION("""COMPUTED_VALUE"""),5010199)</f>
        <v/>
      </c>
      <c r="H243" s="27" t="n"/>
    </row>
    <row r="244" ht="17.25" customHeight="1" s="322">
      <c r="A244" s="27" t="n"/>
      <c r="B244" s="506">
        <f>IFERROR(__xludf.DUMMYFUNCTION("""COMPUTED_VALUE"""),46182.6666666666)</f>
        <v/>
      </c>
      <c r="C244" s="141">
        <f>IFERROR(__xludf.DUMMYFUNCTION("""COMPUTED_VALUE"""),81.94)</f>
        <v/>
      </c>
      <c r="D244" s="141">
        <f>IFERROR(__xludf.DUMMYFUNCTION("""COMPUTED_VALUE"""),81.98)</f>
        <v/>
      </c>
      <c r="E244" s="141">
        <f>IFERROR(__xludf.DUMMYFUNCTION("""COMPUTED_VALUE"""),81.92)</f>
        <v/>
      </c>
      <c r="F244" s="141">
        <f>IFERROR(__xludf.DUMMYFUNCTION("""COMPUTED_VALUE"""),81.94)</f>
        <v/>
      </c>
      <c r="G244" s="143">
        <f>IFERROR(__xludf.DUMMYFUNCTION("""COMPUTED_VALUE"""),3242450)</f>
        <v/>
      </c>
      <c r="H244" s="27" t="n"/>
    </row>
    <row r="245" ht="17.25" customHeight="1" s="322">
      <c r="A245" s="27" t="n"/>
      <c r="B245" s="506">
        <f>IFERROR(__xludf.DUMMYFUNCTION("""COMPUTED_VALUE"""),46183.6666666666)</f>
        <v/>
      </c>
      <c r="C245" s="141">
        <f>IFERROR(__xludf.DUMMYFUNCTION("""COMPUTED_VALUE"""),81.97)</f>
        <v/>
      </c>
      <c r="D245" s="141">
        <f>IFERROR(__xludf.DUMMYFUNCTION("""COMPUTED_VALUE"""),81.99)</f>
        <v/>
      </c>
      <c r="E245" s="141">
        <f>IFERROR(__xludf.DUMMYFUNCTION("""COMPUTED_VALUE"""),81.94)</f>
        <v/>
      </c>
      <c r="F245" s="141">
        <f>IFERROR(__xludf.DUMMYFUNCTION("""COMPUTED_VALUE"""),81.94)</f>
        <v/>
      </c>
      <c r="G245" s="143">
        <f>IFERROR(__xludf.DUMMYFUNCTION("""COMPUTED_VALUE"""),3446574)</f>
        <v/>
      </c>
      <c r="H245" s="27" t="n"/>
    </row>
    <row r="246" ht="17.25" customHeight="1" s="322">
      <c r="A246" s="27" t="n"/>
      <c r="B246" s="506">
        <f>IFERROR(__xludf.DUMMYFUNCTION("""COMPUTED_VALUE"""),46184.6666666666)</f>
        <v/>
      </c>
      <c r="C246" s="141">
        <f>IFERROR(__xludf.DUMMYFUNCTION("""COMPUTED_VALUE"""),81.96)</f>
        <v/>
      </c>
      <c r="D246" s="141">
        <f>IFERROR(__xludf.DUMMYFUNCTION("""COMPUTED_VALUE"""),82.1)</f>
        <v/>
      </c>
      <c r="E246" s="141">
        <f>IFERROR(__xludf.DUMMYFUNCTION("""COMPUTED_VALUE"""),81.94)</f>
        <v/>
      </c>
      <c r="F246" s="141">
        <f>IFERROR(__xludf.DUMMYFUNCTION("""COMPUTED_VALUE"""),82.09)</f>
        <v/>
      </c>
      <c r="G246" s="143">
        <f>IFERROR(__xludf.DUMMYFUNCTION("""COMPUTED_VALUE"""),4527992)</f>
        <v/>
      </c>
      <c r="H246" s="27" t="n"/>
    </row>
    <row r="247" ht="17.25" customHeight="1" s="322">
      <c r="A247" s="27" t="n"/>
      <c r="B247" s="506">
        <f>IFERROR(__xludf.DUMMYFUNCTION("""COMPUTED_VALUE"""),46185.6666666666)</f>
        <v/>
      </c>
      <c r="C247" s="141">
        <f>IFERROR(__xludf.DUMMYFUNCTION("""COMPUTED_VALUE"""),82.07)</f>
        <v/>
      </c>
      <c r="D247" s="141">
        <f>IFERROR(__xludf.DUMMYFUNCTION("""COMPUTED_VALUE"""),82.09)</f>
        <v/>
      </c>
      <c r="E247" s="141">
        <f>IFERROR(__xludf.DUMMYFUNCTION("""COMPUTED_VALUE"""),82.03)</f>
        <v/>
      </c>
      <c r="F247" s="141">
        <f>IFERROR(__xludf.DUMMYFUNCTION("""COMPUTED_VALUE"""),82.07)</f>
        <v/>
      </c>
      <c r="G247" s="143">
        <f>IFERROR(__xludf.DUMMYFUNCTION("""COMPUTED_VALUE"""),3967428)</f>
        <v/>
      </c>
      <c r="H247" s="27" t="n"/>
    </row>
    <row r="248" ht="17.25" customHeight="1" s="322">
      <c r="A248" s="27" t="n"/>
      <c r="B248" s="506">
        <f>IFERROR(__xludf.DUMMYFUNCTION("""COMPUTED_VALUE"""),46188.6666666666)</f>
        <v/>
      </c>
      <c r="C248" s="141">
        <f>IFERROR(__xludf.DUMMYFUNCTION("""COMPUTED_VALUE"""),82.14)</f>
        <v/>
      </c>
      <c r="D248" s="141">
        <f>IFERROR(__xludf.DUMMYFUNCTION("""COMPUTED_VALUE"""),82.15)</f>
        <v/>
      </c>
      <c r="E248" s="141">
        <f>IFERROR(__xludf.DUMMYFUNCTION("""COMPUTED_VALUE"""),82.09)</f>
        <v/>
      </c>
      <c r="F248" s="141">
        <f>IFERROR(__xludf.DUMMYFUNCTION("""COMPUTED_VALUE"""),82.11)</f>
        <v/>
      </c>
      <c r="G248" s="143">
        <f>IFERROR(__xludf.DUMMYFUNCTION("""COMPUTED_VALUE"""),3625923)</f>
        <v/>
      </c>
      <c r="H248" s="27" t="n"/>
    </row>
    <row r="249" ht="17.25" customHeight="1" s="322">
      <c r="A249" s="27" t="n"/>
      <c r="B249" s="506">
        <f>IFERROR(__xludf.DUMMYFUNCTION("""COMPUTED_VALUE"""),46189.6666666666)</f>
        <v/>
      </c>
      <c r="C249" s="141">
        <f>IFERROR(__xludf.DUMMYFUNCTION("""COMPUTED_VALUE"""),82.1)</f>
        <v/>
      </c>
      <c r="D249" s="141">
        <f>IFERROR(__xludf.DUMMYFUNCTION("""COMPUTED_VALUE"""),82.15)</f>
        <v/>
      </c>
      <c r="E249" s="141">
        <f>IFERROR(__xludf.DUMMYFUNCTION("""COMPUTED_VALUE"""),82.09)</f>
        <v/>
      </c>
      <c r="F249" s="141">
        <f>IFERROR(__xludf.DUMMYFUNCTION("""COMPUTED_VALUE"""),82.13)</f>
        <v/>
      </c>
      <c r="G249" s="143">
        <f>IFERROR(__xludf.DUMMYFUNCTION("""COMPUTED_VALUE"""),1766847)</f>
        <v/>
      </c>
      <c r="H249" s="27" t="n"/>
    </row>
    <row r="250" ht="17.25" customHeight="1" s="322">
      <c r="A250" s="27" t="n"/>
      <c r="B250" s="506">
        <f>IFERROR(__xludf.DUMMYFUNCTION("""COMPUTED_VALUE"""),46190.6666666666)</f>
        <v/>
      </c>
      <c r="C250" s="141">
        <f>IFERROR(__xludf.DUMMYFUNCTION("""COMPUTED_VALUE"""),82.11)</f>
        <v/>
      </c>
      <c r="D250" s="141">
        <f>IFERROR(__xludf.DUMMYFUNCTION("""COMPUTED_VALUE"""),82.13)</f>
        <v/>
      </c>
      <c r="E250" s="141">
        <f>IFERROR(__xludf.DUMMYFUNCTION("""COMPUTED_VALUE"""),81.88)</f>
        <v/>
      </c>
      <c r="F250" s="141">
        <f>IFERROR(__xludf.DUMMYFUNCTION("""COMPUTED_VALUE"""),81.88)</f>
        <v/>
      </c>
      <c r="G250" s="143">
        <f>IFERROR(__xludf.DUMMYFUNCTION("""COMPUTED_VALUE"""),5236627)</f>
        <v/>
      </c>
      <c r="H250" s="27" t="n"/>
    </row>
    <row r="251" ht="17.25" customHeight="1" s="322">
      <c r="A251" s="27" t="n"/>
      <c r="B251" s="506">
        <f>IFERROR(__xludf.DUMMYFUNCTION("""COMPUTED_VALUE"""),46191.6666666666)</f>
        <v/>
      </c>
      <c r="C251" s="141">
        <f>IFERROR(__xludf.DUMMYFUNCTION("""COMPUTED_VALUE"""),81.99)</f>
        <v/>
      </c>
      <c r="D251" s="141">
        <f>IFERROR(__xludf.DUMMYFUNCTION("""COMPUTED_VALUE"""),82.04)</f>
        <v/>
      </c>
      <c r="E251" s="141">
        <f>IFERROR(__xludf.DUMMYFUNCTION("""COMPUTED_VALUE"""),81.98)</f>
        <v/>
      </c>
      <c r="F251" s="141">
        <f>IFERROR(__xludf.DUMMYFUNCTION("""COMPUTED_VALUE"""),81.99)</f>
        <v/>
      </c>
      <c r="G251" s="143">
        <f>IFERROR(__xludf.DUMMYFUNCTION("""COMPUTED_VALUE"""),3044203)</f>
        <v/>
      </c>
      <c r="H251" s="27" t="n"/>
    </row>
    <row r="252" ht="17.25" customHeight="1" s="322">
      <c r="A252" s="27" t="n"/>
      <c r="B252" s="506">
        <f>IFERROR(__xludf.DUMMYFUNCTION("""COMPUTED_VALUE"""),46195.6666666666)</f>
        <v/>
      </c>
      <c r="C252" s="141">
        <f>IFERROR(__xludf.DUMMYFUNCTION("""COMPUTED_VALUE"""),81.93)</f>
        <v/>
      </c>
      <c r="D252" s="141">
        <f>IFERROR(__xludf.DUMMYFUNCTION("""COMPUTED_VALUE"""),81.95)</f>
        <v/>
      </c>
      <c r="E252" s="141">
        <f>IFERROR(__xludf.DUMMYFUNCTION("""COMPUTED_VALUE"""),81.91)</f>
        <v/>
      </c>
      <c r="F252" s="141">
        <f>IFERROR(__xludf.DUMMYFUNCTION("""COMPUTED_VALUE"""),81.91)</f>
        <v/>
      </c>
      <c r="G252" s="143">
        <f>IFERROR(__xludf.DUMMYFUNCTION("""COMPUTED_VALUE"""),2502150)</f>
        <v/>
      </c>
      <c r="H252" s="27" t="n"/>
    </row>
    <row r="253" ht="17.25" customHeight="1" s="322">
      <c r="A253" s="27" t="n"/>
      <c r="B253" s="506">
        <f>IFERROR(__xludf.DUMMYFUNCTION("""COMPUTED_VALUE"""),46196.6666666666)</f>
        <v/>
      </c>
      <c r="C253" s="141">
        <f>IFERROR(__xludf.DUMMYFUNCTION("""COMPUTED_VALUE"""),81.97)</f>
        <v/>
      </c>
      <c r="D253" s="141">
        <f>IFERROR(__xludf.DUMMYFUNCTION("""COMPUTED_VALUE"""),82)</f>
        <v/>
      </c>
      <c r="E253" s="141">
        <f>IFERROR(__xludf.DUMMYFUNCTION("""COMPUTED_VALUE"""),81.97)</f>
        <v/>
      </c>
      <c r="F253" s="141">
        <f>IFERROR(__xludf.DUMMYFUNCTION("""COMPUTED_VALUE"""),81.97)</f>
        <v/>
      </c>
      <c r="G253" s="143">
        <f>IFERROR(__xludf.DUMMYFUNCTION("""COMPUTED_VALUE"""),6606786)</f>
        <v/>
      </c>
      <c r="H253" s="27" t="n"/>
    </row>
    <row r="254" ht="17.25" customHeight="1" s="322">
      <c r="A254" s="27" t="n"/>
      <c r="B254" s="506">
        <f>IFERROR(__xludf.DUMMYFUNCTION("""COMPUTED_VALUE"""),46197.6666666666)</f>
        <v/>
      </c>
      <c r="C254" s="141">
        <f>IFERROR(__xludf.DUMMYFUNCTION("""COMPUTED_VALUE"""),82.05)</f>
        <v/>
      </c>
      <c r="D254" s="141">
        <f>IFERROR(__xludf.DUMMYFUNCTION("""COMPUTED_VALUE"""),82.09)</f>
        <v/>
      </c>
      <c r="E254" s="141">
        <f>IFERROR(__xludf.DUMMYFUNCTION("""COMPUTED_VALUE"""),82.04)</f>
        <v/>
      </c>
      <c r="F254" s="141">
        <f>IFERROR(__xludf.DUMMYFUNCTION("""COMPUTED_VALUE"""),82.07)</f>
        <v/>
      </c>
      <c r="G254" s="143">
        <f>IFERROR(__xludf.DUMMYFUNCTION("""COMPUTED_VALUE"""),3660405)</f>
        <v/>
      </c>
      <c r="H254" s="27" t="n"/>
    </row>
    <row r="255" ht="17.25" customHeight="1" s="322">
      <c r="A255" s="27" t="n"/>
      <c r="B255" s="506">
        <f>IFERROR(__xludf.DUMMYFUNCTION("""COMPUTED_VALUE"""),46198.6666666666)</f>
        <v/>
      </c>
      <c r="C255" s="141">
        <f>IFERROR(__xludf.DUMMYFUNCTION("""COMPUTED_VALUE"""),82.11)</f>
        <v/>
      </c>
      <c r="D255" s="141">
        <f>IFERROR(__xludf.DUMMYFUNCTION("""COMPUTED_VALUE"""),82.15)</f>
        <v/>
      </c>
      <c r="E255" s="141">
        <f>IFERROR(__xludf.DUMMYFUNCTION("""COMPUTED_VALUE"""),82.09)</f>
        <v/>
      </c>
      <c r="F255" s="141">
        <f>IFERROR(__xludf.DUMMYFUNCTION("""COMPUTED_VALUE"""),82.09)</f>
        <v/>
      </c>
      <c r="G255" s="143">
        <f>IFERROR(__xludf.DUMMYFUNCTION("""COMPUTED_VALUE"""),4011970)</f>
        <v/>
      </c>
      <c r="H255" s="27" t="n"/>
    </row>
    <row r="256" ht="17.25" customHeight="1" s="322">
      <c r="A256" s="27" t="n"/>
      <c r="B256" s="506">
        <f>IFERROR(__xludf.DUMMYFUNCTION("""COMPUTED_VALUE"""),46199.6666666666)</f>
        <v/>
      </c>
      <c r="C256" s="141">
        <f>IFERROR(__xludf.DUMMYFUNCTION("""COMPUTED_VALUE"""),82.16)</f>
        <v/>
      </c>
      <c r="D256" s="141">
        <f>IFERROR(__xludf.DUMMYFUNCTION("""COMPUTED_VALUE"""),82.21)</f>
        <v/>
      </c>
      <c r="E256" s="141">
        <f>IFERROR(__xludf.DUMMYFUNCTION("""COMPUTED_VALUE"""),82.16)</f>
        <v/>
      </c>
      <c r="F256" s="141">
        <f>IFERROR(__xludf.DUMMYFUNCTION("""COMPUTED_VALUE"""),82.19)</f>
        <v/>
      </c>
      <c r="G256" s="143">
        <f>IFERROR(__xludf.DUMMYFUNCTION("""COMPUTED_VALUE"""),2949017)</f>
        <v/>
      </c>
      <c r="H256" s="27" t="n"/>
    </row>
    <row r="257" ht="17.25" customHeight="1" s="322">
      <c r="A257" s="27" t="n"/>
      <c r="B257" s="506">
        <f>IFERROR(__xludf.DUMMYFUNCTION("""COMPUTED_VALUE"""),46202.6666666666)</f>
        <v/>
      </c>
      <c r="C257" s="141">
        <f>IFERROR(__xludf.DUMMYFUNCTION("""COMPUTED_VALUE"""),82.17)</f>
        <v/>
      </c>
      <c r="D257" s="141">
        <f>IFERROR(__xludf.DUMMYFUNCTION("""COMPUTED_VALUE"""),82.17)</f>
        <v/>
      </c>
      <c r="E257" s="141">
        <f>IFERROR(__xludf.DUMMYFUNCTION("""COMPUTED_VALUE"""),82.14)</f>
        <v/>
      </c>
      <c r="F257" s="141">
        <f>IFERROR(__xludf.DUMMYFUNCTION("""COMPUTED_VALUE"""),82.17)</f>
        <v/>
      </c>
      <c r="G257" s="143">
        <f>IFERROR(__xludf.DUMMYFUNCTION("""COMPUTED_VALUE"""),2234617)</f>
        <v/>
      </c>
      <c r="H257" s="27" t="n"/>
    </row>
    <row r="258" ht="17.25" customHeight="1" s="322">
      <c r="A258" s="27" t="n"/>
      <c r="B258" s="506">
        <f>IFERROR(__xludf.DUMMYFUNCTION("""COMPUTED_VALUE"""),46203.6666666666)</f>
        <v/>
      </c>
      <c r="C258" s="141">
        <f>IFERROR(__xludf.DUMMYFUNCTION("""COMPUTED_VALUE"""),82.15)</f>
        <v/>
      </c>
      <c r="D258" s="141">
        <f>IFERROR(__xludf.DUMMYFUNCTION("""COMPUTED_VALUE"""),82.15)</f>
        <v/>
      </c>
      <c r="E258" s="141">
        <f>IFERROR(__xludf.DUMMYFUNCTION("""COMPUTED_VALUE"""),82.1)</f>
        <v/>
      </c>
      <c r="F258" s="141">
        <f>IFERROR(__xludf.DUMMYFUNCTION("""COMPUTED_VALUE"""),82.11)</f>
        <v/>
      </c>
      <c r="G258" s="143">
        <f>IFERROR(__xludf.DUMMYFUNCTION("""COMPUTED_VALUE"""),3358822)</f>
        <v/>
      </c>
      <c r="H258" s="27" t="n"/>
    </row>
    <row r="259" ht="17.25" customHeight="1" s="322">
      <c r="A259" s="27" t="n"/>
      <c r="B259" s="506">
        <f>IFERROR(__xludf.DUMMYFUNCTION("""COMPUTED_VALUE"""),46204.6666666666)</f>
        <v/>
      </c>
      <c r="C259" s="141">
        <f>IFERROR(__xludf.DUMMYFUNCTION("""COMPUTED_VALUE"""),81.86)</f>
        <v/>
      </c>
      <c r="D259" s="141">
        <f>IFERROR(__xludf.DUMMYFUNCTION("""COMPUTED_VALUE"""),81.9)</f>
        <v/>
      </c>
      <c r="E259" s="141">
        <f>IFERROR(__xludf.DUMMYFUNCTION("""COMPUTED_VALUE"""),81.83)</f>
        <v/>
      </c>
      <c r="F259" s="141">
        <f>IFERROR(__xludf.DUMMYFUNCTION("""COMPUTED_VALUE"""),81.84)</f>
        <v/>
      </c>
      <c r="G259" s="143">
        <f>IFERROR(__xludf.DUMMYFUNCTION("""COMPUTED_VALUE"""),3433657)</f>
        <v/>
      </c>
      <c r="H259" s="27" t="n"/>
    </row>
    <row r="260" ht="17.25" customHeight="1" s="322">
      <c r="A260" s="27" t="n"/>
      <c r="B260" s="506">
        <f>IFERROR(__xludf.DUMMYFUNCTION("""COMPUTED_VALUE"""),46205.6666666666)</f>
        <v/>
      </c>
      <c r="C260" s="141">
        <f>IFERROR(__xludf.DUMMYFUNCTION("""COMPUTED_VALUE"""),81.93)</f>
        <v/>
      </c>
      <c r="D260" s="141">
        <f>IFERROR(__xludf.DUMMYFUNCTION("""COMPUTED_VALUE"""),81.97)</f>
        <v/>
      </c>
      <c r="E260" s="141">
        <f>IFERROR(__xludf.DUMMYFUNCTION("""COMPUTED_VALUE"""),81.92)</f>
        <v/>
      </c>
      <c r="F260" s="141">
        <f>IFERROR(__xludf.DUMMYFUNCTION("""COMPUTED_VALUE"""),81.94)</f>
        <v/>
      </c>
      <c r="G260" s="143">
        <f>IFERROR(__xludf.DUMMYFUNCTION("""COMPUTED_VALUE"""),3507924)</f>
        <v/>
      </c>
      <c r="H260" s="27" t="n"/>
    </row>
    <row r="261" ht="17.25" customHeight="1" s="322">
      <c r="A261" s="27" t="n"/>
      <c r="B261" s="506">
        <f>IFERROR(__xludf.DUMMYFUNCTION("""COMPUTED_VALUE"""),46209.6666666666)</f>
        <v/>
      </c>
      <c r="C261" s="141">
        <f>IFERROR(__xludf.DUMMYFUNCTION("""COMPUTED_VALUE"""),81.96)</f>
        <v/>
      </c>
      <c r="D261" s="141">
        <f>IFERROR(__xludf.DUMMYFUNCTION("""COMPUTED_VALUE"""),81.98)</f>
        <v/>
      </c>
      <c r="E261" s="141">
        <f>IFERROR(__xludf.DUMMYFUNCTION("""COMPUTED_VALUE"""),81.94)</f>
        <v/>
      </c>
      <c r="F261" s="141">
        <f>IFERROR(__xludf.DUMMYFUNCTION("""COMPUTED_VALUE"""),81.98)</f>
        <v/>
      </c>
      <c r="G261" s="143">
        <f>IFERROR(__xludf.DUMMYFUNCTION("""COMPUTED_VALUE"""),5755716)</f>
        <v/>
      </c>
      <c r="H261" s="27" t="n"/>
    </row>
    <row r="262" ht="17.25" customHeight="1" s="322">
      <c r="A262" s="27" t="n"/>
      <c r="B262" s="506">
        <f>IFERROR(__xludf.DUMMYFUNCTION("""COMPUTED_VALUE"""),46210.6666666666)</f>
        <v/>
      </c>
      <c r="C262" s="141">
        <f>IFERROR(__xludf.DUMMYFUNCTION("""COMPUTED_VALUE"""),81.94)</f>
        <v/>
      </c>
      <c r="D262" s="141">
        <f>IFERROR(__xludf.DUMMYFUNCTION("""COMPUTED_VALUE"""),81.95)</f>
        <v/>
      </c>
      <c r="E262" s="141">
        <f>IFERROR(__xludf.DUMMYFUNCTION("""COMPUTED_VALUE"""),81.86)</f>
        <v/>
      </c>
      <c r="F262" s="141">
        <f>IFERROR(__xludf.DUMMYFUNCTION("""COMPUTED_VALUE"""),81.86)</f>
        <v/>
      </c>
      <c r="G262" s="143">
        <f>IFERROR(__xludf.DUMMYFUNCTION("""COMPUTED_VALUE"""),3199616)</f>
        <v/>
      </c>
      <c r="H262" s="27" t="n"/>
    </row>
    <row r="263" ht="17.25" customHeight="1" s="322">
      <c r="A263" s="27" t="n"/>
      <c r="B263" s="506">
        <f>IFERROR(__xludf.DUMMYFUNCTION("""COMPUTED_VALUE"""),46211.6666666666)</f>
        <v/>
      </c>
      <c r="C263" s="141">
        <f>IFERROR(__xludf.DUMMYFUNCTION("""COMPUTED_VALUE"""),81.86)</f>
        <v/>
      </c>
      <c r="D263" s="141">
        <f>IFERROR(__xludf.DUMMYFUNCTION("""COMPUTED_VALUE"""),81.86)</f>
        <v/>
      </c>
      <c r="E263" s="141">
        <f>IFERROR(__xludf.DUMMYFUNCTION("""COMPUTED_VALUE"""),81.81)</f>
        <v/>
      </c>
      <c r="F263" s="141">
        <f>IFERROR(__xludf.DUMMYFUNCTION("""COMPUTED_VALUE"""),81.84)</f>
        <v/>
      </c>
      <c r="G263" s="143">
        <f>IFERROR(__xludf.DUMMYFUNCTION("""COMPUTED_VALUE"""),2179344)</f>
        <v/>
      </c>
      <c r="H263" s="27" t="n"/>
    </row>
    <row r="264" ht="17.25" customHeight="1" s="322">
      <c r="A264" s="27" t="n"/>
      <c r="B264" s="506">
        <f>IFERROR(__xludf.DUMMYFUNCTION("""COMPUTED_VALUE"""),46212.6666666666)</f>
        <v/>
      </c>
      <c r="C264" s="141">
        <f>IFERROR(__xludf.DUMMYFUNCTION("""COMPUTED_VALUE"""),81.89)</f>
        <v/>
      </c>
      <c r="D264" s="141">
        <f>IFERROR(__xludf.DUMMYFUNCTION("""COMPUTED_VALUE"""),81.94)</f>
        <v/>
      </c>
      <c r="E264" s="141">
        <f>IFERROR(__xludf.DUMMYFUNCTION("""COMPUTED_VALUE"""),81.88)</f>
        <v/>
      </c>
      <c r="F264" s="141">
        <f>IFERROR(__xludf.DUMMYFUNCTION("""COMPUTED_VALUE"""),81.91)</f>
        <v/>
      </c>
      <c r="G264" s="143">
        <f>IFERROR(__xludf.DUMMYFUNCTION("""COMPUTED_VALUE"""),2645963)</f>
        <v/>
      </c>
      <c r="H264" s="27" t="n"/>
    </row>
    <row r="265" ht="17.25" customHeight="1" s="322">
      <c r="A265" s="27" t="n"/>
      <c r="B265" s="506">
        <f>IFERROR(__xludf.DUMMYFUNCTION("""COMPUTED_VALUE"""),46213.6666666666)</f>
        <v/>
      </c>
      <c r="C265" s="141">
        <f>IFERROR(__xludf.DUMMYFUNCTION("""COMPUTED_VALUE"""),81.91)</f>
        <v/>
      </c>
      <c r="D265" s="141">
        <f>IFERROR(__xludf.DUMMYFUNCTION("""COMPUTED_VALUE"""),81.93)</f>
        <v/>
      </c>
      <c r="E265" s="141">
        <f>IFERROR(__xludf.DUMMYFUNCTION("""COMPUTED_VALUE"""),81.88)</f>
        <v/>
      </c>
      <c r="F265" s="141">
        <f>IFERROR(__xludf.DUMMYFUNCTION("""COMPUTED_VALUE"""),81.88)</f>
        <v/>
      </c>
      <c r="G265" s="143">
        <f>IFERROR(__xludf.DUMMYFUNCTION("""COMPUTED_VALUE"""),2173895)</f>
        <v/>
      </c>
      <c r="H265" s="27" t="n"/>
    </row>
    <row r="266" ht="17.25" customHeight="1" s="322">
      <c r="A266" s="27" t="n"/>
      <c r="B266" s="506">
        <f>IFERROR(__xludf.DUMMYFUNCTION("""COMPUTED_VALUE"""),46216.6666666666)</f>
        <v/>
      </c>
      <c r="C266" s="141">
        <f>IFERROR(__xludf.DUMMYFUNCTION("""COMPUTED_VALUE"""),81.87)</f>
        <v/>
      </c>
      <c r="D266" s="141">
        <f>IFERROR(__xludf.DUMMYFUNCTION("""COMPUTED_VALUE"""),81.87)</f>
        <v/>
      </c>
      <c r="E266" s="141">
        <f>IFERROR(__xludf.DUMMYFUNCTION("""COMPUTED_VALUE"""),81.79)</f>
        <v/>
      </c>
      <c r="F266" s="141">
        <f>IFERROR(__xludf.DUMMYFUNCTION("""COMPUTED_VALUE"""),81.79)</f>
        <v/>
      </c>
      <c r="G266" s="143">
        <f>IFERROR(__xludf.DUMMYFUNCTION("""COMPUTED_VALUE"""),2808923)</f>
        <v/>
      </c>
      <c r="H266" s="27" t="n"/>
    </row>
    <row r="267" ht="17.25" customHeight="1" s="322">
      <c r="A267" s="27" t="n"/>
      <c r="B267" s="506">
        <f>IFERROR(__xludf.DUMMYFUNCTION("""COMPUTED_VALUE"""),46217.6666666666)</f>
        <v/>
      </c>
      <c r="C267" s="141">
        <f>IFERROR(__xludf.DUMMYFUNCTION("""COMPUTED_VALUE"""),81.93)</f>
        <v/>
      </c>
      <c r="D267" s="141">
        <f>IFERROR(__xludf.DUMMYFUNCTION("""COMPUTED_VALUE"""),81.97)</f>
        <v/>
      </c>
      <c r="E267" s="141">
        <f>IFERROR(__xludf.DUMMYFUNCTION("""COMPUTED_VALUE"""),81.89)</f>
        <v/>
      </c>
      <c r="F267" s="141">
        <f>IFERROR(__xludf.DUMMYFUNCTION("""COMPUTED_VALUE"""),81.93)</f>
        <v/>
      </c>
      <c r="G267" s="143">
        <f>IFERROR(__xludf.DUMMYFUNCTION("""COMPUTED_VALUE"""),2767063)</f>
        <v/>
      </c>
      <c r="H267" s="27" t="n"/>
    </row>
    <row r="268" ht="17.25" customHeight="1" s="322">
      <c r="A268" s="27" t="n"/>
      <c r="B268" s="506">
        <f>IFERROR(__xludf.DUMMYFUNCTION("""COMPUTED_VALUE"""),46218.6666666666)</f>
        <v/>
      </c>
      <c r="C268" s="141">
        <f>IFERROR(__xludf.DUMMYFUNCTION("""COMPUTED_VALUE"""),81.97)</f>
        <v/>
      </c>
      <c r="D268" s="141">
        <f>IFERROR(__xludf.DUMMYFUNCTION("""COMPUTED_VALUE"""),82.03)</f>
        <v/>
      </c>
      <c r="E268" s="141">
        <f>IFERROR(__xludf.DUMMYFUNCTION("""COMPUTED_VALUE"""),81.97)</f>
        <v/>
      </c>
      <c r="F268" s="141">
        <f>IFERROR(__xludf.DUMMYFUNCTION("""COMPUTED_VALUE"""),82)</f>
        <v/>
      </c>
      <c r="G268" s="143">
        <f>IFERROR(__xludf.DUMMYFUNCTION("""COMPUTED_VALUE"""),5041126)</f>
        <v/>
      </c>
      <c r="H268" s="27" t="n"/>
    </row>
    <row r="269" ht="17.25" customHeight="1" s="322">
      <c r="A269" s="27" t="n"/>
      <c r="B269" s="506">
        <f>IFERROR(__xludf.DUMMYFUNCTION("""COMPUTED_VALUE"""),46219.6666666666)</f>
        <v/>
      </c>
      <c r="C269" s="141">
        <f>IFERROR(__xludf.DUMMYFUNCTION("""COMPUTED_VALUE"""),81.98)</f>
        <v/>
      </c>
      <c r="D269" s="141">
        <f>IFERROR(__xludf.DUMMYFUNCTION("""COMPUTED_VALUE"""),82)</f>
        <v/>
      </c>
      <c r="E269" s="141">
        <f>IFERROR(__xludf.DUMMYFUNCTION("""COMPUTED_VALUE"""),81.96)</f>
        <v/>
      </c>
      <c r="F269" s="141">
        <f>IFERROR(__xludf.DUMMYFUNCTION("""COMPUTED_VALUE"""),82)</f>
        <v/>
      </c>
      <c r="G269" s="143">
        <f>IFERROR(__xludf.DUMMYFUNCTION("""COMPUTED_VALUE"""),2730721)</f>
        <v/>
      </c>
      <c r="H269" s="27" t="n"/>
    </row>
    <row r="270" ht="17.25" customHeight="1" s="322">
      <c r="A270" s="27" t="n"/>
      <c r="B270" s="506">
        <f>IFERROR(__xludf.DUMMYFUNCTION("""COMPUTED_VALUE"""),46220.6666666666)</f>
        <v/>
      </c>
      <c r="C270" s="141">
        <f>IFERROR(__xludf.DUMMYFUNCTION("""COMPUTED_VALUE"""),82.06)</f>
        <v/>
      </c>
      <c r="D270" s="141">
        <f>IFERROR(__xludf.DUMMYFUNCTION("""COMPUTED_VALUE"""),82.09)</f>
        <v/>
      </c>
      <c r="E270" s="141">
        <f>IFERROR(__xludf.DUMMYFUNCTION("""COMPUTED_VALUE"""),81.99)</f>
        <v/>
      </c>
      <c r="F270" s="141">
        <f>IFERROR(__xludf.DUMMYFUNCTION("""COMPUTED_VALUE"""),81.99)</f>
        <v/>
      </c>
      <c r="G270" s="143">
        <f>IFERROR(__xludf.DUMMYFUNCTION("""COMPUTED_VALUE"""),4355356)</f>
        <v/>
      </c>
      <c r="H270" s="27" t="n"/>
    </row>
    <row r="271" ht="17.25" customHeight="1" s="322">
      <c r="A271" s="27" t="n"/>
      <c r="B271" s="506">
        <f>IFERROR(__xludf.DUMMYFUNCTION("""COMPUTED_VALUE"""),46223.6666666666)</f>
        <v/>
      </c>
      <c r="C271" s="141">
        <f>IFERROR(__xludf.DUMMYFUNCTION("""COMPUTED_VALUE"""),81.99)</f>
        <v/>
      </c>
      <c r="D271" s="141">
        <f>IFERROR(__xludf.DUMMYFUNCTION("""COMPUTED_VALUE"""),81.99)</f>
        <v/>
      </c>
      <c r="E271" s="141">
        <f>IFERROR(__xludf.DUMMYFUNCTION("""COMPUTED_VALUE"""),81.92)</f>
        <v/>
      </c>
      <c r="F271" s="141">
        <f>IFERROR(__xludf.DUMMYFUNCTION("""COMPUTED_VALUE"""),81.96)</f>
        <v/>
      </c>
      <c r="G271" s="143">
        <f>IFERROR(__xludf.DUMMYFUNCTION("""COMPUTED_VALUE"""),2909640)</f>
        <v/>
      </c>
      <c r="H271" s="27" t="n"/>
    </row>
    <row r="272" ht="17.25" customHeight="1" s="322">
      <c r="A272" s="27" t="n"/>
      <c r="B272" s="506">
        <f>IFERROR(__xludf.DUMMYFUNCTION("""COMPUTED_VALUE"""),46224.6666666666)</f>
        <v/>
      </c>
      <c r="C272" s="141">
        <f>IFERROR(__xludf.DUMMYFUNCTION("""COMPUTED_VALUE"""),81.93)</f>
        <v/>
      </c>
      <c r="D272" s="141">
        <f>IFERROR(__xludf.DUMMYFUNCTION("""COMPUTED_VALUE"""),81.93)</f>
        <v/>
      </c>
      <c r="E272" s="141">
        <f>IFERROR(__xludf.DUMMYFUNCTION("""COMPUTED_VALUE"""),81.88)</f>
        <v/>
      </c>
      <c r="F272" s="141">
        <f>IFERROR(__xludf.DUMMYFUNCTION("""COMPUTED_VALUE"""),81.89)</f>
        <v/>
      </c>
      <c r="G272" s="143">
        <f>IFERROR(__xludf.DUMMYFUNCTION("""COMPUTED_VALUE"""),1845259)</f>
        <v/>
      </c>
      <c r="H272" s="27" t="n"/>
    </row>
    <row r="273" ht="17.25" customHeight="1" s="322">
      <c r="A273" s="27" t="n"/>
      <c r="B273" s="506">
        <f>IFERROR(__xludf.DUMMYFUNCTION("""COMPUTED_VALUE"""),46225.6666666666)</f>
        <v/>
      </c>
      <c r="C273" s="141">
        <f>IFERROR(__xludf.DUMMYFUNCTION("""COMPUTED_VALUE"""),81.89)</f>
        <v/>
      </c>
      <c r="D273" s="141">
        <f>IFERROR(__xludf.DUMMYFUNCTION("""COMPUTED_VALUE"""),81.89)</f>
        <v/>
      </c>
      <c r="E273" s="141">
        <f>IFERROR(__xludf.DUMMYFUNCTION("""COMPUTED_VALUE"""),81.83)</f>
        <v/>
      </c>
      <c r="F273" s="141">
        <f>IFERROR(__xludf.DUMMYFUNCTION("""COMPUTED_VALUE"""),81.83)</f>
        <v/>
      </c>
      <c r="G273" s="143">
        <f>IFERROR(__xludf.DUMMYFUNCTION("""COMPUTED_VALUE"""),3168440)</f>
        <v/>
      </c>
      <c r="H273" s="27" t="n"/>
    </row>
    <row r="274" ht="17.25" customHeight="1" s="322">
      <c r="A274" s="27" t="n"/>
      <c r="B274" s="506">
        <f>IFERROR(__xludf.DUMMYFUNCTION("""COMPUTED_VALUE"""),46226.6666666666)</f>
        <v/>
      </c>
      <c r="C274" s="141">
        <f>IFERROR(__xludf.DUMMYFUNCTION("""COMPUTED_VALUE"""),81.78)</f>
        <v/>
      </c>
      <c r="D274" s="141">
        <f>IFERROR(__xludf.DUMMYFUNCTION("""COMPUTED_VALUE"""),81.79)</f>
        <v/>
      </c>
      <c r="E274" s="141">
        <f>IFERROR(__xludf.DUMMYFUNCTION("""COMPUTED_VALUE"""),81.76)</f>
        <v/>
      </c>
      <c r="F274" s="141">
        <f>IFERROR(__xludf.DUMMYFUNCTION("""COMPUTED_VALUE"""),81.77)</f>
        <v/>
      </c>
      <c r="G274" s="143">
        <f>IFERROR(__xludf.DUMMYFUNCTION("""COMPUTED_VALUE"""),3129390)</f>
        <v/>
      </c>
      <c r="H274" s="27" t="n"/>
    </row>
    <row r="275" ht="17.25" customHeight="1" s="322">
      <c r="A275" s="27" t="n"/>
      <c r="B275" s="506">
        <f>IFERROR(__xludf.DUMMYFUNCTION("""COMPUTED_VALUE"""),46227.6666666666)</f>
        <v/>
      </c>
      <c r="C275" s="141">
        <f>IFERROR(__xludf.DUMMYFUNCTION("""COMPUTED_VALUE"""),81.82)</f>
        <v/>
      </c>
      <c r="D275" s="141">
        <f>IFERROR(__xludf.DUMMYFUNCTION("""COMPUTED_VALUE"""),81.87)</f>
        <v/>
      </c>
      <c r="E275" s="141">
        <f>IFERROR(__xludf.DUMMYFUNCTION("""COMPUTED_VALUE"""),81.81)</f>
        <v/>
      </c>
      <c r="F275" s="141">
        <f>IFERROR(__xludf.DUMMYFUNCTION("""COMPUTED_VALUE"""),81.85)</f>
        <v/>
      </c>
      <c r="G275" s="143">
        <f>IFERROR(__xludf.DUMMYFUNCTION("""COMPUTED_VALUE"""),2982797)</f>
        <v/>
      </c>
      <c r="H275" s="27" t="n"/>
    </row>
    <row r="276" ht="17.25" customHeight="1" s="322">
      <c r="A276" s="27" t="n"/>
      <c r="B276" s="506">
        <f>IFERROR(__xludf.DUMMYFUNCTION("""COMPUTED_VALUE"""),46230.6666666666)</f>
        <v/>
      </c>
      <c r="C276" s="141">
        <f>IFERROR(__xludf.DUMMYFUNCTION("""COMPUTED_VALUE"""),81.86)</f>
        <v/>
      </c>
      <c r="D276" s="141">
        <f>IFERROR(__xludf.DUMMYFUNCTION("""COMPUTED_VALUE"""),81.89)</f>
        <v/>
      </c>
      <c r="E276" s="141">
        <f>IFERROR(__xludf.DUMMYFUNCTION("""COMPUTED_VALUE"""),81.85)</f>
        <v/>
      </c>
      <c r="F276" s="141">
        <f>IFERROR(__xludf.DUMMYFUNCTION("""COMPUTED_VALUE"""),81.87)</f>
        <v/>
      </c>
      <c r="G276" s="143">
        <f>IFERROR(__xludf.DUMMYFUNCTION("""COMPUTED_VALUE"""),3071597)</f>
        <v/>
      </c>
      <c r="H276" s="27" t="n"/>
    </row>
    <row r="277" ht="17.25" customHeight="1" s="322">
      <c r="A277" s="27" t="n"/>
      <c r="B277" s="506">
        <f>IFERROR(__xludf.DUMMYFUNCTION("""COMPUTED_VALUE"""),46231.6666666666)</f>
        <v/>
      </c>
      <c r="C277" s="141">
        <f>IFERROR(__xludf.DUMMYFUNCTION("""COMPUTED_VALUE"""),81.91)</f>
        <v/>
      </c>
      <c r="D277" s="141">
        <f>IFERROR(__xludf.DUMMYFUNCTION("""COMPUTED_VALUE"""),81.97)</f>
        <v/>
      </c>
      <c r="E277" s="141">
        <f>IFERROR(__xludf.DUMMYFUNCTION("""COMPUTED_VALUE"""),81.9)</f>
        <v/>
      </c>
      <c r="F277" s="141">
        <f>IFERROR(__xludf.DUMMYFUNCTION("""COMPUTED_VALUE"""),81.94)</f>
        <v/>
      </c>
      <c r="G277" s="143">
        <f>IFERROR(__xludf.DUMMYFUNCTION("""COMPUTED_VALUE"""),2955598)</f>
        <v/>
      </c>
      <c r="H277" s="27" t="n"/>
    </row>
    <row r="278" ht="17.25" customHeight="1" s="322">
      <c r="A278" s="27" t="n"/>
      <c r="B278" s="506">
        <f>IFERROR(__xludf.DUMMYFUNCTION("""COMPUTED_VALUE"""),46232.6666666666)</f>
        <v/>
      </c>
      <c r="C278" s="141">
        <f>IFERROR(__xludf.DUMMYFUNCTION("""COMPUTED_VALUE"""),81.9)</f>
        <v/>
      </c>
      <c r="D278" s="141">
        <f>IFERROR(__xludf.DUMMYFUNCTION("""COMPUTED_VALUE"""),82.03)</f>
        <v/>
      </c>
      <c r="E278" s="141">
        <f>IFERROR(__xludf.DUMMYFUNCTION("""COMPUTED_VALUE"""),81.86)</f>
        <v/>
      </c>
      <c r="F278" s="141">
        <f>IFERROR(__xludf.DUMMYFUNCTION("""COMPUTED_VALUE"""),81.99)</f>
        <v/>
      </c>
      <c r="G278" s="143">
        <f>IFERROR(__xludf.DUMMYFUNCTION("""COMPUTED_VALUE"""),4688406)</f>
        <v/>
      </c>
      <c r="H278" s="27" t="n"/>
    </row>
    <row r="279" ht="17.25" customHeight="1" s="322">
      <c r="A279" s="27" t="n"/>
      <c r="B279" s="506" t="n"/>
      <c r="C279" s="141" t="n"/>
      <c r="D279" s="141" t="n"/>
      <c r="E279" s="141" t="n"/>
      <c r="F279" s="141" t="n"/>
      <c r="G279" s="143" t="n"/>
      <c r="H279" s="27" t="n"/>
    </row>
    <row r="280" ht="17.25" customHeight="1" s="322">
      <c r="A280" s="27" t="n"/>
      <c r="B280" s="506" t="n"/>
      <c r="C280" s="141" t="n"/>
      <c r="D280" s="141" t="n"/>
      <c r="E280" s="141" t="n"/>
      <c r="F280" s="141" t="n"/>
      <c r="G280" s="143" t="n"/>
      <c r="H280" s="27" t="n"/>
    </row>
    <row r="281" ht="17.25" customHeight="1" s="322">
      <c r="A281" s="27" t="n"/>
      <c r="B281" s="506" t="n"/>
      <c r="C281" s="141" t="n"/>
      <c r="D281" s="141" t="n"/>
      <c r="E281" s="141" t="n"/>
      <c r="F281" s="141" t="n"/>
      <c r="G281" s="143" t="n"/>
      <c r="H281" s="27" t="n"/>
    </row>
    <row r="282" ht="17.25" customHeight="1" s="322">
      <c r="A282" s="27" t="n"/>
      <c r="B282" s="506" t="n"/>
      <c r="C282" s="141" t="n"/>
      <c r="D282" s="141" t="n"/>
      <c r="E282" s="141" t="n"/>
      <c r="F282" s="141" t="n"/>
      <c r="G282" s="143" t="n"/>
      <c r="H282" s="27" t="n"/>
    </row>
    <row r="283" ht="17.25" customHeight="1" s="322">
      <c r="A283" s="27" t="n"/>
      <c r="B283" s="506" t="n"/>
      <c r="C283" s="141" t="n"/>
      <c r="D283" s="141" t="n"/>
      <c r="E283" s="141" t="n"/>
      <c r="F283" s="141" t="n"/>
      <c r="G283" s="143" t="n"/>
      <c r="H283" s="27" t="n"/>
    </row>
    <row r="284" ht="17.25" customHeight="1" s="322">
      <c r="A284" s="27" t="n"/>
      <c r="B284" s="506" t="n"/>
      <c r="C284" s="141" t="n"/>
      <c r="D284" s="141" t="n"/>
      <c r="E284" s="141" t="n"/>
      <c r="F284" s="141" t="n"/>
      <c r="G284" s="143" t="n"/>
      <c r="H284" s="27" t="n"/>
    </row>
    <row r="285" ht="17.25" customHeight="1" s="322">
      <c r="A285" s="27" t="n"/>
      <c r="B285" s="506" t="n"/>
      <c r="C285" s="141" t="n"/>
      <c r="D285" s="141" t="n"/>
      <c r="E285" s="141" t="n"/>
      <c r="F285" s="141" t="n"/>
      <c r="G285" s="143" t="n"/>
      <c r="H285" s="27" t="n"/>
    </row>
    <row r="286" ht="17.25" customHeight="1" s="322">
      <c r="A286" s="27" t="n"/>
      <c r="B286" s="506" t="n"/>
      <c r="C286" s="141" t="n"/>
      <c r="D286" s="141" t="n"/>
      <c r="E286" s="141" t="n"/>
      <c r="F286" s="141" t="n"/>
      <c r="G286" s="143" t="n"/>
      <c r="H286" s="27" t="n"/>
    </row>
    <row r="287" ht="17.25" customHeight="1" s="322">
      <c r="A287" s="27" t="n"/>
      <c r="B287" s="506" t="n"/>
      <c r="C287" s="141" t="n"/>
      <c r="D287" s="141" t="n"/>
      <c r="E287" s="141" t="n"/>
      <c r="F287" s="141" t="n"/>
      <c r="G287" s="143" t="n"/>
      <c r="H287" s="27" t="n"/>
    </row>
    <row r="288" ht="17.25" customHeight="1" s="322">
      <c r="A288" s="27" t="n"/>
      <c r="B288" s="506" t="n"/>
      <c r="C288" s="141" t="n"/>
      <c r="D288" s="141" t="n"/>
      <c r="E288" s="141" t="n"/>
      <c r="F288" s="141" t="n"/>
      <c r="G288" s="143" t="n"/>
      <c r="H288" s="27" t="n"/>
    </row>
    <row r="289" ht="17.25" customHeight="1" s="322">
      <c r="A289" s="27" t="n"/>
      <c r="B289" s="506" t="n"/>
      <c r="C289" s="141" t="n"/>
      <c r="D289" s="141" t="n"/>
      <c r="E289" s="141" t="n"/>
      <c r="F289" s="141" t="n"/>
      <c r="G289" s="143" t="n"/>
      <c r="H289" s="27" t="n"/>
    </row>
    <row r="290" ht="17.25" customHeight="1" s="322">
      <c r="A290" s="27" t="n"/>
      <c r="B290" s="506" t="n"/>
      <c r="C290" s="141" t="n"/>
      <c r="D290" s="141" t="n"/>
      <c r="E290" s="141" t="n"/>
      <c r="F290" s="141" t="n"/>
      <c r="G290" s="143" t="n"/>
      <c r="H290" s="27" t="n"/>
    </row>
    <row r="291" ht="17.25" customHeight="1" s="322">
      <c r="A291" s="27" t="n"/>
      <c r="B291" s="506" t="n"/>
      <c r="C291" s="141" t="n"/>
      <c r="D291" s="141" t="n"/>
      <c r="E291" s="141" t="n"/>
      <c r="F291" s="141" t="n"/>
      <c r="G291" s="143" t="n"/>
      <c r="H291" s="27" t="n"/>
    </row>
    <row r="292" ht="17.25" customHeight="1" s="322">
      <c r="A292" s="27" t="n"/>
      <c r="B292" s="506" t="n"/>
      <c r="C292" s="141" t="n"/>
      <c r="D292" s="141" t="n"/>
      <c r="E292" s="141" t="n"/>
      <c r="F292" s="141" t="n"/>
      <c r="G292" s="143" t="n"/>
      <c r="H292" s="27" t="n"/>
    </row>
    <row r="293" ht="17.25" customHeight="1" s="322">
      <c r="A293" s="27" t="n"/>
      <c r="B293" s="506" t="n"/>
      <c r="C293" s="141" t="n"/>
      <c r="D293" s="141" t="n"/>
      <c r="E293" s="141" t="n"/>
      <c r="F293" s="141" t="n"/>
      <c r="G293" s="143" t="n"/>
      <c r="H293" s="27" t="n"/>
    </row>
    <row r="294" ht="17.25" customHeight="1" s="322">
      <c r="A294" s="27" t="n"/>
      <c r="B294" s="506" t="n"/>
      <c r="C294" s="141" t="n"/>
      <c r="D294" s="141" t="n"/>
      <c r="E294" s="141" t="n"/>
      <c r="F294" s="141" t="n"/>
      <c r="G294" s="143" t="n"/>
      <c r="H294" s="27" t="n"/>
    </row>
    <row r="295" ht="17.25" customHeight="1" s="322">
      <c r="A295" s="27" t="n"/>
      <c r="B295" s="506" t="n"/>
      <c r="C295" s="141" t="n"/>
      <c r="D295" s="141" t="n"/>
      <c r="E295" s="141" t="n"/>
      <c r="F295" s="141" t="n"/>
      <c r="G295" s="143" t="n"/>
      <c r="H295" s="27" t="n"/>
    </row>
    <row r="296" ht="17.25" customHeight="1" s="322">
      <c r="A296" s="27" t="n"/>
      <c r="B296" s="506" t="n"/>
      <c r="C296" s="141" t="n"/>
      <c r="D296" s="141" t="n"/>
      <c r="E296" s="141" t="n"/>
      <c r="F296" s="141" t="n"/>
      <c r="G296" s="143" t="n"/>
      <c r="H296" s="27" t="n"/>
    </row>
    <row r="297" ht="17.25" customHeight="1" s="322">
      <c r="A297" s="27" t="n"/>
      <c r="B297" s="506" t="n"/>
      <c r="C297" s="141" t="n"/>
      <c r="D297" s="141" t="n"/>
      <c r="E297" s="141" t="n"/>
      <c r="F297" s="141" t="n"/>
      <c r="G297" s="143" t="n"/>
      <c r="H297" s="27" t="n"/>
    </row>
    <row r="298" ht="17.25" customHeight="1" s="322">
      <c r="A298" s="27" t="n"/>
      <c r="B298" s="506" t="n"/>
      <c r="C298" s="141" t="n"/>
      <c r="D298" s="141" t="n"/>
      <c r="E298" s="141" t="n"/>
      <c r="F298" s="141" t="n"/>
      <c r="G298" s="143" t="n"/>
      <c r="H298" s="27" t="n"/>
    </row>
    <row r="299" ht="17.25" customHeight="1" s="322">
      <c r="A299" s="27" t="n"/>
      <c r="B299" s="506" t="n"/>
      <c r="C299" s="141" t="n"/>
      <c r="D299" s="141" t="n"/>
      <c r="E299" s="141" t="n"/>
      <c r="F299" s="141" t="n"/>
      <c r="G299" s="143" t="n"/>
      <c r="H299" s="27" t="n"/>
    </row>
    <row r="300" ht="17.25" customHeight="1" s="322">
      <c r="A300" s="27" t="n"/>
      <c r="B300" s="506" t="n"/>
      <c r="C300" s="141" t="n"/>
      <c r="D300" s="141" t="n"/>
      <c r="E300" s="141" t="n"/>
      <c r="F300" s="141" t="n"/>
      <c r="G300" s="143" t="n"/>
      <c r="H300" s="27" t="n"/>
    </row>
    <row r="301" ht="17.25" customHeight="1" s="322">
      <c r="A301" s="27" t="n"/>
      <c r="B301" s="506" t="n"/>
      <c r="C301" s="141" t="n"/>
      <c r="D301" s="141" t="n"/>
      <c r="E301" s="141" t="n"/>
      <c r="F301" s="141" t="n"/>
      <c r="G301" s="143" t="n"/>
      <c r="H301" s="27" t="n"/>
    </row>
    <row r="302" ht="17.25" customHeight="1" s="322">
      <c r="A302" s="27" t="n"/>
      <c r="B302" s="506" t="n"/>
      <c r="C302" s="141" t="n"/>
      <c r="D302" s="141" t="n"/>
      <c r="E302" s="141" t="n"/>
      <c r="F302" s="141" t="n"/>
      <c r="G302" s="143" t="n"/>
      <c r="H302" s="27" t="n"/>
    </row>
    <row r="303" ht="17.25" customHeight="1" s="322">
      <c r="A303" s="27" t="n"/>
      <c r="B303" s="506" t="n"/>
      <c r="C303" s="141" t="n"/>
      <c r="D303" s="141" t="n"/>
      <c r="E303" s="141" t="n"/>
      <c r="F303" s="141" t="n"/>
      <c r="G303" s="143" t="n"/>
      <c r="H303" s="27" t="n"/>
    </row>
    <row r="304" ht="17.25" customHeight="1" s="322">
      <c r="A304" s="27" t="n"/>
      <c r="B304" s="506" t="n"/>
      <c r="C304" s="141" t="n"/>
      <c r="D304" s="141" t="n"/>
      <c r="E304" s="141" t="n"/>
      <c r="F304" s="141" t="n"/>
      <c r="G304" s="143" t="n"/>
      <c r="H304" s="27" t="n"/>
    </row>
    <row r="305" ht="17.25" customHeight="1" s="322">
      <c r="A305" s="27" t="n"/>
      <c r="B305" s="506" t="n"/>
      <c r="C305" s="141" t="n"/>
      <c r="D305" s="141" t="n"/>
      <c r="E305" s="141" t="n"/>
      <c r="F305" s="141" t="n"/>
      <c r="G305" s="143" t="n"/>
      <c r="H305" s="27" t="n"/>
    </row>
    <row r="306" ht="17.25" customHeight="1" s="322">
      <c r="A306" s="27" t="n"/>
      <c r="B306" s="506" t="n"/>
      <c r="C306" s="141" t="n"/>
      <c r="D306" s="141" t="n"/>
      <c r="E306" s="141" t="n"/>
      <c r="F306" s="141" t="n"/>
      <c r="G306" s="143" t="n"/>
      <c r="H306" s="27" t="n"/>
    </row>
    <row r="307" ht="17.25" customHeight="1" s="322">
      <c r="A307" s="27" t="n"/>
      <c r="B307" s="506" t="n"/>
      <c r="C307" s="141" t="n"/>
      <c r="D307" s="141" t="n"/>
      <c r="E307" s="141" t="n"/>
      <c r="F307" s="141" t="n"/>
      <c r="G307" s="143" t="n"/>
      <c r="H307" s="27" t="n"/>
    </row>
    <row r="308" ht="17.25" customHeight="1" s="322">
      <c r="A308" s="27" t="n"/>
      <c r="B308" s="506" t="n"/>
      <c r="C308" s="141" t="n"/>
      <c r="D308" s="141" t="n"/>
      <c r="E308" s="141" t="n"/>
      <c r="F308" s="141" t="n"/>
      <c r="G308" s="143" t="n"/>
      <c r="H308" s="27" t="n"/>
    </row>
    <row r="309" ht="17.25" customHeight="1" s="322">
      <c r="A309" s="27" t="n"/>
      <c r="B309" s="506" t="n"/>
      <c r="C309" s="141" t="n"/>
      <c r="D309" s="141" t="n"/>
      <c r="E309" s="141" t="n"/>
      <c r="F309" s="141" t="n"/>
      <c r="G309" s="143" t="n"/>
      <c r="H309" s="27" t="n"/>
    </row>
    <row r="310" ht="17.25" customHeight="1" s="322">
      <c r="A310" s="27" t="n"/>
      <c r="B310" s="506" t="n"/>
      <c r="C310" s="141" t="n"/>
      <c r="D310" s="141" t="n"/>
      <c r="E310" s="141" t="n"/>
      <c r="F310" s="141" t="n"/>
      <c r="G310" s="143" t="n"/>
      <c r="H310" s="27" t="n"/>
    </row>
    <row r="311" ht="17.25" customHeight="1" s="322">
      <c r="A311" s="27" t="n"/>
      <c r="B311" s="506" t="n"/>
      <c r="C311" s="141" t="n"/>
      <c r="D311" s="141" t="n"/>
      <c r="E311" s="141" t="n"/>
      <c r="F311" s="141" t="n"/>
      <c r="G311" s="143" t="n"/>
      <c r="H311" s="27" t="n"/>
    </row>
    <row r="312" ht="17.25" customHeight="1" s="322">
      <c r="A312" s="27" t="n"/>
      <c r="B312" s="506" t="n"/>
      <c r="C312" s="141" t="n"/>
      <c r="D312" s="141" t="n"/>
      <c r="E312" s="141" t="n"/>
      <c r="F312" s="141" t="n"/>
      <c r="G312" s="143" t="n"/>
      <c r="H312" s="27" t="n"/>
    </row>
    <row r="313" ht="17.25" customHeight="1" s="322">
      <c r="A313" s="27" t="n"/>
      <c r="B313" s="506" t="n"/>
      <c r="C313" s="141" t="n"/>
      <c r="D313" s="141" t="n"/>
      <c r="E313" s="141" t="n"/>
      <c r="F313" s="141" t="n"/>
      <c r="G313" s="143" t="n"/>
      <c r="H313" s="27" t="n"/>
    </row>
    <row r="314" ht="17.25" customHeight="1" s="322">
      <c r="A314" s="27" t="n"/>
      <c r="B314" s="506" t="n"/>
      <c r="C314" s="141" t="n"/>
      <c r="D314" s="141" t="n"/>
      <c r="E314" s="141" t="n"/>
      <c r="F314" s="141" t="n"/>
      <c r="G314" s="143" t="n"/>
      <c r="H314" s="27" t="n"/>
    </row>
    <row r="315" ht="17.25" customHeight="1" s="322">
      <c r="A315" s="27" t="n"/>
      <c r="B315" s="506" t="n"/>
      <c r="C315" s="141" t="n"/>
      <c r="D315" s="141" t="n"/>
      <c r="E315" s="141" t="n"/>
      <c r="F315" s="141" t="n"/>
      <c r="G315" s="143" t="n"/>
      <c r="H315" s="27" t="n"/>
    </row>
    <row r="316" ht="17.25" customHeight="1" s="322">
      <c r="A316" s="27" t="n"/>
      <c r="B316" s="506" t="n"/>
      <c r="C316" s="141" t="n"/>
      <c r="D316" s="141" t="n"/>
      <c r="E316" s="141" t="n"/>
      <c r="F316" s="141" t="n"/>
      <c r="G316" s="143" t="n"/>
      <c r="H316" s="27" t="n"/>
    </row>
    <row r="317" ht="17.25" customHeight="1" s="322">
      <c r="A317" s="27" t="n"/>
      <c r="B317" s="506" t="n"/>
      <c r="C317" s="141" t="n"/>
      <c r="D317" s="141" t="n"/>
      <c r="E317" s="141" t="n"/>
      <c r="F317" s="141" t="n"/>
      <c r="G317" s="143" t="n"/>
      <c r="H317" s="27" t="n"/>
    </row>
    <row r="318" ht="17.25" customHeight="1" s="322">
      <c r="A318" s="27" t="n"/>
      <c r="B318" s="506" t="n"/>
      <c r="C318" s="141" t="n"/>
      <c r="D318" s="141" t="n"/>
      <c r="E318" s="141" t="n"/>
      <c r="F318" s="141" t="n"/>
      <c r="G318" s="143" t="n"/>
      <c r="H318" s="27" t="n"/>
    </row>
    <row r="319" ht="17.25" customHeight="1" s="322">
      <c r="A319" s="27" t="n"/>
      <c r="B319" s="506" t="n"/>
      <c r="C319" s="141" t="n"/>
      <c r="D319" s="141" t="n"/>
      <c r="E319" s="141" t="n"/>
      <c r="F319" s="141" t="n"/>
      <c r="G319" s="143" t="n"/>
      <c r="H319" s="27" t="n"/>
    </row>
    <row r="320" ht="17.25" customHeight="1" s="322">
      <c r="A320" s="27" t="n"/>
      <c r="B320" s="506" t="n"/>
      <c r="C320" s="141" t="n"/>
      <c r="D320" s="141" t="n"/>
      <c r="E320" s="141" t="n"/>
      <c r="F320" s="141" t="n"/>
      <c r="G320" s="143" t="n"/>
      <c r="H320" s="27" t="n"/>
    </row>
    <row r="321" ht="17.25" customHeight="1" s="322">
      <c r="A321" s="27" t="n"/>
      <c r="B321" s="506" t="n"/>
      <c r="C321" s="141" t="n"/>
      <c r="D321" s="141" t="n"/>
      <c r="E321" s="141" t="n"/>
      <c r="F321" s="141" t="n"/>
      <c r="G321" s="143" t="n"/>
      <c r="H321" s="27" t="n"/>
    </row>
    <row r="322" ht="17.25" customHeight="1" s="322">
      <c r="A322" s="27" t="n"/>
      <c r="B322" s="506" t="n"/>
      <c r="C322" s="141" t="n"/>
      <c r="D322" s="141" t="n"/>
      <c r="E322" s="141" t="n"/>
      <c r="F322" s="141" t="n"/>
      <c r="G322" s="143" t="n"/>
      <c r="H322" s="27" t="n"/>
    </row>
    <row r="323" ht="17.25" customHeight="1" s="322">
      <c r="A323" s="27" t="n"/>
      <c r="B323" s="506" t="n"/>
      <c r="C323" s="141" t="n"/>
      <c r="D323" s="141" t="n"/>
      <c r="E323" s="141" t="n"/>
      <c r="F323" s="141" t="n"/>
      <c r="G323" s="143" t="n"/>
      <c r="H323" s="27" t="n"/>
    </row>
    <row r="324" ht="17.25" customHeight="1" s="322">
      <c r="A324" s="27" t="n"/>
      <c r="B324" s="506" t="n"/>
      <c r="C324" s="141" t="n"/>
      <c r="D324" s="141" t="n"/>
      <c r="E324" s="141" t="n"/>
      <c r="F324" s="141" t="n"/>
      <c r="G324" s="143" t="n"/>
      <c r="H324" s="27" t="n"/>
    </row>
    <row r="325" ht="17.25" customHeight="1" s="322">
      <c r="A325" s="27" t="n"/>
      <c r="B325" s="506" t="n"/>
      <c r="C325" s="141" t="n"/>
      <c r="D325" s="141" t="n"/>
      <c r="E325" s="141" t="n"/>
      <c r="F325" s="141" t="n"/>
      <c r="G325" s="143" t="n"/>
      <c r="H325" s="27" t="n"/>
    </row>
    <row r="326" ht="17.25" customHeight="1" s="322">
      <c r="A326" s="27" t="n"/>
      <c r="B326" s="506" t="n"/>
      <c r="C326" s="141" t="n"/>
      <c r="D326" s="141" t="n"/>
      <c r="E326" s="141" t="n"/>
      <c r="F326" s="141" t="n"/>
      <c r="G326" s="143" t="n"/>
      <c r="H326" s="27" t="n"/>
    </row>
    <row r="327" ht="17.25" customHeight="1" s="322">
      <c r="A327" s="27" t="n"/>
      <c r="B327" s="506" t="n"/>
      <c r="C327" s="141" t="n"/>
      <c r="D327" s="141" t="n"/>
      <c r="E327" s="141" t="n"/>
      <c r="F327" s="141" t="n"/>
      <c r="G327" s="143" t="n"/>
      <c r="H327" s="27" t="n"/>
    </row>
    <row r="328" ht="17.25" customHeight="1" s="322">
      <c r="A328" s="27" t="n"/>
      <c r="B328" s="506" t="n"/>
      <c r="C328" s="141" t="n"/>
      <c r="D328" s="141" t="n"/>
      <c r="E328" s="141" t="n"/>
      <c r="F328" s="141" t="n"/>
      <c r="G328" s="143" t="n"/>
      <c r="H328" s="27" t="n"/>
    </row>
    <row r="329" ht="17.25" customHeight="1" s="322">
      <c r="A329" s="27" t="n"/>
      <c r="B329" s="506" t="n"/>
      <c r="C329" s="141" t="n"/>
      <c r="D329" s="141" t="n"/>
      <c r="E329" s="141" t="n"/>
      <c r="F329" s="141" t="n"/>
      <c r="G329" s="143" t="n"/>
      <c r="H329" s="27" t="n"/>
    </row>
    <row r="330" ht="17.25" customHeight="1" s="322">
      <c r="A330" s="27" t="n"/>
      <c r="B330" s="506" t="n"/>
      <c r="C330" s="141" t="n"/>
      <c r="D330" s="141" t="n"/>
      <c r="E330" s="141" t="n"/>
      <c r="F330" s="141" t="n"/>
      <c r="G330" s="143" t="n"/>
      <c r="H330" s="27" t="n"/>
    </row>
    <row r="331" ht="17.25" customHeight="1" s="322">
      <c r="A331" s="27" t="n"/>
      <c r="B331" s="506" t="n"/>
      <c r="C331" s="141" t="n"/>
      <c r="D331" s="141" t="n"/>
      <c r="E331" s="141" t="n"/>
      <c r="F331" s="141" t="n"/>
      <c r="G331" s="143" t="n"/>
      <c r="H331" s="27" t="n"/>
    </row>
    <row r="332" ht="17.25" customHeight="1" s="322">
      <c r="A332" s="27" t="n"/>
      <c r="B332" s="506" t="n"/>
      <c r="C332" s="141" t="n"/>
      <c r="D332" s="141" t="n"/>
      <c r="E332" s="141" t="n"/>
      <c r="F332" s="141" t="n"/>
      <c r="G332" s="143" t="n"/>
      <c r="H332" s="27" t="n"/>
    </row>
    <row r="333" ht="17.25" customHeight="1" s="322">
      <c r="A333" s="27" t="n"/>
      <c r="B333" s="506" t="n"/>
      <c r="C333" s="141" t="n"/>
      <c r="D333" s="141" t="n"/>
      <c r="E333" s="141" t="n"/>
      <c r="F333" s="141" t="n"/>
      <c r="G333" s="143" t="n"/>
      <c r="H333" s="27" t="n"/>
    </row>
    <row r="334" ht="17.25" customHeight="1" s="322">
      <c r="A334" s="27" t="n"/>
      <c r="B334" s="506" t="n"/>
      <c r="C334" s="141" t="n"/>
      <c r="D334" s="141" t="n"/>
      <c r="E334" s="141" t="n"/>
      <c r="F334" s="141" t="n"/>
      <c r="G334" s="143" t="n"/>
      <c r="H334" s="27" t="n"/>
    </row>
    <row r="335" ht="17.25" customHeight="1" s="322">
      <c r="A335" s="27" t="n"/>
      <c r="B335" s="506" t="n"/>
      <c r="C335" s="141" t="n"/>
      <c r="D335" s="141" t="n"/>
      <c r="E335" s="141" t="n"/>
      <c r="F335" s="141" t="n"/>
      <c r="G335" s="143" t="n"/>
      <c r="H335" s="27" t="n"/>
    </row>
    <row r="336" ht="17.25" customHeight="1" s="322">
      <c r="A336" s="27" t="n"/>
      <c r="B336" s="506" t="n"/>
      <c r="C336" s="141" t="n"/>
      <c r="D336" s="141" t="n"/>
      <c r="E336" s="141" t="n"/>
      <c r="F336" s="141" t="n"/>
      <c r="G336" s="143" t="n"/>
      <c r="H336" s="27" t="n"/>
    </row>
    <row r="337" ht="17.25" customHeight="1" s="322">
      <c r="A337" s="27" t="n"/>
      <c r="B337" s="506" t="n"/>
      <c r="C337" s="141" t="n"/>
      <c r="D337" s="141" t="n"/>
      <c r="E337" s="141" t="n"/>
      <c r="F337" s="141" t="n"/>
      <c r="G337" s="143" t="n"/>
      <c r="H337" s="27" t="n"/>
    </row>
    <row r="338" ht="17.25" customHeight="1" s="322">
      <c r="A338" s="27" t="n"/>
      <c r="B338" s="506" t="n"/>
      <c r="C338" s="141" t="n"/>
      <c r="D338" s="141" t="n"/>
      <c r="E338" s="141" t="n"/>
      <c r="F338" s="141" t="n"/>
      <c r="G338" s="143" t="n"/>
      <c r="H338" s="27" t="n"/>
    </row>
    <row r="339" ht="17.25" customHeight="1" s="322">
      <c r="A339" s="27" t="n"/>
      <c r="B339" s="506" t="n"/>
      <c r="C339" s="141" t="n"/>
      <c r="D339" s="141" t="n"/>
      <c r="E339" s="141" t="n"/>
      <c r="F339" s="141" t="n"/>
      <c r="G339" s="143" t="n"/>
      <c r="H339" s="27" t="n"/>
    </row>
    <row r="340" ht="17.25" customHeight="1" s="322">
      <c r="A340" s="27" t="n"/>
      <c r="B340" s="506" t="n"/>
      <c r="C340" s="141" t="n"/>
      <c r="D340" s="141" t="n"/>
      <c r="E340" s="141" t="n"/>
      <c r="F340" s="141" t="n"/>
      <c r="G340" s="143" t="n"/>
      <c r="H340" s="27" t="n"/>
    </row>
    <row r="341" ht="17.25" customHeight="1" s="322">
      <c r="A341" s="27" t="n"/>
      <c r="B341" s="506" t="n"/>
      <c r="C341" s="141" t="n"/>
      <c r="D341" s="141" t="n"/>
      <c r="E341" s="141" t="n"/>
      <c r="F341" s="141" t="n"/>
      <c r="G341" s="143" t="n"/>
      <c r="H341" s="27" t="n"/>
    </row>
    <row r="342" ht="17.25" customHeight="1" s="322">
      <c r="A342" s="27" t="n"/>
      <c r="B342" s="506" t="n"/>
      <c r="C342" s="141" t="n"/>
      <c r="D342" s="141" t="n"/>
      <c r="E342" s="141" t="n"/>
      <c r="F342" s="141" t="n"/>
      <c r="G342" s="143" t="n"/>
      <c r="H342" s="27" t="n"/>
    </row>
    <row r="343" ht="17.25" customHeight="1" s="322">
      <c r="A343" s="27" t="n"/>
      <c r="B343" s="506" t="n"/>
      <c r="C343" s="141" t="n"/>
      <c r="D343" s="141" t="n"/>
      <c r="E343" s="141" t="n"/>
      <c r="F343" s="141" t="n"/>
      <c r="G343" s="143" t="n"/>
      <c r="H343" s="27" t="n"/>
    </row>
    <row r="344" ht="17.25" customHeight="1" s="322">
      <c r="A344" s="27" t="n"/>
      <c r="B344" s="506" t="n"/>
      <c r="C344" s="141" t="n"/>
      <c r="D344" s="141" t="n"/>
      <c r="E344" s="141" t="n"/>
      <c r="F344" s="141" t="n"/>
      <c r="G344" s="143" t="n"/>
      <c r="H344" s="27" t="n"/>
    </row>
    <row r="345" ht="17.25" customHeight="1" s="322">
      <c r="A345" s="27" t="n"/>
      <c r="B345" s="506" t="n"/>
      <c r="C345" s="141" t="n"/>
      <c r="D345" s="141" t="n"/>
      <c r="E345" s="141" t="n"/>
      <c r="F345" s="141" t="n"/>
      <c r="G345" s="143" t="n"/>
      <c r="H345" s="27" t="n"/>
    </row>
    <row r="346" ht="17.25" customHeight="1" s="322">
      <c r="A346" s="27" t="n"/>
      <c r="B346" s="506" t="n"/>
      <c r="C346" s="141" t="n"/>
      <c r="D346" s="141" t="n"/>
      <c r="E346" s="141" t="n"/>
      <c r="F346" s="141" t="n"/>
      <c r="G346" s="143" t="n"/>
      <c r="H346" s="27" t="n"/>
    </row>
    <row r="347" ht="17.25" customHeight="1" s="322">
      <c r="A347" s="27" t="n"/>
      <c r="B347" s="506" t="n"/>
      <c r="C347" s="141" t="n"/>
      <c r="D347" s="141" t="n"/>
      <c r="E347" s="141" t="n"/>
      <c r="F347" s="141" t="n"/>
      <c r="G347" s="143" t="n"/>
      <c r="H347" s="27" t="n"/>
    </row>
    <row r="348" ht="17.25" customHeight="1" s="322">
      <c r="A348" s="27" t="n"/>
      <c r="B348" s="506" t="n"/>
      <c r="C348" s="141" t="n"/>
      <c r="D348" s="141" t="n"/>
      <c r="E348" s="141" t="n"/>
      <c r="F348" s="141" t="n"/>
      <c r="G348" s="143" t="n"/>
      <c r="H348" s="27" t="n"/>
    </row>
    <row r="349" ht="17.25" customHeight="1" s="322">
      <c r="A349" s="27" t="n"/>
      <c r="B349" s="506" t="n"/>
      <c r="C349" s="141" t="n"/>
      <c r="D349" s="141" t="n"/>
      <c r="E349" s="141" t="n"/>
      <c r="F349" s="141" t="n"/>
      <c r="G349" s="143" t="n"/>
      <c r="H349" s="27" t="n"/>
    </row>
    <row r="350" ht="17.25" customHeight="1" s="322">
      <c r="A350" s="27" t="n"/>
      <c r="B350" s="506" t="n"/>
      <c r="C350" s="141" t="n"/>
      <c r="D350" s="141" t="n"/>
      <c r="E350" s="141" t="n"/>
      <c r="F350" s="141" t="n"/>
      <c r="G350" s="143" t="n"/>
      <c r="H350" s="27" t="n"/>
    </row>
    <row r="351" ht="17.25" customHeight="1" s="322">
      <c r="A351" s="27" t="n"/>
      <c r="B351" s="506" t="n"/>
      <c r="C351" s="141" t="n"/>
      <c r="D351" s="141" t="n"/>
      <c r="E351" s="141" t="n"/>
      <c r="F351" s="141" t="n"/>
      <c r="G351" s="143" t="n"/>
      <c r="H351" s="27" t="n"/>
    </row>
    <row r="352" ht="17.25" customHeight="1" s="322">
      <c r="A352" s="27" t="n"/>
      <c r="B352" s="506" t="n"/>
      <c r="C352" s="141" t="n"/>
      <c r="D352" s="141" t="n"/>
      <c r="E352" s="141" t="n"/>
      <c r="F352" s="141" t="n"/>
      <c r="G352" s="143" t="n"/>
      <c r="H352" s="27" t="n"/>
    </row>
    <row r="353" ht="17.25" customHeight="1" s="322">
      <c r="A353" s="27" t="n"/>
      <c r="B353" s="506" t="n"/>
      <c r="C353" s="141" t="n"/>
      <c r="D353" s="141" t="n"/>
      <c r="E353" s="141" t="n"/>
      <c r="F353" s="141" t="n"/>
      <c r="G353" s="143" t="n"/>
      <c r="H353" s="27" t="n"/>
    </row>
    <row r="354" ht="17.25" customHeight="1" s="322">
      <c r="A354" s="27" t="n"/>
      <c r="B354" s="506" t="n"/>
      <c r="C354" s="141" t="n"/>
      <c r="D354" s="141" t="n"/>
      <c r="E354" s="141" t="n"/>
      <c r="F354" s="141" t="n"/>
      <c r="G354" s="143" t="n"/>
      <c r="H354" s="27" t="n"/>
    </row>
    <row r="355" ht="17.25" customHeight="1" s="322">
      <c r="A355" s="27" t="n"/>
      <c r="B355" s="506" t="n"/>
      <c r="C355" s="141" t="n"/>
      <c r="D355" s="141" t="n"/>
      <c r="E355" s="141" t="n"/>
      <c r="F355" s="141" t="n"/>
      <c r="G355" s="143" t="n"/>
      <c r="H355" s="27" t="n"/>
    </row>
    <row r="356" ht="17.25" customHeight="1" s="322">
      <c r="A356" s="27" t="n"/>
      <c r="B356" s="506" t="n"/>
      <c r="C356" s="141" t="n"/>
      <c r="D356" s="141" t="n"/>
      <c r="E356" s="141" t="n"/>
      <c r="F356" s="141" t="n"/>
      <c r="G356" s="143" t="n"/>
      <c r="H356" s="27" t="n"/>
    </row>
    <row r="357" ht="17.25" customHeight="1" s="322">
      <c r="A357" s="27" t="n"/>
      <c r="B357" s="506" t="n"/>
      <c r="C357" s="141" t="n"/>
      <c r="D357" s="141" t="n"/>
      <c r="E357" s="141" t="n"/>
      <c r="F357" s="141" t="n"/>
      <c r="G357" s="143" t="n"/>
      <c r="H357" s="27" t="n"/>
    </row>
    <row r="358" ht="17.25" customHeight="1" s="322">
      <c r="A358" s="27" t="n"/>
      <c r="B358" s="506" t="n"/>
      <c r="C358" s="141" t="n"/>
      <c r="D358" s="141" t="n"/>
      <c r="E358" s="141" t="n"/>
      <c r="F358" s="141" t="n"/>
      <c r="G358" s="143" t="n"/>
      <c r="H358" s="27" t="n"/>
    </row>
    <row r="359" ht="17.25" customHeight="1" s="322">
      <c r="A359" s="27" t="n"/>
      <c r="B359" s="506" t="n"/>
      <c r="C359" s="141" t="n"/>
      <c r="D359" s="141" t="n"/>
      <c r="E359" s="141" t="n"/>
      <c r="F359" s="141" t="n"/>
      <c r="G359" s="143" t="n"/>
      <c r="H359" s="27" t="n"/>
    </row>
    <row r="360" ht="17.25" customHeight="1" s="322">
      <c r="A360" s="27" t="n"/>
      <c r="B360" s="506" t="n"/>
      <c r="C360" s="141" t="n"/>
      <c r="D360" s="141" t="n"/>
      <c r="E360" s="141" t="n"/>
      <c r="F360" s="141" t="n"/>
      <c r="G360" s="143" t="n"/>
      <c r="H360" s="27" t="n"/>
    </row>
    <row r="361" ht="17.25" customHeight="1" s="322">
      <c r="A361" s="27" t="n"/>
      <c r="B361" s="506" t="n"/>
      <c r="C361" s="141" t="n"/>
      <c r="D361" s="141" t="n"/>
      <c r="E361" s="141" t="n"/>
      <c r="F361" s="141" t="n"/>
      <c r="G361" s="143" t="n"/>
      <c r="H361" s="27" t="n"/>
    </row>
    <row r="362" ht="17.25" customHeight="1" s="322">
      <c r="A362" s="27" t="n"/>
      <c r="B362" s="506" t="n"/>
      <c r="C362" s="141" t="n"/>
      <c r="D362" s="141" t="n"/>
      <c r="E362" s="141" t="n"/>
      <c r="F362" s="141" t="n"/>
      <c r="G362" s="143" t="n"/>
      <c r="H362" s="27" t="n"/>
    </row>
    <row r="363" ht="17.25" customHeight="1" s="322">
      <c r="A363" s="27" t="n"/>
      <c r="B363" s="506" t="n"/>
      <c r="C363" s="141" t="n"/>
      <c r="D363" s="141" t="n"/>
      <c r="E363" s="141" t="n"/>
      <c r="F363" s="141" t="n"/>
      <c r="G363" s="143" t="n"/>
      <c r="H363" s="27" t="n"/>
    </row>
    <row r="364" ht="17.25" customHeight="1" s="322">
      <c r="A364" s="27" t="n"/>
      <c r="B364" s="506" t="n"/>
      <c r="C364" s="141" t="n"/>
      <c r="D364" s="141" t="n"/>
      <c r="E364" s="141" t="n"/>
      <c r="F364" s="141" t="n"/>
      <c r="G364" s="143" t="n"/>
      <c r="H364" s="27" t="n"/>
    </row>
    <row r="365" ht="17.25" customHeight="1" s="322">
      <c r="A365" s="27" t="n"/>
      <c r="B365" s="506" t="n"/>
      <c r="C365" s="141" t="n"/>
      <c r="D365" s="141" t="n"/>
      <c r="E365" s="141" t="n"/>
      <c r="F365" s="141" t="n"/>
      <c r="G365" s="143" t="n"/>
      <c r="H365" s="27" t="n"/>
    </row>
    <row r="366" ht="17.25" customHeight="1" s="322">
      <c r="A366" s="27" t="n"/>
      <c r="B366" s="506" t="n"/>
      <c r="C366" s="141" t="n"/>
      <c r="D366" s="141" t="n"/>
      <c r="E366" s="141" t="n"/>
      <c r="F366" s="141" t="n"/>
      <c r="G366" s="143" t="n"/>
      <c r="H366" s="27" t="n"/>
    </row>
    <row r="367" ht="17.25" customHeight="1" s="322">
      <c r="A367" s="27" t="n"/>
      <c r="B367" s="506" t="n"/>
      <c r="C367" s="141" t="n"/>
      <c r="D367" s="141" t="n"/>
      <c r="E367" s="141" t="n"/>
      <c r="F367" s="141" t="n"/>
      <c r="G367" s="143" t="n"/>
      <c r="H367" s="27" t="n"/>
    </row>
    <row r="368" ht="17.25" customHeight="1" s="322">
      <c r="A368" s="27" t="n"/>
      <c r="B368" s="506" t="n"/>
      <c r="C368" s="141" t="n"/>
      <c r="D368" s="141" t="n"/>
      <c r="E368" s="141" t="n"/>
      <c r="F368" s="141" t="n"/>
      <c r="G368" s="143" t="n"/>
      <c r="H368" s="27" t="n"/>
    </row>
    <row r="369" ht="17.25" customHeight="1" s="322">
      <c r="A369" s="27" t="n"/>
      <c r="B369" s="506" t="n"/>
      <c r="C369" s="141" t="n"/>
      <c r="D369" s="141" t="n"/>
      <c r="E369" s="141" t="n"/>
      <c r="F369" s="141" t="n"/>
      <c r="G369" s="143" t="n"/>
      <c r="H369" s="27" t="n"/>
    </row>
    <row r="370" ht="17.25" customHeight="1" s="322">
      <c r="A370" s="27" t="n"/>
      <c r="B370" s="506" t="n"/>
      <c r="C370" s="141" t="n"/>
      <c r="D370" s="141" t="n"/>
      <c r="E370" s="141" t="n"/>
      <c r="F370" s="141" t="n"/>
      <c r="G370" s="143" t="n"/>
      <c r="H370" s="27" t="n"/>
    </row>
    <row r="371" ht="17.25" customHeight="1" s="322">
      <c r="A371" s="27" t="n"/>
      <c r="B371" s="506" t="n"/>
      <c r="C371" s="141" t="n"/>
      <c r="D371" s="141" t="n"/>
      <c r="E371" s="141" t="n"/>
      <c r="F371" s="141" t="n"/>
      <c r="G371" s="143" t="n"/>
      <c r="H371" s="27" t="n"/>
    </row>
    <row r="372" ht="17.25" customHeight="1" s="322">
      <c r="A372" s="27" t="n"/>
      <c r="B372" s="506" t="n"/>
      <c r="C372" s="141" t="n"/>
      <c r="D372" s="141" t="n"/>
      <c r="E372" s="141" t="n"/>
      <c r="F372" s="141" t="n"/>
      <c r="G372" s="143" t="n"/>
      <c r="H372" s="27" t="n"/>
    </row>
    <row r="373" ht="17.25" customHeight="1" s="322">
      <c r="A373" s="27" t="n"/>
      <c r="B373" s="506" t="n"/>
      <c r="C373" s="141" t="n"/>
      <c r="D373" s="141" t="n"/>
      <c r="E373" s="141" t="n"/>
      <c r="F373" s="141" t="n"/>
      <c r="G373" s="143" t="n"/>
      <c r="H373" s="27" t="n"/>
    </row>
    <row r="374" ht="17.25" customHeight="1" s="322">
      <c r="A374" s="27" t="n"/>
      <c r="B374" s="506" t="n"/>
      <c r="C374" s="141" t="n"/>
      <c r="D374" s="141" t="n"/>
      <c r="E374" s="141" t="n"/>
      <c r="F374" s="141" t="n"/>
      <c r="G374" s="143" t="n"/>
      <c r="H374" s="27" t="n"/>
    </row>
    <row r="375" ht="17.25" customHeight="1" s="322">
      <c r="A375" s="27" t="n"/>
      <c r="B375" s="506" t="n"/>
      <c r="C375" s="141" t="n"/>
      <c r="D375" s="141" t="n"/>
      <c r="E375" s="141" t="n"/>
      <c r="F375" s="141" t="n"/>
      <c r="G375" s="143" t="n"/>
      <c r="H375" s="27" t="n"/>
    </row>
    <row r="376" ht="17.25" customHeight="1" s="322">
      <c r="A376" s="27" t="n"/>
      <c r="B376" s="506" t="n"/>
      <c r="C376" s="141" t="n"/>
      <c r="D376" s="141" t="n"/>
      <c r="E376" s="141" t="n"/>
      <c r="F376" s="141" t="n"/>
      <c r="G376" s="143" t="n"/>
      <c r="H376" s="27" t="n"/>
    </row>
    <row r="377" ht="17.25" customHeight="1" s="322">
      <c r="A377" s="27" t="n"/>
      <c r="B377" s="506" t="n"/>
      <c r="C377" s="141" t="n"/>
      <c r="D377" s="141" t="n"/>
      <c r="E377" s="141" t="n"/>
      <c r="F377" s="141" t="n"/>
      <c r="G377" s="143" t="n"/>
      <c r="H377" s="27" t="n"/>
    </row>
    <row r="378" ht="17.25" customHeight="1" s="322">
      <c r="A378" s="27" t="n"/>
      <c r="B378" s="506" t="n"/>
      <c r="C378" s="141" t="n"/>
      <c r="D378" s="141" t="n"/>
      <c r="E378" s="141" t="n"/>
      <c r="F378" s="141" t="n"/>
      <c r="G378" s="143" t="n"/>
      <c r="H378" s="27" t="n"/>
    </row>
    <row r="379" ht="17.25" customHeight="1" s="322">
      <c r="A379" s="27" t="n"/>
      <c r="B379" s="506" t="n"/>
      <c r="C379" s="141" t="n"/>
      <c r="D379" s="141" t="n"/>
      <c r="E379" s="141" t="n"/>
      <c r="F379" s="141" t="n"/>
      <c r="G379" s="143" t="n"/>
      <c r="H379" s="27" t="n"/>
    </row>
    <row r="380" ht="17.25" customHeight="1" s="322">
      <c r="A380" s="27" t="n"/>
      <c r="B380" s="506" t="n"/>
      <c r="C380" s="141" t="n"/>
      <c r="D380" s="141" t="n"/>
      <c r="E380" s="141" t="n"/>
      <c r="F380" s="141" t="n"/>
      <c r="G380" s="143" t="n"/>
      <c r="H380" s="27" t="n"/>
    </row>
    <row r="381" ht="17.25" customHeight="1" s="322">
      <c r="A381" s="27" t="n"/>
      <c r="B381" s="506" t="n"/>
      <c r="C381" s="141" t="n"/>
      <c r="D381" s="141" t="n"/>
      <c r="E381" s="141" t="n"/>
      <c r="F381" s="141" t="n"/>
      <c r="G381" s="143" t="n"/>
      <c r="H381" s="27" t="n"/>
    </row>
    <row r="382" ht="17.25" customHeight="1" s="322">
      <c r="A382" s="27" t="n"/>
      <c r="B382" s="506" t="n"/>
      <c r="C382" s="141" t="n"/>
      <c r="D382" s="141" t="n"/>
      <c r="E382" s="141" t="n"/>
      <c r="F382" s="141" t="n"/>
      <c r="G382" s="143" t="n"/>
      <c r="H382" s="27" t="n"/>
    </row>
    <row r="383" ht="17.25" customHeight="1" s="322">
      <c r="A383" s="27" t="n"/>
      <c r="B383" s="506" t="n"/>
      <c r="C383" s="141" t="n"/>
      <c r="D383" s="141" t="n"/>
      <c r="E383" s="141" t="n"/>
      <c r="F383" s="141" t="n"/>
      <c r="G383" s="143" t="n"/>
      <c r="H383" s="27" t="n"/>
    </row>
    <row r="384" ht="17.25" customHeight="1" s="322">
      <c r="A384" s="27" t="n"/>
      <c r="B384" s="506" t="n"/>
      <c r="C384" s="141" t="n"/>
      <c r="D384" s="141" t="n"/>
      <c r="E384" s="141" t="n"/>
      <c r="F384" s="141" t="n"/>
      <c r="G384" s="143" t="n"/>
      <c r="H384" s="27" t="n"/>
    </row>
    <row r="385" ht="17.25" customHeight="1" s="322">
      <c r="A385" s="27" t="n"/>
      <c r="B385" s="506" t="n"/>
      <c r="C385" s="141" t="n"/>
      <c r="D385" s="141" t="n"/>
      <c r="E385" s="141" t="n"/>
      <c r="F385" s="141" t="n"/>
      <c r="G385" s="143" t="n"/>
      <c r="H385" s="27" t="n"/>
    </row>
    <row r="386" ht="17.25" customHeight="1" s="322">
      <c r="A386" s="27" t="n"/>
      <c r="B386" s="506" t="n"/>
      <c r="C386" s="141" t="n"/>
      <c r="D386" s="141" t="n"/>
      <c r="E386" s="141" t="n"/>
      <c r="F386" s="141" t="n"/>
      <c r="G386" s="143" t="n"/>
      <c r="H386" s="27" t="n"/>
    </row>
    <row r="387" ht="17.25" customHeight="1" s="322">
      <c r="A387" s="27" t="n"/>
      <c r="B387" s="506" t="n"/>
      <c r="C387" s="141" t="n"/>
      <c r="D387" s="141" t="n"/>
      <c r="E387" s="141" t="n"/>
      <c r="F387" s="141" t="n"/>
      <c r="G387" s="143" t="n"/>
      <c r="H387" s="27" t="n"/>
    </row>
    <row r="388" ht="17.25" customHeight="1" s="322">
      <c r="A388" s="27" t="n"/>
      <c r="B388" s="506" t="n"/>
      <c r="C388" s="141" t="n"/>
      <c r="D388" s="141" t="n"/>
      <c r="E388" s="141" t="n"/>
      <c r="F388" s="141" t="n"/>
      <c r="G388" s="143" t="n"/>
      <c r="H388" s="27" t="n"/>
    </row>
    <row r="389" ht="17.25" customHeight="1" s="322">
      <c r="A389" s="27" t="n"/>
      <c r="B389" s="506" t="n"/>
      <c r="C389" s="141" t="n"/>
      <c r="D389" s="141" t="n"/>
      <c r="E389" s="141" t="n"/>
      <c r="F389" s="141" t="n"/>
      <c r="G389" s="143" t="n"/>
      <c r="H389" s="27" t="n"/>
    </row>
    <row r="390" ht="17.25" customHeight="1" s="322">
      <c r="A390" s="27" t="n"/>
      <c r="B390" s="506" t="n"/>
      <c r="C390" s="141" t="n"/>
      <c r="D390" s="141" t="n"/>
      <c r="E390" s="141" t="n"/>
      <c r="F390" s="141" t="n"/>
      <c r="G390" s="143" t="n"/>
      <c r="H390" s="27" t="n"/>
    </row>
    <row r="391" ht="17.25" customHeight="1" s="322">
      <c r="A391" s="27" t="n"/>
      <c r="B391" s="506" t="n"/>
      <c r="C391" s="141" t="n"/>
      <c r="D391" s="141" t="n"/>
      <c r="E391" s="141" t="n"/>
      <c r="F391" s="141" t="n"/>
      <c r="G391" s="143" t="n"/>
      <c r="H391" s="27" t="n"/>
    </row>
    <row r="392" ht="17.25" customHeight="1" s="322">
      <c r="A392" s="27" t="n"/>
      <c r="B392" s="506" t="n"/>
      <c r="C392" s="141" t="n"/>
      <c r="D392" s="141" t="n"/>
      <c r="E392" s="141" t="n"/>
      <c r="F392" s="141" t="n"/>
      <c r="G392" s="143" t="n"/>
      <c r="H392" s="27" t="n"/>
    </row>
    <row r="393" ht="17.25" customHeight="1" s="322">
      <c r="A393" s="27" t="n"/>
      <c r="B393" s="506" t="n"/>
      <c r="C393" s="141" t="n"/>
      <c r="D393" s="141" t="n"/>
      <c r="E393" s="141" t="n"/>
      <c r="F393" s="141" t="n"/>
      <c r="G393" s="143" t="n"/>
      <c r="H393" s="27" t="n"/>
    </row>
    <row r="394" ht="17.25" customHeight="1" s="322">
      <c r="A394" s="27" t="n"/>
      <c r="B394" s="506" t="n"/>
      <c r="C394" s="141" t="n"/>
      <c r="D394" s="141" t="n"/>
      <c r="E394" s="141" t="n"/>
      <c r="F394" s="141" t="n"/>
      <c r="G394" s="143" t="n"/>
      <c r="H394" s="27" t="n"/>
    </row>
    <row r="395" ht="17.25" customHeight="1" s="322">
      <c r="A395" s="27" t="n"/>
      <c r="B395" s="506" t="n"/>
      <c r="C395" s="141" t="n"/>
      <c r="D395" s="141" t="n"/>
      <c r="E395" s="141" t="n"/>
      <c r="F395" s="141" t="n"/>
      <c r="G395" s="143" t="n"/>
      <c r="H395" s="27" t="n"/>
    </row>
    <row r="396" ht="17.25" customHeight="1" s="322">
      <c r="A396" s="27" t="n"/>
      <c r="B396" s="506" t="n"/>
      <c r="C396" s="141" t="n"/>
      <c r="D396" s="141" t="n"/>
      <c r="E396" s="141" t="n"/>
      <c r="F396" s="141" t="n"/>
      <c r="G396" s="143" t="n"/>
      <c r="H396" s="27" t="n"/>
    </row>
    <row r="397" ht="17.25" customHeight="1" s="322">
      <c r="A397" s="27" t="n"/>
      <c r="B397" s="506" t="n"/>
      <c r="C397" s="141" t="n"/>
      <c r="D397" s="141" t="n"/>
      <c r="E397" s="141" t="n"/>
      <c r="F397" s="141" t="n"/>
      <c r="G397" s="143" t="n"/>
      <c r="H397" s="27" t="n"/>
    </row>
    <row r="398" ht="17.25" customHeight="1" s="322">
      <c r="A398" s="27" t="n"/>
      <c r="B398" s="506" t="n"/>
      <c r="C398" s="141" t="n"/>
      <c r="D398" s="141" t="n"/>
      <c r="E398" s="141" t="n"/>
      <c r="F398" s="141" t="n"/>
      <c r="G398" s="143" t="n"/>
      <c r="H398" s="27" t="n"/>
    </row>
    <row r="399" ht="17.25" customHeight="1" s="322">
      <c r="A399" s="27" t="n"/>
      <c r="B399" s="506" t="n"/>
      <c r="C399" s="141" t="n"/>
      <c r="D399" s="141" t="n"/>
      <c r="E399" s="141" t="n"/>
      <c r="F399" s="141" t="n"/>
      <c r="G399" s="143" t="n"/>
      <c r="H399" s="27" t="n"/>
    </row>
    <row r="400" ht="17.25" customHeight="1" s="322">
      <c r="A400" s="27" t="n"/>
      <c r="B400" s="506" t="n"/>
      <c r="C400" s="141" t="n"/>
      <c r="D400" s="141" t="n"/>
      <c r="E400" s="141" t="n"/>
      <c r="F400" s="141" t="n"/>
      <c r="G400" s="143" t="n"/>
      <c r="H400" s="27" t="n"/>
    </row>
    <row r="401" ht="17.25" customHeight="1" s="322">
      <c r="A401" s="27" t="n"/>
      <c r="B401" s="506" t="n"/>
      <c r="C401" s="141" t="n"/>
      <c r="D401" s="141" t="n"/>
      <c r="E401" s="141" t="n"/>
      <c r="F401" s="141" t="n"/>
      <c r="G401" s="143" t="n"/>
      <c r="H401" s="27" t="n"/>
    </row>
    <row r="402" ht="17.25" customHeight="1" s="322">
      <c r="A402" s="27" t="n"/>
      <c r="B402" s="506" t="n"/>
      <c r="C402" s="141" t="n"/>
      <c r="D402" s="141" t="n"/>
      <c r="E402" s="141" t="n"/>
      <c r="F402" s="141" t="n"/>
      <c r="G402" s="143" t="n"/>
      <c r="H402" s="27" t="n"/>
    </row>
    <row r="403" ht="17.25" customHeight="1" s="322">
      <c r="A403" s="27" t="n"/>
      <c r="B403" s="506" t="n"/>
      <c r="C403" s="141" t="n"/>
      <c r="D403" s="141" t="n"/>
      <c r="E403" s="141" t="n"/>
      <c r="F403" s="141" t="n"/>
      <c r="G403" s="143" t="n"/>
      <c r="H403" s="27" t="n"/>
    </row>
    <row r="404" ht="17.25" customHeight="1" s="322">
      <c r="A404" s="27" t="n"/>
      <c r="B404" s="506" t="n"/>
      <c r="C404" s="141" t="n"/>
      <c r="D404" s="141" t="n"/>
      <c r="E404" s="141" t="n"/>
      <c r="F404" s="141" t="n"/>
      <c r="G404" s="143" t="n"/>
      <c r="H404" s="27" t="n"/>
    </row>
    <row r="405" ht="17.25" customHeight="1" s="322">
      <c r="A405" s="27" t="n"/>
      <c r="B405" s="506" t="n"/>
      <c r="C405" s="141" t="n"/>
      <c r="D405" s="141" t="n"/>
      <c r="E405" s="141" t="n"/>
      <c r="F405" s="141" t="n"/>
      <c r="G405" s="143" t="n"/>
      <c r="H405" s="27" t="n"/>
    </row>
    <row r="406" ht="17.25" customHeight="1" s="322">
      <c r="A406" s="27" t="n"/>
      <c r="B406" s="506" t="n"/>
      <c r="C406" s="141" t="n"/>
      <c r="D406" s="141" t="n"/>
      <c r="E406" s="141" t="n"/>
      <c r="F406" s="141" t="n"/>
      <c r="G406" s="143" t="n"/>
      <c r="H406" s="27" t="n"/>
    </row>
    <row r="407" ht="17.25" customHeight="1" s="322">
      <c r="A407" s="27" t="n"/>
      <c r="B407" s="506" t="n"/>
      <c r="C407" s="141" t="n"/>
      <c r="D407" s="141" t="n"/>
      <c r="E407" s="141" t="n"/>
      <c r="F407" s="141" t="n"/>
      <c r="G407" s="143" t="n"/>
      <c r="H407" s="27" t="n"/>
    </row>
    <row r="408" ht="17.25" customHeight="1" s="322">
      <c r="A408" s="27" t="n"/>
      <c r="B408" s="506" t="n"/>
      <c r="C408" s="141" t="n"/>
      <c r="D408" s="141" t="n"/>
      <c r="E408" s="141" t="n"/>
      <c r="F408" s="141" t="n"/>
      <c r="G408" s="143" t="n"/>
      <c r="H408" s="27" t="n"/>
    </row>
    <row r="409" ht="17.25" customHeight="1" s="322">
      <c r="A409" s="27" t="n"/>
      <c r="B409" s="506" t="n"/>
      <c r="C409" s="141" t="n"/>
      <c r="D409" s="141" t="n"/>
      <c r="E409" s="141" t="n"/>
      <c r="F409" s="141" t="n"/>
      <c r="G409" s="143" t="n"/>
      <c r="H409" s="27" t="n"/>
    </row>
    <row r="410" ht="17.25" customHeight="1" s="322">
      <c r="A410" s="27" t="n"/>
      <c r="B410" s="506" t="n"/>
      <c r="C410" s="141" t="n"/>
      <c r="D410" s="141" t="n"/>
      <c r="E410" s="141" t="n"/>
      <c r="F410" s="141" t="n"/>
      <c r="G410" s="143" t="n"/>
      <c r="H410" s="27" t="n"/>
    </row>
    <row r="411" ht="17.25" customHeight="1" s="322">
      <c r="A411" s="27" t="n"/>
      <c r="B411" s="506" t="n"/>
      <c r="C411" s="141" t="n"/>
      <c r="D411" s="141" t="n"/>
      <c r="E411" s="141" t="n"/>
      <c r="F411" s="141" t="n"/>
      <c r="G411" s="143" t="n"/>
      <c r="H411" s="27" t="n"/>
    </row>
    <row r="412" ht="17.25" customHeight="1" s="322">
      <c r="A412" s="27" t="n"/>
      <c r="B412" s="506" t="n"/>
      <c r="C412" s="141" t="n"/>
      <c r="D412" s="141" t="n"/>
      <c r="E412" s="141" t="n"/>
      <c r="F412" s="141" t="n"/>
      <c r="G412" s="143" t="n"/>
      <c r="H412" s="27" t="n"/>
    </row>
    <row r="413" ht="17.25" customHeight="1" s="322">
      <c r="A413" s="27" t="n"/>
      <c r="B413" s="506" t="n"/>
      <c r="C413" s="141" t="n"/>
      <c r="D413" s="141" t="n"/>
      <c r="E413" s="141" t="n"/>
      <c r="F413" s="141" t="n"/>
      <c r="G413" s="143" t="n"/>
      <c r="H413" s="27" t="n"/>
    </row>
    <row r="414" ht="17.25" customHeight="1" s="322">
      <c r="A414" s="27" t="n"/>
      <c r="B414" s="506" t="n"/>
      <c r="C414" s="141" t="n"/>
      <c r="D414" s="141" t="n"/>
      <c r="E414" s="141" t="n"/>
      <c r="F414" s="141" t="n"/>
      <c r="G414" s="143" t="n"/>
      <c r="H414" s="27" t="n"/>
    </row>
    <row r="415" ht="17.25" customHeight="1" s="322">
      <c r="A415" s="27" t="n"/>
      <c r="B415" s="506" t="n"/>
      <c r="C415" s="141" t="n"/>
      <c r="D415" s="141" t="n"/>
      <c r="E415" s="141" t="n"/>
      <c r="F415" s="141" t="n"/>
      <c r="G415" s="143" t="n"/>
      <c r="H415" s="27" t="n"/>
    </row>
    <row r="416" ht="17.25" customHeight="1" s="322">
      <c r="A416" s="27" t="n"/>
      <c r="B416" s="506" t="n"/>
      <c r="C416" s="141" t="n"/>
      <c r="D416" s="141" t="n"/>
      <c r="E416" s="141" t="n"/>
      <c r="F416" s="141" t="n"/>
      <c r="G416" s="143" t="n"/>
      <c r="H416" s="27" t="n"/>
    </row>
    <row r="417" ht="17.25" customHeight="1" s="322">
      <c r="A417" s="27" t="n"/>
      <c r="B417" s="506" t="n"/>
      <c r="C417" s="141" t="n"/>
      <c r="D417" s="141" t="n"/>
      <c r="E417" s="141" t="n"/>
      <c r="F417" s="141" t="n"/>
      <c r="G417" s="143" t="n"/>
      <c r="H417" s="27" t="n"/>
    </row>
    <row r="418" ht="17.25" customHeight="1" s="322">
      <c r="A418" s="27" t="n"/>
      <c r="B418" s="506" t="n"/>
      <c r="C418" s="141" t="n"/>
      <c r="D418" s="141" t="n"/>
      <c r="E418" s="141" t="n"/>
      <c r="F418" s="141" t="n"/>
      <c r="G418" s="143" t="n"/>
      <c r="H418" s="27" t="n"/>
    </row>
    <row r="419" ht="17.25" customHeight="1" s="322">
      <c r="A419" s="27" t="n"/>
      <c r="B419" s="506" t="n"/>
      <c r="C419" s="141" t="n"/>
      <c r="D419" s="141" t="n"/>
      <c r="E419" s="141" t="n"/>
      <c r="F419" s="141" t="n"/>
      <c r="G419" s="143" t="n"/>
      <c r="H419" s="27" t="n"/>
    </row>
    <row r="420" ht="17.25" customHeight="1" s="322">
      <c r="A420" s="27" t="n"/>
      <c r="B420" s="506" t="n"/>
      <c r="C420" s="141" t="n"/>
      <c r="D420" s="141" t="n"/>
      <c r="E420" s="141" t="n"/>
      <c r="F420" s="141" t="n"/>
      <c r="G420" s="143" t="n"/>
      <c r="H420" s="27" t="n"/>
    </row>
    <row r="421" ht="17.25" customHeight="1" s="322">
      <c r="A421" s="27" t="n"/>
      <c r="B421" s="506" t="n"/>
      <c r="C421" s="141" t="n"/>
      <c r="D421" s="141" t="n"/>
      <c r="E421" s="141" t="n"/>
      <c r="F421" s="141" t="n"/>
      <c r="G421" s="143" t="n"/>
      <c r="H421" s="27" t="n"/>
    </row>
    <row r="422" ht="17.25" customHeight="1" s="322">
      <c r="A422" s="27" t="n"/>
      <c r="B422" s="506" t="n"/>
      <c r="C422" s="141" t="n"/>
      <c r="D422" s="141" t="n"/>
      <c r="E422" s="141" t="n"/>
      <c r="F422" s="141" t="n"/>
      <c r="G422" s="143" t="n"/>
      <c r="H422" s="27" t="n"/>
    </row>
    <row r="423" ht="17.25" customHeight="1" s="322">
      <c r="A423" s="27" t="n"/>
      <c r="B423" s="506" t="n"/>
      <c r="C423" s="141" t="n"/>
      <c r="D423" s="141" t="n"/>
      <c r="E423" s="141" t="n"/>
      <c r="F423" s="141" t="n"/>
      <c r="G423" s="143" t="n"/>
      <c r="H423" s="27" t="n"/>
    </row>
    <row r="424" ht="17.25" customHeight="1" s="322">
      <c r="A424" s="27" t="n"/>
      <c r="B424" s="506" t="n"/>
      <c r="C424" s="141" t="n"/>
      <c r="D424" s="141" t="n"/>
      <c r="E424" s="141" t="n"/>
      <c r="F424" s="141" t="n"/>
      <c r="G424" s="143" t="n"/>
      <c r="H424" s="27" t="n"/>
    </row>
    <row r="425" ht="17.25" customHeight="1" s="322">
      <c r="A425" s="27" t="n"/>
      <c r="B425" s="506" t="n"/>
      <c r="C425" s="141" t="n"/>
      <c r="D425" s="141" t="n"/>
      <c r="E425" s="141" t="n"/>
      <c r="F425" s="141" t="n"/>
      <c r="G425" s="143" t="n"/>
      <c r="H425" s="27" t="n"/>
    </row>
    <row r="426" ht="17.25" customHeight="1" s="322">
      <c r="A426" s="27" t="n"/>
      <c r="B426" s="506" t="n"/>
      <c r="C426" s="141" t="n"/>
      <c r="D426" s="141" t="n"/>
      <c r="E426" s="141" t="n"/>
      <c r="F426" s="141" t="n"/>
      <c r="G426" s="143" t="n"/>
      <c r="H426" s="27" t="n"/>
    </row>
    <row r="427" ht="17.25" customHeight="1" s="322">
      <c r="A427" s="27" t="n"/>
      <c r="B427" s="506" t="n"/>
      <c r="C427" s="141" t="n"/>
      <c r="D427" s="141" t="n"/>
      <c r="E427" s="141" t="n"/>
      <c r="F427" s="141" t="n"/>
      <c r="G427" s="143" t="n"/>
      <c r="H427" s="27" t="n"/>
    </row>
    <row r="428" ht="17.25" customHeight="1" s="322">
      <c r="A428" s="27" t="n"/>
      <c r="B428" s="506" t="n"/>
      <c r="C428" s="141" t="n"/>
      <c r="D428" s="141" t="n"/>
      <c r="E428" s="141" t="n"/>
      <c r="F428" s="141" t="n"/>
      <c r="G428" s="143" t="n"/>
      <c r="H428" s="27" t="n"/>
    </row>
    <row r="429" ht="17.25" customHeight="1" s="322">
      <c r="A429" s="27" t="n"/>
      <c r="B429" s="506" t="n"/>
      <c r="C429" s="141" t="n"/>
      <c r="D429" s="141" t="n"/>
      <c r="E429" s="141" t="n"/>
      <c r="F429" s="141" t="n"/>
      <c r="G429" s="143" t="n"/>
      <c r="H429" s="27" t="n"/>
    </row>
    <row r="430" ht="17.25" customHeight="1" s="322">
      <c r="A430" s="27" t="n"/>
      <c r="B430" s="506" t="n"/>
      <c r="C430" s="141" t="n"/>
      <c r="D430" s="141" t="n"/>
      <c r="E430" s="141" t="n"/>
      <c r="F430" s="141" t="n"/>
      <c r="G430" s="143" t="n"/>
      <c r="H430" s="27" t="n"/>
    </row>
    <row r="431" ht="17.25" customHeight="1" s="322">
      <c r="A431" s="27" t="n"/>
      <c r="B431" s="506" t="n"/>
      <c r="C431" s="141" t="n"/>
      <c r="D431" s="141" t="n"/>
      <c r="E431" s="141" t="n"/>
      <c r="F431" s="141" t="n"/>
      <c r="G431" s="143" t="n"/>
      <c r="H431" s="27" t="n"/>
    </row>
    <row r="432" ht="17.25" customHeight="1" s="322">
      <c r="A432" s="27" t="n"/>
      <c r="B432" s="506" t="n"/>
      <c r="C432" s="141" t="n"/>
      <c r="D432" s="141" t="n"/>
      <c r="E432" s="141" t="n"/>
      <c r="F432" s="141" t="n"/>
      <c r="G432" s="143" t="n"/>
      <c r="H432" s="27" t="n"/>
    </row>
    <row r="433" ht="17.25" customHeight="1" s="322">
      <c r="A433" s="27" t="n"/>
      <c r="B433" s="506" t="n"/>
      <c r="C433" s="141" t="n"/>
      <c r="D433" s="141" t="n"/>
      <c r="E433" s="141" t="n"/>
      <c r="F433" s="141" t="n"/>
      <c r="G433" s="143" t="n"/>
      <c r="H433" s="27" t="n"/>
    </row>
    <row r="434" ht="17.25" customHeight="1" s="322">
      <c r="A434" s="27" t="n"/>
      <c r="B434" s="506" t="n"/>
      <c r="C434" s="141" t="n"/>
      <c r="D434" s="141" t="n"/>
      <c r="E434" s="141" t="n"/>
      <c r="F434" s="141" t="n"/>
      <c r="G434" s="143" t="n"/>
      <c r="H434" s="27" t="n"/>
    </row>
    <row r="435" ht="17.25" customHeight="1" s="322">
      <c r="A435" s="27" t="n"/>
      <c r="B435" s="506" t="n"/>
      <c r="C435" s="141" t="n"/>
      <c r="D435" s="141" t="n"/>
      <c r="E435" s="141" t="n"/>
      <c r="F435" s="141" t="n"/>
      <c r="G435" s="143" t="n"/>
      <c r="H435" s="27" t="n"/>
    </row>
    <row r="436" ht="17.25" customHeight="1" s="322">
      <c r="A436" s="27" t="n"/>
      <c r="B436" s="506" t="n"/>
      <c r="C436" s="141" t="n"/>
      <c r="D436" s="141" t="n"/>
      <c r="E436" s="141" t="n"/>
      <c r="F436" s="141" t="n"/>
      <c r="G436" s="143" t="n"/>
      <c r="H436" s="27" t="n"/>
    </row>
    <row r="437" ht="17.25" customHeight="1" s="322">
      <c r="A437" s="27" t="n"/>
      <c r="B437" s="506" t="n"/>
      <c r="C437" s="141" t="n"/>
      <c r="D437" s="141" t="n"/>
      <c r="E437" s="141" t="n"/>
      <c r="F437" s="141" t="n"/>
      <c r="G437" s="143" t="n"/>
      <c r="H437" s="27" t="n"/>
    </row>
    <row r="438" ht="17.25" customHeight="1" s="322">
      <c r="A438" s="27" t="n"/>
      <c r="B438" s="506" t="n"/>
      <c r="C438" s="141" t="n"/>
      <c r="D438" s="141" t="n"/>
      <c r="E438" s="141" t="n"/>
      <c r="F438" s="141" t="n"/>
      <c r="G438" s="143" t="n"/>
      <c r="H438" s="27" t="n"/>
    </row>
    <row r="439" ht="17.25" customHeight="1" s="322">
      <c r="A439" s="27" t="n"/>
      <c r="B439" s="506" t="n"/>
      <c r="C439" s="141" t="n"/>
      <c r="D439" s="141" t="n"/>
      <c r="E439" s="141" t="n"/>
      <c r="F439" s="141" t="n"/>
      <c r="G439" s="143" t="n"/>
      <c r="H439" s="27" t="n"/>
    </row>
    <row r="440" ht="17.25" customHeight="1" s="322">
      <c r="A440" s="27" t="n"/>
      <c r="B440" s="506" t="n"/>
      <c r="C440" s="141" t="n"/>
      <c r="D440" s="141" t="n"/>
      <c r="E440" s="141" t="n"/>
      <c r="F440" s="141" t="n"/>
      <c r="G440" s="143" t="n"/>
      <c r="H440" s="27" t="n"/>
    </row>
    <row r="441" ht="17.25" customHeight="1" s="322">
      <c r="A441" s="27" t="n"/>
      <c r="B441" s="506" t="n"/>
      <c r="C441" s="141" t="n"/>
      <c r="D441" s="141" t="n"/>
      <c r="E441" s="141" t="n"/>
      <c r="F441" s="141" t="n"/>
      <c r="G441" s="143" t="n"/>
      <c r="H441" s="27" t="n"/>
    </row>
    <row r="442" ht="17.25" customHeight="1" s="322">
      <c r="A442" s="27" t="n"/>
      <c r="B442" s="506" t="n"/>
      <c r="C442" s="141" t="n"/>
      <c r="D442" s="141" t="n"/>
      <c r="E442" s="141" t="n"/>
      <c r="F442" s="141" t="n"/>
      <c r="G442" s="143" t="n"/>
      <c r="H442" s="27" t="n"/>
    </row>
    <row r="443" ht="17.25" customHeight="1" s="322">
      <c r="A443" s="27" t="n"/>
      <c r="B443" s="506" t="n"/>
      <c r="C443" s="141" t="n"/>
      <c r="D443" s="141" t="n"/>
      <c r="E443" s="141" t="n"/>
      <c r="F443" s="141" t="n"/>
      <c r="G443" s="143" t="n"/>
      <c r="H443" s="27" t="n"/>
    </row>
    <row r="444" ht="17.25" customHeight="1" s="322">
      <c r="A444" s="27" t="n"/>
      <c r="B444" s="506" t="n"/>
      <c r="C444" s="141" t="n"/>
      <c r="D444" s="141" t="n"/>
      <c r="E444" s="141" t="n"/>
      <c r="F444" s="141" t="n"/>
      <c r="G444" s="143" t="n"/>
      <c r="H444" s="27" t="n"/>
    </row>
    <row r="445" ht="17.25" customHeight="1" s="322">
      <c r="A445" s="27" t="n"/>
      <c r="B445" s="506" t="n"/>
      <c r="C445" s="141" t="n"/>
      <c r="D445" s="141" t="n"/>
      <c r="E445" s="141" t="n"/>
      <c r="F445" s="141" t="n"/>
      <c r="G445" s="143" t="n"/>
      <c r="H445" s="27" t="n"/>
    </row>
    <row r="446" ht="17.25" customHeight="1" s="322">
      <c r="A446" s="27" t="n"/>
      <c r="B446" s="506" t="n"/>
      <c r="C446" s="141" t="n"/>
      <c r="D446" s="141" t="n"/>
      <c r="E446" s="141" t="n"/>
      <c r="F446" s="141" t="n"/>
      <c r="G446" s="143" t="n"/>
      <c r="H446" s="27" t="n"/>
    </row>
    <row r="447" ht="17.25" customHeight="1" s="322">
      <c r="A447" s="27" t="n"/>
      <c r="B447" s="506" t="n"/>
      <c r="C447" s="141" t="n"/>
      <c r="D447" s="141" t="n"/>
      <c r="E447" s="141" t="n"/>
      <c r="F447" s="141" t="n"/>
      <c r="G447" s="143" t="n"/>
      <c r="H447" s="27" t="n"/>
    </row>
    <row r="448" ht="17.25" customHeight="1" s="322">
      <c r="A448" s="27" t="n"/>
      <c r="B448" s="506" t="n"/>
      <c r="C448" s="141" t="n"/>
      <c r="D448" s="141" t="n"/>
      <c r="E448" s="141" t="n"/>
      <c r="F448" s="141" t="n"/>
      <c r="G448" s="143" t="n"/>
      <c r="H448" s="27" t="n"/>
    </row>
    <row r="449" ht="17.25" customHeight="1" s="322">
      <c r="A449" s="27" t="n"/>
      <c r="B449" s="506" t="n"/>
      <c r="C449" s="141" t="n"/>
      <c r="D449" s="141" t="n"/>
      <c r="E449" s="141" t="n"/>
      <c r="F449" s="141" t="n"/>
      <c r="G449" s="143" t="n"/>
      <c r="H449" s="27" t="n"/>
    </row>
    <row r="450" ht="17.25" customHeight="1" s="322">
      <c r="A450" s="27" t="n"/>
      <c r="B450" s="506" t="n"/>
      <c r="C450" s="141" t="n"/>
      <c r="D450" s="141" t="n"/>
      <c r="E450" s="141" t="n"/>
      <c r="F450" s="141" t="n"/>
      <c r="G450" s="143" t="n"/>
      <c r="H450" s="27" t="n"/>
    </row>
    <row r="451" ht="17.25" customHeight="1" s="322">
      <c r="A451" s="27" t="n"/>
      <c r="B451" s="506" t="n"/>
      <c r="C451" s="141" t="n"/>
      <c r="D451" s="141" t="n"/>
      <c r="E451" s="141" t="n"/>
      <c r="F451" s="141" t="n"/>
      <c r="G451" s="143" t="n"/>
      <c r="H451" s="27" t="n"/>
    </row>
    <row r="452" ht="17.25" customHeight="1" s="322">
      <c r="A452" s="27" t="n"/>
      <c r="B452" s="506" t="n"/>
      <c r="C452" s="141" t="n"/>
      <c r="D452" s="141" t="n"/>
      <c r="E452" s="141" t="n"/>
      <c r="F452" s="141" t="n"/>
      <c r="G452" s="143" t="n"/>
      <c r="H452" s="27" t="n"/>
    </row>
    <row r="453" ht="17.25" customHeight="1" s="322">
      <c r="A453" s="27" t="n"/>
      <c r="B453" s="506" t="n"/>
      <c r="C453" s="141" t="n"/>
      <c r="D453" s="141" t="n"/>
      <c r="E453" s="141" t="n"/>
      <c r="F453" s="141" t="n"/>
      <c r="G453" s="143" t="n"/>
      <c r="H453" s="27" t="n"/>
    </row>
    <row r="454" ht="17.25" customHeight="1" s="322">
      <c r="A454" s="27" t="n"/>
      <c r="B454" s="506" t="n"/>
      <c r="C454" s="141" t="n"/>
      <c r="D454" s="141" t="n"/>
      <c r="E454" s="141" t="n"/>
      <c r="F454" s="141" t="n"/>
      <c r="G454" s="143" t="n"/>
      <c r="H454" s="27" t="n"/>
    </row>
    <row r="455" ht="17.25" customHeight="1" s="322">
      <c r="A455" s="27" t="n"/>
      <c r="B455" s="506" t="n"/>
      <c r="C455" s="141" t="n"/>
      <c r="D455" s="141" t="n"/>
      <c r="E455" s="141" t="n"/>
      <c r="F455" s="141" t="n"/>
      <c r="G455" s="143" t="n"/>
      <c r="H455" s="27" t="n"/>
    </row>
    <row r="456" ht="17.25" customHeight="1" s="322">
      <c r="A456" s="27" t="n"/>
      <c r="B456" s="506" t="n"/>
      <c r="C456" s="141" t="n"/>
      <c r="D456" s="141" t="n"/>
      <c r="E456" s="141" t="n"/>
      <c r="F456" s="141" t="n"/>
      <c r="G456" s="143" t="n"/>
      <c r="H456" s="27" t="n"/>
    </row>
    <row r="457" ht="17.25" customHeight="1" s="322">
      <c r="A457" s="27" t="n"/>
      <c r="B457" s="506" t="n"/>
      <c r="C457" s="141" t="n"/>
      <c r="D457" s="141" t="n"/>
      <c r="E457" s="141" t="n"/>
      <c r="F457" s="141" t="n"/>
      <c r="G457" s="143" t="n"/>
      <c r="H457" s="27" t="n"/>
    </row>
    <row r="458" ht="17.25" customHeight="1" s="322">
      <c r="A458" s="27" t="n"/>
      <c r="B458" s="506" t="n"/>
      <c r="C458" s="141" t="n"/>
      <c r="D458" s="141" t="n"/>
      <c r="E458" s="141" t="n"/>
      <c r="F458" s="141" t="n"/>
      <c r="G458" s="143" t="n"/>
      <c r="H458" s="27" t="n"/>
    </row>
    <row r="459" ht="17.25" customHeight="1" s="322">
      <c r="A459" s="27" t="n"/>
      <c r="B459" s="506" t="n"/>
      <c r="C459" s="141" t="n"/>
      <c r="D459" s="141" t="n"/>
      <c r="E459" s="141" t="n"/>
      <c r="F459" s="141" t="n"/>
      <c r="G459" s="143" t="n"/>
      <c r="H459" s="27" t="n"/>
    </row>
    <row r="460" ht="17.25" customHeight="1" s="322">
      <c r="A460" s="27" t="n"/>
      <c r="B460" s="506" t="n"/>
      <c r="C460" s="141" t="n"/>
      <c r="D460" s="141" t="n"/>
      <c r="E460" s="141" t="n"/>
      <c r="F460" s="141" t="n"/>
      <c r="G460" s="143" t="n"/>
      <c r="H460" s="27" t="n"/>
    </row>
    <row r="461" ht="17.25" customHeight="1" s="322">
      <c r="A461" s="27" t="n"/>
      <c r="B461" s="506" t="n"/>
      <c r="C461" s="141" t="n"/>
      <c r="D461" s="141" t="n"/>
      <c r="E461" s="141" t="n"/>
      <c r="F461" s="141" t="n"/>
      <c r="G461" s="143" t="n"/>
      <c r="H461" s="27" t="n"/>
    </row>
    <row r="462" ht="17.25" customHeight="1" s="322">
      <c r="A462" s="27" t="n"/>
      <c r="B462" s="506" t="n"/>
      <c r="C462" s="141" t="n"/>
      <c r="D462" s="141" t="n"/>
      <c r="E462" s="141" t="n"/>
      <c r="F462" s="141" t="n"/>
      <c r="G462" s="143" t="n"/>
      <c r="H462" s="27" t="n"/>
    </row>
    <row r="463" ht="17.25" customHeight="1" s="322">
      <c r="A463" s="27" t="n"/>
      <c r="B463" s="506" t="n"/>
      <c r="C463" s="141" t="n"/>
      <c r="D463" s="141" t="n"/>
      <c r="E463" s="141" t="n"/>
      <c r="F463" s="141" t="n"/>
      <c r="G463" s="143" t="n"/>
      <c r="H463" s="27" t="n"/>
    </row>
    <row r="464" ht="17.25" customHeight="1" s="322">
      <c r="A464" s="27" t="n"/>
      <c r="B464" s="506" t="n"/>
      <c r="C464" s="141" t="n"/>
      <c r="D464" s="141" t="n"/>
      <c r="E464" s="141" t="n"/>
      <c r="F464" s="141" t="n"/>
      <c r="G464" s="143" t="n"/>
      <c r="H464" s="27" t="n"/>
    </row>
    <row r="465" ht="17.25" customHeight="1" s="322">
      <c r="A465" s="27" t="n"/>
      <c r="B465" s="506" t="n"/>
      <c r="C465" s="141" t="n"/>
      <c r="D465" s="141" t="n"/>
      <c r="E465" s="141" t="n"/>
      <c r="F465" s="141" t="n"/>
      <c r="G465" s="143" t="n"/>
      <c r="H465" s="27" t="n"/>
    </row>
    <row r="466" ht="17.25" customHeight="1" s="322">
      <c r="A466" s="27" t="n"/>
      <c r="B466" s="506" t="n"/>
      <c r="C466" s="141" t="n"/>
      <c r="D466" s="141" t="n"/>
      <c r="E466" s="141" t="n"/>
      <c r="F466" s="141" t="n"/>
      <c r="G466" s="143" t="n"/>
      <c r="H466" s="27" t="n"/>
    </row>
    <row r="467" ht="17.25" customHeight="1" s="322">
      <c r="A467" s="27" t="n"/>
      <c r="B467" s="506" t="n"/>
      <c r="C467" s="141" t="n"/>
      <c r="D467" s="141" t="n"/>
      <c r="E467" s="141" t="n"/>
      <c r="F467" s="141" t="n"/>
      <c r="G467" s="143" t="n"/>
      <c r="H467" s="27" t="n"/>
    </row>
    <row r="468" ht="17.25" customHeight="1" s="322">
      <c r="A468" s="27" t="n"/>
      <c r="B468" s="506" t="n"/>
      <c r="C468" s="141" t="n"/>
      <c r="D468" s="141" t="n"/>
      <c r="E468" s="141" t="n"/>
      <c r="F468" s="141" t="n"/>
      <c r="G468" s="143" t="n"/>
      <c r="H468" s="27" t="n"/>
    </row>
    <row r="469" ht="17.25" customHeight="1" s="322">
      <c r="A469" s="27" t="n"/>
      <c r="B469" s="506" t="n"/>
      <c r="C469" s="141" t="n"/>
      <c r="D469" s="141" t="n"/>
      <c r="E469" s="141" t="n"/>
      <c r="F469" s="141" t="n"/>
      <c r="G469" s="143" t="n"/>
      <c r="H469" s="27" t="n"/>
    </row>
    <row r="470" ht="17.25" customHeight="1" s="322">
      <c r="A470" s="27" t="n"/>
      <c r="B470" s="506" t="n"/>
      <c r="C470" s="141" t="n"/>
      <c r="D470" s="141" t="n"/>
      <c r="E470" s="141" t="n"/>
      <c r="F470" s="141" t="n"/>
      <c r="G470" s="143" t="n"/>
      <c r="H470" s="27" t="n"/>
    </row>
    <row r="471" ht="17.25" customHeight="1" s="322">
      <c r="A471" s="27" t="n"/>
      <c r="B471" s="506" t="n"/>
      <c r="C471" s="141" t="n"/>
      <c r="D471" s="141" t="n"/>
      <c r="E471" s="141" t="n"/>
      <c r="F471" s="141" t="n"/>
      <c r="G471" s="143" t="n"/>
      <c r="H471" s="27" t="n"/>
    </row>
    <row r="472" ht="17.25" customHeight="1" s="322">
      <c r="A472" s="27" t="n"/>
      <c r="B472" s="506" t="n"/>
      <c r="C472" s="141" t="n"/>
      <c r="D472" s="141" t="n"/>
      <c r="E472" s="141" t="n"/>
      <c r="F472" s="141" t="n"/>
      <c r="G472" s="143" t="n"/>
      <c r="H472" s="27" t="n"/>
    </row>
    <row r="473" ht="17.25" customHeight="1" s="322">
      <c r="A473" s="27" t="n"/>
      <c r="B473" s="506" t="n"/>
      <c r="C473" s="141" t="n"/>
      <c r="D473" s="141" t="n"/>
      <c r="E473" s="141" t="n"/>
      <c r="F473" s="141" t="n"/>
      <c r="G473" s="143" t="n"/>
      <c r="H473" s="27" t="n"/>
    </row>
    <row r="474" ht="17.25" customHeight="1" s="322">
      <c r="A474" s="27" t="n"/>
      <c r="B474" s="506" t="n"/>
      <c r="C474" s="141" t="n"/>
      <c r="D474" s="141" t="n"/>
      <c r="E474" s="141" t="n"/>
      <c r="F474" s="141" t="n"/>
      <c r="G474" s="143" t="n"/>
      <c r="H474" s="27" t="n"/>
    </row>
    <row r="475" ht="17.25" customHeight="1" s="322">
      <c r="A475" s="27" t="n"/>
      <c r="B475" s="506" t="n"/>
      <c r="C475" s="141" t="n"/>
      <c r="D475" s="141" t="n"/>
      <c r="E475" s="141" t="n"/>
      <c r="F475" s="141" t="n"/>
      <c r="G475" s="143" t="n"/>
      <c r="H475" s="27" t="n"/>
    </row>
    <row r="476" ht="17.25" customHeight="1" s="322">
      <c r="A476" s="27" t="n"/>
      <c r="B476" s="506" t="n"/>
      <c r="C476" s="141" t="n"/>
      <c r="D476" s="141" t="n"/>
      <c r="E476" s="141" t="n"/>
      <c r="F476" s="141" t="n"/>
      <c r="G476" s="143" t="n"/>
      <c r="H476" s="27" t="n"/>
    </row>
    <row r="477" ht="17.25" customHeight="1" s="322">
      <c r="A477" s="27" t="n"/>
      <c r="B477" s="506" t="n"/>
      <c r="C477" s="141" t="n"/>
      <c r="D477" s="141" t="n"/>
      <c r="E477" s="141" t="n"/>
      <c r="F477" s="141" t="n"/>
      <c r="G477" s="143" t="n"/>
      <c r="H477" s="27" t="n"/>
    </row>
    <row r="478" ht="17.25" customHeight="1" s="322">
      <c r="A478" s="27" t="n"/>
      <c r="B478" s="506" t="n"/>
      <c r="C478" s="141" t="n"/>
      <c r="D478" s="141" t="n"/>
      <c r="E478" s="141" t="n"/>
      <c r="F478" s="141" t="n"/>
      <c r="G478" s="143" t="n"/>
      <c r="H478" s="27" t="n"/>
    </row>
    <row r="479" ht="17.25" customHeight="1" s="322">
      <c r="A479" s="27" t="n"/>
      <c r="B479" s="506" t="n"/>
      <c r="C479" s="141" t="n"/>
      <c r="D479" s="141" t="n"/>
      <c r="E479" s="141" t="n"/>
      <c r="F479" s="141" t="n"/>
      <c r="G479" s="143" t="n"/>
      <c r="H479" s="27" t="n"/>
    </row>
    <row r="480" ht="17.25" customHeight="1" s="322">
      <c r="A480" s="27" t="n"/>
      <c r="B480" s="506" t="n"/>
      <c r="C480" s="141" t="n"/>
      <c r="D480" s="141" t="n"/>
      <c r="E480" s="141" t="n"/>
      <c r="F480" s="141" t="n"/>
      <c r="G480" s="143" t="n"/>
      <c r="H480" s="27" t="n"/>
    </row>
    <row r="481" ht="17.25" customHeight="1" s="322">
      <c r="A481" s="27" t="n"/>
      <c r="B481" s="506" t="n"/>
      <c r="C481" s="141" t="n"/>
      <c r="D481" s="141" t="n"/>
      <c r="E481" s="141" t="n"/>
      <c r="F481" s="141" t="n"/>
      <c r="G481" s="143" t="n"/>
      <c r="H481" s="27" t="n"/>
    </row>
    <row r="482" ht="17.25" customHeight="1" s="322">
      <c r="A482" s="27" t="n"/>
      <c r="B482" s="506" t="n"/>
      <c r="C482" s="141" t="n"/>
      <c r="D482" s="141" t="n"/>
      <c r="E482" s="141" t="n"/>
      <c r="F482" s="141" t="n"/>
      <c r="G482" s="143" t="n"/>
      <c r="H482" s="27" t="n"/>
    </row>
    <row r="483" ht="17.25" customHeight="1" s="322">
      <c r="A483" s="27" t="n"/>
      <c r="B483" s="506" t="n"/>
      <c r="C483" s="141" t="n"/>
      <c r="D483" s="141" t="n"/>
      <c r="E483" s="141" t="n"/>
      <c r="F483" s="141" t="n"/>
      <c r="G483" s="143" t="n"/>
      <c r="H483" s="27" t="n"/>
    </row>
    <row r="484" ht="17.25" customHeight="1" s="322">
      <c r="A484" s="27" t="n"/>
      <c r="B484" s="506" t="n"/>
      <c r="C484" s="141" t="n"/>
      <c r="D484" s="141" t="n"/>
      <c r="E484" s="141" t="n"/>
      <c r="F484" s="141" t="n"/>
      <c r="G484" s="143" t="n"/>
      <c r="H484" s="27" t="n"/>
    </row>
    <row r="485" ht="17.25" customHeight="1" s="322">
      <c r="A485" s="27" t="n"/>
      <c r="B485" s="506" t="n"/>
      <c r="C485" s="141" t="n"/>
      <c r="D485" s="141" t="n"/>
      <c r="E485" s="141" t="n"/>
      <c r="F485" s="141" t="n"/>
      <c r="G485" s="143" t="n"/>
      <c r="H485" s="27" t="n"/>
    </row>
    <row r="486" ht="17.25" customHeight="1" s="322">
      <c r="A486" s="27" t="n"/>
      <c r="B486" s="506" t="n"/>
      <c r="C486" s="141" t="n"/>
      <c r="D486" s="141" t="n"/>
      <c r="E486" s="141" t="n"/>
      <c r="F486" s="141" t="n"/>
      <c r="G486" s="143" t="n"/>
      <c r="H486" s="27" t="n"/>
    </row>
    <row r="487" ht="17.25" customHeight="1" s="322">
      <c r="A487" s="27" t="n"/>
      <c r="B487" s="506" t="n"/>
      <c r="C487" s="141" t="n"/>
      <c r="D487" s="141" t="n"/>
      <c r="E487" s="141" t="n"/>
      <c r="F487" s="141" t="n"/>
      <c r="G487" s="143" t="n"/>
      <c r="H487" s="27" t="n"/>
    </row>
    <row r="488" ht="17.25" customHeight="1" s="322">
      <c r="A488" s="27" t="n"/>
      <c r="B488" s="506" t="n"/>
      <c r="C488" s="141" t="n"/>
      <c r="D488" s="141" t="n"/>
      <c r="E488" s="141" t="n"/>
      <c r="F488" s="141" t="n"/>
      <c r="G488" s="143" t="n"/>
      <c r="H488" s="27" t="n"/>
    </row>
    <row r="489" ht="17.25" customHeight="1" s="322">
      <c r="A489" s="27" t="n"/>
      <c r="B489" s="506" t="n"/>
      <c r="C489" s="141" t="n"/>
      <c r="D489" s="141" t="n"/>
      <c r="E489" s="141" t="n"/>
      <c r="F489" s="141" t="n"/>
      <c r="G489" s="143" t="n"/>
      <c r="H489" s="27" t="n"/>
    </row>
    <row r="490" ht="17.25" customHeight="1" s="322">
      <c r="A490" s="27" t="n"/>
      <c r="B490" s="506" t="n"/>
      <c r="C490" s="141" t="n"/>
      <c r="D490" s="141" t="n"/>
      <c r="E490" s="141" t="n"/>
      <c r="F490" s="141" t="n"/>
      <c r="G490" s="143" t="n"/>
      <c r="H490" s="27" t="n"/>
    </row>
    <row r="491" ht="17.25" customHeight="1" s="322">
      <c r="A491" s="27" t="n"/>
      <c r="B491" s="506" t="n"/>
      <c r="C491" s="141" t="n"/>
      <c r="D491" s="141" t="n"/>
      <c r="E491" s="141" t="n"/>
      <c r="F491" s="141" t="n"/>
      <c r="G491" s="143" t="n"/>
      <c r="H491" s="27" t="n"/>
    </row>
    <row r="492" ht="17.25" customHeight="1" s="322">
      <c r="A492" s="27" t="n"/>
      <c r="B492" s="506" t="n"/>
      <c r="C492" s="141" t="n"/>
      <c r="D492" s="141" t="n"/>
      <c r="E492" s="141" t="n"/>
      <c r="F492" s="141" t="n"/>
      <c r="G492" s="143" t="n"/>
      <c r="H492" s="27" t="n"/>
    </row>
    <row r="493" ht="17.25" customHeight="1" s="322">
      <c r="A493" s="27" t="n"/>
      <c r="B493" s="506" t="n"/>
      <c r="C493" s="141" t="n"/>
      <c r="D493" s="141" t="n"/>
      <c r="E493" s="141" t="n"/>
      <c r="F493" s="141" t="n"/>
      <c r="G493" s="143" t="n"/>
      <c r="H493" s="27" t="n"/>
    </row>
    <row r="494" ht="17.25" customHeight="1" s="322">
      <c r="A494" s="27" t="n"/>
      <c r="B494" s="506" t="n"/>
      <c r="C494" s="141" t="n"/>
      <c r="D494" s="141" t="n"/>
      <c r="E494" s="141" t="n"/>
      <c r="F494" s="141" t="n"/>
      <c r="G494" s="143" t="n"/>
      <c r="H494" s="27" t="n"/>
    </row>
    <row r="495" ht="17.25" customHeight="1" s="322">
      <c r="A495" s="27" t="n"/>
      <c r="B495" s="506" t="n"/>
      <c r="C495" s="141" t="n"/>
      <c r="D495" s="141" t="n"/>
      <c r="E495" s="141" t="n"/>
      <c r="F495" s="141" t="n"/>
      <c r="G495" s="143" t="n"/>
      <c r="H495" s="27" t="n"/>
    </row>
    <row r="496" ht="17.25" customHeight="1" s="322">
      <c r="A496" s="27" t="n"/>
      <c r="B496" s="506" t="n"/>
      <c r="C496" s="141" t="n"/>
      <c r="D496" s="141" t="n"/>
      <c r="E496" s="141" t="n"/>
      <c r="F496" s="141" t="n"/>
      <c r="G496" s="143" t="n"/>
      <c r="H496" s="27" t="n"/>
    </row>
    <row r="497" ht="17.25" customHeight="1" s="322">
      <c r="A497" s="27" t="n"/>
      <c r="B497" s="506" t="n"/>
      <c r="C497" s="141" t="n"/>
      <c r="D497" s="141" t="n"/>
      <c r="E497" s="141" t="n"/>
      <c r="F497" s="141" t="n"/>
      <c r="G497" s="143" t="n"/>
      <c r="H497" s="27" t="n"/>
    </row>
    <row r="498" ht="17.25" customHeight="1" s="322">
      <c r="A498" s="27" t="n"/>
      <c r="B498" s="506" t="n"/>
      <c r="C498" s="141" t="n"/>
      <c r="D498" s="141" t="n"/>
      <c r="E498" s="141" t="n"/>
      <c r="F498" s="141" t="n"/>
      <c r="G498" s="143" t="n"/>
      <c r="H498" s="27" t="n"/>
    </row>
    <row r="499" ht="17.25" customHeight="1" s="322">
      <c r="A499" s="27" t="n"/>
      <c r="B499" s="506" t="n"/>
      <c r="C499" s="141" t="n"/>
      <c r="D499" s="141" t="n"/>
      <c r="E499" s="141" t="n"/>
      <c r="F499" s="141" t="n"/>
      <c r="G499" s="143" t="n"/>
      <c r="H499" s="27" t="n"/>
    </row>
    <row r="500" ht="17.25" customHeight="1" s="322">
      <c r="A500" s="27" t="n"/>
      <c r="B500" s="506" t="n"/>
      <c r="C500" s="141" t="n"/>
      <c r="D500" s="141" t="n"/>
      <c r="E500" s="141" t="n"/>
      <c r="F500" s="141" t="n"/>
      <c r="G500" s="143" t="n"/>
      <c r="H500" s="27" t="n"/>
    </row>
    <row r="501" ht="17.25" customHeight="1" s="322">
      <c r="A501" s="27" t="n"/>
      <c r="B501" s="506" t="n"/>
      <c r="C501" s="141" t="n"/>
      <c r="D501" s="141" t="n"/>
      <c r="E501" s="141" t="n"/>
      <c r="F501" s="141" t="n"/>
      <c r="G501" s="143" t="n"/>
      <c r="H501" s="27" t="n"/>
    </row>
    <row r="502" ht="17.25" customHeight="1" s="322">
      <c r="A502" s="27" t="n"/>
      <c r="B502" s="506" t="n"/>
      <c r="C502" s="141" t="n"/>
      <c r="D502" s="141" t="n"/>
      <c r="E502" s="141" t="n"/>
      <c r="F502" s="141" t="n"/>
      <c r="G502" s="143" t="n"/>
      <c r="H502" s="27" t="n"/>
    </row>
    <row r="503" ht="17.25" customHeight="1" s="322">
      <c r="A503" s="27" t="n"/>
      <c r="B503" s="506" t="n"/>
      <c r="C503" s="141" t="n"/>
      <c r="D503" s="141" t="n"/>
      <c r="E503" s="141" t="n"/>
      <c r="F503" s="141" t="n"/>
      <c r="G503" s="143" t="n"/>
      <c r="H503" s="27" t="n"/>
    </row>
    <row r="504" ht="17.25" customHeight="1" s="322">
      <c r="A504" s="27" t="n"/>
      <c r="B504" s="506" t="n"/>
      <c r="C504" s="141" t="n"/>
      <c r="D504" s="141" t="n"/>
      <c r="E504" s="141" t="n"/>
      <c r="F504" s="141" t="n"/>
      <c r="G504" s="143" t="n"/>
      <c r="H504" s="27" t="n"/>
    </row>
    <row r="505" ht="17.25" customHeight="1" s="322">
      <c r="A505" s="27" t="n"/>
      <c r="B505" s="506" t="n"/>
      <c r="C505" s="141" t="n"/>
      <c r="D505" s="141" t="n"/>
      <c r="E505" s="141" t="n"/>
      <c r="F505" s="141" t="n"/>
      <c r="G505" s="143" t="n"/>
      <c r="H505" s="27" t="n"/>
    </row>
    <row r="506" ht="17.25" customHeight="1" s="322">
      <c r="A506" s="27" t="n"/>
      <c r="B506" s="506" t="n"/>
      <c r="C506" s="141" t="n"/>
      <c r="D506" s="141" t="n"/>
      <c r="E506" s="141" t="n"/>
      <c r="F506" s="141" t="n"/>
      <c r="G506" s="143" t="n"/>
      <c r="H506" s="27" t="n"/>
    </row>
    <row r="507" ht="17.25" customHeight="1" s="322">
      <c r="A507" s="27" t="n"/>
      <c r="B507" s="506" t="n"/>
      <c r="C507" s="141" t="n"/>
      <c r="D507" s="141" t="n"/>
      <c r="E507" s="141" t="n"/>
      <c r="F507" s="141" t="n"/>
      <c r="G507" s="143" t="n"/>
      <c r="H507" s="27" t="n"/>
    </row>
    <row r="508" ht="17.25" customHeight="1" s="322">
      <c r="A508" s="27" t="n"/>
      <c r="B508" s="506" t="n"/>
      <c r="C508" s="141" t="n"/>
      <c r="D508" s="141" t="n"/>
      <c r="E508" s="141" t="n"/>
      <c r="F508" s="141" t="n"/>
      <c r="G508" s="143" t="n"/>
      <c r="H508" s="27" t="n"/>
    </row>
    <row r="509" ht="17.25" customHeight="1" s="322">
      <c r="A509" s="27" t="n"/>
      <c r="B509" s="506" t="n"/>
      <c r="C509" s="141" t="n"/>
      <c r="D509" s="141" t="n"/>
      <c r="E509" s="141" t="n"/>
      <c r="F509" s="141" t="n"/>
      <c r="G509" s="143" t="n"/>
      <c r="H509" s="27" t="n"/>
    </row>
    <row r="510" ht="17.25" customHeight="1" s="322">
      <c r="A510" s="27" t="n"/>
      <c r="B510" s="506" t="n"/>
      <c r="C510" s="141" t="n"/>
      <c r="D510" s="141" t="n"/>
      <c r="E510" s="141" t="n"/>
      <c r="F510" s="141" t="n"/>
      <c r="G510" s="143" t="n"/>
      <c r="H510" s="27" t="n"/>
    </row>
    <row r="511" ht="17.25" customHeight="1" s="322">
      <c r="A511" s="27" t="n"/>
      <c r="B511" s="506" t="n"/>
      <c r="C511" s="141" t="n"/>
      <c r="D511" s="141" t="n"/>
      <c r="E511" s="141" t="n"/>
      <c r="F511" s="141" t="n"/>
      <c r="G511" s="143" t="n"/>
      <c r="H511" s="27" t="n"/>
    </row>
    <row r="512" ht="17.25" customHeight="1" s="322">
      <c r="A512" s="27" t="n"/>
      <c r="B512" s="506" t="n"/>
      <c r="C512" s="141" t="n"/>
      <c r="D512" s="141" t="n"/>
      <c r="E512" s="141" t="n"/>
      <c r="F512" s="141" t="n"/>
      <c r="G512" s="143" t="n"/>
      <c r="H512" s="27" t="n"/>
    </row>
    <row r="513" ht="17.25" customHeight="1" s="322">
      <c r="A513" s="27" t="n"/>
      <c r="B513" s="506" t="n"/>
      <c r="C513" s="141" t="n"/>
      <c r="D513" s="141" t="n"/>
      <c r="E513" s="141" t="n"/>
      <c r="F513" s="141" t="n"/>
      <c r="G513" s="143" t="n"/>
      <c r="H513" s="27" t="n"/>
    </row>
    <row r="514" ht="17.25" customHeight="1" s="322">
      <c r="A514" s="27" t="n"/>
      <c r="B514" s="506" t="n"/>
      <c r="C514" s="141" t="n"/>
      <c r="D514" s="141" t="n"/>
      <c r="E514" s="141" t="n"/>
      <c r="F514" s="141" t="n"/>
      <c r="G514" s="143" t="n"/>
      <c r="H514" s="27" t="n"/>
    </row>
    <row r="515" ht="17.25" customHeight="1" s="322">
      <c r="A515" s="27" t="n"/>
      <c r="B515" s="506" t="n"/>
      <c r="C515" s="141" t="n"/>
      <c r="D515" s="141" t="n"/>
      <c r="E515" s="141" t="n"/>
      <c r="F515" s="141" t="n"/>
      <c r="G515" s="143" t="n"/>
      <c r="H515" s="27" t="n"/>
    </row>
    <row r="516" ht="17.25" customHeight="1" s="322">
      <c r="A516" s="27" t="n"/>
      <c r="B516" s="506" t="n"/>
      <c r="C516" s="141" t="n"/>
      <c r="D516" s="141" t="n"/>
      <c r="E516" s="141" t="n"/>
      <c r="F516" s="141" t="n"/>
      <c r="G516" s="143" t="n"/>
      <c r="H516" s="27" t="n"/>
    </row>
    <row r="517" ht="17.25" customHeight="1" s="322">
      <c r="A517" s="27" t="n"/>
      <c r="B517" s="506" t="n"/>
      <c r="C517" s="141" t="n"/>
      <c r="D517" s="141" t="n"/>
      <c r="E517" s="141" t="n"/>
      <c r="F517" s="141" t="n"/>
      <c r="G517" s="143" t="n"/>
      <c r="H517" s="27" t="n"/>
    </row>
    <row r="518" ht="17.25" customHeight="1" s="322">
      <c r="A518" s="27" t="n"/>
      <c r="B518" s="506" t="n"/>
      <c r="C518" s="141" t="n"/>
      <c r="D518" s="141" t="n"/>
      <c r="E518" s="141" t="n"/>
      <c r="F518" s="141" t="n"/>
      <c r="G518" s="143" t="n"/>
      <c r="H518" s="27" t="n"/>
    </row>
    <row r="519" ht="17.25" customHeight="1" s="322">
      <c r="A519" s="27" t="n"/>
      <c r="B519" s="506" t="n"/>
      <c r="C519" s="141" t="n"/>
      <c r="D519" s="141" t="n"/>
      <c r="E519" s="141" t="n"/>
      <c r="F519" s="141" t="n"/>
      <c r="G519" s="143" t="n"/>
      <c r="H519" s="27" t="n"/>
    </row>
    <row r="520" ht="17.25" customHeight="1" s="322">
      <c r="A520" s="27" t="n"/>
      <c r="B520" s="506" t="n"/>
      <c r="C520" s="141" t="n"/>
      <c r="D520" s="141" t="n"/>
      <c r="E520" s="141" t="n"/>
      <c r="F520" s="141" t="n"/>
      <c r="G520" s="143" t="n"/>
      <c r="H520" s="27" t="n"/>
    </row>
    <row r="521" ht="17.25" customHeight="1" s="322">
      <c r="A521" s="27" t="n"/>
      <c r="B521" s="506" t="n"/>
      <c r="C521" s="141" t="n"/>
      <c r="D521" s="141" t="n"/>
      <c r="E521" s="141" t="n"/>
      <c r="F521" s="141" t="n"/>
      <c r="G521" s="143" t="n"/>
      <c r="H521" s="27" t="n"/>
    </row>
    <row r="522" ht="17.25" customHeight="1" s="322">
      <c r="A522" s="27" t="n"/>
      <c r="B522" s="506" t="n"/>
      <c r="C522" s="141" t="n"/>
      <c r="D522" s="141" t="n"/>
      <c r="E522" s="141" t="n"/>
      <c r="F522" s="141" t="n"/>
      <c r="G522" s="143" t="n"/>
      <c r="H522" s="27" t="n"/>
    </row>
    <row r="523" ht="17.25" customHeight="1" s="322">
      <c r="A523" s="27" t="n"/>
      <c r="B523" s="506" t="n"/>
      <c r="C523" s="141" t="n"/>
      <c r="D523" s="141" t="n"/>
      <c r="E523" s="141" t="n"/>
      <c r="F523" s="141" t="n"/>
      <c r="G523" s="143" t="n"/>
      <c r="H523" s="27" t="n"/>
    </row>
    <row r="524" ht="17.25" customHeight="1" s="322">
      <c r="A524" s="27" t="n"/>
      <c r="B524" s="506" t="n"/>
      <c r="C524" s="141" t="n"/>
      <c r="D524" s="141" t="n"/>
      <c r="E524" s="141" t="n"/>
      <c r="F524" s="141" t="n"/>
      <c r="G524" s="143" t="n"/>
      <c r="H524" s="27" t="n"/>
    </row>
    <row r="525" ht="17.25" customHeight="1" s="322">
      <c r="A525" s="27" t="n"/>
      <c r="B525" s="506" t="n"/>
      <c r="C525" s="141" t="n"/>
      <c r="D525" s="141" t="n"/>
      <c r="E525" s="141" t="n"/>
      <c r="F525" s="141" t="n"/>
      <c r="G525" s="143" t="n"/>
      <c r="H525" s="27" t="n"/>
    </row>
    <row r="526" ht="17.25" customHeight="1" s="322">
      <c r="A526" s="27" t="n"/>
      <c r="B526" s="506" t="n"/>
      <c r="C526" s="141" t="n"/>
      <c r="D526" s="141" t="n"/>
      <c r="E526" s="141" t="n"/>
      <c r="F526" s="141" t="n"/>
      <c r="G526" s="143" t="n"/>
      <c r="H526" s="27" t="n"/>
    </row>
    <row r="527" ht="17.25" customHeight="1" s="322">
      <c r="A527" s="27" t="n"/>
      <c r="B527" s="506" t="n"/>
      <c r="C527" s="141" t="n"/>
      <c r="D527" s="141" t="n"/>
      <c r="E527" s="141" t="n"/>
      <c r="F527" s="141" t="n"/>
      <c r="G527" s="143" t="n"/>
      <c r="H527" s="27" t="n"/>
    </row>
    <row r="528" ht="17.25" customHeight="1" s="322">
      <c r="A528" s="27" t="n"/>
      <c r="B528" s="506" t="n"/>
      <c r="C528" s="141" t="n"/>
      <c r="D528" s="141" t="n"/>
      <c r="E528" s="141" t="n"/>
      <c r="F528" s="141" t="n"/>
      <c r="G528" s="143" t="n"/>
      <c r="H528" s="27" t="n"/>
    </row>
    <row r="529" ht="17.25" customHeight="1" s="322">
      <c r="A529" s="27" t="n"/>
      <c r="B529" s="506" t="n"/>
      <c r="C529" s="141" t="n"/>
      <c r="D529" s="141" t="n"/>
      <c r="E529" s="141" t="n"/>
      <c r="F529" s="141" t="n"/>
      <c r="G529" s="143" t="n"/>
      <c r="H529" s="27" t="n"/>
    </row>
    <row r="530" ht="17.25" customHeight="1" s="322">
      <c r="A530" s="27" t="n"/>
      <c r="B530" s="506" t="n"/>
      <c r="C530" s="141" t="n"/>
      <c r="D530" s="141" t="n"/>
      <c r="E530" s="141" t="n"/>
      <c r="F530" s="141" t="n"/>
      <c r="G530" s="143" t="n"/>
      <c r="H530" s="27" t="n"/>
    </row>
    <row r="531" ht="17.25" customHeight="1" s="322">
      <c r="A531" s="27" t="n"/>
      <c r="B531" s="506" t="n"/>
      <c r="C531" s="141" t="n"/>
      <c r="D531" s="141" t="n"/>
      <c r="E531" s="141" t="n"/>
      <c r="F531" s="141" t="n"/>
      <c r="G531" s="143" t="n"/>
      <c r="H531" s="27" t="n"/>
    </row>
    <row r="532" ht="17.25" customHeight="1" s="322">
      <c r="A532" s="27" t="n"/>
      <c r="B532" s="506" t="n"/>
      <c r="C532" s="141" t="n"/>
      <c r="D532" s="141" t="n"/>
      <c r="E532" s="141" t="n"/>
      <c r="F532" s="141" t="n"/>
      <c r="G532" s="143" t="n"/>
      <c r="H532" s="27" t="n"/>
    </row>
    <row r="533" ht="17.25" customHeight="1" s="322">
      <c r="A533" s="27" t="n"/>
      <c r="B533" s="506" t="n"/>
      <c r="C533" s="141" t="n"/>
      <c r="D533" s="141" t="n"/>
      <c r="E533" s="141" t="n"/>
      <c r="F533" s="141" t="n"/>
      <c r="G533" s="143" t="n"/>
      <c r="H533" s="27" t="n"/>
    </row>
    <row r="534" ht="17.25" customHeight="1" s="322">
      <c r="A534" s="27" t="n"/>
      <c r="B534" s="506" t="n"/>
      <c r="C534" s="141" t="n"/>
      <c r="D534" s="141" t="n"/>
      <c r="E534" s="141" t="n"/>
      <c r="F534" s="141" t="n"/>
      <c r="G534" s="143" t="n"/>
      <c r="H534" s="27" t="n"/>
    </row>
    <row r="535" ht="17.25" customHeight="1" s="322">
      <c r="A535" s="27" t="n"/>
      <c r="B535" s="506" t="n"/>
      <c r="C535" s="141" t="n"/>
      <c r="D535" s="141" t="n"/>
      <c r="E535" s="141" t="n"/>
      <c r="F535" s="141" t="n"/>
      <c r="G535" s="143" t="n"/>
      <c r="H535" s="27" t="n"/>
    </row>
    <row r="536" ht="17.25" customHeight="1" s="322">
      <c r="A536" s="27" t="n"/>
      <c r="B536" s="506" t="n"/>
      <c r="C536" s="141" t="n"/>
      <c r="D536" s="141" t="n"/>
      <c r="E536" s="141" t="n"/>
      <c r="F536" s="141" t="n"/>
      <c r="G536" s="143" t="n"/>
      <c r="H536" s="27" t="n"/>
    </row>
    <row r="537" ht="17.25" customHeight="1" s="322">
      <c r="A537" s="27" t="n"/>
      <c r="B537" s="506" t="n"/>
      <c r="C537" s="141" t="n"/>
      <c r="D537" s="141" t="n"/>
      <c r="E537" s="141" t="n"/>
      <c r="F537" s="141" t="n"/>
      <c r="G537" s="143" t="n"/>
      <c r="H537" s="27" t="n"/>
    </row>
    <row r="538" ht="17.25" customHeight="1" s="322">
      <c r="A538" s="27" t="n"/>
      <c r="B538" s="506" t="n"/>
      <c r="C538" s="141" t="n"/>
      <c r="D538" s="141" t="n"/>
      <c r="E538" s="141" t="n"/>
      <c r="F538" s="141" t="n"/>
      <c r="G538" s="143" t="n"/>
      <c r="H538" s="27" t="n"/>
    </row>
    <row r="539" ht="17.25" customHeight="1" s="322">
      <c r="A539" s="27" t="n"/>
      <c r="B539" s="506" t="n"/>
      <c r="C539" s="141" t="n"/>
      <c r="D539" s="141" t="n"/>
      <c r="E539" s="141" t="n"/>
      <c r="F539" s="141" t="n"/>
      <c r="G539" s="143" t="n"/>
      <c r="H539" s="27" t="n"/>
    </row>
    <row r="540" ht="17.25" customHeight="1" s="322">
      <c r="A540" s="27" t="n"/>
      <c r="B540" s="506" t="n"/>
      <c r="C540" s="141" t="n"/>
      <c r="D540" s="141" t="n"/>
      <c r="E540" s="141" t="n"/>
      <c r="F540" s="141" t="n"/>
      <c r="G540" s="143" t="n"/>
      <c r="H540" s="27" t="n"/>
    </row>
    <row r="541" ht="17.25" customHeight="1" s="322">
      <c r="A541" s="27" t="n"/>
      <c r="B541" s="506" t="n"/>
      <c r="C541" s="141" t="n"/>
      <c r="D541" s="141" t="n"/>
      <c r="E541" s="141" t="n"/>
      <c r="F541" s="141" t="n"/>
      <c r="G541" s="143" t="n"/>
      <c r="H541" s="27" t="n"/>
    </row>
    <row r="542" ht="17.25" customHeight="1" s="322">
      <c r="A542" s="27" t="n"/>
      <c r="B542" s="506" t="n"/>
      <c r="C542" s="141" t="n"/>
      <c r="D542" s="141" t="n"/>
      <c r="E542" s="141" t="n"/>
      <c r="F542" s="141" t="n"/>
      <c r="G542" s="143" t="n"/>
      <c r="H542" s="27" t="n"/>
    </row>
    <row r="543" ht="17.25" customHeight="1" s="322">
      <c r="A543" s="27" t="n"/>
      <c r="B543" s="506" t="n"/>
      <c r="C543" s="141" t="n"/>
      <c r="D543" s="141" t="n"/>
      <c r="E543" s="141" t="n"/>
      <c r="F543" s="141" t="n"/>
      <c r="G543" s="143" t="n"/>
      <c r="H543" s="27" t="n"/>
    </row>
    <row r="544" ht="17.25" customHeight="1" s="322">
      <c r="A544" s="27" t="n"/>
      <c r="B544" s="506" t="n"/>
      <c r="C544" s="141" t="n"/>
      <c r="D544" s="141" t="n"/>
      <c r="E544" s="141" t="n"/>
      <c r="F544" s="141" t="n"/>
      <c r="G544" s="143" t="n"/>
      <c r="H544" s="27" t="n"/>
    </row>
    <row r="545" ht="17.25" customHeight="1" s="322">
      <c r="A545" s="27" t="n"/>
      <c r="B545" s="506" t="n"/>
      <c r="C545" s="141" t="n"/>
      <c r="D545" s="141" t="n"/>
      <c r="E545" s="141" t="n"/>
      <c r="F545" s="141" t="n"/>
      <c r="G545" s="143" t="n"/>
      <c r="H545" s="27" t="n"/>
    </row>
    <row r="546" ht="17.25" customHeight="1" s="322">
      <c r="A546" s="27" t="n"/>
      <c r="B546" s="506" t="n"/>
      <c r="C546" s="141" t="n"/>
      <c r="D546" s="141" t="n"/>
      <c r="E546" s="141" t="n"/>
      <c r="F546" s="141" t="n"/>
      <c r="G546" s="143" t="n"/>
      <c r="H546" s="27" t="n"/>
    </row>
    <row r="547" ht="17.25" customHeight="1" s="322">
      <c r="A547" s="27" t="n"/>
      <c r="B547" s="506" t="n"/>
      <c r="C547" s="141" t="n"/>
      <c r="D547" s="141" t="n"/>
      <c r="E547" s="141" t="n"/>
      <c r="F547" s="141" t="n"/>
      <c r="G547" s="143" t="n"/>
      <c r="H547" s="27" t="n"/>
    </row>
    <row r="548" ht="17.25" customHeight="1" s="322">
      <c r="A548" s="27" t="n"/>
      <c r="B548" s="506" t="n"/>
      <c r="C548" s="141" t="n"/>
      <c r="D548" s="141" t="n"/>
      <c r="E548" s="141" t="n"/>
      <c r="F548" s="141" t="n"/>
      <c r="G548" s="143" t="n"/>
      <c r="H548" s="27" t="n"/>
    </row>
    <row r="549" ht="17.25" customHeight="1" s="322">
      <c r="A549" s="27" t="n"/>
      <c r="B549" s="506" t="n"/>
      <c r="C549" s="141" t="n"/>
      <c r="D549" s="141" t="n"/>
      <c r="E549" s="141" t="n"/>
      <c r="F549" s="141" t="n"/>
      <c r="G549" s="143" t="n"/>
      <c r="H549" s="27" t="n"/>
    </row>
    <row r="550" ht="17.25" customHeight="1" s="322">
      <c r="A550" s="27" t="n"/>
      <c r="B550" s="506" t="n"/>
      <c r="C550" s="141" t="n"/>
      <c r="D550" s="141" t="n"/>
      <c r="E550" s="141" t="n"/>
      <c r="F550" s="141" t="n"/>
      <c r="G550" s="143" t="n"/>
      <c r="H550" s="27" t="n"/>
    </row>
    <row r="551" ht="17.25" customHeight="1" s="322">
      <c r="A551" s="27" t="n"/>
      <c r="B551" s="506" t="n"/>
      <c r="C551" s="141" t="n"/>
      <c r="D551" s="141" t="n"/>
      <c r="E551" s="141" t="n"/>
      <c r="F551" s="141" t="n"/>
      <c r="G551" s="143" t="n"/>
      <c r="H551" s="27" t="n"/>
    </row>
    <row r="552" ht="17.25" customHeight="1" s="322">
      <c r="A552" s="27" t="n"/>
      <c r="B552" s="506" t="n"/>
      <c r="C552" s="141" t="n"/>
      <c r="D552" s="141" t="n"/>
      <c r="E552" s="141" t="n"/>
      <c r="F552" s="141" t="n"/>
      <c r="G552" s="143" t="n"/>
      <c r="H552" s="27" t="n"/>
    </row>
    <row r="553" ht="17.25" customHeight="1" s="322">
      <c r="A553" s="27" t="n"/>
      <c r="B553" s="506" t="n"/>
      <c r="C553" s="141" t="n"/>
      <c r="D553" s="141" t="n"/>
      <c r="E553" s="141" t="n"/>
      <c r="F553" s="141" t="n"/>
      <c r="G553" s="143" t="n"/>
      <c r="H553" s="27" t="n"/>
    </row>
    <row r="554" ht="17.25" customHeight="1" s="322">
      <c r="A554" s="27" t="n"/>
      <c r="B554" s="506" t="n"/>
      <c r="C554" s="141" t="n"/>
      <c r="D554" s="141" t="n"/>
      <c r="E554" s="141" t="n"/>
      <c r="F554" s="141" t="n"/>
      <c r="G554" s="143" t="n"/>
      <c r="H554" s="27" t="n"/>
    </row>
    <row r="555" ht="17.25" customHeight="1" s="322">
      <c r="A555" s="27" t="n"/>
      <c r="B555" s="506" t="n"/>
      <c r="C555" s="141" t="n"/>
      <c r="D555" s="141" t="n"/>
      <c r="E555" s="141" t="n"/>
      <c r="F555" s="141" t="n"/>
      <c r="G555" s="143" t="n"/>
      <c r="H555" s="27" t="n"/>
    </row>
    <row r="556" ht="17.25" customHeight="1" s="322">
      <c r="A556" s="27" t="n"/>
      <c r="B556" s="506" t="n"/>
      <c r="C556" s="141" t="n"/>
      <c r="D556" s="141" t="n"/>
      <c r="E556" s="141" t="n"/>
      <c r="F556" s="141" t="n"/>
      <c r="G556" s="143" t="n"/>
      <c r="H556" s="27" t="n"/>
    </row>
    <row r="557" ht="17.25" customHeight="1" s="322">
      <c r="A557" s="27" t="n"/>
      <c r="B557" s="506" t="n"/>
      <c r="C557" s="141" t="n"/>
      <c r="D557" s="141" t="n"/>
      <c r="E557" s="141" t="n"/>
      <c r="F557" s="141" t="n"/>
      <c r="G557" s="143" t="n"/>
      <c r="H557" s="27" t="n"/>
    </row>
    <row r="558" ht="17.25" customHeight="1" s="322">
      <c r="A558" s="27" t="n"/>
      <c r="B558" s="506" t="n"/>
      <c r="C558" s="141" t="n"/>
      <c r="D558" s="141" t="n"/>
      <c r="E558" s="141" t="n"/>
      <c r="F558" s="141" t="n"/>
      <c r="G558" s="143" t="n"/>
      <c r="H558" s="27" t="n"/>
    </row>
    <row r="559" ht="17.25" customHeight="1" s="322">
      <c r="A559" s="27" t="n"/>
      <c r="B559" s="506" t="n"/>
      <c r="C559" s="141" t="n"/>
      <c r="D559" s="141" t="n"/>
      <c r="E559" s="141" t="n"/>
      <c r="F559" s="141" t="n"/>
      <c r="G559" s="143" t="n"/>
      <c r="H559" s="27" t="n"/>
    </row>
    <row r="560" ht="17.25" customHeight="1" s="322">
      <c r="A560" s="27" t="n"/>
      <c r="B560" s="506" t="n"/>
      <c r="C560" s="141" t="n"/>
      <c r="D560" s="141" t="n"/>
      <c r="E560" s="141" t="n"/>
      <c r="F560" s="141" t="n"/>
      <c r="G560" s="143" t="n"/>
      <c r="H560" s="27" t="n"/>
    </row>
    <row r="561" ht="17.25" customHeight="1" s="322">
      <c r="A561" s="27" t="n"/>
      <c r="B561" s="506" t="n"/>
      <c r="C561" s="141" t="n"/>
      <c r="D561" s="141" t="n"/>
      <c r="E561" s="141" t="n"/>
      <c r="F561" s="141" t="n"/>
      <c r="G561" s="143" t="n"/>
      <c r="H561" s="27" t="n"/>
    </row>
    <row r="562" ht="17.25" customHeight="1" s="322">
      <c r="A562" s="27" t="n"/>
      <c r="B562" s="506" t="n"/>
      <c r="C562" s="141" t="n"/>
      <c r="D562" s="141" t="n"/>
      <c r="E562" s="141" t="n"/>
      <c r="F562" s="141" t="n"/>
      <c r="G562" s="143" t="n"/>
      <c r="H562" s="27" t="n"/>
    </row>
    <row r="563" ht="17.25" customHeight="1" s="322">
      <c r="A563" s="27" t="n"/>
      <c r="B563" s="506" t="n"/>
      <c r="C563" s="141" t="n"/>
      <c r="D563" s="141" t="n"/>
      <c r="E563" s="141" t="n"/>
      <c r="F563" s="141" t="n"/>
      <c r="G563" s="143" t="n"/>
      <c r="H563" s="27" t="n"/>
    </row>
    <row r="564" ht="17.25" customHeight="1" s="322">
      <c r="A564" s="27" t="n"/>
      <c r="B564" s="506" t="n"/>
      <c r="C564" s="141" t="n"/>
      <c r="D564" s="141" t="n"/>
      <c r="E564" s="141" t="n"/>
      <c r="F564" s="141" t="n"/>
      <c r="G564" s="143" t="n"/>
      <c r="H564" s="27" t="n"/>
    </row>
    <row r="565" ht="17.25" customHeight="1" s="322">
      <c r="A565" s="27" t="n"/>
      <c r="B565" s="506" t="n"/>
      <c r="C565" s="141" t="n"/>
      <c r="D565" s="141" t="n"/>
      <c r="E565" s="141" t="n"/>
      <c r="F565" s="141" t="n"/>
      <c r="G565" s="143" t="n"/>
      <c r="H565" s="27" t="n"/>
    </row>
    <row r="566" ht="17.25" customHeight="1" s="322">
      <c r="A566" s="27" t="n"/>
      <c r="B566" s="506" t="n"/>
      <c r="C566" s="141" t="n"/>
      <c r="D566" s="141" t="n"/>
      <c r="E566" s="141" t="n"/>
      <c r="F566" s="141" t="n"/>
      <c r="G566" s="143" t="n"/>
      <c r="H566" s="27" t="n"/>
    </row>
    <row r="567" ht="17.25" customHeight="1" s="322">
      <c r="A567" s="27" t="n"/>
      <c r="B567" s="506" t="n"/>
      <c r="C567" s="141" t="n"/>
      <c r="D567" s="141" t="n"/>
      <c r="E567" s="141" t="n"/>
      <c r="F567" s="141" t="n"/>
      <c r="G567" s="143" t="n"/>
      <c r="H567" s="27" t="n"/>
    </row>
    <row r="568" ht="17.25" customHeight="1" s="322">
      <c r="A568" s="27" t="n"/>
      <c r="B568" s="506" t="n"/>
      <c r="C568" s="141" t="n"/>
      <c r="D568" s="141" t="n"/>
      <c r="E568" s="141" t="n"/>
      <c r="F568" s="141" t="n"/>
      <c r="G568" s="143" t="n"/>
      <c r="H568" s="27" t="n"/>
    </row>
    <row r="569" ht="17.25" customHeight="1" s="322">
      <c r="A569" s="27" t="n"/>
      <c r="B569" s="506" t="n"/>
      <c r="C569" s="141" t="n"/>
      <c r="D569" s="141" t="n"/>
      <c r="E569" s="141" t="n"/>
      <c r="F569" s="141" t="n"/>
      <c r="G569" s="143" t="n"/>
      <c r="H569" s="27" t="n"/>
    </row>
    <row r="570" ht="17.25" customHeight="1" s="322">
      <c r="A570" s="27" t="n"/>
      <c r="B570" s="506" t="n"/>
      <c r="C570" s="141" t="n"/>
      <c r="D570" s="141" t="n"/>
      <c r="E570" s="141" t="n"/>
      <c r="F570" s="141" t="n"/>
      <c r="G570" s="143" t="n"/>
      <c r="H570" s="27" t="n"/>
    </row>
    <row r="571" ht="17.25" customHeight="1" s="322">
      <c r="A571" s="27" t="n"/>
      <c r="B571" s="506" t="n"/>
      <c r="C571" s="141" t="n"/>
      <c r="D571" s="141" t="n"/>
      <c r="E571" s="141" t="n"/>
      <c r="F571" s="141" t="n"/>
      <c r="G571" s="143" t="n"/>
      <c r="H571" s="27" t="n"/>
    </row>
    <row r="572" ht="17.25" customHeight="1" s="322">
      <c r="A572" s="27" t="n"/>
      <c r="B572" s="506" t="n"/>
      <c r="C572" s="141" t="n"/>
      <c r="D572" s="141" t="n"/>
      <c r="E572" s="141" t="n"/>
      <c r="F572" s="141" t="n"/>
      <c r="G572" s="143" t="n"/>
      <c r="H572" s="27" t="n"/>
    </row>
    <row r="573" ht="17.25" customHeight="1" s="322">
      <c r="A573" s="27" t="n"/>
      <c r="B573" s="506" t="n"/>
      <c r="C573" s="141" t="n"/>
      <c r="D573" s="141" t="n"/>
      <c r="E573" s="141" t="n"/>
      <c r="F573" s="141" t="n"/>
      <c r="G573" s="143" t="n"/>
      <c r="H573" s="27" t="n"/>
    </row>
    <row r="574" ht="17.25" customHeight="1" s="322">
      <c r="A574" s="27" t="n"/>
      <c r="B574" s="506" t="n"/>
      <c r="C574" s="141" t="n"/>
      <c r="D574" s="141" t="n"/>
      <c r="E574" s="141" t="n"/>
      <c r="F574" s="141" t="n"/>
      <c r="G574" s="143" t="n"/>
      <c r="H574" s="27" t="n"/>
    </row>
    <row r="575" ht="17.25" customHeight="1" s="322">
      <c r="A575" s="27" t="n"/>
      <c r="B575" s="506" t="n"/>
      <c r="C575" s="141" t="n"/>
      <c r="D575" s="141" t="n"/>
      <c r="E575" s="141" t="n"/>
      <c r="F575" s="141" t="n"/>
      <c r="G575" s="143" t="n"/>
      <c r="H575" s="27" t="n"/>
    </row>
    <row r="576" ht="17.25" customHeight="1" s="322">
      <c r="A576" s="27" t="n"/>
      <c r="B576" s="506" t="n"/>
      <c r="C576" s="141" t="n"/>
      <c r="D576" s="141" t="n"/>
      <c r="E576" s="141" t="n"/>
      <c r="F576" s="141" t="n"/>
      <c r="G576" s="143" t="n"/>
      <c r="H576" s="27" t="n"/>
    </row>
    <row r="577" ht="17.25" customHeight="1" s="322">
      <c r="A577" s="27" t="n"/>
      <c r="B577" s="506" t="n"/>
      <c r="C577" s="141" t="n"/>
      <c r="D577" s="141" t="n"/>
      <c r="E577" s="141" t="n"/>
      <c r="F577" s="141" t="n"/>
      <c r="G577" s="143" t="n"/>
      <c r="H577" s="27" t="n"/>
    </row>
    <row r="578" ht="17.25" customHeight="1" s="322">
      <c r="A578" s="27" t="n"/>
      <c r="B578" s="506" t="n"/>
      <c r="C578" s="141" t="n"/>
      <c r="D578" s="141" t="n"/>
      <c r="E578" s="141" t="n"/>
      <c r="F578" s="141" t="n"/>
      <c r="G578" s="143" t="n"/>
      <c r="H578" s="27" t="n"/>
    </row>
    <row r="579" ht="17.25" customHeight="1" s="322">
      <c r="A579" s="27" t="n"/>
      <c r="B579" s="506" t="n"/>
      <c r="C579" s="141" t="n"/>
      <c r="D579" s="141" t="n"/>
      <c r="E579" s="141" t="n"/>
      <c r="F579" s="141" t="n"/>
      <c r="G579" s="143" t="n"/>
      <c r="H579" s="27" t="n"/>
    </row>
    <row r="580" ht="17.25" customHeight="1" s="322">
      <c r="A580" s="27" t="n"/>
      <c r="B580" s="506" t="n"/>
      <c r="C580" s="141" t="n"/>
      <c r="D580" s="141" t="n"/>
      <c r="E580" s="141" t="n"/>
      <c r="F580" s="141" t="n"/>
      <c r="G580" s="143" t="n"/>
      <c r="H580" s="27" t="n"/>
    </row>
    <row r="581" ht="17.25" customHeight="1" s="322">
      <c r="A581" s="27" t="n"/>
      <c r="B581" s="506" t="n"/>
      <c r="C581" s="141" t="n"/>
      <c r="D581" s="141" t="n"/>
      <c r="E581" s="141" t="n"/>
      <c r="F581" s="141" t="n"/>
      <c r="G581" s="143" t="n"/>
      <c r="H581" s="27" t="n"/>
    </row>
    <row r="582" ht="17.25" customHeight="1" s="322">
      <c r="A582" s="27" t="n"/>
      <c r="B582" s="506" t="n"/>
      <c r="C582" s="141" t="n"/>
      <c r="D582" s="141" t="n"/>
      <c r="E582" s="141" t="n"/>
      <c r="F582" s="141" t="n"/>
      <c r="G582" s="143" t="n"/>
      <c r="H582" s="27" t="n"/>
    </row>
    <row r="583" ht="17.25" customHeight="1" s="322">
      <c r="A583" s="27" t="n"/>
      <c r="B583" s="506" t="n"/>
      <c r="C583" s="141" t="n"/>
      <c r="D583" s="141" t="n"/>
      <c r="E583" s="141" t="n"/>
      <c r="F583" s="141" t="n"/>
      <c r="G583" s="143" t="n"/>
      <c r="H583" s="27" t="n"/>
    </row>
    <row r="584" ht="17.25" customHeight="1" s="322">
      <c r="A584" s="27" t="n"/>
      <c r="B584" s="506" t="n"/>
      <c r="C584" s="141" t="n"/>
      <c r="D584" s="141" t="n"/>
      <c r="E584" s="141" t="n"/>
      <c r="F584" s="141" t="n"/>
      <c r="G584" s="143" t="n"/>
      <c r="H584" s="27" t="n"/>
    </row>
    <row r="585" ht="17.25" customHeight="1" s="322">
      <c r="A585" s="27" t="n"/>
      <c r="B585" s="506" t="n"/>
      <c r="C585" s="141" t="n"/>
      <c r="D585" s="141" t="n"/>
      <c r="E585" s="141" t="n"/>
      <c r="F585" s="141" t="n"/>
      <c r="G585" s="143" t="n"/>
      <c r="H585" s="27" t="n"/>
    </row>
    <row r="586" ht="17.25" customHeight="1" s="322">
      <c r="A586" s="27" t="n"/>
      <c r="B586" s="506" t="n"/>
      <c r="C586" s="141" t="n"/>
      <c r="D586" s="141" t="n"/>
      <c r="E586" s="141" t="n"/>
      <c r="F586" s="141" t="n"/>
      <c r="G586" s="143" t="n"/>
      <c r="H586" s="27" t="n"/>
    </row>
    <row r="587" ht="17.25" customHeight="1" s="322">
      <c r="A587" s="27" t="n"/>
      <c r="B587" s="506" t="n"/>
      <c r="C587" s="141" t="n"/>
      <c r="D587" s="141" t="n"/>
      <c r="E587" s="141" t="n"/>
      <c r="F587" s="141" t="n"/>
      <c r="G587" s="143" t="n"/>
      <c r="H587" s="27" t="n"/>
    </row>
    <row r="588" ht="17.25" customHeight="1" s="322">
      <c r="A588" s="27" t="n"/>
      <c r="B588" s="506" t="n"/>
      <c r="C588" s="141" t="n"/>
      <c r="D588" s="141" t="n"/>
      <c r="E588" s="141" t="n"/>
      <c r="F588" s="141" t="n"/>
      <c r="G588" s="143" t="n"/>
      <c r="H588" s="27" t="n"/>
    </row>
    <row r="589" ht="17.25" customHeight="1" s="322">
      <c r="A589" s="27" t="n"/>
      <c r="B589" s="506" t="n"/>
      <c r="C589" s="141" t="n"/>
      <c r="D589" s="141" t="n"/>
      <c r="E589" s="141" t="n"/>
      <c r="F589" s="141" t="n"/>
      <c r="G589" s="143" t="n"/>
      <c r="H589" s="27" t="n"/>
    </row>
    <row r="590" ht="17.25" customHeight="1" s="322">
      <c r="A590" s="27" t="n"/>
      <c r="B590" s="506" t="n"/>
      <c r="C590" s="141" t="n"/>
      <c r="D590" s="141" t="n"/>
      <c r="E590" s="141" t="n"/>
      <c r="F590" s="141" t="n"/>
      <c r="G590" s="143" t="n"/>
      <c r="H590" s="27" t="n"/>
    </row>
    <row r="591" ht="17.25" customHeight="1" s="322">
      <c r="A591" s="27" t="n"/>
      <c r="B591" s="506" t="n"/>
      <c r="C591" s="141" t="n"/>
      <c r="D591" s="141" t="n"/>
      <c r="E591" s="141" t="n"/>
      <c r="F591" s="141" t="n"/>
      <c r="G591" s="143" t="n"/>
      <c r="H591" s="27" t="n"/>
    </row>
    <row r="592" ht="17.25" customHeight="1" s="322">
      <c r="A592" s="27" t="n"/>
      <c r="B592" s="506" t="n"/>
      <c r="C592" s="141" t="n"/>
      <c r="D592" s="141" t="n"/>
      <c r="E592" s="141" t="n"/>
      <c r="F592" s="141" t="n"/>
      <c r="G592" s="143" t="n"/>
      <c r="H592" s="27" t="n"/>
    </row>
    <row r="593" ht="17.25" customHeight="1" s="322">
      <c r="A593" s="27" t="n"/>
      <c r="B593" s="506" t="n"/>
      <c r="C593" s="141" t="n"/>
      <c r="D593" s="141" t="n"/>
      <c r="E593" s="141" t="n"/>
      <c r="F593" s="141" t="n"/>
      <c r="G593" s="143" t="n"/>
      <c r="H593" s="27" t="n"/>
    </row>
    <row r="594" ht="17.25" customHeight="1" s="322">
      <c r="A594" s="27" t="n"/>
      <c r="B594" s="506" t="n"/>
      <c r="C594" s="141" t="n"/>
      <c r="D594" s="141" t="n"/>
      <c r="E594" s="141" t="n"/>
      <c r="F594" s="141" t="n"/>
      <c r="G594" s="143" t="n"/>
      <c r="H594" s="27" t="n"/>
    </row>
    <row r="595" ht="17.25" customHeight="1" s="322">
      <c r="A595" s="27" t="n"/>
      <c r="B595" s="506" t="n"/>
      <c r="C595" s="141" t="n"/>
      <c r="D595" s="141" t="n"/>
      <c r="E595" s="141" t="n"/>
      <c r="F595" s="141" t="n"/>
      <c r="G595" s="143" t="n"/>
      <c r="H595" s="27" t="n"/>
    </row>
    <row r="596" ht="17.25" customHeight="1" s="322">
      <c r="A596" s="27" t="n"/>
      <c r="B596" s="506" t="n"/>
      <c r="C596" s="141" t="n"/>
      <c r="D596" s="141" t="n"/>
      <c r="E596" s="141" t="n"/>
      <c r="F596" s="141" t="n"/>
      <c r="G596" s="143" t="n"/>
      <c r="H596" s="27" t="n"/>
    </row>
    <row r="597" ht="17.25" customHeight="1" s="322">
      <c r="A597" s="27" t="n"/>
      <c r="B597" s="506" t="n"/>
      <c r="C597" s="141" t="n"/>
      <c r="D597" s="141" t="n"/>
      <c r="E597" s="141" t="n"/>
      <c r="F597" s="141" t="n"/>
      <c r="G597" s="143" t="n"/>
      <c r="H597" s="27" t="n"/>
    </row>
    <row r="598" ht="17.25" customHeight="1" s="322">
      <c r="A598" s="27" t="n"/>
      <c r="B598" s="506" t="n"/>
      <c r="C598" s="141" t="n"/>
      <c r="D598" s="141" t="n"/>
      <c r="E598" s="141" t="n"/>
      <c r="F598" s="141" t="n"/>
      <c r="G598" s="143" t="n"/>
      <c r="H598" s="27" t="n"/>
    </row>
    <row r="599" ht="17.25" customHeight="1" s="322">
      <c r="A599" s="27" t="n"/>
      <c r="B599" s="506" t="n"/>
      <c r="C599" s="141" t="n"/>
      <c r="D599" s="141" t="n"/>
      <c r="E599" s="141" t="n"/>
      <c r="F599" s="141" t="n"/>
      <c r="G599" s="143" t="n"/>
      <c r="H599" s="27" t="n"/>
    </row>
    <row r="600" ht="17.25" customHeight="1" s="322">
      <c r="A600" s="27" t="n"/>
      <c r="B600" s="506" t="n"/>
      <c r="C600" s="141" t="n"/>
      <c r="D600" s="141" t="n"/>
      <c r="E600" s="141" t="n"/>
      <c r="F600" s="141" t="n"/>
      <c r="G600" s="143" t="n"/>
      <c r="H600" s="27" t="n"/>
    </row>
    <row r="601" ht="17.25" customHeight="1" s="322">
      <c r="A601" s="27" t="n"/>
      <c r="B601" s="506" t="n"/>
      <c r="C601" s="141" t="n"/>
      <c r="D601" s="141" t="n"/>
      <c r="E601" s="141" t="n"/>
      <c r="F601" s="141" t="n"/>
      <c r="G601" s="143" t="n"/>
      <c r="H601" s="27" t="n"/>
    </row>
    <row r="602" ht="17.25" customHeight="1" s="322">
      <c r="A602" s="27" t="n"/>
      <c r="B602" s="506" t="n"/>
      <c r="C602" s="141" t="n"/>
      <c r="D602" s="141" t="n"/>
      <c r="E602" s="141" t="n"/>
      <c r="F602" s="141" t="n"/>
      <c r="G602" s="143" t="n"/>
      <c r="H602" s="27" t="n"/>
    </row>
    <row r="603" ht="17.25" customHeight="1" s="322">
      <c r="A603" s="27" t="n"/>
      <c r="B603" s="506" t="n"/>
      <c r="C603" s="141" t="n"/>
      <c r="D603" s="141" t="n"/>
      <c r="E603" s="141" t="n"/>
      <c r="F603" s="141" t="n"/>
      <c r="G603" s="143" t="n"/>
      <c r="H603" s="27" t="n"/>
    </row>
    <row r="604" ht="17.25" customHeight="1" s="322">
      <c r="A604" s="27" t="n"/>
      <c r="B604" s="506" t="n"/>
      <c r="C604" s="141" t="n"/>
      <c r="D604" s="141" t="n"/>
      <c r="E604" s="141" t="n"/>
      <c r="F604" s="141" t="n"/>
      <c r="G604" s="143" t="n"/>
      <c r="H604" s="27" t="n"/>
    </row>
    <row r="605" ht="17.25" customHeight="1" s="322">
      <c r="A605" s="27" t="n"/>
      <c r="B605" s="506" t="n"/>
      <c r="C605" s="141" t="n"/>
      <c r="D605" s="141" t="n"/>
      <c r="E605" s="141" t="n"/>
      <c r="F605" s="141" t="n"/>
      <c r="G605" s="143" t="n"/>
      <c r="H605" s="27" t="n"/>
    </row>
    <row r="606" ht="17.25" customHeight="1" s="322">
      <c r="A606" s="27" t="n"/>
      <c r="B606" s="506" t="n"/>
      <c r="C606" s="141" t="n"/>
      <c r="D606" s="141" t="n"/>
      <c r="E606" s="141" t="n"/>
      <c r="F606" s="141" t="n"/>
      <c r="G606" s="143" t="n"/>
      <c r="H606" s="27" t="n"/>
    </row>
    <row r="607" ht="17.25" customHeight="1" s="322">
      <c r="A607" s="27" t="n"/>
      <c r="B607" s="506" t="n"/>
      <c r="C607" s="141" t="n"/>
      <c r="D607" s="141" t="n"/>
      <c r="E607" s="141" t="n"/>
      <c r="F607" s="141" t="n"/>
      <c r="G607" s="143" t="n"/>
      <c r="H607" s="27" t="n"/>
    </row>
    <row r="608" ht="17.25" customHeight="1" s="322">
      <c r="A608" s="27" t="n"/>
      <c r="B608" s="506" t="n"/>
      <c r="C608" s="141" t="n"/>
      <c r="D608" s="141" t="n"/>
      <c r="E608" s="141" t="n"/>
      <c r="F608" s="141" t="n"/>
      <c r="G608" s="143" t="n"/>
      <c r="H608" s="27" t="n"/>
    </row>
    <row r="609" ht="17.25" customHeight="1" s="322">
      <c r="A609" s="27" t="n"/>
      <c r="B609" s="506" t="n"/>
      <c r="C609" s="141" t="n"/>
      <c r="D609" s="141" t="n"/>
      <c r="E609" s="141" t="n"/>
      <c r="F609" s="141" t="n"/>
      <c r="G609" s="143" t="n"/>
      <c r="H609" s="27" t="n"/>
    </row>
    <row r="610" ht="17.25" customHeight="1" s="322">
      <c r="A610" s="27" t="n"/>
      <c r="B610" s="506" t="n"/>
      <c r="C610" s="141" t="n"/>
      <c r="D610" s="141" t="n"/>
      <c r="E610" s="141" t="n"/>
      <c r="F610" s="141" t="n"/>
      <c r="G610" s="143" t="n"/>
      <c r="H610" s="27" t="n"/>
    </row>
    <row r="611" ht="17.25" customHeight="1" s="322">
      <c r="A611" s="27" t="n"/>
      <c r="B611" s="506" t="n"/>
      <c r="C611" s="141" t="n"/>
      <c r="D611" s="141" t="n"/>
      <c r="E611" s="141" t="n"/>
      <c r="F611" s="141" t="n"/>
      <c r="G611" s="143" t="n"/>
      <c r="H611" s="27" t="n"/>
    </row>
    <row r="612" ht="17.25" customHeight="1" s="322">
      <c r="A612" s="27" t="n"/>
      <c r="B612" s="506" t="n"/>
      <c r="C612" s="141" t="n"/>
      <c r="D612" s="141" t="n"/>
      <c r="E612" s="141" t="n"/>
      <c r="F612" s="141" t="n"/>
      <c r="G612" s="143" t="n"/>
      <c r="H612" s="27" t="n"/>
    </row>
    <row r="613" ht="17.25" customHeight="1" s="322">
      <c r="A613" s="27" t="n"/>
      <c r="B613" s="506" t="n"/>
      <c r="C613" s="141" t="n"/>
      <c r="D613" s="141" t="n"/>
      <c r="E613" s="141" t="n"/>
      <c r="F613" s="141" t="n"/>
      <c r="G613" s="143" t="n"/>
      <c r="H613" s="27" t="n"/>
    </row>
    <row r="614" ht="17.25" customHeight="1" s="322">
      <c r="A614" s="27" t="n"/>
      <c r="B614" s="506" t="n"/>
      <c r="C614" s="141" t="n"/>
      <c r="D614" s="141" t="n"/>
      <c r="E614" s="141" t="n"/>
      <c r="F614" s="141" t="n"/>
      <c r="G614" s="143" t="n"/>
      <c r="H614" s="27" t="n"/>
    </row>
    <row r="615" ht="17.25" customHeight="1" s="322">
      <c r="A615" s="27" t="n"/>
      <c r="B615" s="506" t="n"/>
      <c r="C615" s="141" t="n"/>
      <c r="D615" s="141" t="n"/>
      <c r="E615" s="141" t="n"/>
      <c r="F615" s="141" t="n"/>
      <c r="G615" s="143" t="n"/>
      <c r="H615" s="27" t="n"/>
    </row>
    <row r="616" ht="17.25" customHeight="1" s="322">
      <c r="A616" s="27" t="n"/>
      <c r="B616" s="506" t="n"/>
      <c r="C616" s="141" t="n"/>
      <c r="D616" s="141" t="n"/>
      <c r="E616" s="141" t="n"/>
      <c r="F616" s="141" t="n"/>
      <c r="G616" s="143" t="n"/>
      <c r="H616" s="27" t="n"/>
    </row>
    <row r="617" ht="17.25" customHeight="1" s="322">
      <c r="A617" s="27" t="n"/>
      <c r="B617" s="506" t="n"/>
      <c r="C617" s="141" t="n"/>
      <c r="D617" s="141" t="n"/>
      <c r="E617" s="141" t="n"/>
      <c r="F617" s="141" t="n"/>
      <c r="G617" s="143" t="n"/>
      <c r="H617" s="27" t="n"/>
    </row>
    <row r="618" ht="17.25" customHeight="1" s="322">
      <c r="A618" s="27" t="n"/>
      <c r="B618" s="506" t="n"/>
      <c r="C618" s="141" t="n"/>
      <c r="D618" s="141" t="n"/>
      <c r="E618" s="141" t="n"/>
      <c r="F618" s="141" t="n"/>
      <c r="G618" s="143" t="n"/>
      <c r="H618" s="27" t="n"/>
    </row>
    <row r="619" ht="17.25" customHeight="1" s="322">
      <c r="A619" s="27" t="n"/>
      <c r="B619" s="506" t="n"/>
      <c r="C619" s="141" t="n"/>
      <c r="D619" s="141" t="n"/>
      <c r="E619" s="141" t="n"/>
      <c r="F619" s="141" t="n"/>
      <c r="G619" s="143" t="n"/>
      <c r="H619" s="27" t="n"/>
    </row>
    <row r="620" ht="17.25" customHeight="1" s="322">
      <c r="A620" s="27" t="n"/>
      <c r="B620" s="506" t="n"/>
      <c r="C620" s="141" t="n"/>
      <c r="D620" s="141" t="n"/>
      <c r="E620" s="141" t="n"/>
      <c r="F620" s="141" t="n"/>
      <c r="G620" s="143" t="n"/>
      <c r="H620" s="27" t="n"/>
    </row>
    <row r="621" ht="17.25" customHeight="1" s="322">
      <c r="A621" s="27" t="n"/>
      <c r="B621" s="506" t="n"/>
      <c r="C621" s="141" t="n"/>
      <c r="D621" s="141" t="n"/>
      <c r="E621" s="141" t="n"/>
      <c r="F621" s="141" t="n"/>
      <c r="G621" s="143" t="n"/>
      <c r="H621" s="27" t="n"/>
    </row>
    <row r="622" ht="17.25" customHeight="1" s="322">
      <c r="A622" s="27" t="n"/>
      <c r="B622" s="506" t="n"/>
      <c r="C622" s="141" t="n"/>
      <c r="D622" s="141" t="n"/>
      <c r="E622" s="141" t="n"/>
      <c r="F622" s="141" t="n"/>
      <c r="G622" s="143" t="n"/>
      <c r="H622" s="27" t="n"/>
    </row>
    <row r="623" ht="17.25" customHeight="1" s="322">
      <c r="A623" s="27" t="n"/>
      <c r="B623" s="506" t="n"/>
      <c r="C623" s="141" t="n"/>
      <c r="D623" s="141" t="n"/>
      <c r="E623" s="141" t="n"/>
      <c r="F623" s="141" t="n"/>
      <c r="G623" s="143" t="n"/>
      <c r="H623" s="27" t="n"/>
    </row>
    <row r="624" ht="17.25" customHeight="1" s="322">
      <c r="A624" s="27" t="n"/>
      <c r="B624" s="506" t="n"/>
      <c r="C624" s="141" t="n"/>
      <c r="D624" s="141" t="n"/>
      <c r="E624" s="141" t="n"/>
      <c r="F624" s="141" t="n"/>
      <c r="G624" s="143" t="n"/>
      <c r="H624" s="27" t="n"/>
    </row>
    <row r="625" ht="17.25" customHeight="1" s="322">
      <c r="A625" s="27" t="n"/>
      <c r="B625" s="506" t="n"/>
      <c r="C625" s="141" t="n"/>
      <c r="D625" s="141" t="n"/>
      <c r="E625" s="141" t="n"/>
      <c r="F625" s="141" t="n"/>
      <c r="G625" s="143" t="n"/>
      <c r="H625" s="27" t="n"/>
    </row>
    <row r="626" ht="17.25" customHeight="1" s="322">
      <c r="A626" s="27" t="n"/>
      <c r="B626" s="506" t="n"/>
      <c r="C626" s="141" t="n"/>
      <c r="D626" s="141" t="n"/>
      <c r="E626" s="141" t="n"/>
      <c r="F626" s="141" t="n"/>
      <c r="G626" s="143" t="n"/>
      <c r="H626" s="27" t="n"/>
    </row>
    <row r="627" ht="17.25" customHeight="1" s="322">
      <c r="A627" s="27" t="n"/>
      <c r="B627" s="506" t="n"/>
      <c r="C627" s="141" t="n"/>
      <c r="D627" s="141" t="n"/>
      <c r="E627" s="141" t="n"/>
      <c r="F627" s="141" t="n"/>
      <c r="G627" s="143" t="n"/>
      <c r="H627" s="27" t="n"/>
    </row>
    <row r="628" ht="17.25" customHeight="1" s="322">
      <c r="A628" s="27" t="n"/>
      <c r="B628" s="506" t="n"/>
      <c r="C628" s="141" t="n"/>
      <c r="D628" s="141" t="n"/>
      <c r="E628" s="141" t="n"/>
      <c r="F628" s="141" t="n"/>
      <c r="G628" s="143" t="n"/>
      <c r="H628" s="27" t="n"/>
    </row>
    <row r="629" ht="17.25" customHeight="1" s="322">
      <c r="A629" s="27" t="n"/>
      <c r="B629" s="506" t="n"/>
      <c r="C629" s="141" t="n"/>
      <c r="D629" s="141" t="n"/>
      <c r="E629" s="141" t="n"/>
      <c r="F629" s="141" t="n"/>
      <c r="G629" s="143" t="n"/>
      <c r="H629" s="27" t="n"/>
    </row>
    <row r="630" ht="17.25" customHeight="1" s="322">
      <c r="A630" s="27" t="n"/>
      <c r="B630" s="506" t="n"/>
      <c r="C630" s="141" t="n"/>
      <c r="D630" s="141" t="n"/>
      <c r="E630" s="141" t="n"/>
      <c r="F630" s="141" t="n"/>
      <c r="G630" s="143" t="n"/>
      <c r="H630" s="27" t="n"/>
    </row>
    <row r="631" ht="17.25" customHeight="1" s="322">
      <c r="A631" s="27" t="n"/>
      <c r="B631" s="506" t="n"/>
      <c r="C631" s="141" t="n"/>
      <c r="D631" s="141" t="n"/>
      <c r="E631" s="141" t="n"/>
      <c r="F631" s="141" t="n"/>
      <c r="G631" s="143" t="n"/>
      <c r="H631" s="27" t="n"/>
    </row>
    <row r="632" ht="17.25" customHeight="1" s="322">
      <c r="A632" s="27" t="n"/>
      <c r="B632" s="506" t="n"/>
      <c r="C632" s="141" t="n"/>
      <c r="D632" s="141" t="n"/>
      <c r="E632" s="141" t="n"/>
      <c r="F632" s="141" t="n"/>
      <c r="G632" s="143" t="n"/>
      <c r="H632" s="27" t="n"/>
    </row>
    <row r="633" ht="17.25" customHeight="1" s="322">
      <c r="A633" s="27" t="n"/>
      <c r="B633" s="506" t="n"/>
      <c r="C633" s="141" t="n"/>
      <c r="D633" s="141" t="n"/>
      <c r="E633" s="141" t="n"/>
      <c r="F633" s="141" t="n"/>
      <c r="G633" s="143" t="n"/>
      <c r="H633" s="27" t="n"/>
    </row>
    <row r="634" ht="17.25" customHeight="1" s="322">
      <c r="A634" s="27" t="n"/>
      <c r="B634" s="506" t="n"/>
      <c r="C634" s="141" t="n"/>
      <c r="D634" s="141" t="n"/>
      <c r="E634" s="141" t="n"/>
      <c r="F634" s="141" t="n"/>
      <c r="G634" s="143" t="n"/>
      <c r="H634" s="27" t="n"/>
    </row>
    <row r="635" ht="17.25" customHeight="1" s="322">
      <c r="A635" s="27" t="n"/>
      <c r="B635" s="506" t="n"/>
      <c r="C635" s="141" t="n"/>
      <c r="D635" s="141" t="n"/>
      <c r="E635" s="141" t="n"/>
      <c r="F635" s="141" t="n"/>
      <c r="G635" s="143" t="n"/>
      <c r="H635" s="27" t="n"/>
    </row>
    <row r="636" ht="17.25" customHeight="1" s="322">
      <c r="A636" s="27" t="n"/>
      <c r="B636" s="506" t="n"/>
      <c r="C636" s="141" t="n"/>
      <c r="D636" s="141" t="n"/>
      <c r="E636" s="141" t="n"/>
      <c r="F636" s="141" t="n"/>
      <c r="G636" s="143" t="n"/>
      <c r="H636" s="27" t="n"/>
    </row>
    <row r="637" ht="17.25" customHeight="1" s="322">
      <c r="A637" s="27" t="n"/>
      <c r="B637" s="506" t="n"/>
      <c r="C637" s="141" t="n"/>
      <c r="D637" s="141" t="n"/>
      <c r="E637" s="141" t="n"/>
      <c r="F637" s="141" t="n"/>
      <c r="G637" s="143" t="n"/>
      <c r="H637" s="27" t="n"/>
    </row>
    <row r="638" ht="17.25" customHeight="1" s="322">
      <c r="A638" s="27" t="n"/>
      <c r="B638" s="506" t="n"/>
      <c r="C638" s="141" t="n"/>
      <c r="D638" s="141" t="n"/>
      <c r="E638" s="141" t="n"/>
      <c r="F638" s="141" t="n"/>
      <c r="G638" s="143" t="n"/>
      <c r="H638" s="27" t="n"/>
    </row>
    <row r="639" ht="17.25" customHeight="1" s="322">
      <c r="A639" s="27" t="n"/>
      <c r="B639" s="506" t="n"/>
      <c r="C639" s="141" t="n"/>
      <c r="D639" s="141" t="n"/>
      <c r="E639" s="141" t="n"/>
      <c r="F639" s="141" t="n"/>
      <c r="G639" s="143" t="n"/>
      <c r="H639" s="27" t="n"/>
    </row>
    <row r="640" ht="17.25" customHeight="1" s="322">
      <c r="A640" s="27" t="n"/>
      <c r="B640" s="506" t="n"/>
      <c r="C640" s="141" t="n"/>
      <c r="D640" s="141" t="n"/>
      <c r="E640" s="141" t="n"/>
      <c r="F640" s="141" t="n"/>
      <c r="G640" s="143" t="n"/>
      <c r="H640" s="27" t="n"/>
    </row>
    <row r="641" ht="17.25" customHeight="1" s="322">
      <c r="A641" s="27" t="n"/>
      <c r="B641" s="506" t="n"/>
      <c r="C641" s="141" t="n"/>
      <c r="D641" s="141" t="n"/>
      <c r="E641" s="141" t="n"/>
      <c r="F641" s="141" t="n"/>
      <c r="G641" s="143" t="n"/>
      <c r="H641" s="27" t="n"/>
    </row>
    <row r="642" ht="17.25" customHeight="1" s="322">
      <c r="A642" s="27" t="n"/>
      <c r="B642" s="506" t="n"/>
      <c r="C642" s="141" t="n"/>
      <c r="D642" s="141" t="n"/>
      <c r="E642" s="141" t="n"/>
      <c r="F642" s="141" t="n"/>
      <c r="G642" s="143" t="n"/>
      <c r="H642" s="27" t="n"/>
    </row>
    <row r="643" ht="17.25" customHeight="1" s="322">
      <c r="A643" s="27" t="n"/>
      <c r="B643" s="506" t="n"/>
      <c r="C643" s="141" t="n"/>
      <c r="D643" s="141" t="n"/>
      <c r="E643" s="141" t="n"/>
      <c r="F643" s="141" t="n"/>
      <c r="G643" s="143" t="n"/>
      <c r="H643" s="27" t="n"/>
    </row>
    <row r="644" ht="17.25" customHeight="1" s="322">
      <c r="A644" s="27" t="n"/>
      <c r="B644" s="506" t="n"/>
      <c r="C644" s="141" t="n"/>
      <c r="D644" s="141" t="n"/>
      <c r="E644" s="141" t="n"/>
      <c r="F644" s="141" t="n"/>
      <c r="G644" s="143" t="n"/>
      <c r="H644" s="27" t="n"/>
    </row>
    <row r="645" ht="17.25" customHeight="1" s="322">
      <c r="A645" s="27" t="n"/>
      <c r="B645" s="506" t="n"/>
      <c r="C645" s="141" t="n"/>
      <c r="D645" s="141" t="n"/>
      <c r="E645" s="141" t="n"/>
      <c r="F645" s="141" t="n"/>
      <c r="G645" s="143" t="n"/>
      <c r="H645" s="27" t="n"/>
    </row>
    <row r="646" ht="17.25" customHeight="1" s="322">
      <c r="A646" s="27" t="n"/>
      <c r="B646" s="506" t="n"/>
      <c r="C646" s="141" t="n"/>
      <c r="D646" s="141" t="n"/>
      <c r="E646" s="141" t="n"/>
      <c r="F646" s="141" t="n"/>
      <c r="G646" s="143" t="n"/>
      <c r="H646" s="27" t="n"/>
    </row>
    <row r="647" ht="17.25" customHeight="1" s="322">
      <c r="A647" s="27" t="n"/>
      <c r="B647" s="506" t="n"/>
      <c r="C647" s="141" t="n"/>
      <c r="D647" s="141" t="n"/>
      <c r="E647" s="141" t="n"/>
      <c r="F647" s="141" t="n"/>
      <c r="G647" s="143" t="n"/>
      <c r="H647" s="27" t="n"/>
    </row>
    <row r="648" ht="17.25" customHeight="1" s="322">
      <c r="A648" s="27" t="n"/>
      <c r="B648" s="506" t="n"/>
      <c r="C648" s="141" t="n"/>
      <c r="D648" s="141" t="n"/>
      <c r="E648" s="141" t="n"/>
      <c r="F648" s="141" t="n"/>
      <c r="G648" s="143" t="n"/>
      <c r="H648" s="27" t="n"/>
    </row>
    <row r="649" ht="17.25" customHeight="1" s="322">
      <c r="A649" s="27" t="n"/>
      <c r="B649" s="506" t="n"/>
      <c r="C649" s="141" t="n"/>
      <c r="D649" s="141" t="n"/>
      <c r="E649" s="141" t="n"/>
      <c r="F649" s="141" t="n"/>
      <c r="G649" s="143" t="n"/>
      <c r="H649" s="27" t="n"/>
    </row>
    <row r="650" ht="17.25" customHeight="1" s="322">
      <c r="A650" s="27" t="n"/>
      <c r="B650" s="506" t="n"/>
      <c r="C650" s="141" t="n"/>
      <c r="D650" s="141" t="n"/>
      <c r="E650" s="141" t="n"/>
      <c r="F650" s="141" t="n"/>
      <c r="G650" s="143" t="n"/>
      <c r="H650" s="27" t="n"/>
    </row>
    <row r="651" ht="17.25" customHeight="1" s="322">
      <c r="A651" s="27" t="n"/>
      <c r="B651" s="506" t="n"/>
      <c r="C651" s="141" t="n"/>
      <c r="D651" s="141" t="n"/>
      <c r="E651" s="141" t="n"/>
      <c r="F651" s="141" t="n"/>
      <c r="G651" s="143" t="n"/>
      <c r="H651" s="27" t="n"/>
    </row>
    <row r="652" ht="17.25" customHeight="1" s="322">
      <c r="A652" s="27" t="n"/>
      <c r="B652" s="506" t="n"/>
      <c r="C652" s="141" t="n"/>
      <c r="D652" s="141" t="n"/>
      <c r="E652" s="141" t="n"/>
      <c r="F652" s="141" t="n"/>
      <c r="G652" s="143" t="n"/>
      <c r="H652" s="27" t="n"/>
    </row>
    <row r="653" ht="17.25" customHeight="1" s="322">
      <c r="A653" s="27" t="n"/>
      <c r="B653" s="506" t="n"/>
      <c r="C653" s="141" t="n"/>
      <c r="D653" s="141" t="n"/>
      <c r="E653" s="141" t="n"/>
      <c r="F653" s="141" t="n"/>
      <c r="G653" s="143" t="n"/>
      <c r="H653" s="27" t="n"/>
    </row>
    <row r="654" ht="17.25" customHeight="1" s="322">
      <c r="A654" s="27" t="n"/>
      <c r="B654" s="506" t="n"/>
      <c r="C654" s="141" t="n"/>
      <c r="D654" s="141" t="n"/>
      <c r="E654" s="141" t="n"/>
      <c r="F654" s="141" t="n"/>
      <c r="G654" s="143" t="n"/>
      <c r="H654" s="27" t="n"/>
    </row>
    <row r="655" ht="17.25" customHeight="1" s="322">
      <c r="A655" s="27" t="n"/>
      <c r="B655" s="506" t="n"/>
      <c r="C655" s="141" t="n"/>
      <c r="D655" s="141" t="n"/>
      <c r="E655" s="141" t="n"/>
      <c r="F655" s="141" t="n"/>
      <c r="G655" s="143" t="n"/>
      <c r="H655" s="27" t="n"/>
    </row>
    <row r="656" ht="17.25" customHeight="1" s="322">
      <c r="A656" s="27" t="n"/>
      <c r="B656" s="506" t="n"/>
      <c r="C656" s="141" t="n"/>
      <c r="D656" s="141" t="n"/>
      <c r="E656" s="141" t="n"/>
      <c r="F656" s="141" t="n"/>
      <c r="G656" s="143" t="n"/>
      <c r="H656" s="27" t="n"/>
    </row>
    <row r="657" ht="17.25" customHeight="1" s="322">
      <c r="A657" s="27" t="n"/>
      <c r="B657" s="506" t="n"/>
      <c r="C657" s="141" t="n"/>
      <c r="D657" s="141" t="n"/>
      <c r="E657" s="141" t="n"/>
      <c r="F657" s="141" t="n"/>
      <c r="G657" s="143" t="n"/>
      <c r="H657" s="27" t="n"/>
    </row>
    <row r="658" ht="17.25" customHeight="1" s="322">
      <c r="A658" s="27" t="n"/>
      <c r="B658" s="506" t="n"/>
      <c r="C658" s="141" t="n"/>
      <c r="D658" s="141" t="n"/>
      <c r="E658" s="141" t="n"/>
      <c r="F658" s="141" t="n"/>
      <c r="G658" s="143" t="n"/>
      <c r="H658" s="27" t="n"/>
    </row>
    <row r="659" ht="17.25" customHeight="1" s="322">
      <c r="A659" s="27" t="n"/>
      <c r="B659" s="506" t="n"/>
      <c r="C659" s="141" t="n"/>
      <c r="D659" s="141" t="n"/>
      <c r="E659" s="141" t="n"/>
      <c r="F659" s="141" t="n"/>
      <c r="G659" s="143" t="n"/>
      <c r="H659" s="27" t="n"/>
    </row>
    <row r="660" ht="17.25" customHeight="1" s="322">
      <c r="A660" s="27" t="n"/>
      <c r="B660" s="506" t="n"/>
      <c r="C660" s="141" t="n"/>
      <c r="D660" s="141" t="n"/>
      <c r="E660" s="141" t="n"/>
      <c r="F660" s="141" t="n"/>
      <c r="G660" s="143" t="n"/>
      <c r="H660" s="27" t="n"/>
    </row>
    <row r="661" ht="17.25" customHeight="1" s="322">
      <c r="A661" s="27" t="n"/>
      <c r="B661" s="506" t="n"/>
      <c r="C661" s="141" t="n"/>
      <c r="D661" s="141" t="n"/>
      <c r="E661" s="141" t="n"/>
      <c r="F661" s="141" t="n"/>
      <c r="G661" s="143" t="n"/>
      <c r="H661" s="27" t="n"/>
    </row>
    <row r="662" ht="17.25" customHeight="1" s="322">
      <c r="A662" s="27" t="n"/>
      <c r="B662" s="506" t="n"/>
      <c r="C662" s="141" t="n"/>
      <c r="D662" s="141" t="n"/>
      <c r="E662" s="141" t="n"/>
      <c r="F662" s="141" t="n"/>
      <c r="G662" s="143" t="n"/>
      <c r="H662" s="27" t="n"/>
    </row>
    <row r="663" ht="17.25" customHeight="1" s="322">
      <c r="A663" s="27" t="n"/>
      <c r="B663" s="506" t="n"/>
      <c r="C663" s="141" t="n"/>
      <c r="D663" s="141" t="n"/>
      <c r="E663" s="141" t="n"/>
      <c r="F663" s="141" t="n"/>
      <c r="G663" s="143" t="n"/>
      <c r="H663" s="27" t="n"/>
    </row>
    <row r="664" ht="17.25" customHeight="1" s="322">
      <c r="A664" s="27" t="n"/>
      <c r="B664" s="506" t="n"/>
      <c r="C664" s="141" t="n"/>
      <c r="D664" s="141" t="n"/>
      <c r="E664" s="141" t="n"/>
      <c r="F664" s="141" t="n"/>
      <c r="G664" s="143" t="n"/>
      <c r="H664" s="27" t="n"/>
    </row>
    <row r="665" ht="17.25" customHeight="1" s="322">
      <c r="A665" s="27" t="n"/>
      <c r="B665" s="506" t="n"/>
      <c r="C665" s="141" t="n"/>
      <c r="D665" s="141" t="n"/>
      <c r="E665" s="141" t="n"/>
      <c r="F665" s="141" t="n"/>
      <c r="G665" s="143" t="n"/>
      <c r="H665" s="27" t="n"/>
    </row>
    <row r="666" ht="17.25" customHeight="1" s="322">
      <c r="A666" s="27" t="n"/>
      <c r="B666" s="506" t="n"/>
      <c r="C666" s="141" t="n"/>
      <c r="D666" s="141" t="n"/>
      <c r="E666" s="141" t="n"/>
      <c r="F666" s="141" t="n"/>
      <c r="G666" s="143" t="n"/>
      <c r="H666" s="27" t="n"/>
    </row>
    <row r="667" ht="17.25" customHeight="1" s="322">
      <c r="A667" s="27" t="n"/>
      <c r="B667" s="506" t="n"/>
      <c r="C667" s="141" t="n"/>
      <c r="D667" s="141" t="n"/>
      <c r="E667" s="141" t="n"/>
      <c r="F667" s="141" t="n"/>
      <c r="G667" s="143" t="n"/>
      <c r="H667" s="27" t="n"/>
    </row>
    <row r="668" ht="17.25" customHeight="1" s="322">
      <c r="A668" s="27" t="n"/>
      <c r="B668" s="506" t="n"/>
      <c r="C668" s="141" t="n"/>
      <c r="D668" s="141" t="n"/>
      <c r="E668" s="141" t="n"/>
      <c r="F668" s="141" t="n"/>
      <c r="G668" s="143" t="n"/>
      <c r="H668" s="27" t="n"/>
    </row>
    <row r="669" ht="17.25" customHeight="1" s="322">
      <c r="A669" s="27" t="n"/>
      <c r="B669" s="506" t="n"/>
      <c r="C669" s="141" t="n"/>
      <c r="D669" s="141" t="n"/>
      <c r="E669" s="141" t="n"/>
      <c r="F669" s="141" t="n"/>
      <c r="G669" s="143" t="n"/>
      <c r="H669" s="27" t="n"/>
    </row>
    <row r="670" ht="17.25" customHeight="1" s="322">
      <c r="A670" s="27" t="n"/>
      <c r="B670" s="506" t="n"/>
      <c r="C670" s="141" t="n"/>
      <c r="D670" s="141" t="n"/>
      <c r="E670" s="141" t="n"/>
      <c r="F670" s="141" t="n"/>
      <c r="G670" s="143" t="n"/>
      <c r="H670" s="27" t="n"/>
    </row>
    <row r="671" ht="17.25" customHeight="1" s="322">
      <c r="A671" s="27" t="n"/>
      <c r="B671" s="506" t="n"/>
      <c r="C671" s="141" t="n"/>
      <c r="D671" s="141" t="n"/>
      <c r="E671" s="141" t="n"/>
      <c r="F671" s="141" t="n"/>
      <c r="G671" s="143" t="n"/>
      <c r="H671" s="27" t="n"/>
    </row>
    <row r="672" ht="17.25" customHeight="1" s="322">
      <c r="A672" s="27" t="n"/>
      <c r="B672" s="506" t="n"/>
      <c r="C672" s="141" t="n"/>
      <c r="D672" s="141" t="n"/>
      <c r="E672" s="141" t="n"/>
      <c r="F672" s="141" t="n"/>
      <c r="G672" s="143" t="n"/>
      <c r="H672" s="27" t="n"/>
    </row>
    <row r="673" ht="17.25" customHeight="1" s="322">
      <c r="A673" s="27" t="n"/>
      <c r="B673" s="506" t="n"/>
      <c r="C673" s="141" t="n"/>
      <c r="D673" s="141" t="n"/>
      <c r="E673" s="141" t="n"/>
      <c r="F673" s="141" t="n"/>
      <c r="G673" s="143" t="n"/>
      <c r="H673" s="27" t="n"/>
    </row>
    <row r="674" ht="17.25" customHeight="1" s="322">
      <c r="A674" s="27" t="n"/>
      <c r="B674" s="506" t="n"/>
      <c r="C674" s="141" t="n"/>
      <c r="D674" s="141" t="n"/>
      <c r="E674" s="141" t="n"/>
      <c r="F674" s="141" t="n"/>
      <c r="G674" s="143" t="n"/>
      <c r="H674" s="27" t="n"/>
    </row>
    <row r="675" ht="17.25" customHeight="1" s="322">
      <c r="A675" s="27" t="n"/>
      <c r="B675" s="506" t="n"/>
      <c r="C675" s="141" t="n"/>
      <c r="D675" s="141" t="n"/>
      <c r="E675" s="141" t="n"/>
      <c r="F675" s="141" t="n"/>
      <c r="G675" s="143" t="n"/>
      <c r="H675" s="27" t="n"/>
    </row>
    <row r="676" ht="17.25" customHeight="1" s="322">
      <c r="A676" s="27" t="n"/>
      <c r="B676" s="506" t="n"/>
      <c r="C676" s="141" t="n"/>
      <c r="D676" s="141" t="n"/>
      <c r="E676" s="141" t="n"/>
      <c r="F676" s="141" t="n"/>
      <c r="G676" s="143" t="n"/>
      <c r="H676" s="27" t="n"/>
    </row>
    <row r="677" ht="17.25" customHeight="1" s="322">
      <c r="A677" s="27" t="n"/>
      <c r="B677" s="506" t="n"/>
      <c r="C677" s="141" t="n"/>
      <c r="D677" s="141" t="n"/>
      <c r="E677" s="141" t="n"/>
      <c r="F677" s="141" t="n"/>
      <c r="G677" s="143" t="n"/>
      <c r="H677" s="27" t="n"/>
    </row>
    <row r="678" ht="17.25" customHeight="1" s="322">
      <c r="A678" s="27" t="n"/>
      <c r="B678" s="506" t="n"/>
      <c r="C678" s="141" t="n"/>
      <c r="D678" s="141" t="n"/>
      <c r="E678" s="141" t="n"/>
      <c r="F678" s="141" t="n"/>
      <c r="G678" s="143" t="n"/>
      <c r="H678" s="27" t="n"/>
    </row>
    <row r="679" ht="17.25" customHeight="1" s="322">
      <c r="A679" s="27" t="n"/>
      <c r="B679" s="506" t="n"/>
      <c r="C679" s="141" t="n"/>
      <c r="D679" s="141" t="n"/>
      <c r="E679" s="141" t="n"/>
      <c r="F679" s="141" t="n"/>
      <c r="G679" s="143" t="n"/>
      <c r="H679" s="27" t="n"/>
    </row>
    <row r="680" ht="17.25" customHeight="1" s="322">
      <c r="A680" s="27" t="n"/>
      <c r="B680" s="506" t="n"/>
      <c r="C680" s="141" t="n"/>
      <c r="D680" s="141" t="n"/>
      <c r="E680" s="141" t="n"/>
      <c r="F680" s="141" t="n"/>
      <c r="G680" s="143" t="n"/>
      <c r="H680" s="27" t="n"/>
    </row>
    <row r="681" ht="17.25" customHeight="1" s="322">
      <c r="A681" s="27" t="n"/>
      <c r="B681" s="506" t="n"/>
      <c r="C681" s="141" t="n"/>
      <c r="D681" s="141" t="n"/>
      <c r="E681" s="141" t="n"/>
      <c r="F681" s="141" t="n"/>
      <c r="G681" s="143" t="n"/>
      <c r="H681" s="27" t="n"/>
    </row>
    <row r="682" ht="17.25" customHeight="1" s="322">
      <c r="A682" s="27" t="n"/>
      <c r="B682" s="506" t="n"/>
      <c r="C682" s="141" t="n"/>
      <c r="D682" s="141" t="n"/>
      <c r="E682" s="141" t="n"/>
      <c r="F682" s="141" t="n"/>
      <c r="G682" s="143" t="n"/>
      <c r="H682" s="27" t="n"/>
    </row>
    <row r="683" ht="17.25" customHeight="1" s="322">
      <c r="A683" s="27" t="n"/>
      <c r="B683" s="506" t="n"/>
      <c r="C683" s="141" t="n"/>
      <c r="D683" s="141" t="n"/>
      <c r="E683" s="141" t="n"/>
      <c r="F683" s="141" t="n"/>
      <c r="G683" s="143" t="n"/>
      <c r="H683" s="27" t="n"/>
    </row>
    <row r="684" ht="17.25" customHeight="1" s="322">
      <c r="A684" s="27" t="n"/>
      <c r="B684" s="506" t="n"/>
      <c r="C684" s="141" t="n"/>
      <c r="D684" s="141" t="n"/>
      <c r="E684" s="141" t="n"/>
      <c r="F684" s="141" t="n"/>
      <c r="G684" s="143" t="n"/>
      <c r="H684" s="27" t="n"/>
    </row>
    <row r="685" ht="17.25" customHeight="1" s="322">
      <c r="A685" s="27" t="n"/>
      <c r="B685" s="506" t="n"/>
      <c r="C685" s="141" t="n"/>
      <c r="D685" s="141" t="n"/>
      <c r="E685" s="141" t="n"/>
      <c r="F685" s="141" t="n"/>
      <c r="G685" s="143" t="n"/>
      <c r="H685" s="27" t="n"/>
    </row>
    <row r="686" ht="17.25" customHeight="1" s="322">
      <c r="A686" s="27" t="n"/>
      <c r="B686" s="506" t="n"/>
      <c r="C686" s="141" t="n"/>
      <c r="D686" s="141" t="n"/>
      <c r="E686" s="141" t="n"/>
      <c r="F686" s="141" t="n"/>
      <c r="G686" s="143" t="n"/>
      <c r="H686" s="27" t="n"/>
    </row>
    <row r="687" ht="17.25" customHeight="1" s="322">
      <c r="A687" s="27" t="n"/>
      <c r="B687" s="506" t="n"/>
      <c r="C687" s="141" t="n"/>
      <c r="D687" s="141" t="n"/>
      <c r="E687" s="141" t="n"/>
      <c r="F687" s="141" t="n"/>
      <c r="G687" s="143" t="n"/>
      <c r="H687" s="27" t="n"/>
    </row>
    <row r="688" ht="17.25" customHeight="1" s="322">
      <c r="A688" s="27" t="n"/>
      <c r="B688" s="506" t="n"/>
      <c r="C688" s="141" t="n"/>
      <c r="D688" s="141" t="n"/>
      <c r="E688" s="141" t="n"/>
      <c r="F688" s="141" t="n"/>
      <c r="G688" s="143" t="n"/>
      <c r="H688" s="27" t="n"/>
    </row>
    <row r="689" ht="17.25" customHeight="1" s="322">
      <c r="A689" s="27" t="n"/>
      <c r="B689" s="506" t="n"/>
      <c r="C689" s="141" t="n"/>
      <c r="D689" s="141" t="n"/>
      <c r="E689" s="141" t="n"/>
      <c r="F689" s="141" t="n"/>
      <c r="G689" s="143" t="n"/>
      <c r="H689" s="27" t="n"/>
    </row>
    <row r="690" ht="17.25" customHeight="1" s="322">
      <c r="A690" s="27" t="n"/>
      <c r="B690" s="506" t="n"/>
      <c r="C690" s="141" t="n"/>
      <c r="D690" s="141" t="n"/>
      <c r="E690" s="141" t="n"/>
      <c r="F690" s="141" t="n"/>
      <c r="G690" s="143" t="n"/>
      <c r="H690" s="27" t="n"/>
    </row>
    <row r="691" ht="17.25" customHeight="1" s="322">
      <c r="A691" s="27" t="n"/>
      <c r="B691" s="506" t="n"/>
      <c r="C691" s="141" t="n"/>
      <c r="D691" s="141" t="n"/>
      <c r="E691" s="141" t="n"/>
      <c r="F691" s="141" t="n"/>
      <c r="G691" s="143" t="n"/>
      <c r="H691" s="27" t="n"/>
    </row>
    <row r="692" ht="17.25" customHeight="1" s="322">
      <c r="A692" s="27" t="n"/>
      <c r="B692" s="506" t="n"/>
      <c r="C692" s="141" t="n"/>
      <c r="D692" s="141" t="n"/>
      <c r="E692" s="141" t="n"/>
      <c r="F692" s="141" t="n"/>
      <c r="G692" s="143" t="n"/>
      <c r="H692" s="27" t="n"/>
    </row>
    <row r="693" ht="17.25" customHeight="1" s="322">
      <c r="A693" s="27" t="n"/>
      <c r="B693" s="506" t="n"/>
      <c r="C693" s="141" t="n"/>
      <c r="D693" s="141" t="n"/>
      <c r="E693" s="141" t="n"/>
      <c r="F693" s="141" t="n"/>
      <c r="G693" s="143" t="n"/>
      <c r="H693" s="27" t="n"/>
    </row>
    <row r="694" ht="17.25" customHeight="1" s="322">
      <c r="A694" s="27" t="n"/>
      <c r="B694" s="506" t="n"/>
      <c r="C694" s="141" t="n"/>
      <c r="D694" s="141" t="n"/>
      <c r="E694" s="141" t="n"/>
      <c r="F694" s="141" t="n"/>
      <c r="G694" s="143" t="n"/>
      <c r="H694" s="27" t="n"/>
    </row>
    <row r="695" ht="17.25" customHeight="1" s="322">
      <c r="A695" s="27" t="n"/>
      <c r="B695" s="506" t="n"/>
      <c r="C695" s="141" t="n"/>
      <c r="D695" s="141" t="n"/>
      <c r="E695" s="141" t="n"/>
      <c r="F695" s="141" t="n"/>
      <c r="G695" s="143" t="n"/>
      <c r="H695" s="27" t="n"/>
    </row>
    <row r="696" ht="17.25" customHeight="1" s="322">
      <c r="A696" s="27" t="n"/>
      <c r="B696" s="506" t="n"/>
      <c r="C696" s="141" t="n"/>
      <c r="D696" s="141" t="n"/>
      <c r="E696" s="141" t="n"/>
      <c r="F696" s="141" t="n"/>
      <c r="G696" s="143" t="n"/>
      <c r="H696" s="27" t="n"/>
    </row>
    <row r="697" ht="17.25" customHeight="1" s="322">
      <c r="A697" s="27" t="n"/>
      <c r="B697" s="506" t="n"/>
      <c r="C697" s="141" t="n"/>
      <c r="D697" s="141" t="n"/>
      <c r="E697" s="141" t="n"/>
      <c r="F697" s="141" t="n"/>
      <c r="G697" s="143" t="n"/>
      <c r="H697" s="27" t="n"/>
    </row>
    <row r="698" ht="17.25" customHeight="1" s="322">
      <c r="A698" s="27" t="n"/>
      <c r="B698" s="506" t="n"/>
      <c r="C698" s="141" t="n"/>
      <c r="D698" s="141" t="n"/>
      <c r="E698" s="141" t="n"/>
      <c r="F698" s="141" t="n"/>
      <c r="G698" s="143" t="n"/>
      <c r="H698" s="27" t="n"/>
    </row>
    <row r="699" ht="17.25" customHeight="1" s="322">
      <c r="A699" s="27" t="n"/>
      <c r="B699" s="506" t="n"/>
      <c r="C699" s="141" t="n"/>
      <c r="D699" s="141" t="n"/>
      <c r="E699" s="141" t="n"/>
      <c r="F699" s="141" t="n"/>
      <c r="G699" s="143" t="n"/>
      <c r="H699" s="27" t="n"/>
    </row>
    <row r="700" ht="17.25" customHeight="1" s="322">
      <c r="A700" s="27" t="n"/>
      <c r="B700" s="506" t="n"/>
      <c r="C700" s="141" t="n"/>
      <c r="D700" s="141" t="n"/>
      <c r="E700" s="141" t="n"/>
      <c r="F700" s="141" t="n"/>
      <c r="G700" s="143" t="n"/>
      <c r="H700" s="27" t="n"/>
    </row>
    <row r="701" ht="17.25" customHeight="1" s="322">
      <c r="A701" s="27" t="n"/>
      <c r="B701" s="506" t="n"/>
      <c r="C701" s="141" t="n"/>
      <c r="D701" s="141" t="n"/>
      <c r="E701" s="141" t="n"/>
      <c r="F701" s="141" t="n"/>
      <c r="G701" s="143" t="n"/>
      <c r="H701" s="27" t="n"/>
    </row>
    <row r="702" ht="17.25" customHeight="1" s="322">
      <c r="A702" s="27" t="n"/>
      <c r="B702" s="506" t="n"/>
      <c r="C702" s="141" t="n"/>
      <c r="D702" s="141" t="n"/>
      <c r="E702" s="141" t="n"/>
      <c r="F702" s="141" t="n"/>
      <c r="G702" s="143" t="n"/>
      <c r="H702" s="27" t="n"/>
    </row>
    <row r="703" ht="17.25" customHeight="1" s="322">
      <c r="A703" s="27" t="n"/>
      <c r="B703" s="506" t="n"/>
      <c r="C703" s="141" t="n"/>
      <c r="D703" s="141" t="n"/>
      <c r="E703" s="141" t="n"/>
      <c r="F703" s="141" t="n"/>
      <c r="G703" s="143" t="n"/>
      <c r="H703" s="27" t="n"/>
    </row>
    <row r="704" ht="17.25" customHeight="1" s="322">
      <c r="A704" s="27" t="n"/>
      <c r="B704" s="506" t="n"/>
      <c r="C704" s="141" t="n"/>
      <c r="D704" s="141" t="n"/>
      <c r="E704" s="141" t="n"/>
      <c r="F704" s="141" t="n"/>
      <c r="G704" s="143" t="n"/>
      <c r="H704" s="27" t="n"/>
    </row>
    <row r="705" ht="17.25" customHeight="1" s="322">
      <c r="A705" s="27" t="n"/>
      <c r="B705" s="506" t="n"/>
      <c r="C705" s="141" t="n"/>
      <c r="D705" s="141" t="n"/>
      <c r="E705" s="141" t="n"/>
      <c r="F705" s="141" t="n"/>
      <c r="G705" s="143" t="n"/>
      <c r="H705" s="27" t="n"/>
    </row>
    <row r="706" ht="17.25" customHeight="1" s="322">
      <c r="A706" s="27" t="n"/>
      <c r="B706" s="506" t="n"/>
      <c r="C706" s="141" t="n"/>
      <c r="D706" s="141" t="n"/>
      <c r="E706" s="141" t="n"/>
      <c r="F706" s="141" t="n"/>
      <c r="G706" s="143" t="n"/>
      <c r="H706" s="27" t="n"/>
    </row>
    <row r="707" ht="17.25" customHeight="1" s="322">
      <c r="A707" s="27" t="n"/>
      <c r="B707" s="506" t="n"/>
      <c r="C707" s="141" t="n"/>
      <c r="D707" s="141" t="n"/>
      <c r="E707" s="141" t="n"/>
      <c r="F707" s="141" t="n"/>
      <c r="G707" s="143" t="n"/>
      <c r="H707" s="27" t="n"/>
    </row>
    <row r="708" ht="17.25" customHeight="1" s="322">
      <c r="A708" s="27" t="n"/>
      <c r="B708" s="506" t="n"/>
      <c r="C708" s="141" t="n"/>
      <c r="D708" s="141" t="n"/>
      <c r="E708" s="141" t="n"/>
      <c r="F708" s="141" t="n"/>
      <c r="G708" s="143" t="n"/>
      <c r="H708" s="27" t="n"/>
    </row>
    <row r="709" ht="17.25" customHeight="1" s="322">
      <c r="A709" s="27" t="n"/>
      <c r="B709" s="506" t="n"/>
      <c r="C709" s="141" t="n"/>
      <c r="D709" s="141" t="n"/>
      <c r="E709" s="141" t="n"/>
      <c r="F709" s="141" t="n"/>
      <c r="G709" s="143" t="n"/>
      <c r="H709" s="27" t="n"/>
    </row>
    <row r="710" ht="17.25" customHeight="1" s="322">
      <c r="A710" s="27" t="n"/>
      <c r="B710" s="506" t="n"/>
      <c r="C710" s="141" t="n"/>
      <c r="D710" s="141" t="n"/>
      <c r="E710" s="141" t="n"/>
      <c r="F710" s="141" t="n"/>
      <c r="G710" s="143" t="n"/>
      <c r="H710" s="27" t="n"/>
    </row>
    <row r="711" ht="17.25" customHeight="1" s="322">
      <c r="A711" s="27" t="n"/>
      <c r="B711" s="506" t="n"/>
      <c r="C711" s="141" t="n"/>
      <c r="D711" s="141" t="n"/>
      <c r="E711" s="141" t="n"/>
      <c r="F711" s="141" t="n"/>
      <c r="G711" s="143" t="n"/>
      <c r="H711" s="27" t="n"/>
    </row>
    <row r="712" ht="17.25" customHeight="1" s="322">
      <c r="A712" s="27" t="n"/>
      <c r="B712" s="506" t="n"/>
      <c r="C712" s="141" t="n"/>
      <c r="D712" s="141" t="n"/>
      <c r="E712" s="141" t="n"/>
      <c r="F712" s="141" t="n"/>
      <c r="G712" s="143" t="n"/>
      <c r="H712" s="27" t="n"/>
    </row>
    <row r="713" ht="17.25" customHeight="1" s="322">
      <c r="A713" s="27" t="n"/>
      <c r="B713" s="506" t="n"/>
      <c r="C713" s="141" t="n"/>
      <c r="D713" s="141" t="n"/>
      <c r="E713" s="141" t="n"/>
      <c r="F713" s="141" t="n"/>
      <c r="G713" s="143" t="n"/>
      <c r="H713" s="27" t="n"/>
    </row>
    <row r="714" ht="17.25" customHeight="1" s="322">
      <c r="A714" s="27" t="n"/>
      <c r="B714" s="506" t="n"/>
      <c r="C714" s="141" t="n"/>
      <c r="D714" s="141" t="n"/>
      <c r="E714" s="141" t="n"/>
      <c r="F714" s="141" t="n"/>
      <c r="G714" s="143" t="n"/>
      <c r="H714" s="27" t="n"/>
    </row>
    <row r="715" ht="17.25" customHeight="1" s="322">
      <c r="A715" s="27" t="n"/>
      <c r="B715" s="506" t="n"/>
      <c r="C715" s="141" t="n"/>
      <c r="D715" s="141" t="n"/>
      <c r="E715" s="141" t="n"/>
      <c r="F715" s="141" t="n"/>
      <c r="G715" s="143" t="n"/>
      <c r="H715" s="27" t="n"/>
    </row>
    <row r="716" ht="17.25" customHeight="1" s="322">
      <c r="A716" s="27" t="n"/>
      <c r="B716" s="506" t="n"/>
      <c r="C716" s="141" t="n"/>
      <c r="D716" s="141" t="n"/>
      <c r="E716" s="141" t="n"/>
      <c r="F716" s="141" t="n"/>
      <c r="G716" s="143" t="n"/>
      <c r="H716" s="27" t="n"/>
    </row>
    <row r="717" ht="17.25" customHeight="1" s="322">
      <c r="A717" s="27" t="n"/>
      <c r="B717" s="506" t="n"/>
      <c r="C717" s="141" t="n"/>
      <c r="D717" s="141" t="n"/>
      <c r="E717" s="141" t="n"/>
      <c r="F717" s="141" t="n"/>
      <c r="G717" s="143" t="n"/>
      <c r="H717" s="27" t="n"/>
    </row>
    <row r="718" ht="17.25" customHeight="1" s="322">
      <c r="A718" s="27" t="n"/>
      <c r="B718" s="506" t="n"/>
      <c r="C718" s="141" t="n"/>
      <c r="D718" s="141" t="n"/>
      <c r="E718" s="141" t="n"/>
      <c r="F718" s="141" t="n"/>
      <c r="G718" s="143" t="n"/>
      <c r="H718" s="27" t="n"/>
    </row>
    <row r="719" ht="17.25" customHeight="1" s="322">
      <c r="A719" s="27" t="n"/>
      <c r="B719" s="506" t="n"/>
      <c r="C719" s="141" t="n"/>
      <c r="D719" s="141" t="n"/>
      <c r="E719" s="141" t="n"/>
      <c r="F719" s="141" t="n"/>
      <c r="G719" s="143" t="n"/>
      <c r="H719" s="27" t="n"/>
    </row>
    <row r="720" ht="17.25" customHeight="1" s="322">
      <c r="A720" s="27" t="n"/>
      <c r="B720" s="506" t="n"/>
      <c r="C720" s="141" t="n"/>
      <c r="D720" s="141" t="n"/>
      <c r="E720" s="141" t="n"/>
      <c r="F720" s="141" t="n"/>
      <c r="G720" s="143" t="n"/>
      <c r="H720" s="27" t="n"/>
    </row>
    <row r="721" ht="17.25" customHeight="1" s="322">
      <c r="A721" s="27" t="n"/>
      <c r="B721" s="506" t="n"/>
      <c r="C721" s="141" t="n"/>
      <c r="D721" s="141" t="n"/>
      <c r="E721" s="141" t="n"/>
      <c r="F721" s="141" t="n"/>
      <c r="G721" s="143" t="n"/>
      <c r="H721" s="27" t="n"/>
    </row>
    <row r="722" ht="17.25" customHeight="1" s="322">
      <c r="A722" s="27" t="n"/>
      <c r="B722" s="506" t="n"/>
      <c r="C722" s="141" t="n"/>
      <c r="D722" s="141" t="n"/>
      <c r="E722" s="141" t="n"/>
      <c r="F722" s="141" t="n"/>
      <c r="G722" s="143" t="n"/>
      <c r="H722" s="27" t="n"/>
    </row>
    <row r="723" ht="17.25" customHeight="1" s="322">
      <c r="A723" s="27" t="n"/>
      <c r="B723" s="506" t="n"/>
      <c r="C723" s="141" t="n"/>
      <c r="D723" s="141" t="n"/>
      <c r="E723" s="141" t="n"/>
      <c r="F723" s="141" t="n"/>
      <c r="G723" s="143" t="n"/>
      <c r="H723" s="27" t="n"/>
    </row>
    <row r="724" ht="17.25" customHeight="1" s="322">
      <c r="A724" s="27" t="n"/>
      <c r="B724" s="506" t="n"/>
      <c r="C724" s="141" t="n"/>
      <c r="D724" s="141" t="n"/>
      <c r="E724" s="141" t="n"/>
      <c r="F724" s="141" t="n"/>
      <c r="G724" s="143" t="n"/>
      <c r="H724" s="27" t="n"/>
    </row>
    <row r="725" ht="17.25" customHeight="1" s="322">
      <c r="A725" s="27" t="n"/>
      <c r="B725" s="506" t="n"/>
      <c r="C725" s="141" t="n"/>
      <c r="D725" s="141" t="n"/>
      <c r="E725" s="141" t="n"/>
      <c r="F725" s="141" t="n"/>
      <c r="G725" s="143" t="n"/>
      <c r="H725" s="27" t="n"/>
    </row>
    <row r="726" ht="17.25" customHeight="1" s="322">
      <c r="A726" s="27" t="n"/>
      <c r="B726" s="506" t="n"/>
      <c r="C726" s="141" t="n"/>
      <c r="D726" s="141" t="n"/>
      <c r="E726" s="141" t="n"/>
      <c r="F726" s="141" t="n"/>
      <c r="G726" s="143" t="n"/>
      <c r="H726" s="27" t="n"/>
    </row>
    <row r="727" ht="17.25" customHeight="1" s="322">
      <c r="A727" s="27" t="n"/>
      <c r="B727" s="506" t="n"/>
      <c r="C727" s="141" t="n"/>
      <c r="D727" s="141" t="n"/>
      <c r="E727" s="141" t="n"/>
      <c r="F727" s="141" t="n"/>
      <c r="G727" s="143" t="n"/>
      <c r="H727" s="27" t="n"/>
    </row>
    <row r="728" ht="17.25" customHeight="1" s="322">
      <c r="A728" s="27" t="n"/>
      <c r="B728" s="506" t="n"/>
      <c r="C728" s="141" t="n"/>
      <c r="D728" s="141" t="n"/>
      <c r="E728" s="141" t="n"/>
      <c r="F728" s="141" t="n"/>
      <c r="G728" s="143" t="n"/>
      <c r="H728" s="27" t="n"/>
    </row>
    <row r="729" ht="17.25" customHeight="1" s="322">
      <c r="A729" s="27" t="n"/>
      <c r="B729" s="506" t="n"/>
      <c r="C729" s="141" t="n"/>
      <c r="D729" s="141" t="n"/>
      <c r="E729" s="141" t="n"/>
      <c r="F729" s="141" t="n"/>
      <c r="G729" s="143" t="n"/>
      <c r="H729" s="27" t="n"/>
    </row>
    <row r="730" ht="17.25" customHeight="1" s="322">
      <c r="A730" s="27" t="n"/>
      <c r="B730" s="506" t="n"/>
      <c r="C730" s="141" t="n"/>
      <c r="D730" s="141" t="n"/>
      <c r="E730" s="141" t="n"/>
      <c r="F730" s="141" t="n"/>
      <c r="G730" s="143" t="n"/>
      <c r="H730" s="27" t="n"/>
    </row>
    <row r="731" ht="17.25" customHeight="1" s="322">
      <c r="A731" s="27" t="n"/>
      <c r="B731" s="506" t="n"/>
      <c r="C731" s="141" t="n"/>
      <c r="D731" s="141" t="n"/>
      <c r="E731" s="141" t="n"/>
      <c r="F731" s="141" t="n"/>
      <c r="G731" s="143" t="n"/>
      <c r="H731" s="27" t="n"/>
    </row>
    <row r="732" ht="17.25" customHeight="1" s="322">
      <c r="A732" s="27" t="n"/>
      <c r="B732" s="506" t="n"/>
      <c r="C732" s="141" t="n"/>
      <c r="D732" s="141" t="n"/>
      <c r="E732" s="141" t="n"/>
      <c r="F732" s="141" t="n"/>
      <c r="G732" s="143" t="n"/>
      <c r="H732" s="27" t="n"/>
    </row>
    <row r="733" ht="17.25" customHeight="1" s="322">
      <c r="A733" s="27" t="n"/>
      <c r="B733" s="506" t="n"/>
      <c r="C733" s="141" t="n"/>
      <c r="D733" s="141" t="n"/>
      <c r="E733" s="141" t="n"/>
      <c r="F733" s="141" t="n"/>
      <c r="G733" s="143" t="n"/>
      <c r="H733" s="27" t="n"/>
    </row>
    <row r="734" ht="17.25" customHeight="1" s="322">
      <c r="A734" s="27" t="n"/>
      <c r="B734" s="506" t="n"/>
      <c r="C734" s="141" t="n"/>
      <c r="D734" s="141" t="n"/>
      <c r="E734" s="141" t="n"/>
      <c r="F734" s="141" t="n"/>
      <c r="G734" s="143" t="n"/>
      <c r="H734" s="27" t="n"/>
    </row>
    <row r="735" ht="17.25" customHeight="1" s="322">
      <c r="A735" s="27" t="n"/>
      <c r="B735" s="506" t="n"/>
      <c r="C735" s="141" t="n"/>
      <c r="D735" s="141" t="n"/>
      <c r="E735" s="141" t="n"/>
      <c r="F735" s="141" t="n"/>
      <c r="G735" s="143" t="n"/>
      <c r="H735" s="27" t="n"/>
    </row>
    <row r="736" ht="17.25" customHeight="1" s="322">
      <c r="A736" s="27" t="n"/>
      <c r="B736" s="506" t="n"/>
      <c r="C736" s="141" t="n"/>
      <c r="D736" s="141" t="n"/>
      <c r="E736" s="141" t="n"/>
      <c r="F736" s="141" t="n"/>
      <c r="G736" s="143" t="n"/>
      <c r="H736" s="27" t="n"/>
    </row>
    <row r="737" ht="17.25" customHeight="1" s="322">
      <c r="A737" s="27" t="n"/>
      <c r="B737" s="506" t="n"/>
      <c r="C737" s="141" t="n"/>
      <c r="D737" s="141" t="n"/>
      <c r="E737" s="141" t="n"/>
      <c r="F737" s="141" t="n"/>
      <c r="G737" s="143" t="n"/>
      <c r="H737" s="27" t="n"/>
    </row>
    <row r="738" ht="17.25" customHeight="1" s="322">
      <c r="A738" s="27" t="n"/>
      <c r="B738" s="506" t="n"/>
      <c r="C738" s="141" t="n"/>
      <c r="D738" s="141" t="n"/>
      <c r="E738" s="141" t="n"/>
      <c r="F738" s="141" t="n"/>
      <c r="G738" s="143" t="n"/>
      <c r="H738" s="27" t="n"/>
    </row>
    <row r="739" ht="17.25" customHeight="1" s="322">
      <c r="A739" s="27" t="n"/>
      <c r="B739" s="506" t="n"/>
      <c r="C739" s="141" t="n"/>
      <c r="D739" s="141" t="n"/>
      <c r="E739" s="141" t="n"/>
      <c r="F739" s="141" t="n"/>
      <c r="G739" s="143" t="n"/>
      <c r="H739" s="27" t="n"/>
    </row>
    <row r="740" ht="17.25" customHeight="1" s="322">
      <c r="A740" s="27" t="n"/>
      <c r="B740" s="506" t="n"/>
      <c r="C740" s="141" t="n"/>
      <c r="D740" s="141" t="n"/>
      <c r="E740" s="141" t="n"/>
      <c r="F740" s="141" t="n"/>
      <c r="G740" s="143" t="n"/>
      <c r="H740" s="27" t="n"/>
    </row>
    <row r="741" ht="17.25" customHeight="1" s="322">
      <c r="A741" s="27" t="n"/>
      <c r="B741" s="506" t="n"/>
      <c r="C741" s="141" t="n"/>
      <c r="D741" s="141" t="n"/>
      <c r="E741" s="141" t="n"/>
      <c r="F741" s="141" t="n"/>
      <c r="G741" s="143" t="n"/>
      <c r="H741" s="27" t="n"/>
    </row>
    <row r="742" ht="17.25" customHeight="1" s="322">
      <c r="A742" s="27" t="n"/>
      <c r="B742" s="506" t="n"/>
      <c r="C742" s="141" t="n"/>
      <c r="D742" s="141" t="n"/>
      <c r="E742" s="141" t="n"/>
      <c r="F742" s="141" t="n"/>
      <c r="G742" s="143" t="n"/>
      <c r="H742" s="27" t="n"/>
    </row>
    <row r="743" ht="17.25" customHeight="1" s="322">
      <c r="A743" s="27" t="n"/>
      <c r="B743" s="506" t="n"/>
      <c r="C743" s="141" t="n"/>
      <c r="D743" s="141" t="n"/>
      <c r="E743" s="141" t="n"/>
      <c r="F743" s="141" t="n"/>
      <c r="G743" s="143" t="n"/>
      <c r="H743" s="27" t="n"/>
    </row>
    <row r="744" ht="17.25" customHeight="1" s="322">
      <c r="A744" s="27" t="n"/>
      <c r="B744" s="506" t="n"/>
      <c r="C744" s="141" t="n"/>
      <c r="D744" s="141" t="n"/>
      <c r="E744" s="141" t="n"/>
      <c r="F744" s="141" t="n"/>
      <c r="G744" s="143" t="n"/>
      <c r="H744" s="27" t="n"/>
    </row>
    <row r="745" ht="17.25" customHeight="1" s="322">
      <c r="A745" s="27" t="n"/>
      <c r="B745" s="506" t="n"/>
      <c r="C745" s="141" t="n"/>
      <c r="D745" s="141" t="n"/>
      <c r="E745" s="141" t="n"/>
      <c r="F745" s="141" t="n"/>
      <c r="G745" s="143" t="n"/>
      <c r="H745" s="27" t="n"/>
    </row>
    <row r="746" ht="17.25" customHeight="1" s="322">
      <c r="A746" s="27" t="n"/>
      <c r="B746" s="506" t="n"/>
      <c r="C746" s="141" t="n"/>
      <c r="D746" s="141" t="n"/>
      <c r="E746" s="141" t="n"/>
      <c r="F746" s="141" t="n"/>
      <c r="G746" s="143" t="n"/>
      <c r="H746" s="27" t="n"/>
    </row>
    <row r="747" ht="17.25" customHeight="1" s="322">
      <c r="A747" s="27" t="n"/>
      <c r="B747" s="506" t="n"/>
      <c r="C747" s="141" t="n"/>
      <c r="D747" s="141" t="n"/>
      <c r="E747" s="141" t="n"/>
      <c r="F747" s="141" t="n"/>
      <c r="G747" s="143" t="n"/>
      <c r="H747" s="27" t="n"/>
    </row>
    <row r="748" ht="17.25" customHeight="1" s="322">
      <c r="A748" s="27" t="n"/>
      <c r="B748" s="506" t="n"/>
      <c r="C748" s="141" t="n"/>
      <c r="D748" s="141" t="n"/>
      <c r="E748" s="141" t="n"/>
      <c r="F748" s="141" t="n"/>
      <c r="G748" s="143" t="n"/>
      <c r="H748" s="27" t="n"/>
    </row>
    <row r="749" ht="17.25" customHeight="1" s="322">
      <c r="A749" s="27" t="n"/>
      <c r="B749" s="506" t="n"/>
      <c r="C749" s="141" t="n"/>
      <c r="D749" s="141" t="n"/>
      <c r="E749" s="141" t="n"/>
      <c r="F749" s="141" t="n"/>
      <c r="G749" s="143" t="n"/>
      <c r="H749" s="27" t="n"/>
    </row>
    <row r="750" ht="17.25" customHeight="1" s="322">
      <c r="A750" s="27" t="n"/>
      <c r="B750" s="506" t="n"/>
      <c r="C750" s="141" t="n"/>
      <c r="D750" s="141" t="n"/>
      <c r="E750" s="141" t="n"/>
      <c r="F750" s="141" t="n"/>
      <c r="G750" s="143" t="n"/>
      <c r="H750" s="27" t="n"/>
    </row>
    <row r="751" ht="17.25" customHeight="1" s="322">
      <c r="A751" s="27" t="n"/>
      <c r="B751" s="506" t="n"/>
      <c r="C751" s="141" t="n"/>
      <c r="D751" s="141" t="n"/>
      <c r="E751" s="141" t="n"/>
      <c r="F751" s="141" t="n"/>
      <c r="G751" s="143" t="n"/>
      <c r="H751" s="27" t="n"/>
    </row>
    <row r="752" ht="17.25" customHeight="1" s="322">
      <c r="A752" s="27" t="n"/>
      <c r="B752" s="506" t="n"/>
      <c r="C752" s="141" t="n"/>
      <c r="D752" s="141" t="n"/>
      <c r="E752" s="141" t="n"/>
      <c r="F752" s="141" t="n"/>
      <c r="G752" s="143" t="n"/>
      <c r="H752" s="27" t="n"/>
    </row>
    <row r="753" ht="17.25" customHeight="1" s="322">
      <c r="A753" s="27" t="n"/>
      <c r="B753" s="506" t="n"/>
      <c r="C753" s="141" t="n"/>
      <c r="D753" s="141" t="n"/>
      <c r="E753" s="141" t="n"/>
      <c r="F753" s="141" t="n"/>
      <c r="G753" s="143" t="n"/>
      <c r="H753" s="27" t="n"/>
    </row>
    <row r="754" ht="17.25" customHeight="1" s="322">
      <c r="A754" s="27" t="n"/>
      <c r="B754" s="506" t="n"/>
      <c r="C754" s="141" t="n"/>
      <c r="D754" s="141" t="n"/>
      <c r="E754" s="141" t="n"/>
      <c r="F754" s="141" t="n"/>
      <c r="G754" s="143" t="n"/>
      <c r="H754" s="27" t="n"/>
    </row>
    <row r="755" ht="17.25" customHeight="1" s="322">
      <c r="A755" s="27" t="n"/>
      <c r="B755" s="506" t="n"/>
      <c r="C755" s="141" t="n"/>
      <c r="D755" s="141" t="n"/>
      <c r="E755" s="141" t="n"/>
      <c r="F755" s="141" t="n"/>
      <c r="G755" s="143" t="n"/>
      <c r="H755" s="27" t="n"/>
    </row>
    <row r="756" ht="17.25" customHeight="1" s="322">
      <c r="A756" s="27" t="n"/>
      <c r="B756" s="506" t="n"/>
      <c r="C756" s="141" t="n"/>
      <c r="D756" s="141" t="n"/>
      <c r="E756" s="141" t="n"/>
      <c r="F756" s="141" t="n"/>
      <c r="G756" s="143" t="n"/>
      <c r="H756" s="27" t="n"/>
    </row>
    <row r="757" ht="17.25" customHeight="1" s="322">
      <c r="A757" s="27" t="n"/>
      <c r="B757" s="506" t="n"/>
      <c r="C757" s="141" t="n"/>
      <c r="D757" s="141" t="n"/>
      <c r="E757" s="141" t="n"/>
      <c r="F757" s="141" t="n"/>
      <c r="G757" s="143" t="n"/>
      <c r="H757" s="27" t="n"/>
    </row>
    <row r="758" ht="17.25" customHeight="1" s="322">
      <c r="A758" s="27" t="n"/>
      <c r="B758" s="506" t="n"/>
      <c r="C758" s="141" t="n"/>
      <c r="D758" s="141" t="n"/>
      <c r="E758" s="141" t="n"/>
      <c r="F758" s="141" t="n"/>
      <c r="G758" s="143" t="n"/>
      <c r="H758" s="27" t="n"/>
    </row>
    <row r="759" ht="17.25" customHeight="1" s="322">
      <c r="A759" s="27" t="n"/>
      <c r="B759" s="506" t="n"/>
      <c r="C759" s="141" t="n"/>
      <c r="D759" s="141" t="n"/>
      <c r="E759" s="141" t="n"/>
      <c r="F759" s="141" t="n"/>
      <c r="G759" s="143" t="n"/>
      <c r="H759" s="27" t="n"/>
    </row>
    <row r="760" ht="17.25" customHeight="1" s="322">
      <c r="A760" s="27" t="n"/>
      <c r="B760" s="506" t="n"/>
      <c r="C760" s="141" t="n"/>
      <c r="D760" s="141" t="n"/>
      <c r="E760" s="141" t="n"/>
      <c r="F760" s="141" t="n"/>
      <c r="G760" s="143" t="n"/>
      <c r="H760" s="27" t="n"/>
    </row>
    <row r="761" ht="17.25" customHeight="1" s="322">
      <c r="A761" s="27" t="n"/>
      <c r="B761" s="506" t="n"/>
      <c r="C761" s="141" t="n"/>
      <c r="D761" s="141" t="n"/>
      <c r="E761" s="141" t="n"/>
      <c r="F761" s="141" t="n"/>
      <c r="G761" s="143" t="n"/>
      <c r="H761" s="27" t="n"/>
    </row>
    <row r="762" ht="17.25" customHeight="1" s="322">
      <c r="A762" s="27" t="n"/>
      <c r="B762" s="506" t="n"/>
      <c r="C762" s="141" t="n"/>
      <c r="D762" s="141" t="n"/>
      <c r="E762" s="141" t="n"/>
      <c r="F762" s="141" t="n"/>
      <c r="G762" s="143" t="n"/>
      <c r="H762" s="27" t="n"/>
    </row>
    <row r="763" ht="17.25" customHeight="1" s="322">
      <c r="A763" s="27" t="n"/>
      <c r="B763" s="506" t="n"/>
      <c r="C763" s="141" t="n"/>
      <c r="D763" s="141" t="n"/>
      <c r="E763" s="141" t="n"/>
      <c r="F763" s="141" t="n"/>
      <c r="G763" s="143" t="n"/>
      <c r="H763" s="27" t="n"/>
    </row>
    <row r="764" ht="17.25" customHeight="1" s="322">
      <c r="A764" s="27" t="n"/>
      <c r="B764" s="506" t="n"/>
      <c r="C764" s="141" t="n"/>
      <c r="D764" s="141" t="n"/>
      <c r="E764" s="141" t="n"/>
      <c r="F764" s="141" t="n"/>
      <c r="G764" s="143" t="n"/>
      <c r="H764" s="27" t="n"/>
    </row>
    <row r="765" ht="17.25" customHeight="1" s="322">
      <c r="A765" s="27" t="n"/>
      <c r="B765" s="506" t="n"/>
      <c r="C765" s="141" t="n"/>
      <c r="D765" s="141" t="n"/>
      <c r="E765" s="141" t="n"/>
      <c r="F765" s="141" t="n"/>
      <c r="G765" s="143" t="n"/>
      <c r="H765" s="27" t="n"/>
    </row>
    <row r="766" ht="17.25" customHeight="1" s="322">
      <c r="A766" s="27" t="n"/>
      <c r="B766" s="506" t="n"/>
      <c r="C766" s="141" t="n"/>
      <c r="D766" s="141" t="n"/>
      <c r="E766" s="141" t="n"/>
      <c r="F766" s="141" t="n"/>
      <c r="G766" s="143" t="n"/>
      <c r="H766" s="27" t="n"/>
    </row>
    <row r="767" ht="17.25" customHeight="1" s="322">
      <c r="A767" s="27" t="n"/>
      <c r="B767" s="506" t="n"/>
      <c r="C767" s="141" t="n"/>
      <c r="D767" s="141" t="n"/>
      <c r="E767" s="141" t="n"/>
      <c r="F767" s="141" t="n"/>
      <c r="G767" s="143" t="n"/>
      <c r="H767" s="27" t="n"/>
    </row>
    <row r="768" ht="17.25" customHeight="1" s="322">
      <c r="A768" s="27" t="n"/>
      <c r="B768" s="506" t="n"/>
      <c r="C768" s="141" t="n"/>
      <c r="D768" s="141" t="n"/>
      <c r="E768" s="141" t="n"/>
      <c r="F768" s="141" t="n"/>
      <c r="G768" s="143" t="n"/>
      <c r="H768" s="27" t="n"/>
    </row>
    <row r="769" ht="17.25" customHeight="1" s="322">
      <c r="A769" s="27" t="n"/>
      <c r="B769" s="506" t="n"/>
      <c r="C769" s="141" t="n"/>
      <c r="D769" s="141" t="n"/>
      <c r="E769" s="141" t="n"/>
      <c r="F769" s="141" t="n"/>
      <c r="G769" s="143" t="n"/>
      <c r="H769" s="27" t="n"/>
    </row>
    <row r="770" ht="17.25" customHeight="1" s="322">
      <c r="A770" s="27" t="n"/>
      <c r="B770" s="506" t="n"/>
      <c r="C770" s="141" t="n"/>
      <c r="D770" s="141" t="n"/>
      <c r="E770" s="141" t="n"/>
      <c r="F770" s="141" t="n"/>
      <c r="G770" s="143" t="n"/>
      <c r="H770" s="27" t="n"/>
    </row>
    <row r="771" ht="17.25" customHeight="1" s="322">
      <c r="A771" s="27" t="n"/>
      <c r="B771" s="506" t="n"/>
      <c r="C771" s="141" t="n"/>
      <c r="D771" s="141" t="n"/>
      <c r="E771" s="141" t="n"/>
      <c r="F771" s="141" t="n"/>
      <c r="G771" s="143" t="n"/>
      <c r="H771" s="27" t="n"/>
    </row>
    <row r="772" ht="17.25" customHeight="1" s="322">
      <c r="A772" s="27" t="n"/>
      <c r="B772" s="506" t="n"/>
      <c r="C772" s="141" t="n"/>
      <c r="D772" s="141" t="n"/>
      <c r="E772" s="141" t="n"/>
      <c r="F772" s="141" t="n"/>
      <c r="G772" s="143" t="n"/>
      <c r="H772" s="27" t="n"/>
    </row>
    <row r="773" ht="17.25" customHeight="1" s="322">
      <c r="A773" s="27" t="n"/>
      <c r="B773" s="506" t="n"/>
      <c r="C773" s="141" t="n"/>
      <c r="D773" s="141" t="n"/>
      <c r="E773" s="141" t="n"/>
      <c r="F773" s="141" t="n"/>
      <c r="G773" s="143" t="n"/>
      <c r="H773" s="27" t="n"/>
    </row>
    <row r="774" ht="17.25" customHeight="1" s="322">
      <c r="A774" s="27" t="n"/>
      <c r="B774" s="506" t="n"/>
      <c r="C774" s="141" t="n"/>
      <c r="D774" s="141" t="n"/>
      <c r="E774" s="141" t="n"/>
      <c r="F774" s="141" t="n"/>
      <c r="G774" s="143" t="n"/>
      <c r="H774" s="27" t="n"/>
    </row>
    <row r="775" ht="17.25" customHeight="1" s="322">
      <c r="A775" s="27" t="n"/>
      <c r="B775" s="506" t="n"/>
      <c r="C775" s="141" t="n"/>
      <c r="D775" s="141" t="n"/>
      <c r="E775" s="141" t="n"/>
      <c r="F775" s="141" t="n"/>
      <c r="G775" s="143" t="n"/>
      <c r="H775" s="27" t="n"/>
    </row>
    <row r="776" ht="17.25" customHeight="1" s="322">
      <c r="A776" s="27" t="n"/>
      <c r="B776" s="506" t="n"/>
      <c r="C776" s="141" t="n"/>
      <c r="D776" s="141" t="n"/>
      <c r="E776" s="141" t="n"/>
      <c r="F776" s="141" t="n"/>
      <c r="G776" s="143" t="n"/>
      <c r="H776" s="27" t="n"/>
    </row>
    <row r="777" ht="17.25" customHeight="1" s="322">
      <c r="A777" s="27" t="n"/>
      <c r="B777" s="506" t="n"/>
      <c r="C777" s="141" t="n"/>
      <c r="D777" s="141" t="n"/>
      <c r="E777" s="141" t="n"/>
      <c r="F777" s="141" t="n"/>
      <c r="G777" s="143" t="n"/>
      <c r="H777" s="27" t="n"/>
    </row>
    <row r="778" ht="17.25" customHeight="1" s="322">
      <c r="A778" s="27" t="n"/>
      <c r="B778" s="506" t="n"/>
      <c r="C778" s="141" t="n"/>
      <c r="D778" s="141" t="n"/>
      <c r="E778" s="141" t="n"/>
      <c r="F778" s="141" t="n"/>
      <c r="G778" s="143" t="n"/>
      <c r="H778" s="27" t="n"/>
    </row>
    <row r="779" ht="17.25" customHeight="1" s="322">
      <c r="A779" s="27" t="n"/>
      <c r="B779" s="506" t="n"/>
      <c r="C779" s="141" t="n"/>
      <c r="D779" s="141" t="n"/>
      <c r="E779" s="141" t="n"/>
      <c r="F779" s="141" t="n"/>
      <c r="G779" s="143" t="n"/>
      <c r="H779" s="27" t="n"/>
    </row>
    <row r="780" ht="17.25" customHeight="1" s="322">
      <c r="A780" s="27" t="n"/>
      <c r="B780" s="506" t="n"/>
      <c r="C780" s="141" t="n"/>
      <c r="D780" s="141" t="n"/>
      <c r="E780" s="141" t="n"/>
      <c r="F780" s="141" t="n"/>
      <c r="G780" s="143" t="n"/>
      <c r="H780" s="27" t="n"/>
    </row>
    <row r="781" ht="17.25" customHeight="1" s="322">
      <c r="A781" s="27" t="n"/>
      <c r="B781" s="506" t="n"/>
      <c r="C781" s="141" t="n"/>
      <c r="D781" s="141" t="n"/>
      <c r="E781" s="141" t="n"/>
      <c r="F781" s="141" t="n"/>
      <c r="G781" s="143" t="n"/>
      <c r="H781" s="27" t="n"/>
    </row>
    <row r="782" ht="17.25" customHeight="1" s="322">
      <c r="A782" s="27" t="n"/>
      <c r="B782" s="506" t="n"/>
      <c r="C782" s="141" t="n"/>
      <c r="D782" s="141" t="n"/>
      <c r="E782" s="141" t="n"/>
      <c r="F782" s="141" t="n"/>
      <c r="G782" s="143" t="n"/>
      <c r="H782" s="27" t="n"/>
    </row>
    <row r="783" ht="17.25" customHeight="1" s="322">
      <c r="A783" s="27" t="n"/>
      <c r="B783" s="506" t="n"/>
      <c r="C783" s="141" t="n"/>
      <c r="D783" s="141" t="n"/>
      <c r="E783" s="141" t="n"/>
      <c r="F783" s="141" t="n"/>
      <c r="G783" s="143" t="n"/>
      <c r="H783" s="27" t="n"/>
    </row>
    <row r="784" ht="17.25" customHeight="1" s="322">
      <c r="A784" s="27" t="n"/>
      <c r="B784" s="506" t="n"/>
      <c r="C784" s="141" t="n"/>
      <c r="D784" s="141" t="n"/>
      <c r="E784" s="141" t="n"/>
      <c r="F784" s="141" t="n"/>
      <c r="G784" s="143" t="n"/>
      <c r="H784" s="27" t="n"/>
    </row>
    <row r="785" ht="17.25" customHeight="1" s="322">
      <c r="A785" s="27" t="n"/>
      <c r="B785" s="506" t="n"/>
      <c r="C785" s="141" t="n"/>
      <c r="D785" s="141" t="n"/>
      <c r="E785" s="141" t="n"/>
      <c r="F785" s="141" t="n"/>
      <c r="G785" s="143" t="n"/>
      <c r="H785" s="27" t="n"/>
    </row>
    <row r="786" ht="17.25" customHeight="1" s="322">
      <c r="A786" s="27" t="n"/>
      <c r="B786" s="506" t="n"/>
      <c r="C786" s="141" t="n"/>
      <c r="D786" s="141" t="n"/>
      <c r="E786" s="141" t="n"/>
      <c r="F786" s="141" t="n"/>
      <c r="G786" s="143" t="n"/>
      <c r="H786" s="27" t="n"/>
    </row>
    <row r="787" ht="17.25" customHeight="1" s="322">
      <c r="A787" s="27" t="n"/>
      <c r="B787" s="506" t="n"/>
      <c r="C787" s="141" t="n"/>
      <c r="D787" s="141" t="n"/>
      <c r="E787" s="141" t="n"/>
      <c r="F787" s="141" t="n"/>
      <c r="G787" s="143" t="n"/>
      <c r="H787" s="27" t="n"/>
    </row>
    <row r="788" ht="17.25" customHeight="1" s="322">
      <c r="A788" s="27" t="n"/>
      <c r="B788" s="506" t="n"/>
      <c r="C788" s="141" t="n"/>
      <c r="D788" s="141" t="n"/>
      <c r="E788" s="141" t="n"/>
      <c r="F788" s="141" t="n"/>
      <c r="G788" s="143" t="n"/>
      <c r="H788" s="27" t="n"/>
    </row>
    <row r="789" ht="17.25" customHeight="1" s="322">
      <c r="A789" s="27" t="n"/>
      <c r="B789" s="506" t="n"/>
      <c r="C789" s="141" t="n"/>
      <c r="D789" s="141" t="n"/>
      <c r="E789" s="141" t="n"/>
      <c r="F789" s="141" t="n"/>
      <c r="G789" s="143" t="n"/>
      <c r="H789" s="27" t="n"/>
    </row>
    <row r="790" ht="17.25" customHeight="1" s="322">
      <c r="A790" s="27" t="n"/>
      <c r="B790" s="506" t="n"/>
      <c r="C790" s="141" t="n"/>
      <c r="D790" s="141" t="n"/>
      <c r="E790" s="141" t="n"/>
      <c r="F790" s="141" t="n"/>
      <c r="G790" s="143" t="n"/>
      <c r="H790" s="27" t="n"/>
    </row>
    <row r="791" ht="17.25" customHeight="1" s="322">
      <c r="A791" s="27" t="n"/>
      <c r="B791" s="506" t="n"/>
      <c r="C791" s="141" t="n"/>
      <c r="D791" s="141" t="n"/>
      <c r="E791" s="141" t="n"/>
      <c r="F791" s="141" t="n"/>
      <c r="G791" s="143" t="n"/>
      <c r="H791" s="27" t="n"/>
    </row>
    <row r="792" ht="17.25" customHeight="1" s="322">
      <c r="A792" s="27" t="n"/>
      <c r="B792" s="506" t="n"/>
      <c r="C792" s="141" t="n"/>
      <c r="D792" s="141" t="n"/>
      <c r="E792" s="141" t="n"/>
      <c r="F792" s="141" t="n"/>
      <c r="G792" s="143" t="n"/>
      <c r="H792" s="27" t="n"/>
    </row>
    <row r="793" ht="17.25" customHeight="1" s="322">
      <c r="A793" s="27" t="n"/>
      <c r="B793" s="506" t="n"/>
      <c r="C793" s="141" t="n"/>
      <c r="D793" s="141" t="n"/>
      <c r="E793" s="141" t="n"/>
      <c r="F793" s="141" t="n"/>
      <c r="G793" s="143" t="n"/>
      <c r="H793" s="27" t="n"/>
    </row>
    <row r="794" ht="17.25" customHeight="1" s="322">
      <c r="A794" s="27" t="n"/>
      <c r="B794" s="506" t="n"/>
      <c r="C794" s="141" t="n"/>
      <c r="D794" s="141" t="n"/>
      <c r="E794" s="141" t="n"/>
      <c r="F794" s="141" t="n"/>
      <c r="G794" s="143" t="n"/>
      <c r="H794" s="27" t="n"/>
    </row>
    <row r="795" ht="17.25" customHeight="1" s="322">
      <c r="A795" s="27" t="n"/>
      <c r="B795" s="506" t="n"/>
      <c r="C795" s="141" t="n"/>
      <c r="D795" s="141" t="n"/>
      <c r="E795" s="141" t="n"/>
      <c r="F795" s="141" t="n"/>
      <c r="G795" s="143" t="n"/>
      <c r="H795" s="27" t="n"/>
    </row>
    <row r="796" ht="17.25" customHeight="1" s="322">
      <c r="A796" s="27" t="n"/>
      <c r="B796" s="506" t="n"/>
      <c r="C796" s="141" t="n"/>
      <c r="D796" s="141" t="n"/>
      <c r="E796" s="141" t="n"/>
      <c r="F796" s="141" t="n"/>
      <c r="G796" s="143" t="n"/>
      <c r="H796" s="27" t="n"/>
    </row>
    <row r="797" ht="17.25" customHeight="1" s="322">
      <c r="A797" s="27" t="n"/>
      <c r="B797" s="506" t="n"/>
      <c r="C797" s="141" t="n"/>
      <c r="D797" s="141" t="n"/>
      <c r="E797" s="141" t="n"/>
      <c r="F797" s="141" t="n"/>
      <c r="G797" s="143" t="n"/>
      <c r="H797" s="27" t="n"/>
    </row>
    <row r="798" ht="17.25" customHeight="1" s="322">
      <c r="A798" s="27" t="n"/>
      <c r="B798" s="506" t="n"/>
      <c r="C798" s="141" t="n"/>
      <c r="D798" s="141" t="n"/>
      <c r="E798" s="141" t="n"/>
      <c r="F798" s="141" t="n"/>
      <c r="G798" s="143" t="n"/>
      <c r="H798" s="27" t="n"/>
    </row>
    <row r="799" ht="17.25" customHeight="1" s="322">
      <c r="A799" s="27" t="n"/>
      <c r="B799" s="506" t="n"/>
      <c r="C799" s="141" t="n"/>
      <c r="D799" s="141" t="n"/>
      <c r="E799" s="141" t="n"/>
      <c r="F799" s="141" t="n"/>
      <c r="G799" s="143" t="n"/>
      <c r="H799" s="27" t="n"/>
    </row>
    <row r="800" ht="17.25" customHeight="1" s="322">
      <c r="A800" s="27" t="n"/>
      <c r="B800" s="506" t="n"/>
      <c r="C800" s="141" t="n"/>
      <c r="D800" s="141" t="n"/>
      <c r="E800" s="141" t="n"/>
      <c r="F800" s="141" t="n"/>
      <c r="G800" s="143" t="n"/>
      <c r="H800" s="27" t="n"/>
    </row>
    <row r="801" ht="17.25" customHeight="1" s="322">
      <c r="A801" s="27" t="n"/>
      <c r="B801" s="506" t="n"/>
      <c r="C801" s="141" t="n"/>
      <c r="D801" s="141" t="n"/>
      <c r="E801" s="141" t="n"/>
      <c r="F801" s="141" t="n"/>
      <c r="G801" s="143" t="n"/>
      <c r="H801" s="27" t="n"/>
    </row>
    <row r="802" ht="17.25" customHeight="1" s="322">
      <c r="A802" s="27" t="n"/>
      <c r="B802" s="506" t="n"/>
      <c r="C802" s="141" t="n"/>
      <c r="D802" s="141" t="n"/>
      <c r="E802" s="141" t="n"/>
      <c r="F802" s="141" t="n"/>
      <c r="G802" s="143" t="n"/>
      <c r="H802" s="27" t="n"/>
    </row>
    <row r="803" ht="17.25" customHeight="1" s="322">
      <c r="A803" s="27" t="n"/>
      <c r="B803" s="506" t="n"/>
      <c r="C803" s="141" t="n"/>
      <c r="D803" s="141" t="n"/>
      <c r="E803" s="141" t="n"/>
      <c r="F803" s="141" t="n"/>
      <c r="G803" s="143" t="n"/>
      <c r="H803" s="27" t="n"/>
    </row>
    <row r="804" ht="17.25" customHeight="1" s="322">
      <c r="A804" s="27" t="n"/>
      <c r="B804" s="506" t="n"/>
      <c r="C804" s="141" t="n"/>
      <c r="D804" s="141" t="n"/>
      <c r="E804" s="141" t="n"/>
      <c r="F804" s="141" t="n"/>
      <c r="G804" s="143" t="n"/>
      <c r="H804" s="27" t="n"/>
    </row>
    <row r="805" ht="17.25" customHeight="1" s="322">
      <c r="A805" s="27" t="n"/>
      <c r="B805" s="506" t="n"/>
      <c r="C805" s="141" t="n"/>
      <c r="D805" s="141" t="n"/>
      <c r="E805" s="141" t="n"/>
      <c r="F805" s="141" t="n"/>
      <c r="G805" s="143" t="n"/>
      <c r="H805" s="27" t="n"/>
    </row>
    <row r="806" ht="17.25" customHeight="1" s="322">
      <c r="A806" s="27" t="n"/>
      <c r="B806" s="506" t="n"/>
      <c r="C806" s="141" t="n"/>
      <c r="D806" s="141" t="n"/>
      <c r="E806" s="141" t="n"/>
      <c r="F806" s="141" t="n"/>
      <c r="G806" s="143" t="n"/>
      <c r="H806" s="27" t="n"/>
    </row>
    <row r="807" ht="17.25" customHeight="1" s="322">
      <c r="A807" s="27" t="n"/>
      <c r="B807" s="506" t="n"/>
      <c r="C807" s="141" t="n"/>
      <c r="D807" s="141" t="n"/>
      <c r="E807" s="141" t="n"/>
      <c r="F807" s="141" t="n"/>
      <c r="G807" s="143" t="n"/>
      <c r="H807" s="27" t="n"/>
    </row>
    <row r="808" ht="17.25" customHeight="1" s="322">
      <c r="A808" s="27" t="n"/>
      <c r="B808" s="506" t="n"/>
      <c r="C808" s="141" t="n"/>
      <c r="D808" s="141" t="n"/>
      <c r="E808" s="141" t="n"/>
      <c r="F808" s="141" t="n"/>
      <c r="G808" s="143" t="n"/>
      <c r="H808" s="27" t="n"/>
    </row>
    <row r="809" ht="17.25" customHeight="1" s="322">
      <c r="A809" s="27" t="n"/>
      <c r="B809" s="506" t="n"/>
      <c r="C809" s="141" t="n"/>
      <c r="D809" s="141" t="n"/>
      <c r="E809" s="141" t="n"/>
      <c r="F809" s="141" t="n"/>
      <c r="G809" s="143" t="n"/>
      <c r="H809" s="27" t="n"/>
    </row>
    <row r="810" ht="17.25" customHeight="1" s="322">
      <c r="A810" s="27" t="n"/>
      <c r="B810" s="506" t="n"/>
      <c r="C810" s="141" t="n"/>
      <c r="D810" s="141" t="n"/>
      <c r="E810" s="141" t="n"/>
      <c r="F810" s="141" t="n"/>
      <c r="G810" s="143" t="n"/>
      <c r="H810" s="27" t="n"/>
    </row>
    <row r="811" ht="17.25" customHeight="1" s="322">
      <c r="A811" s="27" t="n"/>
      <c r="B811" s="506" t="n"/>
      <c r="C811" s="141" t="n"/>
      <c r="D811" s="141" t="n"/>
      <c r="E811" s="141" t="n"/>
      <c r="F811" s="141" t="n"/>
      <c r="G811" s="143" t="n"/>
      <c r="H811" s="27" t="n"/>
    </row>
    <row r="812" ht="17.25" customHeight="1" s="322">
      <c r="A812" s="27" t="n"/>
      <c r="B812" s="506" t="n"/>
      <c r="C812" s="141" t="n"/>
      <c r="D812" s="141" t="n"/>
      <c r="E812" s="141" t="n"/>
      <c r="F812" s="141" t="n"/>
      <c r="G812" s="143" t="n"/>
      <c r="H812" s="27" t="n"/>
    </row>
    <row r="813" ht="17.25" customHeight="1" s="322">
      <c r="A813" s="27" t="n"/>
      <c r="B813" s="506" t="n"/>
      <c r="C813" s="141" t="n"/>
      <c r="D813" s="141" t="n"/>
      <c r="E813" s="141" t="n"/>
      <c r="F813" s="141" t="n"/>
      <c r="G813" s="143" t="n"/>
      <c r="H813" s="27" t="n"/>
    </row>
    <row r="814" ht="17.25" customHeight="1" s="322">
      <c r="A814" s="27" t="n"/>
      <c r="B814" s="506" t="n"/>
      <c r="C814" s="141" t="n"/>
      <c r="D814" s="141" t="n"/>
      <c r="E814" s="141" t="n"/>
      <c r="F814" s="141" t="n"/>
      <c r="G814" s="143" t="n"/>
      <c r="H814" s="27" t="n"/>
    </row>
    <row r="815" ht="17.25" customHeight="1" s="322">
      <c r="A815" s="27" t="n"/>
      <c r="B815" s="506" t="n"/>
      <c r="C815" s="141" t="n"/>
      <c r="D815" s="141" t="n"/>
      <c r="E815" s="141" t="n"/>
      <c r="F815" s="141" t="n"/>
      <c r="G815" s="143" t="n"/>
      <c r="H815" s="27" t="n"/>
    </row>
    <row r="816" ht="17.25" customHeight="1" s="322">
      <c r="A816" s="27" t="n"/>
      <c r="B816" s="506" t="n"/>
      <c r="C816" s="141" t="n"/>
      <c r="D816" s="141" t="n"/>
      <c r="E816" s="141" t="n"/>
      <c r="F816" s="141" t="n"/>
      <c r="G816" s="143" t="n"/>
      <c r="H816" s="27" t="n"/>
    </row>
    <row r="817" ht="17.25" customHeight="1" s="322">
      <c r="A817" s="27" t="n"/>
      <c r="B817" s="506" t="n"/>
      <c r="C817" s="141" t="n"/>
      <c r="D817" s="141" t="n"/>
      <c r="E817" s="141" t="n"/>
      <c r="F817" s="141" t="n"/>
      <c r="G817" s="143" t="n"/>
      <c r="H817" s="27" t="n"/>
    </row>
    <row r="818" ht="17.25" customHeight="1" s="322">
      <c r="A818" s="27" t="n"/>
      <c r="B818" s="506" t="n"/>
      <c r="C818" s="141" t="n"/>
      <c r="D818" s="141" t="n"/>
      <c r="E818" s="141" t="n"/>
      <c r="F818" s="141" t="n"/>
      <c r="G818" s="143" t="n"/>
      <c r="H818" s="27" t="n"/>
    </row>
    <row r="819" ht="17.25" customHeight="1" s="322">
      <c r="A819" s="27" t="n"/>
      <c r="B819" s="506" t="n"/>
      <c r="C819" s="141" t="n"/>
      <c r="D819" s="141" t="n"/>
      <c r="E819" s="141" t="n"/>
      <c r="F819" s="141" t="n"/>
      <c r="G819" s="143" t="n"/>
      <c r="H819" s="27" t="n"/>
    </row>
    <row r="820" ht="17.25" customHeight="1" s="322">
      <c r="A820" s="27" t="n"/>
      <c r="B820" s="506" t="n"/>
      <c r="C820" s="141" t="n"/>
      <c r="D820" s="141" t="n"/>
      <c r="E820" s="141" t="n"/>
      <c r="F820" s="141" t="n"/>
      <c r="G820" s="143" t="n"/>
      <c r="H820" s="27" t="n"/>
    </row>
    <row r="821" ht="17.25" customHeight="1" s="322">
      <c r="A821" s="27" t="n"/>
      <c r="B821" s="506" t="n"/>
      <c r="C821" s="141" t="n"/>
      <c r="D821" s="141" t="n"/>
      <c r="E821" s="141" t="n"/>
      <c r="F821" s="141" t="n"/>
      <c r="G821" s="143" t="n"/>
      <c r="H821" s="27" t="n"/>
    </row>
    <row r="822" ht="17.25" customHeight="1" s="322">
      <c r="A822" s="27" t="n"/>
      <c r="B822" s="506" t="n"/>
      <c r="C822" s="141" t="n"/>
      <c r="D822" s="141" t="n"/>
      <c r="E822" s="141" t="n"/>
      <c r="F822" s="141" t="n"/>
      <c r="G822" s="143" t="n"/>
      <c r="H822" s="27" t="n"/>
    </row>
    <row r="823" ht="17.25" customHeight="1" s="322">
      <c r="A823" s="27" t="n"/>
      <c r="B823" s="506" t="n"/>
      <c r="C823" s="141" t="n"/>
      <c r="D823" s="141" t="n"/>
      <c r="E823" s="141" t="n"/>
      <c r="F823" s="141" t="n"/>
      <c r="G823" s="143" t="n"/>
      <c r="H823" s="27" t="n"/>
    </row>
    <row r="824" ht="17.25" customHeight="1" s="322">
      <c r="A824" s="27" t="n"/>
      <c r="B824" s="506" t="n"/>
      <c r="C824" s="141" t="n"/>
      <c r="D824" s="141" t="n"/>
      <c r="E824" s="141" t="n"/>
      <c r="F824" s="141" t="n"/>
      <c r="G824" s="143" t="n"/>
      <c r="H824" s="27" t="n"/>
    </row>
    <row r="825" ht="17.25" customHeight="1" s="322">
      <c r="A825" s="27" t="n"/>
      <c r="B825" s="506" t="n"/>
      <c r="C825" s="141" t="n"/>
      <c r="D825" s="141" t="n"/>
      <c r="E825" s="141" t="n"/>
      <c r="F825" s="141" t="n"/>
      <c r="G825" s="143" t="n"/>
      <c r="H825" s="27" t="n"/>
    </row>
    <row r="826" ht="17.25" customHeight="1" s="322">
      <c r="A826" s="27" t="n"/>
      <c r="B826" s="506" t="n"/>
      <c r="C826" s="141" t="n"/>
      <c r="D826" s="141" t="n"/>
      <c r="E826" s="141" t="n"/>
      <c r="F826" s="141" t="n"/>
      <c r="G826" s="143" t="n"/>
      <c r="H826" s="27" t="n"/>
    </row>
    <row r="827" ht="17.25" customHeight="1" s="322">
      <c r="A827" s="27" t="n"/>
      <c r="B827" s="506" t="n"/>
      <c r="C827" s="141" t="n"/>
      <c r="D827" s="141" t="n"/>
      <c r="E827" s="141" t="n"/>
      <c r="F827" s="141" t="n"/>
      <c r="G827" s="143" t="n"/>
      <c r="H827" s="27" t="n"/>
    </row>
    <row r="828" ht="17.25" customHeight="1" s="322">
      <c r="A828" s="27" t="n"/>
      <c r="B828" s="506" t="n"/>
      <c r="C828" s="141" t="n"/>
      <c r="D828" s="141" t="n"/>
      <c r="E828" s="141" t="n"/>
      <c r="F828" s="141" t="n"/>
      <c r="G828" s="143" t="n"/>
      <c r="H828" s="27" t="n"/>
    </row>
    <row r="829" ht="17.25" customHeight="1" s="322">
      <c r="A829" s="27" t="n"/>
      <c r="B829" s="506" t="n"/>
      <c r="C829" s="141" t="n"/>
      <c r="D829" s="141" t="n"/>
      <c r="E829" s="141" t="n"/>
      <c r="F829" s="141" t="n"/>
      <c r="G829" s="143" t="n"/>
      <c r="H829" s="27" t="n"/>
    </row>
    <row r="830" ht="17.25" customHeight="1" s="322">
      <c r="A830" s="27" t="n"/>
      <c r="B830" s="506" t="n"/>
      <c r="C830" s="141" t="n"/>
      <c r="D830" s="141" t="n"/>
      <c r="E830" s="141" t="n"/>
      <c r="F830" s="141" t="n"/>
      <c r="G830" s="143" t="n"/>
      <c r="H830" s="27" t="n"/>
    </row>
    <row r="831" ht="17.25" customHeight="1" s="322">
      <c r="A831" s="27" t="n"/>
      <c r="B831" s="506" t="n"/>
      <c r="C831" s="141" t="n"/>
      <c r="D831" s="141" t="n"/>
      <c r="E831" s="141" t="n"/>
      <c r="F831" s="141" t="n"/>
      <c r="G831" s="143" t="n"/>
      <c r="H831" s="27" t="n"/>
    </row>
    <row r="832" ht="17.25" customHeight="1" s="322">
      <c r="A832" s="27" t="n"/>
      <c r="B832" s="506" t="n"/>
      <c r="C832" s="141" t="n"/>
      <c r="D832" s="141" t="n"/>
      <c r="E832" s="141" t="n"/>
      <c r="F832" s="141" t="n"/>
      <c r="G832" s="143" t="n"/>
      <c r="H832" s="27" t="n"/>
    </row>
    <row r="833" ht="17.25" customHeight="1" s="322">
      <c r="A833" s="27" t="n"/>
      <c r="B833" s="506" t="n"/>
      <c r="C833" s="141" t="n"/>
      <c r="D833" s="141" t="n"/>
      <c r="E833" s="141" t="n"/>
      <c r="F833" s="141" t="n"/>
      <c r="G833" s="143" t="n"/>
      <c r="H833" s="27" t="n"/>
    </row>
    <row r="834" ht="17.25" customHeight="1" s="322">
      <c r="A834" s="27" t="n"/>
      <c r="B834" s="506" t="n"/>
      <c r="C834" s="141" t="n"/>
      <c r="D834" s="141" t="n"/>
      <c r="E834" s="141" t="n"/>
      <c r="F834" s="141" t="n"/>
      <c r="G834" s="143" t="n"/>
      <c r="H834" s="27" t="n"/>
    </row>
    <row r="835" ht="17.25" customHeight="1" s="322">
      <c r="A835" s="27" t="n"/>
      <c r="B835" s="506" t="n"/>
      <c r="C835" s="141" t="n"/>
      <c r="D835" s="141" t="n"/>
      <c r="E835" s="141" t="n"/>
      <c r="F835" s="141" t="n"/>
      <c r="G835" s="143" t="n"/>
      <c r="H835" s="27" t="n"/>
    </row>
    <row r="836" ht="17.25" customHeight="1" s="322">
      <c r="A836" s="27" t="n"/>
      <c r="B836" s="506" t="n"/>
      <c r="C836" s="141" t="n"/>
      <c r="D836" s="141" t="n"/>
      <c r="E836" s="141" t="n"/>
      <c r="F836" s="141" t="n"/>
      <c r="G836" s="143" t="n"/>
      <c r="H836" s="27" t="n"/>
    </row>
    <row r="837" ht="17.25" customHeight="1" s="322">
      <c r="A837" s="27" t="n"/>
      <c r="B837" s="506" t="n"/>
      <c r="C837" s="141" t="n"/>
      <c r="D837" s="141" t="n"/>
      <c r="E837" s="141" t="n"/>
      <c r="F837" s="141" t="n"/>
      <c r="G837" s="143" t="n"/>
      <c r="H837" s="27" t="n"/>
    </row>
    <row r="838" ht="17.25" customHeight="1" s="322">
      <c r="A838" s="27" t="n"/>
      <c r="B838" s="506" t="n"/>
      <c r="C838" s="141" t="n"/>
      <c r="D838" s="141" t="n"/>
      <c r="E838" s="141" t="n"/>
      <c r="F838" s="141" t="n"/>
      <c r="G838" s="143" t="n"/>
      <c r="H838" s="27" t="n"/>
    </row>
    <row r="839" ht="17.25" customHeight="1" s="322">
      <c r="A839" s="27" t="n"/>
      <c r="B839" s="506" t="n"/>
      <c r="C839" s="141" t="n"/>
      <c r="D839" s="141" t="n"/>
      <c r="E839" s="141" t="n"/>
      <c r="F839" s="141" t="n"/>
      <c r="G839" s="143" t="n"/>
      <c r="H839" s="27" t="n"/>
    </row>
    <row r="840" ht="17.25" customHeight="1" s="322">
      <c r="A840" s="27" t="n"/>
      <c r="B840" s="506" t="n"/>
      <c r="C840" s="141" t="n"/>
      <c r="D840" s="141" t="n"/>
      <c r="E840" s="141" t="n"/>
      <c r="F840" s="141" t="n"/>
      <c r="G840" s="143" t="n"/>
      <c r="H840" s="27" t="n"/>
    </row>
    <row r="841" ht="17.25" customHeight="1" s="322">
      <c r="A841" s="27" t="n"/>
      <c r="B841" s="506" t="n"/>
      <c r="C841" s="141" t="n"/>
      <c r="D841" s="141" t="n"/>
      <c r="E841" s="141" t="n"/>
      <c r="F841" s="141" t="n"/>
      <c r="G841" s="143" t="n"/>
      <c r="H841" s="27" t="n"/>
    </row>
    <row r="842" ht="17.25" customHeight="1" s="322">
      <c r="A842" s="27" t="n"/>
      <c r="B842" s="506" t="n"/>
      <c r="C842" s="141" t="n"/>
      <c r="D842" s="141" t="n"/>
      <c r="E842" s="141" t="n"/>
      <c r="F842" s="141" t="n"/>
      <c r="G842" s="143" t="n"/>
      <c r="H842" s="27" t="n"/>
    </row>
    <row r="843" ht="17.25" customHeight="1" s="322">
      <c r="A843" s="27" t="n"/>
      <c r="B843" s="506" t="n"/>
      <c r="C843" s="141" t="n"/>
      <c r="D843" s="141" t="n"/>
      <c r="E843" s="141" t="n"/>
      <c r="F843" s="141" t="n"/>
      <c r="G843" s="143" t="n"/>
      <c r="H843" s="27" t="n"/>
    </row>
    <row r="844" ht="17.25" customHeight="1" s="322">
      <c r="A844" s="27" t="n"/>
      <c r="B844" s="506" t="n"/>
      <c r="C844" s="141" t="n"/>
      <c r="D844" s="141" t="n"/>
      <c r="E844" s="141" t="n"/>
      <c r="F844" s="141" t="n"/>
      <c r="G844" s="143" t="n"/>
      <c r="H844" s="27" t="n"/>
    </row>
    <row r="845" ht="17.25" customHeight="1" s="322">
      <c r="A845" s="27" t="n"/>
      <c r="B845" s="506" t="n"/>
      <c r="C845" s="141" t="n"/>
      <c r="D845" s="141" t="n"/>
      <c r="E845" s="141" t="n"/>
      <c r="F845" s="141" t="n"/>
      <c r="G845" s="143" t="n"/>
      <c r="H845" s="27" t="n"/>
    </row>
    <row r="846" ht="17.25" customHeight="1" s="322">
      <c r="A846" s="27" t="n"/>
      <c r="B846" s="506" t="n"/>
      <c r="C846" s="141" t="n"/>
      <c r="D846" s="141" t="n"/>
      <c r="E846" s="141" t="n"/>
      <c r="F846" s="141" t="n"/>
      <c r="G846" s="143" t="n"/>
      <c r="H846" s="27" t="n"/>
    </row>
    <row r="847" ht="17.25" customHeight="1" s="322">
      <c r="A847" s="27" t="n"/>
      <c r="B847" s="506" t="n"/>
      <c r="C847" s="141" t="n"/>
      <c r="D847" s="141" t="n"/>
      <c r="E847" s="141" t="n"/>
      <c r="F847" s="141" t="n"/>
      <c r="G847" s="143" t="n"/>
      <c r="H847" s="27" t="n"/>
    </row>
    <row r="848" ht="17.25" customHeight="1" s="322">
      <c r="A848" s="27" t="n"/>
      <c r="B848" s="506" t="n"/>
      <c r="C848" s="141" t="n"/>
      <c r="D848" s="141" t="n"/>
      <c r="E848" s="141" t="n"/>
      <c r="F848" s="141" t="n"/>
      <c r="G848" s="143" t="n"/>
      <c r="H848" s="27" t="n"/>
    </row>
    <row r="849" ht="17.25" customHeight="1" s="322">
      <c r="A849" s="27" t="n"/>
      <c r="B849" s="506" t="n"/>
      <c r="C849" s="141" t="n"/>
      <c r="D849" s="141" t="n"/>
      <c r="E849" s="141" t="n"/>
      <c r="F849" s="141" t="n"/>
      <c r="G849" s="143" t="n"/>
      <c r="H849" s="27" t="n"/>
    </row>
    <row r="850" ht="17.25" customHeight="1" s="322">
      <c r="A850" s="27" t="n"/>
      <c r="B850" s="506" t="n"/>
      <c r="C850" s="141" t="n"/>
      <c r="D850" s="141" t="n"/>
      <c r="E850" s="141" t="n"/>
      <c r="F850" s="141" t="n"/>
      <c r="G850" s="143" t="n"/>
      <c r="H850" s="27" t="n"/>
    </row>
    <row r="851" ht="17.25" customHeight="1" s="322">
      <c r="A851" s="27" t="n"/>
      <c r="B851" s="506" t="n"/>
      <c r="C851" s="141" t="n"/>
      <c r="D851" s="141" t="n"/>
      <c r="E851" s="141" t="n"/>
      <c r="F851" s="141" t="n"/>
      <c r="G851" s="143" t="n"/>
      <c r="H851" s="27" t="n"/>
    </row>
    <row r="852" ht="17.25" customHeight="1" s="322">
      <c r="A852" s="27" t="n"/>
      <c r="B852" s="506" t="n"/>
      <c r="C852" s="141" t="n"/>
      <c r="D852" s="141" t="n"/>
      <c r="E852" s="141" t="n"/>
      <c r="F852" s="141" t="n"/>
      <c r="G852" s="143" t="n"/>
      <c r="H852" s="27" t="n"/>
    </row>
    <row r="853" ht="17.25" customHeight="1" s="322">
      <c r="A853" s="27" t="n"/>
      <c r="B853" s="506" t="n"/>
      <c r="C853" s="141" t="n"/>
      <c r="D853" s="141" t="n"/>
      <c r="E853" s="141" t="n"/>
      <c r="F853" s="141" t="n"/>
      <c r="G853" s="143" t="n"/>
      <c r="H853" s="27" t="n"/>
    </row>
    <row r="854" ht="17.25" customHeight="1" s="322">
      <c r="A854" s="27" t="n"/>
      <c r="B854" s="506" t="n"/>
      <c r="C854" s="141" t="n"/>
      <c r="D854" s="141" t="n"/>
      <c r="E854" s="141" t="n"/>
      <c r="F854" s="141" t="n"/>
      <c r="G854" s="143" t="n"/>
      <c r="H854" s="27" t="n"/>
    </row>
    <row r="855" ht="17.25" customHeight="1" s="322">
      <c r="A855" s="27" t="n"/>
      <c r="B855" s="506" t="n"/>
      <c r="C855" s="141" t="n"/>
      <c r="D855" s="141" t="n"/>
      <c r="E855" s="141" t="n"/>
      <c r="F855" s="141" t="n"/>
      <c r="G855" s="143" t="n"/>
      <c r="H855" s="27" t="n"/>
    </row>
    <row r="856" ht="17.25" customHeight="1" s="322">
      <c r="A856" s="27" t="n"/>
      <c r="B856" s="506" t="n"/>
      <c r="C856" s="141" t="n"/>
      <c r="D856" s="141" t="n"/>
      <c r="E856" s="141" t="n"/>
      <c r="F856" s="141" t="n"/>
      <c r="G856" s="143" t="n"/>
      <c r="H856" s="27" t="n"/>
    </row>
    <row r="857" ht="17.25" customHeight="1" s="322">
      <c r="A857" s="27" t="n"/>
      <c r="B857" s="506" t="n"/>
      <c r="C857" s="141" t="n"/>
      <c r="D857" s="141" t="n"/>
      <c r="E857" s="141" t="n"/>
      <c r="F857" s="141" t="n"/>
      <c r="G857" s="143" t="n"/>
      <c r="H857" s="27" t="n"/>
    </row>
    <row r="858" ht="17.25" customHeight="1" s="322">
      <c r="A858" s="27" t="n"/>
      <c r="B858" s="506" t="n"/>
      <c r="C858" s="141" t="n"/>
      <c r="D858" s="141" t="n"/>
      <c r="E858" s="141" t="n"/>
      <c r="F858" s="141" t="n"/>
      <c r="G858" s="143" t="n"/>
      <c r="H858" s="27" t="n"/>
    </row>
    <row r="859" ht="17.25" customHeight="1" s="322">
      <c r="A859" s="27" t="n"/>
      <c r="B859" s="506" t="n"/>
      <c r="C859" s="141" t="n"/>
      <c r="D859" s="141" t="n"/>
      <c r="E859" s="141" t="n"/>
      <c r="F859" s="141" t="n"/>
      <c r="G859" s="143" t="n"/>
      <c r="H859" s="27" t="n"/>
    </row>
    <row r="860" ht="17.25" customHeight="1" s="322">
      <c r="A860" s="27" t="n"/>
      <c r="B860" s="506" t="n"/>
      <c r="C860" s="141" t="n"/>
      <c r="D860" s="141" t="n"/>
      <c r="E860" s="141" t="n"/>
      <c r="F860" s="141" t="n"/>
      <c r="G860" s="143" t="n"/>
      <c r="H860" s="27" t="n"/>
    </row>
    <row r="861" ht="17.25" customHeight="1" s="322">
      <c r="A861" s="27" t="n"/>
      <c r="B861" s="506" t="n"/>
      <c r="C861" s="141" t="n"/>
      <c r="D861" s="141" t="n"/>
      <c r="E861" s="141" t="n"/>
      <c r="F861" s="141" t="n"/>
      <c r="G861" s="143" t="n"/>
      <c r="H861" s="27" t="n"/>
    </row>
    <row r="862" ht="17.25" customHeight="1" s="322">
      <c r="A862" s="27" t="n"/>
      <c r="B862" s="506" t="n"/>
      <c r="C862" s="141" t="n"/>
      <c r="D862" s="141" t="n"/>
      <c r="E862" s="141" t="n"/>
      <c r="F862" s="141" t="n"/>
      <c r="G862" s="143" t="n"/>
      <c r="H862" s="27" t="n"/>
    </row>
    <row r="863" ht="17.25" customHeight="1" s="322">
      <c r="A863" s="27" t="n"/>
      <c r="B863" s="506" t="n"/>
      <c r="C863" s="141" t="n"/>
      <c r="D863" s="141" t="n"/>
      <c r="E863" s="141" t="n"/>
      <c r="F863" s="141" t="n"/>
      <c r="G863" s="143" t="n"/>
      <c r="H863" s="27" t="n"/>
    </row>
    <row r="864" ht="17.25" customHeight="1" s="322">
      <c r="A864" s="27" t="n"/>
      <c r="B864" s="506" t="n"/>
      <c r="C864" s="141" t="n"/>
      <c r="D864" s="141" t="n"/>
      <c r="E864" s="141" t="n"/>
      <c r="F864" s="141" t="n"/>
      <c r="G864" s="143" t="n"/>
      <c r="H864" s="27" t="n"/>
    </row>
    <row r="865" ht="17.25" customHeight="1" s="322">
      <c r="A865" s="27" t="n"/>
      <c r="B865" s="506" t="n"/>
      <c r="C865" s="141" t="n"/>
      <c r="D865" s="141" t="n"/>
      <c r="E865" s="141" t="n"/>
      <c r="F865" s="141" t="n"/>
      <c r="G865" s="143" t="n"/>
      <c r="H865" s="27" t="n"/>
    </row>
    <row r="866" ht="17.25" customHeight="1" s="322">
      <c r="A866" s="27" t="n"/>
      <c r="B866" s="506" t="n"/>
      <c r="C866" s="141" t="n"/>
      <c r="D866" s="141" t="n"/>
      <c r="E866" s="141" t="n"/>
      <c r="F866" s="141" t="n"/>
      <c r="G866" s="143" t="n"/>
      <c r="H866" s="27" t="n"/>
    </row>
    <row r="867" ht="17.25" customHeight="1" s="322">
      <c r="A867" s="27" t="n"/>
      <c r="B867" s="506" t="n"/>
      <c r="C867" s="141" t="n"/>
      <c r="D867" s="141" t="n"/>
      <c r="E867" s="141" t="n"/>
      <c r="F867" s="141" t="n"/>
      <c r="G867" s="143" t="n"/>
      <c r="H867" s="27" t="n"/>
    </row>
    <row r="868" ht="17.25" customHeight="1" s="322">
      <c r="A868" s="27" t="n"/>
      <c r="B868" s="506" t="n"/>
      <c r="C868" s="141" t="n"/>
      <c r="D868" s="141" t="n"/>
      <c r="E868" s="141" t="n"/>
      <c r="F868" s="141" t="n"/>
      <c r="G868" s="143" t="n"/>
      <c r="H868" s="27" t="n"/>
    </row>
    <row r="869" ht="17.25" customHeight="1" s="322">
      <c r="A869" s="27" t="n"/>
      <c r="B869" s="506" t="n"/>
      <c r="C869" s="141" t="n"/>
      <c r="D869" s="141" t="n"/>
      <c r="E869" s="141" t="n"/>
      <c r="F869" s="141" t="n"/>
      <c r="G869" s="143" t="n"/>
      <c r="H869" s="27" t="n"/>
    </row>
    <row r="870" ht="17.25" customHeight="1" s="322">
      <c r="A870" s="27" t="n"/>
      <c r="B870" s="506" t="n"/>
      <c r="C870" s="141" t="n"/>
      <c r="D870" s="141" t="n"/>
      <c r="E870" s="141" t="n"/>
      <c r="F870" s="141" t="n"/>
      <c r="G870" s="143" t="n"/>
      <c r="H870" s="27" t="n"/>
    </row>
    <row r="871" ht="17.25" customHeight="1" s="322">
      <c r="A871" s="27" t="n"/>
      <c r="B871" s="506" t="n"/>
      <c r="C871" s="141" t="n"/>
      <c r="D871" s="141" t="n"/>
      <c r="E871" s="141" t="n"/>
      <c r="F871" s="141" t="n"/>
      <c r="G871" s="143" t="n"/>
      <c r="H871" s="27" t="n"/>
    </row>
    <row r="872" ht="17.25" customHeight="1" s="322">
      <c r="A872" s="27" t="n"/>
      <c r="B872" s="506" t="n"/>
      <c r="C872" s="141" t="n"/>
      <c r="D872" s="141" t="n"/>
      <c r="E872" s="141" t="n"/>
      <c r="F872" s="141" t="n"/>
      <c r="G872" s="143" t="n"/>
      <c r="H872" s="27" t="n"/>
    </row>
    <row r="873" ht="17.25" customHeight="1" s="322">
      <c r="A873" s="27" t="n"/>
      <c r="B873" s="506" t="n"/>
      <c r="C873" s="141" t="n"/>
      <c r="D873" s="141" t="n"/>
      <c r="E873" s="141" t="n"/>
      <c r="F873" s="141" t="n"/>
      <c r="G873" s="143" t="n"/>
      <c r="H873" s="27" t="n"/>
    </row>
    <row r="874" ht="17.25" customHeight="1" s="322">
      <c r="A874" s="27" t="n"/>
      <c r="B874" s="506" t="n"/>
      <c r="C874" s="141" t="n"/>
      <c r="D874" s="141" t="n"/>
      <c r="E874" s="141" t="n"/>
      <c r="F874" s="141" t="n"/>
      <c r="G874" s="143" t="n"/>
      <c r="H874" s="27" t="n"/>
    </row>
    <row r="875" ht="17.25" customHeight="1" s="322">
      <c r="A875" s="27" t="n"/>
      <c r="B875" s="506" t="n"/>
      <c r="C875" s="141" t="n"/>
      <c r="D875" s="141" t="n"/>
      <c r="E875" s="141" t="n"/>
      <c r="F875" s="141" t="n"/>
      <c r="G875" s="143" t="n"/>
      <c r="H875" s="27" t="n"/>
    </row>
    <row r="876" ht="17.25" customHeight="1" s="322">
      <c r="A876" s="27" t="n"/>
      <c r="B876" s="506" t="n"/>
      <c r="C876" s="141" t="n"/>
      <c r="D876" s="141" t="n"/>
      <c r="E876" s="141" t="n"/>
      <c r="F876" s="141" t="n"/>
      <c r="G876" s="143" t="n"/>
      <c r="H876" s="27" t="n"/>
    </row>
    <row r="877" ht="17.25" customHeight="1" s="322">
      <c r="A877" s="27" t="n"/>
      <c r="B877" s="506" t="n"/>
      <c r="C877" s="141" t="n"/>
      <c r="D877" s="141" t="n"/>
      <c r="E877" s="141" t="n"/>
      <c r="F877" s="141" t="n"/>
      <c r="G877" s="143" t="n"/>
      <c r="H877" s="27" t="n"/>
    </row>
    <row r="878" ht="17.25" customHeight="1" s="322">
      <c r="A878" s="27" t="n"/>
      <c r="B878" s="506" t="n"/>
      <c r="C878" s="141" t="n"/>
      <c r="D878" s="141" t="n"/>
      <c r="E878" s="141" t="n"/>
      <c r="F878" s="141" t="n"/>
      <c r="G878" s="143" t="n"/>
      <c r="H878" s="27" t="n"/>
    </row>
    <row r="879" ht="17.25" customHeight="1" s="322">
      <c r="A879" s="27" t="n"/>
      <c r="B879" s="506" t="n"/>
      <c r="C879" s="141" t="n"/>
      <c r="D879" s="141" t="n"/>
      <c r="E879" s="141" t="n"/>
      <c r="F879" s="141" t="n"/>
      <c r="G879" s="143" t="n"/>
      <c r="H879" s="27" t="n"/>
    </row>
    <row r="880" ht="17.25" customHeight="1" s="322">
      <c r="A880" s="27" t="n"/>
      <c r="B880" s="506" t="n"/>
      <c r="C880" s="141" t="n"/>
      <c r="D880" s="141" t="n"/>
      <c r="E880" s="141" t="n"/>
      <c r="F880" s="141" t="n"/>
      <c r="G880" s="143" t="n"/>
      <c r="H880" s="27" t="n"/>
    </row>
    <row r="881" ht="17.25" customHeight="1" s="322">
      <c r="A881" s="27" t="n"/>
      <c r="B881" s="506" t="n"/>
      <c r="C881" s="141" t="n"/>
      <c r="D881" s="141" t="n"/>
      <c r="E881" s="141" t="n"/>
      <c r="F881" s="141" t="n"/>
      <c r="G881" s="143" t="n"/>
      <c r="H881" s="27" t="n"/>
    </row>
    <row r="882" ht="17.25" customHeight="1" s="322">
      <c r="A882" s="27" t="n"/>
      <c r="B882" s="506" t="n"/>
      <c r="C882" s="141" t="n"/>
      <c r="D882" s="141" t="n"/>
      <c r="E882" s="141" t="n"/>
      <c r="F882" s="141" t="n"/>
      <c r="G882" s="143" t="n"/>
      <c r="H882" s="27" t="n"/>
    </row>
    <row r="883" ht="17.25" customHeight="1" s="322">
      <c r="A883" s="27" t="n"/>
      <c r="B883" s="506" t="n"/>
      <c r="C883" s="141" t="n"/>
      <c r="D883" s="141" t="n"/>
      <c r="E883" s="141" t="n"/>
      <c r="F883" s="141" t="n"/>
      <c r="G883" s="143" t="n"/>
      <c r="H883" s="27" t="n"/>
    </row>
    <row r="884" ht="17.25" customHeight="1" s="322">
      <c r="A884" s="27" t="n"/>
      <c r="B884" s="506" t="n"/>
      <c r="C884" s="141" t="n"/>
      <c r="D884" s="141" t="n"/>
      <c r="E884" s="141" t="n"/>
      <c r="F884" s="141" t="n"/>
      <c r="G884" s="143" t="n"/>
      <c r="H884" s="27" t="n"/>
    </row>
    <row r="885" ht="17.25" customHeight="1" s="322">
      <c r="A885" s="27" t="n"/>
      <c r="B885" s="506" t="n"/>
      <c r="C885" s="141" t="n"/>
      <c r="D885" s="141" t="n"/>
      <c r="E885" s="141" t="n"/>
      <c r="F885" s="141" t="n"/>
      <c r="G885" s="143" t="n"/>
      <c r="H885" s="27" t="n"/>
    </row>
    <row r="886" ht="17.25" customHeight="1" s="322">
      <c r="A886" s="27" t="n"/>
      <c r="B886" s="506" t="n"/>
      <c r="C886" s="141" t="n"/>
      <c r="D886" s="141" t="n"/>
      <c r="E886" s="141" t="n"/>
      <c r="F886" s="141" t="n"/>
      <c r="G886" s="143" t="n"/>
      <c r="H886" s="27" t="n"/>
    </row>
    <row r="887" ht="17.25" customHeight="1" s="322">
      <c r="A887" s="27" t="n"/>
      <c r="B887" s="506" t="n"/>
      <c r="C887" s="141" t="n"/>
      <c r="D887" s="141" t="n"/>
      <c r="E887" s="141" t="n"/>
      <c r="F887" s="141" t="n"/>
      <c r="G887" s="143" t="n"/>
      <c r="H887" s="27" t="n"/>
    </row>
    <row r="888" ht="17.25" customHeight="1" s="322">
      <c r="A888" s="27" t="n"/>
      <c r="B888" s="506" t="n"/>
      <c r="C888" s="141" t="n"/>
      <c r="D888" s="141" t="n"/>
      <c r="E888" s="141" t="n"/>
      <c r="F888" s="141" t="n"/>
      <c r="G888" s="143" t="n"/>
      <c r="H888" s="27" t="n"/>
    </row>
    <row r="889" ht="17.25" customHeight="1" s="322">
      <c r="A889" s="27" t="n"/>
      <c r="B889" s="506" t="n"/>
      <c r="C889" s="141" t="n"/>
      <c r="D889" s="141" t="n"/>
      <c r="E889" s="141" t="n"/>
      <c r="F889" s="141" t="n"/>
      <c r="G889" s="143" t="n"/>
      <c r="H889" s="27" t="n"/>
    </row>
    <row r="890" ht="17.25" customHeight="1" s="322">
      <c r="A890" s="27" t="n"/>
      <c r="B890" s="506" t="n"/>
      <c r="C890" s="141" t="n"/>
      <c r="D890" s="141" t="n"/>
      <c r="E890" s="141" t="n"/>
      <c r="F890" s="141" t="n"/>
      <c r="G890" s="143" t="n"/>
      <c r="H890" s="27" t="n"/>
    </row>
    <row r="891" ht="17.25" customHeight="1" s="322">
      <c r="A891" s="27" t="n"/>
      <c r="B891" s="506" t="n"/>
      <c r="C891" s="141" t="n"/>
      <c r="D891" s="141" t="n"/>
      <c r="E891" s="141" t="n"/>
      <c r="F891" s="141" t="n"/>
      <c r="G891" s="143" t="n"/>
      <c r="H891" s="27" t="n"/>
    </row>
    <row r="892" ht="17.25" customHeight="1" s="322">
      <c r="A892" s="27" t="n"/>
      <c r="B892" s="506" t="n"/>
      <c r="C892" s="141" t="n"/>
      <c r="D892" s="141" t="n"/>
      <c r="E892" s="141" t="n"/>
      <c r="F892" s="141" t="n"/>
      <c r="G892" s="143" t="n"/>
      <c r="H892" s="27" t="n"/>
    </row>
    <row r="893" ht="17.25" customHeight="1" s="322">
      <c r="A893" s="27" t="n"/>
      <c r="B893" s="506" t="n"/>
      <c r="C893" s="141" t="n"/>
      <c r="D893" s="141" t="n"/>
      <c r="E893" s="141" t="n"/>
      <c r="F893" s="141" t="n"/>
      <c r="G893" s="143" t="n"/>
      <c r="H893" s="27" t="n"/>
    </row>
    <row r="894" ht="17.25" customHeight="1" s="322">
      <c r="A894" s="27" t="n"/>
      <c r="B894" s="506" t="n"/>
      <c r="C894" s="141" t="n"/>
      <c r="D894" s="141" t="n"/>
      <c r="E894" s="141" t="n"/>
      <c r="F894" s="141" t="n"/>
      <c r="G894" s="143" t="n"/>
      <c r="H894" s="27" t="n"/>
    </row>
    <row r="895" ht="17.25" customHeight="1" s="322">
      <c r="A895" s="27" t="n"/>
      <c r="B895" s="506" t="n"/>
      <c r="C895" s="141" t="n"/>
      <c r="D895" s="141" t="n"/>
      <c r="E895" s="141" t="n"/>
      <c r="F895" s="141" t="n"/>
      <c r="G895" s="143" t="n"/>
      <c r="H895" s="27" t="n"/>
    </row>
    <row r="896" ht="17.25" customHeight="1" s="322">
      <c r="A896" s="27" t="n"/>
      <c r="B896" s="506" t="n"/>
      <c r="C896" s="141" t="n"/>
      <c r="D896" s="141" t="n"/>
      <c r="E896" s="141" t="n"/>
      <c r="F896" s="141" t="n"/>
      <c r="G896" s="143" t="n"/>
      <c r="H896" s="27" t="n"/>
    </row>
    <row r="897" ht="17.25" customHeight="1" s="322">
      <c r="A897" s="27" t="n"/>
      <c r="B897" s="506" t="n"/>
      <c r="C897" s="141" t="n"/>
      <c r="D897" s="141" t="n"/>
      <c r="E897" s="141" t="n"/>
      <c r="F897" s="141" t="n"/>
      <c r="G897" s="143" t="n"/>
      <c r="H897" s="27" t="n"/>
    </row>
    <row r="898" ht="17.25" customHeight="1" s="322">
      <c r="A898" s="27" t="n"/>
      <c r="B898" s="506" t="n"/>
      <c r="C898" s="141" t="n"/>
      <c r="D898" s="141" t="n"/>
      <c r="E898" s="141" t="n"/>
      <c r="F898" s="141" t="n"/>
      <c r="G898" s="143" t="n"/>
      <c r="H898" s="27" t="n"/>
    </row>
    <row r="899" ht="17.25" customHeight="1" s="322">
      <c r="A899" s="27" t="n"/>
      <c r="B899" s="506" t="n"/>
      <c r="C899" s="141" t="n"/>
      <c r="D899" s="141" t="n"/>
      <c r="E899" s="141" t="n"/>
      <c r="F899" s="141" t="n"/>
      <c r="G899" s="143" t="n"/>
      <c r="H899" s="27" t="n"/>
    </row>
    <row r="900" ht="17.25" customHeight="1" s="322">
      <c r="A900" s="27" t="n"/>
      <c r="B900" s="506" t="n"/>
      <c r="C900" s="141" t="n"/>
      <c r="D900" s="141" t="n"/>
      <c r="E900" s="141" t="n"/>
      <c r="F900" s="141" t="n"/>
      <c r="G900" s="143" t="n"/>
      <c r="H900" s="27" t="n"/>
    </row>
    <row r="901" ht="17.25" customHeight="1" s="322">
      <c r="A901" s="27" t="n"/>
      <c r="B901" s="506" t="n"/>
      <c r="C901" s="141" t="n"/>
      <c r="D901" s="141" t="n"/>
      <c r="E901" s="141" t="n"/>
      <c r="F901" s="141" t="n"/>
      <c r="G901" s="143" t="n"/>
      <c r="H901" s="27" t="n"/>
    </row>
    <row r="902" ht="17.25" customHeight="1" s="322">
      <c r="A902" s="27" t="n"/>
      <c r="B902" s="506" t="n"/>
      <c r="C902" s="141" t="n"/>
      <c r="D902" s="141" t="n"/>
      <c r="E902" s="141" t="n"/>
      <c r="F902" s="141" t="n"/>
      <c r="G902" s="143" t="n"/>
      <c r="H902" s="27" t="n"/>
    </row>
    <row r="903" ht="17.25" customHeight="1" s="322">
      <c r="A903" s="27" t="n"/>
      <c r="B903" s="506" t="n"/>
      <c r="C903" s="141" t="n"/>
      <c r="D903" s="141" t="n"/>
      <c r="E903" s="141" t="n"/>
      <c r="F903" s="141" t="n"/>
      <c r="G903" s="143" t="n"/>
      <c r="H903" s="27" t="n"/>
    </row>
    <row r="904" ht="17.25" customHeight="1" s="322">
      <c r="A904" s="27" t="n"/>
      <c r="B904" s="506" t="n"/>
      <c r="C904" s="141" t="n"/>
      <c r="D904" s="141" t="n"/>
      <c r="E904" s="141" t="n"/>
      <c r="F904" s="141" t="n"/>
      <c r="G904" s="143" t="n"/>
      <c r="H904" s="27" t="n"/>
    </row>
    <row r="905" ht="17.25" customHeight="1" s="322">
      <c r="A905" s="27" t="n"/>
      <c r="B905" s="506" t="n"/>
      <c r="C905" s="141" t="n"/>
      <c r="D905" s="141" t="n"/>
      <c r="E905" s="141" t="n"/>
      <c r="F905" s="141" t="n"/>
      <c r="G905" s="143" t="n"/>
      <c r="H905" s="27" t="n"/>
    </row>
    <row r="906" ht="17.25" customHeight="1" s="322">
      <c r="A906" s="27" t="n"/>
      <c r="B906" s="506" t="n"/>
      <c r="C906" s="141" t="n"/>
      <c r="D906" s="141" t="n"/>
      <c r="E906" s="141" t="n"/>
      <c r="F906" s="141" t="n"/>
      <c r="G906" s="143" t="n"/>
      <c r="H906" s="27" t="n"/>
    </row>
    <row r="907" ht="17.25" customHeight="1" s="322">
      <c r="A907" s="27" t="n"/>
      <c r="B907" s="506" t="n"/>
      <c r="C907" s="141" t="n"/>
      <c r="D907" s="141" t="n"/>
      <c r="E907" s="141" t="n"/>
      <c r="F907" s="141" t="n"/>
      <c r="G907" s="143" t="n"/>
      <c r="H907" s="27" t="n"/>
    </row>
    <row r="908" ht="17.25" customHeight="1" s="322">
      <c r="A908" s="27" t="n"/>
      <c r="B908" s="506" t="n"/>
      <c r="C908" s="141" t="n"/>
      <c r="D908" s="141" t="n"/>
      <c r="E908" s="141" t="n"/>
      <c r="F908" s="141" t="n"/>
      <c r="G908" s="143" t="n"/>
      <c r="H908" s="27" t="n"/>
    </row>
    <row r="909" ht="17.25" customHeight="1" s="322">
      <c r="A909" s="27" t="n"/>
      <c r="B909" s="506" t="n"/>
      <c r="C909" s="141" t="n"/>
      <c r="D909" s="141" t="n"/>
      <c r="E909" s="141" t="n"/>
      <c r="F909" s="141" t="n"/>
      <c r="G909" s="143" t="n"/>
      <c r="H909" s="27" t="n"/>
    </row>
    <row r="910" ht="17.25" customHeight="1" s="322">
      <c r="A910" s="27" t="n"/>
      <c r="B910" s="506" t="n"/>
      <c r="C910" s="141" t="n"/>
      <c r="D910" s="141" t="n"/>
      <c r="E910" s="141" t="n"/>
      <c r="F910" s="141" t="n"/>
      <c r="G910" s="143" t="n"/>
      <c r="H910" s="27" t="n"/>
    </row>
    <row r="911" ht="17.25" customHeight="1" s="322">
      <c r="A911" s="27" t="n"/>
      <c r="B911" s="506" t="n"/>
      <c r="C911" s="141" t="n"/>
      <c r="D911" s="141" t="n"/>
      <c r="E911" s="141" t="n"/>
      <c r="F911" s="141" t="n"/>
      <c r="G911" s="143" t="n"/>
      <c r="H911" s="27" t="n"/>
    </row>
    <row r="912" ht="17.25" customHeight="1" s="322">
      <c r="A912" s="27" t="n"/>
      <c r="B912" s="506" t="n"/>
      <c r="C912" s="141" t="n"/>
      <c r="D912" s="141" t="n"/>
      <c r="E912" s="141" t="n"/>
      <c r="F912" s="141" t="n"/>
      <c r="G912" s="143" t="n"/>
      <c r="H912" s="27" t="n"/>
    </row>
    <row r="913" ht="17.25" customHeight="1" s="322">
      <c r="A913" s="27" t="n"/>
      <c r="B913" s="506" t="n"/>
      <c r="C913" s="141" t="n"/>
      <c r="D913" s="141" t="n"/>
      <c r="E913" s="141" t="n"/>
      <c r="F913" s="141" t="n"/>
      <c r="G913" s="143" t="n"/>
      <c r="H913" s="27" t="n"/>
    </row>
    <row r="914" ht="17.25" customHeight="1" s="322">
      <c r="A914" s="27" t="n"/>
      <c r="B914" s="506" t="n"/>
      <c r="C914" s="141" t="n"/>
      <c r="D914" s="141" t="n"/>
      <c r="E914" s="141" t="n"/>
      <c r="F914" s="141" t="n"/>
      <c r="G914" s="143" t="n"/>
      <c r="H914" s="27" t="n"/>
    </row>
    <row r="915" ht="17.25" customHeight="1" s="322">
      <c r="A915" s="27" t="n"/>
      <c r="B915" s="506" t="n"/>
      <c r="C915" s="141" t="n"/>
      <c r="D915" s="141" t="n"/>
      <c r="E915" s="141" t="n"/>
      <c r="F915" s="141" t="n"/>
      <c r="G915" s="143" t="n"/>
      <c r="H915" s="27" t="n"/>
    </row>
    <row r="916" ht="17.25" customHeight="1" s="322">
      <c r="A916" s="27" t="n"/>
      <c r="B916" s="506" t="n"/>
      <c r="C916" s="141" t="n"/>
      <c r="D916" s="141" t="n"/>
      <c r="E916" s="141" t="n"/>
      <c r="F916" s="141" t="n"/>
      <c r="G916" s="143" t="n"/>
      <c r="H916" s="27" t="n"/>
    </row>
    <row r="917" ht="17.25" customHeight="1" s="322">
      <c r="A917" s="27" t="n"/>
      <c r="B917" s="506" t="n"/>
      <c r="C917" s="141" t="n"/>
      <c r="D917" s="141" t="n"/>
      <c r="E917" s="141" t="n"/>
      <c r="F917" s="141" t="n"/>
      <c r="G917" s="143" t="n"/>
      <c r="H917" s="27" t="n"/>
    </row>
    <row r="918" ht="17.25" customHeight="1" s="322">
      <c r="A918" s="27" t="n"/>
      <c r="B918" s="506" t="n"/>
      <c r="C918" s="141" t="n"/>
      <c r="D918" s="141" t="n"/>
      <c r="E918" s="141" t="n"/>
      <c r="F918" s="141" t="n"/>
      <c r="G918" s="143" t="n"/>
      <c r="H918" s="27" t="n"/>
    </row>
    <row r="919" ht="17.25" customHeight="1" s="322">
      <c r="A919" s="27" t="n"/>
      <c r="B919" s="506" t="n"/>
      <c r="C919" s="141" t="n"/>
      <c r="D919" s="141" t="n"/>
      <c r="E919" s="141" t="n"/>
      <c r="F919" s="141" t="n"/>
      <c r="G919" s="143" t="n"/>
      <c r="H919" s="27" t="n"/>
    </row>
    <row r="920" ht="17.25" customHeight="1" s="322">
      <c r="A920" s="27" t="n"/>
      <c r="B920" s="506" t="n"/>
      <c r="C920" s="141" t="n"/>
      <c r="D920" s="141" t="n"/>
      <c r="E920" s="141" t="n"/>
      <c r="F920" s="141" t="n"/>
      <c r="G920" s="143" t="n"/>
      <c r="H920" s="27" t="n"/>
    </row>
    <row r="921" ht="17.25" customHeight="1" s="322">
      <c r="A921" s="27" t="n"/>
      <c r="B921" s="506" t="n"/>
      <c r="C921" s="141" t="n"/>
      <c r="D921" s="141" t="n"/>
      <c r="E921" s="141" t="n"/>
      <c r="F921" s="141" t="n"/>
      <c r="G921" s="143" t="n"/>
      <c r="H921" s="27" t="n"/>
    </row>
    <row r="922" ht="17.25" customHeight="1" s="322">
      <c r="A922" s="27" t="n"/>
      <c r="B922" s="506" t="n"/>
      <c r="C922" s="141" t="n"/>
      <c r="D922" s="141" t="n"/>
      <c r="E922" s="141" t="n"/>
      <c r="F922" s="141" t="n"/>
      <c r="G922" s="143" t="n"/>
      <c r="H922" s="27" t="n"/>
    </row>
    <row r="923" ht="17.25" customHeight="1" s="322">
      <c r="A923" s="27" t="n"/>
      <c r="B923" s="506" t="n"/>
      <c r="C923" s="141" t="n"/>
      <c r="D923" s="141" t="n"/>
      <c r="E923" s="141" t="n"/>
      <c r="F923" s="141" t="n"/>
      <c r="G923" s="143" t="n"/>
      <c r="H923" s="27" t="n"/>
    </row>
    <row r="924" ht="17.25" customHeight="1" s="322">
      <c r="A924" s="27" t="n"/>
      <c r="B924" s="506" t="n"/>
      <c r="C924" s="141" t="n"/>
      <c r="D924" s="141" t="n"/>
      <c r="E924" s="141" t="n"/>
      <c r="F924" s="141" t="n"/>
      <c r="G924" s="143" t="n"/>
      <c r="H924" s="27" t="n"/>
    </row>
    <row r="925" ht="17.25" customHeight="1" s="322">
      <c r="A925" s="27" t="n"/>
      <c r="B925" s="506" t="n"/>
      <c r="C925" s="141" t="n"/>
      <c r="D925" s="141" t="n"/>
      <c r="E925" s="141" t="n"/>
      <c r="F925" s="141" t="n"/>
      <c r="G925" s="143" t="n"/>
      <c r="H925" s="27" t="n"/>
    </row>
    <row r="926" ht="17.25" customHeight="1" s="322">
      <c r="A926" s="27" t="n"/>
      <c r="B926" s="506" t="n"/>
      <c r="C926" s="141" t="n"/>
      <c r="D926" s="141" t="n"/>
      <c r="E926" s="141" t="n"/>
      <c r="F926" s="141" t="n"/>
      <c r="G926" s="143" t="n"/>
      <c r="H926" s="27" t="n"/>
    </row>
    <row r="927" ht="17.25" customHeight="1" s="322">
      <c r="A927" s="27" t="n"/>
      <c r="B927" s="506" t="n"/>
      <c r="C927" s="141" t="n"/>
      <c r="D927" s="141" t="n"/>
      <c r="E927" s="141" t="n"/>
      <c r="F927" s="141" t="n"/>
      <c r="G927" s="143" t="n"/>
      <c r="H927" s="27" t="n"/>
    </row>
    <row r="928" ht="17.25" customHeight="1" s="322">
      <c r="A928" s="27" t="n"/>
      <c r="B928" s="506" t="n"/>
      <c r="C928" s="141" t="n"/>
      <c r="D928" s="141" t="n"/>
      <c r="E928" s="141" t="n"/>
      <c r="F928" s="141" t="n"/>
      <c r="G928" s="143" t="n"/>
      <c r="H928" s="27" t="n"/>
    </row>
    <row r="929" ht="17.25" customHeight="1" s="322">
      <c r="A929" s="27" t="n"/>
      <c r="B929" s="506" t="n"/>
      <c r="C929" s="141" t="n"/>
      <c r="D929" s="141" t="n"/>
      <c r="E929" s="141" t="n"/>
      <c r="F929" s="141" t="n"/>
      <c r="G929" s="143" t="n"/>
      <c r="H929" s="27" t="n"/>
    </row>
    <row r="930" ht="17.25" customHeight="1" s="322">
      <c r="A930" s="27" t="n"/>
      <c r="B930" s="506" t="n"/>
      <c r="C930" s="141" t="n"/>
      <c r="D930" s="141" t="n"/>
      <c r="E930" s="141" t="n"/>
      <c r="F930" s="141" t="n"/>
      <c r="G930" s="143" t="n"/>
      <c r="H930" s="27" t="n"/>
    </row>
    <row r="931" ht="17.25" customHeight="1" s="322">
      <c r="A931" s="27" t="n"/>
      <c r="B931" s="506" t="n"/>
      <c r="C931" s="141" t="n"/>
      <c r="D931" s="141" t="n"/>
      <c r="E931" s="141" t="n"/>
      <c r="F931" s="141" t="n"/>
      <c r="G931" s="143" t="n"/>
      <c r="H931" s="27" t="n"/>
    </row>
    <row r="932" ht="17.25" customHeight="1" s="322">
      <c r="A932" s="27" t="n"/>
      <c r="B932" s="506" t="n"/>
      <c r="C932" s="141" t="n"/>
      <c r="D932" s="141" t="n"/>
      <c r="E932" s="141" t="n"/>
      <c r="F932" s="141" t="n"/>
      <c r="G932" s="143" t="n"/>
      <c r="H932" s="27" t="n"/>
    </row>
    <row r="933" ht="17.25" customHeight="1" s="322">
      <c r="A933" s="27" t="n"/>
      <c r="B933" s="506" t="n"/>
      <c r="C933" s="141" t="n"/>
      <c r="D933" s="141" t="n"/>
      <c r="E933" s="141" t="n"/>
      <c r="F933" s="141" t="n"/>
      <c r="G933" s="143" t="n"/>
      <c r="H933" s="27" t="n"/>
    </row>
    <row r="934" ht="17.25" customHeight="1" s="322">
      <c r="A934" s="27" t="n"/>
      <c r="B934" s="506" t="n"/>
      <c r="C934" s="141" t="n"/>
      <c r="D934" s="141" t="n"/>
      <c r="E934" s="141" t="n"/>
      <c r="F934" s="141" t="n"/>
      <c r="G934" s="143" t="n"/>
      <c r="H934" s="27" t="n"/>
    </row>
    <row r="935" ht="17.25" customHeight="1" s="322">
      <c r="A935" s="27" t="n"/>
      <c r="B935" s="506" t="n"/>
      <c r="C935" s="141" t="n"/>
      <c r="D935" s="141" t="n"/>
      <c r="E935" s="141" t="n"/>
      <c r="F935" s="141" t="n"/>
      <c r="G935" s="143" t="n"/>
      <c r="H935" s="27" t="n"/>
    </row>
    <row r="936" ht="17.25" customHeight="1" s="322">
      <c r="A936" s="27" t="n"/>
      <c r="B936" s="506" t="n"/>
      <c r="C936" s="141" t="n"/>
      <c r="D936" s="141" t="n"/>
      <c r="E936" s="141" t="n"/>
      <c r="F936" s="141" t="n"/>
      <c r="G936" s="143" t="n"/>
      <c r="H936" s="27" t="n"/>
    </row>
    <row r="937" ht="17.25" customHeight="1" s="322">
      <c r="A937" s="27" t="n"/>
      <c r="B937" s="506" t="n"/>
      <c r="C937" s="141" t="n"/>
      <c r="D937" s="141" t="n"/>
      <c r="E937" s="141" t="n"/>
      <c r="F937" s="141" t="n"/>
      <c r="G937" s="143" t="n"/>
      <c r="H937" s="27" t="n"/>
    </row>
    <row r="938" ht="17.25" customHeight="1" s="322">
      <c r="A938" s="27" t="n"/>
      <c r="B938" s="506" t="n"/>
      <c r="C938" s="141" t="n"/>
      <c r="D938" s="141" t="n"/>
      <c r="E938" s="141" t="n"/>
      <c r="F938" s="141" t="n"/>
      <c r="G938" s="143" t="n"/>
      <c r="H938" s="27" t="n"/>
    </row>
    <row r="939" ht="17.25" customHeight="1" s="322">
      <c r="A939" s="27" t="n"/>
      <c r="B939" s="506" t="n"/>
      <c r="C939" s="141" t="n"/>
      <c r="D939" s="141" t="n"/>
      <c r="E939" s="141" t="n"/>
      <c r="F939" s="141" t="n"/>
      <c r="G939" s="143" t="n"/>
      <c r="H939" s="27" t="n"/>
    </row>
    <row r="940" ht="17.25" customHeight="1" s="322">
      <c r="A940" s="27" t="n"/>
      <c r="B940" s="506" t="n"/>
      <c r="C940" s="141" t="n"/>
      <c r="D940" s="141" t="n"/>
      <c r="E940" s="141" t="n"/>
      <c r="F940" s="141" t="n"/>
      <c r="G940" s="143" t="n"/>
      <c r="H940" s="27" t="n"/>
    </row>
    <row r="941" ht="17.25" customHeight="1" s="322">
      <c r="A941" s="27" t="n"/>
      <c r="B941" s="506" t="n"/>
      <c r="C941" s="141" t="n"/>
      <c r="D941" s="141" t="n"/>
      <c r="E941" s="141" t="n"/>
      <c r="F941" s="141" t="n"/>
      <c r="G941" s="143" t="n"/>
      <c r="H941" s="27" t="n"/>
    </row>
    <row r="942" ht="17.25" customHeight="1" s="322">
      <c r="A942" s="27" t="n"/>
      <c r="B942" s="506" t="n"/>
      <c r="C942" s="141" t="n"/>
      <c r="D942" s="141" t="n"/>
      <c r="E942" s="141" t="n"/>
      <c r="F942" s="141" t="n"/>
      <c r="G942" s="143" t="n"/>
      <c r="H942" s="27" t="n"/>
    </row>
    <row r="943" ht="17.25" customHeight="1" s="322">
      <c r="A943" s="27" t="n"/>
      <c r="B943" s="506" t="n"/>
      <c r="C943" s="141" t="n"/>
      <c r="D943" s="141" t="n"/>
      <c r="E943" s="141" t="n"/>
      <c r="F943" s="141" t="n"/>
      <c r="G943" s="143" t="n"/>
      <c r="H943" s="27" t="n"/>
    </row>
    <row r="944" ht="17.25" customHeight="1" s="322">
      <c r="A944" s="27" t="n"/>
      <c r="B944" s="506" t="n"/>
      <c r="C944" s="141" t="n"/>
      <c r="D944" s="141" t="n"/>
      <c r="E944" s="141" t="n"/>
      <c r="F944" s="141" t="n"/>
      <c r="G944" s="143" t="n"/>
      <c r="H944" s="27" t="n"/>
    </row>
    <row r="945" ht="17.25" customHeight="1" s="322">
      <c r="A945" s="27" t="n"/>
      <c r="B945" s="506" t="n"/>
      <c r="C945" s="141" t="n"/>
      <c r="D945" s="141" t="n"/>
      <c r="E945" s="141" t="n"/>
      <c r="F945" s="141" t="n"/>
      <c r="G945" s="143" t="n"/>
      <c r="H945" s="27" t="n"/>
    </row>
    <row r="946" ht="17.25" customHeight="1" s="322">
      <c r="A946" s="27" t="n"/>
      <c r="B946" s="506" t="n"/>
      <c r="C946" s="141" t="n"/>
      <c r="D946" s="141" t="n"/>
      <c r="E946" s="141" t="n"/>
      <c r="F946" s="141" t="n"/>
      <c r="G946" s="143" t="n"/>
      <c r="H946" s="27" t="n"/>
    </row>
    <row r="947" ht="17.25" customHeight="1" s="322">
      <c r="A947" s="27" t="n"/>
      <c r="B947" s="506" t="n"/>
      <c r="C947" s="141" t="n"/>
      <c r="D947" s="141" t="n"/>
      <c r="E947" s="141" t="n"/>
      <c r="F947" s="141" t="n"/>
      <c r="G947" s="143" t="n"/>
      <c r="H947" s="27" t="n"/>
    </row>
    <row r="948" ht="17.25" customHeight="1" s="322">
      <c r="A948" s="27" t="n"/>
      <c r="B948" s="506" t="n"/>
      <c r="C948" s="141" t="n"/>
      <c r="D948" s="141" t="n"/>
      <c r="E948" s="141" t="n"/>
      <c r="F948" s="141" t="n"/>
      <c r="G948" s="143" t="n"/>
      <c r="H948" s="27" t="n"/>
    </row>
    <row r="949" ht="17.25" customHeight="1" s="322">
      <c r="A949" s="27" t="n"/>
      <c r="B949" s="506" t="n"/>
      <c r="C949" s="141" t="n"/>
      <c r="D949" s="141" t="n"/>
      <c r="E949" s="141" t="n"/>
      <c r="F949" s="141" t="n"/>
      <c r="G949" s="143" t="n"/>
      <c r="H949" s="27" t="n"/>
    </row>
    <row r="950" ht="17.25" customHeight="1" s="322">
      <c r="A950" s="27" t="n"/>
      <c r="B950" s="506" t="n"/>
      <c r="C950" s="141" t="n"/>
      <c r="D950" s="141" t="n"/>
      <c r="E950" s="141" t="n"/>
      <c r="F950" s="141" t="n"/>
      <c r="G950" s="143" t="n"/>
      <c r="H950" s="27" t="n"/>
    </row>
    <row r="951" ht="17.25" customHeight="1" s="322">
      <c r="A951" s="27" t="n"/>
      <c r="B951" s="506" t="n"/>
      <c r="C951" s="141" t="n"/>
      <c r="D951" s="141" t="n"/>
      <c r="E951" s="141" t="n"/>
      <c r="F951" s="141" t="n"/>
      <c r="G951" s="143" t="n"/>
      <c r="H951" s="27" t="n"/>
    </row>
    <row r="952" ht="17.25" customHeight="1" s="322">
      <c r="A952" s="27" t="n"/>
      <c r="B952" s="506" t="n"/>
      <c r="C952" s="141" t="n"/>
      <c r="D952" s="141" t="n"/>
      <c r="E952" s="141" t="n"/>
      <c r="F952" s="141" t="n"/>
      <c r="G952" s="143" t="n"/>
      <c r="H952" s="27" t="n"/>
    </row>
    <row r="953" ht="17.25" customHeight="1" s="322">
      <c r="A953" s="27" t="n"/>
      <c r="B953" s="506" t="n"/>
      <c r="C953" s="141" t="n"/>
      <c r="D953" s="141" t="n"/>
      <c r="E953" s="141" t="n"/>
      <c r="F953" s="141" t="n"/>
      <c r="G953" s="143" t="n"/>
      <c r="H953" s="27" t="n"/>
    </row>
    <row r="954" ht="17.25" customHeight="1" s="322">
      <c r="A954" s="27" t="n"/>
      <c r="B954" s="506" t="n"/>
      <c r="C954" s="141" t="n"/>
      <c r="D954" s="141" t="n"/>
      <c r="E954" s="141" t="n"/>
      <c r="F954" s="141" t="n"/>
      <c r="G954" s="143" t="n"/>
      <c r="H954" s="27" t="n"/>
    </row>
    <row r="955" ht="17.25" customHeight="1" s="322">
      <c r="A955" s="27" t="n"/>
      <c r="B955" s="506" t="n"/>
      <c r="C955" s="141" t="n"/>
      <c r="D955" s="141" t="n"/>
      <c r="E955" s="141" t="n"/>
      <c r="F955" s="141" t="n"/>
      <c r="G955" s="143" t="n"/>
      <c r="H955" s="27" t="n"/>
    </row>
    <row r="956" ht="17.25" customHeight="1" s="322">
      <c r="A956" s="27" t="n"/>
      <c r="B956" s="506" t="n"/>
      <c r="C956" s="141" t="n"/>
      <c r="D956" s="141" t="n"/>
      <c r="E956" s="141" t="n"/>
      <c r="F956" s="141" t="n"/>
      <c r="G956" s="143" t="n"/>
      <c r="H956" s="27" t="n"/>
    </row>
    <row r="957" ht="17.25" customHeight="1" s="322">
      <c r="A957" s="27" t="n"/>
      <c r="B957" s="506" t="n"/>
      <c r="C957" s="141" t="n"/>
      <c r="D957" s="141" t="n"/>
      <c r="E957" s="141" t="n"/>
      <c r="F957" s="141" t="n"/>
      <c r="G957" s="143" t="n"/>
      <c r="H957" s="27" t="n"/>
    </row>
    <row r="958" ht="17.25" customHeight="1" s="322">
      <c r="A958" s="27" t="n"/>
      <c r="B958" s="506" t="n"/>
      <c r="C958" s="141" t="n"/>
      <c r="D958" s="141" t="n"/>
      <c r="E958" s="141" t="n"/>
      <c r="F958" s="141" t="n"/>
      <c r="G958" s="143" t="n"/>
      <c r="H958" s="27" t="n"/>
    </row>
    <row r="959" ht="17.25" customHeight="1" s="322">
      <c r="A959" s="27" t="n"/>
      <c r="B959" s="506" t="n"/>
      <c r="C959" s="141" t="n"/>
      <c r="D959" s="141" t="n"/>
      <c r="E959" s="141" t="n"/>
      <c r="F959" s="141" t="n"/>
      <c r="G959" s="143" t="n"/>
      <c r="H959" s="27" t="n"/>
    </row>
    <row r="960" ht="17.25" customHeight="1" s="322">
      <c r="A960" s="27" t="n"/>
      <c r="B960" s="506" t="n"/>
      <c r="C960" s="141" t="n"/>
      <c r="D960" s="141" t="n"/>
      <c r="E960" s="141" t="n"/>
      <c r="F960" s="141" t="n"/>
      <c r="G960" s="143" t="n"/>
      <c r="H960" s="27" t="n"/>
    </row>
    <row r="961" ht="17.25" customHeight="1" s="322">
      <c r="A961" s="27" t="n"/>
      <c r="B961" s="506" t="n"/>
      <c r="C961" s="141" t="n"/>
      <c r="D961" s="141" t="n"/>
      <c r="E961" s="141" t="n"/>
      <c r="F961" s="141" t="n"/>
      <c r="G961" s="143" t="n"/>
      <c r="H961" s="27" t="n"/>
    </row>
    <row r="962" ht="17.25" customHeight="1" s="322">
      <c r="A962" s="27" t="n"/>
      <c r="B962" s="506" t="n"/>
      <c r="C962" s="141" t="n"/>
      <c r="D962" s="141" t="n"/>
      <c r="E962" s="141" t="n"/>
      <c r="F962" s="141" t="n"/>
      <c r="G962" s="143" t="n"/>
      <c r="H962" s="27" t="n"/>
    </row>
    <row r="963" ht="17.25" customHeight="1" s="322">
      <c r="A963" s="27" t="n"/>
      <c r="B963" s="506" t="n"/>
      <c r="C963" s="141" t="n"/>
      <c r="D963" s="141" t="n"/>
      <c r="E963" s="141" t="n"/>
      <c r="F963" s="141" t="n"/>
      <c r="G963" s="143" t="n"/>
      <c r="H963" s="27" t="n"/>
    </row>
    <row r="964" ht="17.25" customHeight="1" s="322">
      <c r="A964" s="27" t="n"/>
      <c r="B964" s="506" t="n"/>
      <c r="C964" s="141" t="n"/>
      <c r="D964" s="141" t="n"/>
      <c r="E964" s="141" t="n"/>
      <c r="F964" s="141" t="n"/>
      <c r="G964" s="143" t="n"/>
      <c r="H964" s="27" t="n"/>
    </row>
    <row r="965" ht="17.25" customHeight="1" s="322">
      <c r="A965" s="27" t="n"/>
      <c r="B965" s="506" t="n"/>
      <c r="C965" s="141" t="n"/>
      <c r="D965" s="141" t="n"/>
      <c r="E965" s="141" t="n"/>
      <c r="F965" s="141" t="n"/>
      <c r="G965" s="143" t="n"/>
      <c r="H965" s="27" t="n"/>
    </row>
    <row r="966" ht="17.25" customHeight="1" s="322">
      <c r="A966" s="27" t="n"/>
      <c r="B966" s="506" t="n"/>
      <c r="C966" s="141" t="n"/>
      <c r="D966" s="141" t="n"/>
      <c r="E966" s="141" t="n"/>
      <c r="F966" s="141" t="n"/>
      <c r="G966" s="143" t="n"/>
      <c r="H966" s="27" t="n"/>
    </row>
    <row r="967" ht="17.25" customHeight="1" s="322">
      <c r="A967" s="27" t="n"/>
      <c r="B967" s="506" t="n"/>
      <c r="C967" s="141" t="n"/>
      <c r="D967" s="141" t="n"/>
      <c r="E967" s="141" t="n"/>
      <c r="F967" s="141" t="n"/>
      <c r="G967" s="143" t="n"/>
      <c r="H967" s="27" t="n"/>
    </row>
    <row r="968" ht="17.25" customHeight="1" s="322">
      <c r="A968" s="27" t="n"/>
      <c r="B968" s="506" t="n"/>
      <c r="C968" s="141" t="n"/>
      <c r="D968" s="141" t="n"/>
      <c r="E968" s="141" t="n"/>
      <c r="F968" s="141" t="n"/>
      <c r="G968" s="143" t="n"/>
      <c r="H968" s="27" t="n"/>
    </row>
    <row r="969" ht="17.25" customHeight="1" s="322">
      <c r="A969" s="27" t="n"/>
      <c r="B969" s="506" t="n"/>
      <c r="C969" s="141" t="n"/>
      <c r="D969" s="141" t="n"/>
      <c r="E969" s="141" t="n"/>
      <c r="F969" s="141" t="n"/>
      <c r="G969" s="143" t="n"/>
      <c r="H969" s="27" t="n"/>
    </row>
    <row r="970" ht="17.25" customHeight="1" s="322">
      <c r="A970" s="27" t="n"/>
      <c r="B970" s="506" t="n"/>
      <c r="C970" s="141" t="n"/>
      <c r="D970" s="141" t="n"/>
      <c r="E970" s="141" t="n"/>
      <c r="F970" s="141" t="n"/>
      <c r="G970" s="143" t="n"/>
      <c r="H970" s="27" t="n"/>
    </row>
    <row r="971" ht="17.25" customHeight="1" s="322">
      <c r="A971" s="27" t="n"/>
      <c r="B971" s="506" t="n"/>
      <c r="C971" s="141" t="n"/>
      <c r="D971" s="141" t="n"/>
      <c r="E971" s="141" t="n"/>
      <c r="F971" s="141" t="n"/>
      <c r="G971" s="143" t="n"/>
      <c r="H971" s="27" t="n"/>
    </row>
    <row r="972" ht="17.25" customHeight="1" s="322">
      <c r="A972" s="27" t="n"/>
      <c r="B972" s="506" t="n"/>
      <c r="C972" s="141" t="n"/>
      <c r="D972" s="141" t="n"/>
      <c r="E972" s="141" t="n"/>
      <c r="F972" s="141" t="n"/>
      <c r="G972" s="143" t="n"/>
      <c r="H972" s="27" t="n"/>
    </row>
    <row r="973" ht="17.25" customHeight="1" s="322">
      <c r="A973" s="27" t="n"/>
      <c r="B973" s="506" t="n"/>
      <c r="C973" s="141" t="n"/>
      <c r="D973" s="141" t="n"/>
      <c r="E973" s="141" t="n"/>
      <c r="F973" s="141" t="n"/>
      <c r="G973" s="143" t="n"/>
      <c r="H973" s="27" t="n"/>
    </row>
    <row r="974" ht="17.25" customHeight="1" s="322">
      <c r="A974" s="27" t="n"/>
      <c r="B974" s="506" t="n"/>
      <c r="C974" s="141" t="n"/>
      <c r="D974" s="141" t="n"/>
      <c r="E974" s="141" t="n"/>
      <c r="F974" s="141" t="n"/>
      <c r="G974" s="143" t="n"/>
      <c r="H974" s="27" t="n"/>
    </row>
    <row r="975" ht="17.25" customHeight="1" s="322">
      <c r="A975" s="27" t="n"/>
      <c r="B975" s="506" t="n"/>
      <c r="C975" s="141" t="n"/>
      <c r="D975" s="141" t="n"/>
      <c r="E975" s="141" t="n"/>
      <c r="F975" s="141" t="n"/>
      <c r="G975" s="143" t="n"/>
      <c r="H975" s="27" t="n"/>
    </row>
    <row r="976" ht="17.25" customHeight="1" s="322">
      <c r="A976" s="27" t="n"/>
      <c r="B976" s="506" t="n"/>
      <c r="C976" s="141" t="n"/>
      <c r="D976" s="141" t="n"/>
      <c r="E976" s="141" t="n"/>
      <c r="F976" s="141" t="n"/>
      <c r="G976" s="143" t="n"/>
      <c r="H976" s="27" t="n"/>
    </row>
    <row r="977" ht="17.25" customHeight="1" s="322">
      <c r="A977" s="27" t="n"/>
      <c r="B977" s="506" t="n"/>
      <c r="C977" s="141" t="n"/>
      <c r="D977" s="141" t="n"/>
      <c r="E977" s="141" t="n"/>
      <c r="F977" s="141" t="n"/>
      <c r="G977" s="143" t="n"/>
      <c r="H977" s="27" t="n"/>
    </row>
    <row r="978" ht="17.25" customHeight="1" s="322">
      <c r="A978" s="27" t="n"/>
      <c r="B978" s="506" t="n"/>
      <c r="C978" s="141" t="n"/>
      <c r="D978" s="141" t="n"/>
      <c r="E978" s="141" t="n"/>
      <c r="F978" s="141" t="n"/>
      <c r="G978" s="143" t="n"/>
      <c r="H978" s="27" t="n"/>
    </row>
    <row r="979" ht="17.25" customHeight="1" s="322">
      <c r="A979" s="27" t="n"/>
      <c r="B979" s="506" t="n"/>
      <c r="C979" s="141" t="n"/>
      <c r="D979" s="141" t="n"/>
      <c r="E979" s="141" t="n"/>
      <c r="F979" s="141" t="n"/>
      <c r="G979" s="143" t="n"/>
      <c r="H979" s="27" t="n"/>
    </row>
    <row r="980" ht="17.25" customHeight="1" s="322">
      <c r="A980" s="27" t="n"/>
      <c r="B980" s="506" t="n"/>
      <c r="C980" s="141" t="n"/>
      <c r="D980" s="141" t="n"/>
      <c r="E980" s="141" t="n"/>
      <c r="F980" s="141" t="n"/>
      <c r="G980" s="143" t="n"/>
      <c r="H980" s="27" t="n"/>
    </row>
    <row r="981" ht="17.25" customHeight="1" s="322">
      <c r="A981" s="27" t="n"/>
      <c r="B981" s="506" t="n"/>
      <c r="C981" s="141" t="n"/>
      <c r="D981" s="141" t="n"/>
      <c r="E981" s="141" t="n"/>
      <c r="F981" s="141" t="n"/>
      <c r="G981" s="143" t="n"/>
      <c r="H981" s="27" t="n"/>
    </row>
    <row r="982" ht="17.25" customHeight="1" s="322">
      <c r="A982" s="27" t="n"/>
      <c r="B982" s="506" t="n"/>
      <c r="C982" s="141" t="n"/>
      <c r="D982" s="141" t="n"/>
      <c r="E982" s="141" t="n"/>
      <c r="F982" s="141" t="n"/>
      <c r="G982" s="143" t="n"/>
      <c r="H982" s="27" t="n"/>
    </row>
    <row r="983" ht="17.25" customHeight="1" s="322">
      <c r="A983" s="27" t="n"/>
      <c r="B983" s="506" t="n"/>
      <c r="C983" s="141" t="n"/>
      <c r="D983" s="141" t="n"/>
      <c r="E983" s="141" t="n"/>
      <c r="F983" s="141" t="n"/>
      <c r="G983" s="143" t="n"/>
      <c r="H983" s="27" t="n"/>
    </row>
    <row r="984" ht="17.25" customHeight="1" s="322">
      <c r="A984" s="27" t="n"/>
      <c r="B984" s="506" t="n"/>
      <c r="C984" s="141" t="n"/>
      <c r="D984" s="141" t="n"/>
      <c r="E984" s="141" t="n"/>
      <c r="F984" s="141" t="n"/>
      <c r="G984" s="143" t="n"/>
      <c r="H984" s="27" t="n"/>
    </row>
    <row r="985" ht="17.25" customHeight="1" s="322">
      <c r="A985" s="27" t="n"/>
      <c r="B985" s="506" t="n"/>
      <c r="C985" s="141" t="n"/>
      <c r="D985" s="141" t="n"/>
      <c r="E985" s="141" t="n"/>
      <c r="F985" s="141" t="n"/>
      <c r="G985" s="143" t="n"/>
      <c r="H985" s="27" t="n"/>
    </row>
    <row r="986" ht="17.25" customHeight="1" s="322">
      <c r="A986" s="27" t="n"/>
      <c r="B986" s="506" t="n"/>
      <c r="C986" s="141" t="n"/>
      <c r="D986" s="141" t="n"/>
      <c r="E986" s="141" t="n"/>
      <c r="F986" s="141" t="n"/>
      <c r="G986" s="143" t="n"/>
      <c r="H986" s="27" t="n"/>
    </row>
    <row r="987" ht="17.25" customHeight="1" s="322">
      <c r="A987" s="27" t="n"/>
      <c r="B987" s="506" t="n"/>
      <c r="C987" s="141" t="n"/>
      <c r="D987" s="141" t="n"/>
      <c r="E987" s="141" t="n"/>
      <c r="F987" s="141" t="n"/>
      <c r="G987" s="143" t="n"/>
      <c r="H987" s="27" t="n"/>
    </row>
    <row r="988" ht="17.25" customHeight="1" s="322">
      <c r="A988" s="27" t="n"/>
      <c r="B988" s="506" t="n"/>
      <c r="C988" s="141" t="n"/>
      <c r="D988" s="141" t="n"/>
      <c r="E988" s="141" t="n"/>
      <c r="F988" s="141" t="n"/>
      <c r="G988" s="143" t="n"/>
      <c r="H988" s="27" t="n"/>
    </row>
    <row r="989" ht="17.25" customHeight="1" s="322">
      <c r="A989" s="27" t="n"/>
      <c r="B989" s="506" t="n"/>
      <c r="C989" s="141" t="n"/>
      <c r="D989" s="141" t="n"/>
      <c r="E989" s="141" t="n"/>
      <c r="F989" s="141" t="n"/>
      <c r="G989" s="143" t="n"/>
      <c r="H989" s="27" t="n"/>
    </row>
    <row r="990" ht="17.25" customHeight="1" s="322">
      <c r="A990" s="27" t="n"/>
      <c r="B990" s="506" t="n"/>
      <c r="C990" s="141" t="n"/>
      <c r="D990" s="141" t="n"/>
      <c r="E990" s="141" t="n"/>
      <c r="F990" s="141" t="n"/>
      <c r="G990" s="143" t="n"/>
      <c r="H990" s="27" t="n"/>
    </row>
    <row r="991" ht="17.25" customHeight="1" s="322">
      <c r="A991" s="27" t="n"/>
      <c r="B991" s="506" t="n"/>
      <c r="C991" s="141" t="n"/>
      <c r="D991" s="141" t="n"/>
      <c r="E991" s="141" t="n"/>
      <c r="F991" s="141" t="n"/>
      <c r="G991" s="143" t="n"/>
      <c r="H991" s="27" t="n"/>
    </row>
    <row r="992" ht="17.25" customHeight="1" s="322">
      <c r="A992" s="27" t="n"/>
      <c r="B992" s="506" t="n"/>
      <c r="C992" s="141" t="n"/>
      <c r="D992" s="141" t="n"/>
      <c r="E992" s="141" t="n"/>
      <c r="F992" s="141" t="n"/>
      <c r="G992" s="143" t="n"/>
      <c r="H992" s="27" t="n"/>
    </row>
    <row r="993" ht="17.25" customHeight="1" s="322">
      <c r="A993" s="27" t="n"/>
      <c r="B993" s="506" t="n"/>
      <c r="C993" s="141" t="n"/>
      <c r="D993" s="141" t="n"/>
      <c r="E993" s="141" t="n"/>
      <c r="F993" s="141" t="n"/>
      <c r="G993" s="143" t="n"/>
      <c r="H993" s="27" t="n"/>
    </row>
    <row r="994" ht="17.25" customHeight="1" s="322">
      <c r="A994" s="27" t="n"/>
      <c r="B994" s="506" t="n"/>
      <c r="C994" s="141" t="n"/>
      <c r="D994" s="141" t="n"/>
      <c r="E994" s="141" t="n"/>
      <c r="F994" s="141" t="n"/>
      <c r="G994" s="143" t="n"/>
      <c r="H994" s="27" t="n"/>
    </row>
    <row r="995" ht="17.25" customHeight="1" s="322">
      <c r="A995" s="27" t="n"/>
      <c r="B995" s="506" t="n"/>
      <c r="C995" s="141" t="n"/>
      <c r="D995" s="141" t="n"/>
      <c r="E995" s="141" t="n"/>
      <c r="F995" s="141" t="n"/>
      <c r="G995" s="143" t="n"/>
      <c r="H995" s="27" t="n"/>
    </row>
    <row r="996" ht="17.25" customHeight="1" s="322">
      <c r="A996" s="27" t="n"/>
      <c r="B996" s="506" t="n"/>
      <c r="C996" s="141" t="n"/>
      <c r="D996" s="141" t="n"/>
      <c r="E996" s="141" t="n"/>
      <c r="F996" s="141" t="n"/>
      <c r="G996" s="143" t="n"/>
      <c r="H996" s="27" t="n"/>
    </row>
    <row r="997" ht="17.25" customHeight="1" s="322">
      <c r="A997" s="27" t="n"/>
      <c r="B997" s="506" t="n"/>
      <c r="C997" s="141" t="n"/>
      <c r="D997" s="141" t="n"/>
      <c r="E997" s="141" t="n"/>
      <c r="F997" s="141" t="n"/>
      <c r="G997" s="143" t="n"/>
      <c r="H997" s="27" t="n"/>
    </row>
    <row r="998" ht="17.25" customHeight="1" s="322">
      <c r="A998" s="27" t="n"/>
      <c r="B998" s="506" t="n"/>
      <c r="C998" s="141" t="n"/>
      <c r="D998" s="141" t="n"/>
      <c r="E998" s="141" t="n"/>
      <c r="F998" s="141" t="n"/>
      <c r="G998" s="143" t="n"/>
      <c r="H998" s="27" t="n"/>
    </row>
    <row r="999" ht="17.25" customHeight="1" s="322">
      <c r="A999" s="27" t="n"/>
      <c r="B999" s="506" t="n"/>
      <c r="C999" s="141" t="n"/>
      <c r="D999" s="141" t="n"/>
      <c r="E999" s="141" t="n"/>
      <c r="F999" s="141" t="n"/>
      <c r="G999" s="143" t="n"/>
      <c r="H999" s="27" t="n"/>
    </row>
    <row r="1000" ht="17.25" customHeight="1" s="322">
      <c r="A1000" s="27" t="n"/>
      <c r="B1000" s="506" t="n"/>
      <c r="C1000" s="141" t="n"/>
      <c r="D1000" s="141" t="n"/>
      <c r="E1000" s="141" t="n"/>
      <c r="F1000" s="141" t="n"/>
      <c r="G1000" s="143" t="n"/>
      <c r="H1000" s="27" t="n"/>
    </row>
  </sheetData>
  <mergeCells count="3">
    <mergeCell ref="B1:F2"/>
    <mergeCell ref="B7:G7"/>
    <mergeCell ref="B10:C10"/>
  </mergeCells>
  <conditionalFormatting sqref="D10:E10">
    <cfRule type="cellIs" priority="5" operator="lessThan" dxfId="5">
      <formula>0</formula>
    </cfRule>
    <cfRule type="cellIs" priority="6" operator="greaterThan" dxfId="4">
      <formula>0</formula>
    </cfRule>
  </conditionalFormatting>
  <conditionalFormatting sqref="F28:F1000">
    <cfRule type="expression" priority="1" dxfId="3">
      <formula>AND(F28=MAX(F$28:F$1000),F28&gt;0)</formula>
    </cfRule>
    <cfRule type="expression" priority="2" dxfId="2">
      <formula>AND(F28=MIN(F$28:F$1000),F28&gt;0)</formula>
    </cfRule>
  </conditionalFormatting>
  <conditionalFormatting sqref="F29:F1000">
    <cfRule type="expression" priority="3" dxfId="1">
      <formula>F29&gt;F27</formula>
    </cfRule>
    <cfRule type="expression" priority="4" dxfId="0">
      <formula>F29&lt;F27</formula>
    </cfRule>
  </conditionalFormatting>
  <conditionalFormatting sqref="G15">
    <cfRule type="colorScale" priority="7">
      <colorScale>
        <cfvo type="min"/>
        <cfvo type="max"/>
        <color rgb="FF57BB8A"/>
        <color rgb="FFFFFFFF"/>
      </colorScale>
    </cfRule>
  </conditionalFormatting>
  <dataValidations count="1">
    <dataValidation sqref="G15" showDropDown="0" showInputMessage="1" showErrorMessage="1" allowBlank="1" prompt="Click and enter a value from the list of items" type="list">
      <formula1>"1 Month,3 Months,6 Months,12 Months,36 Months"</formula1>
    </dataValidation>
  </dataValidations>
  <hyperlinks>
    <hyperlink xmlns:r="http://schemas.openxmlformats.org/officeDocument/2006/relationships" ref="B1" r:id="rId1"/>
    <hyperlink xmlns:r="http://schemas.openxmlformats.org/officeDocument/2006/relationships" ref="G2" r:id="rId2"/>
  </hyperlinks>
  <pageMargins left="0.7" right="0.7" top="0.75" bottom="0.75" header="0.3" footer="0.3"/>
  <drawing xmlns:r="http://schemas.openxmlformats.org/officeDocument/2006/relationships" r:id="rId3"/>
</worksheet>
</file>

<file path=xl/worksheets/sheet26.xml><?xml version="1.0" encoding="utf-8"?>
<worksheet xmlns="http://schemas.openxmlformats.org/spreadsheetml/2006/main">
  <sheetPr>
    <outlinePr summaryBelow="0" summaryRight="0"/>
    <pageSetUpPr/>
  </sheetPr>
  <dimension ref="A1:H1000"/>
  <sheetViews>
    <sheetView showGridLines="0" workbookViewId="0">
      <selection activeCell="A1" sqref="A1"/>
    </sheetView>
  </sheetViews>
  <sheetFormatPr baseColWidth="8" defaultColWidth="12.5703125" defaultRowHeight="15.75" customHeight="1"/>
  <cols>
    <col width="5.42578125" customWidth="1" style="322" min="1" max="1"/>
    <col width="15.7109375" customWidth="1" style="322" min="2" max="2"/>
    <col width="5.42578125" customWidth="1" style="322" min="8" max="8"/>
  </cols>
  <sheetData>
    <row r="1" ht="22.5" customHeight="1" s="322">
      <c r="A1" s="69" t="n"/>
      <c r="B1" s="455" t="inlineStr">
        <is>
          <t>← 관심종목으로 돌아가기</t>
        </is>
      </c>
      <c r="G1" s="72" t="inlineStr">
        <is>
          <t>제공:</t>
        </is>
      </c>
      <c r="H1" s="69" t="n"/>
    </row>
    <row r="2" ht="22.5" customHeight="1" s="322">
      <c r="A2" s="69" t="n"/>
      <c r="G2" s="77" t="inlineStr">
        <is>
          <t>Google Finance</t>
        </is>
      </c>
      <c r="H2" s="69" t="n"/>
    </row>
    <row r="3" ht="11.25" customHeight="1" s="322">
      <c r="A3" s="1" t="n"/>
      <c r="B3" s="1" t="n"/>
      <c r="C3" s="1" t="n"/>
      <c r="D3" s="1" t="n"/>
      <c r="E3" s="1" t="n"/>
      <c r="F3" s="1" t="n"/>
      <c r="G3" s="1" t="n"/>
      <c r="H3" s="1" t="n"/>
    </row>
    <row r="4" ht="15.75" customHeight="1" s="322">
      <c r="A4" s="1" t="n"/>
      <c r="B4" s="80" t="inlineStr">
        <is>
          <t>TLT</t>
        </is>
      </c>
      <c r="C4" s="81" t="inlineStr">
        <is>
          <t>&lt;&lt; 종목코드 입력</t>
        </is>
      </c>
      <c r="D4" s="1" t="n"/>
      <c r="E4" s="1" t="n"/>
      <c r="F4" s="1" t="n"/>
      <c r="G4" s="1" t="n"/>
      <c r="H4" s="1" t="n"/>
    </row>
    <row r="5" ht="15.75" customHeight="1" s="322">
      <c r="A5" s="1" t="n"/>
      <c r="B5" s="82" t="n"/>
      <c r="C5" s="81" t="inlineStr">
        <is>
          <t>&lt;&lt; 필요한 경우 거래소 입력(예: NASDAQ, NYSE)</t>
        </is>
      </c>
      <c r="D5" s="85" t="n"/>
      <c r="E5" s="1" t="n"/>
      <c r="F5" s="1" t="n"/>
      <c r="G5" s="1" t="n"/>
      <c r="H5" s="1" t="n"/>
    </row>
    <row r="6" ht="11.25" customHeight="1" s="322">
      <c r="A6" s="27" t="n"/>
      <c r="B6" s="27" t="n"/>
      <c r="C6" s="27" t="n"/>
      <c r="D6" s="27" t="n"/>
      <c r="E6" s="27" t="n"/>
      <c r="F6" s="27" t="n"/>
      <c r="G6" s="27" t="n"/>
      <c r="H6" s="27" t="n"/>
    </row>
    <row r="7" ht="20.25" customHeight="1" s="322">
      <c r="A7" s="12" t="n"/>
      <c r="B7" s="501">
        <f>IFERROR(__xludf.DUMMYFUNCTION("GOOGLEFINANCE(B18,""name"")"),"iShares 20+ Year Treasury Bond ETF")</f>
        <v/>
      </c>
      <c r="H7" s="12" t="n"/>
    </row>
    <row r="8" ht="11.25" customHeight="1" s="322">
      <c r="A8" s="12" t="n"/>
      <c r="B8" s="12" t="n"/>
      <c r="C8" s="12" t="n"/>
      <c r="D8" s="12" t="n"/>
      <c r="E8" s="12" t="n"/>
      <c r="F8" s="12" t="n"/>
      <c r="G8" s="12" t="n"/>
      <c r="H8" s="12" t="n"/>
    </row>
    <row r="9" ht="12" customHeight="1" s="322">
      <c r="A9" s="1" t="n"/>
      <c r="B9" s="90" t="inlineStr">
        <is>
          <t>현재가</t>
        </is>
      </c>
      <c r="C9" s="1" t="n"/>
      <c r="D9" s="90" t="inlineStr">
        <is>
          <t>전일대비</t>
        </is>
      </c>
      <c r="E9" s="90" t="inlineStr">
        <is>
          <t>등락률(%)</t>
        </is>
      </c>
      <c r="F9" s="1" t="n"/>
      <c r="G9" s="1" t="n"/>
      <c r="H9" s="1" t="n"/>
    </row>
    <row r="10" ht="31.5" customHeight="1" s="322">
      <c r="A10" s="12" t="n"/>
      <c r="B10" s="502">
        <f>IFERROR(__xludf.DUMMYFUNCTION("GOOGLEFINANCE(B18,""price"")"),82.85)</f>
        <v/>
      </c>
      <c r="D10" s="503">
        <f>IFERROR(__xludf.DUMMYFUNCTION("IFERROR(GOOGLEFINANCE(B18,""change""),""-"")"),-1.39)</f>
        <v/>
      </c>
      <c r="E10" s="504">
        <f>IFERROR(__xludf.DUMMYFUNCTION("IFERROR(GOOGLEFINANCE(B18,""changepct"")/100,""-"")"),-0.0165)</f>
        <v/>
      </c>
      <c r="F10" s="12" t="n"/>
      <c r="G10" s="12" t="n"/>
      <c r="H10" s="12" t="n"/>
    </row>
    <row r="11" ht="11.25" customHeight="1" s="322">
      <c r="A11" s="12" t="n"/>
      <c r="B11" s="106" t="n"/>
      <c r="C11" s="106" t="n"/>
      <c r="D11" s="106" t="n"/>
      <c r="E11" s="106" t="n"/>
      <c r="F11" s="106" t="n"/>
      <c r="G11" s="106" t="n"/>
      <c r="H11" s="12" t="n"/>
    </row>
    <row r="12" ht="11.25" customHeight="1" s="322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 ht="12" customHeight="1" s="322">
      <c r="A13" s="1" t="n"/>
      <c r="B13" s="90" t="inlineStr">
        <is>
          <t>시가총액</t>
        </is>
      </c>
      <c r="C13" s="90" t="inlineStr">
        <is>
          <t>PER</t>
        </is>
      </c>
      <c r="D13" s="90" t="inlineStr">
        <is>
          <t>베타계수</t>
        </is>
      </c>
      <c r="E13" s="1" t="n"/>
      <c r="F13" s="1" t="n"/>
      <c r="G13" s="1" t="n"/>
      <c r="H13" s="1" t="n"/>
    </row>
    <row r="14">
      <c r="A14" s="113" t="n"/>
      <c r="B14" s="505">
        <f>IFERROR(__xludf.DUMMYFUNCTION("IFERROR(GOOGLEFINANCE(B18,""marketcap""),""-"")"),10339679809)</f>
        <v/>
      </c>
      <c r="C14" s="115">
        <f>IFERROR(__xludf.DUMMYFUNCTION("IFERROR(GOOGLEFINANCE(B18,""pe""),""-"")"),"-")</f>
        <v/>
      </c>
      <c r="D14" s="115">
        <f>IFERROR(__xludf.DUMMYFUNCTION("IFERROR(GOOGLEFINANCE(B18,""beta""),""-"")"),0.51)</f>
        <v/>
      </c>
      <c r="E14" s="113" t="n"/>
      <c r="F14" s="113" t="n"/>
      <c r="G14" s="113" t="n"/>
      <c r="H14" s="113" t="n"/>
    </row>
    <row r="15" ht="15.75" customHeight="1" s="322">
      <c r="A15" s="12" t="n"/>
      <c r="B15" s="12" t="n"/>
      <c r="C15" s="12" t="n"/>
      <c r="D15" s="12" t="n"/>
      <c r="E15" s="12" t="n"/>
      <c r="F15" s="12" t="n"/>
      <c r="G15" s="123" t="inlineStr">
        <is>
          <t>12 Months</t>
        </is>
      </c>
      <c r="H15" s="12" t="n"/>
    </row>
    <row r="16" ht="15.75" customHeight="1" s="322">
      <c r="A16" s="12" t="n"/>
      <c r="B16" s="12" t="n"/>
      <c r="C16" s="12" t="n"/>
      <c r="D16" s="12" t="n"/>
      <c r="E16" s="12" t="n"/>
      <c r="F16" s="12" t="n"/>
      <c r="G16" s="12" t="n"/>
      <c r="H16" s="12" t="n"/>
    </row>
    <row r="17" ht="15.75" customHeight="1" s="322">
      <c r="A17" s="12" t="n"/>
      <c r="B17" s="12" t="n"/>
      <c r="C17" s="12" t="n"/>
      <c r="D17" s="12" t="n"/>
      <c r="E17" s="12" t="n"/>
      <c r="F17" s="12" t="n"/>
      <c r="G17" s="12" t="n"/>
      <c r="H17" s="12" t="n"/>
    </row>
    <row r="18" ht="15.75" customHeight="1" s="322">
      <c r="A18" s="12" t="n"/>
      <c r="B18" s="127">
        <f>IF(ISBLANK(B5),"",B5&amp;":")&amp;B4</f>
        <v/>
      </c>
      <c r="C18" s="12" t="n"/>
      <c r="D18" s="12" t="n"/>
      <c r="E18" s="12" t="n"/>
      <c r="F18" s="12" t="n"/>
      <c r="G18" s="12" t="n"/>
      <c r="H18" s="12" t="n"/>
    </row>
    <row r="19" ht="15.75" customHeight="1" s="322">
      <c r="A19" s="12" t="n"/>
      <c r="B19" s="12" t="n"/>
      <c r="C19" s="12" t="n"/>
      <c r="D19" s="12" t="n"/>
      <c r="E19" s="12" t="n"/>
      <c r="F19" s="12" t="n"/>
      <c r="G19" s="12" t="n"/>
      <c r="H19" s="12" t="n"/>
    </row>
    <row r="20" ht="15.75" customHeight="1" s="322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1" ht="15.75" customHeight="1" s="322">
      <c r="A21" s="12" t="n"/>
      <c r="B21" s="12" t="n"/>
      <c r="C21" s="12" t="n"/>
      <c r="D21" s="12" t="n"/>
      <c r="E21" s="12" t="n"/>
      <c r="F21" s="12" t="n"/>
      <c r="G21" s="12" t="n"/>
      <c r="H21" s="12" t="n"/>
    </row>
    <row r="22" ht="15.75" customHeight="1" s="322">
      <c r="A22" s="12" t="n"/>
      <c r="B22" s="12" t="n"/>
      <c r="C22" s="12" t="n"/>
      <c r="D22" s="12" t="n"/>
      <c r="E22" s="12" t="n"/>
      <c r="F22" s="12" t="n"/>
      <c r="G22" s="12" t="n"/>
      <c r="H22" s="12" t="n"/>
    </row>
    <row r="23" ht="15.75" customHeight="1" s="322">
      <c r="A23" s="12" t="n"/>
      <c r="B23" s="12" t="n"/>
      <c r="C23" s="12" t="n"/>
      <c r="D23" s="12" t="n"/>
      <c r="E23" s="12" t="n"/>
      <c r="F23" s="12" t="n"/>
      <c r="G23" s="12" t="n"/>
      <c r="H23" s="12" t="n"/>
    </row>
    <row r="24" ht="15.75" customHeight="1" s="322">
      <c r="A24" s="12" t="n"/>
      <c r="B24" s="12" t="n"/>
      <c r="C24" s="12" t="n"/>
      <c r="D24" s="12" t="n"/>
      <c r="E24" s="12" t="n"/>
      <c r="F24" s="12" t="n"/>
      <c r="G24" s="12" t="n"/>
      <c r="H24" s="12" t="n"/>
    </row>
    <row r="25" ht="15.75" customHeight="1" s="322">
      <c r="A25" s="12" t="n"/>
      <c r="B25" s="12" t="n"/>
      <c r="C25" s="12" t="n"/>
      <c r="D25" s="12" t="n"/>
      <c r="E25" s="12" t="n"/>
      <c r="F25" s="12" t="n"/>
      <c r="G25" s="12" t="n"/>
      <c r="H25" s="12" t="n"/>
    </row>
    <row r="26" ht="15.75" customHeight="1" s="322">
      <c r="A26" s="12" t="n"/>
      <c r="B26" s="12" t="n"/>
      <c r="C26" s="12" t="n"/>
      <c r="D26" s="12" t="n"/>
      <c r="E26" s="12" t="n"/>
      <c r="F26" s="12" t="n"/>
      <c r="G26" s="12" t="n"/>
      <c r="H26" s="12" t="n"/>
    </row>
    <row r="27" ht="15.75" customHeight="1" s="322">
      <c r="A27" s="133" t="n"/>
      <c r="B27" s="136">
        <f>IFERROR(__xludf.DUMMYFUNCTION("GOOGLEFINANCE(B18, ""all"", EDATE(TODAY(), -LEFT(G15, FIND("" "", G15))), TODAY(), ""DAILY"")"),"Date")</f>
        <v/>
      </c>
      <c r="C27" s="137">
        <f>IFERROR(__xludf.DUMMYFUNCTION("""COMPUTED_VALUE"""),"Open")</f>
        <v/>
      </c>
      <c r="D27" s="137">
        <f>IFERROR(__xludf.DUMMYFUNCTION("""COMPUTED_VALUE"""),"High")</f>
        <v/>
      </c>
      <c r="E27" s="137">
        <f>IFERROR(__xludf.DUMMYFUNCTION("""COMPUTED_VALUE"""),"Low")</f>
        <v/>
      </c>
      <c r="F27" s="137">
        <f>IFERROR(__xludf.DUMMYFUNCTION("""COMPUTED_VALUE"""),"Close")</f>
        <v/>
      </c>
      <c r="G27" s="137">
        <f>IFERROR(__xludf.DUMMYFUNCTION("""COMPUTED_VALUE"""),"Volume")</f>
        <v/>
      </c>
      <c r="H27" s="133" t="n"/>
    </row>
    <row r="28" ht="17.25" customHeight="1" s="322">
      <c r="A28" s="27" t="n"/>
      <c r="B28" s="506">
        <f>IFERROR(__xludf.DUMMYFUNCTION("""COMPUTED_VALUE"""),45868.6666666666)</f>
        <v/>
      </c>
      <c r="C28" s="141">
        <f>IFERROR(__xludf.DUMMYFUNCTION("""COMPUTED_VALUE"""),86.77)</f>
        <v/>
      </c>
      <c r="D28" s="141">
        <f>IFERROR(__xludf.DUMMYFUNCTION("""COMPUTED_VALUE"""),86.96)</f>
        <v/>
      </c>
      <c r="E28" s="141">
        <f>IFERROR(__xludf.DUMMYFUNCTION("""COMPUTED_VALUE"""),86.56)</f>
        <v/>
      </c>
      <c r="F28" s="141">
        <f>IFERROR(__xludf.DUMMYFUNCTION("""COMPUTED_VALUE"""),86.87)</f>
        <v/>
      </c>
      <c r="G28" s="143">
        <f>IFERROR(__xludf.DUMMYFUNCTION("""COMPUTED_VALUE"""),40670866)</f>
        <v/>
      </c>
      <c r="H28" s="27" t="n"/>
    </row>
    <row r="29" ht="17.25" customHeight="1" s="322">
      <c r="A29" s="27" t="n"/>
      <c r="B29" s="506">
        <f>IFERROR(__xludf.DUMMYFUNCTION("""COMPUTED_VALUE"""),45869.6666666666)</f>
        <v/>
      </c>
      <c r="C29" s="141">
        <f>IFERROR(__xludf.DUMMYFUNCTION("""COMPUTED_VALUE"""),87.13)</f>
        <v/>
      </c>
      <c r="D29" s="141">
        <f>IFERROR(__xludf.DUMMYFUNCTION("""COMPUTED_VALUE"""),87.41)</f>
        <v/>
      </c>
      <c r="E29" s="141">
        <f>IFERROR(__xludf.DUMMYFUNCTION("""COMPUTED_VALUE"""),86.84)</f>
        <v/>
      </c>
      <c r="F29" s="141">
        <f>IFERROR(__xludf.DUMMYFUNCTION("""COMPUTED_VALUE"""),86.92)</f>
        <v/>
      </c>
      <c r="G29" s="143">
        <f>IFERROR(__xludf.DUMMYFUNCTION("""COMPUTED_VALUE"""),49814080)</f>
        <v/>
      </c>
      <c r="H29" s="27" t="n"/>
    </row>
    <row r="30" ht="17.25" customHeight="1" s="322">
      <c r="A30" s="27" t="n"/>
      <c r="B30" s="506">
        <f>IFERROR(__xludf.DUMMYFUNCTION("""COMPUTED_VALUE"""),45870.6666666666)</f>
        <v/>
      </c>
      <c r="C30" s="141">
        <f>IFERROR(__xludf.DUMMYFUNCTION("""COMPUTED_VALUE"""),87.56)</f>
        <v/>
      </c>
      <c r="D30" s="141">
        <f>IFERROR(__xludf.DUMMYFUNCTION("""COMPUTED_VALUE"""),87.93)</f>
        <v/>
      </c>
      <c r="E30" s="141">
        <f>IFERROR(__xludf.DUMMYFUNCTION("""COMPUTED_VALUE"""),87.52)</f>
        <v/>
      </c>
      <c r="F30" s="141">
        <f>IFERROR(__xludf.DUMMYFUNCTION("""COMPUTED_VALUE"""),87.82)</f>
        <v/>
      </c>
      <c r="G30" s="143">
        <f>IFERROR(__xludf.DUMMYFUNCTION("""COMPUTED_VALUE"""),63434525)</f>
        <v/>
      </c>
      <c r="H30" s="27" t="n"/>
    </row>
    <row r="31" ht="17.25" customHeight="1" s="322">
      <c r="A31" s="27" t="n"/>
      <c r="B31" s="506">
        <f>IFERROR(__xludf.DUMMYFUNCTION("""COMPUTED_VALUE"""),45873.6666666666)</f>
        <v/>
      </c>
      <c r="C31" s="141">
        <f>IFERROR(__xludf.DUMMYFUNCTION("""COMPUTED_VALUE"""),87.96)</f>
        <v/>
      </c>
      <c r="D31" s="141">
        <f>IFERROR(__xludf.DUMMYFUNCTION("""COMPUTED_VALUE"""),88.15)</f>
        <v/>
      </c>
      <c r="E31" s="141">
        <f>IFERROR(__xludf.DUMMYFUNCTION("""COMPUTED_VALUE"""),87.65)</f>
        <v/>
      </c>
      <c r="F31" s="141">
        <f>IFERROR(__xludf.DUMMYFUNCTION("""COMPUTED_VALUE"""),88.06)</f>
        <v/>
      </c>
      <c r="G31" s="143">
        <f>IFERROR(__xludf.DUMMYFUNCTION("""COMPUTED_VALUE"""),36425167)</f>
        <v/>
      </c>
      <c r="H31" s="27" t="n"/>
    </row>
    <row r="32" ht="17.25" customHeight="1" s="322">
      <c r="A32" s="27" t="n"/>
      <c r="B32" s="506">
        <f>IFERROR(__xludf.DUMMYFUNCTION("""COMPUTED_VALUE"""),45874.6666666666)</f>
        <v/>
      </c>
      <c r="C32" s="141">
        <f>IFERROR(__xludf.DUMMYFUNCTION("""COMPUTED_VALUE"""),87.85)</f>
        <v/>
      </c>
      <c r="D32" s="141">
        <f>IFERROR(__xludf.DUMMYFUNCTION("""COMPUTED_VALUE"""),88.45)</f>
        <v/>
      </c>
      <c r="E32" s="141">
        <f>IFERROR(__xludf.DUMMYFUNCTION("""COMPUTED_VALUE"""),87.78)</f>
        <v/>
      </c>
      <c r="F32" s="141">
        <f>IFERROR(__xludf.DUMMYFUNCTION("""COMPUTED_VALUE"""),88.33)</f>
        <v/>
      </c>
      <c r="G32" s="143">
        <f>IFERROR(__xludf.DUMMYFUNCTION("""COMPUTED_VALUE"""),28586109)</f>
        <v/>
      </c>
      <c r="H32" s="27" t="n"/>
    </row>
    <row r="33" ht="17.25" customHeight="1" s="322">
      <c r="A33" s="27" t="n"/>
      <c r="B33" s="506">
        <f>IFERROR(__xludf.DUMMYFUNCTION("""COMPUTED_VALUE"""),45875.6666666666)</f>
        <v/>
      </c>
      <c r="C33" s="141">
        <f>IFERROR(__xludf.DUMMYFUNCTION("""COMPUTED_VALUE"""),87.84)</f>
        <v/>
      </c>
      <c r="D33" s="141">
        <f>IFERROR(__xludf.DUMMYFUNCTION("""COMPUTED_VALUE"""),88.05)</f>
        <v/>
      </c>
      <c r="E33" s="141">
        <f>IFERROR(__xludf.DUMMYFUNCTION("""COMPUTED_VALUE"""),86.92)</f>
        <v/>
      </c>
      <c r="F33" s="141">
        <f>IFERROR(__xludf.DUMMYFUNCTION("""COMPUTED_VALUE"""),87.82)</f>
        <v/>
      </c>
      <c r="G33" s="143">
        <f>IFERROR(__xludf.DUMMYFUNCTION("""COMPUTED_VALUE"""),42589347)</f>
        <v/>
      </c>
      <c r="H33" s="27" t="n"/>
    </row>
    <row r="34" ht="17.25" customHeight="1" s="322">
      <c r="A34" s="27" t="n"/>
      <c r="B34" s="506">
        <f>IFERROR(__xludf.DUMMYFUNCTION("""COMPUTED_VALUE"""),45876.6666666666)</f>
        <v/>
      </c>
      <c r="C34" s="141">
        <f>IFERROR(__xludf.DUMMYFUNCTION("""COMPUTED_VALUE"""),87.92)</f>
        <v/>
      </c>
      <c r="D34" s="141">
        <f>IFERROR(__xludf.DUMMYFUNCTION("""COMPUTED_VALUE"""),88.25)</f>
        <v/>
      </c>
      <c r="E34" s="141">
        <f>IFERROR(__xludf.DUMMYFUNCTION("""COMPUTED_VALUE"""),87.59)</f>
        <v/>
      </c>
      <c r="F34" s="141">
        <f>IFERROR(__xludf.DUMMYFUNCTION("""COMPUTED_VALUE"""),87.67)</f>
        <v/>
      </c>
      <c r="G34" s="143">
        <f>IFERROR(__xludf.DUMMYFUNCTION("""COMPUTED_VALUE"""),29213145)</f>
        <v/>
      </c>
      <c r="H34" s="27" t="n"/>
    </row>
    <row r="35" ht="17.25" customHeight="1" s="322">
      <c r="A35" s="27" t="n"/>
      <c r="B35" s="506">
        <f>IFERROR(__xludf.DUMMYFUNCTION("""COMPUTED_VALUE"""),45877.6666666666)</f>
        <v/>
      </c>
      <c r="C35" s="141">
        <f>IFERROR(__xludf.DUMMYFUNCTION("""COMPUTED_VALUE"""),87.36)</f>
        <v/>
      </c>
      <c r="D35" s="141">
        <f>IFERROR(__xludf.DUMMYFUNCTION("""COMPUTED_VALUE"""),87.39)</f>
        <v/>
      </c>
      <c r="E35" s="141">
        <f>IFERROR(__xludf.DUMMYFUNCTION("""COMPUTED_VALUE"""),87.15)</f>
        <v/>
      </c>
      <c r="F35" s="141">
        <f>IFERROR(__xludf.DUMMYFUNCTION("""COMPUTED_VALUE"""),87.29)</f>
        <v/>
      </c>
      <c r="G35" s="143">
        <f>IFERROR(__xludf.DUMMYFUNCTION("""COMPUTED_VALUE"""),21596334)</f>
        <v/>
      </c>
      <c r="H35" s="27" t="n"/>
    </row>
    <row r="36" ht="17.25" customHeight="1" s="322">
      <c r="A36" s="27" t="n"/>
      <c r="B36" s="506">
        <f>IFERROR(__xludf.DUMMYFUNCTION("""COMPUTED_VALUE"""),45880.6666666666)</f>
        <v/>
      </c>
      <c r="C36" s="141">
        <f>IFERROR(__xludf.DUMMYFUNCTION("""COMPUTED_VALUE"""),87.54)</f>
        <v/>
      </c>
      <c r="D36" s="141">
        <f>IFERROR(__xludf.DUMMYFUNCTION("""COMPUTED_VALUE"""),87.67)</f>
        <v/>
      </c>
      <c r="E36" s="141">
        <f>IFERROR(__xludf.DUMMYFUNCTION("""COMPUTED_VALUE"""),87.28)</f>
        <v/>
      </c>
      <c r="F36" s="141">
        <f>IFERROR(__xludf.DUMMYFUNCTION("""COMPUTED_VALUE"""),87.39)</f>
        <v/>
      </c>
      <c r="G36" s="143">
        <f>IFERROR(__xludf.DUMMYFUNCTION("""COMPUTED_VALUE"""),20100909)</f>
        <v/>
      </c>
      <c r="H36" s="27" t="n"/>
    </row>
    <row r="37" ht="17.25" customHeight="1" s="322">
      <c r="A37" s="27" t="n"/>
      <c r="B37" s="506">
        <f>IFERROR(__xludf.DUMMYFUNCTION("""COMPUTED_VALUE"""),45881.6666666666)</f>
        <v/>
      </c>
      <c r="C37" s="141">
        <f>IFERROR(__xludf.DUMMYFUNCTION("""COMPUTED_VALUE"""),86.9)</f>
        <v/>
      </c>
      <c r="D37" s="141">
        <f>IFERROR(__xludf.DUMMYFUNCTION("""COMPUTED_VALUE"""),86.97)</f>
        <v/>
      </c>
      <c r="E37" s="141">
        <f>IFERROR(__xludf.DUMMYFUNCTION("""COMPUTED_VALUE"""),86.55)</f>
        <v/>
      </c>
      <c r="F37" s="141">
        <f>IFERROR(__xludf.DUMMYFUNCTION("""COMPUTED_VALUE"""),86.95)</f>
        <v/>
      </c>
      <c r="G37" s="143">
        <f>IFERROR(__xludf.DUMMYFUNCTION("""COMPUTED_VALUE"""),41087211)</f>
        <v/>
      </c>
      <c r="H37" s="27" t="n"/>
    </row>
    <row r="38" ht="17.25" customHeight="1" s="322">
      <c r="A38" s="27" t="n"/>
      <c r="B38" s="506">
        <f>IFERROR(__xludf.DUMMYFUNCTION("""COMPUTED_VALUE"""),45882.6666666666)</f>
        <v/>
      </c>
      <c r="C38" s="141">
        <f>IFERROR(__xludf.DUMMYFUNCTION("""COMPUTED_VALUE"""),87.44)</f>
        <v/>
      </c>
      <c r="D38" s="141">
        <f>IFERROR(__xludf.DUMMYFUNCTION("""COMPUTED_VALUE"""),87.81)</f>
        <v/>
      </c>
      <c r="E38" s="141">
        <f>IFERROR(__xludf.DUMMYFUNCTION("""COMPUTED_VALUE"""),87.43)</f>
        <v/>
      </c>
      <c r="F38" s="141">
        <f>IFERROR(__xludf.DUMMYFUNCTION("""COMPUTED_VALUE"""),87.67)</f>
        <v/>
      </c>
      <c r="G38" s="143">
        <f>IFERROR(__xludf.DUMMYFUNCTION("""COMPUTED_VALUE"""),30817493)</f>
        <v/>
      </c>
      <c r="H38" s="27" t="n"/>
    </row>
    <row r="39" ht="17.25" customHeight="1" s="322">
      <c r="A39" s="27" t="n"/>
      <c r="B39" s="506">
        <f>IFERROR(__xludf.DUMMYFUNCTION("""COMPUTED_VALUE"""),45883.6666666666)</f>
        <v/>
      </c>
      <c r="C39" s="141">
        <f>IFERROR(__xludf.DUMMYFUNCTION("""COMPUTED_VALUE"""),87.51)</f>
        <v/>
      </c>
      <c r="D39" s="141">
        <f>IFERROR(__xludf.DUMMYFUNCTION("""COMPUTED_VALUE"""),87.51)</f>
        <v/>
      </c>
      <c r="E39" s="141">
        <f>IFERROR(__xludf.DUMMYFUNCTION("""COMPUTED_VALUE"""),86.89)</f>
        <v/>
      </c>
      <c r="F39" s="141">
        <f>IFERROR(__xludf.DUMMYFUNCTION("""COMPUTED_VALUE"""),87.02)</f>
        <v/>
      </c>
      <c r="G39" s="143">
        <f>IFERROR(__xludf.DUMMYFUNCTION("""COMPUTED_VALUE"""),33397435)</f>
        <v/>
      </c>
      <c r="H39" s="27" t="n"/>
    </row>
    <row r="40" ht="17.25" customHeight="1" s="322">
      <c r="A40" s="27" t="n"/>
      <c r="B40" s="506">
        <f>IFERROR(__xludf.DUMMYFUNCTION("""COMPUTED_VALUE"""),45884.6666666666)</f>
        <v/>
      </c>
      <c r="C40" s="141">
        <f>IFERROR(__xludf.DUMMYFUNCTION("""COMPUTED_VALUE"""),86.66)</f>
        <v/>
      </c>
      <c r="D40" s="141">
        <f>IFERROR(__xludf.DUMMYFUNCTION("""COMPUTED_VALUE"""),86.78)</f>
        <v/>
      </c>
      <c r="E40" s="141">
        <f>IFERROR(__xludf.DUMMYFUNCTION("""COMPUTED_VALUE"""),86.25)</f>
        <v/>
      </c>
      <c r="F40" s="141">
        <f>IFERROR(__xludf.DUMMYFUNCTION("""COMPUTED_VALUE"""),86.4)</f>
        <v/>
      </c>
      <c r="G40" s="143">
        <f>IFERROR(__xludf.DUMMYFUNCTION("""COMPUTED_VALUE"""),36343551)</f>
        <v/>
      </c>
      <c r="H40" s="27" t="n"/>
    </row>
    <row r="41" ht="17.25" customHeight="1" s="322">
      <c r="A41" s="27" t="n"/>
      <c r="B41" s="506">
        <f>IFERROR(__xludf.DUMMYFUNCTION("""COMPUTED_VALUE"""),45887.6666666666)</f>
        <v/>
      </c>
      <c r="C41" s="141">
        <f>IFERROR(__xludf.DUMMYFUNCTION("""COMPUTED_VALUE"""),86.5)</f>
        <v/>
      </c>
      <c r="D41" s="141">
        <f>IFERROR(__xludf.DUMMYFUNCTION("""COMPUTED_VALUE"""),86.54)</f>
        <v/>
      </c>
      <c r="E41" s="141">
        <f>IFERROR(__xludf.DUMMYFUNCTION("""COMPUTED_VALUE"""),85.99)</f>
        <v/>
      </c>
      <c r="F41" s="141">
        <f>IFERROR(__xludf.DUMMYFUNCTION("""COMPUTED_VALUE"""),86.15)</f>
        <v/>
      </c>
      <c r="G41" s="143">
        <f>IFERROR(__xludf.DUMMYFUNCTION("""COMPUTED_VALUE"""),26777514)</f>
        <v/>
      </c>
      <c r="H41" s="27" t="n"/>
    </row>
    <row r="42" ht="17.25" customHeight="1" s="322">
      <c r="A42" s="27" t="n"/>
      <c r="B42" s="506">
        <f>IFERROR(__xludf.DUMMYFUNCTION("""COMPUTED_VALUE"""),45888.6666666666)</f>
        <v/>
      </c>
      <c r="C42" s="141">
        <f>IFERROR(__xludf.DUMMYFUNCTION("""COMPUTED_VALUE"""),86.45)</f>
        <v/>
      </c>
      <c r="D42" s="141">
        <f>IFERROR(__xludf.DUMMYFUNCTION("""COMPUTED_VALUE"""),86.75)</f>
        <v/>
      </c>
      <c r="E42" s="141">
        <f>IFERROR(__xludf.DUMMYFUNCTION("""COMPUTED_VALUE"""),86.45)</f>
        <v/>
      </c>
      <c r="F42" s="141">
        <f>IFERROR(__xludf.DUMMYFUNCTION("""COMPUTED_VALUE"""),86.65)</f>
        <v/>
      </c>
      <c r="G42" s="143">
        <f>IFERROR(__xludf.DUMMYFUNCTION("""COMPUTED_VALUE"""),28780625)</f>
        <v/>
      </c>
      <c r="H42" s="27" t="n"/>
    </row>
    <row r="43" ht="17.25" customHeight="1" s="322">
      <c r="A43" s="27" t="n"/>
      <c r="B43" s="506">
        <f>IFERROR(__xludf.DUMMYFUNCTION("""COMPUTED_VALUE"""),45889.6666666666)</f>
        <v/>
      </c>
      <c r="C43" s="141">
        <f>IFERROR(__xludf.DUMMYFUNCTION("""COMPUTED_VALUE"""),86.59)</f>
        <v/>
      </c>
      <c r="D43" s="141">
        <f>IFERROR(__xludf.DUMMYFUNCTION("""COMPUTED_VALUE"""),86.97)</f>
        <v/>
      </c>
      <c r="E43" s="141">
        <f>IFERROR(__xludf.DUMMYFUNCTION("""COMPUTED_VALUE"""),86.56)</f>
        <v/>
      </c>
      <c r="F43" s="141">
        <f>IFERROR(__xludf.DUMMYFUNCTION("""COMPUTED_VALUE"""),86.84)</f>
        <v/>
      </c>
      <c r="G43" s="143">
        <f>IFERROR(__xludf.DUMMYFUNCTION("""COMPUTED_VALUE"""),25912477)</f>
        <v/>
      </c>
      <c r="H43" s="27" t="n"/>
    </row>
    <row r="44" ht="17.25" customHeight="1" s="322">
      <c r="A44" s="27" t="n"/>
      <c r="B44" s="506">
        <f>IFERROR(__xludf.DUMMYFUNCTION("""COMPUTED_VALUE"""),45890.6666666666)</f>
        <v/>
      </c>
      <c r="C44" s="141">
        <f>IFERROR(__xludf.DUMMYFUNCTION("""COMPUTED_VALUE"""),86.56)</f>
        <v/>
      </c>
      <c r="D44" s="141">
        <f>IFERROR(__xludf.DUMMYFUNCTION("""COMPUTED_VALUE"""),86.68)</f>
        <v/>
      </c>
      <c r="E44" s="141">
        <f>IFERROR(__xludf.DUMMYFUNCTION("""COMPUTED_VALUE"""),86.11)</f>
        <v/>
      </c>
      <c r="F44" s="141">
        <f>IFERROR(__xludf.DUMMYFUNCTION("""COMPUTED_VALUE"""),86.41)</f>
        <v/>
      </c>
      <c r="G44" s="143">
        <f>IFERROR(__xludf.DUMMYFUNCTION("""COMPUTED_VALUE"""),28643888)</f>
        <v/>
      </c>
      <c r="H44" s="27" t="n"/>
    </row>
    <row r="45" ht="17.25" customHeight="1" s="322">
      <c r="A45" s="27" t="n"/>
      <c r="B45" s="506">
        <f>IFERROR(__xludf.DUMMYFUNCTION("""COMPUTED_VALUE"""),45891.6666666666)</f>
        <v/>
      </c>
      <c r="C45" s="141">
        <f>IFERROR(__xludf.DUMMYFUNCTION("""COMPUTED_VALUE"""),86.83)</f>
        <v/>
      </c>
      <c r="D45" s="141">
        <f>IFERROR(__xludf.DUMMYFUNCTION("""COMPUTED_VALUE"""),87.3)</f>
        <v/>
      </c>
      <c r="E45" s="141">
        <f>IFERROR(__xludf.DUMMYFUNCTION("""COMPUTED_VALUE"""),86.72)</f>
        <v/>
      </c>
      <c r="F45" s="141">
        <f>IFERROR(__xludf.DUMMYFUNCTION("""COMPUTED_VALUE"""),87.05)</f>
        <v/>
      </c>
      <c r="G45" s="143">
        <f>IFERROR(__xludf.DUMMYFUNCTION("""COMPUTED_VALUE"""),49871851)</f>
        <v/>
      </c>
      <c r="H45" s="27" t="n"/>
    </row>
    <row r="46" ht="17.25" customHeight="1" s="322">
      <c r="A46" s="27" t="n"/>
      <c r="B46" s="506">
        <f>IFERROR(__xludf.DUMMYFUNCTION("""COMPUTED_VALUE"""),45894.6666666666)</f>
        <v/>
      </c>
      <c r="C46" s="141">
        <f>IFERROR(__xludf.DUMMYFUNCTION("""COMPUTED_VALUE"""),86.73)</f>
        <v/>
      </c>
      <c r="D46" s="141">
        <f>IFERROR(__xludf.DUMMYFUNCTION("""COMPUTED_VALUE"""),87.05)</f>
        <v/>
      </c>
      <c r="E46" s="141">
        <f>IFERROR(__xludf.DUMMYFUNCTION("""COMPUTED_VALUE"""),86.65)</f>
        <v/>
      </c>
      <c r="F46" s="141">
        <f>IFERROR(__xludf.DUMMYFUNCTION("""COMPUTED_VALUE"""),86.8)</f>
        <v/>
      </c>
      <c r="G46" s="143">
        <f>IFERROR(__xludf.DUMMYFUNCTION("""COMPUTED_VALUE"""),27011924)</f>
        <v/>
      </c>
      <c r="H46" s="27" t="n"/>
    </row>
    <row r="47" ht="17.25" customHeight="1" s="322">
      <c r="A47" s="27" t="n"/>
      <c r="B47" s="506">
        <f>IFERROR(__xludf.DUMMYFUNCTION("""COMPUTED_VALUE"""),45895.6666666666)</f>
        <v/>
      </c>
      <c r="C47" s="141">
        <f>IFERROR(__xludf.DUMMYFUNCTION("""COMPUTED_VALUE"""),86.51)</f>
        <v/>
      </c>
      <c r="D47" s="141">
        <f>IFERROR(__xludf.DUMMYFUNCTION("""COMPUTED_VALUE"""),86.79)</f>
        <v/>
      </c>
      <c r="E47" s="141">
        <f>IFERROR(__xludf.DUMMYFUNCTION("""COMPUTED_VALUE"""),86.22)</f>
        <v/>
      </c>
      <c r="F47" s="141">
        <f>IFERROR(__xludf.DUMMYFUNCTION("""COMPUTED_VALUE"""),86.75)</f>
        <v/>
      </c>
      <c r="G47" s="143">
        <f>IFERROR(__xludf.DUMMYFUNCTION("""COMPUTED_VALUE"""),30259346)</f>
        <v/>
      </c>
      <c r="H47" s="27" t="n"/>
    </row>
    <row r="48" ht="17.25" customHeight="1" s="322">
      <c r="A48" s="27" t="n"/>
      <c r="B48" s="506">
        <f>IFERROR(__xludf.DUMMYFUNCTION("""COMPUTED_VALUE"""),45896.6666666666)</f>
        <v/>
      </c>
      <c r="C48" s="141">
        <f>IFERROR(__xludf.DUMMYFUNCTION("""COMPUTED_VALUE"""),86.11)</f>
        <v/>
      </c>
      <c r="D48" s="141">
        <f>IFERROR(__xludf.DUMMYFUNCTION("""COMPUTED_VALUE"""),86.66)</f>
        <v/>
      </c>
      <c r="E48" s="141">
        <f>IFERROR(__xludf.DUMMYFUNCTION("""COMPUTED_VALUE"""),86)</f>
        <v/>
      </c>
      <c r="F48" s="141">
        <f>IFERROR(__xludf.DUMMYFUNCTION("""COMPUTED_VALUE"""),86.65)</f>
        <v/>
      </c>
      <c r="G48" s="143">
        <f>IFERROR(__xludf.DUMMYFUNCTION("""COMPUTED_VALUE"""),38142761)</f>
        <v/>
      </c>
      <c r="H48" s="27" t="n"/>
    </row>
    <row r="49" ht="17.25" customHeight="1" s="322">
      <c r="A49" s="27" t="n"/>
      <c r="B49" s="506">
        <f>IFERROR(__xludf.DUMMYFUNCTION("""COMPUTED_VALUE"""),45897.6666666666)</f>
        <v/>
      </c>
      <c r="C49" s="141">
        <f>IFERROR(__xludf.DUMMYFUNCTION("""COMPUTED_VALUE"""),86.78)</f>
        <v/>
      </c>
      <c r="D49" s="141">
        <f>IFERROR(__xludf.DUMMYFUNCTION("""COMPUTED_VALUE"""),87.26)</f>
        <v/>
      </c>
      <c r="E49" s="141">
        <f>IFERROR(__xludf.DUMMYFUNCTION("""COMPUTED_VALUE"""),86.66)</f>
        <v/>
      </c>
      <c r="F49" s="141">
        <f>IFERROR(__xludf.DUMMYFUNCTION("""COMPUTED_VALUE"""),87.22)</f>
        <v/>
      </c>
      <c r="G49" s="143">
        <f>IFERROR(__xludf.DUMMYFUNCTION("""COMPUTED_VALUE"""),32205937)</f>
        <v/>
      </c>
      <c r="H49" s="27" t="n"/>
    </row>
    <row r="50" ht="17.25" customHeight="1" s="322">
      <c r="A50" s="27" t="n"/>
      <c r="B50" s="506">
        <f>IFERROR(__xludf.DUMMYFUNCTION("""COMPUTED_VALUE"""),45898.6666666666)</f>
        <v/>
      </c>
      <c r="C50" s="141">
        <f>IFERROR(__xludf.DUMMYFUNCTION("""COMPUTED_VALUE"""),86.76)</f>
        <v/>
      </c>
      <c r="D50" s="141">
        <f>IFERROR(__xludf.DUMMYFUNCTION("""COMPUTED_VALUE"""),86.86)</f>
        <v/>
      </c>
      <c r="E50" s="141">
        <f>IFERROR(__xludf.DUMMYFUNCTION("""COMPUTED_VALUE"""),86.44)</f>
        <v/>
      </c>
      <c r="F50" s="141">
        <f>IFERROR(__xludf.DUMMYFUNCTION("""COMPUTED_VALUE"""),86.6)</f>
        <v/>
      </c>
      <c r="G50" s="143">
        <f>IFERROR(__xludf.DUMMYFUNCTION("""COMPUTED_VALUE"""),41686429)</f>
        <v/>
      </c>
      <c r="H50" s="27" t="n"/>
    </row>
    <row r="51" ht="17.25" customHeight="1" s="322">
      <c r="A51" s="27" t="n"/>
      <c r="B51" s="506">
        <f>IFERROR(__xludf.DUMMYFUNCTION("""COMPUTED_VALUE"""),45902.6666666666)</f>
        <v/>
      </c>
      <c r="C51" s="141">
        <f>IFERROR(__xludf.DUMMYFUNCTION("""COMPUTED_VALUE"""),85.63)</f>
        <v/>
      </c>
      <c r="D51" s="141">
        <f>IFERROR(__xludf.DUMMYFUNCTION("""COMPUTED_VALUE"""),85.84)</f>
        <v/>
      </c>
      <c r="E51" s="141">
        <f>IFERROR(__xludf.DUMMYFUNCTION("""COMPUTED_VALUE"""),85.48)</f>
        <v/>
      </c>
      <c r="F51" s="141">
        <f>IFERROR(__xludf.DUMMYFUNCTION("""COMPUTED_VALUE"""),85.63)</f>
        <v/>
      </c>
      <c r="G51" s="143">
        <f>IFERROR(__xludf.DUMMYFUNCTION("""COMPUTED_VALUE"""),48760602)</f>
        <v/>
      </c>
      <c r="H51" s="27" t="n"/>
    </row>
    <row r="52" ht="17.25" customHeight="1" s="322">
      <c r="A52" s="27" t="n"/>
      <c r="B52" s="506">
        <f>IFERROR(__xludf.DUMMYFUNCTION("""COMPUTED_VALUE"""),45903.6666666666)</f>
        <v/>
      </c>
      <c r="C52" s="141">
        <f>IFERROR(__xludf.DUMMYFUNCTION("""COMPUTED_VALUE"""),85.93)</f>
        <v/>
      </c>
      <c r="D52" s="141">
        <f>IFERROR(__xludf.DUMMYFUNCTION("""COMPUTED_VALUE"""),86.81)</f>
        <v/>
      </c>
      <c r="E52" s="141">
        <f>IFERROR(__xludf.DUMMYFUNCTION("""COMPUTED_VALUE"""),85.89)</f>
        <v/>
      </c>
      <c r="F52" s="141">
        <f>IFERROR(__xludf.DUMMYFUNCTION("""COMPUTED_VALUE"""),86.57)</f>
        <v/>
      </c>
      <c r="G52" s="143">
        <f>IFERROR(__xludf.DUMMYFUNCTION("""COMPUTED_VALUE"""),52499540)</f>
        <v/>
      </c>
      <c r="H52" s="27" t="n"/>
    </row>
    <row r="53" ht="17.25" customHeight="1" s="322">
      <c r="A53" s="27" t="n"/>
      <c r="B53" s="506">
        <f>IFERROR(__xludf.DUMMYFUNCTION("""COMPUTED_VALUE"""),45904.6666666666)</f>
        <v/>
      </c>
      <c r="C53" s="141">
        <f>IFERROR(__xludf.DUMMYFUNCTION("""COMPUTED_VALUE"""),87.02)</f>
        <v/>
      </c>
      <c r="D53" s="141">
        <f>IFERROR(__xludf.DUMMYFUNCTION("""COMPUTED_VALUE"""),87.24)</f>
        <v/>
      </c>
      <c r="E53" s="141">
        <f>IFERROR(__xludf.DUMMYFUNCTION("""COMPUTED_VALUE"""),86.58)</f>
        <v/>
      </c>
      <c r="F53" s="141">
        <f>IFERROR(__xludf.DUMMYFUNCTION("""COMPUTED_VALUE"""),87.23)</f>
        <v/>
      </c>
      <c r="G53" s="143">
        <f>IFERROR(__xludf.DUMMYFUNCTION("""COMPUTED_VALUE"""),40501553)</f>
        <v/>
      </c>
      <c r="H53" s="27" t="n"/>
    </row>
    <row r="54" ht="17.25" customHeight="1" s="322">
      <c r="A54" s="27" t="n"/>
      <c r="B54" s="506">
        <f>IFERROR(__xludf.DUMMYFUNCTION("""COMPUTED_VALUE"""),45905.6666666666)</f>
        <v/>
      </c>
      <c r="C54" s="141">
        <f>IFERROR(__xludf.DUMMYFUNCTION("""COMPUTED_VALUE"""),88.22)</f>
        <v/>
      </c>
      <c r="D54" s="141">
        <f>IFERROR(__xludf.DUMMYFUNCTION("""COMPUTED_VALUE"""),88.61)</f>
        <v/>
      </c>
      <c r="E54" s="141">
        <f>IFERROR(__xludf.DUMMYFUNCTION("""COMPUTED_VALUE"""),88.14)</f>
        <v/>
      </c>
      <c r="F54" s="141">
        <f>IFERROR(__xludf.DUMMYFUNCTION("""COMPUTED_VALUE"""),88.56)</f>
        <v/>
      </c>
      <c r="G54" s="143">
        <f>IFERROR(__xludf.DUMMYFUNCTION("""COMPUTED_VALUE"""),69667951)</f>
        <v/>
      </c>
      <c r="H54" s="27" t="n"/>
    </row>
    <row r="55" ht="17.25" customHeight="1" s="322">
      <c r="A55" s="27" t="n"/>
      <c r="B55" s="506">
        <f>IFERROR(__xludf.DUMMYFUNCTION("""COMPUTED_VALUE"""),45908.6666666666)</f>
        <v/>
      </c>
      <c r="C55" s="141">
        <f>IFERROR(__xludf.DUMMYFUNCTION("""COMPUTED_VALUE"""),89.17)</f>
        <v/>
      </c>
      <c r="D55" s="141">
        <f>IFERROR(__xludf.DUMMYFUNCTION("""COMPUTED_VALUE"""),89.76)</f>
        <v/>
      </c>
      <c r="E55" s="141">
        <f>IFERROR(__xludf.DUMMYFUNCTION("""COMPUTED_VALUE"""),89.12)</f>
        <v/>
      </c>
      <c r="F55" s="141">
        <f>IFERROR(__xludf.DUMMYFUNCTION("""COMPUTED_VALUE"""),89.74)</f>
        <v/>
      </c>
      <c r="G55" s="143">
        <f>IFERROR(__xludf.DUMMYFUNCTION("""COMPUTED_VALUE"""),54538678)</f>
        <v/>
      </c>
      <c r="H55" s="27" t="n"/>
    </row>
    <row r="56" ht="17.25" customHeight="1" s="322">
      <c r="A56" s="27" t="n"/>
      <c r="B56" s="506">
        <f>IFERROR(__xludf.DUMMYFUNCTION("""COMPUTED_VALUE"""),45909.6666666666)</f>
        <v/>
      </c>
      <c r="C56" s="141">
        <f>IFERROR(__xludf.DUMMYFUNCTION("""COMPUTED_VALUE"""),89.4)</f>
        <v/>
      </c>
      <c r="D56" s="141">
        <f>IFERROR(__xludf.DUMMYFUNCTION("""COMPUTED_VALUE"""),89.55)</f>
        <v/>
      </c>
      <c r="E56" s="141">
        <f>IFERROR(__xludf.DUMMYFUNCTION("""COMPUTED_VALUE"""),88.99)</f>
        <v/>
      </c>
      <c r="F56" s="141">
        <f>IFERROR(__xludf.DUMMYFUNCTION("""COMPUTED_VALUE"""),89.23)</f>
        <v/>
      </c>
      <c r="G56" s="143">
        <f>IFERROR(__xludf.DUMMYFUNCTION("""COMPUTED_VALUE"""),37126428)</f>
        <v/>
      </c>
      <c r="H56" s="27" t="n"/>
    </row>
    <row r="57" ht="17.25" customHeight="1" s="322">
      <c r="A57" s="27" t="n"/>
      <c r="B57" s="506">
        <f>IFERROR(__xludf.DUMMYFUNCTION("""COMPUTED_VALUE"""),45910.6666666666)</f>
        <v/>
      </c>
      <c r="C57" s="141">
        <f>IFERROR(__xludf.DUMMYFUNCTION("""COMPUTED_VALUE"""),89.4)</f>
        <v/>
      </c>
      <c r="D57" s="141">
        <f>IFERROR(__xludf.DUMMYFUNCTION("""COMPUTED_VALUE"""),90.07)</f>
        <v/>
      </c>
      <c r="E57" s="141">
        <f>IFERROR(__xludf.DUMMYFUNCTION("""COMPUTED_VALUE"""),89.19)</f>
        <v/>
      </c>
      <c r="F57" s="141">
        <f>IFERROR(__xludf.DUMMYFUNCTION("""COMPUTED_VALUE"""),89.74)</f>
        <v/>
      </c>
      <c r="G57" s="143">
        <f>IFERROR(__xludf.DUMMYFUNCTION("""COMPUTED_VALUE"""),40713570)</f>
        <v/>
      </c>
      <c r="H57" s="27" t="n"/>
    </row>
    <row r="58" ht="17.25" customHeight="1" s="322">
      <c r="A58" s="27" t="n"/>
      <c r="B58" s="506">
        <f>IFERROR(__xludf.DUMMYFUNCTION("""COMPUTED_VALUE"""),45911.6666666666)</f>
        <v/>
      </c>
      <c r="C58" s="141">
        <f>IFERROR(__xludf.DUMMYFUNCTION("""COMPUTED_VALUE"""),89.91)</f>
        <v/>
      </c>
      <c r="D58" s="141">
        <f>IFERROR(__xludf.DUMMYFUNCTION("""COMPUTED_VALUE"""),90.48)</f>
        <v/>
      </c>
      <c r="E58" s="141">
        <f>IFERROR(__xludf.DUMMYFUNCTION("""COMPUTED_VALUE"""),89.9)</f>
        <v/>
      </c>
      <c r="F58" s="141">
        <f>IFERROR(__xludf.DUMMYFUNCTION("""COMPUTED_VALUE"""),90.34)</f>
        <v/>
      </c>
      <c r="G58" s="143">
        <f>IFERROR(__xludf.DUMMYFUNCTION("""COMPUTED_VALUE"""),46694392)</f>
        <v/>
      </c>
      <c r="H58" s="27" t="n"/>
    </row>
    <row r="59" ht="17.25" customHeight="1" s="322">
      <c r="A59" s="27" t="n"/>
      <c r="B59" s="506">
        <f>IFERROR(__xludf.DUMMYFUNCTION("""COMPUTED_VALUE"""),45912.6666666666)</f>
        <v/>
      </c>
      <c r="C59" s="141">
        <f>IFERROR(__xludf.DUMMYFUNCTION("""COMPUTED_VALUE"""),89.83)</f>
        <v/>
      </c>
      <c r="D59" s="141">
        <f>IFERROR(__xludf.DUMMYFUNCTION("""COMPUTED_VALUE"""),89.98)</f>
        <v/>
      </c>
      <c r="E59" s="141">
        <f>IFERROR(__xludf.DUMMYFUNCTION("""COMPUTED_VALUE"""),89.49)</f>
        <v/>
      </c>
      <c r="F59" s="141">
        <f>IFERROR(__xludf.DUMMYFUNCTION("""COMPUTED_VALUE"""),89.95)</f>
        <v/>
      </c>
      <c r="G59" s="143">
        <f>IFERROR(__xludf.DUMMYFUNCTION("""COMPUTED_VALUE"""),32968578)</f>
        <v/>
      </c>
      <c r="H59" s="27" t="n"/>
    </row>
    <row r="60" ht="17.25" customHeight="1" s="322">
      <c r="A60" s="27" t="n"/>
      <c r="B60" s="506">
        <f>IFERROR(__xludf.DUMMYFUNCTION("""COMPUTED_VALUE"""),45915.6666666666)</f>
        <v/>
      </c>
      <c r="C60" s="141">
        <f>IFERROR(__xludf.DUMMYFUNCTION("""COMPUTED_VALUE"""),90.15)</f>
        <v/>
      </c>
      <c r="D60" s="141">
        <f>IFERROR(__xludf.DUMMYFUNCTION("""COMPUTED_VALUE"""),90.46)</f>
        <v/>
      </c>
      <c r="E60" s="141">
        <f>IFERROR(__xludf.DUMMYFUNCTION("""COMPUTED_VALUE"""),90.07)</f>
        <v/>
      </c>
      <c r="F60" s="141">
        <f>IFERROR(__xludf.DUMMYFUNCTION("""COMPUTED_VALUE"""),90.16)</f>
        <v/>
      </c>
      <c r="G60" s="143">
        <f>IFERROR(__xludf.DUMMYFUNCTION("""COMPUTED_VALUE"""),24820119)</f>
        <v/>
      </c>
      <c r="H60" s="27" t="n"/>
    </row>
    <row r="61" ht="17.25" customHeight="1" s="322">
      <c r="A61" s="27" t="n"/>
      <c r="B61" s="506">
        <f>IFERROR(__xludf.DUMMYFUNCTION("""COMPUTED_VALUE"""),45916.6666666666)</f>
        <v/>
      </c>
      <c r="C61" s="141">
        <f>IFERROR(__xludf.DUMMYFUNCTION("""COMPUTED_VALUE"""),90.09)</f>
        <v/>
      </c>
      <c r="D61" s="141">
        <f>IFERROR(__xludf.DUMMYFUNCTION("""COMPUTED_VALUE"""),90.5)</f>
        <v/>
      </c>
      <c r="E61" s="141">
        <f>IFERROR(__xludf.DUMMYFUNCTION("""COMPUTED_VALUE"""),90.04)</f>
        <v/>
      </c>
      <c r="F61" s="141">
        <f>IFERROR(__xludf.DUMMYFUNCTION("""COMPUTED_VALUE"""),90.35)</f>
        <v/>
      </c>
      <c r="G61" s="143">
        <f>IFERROR(__xludf.DUMMYFUNCTION("""COMPUTED_VALUE"""),26794226)</f>
        <v/>
      </c>
      <c r="H61" s="27" t="n"/>
    </row>
    <row r="62" ht="17.25" customHeight="1" s="322">
      <c r="A62" s="27" t="n"/>
      <c r="B62" s="506">
        <f>IFERROR(__xludf.DUMMYFUNCTION("""COMPUTED_VALUE"""),45917.6666666666)</f>
        <v/>
      </c>
      <c r="C62" s="141">
        <f>IFERROR(__xludf.DUMMYFUNCTION("""COMPUTED_VALUE"""),90.71)</f>
        <v/>
      </c>
      <c r="D62" s="141">
        <f>IFERROR(__xludf.DUMMYFUNCTION("""COMPUTED_VALUE"""),91.04)</f>
        <v/>
      </c>
      <c r="E62" s="141">
        <f>IFERROR(__xludf.DUMMYFUNCTION("""COMPUTED_VALUE"""),89.87)</f>
        <v/>
      </c>
      <c r="F62" s="141">
        <f>IFERROR(__xludf.DUMMYFUNCTION("""COMPUTED_VALUE"""),90.12)</f>
        <v/>
      </c>
      <c r="G62" s="143">
        <f>IFERROR(__xludf.DUMMYFUNCTION("""COMPUTED_VALUE"""),49121751)</f>
        <v/>
      </c>
      <c r="H62" s="27" t="n"/>
    </row>
    <row r="63" ht="17.25" customHeight="1" s="322">
      <c r="A63" s="27" t="n"/>
      <c r="B63" s="506">
        <f>IFERROR(__xludf.DUMMYFUNCTION("""COMPUTED_VALUE"""),45918.6666666666)</f>
        <v/>
      </c>
      <c r="C63" s="141">
        <f>IFERROR(__xludf.DUMMYFUNCTION("""COMPUTED_VALUE"""),89.26)</f>
        <v/>
      </c>
      <c r="D63" s="141">
        <f>IFERROR(__xludf.DUMMYFUNCTION("""COMPUTED_VALUE"""),89.47)</f>
        <v/>
      </c>
      <c r="E63" s="141">
        <f>IFERROR(__xludf.DUMMYFUNCTION("""COMPUTED_VALUE"""),88.9)</f>
        <v/>
      </c>
      <c r="F63" s="141">
        <f>IFERROR(__xludf.DUMMYFUNCTION("""COMPUTED_VALUE"""),89.19)</f>
        <v/>
      </c>
      <c r="G63" s="143">
        <f>IFERROR(__xludf.DUMMYFUNCTION("""COMPUTED_VALUE"""),55717920)</f>
        <v/>
      </c>
      <c r="H63" s="27" t="n"/>
    </row>
    <row r="64" ht="17.25" customHeight="1" s="322">
      <c r="A64" s="27" t="n"/>
      <c r="B64" s="506">
        <f>IFERROR(__xludf.DUMMYFUNCTION("""COMPUTED_VALUE"""),45919.6666666666)</f>
        <v/>
      </c>
      <c r="C64" s="141">
        <f>IFERROR(__xludf.DUMMYFUNCTION("""COMPUTED_VALUE"""),89.07)</f>
        <v/>
      </c>
      <c r="D64" s="141">
        <f>IFERROR(__xludf.DUMMYFUNCTION("""COMPUTED_VALUE"""),89.23)</f>
        <v/>
      </c>
      <c r="E64" s="141">
        <f>IFERROR(__xludf.DUMMYFUNCTION("""COMPUTED_VALUE"""),88.79)</f>
        <v/>
      </c>
      <c r="F64" s="141">
        <f>IFERROR(__xludf.DUMMYFUNCTION("""COMPUTED_VALUE"""),89.02)</f>
        <v/>
      </c>
      <c r="G64" s="143">
        <f>IFERROR(__xludf.DUMMYFUNCTION("""COMPUTED_VALUE"""),32509221)</f>
        <v/>
      </c>
      <c r="H64" s="27" t="n"/>
    </row>
    <row r="65" ht="17.25" customHeight="1" s="322">
      <c r="A65" s="27" t="n"/>
      <c r="B65" s="506">
        <f>IFERROR(__xludf.DUMMYFUNCTION("""COMPUTED_VALUE"""),45922.6666666666)</f>
        <v/>
      </c>
      <c r="C65" s="141">
        <f>IFERROR(__xludf.DUMMYFUNCTION("""COMPUTED_VALUE"""),88.82)</f>
        <v/>
      </c>
      <c r="D65" s="141">
        <f>IFERROR(__xludf.DUMMYFUNCTION("""COMPUTED_VALUE"""),88.91)</f>
        <v/>
      </c>
      <c r="E65" s="141">
        <f>IFERROR(__xludf.DUMMYFUNCTION("""COMPUTED_VALUE"""),88.54)</f>
        <v/>
      </c>
      <c r="F65" s="141">
        <f>IFERROR(__xludf.DUMMYFUNCTION("""COMPUTED_VALUE"""),88.7)</f>
        <v/>
      </c>
      <c r="G65" s="143">
        <f>IFERROR(__xludf.DUMMYFUNCTION("""COMPUTED_VALUE"""),24758223)</f>
        <v/>
      </c>
      <c r="H65" s="27" t="n"/>
    </row>
    <row r="66" ht="17.25" customHeight="1" s="322">
      <c r="A66" s="27" t="n"/>
      <c r="B66" s="506">
        <f>IFERROR(__xludf.DUMMYFUNCTION("""COMPUTED_VALUE"""),45923.6666666666)</f>
        <v/>
      </c>
      <c r="C66" s="141">
        <f>IFERROR(__xludf.DUMMYFUNCTION("""COMPUTED_VALUE"""),88.97)</f>
        <v/>
      </c>
      <c r="D66" s="141">
        <f>IFERROR(__xludf.DUMMYFUNCTION("""COMPUTED_VALUE"""),89.36)</f>
        <v/>
      </c>
      <c r="E66" s="141">
        <f>IFERROR(__xludf.DUMMYFUNCTION("""COMPUTED_VALUE"""),88.75)</f>
        <v/>
      </c>
      <c r="F66" s="141">
        <f>IFERROR(__xludf.DUMMYFUNCTION("""COMPUTED_VALUE"""),89.32)</f>
        <v/>
      </c>
      <c r="G66" s="143">
        <f>IFERROR(__xludf.DUMMYFUNCTION("""COMPUTED_VALUE"""),26689041)</f>
        <v/>
      </c>
      <c r="H66" s="27" t="n"/>
    </row>
    <row r="67" ht="17.25" customHeight="1" s="322">
      <c r="A67" s="27" t="n"/>
      <c r="B67" s="506">
        <f>IFERROR(__xludf.DUMMYFUNCTION("""COMPUTED_VALUE"""),45924.6666666666)</f>
        <v/>
      </c>
      <c r="C67" s="141">
        <f>IFERROR(__xludf.DUMMYFUNCTION("""COMPUTED_VALUE"""),89.08)</f>
        <v/>
      </c>
      <c r="D67" s="141">
        <f>IFERROR(__xludf.DUMMYFUNCTION("""COMPUTED_VALUE"""),89.16)</f>
        <v/>
      </c>
      <c r="E67" s="141">
        <f>IFERROR(__xludf.DUMMYFUNCTION("""COMPUTED_VALUE"""),88.7)</f>
        <v/>
      </c>
      <c r="F67" s="141">
        <f>IFERROR(__xludf.DUMMYFUNCTION("""COMPUTED_VALUE"""),88.98)</f>
        <v/>
      </c>
      <c r="G67" s="143">
        <f>IFERROR(__xludf.DUMMYFUNCTION("""COMPUTED_VALUE"""),28097977)</f>
        <v/>
      </c>
      <c r="H67" s="27" t="n"/>
    </row>
    <row r="68" ht="17.25" customHeight="1" s="322">
      <c r="A68" s="27" t="n"/>
      <c r="B68" s="506">
        <f>IFERROR(__xludf.DUMMYFUNCTION("""COMPUTED_VALUE"""),45925.6666666666)</f>
        <v/>
      </c>
      <c r="C68" s="141">
        <f>IFERROR(__xludf.DUMMYFUNCTION("""COMPUTED_VALUE"""),88.85)</f>
        <v/>
      </c>
      <c r="D68" s="141">
        <f>IFERROR(__xludf.DUMMYFUNCTION("""COMPUTED_VALUE"""),89.03)</f>
        <v/>
      </c>
      <c r="E68" s="141">
        <f>IFERROR(__xludf.DUMMYFUNCTION("""COMPUTED_VALUE"""),88.46)</f>
        <v/>
      </c>
      <c r="F68" s="141">
        <f>IFERROR(__xludf.DUMMYFUNCTION("""COMPUTED_VALUE"""),88.98)</f>
        <v/>
      </c>
      <c r="G68" s="143">
        <f>IFERROR(__xludf.DUMMYFUNCTION("""COMPUTED_VALUE"""),29882469)</f>
        <v/>
      </c>
      <c r="H68" s="27" t="n"/>
    </row>
    <row r="69" ht="17.25" customHeight="1" s="322">
      <c r="A69" s="27" t="n"/>
      <c r="B69" s="506">
        <f>IFERROR(__xludf.DUMMYFUNCTION("""COMPUTED_VALUE"""),45926.6666666666)</f>
        <v/>
      </c>
      <c r="C69" s="141">
        <f>IFERROR(__xludf.DUMMYFUNCTION("""COMPUTED_VALUE"""),88.99)</f>
        <v/>
      </c>
      <c r="D69" s="141">
        <f>IFERROR(__xludf.DUMMYFUNCTION("""COMPUTED_VALUE"""),89.47)</f>
        <v/>
      </c>
      <c r="E69" s="141">
        <f>IFERROR(__xludf.DUMMYFUNCTION("""COMPUTED_VALUE"""),88.69)</f>
        <v/>
      </c>
      <c r="F69" s="141">
        <f>IFERROR(__xludf.DUMMYFUNCTION("""COMPUTED_VALUE"""),88.9)</f>
        <v/>
      </c>
      <c r="G69" s="143">
        <f>IFERROR(__xludf.DUMMYFUNCTION("""COMPUTED_VALUE"""),30955062)</f>
        <v/>
      </c>
      <c r="H69" s="27" t="n"/>
    </row>
    <row r="70" ht="17.25" customHeight="1" s="322">
      <c r="A70" s="27" t="n"/>
      <c r="B70" s="506">
        <f>IFERROR(__xludf.DUMMYFUNCTION("""COMPUTED_VALUE"""),45929.6666666666)</f>
        <v/>
      </c>
      <c r="C70" s="141">
        <f>IFERROR(__xludf.DUMMYFUNCTION("""COMPUTED_VALUE"""),89.29)</f>
        <v/>
      </c>
      <c r="D70" s="141">
        <f>IFERROR(__xludf.DUMMYFUNCTION("""COMPUTED_VALUE"""),89.74)</f>
        <v/>
      </c>
      <c r="E70" s="141">
        <f>IFERROR(__xludf.DUMMYFUNCTION("""COMPUTED_VALUE"""),89.26)</f>
        <v/>
      </c>
      <c r="F70" s="141">
        <f>IFERROR(__xludf.DUMMYFUNCTION("""COMPUTED_VALUE"""),89.63)</f>
        <v/>
      </c>
      <c r="G70" s="143">
        <f>IFERROR(__xludf.DUMMYFUNCTION("""COMPUTED_VALUE"""),32286167)</f>
        <v/>
      </c>
      <c r="H70" s="27" t="n"/>
    </row>
    <row r="71" ht="17.25" customHeight="1" s="322">
      <c r="A71" s="27" t="n"/>
      <c r="B71" s="506">
        <f>IFERROR(__xludf.DUMMYFUNCTION("""COMPUTED_VALUE"""),45930.6666666666)</f>
        <v/>
      </c>
      <c r="C71" s="141">
        <f>IFERROR(__xludf.DUMMYFUNCTION("""COMPUTED_VALUE"""),89.66)</f>
        <v/>
      </c>
      <c r="D71" s="141">
        <f>IFERROR(__xludf.DUMMYFUNCTION("""COMPUTED_VALUE"""),90.04)</f>
        <v/>
      </c>
      <c r="E71" s="141">
        <f>IFERROR(__xludf.DUMMYFUNCTION("""COMPUTED_VALUE"""),89.21)</f>
        <v/>
      </c>
      <c r="F71" s="141">
        <f>IFERROR(__xludf.DUMMYFUNCTION("""COMPUTED_VALUE"""),89.37)</f>
        <v/>
      </c>
      <c r="G71" s="143">
        <f>IFERROR(__xludf.DUMMYFUNCTION("""COMPUTED_VALUE"""),38583989)</f>
        <v/>
      </c>
      <c r="H71" s="27" t="n"/>
    </row>
    <row r="72" ht="17.25" customHeight="1" s="322">
      <c r="A72" s="27" t="n"/>
      <c r="B72" s="506">
        <f>IFERROR(__xludf.DUMMYFUNCTION("""COMPUTED_VALUE"""),45931.6666666666)</f>
        <v/>
      </c>
      <c r="C72" s="141">
        <f>IFERROR(__xludf.DUMMYFUNCTION("""COMPUTED_VALUE"""),89.45)</f>
        <v/>
      </c>
      <c r="D72" s="141">
        <f>IFERROR(__xludf.DUMMYFUNCTION("""COMPUTED_VALUE"""),89.64)</f>
        <v/>
      </c>
      <c r="E72" s="141">
        <f>IFERROR(__xludf.DUMMYFUNCTION("""COMPUTED_VALUE"""),89.09)</f>
        <v/>
      </c>
      <c r="F72" s="141">
        <f>IFERROR(__xludf.DUMMYFUNCTION("""COMPUTED_VALUE"""),89.29)</f>
        <v/>
      </c>
      <c r="G72" s="143">
        <f>IFERROR(__xludf.DUMMYFUNCTION("""COMPUTED_VALUE"""),39408913)</f>
        <v/>
      </c>
      <c r="H72" s="27" t="n"/>
    </row>
    <row r="73" ht="17.25" customHeight="1" s="322">
      <c r="A73" s="27" t="n"/>
      <c r="B73" s="506">
        <f>IFERROR(__xludf.DUMMYFUNCTION("""COMPUTED_VALUE"""),45932.6666666666)</f>
        <v/>
      </c>
      <c r="C73" s="141">
        <f>IFERROR(__xludf.DUMMYFUNCTION("""COMPUTED_VALUE"""),89.31)</f>
        <v/>
      </c>
      <c r="D73" s="141">
        <f>IFERROR(__xludf.DUMMYFUNCTION("""COMPUTED_VALUE"""),89.69)</f>
        <v/>
      </c>
      <c r="E73" s="141">
        <f>IFERROR(__xludf.DUMMYFUNCTION("""COMPUTED_VALUE"""),89.19)</f>
        <v/>
      </c>
      <c r="F73" s="141">
        <f>IFERROR(__xludf.DUMMYFUNCTION("""COMPUTED_VALUE"""),89.55)</f>
        <v/>
      </c>
      <c r="G73" s="143">
        <f>IFERROR(__xludf.DUMMYFUNCTION("""COMPUTED_VALUE"""),23208338)</f>
        <v/>
      </c>
      <c r="H73" s="27" t="n"/>
    </row>
    <row r="74" ht="17.25" customHeight="1" s="322">
      <c r="A74" s="27" t="n"/>
      <c r="B74" s="506">
        <f>IFERROR(__xludf.DUMMYFUNCTION("""COMPUTED_VALUE"""),45933.6666666666)</f>
        <v/>
      </c>
      <c r="C74" s="141">
        <f>IFERROR(__xludf.DUMMYFUNCTION("""COMPUTED_VALUE"""),89.63)</f>
        <v/>
      </c>
      <c r="D74" s="141">
        <f>IFERROR(__xludf.DUMMYFUNCTION("""COMPUTED_VALUE"""),89.72)</f>
        <v/>
      </c>
      <c r="E74" s="141">
        <f>IFERROR(__xludf.DUMMYFUNCTION("""COMPUTED_VALUE"""),89.27)</f>
        <v/>
      </c>
      <c r="F74" s="141">
        <f>IFERROR(__xludf.DUMMYFUNCTION("""COMPUTED_VALUE"""),89.38)</f>
        <v/>
      </c>
      <c r="G74" s="143">
        <f>IFERROR(__xludf.DUMMYFUNCTION("""COMPUTED_VALUE"""),25884474)</f>
        <v/>
      </c>
      <c r="H74" s="27" t="n"/>
    </row>
    <row r="75" ht="17.25" customHeight="1" s="322">
      <c r="A75" s="27" t="n"/>
      <c r="B75" s="506">
        <f>IFERROR(__xludf.DUMMYFUNCTION("""COMPUTED_VALUE"""),45936.6666666666)</f>
        <v/>
      </c>
      <c r="C75" s="141">
        <f>IFERROR(__xludf.DUMMYFUNCTION("""COMPUTED_VALUE"""),88.71)</f>
        <v/>
      </c>
      <c r="D75" s="141">
        <f>IFERROR(__xludf.DUMMYFUNCTION("""COMPUTED_VALUE"""),89.16)</f>
        <v/>
      </c>
      <c r="E75" s="141">
        <f>IFERROR(__xludf.DUMMYFUNCTION("""COMPUTED_VALUE"""),88.65)</f>
        <v/>
      </c>
      <c r="F75" s="141">
        <f>IFERROR(__xludf.DUMMYFUNCTION("""COMPUTED_VALUE"""),88.67)</f>
        <v/>
      </c>
      <c r="G75" s="143">
        <f>IFERROR(__xludf.DUMMYFUNCTION("""COMPUTED_VALUE"""),28370984)</f>
        <v/>
      </c>
      <c r="H75" s="27" t="n"/>
    </row>
    <row r="76" ht="17.25" customHeight="1" s="322">
      <c r="A76" s="27" t="n"/>
      <c r="B76" s="506">
        <f>IFERROR(__xludf.DUMMYFUNCTION("""COMPUTED_VALUE"""),45937.6666666666)</f>
        <v/>
      </c>
      <c r="C76" s="141">
        <f>IFERROR(__xludf.DUMMYFUNCTION("""COMPUTED_VALUE"""),88.97)</f>
        <v/>
      </c>
      <c r="D76" s="141">
        <f>IFERROR(__xludf.DUMMYFUNCTION("""COMPUTED_VALUE"""),89.38)</f>
        <v/>
      </c>
      <c r="E76" s="141">
        <f>IFERROR(__xludf.DUMMYFUNCTION("""COMPUTED_VALUE"""),88.81)</f>
        <v/>
      </c>
      <c r="F76" s="141">
        <f>IFERROR(__xludf.DUMMYFUNCTION("""COMPUTED_VALUE"""),89.18)</f>
        <v/>
      </c>
      <c r="G76" s="143">
        <f>IFERROR(__xludf.DUMMYFUNCTION("""COMPUTED_VALUE"""),29103348)</f>
        <v/>
      </c>
      <c r="H76" s="27" t="n"/>
    </row>
    <row r="77" ht="17.25" customHeight="1" s="322">
      <c r="A77" s="27" t="n"/>
      <c r="B77" s="506">
        <f>IFERROR(__xludf.DUMMYFUNCTION("""COMPUTED_VALUE"""),45938.6666666666)</f>
        <v/>
      </c>
      <c r="C77" s="141">
        <f>IFERROR(__xludf.DUMMYFUNCTION("""COMPUTED_VALUE"""),89.6)</f>
        <v/>
      </c>
      <c r="D77" s="141">
        <f>IFERROR(__xludf.DUMMYFUNCTION("""COMPUTED_VALUE"""),89.62)</f>
        <v/>
      </c>
      <c r="E77" s="141">
        <f>IFERROR(__xludf.DUMMYFUNCTION("""COMPUTED_VALUE"""),89.13)</f>
        <v/>
      </c>
      <c r="F77" s="141">
        <f>IFERROR(__xludf.DUMMYFUNCTION("""COMPUTED_VALUE"""),89.25)</f>
        <v/>
      </c>
      <c r="G77" s="143">
        <f>IFERROR(__xludf.DUMMYFUNCTION("""COMPUTED_VALUE"""),22506241)</f>
        <v/>
      </c>
      <c r="H77" s="27" t="n"/>
    </row>
    <row r="78" ht="17.25" customHeight="1" s="322">
      <c r="A78" s="27" t="n"/>
      <c r="B78" s="506">
        <f>IFERROR(__xludf.DUMMYFUNCTION("""COMPUTED_VALUE"""),45939.6666666666)</f>
        <v/>
      </c>
      <c r="C78" s="141">
        <f>IFERROR(__xludf.DUMMYFUNCTION("""COMPUTED_VALUE"""),89.17)</f>
        <v/>
      </c>
      <c r="D78" s="141">
        <f>IFERROR(__xludf.DUMMYFUNCTION("""COMPUTED_VALUE"""),89.29)</f>
        <v/>
      </c>
      <c r="E78" s="141">
        <f>IFERROR(__xludf.DUMMYFUNCTION("""COMPUTED_VALUE"""),89.01)</f>
        <v/>
      </c>
      <c r="F78" s="141">
        <f>IFERROR(__xludf.DUMMYFUNCTION("""COMPUTED_VALUE"""),89.18)</f>
        <v/>
      </c>
      <c r="G78" s="143">
        <f>IFERROR(__xludf.DUMMYFUNCTION("""COMPUTED_VALUE"""),21578690)</f>
        <v/>
      </c>
      <c r="H78" s="27" t="n"/>
    </row>
    <row r="79" ht="17.25" customHeight="1" s="322">
      <c r="A79" s="27" t="n"/>
      <c r="B79" s="506">
        <f>IFERROR(__xludf.DUMMYFUNCTION("""COMPUTED_VALUE"""),45940.6666666666)</f>
        <v/>
      </c>
      <c r="C79" s="141">
        <f>IFERROR(__xludf.DUMMYFUNCTION("""COMPUTED_VALUE"""),89.98)</f>
        <v/>
      </c>
      <c r="D79" s="141">
        <f>IFERROR(__xludf.DUMMYFUNCTION("""COMPUTED_VALUE"""),90.72)</f>
        <v/>
      </c>
      <c r="E79" s="141">
        <f>IFERROR(__xludf.DUMMYFUNCTION("""COMPUTED_VALUE"""),89.9)</f>
        <v/>
      </c>
      <c r="F79" s="141">
        <f>IFERROR(__xludf.DUMMYFUNCTION("""COMPUTED_VALUE"""),90.62)</f>
        <v/>
      </c>
      <c r="G79" s="143">
        <f>IFERROR(__xludf.DUMMYFUNCTION("""COMPUTED_VALUE"""),59389374)</f>
        <v/>
      </c>
      <c r="H79" s="27" t="n"/>
    </row>
    <row r="80" ht="17.25" customHeight="1" s="322">
      <c r="A80" s="27" t="n"/>
      <c r="B80" s="506">
        <f>IFERROR(__xludf.DUMMYFUNCTION("""COMPUTED_VALUE"""),45943.6666666666)</f>
        <v/>
      </c>
      <c r="C80" s="141">
        <f>IFERROR(__xludf.DUMMYFUNCTION("""COMPUTED_VALUE"""),90.28)</f>
        <v/>
      </c>
      <c r="D80" s="141">
        <f>IFERROR(__xludf.DUMMYFUNCTION("""COMPUTED_VALUE"""),90.58)</f>
        <v/>
      </c>
      <c r="E80" s="141">
        <f>IFERROR(__xludf.DUMMYFUNCTION("""COMPUTED_VALUE"""),89.86)</f>
        <v/>
      </c>
      <c r="F80" s="141">
        <f>IFERROR(__xludf.DUMMYFUNCTION("""COMPUTED_VALUE"""),90.57)</f>
        <v/>
      </c>
      <c r="G80" s="143">
        <f>IFERROR(__xludf.DUMMYFUNCTION("""COMPUTED_VALUE"""),28035544)</f>
        <v/>
      </c>
      <c r="H80" s="27" t="n"/>
    </row>
    <row r="81" ht="17.25" customHeight="1" s="322">
      <c r="A81" s="27" t="n"/>
      <c r="B81" s="506">
        <f>IFERROR(__xludf.DUMMYFUNCTION("""COMPUTED_VALUE"""),45944.6666666666)</f>
        <v/>
      </c>
      <c r="C81" s="141">
        <f>IFERROR(__xludf.DUMMYFUNCTION("""COMPUTED_VALUE"""),90.65)</f>
        <v/>
      </c>
      <c r="D81" s="141">
        <f>IFERROR(__xludf.DUMMYFUNCTION("""COMPUTED_VALUE"""),90.92)</f>
        <v/>
      </c>
      <c r="E81" s="141">
        <f>IFERROR(__xludf.DUMMYFUNCTION("""COMPUTED_VALUE"""),90.43)</f>
        <v/>
      </c>
      <c r="F81" s="141">
        <f>IFERROR(__xludf.DUMMYFUNCTION("""COMPUTED_VALUE"""),90.86)</f>
        <v/>
      </c>
      <c r="G81" s="143">
        <f>IFERROR(__xludf.DUMMYFUNCTION("""COMPUTED_VALUE"""),29800001)</f>
        <v/>
      </c>
      <c r="H81" s="27" t="n"/>
    </row>
    <row r="82" ht="17.25" customHeight="1" s="322">
      <c r="A82" s="27" t="n"/>
      <c r="B82" s="506">
        <f>IFERROR(__xludf.DUMMYFUNCTION("""COMPUTED_VALUE"""),45945.6666666666)</f>
        <v/>
      </c>
      <c r="C82" s="141">
        <f>IFERROR(__xludf.DUMMYFUNCTION("""COMPUTED_VALUE"""),90.96)</f>
        <v/>
      </c>
      <c r="D82" s="141">
        <f>IFERROR(__xludf.DUMMYFUNCTION("""COMPUTED_VALUE"""),91.3)</f>
        <v/>
      </c>
      <c r="E82" s="141">
        <f>IFERROR(__xludf.DUMMYFUNCTION("""COMPUTED_VALUE"""),90.47)</f>
        <v/>
      </c>
      <c r="F82" s="141">
        <f>IFERROR(__xludf.DUMMYFUNCTION("""COMPUTED_VALUE"""),90.66)</f>
        <v/>
      </c>
      <c r="G82" s="143">
        <f>IFERROR(__xludf.DUMMYFUNCTION("""COMPUTED_VALUE"""),31333909)</f>
        <v/>
      </c>
      <c r="H82" s="27" t="n"/>
    </row>
    <row r="83" ht="17.25" customHeight="1" s="322">
      <c r="A83" s="27" t="n"/>
      <c r="B83" s="506">
        <f>IFERROR(__xludf.DUMMYFUNCTION("""COMPUTED_VALUE"""),45946.6666666666)</f>
        <v/>
      </c>
      <c r="C83" s="141">
        <f>IFERROR(__xludf.DUMMYFUNCTION("""COMPUTED_VALUE"""),90.52)</f>
        <v/>
      </c>
      <c r="D83" s="141">
        <f>IFERROR(__xludf.DUMMYFUNCTION("""COMPUTED_VALUE"""),91.5)</f>
        <v/>
      </c>
      <c r="E83" s="141">
        <f>IFERROR(__xludf.DUMMYFUNCTION("""COMPUTED_VALUE"""),90.45)</f>
        <v/>
      </c>
      <c r="F83" s="141">
        <f>IFERROR(__xludf.DUMMYFUNCTION("""COMPUTED_VALUE"""),91.34)</f>
        <v/>
      </c>
      <c r="G83" s="143">
        <f>IFERROR(__xludf.DUMMYFUNCTION("""COMPUTED_VALUE"""),39631153)</f>
        <v/>
      </c>
      <c r="H83" s="27" t="n"/>
    </row>
    <row r="84" ht="17.25" customHeight="1" s="322">
      <c r="A84" s="27" t="n"/>
      <c r="B84" s="506">
        <f>IFERROR(__xludf.DUMMYFUNCTION("""COMPUTED_VALUE"""),45947.6666666666)</f>
        <v/>
      </c>
      <c r="C84" s="141">
        <f>IFERROR(__xludf.DUMMYFUNCTION("""COMPUTED_VALUE"""),91.25)</f>
        <v/>
      </c>
      <c r="D84" s="141">
        <f>IFERROR(__xludf.DUMMYFUNCTION("""COMPUTED_VALUE"""),91.29)</f>
        <v/>
      </c>
      <c r="E84" s="141">
        <f>IFERROR(__xludf.DUMMYFUNCTION("""COMPUTED_VALUE"""),90.9)</f>
        <v/>
      </c>
      <c r="F84" s="141">
        <f>IFERROR(__xludf.DUMMYFUNCTION("""COMPUTED_VALUE"""),91.2)</f>
        <v/>
      </c>
      <c r="G84" s="143">
        <f>IFERROR(__xludf.DUMMYFUNCTION("""COMPUTED_VALUE"""),40240383)</f>
        <v/>
      </c>
      <c r="H84" s="27" t="n"/>
    </row>
    <row r="85" ht="17.25" customHeight="1" s="322">
      <c r="A85" s="27" t="n"/>
      <c r="B85" s="506">
        <f>IFERROR(__xludf.DUMMYFUNCTION("""COMPUTED_VALUE"""),45950.6666666666)</f>
        <v/>
      </c>
      <c r="C85" s="141">
        <f>IFERROR(__xludf.DUMMYFUNCTION("""COMPUTED_VALUE"""),91.46)</f>
        <v/>
      </c>
      <c r="D85" s="141">
        <f>IFERROR(__xludf.DUMMYFUNCTION("""COMPUTED_VALUE"""),91.56)</f>
        <v/>
      </c>
      <c r="E85" s="141">
        <f>IFERROR(__xludf.DUMMYFUNCTION("""COMPUTED_VALUE"""),91.28)</f>
        <v/>
      </c>
      <c r="F85" s="141">
        <f>IFERROR(__xludf.DUMMYFUNCTION("""COMPUTED_VALUE"""),91.55)</f>
        <v/>
      </c>
      <c r="G85" s="143">
        <f>IFERROR(__xludf.DUMMYFUNCTION("""COMPUTED_VALUE"""),28429283)</f>
        <v/>
      </c>
      <c r="H85" s="27" t="n"/>
    </row>
    <row r="86" ht="17.25" customHeight="1" s="322">
      <c r="A86" s="27" t="n"/>
      <c r="B86" s="506">
        <f>IFERROR(__xludf.DUMMYFUNCTION("""COMPUTED_VALUE"""),45951.6666666666)</f>
        <v/>
      </c>
      <c r="C86" s="141">
        <f>IFERROR(__xludf.DUMMYFUNCTION("""COMPUTED_VALUE"""),91.99)</f>
        <v/>
      </c>
      <c r="D86" s="141">
        <f>IFERROR(__xludf.DUMMYFUNCTION("""COMPUTED_VALUE"""),92.19)</f>
        <v/>
      </c>
      <c r="E86" s="141">
        <f>IFERROR(__xludf.DUMMYFUNCTION("""COMPUTED_VALUE"""),91.91)</f>
        <v/>
      </c>
      <c r="F86" s="141">
        <f>IFERROR(__xludf.DUMMYFUNCTION("""COMPUTED_VALUE"""),92)</f>
        <v/>
      </c>
      <c r="G86" s="143">
        <f>IFERROR(__xludf.DUMMYFUNCTION("""COMPUTED_VALUE"""),24514336)</f>
        <v/>
      </c>
      <c r="H86" s="27" t="n"/>
    </row>
    <row r="87" ht="17.25" customHeight="1" s="322">
      <c r="A87" s="27" t="n"/>
      <c r="B87" s="506">
        <f>IFERROR(__xludf.DUMMYFUNCTION("""COMPUTED_VALUE"""),45952.6666666666)</f>
        <v/>
      </c>
      <c r="C87" s="141">
        <f>IFERROR(__xludf.DUMMYFUNCTION("""COMPUTED_VALUE"""),91.99)</f>
        <v/>
      </c>
      <c r="D87" s="141">
        <f>IFERROR(__xludf.DUMMYFUNCTION("""COMPUTED_VALUE"""),92.18)</f>
        <v/>
      </c>
      <c r="E87" s="141">
        <f>IFERROR(__xludf.DUMMYFUNCTION("""COMPUTED_VALUE"""),91.82)</f>
        <v/>
      </c>
      <c r="F87" s="141">
        <f>IFERROR(__xludf.DUMMYFUNCTION("""COMPUTED_VALUE"""),92.06)</f>
        <v/>
      </c>
      <c r="G87" s="143">
        <f>IFERROR(__xludf.DUMMYFUNCTION("""COMPUTED_VALUE"""),30496152)</f>
        <v/>
      </c>
      <c r="H87" s="27" t="n"/>
    </row>
    <row r="88" ht="17.25" customHeight="1" s="322">
      <c r="A88" s="27" t="n"/>
      <c r="B88" s="506">
        <f>IFERROR(__xludf.DUMMYFUNCTION("""COMPUTED_VALUE"""),45953.6666666666)</f>
        <v/>
      </c>
      <c r="C88" s="141">
        <f>IFERROR(__xludf.DUMMYFUNCTION("""COMPUTED_VALUE"""),91.61)</f>
        <v/>
      </c>
      <c r="D88" s="141">
        <f>IFERROR(__xludf.DUMMYFUNCTION("""COMPUTED_VALUE"""),91.79)</f>
        <v/>
      </c>
      <c r="E88" s="141">
        <f>IFERROR(__xludf.DUMMYFUNCTION("""COMPUTED_VALUE"""),91.29)</f>
        <v/>
      </c>
      <c r="F88" s="141">
        <f>IFERROR(__xludf.DUMMYFUNCTION("""COMPUTED_VALUE"""),91.43)</f>
        <v/>
      </c>
      <c r="G88" s="143">
        <f>IFERROR(__xludf.DUMMYFUNCTION("""COMPUTED_VALUE"""),28275142)</f>
        <v/>
      </c>
      <c r="H88" s="27" t="n"/>
    </row>
    <row r="89" ht="17.25" customHeight="1" s="322">
      <c r="A89" s="27" t="n"/>
      <c r="B89" s="506">
        <f>IFERROR(__xludf.DUMMYFUNCTION("""COMPUTED_VALUE"""),45954.6666666666)</f>
        <v/>
      </c>
      <c r="C89" s="141">
        <f>IFERROR(__xludf.DUMMYFUNCTION("""COMPUTED_VALUE"""),91.59)</f>
        <v/>
      </c>
      <c r="D89" s="141">
        <f>IFERROR(__xludf.DUMMYFUNCTION("""COMPUTED_VALUE"""),91.6)</f>
        <v/>
      </c>
      <c r="E89" s="141">
        <f>IFERROR(__xludf.DUMMYFUNCTION("""COMPUTED_VALUE"""),91.16)</f>
        <v/>
      </c>
      <c r="F89" s="141">
        <f>IFERROR(__xludf.DUMMYFUNCTION("""COMPUTED_VALUE"""),91.47)</f>
        <v/>
      </c>
      <c r="G89" s="143">
        <f>IFERROR(__xludf.DUMMYFUNCTION("""COMPUTED_VALUE"""),28265993)</f>
        <v/>
      </c>
      <c r="H89" s="27" t="n"/>
    </row>
    <row r="90" ht="17.25" customHeight="1" s="322">
      <c r="A90" s="27" t="n"/>
      <c r="B90" s="506">
        <f>IFERROR(__xludf.DUMMYFUNCTION("""COMPUTED_VALUE"""),45957.6666666666)</f>
        <v/>
      </c>
      <c r="C90" s="141">
        <f>IFERROR(__xludf.DUMMYFUNCTION("""COMPUTED_VALUE"""),91.32)</f>
        <v/>
      </c>
      <c r="D90" s="141">
        <f>IFERROR(__xludf.DUMMYFUNCTION("""COMPUTED_VALUE"""),91.79)</f>
        <v/>
      </c>
      <c r="E90" s="141">
        <f>IFERROR(__xludf.DUMMYFUNCTION("""COMPUTED_VALUE"""),91.09)</f>
        <v/>
      </c>
      <c r="F90" s="141">
        <f>IFERROR(__xludf.DUMMYFUNCTION("""COMPUTED_VALUE"""),91.78)</f>
        <v/>
      </c>
      <c r="G90" s="143">
        <f>IFERROR(__xludf.DUMMYFUNCTION("""COMPUTED_VALUE"""),30033574)</f>
        <v/>
      </c>
      <c r="H90" s="27" t="n"/>
    </row>
    <row r="91" ht="17.25" customHeight="1" s="322">
      <c r="A91" s="27" t="n"/>
      <c r="B91" s="506">
        <f>IFERROR(__xludf.DUMMYFUNCTION("""COMPUTED_VALUE"""),45958.6666666666)</f>
        <v/>
      </c>
      <c r="C91" s="141">
        <f>IFERROR(__xludf.DUMMYFUNCTION("""COMPUTED_VALUE"""),91.85)</f>
        <v/>
      </c>
      <c r="D91" s="141">
        <f>IFERROR(__xludf.DUMMYFUNCTION("""COMPUTED_VALUE"""),92.18)</f>
        <v/>
      </c>
      <c r="E91" s="141">
        <f>IFERROR(__xludf.DUMMYFUNCTION("""COMPUTED_VALUE"""),91.81)</f>
        <v/>
      </c>
      <c r="F91" s="141">
        <f>IFERROR(__xludf.DUMMYFUNCTION("""COMPUTED_VALUE"""),92.02)</f>
        <v/>
      </c>
      <c r="G91" s="143">
        <f>IFERROR(__xludf.DUMMYFUNCTION("""COMPUTED_VALUE"""),23564517)</f>
        <v/>
      </c>
      <c r="H91" s="27" t="n"/>
    </row>
    <row r="92" ht="17.25" customHeight="1" s="322">
      <c r="A92" s="27" t="n"/>
      <c r="B92" s="506">
        <f>IFERROR(__xludf.DUMMYFUNCTION("""COMPUTED_VALUE"""),45959.6666666666)</f>
        <v/>
      </c>
      <c r="C92" s="141">
        <f>IFERROR(__xludf.DUMMYFUNCTION("""COMPUTED_VALUE"""),91.88)</f>
        <v/>
      </c>
      <c r="D92" s="141">
        <f>IFERROR(__xludf.DUMMYFUNCTION("""COMPUTED_VALUE"""),91.89)</f>
        <v/>
      </c>
      <c r="E92" s="141">
        <f>IFERROR(__xludf.DUMMYFUNCTION("""COMPUTED_VALUE"""),91.02)</f>
        <v/>
      </c>
      <c r="F92" s="141">
        <f>IFERROR(__xludf.DUMMYFUNCTION("""COMPUTED_VALUE"""),91.09)</f>
        <v/>
      </c>
      <c r="G92" s="143">
        <f>IFERROR(__xludf.DUMMYFUNCTION("""COMPUTED_VALUE"""),39551593)</f>
        <v/>
      </c>
      <c r="H92" s="27" t="n"/>
    </row>
    <row r="93" ht="17.25" customHeight="1" s="322">
      <c r="A93" s="27" t="n"/>
      <c r="B93" s="506">
        <f>IFERROR(__xludf.DUMMYFUNCTION("""COMPUTED_VALUE"""),45960.6666666666)</f>
        <v/>
      </c>
      <c r="C93" s="141">
        <f>IFERROR(__xludf.DUMMYFUNCTION("""COMPUTED_VALUE"""),90.39)</f>
        <v/>
      </c>
      <c r="D93" s="141">
        <f>IFERROR(__xludf.DUMMYFUNCTION("""COMPUTED_VALUE"""),90.97)</f>
        <v/>
      </c>
      <c r="E93" s="141">
        <f>IFERROR(__xludf.DUMMYFUNCTION("""COMPUTED_VALUE"""),90.35)</f>
        <v/>
      </c>
      <c r="F93" s="141">
        <f>IFERROR(__xludf.DUMMYFUNCTION("""COMPUTED_VALUE"""),90.56)</f>
        <v/>
      </c>
      <c r="G93" s="143">
        <f>IFERROR(__xludf.DUMMYFUNCTION("""COMPUTED_VALUE"""),42649215)</f>
        <v/>
      </c>
      <c r="H93" s="27" t="n"/>
    </row>
    <row r="94" ht="17.25" customHeight="1" s="322">
      <c r="A94" s="27" t="n"/>
      <c r="B94" s="506">
        <f>IFERROR(__xludf.DUMMYFUNCTION("""COMPUTED_VALUE"""),45961.6666666666)</f>
        <v/>
      </c>
      <c r="C94" s="141">
        <f>IFERROR(__xludf.DUMMYFUNCTION("""COMPUTED_VALUE"""),90.56)</f>
        <v/>
      </c>
      <c r="D94" s="141">
        <f>IFERROR(__xludf.DUMMYFUNCTION("""COMPUTED_VALUE"""),90.66)</f>
        <v/>
      </c>
      <c r="E94" s="141">
        <f>IFERROR(__xludf.DUMMYFUNCTION("""COMPUTED_VALUE"""),90.2)</f>
        <v/>
      </c>
      <c r="F94" s="141">
        <f>IFERROR(__xludf.DUMMYFUNCTION("""COMPUTED_VALUE"""),90.29)</f>
        <v/>
      </c>
      <c r="G94" s="143">
        <f>IFERROR(__xludf.DUMMYFUNCTION("""COMPUTED_VALUE"""),38247268)</f>
        <v/>
      </c>
      <c r="H94" s="27" t="n"/>
    </row>
    <row r="95" ht="17.25" customHeight="1" s="322">
      <c r="A95" s="27" t="n"/>
      <c r="B95" s="506">
        <f>IFERROR(__xludf.DUMMYFUNCTION("""COMPUTED_VALUE"""),45964.6666666666)</f>
        <v/>
      </c>
      <c r="C95" s="141">
        <f>IFERROR(__xludf.DUMMYFUNCTION("""COMPUTED_VALUE"""),89.62)</f>
        <v/>
      </c>
      <c r="D95" s="141">
        <f>IFERROR(__xludf.DUMMYFUNCTION("""COMPUTED_VALUE"""),89.82)</f>
        <v/>
      </c>
      <c r="E95" s="141">
        <f>IFERROR(__xludf.DUMMYFUNCTION("""COMPUTED_VALUE"""),89.42)</f>
        <v/>
      </c>
      <c r="F95" s="141">
        <f>IFERROR(__xludf.DUMMYFUNCTION("""COMPUTED_VALUE"""),89.74)</f>
        <v/>
      </c>
      <c r="G95" s="143">
        <f>IFERROR(__xludf.DUMMYFUNCTION("""COMPUTED_VALUE"""),40752284)</f>
        <v/>
      </c>
      <c r="H95" s="27" t="n"/>
    </row>
    <row r="96" ht="17.25" customHeight="1" s="322">
      <c r="A96" s="27" t="n"/>
      <c r="B96" s="506">
        <f>IFERROR(__xludf.DUMMYFUNCTION("""COMPUTED_VALUE"""),45965.6666666666)</f>
        <v/>
      </c>
      <c r="C96" s="141">
        <f>IFERROR(__xludf.DUMMYFUNCTION("""COMPUTED_VALUE"""),89.78)</f>
        <v/>
      </c>
      <c r="D96" s="141">
        <f>IFERROR(__xludf.DUMMYFUNCTION("""COMPUTED_VALUE"""),90.06)</f>
        <v/>
      </c>
      <c r="E96" s="141">
        <f>IFERROR(__xludf.DUMMYFUNCTION("""COMPUTED_VALUE"""),89.74)</f>
        <v/>
      </c>
      <c r="F96" s="141">
        <f>IFERROR(__xludf.DUMMYFUNCTION("""COMPUTED_VALUE"""),89.94)</f>
        <v/>
      </c>
      <c r="G96" s="143">
        <f>IFERROR(__xludf.DUMMYFUNCTION("""COMPUTED_VALUE"""),26383782)</f>
        <v/>
      </c>
      <c r="H96" s="27" t="n"/>
    </row>
    <row r="97" ht="17.25" customHeight="1" s="322">
      <c r="A97" s="27" t="n"/>
      <c r="B97" s="506">
        <f>IFERROR(__xludf.DUMMYFUNCTION("""COMPUTED_VALUE"""),45966.6666666666)</f>
        <v/>
      </c>
      <c r="C97" s="141">
        <f>IFERROR(__xludf.DUMMYFUNCTION("""COMPUTED_VALUE"""),89.51)</f>
        <v/>
      </c>
      <c r="D97" s="141">
        <f>IFERROR(__xludf.DUMMYFUNCTION("""COMPUTED_VALUE"""),89.55)</f>
        <v/>
      </c>
      <c r="E97" s="141">
        <f>IFERROR(__xludf.DUMMYFUNCTION("""COMPUTED_VALUE"""),88.88)</f>
        <v/>
      </c>
      <c r="F97" s="141">
        <f>IFERROR(__xludf.DUMMYFUNCTION("""COMPUTED_VALUE"""),88.96)</f>
        <v/>
      </c>
      <c r="G97" s="143">
        <f>IFERROR(__xludf.DUMMYFUNCTION("""COMPUTED_VALUE"""),44643440)</f>
        <v/>
      </c>
      <c r="H97" s="27" t="n"/>
    </row>
    <row r="98" ht="17.25" customHeight="1" s="322">
      <c r="A98" s="27" t="n"/>
      <c r="B98" s="506">
        <f>IFERROR(__xludf.DUMMYFUNCTION("""COMPUTED_VALUE"""),45967.6666666666)</f>
        <v/>
      </c>
      <c r="C98" s="141">
        <f>IFERROR(__xludf.DUMMYFUNCTION("""COMPUTED_VALUE"""),89.56)</f>
        <v/>
      </c>
      <c r="D98" s="141">
        <f>IFERROR(__xludf.DUMMYFUNCTION("""COMPUTED_VALUE"""),89.85)</f>
        <v/>
      </c>
      <c r="E98" s="141">
        <f>IFERROR(__xludf.DUMMYFUNCTION("""COMPUTED_VALUE"""),89.53)</f>
        <v/>
      </c>
      <c r="F98" s="141">
        <f>IFERROR(__xludf.DUMMYFUNCTION("""COMPUTED_VALUE"""),89.76)</f>
        <v/>
      </c>
      <c r="G98" s="143">
        <f>IFERROR(__xludf.DUMMYFUNCTION("""COMPUTED_VALUE"""),33027353)</f>
        <v/>
      </c>
      <c r="H98" s="27" t="n"/>
    </row>
    <row r="99" ht="17.25" customHeight="1" s="322">
      <c r="A99" s="27" t="n"/>
      <c r="B99" s="506">
        <f>IFERROR(__xludf.DUMMYFUNCTION("""COMPUTED_VALUE"""),45968.6666666666)</f>
        <v/>
      </c>
      <c r="C99" s="141">
        <f>IFERROR(__xludf.DUMMYFUNCTION("""COMPUTED_VALUE"""),89.36)</f>
        <v/>
      </c>
      <c r="D99" s="141">
        <f>IFERROR(__xludf.DUMMYFUNCTION("""COMPUTED_VALUE"""),89.87)</f>
        <v/>
      </c>
      <c r="E99" s="141">
        <f>IFERROR(__xludf.DUMMYFUNCTION("""COMPUTED_VALUE"""),89.36)</f>
        <v/>
      </c>
      <c r="F99" s="141">
        <f>IFERROR(__xludf.DUMMYFUNCTION("""COMPUTED_VALUE"""),89.57)</f>
        <v/>
      </c>
      <c r="G99" s="143">
        <f>IFERROR(__xludf.DUMMYFUNCTION("""COMPUTED_VALUE"""),28530051)</f>
        <v/>
      </c>
      <c r="H99" s="27" t="n"/>
    </row>
    <row r="100" ht="17.25" customHeight="1" s="322">
      <c r="A100" s="27" t="n"/>
      <c r="B100" s="506">
        <f>IFERROR(__xludf.DUMMYFUNCTION("""COMPUTED_VALUE"""),45971.6666666666)</f>
        <v/>
      </c>
      <c r="C100" s="141">
        <f>IFERROR(__xludf.DUMMYFUNCTION("""COMPUTED_VALUE"""),89.49)</f>
        <v/>
      </c>
      <c r="D100" s="141">
        <f>IFERROR(__xludf.DUMMYFUNCTION("""COMPUTED_VALUE"""),89.67)</f>
        <v/>
      </c>
      <c r="E100" s="141">
        <f>IFERROR(__xludf.DUMMYFUNCTION("""COMPUTED_VALUE"""),89.39)</f>
        <v/>
      </c>
      <c r="F100" s="141">
        <f>IFERROR(__xludf.DUMMYFUNCTION("""COMPUTED_VALUE"""),89.55)</f>
        <v/>
      </c>
      <c r="G100" s="143">
        <f>IFERROR(__xludf.DUMMYFUNCTION("""COMPUTED_VALUE"""),24093451)</f>
        <v/>
      </c>
      <c r="H100" s="27" t="n"/>
    </row>
    <row r="101" ht="17.25" customHeight="1" s="322">
      <c r="A101" s="27" t="n"/>
      <c r="B101" s="506">
        <f>IFERROR(__xludf.DUMMYFUNCTION("""COMPUTED_VALUE"""),45972.6666666666)</f>
        <v/>
      </c>
      <c r="C101" s="141">
        <f>IFERROR(__xludf.DUMMYFUNCTION("""COMPUTED_VALUE"""),89.95)</f>
        <v/>
      </c>
      <c r="D101" s="141">
        <f>IFERROR(__xludf.DUMMYFUNCTION("""COMPUTED_VALUE"""),90.07)</f>
        <v/>
      </c>
      <c r="E101" s="141">
        <f>IFERROR(__xludf.DUMMYFUNCTION("""COMPUTED_VALUE"""),89.78)</f>
        <v/>
      </c>
      <c r="F101" s="141">
        <f>IFERROR(__xludf.DUMMYFUNCTION("""COMPUTED_VALUE"""),89.96)</f>
        <v/>
      </c>
      <c r="G101" s="143">
        <f>IFERROR(__xludf.DUMMYFUNCTION("""COMPUTED_VALUE"""),18942295)</f>
        <v/>
      </c>
      <c r="H101" s="27" t="n"/>
    </row>
    <row r="102" ht="17.25" customHeight="1" s="322">
      <c r="A102" s="27" t="n"/>
      <c r="B102" s="506">
        <f>IFERROR(__xludf.DUMMYFUNCTION("""COMPUTED_VALUE"""),45973.6666666666)</f>
        <v/>
      </c>
      <c r="C102" s="141">
        <f>IFERROR(__xludf.DUMMYFUNCTION("""COMPUTED_VALUE"""),89.95)</f>
        <v/>
      </c>
      <c r="D102" s="141">
        <f>IFERROR(__xludf.DUMMYFUNCTION("""COMPUTED_VALUE"""),90.32)</f>
        <v/>
      </c>
      <c r="E102" s="141">
        <f>IFERROR(__xludf.DUMMYFUNCTION("""COMPUTED_VALUE"""),89.88)</f>
        <v/>
      </c>
      <c r="F102" s="141">
        <f>IFERROR(__xludf.DUMMYFUNCTION("""COMPUTED_VALUE"""),90.12)</f>
        <v/>
      </c>
      <c r="G102" s="143">
        <f>IFERROR(__xludf.DUMMYFUNCTION("""COMPUTED_VALUE"""),23594938)</f>
        <v/>
      </c>
      <c r="H102" s="27" t="n"/>
    </row>
    <row r="103" ht="17.25" customHeight="1" s="322">
      <c r="A103" s="27" t="n"/>
      <c r="B103" s="506">
        <f>IFERROR(__xludf.DUMMYFUNCTION("""COMPUTED_VALUE"""),45974.6666666666)</f>
        <v/>
      </c>
      <c r="C103" s="141">
        <f>IFERROR(__xludf.DUMMYFUNCTION("""COMPUTED_VALUE"""),89.8)</f>
        <v/>
      </c>
      <c r="D103" s="141">
        <f>IFERROR(__xludf.DUMMYFUNCTION("""COMPUTED_VALUE"""),89.94)</f>
        <v/>
      </c>
      <c r="E103" s="141">
        <f>IFERROR(__xludf.DUMMYFUNCTION("""COMPUTED_VALUE"""),89.38)</f>
        <v/>
      </c>
      <c r="F103" s="141">
        <f>IFERROR(__xludf.DUMMYFUNCTION("""COMPUTED_VALUE"""),89.38)</f>
        <v/>
      </c>
      <c r="G103" s="143">
        <f>IFERROR(__xludf.DUMMYFUNCTION("""COMPUTED_VALUE"""),33825908)</f>
        <v/>
      </c>
      <c r="H103" s="27" t="n"/>
    </row>
    <row r="104" ht="17.25" customHeight="1" s="322">
      <c r="A104" s="27" t="n"/>
      <c r="B104" s="506">
        <f>IFERROR(__xludf.DUMMYFUNCTION("""COMPUTED_VALUE"""),45975.6666666666)</f>
        <v/>
      </c>
      <c r="C104" s="141">
        <f>IFERROR(__xludf.DUMMYFUNCTION("""COMPUTED_VALUE"""),89.79)</f>
        <v/>
      </c>
      <c r="D104" s="141">
        <f>IFERROR(__xludf.DUMMYFUNCTION("""COMPUTED_VALUE"""),89.84)</f>
        <v/>
      </c>
      <c r="E104" s="141">
        <f>IFERROR(__xludf.DUMMYFUNCTION("""COMPUTED_VALUE"""),88.87)</f>
        <v/>
      </c>
      <c r="F104" s="141">
        <f>IFERROR(__xludf.DUMMYFUNCTION("""COMPUTED_VALUE"""),88.87)</f>
        <v/>
      </c>
      <c r="G104" s="143">
        <f>IFERROR(__xludf.DUMMYFUNCTION("""COMPUTED_VALUE"""),38550502)</f>
        <v/>
      </c>
      <c r="H104" s="27" t="n"/>
    </row>
    <row r="105" ht="17.25" customHeight="1" s="322">
      <c r="A105" s="27" t="n"/>
      <c r="B105" s="506">
        <f>IFERROR(__xludf.DUMMYFUNCTION("""COMPUTED_VALUE"""),45978.6666666666)</f>
        <v/>
      </c>
      <c r="C105" s="141">
        <f>IFERROR(__xludf.DUMMYFUNCTION("""COMPUTED_VALUE"""),89.08)</f>
        <v/>
      </c>
      <c r="D105" s="141">
        <f>IFERROR(__xludf.DUMMYFUNCTION("""COMPUTED_VALUE"""),89.3)</f>
        <v/>
      </c>
      <c r="E105" s="141">
        <f>IFERROR(__xludf.DUMMYFUNCTION("""COMPUTED_VALUE"""),88.98)</f>
        <v/>
      </c>
      <c r="F105" s="141">
        <f>IFERROR(__xludf.DUMMYFUNCTION("""COMPUTED_VALUE"""),89.09)</f>
        <v/>
      </c>
      <c r="G105" s="143">
        <f>IFERROR(__xludf.DUMMYFUNCTION("""COMPUTED_VALUE"""),25605782)</f>
        <v/>
      </c>
      <c r="H105" s="27" t="n"/>
    </row>
    <row r="106" ht="17.25" customHeight="1" s="322">
      <c r="A106" s="27" t="n"/>
      <c r="B106" s="506">
        <f>IFERROR(__xludf.DUMMYFUNCTION("""COMPUTED_VALUE"""),45979.6666666666)</f>
        <v/>
      </c>
      <c r="C106" s="141">
        <f>IFERROR(__xludf.DUMMYFUNCTION("""COMPUTED_VALUE"""),89.35)</f>
        <v/>
      </c>
      <c r="D106" s="141">
        <f>IFERROR(__xludf.DUMMYFUNCTION("""COMPUTED_VALUE"""),89.45)</f>
        <v/>
      </c>
      <c r="E106" s="141">
        <f>IFERROR(__xludf.DUMMYFUNCTION("""COMPUTED_VALUE"""),88.8)</f>
        <v/>
      </c>
      <c r="F106" s="141">
        <f>IFERROR(__xludf.DUMMYFUNCTION("""COMPUTED_VALUE"""),89.06)</f>
        <v/>
      </c>
      <c r="G106" s="143">
        <f>IFERROR(__xludf.DUMMYFUNCTION("""COMPUTED_VALUE"""),31967435)</f>
        <v/>
      </c>
      <c r="H106" s="27" t="n"/>
    </row>
    <row r="107" ht="17.25" customHeight="1" s="322">
      <c r="A107" s="27" t="n"/>
      <c r="B107" s="506">
        <f>IFERROR(__xludf.DUMMYFUNCTION("""COMPUTED_VALUE"""),45980.6666666666)</f>
        <v/>
      </c>
      <c r="C107" s="141">
        <f>IFERROR(__xludf.DUMMYFUNCTION("""COMPUTED_VALUE"""),89.23)</f>
        <v/>
      </c>
      <c r="D107" s="141">
        <f>IFERROR(__xludf.DUMMYFUNCTION("""COMPUTED_VALUE"""),89.31)</f>
        <v/>
      </c>
      <c r="E107" s="141">
        <f>IFERROR(__xludf.DUMMYFUNCTION("""COMPUTED_VALUE"""),88.85)</f>
        <v/>
      </c>
      <c r="F107" s="141">
        <f>IFERROR(__xludf.DUMMYFUNCTION("""COMPUTED_VALUE"""),88.88)</f>
        <v/>
      </c>
      <c r="G107" s="143">
        <f>IFERROR(__xludf.DUMMYFUNCTION("""COMPUTED_VALUE"""),25782384)</f>
        <v/>
      </c>
      <c r="H107" s="27" t="n"/>
    </row>
    <row r="108" ht="17.25" customHeight="1" s="322">
      <c r="A108" s="27" t="n"/>
      <c r="B108" s="506">
        <f>IFERROR(__xludf.DUMMYFUNCTION("""COMPUTED_VALUE"""),45981.6666666666)</f>
        <v/>
      </c>
      <c r="C108" s="141">
        <f>IFERROR(__xludf.DUMMYFUNCTION("""COMPUTED_VALUE"""),88.99)</f>
        <v/>
      </c>
      <c r="D108" s="141">
        <f>IFERROR(__xludf.DUMMYFUNCTION("""COMPUTED_VALUE"""),89.42)</f>
        <v/>
      </c>
      <c r="E108" s="141">
        <f>IFERROR(__xludf.DUMMYFUNCTION("""COMPUTED_VALUE"""),88.99)</f>
        <v/>
      </c>
      <c r="F108" s="141">
        <f>IFERROR(__xludf.DUMMYFUNCTION("""COMPUTED_VALUE"""),89.23)</f>
        <v/>
      </c>
      <c r="G108" s="143">
        <f>IFERROR(__xludf.DUMMYFUNCTION("""COMPUTED_VALUE"""),32945001)</f>
        <v/>
      </c>
      <c r="H108" s="27" t="n"/>
    </row>
    <row r="109" ht="17.25" customHeight="1" s="322">
      <c r="A109" s="27" t="n"/>
      <c r="B109" s="506">
        <f>IFERROR(__xludf.DUMMYFUNCTION("""COMPUTED_VALUE"""),45982.6666666666)</f>
        <v/>
      </c>
      <c r="C109" s="141">
        <f>IFERROR(__xludf.DUMMYFUNCTION("""COMPUTED_VALUE"""),89.65)</f>
        <v/>
      </c>
      <c r="D109" s="141">
        <f>IFERROR(__xludf.DUMMYFUNCTION("""COMPUTED_VALUE"""),89.67)</f>
        <v/>
      </c>
      <c r="E109" s="141">
        <f>IFERROR(__xludf.DUMMYFUNCTION("""COMPUTED_VALUE"""),89.2)</f>
        <v/>
      </c>
      <c r="F109" s="141">
        <f>IFERROR(__xludf.DUMMYFUNCTION("""COMPUTED_VALUE"""),89.5)</f>
        <v/>
      </c>
      <c r="G109" s="143">
        <f>IFERROR(__xludf.DUMMYFUNCTION("""COMPUTED_VALUE"""),41938628)</f>
        <v/>
      </c>
      <c r="H109" s="27" t="n"/>
    </row>
    <row r="110" ht="17.25" customHeight="1" s="322">
      <c r="A110" s="27" t="n"/>
      <c r="B110" s="506">
        <f>IFERROR(__xludf.DUMMYFUNCTION("""COMPUTED_VALUE"""),45985.6666666666)</f>
        <v/>
      </c>
      <c r="C110" s="141">
        <f>IFERROR(__xludf.DUMMYFUNCTION("""COMPUTED_VALUE"""),89.95)</f>
        <v/>
      </c>
      <c r="D110" s="141">
        <f>IFERROR(__xludf.DUMMYFUNCTION("""COMPUTED_VALUE"""),90.07)</f>
        <v/>
      </c>
      <c r="E110" s="141">
        <f>IFERROR(__xludf.DUMMYFUNCTION("""COMPUTED_VALUE"""),89.78)</f>
        <v/>
      </c>
      <c r="F110" s="141">
        <f>IFERROR(__xludf.DUMMYFUNCTION("""COMPUTED_VALUE"""),90.01)</f>
        <v/>
      </c>
      <c r="G110" s="143">
        <f>IFERROR(__xludf.DUMMYFUNCTION("""COMPUTED_VALUE"""),30865695)</f>
        <v/>
      </c>
      <c r="H110" s="27" t="n"/>
    </row>
    <row r="111" ht="17.25" customHeight="1" s="322">
      <c r="A111" s="27" t="n"/>
      <c r="B111" s="506">
        <f>IFERROR(__xludf.DUMMYFUNCTION("""COMPUTED_VALUE"""),45986.6666666666)</f>
        <v/>
      </c>
      <c r="C111" s="141">
        <f>IFERROR(__xludf.DUMMYFUNCTION("""COMPUTED_VALUE"""),90.31)</f>
        <v/>
      </c>
      <c r="D111" s="141">
        <f>IFERROR(__xludf.DUMMYFUNCTION("""COMPUTED_VALUE"""),90.59)</f>
        <v/>
      </c>
      <c r="E111" s="141">
        <f>IFERROR(__xludf.DUMMYFUNCTION("""COMPUTED_VALUE"""),90.13)</f>
        <v/>
      </c>
      <c r="F111" s="141">
        <f>IFERROR(__xludf.DUMMYFUNCTION("""COMPUTED_VALUE"""),90.24)</f>
        <v/>
      </c>
      <c r="G111" s="143">
        <f>IFERROR(__xludf.DUMMYFUNCTION("""COMPUTED_VALUE"""),36503342)</f>
        <v/>
      </c>
      <c r="H111" s="27" t="n"/>
    </row>
    <row r="112" ht="17.25" customHeight="1" s="322">
      <c r="A112" s="27" t="n"/>
      <c r="B112" s="506">
        <f>IFERROR(__xludf.DUMMYFUNCTION("""COMPUTED_VALUE"""),45987.6666666666)</f>
        <v/>
      </c>
      <c r="C112" s="141">
        <f>IFERROR(__xludf.DUMMYFUNCTION("""COMPUTED_VALUE"""),90.15)</f>
        <v/>
      </c>
      <c r="D112" s="141">
        <f>IFERROR(__xludf.DUMMYFUNCTION("""COMPUTED_VALUE"""),90.64)</f>
        <v/>
      </c>
      <c r="E112" s="141">
        <f>IFERROR(__xludf.DUMMYFUNCTION("""COMPUTED_VALUE"""),89.83)</f>
        <v/>
      </c>
      <c r="F112" s="141">
        <f>IFERROR(__xludf.DUMMYFUNCTION("""COMPUTED_VALUE"""),90.64)</f>
        <v/>
      </c>
      <c r="G112" s="143">
        <f>IFERROR(__xludf.DUMMYFUNCTION("""COMPUTED_VALUE"""),34098962)</f>
        <v/>
      </c>
      <c r="H112" s="27" t="n"/>
    </row>
    <row r="113" ht="17.25" customHeight="1" s="322">
      <c r="A113" s="27" t="n"/>
      <c r="B113" s="506">
        <f>IFERROR(__xludf.DUMMYFUNCTION("""COMPUTED_VALUE"""),45989.5451388888)</f>
        <v/>
      </c>
      <c r="C113" s="141">
        <f>IFERROR(__xludf.DUMMYFUNCTION("""COMPUTED_VALUE"""),90.46)</f>
        <v/>
      </c>
      <c r="D113" s="141">
        <f>IFERROR(__xludf.DUMMYFUNCTION("""COMPUTED_VALUE"""),90.53)</f>
        <v/>
      </c>
      <c r="E113" s="141">
        <f>IFERROR(__xludf.DUMMYFUNCTION("""COMPUTED_VALUE"""),89.95)</f>
        <v/>
      </c>
      <c r="F113" s="141">
        <f>IFERROR(__xludf.DUMMYFUNCTION("""COMPUTED_VALUE"""),90.21)</f>
        <v/>
      </c>
      <c r="G113" s="143">
        <f>IFERROR(__xludf.DUMMYFUNCTION("""COMPUTED_VALUE"""),40704287)</f>
        <v/>
      </c>
      <c r="H113" s="27" t="n"/>
    </row>
    <row r="114" ht="17.25" customHeight="1" s="322">
      <c r="A114" s="27" t="n"/>
      <c r="B114" s="506">
        <f>IFERROR(__xludf.DUMMYFUNCTION("""COMPUTED_VALUE"""),45992.6666666666)</f>
        <v/>
      </c>
      <c r="C114" s="141">
        <f>IFERROR(__xludf.DUMMYFUNCTION("""COMPUTED_VALUE"""),88.85)</f>
        <v/>
      </c>
      <c r="D114" s="141">
        <f>IFERROR(__xludf.DUMMYFUNCTION("""COMPUTED_VALUE"""),88.99)</f>
        <v/>
      </c>
      <c r="E114" s="141">
        <f>IFERROR(__xludf.DUMMYFUNCTION("""COMPUTED_VALUE"""),88.71)</f>
        <v/>
      </c>
      <c r="F114" s="141">
        <f>IFERROR(__xludf.DUMMYFUNCTION("""COMPUTED_VALUE"""),88.77)</f>
        <v/>
      </c>
      <c r="G114" s="143">
        <f>IFERROR(__xludf.DUMMYFUNCTION("""COMPUTED_VALUE"""),47086647)</f>
        <v/>
      </c>
      <c r="H114" s="27" t="n"/>
    </row>
    <row r="115" ht="17.25" customHeight="1" s="322">
      <c r="A115" s="27" t="n"/>
      <c r="B115" s="506">
        <f>IFERROR(__xludf.DUMMYFUNCTION("""COMPUTED_VALUE"""),45993.6666666666)</f>
        <v/>
      </c>
      <c r="C115" s="141">
        <f>IFERROR(__xludf.DUMMYFUNCTION("""COMPUTED_VALUE"""),88.58)</f>
        <v/>
      </c>
      <c r="D115" s="141">
        <f>IFERROR(__xludf.DUMMYFUNCTION("""COMPUTED_VALUE"""),88.96)</f>
        <v/>
      </c>
      <c r="E115" s="141">
        <f>IFERROR(__xludf.DUMMYFUNCTION("""COMPUTED_VALUE"""),88.46)</f>
        <v/>
      </c>
      <c r="F115" s="141">
        <f>IFERROR(__xludf.DUMMYFUNCTION("""COMPUTED_VALUE"""),88.81)</f>
        <v/>
      </c>
      <c r="G115" s="143">
        <f>IFERROR(__xludf.DUMMYFUNCTION("""COMPUTED_VALUE"""),27605681)</f>
        <v/>
      </c>
      <c r="H115" s="27" t="n"/>
    </row>
    <row r="116" ht="17.25" customHeight="1" s="322">
      <c r="A116" s="27" t="n"/>
      <c r="B116" s="506">
        <f>IFERROR(__xludf.DUMMYFUNCTION("""COMPUTED_VALUE"""),45994.6666666666)</f>
        <v/>
      </c>
      <c r="C116" s="141">
        <f>IFERROR(__xludf.DUMMYFUNCTION("""COMPUTED_VALUE"""),88.92)</f>
        <v/>
      </c>
      <c r="D116" s="141">
        <f>IFERROR(__xludf.DUMMYFUNCTION("""COMPUTED_VALUE"""),89.16)</f>
        <v/>
      </c>
      <c r="E116" s="141">
        <f>IFERROR(__xludf.DUMMYFUNCTION("""COMPUTED_VALUE"""),88.74)</f>
        <v/>
      </c>
      <c r="F116" s="141">
        <f>IFERROR(__xludf.DUMMYFUNCTION("""COMPUTED_VALUE"""),89.06)</f>
        <v/>
      </c>
      <c r="G116" s="143">
        <f>IFERROR(__xludf.DUMMYFUNCTION("""COMPUTED_VALUE"""),23278580)</f>
        <v/>
      </c>
      <c r="H116" s="27" t="n"/>
    </row>
    <row r="117" ht="17.25" customHeight="1" s="322">
      <c r="A117" s="27" t="n"/>
      <c r="B117" s="506">
        <f>IFERROR(__xludf.DUMMYFUNCTION("""COMPUTED_VALUE"""),45995.6666666666)</f>
        <v/>
      </c>
      <c r="C117" s="141">
        <f>IFERROR(__xludf.DUMMYFUNCTION("""COMPUTED_VALUE"""),88.91)</f>
        <v/>
      </c>
      <c r="D117" s="141">
        <f>IFERROR(__xludf.DUMMYFUNCTION("""COMPUTED_VALUE"""),88.93)</f>
        <v/>
      </c>
      <c r="E117" s="141">
        <f>IFERROR(__xludf.DUMMYFUNCTION("""COMPUTED_VALUE"""),88.48)</f>
        <v/>
      </c>
      <c r="F117" s="141">
        <f>IFERROR(__xludf.DUMMYFUNCTION("""COMPUTED_VALUE"""),88.58)</f>
        <v/>
      </c>
      <c r="G117" s="143">
        <f>IFERROR(__xludf.DUMMYFUNCTION("""COMPUTED_VALUE"""),25541459)</f>
        <v/>
      </c>
      <c r="H117" s="27" t="n"/>
    </row>
    <row r="118" ht="17.25" customHeight="1" s="322">
      <c r="A118" s="27" t="n"/>
      <c r="B118" s="506">
        <f>IFERROR(__xludf.DUMMYFUNCTION("""COMPUTED_VALUE"""),45996.6666666666)</f>
        <v/>
      </c>
      <c r="C118" s="141">
        <f>IFERROR(__xludf.DUMMYFUNCTION("""COMPUTED_VALUE"""),88.55)</f>
        <v/>
      </c>
      <c r="D118" s="141">
        <f>IFERROR(__xludf.DUMMYFUNCTION("""COMPUTED_VALUE"""),88.55)</f>
        <v/>
      </c>
      <c r="E118" s="141">
        <f>IFERROR(__xludf.DUMMYFUNCTION("""COMPUTED_VALUE"""),88.05)</f>
        <v/>
      </c>
      <c r="F118" s="141">
        <f>IFERROR(__xludf.DUMMYFUNCTION("""COMPUTED_VALUE"""),88.17)</f>
        <v/>
      </c>
      <c r="G118" s="143">
        <f>IFERROR(__xludf.DUMMYFUNCTION("""COMPUTED_VALUE"""),32808068)</f>
        <v/>
      </c>
      <c r="H118" s="27" t="n"/>
    </row>
    <row r="119" ht="17.25" customHeight="1" s="322">
      <c r="A119" s="27" t="n"/>
      <c r="B119" s="506">
        <f>IFERROR(__xludf.DUMMYFUNCTION("""COMPUTED_VALUE"""),45999.6666666666)</f>
        <v/>
      </c>
      <c r="C119" s="141">
        <f>IFERROR(__xludf.DUMMYFUNCTION("""COMPUTED_VALUE"""),88.19)</f>
        <v/>
      </c>
      <c r="D119" s="141">
        <f>IFERROR(__xludf.DUMMYFUNCTION("""COMPUTED_VALUE"""),88.2)</f>
        <v/>
      </c>
      <c r="E119" s="141">
        <f>IFERROR(__xludf.DUMMYFUNCTION("""COMPUTED_VALUE"""),87.56)</f>
        <v/>
      </c>
      <c r="F119" s="141">
        <f>IFERROR(__xludf.DUMMYFUNCTION("""COMPUTED_VALUE"""),87.88)</f>
        <v/>
      </c>
      <c r="G119" s="143">
        <f>IFERROR(__xludf.DUMMYFUNCTION("""COMPUTED_VALUE"""),32255204)</f>
        <v/>
      </c>
      <c r="H119" s="27" t="n"/>
    </row>
    <row r="120" ht="17.25" customHeight="1" s="322">
      <c r="A120" s="27" t="n"/>
      <c r="B120" s="506">
        <f>IFERROR(__xludf.DUMMYFUNCTION("""COMPUTED_VALUE"""),46000.6666666666)</f>
        <v/>
      </c>
      <c r="C120" s="141">
        <f>IFERROR(__xludf.DUMMYFUNCTION("""COMPUTED_VALUE"""),88.34)</f>
        <v/>
      </c>
      <c r="D120" s="141">
        <f>IFERROR(__xludf.DUMMYFUNCTION("""COMPUTED_VALUE"""),88.35)</f>
        <v/>
      </c>
      <c r="E120" s="141">
        <f>IFERROR(__xludf.DUMMYFUNCTION("""COMPUTED_VALUE"""),87.84)</f>
        <v/>
      </c>
      <c r="F120" s="141">
        <f>IFERROR(__xludf.DUMMYFUNCTION("""COMPUTED_VALUE"""),87.97)</f>
        <v/>
      </c>
      <c r="G120" s="143">
        <f>IFERROR(__xludf.DUMMYFUNCTION("""COMPUTED_VALUE"""),25771792)</f>
        <v/>
      </c>
      <c r="H120" s="27" t="n"/>
    </row>
    <row r="121" ht="17.25" customHeight="1" s="322">
      <c r="A121" s="27" t="n"/>
      <c r="B121" s="506">
        <f>IFERROR(__xludf.DUMMYFUNCTION("""COMPUTED_VALUE"""),46001.6666666666)</f>
        <v/>
      </c>
      <c r="C121" s="141">
        <f>IFERROR(__xludf.DUMMYFUNCTION("""COMPUTED_VALUE"""),88)</f>
        <v/>
      </c>
      <c r="D121" s="141">
        <f>IFERROR(__xludf.DUMMYFUNCTION("""COMPUTED_VALUE"""),88.52)</f>
        <v/>
      </c>
      <c r="E121" s="141">
        <f>IFERROR(__xludf.DUMMYFUNCTION("""COMPUTED_VALUE"""),87.86)</f>
        <v/>
      </c>
      <c r="F121" s="141">
        <f>IFERROR(__xludf.DUMMYFUNCTION("""COMPUTED_VALUE"""),88.31)</f>
        <v/>
      </c>
      <c r="G121" s="143">
        <f>IFERROR(__xludf.DUMMYFUNCTION("""COMPUTED_VALUE"""),46833512)</f>
        <v/>
      </c>
      <c r="H121" s="27" t="n"/>
    </row>
    <row r="122" ht="17.25" customHeight="1" s="322">
      <c r="A122" s="27" t="n"/>
      <c r="B122" s="506">
        <f>IFERROR(__xludf.DUMMYFUNCTION("""COMPUTED_VALUE"""),46002.6666666666)</f>
        <v/>
      </c>
      <c r="C122" s="141">
        <f>IFERROR(__xludf.DUMMYFUNCTION("""COMPUTED_VALUE"""),88.69)</f>
        <v/>
      </c>
      <c r="D122" s="141">
        <f>IFERROR(__xludf.DUMMYFUNCTION("""COMPUTED_VALUE"""),88.83)</f>
        <v/>
      </c>
      <c r="E122" s="141">
        <f>IFERROR(__xludf.DUMMYFUNCTION("""COMPUTED_VALUE"""),88.16)</f>
        <v/>
      </c>
      <c r="F122" s="141">
        <f>IFERROR(__xludf.DUMMYFUNCTION("""COMPUTED_VALUE"""),88.19)</f>
        <v/>
      </c>
      <c r="G122" s="143">
        <f>IFERROR(__xludf.DUMMYFUNCTION("""COMPUTED_VALUE"""),26778686)</f>
        <v/>
      </c>
      <c r="H122" s="27" t="n"/>
    </row>
    <row r="123" ht="17.25" customHeight="1" s="322">
      <c r="A123" s="27" t="n"/>
      <c r="B123" s="506">
        <f>IFERROR(__xludf.DUMMYFUNCTION("""COMPUTED_VALUE"""),46003.6666666666)</f>
        <v/>
      </c>
      <c r="C123" s="141">
        <f>IFERROR(__xludf.DUMMYFUNCTION("""COMPUTED_VALUE"""),87.38)</f>
        <v/>
      </c>
      <c r="D123" s="141">
        <f>IFERROR(__xludf.DUMMYFUNCTION("""COMPUTED_VALUE"""),87.5)</f>
        <v/>
      </c>
      <c r="E123" s="141">
        <f>IFERROR(__xludf.DUMMYFUNCTION("""COMPUTED_VALUE"""),87.19)</f>
        <v/>
      </c>
      <c r="F123" s="141">
        <f>IFERROR(__xludf.DUMMYFUNCTION("""COMPUTED_VALUE"""),87.34)</f>
        <v/>
      </c>
      <c r="G123" s="143">
        <f>IFERROR(__xludf.DUMMYFUNCTION("""COMPUTED_VALUE"""),47030122)</f>
        <v/>
      </c>
      <c r="H123" s="27" t="n"/>
    </row>
    <row r="124" ht="17.25" customHeight="1" s="322">
      <c r="A124" s="27" t="n"/>
      <c r="B124" s="506">
        <f>IFERROR(__xludf.DUMMYFUNCTION("""COMPUTED_VALUE"""),46006.6666666666)</f>
        <v/>
      </c>
      <c r="C124" s="141">
        <f>IFERROR(__xludf.DUMMYFUNCTION("""COMPUTED_VALUE"""),87.72)</f>
        <v/>
      </c>
      <c r="D124" s="141">
        <f>IFERROR(__xludf.DUMMYFUNCTION("""COMPUTED_VALUE"""),87.88)</f>
        <v/>
      </c>
      <c r="E124" s="141">
        <f>IFERROR(__xludf.DUMMYFUNCTION("""COMPUTED_VALUE"""),87.39)</f>
        <v/>
      </c>
      <c r="F124" s="141">
        <f>IFERROR(__xludf.DUMMYFUNCTION("""COMPUTED_VALUE"""),87.4)</f>
        <v/>
      </c>
      <c r="G124" s="143">
        <f>IFERROR(__xludf.DUMMYFUNCTION("""COMPUTED_VALUE"""),28611787)</f>
        <v/>
      </c>
      <c r="H124" s="27" t="n"/>
    </row>
    <row r="125" ht="17.25" customHeight="1" s="322">
      <c r="A125" s="27" t="n"/>
      <c r="B125" s="506">
        <f>IFERROR(__xludf.DUMMYFUNCTION("""COMPUTED_VALUE"""),46007.6666666666)</f>
        <v/>
      </c>
      <c r="C125" s="141">
        <f>IFERROR(__xludf.DUMMYFUNCTION("""COMPUTED_VALUE"""),87.19)</f>
        <v/>
      </c>
      <c r="D125" s="141">
        <f>IFERROR(__xludf.DUMMYFUNCTION("""COMPUTED_VALUE"""),87.92)</f>
        <v/>
      </c>
      <c r="E125" s="141">
        <f>IFERROR(__xludf.DUMMYFUNCTION("""COMPUTED_VALUE"""),87.17)</f>
        <v/>
      </c>
      <c r="F125" s="141">
        <f>IFERROR(__xludf.DUMMYFUNCTION("""COMPUTED_VALUE"""),87.88)</f>
        <v/>
      </c>
      <c r="G125" s="143">
        <f>IFERROR(__xludf.DUMMYFUNCTION("""COMPUTED_VALUE"""),41018681)</f>
        <v/>
      </c>
      <c r="H125" s="27" t="n"/>
    </row>
    <row r="126" ht="17.25" customHeight="1" s="322">
      <c r="A126" s="27" t="n"/>
      <c r="B126" s="506">
        <f>IFERROR(__xludf.DUMMYFUNCTION("""COMPUTED_VALUE"""),46008.6666666666)</f>
        <v/>
      </c>
      <c r="C126" s="141">
        <f>IFERROR(__xludf.DUMMYFUNCTION("""COMPUTED_VALUE"""),87.63)</f>
        <v/>
      </c>
      <c r="D126" s="141">
        <f>IFERROR(__xludf.DUMMYFUNCTION("""COMPUTED_VALUE"""),87.99)</f>
        <v/>
      </c>
      <c r="E126" s="141">
        <f>IFERROR(__xludf.DUMMYFUNCTION("""COMPUTED_VALUE"""),87.58)</f>
        <v/>
      </c>
      <c r="F126" s="141">
        <f>IFERROR(__xludf.DUMMYFUNCTION("""COMPUTED_VALUE"""),87.8)</f>
        <v/>
      </c>
      <c r="G126" s="143">
        <f>IFERROR(__xludf.DUMMYFUNCTION("""COMPUTED_VALUE"""),24668305)</f>
        <v/>
      </c>
      <c r="H126" s="27" t="n"/>
    </row>
    <row r="127" ht="17.25" customHeight="1" s="322">
      <c r="A127" s="27" t="n"/>
      <c r="B127" s="506">
        <f>IFERROR(__xludf.DUMMYFUNCTION("""COMPUTED_VALUE"""),46009.6666666666)</f>
        <v/>
      </c>
      <c r="C127" s="141">
        <f>IFERROR(__xludf.DUMMYFUNCTION("""COMPUTED_VALUE"""),88.13)</f>
        <v/>
      </c>
      <c r="D127" s="141">
        <f>IFERROR(__xludf.DUMMYFUNCTION("""COMPUTED_VALUE"""),88.38)</f>
        <v/>
      </c>
      <c r="E127" s="141">
        <f>IFERROR(__xludf.DUMMYFUNCTION("""COMPUTED_VALUE"""),88.07)</f>
        <v/>
      </c>
      <c r="F127" s="141">
        <f>IFERROR(__xludf.DUMMYFUNCTION("""COMPUTED_VALUE"""),88.22)</f>
        <v/>
      </c>
      <c r="G127" s="143">
        <f>IFERROR(__xludf.DUMMYFUNCTION("""COMPUTED_VALUE"""),39048891)</f>
        <v/>
      </c>
      <c r="H127" s="27" t="n"/>
    </row>
    <row r="128" ht="17.25" customHeight="1" s="322">
      <c r="A128" s="27" t="n"/>
      <c r="B128" s="506">
        <f>IFERROR(__xludf.DUMMYFUNCTION("""COMPUTED_VALUE"""),46010.6666666666)</f>
        <v/>
      </c>
      <c r="C128" s="141">
        <f>IFERROR(__xludf.DUMMYFUNCTION("""COMPUTED_VALUE"""),87.61)</f>
        <v/>
      </c>
      <c r="D128" s="141">
        <f>IFERROR(__xludf.DUMMYFUNCTION("""COMPUTED_VALUE"""),87.76)</f>
        <v/>
      </c>
      <c r="E128" s="141">
        <f>IFERROR(__xludf.DUMMYFUNCTION("""COMPUTED_VALUE"""),87.41)</f>
        <v/>
      </c>
      <c r="F128" s="141">
        <f>IFERROR(__xludf.DUMMYFUNCTION("""COMPUTED_VALUE"""),87.55)</f>
        <v/>
      </c>
      <c r="G128" s="143">
        <f>IFERROR(__xludf.DUMMYFUNCTION("""COMPUTED_VALUE"""),37858082)</f>
        <v/>
      </c>
      <c r="H128" s="27" t="n"/>
    </row>
    <row r="129" ht="17.25" customHeight="1" s="322">
      <c r="A129" s="27" t="n"/>
      <c r="B129" s="506">
        <f>IFERROR(__xludf.DUMMYFUNCTION("""COMPUTED_VALUE"""),46013.6666666666)</f>
        <v/>
      </c>
      <c r="C129" s="141">
        <f>IFERROR(__xludf.DUMMYFUNCTION("""COMPUTED_VALUE"""),87.42)</f>
        <v/>
      </c>
      <c r="D129" s="141">
        <f>IFERROR(__xludf.DUMMYFUNCTION("""COMPUTED_VALUE"""),87.46)</f>
        <v/>
      </c>
      <c r="E129" s="141">
        <f>IFERROR(__xludf.DUMMYFUNCTION("""COMPUTED_VALUE"""),87.25)</f>
        <v/>
      </c>
      <c r="F129" s="141">
        <f>IFERROR(__xludf.DUMMYFUNCTION("""COMPUTED_VALUE"""),87.36)</f>
        <v/>
      </c>
      <c r="G129" s="143">
        <f>IFERROR(__xludf.DUMMYFUNCTION("""COMPUTED_VALUE"""),25547134)</f>
        <v/>
      </c>
      <c r="H129" s="27" t="n"/>
    </row>
    <row r="130" ht="17.25" customHeight="1" s="322">
      <c r="A130" s="27" t="n"/>
      <c r="B130" s="506">
        <f>IFERROR(__xludf.DUMMYFUNCTION("""COMPUTED_VALUE"""),46014.6666666666)</f>
        <v/>
      </c>
      <c r="C130" s="141">
        <f>IFERROR(__xludf.DUMMYFUNCTION("""COMPUTED_VALUE"""),87.07)</f>
        <v/>
      </c>
      <c r="D130" s="141">
        <f>IFERROR(__xludf.DUMMYFUNCTION("""COMPUTED_VALUE"""),87.58)</f>
        <v/>
      </c>
      <c r="E130" s="141">
        <f>IFERROR(__xludf.DUMMYFUNCTION("""COMPUTED_VALUE"""),87.03)</f>
        <v/>
      </c>
      <c r="F130" s="141">
        <f>IFERROR(__xludf.DUMMYFUNCTION("""COMPUTED_VALUE"""),87.5)</f>
        <v/>
      </c>
      <c r="G130" s="143">
        <f>IFERROR(__xludf.DUMMYFUNCTION("""COMPUTED_VALUE"""),33624059)</f>
        <v/>
      </c>
      <c r="H130" s="27" t="n"/>
    </row>
    <row r="131" ht="17.25" customHeight="1" s="322">
      <c r="A131" s="27" t="n"/>
      <c r="B131" s="506">
        <f>IFERROR(__xludf.DUMMYFUNCTION("""COMPUTED_VALUE"""),46015.5451388888)</f>
        <v/>
      </c>
      <c r="C131" s="141">
        <f>IFERROR(__xludf.DUMMYFUNCTION("""COMPUTED_VALUE"""),87.76)</f>
        <v/>
      </c>
      <c r="D131" s="141">
        <f>IFERROR(__xludf.DUMMYFUNCTION("""COMPUTED_VALUE"""),88.08)</f>
        <v/>
      </c>
      <c r="E131" s="141">
        <f>IFERROR(__xludf.DUMMYFUNCTION("""COMPUTED_VALUE"""),87.65)</f>
        <v/>
      </c>
      <c r="F131" s="141">
        <f>IFERROR(__xludf.DUMMYFUNCTION("""COMPUTED_VALUE"""),88.03)</f>
        <v/>
      </c>
      <c r="G131" s="143">
        <f>IFERROR(__xludf.DUMMYFUNCTION("""COMPUTED_VALUE"""),25942006)</f>
        <v/>
      </c>
      <c r="H131" s="27" t="n"/>
    </row>
    <row r="132" ht="17.25" customHeight="1" s="322">
      <c r="A132" s="27" t="n"/>
      <c r="B132" s="506">
        <f>IFERROR(__xludf.DUMMYFUNCTION("""COMPUTED_VALUE"""),46017.6666666666)</f>
        <v/>
      </c>
      <c r="C132" s="141">
        <f>IFERROR(__xludf.DUMMYFUNCTION("""COMPUTED_VALUE"""),88.1)</f>
        <v/>
      </c>
      <c r="D132" s="141">
        <f>IFERROR(__xludf.DUMMYFUNCTION("""COMPUTED_VALUE"""),88.17)</f>
        <v/>
      </c>
      <c r="E132" s="141">
        <f>IFERROR(__xludf.DUMMYFUNCTION("""COMPUTED_VALUE"""),87.6)</f>
        <v/>
      </c>
      <c r="F132" s="141">
        <f>IFERROR(__xludf.DUMMYFUNCTION("""COMPUTED_VALUE"""),87.74)</f>
        <v/>
      </c>
      <c r="G132" s="143">
        <f>IFERROR(__xludf.DUMMYFUNCTION("""COMPUTED_VALUE"""),26522734)</f>
        <v/>
      </c>
      <c r="H132" s="27" t="n"/>
    </row>
    <row r="133" ht="17.25" customHeight="1" s="322">
      <c r="A133" s="27" t="n"/>
      <c r="B133" s="506">
        <f>IFERROR(__xludf.DUMMYFUNCTION("""COMPUTED_VALUE"""),46020.6666666666)</f>
        <v/>
      </c>
      <c r="C133" s="141">
        <f>IFERROR(__xludf.DUMMYFUNCTION("""COMPUTED_VALUE"""),87.95)</f>
        <v/>
      </c>
      <c r="D133" s="141">
        <f>IFERROR(__xludf.DUMMYFUNCTION("""COMPUTED_VALUE"""),88.07)</f>
        <v/>
      </c>
      <c r="E133" s="141">
        <f>IFERROR(__xludf.DUMMYFUNCTION("""COMPUTED_VALUE"""),87.79)</f>
        <v/>
      </c>
      <c r="F133" s="141">
        <f>IFERROR(__xludf.DUMMYFUNCTION("""COMPUTED_VALUE"""),88.07)</f>
        <v/>
      </c>
      <c r="G133" s="143">
        <f>IFERROR(__xludf.DUMMYFUNCTION("""COMPUTED_VALUE"""),29399823)</f>
        <v/>
      </c>
      <c r="H133" s="27" t="n"/>
    </row>
    <row r="134" ht="17.25" customHeight="1" s="322">
      <c r="A134" s="27" t="n"/>
      <c r="B134" s="506">
        <f>IFERROR(__xludf.DUMMYFUNCTION("""COMPUTED_VALUE"""),46021.6666666666)</f>
        <v/>
      </c>
      <c r="C134" s="141">
        <f>IFERROR(__xludf.DUMMYFUNCTION("""COMPUTED_VALUE"""),87.74)</f>
        <v/>
      </c>
      <c r="D134" s="141">
        <f>IFERROR(__xludf.DUMMYFUNCTION("""COMPUTED_VALUE"""),88.04)</f>
        <v/>
      </c>
      <c r="E134" s="141">
        <f>IFERROR(__xludf.DUMMYFUNCTION("""COMPUTED_VALUE"""),87.67)</f>
        <v/>
      </c>
      <c r="F134" s="141">
        <f>IFERROR(__xludf.DUMMYFUNCTION("""COMPUTED_VALUE"""),87.86)</f>
        <v/>
      </c>
      <c r="G134" s="143">
        <f>IFERROR(__xludf.DUMMYFUNCTION("""COMPUTED_VALUE"""),25106784)</f>
        <v/>
      </c>
      <c r="H134" s="27" t="n"/>
    </row>
    <row r="135" ht="17.25" customHeight="1" s="322">
      <c r="A135" s="27" t="n"/>
      <c r="B135" s="506">
        <f>IFERROR(__xludf.DUMMYFUNCTION("""COMPUTED_VALUE"""),46022.6666666666)</f>
        <v/>
      </c>
      <c r="C135" s="141">
        <f>IFERROR(__xludf.DUMMYFUNCTION("""COMPUTED_VALUE"""),87.68)</f>
        <v/>
      </c>
      <c r="D135" s="141">
        <f>IFERROR(__xludf.DUMMYFUNCTION("""COMPUTED_VALUE"""),87.91)</f>
        <v/>
      </c>
      <c r="E135" s="141">
        <f>IFERROR(__xludf.DUMMYFUNCTION("""COMPUTED_VALUE"""),87.13)</f>
        <v/>
      </c>
      <c r="F135" s="141">
        <f>IFERROR(__xludf.DUMMYFUNCTION("""COMPUTED_VALUE"""),87.16)</f>
        <v/>
      </c>
      <c r="G135" s="143">
        <f>IFERROR(__xludf.DUMMYFUNCTION("""COMPUTED_VALUE"""),36500036)</f>
        <v/>
      </c>
      <c r="H135" s="27" t="n"/>
    </row>
    <row r="136" ht="17.25" customHeight="1" s="322">
      <c r="A136" s="27" t="n"/>
      <c r="B136" s="506">
        <f>IFERROR(__xludf.DUMMYFUNCTION("""COMPUTED_VALUE"""),46024.6666666666)</f>
        <v/>
      </c>
      <c r="C136" s="141">
        <f>IFERROR(__xludf.DUMMYFUNCTION("""COMPUTED_VALUE"""),87.4)</f>
        <v/>
      </c>
      <c r="D136" s="141">
        <f>IFERROR(__xludf.DUMMYFUNCTION("""COMPUTED_VALUE"""),87.41)</f>
        <v/>
      </c>
      <c r="E136" s="141">
        <f>IFERROR(__xludf.DUMMYFUNCTION("""COMPUTED_VALUE"""),87.02)</f>
        <v/>
      </c>
      <c r="F136" s="141">
        <f>IFERROR(__xludf.DUMMYFUNCTION("""COMPUTED_VALUE"""),87.03)</f>
        <v/>
      </c>
      <c r="G136" s="143">
        <f>IFERROR(__xludf.DUMMYFUNCTION("""COMPUTED_VALUE"""),40731251)</f>
        <v/>
      </c>
      <c r="H136" s="27" t="n"/>
    </row>
    <row r="137" ht="17.25" customHeight="1" s="322">
      <c r="A137" s="27" t="n"/>
      <c r="B137" s="506">
        <f>IFERROR(__xludf.DUMMYFUNCTION("""COMPUTED_VALUE"""),46027.6666666666)</f>
        <v/>
      </c>
      <c r="C137" s="141">
        <f>IFERROR(__xludf.DUMMYFUNCTION("""COMPUTED_VALUE"""),87.18)</f>
        <v/>
      </c>
      <c r="D137" s="141">
        <f>IFERROR(__xludf.DUMMYFUNCTION("""COMPUTED_VALUE"""),87.52)</f>
        <v/>
      </c>
      <c r="E137" s="141">
        <f>IFERROR(__xludf.DUMMYFUNCTION("""COMPUTED_VALUE"""),87.11)</f>
        <v/>
      </c>
      <c r="F137" s="141">
        <f>IFERROR(__xludf.DUMMYFUNCTION("""COMPUTED_VALUE"""),87.46)</f>
        <v/>
      </c>
      <c r="G137" s="143">
        <f>IFERROR(__xludf.DUMMYFUNCTION("""COMPUTED_VALUE"""),30178030)</f>
        <v/>
      </c>
      <c r="H137" s="27" t="n"/>
    </row>
    <row r="138" ht="17.25" customHeight="1" s="322">
      <c r="A138" s="27" t="n"/>
      <c r="B138" s="506">
        <f>IFERROR(__xludf.DUMMYFUNCTION("""COMPUTED_VALUE"""),46028.6666666666)</f>
        <v/>
      </c>
      <c r="C138" s="141">
        <f>IFERROR(__xludf.DUMMYFUNCTION("""COMPUTED_VALUE"""),87.15)</f>
        <v/>
      </c>
      <c r="D138" s="141">
        <f>IFERROR(__xludf.DUMMYFUNCTION("""COMPUTED_VALUE"""),87.34)</f>
        <v/>
      </c>
      <c r="E138" s="141">
        <f>IFERROR(__xludf.DUMMYFUNCTION("""COMPUTED_VALUE"""),86.9)</f>
        <v/>
      </c>
      <c r="F138" s="141">
        <f>IFERROR(__xludf.DUMMYFUNCTION("""COMPUTED_VALUE"""),87.28)</f>
        <v/>
      </c>
      <c r="G138" s="143">
        <f>IFERROR(__xludf.DUMMYFUNCTION("""COMPUTED_VALUE"""),39015179)</f>
        <v/>
      </c>
      <c r="H138" s="27" t="n"/>
    </row>
    <row r="139" ht="17.25" customHeight="1" s="322">
      <c r="A139" s="27" t="n"/>
      <c r="B139" s="506">
        <f>IFERROR(__xludf.DUMMYFUNCTION("""COMPUTED_VALUE"""),46029.6666666666)</f>
        <v/>
      </c>
      <c r="C139" s="141">
        <f>IFERROR(__xludf.DUMMYFUNCTION("""COMPUTED_VALUE"""),87.84)</f>
        <v/>
      </c>
      <c r="D139" s="141">
        <f>IFERROR(__xludf.DUMMYFUNCTION("""COMPUTED_VALUE"""),88.01)</f>
        <v/>
      </c>
      <c r="E139" s="141">
        <f>IFERROR(__xludf.DUMMYFUNCTION("""COMPUTED_VALUE"""),87.48)</f>
        <v/>
      </c>
      <c r="F139" s="141">
        <f>IFERROR(__xludf.DUMMYFUNCTION("""COMPUTED_VALUE"""),87.79)</f>
        <v/>
      </c>
      <c r="G139" s="143">
        <f>IFERROR(__xludf.DUMMYFUNCTION("""COMPUTED_VALUE"""),39930912)</f>
        <v/>
      </c>
      <c r="H139" s="27" t="n"/>
    </row>
    <row r="140" ht="17.25" customHeight="1" s="322">
      <c r="A140" s="27" t="n"/>
      <c r="B140" s="506">
        <f>IFERROR(__xludf.DUMMYFUNCTION("""COMPUTED_VALUE"""),46030.6666666666)</f>
        <v/>
      </c>
      <c r="C140" s="141">
        <f>IFERROR(__xludf.DUMMYFUNCTION("""COMPUTED_VALUE"""),87.33)</f>
        <v/>
      </c>
      <c r="D140" s="141">
        <f>IFERROR(__xludf.DUMMYFUNCTION("""COMPUTED_VALUE"""),87.55)</f>
        <v/>
      </c>
      <c r="E140" s="141">
        <f>IFERROR(__xludf.DUMMYFUNCTION("""COMPUTED_VALUE"""),87.25)</f>
        <v/>
      </c>
      <c r="F140" s="141">
        <f>IFERROR(__xludf.DUMMYFUNCTION("""COMPUTED_VALUE"""),87.35)</f>
        <v/>
      </c>
      <c r="G140" s="143">
        <f>IFERROR(__xludf.DUMMYFUNCTION("""COMPUTED_VALUE"""),28204899)</f>
        <v/>
      </c>
      <c r="H140" s="27" t="n"/>
    </row>
    <row r="141" ht="17.25" customHeight="1" s="322">
      <c r="A141" s="27" t="n"/>
      <c r="B141" s="506">
        <f>IFERROR(__xludf.DUMMYFUNCTION("""COMPUTED_VALUE"""),46031.6666666666)</f>
        <v/>
      </c>
      <c r="C141" s="141">
        <f>IFERROR(__xludf.DUMMYFUNCTION("""COMPUTED_VALUE"""),87.3)</f>
        <v/>
      </c>
      <c r="D141" s="141">
        <f>IFERROR(__xludf.DUMMYFUNCTION("""COMPUTED_VALUE"""),88)</f>
        <v/>
      </c>
      <c r="E141" s="141">
        <f>IFERROR(__xludf.DUMMYFUNCTION("""COMPUTED_VALUE"""),87.12)</f>
        <v/>
      </c>
      <c r="F141" s="141">
        <f>IFERROR(__xludf.DUMMYFUNCTION("""COMPUTED_VALUE"""),87.93)</f>
        <v/>
      </c>
      <c r="G141" s="143">
        <f>IFERROR(__xludf.DUMMYFUNCTION("""COMPUTED_VALUE"""),57348793)</f>
        <v/>
      </c>
      <c r="H141" s="27" t="n"/>
    </row>
    <row r="142" ht="17.25" customHeight="1" s="322">
      <c r="A142" s="27" t="n"/>
      <c r="B142" s="506">
        <f>IFERROR(__xludf.DUMMYFUNCTION("""COMPUTED_VALUE"""),46034.6666666666)</f>
        <v/>
      </c>
      <c r="C142" s="141">
        <f>IFERROR(__xludf.DUMMYFUNCTION("""COMPUTED_VALUE"""),87.5)</f>
        <v/>
      </c>
      <c r="D142" s="141">
        <f>IFERROR(__xludf.DUMMYFUNCTION("""COMPUTED_VALUE"""),87.91)</f>
        <v/>
      </c>
      <c r="E142" s="141">
        <f>IFERROR(__xludf.DUMMYFUNCTION("""COMPUTED_VALUE"""),87.41)</f>
        <v/>
      </c>
      <c r="F142" s="141">
        <f>IFERROR(__xludf.DUMMYFUNCTION("""COMPUTED_VALUE"""),87.67)</f>
        <v/>
      </c>
      <c r="G142" s="143">
        <f>IFERROR(__xludf.DUMMYFUNCTION("""COMPUTED_VALUE"""),36103071)</f>
        <v/>
      </c>
      <c r="H142" s="27" t="n"/>
    </row>
    <row r="143" ht="17.25" customHeight="1" s="322">
      <c r="A143" s="27" t="n"/>
      <c r="B143" s="506">
        <f>IFERROR(__xludf.DUMMYFUNCTION("""COMPUTED_VALUE"""),46035.6666666666)</f>
        <v/>
      </c>
      <c r="C143" s="141">
        <f>IFERROR(__xludf.DUMMYFUNCTION("""COMPUTED_VALUE"""),87.88)</f>
        <v/>
      </c>
      <c r="D143" s="141">
        <f>IFERROR(__xludf.DUMMYFUNCTION("""COMPUTED_VALUE"""),87.91)</f>
        <v/>
      </c>
      <c r="E143" s="141">
        <f>IFERROR(__xludf.DUMMYFUNCTION("""COMPUTED_VALUE"""),87.54)</f>
        <v/>
      </c>
      <c r="F143" s="141">
        <f>IFERROR(__xludf.DUMMYFUNCTION("""COMPUTED_VALUE"""),87.82)</f>
        <v/>
      </c>
      <c r="G143" s="143">
        <f>IFERROR(__xludf.DUMMYFUNCTION("""COMPUTED_VALUE"""),30451400)</f>
        <v/>
      </c>
      <c r="H143" s="27" t="n"/>
    </row>
    <row r="144" ht="17.25" customHeight="1" s="322">
      <c r="A144" s="27" t="n"/>
      <c r="B144" s="506">
        <f>IFERROR(__xludf.DUMMYFUNCTION("""COMPUTED_VALUE"""),46036.6666666666)</f>
        <v/>
      </c>
      <c r="C144" s="141">
        <f>IFERROR(__xludf.DUMMYFUNCTION("""COMPUTED_VALUE"""),87.91)</f>
        <v/>
      </c>
      <c r="D144" s="141">
        <f>IFERROR(__xludf.DUMMYFUNCTION("""COMPUTED_VALUE"""),88.43)</f>
        <v/>
      </c>
      <c r="E144" s="141">
        <f>IFERROR(__xludf.DUMMYFUNCTION("""COMPUTED_VALUE"""),87.89)</f>
        <v/>
      </c>
      <c r="F144" s="141">
        <f>IFERROR(__xludf.DUMMYFUNCTION("""COMPUTED_VALUE"""),88.33)</f>
        <v/>
      </c>
      <c r="G144" s="143">
        <f>IFERROR(__xludf.DUMMYFUNCTION("""COMPUTED_VALUE"""),39233477)</f>
        <v/>
      </c>
      <c r="H144" s="27" t="n"/>
    </row>
    <row r="145" ht="17.25" customHeight="1" s="322">
      <c r="A145" s="27" t="n"/>
      <c r="B145" s="506">
        <f>IFERROR(__xludf.DUMMYFUNCTION("""COMPUTED_VALUE"""),46037.6666666666)</f>
        <v/>
      </c>
      <c r="C145" s="141">
        <f>IFERROR(__xludf.DUMMYFUNCTION("""COMPUTED_VALUE"""),88.64)</f>
        <v/>
      </c>
      <c r="D145" s="141">
        <f>IFERROR(__xludf.DUMMYFUNCTION("""COMPUTED_VALUE"""),88.66)</f>
        <v/>
      </c>
      <c r="E145" s="141">
        <f>IFERROR(__xludf.DUMMYFUNCTION("""COMPUTED_VALUE"""),88.31)</f>
        <v/>
      </c>
      <c r="F145" s="141">
        <f>IFERROR(__xludf.DUMMYFUNCTION("""COMPUTED_VALUE"""),88.31)</f>
        <v/>
      </c>
      <c r="G145" s="143">
        <f>IFERROR(__xludf.DUMMYFUNCTION("""COMPUTED_VALUE"""),37988942)</f>
        <v/>
      </c>
      <c r="H145" s="27" t="n"/>
    </row>
    <row r="146" ht="17.25" customHeight="1" s="322">
      <c r="A146" s="27" t="n"/>
      <c r="B146" s="506">
        <f>IFERROR(__xludf.DUMMYFUNCTION("""COMPUTED_VALUE"""),46038.6666666666)</f>
        <v/>
      </c>
      <c r="C146" s="141">
        <f>IFERROR(__xludf.DUMMYFUNCTION("""COMPUTED_VALUE"""),88.13)</f>
        <v/>
      </c>
      <c r="D146" s="141">
        <f>IFERROR(__xludf.DUMMYFUNCTION("""COMPUTED_VALUE"""),88.32)</f>
        <v/>
      </c>
      <c r="E146" s="141">
        <f>IFERROR(__xludf.DUMMYFUNCTION("""COMPUTED_VALUE"""),87.71)</f>
        <v/>
      </c>
      <c r="F146" s="141">
        <f>IFERROR(__xludf.DUMMYFUNCTION("""COMPUTED_VALUE"""),87.8)</f>
        <v/>
      </c>
      <c r="G146" s="143">
        <f>IFERROR(__xludf.DUMMYFUNCTION("""COMPUTED_VALUE"""),46382396)</f>
        <v/>
      </c>
      <c r="H146" s="27" t="n"/>
    </row>
    <row r="147" ht="17.25" customHeight="1" s="322">
      <c r="A147" s="27" t="n"/>
      <c r="B147" s="506">
        <f>IFERROR(__xludf.DUMMYFUNCTION("""COMPUTED_VALUE"""),46042.6666666666)</f>
        <v/>
      </c>
      <c r="C147" s="141">
        <f>IFERROR(__xludf.DUMMYFUNCTION("""COMPUTED_VALUE"""),86.63)</f>
        <v/>
      </c>
      <c r="D147" s="141">
        <f>IFERROR(__xludf.DUMMYFUNCTION("""COMPUTED_VALUE"""),87.03)</f>
        <v/>
      </c>
      <c r="E147" s="141">
        <f>IFERROR(__xludf.DUMMYFUNCTION("""COMPUTED_VALUE"""),86.54)</f>
        <v/>
      </c>
      <c r="F147" s="141">
        <f>IFERROR(__xludf.DUMMYFUNCTION("""COMPUTED_VALUE"""),86.65)</f>
        <v/>
      </c>
      <c r="G147" s="143">
        <f>IFERROR(__xludf.DUMMYFUNCTION("""COMPUTED_VALUE"""),66009536)</f>
        <v/>
      </c>
      <c r="H147" s="27" t="n"/>
    </row>
    <row r="148" ht="17.25" customHeight="1" s="322">
      <c r="A148" s="27" t="n"/>
      <c r="B148" s="506">
        <f>IFERROR(__xludf.DUMMYFUNCTION("""COMPUTED_VALUE"""),46043.6666666666)</f>
        <v/>
      </c>
      <c r="C148" s="141">
        <f>IFERROR(__xludf.DUMMYFUNCTION("""COMPUTED_VALUE"""),86.8)</f>
        <v/>
      </c>
      <c r="D148" s="141">
        <f>IFERROR(__xludf.DUMMYFUNCTION("""COMPUTED_VALUE"""),87.48)</f>
        <v/>
      </c>
      <c r="E148" s="141">
        <f>IFERROR(__xludf.DUMMYFUNCTION("""COMPUTED_VALUE"""),86.62)</f>
        <v/>
      </c>
      <c r="F148" s="141">
        <f>IFERROR(__xludf.DUMMYFUNCTION("""COMPUTED_VALUE"""),87.31)</f>
        <v/>
      </c>
      <c r="G148" s="143">
        <f>IFERROR(__xludf.DUMMYFUNCTION("""COMPUTED_VALUE"""),51220133)</f>
        <v/>
      </c>
      <c r="H148" s="27" t="n"/>
    </row>
    <row r="149" ht="17.25" customHeight="1" s="322">
      <c r="A149" s="27" t="n"/>
      <c r="B149" s="506">
        <f>IFERROR(__xludf.DUMMYFUNCTION("""COMPUTED_VALUE"""),46044.6666666666)</f>
        <v/>
      </c>
      <c r="C149" s="141">
        <f>IFERROR(__xludf.DUMMYFUNCTION("""COMPUTED_VALUE"""),87.27)</f>
        <v/>
      </c>
      <c r="D149" s="141">
        <f>IFERROR(__xludf.DUMMYFUNCTION("""COMPUTED_VALUE"""),87.76)</f>
        <v/>
      </c>
      <c r="E149" s="141">
        <f>IFERROR(__xludf.DUMMYFUNCTION("""COMPUTED_VALUE"""),87.14)</f>
        <v/>
      </c>
      <c r="F149" s="141">
        <f>IFERROR(__xludf.DUMMYFUNCTION("""COMPUTED_VALUE"""),87.69)</f>
        <v/>
      </c>
      <c r="G149" s="143">
        <f>IFERROR(__xludf.DUMMYFUNCTION("""COMPUTED_VALUE"""),42419291)</f>
        <v/>
      </c>
      <c r="H149" s="27" t="n"/>
    </row>
    <row r="150" ht="17.25" customHeight="1" s="322">
      <c r="A150" s="27" t="n"/>
      <c r="B150" s="506">
        <f>IFERROR(__xludf.DUMMYFUNCTION("""COMPUTED_VALUE"""),46045.6666666666)</f>
        <v/>
      </c>
      <c r="C150" s="141">
        <f>IFERROR(__xludf.DUMMYFUNCTION("""COMPUTED_VALUE"""),87.83)</f>
        <v/>
      </c>
      <c r="D150" s="141">
        <f>IFERROR(__xludf.DUMMYFUNCTION("""COMPUTED_VALUE"""),88.03)</f>
        <v/>
      </c>
      <c r="E150" s="141">
        <f>IFERROR(__xludf.DUMMYFUNCTION("""COMPUTED_VALUE"""),87.5)</f>
        <v/>
      </c>
      <c r="F150" s="141">
        <f>IFERROR(__xludf.DUMMYFUNCTION("""COMPUTED_VALUE"""),87.93)</f>
        <v/>
      </c>
      <c r="G150" s="143">
        <f>IFERROR(__xludf.DUMMYFUNCTION("""COMPUTED_VALUE"""),35968799)</f>
        <v/>
      </c>
      <c r="H150" s="27" t="n"/>
    </row>
    <row r="151" ht="17.25" customHeight="1" s="322">
      <c r="A151" s="27" t="n"/>
      <c r="B151" s="506">
        <f>IFERROR(__xludf.DUMMYFUNCTION("""COMPUTED_VALUE"""),46048.6666666666)</f>
        <v/>
      </c>
      <c r="C151" s="141">
        <f>IFERROR(__xludf.DUMMYFUNCTION("""COMPUTED_VALUE"""),88.4)</f>
        <v/>
      </c>
      <c r="D151" s="141">
        <f>IFERROR(__xludf.DUMMYFUNCTION("""COMPUTED_VALUE"""),88.49)</f>
        <v/>
      </c>
      <c r="E151" s="141">
        <f>IFERROR(__xludf.DUMMYFUNCTION("""COMPUTED_VALUE"""),88.2)</f>
        <v/>
      </c>
      <c r="F151" s="141">
        <f>IFERROR(__xludf.DUMMYFUNCTION("""COMPUTED_VALUE"""),88.35)</f>
        <v/>
      </c>
      <c r="G151" s="143">
        <f>IFERROR(__xludf.DUMMYFUNCTION("""COMPUTED_VALUE"""),38882362)</f>
        <v/>
      </c>
      <c r="H151" s="27" t="n"/>
    </row>
    <row r="152" ht="17.25" customHeight="1" s="322">
      <c r="A152" s="27" t="n"/>
      <c r="B152" s="506">
        <f>IFERROR(__xludf.DUMMYFUNCTION("""COMPUTED_VALUE"""),46049.6666666666)</f>
        <v/>
      </c>
      <c r="C152" s="141">
        <f>IFERROR(__xludf.DUMMYFUNCTION("""COMPUTED_VALUE"""),88.11)</f>
        <v/>
      </c>
      <c r="D152" s="141">
        <f>IFERROR(__xludf.DUMMYFUNCTION("""COMPUTED_VALUE"""),88.25)</f>
        <v/>
      </c>
      <c r="E152" s="141">
        <f>IFERROR(__xludf.DUMMYFUNCTION("""COMPUTED_VALUE"""),87.68)</f>
        <v/>
      </c>
      <c r="F152" s="141">
        <f>IFERROR(__xludf.DUMMYFUNCTION("""COMPUTED_VALUE"""),87.8)</f>
        <v/>
      </c>
      <c r="G152" s="143">
        <f>IFERROR(__xludf.DUMMYFUNCTION("""COMPUTED_VALUE"""),35180128)</f>
        <v/>
      </c>
      <c r="H152" s="27" t="n"/>
    </row>
    <row r="153" ht="17.25" customHeight="1" s="322">
      <c r="A153" s="27" t="n"/>
      <c r="B153" s="506">
        <f>IFERROR(__xludf.DUMMYFUNCTION("""COMPUTED_VALUE"""),46050.6666666666)</f>
        <v/>
      </c>
      <c r="C153" s="141">
        <f>IFERROR(__xludf.DUMMYFUNCTION("""COMPUTED_VALUE"""),87.51)</f>
        <v/>
      </c>
      <c r="D153" s="141">
        <f>IFERROR(__xludf.DUMMYFUNCTION("""COMPUTED_VALUE"""),87.7)</f>
        <v/>
      </c>
      <c r="E153" s="141">
        <f>IFERROR(__xludf.DUMMYFUNCTION("""COMPUTED_VALUE"""),87.29)</f>
        <v/>
      </c>
      <c r="F153" s="141">
        <f>IFERROR(__xludf.DUMMYFUNCTION("""COMPUTED_VALUE"""),87.6)</f>
        <v/>
      </c>
      <c r="G153" s="143">
        <f>IFERROR(__xludf.DUMMYFUNCTION("""COMPUTED_VALUE"""),38750296)</f>
        <v/>
      </c>
      <c r="H153" s="27" t="n"/>
    </row>
    <row r="154" ht="17.25" customHeight="1" s="322">
      <c r="A154" s="27" t="n"/>
      <c r="B154" s="506">
        <f>IFERROR(__xludf.DUMMYFUNCTION("""COMPUTED_VALUE"""),46051.6666666666)</f>
        <v/>
      </c>
      <c r="C154" s="141">
        <f>IFERROR(__xludf.DUMMYFUNCTION("""COMPUTED_VALUE"""),87.15)</f>
        <v/>
      </c>
      <c r="D154" s="141">
        <f>IFERROR(__xludf.DUMMYFUNCTION("""COMPUTED_VALUE"""),87.74)</f>
        <v/>
      </c>
      <c r="E154" s="141">
        <f>IFERROR(__xludf.DUMMYFUNCTION("""COMPUTED_VALUE"""),87.08)</f>
        <v/>
      </c>
      <c r="F154" s="141">
        <f>IFERROR(__xludf.DUMMYFUNCTION("""COMPUTED_VALUE"""),87.62)</f>
        <v/>
      </c>
      <c r="G154" s="143">
        <f>IFERROR(__xludf.DUMMYFUNCTION("""COMPUTED_VALUE"""),43854982)</f>
        <v/>
      </c>
      <c r="H154" s="27" t="n"/>
    </row>
    <row r="155" ht="17.25" customHeight="1" s="322">
      <c r="A155" s="27" t="n"/>
      <c r="B155" s="506">
        <f>IFERROR(__xludf.DUMMYFUNCTION("""COMPUTED_VALUE"""),46052.6666666666)</f>
        <v/>
      </c>
      <c r="C155" s="141">
        <f>IFERROR(__xludf.DUMMYFUNCTION("""COMPUTED_VALUE"""),87.38)</f>
        <v/>
      </c>
      <c r="D155" s="141">
        <f>IFERROR(__xludf.DUMMYFUNCTION("""COMPUTED_VALUE"""),87.56)</f>
        <v/>
      </c>
      <c r="E155" s="141">
        <f>IFERROR(__xludf.DUMMYFUNCTION("""COMPUTED_VALUE"""),87.13)</f>
        <v/>
      </c>
      <c r="F155" s="141">
        <f>IFERROR(__xludf.DUMMYFUNCTION("""COMPUTED_VALUE"""),87.13)</f>
        <v/>
      </c>
      <c r="G155" s="143">
        <f>IFERROR(__xludf.DUMMYFUNCTION("""COMPUTED_VALUE"""),45832193)</f>
        <v/>
      </c>
      <c r="H155" s="27" t="n"/>
    </row>
    <row r="156" ht="17.25" customHeight="1" s="322">
      <c r="A156" s="27" t="n"/>
      <c r="B156" s="506">
        <f>IFERROR(__xludf.DUMMYFUNCTION("""COMPUTED_VALUE"""),46055.6666666666)</f>
        <v/>
      </c>
      <c r="C156" s="141">
        <f>IFERROR(__xludf.DUMMYFUNCTION("""COMPUTED_VALUE"""),87.02)</f>
        <v/>
      </c>
      <c r="D156" s="141">
        <f>IFERROR(__xludf.DUMMYFUNCTION("""COMPUTED_VALUE"""),87.06)</f>
        <v/>
      </c>
      <c r="E156" s="141">
        <f>IFERROR(__xludf.DUMMYFUNCTION("""COMPUTED_VALUE"""),86.55)</f>
        <v/>
      </c>
      <c r="F156" s="141">
        <f>IFERROR(__xludf.DUMMYFUNCTION("""COMPUTED_VALUE"""),86.55)</f>
        <v/>
      </c>
      <c r="G156" s="143">
        <f>IFERROR(__xludf.DUMMYFUNCTION("""COMPUTED_VALUE"""),38171395)</f>
        <v/>
      </c>
      <c r="H156" s="27" t="n"/>
    </row>
    <row r="157" ht="17.25" customHeight="1" s="322">
      <c r="A157" s="27" t="n"/>
      <c r="B157" s="506">
        <f>IFERROR(__xludf.DUMMYFUNCTION("""COMPUTED_VALUE"""),46056.6666666666)</f>
        <v/>
      </c>
      <c r="C157" s="141">
        <f>IFERROR(__xludf.DUMMYFUNCTION("""COMPUTED_VALUE"""),86.49)</f>
        <v/>
      </c>
      <c r="D157" s="141">
        <f>IFERROR(__xludf.DUMMYFUNCTION("""COMPUTED_VALUE"""),86.78)</f>
        <v/>
      </c>
      <c r="E157" s="141">
        <f>IFERROR(__xludf.DUMMYFUNCTION("""COMPUTED_VALUE"""),86.43)</f>
        <v/>
      </c>
      <c r="F157" s="141">
        <f>IFERROR(__xludf.DUMMYFUNCTION("""COMPUTED_VALUE"""),86.76)</f>
        <v/>
      </c>
      <c r="G157" s="143">
        <f>IFERROR(__xludf.DUMMYFUNCTION("""COMPUTED_VALUE"""),27438196)</f>
        <v/>
      </c>
      <c r="H157" s="27" t="n"/>
    </row>
    <row r="158" ht="17.25" customHeight="1" s="322">
      <c r="A158" s="27" t="n"/>
      <c r="B158" s="506">
        <f>IFERROR(__xludf.DUMMYFUNCTION("""COMPUTED_VALUE"""),46057.6666666666)</f>
        <v/>
      </c>
      <c r="C158" s="141">
        <f>IFERROR(__xludf.DUMMYFUNCTION("""COMPUTED_VALUE"""),86.63)</f>
        <v/>
      </c>
      <c r="D158" s="141">
        <f>IFERROR(__xludf.DUMMYFUNCTION("""COMPUTED_VALUE"""),86.78)</f>
        <v/>
      </c>
      <c r="E158" s="141">
        <f>IFERROR(__xludf.DUMMYFUNCTION("""COMPUTED_VALUE"""),86.46)</f>
        <v/>
      </c>
      <c r="F158" s="141">
        <f>IFERROR(__xludf.DUMMYFUNCTION("""COMPUTED_VALUE"""),86.54)</f>
        <v/>
      </c>
      <c r="G158" s="143">
        <f>IFERROR(__xludf.DUMMYFUNCTION("""COMPUTED_VALUE"""),37872880)</f>
        <v/>
      </c>
      <c r="H158" s="27" t="n"/>
    </row>
    <row r="159" ht="17.25" customHeight="1" s="322">
      <c r="A159" s="27" t="n"/>
      <c r="B159" s="506">
        <f>IFERROR(__xludf.DUMMYFUNCTION("""COMPUTED_VALUE"""),46058.6666666666)</f>
        <v/>
      </c>
      <c r="C159" s="141">
        <f>IFERROR(__xludf.DUMMYFUNCTION("""COMPUTED_VALUE"""),86.93)</f>
        <v/>
      </c>
      <c r="D159" s="141">
        <f>IFERROR(__xludf.DUMMYFUNCTION("""COMPUTED_VALUE"""),87.48)</f>
        <v/>
      </c>
      <c r="E159" s="141">
        <f>IFERROR(__xludf.DUMMYFUNCTION("""COMPUTED_VALUE"""),86.75)</f>
        <v/>
      </c>
      <c r="F159" s="141">
        <f>IFERROR(__xludf.DUMMYFUNCTION("""COMPUTED_VALUE"""),87.48)</f>
        <v/>
      </c>
      <c r="G159" s="143">
        <f>IFERROR(__xludf.DUMMYFUNCTION("""COMPUTED_VALUE"""),50268911)</f>
        <v/>
      </c>
      <c r="H159" s="27" t="n"/>
    </row>
    <row r="160" ht="17.25" customHeight="1" s="322">
      <c r="A160" s="27" t="n"/>
      <c r="B160" s="506">
        <f>IFERROR(__xludf.DUMMYFUNCTION("""COMPUTED_VALUE"""),46059.6666666666)</f>
        <v/>
      </c>
      <c r="C160" s="141">
        <f>IFERROR(__xludf.DUMMYFUNCTION("""COMPUTED_VALUE"""),87.45)</f>
        <v/>
      </c>
      <c r="D160" s="141">
        <f>IFERROR(__xludf.DUMMYFUNCTION("""COMPUTED_VALUE"""),87.54)</f>
        <v/>
      </c>
      <c r="E160" s="141">
        <f>IFERROR(__xludf.DUMMYFUNCTION("""COMPUTED_VALUE"""),87.2)</f>
        <v/>
      </c>
      <c r="F160" s="141">
        <f>IFERROR(__xludf.DUMMYFUNCTION("""COMPUTED_VALUE"""),87.54)</f>
        <v/>
      </c>
      <c r="G160" s="143">
        <f>IFERROR(__xludf.DUMMYFUNCTION("""COMPUTED_VALUE"""),33461764)</f>
        <v/>
      </c>
      <c r="H160" s="27" t="n"/>
    </row>
    <row r="161" ht="17.25" customHeight="1" s="322">
      <c r="A161" s="27" t="n"/>
      <c r="B161" s="506">
        <f>IFERROR(__xludf.DUMMYFUNCTION("""COMPUTED_VALUE"""),46062.6666666666)</f>
        <v/>
      </c>
      <c r="C161" s="141">
        <f>IFERROR(__xludf.DUMMYFUNCTION("""COMPUTED_VALUE"""),87.2)</f>
        <v/>
      </c>
      <c r="D161" s="141">
        <f>IFERROR(__xludf.DUMMYFUNCTION("""COMPUTED_VALUE"""),87.58)</f>
        <v/>
      </c>
      <c r="E161" s="141">
        <f>IFERROR(__xludf.DUMMYFUNCTION("""COMPUTED_VALUE"""),87.03)</f>
        <v/>
      </c>
      <c r="F161" s="141">
        <f>IFERROR(__xludf.DUMMYFUNCTION("""COMPUTED_VALUE"""),87.52)</f>
        <v/>
      </c>
      <c r="G161" s="143">
        <f>IFERROR(__xludf.DUMMYFUNCTION("""COMPUTED_VALUE"""),24708880)</f>
        <v/>
      </c>
      <c r="H161" s="27" t="n"/>
    </row>
    <row r="162" ht="17.25" customHeight="1" s="322">
      <c r="A162" s="27" t="n"/>
      <c r="B162" s="506">
        <f>IFERROR(__xludf.DUMMYFUNCTION("""COMPUTED_VALUE"""),46063.6666666666)</f>
        <v/>
      </c>
      <c r="C162" s="141">
        <f>IFERROR(__xludf.DUMMYFUNCTION("""COMPUTED_VALUE"""),88.24)</f>
        <v/>
      </c>
      <c r="D162" s="141">
        <f>IFERROR(__xludf.DUMMYFUNCTION("""COMPUTED_VALUE"""),88.53)</f>
        <v/>
      </c>
      <c r="E162" s="141">
        <f>IFERROR(__xludf.DUMMYFUNCTION("""COMPUTED_VALUE"""),88.22)</f>
        <v/>
      </c>
      <c r="F162" s="141">
        <f>IFERROR(__xludf.DUMMYFUNCTION("""COMPUTED_VALUE"""),88.53)</f>
        <v/>
      </c>
      <c r="G162" s="143">
        <f>IFERROR(__xludf.DUMMYFUNCTION("""COMPUTED_VALUE"""),37253715)</f>
        <v/>
      </c>
      <c r="H162" s="27" t="n"/>
    </row>
    <row r="163" ht="17.25" customHeight="1" s="322">
      <c r="A163" s="27" t="n"/>
      <c r="B163" s="506">
        <f>IFERROR(__xludf.DUMMYFUNCTION("""COMPUTED_VALUE"""),46064.6666666666)</f>
        <v/>
      </c>
      <c r="C163" s="141">
        <f>IFERROR(__xludf.DUMMYFUNCTION("""COMPUTED_VALUE"""),88.04)</f>
        <v/>
      </c>
      <c r="D163" s="141">
        <f>IFERROR(__xludf.DUMMYFUNCTION("""COMPUTED_VALUE"""),88.48)</f>
        <v/>
      </c>
      <c r="E163" s="141">
        <f>IFERROR(__xludf.DUMMYFUNCTION("""COMPUTED_VALUE"""),87.94)</f>
        <v/>
      </c>
      <c r="F163" s="141">
        <f>IFERROR(__xludf.DUMMYFUNCTION("""COMPUTED_VALUE"""),88.06)</f>
        <v/>
      </c>
      <c r="G163" s="143">
        <f>IFERROR(__xludf.DUMMYFUNCTION("""COMPUTED_VALUE"""),37014010)</f>
        <v/>
      </c>
      <c r="H163" s="27" t="n"/>
    </row>
    <row r="164" ht="17.25" customHeight="1" s="322">
      <c r="A164" s="27" t="n"/>
      <c r="B164" s="506">
        <f>IFERROR(__xludf.DUMMYFUNCTION("""COMPUTED_VALUE"""),46065.6666666666)</f>
        <v/>
      </c>
      <c r="C164" s="141">
        <f>IFERROR(__xludf.DUMMYFUNCTION("""COMPUTED_VALUE"""),88.36)</f>
        <v/>
      </c>
      <c r="D164" s="141">
        <f>IFERROR(__xludf.DUMMYFUNCTION("""COMPUTED_VALUE"""),89.28)</f>
        <v/>
      </c>
      <c r="E164" s="141">
        <f>IFERROR(__xludf.DUMMYFUNCTION("""COMPUTED_VALUE"""),88.35)</f>
        <v/>
      </c>
      <c r="F164" s="141">
        <f>IFERROR(__xludf.DUMMYFUNCTION("""COMPUTED_VALUE"""),89.23)</f>
        <v/>
      </c>
      <c r="G164" s="143">
        <f>IFERROR(__xludf.DUMMYFUNCTION("""COMPUTED_VALUE"""),48454859)</f>
        <v/>
      </c>
      <c r="H164" s="27" t="n"/>
    </row>
    <row r="165" ht="17.25" customHeight="1" s="322">
      <c r="A165" s="27" t="n"/>
      <c r="B165" s="506">
        <f>IFERROR(__xludf.DUMMYFUNCTION("""COMPUTED_VALUE"""),46066.6666666666)</f>
        <v/>
      </c>
      <c r="C165" s="141">
        <f>IFERROR(__xludf.DUMMYFUNCTION("""COMPUTED_VALUE"""),89.63)</f>
        <v/>
      </c>
      <c r="D165" s="141">
        <f>IFERROR(__xludf.DUMMYFUNCTION("""COMPUTED_VALUE"""),89.81)</f>
        <v/>
      </c>
      <c r="E165" s="141">
        <f>IFERROR(__xludf.DUMMYFUNCTION("""COMPUTED_VALUE"""),89.52)</f>
        <v/>
      </c>
      <c r="F165" s="141">
        <f>IFERROR(__xludf.DUMMYFUNCTION("""COMPUTED_VALUE"""),89.72)</f>
        <v/>
      </c>
      <c r="G165" s="143">
        <f>IFERROR(__xludf.DUMMYFUNCTION("""COMPUTED_VALUE"""),56785154)</f>
        <v/>
      </c>
      <c r="H165" s="27" t="n"/>
    </row>
    <row r="166" ht="17.25" customHeight="1" s="322">
      <c r="A166" s="27" t="n"/>
      <c r="B166" s="506">
        <f>IFERROR(__xludf.DUMMYFUNCTION("""COMPUTED_VALUE"""),46070.6666666666)</f>
        <v/>
      </c>
      <c r="C166" s="141">
        <f>IFERROR(__xludf.DUMMYFUNCTION("""COMPUTED_VALUE"""),89.93)</f>
        <v/>
      </c>
      <c r="D166" s="141">
        <f>IFERROR(__xludf.DUMMYFUNCTION("""COMPUTED_VALUE"""),90.12)</f>
        <v/>
      </c>
      <c r="E166" s="141">
        <f>IFERROR(__xludf.DUMMYFUNCTION("""COMPUTED_VALUE"""),89.76)</f>
        <v/>
      </c>
      <c r="F166" s="141">
        <f>IFERROR(__xludf.DUMMYFUNCTION("""COMPUTED_VALUE"""),89.87)</f>
        <v/>
      </c>
      <c r="G166" s="143">
        <f>IFERROR(__xludf.DUMMYFUNCTION("""COMPUTED_VALUE"""),32356748)</f>
        <v/>
      </c>
      <c r="H166" s="27" t="n"/>
    </row>
    <row r="167" ht="17.25" customHeight="1" s="322">
      <c r="A167" s="27" t="n"/>
      <c r="B167" s="506">
        <f>IFERROR(__xludf.DUMMYFUNCTION("""COMPUTED_VALUE"""),46071.6666666666)</f>
        <v/>
      </c>
      <c r="C167" s="141">
        <f>IFERROR(__xludf.DUMMYFUNCTION("""COMPUTED_VALUE"""),89.69)</f>
        <v/>
      </c>
      <c r="D167" s="141">
        <f>IFERROR(__xludf.DUMMYFUNCTION("""COMPUTED_VALUE"""),89.86)</f>
        <v/>
      </c>
      <c r="E167" s="141">
        <f>IFERROR(__xludf.DUMMYFUNCTION("""COMPUTED_VALUE"""),89.47)</f>
        <v/>
      </c>
      <c r="F167" s="141">
        <f>IFERROR(__xludf.DUMMYFUNCTION("""COMPUTED_VALUE"""),89.53)</f>
        <v/>
      </c>
      <c r="G167" s="143">
        <f>IFERROR(__xludf.DUMMYFUNCTION("""COMPUTED_VALUE"""),35415364)</f>
        <v/>
      </c>
      <c r="H167" s="27" t="n"/>
    </row>
    <row r="168" ht="17.25" customHeight="1" s="322">
      <c r="A168" s="27" t="n"/>
      <c r="B168" s="506">
        <f>IFERROR(__xludf.DUMMYFUNCTION("""COMPUTED_VALUE"""),46072.6666666666)</f>
        <v/>
      </c>
      <c r="C168" s="141">
        <f>IFERROR(__xludf.DUMMYFUNCTION("""COMPUTED_VALUE"""),89.4)</f>
        <v/>
      </c>
      <c r="D168" s="141">
        <f>IFERROR(__xludf.DUMMYFUNCTION("""COMPUTED_VALUE"""),89.72)</f>
        <v/>
      </c>
      <c r="E168" s="141">
        <f>IFERROR(__xludf.DUMMYFUNCTION("""COMPUTED_VALUE"""),89.37)</f>
        <v/>
      </c>
      <c r="F168" s="141">
        <f>IFERROR(__xludf.DUMMYFUNCTION("""COMPUTED_VALUE"""),89.62)</f>
        <v/>
      </c>
      <c r="G168" s="143">
        <f>IFERROR(__xludf.DUMMYFUNCTION("""COMPUTED_VALUE"""),28658625)</f>
        <v/>
      </c>
      <c r="H168" s="27" t="n"/>
    </row>
    <row r="169" ht="17.25" customHeight="1" s="322">
      <c r="A169" s="27" t="n"/>
      <c r="B169" s="506">
        <f>IFERROR(__xludf.DUMMYFUNCTION("""COMPUTED_VALUE"""),46073.6666666666)</f>
        <v/>
      </c>
      <c r="C169" s="141">
        <f>IFERROR(__xludf.DUMMYFUNCTION("""COMPUTED_VALUE"""),89.7)</f>
        <v/>
      </c>
      <c r="D169" s="141">
        <f>IFERROR(__xludf.DUMMYFUNCTION("""COMPUTED_VALUE"""),89.74)</f>
        <v/>
      </c>
      <c r="E169" s="141">
        <f>IFERROR(__xludf.DUMMYFUNCTION("""COMPUTED_VALUE"""),88.93)</f>
        <v/>
      </c>
      <c r="F169" s="141">
        <f>IFERROR(__xludf.DUMMYFUNCTION("""COMPUTED_VALUE"""),89.41)</f>
        <v/>
      </c>
      <c r="G169" s="143">
        <f>IFERROR(__xludf.DUMMYFUNCTION("""COMPUTED_VALUE"""),49610815)</f>
        <v/>
      </c>
      <c r="H169" s="27" t="n"/>
    </row>
    <row r="170" ht="17.25" customHeight="1" s="322">
      <c r="A170" s="27" t="n"/>
      <c r="B170" s="506">
        <f>IFERROR(__xludf.DUMMYFUNCTION("""COMPUTED_VALUE"""),46076.6666666666)</f>
        <v/>
      </c>
      <c r="C170" s="141">
        <f>IFERROR(__xludf.DUMMYFUNCTION("""COMPUTED_VALUE"""),89.55)</f>
        <v/>
      </c>
      <c r="D170" s="141">
        <f>IFERROR(__xludf.DUMMYFUNCTION("""COMPUTED_VALUE"""),90)</f>
        <v/>
      </c>
      <c r="E170" s="141">
        <f>IFERROR(__xludf.DUMMYFUNCTION("""COMPUTED_VALUE"""),89.53)</f>
        <v/>
      </c>
      <c r="F170" s="141">
        <f>IFERROR(__xludf.DUMMYFUNCTION("""COMPUTED_VALUE"""),89.74)</f>
        <v/>
      </c>
      <c r="G170" s="143">
        <f>IFERROR(__xludf.DUMMYFUNCTION("""COMPUTED_VALUE"""),33455436)</f>
        <v/>
      </c>
      <c r="H170" s="27" t="n"/>
    </row>
    <row r="171" ht="17.25" customHeight="1" s="322">
      <c r="A171" s="27" t="n"/>
      <c r="B171" s="506">
        <f>IFERROR(__xludf.DUMMYFUNCTION("""COMPUTED_VALUE"""),46077.6666666666)</f>
        <v/>
      </c>
      <c r="C171" s="141">
        <f>IFERROR(__xludf.DUMMYFUNCTION("""COMPUTED_VALUE"""),89.95)</f>
        <v/>
      </c>
      <c r="D171" s="141">
        <f>IFERROR(__xludf.DUMMYFUNCTION("""COMPUTED_VALUE"""),90.05)</f>
        <v/>
      </c>
      <c r="E171" s="141">
        <f>IFERROR(__xludf.DUMMYFUNCTION("""COMPUTED_VALUE"""),89.76)</f>
        <v/>
      </c>
      <c r="F171" s="141">
        <f>IFERROR(__xludf.DUMMYFUNCTION("""COMPUTED_VALUE"""),89.9)</f>
        <v/>
      </c>
      <c r="G171" s="143">
        <f>IFERROR(__xludf.DUMMYFUNCTION("""COMPUTED_VALUE"""),24773661)</f>
        <v/>
      </c>
      <c r="H171" s="27" t="n"/>
    </row>
    <row r="172" ht="17.25" customHeight="1" s="322">
      <c r="A172" s="27" t="n"/>
      <c r="B172" s="506">
        <f>IFERROR(__xludf.DUMMYFUNCTION("""COMPUTED_VALUE"""),46078.6666666666)</f>
        <v/>
      </c>
      <c r="C172" s="141">
        <f>IFERROR(__xludf.DUMMYFUNCTION("""COMPUTED_VALUE"""),89.71)</f>
        <v/>
      </c>
      <c r="D172" s="141">
        <f>IFERROR(__xludf.DUMMYFUNCTION("""COMPUTED_VALUE"""),90.08)</f>
        <v/>
      </c>
      <c r="E172" s="141">
        <f>IFERROR(__xludf.DUMMYFUNCTION("""COMPUTED_VALUE"""),89.71)</f>
        <v/>
      </c>
      <c r="F172" s="141">
        <f>IFERROR(__xludf.DUMMYFUNCTION("""COMPUTED_VALUE"""),89.91)</f>
        <v/>
      </c>
      <c r="G172" s="143">
        <f>IFERROR(__xludf.DUMMYFUNCTION("""COMPUTED_VALUE"""),22631379)</f>
        <v/>
      </c>
      <c r="H172" s="27" t="n"/>
    </row>
    <row r="173" ht="17.25" customHeight="1" s="322">
      <c r="A173" s="27" t="n"/>
      <c r="B173" s="506">
        <f>IFERROR(__xludf.DUMMYFUNCTION("""COMPUTED_VALUE"""),46079.6666666666)</f>
        <v/>
      </c>
      <c r="C173" s="141">
        <f>IFERROR(__xludf.DUMMYFUNCTION("""COMPUTED_VALUE"""),90.06)</f>
        <v/>
      </c>
      <c r="D173" s="141">
        <f>IFERROR(__xludf.DUMMYFUNCTION("""COMPUTED_VALUE"""),90.32)</f>
        <v/>
      </c>
      <c r="E173" s="141">
        <f>IFERROR(__xludf.DUMMYFUNCTION("""COMPUTED_VALUE"""),90.05)</f>
        <v/>
      </c>
      <c r="F173" s="141">
        <f>IFERROR(__xludf.DUMMYFUNCTION("""COMPUTED_VALUE"""),90.27)</f>
        <v/>
      </c>
      <c r="G173" s="143">
        <f>IFERROR(__xludf.DUMMYFUNCTION("""COMPUTED_VALUE"""),28850239)</f>
        <v/>
      </c>
      <c r="H173" s="27" t="n"/>
    </row>
    <row r="174" ht="17.25" customHeight="1" s="322">
      <c r="A174" s="27" t="n"/>
      <c r="B174" s="506">
        <f>IFERROR(__xludf.DUMMYFUNCTION("""COMPUTED_VALUE"""),46080.6666666666)</f>
        <v/>
      </c>
      <c r="C174" s="141">
        <f>IFERROR(__xludf.DUMMYFUNCTION("""COMPUTED_VALUE"""),90.69)</f>
        <v/>
      </c>
      <c r="D174" s="141">
        <f>IFERROR(__xludf.DUMMYFUNCTION("""COMPUTED_VALUE"""),90.86)</f>
        <v/>
      </c>
      <c r="E174" s="141">
        <f>IFERROR(__xludf.DUMMYFUNCTION("""COMPUTED_VALUE"""),90.55)</f>
        <v/>
      </c>
      <c r="F174" s="141">
        <f>IFERROR(__xludf.DUMMYFUNCTION("""COMPUTED_VALUE"""),90.82)</f>
        <v/>
      </c>
      <c r="G174" s="143">
        <f>IFERROR(__xludf.DUMMYFUNCTION("""COMPUTED_VALUE"""),49604252)</f>
        <v/>
      </c>
      <c r="H174" s="27" t="n"/>
    </row>
    <row r="175" ht="17.25" customHeight="1" s="322">
      <c r="A175" s="27" t="n"/>
      <c r="B175" s="506">
        <f>IFERROR(__xludf.DUMMYFUNCTION("""COMPUTED_VALUE"""),46083.6666666666)</f>
        <v/>
      </c>
      <c r="C175" s="141">
        <f>IFERROR(__xludf.DUMMYFUNCTION("""COMPUTED_VALUE"""),89.98)</f>
        <v/>
      </c>
      <c r="D175" s="141">
        <f>IFERROR(__xludf.DUMMYFUNCTION("""COMPUTED_VALUE"""),89.99)</f>
        <v/>
      </c>
      <c r="E175" s="141">
        <f>IFERROR(__xludf.DUMMYFUNCTION("""COMPUTED_VALUE"""),89.36)</f>
        <v/>
      </c>
      <c r="F175" s="141">
        <f>IFERROR(__xludf.DUMMYFUNCTION("""COMPUTED_VALUE"""),89.61)</f>
        <v/>
      </c>
      <c r="G175" s="143">
        <f>IFERROR(__xludf.DUMMYFUNCTION("""COMPUTED_VALUE"""),55273882)</f>
        <v/>
      </c>
      <c r="H175" s="27" t="n"/>
    </row>
    <row r="176" ht="17.25" customHeight="1" s="322">
      <c r="A176" s="27" t="n"/>
      <c r="B176" s="506">
        <f>IFERROR(__xludf.DUMMYFUNCTION("""COMPUTED_VALUE"""),46084.6666666666)</f>
        <v/>
      </c>
      <c r="C176" s="141">
        <f>IFERROR(__xludf.DUMMYFUNCTION("""COMPUTED_VALUE"""),88.98)</f>
        <v/>
      </c>
      <c r="D176" s="141">
        <f>IFERROR(__xludf.DUMMYFUNCTION("""COMPUTED_VALUE"""),89.67)</f>
        <v/>
      </c>
      <c r="E176" s="141">
        <f>IFERROR(__xludf.DUMMYFUNCTION("""COMPUTED_VALUE"""),88.94)</f>
        <v/>
      </c>
      <c r="F176" s="141">
        <f>IFERROR(__xludf.DUMMYFUNCTION("""COMPUTED_VALUE"""),89.43)</f>
        <v/>
      </c>
      <c r="G176" s="143">
        <f>IFERROR(__xludf.DUMMYFUNCTION("""COMPUTED_VALUE"""),51675009)</f>
        <v/>
      </c>
      <c r="H176" s="27" t="n"/>
    </row>
    <row r="177" ht="17.25" customHeight="1" s="322">
      <c r="A177" s="27" t="n"/>
      <c r="B177" s="506">
        <f>IFERROR(__xludf.DUMMYFUNCTION("""COMPUTED_VALUE"""),46085.6666666666)</f>
        <v/>
      </c>
      <c r="C177" s="141">
        <f>IFERROR(__xludf.DUMMYFUNCTION("""COMPUTED_VALUE"""),89.27)</f>
        <v/>
      </c>
      <c r="D177" s="141">
        <f>IFERROR(__xludf.DUMMYFUNCTION("""COMPUTED_VALUE"""),89.44)</f>
        <v/>
      </c>
      <c r="E177" s="141">
        <f>IFERROR(__xludf.DUMMYFUNCTION("""COMPUTED_VALUE"""),89.1)</f>
        <v/>
      </c>
      <c r="F177" s="141">
        <f>IFERROR(__xludf.DUMMYFUNCTION("""COMPUTED_VALUE"""),89.15)</f>
        <v/>
      </c>
      <c r="G177" s="143">
        <f>IFERROR(__xludf.DUMMYFUNCTION("""COMPUTED_VALUE"""),46699232)</f>
        <v/>
      </c>
      <c r="H177" s="27" t="n"/>
    </row>
    <row r="178" ht="17.25" customHeight="1" s="322">
      <c r="A178" s="27" t="n"/>
      <c r="B178" s="506">
        <f>IFERROR(__xludf.DUMMYFUNCTION("""COMPUTED_VALUE"""),46086.6666666666)</f>
        <v/>
      </c>
      <c r="C178" s="141">
        <f>IFERROR(__xludf.DUMMYFUNCTION("""COMPUTED_VALUE"""),88.63)</f>
        <v/>
      </c>
      <c r="D178" s="141">
        <f>IFERROR(__xludf.DUMMYFUNCTION("""COMPUTED_VALUE"""),88.94)</f>
        <v/>
      </c>
      <c r="E178" s="141">
        <f>IFERROR(__xludf.DUMMYFUNCTION("""COMPUTED_VALUE"""),88.51)</f>
        <v/>
      </c>
      <c r="F178" s="141">
        <f>IFERROR(__xludf.DUMMYFUNCTION("""COMPUTED_VALUE"""),88.79)</f>
        <v/>
      </c>
      <c r="G178" s="143">
        <f>IFERROR(__xludf.DUMMYFUNCTION("""COMPUTED_VALUE"""),45139648)</f>
        <v/>
      </c>
      <c r="H178" s="27" t="n"/>
    </row>
    <row r="179" ht="17.25" customHeight="1" s="322">
      <c r="A179" s="27" t="n"/>
      <c r="B179" s="506">
        <f>IFERROR(__xludf.DUMMYFUNCTION("""COMPUTED_VALUE"""),46087.6666666666)</f>
        <v/>
      </c>
      <c r="C179" s="141">
        <f>IFERROR(__xludf.DUMMYFUNCTION("""COMPUTED_VALUE"""),88.32)</f>
        <v/>
      </c>
      <c r="D179" s="141">
        <f>IFERROR(__xludf.DUMMYFUNCTION("""COMPUTED_VALUE"""),88.94)</f>
        <v/>
      </c>
      <c r="E179" s="141">
        <f>IFERROR(__xludf.DUMMYFUNCTION("""COMPUTED_VALUE"""),88.02)</f>
        <v/>
      </c>
      <c r="F179" s="141">
        <f>IFERROR(__xludf.DUMMYFUNCTION("""COMPUTED_VALUE"""),88.46)</f>
        <v/>
      </c>
      <c r="G179" s="143">
        <f>IFERROR(__xludf.DUMMYFUNCTION("""COMPUTED_VALUE"""),57713717)</f>
        <v/>
      </c>
      <c r="H179" s="27" t="n"/>
    </row>
    <row r="180" ht="17.25" customHeight="1" s="322">
      <c r="A180" s="27" t="n"/>
      <c r="B180" s="506">
        <f>IFERROR(__xludf.DUMMYFUNCTION("""COMPUTED_VALUE"""),46090.6666666666)</f>
        <v/>
      </c>
      <c r="C180" s="141">
        <f>IFERROR(__xludf.DUMMYFUNCTION("""COMPUTED_VALUE"""),88.3)</f>
        <v/>
      </c>
      <c r="D180" s="141">
        <f>IFERROR(__xludf.DUMMYFUNCTION("""COMPUTED_VALUE"""),89.32)</f>
        <v/>
      </c>
      <c r="E180" s="141">
        <f>IFERROR(__xludf.DUMMYFUNCTION("""COMPUTED_VALUE"""),88.21)</f>
        <v/>
      </c>
      <c r="F180" s="141">
        <f>IFERROR(__xludf.DUMMYFUNCTION("""COMPUTED_VALUE"""),89.23)</f>
        <v/>
      </c>
      <c r="G180" s="143">
        <f>IFERROR(__xludf.DUMMYFUNCTION("""COMPUTED_VALUE"""),52271576)</f>
        <v/>
      </c>
      <c r="H180" s="27" t="n"/>
    </row>
    <row r="181" ht="17.25" customHeight="1" s="322">
      <c r="A181" s="27" t="n"/>
      <c r="B181" s="506">
        <f>IFERROR(__xludf.DUMMYFUNCTION("""COMPUTED_VALUE"""),46091.6666666666)</f>
        <v/>
      </c>
      <c r="C181" s="141">
        <f>IFERROR(__xludf.DUMMYFUNCTION("""COMPUTED_VALUE"""),88.8)</f>
        <v/>
      </c>
      <c r="D181" s="141">
        <f>IFERROR(__xludf.DUMMYFUNCTION("""COMPUTED_VALUE"""),88.95)</f>
        <v/>
      </c>
      <c r="E181" s="141">
        <f>IFERROR(__xludf.DUMMYFUNCTION("""COMPUTED_VALUE"""),88.27)</f>
        <v/>
      </c>
      <c r="F181" s="141">
        <f>IFERROR(__xludf.DUMMYFUNCTION("""COMPUTED_VALUE"""),88.28)</f>
        <v/>
      </c>
      <c r="G181" s="143">
        <f>IFERROR(__xludf.DUMMYFUNCTION("""COMPUTED_VALUE"""),48271585)</f>
        <v/>
      </c>
      <c r="H181" s="27" t="n"/>
    </row>
    <row r="182" ht="17.25" customHeight="1" s="322">
      <c r="A182" s="27" t="n"/>
      <c r="B182" s="506">
        <f>IFERROR(__xludf.DUMMYFUNCTION("""COMPUTED_VALUE"""),46092.6666666666)</f>
        <v/>
      </c>
      <c r="C182" s="141">
        <f>IFERROR(__xludf.DUMMYFUNCTION("""COMPUTED_VALUE"""),87.75)</f>
        <v/>
      </c>
      <c r="D182" s="141">
        <f>IFERROR(__xludf.DUMMYFUNCTION("""COMPUTED_VALUE"""),87.81)</f>
        <v/>
      </c>
      <c r="E182" s="141">
        <f>IFERROR(__xludf.DUMMYFUNCTION("""COMPUTED_VALUE"""),87.08)</f>
        <v/>
      </c>
      <c r="F182" s="141">
        <f>IFERROR(__xludf.DUMMYFUNCTION("""COMPUTED_VALUE"""),87.14)</f>
        <v/>
      </c>
      <c r="G182" s="143">
        <f>IFERROR(__xludf.DUMMYFUNCTION("""COMPUTED_VALUE"""),54679852)</f>
        <v/>
      </c>
      <c r="H182" s="27" t="n"/>
    </row>
    <row r="183" ht="17.25" customHeight="1" s="322">
      <c r="A183" s="27" t="n"/>
      <c r="B183" s="506">
        <f>IFERROR(__xludf.DUMMYFUNCTION("""COMPUTED_VALUE"""),46093.6666666666)</f>
        <v/>
      </c>
      <c r="C183" s="141">
        <f>IFERROR(__xludf.DUMMYFUNCTION("""COMPUTED_VALUE"""),86.91)</f>
        <v/>
      </c>
      <c r="D183" s="141">
        <f>IFERROR(__xludf.DUMMYFUNCTION("""COMPUTED_VALUE"""),87.25)</f>
        <v/>
      </c>
      <c r="E183" s="141">
        <f>IFERROR(__xludf.DUMMYFUNCTION("""COMPUTED_VALUE"""),86.78)</f>
        <v/>
      </c>
      <c r="F183" s="141">
        <f>IFERROR(__xludf.DUMMYFUNCTION("""COMPUTED_VALUE"""),86.97)</f>
        <v/>
      </c>
      <c r="G183" s="143">
        <f>IFERROR(__xludf.DUMMYFUNCTION("""COMPUTED_VALUE"""),48976970)</f>
        <v/>
      </c>
      <c r="H183" s="27" t="n"/>
    </row>
    <row r="184" ht="17.25" customHeight="1" s="322">
      <c r="A184" s="27" t="n"/>
      <c r="B184" s="506">
        <f>IFERROR(__xludf.DUMMYFUNCTION("""COMPUTED_VALUE"""),46094.6666666666)</f>
        <v/>
      </c>
      <c r="C184" s="141">
        <f>IFERROR(__xludf.DUMMYFUNCTION("""COMPUTED_VALUE"""),86.93)</f>
        <v/>
      </c>
      <c r="D184" s="141">
        <f>IFERROR(__xludf.DUMMYFUNCTION("""COMPUTED_VALUE"""),87.15)</f>
        <v/>
      </c>
      <c r="E184" s="141">
        <f>IFERROR(__xludf.DUMMYFUNCTION("""COMPUTED_VALUE"""),86.47)</f>
        <v/>
      </c>
      <c r="F184" s="141">
        <f>IFERROR(__xludf.DUMMYFUNCTION("""COMPUTED_VALUE"""),86.54)</f>
        <v/>
      </c>
      <c r="G184" s="143">
        <f>IFERROR(__xludf.DUMMYFUNCTION("""COMPUTED_VALUE"""),43459981)</f>
        <v/>
      </c>
      <c r="H184" s="27" t="n"/>
    </row>
    <row r="185" ht="17.25" customHeight="1" s="322">
      <c r="A185" s="27" t="n"/>
      <c r="B185" s="506">
        <f>IFERROR(__xludf.DUMMYFUNCTION("""COMPUTED_VALUE"""),46097.6666666666)</f>
        <v/>
      </c>
      <c r="C185" s="141">
        <f>IFERROR(__xludf.DUMMYFUNCTION("""COMPUTED_VALUE"""),87.18)</f>
        <v/>
      </c>
      <c r="D185" s="141">
        <f>IFERROR(__xludf.DUMMYFUNCTION("""COMPUTED_VALUE"""),87.34)</f>
        <v/>
      </c>
      <c r="E185" s="141">
        <f>IFERROR(__xludf.DUMMYFUNCTION("""COMPUTED_VALUE"""),86.96)</f>
        <v/>
      </c>
      <c r="F185" s="141">
        <f>IFERROR(__xludf.DUMMYFUNCTION("""COMPUTED_VALUE"""),87.21)</f>
        <v/>
      </c>
      <c r="G185" s="143">
        <f>IFERROR(__xludf.DUMMYFUNCTION("""COMPUTED_VALUE"""),37341485)</f>
        <v/>
      </c>
      <c r="H185" s="27" t="n"/>
    </row>
    <row r="186" ht="17.25" customHeight="1" s="322">
      <c r="A186" s="27" t="n"/>
      <c r="B186" s="506">
        <f>IFERROR(__xludf.DUMMYFUNCTION("""COMPUTED_VALUE"""),46098.6666666666)</f>
        <v/>
      </c>
      <c r="C186" s="141">
        <f>IFERROR(__xludf.DUMMYFUNCTION("""COMPUTED_VALUE"""),87.36)</f>
        <v/>
      </c>
      <c r="D186" s="141">
        <f>IFERROR(__xludf.DUMMYFUNCTION("""COMPUTED_VALUE"""),87.57)</f>
        <v/>
      </c>
      <c r="E186" s="141">
        <f>IFERROR(__xludf.DUMMYFUNCTION("""COMPUTED_VALUE"""),87.32)</f>
        <v/>
      </c>
      <c r="F186" s="141">
        <f>IFERROR(__xludf.DUMMYFUNCTION("""COMPUTED_VALUE"""),87.45)</f>
        <v/>
      </c>
      <c r="G186" s="143">
        <f>IFERROR(__xludf.DUMMYFUNCTION("""COMPUTED_VALUE"""),19578067)</f>
        <v/>
      </c>
      <c r="H186" s="27" t="n"/>
    </row>
    <row r="187" ht="17.25" customHeight="1" s="322">
      <c r="A187" s="27" t="n"/>
      <c r="B187" s="506">
        <f>IFERROR(__xludf.DUMMYFUNCTION("""COMPUTED_VALUE"""),46099.6666666666)</f>
        <v/>
      </c>
      <c r="C187" s="141">
        <f>IFERROR(__xludf.DUMMYFUNCTION("""COMPUTED_VALUE"""),87.36)</f>
        <v/>
      </c>
      <c r="D187" s="141">
        <f>IFERROR(__xludf.DUMMYFUNCTION("""COMPUTED_VALUE"""),87.48)</f>
        <v/>
      </c>
      <c r="E187" s="141">
        <f>IFERROR(__xludf.DUMMYFUNCTION("""COMPUTED_VALUE"""),86.93)</f>
        <v/>
      </c>
      <c r="F187" s="141">
        <f>IFERROR(__xludf.DUMMYFUNCTION("""COMPUTED_VALUE"""),86.96)</f>
        <v/>
      </c>
      <c r="G187" s="143">
        <f>IFERROR(__xludf.DUMMYFUNCTION("""COMPUTED_VALUE"""),37596579)</f>
        <v/>
      </c>
      <c r="H187" s="27" t="n"/>
    </row>
    <row r="188" ht="17.25" customHeight="1" s="322">
      <c r="A188" s="27" t="n"/>
      <c r="B188" s="506">
        <f>IFERROR(__xludf.DUMMYFUNCTION("""COMPUTED_VALUE"""),46100.6666666666)</f>
        <v/>
      </c>
      <c r="C188" s="141">
        <f>IFERROR(__xludf.DUMMYFUNCTION("""COMPUTED_VALUE"""),87.06)</f>
        <v/>
      </c>
      <c r="D188" s="141">
        <f>IFERROR(__xludf.DUMMYFUNCTION("""COMPUTED_VALUE"""),87.73)</f>
        <v/>
      </c>
      <c r="E188" s="141">
        <f>IFERROR(__xludf.DUMMYFUNCTION("""COMPUTED_VALUE"""),86.97)</f>
        <v/>
      </c>
      <c r="F188" s="141">
        <f>IFERROR(__xludf.DUMMYFUNCTION("""COMPUTED_VALUE"""),87.49)</f>
        <v/>
      </c>
      <c r="G188" s="143">
        <f>IFERROR(__xludf.DUMMYFUNCTION("""COMPUTED_VALUE"""),60307437)</f>
        <v/>
      </c>
      <c r="H188" s="27" t="n"/>
    </row>
    <row r="189" ht="17.25" customHeight="1" s="322">
      <c r="A189" s="27" t="n"/>
      <c r="B189" s="506">
        <f>IFERROR(__xludf.DUMMYFUNCTION("""COMPUTED_VALUE"""),46101.6666666666)</f>
        <v/>
      </c>
      <c r="C189" s="141">
        <f>IFERROR(__xludf.DUMMYFUNCTION("""COMPUTED_VALUE"""),86.81)</f>
        <v/>
      </c>
      <c r="D189" s="141">
        <f>IFERROR(__xludf.DUMMYFUNCTION("""COMPUTED_VALUE"""),86.86)</f>
        <v/>
      </c>
      <c r="E189" s="141">
        <f>IFERROR(__xludf.DUMMYFUNCTION("""COMPUTED_VALUE"""),85.76)</f>
        <v/>
      </c>
      <c r="F189" s="141">
        <f>IFERROR(__xludf.DUMMYFUNCTION("""COMPUTED_VALUE"""),85.83)</f>
        <v/>
      </c>
      <c r="G189" s="143">
        <f>IFERROR(__xludf.DUMMYFUNCTION("""COMPUTED_VALUE"""),78948516)</f>
        <v/>
      </c>
      <c r="H189" s="27" t="n"/>
    </row>
    <row r="190" ht="17.25" customHeight="1" s="322">
      <c r="A190" s="27" t="n"/>
      <c r="B190" s="506">
        <f>IFERROR(__xludf.DUMMYFUNCTION("""COMPUTED_VALUE"""),46104.6666666666)</f>
        <v/>
      </c>
      <c r="C190" s="141">
        <f>IFERROR(__xludf.DUMMYFUNCTION("""COMPUTED_VALUE"""),86.18)</f>
        <v/>
      </c>
      <c r="D190" s="141">
        <f>IFERROR(__xludf.DUMMYFUNCTION("""COMPUTED_VALUE"""),86.72)</f>
        <v/>
      </c>
      <c r="E190" s="141">
        <f>IFERROR(__xludf.DUMMYFUNCTION("""COMPUTED_VALUE"""),85.94)</f>
        <v/>
      </c>
      <c r="F190" s="141">
        <f>IFERROR(__xludf.DUMMYFUNCTION("""COMPUTED_VALUE"""),86.39)</f>
        <v/>
      </c>
      <c r="G190" s="143">
        <f>IFERROR(__xludf.DUMMYFUNCTION("""COMPUTED_VALUE"""),69686652)</f>
        <v/>
      </c>
      <c r="H190" s="27" t="n"/>
    </row>
    <row r="191" ht="17.25" customHeight="1" s="322">
      <c r="A191" s="27" t="n"/>
      <c r="B191" s="506">
        <f>IFERROR(__xludf.DUMMYFUNCTION("""COMPUTED_VALUE"""),46105.6666666666)</f>
        <v/>
      </c>
      <c r="C191" s="141">
        <f>IFERROR(__xludf.DUMMYFUNCTION("""COMPUTED_VALUE"""),85.72)</f>
        <v/>
      </c>
      <c r="D191" s="141">
        <f>IFERROR(__xludf.DUMMYFUNCTION("""COMPUTED_VALUE"""),86.29)</f>
        <v/>
      </c>
      <c r="E191" s="141">
        <f>IFERROR(__xludf.DUMMYFUNCTION("""COMPUTED_VALUE"""),85.56)</f>
        <v/>
      </c>
      <c r="F191" s="141">
        <f>IFERROR(__xludf.DUMMYFUNCTION("""COMPUTED_VALUE"""),86.01)</f>
        <v/>
      </c>
      <c r="G191" s="143">
        <f>IFERROR(__xludf.DUMMYFUNCTION("""COMPUTED_VALUE"""),51799399)</f>
        <v/>
      </c>
      <c r="H191" s="27" t="n"/>
    </row>
    <row r="192" ht="17.25" customHeight="1" s="322">
      <c r="A192" s="27" t="n"/>
      <c r="B192" s="506">
        <f>IFERROR(__xludf.DUMMYFUNCTION("""COMPUTED_VALUE"""),46106.6666666666)</f>
        <v/>
      </c>
      <c r="C192" s="141">
        <f>IFERROR(__xludf.DUMMYFUNCTION("""COMPUTED_VALUE"""),86.75)</f>
        <v/>
      </c>
      <c r="D192" s="141">
        <f>IFERROR(__xludf.DUMMYFUNCTION("""COMPUTED_VALUE"""),86.88)</f>
        <v/>
      </c>
      <c r="E192" s="141">
        <f>IFERROR(__xludf.DUMMYFUNCTION("""COMPUTED_VALUE"""),86.48)</f>
        <v/>
      </c>
      <c r="F192" s="141">
        <f>IFERROR(__xludf.DUMMYFUNCTION("""COMPUTED_VALUE"""),86.84)</f>
        <v/>
      </c>
      <c r="G192" s="143">
        <f>IFERROR(__xludf.DUMMYFUNCTION("""COMPUTED_VALUE"""),37861005)</f>
        <v/>
      </c>
      <c r="H192" s="27" t="n"/>
    </row>
    <row r="193" ht="17.25" customHeight="1" s="322">
      <c r="A193" s="27" t="n"/>
      <c r="B193" s="506">
        <f>IFERROR(__xludf.DUMMYFUNCTION("""COMPUTED_VALUE"""),46107.6666666666)</f>
        <v/>
      </c>
      <c r="C193" s="141">
        <f>IFERROR(__xludf.DUMMYFUNCTION("""COMPUTED_VALUE"""),86.34)</f>
        <v/>
      </c>
      <c r="D193" s="141">
        <f>IFERROR(__xludf.DUMMYFUNCTION("""COMPUTED_VALUE"""),86.61)</f>
        <v/>
      </c>
      <c r="E193" s="141">
        <f>IFERROR(__xludf.DUMMYFUNCTION("""COMPUTED_VALUE"""),85.93)</f>
        <v/>
      </c>
      <c r="F193" s="141">
        <f>IFERROR(__xludf.DUMMYFUNCTION("""COMPUTED_VALUE"""),86.11)</f>
        <v/>
      </c>
      <c r="G193" s="143">
        <f>IFERROR(__xludf.DUMMYFUNCTION("""COMPUTED_VALUE"""),39536966)</f>
        <v/>
      </c>
      <c r="H193" s="27" t="n"/>
    </row>
    <row r="194" ht="17.25" customHeight="1" s="322">
      <c r="A194" s="27" t="n"/>
      <c r="B194" s="506">
        <f>IFERROR(__xludf.DUMMYFUNCTION("""COMPUTED_VALUE"""),46108.6666666666)</f>
        <v/>
      </c>
      <c r="C194" s="141">
        <f>IFERROR(__xludf.DUMMYFUNCTION("""COMPUTED_VALUE"""),85.5)</f>
        <v/>
      </c>
      <c r="D194" s="141">
        <f>IFERROR(__xludf.DUMMYFUNCTION("""COMPUTED_VALUE"""),86.1)</f>
        <v/>
      </c>
      <c r="E194" s="141">
        <f>IFERROR(__xludf.DUMMYFUNCTION("""COMPUTED_VALUE"""),85.45)</f>
        <v/>
      </c>
      <c r="F194" s="141">
        <f>IFERROR(__xludf.DUMMYFUNCTION("""COMPUTED_VALUE"""),85.64)</f>
        <v/>
      </c>
      <c r="G194" s="143">
        <f>IFERROR(__xludf.DUMMYFUNCTION("""COMPUTED_VALUE"""),39928852)</f>
        <v/>
      </c>
      <c r="H194" s="27" t="n"/>
    </row>
    <row r="195" ht="17.25" customHeight="1" s="322">
      <c r="A195" s="27" t="n"/>
      <c r="B195" s="506">
        <f>IFERROR(__xludf.DUMMYFUNCTION("""COMPUTED_VALUE"""),46111.6666666666)</f>
        <v/>
      </c>
      <c r="C195" s="141">
        <f>IFERROR(__xludf.DUMMYFUNCTION("""COMPUTED_VALUE"""),86.63)</f>
        <v/>
      </c>
      <c r="D195" s="141">
        <f>IFERROR(__xludf.DUMMYFUNCTION("""COMPUTED_VALUE"""),86.95)</f>
        <v/>
      </c>
      <c r="E195" s="141">
        <f>IFERROR(__xludf.DUMMYFUNCTION("""COMPUTED_VALUE"""),86.49)</f>
        <v/>
      </c>
      <c r="F195" s="141">
        <f>IFERROR(__xludf.DUMMYFUNCTION("""COMPUTED_VALUE"""),86.78)</f>
        <v/>
      </c>
      <c r="G195" s="143">
        <f>IFERROR(__xludf.DUMMYFUNCTION("""COMPUTED_VALUE"""),36473153)</f>
        <v/>
      </c>
      <c r="H195" s="27" t="n"/>
    </row>
    <row r="196" ht="17.25" customHeight="1" s="322">
      <c r="A196" s="27" t="n"/>
      <c r="B196" s="506">
        <f>IFERROR(__xludf.DUMMYFUNCTION("""COMPUTED_VALUE"""),46112.6666666666)</f>
        <v/>
      </c>
      <c r="C196" s="141">
        <f>IFERROR(__xludf.DUMMYFUNCTION("""COMPUTED_VALUE"""),86.93)</f>
        <v/>
      </c>
      <c r="D196" s="141">
        <f>IFERROR(__xludf.DUMMYFUNCTION("""COMPUTED_VALUE"""),87.16)</f>
        <v/>
      </c>
      <c r="E196" s="141">
        <f>IFERROR(__xludf.DUMMYFUNCTION("""COMPUTED_VALUE"""),86.57)</f>
        <v/>
      </c>
      <c r="F196" s="141">
        <f>IFERROR(__xludf.DUMMYFUNCTION("""COMPUTED_VALUE"""),86.69)</f>
        <v/>
      </c>
      <c r="G196" s="143">
        <f>IFERROR(__xludf.DUMMYFUNCTION("""COMPUTED_VALUE"""),47112153)</f>
        <v/>
      </c>
      <c r="H196" s="27" t="n"/>
    </row>
    <row r="197" ht="17.25" customHeight="1" s="322">
      <c r="A197" s="27" t="n"/>
      <c r="B197" s="506">
        <f>IFERROR(__xludf.DUMMYFUNCTION("""COMPUTED_VALUE"""),46113.6666666666)</f>
        <v/>
      </c>
      <c r="C197" s="141">
        <f>IFERROR(__xludf.DUMMYFUNCTION("""COMPUTED_VALUE"""),86.28)</f>
        <v/>
      </c>
      <c r="D197" s="141">
        <f>IFERROR(__xludf.DUMMYFUNCTION("""COMPUTED_VALUE"""),86.71)</f>
        <v/>
      </c>
      <c r="E197" s="141">
        <f>IFERROR(__xludf.DUMMYFUNCTION("""COMPUTED_VALUE"""),86.23)</f>
        <v/>
      </c>
      <c r="F197" s="141">
        <f>IFERROR(__xludf.DUMMYFUNCTION("""COMPUTED_VALUE"""),86.26)</f>
        <v/>
      </c>
      <c r="G197" s="143">
        <f>IFERROR(__xludf.DUMMYFUNCTION("""COMPUTED_VALUE"""),31157622)</f>
        <v/>
      </c>
      <c r="H197" s="27" t="n"/>
    </row>
    <row r="198" ht="17.25" customHeight="1" s="322">
      <c r="A198" s="27" t="n"/>
      <c r="B198" s="506">
        <f>IFERROR(__xludf.DUMMYFUNCTION("""COMPUTED_VALUE"""),46114.6666666666)</f>
        <v/>
      </c>
      <c r="C198" s="141">
        <f>IFERROR(__xludf.DUMMYFUNCTION("""COMPUTED_VALUE"""),86.21)</f>
        <v/>
      </c>
      <c r="D198" s="141">
        <f>IFERROR(__xludf.DUMMYFUNCTION("""COMPUTED_VALUE"""),86.85)</f>
        <v/>
      </c>
      <c r="E198" s="141">
        <f>IFERROR(__xludf.DUMMYFUNCTION("""COMPUTED_VALUE"""),86.15)</f>
        <v/>
      </c>
      <c r="F198" s="141">
        <f>IFERROR(__xludf.DUMMYFUNCTION("""COMPUTED_VALUE"""),86.79)</f>
        <v/>
      </c>
      <c r="G198" s="143">
        <f>IFERROR(__xludf.DUMMYFUNCTION("""COMPUTED_VALUE"""),33310584)</f>
        <v/>
      </c>
      <c r="H198" s="27" t="n"/>
    </row>
    <row r="199" ht="17.25" customHeight="1" s="322">
      <c r="A199" s="27" t="n"/>
      <c r="B199" s="506">
        <f>IFERROR(__xludf.DUMMYFUNCTION("""COMPUTED_VALUE"""),46118.6666666666)</f>
        <v/>
      </c>
      <c r="C199" s="141">
        <f>IFERROR(__xludf.DUMMYFUNCTION("""COMPUTED_VALUE"""),86.5)</f>
        <v/>
      </c>
      <c r="D199" s="141">
        <f>IFERROR(__xludf.DUMMYFUNCTION("""COMPUTED_VALUE"""),86.85)</f>
        <v/>
      </c>
      <c r="E199" s="141">
        <f>IFERROR(__xludf.DUMMYFUNCTION("""COMPUTED_VALUE"""),86.39)</f>
        <v/>
      </c>
      <c r="F199" s="141">
        <f>IFERROR(__xludf.DUMMYFUNCTION("""COMPUTED_VALUE"""),86.65)</f>
        <v/>
      </c>
      <c r="G199" s="143">
        <f>IFERROR(__xludf.DUMMYFUNCTION("""COMPUTED_VALUE"""),14660325)</f>
        <v/>
      </c>
      <c r="H199" s="27" t="n"/>
    </row>
    <row r="200" ht="17.25" customHeight="1" s="322">
      <c r="A200" s="27" t="n"/>
      <c r="B200" s="506">
        <f>IFERROR(__xludf.DUMMYFUNCTION("""COMPUTED_VALUE"""),46119.6666666666)</f>
        <v/>
      </c>
      <c r="C200" s="141">
        <f>IFERROR(__xludf.DUMMYFUNCTION("""COMPUTED_VALUE"""),86.52)</f>
        <v/>
      </c>
      <c r="D200" s="141">
        <f>IFERROR(__xludf.DUMMYFUNCTION("""COMPUTED_VALUE"""),86.68)</f>
        <v/>
      </c>
      <c r="E200" s="141">
        <f>IFERROR(__xludf.DUMMYFUNCTION("""COMPUTED_VALUE"""),85.91)</f>
        <v/>
      </c>
      <c r="F200" s="141">
        <f>IFERROR(__xludf.DUMMYFUNCTION("""COMPUTED_VALUE"""),86.64)</f>
        <v/>
      </c>
      <c r="G200" s="143">
        <f>IFERROR(__xludf.DUMMYFUNCTION("""COMPUTED_VALUE"""),22747228)</f>
        <v/>
      </c>
      <c r="H200" s="27" t="n"/>
    </row>
    <row r="201" ht="17.25" customHeight="1" s="322">
      <c r="A201" s="27" t="n"/>
      <c r="B201" s="506">
        <f>IFERROR(__xludf.DUMMYFUNCTION("""COMPUTED_VALUE"""),46120.6666666666)</f>
        <v/>
      </c>
      <c r="C201" s="141">
        <f>IFERROR(__xludf.DUMMYFUNCTION("""COMPUTED_VALUE"""),87.36)</f>
        <v/>
      </c>
      <c r="D201" s="141">
        <f>IFERROR(__xludf.DUMMYFUNCTION("""COMPUTED_VALUE"""),87.37)</f>
        <v/>
      </c>
      <c r="E201" s="141">
        <f>IFERROR(__xludf.DUMMYFUNCTION("""COMPUTED_VALUE"""),86.73)</f>
        <v/>
      </c>
      <c r="F201" s="141">
        <f>IFERROR(__xludf.DUMMYFUNCTION("""COMPUTED_VALUE"""),86.92)</f>
        <v/>
      </c>
      <c r="G201" s="143">
        <f>IFERROR(__xludf.DUMMYFUNCTION("""COMPUTED_VALUE"""),22244916)</f>
        <v/>
      </c>
      <c r="H201" s="27" t="n"/>
    </row>
    <row r="202" ht="17.25" customHeight="1" s="322">
      <c r="A202" s="27" t="n"/>
      <c r="B202" s="506">
        <f>IFERROR(__xludf.DUMMYFUNCTION("""COMPUTED_VALUE"""),46121.6666666666)</f>
        <v/>
      </c>
      <c r="C202" s="141">
        <f>IFERROR(__xludf.DUMMYFUNCTION("""COMPUTED_VALUE"""),86.69)</f>
        <v/>
      </c>
      <c r="D202" s="141">
        <f>IFERROR(__xludf.DUMMYFUNCTION("""COMPUTED_VALUE"""),87.13)</f>
        <v/>
      </c>
      <c r="E202" s="141">
        <f>IFERROR(__xludf.DUMMYFUNCTION("""COMPUTED_VALUE"""),86.39)</f>
        <v/>
      </c>
      <c r="F202" s="141">
        <f>IFERROR(__xludf.DUMMYFUNCTION("""COMPUTED_VALUE"""),86.7)</f>
        <v/>
      </c>
      <c r="G202" s="143">
        <f>IFERROR(__xludf.DUMMYFUNCTION("""COMPUTED_VALUE"""),18909083)</f>
        <v/>
      </c>
      <c r="H202" s="27" t="n"/>
    </row>
    <row r="203" ht="17.25" customHeight="1" s="322">
      <c r="A203" s="27" t="n"/>
      <c r="B203" s="506">
        <f>IFERROR(__xludf.DUMMYFUNCTION("""COMPUTED_VALUE"""),46122.6666666666)</f>
        <v/>
      </c>
      <c r="C203" s="141">
        <f>IFERROR(__xludf.DUMMYFUNCTION("""COMPUTED_VALUE"""),86.6)</f>
        <v/>
      </c>
      <c r="D203" s="141">
        <f>IFERROR(__xludf.DUMMYFUNCTION("""COMPUTED_VALUE"""),86.68)</f>
        <v/>
      </c>
      <c r="E203" s="141">
        <f>IFERROR(__xludf.DUMMYFUNCTION("""COMPUTED_VALUE"""),86.33)</f>
        <v/>
      </c>
      <c r="F203" s="141">
        <f>IFERROR(__xludf.DUMMYFUNCTION("""COMPUTED_VALUE"""),86.49)</f>
        <v/>
      </c>
      <c r="G203" s="143">
        <f>IFERROR(__xludf.DUMMYFUNCTION("""COMPUTED_VALUE"""),13247732)</f>
        <v/>
      </c>
      <c r="H203" s="27" t="n"/>
    </row>
    <row r="204" ht="17.25" customHeight="1" s="322">
      <c r="A204" s="27" t="n"/>
      <c r="B204" s="506">
        <f>IFERROR(__xludf.DUMMYFUNCTION("""COMPUTED_VALUE"""),46125.6666666666)</f>
        <v/>
      </c>
      <c r="C204" s="141">
        <f>IFERROR(__xludf.DUMMYFUNCTION("""COMPUTED_VALUE"""),86.44)</f>
        <v/>
      </c>
      <c r="D204" s="141">
        <f>IFERROR(__xludf.DUMMYFUNCTION("""COMPUTED_VALUE"""),86.8)</f>
        <v/>
      </c>
      <c r="E204" s="141">
        <f>IFERROR(__xludf.DUMMYFUNCTION("""COMPUTED_VALUE"""),86.25)</f>
        <v/>
      </c>
      <c r="F204" s="141">
        <f>IFERROR(__xludf.DUMMYFUNCTION("""COMPUTED_VALUE"""),86.75)</f>
        <v/>
      </c>
      <c r="G204" s="143">
        <f>IFERROR(__xludf.DUMMYFUNCTION("""COMPUTED_VALUE"""),12719727)</f>
        <v/>
      </c>
      <c r="H204" s="27" t="n"/>
    </row>
    <row r="205" ht="17.25" customHeight="1" s="322">
      <c r="A205" s="27" t="n"/>
      <c r="B205" s="506">
        <f>IFERROR(__xludf.DUMMYFUNCTION("""COMPUTED_VALUE"""),46126.6666666666)</f>
        <v/>
      </c>
      <c r="C205" s="141">
        <f>IFERROR(__xludf.DUMMYFUNCTION("""COMPUTED_VALUE"""),86.7)</f>
        <v/>
      </c>
      <c r="D205" s="141">
        <f>IFERROR(__xludf.DUMMYFUNCTION("""COMPUTED_VALUE"""),87.24)</f>
        <v/>
      </c>
      <c r="E205" s="141">
        <f>IFERROR(__xludf.DUMMYFUNCTION("""COMPUTED_VALUE"""),86.63)</f>
        <v/>
      </c>
      <c r="F205" s="141">
        <f>IFERROR(__xludf.DUMMYFUNCTION("""COMPUTED_VALUE"""),87.21)</f>
        <v/>
      </c>
      <c r="G205" s="143">
        <f>IFERROR(__xludf.DUMMYFUNCTION("""COMPUTED_VALUE"""),16606918)</f>
        <v/>
      </c>
      <c r="H205" s="27" t="n"/>
    </row>
    <row r="206" ht="17.25" customHeight="1" s="322">
      <c r="A206" s="27" t="n"/>
      <c r="B206" s="506">
        <f>IFERROR(__xludf.DUMMYFUNCTION("""COMPUTED_VALUE"""),46127.6666666666)</f>
        <v/>
      </c>
      <c r="C206" s="141">
        <f>IFERROR(__xludf.DUMMYFUNCTION("""COMPUTED_VALUE"""),87.02)</f>
        <v/>
      </c>
      <c r="D206" s="141">
        <f>IFERROR(__xludf.DUMMYFUNCTION("""COMPUTED_VALUE"""),87.07)</f>
        <v/>
      </c>
      <c r="E206" s="141">
        <f>IFERROR(__xludf.DUMMYFUNCTION("""COMPUTED_VALUE"""),86.73)</f>
        <v/>
      </c>
      <c r="F206" s="141">
        <f>IFERROR(__xludf.DUMMYFUNCTION("""COMPUTED_VALUE"""),86.83)</f>
        <v/>
      </c>
      <c r="G206" s="143">
        <f>IFERROR(__xludf.DUMMYFUNCTION("""COMPUTED_VALUE"""),15119636)</f>
        <v/>
      </c>
      <c r="H206" s="27" t="n"/>
    </row>
    <row r="207" ht="17.25" customHeight="1" s="322">
      <c r="A207" s="27" t="n"/>
      <c r="B207" s="506">
        <f>IFERROR(__xludf.DUMMYFUNCTION("""COMPUTED_VALUE"""),46128.6666666666)</f>
        <v/>
      </c>
      <c r="C207" s="141">
        <f>IFERROR(__xludf.DUMMYFUNCTION("""COMPUTED_VALUE"""),86.92)</f>
        <v/>
      </c>
      <c r="D207" s="141">
        <f>IFERROR(__xludf.DUMMYFUNCTION("""COMPUTED_VALUE"""),86.97)</f>
        <v/>
      </c>
      <c r="E207" s="141">
        <f>IFERROR(__xludf.DUMMYFUNCTION("""COMPUTED_VALUE"""),86.2)</f>
        <v/>
      </c>
      <c r="F207" s="141">
        <f>IFERROR(__xludf.DUMMYFUNCTION("""COMPUTED_VALUE"""),86.28)</f>
        <v/>
      </c>
      <c r="G207" s="143">
        <f>IFERROR(__xludf.DUMMYFUNCTION("""COMPUTED_VALUE"""),20001034)</f>
        <v/>
      </c>
      <c r="H207" s="27" t="n"/>
    </row>
    <row r="208" ht="17.25" customHeight="1" s="322">
      <c r="A208" s="27" t="n"/>
      <c r="B208" s="506">
        <f>IFERROR(__xludf.DUMMYFUNCTION("""COMPUTED_VALUE"""),46129.6666666666)</f>
        <v/>
      </c>
      <c r="C208" s="141">
        <f>IFERROR(__xludf.DUMMYFUNCTION("""COMPUTED_VALUE"""),87.05)</f>
        <v/>
      </c>
      <c r="D208" s="141">
        <f>IFERROR(__xludf.DUMMYFUNCTION("""COMPUTED_VALUE"""),87.21)</f>
        <v/>
      </c>
      <c r="E208" s="141">
        <f>IFERROR(__xludf.DUMMYFUNCTION("""COMPUTED_VALUE"""),86.89)</f>
        <v/>
      </c>
      <c r="F208" s="141">
        <f>IFERROR(__xludf.DUMMYFUNCTION("""COMPUTED_VALUE"""),87.07)</f>
        <v/>
      </c>
      <c r="G208" s="143">
        <f>IFERROR(__xludf.DUMMYFUNCTION("""COMPUTED_VALUE"""),29604128)</f>
        <v/>
      </c>
      <c r="H208" s="27" t="n"/>
    </row>
    <row r="209" ht="17.25" customHeight="1" s="322">
      <c r="A209" s="27" t="n"/>
      <c r="B209" s="506">
        <f>IFERROR(__xludf.DUMMYFUNCTION("""COMPUTED_VALUE"""),46132.6666666666)</f>
        <v/>
      </c>
      <c r="C209" s="141">
        <f>IFERROR(__xludf.DUMMYFUNCTION("""COMPUTED_VALUE"""),87.11)</f>
        <v/>
      </c>
      <c r="D209" s="141">
        <f>IFERROR(__xludf.DUMMYFUNCTION("""COMPUTED_VALUE"""),87.13)</f>
        <v/>
      </c>
      <c r="E209" s="141">
        <f>IFERROR(__xludf.DUMMYFUNCTION("""COMPUTED_VALUE"""),86.71)</f>
        <v/>
      </c>
      <c r="F209" s="141">
        <f>IFERROR(__xludf.DUMMYFUNCTION("""COMPUTED_VALUE"""),87.05)</f>
        <v/>
      </c>
      <c r="G209" s="143">
        <f>IFERROR(__xludf.DUMMYFUNCTION("""COMPUTED_VALUE"""),14623480)</f>
        <v/>
      </c>
      <c r="H209" s="27" t="n"/>
    </row>
    <row r="210" ht="17.25" customHeight="1" s="322">
      <c r="A210" s="27" t="n"/>
      <c r="B210" s="506">
        <f>IFERROR(__xludf.DUMMYFUNCTION("""COMPUTED_VALUE"""),46133.6666666666)</f>
        <v/>
      </c>
      <c r="C210" s="141">
        <f>IFERROR(__xludf.DUMMYFUNCTION("""COMPUTED_VALUE"""),86.97)</f>
        <v/>
      </c>
      <c r="D210" s="141">
        <f>IFERROR(__xludf.DUMMYFUNCTION("""COMPUTED_VALUE"""),87.09)</f>
        <v/>
      </c>
      <c r="E210" s="141">
        <f>IFERROR(__xludf.DUMMYFUNCTION("""COMPUTED_VALUE"""),86.53)</f>
        <v/>
      </c>
      <c r="F210" s="141">
        <f>IFERROR(__xludf.DUMMYFUNCTION("""COMPUTED_VALUE"""),86.57)</f>
        <v/>
      </c>
      <c r="G210" s="143">
        <f>IFERROR(__xludf.DUMMYFUNCTION("""COMPUTED_VALUE"""),19798693)</f>
        <v/>
      </c>
      <c r="H210" s="27" t="n"/>
    </row>
    <row r="211" ht="17.25" customHeight="1" s="322">
      <c r="A211" s="27" t="n"/>
      <c r="B211" s="506">
        <f>IFERROR(__xludf.DUMMYFUNCTION("""COMPUTED_VALUE"""),46134.6666666666)</f>
        <v/>
      </c>
      <c r="C211" s="141">
        <f>IFERROR(__xludf.DUMMYFUNCTION("""COMPUTED_VALUE"""),87.05)</f>
        <v/>
      </c>
      <c r="D211" s="141">
        <f>IFERROR(__xludf.DUMMYFUNCTION("""COMPUTED_VALUE"""),87.16)</f>
        <v/>
      </c>
      <c r="E211" s="141">
        <f>IFERROR(__xludf.DUMMYFUNCTION("""COMPUTED_VALUE"""),86.71)</f>
        <v/>
      </c>
      <c r="F211" s="141">
        <f>IFERROR(__xludf.DUMMYFUNCTION("""COMPUTED_VALUE"""),86.74)</f>
        <v/>
      </c>
      <c r="G211" s="143">
        <f>IFERROR(__xludf.DUMMYFUNCTION("""COMPUTED_VALUE"""),13676816)</f>
        <v/>
      </c>
      <c r="H211" s="27" t="n"/>
    </row>
    <row r="212" ht="17.25" customHeight="1" s="322">
      <c r="A212" s="27" t="n"/>
      <c r="B212" s="506">
        <f>IFERROR(__xludf.DUMMYFUNCTION("""COMPUTED_VALUE"""),46135.6666666666)</f>
        <v/>
      </c>
      <c r="C212" s="141">
        <f>IFERROR(__xludf.DUMMYFUNCTION("""COMPUTED_VALUE"""),86.83)</f>
        <v/>
      </c>
      <c r="D212" s="141">
        <f>IFERROR(__xludf.DUMMYFUNCTION("""COMPUTED_VALUE"""),87.04)</f>
        <v/>
      </c>
      <c r="E212" s="141">
        <f>IFERROR(__xludf.DUMMYFUNCTION("""COMPUTED_VALUE"""),86.24)</f>
        <v/>
      </c>
      <c r="F212" s="141">
        <f>IFERROR(__xludf.DUMMYFUNCTION("""COMPUTED_VALUE"""),86.55)</f>
        <v/>
      </c>
      <c r="G212" s="143">
        <f>IFERROR(__xludf.DUMMYFUNCTION("""COMPUTED_VALUE"""),21106665)</f>
        <v/>
      </c>
      <c r="H212" s="27" t="n"/>
    </row>
    <row r="213" ht="17.25" customHeight="1" s="322">
      <c r="A213" s="27" t="n"/>
      <c r="B213" s="506">
        <f>IFERROR(__xludf.DUMMYFUNCTION("""COMPUTED_VALUE"""),46136.6666666666)</f>
        <v/>
      </c>
      <c r="C213" s="141">
        <f>IFERROR(__xludf.DUMMYFUNCTION("""COMPUTED_VALUE"""),86.46)</f>
        <v/>
      </c>
      <c r="D213" s="141">
        <f>IFERROR(__xludf.DUMMYFUNCTION("""COMPUTED_VALUE"""),86.82)</f>
        <v/>
      </c>
      <c r="E213" s="141">
        <f>IFERROR(__xludf.DUMMYFUNCTION("""COMPUTED_VALUE"""),86.25)</f>
        <v/>
      </c>
      <c r="F213" s="141">
        <f>IFERROR(__xludf.DUMMYFUNCTION("""COMPUTED_VALUE"""),86.71)</f>
        <v/>
      </c>
      <c r="G213" s="143">
        <f>IFERROR(__xludf.DUMMYFUNCTION("""COMPUTED_VALUE"""),22285741)</f>
        <v/>
      </c>
      <c r="H213" s="27" t="n"/>
    </row>
    <row r="214" ht="17.25" customHeight="1" s="322">
      <c r="A214" s="27" t="n"/>
      <c r="B214" s="506">
        <f>IFERROR(__xludf.DUMMYFUNCTION("""COMPUTED_VALUE"""),46139.6666666666)</f>
        <v/>
      </c>
      <c r="C214" s="141">
        <f>IFERROR(__xludf.DUMMYFUNCTION("""COMPUTED_VALUE"""),86.49)</f>
        <v/>
      </c>
      <c r="D214" s="141">
        <f>IFERROR(__xludf.DUMMYFUNCTION("""COMPUTED_VALUE"""),86.62)</f>
        <v/>
      </c>
      <c r="E214" s="141">
        <f>IFERROR(__xludf.DUMMYFUNCTION("""COMPUTED_VALUE"""),86.19)</f>
        <v/>
      </c>
      <c r="F214" s="141">
        <f>IFERROR(__xludf.DUMMYFUNCTION("""COMPUTED_VALUE"""),86.28)</f>
        <v/>
      </c>
      <c r="G214" s="143">
        <f>IFERROR(__xludf.DUMMYFUNCTION("""COMPUTED_VALUE"""),19250144)</f>
        <v/>
      </c>
      <c r="H214" s="27" t="n"/>
    </row>
    <row r="215" ht="17.25" customHeight="1" s="322">
      <c r="A215" s="27" t="n"/>
      <c r="B215" s="506">
        <f>IFERROR(__xludf.DUMMYFUNCTION("""COMPUTED_VALUE"""),46140.6666666666)</f>
        <v/>
      </c>
      <c r="C215" s="141">
        <f>IFERROR(__xludf.DUMMYFUNCTION("""COMPUTED_VALUE"""),86.12)</f>
        <v/>
      </c>
      <c r="D215" s="141">
        <f>IFERROR(__xludf.DUMMYFUNCTION("""COMPUTED_VALUE"""),86.37)</f>
        <v/>
      </c>
      <c r="E215" s="141">
        <f>IFERROR(__xludf.DUMMYFUNCTION("""COMPUTED_VALUE"""),85.94)</f>
        <v/>
      </c>
      <c r="F215" s="141">
        <f>IFERROR(__xludf.DUMMYFUNCTION("""COMPUTED_VALUE"""),86.37)</f>
        <v/>
      </c>
      <c r="G215" s="143">
        <f>IFERROR(__xludf.DUMMYFUNCTION("""COMPUTED_VALUE"""),14553573)</f>
        <v/>
      </c>
      <c r="H215" s="27" t="n"/>
    </row>
    <row r="216" ht="17.25" customHeight="1" s="322">
      <c r="A216" s="27" t="n"/>
      <c r="B216" s="506">
        <f>IFERROR(__xludf.DUMMYFUNCTION("""COMPUTED_VALUE"""),46141.6666666666)</f>
        <v/>
      </c>
      <c r="C216" s="141">
        <f>IFERROR(__xludf.DUMMYFUNCTION("""COMPUTED_VALUE"""),85.99)</f>
        <v/>
      </c>
      <c r="D216" s="141">
        <f>IFERROR(__xludf.DUMMYFUNCTION("""COMPUTED_VALUE"""),85.99)</f>
        <v/>
      </c>
      <c r="E216" s="141">
        <f>IFERROR(__xludf.DUMMYFUNCTION("""COMPUTED_VALUE"""),85.55)</f>
        <v/>
      </c>
      <c r="F216" s="141">
        <f>IFERROR(__xludf.DUMMYFUNCTION("""COMPUTED_VALUE"""),85.7)</f>
        <v/>
      </c>
      <c r="G216" s="143">
        <f>IFERROR(__xludf.DUMMYFUNCTION("""COMPUTED_VALUE"""),29020824)</f>
        <v/>
      </c>
      <c r="H216" s="27" t="n"/>
    </row>
    <row r="217" ht="17.25" customHeight="1" s="322">
      <c r="A217" s="27" t="n"/>
      <c r="B217" s="506">
        <f>IFERROR(__xludf.DUMMYFUNCTION("""COMPUTED_VALUE"""),46142.6666666666)</f>
        <v/>
      </c>
      <c r="C217" s="141">
        <f>IFERROR(__xludf.DUMMYFUNCTION("""COMPUTED_VALUE"""),85.89)</f>
        <v/>
      </c>
      <c r="D217" s="141">
        <f>IFERROR(__xludf.DUMMYFUNCTION("""COMPUTED_VALUE"""),85.9)</f>
        <v/>
      </c>
      <c r="E217" s="141">
        <f>IFERROR(__xludf.DUMMYFUNCTION("""COMPUTED_VALUE"""),85.39)</f>
        <v/>
      </c>
      <c r="F217" s="141">
        <f>IFERROR(__xludf.DUMMYFUNCTION("""COMPUTED_VALUE"""),85.62)</f>
        <v/>
      </c>
      <c r="G217" s="143">
        <f>IFERROR(__xludf.DUMMYFUNCTION("""COMPUTED_VALUE"""),28516181)</f>
        <v/>
      </c>
      <c r="H217" s="27" t="n"/>
    </row>
    <row r="218" ht="17.25" customHeight="1" s="322">
      <c r="A218" s="27" t="n"/>
      <c r="B218" s="506">
        <f>IFERROR(__xludf.DUMMYFUNCTION("""COMPUTED_VALUE"""),46143.6666666666)</f>
        <v/>
      </c>
      <c r="C218" s="141">
        <f>IFERROR(__xludf.DUMMYFUNCTION("""COMPUTED_VALUE"""),85.5)</f>
        <v/>
      </c>
      <c r="D218" s="141">
        <f>IFERROR(__xludf.DUMMYFUNCTION("""COMPUTED_VALUE"""),86)</f>
        <v/>
      </c>
      <c r="E218" s="141">
        <f>IFERROR(__xludf.DUMMYFUNCTION("""COMPUTED_VALUE"""),85.34)</f>
        <v/>
      </c>
      <c r="F218" s="141">
        <f>IFERROR(__xludf.DUMMYFUNCTION("""COMPUTED_VALUE"""),85.61)</f>
        <v/>
      </c>
      <c r="G218" s="143">
        <f>IFERROR(__xludf.DUMMYFUNCTION("""COMPUTED_VALUE"""),21280952)</f>
        <v/>
      </c>
      <c r="H218" s="27" t="n"/>
    </row>
    <row r="219" ht="17.25" customHeight="1" s="322">
      <c r="A219" s="27" t="n"/>
      <c r="B219" s="506">
        <f>IFERROR(__xludf.DUMMYFUNCTION("""COMPUTED_VALUE"""),46146.6666666666)</f>
        <v/>
      </c>
      <c r="C219" s="141">
        <f>IFERROR(__xludf.DUMMYFUNCTION("""COMPUTED_VALUE"""),85.35)</f>
        <v/>
      </c>
      <c r="D219" s="141">
        <f>IFERROR(__xludf.DUMMYFUNCTION("""COMPUTED_VALUE"""),85.36)</f>
        <v/>
      </c>
      <c r="E219" s="141">
        <f>IFERROR(__xludf.DUMMYFUNCTION("""COMPUTED_VALUE"""),84.76)</f>
        <v/>
      </c>
      <c r="F219" s="141">
        <f>IFERROR(__xludf.DUMMYFUNCTION("""COMPUTED_VALUE"""),84.96)</f>
        <v/>
      </c>
      <c r="G219" s="143">
        <f>IFERROR(__xludf.DUMMYFUNCTION("""COMPUTED_VALUE"""),27226010)</f>
        <v/>
      </c>
      <c r="H219" s="27" t="n"/>
    </row>
    <row r="220" ht="17.25" customHeight="1" s="322">
      <c r="A220" s="27" t="n"/>
      <c r="B220" s="506">
        <f>IFERROR(__xludf.DUMMYFUNCTION("""COMPUTED_VALUE"""),46147.6666666666)</f>
        <v/>
      </c>
      <c r="C220" s="141">
        <f>IFERROR(__xludf.DUMMYFUNCTION("""COMPUTED_VALUE"""),85.15)</f>
        <v/>
      </c>
      <c r="D220" s="141">
        <f>IFERROR(__xludf.DUMMYFUNCTION("""COMPUTED_VALUE"""),85.49)</f>
        <v/>
      </c>
      <c r="E220" s="141">
        <f>IFERROR(__xludf.DUMMYFUNCTION("""COMPUTED_VALUE"""),85.09)</f>
        <v/>
      </c>
      <c r="F220" s="141">
        <f>IFERROR(__xludf.DUMMYFUNCTION("""COMPUTED_VALUE"""),85.43)</f>
        <v/>
      </c>
      <c r="G220" s="143">
        <f>IFERROR(__xludf.DUMMYFUNCTION("""COMPUTED_VALUE"""),18226455)</f>
        <v/>
      </c>
      <c r="H220" s="27" t="n"/>
    </row>
    <row r="221" ht="17.25" customHeight="1" s="322">
      <c r="A221" s="27" t="n"/>
      <c r="B221" s="506">
        <f>IFERROR(__xludf.DUMMYFUNCTION("""COMPUTED_VALUE"""),46148.6666666666)</f>
        <v/>
      </c>
      <c r="C221" s="141">
        <f>IFERROR(__xludf.DUMMYFUNCTION("""COMPUTED_VALUE"""),86.05)</f>
        <v/>
      </c>
      <c r="D221" s="141">
        <f>IFERROR(__xludf.DUMMYFUNCTION("""COMPUTED_VALUE"""),86.17)</f>
        <v/>
      </c>
      <c r="E221" s="141">
        <f>IFERROR(__xludf.DUMMYFUNCTION("""COMPUTED_VALUE"""),85.92)</f>
        <v/>
      </c>
      <c r="F221" s="141">
        <f>IFERROR(__xludf.DUMMYFUNCTION("""COMPUTED_VALUE"""),86.08)</f>
        <v/>
      </c>
      <c r="G221" s="143">
        <f>IFERROR(__xludf.DUMMYFUNCTION("""COMPUTED_VALUE"""),22530704)</f>
        <v/>
      </c>
      <c r="H221" s="27" t="n"/>
    </row>
    <row r="222" ht="17.25" customHeight="1" s="322">
      <c r="A222" s="27" t="n"/>
      <c r="B222" s="506">
        <f>IFERROR(__xludf.DUMMYFUNCTION("""COMPUTED_VALUE"""),46149.6666666666)</f>
        <v/>
      </c>
      <c r="C222" s="141">
        <f>IFERROR(__xludf.DUMMYFUNCTION("""COMPUTED_VALUE"""),86.28)</f>
        <v/>
      </c>
      <c r="D222" s="141">
        <f>IFERROR(__xludf.DUMMYFUNCTION("""COMPUTED_VALUE"""),86.29)</f>
        <v/>
      </c>
      <c r="E222" s="141">
        <f>IFERROR(__xludf.DUMMYFUNCTION("""COMPUTED_VALUE"""),85.6)</f>
        <v/>
      </c>
      <c r="F222" s="141">
        <f>IFERROR(__xludf.DUMMYFUNCTION("""COMPUTED_VALUE"""),85.65)</f>
        <v/>
      </c>
      <c r="G222" s="143">
        <f>IFERROR(__xludf.DUMMYFUNCTION("""COMPUTED_VALUE"""),21178332)</f>
        <v/>
      </c>
      <c r="H222" s="27" t="n"/>
    </row>
    <row r="223" ht="17.25" customHeight="1" s="322">
      <c r="A223" s="27" t="n"/>
      <c r="B223" s="506">
        <f>IFERROR(__xludf.DUMMYFUNCTION("""COMPUTED_VALUE"""),46150.6666666666)</f>
        <v/>
      </c>
      <c r="C223" s="141">
        <f>IFERROR(__xludf.DUMMYFUNCTION("""COMPUTED_VALUE"""),86.06)</f>
        <v/>
      </c>
      <c r="D223" s="141">
        <f>IFERROR(__xludf.DUMMYFUNCTION("""COMPUTED_VALUE"""),86.28)</f>
        <v/>
      </c>
      <c r="E223" s="141">
        <f>IFERROR(__xludf.DUMMYFUNCTION("""COMPUTED_VALUE"""),85.99)</f>
        <v/>
      </c>
      <c r="F223" s="141">
        <f>IFERROR(__xludf.DUMMYFUNCTION("""COMPUTED_VALUE"""),86.08)</f>
        <v/>
      </c>
      <c r="G223" s="143">
        <f>IFERROR(__xludf.DUMMYFUNCTION("""COMPUTED_VALUE"""),30797630)</f>
        <v/>
      </c>
      <c r="H223" s="27" t="n"/>
    </row>
    <row r="224" ht="17.25" customHeight="1" s="322">
      <c r="A224" s="27" t="n"/>
      <c r="B224" s="506">
        <f>IFERROR(__xludf.DUMMYFUNCTION("""COMPUTED_VALUE"""),46153.6666666666)</f>
        <v/>
      </c>
      <c r="C224" s="141">
        <f>IFERROR(__xludf.DUMMYFUNCTION("""COMPUTED_VALUE"""),85.88)</f>
        <v/>
      </c>
      <c r="D224" s="141">
        <f>IFERROR(__xludf.DUMMYFUNCTION("""COMPUTED_VALUE"""),85.92)</f>
        <v/>
      </c>
      <c r="E224" s="141">
        <f>IFERROR(__xludf.DUMMYFUNCTION("""COMPUTED_VALUE"""),85.49)</f>
        <v/>
      </c>
      <c r="F224" s="141">
        <f>IFERROR(__xludf.DUMMYFUNCTION("""COMPUTED_VALUE"""),85.56)</f>
        <v/>
      </c>
      <c r="G224" s="143">
        <f>IFERROR(__xludf.DUMMYFUNCTION("""COMPUTED_VALUE"""),17713654)</f>
        <v/>
      </c>
      <c r="H224" s="27" t="n"/>
    </row>
    <row r="225" ht="17.25" customHeight="1" s="322">
      <c r="A225" s="27" t="n"/>
      <c r="B225" s="506">
        <f>IFERROR(__xludf.DUMMYFUNCTION("""COMPUTED_VALUE"""),46154.6666666666)</f>
        <v/>
      </c>
      <c r="C225" s="141">
        <f>IFERROR(__xludf.DUMMYFUNCTION("""COMPUTED_VALUE"""),85.19)</f>
        <v/>
      </c>
      <c r="D225" s="141">
        <f>IFERROR(__xludf.DUMMYFUNCTION("""COMPUTED_VALUE"""),85.2)</f>
        <v/>
      </c>
      <c r="E225" s="141">
        <f>IFERROR(__xludf.DUMMYFUNCTION("""COMPUTED_VALUE"""),84.92)</f>
        <v/>
      </c>
      <c r="F225" s="141">
        <f>IFERROR(__xludf.DUMMYFUNCTION("""COMPUTED_VALUE"""),84.99)</f>
        <v/>
      </c>
      <c r="G225" s="143">
        <f>IFERROR(__xludf.DUMMYFUNCTION("""COMPUTED_VALUE"""),27680614)</f>
        <v/>
      </c>
      <c r="H225" s="27" t="n"/>
    </row>
    <row r="226" ht="17.25" customHeight="1" s="322">
      <c r="A226" s="27" t="n"/>
      <c r="B226" s="506">
        <f>IFERROR(__xludf.DUMMYFUNCTION("""COMPUTED_VALUE"""),46155.6666666666)</f>
        <v/>
      </c>
      <c r="C226" s="141">
        <f>IFERROR(__xludf.DUMMYFUNCTION("""COMPUTED_VALUE"""),84.94)</f>
        <v/>
      </c>
      <c r="D226" s="141">
        <f>IFERROR(__xludf.DUMMYFUNCTION("""COMPUTED_VALUE"""),85.05)</f>
        <v/>
      </c>
      <c r="E226" s="141">
        <f>IFERROR(__xludf.DUMMYFUNCTION("""COMPUTED_VALUE"""),84.59)</f>
        <v/>
      </c>
      <c r="F226" s="141">
        <f>IFERROR(__xludf.DUMMYFUNCTION("""COMPUTED_VALUE"""),84.8)</f>
        <v/>
      </c>
      <c r="G226" s="143">
        <f>IFERROR(__xludf.DUMMYFUNCTION("""COMPUTED_VALUE"""),26295100)</f>
        <v/>
      </c>
      <c r="H226" s="27" t="n"/>
    </row>
    <row r="227" ht="17.25" customHeight="1" s="322">
      <c r="A227" s="27" t="n"/>
      <c r="B227" s="506">
        <f>IFERROR(__xludf.DUMMYFUNCTION("""COMPUTED_VALUE"""),46156.6666666666)</f>
        <v/>
      </c>
      <c r="C227" s="141">
        <f>IFERROR(__xludf.DUMMYFUNCTION("""COMPUTED_VALUE"""),85.26)</f>
        <v/>
      </c>
      <c r="D227" s="141">
        <f>IFERROR(__xludf.DUMMYFUNCTION("""COMPUTED_VALUE"""),85.38)</f>
        <v/>
      </c>
      <c r="E227" s="141">
        <f>IFERROR(__xludf.DUMMYFUNCTION("""COMPUTED_VALUE"""),84.91)</f>
        <v/>
      </c>
      <c r="F227" s="141">
        <f>IFERROR(__xludf.DUMMYFUNCTION("""COMPUTED_VALUE"""),84.92)</f>
        <v/>
      </c>
      <c r="G227" s="143">
        <f>IFERROR(__xludf.DUMMYFUNCTION("""COMPUTED_VALUE"""),25247190)</f>
        <v/>
      </c>
      <c r="H227" s="27" t="n"/>
    </row>
    <row r="228" ht="17.25" customHeight="1" s="322">
      <c r="A228" s="27" t="n"/>
      <c r="B228" s="506">
        <f>IFERROR(__xludf.DUMMYFUNCTION("""COMPUTED_VALUE"""),46157.6666666666)</f>
        <v/>
      </c>
      <c r="C228" s="141">
        <f>IFERROR(__xludf.DUMMYFUNCTION("""COMPUTED_VALUE"""),83.87)</f>
        <v/>
      </c>
      <c r="D228" s="141">
        <f>IFERROR(__xludf.DUMMYFUNCTION("""COMPUTED_VALUE"""),83.97)</f>
        <v/>
      </c>
      <c r="E228" s="141">
        <f>IFERROR(__xludf.DUMMYFUNCTION("""COMPUTED_VALUE"""),83.59)</f>
        <v/>
      </c>
      <c r="F228" s="141">
        <f>IFERROR(__xludf.DUMMYFUNCTION("""COMPUTED_VALUE"""),83.66)</f>
        <v/>
      </c>
      <c r="G228" s="143">
        <f>IFERROR(__xludf.DUMMYFUNCTION("""COMPUTED_VALUE"""),50795960)</f>
        <v/>
      </c>
      <c r="H228" s="27" t="n"/>
    </row>
    <row r="229" ht="17.25" customHeight="1" s="322">
      <c r="A229" s="27" t="n"/>
      <c r="B229" s="506">
        <f>IFERROR(__xludf.DUMMYFUNCTION("""COMPUTED_VALUE"""),46160.6666666666)</f>
        <v/>
      </c>
      <c r="C229" s="141">
        <f>IFERROR(__xludf.DUMMYFUNCTION("""COMPUTED_VALUE"""),83.7)</f>
        <v/>
      </c>
      <c r="D229" s="141">
        <f>IFERROR(__xludf.DUMMYFUNCTION("""COMPUTED_VALUE"""),83.92)</f>
        <v/>
      </c>
      <c r="E229" s="141">
        <f>IFERROR(__xludf.DUMMYFUNCTION("""COMPUTED_VALUE"""),83.32)</f>
        <v/>
      </c>
      <c r="F229" s="141">
        <f>IFERROR(__xludf.DUMMYFUNCTION("""COMPUTED_VALUE"""),83.56)</f>
        <v/>
      </c>
      <c r="G229" s="143">
        <f>IFERROR(__xludf.DUMMYFUNCTION("""COMPUTED_VALUE"""),26166181)</f>
        <v/>
      </c>
      <c r="H229" s="27" t="n"/>
    </row>
    <row r="230" ht="17.25" customHeight="1" s="322">
      <c r="A230" s="27" t="n"/>
      <c r="B230" s="506">
        <f>IFERROR(__xludf.DUMMYFUNCTION("""COMPUTED_VALUE"""),46161.6666666666)</f>
        <v/>
      </c>
      <c r="C230" s="141">
        <f>IFERROR(__xludf.DUMMYFUNCTION("""COMPUTED_VALUE"""),82.96)</f>
        <v/>
      </c>
      <c r="D230" s="141">
        <f>IFERROR(__xludf.DUMMYFUNCTION("""COMPUTED_VALUE"""),83.23)</f>
        <v/>
      </c>
      <c r="E230" s="141">
        <f>IFERROR(__xludf.DUMMYFUNCTION("""COMPUTED_VALUE"""),82.77)</f>
        <v/>
      </c>
      <c r="F230" s="141">
        <f>IFERROR(__xludf.DUMMYFUNCTION("""COMPUTED_VALUE"""),83.02)</f>
        <v/>
      </c>
      <c r="G230" s="143">
        <f>IFERROR(__xludf.DUMMYFUNCTION("""COMPUTED_VALUE"""),35346603)</f>
        <v/>
      </c>
      <c r="H230" s="27" t="n"/>
    </row>
    <row r="231" ht="17.25" customHeight="1" s="322">
      <c r="A231" s="27" t="n"/>
      <c r="B231" s="506">
        <f>IFERROR(__xludf.DUMMYFUNCTION("""COMPUTED_VALUE"""),46162.6666666666)</f>
        <v/>
      </c>
      <c r="C231" s="141">
        <f>IFERROR(__xludf.DUMMYFUNCTION("""COMPUTED_VALUE"""),83.06)</f>
        <v/>
      </c>
      <c r="D231" s="141">
        <f>IFERROR(__xludf.DUMMYFUNCTION("""COMPUTED_VALUE"""),84)</f>
        <v/>
      </c>
      <c r="E231" s="141">
        <f>IFERROR(__xludf.DUMMYFUNCTION("""COMPUTED_VALUE"""),83.04)</f>
        <v/>
      </c>
      <c r="F231" s="141">
        <f>IFERROR(__xludf.DUMMYFUNCTION("""COMPUTED_VALUE"""),83.91)</f>
        <v/>
      </c>
      <c r="G231" s="143">
        <f>IFERROR(__xludf.DUMMYFUNCTION("""COMPUTED_VALUE"""),44498000)</f>
        <v/>
      </c>
      <c r="H231" s="27" t="n"/>
    </row>
    <row r="232" ht="17.25" customHeight="1" s="322">
      <c r="A232" s="27" t="n"/>
      <c r="B232" s="506">
        <f>IFERROR(__xludf.DUMMYFUNCTION("""COMPUTED_VALUE"""),46163.6666666666)</f>
        <v/>
      </c>
      <c r="C232" s="141">
        <f>IFERROR(__xludf.DUMMYFUNCTION("""COMPUTED_VALUE"""),83.62)</f>
        <v/>
      </c>
      <c r="D232" s="141">
        <f>IFERROR(__xludf.DUMMYFUNCTION("""COMPUTED_VALUE"""),84.26)</f>
        <v/>
      </c>
      <c r="E232" s="141">
        <f>IFERROR(__xludf.DUMMYFUNCTION("""COMPUTED_VALUE"""),83.33)</f>
        <v/>
      </c>
      <c r="F232" s="141">
        <f>IFERROR(__xludf.DUMMYFUNCTION("""COMPUTED_VALUE"""),84.22)</f>
        <v/>
      </c>
      <c r="G232" s="143">
        <f>IFERROR(__xludf.DUMMYFUNCTION("""COMPUTED_VALUE"""),24887001)</f>
        <v/>
      </c>
      <c r="H232" s="27" t="n"/>
    </row>
    <row r="233" ht="17.25" customHeight="1" s="322">
      <c r="A233" s="27" t="n"/>
      <c r="B233" s="506">
        <f>IFERROR(__xludf.DUMMYFUNCTION("""COMPUTED_VALUE"""),46164.6666666666)</f>
        <v/>
      </c>
      <c r="C233" s="141">
        <f>IFERROR(__xludf.DUMMYFUNCTION("""COMPUTED_VALUE"""),84.61)</f>
        <v/>
      </c>
      <c r="D233" s="141">
        <f>IFERROR(__xludf.DUMMYFUNCTION("""COMPUTED_VALUE"""),84.68)</f>
        <v/>
      </c>
      <c r="E233" s="141">
        <f>IFERROR(__xludf.DUMMYFUNCTION("""COMPUTED_VALUE"""),84.14)</f>
        <v/>
      </c>
      <c r="F233" s="141">
        <f>IFERROR(__xludf.DUMMYFUNCTION("""COMPUTED_VALUE"""),84.68)</f>
        <v/>
      </c>
      <c r="G233" s="143">
        <f>IFERROR(__xludf.DUMMYFUNCTION("""COMPUTED_VALUE"""),27987659)</f>
        <v/>
      </c>
      <c r="H233" s="27" t="n"/>
    </row>
    <row r="234" ht="17.25" customHeight="1" s="322">
      <c r="A234" s="27" t="n"/>
      <c r="B234" s="506">
        <f>IFERROR(__xludf.DUMMYFUNCTION("""COMPUTED_VALUE"""),46168.6666666666)</f>
        <v/>
      </c>
      <c r="C234" s="141">
        <f>IFERROR(__xludf.DUMMYFUNCTION("""COMPUTED_VALUE"""),85.34)</f>
        <v/>
      </c>
      <c r="D234" s="141">
        <f>IFERROR(__xludf.DUMMYFUNCTION("""COMPUTED_VALUE"""),85.38)</f>
        <v/>
      </c>
      <c r="E234" s="141">
        <f>IFERROR(__xludf.DUMMYFUNCTION("""COMPUTED_VALUE"""),84.9)</f>
        <v/>
      </c>
      <c r="F234" s="141">
        <f>IFERROR(__xludf.DUMMYFUNCTION("""COMPUTED_VALUE"""),85.1)</f>
        <v/>
      </c>
      <c r="G234" s="143">
        <f>IFERROR(__xludf.DUMMYFUNCTION("""COMPUTED_VALUE"""),22531218)</f>
        <v/>
      </c>
      <c r="H234" s="27" t="n"/>
    </row>
    <row r="235" ht="17.25" customHeight="1" s="322">
      <c r="A235" s="27" t="n"/>
      <c r="B235" s="506">
        <f>IFERROR(__xludf.DUMMYFUNCTION("""COMPUTED_VALUE"""),46169.6666666666)</f>
        <v/>
      </c>
      <c r="C235" s="141">
        <f>IFERROR(__xludf.DUMMYFUNCTION("""COMPUTED_VALUE"""),85.25)</f>
        <v/>
      </c>
      <c r="D235" s="141">
        <f>IFERROR(__xludf.DUMMYFUNCTION("""COMPUTED_VALUE"""),85.48)</f>
        <v/>
      </c>
      <c r="E235" s="141">
        <f>IFERROR(__xludf.DUMMYFUNCTION("""COMPUTED_VALUE"""),85.15)</f>
        <v/>
      </c>
      <c r="F235" s="141">
        <f>IFERROR(__xludf.DUMMYFUNCTION("""COMPUTED_VALUE"""),85.3)</f>
        <v/>
      </c>
      <c r="G235" s="143">
        <f>IFERROR(__xludf.DUMMYFUNCTION("""COMPUTED_VALUE"""),23589557)</f>
        <v/>
      </c>
      <c r="H235" s="27" t="n"/>
    </row>
    <row r="236" ht="17.25" customHeight="1" s="322">
      <c r="A236" s="27" t="n"/>
      <c r="B236" s="506">
        <f>IFERROR(__xludf.DUMMYFUNCTION("""COMPUTED_VALUE"""),46170.6666666666)</f>
        <v/>
      </c>
      <c r="C236" s="141">
        <f>IFERROR(__xludf.DUMMYFUNCTION("""COMPUTED_VALUE"""),85.36)</f>
        <v/>
      </c>
      <c r="D236" s="141">
        <f>IFERROR(__xludf.DUMMYFUNCTION("""COMPUTED_VALUE"""),85.85)</f>
        <v/>
      </c>
      <c r="E236" s="141">
        <f>IFERROR(__xludf.DUMMYFUNCTION("""COMPUTED_VALUE"""),85.27)</f>
        <v/>
      </c>
      <c r="F236" s="141">
        <f>IFERROR(__xludf.DUMMYFUNCTION("""COMPUTED_VALUE"""),85.74)</f>
        <v/>
      </c>
      <c r="G236" s="143">
        <f>IFERROR(__xludf.DUMMYFUNCTION("""COMPUTED_VALUE"""),25417299)</f>
        <v/>
      </c>
      <c r="H236" s="27" t="n"/>
    </row>
    <row r="237" ht="17.25" customHeight="1" s="322">
      <c r="A237" s="27" t="n"/>
      <c r="B237" s="506">
        <f>IFERROR(__xludf.DUMMYFUNCTION("""COMPUTED_VALUE"""),46171.6666666666)</f>
        <v/>
      </c>
      <c r="C237" s="141">
        <f>IFERROR(__xludf.DUMMYFUNCTION("""COMPUTED_VALUE"""),85.81)</f>
        <v/>
      </c>
      <c r="D237" s="141">
        <f>IFERROR(__xludf.DUMMYFUNCTION("""COMPUTED_VALUE"""),85.96)</f>
        <v/>
      </c>
      <c r="E237" s="141">
        <f>IFERROR(__xludf.DUMMYFUNCTION("""COMPUTED_VALUE"""),85.55)</f>
        <v/>
      </c>
      <c r="F237" s="141">
        <f>IFERROR(__xludf.DUMMYFUNCTION("""COMPUTED_VALUE"""),85.76)</f>
        <v/>
      </c>
      <c r="G237" s="143">
        <f>IFERROR(__xludf.DUMMYFUNCTION("""COMPUTED_VALUE"""),33118565)</f>
        <v/>
      </c>
      <c r="H237" s="27" t="n"/>
    </row>
    <row r="238" ht="17.25" customHeight="1" s="322">
      <c r="A238" s="27" t="n"/>
      <c r="B238" s="506">
        <f>IFERROR(__xludf.DUMMYFUNCTION("""COMPUTED_VALUE"""),46174.6666666666)</f>
        <v/>
      </c>
      <c r="C238" s="141">
        <f>IFERROR(__xludf.DUMMYFUNCTION("""COMPUTED_VALUE"""),84.93)</f>
        <v/>
      </c>
      <c r="D238" s="141">
        <f>IFERROR(__xludf.DUMMYFUNCTION("""COMPUTED_VALUE"""),85.54)</f>
        <v/>
      </c>
      <c r="E238" s="141">
        <f>IFERROR(__xludf.DUMMYFUNCTION("""COMPUTED_VALUE"""),84.8)</f>
        <v/>
      </c>
      <c r="F238" s="141">
        <f>IFERROR(__xludf.DUMMYFUNCTION("""COMPUTED_VALUE"""),85.47)</f>
        <v/>
      </c>
      <c r="G238" s="143">
        <f>IFERROR(__xludf.DUMMYFUNCTION("""COMPUTED_VALUE"""),26322365)</f>
        <v/>
      </c>
      <c r="H238" s="27" t="n"/>
    </row>
    <row r="239" ht="17.25" customHeight="1" s="322">
      <c r="A239" s="27" t="n"/>
      <c r="B239" s="506">
        <f>IFERROR(__xludf.DUMMYFUNCTION("""COMPUTED_VALUE"""),46175.6666666666)</f>
        <v/>
      </c>
      <c r="C239" s="141">
        <f>IFERROR(__xludf.DUMMYFUNCTION("""COMPUTED_VALUE"""),85.8)</f>
        <v/>
      </c>
      <c r="D239" s="141">
        <f>IFERROR(__xludf.DUMMYFUNCTION("""COMPUTED_VALUE"""),85.82)</f>
        <v/>
      </c>
      <c r="E239" s="141">
        <f>IFERROR(__xludf.DUMMYFUNCTION("""COMPUTED_VALUE"""),85.5)</f>
        <v/>
      </c>
      <c r="F239" s="141">
        <f>IFERROR(__xludf.DUMMYFUNCTION("""COMPUTED_VALUE"""),85.65)</f>
        <v/>
      </c>
      <c r="G239" s="143">
        <f>IFERROR(__xludf.DUMMYFUNCTION("""COMPUTED_VALUE"""),20319049)</f>
        <v/>
      </c>
      <c r="H239" s="27" t="n"/>
    </row>
    <row r="240" ht="17.25" customHeight="1" s="322">
      <c r="A240" s="27" t="n"/>
      <c r="B240" s="506">
        <f>IFERROR(__xludf.DUMMYFUNCTION("""COMPUTED_VALUE"""),46176.6666666666)</f>
        <v/>
      </c>
      <c r="C240" s="141">
        <f>IFERROR(__xludf.DUMMYFUNCTION("""COMPUTED_VALUE"""),85.29)</f>
        <v/>
      </c>
      <c r="D240" s="141">
        <f>IFERROR(__xludf.DUMMYFUNCTION("""COMPUTED_VALUE"""),85.43)</f>
        <v/>
      </c>
      <c r="E240" s="141">
        <f>IFERROR(__xludf.DUMMYFUNCTION("""COMPUTED_VALUE"""),85.1)</f>
        <v/>
      </c>
      <c r="F240" s="141">
        <f>IFERROR(__xludf.DUMMYFUNCTION("""COMPUTED_VALUE"""),85.31)</f>
        <v/>
      </c>
      <c r="G240" s="143">
        <f>IFERROR(__xludf.DUMMYFUNCTION("""COMPUTED_VALUE"""),15371998)</f>
        <v/>
      </c>
      <c r="H240" s="27" t="n"/>
    </row>
    <row r="241" ht="17.25" customHeight="1" s="322">
      <c r="A241" s="27" t="n"/>
      <c r="B241" s="506">
        <f>IFERROR(__xludf.DUMMYFUNCTION("""COMPUTED_VALUE"""),46177.6666666666)</f>
        <v/>
      </c>
      <c r="C241" s="141">
        <f>IFERROR(__xludf.DUMMYFUNCTION("""COMPUTED_VALUE"""),85.61)</f>
        <v/>
      </c>
      <c r="D241" s="141">
        <f>IFERROR(__xludf.DUMMYFUNCTION("""COMPUTED_VALUE"""),85.71)</f>
        <v/>
      </c>
      <c r="E241" s="141">
        <f>IFERROR(__xludf.DUMMYFUNCTION("""COMPUTED_VALUE"""),85.42)</f>
        <v/>
      </c>
      <c r="F241" s="141">
        <f>IFERROR(__xludf.DUMMYFUNCTION("""COMPUTED_VALUE"""),85.5)</f>
        <v/>
      </c>
      <c r="G241" s="143">
        <f>IFERROR(__xludf.DUMMYFUNCTION("""COMPUTED_VALUE"""),15866493)</f>
        <v/>
      </c>
      <c r="H241" s="27" t="n"/>
    </row>
    <row r="242" ht="17.25" customHeight="1" s="322">
      <c r="A242" s="27" t="n"/>
      <c r="B242" s="506">
        <f>IFERROR(__xludf.DUMMYFUNCTION("""COMPUTED_VALUE"""),46178.6666666666)</f>
        <v/>
      </c>
      <c r="C242" s="141">
        <f>IFERROR(__xludf.DUMMYFUNCTION("""COMPUTED_VALUE"""),84.99)</f>
        <v/>
      </c>
      <c r="D242" s="141">
        <f>IFERROR(__xludf.DUMMYFUNCTION("""COMPUTED_VALUE"""),85.35)</f>
        <v/>
      </c>
      <c r="E242" s="141">
        <f>IFERROR(__xludf.DUMMYFUNCTION("""COMPUTED_VALUE"""),84.92)</f>
        <v/>
      </c>
      <c r="F242" s="141">
        <f>IFERROR(__xludf.DUMMYFUNCTION("""COMPUTED_VALUE"""),85.06)</f>
        <v/>
      </c>
      <c r="G242" s="143">
        <f>IFERROR(__xludf.DUMMYFUNCTION("""COMPUTED_VALUE"""),26461163)</f>
        <v/>
      </c>
      <c r="H242" s="27" t="n"/>
    </row>
    <row r="243" ht="17.25" customHeight="1" s="322">
      <c r="A243" s="27" t="n"/>
      <c r="B243" s="506">
        <f>IFERROR(__xludf.DUMMYFUNCTION("""COMPUTED_VALUE"""),46181.6666666666)</f>
        <v/>
      </c>
      <c r="C243" s="141">
        <f>IFERROR(__xludf.DUMMYFUNCTION("""COMPUTED_VALUE"""),85.23)</f>
        <v/>
      </c>
      <c r="D243" s="141">
        <f>IFERROR(__xludf.DUMMYFUNCTION("""COMPUTED_VALUE"""),85.33)</f>
        <v/>
      </c>
      <c r="E243" s="141">
        <f>IFERROR(__xludf.DUMMYFUNCTION("""COMPUTED_VALUE"""),84.62)</f>
        <v/>
      </c>
      <c r="F243" s="141">
        <f>IFERROR(__xludf.DUMMYFUNCTION("""COMPUTED_VALUE"""),84.62)</f>
        <v/>
      </c>
      <c r="G243" s="143">
        <f>IFERROR(__xludf.DUMMYFUNCTION("""COMPUTED_VALUE"""),22922742)</f>
        <v/>
      </c>
      <c r="H243" s="27" t="n"/>
    </row>
    <row r="244" ht="17.25" customHeight="1" s="322">
      <c r="A244" s="27" t="n"/>
      <c r="B244" s="506">
        <f>IFERROR(__xludf.DUMMYFUNCTION("""COMPUTED_VALUE"""),46182.6666666666)</f>
        <v/>
      </c>
      <c r="C244" s="141">
        <f>IFERROR(__xludf.DUMMYFUNCTION("""COMPUTED_VALUE"""),84.97)</f>
        <v/>
      </c>
      <c r="D244" s="141">
        <f>IFERROR(__xludf.DUMMYFUNCTION("""COMPUTED_VALUE"""),85.18)</f>
        <v/>
      </c>
      <c r="E244" s="141">
        <f>IFERROR(__xludf.DUMMYFUNCTION("""COMPUTED_VALUE"""),84.78)</f>
        <v/>
      </c>
      <c r="F244" s="141">
        <f>IFERROR(__xludf.DUMMYFUNCTION("""COMPUTED_VALUE"""),85.12)</f>
        <v/>
      </c>
      <c r="G244" s="143">
        <f>IFERROR(__xludf.DUMMYFUNCTION("""COMPUTED_VALUE"""),22617748)</f>
        <v/>
      </c>
      <c r="H244" s="27" t="n"/>
    </row>
    <row r="245" ht="17.25" customHeight="1" s="322">
      <c r="A245" s="27" t="n"/>
      <c r="B245" s="506">
        <f>IFERROR(__xludf.DUMMYFUNCTION("""COMPUTED_VALUE"""),46183.6666666666)</f>
        <v/>
      </c>
      <c r="C245" s="141">
        <f>IFERROR(__xludf.DUMMYFUNCTION("""COMPUTED_VALUE"""),85.12)</f>
        <v/>
      </c>
      <c r="D245" s="141">
        <f>IFERROR(__xludf.DUMMYFUNCTION("""COMPUTED_VALUE"""),85.3)</f>
        <v/>
      </c>
      <c r="E245" s="141">
        <f>IFERROR(__xludf.DUMMYFUNCTION("""COMPUTED_VALUE"""),84.7)</f>
        <v/>
      </c>
      <c r="F245" s="141">
        <f>IFERROR(__xludf.DUMMYFUNCTION("""COMPUTED_VALUE"""),84.88)</f>
        <v/>
      </c>
      <c r="G245" s="143">
        <f>IFERROR(__xludf.DUMMYFUNCTION("""COMPUTED_VALUE"""),21258275)</f>
        <v/>
      </c>
      <c r="H245" s="27" t="n"/>
    </row>
    <row r="246" ht="17.25" customHeight="1" s="322">
      <c r="A246" s="27" t="n"/>
      <c r="B246" s="506">
        <f>IFERROR(__xludf.DUMMYFUNCTION("""COMPUTED_VALUE"""),46184.6666666666)</f>
        <v/>
      </c>
      <c r="C246" s="141">
        <f>IFERROR(__xludf.DUMMYFUNCTION("""COMPUTED_VALUE"""),85.17)</f>
        <v/>
      </c>
      <c r="D246" s="141">
        <f>IFERROR(__xludf.DUMMYFUNCTION("""COMPUTED_VALUE"""),86.04)</f>
        <v/>
      </c>
      <c r="E246" s="141">
        <f>IFERROR(__xludf.DUMMYFUNCTION("""COMPUTED_VALUE"""),85.04)</f>
        <v/>
      </c>
      <c r="F246" s="141">
        <f>IFERROR(__xludf.DUMMYFUNCTION("""COMPUTED_VALUE"""),85.98)</f>
        <v/>
      </c>
      <c r="G246" s="143">
        <f>IFERROR(__xludf.DUMMYFUNCTION("""COMPUTED_VALUE"""),35190466)</f>
        <v/>
      </c>
      <c r="H246" s="27" t="n"/>
    </row>
    <row r="247" ht="17.25" customHeight="1" s="322">
      <c r="A247" s="27" t="n"/>
      <c r="B247" s="506">
        <f>IFERROR(__xludf.DUMMYFUNCTION("""COMPUTED_VALUE"""),46185.6666666666)</f>
        <v/>
      </c>
      <c r="C247" s="141">
        <f>IFERROR(__xludf.DUMMYFUNCTION("""COMPUTED_VALUE"""),85.64)</f>
        <v/>
      </c>
      <c r="D247" s="141">
        <f>IFERROR(__xludf.DUMMYFUNCTION("""COMPUTED_VALUE"""),85.83)</f>
        <v/>
      </c>
      <c r="E247" s="141">
        <f>IFERROR(__xludf.DUMMYFUNCTION("""COMPUTED_VALUE"""),85.41)</f>
        <v/>
      </c>
      <c r="F247" s="141">
        <f>IFERROR(__xludf.DUMMYFUNCTION("""COMPUTED_VALUE"""),85.77)</f>
        <v/>
      </c>
      <c r="G247" s="143">
        <f>IFERROR(__xludf.DUMMYFUNCTION("""COMPUTED_VALUE"""),23100929)</f>
        <v/>
      </c>
      <c r="H247" s="27" t="n"/>
    </row>
    <row r="248" ht="17.25" customHeight="1" s="322">
      <c r="A248" s="27" t="n"/>
      <c r="B248" s="506">
        <f>IFERROR(__xludf.DUMMYFUNCTION("""COMPUTED_VALUE"""),46188.6666666666)</f>
        <v/>
      </c>
      <c r="C248" s="141">
        <f>IFERROR(__xludf.DUMMYFUNCTION("""COMPUTED_VALUE"""),85.96)</f>
        <v/>
      </c>
      <c r="D248" s="141">
        <f>IFERROR(__xludf.DUMMYFUNCTION("""COMPUTED_VALUE"""),86.11)</f>
        <v/>
      </c>
      <c r="E248" s="141">
        <f>IFERROR(__xludf.DUMMYFUNCTION("""COMPUTED_VALUE"""),85.67)</f>
        <v/>
      </c>
      <c r="F248" s="141">
        <f>IFERROR(__xludf.DUMMYFUNCTION("""COMPUTED_VALUE"""),85.72)</f>
        <v/>
      </c>
      <c r="G248" s="143">
        <f>IFERROR(__xludf.DUMMYFUNCTION("""COMPUTED_VALUE"""),17632743)</f>
        <v/>
      </c>
      <c r="H248" s="27" t="n"/>
    </row>
    <row r="249" ht="17.25" customHeight="1" s="322">
      <c r="A249" s="27" t="n"/>
      <c r="B249" s="506">
        <f>IFERROR(__xludf.DUMMYFUNCTION("""COMPUTED_VALUE"""),46189.6666666666)</f>
        <v/>
      </c>
      <c r="C249" s="141">
        <f>IFERROR(__xludf.DUMMYFUNCTION("""COMPUTED_VALUE"""),85.96)</f>
        <v/>
      </c>
      <c r="D249" s="141">
        <f>IFERROR(__xludf.DUMMYFUNCTION("""COMPUTED_VALUE"""),86.38)</f>
        <v/>
      </c>
      <c r="E249" s="141">
        <f>IFERROR(__xludf.DUMMYFUNCTION("""COMPUTED_VALUE"""),85.93)</f>
        <v/>
      </c>
      <c r="F249" s="141">
        <f>IFERROR(__xludf.DUMMYFUNCTION("""COMPUTED_VALUE"""),86.19)</f>
        <v/>
      </c>
      <c r="G249" s="143">
        <f>IFERROR(__xludf.DUMMYFUNCTION("""COMPUTED_VALUE"""),26472476)</f>
        <v/>
      </c>
      <c r="H249" s="27" t="n"/>
    </row>
    <row r="250" ht="17.25" customHeight="1" s="322">
      <c r="A250" s="27" t="n"/>
      <c r="B250" s="506">
        <f>IFERROR(__xludf.DUMMYFUNCTION("""COMPUTED_VALUE"""),46190.6666666666)</f>
        <v/>
      </c>
      <c r="C250" s="141">
        <f>IFERROR(__xludf.DUMMYFUNCTION("""COMPUTED_VALUE"""),86.33)</f>
        <v/>
      </c>
      <c r="D250" s="141">
        <f>IFERROR(__xludf.DUMMYFUNCTION("""COMPUTED_VALUE"""),86.59)</f>
        <v/>
      </c>
      <c r="E250" s="141">
        <f>IFERROR(__xludf.DUMMYFUNCTION("""COMPUTED_VALUE"""),85.93)</f>
        <v/>
      </c>
      <c r="F250" s="141">
        <f>IFERROR(__xludf.DUMMYFUNCTION("""COMPUTED_VALUE"""),86.33)</f>
        <v/>
      </c>
      <c r="G250" s="143">
        <f>IFERROR(__xludf.DUMMYFUNCTION("""COMPUTED_VALUE"""),34507482)</f>
        <v/>
      </c>
      <c r="H250" s="27" t="n"/>
    </row>
    <row r="251" ht="17.25" customHeight="1" s="322">
      <c r="A251" s="27" t="n"/>
      <c r="B251" s="506">
        <f>IFERROR(__xludf.DUMMYFUNCTION("""COMPUTED_VALUE"""),46191.6666666666)</f>
        <v/>
      </c>
      <c r="C251" s="141">
        <f>IFERROR(__xludf.DUMMYFUNCTION("""COMPUTED_VALUE"""),87.07)</f>
        <v/>
      </c>
      <c r="D251" s="141">
        <f>IFERROR(__xludf.DUMMYFUNCTION("""COMPUTED_VALUE"""),87.18)</f>
        <v/>
      </c>
      <c r="E251" s="141">
        <f>IFERROR(__xludf.DUMMYFUNCTION("""COMPUTED_VALUE"""),86.65)</f>
        <v/>
      </c>
      <c r="F251" s="141">
        <f>IFERROR(__xludf.DUMMYFUNCTION("""COMPUTED_VALUE"""),86.75)</f>
        <v/>
      </c>
      <c r="G251" s="143">
        <f>IFERROR(__xludf.DUMMYFUNCTION("""COMPUTED_VALUE"""),32350902)</f>
        <v/>
      </c>
      <c r="H251" s="27" t="n"/>
    </row>
    <row r="252" ht="17.25" customHeight="1" s="322">
      <c r="A252" s="27" t="n"/>
      <c r="B252" s="506">
        <f>IFERROR(__xludf.DUMMYFUNCTION("""COMPUTED_VALUE"""),46195.6666666666)</f>
        <v/>
      </c>
      <c r="C252" s="141">
        <f>IFERROR(__xludf.DUMMYFUNCTION("""COMPUTED_VALUE"""),86.3)</f>
        <v/>
      </c>
      <c r="D252" s="141">
        <f>IFERROR(__xludf.DUMMYFUNCTION("""COMPUTED_VALUE"""),86.33)</f>
        <v/>
      </c>
      <c r="E252" s="141">
        <f>IFERROR(__xludf.DUMMYFUNCTION("""COMPUTED_VALUE"""),85.97)</f>
        <v/>
      </c>
      <c r="F252" s="141">
        <f>IFERROR(__xludf.DUMMYFUNCTION("""COMPUTED_VALUE"""),86.09)</f>
        <v/>
      </c>
      <c r="G252" s="143">
        <f>IFERROR(__xludf.DUMMYFUNCTION("""COMPUTED_VALUE"""),28595081)</f>
        <v/>
      </c>
      <c r="H252" s="27" t="n"/>
    </row>
    <row r="253" ht="17.25" customHeight="1" s="322">
      <c r="A253" s="27" t="n"/>
      <c r="B253" s="506">
        <f>IFERROR(__xludf.DUMMYFUNCTION("""COMPUTED_VALUE"""),46196.6666666666)</f>
        <v/>
      </c>
      <c r="C253" s="141">
        <f>IFERROR(__xludf.DUMMYFUNCTION("""COMPUTED_VALUE"""),86.12)</f>
        <v/>
      </c>
      <c r="D253" s="141">
        <f>IFERROR(__xludf.DUMMYFUNCTION("""COMPUTED_VALUE"""),86.43)</f>
        <v/>
      </c>
      <c r="E253" s="141">
        <f>IFERROR(__xludf.DUMMYFUNCTION("""COMPUTED_VALUE"""),86.1)</f>
        <v/>
      </c>
      <c r="F253" s="141">
        <f>IFERROR(__xludf.DUMMYFUNCTION("""COMPUTED_VALUE"""),86.2)</f>
        <v/>
      </c>
      <c r="G253" s="143">
        <f>IFERROR(__xludf.DUMMYFUNCTION("""COMPUTED_VALUE"""),19145518)</f>
        <v/>
      </c>
      <c r="H253" s="27" t="n"/>
    </row>
    <row r="254" ht="17.25" customHeight="1" s="322">
      <c r="A254" s="27" t="n"/>
      <c r="B254" s="506">
        <f>IFERROR(__xludf.DUMMYFUNCTION("""COMPUTED_VALUE"""),46197.6666666666)</f>
        <v/>
      </c>
      <c r="C254" s="141">
        <f>IFERROR(__xludf.DUMMYFUNCTION("""COMPUTED_VALUE"""),87.15)</f>
        <v/>
      </c>
      <c r="D254" s="141">
        <f>IFERROR(__xludf.DUMMYFUNCTION("""COMPUTED_VALUE"""),87.47)</f>
        <v/>
      </c>
      <c r="E254" s="141">
        <f>IFERROR(__xludf.DUMMYFUNCTION("""COMPUTED_VALUE"""),87.12)</f>
        <v/>
      </c>
      <c r="F254" s="141">
        <f>IFERROR(__xludf.DUMMYFUNCTION("""COMPUTED_VALUE"""),87.38)</f>
        <v/>
      </c>
      <c r="G254" s="143">
        <f>IFERROR(__xludf.DUMMYFUNCTION("""COMPUTED_VALUE"""),41836983)</f>
        <v/>
      </c>
      <c r="H254" s="27" t="n"/>
    </row>
    <row r="255" ht="17.25" customHeight="1" s="322">
      <c r="A255" s="27" t="n"/>
      <c r="B255" s="506">
        <f>IFERROR(__xludf.DUMMYFUNCTION("""COMPUTED_VALUE"""),46198.6666666666)</f>
        <v/>
      </c>
      <c r="C255" s="141">
        <f>IFERROR(__xludf.DUMMYFUNCTION("""COMPUTED_VALUE"""),87.58)</f>
        <v/>
      </c>
      <c r="D255" s="141">
        <f>IFERROR(__xludf.DUMMYFUNCTION("""COMPUTED_VALUE"""),87.79)</f>
        <v/>
      </c>
      <c r="E255" s="141">
        <f>IFERROR(__xludf.DUMMYFUNCTION("""COMPUTED_VALUE"""),87.29)</f>
        <v/>
      </c>
      <c r="F255" s="141">
        <f>IFERROR(__xludf.DUMMYFUNCTION("""COMPUTED_VALUE"""),87.35)</f>
        <v/>
      </c>
      <c r="G255" s="143">
        <f>IFERROR(__xludf.DUMMYFUNCTION("""COMPUTED_VALUE"""),28392350)</f>
        <v/>
      </c>
      <c r="H255" s="27" t="n"/>
    </row>
    <row r="256" ht="17.25" customHeight="1" s="322">
      <c r="A256" s="27" t="n"/>
      <c r="B256" s="506">
        <f>IFERROR(__xludf.DUMMYFUNCTION("""COMPUTED_VALUE"""),46199.6666666666)</f>
        <v/>
      </c>
      <c r="C256" s="141">
        <f>IFERROR(__xludf.DUMMYFUNCTION("""COMPUTED_VALUE"""),87.01)</f>
        <v/>
      </c>
      <c r="D256" s="141">
        <f>IFERROR(__xludf.DUMMYFUNCTION("""COMPUTED_VALUE"""),87.37)</f>
        <v/>
      </c>
      <c r="E256" s="141">
        <f>IFERROR(__xludf.DUMMYFUNCTION("""COMPUTED_VALUE"""),87)</f>
        <v/>
      </c>
      <c r="F256" s="141">
        <f>IFERROR(__xludf.DUMMYFUNCTION("""COMPUTED_VALUE"""),87.36)</f>
        <v/>
      </c>
      <c r="G256" s="143">
        <f>IFERROR(__xludf.DUMMYFUNCTION("""COMPUTED_VALUE"""),21650819)</f>
        <v/>
      </c>
      <c r="H256" s="27" t="n"/>
    </row>
    <row r="257" ht="17.25" customHeight="1" s="322">
      <c r="A257" s="27" t="n"/>
      <c r="B257" s="506">
        <f>IFERROR(__xludf.DUMMYFUNCTION("""COMPUTED_VALUE"""),46202.6666666666)</f>
        <v/>
      </c>
      <c r="C257" s="141">
        <f>IFERROR(__xludf.DUMMYFUNCTION("""COMPUTED_VALUE"""),87.36)</f>
        <v/>
      </c>
      <c r="D257" s="141">
        <f>IFERROR(__xludf.DUMMYFUNCTION("""COMPUTED_VALUE"""),87.54)</f>
        <v/>
      </c>
      <c r="E257" s="141">
        <f>IFERROR(__xludf.DUMMYFUNCTION("""COMPUTED_VALUE"""),87.3)</f>
        <v/>
      </c>
      <c r="F257" s="141">
        <f>IFERROR(__xludf.DUMMYFUNCTION("""COMPUTED_VALUE"""),87.45)</f>
        <v/>
      </c>
      <c r="G257" s="143">
        <f>IFERROR(__xludf.DUMMYFUNCTION("""COMPUTED_VALUE"""),19457156)</f>
        <v/>
      </c>
      <c r="H257" s="27" t="n"/>
    </row>
    <row r="258" ht="17.25" customHeight="1" s="322">
      <c r="A258" s="27" t="n"/>
      <c r="B258" s="506">
        <f>IFERROR(__xludf.DUMMYFUNCTION("""COMPUTED_VALUE"""),46203.6666666666)</f>
        <v/>
      </c>
      <c r="C258" s="141">
        <f>IFERROR(__xludf.DUMMYFUNCTION("""COMPUTED_VALUE"""),87.15)</f>
        <v/>
      </c>
      <c r="D258" s="141">
        <f>IFERROR(__xludf.DUMMYFUNCTION("""COMPUTED_VALUE"""),87.18)</f>
        <v/>
      </c>
      <c r="E258" s="141">
        <f>IFERROR(__xludf.DUMMYFUNCTION("""COMPUTED_VALUE"""),86.38)</f>
        <v/>
      </c>
      <c r="F258" s="141">
        <f>IFERROR(__xludf.DUMMYFUNCTION("""COMPUTED_VALUE"""),86.42)</f>
        <v/>
      </c>
      <c r="G258" s="143">
        <f>IFERROR(__xludf.DUMMYFUNCTION("""COMPUTED_VALUE"""),31079478)</f>
        <v/>
      </c>
      <c r="H258" s="27" t="n"/>
    </row>
    <row r="259" ht="17.25" customHeight="1" s="322">
      <c r="A259" s="27" t="n"/>
      <c r="B259" s="506">
        <f>IFERROR(__xludf.DUMMYFUNCTION("""COMPUTED_VALUE"""),46204.6666666666)</f>
        <v/>
      </c>
      <c r="C259" s="141">
        <f>IFERROR(__xludf.DUMMYFUNCTION("""COMPUTED_VALUE"""),85.48)</f>
        <v/>
      </c>
      <c r="D259" s="141">
        <f>IFERROR(__xludf.DUMMYFUNCTION("""COMPUTED_VALUE"""),85.79)</f>
        <v/>
      </c>
      <c r="E259" s="141">
        <f>IFERROR(__xludf.DUMMYFUNCTION("""COMPUTED_VALUE"""),85.43)</f>
        <v/>
      </c>
      <c r="F259" s="141">
        <f>IFERROR(__xludf.DUMMYFUNCTION("""COMPUTED_VALUE"""),85.52)</f>
        <v/>
      </c>
      <c r="G259" s="143">
        <f>IFERROR(__xludf.DUMMYFUNCTION("""COMPUTED_VALUE"""),28109798)</f>
        <v/>
      </c>
      <c r="H259" s="27" t="n"/>
    </row>
    <row r="260" ht="17.25" customHeight="1" s="322">
      <c r="A260" s="27" t="n"/>
      <c r="B260" s="506">
        <f>IFERROR(__xludf.DUMMYFUNCTION("""COMPUTED_VALUE"""),46205.6666666666)</f>
        <v/>
      </c>
      <c r="C260" s="141">
        <f>IFERROR(__xludf.DUMMYFUNCTION("""COMPUTED_VALUE"""),85.38)</f>
        <v/>
      </c>
      <c r="D260" s="141">
        <f>IFERROR(__xludf.DUMMYFUNCTION("""COMPUTED_VALUE"""),85.78)</f>
        <v/>
      </c>
      <c r="E260" s="141">
        <f>IFERROR(__xludf.DUMMYFUNCTION("""COMPUTED_VALUE"""),85.37)</f>
        <v/>
      </c>
      <c r="F260" s="141">
        <f>IFERROR(__xludf.DUMMYFUNCTION("""COMPUTED_VALUE"""),85.51)</f>
        <v/>
      </c>
      <c r="G260" s="143">
        <f>IFERROR(__xludf.DUMMYFUNCTION("""COMPUTED_VALUE"""),20957229)</f>
        <v/>
      </c>
      <c r="H260" s="27" t="n"/>
    </row>
    <row r="261" ht="17.25" customHeight="1" s="322">
      <c r="A261" s="27" t="n"/>
      <c r="B261" s="506">
        <f>IFERROR(__xludf.DUMMYFUNCTION("""COMPUTED_VALUE"""),46209.6666666666)</f>
        <v/>
      </c>
      <c r="C261" s="141">
        <f>IFERROR(__xludf.DUMMYFUNCTION("""COMPUTED_VALUE"""),85.43)</f>
        <v/>
      </c>
      <c r="D261" s="141">
        <f>IFERROR(__xludf.DUMMYFUNCTION("""COMPUTED_VALUE"""),85.48)</f>
        <v/>
      </c>
      <c r="E261" s="141">
        <f>IFERROR(__xludf.DUMMYFUNCTION("""COMPUTED_VALUE"""),85.18)</f>
        <v/>
      </c>
      <c r="F261" s="141">
        <f>IFERROR(__xludf.DUMMYFUNCTION("""COMPUTED_VALUE"""),85.45)</f>
        <v/>
      </c>
      <c r="G261" s="143">
        <f>IFERROR(__xludf.DUMMYFUNCTION("""COMPUTED_VALUE"""),17940937)</f>
        <v/>
      </c>
      <c r="H261" s="27" t="n"/>
    </row>
    <row r="262" ht="17.25" customHeight="1" s="322">
      <c r="A262" s="27" t="n"/>
      <c r="B262" s="506">
        <f>IFERROR(__xludf.DUMMYFUNCTION("""COMPUTED_VALUE"""),46210.6666666666)</f>
        <v/>
      </c>
      <c r="C262" s="141">
        <f>IFERROR(__xludf.DUMMYFUNCTION("""COMPUTED_VALUE"""),85.12)</f>
        <v/>
      </c>
      <c r="D262" s="141">
        <f>IFERROR(__xludf.DUMMYFUNCTION("""COMPUTED_VALUE"""),85.17)</f>
        <v/>
      </c>
      <c r="E262" s="141">
        <f>IFERROR(__xludf.DUMMYFUNCTION("""COMPUTED_VALUE"""),84.54)</f>
        <v/>
      </c>
      <c r="F262" s="141">
        <f>IFERROR(__xludf.DUMMYFUNCTION("""COMPUTED_VALUE"""),84.55)</f>
        <v/>
      </c>
      <c r="G262" s="143">
        <f>IFERROR(__xludf.DUMMYFUNCTION("""COMPUTED_VALUE"""),24816434)</f>
        <v/>
      </c>
      <c r="H262" s="27" t="n"/>
    </row>
    <row r="263" ht="17.25" customHeight="1" s="322">
      <c r="A263" s="27" t="n"/>
      <c r="B263" s="506">
        <f>IFERROR(__xludf.DUMMYFUNCTION("""COMPUTED_VALUE"""),46211.6666666666)</f>
        <v/>
      </c>
      <c r="C263" s="141">
        <f>IFERROR(__xludf.DUMMYFUNCTION("""COMPUTED_VALUE"""),84.31)</f>
        <v/>
      </c>
      <c r="D263" s="141">
        <f>IFERROR(__xludf.DUMMYFUNCTION("""COMPUTED_VALUE"""),84.45)</f>
        <v/>
      </c>
      <c r="E263" s="141">
        <f>IFERROR(__xludf.DUMMYFUNCTION("""COMPUTED_VALUE"""),84.06)</f>
        <v/>
      </c>
      <c r="F263" s="141">
        <f>IFERROR(__xludf.DUMMYFUNCTION("""COMPUTED_VALUE"""),84.36)</f>
        <v/>
      </c>
      <c r="G263" s="143">
        <f>IFERROR(__xludf.DUMMYFUNCTION("""COMPUTED_VALUE"""),25806645)</f>
        <v/>
      </c>
      <c r="H263" s="27" t="n"/>
    </row>
    <row r="264" ht="17.25" customHeight="1" s="322">
      <c r="A264" s="27" t="n"/>
      <c r="B264" s="506">
        <f>IFERROR(__xludf.DUMMYFUNCTION("""COMPUTED_VALUE"""),46212.6666666666)</f>
        <v/>
      </c>
      <c r="C264" s="141">
        <f>IFERROR(__xludf.DUMMYFUNCTION("""COMPUTED_VALUE"""),84.28)</f>
        <v/>
      </c>
      <c r="D264" s="141">
        <f>IFERROR(__xludf.DUMMYFUNCTION("""COMPUTED_VALUE"""),84.68)</f>
        <v/>
      </c>
      <c r="E264" s="141">
        <f>IFERROR(__xludf.DUMMYFUNCTION("""COMPUTED_VALUE"""),84.26)</f>
        <v/>
      </c>
      <c r="F264" s="141">
        <f>IFERROR(__xludf.DUMMYFUNCTION("""COMPUTED_VALUE"""),84.49)</f>
        <v/>
      </c>
      <c r="G264" s="143">
        <f>IFERROR(__xludf.DUMMYFUNCTION("""COMPUTED_VALUE"""),18625290)</f>
        <v/>
      </c>
      <c r="H264" s="27" t="n"/>
    </row>
    <row r="265" ht="17.25" customHeight="1" s="322">
      <c r="A265" s="27" t="n"/>
      <c r="B265" s="506">
        <f>IFERROR(__xludf.DUMMYFUNCTION("""COMPUTED_VALUE"""),46213.6666666666)</f>
        <v/>
      </c>
      <c r="C265" s="141">
        <f>IFERROR(__xludf.DUMMYFUNCTION("""COMPUTED_VALUE"""),84.51)</f>
        <v/>
      </c>
      <c r="D265" s="141">
        <f>IFERROR(__xludf.DUMMYFUNCTION("""COMPUTED_VALUE"""),84.63)</f>
        <v/>
      </c>
      <c r="E265" s="141">
        <f>IFERROR(__xludf.DUMMYFUNCTION("""COMPUTED_VALUE"""),84.28)</f>
        <v/>
      </c>
      <c r="F265" s="141">
        <f>IFERROR(__xludf.DUMMYFUNCTION("""COMPUTED_VALUE"""),84.47)</f>
        <v/>
      </c>
      <c r="G265" s="143">
        <f>IFERROR(__xludf.DUMMYFUNCTION("""COMPUTED_VALUE"""),14454110)</f>
        <v/>
      </c>
      <c r="H265" s="27" t="n"/>
    </row>
    <row r="266" ht="17.25" customHeight="1" s="322">
      <c r="A266" s="27" t="n"/>
      <c r="B266" s="506">
        <f>IFERROR(__xludf.DUMMYFUNCTION("""COMPUTED_VALUE"""),46216.6666666666)</f>
        <v/>
      </c>
      <c r="C266" s="141">
        <f>IFERROR(__xludf.DUMMYFUNCTION("""COMPUTED_VALUE"""),84.19)</f>
        <v/>
      </c>
      <c r="D266" s="141">
        <f>IFERROR(__xludf.DUMMYFUNCTION("""COMPUTED_VALUE"""),84.28)</f>
        <v/>
      </c>
      <c r="E266" s="141">
        <f>IFERROR(__xludf.DUMMYFUNCTION("""COMPUTED_VALUE"""),83.93)</f>
        <v/>
      </c>
      <c r="F266" s="141">
        <f>IFERROR(__xludf.DUMMYFUNCTION("""COMPUTED_VALUE"""),83.97)</f>
        <v/>
      </c>
      <c r="G266" s="143">
        <f>IFERROR(__xludf.DUMMYFUNCTION("""COMPUTED_VALUE"""),18742493)</f>
        <v/>
      </c>
      <c r="H266" s="27" t="n"/>
    </row>
    <row r="267" ht="17.25" customHeight="1" s="322">
      <c r="A267" s="27" t="n"/>
      <c r="B267" s="506">
        <f>IFERROR(__xludf.DUMMYFUNCTION("""COMPUTED_VALUE"""),46217.6666666666)</f>
        <v/>
      </c>
      <c r="C267" s="141">
        <f>IFERROR(__xludf.DUMMYFUNCTION("""COMPUTED_VALUE"""),84.18)</f>
        <v/>
      </c>
      <c r="D267" s="141">
        <f>IFERROR(__xludf.DUMMYFUNCTION("""COMPUTED_VALUE"""),84.5)</f>
        <v/>
      </c>
      <c r="E267" s="141">
        <f>IFERROR(__xludf.DUMMYFUNCTION("""COMPUTED_VALUE"""),84.04)</f>
        <v/>
      </c>
      <c r="F267" s="141">
        <f>IFERROR(__xludf.DUMMYFUNCTION("""COMPUTED_VALUE"""),84.08)</f>
        <v/>
      </c>
      <c r="G267" s="143">
        <f>IFERROR(__xludf.DUMMYFUNCTION("""COMPUTED_VALUE"""),23793454)</f>
        <v/>
      </c>
      <c r="H267" s="27" t="n"/>
    </row>
    <row r="268" ht="17.25" customHeight="1" s="322">
      <c r="A268" s="27" t="n"/>
      <c r="B268" s="506">
        <f>IFERROR(__xludf.DUMMYFUNCTION("""COMPUTED_VALUE"""),46218.6666666666)</f>
        <v/>
      </c>
      <c r="C268" s="141">
        <f>IFERROR(__xludf.DUMMYFUNCTION("""COMPUTED_VALUE"""),84.08)</f>
        <v/>
      </c>
      <c r="D268" s="141">
        <f>IFERROR(__xludf.DUMMYFUNCTION("""COMPUTED_VALUE"""),84.41)</f>
        <v/>
      </c>
      <c r="E268" s="141">
        <f>IFERROR(__xludf.DUMMYFUNCTION("""COMPUTED_VALUE"""),84.08)</f>
        <v/>
      </c>
      <c r="F268" s="141">
        <f>IFERROR(__xludf.DUMMYFUNCTION("""COMPUTED_VALUE"""),84.24)</f>
        <v/>
      </c>
      <c r="G268" s="143">
        <f>IFERROR(__xludf.DUMMYFUNCTION("""COMPUTED_VALUE"""),17837801)</f>
        <v/>
      </c>
      <c r="H268" s="27" t="n"/>
    </row>
    <row r="269" ht="17.25" customHeight="1" s="322">
      <c r="A269" s="27" t="n"/>
      <c r="B269" s="506">
        <f>IFERROR(__xludf.DUMMYFUNCTION("""COMPUTED_VALUE"""),46219.6666666666)</f>
        <v/>
      </c>
      <c r="C269" s="141">
        <f>IFERROR(__xludf.DUMMYFUNCTION("""COMPUTED_VALUE"""),83.84)</f>
        <v/>
      </c>
      <c r="D269" s="141">
        <f>IFERROR(__xludf.DUMMYFUNCTION("""COMPUTED_VALUE"""),84.22)</f>
        <v/>
      </c>
      <c r="E269" s="141">
        <f>IFERROR(__xludf.DUMMYFUNCTION("""COMPUTED_VALUE"""),83.79)</f>
        <v/>
      </c>
      <c r="F269" s="141">
        <f>IFERROR(__xludf.DUMMYFUNCTION("""COMPUTED_VALUE"""),84.21)</f>
        <v/>
      </c>
      <c r="G269" s="143">
        <f>IFERROR(__xludf.DUMMYFUNCTION("""COMPUTED_VALUE"""),20817837)</f>
        <v/>
      </c>
      <c r="H269" s="27" t="n"/>
    </row>
    <row r="270" ht="17.25" customHeight="1" s="322">
      <c r="A270" s="27" t="n"/>
      <c r="B270" s="506">
        <f>IFERROR(__xludf.DUMMYFUNCTION("""COMPUTED_VALUE"""),46220.6666666666)</f>
        <v/>
      </c>
      <c r="C270" s="141">
        <f>IFERROR(__xludf.DUMMYFUNCTION("""COMPUTED_VALUE"""),84.62)</f>
        <v/>
      </c>
      <c r="D270" s="141">
        <f>IFERROR(__xludf.DUMMYFUNCTION("""COMPUTED_VALUE"""),84.82)</f>
        <v/>
      </c>
      <c r="E270" s="141">
        <f>IFERROR(__xludf.DUMMYFUNCTION("""COMPUTED_VALUE"""),84.49)</f>
        <v/>
      </c>
      <c r="F270" s="141">
        <f>IFERROR(__xludf.DUMMYFUNCTION("""COMPUTED_VALUE"""),84.52)</f>
        <v/>
      </c>
      <c r="G270" s="143">
        <f>IFERROR(__xludf.DUMMYFUNCTION("""COMPUTED_VALUE"""),22065623)</f>
        <v/>
      </c>
      <c r="H270" s="27" t="n"/>
    </row>
    <row r="271" ht="17.25" customHeight="1" s="322">
      <c r="A271" s="27" t="n"/>
      <c r="B271" s="506">
        <f>IFERROR(__xludf.DUMMYFUNCTION("""COMPUTED_VALUE"""),46223.6666666666)</f>
        <v/>
      </c>
      <c r="C271" s="141">
        <f>IFERROR(__xludf.DUMMYFUNCTION("""COMPUTED_VALUE"""),84.31)</f>
        <v/>
      </c>
      <c r="D271" s="141">
        <f>IFERROR(__xludf.DUMMYFUNCTION("""COMPUTED_VALUE"""),84.34)</f>
        <v/>
      </c>
      <c r="E271" s="141">
        <f>IFERROR(__xludf.DUMMYFUNCTION("""COMPUTED_VALUE"""),83.82)</f>
        <v/>
      </c>
      <c r="F271" s="141">
        <f>IFERROR(__xludf.DUMMYFUNCTION("""COMPUTED_VALUE"""),83.89)</f>
        <v/>
      </c>
      <c r="G271" s="143">
        <f>IFERROR(__xludf.DUMMYFUNCTION("""COMPUTED_VALUE"""),24289039)</f>
        <v/>
      </c>
      <c r="H271" s="27" t="n"/>
    </row>
    <row r="272" ht="17.25" customHeight="1" s="322">
      <c r="A272" s="27" t="n"/>
      <c r="B272" s="506">
        <f>IFERROR(__xludf.DUMMYFUNCTION("""COMPUTED_VALUE"""),46224.6666666666)</f>
        <v/>
      </c>
      <c r="C272" s="141">
        <f>IFERROR(__xludf.DUMMYFUNCTION("""COMPUTED_VALUE"""),83.74)</f>
        <v/>
      </c>
      <c r="D272" s="141">
        <f>IFERROR(__xludf.DUMMYFUNCTION("""COMPUTED_VALUE"""),83.77)</f>
        <v/>
      </c>
      <c r="E272" s="141">
        <f>IFERROR(__xludf.DUMMYFUNCTION("""COMPUTED_VALUE"""),83.43)</f>
        <v/>
      </c>
      <c r="F272" s="141">
        <f>IFERROR(__xludf.DUMMYFUNCTION("""COMPUTED_VALUE"""),83.66)</f>
        <v/>
      </c>
      <c r="G272" s="143">
        <f>IFERROR(__xludf.DUMMYFUNCTION("""COMPUTED_VALUE"""),14287532)</f>
        <v/>
      </c>
      <c r="H272" s="27" t="n"/>
    </row>
    <row r="273" ht="17.25" customHeight="1" s="322">
      <c r="A273" s="27" t="n"/>
      <c r="B273" s="506">
        <f>IFERROR(__xludf.DUMMYFUNCTION("""COMPUTED_VALUE"""),46225.6666666666)</f>
        <v/>
      </c>
      <c r="C273" s="141">
        <f>IFERROR(__xludf.DUMMYFUNCTION("""COMPUTED_VALUE"""),83.61)</f>
        <v/>
      </c>
      <c r="D273" s="141">
        <f>IFERROR(__xludf.DUMMYFUNCTION("""COMPUTED_VALUE"""),83.7)</f>
        <v/>
      </c>
      <c r="E273" s="141">
        <f>IFERROR(__xludf.DUMMYFUNCTION("""COMPUTED_VALUE"""),83.38)</f>
        <v/>
      </c>
      <c r="F273" s="141">
        <f>IFERROR(__xludf.DUMMYFUNCTION("""COMPUTED_VALUE"""),83.44)</f>
        <v/>
      </c>
      <c r="G273" s="143">
        <f>IFERROR(__xludf.DUMMYFUNCTION("""COMPUTED_VALUE"""),15988382)</f>
        <v/>
      </c>
      <c r="H273" s="27" t="n"/>
    </row>
    <row r="274" ht="17.25" customHeight="1" s="322">
      <c r="A274" s="27" t="n"/>
      <c r="B274" s="506">
        <f>IFERROR(__xludf.DUMMYFUNCTION("""COMPUTED_VALUE"""),46226.6666666666)</f>
        <v/>
      </c>
      <c r="C274" s="141">
        <f>IFERROR(__xludf.DUMMYFUNCTION("""COMPUTED_VALUE"""),82.99)</f>
        <v/>
      </c>
      <c r="D274" s="141">
        <f>IFERROR(__xludf.DUMMYFUNCTION("""COMPUTED_VALUE"""),83.25)</f>
        <v/>
      </c>
      <c r="E274" s="141">
        <f>IFERROR(__xludf.DUMMYFUNCTION("""COMPUTED_VALUE"""),82.96)</f>
        <v/>
      </c>
      <c r="F274" s="141">
        <f>IFERROR(__xludf.DUMMYFUNCTION("""COMPUTED_VALUE"""),83.17)</f>
        <v/>
      </c>
      <c r="G274" s="143">
        <f>IFERROR(__xludf.DUMMYFUNCTION("""COMPUTED_VALUE"""),29152762)</f>
        <v/>
      </c>
      <c r="H274" s="27" t="n"/>
    </row>
    <row r="275" ht="17.25" customHeight="1" s="322">
      <c r="A275" s="27" t="n"/>
      <c r="B275" s="506">
        <f>IFERROR(__xludf.DUMMYFUNCTION("""COMPUTED_VALUE"""),46227.6666666666)</f>
        <v/>
      </c>
      <c r="C275" s="141">
        <f>IFERROR(__xludf.DUMMYFUNCTION("""COMPUTED_VALUE"""),83.31)</f>
        <v/>
      </c>
      <c r="D275" s="141">
        <f>IFERROR(__xludf.DUMMYFUNCTION("""COMPUTED_VALUE"""),83.66)</f>
        <v/>
      </c>
      <c r="E275" s="141">
        <f>IFERROR(__xludf.DUMMYFUNCTION("""COMPUTED_VALUE"""),83.23)</f>
        <v/>
      </c>
      <c r="F275" s="141">
        <f>IFERROR(__xludf.DUMMYFUNCTION("""COMPUTED_VALUE"""),83.25)</f>
        <v/>
      </c>
      <c r="G275" s="143">
        <f>IFERROR(__xludf.DUMMYFUNCTION("""COMPUTED_VALUE"""),15105998)</f>
        <v/>
      </c>
      <c r="H275" s="27" t="n"/>
    </row>
    <row r="276" ht="17.25" customHeight="1" s="322">
      <c r="A276" s="27" t="n"/>
      <c r="B276" s="506">
        <f>IFERROR(__xludf.DUMMYFUNCTION("""COMPUTED_VALUE"""),46230.6666666666)</f>
        <v/>
      </c>
      <c r="C276" s="141">
        <f>IFERROR(__xludf.DUMMYFUNCTION("""COMPUTED_VALUE"""),83.73)</f>
        <v/>
      </c>
      <c r="D276" s="141">
        <f>IFERROR(__xludf.DUMMYFUNCTION("""COMPUTED_VALUE"""),83.87)</f>
        <v/>
      </c>
      <c r="E276" s="141">
        <f>IFERROR(__xludf.DUMMYFUNCTION("""COMPUTED_VALUE"""),83.52)</f>
        <v/>
      </c>
      <c r="F276" s="141">
        <f>IFERROR(__xludf.DUMMYFUNCTION("""COMPUTED_VALUE"""),83.75)</f>
        <v/>
      </c>
      <c r="G276" s="143">
        <f>IFERROR(__xludf.DUMMYFUNCTION("""COMPUTED_VALUE"""),23818954)</f>
        <v/>
      </c>
      <c r="H276" s="27" t="n"/>
    </row>
    <row r="277" ht="17.25" customHeight="1" s="322">
      <c r="A277" s="27" t="n"/>
      <c r="B277" s="506">
        <f>IFERROR(__xludf.DUMMYFUNCTION("""COMPUTED_VALUE"""),46231.6666666666)</f>
        <v/>
      </c>
      <c r="C277" s="141">
        <f>IFERROR(__xludf.DUMMYFUNCTION("""COMPUTED_VALUE"""),83.86)</f>
        <v/>
      </c>
      <c r="D277" s="141">
        <f>IFERROR(__xludf.DUMMYFUNCTION("""COMPUTED_VALUE"""),84.34)</f>
        <v/>
      </c>
      <c r="E277" s="141">
        <f>IFERROR(__xludf.DUMMYFUNCTION("""COMPUTED_VALUE"""),83.85)</f>
        <v/>
      </c>
      <c r="F277" s="141">
        <f>IFERROR(__xludf.DUMMYFUNCTION("""COMPUTED_VALUE"""),84.24)</f>
        <v/>
      </c>
      <c r="G277" s="143">
        <f>IFERROR(__xludf.DUMMYFUNCTION("""COMPUTED_VALUE"""),25366895)</f>
        <v/>
      </c>
      <c r="H277" s="27" t="n"/>
    </row>
    <row r="278" ht="17.25" customHeight="1" s="322">
      <c r="A278" s="27" t="n"/>
      <c r="B278" s="506">
        <f>IFERROR(__xludf.DUMMYFUNCTION("""COMPUTED_VALUE"""),46232.6666666666)</f>
        <v/>
      </c>
      <c r="C278" s="141">
        <f>IFERROR(__xludf.DUMMYFUNCTION("""COMPUTED_VALUE"""),84.1)</f>
        <v/>
      </c>
      <c r="D278" s="141">
        <f>IFERROR(__xludf.DUMMYFUNCTION("""COMPUTED_VALUE"""),84.15)</f>
        <v/>
      </c>
      <c r="E278" s="141">
        <f>IFERROR(__xludf.DUMMYFUNCTION("""COMPUTED_VALUE"""),82.7)</f>
        <v/>
      </c>
      <c r="F278" s="141">
        <f>IFERROR(__xludf.DUMMYFUNCTION("""COMPUTED_VALUE"""),82.85)</f>
        <v/>
      </c>
      <c r="G278" s="143">
        <f>IFERROR(__xludf.DUMMYFUNCTION("""COMPUTED_VALUE"""),41445198)</f>
        <v/>
      </c>
      <c r="H278" s="27" t="n"/>
    </row>
    <row r="279" ht="17.25" customHeight="1" s="322">
      <c r="A279" s="27" t="n"/>
      <c r="B279" s="506" t="n"/>
      <c r="C279" s="141" t="n"/>
      <c r="D279" s="141" t="n"/>
      <c r="E279" s="141" t="n"/>
      <c r="F279" s="141" t="n"/>
      <c r="G279" s="143" t="n"/>
      <c r="H279" s="27" t="n"/>
    </row>
    <row r="280" ht="17.25" customHeight="1" s="322">
      <c r="A280" s="27" t="n"/>
      <c r="B280" s="506" t="n"/>
      <c r="C280" s="141" t="n"/>
      <c r="D280" s="141" t="n"/>
      <c r="E280" s="141" t="n"/>
      <c r="F280" s="141" t="n"/>
      <c r="G280" s="143" t="n"/>
      <c r="H280" s="27" t="n"/>
    </row>
    <row r="281" ht="17.25" customHeight="1" s="322">
      <c r="A281" s="27" t="n"/>
      <c r="B281" s="506" t="n"/>
      <c r="C281" s="141" t="n"/>
      <c r="D281" s="141" t="n"/>
      <c r="E281" s="141" t="n"/>
      <c r="F281" s="141" t="n"/>
      <c r="G281" s="143" t="n"/>
      <c r="H281" s="27" t="n"/>
    </row>
    <row r="282" ht="17.25" customHeight="1" s="322">
      <c r="A282" s="27" t="n"/>
      <c r="B282" s="506" t="n"/>
      <c r="C282" s="141" t="n"/>
      <c r="D282" s="141" t="n"/>
      <c r="E282" s="141" t="n"/>
      <c r="F282" s="141" t="n"/>
      <c r="G282" s="143" t="n"/>
      <c r="H282" s="27" t="n"/>
    </row>
    <row r="283" ht="17.25" customHeight="1" s="322">
      <c r="A283" s="27" t="n"/>
      <c r="B283" s="506" t="n"/>
      <c r="C283" s="141" t="n"/>
      <c r="D283" s="141" t="n"/>
      <c r="E283" s="141" t="n"/>
      <c r="F283" s="141" t="n"/>
      <c r="G283" s="143" t="n"/>
      <c r="H283" s="27" t="n"/>
    </row>
    <row r="284" ht="17.25" customHeight="1" s="322">
      <c r="A284" s="27" t="n"/>
      <c r="B284" s="506" t="n"/>
      <c r="C284" s="141" t="n"/>
      <c r="D284" s="141" t="n"/>
      <c r="E284" s="141" t="n"/>
      <c r="F284" s="141" t="n"/>
      <c r="G284" s="143" t="n"/>
      <c r="H284" s="27" t="n"/>
    </row>
    <row r="285" ht="17.25" customHeight="1" s="322">
      <c r="A285" s="27" t="n"/>
      <c r="B285" s="506" t="n"/>
      <c r="C285" s="141" t="n"/>
      <c r="D285" s="141" t="n"/>
      <c r="E285" s="141" t="n"/>
      <c r="F285" s="141" t="n"/>
      <c r="G285" s="143" t="n"/>
      <c r="H285" s="27" t="n"/>
    </row>
    <row r="286" ht="17.25" customHeight="1" s="322">
      <c r="A286" s="27" t="n"/>
      <c r="B286" s="506" t="n"/>
      <c r="C286" s="141" t="n"/>
      <c r="D286" s="141" t="n"/>
      <c r="E286" s="141" t="n"/>
      <c r="F286" s="141" t="n"/>
      <c r="G286" s="143" t="n"/>
      <c r="H286" s="27" t="n"/>
    </row>
    <row r="287" ht="17.25" customHeight="1" s="322">
      <c r="A287" s="27" t="n"/>
      <c r="B287" s="506" t="n"/>
      <c r="C287" s="141" t="n"/>
      <c r="D287" s="141" t="n"/>
      <c r="E287" s="141" t="n"/>
      <c r="F287" s="141" t="n"/>
      <c r="G287" s="143" t="n"/>
      <c r="H287" s="27" t="n"/>
    </row>
    <row r="288" ht="17.25" customHeight="1" s="322">
      <c r="A288" s="27" t="n"/>
      <c r="B288" s="506" t="n"/>
      <c r="C288" s="141" t="n"/>
      <c r="D288" s="141" t="n"/>
      <c r="E288" s="141" t="n"/>
      <c r="F288" s="141" t="n"/>
      <c r="G288" s="143" t="n"/>
      <c r="H288" s="27" t="n"/>
    </row>
    <row r="289" ht="17.25" customHeight="1" s="322">
      <c r="A289" s="27" t="n"/>
      <c r="B289" s="506" t="n"/>
      <c r="C289" s="141" t="n"/>
      <c r="D289" s="141" t="n"/>
      <c r="E289" s="141" t="n"/>
      <c r="F289" s="141" t="n"/>
      <c r="G289" s="143" t="n"/>
      <c r="H289" s="27" t="n"/>
    </row>
    <row r="290" ht="17.25" customHeight="1" s="322">
      <c r="A290" s="27" t="n"/>
      <c r="B290" s="506" t="n"/>
      <c r="C290" s="141" t="n"/>
      <c r="D290" s="141" t="n"/>
      <c r="E290" s="141" t="n"/>
      <c r="F290" s="141" t="n"/>
      <c r="G290" s="143" t="n"/>
      <c r="H290" s="27" t="n"/>
    </row>
    <row r="291" ht="17.25" customHeight="1" s="322">
      <c r="A291" s="27" t="n"/>
      <c r="B291" s="506" t="n"/>
      <c r="C291" s="141" t="n"/>
      <c r="D291" s="141" t="n"/>
      <c r="E291" s="141" t="n"/>
      <c r="F291" s="141" t="n"/>
      <c r="G291" s="143" t="n"/>
      <c r="H291" s="27" t="n"/>
    </row>
    <row r="292" ht="17.25" customHeight="1" s="322">
      <c r="A292" s="27" t="n"/>
      <c r="B292" s="506" t="n"/>
      <c r="C292" s="141" t="n"/>
      <c r="D292" s="141" t="n"/>
      <c r="E292" s="141" t="n"/>
      <c r="F292" s="141" t="n"/>
      <c r="G292" s="143" t="n"/>
      <c r="H292" s="27" t="n"/>
    </row>
    <row r="293" ht="17.25" customHeight="1" s="322">
      <c r="A293" s="27" t="n"/>
      <c r="B293" s="506" t="n"/>
      <c r="C293" s="141" t="n"/>
      <c r="D293" s="141" t="n"/>
      <c r="E293" s="141" t="n"/>
      <c r="F293" s="141" t="n"/>
      <c r="G293" s="143" t="n"/>
      <c r="H293" s="27" t="n"/>
    </row>
    <row r="294" ht="17.25" customHeight="1" s="322">
      <c r="A294" s="27" t="n"/>
      <c r="B294" s="506" t="n"/>
      <c r="C294" s="141" t="n"/>
      <c r="D294" s="141" t="n"/>
      <c r="E294" s="141" t="n"/>
      <c r="F294" s="141" t="n"/>
      <c r="G294" s="143" t="n"/>
      <c r="H294" s="27" t="n"/>
    </row>
    <row r="295" ht="17.25" customHeight="1" s="322">
      <c r="A295" s="27" t="n"/>
      <c r="B295" s="506" t="n"/>
      <c r="C295" s="141" t="n"/>
      <c r="D295" s="141" t="n"/>
      <c r="E295" s="141" t="n"/>
      <c r="F295" s="141" t="n"/>
      <c r="G295" s="143" t="n"/>
      <c r="H295" s="27" t="n"/>
    </row>
    <row r="296" ht="17.25" customHeight="1" s="322">
      <c r="A296" s="27" t="n"/>
      <c r="B296" s="506" t="n"/>
      <c r="C296" s="141" t="n"/>
      <c r="D296" s="141" t="n"/>
      <c r="E296" s="141" t="n"/>
      <c r="F296" s="141" t="n"/>
      <c r="G296" s="143" t="n"/>
      <c r="H296" s="27" t="n"/>
    </row>
    <row r="297" ht="17.25" customHeight="1" s="322">
      <c r="A297" s="27" t="n"/>
      <c r="B297" s="506" t="n"/>
      <c r="C297" s="141" t="n"/>
      <c r="D297" s="141" t="n"/>
      <c r="E297" s="141" t="n"/>
      <c r="F297" s="141" t="n"/>
      <c r="G297" s="143" t="n"/>
      <c r="H297" s="27" t="n"/>
    </row>
    <row r="298" ht="17.25" customHeight="1" s="322">
      <c r="A298" s="27" t="n"/>
      <c r="B298" s="506" t="n"/>
      <c r="C298" s="141" t="n"/>
      <c r="D298" s="141" t="n"/>
      <c r="E298" s="141" t="n"/>
      <c r="F298" s="141" t="n"/>
      <c r="G298" s="143" t="n"/>
      <c r="H298" s="27" t="n"/>
    </row>
    <row r="299" ht="17.25" customHeight="1" s="322">
      <c r="A299" s="27" t="n"/>
      <c r="B299" s="506" t="n"/>
      <c r="C299" s="141" t="n"/>
      <c r="D299" s="141" t="n"/>
      <c r="E299" s="141" t="n"/>
      <c r="F299" s="141" t="n"/>
      <c r="G299" s="143" t="n"/>
      <c r="H299" s="27" t="n"/>
    </row>
    <row r="300" ht="17.25" customHeight="1" s="322">
      <c r="A300" s="27" t="n"/>
      <c r="B300" s="506" t="n"/>
      <c r="C300" s="141" t="n"/>
      <c r="D300" s="141" t="n"/>
      <c r="E300" s="141" t="n"/>
      <c r="F300" s="141" t="n"/>
      <c r="G300" s="143" t="n"/>
      <c r="H300" s="27" t="n"/>
    </row>
    <row r="301" ht="17.25" customHeight="1" s="322">
      <c r="A301" s="27" t="n"/>
      <c r="B301" s="506" t="n"/>
      <c r="C301" s="141" t="n"/>
      <c r="D301" s="141" t="n"/>
      <c r="E301" s="141" t="n"/>
      <c r="F301" s="141" t="n"/>
      <c r="G301" s="143" t="n"/>
      <c r="H301" s="27" t="n"/>
    </row>
    <row r="302" ht="17.25" customHeight="1" s="322">
      <c r="A302" s="27" t="n"/>
      <c r="B302" s="506" t="n"/>
      <c r="C302" s="141" t="n"/>
      <c r="D302" s="141" t="n"/>
      <c r="E302" s="141" t="n"/>
      <c r="F302" s="141" t="n"/>
      <c r="G302" s="143" t="n"/>
      <c r="H302" s="27" t="n"/>
    </row>
    <row r="303" ht="17.25" customHeight="1" s="322">
      <c r="A303" s="27" t="n"/>
      <c r="B303" s="506" t="n"/>
      <c r="C303" s="141" t="n"/>
      <c r="D303" s="141" t="n"/>
      <c r="E303" s="141" t="n"/>
      <c r="F303" s="141" t="n"/>
      <c r="G303" s="143" t="n"/>
      <c r="H303" s="27" t="n"/>
    </row>
    <row r="304" ht="17.25" customHeight="1" s="322">
      <c r="A304" s="27" t="n"/>
      <c r="B304" s="506" t="n"/>
      <c r="C304" s="141" t="n"/>
      <c r="D304" s="141" t="n"/>
      <c r="E304" s="141" t="n"/>
      <c r="F304" s="141" t="n"/>
      <c r="G304" s="143" t="n"/>
      <c r="H304" s="27" t="n"/>
    </row>
    <row r="305" ht="17.25" customHeight="1" s="322">
      <c r="A305" s="27" t="n"/>
      <c r="B305" s="506" t="n"/>
      <c r="C305" s="141" t="n"/>
      <c r="D305" s="141" t="n"/>
      <c r="E305" s="141" t="n"/>
      <c r="F305" s="141" t="n"/>
      <c r="G305" s="143" t="n"/>
      <c r="H305" s="27" t="n"/>
    </row>
    <row r="306" ht="17.25" customHeight="1" s="322">
      <c r="A306" s="27" t="n"/>
      <c r="B306" s="506" t="n"/>
      <c r="C306" s="141" t="n"/>
      <c r="D306" s="141" t="n"/>
      <c r="E306" s="141" t="n"/>
      <c r="F306" s="141" t="n"/>
      <c r="G306" s="143" t="n"/>
      <c r="H306" s="27" t="n"/>
    </row>
    <row r="307" ht="17.25" customHeight="1" s="322">
      <c r="A307" s="27" t="n"/>
      <c r="B307" s="506" t="n"/>
      <c r="C307" s="141" t="n"/>
      <c r="D307" s="141" t="n"/>
      <c r="E307" s="141" t="n"/>
      <c r="F307" s="141" t="n"/>
      <c r="G307" s="143" t="n"/>
      <c r="H307" s="27" t="n"/>
    </row>
    <row r="308" ht="17.25" customHeight="1" s="322">
      <c r="A308" s="27" t="n"/>
      <c r="B308" s="506" t="n"/>
      <c r="C308" s="141" t="n"/>
      <c r="D308" s="141" t="n"/>
      <c r="E308" s="141" t="n"/>
      <c r="F308" s="141" t="n"/>
      <c r="G308" s="143" t="n"/>
      <c r="H308" s="27" t="n"/>
    </row>
    <row r="309" ht="17.25" customHeight="1" s="322">
      <c r="A309" s="27" t="n"/>
      <c r="B309" s="506" t="n"/>
      <c r="C309" s="141" t="n"/>
      <c r="D309" s="141" t="n"/>
      <c r="E309" s="141" t="n"/>
      <c r="F309" s="141" t="n"/>
      <c r="G309" s="143" t="n"/>
      <c r="H309" s="27" t="n"/>
    </row>
    <row r="310" ht="17.25" customHeight="1" s="322">
      <c r="A310" s="27" t="n"/>
      <c r="B310" s="506" t="n"/>
      <c r="C310" s="141" t="n"/>
      <c r="D310" s="141" t="n"/>
      <c r="E310" s="141" t="n"/>
      <c r="F310" s="141" t="n"/>
      <c r="G310" s="143" t="n"/>
      <c r="H310" s="27" t="n"/>
    </row>
    <row r="311" ht="17.25" customHeight="1" s="322">
      <c r="A311" s="27" t="n"/>
      <c r="B311" s="506" t="n"/>
      <c r="C311" s="141" t="n"/>
      <c r="D311" s="141" t="n"/>
      <c r="E311" s="141" t="n"/>
      <c r="F311" s="141" t="n"/>
      <c r="G311" s="143" t="n"/>
      <c r="H311" s="27" t="n"/>
    </row>
    <row r="312" ht="17.25" customHeight="1" s="322">
      <c r="A312" s="27" t="n"/>
      <c r="B312" s="506" t="n"/>
      <c r="C312" s="141" t="n"/>
      <c r="D312" s="141" t="n"/>
      <c r="E312" s="141" t="n"/>
      <c r="F312" s="141" t="n"/>
      <c r="G312" s="143" t="n"/>
      <c r="H312" s="27" t="n"/>
    </row>
    <row r="313" ht="17.25" customHeight="1" s="322">
      <c r="A313" s="27" t="n"/>
      <c r="B313" s="506" t="n"/>
      <c r="C313" s="141" t="n"/>
      <c r="D313" s="141" t="n"/>
      <c r="E313" s="141" t="n"/>
      <c r="F313" s="141" t="n"/>
      <c r="G313" s="143" t="n"/>
      <c r="H313" s="27" t="n"/>
    </row>
    <row r="314" ht="17.25" customHeight="1" s="322">
      <c r="A314" s="27" t="n"/>
      <c r="B314" s="506" t="n"/>
      <c r="C314" s="141" t="n"/>
      <c r="D314" s="141" t="n"/>
      <c r="E314" s="141" t="n"/>
      <c r="F314" s="141" t="n"/>
      <c r="G314" s="143" t="n"/>
      <c r="H314" s="27" t="n"/>
    </row>
    <row r="315" ht="17.25" customHeight="1" s="322">
      <c r="A315" s="27" t="n"/>
      <c r="B315" s="506" t="n"/>
      <c r="C315" s="141" t="n"/>
      <c r="D315" s="141" t="n"/>
      <c r="E315" s="141" t="n"/>
      <c r="F315" s="141" t="n"/>
      <c r="G315" s="143" t="n"/>
      <c r="H315" s="27" t="n"/>
    </row>
    <row r="316" ht="17.25" customHeight="1" s="322">
      <c r="A316" s="27" t="n"/>
      <c r="B316" s="506" t="n"/>
      <c r="C316" s="141" t="n"/>
      <c r="D316" s="141" t="n"/>
      <c r="E316" s="141" t="n"/>
      <c r="F316" s="141" t="n"/>
      <c r="G316" s="143" t="n"/>
      <c r="H316" s="27" t="n"/>
    </row>
    <row r="317" ht="17.25" customHeight="1" s="322">
      <c r="A317" s="27" t="n"/>
      <c r="B317" s="506" t="n"/>
      <c r="C317" s="141" t="n"/>
      <c r="D317" s="141" t="n"/>
      <c r="E317" s="141" t="n"/>
      <c r="F317" s="141" t="n"/>
      <c r="G317" s="143" t="n"/>
      <c r="H317" s="27" t="n"/>
    </row>
    <row r="318" ht="17.25" customHeight="1" s="322">
      <c r="A318" s="27" t="n"/>
      <c r="B318" s="506" t="n"/>
      <c r="C318" s="141" t="n"/>
      <c r="D318" s="141" t="n"/>
      <c r="E318" s="141" t="n"/>
      <c r="F318" s="141" t="n"/>
      <c r="G318" s="143" t="n"/>
      <c r="H318" s="27" t="n"/>
    </row>
    <row r="319" ht="17.25" customHeight="1" s="322">
      <c r="A319" s="27" t="n"/>
      <c r="B319" s="506" t="n"/>
      <c r="C319" s="141" t="n"/>
      <c r="D319" s="141" t="n"/>
      <c r="E319" s="141" t="n"/>
      <c r="F319" s="141" t="n"/>
      <c r="G319" s="143" t="n"/>
      <c r="H319" s="27" t="n"/>
    </row>
    <row r="320" ht="17.25" customHeight="1" s="322">
      <c r="A320" s="27" t="n"/>
      <c r="B320" s="506" t="n"/>
      <c r="C320" s="141" t="n"/>
      <c r="D320" s="141" t="n"/>
      <c r="E320" s="141" t="n"/>
      <c r="F320" s="141" t="n"/>
      <c r="G320" s="143" t="n"/>
      <c r="H320" s="27" t="n"/>
    </row>
    <row r="321" ht="17.25" customHeight="1" s="322">
      <c r="A321" s="27" t="n"/>
      <c r="B321" s="506" t="n"/>
      <c r="C321" s="141" t="n"/>
      <c r="D321" s="141" t="n"/>
      <c r="E321" s="141" t="n"/>
      <c r="F321" s="141" t="n"/>
      <c r="G321" s="143" t="n"/>
      <c r="H321" s="27" t="n"/>
    </row>
    <row r="322" ht="17.25" customHeight="1" s="322">
      <c r="A322" s="27" t="n"/>
      <c r="B322" s="506" t="n"/>
      <c r="C322" s="141" t="n"/>
      <c r="D322" s="141" t="n"/>
      <c r="E322" s="141" t="n"/>
      <c r="F322" s="141" t="n"/>
      <c r="G322" s="143" t="n"/>
      <c r="H322" s="27" t="n"/>
    </row>
    <row r="323" ht="17.25" customHeight="1" s="322">
      <c r="A323" s="27" t="n"/>
      <c r="B323" s="506" t="n"/>
      <c r="C323" s="141" t="n"/>
      <c r="D323" s="141" t="n"/>
      <c r="E323" s="141" t="n"/>
      <c r="F323" s="141" t="n"/>
      <c r="G323" s="143" t="n"/>
      <c r="H323" s="27" t="n"/>
    </row>
    <row r="324" ht="17.25" customHeight="1" s="322">
      <c r="A324" s="27" t="n"/>
      <c r="B324" s="506" t="n"/>
      <c r="C324" s="141" t="n"/>
      <c r="D324" s="141" t="n"/>
      <c r="E324" s="141" t="n"/>
      <c r="F324" s="141" t="n"/>
      <c r="G324" s="143" t="n"/>
      <c r="H324" s="27" t="n"/>
    </row>
    <row r="325" ht="17.25" customHeight="1" s="322">
      <c r="A325" s="27" t="n"/>
      <c r="B325" s="506" t="n"/>
      <c r="C325" s="141" t="n"/>
      <c r="D325" s="141" t="n"/>
      <c r="E325" s="141" t="n"/>
      <c r="F325" s="141" t="n"/>
      <c r="G325" s="143" t="n"/>
      <c r="H325" s="27" t="n"/>
    </row>
    <row r="326" ht="17.25" customHeight="1" s="322">
      <c r="A326" s="27" t="n"/>
      <c r="B326" s="506" t="n"/>
      <c r="C326" s="141" t="n"/>
      <c r="D326" s="141" t="n"/>
      <c r="E326" s="141" t="n"/>
      <c r="F326" s="141" t="n"/>
      <c r="G326" s="143" t="n"/>
      <c r="H326" s="27" t="n"/>
    </row>
    <row r="327" ht="17.25" customHeight="1" s="322">
      <c r="A327" s="27" t="n"/>
      <c r="B327" s="506" t="n"/>
      <c r="C327" s="141" t="n"/>
      <c r="D327" s="141" t="n"/>
      <c r="E327" s="141" t="n"/>
      <c r="F327" s="141" t="n"/>
      <c r="G327" s="143" t="n"/>
      <c r="H327" s="27" t="n"/>
    </row>
    <row r="328" ht="17.25" customHeight="1" s="322">
      <c r="A328" s="27" t="n"/>
      <c r="B328" s="506" t="n"/>
      <c r="C328" s="141" t="n"/>
      <c r="D328" s="141" t="n"/>
      <c r="E328" s="141" t="n"/>
      <c r="F328" s="141" t="n"/>
      <c r="G328" s="143" t="n"/>
      <c r="H328" s="27" t="n"/>
    </row>
    <row r="329" ht="17.25" customHeight="1" s="322">
      <c r="A329" s="27" t="n"/>
      <c r="B329" s="506" t="n"/>
      <c r="C329" s="141" t="n"/>
      <c r="D329" s="141" t="n"/>
      <c r="E329" s="141" t="n"/>
      <c r="F329" s="141" t="n"/>
      <c r="G329" s="143" t="n"/>
      <c r="H329" s="27" t="n"/>
    </row>
    <row r="330" ht="17.25" customHeight="1" s="322">
      <c r="A330" s="27" t="n"/>
      <c r="B330" s="506" t="n"/>
      <c r="C330" s="141" t="n"/>
      <c r="D330" s="141" t="n"/>
      <c r="E330" s="141" t="n"/>
      <c r="F330" s="141" t="n"/>
      <c r="G330" s="143" t="n"/>
      <c r="H330" s="27" t="n"/>
    </row>
    <row r="331" ht="17.25" customHeight="1" s="322">
      <c r="A331" s="27" t="n"/>
      <c r="B331" s="506" t="n"/>
      <c r="C331" s="141" t="n"/>
      <c r="D331" s="141" t="n"/>
      <c r="E331" s="141" t="n"/>
      <c r="F331" s="141" t="n"/>
      <c r="G331" s="143" t="n"/>
      <c r="H331" s="27" t="n"/>
    </row>
    <row r="332" ht="17.25" customHeight="1" s="322">
      <c r="A332" s="27" t="n"/>
      <c r="B332" s="506" t="n"/>
      <c r="C332" s="141" t="n"/>
      <c r="D332" s="141" t="n"/>
      <c r="E332" s="141" t="n"/>
      <c r="F332" s="141" t="n"/>
      <c r="G332" s="143" t="n"/>
      <c r="H332" s="27" t="n"/>
    </row>
    <row r="333" ht="17.25" customHeight="1" s="322">
      <c r="A333" s="27" t="n"/>
      <c r="B333" s="506" t="n"/>
      <c r="C333" s="141" t="n"/>
      <c r="D333" s="141" t="n"/>
      <c r="E333" s="141" t="n"/>
      <c r="F333" s="141" t="n"/>
      <c r="G333" s="143" t="n"/>
      <c r="H333" s="27" t="n"/>
    </row>
    <row r="334" ht="17.25" customHeight="1" s="322">
      <c r="A334" s="27" t="n"/>
      <c r="B334" s="506" t="n"/>
      <c r="C334" s="141" t="n"/>
      <c r="D334" s="141" t="n"/>
      <c r="E334" s="141" t="n"/>
      <c r="F334" s="141" t="n"/>
      <c r="G334" s="143" t="n"/>
      <c r="H334" s="27" t="n"/>
    </row>
    <row r="335" ht="17.25" customHeight="1" s="322">
      <c r="A335" s="27" t="n"/>
      <c r="B335" s="506" t="n"/>
      <c r="C335" s="141" t="n"/>
      <c r="D335" s="141" t="n"/>
      <c r="E335" s="141" t="n"/>
      <c r="F335" s="141" t="n"/>
      <c r="G335" s="143" t="n"/>
      <c r="H335" s="27" t="n"/>
    </row>
    <row r="336" ht="17.25" customHeight="1" s="322">
      <c r="A336" s="27" t="n"/>
      <c r="B336" s="506" t="n"/>
      <c r="C336" s="141" t="n"/>
      <c r="D336" s="141" t="n"/>
      <c r="E336" s="141" t="n"/>
      <c r="F336" s="141" t="n"/>
      <c r="G336" s="143" t="n"/>
      <c r="H336" s="27" t="n"/>
    </row>
    <row r="337" ht="17.25" customHeight="1" s="322">
      <c r="A337" s="27" t="n"/>
      <c r="B337" s="506" t="n"/>
      <c r="C337" s="141" t="n"/>
      <c r="D337" s="141" t="n"/>
      <c r="E337" s="141" t="n"/>
      <c r="F337" s="141" t="n"/>
      <c r="G337" s="143" t="n"/>
      <c r="H337" s="27" t="n"/>
    </row>
    <row r="338" ht="17.25" customHeight="1" s="322">
      <c r="A338" s="27" t="n"/>
      <c r="B338" s="506" t="n"/>
      <c r="C338" s="141" t="n"/>
      <c r="D338" s="141" t="n"/>
      <c r="E338" s="141" t="n"/>
      <c r="F338" s="141" t="n"/>
      <c r="G338" s="143" t="n"/>
      <c r="H338" s="27" t="n"/>
    </row>
    <row r="339" ht="17.25" customHeight="1" s="322">
      <c r="A339" s="27" t="n"/>
      <c r="B339" s="506" t="n"/>
      <c r="C339" s="141" t="n"/>
      <c r="D339" s="141" t="n"/>
      <c r="E339" s="141" t="n"/>
      <c r="F339" s="141" t="n"/>
      <c r="G339" s="143" t="n"/>
      <c r="H339" s="27" t="n"/>
    </row>
    <row r="340" ht="17.25" customHeight="1" s="322">
      <c r="A340" s="27" t="n"/>
      <c r="B340" s="506" t="n"/>
      <c r="C340" s="141" t="n"/>
      <c r="D340" s="141" t="n"/>
      <c r="E340" s="141" t="n"/>
      <c r="F340" s="141" t="n"/>
      <c r="G340" s="143" t="n"/>
      <c r="H340" s="27" t="n"/>
    </row>
    <row r="341" ht="17.25" customHeight="1" s="322">
      <c r="A341" s="27" t="n"/>
      <c r="B341" s="506" t="n"/>
      <c r="C341" s="141" t="n"/>
      <c r="D341" s="141" t="n"/>
      <c r="E341" s="141" t="n"/>
      <c r="F341" s="141" t="n"/>
      <c r="G341" s="143" t="n"/>
      <c r="H341" s="27" t="n"/>
    </row>
    <row r="342" ht="17.25" customHeight="1" s="322">
      <c r="A342" s="27" t="n"/>
      <c r="B342" s="506" t="n"/>
      <c r="C342" s="141" t="n"/>
      <c r="D342" s="141" t="n"/>
      <c r="E342" s="141" t="n"/>
      <c r="F342" s="141" t="n"/>
      <c r="G342" s="143" t="n"/>
      <c r="H342" s="27" t="n"/>
    </row>
    <row r="343" ht="17.25" customHeight="1" s="322">
      <c r="A343" s="27" t="n"/>
      <c r="B343" s="506" t="n"/>
      <c r="C343" s="141" t="n"/>
      <c r="D343" s="141" t="n"/>
      <c r="E343" s="141" t="n"/>
      <c r="F343" s="141" t="n"/>
      <c r="G343" s="143" t="n"/>
      <c r="H343" s="27" t="n"/>
    </row>
    <row r="344" ht="17.25" customHeight="1" s="322">
      <c r="A344" s="27" t="n"/>
      <c r="B344" s="506" t="n"/>
      <c r="C344" s="141" t="n"/>
      <c r="D344" s="141" t="n"/>
      <c r="E344" s="141" t="n"/>
      <c r="F344" s="141" t="n"/>
      <c r="G344" s="143" t="n"/>
      <c r="H344" s="27" t="n"/>
    </row>
    <row r="345" ht="17.25" customHeight="1" s="322">
      <c r="A345" s="27" t="n"/>
      <c r="B345" s="506" t="n"/>
      <c r="C345" s="141" t="n"/>
      <c r="D345" s="141" t="n"/>
      <c r="E345" s="141" t="n"/>
      <c r="F345" s="141" t="n"/>
      <c r="G345" s="143" t="n"/>
      <c r="H345" s="27" t="n"/>
    </row>
    <row r="346" ht="17.25" customHeight="1" s="322">
      <c r="A346" s="27" t="n"/>
      <c r="B346" s="506" t="n"/>
      <c r="C346" s="141" t="n"/>
      <c r="D346" s="141" t="n"/>
      <c r="E346" s="141" t="n"/>
      <c r="F346" s="141" t="n"/>
      <c r="G346" s="143" t="n"/>
      <c r="H346" s="27" t="n"/>
    </row>
    <row r="347" ht="17.25" customHeight="1" s="322">
      <c r="A347" s="27" t="n"/>
      <c r="B347" s="506" t="n"/>
      <c r="C347" s="141" t="n"/>
      <c r="D347" s="141" t="n"/>
      <c r="E347" s="141" t="n"/>
      <c r="F347" s="141" t="n"/>
      <c r="G347" s="143" t="n"/>
      <c r="H347" s="27" t="n"/>
    </row>
    <row r="348" ht="17.25" customHeight="1" s="322">
      <c r="A348" s="27" t="n"/>
      <c r="B348" s="506" t="n"/>
      <c r="C348" s="141" t="n"/>
      <c r="D348" s="141" t="n"/>
      <c r="E348" s="141" t="n"/>
      <c r="F348" s="141" t="n"/>
      <c r="G348" s="143" t="n"/>
      <c r="H348" s="27" t="n"/>
    </row>
    <row r="349" ht="17.25" customHeight="1" s="322">
      <c r="A349" s="27" t="n"/>
      <c r="B349" s="506" t="n"/>
      <c r="C349" s="141" t="n"/>
      <c r="D349" s="141" t="n"/>
      <c r="E349" s="141" t="n"/>
      <c r="F349" s="141" t="n"/>
      <c r="G349" s="143" t="n"/>
      <c r="H349" s="27" t="n"/>
    </row>
    <row r="350" ht="17.25" customHeight="1" s="322">
      <c r="A350" s="27" t="n"/>
      <c r="B350" s="506" t="n"/>
      <c r="C350" s="141" t="n"/>
      <c r="D350" s="141" t="n"/>
      <c r="E350" s="141" t="n"/>
      <c r="F350" s="141" t="n"/>
      <c r="G350" s="143" t="n"/>
      <c r="H350" s="27" t="n"/>
    </row>
    <row r="351" ht="17.25" customHeight="1" s="322">
      <c r="A351" s="27" t="n"/>
      <c r="B351" s="506" t="n"/>
      <c r="C351" s="141" t="n"/>
      <c r="D351" s="141" t="n"/>
      <c r="E351" s="141" t="n"/>
      <c r="F351" s="141" t="n"/>
      <c r="G351" s="143" t="n"/>
      <c r="H351" s="27" t="n"/>
    </row>
    <row r="352" ht="17.25" customHeight="1" s="322">
      <c r="A352" s="27" t="n"/>
      <c r="B352" s="506" t="n"/>
      <c r="C352" s="141" t="n"/>
      <c r="D352" s="141" t="n"/>
      <c r="E352" s="141" t="n"/>
      <c r="F352" s="141" t="n"/>
      <c r="G352" s="143" t="n"/>
      <c r="H352" s="27" t="n"/>
    </row>
    <row r="353" ht="17.25" customHeight="1" s="322">
      <c r="A353" s="27" t="n"/>
      <c r="B353" s="506" t="n"/>
      <c r="C353" s="141" t="n"/>
      <c r="D353" s="141" t="n"/>
      <c r="E353" s="141" t="n"/>
      <c r="F353" s="141" t="n"/>
      <c r="G353" s="143" t="n"/>
      <c r="H353" s="27" t="n"/>
    </row>
    <row r="354" ht="17.25" customHeight="1" s="322">
      <c r="A354" s="27" t="n"/>
      <c r="B354" s="506" t="n"/>
      <c r="C354" s="141" t="n"/>
      <c r="D354" s="141" t="n"/>
      <c r="E354" s="141" t="n"/>
      <c r="F354" s="141" t="n"/>
      <c r="G354" s="143" t="n"/>
      <c r="H354" s="27" t="n"/>
    </row>
    <row r="355" ht="17.25" customHeight="1" s="322">
      <c r="A355" s="27" t="n"/>
      <c r="B355" s="506" t="n"/>
      <c r="C355" s="141" t="n"/>
      <c r="D355" s="141" t="n"/>
      <c r="E355" s="141" t="n"/>
      <c r="F355" s="141" t="n"/>
      <c r="G355" s="143" t="n"/>
      <c r="H355" s="27" t="n"/>
    </row>
    <row r="356" ht="17.25" customHeight="1" s="322">
      <c r="A356" s="27" t="n"/>
      <c r="B356" s="506" t="n"/>
      <c r="C356" s="141" t="n"/>
      <c r="D356" s="141" t="n"/>
      <c r="E356" s="141" t="n"/>
      <c r="F356" s="141" t="n"/>
      <c r="G356" s="143" t="n"/>
      <c r="H356" s="27" t="n"/>
    </row>
    <row r="357" ht="17.25" customHeight="1" s="322">
      <c r="A357" s="27" t="n"/>
      <c r="B357" s="506" t="n"/>
      <c r="C357" s="141" t="n"/>
      <c r="D357" s="141" t="n"/>
      <c r="E357" s="141" t="n"/>
      <c r="F357" s="141" t="n"/>
      <c r="G357" s="143" t="n"/>
      <c r="H357" s="27" t="n"/>
    </row>
    <row r="358" ht="17.25" customHeight="1" s="322">
      <c r="A358" s="27" t="n"/>
      <c r="B358" s="506" t="n"/>
      <c r="C358" s="141" t="n"/>
      <c r="D358" s="141" t="n"/>
      <c r="E358" s="141" t="n"/>
      <c r="F358" s="141" t="n"/>
      <c r="G358" s="143" t="n"/>
      <c r="H358" s="27" t="n"/>
    </row>
    <row r="359" ht="17.25" customHeight="1" s="322">
      <c r="A359" s="27" t="n"/>
      <c r="B359" s="506" t="n"/>
      <c r="C359" s="141" t="n"/>
      <c r="D359" s="141" t="n"/>
      <c r="E359" s="141" t="n"/>
      <c r="F359" s="141" t="n"/>
      <c r="G359" s="143" t="n"/>
      <c r="H359" s="27" t="n"/>
    </row>
    <row r="360" ht="17.25" customHeight="1" s="322">
      <c r="A360" s="27" t="n"/>
      <c r="B360" s="506" t="n"/>
      <c r="C360" s="141" t="n"/>
      <c r="D360" s="141" t="n"/>
      <c r="E360" s="141" t="n"/>
      <c r="F360" s="141" t="n"/>
      <c r="G360" s="143" t="n"/>
      <c r="H360" s="27" t="n"/>
    </row>
    <row r="361" ht="17.25" customHeight="1" s="322">
      <c r="A361" s="27" t="n"/>
      <c r="B361" s="506" t="n"/>
      <c r="C361" s="141" t="n"/>
      <c r="D361" s="141" t="n"/>
      <c r="E361" s="141" t="n"/>
      <c r="F361" s="141" t="n"/>
      <c r="G361" s="143" t="n"/>
      <c r="H361" s="27" t="n"/>
    </row>
    <row r="362" ht="17.25" customHeight="1" s="322">
      <c r="A362" s="27" t="n"/>
      <c r="B362" s="506" t="n"/>
      <c r="C362" s="141" t="n"/>
      <c r="D362" s="141" t="n"/>
      <c r="E362" s="141" t="n"/>
      <c r="F362" s="141" t="n"/>
      <c r="G362" s="143" t="n"/>
      <c r="H362" s="27" t="n"/>
    </row>
    <row r="363" ht="17.25" customHeight="1" s="322">
      <c r="A363" s="27" t="n"/>
      <c r="B363" s="506" t="n"/>
      <c r="C363" s="141" t="n"/>
      <c r="D363" s="141" t="n"/>
      <c r="E363" s="141" t="n"/>
      <c r="F363" s="141" t="n"/>
      <c r="G363" s="143" t="n"/>
      <c r="H363" s="27" t="n"/>
    </row>
    <row r="364" ht="17.25" customHeight="1" s="322">
      <c r="A364" s="27" t="n"/>
      <c r="B364" s="506" t="n"/>
      <c r="C364" s="141" t="n"/>
      <c r="D364" s="141" t="n"/>
      <c r="E364" s="141" t="n"/>
      <c r="F364" s="141" t="n"/>
      <c r="G364" s="143" t="n"/>
      <c r="H364" s="27" t="n"/>
    </row>
    <row r="365" ht="17.25" customHeight="1" s="322">
      <c r="A365" s="27" t="n"/>
      <c r="B365" s="506" t="n"/>
      <c r="C365" s="141" t="n"/>
      <c r="D365" s="141" t="n"/>
      <c r="E365" s="141" t="n"/>
      <c r="F365" s="141" t="n"/>
      <c r="G365" s="143" t="n"/>
      <c r="H365" s="27" t="n"/>
    </row>
    <row r="366" ht="17.25" customHeight="1" s="322">
      <c r="A366" s="27" t="n"/>
      <c r="B366" s="506" t="n"/>
      <c r="C366" s="141" t="n"/>
      <c r="D366" s="141" t="n"/>
      <c r="E366" s="141" t="n"/>
      <c r="F366" s="141" t="n"/>
      <c r="G366" s="143" t="n"/>
      <c r="H366" s="27" t="n"/>
    </row>
    <row r="367" ht="17.25" customHeight="1" s="322">
      <c r="A367" s="27" t="n"/>
      <c r="B367" s="506" t="n"/>
      <c r="C367" s="141" t="n"/>
      <c r="D367" s="141" t="n"/>
      <c r="E367" s="141" t="n"/>
      <c r="F367" s="141" t="n"/>
      <c r="G367" s="143" t="n"/>
      <c r="H367" s="27" t="n"/>
    </row>
    <row r="368" ht="17.25" customHeight="1" s="322">
      <c r="A368" s="27" t="n"/>
      <c r="B368" s="506" t="n"/>
      <c r="C368" s="141" t="n"/>
      <c r="D368" s="141" t="n"/>
      <c r="E368" s="141" t="n"/>
      <c r="F368" s="141" t="n"/>
      <c r="G368" s="143" t="n"/>
      <c r="H368" s="27" t="n"/>
    </row>
    <row r="369" ht="17.25" customHeight="1" s="322">
      <c r="A369" s="27" t="n"/>
      <c r="B369" s="506" t="n"/>
      <c r="C369" s="141" t="n"/>
      <c r="D369" s="141" t="n"/>
      <c r="E369" s="141" t="n"/>
      <c r="F369" s="141" t="n"/>
      <c r="G369" s="143" t="n"/>
      <c r="H369" s="27" t="n"/>
    </row>
    <row r="370" ht="17.25" customHeight="1" s="322">
      <c r="A370" s="27" t="n"/>
      <c r="B370" s="506" t="n"/>
      <c r="C370" s="141" t="n"/>
      <c r="D370" s="141" t="n"/>
      <c r="E370" s="141" t="n"/>
      <c r="F370" s="141" t="n"/>
      <c r="G370" s="143" t="n"/>
      <c r="H370" s="27" t="n"/>
    </row>
    <row r="371" ht="17.25" customHeight="1" s="322">
      <c r="A371" s="27" t="n"/>
      <c r="B371" s="506" t="n"/>
      <c r="C371" s="141" t="n"/>
      <c r="D371" s="141" t="n"/>
      <c r="E371" s="141" t="n"/>
      <c r="F371" s="141" t="n"/>
      <c r="G371" s="143" t="n"/>
      <c r="H371" s="27" t="n"/>
    </row>
    <row r="372" ht="17.25" customHeight="1" s="322">
      <c r="A372" s="27" t="n"/>
      <c r="B372" s="506" t="n"/>
      <c r="C372" s="141" t="n"/>
      <c r="D372" s="141" t="n"/>
      <c r="E372" s="141" t="n"/>
      <c r="F372" s="141" t="n"/>
      <c r="G372" s="143" t="n"/>
      <c r="H372" s="27" t="n"/>
    </row>
    <row r="373" ht="17.25" customHeight="1" s="322">
      <c r="A373" s="27" t="n"/>
      <c r="B373" s="506" t="n"/>
      <c r="C373" s="141" t="n"/>
      <c r="D373" s="141" t="n"/>
      <c r="E373" s="141" t="n"/>
      <c r="F373" s="141" t="n"/>
      <c r="G373" s="143" t="n"/>
      <c r="H373" s="27" t="n"/>
    </row>
    <row r="374" ht="17.25" customHeight="1" s="322">
      <c r="A374" s="27" t="n"/>
      <c r="B374" s="506" t="n"/>
      <c r="C374" s="141" t="n"/>
      <c r="D374" s="141" t="n"/>
      <c r="E374" s="141" t="n"/>
      <c r="F374" s="141" t="n"/>
      <c r="G374" s="143" t="n"/>
      <c r="H374" s="27" t="n"/>
    </row>
    <row r="375" ht="17.25" customHeight="1" s="322">
      <c r="A375" s="27" t="n"/>
      <c r="B375" s="506" t="n"/>
      <c r="C375" s="141" t="n"/>
      <c r="D375" s="141" t="n"/>
      <c r="E375" s="141" t="n"/>
      <c r="F375" s="141" t="n"/>
      <c r="G375" s="143" t="n"/>
      <c r="H375" s="27" t="n"/>
    </row>
    <row r="376" ht="17.25" customHeight="1" s="322">
      <c r="A376" s="27" t="n"/>
      <c r="B376" s="506" t="n"/>
      <c r="C376" s="141" t="n"/>
      <c r="D376" s="141" t="n"/>
      <c r="E376" s="141" t="n"/>
      <c r="F376" s="141" t="n"/>
      <c r="G376" s="143" t="n"/>
      <c r="H376" s="27" t="n"/>
    </row>
    <row r="377" ht="17.25" customHeight="1" s="322">
      <c r="A377" s="27" t="n"/>
      <c r="B377" s="506" t="n"/>
      <c r="C377" s="141" t="n"/>
      <c r="D377" s="141" t="n"/>
      <c r="E377" s="141" t="n"/>
      <c r="F377" s="141" t="n"/>
      <c r="G377" s="143" t="n"/>
      <c r="H377" s="27" t="n"/>
    </row>
    <row r="378" ht="17.25" customHeight="1" s="322">
      <c r="A378" s="27" t="n"/>
      <c r="B378" s="506" t="n"/>
      <c r="C378" s="141" t="n"/>
      <c r="D378" s="141" t="n"/>
      <c r="E378" s="141" t="n"/>
      <c r="F378" s="141" t="n"/>
      <c r="G378" s="143" t="n"/>
      <c r="H378" s="27" t="n"/>
    </row>
    <row r="379" ht="17.25" customHeight="1" s="322">
      <c r="A379" s="27" t="n"/>
      <c r="B379" s="506" t="n"/>
      <c r="C379" s="141" t="n"/>
      <c r="D379" s="141" t="n"/>
      <c r="E379" s="141" t="n"/>
      <c r="F379" s="141" t="n"/>
      <c r="G379" s="143" t="n"/>
      <c r="H379" s="27" t="n"/>
    </row>
    <row r="380" ht="17.25" customHeight="1" s="322">
      <c r="A380" s="27" t="n"/>
      <c r="B380" s="506" t="n"/>
      <c r="C380" s="141" t="n"/>
      <c r="D380" s="141" t="n"/>
      <c r="E380" s="141" t="n"/>
      <c r="F380" s="141" t="n"/>
      <c r="G380" s="143" t="n"/>
      <c r="H380" s="27" t="n"/>
    </row>
    <row r="381" ht="17.25" customHeight="1" s="322">
      <c r="A381" s="27" t="n"/>
      <c r="B381" s="506" t="n"/>
      <c r="C381" s="141" t="n"/>
      <c r="D381" s="141" t="n"/>
      <c r="E381" s="141" t="n"/>
      <c r="F381" s="141" t="n"/>
      <c r="G381" s="143" t="n"/>
      <c r="H381" s="27" t="n"/>
    </row>
    <row r="382" ht="17.25" customHeight="1" s="322">
      <c r="A382" s="27" t="n"/>
      <c r="B382" s="506" t="n"/>
      <c r="C382" s="141" t="n"/>
      <c r="D382" s="141" t="n"/>
      <c r="E382" s="141" t="n"/>
      <c r="F382" s="141" t="n"/>
      <c r="G382" s="143" t="n"/>
      <c r="H382" s="27" t="n"/>
    </row>
    <row r="383" ht="17.25" customHeight="1" s="322">
      <c r="A383" s="27" t="n"/>
      <c r="B383" s="506" t="n"/>
      <c r="C383" s="141" t="n"/>
      <c r="D383" s="141" t="n"/>
      <c r="E383" s="141" t="n"/>
      <c r="F383" s="141" t="n"/>
      <c r="G383" s="143" t="n"/>
      <c r="H383" s="27" t="n"/>
    </row>
    <row r="384" ht="17.25" customHeight="1" s="322">
      <c r="A384" s="27" t="n"/>
      <c r="B384" s="506" t="n"/>
      <c r="C384" s="141" t="n"/>
      <c r="D384" s="141" t="n"/>
      <c r="E384" s="141" t="n"/>
      <c r="F384" s="141" t="n"/>
      <c r="G384" s="143" t="n"/>
      <c r="H384" s="27" t="n"/>
    </row>
    <row r="385" ht="17.25" customHeight="1" s="322">
      <c r="A385" s="27" t="n"/>
      <c r="B385" s="506" t="n"/>
      <c r="C385" s="141" t="n"/>
      <c r="D385" s="141" t="n"/>
      <c r="E385" s="141" t="n"/>
      <c r="F385" s="141" t="n"/>
      <c r="G385" s="143" t="n"/>
      <c r="H385" s="27" t="n"/>
    </row>
    <row r="386" ht="17.25" customHeight="1" s="322">
      <c r="A386" s="27" t="n"/>
      <c r="B386" s="506" t="n"/>
      <c r="C386" s="141" t="n"/>
      <c r="D386" s="141" t="n"/>
      <c r="E386" s="141" t="n"/>
      <c r="F386" s="141" t="n"/>
      <c r="G386" s="143" t="n"/>
      <c r="H386" s="27" t="n"/>
    </row>
    <row r="387" ht="17.25" customHeight="1" s="322">
      <c r="A387" s="27" t="n"/>
      <c r="B387" s="506" t="n"/>
      <c r="C387" s="141" t="n"/>
      <c r="D387" s="141" t="n"/>
      <c r="E387" s="141" t="n"/>
      <c r="F387" s="141" t="n"/>
      <c r="G387" s="143" t="n"/>
      <c r="H387" s="27" t="n"/>
    </row>
    <row r="388" ht="17.25" customHeight="1" s="322">
      <c r="A388" s="27" t="n"/>
      <c r="B388" s="506" t="n"/>
      <c r="C388" s="141" t="n"/>
      <c r="D388" s="141" t="n"/>
      <c r="E388" s="141" t="n"/>
      <c r="F388" s="141" t="n"/>
      <c r="G388" s="143" t="n"/>
      <c r="H388" s="27" t="n"/>
    </row>
    <row r="389" ht="17.25" customHeight="1" s="322">
      <c r="A389" s="27" t="n"/>
      <c r="B389" s="506" t="n"/>
      <c r="C389" s="141" t="n"/>
      <c r="D389" s="141" t="n"/>
      <c r="E389" s="141" t="n"/>
      <c r="F389" s="141" t="n"/>
      <c r="G389" s="143" t="n"/>
      <c r="H389" s="27" t="n"/>
    </row>
    <row r="390" ht="17.25" customHeight="1" s="322">
      <c r="A390" s="27" t="n"/>
      <c r="B390" s="506" t="n"/>
      <c r="C390" s="141" t="n"/>
      <c r="D390" s="141" t="n"/>
      <c r="E390" s="141" t="n"/>
      <c r="F390" s="141" t="n"/>
      <c r="G390" s="143" t="n"/>
      <c r="H390" s="27" t="n"/>
    </row>
    <row r="391" ht="17.25" customHeight="1" s="322">
      <c r="A391" s="27" t="n"/>
      <c r="B391" s="506" t="n"/>
      <c r="C391" s="141" t="n"/>
      <c r="D391" s="141" t="n"/>
      <c r="E391" s="141" t="n"/>
      <c r="F391" s="141" t="n"/>
      <c r="G391" s="143" t="n"/>
      <c r="H391" s="27" t="n"/>
    </row>
    <row r="392" ht="17.25" customHeight="1" s="322">
      <c r="A392" s="27" t="n"/>
      <c r="B392" s="506" t="n"/>
      <c r="C392" s="141" t="n"/>
      <c r="D392" s="141" t="n"/>
      <c r="E392" s="141" t="n"/>
      <c r="F392" s="141" t="n"/>
      <c r="G392" s="143" t="n"/>
      <c r="H392" s="27" t="n"/>
    </row>
    <row r="393" ht="17.25" customHeight="1" s="322">
      <c r="A393" s="27" t="n"/>
      <c r="B393" s="506" t="n"/>
      <c r="C393" s="141" t="n"/>
      <c r="D393" s="141" t="n"/>
      <c r="E393" s="141" t="n"/>
      <c r="F393" s="141" t="n"/>
      <c r="G393" s="143" t="n"/>
      <c r="H393" s="27" t="n"/>
    </row>
    <row r="394" ht="17.25" customHeight="1" s="322">
      <c r="A394" s="27" t="n"/>
      <c r="B394" s="506" t="n"/>
      <c r="C394" s="141" t="n"/>
      <c r="D394" s="141" t="n"/>
      <c r="E394" s="141" t="n"/>
      <c r="F394" s="141" t="n"/>
      <c r="G394" s="143" t="n"/>
      <c r="H394" s="27" t="n"/>
    </row>
    <row r="395" ht="17.25" customHeight="1" s="322">
      <c r="A395" s="27" t="n"/>
      <c r="B395" s="506" t="n"/>
      <c r="C395" s="141" t="n"/>
      <c r="D395" s="141" t="n"/>
      <c r="E395" s="141" t="n"/>
      <c r="F395" s="141" t="n"/>
      <c r="G395" s="143" t="n"/>
      <c r="H395" s="27" t="n"/>
    </row>
    <row r="396" ht="17.25" customHeight="1" s="322">
      <c r="A396" s="27" t="n"/>
      <c r="B396" s="506" t="n"/>
      <c r="C396" s="141" t="n"/>
      <c r="D396" s="141" t="n"/>
      <c r="E396" s="141" t="n"/>
      <c r="F396" s="141" t="n"/>
      <c r="G396" s="143" t="n"/>
      <c r="H396" s="27" t="n"/>
    </row>
    <row r="397" ht="17.25" customHeight="1" s="322">
      <c r="A397" s="27" t="n"/>
      <c r="B397" s="506" t="n"/>
      <c r="C397" s="141" t="n"/>
      <c r="D397" s="141" t="n"/>
      <c r="E397" s="141" t="n"/>
      <c r="F397" s="141" t="n"/>
      <c r="G397" s="143" t="n"/>
      <c r="H397" s="27" t="n"/>
    </row>
    <row r="398" ht="17.25" customHeight="1" s="322">
      <c r="A398" s="27" t="n"/>
      <c r="B398" s="506" t="n"/>
      <c r="C398" s="141" t="n"/>
      <c r="D398" s="141" t="n"/>
      <c r="E398" s="141" t="n"/>
      <c r="F398" s="141" t="n"/>
      <c r="G398" s="143" t="n"/>
      <c r="H398" s="27" t="n"/>
    </row>
    <row r="399" ht="17.25" customHeight="1" s="322">
      <c r="A399" s="27" t="n"/>
      <c r="B399" s="506" t="n"/>
      <c r="C399" s="141" t="n"/>
      <c r="D399" s="141" t="n"/>
      <c r="E399" s="141" t="n"/>
      <c r="F399" s="141" t="n"/>
      <c r="G399" s="143" t="n"/>
      <c r="H399" s="27" t="n"/>
    </row>
    <row r="400" ht="17.25" customHeight="1" s="322">
      <c r="A400" s="27" t="n"/>
      <c r="B400" s="506" t="n"/>
      <c r="C400" s="141" t="n"/>
      <c r="D400" s="141" t="n"/>
      <c r="E400" s="141" t="n"/>
      <c r="F400" s="141" t="n"/>
      <c r="G400" s="143" t="n"/>
      <c r="H400" s="27" t="n"/>
    </row>
    <row r="401" ht="17.25" customHeight="1" s="322">
      <c r="A401" s="27" t="n"/>
      <c r="B401" s="506" t="n"/>
      <c r="C401" s="141" t="n"/>
      <c r="D401" s="141" t="n"/>
      <c r="E401" s="141" t="n"/>
      <c r="F401" s="141" t="n"/>
      <c r="G401" s="143" t="n"/>
      <c r="H401" s="27" t="n"/>
    </row>
    <row r="402" ht="17.25" customHeight="1" s="322">
      <c r="A402" s="27" t="n"/>
      <c r="B402" s="506" t="n"/>
      <c r="C402" s="141" t="n"/>
      <c r="D402" s="141" t="n"/>
      <c r="E402" s="141" t="n"/>
      <c r="F402" s="141" t="n"/>
      <c r="G402" s="143" t="n"/>
      <c r="H402" s="27" t="n"/>
    </row>
    <row r="403" ht="17.25" customHeight="1" s="322">
      <c r="A403" s="27" t="n"/>
      <c r="B403" s="506" t="n"/>
      <c r="C403" s="141" t="n"/>
      <c r="D403" s="141" t="n"/>
      <c r="E403" s="141" t="n"/>
      <c r="F403" s="141" t="n"/>
      <c r="G403" s="143" t="n"/>
      <c r="H403" s="27" t="n"/>
    </row>
    <row r="404" ht="17.25" customHeight="1" s="322">
      <c r="A404" s="27" t="n"/>
      <c r="B404" s="506" t="n"/>
      <c r="C404" s="141" t="n"/>
      <c r="D404" s="141" t="n"/>
      <c r="E404" s="141" t="n"/>
      <c r="F404" s="141" t="n"/>
      <c r="G404" s="143" t="n"/>
      <c r="H404" s="27" t="n"/>
    </row>
    <row r="405" ht="17.25" customHeight="1" s="322">
      <c r="A405" s="27" t="n"/>
      <c r="B405" s="506" t="n"/>
      <c r="C405" s="141" t="n"/>
      <c r="D405" s="141" t="n"/>
      <c r="E405" s="141" t="n"/>
      <c r="F405" s="141" t="n"/>
      <c r="G405" s="143" t="n"/>
      <c r="H405" s="27" t="n"/>
    </row>
    <row r="406" ht="17.25" customHeight="1" s="322">
      <c r="A406" s="27" t="n"/>
      <c r="B406" s="506" t="n"/>
      <c r="C406" s="141" t="n"/>
      <c r="D406" s="141" t="n"/>
      <c r="E406" s="141" t="n"/>
      <c r="F406" s="141" t="n"/>
      <c r="G406" s="143" t="n"/>
      <c r="H406" s="27" t="n"/>
    </row>
    <row r="407" ht="17.25" customHeight="1" s="322">
      <c r="A407" s="27" t="n"/>
      <c r="B407" s="506" t="n"/>
      <c r="C407" s="141" t="n"/>
      <c r="D407" s="141" t="n"/>
      <c r="E407" s="141" t="n"/>
      <c r="F407" s="141" t="n"/>
      <c r="G407" s="143" t="n"/>
      <c r="H407" s="27" t="n"/>
    </row>
    <row r="408" ht="17.25" customHeight="1" s="322">
      <c r="A408" s="27" t="n"/>
      <c r="B408" s="506" t="n"/>
      <c r="C408" s="141" t="n"/>
      <c r="D408" s="141" t="n"/>
      <c r="E408" s="141" t="n"/>
      <c r="F408" s="141" t="n"/>
      <c r="G408" s="143" t="n"/>
      <c r="H408" s="27" t="n"/>
    </row>
    <row r="409" ht="17.25" customHeight="1" s="322">
      <c r="A409" s="27" t="n"/>
      <c r="B409" s="506" t="n"/>
      <c r="C409" s="141" t="n"/>
      <c r="D409" s="141" t="n"/>
      <c r="E409" s="141" t="n"/>
      <c r="F409" s="141" t="n"/>
      <c r="G409" s="143" t="n"/>
      <c r="H409" s="27" t="n"/>
    </row>
    <row r="410" ht="17.25" customHeight="1" s="322">
      <c r="A410" s="27" t="n"/>
      <c r="B410" s="506" t="n"/>
      <c r="C410" s="141" t="n"/>
      <c r="D410" s="141" t="n"/>
      <c r="E410" s="141" t="n"/>
      <c r="F410" s="141" t="n"/>
      <c r="G410" s="143" t="n"/>
      <c r="H410" s="27" t="n"/>
    </row>
    <row r="411" ht="17.25" customHeight="1" s="322">
      <c r="A411" s="27" t="n"/>
      <c r="B411" s="506" t="n"/>
      <c r="C411" s="141" t="n"/>
      <c r="D411" s="141" t="n"/>
      <c r="E411" s="141" t="n"/>
      <c r="F411" s="141" t="n"/>
      <c r="G411" s="143" t="n"/>
      <c r="H411" s="27" t="n"/>
    </row>
    <row r="412" ht="17.25" customHeight="1" s="322">
      <c r="A412" s="27" t="n"/>
      <c r="B412" s="506" t="n"/>
      <c r="C412" s="141" t="n"/>
      <c r="D412" s="141" t="n"/>
      <c r="E412" s="141" t="n"/>
      <c r="F412" s="141" t="n"/>
      <c r="G412" s="143" t="n"/>
      <c r="H412" s="27" t="n"/>
    </row>
    <row r="413" ht="17.25" customHeight="1" s="322">
      <c r="A413" s="27" t="n"/>
      <c r="B413" s="506" t="n"/>
      <c r="C413" s="141" t="n"/>
      <c r="D413" s="141" t="n"/>
      <c r="E413" s="141" t="n"/>
      <c r="F413" s="141" t="n"/>
      <c r="G413" s="143" t="n"/>
      <c r="H413" s="27" t="n"/>
    </row>
    <row r="414" ht="17.25" customHeight="1" s="322">
      <c r="A414" s="27" t="n"/>
      <c r="B414" s="506" t="n"/>
      <c r="C414" s="141" t="n"/>
      <c r="D414" s="141" t="n"/>
      <c r="E414" s="141" t="n"/>
      <c r="F414" s="141" t="n"/>
      <c r="G414" s="143" t="n"/>
      <c r="H414" s="27" t="n"/>
    </row>
    <row r="415" ht="17.25" customHeight="1" s="322">
      <c r="A415" s="27" t="n"/>
      <c r="B415" s="506" t="n"/>
      <c r="C415" s="141" t="n"/>
      <c r="D415" s="141" t="n"/>
      <c r="E415" s="141" t="n"/>
      <c r="F415" s="141" t="n"/>
      <c r="G415" s="143" t="n"/>
      <c r="H415" s="27" t="n"/>
    </row>
    <row r="416" ht="17.25" customHeight="1" s="322">
      <c r="A416" s="27" t="n"/>
      <c r="B416" s="506" t="n"/>
      <c r="C416" s="141" t="n"/>
      <c r="D416" s="141" t="n"/>
      <c r="E416" s="141" t="n"/>
      <c r="F416" s="141" t="n"/>
      <c r="G416" s="143" t="n"/>
      <c r="H416" s="27" t="n"/>
    </row>
    <row r="417" ht="17.25" customHeight="1" s="322">
      <c r="A417" s="27" t="n"/>
      <c r="B417" s="506" t="n"/>
      <c r="C417" s="141" t="n"/>
      <c r="D417" s="141" t="n"/>
      <c r="E417" s="141" t="n"/>
      <c r="F417" s="141" t="n"/>
      <c r="G417" s="143" t="n"/>
      <c r="H417" s="27" t="n"/>
    </row>
    <row r="418" ht="17.25" customHeight="1" s="322">
      <c r="A418" s="27" t="n"/>
      <c r="B418" s="506" t="n"/>
      <c r="C418" s="141" t="n"/>
      <c r="D418" s="141" t="n"/>
      <c r="E418" s="141" t="n"/>
      <c r="F418" s="141" t="n"/>
      <c r="G418" s="143" t="n"/>
      <c r="H418" s="27" t="n"/>
    </row>
    <row r="419" ht="17.25" customHeight="1" s="322">
      <c r="A419" s="27" t="n"/>
      <c r="B419" s="506" t="n"/>
      <c r="C419" s="141" t="n"/>
      <c r="D419" s="141" t="n"/>
      <c r="E419" s="141" t="n"/>
      <c r="F419" s="141" t="n"/>
      <c r="G419" s="143" t="n"/>
      <c r="H419" s="27" t="n"/>
    </row>
    <row r="420" ht="17.25" customHeight="1" s="322">
      <c r="A420" s="27" t="n"/>
      <c r="B420" s="506" t="n"/>
      <c r="C420" s="141" t="n"/>
      <c r="D420" s="141" t="n"/>
      <c r="E420" s="141" t="n"/>
      <c r="F420" s="141" t="n"/>
      <c r="G420" s="143" t="n"/>
      <c r="H420" s="27" t="n"/>
    </row>
    <row r="421" ht="17.25" customHeight="1" s="322">
      <c r="A421" s="27" t="n"/>
      <c r="B421" s="506" t="n"/>
      <c r="C421" s="141" t="n"/>
      <c r="D421" s="141" t="n"/>
      <c r="E421" s="141" t="n"/>
      <c r="F421" s="141" t="n"/>
      <c r="G421" s="143" t="n"/>
      <c r="H421" s="27" t="n"/>
    </row>
    <row r="422" ht="17.25" customHeight="1" s="322">
      <c r="A422" s="27" t="n"/>
      <c r="B422" s="506" t="n"/>
      <c r="C422" s="141" t="n"/>
      <c r="D422" s="141" t="n"/>
      <c r="E422" s="141" t="n"/>
      <c r="F422" s="141" t="n"/>
      <c r="G422" s="143" t="n"/>
      <c r="H422" s="27" t="n"/>
    </row>
    <row r="423" ht="17.25" customHeight="1" s="322">
      <c r="A423" s="27" t="n"/>
      <c r="B423" s="506" t="n"/>
      <c r="C423" s="141" t="n"/>
      <c r="D423" s="141" t="n"/>
      <c r="E423" s="141" t="n"/>
      <c r="F423" s="141" t="n"/>
      <c r="G423" s="143" t="n"/>
      <c r="H423" s="27" t="n"/>
    </row>
    <row r="424" ht="17.25" customHeight="1" s="322">
      <c r="A424" s="27" t="n"/>
      <c r="B424" s="506" t="n"/>
      <c r="C424" s="141" t="n"/>
      <c r="D424" s="141" t="n"/>
      <c r="E424" s="141" t="n"/>
      <c r="F424" s="141" t="n"/>
      <c r="G424" s="143" t="n"/>
      <c r="H424" s="27" t="n"/>
    </row>
    <row r="425" ht="17.25" customHeight="1" s="322">
      <c r="A425" s="27" t="n"/>
      <c r="B425" s="506" t="n"/>
      <c r="C425" s="141" t="n"/>
      <c r="D425" s="141" t="n"/>
      <c r="E425" s="141" t="n"/>
      <c r="F425" s="141" t="n"/>
      <c r="G425" s="143" t="n"/>
      <c r="H425" s="27" t="n"/>
    </row>
    <row r="426" ht="17.25" customHeight="1" s="322">
      <c r="A426" s="27" t="n"/>
      <c r="B426" s="506" t="n"/>
      <c r="C426" s="141" t="n"/>
      <c r="D426" s="141" t="n"/>
      <c r="E426" s="141" t="n"/>
      <c r="F426" s="141" t="n"/>
      <c r="G426" s="143" t="n"/>
      <c r="H426" s="27" t="n"/>
    </row>
    <row r="427" ht="17.25" customHeight="1" s="322">
      <c r="A427" s="27" t="n"/>
      <c r="B427" s="506" t="n"/>
      <c r="C427" s="141" t="n"/>
      <c r="D427" s="141" t="n"/>
      <c r="E427" s="141" t="n"/>
      <c r="F427" s="141" t="n"/>
      <c r="G427" s="143" t="n"/>
      <c r="H427" s="27" t="n"/>
    </row>
    <row r="428" ht="17.25" customHeight="1" s="322">
      <c r="A428" s="27" t="n"/>
      <c r="B428" s="506" t="n"/>
      <c r="C428" s="141" t="n"/>
      <c r="D428" s="141" t="n"/>
      <c r="E428" s="141" t="n"/>
      <c r="F428" s="141" t="n"/>
      <c r="G428" s="143" t="n"/>
      <c r="H428" s="27" t="n"/>
    </row>
    <row r="429" ht="17.25" customHeight="1" s="322">
      <c r="A429" s="27" t="n"/>
      <c r="B429" s="506" t="n"/>
      <c r="C429" s="141" t="n"/>
      <c r="D429" s="141" t="n"/>
      <c r="E429" s="141" t="n"/>
      <c r="F429" s="141" t="n"/>
      <c r="G429" s="143" t="n"/>
      <c r="H429" s="27" t="n"/>
    </row>
    <row r="430" ht="17.25" customHeight="1" s="322">
      <c r="A430" s="27" t="n"/>
      <c r="B430" s="506" t="n"/>
      <c r="C430" s="141" t="n"/>
      <c r="D430" s="141" t="n"/>
      <c r="E430" s="141" t="n"/>
      <c r="F430" s="141" t="n"/>
      <c r="G430" s="143" t="n"/>
      <c r="H430" s="27" t="n"/>
    </row>
    <row r="431" ht="17.25" customHeight="1" s="322">
      <c r="A431" s="27" t="n"/>
      <c r="B431" s="506" t="n"/>
      <c r="C431" s="141" t="n"/>
      <c r="D431" s="141" t="n"/>
      <c r="E431" s="141" t="n"/>
      <c r="F431" s="141" t="n"/>
      <c r="G431" s="143" t="n"/>
      <c r="H431" s="27" t="n"/>
    </row>
    <row r="432" ht="17.25" customHeight="1" s="322">
      <c r="A432" s="27" t="n"/>
      <c r="B432" s="506" t="n"/>
      <c r="C432" s="141" t="n"/>
      <c r="D432" s="141" t="n"/>
      <c r="E432" s="141" t="n"/>
      <c r="F432" s="141" t="n"/>
      <c r="G432" s="143" t="n"/>
      <c r="H432" s="27" t="n"/>
    </row>
    <row r="433" ht="17.25" customHeight="1" s="322">
      <c r="A433" s="27" t="n"/>
      <c r="B433" s="506" t="n"/>
      <c r="C433" s="141" t="n"/>
      <c r="D433" s="141" t="n"/>
      <c r="E433" s="141" t="n"/>
      <c r="F433" s="141" t="n"/>
      <c r="G433" s="143" t="n"/>
      <c r="H433" s="27" t="n"/>
    </row>
    <row r="434" ht="17.25" customHeight="1" s="322">
      <c r="A434" s="27" t="n"/>
      <c r="B434" s="506" t="n"/>
      <c r="C434" s="141" t="n"/>
      <c r="D434" s="141" t="n"/>
      <c r="E434" s="141" t="n"/>
      <c r="F434" s="141" t="n"/>
      <c r="G434" s="143" t="n"/>
      <c r="H434" s="27" t="n"/>
    </row>
    <row r="435" ht="17.25" customHeight="1" s="322">
      <c r="A435" s="27" t="n"/>
      <c r="B435" s="506" t="n"/>
      <c r="C435" s="141" t="n"/>
      <c r="D435" s="141" t="n"/>
      <c r="E435" s="141" t="n"/>
      <c r="F435" s="141" t="n"/>
      <c r="G435" s="143" t="n"/>
      <c r="H435" s="27" t="n"/>
    </row>
    <row r="436" ht="17.25" customHeight="1" s="322">
      <c r="A436" s="27" t="n"/>
      <c r="B436" s="506" t="n"/>
      <c r="C436" s="141" t="n"/>
      <c r="D436" s="141" t="n"/>
      <c r="E436" s="141" t="n"/>
      <c r="F436" s="141" t="n"/>
      <c r="G436" s="143" t="n"/>
      <c r="H436" s="27" t="n"/>
    </row>
    <row r="437" ht="17.25" customHeight="1" s="322">
      <c r="A437" s="27" t="n"/>
      <c r="B437" s="506" t="n"/>
      <c r="C437" s="141" t="n"/>
      <c r="D437" s="141" t="n"/>
      <c r="E437" s="141" t="n"/>
      <c r="F437" s="141" t="n"/>
      <c r="G437" s="143" t="n"/>
      <c r="H437" s="27" t="n"/>
    </row>
    <row r="438" ht="17.25" customHeight="1" s="322">
      <c r="A438" s="27" t="n"/>
      <c r="B438" s="506" t="n"/>
      <c r="C438" s="141" t="n"/>
      <c r="D438" s="141" t="n"/>
      <c r="E438" s="141" t="n"/>
      <c r="F438" s="141" t="n"/>
      <c r="G438" s="143" t="n"/>
      <c r="H438" s="27" t="n"/>
    </row>
    <row r="439" ht="17.25" customHeight="1" s="322">
      <c r="A439" s="27" t="n"/>
      <c r="B439" s="506" t="n"/>
      <c r="C439" s="141" t="n"/>
      <c r="D439" s="141" t="n"/>
      <c r="E439" s="141" t="n"/>
      <c r="F439" s="141" t="n"/>
      <c r="G439" s="143" t="n"/>
      <c r="H439" s="27" t="n"/>
    </row>
    <row r="440" ht="17.25" customHeight="1" s="322">
      <c r="A440" s="27" t="n"/>
      <c r="B440" s="506" t="n"/>
      <c r="C440" s="141" t="n"/>
      <c r="D440" s="141" t="n"/>
      <c r="E440" s="141" t="n"/>
      <c r="F440" s="141" t="n"/>
      <c r="G440" s="143" t="n"/>
      <c r="H440" s="27" t="n"/>
    </row>
    <row r="441" ht="17.25" customHeight="1" s="322">
      <c r="A441" s="27" t="n"/>
      <c r="B441" s="506" t="n"/>
      <c r="C441" s="141" t="n"/>
      <c r="D441" s="141" t="n"/>
      <c r="E441" s="141" t="n"/>
      <c r="F441" s="141" t="n"/>
      <c r="G441" s="143" t="n"/>
      <c r="H441" s="27" t="n"/>
    </row>
    <row r="442" ht="17.25" customHeight="1" s="322">
      <c r="A442" s="27" t="n"/>
      <c r="B442" s="506" t="n"/>
      <c r="C442" s="141" t="n"/>
      <c r="D442" s="141" t="n"/>
      <c r="E442" s="141" t="n"/>
      <c r="F442" s="141" t="n"/>
      <c r="G442" s="143" t="n"/>
      <c r="H442" s="27" t="n"/>
    </row>
    <row r="443" ht="17.25" customHeight="1" s="322">
      <c r="A443" s="27" t="n"/>
      <c r="B443" s="506" t="n"/>
      <c r="C443" s="141" t="n"/>
      <c r="D443" s="141" t="n"/>
      <c r="E443" s="141" t="n"/>
      <c r="F443" s="141" t="n"/>
      <c r="G443" s="143" t="n"/>
      <c r="H443" s="27" t="n"/>
    </row>
    <row r="444" ht="17.25" customHeight="1" s="322">
      <c r="A444" s="27" t="n"/>
      <c r="B444" s="506" t="n"/>
      <c r="C444" s="141" t="n"/>
      <c r="D444" s="141" t="n"/>
      <c r="E444" s="141" t="n"/>
      <c r="F444" s="141" t="n"/>
      <c r="G444" s="143" t="n"/>
      <c r="H444" s="27" t="n"/>
    </row>
    <row r="445" ht="17.25" customHeight="1" s="322">
      <c r="A445" s="27" t="n"/>
      <c r="B445" s="506" t="n"/>
      <c r="C445" s="141" t="n"/>
      <c r="D445" s="141" t="n"/>
      <c r="E445" s="141" t="n"/>
      <c r="F445" s="141" t="n"/>
      <c r="G445" s="143" t="n"/>
      <c r="H445" s="27" t="n"/>
    </row>
    <row r="446" ht="17.25" customHeight="1" s="322">
      <c r="A446" s="27" t="n"/>
      <c r="B446" s="506" t="n"/>
      <c r="C446" s="141" t="n"/>
      <c r="D446" s="141" t="n"/>
      <c r="E446" s="141" t="n"/>
      <c r="F446" s="141" t="n"/>
      <c r="G446" s="143" t="n"/>
      <c r="H446" s="27" t="n"/>
    </row>
    <row r="447" ht="17.25" customHeight="1" s="322">
      <c r="A447" s="27" t="n"/>
      <c r="B447" s="506" t="n"/>
      <c r="C447" s="141" t="n"/>
      <c r="D447" s="141" t="n"/>
      <c r="E447" s="141" t="n"/>
      <c r="F447" s="141" t="n"/>
      <c r="G447" s="143" t="n"/>
      <c r="H447" s="27" t="n"/>
    </row>
    <row r="448" ht="17.25" customHeight="1" s="322">
      <c r="A448" s="27" t="n"/>
      <c r="B448" s="506" t="n"/>
      <c r="C448" s="141" t="n"/>
      <c r="D448" s="141" t="n"/>
      <c r="E448" s="141" t="n"/>
      <c r="F448" s="141" t="n"/>
      <c r="G448" s="143" t="n"/>
      <c r="H448" s="27" t="n"/>
    </row>
    <row r="449" ht="17.25" customHeight="1" s="322">
      <c r="A449" s="27" t="n"/>
      <c r="B449" s="506" t="n"/>
      <c r="C449" s="141" t="n"/>
      <c r="D449" s="141" t="n"/>
      <c r="E449" s="141" t="n"/>
      <c r="F449" s="141" t="n"/>
      <c r="G449" s="143" t="n"/>
      <c r="H449" s="27" t="n"/>
    </row>
    <row r="450" ht="17.25" customHeight="1" s="322">
      <c r="A450" s="27" t="n"/>
      <c r="B450" s="506" t="n"/>
      <c r="C450" s="141" t="n"/>
      <c r="D450" s="141" t="n"/>
      <c r="E450" s="141" t="n"/>
      <c r="F450" s="141" t="n"/>
      <c r="G450" s="143" t="n"/>
      <c r="H450" s="27" t="n"/>
    </row>
    <row r="451" ht="17.25" customHeight="1" s="322">
      <c r="A451" s="27" t="n"/>
      <c r="B451" s="506" t="n"/>
      <c r="C451" s="141" t="n"/>
      <c r="D451" s="141" t="n"/>
      <c r="E451" s="141" t="n"/>
      <c r="F451" s="141" t="n"/>
      <c r="G451" s="143" t="n"/>
      <c r="H451" s="27" t="n"/>
    </row>
    <row r="452" ht="17.25" customHeight="1" s="322">
      <c r="A452" s="27" t="n"/>
      <c r="B452" s="506" t="n"/>
      <c r="C452" s="141" t="n"/>
      <c r="D452" s="141" t="n"/>
      <c r="E452" s="141" t="n"/>
      <c r="F452" s="141" t="n"/>
      <c r="G452" s="143" t="n"/>
      <c r="H452" s="27" t="n"/>
    </row>
    <row r="453" ht="17.25" customHeight="1" s="322">
      <c r="A453" s="27" t="n"/>
      <c r="B453" s="506" t="n"/>
      <c r="C453" s="141" t="n"/>
      <c r="D453" s="141" t="n"/>
      <c r="E453" s="141" t="n"/>
      <c r="F453" s="141" t="n"/>
      <c r="G453" s="143" t="n"/>
      <c r="H453" s="27" t="n"/>
    </row>
    <row r="454" ht="17.25" customHeight="1" s="322">
      <c r="A454" s="27" t="n"/>
      <c r="B454" s="506" t="n"/>
      <c r="C454" s="141" t="n"/>
      <c r="D454" s="141" t="n"/>
      <c r="E454" s="141" t="n"/>
      <c r="F454" s="141" t="n"/>
      <c r="G454" s="143" t="n"/>
      <c r="H454" s="27" t="n"/>
    </row>
    <row r="455" ht="17.25" customHeight="1" s="322">
      <c r="A455" s="27" t="n"/>
      <c r="B455" s="506" t="n"/>
      <c r="C455" s="141" t="n"/>
      <c r="D455" s="141" t="n"/>
      <c r="E455" s="141" t="n"/>
      <c r="F455" s="141" t="n"/>
      <c r="G455" s="143" t="n"/>
      <c r="H455" s="27" t="n"/>
    </row>
    <row r="456" ht="17.25" customHeight="1" s="322">
      <c r="A456" s="27" t="n"/>
      <c r="B456" s="506" t="n"/>
      <c r="C456" s="141" t="n"/>
      <c r="D456" s="141" t="n"/>
      <c r="E456" s="141" t="n"/>
      <c r="F456" s="141" t="n"/>
      <c r="G456" s="143" t="n"/>
      <c r="H456" s="27" t="n"/>
    </row>
    <row r="457" ht="17.25" customHeight="1" s="322">
      <c r="A457" s="27" t="n"/>
      <c r="B457" s="506" t="n"/>
      <c r="C457" s="141" t="n"/>
      <c r="D457" s="141" t="n"/>
      <c r="E457" s="141" t="n"/>
      <c r="F457" s="141" t="n"/>
      <c r="G457" s="143" t="n"/>
      <c r="H457" s="27" t="n"/>
    </row>
    <row r="458" ht="17.25" customHeight="1" s="322">
      <c r="A458" s="27" t="n"/>
      <c r="B458" s="506" t="n"/>
      <c r="C458" s="141" t="n"/>
      <c r="D458" s="141" t="n"/>
      <c r="E458" s="141" t="n"/>
      <c r="F458" s="141" t="n"/>
      <c r="G458" s="143" t="n"/>
      <c r="H458" s="27" t="n"/>
    </row>
    <row r="459" ht="17.25" customHeight="1" s="322">
      <c r="A459" s="27" t="n"/>
      <c r="B459" s="506" t="n"/>
      <c r="C459" s="141" t="n"/>
      <c r="D459" s="141" t="n"/>
      <c r="E459" s="141" t="n"/>
      <c r="F459" s="141" t="n"/>
      <c r="G459" s="143" t="n"/>
      <c r="H459" s="27" t="n"/>
    </row>
    <row r="460" ht="17.25" customHeight="1" s="322">
      <c r="A460" s="27" t="n"/>
      <c r="B460" s="506" t="n"/>
      <c r="C460" s="141" t="n"/>
      <c r="D460" s="141" t="n"/>
      <c r="E460" s="141" t="n"/>
      <c r="F460" s="141" t="n"/>
      <c r="G460" s="143" t="n"/>
      <c r="H460" s="27" t="n"/>
    </row>
    <row r="461" ht="17.25" customHeight="1" s="322">
      <c r="A461" s="27" t="n"/>
      <c r="B461" s="506" t="n"/>
      <c r="C461" s="141" t="n"/>
      <c r="D461" s="141" t="n"/>
      <c r="E461" s="141" t="n"/>
      <c r="F461" s="141" t="n"/>
      <c r="G461" s="143" t="n"/>
      <c r="H461" s="27" t="n"/>
    </row>
    <row r="462" ht="17.25" customHeight="1" s="322">
      <c r="A462" s="27" t="n"/>
      <c r="B462" s="506" t="n"/>
      <c r="C462" s="141" t="n"/>
      <c r="D462" s="141" t="n"/>
      <c r="E462" s="141" t="n"/>
      <c r="F462" s="141" t="n"/>
      <c r="G462" s="143" t="n"/>
      <c r="H462" s="27" t="n"/>
    </row>
    <row r="463" ht="17.25" customHeight="1" s="322">
      <c r="A463" s="27" t="n"/>
      <c r="B463" s="506" t="n"/>
      <c r="C463" s="141" t="n"/>
      <c r="D463" s="141" t="n"/>
      <c r="E463" s="141" t="n"/>
      <c r="F463" s="141" t="n"/>
      <c r="G463" s="143" t="n"/>
      <c r="H463" s="27" t="n"/>
    </row>
    <row r="464" ht="17.25" customHeight="1" s="322">
      <c r="A464" s="27" t="n"/>
      <c r="B464" s="506" t="n"/>
      <c r="C464" s="141" t="n"/>
      <c r="D464" s="141" t="n"/>
      <c r="E464" s="141" t="n"/>
      <c r="F464" s="141" t="n"/>
      <c r="G464" s="143" t="n"/>
      <c r="H464" s="27" t="n"/>
    </row>
    <row r="465" ht="17.25" customHeight="1" s="322">
      <c r="A465" s="27" t="n"/>
      <c r="B465" s="506" t="n"/>
      <c r="C465" s="141" t="n"/>
      <c r="D465" s="141" t="n"/>
      <c r="E465" s="141" t="n"/>
      <c r="F465" s="141" t="n"/>
      <c r="G465" s="143" t="n"/>
      <c r="H465" s="27" t="n"/>
    </row>
    <row r="466" ht="17.25" customHeight="1" s="322">
      <c r="A466" s="27" t="n"/>
      <c r="B466" s="506" t="n"/>
      <c r="C466" s="141" t="n"/>
      <c r="D466" s="141" t="n"/>
      <c r="E466" s="141" t="n"/>
      <c r="F466" s="141" t="n"/>
      <c r="G466" s="143" t="n"/>
      <c r="H466" s="27" t="n"/>
    </row>
    <row r="467" ht="17.25" customHeight="1" s="322">
      <c r="A467" s="27" t="n"/>
      <c r="B467" s="506" t="n"/>
      <c r="C467" s="141" t="n"/>
      <c r="D467" s="141" t="n"/>
      <c r="E467" s="141" t="n"/>
      <c r="F467" s="141" t="n"/>
      <c r="G467" s="143" t="n"/>
      <c r="H467" s="27" t="n"/>
    </row>
    <row r="468" ht="17.25" customHeight="1" s="322">
      <c r="A468" s="27" t="n"/>
      <c r="B468" s="506" t="n"/>
      <c r="C468" s="141" t="n"/>
      <c r="D468" s="141" t="n"/>
      <c r="E468" s="141" t="n"/>
      <c r="F468" s="141" t="n"/>
      <c r="G468" s="143" t="n"/>
      <c r="H468" s="27" t="n"/>
    </row>
    <row r="469" ht="17.25" customHeight="1" s="322">
      <c r="A469" s="27" t="n"/>
      <c r="B469" s="506" t="n"/>
      <c r="C469" s="141" t="n"/>
      <c r="D469" s="141" t="n"/>
      <c r="E469" s="141" t="n"/>
      <c r="F469" s="141" t="n"/>
      <c r="G469" s="143" t="n"/>
      <c r="H469" s="27" t="n"/>
    </row>
    <row r="470" ht="17.25" customHeight="1" s="322">
      <c r="A470" s="27" t="n"/>
      <c r="B470" s="506" t="n"/>
      <c r="C470" s="141" t="n"/>
      <c r="D470" s="141" t="n"/>
      <c r="E470" s="141" t="n"/>
      <c r="F470" s="141" t="n"/>
      <c r="G470" s="143" t="n"/>
      <c r="H470" s="27" t="n"/>
    </row>
    <row r="471" ht="17.25" customHeight="1" s="322">
      <c r="A471" s="27" t="n"/>
      <c r="B471" s="506" t="n"/>
      <c r="C471" s="141" t="n"/>
      <c r="D471" s="141" t="n"/>
      <c r="E471" s="141" t="n"/>
      <c r="F471" s="141" t="n"/>
      <c r="G471" s="143" t="n"/>
      <c r="H471" s="27" t="n"/>
    </row>
    <row r="472" ht="17.25" customHeight="1" s="322">
      <c r="A472" s="27" t="n"/>
      <c r="B472" s="506" t="n"/>
      <c r="C472" s="141" t="n"/>
      <c r="D472" s="141" t="n"/>
      <c r="E472" s="141" t="n"/>
      <c r="F472" s="141" t="n"/>
      <c r="G472" s="143" t="n"/>
      <c r="H472" s="27" t="n"/>
    </row>
    <row r="473" ht="17.25" customHeight="1" s="322">
      <c r="A473" s="27" t="n"/>
      <c r="B473" s="506" t="n"/>
      <c r="C473" s="141" t="n"/>
      <c r="D473" s="141" t="n"/>
      <c r="E473" s="141" t="n"/>
      <c r="F473" s="141" t="n"/>
      <c r="G473" s="143" t="n"/>
      <c r="H473" s="27" t="n"/>
    </row>
    <row r="474" ht="17.25" customHeight="1" s="322">
      <c r="A474" s="27" t="n"/>
      <c r="B474" s="506" t="n"/>
      <c r="C474" s="141" t="n"/>
      <c r="D474" s="141" t="n"/>
      <c r="E474" s="141" t="n"/>
      <c r="F474" s="141" t="n"/>
      <c r="G474" s="143" t="n"/>
      <c r="H474" s="27" t="n"/>
    </row>
    <row r="475" ht="17.25" customHeight="1" s="322">
      <c r="A475" s="27" t="n"/>
      <c r="B475" s="506" t="n"/>
      <c r="C475" s="141" t="n"/>
      <c r="D475" s="141" t="n"/>
      <c r="E475" s="141" t="n"/>
      <c r="F475" s="141" t="n"/>
      <c r="G475" s="143" t="n"/>
      <c r="H475" s="27" t="n"/>
    </row>
    <row r="476" ht="17.25" customHeight="1" s="322">
      <c r="A476" s="27" t="n"/>
      <c r="B476" s="506" t="n"/>
      <c r="C476" s="141" t="n"/>
      <c r="D476" s="141" t="n"/>
      <c r="E476" s="141" t="n"/>
      <c r="F476" s="141" t="n"/>
      <c r="G476" s="143" t="n"/>
      <c r="H476" s="27" t="n"/>
    </row>
    <row r="477" ht="17.25" customHeight="1" s="322">
      <c r="A477" s="27" t="n"/>
      <c r="B477" s="506" t="n"/>
      <c r="C477" s="141" t="n"/>
      <c r="D477" s="141" t="n"/>
      <c r="E477" s="141" t="n"/>
      <c r="F477" s="141" t="n"/>
      <c r="G477" s="143" t="n"/>
      <c r="H477" s="27" t="n"/>
    </row>
    <row r="478" ht="17.25" customHeight="1" s="322">
      <c r="A478" s="27" t="n"/>
      <c r="B478" s="506" t="n"/>
      <c r="C478" s="141" t="n"/>
      <c r="D478" s="141" t="n"/>
      <c r="E478" s="141" t="n"/>
      <c r="F478" s="141" t="n"/>
      <c r="G478" s="143" t="n"/>
      <c r="H478" s="27" t="n"/>
    </row>
    <row r="479" ht="17.25" customHeight="1" s="322">
      <c r="A479" s="27" t="n"/>
      <c r="B479" s="506" t="n"/>
      <c r="C479" s="141" t="n"/>
      <c r="D479" s="141" t="n"/>
      <c r="E479" s="141" t="n"/>
      <c r="F479" s="141" t="n"/>
      <c r="G479" s="143" t="n"/>
      <c r="H479" s="27" t="n"/>
    </row>
    <row r="480" ht="17.25" customHeight="1" s="322">
      <c r="A480" s="27" t="n"/>
      <c r="B480" s="506" t="n"/>
      <c r="C480" s="141" t="n"/>
      <c r="D480" s="141" t="n"/>
      <c r="E480" s="141" t="n"/>
      <c r="F480" s="141" t="n"/>
      <c r="G480" s="143" t="n"/>
      <c r="H480" s="27" t="n"/>
    </row>
    <row r="481" ht="17.25" customHeight="1" s="322">
      <c r="A481" s="27" t="n"/>
      <c r="B481" s="506" t="n"/>
      <c r="C481" s="141" t="n"/>
      <c r="D481" s="141" t="n"/>
      <c r="E481" s="141" t="n"/>
      <c r="F481" s="141" t="n"/>
      <c r="G481" s="143" t="n"/>
      <c r="H481" s="27" t="n"/>
    </row>
    <row r="482" ht="17.25" customHeight="1" s="322">
      <c r="A482" s="27" t="n"/>
      <c r="B482" s="506" t="n"/>
      <c r="C482" s="141" t="n"/>
      <c r="D482" s="141" t="n"/>
      <c r="E482" s="141" t="n"/>
      <c r="F482" s="141" t="n"/>
      <c r="G482" s="143" t="n"/>
      <c r="H482" s="27" t="n"/>
    </row>
    <row r="483" ht="17.25" customHeight="1" s="322">
      <c r="A483" s="27" t="n"/>
      <c r="B483" s="506" t="n"/>
      <c r="C483" s="141" t="n"/>
      <c r="D483" s="141" t="n"/>
      <c r="E483" s="141" t="n"/>
      <c r="F483" s="141" t="n"/>
      <c r="G483" s="143" t="n"/>
      <c r="H483" s="27" t="n"/>
    </row>
    <row r="484" ht="17.25" customHeight="1" s="322">
      <c r="A484" s="27" t="n"/>
      <c r="B484" s="506" t="n"/>
      <c r="C484" s="141" t="n"/>
      <c r="D484" s="141" t="n"/>
      <c r="E484" s="141" t="n"/>
      <c r="F484" s="141" t="n"/>
      <c r="G484" s="143" t="n"/>
      <c r="H484" s="27" t="n"/>
    </row>
    <row r="485" ht="17.25" customHeight="1" s="322">
      <c r="A485" s="27" t="n"/>
      <c r="B485" s="506" t="n"/>
      <c r="C485" s="141" t="n"/>
      <c r="D485" s="141" t="n"/>
      <c r="E485" s="141" t="n"/>
      <c r="F485" s="141" t="n"/>
      <c r="G485" s="143" t="n"/>
      <c r="H485" s="27" t="n"/>
    </row>
    <row r="486" ht="17.25" customHeight="1" s="322">
      <c r="A486" s="27" t="n"/>
      <c r="B486" s="506" t="n"/>
      <c r="C486" s="141" t="n"/>
      <c r="D486" s="141" t="n"/>
      <c r="E486" s="141" t="n"/>
      <c r="F486" s="141" t="n"/>
      <c r="G486" s="143" t="n"/>
      <c r="H486" s="27" t="n"/>
    </row>
    <row r="487" ht="17.25" customHeight="1" s="322">
      <c r="A487" s="27" t="n"/>
      <c r="B487" s="506" t="n"/>
      <c r="C487" s="141" t="n"/>
      <c r="D487" s="141" t="n"/>
      <c r="E487" s="141" t="n"/>
      <c r="F487" s="141" t="n"/>
      <c r="G487" s="143" t="n"/>
      <c r="H487" s="27" t="n"/>
    </row>
    <row r="488" ht="17.25" customHeight="1" s="322">
      <c r="A488" s="27" t="n"/>
      <c r="B488" s="506" t="n"/>
      <c r="C488" s="141" t="n"/>
      <c r="D488" s="141" t="n"/>
      <c r="E488" s="141" t="n"/>
      <c r="F488" s="141" t="n"/>
      <c r="G488" s="143" t="n"/>
      <c r="H488" s="27" t="n"/>
    </row>
    <row r="489" ht="17.25" customHeight="1" s="322">
      <c r="A489" s="27" t="n"/>
      <c r="B489" s="506" t="n"/>
      <c r="C489" s="141" t="n"/>
      <c r="D489" s="141" t="n"/>
      <c r="E489" s="141" t="n"/>
      <c r="F489" s="141" t="n"/>
      <c r="G489" s="143" t="n"/>
      <c r="H489" s="27" t="n"/>
    </row>
    <row r="490" ht="17.25" customHeight="1" s="322">
      <c r="A490" s="27" t="n"/>
      <c r="B490" s="506" t="n"/>
      <c r="C490" s="141" t="n"/>
      <c r="D490" s="141" t="n"/>
      <c r="E490" s="141" t="n"/>
      <c r="F490" s="141" t="n"/>
      <c r="G490" s="143" t="n"/>
      <c r="H490" s="27" t="n"/>
    </row>
    <row r="491" ht="17.25" customHeight="1" s="322">
      <c r="A491" s="27" t="n"/>
      <c r="B491" s="506" t="n"/>
      <c r="C491" s="141" t="n"/>
      <c r="D491" s="141" t="n"/>
      <c r="E491" s="141" t="n"/>
      <c r="F491" s="141" t="n"/>
      <c r="G491" s="143" t="n"/>
      <c r="H491" s="27" t="n"/>
    </row>
    <row r="492" ht="17.25" customHeight="1" s="322">
      <c r="A492" s="27" t="n"/>
      <c r="B492" s="506" t="n"/>
      <c r="C492" s="141" t="n"/>
      <c r="D492" s="141" t="n"/>
      <c r="E492" s="141" t="n"/>
      <c r="F492" s="141" t="n"/>
      <c r="G492" s="143" t="n"/>
      <c r="H492" s="27" t="n"/>
    </row>
    <row r="493" ht="17.25" customHeight="1" s="322">
      <c r="A493" s="27" t="n"/>
      <c r="B493" s="506" t="n"/>
      <c r="C493" s="141" t="n"/>
      <c r="D493" s="141" t="n"/>
      <c r="E493" s="141" t="n"/>
      <c r="F493" s="141" t="n"/>
      <c r="G493" s="143" t="n"/>
      <c r="H493" s="27" t="n"/>
    </row>
    <row r="494" ht="17.25" customHeight="1" s="322">
      <c r="A494" s="27" t="n"/>
      <c r="B494" s="506" t="n"/>
      <c r="C494" s="141" t="n"/>
      <c r="D494" s="141" t="n"/>
      <c r="E494" s="141" t="n"/>
      <c r="F494" s="141" t="n"/>
      <c r="G494" s="143" t="n"/>
      <c r="H494" s="27" t="n"/>
    </row>
    <row r="495" ht="17.25" customHeight="1" s="322">
      <c r="A495" s="27" t="n"/>
      <c r="B495" s="506" t="n"/>
      <c r="C495" s="141" t="n"/>
      <c r="D495" s="141" t="n"/>
      <c r="E495" s="141" t="n"/>
      <c r="F495" s="141" t="n"/>
      <c r="G495" s="143" t="n"/>
      <c r="H495" s="27" t="n"/>
    </row>
    <row r="496" ht="17.25" customHeight="1" s="322">
      <c r="A496" s="27" t="n"/>
      <c r="B496" s="506" t="n"/>
      <c r="C496" s="141" t="n"/>
      <c r="D496" s="141" t="n"/>
      <c r="E496" s="141" t="n"/>
      <c r="F496" s="141" t="n"/>
      <c r="G496" s="143" t="n"/>
      <c r="H496" s="27" t="n"/>
    </row>
    <row r="497" ht="17.25" customHeight="1" s="322">
      <c r="A497" s="27" t="n"/>
      <c r="B497" s="506" t="n"/>
      <c r="C497" s="141" t="n"/>
      <c r="D497" s="141" t="n"/>
      <c r="E497" s="141" t="n"/>
      <c r="F497" s="141" t="n"/>
      <c r="G497" s="143" t="n"/>
      <c r="H497" s="27" t="n"/>
    </row>
    <row r="498" ht="17.25" customHeight="1" s="322">
      <c r="A498" s="27" t="n"/>
      <c r="B498" s="506" t="n"/>
      <c r="C498" s="141" t="n"/>
      <c r="D498" s="141" t="n"/>
      <c r="E498" s="141" t="n"/>
      <c r="F498" s="141" t="n"/>
      <c r="G498" s="143" t="n"/>
      <c r="H498" s="27" t="n"/>
    </row>
    <row r="499" ht="17.25" customHeight="1" s="322">
      <c r="A499" s="27" t="n"/>
      <c r="B499" s="506" t="n"/>
      <c r="C499" s="141" t="n"/>
      <c r="D499" s="141" t="n"/>
      <c r="E499" s="141" t="n"/>
      <c r="F499" s="141" t="n"/>
      <c r="G499" s="143" t="n"/>
      <c r="H499" s="27" t="n"/>
    </row>
    <row r="500" ht="17.25" customHeight="1" s="322">
      <c r="A500" s="27" t="n"/>
      <c r="B500" s="506" t="n"/>
      <c r="C500" s="141" t="n"/>
      <c r="D500" s="141" t="n"/>
      <c r="E500" s="141" t="n"/>
      <c r="F500" s="141" t="n"/>
      <c r="G500" s="143" t="n"/>
      <c r="H500" s="27" t="n"/>
    </row>
    <row r="501" ht="17.25" customHeight="1" s="322">
      <c r="A501" s="27" t="n"/>
      <c r="B501" s="506" t="n"/>
      <c r="C501" s="141" t="n"/>
      <c r="D501" s="141" t="n"/>
      <c r="E501" s="141" t="n"/>
      <c r="F501" s="141" t="n"/>
      <c r="G501" s="143" t="n"/>
      <c r="H501" s="27" t="n"/>
    </row>
    <row r="502" ht="17.25" customHeight="1" s="322">
      <c r="A502" s="27" t="n"/>
      <c r="B502" s="506" t="n"/>
      <c r="C502" s="141" t="n"/>
      <c r="D502" s="141" t="n"/>
      <c r="E502" s="141" t="n"/>
      <c r="F502" s="141" t="n"/>
      <c r="G502" s="143" t="n"/>
      <c r="H502" s="27" t="n"/>
    </row>
    <row r="503" ht="17.25" customHeight="1" s="322">
      <c r="A503" s="27" t="n"/>
      <c r="B503" s="506" t="n"/>
      <c r="C503" s="141" t="n"/>
      <c r="D503" s="141" t="n"/>
      <c r="E503" s="141" t="n"/>
      <c r="F503" s="141" t="n"/>
      <c r="G503" s="143" t="n"/>
      <c r="H503" s="27" t="n"/>
    </row>
    <row r="504" ht="17.25" customHeight="1" s="322">
      <c r="A504" s="27" t="n"/>
      <c r="B504" s="506" t="n"/>
      <c r="C504" s="141" t="n"/>
      <c r="D504" s="141" t="n"/>
      <c r="E504" s="141" t="n"/>
      <c r="F504" s="141" t="n"/>
      <c r="G504" s="143" t="n"/>
      <c r="H504" s="27" t="n"/>
    </row>
    <row r="505" ht="17.25" customHeight="1" s="322">
      <c r="A505" s="27" t="n"/>
      <c r="B505" s="506" t="n"/>
      <c r="C505" s="141" t="n"/>
      <c r="D505" s="141" t="n"/>
      <c r="E505" s="141" t="n"/>
      <c r="F505" s="141" t="n"/>
      <c r="G505" s="143" t="n"/>
      <c r="H505" s="27" t="n"/>
    </row>
    <row r="506" ht="17.25" customHeight="1" s="322">
      <c r="A506" s="27" t="n"/>
      <c r="B506" s="506" t="n"/>
      <c r="C506" s="141" t="n"/>
      <c r="D506" s="141" t="n"/>
      <c r="E506" s="141" t="n"/>
      <c r="F506" s="141" t="n"/>
      <c r="G506" s="143" t="n"/>
      <c r="H506" s="27" t="n"/>
    </row>
    <row r="507" ht="17.25" customHeight="1" s="322">
      <c r="A507" s="27" t="n"/>
      <c r="B507" s="506" t="n"/>
      <c r="C507" s="141" t="n"/>
      <c r="D507" s="141" t="n"/>
      <c r="E507" s="141" t="n"/>
      <c r="F507" s="141" t="n"/>
      <c r="G507" s="143" t="n"/>
      <c r="H507" s="27" t="n"/>
    </row>
    <row r="508" ht="17.25" customHeight="1" s="322">
      <c r="A508" s="27" t="n"/>
      <c r="B508" s="506" t="n"/>
      <c r="C508" s="141" t="n"/>
      <c r="D508" s="141" t="n"/>
      <c r="E508" s="141" t="n"/>
      <c r="F508" s="141" t="n"/>
      <c r="G508" s="143" t="n"/>
      <c r="H508" s="27" t="n"/>
    </row>
    <row r="509" ht="17.25" customHeight="1" s="322">
      <c r="A509" s="27" t="n"/>
      <c r="B509" s="506" t="n"/>
      <c r="C509" s="141" t="n"/>
      <c r="D509" s="141" t="n"/>
      <c r="E509" s="141" t="n"/>
      <c r="F509" s="141" t="n"/>
      <c r="G509" s="143" t="n"/>
      <c r="H509" s="27" t="n"/>
    </row>
    <row r="510" ht="17.25" customHeight="1" s="322">
      <c r="A510" s="27" t="n"/>
      <c r="B510" s="506" t="n"/>
      <c r="C510" s="141" t="n"/>
      <c r="D510" s="141" t="n"/>
      <c r="E510" s="141" t="n"/>
      <c r="F510" s="141" t="n"/>
      <c r="G510" s="143" t="n"/>
      <c r="H510" s="27" t="n"/>
    </row>
    <row r="511" ht="17.25" customHeight="1" s="322">
      <c r="A511" s="27" t="n"/>
      <c r="B511" s="506" t="n"/>
      <c r="C511" s="141" t="n"/>
      <c r="D511" s="141" t="n"/>
      <c r="E511" s="141" t="n"/>
      <c r="F511" s="141" t="n"/>
      <c r="G511" s="143" t="n"/>
      <c r="H511" s="27" t="n"/>
    </row>
    <row r="512" ht="17.25" customHeight="1" s="322">
      <c r="A512" s="27" t="n"/>
      <c r="B512" s="506" t="n"/>
      <c r="C512" s="141" t="n"/>
      <c r="D512" s="141" t="n"/>
      <c r="E512" s="141" t="n"/>
      <c r="F512" s="141" t="n"/>
      <c r="G512" s="143" t="n"/>
      <c r="H512" s="27" t="n"/>
    </row>
    <row r="513" ht="17.25" customHeight="1" s="322">
      <c r="A513" s="27" t="n"/>
      <c r="B513" s="506" t="n"/>
      <c r="C513" s="141" t="n"/>
      <c r="D513" s="141" t="n"/>
      <c r="E513" s="141" t="n"/>
      <c r="F513" s="141" t="n"/>
      <c r="G513" s="143" t="n"/>
      <c r="H513" s="27" t="n"/>
    </row>
    <row r="514" ht="17.25" customHeight="1" s="322">
      <c r="A514" s="27" t="n"/>
      <c r="B514" s="506" t="n"/>
      <c r="C514" s="141" t="n"/>
      <c r="D514" s="141" t="n"/>
      <c r="E514" s="141" t="n"/>
      <c r="F514" s="141" t="n"/>
      <c r="G514" s="143" t="n"/>
      <c r="H514" s="27" t="n"/>
    </row>
    <row r="515" ht="17.25" customHeight="1" s="322">
      <c r="A515" s="27" t="n"/>
      <c r="B515" s="506" t="n"/>
      <c r="C515" s="141" t="n"/>
      <c r="D515" s="141" t="n"/>
      <c r="E515" s="141" t="n"/>
      <c r="F515" s="141" t="n"/>
      <c r="G515" s="143" t="n"/>
      <c r="H515" s="27" t="n"/>
    </row>
    <row r="516" ht="17.25" customHeight="1" s="322">
      <c r="A516" s="27" t="n"/>
      <c r="B516" s="506" t="n"/>
      <c r="C516" s="141" t="n"/>
      <c r="D516" s="141" t="n"/>
      <c r="E516" s="141" t="n"/>
      <c r="F516" s="141" t="n"/>
      <c r="G516" s="143" t="n"/>
      <c r="H516" s="27" t="n"/>
    </row>
    <row r="517" ht="17.25" customHeight="1" s="322">
      <c r="A517" s="27" t="n"/>
      <c r="B517" s="506" t="n"/>
      <c r="C517" s="141" t="n"/>
      <c r="D517" s="141" t="n"/>
      <c r="E517" s="141" t="n"/>
      <c r="F517" s="141" t="n"/>
      <c r="G517" s="143" t="n"/>
      <c r="H517" s="27" t="n"/>
    </row>
    <row r="518" ht="17.25" customHeight="1" s="322">
      <c r="A518" s="27" t="n"/>
      <c r="B518" s="506" t="n"/>
      <c r="C518" s="141" t="n"/>
      <c r="D518" s="141" t="n"/>
      <c r="E518" s="141" t="n"/>
      <c r="F518" s="141" t="n"/>
      <c r="G518" s="143" t="n"/>
      <c r="H518" s="27" t="n"/>
    </row>
    <row r="519" ht="17.25" customHeight="1" s="322">
      <c r="A519" s="27" t="n"/>
      <c r="B519" s="506" t="n"/>
      <c r="C519" s="141" t="n"/>
      <c r="D519" s="141" t="n"/>
      <c r="E519" s="141" t="n"/>
      <c r="F519" s="141" t="n"/>
      <c r="G519" s="143" t="n"/>
      <c r="H519" s="27" t="n"/>
    </row>
    <row r="520" ht="17.25" customHeight="1" s="322">
      <c r="A520" s="27" t="n"/>
      <c r="B520" s="506" t="n"/>
      <c r="C520" s="141" t="n"/>
      <c r="D520" s="141" t="n"/>
      <c r="E520" s="141" t="n"/>
      <c r="F520" s="141" t="n"/>
      <c r="G520" s="143" t="n"/>
      <c r="H520" s="27" t="n"/>
    </row>
    <row r="521" ht="17.25" customHeight="1" s="322">
      <c r="A521" s="27" t="n"/>
      <c r="B521" s="506" t="n"/>
      <c r="C521" s="141" t="n"/>
      <c r="D521" s="141" t="n"/>
      <c r="E521" s="141" t="n"/>
      <c r="F521" s="141" t="n"/>
      <c r="G521" s="143" t="n"/>
      <c r="H521" s="27" t="n"/>
    </row>
    <row r="522" ht="17.25" customHeight="1" s="322">
      <c r="A522" s="27" t="n"/>
      <c r="B522" s="506" t="n"/>
      <c r="C522" s="141" t="n"/>
      <c r="D522" s="141" t="n"/>
      <c r="E522" s="141" t="n"/>
      <c r="F522" s="141" t="n"/>
      <c r="G522" s="143" t="n"/>
      <c r="H522" s="27" t="n"/>
    </row>
    <row r="523" ht="17.25" customHeight="1" s="322">
      <c r="A523" s="27" t="n"/>
      <c r="B523" s="506" t="n"/>
      <c r="C523" s="141" t="n"/>
      <c r="D523" s="141" t="n"/>
      <c r="E523" s="141" t="n"/>
      <c r="F523" s="141" t="n"/>
      <c r="G523" s="143" t="n"/>
      <c r="H523" s="27" t="n"/>
    </row>
    <row r="524" ht="17.25" customHeight="1" s="322">
      <c r="A524" s="27" t="n"/>
      <c r="B524" s="506" t="n"/>
      <c r="C524" s="141" t="n"/>
      <c r="D524" s="141" t="n"/>
      <c r="E524" s="141" t="n"/>
      <c r="F524" s="141" t="n"/>
      <c r="G524" s="143" t="n"/>
      <c r="H524" s="27" t="n"/>
    </row>
    <row r="525" ht="17.25" customHeight="1" s="322">
      <c r="A525" s="27" t="n"/>
      <c r="B525" s="506" t="n"/>
      <c r="C525" s="141" t="n"/>
      <c r="D525" s="141" t="n"/>
      <c r="E525" s="141" t="n"/>
      <c r="F525" s="141" t="n"/>
      <c r="G525" s="143" t="n"/>
      <c r="H525" s="27" t="n"/>
    </row>
    <row r="526" ht="17.25" customHeight="1" s="322">
      <c r="A526" s="27" t="n"/>
      <c r="B526" s="506" t="n"/>
      <c r="C526" s="141" t="n"/>
      <c r="D526" s="141" t="n"/>
      <c r="E526" s="141" t="n"/>
      <c r="F526" s="141" t="n"/>
      <c r="G526" s="143" t="n"/>
      <c r="H526" s="27" t="n"/>
    </row>
    <row r="527" ht="17.25" customHeight="1" s="322">
      <c r="A527" s="27" t="n"/>
      <c r="B527" s="506" t="n"/>
      <c r="C527" s="141" t="n"/>
      <c r="D527" s="141" t="n"/>
      <c r="E527" s="141" t="n"/>
      <c r="F527" s="141" t="n"/>
      <c r="G527" s="143" t="n"/>
      <c r="H527" s="27" t="n"/>
    </row>
    <row r="528" ht="17.25" customHeight="1" s="322">
      <c r="A528" s="27" t="n"/>
      <c r="B528" s="506" t="n"/>
      <c r="C528" s="141" t="n"/>
      <c r="D528" s="141" t="n"/>
      <c r="E528" s="141" t="n"/>
      <c r="F528" s="141" t="n"/>
      <c r="G528" s="143" t="n"/>
      <c r="H528" s="27" t="n"/>
    </row>
    <row r="529" ht="17.25" customHeight="1" s="322">
      <c r="A529" s="27" t="n"/>
      <c r="B529" s="506" t="n"/>
      <c r="C529" s="141" t="n"/>
      <c r="D529" s="141" t="n"/>
      <c r="E529" s="141" t="n"/>
      <c r="F529" s="141" t="n"/>
      <c r="G529" s="143" t="n"/>
      <c r="H529" s="27" t="n"/>
    </row>
    <row r="530" ht="17.25" customHeight="1" s="322">
      <c r="A530" s="27" t="n"/>
      <c r="B530" s="506" t="n"/>
      <c r="C530" s="141" t="n"/>
      <c r="D530" s="141" t="n"/>
      <c r="E530" s="141" t="n"/>
      <c r="F530" s="141" t="n"/>
      <c r="G530" s="143" t="n"/>
      <c r="H530" s="27" t="n"/>
    </row>
    <row r="531" ht="17.25" customHeight="1" s="322">
      <c r="A531" s="27" t="n"/>
      <c r="B531" s="506" t="n"/>
      <c r="C531" s="141" t="n"/>
      <c r="D531" s="141" t="n"/>
      <c r="E531" s="141" t="n"/>
      <c r="F531" s="141" t="n"/>
      <c r="G531" s="143" t="n"/>
      <c r="H531" s="27" t="n"/>
    </row>
    <row r="532" ht="17.25" customHeight="1" s="322">
      <c r="A532" s="27" t="n"/>
      <c r="B532" s="506" t="n"/>
      <c r="C532" s="141" t="n"/>
      <c r="D532" s="141" t="n"/>
      <c r="E532" s="141" t="n"/>
      <c r="F532" s="141" t="n"/>
      <c r="G532" s="143" t="n"/>
      <c r="H532" s="27" t="n"/>
    </row>
    <row r="533" ht="17.25" customHeight="1" s="322">
      <c r="A533" s="27" t="n"/>
      <c r="B533" s="506" t="n"/>
      <c r="C533" s="141" t="n"/>
      <c r="D533" s="141" t="n"/>
      <c r="E533" s="141" t="n"/>
      <c r="F533" s="141" t="n"/>
      <c r="G533" s="143" t="n"/>
      <c r="H533" s="27" t="n"/>
    </row>
    <row r="534" ht="17.25" customHeight="1" s="322">
      <c r="A534" s="27" t="n"/>
      <c r="B534" s="506" t="n"/>
      <c r="C534" s="141" t="n"/>
      <c r="D534" s="141" t="n"/>
      <c r="E534" s="141" t="n"/>
      <c r="F534" s="141" t="n"/>
      <c r="G534" s="143" t="n"/>
      <c r="H534" s="27" t="n"/>
    </row>
    <row r="535" ht="17.25" customHeight="1" s="322">
      <c r="A535" s="27" t="n"/>
      <c r="B535" s="506" t="n"/>
      <c r="C535" s="141" t="n"/>
      <c r="D535" s="141" t="n"/>
      <c r="E535" s="141" t="n"/>
      <c r="F535" s="141" t="n"/>
      <c r="G535" s="143" t="n"/>
      <c r="H535" s="27" t="n"/>
    </row>
    <row r="536" ht="17.25" customHeight="1" s="322">
      <c r="A536" s="27" t="n"/>
      <c r="B536" s="506" t="n"/>
      <c r="C536" s="141" t="n"/>
      <c r="D536" s="141" t="n"/>
      <c r="E536" s="141" t="n"/>
      <c r="F536" s="141" t="n"/>
      <c r="G536" s="143" t="n"/>
      <c r="H536" s="27" t="n"/>
    </row>
    <row r="537" ht="17.25" customHeight="1" s="322">
      <c r="A537" s="27" t="n"/>
      <c r="B537" s="506" t="n"/>
      <c r="C537" s="141" t="n"/>
      <c r="D537" s="141" t="n"/>
      <c r="E537" s="141" t="n"/>
      <c r="F537" s="141" t="n"/>
      <c r="G537" s="143" t="n"/>
      <c r="H537" s="27" t="n"/>
    </row>
    <row r="538" ht="17.25" customHeight="1" s="322">
      <c r="A538" s="27" t="n"/>
      <c r="B538" s="506" t="n"/>
      <c r="C538" s="141" t="n"/>
      <c r="D538" s="141" t="n"/>
      <c r="E538" s="141" t="n"/>
      <c r="F538" s="141" t="n"/>
      <c r="G538" s="143" t="n"/>
      <c r="H538" s="27" t="n"/>
    </row>
    <row r="539" ht="17.25" customHeight="1" s="322">
      <c r="A539" s="27" t="n"/>
      <c r="B539" s="506" t="n"/>
      <c r="C539" s="141" t="n"/>
      <c r="D539" s="141" t="n"/>
      <c r="E539" s="141" t="n"/>
      <c r="F539" s="141" t="n"/>
      <c r="G539" s="143" t="n"/>
      <c r="H539" s="27" t="n"/>
    </row>
    <row r="540" ht="17.25" customHeight="1" s="322">
      <c r="A540" s="27" t="n"/>
      <c r="B540" s="506" t="n"/>
      <c r="C540" s="141" t="n"/>
      <c r="D540" s="141" t="n"/>
      <c r="E540" s="141" t="n"/>
      <c r="F540" s="141" t="n"/>
      <c r="G540" s="143" t="n"/>
      <c r="H540" s="27" t="n"/>
    </row>
    <row r="541" ht="17.25" customHeight="1" s="322">
      <c r="A541" s="27" t="n"/>
      <c r="B541" s="506" t="n"/>
      <c r="C541" s="141" t="n"/>
      <c r="D541" s="141" t="n"/>
      <c r="E541" s="141" t="n"/>
      <c r="F541" s="141" t="n"/>
      <c r="G541" s="143" t="n"/>
      <c r="H541" s="27" t="n"/>
    </row>
    <row r="542" ht="17.25" customHeight="1" s="322">
      <c r="A542" s="27" t="n"/>
      <c r="B542" s="506" t="n"/>
      <c r="C542" s="141" t="n"/>
      <c r="D542" s="141" t="n"/>
      <c r="E542" s="141" t="n"/>
      <c r="F542" s="141" t="n"/>
      <c r="G542" s="143" t="n"/>
      <c r="H542" s="27" t="n"/>
    </row>
    <row r="543" ht="17.25" customHeight="1" s="322">
      <c r="A543" s="27" t="n"/>
      <c r="B543" s="506" t="n"/>
      <c r="C543" s="141" t="n"/>
      <c r="D543" s="141" t="n"/>
      <c r="E543" s="141" t="n"/>
      <c r="F543" s="141" t="n"/>
      <c r="G543" s="143" t="n"/>
      <c r="H543" s="27" t="n"/>
    </row>
    <row r="544" ht="17.25" customHeight="1" s="322">
      <c r="A544" s="27" t="n"/>
      <c r="B544" s="506" t="n"/>
      <c r="C544" s="141" t="n"/>
      <c r="D544" s="141" t="n"/>
      <c r="E544" s="141" t="n"/>
      <c r="F544" s="141" t="n"/>
      <c r="G544" s="143" t="n"/>
      <c r="H544" s="27" t="n"/>
    </row>
    <row r="545" ht="17.25" customHeight="1" s="322">
      <c r="A545" s="27" t="n"/>
      <c r="B545" s="506" t="n"/>
      <c r="C545" s="141" t="n"/>
      <c r="D545" s="141" t="n"/>
      <c r="E545" s="141" t="n"/>
      <c r="F545" s="141" t="n"/>
      <c r="G545" s="143" t="n"/>
      <c r="H545" s="27" t="n"/>
    </row>
    <row r="546" ht="17.25" customHeight="1" s="322">
      <c r="A546" s="27" t="n"/>
      <c r="B546" s="506" t="n"/>
      <c r="C546" s="141" t="n"/>
      <c r="D546" s="141" t="n"/>
      <c r="E546" s="141" t="n"/>
      <c r="F546" s="141" t="n"/>
      <c r="G546" s="143" t="n"/>
      <c r="H546" s="27" t="n"/>
    </row>
    <row r="547" ht="17.25" customHeight="1" s="322">
      <c r="A547" s="27" t="n"/>
      <c r="B547" s="506" t="n"/>
      <c r="C547" s="141" t="n"/>
      <c r="D547" s="141" t="n"/>
      <c r="E547" s="141" t="n"/>
      <c r="F547" s="141" t="n"/>
      <c r="G547" s="143" t="n"/>
      <c r="H547" s="27" t="n"/>
    </row>
    <row r="548" ht="17.25" customHeight="1" s="322">
      <c r="A548" s="27" t="n"/>
      <c r="B548" s="506" t="n"/>
      <c r="C548" s="141" t="n"/>
      <c r="D548" s="141" t="n"/>
      <c r="E548" s="141" t="n"/>
      <c r="F548" s="141" t="n"/>
      <c r="G548" s="143" t="n"/>
      <c r="H548" s="27" t="n"/>
    </row>
    <row r="549" ht="17.25" customHeight="1" s="322">
      <c r="A549" s="27" t="n"/>
      <c r="B549" s="506" t="n"/>
      <c r="C549" s="141" t="n"/>
      <c r="D549" s="141" t="n"/>
      <c r="E549" s="141" t="n"/>
      <c r="F549" s="141" t="n"/>
      <c r="G549" s="143" t="n"/>
      <c r="H549" s="27" t="n"/>
    </row>
    <row r="550" ht="17.25" customHeight="1" s="322">
      <c r="A550" s="27" t="n"/>
      <c r="B550" s="506" t="n"/>
      <c r="C550" s="141" t="n"/>
      <c r="D550" s="141" t="n"/>
      <c r="E550" s="141" t="n"/>
      <c r="F550" s="141" t="n"/>
      <c r="G550" s="143" t="n"/>
      <c r="H550" s="27" t="n"/>
    </row>
    <row r="551" ht="17.25" customHeight="1" s="322">
      <c r="A551" s="27" t="n"/>
      <c r="B551" s="506" t="n"/>
      <c r="C551" s="141" t="n"/>
      <c r="D551" s="141" t="n"/>
      <c r="E551" s="141" t="n"/>
      <c r="F551" s="141" t="n"/>
      <c r="G551" s="143" t="n"/>
      <c r="H551" s="27" t="n"/>
    </row>
    <row r="552" ht="17.25" customHeight="1" s="322">
      <c r="A552" s="27" t="n"/>
      <c r="B552" s="506" t="n"/>
      <c r="C552" s="141" t="n"/>
      <c r="D552" s="141" t="n"/>
      <c r="E552" s="141" t="n"/>
      <c r="F552" s="141" t="n"/>
      <c r="G552" s="143" t="n"/>
      <c r="H552" s="27" t="n"/>
    </row>
    <row r="553" ht="17.25" customHeight="1" s="322">
      <c r="A553" s="27" t="n"/>
      <c r="B553" s="506" t="n"/>
      <c r="C553" s="141" t="n"/>
      <c r="D553" s="141" t="n"/>
      <c r="E553" s="141" t="n"/>
      <c r="F553" s="141" t="n"/>
      <c r="G553" s="143" t="n"/>
      <c r="H553" s="27" t="n"/>
    </row>
    <row r="554" ht="17.25" customHeight="1" s="322">
      <c r="A554" s="27" t="n"/>
      <c r="B554" s="506" t="n"/>
      <c r="C554" s="141" t="n"/>
      <c r="D554" s="141" t="n"/>
      <c r="E554" s="141" t="n"/>
      <c r="F554" s="141" t="n"/>
      <c r="G554" s="143" t="n"/>
      <c r="H554" s="27" t="n"/>
    </row>
    <row r="555" ht="17.25" customHeight="1" s="322">
      <c r="A555" s="27" t="n"/>
      <c r="B555" s="506" t="n"/>
      <c r="C555" s="141" t="n"/>
      <c r="D555" s="141" t="n"/>
      <c r="E555" s="141" t="n"/>
      <c r="F555" s="141" t="n"/>
      <c r="G555" s="143" t="n"/>
      <c r="H555" s="27" t="n"/>
    </row>
    <row r="556" ht="17.25" customHeight="1" s="322">
      <c r="A556" s="27" t="n"/>
      <c r="B556" s="506" t="n"/>
      <c r="C556" s="141" t="n"/>
      <c r="D556" s="141" t="n"/>
      <c r="E556" s="141" t="n"/>
      <c r="F556" s="141" t="n"/>
      <c r="G556" s="143" t="n"/>
      <c r="H556" s="27" t="n"/>
    </row>
    <row r="557" ht="17.25" customHeight="1" s="322">
      <c r="A557" s="27" t="n"/>
      <c r="B557" s="506" t="n"/>
      <c r="C557" s="141" t="n"/>
      <c r="D557" s="141" t="n"/>
      <c r="E557" s="141" t="n"/>
      <c r="F557" s="141" t="n"/>
      <c r="G557" s="143" t="n"/>
      <c r="H557" s="27" t="n"/>
    </row>
    <row r="558" ht="17.25" customHeight="1" s="322">
      <c r="A558" s="27" t="n"/>
      <c r="B558" s="506" t="n"/>
      <c r="C558" s="141" t="n"/>
      <c r="D558" s="141" t="n"/>
      <c r="E558" s="141" t="n"/>
      <c r="F558" s="141" t="n"/>
      <c r="G558" s="143" t="n"/>
      <c r="H558" s="27" t="n"/>
    </row>
    <row r="559" ht="17.25" customHeight="1" s="322">
      <c r="A559" s="27" t="n"/>
      <c r="B559" s="506" t="n"/>
      <c r="C559" s="141" t="n"/>
      <c r="D559" s="141" t="n"/>
      <c r="E559" s="141" t="n"/>
      <c r="F559" s="141" t="n"/>
      <c r="G559" s="143" t="n"/>
      <c r="H559" s="27" t="n"/>
    </row>
    <row r="560" ht="17.25" customHeight="1" s="322">
      <c r="A560" s="27" t="n"/>
      <c r="B560" s="506" t="n"/>
      <c r="C560" s="141" t="n"/>
      <c r="D560" s="141" t="n"/>
      <c r="E560" s="141" t="n"/>
      <c r="F560" s="141" t="n"/>
      <c r="G560" s="143" t="n"/>
      <c r="H560" s="27" t="n"/>
    </row>
    <row r="561" ht="17.25" customHeight="1" s="322">
      <c r="A561" s="27" t="n"/>
      <c r="B561" s="506" t="n"/>
      <c r="C561" s="141" t="n"/>
      <c r="D561" s="141" t="n"/>
      <c r="E561" s="141" t="n"/>
      <c r="F561" s="141" t="n"/>
      <c r="G561" s="143" t="n"/>
      <c r="H561" s="27" t="n"/>
    </row>
    <row r="562" ht="17.25" customHeight="1" s="322">
      <c r="A562" s="27" t="n"/>
      <c r="B562" s="506" t="n"/>
      <c r="C562" s="141" t="n"/>
      <c r="D562" s="141" t="n"/>
      <c r="E562" s="141" t="n"/>
      <c r="F562" s="141" t="n"/>
      <c r="G562" s="143" t="n"/>
      <c r="H562" s="27" t="n"/>
    </row>
    <row r="563" ht="17.25" customHeight="1" s="322">
      <c r="A563" s="27" t="n"/>
      <c r="B563" s="506" t="n"/>
      <c r="C563" s="141" t="n"/>
      <c r="D563" s="141" t="n"/>
      <c r="E563" s="141" t="n"/>
      <c r="F563" s="141" t="n"/>
      <c r="G563" s="143" t="n"/>
      <c r="H563" s="27" t="n"/>
    </row>
    <row r="564" ht="17.25" customHeight="1" s="322">
      <c r="A564" s="27" t="n"/>
      <c r="B564" s="506" t="n"/>
      <c r="C564" s="141" t="n"/>
      <c r="D564" s="141" t="n"/>
      <c r="E564" s="141" t="n"/>
      <c r="F564" s="141" t="n"/>
      <c r="G564" s="143" t="n"/>
      <c r="H564" s="27" t="n"/>
    </row>
    <row r="565" ht="17.25" customHeight="1" s="322">
      <c r="A565" s="27" t="n"/>
      <c r="B565" s="506" t="n"/>
      <c r="C565" s="141" t="n"/>
      <c r="D565" s="141" t="n"/>
      <c r="E565" s="141" t="n"/>
      <c r="F565" s="141" t="n"/>
      <c r="G565" s="143" t="n"/>
      <c r="H565" s="27" t="n"/>
    </row>
    <row r="566" ht="17.25" customHeight="1" s="322">
      <c r="A566" s="27" t="n"/>
      <c r="B566" s="506" t="n"/>
      <c r="C566" s="141" t="n"/>
      <c r="D566" s="141" t="n"/>
      <c r="E566" s="141" t="n"/>
      <c r="F566" s="141" t="n"/>
      <c r="G566" s="143" t="n"/>
      <c r="H566" s="27" t="n"/>
    </row>
    <row r="567" ht="17.25" customHeight="1" s="322">
      <c r="A567" s="27" t="n"/>
      <c r="B567" s="506" t="n"/>
      <c r="C567" s="141" t="n"/>
      <c r="D567" s="141" t="n"/>
      <c r="E567" s="141" t="n"/>
      <c r="F567" s="141" t="n"/>
      <c r="G567" s="143" t="n"/>
      <c r="H567" s="27" t="n"/>
    </row>
    <row r="568" ht="17.25" customHeight="1" s="322">
      <c r="A568" s="27" t="n"/>
      <c r="B568" s="506" t="n"/>
      <c r="C568" s="141" t="n"/>
      <c r="D568" s="141" t="n"/>
      <c r="E568" s="141" t="n"/>
      <c r="F568" s="141" t="n"/>
      <c r="G568" s="143" t="n"/>
      <c r="H568" s="27" t="n"/>
    </row>
    <row r="569" ht="17.25" customHeight="1" s="322">
      <c r="A569" s="27" t="n"/>
      <c r="B569" s="506" t="n"/>
      <c r="C569" s="141" t="n"/>
      <c r="D569" s="141" t="n"/>
      <c r="E569" s="141" t="n"/>
      <c r="F569" s="141" t="n"/>
      <c r="G569" s="143" t="n"/>
      <c r="H569" s="27" t="n"/>
    </row>
    <row r="570" ht="17.25" customHeight="1" s="322">
      <c r="A570" s="27" t="n"/>
      <c r="B570" s="506" t="n"/>
      <c r="C570" s="141" t="n"/>
      <c r="D570" s="141" t="n"/>
      <c r="E570" s="141" t="n"/>
      <c r="F570" s="141" t="n"/>
      <c r="G570" s="143" t="n"/>
      <c r="H570" s="27" t="n"/>
    </row>
    <row r="571" ht="17.25" customHeight="1" s="322">
      <c r="A571" s="27" t="n"/>
      <c r="B571" s="506" t="n"/>
      <c r="C571" s="141" t="n"/>
      <c r="D571" s="141" t="n"/>
      <c r="E571" s="141" t="n"/>
      <c r="F571" s="141" t="n"/>
      <c r="G571" s="143" t="n"/>
      <c r="H571" s="27" t="n"/>
    </row>
    <row r="572" ht="17.25" customHeight="1" s="322">
      <c r="A572" s="27" t="n"/>
      <c r="B572" s="506" t="n"/>
      <c r="C572" s="141" t="n"/>
      <c r="D572" s="141" t="n"/>
      <c r="E572" s="141" t="n"/>
      <c r="F572" s="141" t="n"/>
      <c r="G572" s="143" t="n"/>
      <c r="H572" s="27" t="n"/>
    </row>
    <row r="573" ht="17.25" customHeight="1" s="322">
      <c r="A573" s="27" t="n"/>
      <c r="B573" s="506" t="n"/>
      <c r="C573" s="141" t="n"/>
      <c r="D573" s="141" t="n"/>
      <c r="E573" s="141" t="n"/>
      <c r="F573" s="141" t="n"/>
      <c r="G573" s="143" t="n"/>
      <c r="H573" s="27" t="n"/>
    </row>
    <row r="574" ht="17.25" customHeight="1" s="322">
      <c r="A574" s="27" t="n"/>
      <c r="B574" s="506" t="n"/>
      <c r="C574" s="141" t="n"/>
      <c r="D574" s="141" t="n"/>
      <c r="E574" s="141" t="n"/>
      <c r="F574" s="141" t="n"/>
      <c r="G574" s="143" t="n"/>
      <c r="H574" s="27" t="n"/>
    </row>
    <row r="575" ht="17.25" customHeight="1" s="322">
      <c r="A575" s="27" t="n"/>
      <c r="B575" s="506" t="n"/>
      <c r="C575" s="141" t="n"/>
      <c r="D575" s="141" t="n"/>
      <c r="E575" s="141" t="n"/>
      <c r="F575" s="141" t="n"/>
      <c r="G575" s="143" t="n"/>
      <c r="H575" s="27" t="n"/>
    </row>
    <row r="576" ht="17.25" customHeight="1" s="322">
      <c r="A576" s="27" t="n"/>
      <c r="B576" s="506" t="n"/>
      <c r="C576" s="141" t="n"/>
      <c r="D576" s="141" t="n"/>
      <c r="E576" s="141" t="n"/>
      <c r="F576" s="141" t="n"/>
      <c r="G576" s="143" t="n"/>
      <c r="H576" s="27" t="n"/>
    </row>
    <row r="577" ht="17.25" customHeight="1" s="322">
      <c r="A577" s="27" t="n"/>
      <c r="B577" s="506" t="n"/>
      <c r="C577" s="141" t="n"/>
      <c r="D577" s="141" t="n"/>
      <c r="E577" s="141" t="n"/>
      <c r="F577" s="141" t="n"/>
      <c r="G577" s="143" t="n"/>
      <c r="H577" s="27" t="n"/>
    </row>
    <row r="578" ht="17.25" customHeight="1" s="322">
      <c r="A578" s="27" t="n"/>
      <c r="B578" s="506" t="n"/>
      <c r="C578" s="141" t="n"/>
      <c r="D578" s="141" t="n"/>
      <c r="E578" s="141" t="n"/>
      <c r="F578" s="141" t="n"/>
      <c r="G578" s="143" t="n"/>
      <c r="H578" s="27" t="n"/>
    </row>
    <row r="579" ht="17.25" customHeight="1" s="322">
      <c r="A579" s="27" t="n"/>
      <c r="B579" s="506" t="n"/>
      <c r="C579" s="141" t="n"/>
      <c r="D579" s="141" t="n"/>
      <c r="E579" s="141" t="n"/>
      <c r="F579" s="141" t="n"/>
      <c r="G579" s="143" t="n"/>
      <c r="H579" s="27" t="n"/>
    </row>
    <row r="580" ht="17.25" customHeight="1" s="322">
      <c r="A580" s="27" t="n"/>
      <c r="B580" s="506" t="n"/>
      <c r="C580" s="141" t="n"/>
      <c r="D580" s="141" t="n"/>
      <c r="E580" s="141" t="n"/>
      <c r="F580" s="141" t="n"/>
      <c r="G580" s="143" t="n"/>
      <c r="H580" s="27" t="n"/>
    </row>
    <row r="581" ht="17.25" customHeight="1" s="322">
      <c r="A581" s="27" t="n"/>
      <c r="B581" s="506" t="n"/>
      <c r="C581" s="141" t="n"/>
      <c r="D581" s="141" t="n"/>
      <c r="E581" s="141" t="n"/>
      <c r="F581" s="141" t="n"/>
      <c r="G581" s="143" t="n"/>
      <c r="H581" s="27" t="n"/>
    </row>
    <row r="582" ht="17.25" customHeight="1" s="322">
      <c r="A582" s="27" t="n"/>
      <c r="B582" s="506" t="n"/>
      <c r="C582" s="141" t="n"/>
      <c r="D582" s="141" t="n"/>
      <c r="E582" s="141" t="n"/>
      <c r="F582" s="141" t="n"/>
      <c r="G582" s="143" t="n"/>
      <c r="H582" s="27" t="n"/>
    </row>
    <row r="583" ht="17.25" customHeight="1" s="322">
      <c r="A583" s="27" t="n"/>
      <c r="B583" s="506" t="n"/>
      <c r="C583" s="141" t="n"/>
      <c r="D583" s="141" t="n"/>
      <c r="E583" s="141" t="n"/>
      <c r="F583" s="141" t="n"/>
      <c r="G583" s="143" t="n"/>
      <c r="H583" s="27" t="n"/>
    </row>
    <row r="584" ht="17.25" customHeight="1" s="322">
      <c r="A584" s="27" t="n"/>
      <c r="B584" s="506" t="n"/>
      <c r="C584" s="141" t="n"/>
      <c r="D584" s="141" t="n"/>
      <c r="E584" s="141" t="n"/>
      <c r="F584" s="141" t="n"/>
      <c r="G584" s="143" t="n"/>
      <c r="H584" s="27" t="n"/>
    </row>
    <row r="585" ht="17.25" customHeight="1" s="322">
      <c r="A585" s="27" t="n"/>
      <c r="B585" s="506" t="n"/>
      <c r="C585" s="141" t="n"/>
      <c r="D585" s="141" t="n"/>
      <c r="E585" s="141" t="n"/>
      <c r="F585" s="141" t="n"/>
      <c r="G585" s="143" t="n"/>
      <c r="H585" s="27" t="n"/>
    </row>
    <row r="586" ht="17.25" customHeight="1" s="322">
      <c r="A586" s="27" t="n"/>
      <c r="B586" s="506" t="n"/>
      <c r="C586" s="141" t="n"/>
      <c r="D586" s="141" t="n"/>
      <c r="E586" s="141" t="n"/>
      <c r="F586" s="141" t="n"/>
      <c r="G586" s="143" t="n"/>
      <c r="H586" s="27" t="n"/>
    </row>
    <row r="587" ht="17.25" customHeight="1" s="322">
      <c r="A587" s="27" t="n"/>
      <c r="B587" s="506" t="n"/>
      <c r="C587" s="141" t="n"/>
      <c r="D587" s="141" t="n"/>
      <c r="E587" s="141" t="n"/>
      <c r="F587" s="141" t="n"/>
      <c r="G587" s="143" t="n"/>
      <c r="H587" s="27" t="n"/>
    </row>
    <row r="588" ht="17.25" customHeight="1" s="322">
      <c r="A588" s="27" t="n"/>
      <c r="B588" s="506" t="n"/>
      <c r="C588" s="141" t="n"/>
      <c r="D588" s="141" t="n"/>
      <c r="E588" s="141" t="n"/>
      <c r="F588" s="141" t="n"/>
      <c r="G588" s="143" t="n"/>
      <c r="H588" s="27" t="n"/>
    </row>
    <row r="589" ht="17.25" customHeight="1" s="322">
      <c r="A589" s="27" t="n"/>
      <c r="B589" s="506" t="n"/>
      <c r="C589" s="141" t="n"/>
      <c r="D589" s="141" t="n"/>
      <c r="E589" s="141" t="n"/>
      <c r="F589" s="141" t="n"/>
      <c r="G589" s="143" t="n"/>
      <c r="H589" s="27" t="n"/>
    </row>
    <row r="590" ht="17.25" customHeight="1" s="322">
      <c r="A590" s="27" t="n"/>
      <c r="B590" s="506" t="n"/>
      <c r="C590" s="141" t="n"/>
      <c r="D590" s="141" t="n"/>
      <c r="E590" s="141" t="n"/>
      <c r="F590" s="141" t="n"/>
      <c r="G590" s="143" t="n"/>
      <c r="H590" s="27" t="n"/>
    </row>
    <row r="591" ht="17.25" customHeight="1" s="322">
      <c r="A591" s="27" t="n"/>
      <c r="B591" s="506" t="n"/>
      <c r="C591" s="141" t="n"/>
      <c r="D591" s="141" t="n"/>
      <c r="E591" s="141" t="n"/>
      <c r="F591" s="141" t="n"/>
      <c r="G591" s="143" t="n"/>
      <c r="H591" s="27" t="n"/>
    </row>
    <row r="592" ht="17.25" customHeight="1" s="322">
      <c r="A592" s="27" t="n"/>
      <c r="B592" s="506" t="n"/>
      <c r="C592" s="141" t="n"/>
      <c r="D592" s="141" t="n"/>
      <c r="E592" s="141" t="n"/>
      <c r="F592" s="141" t="n"/>
      <c r="G592" s="143" t="n"/>
      <c r="H592" s="27" t="n"/>
    </row>
    <row r="593" ht="17.25" customHeight="1" s="322">
      <c r="A593" s="27" t="n"/>
      <c r="B593" s="506" t="n"/>
      <c r="C593" s="141" t="n"/>
      <c r="D593" s="141" t="n"/>
      <c r="E593" s="141" t="n"/>
      <c r="F593" s="141" t="n"/>
      <c r="G593" s="143" t="n"/>
      <c r="H593" s="27" t="n"/>
    </row>
    <row r="594" ht="17.25" customHeight="1" s="322">
      <c r="A594" s="27" t="n"/>
      <c r="B594" s="506" t="n"/>
      <c r="C594" s="141" t="n"/>
      <c r="D594" s="141" t="n"/>
      <c r="E594" s="141" t="n"/>
      <c r="F594" s="141" t="n"/>
      <c r="G594" s="143" t="n"/>
      <c r="H594" s="27" t="n"/>
    </row>
    <row r="595" ht="17.25" customHeight="1" s="322">
      <c r="A595" s="27" t="n"/>
      <c r="B595" s="506" t="n"/>
      <c r="C595" s="141" t="n"/>
      <c r="D595" s="141" t="n"/>
      <c r="E595" s="141" t="n"/>
      <c r="F595" s="141" t="n"/>
      <c r="G595" s="143" t="n"/>
      <c r="H595" s="27" t="n"/>
    </row>
    <row r="596" ht="17.25" customHeight="1" s="322">
      <c r="A596" s="27" t="n"/>
      <c r="B596" s="506" t="n"/>
      <c r="C596" s="141" t="n"/>
      <c r="D596" s="141" t="n"/>
      <c r="E596" s="141" t="n"/>
      <c r="F596" s="141" t="n"/>
      <c r="G596" s="143" t="n"/>
      <c r="H596" s="27" t="n"/>
    </row>
    <row r="597" ht="17.25" customHeight="1" s="322">
      <c r="A597" s="27" t="n"/>
      <c r="B597" s="506" t="n"/>
      <c r="C597" s="141" t="n"/>
      <c r="D597" s="141" t="n"/>
      <c r="E597" s="141" t="n"/>
      <c r="F597" s="141" t="n"/>
      <c r="G597" s="143" t="n"/>
      <c r="H597" s="27" t="n"/>
    </row>
    <row r="598" ht="17.25" customHeight="1" s="322">
      <c r="A598" s="27" t="n"/>
      <c r="B598" s="506" t="n"/>
      <c r="C598" s="141" t="n"/>
      <c r="D598" s="141" t="n"/>
      <c r="E598" s="141" t="n"/>
      <c r="F598" s="141" t="n"/>
      <c r="G598" s="143" t="n"/>
      <c r="H598" s="27" t="n"/>
    </row>
    <row r="599" ht="17.25" customHeight="1" s="322">
      <c r="A599" s="27" t="n"/>
      <c r="B599" s="506" t="n"/>
      <c r="C599" s="141" t="n"/>
      <c r="D599" s="141" t="n"/>
      <c r="E599" s="141" t="n"/>
      <c r="F599" s="141" t="n"/>
      <c r="G599" s="143" t="n"/>
      <c r="H599" s="27" t="n"/>
    </row>
    <row r="600" ht="17.25" customHeight="1" s="322">
      <c r="A600" s="27" t="n"/>
      <c r="B600" s="506" t="n"/>
      <c r="C600" s="141" t="n"/>
      <c r="D600" s="141" t="n"/>
      <c r="E600" s="141" t="n"/>
      <c r="F600" s="141" t="n"/>
      <c r="G600" s="143" t="n"/>
      <c r="H600" s="27" t="n"/>
    </row>
    <row r="601" ht="17.25" customHeight="1" s="322">
      <c r="A601" s="27" t="n"/>
      <c r="B601" s="506" t="n"/>
      <c r="C601" s="141" t="n"/>
      <c r="D601" s="141" t="n"/>
      <c r="E601" s="141" t="n"/>
      <c r="F601" s="141" t="n"/>
      <c r="G601" s="143" t="n"/>
      <c r="H601" s="27" t="n"/>
    </row>
    <row r="602" ht="17.25" customHeight="1" s="322">
      <c r="A602" s="27" t="n"/>
      <c r="B602" s="506" t="n"/>
      <c r="C602" s="141" t="n"/>
      <c r="D602" s="141" t="n"/>
      <c r="E602" s="141" t="n"/>
      <c r="F602" s="141" t="n"/>
      <c r="G602" s="143" t="n"/>
      <c r="H602" s="27" t="n"/>
    </row>
    <row r="603" ht="17.25" customHeight="1" s="322">
      <c r="A603" s="27" t="n"/>
      <c r="B603" s="506" t="n"/>
      <c r="C603" s="141" t="n"/>
      <c r="D603" s="141" t="n"/>
      <c r="E603" s="141" t="n"/>
      <c r="F603" s="141" t="n"/>
      <c r="G603" s="143" t="n"/>
      <c r="H603" s="27" t="n"/>
    </row>
    <row r="604" ht="17.25" customHeight="1" s="322">
      <c r="A604" s="27" t="n"/>
      <c r="B604" s="506" t="n"/>
      <c r="C604" s="141" t="n"/>
      <c r="D604" s="141" t="n"/>
      <c r="E604" s="141" t="n"/>
      <c r="F604" s="141" t="n"/>
      <c r="G604" s="143" t="n"/>
      <c r="H604" s="27" t="n"/>
    </row>
    <row r="605" ht="17.25" customHeight="1" s="322">
      <c r="A605" s="27" t="n"/>
      <c r="B605" s="506" t="n"/>
      <c r="C605" s="141" t="n"/>
      <c r="D605" s="141" t="n"/>
      <c r="E605" s="141" t="n"/>
      <c r="F605" s="141" t="n"/>
      <c r="G605" s="143" t="n"/>
      <c r="H605" s="27" t="n"/>
    </row>
    <row r="606" ht="17.25" customHeight="1" s="322">
      <c r="A606" s="27" t="n"/>
      <c r="B606" s="506" t="n"/>
      <c r="C606" s="141" t="n"/>
      <c r="D606" s="141" t="n"/>
      <c r="E606" s="141" t="n"/>
      <c r="F606" s="141" t="n"/>
      <c r="G606" s="143" t="n"/>
      <c r="H606" s="27" t="n"/>
    </row>
    <row r="607" ht="17.25" customHeight="1" s="322">
      <c r="A607" s="27" t="n"/>
      <c r="B607" s="506" t="n"/>
      <c r="C607" s="141" t="n"/>
      <c r="D607" s="141" t="n"/>
      <c r="E607" s="141" t="n"/>
      <c r="F607" s="141" t="n"/>
      <c r="G607" s="143" t="n"/>
      <c r="H607" s="27" t="n"/>
    </row>
    <row r="608" ht="17.25" customHeight="1" s="322">
      <c r="A608" s="27" t="n"/>
      <c r="B608" s="506" t="n"/>
      <c r="C608" s="141" t="n"/>
      <c r="D608" s="141" t="n"/>
      <c r="E608" s="141" t="n"/>
      <c r="F608" s="141" t="n"/>
      <c r="G608" s="143" t="n"/>
      <c r="H608" s="27" t="n"/>
    </row>
    <row r="609" ht="17.25" customHeight="1" s="322">
      <c r="A609" s="27" t="n"/>
      <c r="B609" s="506" t="n"/>
      <c r="C609" s="141" t="n"/>
      <c r="D609" s="141" t="n"/>
      <c r="E609" s="141" t="n"/>
      <c r="F609" s="141" t="n"/>
      <c r="G609" s="143" t="n"/>
      <c r="H609" s="27" t="n"/>
    </row>
    <row r="610" ht="17.25" customHeight="1" s="322">
      <c r="A610" s="27" t="n"/>
      <c r="B610" s="506" t="n"/>
      <c r="C610" s="141" t="n"/>
      <c r="D610" s="141" t="n"/>
      <c r="E610" s="141" t="n"/>
      <c r="F610" s="141" t="n"/>
      <c r="G610" s="143" t="n"/>
      <c r="H610" s="27" t="n"/>
    </row>
    <row r="611" ht="17.25" customHeight="1" s="322">
      <c r="A611" s="27" t="n"/>
      <c r="B611" s="506" t="n"/>
      <c r="C611" s="141" t="n"/>
      <c r="D611" s="141" t="n"/>
      <c r="E611" s="141" t="n"/>
      <c r="F611" s="141" t="n"/>
      <c r="G611" s="143" t="n"/>
      <c r="H611" s="27" t="n"/>
    </row>
    <row r="612" ht="17.25" customHeight="1" s="322">
      <c r="A612" s="27" t="n"/>
      <c r="B612" s="506" t="n"/>
      <c r="C612" s="141" t="n"/>
      <c r="D612" s="141" t="n"/>
      <c r="E612" s="141" t="n"/>
      <c r="F612" s="141" t="n"/>
      <c r="G612" s="143" t="n"/>
      <c r="H612" s="27" t="n"/>
    </row>
    <row r="613" ht="17.25" customHeight="1" s="322">
      <c r="A613" s="27" t="n"/>
      <c r="B613" s="506" t="n"/>
      <c r="C613" s="141" t="n"/>
      <c r="D613" s="141" t="n"/>
      <c r="E613" s="141" t="n"/>
      <c r="F613" s="141" t="n"/>
      <c r="G613" s="143" t="n"/>
      <c r="H613" s="27" t="n"/>
    </row>
    <row r="614" ht="17.25" customHeight="1" s="322">
      <c r="A614" s="27" t="n"/>
      <c r="B614" s="506" t="n"/>
      <c r="C614" s="141" t="n"/>
      <c r="D614" s="141" t="n"/>
      <c r="E614" s="141" t="n"/>
      <c r="F614" s="141" t="n"/>
      <c r="G614" s="143" t="n"/>
      <c r="H614" s="27" t="n"/>
    </row>
    <row r="615" ht="17.25" customHeight="1" s="322">
      <c r="A615" s="27" t="n"/>
      <c r="B615" s="506" t="n"/>
      <c r="C615" s="141" t="n"/>
      <c r="D615" s="141" t="n"/>
      <c r="E615" s="141" t="n"/>
      <c r="F615" s="141" t="n"/>
      <c r="G615" s="143" t="n"/>
      <c r="H615" s="27" t="n"/>
    </row>
    <row r="616" ht="17.25" customHeight="1" s="322">
      <c r="A616" s="27" t="n"/>
      <c r="B616" s="506" t="n"/>
      <c r="C616" s="141" t="n"/>
      <c r="D616" s="141" t="n"/>
      <c r="E616" s="141" t="n"/>
      <c r="F616" s="141" t="n"/>
      <c r="G616" s="143" t="n"/>
      <c r="H616" s="27" t="n"/>
    </row>
    <row r="617" ht="17.25" customHeight="1" s="322">
      <c r="A617" s="27" t="n"/>
      <c r="B617" s="506" t="n"/>
      <c r="C617" s="141" t="n"/>
      <c r="D617" s="141" t="n"/>
      <c r="E617" s="141" t="n"/>
      <c r="F617" s="141" t="n"/>
      <c r="G617" s="143" t="n"/>
      <c r="H617" s="27" t="n"/>
    </row>
    <row r="618" ht="17.25" customHeight="1" s="322">
      <c r="A618" s="27" t="n"/>
      <c r="B618" s="506" t="n"/>
      <c r="C618" s="141" t="n"/>
      <c r="D618" s="141" t="n"/>
      <c r="E618" s="141" t="n"/>
      <c r="F618" s="141" t="n"/>
      <c r="G618" s="143" t="n"/>
      <c r="H618" s="27" t="n"/>
    </row>
    <row r="619" ht="17.25" customHeight="1" s="322">
      <c r="A619" s="27" t="n"/>
      <c r="B619" s="506" t="n"/>
      <c r="C619" s="141" t="n"/>
      <c r="D619" s="141" t="n"/>
      <c r="E619" s="141" t="n"/>
      <c r="F619" s="141" t="n"/>
      <c r="G619" s="143" t="n"/>
      <c r="H619" s="27" t="n"/>
    </row>
    <row r="620" ht="17.25" customHeight="1" s="322">
      <c r="A620" s="27" t="n"/>
      <c r="B620" s="506" t="n"/>
      <c r="C620" s="141" t="n"/>
      <c r="D620" s="141" t="n"/>
      <c r="E620" s="141" t="n"/>
      <c r="F620" s="141" t="n"/>
      <c r="G620" s="143" t="n"/>
      <c r="H620" s="27" t="n"/>
    </row>
    <row r="621" ht="17.25" customHeight="1" s="322">
      <c r="A621" s="27" t="n"/>
      <c r="B621" s="506" t="n"/>
      <c r="C621" s="141" t="n"/>
      <c r="D621" s="141" t="n"/>
      <c r="E621" s="141" t="n"/>
      <c r="F621" s="141" t="n"/>
      <c r="G621" s="143" t="n"/>
      <c r="H621" s="27" t="n"/>
    </row>
    <row r="622" ht="17.25" customHeight="1" s="322">
      <c r="A622" s="27" t="n"/>
      <c r="B622" s="506" t="n"/>
      <c r="C622" s="141" t="n"/>
      <c r="D622" s="141" t="n"/>
      <c r="E622" s="141" t="n"/>
      <c r="F622" s="141" t="n"/>
      <c r="G622" s="143" t="n"/>
      <c r="H622" s="27" t="n"/>
    </row>
    <row r="623" ht="17.25" customHeight="1" s="322">
      <c r="A623" s="27" t="n"/>
      <c r="B623" s="506" t="n"/>
      <c r="C623" s="141" t="n"/>
      <c r="D623" s="141" t="n"/>
      <c r="E623" s="141" t="n"/>
      <c r="F623" s="141" t="n"/>
      <c r="G623" s="143" t="n"/>
      <c r="H623" s="27" t="n"/>
    </row>
    <row r="624" ht="17.25" customHeight="1" s="322">
      <c r="A624" s="27" t="n"/>
      <c r="B624" s="506" t="n"/>
      <c r="C624" s="141" t="n"/>
      <c r="D624" s="141" t="n"/>
      <c r="E624" s="141" t="n"/>
      <c r="F624" s="141" t="n"/>
      <c r="G624" s="143" t="n"/>
      <c r="H624" s="27" t="n"/>
    </row>
    <row r="625" ht="17.25" customHeight="1" s="322">
      <c r="A625" s="27" t="n"/>
      <c r="B625" s="506" t="n"/>
      <c r="C625" s="141" t="n"/>
      <c r="D625" s="141" t="n"/>
      <c r="E625" s="141" t="n"/>
      <c r="F625" s="141" t="n"/>
      <c r="G625" s="143" t="n"/>
      <c r="H625" s="27" t="n"/>
    </row>
    <row r="626" ht="17.25" customHeight="1" s="322">
      <c r="A626" s="27" t="n"/>
      <c r="B626" s="506" t="n"/>
      <c r="C626" s="141" t="n"/>
      <c r="D626" s="141" t="n"/>
      <c r="E626" s="141" t="n"/>
      <c r="F626" s="141" t="n"/>
      <c r="G626" s="143" t="n"/>
      <c r="H626" s="27" t="n"/>
    </row>
    <row r="627" ht="17.25" customHeight="1" s="322">
      <c r="A627" s="27" t="n"/>
      <c r="B627" s="506" t="n"/>
      <c r="C627" s="141" t="n"/>
      <c r="D627" s="141" t="n"/>
      <c r="E627" s="141" t="n"/>
      <c r="F627" s="141" t="n"/>
      <c r="G627" s="143" t="n"/>
      <c r="H627" s="27" t="n"/>
    </row>
    <row r="628" ht="17.25" customHeight="1" s="322">
      <c r="A628" s="27" t="n"/>
      <c r="B628" s="506" t="n"/>
      <c r="C628" s="141" t="n"/>
      <c r="D628" s="141" t="n"/>
      <c r="E628" s="141" t="n"/>
      <c r="F628" s="141" t="n"/>
      <c r="G628" s="143" t="n"/>
      <c r="H628" s="27" t="n"/>
    </row>
    <row r="629" ht="17.25" customHeight="1" s="322">
      <c r="A629" s="27" t="n"/>
      <c r="B629" s="506" t="n"/>
      <c r="C629" s="141" t="n"/>
      <c r="D629" s="141" t="n"/>
      <c r="E629" s="141" t="n"/>
      <c r="F629" s="141" t="n"/>
      <c r="G629" s="143" t="n"/>
      <c r="H629" s="27" t="n"/>
    </row>
    <row r="630" ht="17.25" customHeight="1" s="322">
      <c r="A630" s="27" t="n"/>
      <c r="B630" s="506" t="n"/>
      <c r="C630" s="141" t="n"/>
      <c r="D630" s="141" t="n"/>
      <c r="E630" s="141" t="n"/>
      <c r="F630" s="141" t="n"/>
      <c r="G630" s="143" t="n"/>
      <c r="H630" s="27" t="n"/>
    </row>
    <row r="631" ht="17.25" customHeight="1" s="322">
      <c r="A631" s="27" t="n"/>
      <c r="B631" s="506" t="n"/>
      <c r="C631" s="141" t="n"/>
      <c r="D631" s="141" t="n"/>
      <c r="E631" s="141" t="n"/>
      <c r="F631" s="141" t="n"/>
      <c r="G631" s="143" t="n"/>
      <c r="H631" s="27" t="n"/>
    </row>
    <row r="632" ht="17.25" customHeight="1" s="322">
      <c r="A632" s="27" t="n"/>
      <c r="B632" s="506" t="n"/>
      <c r="C632" s="141" t="n"/>
      <c r="D632" s="141" t="n"/>
      <c r="E632" s="141" t="n"/>
      <c r="F632" s="141" t="n"/>
      <c r="G632" s="143" t="n"/>
      <c r="H632" s="27" t="n"/>
    </row>
    <row r="633" ht="17.25" customHeight="1" s="322">
      <c r="A633" s="27" t="n"/>
      <c r="B633" s="506" t="n"/>
      <c r="C633" s="141" t="n"/>
      <c r="D633" s="141" t="n"/>
      <c r="E633" s="141" t="n"/>
      <c r="F633" s="141" t="n"/>
      <c r="G633" s="143" t="n"/>
      <c r="H633" s="27" t="n"/>
    </row>
    <row r="634" ht="17.25" customHeight="1" s="322">
      <c r="A634" s="27" t="n"/>
      <c r="B634" s="506" t="n"/>
      <c r="C634" s="141" t="n"/>
      <c r="D634" s="141" t="n"/>
      <c r="E634" s="141" t="n"/>
      <c r="F634" s="141" t="n"/>
      <c r="G634" s="143" t="n"/>
      <c r="H634" s="27" t="n"/>
    </row>
    <row r="635" ht="17.25" customHeight="1" s="322">
      <c r="A635" s="27" t="n"/>
      <c r="B635" s="506" t="n"/>
      <c r="C635" s="141" t="n"/>
      <c r="D635" s="141" t="n"/>
      <c r="E635" s="141" t="n"/>
      <c r="F635" s="141" t="n"/>
      <c r="G635" s="143" t="n"/>
      <c r="H635" s="27" t="n"/>
    </row>
    <row r="636" ht="17.25" customHeight="1" s="322">
      <c r="A636" s="27" t="n"/>
      <c r="B636" s="506" t="n"/>
      <c r="C636" s="141" t="n"/>
      <c r="D636" s="141" t="n"/>
      <c r="E636" s="141" t="n"/>
      <c r="F636" s="141" t="n"/>
      <c r="G636" s="143" t="n"/>
      <c r="H636" s="27" t="n"/>
    </row>
    <row r="637" ht="17.25" customHeight="1" s="322">
      <c r="A637" s="27" t="n"/>
      <c r="B637" s="506" t="n"/>
      <c r="C637" s="141" t="n"/>
      <c r="D637" s="141" t="n"/>
      <c r="E637" s="141" t="n"/>
      <c r="F637" s="141" t="n"/>
      <c r="G637" s="143" t="n"/>
      <c r="H637" s="27" t="n"/>
    </row>
    <row r="638" ht="17.25" customHeight="1" s="322">
      <c r="A638" s="27" t="n"/>
      <c r="B638" s="506" t="n"/>
      <c r="C638" s="141" t="n"/>
      <c r="D638" s="141" t="n"/>
      <c r="E638" s="141" t="n"/>
      <c r="F638" s="141" t="n"/>
      <c r="G638" s="143" t="n"/>
      <c r="H638" s="27" t="n"/>
    </row>
    <row r="639" ht="17.25" customHeight="1" s="322">
      <c r="A639" s="27" t="n"/>
      <c r="B639" s="506" t="n"/>
      <c r="C639" s="141" t="n"/>
      <c r="D639" s="141" t="n"/>
      <c r="E639" s="141" t="n"/>
      <c r="F639" s="141" t="n"/>
      <c r="G639" s="143" t="n"/>
      <c r="H639" s="27" t="n"/>
    </row>
    <row r="640" ht="17.25" customHeight="1" s="322">
      <c r="A640" s="27" t="n"/>
      <c r="B640" s="506" t="n"/>
      <c r="C640" s="141" t="n"/>
      <c r="D640" s="141" t="n"/>
      <c r="E640" s="141" t="n"/>
      <c r="F640" s="141" t="n"/>
      <c r="G640" s="143" t="n"/>
      <c r="H640" s="27" t="n"/>
    </row>
    <row r="641" ht="17.25" customHeight="1" s="322">
      <c r="A641" s="27" t="n"/>
      <c r="B641" s="506" t="n"/>
      <c r="C641" s="141" t="n"/>
      <c r="D641" s="141" t="n"/>
      <c r="E641" s="141" t="n"/>
      <c r="F641" s="141" t="n"/>
      <c r="G641" s="143" t="n"/>
      <c r="H641" s="27" t="n"/>
    </row>
    <row r="642" ht="17.25" customHeight="1" s="322">
      <c r="A642" s="27" t="n"/>
      <c r="B642" s="506" t="n"/>
      <c r="C642" s="141" t="n"/>
      <c r="D642" s="141" t="n"/>
      <c r="E642" s="141" t="n"/>
      <c r="F642" s="141" t="n"/>
      <c r="G642" s="143" t="n"/>
      <c r="H642" s="27" t="n"/>
    </row>
    <row r="643" ht="17.25" customHeight="1" s="322">
      <c r="A643" s="27" t="n"/>
      <c r="B643" s="506" t="n"/>
      <c r="C643" s="141" t="n"/>
      <c r="D643" s="141" t="n"/>
      <c r="E643" s="141" t="n"/>
      <c r="F643" s="141" t="n"/>
      <c r="G643" s="143" t="n"/>
      <c r="H643" s="27" t="n"/>
    </row>
    <row r="644" ht="17.25" customHeight="1" s="322">
      <c r="A644" s="27" t="n"/>
      <c r="B644" s="506" t="n"/>
      <c r="C644" s="141" t="n"/>
      <c r="D644" s="141" t="n"/>
      <c r="E644" s="141" t="n"/>
      <c r="F644" s="141" t="n"/>
      <c r="G644" s="143" t="n"/>
      <c r="H644" s="27" t="n"/>
    </row>
    <row r="645" ht="17.25" customHeight="1" s="322">
      <c r="A645" s="27" t="n"/>
      <c r="B645" s="506" t="n"/>
      <c r="C645" s="141" t="n"/>
      <c r="D645" s="141" t="n"/>
      <c r="E645" s="141" t="n"/>
      <c r="F645" s="141" t="n"/>
      <c r="G645" s="143" t="n"/>
      <c r="H645" s="27" t="n"/>
    </row>
    <row r="646" ht="17.25" customHeight="1" s="322">
      <c r="A646" s="27" t="n"/>
      <c r="B646" s="506" t="n"/>
      <c r="C646" s="141" t="n"/>
      <c r="D646" s="141" t="n"/>
      <c r="E646" s="141" t="n"/>
      <c r="F646" s="141" t="n"/>
      <c r="G646" s="143" t="n"/>
      <c r="H646" s="27" t="n"/>
    </row>
    <row r="647" ht="17.25" customHeight="1" s="322">
      <c r="A647" s="27" t="n"/>
      <c r="B647" s="506" t="n"/>
      <c r="C647" s="141" t="n"/>
      <c r="D647" s="141" t="n"/>
      <c r="E647" s="141" t="n"/>
      <c r="F647" s="141" t="n"/>
      <c r="G647" s="143" t="n"/>
      <c r="H647" s="27" t="n"/>
    </row>
    <row r="648" ht="17.25" customHeight="1" s="322">
      <c r="A648" s="27" t="n"/>
      <c r="B648" s="506" t="n"/>
      <c r="C648" s="141" t="n"/>
      <c r="D648" s="141" t="n"/>
      <c r="E648" s="141" t="n"/>
      <c r="F648" s="141" t="n"/>
      <c r="G648" s="143" t="n"/>
      <c r="H648" s="27" t="n"/>
    </row>
    <row r="649" ht="17.25" customHeight="1" s="322">
      <c r="A649" s="27" t="n"/>
      <c r="B649" s="506" t="n"/>
      <c r="C649" s="141" t="n"/>
      <c r="D649" s="141" t="n"/>
      <c r="E649" s="141" t="n"/>
      <c r="F649" s="141" t="n"/>
      <c r="G649" s="143" t="n"/>
      <c r="H649" s="27" t="n"/>
    </row>
    <row r="650" ht="17.25" customHeight="1" s="322">
      <c r="A650" s="27" t="n"/>
      <c r="B650" s="506" t="n"/>
      <c r="C650" s="141" t="n"/>
      <c r="D650" s="141" t="n"/>
      <c r="E650" s="141" t="n"/>
      <c r="F650" s="141" t="n"/>
      <c r="G650" s="143" t="n"/>
      <c r="H650" s="27" t="n"/>
    </row>
    <row r="651" ht="17.25" customHeight="1" s="322">
      <c r="A651" s="27" t="n"/>
      <c r="B651" s="506" t="n"/>
      <c r="C651" s="141" t="n"/>
      <c r="D651" s="141" t="n"/>
      <c r="E651" s="141" t="n"/>
      <c r="F651" s="141" t="n"/>
      <c r="G651" s="143" t="n"/>
      <c r="H651" s="27" t="n"/>
    </row>
    <row r="652" ht="17.25" customHeight="1" s="322">
      <c r="A652" s="27" t="n"/>
      <c r="B652" s="506" t="n"/>
      <c r="C652" s="141" t="n"/>
      <c r="D652" s="141" t="n"/>
      <c r="E652" s="141" t="n"/>
      <c r="F652" s="141" t="n"/>
      <c r="G652" s="143" t="n"/>
      <c r="H652" s="27" t="n"/>
    </row>
    <row r="653" ht="17.25" customHeight="1" s="322">
      <c r="A653" s="27" t="n"/>
      <c r="B653" s="506" t="n"/>
      <c r="C653" s="141" t="n"/>
      <c r="D653" s="141" t="n"/>
      <c r="E653" s="141" t="n"/>
      <c r="F653" s="141" t="n"/>
      <c r="G653" s="143" t="n"/>
      <c r="H653" s="27" t="n"/>
    </row>
    <row r="654" ht="17.25" customHeight="1" s="322">
      <c r="A654" s="27" t="n"/>
      <c r="B654" s="506" t="n"/>
      <c r="C654" s="141" t="n"/>
      <c r="D654" s="141" t="n"/>
      <c r="E654" s="141" t="n"/>
      <c r="F654" s="141" t="n"/>
      <c r="G654" s="143" t="n"/>
      <c r="H654" s="27" t="n"/>
    </row>
    <row r="655" ht="17.25" customHeight="1" s="322">
      <c r="A655" s="27" t="n"/>
      <c r="B655" s="506" t="n"/>
      <c r="C655" s="141" t="n"/>
      <c r="D655" s="141" t="n"/>
      <c r="E655" s="141" t="n"/>
      <c r="F655" s="141" t="n"/>
      <c r="G655" s="143" t="n"/>
      <c r="H655" s="27" t="n"/>
    </row>
    <row r="656" ht="17.25" customHeight="1" s="322">
      <c r="A656" s="27" t="n"/>
      <c r="B656" s="506" t="n"/>
      <c r="C656" s="141" t="n"/>
      <c r="D656" s="141" t="n"/>
      <c r="E656" s="141" t="n"/>
      <c r="F656" s="141" t="n"/>
      <c r="G656" s="143" t="n"/>
      <c r="H656" s="27" t="n"/>
    </row>
    <row r="657" ht="17.25" customHeight="1" s="322">
      <c r="A657" s="27" t="n"/>
      <c r="B657" s="506" t="n"/>
      <c r="C657" s="141" t="n"/>
      <c r="D657" s="141" t="n"/>
      <c r="E657" s="141" t="n"/>
      <c r="F657" s="141" t="n"/>
      <c r="G657" s="143" t="n"/>
      <c r="H657" s="27" t="n"/>
    </row>
    <row r="658" ht="17.25" customHeight="1" s="322">
      <c r="A658" s="27" t="n"/>
      <c r="B658" s="506" t="n"/>
      <c r="C658" s="141" t="n"/>
      <c r="D658" s="141" t="n"/>
      <c r="E658" s="141" t="n"/>
      <c r="F658" s="141" t="n"/>
      <c r="G658" s="143" t="n"/>
      <c r="H658" s="27" t="n"/>
    </row>
    <row r="659" ht="17.25" customHeight="1" s="322">
      <c r="A659" s="27" t="n"/>
      <c r="B659" s="506" t="n"/>
      <c r="C659" s="141" t="n"/>
      <c r="D659" s="141" t="n"/>
      <c r="E659" s="141" t="n"/>
      <c r="F659" s="141" t="n"/>
      <c r="G659" s="143" t="n"/>
      <c r="H659" s="27" t="n"/>
    </row>
    <row r="660" ht="17.25" customHeight="1" s="322">
      <c r="A660" s="27" t="n"/>
      <c r="B660" s="506" t="n"/>
      <c r="C660" s="141" t="n"/>
      <c r="D660" s="141" t="n"/>
      <c r="E660" s="141" t="n"/>
      <c r="F660" s="141" t="n"/>
      <c r="G660" s="143" t="n"/>
      <c r="H660" s="27" t="n"/>
    </row>
    <row r="661" ht="17.25" customHeight="1" s="322">
      <c r="A661" s="27" t="n"/>
      <c r="B661" s="506" t="n"/>
      <c r="C661" s="141" t="n"/>
      <c r="D661" s="141" t="n"/>
      <c r="E661" s="141" t="n"/>
      <c r="F661" s="141" t="n"/>
      <c r="G661" s="143" t="n"/>
      <c r="H661" s="27" t="n"/>
    </row>
    <row r="662" ht="17.25" customHeight="1" s="322">
      <c r="A662" s="27" t="n"/>
      <c r="B662" s="506" t="n"/>
      <c r="C662" s="141" t="n"/>
      <c r="D662" s="141" t="n"/>
      <c r="E662" s="141" t="n"/>
      <c r="F662" s="141" t="n"/>
      <c r="G662" s="143" t="n"/>
      <c r="H662" s="27" t="n"/>
    </row>
    <row r="663" ht="17.25" customHeight="1" s="322">
      <c r="A663" s="27" t="n"/>
      <c r="B663" s="506" t="n"/>
      <c r="C663" s="141" t="n"/>
      <c r="D663" s="141" t="n"/>
      <c r="E663" s="141" t="n"/>
      <c r="F663" s="141" t="n"/>
      <c r="G663" s="143" t="n"/>
      <c r="H663" s="27" t="n"/>
    </row>
    <row r="664" ht="17.25" customHeight="1" s="322">
      <c r="A664" s="27" t="n"/>
      <c r="B664" s="506" t="n"/>
      <c r="C664" s="141" t="n"/>
      <c r="D664" s="141" t="n"/>
      <c r="E664" s="141" t="n"/>
      <c r="F664" s="141" t="n"/>
      <c r="G664" s="143" t="n"/>
      <c r="H664" s="27" t="n"/>
    </row>
    <row r="665" ht="17.25" customHeight="1" s="322">
      <c r="A665" s="27" t="n"/>
      <c r="B665" s="506" t="n"/>
      <c r="C665" s="141" t="n"/>
      <c r="D665" s="141" t="n"/>
      <c r="E665" s="141" t="n"/>
      <c r="F665" s="141" t="n"/>
      <c r="G665" s="143" t="n"/>
      <c r="H665" s="27" t="n"/>
    </row>
    <row r="666" ht="17.25" customHeight="1" s="322">
      <c r="A666" s="27" t="n"/>
      <c r="B666" s="506" t="n"/>
      <c r="C666" s="141" t="n"/>
      <c r="D666" s="141" t="n"/>
      <c r="E666" s="141" t="n"/>
      <c r="F666" s="141" t="n"/>
      <c r="G666" s="143" t="n"/>
      <c r="H666" s="27" t="n"/>
    </row>
    <row r="667" ht="17.25" customHeight="1" s="322">
      <c r="A667" s="27" t="n"/>
      <c r="B667" s="506" t="n"/>
      <c r="C667" s="141" t="n"/>
      <c r="D667" s="141" t="n"/>
      <c r="E667" s="141" t="n"/>
      <c r="F667" s="141" t="n"/>
      <c r="G667" s="143" t="n"/>
      <c r="H667" s="27" t="n"/>
    </row>
    <row r="668" ht="17.25" customHeight="1" s="322">
      <c r="A668" s="27" t="n"/>
      <c r="B668" s="506" t="n"/>
      <c r="C668" s="141" t="n"/>
      <c r="D668" s="141" t="n"/>
      <c r="E668" s="141" t="n"/>
      <c r="F668" s="141" t="n"/>
      <c r="G668" s="143" t="n"/>
      <c r="H668" s="27" t="n"/>
    </row>
    <row r="669" ht="17.25" customHeight="1" s="322">
      <c r="A669" s="27" t="n"/>
      <c r="B669" s="506" t="n"/>
      <c r="C669" s="141" t="n"/>
      <c r="D669" s="141" t="n"/>
      <c r="E669" s="141" t="n"/>
      <c r="F669" s="141" t="n"/>
      <c r="G669" s="143" t="n"/>
      <c r="H669" s="27" t="n"/>
    </row>
    <row r="670" ht="17.25" customHeight="1" s="322">
      <c r="A670" s="27" t="n"/>
      <c r="B670" s="506" t="n"/>
      <c r="C670" s="141" t="n"/>
      <c r="D670" s="141" t="n"/>
      <c r="E670" s="141" t="n"/>
      <c r="F670" s="141" t="n"/>
      <c r="G670" s="143" t="n"/>
      <c r="H670" s="27" t="n"/>
    </row>
    <row r="671" ht="17.25" customHeight="1" s="322">
      <c r="A671" s="27" t="n"/>
      <c r="B671" s="506" t="n"/>
      <c r="C671" s="141" t="n"/>
      <c r="D671" s="141" t="n"/>
      <c r="E671" s="141" t="n"/>
      <c r="F671" s="141" t="n"/>
      <c r="G671" s="143" t="n"/>
      <c r="H671" s="27" t="n"/>
    </row>
    <row r="672" ht="17.25" customHeight="1" s="322">
      <c r="A672" s="27" t="n"/>
      <c r="B672" s="506" t="n"/>
      <c r="C672" s="141" t="n"/>
      <c r="D672" s="141" t="n"/>
      <c r="E672" s="141" t="n"/>
      <c r="F672" s="141" t="n"/>
      <c r="G672" s="143" t="n"/>
      <c r="H672" s="27" t="n"/>
    </row>
    <row r="673" ht="17.25" customHeight="1" s="322">
      <c r="A673" s="27" t="n"/>
      <c r="B673" s="506" t="n"/>
      <c r="C673" s="141" t="n"/>
      <c r="D673" s="141" t="n"/>
      <c r="E673" s="141" t="n"/>
      <c r="F673" s="141" t="n"/>
      <c r="G673" s="143" t="n"/>
      <c r="H673" s="27" t="n"/>
    </row>
    <row r="674" ht="17.25" customHeight="1" s="322">
      <c r="A674" s="27" t="n"/>
      <c r="B674" s="506" t="n"/>
      <c r="C674" s="141" t="n"/>
      <c r="D674" s="141" t="n"/>
      <c r="E674" s="141" t="n"/>
      <c r="F674" s="141" t="n"/>
      <c r="G674" s="143" t="n"/>
      <c r="H674" s="27" t="n"/>
    </row>
    <row r="675" ht="17.25" customHeight="1" s="322">
      <c r="A675" s="27" t="n"/>
      <c r="B675" s="506" t="n"/>
      <c r="C675" s="141" t="n"/>
      <c r="D675" s="141" t="n"/>
      <c r="E675" s="141" t="n"/>
      <c r="F675" s="141" t="n"/>
      <c r="G675" s="143" t="n"/>
      <c r="H675" s="27" t="n"/>
    </row>
    <row r="676" ht="17.25" customHeight="1" s="322">
      <c r="A676" s="27" t="n"/>
      <c r="B676" s="506" t="n"/>
      <c r="C676" s="141" t="n"/>
      <c r="D676" s="141" t="n"/>
      <c r="E676" s="141" t="n"/>
      <c r="F676" s="141" t="n"/>
      <c r="G676" s="143" t="n"/>
      <c r="H676" s="27" t="n"/>
    </row>
    <row r="677" ht="17.25" customHeight="1" s="322">
      <c r="A677" s="27" t="n"/>
      <c r="B677" s="506" t="n"/>
      <c r="C677" s="141" t="n"/>
      <c r="D677" s="141" t="n"/>
      <c r="E677" s="141" t="n"/>
      <c r="F677" s="141" t="n"/>
      <c r="G677" s="143" t="n"/>
      <c r="H677" s="27" t="n"/>
    </row>
    <row r="678" ht="17.25" customHeight="1" s="322">
      <c r="A678" s="27" t="n"/>
      <c r="B678" s="506" t="n"/>
      <c r="C678" s="141" t="n"/>
      <c r="D678" s="141" t="n"/>
      <c r="E678" s="141" t="n"/>
      <c r="F678" s="141" t="n"/>
      <c r="G678" s="143" t="n"/>
      <c r="H678" s="27" t="n"/>
    </row>
    <row r="679" ht="17.25" customHeight="1" s="322">
      <c r="A679" s="27" t="n"/>
      <c r="B679" s="506" t="n"/>
      <c r="C679" s="141" t="n"/>
      <c r="D679" s="141" t="n"/>
      <c r="E679" s="141" t="n"/>
      <c r="F679" s="141" t="n"/>
      <c r="G679" s="143" t="n"/>
      <c r="H679" s="27" t="n"/>
    </row>
    <row r="680" ht="17.25" customHeight="1" s="322">
      <c r="A680" s="27" t="n"/>
      <c r="B680" s="506" t="n"/>
      <c r="C680" s="141" t="n"/>
      <c r="D680" s="141" t="n"/>
      <c r="E680" s="141" t="n"/>
      <c r="F680" s="141" t="n"/>
      <c r="G680" s="143" t="n"/>
      <c r="H680" s="27" t="n"/>
    </row>
    <row r="681" ht="17.25" customHeight="1" s="322">
      <c r="A681" s="27" t="n"/>
      <c r="B681" s="506" t="n"/>
      <c r="C681" s="141" t="n"/>
      <c r="D681" s="141" t="n"/>
      <c r="E681" s="141" t="n"/>
      <c r="F681" s="141" t="n"/>
      <c r="G681" s="143" t="n"/>
      <c r="H681" s="27" t="n"/>
    </row>
    <row r="682" ht="17.25" customHeight="1" s="322">
      <c r="A682" s="27" t="n"/>
      <c r="B682" s="506" t="n"/>
      <c r="C682" s="141" t="n"/>
      <c r="D682" s="141" t="n"/>
      <c r="E682" s="141" t="n"/>
      <c r="F682" s="141" t="n"/>
      <c r="G682" s="143" t="n"/>
      <c r="H682" s="27" t="n"/>
    </row>
    <row r="683" ht="17.25" customHeight="1" s="322">
      <c r="A683" s="27" t="n"/>
      <c r="B683" s="506" t="n"/>
      <c r="C683" s="141" t="n"/>
      <c r="D683" s="141" t="n"/>
      <c r="E683" s="141" t="n"/>
      <c r="F683" s="141" t="n"/>
      <c r="G683" s="143" t="n"/>
      <c r="H683" s="27" t="n"/>
    </row>
    <row r="684" ht="17.25" customHeight="1" s="322">
      <c r="A684" s="27" t="n"/>
      <c r="B684" s="506" t="n"/>
      <c r="C684" s="141" t="n"/>
      <c r="D684" s="141" t="n"/>
      <c r="E684" s="141" t="n"/>
      <c r="F684" s="141" t="n"/>
      <c r="G684" s="143" t="n"/>
      <c r="H684" s="27" t="n"/>
    </row>
    <row r="685" ht="17.25" customHeight="1" s="322">
      <c r="A685" s="27" t="n"/>
      <c r="B685" s="506" t="n"/>
      <c r="C685" s="141" t="n"/>
      <c r="D685" s="141" t="n"/>
      <c r="E685" s="141" t="n"/>
      <c r="F685" s="141" t="n"/>
      <c r="G685" s="143" t="n"/>
      <c r="H685" s="27" t="n"/>
    </row>
    <row r="686" ht="17.25" customHeight="1" s="322">
      <c r="A686" s="27" t="n"/>
      <c r="B686" s="506" t="n"/>
      <c r="C686" s="141" t="n"/>
      <c r="D686" s="141" t="n"/>
      <c r="E686" s="141" t="n"/>
      <c r="F686" s="141" t="n"/>
      <c r="G686" s="143" t="n"/>
      <c r="H686" s="27" t="n"/>
    </row>
    <row r="687" ht="17.25" customHeight="1" s="322">
      <c r="A687" s="27" t="n"/>
      <c r="B687" s="506" t="n"/>
      <c r="C687" s="141" t="n"/>
      <c r="D687" s="141" t="n"/>
      <c r="E687" s="141" t="n"/>
      <c r="F687" s="141" t="n"/>
      <c r="G687" s="143" t="n"/>
      <c r="H687" s="27" t="n"/>
    </row>
    <row r="688" ht="17.25" customHeight="1" s="322">
      <c r="A688" s="27" t="n"/>
      <c r="B688" s="506" t="n"/>
      <c r="C688" s="141" t="n"/>
      <c r="D688" s="141" t="n"/>
      <c r="E688" s="141" t="n"/>
      <c r="F688" s="141" t="n"/>
      <c r="G688" s="143" t="n"/>
      <c r="H688" s="27" t="n"/>
    </row>
    <row r="689" ht="17.25" customHeight="1" s="322">
      <c r="A689" s="27" t="n"/>
      <c r="B689" s="506" t="n"/>
      <c r="C689" s="141" t="n"/>
      <c r="D689" s="141" t="n"/>
      <c r="E689" s="141" t="n"/>
      <c r="F689" s="141" t="n"/>
      <c r="G689" s="143" t="n"/>
      <c r="H689" s="27" t="n"/>
    </row>
    <row r="690" ht="17.25" customHeight="1" s="322">
      <c r="A690" s="27" t="n"/>
      <c r="B690" s="506" t="n"/>
      <c r="C690" s="141" t="n"/>
      <c r="D690" s="141" t="n"/>
      <c r="E690" s="141" t="n"/>
      <c r="F690" s="141" t="n"/>
      <c r="G690" s="143" t="n"/>
      <c r="H690" s="27" t="n"/>
    </row>
    <row r="691" ht="17.25" customHeight="1" s="322">
      <c r="A691" s="27" t="n"/>
      <c r="B691" s="506" t="n"/>
      <c r="C691" s="141" t="n"/>
      <c r="D691" s="141" t="n"/>
      <c r="E691" s="141" t="n"/>
      <c r="F691" s="141" t="n"/>
      <c r="G691" s="143" t="n"/>
      <c r="H691" s="27" t="n"/>
    </row>
    <row r="692" ht="17.25" customHeight="1" s="322">
      <c r="A692" s="27" t="n"/>
      <c r="B692" s="506" t="n"/>
      <c r="C692" s="141" t="n"/>
      <c r="D692" s="141" t="n"/>
      <c r="E692" s="141" t="n"/>
      <c r="F692" s="141" t="n"/>
      <c r="G692" s="143" t="n"/>
      <c r="H692" s="27" t="n"/>
    </row>
    <row r="693" ht="17.25" customHeight="1" s="322">
      <c r="A693" s="27" t="n"/>
      <c r="B693" s="506" t="n"/>
      <c r="C693" s="141" t="n"/>
      <c r="D693" s="141" t="n"/>
      <c r="E693" s="141" t="n"/>
      <c r="F693" s="141" t="n"/>
      <c r="G693" s="143" t="n"/>
      <c r="H693" s="27" t="n"/>
    </row>
    <row r="694" ht="17.25" customHeight="1" s="322">
      <c r="A694" s="27" t="n"/>
      <c r="B694" s="506" t="n"/>
      <c r="C694" s="141" t="n"/>
      <c r="D694" s="141" t="n"/>
      <c r="E694" s="141" t="n"/>
      <c r="F694" s="141" t="n"/>
      <c r="G694" s="143" t="n"/>
      <c r="H694" s="27" t="n"/>
    </row>
    <row r="695" ht="17.25" customHeight="1" s="322">
      <c r="A695" s="27" t="n"/>
      <c r="B695" s="506" t="n"/>
      <c r="C695" s="141" t="n"/>
      <c r="D695" s="141" t="n"/>
      <c r="E695" s="141" t="n"/>
      <c r="F695" s="141" t="n"/>
      <c r="G695" s="143" t="n"/>
      <c r="H695" s="27" t="n"/>
    </row>
    <row r="696" ht="17.25" customHeight="1" s="322">
      <c r="A696" s="27" t="n"/>
      <c r="B696" s="506" t="n"/>
      <c r="C696" s="141" t="n"/>
      <c r="D696" s="141" t="n"/>
      <c r="E696" s="141" t="n"/>
      <c r="F696" s="141" t="n"/>
      <c r="G696" s="143" t="n"/>
      <c r="H696" s="27" t="n"/>
    </row>
    <row r="697" ht="17.25" customHeight="1" s="322">
      <c r="A697" s="27" t="n"/>
      <c r="B697" s="506" t="n"/>
      <c r="C697" s="141" t="n"/>
      <c r="D697" s="141" t="n"/>
      <c r="E697" s="141" t="n"/>
      <c r="F697" s="141" t="n"/>
      <c r="G697" s="143" t="n"/>
      <c r="H697" s="27" t="n"/>
    </row>
    <row r="698" ht="17.25" customHeight="1" s="322">
      <c r="A698" s="27" t="n"/>
      <c r="B698" s="506" t="n"/>
      <c r="C698" s="141" t="n"/>
      <c r="D698" s="141" t="n"/>
      <c r="E698" s="141" t="n"/>
      <c r="F698" s="141" t="n"/>
      <c r="G698" s="143" t="n"/>
      <c r="H698" s="27" t="n"/>
    </row>
    <row r="699" ht="17.25" customHeight="1" s="322">
      <c r="A699" s="27" t="n"/>
      <c r="B699" s="506" t="n"/>
      <c r="C699" s="141" t="n"/>
      <c r="D699" s="141" t="n"/>
      <c r="E699" s="141" t="n"/>
      <c r="F699" s="141" t="n"/>
      <c r="G699" s="143" t="n"/>
      <c r="H699" s="27" t="n"/>
    </row>
    <row r="700" ht="17.25" customHeight="1" s="322">
      <c r="A700" s="27" t="n"/>
      <c r="B700" s="506" t="n"/>
      <c r="C700" s="141" t="n"/>
      <c r="D700" s="141" t="n"/>
      <c r="E700" s="141" t="n"/>
      <c r="F700" s="141" t="n"/>
      <c r="G700" s="143" t="n"/>
      <c r="H700" s="27" t="n"/>
    </row>
    <row r="701" ht="17.25" customHeight="1" s="322">
      <c r="A701" s="27" t="n"/>
      <c r="B701" s="506" t="n"/>
      <c r="C701" s="141" t="n"/>
      <c r="D701" s="141" t="n"/>
      <c r="E701" s="141" t="n"/>
      <c r="F701" s="141" t="n"/>
      <c r="G701" s="143" t="n"/>
      <c r="H701" s="27" t="n"/>
    </row>
    <row r="702" ht="17.25" customHeight="1" s="322">
      <c r="A702" s="27" t="n"/>
      <c r="B702" s="506" t="n"/>
      <c r="C702" s="141" t="n"/>
      <c r="D702" s="141" t="n"/>
      <c r="E702" s="141" t="n"/>
      <c r="F702" s="141" t="n"/>
      <c r="G702" s="143" t="n"/>
      <c r="H702" s="27" t="n"/>
    </row>
    <row r="703" ht="17.25" customHeight="1" s="322">
      <c r="A703" s="27" t="n"/>
      <c r="B703" s="506" t="n"/>
      <c r="C703" s="141" t="n"/>
      <c r="D703" s="141" t="n"/>
      <c r="E703" s="141" t="n"/>
      <c r="F703" s="141" t="n"/>
      <c r="G703" s="143" t="n"/>
      <c r="H703" s="27" t="n"/>
    </row>
    <row r="704" ht="17.25" customHeight="1" s="322">
      <c r="A704" s="27" t="n"/>
      <c r="B704" s="506" t="n"/>
      <c r="C704" s="141" t="n"/>
      <c r="D704" s="141" t="n"/>
      <c r="E704" s="141" t="n"/>
      <c r="F704" s="141" t="n"/>
      <c r="G704" s="143" t="n"/>
      <c r="H704" s="27" t="n"/>
    </row>
    <row r="705" ht="17.25" customHeight="1" s="322">
      <c r="A705" s="27" t="n"/>
      <c r="B705" s="506" t="n"/>
      <c r="C705" s="141" t="n"/>
      <c r="D705" s="141" t="n"/>
      <c r="E705" s="141" t="n"/>
      <c r="F705" s="141" t="n"/>
      <c r="G705" s="143" t="n"/>
      <c r="H705" s="27" t="n"/>
    </row>
    <row r="706" ht="17.25" customHeight="1" s="322">
      <c r="A706" s="27" t="n"/>
      <c r="B706" s="506" t="n"/>
      <c r="C706" s="141" t="n"/>
      <c r="D706" s="141" t="n"/>
      <c r="E706" s="141" t="n"/>
      <c r="F706" s="141" t="n"/>
      <c r="G706" s="143" t="n"/>
      <c r="H706" s="27" t="n"/>
    </row>
    <row r="707" ht="17.25" customHeight="1" s="322">
      <c r="A707" s="27" t="n"/>
      <c r="B707" s="506" t="n"/>
      <c r="C707" s="141" t="n"/>
      <c r="D707" s="141" t="n"/>
      <c r="E707" s="141" t="n"/>
      <c r="F707" s="141" t="n"/>
      <c r="G707" s="143" t="n"/>
      <c r="H707" s="27" t="n"/>
    </row>
    <row r="708" ht="17.25" customHeight="1" s="322">
      <c r="A708" s="27" t="n"/>
      <c r="B708" s="506" t="n"/>
      <c r="C708" s="141" t="n"/>
      <c r="D708" s="141" t="n"/>
      <c r="E708" s="141" t="n"/>
      <c r="F708" s="141" t="n"/>
      <c r="G708" s="143" t="n"/>
      <c r="H708" s="27" t="n"/>
    </row>
    <row r="709" ht="17.25" customHeight="1" s="322">
      <c r="A709" s="27" t="n"/>
      <c r="B709" s="506" t="n"/>
      <c r="C709" s="141" t="n"/>
      <c r="D709" s="141" t="n"/>
      <c r="E709" s="141" t="n"/>
      <c r="F709" s="141" t="n"/>
      <c r="G709" s="143" t="n"/>
      <c r="H709" s="27" t="n"/>
    </row>
    <row r="710" ht="17.25" customHeight="1" s="322">
      <c r="A710" s="27" t="n"/>
      <c r="B710" s="506" t="n"/>
      <c r="C710" s="141" t="n"/>
      <c r="D710" s="141" t="n"/>
      <c r="E710" s="141" t="n"/>
      <c r="F710" s="141" t="n"/>
      <c r="G710" s="143" t="n"/>
      <c r="H710" s="27" t="n"/>
    </row>
    <row r="711" ht="17.25" customHeight="1" s="322">
      <c r="A711" s="27" t="n"/>
      <c r="B711" s="506" t="n"/>
      <c r="C711" s="141" t="n"/>
      <c r="D711" s="141" t="n"/>
      <c r="E711" s="141" t="n"/>
      <c r="F711" s="141" t="n"/>
      <c r="G711" s="143" t="n"/>
      <c r="H711" s="27" t="n"/>
    </row>
    <row r="712" ht="17.25" customHeight="1" s="322">
      <c r="A712" s="27" t="n"/>
      <c r="B712" s="506" t="n"/>
      <c r="C712" s="141" t="n"/>
      <c r="D712" s="141" t="n"/>
      <c r="E712" s="141" t="n"/>
      <c r="F712" s="141" t="n"/>
      <c r="G712" s="143" t="n"/>
      <c r="H712" s="27" t="n"/>
    </row>
    <row r="713" ht="17.25" customHeight="1" s="322">
      <c r="A713" s="27" t="n"/>
      <c r="B713" s="506" t="n"/>
      <c r="C713" s="141" t="n"/>
      <c r="D713" s="141" t="n"/>
      <c r="E713" s="141" t="n"/>
      <c r="F713" s="141" t="n"/>
      <c r="G713" s="143" t="n"/>
      <c r="H713" s="27" t="n"/>
    </row>
    <row r="714" ht="17.25" customHeight="1" s="322">
      <c r="A714" s="27" t="n"/>
      <c r="B714" s="506" t="n"/>
      <c r="C714" s="141" t="n"/>
      <c r="D714" s="141" t="n"/>
      <c r="E714" s="141" t="n"/>
      <c r="F714" s="141" t="n"/>
      <c r="G714" s="143" t="n"/>
      <c r="H714" s="27" t="n"/>
    </row>
    <row r="715" ht="17.25" customHeight="1" s="322">
      <c r="A715" s="27" t="n"/>
      <c r="B715" s="506" t="n"/>
      <c r="C715" s="141" t="n"/>
      <c r="D715" s="141" t="n"/>
      <c r="E715" s="141" t="n"/>
      <c r="F715" s="141" t="n"/>
      <c r="G715" s="143" t="n"/>
      <c r="H715" s="27" t="n"/>
    </row>
    <row r="716" ht="17.25" customHeight="1" s="322">
      <c r="A716" s="27" t="n"/>
      <c r="B716" s="506" t="n"/>
      <c r="C716" s="141" t="n"/>
      <c r="D716" s="141" t="n"/>
      <c r="E716" s="141" t="n"/>
      <c r="F716" s="141" t="n"/>
      <c r="G716" s="143" t="n"/>
      <c r="H716" s="27" t="n"/>
    </row>
    <row r="717" ht="17.25" customHeight="1" s="322">
      <c r="A717" s="27" t="n"/>
      <c r="B717" s="506" t="n"/>
      <c r="C717" s="141" t="n"/>
      <c r="D717" s="141" t="n"/>
      <c r="E717" s="141" t="n"/>
      <c r="F717" s="141" t="n"/>
      <c r="G717" s="143" t="n"/>
      <c r="H717" s="27" t="n"/>
    </row>
    <row r="718" ht="17.25" customHeight="1" s="322">
      <c r="A718" s="27" t="n"/>
      <c r="B718" s="506" t="n"/>
      <c r="C718" s="141" t="n"/>
      <c r="D718" s="141" t="n"/>
      <c r="E718" s="141" t="n"/>
      <c r="F718" s="141" t="n"/>
      <c r="G718" s="143" t="n"/>
      <c r="H718" s="27" t="n"/>
    </row>
    <row r="719" ht="17.25" customHeight="1" s="322">
      <c r="A719" s="27" t="n"/>
      <c r="B719" s="506" t="n"/>
      <c r="C719" s="141" t="n"/>
      <c r="D719" s="141" t="n"/>
      <c r="E719" s="141" t="n"/>
      <c r="F719" s="141" t="n"/>
      <c r="G719" s="143" t="n"/>
      <c r="H719" s="27" t="n"/>
    </row>
    <row r="720" ht="17.25" customHeight="1" s="322">
      <c r="A720" s="27" t="n"/>
      <c r="B720" s="506" t="n"/>
      <c r="C720" s="141" t="n"/>
      <c r="D720" s="141" t="n"/>
      <c r="E720" s="141" t="n"/>
      <c r="F720" s="141" t="n"/>
      <c r="G720" s="143" t="n"/>
      <c r="H720" s="27" t="n"/>
    </row>
    <row r="721" ht="17.25" customHeight="1" s="322">
      <c r="A721" s="27" t="n"/>
      <c r="B721" s="506" t="n"/>
      <c r="C721" s="141" t="n"/>
      <c r="D721" s="141" t="n"/>
      <c r="E721" s="141" t="n"/>
      <c r="F721" s="141" t="n"/>
      <c r="G721" s="143" t="n"/>
      <c r="H721" s="27" t="n"/>
    </row>
    <row r="722" ht="17.25" customHeight="1" s="322">
      <c r="A722" s="27" t="n"/>
      <c r="B722" s="506" t="n"/>
      <c r="C722" s="141" t="n"/>
      <c r="D722" s="141" t="n"/>
      <c r="E722" s="141" t="n"/>
      <c r="F722" s="141" t="n"/>
      <c r="G722" s="143" t="n"/>
      <c r="H722" s="27" t="n"/>
    </row>
    <row r="723" ht="17.25" customHeight="1" s="322">
      <c r="A723" s="27" t="n"/>
      <c r="B723" s="506" t="n"/>
      <c r="C723" s="141" t="n"/>
      <c r="D723" s="141" t="n"/>
      <c r="E723" s="141" t="n"/>
      <c r="F723" s="141" t="n"/>
      <c r="G723" s="143" t="n"/>
      <c r="H723" s="27" t="n"/>
    </row>
    <row r="724" ht="17.25" customHeight="1" s="322">
      <c r="A724" s="27" t="n"/>
      <c r="B724" s="506" t="n"/>
      <c r="C724" s="141" t="n"/>
      <c r="D724" s="141" t="n"/>
      <c r="E724" s="141" t="n"/>
      <c r="F724" s="141" t="n"/>
      <c r="G724" s="143" t="n"/>
      <c r="H724" s="27" t="n"/>
    </row>
    <row r="725" ht="17.25" customHeight="1" s="322">
      <c r="A725" s="27" t="n"/>
      <c r="B725" s="506" t="n"/>
      <c r="C725" s="141" t="n"/>
      <c r="D725" s="141" t="n"/>
      <c r="E725" s="141" t="n"/>
      <c r="F725" s="141" t="n"/>
      <c r="G725" s="143" t="n"/>
      <c r="H725" s="27" t="n"/>
    </row>
    <row r="726" ht="17.25" customHeight="1" s="322">
      <c r="A726" s="27" t="n"/>
      <c r="B726" s="506" t="n"/>
      <c r="C726" s="141" t="n"/>
      <c r="D726" s="141" t="n"/>
      <c r="E726" s="141" t="n"/>
      <c r="F726" s="141" t="n"/>
      <c r="G726" s="143" t="n"/>
      <c r="H726" s="27" t="n"/>
    </row>
    <row r="727" ht="17.25" customHeight="1" s="322">
      <c r="A727" s="27" t="n"/>
      <c r="B727" s="506" t="n"/>
      <c r="C727" s="141" t="n"/>
      <c r="D727" s="141" t="n"/>
      <c r="E727" s="141" t="n"/>
      <c r="F727" s="141" t="n"/>
      <c r="G727" s="143" t="n"/>
      <c r="H727" s="27" t="n"/>
    </row>
    <row r="728" ht="17.25" customHeight="1" s="322">
      <c r="A728" s="27" t="n"/>
      <c r="B728" s="506" t="n"/>
      <c r="C728" s="141" t="n"/>
      <c r="D728" s="141" t="n"/>
      <c r="E728" s="141" t="n"/>
      <c r="F728" s="141" t="n"/>
      <c r="G728" s="143" t="n"/>
      <c r="H728" s="27" t="n"/>
    </row>
    <row r="729" ht="17.25" customHeight="1" s="322">
      <c r="A729" s="27" t="n"/>
      <c r="B729" s="506" t="n"/>
      <c r="C729" s="141" t="n"/>
      <c r="D729" s="141" t="n"/>
      <c r="E729" s="141" t="n"/>
      <c r="F729" s="141" t="n"/>
      <c r="G729" s="143" t="n"/>
      <c r="H729" s="27" t="n"/>
    </row>
    <row r="730" ht="17.25" customHeight="1" s="322">
      <c r="A730" s="27" t="n"/>
      <c r="B730" s="506" t="n"/>
      <c r="C730" s="141" t="n"/>
      <c r="D730" s="141" t="n"/>
      <c r="E730" s="141" t="n"/>
      <c r="F730" s="141" t="n"/>
      <c r="G730" s="143" t="n"/>
      <c r="H730" s="27" t="n"/>
    </row>
    <row r="731" ht="17.25" customHeight="1" s="322">
      <c r="A731" s="27" t="n"/>
      <c r="B731" s="506" t="n"/>
      <c r="C731" s="141" t="n"/>
      <c r="D731" s="141" t="n"/>
      <c r="E731" s="141" t="n"/>
      <c r="F731" s="141" t="n"/>
      <c r="G731" s="143" t="n"/>
      <c r="H731" s="27" t="n"/>
    </row>
    <row r="732" ht="17.25" customHeight="1" s="322">
      <c r="A732" s="27" t="n"/>
      <c r="B732" s="506" t="n"/>
      <c r="C732" s="141" t="n"/>
      <c r="D732" s="141" t="n"/>
      <c r="E732" s="141" t="n"/>
      <c r="F732" s="141" t="n"/>
      <c r="G732" s="143" t="n"/>
      <c r="H732" s="27" t="n"/>
    </row>
    <row r="733" ht="17.25" customHeight="1" s="322">
      <c r="A733" s="27" t="n"/>
      <c r="B733" s="506" t="n"/>
      <c r="C733" s="141" t="n"/>
      <c r="D733" s="141" t="n"/>
      <c r="E733" s="141" t="n"/>
      <c r="F733" s="141" t="n"/>
      <c r="G733" s="143" t="n"/>
      <c r="H733" s="27" t="n"/>
    </row>
    <row r="734" ht="17.25" customHeight="1" s="322">
      <c r="A734" s="27" t="n"/>
      <c r="B734" s="506" t="n"/>
      <c r="C734" s="141" t="n"/>
      <c r="D734" s="141" t="n"/>
      <c r="E734" s="141" t="n"/>
      <c r="F734" s="141" t="n"/>
      <c r="G734" s="143" t="n"/>
      <c r="H734" s="27" t="n"/>
    </row>
    <row r="735" ht="17.25" customHeight="1" s="322">
      <c r="A735" s="27" t="n"/>
      <c r="B735" s="506" t="n"/>
      <c r="C735" s="141" t="n"/>
      <c r="D735" s="141" t="n"/>
      <c r="E735" s="141" t="n"/>
      <c r="F735" s="141" t="n"/>
      <c r="G735" s="143" t="n"/>
      <c r="H735" s="27" t="n"/>
    </row>
    <row r="736" ht="17.25" customHeight="1" s="322">
      <c r="A736" s="27" t="n"/>
      <c r="B736" s="506" t="n"/>
      <c r="C736" s="141" t="n"/>
      <c r="D736" s="141" t="n"/>
      <c r="E736" s="141" t="n"/>
      <c r="F736" s="141" t="n"/>
      <c r="G736" s="143" t="n"/>
      <c r="H736" s="27" t="n"/>
    </row>
    <row r="737" ht="17.25" customHeight="1" s="322">
      <c r="A737" s="27" t="n"/>
      <c r="B737" s="506" t="n"/>
      <c r="C737" s="141" t="n"/>
      <c r="D737" s="141" t="n"/>
      <c r="E737" s="141" t="n"/>
      <c r="F737" s="141" t="n"/>
      <c r="G737" s="143" t="n"/>
      <c r="H737" s="27" t="n"/>
    </row>
    <row r="738" ht="17.25" customHeight="1" s="322">
      <c r="A738" s="27" t="n"/>
      <c r="B738" s="506" t="n"/>
      <c r="C738" s="141" t="n"/>
      <c r="D738" s="141" t="n"/>
      <c r="E738" s="141" t="n"/>
      <c r="F738" s="141" t="n"/>
      <c r="G738" s="143" t="n"/>
      <c r="H738" s="27" t="n"/>
    </row>
    <row r="739" ht="17.25" customHeight="1" s="322">
      <c r="A739" s="27" t="n"/>
      <c r="B739" s="506" t="n"/>
      <c r="C739" s="141" t="n"/>
      <c r="D739" s="141" t="n"/>
      <c r="E739" s="141" t="n"/>
      <c r="F739" s="141" t="n"/>
      <c r="G739" s="143" t="n"/>
      <c r="H739" s="27" t="n"/>
    </row>
    <row r="740" ht="17.25" customHeight="1" s="322">
      <c r="A740" s="27" t="n"/>
      <c r="B740" s="506" t="n"/>
      <c r="C740" s="141" t="n"/>
      <c r="D740" s="141" t="n"/>
      <c r="E740" s="141" t="n"/>
      <c r="F740" s="141" t="n"/>
      <c r="G740" s="143" t="n"/>
      <c r="H740" s="27" t="n"/>
    </row>
    <row r="741" ht="17.25" customHeight="1" s="322">
      <c r="A741" s="27" t="n"/>
      <c r="B741" s="506" t="n"/>
      <c r="C741" s="141" t="n"/>
      <c r="D741" s="141" t="n"/>
      <c r="E741" s="141" t="n"/>
      <c r="F741" s="141" t="n"/>
      <c r="G741" s="143" t="n"/>
      <c r="H741" s="27" t="n"/>
    </row>
    <row r="742" ht="17.25" customHeight="1" s="322">
      <c r="A742" s="27" t="n"/>
      <c r="B742" s="506" t="n"/>
      <c r="C742" s="141" t="n"/>
      <c r="D742" s="141" t="n"/>
      <c r="E742" s="141" t="n"/>
      <c r="F742" s="141" t="n"/>
      <c r="G742" s="143" t="n"/>
      <c r="H742" s="27" t="n"/>
    </row>
    <row r="743" ht="17.25" customHeight="1" s="322">
      <c r="A743" s="27" t="n"/>
      <c r="B743" s="506" t="n"/>
      <c r="C743" s="141" t="n"/>
      <c r="D743" s="141" t="n"/>
      <c r="E743" s="141" t="n"/>
      <c r="F743" s="141" t="n"/>
      <c r="G743" s="143" t="n"/>
      <c r="H743" s="27" t="n"/>
    </row>
    <row r="744" ht="17.25" customHeight="1" s="322">
      <c r="A744" s="27" t="n"/>
      <c r="B744" s="506" t="n"/>
      <c r="C744" s="141" t="n"/>
      <c r="D744" s="141" t="n"/>
      <c r="E744" s="141" t="n"/>
      <c r="F744" s="141" t="n"/>
      <c r="G744" s="143" t="n"/>
      <c r="H744" s="27" t="n"/>
    </row>
    <row r="745" ht="17.25" customHeight="1" s="322">
      <c r="A745" s="27" t="n"/>
      <c r="B745" s="506" t="n"/>
      <c r="C745" s="141" t="n"/>
      <c r="D745" s="141" t="n"/>
      <c r="E745" s="141" t="n"/>
      <c r="F745" s="141" t="n"/>
      <c r="G745" s="143" t="n"/>
      <c r="H745" s="27" t="n"/>
    </row>
    <row r="746" ht="17.25" customHeight="1" s="322">
      <c r="A746" s="27" t="n"/>
      <c r="B746" s="506" t="n"/>
      <c r="C746" s="141" t="n"/>
      <c r="D746" s="141" t="n"/>
      <c r="E746" s="141" t="n"/>
      <c r="F746" s="141" t="n"/>
      <c r="G746" s="143" t="n"/>
      <c r="H746" s="27" t="n"/>
    </row>
    <row r="747" ht="17.25" customHeight="1" s="322">
      <c r="A747" s="27" t="n"/>
      <c r="B747" s="506" t="n"/>
      <c r="C747" s="141" t="n"/>
      <c r="D747" s="141" t="n"/>
      <c r="E747" s="141" t="n"/>
      <c r="F747" s="141" t="n"/>
      <c r="G747" s="143" t="n"/>
      <c r="H747" s="27" t="n"/>
    </row>
    <row r="748" ht="17.25" customHeight="1" s="322">
      <c r="A748" s="27" t="n"/>
      <c r="B748" s="506" t="n"/>
      <c r="C748" s="141" t="n"/>
      <c r="D748" s="141" t="n"/>
      <c r="E748" s="141" t="n"/>
      <c r="F748" s="141" t="n"/>
      <c r="G748" s="143" t="n"/>
      <c r="H748" s="27" t="n"/>
    </row>
    <row r="749" ht="17.25" customHeight="1" s="322">
      <c r="A749" s="27" t="n"/>
      <c r="B749" s="506" t="n"/>
      <c r="C749" s="141" t="n"/>
      <c r="D749" s="141" t="n"/>
      <c r="E749" s="141" t="n"/>
      <c r="F749" s="141" t="n"/>
      <c r="G749" s="143" t="n"/>
      <c r="H749" s="27" t="n"/>
    </row>
    <row r="750" ht="17.25" customHeight="1" s="322">
      <c r="A750" s="27" t="n"/>
      <c r="B750" s="506" t="n"/>
      <c r="C750" s="141" t="n"/>
      <c r="D750" s="141" t="n"/>
      <c r="E750" s="141" t="n"/>
      <c r="F750" s="141" t="n"/>
      <c r="G750" s="143" t="n"/>
      <c r="H750" s="27" t="n"/>
    </row>
    <row r="751" ht="17.25" customHeight="1" s="322">
      <c r="A751" s="27" t="n"/>
      <c r="B751" s="506" t="n"/>
      <c r="C751" s="141" t="n"/>
      <c r="D751" s="141" t="n"/>
      <c r="E751" s="141" t="n"/>
      <c r="F751" s="141" t="n"/>
      <c r="G751" s="143" t="n"/>
      <c r="H751" s="27" t="n"/>
    </row>
    <row r="752" ht="17.25" customHeight="1" s="322">
      <c r="A752" s="27" t="n"/>
      <c r="B752" s="506" t="n"/>
      <c r="C752" s="141" t="n"/>
      <c r="D752" s="141" t="n"/>
      <c r="E752" s="141" t="n"/>
      <c r="F752" s="141" t="n"/>
      <c r="G752" s="143" t="n"/>
      <c r="H752" s="27" t="n"/>
    </row>
    <row r="753" ht="17.25" customHeight="1" s="322">
      <c r="A753" s="27" t="n"/>
      <c r="B753" s="506" t="n"/>
      <c r="C753" s="141" t="n"/>
      <c r="D753" s="141" t="n"/>
      <c r="E753" s="141" t="n"/>
      <c r="F753" s="141" t="n"/>
      <c r="G753" s="143" t="n"/>
      <c r="H753" s="27" t="n"/>
    </row>
    <row r="754" ht="17.25" customHeight="1" s="322">
      <c r="A754" s="27" t="n"/>
      <c r="B754" s="506" t="n"/>
      <c r="C754" s="141" t="n"/>
      <c r="D754" s="141" t="n"/>
      <c r="E754" s="141" t="n"/>
      <c r="F754" s="141" t="n"/>
      <c r="G754" s="143" t="n"/>
      <c r="H754" s="27" t="n"/>
    </row>
    <row r="755" ht="17.25" customHeight="1" s="322">
      <c r="A755" s="27" t="n"/>
      <c r="B755" s="506" t="n"/>
      <c r="C755" s="141" t="n"/>
      <c r="D755" s="141" t="n"/>
      <c r="E755" s="141" t="n"/>
      <c r="F755" s="141" t="n"/>
      <c r="G755" s="143" t="n"/>
      <c r="H755" s="27" t="n"/>
    </row>
    <row r="756" ht="17.25" customHeight="1" s="322">
      <c r="A756" s="27" t="n"/>
      <c r="B756" s="506" t="n"/>
      <c r="C756" s="141" t="n"/>
      <c r="D756" s="141" t="n"/>
      <c r="E756" s="141" t="n"/>
      <c r="F756" s="141" t="n"/>
      <c r="G756" s="143" t="n"/>
      <c r="H756" s="27" t="n"/>
    </row>
    <row r="757" ht="17.25" customHeight="1" s="322">
      <c r="A757" s="27" t="n"/>
      <c r="B757" s="506" t="n"/>
      <c r="C757" s="141" t="n"/>
      <c r="D757" s="141" t="n"/>
      <c r="E757" s="141" t="n"/>
      <c r="F757" s="141" t="n"/>
      <c r="G757" s="143" t="n"/>
      <c r="H757" s="27" t="n"/>
    </row>
    <row r="758" ht="17.25" customHeight="1" s="322">
      <c r="A758" s="27" t="n"/>
      <c r="B758" s="506" t="n"/>
      <c r="C758" s="141" t="n"/>
      <c r="D758" s="141" t="n"/>
      <c r="E758" s="141" t="n"/>
      <c r="F758" s="141" t="n"/>
      <c r="G758" s="143" t="n"/>
      <c r="H758" s="27" t="n"/>
    </row>
    <row r="759" ht="17.25" customHeight="1" s="322">
      <c r="A759" s="27" t="n"/>
      <c r="B759" s="506" t="n"/>
      <c r="C759" s="141" t="n"/>
      <c r="D759" s="141" t="n"/>
      <c r="E759" s="141" t="n"/>
      <c r="F759" s="141" t="n"/>
      <c r="G759" s="143" t="n"/>
      <c r="H759" s="27" t="n"/>
    </row>
    <row r="760" ht="17.25" customHeight="1" s="322">
      <c r="A760" s="27" t="n"/>
      <c r="B760" s="506" t="n"/>
      <c r="C760" s="141" t="n"/>
      <c r="D760" s="141" t="n"/>
      <c r="E760" s="141" t="n"/>
      <c r="F760" s="141" t="n"/>
      <c r="G760" s="143" t="n"/>
      <c r="H760" s="27" t="n"/>
    </row>
    <row r="761" ht="17.25" customHeight="1" s="322">
      <c r="A761" s="27" t="n"/>
      <c r="B761" s="506" t="n"/>
      <c r="C761" s="141" t="n"/>
      <c r="D761" s="141" t="n"/>
      <c r="E761" s="141" t="n"/>
      <c r="F761" s="141" t="n"/>
      <c r="G761" s="143" t="n"/>
      <c r="H761" s="27" t="n"/>
    </row>
    <row r="762" ht="17.25" customHeight="1" s="322">
      <c r="A762" s="27" t="n"/>
      <c r="B762" s="506" t="n"/>
      <c r="C762" s="141" t="n"/>
      <c r="D762" s="141" t="n"/>
      <c r="E762" s="141" t="n"/>
      <c r="F762" s="141" t="n"/>
      <c r="G762" s="143" t="n"/>
      <c r="H762" s="27" t="n"/>
    </row>
    <row r="763" ht="17.25" customHeight="1" s="322">
      <c r="A763" s="27" t="n"/>
      <c r="B763" s="506" t="n"/>
      <c r="C763" s="141" t="n"/>
      <c r="D763" s="141" t="n"/>
      <c r="E763" s="141" t="n"/>
      <c r="F763" s="141" t="n"/>
      <c r="G763" s="143" t="n"/>
      <c r="H763" s="27" t="n"/>
    </row>
    <row r="764" ht="17.25" customHeight="1" s="322">
      <c r="A764" s="27" t="n"/>
      <c r="B764" s="506" t="n"/>
      <c r="C764" s="141" t="n"/>
      <c r="D764" s="141" t="n"/>
      <c r="E764" s="141" t="n"/>
      <c r="F764" s="141" t="n"/>
      <c r="G764" s="143" t="n"/>
      <c r="H764" s="27" t="n"/>
    </row>
    <row r="765" ht="17.25" customHeight="1" s="322">
      <c r="A765" s="27" t="n"/>
      <c r="B765" s="506" t="n"/>
      <c r="C765" s="141" t="n"/>
      <c r="D765" s="141" t="n"/>
      <c r="E765" s="141" t="n"/>
      <c r="F765" s="141" t="n"/>
      <c r="G765" s="143" t="n"/>
      <c r="H765" s="27" t="n"/>
    </row>
    <row r="766" ht="17.25" customHeight="1" s="322">
      <c r="A766" s="27" t="n"/>
      <c r="B766" s="506" t="n"/>
      <c r="C766" s="141" t="n"/>
      <c r="D766" s="141" t="n"/>
      <c r="E766" s="141" t="n"/>
      <c r="F766" s="141" t="n"/>
      <c r="G766" s="143" t="n"/>
      <c r="H766" s="27" t="n"/>
    </row>
    <row r="767" ht="17.25" customHeight="1" s="322">
      <c r="A767" s="27" t="n"/>
      <c r="B767" s="506" t="n"/>
      <c r="C767" s="141" t="n"/>
      <c r="D767" s="141" t="n"/>
      <c r="E767" s="141" t="n"/>
      <c r="F767" s="141" t="n"/>
      <c r="G767" s="143" t="n"/>
      <c r="H767" s="27" t="n"/>
    </row>
    <row r="768" ht="17.25" customHeight="1" s="322">
      <c r="A768" s="27" t="n"/>
      <c r="B768" s="506" t="n"/>
      <c r="C768" s="141" t="n"/>
      <c r="D768" s="141" t="n"/>
      <c r="E768" s="141" t="n"/>
      <c r="F768" s="141" t="n"/>
      <c r="G768" s="143" t="n"/>
      <c r="H768" s="27" t="n"/>
    </row>
    <row r="769" ht="17.25" customHeight="1" s="322">
      <c r="A769" s="27" t="n"/>
      <c r="B769" s="506" t="n"/>
      <c r="C769" s="141" t="n"/>
      <c r="D769" s="141" t="n"/>
      <c r="E769" s="141" t="n"/>
      <c r="F769" s="141" t="n"/>
      <c r="G769" s="143" t="n"/>
      <c r="H769" s="27" t="n"/>
    </row>
    <row r="770" ht="17.25" customHeight="1" s="322">
      <c r="A770" s="27" t="n"/>
      <c r="B770" s="506" t="n"/>
      <c r="C770" s="141" t="n"/>
      <c r="D770" s="141" t="n"/>
      <c r="E770" s="141" t="n"/>
      <c r="F770" s="141" t="n"/>
      <c r="G770" s="143" t="n"/>
      <c r="H770" s="27" t="n"/>
    </row>
    <row r="771" ht="17.25" customHeight="1" s="322">
      <c r="A771" s="27" t="n"/>
      <c r="B771" s="506" t="n"/>
      <c r="C771" s="141" t="n"/>
      <c r="D771" s="141" t="n"/>
      <c r="E771" s="141" t="n"/>
      <c r="F771" s="141" t="n"/>
      <c r="G771" s="143" t="n"/>
      <c r="H771" s="27" t="n"/>
    </row>
    <row r="772" ht="17.25" customHeight="1" s="322">
      <c r="A772" s="27" t="n"/>
      <c r="B772" s="506" t="n"/>
      <c r="C772" s="141" t="n"/>
      <c r="D772" s="141" t="n"/>
      <c r="E772" s="141" t="n"/>
      <c r="F772" s="141" t="n"/>
      <c r="G772" s="143" t="n"/>
      <c r="H772" s="27" t="n"/>
    </row>
    <row r="773" ht="17.25" customHeight="1" s="322">
      <c r="A773" s="27" t="n"/>
      <c r="B773" s="506" t="n"/>
      <c r="C773" s="141" t="n"/>
      <c r="D773" s="141" t="n"/>
      <c r="E773" s="141" t="n"/>
      <c r="F773" s="141" t="n"/>
      <c r="G773" s="143" t="n"/>
      <c r="H773" s="27" t="n"/>
    </row>
    <row r="774" ht="17.25" customHeight="1" s="322">
      <c r="A774" s="27" t="n"/>
      <c r="B774" s="506" t="n"/>
      <c r="C774" s="141" t="n"/>
      <c r="D774" s="141" t="n"/>
      <c r="E774" s="141" t="n"/>
      <c r="F774" s="141" t="n"/>
      <c r="G774" s="143" t="n"/>
      <c r="H774" s="27" t="n"/>
    </row>
    <row r="775" ht="17.25" customHeight="1" s="322">
      <c r="A775" s="27" t="n"/>
      <c r="B775" s="506" t="n"/>
      <c r="C775" s="141" t="n"/>
      <c r="D775" s="141" t="n"/>
      <c r="E775" s="141" t="n"/>
      <c r="F775" s="141" t="n"/>
      <c r="G775" s="143" t="n"/>
      <c r="H775" s="27" t="n"/>
    </row>
    <row r="776" ht="17.25" customHeight="1" s="322">
      <c r="A776" s="27" t="n"/>
      <c r="B776" s="506" t="n"/>
      <c r="C776" s="141" t="n"/>
      <c r="D776" s="141" t="n"/>
      <c r="E776" s="141" t="n"/>
      <c r="F776" s="141" t="n"/>
      <c r="G776" s="143" t="n"/>
      <c r="H776" s="27" t="n"/>
    </row>
    <row r="777" ht="17.25" customHeight="1" s="322">
      <c r="A777" s="27" t="n"/>
      <c r="B777" s="506" t="n"/>
      <c r="C777" s="141" t="n"/>
      <c r="D777" s="141" t="n"/>
      <c r="E777" s="141" t="n"/>
      <c r="F777" s="141" t="n"/>
      <c r="G777" s="143" t="n"/>
      <c r="H777" s="27" t="n"/>
    </row>
    <row r="778" ht="17.25" customHeight="1" s="322">
      <c r="A778" s="27" t="n"/>
      <c r="B778" s="506" t="n"/>
      <c r="C778" s="141" t="n"/>
      <c r="D778" s="141" t="n"/>
      <c r="E778" s="141" t="n"/>
      <c r="F778" s="141" t="n"/>
      <c r="G778" s="143" t="n"/>
      <c r="H778" s="27" t="n"/>
    </row>
    <row r="779" ht="17.25" customHeight="1" s="322">
      <c r="A779" s="27" t="n"/>
      <c r="B779" s="506" t="n"/>
      <c r="C779" s="141" t="n"/>
      <c r="D779" s="141" t="n"/>
      <c r="E779" s="141" t="n"/>
      <c r="F779" s="141" t="n"/>
      <c r="G779" s="143" t="n"/>
      <c r="H779" s="27" t="n"/>
    </row>
    <row r="780" ht="17.25" customHeight="1" s="322">
      <c r="A780" s="27" t="n"/>
      <c r="B780" s="506" t="n"/>
      <c r="C780" s="141" t="n"/>
      <c r="D780" s="141" t="n"/>
      <c r="E780" s="141" t="n"/>
      <c r="F780" s="141" t="n"/>
      <c r="G780" s="143" t="n"/>
      <c r="H780" s="27" t="n"/>
    </row>
    <row r="781" ht="17.25" customHeight="1" s="322">
      <c r="A781" s="27" t="n"/>
      <c r="B781" s="506" t="n"/>
      <c r="C781" s="141" t="n"/>
      <c r="D781" s="141" t="n"/>
      <c r="E781" s="141" t="n"/>
      <c r="F781" s="141" t="n"/>
      <c r="G781" s="143" t="n"/>
      <c r="H781" s="27" t="n"/>
    </row>
    <row r="782" ht="17.25" customHeight="1" s="322">
      <c r="A782" s="27" t="n"/>
      <c r="B782" s="506" t="n"/>
      <c r="C782" s="141" t="n"/>
      <c r="D782" s="141" t="n"/>
      <c r="E782" s="141" t="n"/>
      <c r="F782" s="141" t="n"/>
      <c r="G782" s="143" t="n"/>
      <c r="H782" s="27" t="n"/>
    </row>
    <row r="783" ht="17.25" customHeight="1" s="322">
      <c r="A783" s="27" t="n"/>
      <c r="B783" s="506" t="n"/>
      <c r="C783" s="141" t="n"/>
      <c r="D783" s="141" t="n"/>
      <c r="E783" s="141" t="n"/>
      <c r="F783" s="141" t="n"/>
      <c r="G783" s="143" t="n"/>
      <c r="H783" s="27" t="n"/>
    </row>
    <row r="784" ht="17.25" customHeight="1" s="322">
      <c r="A784" s="27" t="n"/>
      <c r="B784" s="506" t="n"/>
      <c r="C784" s="141" t="n"/>
      <c r="D784" s="141" t="n"/>
      <c r="E784" s="141" t="n"/>
      <c r="F784" s="141" t="n"/>
      <c r="G784" s="143" t="n"/>
      <c r="H784" s="27" t="n"/>
    </row>
    <row r="785" ht="17.25" customHeight="1" s="322">
      <c r="A785" s="27" t="n"/>
      <c r="B785" s="506" t="n"/>
      <c r="C785" s="141" t="n"/>
      <c r="D785" s="141" t="n"/>
      <c r="E785" s="141" t="n"/>
      <c r="F785" s="141" t="n"/>
      <c r="G785" s="143" t="n"/>
      <c r="H785" s="27" t="n"/>
    </row>
    <row r="786" ht="17.25" customHeight="1" s="322">
      <c r="A786" s="27" t="n"/>
      <c r="B786" s="506" t="n"/>
      <c r="C786" s="141" t="n"/>
      <c r="D786" s="141" t="n"/>
      <c r="E786" s="141" t="n"/>
      <c r="F786" s="141" t="n"/>
      <c r="G786" s="143" t="n"/>
      <c r="H786" s="27" t="n"/>
    </row>
    <row r="787" ht="17.25" customHeight="1" s="322">
      <c r="A787" s="27" t="n"/>
      <c r="B787" s="506" t="n"/>
      <c r="C787" s="141" t="n"/>
      <c r="D787" s="141" t="n"/>
      <c r="E787" s="141" t="n"/>
      <c r="F787" s="141" t="n"/>
      <c r="G787" s="143" t="n"/>
      <c r="H787" s="27" t="n"/>
    </row>
    <row r="788" ht="17.25" customHeight="1" s="322">
      <c r="A788" s="27" t="n"/>
      <c r="B788" s="506" t="n"/>
      <c r="C788" s="141" t="n"/>
      <c r="D788" s="141" t="n"/>
      <c r="E788" s="141" t="n"/>
      <c r="F788" s="141" t="n"/>
      <c r="G788" s="143" t="n"/>
      <c r="H788" s="27" t="n"/>
    </row>
    <row r="789" ht="17.25" customHeight="1" s="322">
      <c r="A789" s="27" t="n"/>
      <c r="B789" s="506" t="n"/>
      <c r="C789" s="141" t="n"/>
      <c r="D789" s="141" t="n"/>
      <c r="E789" s="141" t="n"/>
      <c r="F789" s="141" t="n"/>
      <c r="G789" s="143" t="n"/>
      <c r="H789" s="27" t="n"/>
    </row>
    <row r="790" ht="17.25" customHeight="1" s="322">
      <c r="A790" s="27" t="n"/>
      <c r="B790" s="506" t="n"/>
      <c r="C790" s="141" t="n"/>
      <c r="D790" s="141" t="n"/>
      <c r="E790" s="141" t="n"/>
      <c r="F790" s="141" t="n"/>
      <c r="G790" s="143" t="n"/>
      <c r="H790" s="27" t="n"/>
    </row>
    <row r="791" ht="17.25" customHeight="1" s="322">
      <c r="A791" s="27" t="n"/>
      <c r="B791" s="506" t="n"/>
      <c r="C791" s="141" t="n"/>
      <c r="D791" s="141" t="n"/>
      <c r="E791" s="141" t="n"/>
      <c r="F791" s="141" t="n"/>
      <c r="G791" s="143" t="n"/>
      <c r="H791" s="27" t="n"/>
    </row>
    <row r="792" ht="17.25" customHeight="1" s="322">
      <c r="A792" s="27" t="n"/>
      <c r="B792" s="506" t="n"/>
      <c r="C792" s="141" t="n"/>
      <c r="D792" s="141" t="n"/>
      <c r="E792" s="141" t="n"/>
      <c r="F792" s="141" t="n"/>
      <c r="G792" s="143" t="n"/>
      <c r="H792" s="27" t="n"/>
    </row>
    <row r="793" ht="17.25" customHeight="1" s="322">
      <c r="A793" s="27" t="n"/>
      <c r="B793" s="506" t="n"/>
      <c r="C793" s="141" t="n"/>
      <c r="D793" s="141" t="n"/>
      <c r="E793" s="141" t="n"/>
      <c r="F793" s="141" t="n"/>
      <c r="G793" s="143" t="n"/>
      <c r="H793" s="27" t="n"/>
    </row>
    <row r="794" ht="17.25" customHeight="1" s="322">
      <c r="A794" s="27" t="n"/>
      <c r="B794" s="506" t="n"/>
      <c r="C794" s="141" t="n"/>
      <c r="D794" s="141" t="n"/>
      <c r="E794" s="141" t="n"/>
      <c r="F794" s="141" t="n"/>
      <c r="G794" s="143" t="n"/>
      <c r="H794" s="27" t="n"/>
    </row>
    <row r="795" ht="17.25" customHeight="1" s="322">
      <c r="A795" s="27" t="n"/>
      <c r="B795" s="506" t="n"/>
      <c r="C795" s="141" t="n"/>
      <c r="D795" s="141" t="n"/>
      <c r="E795" s="141" t="n"/>
      <c r="F795" s="141" t="n"/>
      <c r="G795" s="143" t="n"/>
      <c r="H795" s="27" t="n"/>
    </row>
    <row r="796" ht="17.25" customHeight="1" s="322">
      <c r="A796" s="27" t="n"/>
      <c r="B796" s="506" t="n"/>
      <c r="C796" s="141" t="n"/>
      <c r="D796" s="141" t="n"/>
      <c r="E796" s="141" t="n"/>
      <c r="F796" s="141" t="n"/>
      <c r="G796" s="143" t="n"/>
      <c r="H796" s="27" t="n"/>
    </row>
    <row r="797" ht="17.25" customHeight="1" s="322">
      <c r="A797" s="27" t="n"/>
      <c r="B797" s="506" t="n"/>
      <c r="C797" s="141" t="n"/>
      <c r="D797" s="141" t="n"/>
      <c r="E797" s="141" t="n"/>
      <c r="F797" s="141" t="n"/>
      <c r="G797" s="143" t="n"/>
      <c r="H797" s="27" t="n"/>
    </row>
    <row r="798" ht="17.25" customHeight="1" s="322">
      <c r="A798" s="27" t="n"/>
      <c r="B798" s="506" t="n"/>
      <c r="C798" s="141" t="n"/>
      <c r="D798" s="141" t="n"/>
      <c r="E798" s="141" t="n"/>
      <c r="F798" s="141" t="n"/>
      <c r="G798" s="143" t="n"/>
      <c r="H798" s="27" t="n"/>
    </row>
    <row r="799" ht="17.25" customHeight="1" s="322">
      <c r="A799" s="27" t="n"/>
      <c r="B799" s="506" t="n"/>
      <c r="C799" s="141" t="n"/>
      <c r="D799" s="141" t="n"/>
      <c r="E799" s="141" t="n"/>
      <c r="F799" s="141" t="n"/>
      <c r="G799" s="143" t="n"/>
      <c r="H799" s="27" t="n"/>
    </row>
    <row r="800" ht="17.25" customHeight="1" s="322">
      <c r="A800" s="27" t="n"/>
      <c r="B800" s="506" t="n"/>
      <c r="C800" s="141" t="n"/>
      <c r="D800" s="141" t="n"/>
      <c r="E800" s="141" t="n"/>
      <c r="F800" s="141" t="n"/>
      <c r="G800" s="143" t="n"/>
      <c r="H800" s="27" t="n"/>
    </row>
    <row r="801" ht="17.25" customHeight="1" s="322">
      <c r="A801" s="27" t="n"/>
      <c r="B801" s="506" t="n"/>
      <c r="C801" s="141" t="n"/>
      <c r="D801" s="141" t="n"/>
      <c r="E801" s="141" t="n"/>
      <c r="F801" s="141" t="n"/>
      <c r="G801" s="143" t="n"/>
      <c r="H801" s="27" t="n"/>
    </row>
    <row r="802" ht="17.25" customHeight="1" s="322">
      <c r="A802" s="27" t="n"/>
      <c r="B802" s="506" t="n"/>
      <c r="C802" s="141" t="n"/>
      <c r="D802" s="141" t="n"/>
      <c r="E802" s="141" t="n"/>
      <c r="F802" s="141" t="n"/>
      <c r="G802" s="143" t="n"/>
      <c r="H802" s="27" t="n"/>
    </row>
    <row r="803" ht="17.25" customHeight="1" s="322">
      <c r="A803" s="27" t="n"/>
      <c r="B803" s="506" t="n"/>
      <c r="C803" s="141" t="n"/>
      <c r="D803" s="141" t="n"/>
      <c r="E803" s="141" t="n"/>
      <c r="F803" s="141" t="n"/>
      <c r="G803" s="143" t="n"/>
      <c r="H803" s="27" t="n"/>
    </row>
    <row r="804" ht="17.25" customHeight="1" s="322">
      <c r="A804" s="27" t="n"/>
      <c r="B804" s="506" t="n"/>
      <c r="C804" s="141" t="n"/>
      <c r="D804" s="141" t="n"/>
      <c r="E804" s="141" t="n"/>
      <c r="F804" s="141" t="n"/>
      <c r="G804" s="143" t="n"/>
      <c r="H804" s="27" t="n"/>
    </row>
    <row r="805" ht="17.25" customHeight="1" s="322">
      <c r="A805" s="27" t="n"/>
      <c r="B805" s="506" t="n"/>
      <c r="C805" s="141" t="n"/>
      <c r="D805" s="141" t="n"/>
      <c r="E805" s="141" t="n"/>
      <c r="F805" s="141" t="n"/>
      <c r="G805" s="143" t="n"/>
      <c r="H805" s="27" t="n"/>
    </row>
    <row r="806" ht="17.25" customHeight="1" s="322">
      <c r="A806" s="27" t="n"/>
      <c r="B806" s="506" t="n"/>
      <c r="C806" s="141" t="n"/>
      <c r="D806" s="141" t="n"/>
      <c r="E806" s="141" t="n"/>
      <c r="F806" s="141" t="n"/>
      <c r="G806" s="143" t="n"/>
      <c r="H806" s="27" t="n"/>
    </row>
    <row r="807" ht="17.25" customHeight="1" s="322">
      <c r="A807" s="27" t="n"/>
      <c r="B807" s="506" t="n"/>
      <c r="C807" s="141" t="n"/>
      <c r="D807" s="141" t="n"/>
      <c r="E807" s="141" t="n"/>
      <c r="F807" s="141" t="n"/>
      <c r="G807" s="143" t="n"/>
      <c r="H807" s="27" t="n"/>
    </row>
    <row r="808" ht="17.25" customHeight="1" s="322">
      <c r="A808" s="27" t="n"/>
      <c r="B808" s="506" t="n"/>
      <c r="C808" s="141" t="n"/>
      <c r="D808" s="141" t="n"/>
      <c r="E808" s="141" t="n"/>
      <c r="F808" s="141" t="n"/>
      <c r="G808" s="143" t="n"/>
      <c r="H808" s="27" t="n"/>
    </row>
    <row r="809" ht="17.25" customHeight="1" s="322">
      <c r="A809" s="27" t="n"/>
      <c r="B809" s="506" t="n"/>
      <c r="C809" s="141" t="n"/>
      <c r="D809" s="141" t="n"/>
      <c r="E809" s="141" t="n"/>
      <c r="F809" s="141" t="n"/>
      <c r="G809" s="143" t="n"/>
      <c r="H809" s="27" t="n"/>
    </row>
    <row r="810" ht="17.25" customHeight="1" s="322">
      <c r="A810" s="27" t="n"/>
      <c r="B810" s="506" t="n"/>
      <c r="C810" s="141" t="n"/>
      <c r="D810" s="141" t="n"/>
      <c r="E810" s="141" t="n"/>
      <c r="F810" s="141" t="n"/>
      <c r="G810" s="143" t="n"/>
      <c r="H810" s="27" t="n"/>
    </row>
    <row r="811" ht="17.25" customHeight="1" s="322">
      <c r="A811" s="27" t="n"/>
      <c r="B811" s="506" t="n"/>
      <c r="C811" s="141" t="n"/>
      <c r="D811" s="141" t="n"/>
      <c r="E811" s="141" t="n"/>
      <c r="F811" s="141" t="n"/>
      <c r="G811" s="143" t="n"/>
      <c r="H811" s="27" t="n"/>
    </row>
    <row r="812" ht="17.25" customHeight="1" s="322">
      <c r="A812" s="27" t="n"/>
      <c r="B812" s="506" t="n"/>
      <c r="C812" s="141" t="n"/>
      <c r="D812" s="141" t="n"/>
      <c r="E812" s="141" t="n"/>
      <c r="F812" s="141" t="n"/>
      <c r="G812" s="143" t="n"/>
      <c r="H812" s="27" t="n"/>
    </row>
    <row r="813" ht="17.25" customHeight="1" s="322">
      <c r="A813" s="27" t="n"/>
      <c r="B813" s="506" t="n"/>
      <c r="C813" s="141" t="n"/>
      <c r="D813" s="141" t="n"/>
      <c r="E813" s="141" t="n"/>
      <c r="F813" s="141" t="n"/>
      <c r="G813" s="143" t="n"/>
      <c r="H813" s="27" t="n"/>
    </row>
    <row r="814" ht="17.25" customHeight="1" s="322">
      <c r="A814" s="27" t="n"/>
      <c r="B814" s="506" t="n"/>
      <c r="C814" s="141" t="n"/>
      <c r="D814" s="141" t="n"/>
      <c r="E814" s="141" t="n"/>
      <c r="F814" s="141" t="n"/>
      <c r="G814" s="143" t="n"/>
      <c r="H814" s="27" t="n"/>
    </row>
    <row r="815" ht="17.25" customHeight="1" s="322">
      <c r="A815" s="27" t="n"/>
      <c r="B815" s="506" t="n"/>
      <c r="C815" s="141" t="n"/>
      <c r="D815" s="141" t="n"/>
      <c r="E815" s="141" t="n"/>
      <c r="F815" s="141" t="n"/>
      <c r="G815" s="143" t="n"/>
      <c r="H815" s="27" t="n"/>
    </row>
    <row r="816" ht="17.25" customHeight="1" s="322">
      <c r="A816" s="27" t="n"/>
      <c r="B816" s="506" t="n"/>
      <c r="C816" s="141" t="n"/>
      <c r="D816" s="141" t="n"/>
      <c r="E816" s="141" t="n"/>
      <c r="F816" s="141" t="n"/>
      <c r="G816" s="143" t="n"/>
      <c r="H816" s="27" t="n"/>
    </row>
    <row r="817" ht="17.25" customHeight="1" s="322">
      <c r="A817" s="27" t="n"/>
      <c r="B817" s="506" t="n"/>
      <c r="C817" s="141" t="n"/>
      <c r="D817" s="141" t="n"/>
      <c r="E817" s="141" t="n"/>
      <c r="F817" s="141" t="n"/>
      <c r="G817" s="143" t="n"/>
      <c r="H817" s="27" t="n"/>
    </row>
    <row r="818" ht="17.25" customHeight="1" s="322">
      <c r="A818" s="27" t="n"/>
      <c r="B818" s="506" t="n"/>
      <c r="C818" s="141" t="n"/>
      <c r="D818" s="141" t="n"/>
      <c r="E818" s="141" t="n"/>
      <c r="F818" s="141" t="n"/>
      <c r="G818" s="143" t="n"/>
      <c r="H818" s="27" t="n"/>
    </row>
    <row r="819" ht="17.25" customHeight="1" s="322">
      <c r="A819" s="27" t="n"/>
      <c r="B819" s="506" t="n"/>
      <c r="C819" s="141" t="n"/>
      <c r="D819" s="141" t="n"/>
      <c r="E819" s="141" t="n"/>
      <c r="F819" s="141" t="n"/>
      <c r="G819" s="143" t="n"/>
      <c r="H819" s="27" t="n"/>
    </row>
    <row r="820" ht="17.25" customHeight="1" s="322">
      <c r="A820" s="27" t="n"/>
      <c r="B820" s="506" t="n"/>
      <c r="C820" s="141" t="n"/>
      <c r="D820" s="141" t="n"/>
      <c r="E820" s="141" t="n"/>
      <c r="F820" s="141" t="n"/>
      <c r="G820" s="143" t="n"/>
      <c r="H820" s="27" t="n"/>
    </row>
    <row r="821" ht="17.25" customHeight="1" s="322">
      <c r="A821" s="27" t="n"/>
      <c r="B821" s="506" t="n"/>
      <c r="C821" s="141" t="n"/>
      <c r="D821" s="141" t="n"/>
      <c r="E821" s="141" t="n"/>
      <c r="F821" s="141" t="n"/>
      <c r="G821" s="143" t="n"/>
      <c r="H821" s="27" t="n"/>
    </row>
    <row r="822" ht="17.25" customHeight="1" s="322">
      <c r="A822" s="27" t="n"/>
      <c r="B822" s="506" t="n"/>
      <c r="C822" s="141" t="n"/>
      <c r="D822" s="141" t="n"/>
      <c r="E822" s="141" t="n"/>
      <c r="F822" s="141" t="n"/>
      <c r="G822" s="143" t="n"/>
      <c r="H822" s="27" t="n"/>
    </row>
    <row r="823" ht="17.25" customHeight="1" s="322">
      <c r="A823" s="27" t="n"/>
      <c r="B823" s="506" t="n"/>
      <c r="C823" s="141" t="n"/>
      <c r="D823" s="141" t="n"/>
      <c r="E823" s="141" t="n"/>
      <c r="F823" s="141" t="n"/>
      <c r="G823" s="143" t="n"/>
      <c r="H823" s="27" t="n"/>
    </row>
    <row r="824" ht="17.25" customHeight="1" s="322">
      <c r="A824" s="27" t="n"/>
      <c r="B824" s="506" t="n"/>
      <c r="C824" s="141" t="n"/>
      <c r="D824" s="141" t="n"/>
      <c r="E824" s="141" t="n"/>
      <c r="F824" s="141" t="n"/>
      <c r="G824" s="143" t="n"/>
      <c r="H824" s="27" t="n"/>
    </row>
    <row r="825" ht="17.25" customHeight="1" s="322">
      <c r="A825" s="27" t="n"/>
      <c r="B825" s="506" t="n"/>
      <c r="C825" s="141" t="n"/>
      <c r="D825" s="141" t="n"/>
      <c r="E825" s="141" t="n"/>
      <c r="F825" s="141" t="n"/>
      <c r="G825" s="143" t="n"/>
      <c r="H825" s="27" t="n"/>
    </row>
    <row r="826" ht="17.25" customHeight="1" s="322">
      <c r="A826" s="27" t="n"/>
      <c r="B826" s="506" t="n"/>
      <c r="C826" s="141" t="n"/>
      <c r="D826" s="141" t="n"/>
      <c r="E826" s="141" t="n"/>
      <c r="F826" s="141" t="n"/>
      <c r="G826" s="143" t="n"/>
      <c r="H826" s="27" t="n"/>
    </row>
    <row r="827" ht="17.25" customHeight="1" s="322">
      <c r="A827" s="27" t="n"/>
      <c r="B827" s="506" t="n"/>
      <c r="C827" s="141" t="n"/>
      <c r="D827" s="141" t="n"/>
      <c r="E827" s="141" t="n"/>
      <c r="F827" s="141" t="n"/>
      <c r="G827" s="143" t="n"/>
      <c r="H827" s="27" t="n"/>
    </row>
    <row r="828" ht="17.25" customHeight="1" s="322">
      <c r="A828" s="27" t="n"/>
      <c r="B828" s="506" t="n"/>
      <c r="C828" s="141" t="n"/>
      <c r="D828" s="141" t="n"/>
      <c r="E828" s="141" t="n"/>
      <c r="F828" s="141" t="n"/>
      <c r="G828" s="143" t="n"/>
      <c r="H828" s="27" t="n"/>
    </row>
    <row r="829" ht="17.25" customHeight="1" s="322">
      <c r="A829" s="27" t="n"/>
      <c r="B829" s="506" t="n"/>
      <c r="C829" s="141" t="n"/>
      <c r="D829" s="141" t="n"/>
      <c r="E829" s="141" t="n"/>
      <c r="F829" s="141" t="n"/>
      <c r="G829" s="143" t="n"/>
      <c r="H829" s="27" t="n"/>
    </row>
    <row r="830" ht="17.25" customHeight="1" s="322">
      <c r="A830" s="27" t="n"/>
      <c r="B830" s="506" t="n"/>
      <c r="C830" s="141" t="n"/>
      <c r="D830" s="141" t="n"/>
      <c r="E830" s="141" t="n"/>
      <c r="F830" s="141" t="n"/>
      <c r="G830" s="143" t="n"/>
      <c r="H830" s="27" t="n"/>
    </row>
    <row r="831" ht="17.25" customHeight="1" s="322">
      <c r="A831" s="27" t="n"/>
      <c r="B831" s="506" t="n"/>
      <c r="C831" s="141" t="n"/>
      <c r="D831" s="141" t="n"/>
      <c r="E831" s="141" t="n"/>
      <c r="F831" s="141" t="n"/>
      <c r="G831" s="143" t="n"/>
      <c r="H831" s="27" t="n"/>
    </row>
    <row r="832" ht="17.25" customHeight="1" s="322">
      <c r="A832" s="27" t="n"/>
      <c r="B832" s="506" t="n"/>
      <c r="C832" s="141" t="n"/>
      <c r="D832" s="141" t="n"/>
      <c r="E832" s="141" t="n"/>
      <c r="F832" s="141" t="n"/>
      <c r="G832" s="143" t="n"/>
      <c r="H832" s="27" t="n"/>
    </row>
    <row r="833" ht="17.25" customHeight="1" s="322">
      <c r="A833" s="27" t="n"/>
      <c r="B833" s="506" t="n"/>
      <c r="C833" s="141" t="n"/>
      <c r="D833" s="141" t="n"/>
      <c r="E833" s="141" t="n"/>
      <c r="F833" s="141" t="n"/>
      <c r="G833" s="143" t="n"/>
      <c r="H833" s="27" t="n"/>
    </row>
    <row r="834" ht="17.25" customHeight="1" s="322">
      <c r="A834" s="27" t="n"/>
      <c r="B834" s="506" t="n"/>
      <c r="C834" s="141" t="n"/>
      <c r="D834" s="141" t="n"/>
      <c r="E834" s="141" t="n"/>
      <c r="F834" s="141" t="n"/>
      <c r="G834" s="143" t="n"/>
      <c r="H834" s="27" t="n"/>
    </row>
    <row r="835" ht="17.25" customHeight="1" s="322">
      <c r="A835" s="27" t="n"/>
      <c r="B835" s="506" t="n"/>
      <c r="C835" s="141" t="n"/>
      <c r="D835" s="141" t="n"/>
      <c r="E835" s="141" t="n"/>
      <c r="F835" s="141" t="n"/>
      <c r="G835" s="143" t="n"/>
      <c r="H835" s="27" t="n"/>
    </row>
    <row r="836" ht="17.25" customHeight="1" s="322">
      <c r="A836" s="27" t="n"/>
      <c r="B836" s="506" t="n"/>
      <c r="C836" s="141" t="n"/>
      <c r="D836" s="141" t="n"/>
      <c r="E836" s="141" t="n"/>
      <c r="F836" s="141" t="n"/>
      <c r="G836" s="143" t="n"/>
      <c r="H836" s="27" t="n"/>
    </row>
    <row r="837" ht="17.25" customHeight="1" s="322">
      <c r="A837" s="27" t="n"/>
      <c r="B837" s="506" t="n"/>
      <c r="C837" s="141" t="n"/>
      <c r="D837" s="141" t="n"/>
      <c r="E837" s="141" t="n"/>
      <c r="F837" s="141" t="n"/>
      <c r="G837" s="143" t="n"/>
      <c r="H837" s="27" t="n"/>
    </row>
    <row r="838" ht="17.25" customHeight="1" s="322">
      <c r="A838" s="27" t="n"/>
      <c r="B838" s="506" t="n"/>
      <c r="C838" s="141" t="n"/>
      <c r="D838" s="141" t="n"/>
      <c r="E838" s="141" t="n"/>
      <c r="F838" s="141" t="n"/>
      <c r="G838" s="143" t="n"/>
      <c r="H838" s="27" t="n"/>
    </row>
    <row r="839" ht="17.25" customHeight="1" s="322">
      <c r="A839" s="27" t="n"/>
      <c r="B839" s="506" t="n"/>
      <c r="C839" s="141" t="n"/>
      <c r="D839" s="141" t="n"/>
      <c r="E839" s="141" t="n"/>
      <c r="F839" s="141" t="n"/>
      <c r="G839" s="143" t="n"/>
      <c r="H839" s="27" t="n"/>
    </row>
    <row r="840" ht="17.25" customHeight="1" s="322">
      <c r="A840" s="27" t="n"/>
      <c r="B840" s="506" t="n"/>
      <c r="C840" s="141" t="n"/>
      <c r="D840" s="141" t="n"/>
      <c r="E840" s="141" t="n"/>
      <c r="F840" s="141" t="n"/>
      <c r="G840" s="143" t="n"/>
      <c r="H840" s="27" t="n"/>
    </row>
    <row r="841" ht="17.25" customHeight="1" s="322">
      <c r="A841" s="27" t="n"/>
      <c r="B841" s="506" t="n"/>
      <c r="C841" s="141" t="n"/>
      <c r="D841" s="141" t="n"/>
      <c r="E841" s="141" t="n"/>
      <c r="F841" s="141" t="n"/>
      <c r="G841" s="143" t="n"/>
      <c r="H841" s="27" t="n"/>
    </row>
    <row r="842" ht="17.25" customHeight="1" s="322">
      <c r="A842" s="27" t="n"/>
      <c r="B842" s="506" t="n"/>
      <c r="C842" s="141" t="n"/>
      <c r="D842" s="141" t="n"/>
      <c r="E842" s="141" t="n"/>
      <c r="F842" s="141" t="n"/>
      <c r="G842" s="143" t="n"/>
      <c r="H842" s="27" t="n"/>
    </row>
    <row r="843" ht="17.25" customHeight="1" s="322">
      <c r="A843" s="27" t="n"/>
      <c r="B843" s="506" t="n"/>
      <c r="C843" s="141" t="n"/>
      <c r="D843" s="141" t="n"/>
      <c r="E843" s="141" t="n"/>
      <c r="F843" s="141" t="n"/>
      <c r="G843" s="143" t="n"/>
      <c r="H843" s="27" t="n"/>
    </row>
    <row r="844" ht="17.25" customHeight="1" s="322">
      <c r="A844" s="27" t="n"/>
      <c r="B844" s="506" t="n"/>
      <c r="C844" s="141" t="n"/>
      <c r="D844" s="141" t="n"/>
      <c r="E844" s="141" t="n"/>
      <c r="F844" s="141" t="n"/>
      <c r="G844" s="143" t="n"/>
      <c r="H844" s="27" t="n"/>
    </row>
    <row r="845" ht="17.25" customHeight="1" s="322">
      <c r="A845" s="27" t="n"/>
      <c r="B845" s="506" t="n"/>
      <c r="C845" s="141" t="n"/>
      <c r="D845" s="141" t="n"/>
      <c r="E845" s="141" t="n"/>
      <c r="F845" s="141" t="n"/>
      <c r="G845" s="143" t="n"/>
      <c r="H845" s="27" t="n"/>
    </row>
    <row r="846" ht="17.25" customHeight="1" s="322">
      <c r="A846" s="27" t="n"/>
      <c r="B846" s="506" t="n"/>
      <c r="C846" s="141" t="n"/>
      <c r="D846" s="141" t="n"/>
      <c r="E846" s="141" t="n"/>
      <c r="F846" s="141" t="n"/>
      <c r="G846" s="143" t="n"/>
      <c r="H846" s="27" t="n"/>
    </row>
    <row r="847" ht="17.25" customHeight="1" s="322">
      <c r="A847" s="27" t="n"/>
      <c r="B847" s="506" t="n"/>
      <c r="C847" s="141" t="n"/>
      <c r="D847" s="141" t="n"/>
      <c r="E847" s="141" t="n"/>
      <c r="F847" s="141" t="n"/>
      <c r="G847" s="143" t="n"/>
      <c r="H847" s="27" t="n"/>
    </row>
    <row r="848" ht="17.25" customHeight="1" s="322">
      <c r="A848" s="27" t="n"/>
      <c r="B848" s="506" t="n"/>
      <c r="C848" s="141" t="n"/>
      <c r="D848" s="141" t="n"/>
      <c r="E848" s="141" t="n"/>
      <c r="F848" s="141" t="n"/>
      <c r="G848" s="143" t="n"/>
      <c r="H848" s="27" t="n"/>
    </row>
    <row r="849" ht="17.25" customHeight="1" s="322">
      <c r="A849" s="27" t="n"/>
      <c r="B849" s="506" t="n"/>
      <c r="C849" s="141" t="n"/>
      <c r="D849" s="141" t="n"/>
      <c r="E849" s="141" t="n"/>
      <c r="F849" s="141" t="n"/>
      <c r="G849" s="143" t="n"/>
      <c r="H849" s="27" t="n"/>
    </row>
    <row r="850" ht="17.25" customHeight="1" s="322">
      <c r="A850" s="27" t="n"/>
      <c r="B850" s="506" t="n"/>
      <c r="C850" s="141" t="n"/>
      <c r="D850" s="141" t="n"/>
      <c r="E850" s="141" t="n"/>
      <c r="F850" s="141" t="n"/>
      <c r="G850" s="143" t="n"/>
      <c r="H850" s="27" t="n"/>
    </row>
    <row r="851" ht="17.25" customHeight="1" s="322">
      <c r="A851" s="27" t="n"/>
      <c r="B851" s="506" t="n"/>
      <c r="C851" s="141" t="n"/>
      <c r="D851" s="141" t="n"/>
      <c r="E851" s="141" t="n"/>
      <c r="F851" s="141" t="n"/>
      <c r="G851" s="143" t="n"/>
      <c r="H851" s="27" t="n"/>
    </row>
    <row r="852" ht="17.25" customHeight="1" s="322">
      <c r="A852" s="27" t="n"/>
      <c r="B852" s="506" t="n"/>
      <c r="C852" s="141" t="n"/>
      <c r="D852" s="141" t="n"/>
      <c r="E852" s="141" t="n"/>
      <c r="F852" s="141" t="n"/>
      <c r="G852" s="143" t="n"/>
      <c r="H852" s="27" t="n"/>
    </row>
    <row r="853" ht="17.25" customHeight="1" s="322">
      <c r="A853" s="27" t="n"/>
      <c r="B853" s="506" t="n"/>
      <c r="C853" s="141" t="n"/>
      <c r="D853" s="141" t="n"/>
      <c r="E853" s="141" t="n"/>
      <c r="F853" s="141" t="n"/>
      <c r="G853" s="143" t="n"/>
      <c r="H853" s="27" t="n"/>
    </row>
    <row r="854" ht="17.25" customHeight="1" s="322">
      <c r="A854" s="27" t="n"/>
      <c r="B854" s="506" t="n"/>
      <c r="C854" s="141" t="n"/>
      <c r="D854" s="141" t="n"/>
      <c r="E854" s="141" t="n"/>
      <c r="F854" s="141" t="n"/>
      <c r="G854" s="143" t="n"/>
      <c r="H854" s="27" t="n"/>
    </row>
    <row r="855" ht="17.25" customHeight="1" s="322">
      <c r="A855" s="27" t="n"/>
      <c r="B855" s="506" t="n"/>
      <c r="C855" s="141" t="n"/>
      <c r="D855" s="141" t="n"/>
      <c r="E855" s="141" t="n"/>
      <c r="F855" s="141" t="n"/>
      <c r="G855" s="143" t="n"/>
      <c r="H855" s="27" t="n"/>
    </row>
    <row r="856" ht="17.25" customHeight="1" s="322">
      <c r="A856" s="27" t="n"/>
      <c r="B856" s="506" t="n"/>
      <c r="C856" s="141" t="n"/>
      <c r="D856" s="141" t="n"/>
      <c r="E856" s="141" t="n"/>
      <c r="F856" s="141" t="n"/>
      <c r="G856" s="143" t="n"/>
      <c r="H856" s="27" t="n"/>
    </row>
    <row r="857" ht="17.25" customHeight="1" s="322">
      <c r="A857" s="27" t="n"/>
      <c r="B857" s="506" t="n"/>
      <c r="C857" s="141" t="n"/>
      <c r="D857" s="141" t="n"/>
      <c r="E857" s="141" t="n"/>
      <c r="F857" s="141" t="n"/>
      <c r="G857" s="143" t="n"/>
      <c r="H857" s="27" t="n"/>
    </row>
    <row r="858" ht="17.25" customHeight="1" s="322">
      <c r="A858" s="27" t="n"/>
      <c r="B858" s="506" t="n"/>
      <c r="C858" s="141" t="n"/>
      <c r="D858" s="141" t="n"/>
      <c r="E858" s="141" t="n"/>
      <c r="F858" s="141" t="n"/>
      <c r="G858" s="143" t="n"/>
      <c r="H858" s="27" t="n"/>
    </row>
    <row r="859" ht="17.25" customHeight="1" s="322">
      <c r="A859" s="27" t="n"/>
      <c r="B859" s="506" t="n"/>
      <c r="C859" s="141" t="n"/>
      <c r="D859" s="141" t="n"/>
      <c r="E859" s="141" t="n"/>
      <c r="F859" s="141" t="n"/>
      <c r="G859" s="143" t="n"/>
      <c r="H859" s="27" t="n"/>
    </row>
    <row r="860" ht="17.25" customHeight="1" s="322">
      <c r="A860" s="27" t="n"/>
      <c r="B860" s="506" t="n"/>
      <c r="C860" s="141" t="n"/>
      <c r="D860" s="141" t="n"/>
      <c r="E860" s="141" t="n"/>
      <c r="F860" s="141" t="n"/>
      <c r="G860" s="143" t="n"/>
      <c r="H860" s="27" t="n"/>
    </row>
    <row r="861" ht="17.25" customHeight="1" s="322">
      <c r="A861" s="27" t="n"/>
      <c r="B861" s="506" t="n"/>
      <c r="C861" s="141" t="n"/>
      <c r="D861" s="141" t="n"/>
      <c r="E861" s="141" t="n"/>
      <c r="F861" s="141" t="n"/>
      <c r="G861" s="143" t="n"/>
      <c r="H861" s="27" t="n"/>
    </row>
    <row r="862" ht="17.25" customHeight="1" s="322">
      <c r="A862" s="27" t="n"/>
      <c r="B862" s="506" t="n"/>
      <c r="C862" s="141" t="n"/>
      <c r="D862" s="141" t="n"/>
      <c r="E862" s="141" t="n"/>
      <c r="F862" s="141" t="n"/>
      <c r="G862" s="143" t="n"/>
      <c r="H862" s="27" t="n"/>
    </row>
    <row r="863" ht="17.25" customHeight="1" s="322">
      <c r="A863" s="27" t="n"/>
      <c r="B863" s="506" t="n"/>
      <c r="C863" s="141" t="n"/>
      <c r="D863" s="141" t="n"/>
      <c r="E863" s="141" t="n"/>
      <c r="F863" s="141" t="n"/>
      <c r="G863" s="143" t="n"/>
      <c r="H863" s="27" t="n"/>
    </row>
    <row r="864" ht="17.25" customHeight="1" s="322">
      <c r="A864" s="27" t="n"/>
      <c r="B864" s="506" t="n"/>
      <c r="C864" s="141" t="n"/>
      <c r="D864" s="141" t="n"/>
      <c r="E864" s="141" t="n"/>
      <c r="F864" s="141" t="n"/>
      <c r="G864" s="143" t="n"/>
      <c r="H864" s="27" t="n"/>
    </row>
    <row r="865" ht="17.25" customHeight="1" s="322">
      <c r="A865" s="27" t="n"/>
      <c r="B865" s="506" t="n"/>
      <c r="C865" s="141" t="n"/>
      <c r="D865" s="141" t="n"/>
      <c r="E865" s="141" t="n"/>
      <c r="F865" s="141" t="n"/>
      <c r="G865" s="143" t="n"/>
      <c r="H865" s="27" t="n"/>
    </row>
    <row r="866" ht="17.25" customHeight="1" s="322">
      <c r="A866" s="27" t="n"/>
      <c r="B866" s="506" t="n"/>
      <c r="C866" s="141" t="n"/>
      <c r="D866" s="141" t="n"/>
      <c r="E866" s="141" t="n"/>
      <c r="F866" s="141" t="n"/>
      <c r="G866" s="143" t="n"/>
      <c r="H866" s="27" t="n"/>
    </row>
    <row r="867" ht="17.25" customHeight="1" s="322">
      <c r="A867" s="27" t="n"/>
      <c r="B867" s="506" t="n"/>
      <c r="C867" s="141" t="n"/>
      <c r="D867" s="141" t="n"/>
      <c r="E867" s="141" t="n"/>
      <c r="F867" s="141" t="n"/>
      <c r="G867" s="143" t="n"/>
      <c r="H867" s="27" t="n"/>
    </row>
    <row r="868" ht="17.25" customHeight="1" s="322">
      <c r="A868" s="27" t="n"/>
      <c r="B868" s="506" t="n"/>
      <c r="C868" s="141" t="n"/>
      <c r="D868" s="141" t="n"/>
      <c r="E868" s="141" t="n"/>
      <c r="F868" s="141" t="n"/>
      <c r="G868" s="143" t="n"/>
      <c r="H868" s="27" t="n"/>
    </row>
    <row r="869" ht="17.25" customHeight="1" s="322">
      <c r="A869" s="27" t="n"/>
      <c r="B869" s="506" t="n"/>
      <c r="C869" s="141" t="n"/>
      <c r="D869" s="141" t="n"/>
      <c r="E869" s="141" t="n"/>
      <c r="F869" s="141" t="n"/>
      <c r="G869" s="143" t="n"/>
      <c r="H869" s="27" t="n"/>
    </row>
    <row r="870" ht="17.25" customHeight="1" s="322">
      <c r="A870" s="27" t="n"/>
      <c r="B870" s="506" t="n"/>
      <c r="C870" s="141" t="n"/>
      <c r="D870" s="141" t="n"/>
      <c r="E870" s="141" t="n"/>
      <c r="F870" s="141" t="n"/>
      <c r="G870" s="143" t="n"/>
      <c r="H870" s="27" t="n"/>
    </row>
    <row r="871" ht="17.25" customHeight="1" s="322">
      <c r="A871" s="27" t="n"/>
      <c r="B871" s="506" t="n"/>
      <c r="C871" s="141" t="n"/>
      <c r="D871" s="141" t="n"/>
      <c r="E871" s="141" t="n"/>
      <c r="F871" s="141" t="n"/>
      <c r="G871" s="143" t="n"/>
      <c r="H871" s="27" t="n"/>
    </row>
    <row r="872" ht="17.25" customHeight="1" s="322">
      <c r="A872" s="27" t="n"/>
      <c r="B872" s="506" t="n"/>
      <c r="C872" s="141" t="n"/>
      <c r="D872" s="141" t="n"/>
      <c r="E872" s="141" t="n"/>
      <c r="F872" s="141" t="n"/>
      <c r="G872" s="143" t="n"/>
      <c r="H872" s="27" t="n"/>
    </row>
    <row r="873" ht="17.25" customHeight="1" s="322">
      <c r="A873" s="27" t="n"/>
      <c r="B873" s="506" t="n"/>
      <c r="C873" s="141" t="n"/>
      <c r="D873" s="141" t="n"/>
      <c r="E873" s="141" t="n"/>
      <c r="F873" s="141" t="n"/>
      <c r="G873" s="143" t="n"/>
      <c r="H873" s="27" t="n"/>
    </row>
    <row r="874" ht="17.25" customHeight="1" s="322">
      <c r="A874" s="27" t="n"/>
      <c r="B874" s="506" t="n"/>
      <c r="C874" s="141" t="n"/>
      <c r="D874" s="141" t="n"/>
      <c r="E874" s="141" t="n"/>
      <c r="F874" s="141" t="n"/>
      <c r="G874" s="143" t="n"/>
      <c r="H874" s="27" t="n"/>
    </row>
    <row r="875" ht="17.25" customHeight="1" s="322">
      <c r="A875" s="27" t="n"/>
      <c r="B875" s="506" t="n"/>
      <c r="C875" s="141" t="n"/>
      <c r="D875" s="141" t="n"/>
      <c r="E875" s="141" t="n"/>
      <c r="F875" s="141" t="n"/>
      <c r="G875" s="143" t="n"/>
      <c r="H875" s="27" t="n"/>
    </row>
    <row r="876" ht="17.25" customHeight="1" s="322">
      <c r="A876" s="27" t="n"/>
      <c r="B876" s="506" t="n"/>
      <c r="C876" s="141" t="n"/>
      <c r="D876" s="141" t="n"/>
      <c r="E876" s="141" t="n"/>
      <c r="F876" s="141" t="n"/>
      <c r="G876" s="143" t="n"/>
      <c r="H876" s="27" t="n"/>
    </row>
    <row r="877" ht="17.25" customHeight="1" s="322">
      <c r="A877" s="27" t="n"/>
      <c r="B877" s="506" t="n"/>
      <c r="C877" s="141" t="n"/>
      <c r="D877" s="141" t="n"/>
      <c r="E877" s="141" t="n"/>
      <c r="F877" s="141" t="n"/>
      <c r="G877" s="143" t="n"/>
      <c r="H877" s="27" t="n"/>
    </row>
    <row r="878" ht="17.25" customHeight="1" s="322">
      <c r="A878" s="27" t="n"/>
      <c r="B878" s="506" t="n"/>
      <c r="C878" s="141" t="n"/>
      <c r="D878" s="141" t="n"/>
      <c r="E878" s="141" t="n"/>
      <c r="F878" s="141" t="n"/>
      <c r="G878" s="143" t="n"/>
      <c r="H878" s="27" t="n"/>
    </row>
    <row r="879" ht="17.25" customHeight="1" s="322">
      <c r="A879" s="27" t="n"/>
      <c r="B879" s="506" t="n"/>
      <c r="C879" s="141" t="n"/>
      <c r="D879" s="141" t="n"/>
      <c r="E879" s="141" t="n"/>
      <c r="F879" s="141" t="n"/>
      <c r="G879" s="143" t="n"/>
      <c r="H879" s="27" t="n"/>
    </row>
    <row r="880" ht="17.25" customHeight="1" s="322">
      <c r="A880" s="27" t="n"/>
      <c r="B880" s="506" t="n"/>
      <c r="C880" s="141" t="n"/>
      <c r="D880" s="141" t="n"/>
      <c r="E880" s="141" t="n"/>
      <c r="F880" s="141" t="n"/>
      <c r="G880" s="143" t="n"/>
      <c r="H880" s="27" t="n"/>
    </row>
    <row r="881" ht="17.25" customHeight="1" s="322">
      <c r="A881" s="27" t="n"/>
      <c r="B881" s="506" t="n"/>
      <c r="C881" s="141" t="n"/>
      <c r="D881" s="141" t="n"/>
      <c r="E881" s="141" t="n"/>
      <c r="F881" s="141" t="n"/>
      <c r="G881" s="143" t="n"/>
      <c r="H881" s="27" t="n"/>
    </row>
    <row r="882" ht="17.25" customHeight="1" s="322">
      <c r="A882" s="27" t="n"/>
      <c r="B882" s="506" t="n"/>
      <c r="C882" s="141" t="n"/>
      <c r="D882" s="141" t="n"/>
      <c r="E882" s="141" t="n"/>
      <c r="F882" s="141" t="n"/>
      <c r="G882" s="143" t="n"/>
      <c r="H882" s="27" t="n"/>
    </row>
    <row r="883" ht="17.25" customHeight="1" s="322">
      <c r="A883" s="27" t="n"/>
      <c r="B883" s="506" t="n"/>
      <c r="C883" s="141" t="n"/>
      <c r="D883" s="141" t="n"/>
      <c r="E883" s="141" t="n"/>
      <c r="F883" s="141" t="n"/>
      <c r="G883" s="143" t="n"/>
      <c r="H883" s="27" t="n"/>
    </row>
    <row r="884" ht="17.25" customHeight="1" s="322">
      <c r="A884" s="27" t="n"/>
      <c r="B884" s="506" t="n"/>
      <c r="C884" s="141" t="n"/>
      <c r="D884" s="141" t="n"/>
      <c r="E884" s="141" t="n"/>
      <c r="F884" s="141" t="n"/>
      <c r="G884" s="143" t="n"/>
      <c r="H884" s="27" t="n"/>
    </row>
    <row r="885" ht="17.25" customHeight="1" s="322">
      <c r="A885" s="27" t="n"/>
      <c r="B885" s="506" t="n"/>
      <c r="C885" s="141" t="n"/>
      <c r="D885" s="141" t="n"/>
      <c r="E885" s="141" t="n"/>
      <c r="F885" s="141" t="n"/>
      <c r="G885" s="143" t="n"/>
      <c r="H885" s="27" t="n"/>
    </row>
    <row r="886" ht="17.25" customHeight="1" s="322">
      <c r="A886" s="27" t="n"/>
      <c r="B886" s="506" t="n"/>
      <c r="C886" s="141" t="n"/>
      <c r="D886" s="141" t="n"/>
      <c r="E886" s="141" t="n"/>
      <c r="F886" s="141" t="n"/>
      <c r="G886" s="143" t="n"/>
      <c r="H886" s="27" t="n"/>
    </row>
    <row r="887" ht="17.25" customHeight="1" s="322">
      <c r="A887" s="27" t="n"/>
      <c r="B887" s="506" t="n"/>
      <c r="C887" s="141" t="n"/>
      <c r="D887" s="141" t="n"/>
      <c r="E887" s="141" t="n"/>
      <c r="F887" s="141" t="n"/>
      <c r="G887" s="143" t="n"/>
      <c r="H887" s="27" t="n"/>
    </row>
    <row r="888" ht="17.25" customHeight="1" s="322">
      <c r="A888" s="27" t="n"/>
      <c r="B888" s="506" t="n"/>
      <c r="C888" s="141" t="n"/>
      <c r="D888" s="141" t="n"/>
      <c r="E888" s="141" t="n"/>
      <c r="F888" s="141" t="n"/>
      <c r="G888" s="143" t="n"/>
      <c r="H888" s="27" t="n"/>
    </row>
    <row r="889" ht="17.25" customHeight="1" s="322">
      <c r="A889" s="27" t="n"/>
      <c r="B889" s="506" t="n"/>
      <c r="C889" s="141" t="n"/>
      <c r="D889" s="141" t="n"/>
      <c r="E889" s="141" t="n"/>
      <c r="F889" s="141" t="n"/>
      <c r="G889" s="143" t="n"/>
      <c r="H889" s="27" t="n"/>
    </row>
    <row r="890" ht="17.25" customHeight="1" s="322">
      <c r="A890" s="27" t="n"/>
      <c r="B890" s="506" t="n"/>
      <c r="C890" s="141" t="n"/>
      <c r="D890" s="141" t="n"/>
      <c r="E890" s="141" t="n"/>
      <c r="F890" s="141" t="n"/>
      <c r="G890" s="143" t="n"/>
      <c r="H890" s="27" t="n"/>
    </row>
    <row r="891" ht="17.25" customHeight="1" s="322">
      <c r="A891" s="27" t="n"/>
      <c r="B891" s="506" t="n"/>
      <c r="C891" s="141" t="n"/>
      <c r="D891" s="141" t="n"/>
      <c r="E891" s="141" t="n"/>
      <c r="F891" s="141" t="n"/>
      <c r="G891" s="143" t="n"/>
      <c r="H891" s="27" t="n"/>
    </row>
    <row r="892" ht="17.25" customHeight="1" s="322">
      <c r="A892" s="27" t="n"/>
      <c r="B892" s="506" t="n"/>
      <c r="C892" s="141" t="n"/>
      <c r="D892" s="141" t="n"/>
      <c r="E892" s="141" t="n"/>
      <c r="F892" s="141" t="n"/>
      <c r="G892" s="143" t="n"/>
      <c r="H892" s="27" t="n"/>
    </row>
    <row r="893" ht="17.25" customHeight="1" s="322">
      <c r="A893" s="27" t="n"/>
      <c r="B893" s="506" t="n"/>
      <c r="C893" s="141" t="n"/>
      <c r="D893" s="141" t="n"/>
      <c r="E893" s="141" t="n"/>
      <c r="F893" s="141" t="n"/>
      <c r="G893" s="143" t="n"/>
      <c r="H893" s="27" t="n"/>
    </row>
    <row r="894" ht="17.25" customHeight="1" s="322">
      <c r="A894" s="27" t="n"/>
      <c r="B894" s="506" t="n"/>
      <c r="C894" s="141" t="n"/>
      <c r="D894" s="141" t="n"/>
      <c r="E894" s="141" t="n"/>
      <c r="F894" s="141" t="n"/>
      <c r="G894" s="143" t="n"/>
      <c r="H894" s="27" t="n"/>
    </row>
    <row r="895" ht="17.25" customHeight="1" s="322">
      <c r="A895" s="27" t="n"/>
      <c r="B895" s="506" t="n"/>
      <c r="C895" s="141" t="n"/>
      <c r="D895" s="141" t="n"/>
      <c r="E895" s="141" t="n"/>
      <c r="F895" s="141" t="n"/>
      <c r="G895" s="143" t="n"/>
      <c r="H895" s="27" t="n"/>
    </row>
    <row r="896" ht="17.25" customHeight="1" s="322">
      <c r="A896" s="27" t="n"/>
      <c r="B896" s="506" t="n"/>
      <c r="C896" s="141" t="n"/>
      <c r="D896" s="141" t="n"/>
      <c r="E896" s="141" t="n"/>
      <c r="F896" s="141" t="n"/>
      <c r="G896" s="143" t="n"/>
      <c r="H896" s="27" t="n"/>
    </row>
    <row r="897" ht="17.25" customHeight="1" s="322">
      <c r="A897" s="27" t="n"/>
      <c r="B897" s="506" t="n"/>
      <c r="C897" s="141" t="n"/>
      <c r="D897" s="141" t="n"/>
      <c r="E897" s="141" t="n"/>
      <c r="F897" s="141" t="n"/>
      <c r="G897" s="143" t="n"/>
      <c r="H897" s="27" t="n"/>
    </row>
    <row r="898" ht="17.25" customHeight="1" s="322">
      <c r="A898" s="27" t="n"/>
      <c r="B898" s="506" t="n"/>
      <c r="C898" s="141" t="n"/>
      <c r="D898" s="141" t="n"/>
      <c r="E898" s="141" t="n"/>
      <c r="F898" s="141" t="n"/>
      <c r="G898" s="143" t="n"/>
      <c r="H898" s="27" t="n"/>
    </row>
    <row r="899" ht="17.25" customHeight="1" s="322">
      <c r="A899" s="27" t="n"/>
      <c r="B899" s="506" t="n"/>
      <c r="C899" s="141" t="n"/>
      <c r="D899" s="141" t="n"/>
      <c r="E899" s="141" t="n"/>
      <c r="F899" s="141" t="n"/>
      <c r="G899" s="143" t="n"/>
      <c r="H899" s="27" t="n"/>
    </row>
    <row r="900" ht="17.25" customHeight="1" s="322">
      <c r="A900" s="27" t="n"/>
      <c r="B900" s="506" t="n"/>
      <c r="C900" s="141" t="n"/>
      <c r="D900" s="141" t="n"/>
      <c r="E900" s="141" t="n"/>
      <c r="F900" s="141" t="n"/>
      <c r="G900" s="143" t="n"/>
      <c r="H900" s="27" t="n"/>
    </row>
    <row r="901" ht="17.25" customHeight="1" s="322">
      <c r="A901" s="27" t="n"/>
      <c r="B901" s="506" t="n"/>
      <c r="C901" s="141" t="n"/>
      <c r="D901" s="141" t="n"/>
      <c r="E901" s="141" t="n"/>
      <c r="F901" s="141" t="n"/>
      <c r="G901" s="143" t="n"/>
      <c r="H901" s="27" t="n"/>
    </row>
    <row r="902" ht="17.25" customHeight="1" s="322">
      <c r="A902" s="27" t="n"/>
      <c r="B902" s="506" t="n"/>
      <c r="C902" s="141" t="n"/>
      <c r="D902" s="141" t="n"/>
      <c r="E902" s="141" t="n"/>
      <c r="F902" s="141" t="n"/>
      <c r="G902" s="143" t="n"/>
      <c r="H902" s="27" t="n"/>
    </row>
    <row r="903" ht="17.25" customHeight="1" s="322">
      <c r="A903" s="27" t="n"/>
      <c r="B903" s="506" t="n"/>
      <c r="C903" s="141" t="n"/>
      <c r="D903" s="141" t="n"/>
      <c r="E903" s="141" t="n"/>
      <c r="F903" s="141" t="n"/>
      <c r="G903" s="143" t="n"/>
      <c r="H903" s="27" t="n"/>
    </row>
    <row r="904" ht="17.25" customHeight="1" s="322">
      <c r="A904" s="27" t="n"/>
      <c r="B904" s="506" t="n"/>
      <c r="C904" s="141" t="n"/>
      <c r="D904" s="141" t="n"/>
      <c r="E904" s="141" t="n"/>
      <c r="F904" s="141" t="n"/>
      <c r="G904" s="143" t="n"/>
      <c r="H904" s="27" t="n"/>
    </row>
    <row r="905" ht="17.25" customHeight="1" s="322">
      <c r="A905" s="27" t="n"/>
      <c r="B905" s="506" t="n"/>
      <c r="C905" s="141" t="n"/>
      <c r="D905" s="141" t="n"/>
      <c r="E905" s="141" t="n"/>
      <c r="F905" s="141" t="n"/>
      <c r="G905" s="143" t="n"/>
      <c r="H905" s="27" t="n"/>
    </row>
    <row r="906" ht="17.25" customHeight="1" s="322">
      <c r="A906" s="27" t="n"/>
      <c r="B906" s="506" t="n"/>
      <c r="C906" s="141" t="n"/>
      <c r="D906" s="141" t="n"/>
      <c r="E906" s="141" t="n"/>
      <c r="F906" s="141" t="n"/>
      <c r="G906" s="143" t="n"/>
      <c r="H906" s="27" t="n"/>
    </row>
    <row r="907" ht="17.25" customHeight="1" s="322">
      <c r="A907" s="27" t="n"/>
      <c r="B907" s="506" t="n"/>
      <c r="C907" s="141" t="n"/>
      <c r="D907" s="141" t="n"/>
      <c r="E907" s="141" t="n"/>
      <c r="F907" s="141" t="n"/>
      <c r="G907" s="143" t="n"/>
      <c r="H907" s="27" t="n"/>
    </row>
    <row r="908" ht="17.25" customHeight="1" s="322">
      <c r="A908" s="27" t="n"/>
      <c r="B908" s="506" t="n"/>
      <c r="C908" s="141" t="n"/>
      <c r="D908" s="141" t="n"/>
      <c r="E908" s="141" t="n"/>
      <c r="F908" s="141" t="n"/>
      <c r="G908" s="143" t="n"/>
      <c r="H908" s="27" t="n"/>
    </row>
    <row r="909" ht="17.25" customHeight="1" s="322">
      <c r="A909" s="27" t="n"/>
      <c r="B909" s="506" t="n"/>
      <c r="C909" s="141" t="n"/>
      <c r="D909" s="141" t="n"/>
      <c r="E909" s="141" t="n"/>
      <c r="F909" s="141" t="n"/>
      <c r="G909" s="143" t="n"/>
      <c r="H909" s="27" t="n"/>
    </row>
    <row r="910" ht="17.25" customHeight="1" s="322">
      <c r="A910" s="27" t="n"/>
      <c r="B910" s="506" t="n"/>
      <c r="C910" s="141" t="n"/>
      <c r="D910" s="141" t="n"/>
      <c r="E910" s="141" t="n"/>
      <c r="F910" s="141" t="n"/>
      <c r="G910" s="143" t="n"/>
      <c r="H910" s="27" t="n"/>
    </row>
    <row r="911" ht="17.25" customHeight="1" s="322">
      <c r="A911" s="27" t="n"/>
      <c r="B911" s="506" t="n"/>
      <c r="C911" s="141" t="n"/>
      <c r="D911" s="141" t="n"/>
      <c r="E911" s="141" t="n"/>
      <c r="F911" s="141" t="n"/>
      <c r="G911" s="143" t="n"/>
      <c r="H911" s="27" t="n"/>
    </row>
    <row r="912" ht="17.25" customHeight="1" s="322">
      <c r="A912" s="27" t="n"/>
      <c r="B912" s="506" t="n"/>
      <c r="C912" s="141" t="n"/>
      <c r="D912" s="141" t="n"/>
      <c r="E912" s="141" t="n"/>
      <c r="F912" s="141" t="n"/>
      <c r="G912" s="143" t="n"/>
      <c r="H912" s="27" t="n"/>
    </row>
    <row r="913" ht="17.25" customHeight="1" s="322">
      <c r="A913" s="27" t="n"/>
      <c r="B913" s="506" t="n"/>
      <c r="C913" s="141" t="n"/>
      <c r="D913" s="141" t="n"/>
      <c r="E913" s="141" t="n"/>
      <c r="F913" s="141" t="n"/>
      <c r="G913" s="143" t="n"/>
      <c r="H913" s="27" t="n"/>
    </row>
    <row r="914" ht="17.25" customHeight="1" s="322">
      <c r="A914" s="27" t="n"/>
      <c r="B914" s="506" t="n"/>
      <c r="C914" s="141" t="n"/>
      <c r="D914" s="141" t="n"/>
      <c r="E914" s="141" t="n"/>
      <c r="F914" s="141" t="n"/>
      <c r="G914" s="143" t="n"/>
      <c r="H914" s="27" t="n"/>
    </row>
    <row r="915" ht="17.25" customHeight="1" s="322">
      <c r="A915" s="27" t="n"/>
      <c r="B915" s="506" t="n"/>
      <c r="C915" s="141" t="n"/>
      <c r="D915" s="141" t="n"/>
      <c r="E915" s="141" t="n"/>
      <c r="F915" s="141" t="n"/>
      <c r="G915" s="143" t="n"/>
      <c r="H915" s="27" t="n"/>
    </row>
    <row r="916" ht="17.25" customHeight="1" s="322">
      <c r="A916" s="27" t="n"/>
      <c r="B916" s="506" t="n"/>
      <c r="C916" s="141" t="n"/>
      <c r="D916" s="141" t="n"/>
      <c r="E916" s="141" t="n"/>
      <c r="F916" s="141" t="n"/>
      <c r="G916" s="143" t="n"/>
      <c r="H916" s="27" t="n"/>
    </row>
    <row r="917" ht="17.25" customHeight="1" s="322">
      <c r="A917" s="27" t="n"/>
      <c r="B917" s="506" t="n"/>
      <c r="C917" s="141" t="n"/>
      <c r="D917" s="141" t="n"/>
      <c r="E917" s="141" t="n"/>
      <c r="F917" s="141" t="n"/>
      <c r="G917" s="143" t="n"/>
      <c r="H917" s="27" t="n"/>
    </row>
    <row r="918" ht="17.25" customHeight="1" s="322">
      <c r="A918" s="27" t="n"/>
      <c r="B918" s="506" t="n"/>
      <c r="C918" s="141" t="n"/>
      <c r="D918" s="141" t="n"/>
      <c r="E918" s="141" t="n"/>
      <c r="F918" s="141" t="n"/>
      <c r="G918" s="143" t="n"/>
      <c r="H918" s="27" t="n"/>
    </row>
    <row r="919" ht="17.25" customHeight="1" s="322">
      <c r="A919" s="27" t="n"/>
      <c r="B919" s="506" t="n"/>
      <c r="C919" s="141" t="n"/>
      <c r="D919" s="141" t="n"/>
      <c r="E919" s="141" t="n"/>
      <c r="F919" s="141" t="n"/>
      <c r="G919" s="143" t="n"/>
      <c r="H919" s="27" t="n"/>
    </row>
    <row r="920" ht="17.25" customHeight="1" s="322">
      <c r="A920" s="27" t="n"/>
      <c r="B920" s="506" t="n"/>
      <c r="C920" s="141" t="n"/>
      <c r="D920" s="141" t="n"/>
      <c r="E920" s="141" t="n"/>
      <c r="F920" s="141" t="n"/>
      <c r="G920" s="143" t="n"/>
      <c r="H920" s="27" t="n"/>
    </row>
    <row r="921" ht="17.25" customHeight="1" s="322">
      <c r="A921" s="27" t="n"/>
      <c r="B921" s="506" t="n"/>
      <c r="C921" s="141" t="n"/>
      <c r="D921" s="141" t="n"/>
      <c r="E921" s="141" t="n"/>
      <c r="F921" s="141" t="n"/>
      <c r="G921" s="143" t="n"/>
      <c r="H921" s="27" t="n"/>
    </row>
    <row r="922" ht="17.25" customHeight="1" s="322">
      <c r="A922" s="27" t="n"/>
      <c r="B922" s="506" t="n"/>
      <c r="C922" s="141" t="n"/>
      <c r="D922" s="141" t="n"/>
      <c r="E922" s="141" t="n"/>
      <c r="F922" s="141" t="n"/>
      <c r="G922" s="143" t="n"/>
      <c r="H922" s="27" t="n"/>
    </row>
    <row r="923" ht="17.25" customHeight="1" s="322">
      <c r="A923" s="27" t="n"/>
      <c r="B923" s="506" t="n"/>
      <c r="C923" s="141" t="n"/>
      <c r="D923" s="141" t="n"/>
      <c r="E923" s="141" t="n"/>
      <c r="F923" s="141" t="n"/>
      <c r="G923" s="143" t="n"/>
      <c r="H923" s="27" t="n"/>
    </row>
    <row r="924" ht="17.25" customHeight="1" s="322">
      <c r="A924" s="27" t="n"/>
      <c r="B924" s="506" t="n"/>
      <c r="C924" s="141" t="n"/>
      <c r="D924" s="141" t="n"/>
      <c r="E924" s="141" t="n"/>
      <c r="F924" s="141" t="n"/>
      <c r="G924" s="143" t="n"/>
      <c r="H924" s="27" t="n"/>
    </row>
    <row r="925" ht="17.25" customHeight="1" s="322">
      <c r="A925" s="27" t="n"/>
      <c r="B925" s="506" t="n"/>
      <c r="C925" s="141" t="n"/>
      <c r="D925" s="141" t="n"/>
      <c r="E925" s="141" t="n"/>
      <c r="F925" s="141" t="n"/>
      <c r="G925" s="143" t="n"/>
      <c r="H925" s="27" t="n"/>
    </row>
    <row r="926" ht="17.25" customHeight="1" s="322">
      <c r="A926" s="27" t="n"/>
      <c r="B926" s="506" t="n"/>
      <c r="C926" s="141" t="n"/>
      <c r="D926" s="141" t="n"/>
      <c r="E926" s="141" t="n"/>
      <c r="F926" s="141" t="n"/>
      <c r="G926" s="143" t="n"/>
      <c r="H926" s="27" t="n"/>
    </row>
    <row r="927" ht="17.25" customHeight="1" s="322">
      <c r="A927" s="27" t="n"/>
      <c r="B927" s="506" t="n"/>
      <c r="C927" s="141" t="n"/>
      <c r="D927" s="141" t="n"/>
      <c r="E927" s="141" t="n"/>
      <c r="F927" s="141" t="n"/>
      <c r="G927" s="143" t="n"/>
      <c r="H927" s="27" t="n"/>
    </row>
    <row r="928" ht="17.25" customHeight="1" s="322">
      <c r="A928" s="27" t="n"/>
      <c r="B928" s="506" t="n"/>
      <c r="C928" s="141" t="n"/>
      <c r="D928" s="141" t="n"/>
      <c r="E928" s="141" t="n"/>
      <c r="F928" s="141" t="n"/>
      <c r="G928" s="143" t="n"/>
      <c r="H928" s="27" t="n"/>
    </row>
    <row r="929" ht="17.25" customHeight="1" s="322">
      <c r="A929" s="27" t="n"/>
      <c r="B929" s="506" t="n"/>
      <c r="C929" s="141" t="n"/>
      <c r="D929" s="141" t="n"/>
      <c r="E929" s="141" t="n"/>
      <c r="F929" s="141" t="n"/>
      <c r="G929" s="143" t="n"/>
      <c r="H929" s="27" t="n"/>
    </row>
    <row r="930" ht="17.25" customHeight="1" s="322">
      <c r="A930" s="27" t="n"/>
      <c r="B930" s="506" t="n"/>
      <c r="C930" s="141" t="n"/>
      <c r="D930" s="141" t="n"/>
      <c r="E930" s="141" t="n"/>
      <c r="F930" s="141" t="n"/>
      <c r="G930" s="143" t="n"/>
      <c r="H930" s="27" t="n"/>
    </row>
    <row r="931" ht="17.25" customHeight="1" s="322">
      <c r="A931" s="27" t="n"/>
      <c r="B931" s="506" t="n"/>
      <c r="C931" s="141" t="n"/>
      <c r="D931" s="141" t="n"/>
      <c r="E931" s="141" t="n"/>
      <c r="F931" s="141" t="n"/>
      <c r="G931" s="143" t="n"/>
      <c r="H931" s="27" t="n"/>
    </row>
    <row r="932" ht="17.25" customHeight="1" s="322">
      <c r="A932" s="27" t="n"/>
      <c r="B932" s="506" t="n"/>
      <c r="C932" s="141" t="n"/>
      <c r="D932" s="141" t="n"/>
      <c r="E932" s="141" t="n"/>
      <c r="F932" s="141" t="n"/>
      <c r="G932" s="143" t="n"/>
      <c r="H932" s="27" t="n"/>
    </row>
    <row r="933" ht="17.25" customHeight="1" s="322">
      <c r="A933" s="27" t="n"/>
      <c r="B933" s="506" t="n"/>
      <c r="C933" s="141" t="n"/>
      <c r="D933" s="141" t="n"/>
      <c r="E933" s="141" t="n"/>
      <c r="F933" s="141" t="n"/>
      <c r="G933" s="143" t="n"/>
      <c r="H933" s="27" t="n"/>
    </row>
    <row r="934" ht="17.25" customHeight="1" s="322">
      <c r="A934" s="27" t="n"/>
      <c r="B934" s="506" t="n"/>
      <c r="C934" s="141" t="n"/>
      <c r="D934" s="141" t="n"/>
      <c r="E934" s="141" t="n"/>
      <c r="F934" s="141" t="n"/>
      <c r="G934" s="143" t="n"/>
      <c r="H934" s="27" t="n"/>
    </row>
    <row r="935" ht="17.25" customHeight="1" s="322">
      <c r="A935" s="27" t="n"/>
      <c r="B935" s="506" t="n"/>
      <c r="C935" s="141" t="n"/>
      <c r="D935" s="141" t="n"/>
      <c r="E935" s="141" t="n"/>
      <c r="F935" s="141" t="n"/>
      <c r="G935" s="143" t="n"/>
      <c r="H935" s="27" t="n"/>
    </row>
    <row r="936" ht="17.25" customHeight="1" s="322">
      <c r="A936" s="27" t="n"/>
      <c r="B936" s="506" t="n"/>
      <c r="C936" s="141" t="n"/>
      <c r="D936" s="141" t="n"/>
      <c r="E936" s="141" t="n"/>
      <c r="F936" s="141" t="n"/>
      <c r="G936" s="143" t="n"/>
      <c r="H936" s="27" t="n"/>
    </row>
    <row r="937" ht="17.25" customHeight="1" s="322">
      <c r="A937" s="27" t="n"/>
      <c r="B937" s="506" t="n"/>
      <c r="C937" s="141" t="n"/>
      <c r="D937" s="141" t="n"/>
      <c r="E937" s="141" t="n"/>
      <c r="F937" s="141" t="n"/>
      <c r="G937" s="143" t="n"/>
      <c r="H937" s="27" t="n"/>
    </row>
    <row r="938" ht="17.25" customHeight="1" s="322">
      <c r="A938" s="27" t="n"/>
      <c r="B938" s="506" t="n"/>
      <c r="C938" s="141" t="n"/>
      <c r="D938" s="141" t="n"/>
      <c r="E938" s="141" t="n"/>
      <c r="F938" s="141" t="n"/>
      <c r="G938" s="143" t="n"/>
      <c r="H938" s="27" t="n"/>
    </row>
    <row r="939" ht="17.25" customHeight="1" s="322">
      <c r="A939" s="27" t="n"/>
      <c r="B939" s="506" t="n"/>
      <c r="C939" s="141" t="n"/>
      <c r="D939" s="141" t="n"/>
      <c r="E939" s="141" t="n"/>
      <c r="F939" s="141" t="n"/>
      <c r="G939" s="143" t="n"/>
      <c r="H939" s="27" t="n"/>
    </row>
    <row r="940" ht="17.25" customHeight="1" s="322">
      <c r="A940" s="27" t="n"/>
      <c r="B940" s="506" t="n"/>
      <c r="C940" s="141" t="n"/>
      <c r="D940" s="141" t="n"/>
      <c r="E940" s="141" t="n"/>
      <c r="F940" s="141" t="n"/>
      <c r="G940" s="143" t="n"/>
      <c r="H940" s="27" t="n"/>
    </row>
    <row r="941" ht="17.25" customHeight="1" s="322">
      <c r="A941" s="27" t="n"/>
      <c r="B941" s="506" t="n"/>
      <c r="C941" s="141" t="n"/>
      <c r="D941" s="141" t="n"/>
      <c r="E941" s="141" t="n"/>
      <c r="F941" s="141" t="n"/>
      <c r="G941" s="143" t="n"/>
      <c r="H941" s="27" t="n"/>
    </row>
    <row r="942" ht="17.25" customHeight="1" s="322">
      <c r="A942" s="27" t="n"/>
      <c r="B942" s="506" t="n"/>
      <c r="C942" s="141" t="n"/>
      <c r="D942" s="141" t="n"/>
      <c r="E942" s="141" t="n"/>
      <c r="F942" s="141" t="n"/>
      <c r="G942" s="143" t="n"/>
      <c r="H942" s="27" t="n"/>
    </row>
    <row r="943" ht="17.25" customHeight="1" s="322">
      <c r="A943" s="27" t="n"/>
      <c r="B943" s="506" t="n"/>
      <c r="C943" s="141" t="n"/>
      <c r="D943" s="141" t="n"/>
      <c r="E943" s="141" t="n"/>
      <c r="F943" s="141" t="n"/>
      <c r="G943" s="143" t="n"/>
      <c r="H943" s="27" t="n"/>
    </row>
    <row r="944" ht="17.25" customHeight="1" s="322">
      <c r="A944" s="27" t="n"/>
      <c r="B944" s="506" t="n"/>
      <c r="C944" s="141" t="n"/>
      <c r="D944" s="141" t="n"/>
      <c r="E944" s="141" t="n"/>
      <c r="F944" s="141" t="n"/>
      <c r="G944" s="143" t="n"/>
      <c r="H944" s="27" t="n"/>
    </row>
    <row r="945" ht="17.25" customHeight="1" s="322">
      <c r="A945" s="27" t="n"/>
      <c r="B945" s="506" t="n"/>
      <c r="C945" s="141" t="n"/>
      <c r="D945" s="141" t="n"/>
      <c r="E945" s="141" t="n"/>
      <c r="F945" s="141" t="n"/>
      <c r="G945" s="143" t="n"/>
      <c r="H945" s="27" t="n"/>
    </row>
    <row r="946" ht="17.25" customHeight="1" s="322">
      <c r="A946" s="27" t="n"/>
      <c r="B946" s="506" t="n"/>
      <c r="C946" s="141" t="n"/>
      <c r="D946" s="141" t="n"/>
      <c r="E946" s="141" t="n"/>
      <c r="F946" s="141" t="n"/>
      <c r="G946" s="143" t="n"/>
      <c r="H946" s="27" t="n"/>
    </row>
    <row r="947" ht="17.25" customHeight="1" s="322">
      <c r="A947" s="27" t="n"/>
      <c r="B947" s="506" t="n"/>
      <c r="C947" s="141" t="n"/>
      <c r="D947" s="141" t="n"/>
      <c r="E947" s="141" t="n"/>
      <c r="F947" s="141" t="n"/>
      <c r="G947" s="143" t="n"/>
      <c r="H947" s="27" t="n"/>
    </row>
    <row r="948" ht="17.25" customHeight="1" s="322">
      <c r="A948" s="27" t="n"/>
      <c r="B948" s="506" t="n"/>
      <c r="C948" s="141" t="n"/>
      <c r="D948" s="141" t="n"/>
      <c r="E948" s="141" t="n"/>
      <c r="F948" s="141" t="n"/>
      <c r="G948" s="143" t="n"/>
      <c r="H948" s="27" t="n"/>
    </row>
    <row r="949" ht="17.25" customHeight="1" s="322">
      <c r="A949" s="27" t="n"/>
      <c r="B949" s="506" t="n"/>
      <c r="C949" s="141" t="n"/>
      <c r="D949" s="141" t="n"/>
      <c r="E949" s="141" t="n"/>
      <c r="F949" s="141" t="n"/>
      <c r="G949" s="143" t="n"/>
      <c r="H949" s="27" t="n"/>
    </row>
    <row r="950" ht="17.25" customHeight="1" s="322">
      <c r="A950" s="27" t="n"/>
      <c r="B950" s="506" t="n"/>
      <c r="C950" s="141" t="n"/>
      <c r="D950" s="141" t="n"/>
      <c r="E950" s="141" t="n"/>
      <c r="F950" s="141" t="n"/>
      <c r="G950" s="143" t="n"/>
      <c r="H950" s="27" t="n"/>
    </row>
    <row r="951" ht="17.25" customHeight="1" s="322">
      <c r="A951" s="27" t="n"/>
      <c r="B951" s="506" t="n"/>
      <c r="C951" s="141" t="n"/>
      <c r="D951" s="141" t="n"/>
      <c r="E951" s="141" t="n"/>
      <c r="F951" s="141" t="n"/>
      <c r="G951" s="143" t="n"/>
      <c r="H951" s="27" t="n"/>
    </row>
    <row r="952" ht="17.25" customHeight="1" s="322">
      <c r="A952" s="27" t="n"/>
      <c r="B952" s="506" t="n"/>
      <c r="C952" s="141" t="n"/>
      <c r="D952" s="141" t="n"/>
      <c r="E952" s="141" t="n"/>
      <c r="F952" s="141" t="n"/>
      <c r="G952" s="143" t="n"/>
      <c r="H952" s="27" t="n"/>
    </row>
    <row r="953" ht="17.25" customHeight="1" s="322">
      <c r="A953" s="27" t="n"/>
      <c r="B953" s="506" t="n"/>
      <c r="C953" s="141" t="n"/>
      <c r="D953" s="141" t="n"/>
      <c r="E953" s="141" t="n"/>
      <c r="F953" s="141" t="n"/>
      <c r="G953" s="143" t="n"/>
      <c r="H953" s="27" t="n"/>
    </row>
    <row r="954" ht="17.25" customHeight="1" s="322">
      <c r="A954" s="27" t="n"/>
      <c r="B954" s="506" t="n"/>
      <c r="C954" s="141" t="n"/>
      <c r="D954" s="141" t="n"/>
      <c r="E954" s="141" t="n"/>
      <c r="F954" s="141" t="n"/>
      <c r="G954" s="143" t="n"/>
      <c r="H954" s="27" t="n"/>
    </row>
    <row r="955" ht="17.25" customHeight="1" s="322">
      <c r="A955" s="27" t="n"/>
      <c r="B955" s="506" t="n"/>
      <c r="C955" s="141" t="n"/>
      <c r="D955" s="141" t="n"/>
      <c r="E955" s="141" t="n"/>
      <c r="F955" s="141" t="n"/>
      <c r="G955" s="143" t="n"/>
      <c r="H955" s="27" t="n"/>
    </row>
    <row r="956" ht="17.25" customHeight="1" s="322">
      <c r="A956" s="27" t="n"/>
      <c r="B956" s="506" t="n"/>
      <c r="C956" s="141" t="n"/>
      <c r="D956" s="141" t="n"/>
      <c r="E956" s="141" t="n"/>
      <c r="F956" s="141" t="n"/>
      <c r="G956" s="143" t="n"/>
      <c r="H956" s="27" t="n"/>
    </row>
    <row r="957" ht="17.25" customHeight="1" s="322">
      <c r="A957" s="27" t="n"/>
      <c r="B957" s="506" t="n"/>
      <c r="C957" s="141" t="n"/>
      <c r="D957" s="141" t="n"/>
      <c r="E957" s="141" t="n"/>
      <c r="F957" s="141" t="n"/>
      <c r="G957" s="143" t="n"/>
      <c r="H957" s="27" t="n"/>
    </row>
    <row r="958" ht="17.25" customHeight="1" s="322">
      <c r="A958" s="27" t="n"/>
      <c r="B958" s="506" t="n"/>
      <c r="C958" s="141" t="n"/>
      <c r="D958" s="141" t="n"/>
      <c r="E958" s="141" t="n"/>
      <c r="F958" s="141" t="n"/>
      <c r="G958" s="143" t="n"/>
      <c r="H958" s="27" t="n"/>
    </row>
    <row r="959" ht="17.25" customHeight="1" s="322">
      <c r="A959" s="27" t="n"/>
      <c r="B959" s="506" t="n"/>
      <c r="C959" s="141" t="n"/>
      <c r="D959" s="141" t="n"/>
      <c r="E959" s="141" t="n"/>
      <c r="F959" s="141" t="n"/>
      <c r="G959" s="143" t="n"/>
      <c r="H959" s="27" t="n"/>
    </row>
    <row r="960" ht="17.25" customHeight="1" s="322">
      <c r="A960" s="27" t="n"/>
      <c r="B960" s="506" t="n"/>
      <c r="C960" s="141" t="n"/>
      <c r="D960" s="141" t="n"/>
      <c r="E960" s="141" t="n"/>
      <c r="F960" s="141" t="n"/>
      <c r="G960" s="143" t="n"/>
      <c r="H960" s="27" t="n"/>
    </row>
    <row r="961" ht="17.25" customHeight="1" s="322">
      <c r="A961" s="27" t="n"/>
      <c r="B961" s="506" t="n"/>
      <c r="C961" s="141" t="n"/>
      <c r="D961" s="141" t="n"/>
      <c r="E961" s="141" t="n"/>
      <c r="F961" s="141" t="n"/>
      <c r="G961" s="143" t="n"/>
      <c r="H961" s="27" t="n"/>
    </row>
    <row r="962" ht="17.25" customHeight="1" s="322">
      <c r="A962" s="27" t="n"/>
      <c r="B962" s="506" t="n"/>
      <c r="C962" s="141" t="n"/>
      <c r="D962" s="141" t="n"/>
      <c r="E962" s="141" t="n"/>
      <c r="F962" s="141" t="n"/>
      <c r="G962" s="143" t="n"/>
      <c r="H962" s="27" t="n"/>
    </row>
    <row r="963" ht="17.25" customHeight="1" s="322">
      <c r="A963" s="27" t="n"/>
      <c r="B963" s="506" t="n"/>
      <c r="C963" s="141" t="n"/>
      <c r="D963" s="141" t="n"/>
      <c r="E963" s="141" t="n"/>
      <c r="F963" s="141" t="n"/>
      <c r="G963" s="143" t="n"/>
      <c r="H963" s="27" t="n"/>
    </row>
    <row r="964" ht="17.25" customHeight="1" s="322">
      <c r="A964" s="27" t="n"/>
      <c r="B964" s="506" t="n"/>
      <c r="C964" s="141" t="n"/>
      <c r="D964" s="141" t="n"/>
      <c r="E964" s="141" t="n"/>
      <c r="F964" s="141" t="n"/>
      <c r="G964" s="143" t="n"/>
      <c r="H964" s="27" t="n"/>
    </row>
    <row r="965" ht="17.25" customHeight="1" s="322">
      <c r="A965" s="27" t="n"/>
      <c r="B965" s="506" t="n"/>
      <c r="C965" s="141" t="n"/>
      <c r="D965" s="141" t="n"/>
      <c r="E965" s="141" t="n"/>
      <c r="F965" s="141" t="n"/>
      <c r="G965" s="143" t="n"/>
      <c r="H965" s="27" t="n"/>
    </row>
    <row r="966" ht="17.25" customHeight="1" s="322">
      <c r="A966" s="27" t="n"/>
      <c r="B966" s="506" t="n"/>
      <c r="C966" s="141" t="n"/>
      <c r="D966" s="141" t="n"/>
      <c r="E966" s="141" t="n"/>
      <c r="F966" s="141" t="n"/>
      <c r="G966" s="143" t="n"/>
      <c r="H966" s="27" t="n"/>
    </row>
    <row r="967" ht="17.25" customHeight="1" s="322">
      <c r="A967" s="27" t="n"/>
      <c r="B967" s="506" t="n"/>
      <c r="C967" s="141" t="n"/>
      <c r="D967" s="141" t="n"/>
      <c r="E967" s="141" t="n"/>
      <c r="F967" s="141" t="n"/>
      <c r="G967" s="143" t="n"/>
      <c r="H967" s="27" t="n"/>
    </row>
    <row r="968" ht="17.25" customHeight="1" s="322">
      <c r="A968" s="27" t="n"/>
      <c r="B968" s="506" t="n"/>
      <c r="C968" s="141" t="n"/>
      <c r="D968" s="141" t="n"/>
      <c r="E968" s="141" t="n"/>
      <c r="F968" s="141" t="n"/>
      <c r="G968" s="143" t="n"/>
      <c r="H968" s="27" t="n"/>
    </row>
    <row r="969" ht="17.25" customHeight="1" s="322">
      <c r="A969" s="27" t="n"/>
      <c r="B969" s="506" t="n"/>
      <c r="C969" s="141" t="n"/>
      <c r="D969" s="141" t="n"/>
      <c r="E969" s="141" t="n"/>
      <c r="F969" s="141" t="n"/>
      <c r="G969" s="143" t="n"/>
      <c r="H969" s="27" t="n"/>
    </row>
    <row r="970" ht="17.25" customHeight="1" s="322">
      <c r="A970" s="27" t="n"/>
      <c r="B970" s="506" t="n"/>
      <c r="C970" s="141" t="n"/>
      <c r="D970" s="141" t="n"/>
      <c r="E970" s="141" t="n"/>
      <c r="F970" s="141" t="n"/>
      <c r="G970" s="143" t="n"/>
      <c r="H970" s="27" t="n"/>
    </row>
    <row r="971" ht="17.25" customHeight="1" s="322">
      <c r="A971" s="27" t="n"/>
      <c r="B971" s="506" t="n"/>
      <c r="C971" s="141" t="n"/>
      <c r="D971" s="141" t="n"/>
      <c r="E971" s="141" t="n"/>
      <c r="F971" s="141" t="n"/>
      <c r="G971" s="143" t="n"/>
      <c r="H971" s="27" t="n"/>
    </row>
    <row r="972" ht="17.25" customHeight="1" s="322">
      <c r="A972" s="27" t="n"/>
      <c r="B972" s="506" t="n"/>
      <c r="C972" s="141" t="n"/>
      <c r="D972" s="141" t="n"/>
      <c r="E972" s="141" t="n"/>
      <c r="F972" s="141" t="n"/>
      <c r="G972" s="143" t="n"/>
      <c r="H972" s="27" t="n"/>
    </row>
    <row r="973" ht="17.25" customHeight="1" s="322">
      <c r="A973" s="27" t="n"/>
      <c r="B973" s="506" t="n"/>
      <c r="C973" s="141" t="n"/>
      <c r="D973" s="141" t="n"/>
      <c r="E973" s="141" t="n"/>
      <c r="F973" s="141" t="n"/>
      <c r="G973" s="143" t="n"/>
      <c r="H973" s="27" t="n"/>
    </row>
    <row r="974" ht="17.25" customHeight="1" s="322">
      <c r="A974" s="27" t="n"/>
      <c r="B974" s="506" t="n"/>
      <c r="C974" s="141" t="n"/>
      <c r="D974" s="141" t="n"/>
      <c r="E974" s="141" t="n"/>
      <c r="F974" s="141" t="n"/>
      <c r="G974" s="143" t="n"/>
      <c r="H974" s="27" t="n"/>
    </row>
    <row r="975" ht="17.25" customHeight="1" s="322">
      <c r="A975" s="27" t="n"/>
      <c r="B975" s="506" t="n"/>
      <c r="C975" s="141" t="n"/>
      <c r="D975" s="141" t="n"/>
      <c r="E975" s="141" t="n"/>
      <c r="F975" s="141" t="n"/>
      <c r="G975" s="143" t="n"/>
      <c r="H975" s="27" t="n"/>
    </row>
    <row r="976" ht="17.25" customHeight="1" s="322">
      <c r="A976" s="27" t="n"/>
      <c r="B976" s="506" t="n"/>
      <c r="C976" s="141" t="n"/>
      <c r="D976" s="141" t="n"/>
      <c r="E976" s="141" t="n"/>
      <c r="F976" s="141" t="n"/>
      <c r="G976" s="143" t="n"/>
      <c r="H976" s="27" t="n"/>
    </row>
    <row r="977" ht="17.25" customHeight="1" s="322">
      <c r="A977" s="27" t="n"/>
      <c r="B977" s="506" t="n"/>
      <c r="C977" s="141" t="n"/>
      <c r="D977" s="141" t="n"/>
      <c r="E977" s="141" t="n"/>
      <c r="F977" s="141" t="n"/>
      <c r="G977" s="143" t="n"/>
      <c r="H977" s="27" t="n"/>
    </row>
    <row r="978" ht="17.25" customHeight="1" s="322">
      <c r="A978" s="27" t="n"/>
      <c r="B978" s="506" t="n"/>
      <c r="C978" s="141" t="n"/>
      <c r="D978" s="141" t="n"/>
      <c r="E978" s="141" t="n"/>
      <c r="F978" s="141" t="n"/>
      <c r="G978" s="143" t="n"/>
      <c r="H978" s="27" t="n"/>
    </row>
    <row r="979" ht="17.25" customHeight="1" s="322">
      <c r="A979" s="27" t="n"/>
      <c r="B979" s="506" t="n"/>
      <c r="C979" s="141" t="n"/>
      <c r="D979" s="141" t="n"/>
      <c r="E979" s="141" t="n"/>
      <c r="F979" s="141" t="n"/>
      <c r="G979" s="143" t="n"/>
      <c r="H979" s="27" t="n"/>
    </row>
    <row r="980" ht="17.25" customHeight="1" s="322">
      <c r="A980" s="27" t="n"/>
      <c r="B980" s="506" t="n"/>
      <c r="C980" s="141" t="n"/>
      <c r="D980" s="141" t="n"/>
      <c r="E980" s="141" t="n"/>
      <c r="F980" s="141" t="n"/>
      <c r="G980" s="143" t="n"/>
      <c r="H980" s="27" t="n"/>
    </row>
    <row r="981" ht="17.25" customHeight="1" s="322">
      <c r="A981" s="27" t="n"/>
      <c r="B981" s="506" t="n"/>
      <c r="C981" s="141" t="n"/>
      <c r="D981" s="141" t="n"/>
      <c r="E981" s="141" t="n"/>
      <c r="F981" s="141" t="n"/>
      <c r="G981" s="143" t="n"/>
      <c r="H981" s="27" t="n"/>
    </row>
    <row r="982" ht="17.25" customHeight="1" s="322">
      <c r="A982" s="27" t="n"/>
      <c r="B982" s="506" t="n"/>
      <c r="C982" s="141" t="n"/>
      <c r="D982" s="141" t="n"/>
      <c r="E982" s="141" t="n"/>
      <c r="F982" s="141" t="n"/>
      <c r="G982" s="143" t="n"/>
      <c r="H982" s="27" t="n"/>
    </row>
    <row r="983" ht="17.25" customHeight="1" s="322">
      <c r="A983" s="27" t="n"/>
      <c r="B983" s="506" t="n"/>
      <c r="C983" s="141" t="n"/>
      <c r="D983" s="141" t="n"/>
      <c r="E983" s="141" t="n"/>
      <c r="F983" s="141" t="n"/>
      <c r="G983" s="143" t="n"/>
      <c r="H983" s="27" t="n"/>
    </row>
    <row r="984" ht="17.25" customHeight="1" s="322">
      <c r="A984" s="27" t="n"/>
      <c r="B984" s="506" t="n"/>
      <c r="C984" s="141" t="n"/>
      <c r="D984" s="141" t="n"/>
      <c r="E984" s="141" t="n"/>
      <c r="F984" s="141" t="n"/>
      <c r="G984" s="143" t="n"/>
      <c r="H984" s="27" t="n"/>
    </row>
    <row r="985" ht="17.25" customHeight="1" s="322">
      <c r="A985" s="27" t="n"/>
      <c r="B985" s="506" t="n"/>
      <c r="C985" s="141" t="n"/>
      <c r="D985" s="141" t="n"/>
      <c r="E985" s="141" t="n"/>
      <c r="F985" s="141" t="n"/>
      <c r="G985" s="143" t="n"/>
      <c r="H985" s="27" t="n"/>
    </row>
    <row r="986" ht="17.25" customHeight="1" s="322">
      <c r="A986" s="27" t="n"/>
      <c r="B986" s="506" t="n"/>
      <c r="C986" s="141" t="n"/>
      <c r="D986" s="141" t="n"/>
      <c r="E986" s="141" t="n"/>
      <c r="F986" s="141" t="n"/>
      <c r="G986" s="143" t="n"/>
      <c r="H986" s="27" t="n"/>
    </row>
    <row r="987" ht="17.25" customHeight="1" s="322">
      <c r="A987" s="27" t="n"/>
      <c r="B987" s="506" t="n"/>
      <c r="C987" s="141" t="n"/>
      <c r="D987" s="141" t="n"/>
      <c r="E987" s="141" t="n"/>
      <c r="F987" s="141" t="n"/>
      <c r="G987" s="143" t="n"/>
      <c r="H987" s="27" t="n"/>
    </row>
    <row r="988" ht="17.25" customHeight="1" s="322">
      <c r="A988" s="27" t="n"/>
      <c r="B988" s="506" t="n"/>
      <c r="C988" s="141" t="n"/>
      <c r="D988" s="141" t="n"/>
      <c r="E988" s="141" t="n"/>
      <c r="F988" s="141" t="n"/>
      <c r="G988" s="143" t="n"/>
      <c r="H988" s="27" t="n"/>
    </row>
    <row r="989" ht="17.25" customHeight="1" s="322">
      <c r="A989" s="27" t="n"/>
      <c r="B989" s="506" t="n"/>
      <c r="C989" s="141" t="n"/>
      <c r="D989" s="141" t="n"/>
      <c r="E989" s="141" t="n"/>
      <c r="F989" s="141" t="n"/>
      <c r="G989" s="143" t="n"/>
      <c r="H989" s="27" t="n"/>
    </row>
    <row r="990" ht="17.25" customHeight="1" s="322">
      <c r="A990" s="27" t="n"/>
      <c r="B990" s="506" t="n"/>
      <c r="C990" s="141" t="n"/>
      <c r="D990" s="141" t="n"/>
      <c r="E990" s="141" t="n"/>
      <c r="F990" s="141" t="n"/>
      <c r="G990" s="143" t="n"/>
      <c r="H990" s="27" t="n"/>
    </row>
    <row r="991" ht="17.25" customHeight="1" s="322">
      <c r="A991" s="27" t="n"/>
      <c r="B991" s="506" t="n"/>
      <c r="C991" s="141" t="n"/>
      <c r="D991" s="141" t="n"/>
      <c r="E991" s="141" t="n"/>
      <c r="F991" s="141" t="n"/>
      <c r="G991" s="143" t="n"/>
      <c r="H991" s="27" t="n"/>
    </row>
    <row r="992" ht="17.25" customHeight="1" s="322">
      <c r="A992" s="27" t="n"/>
      <c r="B992" s="506" t="n"/>
      <c r="C992" s="141" t="n"/>
      <c r="D992" s="141" t="n"/>
      <c r="E992" s="141" t="n"/>
      <c r="F992" s="141" t="n"/>
      <c r="G992" s="143" t="n"/>
      <c r="H992" s="27" t="n"/>
    </row>
    <row r="993" ht="17.25" customHeight="1" s="322">
      <c r="A993" s="27" t="n"/>
      <c r="B993" s="506" t="n"/>
      <c r="C993" s="141" t="n"/>
      <c r="D993" s="141" t="n"/>
      <c r="E993" s="141" t="n"/>
      <c r="F993" s="141" t="n"/>
      <c r="G993" s="143" t="n"/>
      <c r="H993" s="27" t="n"/>
    </row>
    <row r="994" ht="17.25" customHeight="1" s="322">
      <c r="A994" s="27" t="n"/>
      <c r="B994" s="506" t="n"/>
      <c r="C994" s="141" t="n"/>
      <c r="D994" s="141" t="n"/>
      <c r="E994" s="141" t="n"/>
      <c r="F994" s="141" t="n"/>
      <c r="G994" s="143" t="n"/>
      <c r="H994" s="27" t="n"/>
    </row>
    <row r="995" ht="17.25" customHeight="1" s="322">
      <c r="A995" s="27" t="n"/>
      <c r="B995" s="506" t="n"/>
      <c r="C995" s="141" t="n"/>
      <c r="D995" s="141" t="n"/>
      <c r="E995" s="141" t="n"/>
      <c r="F995" s="141" t="n"/>
      <c r="G995" s="143" t="n"/>
      <c r="H995" s="27" t="n"/>
    </row>
    <row r="996" ht="17.25" customHeight="1" s="322">
      <c r="A996" s="27" t="n"/>
      <c r="B996" s="506" t="n"/>
      <c r="C996" s="141" t="n"/>
      <c r="D996" s="141" t="n"/>
      <c r="E996" s="141" t="n"/>
      <c r="F996" s="141" t="n"/>
      <c r="G996" s="143" t="n"/>
      <c r="H996" s="27" t="n"/>
    </row>
    <row r="997" ht="17.25" customHeight="1" s="322">
      <c r="A997" s="27" t="n"/>
      <c r="B997" s="506" t="n"/>
      <c r="C997" s="141" t="n"/>
      <c r="D997" s="141" t="n"/>
      <c r="E997" s="141" t="n"/>
      <c r="F997" s="141" t="n"/>
      <c r="G997" s="143" t="n"/>
      <c r="H997" s="27" t="n"/>
    </row>
    <row r="998" ht="17.25" customHeight="1" s="322">
      <c r="A998" s="27" t="n"/>
      <c r="B998" s="506" t="n"/>
      <c r="C998" s="141" t="n"/>
      <c r="D998" s="141" t="n"/>
      <c r="E998" s="141" t="n"/>
      <c r="F998" s="141" t="n"/>
      <c r="G998" s="143" t="n"/>
      <c r="H998" s="27" t="n"/>
    </row>
    <row r="999" ht="17.25" customHeight="1" s="322">
      <c r="A999" s="27" t="n"/>
      <c r="B999" s="506" t="n"/>
      <c r="C999" s="141" t="n"/>
      <c r="D999" s="141" t="n"/>
      <c r="E999" s="141" t="n"/>
      <c r="F999" s="141" t="n"/>
      <c r="G999" s="143" t="n"/>
      <c r="H999" s="27" t="n"/>
    </row>
    <row r="1000" ht="17.25" customHeight="1" s="322">
      <c r="A1000" s="27" t="n"/>
      <c r="B1000" s="506" t="n"/>
      <c r="C1000" s="141" t="n"/>
      <c r="D1000" s="141" t="n"/>
      <c r="E1000" s="141" t="n"/>
      <c r="F1000" s="141" t="n"/>
      <c r="G1000" s="143" t="n"/>
      <c r="H1000" s="27" t="n"/>
    </row>
  </sheetData>
  <mergeCells count="3">
    <mergeCell ref="B1:F2"/>
    <mergeCell ref="B7:G7"/>
    <mergeCell ref="B10:C10"/>
  </mergeCells>
  <conditionalFormatting sqref="D10:E10">
    <cfRule type="cellIs" priority="5" operator="lessThan" dxfId="5">
      <formula>0</formula>
    </cfRule>
    <cfRule type="cellIs" priority="6" operator="greaterThan" dxfId="4">
      <formula>0</formula>
    </cfRule>
  </conditionalFormatting>
  <conditionalFormatting sqref="F28:F1000">
    <cfRule type="expression" priority="1" dxfId="3">
      <formula>AND(F28=MAX(F$28:F$1000),F28&gt;0)</formula>
    </cfRule>
    <cfRule type="expression" priority="2" dxfId="2">
      <formula>AND(F28=MIN(F$28:F$1000),F28&gt;0)</formula>
    </cfRule>
  </conditionalFormatting>
  <conditionalFormatting sqref="F29:F1000">
    <cfRule type="expression" priority="3" dxfId="1">
      <formula>F29&gt;F27</formula>
    </cfRule>
    <cfRule type="expression" priority="4" dxfId="0">
      <formula>F29&lt;F27</formula>
    </cfRule>
  </conditionalFormatting>
  <conditionalFormatting sqref="G15">
    <cfRule type="colorScale" priority="7">
      <colorScale>
        <cfvo type="min"/>
        <cfvo type="max"/>
        <color rgb="FF57BB8A"/>
        <color rgb="FFFFFFFF"/>
      </colorScale>
    </cfRule>
  </conditionalFormatting>
  <dataValidations count="1">
    <dataValidation sqref="G15" showDropDown="0" showInputMessage="1" showErrorMessage="1" allowBlank="1" prompt="Click and enter a value from the list of items" type="list">
      <formula1>"1 Month,3 Months,6 Months,12 Months,36 Months"</formula1>
    </dataValidation>
  </dataValidations>
  <hyperlinks>
    <hyperlink xmlns:r="http://schemas.openxmlformats.org/officeDocument/2006/relationships" ref="B1" r:id="rId1"/>
    <hyperlink xmlns:r="http://schemas.openxmlformats.org/officeDocument/2006/relationships" ref="G2" r:id="rId2"/>
  </hyperlinks>
  <pageMargins left="0.7" right="0.7" top="0.75" bottom="0.75" header="0.3" footer="0.3"/>
  <drawing xmlns:r="http://schemas.openxmlformats.org/officeDocument/2006/relationships" r:id="rId3"/>
</worksheet>
</file>

<file path=xl/worksheets/sheet27.xml><?xml version="1.0" encoding="utf-8"?>
<worksheet xmlns="http://schemas.openxmlformats.org/spreadsheetml/2006/main">
  <sheetPr>
    <outlinePr summaryBelow="0" summaryRight="0"/>
    <pageSetUpPr/>
  </sheetPr>
  <dimension ref="A1:H1000"/>
  <sheetViews>
    <sheetView showGridLines="0" workbookViewId="0">
      <selection activeCell="A1" sqref="A1"/>
    </sheetView>
  </sheetViews>
  <sheetFormatPr baseColWidth="8" defaultColWidth="12.5703125" defaultRowHeight="15.75" customHeight="1"/>
  <cols>
    <col width="5.42578125" customWidth="1" style="322" min="1" max="1"/>
    <col width="15.7109375" customWidth="1" style="322" min="2" max="2"/>
    <col width="5.42578125" customWidth="1" style="322" min="8" max="8"/>
  </cols>
  <sheetData>
    <row r="1" ht="22.5" customHeight="1" s="322">
      <c r="A1" s="69" t="n"/>
      <c r="B1" s="455" t="inlineStr">
        <is>
          <t>← 관심종목으로 돌아가기</t>
        </is>
      </c>
      <c r="G1" s="72" t="inlineStr">
        <is>
          <t>제공:</t>
        </is>
      </c>
      <c r="H1" s="69" t="n"/>
    </row>
    <row r="2" ht="22.5" customHeight="1" s="322">
      <c r="A2" s="69" t="n"/>
      <c r="G2" s="77" t="inlineStr">
        <is>
          <t>Google Finance</t>
        </is>
      </c>
      <c r="H2" s="69" t="n"/>
    </row>
    <row r="3" ht="11.25" customHeight="1" s="322">
      <c r="A3" s="1" t="n"/>
      <c r="B3" s="1" t="n"/>
      <c r="C3" s="1" t="n"/>
      <c r="D3" s="1" t="n"/>
      <c r="E3" s="1" t="n"/>
      <c r="F3" s="1" t="n"/>
      <c r="G3" s="1" t="n"/>
      <c r="H3" s="1" t="n"/>
    </row>
    <row r="4" ht="15.75" customHeight="1" s="322">
      <c r="A4" s="1" t="n"/>
      <c r="B4" s="80" t="inlineStr">
        <is>
          <t>GLD</t>
        </is>
      </c>
      <c r="C4" s="81" t="inlineStr">
        <is>
          <t>&lt;&lt; 종목코드 입력</t>
        </is>
      </c>
      <c r="D4" s="1" t="n"/>
      <c r="E4" s="1" t="n"/>
      <c r="F4" s="1" t="n"/>
      <c r="G4" s="1" t="n"/>
      <c r="H4" s="1" t="n"/>
    </row>
    <row r="5" ht="15.75" customHeight="1" s="322">
      <c r="A5" s="1" t="n"/>
      <c r="B5" s="82" t="n"/>
      <c r="C5" s="81" t="inlineStr">
        <is>
          <t>&lt;&lt; 필요한 경우 거래소 입력(예: NASDAQ, NYSE)</t>
        </is>
      </c>
      <c r="D5" s="85" t="n"/>
      <c r="E5" s="1" t="n"/>
      <c r="F5" s="1" t="n"/>
      <c r="G5" s="1" t="n"/>
      <c r="H5" s="1" t="n"/>
    </row>
    <row r="6" ht="11.25" customHeight="1" s="322">
      <c r="A6" s="27" t="n"/>
      <c r="B6" s="27" t="n"/>
      <c r="C6" s="27" t="n"/>
      <c r="D6" s="27" t="n"/>
      <c r="E6" s="27" t="n"/>
      <c r="F6" s="27" t="n"/>
      <c r="G6" s="27" t="n"/>
      <c r="H6" s="27" t="n"/>
    </row>
    <row r="7" ht="20.25" customHeight="1" s="322">
      <c r="A7" s="12" t="n"/>
      <c r="B7" s="501">
        <f>IFERROR(__xludf.DUMMYFUNCTION("GOOGLEFINANCE(B18,""name"")"),"SPDR Gold Trust")</f>
        <v/>
      </c>
      <c r="H7" s="12" t="n"/>
    </row>
    <row r="8" ht="11.25" customHeight="1" s="322">
      <c r="A8" s="12" t="n"/>
      <c r="B8" s="12" t="n"/>
      <c r="C8" s="12" t="n"/>
      <c r="D8" s="12" t="n"/>
      <c r="E8" s="12" t="n"/>
      <c r="F8" s="12" t="n"/>
      <c r="G8" s="12" t="n"/>
      <c r="H8" s="12" t="n"/>
    </row>
    <row r="9" ht="12" customHeight="1" s="322">
      <c r="A9" s="1" t="n"/>
      <c r="B9" s="90" t="inlineStr">
        <is>
          <t>현재가</t>
        </is>
      </c>
      <c r="C9" s="1" t="n"/>
      <c r="D9" s="90" t="inlineStr">
        <is>
          <t>전일대비</t>
        </is>
      </c>
      <c r="E9" s="90" t="inlineStr">
        <is>
          <t>등락률(%)</t>
        </is>
      </c>
      <c r="F9" s="1" t="n"/>
      <c r="G9" s="1" t="n"/>
      <c r="H9" s="1" t="n"/>
    </row>
    <row r="10" ht="31.5" customHeight="1" s="322">
      <c r="A10" s="12" t="n"/>
      <c r="B10" s="502">
        <f>IFERROR(__xludf.DUMMYFUNCTION("GOOGLEFINANCE(B18,""price"")"),371.08)</f>
        <v/>
      </c>
      <c r="D10" s="503">
        <f>IFERROR(__xludf.DUMMYFUNCTION("IFERROR(GOOGLEFINANCE(B18,""change""),""-"")"),1.71)</f>
        <v/>
      </c>
      <c r="E10" s="504">
        <f>IFERROR(__xludf.DUMMYFUNCTION("IFERROR(GOOGLEFINANCE(B18,""changepct"")/100,""-"")"),0.0046)</f>
        <v/>
      </c>
      <c r="F10" s="12" t="n"/>
      <c r="G10" s="12" t="n"/>
      <c r="H10" s="12" t="n"/>
    </row>
    <row r="11" ht="11.25" customHeight="1" s="322">
      <c r="A11" s="12" t="n"/>
      <c r="B11" s="106" t="n"/>
      <c r="C11" s="106" t="n"/>
      <c r="D11" s="106" t="n"/>
      <c r="E11" s="106" t="n"/>
      <c r="F11" s="106" t="n"/>
      <c r="G11" s="106" t="n"/>
      <c r="H11" s="12" t="n"/>
    </row>
    <row r="12" ht="11.25" customHeight="1" s="322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 ht="12" customHeight="1" s="322">
      <c r="A13" s="1" t="n"/>
      <c r="B13" s="90" t="inlineStr">
        <is>
          <t>시가총액</t>
        </is>
      </c>
      <c r="C13" s="90" t="inlineStr">
        <is>
          <t>PER</t>
        </is>
      </c>
      <c r="D13" s="90" t="inlineStr">
        <is>
          <t>베타계수</t>
        </is>
      </c>
      <c r="E13" s="1" t="n"/>
      <c r="F13" s="1" t="n"/>
      <c r="G13" s="1" t="n"/>
      <c r="H13" s="1" t="n"/>
    </row>
    <row r="14">
      <c r="A14" s="113" t="n"/>
      <c r="B14" s="505">
        <f>IFERROR(__xludf.DUMMYFUNCTION("IFERROR(GOOGLEFINANCE(B18,""marketcap""),""-"")"),211525034529)</f>
        <v/>
      </c>
      <c r="C14" s="115">
        <f>IFERROR(__xludf.DUMMYFUNCTION("IFERROR(GOOGLEFINANCE(B18,""pe""),""-"")"),2.75)</f>
        <v/>
      </c>
      <c r="D14" s="115">
        <f>IFERROR(__xludf.DUMMYFUNCTION("IFERROR(GOOGLEFINANCE(B18,""beta""),""-"")"),"-")</f>
        <v/>
      </c>
      <c r="E14" s="113" t="n"/>
      <c r="F14" s="113" t="n"/>
      <c r="G14" s="113" t="n"/>
      <c r="H14" s="113" t="n"/>
    </row>
    <row r="15" ht="15.75" customHeight="1" s="322">
      <c r="A15" s="12" t="n"/>
      <c r="B15" s="12" t="n"/>
      <c r="C15" s="12" t="n"/>
      <c r="D15" s="12" t="n"/>
      <c r="E15" s="12" t="n"/>
      <c r="F15" s="12" t="n"/>
      <c r="G15" s="123" t="inlineStr">
        <is>
          <t>12 Months</t>
        </is>
      </c>
      <c r="H15" s="12" t="n"/>
    </row>
    <row r="16" ht="15.75" customHeight="1" s="322">
      <c r="A16" s="12" t="n"/>
      <c r="B16" s="12" t="n"/>
      <c r="C16" s="12" t="n"/>
      <c r="D16" s="12" t="n"/>
      <c r="E16" s="12" t="n"/>
      <c r="F16" s="12" t="n"/>
      <c r="G16" s="12" t="n"/>
      <c r="H16" s="12" t="n"/>
    </row>
    <row r="17" ht="15.75" customHeight="1" s="322">
      <c r="A17" s="12" t="n"/>
      <c r="B17" s="12" t="n"/>
      <c r="C17" s="12" t="n"/>
      <c r="D17" s="12" t="n"/>
      <c r="E17" s="12" t="n"/>
      <c r="F17" s="12" t="n"/>
      <c r="G17" s="12" t="n"/>
      <c r="H17" s="12" t="n"/>
    </row>
    <row r="18" ht="15.75" customHeight="1" s="322">
      <c r="A18" s="12" t="n"/>
      <c r="B18" s="127">
        <f>IF(ISBLANK(B5),"",B5&amp;":")&amp;B4</f>
        <v/>
      </c>
      <c r="C18" s="12" t="n"/>
      <c r="D18" s="12" t="n"/>
      <c r="E18" s="12" t="n"/>
      <c r="F18" s="12" t="n"/>
      <c r="G18" s="12" t="n"/>
      <c r="H18" s="12" t="n"/>
    </row>
    <row r="19" ht="15.75" customHeight="1" s="322">
      <c r="A19" s="12" t="n"/>
      <c r="B19" s="12" t="n"/>
      <c r="C19" s="12" t="n"/>
      <c r="D19" s="12" t="n"/>
      <c r="E19" s="12" t="n"/>
      <c r="F19" s="12" t="n"/>
      <c r="G19" s="12" t="n"/>
      <c r="H19" s="12" t="n"/>
    </row>
    <row r="20" ht="15.75" customHeight="1" s="322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1" ht="15.75" customHeight="1" s="322">
      <c r="A21" s="12" t="n"/>
      <c r="B21" s="12" t="n"/>
      <c r="C21" s="12" t="n"/>
      <c r="D21" s="12" t="n"/>
      <c r="E21" s="12" t="n"/>
      <c r="F21" s="12" t="n"/>
      <c r="G21" s="12" t="n"/>
      <c r="H21" s="12" t="n"/>
    </row>
    <row r="22" ht="15.75" customHeight="1" s="322">
      <c r="A22" s="12" t="n"/>
      <c r="B22" s="12" t="n"/>
      <c r="C22" s="12" t="n"/>
      <c r="D22" s="12" t="n"/>
      <c r="E22" s="12" t="n"/>
      <c r="F22" s="12" t="n"/>
      <c r="G22" s="12" t="n"/>
      <c r="H22" s="12" t="n"/>
    </row>
    <row r="23" ht="15.75" customHeight="1" s="322">
      <c r="A23" s="12" t="n"/>
      <c r="B23" s="12" t="n"/>
      <c r="C23" s="12" t="n"/>
      <c r="D23" s="12" t="n"/>
      <c r="E23" s="12" t="n"/>
      <c r="F23" s="12" t="n"/>
      <c r="G23" s="12" t="n"/>
      <c r="H23" s="12" t="n"/>
    </row>
    <row r="24" ht="15.75" customHeight="1" s="322">
      <c r="A24" s="12" t="n"/>
      <c r="B24" s="12" t="n"/>
      <c r="C24" s="12" t="n"/>
      <c r="D24" s="12" t="n"/>
      <c r="E24" s="12" t="n"/>
      <c r="F24" s="12" t="n"/>
      <c r="G24" s="12" t="n"/>
      <c r="H24" s="12" t="n"/>
    </row>
    <row r="25" ht="15.75" customHeight="1" s="322">
      <c r="A25" s="12" t="n"/>
      <c r="B25" s="12" t="n"/>
      <c r="C25" s="12" t="n"/>
      <c r="D25" s="12" t="n"/>
      <c r="E25" s="12" t="n"/>
      <c r="F25" s="12" t="n"/>
      <c r="G25" s="12" t="n"/>
      <c r="H25" s="12" t="n"/>
    </row>
    <row r="26" ht="15.75" customHeight="1" s="322">
      <c r="A26" s="12" t="n"/>
      <c r="B26" s="12" t="n"/>
      <c r="C26" s="12" t="n"/>
      <c r="D26" s="12" t="n"/>
      <c r="E26" s="12" t="n"/>
      <c r="F26" s="12" t="n"/>
      <c r="G26" s="12" t="n"/>
      <c r="H26" s="12" t="n"/>
    </row>
    <row r="27" ht="15.75" customHeight="1" s="322">
      <c r="A27" s="133" t="n"/>
      <c r="B27" s="136">
        <f>IFERROR(__xludf.DUMMYFUNCTION("GOOGLEFINANCE(B18, ""all"", EDATE(TODAY(), -LEFT(G15, FIND("" "", G15))), TODAY(), ""DAILY"")"),"Date")</f>
        <v/>
      </c>
      <c r="C27" s="137">
        <f>IFERROR(__xludf.DUMMYFUNCTION("""COMPUTED_VALUE"""),"Open")</f>
        <v/>
      </c>
      <c r="D27" s="137">
        <f>IFERROR(__xludf.DUMMYFUNCTION("""COMPUTED_VALUE"""),"High")</f>
        <v/>
      </c>
      <c r="E27" s="137">
        <f>IFERROR(__xludf.DUMMYFUNCTION("""COMPUTED_VALUE"""),"Low")</f>
        <v/>
      </c>
      <c r="F27" s="137">
        <f>IFERROR(__xludf.DUMMYFUNCTION("""COMPUTED_VALUE"""),"Close")</f>
        <v/>
      </c>
      <c r="G27" s="137">
        <f>IFERROR(__xludf.DUMMYFUNCTION("""COMPUTED_VALUE"""),"Volume")</f>
        <v/>
      </c>
      <c r="H27" s="133" t="n"/>
    </row>
    <row r="28" ht="17.25" customHeight="1" s="322">
      <c r="A28" s="27" t="n"/>
      <c r="B28" s="506">
        <f>IFERROR(__xludf.DUMMYFUNCTION("""COMPUTED_VALUE"""),45868.6666666666)</f>
        <v/>
      </c>
      <c r="C28" s="141">
        <f>IFERROR(__xludf.DUMMYFUNCTION("""COMPUTED_VALUE"""),304.42)</f>
        <v/>
      </c>
      <c r="D28" s="141">
        <f>IFERROR(__xludf.DUMMYFUNCTION("""COMPUTED_VALUE"""),304.65)</f>
        <v/>
      </c>
      <c r="E28" s="141">
        <f>IFERROR(__xludf.DUMMYFUNCTION("""COMPUTED_VALUE"""),300.96)</f>
        <v/>
      </c>
      <c r="F28" s="141">
        <f>IFERROR(__xludf.DUMMYFUNCTION("""COMPUTED_VALUE"""),300.96)</f>
        <v/>
      </c>
      <c r="G28" s="143">
        <f>IFERROR(__xludf.DUMMYFUNCTION("""COMPUTED_VALUE"""),13459595)</f>
        <v/>
      </c>
      <c r="H28" s="27" t="n"/>
    </row>
    <row r="29" ht="17.25" customHeight="1" s="322">
      <c r="A29" s="27" t="n"/>
      <c r="B29" s="506">
        <f>IFERROR(__xludf.DUMMYFUNCTION("""COMPUTED_VALUE"""),45869.6666666666)</f>
        <v/>
      </c>
      <c r="C29" s="141">
        <f>IFERROR(__xludf.DUMMYFUNCTION("""COMPUTED_VALUE"""),304.59)</f>
        <v/>
      </c>
      <c r="D29" s="141">
        <f>IFERROR(__xludf.DUMMYFUNCTION("""COMPUTED_VALUE"""),304.61)</f>
        <v/>
      </c>
      <c r="E29" s="141">
        <f>IFERROR(__xludf.DUMMYFUNCTION("""COMPUTED_VALUE"""),302.86)</f>
        <v/>
      </c>
      <c r="F29" s="141">
        <f>IFERROR(__xludf.DUMMYFUNCTION("""COMPUTED_VALUE"""),302.96)</f>
        <v/>
      </c>
      <c r="G29" s="143">
        <f>IFERROR(__xludf.DUMMYFUNCTION("""COMPUTED_VALUE"""),8980956)</f>
        <v/>
      </c>
      <c r="H29" s="27" t="n"/>
    </row>
    <row r="30" ht="17.25" customHeight="1" s="322">
      <c r="A30" s="27" t="n"/>
      <c r="B30" s="506">
        <f>IFERROR(__xludf.DUMMYFUNCTION("""COMPUTED_VALUE"""),45870.6666666666)</f>
        <v/>
      </c>
      <c r="C30" s="141">
        <f>IFERROR(__xludf.DUMMYFUNCTION("""COMPUTED_VALUE"""),308.61)</f>
        <v/>
      </c>
      <c r="D30" s="141">
        <f>IFERROR(__xludf.DUMMYFUNCTION("""COMPUTED_VALUE"""),309.55)</f>
        <v/>
      </c>
      <c r="E30" s="141">
        <f>IFERROR(__xludf.DUMMYFUNCTION("""COMPUTED_VALUE"""),307.45)</f>
        <v/>
      </c>
      <c r="F30" s="141">
        <f>IFERROR(__xludf.DUMMYFUNCTION("""COMPUTED_VALUE"""),309.11)</f>
        <v/>
      </c>
      <c r="G30" s="143">
        <f>IFERROR(__xludf.DUMMYFUNCTION("""COMPUTED_VALUE"""),12843364)</f>
        <v/>
      </c>
      <c r="H30" s="27" t="n"/>
    </row>
    <row r="31" ht="17.25" customHeight="1" s="322">
      <c r="A31" s="27" t="n"/>
      <c r="B31" s="506">
        <f>IFERROR(__xludf.DUMMYFUNCTION("""COMPUTED_VALUE"""),45873.6666666666)</f>
        <v/>
      </c>
      <c r="C31" s="141">
        <f>IFERROR(__xludf.DUMMYFUNCTION("""COMPUTED_VALUE"""),310.8)</f>
        <v/>
      </c>
      <c r="D31" s="141">
        <f>IFERROR(__xludf.DUMMYFUNCTION("""COMPUTED_VALUE"""),311.74)</f>
        <v/>
      </c>
      <c r="E31" s="141">
        <f>IFERROR(__xludf.DUMMYFUNCTION("""COMPUTED_VALUE"""),310.37)</f>
        <v/>
      </c>
      <c r="F31" s="141">
        <f>IFERROR(__xludf.DUMMYFUNCTION("""COMPUTED_VALUE"""),310.91)</f>
        <v/>
      </c>
      <c r="G31" s="143">
        <f>IFERROR(__xludf.DUMMYFUNCTION("""COMPUTED_VALUE"""),7639030)</f>
        <v/>
      </c>
      <c r="H31" s="27" t="n"/>
    </row>
    <row r="32" ht="17.25" customHeight="1" s="322">
      <c r="A32" s="27" t="n"/>
      <c r="B32" s="506">
        <f>IFERROR(__xludf.DUMMYFUNCTION("""COMPUTED_VALUE"""),45874.6666666666)</f>
        <v/>
      </c>
      <c r="C32" s="141">
        <f>IFERROR(__xludf.DUMMYFUNCTION("""COMPUTED_VALUE"""),310.37)</f>
        <v/>
      </c>
      <c r="D32" s="141">
        <f>IFERROR(__xludf.DUMMYFUNCTION("""COMPUTED_VALUE"""),312.24)</f>
        <v/>
      </c>
      <c r="E32" s="141">
        <f>IFERROR(__xludf.DUMMYFUNCTION("""COMPUTED_VALUE"""),310.22)</f>
        <v/>
      </c>
      <c r="F32" s="141">
        <f>IFERROR(__xludf.DUMMYFUNCTION("""COMPUTED_VALUE"""),311.16)</f>
        <v/>
      </c>
      <c r="G32" s="143">
        <f>IFERROR(__xludf.DUMMYFUNCTION("""COMPUTED_VALUE"""),6997693)</f>
        <v/>
      </c>
      <c r="H32" s="27" t="n"/>
    </row>
    <row r="33" ht="17.25" customHeight="1" s="322">
      <c r="A33" s="27" t="n"/>
      <c r="B33" s="506">
        <f>IFERROR(__xludf.DUMMYFUNCTION("""COMPUTED_VALUE"""),45875.6666666666)</f>
        <v/>
      </c>
      <c r="C33" s="141">
        <f>IFERROR(__xludf.DUMMYFUNCTION("""COMPUTED_VALUE"""),310.32)</f>
        <v/>
      </c>
      <c r="D33" s="141">
        <f>IFERROR(__xludf.DUMMYFUNCTION("""COMPUTED_VALUE"""),311.24)</f>
        <v/>
      </c>
      <c r="E33" s="141">
        <f>IFERROR(__xludf.DUMMYFUNCTION("""COMPUTED_VALUE"""),309.84)</f>
        <v/>
      </c>
      <c r="F33" s="141">
        <f>IFERROR(__xludf.DUMMYFUNCTION("""COMPUTED_VALUE"""),310.5)</f>
        <v/>
      </c>
      <c r="G33" s="143">
        <f>IFERROR(__xludf.DUMMYFUNCTION("""COMPUTED_VALUE"""),7418158)</f>
        <v/>
      </c>
      <c r="H33" s="27" t="n"/>
    </row>
    <row r="34" ht="17.25" customHeight="1" s="322">
      <c r="A34" s="27" t="n"/>
      <c r="B34" s="506">
        <f>IFERROR(__xludf.DUMMYFUNCTION("""COMPUTED_VALUE"""),45876.6666666666)</f>
        <v/>
      </c>
      <c r="C34" s="141">
        <f>IFERROR(__xludf.DUMMYFUNCTION("""COMPUTED_VALUE"""),311.72)</f>
        <v/>
      </c>
      <c r="D34" s="141">
        <f>IFERROR(__xludf.DUMMYFUNCTION("""COMPUTED_VALUE"""),313.14)</f>
        <v/>
      </c>
      <c r="E34" s="141">
        <f>IFERROR(__xludf.DUMMYFUNCTION("""COMPUTED_VALUE"""),310.7)</f>
        <v/>
      </c>
      <c r="F34" s="141">
        <f>IFERROR(__xludf.DUMMYFUNCTION("""COMPUTED_VALUE"""),313.12)</f>
        <v/>
      </c>
      <c r="G34" s="143">
        <f>IFERROR(__xludf.DUMMYFUNCTION("""COMPUTED_VALUE"""),10891459)</f>
        <v/>
      </c>
      <c r="H34" s="27" t="n"/>
    </row>
    <row r="35" ht="17.25" customHeight="1" s="322">
      <c r="A35" s="27" t="n"/>
      <c r="B35" s="506">
        <f>IFERROR(__xludf.DUMMYFUNCTION("""COMPUTED_VALUE"""),45877.6666666666)</f>
        <v/>
      </c>
      <c r="C35" s="141">
        <f>IFERROR(__xludf.DUMMYFUNCTION("""COMPUTED_VALUE"""),312.35)</f>
        <v/>
      </c>
      <c r="D35" s="141">
        <f>IFERROR(__xludf.DUMMYFUNCTION("""COMPUTED_VALUE"""),313.53)</f>
        <v/>
      </c>
      <c r="E35" s="141">
        <f>IFERROR(__xludf.DUMMYFUNCTION("""COMPUTED_VALUE"""),311)</f>
        <v/>
      </c>
      <c r="F35" s="141">
        <f>IFERROR(__xludf.DUMMYFUNCTION("""COMPUTED_VALUE"""),313.05)</f>
        <v/>
      </c>
      <c r="G35" s="143">
        <f>IFERROR(__xludf.DUMMYFUNCTION("""COMPUTED_VALUE"""),19886802)</f>
        <v/>
      </c>
      <c r="H35" s="27" t="n"/>
    </row>
    <row r="36" ht="17.25" customHeight="1" s="322">
      <c r="A36" s="27" t="n"/>
      <c r="B36" s="506">
        <f>IFERROR(__xludf.DUMMYFUNCTION("""COMPUTED_VALUE"""),45880.6666666666)</f>
        <v/>
      </c>
      <c r="C36" s="141">
        <f>IFERROR(__xludf.DUMMYFUNCTION("""COMPUTED_VALUE"""),308.62)</f>
        <v/>
      </c>
      <c r="D36" s="141">
        <f>IFERROR(__xludf.DUMMYFUNCTION("""COMPUTED_VALUE"""),309.66)</f>
        <v/>
      </c>
      <c r="E36" s="141">
        <f>IFERROR(__xludf.DUMMYFUNCTION("""COMPUTED_VALUE"""),307.63)</f>
        <v/>
      </c>
      <c r="F36" s="141">
        <f>IFERROR(__xludf.DUMMYFUNCTION("""COMPUTED_VALUE"""),308.55)</f>
        <v/>
      </c>
      <c r="G36" s="143">
        <f>IFERROR(__xludf.DUMMYFUNCTION("""COMPUTED_VALUE"""),10326704)</f>
        <v/>
      </c>
      <c r="H36" s="27" t="n"/>
    </row>
    <row r="37" ht="17.25" customHeight="1" s="322">
      <c r="A37" s="27" t="n"/>
      <c r="B37" s="506">
        <f>IFERROR(__xludf.DUMMYFUNCTION("""COMPUTED_VALUE"""),45881.6666666666)</f>
        <v/>
      </c>
      <c r="C37" s="141">
        <f>IFERROR(__xludf.DUMMYFUNCTION("""COMPUTED_VALUE"""),308.22)</f>
        <v/>
      </c>
      <c r="D37" s="141">
        <f>IFERROR(__xludf.DUMMYFUNCTION("""COMPUTED_VALUE"""),309.31)</f>
        <v/>
      </c>
      <c r="E37" s="141">
        <f>IFERROR(__xludf.DUMMYFUNCTION("""COMPUTED_VALUE"""),306.71)</f>
        <v/>
      </c>
      <c r="F37" s="141">
        <f>IFERROR(__xludf.DUMMYFUNCTION("""COMPUTED_VALUE"""),308.27)</f>
        <v/>
      </c>
      <c r="G37" s="143">
        <f>IFERROR(__xludf.DUMMYFUNCTION("""COMPUTED_VALUE"""),9701725)</f>
        <v/>
      </c>
      <c r="H37" s="27" t="n"/>
    </row>
    <row r="38" ht="17.25" customHeight="1" s="322">
      <c r="A38" s="27" t="n"/>
      <c r="B38" s="506">
        <f>IFERROR(__xludf.DUMMYFUNCTION("""COMPUTED_VALUE"""),45882.6666666666)</f>
        <v/>
      </c>
      <c r="C38" s="141">
        <f>IFERROR(__xludf.DUMMYFUNCTION("""COMPUTED_VALUE"""),309.1)</f>
        <v/>
      </c>
      <c r="D38" s="141">
        <f>IFERROR(__xludf.DUMMYFUNCTION("""COMPUTED_VALUE"""),310.39)</f>
        <v/>
      </c>
      <c r="E38" s="141">
        <f>IFERROR(__xludf.DUMMYFUNCTION("""COMPUTED_VALUE"""),308.45)</f>
        <v/>
      </c>
      <c r="F38" s="141">
        <f>IFERROR(__xludf.DUMMYFUNCTION("""COMPUTED_VALUE"""),309.21)</f>
        <v/>
      </c>
      <c r="G38" s="143">
        <f>IFERROR(__xludf.DUMMYFUNCTION("""COMPUTED_VALUE"""),4718586)</f>
        <v/>
      </c>
      <c r="H38" s="27" t="n"/>
    </row>
    <row r="39" ht="17.25" customHeight="1" s="322">
      <c r="A39" s="27" t="n"/>
      <c r="B39" s="506">
        <f>IFERROR(__xludf.DUMMYFUNCTION("""COMPUTED_VALUE"""),45883.6666666666)</f>
        <v/>
      </c>
      <c r="C39" s="141">
        <f>IFERROR(__xludf.DUMMYFUNCTION("""COMPUTED_VALUE"""),307.93)</f>
        <v/>
      </c>
      <c r="D39" s="141">
        <f>IFERROR(__xludf.DUMMYFUNCTION("""COMPUTED_VALUE"""),308.34)</f>
        <v/>
      </c>
      <c r="E39" s="141">
        <f>IFERROR(__xludf.DUMMYFUNCTION("""COMPUTED_VALUE"""),306.52)</f>
        <v/>
      </c>
      <c r="F39" s="141">
        <f>IFERROR(__xludf.DUMMYFUNCTION("""COMPUTED_VALUE"""),307.25)</f>
        <v/>
      </c>
      <c r="G39" s="143">
        <f>IFERROR(__xludf.DUMMYFUNCTION("""COMPUTED_VALUE"""),5817726)</f>
        <v/>
      </c>
      <c r="H39" s="27" t="n"/>
    </row>
    <row r="40" ht="17.25" customHeight="1" s="322">
      <c r="A40" s="27" t="n"/>
      <c r="B40" s="506">
        <f>IFERROR(__xludf.DUMMYFUNCTION("""COMPUTED_VALUE"""),45884.6666666666)</f>
        <v/>
      </c>
      <c r="C40" s="141">
        <f>IFERROR(__xludf.DUMMYFUNCTION("""COMPUTED_VALUE"""),307.34)</f>
        <v/>
      </c>
      <c r="D40" s="141">
        <f>IFERROR(__xludf.DUMMYFUNCTION("""COMPUTED_VALUE"""),308)</f>
        <v/>
      </c>
      <c r="E40" s="141">
        <f>IFERROR(__xludf.DUMMYFUNCTION("""COMPUTED_VALUE"""),306.87)</f>
        <v/>
      </c>
      <c r="F40" s="141">
        <f>IFERROR(__xludf.DUMMYFUNCTION("""COMPUTED_VALUE"""),307.43)</f>
        <v/>
      </c>
      <c r="G40" s="143">
        <f>IFERROR(__xludf.DUMMYFUNCTION("""COMPUTED_VALUE"""),5990110)</f>
        <v/>
      </c>
      <c r="H40" s="27" t="n"/>
    </row>
    <row r="41" ht="17.25" customHeight="1" s="322">
      <c r="A41" s="27" t="n"/>
      <c r="B41" s="506">
        <f>IFERROR(__xludf.DUMMYFUNCTION("""COMPUTED_VALUE"""),45887.6666666666)</f>
        <v/>
      </c>
      <c r="C41" s="141">
        <f>IFERROR(__xludf.DUMMYFUNCTION("""COMPUTED_VALUE"""),307.8)</f>
        <v/>
      </c>
      <c r="D41" s="141">
        <f>IFERROR(__xludf.DUMMYFUNCTION("""COMPUTED_VALUE"""),307.89)</f>
        <v/>
      </c>
      <c r="E41" s="141">
        <f>IFERROR(__xludf.DUMMYFUNCTION("""COMPUTED_VALUE"""),306.63)</f>
        <v/>
      </c>
      <c r="F41" s="141">
        <f>IFERROR(__xludf.DUMMYFUNCTION("""COMPUTED_VALUE"""),306.95)</f>
        <v/>
      </c>
      <c r="G41" s="143">
        <f>IFERROR(__xludf.DUMMYFUNCTION("""COMPUTED_VALUE"""),6150140)</f>
        <v/>
      </c>
      <c r="H41" s="27" t="n"/>
    </row>
    <row r="42" ht="17.25" customHeight="1" s="322">
      <c r="A42" s="27" t="n"/>
      <c r="B42" s="506">
        <f>IFERROR(__xludf.DUMMYFUNCTION("""COMPUTED_VALUE"""),45888.6666666666)</f>
        <v/>
      </c>
      <c r="C42" s="141">
        <f>IFERROR(__xludf.DUMMYFUNCTION("""COMPUTED_VALUE"""),306.76)</f>
        <v/>
      </c>
      <c r="D42" s="141">
        <f>IFERROR(__xludf.DUMMYFUNCTION("""COMPUTED_VALUE"""),307.48)</f>
        <v/>
      </c>
      <c r="E42" s="141">
        <f>IFERROR(__xludf.DUMMYFUNCTION("""COMPUTED_VALUE"""),305.19)</f>
        <v/>
      </c>
      <c r="F42" s="141">
        <f>IFERROR(__xludf.DUMMYFUNCTION("""COMPUTED_VALUE"""),305.27)</f>
        <v/>
      </c>
      <c r="G42" s="143">
        <f>IFERROR(__xludf.DUMMYFUNCTION("""COMPUTED_VALUE"""),5029939)</f>
        <v/>
      </c>
      <c r="H42" s="27" t="n"/>
    </row>
    <row r="43" ht="17.25" customHeight="1" s="322">
      <c r="A43" s="27" t="n"/>
      <c r="B43" s="506">
        <f>IFERROR(__xludf.DUMMYFUNCTION("""COMPUTED_VALUE"""),45889.6666666666)</f>
        <v/>
      </c>
      <c r="C43" s="141">
        <f>IFERROR(__xludf.DUMMYFUNCTION("""COMPUTED_VALUE"""),307.54)</f>
        <v/>
      </c>
      <c r="D43" s="141">
        <f>IFERROR(__xludf.DUMMYFUNCTION("""COMPUTED_VALUE"""),308.47)</f>
        <v/>
      </c>
      <c r="E43" s="141">
        <f>IFERROR(__xludf.DUMMYFUNCTION("""COMPUTED_VALUE"""),307.4)</f>
        <v/>
      </c>
      <c r="F43" s="141">
        <f>IFERROR(__xludf.DUMMYFUNCTION("""COMPUTED_VALUE"""),308.36)</f>
        <v/>
      </c>
      <c r="G43" s="143">
        <f>IFERROR(__xludf.DUMMYFUNCTION("""COMPUTED_VALUE"""),6515411)</f>
        <v/>
      </c>
      <c r="H43" s="27" t="n"/>
    </row>
    <row r="44" ht="17.25" customHeight="1" s="322">
      <c r="A44" s="27" t="n"/>
      <c r="B44" s="506">
        <f>IFERROR(__xludf.DUMMYFUNCTION("""COMPUTED_VALUE"""),45890.6666666666)</f>
        <v/>
      </c>
      <c r="C44" s="141">
        <f>IFERROR(__xludf.DUMMYFUNCTION("""COMPUTED_VALUE"""),307.86)</f>
        <v/>
      </c>
      <c r="D44" s="141">
        <f>IFERROR(__xludf.DUMMYFUNCTION("""COMPUTED_VALUE"""),308.15)</f>
        <v/>
      </c>
      <c r="E44" s="141">
        <f>IFERROR(__xludf.DUMMYFUNCTION("""COMPUTED_VALUE"""),307.03)</f>
        <v/>
      </c>
      <c r="F44" s="141">
        <f>IFERROR(__xludf.DUMMYFUNCTION("""COMPUTED_VALUE"""),307.29)</f>
        <v/>
      </c>
      <c r="G44" s="143">
        <f>IFERROR(__xludf.DUMMYFUNCTION("""COMPUTED_VALUE"""),4808975)</f>
        <v/>
      </c>
      <c r="H44" s="27" t="n"/>
    </row>
    <row r="45" ht="17.25" customHeight="1" s="322">
      <c r="A45" s="27" t="n"/>
      <c r="B45" s="506">
        <f>IFERROR(__xludf.DUMMYFUNCTION("""COMPUTED_VALUE"""),45891.6666666666)</f>
        <v/>
      </c>
      <c r="C45" s="141">
        <f>IFERROR(__xludf.DUMMYFUNCTION("""COMPUTED_VALUE"""),306.52)</f>
        <v/>
      </c>
      <c r="D45" s="141">
        <f>IFERROR(__xludf.DUMMYFUNCTION("""COMPUTED_VALUE"""),311.02)</f>
        <v/>
      </c>
      <c r="E45" s="141">
        <f>IFERROR(__xludf.DUMMYFUNCTION("""COMPUTED_VALUE"""),306.43)</f>
        <v/>
      </c>
      <c r="F45" s="141">
        <f>IFERROR(__xludf.DUMMYFUNCTION("""COMPUTED_VALUE"""),310.58)</f>
        <v/>
      </c>
      <c r="G45" s="143">
        <f>IFERROR(__xludf.DUMMYFUNCTION("""COMPUTED_VALUE"""),8526492)</f>
        <v/>
      </c>
      <c r="H45" s="27" t="n"/>
    </row>
    <row r="46" ht="17.25" customHeight="1" s="322">
      <c r="A46" s="27" t="n"/>
      <c r="B46" s="506">
        <f>IFERROR(__xludf.DUMMYFUNCTION("""COMPUTED_VALUE"""),45894.6666666666)</f>
        <v/>
      </c>
      <c r="C46" s="141">
        <f>IFERROR(__xludf.DUMMYFUNCTION("""COMPUTED_VALUE"""),309.67)</f>
        <v/>
      </c>
      <c r="D46" s="141">
        <f>IFERROR(__xludf.DUMMYFUNCTION("""COMPUTED_VALUE"""),310.84)</f>
        <v/>
      </c>
      <c r="E46" s="141">
        <f>IFERROR(__xludf.DUMMYFUNCTION("""COMPUTED_VALUE"""),309.67)</f>
        <v/>
      </c>
      <c r="F46" s="141">
        <f>IFERROR(__xludf.DUMMYFUNCTION("""COMPUTED_VALUE"""),309.83)</f>
        <v/>
      </c>
      <c r="G46" s="143">
        <f>IFERROR(__xludf.DUMMYFUNCTION("""COMPUTED_VALUE"""),4044429)</f>
        <v/>
      </c>
      <c r="H46" s="27" t="n"/>
    </row>
    <row r="47" ht="17.25" customHeight="1" s="322">
      <c r="A47" s="27" t="n"/>
      <c r="B47" s="506">
        <f>IFERROR(__xludf.DUMMYFUNCTION("""COMPUTED_VALUE"""),45895.6666666666)</f>
        <v/>
      </c>
      <c r="C47" s="141">
        <f>IFERROR(__xludf.DUMMYFUNCTION("""COMPUTED_VALUE"""),310.62)</f>
        <v/>
      </c>
      <c r="D47" s="141">
        <f>IFERROR(__xludf.DUMMYFUNCTION("""COMPUTED_VALUE"""),312.21)</f>
        <v/>
      </c>
      <c r="E47" s="141">
        <f>IFERROR(__xludf.DUMMYFUNCTION("""COMPUTED_VALUE"""),310.31)</f>
        <v/>
      </c>
      <c r="F47" s="141">
        <f>IFERROR(__xludf.DUMMYFUNCTION("""COMPUTED_VALUE"""),312.08)</f>
        <v/>
      </c>
      <c r="G47" s="143">
        <f>IFERROR(__xludf.DUMMYFUNCTION("""COMPUTED_VALUE"""),11698460)</f>
        <v/>
      </c>
      <c r="H47" s="27" t="n"/>
    </row>
    <row r="48" ht="17.25" customHeight="1" s="322">
      <c r="A48" s="27" t="n"/>
      <c r="B48" s="506">
        <f>IFERROR(__xludf.DUMMYFUNCTION("""COMPUTED_VALUE"""),45896.6666666666)</f>
        <v/>
      </c>
      <c r="C48" s="141">
        <f>IFERROR(__xludf.DUMMYFUNCTION("""COMPUTED_VALUE"""),311.39)</f>
        <v/>
      </c>
      <c r="D48" s="141">
        <f>IFERROR(__xludf.DUMMYFUNCTION("""COMPUTED_VALUE"""),312.91)</f>
        <v/>
      </c>
      <c r="E48" s="141">
        <f>IFERROR(__xludf.DUMMYFUNCTION("""COMPUTED_VALUE"""),310.77)</f>
        <v/>
      </c>
      <c r="F48" s="141">
        <f>IFERROR(__xludf.DUMMYFUNCTION("""COMPUTED_VALUE"""),312.71)</f>
        <v/>
      </c>
      <c r="G48" s="143">
        <f>IFERROR(__xludf.DUMMYFUNCTION("""COMPUTED_VALUE"""),4320071)</f>
        <v/>
      </c>
      <c r="H48" s="27" t="n"/>
    </row>
    <row r="49" ht="17.25" customHeight="1" s="322">
      <c r="A49" s="27" t="n"/>
      <c r="B49" s="506">
        <f>IFERROR(__xludf.DUMMYFUNCTION("""COMPUTED_VALUE"""),45897.6666666666)</f>
        <v/>
      </c>
      <c r="C49" s="141">
        <f>IFERROR(__xludf.DUMMYFUNCTION("""COMPUTED_VALUE"""),313.32)</f>
        <v/>
      </c>
      <c r="D49" s="141">
        <f>IFERROR(__xludf.DUMMYFUNCTION("""COMPUTED_VALUE"""),315.08)</f>
        <v/>
      </c>
      <c r="E49" s="141">
        <f>IFERROR(__xludf.DUMMYFUNCTION("""COMPUTED_VALUE"""),313.07)</f>
        <v/>
      </c>
      <c r="F49" s="141">
        <f>IFERROR(__xludf.DUMMYFUNCTION("""COMPUTED_VALUE"""),315.03)</f>
        <v/>
      </c>
      <c r="G49" s="143">
        <f>IFERROR(__xludf.DUMMYFUNCTION("""COMPUTED_VALUE"""),9610202)</f>
        <v/>
      </c>
      <c r="H49" s="27" t="n"/>
    </row>
    <row r="50" ht="17.25" customHeight="1" s="322">
      <c r="A50" s="27" t="n"/>
      <c r="B50" s="506">
        <f>IFERROR(__xludf.DUMMYFUNCTION("""COMPUTED_VALUE"""),45898.6666666666)</f>
        <v/>
      </c>
      <c r="C50" s="141">
        <f>IFERROR(__xludf.DUMMYFUNCTION("""COMPUTED_VALUE"""),314.72)</f>
        <v/>
      </c>
      <c r="D50" s="141">
        <f>IFERROR(__xludf.DUMMYFUNCTION("""COMPUTED_VALUE"""),318.09)</f>
        <v/>
      </c>
      <c r="E50" s="141">
        <f>IFERROR(__xludf.DUMMYFUNCTION("""COMPUTED_VALUE"""),314.64)</f>
        <v/>
      </c>
      <c r="F50" s="141">
        <f>IFERROR(__xludf.DUMMYFUNCTION("""COMPUTED_VALUE"""),318.07)</f>
        <v/>
      </c>
      <c r="G50" s="143">
        <f>IFERROR(__xludf.DUMMYFUNCTION("""COMPUTED_VALUE"""),15642641)</f>
        <v/>
      </c>
      <c r="H50" s="27" t="n"/>
    </row>
    <row r="51" ht="17.25" customHeight="1" s="322">
      <c r="A51" s="27" t="n"/>
      <c r="B51" s="506">
        <f>IFERROR(__xludf.DUMMYFUNCTION("""COMPUTED_VALUE"""),45902.6666666666)</f>
        <v/>
      </c>
      <c r="C51" s="141">
        <f>IFERROR(__xludf.DUMMYFUNCTION("""COMPUTED_VALUE"""),320.95)</f>
        <v/>
      </c>
      <c r="D51" s="141">
        <f>IFERROR(__xludf.DUMMYFUNCTION("""COMPUTED_VALUE"""),325.92)</f>
        <v/>
      </c>
      <c r="E51" s="141">
        <f>IFERROR(__xludf.DUMMYFUNCTION("""COMPUTED_VALUE"""),320.24)</f>
        <v/>
      </c>
      <c r="F51" s="141">
        <f>IFERROR(__xludf.DUMMYFUNCTION("""COMPUTED_VALUE"""),325.59)</f>
        <v/>
      </c>
      <c r="G51" s="143">
        <f>IFERROR(__xludf.DUMMYFUNCTION("""COMPUTED_VALUE"""),21247534)</f>
        <v/>
      </c>
      <c r="H51" s="27" t="n"/>
    </row>
    <row r="52" ht="17.25" customHeight="1" s="322">
      <c r="A52" s="27" t="n"/>
      <c r="B52" s="506">
        <f>IFERROR(__xludf.DUMMYFUNCTION("""COMPUTED_VALUE"""),45903.6666666666)</f>
        <v/>
      </c>
      <c r="C52" s="141">
        <f>IFERROR(__xludf.DUMMYFUNCTION("""COMPUTED_VALUE"""),327.76)</f>
        <v/>
      </c>
      <c r="D52" s="141">
        <f>IFERROR(__xludf.DUMMYFUNCTION("""COMPUTED_VALUE"""),329.45)</f>
        <v/>
      </c>
      <c r="E52" s="141">
        <f>IFERROR(__xludf.DUMMYFUNCTION("""COMPUTED_VALUE"""),326.73)</f>
        <v/>
      </c>
      <c r="F52" s="141">
        <f>IFERROR(__xludf.DUMMYFUNCTION("""COMPUTED_VALUE"""),328.14)</f>
        <v/>
      </c>
      <c r="G52" s="143">
        <f>IFERROR(__xludf.DUMMYFUNCTION("""COMPUTED_VALUE"""),16062221)</f>
        <v/>
      </c>
      <c r="H52" s="27" t="n"/>
    </row>
    <row r="53" ht="17.25" customHeight="1" s="322">
      <c r="A53" s="27" t="n"/>
      <c r="B53" s="506">
        <f>IFERROR(__xludf.DUMMYFUNCTION("""COMPUTED_VALUE"""),45904.6666666666)</f>
        <v/>
      </c>
      <c r="C53" s="141">
        <f>IFERROR(__xludf.DUMMYFUNCTION("""COMPUTED_VALUE"""),327.03)</f>
        <v/>
      </c>
      <c r="D53" s="141">
        <f>IFERROR(__xludf.DUMMYFUNCTION("""COMPUTED_VALUE"""),327.56)</f>
        <v/>
      </c>
      <c r="E53" s="141">
        <f>IFERROR(__xludf.DUMMYFUNCTION("""COMPUTED_VALUE"""),325.35)</f>
        <v/>
      </c>
      <c r="F53" s="141">
        <f>IFERROR(__xludf.DUMMYFUNCTION("""COMPUTED_VALUE"""),326.69)</f>
        <v/>
      </c>
      <c r="G53" s="143">
        <f>IFERROR(__xludf.DUMMYFUNCTION("""COMPUTED_VALUE"""),11703127)</f>
        <v/>
      </c>
      <c r="H53" s="27" t="n"/>
    </row>
    <row r="54" ht="17.25" customHeight="1" s="322">
      <c r="A54" s="27" t="n"/>
      <c r="B54" s="506">
        <f>IFERROR(__xludf.DUMMYFUNCTION("""COMPUTED_VALUE"""),45905.6666666666)</f>
        <v/>
      </c>
      <c r="C54" s="141">
        <f>IFERROR(__xludf.DUMMYFUNCTION("""COMPUTED_VALUE"""),329.53)</f>
        <v/>
      </c>
      <c r="D54" s="141">
        <f>IFERROR(__xludf.DUMMYFUNCTION("""COMPUTED_VALUE"""),331.44)</f>
        <v/>
      </c>
      <c r="E54" s="141">
        <f>IFERROR(__xludf.DUMMYFUNCTION("""COMPUTED_VALUE"""),328.93)</f>
        <v/>
      </c>
      <c r="F54" s="141">
        <f>IFERROR(__xludf.DUMMYFUNCTION("""COMPUTED_VALUE"""),331.05)</f>
        <v/>
      </c>
      <c r="G54" s="143">
        <f>IFERROR(__xludf.DUMMYFUNCTION("""COMPUTED_VALUE"""),16065150)</f>
        <v/>
      </c>
      <c r="H54" s="27" t="n"/>
    </row>
    <row r="55" ht="17.25" customHeight="1" s="322">
      <c r="A55" s="27" t="n"/>
      <c r="B55" s="506">
        <f>IFERROR(__xludf.DUMMYFUNCTION("""COMPUTED_VALUE"""),45908.6666666666)</f>
        <v/>
      </c>
      <c r="C55" s="141">
        <f>IFERROR(__xludf.DUMMYFUNCTION("""COMPUTED_VALUE"""),333.66)</f>
        <v/>
      </c>
      <c r="D55" s="141">
        <f>IFERROR(__xludf.DUMMYFUNCTION("""COMPUTED_VALUE"""),335.67)</f>
        <v/>
      </c>
      <c r="E55" s="141">
        <f>IFERROR(__xludf.DUMMYFUNCTION("""COMPUTED_VALUE"""),333.23)</f>
        <v/>
      </c>
      <c r="F55" s="141">
        <f>IFERROR(__xludf.DUMMYFUNCTION("""COMPUTED_VALUE"""),334.82)</f>
        <v/>
      </c>
      <c r="G55" s="143">
        <f>IFERROR(__xludf.DUMMYFUNCTION("""COMPUTED_VALUE"""),18617325)</f>
        <v/>
      </c>
      <c r="H55" s="27" t="n"/>
    </row>
    <row r="56" ht="17.25" customHeight="1" s="322">
      <c r="A56" s="27" t="n"/>
      <c r="B56" s="506">
        <f>IFERROR(__xludf.DUMMYFUNCTION("""COMPUTED_VALUE"""),45909.6666666666)</f>
        <v/>
      </c>
      <c r="C56" s="141">
        <f>IFERROR(__xludf.DUMMYFUNCTION("""COMPUTED_VALUE"""),337.03)</f>
        <v/>
      </c>
      <c r="D56" s="141">
        <f>IFERROR(__xludf.DUMMYFUNCTION("""COMPUTED_VALUE"""),338.31)</f>
        <v/>
      </c>
      <c r="E56" s="141">
        <f>IFERROR(__xludf.DUMMYFUNCTION("""COMPUTED_VALUE"""),333.85)</f>
        <v/>
      </c>
      <c r="F56" s="141">
        <f>IFERROR(__xludf.DUMMYFUNCTION("""COMPUTED_VALUE"""),334.06)</f>
        <v/>
      </c>
      <c r="G56" s="143">
        <f>IFERROR(__xludf.DUMMYFUNCTION("""COMPUTED_VALUE"""),21641935)</f>
        <v/>
      </c>
      <c r="H56" s="27" t="n"/>
    </row>
    <row r="57" ht="17.25" customHeight="1" s="322">
      <c r="A57" s="27" t="n"/>
      <c r="B57" s="506">
        <f>IFERROR(__xludf.DUMMYFUNCTION("""COMPUTED_VALUE"""),45910.6666666666)</f>
        <v/>
      </c>
      <c r="C57" s="141">
        <f>IFERROR(__xludf.DUMMYFUNCTION("""COMPUTED_VALUE"""),335.73)</f>
        <v/>
      </c>
      <c r="D57" s="141">
        <f>IFERROR(__xludf.DUMMYFUNCTION("""COMPUTED_VALUE"""),336.5)</f>
        <v/>
      </c>
      <c r="E57" s="141">
        <f>IFERROR(__xludf.DUMMYFUNCTION("""COMPUTED_VALUE"""),326.19)</f>
        <v/>
      </c>
      <c r="F57" s="141">
        <f>IFERROR(__xludf.DUMMYFUNCTION("""COMPUTED_VALUE"""),335.26)</f>
        <v/>
      </c>
      <c r="G57" s="143">
        <f>IFERROR(__xludf.DUMMYFUNCTION("""COMPUTED_VALUE"""),11945670)</f>
        <v/>
      </c>
      <c r="H57" s="27" t="n"/>
    </row>
    <row r="58" ht="17.25" customHeight="1" s="322">
      <c r="A58" s="27" t="n"/>
      <c r="B58" s="506">
        <f>IFERROR(__xludf.DUMMYFUNCTION("""COMPUTED_VALUE"""),45911.6666666666)</f>
        <v/>
      </c>
      <c r="C58" s="141">
        <f>IFERROR(__xludf.DUMMYFUNCTION("""COMPUTED_VALUE"""),333.37)</f>
        <v/>
      </c>
      <c r="D58" s="141">
        <f>IFERROR(__xludf.DUMMYFUNCTION("""COMPUTED_VALUE"""),335.16)</f>
        <v/>
      </c>
      <c r="E58" s="141">
        <f>IFERROR(__xludf.DUMMYFUNCTION("""COMPUTED_VALUE"""),332.97)</f>
        <v/>
      </c>
      <c r="F58" s="141">
        <f>IFERROR(__xludf.DUMMYFUNCTION("""COMPUTED_VALUE"""),334.76)</f>
        <v/>
      </c>
      <c r="G58" s="143">
        <f>IFERROR(__xludf.DUMMYFUNCTION("""COMPUTED_VALUE"""),9082647)</f>
        <v/>
      </c>
      <c r="H58" s="27" t="n"/>
    </row>
    <row r="59" ht="17.25" customHeight="1" s="322">
      <c r="A59" s="27" t="n"/>
      <c r="B59" s="506">
        <f>IFERROR(__xludf.DUMMYFUNCTION("""COMPUTED_VALUE"""),45912.6666666666)</f>
        <v/>
      </c>
      <c r="C59" s="141">
        <f>IFERROR(__xludf.DUMMYFUNCTION("""COMPUTED_VALUE"""),335.88)</f>
        <v/>
      </c>
      <c r="D59" s="141">
        <f>IFERROR(__xludf.DUMMYFUNCTION("""COMPUTED_VALUE"""),336.39)</f>
        <v/>
      </c>
      <c r="E59" s="141">
        <f>IFERROR(__xludf.DUMMYFUNCTION("""COMPUTED_VALUE"""),335.23)</f>
        <v/>
      </c>
      <c r="F59" s="141">
        <f>IFERROR(__xludf.DUMMYFUNCTION("""COMPUTED_VALUE"""),335.42)</f>
        <v/>
      </c>
      <c r="G59" s="143">
        <f>IFERROR(__xludf.DUMMYFUNCTION("""COMPUTED_VALUE"""),9619709)</f>
        <v/>
      </c>
      <c r="H59" s="27" t="n"/>
    </row>
    <row r="60" ht="17.25" customHeight="1" s="322">
      <c r="A60" s="27" t="n"/>
      <c r="B60" s="506">
        <f>IFERROR(__xludf.DUMMYFUNCTION("""COMPUTED_VALUE"""),45915.6666666666)</f>
        <v/>
      </c>
      <c r="C60" s="141">
        <f>IFERROR(__xludf.DUMMYFUNCTION("""COMPUTED_VALUE"""),336.31)</f>
        <v/>
      </c>
      <c r="D60" s="141">
        <f>IFERROR(__xludf.DUMMYFUNCTION("""COMPUTED_VALUE"""),339.28)</f>
        <v/>
      </c>
      <c r="E60" s="141">
        <f>IFERROR(__xludf.DUMMYFUNCTION("""COMPUTED_VALUE"""),336.23)</f>
        <v/>
      </c>
      <c r="F60" s="141">
        <f>IFERROR(__xludf.DUMMYFUNCTION("""COMPUTED_VALUE"""),338.91)</f>
        <v/>
      </c>
      <c r="G60" s="143">
        <f>IFERROR(__xludf.DUMMYFUNCTION("""COMPUTED_VALUE"""),10569881)</f>
        <v/>
      </c>
      <c r="H60" s="27" t="n"/>
    </row>
    <row r="61" ht="17.25" customHeight="1" s="322">
      <c r="A61" s="27" t="n"/>
      <c r="B61" s="506">
        <f>IFERROR(__xludf.DUMMYFUNCTION("""COMPUTED_VALUE"""),45916.6666666666)</f>
        <v/>
      </c>
      <c r="C61" s="141">
        <f>IFERROR(__xludf.DUMMYFUNCTION("""COMPUTED_VALUE"""),340.09)</f>
        <v/>
      </c>
      <c r="D61" s="141">
        <f>IFERROR(__xludf.DUMMYFUNCTION("""COMPUTED_VALUE"""),340.88)</f>
        <v/>
      </c>
      <c r="E61" s="141">
        <f>IFERROR(__xludf.DUMMYFUNCTION("""COMPUTED_VALUE"""),338.62)</f>
        <v/>
      </c>
      <c r="F61" s="141">
        <f>IFERROR(__xludf.DUMMYFUNCTION("""COMPUTED_VALUE"""),339.59)</f>
        <v/>
      </c>
      <c r="G61" s="143">
        <f>IFERROR(__xludf.DUMMYFUNCTION("""COMPUTED_VALUE"""),12161527)</f>
        <v/>
      </c>
      <c r="H61" s="27" t="n"/>
    </row>
    <row r="62" ht="17.25" customHeight="1" s="322">
      <c r="A62" s="27" t="n"/>
      <c r="B62" s="506">
        <f>IFERROR(__xludf.DUMMYFUNCTION("""COMPUTED_VALUE"""),45917.6666666666)</f>
        <v/>
      </c>
      <c r="C62" s="141">
        <f>IFERROR(__xludf.DUMMYFUNCTION("""COMPUTED_VALUE"""),338.53)</f>
        <v/>
      </c>
      <c r="D62" s="141">
        <f>IFERROR(__xludf.DUMMYFUNCTION("""COMPUTED_VALUE"""),341.24)</f>
        <v/>
      </c>
      <c r="E62" s="141">
        <f>IFERROR(__xludf.DUMMYFUNCTION("""COMPUTED_VALUE"""),335.52)</f>
        <v/>
      </c>
      <c r="F62" s="141">
        <f>IFERROR(__xludf.DUMMYFUNCTION("""COMPUTED_VALUE"""),336.97)</f>
        <v/>
      </c>
      <c r="G62" s="143">
        <f>IFERROR(__xludf.DUMMYFUNCTION("""COMPUTED_VALUE"""),16535307)</f>
        <v/>
      </c>
      <c r="H62" s="27" t="n"/>
    </row>
    <row r="63" ht="17.25" customHeight="1" s="322">
      <c r="A63" s="27" t="n"/>
      <c r="B63" s="506">
        <f>IFERROR(__xludf.DUMMYFUNCTION("""COMPUTED_VALUE"""),45918.6666666666)</f>
        <v/>
      </c>
      <c r="C63" s="141">
        <f>IFERROR(__xludf.DUMMYFUNCTION("""COMPUTED_VALUE"""),336.22)</f>
        <v/>
      </c>
      <c r="D63" s="141">
        <f>IFERROR(__xludf.DUMMYFUNCTION("""COMPUTED_VALUE"""),336.32)</f>
        <v/>
      </c>
      <c r="E63" s="141">
        <f>IFERROR(__xludf.DUMMYFUNCTION("""COMPUTED_VALUE"""),333.81)</f>
        <v/>
      </c>
      <c r="F63" s="141">
        <f>IFERROR(__xludf.DUMMYFUNCTION("""COMPUTED_VALUE"""),335.62)</f>
        <v/>
      </c>
      <c r="G63" s="143">
        <f>IFERROR(__xludf.DUMMYFUNCTION("""COMPUTED_VALUE"""),14913267)</f>
        <v/>
      </c>
      <c r="H63" s="27" t="n"/>
    </row>
    <row r="64" ht="17.25" customHeight="1" s="322">
      <c r="A64" s="27" t="n"/>
      <c r="B64" s="506">
        <f>IFERROR(__xludf.DUMMYFUNCTION("""COMPUTED_VALUE"""),45919.6666666666)</f>
        <v/>
      </c>
      <c r="C64" s="141">
        <f>IFERROR(__xludf.DUMMYFUNCTION("""COMPUTED_VALUE"""),336.51)</f>
        <v/>
      </c>
      <c r="D64" s="141">
        <f>IFERROR(__xludf.DUMMYFUNCTION("""COMPUTED_VALUE"""),339.23)</f>
        <v/>
      </c>
      <c r="E64" s="141">
        <f>IFERROR(__xludf.DUMMYFUNCTION("""COMPUTED_VALUE"""),336.31)</f>
        <v/>
      </c>
      <c r="F64" s="141">
        <f>IFERROR(__xludf.DUMMYFUNCTION("""COMPUTED_VALUE"""),339.18)</f>
        <v/>
      </c>
      <c r="G64" s="143">
        <f>IFERROR(__xludf.DUMMYFUNCTION("""COMPUTED_VALUE"""),14982567)</f>
        <v/>
      </c>
      <c r="H64" s="27" t="n"/>
    </row>
    <row r="65" ht="17.25" customHeight="1" s="322">
      <c r="A65" s="27" t="n"/>
      <c r="B65" s="506">
        <f>IFERROR(__xludf.DUMMYFUNCTION("""COMPUTED_VALUE"""),45922.6666666666)</f>
        <v/>
      </c>
      <c r="C65" s="141">
        <f>IFERROR(__xludf.DUMMYFUNCTION("""COMPUTED_VALUE"""),342.75)</f>
        <v/>
      </c>
      <c r="D65" s="141">
        <f>IFERROR(__xludf.DUMMYFUNCTION("""COMPUTED_VALUE"""),345.07)</f>
        <v/>
      </c>
      <c r="E65" s="141">
        <f>IFERROR(__xludf.DUMMYFUNCTION("""COMPUTED_VALUE"""),341.84)</f>
        <v/>
      </c>
      <c r="F65" s="141">
        <f>IFERROR(__xludf.DUMMYFUNCTION("""COMPUTED_VALUE"""),345.05)</f>
        <v/>
      </c>
      <c r="G65" s="143">
        <f>IFERROR(__xludf.DUMMYFUNCTION("""COMPUTED_VALUE"""),12386419)</f>
        <v/>
      </c>
      <c r="H65" s="27" t="n"/>
    </row>
    <row r="66" ht="17.25" customHeight="1" s="322">
      <c r="A66" s="27" t="n"/>
      <c r="B66" s="506">
        <f>IFERROR(__xludf.DUMMYFUNCTION("""COMPUTED_VALUE"""),45923.6666666666)</f>
        <v/>
      </c>
      <c r="C66" s="141">
        <f>IFERROR(__xludf.DUMMYFUNCTION("""COMPUTED_VALUE"""),348.23)</f>
        <v/>
      </c>
      <c r="D66" s="141">
        <f>IFERROR(__xludf.DUMMYFUNCTION("""COMPUTED_VALUE"""),348.75)</f>
        <v/>
      </c>
      <c r="E66" s="141">
        <f>IFERROR(__xludf.DUMMYFUNCTION("""COMPUTED_VALUE"""),345.32)</f>
        <v/>
      </c>
      <c r="F66" s="141">
        <f>IFERROR(__xludf.DUMMYFUNCTION("""COMPUTED_VALUE"""),346.46)</f>
        <v/>
      </c>
      <c r="G66" s="143">
        <f>IFERROR(__xludf.DUMMYFUNCTION("""COMPUTED_VALUE"""),18383982)</f>
        <v/>
      </c>
      <c r="H66" s="27" t="n"/>
    </row>
    <row r="67" ht="17.25" customHeight="1" s="322">
      <c r="A67" s="27" t="n"/>
      <c r="B67" s="506">
        <f>IFERROR(__xludf.DUMMYFUNCTION("""COMPUTED_VALUE"""),45924.6666666666)</f>
        <v/>
      </c>
      <c r="C67" s="141">
        <f>IFERROR(__xludf.DUMMYFUNCTION("""COMPUTED_VALUE"""),346.7)</f>
        <v/>
      </c>
      <c r="D67" s="141">
        <f>IFERROR(__xludf.DUMMYFUNCTION("""COMPUTED_VALUE"""),346.83)</f>
        <v/>
      </c>
      <c r="E67" s="141">
        <f>IFERROR(__xludf.DUMMYFUNCTION("""COMPUTED_VALUE"""),342.14)</f>
        <v/>
      </c>
      <c r="F67" s="141">
        <f>IFERROR(__xludf.DUMMYFUNCTION("""COMPUTED_VALUE"""),343.32)</f>
        <v/>
      </c>
      <c r="G67" s="143">
        <f>IFERROR(__xludf.DUMMYFUNCTION("""COMPUTED_VALUE"""),12709068)</f>
        <v/>
      </c>
      <c r="H67" s="27" t="n"/>
    </row>
    <row r="68" ht="17.25" customHeight="1" s="322">
      <c r="A68" s="27" t="n"/>
      <c r="B68" s="506">
        <f>IFERROR(__xludf.DUMMYFUNCTION("""COMPUTED_VALUE"""),45925.6666666666)</f>
        <v/>
      </c>
      <c r="C68" s="141">
        <f>IFERROR(__xludf.DUMMYFUNCTION("""COMPUTED_VALUE"""),344.39)</f>
        <v/>
      </c>
      <c r="D68" s="141">
        <f>IFERROR(__xludf.DUMMYFUNCTION("""COMPUTED_VALUE"""),345.83)</f>
        <v/>
      </c>
      <c r="E68" s="141">
        <f>IFERROR(__xludf.DUMMYFUNCTION("""COMPUTED_VALUE"""),342.47)</f>
        <v/>
      </c>
      <c r="F68" s="141">
        <f>IFERROR(__xludf.DUMMYFUNCTION("""COMPUTED_VALUE"""),344.75)</f>
        <v/>
      </c>
      <c r="G68" s="143">
        <f>IFERROR(__xludf.DUMMYFUNCTION("""COMPUTED_VALUE"""),12639583)</f>
        <v/>
      </c>
      <c r="H68" s="27" t="n"/>
    </row>
    <row r="69" ht="17.25" customHeight="1" s="322">
      <c r="A69" s="27" t="n"/>
      <c r="B69" s="506">
        <f>IFERROR(__xludf.DUMMYFUNCTION("""COMPUTED_VALUE"""),45926.6666666666)</f>
        <v/>
      </c>
      <c r="C69" s="141">
        <f>IFERROR(__xludf.DUMMYFUNCTION("""COMPUTED_VALUE"""),345.83)</f>
        <v/>
      </c>
      <c r="D69" s="141">
        <f>IFERROR(__xludf.DUMMYFUNCTION("""COMPUTED_VALUE"""),348.25)</f>
        <v/>
      </c>
      <c r="E69" s="141">
        <f>IFERROR(__xludf.DUMMYFUNCTION("""COMPUTED_VALUE"""),345.31)</f>
        <v/>
      </c>
      <c r="F69" s="141">
        <f>IFERROR(__xludf.DUMMYFUNCTION("""COMPUTED_VALUE"""),346.74)</f>
        <v/>
      </c>
      <c r="G69" s="143">
        <f>IFERROR(__xludf.DUMMYFUNCTION("""COMPUTED_VALUE"""),11698212)</f>
        <v/>
      </c>
      <c r="H69" s="27" t="n"/>
    </row>
    <row r="70" ht="17.25" customHeight="1" s="322">
      <c r="A70" s="27" t="n"/>
      <c r="B70" s="506">
        <f>IFERROR(__xludf.DUMMYFUNCTION("""COMPUTED_VALUE"""),45929.6666666666)</f>
        <v/>
      </c>
      <c r="C70" s="141">
        <f>IFERROR(__xludf.DUMMYFUNCTION("""COMPUTED_VALUE"""),351.79)</f>
        <v/>
      </c>
      <c r="D70" s="141">
        <f>IFERROR(__xludf.DUMMYFUNCTION("""COMPUTED_VALUE"""),352.83)</f>
        <v/>
      </c>
      <c r="E70" s="141">
        <f>IFERROR(__xludf.DUMMYFUNCTION("""COMPUTED_VALUE"""),351.28)</f>
        <v/>
      </c>
      <c r="F70" s="141">
        <f>IFERROR(__xludf.DUMMYFUNCTION("""COMPUTED_VALUE"""),352.46)</f>
        <v/>
      </c>
      <c r="G70" s="143">
        <f>IFERROR(__xludf.DUMMYFUNCTION("""COMPUTED_VALUE"""),15719623)</f>
        <v/>
      </c>
      <c r="H70" s="27" t="n"/>
    </row>
    <row r="71" ht="17.25" customHeight="1" s="322">
      <c r="A71" s="27" t="n"/>
      <c r="B71" s="506">
        <f>IFERROR(__xludf.DUMMYFUNCTION("""COMPUTED_VALUE"""),45930.6666666666)</f>
        <v/>
      </c>
      <c r="C71" s="141">
        <f>IFERROR(__xludf.DUMMYFUNCTION("""COMPUTED_VALUE"""),351.13)</f>
        <v/>
      </c>
      <c r="D71" s="141">
        <f>IFERROR(__xludf.DUMMYFUNCTION("""COMPUTED_VALUE"""),355.57)</f>
        <v/>
      </c>
      <c r="E71" s="141">
        <f>IFERROR(__xludf.DUMMYFUNCTION("""COMPUTED_VALUE"""),350.87)</f>
        <v/>
      </c>
      <c r="F71" s="141">
        <f>IFERROR(__xludf.DUMMYFUNCTION("""COMPUTED_VALUE"""),355.47)</f>
        <v/>
      </c>
      <c r="G71" s="143">
        <f>IFERROR(__xludf.DUMMYFUNCTION("""COMPUTED_VALUE"""),13312353)</f>
        <v/>
      </c>
      <c r="H71" s="27" t="n"/>
    </row>
    <row r="72" ht="17.25" customHeight="1" s="322">
      <c r="A72" s="27" t="n"/>
      <c r="B72" s="506">
        <f>IFERROR(__xludf.DUMMYFUNCTION("""COMPUTED_VALUE"""),45931.6666666666)</f>
        <v/>
      </c>
      <c r="C72" s="141">
        <f>IFERROR(__xludf.DUMMYFUNCTION("""COMPUTED_VALUE"""),356.17)</f>
        <v/>
      </c>
      <c r="D72" s="141">
        <f>IFERROR(__xludf.DUMMYFUNCTION("""COMPUTED_VALUE"""),356.97)</f>
        <v/>
      </c>
      <c r="E72" s="141">
        <f>IFERROR(__xludf.DUMMYFUNCTION("""COMPUTED_VALUE"""),354.79)</f>
        <v/>
      </c>
      <c r="F72" s="141">
        <f>IFERROR(__xludf.DUMMYFUNCTION("""COMPUTED_VALUE"""),356.03)</f>
        <v/>
      </c>
      <c r="G72" s="143">
        <f>IFERROR(__xludf.DUMMYFUNCTION("""COMPUTED_VALUE"""),15573610)</f>
        <v/>
      </c>
      <c r="H72" s="27" t="n"/>
    </row>
    <row r="73" ht="17.25" customHeight="1" s="322">
      <c r="A73" s="27" t="n"/>
      <c r="B73" s="506">
        <f>IFERROR(__xludf.DUMMYFUNCTION("""COMPUTED_VALUE"""),45932.6666666666)</f>
        <v/>
      </c>
      <c r="C73" s="141">
        <f>IFERROR(__xludf.DUMMYFUNCTION("""COMPUTED_VALUE"""),358.26)</f>
        <v/>
      </c>
      <c r="D73" s="141">
        <f>IFERROR(__xludf.DUMMYFUNCTION("""COMPUTED_VALUE"""),358.67)</f>
        <v/>
      </c>
      <c r="E73" s="141">
        <f>IFERROR(__xludf.DUMMYFUNCTION("""COMPUTED_VALUE"""),351.4)</f>
        <v/>
      </c>
      <c r="F73" s="141">
        <f>IFERROR(__xludf.DUMMYFUNCTION("""COMPUTED_VALUE"""),354.79)</f>
        <v/>
      </c>
      <c r="G73" s="143">
        <f>IFERROR(__xludf.DUMMYFUNCTION("""COMPUTED_VALUE"""),16162050)</f>
        <v/>
      </c>
      <c r="H73" s="27" t="n"/>
    </row>
    <row r="74" ht="17.25" customHeight="1" s="322">
      <c r="A74" s="27" t="n"/>
      <c r="B74" s="506">
        <f>IFERROR(__xludf.DUMMYFUNCTION("""COMPUTED_VALUE"""),45933.6666666666)</f>
        <v/>
      </c>
      <c r="C74" s="141">
        <f>IFERROR(__xludf.DUMMYFUNCTION("""COMPUTED_VALUE"""),357.12)</f>
        <v/>
      </c>
      <c r="D74" s="141">
        <f>IFERROR(__xludf.DUMMYFUNCTION("""COMPUTED_VALUE"""),358.14)</f>
        <v/>
      </c>
      <c r="E74" s="141">
        <f>IFERROR(__xludf.DUMMYFUNCTION("""COMPUTED_VALUE"""),355.8)</f>
        <v/>
      </c>
      <c r="F74" s="141">
        <f>IFERROR(__xludf.DUMMYFUNCTION("""COMPUTED_VALUE"""),357.64)</f>
        <v/>
      </c>
      <c r="G74" s="143">
        <f>IFERROR(__xludf.DUMMYFUNCTION("""COMPUTED_VALUE"""),14463960)</f>
        <v/>
      </c>
      <c r="H74" s="27" t="n"/>
    </row>
    <row r="75" ht="17.25" customHeight="1" s="322">
      <c r="A75" s="27" t="n"/>
      <c r="B75" s="506">
        <f>IFERROR(__xludf.DUMMYFUNCTION("""COMPUTED_VALUE"""),45936.6666666666)</f>
        <v/>
      </c>
      <c r="C75" s="141">
        <f>IFERROR(__xludf.DUMMYFUNCTION("""COMPUTED_VALUE"""),362.16)</f>
        <v/>
      </c>
      <c r="D75" s="141">
        <f>IFERROR(__xludf.DUMMYFUNCTION("""COMPUTED_VALUE"""),365.3)</f>
        <v/>
      </c>
      <c r="E75" s="141">
        <f>IFERROR(__xludf.DUMMYFUNCTION("""COMPUTED_VALUE"""),361.37)</f>
        <v/>
      </c>
      <c r="F75" s="141">
        <f>IFERROR(__xludf.DUMMYFUNCTION("""COMPUTED_VALUE"""),364.38)</f>
        <v/>
      </c>
      <c r="G75" s="143">
        <f>IFERROR(__xludf.DUMMYFUNCTION("""COMPUTED_VALUE"""),17093657)</f>
        <v/>
      </c>
      <c r="H75" s="27" t="n"/>
    </row>
    <row r="76" ht="17.25" customHeight="1" s="322">
      <c r="A76" s="27" t="n"/>
      <c r="B76" s="506">
        <f>IFERROR(__xludf.DUMMYFUNCTION("""COMPUTED_VALUE"""),45937.6666666666)</f>
        <v/>
      </c>
      <c r="C76" s="141">
        <f>IFERROR(__xludf.DUMMYFUNCTION("""COMPUTED_VALUE"""),366.51)</f>
        <v/>
      </c>
      <c r="D76" s="141">
        <f>IFERROR(__xludf.DUMMYFUNCTION("""COMPUTED_VALUE"""),367.27)</f>
        <v/>
      </c>
      <c r="E76" s="141">
        <f>IFERROR(__xludf.DUMMYFUNCTION("""COMPUTED_VALUE"""),364.55)</f>
        <v/>
      </c>
      <c r="F76" s="141">
        <f>IFERROR(__xludf.DUMMYFUNCTION("""COMPUTED_VALUE"""),366.26)</f>
        <v/>
      </c>
      <c r="G76" s="143">
        <f>IFERROR(__xludf.DUMMYFUNCTION("""COMPUTED_VALUE"""),16836765)</f>
        <v/>
      </c>
      <c r="H76" s="27" t="n"/>
    </row>
    <row r="77" ht="17.25" customHeight="1" s="322">
      <c r="A77" s="27" t="n"/>
      <c r="B77" s="506">
        <f>IFERROR(__xludf.DUMMYFUNCTION("""COMPUTED_VALUE"""),45938.6666666666)</f>
        <v/>
      </c>
      <c r="C77" s="141">
        <f>IFERROR(__xludf.DUMMYFUNCTION("""COMPUTED_VALUE"""),371.65)</f>
        <v/>
      </c>
      <c r="D77" s="141">
        <f>IFERROR(__xludf.DUMMYFUNCTION("""COMPUTED_VALUE"""),373.57)</f>
        <v/>
      </c>
      <c r="E77" s="141">
        <f>IFERROR(__xludf.DUMMYFUNCTION("""COMPUTED_VALUE"""),370.5)</f>
        <v/>
      </c>
      <c r="F77" s="141">
        <f>IFERROR(__xludf.DUMMYFUNCTION("""COMPUTED_VALUE"""),372.3)</f>
        <v/>
      </c>
      <c r="G77" s="143">
        <f>IFERROR(__xludf.DUMMYFUNCTION("""COMPUTED_VALUE"""),28052276)</f>
        <v/>
      </c>
      <c r="H77" s="27" t="n"/>
    </row>
    <row r="78" ht="17.25" customHeight="1" s="322">
      <c r="A78" s="27" t="n"/>
      <c r="B78" s="506">
        <f>IFERROR(__xludf.DUMMYFUNCTION("""COMPUTED_VALUE"""),45939.6666666666)</f>
        <v/>
      </c>
      <c r="C78" s="141">
        <f>IFERROR(__xludf.DUMMYFUNCTION("""COMPUTED_VALUE"""),373.14)</f>
        <v/>
      </c>
      <c r="D78" s="141">
        <f>IFERROR(__xludf.DUMMYFUNCTION("""COMPUTED_VALUE"""),373.22)</f>
        <v/>
      </c>
      <c r="E78" s="141">
        <f>IFERROR(__xludf.DUMMYFUNCTION("""COMPUTED_VALUE"""),362.83)</f>
        <v/>
      </c>
      <c r="F78" s="141">
        <f>IFERROR(__xludf.DUMMYFUNCTION("""COMPUTED_VALUE"""),365.43)</f>
        <v/>
      </c>
      <c r="G78" s="143">
        <f>IFERROR(__xludf.DUMMYFUNCTION("""COMPUTED_VALUE"""),33674823)</f>
        <v/>
      </c>
      <c r="H78" s="27" t="n"/>
    </row>
    <row r="79" ht="17.25" customHeight="1" s="322">
      <c r="A79" s="27" t="n"/>
      <c r="B79" s="506">
        <f>IFERROR(__xludf.DUMMYFUNCTION("""COMPUTED_VALUE"""),45940.6666666666)</f>
        <v/>
      </c>
      <c r="C79" s="141">
        <f>IFERROR(__xludf.DUMMYFUNCTION("""COMPUTED_VALUE"""),367.54)</f>
        <v/>
      </c>
      <c r="D79" s="141">
        <f>IFERROR(__xludf.DUMMYFUNCTION("""COMPUTED_VALUE"""),370.31)</f>
        <v/>
      </c>
      <c r="E79" s="141">
        <f>IFERROR(__xludf.DUMMYFUNCTION("""COMPUTED_VALUE"""),365.44)</f>
        <v/>
      </c>
      <c r="F79" s="141">
        <f>IFERROR(__xludf.DUMMYFUNCTION("""COMPUTED_VALUE"""),369.12)</f>
        <v/>
      </c>
      <c r="G79" s="143">
        <f>IFERROR(__xludf.DUMMYFUNCTION("""COMPUTED_VALUE"""),24192782)</f>
        <v/>
      </c>
      <c r="H79" s="27" t="n"/>
    </row>
    <row r="80" ht="17.25" customHeight="1" s="322">
      <c r="A80" s="27" t="n"/>
      <c r="B80" s="506">
        <f>IFERROR(__xludf.DUMMYFUNCTION("""COMPUTED_VALUE"""),45943.6666666666)</f>
        <v/>
      </c>
      <c r="C80" s="141">
        <f>IFERROR(__xludf.DUMMYFUNCTION("""COMPUTED_VALUE"""),376.5)</f>
        <v/>
      </c>
      <c r="D80" s="141">
        <f>IFERROR(__xludf.DUMMYFUNCTION("""COMPUTED_VALUE"""),378.86)</f>
        <v/>
      </c>
      <c r="E80" s="141">
        <f>IFERROR(__xludf.DUMMYFUNCTION("""COMPUTED_VALUE"""),375.58)</f>
        <v/>
      </c>
      <c r="F80" s="141">
        <f>IFERROR(__xludf.DUMMYFUNCTION("""COMPUTED_VALUE"""),378.09)</f>
        <v/>
      </c>
      <c r="G80" s="143">
        <f>IFERROR(__xludf.DUMMYFUNCTION("""COMPUTED_VALUE"""),18514421)</f>
        <v/>
      </c>
      <c r="H80" s="27" t="n"/>
    </row>
    <row r="81" ht="17.25" customHeight="1" s="322">
      <c r="A81" s="27" t="n"/>
      <c r="B81" s="506">
        <f>IFERROR(__xludf.DUMMYFUNCTION("""COMPUTED_VALUE"""),45944.6666666666)</f>
        <v/>
      </c>
      <c r="C81" s="141">
        <f>IFERROR(__xludf.DUMMYFUNCTION("""COMPUTED_VALUE"""),378.21)</f>
        <v/>
      </c>
      <c r="D81" s="141">
        <f>IFERROR(__xludf.DUMMYFUNCTION("""COMPUTED_VALUE"""),382.38)</f>
        <v/>
      </c>
      <c r="E81" s="141">
        <f>IFERROR(__xludf.DUMMYFUNCTION("""COMPUTED_VALUE"""),377.9)</f>
        <v/>
      </c>
      <c r="F81" s="141">
        <f>IFERROR(__xludf.DUMMYFUNCTION("""COMPUTED_VALUE"""),380.79)</f>
        <v/>
      </c>
      <c r="G81" s="143">
        <f>IFERROR(__xludf.DUMMYFUNCTION("""COMPUTED_VALUE"""),18409632)</f>
        <v/>
      </c>
      <c r="H81" s="27" t="n"/>
    </row>
    <row r="82" ht="17.25" customHeight="1" s="322">
      <c r="A82" s="27" t="n"/>
      <c r="B82" s="506">
        <f>IFERROR(__xludf.DUMMYFUNCTION("""COMPUTED_VALUE"""),45945.6666666666)</f>
        <v/>
      </c>
      <c r="C82" s="141">
        <f>IFERROR(__xludf.DUMMYFUNCTION("""COMPUTED_VALUE"""),385.93)</f>
        <v/>
      </c>
      <c r="D82" s="141">
        <f>IFERROR(__xludf.DUMMYFUNCTION("""COMPUTED_VALUE"""),387.76)</f>
        <v/>
      </c>
      <c r="E82" s="141">
        <f>IFERROR(__xludf.DUMMYFUNCTION("""COMPUTED_VALUE"""),384.59)</f>
        <v/>
      </c>
      <c r="F82" s="141">
        <f>IFERROR(__xludf.DUMMYFUNCTION("""COMPUTED_VALUE"""),387.39)</f>
        <v/>
      </c>
      <c r="G82" s="143">
        <f>IFERROR(__xludf.DUMMYFUNCTION("""COMPUTED_VALUE"""),20598324)</f>
        <v/>
      </c>
      <c r="H82" s="27" t="n"/>
    </row>
    <row r="83" ht="17.25" customHeight="1" s="322">
      <c r="A83" s="27" t="n"/>
      <c r="B83" s="506">
        <f>IFERROR(__xludf.DUMMYFUNCTION("""COMPUTED_VALUE"""),45946.6666666666)</f>
        <v/>
      </c>
      <c r="C83" s="141">
        <f>IFERROR(__xludf.DUMMYFUNCTION("""COMPUTED_VALUE"""),391.15)</f>
        <v/>
      </c>
      <c r="D83" s="141">
        <f>IFERROR(__xludf.DUMMYFUNCTION("""COMPUTED_VALUE"""),396.87)</f>
        <v/>
      </c>
      <c r="E83" s="141">
        <f>IFERROR(__xludf.DUMMYFUNCTION("""COMPUTED_VALUE"""),390.4)</f>
        <v/>
      </c>
      <c r="F83" s="141">
        <f>IFERROR(__xludf.DUMMYFUNCTION("""COMPUTED_VALUE"""),396.45)</f>
        <v/>
      </c>
      <c r="G83" s="143">
        <f>IFERROR(__xludf.DUMMYFUNCTION("""COMPUTED_VALUE"""),33621444)</f>
        <v/>
      </c>
      <c r="H83" s="27" t="n"/>
    </row>
    <row r="84" ht="17.25" customHeight="1" s="322">
      <c r="A84" s="27" t="n"/>
      <c r="B84" s="506">
        <f>IFERROR(__xludf.DUMMYFUNCTION("""COMPUTED_VALUE"""),45947.6666666666)</f>
        <v/>
      </c>
      <c r="C84" s="141">
        <f>IFERROR(__xludf.DUMMYFUNCTION("""COMPUTED_VALUE"""),397.14)</f>
        <v/>
      </c>
      <c r="D84" s="141">
        <f>IFERROR(__xludf.DUMMYFUNCTION("""COMPUTED_VALUE"""),397.28)</f>
        <v/>
      </c>
      <c r="E84" s="141">
        <f>IFERROR(__xludf.DUMMYFUNCTION("""COMPUTED_VALUE"""),385.22)</f>
        <v/>
      </c>
      <c r="F84" s="141">
        <f>IFERROR(__xludf.DUMMYFUNCTION("""COMPUTED_VALUE"""),388.99)</f>
        <v/>
      </c>
      <c r="G84" s="143">
        <f>IFERROR(__xludf.DUMMYFUNCTION("""COMPUTED_VALUE"""),62024965)</f>
        <v/>
      </c>
      <c r="H84" s="27" t="n"/>
    </row>
    <row r="85" ht="17.25" customHeight="1" s="322">
      <c r="A85" s="27" t="n"/>
      <c r="B85" s="506">
        <f>IFERROR(__xludf.DUMMYFUNCTION("""COMPUTED_VALUE"""),45950.6666666666)</f>
        <v/>
      </c>
      <c r="C85" s="141">
        <f>IFERROR(__xludf.DUMMYFUNCTION("""COMPUTED_VALUE"""),397.45)</f>
        <v/>
      </c>
      <c r="D85" s="141">
        <f>IFERROR(__xludf.DUMMYFUNCTION("""COMPUTED_VALUE"""),403.3)</f>
        <v/>
      </c>
      <c r="E85" s="141">
        <f>IFERROR(__xludf.DUMMYFUNCTION("""COMPUTED_VALUE"""),394.2)</f>
        <v/>
      </c>
      <c r="F85" s="141">
        <f>IFERROR(__xludf.DUMMYFUNCTION("""COMPUTED_VALUE"""),403.15)</f>
        <v/>
      </c>
      <c r="G85" s="143">
        <f>IFERROR(__xludf.DUMMYFUNCTION("""COMPUTED_VALUE"""),34523022)</f>
        <v/>
      </c>
      <c r="H85" s="27" t="n"/>
    </row>
    <row r="86" ht="17.25" customHeight="1" s="322">
      <c r="A86" s="27" t="n"/>
      <c r="B86" s="506">
        <f>IFERROR(__xludf.DUMMYFUNCTION("""COMPUTED_VALUE"""),45951.6666666666)</f>
        <v/>
      </c>
      <c r="C86" s="141">
        <f>IFERROR(__xludf.DUMMYFUNCTION("""COMPUTED_VALUE"""),386.54)</f>
        <v/>
      </c>
      <c r="D86" s="141">
        <f>IFERROR(__xludf.DUMMYFUNCTION("""COMPUTED_VALUE"""),388.89)</f>
        <v/>
      </c>
      <c r="E86" s="141">
        <f>IFERROR(__xludf.DUMMYFUNCTION("""COMPUTED_VALUE"""),375.65)</f>
        <v/>
      </c>
      <c r="F86" s="141">
        <f>IFERROR(__xludf.DUMMYFUNCTION("""COMPUTED_VALUE"""),377.24)</f>
        <v/>
      </c>
      <c r="G86" s="143">
        <f>IFERROR(__xludf.DUMMYFUNCTION("""COMPUTED_VALUE"""),54101416)</f>
        <v/>
      </c>
      <c r="H86" s="27" t="n"/>
    </row>
    <row r="87" ht="17.25" customHeight="1" s="322">
      <c r="A87" s="27" t="n"/>
      <c r="B87" s="506">
        <f>IFERROR(__xludf.DUMMYFUNCTION("""COMPUTED_VALUE"""),45952.6666666666)</f>
        <v/>
      </c>
      <c r="C87" s="141">
        <f>IFERROR(__xludf.DUMMYFUNCTION("""COMPUTED_VALUE"""),372.75)</f>
        <v/>
      </c>
      <c r="D87" s="141">
        <f>IFERROR(__xludf.DUMMYFUNCTION("""COMPUTED_VALUE"""),378.47)</f>
        <v/>
      </c>
      <c r="E87" s="141">
        <f>IFERROR(__xludf.DUMMYFUNCTION("""COMPUTED_VALUE"""),368.93)</f>
        <v/>
      </c>
      <c r="F87" s="141">
        <f>IFERROR(__xludf.DUMMYFUNCTION("""COMPUTED_VALUE"""),377.28)</f>
        <v/>
      </c>
      <c r="G87" s="143">
        <f>IFERROR(__xludf.DUMMYFUNCTION("""COMPUTED_VALUE"""),30524126)</f>
        <v/>
      </c>
      <c r="H87" s="27" t="n"/>
    </row>
    <row r="88" ht="17.25" customHeight="1" s="322">
      <c r="A88" s="27" t="n"/>
      <c r="B88" s="506">
        <f>IFERROR(__xludf.DUMMYFUNCTION("""COMPUTED_VALUE"""),45953.6666666666)</f>
        <v/>
      </c>
      <c r="C88" s="141">
        <f>IFERROR(__xludf.DUMMYFUNCTION("""COMPUTED_VALUE"""),381.46)</f>
        <v/>
      </c>
      <c r="D88" s="141">
        <f>IFERROR(__xludf.DUMMYFUNCTION("""COMPUTED_VALUE"""),382.25)</f>
        <v/>
      </c>
      <c r="E88" s="141">
        <f>IFERROR(__xludf.DUMMYFUNCTION("""COMPUTED_VALUE"""),378.65)</f>
        <v/>
      </c>
      <c r="F88" s="141">
        <f>IFERROR(__xludf.DUMMYFUNCTION("""COMPUTED_VALUE"""),378.79)</f>
        <v/>
      </c>
      <c r="G88" s="143">
        <f>IFERROR(__xludf.DUMMYFUNCTION("""COMPUTED_VALUE"""),13695495)</f>
        <v/>
      </c>
      <c r="H88" s="27" t="n"/>
    </row>
    <row r="89" ht="17.25" customHeight="1" s="322">
      <c r="A89" s="27" t="n"/>
      <c r="B89" s="506">
        <f>IFERROR(__xludf.DUMMYFUNCTION("""COMPUTED_VALUE"""),45954.6666666666)</f>
        <v/>
      </c>
      <c r="C89" s="141">
        <f>IFERROR(__xludf.DUMMYFUNCTION("""COMPUTED_VALUE"""),378.51)</f>
        <v/>
      </c>
      <c r="D89" s="141">
        <f>IFERROR(__xludf.DUMMYFUNCTION("""COMPUTED_VALUE"""),380.77)</f>
        <v/>
      </c>
      <c r="E89" s="141">
        <f>IFERROR(__xludf.DUMMYFUNCTION("""COMPUTED_VALUE"""),376.81)</f>
        <v/>
      </c>
      <c r="F89" s="141">
        <f>IFERROR(__xludf.DUMMYFUNCTION("""COMPUTED_VALUE"""),377.52)</f>
        <v/>
      </c>
      <c r="G89" s="143">
        <f>IFERROR(__xludf.DUMMYFUNCTION("""COMPUTED_VALUE"""),13263803)</f>
        <v/>
      </c>
      <c r="H89" s="27" t="n"/>
    </row>
    <row r="90" ht="17.25" customHeight="1" s="322">
      <c r="A90" s="27" t="n"/>
      <c r="B90" s="506">
        <f>IFERROR(__xludf.DUMMYFUNCTION("""COMPUTED_VALUE"""),45957.6666666666)</f>
        <v/>
      </c>
      <c r="C90" s="141">
        <f>IFERROR(__xludf.DUMMYFUNCTION("""COMPUTED_VALUE"""),371.13)</f>
        <v/>
      </c>
      <c r="D90" s="141">
        <f>IFERROR(__xludf.DUMMYFUNCTION("""COMPUTED_VALUE"""),371.59)</f>
        <v/>
      </c>
      <c r="E90" s="141">
        <f>IFERROR(__xludf.DUMMYFUNCTION("""COMPUTED_VALUE"""),365.34)</f>
        <v/>
      </c>
      <c r="F90" s="141">
        <f>IFERROR(__xludf.DUMMYFUNCTION("""COMPUTED_VALUE"""),367.01)</f>
        <v/>
      </c>
      <c r="G90" s="143">
        <f>IFERROR(__xludf.DUMMYFUNCTION("""COMPUTED_VALUE"""),23657603)</f>
        <v/>
      </c>
      <c r="H90" s="27" t="n"/>
    </row>
    <row r="91" ht="17.25" customHeight="1" s="322">
      <c r="A91" s="27" t="n"/>
      <c r="B91" s="506">
        <f>IFERROR(__xludf.DUMMYFUNCTION("""COMPUTED_VALUE"""),45958.6666666666)</f>
        <v/>
      </c>
      <c r="C91" s="141">
        <f>IFERROR(__xludf.DUMMYFUNCTION("""COMPUTED_VALUE"""),361.81)</f>
        <v/>
      </c>
      <c r="D91" s="141">
        <f>IFERROR(__xludf.DUMMYFUNCTION("""COMPUTED_VALUE"""),365.3)</f>
        <v/>
      </c>
      <c r="E91" s="141">
        <f>IFERROR(__xludf.DUMMYFUNCTION("""COMPUTED_VALUE"""),360.12)</f>
        <v/>
      </c>
      <c r="F91" s="141">
        <f>IFERROR(__xludf.DUMMYFUNCTION("""COMPUTED_VALUE"""),364.38)</f>
        <v/>
      </c>
      <c r="G91" s="143">
        <f>IFERROR(__xludf.DUMMYFUNCTION("""COMPUTED_VALUE"""),19257592)</f>
        <v/>
      </c>
      <c r="H91" s="27" t="n"/>
    </row>
    <row r="92" ht="17.25" customHeight="1" s="322">
      <c r="A92" s="27" t="n"/>
      <c r="B92" s="506">
        <f>IFERROR(__xludf.DUMMYFUNCTION("""COMPUTED_VALUE"""),45959.6666666666)</f>
        <v/>
      </c>
      <c r="C92" s="141">
        <f>IFERROR(__xludf.DUMMYFUNCTION("""COMPUTED_VALUE"""),369.65)</f>
        <v/>
      </c>
      <c r="D92" s="141">
        <f>IFERROR(__xludf.DUMMYFUNCTION("""COMPUTED_VALUE"""),370.08)</f>
        <v/>
      </c>
      <c r="E92" s="141">
        <f>IFERROR(__xludf.DUMMYFUNCTION("""COMPUTED_VALUE"""),361.36)</f>
        <v/>
      </c>
      <c r="F92" s="141">
        <f>IFERROR(__xludf.DUMMYFUNCTION("""COMPUTED_VALUE"""),363)</f>
        <v/>
      </c>
      <c r="G92" s="143">
        <f>IFERROR(__xludf.DUMMYFUNCTION("""COMPUTED_VALUE"""),18891849)</f>
        <v/>
      </c>
      <c r="H92" s="27" t="n"/>
    </row>
    <row r="93" ht="17.25" customHeight="1" s="322">
      <c r="A93" s="27" t="n"/>
      <c r="B93" s="506">
        <f>IFERROR(__xludf.DUMMYFUNCTION("""COMPUTED_VALUE"""),45960.6666666666)</f>
        <v/>
      </c>
      <c r="C93" s="141">
        <f>IFERROR(__xludf.DUMMYFUNCTION("""COMPUTED_VALUE"""),365.09)</f>
        <v/>
      </c>
      <c r="D93" s="141">
        <f>IFERROR(__xludf.DUMMYFUNCTION("""COMPUTED_VALUE"""),370.36)</f>
        <v/>
      </c>
      <c r="E93" s="141">
        <f>IFERROR(__xludf.DUMMYFUNCTION("""COMPUTED_VALUE"""),364.5)</f>
        <v/>
      </c>
      <c r="F93" s="141">
        <f>IFERROR(__xludf.DUMMYFUNCTION("""COMPUTED_VALUE"""),370.13)</f>
        <v/>
      </c>
      <c r="G93" s="143">
        <f>IFERROR(__xludf.DUMMYFUNCTION("""COMPUTED_VALUE"""),14812754)</f>
        <v/>
      </c>
      <c r="H93" s="27" t="n"/>
    </row>
    <row r="94" ht="17.25" customHeight="1" s="322">
      <c r="A94" s="27" t="n"/>
      <c r="B94" s="506">
        <f>IFERROR(__xludf.DUMMYFUNCTION("""COMPUTED_VALUE"""),45961.6666666666)</f>
        <v/>
      </c>
      <c r="C94" s="141">
        <f>IFERROR(__xludf.DUMMYFUNCTION("""COMPUTED_VALUE"""),370.47)</f>
        <v/>
      </c>
      <c r="D94" s="141">
        <f>IFERROR(__xludf.DUMMYFUNCTION("""COMPUTED_VALUE"""),370.66)</f>
        <v/>
      </c>
      <c r="E94" s="141">
        <f>IFERROR(__xludf.DUMMYFUNCTION("""COMPUTED_VALUE"""),365.5)</f>
        <v/>
      </c>
      <c r="F94" s="141">
        <f>IFERROR(__xludf.DUMMYFUNCTION("""COMPUTED_VALUE"""),368.12)</f>
        <v/>
      </c>
      <c r="G94" s="143">
        <f>IFERROR(__xludf.DUMMYFUNCTION("""COMPUTED_VALUE"""),11077910)</f>
        <v/>
      </c>
      <c r="H94" s="27" t="n"/>
    </row>
    <row r="95" ht="17.25" customHeight="1" s="322">
      <c r="A95" s="27" t="n"/>
      <c r="B95" s="506">
        <f>IFERROR(__xludf.DUMMYFUNCTION("""COMPUTED_VALUE"""),45964.6666666666)</f>
        <v/>
      </c>
      <c r="C95" s="141">
        <f>IFERROR(__xludf.DUMMYFUNCTION("""COMPUTED_VALUE"""),368.91)</f>
        <v/>
      </c>
      <c r="D95" s="141">
        <f>IFERROR(__xludf.DUMMYFUNCTION("""COMPUTED_VALUE"""),370.84)</f>
        <v/>
      </c>
      <c r="E95" s="141">
        <f>IFERROR(__xludf.DUMMYFUNCTION("""COMPUTED_VALUE"""),367.54)</f>
        <v/>
      </c>
      <c r="F95" s="141">
        <f>IFERROR(__xludf.DUMMYFUNCTION("""COMPUTED_VALUE"""),368.78)</f>
        <v/>
      </c>
      <c r="G95" s="143">
        <f>IFERROR(__xludf.DUMMYFUNCTION("""COMPUTED_VALUE"""),7254265)</f>
        <v/>
      </c>
      <c r="H95" s="27" t="n"/>
    </row>
    <row r="96" ht="17.25" customHeight="1" s="322">
      <c r="A96" s="27" t="n"/>
      <c r="B96" s="506">
        <f>IFERROR(__xludf.DUMMYFUNCTION("""COMPUTED_VALUE"""),45965.6666666666)</f>
        <v/>
      </c>
      <c r="C96" s="141">
        <f>IFERROR(__xludf.DUMMYFUNCTION("""COMPUTED_VALUE"""),363.48)</f>
        <v/>
      </c>
      <c r="D96" s="141">
        <f>IFERROR(__xludf.DUMMYFUNCTION("""COMPUTED_VALUE"""),365.74)</f>
        <v/>
      </c>
      <c r="E96" s="141">
        <f>IFERROR(__xludf.DUMMYFUNCTION("""COMPUTED_VALUE"""),361.39)</f>
        <v/>
      </c>
      <c r="F96" s="141">
        <f>IFERROR(__xludf.DUMMYFUNCTION("""COMPUTED_VALUE"""),362.32)</f>
        <v/>
      </c>
      <c r="G96" s="143">
        <f>IFERROR(__xludf.DUMMYFUNCTION("""COMPUTED_VALUE"""),11540059)</f>
        <v/>
      </c>
      <c r="H96" s="27" t="n"/>
    </row>
    <row r="97" ht="17.25" customHeight="1" s="322">
      <c r="A97" s="27" t="n"/>
      <c r="B97" s="506">
        <f>IFERROR(__xludf.DUMMYFUNCTION("""COMPUTED_VALUE"""),45966.6666666666)</f>
        <v/>
      </c>
      <c r="C97" s="141">
        <f>IFERROR(__xludf.DUMMYFUNCTION("""COMPUTED_VALUE"""),366.39)</f>
        <v/>
      </c>
      <c r="D97" s="141">
        <f>IFERROR(__xludf.DUMMYFUNCTION("""COMPUTED_VALUE"""),367.1)</f>
        <v/>
      </c>
      <c r="E97" s="141">
        <f>IFERROR(__xludf.DUMMYFUNCTION("""COMPUTED_VALUE"""),364.65)</f>
        <v/>
      </c>
      <c r="F97" s="141">
        <f>IFERROR(__xludf.DUMMYFUNCTION("""COMPUTED_VALUE"""),366.51)</f>
        <v/>
      </c>
      <c r="G97" s="143">
        <f>IFERROR(__xludf.DUMMYFUNCTION("""COMPUTED_VALUE"""),8357300)</f>
        <v/>
      </c>
      <c r="H97" s="27" t="n"/>
    </row>
    <row r="98" ht="17.25" customHeight="1" s="322">
      <c r="A98" s="27" t="n"/>
      <c r="B98" s="506">
        <f>IFERROR(__xludf.DUMMYFUNCTION("""COMPUTED_VALUE"""),45967.6666666666)</f>
        <v/>
      </c>
      <c r="C98" s="141">
        <f>IFERROR(__xludf.DUMMYFUNCTION("""COMPUTED_VALUE"""),367.16)</f>
        <v/>
      </c>
      <c r="D98" s="141">
        <f>IFERROR(__xludf.DUMMYFUNCTION("""COMPUTED_VALUE"""),368.18)</f>
        <v/>
      </c>
      <c r="E98" s="141">
        <f>IFERROR(__xludf.DUMMYFUNCTION("""COMPUTED_VALUE"""),364.7)</f>
        <v/>
      </c>
      <c r="F98" s="141">
        <f>IFERROR(__xludf.DUMMYFUNCTION("""COMPUTED_VALUE"""),366.07)</f>
        <v/>
      </c>
      <c r="G98" s="143">
        <f>IFERROR(__xludf.DUMMYFUNCTION("""COMPUTED_VALUE"""),6891096)</f>
        <v/>
      </c>
      <c r="H98" s="27" t="n"/>
    </row>
    <row r="99" ht="17.25" customHeight="1" s="322">
      <c r="A99" s="27" t="n"/>
      <c r="B99" s="506">
        <f>IFERROR(__xludf.DUMMYFUNCTION("""COMPUTED_VALUE"""),45968.6666666666)</f>
        <v/>
      </c>
      <c r="C99" s="141">
        <f>IFERROR(__xludf.DUMMYFUNCTION("""COMPUTED_VALUE"""),367.94)</f>
        <v/>
      </c>
      <c r="D99" s="141">
        <f>IFERROR(__xludf.DUMMYFUNCTION("""COMPUTED_VALUE"""),370.42)</f>
        <v/>
      </c>
      <c r="E99" s="141">
        <f>IFERROR(__xludf.DUMMYFUNCTION("""COMPUTED_VALUE"""),366.42)</f>
        <v/>
      </c>
      <c r="F99" s="141">
        <f>IFERROR(__xludf.DUMMYFUNCTION("""COMPUTED_VALUE"""),368.31)</f>
        <v/>
      </c>
      <c r="G99" s="143">
        <f>IFERROR(__xludf.DUMMYFUNCTION("""COMPUTED_VALUE"""),11060358)</f>
        <v/>
      </c>
      <c r="H99" s="27" t="n"/>
    </row>
    <row r="100" ht="17.25" customHeight="1" s="322">
      <c r="A100" s="27" t="n"/>
      <c r="B100" s="506">
        <f>IFERROR(__xludf.DUMMYFUNCTION("""COMPUTED_VALUE"""),45971.6666666666)</f>
        <v/>
      </c>
      <c r="C100" s="141">
        <f>IFERROR(__xludf.DUMMYFUNCTION("""COMPUTED_VALUE"""),375.93)</f>
        <v/>
      </c>
      <c r="D100" s="141">
        <f>IFERROR(__xludf.DUMMYFUNCTION("""COMPUTED_VALUE"""),378.66)</f>
        <v/>
      </c>
      <c r="E100" s="141">
        <f>IFERROR(__xludf.DUMMYFUNCTION("""COMPUTED_VALUE"""),374.78)</f>
        <v/>
      </c>
      <c r="F100" s="141">
        <f>IFERROR(__xludf.DUMMYFUNCTION("""COMPUTED_VALUE"""),378.38)</f>
        <v/>
      </c>
      <c r="G100" s="143">
        <f>IFERROR(__xludf.DUMMYFUNCTION("""COMPUTED_VALUE"""),13456212)</f>
        <v/>
      </c>
      <c r="H100" s="27" t="n"/>
    </row>
    <row r="101" ht="17.25" customHeight="1" s="322">
      <c r="A101" s="27" t="n"/>
      <c r="B101" s="506">
        <f>IFERROR(__xludf.DUMMYFUNCTION("""COMPUTED_VALUE"""),45972.6666666666)</f>
        <v/>
      </c>
      <c r="C101" s="141">
        <f>IFERROR(__xludf.DUMMYFUNCTION("""COMPUTED_VALUE"""),379.98)</f>
        <v/>
      </c>
      <c r="D101" s="141">
        <f>IFERROR(__xludf.DUMMYFUNCTION("""COMPUTED_VALUE"""),380.4)</f>
        <v/>
      </c>
      <c r="E101" s="141">
        <f>IFERROR(__xludf.DUMMYFUNCTION("""COMPUTED_VALUE"""),376.87)</f>
        <v/>
      </c>
      <c r="F101" s="141">
        <f>IFERROR(__xludf.DUMMYFUNCTION("""COMPUTED_VALUE"""),379.87)</f>
        <v/>
      </c>
      <c r="G101" s="143">
        <f>IFERROR(__xludf.DUMMYFUNCTION("""COMPUTED_VALUE"""),10753182)</f>
        <v/>
      </c>
      <c r="H101" s="27" t="n"/>
    </row>
    <row r="102" ht="17.25" customHeight="1" s="322">
      <c r="A102" s="27" t="n"/>
      <c r="B102" s="506">
        <f>IFERROR(__xludf.DUMMYFUNCTION("""COMPUTED_VALUE"""),45973.6666666666)</f>
        <v/>
      </c>
      <c r="C102" s="141">
        <f>IFERROR(__xludf.DUMMYFUNCTION("""COMPUTED_VALUE"""),380.07)</f>
        <v/>
      </c>
      <c r="D102" s="141">
        <f>IFERROR(__xludf.DUMMYFUNCTION("""COMPUTED_VALUE"""),387.46)</f>
        <v/>
      </c>
      <c r="E102" s="141">
        <f>IFERROR(__xludf.DUMMYFUNCTION("""COMPUTED_VALUE"""),379.44)</f>
        <v/>
      </c>
      <c r="F102" s="141">
        <f>IFERROR(__xludf.DUMMYFUNCTION("""COMPUTED_VALUE"""),385.99)</f>
        <v/>
      </c>
      <c r="G102" s="143">
        <f>IFERROR(__xludf.DUMMYFUNCTION("""COMPUTED_VALUE"""),16203718)</f>
        <v/>
      </c>
      <c r="H102" s="27" t="n"/>
    </row>
    <row r="103" ht="17.25" customHeight="1" s="322">
      <c r="A103" s="27" t="n"/>
      <c r="B103" s="506">
        <f>IFERROR(__xludf.DUMMYFUNCTION("""COMPUTED_VALUE"""),45974.6666666666)</f>
        <v/>
      </c>
      <c r="C103" s="141">
        <f>IFERROR(__xludf.DUMMYFUNCTION("""COMPUTED_VALUE"""),387.29)</f>
        <v/>
      </c>
      <c r="D103" s="141">
        <f>IFERROR(__xludf.DUMMYFUNCTION("""COMPUTED_VALUE"""),388.18)</f>
        <v/>
      </c>
      <c r="E103" s="141">
        <f>IFERROR(__xludf.DUMMYFUNCTION("""COMPUTED_VALUE"""),381.21)</f>
        <v/>
      </c>
      <c r="F103" s="141">
        <f>IFERROR(__xludf.DUMMYFUNCTION("""COMPUTED_VALUE"""),382.87)</f>
        <v/>
      </c>
      <c r="G103" s="143">
        <f>IFERROR(__xludf.DUMMYFUNCTION("""COMPUTED_VALUE"""),15867869)</f>
        <v/>
      </c>
      <c r="H103" s="27" t="n"/>
    </row>
    <row r="104" ht="17.25" customHeight="1" s="322">
      <c r="A104" s="27" t="n"/>
      <c r="B104" s="506">
        <f>IFERROR(__xludf.DUMMYFUNCTION("""COMPUTED_VALUE"""),45975.6666666666)</f>
        <v/>
      </c>
      <c r="C104" s="141">
        <f>IFERROR(__xludf.DUMMYFUNCTION("""COMPUTED_VALUE"""),372.87)</f>
        <v/>
      </c>
      <c r="D104" s="141">
        <f>IFERROR(__xludf.DUMMYFUNCTION("""COMPUTED_VALUE"""),378.2)</f>
        <v/>
      </c>
      <c r="E104" s="141">
        <f>IFERROR(__xludf.DUMMYFUNCTION("""COMPUTED_VALUE"""),370.89)</f>
        <v/>
      </c>
      <c r="F104" s="141">
        <f>IFERROR(__xludf.DUMMYFUNCTION("""COMPUTED_VALUE"""),375.96)</f>
        <v/>
      </c>
      <c r="G104" s="143">
        <f>IFERROR(__xludf.DUMMYFUNCTION("""COMPUTED_VALUE"""),15198027)</f>
        <v/>
      </c>
      <c r="H104" s="27" t="n"/>
    </row>
    <row r="105" ht="17.25" customHeight="1" s="322">
      <c r="A105" s="27" t="n"/>
      <c r="B105" s="506">
        <f>IFERROR(__xludf.DUMMYFUNCTION("""COMPUTED_VALUE"""),45978.6666666666)</f>
        <v/>
      </c>
      <c r="C105" s="141">
        <f>IFERROR(__xludf.DUMMYFUNCTION("""COMPUTED_VALUE"""),374.04)</f>
        <v/>
      </c>
      <c r="D105" s="141">
        <f>IFERROR(__xludf.DUMMYFUNCTION("""COMPUTED_VALUE"""),375.46)</f>
        <v/>
      </c>
      <c r="E105" s="141">
        <f>IFERROR(__xludf.DUMMYFUNCTION("""COMPUTED_VALUE"""),368.52)</f>
        <v/>
      </c>
      <c r="F105" s="141">
        <f>IFERROR(__xludf.DUMMYFUNCTION("""COMPUTED_VALUE"""),371.65)</f>
        <v/>
      </c>
      <c r="G105" s="143">
        <f>IFERROR(__xludf.DUMMYFUNCTION("""COMPUTED_VALUE"""),13295248)</f>
        <v/>
      </c>
      <c r="H105" s="27" t="n"/>
    </row>
    <row r="106" ht="17.25" customHeight="1" s="322">
      <c r="A106" s="27" t="n"/>
      <c r="B106" s="506">
        <f>IFERROR(__xludf.DUMMYFUNCTION("""COMPUTED_VALUE"""),45979.6666666666)</f>
        <v/>
      </c>
      <c r="C106" s="141">
        <f>IFERROR(__xludf.DUMMYFUNCTION("""COMPUTED_VALUE"""),374.83)</f>
        <v/>
      </c>
      <c r="D106" s="141">
        <f>IFERROR(__xludf.DUMMYFUNCTION("""COMPUTED_VALUE"""),375.54)</f>
        <v/>
      </c>
      <c r="E106" s="141">
        <f>IFERROR(__xludf.DUMMYFUNCTION("""COMPUTED_VALUE"""),371.62)</f>
        <v/>
      </c>
      <c r="F106" s="141">
        <f>IFERROR(__xludf.DUMMYFUNCTION("""COMPUTED_VALUE"""),374.35)</f>
        <v/>
      </c>
      <c r="G106" s="143">
        <f>IFERROR(__xludf.DUMMYFUNCTION("""COMPUTED_VALUE"""),7818783)</f>
        <v/>
      </c>
      <c r="H106" s="27" t="n"/>
    </row>
    <row r="107" ht="17.25" customHeight="1" s="322">
      <c r="A107" s="27" t="n"/>
      <c r="B107" s="506">
        <f>IFERROR(__xludf.DUMMYFUNCTION("""COMPUTED_VALUE"""),45980.6666666666)</f>
        <v/>
      </c>
      <c r="C107" s="141">
        <f>IFERROR(__xludf.DUMMYFUNCTION("""COMPUTED_VALUE"""),377.78)</f>
        <v/>
      </c>
      <c r="D107" s="141">
        <f>IFERROR(__xludf.DUMMYFUNCTION("""COMPUTED_VALUE"""),380.17)</f>
        <v/>
      </c>
      <c r="E107" s="141">
        <f>IFERROR(__xludf.DUMMYFUNCTION("""COMPUTED_VALUE"""),373.03)</f>
        <v/>
      </c>
      <c r="F107" s="141">
        <f>IFERROR(__xludf.DUMMYFUNCTION("""COMPUTED_VALUE"""),374.96)</f>
        <v/>
      </c>
      <c r="G107" s="143">
        <f>IFERROR(__xludf.DUMMYFUNCTION("""COMPUTED_VALUE"""),10980420)</f>
        <v/>
      </c>
      <c r="H107" s="27" t="n"/>
    </row>
    <row r="108" ht="17.25" customHeight="1" s="322">
      <c r="A108" s="27" t="n"/>
      <c r="B108" s="506">
        <f>IFERROR(__xludf.DUMMYFUNCTION("""COMPUTED_VALUE"""),45981.6666666666)</f>
        <v/>
      </c>
      <c r="C108" s="141">
        <f>IFERROR(__xludf.DUMMYFUNCTION("""COMPUTED_VALUE"""),375.29)</f>
        <v/>
      </c>
      <c r="D108" s="141">
        <f>IFERROR(__xludf.DUMMYFUNCTION("""COMPUTED_VALUE"""),377.69)</f>
        <v/>
      </c>
      <c r="E108" s="141">
        <f>IFERROR(__xludf.DUMMYFUNCTION("""COMPUTED_VALUE"""),371.85)</f>
        <v/>
      </c>
      <c r="F108" s="141">
        <f>IFERROR(__xludf.DUMMYFUNCTION("""COMPUTED_VALUE"""),374.85)</f>
        <v/>
      </c>
      <c r="G108" s="143">
        <f>IFERROR(__xludf.DUMMYFUNCTION("""COMPUTED_VALUE"""),10506548)</f>
        <v/>
      </c>
      <c r="H108" s="27" t="n"/>
    </row>
    <row r="109" ht="17.25" customHeight="1" s="322">
      <c r="A109" s="27" t="n"/>
      <c r="B109" s="506">
        <f>IFERROR(__xludf.DUMMYFUNCTION("""COMPUTED_VALUE"""),45982.6666666666)</f>
        <v/>
      </c>
      <c r="C109" s="141">
        <f>IFERROR(__xludf.DUMMYFUNCTION("""COMPUTED_VALUE"""),374.03)</f>
        <v/>
      </c>
      <c r="D109" s="141">
        <f>IFERROR(__xludf.DUMMYFUNCTION("""COMPUTED_VALUE"""),377.23)</f>
        <v/>
      </c>
      <c r="E109" s="141">
        <f>IFERROR(__xludf.DUMMYFUNCTION("""COMPUTED_VALUE"""),372.94)</f>
        <v/>
      </c>
      <c r="F109" s="141">
        <f>IFERROR(__xludf.DUMMYFUNCTION("""COMPUTED_VALUE"""),374.27)</f>
        <v/>
      </c>
      <c r="G109" s="143">
        <f>IFERROR(__xludf.DUMMYFUNCTION("""COMPUTED_VALUE"""),13194563)</f>
        <v/>
      </c>
      <c r="H109" s="27" t="n"/>
    </row>
    <row r="110" ht="17.25" customHeight="1" s="322">
      <c r="A110" s="27" t="n"/>
      <c r="B110" s="506">
        <f>IFERROR(__xludf.DUMMYFUNCTION("""COMPUTED_VALUE"""),45985.6666666666)</f>
        <v/>
      </c>
      <c r="C110" s="141">
        <f>IFERROR(__xludf.DUMMYFUNCTION("""COMPUTED_VALUE"""),374.88)</f>
        <v/>
      </c>
      <c r="D110" s="141">
        <f>IFERROR(__xludf.DUMMYFUNCTION("""COMPUTED_VALUE"""),380.28)</f>
        <v/>
      </c>
      <c r="E110" s="141">
        <f>IFERROR(__xludf.DUMMYFUNCTION("""COMPUTED_VALUE"""),374.19)</f>
        <v/>
      </c>
      <c r="F110" s="141">
        <f>IFERROR(__xludf.DUMMYFUNCTION("""COMPUTED_VALUE"""),380.2)</f>
        <v/>
      </c>
      <c r="G110" s="143">
        <f>IFERROR(__xludf.DUMMYFUNCTION("""COMPUTED_VALUE"""),10085318)</f>
        <v/>
      </c>
      <c r="H110" s="27" t="n"/>
    </row>
    <row r="111" ht="17.25" customHeight="1" s="322">
      <c r="A111" s="27" t="n"/>
      <c r="B111" s="506">
        <f>IFERROR(__xludf.DUMMYFUNCTION("""COMPUTED_VALUE"""),45986.6666666666)</f>
        <v/>
      </c>
      <c r="C111" s="141">
        <f>IFERROR(__xludf.DUMMYFUNCTION("""COMPUTED_VALUE"""),380.26)</f>
        <v/>
      </c>
      <c r="D111" s="141">
        <f>IFERROR(__xludf.DUMMYFUNCTION("""COMPUTED_VALUE"""),382.52)</f>
        <v/>
      </c>
      <c r="E111" s="141">
        <f>IFERROR(__xludf.DUMMYFUNCTION("""COMPUTED_VALUE"""),378.06)</f>
        <v/>
      </c>
      <c r="F111" s="141">
        <f>IFERROR(__xludf.DUMMYFUNCTION("""COMPUTED_VALUE"""),380.08)</f>
        <v/>
      </c>
      <c r="G111" s="143">
        <f>IFERROR(__xludf.DUMMYFUNCTION("""COMPUTED_VALUE"""),10462806)</f>
        <v/>
      </c>
      <c r="H111" s="27" t="n"/>
    </row>
    <row r="112" ht="17.25" customHeight="1" s="322">
      <c r="A112" s="27" t="n"/>
      <c r="B112" s="506">
        <f>IFERROR(__xludf.DUMMYFUNCTION("""COMPUTED_VALUE"""),45987.6666666666)</f>
        <v/>
      </c>
      <c r="C112" s="141">
        <f>IFERROR(__xludf.DUMMYFUNCTION("""COMPUTED_VALUE"""),381.06)</f>
        <v/>
      </c>
      <c r="D112" s="141">
        <f>IFERROR(__xludf.DUMMYFUNCTION("""COMPUTED_VALUE"""),383.78)</f>
        <v/>
      </c>
      <c r="E112" s="141">
        <f>IFERROR(__xludf.DUMMYFUNCTION("""COMPUTED_VALUE"""),380.46)</f>
        <v/>
      </c>
      <c r="F112" s="141">
        <f>IFERROR(__xludf.DUMMYFUNCTION("""COMPUTED_VALUE"""),383.12)</f>
        <v/>
      </c>
      <c r="G112" s="143">
        <f>IFERROR(__xludf.DUMMYFUNCTION("""COMPUTED_VALUE"""),9184071)</f>
        <v/>
      </c>
      <c r="H112" s="27" t="n"/>
    </row>
    <row r="113" ht="17.25" customHeight="1" s="322">
      <c r="A113" s="27" t="n"/>
      <c r="B113" s="506">
        <f>IFERROR(__xludf.DUMMYFUNCTION("""COMPUTED_VALUE"""),45989.5520833333)</f>
        <v/>
      </c>
      <c r="C113" s="141">
        <f>IFERROR(__xludf.DUMMYFUNCTION("""COMPUTED_VALUE"""),385.98)</f>
        <v/>
      </c>
      <c r="D113" s="141">
        <f>IFERROR(__xludf.DUMMYFUNCTION("""COMPUTED_VALUE"""),388)</f>
        <v/>
      </c>
      <c r="E113" s="141">
        <f>IFERROR(__xludf.DUMMYFUNCTION("""COMPUTED_VALUE"""),384.99)</f>
        <v/>
      </c>
      <c r="F113" s="141">
        <f>IFERROR(__xludf.DUMMYFUNCTION("""COMPUTED_VALUE"""),387.88)</f>
        <v/>
      </c>
      <c r="G113" s="143">
        <f>IFERROR(__xludf.DUMMYFUNCTION("""COMPUTED_VALUE"""),7175407)</f>
        <v/>
      </c>
      <c r="H113" s="27" t="n"/>
    </row>
    <row r="114" ht="17.25" customHeight="1" s="322">
      <c r="A114" s="27" t="n"/>
      <c r="B114" s="506">
        <f>IFERROR(__xludf.DUMMYFUNCTION("""COMPUTED_VALUE"""),45992.6666666666)</f>
        <v/>
      </c>
      <c r="C114" s="141">
        <f>IFERROR(__xludf.DUMMYFUNCTION("""COMPUTED_VALUE"""),390.61)</f>
        <v/>
      </c>
      <c r="D114" s="141">
        <f>IFERROR(__xludf.DUMMYFUNCTION("""COMPUTED_VALUE"""),390.7)</f>
        <v/>
      </c>
      <c r="E114" s="141">
        <f>IFERROR(__xludf.DUMMYFUNCTION("""COMPUTED_VALUE"""),388.06)</f>
        <v/>
      </c>
      <c r="F114" s="141">
        <f>IFERROR(__xludf.DUMMYFUNCTION("""COMPUTED_VALUE"""),389.75)</f>
        <v/>
      </c>
      <c r="G114" s="143">
        <f>IFERROR(__xludf.DUMMYFUNCTION("""COMPUTED_VALUE"""),11177072)</f>
        <v/>
      </c>
      <c r="H114" s="27" t="n"/>
    </row>
    <row r="115" ht="17.25" customHeight="1" s="322">
      <c r="A115" s="27" t="n"/>
      <c r="B115" s="506">
        <f>IFERROR(__xludf.DUMMYFUNCTION("""COMPUTED_VALUE"""),45993.6666666666)</f>
        <v/>
      </c>
      <c r="C115" s="141">
        <f>IFERROR(__xludf.DUMMYFUNCTION("""COMPUTED_VALUE"""),388.87)</f>
        <v/>
      </c>
      <c r="D115" s="141">
        <f>IFERROR(__xludf.DUMMYFUNCTION("""COMPUTED_VALUE"""),388.98)</f>
        <v/>
      </c>
      <c r="E115" s="141">
        <f>IFERROR(__xludf.DUMMYFUNCTION("""COMPUTED_VALUE"""),382.91)</f>
        <v/>
      </c>
      <c r="F115" s="141">
        <f>IFERROR(__xludf.DUMMYFUNCTION("""COMPUTED_VALUE"""),387.24)</f>
        <v/>
      </c>
      <c r="G115" s="143">
        <f>IFERROR(__xludf.DUMMYFUNCTION("""COMPUTED_VALUE"""),8103923)</f>
        <v/>
      </c>
      <c r="H115" s="27" t="n"/>
    </row>
    <row r="116" ht="17.25" customHeight="1" s="322">
      <c r="A116" s="27" t="n"/>
      <c r="B116" s="506">
        <f>IFERROR(__xludf.DUMMYFUNCTION("""COMPUTED_VALUE"""),45994.6666666666)</f>
        <v/>
      </c>
      <c r="C116" s="141">
        <f>IFERROR(__xludf.DUMMYFUNCTION("""COMPUTED_VALUE"""),388.46)</f>
        <v/>
      </c>
      <c r="D116" s="141">
        <f>IFERROR(__xludf.DUMMYFUNCTION("""COMPUTED_VALUE"""),390.13)</f>
        <v/>
      </c>
      <c r="E116" s="141">
        <f>IFERROR(__xludf.DUMMYFUNCTION("""COMPUTED_VALUE"""),385.83)</f>
        <v/>
      </c>
      <c r="F116" s="141">
        <f>IFERROR(__xludf.DUMMYFUNCTION("""COMPUTED_VALUE"""),386.88)</f>
        <v/>
      </c>
      <c r="G116" s="143">
        <f>IFERROR(__xludf.DUMMYFUNCTION("""COMPUTED_VALUE"""),7886793)</f>
        <v/>
      </c>
      <c r="H116" s="27" t="n"/>
    </row>
    <row r="117" ht="17.25" customHeight="1" s="322">
      <c r="A117" s="27" t="n"/>
      <c r="B117" s="506">
        <f>IFERROR(__xludf.DUMMYFUNCTION("""COMPUTED_VALUE"""),45995.6666666666)</f>
        <v/>
      </c>
      <c r="C117" s="141">
        <f>IFERROR(__xludf.DUMMYFUNCTION("""COMPUTED_VALUE"""),386.92)</f>
        <v/>
      </c>
      <c r="D117" s="141">
        <f>IFERROR(__xludf.DUMMYFUNCTION("""COMPUTED_VALUE"""),388)</f>
        <v/>
      </c>
      <c r="E117" s="141">
        <f>IFERROR(__xludf.DUMMYFUNCTION("""COMPUTED_VALUE"""),385.4)</f>
        <v/>
      </c>
      <c r="F117" s="141">
        <f>IFERROR(__xludf.DUMMYFUNCTION("""COMPUTED_VALUE"""),387.13)</f>
        <v/>
      </c>
      <c r="G117" s="143">
        <f>IFERROR(__xludf.DUMMYFUNCTION("""COMPUTED_VALUE"""),6754434)</f>
        <v/>
      </c>
      <c r="H117" s="27" t="n"/>
    </row>
    <row r="118" ht="17.25" customHeight="1" s="322">
      <c r="A118" s="27" t="n"/>
      <c r="B118" s="506">
        <f>IFERROR(__xludf.DUMMYFUNCTION("""COMPUTED_VALUE"""),45996.6666666666)</f>
        <v/>
      </c>
      <c r="C118" s="141">
        <f>IFERROR(__xludf.DUMMYFUNCTION("""COMPUTED_VALUE"""),389.12)</f>
        <v/>
      </c>
      <c r="D118" s="141">
        <f>IFERROR(__xludf.DUMMYFUNCTION("""COMPUTED_VALUE"""),391.74)</f>
        <v/>
      </c>
      <c r="E118" s="141">
        <f>IFERROR(__xludf.DUMMYFUNCTION("""COMPUTED_VALUE"""),386.18)</f>
        <v/>
      </c>
      <c r="F118" s="141">
        <f>IFERROR(__xludf.DUMMYFUNCTION("""COMPUTED_VALUE"""),386.44)</f>
        <v/>
      </c>
      <c r="G118" s="143">
        <f>IFERROR(__xludf.DUMMYFUNCTION("""COMPUTED_VALUE"""),9449808)</f>
        <v/>
      </c>
      <c r="H118" s="27" t="n"/>
    </row>
    <row r="119" ht="17.25" customHeight="1" s="322">
      <c r="A119" s="27" t="n"/>
      <c r="B119" s="506">
        <f>IFERROR(__xludf.DUMMYFUNCTION("""COMPUTED_VALUE"""),45999.6666666666)</f>
        <v/>
      </c>
      <c r="C119" s="141">
        <f>IFERROR(__xludf.DUMMYFUNCTION("""COMPUTED_VALUE"""),387.02)</f>
        <v/>
      </c>
      <c r="D119" s="141">
        <f>IFERROR(__xludf.DUMMYFUNCTION("""COMPUTED_VALUE"""),387.24)</f>
        <v/>
      </c>
      <c r="E119" s="141">
        <f>IFERROR(__xludf.DUMMYFUNCTION("""COMPUTED_VALUE"""),384.01)</f>
        <v/>
      </c>
      <c r="F119" s="141">
        <f>IFERROR(__xludf.DUMMYFUNCTION("""COMPUTED_VALUE"""),385.42)</f>
        <v/>
      </c>
      <c r="G119" s="143">
        <f>IFERROR(__xludf.DUMMYFUNCTION("""COMPUTED_VALUE"""),6822119)</f>
        <v/>
      </c>
      <c r="H119" s="27" t="n"/>
    </row>
    <row r="120" ht="17.25" customHeight="1" s="322">
      <c r="A120" s="27" t="n"/>
      <c r="B120" s="506">
        <f>IFERROR(__xludf.DUMMYFUNCTION("""COMPUTED_VALUE"""),46000.6666666666)</f>
        <v/>
      </c>
      <c r="C120" s="141">
        <f>IFERROR(__xludf.DUMMYFUNCTION("""COMPUTED_VALUE"""),385.62)</f>
        <v/>
      </c>
      <c r="D120" s="141">
        <f>IFERROR(__xludf.DUMMYFUNCTION("""COMPUTED_VALUE"""),388.21)</f>
        <v/>
      </c>
      <c r="E120" s="141">
        <f>IFERROR(__xludf.DUMMYFUNCTION("""COMPUTED_VALUE"""),385.27)</f>
        <v/>
      </c>
      <c r="F120" s="141">
        <f>IFERROR(__xludf.DUMMYFUNCTION("""COMPUTED_VALUE"""),387.4)</f>
        <v/>
      </c>
      <c r="G120" s="143">
        <f>IFERROR(__xludf.DUMMYFUNCTION("""COMPUTED_VALUE"""),6358694)</f>
        <v/>
      </c>
      <c r="H120" s="27" t="n"/>
    </row>
    <row r="121" ht="17.25" customHeight="1" s="322">
      <c r="A121" s="27" t="n"/>
      <c r="B121" s="506">
        <f>IFERROR(__xludf.DUMMYFUNCTION("""COMPUTED_VALUE"""),46001.6666666666)</f>
        <v/>
      </c>
      <c r="C121" s="141">
        <f>IFERROR(__xludf.DUMMYFUNCTION("""COMPUTED_VALUE"""),385.95)</f>
        <v/>
      </c>
      <c r="D121" s="141">
        <f>IFERROR(__xludf.DUMMYFUNCTION("""COMPUTED_VALUE"""),389.76)</f>
        <v/>
      </c>
      <c r="E121" s="141">
        <f>IFERROR(__xludf.DUMMYFUNCTION("""COMPUTED_VALUE"""),384.5)</f>
        <v/>
      </c>
      <c r="F121" s="141">
        <f>IFERROR(__xludf.DUMMYFUNCTION("""COMPUTED_VALUE"""),389.05)</f>
        <v/>
      </c>
      <c r="G121" s="143">
        <f>IFERROR(__xludf.DUMMYFUNCTION("""COMPUTED_VALUE"""),9120475)</f>
        <v/>
      </c>
      <c r="H121" s="27" t="n"/>
    </row>
    <row r="122" ht="17.25" customHeight="1" s="322">
      <c r="A122" s="27" t="n"/>
      <c r="B122" s="506">
        <f>IFERROR(__xludf.DUMMYFUNCTION("""COMPUTED_VALUE"""),46002.6666666666)</f>
        <v/>
      </c>
      <c r="C122" s="141">
        <f>IFERROR(__xludf.DUMMYFUNCTION("""COMPUTED_VALUE"""),389.02)</f>
        <v/>
      </c>
      <c r="D122" s="141">
        <f>IFERROR(__xludf.DUMMYFUNCTION("""COMPUTED_VALUE"""),394.09)</f>
        <v/>
      </c>
      <c r="E122" s="141">
        <f>IFERROR(__xludf.DUMMYFUNCTION("""COMPUTED_VALUE"""),388.5)</f>
        <v/>
      </c>
      <c r="F122" s="141">
        <f>IFERROR(__xludf.DUMMYFUNCTION("""COMPUTED_VALUE"""),393.24)</f>
        <v/>
      </c>
      <c r="G122" s="143">
        <f>IFERROR(__xludf.DUMMYFUNCTION("""COMPUTED_VALUE"""),11240629)</f>
        <v/>
      </c>
      <c r="H122" s="27" t="n"/>
    </row>
    <row r="123" ht="17.25" customHeight="1" s="322">
      <c r="A123" s="27" t="n"/>
      <c r="B123" s="506">
        <f>IFERROR(__xludf.DUMMYFUNCTION("""COMPUTED_VALUE"""),46003.6666666666)</f>
        <v/>
      </c>
      <c r="C123" s="141">
        <f>IFERROR(__xludf.DUMMYFUNCTION("""COMPUTED_VALUE"""),399.16)</f>
        <v/>
      </c>
      <c r="D123" s="141">
        <f>IFERROR(__xludf.DUMMYFUNCTION("""COMPUTED_VALUE"""),400.39)</f>
        <v/>
      </c>
      <c r="E123" s="141">
        <f>IFERROR(__xludf.DUMMYFUNCTION("""COMPUTED_VALUE"""),391.47)</f>
        <v/>
      </c>
      <c r="F123" s="141">
        <f>IFERROR(__xludf.DUMMYFUNCTION("""COMPUTED_VALUE"""),395.44)</f>
        <v/>
      </c>
      <c r="G123" s="143">
        <f>IFERROR(__xludf.DUMMYFUNCTION("""COMPUTED_VALUE"""),16792059)</f>
        <v/>
      </c>
      <c r="H123" s="27" t="n"/>
    </row>
    <row r="124" ht="17.25" customHeight="1" s="322">
      <c r="A124" s="27" t="n"/>
      <c r="B124" s="506">
        <f>IFERROR(__xludf.DUMMYFUNCTION("""COMPUTED_VALUE"""),46006.6666666666)</f>
        <v/>
      </c>
      <c r="C124" s="141">
        <f>IFERROR(__xludf.DUMMYFUNCTION("""COMPUTED_VALUE"""),397.76)</f>
        <v/>
      </c>
      <c r="D124" s="141">
        <f>IFERROR(__xludf.DUMMYFUNCTION("""COMPUTED_VALUE"""),398.71)</f>
        <v/>
      </c>
      <c r="E124" s="141">
        <f>IFERROR(__xludf.DUMMYFUNCTION("""COMPUTED_VALUE"""),394.07)</f>
        <v/>
      </c>
      <c r="F124" s="141">
        <f>IFERROR(__xludf.DUMMYFUNCTION("""COMPUTED_VALUE"""),395.8)</f>
        <v/>
      </c>
      <c r="G124" s="143">
        <f>IFERROR(__xludf.DUMMYFUNCTION("""COMPUTED_VALUE"""),11345031)</f>
        <v/>
      </c>
      <c r="H124" s="27" t="n"/>
    </row>
    <row r="125" ht="17.25" customHeight="1" s="322">
      <c r="A125" s="27" t="n"/>
      <c r="B125" s="506">
        <f>IFERROR(__xludf.DUMMYFUNCTION("""COMPUTED_VALUE"""),46007.6666666666)</f>
        <v/>
      </c>
      <c r="C125" s="141">
        <f>IFERROR(__xludf.DUMMYFUNCTION("""COMPUTED_VALUE"""),397.75)</f>
        <v/>
      </c>
      <c r="D125" s="141">
        <f>IFERROR(__xludf.DUMMYFUNCTION("""COMPUTED_VALUE"""),398.71)</f>
        <v/>
      </c>
      <c r="E125" s="141">
        <f>IFERROR(__xludf.DUMMYFUNCTION("""COMPUTED_VALUE"""),394.59)</f>
        <v/>
      </c>
      <c r="F125" s="141">
        <f>IFERROR(__xludf.DUMMYFUNCTION("""COMPUTED_VALUE"""),395.89)</f>
        <v/>
      </c>
      <c r="G125" s="143">
        <f>IFERROR(__xludf.DUMMYFUNCTION("""COMPUTED_VALUE"""),9201557)</f>
        <v/>
      </c>
      <c r="H125" s="27" t="n"/>
    </row>
    <row r="126" ht="17.25" customHeight="1" s="322">
      <c r="A126" s="27" t="n"/>
      <c r="B126" s="506">
        <f>IFERROR(__xludf.DUMMYFUNCTION("""COMPUTED_VALUE"""),46008.6666666666)</f>
        <v/>
      </c>
      <c r="C126" s="141">
        <f>IFERROR(__xludf.DUMMYFUNCTION("""COMPUTED_VALUE"""),398.08)</f>
        <v/>
      </c>
      <c r="D126" s="141">
        <f>IFERROR(__xludf.DUMMYFUNCTION("""COMPUTED_VALUE"""),399.98)</f>
        <v/>
      </c>
      <c r="E126" s="141">
        <f>IFERROR(__xludf.DUMMYFUNCTION("""COMPUTED_VALUE"""),397.25)</f>
        <v/>
      </c>
      <c r="F126" s="141">
        <f>IFERROR(__xludf.DUMMYFUNCTION("""COMPUTED_VALUE"""),399.29)</f>
        <v/>
      </c>
      <c r="G126" s="143">
        <f>IFERROR(__xludf.DUMMYFUNCTION("""COMPUTED_VALUE"""),10456889)</f>
        <v/>
      </c>
      <c r="H126" s="27" t="n"/>
    </row>
    <row r="127" ht="17.25" customHeight="1" s="322">
      <c r="A127" s="27" t="n"/>
      <c r="B127" s="506">
        <f>IFERROR(__xludf.DUMMYFUNCTION("""COMPUTED_VALUE"""),46009.6666666666)</f>
        <v/>
      </c>
      <c r="C127" s="141">
        <f>IFERROR(__xludf.DUMMYFUNCTION("""COMPUTED_VALUE"""),398.28)</f>
        <v/>
      </c>
      <c r="D127" s="141">
        <f>IFERROR(__xludf.DUMMYFUNCTION("""COMPUTED_VALUE"""),402.21)</f>
        <v/>
      </c>
      <c r="E127" s="141">
        <f>IFERROR(__xludf.DUMMYFUNCTION("""COMPUTED_VALUE"""),396.05)</f>
        <v/>
      </c>
      <c r="F127" s="141">
        <f>IFERROR(__xludf.DUMMYFUNCTION("""COMPUTED_VALUE"""),398.57)</f>
        <v/>
      </c>
      <c r="G127" s="143">
        <f>IFERROR(__xludf.DUMMYFUNCTION("""COMPUTED_VALUE"""),11837551)</f>
        <v/>
      </c>
      <c r="H127" s="27" t="n"/>
    </row>
    <row r="128" ht="17.25" customHeight="1" s="322">
      <c r="A128" s="27" t="n"/>
      <c r="B128" s="506">
        <f>IFERROR(__xludf.DUMMYFUNCTION("""COMPUTED_VALUE"""),46010.6666666666)</f>
        <v/>
      </c>
      <c r="C128" s="141">
        <f>IFERROR(__xludf.DUMMYFUNCTION("""COMPUTED_VALUE"""),397.92)</f>
        <v/>
      </c>
      <c r="D128" s="141">
        <f>IFERROR(__xludf.DUMMYFUNCTION("""COMPUTED_VALUE"""),400.63)</f>
        <v/>
      </c>
      <c r="E128" s="141">
        <f>IFERROR(__xludf.DUMMYFUNCTION("""COMPUTED_VALUE"""),397.17)</f>
        <v/>
      </c>
      <c r="F128" s="141">
        <f>IFERROR(__xludf.DUMMYFUNCTION("""COMPUTED_VALUE"""),399.02)</f>
        <v/>
      </c>
      <c r="G128" s="143">
        <f>IFERROR(__xludf.DUMMYFUNCTION("""COMPUTED_VALUE"""),9894767)</f>
        <v/>
      </c>
      <c r="H128" s="27" t="n"/>
    </row>
    <row r="129" ht="17.25" customHeight="1" s="322">
      <c r="A129" s="27" t="n"/>
      <c r="B129" s="506">
        <f>IFERROR(__xludf.DUMMYFUNCTION("""COMPUTED_VALUE"""),46013.6666666666)</f>
        <v/>
      </c>
      <c r="C129" s="141">
        <f>IFERROR(__xludf.DUMMYFUNCTION("""COMPUTED_VALUE"""),406.98)</f>
        <v/>
      </c>
      <c r="D129" s="141">
        <f>IFERROR(__xludf.DUMMYFUNCTION("""COMPUTED_VALUE"""),408.52)</f>
        <v/>
      </c>
      <c r="E129" s="141">
        <f>IFERROR(__xludf.DUMMYFUNCTION("""COMPUTED_VALUE"""),405.72)</f>
        <v/>
      </c>
      <c r="F129" s="141">
        <f>IFERROR(__xludf.DUMMYFUNCTION("""COMPUTED_VALUE"""),408.23)</f>
        <v/>
      </c>
      <c r="G129" s="143">
        <f>IFERROR(__xludf.DUMMYFUNCTION("""COMPUTED_VALUE"""),14202068)</f>
        <v/>
      </c>
      <c r="H129" s="27" t="n"/>
    </row>
    <row r="130" ht="17.25" customHeight="1" s="322">
      <c r="A130" s="27" t="n"/>
      <c r="B130" s="506">
        <f>IFERROR(__xludf.DUMMYFUNCTION("""COMPUTED_VALUE"""),46014.6666666666)</f>
        <v/>
      </c>
      <c r="C130" s="141">
        <f>IFERROR(__xludf.DUMMYFUNCTION("""COMPUTED_VALUE"""),410.3)</f>
        <v/>
      </c>
      <c r="D130" s="141">
        <f>IFERROR(__xludf.DUMMYFUNCTION("""COMPUTED_VALUE"""),413.76)</f>
        <v/>
      </c>
      <c r="E130" s="141">
        <f>IFERROR(__xludf.DUMMYFUNCTION("""COMPUTED_VALUE"""),407.1)</f>
        <v/>
      </c>
      <c r="F130" s="141">
        <f>IFERROR(__xludf.DUMMYFUNCTION("""COMPUTED_VALUE"""),413.64)</f>
        <v/>
      </c>
      <c r="G130" s="143">
        <f>IFERROR(__xludf.DUMMYFUNCTION("""COMPUTED_VALUE"""),13193258)</f>
        <v/>
      </c>
      <c r="H130" s="27" t="n"/>
    </row>
    <row r="131" ht="17.25" customHeight="1" s="322">
      <c r="A131" s="27" t="n"/>
      <c r="B131" s="506">
        <f>IFERROR(__xludf.DUMMYFUNCTION("""COMPUTED_VALUE"""),46015.5416666666)</f>
        <v/>
      </c>
      <c r="C131" s="141">
        <f>IFERROR(__xludf.DUMMYFUNCTION("""COMPUTED_VALUE"""),412.25)</f>
        <v/>
      </c>
      <c r="D131" s="141">
        <f>IFERROR(__xludf.DUMMYFUNCTION("""COMPUTED_VALUE"""),412.63)</f>
        <v/>
      </c>
      <c r="E131" s="141">
        <f>IFERROR(__xludf.DUMMYFUNCTION("""COMPUTED_VALUE"""),408.83)</f>
        <v/>
      </c>
      <c r="F131" s="141">
        <f>IFERROR(__xludf.DUMMYFUNCTION("""COMPUTED_VALUE"""),411.93)</f>
        <v/>
      </c>
      <c r="G131" s="143">
        <f>IFERROR(__xludf.DUMMYFUNCTION("""COMPUTED_VALUE"""),6718437)</f>
        <v/>
      </c>
      <c r="H131" s="27" t="n"/>
    </row>
    <row r="132" ht="17.25" customHeight="1" s="322">
      <c r="A132" s="27" t="n"/>
      <c r="B132" s="506">
        <f>IFERROR(__xludf.DUMMYFUNCTION("""COMPUTED_VALUE"""),46017.6666666666)</f>
        <v/>
      </c>
      <c r="C132" s="141">
        <f>IFERROR(__xludf.DUMMYFUNCTION("""COMPUTED_VALUE"""),416.48)</f>
        <v/>
      </c>
      <c r="D132" s="141">
        <f>IFERROR(__xludf.DUMMYFUNCTION("""COMPUTED_VALUE"""),418.45)</f>
        <v/>
      </c>
      <c r="E132" s="141">
        <f>IFERROR(__xludf.DUMMYFUNCTION("""COMPUTED_VALUE"""),414.75)</f>
        <v/>
      </c>
      <c r="F132" s="141">
        <f>IFERROR(__xludf.DUMMYFUNCTION("""COMPUTED_VALUE"""),416.74)</f>
        <v/>
      </c>
      <c r="G132" s="143">
        <f>IFERROR(__xludf.DUMMYFUNCTION("""COMPUTED_VALUE"""),10476234)</f>
        <v/>
      </c>
      <c r="H132" s="27" t="n"/>
    </row>
    <row r="133" ht="17.25" customHeight="1" s="322">
      <c r="A133" s="27" t="n"/>
      <c r="B133" s="506">
        <f>IFERROR(__xludf.DUMMYFUNCTION("""COMPUTED_VALUE"""),46020.6666666666)</f>
        <v/>
      </c>
      <c r="C133" s="141">
        <f>IFERROR(__xludf.DUMMYFUNCTION("""COMPUTED_VALUE"""),403.66)</f>
        <v/>
      </c>
      <c r="D133" s="141">
        <f>IFERROR(__xludf.DUMMYFUNCTION("""COMPUTED_VALUE"""),403.76)</f>
        <v/>
      </c>
      <c r="E133" s="141">
        <f>IFERROR(__xludf.DUMMYFUNCTION("""COMPUTED_VALUE"""),395.33)</f>
        <v/>
      </c>
      <c r="F133" s="141">
        <f>IFERROR(__xludf.DUMMYFUNCTION("""COMPUTED_VALUE"""),398.6)</f>
        <v/>
      </c>
      <c r="G133" s="143">
        <f>IFERROR(__xludf.DUMMYFUNCTION("""COMPUTED_VALUE"""),20679239)</f>
        <v/>
      </c>
      <c r="H133" s="27" t="n"/>
    </row>
    <row r="134" ht="17.25" customHeight="1" s="322">
      <c r="A134" s="27" t="n"/>
      <c r="B134" s="506">
        <f>IFERROR(__xludf.DUMMYFUNCTION("""COMPUTED_VALUE"""),46021.6666666666)</f>
        <v/>
      </c>
      <c r="C134" s="141">
        <f>IFERROR(__xludf.DUMMYFUNCTION("""COMPUTED_VALUE"""),403.6)</f>
        <v/>
      </c>
      <c r="D134" s="141">
        <f>IFERROR(__xludf.DUMMYFUNCTION("""COMPUTED_VALUE"""),403.8)</f>
        <v/>
      </c>
      <c r="E134" s="141">
        <f>IFERROR(__xludf.DUMMYFUNCTION("""COMPUTED_VALUE"""),398.56)</f>
        <v/>
      </c>
      <c r="F134" s="141">
        <f>IFERROR(__xludf.DUMMYFUNCTION("""COMPUTED_VALUE"""),398.89)</f>
        <v/>
      </c>
      <c r="G134" s="143">
        <f>IFERROR(__xludf.DUMMYFUNCTION("""COMPUTED_VALUE"""),10179028)</f>
        <v/>
      </c>
      <c r="H134" s="27" t="n"/>
    </row>
    <row r="135" ht="17.25" customHeight="1" s="322">
      <c r="A135" s="27" t="n"/>
      <c r="B135" s="506">
        <f>IFERROR(__xludf.DUMMYFUNCTION("""COMPUTED_VALUE"""),46022.6666666666)</f>
        <v/>
      </c>
      <c r="C135" s="141">
        <f>IFERROR(__xludf.DUMMYFUNCTION("""COMPUTED_VALUE"""),398.6)</f>
        <v/>
      </c>
      <c r="D135" s="141">
        <f>IFERROR(__xludf.DUMMYFUNCTION("""COMPUTED_VALUE"""),400.13)</f>
        <v/>
      </c>
      <c r="E135" s="141">
        <f>IFERROR(__xludf.DUMMYFUNCTION("""COMPUTED_VALUE"""),395.59)</f>
        <v/>
      </c>
      <c r="F135" s="141">
        <f>IFERROR(__xludf.DUMMYFUNCTION("""COMPUTED_VALUE"""),396.31)</f>
        <v/>
      </c>
      <c r="G135" s="143">
        <f>IFERROR(__xludf.DUMMYFUNCTION("""COMPUTED_VALUE"""),10194738)</f>
        <v/>
      </c>
      <c r="H135" s="27" t="n"/>
    </row>
    <row r="136" ht="17.25" customHeight="1" s="322">
      <c r="A136" s="27" t="n"/>
      <c r="B136" s="506">
        <f>IFERROR(__xludf.DUMMYFUNCTION("""COMPUTED_VALUE"""),46024.6666666666)</f>
        <v/>
      </c>
      <c r="C136" s="141">
        <f>IFERROR(__xludf.DUMMYFUNCTION("""COMPUTED_VALUE"""),401.62)</f>
        <v/>
      </c>
      <c r="D136" s="141">
        <f>IFERROR(__xludf.DUMMYFUNCTION("""COMPUTED_VALUE"""),401.82)</f>
        <v/>
      </c>
      <c r="E136" s="141">
        <f>IFERROR(__xludf.DUMMYFUNCTION("""COMPUTED_VALUE"""),396.25)</f>
        <v/>
      </c>
      <c r="F136" s="141">
        <f>IFERROR(__xludf.DUMMYFUNCTION("""COMPUTED_VALUE"""),398.28)</f>
        <v/>
      </c>
      <c r="G136" s="143">
        <f>IFERROR(__xludf.DUMMYFUNCTION("""COMPUTED_VALUE"""),10372572)</f>
        <v/>
      </c>
      <c r="H136" s="27" t="n"/>
    </row>
    <row r="137" ht="17.25" customHeight="1" s="322">
      <c r="A137" s="27" t="n"/>
      <c r="B137" s="506">
        <f>IFERROR(__xludf.DUMMYFUNCTION("""COMPUTED_VALUE"""),46027.6666666666)</f>
        <v/>
      </c>
      <c r="C137" s="141">
        <f>IFERROR(__xludf.DUMMYFUNCTION("""COMPUTED_VALUE"""),406.39)</f>
        <v/>
      </c>
      <c r="D137" s="141">
        <f>IFERROR(__xludf.DUMMYFUNCTION("""COMPUTED_VALUE"""),409.72)</f>
        <v/>
      </c>
      <c r="E137" s="141">
        <f>IFERROR(__xludf.DUMMYFUNCTION("""COMPUTED_VALUE"""),406.15)</f>
        <v/>
      </c>
      <c r="F137" s="141">
        <f>IFERROR(__xludf.DUMMYFUNCTION("""COMPUTED_VALUE"""),408.76)</f>
        <v/>
      </c>
      <c r="G137" s="143">
        <f>IFERROR(__xludf.DUMMYFUNCTION("""COMPUTED_VALUE"""),13410637)</f>
        <v/>
      </c>
      <c r="H137" s="27" t="n"/>
    </row>
    <row r="138" ht="17.25" customHeight="1" s="322">
      <c r="A138" s="27" t="n"/>
      <c r="B138" s="506">
        <f>IFERROR(__xludf.DUMMYFUNCTION("""COMPUTED_VALUE"""),46028.6666666666)</f>
        <v/>
      </c>
      <c r="C138" s="141">
        <f>IFERROR(__xludf.DUMMYFUNCTION("""COMPUTED_VALUE"""),410.67)</f>
        <v/>
      </c>
      <c r="D138" s="141">
        <f>IFERROR(__xludf.DUMMYFUNCTION("""COMPUTED_VALUE"""),413.48)</f>
        <v/>
      </c>
      <c r="E138" s="141">
        <f>IFERROR(__xludf.DUMMYFUNCTION("""COMPUTED_VALUE"""),410.31)</f>
        <v/>
      </c>
      <c r="F138" s="141">
        <f>IFERROR(__xludf.DUMMYFUNCTION("""COMPUTED_VALUE"""),413.18)</f>
        <v/>
      </c>
      <c r="G138" s="143">
        <f>IFERROR(__xludf.DUMMYFUNCTION("""COMPUTED_VALUE"""),11640912)</f>
        <v/>
      </c>
      <c r="H138" s="27" t="n"/>
    </row>
    <row r="139" ht="17.25" customHeight="1" s="322">
      <c r="A139" s="27" t="n"/>
      <c r="B139" s="506">
        <f>IFERROR(__xludf.DUMMYFUNCTION("""COMPUTED_VALUE"""),46029.6666666666)</f>
        <v/>
      </c>
      <c r="C139" s="141">
        <f>IFERROR(__xludf.DUMMYFUNCTION("""COMPUTED_VALUE"""),408.63)</f>
        <v/>
      </c>
      <c r="D139" s="141">
        <f>IFERROR(__xludf.DUMMYFUNCTION("""COMPUTED_VALUE"""),410.81)</f>
        <v/>
      </c>
      <c r="E139" s="141">
        <f>IFERROR(__xludf.DUMMYFUNCTION("""COMPUTED_VALUE"""),406.65)</f>
        <v/>
      </c>
      <c r="F139" s="141">
        <f>IFERROR(__xludf.DUMMYFUNCTION("""COMPUTED_VALUE"""),409.23)</f>
        <v/>
      </c>
      <c r="G139" s="143">
        <f>IFERROR(__xludf.DUMMYFUNCTION("""COMPUTED_VALUE"""),10589452)</f>
        <v/>
      </c>
      <c r="H139" s="27" t="n"/>
    </row>
    <row r="140" ht="17.25" customHeight="1" s="322">
      <c r="A140" s="27" t="n"/>
      <c r="B140" s="506">
        <f>IFERROR(__xludf.DUMMYFUNCTION("""COMPUTED_VALUE"""),46030.6666666666)</f>
        <v/>
      </c>
      <c r="C140" s="141">
        <f>IFERROR(__xludf.DUMMYFUNCTION("""COMPUTED_VALUE"""),406.97)</f>
        <v/>
      </c>
      <c r="D140" s="141">
        <f>IFERROR(__xludf.DUMMYFUNCTION("""COMPUTED_VALUE"""),411.64)</f>
        <v/>
      </c>
      <c r="E140" s="141">
        <f>IFERROR(__xludf.DUMMYFUNCTION("""COMPUTED_VALUE"""),406.4)</f>
        <v/>
      </c>
      <c r="F140" s="141">
        <f>IFERROR(__xludf.DUMMYFUNCTION("""COMPUTED_VALUE"""),411.49)</f>
        <v/>
      </c>
      <c r="G140" s="143">
        <f>IFERROR(__xludf.DUMMYFUNCTION("""COMPUTED_VALUE"""),8705926)</f>
        <v/>
      </c>
      <c r="H140" s="27" t="n"/>
    </row>
    <row r="141" ht="17.25" customHeight="1" s="322">
      <c r="A141" s="27" t="n"/>
      <c r="B141" s="506">
        <f>IFERROR(__xludf.DUMMYFUNCTION("""COMPUTED_VALUE"""),46031.6666666666)</f>
        <v/>
      </c>
      <c r="C141" s="141">
        <f>IFERROR(__xludf.DUMMYFUNCTION("""COMPUTED_VALUE"""),413.22)</f>
        <v/>
      </c>
      <c r="D141" s="141">
        <f>IFERROR(__xludf.DUMMYFUNCTION("""COMPUTED_VALUE"""),415.29)</f>
        <v/>
      </c>
      <c r="E141" s="141">
        <f>IFERROR(__xludf.DUMMYFUNCTION("""COMPUTED_VALUE"""),411.8)</f>
        <v/>
      </c>
      <c r="F141" s="141">
        <f>IFERROR(__xludf.DUMMYFUNCTION("""COMPUTED_VALUE"""),414.47)</f>
        <v/>
      </c>
      <c r="G141" s="143">
        <f>IFERROR(__xludf.DUMMYFUNCTION("""COMPUTED_VALUE"""),14011238)</f>
        <v/>
      </c>
      <c r="H141" s="27" t="n"/>
    </row>
    <row r="142" ht="17.25" customHeight="1" s="322">
      <c r="A142" s="27" t="n"/>
      <c r="B142" s="506">
        <f>IFERROR(__xludf.DUMMYFUNCTION("""COMPUTED_VALUE"""),46034.6666666666)</f>
        <v/>
      </c>
      <c r="C142" s="141">
        <f>IFERROR(__xludf.DUMMYFUNCTION("""COMPUTED_VALUE"""),421.52)</f>
        <v/>
      </c>
      <c r="D142" s="141">
        <f>IFERROR(__xludf.DUMMYFUNCTION("""COMPUTED_VALUE"""),425.74)</f>
        <v/>
      </c>
      <c r="E142" s="141">
        <f>IFERROR(__xludf.DUMMYFUNCTION("""COMPUTED_VALUE"""),421.52)</f>
        <v/>
      </c>
      <c r="F142" s="141">
        <f>IFERROR(__xludf.DUMMYFUNCTION("""COMPUTED_VALUE"""),422.23)</f>
        <v/>
      </c>
      <c r="G142" s="143">
        <f>IFERROR(__xludf.DUMMYFUNCTION("""COMPUTED_VALUE"""),20904133)</f>
        <v/>
      </c>
      <c r="H142" s="27" t="n"/>
    </row>
    <row r="143" ht="17.25" customHeight="1" s="322">
      <c r="A143" s="27" t="n"/>
      <c r="B143" s="506">
        <f>IFERROR(__xludf.DUMMYFUNCTION("""COMPUTED_VALUE"""),46035.6666666666)</f>
        <v/>
      </c>
      <c r="C143" s="141">
        <f>IFERROR(__xludf.DUMMYFUNCTION("""COMPUTED_VALUE"""),424.59)</f>
        <v/>
      </c>
      <c r="D143" s="141">
        <f>IFERROR(__xludf.DUMMYFUNCTION("""COMPUTED_VALUE"""),426.12)</f>
        <v/>
      </c>
      <c r="E143" s="141">
        <f>IFERROR(__xludf.DUMMYFUNCTION("""COMPUTED_VALUE"""),420.07)</f>
        <v/>
      </c>
      <c r="F143" s="141">
        <f>IFERROR(__xludf.DUMMYFUNCTION("""COMPUTED_VALUE"""),421.63)</f>
        <v/>
      </c>
      <c r="G143" s="143">
        <f>IFERROR(__xludf.DUMMYFUNCTION("""COMPUTED_VALUE"""),16681219)</f>
        <v/>
      </c>
      <c r="H143" s="27" t="n"/>
    </row>
    <row r="144" ht="17.25" customHeight="1" s="322">
      <c r="A144" s="27" t="n"/>
      <c r="B144" s="506">
        <f>IFERROR(__xludf.DUMMYFUNCTION("""COMPUTED_VALUE"""),46036.6666666666)</f>
        <v/>
      </c>
      <c r="C144" s="141">
        <f>IFERROR(__xludf.DUMMYFUNCTION("""COMPUTED_VALUE"""),426.03)</f>
        <v/>
      </c>
      <c r="D144" s="141">
        <f>IFERROR(__xludf.DUMMYFUNCTION("""COMPUTED_VALUE"""),426.86)</f>
        <v/>
      </c>
      <c r="E144" s="141">
        <f>IFERROR(__xludf.DUMMYFUNCTION("""COMPUTED_VALUE"""),422.84)</f>
        <v/>
      </c>
      <c r="F144" s="141">
        <f>IFERROR(__xludf.DUMMYFUNCTION("""COMPUTED_VALUE"""),425.94)</f>
        <v/>
      </c>
      <c r="G144" s="143">
        <f>IFERROR(__xludf.DUMMYFUNCTION("""COMPUTED_VALUE"""),18305538)</f>
        <v/>
      </c>
      <c r="H144" s="27" t="n"/>
    </row>
    <row r="145" ht="17.25" customHeight="1" s="322">
      <c r="A145" s="27" t="n"/>
      <c r="B145" s="506">
        <f>IFERROR(__xludf.DUMMYFUNCTION("""COMPUTED_VALUE"""),46037.6666666666)</f>
        <v/>
      </c>
      <c r="C145" s="141">
        <f>IFERROR(__xludf.DUMMYFUNCTION("""COMPUTED_VALUE"""),423.02)</f>
        <v/>
      </c>
      <c r="D145" s="141">
        <f>IFERROR(__xludf.DUMMYFUNCTION("""COMPUTED_VALUE"""),425.06)</f>
        <v/>
      </c>
      <c r="E145" s="141">
        <f>IFERROR(__xludf.DUMMYFUNCTION("""COMPUTED_VALUE"""),422.79)</f>
        <v/>
      </c>
      <c r="F145" s="141">
        <f>IFERROR(__xludf.DUMMYFUNCTION("""COMPUTED_VALUE"""),423.33)</f>
        <v/>
      </c>
      <c r="G145" s="143">
        <f>IFERROR(__xludf.DUMMYFUNCTION("""COMPUTED_VALUE"""),14253249)</f>
        <v/>
      </c>
      <c r="H145" s="27" t="n"/>
    </row>
    <row r="146" ht="17.25" customHeight="1" s="322">
      <c r="A146" s="27" t="n"/>
      <c r="B146" s="506">
        <f>IFERROR(__xludf.DUMMYFUNCTION("""COMPUTED_VALUE"""),46038.6666666666)</f>
        <v/>
      </c>
      <c r="C146" s="141">
        <f>IFERROR(__xludf.DUMMYFUNCTION("""COMPUTED_VALUE"""),422.8)</f>
        <v/>
      </c>
      <c r="D146" s="141">
        <f>IFERROR(__xludf.DUMMYFUNCTION("""COMPUTED_VALUE"""),424.8)</f>
        <v/>
      </c>
      <c r="E146" s="141">
        <f>IFERROR(__xludf.DUMMYFUNCTION("""COMPUTED_VALUE"""),417.04)</f>
        <v/>
      </c>
      <c r="F146" s="141">
        <f>IFERROR(__xludf.DUMMYFUNCTION("""COMPUTED_VALUE"""),421.29)</f>
        <v/>
      </c>
      <c r="G146" s="143">
        <f>IFERROR(__xludf.DUMMYFUNCTION("""COMPUTED_VALUE"""),20951571)</f>
        <v/>
      </c>
      <c r="H146" s="27" t="n"/>
    </row>
    <row r="147" ht="17.25" customHeight="1" s="322">
      <c r="A147" s="27" t="n"/>
      <c r="B147" s="506">
        <f>IFERROR(__xludf.DUMMYFUNCTION("""COMPUTED_VALUE"""),46042.6666666666)</f>
        <v/>
      </c>
      <c r="C147" s="141">
        <f>IFERROR(__xludf.DUMMYFUNCTION("""COMPUTED_VALUE"""),436.69)</f>
        <v/>
      </c>
      <c r="D147" s="141">
        <f>IFERROR(__xludf.DUMMYFUNCTION("""COMPUTED_VALUE"""),438.14)</f>
        <v/>
      </c>
      <c r="E147" s="141">
        <f>IFERROR(__xludf.DUMMYFUNCTION("""COMPUTED_VALUE"""),434.1)</f>
        <v/>
      </c>
      <c r="F147" s="141">
        <f>IFERROR(__xludf.DUMMYFUNCTION("""COMPUTED_VALUE"""),437.23)</f>
        <v/>
      </c>
      <c r="G147" s="143">
        <f>IFERROR(__xludf.DUMMYFUNCTION("""COMPUTED_VALUE"""),21308137)</f>
        <v/>
      </c>
      <c r="H147" s="27" t="n"/>
    </row>
    <row r="148" ht="17.25" customHeight="1" s="322">
      <c r="A148" s="27" t="n"/>
      <c r="B148" s="506">
        <f>IFERROR(__xludf.DUMMYFUNCTION("""COMPUTED_VALUE"""),46043.6666666666)</f>
        <v/>
      </c>
      <c r="C148" s="141">
        <f>IFERROR(__xludf.DUMMYFUNCTION("""COMPUTED_VALUE"""),446.87)</f>
        <v/>
      </c>
      <c r="D148" s="141">
        <f>IFERROR(__xludf.DUMMYFUNCTION("""COMPUTED_VALUE"""),448)</f>
        <v/>
      </c>
      <c r="E148" s="141">
        <f>IFERROR(__xludf.DUMMYFUNCTION("""COMPUTED_VALUE"""),437.11)</f>
        <v/>
      </c>
      <c r="F148" s="141">
        <f>IFERROR(__xludf.DUMMYFUNCTION("""COMPUTED_VALUE"""),443.6)</f>
        <v/>
      </c>
      <c r="G148" s="143">
        <f>IFERROR(__xludf.DUMMYFUNCTION("""COMPUTED_VALUE"""),38830228)</f>
        <v/>
      </c>
      <c r="H148" s="27" t="n"/>
    </row>
    <row r="149" ht="17.25" customHeight="1" s="322">
      <c r="A149" s="27" t="n"/>
      <c r="B149" s="506">
        <f>IFERROR(__xludf.DUMMYFUNCTION("""COMPUTED_VALUE"""),46044.6666666666)</f>
        <v/>
      </c>
      <c r="C149" s="141">
        <f>IFERROR(__xludf.DUMMYFUNCTION("""COMPUTED_VALUE"""),443.84)</f>
        <v/>
      </c>
      <c r="D149" s="141">
        <f>IFERROR(__xludf.DUMMYFUNCTION("""COMPUTED_VALUE"""),452.98)</f>
        <v/>
      </c>
      <c r="E149" s="141">
        <f>IFERROR(__xludf.DUMMYFUNCTION("""COMPUTED_VALUE"""),443.56)</f>
        <v/>
      </c>
      <c r="F149" s="141">
        <f>IFERROR(__xludf.DUMMYFUNCTION("""COMPUTED_VALUE"""),451.79)</f>
        <v/>
      </c>
      <c r="G149" s="143">
        <f>IFERROR(__xludf.DUMMYFUNCTION("""COMPUTED_VALUE"""),19251185)</f>
        <v/>
      </c>
      <c r="H149" s="27" t="n"/>
    </row>
    <row r="150" ht="17.25" customHeight="1" s="322">
      <c r="A150" s="27" t="n"/>
      <c r="B150" s="506">
        <f>IFERROR(__xludf.DUMMYFUNCTION("""COMPUTED_VALUE"""),46045.6666666666)</f>
        <v/>
      </c>
      <c r="C150" s="141">
        <f>IFERROR(__xludf.DUMMYFUNCTION("""COMPUTED_VALUE"""),454.11)</f>
        <v/>
      </c>
      <c r="D150" s="141">
        <f>IFERROR(__xludf.DUMMYFUNCTION("""COMPUTED_VALUE"""),458.75)</f>
        <v/>
      </c>
      <c r="E150" s="141">
        <f>IFERROR(__xludf.DUMMYFUNCTION("""COMPUTED_VALUE"""),453.45)</f>
        <v/>
      </c>
      <c r="F150" s="141">
        <f>IFERROR(__xludf.DUMMYFUNCTION("""COMPUTED_VALUE"""),458)</f>
        <v/>
      </c>
      <c r="G150" s="143">
        <f>IFERROR(__xludf.DUMMYFUNCTION("""COMPUTED_VALUE"""),21531873)</f>
        <v/>
      </c>
      <c r="H150" s="27" t="n"/>
    </row>
    <row r="151" ht="17.25" customHeight="1" s="322">
      <c r="A151" s="27" t="n"/>
      <c r="B151" s="506">
        <f>IFERROR(__xludf.DUMMYFUNCTION("""COMPUTED_VALUE"""),46048.6666666666)</f>
        <v/>
      </c>
      <c r="C151" s="141">
        <f>IFERROR(__xludf.DUMMYFUNCTION("""COMPUTED_VALUE"""),466.78)</f>
        <v/>
      </c>
      <c r="D151" s="141">
        <f>IFERROR(__xludf.DUMMYFUNCTION("""COMPUTED_VALUE"""),469.28)</f>
        <v/>
      </c>
      <c r="E151" s="141">
        <f>IFERROR(__xludf.DUMMYFUNCTION("""COMPUTED_VALUE"""),460.36)</f>
        <v/>
      </c>
      <c r="F151" s="141">
        <f>IFERROR(__xludf.DUMMYFUNCTION("""COMPUTED_VALUE"""),464.7)</f>
        <v/>
      </c>
      <c r="G151" s="143">
        <f>IFERROR(__xludf.DUMMYFUNCTION("""COMPUTED_VALUE"""),34155974)</f>
        <v/>
      </c>
      <c r="H151" s="27" t="n"/>
    </row>
    <row r="152" ht="17.25" customHeight="1" s="322">
      <c r="A152" s="27" t="n"/>
      <c r="B152" s="506">
        <f>IFERROR(__xludf.DUMMYFUNCTION("""COMPUTED_VALUE"""),46049.6666666666)</f>
        <v/>
      </c>
      <c r="C152" s="141">
        <f>IFERROR(__xludf.DUMMYFUNCTION("""COMPUTED_VALUE"""),465.07)</f>
        <v/>
      </c>
      <c r="D152" s="141">
        <f>IFERROR(__xludf.DUMMYFUNCTION("""COMPUTED_VALUE"""),476.49)</f>
        <v/>
      </c>
      <c r="E152" s="141">
        <f>IFERROR(__xludf.DUMMYFUNCTION("""COMPUTED_VALUE"""),463.95)</f>
        <v/>
      </c>
      <c r="F152" s="141">
        <f>IFERROR(__xludf.DUMMYFUNCTION("""COMPUTED_VALUE"""),476.1)</f>
        <v/>
      </c>
      <c r="G152" s="143">
        <f>IFERROR(__xludf.DUMMYFUNCTION("""COMPUTED_VALUE"""),28386220)</f>
        <v/>
      </c>
      <c r="H152" s="27" t="n"/>
    </row>
    <row r="153" ht="17.25" customHeight="1" s="322">
      <c r="A153" s="27" t="n"/>
      <c r="B153" s="506">
        <f>IFERROR(__xludf.DUMMYFUNCTION("""COMPUTED_VALUE"""),46050.6666666666)</f>
        <v/>
      </c>
      <c r="C153" s="141">
        <f>IFERROR(__xludf.DUMMYFUNCTION("""COMPUTED_VALUE"""),483.39)</f>
        <v/>
      </c>
      <c r="D153" s="141">
        <f>IFERROR(__xludf.DUMMYFUNCTION("""COMPUTED_VALUE"""),495.88)</f>
        <v/>
      </c>
      <c r="E153" s="141">
        <f>IFERROR(__xludf.DUMMYFUNCTION("""COMPUTED_VALUE"""),481.25)</f>
        <v/>
      </c>
      <c r="F153" s="141">
        <f>IFERROR(__xludf.DUMMYFUNCTION("""COMPUTED_VALUE"""),494.56)</f>
        <v/>
      </c>
      <c r="G153" s="143">
        <f>IFERROR(__xludf.DUMMYFUNCTION("""COMPUTED_VALUE"""),44154580)</f>
        <v/>
      </c>
      <c r="H153" s="27" t="n"/>
    </row>
    <row r="154" ht="17.25" customHeight="1" s="322">
      <c r="A154" s="27" t="n"/>
      <c r="B154" s="506">
        <f>IFERROR(__xludf.DUMMYFUNCTION("""COMPUTED_VALUE"""),46051.6666666666)</f>
        <v/>
      </c>
      <c r="C154" s="141">
        <f>IFERROR(__xludf.DUMMYFUNCTION("""COMPUTED_VALUE"""),509.51)</f>
        <v/>
      </c>
      <c r="D154" s="141">
        <f>IFERROR(__xludf.DUMMYFUNCTION("""COMPUTED_VALUE"""),509.7)</f>
        <v/>
      </c>
      <c r="E154" s="141">
        <f>IFERROR(__xludf.DUMMYFUNCTION("""COMPUTED_VALUE"""),468.51)</f>
        <v/>
      </c>
      <c r="F154" s="141">
        <f>IFERROR(__xludf.DUMMYFUNCTION("""COMPUTED_VALUE"""),495.9)</f>
        <v/>
      </c>
      <c r="G154" s="143">
        <f>IFERROR(__xludf.DUMMYFUNCTION("""COMPUTED_VALUE"""),69970856)</f>
        <v/>
      </c>
      <c r="H154" s="27" t="n"/>
    </row>
    <row r="155" ht="17.25" customHeight="1" s="322">
      <c r="A155" s="27" t="n"/>
      <c r="B155" s="506">
        <f>IFERROR(__xludf.DUMMYFUNCTION("""COMPUTED_VALUE"""),46052.6666666666)</f>
        <v/>
      </c>
      <c r="C155" s="141">
        <f>IFERROR(__xludf.DUMMYFUNCTION("""COMPUTED_VALUE"""),466.25)</f>
        <v/>
      </c>
      <c r="D155" s="141">
        <f>IFERROR(__xludf.DUMMYFUNCTION("""COMPUTED_VALUE"""),470.06)</f>
        <v/>
      </c>
      <c r="E155" s="141">
        <f>IFERROR(__xludf.DUMMYFUNCTION("""COMPUTED_VALUE"""),430.8)</f>
        <v/>
      </c>
      <c r="F155" s="141">
        <f>IFERROR(__xludf.DUMMYFUNCTION("""COMPUTED_VALUE"""),444.95)</f>
        <v/>
      </c>
      <c r="G155" s="143">
        <f>IFERROR(__xludf.DUMMYFUNCTION("""COMPUTED_VALUE"""),86593519)</f>
        <v/>
      </c>
      <c r="H155" s="27" t="n"/>
    </row>
    <row r="156" ht="17.25" customHeight="1" s="322">
      <c r="A156" s="27" t="n"/>
      <c r="B156" s="506">
        <f>IFERROR(__xludf.DUMMYFUNCTION("""COMPUTED_VALUE"""),46055.6666666666)</f>
        <v/>
      </c>
      <c r="C156" s="141">
        <f>IFERROR(__xludf.DUMMYFUNCTION("""COMPUTED_VALUE"""),434.01)</f>
        <v/>
      </c>
      <c r="D156" s="141">
        <f>IFERROR(__xludf.DUMMYFUNCTION("""COMPUTED_VALUE"""),440.78)</f>
        <v/>
      </c>
      <c r="E156" s="141">
        <f>IFERROR(__xludf.DUMMYFUNCTION("""COMPUTED_VALUE"""),422.55)</f>
        <v/>
      </c>
      <c r="F156" s="141">
        <f>IFERROR(__xludf.DUMMYFUNCTION("""COMPUTED_VALUE"""),427.13)</f>
        <v/>
      </c>
      <c r="G156" s="143">
        <f>IFERROR(__xludf.DUMMYFUNCTION("""COMPUTED_VALUE"""),41626234)</f>
        <v/>
      </c>
      <c r="H156" s="27" t="n"/>
    </row>
    <row r="157" ht="17.25" customHeight="1" s="322">
      <c r="A157" s="27" t="n"/>
      <c r="B157" s="506">
        <f>IFERROR(__xludf.DUMMYFUNCTION("""COMPUTED_VALUE"""),46056.6666666666)</f>
        <v/>
      </c>
      <c r="C157" s="141">
        <f>IFERROR(__xludf.DUMMYFUNCTION("""COMPUTED_VALUE"""),452.63)</f>
        <v/>
      </c>
      <c r="D157" s="141">
        <f>IFERROR(__xludf.DUMMYFUNCTION("""COMPUTED_VALUE"""),459)</f>
        <v/>
      </c>
      <c r="E157" s="141">
        <f>IFERROR(__xludf.DUMMYFUNCTION("""COMPUTED_VALUE"""),448.31)</f>
        <v/>
      </c>
      <c r="F157" s="141">
        <f>IFERROR(__xludf.DUMMYFUNCTION("""COMPUTED_VALUE"""),454.29)</f>
        <v/>
      </c>
      <c r="G157" s="143">
        <f>IFERROR(__xludf.DUMMYFUNCTION("""COMPUTED_VALUE"""),28703465)</f>
        <v/>
      </c>
      <c r="H157" s="27" t="n"/>
    </row>
    <row r="158" ht="17.25" customHeight="1" s="322">
      <c r="A158" s="27" t="n"/>
      <c r="B158" s="506">
        <f>IFERROR(__xludf.DUMMYFUNCTION("""COMPUTED_VALUE"""),46057.6666666666)</f>
        <v/>
      </c>
      <c r="C158" s="141">
        <f>IFERROR(__xludf.DUMMYFUNCTION("""COMPUTED_VALUE"""),462.47)</f>
        <v/>
      </c>
      <c r="D158" s="141">
        <f>IFERROR(__xludf.DUMMYFUNCTION("""COMPUTED_VALUE"""),463.1)</f>
        <v/>
      </c>
      <c r="E158" s="141">
        <f>IFERROR(__xludf.DUMMYFUNCTION("""COMPUTED_VALUE"""),445.71)</f>
        <v/>
      </c>
      <c r="F158" s="141">
        <f>IFERROR(__xludf.DUMMYFUNCTION("""COMPUTED_VALUE"""),453.97)</f>
        <v/>
      </c>
      <c r="G158" s="143">
        <f>IFERROR(__xludf.DUMMYFUNCTION("""COMPUTED_VALUE"""),24427923)</f>
        <v/>
      </c>
      <c r="H158" s="27" t="n"/>
    </row>
    <row r="159" ht="17.25" customHeight="1" s="322">
      <c r="A159" s="27" t="n"/>
      <c r="B159" s="506">
        <f>IFERROR(__xludf.DUMMYFUNCTION("""COMPUTED_VALUE"""),46058.6666666666)</f>
        <v/>
      </c>
      <c r="C159" s="141">
        <f>IFERROR(__xludf.DUMMYFUNCTION("""COMPUTED_VALUE"""),444.29)</f>
        <v/>
      </c>
      <c r="D159" s="141">
        <f>IFERROR(__xludf.DUMMYFUNCTION("""COMPUTED_VALUE"""),450.9)</f>
        <v/>
      </c>
      <c r="E159" s="141">
        <f>IFERROR(__xludf.DUMMYFUNCTION("""COMPUTED_VALUE"""),440.35)</f>
        <v/>
      </c>
      <c r="F159" s="141">
        <f>IFERROR(__xludf.DUMMYFUNCTION("""COMPUTED_VALUE"""),441.88)</f>
        <v/>
      </c>
      <c r="G159" s="143">
        <f>IFERROR(__xludf.DUMMYFUNCTION("""COMPUTED_VALUE"""),17718069)</f>
        <v/>
      </c>
      <c r="H159" s="27" t="n"/>
    </row>
    <row r="160" ht="17.25" customHeight="1" s="322">
      <c r="A160" s="27" t="n"/>
      <c r="B160" s="506">
        <f>IFERROR(__xludf.DUMMYFUNCTION("""COMPUTED_VALUE"""),46059.6666666666)</f>
        <v/>
      </c>
      <c r="C160" s="141">
        <f>IFERROR(__xludf.DUMMYFUNCTION("""COMPUTED_VALUE"""),450.73)</f>
        <v/>
      </c>
      <c r="D160" s="141">
        <f>IFERROR(__xludf.DUMMYFUNCTION("""COMPUTED_VALUE"""),456.93)</f>
        <v/>
      </c>
      <c r="E160" s="141">
        <f>IFERROR(__xludf.DUMMYFUNCTION("""COMPUTED_VALUE"""),450.03)</f>
        <v/>
      </c>
      <c r="F160" s="141">
        <f>IFERROR(__xludf.DUMMYFUNCTION("""COMPUTED_VALUE"""),455.46)</f>
        <v/>
      </c>
      <c r="G160" s="143">
        <f>IFERROR(__xludf.DUMMYFUNCTION("""COMPUTED_VALUE"""),12663907)</f>
        <v/>
      </c>
      <c r="H160" s="27" t="n"/>
    </row>
    <row r="161" ht="17.25" customHeight="1" s="322">
      <c r="A161" s="27" t="n"/>
      <c r="B161" s="506">
        <f>IFERROR(__xludf.DUMMYFUNCTION("""COMPUTED_VALUE"""),46062.6666666666)</f>
        <v/>
      </c>
      <c r="C161" s="141">
        <f>IFERROR(__xludf.DUMMYFUNCTION("""COMPUTED_VALUE"""),461.39)</f>
        <v/>
      </c>
      <c r="D161" s="141">
        <f>IFERROR(__xludf.DUMMYFUNCTION("""COMPUTED_VALUE"""),467.56)</f>
        <v/>
      </c>
      <c r="E161" s="141">
        <f>IFERROR(__xludf.DUMMYFUNCTION("""COMPUTED_VALUE"""),460.85)</f>
        <v/>
      </c>
      <c r="F161" s="141">
        <f>IFERROR(__xludf.DUMMYFUNCTION("""COMPUTED_VALUE"""),467.03)</f>
        <v/>
      </c>
      <c r="G161" s="143">
        <f>IFERROR(__xludf.DUMMYFUNCTION("""COMPUTED_VALUE"""),12330874)</f>
        <v/>
      </c>
      <c r="H161" s="27" t="n"/>
    </row>
    <row r="162" ht="17.25" customHeight="1" s="322">
      <c r="A162" s="27" t="n"/>
      <c r="B162" s="506">
        <f>IFERROR(__xludf.DUMMYFUNCTION("""COMPUTED_VALUE"""),46063.6666666666)</f>
        <v/>
      </c>
      <c r="C162" s="141">
        <f>IFERROR(__xludf.DUMMYFUNCTION("""COMPUTED_VALUE"""),465.96)</f>
        <v/>
      </c>
      <c r="D162" s="141">
        <f>IFERROR(__xludf.DUMMYFUNCTION("""COMPUTED_VALUE"""),466.75)</f>
        <v/>
      </c>
      <c r="E162" s="141">
        <f>IFERROR(__xludf.DUMMYFUNCTION("""COMPUTED_VALUE"""),459.52)</f>
        <v/>
      </c>
      <c r="F162" s="141">
        <f>IFERROR(__xludf.DUMMYFUNCTION("""COMPUTED_VALUE"""),462.4)</f>
        <v/>
      </c>
      <c r="G162" s="143">
        <f>IFERROR(__xludf.DUMMYFUNCTION("""COMPUTED_VALUE"""),7861589)</f>
        <v/>
      </c>
      <c r="H162" s="27" t="n"/>
    </row>
    <row r="163" ht="17.25" customHeight="1" s="322">
      <c r="A163" s="27" t="n"/>
      <c r="B163" s="506">
        <f>IFERROR(__xludf.DUMMYFUNCTION("""COMPUTED_VALUE"""),46064.6666666666)</f>
        <v/>
      </c>
      <c r="C163" s="141">
        <f>IFERROR(__xludf.DUMMYFUNCTION("""COMPUTED_VALUE"""),466)</f>
        <v/>
      </c>
      <c r="D163" s="141">
        <f>IFERROR(__xludf.DUMMYFUNCTION("""COMPUTED_VALUE"""),468.61)</f>
        <v/>
      </c>
      <c r="E163" s="141">
        <f>IFERROR(__xludf.DUMMYFUNCTION("""COMPUTED_VALUE"""),462.82)</f>
        <v/>
      </c>
      <c r="F163" s="141">
        <f>IFERROR(__xludf.DUMMYFUNCTION("""COMPUTED_VALUE"""),467.63)</f>
        <v/>
      </c>
      <c r="G163" s="143">
        <f>IFERROR(__xludf.DUMMYFUNCTION("""COMPUTED_VALUE"""),11209595)</f>
        <v/>
      </c>
      <c r="H163" s="27" t="n"/>
    </row>
    <row r="164" ht="17.25" customHeight="1" s="322">
      <c r="A164" s="27" t="n"/>
      <c r="B164" s="506">
        <f>IFERROR(__xludf.DUMMYFUNCTION("""COMPUTED_VALUE"""),46065.6666666666)</f>
        <v/>
      </c>
      <c r="C164" s="141">
        <f>IFERROR(__xludf.DUMMYFUNCTION("""COMPUTED_VALUE"""),464.9)</f>
        <v/>
      </c>
      <c r="D164" s="141">
        <f>IFERROR(__xludf.DUMMYFUNCTION("""COMPUTED_VALUE"""),466.38)</f>
        <v/>
      </c>
      <c r="E164" s="141">
        <f>IFERROR(__xludf.DUMMYFUNCTION("""COMPUTED_VALUE"""),448.06)</f>
        <v/>
      </c>
      <c r="F164" s="141">
        <f>IFERROR(__xludf.DUMMYFUNCTION("""COMPUTED_VALUE"""),451.39)</f>
        <v/>
      </c>
      <c r="G164" s="143">
        <f>IFERROR(__xludf.DUMMYFUNCTION("""COMPUTED_VALUE"""),20488829)</f>
        <v/>
      </c>
      <c r="H164" s="27" t="n"/>
    </row>
    <row r="165" ht="17.25" customHeight="1" s="322">
      <c r="A165" s="27" t="n"/>
      <c r="B165" s="506">
        <f>IFERROR(__xludf.DUMMYFUNCTION("""COMPUTED_VALUE"""),46066.6666666666)</f>
        <v/>
      </c>
      <c r="C165" s="141">
        <f>IFERROR(__xludf.DUMMYFUNCTION("""COMPUTED_VALUE"""),459.73)</f>
        <v/>
      </c>
      <c r="D165" s="141">
        <f>IFERROR(__xludf.DUMMYFUNCTION("""COMPUTED_VALUE"""),463.84)</f>
        <v/>
      </c>
      <c r="E165" s="141">
        <f>IFERROR(__xludf.DUMMYFUNCTION("""COMPUTED_VALUE"""),456.25)</f>
        <v/>
      </c>
      <c r="F165" s="141">
        <f>IFERROR(__xludf.DUMMYFUNCTION("""COMPUTED_VALUE"""),462.62)</f>
        <v/>
      </c>
      <c r="G165" s="143">
        <f>IFERROR(__xludf.DUMMYFUNCTION("""COMPUTED_VALUE"""),12359348)</f>
        <v/>
      </c>
      <c r="H165" s="27" t="n"/>
    </row>
    <row r="166" ht="17.25" customHeight="1" s="322">
      <c r="A166" s="27" t="n"/>
      <c r="B166" s="506">
        <f>IFERROR(__xludf.DUMMYFUNCTION("""COMPUTED_VALUE"""),46070.6666666666)</f>
        <v/>
      </c>
      <c r="C166" s="141">
        <f>IFERROR(__xludf.DUMMYFUNCTION("""COMPUTED_VALUE"""),450.26)</f>
        <v/>
      </c>
      <c r="D166" s="141">
        <f>IFERROR(__xludf.DUMMYFUNCTION("""COMPUTED_VALUE"""),451.37)</f>
        <v/>
      </c>
      <c r="E166" s="141">
        <f>IFERROR(__xludf.DUMMYFUNCTION("""COMPUTED_VALUE"""),445.53)</f>
        <v/>
      </c>
      <c r="F166" s="141">
        <f>IFERROR(__xludf.DUMMYFUNCTION("""COMPUTED_VALUE"""),448.2)</f>
        <v/>
      </c>
      <c r="G166" s="143">
        <f>IFERROR(__xludf.DUMMYFUNCTION("""COMPUTED_VALUE"""),10976087)</f>
        <v/>
      </c>
      <c r="H166" s="27" t="n"/>
    </row>
    <row r="167" ht="17.25" customHeight="1" s="322">
      <c r="A167" s="27" t="n"/>
      <c r="B167" s="506">
        <f>IFERROR(__xludf.DUMMYFUNCTION("""COMPUTED_VALUE"""),46071.6666666666)</f>
        <v/>
      </c>
      <c r="C167" s="141">
        <f>IFERROR(__xludf.DUMMYFUNCTION("""COMPUTED_VALUE"""),455.81)</f>
        <v/>
      </c>
      <c r="D167" s="141">
        <f>IFERROR(__xludf.DUMMYFUNCTION("""COMPUTED_VALUE"""),460.51)</f>
        <v/>
      </c>
      <c r="E167" s="141">
        <f>IFERROR(__xludf.DUMMYFUNCTION("""COMPUTED_VALUE"""),455.32)</f>
        <v/>
      </c>
      <c r="F167" s="141">
        <f>IFERROR(__xludf.DUMMYFUNCTION("""COMPUTED_VALUE"""),458.28)</f>
        <v/>
      </c>
      <c r="G167" s="143">
        <f>IFERROR(__xludf.DUMMYFUNCTION("""COMPUTED_VALUE"""),10226301)</f>
        <v/>
      </c>
      <c r="H167" s="27" t="n"/>
    </row>
    <row r="168" ht="17.25" customHeight="1" s="322">
      <c r="A168" s="27" t="n"/>
      <c r="B168" s="506">
        <f>IFERROR(__xludf.DUMMYFUNCTION("""COMPUTED_VALUE"""),46072.6666666666)</f>
        <v/>
      </c>
      <c r="C168" s="141">
        <f>IFERROR(__xludf.DUMMYFUNCTION("""COMPUTED_VALUE"""),457.34)</f>
        <v/>
      </c>
      <c r="D168" s="141">
        <f>IFERROR(__xludf.DUMMYFUNCTION("""COMPUTED_VALUE"""),461.51)</f>
        <v/>
      </c>
      <c r="E168" s="141">
        <f>IFERROR(__xludf.DUMMYFUNCTION("""COMPUTED_VALUE"""),456.03)</f>
        <v/>
      </c>
      <c r="F168" s="141">
        <f>IFERROR(__xludf.DUMMYFUNCTION("""COMPUTED_VALUE"""),459.56)</f>
        <v/>
      </c>
      <c r="G168" s="143">
        <f>IFERROR(__xludf.DUMMYFUNCTION("""COMPUTED_VALUE"""),8411438)</f>
        <v/>
      </c>
      <c r="H168" s="27" t="n"/>
    </row>
    <row r="169" ht="17.25" customHeight="1" s="322">
      <c r="A169" s="27" t="n"/>
      <c r="B169" s="506">
        <f>IFERROR(__xludf.DUMMYFUNCTION("""COMPUTED_VALUE"""),46073.6666666666)</f>
        <v/>
      </c>
      <c r="C169" s="141">
        <f>IFERROR(__xludf.DUMMYFUNCTION("""COMPUTED_VALUE"""),463.25)</f>
        <v/>
      </c>
      <c r="D169" s="141">
        <f>IFERROR(__xludf.DUMMYFUNCTION("""COMPUTED_VALUE"""),468.62)</f>
        <v/>
      </c>
      <c r="E169" s="141">
        <f>IFERROR(__xludf.DUMMYFUNCTION("""COMPUTED_VALUE"""),458.34)</f>
        <v/>
      </c>
      <c r="F169" s="141">
        <f>IFERROR(__xludf.DUMMYFUNCTION("""COMPUTED_VALUE"""),468.62)</f>
        <v/>
      </c>
      <c r="G169" s="143">
        <f>IFERROR(__xludf.DUMMYFUNCTION("""COMPUTED_VALUE"""),14316250)</f>
        <v/>
      </c>
      <c r="H169" s="27" t="n"/>
    </row>
    <row r="170" ht="17.25" customHeight="1" s="322">
      <c r="A170" s="27" t="n"/>
      <c r="B170" s="506">
        <f>IFERROR(__xludf.DUMMYFUNCTION("""COMPUTED_VALUE"""),46076.6666666666)</f>
        <v/>
      </c>
      <c r="C170" s="141">
        <f>IFERROR(__xludf.DUMMYFUNCTION("""COMPUTED_VALUE"""),474.65)</f>
        <v/>
      </c>
      <c r="D170" s="141">
        <f>IFERROR(__xludf.DUMMYFUNCTION("""COMPUTED_VALUE"""),481.46)</f>
        <v/>
      </c>
      <c r="E170" s="141">
        <f>IFERROR(__xludf.DUMMYFUNCTION("""COMPUTED_VALUE"""),474.61)</f>
        <v/>
      </c>
      <c r="F170" s="141">
        <f>IFERROR(__xludf.DUMMYFUNCTION("""COMPUTED_VALUE"""),481.28)</f>
        <v/>
      </c>
      <c r="G170" s="143">
        <f>IFERROR(__xludf.DUMMYFUNCTION("""COMPUTED_VALUE"""),17221744)</f>
        <v/>
      </c>
      <c r="H170" s="27" t="n"/>
    </row>
    <row r="171" ht="17.25" customHeight="1" s="322">
      <c r="A171" s="27" t="n"/>
      <c r="B171" s="506">
        <f>IFERROR(__xludf.DUMMYFUNCTION("""COMPUTED_VALUE"""),46077.6666666666)</f>
        <v/>
      </c>
      <c r="C171" s="141">
        <f>IFERROR(__xludf.DUMMYFUNCTION("""COMPUTED_VALUE"""),470.09)</f>
        <v/>
      </c>
      <c r="D171" s="141">
        <f>IFERROR(__xludf.DUMMYFUNCTION("""COMPUTED_VALUE"""),475.44)</f>
        <v/>
      </c>
      <c r="E171" s="141">
        <f>IFERROR(__xludf.DUMMYFUNCTION("""COMPUTED_VALUE"""),469.55)</f>
        <v/>
      </c>
      <c r="F171" s="141">
        <f>IFERROR(__xludf.DUMMYFUNCTION("""COMPUTED_VALUE"""),474.61)</f>
        <v/>
      </c>
      <c r="G171" s="143">
        <f>IFERROR(__xludf.DUMMYFUNCTION("""COMPUTED_VALUE"""),14041642)</f>
        <v/>
      </c>
      <c r="H171" s="27" t="n"/>
    </row>
    <row r="172" ht="17.25" customHeight="1" s="322">
      <c r="A172" s="27" t="n"/>
      <c r="B172" s="506">
        <f>IFERROR(__xludf.DUMMYFUNCTION("""COMPUTED_VALUE"""),46078.6666666666)</f>
        <v/>
      </c>
      <c r="C172" s="141">
        <f>IFERROR(__xludf.DUMMYFUNCTION("""COMPUTED_VALUE"""),475.74)</f>
        <v/>
      </c>
      <c r="D172" s="141">
        <f>IFERROR(__xludf.DUMMYFUNCTION("""COMPUTED_VALUE"""),479.53)</f>
        <v/>
      </c>
      <c r="E172" s="141">
        <f>IFERROR(__xludf.DUMMYFUNCTION("""COMPUTED_VALUE"""),472.9)</f>
        <v/>
      </c>
      <c r="F172" s="141">
        <f>IFERROR(__xludf.DUMMYFUNCTION("""COMPUTED_VALUE"""),473.42)</f>
        <v/>
      </c>
      <c r="G172" s="143">
        <f>IFERROR(__xludf.DUMMYFUNCTION("""COMPUTED_VALUE"""),12531273)</f>
        <v/>
      </c>
      <c r="H172" s="27" t="n"/>
    </row>
    <row r="173" ht="17.25" customHeight="1" s="322">
      <c r="A173" s="27" t="n"/>
      <c r="B173" s="506">
        <f>IFERROR(__xludf.DUMMYFUNCTION("""COMPUTED_VALUE"""),46079.6666666666)</f>
        <v/>
      </c>
      <c r="C173" s="141">
        <f>IFERROR(__xludf.DUMMYFUNCTION("""COMPUTED_VALUE"""),474.95)</f>
        <v/>
      </c>
      <c r="D173" s="141">
        <f>IFERROR(__xludf.DUMMYFUNCTION("""COMPUTED_VALUE"""),477.83)</f>
        <v/>
      </c>
      <c r="E173" s="141">
        <f>IFERROR(__xludf.DUMMYFUNCTION("""COMPUTED_VALUE"""),442.04)</f>
        <v/>
      </c>
      <c r="F173" s="141">
        <f>IFERROR(__xludf.DUMMYFUNCTION("""COMPUTED_VALUE"""),477.48)</f>
        <v/>
      </c>
      <c r="G173" s="143">
        <f>IFERROR(__xludf.DUMMYFUNCTION("""COMPUTED_VALUE"""),12147377)</f>
        <v/>
      </c>
      <c r="H173" s="27" t="n"/>
    </row>
    <row r="174" ht="17.25" customHeight="1" s="322">
      <c r="A174" s="27" t="n"/>
      <c r="B174" s="506">
        <f>IFERROR(__xludf.DUMMYFUNCTION("""COMPUTED_VALUE"""),46080.6666666666)</f>
        <v/>
      </c>
      <c r="C174" s="141">
        <f>IFERROR(__xludf.DUMMYFUNCTION("""COMPUTED_VALUE"""),480.75)</f>
        <v/>
      </c>
      <c r="D174" s="141">
        <f>IFERROR(__xludf.DUMMYFUNCTION("""COMPUTED_VALUE"""),483.9)</f>
        <v/>
      </c>
      <c r="E174" s="141">
        <f>IFERROR(__xludf.DUMMYFUNCTION("""COMPUTED_VALUE"""),479.11)</f>
        <v/>
      </c>
      <c r="F174" s="141">
        <f>IFERROR(__xludf.DUMMYFUNCTION("""COMPUTED_VALUE"""),483.75)</f>
        <v/>
      </c>
      <c r="G174" s="143">
        <f>IFERROR(__xludf.DUMMYFUNCTION("""COMPUTED_VALUE"""),16522193)</f>
        <v/>
      </c>
      <c r="H174" s="27" t="n"/>
    </row>
    <row r="175" ht="17.25" customHeight="1" s="322">
      <c r="A175" s="27" t="n"/>
      <c r="B175" s="506">
        <f>IFERROR(__xludf.DUMMYFUNCTION("""COMPUTED_VALUE"""),46083.6666666666)</f>
        <v/>
      </c>
      <c r="C175" s="141">
        <f>IFERROR(__xludf.DUMMYFUNCTION("""COMPUTED_VALUE"""),490.1)</f>
        <v/>
      </c>
      <c r="D175" s="141">
        <f>IFERROR(__xludf.DUMMYFUNCTION("""COMPUTED_VALUE"""),492.15)</f>
        <v/>
      </c>
      <c r="E175" s="141">
        <f>IFERROR(__xludf.DUMMYFUNCTION("""COMPUTED_VALUE"""),483.28)</f>
        <v/>
      </c>
      <c r="F175" s="141">
        <f>IFERROR(__xludf.DUMMYFUNCTION("""COMPUTED_VALUE"""),490)</f>
        <v/>
      </c>
      <c r="G175" s="143">
        <f>IFERROR(__xludf.DUMMYFUNCTION("""COMPUTED_VALUE"""),19702296)</f>
        <v/>
      </c>
      <c r="H175" s="27" t="n"/>
    </row>
    <row r="176" ht="17.25" customHeight="1" s="322">
      <c r="A176" s="27" t="n"/>
      <c r="B176" s="506">
        <f>IFERROR(__xludf.DUMMYFUNCTION("""COMPUTED_VALUE"""),46084.6666666666)</f>
        <v/>
      </c>
      <c r="C176" s="141">
        <f>IFERROR(__xludf.DUMMYFUNCTION("""COMPUTED_VALUE"""),472.83)</f>
        <v/>
      </c>
      <c r="D176" s="141">
        <f>IFERROR(__xludf.DUMMYFUNCTION("""COMPUTED_VALUE"""),473.2)</f>
        <v/>
      </c>
      <c r="E176" s="141">
        <f>IFERROR(__xludf.DUMMYFUNCTION("""COMPUTED_VALUE"""),458.93)</f>
        <v/>
      </c>
      <c r="F176" s="141">
        <f>IFERROR(__xludf.DUMMYFUNCTION("""COMPUTED_VALUE"""),468.14)</f>
        <v/>
      </c>
      <c r="G176" s="143">
        <f>IFERROR(__xludf.DUMMYFUNCTION("""COMPUTED_VALUE"""),22387107)</f>
        <v/>
      </c>
      <c r="H176" s="27" t="n"/>
    </row>
    <row r="177" ht="17.25" customHeight="1" s="322">
      <c r="A177" s="27" t="n"/>
      <c r="B177" s="506">
        <f>IFERROR(__xludf.DUMMYFUNCTION("""COMPUTED_VALUE"""),46085.6666666666)</f>
        <v/>
      </c>
      <c r="C177" s="141">
        <f>IFERROR(__xludf.DUMMYFUNCTION("""COMPUTED_VALUE"""),474.82)</f>
        <v/>
      </c>
      <c r="D177" s="141">
        <f>IFERROR(__xludf.DUMMYFUNCTION("""COMPUTED_VALUE"""),476.42)</f>
        <v/>
      </c>
      <c r="E177" s="141">
        <f>IFERROR(__xludf.DUMMYFUNCTION("""COMPUTED_VALUE"""),469.39)</f>
        <v/>
      </c>
      <c r="F177" s="141">
        <f>IFERROR(__xludf.DUMMYFUNCTION("""COMPUTED_VALUE"""),471.8)</f>
        <v/>
      </c>
      <c r="G177" s="143">
        <f>IFERROR(__xludf.DUMMYFUNCTION("""COMPUTED_VALUE"""),9831640)</f>
        <v/>
      </c>
      <c r="H177" s="27" t="n"/>
    </row>
    <row r="178" ht="17.25" customHeight="1" s="322">
      <c r="A178" s="27" t="n"/>
      <c r="B178" s="506">
        <f>IFERROR(__xludf.DUMMYFUNCTION("""COMPUTED_VALUE"""),46086.6666666666)</f>
        <v/>
      </c>
      <c r="C178" s="141">
        <f>IFERROR(__xludf.DUMMYFUNCTION("""COMPUTED_VALUE"""),470.45)</f>
        <v/>
      </c>
      <c r="D178" s="141">
        <f>IFERROR(__xludf.DUMMYFUNCTION("""COMPUTED_VALUE"""),470.67)</f>
        <v/>
      </c>
      <c r="E178" s="141">
        <f>IFERROR(__xludf.DUMMYFUNCTION("""COMPUTED_VALUE"""),463.91)</f>
        <v/>
      </c>
      <c r="F178" s="141">
        <f>IFERROR(__xludf.DUMMYFUNCTION("""COMPUTED_VALUE"""),466.13)</f>
        <v/>
      </c>
      <c r="G178" s="143">
        <f>IFERROR(__xludf.DUMMYFUNCTION("""COMPUTED_VALUE"""),11556088)</f>
        <v/>
      </c>
      <c r="H178" s="27" t="n"/>
    </row>
    <row r="179" ht="17.25" customHeight="1" s="322">
      <c r="A179" s="27" t="n"/>
      <c r="B179" s="506">
        <f>IFERROR(__xludf.DUMMYFUNCTION("""COMPUTED_VALUE"""),46087.6666666666)</f>
        <v/>
      </c>
      <c r="C179" s="141">
        <f>IFERROR(__xludf.DUMMYFUNCTION("""COMPUTED_VALUE"""),469.04)</f>
        <v/>
      </c>
      <c r="D179" s="141">
        <f>IFERROR(__xludf.DUMMYFUNCTION("""COMPUTED_VALUE"""),475.46)</f>
        <v/>
      </c>
      <c r="E179" s="141">
        <f>IFERROR(__xludf.DUMMYFUNCTION("""COMPUTED_VALUE"""),467.07)</f>
        <v/>
      </c>
      <c r="F179" s="141">
        <f>IFERROR(__xludf.DUMMYFUNCTION("""COMPUTED_VALUE"""),473.51)</f>
        <v/>
      </c>
      <c r="G179" s="143">
        <f>IFERROR(__xludf.DUMMYFUNCTION("""COMPUTED_VALUE"""),10282135)</f>
        <v/>
      </c>
      <c r="H179" s="27" t="n"/>
    </row>
    <row r="180" ht="17.25" customHeight="1" s="322">
      <c r="A180" s="27" t="n"/>
      <c r="B180" s="506">
        <f>IFERROR(__xludf.DUMMYFUNCTION("""COMPUTED_VALUE"""),46090.6666666666)</f>
        <v/>
      </c>
      <c r="C180" s="141">
        <f>IFERROR(__xludf.DUMMYFUNCTION("""COMPUTED_VALUE"""),468.09)</f>
        <v/>
      </c>
      <c r="D180" s="141">
        <f>IFERROR(__xludf.DUMMYFUNCTION("""COMPUTED_VALUE"""),472.68)</f>
        <v/>
      </c>
      <c r="E180" s="141">
        <f>IFERROR(__xludf.DUMMYFUNCTION("""COMPUTED_VALUE"""),464.79)</f>
        <v/>
      </c>
      <c r="F180" s="141">
        <f>IFERROR(__xludf.DUMMYFUNCTION("""COMPUTED_VALUE"""),472.53)</f>
        <v/>
      </c>
      <c r="G180" s="143">
        <f>IFERROR(__xludf.DUMMYFUNCTION("""COMPUTED_VALUE"""),8742649)</f>
        <v/>
      </c>
      <c r="H180" s="27" t="n"/>
    </row>
    <row r="181" ht="17.25" customHeight="1" s="322">
      <c r="A181" s="27" t="n"/>
      <c r="B181" s="506">
        <f>IFERROR(__xludf.DUMMYFUNCTION("""COMPUTED_VALUE"""),46091.6666666666)</f>
        <v/>
      </c>
      <c r="C181" s="141">
        <f>IFERROR(__xludf.DUMMYFUNCTION("""COMPUTED_VALUE"""),479.74)</f>
        <v/>
      </c>
      <c r="D181" s="141">
        <f>IFERROR(__xludf.DUMMYFUNCTION("""COMPUTED_VALUE"""),481.31)</f>
        <v/>
      </c>
      <c r="E181" s="141">
        <f>IFERROR(__xludf.DUMMYFUNCTION("""COMPUTED_VALUE"""),474.21)</f>
        <v/>
      </c>
      <c r="F181" s="141">
        <f>IFERROR(__xludf.DUMMYFUNCTION("""COMPUTED_VALUE"""),477.86)</f>
        <v/>
      </c>
      <c r="G181" s="143">
        <f>IFERROR(__xludf.DUMMYFUNCTION("""COMPUTED_VALUE"""),9513286)</f>
        <v/>
      </c>
      <c r="H181" s="27" t="n"/>
    </row>
    <row r="182" ht="17.25" customHeight="1" s="322">
      <c r="A182" s="27" t="n"/>
      <c r="B182" s="506">
        <f>IFERROR(__xludf.DUMMYFUNCTION("""COMPUTED_VALUE"""),46092.6666666666)</f>
        <v/>
      </c>
      <c r="C182" s="141">
        <f>IFERROR(__xludf.DUMMYFUNCTION("""COMPUTED_VALUE"""),476.13)</f>
        <v/>
      </c>
      <c r="D182" s="141">
        <f>IFERROR(__xludf.DUMMYFUNCTION("""COMPUTED_VALUE"""),477.45)</f>
        <v/>
      </c>
      <c r="E182" s="141">
        <f>IFERROR(__xludf.DUMMYFUNCTION("""COMPUTED_VALUE"""),473.13)</f>
        <v/>
      </c>
      <c r="F182" s="141">
        <f>IFERROR(__xludf.DUMMYFUNCTION("""COMPUTED_VALUE"""),476.24)</f>
        <v/>
      </c>
      <c r="G182" s="143">
        <f>IFERROR(__xludf.DUMMYFUNCTION("""COMPUTED_VALUE"""),7522851)</f>
        <v/>
      </c>
      <c r="H182" s="27" t="n"/>
    </row>
    <row r="183" ht="17.25" customHeight="1" s="322">
      <c r="A183" s="27" t="n"/>
      <c r="B183" s="506">
        <f>IFERROR(__xludf.DUMMYFUNCTION("""COMPUTED_VALUE"""),46093.6666666666)</f>
        <v/>
      </c>
      <c r="C183" s="141">
        <f>IFERROR(__xludf.DUMMYFUNCTION("""COMPUTED_VALUE"""),474.95)</f>
        <v/>
      </c>
      <c r="D183" s="141">
        <f>IFERROR(__xludf.DUMMYFUNCTION("""COMPUTED_VALUE"""),475.02)</f>
        <v/>
      </c>
      <c r="E183" s="141">
        <f>IFERROR(__xludf.DUMMYFUNCTION("""COMPUTED_VALUE"""),466.6)</f>
        <v/>
      </c>
      <c r="F183" s="141">
        <f>IFERROR(__xludf.DUMMYFUNCTION("""COMPUTED_VALUE"""),466.88)</f>
        <v/>
      </c>
      <c r="G183" s="143">
        <f>IFERROR(__xludf.DUMMYFUNCTION("""COMPUTED_VALUE"""),11900581)</f>
        <v/>
      </c>
      <c r="H183" s="27" t="n"/>
    </row>
    <row r="184" ht="17.25" customHeight="1" s="322">
      <c r="A184" s="27" t="n"/>
      <c r="B184" s="506">
        <f>IFERROR(__xludf.DUMMYFUNCTION("""COMPUTED_VALUE"""),46094.6666666666)</f>
        <v/>
      </c>
      <c r="C184" s="141">
        <f>IFERROR(__xludf.DUMMYFUNCTION("""COMPUTED_VALUE"""),469.31)</f>
        <v/>
      </c>
      <c r="D184" s="141">
        <f>IFERROR(__xludf.DUMMYFUNCTION("""COMPUTED_VALUE"""),470.1)</f>
        <v/>
      </c>
      <c r="E184" s="141">
        <f>IFERROR(__xludf.DUMMYFUNCTION("""COMPUTED_VALUE"""),460.22)</f>
        <v/>
      </c>
      <c r="F184" s="141">
        <f>IFERROR(__xludf.DUMMYFUNCTION("""COMPUTED_VALUE"""),460.84)</f>
        <v/>
      </c>
      <c r="G184" s="143">
        <f>IFERROR(__xludf.DUMMYFUNCTION("""COMPUTED_VALUE"""),11741579)</f>
        <v/>
      </c>
      <c r="H184" s="27" t="n"/>
    </row>
    <row r="185" ht="17.25" customHeight="1" s="322">
      <c r="A185" s="27" t="n"/>
      <c r="B185" s="506">
        <f>IFERROR(__xludf.DUMMYFUNCTION("""COMPUTED_VALUE"""),46097.6666666666)</f>
        <v/>
      </c>
      <c r="C185" s="141">
        <f>IFERROR(__xludf.DUMMYFUNCTION("""COMPUTED_VALUE"""),461.27)</f>
        <v/>
      </c>
      <c r="D185" s="141">
        <f>IFERROR(__xludf.DUMMYFUNCTION("""COMPUTED_VALUE"""),462.8)</f>
        <v/>
      </c>
      <c r="E185" s="141">
        <f>IFERROR(__xludf.DUMMYFUNCTION("""COMPUTED_VALUE"""),456.91)</f>
        <v/>
      </c>
      <c r="F185" s="141">
        <f>IFERROR(__xludf.DUMMYFUNCTION("""COMPUTED_VALUE"""),460.43)</f>
        <v/>
      </c>
      <c r="G185" s="143">
        <f>IFERROR(__xludf.DUMMYFUNCTION("""COMPUTED_VALUE"""),8964093)</f>
        <v/>
      </c>
      <c r="H185" s="27" t="n"/>
    </row>
    <row r="186" ht="17.25" customHeight="1" s="322">
      <c r="A186" s="27" t="n"/>
      <c r="B186" s="506">
        <f>IFERROR(__xludf.DUMMYFUNCTION("""COMPUTED_VALUE"""),46098.6666666666)</f>
        <v/>
      </c>
      <c r="C186" s="141">
        <f>IFERROR(__xludf.DUMMYFUNCTION("""COMPUTED_VALUE"""),460.51)</f>
        <v/>
      </c>
      <c r="D186" s="141">
        <f>IFERROR(__xludf.DUMMYFUNCTION("""COMPUTED_VALUE"""),462.21)</f>
        <v/>
      </c>
      <c r="E186" s="141">
        <f>IFERROR(__xludf.DUMMYFUNCTION("""COMPUTED_VALUE"""),456.87)</f>
        <v/>
      </c>
      <c r="F186" s="141">
        <f>IFERROR(__xludf.DUMMYFUNCTION("""COMPUTED_VALUE"""),459.27)</f>
        <v/>
      </c>
      <c r="G186" s="143">
        <f>IFERROR(__xludf.DUMMYFUNCTION("""COMPUTED_VALUE"""),7610092)</f>
        <v/>
      </c>
      <c r="H186" s="27" t="n"/>
    </row>
    <row r="187" ht="17.25" customHeight="1" s="322">
      <c r="A187" s="27" t="n"/>
      <c r="B187" s="506">
        <f>IFERROR(__xludf.DUMMYFUNCTION("""COMPUTED_VALUE"""),46099.6666666666)</f>
        <v/>
      </c>
      <c r="C187" s="141">
        <f>IFERROR(__xludf.DUMMYFUNCTION("""COMPUTED_VALUE"""),446.66)</f>
        <v/>
      </c>
      <c r="D187" s="141">
        <f>IFERROR(__xludf.DUMMYFUNCTION("""COMPUTED_VALUE"""),450.06)</f>
        <v/>
      </c>
      <c r="E187" s="141">
        <f>IFERROR(__xludf.DUMMYFUNCTION("""COMPUTED_VALUE"""),444.39)</f>
        <v/>
      </c>
      <c r="F187" s="141">
        <f>IFERROR(__xludf.DUMMYFUNCTION("""COMPUTED_VALUE"""),444.74)</f>
        <v/>
      </c>
      <c r="G187" s="143">
        <f>IFERROR(__xludf.DUMMYFUNCTION("""COMPUTED_VALUE"""),18375613)</f>
        <v/>
      </c>
      <c r="H187" s="27" t="n"/>
    </row>
    <row r="188" ht="17.25" customHeight="1" s="322">
      <c r="A188" s="27" t="n"/>
      <c r="B188" s="506">
        <f>IFERROR(__xludf.DUMMYFUNCTION("""COMPUTED_VALUE"""),46100.6666666666)</f>
        <v/>
      </c>
      <c r="C188" s="141">
        <f>IFERROR(__xludf.DUMMYFUNCTION("""COMPUTED_VALUE"""),420.36)</f>
        <v/>
      </c>
      <c r="D188" s="141">
        <f>IFERROR(__xludf.DUMMYFUNCTION("""COMPUTED_VALUE"""),428.27)</f>
        <v/>
      </c>
      <c r="E188" s="141">
        <f>IFERROR(__xludf.DUMMYFUNCTION("""COMPUTED_VALUE"""),416.8)</f>
        <v/>
      </c>
      <c r="F188" s="141">
        <f>IFERROR(__xludf.DUMMYFUNCTION("""COMPUTED_VALUE"""),426.41)</f>
        <v/>
      </c>
      <c r="G188" s="143">
        <f>IFERROR(__xludf.DUMMYFUNCTION("""COMPUTED_VALUE"""),30205978)</f>
        <v/>
      </c>
      <c r="H188" s="27" t="n"/>
    </row>
    <row r="189" ht="17.25" customHeight="1" s="322">
      <c r="A189" s="27" t="n"/>
      <c r="B189" s="506">
        <f>IFERROR(__xludf.DUMMYFUNCTION("""COMPUTED_VALUE"""),46101.6666666666)</f>
        <v/>
      </c>
      <c r="C189" s="141">
        <f>IFERROR(__xludf.DUMMYFUNCTION("""COMPUTED_VALUE"""),428.09)</f>
        <v/>
      </c>
      <c r="D189" s="141">
        <f>IFERROR(__xludf.DUMMYFUNCTION("""COMPUTED_VALUE"""),428.59)</f>
        <v/>
      </c>
      <c r="E189" s="141">
        <f>IFERROR(__xludf.DUMMYFUNCTION("""COMPUTED_VALUE"""),411.23)</f>
        <v/>
      </c>
      <c r="F189" s="141">
        <f>IFERROR(__xludf.DUMMYFUNCTION("""COMPUTED_VALUE"""),413.38)</f>
        <v/>
      </c>
      <c r="G189" s="143">
        <f>IFERROR(__xludf.DUMMYFUNCTION("""COMPUTED_VALUE"""),27204939)</f>
        <v/>
      </c>
      <c r="H189" s="27" t="n"/>
    </row>
    <row r="190" ht="17.25" customHeight="1" s="322">
      <c r="A190" s="27" t="n"/>
      <c r="B190" s="506">
        <f>IFERROR(__xludf.DUMMYFUNCTION("""COMPUTED_VALUE"""),46104.6666666666)</f>
        <v/>
      </c>
      <c r="C190" s="141">
        <f>IFERROR(__xludf.DUMMYFUNCTION("""COMPUTED_VALUE"""),405.12)</f>
        <v/>
      </c>
      <c r="D190" s="141">
        <f>IFERROR(__xludf.DUMMYFUNCTION("""COMPUTED_VALUE"""),414.54)</f>
        <v/>
      </c>
      <c r="E190" s="141">
        <f>IFERROR(__xludf.DUMMYFUNCTION("""COMPUTED_VALUE"""),399.64)</f>
        <v/>
      </c>
      <c r="F190" s="141">
        <f>IFERROR(__xludf.DUMMYFUNCTION("""COMPUTED_VALUE"""),404.04)</f>
        <v/>
      </c>
      <c r="G190" s="143">
        <f>IFERROR(__xludf.DUMMYFUNCTION("""COMPUTED_VALUE"""),36796839)</f>
        <v/>
      </c>
      <c r="H190" s="27" t="n"/>
    </row>
    <row r="191" ht="17.25" customHeight="1" s="322">
      <c r="A191" s="27" t="n"/>
      <c r="B191" s="506">
        <f>IFERROR(__xludf.DUMMYFUNCTION("""COMPUTED_VALUE"""),46105.6666666666)</f>
        <v/>
      </c>
      <c r="C191" s="141">
        <f>IFERROR(__xludf.DUMMYFUNCTION("""COMPUTED_VALUE"""),400.24)</f>
        <v/>
      </c>
      <c r="D191" s="141">
        <f>IFERROR(__xludf.DUMMYFUNCTION("""COMPUTED_VALUE"""),407.29)</f>
        <v/>
      </c>
      <c r="E191" s="141">
        <f>IFERROR(__xludf.DUMMYFUNCTION("""COMPUTED_VALUE"""),399.2)</f>
        <v/>
      </c>
      <c r="F191" s="141">
        <f>IFERROR(__xludf.DUMMYFUNCTION("""COMPUTED_VALUE"""),404.13)</f>
        <v/>
      </c>
      <c r="G191" s="143">
        <f>IFERROR(__xludf.DUMMYFUNCTION("""COMPUTED_VALUE"""),17478516)</f>
        <v/>
      </c>
      <c r="H191" s="27" t="n"/>
    </row>
    <row r="192" ht="17.25" customHeight="1" s="322">
      <c r="A192" s="27" t="n"/>
      <c r="B192" s="506">
        <f>IFERROR(__xludf.DUMMYFUNCTION("""COMPUTED_VALUE"""),46106.6666666666)</f>
        <v/>
      </c>
      <c r="C192" s="141">
        <f>IFERROR(__xludf.DUMMYFUNCTION("""COMPUTED_VALUE"""),419.71)</f>
        <v/>
      </c>
      <c r="D192" s="141">
        <f>IFERROR(__xludf.DUMMYFUNCTION("""COMPUTED_VALUE"""),420.66)</f>
        <v/>
      </c>
      <c r="E192" s="141">
        <f>IFERROR(__xludf.DUMMYFUNCTION("""COMPUTED_VALUE"""),412.25)</f>
        <v/>
      </c>
      <c r="F192" s="141">
        <f>IFERROR(__xludf.DUMMYFUNCTION("""COMPUTED_VALUE"""),416.29)</f>
        <v/>
      </c>
      <c r="G192" s="143">
        <f>IFERROR(__xludf.DUMMYFUNCTION("""COMPUTED_VALUE"""),15713158)</f>
        <v/>
      </c>
      <c r="H192" s="27" t="n"/>
    </row>
    <row r="193" ht="17.25" customHeight="1" s="322">
      <c r="A193" s="27" t="n"/>
      <c r="B193" s="506">
        <f>IFERROR(__xludf.DUMMYFUNCTION("""COMPUTED_VALUE"""),46107.6666666666)</f>
        <v/>
      </c>
      <c r="C193" s="141">
        <f>IFERROR(__xludf.DUMMYFUNCTION("""COMPUTED_VALUE"""),408.53)</f>
        <v/>
      </c>
      <c r="D193" s="141">
        <f>IFERROR(__xludf.DUMMYFUNCTION("""COMPUTED_VALUE"""),411.37)</f>
        <v/>
      </c>
      <c r="E193" s="141">
        <f>IFERROR(__xludf.DUMMYFUNCTION("""COMPUTED_VALUE"""),400.26)</f>
        <v/>
      </c>
      <c r="F193" s="141">
        <f>IFERROR(__xludf.DUMMYFUNCTION("""COMPUTED_VALUE"""),400.64)</f>
        <v/>
      </c>
      <c r="G193" s="143">
        <f>IFERROR(__xludf.DUMMYFUNCTION("""COMPUTED_VALUE"""),15756340)</f>
        <v/>
      </c>
      <c r="H193" s="27" t="n"/>
    </row>
    <row r="194" ht="17.25" customHeight="1" s="322">
      <c r="A194" s="27" t="n"/>
      <c r="B194" s="506">
        <f>IFERROR(__xludf.DUMMYFUNCTION("""COMPUTED_VALUE"""),46108.6666666666)</f>
        <v/>
      </c>
      <c r="C194" s="141">
        <f>IFERROR(__xludf.DUMMYFUNCTION("""COMPUTED_VALUE"""),406.2)</f>
        <v/>
      </c>
      <c r="D194" s="141">
        <f>IFERROR(__xludf.DUMMYFUNCTION("""COMPUTED_VALUE"""),418.4)</f>
        <v/>
      </c>
      <c r="E194" s="141">
        <f>IFERROR(__xludf.DUMMYFUNCTION("""COMPUTED_VALUE"""),405.41)</f>
        <v/>
      </c>
      <c r="F194" s="141">
        <f>IFERROR(__xludf.DUMMYFUNCTION("""COMPUTED_VALUE"""),414.7)</f>
        <v/>
      </c>
      <c r="G194" s="143">
        <f>IFERROR(__xludf.DUMMYFUNCTION("""COMPUTED_VALUE"""),16580719)</f>
        <v/>
      </c>
      <c r="H194" s="27" t="n"/>
    </row>
    <row r="195" ht="17.25" customHeight="1" s="322">
      <c r="A195" s="27" t="n"/>
      <c r="B195" s="506">
        <f>IFERROR(__xludf.DUMMYFUNCTION("""COMPUTED_VALUE"""),46111.6666666666)</f>
        <v/>
      </c>
      <c r="C195" s="141">
        <f>IFERROR(__xludf.DUMMYFUNCTION("""COMPUTED_VALUE"""),419.54)</f>
        <v/>
      </c>
      <c r="D195" s="141">
        <f>IFERROR(__xludf.DUMMYFUNCTION("""COMPUTED_VALUE"""),420.1)</f>
        <v/>
      </c>
      <c r="E195" s="141">
        <f>IFERROR(__xludf.DUMMYFUNCTION("""COMPUTED_VALUE"""),412.66)</f>
        <v/>
      </c>
      <c r="F195" s="141">
        <f>IFERROR(__xludf.DUMMYFUNCTION("""COMPUTED_VALUE"""),414.58)</f>
        <v/>
      </c>
      <c r="G195" s="143">
        <f>IFERROR(__xludf.DUMMYFUNCTION("""COMPUTED_VALUE"""),13172067)</f>
        <v/>
      </c>
      <c r="H195" s="27" t="n"/>
    </row>
    <row r="196" ht="17.25" customHeight="1" s="322">
      <c r="A196" s="27" t="n"/>
      <c r="B196" s="506">
        <f>IFERROR(__xludf.DUMMYFUNCTION("""COMPUTED_VALUE"""),46112.6666666666)</f>
        <v/>
      </c>
      <c r="C196" s="141">
        <f>IFERROR(__xludf.DUMMYFUNCTION("""COMPUTED_VALUE"""),420.08)</f>
        <v/>
      </c>
      <c r="D196" s="141">
        <f>IFERROR(__xludf.DUMMYFUNCTION("""COMPUTED_VALUE"""),430.57)</f>
        <v/>
      </c>
      <c r="E196" s="141">
        <f>IFERROR(__xludf.DUMMYFUNCTION("""COMPUTED_VALUE"""),419.59)</f>
        <v/>
      </c>
      <c r="F196" s="141">
        <f>IFERROR(__xludf.DUMMYFUNCTION("""COMPUTED_VALUE"""),430.29)</f>
        <v/>
      </c>
      <c r="G196" s="143">
        <f>IFERROR(__xludf.DUMMYFUNCTION("""COMPUTED_VALUE"""),14534304)</f>
        <v/>
      </c>
      <c r="H196" s="27" t="n"/>
    </row>
    <row r="197" ht="17.25" customHeight="1" s="322">
      <c r="A197" s="27" t="n"/>
      <c r="B197" s="506">
        <f>IFERROR(__xludf.DUMMYFUNCTION("""COMPUTED_VALUE"""),46113.6666666666)</f>
        <v/>
      </c>
      <c r="C197" s="141">
        <f>IFERROR(__xludf.DUMMYFUNCTION("""COMPUTED_VALUE"""),435)</f>
        <v/>
      </c>
      <c r="D197" s="141">
        <f>IFERROR(__xludf.DUMMYFUNCTION("""COMPUTED_VALUE"""),440.19)</f>
        <v/>
      </c>
      <c r="E197" s="141">
        <f>IFERROR(__xludf.DUMMYFUNCTION("""COMPUTED_VALUE"""),433.76)</f>
        <v/>
      </c>
      <c r="F197" s="141">
        <f>IFERROR(__xludf.DUMMYFUNCTION("""COMPUTED_VALUE"""),437.82)</f>
        <v/>
      </c>
      <c r="G197" s="143">
        <f>IFERROR(__xludf.DUMMYFUNCTION("""COMPUTED_VALUE"""),14133118)</f>
        <v/>
      </c>
      <c r="H197" s="27" t="n"/>
    </row>
    <row r="198" ht="17.25" customHeight="1" s="322">
      <c r="A198" s="27" t="n"/>
      <c r="B198" s="506">
        <f>IFERROR(__xludf.DUMMYFUNCTION("""COMPUTED_VALUE"""),46114.6666666666)</f>
        <v/>
      </c>
      <c r="C198" s="141">
        <f>IFERROR(__xludf.DUMMYFUNCTION("""COMPUTED_VALUE"""),422.29)</f>
        <v/>
      </c>
      <c r="D198" s="141">
        <f>IFERROR(__xludf.DUMMYFUNCTION("""COMPUTED_VALUE"""),431.67)</f>
        <v/>
      </c>
      <c r="E198" s="141">
        <f>IFERROR(__xludf.DUMMYFUNCTION("""COMPUTED_VALUE"""),421.17)</f>
        <v/>
      </c>
      <c r="F198" s="141">
        <f>IFERROR(__xludf.DUMMYFUNCTION("""COMPUTED_VALUE"""),429.41)</f>
        <v/>
      </c>
      <c r="G198" s="143">
        <f>IFERROR(__xludf.DUMMYFUNCTION("""COMPUTED_VALUE"""),10838639)</f>
        <v/>
      </c>
      <c r="H198" s="27" t="n"/>
    </row>
    <row r="199" ht="17.25" customHeight="1" s="322">
      <c r="A199" s="27" t="n"/>
      <c r="B199" s="506">
        <f>IFERROR(__xludf.DUMMYFUNCTION("""COMPUTED_VALUE"""),46118.6666666666)</f>
        <v/>
      </c>
      <c r="C199" s="141">
        <f>IFERROR(__xludf.DUMMYFUNCTION("""COMPUTED_VALUE"""),428.87)</f>
        <v/>
      </c>
      <c r="D199" s="141">
        <f>IFERROR(__xludf.DUMMYFUNCTION("""COMPUTED_VALUE"""),431.49)</f>
        <v/>
      </c>
      <c r="E199" s="141">
        <f>IFERROR(__xludf.DUMMYFUNCTION("""COMPUTED_VALUE"""),426.71)</f>
        <v/>
      </c>
      <c r="F199" s="141">
        <f>IFERROR(__xludf.DUMMYFUNCTION("""COMPUTED_VALUE"""),427.65)</f>
        <v/>
      </c>
      <c r="G199" s="143">
        <f>IFERROR(__xludf.DUMMYFUNCTION("""COMPUTED_VALUE"""),5417251)</f>
        <v/>
      </c>
      <c r="H199" s="27" t="n"/>
    </row>
    <row r="200" ht="17.25" customHeight="1" s="322">
      <c r="A200" s="27" t="n"/>
      <c r="B200" s="506">
        <f>IFERROR(__xludf.DUMMYFUNCTION("""COMPUTED_VALUE"""),46119.6666666666)</f>
        <v/>
      </c>
      <c r="C200" s="141">
        <f>IFERROR(__xludf.DUMMYFUNCTION("""COMPUTED_VALUE"""),427.9)</f>
        <v/>
      </c>
      <c r="D200" s="141">
        <f>IFERROR(__xludf.DUMMYFUNCTION("""COMPUTED_VALUE"""),433.43)</f>
        <v/>
      </c>
      <c r="E200" s="141">
        <f>IFERROR(__xludf.DUMMYFUNCTION("""COMPUTED_VALUE"""),423.1)</f>
        <v/>
      </c>
      <c r="F200" s="141">
        <f>IFERROR(__xludf.DUMMYFUNCTION("""COMPUTED_VALUE"""),431.81)</f>
        <v/>
      </c>
      <c r="G200" s="143">
        <f>IFERROR(__xludf.DUMMYFUNCTION("""COMPUTED_VALUE"""),7263495)</f>
        <v/>
      </c>
      <c r="H200" s="27" t="n"/>
    </row>
    <row r="201" ht="17.25" customHeight="1" s="322">
      <c r="A201" s="27" t="n"/>
      <c r="B201" s="506">
        <f>IFERROR(__xludf.DUMMYFUNCTION("""COMPUTED_VALUE"""),46120.6666666666)</f>
        <v/>
      </c>
      <c r="C201" s="141">
        <f>IFERROR(__xludf.DUMMYFUNCTION("""COMPUTED_VALUE"""),439.98)</f>
        <v/>
      </c>
      <c r="D201" s="141">
        <f>IFERROR(__xludf.DUMMYFUNCTION("""COMPUTED_VALUE"""),440.44)</f>
        <v/>
      </c>
      <c r="E201" s="141">
        <f>IFERROR(__xludf.DUMMYFUNCTION("""COMPUTED_VALUE"""),431.31)</f>
        <v/>
      </c>
      <c r="F201" s="141">
        <f>IFERROR(__xludf.DUMMYFUNCTION("""COMPUTED_VALUE"""),434.53)</f>
        <v/>
      </c>
      <c r="G201" s="143">
        <f>IFERROR(__xludf.DUMMYFUNCTION("""COMPUTED_VALUE"""),9689696)</f>
        <v/>
      </c>
      <c r="H201" s="27" t="n"/>
    </row>
    <row r="202" ht="17.25" customHeight="1" s="322">
      <c r="A202" s="27" t="n"/>
      <c r="B202" s="506">
        <f>IFERROR(__xludf.DUMMYFUNCTION("""COMPUTED_VALUE"""),46121.6666666666)</f>
        <v/>
      </c>
      <c r="C202" s="141">
        <f>IFERROR(__xludf.DUMMYFUNCTION("""COMPUTED_VALUE"""),436.47)</f>
        <v/>
      </c>
      <c r="D202" s="141">
        <f>IFERROR(__xludf.DUMMYFUNCTION("""COMPUTED_VALUE"""),440.91)</f>
        <v/>
      </c>
      <c r="E202" s="141">
        <f>IFERROR(__xludf.DUMMYFUNCTION("""COMPUTED_VALUE"""),435.87)</f>
        <v/>
      </c>
      <c r="F202" s="141">
        <f>IFERROR(__xludf.DUMMYFUNCTION("""COMPUTED_VALUE"""),437.91)</f>
        <v/>
      </c>
      <c r="G202" s="143">
        <f>IFERROR(__xludf.DUMMYFUNCTION("""COMPUTED_VALUE"""),6748463)</f>
        <v/>
      </c>
      <c r="H202" s="27" t="n"/>
    </row>
    <row r="203" ht="17.25" customHeight="1" s="322">
      <c r="A203" s="27" t="n"/>
      <c r="B203" s="506">
        <f>IFERROR(__xludf.DUMMYFUNCTION("""COMPUTED_VALUE"""),46122.6666666666)</f>
        <v/>
      </c>
      <c r="C203" s="141">
        <f>IFERROR(__xludf.DUMMYFUNCTION("""COMPUTED_VALUE"""),438.59)</f>
        <v/>
      </c>
      <c r="D203" s="141">
        <f>IFERROR(__xludf.DUMMYFUNCTION("""COMPUTED_VALUE"""),440.35)</f>
        <v/>
      </c>
      <c r="E203" s="141">
        <f>IFERROR(__xludf.DUMMYFUNCTION("""COMPUTED_VALUE"""),436)</f>
        <v/>
      </c>
      <c r="F203" s="141">
        <f>IFERROR(__xludf.DUMMYFUNCTION("""COMPUTED_VALUE"""),437.13)</f>
        <v/>
      </c>
      <c r="G203" s="143">
        <f>IFERROR(__xludf.DUMMYFUNCTION("""COMPUTED_VALUE"""),6193254)</f>
        <v/>
      </c>
      <c r="H203" s="27" t="n"/>
    </row>
    <row r="204" ht="17.25" customHeight="1" s="322">
      <c r="A204" s="27" t="n"/>
      <c r="B204" s="506">
        <f>IFERROR(__xludf.DUMMYFUNCTION("""COMPUTED_VALUE"""),46125.6666666666)</f>
        <v/>
      </c>
      <c r="C204" s="141">
        <f>IFERROR(__xludf.DUMMYFUNCTION("""COMPUTED_VALUE"""),434.78)</f>
        <v/>
      </c>
      <c r="D204" s="141">
        <f>IFERROR(__xludf.DUMMYFUNCTION("""COMPUTED_VALUE"""),436.22)</f>
        <v/>
      </c>
      <c r="E204" s="141">
        <f>IFERROR(__xludf.DUMMYFUNCTION("""COMPUTED_VALUE"""),431.63)</f>
        <v/>
      </c>
      <c r="F204" s="141">
        <f>IFERROR(__xludf.DUMMYFUNCTION("""COMPUTED_VALUE"""),435.36)</f>
        <v/>
      </c>
      <c r="G204" s="143">
        <f>IFERROR(__xludf.DUMMYFUNCTION("""COMPUTED_VALUE"""),5549419)</f>
        <v/>
      </c>
      <c r="H204" s="27" t="n"/>
    </row>
    <row r="205" ht="17.25" customHeight="1" s="322">
      <c r="A205" s="27" t="n"/>
      <c r="B205" s="506">
        <f>IFERROR(__xludf.DUMMYFUNCTION("""COMPUTED_VALUE"""),46126.6666666666)</f>
        <v/>
      </c>
      <c r="C205" s="141">
        <f>IFERROR(__xludf.DUMMYFUNCTION("""COMPUTED_VALUE"""),439.32)</f>
        <v/>
      </c>
      <c r="D205" s="141">
        <f>IFERROR(__xludf.DUMMYFUNCTION("""COMPUTED_VALUE"""),445.18)</f>
        <v/>
      </c>
      <c r="E205" s="141">
        <f>IFERROR(__xludf.DUMMYFUNCTION("""COMPUTED_VALUE"""),439.02)</f>
        <v/>
      </c>
      <c r="F205" s="141">
        <f>IFERROR(__xludf.DUMMYFUNCTION("""COMPUTED_VALUE"""),445.09)</f>
        <v/>
      </c>
      <c r="G205" s="143">
        <f>IFERROR(__xludf.DUMMYFUNCTION("""COMPUTED_VALUE"""),8731651)</f>
        <v/>
      </c>
      <c r="H205" s="27" t="n"/>
    </row>
    <row r="206" ht="17.25" customHeight="1" s="322">
      <c r="A206" s="27" t="n"/>
      <c r="B206" s="506">
        <f>IFERROR(__xludf.DUMMYFUNCTION("""COMPUTED_VALUE"""),46127.6666666666)</f>
        <v/>
      </c>
      <c r="C206" s="141">
        <f>IFERROR(__xludf.DUMMYFUNCTION("""COMPUTED_VALUE"""),442.88)</f>
        <v/>
      </c>
      <c r="D206" s="141">
        <f>IFERROR(__xludf.DUMMYFUNCTION("""COMPUTED_VALUE"""),443.74)</f>
        <v/>
      </c>
      <c r="E206" s="141">
        <f>IFERROR(__xludf.DUMMYFUNCTION("""COMPUTED_VALUE"""),439.6)</f>
        <v/>
      </c>
      <c r="F206" s="141">
        <f>IFERROR(__xludf.DUMMYFUNCTION("""COMPUTED_VALUE"""),440.46)</f>
        <v/>
      </c>
      <c r="G206" s="143">
        <f>IFERROR(__xludf.DUMMYFUNCTION("""COMPUTED_VALUE"""),6455885)</f>
        <v/>
      </c>
      <c r="H206" s="27" t="n"/>
    </row>
    <row r="207" ht="17.25" customHeight="1" s="322">
      <c r="A207" s="27" t="n"/>
      <c r="B207" s="506">
        <f>IFERROR(__xludf.DUMMYFUNCTION("""COMPUTED_VALUE"""),46128.6666666666)</f>
        <v/>
      </c>
      <c r="C207" s="141">
        <f>IFERROR(__xludf.DUMMYFUNCTION("""COMPUTED_VALUE"""),442.15)</f>
        <v/>
      </c>
      <c r="D207" s="141">
        <f>IFERROR(__xludf.DUMMYFUNCTION("""COMPUTED_VALUE"""),442.98)</f>
        <v/>
      </c>
      <c r="E207" s="141">
        <f>IFERROR(__xludf.DUMMYFUNCTION("""COMPUTED_VALUE"""),438.18)</f>
        <v/>
      </c>
      <c r="F207" s="141">
        <f>IFERROR(__xludf.DUMMYFUNCTION("""COMPUTED_VALUE"""),440.08)</f>
        <v/>
      </c>
      <c r="G207" s="143">
        <f>IFERROR(__xludf.DUMMYFUNCTION("""COMPUTED_VALUE"""),5350128)</f>
        <v/>
      </c>
      <c r="H207" s="27" t="n"/>
    </row>
    <row r="208" ht="17.25" customHeight="1" s="322">
      <c r="A208" s="27" t="n"/>
      <c r="B208" s="506">
        <f>IFERROR(__xludf.DUMMYFUNCTION("""COMPUTED_VALUE"""),46129.6666666666)</f>
        <v/>
      </c>
      <c r="C208" s="141">
        <f>IFERROR(__xludf.DUMMYFUNCTION("""COMPUTED_VALUE"""),445.65)</f>
        <v/>
      </c>
      <c r="D208" s="141">
        <f>IFERROR(__xludf.DUMMYFUNCTION("""COMPUTED_VALUE"""),448.7)</f>
        <v/>
      </c>
      <c r="E208" s="141">
        <f>IFERROR(__xludf.DUMMYFUNCTION("""COMPUTED_VALUE"""),445.32)</f>
        <v/>
      </c>
      <c r="F208" s="141">
        <f>IFERROR(__xludf.DUMMYFUNCTION("""COMPUTED_VALUE"""),445.93)</f>
        <v/>
      </c>
      <c r="G208" s="143">
        <f>IFERROR(__xludf.DUMMYFUNCTION("""COMPUTED_VALUE"""),9711965)</f>
        <v/>
      </c>
      <c r="H208" s="27" t="n"/>
    </row>
    <row r="209" ht="17.25" customHeight="1" s="322">
      <c r="A209" s="27" t="n"/>
      <c r="B209" s="506">
        <f>IFERROR(__xludf.DUMMYFUNCTION("""COMPUTED_VALUE"""),46132.6666666666)</f>
        <v/>
      </c>
      <c r="C209" s="141">
        <f>IFERROR(__xludf.DUMMYFUNCTION("""COMPUTED_VALUE"""),443.13)</f>
        <v/>
      </c>
      <c r="D209" s="141">
        <f>IFERROR(__xludf.DUMMYFUNCTION("""COMPUTED_VALUE"""),443.42)</f>
        <v/>
      </c>
      <c r="E209" s="141">
        <f>IFERROR(__xludf.DUMMYFUNCTION("""COMPUTED_VALUE"""),440.05)</f>
        <v/>
      </c>
      <c r="F209" s="141">
        <f>IFERROR(__xludf.DUMMYFUNCTION("""COMPUTED_VALUE"""),442.09)</f>
        <v/>
      </c>
      <c r="G209" s="143">
        <f>IFERROR(__xludf.DUMMYFUNCTION("""COMPUTED_VALUE"""),8473003)</f>
        <v/>
      </c>
      <c r="H209" s="27" t="n"/>
    </row>
    <row r="210" ht="17.25" customHeight="1" s="322">
      <c r="A210" s="27" t="n"/>
      <c r="B210" s="506">
        <f>IFERROR(__xludf.DUMMYFUNCTION("""COMPUTED_VALUE"""),46133.6666666666)</f>
        <v/>
      </c>
      <c r="C210" s="141">
        <f>IFERROR(__xludf.DUMMYFUNCTION("""COMPUTED_VALUE"""),438.55)</f>
        <v/>
      </c>
      <c r="D210" s="141">
        <f>IFERROR(__xludf.DUMMYFUNCTION("""COMPUTED_VALUE"""),440.25)</f>
        <v/>
      </c>
      <c r="E210" s="141">
        <f>IFERROR(__xludf.DUMMYFUNCTION("""COMPUTED_VALUE"""),428.71)</f>
        <v/>
      </c>
      <c r="F210" s="141">
        <f>IFERROR(__xludf.DUMMYFUNCTION("""COMPUTED_VALUE"""),429.57)</f>
        <v/>
      </c>
      <c r="G210" s="143">
        <f>IFERROR(__xludf.DUMMYFUNCTION("""COMPUTED_VALUE"""),9480024)</f>
        <v/>
      </c>
      <c r="H210" s="27" t="n"/>
    </row>
    <row r="211" ht="17.25" customHeight="1" s="322">
      <c r="A211" s="27" t="n"/>
      <c r="B211" s="506">
        <f>IFERROR(__xludf.DUMMYFUNCTION("""COMPUTED_VALUE"""),46134.6666666666)</f>
        <v/>
      </c>
      <c r="C211" s="141">
        <f>IFERROR(__xludf.DUMMYFUNCTION("""COMPUTED_VALUE"""),436.27)</f>
        <v/>
      </c>
      <c r="D211" s="141">
        <f>IFERROR(__xludf.DUMMYFUNCTION("""COMPUTED_VALUE"""),437.17)</f>
        <v/>
      </c>
      <c r="E211" s="141">
        <f>IFERROR(__xludf.DUMMYFUNCTION("""COMPUTED_VALUE"""),433.78)</f>
        <v/>
      </c>
      <c r="F211" s="141">
        <f>IFERROR(__xludf.DUMMYFUNCTION("""COMPUTED_VALUE"""),435.26)</f>
        <v/>
      </c>
      <c r="G211" s="143">
        <f>IFERROR(__xludf.DUMMYFUNCTION("""COMPUTED_VALUE"""),5178054)</f>
        <v/>
      </c>
      <c r="H211" s="27" t="n"/>
    </row>
    <row r="212" ht="17.25" customHeight="1" s="322">
      <c r="A212" s="27" t="n"/>
      <c r="B212" s="506">
        <f>IFERROR(__xludf.DUMMYFUNCTION("""COMPUTED_VALUE"""),46135.6666666666)</f>
        <v/>
      </c>
      <c r="C212" s="141">
        <f>IFERROR(__xludf.DUMMYFUNCTION("""COMPUTED_VALUE"""),433.96)</f>
        <v/>
      </c>
      <c r="D212" s="141">
        <f>IFERROR(__xludf.DUMMYFUNCTION("""COMPUTED_VALUE"""),435.29)</f>
        <v/>
      </c>
      <c r="E212" s="141">
        <f>IFERROR(__xludf.DUMMYFUNCTION("""COMPUTED_VALUE"""),428.22)</f>
        <v/>
      </c>
      <c r="F212" s="141">
        <f>IFERROR(__xludf.DUMMYFUNCTION("""COMPUTED_VALUE"""),431.04)</f>
        <v/>
      </c>
      <c r="G212" s="143">
        <f>IFERROR(__xludf.DUMMYFUNCTION("""COMPUTED_VALUE"""),4976400)</f>
        <v/>
      </c>
      <c r="H212" s="27" t="n"/>
    </row>
    <row r="213" ht="17.25" customHeight="1" s="322">
      <c r="A213" s="27" t="n"/>
      <c r="B213" s="506">
        <f>IFERROR(__xludf.DUMMYFUNCTION("""COMPUTED_VALUE"""),46136.6666666666)</f>
        <v/>
      </c>
      <c r="C213" s="141">
        <f>IFERROR(__xludf.DUMMYFUNCTION("""COMPUTED_VALUE"""),431.34)</f>
        <v/>
      </c>
      <c r="D213" s="141">
        <f>IFERROR(__xludf.DUMMYFUNCTION("""COMPUTED_VALUE"""),435.28)</f>
        <v/>
      </c>
      <c r="E213" s="141">
        <f>IFERROR(__xludf.DUMMYFUNCTION("""COMPUTED_VALUE"""),430.65)</f>
        <v/>
      </c>
      <c r="F213" s="141">
        <f>IFERROR(__xludf.DUMMYFUNCTION("""COMPUTED_VALUE"""),433.25)</f>
        <v/>
      </c>
      <c r="G213" s="143">
        <f>IFERROR(__xludf.DUMMYFUNCTION("""COMPUTED_VALUE"""),5924116)</f>
        <v/>
      </c>
      <c r="H213" s="27" t="n"/>
    </row>
    <row r="214" ht="17.25" customHeight="1" s="322">
      <c r="A214" s="27" t="n"/>
      <c r="B214" s="506">
        <f>IFERROR(__xludf.DUMMYFUNCTION("""COMPUTED_VALUE"""),46139.6666666666)</f>
        <v/>
      </c>
      <c r="C214" s="141">
        <f>IFERROR(__xludf.DUMMYFUNCTION("""COMPUTED_VALUE"""),431.66)</f>
        <v/>
      </c>
      <c r="D214" s="141">
        <f>IFERROR(__xludf.DUMMYFUNCTION("""COMPUTED_VALUE"""),431.8)</f>
        <v/>
      </c>
      <c r="E214" s="141">
        <f>IFERROR(__xludf.DUMMYFUNCTION("""COMPUTED_VALUE"""),428.52)</f>
        <v/>
      </c>
      <c r="F214" s="141">
        <f>IFERROR(__xludf.DUMMYFUNCTION("""COMPUTED_VALUE"""),429.89)</f>
        <v/>
      </c>
      <c r="G214" s="143">
        <f>IFERROR(__xludf.DUMMYFUNCTION("""COMPUTED_VALUE"""),6105233)</f>
        <v/>
      </c>
      <c r="H214" s="27" t="n"/>
    </row>
    <row r="215" ht="17.25" customHeight="1" s="322">
      <c r="A215" s="27" t="n"/>
      <c r="B215" s="506">
        <f>IFERROR(__xludf.DUMMYFUNCTION("""COMPUTED_VALUE"""),46140.6666666666)</f>
        <v/>
      </c>
      <c r="C215" s="141">
        <f>IFERROR(__xludf.DUMMYFUNCTION("""COMPUTED_VALUE"""),420.72)</f>
        <v/>
      </c>
      <c r="D215" s="141">
        <f>IFERROR(__xludf.DUMMYFUNCTION("""COMPUTED_VALUE"""),422.52)</f>
        <v/>
      </c>
      <c r="E215" s="141">
        <f>IFERROR(__xludf.DUMMYFUNCTION("""COMPUTED_VALUE"""),418.4)</f>
        <v/>
      </c>
      <c r="F215" s="141">
        <f>IFERROR(__xludf.DUMMYFUNCTION("""COMPUTED_VALUE"""),421.91)</f>
        <v/>
      </c>
      <c r="G215" s="143">
        <f>IFERROR(__xludf.DUMMYFUNCTION("""COMPUTED_VALUE"""),7723433)</f>
        <v/>
      </c>
      <c r="H215" s="27" t="n"/>
    </row>
    <row r="216" ht="17.25" customHeight="1" s="322">
      <c r="A216" s="27" t="n"/>
      <c r="B216" s="506">
        <f>IFERROR(__xludf.DUMMYFUNCTION("""COMPUTED_VALUE"""),46141.6666666666)</f>
        <v/>
      </c>
      <c r="C216" s="141">
        <f>IFERROR(__xludf.DUMMYFUNCTION("""COMPUTED_VALUE"""),416.74)</f>
        <v/>
      </c>
      <c r="D216" s="141">
        <f>IFERROR(__xludf.DUMMYFUNCTION("""COMPUTED_VALUE"""),419.17)</f>
        <v/>
      </c>
      <c r="E216" s="141">
        <f>IFERROR(__xludf.DUMMYFUNCTION("""COMPUTED_VALUE"""),414.16)</f>
        <v/>
      </c>
      <c r="F216" s="141">
        <f>IFERROR(__xludf.DUMMYFUNCTION("""COMPUTED_VALUE"""),417.41)</f>
        <v/>
      </c>
      <c r="G216" s="143">
        <f>IFERROR(__xludf.DUMMYFUNCTION("""COMPUTED_VALUE"""),6452572)</f>
        <v/>
      </c>
      <c r="H216" s="27" t="n"/>
    </row>
    <row r="217" ht="17.25" customHeight="1" s="322">
      <c r="A217" s="27" t="n"/>
      <c r="B217" s="506">
        <f>IFERROR(__xludf.DUMMYFUNCTION("""COMPUTED_VALUE"""),46142.6666666666)</f>
        <v/>
      </c>
      <c r="C217" s="141">
        <f>IFERROR(__xludf.DUMMYFUNCTION("""COMPUTED_VALUE"""),425.34)</f>
        <v/>
      </c>
      <c r="D217" s="141">
        <f>IFERROR(__xludf.DUMMYFUNCTION("""COMPUTED_VALUE"""),425.46)</f>
        <v/>
      </c>
      <c r="E217" s="141">
        <f>IFERROR(__xludf.DUMMYFUNCTION("""COMPUTED_VALUE"""),422.74)</f>
        <v/>
      </c>
      <c r="F217" s="141">
        <f>IFERROR(__xludf.DUMMYFUNCTION("""COMPUTED_VALUE"""),423.66)</f>
        <v/>
      </c>
      <c r="G217" s="143">
        <f>IFERROR(__xludf.DUMMYFUNCTION("""COMPUTED_VALUE"""),6732811)</f>
        <v/>
      </c>
      <c r="H217" s="27" t="n"/>
    </row>
    <row r="218" ht="17.25" customHeight="1" s="322">
      <c r="A218" s="27" t="n"/>
      <c r="B218" s="506">
        <f>IFERROR(__xludf.DUMMYFUNCTION("""COMPUTED_VALUE"""),46143.6666666666)</f>
        <v/>
      </c>
      <c r="C218" s="141">
        <f>IFERROR(__xludf.DUMMYFUNCTION("""COMPUTED_VALUE"""),421.41)</f>
        <v/>
      </c>
      <c r="D218" s="141">
        <f>IFERROR(__xludf.DUMMYFUNCTION("""COMPUTED_VALUE"""),427.93)</f>
        <v/>
      </c>
      <c r="E218" s="141">
        <f>IFERROR(__xludf.DUMMYFUNCTION("""COMPUTED_VALUE"""),421.08)</f>
        <v/>
      </c>
      <c r="F218" s="141">
        <f>IFERROR(__xludf.DUMMYFUNCTION("""COMPUTED_VALUE"""),423.18)</f>
        <v/>
      </c>
      <c r="G218" s="143">
        <f>IFERROR(__xludf.DUMMYFUNCTION("""COMPUTED_VALUE"""),5911487)</f>
        <v/>
      </c>
      <c r="H218" s="27" t="n"/>
    </row>
    <row r="219" ht="17.25" customHeight="1" s="322">
      <c r="A219" s="27" t="n"/>
      <c r="B219" s="506">
        <f>IFERROR(__xludf.DUMMYFUNCTION("""COMPUTED_VALUE"""),46146.6666666666)</f>
        <v/>
      </c>
      <c r="C219" s="141">
        <f>IFERROR(__xludf.DUMMYFUNCTION("""COMPUTED_VALUE"""),418.84)</f>
        <v/>
      </c>
      <c r="D219" s="141">
        <f>IFERROR(__xludf.DUMMYFUNCTION("""COMPUTED_VALUE"""),420.86)</f>
        <v/>
      </c>
      <c r="E219" s="141">
        <f>IFERROR(__xludf.DUMMYFUNCTION("""COMPUTED_VALUE"""),413.28)</f>
        <v/>
      </c>
      <c r="F219" s="141">
        <f>IFERROR(__xludf.DUMMYFUNCTION("""COMPUTED_VALUE"""),414.71)</f>
        <v/>
      </c>
      <c r="G219" s="143">
        <f>IFERROR(__xludf.DUMMYFUNCTION("""COMPUTED_VALUE"""),7285731)</f>
        <v/>
      </c>
      <c r="H219" s="27" t="n"/>
    </row>
    <row r="220" ht="17.25" customHeight="1" s="322">
      <c r="A220" s="27" t="n"/>
      <c r="B220" s="506">
        <f>IFERROR(__xludf.DUMMYFUNCTION("""COMPUTED_VALUE"""),46147.6666666666)</f>
        <v/>
      </c>
      <c r="C220" s="141">
        <f>IFERROR(__xludf.DUMMYFUNCTION("""COMPUTED_VALUE"""),420.15)</f>
        <v/>
      </c>
      <c r="D220" s="141">
        <f>IFERROR(__xludf.DUMMYFUNCTION("""COMPUTED_VALUE"""),421.16)</f>
        <v/>
      </c>
      <c r="E220" s="141">
        <f>IFERROR(__xludf.DUMMYFUNCTION("""COMPUTED_VALUE"""),417.91)</f>
        <v/>
      </c>
      <c r="F220" s="141">
        <f>IFERROR(__xludf.DUMMYFUNCTION("""COMPUTED_VALUE"""),418.27)</f>
        <v/>
      </c>
      <c r="G220" s="143">
        <f>IFERROR(__xludf.DUMMYFUNCTION("""COMPUTED_VALUE"""),4279932)</f>
        <v/>
      </c>
      <c r="H220" s="27" t="n"/>
    </row>
    <row r="221" ht="17.25" customHeight="1" s="322">
      <c r="A221" s="27" t="n"/>
      <c r="B221" s="506">
        <f>IFERROR(__xludf.DUMMYFUNCTION("""COMPUTED_VALUE"""),46148.6666666666)</f>
        <v/>
      </c>
      <c r="C221" s="141">
        <f>IFERROR(__xludf.DUMMYFUNCTION("""COMPUTED_VALUE"""),430.15)</f>
        <v/>
      </c>
      <c r="D221" s="141">
        <f>IFERROR(__xludf.DUMMYFUNCTION("""COMPUTED_VALUE"""),433.19)</f>
        <v/>
      </c>
      <c r="E221" s="141">
        <f>IFERROR(__xludf.DUMMYFUNCTION("""COMPUTED_VALUE"""),429.6)</f>
        <v/>
      </c>
      <c r="F221" s="141">
        <f>IFERROR(__xludf.DUMMYFUNCTION("""COMPUTED_VALUE"""),430.96)</f>
        <v/>
      </c>
      <c r="G221" s="143">
        <f>IFERROR(__xludf.DUMMYFUNCTION("""COMPUTED_VALUE"""),7013889)</f>
        <v/>
      </c>
      <c r="H221" s="27" t="n"/>
    </row>
    <row r="222" ht="17.25" customHeight="1" s="322">
      <c r="A222" s="27" t="n"/>
      <c r="B222" s="506">
        <f>IFERROR(__xludf.DUMMYFUNCTION("""COMPUTED_VALUE"""),46149.6666666666)</f>
        <v/>
      </c>
      <c r="C222" s="141">
        <f>IFERROR(__xludf.DUMMYFUNCTION("""COMPUTED_VALUE"""),435.61)</f>
        <v/>
      </c>
      <c r="D222" s="141">
        <f>IFERROR(__xludf.DUMMYFUNCTION("""COMPUTED_VALUE"""),437.42)</f>
        <v/>
      </c>
      <c r="E222" s="141">
        <f>IFERROR(__xludf.DUMMYFUNCTION("""COMPUTED_VALUE"""),430.25)</f>
        <v/>
      </c>
      <c r="F222" s="141">
        <f>IFERROR(__xludf.DUMMYFUNCTION("""COMPUTED_VALUE"""),431.68)</f>
        <v/>
      </c>
      <c r="G222" s="143">
        <f>IFERROR(__xludf.DUMMYFUNCTION("""COMPUTED_VALUE"""),6816211)</f>
        <v/>
      </c>
      <c r="H222" s="27" t="n"/>
    </row>
    <row r="223" ht="17.25" customHeight="1" s="322">
      <c r="A223" s="27" t="n"/>
      <c r="B223" s="506">
        <f>IFERROR(__xludf.DUMMYFUNCTION("""COMPUTED_VALUE"""),46150.6666666666)</f>
        <v/>
      </c>
      <c r="C223" s="141">
        <f>IFERROR(__xludf.DUMMYFUNCTION("""COMPUTED_VALUE"""),434.05)</f>
        <v/>
      </c>
      <c r="D223" s="141">
        <f>IFERROR(__xludf.DUMMYFUNCTION("""COMPUTED_VALUE"""),436.2)</f>
        <v/>
      </c>
      <c r="E223" s="141">
        <f>IFERROR(__xludf.DUMMYFUNCTION("""COMPUTED_VALUE"""),431.7)</f>
        <v/>
      </c>
      <c r="F223" s="141">
        <f>IFERROR(__xludf.DUMMYFUNCTION("""COMPUTED_VALUE"""),433.77)</f>
        <v/>
      </c>
      <c r="G223" s="143">
        <f>IFERROR(__xludf.DUMMYFUNCTION("""COMPUTED_VALUE"""),5380821)</f>
        <v/>
      </c>
      <c r="H223" s="27" t="n"/>
    </row>
    <row r="224" ht="17.25" customHeight="1" s="322">
      <c r="A224" s="27" t="n"/>
      <c r="B224" s="506">
        <f>IFERROR(__xludf.DUMMYFUNCTION("""COMPUTED_VALUE"""),46153.6666666666)</f>
        <v/>
      </c>
      <c r="C224" s="141">
        <f>IFERROR(__xludf.DUMMYFUNCTION("""COMPUTED_VALUE"""),434.18)</f>
        <v/>
      </c>
      <c r="D224" s="141">
        <f>IFERROR(__xludf.DUMMYFUNCTION("""COMPUTED_VALUE"""),436.04)</f>
        <v/>
      </c>
      <c r="E224" s="141">
        <f>IFERROR(__xludf.DUMMYFUNCTION("""COMPUTED_VALUE"""),432.21)</f>
        <v/>
      </c>
      <c r="F224" s="141">
        <f>IFERROR(__xludf.DUMMYFUNCTION("""COMPUTED_VALUE"""),434.65)</f>
        <v/>
      </c>
      <c r="G224" s="143">
        <f>IFERROR(__xludf.DUMMYFUNCTION("""COMPUTED_VALUE"""),5569060)</f>
        <v/>
      </c>
      <c r="H224" s="27" t="n"/>
    </row>
    <row r="225" ht="17.25" customHeight="1" s="322">
      <c r="A225" s="27" t="n"/>
      <c r="B225" s="506">
        <f>IFERROR(__xludf.DUMMYFUNCTION("""COMPUTED_VALUE"""),46154.6666666666)</f>
        <v/>
      </c>
      <c r="C225" s="141">
        <f>IFERROR(__xludf.DUMMYFUNCTION("""COMPUTED_VALUE"""),430.7)</f>
        <v/>
      </c>
      <c r="D225" s="141">
        <f>IFERROR(__xludf.DUMMYFUNCTION("""COMPUTED_VALUE"""),432.98)</f>
        <v/>
      </c>
      <c r="E225" s="141">
        <f>IFERROR(__xludf.DUMMYFUNCTION("""COMPUTED_VALUE"""),425.85)</f>
        <v/>
      </c>
      <c r="F225" s="141">
        <f>IFERROR(__xludf.DUMMYFUNCTION("""COMPUTED_VALUE"""),432.93)</f>
        <v/>
      </c>
      <c r="G225" s="143">
        <f>IFERROR(__xludf.DUMMYFUNCTION("""COMPUTED_VALUE"""),6660930)</f>
        <v/>
      </c>
      <c r="H225" s="27" t="n"/>
    </row>
    <row r="226" ht="17.25" customHeight="1" s="322">
      <c r="A226" s="27" t="n"/>
      <c r="B226" s="506">
        <f>IFERROR(__xludf.DUMMYFUNCTION("""COMPUTED_VALUE"""),46155.6666666666)</f>
        <v/>
      </c>
      <c r="C226" s="141">
        <f>IFERROR(__xludf.DUMMYFUNCTION("""COMPUTED_VALUE"""),430.52)</f>
        <v/>
      </c>
      <c r="D226" s="141">
        <f>IFERROR(__xludf.DUMMYFUNCTION("""COMPUTED_VALUE"""),432.49)</f>
        <v/>
      </c>
      <c r="E226" s="141">
        <f>IFERROR(__xludf.DUMMYFUNCTION("""COMPUTED_VALUE"""),428.75)</f>
        <v/>
      </c>
      <c r="F226" s="141">
        <f>IFERROR(__xludf.DUMMYFUNCTION("""COMPUTED_VALUE"""),430.5)</f>
        <v/>
      </c>
      <c r="G226" s="143">
        <f>IFERROR(__xludf.DUMMYFUNCTION("""COMPUTED_VALUE"""),4180267)</f>
        <v/>
      </c>
      <c r="H226" s="27" t="n"/>
    </row>
    <row r="227" ht="17.25" customHeight="1" s="322">
      <c r="A227" s="27" t="n"/>
      <c r="B227" s="506">
        <f>IFERROR(__xludf.DUMMYFUNCTION("""COMPUTED_VALUE"""),46156.6666666666)</f>
        <v/>
      </c>
      <c r="C227" s="141">
        <f>IFERROR(__xludf.DUMMYFUNCTION("""COMPUTED_VALUE"""),430.3)</f>
        <v/>
      </c>
      <c r="D227" s="141">
        <f>IFERROR(__xludf.DUMMYFUNCTION("""COMPUTED_VALUE"""),431.54)</f>
        <v/>
      </c>
      <c r="E227" s="141">
        <f>IFERROR(__xludf.DUMMYFUNCTION("""COMPUTED_VALUE"""),427.1)</f>
        <v/>
      </c>
      <c r="F227" s="141">
        <f>IFERROR(__xludf.DUMMYFUNCTION("""COMPUTED_VALUE"""),427.21)</f>
        <v/>
      </c>
      <c r="G227" s="143">
        <f>IFERROR(__xludf.DUMMYFUNCTION("""COMPUTED_VALUE"""),4021406)</f>
        <v/>
      </c>
      <c r="H227" s="27" t="n"/>
    </row>
    <row r="228" ht="17.25" customHeight="1" s="322">
      <c r="A228" s="27" t="n"/>
      <c r="B228" s="506">
        <f>IFERROR(__xludf.DUMMYFUNCTION("""COMPUTED_VALUE"""),46157.6666666666)</f>
        <v/>
      </c>
      <c r="C228" s="141">
        <f>IFERROR(__xludf.DUMMYFUNCTION("""COMPUTED_VALUE"""),417.64)</f>
        <v/>
      </c>
      <c r="D228" s="141">
        <f>IFERROR(__xludf.DUMMYFUNCTION("""COMPUTED_VALUE"""),419.25)</f>
        <v/>
      </c>
      <c r="E228" s="141">
        <f>IFERROR(__xludf.DUMMYFUNCTION("""COMPUTED_VALUE"""),414.12)</f>
        <v/>
      </c>
      <c r="F228" s="141">
        <f>IFERROR(__xludf.DUMMYFUNCTION("""COMPUTED_VALUE"""),417.29)</f>
        <v/>
      </c>
      <c r="G228" s="143">
        <f>IFERROR(__xludf.DUMMYFUNCTION("""COMPUTED_VALUE"""),9360393)</f>
        <v/>
      </c>
      <c r="H228" s="27" t="n"/>
    </row>
    <row r="229" ht="17.25" customHeight="1" s="322">
      <c r="A229" s="27" t="n"/>
      <c r="B229" s="506">
        <f>IFERROR(__xludf.DUMMYFUNCTION("""COMPUTED_VALUE"""),46160.6666666666)</f>
        <v/>
      </c>
      <c r="C229" s="141">
        <f>IFERROR(__xludf.DUMMYFUNCTION("""COMPUTED_VALUE"""),419.82)</f>
        <v/>
      </c>
      <c r="D229" s="141">
        <f>IFERROR(__xludf.DUMMYFUNCTION("""COMPUTED_VALUE"""),420.93)</f>
        <v/>
      </c>
      <c r="E229" s="141">
        <f>IFERROR(__xludf.DUMMYFUNCTION("""COMPUTED_VALUE"""),416.06)</f>
        <v/>
      </c>
      <c r="F229" s="141">
        <f>IFERROR(__xludf.DUMMYFUNCTION("""COMPUTED_VALUE"""),418.43)</f>
        <v/>
      </c>
      <c r="G229" s="143">
        <f>IFERROR(__xludf.DUMMYFUNCTION("""COMPUTED_VALUE"""),5628255)</f>
        <v/>
      </c>
      <c r="H229" s="27" t="n"/>
    </row>
    <row r="230" ht="17.25" customHeight="1" s="322">
      <c r="A230" s="27" t="n"/>
      <c r="B230" s="506">
        <f>IFERROR(__xludf.DUMMYFUNCTION("""COMPUTED_VALUE"""),46161.6666666666)</f>
        <v/>
      </c>
      <c r="C230" s="141">
        <f>IFERROR(__xludf.DUMMYFUNCTION("""COMPUTED_VALUE"""),412.45)</f>
        <v/>
      </c>
      <c r="D230" s="141">
        <f>IFERROR(__xludf.DUMMYFUNCTION("""COMPUTED_VALUE"""),414.47)</f>
        <v/>
      </c>
      <c r="E230" s="141">
        <f>IFERROR(__xludf.DUMMYFUNCTION("""COMPUTED_VALUE"""),409.88)</f>
        <v/>
      </c>
      <c r="F230" s="141">
        <f>IFERROR(__xludf.DUMMYFUNCTION("""COMPUTED_VALUE"""),411.5)</f>
        <v/>
      </c>
      <c r="G230" s="143">
        <f>IFERROR(__xludf.DUMMYFUNCTION("""COMPUTED_VALUE"""),5419418)</f>
        <v/>
      </c>
      <c r="H230" s="27" t="n"/>
    </row>
    <row r="231" ht="17.25" customHeight="1" s="322">
      <c r="A231" s="27" t="n"/>
      <c r="B231" s="506">
        <f>IFERROR(__xludf.DUMMYFUNCTION("""COMPUTED_VALUE"""),46162.6666666666)</f>
        <v/>
      </c>
      <c r="C231" s="141">
        <f>IFERROR(__xludf.DUMMYFUNCTION("""COMPUTED_VALUE"""),412.14)</f>
        <v/>
      </c>
      <c r="D231" s="141">
        <f>IFERROR(__xludf.DUMMYFUNCTION("""COMPUTED_VALUE"""),417.99)</f>
        <v/>
      </c>
      <c r="E231" s="141">
        <f>IFERROR(__xludf.DUMMYFUNCTION("""COMPUTED_VALUE"""),410.08)</f>
        <v/>
      </c>
      <c r="F231" s="141">
        <f>IFERROR(__xludf.DUMMYFUNCTION("""COMPUTED_VALUE"""),417.4)</f>
        <v/>
      </c>
      <c r="G231" s="143">
        <f>IFERROR(__xludf.DUMMYFUNCTION("""COMPUTED_VALUE"""),6004982)</f>
        <v/>
      </c>
      <c r="H231" s="27" t="n"/>
    </row>
    <row r="232" ht="17.25" customHeight="1" s="322">
      <c r="A232" s="27" t="n"/>
      <c r="B232" s="506">
        <f>IFERROR(__xludf.DUMMYFUNCTION("""COMPUTED_VALUE"""),46163.6666666666)</f>
        <v/>
      </c>
      <c r="C232" s="141">
        <f>IFERROR(__xludf.DUMMYFUNCTION("""COMPUTED_VALUE"""),413.14)</f>
        <v/>
      </c>
      <c r="D232" s="141">
        <f>IFERROR(__xludf.DUMMYFUNCTION("""COMPUTED_VALUE"""),418.42)</f>
        <v/>
      </c>
      <c r="E232" s="141">
        <f>IFERROR(__xludf.DUMMYFUNCTION("""COMPUTED_VALUE"""),411.95)</f>
        <v/>
      </c>
      <c r="F232" s="141">
        <f>IFERROR(__xludf.DUMMYFUNCTION("""COMPUTED_VALUE"""),416.99)</f>
        <v/>
      </c>
      <c r="G232" s="143">
        <f>IFERROR(__xludf.DUMMYFUNCTION("""COMPUTED_VALUE"""),4679936)</f>
        <v/>
      </c>
      <c r="H232" s="27" t="n"/>
    </row>
    <row r="233" ht="17.25" customHeight="1" s="322">
      <c r="A233" s="27" t="n"/>
      <c r="B233" s="506">
        <f>IFERROR(__xludf.DUMMYFUNCTION("""COMPUTED_VALUE"""),46164.6666666666)</f>
        <v/>
      </c>
      <c r="C233" s="141">
        <f>IFERROR(__xludf.DUMMYFUNCTION("""COMPUTED_VALUE"""),415.17)</f>
        <v/>
      </c>
      <c r="D233" s="141">
        <f>IFERROR(__xludf.DUMMYFUNCTION("""COMPUTED_VALUE"""),415.68)</f>
        <v/>
      </c>
      <c r="E233" s="141">
        <f>IFERROR(__xludf.DUMMYFUNCTION("""COMPUTED_VALUE"""),412)</f>
        <v/>
      </c>
      <c r="F233" s="141">
        <f>IFERROR(__xludf.DUMMYFUNCTION("""COMPUTED_VALUE"""),413.82)</f>
        <v/>
      </c>
      <c r="G233" s="143">
        <f>IFERROR(__xludf.DUMMYFUNCTION("""COMPUTED_VALUE"""),5528437)</f>
        <v/>
      </c>
      <c r="H233" s="27" t="n"/>
    </row>
    <row r="234" ht="17.25" customHeight="1" s="322">
      <c r="A234" s="27" t="n"/>
      <c r="B234" s="506">
        <f>IFERROR(__xludf.DUMMYFUNCTION("""COMPUTED_VALUE"""),46168.6666666666)</f>
        <v/>
      </c>
      <c r="C234" s="141">
        <f>IFERROR(__xludf.DUMMYFUNCTION("""COMPUTED_VALUE"""),415.16)</f>
        <v/>
      </c>
      <c r="D234" s="141">
        <f>IFERROR(__xludf.DUMMYFUNCTION("""COMPUTED_VALUE"""),415.98)</f>
        <v/>
      </c>
      <c r="E234" s="141">
        <f>IFERROR(__xludf.DUMMYFUNCTION("""COMPUTED_VALUE"""),411.5)</f>
        <v/>
      </c>
      <c r="F234" s="141">
        <f>IFERROR(__xludf.DUMMYFUNCTION("""COMPUTED_VALUE"""),414)</f>
        <v/>
      </c>
      <c r="G234" s="143">
        <f>IFERROR(__xludf.DUMMYFUNCTION("""COMPUTED_VALUE"""),5098408)</f>
        <v/>
      </c>
      <c r="H234" s="27" t="n"/>
    </row>
    <row r="235" ht="17.25" customHeight="1" s="322">
      <c r="A235" s="27" t="n"/>
      <c r="B235" s="506">
        <f>IFERROR(__xludf.DUMMYFUNCTION("""COMPUTED_VALUE"""),46169.6666666666)</f>
        <v/>
      </c>
      <c r="C235" s="141">
        <f>IFERROR(__xludf.DUMMYFUNCTION("""COMPUTED_VALUE"""),404.34)</f>
        <v/>
      </c>
      <c r="D235" s="141">
        <f>IFERROR(__xludf.DUMMYFUNCTION("""COMPUTED_VALUE"""),409.25)</f>
        <v/>
      </c>
      <c r="E235" s="141">
        <f>IFERROR(__xludf.DUMMYFUNCTION("""COMPUTED_VALUE"""),404.3)</f>
        <v/>
      </c>
      <c r="F235" s="141">
        <f>IFERROR(__xludf.DUMMYFUNCTION("""COMPUTED_VALUE"""),408.49)</f>
        <v/>
      </c>
      <c r="G235" s="143">
        <f>IFERROR(__xludf.DUMMYFUNCTION("""COMPUTED_VALUE"""),6624576)</f>
        <v/>
      </c>
      <c r="H235" s="27" t="n"/>
    </row>
    <row r="236" ht="17.25" customHeight="1" s="322">
      <c r="A236" s="27" t="n"/>
      <c r="B236" s="506">
        <f>IFERROR(__xludf.DUMMYFUNCTION("""COMPUTED_VALUE"""),46170.6666666666)</f>
        <v/>
      </c>
      <c r="C236" s="141">
        <f>IFERROR(__xludf.DUMMYFUNCTION("""COMPUTED_VALUE"""),406.48)</f>
        <v/>
      </c>
      <c r="D236" s="141">
        <f>IFERROR(__xludf.DUMMYFUNCTION("""COMPUTED_VALUE"""),414.51)</f>
        <v/>
      </c>
      <c r="E236" s="141">
        <f>IFERROR(__xludf.DUMMYFUNCTION("""COMPUTED_VALUE"""),405.41)</f>
        <v/>
      </c>
      <c r="F236" s="141">
        <f>IFERROR(__xludf.DUMMYFUNCTION("""COMPUTED_VALUE"""),412.77)</f>
        <v/>
      </c>
      <c r="G236" s="143">
        <f>IFERROR(__xludf.DUMMYFUNCTION("""COMPUTED_VALUE"""),7184087)</f>
        <v/>
      </c>
      <c r="H236" s="27" t="n"/>
    </row>
    <row r="237" ht="17.25" customHeight="1" s="322">
      <c r="A237" s="27" t="n"/>
      <c r="B237" s="506">
        <f>IFERROR(__xludf.DUMMYFUNCTION("""COMPUTED_VALUE"""),46171.6666666666)</f>
        <v/>
      </c>
      <c r="C237" s="141">
        <f>IFERROR(__xludf.DUMMYFUNCTION("""COMPUTED_VALUE"""),415.62)</f>
        <v/>
      </c>
      <c r="D237" s="141">
        <f>IFERROR(__xludf.DUMMYFUNCTION("""COMPUTED_VALUE"""),421.82)</f>
        <v/>
      </c>
      <c r="E237" s="141">
        <f>IFERROR(__xludf.DUMMYFUNCTION("""COMPUTED_VALUE"""),415.08)</f>
        <v/>
      </c>
      <c r="F237" s="141">
        <f>IFERROR(__xludf.DUMMYFUNCTION("""COMPUTED_VALUE"""),417.12)</f>
        <v/>
      </c>
      <c r="G237" s="143">
        <f>IFERROR(__xludf.DUMMYFUNCTION("""COMPUTED_VALUE"""),7705706)</f>
        <v/>
      </c>
      <c r="H237" s="27" t="n"/>
    </row>
    <row r="238" ht="17.25" customHeight="1" s="322">
      <c r="A238" s="27" t="n"/>
      <c r="B238" s="506">
        <f>IFERROR(__xludf.DUMMYFUNCTION("""COMPUTED_VALUE"""),46174.6666666666)</f>
        <v/>
      </c>
      <c r="C238" s="141">
        <f>IFERROR(__xludf.DUMMYFUNCTION("""COMPUTED_VALUE"""),409.86)</f>
        <v/>
      </c>
      <c r="D238" s="141">
        <f>IFERROR(__xludf.DUMMYFUNCTION("""COMPUTED_VALUE"""),412.61)</f>
        <v/>
      </c>
      <c r="E238" s="141">
        <f>IFERROR(__xludf.DUMMYFUNCTION("""COMPUTED_VALUE"""),408.24)</f>
        <v/>
      </c>
      <c r="F238" s="141">
        <f>IFERROR(__xludf.DUMMYFUNCTION("""COMPUTED_VALUE"""),411.26)</f>
        <v/>
      </c>
      <c r="G238" s="143">
        <f>IFERROR(__xludf.DUMMYFUNCTION("""COMPUTED_VALUE"""),6158855)</f>
        <v/>
      </c>
      <c r="H238" s="27" t="n"/>
    </row>
    <row r="239" ht="17.25" customHeight="1" s="322">
      <c r="A239" s="27" t="n"/>
      <c r="B239" s="506">
        <f>IFERROR(__xludf.DUMMYFUNCTION("""COMPUTED_VALUE"""),46175.6666666666)</f>
        <v/>
      </c>
      <c r="C239" s="141">
        <f>IFERROR(__xludf.DUMMYFUNCTION("""COMPUTED_VALUE"""),414.08)</f>
        <v/>
      </c>
      <c r="D239" s="141">
        <f>IFERROR(__xludf.DUMMYFUNCTION("""COMPUTED_VALUE"""),414.4)</f>
        <v/>
      </c>
      <c r="E239" s="141">
        <f>IFERROR(__xludf.DUMMYFUNCTION("""COMPUTED_VALUE"""),411.1)</f>
        <v/>
      </c>
      <c r="F239" s="141">
        <f>IFERROR(__xludf.DUMMYFUNCTION("""COMPUTED_VALUE"""),411.95)</f>
        <v/>
      </c>
      <c r="G239" s="143">
        <f>IFERROR(__xludf.DUMMYFUNCTION("""COMPUTED_VALUE"""),3823879)</f>
        <v/>
      </c>
      <c r="H239" s="27" t="n"/>
    </row>
    <row r="240" ht="17.25" customHeight="1" s="322">
      <c r="A240" s="27" t="n"/>
      <c r="B240" s="506">
        <f>IFERROR(__xludf.DUMMYFUNCTION("""COMPUTED_VALUE"""),46176.6666666666)</f>
        <v/>
      </c>
      <c r="C240" s="141">
        <f>IFERROR(__xludf.DUMMYFUNCTION("""COMPUTED_VALUE"""),408.38)</f>
        <v/>
      </c>
      <c r="D240" s="141">
        <f>IFERROR(__xludf.DUMMYFUNCTION("""COMPUTED_VALUE"""),409.38)</f>
        <v/>
      </c>
      <c r="E240" s="141">
        <f>IFERROR(__xludf.DUMMYFUNCTION("""COMPUTED_VALUE"""),406.23)</f>
        <v/>
      </c>
      <c r="F240" s="141">
        <f>IFERROR(__xludf.DUMMYFUNCTION("""COMPUTED_VALUE"""),407.87)</f>
        <v/>
      </c>
      <c r="G240" s="143">
        <f>IFERROR(__xludf.DUMMYFUNCTION("""COMPUTED_VALUE"""),5038038)</f>
        <v/>
      </c>
      <c r="H240" s="27" t="n"/>
    </row>
    <row r="241" ht="17.25" customHeight="1" s="322">
      <c r="A241" s="27" t="n"/>
      <c r="B241" s="506">
        <f>IFERROR(__xludf.DUMMYFUNCTION("""COMPUTED_VALUE"""),46177.6666666666)</f>
        <v/>
      </c>
      <c r="C241" s="141">
        <f>IFERROR(__xludf.DUMMYFUNCTION("""COMPUTED_VALUE"""),413.37)</f>
        <v/>
      </c>
      <c r="D241" s="141">
        <f>IFERROR(__xludf.DUMMYFUNCTION("""COMPUTED_VALUE"""),414.37)</f>
        <v/>
      </c>
      <c r="E241" s="141">
        <f>IFERROR(__xludf.DUMMYFUNCTION("""COMPUTED_VALUE"""),409.01)</f>
        <v/>
      </c>
      <c r="F241" s="141">
        <f>IFERROR(__xludf.DUMMYFUNCTION("""COMPUTED_VALUE"""),411.27)</f>
        <v/>
      </c>
      <c r="G241" s="143">
        <f>IFERROR(__xludf.DUMMYFUNCTION("""COMPUTED_VALUE"""),4646546)</f>
        <v/>
      </c>
      <c r="H241" s="27" t="n"/>
    </row>
    <row r="242" ht="17.25" customHeight="1" s="322">
      <c r="A242" s="27" t="n"/>
      <c r="B242" s="506">
        <f>IFERROR(__xludf.DUMMYFUNCTION("""COMPUTED_VALUE"""),46178.6666666666)</f>
        <v/>
      </c>
      <c r="C242" s="141">
        <f>IFERROR(__xludf.DUMMYFUNCTION("""COMPUTED_VALUE"""),404.38)</f>
        <v/>
      </c>
      <c r="D242" s="141">
        <f>IFERROR(__xludf.DUMMYFUNCTION("""COMPUTED_VALUE"""),404.72)</f>
        <v/>
      </c>
      <c r="E242" s="141">
        <f>IFERROR(__xludf.DUMMYFUNCTION("""COMPUTED_VALUE"""),395.92)</f>
        <v/>
      </c>
      <c r="F242" s="141">
        <f>IFERROR(__xludf.DUMMYFUNCTION("""COMPUTED_VALUE"""),396.24)</f>
        <v/>
      </c>
      <c r="G242" s="143">
        <f>IFERROR(__xludf.DUMMYFUNCTION("""COMPUTED_VALUE"""),11473873)</f>
        <v/>
      </c>
      <c r="H242" s="27" t="n"/>
    </row>
    <row r="243" ht="17.25" customHeight="1" s="322">
      <c r="A243" s="27" t="n"/>
      <c r="B243" s="506">
        <f>IFERROR(__xludf.DUMMYFUNCTION("""COMPUTED_VALUE"""),46181.6666666666)</f>
        <v/>
      </c>
      <c r="C243" s="141">
        <f>IFERROR(__xludf.DUMMYFUNCTION("""COMPUTED_VALUE"""),397.52)</f>
        <v/>
      </c>
      <c r="D243" s="141">
        <f>IFERROR(__xludf.DUMMYFUNCTION("""COMPUTED_VALUE"""),398.98)</f>
        <v/>
      </c>
      <c r="E243" s="141">
        <f>IFERROR(__xludf.DUMMYFUNCTION("""COMPUTED_VALUE"""),396.03)</f>
        <v/>
      </c>
      <c r="F243" s="141">
        <f>IFERROR(__xludf.DUMMYFUNCTION("""COMPUTED_VALUE"""),397.27)</f>
        <v/>
      </c>
      <c r="G243" s="143">
        <f>IFERROR(__xludf.DUMMYFUNCTION("""COMPUTED_VALUE"""),8057349)</f>
        <v/>
      </c>
      <c r="H243" s="27" t="n"/>
    </row>
    <row r="244" ht="17.25" customHeight="1" s="322">
      <c r="A244" s="27" t="n"/>
      <c r="B244" s="506">
        <f>IFERROR(__xludf.DUMMYFUNCTION("""COMPUTED_VALUE"""),46182.6666666666)</f>
        <v/>
      </c>
      <c r="C244" s="141">
        <f>IFERROR(__xludf.DUMMYFUNCTION("""COMPUTED_VALUE"""),397.57)</f>
        <v/>
      </c>
      <c r="D244" s="141">
        <f>IFERROR(__xludf.DUMMYFUNCTION("""COMPUTED_VALUE"""),400.48)</f>
        <v/>
      </c>
      <c r="E244" s="141">
        <f>IFERROR(__xludf.DUMMYFUNCTION("""COMPUTED_VALUE"""),388.75)</f>
        <v/>
      </c>
      <c r="F244" s="141">
        <f>IFERROR(__xludf.DUMMYFUNCTION("""COMPUTED_VALUE"""),390.78)</f>
        <v/>
      </c>
      <c r="G244" s="143">
        <f>IFERROR(__xludf.DUMMYFUNCTION("""COMPUTED_VALUE"""),9567301)</f>
        <v/>
      </c>
      <c r="H244" s="27" t="n"/>
    </row>
    <row r="245" ht="17.25" customHeight="1" s="322">
      <c r="A245" s="27" t="n"/>
      <c r="B245" s="506">
        <f>IFERROR(__xludf.DUMMYFUNCTION("""COMPUTED_VALUE"""),46183.6666666666)</f>
        <v/>
      </c>
      <c r="C245" s="141">
        <f>IFERROR(__xludf.DUMMYFUNCTION("""COMPUTED_VALUE"""),380.75)</f>
        <v/>
      </c>
      <c r="D245" s="141">
        <f>IFERROR(__xludf.DUMMYFUNCTION("""COMPUTED_VALUE"""),384.21)</f>
        <v/>
      </c>
      <c r="E245" s="141">
        <f>IFERROR(__xludf.DUMMYFUNCTION("""COMPUTED_VALUE"""),374.55)</f>
        <v/>
      </c>
      <c r="F245" s="141">
        <f>IFERROR(__xludf.DUMMYFUNCTION("""COMPUTED_VALUE"""),374.58)</f>
        <v/>
      </c>
      <c r="G245" s="143">
        <f>IFERROR(__xludf.DUMMYFUNCTION("""COMPUTED_VALUE"""),13956163)</f>
        <v/>
      </c>
      <c r="H245" s="27" t="n"/>
    </row>
    <row r="246" ht="17.25" customHeight="1" s="322">
      <c r="A246" s="27" t="n"/>
      <c r="B246" s="506">
        <f>IFERROR(__xludf.DUMMYFUNCTION("""COMPUTED_VALUE"""),46184.6666666666)</f>
        <v/>
      </c>
      <c r="C246" s="141">
        <f>IFERROR(__xludf.DUMMYFUNCTION("""COMPUTED_VALUE"""),373.96)</f>
        <v/>
      </c>
      <c r="D246" s="141">
        <f>IFERROR(__xludf.DUMMYFUNCTION("""COMPUTED_VALUE"""),387.21)</f>
        <v/>
      </c>
      <c r="E246" s="141">
        <f>IFERROR(__xludf.DUMMYFUNCTION("""COMPUTED_VALUE"""),371.88)</f>
        <v/>
      </c>
      <c r="F246" s="141">
        <f>IFERROR(__xludf.DUMMYFUNCTION("""COMPUTED_VALUE"""),386.32)</f>
        <v/>
      </c>
      <c r="G246" s="143">
        <f>IFERROR(__xludf.DUMMYFUNCTION("""COMPUTED_VALUE"""),12622475)</f>
        <v/>
      </c>
      <c r="H246" s="27" t="n"/>
    </row>
    <row r="247" ht="17.25" customHeight="1" s="322">
      <c r="A247" s="27" t="n"/>
      <c r="B247" s="506">
        <f>IFERROR(__xludf.DUMMYFUNCTION("""COMPUTED_VALUE"""),46185.6666666666)</f>
        <v/>
      </c>
      <c r="C247" s="141">
        <f>IFERROR(__xludf.DUMMYFUNCTION("""COMPUTED_VALUE"""),385.73)</f>
        <v/>
      </c>
      <c r="D247" s="141">
        <f>IFERROR(__xludf.DUMMYFUNCTION("""COMPUTED_VALUE"""),388.77)</f>
        <v/>
      </c>
      <c r="E247" s="141">
        <f>IFERROR(__xludf.DUMMYFUNCTION("""COMPUTED_VALUE"""),383.35)</f>
        <v/>
      </c>
      <c r="F247" s="141">
        <f>IFERROR(__xludf.DUMMYFUNCTION("""COMPUTED_VALUE"""),386.54)</f>
        <v/>
      </c>
      <c r="G247" s="143">
        <f>IFERROR(__xludf.DUMMYFUNCTION("""COMPUTED_VALUE"""),7532578)</f>
        <v/>
      </c>
      <c r="H247" s="27" t="n"/>
    </row>
    <row r="248" ht="17.25" customHeight="1" s="322">
      <c r="A248" s="27" t="n"/>
      <c r="B248" s="506">
        <f>IFERROR(__xludf.DUMMYFUNCTION("""COMPUTED_VALUE"""),46188.6666666666)</f>
        <v/>
      </c>
      <c r="C248" s="141">
        <f>IFERROR(__xludf.DUMMYFUNCTION("""COMPUTED_VALUE"""),399.49)</f>
        <v/>
      </c>
      <c r="D248" s="141">
        <f>IFERROR(__xludf.DUMMYFUNCTION("""COMPUTED_VALUE"""),401)</f>
        <v/>
      </c>
      <c r="E248" s="141">
        <f>IFERROR(__xludf.DUMMYFUNCTION("""COMPUTED_VALUE"""),396.15)</f>
        <v/>
      </c>
      <c r="F248" s="141">
        <f>IFERROR(__xludf.DUMMYFUNCTION("""COMPUTED_VALUE"""),396.55)</f>
        <v/>
      </c>
      <c r="G248" s="143">
        <f>IFERROR(__xludf.DUMMYFUNCTION("""COMPUTED_VALUE"""),10477124)</f>
        <v/>
      </c>
      <c r="H248" s="27" t="n"/>
    </row>
    <row r="249" ht="17.25" customHeight="1" s="322">
      <c r="A249" s="27" t="n"/>
      <c r="B249" s="506">
        <f>IFERROR(__xludf.DUMMYFUNCTION("""COMPUTED_VALUE"""),46189.6666666666)</f>
        <v/>
      </c>
      <c r="C249" s="141">
        <f>IFERROR(__xludf.DUMMYFUNCTION("""COMPUTED_VALUE"""),397.83)</f>
        <v/>
      </c>
      <c r="D249" s="141">
        <f>IFERROR(__xludf.DUMMYFUNCTION("""COMPUTED_VALUE"""),398.96)</f>
        <v/>
      </c>
      <c r="E249" s="141">
        <f>IFERROR(__xludf.DUMMYFUNCTION("""COMPUTED_VALUE"""),395.82)</f>
        <v/>
      </c>
      <c r="F249" s="141">
        <f>IFERROR(__xludf.DUMMYFUNCTION("""COMPUTED_VALUE"""),397.63)</f>
        <v/>
      </c>
      <c r="G249" s="143">
        <f>IFERROR(__xludf.DUMMYFUNCTION("""COMPUTED_VALUE"""),6003964)</f>
        <v/>
      </c>
      <c r="H249" s="27" t="n"/>
    </row>
    <row r="250" ht="17.25" customHeight="1" s="322">
      <c r="A250" s="27" t="n"/>
      <c r="B250" s="506">
        <f>IFERROR(__xludf.DUMMYFUNCTION("""COMPUTED_VALUE"""),46190.6666666666)</f>
        <v/>
      </c>
      <c r="C250" s="141">
        <f>IFERROR(__xludf.DUMMYFUNCTION("""COMPUTED_VALUE"""),397.82)</f>
        <v/>
      </c>
      <c r="D250" s="141">
        <f>IFERROR(__xludf.DUMMYFUNCTION("""COMPUTED_VALUE"""),402.04)</f>
        <v/>
      </c>
      <c r="E250" s="141">
        <f>IFERROR(__xludf.DUMMYFUNCTION("""COMPUTED_VALUE"""),387.08)</f>
        <v/>
      </c>
      <c r="F250" s="141">
        <f>IFERROR(__xludf.DUMMYFUNCTION("""COMPUTED_VALUE"""),388.6)</f>
        <v/>
      </c>
      <c r="G250" s="143">
        <f>IFERROR(__xludf.DUMMYFUNCTION("""COMPUTED_VALUE"""),13343024)</f>
        <v/>
      </c>
      <c r="H250" s="27" t="n"/>
    </row>
    <row r="251" ht="17.25" customHeight="1" s="322">
      <c r="A251" s="27" t="n"/>
      <c r="B251" s="506">
        <f>IFERROR(__xludf.DUMMYFUNCTION("""COMPUTED_VALUE"""),46191.6666666666)</f>
        <v/>
      </c>
      <c r="C251" s="141">
        <f>IFERROR(__xludf.DUMMYFUNCTION("""COMPUTED_VALUE"""),391.24)</f>
        <v/>
      </c>
      <c r="D251" s="141">
        <f>IFERROR(__xludf.DUMMYFUNCTION("""COMPUTED_VALUE"""),392.5)</f>
        <v/>
      </c>
      <c r="E251" s="141">
        <f>IFERROR(__xludf.DUMMYFUNCTION("""COMPUTED_VALUE"""),385.6)</f>
        <v/>
      </c>
      <c r="F251" s="141">
        <f>IFERROR(__xludf.DUMMYFUNCTION("""COMPUTED_VALUE"""),387.12)</f>
        <v/>
      </c>
      <c r="G251" s="143">
        <f>IFERROR(__xludf.DUMMYFUNCTION("""COMPUTED_VALUE"""),7627320)</f>
        <v/>
      </c>
      <c r="H251" s="27" t="n"/>
    </row>
    <row r="252" ht="17.25" customHeight="1" s="322">
      <c r="A252" s="27" t="n"/>
      <c r="B252" s="506">
        <f>IFERROR(__xludf.DUMMYFUNCTION("""COMPUTED_VALUE"""),46195.6666666666)</f>
        <v/>
      </c>
      <c r="C252" s="141">
        <f>IFERROR(__xludf.DUMMYFUNCTION("""COMPUTED_VALUE"""),384.25)</f>
        <v/>
      </c>
      <c r="D252" s="141">
        <f>IFERROR(__xludf.DUMMYFUNCTION("""COMPUTED_VALUE"""),386.41)</f>
        <v/>
      </c>
      <c r="E252" s="141">
        <f>IFERROR(__xludf.DUMMYFUNCTION("""COMPUTED_VALUE"""),382.64)</f>
        <v/>
      </c>
      <c r="F252" s="141">
        <f>IFERROR(__xludf.DUMMYFUNCTION("""COMPUTED_VALUE"""),384.59)</f>
        <v/>
      </c>
      <c r="G252" s="143">
        <f>IFERROR(__xludf.DUMMYFUNCTION("""COMPUTED_VALUE"""),7835120)</f>
        <v/>
      </c>
      <c r="H252" s="27" t="n"/>
    </row>
    <row r="253" ht="17.25" customHeight="1" s="322">
      <c r="A253" s="27" t="n"/>
      <c r="B253" s="506">
        <f>IFERROR(__xludf.DUMMYFUNCTION("""COMPUTED_VALUE"""),46196.6666666666)</f>
        <v/>
      </c>
      <c r="C253" s="141">
        <f>IFERROR(__xludf.DUMMYFUNCTION("""COMPUTED_VALUE"""),377.72)</f>
        <v/>
      </c>
      <c r="D253" s="141">
        <f>IFERROR(__xludf.DUMMYFUNCTION("""COMPUTED_VALUE"""),380.35)</f>
        <v/>
      </c>
      <c r="E253" s="141">
        <f>IFERROR(__xludf.DUMMYFUNCTION("""COMPUTED_VALUE"""),377.17)</f>
        <v/>
      </c>
      <c r="F253" s="141">
        <f>IFERROR(__xludf.DUMMYFUNCTION("""COMPUTED_VALUE"""),377.32)</f>
        <v/>
      </c>
      <c r="G253" s="143">
        <f>IFERROR(__xludf.DUMMYFUNCTION("""COMPUTED_VALUE"""),7389591)</f>
        <v/>
      </c>
      <c r="H253" s="27" t="n"/>
    </row>
    <row r="254" ht="17.25" customHeight="1" s="322">
      <c r="A254" s="27" t="n"/>
      <c r="B254" s="506">
        <f>IFERROR(__xludf.DUMMYFUNCTION("""COMPUTED_VALUE"""),46197.6666666666)</f>
        <v/>
      </c>
      <c r="C254" s="141">
        <f>IFERROR(__xludf.DUMMYFUNCTION("""COMPUTED_VALUE"""),364.81)</f>
        <v/>
      </c>
      <c r="D254" s="141">
        <f>IFERROR(__xludf.DUMMYFUNCTION("""COMPUTED_VALUE"""),370.9)</f>
        <v/>
      </c>
      <c r="E254" s="141">
        <f>IFERROR(__xludf.DUMMYFUNCTION("""COMPUTED_VALUE"""),363.32)</f>
        <v/>
      </c>
      <c r="F254" s="141">
        <f>IFERROR(__xludf.DUMMYFUNCTION("""COMPUTED_VALUE"""),365.92)</f>
        <v/>
      </c>
      <c r="G254" s="143">
        <f>IFERROR(__xludf.DUMMYFUNCTION("""COMPUTED_VALUE"""),12741717)</f>
        <v/>
      </c>
      <c r="H254" s="27" t="n"/>
    </row>
    <row r="255" ht="17.25" customHeight="1" s="322">
      <c r="A255" s="27" t="n"/>
      <c r="B255" s="506">
        <f>IFERROR(__xludf.DUMMYFUNCTION("""COMPUTED_VALUE"""),46198.6666666666)</f>
        <v/>
      </c>
      <c r="C255" s="141">
        <f>IFERROR(__xludf.DUMMYFUNCTION("""COMPUTED_VALUE"""),368.99)</f>
        <v/>
      </c>
      <c r="D255" s="141">
        <f>IFERROR(__xludf.DUMMYFUNCTION("""COMPUTED_VALUE"""),371.04)</f>
        <v/>
      </c>
      <c r="E255" s="141">
        <f>IFERROR(__xludf.DUMMYFUNCTION("""COMPUTED_VALUE"""),366.8)</f>
        <v/>
      </c>
      <c r="F255" s="141">
        <f>IFERROR(__xludf.DUMMYFUNCTION("""COMPUTED_VALUE"""),369.46)</f>
        <v/>
      </c>
      <c r="G255" s="143">
        <f>IFERROR(__xludf.DUMMYFUNCTION("""COMPUTED_VALUE"""),9164675)</f>
        <v/>
      </c>
      <c r="H255" s="27" t="n"/>
    </row>
    <row r="256" ht="17.25" customHeight="1" s="322">
      <c r="A256" s="27" t="n"/>
      <c r="B256" s="506">
        <f>IFERROR(__xludf.DUMMYFUNCTION("""COMPUTED_VALUE"""),46199.6666666666)</f>
        <v/>
      </c>
      <c r="C256" s="141">
        <f>IFERROR(__xludf.DUMMYFUNCTION("""COMPUTED_VALUE"""),372.27)</f>
        <v/>
      </c>
      <c r="D256" s="141">
        <f>IFERROR(__xludf.DUMMYFUNCTION("""COMPUTED_VALUE"""),375.85)</f>
        <v/>
      </c>
      <c r="E256" s="141">
        <f>IFERROR(__xludf.DUMMYFUNCTION("""COMPUTED_VALUE"""),371.18)</f>
        <v/>
      </c>
      <c r="F256" s="141">
        <f>IFERROR(__xludf.DUMMYFUNCTION("""COMPUTED_VALUE"""),373.63)</f>
        <v/>
      </c>
      <c r="G256" s="143">
        <f>IFERROR(__xludf.DUMMYFUNCTION("""COMPUTED_VALUE"""),5603325)</f>
        <v/>
      </c>
      <c r="H256" s="27" t="n"/>
    </row>
    <row r="257" ht="17.25" customHeight="1" s="322">
      <c r="A257" s="27" t="n"/>
      <c r="B257" s="506">
        <f>IFERROR(__xludf.DUMMYFUNCTION("""COMPUTED_VALUE"""),46202.6666666666)</f>
        <v/>
      </c>
      <c r="C257" s="141">
        <f>IFERROR(__xludf.DUMMYFUNCTION("""COMPUTED_VALUE"""),370.58)</f>
        <v/>
      </c>
      <c r="D257" s="141">
        <f>IFERROR(__xludf.DUMMYFUNCTION("""COMPUTED_VALUE"""),371.19)</f>
        <v/>
      </c>
      <c r="E257" s="141">
        <f>IFERROR(__xludf.DUMMYFUNCTION("""COMPUTED_VALUE"""),366.97)</f>
        <v/>
      </c>
      <c r="F257" s="141">
        <f>IFERROR(__xludf.DUMMYFUNCTION("""COMPUTED_VALUE"""),368.58)</f>
        <v/>
      </c>
      <c r="G257" s="143">
        <f>IFERROR(__xludf.DUMMYFUNCTION("""COMPUTED_VALUE"""),5006270)</f>
        <v/>
      </c>
      <c r="H257" s="27" t="n"/>
    </row>
    <row r="258" ht="17.25" customHeight="1" s="322">
      <c r="A258" s="27" t="n"/>
      <c r="B258" s="506">
        <f>IFERROR(__xludf.DUMMYFUNCTION("""COMPUTED_VALUE"""),46203.6666666666)</f>
        <v/>
      </c>
      <c r="C258" s="141">
        <f>IFERROR(__xludf.DUMMYFUNCTION("""COMPUTED_VALUE"""),369.22)</f>
        <v/>
      </c>
      <c r="D258" s="141">
        <f>IFERROR(__xludf.DUMMYFUNCTION("""COMPUTED_VALUE"""),372.83)</f>
        <v/>
      </c>
      <c r="E258" s="141">
        <f>IFERROR(__xludf.DUMMYFUNCTION("""COMPUTED_VALUE"""),368.26)</f>
        <v/>
      </c>
      <c r="F258" s="141">
        <f>IFERROR(__xludf.DUMMYFUNCTION("""COMPUTED_VALUE"""),368.38)</f>
        <v/>
      </c>
      <c r="G258" s="143">
        <f>IFERROR(__xludf.DUMMYFUNCTION("""COMPUTED_VALUE"""),5302054)</f>
        <v/>
      </c>
      <c r="H258" s="27" t="n"/>
    </row>
    <row r="259" ht="17.25" customHeight="1" s="322">
      <c r="A259" s="27" t="n"/>
      <c r="B259" s="506">
        <f>IFERROR(__xludf.DUMMYFUNCTION("""COMPUTED_VALUE"""),46204.6666666666)</f>
        <v/>
      </c>
      <c r="C259" s="141">
        <f>IFERROR(__xludf.DUMMYFUNCTION("""COMPUTED_VALUE"""),371.21)</f>
        <v/>
      </c>
      <c r="D259" s="141">
        <f>IFERROR(__xludf.DUMMYFUNCTION("""COMPUTED_VALUE"""),377.78)</f>
        <v/>
      </c>
      <c r="E259" s="141">
        <f>IFERROR(__xludf.DUMMYFUNCTION("""COMPUTED_VALUE"""),370.21)</f>
        <v/>
      </c>
      <c r="F259" s="141">
        <f>IFERROR(__xludf.DUMMYFUNCTION("""COMPUTED_VALUE"""),370.6)</f>
        <v/>
      </c>
      <c r="G259" s="143">
        <f>IFERROR(__xludf.DUMMYFUNCTION("""COMPUTED_VALUE"""),9058288)</f>
        <v/>
      </c>
      <c r="H259" s="27" t="n"/>
    </row>
    <row r="260" ht="17.25" customHeight="1" s="322">
      <c r="A260" s="27" t="n"/>
      <c r="B260" s="506">
        <f>IFERROR(__xludf.DUMMYFUNCTION("""COMPUTED_VALUE"""),46205.6666666666)</f>
        <v/>
      </c>
      <c r="C260" s="141">
        <f>IFERROR(__xludf.DUMMYFUNCTION("""COMPUTED_VALUE"""),377.44)</f>
        <v/>
      </c>
      <c r="D260" s="141">
        <f>IFERROR(__xludf.DUMMYFUNCTION("""COMPUTED_VALUE"""),380.27)</f>
        <v/>
      </c>
      <c r="E260" s="141">
        <f>IFERROR(__xludf.DUMMYFUNCTION("""COMPUTED_VALUE"""),376.29)</f>
        <v/>
      </c>
      <c r="F260" s="141">
        <f>IFERROR(__xludf.DUMMYFUNCTION("""COMPUTED_VALUE"""),378.13)</f>
        <v/>
      </c>
      <c r="G260" s="143">
        <f>IFERROR(__xludf.DUMMYFUNCTION("""COMPUTED_VALUE"""),7607968)</f>
        <v/>
      </c>
      <c r="H260" s="27" t="n"/>
    </row>
    <row r="261" ht="17.25" customHeight="1" s="322">
      <c r="A261" s="27" t="n"/>
      <c r="B261" s="506">
        <f>IFERROR(__xludf.DUMMYFUNCTION("""COMPUTED_VALUE"""),46209.6666666666)</f>
        <v/>
      </c>
      <c r="C261" s="141">
        <f>IFERROR(__xludf.DUMMYFUNCTION("""COMPUTED_VALUE"""),380.21)</f>
        <v/>
      </c>
      <c r="D261" s="141">
        <f>IFERROR(__xludf.DUMMYFUNCTION("""COMPUTED_VALUE"""),382.43)</f>
        <v/>
      </c>
      <c r="E261" s="141">
        <f>IFERROR(__xludf.DUMMYFUNCTION("""COMPUTED_VALUE"""),378.83)</f>
        <v/>
      </c>
      <c r="F261" s="141">
        <f>IFERROR(__xludf.DUMMYFUNCTION("""COMPUTED_VALUE"""),382.13)</f>
        <v/>
      </c>
      <c r="G261" s="143">
        <f>IFERROR(__xludf.DUMMYFUNCTION("""COMPUTED_VALUE"""),3906525)</f>
        <v/>
      </c>
      <c r="H261" s="27" t="n"/>
    </row>
    <row r="262" ht="17.25" customHeight="1" s="322">
      <c r="A262" s="27" t="n"/>
      <c r="B262" s="506">
        <f>IFERROR(__xludf.DUMMYFUNCTION("""COMPUTED_VALUE"""),46210.6666666666)</f>
        <v/>
      </c>
      <c r="C262" s="141">
        <f>IFERROR(__xludf.DUMMYFUNCTION("""COMPUTED_VALUE"""),382.39)</f>
        <v/>
      </c>
      <c r="D262" s="141">
        <f>IFERROR(__xludf.DUMMYFUNCTION("""COMPUTED_VALUE"""),383.6)</f>
        <v/>
      </c>
      <c r="E262" s="141">
        <f>IFERROR(__xludf.DUMMYFUNCTION("""COMPUTED_VALUE"""),375.52)</f>
        <v/>
      </c>
      <c r="F262" s="141">
        <f>IFERROR(__xludf.DUMMYFUNCTION("""COMPUTED_VALUE"""),377.49)</f>
        <v/>
      </c>
      <c r="G262" s="143">
        <f>IFERROR(__xludf.DUMMYFUNCTION("""COMPUTED_VALUE"""),4815435)</f>
        <v/>
      </c>
      <c r="H262" s="27" t="n"/>
    </row>
    <row r="263" ht="17.25" customHeight="1" s="322">
      <c r="A263" s="27" t="n"/>
      <c r="B263" s="506">
        <f>IFERROR(__xludf.DUMMYFUNCTION("""COMPUTED_VALUE"""),46211.6666666666)</f>
        <v/>
      </c>
      <c r="C263" s="141">
        <f>IFERROR(__xludf.DUMMYFUNCTION("""COMPUTED_VALUE"""),373.17)</f>
        <v/>
      </c>
      <c r="D263" s="141">
        <f>IFERROR(__xludf.DUMMYFUNCTION("""COMPUTED_VALUE"""),375.47)</f>
        <v/>
      </c>
      <c r="E263" s="141">
        <f>IFERROR(__xludf.DUMMYFUNCTION("""COMPUTED_VALUE"""),368.95)</f>
        <v/>
      </c>
      <c r="F263" s="141">
        <f>IFERROR(__xludf.DUMMYFUNCTION("""COMPUTED_VALUE"""),374.45)</f>
        <v/>
      </c>
      <c r="G263" s="143">
        <f>IFERROR(__xludf.DUMMYFUNCTION("""COMPUTED_VALUE"""),7728536)</f>
        <v/>
      </c>
      <c r="H263" s="27" t="n"/>
    </row>
    <row r="264" ht="17.25" customHeight="1" s="322">
      <c r="A264" s="27" t="n"/>
      <c r="B264" s="506">
        <f>IFERROR(__xludf.DUMMYFUNCTION("""COMPUTED_VALUE"""),46212.6666666666)</f>
        <v/>
      </c>
      <c r="C264" s="141">
        <f>IFERROR(__xludf.DUMMYFUNCTION("""COMPUTED_VALUE"""),378.51)</f>
        <v/>
      </c>
      <c r="D264" s="141">
        <f>IFERROR(__xludf.DUMMYFUNCTION("""COMPUTED_VALUE"""),379.65)</f>
        <v/>
      </c>
      <c r="E264" s="141">
        <f>IFERROR(__xludf.DUMMYFUNCTION("""COMPUTED_VALUE"""),377.41)</f>
        <v/>
      </c>
      <c r="F264" s="141">
        <f>IFERROR(__xludf.DUMMYFUNCTION("""COMPUTED_VALUE"""),378.18)</f>
        <v/>
      </c>
      <c r="G264" s="143">
        <f>IFERROR(__xludf.DUMMYFUNCTION("""COMPUTED_VALUE"""),4754582)</f>
        <v/>
      </c>
      <c r="H264" s="27" t="n"/>
    </row>
    <row r="265" ht="17.25" customHeight="1" s="322">
      <c r="A265" s="27" t="n"/>
      <c r="B265" s="506">
        <f>IFERROR(__xludf.DUMMYFUNCTION("""COMPUTED_VALUE"""),46213.6666666666)</f>
        <v/>
      </c>
      <c r="C265" s="141">
        <f>IFERROR(__xludf.DUMMYFUNCTION("""COMPUTED_VALUE"""),375)</f>
        <v/>
      </c>
      <c r="D265" s="141">
        <f>IFERROR(__xludf.DUMMYFUNCTION("""COMPUTED_VALUE"""),377.55)</f>
        <v/>
      </c>
      <c r="E265" s="141">
        <f>IFERROR(__xludf.DUMMYFUNCTION("""COMPUTED_VALUE"""),373.7)</f>
        <v/>
      </c>
      <c r="F265" s="141">
        <f>IFERROR(__xludf.DUMMYFUNCTION("""COMPUTED_VALUE"""),377.01)</f>
        <v/>
      </c>
      <c r="G265" s="143">
        <f>IFERROR(__xludf.DUMMYFUNCTION("""COMPUTED_VALUE"""),5455435)</f>
        <v/>
      </c>
      <c r="H265" s="27" t="n"/>
    </row>
    <row r="266" ht="17.25" customHeight="1" s="322">
      <c r="A266" s="27" t="n"/>
      <c r="B266" s="506">
        <f>IFERROR(__xludf.DUMMYFUNCTION("""COMPUTED_VALUE"""),46216.6666666666)</f>
        <v/>
      </c>
      <c r="C266" s="141">
        <f>IFERROR(__xludf.DUMMYFUNCTION("""COMPUTED_VALUE"""),372.77)</f>
        <v/>
      </c>
      <c r="D266" s="141">
        <f>IFERROR(__xludf.DUMMYFUNCTION("""COMPUTED_VALUE"""),372.89)</f>
        <v/>
      </c>
      <c r="E266" s="141">
        <f>IFERROR(__xludf.DUMMYFUNCTION("""COMPUTED_VALUE"""),365.77)</f>
        <v/>
      </c>
      <c r="F266" s="141">
        <f>IFERROR(__xludf.DUMMYFUNCTION("""COMPUTED_VALUE"""),367.13)</f>
        <v/>
      </c>
      <c r="G266" s="143">
        <f>IFERROR(__xludf.DUMMYFUNCTION("""COMPUTED_VALUE"""),7161731)</f>
        <v/>
      </c>
      <c r="H266" s="27" t="n"/>
    </row>
    <row r="267" ht="17.25" customHeight="1" s="322">
      <c r="A267" s="27" t="n"/>
      <c r="B267" s="506">
        <f>IFERROR(__xludf.DUMMYFUNCTION("""COMPUTED_VALUE"""),46217.6666666666)</f>
        <v/>
      </c>
      <c r="C267" s="141">
        <f>IFERROR(__xludf.DUMMYFUNCTION("""COMPUTED_VALUE"""),374.53)</f>
        <v/>
      </c>
      <c r="D267" s="141">
        <f>IFERROR(__xludf.DUMMYFUNCTION("""COMPUTED_VALUE"""),376.28)</f>
        <v/>
      </c>
      <c r="E267" s="141">
        <f>IFERROR(__xludf.DUMMYFUNCTION("""COMPUTED_VALUE"""),370.92)</f>
        <v/>
      </c>
      <c r="F267" s="141">
        <f>IFERROR(__xludf.DUMMYFUNCTION("""COMPUTED_VALUE"""),372.15)</f>
        <v/>
      </c>
      <c r="G267" s="143">
        <f>IFERROR(__xludf.DUMMYFUNCTION("""COMPUTED_VALUE"""),6303383)</f>
        <v/>
      </c>
      <c r="H267" s="27" t="n"/>
    </row>
    <row r="268" ht="17.25" customHeight="1" s="322">
      <c r="A268" s="27" t="n"/>
      <c r="B268" s="506">
        <f>IFERROR(__xludf.DUMMYFUNCTION("""COMPUTED_VALUE"""),46218.6666666666)</f>
        <v/>
      </c>
      <c r="C268" s="141">
        <f>IFERROR(__xludf.DUMMYFUNCTION("""COMPUTED_VALUE"""),372.11)</f>
        <v/>
      </c>
      <c r="D268" s="141">
        <f>IFERROR(__xludf.DUMMYFUNCTION("""COMPUTED_VALUE"""),374.49)</f>
        <v/>
      </c>
      <c r="E268" s="141">
        <f>IFERROR(__xludf.DUMMYFUNCTION("""COMPUTED_VALUE"""),369.5)</f>
        <v/>
      </c>
      <c r="F268" s="141">
        <f>IFERROR(__xludf.DUMMYFUNCTION("""COMPUTED_VALUE"""),372.35)</f>
        <v/>
      </c>
      <c r="G268" s="143">
        <f>IFERROR(__xludf.DUMMYFUNCTION("""COMPUTED_VALUE"""),7683668)</f>
        <v/>
      </c>
      <c r="H268" s="27" t="n"/>
    </row>
    <row r="269" ht="17.25" customHeight="1" s="322">
      <c r="A269" s="27" t="n"/>
      <c r="B269" s="506">
        <f>IFERROR(__xludf.DUMMYFUNCTION("""COMPUTED_VALUE"""),46219.6666666666)</f>
        <v/>
      </c>
      <c r="C269" s="141">
        <f>IFERROR(__xludf.DUMMYFUNCTION("""COMPUTED_VALUE"""),367.45)</f>
        <v/>
      </c>
      <c r="D269" s="141">
        <f>IFERROR(__xludf.DUMMYFUNCTION("""COMPUTED_VALUE"""),368.43)</f>
        <v/>
      </c>
      <c r="E269" s="141">
        <f>IFERROR(__xludf.DUMMYFUNCTION("""COMPUTED_VALUE"""),364.05)</f>
        <v/>
      </c>
      <c r="F269" s="141">
        <f>IFERROR(__xludf.DUMMYFUNCTION("""COMPUTED_VALUE"""),364.96)</f>
        <v/>
      </c>
      <c r="G269" s="143">
        <f>IFERROR(__xludf.DUMMYFUNCTION("""COMPUTED_VALUE"""),9048048)</f>
        <v/>
      </c>
      <c r="H269" s="27" t="n"/>
    </row>
    <row r="270" ht="17.25" customHeight="1" s="322">
      <c r="A270" s="27" t="n"/>
      <c r="B270" s="506">
        <f>IFERROR(__xludf.DUMMYFUNCTION("""COMPUTED_VALUE"""),46220.6666666666)</f>
        <v/>
      </c>
      <c r="C270" s="141">
        <f>IFERROR(__xludf.DUMMYFUNCTION("""COMPUTED_VALUE"""),364.11)</f>
        <v/>
      </c>
      <c r="D270" s="141">
        <f>IFERROR(__xludf.DUMMYFUNCTION("""COMPUTED_VALUE"""),369.21)</f>
        <v/>
      </c>
      <c r="E270" s="141">
        <f>IFERROR(__xludf.DUMMYFUNCTION("""COMPUTED_VALUE"""),363.6)</f>
        <v/>
      </c>
      <c r="F270" s="141">
        <f>IFERROR(__xludf.DUMMYFUNCTION("""COMPUTED_VALUE"""),368.41)</f>
        <v/>
      </c>
      <c r="G270" s="143">
        <f>IFERROR(__xludf.DUMMYFUNCTION("""COMPUTED_VALUE"""),6456632)</f>
        <v/>
      </c>
      <c r="H270" s="27" t="n"/>
    </row>
    <row r="271" ht="17.25" customHeight="1" s="322">
      <c r="A271" s="27" t="n"/>
      <c r="B271" s="506">
        <f>IFERROR(__xludf.DUMMYFUNCTION("""COMPUTED_VALUE"""),46223.6666666666)</f>
        <v/>
      </c>
      <c r="C271" s="141">
        <f>IFERROR(__xludf.DUMMYFUNCTION("""COMPUTED_VALUE"""),367.79)</f>
        <v/>
      </c>
      <c r="D271" s="141">
        <f>IFERROR(__xludf.DUMMYFUNCTION("""COMPUTED_VALUE"""),368.79)</f>
        <v/>
      </c>
      <c r="E271" s="141">
        <f>IFERROR(__xludf.DUMMYFUNCTION("""COMPUTED_VALUE"""),366.8)</f>
        <v/>
      </c>
      <c r="F271" s="141">
        <f>IFERROR(__xludf.DUMMYFUNCTION("""COMPUTED_VALUE"""),367.6)</f>
        <v/>
      </c>
      <c r="G271" s="143">
        <f>IFERROR(__xludf.DUMMYFUNCTION("""COMPUTED_VALUE"""),3922525)</f>
        <v/>
      </c>
      <c r="H271" s="27" t="n"/>
    </row>
    <row r="272" ht="17.25" customHeight="1" s="322">
      <c r="A272" s="27" t="n"/>
      <c r="B272" s="506">
        <f>IFERROR(__xludf.DUMMYFUNCTION("""COMPUTED_VALUE"""),46224.6666666666)</f>
        <v/>
      </c>
      <c r="C272" s="141">
        <f>IFERROR(__xludf.DUMMYFUNCTION("""COMPUTED_VALUE"""),371.7)</f>
        <v/>
      </c>
      <c r="D272" s="141">
        <f>IFERROR(__xludf.DUMMYFUNCTION("""COMPUTED_VALUE"""),375.01)</f>
        <v/>
      </c>
      <c r="E272" s="141">
        <f>IFERROR(__xludf.DUMMYFUNCTION("""COMPUTED_VALUE"""),371.07)</f>
        <v/>
      </c>
      <c r="F272" s="141">
        <f>IFERROR(__xludf.DUMMYFUNCTION("""COMPUTED_VALUE"""),374.81)</f>
        <v/>
      </c>
      <c r="G272" s="143">
        <f>IFERROR(__xludf.DUMMYFUNCTION("""COMPUTED_VALUE"""),6070621)</f>
        <v/>
      </c>
      <c r="H272" s="27" t="n"/>
    </row>
    <row r="273" ht="17.25" customHeight="1" s="322">
      <c r="A273" s="27" t="n"/>
      <c r="B273" s="506">
        <f>IFERROR(__xludf.DUMMYFUNCTION("""COMPUTED_VALUE"""),46225.6666666666)</f>
        <v/>
      </c>
      <c r="C273" s="141">
        <f>IFERROR(__xludf.DUMMYFUNCTION("""COMPUTED_VALUE"""),379.07)</f>
        <v/>
      </c>
      <c r="D273" s="141">
        <f>IFERROR(__xludf.DUMMYFUNCTION("""COMPUTED_VALUE"""),382.22)</f>
        <v/>
      </c>
      <c r="E273" s="141">
        <f>IFERROR(__xludf.DUMMYFUNCTION("""COMPUTED_VALUE"""),378.83)</f>
        <v/>
      </c>
      <c r="F273" s="141">
        <f>IFERROR(__xludf.DUMMYFUNCTION("""COMPUTED_VALUE"""),379.12)</f>
        <v/>
      </c>
      <c r="G273" s="143">
        <f>IFERROR(__xludf.DUMMYFUNCTION("""COMPUTED_VALUE"""),7115062)</f>
        <v/>
      </c>
      <c r="H273" s="27" t="n"/>
    </row>
    <row r="274" ht="17.25" customHeight="1" s="322">
      <c r="A274" s="27" t="n"/>
      <c r="B274" s="506">
        <f>IFERROR(__xludf.DUMMYFUNCTION("""COMPUTED_VALUE"""),46226.6666666666)</f>
        <v/>
      </c>
      <c r="C274" s="141">
        <f>IFERROR(__xludf.DUMMYFUNCTION("""COMPUTED_VALUE"""),372.36)</f>
        <v/>
      </c>
      <c r="D274" s="141">
        <f>IFERROR(__xludf.DUMMYFUNCTION("""COMPUTED_VALUE"""),373.09)</f>
        <v/>
      </c>
      <c r="E274" s="141">
        <f>IFERROR(__xludf.DUMMYFUNCTION("""COMPUTED_VALUE"""),370.53)</f>
        <v/>
      </c>
      <c r="F274" s="141">
        <f>IFERROR(__xludf.DUMMYFUNCTION("""COMPUTED_VALUE"""),371.52)</f>
        <v/>
      </c>
      <c r="G274" s="143">
        <f>IFERROR(__xludf.DUMMYFUNCTION("""COMPUTED_VALUE"""),9820641)</f>
        <v/>
      </c>
      <c r="H274" s="27" t="n"/>
    </row>
    <row r="275" ht="17.25" customHeight="1" s="322">
      <c r="A275" s="27" t="n"/>
      <c r="B275" s="506">
        <f>IFERROR(__xludf.DUMMYFUNCTION("""COMPUTED_VALUE"""),46227.6666666666)</f>
        <v/>
      </c>
      <c r="C275" s="141">
        <f>IFERROR(__xludf.DUMMYFUNCTION("""COMPUTED_VALUE"""),371.26)</f>
        <v/>
      </c>
      <c r="D275" s="141">
        <f>IFERROR(__xludf.DUMMYFUNCTION("""COMPUTED_VALUE"""),374.49)</f>
        <v/>
      </c>
      <c r="E275" s="141">
        <f>IFERROR(__xludf.DUMMYFUNCTION("""COMPUTED_VALUE"""),371.03)</f>
        <v/>
      </c>
      <c r="F275" s="141">
        <f>IFERROR(__xludf.DUMMYFUNCTION("""COMPUTED_VALUE"""),371.9)</f>
        <v/>
      </c>
      <c r="G275" s="143">
        <f>IFERROR(__xludf.DUMMYFUNCTION("""COMPUTED_VALUE"""),3852356)</f>
        <v/>
      </c>
      <c r="H275" s="27" t="n"/>
    </row>
    <row r="276" ht="17.25" customHeight="1" s="322">
      <c r="A276" s="27" t="n"/>
      <c r="B276" s="506">
        <f>IFERROR(__xludf.DUMMYFUNCTION("""COMPUTED_VALUE"""),46230.6666666666)</f>
        <v/>
      </c>
      <c r="C276" s="141">
        <f>IFERROR(__xludf.DUMMYFUNCTION("""COMPUTED_VALUE"""),373.89)</f>
        <v/>
      </c>
      <c r="D276" s="141">
        <f>IFERROR(__xludf.DUMMYFUNCTION("""COMPUTED_VALUE"""),375.53)</f>
        <v/>
      </c>
      <c r="E276" s="141">
        <f>IFERROR(__xludf.DUMMYFUNCTION("""COMPUTED_VALUE"""),372.91)</f>
        <v/>
      </c>
      <c r="F276" s="141">
        <f>IFERROR(__xludf.DUMMYFUNCTION("""COMPUTED_VALUE"""),374.63)</f>
        <v/>
      </c>
      <c r="G276" s="143">
        <f>IFERROR(__xludf.DUMMYFUNCTION("""COMPUTED_VALUE"""),3699962)</f>
        <v/>
      </c>
      <c r="H276" s="27" t="n"/>
    </row>
    <row r="277" ht="17.25" customHeight="1" s="322">
      <c r="A277" s="27" t="n"/>
      <c r="B277" s="506">
        <f>IFERROR(__xludf.DUMMYFUNCTION("""COMPUTED_VALUE"""),46231.6666666666)</f>
        <v/>
      </c>
      <c r="C277" s="141">
        <f>IFERROR(__xludf.DUMMYFUNCTION("""COMPUTED_VALUE"""),369.61)</f>
        <v/>
      </c>
      <c r="D277" s="141">
        <f>IFERROR(__xludf.DUMMYFUNCTION("""COMPUTED_VALUE"""),371.23)</f>
        <v/>
      </c>
      <c r="E277" s="141">
        <f>IFERROR(__xludf.DUMMYFUNCTION("""COMPUTED_VALUE"""),367.98)</f>
        <v/>
      </c>
      <c r="F277" s="141">
        <f>IFERROR(__xludf.DUMMYFUNCTION("""COMPUTED_VALUE"""),369.37)</f>
        <v/>
      </c>
      <c r="G277" s="143">
        <f>IFERROR(__xludf.DUMMYFUNCTION("""COMPUTED_VALUE"""),4819262)</f>
        <v/>
      </c>
      <c r="H277" s="27" t="n"/>
    </row>
    <row r="278" ht="17.25" customHeight="1" s="322">
      <c r="A278" s="27" t="n"/>
      <c r="B278" s="506">
        <f>IFERROR(__xludf.DUMMYFUNCTION("""COMPUTED_VALUE"""),46232.6666666666)</f>
        <v/>
      </c>
      <c r="C278" s="141">
        <f>IFERROR(__xludf.DUMMYFUNCTION("""COMPUTED_VALUE"""),368.29)</f>
        <v/>
      </c>
      <c r="D278" s="141">
        <f>IFERROR(__xludf.DUMMYFUNCTION("""COMPUTED_VALUE"""),377.62)</f>
        <v/>
      </c>
      <c r="E278" s="141">
        <f>IFERROR(__xludf.DUMMYFUNCTION("""COMPUTED_VALUE"""),366.53)</f>
        <v/>
      </c>
      <c r="F278" s="141">
        <f>IFERROR(__xludf.DUMMYFUNCTION("""COMPUTED_VALUE"""),371.08)</f>
        <v/>
      </c>
      <c r="G278" s="143">
        <f>IFERROR(__xludf.DUMMYFUNCTION("""COMPUTED_VALUE"""),11511699)</f>
        <v/>
      </c>
      <c r="H278" s="27" t="n"/>
    </row>
    <row r="279" ht="17.25" customHeight="1" s="322">
      <c r="A279" s="27" t="n"/>
      <c r="B279" s="506" t="n"/>
      <c r="C279" s="141" t="n"/>
      <c r="D279" s="141" t="n"/>
      <c r="E279" s="141" t="n"/>
      <c r="F279" s="141" t="n"/>
      <c r="G279" s="143" t="n"/>
      <c r="H279" s="27" t="n"/>
    </row>
    <row r="280" ht="17.25" customHeight="1" s="322">
      <c r="A280" s="27" t="n"/>
      <c r="B280" s="506" t="n"/>
      <c r="C280" s="141" t="n"/>
      <c r="D280" s="141" t="n"/>
      <c r="E280" s="141" t="n"/>
      <c r="F280" s="141" t="n"/>
      <c r="G280" s="143" t="n"/>
      <c r="H280" s="27" t="n"/>
    </row>
    <row r="281" ht="17.25" customHeight="1" s="322">
      <c r="A281" s="27" t="n"/>
      <c r="B281" s="506" t="n"/>
      <c r="C281" s="141" t="n"/>
      <c r="D281" s="141" t="n"/>
      <c r="E281" s="141" t="n"/>
      <c r="F281" s="141" t="n"/>
      <c r="G281" s="143" t="n"/>
      <c r="H281" s="27" t="n"/>
    </row>
    <row r="282" ht="17.25" customHeight="1" s="322">
      <c r="A282" s="27" t="n"/>
      <c r="B282" s="506" t="n"/>
      <c r="C282" s="141" t="n"/>
      <c r="D282" s="141" t="n"/>
      <c r="E282" s="141" t="n"/>
      <c r="F282" s="141" t="n"/>
      <c r="G282" s="143" t="n"/>
      <c r="H282" s="27" t="n"/>
    </row>
    <row r="283" ht="17.25" customHeight="1" s="322">
      <c r="A283" s="27" t="n"/>
      <c r="B283" s="506" t="n"/>
      <c r="C283" s="141" t="n"/>
      <c r="D283" s="141" t="n"/>
      <c r="E283" s="141" t="n"/>
      <c r="F283" s="141" t="n"/>
      <c r="G283" s="143" t="n"/>
      <c r="H283" s="27" t="n"/>
    </row>
    <row r="284" ht="17.25" customHeight="1" s="322">
      <c r="A284" s="27" t="n"/>
      <c r="B284" s="506" t="n"/>
      <c r="C284" s="141" t="n"/>
      <c r="D284" s="141" t="n"/>
      <c r="E284" s="141" t="n"/>
      <c r="F284" s="141" t="n"/>
      <c r="G284" s="143" t="n"/>
      <c r="H284" s="27" t="n"/>
    </row>
    <row r="285" ht="17.25" customHeight="1" s="322">
      <c r="A285" s="27" t="n"/>
      <c r="B285" s="506" t="n"/>
      <c r="C285" s="141" t="n"/>
      <c r="D285" s="141" t="n"/>
      <c r="E285" s="141" t="n"/>
      <c r="F285" s="141" t="n"/>
      <c r="G285" s="143" t="n"/>
      <c r="H285" s="27" t="n"/>
    </row>
    <row r="286" ht="17.25" customHeight="1" s="322">
      <c r="A286" s="27" t="n"/>
      <c r="B286" s="506" t="n"/>
      <c r="C286" s="141" t="n"/>
      <c r="D286" s="141" t="n"/>
      <c r="E286" s="141" t="n"/>
      <c r="F286" s="141" t="n"/>
      <c r="G286" s="143" t="n"/>
      <c r="H286" s="27" t="n"/>
    </row>
    <row r="287" ht="17.25" customHeight="1" s="322">
      <c r="A287" s="27" t="n"/>
      <c r="B287" s="506" t="n"/>
      <c r="C287" s="141" t="n"/>
      <c r="D287" s="141" t="n"/>
      <c r="E287" s="141" t="n"/>
      <c r="F287" s="141" t="n"/>
      <c r="G287" s="143" t="n"/>
      <c r="H287" s="27" t="n"/>
    </row>
    <row r="288" ht="17.25" customHeight="1" s="322">
      <c r="A288" s="27" t="n"/>
      <c r="B288" s="506" t="n"/>
      <c r="C288" s="141" t="n"/>
      <c r="D288" s="141" t="n"/>
      <c r="E288" s="141" t="n"/>
      <c r="F288" s="141" t="n"/>
      <c r="G288" s="143" t="n"/>
      <c r="H288" s="27" t="n"/>
    </row>
    <row r="289" ht="17.25" customHeight="1" s="322">
      <c r="A289" s="27" t="n"/>
      <c r="B289" s="506" t="n"/>
      <c r="C289" s="141" t="n"/>
      <c r="D289" s="141" t="n"/>
      <c r="E289" s="141" t="n"/>
      <c r="F289" s="141" t="n"/>
      <c r="G289" s="143" t="n"/>
      <c r="H289" s="27" t="n"/>
    </row>
    <row r="290" ht="17.25" customHeight="1" s="322">
      <c r="A290" s="27" t="n"/>
      <c r="B290" s="506" t="n"/>
      <c r="C290" s="141" t="n"/>
      <c r="D290" s="141" t="n"/>
      <c r="E290" s="141" t="n"/>
      <c r="F290" s="141" t="n"/>
      <c r="G290" s="143" t="n"/>
      <c r="H290" s="27" t="n"/>
    </row>
    <row r="291" ht="17.25" customHeight="1" s="322">
      <c r="A291" s="27" t="n"/>
      <c r="B291" s="506" t="n"/>
      <c r="C291" s="141" t="n"/>
      <c r="D291" s="141" t="n"/>
      <c r="E291" s="141" t="n"/>
      <c r="F291" s="141" t="n"/>
      <c r="G291" s="143" t="n"/>
      <c r="H291" s="27" t="n"/>
    </row>
    <row r="292" ht="17.25" customHeight="1" s="322">
      <c r="A292" s="27" t="n"/>
      <c r="B292" s="506" t="n"/>
      <c r="C292" s="141" t="n"/>
      <c r="D292" s="141" t="n"/>
      <c r="E292" s="141" t="n"/>
      <c r="F292" s="141" t="n"/>
      <c r="G292" s="143" t="n"/>
      <c r="H292" s="27" t="n"/>
    </row>
    <row r="293" ht="17.25" customHeight="1" s="322">
      <c r="A293" s="27" t="n"/>
      <c r="B293" s="506" t="n"/>
      <c r="C293" s="141" t="n"/>
      <c r="D293" s="141" t="n"/>
      <c r="E293" s="141" t="n"/>
      <c r="F293" s="141" t="n"/>
      <c r="G293" s="143" t="n"/>
      <c r="H293" s="27" t="n"/>
    </row>
    <row r="294" ht="17.25" customHeight="1" s="322">
      <c r="A294" s="27" t="n"/>
      <c r="B294" s="506" t="n"/>
      <c r="C294" s="141" t="n"/>
      <c r="D294" s="141" t="n"/>
      <c r="E294" s="141" t="n"/>
      <c r="F294" s="141" t="n"/>
      <c r="G294" s="143" t="n"/>
      <c r="H294" s="27" t="n"/>
    </row>
    <row r="295" ht="17.25" customHeight="1" s="322">
      <c r="A295" s="27" t="n"/>
      <c r="B295" s="506" t="n"/>
      <c r="C295" s="141" t="n"/>
      <c r="D295" s="141" t="n"/>
      <c r="E295" s="141" t="n"/>
      <c r="F295" s="141" t="n"/>
      <c r="G295" s="143" t="n"/>
      <c r="H295" s="27" t="n"/>
    </row>
    <row r="296" ht="17.25" customHeight="1" s="322">
      <c r="A296" s="27" t="n"/>
      <c r="B296" s="506" t="n"/>
      <c r="C296" s="141" t="n"/>
      <c r="D296" s="141" t="n"/>
      <c r="E296" s="141" t="n"/>
      <c r="F296" s="141" t="n"/>
      <c r="G296" s="143" t="n"/>
      <c r="H296" s="27" t="n"/>
    </row>
    <row r="297" ht="17.25" customHeight="1" s="322">
      <c r="A297" s="27" t="n"/>
      <c r="B297" s="506" t="n"/>
      <c r="C297" s="141" t="n"/>
      <c r="D297" s="141" t="n"/>
      <c r="E297" s="141" t="n"/>
      <c r="F297" s="141" t="n"/>
      <c r="G297" s="143" t="n"/>
      <c r="H297" s="27" t="n"/>
    </row>
    <row r="298" ht="17.25" customHeight="1" s="322">
      <c r="A298" s="27" t="n"/>
      <c r="B298" s="506" t="n"/>
      <c r="C298" s="141" t="n"/>
      <c r="D298" s="141" t="n"/>
      <c r="E298" s="141" t="n"/>
      <c r="F298" s="141" t="n"/>
      <c r="G298" s="143" t="n"/>
      <c r="H298" s="27" t="n"/>
    </row>
    <row r="299" ht="17.25" customHeight="1" s="322">
      <c r="A299" s="27" t="n"/>
      <c r="B299" s="506" t="n"/>
      <c r="C299" s="141" t="n"/>
      <c r="D299" s="141" t="n"/>
      <c r="E299" s="141" t="n"/>
      <c r="F299" s="141" t="n"/>
      <c r="G299" s="143" t="n"/>
      <c r="H299" s="27" t="n"/>
    </row>
    <row r="300" ht="17.25" customHeight="1" s="322">
      <c r="A300" s="27" t="n"/>
      <c r="B300" s="506" t="n"/>
      <c r="C300" s="141" t="n"/>
      <c r="D300" s="141" t="n"/>
      <c r="E300" s="141" t="n"/>
      <c r="F300" s="141" t="n"/>
      <c r="G300" s="143" t="n"/>
      <c r="H300" s="27" t="n"/>
    </row>
    <row r="301" ht="17.25" customHeight="1" s="322">
      <c r="A301" s="27" t="n"/>
      <c r="B301" s="506" t="n"/>
      <c r="C301" s="141" t="n"/>
      <c r="D301" s="141" t="n"/>
      <c r="E301" s="141" t="n"/>
      <c r="F301" s="141" t="n"/>
      <c r="G301" s="143" t="n"/>
      <c r="H301" s="27" t="n"/>
    </row>
    <row r="302" ht="17.25" customHeight="1" s="322">
      <c r="A302" s="27" t="n"/>
      <c r="B302" s="506" t="n"/>
      <c r="C302" s="141" t="n"/>
      <c r="D302" s="141" t="n"/>
      <c r="E302" s="141" t="n"/>
      <c r="F302" s="141" t="n"/>
      <c r="G302" s="143" t="n"/>
      <c r="H302" s="27" t="n"/>
    </row>
    <row r="303" ht="17.25" customHeight="1" s="322">
      <c r="A303" s="27" t="n"/>
      <c r="B303" s="506" t="n"/>
      <c r="C303" s="141" t="n"/>
      <c r="D303" s="141" t="n"/>
      <c r="E303" s="141" t="n"/>
      <c r="F303" s="141" t="n"/>
      <c r="G303" s="143" t="n"/>
      <c r="H303" s="27" t="n"/>
    </row>
    <row r="304" ht="17.25" customHeight="1" s="322">
      <c r="A304" s="27" t="n"/>
      <c r="B304" s="506" t="n"/>
      <c r="C304" s="141" t="n"/>
      <c r="D304" s="141" t="n"/>
      <c r="E304" s="141" t="n"/>
      <c r="F304" s="141" t="n"/>
      <c r="G304" s="143" t="n"/>
      <c r="H304" s="27" t="n"/>
    </row>
    <row r="305" ht="17.25" customHeight="1" s="322">
      <c r="A305" s="27" t="n"/>
      <c r="B305" s="506" t="n"/>
      <c r="C305" s="141" t="n"/>
      <c r="D305" s="141" t="n"/>
      <c r="E305" s="141" t="n"/>
      <c r="F305" s="141" t="n"/>
      <c r="G305" s="143" t="n"/>
      <c r="H305" s="27" t="n"/>
    </row>
    <row r="306" ht="17.25" customHeight="1" s="322">
      <c r="A306" s="27" t="n"/>
      <c r="B306" s="506" t="n"/>
      <c r="C306" s="141" t="n"/>
      <c r="D306" s="141" t="n"/>
      <c r="E306" s="141" t="n"/>
      <c r="F306" s="141" t="n"/>
      <c r="G306" s="143" t="n"/>
      <c r="H306" s="27" t="n"/>
    </row>
    <row r="307" ht="17.25" customHeight="1" s="322">
      <c r="A307" s="27" t="n"/>
      <c r="B307" s="506" t="n"/>
      <c r="C307" s="141" t="n"/>
      <c r="D307" s="141" t="n"/>
      <c r="E307" s="141" t="n"/>
      <c r="F307" s="141" t="n"/>
      <c r="G307" s="143" t="n"/>
      <c r="H307" s="27" t="n"/>
    </row>
    <row r="308" ht="17.25" customHeight="1" s="322">
      <c r="A308" s="27" t="n"/>
      <c r="B308" s="506" t="n"/>
      <c r="C308" s="141" t="n"/>
      <c r="D308" s="141" t="n"/>
      <c r="E308" s="141" t="n"/>
      <c r="F308" s="141" t="n"/>
      <c r="G308" s="143" t="n"/>
      <c r="H308" s="27" t="n"/>
    </row>
    <row r="309" ht="17.25" customHeight="1" s="322">
      <c r="A309" s="27" t="n"/>
      <c r="B309" s="506" t="n"/>
      <c r="C309" s="141" t="n"/>
      <c r="D309" s="141" t="n"/>
      <c r="E309" s="141" t="n"/>
      <c r="F309" s="141" t="n"/>
      <c r="G309" s="143" t="n"/>
      <c r="H309" s="27" t="n"/>
    </row>
    <row r="310" ht="17.25" customHeight="1" s="322">
      <c r="A310" s="27" t="n"/>
      <c r="B310" s="506" t="n"/>
      <c r="C310" s="141" t="n"/>
      <c r="D310" s="141" t="n"/>
      <c r="E310" s="141" t="n"/>
      <c r="F310" s="141" t="n"/>
      <c r="G310" s="143" t="n"/>
      <c r="H310" s="27" t="n"/>
    </row>
    <row r="311" ht="17.25" customHeight="1" s="322">
      <c r="A311" s="27" t="n"/>
      <c r="B311" s="506" t="n"/>
      <c r="C311" s="141" t="n"/>
      <c r="D311" s="141" t="n"/>
      <c r="E311" s="141" t="n"/>
      <c r="F311" s="141" t="n"/>
      <c r="G311" s="143" t="n"/>
      <c r="H311" s="27" t="n"/>
    </row>
    <row r="312" ht="17.25" customHeight="1" s="322">
      <c r="A312" s="27" t="n"/>
      <c r="B312" s="506" t="n"/>
      <c r="C312" s="141" t="n"/>
      <c r="D312" s="141" t="n"/>
      <c r="E312" s="141" t="n"/>
      <c r="F312" s="141" t="n"/>
      <c r="G312" s="143" t="n"/>
      <c r="H312" s="27" t="n"/>
    </row>
    <row r="313" ht="17.25" customHeight="1" s="322">
      <c r="A313" s="27" t="n"/>
      <c r="B313" s="506" t="n"/>
      <c r="C313" s="141" t="n"/>
      <c r="D313" s="141" t="n"/>
      <c r="E313" s="141" t="n"/>
      <c r="F313" s="141" t="n"/>
      <c r="G313" s="143" t="n"/>
      <c r="H313" s="27" t="n"/>
    </row>
    <row r="314" ht="17.25" customHeight="1" s="322">
      <c r="A314" s="27" t="n"/>
      <c r="B314" s="506" t="n"/>
      <c r="C314" s="141" t="n"/>
      <c r="D314" s="141" t="n"/>
      <c r="E314" s="141" t="n"/>
      <c r="F314" s="141" t="n"/>
      <c r="G314" s="143" t="n"/>
      <c r="H314" s="27" t="n"/>
    </row>
    <row r="315" ht="17.25" customHeight="1" s="322">
      <c r="A315" s="27" t="n"/>
      <c r="B315" s="506" t="n"/>
      <c r="C315" s="141" t="n"/>
      <c r="D315" s="141" t="n"/>
      <c r="E315" s="141" t="n"/>
      <c r="F315" s="141" t="n"/>
      <c r="G315" s="143" t="n"/>
      <c r="H315" s="27" t="n"/>
    </row>
    <row r="316" ht="17.25" customHeight="1" s="322">
      <c r="A316" s="27" t="n"/>
      <c r="B316" s="506" t="n"/>
      <c r="C316" s="141" t="n"/>
      <c r="D316" s="141" t="n"/>
      <c r="E316" s="141" t="n"/>
      <c r="F316" s="141" t="n"/>
      <c r="G316" s="143" t="n"/>
      <c r="H316" s="27" t="n"/>
    </row>
    <row r="317" ht="17.25" customHeight="1" s="322">
      <c r="A317" s="27" t="n"/>
      <c r="B317" s="506" t="n"/>
      <c r="C317" s="141" t="n"/>
      <c r="D317" s="141" t="n"/>
      <c r="E317" s="141" t="n"/>
      <c r="F317" s="141" t="n"/>
      <c r="G317" s="143" t="n"/>
      <c r="H317" s="27" t="n"/>
    </row>
    <row r="318" ht="17.25" customHeight="1" s="322">
      <c r="A318" s="27" t="n"/>
      <c r="B318" s="506" t="n"/>
      <c r="C318" s="141" t="n"/>
      <c r="D318" s="141" t="n"/>
      <c r="E318" s="141" t="n"/>
      <c r="F318" s="141" t="n"/>
      <c r="G318" s="143" t="n"/>
      <c r="H318" s="27" t="n"/>
    </row>
    <row r="319" ht="17.25" customHeight="1" s="322">
      <c r="A319" s="27" t="n"/>
      <c r="B319" s="506" t="n"/>
      <c r="C319" s="141" t="n"/>
      <c r="D319" s="141" t="n"/>
      <c r="E319" s="141" t="n"/>
      <c r="F319" s="141" t="n"/>
      <c r="G319" s="143" t="n"/>
      <c r="H319" s="27" t="n"/>
    </row>
    <row r="320" ht="17.25" customHeight="1" s="322">
      <c r="A320" s="27" t="n"/>
      <c r="B320" s="506" t="n"/>
      <c r="C320" s="141" t="n"/>
      <c r="D320" s="141" t="n"/>
      <c r="E320" s="141" t="n"/>
      <c r="F320" s="141" t="n"/>
      <c r="G320" s="143" t="n"/>
      <c r="H320" s="27" t="n"/>
    </row>
    <row r="321" ht="17.25" customHeight="1" s="322">
      <c r="A321" s="27" t="n"/>
      <c r="B321" s="506" t="n"/>
      <c r="C321" s="141" t="n"/>
      <c r="D321" s="141" t="n"/>
      <c r="E321" s="141" t="n"/>
      <c r="F321" s="141" t="n"/>
      <c r="G321" s="143" t="n"/>
      <c r="H321" s="27" t="n"/>
    </row>
    <row r="322" ht="17.25" customHeight="1" s="322">
      <c r="A322" s="27" t="n"/>
      <c r="B322" s="506" t="n"/>
      <c r="C322" s="141" t="n"/>
      <c r="D322" s="141" t="n"/>
      <c r="E322" s="141" t="n"/>
      <c r="F322" s="141" t="n"/>
      <c r="G322" s="143" t="n"/>
      <c r="H322" s="27" t="n"/>
    </row>
    <row r="323" ht="17.25" customHeight="1" s="322">
      <c r="A323" s="27" t="n"/>
      <c r="B323" s="506" t="n"/>
      <c r="C323" s="141" t="n"/>
      <c r="D323" s="141" t="n"/>
      <c r="E323" s="141" t="n"/>
      <c r="F323" s="141" t="n"/>
      <c r="G323" s="143" t="n"/>
      <c r="H323" s="27" t="n"/>
    </row>
    <row r="324" ht="17.25" customHeight="1" s="322">
      <c r="A324" s="27" t="n"/>
      <c r="B324" s="506" t="n"/>
      <c r="C324" s="141" t="n"/>
      <c r="D324" s="141" t="n"/>
      <c r="E324" s="141" t="n"/>
      <c r="F324" s="141" t="n"/>
      <c r="G324" s="143" t="n"/>
      <c r="H324" s="27" t="n"/>
    </row>
    <row r="325" ht="17.25" customHeight="1" s="322">
      <c r="A325" s="27" t="n"/>
      <c r="B325" s="506" t="n"/>
      <c r="C325" s="141" t="n"/>
      <c r="D325" s="141" t="n"/>
      <c r="E325" s="141" t="n"/>
      <c r="F325" s="141" t="n"/>
      <c r="G325" s="143" t="n"/>
      <c r="H325" s="27" t="n"/>
    </row>
    <row r="326" ht="17.25" customHeight="1" s="322">
      <c r="A326" s="27" t="n"/>
      <c r="B326" s="506" t="n"/>
      <c r="C326" s="141" t="n"/>
      <c r="D326" s="141" t="n"/>
      <c r="E326" s="141" t="n"/>
      <c r="F326" s="141" t="n"/>
      <c r="G326" s="143" t="n"/>
      <c r="H326" s="27" t="n"/>
    </row>
    <row r="327" ht="17.25" customHeight="1" s="322">
      <c r="A327" s="27" t="n"/>
      <c r="B327" s="506" t="n"/>
      <c r="C327" s="141" t="n"/>
      <c r="D327" s="141" t="n"/>
      <c r="E327" s="141" t="n"/>
      <c r="F327" s="141" t="n"/>
      <c r="G327" s="143" t="n"/>
      <c r="H327" s="27" t="n"/>
    </row>
    <row r="328" ht="17.25" customHeight="1" s="322">
      <c r="A328" s="27" t="n"/>
      <c r="B328" s="506" t="n"/>
      <c r="C328" s="141" t="n"/>
      <c r="D328" s="141" t="n"/>
      <c r="E328" s="141" t="n"/>
      <c r="F328" s="141" t="n"/>
      <c r="G328" s="143" t="n"/>
      <c r="H328" s="27" t="n"/>
    </row>
    <row r="329" ht="17.25" customHeight="1" s="322">
      <c r="A329" s="27" t="n"/>
      <c r="B329" s="506" t="n"/>
      <c r="C329" s="141" t="n"/>
      <c r="D329" s="141" t="n"/>
      <c r="E329" s="141" t="n"/>
      <c r="F329" s="141" t="n"/>
      <c r="G329" s="143" t="n"/>
      <c r="H329" s="27" t="n"/>
    </row>
    <row r="330" ht="17.25" customHeight="1" s="322">
      <c r="A330" s="27" t="n"/>
      <c r="B330" s="506" t="n"/>
      <c r="C330" s="141" t="n"/>
      <c r="D330" s="141" t="n"/>
      <c r="E330" s="141" t="n"/>
      <c r="F330" s="141" t="n"/>
      <c r="G330" s="143" t="n"/>
      <c r="H330" s="27" t="n"/>
    </row>
    <row r="331" ht="17.25" customHeight="1" s="322">
      <c r="A331" s="27" t="n"/>
      <c r="B331" s="506" t="n"/>
      <c r="C331" s="141" t="n"/>
      <c r="D331" s="141" t="n"/>
      <c r="E331" s="141" t="n"/>
      <c r="F331" s="141" t="n"/>
      <c r="G331" s="143" t="n"/>
      <c r="H331" s="27" t="n"/>
    </row>
    <row r="332" ht="17.25" customHeight="1" s="322">
      <c r="A332" s="27" t="n"/>
      <c r="B332" s="506" t="n"/>
      <c r="C332" s="141" t="n"/>
      <c r="D332" s="141" t="n"/>
      <c r="E332" s="141" t="n"/>
      <c r="F332" s="141" t="n"/>
      <c r="G332" s="143" t="n"/>
      <c r="H332" s="27" t="n"/>
    </row>
    <row r="333" ht="17.25" customHeight="1" s="322">
      <c r="A333" s="27" t="n"/>
      <c r="B333" s="506" t="n"/>
      <c r="C333" s="141" t="n"/>
      <c r="D333" s="141" t="n"/>
      <c r="E333" s="141" t="n"/>
      <c r="F333" s="141" t="n"/>
      <c r="G333" s="143" t="n"/>
      <c r="H333" s="27" t="n"/>
    </row>
    <row r="334" ht="17.25" customHeight="1" s="322">
      <c r="A334" s="27" t="n"/>
      <c r="B334" s="506" t="n"/>
      <c r="C334" s="141" t="n"/>
      <c r="D334" s="141" t="n"/>
      <c r="E334" s="141" t="n"/>
      <c r="F334" s="141" t="n"/>
      <c r="G334" s="143" t="n"/>
      <c r="H334" s="27" t="n"/>
    </row>
    <row r="335" ht="17.25" customHeight="1" s="322">
      <c r="A335" s="27" t="n"/>
      <c r="B335" s="506" t="n"/>
      <c r="C335" s="141" t="n"/>
      <c r="D335" s="141" t="n"/>
      <c r="E335" s="141" t="n"/>
      <c r="F335" s="141" t="n"/>
      <c r="G335" s="143" t="n"/>
      <c r="H335" s="27" t="n"/>
    </row>
    <row r="336" ht="17.25" customHeight="1" s="322">
      <c r="A336" s="27" t="n"/>
      <c r="B336" s="506" t="n"/>
      <c r="C336" s="141" t="n"/>
      <c r="D336" s="141" t="n"/>
      <c r="E336" s="141" t="n"/>
      <c r="F336" s="141" t="n"/>
      <c r="G336" s="143" t="n"/>
      <c r="H336" s="27" t="n"/>
    </row>
    <row r="337" ht="17.25" customHeight="1" s="322">
      <c r="A337" s="27" t="n"/>
      <c r="B337" s="506" t="n"/>
      <c r="C337" s="141" t="n"/>
      <c r="D337" s="141" t="n"/>
      <c r="E337" s="141" t="n"/>
      <c r="F337" s="141" t="n"/>
      <c r="G337" s="143" t="n"/>
      <c r="H337" s="27" t="n"/>
    </row>
    <row r="338" ht="17.25" customHeight="1" s="322">
      <c r="A338" s="27" t="n"/>
      <c r="B338" s="506" t="n"/>
      <c r="C338" s="141" t="n"/>
      <c r="D338" s="141" t="n"/>
      <c r="E338" s="141" t="n"/>
      <c r="F338" s="141" t="n"/>
      <c r="G338" s="143" t="n"/>
      <c r="H338" s="27" t="n"/>
    </row>
    <row r="339" ht="17.25" customHeight="1" s="322">
      <c r="A339" s="27" t="n"/>
      <c r="B339" s="506" t="n"/>
      <c r="C339" s="141" t="n"/>
      <c r="D339" s="141" t="n"/>
      <c r="E339" s="141" t="n"/>
      <c r="F339" s="141" t="n"/>
      <c r="G339" s="143" t="n"/>
      <c r="H339" s="27" t="n"/>
    </row>
    <row r="340" ht="17.25" customHeight="1" s="322">
      <c r="A340" s="27" t="n"/>
      <c r="B340" s="506" t="n"/>
      <c r="C340" s="141" t="n"/>
      <c r="D340" s="141" t="n"/>
      <c r="E340" s="141" t="n"/>
      <c r="F340" s="141" t="n"/>
      <c r="G340" s="143" t="n"/>
      <c r="H340" s="27" t="n"/>
    </row>
    <row r="341" ht="17.25" customHeight="1" s="322">
      <c r="A341" s="27" t="n"/>
      <c r="B341" s="506" t="n"/>
      <c r="C341" s="141" t="n"/>
      <c r="D341" s="141" t="n"/>
      <c r="E341" s="141" t="n"/>
      <c r="F341" s="141" t="n"/>
      <c r="G341" s="143" t="n"/>
      <c r="H341" s="27" t="n"/>
    </row>
    <row r="342" ht="17.25" customHeight="1" s="322">
      <c r="A342" s="27" t="n"/>
      <c r="B342" s="506" t="n"/>
      <c r="C342" s="141" t="n"/>
      <c r="D342" s="141" t="n"/>
      <c r="E342" s="141" t="n"/>
      <c r="F342" s="141" t="n"/>
      <c r="G342" s="143" t="n"/>
      <c r="H342" s="27" t="n"/>
    </row>
    <row r="343" ht="17.25" customHeight="1" s="322">
      <c r="A343" s="27" t="n"/>
      <c r="B343" s="506" t="n"/>
      <c r="C343" s="141" t="n"/>
      <c r="D343" s="141" t="n"/>
      <c r="E343" s="141" t="n"/>
      <c r="F343" s="141" t="n"/>
      <c r="G343" s="143" t="n"/>
      <c r="H343" s="27" t="n"/>
    </row>
    <row r="344" ht="17.25" customHeight="1" s="322">
      <c r="A344" s="27" t="n"/>
      <c r="B344" s="506" t="n"/>
      <c r="C344" s="141" t="n"/>
      <c r="D344" s="141" t="n"/>
      <c r="E344" s="141" t="n"/>
      <c r="F344" s="141" t="n"/>
      <c r="G344" s="143" t="n"/>
      <c r="H344" s="27" t="n"/>
    </row>
    <row r="345" ht="17.25" customHeight="1" s="322">
      <c r="A345" s="27" t="n"/>
      <c r="B345" s="506" t="n"/>
      <c r="C345" s="141" t="n"/>
      <c r="D345" s="141" t="n"/>
      <c r="E345" s="141" t="n"/>
      <c r="F345" s="141" t="n"/>
      <c r="G345" s="143" t="n"/>
      <c r="H345" s="27" t="n"/>
    </row>
    <row r="346" ht="17.25" customHeight="1" s="322">
      <c r="A346" s="27" t="n"/>
      <c r="B346" s="506" t="n"/>
      <c r="C346" s="141" t="n"/>
      <c r="D346" s="141" t="n"/>
      <c r="E346" s="141" t="n"/>
      <c r="F346" s="141" t="n"/>
      <c r="G346" s="143" t="n"/>
      <c r="H346" s="27" t="n"/>
    </row>
    <row r="347" ht="17.25" customHeight="1" s="322">
      <c r="A347" s="27" t="n"/>
      <c r="B347" s="506" t="n"/>
      <c r="C347" s="141" t="n"/>
      <c r="D347" s="141" t="n"/>
      <c r="E347" s="141" t="n"/>
      <c r="F347" s="141" t="n"/>
      <c r="G347" s="143" t="n"/>
      <c r="H347" s="27" t="n"/>
    </row>
    <row r="348" ht="17.25" customHeight="1" s="322">
      <c r="A348" s="27" t="n"/>
      <c r="B348" s="506" t="n"/>
      <c r="C348" s="141" t="n"/>
      <c r="D348" s="141" t="n"/>
      <c r="E348" s="141" t="n"/>
      <c r="F348" s="141" t="n"/>
      <c r="G348" s="143" t="n"/>
      <c r="H348" s="27" t="n"/>
    </row>
    <row r="349" ht="17.25" customHeight="1" s="322">
      <c r="A349" s="27" t="n"/>
      <c r="B349" s="506" t="n"/>
      <c r="C349" s="141" t="n"/>
      <c r="D349" s="141" t="n"/>
      <c r="E349" s="141" t="n"/>
      <c r="F349" s="141" t="n"/>
      <c r="G349" s="143" t="n"/>
      <c r="H349" s="27" t="n"/>
    </row>
    <row r="350" ht="17.25" customHeight="1" s="322">
      <c r="A350" s="27" t="n"/>
      <c r="B350" s="506" t="n"/>
      <c r="C350" s="141" t="n"/>
      <c r="D350" s="141" t="n"/>
      <c r="E350" s="141" t="n"/>
      <c r="F350" s="141" t="n"/>
      <c r="G350" s="143" t="n"/>
      <c r="H350" s="27" t="n"/>
    </row>
    <row r="351" ht="17.25" customHeight="1" s="322">
      <c r="A351" s="27" t="n"/>
      <c r="B351" s="506" t="n"/>
      <c r="C351" s="141" t="n"/>
      <c r="D351" s="141" t="n"/>
      <c r="E351" s="141" t="n"/>
      <c r="F351" s="141" t="n"/>
      <c r="G351" s="143" t="n"/>
      <c r="H351" s="27" t="n"/>
    </row>
    <row r="352" ht="17.25" customHeight="1" s="322">
      <c r="A352" s="27" t="n"/>
      <c r="B352" s="506" t="n"/>
      <c r="C352" s="141" t="n"/>
      <c r="D352" s="141" t="n"/>
      <c r="E352" s="141" t="n"/>
      <c r="F352" s="141" t="n"/>
      <c r="G352" s="143" t="n"/>
      <c r="H352" s="27" t="n"/>
    </row>
    <row r="353" ht="17.25" customHeight="1" s="322">
      <c r="A353" s="27" t="n"/>
      <c r="B353" s="506" t="n"/>
      <c r="C353" s="141" t="n"/>
      <c r="D353" s="141" t="n"/>
      <c r="E353" s="141" t="n"/>
      <c r="F353" s="141" t="n"/>
      <c r="G353" s="143" t="n"/>
      <c r="H353" s="27" t="n"/>
    </row>
    <row r="354" ht="17.25" customHeight="1" s="322">
      <c r="A354" s="27" t="n"/>
      <c r="B354" s="506" t="n"/>
      <c r="C354" s="141" t="n"/>
      <c r="D354" s="141" t="n"/>
      <c r="E354" s="141" t="n"/>
      <c r="F354" s="141" t="n"/>
      <c r="G354" s="143" t="n"/>
      <c r="H354" s="27" t="n"/>
    </row>
    <row r="355" ht="17.25" customHeight="1" s="322">
      <c r="A355" s="27" t="n"/>
      <c r="B355" s="506" t="n"/>
      <c r="C355" s="141" t="n"/>
      <c r="D355" s="141" t="n"/>
      <c r="E355" s="141" t="n"/>
      <c r="F355" s="141" t="n"/>
      <c r="G355" s="143" t="n"/>
      <c r="H355" s="27" t="n"/>
    </row>
    <row r="356" ht="17.25" customHeight="1" s="322">
      <c r="A356" s="27" t="n"/>
      <c r="B356" s="506" t="n"/>
      <c r="C356" s="141" t="n"/>
      <c r="D356" s="141" t="n"/>
      <c r="E356" s="141" t="n"/>
      <c r="F356" s="141" t="n"/>
      <c r="G356" s="143" t="n"/>
      <c r="H356" s="27" t="n"/>
    </row>
    <row r="357" ht="17.25" customHeight="1" s="322">
      <c r="A357" s="27" t="n"/>
      <c r="B357" s="506" t="n"/>
      <c r="C357" s="141" t="n"/>
      <c r="D357" s="141" t="n"/>
      <c r="E357" s="141" t="n"/>
      <c r="F357" s="141" t="n"/>
      <c r="G357" s="143" t="n"/>
      <c r="H357" s="27" t="n"/>
    </row>
    <row r="358" ht="17.25" customHeight="1" s="322">
      <c r="A358" s="27" t="n"/>
      <c r="B358" s="506" t="n"/>
      <c r="C358" s="141" t="n"/>
      <c r="D358" s="141" t="n"/>
      <c r="E358" s="141" t="n"/>
      <c r="F358" s="141" t="n"/>
      <c r="G358" s="143" t="n"/>
      <c r="H358" s="27" t="n"/>
    </row>
    <row r="359" ht="17.25" customHeight="1" s="322">
      <c r="A359" s="27" t="n"/>
      <c r="B359" s="506" t="n"/>
      <c r="C359" s="141" t="n"/>
      <c r="D359" s="141" t="n"/>
      <c r="E359" s="141" t="n"/>
      <c r="F359" s="141" t="n"/>
      <c r="G359" s="143" t="n"/>
      <c r="H359" s="27" t="n"/>
    </row>
    <row r="360" ht="17.25" customHeight="1" s="322">
      <c r="A360" s="27" t="n"/>
      <c r="B360" s="506" t="n"/>
      <c r="C360" s="141" t="n"/>
      <c r="D360" s="141" t="n"/>
      <c r="E360" s="141" t="n"/>
      <c r="F360" s="141" t="n"/>
      <c r="G360" s="143" t="n"/>
      <c r="H360" s="27" t="n"/>
    </row>
    <row r="361" ht="17.25" customHeight="1" s="322">
      <c r="A361" s="27" t="n"/>
      <c r="B361" s="506" t="n"/>
      <c r="C361" s="141" t="n"/>
      <c r="D361" s="141" t="n"/>
      <c r="E361" s="141" t="n"/>
      <c r="F361" s="141" t="n"/>
      <c r="G361" s="143" t="n"/>
      <c r="H361" s="27" t="n"/>
    </row>
    <row r="362" ht="17.25" customHeight="1" s="322">
      <c r="A362" s="27" t="n"/>
      <c r="B362" s="506" t="n"/>
      <c r="C362" s="141" t="n"/>
      <c r="D362" s="141" t="n"/>
      <c r="E362" s="141" t="n"/>
      <c r="F362" s="141" t="n"/>
      <c r="G362" s="143" t="n"/>
      <c r="H362" s="27" t="n"/>
    </row>
    <row r="363" ht="17.25" customHeight="1" s="322">
      <c r="A363" s="27" t="n"/>
      <c r="B363" s="506" t="n"/>
      <c r="C363" s="141" t="n"/>
      <c r="D363" s="141" t="n"/>
      <c r="E363" s="141" t="n"/>
      <c r="F363" s="141" t="n"/>
      <c r="G363" s="143" t="n"/>
      <c r="H363" s="27" t="n"/>
    </row>
    <row r="364" ht="17.25" customHeight="1" s="322">
      <c r="A364" s="27" t="n"/>
      <c r="B364" s="506" t="n"/>
      <c r="C364" s="141" t="n"/>
      <c r="D364" s="141" t="n"/>
      <c r="E364" s="141" t="n"/>
      <c r="F364" s="141" t="n"/>
      <c r="G364" s="143" t="n"/>
      <c r="H364" s="27" t="n"/>
    </row>
    <row r="365" ht="17.25" customHeight="1" s="322">
      <c r="A365" s="27" t="n"/>
      <c r="B365" s="506" t="n"/>
      <c r="C365" s="141" t="n"/>
      <c r="D365" s="141" t="n"/>
      <c r="E365" s="141" t="n"/>
      <c r="F365" s="141" t="n"/>
      <c r="G365" s="143" t="n"/>
      <c r="H365" s="27" t="n"/>
    </row>
    <row r="366" ht="17.25" customHeight="1" s="322">
      <c r="A366" s="27" t="n"/>
      <c r="B366" s="506" t="n"/>
      <c r="C366" s="141" t="n"/>
      <c r="D366" s="141" t="n"/>
      <c r="E366" s="141" t="n"/>
      <c r="F366" s="141" t="n"/>
      <c r="G366" s="143" t="n"/>
      <c r="H366" s="27" t="n"/>
    </row>
    <row r="367" ht="17.25" customHeight="1" s="322">
      <c r="A367" s="27" t="n"/>
      <c r="B367" s="506" t="n"/>
      <c r="C367" s="141" t="n"/>
      <c r="D367" s="141" t="n"/>
      <c r="E367" s="141" t="n"/>
      <c r="F367" s="141" t="n"/>
      <c r="G367" s="143" t="n"/>
      <c r="H367" s="27" t="n"/>
    </row>
    <row r="368" ht="17.25" customHeight="1" s="322">
      <c r="A368" s="27" t="n"/>
      <c r="B368" s="506" t="n"/>
      <c r="C368" s="141" t="n"/>
      <c r="D368" s="141" t="n"/>
      <c r="E368" s="141" t="n"/>
      <c r="F368" s="141" t="n"/>
      <c r="G368" s="143" t="n"/>
      <c r="H368" s="27" t="n"/>
    </row>
    <row r="369" ht="17.25" customHeight="1" s="322">
      <c r="A369" s="27" t="n"/>
      <c r="B369" s="506" t="n"/>
      <c r="C369" s="141" t="n"/>
      <c r="D369" s="141" t="n"/>
      <c r="E369" s="141" t="n"/>
      <c r="F369" s="141" t="n"/>
      <c r="G369" s="143" t="n"/>
      <c r="H369" s="27" t="n"/>
    </row>
    <row r="370" ht="17.25" customHeight="1" s="322">
      <c r="A370" s="27" t="n"/>
      <c r="B370" s="506" t="n"/>
      <c r="C370" s="141" t="n"/>
      <c r="D370" s="141" t="n"/>
      <c r="E370" s="141" t="n"/>
      <c r="F370" s="141" t="n"/>
      <c r="G370" s="143" t="n"/>
      <c r="H370" s="27" t="n"/>
    </row>
    <row r="371" ht="17.25" customHeight="1" s="322">
      <c r="A371" s="27" t="n"/>
      <c r="B371" s="506" t="n"/>
      <c r="C371" s="141" t="n"/>
      <c r="D371" s="141" t="n"/>
      <c r="E371" s="141" t="n"/>
      <c r="F371" s="141" t="n"/>
      <c r="G371" s="143" t="n"/>
      <c r="H371" s="27" t="n"/>
    </row>
    <row r="372" ht="17.25" customHeight="1" s="322">
      <c r="A372" s="27" t="n"/>
      <c r="B372" s="506" t="n"/>
      <c r="C372" s="141" t="n"/>
      <c r="D372" s="141" t="n"/>
      <c r="E372" s="141" t="n"/>
      <c r="F372" s="141" t="n"/>
      <c r="G372" s="143" t="n"/>
      <c r="H372" s="27" t="n"/>
    </row>
    <row r="373" ht="17.25" customHeight="1" s="322">
      <c r="A373" s="27" t="n"/>
      <c r="B373" s="506" t="n"/>
      <c r="C373" s="141" t="n"/>
      <c r="D373" s="141" t="n"/>
      <c r="E373" s="141" t="n"/>
      <c r="F373" s="141" t="n"/>
      <c r="G373" s="143" t="n"/>
      <c r="H373" s="27" t="n"/>
    </row>
    <row r="374" ht="17.25" customHeight="1" s="322">
      <c r="A374" s="27" t="n"/>
      <c r="B374" s="506" t="n"/>
      <c r="C374" s="141" t="n"/>
      <c r="D374" s="141" t="n"/>
      <c r="E374" s="141" t="n"/>
      <c r="F374" s="141" t="n"/>
      <c r="G374" s="143" t="n"/>
      <c r="H374" s="27" t="n"/>
    </row>
    <row r="375" ht="17.25" customHeight="1" s="322">
      <c r="A375" s="27" t="n"/>
      <c r="B375" s="506" t="n"/>
      <c r="C375" s="141" t="n"/>
      <c r="D375" s="141" t="n"/>
      <c r="E375" s="141" t="n"/>
      <c r="F375" s="141" t="n"/>
      <c r="G375" s="143" t="n"/>
      <c r="H375" s="27" t="n"/>
    </row>
    <row r="376" ht="17.25" customHeight="1" s="322">
      <c r="A376" s="27" t="n"/>
      <c r="B376" s="506" t="n"/>
      <c r="C376" s="141" t="n"/>
      <c r="D376" s="141" t="n"/>
      <c r="E376" s="141" t="n"/>
      <c r="F376" s="141" t="n"/>
      <c r="G376" s="143" t="n"/>
      <c r="H376" s="27" t="n"/>
    </row>
    <row r="377" ht="17.25" customHeight="1" s="322">
      <c r="A377" s="27" t="n"/>
      <c r="B377" s="506" t="n"/>
      <c r="C377" s="141" t="n"/>
      <c r="D377" s="141" t="n"/>
      <c r="E377" s="141" t="n"/>
      <c r="F377" s="141" t="n"/>
      <c r="G377" s="143" t="n"/>
      <c r="H377" s="27" t="n"/>
    </row>
    <row r="378" ht="17.25" customHeight="1" s="322">
      <c r="A378" s="27" t="n"/>
      <c r="B378" s="506" t="n"/>
      <c r="C378" s="141" t="n"/>
      <c r="D378" s="141" t="n"/>
      <c r="E378" s="141" t="n"/>
      <c r="F378" s="141" t="n"/>
      <c r="G378" s="143" t="n"/>
      <c r="H378" s="27" t="n"/>
    </row>
    <row r="379" ht="17.25" customHeight="1" s="322">
      <c r="A379" s="27" t="n"/>
      <c r="B379" s="506" t="n"/>
      <c r="C379" s="141" t="n"/>
      <c r="D379" s="141" t="n"/>
      <c r="E379" s="141" t="n"/>
      <c r="F379" s="141" t="n"/>
      <c r="G379" s="143" t="n"/>
      <c r="H379" s="27" t="n"/>
    </row>
    <row r="380" ht="17.25" customHeight="1" s="322">
      <c r="A380" s="27" t="n"/>
      <c r="B380" s="506" t="n"/>
      <c r="C380" s="141" t="n"/>
      <c r="D380" s="141" t="n"/>
      <c r="E380" s="141" t="n"/>
      <c r="F380" s="141" t="n"/>
      <c r="G380" s="143" t="n"/>
      <c r="H380" s="27" t="n"/>
    </row>
    <row r="381" ht="17.25" customHeight="1" s="322">
      <c r="A381" s="27" t="n"/>
      <c r="B381" s="506" t="n"/>
      <c r="C381" s="141" t="n"/>
      <c r="D381" s="141" t="n"/>
      <c r="E381" s="141" t="n"/>
      <c r="F381" s="141" t="n"/>
      <c r="G381" s="143" t="n"/>
      <c r="H381" s="27" t="n"/>
    </row>
    <row r="382" ht="17.25" customHeight="1" s="322">
      <c r="A382" s="27" t="n"/>
      <c r="B382" s="506" t="n"/>
      <c r="C382" s="141" t="n"/>
      <c r="D382" s="141" t="n"/>
      <c r="E382" s="141" t="n"/>
      <c r="F382" s="141" t="n"/>
      <c r="G382" s="143" t="n"/>
      <c r="H382" s="27" t="n"/>
    </row>
    <row r="383" ht="17.25" customHeight="1" s="322">
      <c r="A383" s="27" t="n"/>
      <c r="B383" s="506" t="n"/>
      <c r="C383" s="141" t="n"/>
      <c r="D383" s="141" t="n"/>
      <c r="E383" s="141" t="n"/>
      <c r="F383" s="141" t="n"/>
      <c r="G383" s="143" t="n"/>
      <c r="H383" s="27" t="n"/>
    </row>
    <row r="384" ht="17.25" customHeight="1" s="322">
      <c r="A384" s="27" t="n"/>
      <c r="B384" s="506" t="n"/>
      <c r="C384" s="141" t="n"/>
      <c r="D384" s="141" t="n"/>
      <c r="E384" s="141" t="n"/>
      <c r="F384" s="141" t="n"/>
      <c r="G384" s="143" t="n"/>
      <c r="H384" s="27" t="n"/>
    </row>
    <row r="385" ht="17.25" customHeight="1" s="322">
      <c r="A385" s="27" t="n"/>
      <c r="B385" s="506" t="n"/>
      <c r="C385" s="141" t="n"/>
      <c r="D385" s="141" t="n"/>
      <c r="E385" s="141" t="n"/>
      <c r="F385" s="141" t="n"/>
      <c r="G385" s="143" t="n"/>
      <c r="H385" s="27" t="n"/>
    </row>
    <row r="386" ht="17.25" customHeight="1" s="322">
      <c r="A386" s="27" t="n"/>
      <c r="B386" s="506" t="n"/>
      <c r="C386" s="141" t="n"/>
      <c r="D386" s="141" t="n"/>
      <c r="E386" s="141" t="n"/>
      <c r="F386" s="141" t="n"/>
      <c r="G386" s="143" t="n"/>
      <c r="H386" s="27" t="n"/>
    </row>
    <row r="387" ht="17.25" customHeight="1" s="322">
      <c r="A387" s="27" t="n"/>
      <c r="B387" s="506" t="n"/>
      <c r="C387" s="141" t="n"/>
      <c r="D387" s="141" t="n"/>
      <c r="E387" s="141" t="n"/>
      <c r="F387" s="141" t="n"/>
      <c r="G387" s="143" t="n"/>
      <c r="H387" s="27" t="n"/>
    </row>
    <row r="388" ht="17.25" customHeight="1" s="322">
      <c r="A388" s="27" t="n"/>
      <c r="B388" s="506" t="n"/>
      <c r="C388" s="141" t="n"/>
      <c r="D388" s="141" t="n"/>
      <c r="E388" s="141" t="n"/>
      <c r="F388" s="141" t="n"/>
      <c r="G388" s="143" t="n"/>
      <c r="H388" s="27" t="n"/>
    </row>
    <row r="389" ht="17.25" customHeight="1" s="322">
      <c r="A389" s="27" t="n"/>
      <c r="B389" s="506" t="n"/>
      <c r="C389" s="141" t="n"/>
      <c r="D389" s="141" t="n"/>
      <c r="E389" s="141" t="n"/>
      <c r="F389" s="141" t="n"/>
      <c r="G389" s="143" t="n"/>
      <c r="H389" s="27" t="n"/>
    </row>
    <row r="390" ht="17.25" customHeight="1" s="322">
      <c r="A390" s="27" t="n"/>
      <c r="B390" s="506" t="n"/>
      <c r="C390" s="141" t="n"/>
      <c r="D390" s="141" t="n"/>
      <c r="E390" s="141" t="n"/>
      <c r="F390" s="141" t="n"/>
      <c r="G390" s="143" t="n"/>
      <c r="H390" s="27" t="n"/>
    </row>
    <row r="391" ht="17.25" customHeight="1" s="322">
      <c r="A391" s="27" t="n"/>
      <c r="B391" s="506" t="n"/>
      <c r="C391" s="141" t="n"/>
      <c r="D391" s="141" t="n"/>
      <c r="E391" s="141" t="n"/>
      <c r="F391" s="141" t="n"/>
      <c r="G391" s="143" t="n"/>
      <c r="H391" s="27" t="n"/>
    </row>
    <row r="392" ht="17.25" customHeight="1" s="322">
      <c r="A392" s="27" t="n"/>
      <c r="B392" s="506" t="n"/>
      <c r="C392" s="141" t="n"/>
      <c r="D392" s="141" t="n"/>
      <c r="E392" s="141" t="n"/>
      <c r="F392" s="141" t="n"/>
      <c r="G392" s="143" t="n"/>
      <c r="H392" s="27" t="n"/>
    </row>
    <row r="393" ht="17.25" customHeight="1" s="322">
      <c r="A393" s="27" t="n"/>
      <c r="B393" s="506" t="n"/>
      <c r="C393" s="141" t="n"/>
      <c r="D393" s="141" t="n"/>
      <c r="E393" s="141" t="n"/>
      <c r="F393" s="141" t="n"/>
      <c r="G393" s="143" t="n"/>
      <c r="H393" s="27" t="n"/>
    </row>
    <row r="394" ht="17.25" customHeight="1" s="322">
      <c r="A394" s="27" t="n"/>
      <c r="B394" s="506" t="n"/>
      <c r="C394" s="141" t="n"/>
      <c r="D394" s="141" t="n"/>
      <c r="E394" s="141" t="n"/>
      <c r="F394" s="141" t="n"/>
      <c r="G394" s="143" t="n"/>
      <c r="H394" s="27" t="n"/>
    </row>
    <row r="395" ht="17.25" customHeight="1" s="322">
      <c r="A395" s="27" t="n"/>
      <c r="B395" s="506" t="n"/>
      <c r="C395" s="141" t="n"/>
      <c r="D395" s="141" t="n"/>
      <c r="E395" s="141" t="n"/>
      <c r="F395" s="141" t="n"/>
      <c r="G395" s="143" t="n"/>
      <c r="H395" s="27" t="n"/>
    </row>
    <row r="396" ht="17.25" customHeight="1" s="322">
      <c r="A396" s="27" t="n"/>
      <c r="B396" s="506" t="n"/>
      <c r="C396" s="141" t="n"/>
      <c r="D396" s="141" t="n"/>
      <c r="E396" s="141" t="n"/>
      <c r="F396" s="141" t="n"/>
      <c r="G396" s="143" t="n"/>
      <c r="H396" s="27" t="n"/>
    </row>
    <row r="397" ht="17.25" customHeight="1" s="322">
      <c r="A397" s="27" t="n"/>
      <c r="B397" s="506" t="n"/>
      <c r="C397" s="141" t="n"/>
      <c r="D397" s="141" t="n"/>
      <c r="E397" s="141" t="n"/>
      <c r="F397" s="141" t="n"/>
      <c r="G397" s="143" t="n"/>
      <c r="H397" s="27" t="n"/>
    </row>
    <row r="398" ht="17.25" customHeight="1" s="322">
      <c r="A398" s="27" t="n"/>
      <c r="B398" s="506" t="n"/>
      <c r="C398" s="141" t="n"/>
      <c r="D398" s="141" t="n"/>
      <c r="E398" s="141" t="n"/>
      <c r="F398" s="141" t="n"/>
      <c r="G398" s="143" t="n"/>
      <c r="H398" s="27" t="n"/>
    </row>
    <row r="399" ht="17.25" customHeight="1" s="322">
      <c r="A399" s="27" t="n"/>
      <c r="B399" s="506" t="n"/>
      <c r="C399" s="141" t="n"/>
      <c r="D399" s="141" t="n"/>
      <c r="E399" s="141" t="n"/>
      <c r="F399" s="141" t="n"/>
      <c r="G399" s="143" t="n"/>
      <c r="H399" s="27" t="n"/>
    </row>
    <row r="400" ht="17.25" customHeight="1" s="322">
      <c r="A400" s="27" t="n"/>
      <c r="B400" s="506" t="n"/>
      <c r="C400" s="141" t="n"/>
      <c r="D400" s="141" t="n"/>
      <c r="E400" s="141" t="n"/>
      <c r="F400" s="141" t="n"/>
      <c r="G400" s="143" t="n"/>
      <c r="H400" s="27" t="n"/>
    </row>
    <row r="401" ht="17.25" customHeight="1" s="322">
      <c r="A401" s="27" t="n"/>
      <c r="B401" s="506" t="n"/>
      <c r="C401" s="141" t="n"/>
      <c r="D401" s="141" t="n"/>
      <c r="E401" s="141" t="n"/>
      <c r="F401" s="141" t="n"/>
      <c r="G401" s="143" t="n"/>
      <c r="H401" s="27" t="n"/>
    </row>
    <row r="402" ht="17.25" customHeight="1" s="322">
      <c r="A402" s="27" t="n"/>
      <c r="B402" s="506" t="n"/>
      <c r="C402" s="141" t="n"/>
      <c r="D402" s="141" t="n"/>
      <c r="E402" s="141" t="n"/>
      <c r="F402" s="141" t="n"/>
      <c r="G402" s="143" t="n"/>
      <c r="H402" s="27" t="n"/>
    </row>
    <row r="403" ht="17.25" customHeight="1" s="322">
      <c r="A403" s="27" t="n"/>
      <c r="B403" s="506" t="n"/>
      <c r="C403" s="141" t="n"/>
      <c r="D403" s="141" t="n"/>
      <c r="E403" s="141" t="n"/>
      <c r="F403" s="141" t="n"/>
      <c r="G403" s="143" t="n"/>
      <c r="H403" s="27" t="n"/>
    </row>
    <row r="404" ht="17.25" customHeight="1" s="322">
      <c r="A404" s="27" t="n"/>
      <c r="B404" s="506" t="n"/>
      <c r="C404" s="141" t="n"/>
      <c r="D404" s="141" t="n"/>
      <c r="E404" s="141" t="n"/>
      <c r="F404" s="141" t="n"/>
      <c r="G404" s="143" t="n"/>
      <c r="H404" s="27" t="n"/>
    </row>
    <row r="405" ht="17.25" customHeight="1" s="322">
      <c r="A405" s="27" t="n"/>
      <c r="B405" s="506" t="n"/>
      <c r="C405" s="141" t="n"/>
      <c r="D405" s="141" t="n"/>
      <c r="E405" s="141" t="n"/>
      <c r="F405" s="141" t="n"/>
      <c r="G405" s="143" t="n"/>
      <c r="H405" s="27" t="n"/>
    </row>
    <row r="406" ht="17.25" customHeight="1" s="322">
      <c r="A406" s="27" t="n"/>
      <c r="B406" s="506" t="n"/>
      <c r="C406" s="141" t="n"/>
      <c r="D406" s="141" t="n"/>
      <c r="E406" s="141" t="n"/>
      <c r="F406" s="141" t="n"/>
      <c r="G406" s="143" t="n"/>
      <c r="H406" s="27" t="n"/>
    </row>
    <row r="407" ht="17.25" customHeight="1" s="322">
      <c r="A407" s="27" t="n"/>
      <c r="B407" s="506" t="n"/>
      <c r="C407" s="141" t="n"/>
      <c r="D407" s="141" t="n"/>
      <c r="E407" s="141" t="n"/>
      <c r="F407" s="141" t="n"/>
      <c r="G407" s="143" t="n"/>
      <c r="H407" s="27" t="n"/>
    </row>
    <row r="408" ht="17.25" customHeight="1" s="322">
      <c r="A408" s="27" t="n"/>
      <c r="B408" s="506" t="n"/>
      <c r="C408" s="141" t="n"/>
      <c r="D408" s="141" t="n"/>
      <c r="E408" s="141" t="n"/>
      <c r="F408" s="141" t="n"/>
      <c r="G408" s="143" t="n"/>
      <c r="H408" s="27" t="n"/>
    </row>
    <row r="409" ht="17.25" customHeight="1" s="322">
      <c r="A409" s="27" t="n"/>
      <c r="B409" s="506" t="n"/>
      <c r="C409" s="141" t="n"/>
      <c r="D409" s="141" t="n"/>
      <c r="E409" s="141" t="n"/>
      <c r="F409" s="141" t="n"/>
      <c r="G409" s="143" t="n"/>
      <c r="H409" s="27" t="n"/>
    </row>
    <row r="410" ht="17.25" customHeight="1" s="322">
      <c r="A410" s="27" t="n"/>
      <c r="B410" s="506" t="n"/>
      <c r="C410" s="141" t="n"/>
      <c r="D410" s="141" t="n"/>
      <c r="E410" s="141" t="n"/>
      <c r="F410" s="141" t="n"/>
      <c r="G410" s="143" t="n"/>
      <c r="H410" s="27" t="n"/>
    </row>
    <row r="411" ht="17.25" customHeight="1" s="322">
      <c r="A411" s="27" t="n"/>
      <c r="B411" s="506" t="n"/>
      <c r="C411" s="141" t="n"/>
      <c r="D411" s="141" t="n"/>
      <c r="E411" s="141" t="n"/>
      <c r="F411" s="141" t="n"/>
      <c r="G411" s="143" t="n"/>
      <c r="H411" s="27" t="n"/>
    </row>
    <row r="412" ht="17.25" customHeight="1" s="322">
      <c r="A412" s="27" t="n"/>
      <c r="B412" s="506" t="n"/>
      <c r="C412" s="141" t="n"/>
      <c r="D412" s="141" t="n"/>
      <c r="E412" s="141" t="n"/>
      <c r="F412" s="141" t="n"/>
      <c r="G412" s="143" t="n"/>
      <c r="H412" s="27" t="n"/>
    </row>
    <row r="413" ht="17.25" customHeight="1" s="322">
      <c r="A413" s="27" t="n"/>
      <c r="B413" s="506" t="n"/>
      <c r="C413" s="141" t="n"/>
      <c r="D413" s="141" t="n"/>
      <c r="E413" s="141" t="n"/>
      <c r="F413" s="141" t="n"/>
      <c r="G413" s="143" t="n"/>
      <c r="H413" s="27" t="n"/>
    </row>
    <row r="414" ht="17.25" customHeight="1" s="322">
      <c r="A414" s="27" t="n"/>
      <c r="B414" s="506" t="n"/>
      <c r="C414" s="141" t="n"/>
      <c r="D414" s="141" t="n"/>
      <c r="E414" s="141" t="n"/>
      <c r="F414" s="141" t="n"/>
      <c r="G414" s="143" t="n"/>
      <c r="H414" s="27" t="n"/>
    </row>
    <row r="415" ht="17.25" customHeight="1" s="322">
      <c r="A415" s="27" t="n"/>
      <c r="B415" s="506" t="n"/>
      <c r="C415" s="141" t="n"/>
      <c r="D415" s="141" t="n"/>
      <c r="E415" s="141" t="n"/>
      <c r="F415" s="141" t="n"/>
      <c r="G415" s="143" t="n"/>
      <c r="H415" s="27" t="n"/>
    </row>
    <row r="416" ht="17.25" customHeight="1" s="322">
      <c r="A416" s="27" t="n"/>
      <c r="B416" s="506" t="n"/>
      <c r="C416" s="141" t="n"/>
      <c r="D416" s="141" t="n"/>
      <c r="E416" s="141" t="n"/>
      <c r="F416" s="141" t="n"/>
      <c r="G416" s="143" t="n"/>
      <c r="H416" s="27" t="n"/>
    </row>
    <row r="417" ht="17.25" customHeight="1" s="322">
      <c r="A417" s="27" t="n"/>
      <c r="B417" s="506" t="n"/>
      <c r="C417" s="141" t="n"/>
      <c r="D417" s="141" t="n"/>
      <c r="E417" s="141" t="n"/>
      <c r="F417" s="141" t="n"/>
      <c r="G417" s="143" t="n"/>
      <c r="H417" s="27" t="n"/>
    </row>
    <row r="418" ht="17.25" customHeight="1" s="322">
      <c r="A418" s="27" t="n"/>
      <c r="B418" s="506" t="n"/>
      <c r="C418" s="141" t="n"/>
      <c r="D418" s="141" t="n"/>
      <c r="E418" s="141" t="n"/>
      <c r="F418" s="141" t="n"/>
      <c r="G418" s="143" t="n"/>
      <c r="H418" s="27" t="n"/>
    </row>
    <row r="419" ht="17.25" customHeight="1" s="322">
      <c r="A419" s="27" t="n"/>
      <c r="B419" s="506" t="n"/>
      <c r="C419" s="141" t="n"/>
      <c r="D419" s="141" t="n"/>
      <c r="E419" s="141" t="n"/>
      <c r="F419" s="141" t="n"/>
      <c r="G419" s="143" t="n"/>
      <c r="H419" s="27" t="n"/>
    </row>
    <row r="420" ht="17.25" customHeight="1" s="322">
      <c r="A420" s="27" t="n"/>
      <c r="B420" s="506" t="n"/>
      <c r="C420" s="141" t="n"/>
      <c r="D420" s="141" t="n"/>
      <c r="E420" s="141" t="n"/>
      <c r="F420" s="141" t="n"/>
      <c r="G420" s="143" t="n"/>
      <c r="H420" s="27" t="n"/>
    </row>
    <row r="421" ht="17.25" customHeight="1" s="322">
      <c r="A421" s="27" t="n"/>
      <c r="B421" s="506" t="n"/>
      <c r="C421" s="141" t="n"/>
      <c r="D421" s="141" t="n"/>
      <c r="E421" s="141" t="n"/>
      <c r="F421" s="141" t="n"/>
      <c r="G421" s="143" t="n"/>
      <c r="H421" s="27" t="n"/>
    </row>
    <row r="422" ht="17.25" customHeight="1" s="322">
      <c r="A422" s="27" t="n"/>
      <c r="B422" s="506" t="n"/>
      <c r="C422" s="141" t="n"/>
      <c r="D422" s="141" t="n"/>
      <c r="E422" s="141" t="n"/>
      <c r="F422" s="141" t="n"/>
      <c r="G422" s="143" t="n"/>
      <c r="H422" s="27" t="n"/>
    </row>
    <row r="423" ht="17.25" customHeight="1" s="322">
      <c r="A423" s="27" t="n"/>
      <c r="B423" s="506" t="n"/>
      <c r="C423" s="141" t="n"/>
      <c r="D423" s="141" t="n"/>
      <c r="E423" s="141" t="n"/>
      <c r="F423" s="141" t="n"/>
      <c r="G423" s="143" t="n"/>
      <c r="H423" s="27" t="n"/>
    </row>
    <row r="424" ht="17.25" customHeight="1" s="322">
      <c r="A424" s="27" t="n"/>
      <c r="B424" s="506" t="n"/>
      <c r="C424" s="141" t="n"/>
      <c r="D424" s="141" t="n"/>
      <c r="E424" s="141" t="n"/>
      <c r="F424" s="141" t="n"/>
      <c r="G424" s="143" t="n"/>
      <c r="H424" s="27" t="n"/>
    </row>
    <row r="425" ht="17.25" customHeight="1" s="322">
      <c r="A425" s="27" t="n"/>
      <c r="B425" s="506" t="n"/>
      <c r="C425" s="141" t="n"/>
      <c r="D425" s="141" t="n"/>
      <c r="E425" s="141" t="n"/>
      <c r="F425" s="141" t="n"/>
      <c r="G425" s="143" t="n"/>
      <c r="H425" s="27" t="n"/>
    </row>
    <row r="426" ht="17.25" customHeight="1" s="322">
      <c r="A426" s="27" t="n"/>
      <c r="B426" s="506" t="n"/>
      <c r="C426" s="141" t="n"/>
      <c r="D426" s="141" t="n"/>
      <c r="E426" s="141" t="n"/>
      <c r="F426" s="141" t="n"/>
      <c r="G426" s="143" t="n"/>
      <c r="H426" s="27" t="n"/>
    </row>
    <row r="427" ht="17.25" customHeight="1" s="322">
      <c r="A427" s="27" t="n"/>
      <c r="B427" s="506" t="n"/>
      <c r="C427" s="141" t="n"/>
      <c r="D427" s="141" t="n"/>
      <c r="E427" s="141" t="n"/>
      <c r="F427" s="141" t="n"/>
      <c r="G427" s="143" t="n"/>
      <c r="H427" s="27" t="n"/>
    </row>
    <row r="428" ht="17.25" customHeight="1" s="322">
      <c r="A428" s="27" t="n"/>
      <c r="B428" s="506" t="n"/>
      <c r="C428" s="141" t="n"/>
      <c r="D428" s="141" t="n"/>
      <c r="E428" s="141" t="n"/>
      <c r="F428" s="141" t="n"/>
      <c r="G428" s="143" t="n"/>
      <c r="H428" s="27" t="n"/>
    </row>
    <row r="429" ht="17.25" customHeight="1" s="322">
      <c r="A429" s="27" t="n"/>
      <c r="B429" s="506" t="n"/>
      <c r="C429" s="141" t="n"/>
      <c r="D429" s="141" t="n"/>
      <c r="E429" s="141" t="n"/>
      <c r="F429" s="141" t="n"/>
      <c r="G429" s="143" t="n"/>
      <c r="H429" s="27" t="n"/>
    </row>
    <row r="430" ht="17.25" customHeight="1" s="322">
      <c r="A430" s="27" t="n"/>
      <c r="B430" s="506" t="n"/>
      <c r="C430" s="141" t="n"/>
      <c r="D430" s="141" t="n"/>
      <c r="E430" s="141" t="n"/>
      <c r="F430" s="141" t="n"/>
      <c r="G430" s="143" t="n"/>
      <c r="H430" s="27" t="n"/>
    </row>
    <row r="431" ht="17.25" customHeight="1" s="322">
      <c r="A431" s="27" t="n"/>
      <c r="B431" s="506" t="n"/>
      <c r="C431" s="141" t="n"/>
      <c r="D431" s="141" t="n"/>
      <c r="E431" s="141" t="n"/>
      <c r="F431" s="141" t="n"/>
      <c r="G431" s="143" t="n"/>
      <c r="H431" s="27" t="n"/>
    </row>
    <row r="432" ht="17.25" customHeight="1" s="322">
      <c r="A432" s="27" t="n"/>
      <c r="B432" s="506" t="n"/>
      <c r="C432" s="141" t="n"/>
      <c r="D432" s="141" t="n"/>
      <c r="E432" s="141" t="n"/>
      <c r="F432" s="141" t="n"/>
      <c r="G432" s="143" t="n"/>
      <c r="H432" s="27" t="n"/>
    </row>
    <row r="433" ht="17.25" customHeight="1" s="322">
      <c r="A433" s="27" t="n"/>
      <c r="B433" s="506" t="n"/>
      <c r="C433" s="141" t="n"/>
      <c r="D433" s="141" t="n"/>
      <c r="E433" s="141" t="n"/>
      <c r="F433" s="141" t="n"/>
      <c r="G433" s="143" t="n"/>
      <c r="H433" s="27" t="n"/>
    </row>
    <row r="434" ht="17.25" customHeight="1" s="322">
      <c r="A434" s="27" t="n"/>
      <c r="B434" s="506" t="n"/>
      <c r="C434" s="141" t="n"/>
      <c r="D434" s="141" t="n"/>
      <c r="E434" s="141" t="n"/>
      <c r="F434" s="141" t="n"/>
      <c r="G434" s="143" t="n"/>
      <c r="H434" s="27" t="n"/>
    </row>
    <row r="435" ht="17.25" customHeight="1" s="322">
      <c r="A435" s="27" t="n"/>
      <c r="B435" s="506" t="n"/>
      <c r="C435" s="141" t="n"/>
      <c r="D435" s="141" t="n"/>
      <c r="E435" s="141" t="n"/>
      <c r="F435" s="141" t="n"/>
      <c r="G435" s="143" t="n"/>
      <c r="H435" s="27" t="n"/>
    </row>
    <row r="436" ht="17.25" customHeight="1" s="322">
      <c r="A436" s="27" t="n"/>
      <c r="B436" s="506" t="n"/>
      <c r="C436" s="141" t="n"/>
      <c r="D436" s="141" t="n"/>
      <c r="E436" s="141" t="n"/>
      <c r="F436" s="141" t="n"/>
      <c r="G436" s="143" t="n"/>
      <c r="H436" s="27" t="n"/>
    </row>
    <row r="437" ht="17.25" customHeight="1" s="322">
      <c r="A437" s="27" t="n"/>
      <c r="B437" s="506" t="n"/>
      <c r="C437" s="141" t="n"/>
      <c r="D437" s="141" t="n"/>
      <c r="E437" s="141" t="n"/>
      <c r="F437" s="141" t="n"/>
      <c r="G437" s="143" t="n"/>
      <c r="H437" s="27" t="n"/>
    </row>
    <row r="438" ht="17.25" customHeight="1" s="322">
      <c r="A438" s="27" t="n"/>
      <c r="B438" s="506" t="n"/>
      <c r="C438" s="141" t="n"/>
      <c r="D438" s="141" t="n"/>
      <c r="E438" s="141" t="n"/>
      <c r="F438" s="141" t="n"/>
      <c r="G438" s="143" t="n"/>
      <c r="H438" s="27" t="n"/>
    </row>
    <row r="439" ht="17.25" customHeight="1" s="322">
      <c r="A439" s="27" t="n"/>
      <c r="B439" s="506" t="n"/>
      <c r="C439" s="141" t="n"/>
      <c r="D439" s="141" t="n"/>
      <c r="E439" s="141" t="n"/>
      <c r="F439" s="141" t="n"/>
      <c r="G439" s="143" t="n"/>
      <c r="H439" s="27" t="n"/>
    </row>
    <row r="440" ht="17.25" customHeight="1" s="322">
      <c r="A440" s="27" t="n"/>
      <c r="B440" s="506" t="n"/>
      <c r="C440" s="141" t="n"/>
      <c r="D440" s="141" t="n"/>
      <c r="E440" s="141" t="n"/>
      <c r="F440" s="141" t="n"/>
      <c r="G440" s="143" t="n"/>
      <c r="H440" s="27" t="n"/>
    </row>
    <row r="441" ht="17.25" customHeight="1" s="322">
      <c r="A441" s="27" t="n"/>
      <c r="B441" s="506" t="n"/>
      <c r="C441" s="141" t="n"/>
      <c r="D441" s="141" t="n"/>
      <c r="E441" s="141" t="n"/>
      <c r="F441" s="141" t="n"/>
      <c r="G441" s="143" t="n"/>
      <c r="H441" s="27" t="n"/>
    </row>
    <row r="442" ht="17.25" customHeight="1" s="322">
      <c r="A442" s="27" t="n"/>
      <c r="B442" s="506" t="n"/>
      <c r="C442" s="141" t="n"/>
      <c r="D442" s="141" t="n"/>
      <c r="E442" s="141" t="n"/>
      <c r="F442" s="141" t="n"/>
      <c r="G442" s="143" t="n"/>
      <c r="H442" s="27" t="n"/>
    </row>
    <row r="443" ht="17.25" customHeight="1" s="322">
      <c r="A443" s="27" t="n"/>
      <c r="B443" s="506" t="n"/>
      <c r="C443" s="141" t="n"/>
      <c r="D443" s="141" t="n"/>
      <c r="E443" s="141" t="n"/>
      <c r="F443" s="141" t="n"/>
      <c r="G443" s="143" t="n"/>
      <c r="H443" s="27" t="n"/>
    </row>
    <row r="444" ht="17.25" customHeight="1" s="322">
      <c r="A444" s="27" t="n"/>
      <c r="B444" s="506" t="n"/>
      <c r="C444" s="141" t="n"/>
      <c r="D444" s="141" t="n"/>
      <c r="E444" s="141" t="n"/>
      <c r="F444" s="141" t="n"/>
      <c r="G444" s="143" t="n"/>
      <c r="H444" s="27" t="n"/>
    </row>
    <row r="445" ht="17.25" customHeight="1" s="322">
      <c r="A445" s="27" t="n"/>
      <c r="B445" s="506" t="n"/>
      <c r="C445" s="141" t="n"/>
      <c r="D445" s="141" t="n"/>
      <c r="E445" s="141" t="n"/>
      <c r="F445" s="141" t="n"/>
      <c r="G445" s="143" t="n"/>
      <c r="H445" s="27" t="n"/>
    </row>
    <row r="446" ht="17.25" customHeight="1" s="322">
      <c r="A446" s="27" t="n"/>
      <c r="B446" s="506" t="n"/>
      <c r="C446" s="141" t="n"/>
      <c r="D446" s="141" t="n"/>
      <c r="E446" s="141" t="n"/>
      <c r="F446" s="141" t="n"/>
      <c r="G446" s="143" t="n"/>
      <c r="H446" s="27" t="n"/>
    </row>
    <row r="447" ht="17.25" customHeight="1" s="322">
      <c r="A447" s="27" t="n"/>
      <c r="B447" s="506" t="n"/>
      <c r="C447" s="141" t="n"/>
      <c r="D447" s="141" t="n"/>
      <c r="E447" s="141" t="n"/>
      <c r="F447" s="141" t="n"/>
      <c r="G447" s="143" t="n"/>
      <c r="H447" s="27" t="n"/>
    </row>
    <row r="448" ht="17.25" customHeight="1" s="322">
      <c r="A448" s="27" t="n"/>
      <c r="B448" s="506" t="n"/>
      <c r="C448" s="141" t="n"/>
      <c r="D448" s="141" t="n"/>
      <c r="E448" s="141" t="n"/>
      <c r="F448" s="141" t="n"/>
      <c r="G448" s="143" t="n"/>
      <c r="H448" s="27" t="n"/>
    </row>
    <row r="449" ht="17.25" customHeight="1" s="322">
      <c r="A449" s="27" t="n"/>
      <c r="B449" s="506" t="n"/>
      <c r="C449" s="141" t="n"/>
      <c r="D449" s="141" t="n"/>
      <c r="E449" s="141" t="n"/>
      <c r="F449" s="141" t="n"/>
      <c r="G449" s="143" t="n"/>
      <c r="H449" s="27" t="n"/>
    </row>
    <row r="450" ht="17.25" customHeight="1" s="322">
      <c r="A450" s="27" t="n"/>
      <c r="B450" s="506" t="n"/>
      <c r="C450" s="141" t="n"/>
      <c r="D450" s="141" t="n"/>
      <c r="E450" s="141" t="n"/>
      <c r="F450" s="141" t="n"/>
      <c r="G450" s="143" t="n"/>
      <c r="H450" s="27" t="n"/>
    </row>
    <row r="451" ht="17.25" customHeight="1" s="322">
      <c r="A451" s="27" t="n"/>
      <c r="B451" s="506" t="n"/>
      <c r="C451" s="141" t="n"/>
      <c r="D451" s="141" t="n"/>
      <c r="E451" s="141" t="n"/>
      <c r="F451" s="141" t="n"/>
      <c r="G451" s="143" t="n"/>
      <c r="H451" s="27" t="n"/>
    </row>
    <row r="452" ht="17.25" customHeight="1" s="322">
      <c r="A452" s="27" t="n"/>
      <c r="B452" s="506" t="n"/>
      <c r="C452" s="141" t="n"/>
      <c r="D452" s="141" t="n"/>
      <c r="E452" s="141" t="n"/>
      <c r="F452" s="141" t="n"/>
      <c r="G452" s="143" t="n"/>
      <c r="H452" s="27" t="n"/>
    </row>
    <row r="453" ht="17.25" customHeight="1" s="322">
      <c r="A453" s="27" t="n"/>
      <c r="B453" s="506" t="n"/>
      <c r="C453" s="141" t="n"/>
      <c r="D453" s="141" t="n"/>
      <c r="E453" s="141" t="n"/>
      <c r="F453" s="141" t="n"/>
      <c r="G453" s="143" t="n"/>
      <c r="H453" s="27" t="n"/>
    </row>
    <row r="454" ht="17.25" customHeight="1" s="322">
      <c r="A454" s="27" t="n"/>
      <c r="B454" s="506" t="n"/>
      <c r="C454" s="141" t="n"/>
      <c r="D454" s="141" t="n"/>
      <c r="E454" s="141" t="n"/>
      <c r="F454" s="141" t="n"/>
      <c r="G454" s="143" t="n"/>
      <c r="H454" s="27" t="n"/>
    </row>
    <row r="455" ht="17.25" customHeight="1" s="322">
      <c r="A455" s="27" t="n"/>
      <c r="B455" s="506" t="n"/>
      <c r="C455" s="141" t="n"/>
      <c r="D455" s="141" t="n"/>
      <c r="E455" s="141" t="n"/>
      <c r="F455" s="141" t="n"/>
      <c r="G455" s="143" t="n"/>
      <c r="H455" s="27" t="n"/>
    </row>
    <row r="456" ht="17.25" customHeight="1" s="322">
      <c r="A456" s="27" t="n"/>
      <c r="B456" s="506" t="n"/>
      <c r="C456" s="141" t="n"/>
      <c r="D456" s="141" t="n"/>
      <c r="E456" s="141" t="n"/>
      <c r="F456" s="141" t="n"/>
      <c r="G456" s="143" t="n"/>
      <c r="H456" s="27" t="n"/>
    </row>
    <row r="457" ht="17.25" customHeight="1" s="322">
      <c r="A457" s="27" t="n"/>
      <c r="B457" s="506" t="n"/>
      <c r="C457" s="141" t="n"/>
      <c r="D457" s="141" t="n"/>
      <c r="E457" s="141" t="n"/>
      <c r="F457" s="141" t="n"/>
      <c r="G457" s="143" t="n"/>
      <c r="H457" s="27" t="n"/>
    </row>
    <row r="458" ht="17.25" customHeight="1" s="322">
      <c r="A458" s="27" t="n"/>
      <c r="B458" s="506" t="n"/>
      <c r="C458" s="141" t="n"/>
      <c r="D458" s="141" t="n"/>
      <c r="E458" s="141" t="n"/>
      <c r="F458" s="141" t="n"/>
      <c r="G458" s="143" t="n"/>
      <c r="H458" s="27" t="n"/>
    </row>
    <row r="459" ht="17.25" customHeight="1" s="322">
      <c r="A459" s="27" t="n"/>
      <c r="B459" s="506" t="n"/>
      <c r="C459" s="141" t="n"/>
      <c r="D459" s="141" t="n"/>
      <c r="E459" s="141" t="n"/>
      <c r="F459" s="141" t="n"/>
      <c r="G459" s="143" t="n"/>
      <c r="H459" s="27" t="n"/>
    </row>
    <row r="460" ht="17.25" customHeight="1" s="322">
      <c r="A460" s="27" t="n"/>
      <c r="B460" s="506" t="n"/>
      <c r="C460" s="141" t="n"/>
      <c r="D460" s="141" t="n"/>
      <c r="E460" s="141" t="n"/>
      <c r="F460" s="141" t="n"/>
      <c r="G460" s="143" t="n"/>
      <c r="H460" s="27" t="n"/>
    </row>
    <row r="461" ht="17.25" customHeight="1" s="322">
      <c r="A461" s="27" t="n"/>
      <c r="B461" s="506" t="n"/>
      <c r="C461" s="141" t="n"/>
      <c r="D461" s="141" t="n"/>
      <c r="E461" s="141" t="n"/>
      <c r="F461" s="141" t="n"/>
      <c r="G461" s="143" t="n"/>
      <c r="H461" s="27" t="n"/>
    </row>
    <row r="462" ht="17.25" customHeight="1" s="322">
      <c r="A462" s="27" t="n"/>
      <c r="B462" s="506" t="n"/>
      <c r="C462" s="141" t="n"/>
      <c r="D462" s="141" t="n"/>
      <c r="E462" s="141" t="n"/>
      <c r="F462" s="141" t="n"/>
      <c r="G462" s="143" t="n"/>
      <c r="H462" s="27" t="n"/>
    </row>
    <row r="463" ht="17.25" customHeight="1" s="322">
      <c r="A463" s="27" t="n"/>
      <c r="B463" s="506" t="n"/>
      <c r="C463" s="141" t="n"/>
      <c r="D463" s="141" t="n"/>
      <c r="E463" s="141" t="n"/>
      <c r="F463" s="141" t="n"/>
      <c r="G463" s="143" t="n"/>
      <c r="H463" s="27" t="n"/>
    </row>
    <row r="464" ht="17.25" customHeight="1" s="322">
      <c r="A464" s="27" t="n"/>
      <c r="B464" s="506" t="n"/>
      <c r="C464" s="141" t="n"/>
      <c r="D464" s="141" t="n"/>
      <c r="E464" s="141" t="n"/>
      <c r="F464" s="141" t="n"/>
      <c r="G464" s="143" t="n"/>
      <c r="H464" s="27" t="n"/>
    </row>
    <row r="465" ht="17.25" customHeight="1" s="322">
      <c r="A465" s="27" t="n"/>
      <c r="B465" s="506" t="n"/>
      <c r="C465" s="141" t="n"/>
      <c r="D465" s="141" t="n"/>
      <c r="E465" s="141" t="n"/>
      <c r="F465" s="141" t="n"/>
      <c r="G465" s="143" t="n"/>
      <c r="H465" s="27" t="n"/>
    </row>
    <row r="466" ht="17.25" customHeight="1" s="322">
      <c r="A466" s="27" t="n"/>
      <c r="B466" s="506" t="n"/>
      <c r="C466" s="141" t="n"/>
      <c r="D466" s="141" t="n"/>
      <c r="E466" s="141" t="n"/>
      <c r="F466" s="141" t="n"/>
      <c r="G466" s="143" t="n"/>
      <c r="H466" s="27" t="n"/>
    </row>
    <row r="467" ht="17.25" customHeight="1" s="322">
      <c r="A467" s="27" t="n"/>
      <c r="B467" s="506" t="n"/>
      <c r="C467" s="141" t="n"/>
      <c r="D467" s="141" t="n"/>
      <c r="E467" s="141" t="n"/>
      <c r="F467" s="141" t="n"/>
      <c r="G467" s="143" t="n"/>
      <c r="H467" s="27" t="n"/>
    </row>
    <row r="468" ht="17.25" customHeight="1" s="322">
      <c r="A468" s="27" t="n"/>
      <c r="B468" s="506" t="n"/>
      <c r="C468" s="141" t="n"/>
      <c r="D468" s="141" t="n"/>
      <c r="E468" s="141" t="n"/>
      <c r="F468" s="141" t="n"/>
      <c r="G468" s="143" t="n"/>
      <c r="H468" s="27" t="n"/>
    </row>
    <row r="469" ht="17.25" customHeight="1" s="322">
      <c r="A469" s="27" t="n"/>
      <c r="B469" s="506" t="n"/>
      <c r="C469" s="141" t="n"/>
      <c r="D469" s="141" t="n"/>
      <c r="E469" s="141" t="n"/>
      <c r="F469" s="141" t="n"/>
      <c r="G469" s="143" t="n"/>
      <c r="H469" s="27" t="n"/>
    </row>
    <row r="470" ht="17.25" customHeight="1" s="322">
      <c r="A470" s="27" t="n"/>
      <c r="B470" s="506" t="n"/>
      <c r="C470" s="141" t="n"/>
      <c r="D470" s="141" t="n"/>
      <c r="E470" s="141" t="n"/>
      <c r="F470" s="141" t="n"/>
      <c r="G470" s="143" t="n"/>
      <c r="H470" s="27" t="n"/>
    </row>
    <row r="471" ht="17.25" customHeight="1" s="322">
      <c r="A471" s="27" t="n"/>
      <c r="B471" s="506" t="n"/>
      <c r="C471" s="141" t="n"/>
      <c r="D471" s="141" t="n"/>
      <c r="E471" s="141" t="n"/>
      <c r="F471" s="141" t="n"/>
      <c r="G471" s="143" t="n"/>
      <c r="H471" s="27" t="n"/>
    </row>
    <row r="472" ht="17.25" customHeight="1" s="322">
      <c r="A472" s="27" t="n"/>
      <c r="B472" s="506" t="n"/>
      <c r="C472" s="141" t="n"/>
      <c r="D472" s="141" t="n"/>
      <c r="E472" s="141" t="n"/>
      <c r="F472" s="141" t="n"/>
      <c r="G472" s="143" t="n"/>
      <c r="H472" s="27" t="n"/>
    </row>
    <row r="473" ht="17.25" customHeight="1" s="322">
      <c r="A473" s="27" t="n"/>
      <c r="B473" s="506" t="n"/>
      <c r="C473" s="141" t="n"/>
      <c r="D473" s="141" t="n"/>
      <c r="E473" s="141" t="n"/>
      <c r="F473" s="141" t="n"/>
      <c r="G473" s="143" t="n"/>
      <c r="H473" s="27" t="n"/>
    </row>
    <row r="474" ht="17.25" customHeight="1" s="322">
      <c r="A474" s="27" t="n"/>
      <c r="B474" s="506" t="n"/>
      <c r="C474" s="141" t="n"/>
      <c r="D474" s="141" t="n"/>
      <c r="E474" s="141" t="n"/>
      <c r="F474" s="141" t="n"/>
      <c r="G474" s="143" t="n"/>
      <c r="H474" s="27" t="n"/>
    </row>
    <row r="475" ht="17.25" customHeight="1" s="322">
      <c r="A475" s="27" t="n"/>
      <c r="B475" s="506" t="n"/>
      <c r="C475" s="141" t="n"/>
      <c r="D475" s="141" t="n"/>
      <c r="E475" s="141" t="n"/>
      <c r="F475" s="141" t="n"/>
      <c r="G475" s="143" t="n"/>
      <c r="H475" s="27" t="n"/>
    </row>
    <row r="476" ht="17.25" customHeight="1" s="322">
      <c r="A476" s="27" t="n"/>
      <c r="B476" s="506" t="n"/>
      <c r="C476" s="141" t="n"/>
      <c r="D476" s="141" t="n"/>
      <c r="E476" s="141" t="n"/>
      <c r="F476" s="141" t="n"/>
      <c r="G476" s="143" t="n"/>
      <c r="H476" s="27" t="n"/>
    </row>
    <row r="477" ht="17.25" customHeight="1" s="322">
      <c r="A477" s="27" t="n"/>
      <c r="B477" s="506" t="n"/>
      <c r="C477" s="141" t="n"/>
      <c r="D477" s="141" t="n"/>
      <c r="E477" s="141" t="n"/>
      <c r="F477" s="141" t="n"/>
      <c r="G477" s="143" t="n"/>
      <c r="H477" s="27" t="n"/>
    </row>
    <row r="478" ht="17.25" customHeight="1" s="322">
      <c r="A478" s="27" t="n"/>
      <c r="B478" s="506" t="n"/>
      <c r="C478" s="141" t="n"/>
      <c r="D478" s="141" t="n"/>
      <c r="E478" s="141" t="n"/>
      <c r="F478" s="141" t="n"/>
      <c r="G478" s="143" t="n"/>
      <c r="H478" s="27" t="n"/>
    </row>
    <row r="479" ht="17.25" customHeight="1" s="322">
      <c r="A479" s="27" t="n"/>
      <c r="B479" s="506" t="n"/>
      <c r="C479" s="141" t="n"/>
      <c r="D479" s="141" t="n"/>
      <c r="E479" s="141" t="n"/>
      <c r="F479" s="141" t="n"/>
      <c r="G479" s="143" t="n"/>
      <c r="H479" s="27" t="n"/>
    </row>
    <row r="480" ht="17.25" customHeight="1" s="322">
      <c r="A480" s="27" t="n"/>
      <c r="B480" s="506" t="n"/>
      <c r="C480" s="141" t="n"/>
      <c r="D480" s="141" t="n"/>
      <c r="E480" s="141" t="n"/>
      <c r="F480" s="141" t="n"/>
      <c r="G480" s="143" t="n"/>
      <c r="H480" s="27" t="n"/>
    </row>
    <row r="481" ht="17.25" customHeight="1" s="322">
      <c r="A481" s="27" t="n"/>
      <c r="B481" s="506" t="n"/>
      <c r="C481" s="141" t="n"/>
      <c r="D481" s="141" t="n"/>
      <c r="E481" s="141" t="n"/>
      <c r="F481" s="141" t="n"/>
      <c r="G481" s="143" t="n"/>
      <c r="H481" s="27" t="n"/>
    </row>
    <row r="482" ht="17.25" customHeight="1" s="322">
      <c r="A482" s="27" t="n"/>
      <c r="B482" s="506" t="n"/>
      <c r="C482" s="141" t="n"/>
      <c r="D482" s="141" t="n"/>
      <c r="E482" s="141" t="n"/>
      <c r="F482" s="141" t="n"/>
      <c r="G482" s="143" t="n"/>
      <c r="H482" s="27" t="n"/>
    </row>
    <row r="483" ht="17.25" customHeight="1" s="322">
      <c r="A483" s="27" t="n"/>
      <c r="B483" s="506" t="n"/>
      <c r="C483" s="141" t="n"/>
      <c r="D483" s="141" t="n"/>
      <c r="E483" s="141" t="n"/>
      <c r="F483" s="141" t="n"/>
      <c r="G483" s="143" t="n"/>
      <c r="H483" s="27" t="n"/>
    </row>
    <row r="484" ht="17.25" customHeight="1" s="322">
      <c r="A484" s="27" t="n"/>
      <c r="B484" s="506" t="n"/>
      <c r="C484" s="141" t="n"/>
      <c r="D484" s="141" t="n"/>
      <c r="E484" s="141" t="n"/>
      <c r="F484" s="141" t="n"/>
      <c r="G484" s="143" t="n"/>
      <c r="H484" s="27" t="n"/>
    </row>
    <row r="485" ht="17.25" customHeight="1" s="322">
      <c r="A485" s="27" t="n"/>
      <c r="B485" s="506" t="n"/>
      <c r="C485" s="141" t="n"/>
      <c r="D485" s="141" t="n"/>
      <c r="E485" s="141" t="n"/>
      <c r="F485" s="141" t="n"/>
      <c r="G485" s="143" t="n"/>
      <c r="H485" s="27" t="n"/>
    </row>
    <row r="486" ht="17.25" customHeight="1" s="322">
      <c r="A486" s="27" t="n"/>
      <c r="B486" s="506" t="n"/>
      <c r="C486" s="141" t="n"/>
      <c r="D486" s="141" t="n"/>
      <c r="E486" s="141" t="n"/>
      <c r="F486" s="141" t="n"/>
      <c r="G486" s="143" t="n"/>
      <c r="H486" s="27" t="n"/>
    </row>
    <row r="487" ht="17.25" customHeight="1" s="322">
      <c r="A487" s="27" t="n"/>
      <c r="B487" s="506" t="n"/>
      <c r="C487" s="141" t="n"/>
      <c r="D487" s="141" t="n"/>
      <c r="E487" s="141" t="n"/>
      <c r="F487" s="141" t="n"/>
      <c r="G487" s="143" t="n"/>
      <c r="H487" s="27" t="n"/>
    </row>
    <row r="488" ht="17.25" customHeight="1" s="322">
      <c r="A488" s="27" t="n"/>
      <c r="B488" s="506" t="n"/>
      <c r="C488" s="141" t="n"/>
      <c r="D488" s="141" t="n"/>
      <c r="E488" s="141" t="n"/>
      <c r="F488" s="141" t="n"/>
      <c r="G488" s="143" t="n"/>
      <c r="H488" s="27" t="n"/>
    </row>
    <row r="489" ht="17.25" customHeight="1" s="322">
      <c r="A489" s="27" t="n"/>
      <c r="B489" s="506" t="n"/>
      <c r="C489" s="141" t="n"/>
      <c r="D489" s="141" t="n"/>
      <c r="E489" s="141" t="n"/>
      <c r="F489" s="141" t="n"/>
      <c r="G489" s="143" t="n"/>
      <c r="H489" s="27" t="n"/>
    </row>
    <row r="490" ht="17.25" customHeight="1" s="322">
      <c r="A490" s="27" t="n"/>
      <c r="B490" s="506" t="n"/>
      <c r="C490" s="141" t="n"/>
      <c r="D490" s="141" t="n"/>
      <c r="E490" s="141" t="n"/>
      <c r="F490" s="141" t="n"/>
      <c r="G490" s="143" t="n"/>
      <c r="H490" s="27" t="n"/>
    </row>
    <row r="491" ht="17.25" customHeight="1" s="322">
      <c r="A491" s="27" t="n"/>
      <c r="B491" s="506" t="n"/>
      <c r="C491" s="141" t="n"/>
      <c r="D491" s="141" t="n"/>
      <c r="E491" s="141" t="n"/>
      <c r="F491" s="141" t="n"/>
      <c r="G491" s="143" t="n"/>
      <c r="H491" s="27" t="n"/>
    </row>
    <row r="492" ht="17.25" customHeight="1" s="322">
      <c r="A492" s="27" t="n"/>
      <c r="B492" s="506" t="n"/>
      <c r="C492" s="141" t="n"/>
      <c r="D492" s="141" t="n"/>
      <c r="E492" s="141" t="n"/>
      <c r="F492" s="141" t="n"/>
      <c r="G492" s="143" t="n"/>
      <c r="H492" s="27" t="n"/>
    </row>
    <row r="493" ht="17.25" customHeight="1" s="322">
      <c r="A493" s="27" t="n"/>
      <c r="B493" s="506" t="n"/>
      <c r="C493" s="141" t="n"/>
      <c r="D493" s="141" t="n"/>
      <c r="E493" s="141" t="n"/>
      <c r="F493" s="141" t="n"/>
      <c r="G493" s="143" t="n"/>
      <c r="H493" s="27" t="n"/>
    </row>
    <row r="494" ht="17.25" customHeight="1" s="322">
      <c r="A494" s="27" t="n"/>
      <c r="B494" s="506" t="n"/>
      <c r="C494" s="141" t="n"/>
      <c r="D494" s="141" t="n"/>
      <c r="E494" s="141" t="n"/>
      <c r="F494" s="141" t="n"/>
      <c r="G494" s="143" t="n"/>
      <c r="H494" s="27" t="n"/>
    </row>
    <row r="495" ht="17.25" customHeight="1" s="322">
      <c r="A495" s="27" t="n"/>
      <c r="B495" s="506" t="n"/>
      <c r="C495" s="141" t="n"/>
      <c r="D495" s="141" t="n"/>
      <c r="E495" s="141" t="n"/>
      <c r="F495" s="141" t="n"/>
      <c r="G495" s="143" t="n"/>
      <c r="H495" s="27" t="n"/>
    </row>
    <row r="496" ht="17.25" customHeight="1" s="322">
      <c r="A496" s="27" t="n"/>
      <c r="B496" s="506" t="n"/>
      <c r="C496" s="141" t="n"/>
      <c r="D496" s="141" t="n"/>
      <c r="E496" s="141" t="n"/>
      <c r="F496" s="141" t="n"/>
      <c r="G496" s="143" t="n"/>
      <c r="H496" s="27" t="n"/>
    </row>
    <row r="497" ht="17.25" customHeight="1" s="322">
      <c r="A497" s="27" t="n"/>
      <c r="B497" s="506" t="n"/>
      <c r="C497" s="141" t="n"/>
      <c r="D497" s="141" t="n"/>
      <c r="E497" s="141" t="n"/>
      <c r="F497" s="141" t="n"/>
      <c r="G497" s="143" t="n"/>
      <c r="H497" s="27" t="n"/>
    </row>
    <row r="498" ht="17.25" customHeight="1" s="322">
      <c r="A498" s="27" t="n"/>
      <c r="B498" s="506" t="n"/>
      <c r="C498" s="141" t="n"/>
      <c r="D498" s="141" t="n"/>
      <c r="E498" s="141" t="n"/>
      <c r="F498" s="141" t="n"/>
      <c r="G498" s="143" t="n"/>
      <c r="H498" s="27" t="n"/>
    </row>
    <row r="499" ht="17.25" customHeight="1" s="322">
      <c r="A499" s="27" t="n"/>
      <c r="B499" s="506" t="n"/>
      <c r="C499" s="141" t="n"/>
      <c r="D499" s="141" t="n"/>
      <c r="E499" s="141" t="n"/>
      <c r="F499" s="141" t="n"/>
      <c r="G499" s="143" t="n"/>
      <c r="H499" s="27" t="n"/>
    </row>
    <row r="500" ht="17.25" customHeight="1" s="322">
      <c r="A500" s="27" t="n"/>
      <c r="B500" s="506" t="n"/>
      <c r="C500" s="141" t="n"/>
      <c r="D500" s="141" t="n"/>
      <c r="E500" s="141" t="n"/>
      <c r="F500" s="141" t="n"/>
      <c r="G500" s="143" t="n"/>
      <c r="H500" s="27" t="n"/>
    </row>
    <row r="501" ht="17.25" customHeight="1" s="322">
      <c r="A501" s="27" t="n"/>
      <c r="B501" s="506" t="n"/>
      <c r="C501" s="141" t="n"/>
      <c r="D501" s="141" t="n"/>
      <c r="E501" s="141" t="n"/>
      <c r="F501" s="141" t="n"/>
      <c r="G501" s="143" t="n"/>
      <c r="H501" s="27" t="n"/>
    </row>
    <row r="502" ht="17.25" customHeight="1" s="322">
      <c r="A502" s="27" t="n"/>
      <c r="B502" s="506" t="n"/>
      <c r="C502" s="141" t="n"/>
      <c r="D502" s="141" t="n"/>
      <c r="E502" s="141" t="n"/>
      <c r="F502" s="141" t="n"/>
      <c r="G502" s="143" t="n"/>
      <c r="H502" s="27" t="n"/>
    </row>
    <row r="503" ht="17.25" customHeight="1" s="322">
      <c r="A503" s="27" t="n"/>
      <c r="B503" s="506" t="n"/>
      <c r="C503" s="141" t="n"/>
      <c r="D503" s="141" t="n"/>
      <c r="E503" s="141" t="n"/>
      <c r="F503" s="141" t="n"/>
      <c r="G503" s="143" t="n"/>
      <c r="H503" s="27" t="n"/>
    </row>
    <row r="504" ht="17.25" customHeight="1" s="322">
      <c r="A504" s="27" t="n"/>
      <c r="B504" s="506" t="n"/>
      <c r="C504" s="141" t="n"/>
      <c r="D504" s="141" t="n"/>
      <c r="E504" s="141" t="n"/>
      <c r="F504" s="141" t="n"/>
      <c r="G504" s="143" t="n"/>
      <c r="H504" s="27" t="n"/>
    </row>
    <row r="505" ht="17.25" customHeight="1" s="322">
      <c r="A505" s="27" t="n"/>
      <c r="B505" s="506" t="n"/>
      <c r="C505" s="141" t="n"/>
      <c r="D505" s="141" t="n"/>
      <c r="E505" s="141" t="n"/>
      <c r="F505" s="141" t="n"/>
      <c r="G505" s="143" t="n"/>
      <c r="H505" s="27" t="n"/>
    </row>
    <row r="506" ht="17.25" customHeight="1" s="322">
      <c r="A506" s="27" t="n"/>
      <c r="B506" s="506" t="n"/>
      <c r="C506" s="141" t="n"/>
      <c r="D506" s="141" t="n"/>
      <c r="E506" s="141" t="n"/>
      <c r="F506" s="141" t="n"/>
      <c r="G506" s="143" t="n"/>
      <c r="H506" s="27" t="n"/>
    </row>
    <row r="507" ht="17.25" customHeight="1" s="322">
      <c r="A507" s="27" t="n"/>
      <c r="B507" s="506" t="n"/>
      <c r="C507" s="141" t="n"/>
      <c r="D507" s="141" t="n"/>
      <c r="E507" s="141" t="n"/>
      <c r="F507" s="141" t="n"/>
      <c r="G507" s="143" t="n"/>
      <c r="H507" s="27" t="n"/>
    </row>
    <row r="508" ht="17.25" customHeight="1" s="322">
      <c r="A508" s="27" t="n"/>
      <c r="B508" s="506" t="n"/>
      <c r="C508" s="141" t="n"/>
      <c r="D508" s="141" t="n"/>
      <c r="E508" s="141" t="n"/>
      <c r="F508" s="141" t="n"/>
      <c r="G508" s="143" t="n"/>
      <c r="H508" s="27" t="n"/>
    </row>
    <row r="509" ht="17.25" customHeight="1" s="322">
      <c r="A509" s="27" t="n"/>
      <c r="B509" s="506" t="n"/>
      <c r="C509" s="141" t="n"/>
      <c r="D509" s="141" t="n"/>
      <c r="E509" s="141" t="n"/>
      <c r="F509" s="141" t="n"/>
      <c r="G509" s="143" t="n"/>
      <c r="H509" s="27" t="n"/>
    </row>
    <row r="510" ht="17.25" customHeight="1" s="322">
      <c r="A510" s="27" t="n"/>
      <c r="B510" s="506" t="n"/>
      <c r="C510" s="141" t="n"/>
      <c r="D510" s="141" t="n"/>
      <c r="E510" s="141" t="n"/>
      <c r="F510" s="141" t="n"/>
      <c r="G510" s="143" t="n"/>
      <c r="H510" s="27" t="n"/>
    </row>
    <row r="511" ht="17.25" customHeight="1" s="322">
      <c r="A511" s="27" t="n"/>
      <c r="B511" s="506" t="n"/>
      <c r="C511" s="141" t="n"/>
      <c r="D511" s="141" t="n"/>
      <c r="E511" s="141" t="n"/>
      <c r="F511" s="141" t="n"/>
      <c r="G511" s="143" t="n"/>
      <c r="H511" s="27" t="n"/>
    </row>
    <row r="512" ht="17.25" customHeight="1" s="322">
      <c r="A512" s="27" t="n"/>
      <c r="B512" s="506" t="n"/>
      <c r="C512" s="141" t="n"/>
      <c r="D512" s="141" t="n"/>
      <c r="E512" s="141" t="n"/>
      <c r="F512" s="141" t="n"/>
      <c r="G512" s="143" t="n"/>
      <c r="H512" s="27" t="n"/>
    </row>
    <row r="513" ht="17.25" customHeight="1" s="322">
      <c r="A513" s="27" t="n"/>
      <c r="B513" s="506" t="n"/>
      <c r="C513" s="141" t="n"/>
      <c r="D513" s="141" t="n"/>
      <c r="E513" s="141" t="n"/>
      <c r="F513" s="141" t="n"/>
      <c r="G513" s="143" t="n"/>
      <c r="H513" s="27" t="n"/>
    </row>
    <row r="514" ht="17.25" customHeight="1" s="322">
      <c r="A514" s="27" t="n"/>
      <c r="B514" s="506" t="n"/>
      <c r="C514" s="141" t="n"/>
      <c r="D514" s="141" t="n"/>
      <c r="E514" s="141" t="n"/>
      <c r="F514" s="141" t="n"/>
      <c r="G514" s="143" t="n"/>
      <c r="H514" s="27" t="n"/>
    </row>
    <row r="515" ht="17.25" customHeight="1" s="322">
      <c r="A515" s="27" t="n"/>
      <c r="B515" s="506" t="n"/>
      <c r="C515" s="141" t="n"/>
      <c r="D515" s="141" t="n"/>
      <c r="E515" s="141" t="n"/>
      <c r="F515" s="141" t="n"/>
      <c r="G515" s="143" t="n"/>
      <c r="H515" s="27" t="n"/>
    </row>
    <row r="516" ht="17.25" customHeight="1" s="322">
      <c r="A516" s="27" t="n"/>
      <c r="B516" s="506" t="n"/>
      <c r="C516" s="141" t="n"/>
      <c r="D516" s="141" t="n"/>
      <c r="E516" s="141" t="n"/>
      <c r="F516" s="141" t="n"/>
      <c r="G516" s="143" t="n"/>
      <c r="H516" s="27" t="n"/>
    </row>
    <row r="517" ht="17.25" customHeight="1" s="322">
      <c r="A517" s="27" t="n"/>
      <c r="B517" s="506" t="n"/>
      <c r="C517" s="141" t="n"/>
      <c r="D517" s="141" t="n"/>
      <c r="E517" s="141" t="n"/>
      <c r="F517" s="141" t="n"/>
      <c r="G517" s="143" t="n"/>
      <c r="H517" s="27" t="n"/>
    </row>
    <row r="518" ht="17.25" customHeight="1" s="322">
      <c r="A518" s="27" t="n"/>
      <c r="B518" s="506" t="n"/>
      <c r="C518" s="141" t="n"/>
      <c r="D518" s="141" t="n"/>
      <c r="E518" s="141" t="n"/>
      <c r="F518" s="141" t="n"/>
      <c r="G518" s="143" t="n"/>
      <c r="H518" s="27" t="n"/>
    </row>
    <row r="519" ht="17.25" customHeight="1" s="322">
      <c r="A519" s="27" t="n"/>
      <c r="B519" s="506" t="n"/>
      <c r="C519" s="141" t="n"/>
      <c r="D519" s="141" t="n"/>
      <c r="E519" s="141" t="n"/>
      <c r="F519" s="141" t="n"/>
      <c r="G519" s="143" t="n"/>
      <c r="H519" s="27" t="n"/>
    </row>
    <row r="520" ht="17.25" customHeight="1" s="322">
      <c r="A520" s="27" t="n"/>
      <c r="B520" s="506" t="n"/>
      <c r="C520" s="141" t="n"/>
      <c r="D520" s="141" t="n"/>
      <c r="E520" s="141" t="n"/>
      <c r="F520" s="141" t="n"/>
      <c r="G520" s="143" t="n"/>
      <c r="H520" s="27" t="n"/>
    </row>
    <row r="521" ht="17.25" customHeight="1" s="322">
      <c r="A521" s="27" t="n"/>
      <c r="B521" s="506" t="n"/>
      <c r="C521" s="141" t="n"/>
      <c r="D521" s="141" t="n"/>
      <c r="E521" s="141" t="n"/>
      <c r="F521" s="141" t="n"/>
      <c r="G521" s="143" t="n"/>
      <c r="H521" s="27" t="n"/>
    </row>
    <row r="522" ht="17.25" customHeight="1" s="322">
      <c r="A522" s="27" t="n"/>
      <c r="B522" s="506" t="n"/>
      <c r="C522" s="141" t="n"/>
      <c r="D522" s="141" t="n"/>
      <c r="E522" s="141" t="n"/>
      <c r="F522" s="141" t="n"/>
      <c r="G522" s="143" t="n"/>
      <c r="H522" s="27" t="n"/>
    </row>
    <row r="523" ht="17.25" customHeight="1" s="322">
      <c r="A523" s="27" t="n"/>
      <c r="B523" s="506" t="n"/>
      <c r="C523" s="141" t="n"/>
      <c r="D523" s="141" t="n"/>
      <c r="E523" s="141" t="n"/>
      <c r="F523" s="141" t="n"/>
      <c r="G523" s="143" t="n"/>
      <c r="H523" s="27" t="n"/>
    </row>
    <row r="524" ht="17.25" customHeight="1" s="322">
      <c r="A524" s="27" t="n"/>
      <c r="B524" s="506" t="n"/>
      <c r="C524" s="141" t="n"/>
      <c r="D524" s="141" t="n"/>
      <c r="E524" s="141" t="n"/>
      <c r="F524" s="141" t="n"/>
      <c r="G524" s="143" t="n"/>
      <c r="H524" s="27" t="n"/>
    </row>
    <row r="525" ht="17.25" customHeight="1" s="322">
      <c r="A525" s="27" t="n"/>
      <c r="B525" s="506" t="n"/>
      <c r="C525" s="141" t="n"/>
      <c r="D525" s="141" t="n"/>
      <c r="E525" s="141" t="n"/>
      <c r="F525" s="141" t="n"/>
      <c r="G525" s="143" t="n"/>
      <c r="H525" s="27" t="n"/>
    </row>
    <row r="526" ht="17.25" customHeight="1" s="322">
      <c r="A526" s="27" t="n"/>
      <c r="B526" s="506" t="n"/>
      <c r="C526" s="141" t="n"/>
      <c r="D526" s="141" t="n"/>
      <c r="E526" s="141" t="n"/>
      <c r="F526" s="141" t="n"/>
      <c r="G526" s="143" t="n"/>
      <c r="H526" s="27" t="n"/>
    </row>
    <row r="527" ht="17.25" customHeight="1" s="322">
      <c r="A527" s="27" t="n"/>
      <c r="B527" s="506" t="n"/>
      <c r="C527" s="141" t="n"/>
      <c r="D527" s="141" t="n"/>
      <c r="E527" s="141" t="n"/>
      <c r="F527" s="141" t="n"/>
      <c r="G527" s="143" t="n"/>
      <c r="H527" s="27" t="n"/>
    </row>
    <row r="528" ht="17.25" customHeight="1" s="322">
      <c r="A528" s="27" t="n"/>
      <c r="B528" s="506" t="n"/>
      <c r="C528" s="141" t="n"/>
      <c r="D528" s="141" t="n"/>
      <c r="E528" s="141" t="n"/>
      <c r="F528" s="141" t="n"/>
      <c r="G528" s="143" t="n"/>
      <c r="H528" s="27" t="n"/>
    </row>
    <row r="529" ht="17.25" customHeight="1" s="322">
      <c r="A529" s="27" t="n"/>
      <c r="B529" s="506" t="n"/>
      <c r="C529" s="141" t="n"/>
      <c r="D529" s="141" t="n"/>
      <c r="E529" s="141" t="n"/>
      <c r="F529" s="141" t="n"/>
      <c r="G529" s="143" t="n"/>
      <c r="H529" s="27" t="n"/>
    </row>
    <row r="530" ht="17.25" customHeight="1" s="322">
      <c r="A530" s="27" t="n"/>
      <c r="B530" s="506" t="n"/>
      <c r="C530" s="141" t="n"/>
      <c r="D530" s="141" t="n"/>
      <c r="E530" s="141" t="n"/>
      <c r="F530" s="141" t="n"/>
      <c r="G530" s="143" t="n"/>
      <c r="H530" s="27" t="n"/>
    </row>
    <row r="531" ht="17.25" customHeight="1" s="322">
      <c r="A531" s="27" t="n"/>
      <c r="B531" s="506" t="n"/>
      <c r="C531" s="141" t="n"/>
      <c r="D531" s="141" t="n"/>
      <c r="E531" s="141" t="n"/>
      <c r="F531" s="141" t="n"/>
      <c r="G531" s="143" t="n"/>
      <c r="H531" s="27" t="n"/>
    </row>
    <row r="532" ht="17.25" customHeight="1" s="322">
      <c r="A532" s="27" t="n"/>
      <c r="B532" s="506" t="n"/>
      <c r="C532" s="141" t="n"/>
      <c r="D532" s="141" t="n"/>
      <c r="E532" s="141" t="n"/>
      <c r="F532" s="141" t="n"/>
      <c r="G532" s="143" t="n"/>
      <c r="H532" s="27" t="n"/>
    </row>
    <row r="533" ht="17.25" customHeight="1" s="322">
      <c r="A533" s="27" t="n"/>
      <c r="B533" s="506" t="n"/>
      <c r="C533" s="141" t="n"/>
      <c r="D533" s="141" t="n"/>
      <c r="E533" s="141" t="n"/>
      <c r="F533" s="141" t="n"/>
      <c r="G533" s="143" t="n"/>
      <c r="H533" s="27" t="n"/>
    </row>
    <row r="534" ht="17.25" customHeight="1" s="322">
      <c r="A534" s="27" t="n"/>
      <c r="B534" s="506" t="n"/>
      <c r="C534" s="141" t="n"/>
      <c r="D534" s="141" t="n"/>
      <c r="E534" s="141" t="n"/>
      <c r="F534" s="141" t="n"/>
      <c r="G534" s="143" t="n"/>
      <c r="H534" s="27" t="n"/>
    </row>
    <row r="535" ht="17.25" customHeight="1" s="322">
      <c r="A535" s="27" t="n"/>
      <c r="B535" s="506" t="n"/>
      <c r="C535" s="141" t="n"/>
      <c r="D535" s="141" t="n"/>
      <c r="E535" s="141" t="n"/>
      <c r="F535" s="141" t="n"/>
      <c r="G535" s="143" t="n"/>
      <c r="H535" s="27" t="n"/>
    </row>
    <row r="536" ht="17.25" customHeight="1" s="322">
      <c r="A536" s="27" t="n"/>
      <c r="B536" s="506" t="n"/>
      <c r="C536" s="141" t="n"/>
      <c r="D536" s="141" t="n"/>
      <c r="E536" s="141" t="n"/>
      <c r="F536" s="141" t="n"/>
      <c r="G536" s="143" t="n"/>
      <c r="H536" s="27" t="n"/>
    </row>
    <row r="537" ht="17.25" customHeight="1" s="322">
      <c r="A537" s="27" t="n"/>
      <c r="B537" s="506" t="n"/>
      <c r="C537" s="141" t="n"/>
      <c r="D537" s="141" t="n"/>
      <c r="E537" s="141" t="n"/>
      <c r="F537" s="141" t="n"/>
      <c r="G537" s="143" t="n"/>
      <c r="H537" s="27" t="n"/>
    </row>
    <row r="538" ht="17.25" customHeight="1" s="322">
      <c r="A538" s="27" t="n"/>
      <c r="B538" s="506" t="n"/>
      <c r="C538" s="141" t="n"/>
      <c r="D538" s="141" t="n"/>
      <c r="E538" s="141" t="n"/>
      <c r="F538" s="141" t="n"/>
      <c r="G538" s="143" t="n"/>
      <c r="H538" s="27" t="n"/>
    </row>
    <row r="539" ht="17.25" customHeight="1" s="322">
      <c r="A539" s="27" t="n"/>
      <c r="B539" s="506" t="n"/>
      <c r="C539" s="141" t="n"/>
      <c r="D539" s="141" t="n"/>
      <c r="E539" s="141" t="n"/>
      <c r="F539" s="141" t="n"/>
      <c r="G539" s="143" t="n"/>
      <c r="H539" s="27" t="n"/>
    </row>
    <row r="540" ht="17.25" customHeight="1" s="322">
      <c r="A540" s="27" t="n"/>
      <c r="B540" s="506" t="n"/>
      <c r="C540" s="141" t="n"/>
      <c r="D540" s="141" t="n"/>
      <c r="E540" s="141" t="n"/>
      <c r="F540" s="141" t="n"/>
      <c r="G540" s="143" t="n"/>
      <c r="H540" s="27" t="n"/>
    </row>
    <row r="541" ht="17.25" customHeight="1" s="322">
      <c r="A541" s="27" t="n"/>
      <c r="B541" s="506" t="n"/>
      <c r="C541" s="141" t="n"/>
      <c r="D541" s="141" t="n"/>
      <c r="E541" s="141" t="n"/>
      <c r="F541" s="141" t="n"/>
      <c r="G541" s="143" t="n"/>
      <c r="H541" s="27" t="n"/>
    </row>
    <row r="542" ht="17.25" customHeight="1" s="322">
      <c r="A542" s="27" t="n"/>
      <c r="B542" s="506" t="n"/>
      <c r="C542" s="141" t="n"/>
      <c r="D542" s="141" t="n"/>
      <c r="E542" s="141" t="n"/>
      <c r="F542" s="141" t="n"/>
      <c r="G542" s="143" t="n"/>
      <c r="H542" s="27" t="n"/>
    </row>
    <row r="543" ht="17.25" customHeight="1" s="322">
      <c r="A543" s="27" t="n"/>
      <c r="B543" s="506" t="n"/>
      <c r="C543" s="141" t="n"/>
      <c r="D543" s="141" t="n"/>
      <c r="E543" s="141" t="n"/>
      <c r="F543" s="141" t="n"/>
      <c r="G543" s="143" t="n"/>
      <c r="H543" s="27" t="n"/>
    </row>
    <row r="544" ht="17.25" customHeight="1" s="322">
      <c r="A544" s="27" t="n"/>
      <c r="B544" s="506" t="n"/>
      <c r="C544" s="141" t="n"/>
      <c r="D544" s="141" t="n"/>
      <c r="E544" s="141" t="n"/>
      <c r="F544" s="141" t="n"/>
      <c r="G544" s="143" t="n"/>
      <c r="H544" s="27" t="n"/>
    </row>
    <row r="545" ht="17.25" customHeight="1" s="322">
      <c r="A545" s="27" t="n"/>
      <c r="B545" s="506" t="n"/>
      <c r="C545" s="141" t="n"/>
      <c r="D545" s="141" t="n"/>
      <c r="E545" s="141" t="n"/>
      <c r="F545" s="141" t="n"/>
      <c r="G545" s="143" t="n"/>
      <c r="H545" s="27" t="n"/>
    </row>
    <row r="546" ht="17.25" customHeight="1" s="322">
      <c r="A546" s="27" t="n"/>
      <c r="B546" s="506" t="n"/>
      <c r="C546" s="141" t="n"/>
      <c r="D546" s="141" t="n"/>
      <c r="E546" s="141" t="n"/>
      <c r="F546" s="141" t="n"/>
      <c r="G546" s="143" t="n"/>
      <c r="H546" s="27" t="n"/>
    </row>
    <row r="547" ht="17.25" customHeight="1" s="322">
      <c r="A547" s="27" t="n"/>
      <c r="B547" s="506" t="n"/>
      <c r="C547" s="141" t="n"/>
      <c r="D547" s="141" t="n"/>
      <c r="E547" s="141" t="n"/>
      <c r="F547" s="141" t="n"/>
      <c r="G547" s="143" t="n"/>
      <c r="H547" s="27" t="n"/>
    </row>
    <row r="548" ht="17.25" customHeight="1" s="322">
      <c r="A548" s="27" t="n"/>
      <c r="B548" s="506" t="n"/>
      <c r="C548" s="141" t="n"/>
      <c r="D548" s="141" t="n"/>
      <c r="E548" s="141" t="n"/>
      <c r="F548" s="141" t="n"/>
      <c r="G548" s="143" t="n"/>
      <c r="H548" s="27" t="n"/>
    </row>
    <row r="549" ht="17.25" customHeight="1" s="322">
      <c r="A549" s="27" t="n"/>
      <c r="B549" s="506" t="n"/>
      <c r="C549" s="141" t="n"/>
      <c r="D549" s="141" t="n"/>
      <c r="E549" s="141" t="n"/>
      <c r="F549" s="141" t="n"/>
      <c r="G549" s="143" t="n"/>
      <c r="H549" s="27" t="n"/>
    </row>
    <row r="550" ht="17.25" customHeight="1" s="322">
      <c r="A550" s="27" t="n"/>
      <c r="B550" s="506" t="n"/>
      <c r="C550" s="141" t="n"/>
      <c r="D550" s="141" t="n"/>
      <c r="E550" s="141" t="n"/>
      <c r="F550" s="141" t="n"/>
      <c r="G550" s="143" t="n"/>
      <c r="H550" s="27" t="n"/>
    </row>
    <row r="551" ht="17.25" customHeight="1" s="322">
      <c r="A551" s="27" t="n"/>
      <c r="B551" s="506" t="n"/>
      <c r="C551" s="141" t="n"/>
      <c r="D551" s="141" t="n"/>
      <c r="E551" s="141" t="n"/>
      <c r="F551" s="141" t="n"/>
      <c r="G551" s="143" t="n"/>
      <c r="H551" s="27" t="n"/>
    </row>
    <row r="552" ht="17.25" customHeight="1" s="322">
      <c r="A552" s="27" t="n"/>
      <c r="B552" s="506" t="n"/>
      <c r="C552" s="141" t="n"/>
      <c r="D552" s="141" t="n"/>
      <c r="E552" s="141" t="n"/>
      <c r="F552" s="141" t="n"/>
      <c r="G552" s="143" t="n"/>
      <c r="H552" s="27" t="n"/>
    </row>
    <row r="553" ht="17.25" customHeight="1" s="322">
      <c r="A553" s="27" t="n"/>
      <c r="B553" s="506" t="n"/>
      <c r="C553" s="141" t="n"/>
      <c r="D553" s="141" t="n"/>
      <c r="E553" s="141" t="n"/>
      <c r="F553" s="141" t="n"/>
      <c r="G553" s="143" t="n"/>
      <c r="H553" s="27" t="n"/>
    </row>
    <row r="554" ht="17.25" customHeight="1" s="322">
      <c r="A554" s="27" t="n"/>
      <c r="B554" s="506" t="n"/>
      <c r="C554" s="141" t="n"/>
      <c r="D554" s="141" t="n"/>
      <c r="E554" s="141" t="n"/>
      <c r="F554" s="141" t="n"/>
      <c r="G554" s="143" t="n"/>
      <c r="H554" s="27" t="n"/>
    </row>
    <row r="555" ht="17.25" customHeight="1" s="322">
      <c r="A555" s="27" t="n"/>
      <c r="B555" s="506" t="n"/>
      <c r="C555" s="141" t="n"/>
      <c r="D555" s="141" t="n"/>
      <c r="E555" s="141" t="n"/>
      <c r="F555" s="141" t="n"/>
      <c r="G555" s="143" t="n"/>
      <c r="H555" s="27" t="n"/>
    </row>
    <row r="556" ht="17.25" customHeight="1" s="322">
      <c r="A556" s="27" t="n"/>
      <c r="B556" s="506" t="n"/>
      <c r="C556" s="141" t="n"/>
      <c r="D556" s="141" t="n"/>
      <c r="E556" s="141" t="n"/>
      <c r="F556" s="141" t="n"/>
      <c r="G556" s="143" t="n"/>
      <c r="H556" s="27" t="n"/>
    </row>
    <row r="557" ht="17.25" customHeight="1" s="322">
      <c r="A557" s="27" t="n"/>
      <c r="B557" s="506" t="n"/>
      <c r="C557" s="141" t="n"/>
      <c r="D557" s="141" t="n"/>
      <c r="E557" s="141" t="n"/>
      <c r="F557" s="141" t="n"/>
      <c r="G557" s="143" t="n"/>
      <c r="H557" s="27" t="n"/>
    </row>
    <row r="558" ht="17.25" customHeight="1" s="322">
      <c r="A558" s="27" t="n"/>
      <c r="B558" s="506" t="n"/>
      <c r="C558" s="141" t="n"/>
      <c r="D558" s="141" t="n"/>
      <c r="E558" s="141" t="n"/>
      <c r="F558" s="141" t="n"/>
      <c r="G558" s="143" t="n"/>
      <c r="H558" s="27" t="n"/>
    </row>
    <row r="559" ht="17.25" customHeight="1" s="322">
      <c r="A559" s="27" t="n"/>
      <c r="B559" s="506" t="n"/>
      <c r="C559" s="141" t="n"/>
      <c r="D559" s="141" t="n"/>
      <c r="E559" s="141" t="n"/>
      <c r="F559" s="141" t="n"/>
      <c r="G559" s="143" t="n"/>
      <c r="H559" s="27" t="n"/>
    </row>
    <row r="560" ht="17.25" customHeight="1" s="322">
      <c r="A560" s="27" t="n"/>
      <c r="B560" s="506" t="n"/>
      <c r="C560" s="141" t="n"/>
      <c r="D560" s="141" t="n"/>
      <c r="E560" s="141" t="n"/>
      <c r="F560" s="141" t="n"/>
      <c r="G560" s="143" t="n"/>
      <c r="H560" s="27" t="n"/>
    </row>
    <row r="561" ht="17.25" customHeight="1" s="322">
      <c r="A561" s="27" t="n"/>
      <c r="B561" s="506" t="n"/>
      <c r="C561" s="141" t="n"/>
      <c r="D561" s="141" t="n"/>
      <c r="E561" s="141" t="n"/>
      <c r="F561" s="141" t="n"/>
      <c r="G561" s="143" t="n"/>
      <c r="H561" s="27" t="n"/>
    </row>
    <row r="562" ht="17.25" customHeight="1" s="322">
      <c r="A562" s="27" t="n"/>
      <c r="B562" s="506" t="n"/>
      <c r="C562" s="141" t="n"/>
      <c r="D562" s="141" t="n"/>
      <c r="E562" s="141" t="n"/>
      <c r="F562" s="141" t="n"/>
      <c r="G562" s="143" t="n"/>
      <c r="H562" s="27" t="n"/>
    </row>
    <row r="563" ht="17.25" customHeight="1" s="322">
      <c r="A563" s="27" t="n"/>
      <c r="B563" s="506" t="n"/>
      <c r="C563" s="141" t="n"/>
      <c r="D563" s="141" t="n"/>
      <c r="E563" s="141" t="n"/>
      <c r="F563" s="141" t="n"/>
      <c r="G563" s="143" t="n"/>
      <c r="H563" s="27" t="n"/>
    </row>
    <row r="564" ht="17.25" customHeight="1" s="322">
      <c r="A564" s="27" t="n"/>
      <c r="B564" s="506" t="n"/>
      <c r="C564" s="141" t="n"/>
      <c r="D564" s="141" t="n"/>
      <c r="E564" s="141" t="n"/>
      <c r="F564" s="141" t="n"/>
      <c r="G564" s="143" t="n"/>
      <c r="H564" s="27" t="n"/>
    </row>
    <row r="565" ht="17.25" customHeight="1" s="322">
      <c r="A565" s="27" t="n"/>
      <c r="B565" s="506" t="n"/>
      <c r="C565" s="141" t="n"/>
      <c r="D565" s="141" t="n"/>
      <c r="E565" s="141" t="n"/>
      <c r="F565" s="141" t="n"/>
      <c r="G565" s="143" t="n"/>
      <c r="H565" s="27" t="n"/>
    </row>
    <row r="566" ht="17.25" customHeight="1" s="322">
      <c r="A566" s="27" t="n"/>
      <c r="B566" s="506" t="n"/>
      <c r="C566" s="141" t="n"/>
      <c r="D566" s="141" t="n"/>
      <c r="E566" s="141" t="n"/>
      <c r="F566" s="141" t="n"/>
      <c r="G566" s="143" t="n"/>
      <c r="H566" s="27" t="n"/>
    </row>
    <row r="567" ht="17.25" customHeight="1" s="322">
      <c r="A567" s="27" t="n"/>
      <c r="B567" s="506" t="n"/>
      <c r="C567" s="141" t="n"/>
      <c r="D567" s="141" t="n"/>
      <c r="E567" s="141" t="n"/>
      <c r="F567" s="141" t="n"/>
      <c r="G567" s="143" t="n"/>
      <c r="H567" s="27" t="n"/>
    </row>
    <row r="568" ht="17.25" customHeight="1" s="322">
      <c r="A568" s="27" t="n"/>
      <c r="B568" s="506" t="n"/>
      <c r="C568" s="141" t="n"/>
      <c r="D568" s="141" t="n"/>
      <c r="E568" s="141" t="n"/>
      <c r="F568" s="141" t="n"/>
      <c r="G568" s="143" t="n"/>
      <c r="H568" s="27" t="n"/>
    </row>
    <row r="569" ht="17.25" customHeight="1" s="322">
      <c r="A569" s="27" t="n"/>
      <c r="B569" s="506" t="n"/>
      <c r="C569" s="141" t="n"/>
      <c r="D569" s="141" t="n"/>
      <c r="E569" s="141" t="n"/>
      <c r="F569" s="141" t="n"/>
      <c r="G569" s="143" t="n"/>
      <c r="H569" s="27" t="n"/>
    </row>
    <row r="570" ht="17.25" customHeight="1" s="322">
      <c r="A570" s="27" t="n"/>
      <c r="B570" s="506" t="n"/>
      <c r="C570" s="141" t="n"/>
      <c r="D570" s="141" t="n"/>
      <c r="E570" s="141" t="n"/>
      <c r="F570" s="141" t="n"/>
      <c r="G570" s="143" t="n"/>
      <c r="H570" s="27" t="n"/>
    </row>
    <row r="571" ht="17.25" customHeight="1" s="322">
      <c r="A571" s="27" t="n"/>
      <c r="B571" s="506" t="n"/>
      <c r="C571" s="141" t="n"/>
      <c r="D571" s="141" t="n"/>
      <c r="E571" s="141" t="n"/>
      <c r="F571" s="141" t="n"/>
      <c r="G571" s="143" t="n"/>
      <c r="H571" s="27" t="n"/>
    </row>
    <row r="572" ht="17.25" customHeight="1" s="322">
      <c r="A572" s="27" t="n"/>
      <c r="B572" s="506" t="n"/>
      <c r="C572" s="141" t="n"/>
      <c r="D572" s="141" t="n"/>
      <c r="E572" s="141" t="n"/>
      <c r="F572" s="141" t="n"/>
      <c r="G572" s="143" t="n"/>
      <c r="H572" s="27" t="n"/>
    </row>
    <row r="573" ht="17.25" customHeight="1" s="322">
      <c r="A573" s="27" t="n"/>
      <c r="B573" s="506" t="n"/>
      <c r="C573" s="141" t="n"/>
      <c r="D573" s="141" t="n"/>
      <c r="E573" s="141" t="n"/>
      <c r="F573" s="141" t="n"/>
      <c r="G573" s="143" t="n"/>
      <c r="H573" s="27" t="n"/>
    </row>
    <row r="574" ht="17.25" customHeight="1" s="322">
      <c r="A574" s="27" t="n"/>
      <c r="B574" s="506" t="n"/>
      <c r="C574" s="141" t="n"/>
      <c r="D574" s="141" t="n"/>
      <c r="E574" s="141" t="n"/>
      <c r="F574" s="141" t="n"/>
      <c r="G574" s="143" t="n"/>
      <c r="H574" s="27" t="n"/>
    </row>
    <row r="575" ht="17.25" customHeight="1" s="322">
      <c r="A575" s="27" t="n"/>
      <c r="B575" s="506" t="n"/>
      <c r="C575" s="141" t="n"/>
      <c r="D575" s="141" t="n"/>
      <c r="E575" s="141" t="n"/>
      <c r="F575" s="141" t="n"/>
      <c r="G575" s="143" t="n"/>
      <c r="H575" s="27" t="n"/>
    </row>
    <row r="576" ht="17.25" customHeight="1" s="322">
      <c r="A576" s="27" t="n"/>
      <c r="B576" s="506" t="n"/>
      <c r="C576" s="141" t="n"/>
      <c r="D576" s="141" t="n"/>
      <c r="E576" s="141" t="n"/>
      <c r="F576" s="141" t="n"/>
      <c r="G576" s="143" t="n"/>
      <c r="H576" s="27" t="n"/>
    </row>
    <row r="577" ht="17.25" customHeight="1" s="322">
      <c r="A577" s="27" t="n"/>
      <c r="B577" s="506" t="n"/>
      <c r="C577" s="141" t="n"/>
      <c r="D577" s="141" t="n"/>
      <c r="E577" s="141" t="n"/>
      <c r="F577" s="141" t="n"/>
      <c r="G577" s="143" t="n"/>
      <c r="H577" s="27" t="n"/>
    </row>
    <row r="578" ht="17.25" customHeight="1" s="322">
      <c r="A578" s="27" t="n"/>
      <c r="B578" s="506" t="n"/>
      <c r="C578" s="141" t="n"/>
      <c r="D578" s="141" t="n"/>
      <c r="E578" s="141" t="n"/>
      <c r="F578" s="141" t="n"/>
      <c r="G578" s="143" t="n"/>
      <c r="H578" s="27" t="n"/>
    </row>
    <row r="579" ht="17.25" customHeight="1" s="322">
      <c r="A579" s="27" t="n"/>
      <c r="B579" s="506" t="n"/>
      <c r="C579" s="141" t="n"/>
      <c r="D579" s="141" t="n"/>
      <c r="E579" s="141" t="n"/>
      <c r="F579" s="141" t="n"/>
      <c r="G579" s="143" t="n"/>
      <c r="H579" s="27" t="n"/>
    </row>
    <row r="580" ht="17.25" customHeight="1" s="322">
      <c r="A580" s="27" t="n"/>
      <c r="B580" s="506" t="n"/>
      <c r="C580" s="141" t="n"/>
      <c r="D580" s="141" t="n"/>
      <c r="E580" s="141" t="n"/>
      <c r="F580" s="141" t="n"/>
      <c r="G580" s="143" t="n"/>
      <c r="H580" s="27" t="n"/>
    </row>
    <row r="581" ht="17.25" customHeight="1" s="322">
      <c r="A581" s="27" t="n"/>
      <c r="B581" s="506" t="n"/>
      <c r="C581" s="141" t="n"/>
      <c r="D581" s="141" t="n"/>
      <c r="E581" s="141" t="n"/>
      <c r="F581" s="141" t="n"/>
      <c r="G581" s="143" t="n"/>
      <c r="H581" s="27" t="n"/>
    </row>
    <row r="582" ht="17.25" customHeight="1" s="322">
      <c r="A582" s="27" t="n"/>
      <c r="B582" s="506" t="n"/>
      <c r="C582" s="141" t="n"/>
      <c r="D582" s="141" t="n"/>
      <c r="E582" s="141" t="n"/>
      <c r="F582" s="141" t="n"/>
      <c r="G582" s="143" t="n"/>
      <c r="H582" s="27" t="n"/>
    </row>
    <row r="583" ht="17.25" customHeight="1" s="322">
      <c r="A583" s="27" t="n"/>
      <c r="B583" s="506" t="n"/>
      <c r="C583" s="141" t="n"/>
      <c r="D583" s="141" t="n"/>
      <c r="E583" s="141" t="n"/>
      <c r="F583" s="141" t="n"/>
      <c r="G583" s="143" t="n"/>
      <c r="H583" s="27" t="n"/>
    </row>
    <row r="584" ht="17.25" customHeight="1" s="322">
      <c r="A584" s="27" t="n"/>
      <c r="B584" s="506" t="n"/>
      <c r="C584" s="141" t="n"/>
      <c r="D584" s="141" t="n"/>
      <c r="E584" s="141" t="n"/>
      <c r="F584" s="141" t="n"/>
      <c r="G584" s="143" t="n"/>
      <c r="H584" s="27" t="n"/>
    </row>
    <row r="585" ht="17.25" customHeight="1" s="322">
      <c r="A585" s="27" t="n"/>
      <c r="B585" s="506" t="n"/>
      <c r="C585" s="141" t="n"/>
      <c r="D585" s="141" t="n"/>
      <c r="E585" s="141" t="n"/>
      <c r="F585" s="141" t="n"/>
      <c r="G585" s="143" t="n"/>
      <c r="H585" s="27" t="n"/>
    </row>
    <row r="586" ht="17.25" customHeight="1" s="322">
      <c r="A586" s="27" t="n"/>
      <c r="B586" s="506" t="n"/>
      <c r="C586" s="141" t="n"/>
      <c r="D586" s="141" t="n"/>
      <c r="E586" s="141" t="n"/>
      <c r="F586" s="141" t="n"/>
      <c r="G586" s="143" t="n"/>
      <c r="H586" s="27" t="n"/>
    </row>
    <row r="587" ht="17.25" customHeight="1" s="322">
      <c r="A587" s="27" t="n"/>
      <c r="B587" s="506" t="n"/>
      <c r="C587" s="141" t="n"/>
      <c r="D587" s="141" t="n"/>
      <c r="E587" s="141" t="n"/>
      <c r="F587" s="141" t="n"/>
      <c r="G587" s="143" t="n"/>
      <c r="H587" s="27" t="n"/>
    </row>
    <row r="588" ht="17.25" customHeight="1" s="322">
      <c r="A588" s="27" t="n"/>
      <c r="B588" s="506" t="n"/>
      <c r="C588" s="141" t="n"/>
      <c r="D588" s="141" t="n"/>
      <c r="E588" s="141" t="n"/>
      <c r="F588" s="141" t="n"/>
      <c r="G588" s="143" t="n"/>
      <c r="H588" s="27" t="n"/>
    </row>
    <row r="589" ht="17.25" customHeight="1" s="322">
      <c r="A589" s="27" t="n"/>
      <c r="B589" s="506" t="n"/>
      <c r="C589" s="141" t="n"/>
      <c r="D589" s="141" t="n"/>
      <c r="E589" s="141" t="n"/>
      <c r="F589" s="141" t="n"/>
      <c r="G589" s="143" t="n"/>
      <c r="H589" s="27" t="n"/>
    </row>
    <row r="590" ht="17.25" customHeight="1" s="322">
      <c r="A590" s="27" t="n"/>
      <c r="B590" s="506" t="n"/>
      <c r="C590" s="141" t="n"/>
      <c r="D590" s="141" t="n"/>
      <c r="E590" s="141" t="n"/>
      <c r="F590" s="141" t="n"/>
      <c r="G590" s="143" t="n"/>
      <c r="H590" s="27" t="n"/>
    </row>
    <row r="591" ht="17.25" customHeight="1" s="322">
      <c r="A591" s="27" t="n"/>
      <c r="B591" s="506" t="n"/>
      <c r="C591" s="141" t="n"/>
      <c r="D591" s="141" t="n"/>
      <c r="E591" s="141" t="n"/>
      <c r="F591" s="141" t="n"/>
      <c r="G591" s="143" t="n"/>
      <c r="H591" s="27" t="n"/>
    </row>
    <row r="592" ht="17.25" customHeight="1" s="322">
      <c r="A592" s="27" t="n"/>
      <c r="B592" s="506" t="n"/>
      <c r="C592" s="141" t="n"/>
      <c r="D592" s="141" t="n"/>
      <c r="E592" s="141" t="n"/>
      <c r="F592" s="141" t="n"/>
      <c r="G592" s="143" t="n"/>
      <c r="H592" s="27" t="n"/>
    </row>
    <row r="593" ht="17.25" customHeight="1" s="322">
      <c r="A593" s="27" t="n"/>
      <c r="B593" s="506" t="n"/>
      <c r="C593" s="141" t="n"/>
      <c r="D593" s="141" t="n"/>
      <c r="E593" s="141" t="n"/>
      <c r="F593" s="141" t="n"/>
      <c r="G593" s="143" t="n"/>
      <c r="H593" s="27" t="n"/>
    </row>
    <row r="594" ht="17.25" customHeight="1" s="322">
      <c r="A594" s="27" t="n"/>
      <c r="B594" s="506" t="n"/>
      <c r="C594" s="141" t="n"/>
      <c r="D594" s="141" t="n"/>
      <c r="E594" s="141" t="n"/>
      <c r="F594" s="141" t="n"/>
      <c r="G594" s="143" t="n"/>
      <c r="H594" s="27" t="n"/>
    </row>
    <row r="595" ht="17.25" customHeight="1" s="322">
      <c r="A595" s="27" t="n"/>
      <c r="B595" s="506" t="n"/>
      <c r="C595" s="141" t="n"/>
      <c r="D595" s="141" t="n"/>
      <c r="E595" s="141" t="n"/>
      <c r="F595" s="141" t="n"/>
      <c r="G595" s="143" t="n"/>
      <c r="H595" s="27" t="n"/>
    </row>
    <row r="596" ht="17.25" customHeight="1" s="322">
      <c r="A596" s="27" t="n"/>
      <c r="B596" s="506" t="n"/>
      <c r="C596" s="141" t="n"/>
      <c r="D596" s="141" t="n"/>
      <c r="E596" s="141" t="n"/>
      <c r="F596" s="141" t="n"/>
      <c r="G596" s="143" t="n"/>
      <c r="H596" s="27" t="n"/>
    </row>
    <row r="597" ht="17.25" customHeight="1" s="322">
      <c r="A597" s="27" t="n"/>
      <c r="B597" s="506" t="n"/>
      <c r="C597" s="141" t="n"/>
      <c r="D597" s="141" t="n"/>
      <c r="E597" s="141" t="n"/>
      <c r="F597" s="141" t="n"/>
      <c r="G597" s="143" t="n"/>
      <c r="H597" s="27" t="n"/>
    </row>
    <row r="598" ht="17.25" customHeight="1" s="322">
      <c r="A598" s="27" t="n"/>
      <c r="B598" s="506" t="n"/>
      <c r="C598" s="141" t="n"/>
      <c r="D598" s="141" t="n"/>
      <c r="E598" s="141" t="n"/>
      <c r="F598" s="141" t="n"/>
      <c r="G598" s="143" t="n"/>
      <c r="H598" s="27" t="n"/>
    </row>
    <row r="599" ht="17.25" customHeight="1" s="322">
      <c r="A599" s="27" t="n"/>
      <c r="B599" s="506" t="n"/>
      <c r="C599" s="141" t="n"/>
      <c r="D599" s="141" t="n"/>
      <c r="E599" s="141" t="n"/>
      <c r="F599" s="141" t="n"/>
      <c r="G599" s="143" t="n"/>
      <c r="H599" s="27" t="n"/>
    </row>
    <row r="600" ht="17.25" customHeight="1" s="322">
      <c r="A600" s="27" t="n"/>
      <c r="B600" s="506" t="n"/>
      <c r="C600" s="141" t="n"/>
      <c r="D600" s="141" t="n"/>
      <c r="E600" s="141" t="n"/>
      <c r="F600" s="141" t="n"/>
      <c r="G600" s="143" t="n"/>
      <c r="H600" s="27" t="n"/>
    </row>
    <row r="601" ht="17.25" customHeight="1" s="322">
      <c r="A601" s="27" t="n"/>
      <c r="B601" s="506" t="n"/>
      <c r="C601" s="141" t="n"/>
      <c r="D601" s="141" t="n"/>
      <c r="E601" s="141" t="n"/>
      <c r="F601" s="141" t="n"/>
      <c r="G601" s="143" t="n"/>
      <c r="H601" s="27" t="n"/>
    </row>
    <row r="602" ht="17.25" customHeight="1" s="322">
      <c r="A602" s="27" t="n"/>
      <c r="B602" s="506" t="n"/>
      <c r="C602" s="141" t="n"/>
      <c r="D602" s="141" t="n"/>
      <c r="E602" s="141" t="n"/>
      <c r="F602" s="141" t="n"/>
      <c r="G602" s="143" t="n"/>
      <c r="H602" s="27" t="n"/>
    </row>
    <row r="603" ht="17.25" customHeight="1" s="322">
      <c r="A603" s="27" t="n"/>
      <c r="B603" s="506" t="n"/>
      <c r="C603" s="141" t="n"/>
      <c r="D603" s="141" t="n"/>
      <c r="E603" s="141" t="n"/>
      <c r="F603" s="141" t="n"/>
      <c r="G603" s="143" t="n"/>
      <c r="H603" s="27" t="n"/>
    </row>
    <row r="604" ht="17.25" customHeight="1" s="322">
      <c r="A604" s="27" t="n"/>
      <c r="B604" s="506" t="n"/>
      <c r="C604" s="141" t="n"/>
      <c r="D604" s="141" t="n"/>
      <c r="E604" s="141" t="n"/>
      <c r="F604" s="141" t="n"/>
      <c r="G604" s="143" t="n"/>
      <c r="H604" s="27" t="n"/>
    </row>
    <row r="605" ht="17.25" customHeight="1" s="322">
      <c r="A605" s="27" t="n"/>
      <c r="B605" s="506" t="n"/>
      <c r="C605" s="141" t="n"/>
      <c r="D605" s="141" t="n"/>
      <c r="E605" s="141" t="n"/>
      <c r="F605" s="141" t="n"/>
      <c r="G605" s="143" t="n"/>
      <c r="H605" s="27" t="n"/>
    </row>
    <row r="606" ht="17.25" customHeight="1" s="322">
      <c r="A606" s="27" t="n"/>
      <c r="B606" s="506" t="n"/>
      <c r="C606" s="141" t="n"/>
      <c r="D606" s="141" t="n"/>
      <c r="E606" s="141" t="n"/>
      <c r="F606" s="141" t="n"/>
      <c r="G606" s="143" t="n"/>
      <c r="H606" s="27" t="n"/>
    </row>
    <row r="607" ht="17.25" customHeight="1" s="322">
      <c r="A607" s="27" t="n"/>
      <c r="B607" s="506" t="n"/>
      <c r="C607" s="141" t="n"/>
      <c r="D607" s="141" t="n"/>
      <c r="E607" s="141" t="n"/>
      <c r="F607" s="141" t="n"/>
      <c r="G607" s="143" t="n"/>
      <c r="H607" s="27" t="n"/>
    </row>
    <row r="608" ht="17.25" customHeight="1" s="322">
      <c r="A608" s="27" t="n"/>
      <c r="B608" s="506" t="n"/>
      <c r="C608" s="141" t="n"/>
      <c r="D608" s="141" t="n"/>
      <c r="E608" s="141" t="n"/>
      <c r="F608" s="141" t="n"/>
      <c r="G608" s="143" t="n"/>
      <c r="H608" s="27" t="n"/>
    </row>
    <row r="609" ht="17.25" customHeight="1" s="322">
      <c r="A609" s="27" t="n"/>
      <c r="B609" s="506" t="n"/>
      <c r="C609" s="141" t="n"/>
      <c r="D609" s="141" t="n"/>
      <c r="E609" s="141" t="n"/>
      <c r="F609" s="141" t="n"/>
      <c r="G609" s="143" t="n"/>
      <c r="H609" s="27" t="n"/>
    </row>
    <row r="610" ht="17.25" customHeight="1" s="322">
      <c r="A610" s="27" t="n"/>
      <c r="B610" s="506" t="n"/>
      <c r="C610" s="141" t="n"/>
      <c r="D610" s="141" t="n"/>
      <c r="E610" s="141" t="n"/>
      <c r="F610" s="141" t="n"/>
      <c r="G610" s="143" t="n"/>
      <c r="H610" s="27" t="n"/>
    </row>
    <row r="611" ht="17.25" customHeight="1" s="322">
      <c r="A611" s="27" t="n"/>
      <c r="B611" s="506" t="n"/>
      <c r="C611" s="141" t="n"/>
      <c r="D611" s="141" t="n"/>
      <c r="E611" s="141" t="n"/>
      <c r="F611" s="141" t="n"/>
      <c r="G611" s="143" t="n"/>
      <c r="H611" s="27" t="n"/>
    </row>
    <row r="612" ht="17.25" customHeight="1" s="322">
      <c r="A612" s="27" t="n"/>
      <c r="B612" s="506" t="n"/>
      <c r="C612" s="141" t="n"/>
      <c r="D612" s="141" t="n"/>
      <c r="E612" s="141" t="n"/>
      <c r="F612" s="141" t="n"/>
      <c r="G612" s="143" t="n"/>
      <c r="H612" s="27" t="n"/>
    </row>
    <row r="613" ht="17.25" customHeight="1" s="322">
      <c r="A613" s="27" t="n"/>
      <c r="B613" s="506" t="n"/>
      <c r="C613" s="141" t="n"/>
      <c r="D613" s="141" t="n"/>
      <c r="E613" s="141" t="n"/>
      <c r="F613" s="141" t="n"/>
      <c r="G613" s="143" t="n"/>
      <c r="H613" s="27" t="n"/>
    </row>
    <row r="614" ht="17.25" customHeight="1" s="322">
      <c r="A614" s="27" t="n"/>
      <c r="B614" s="506" t="n"/>
      <c r="C614" s="141" t="n"/>
      <c r="D614" s="141" t="n"/>
      <c r="E614" s="141" t="n"/>
      <c r="F614" s="141" t="n"/>
      <c r="G614" s="143" t="n"/>
      <c r="H614" s="27" t="n"/>
    </row>
    <row r="615" ht="17.25" customHeight="1" s="322">
      <c r="A615" s="27" t="n"/>
      <c r="B615" s="506" t="n"/>
      <c r="C615" s="141" t="n"/>
      <c r="D615" s="141" t="n"/>
      <c r="E615" s="141" t="n"/>
      <c r="F615" s="141" t="n"/>
      <c r="G615" s="143" t="n"/>
      <c r="H615" s="27" t="n"/>
    </row>
    <row r="616" ht="17.25" customHeight="1" s="322">
      <c r="A616" s="27" t="n"/>
      <c r="B616" s="506" t="n"/>
      <c r="C616" s="141" t="n"/>
      <c r="D616" s="141" t="n"/>
      <c r="E616" s="141" t="n"/>
      <c r="F616" s="141" t="n"/>
      <c r="G616" s="143" t="n"/>
      <c r="H616" s="27" t="n"/>
    </row>
    <row r="617" ht="17.25" customHeight="1" s="322">
      <c r="A617" s="27" t="n"/>
      <c r="B617" s="506" t="n"/>
      <c r="C617" s="141" t="n"/>
      <c r="D617" s="141" t="n"/>
      <c r="E617" s="141" t="n"/>
      <c r="F617" s="141" t="n"/>
      <c r="G617" s="143" t="n"/>
      <c r="H617" s="27" t="n"/>
    </row>
    <row r="618" ht="17.25" customHeight="1" s="322">
      <c r="A618" s="27" t="n"/>
      <c r="B618" s="506" t="n"/>
      <c r="C618" s="141" t="n"/>
      <c r="D618" s="141" t="n"/>
      <c r="E618" s="141" t="n"/>
      <c r="F618" s="141" t="n"/>
      <c r="G618" s="143" t="n"/>
      <c r="H618" s="27" t="n"/>
    </row>
    <row r="619" ht="17.25" customHeight="1" s="322">
      <c r="A619" s="27" t="n"/>
      <c r="B619" s="506" t="n"/>
      <c r="C619" s="141" t="n"/>
      <c r="D619" s="141" t="n"/>
      <c r="E619" s="141" t="n"/>
      <c r="F619" s="141" t="n"/>
      <c r="G619" s="143" t="n"/>
      <c r="H619" s="27" t="n"/>
    </row>
    <row r="620" ht="17.25" customHeight="1" s="322">
      <c r="A620" s="27" t="n"/>
      <c r="B620" s="506" t="n"/>
      <c r="C620" s="141" t="n"/>
      <c r="D620" s="141" t="n"/>
      <c r="E620" s="141" t="n"/>
      <c r="F620" s="141" t="n"/>
      <c r="G620" s="143" t="n"/>
      <c r="H620" s="27" t="n"/>
    </row>
    <row r="621" ht="17.25" customHeight="1" s="322">
      <c r="A621" s="27" t="n"/>
      <c r="B621" s="506" t="n"/>
      <c r="C621" s="141" t="n"/>
      <c r="D621" s="141" t="n"/>
      <c r="E621" s="141" t="n"/>
      <c r="F621" s="141" t="n"/>
      <c r="G621" s="143" t="n"/>
      <c r="H621" s="27" t="n"/>
    </row>
    <row r="622" ht="17.25" customHeight="1" s="322">
      <c r="A622" s="27" t="n"/>
      <c r="B622" s="506" t="n"/>
      <c r="C622" s="141" t="n"/>
      <c r="D622" s="141" t="n"/>
      <c r="E622" s="141" t="n"/>
      <c r="F622" s="141" t="n"/>
      <c r="G622" s="143" t="n"/>
      <c r="H622" s="27" t="n"/>
    </row>
    <row r="623" ht="17.25" customHeight="1" s="322">
      <c r="A623" s="27" t="n"/>
      <c r="B623" s="506" t="n"/>
      <c r="C623" s="141" t="n"/>
      <c r="D623" s="141" t="n"/>
      <c r="E623" s="141" t="n"/>
      <c r="F623" s="141" t="n"/>
      <c r="G623" s="143" t="n"/>
      <c r="H623" s="27" t="n"/>
    </row>
    <row r="624" ht="17.25" customHeight="1" s="322">
      <c r="A624" s="27" t="n"/>
      <c r="B624" s="506" t="n"/>
      <c r="C624" s="141" t="n"/>
      <c r="D624" s="141" t="n"/>
      <c r="E624" s="141" t="n"/>
      <c r="F624" s="141" t="n"/>
      <c r="G624" s="143" t="n"/>
      <c r="H624" s="27" t="n"/>
    </row>
    <row r="625" ht="17.25" customHeight="1" s="322">
      <c r="A625" s="27" t="n"/>
      <c r="B625" s="506" t="n"/>
      <c r="C625" s="141" t="n"/>
      <c r="D625" s="141" t="n"/>
      <c r="E625" s="141" t="n"/>
      <c r="F625" s="141" t="n"/>
      <c r="G625" s="143" t="n"/>
      <c r="H625" s="27" t="n"/>
    </row>
    <row r="626" ht="17.25" customHeight="1" s="322">
      <c r="A626" s="27" t="n"/>
      <c r="B626" s="506" t="n"/>
      <c r="C626" s="141" t="n"/>
      <c r="D626" s="141" t="n"/>
      <c r="E626" s="141" t="n"/>
      <c r="F626" s="141" t="n"/>
      <c r="G626" s="143" t="n"/>
      <c r="H626" s="27" t="n"/>
    </row>
    <row r="627" ht="17.25" customHeight="1" s="322">
      <c r="A627" s="27" t="n"/>
      <c r="B627" s="506" t="n"/>
      <c r="C627" s="141" t="n"/>
      <c r="D627" s="141" t="n"/>
      <c r="E627" s="141" t="n"/>
      <c r="F627" s="141" t="n"/>
      <c r="G627" s="143" t="n"/>
      <c r="H627" s="27" t="n"/>
    </row>
    <row r="628" ht="17.25" customHeight="1" s="322">
      <c r="A628" s="27" t="n"/>
      <c r="B628" s="506" t="n"/>
      <c r="C628" s="141" t="n"/>
      <c r="D628" s="141" t="n"/>
      <c r="E628" s="141" t="n"/>
      <c r="F628" s="141" t="n"/>
      <c r="G628" s="143" t="n"/>
      <c r="H628" s="27" t="n"/>
    </row>
    <row r="629" ht="17.25" customHeight="1" s="322">
      <c r="A629" s="27" t="n"/>
      <c r="B629" s="506" t="n"/>
      <c r="C629" s="141" t="n"/>
      <c r="D629" s="141" t="n"/>
      <c r="E629" s="141" t="n"/>
      <c r="F629" s="141" t="n"/>
      <c r="G629" s="143" t="n"/>
      <c r="H629" s="27" t="n"/>
    </row>
    <row r="630" ht="17.25" customHeight="1" s="322">
      <c r="A630" s="27" t="n"/>
      <c r="B630" s="506" t="n"/>
      <c r="C630" s="141" t="n"/>
      <c r="D630" s="141" t="n"/>
      <c r="E630" s="141" t="n"/>
      <c r="F630" s="141" t="n"/>
      <c r="G630" s="143" t="n"/>
      <c r="H630" s="27" t="n"/>
    </row>
    <row r="631" ht="17.25" customHeight="1" s="322">
      <c r="A631" s="27" t="n"/>
      <c r="B631" s="506" t="n"/>
      <c r="C631" s="141" t="n"/>
      <c r="D631" s="141" t="n"/>
      <c r="E631" s="141" t="n"/>
      <c r="F631" s="141" t="n"/>
      <c r="G631" s="143" t="n"/>
      <c r="H631" s="27" t="n"/>
    </row>
    <row r="632" ht="17.25" customHeight="1" s="322">
      <c r="A632" s="27" t="n"/>
      <c r="B632" s="506" t="n"/>
      <c r="C632" s="141" t="n"/>
      <c r="D632" s="141" t="n"/>
      <c r="E632" s="141" t="n"/>
      <c r="F632" s="141" t="n"/>
      <c r="G632" s="143" t="n"/>
      <c r="H632" s="27" t="n"/>
    </row>
    <row r="633" ht="17.25" customHeight="1" s="322">
      <c r="A633" s="27" t="n"/>
      <c r="B633" s="506" t="n"/>
      <c r="C633" s="141" t="n"/>
      <c r="D633" s="141" t="n"/>
      <c r="E633" s="141" t="n"/>
      <c r="F633" s="141" t="n"/>
      <c r="G633" s="143" t="n"/>
      <c r="H633" s="27" t="n"/>
    </row>
    <row r="634" ht="17.25" customHeight="1" s="322">
      <c r="A634" s="27" t="n"/>
      <c r="B634" s="506" t="n"/>
      <c r="C634" s="141" t="n"/>
      <c r="D634" s="141" t="n"/>
      <c r="E634" s="141" t="n"/>
      <c r="F634" s="141" t="n"/>
      <c r="G634" s="143" t="n"/>
      <c r="H634" s="27" t="n"/>
    </row>
    <row r="635" ht="17.25" customHeight="1" s="322">
      <c r="A635" s="27" t="n"/>
      <c r="B635" s="506" t="n"/>
      <c r="C635" s="141" t="n"/>
      <c r="D635" s="141" t="n"/>
      <c r="E635" s="141" t="n"/>
      <c r="F635" s="141" t="n"/>
      <c r="G635" s="143" t="n"/>
      <c r="H635" s="27" t="n"/>
    </row>
    <row r="636" ht="17.25" customHeight="1" s="322">
      <c r="A636" s="27" t="n"/>
      <c r="B636" s="506" t="n"/>
      <c r="C636" s="141" t="n"/>
      <c r="D636" s="141" t="n"/>
      <c r="E636" s="141" t="n"/>
      <c r="F636" s="141" t="n"/>
      <c r="G636" s="143" t="n"/>
      <c r="H636" s="27" t="n"/>
    </row>
    <row r="637" ht="17.25" customHeight="1" s="322">
      <c r="A637" s="27" t="n"/>
      <c r="B637" s="506" t="n"/>
      <c r="C637" s="141" t="n"/>
      <c r="D637" s="141" t="n"/>
      <c r="E637" s="141" t="n"/>
      <c r="F637" s="141" t="n"/>
      <c r="G637" s="143" t="n"/>
      <c r="H637" s="27" t="n"/>
    </row>
    <row r="638" ht="17.25" customHeight="1" s="322">
      <c r="A638" s="27" t="n"/>
      <c r="B638" s="506" t="n"/>
      <c r="C638" s="141" t="n"/>
      <c r="D638" s="141" t="n"/>
      <c r="E638" s="141" t="n"/>
      <c r="F638" s="141" t="n"/>
      <c r="G638" s="143" t="n"/>
      <c r="H638" s="27" t="n"/>
    </row>
    <row r="639" ht="17.25" customHeight="1" s="322">
      <c r="A639" s="27" t="n"/>
      <c r="B639" s="506" t="n"/>
      <c r="C639" s="141" t="n"/>
      <c r="D639" s="141" t="n"/>
      <c r="E639" s="141" t="n"/>
      <c r="F639" s="141" t="n"/>
      <c r="G639" s="143" t="n"/>
      <c r="H639" s="27" t="n"/>
    </row>
    <row r="640" ht="17.25" customHeight="1" s="322">
      <c r="A640" s="27" t="n"/>
      <c r="B640" s="506" t="n"/>
      <c r="C640" s="141" t="n"/>
      <c r="D640" s="141" t="n"/>
      <c r="E640" s="141" t="n"/>
      <c r="F640" s="141" t="n"/>
      <c r="G640" s="143" t="n"/>
      <c r="H640" s="27" t="n"/>
    </row>
    <row r="641" ht="17.25" customHeight="1" s="322">
      <c r="A641" s="27" t="n"/>
      <c r="B641" s="506" t="n"/>
      <c r="C641" s="141" t="n"/>
      <c r="D641" s="141" t="n"/>
      <c r="E641" s="141" t="n"/>
      <c r="F641" s="141" t="n"/>
      <c r="G641" s="143" t="n"/>
      <c r="H641" s="27" t="n"/>
    </row>
    <row r="642" ht="17.25" customHeight="1" s="322">
      <c r="A642" s="27" t="n"/>
      <c r="B642" s="506" t="n"/>
      <c r="C642" s="141" t="n"/>
      <c r="D642" s="141" t="n"/>
      <c r="E642" s="141" t="n"/>
      <c r="F642" s="141" t="n"/>
      <c r="G642" s="143" t="n"/>
      <c r="H642" s="27" t="n"/>
    </row>
    <row r="643" ht="17.25" customHeight="1" s="322">
      <c r="A643" s="27" t="n"/>
      <c r="B643" s="506" t="n"/>
      <c r="C643" s="141" t="n"/>
      <c r="D643" s="141" t="n"/>
      <c r="E643" s="141" t="n"/>
      <c r="F643" s="141" t="n"/>
      <c r="G643" s="143" t="n"/>
      <c r="H643" s="27" t="n"/>
    </row>
    <row r="644" ht="17.25" customHeight="1" s="322">
      <c r="A644" s="27" t="n"/>
      <c r="B644" s="506" t="n"/>
      <c r="C644" s="141" t="n"/>
      <c r="D644" s="141" t="n"/>
      <c r="E644" s="141" t="n"/>
      <c r="F644" s="141" t="n"/>
      <c r="G644" s="143" t="n"/>
      <c r="H644" s="27" t="n"/>
    </row>
    <row r="645" ht="17.25" customHeight="1" s="322">
      <c r="A645" s="27" t="n"/>
      <c r="B645" s="506" t="n"/>
      <c r="C645" s="141" t="n"/>
      <c r="D645" s="141" t="n"/>
      <c r="E645" s="141" t="n"/>
      <c r="F645" s="141" t="n"/>
      <c r="G645" s="143" t="n"/>
      <c r="H645" s="27" t="n"/>
    </row>
    <row r="646" ht="17.25" customHeight="1" s="322">
      <c r="A646" s="27" t="n"/>
      <c r="B646" s="506" t="n"/>
      <c r="C646" s="141" t="n"/>
      <c r="D646" s="141" t="n"/>
      <c r="E646" s="141" t="n"/>
      <c r="F646" s="141" t="n"/>
      <c r="G646" s="143" t="n"/>
      <c r="H646" s="27" t="n"/>
    </row>
    <row r="647" ht="17.25" customHeight="1" s="322">
      <c r="A647" s="27" t="n"/>
      <c r="B647" s="506" t="n"/>
      <c r="C647" s="141" t="n"/>
      <c r="D647" s="141" t="n"/>
      <c r="E647" s="141" t="n"/>
      <c r="F647" s="141" t="n"/>
      <c r="G647" s="143" t="n"/>
      <c r="H647" s="27" t="n"/>
    </row>
    <row r="648" ht="17.25" customHeight="1" s="322">
      <c r="A648" s="27" t="n"/>
      <c r="B648" s="506" t="n"/>
      <c r="C648" s="141" t="n"/>
      <c r="D648" s="141" t="n"/>
      <c r="E648" s="141" t="n"/>
      <c r="F648" s="141" t="n"/>
      <c r="G648" s="143" t="n"/>
      <c r="H648" s="27" t="n"/>
    </row>
    <row r="649" ht="17.25" customHeight="1" s="322">
      <c r="A649" s="27" t="n"/>
      <c r="B649" s="506" t="n"/>
      <c r="C649" s="141" t="n"/>
      <c r="D649" s="141" t="n"/>
      <c r="E649" s="141" t="n"/>
      <c r="F649" s="141" t="n"/>
      <c r="G649" s="143" t="n"/>
      <c r="H649" s="27" t="n"/>
    </row>
    <row r="650" ht="17.25" customHeight="1" s="322">
      <c r="A650" s="27" t="n"/>
      <c r="B650" s="506" t="n"/>
      <c r="C650" s="141" t="n"/>
      <c r="D650" s="141" t="n"/>
      <c r="E650" s="141" t="n"/>
      <c r="F650" s="141" t="n"/>
      <c r="G650" s="143" t="n"/>
      <c r="H650" s="27" t="n"/>
    </row>
    <row r="651" ht="17.25" customHeight="1" s="322">
      <c r="A651" s="27" t="n"/>
      <c r="B651" s="506" t="n"/>
      <c r="C651" s="141" t="n"/>
      <c r="D651" s="141" t="n"/>
      <c r="E651" s="141" t="n"/>
      <c r="F651" s="141" t="n"/>
      <c r="G651" s="143" t="n"/>
      <c r="H651" s="27" t="n"/>
    </row>
    <row r="652" ht="17.25" customHeight="1" s="322">
      <c r="A652" s="27" t="n"/>
      <c r="B652" s="506" t="n"/>
      <c r="C652" s="141" t="n"/>
      <c r="D652" s="141" t="n"/>
      <c r="E652" s="141" t="n"/>
      <c r="F652" s="141" t="n"/>
      <c r="G652" s="143" t="n"/>
      <c r="H652" s="27" t="n"/>
    </row>
    <row r="653" ht="17.25" customHeight="1" s="322">
      <c r="A653" s="27" t="n"/>
      <c r="B653" s="506" t="n"/>
      <c r="C653" s="141" t="n"/>
      <c r="D653" s="141" t="n"/>
      <c r="E653" s="141" t="n"/>
      <c r="F653" s="141" t="n"/>
      <c r="G653" s="143" t="n"/>
      <c r="H653" s="27" t="n"/>
    </row>
    <row r="654" ht="17.25" customHeight="1" s="322">
      <c r="A654" s="27" t="n"/>
      <c r="B654" s="506" t="n"/>
      <c r="C654" s="141" t="n"/>
      <c r="D654" s="141" t="n"/>
      <c r="E654" s="141" t="n"/>
      <c r="F654" s="141" t="n"/>
      <c r="G654" s="143" t="n"/>
      <c r="H654" s="27" t="n"/>
    </row>
    <row r="655" ht="17.25" customHeight="1" s="322">
      <c r="A655" s="27" t="n"/>
      <c r="B655" s="506" t="n"/>
      <c r="C655" s="141" t="n"/>
      <c r="D655" s="141" t="n"/>
      <c r="E655" s="141" t="n"/>
      <c r="F655" s="141" t="n"/>
      <c r="G655" s="143" t="n"/>
      <c r="H655" s="27" t="n"/>
    </row>
    <row r="656" ht="17.25" customHeight="1" s="322">
      <c r="A656" s="27" t="n"/>
      <c r="B656" s="506" t="n"/>
      <c r="C656" s="141" t="n"/>
      <c r="D656" s="141" t="n"/>
      <c r="E656" s="141" t="n"/>
      <c r="F656" s="141" t="n"/>
      <c r="G656" s="143" t="n"/>
      <c r="H656" s="27" t="n"/>
    </row>
    <row r="657" ht="17.25" customHeight="1" s="322">
      <c r="A657" s="27" t="n"/>
      <c r="B657" s="506" t="n"/>
      <c r="C657" s="141" t="n"/>
      <c r="D657" s="141" t="n"/>
      <c r="E657" s="141" t="n"/>
      <c r="F657" s="141" t="n"/>
      <c r="G657" s="143" t="n"/>
      <c r="H657" s="27" t="n"/>
    </row>
    <row r="658" ht="17.25" customHeight="1" s="322">
      <c r="A658" s="27" t="n"/>
      <c r="B658" s="506" t="n"/>
      <c r="C658" s="141" t="n"/>
      <c r="D658" s="141" t="n"/>
      <c r="E658" s="141" t="n"/>
      <c r="F658" s="141" t="n"/>
      <c r="G658" s="143" t="n"/>
      <c r="H658" s="27" t="n"/>
    </row>
    <row r="659" ht="17.25" customHeight="1" s="322">
      <c r="A659" s="27" t="n"/>
      <c r="B659" s="506" t="n"/>
      <c r="C659" s="141" t="n"/>
      <c r="D659" s="141" t="n"/>
      <c r="E659" s="141" t="n"/>
      <c r="F659" s="141" t="n"/>
      <c r="G659" s="143" t="n"/>
      <c r="H659" s="27" t="n"/>
    </row>
    <row r="660" ht="17.25" customHeight="1" s="322">
      <c r="A660" s="27" t="n"/>
      <c r="B660" s="506" t="n"/>
      <c r="C660" s="141" t="n"/>
      <c r="D660" s="141" t="n"/>
      <c r="E660" s="141" t="n"/>
      <c r="F660" s="141" t="n"/>
      <c r="G660" s="143" t="n"/>
      <c r="H660" s="27" t="n"/>
    </row>
    <row r="661" ht="17.25" customHeight="1" s="322">
      <c r="A661" s="27" t="n"/>
      <c r="B661" s="506" t="n"/>
      <c r="C661" s="141" t="n"/>
      <c r="D661" s="141" t="n"/>
      <c r="E661" s="141" t="n"/>
      <c r="F661" s="141" t="n"/>
      <c r="G661" s="143" t="n"/>
      <c r="H661" s="27" t="n"/>
    </row>
    <row r="662" ht="17.25" customHeight="1" s="322">
      <c r="A662" s="27" t="n"/>
      <c r="B662" s="506" t="n"/>
      <c r="C662" s="141" t="n"/>
      <c r="D662" s="141" t="n"/>
      <c r="E662" s="141" t="n"/>
      <c r="F662" s="141" t="n"/>
      <c r="G662" s="143" t="n"/>
      <c r="H662" s="27" t="n"/>
    </row>
    <row r="663" ht="17.25" customHeight="1" s="322">
      <c r="A663" s="27" t="n"/>
      <c r="B663" s="506" t="n"/>
      <c r="C663" s="141" t="n"/>
      <c r="D663" s="141" t="n"/>
      <c r="E663" s="141" t="n"/>
      <c r="F663" s="141" t="n"/>
      <c r="G663" s="143" t="n"/>
      <c r="H663" s="27" t="n"/>
    </row>
    <row r="664" ht="17.25" customHeight="1" s="322">
      <c r="A664" s="27" t="n"/>
      <c r="B664" s="506" t="n"/>
      <c r="C664" s="141" t="n"/>
      <c r="D664" s="141" t="n"/>
      <c r="E664" s="141" t="n"/>
      <c r="F664" s="141" t="n"/>
      <c r="G664" s="143" t="n"/>
      <c r="H664" s="27" t="n"/>
    </row>
    <row r="665" ht="17.25" customHeight="1" s="322">
      <c r="A665" s="27" t="n"/>
      <c r="B665" s="506" t="n"/>
      <c r="C665" s="141" t="n"/>
      <c r="D665" s="141" t="n"/>
      <c r="E665" s="141" t="n"/>
      <c r="F665" s="141" t="n"/>
      <c r="G665" s="143" t="n"/>
      <c r="H665" s="27" t="n"/>
    </row>
    <row r="666" ht="17.25" customHeight="1" s="322">
      <c r="A666" s="27" t="n"/>
      <c r="B666" s="506" t="n"/>
      <c r="C666" s="141" t="n"/>
      <c r="D666" s="141" t="n"/>
      <c r="E666" s="141" t="n"/>
      <c r="F666" s="141" t="n"/>
      <c r="G666" s="143" t="n"/>
      <c r="H666" s="27" t="n"/>
    </row>
    <row r="667" ht="17.25" customHeight="1" s="322">
      <c r="A667" s="27" t="n"/>
      <c r="B667" s="506" t="n"/>
      <c r="C667" s="141" t="n"/>
      <c r="D667" s="141" t="n"/>
      <c r="E667" s="141" t="n"/>
      <c r="F667" s="141" t="n"/>
      <c r="G667" s="143" t="n"/>
      <c r="H667" s="27" t="n"/>
    </row>
    <row r="668" ht="17.25" customHeight="1" s="322">
      <c r="A668" s="27" t="n"/>
      <c r="B668" s="506" t="n"/>
      <c r="C668" s="141" t="n"/>
      <c r="D668" s="141" t="n"/>
      <c r="E668" s="141" t="n"/>
      <c r="F668" s="141" t="n"/>
      <c r="G668" s="143" t="n"/>
      <c r="H668" s="27" t="n"/>
    </row>
    <row r="669" ht="17.25" customHeight="1" s="322">
      <c r="A669" s="27" t="n"/>
      <c r="B669" s="506" t="n"/>
      <c r="C669" s="141" t="n"/>
      <c r="D669" s="141" t="n"/>
      <c r="E669" s="141" t="n"/>
      <c r="F669" s="141" t="n"/>
      <c r="G669" s="143" t="n"/>
      <c r="H669" s="27" t="n"/>
    </row>
    <row r="670" ht="17.25" customHeight="1" s="322">
      <c r="A670" s="27" t="n"/>
      <c r="B670" s="506" t="n"/>
      <c r="C670" s="141" t="n"/>
      <c r="D670" s="141" t="n"/>
      <c r="E670" s="141" t="n"/>
      <c r="F670" s="141" t="n"/>
      <c r="G670" s="143" t="n"/>
      <c r="H670" s="27" t="n"/>
    </row>
    <row r="671" ht="17.25" customHeight="1" s="322">
      <c r="A671" s="27" t="n"/>
      <c r="B671" s="506" t="n"/>
      <c r="C671" s="141" t="n"/>
      <c r="D671" s="141" t="n"/>
      <c r="E671" s="141" t="n"/>
      <c r="F671" s="141" t="n"/>
      <c r="G671" s="143" t="n"/>
      <c r="H671" s="27" t="n"/>
    </row>
    <row r="672" ht="17.25" customHeight="1" s="322">
      <c r="A672" s="27" t="n"/>
      <c r="B672" s="506" t="n"/>
      <c r="C672" s="141" t="n"/>
      <c r="D672" s="141" t="n"/>
      <c r="E672" s="141" t="n"/>
      <c r="F672" s="141" t="n"/>
      <c r="G672" s="143" t="n"/>
      <c r="H672" s="27" t="n"/>
    </row>
    <row r="673" ht="17.25" customHeight="1" s="322">
      <c r="A673" s="27" t="n"/>
      <c r="B673" s="506" t="n"/>
      <c r="C673" s="141" t="n"/>
      <c r="D673" s="141" t="n"/>
      <c r="E673" s="141" t="n"/>
      <c r="F673" s="141" t="n"/>
      <c r="G673" s="143" t="n"/>
      <c r="H673" s="27" t="n"/>
    </row>
    <row r="674" ht="17.25" customHeight="1" s="322">
      <c r="A674" s="27" t="n"/>
      <c r="B674" s="506" t="n"/>
      <c r="C674" s="141" t="n"/>
      <c r="D674" s="141" t="n"/>
      <c r="E674" s="141" t="n"/>
      <c r="F674" s="141" t="n"/>
      <c r="G674" s="143" t="n"/>
      <c r="H674" s="27" t="n"/>
    </row>
    <row r="675" ht="17.25" customHeight="1" s="322">
      <c r="A675" s="27" t="n"/>
      <c r="B675" s="506" t="n"/>
      <c r="C675" s="141" t="n"/>
      <c r="D675" s="141" t="n"/>
      <c r="E675" s="141" t="n"/>
      <c r="F675" s="141" t="n"/>
      <c r="G675" s="143" t="n"/>
      <c r="H675" s="27" t="n"/>
    </row>
    <row r="676" ht="17.25" customHeight="1" s="322">
      <c r="A676" s="27" t="n"/>
      <c r="B676" s="506" t="n"/>
      <c r="C676" s="141" t="n"/>
      <c r="D676" s="141" t="n"/>
      <c r="E676" s="141" t="n"/>
      <c r="F676" s="141" t="n"/>
      <c r="G676" s="143" t="n"/>
      <c r="H676" s="27" t="n"/>
    </row>
    <row r="677" ht="17.25" customHeight="1" s="322">
      <c r="A677" s="27" t="n"/>
      <c r="B677" s="506" t="n"/>
      <c r="C677" s="141" t="n"/>
      <c r="D677" s="141" t="n"/>
      <c r="E677" s="141" t="n"/>
      <c r="F677" s="141" t="n"/>
      <c r="G677" s="143" t="n"/>
      <c r="H677" s="27" t="n"/>
    </row>
    <row r="678" ht="17.25" customHeight="1" s="322">
      <c r="A678" s="27" t="n"/>
      <c r="B678" s="506" t="n"/>
      <c r="C678" s="141" t="n"/>
      <c r="D678" s="141" t="n"/>
      <c r="E678" s="141" t="n"/>
      <c r="F678" s="141" t="n"/>
      <c r="G678" s="143" t="n"/>
      <c r="H678" s="27" t="n"/>
    </row>
    <row r="679" ht="17.25" customHeight="1" s="322">
      <c r="A679" s="27" t="n"/>
      <c r="B679" s="506" t="n"/>
      <c r="C679" s="141" t="n"/>
      <c r="D679" s="141" t="n"/>
      <c r="E679" s="141" t="n"/>
      <c r="F679" s="141" t="n"/>
      <c r="G679" s="143" t="n"/>
      <c r="H679" s="27" t="n"/>
    </row>
    <row r="680" ht="17.25" customHeight="1" s="322">
      <c r="A680" s="27" t="n"/>
      <c r="B680" s="506" t="n"/>
      <c r="C680" s="141" t="n"/>
      <c r="D680" s="141" t="n"/>
      <c r="E680" s="141" t="n"/>
      <c r="F680" s="141" t="n"/>
      <c r="G680" s="143" t="n"/>
      <c r="H680" s="27" t="n"/>
    </row>
    <row r="681" ht="17.25" customHeight="1" s="322">
      <c r="A681" s="27" t="n"/>
      <c r="B681" s="506" t="n"/>
      <c r="C681" s="141" t="n"/>
      <c r="D681" s="141" t="n"/>
      <c r="E681" s="141" t="n"/>
      <c r="F681" s="141" t="n"/>
      <c r="G681" s="143" t="n"/>
      <c r="H681" s="27" t="n"/>
    </row>
    <row r="682" ht="17.25" customHeight="1" s="322">
      <c r="A682" s="27" t="n"/>
      <c r="B682" s="506" t="n"/>
      <c r="C682" s="141" t="n"/>
      <c r="D682" s="141" t="n"/>
      <c r="E682" s="141" t="n"/>
      <c r="F682" s="141" t="n"/>
      <c r="G682" s="143" t="n"/>
      <c r="H682" s="27" t="n"/>
    </row>
    <row r="683" ht="17.25" customHeight="1" s="322">
      <c r="A683" s="27" t="n"/>
      <c r="B683" s="506" t="n"/>
      <c r="C683" s="141" t="n"/>
      <c r="D683" s="141" t="n"/>
      <c r="E683" s="141" t="n"/>
      <c r="F683" s="141" t="n"/>
      <c r="G683" s="143" t="n"/>
      <c r="H683" s="27" t="n"/>
    </row>
    <row r="684" ht="17.25" customHeight="1" s="322">
      <c r="A684" s="27" t="n"/>
      <c r="B684" s="506" t="n"/>
      <c r="C684" s="141" t="n"/>
      <c r="D684" s="141" t="n"/>
      <c r="E684" s="141" t="n"/>
      <c r="F684" s="141" t="n"/>
      <c r="G684" s="143" t="n"/>
      <c r="H684" s="27" t="n"/>
    </row>
    <row r="685" ht="17.25" customHeight="1" s="322">
      <c r="A685" s="27" t="n"/>
      <c r="B685" s="506" t="n"/>
      <c r="C685" s="141" t="n"/>
      <c r="D685" s="141" t="n"/>
      <c r="E685" s="141" t="n"/>
      <c r="F685" s="141" t="n"/>
      <c r="G685" s="143" t="n"/>
      <c r="H685" s="27" t="n"/>
    </row>
    <row r="686" ht="17.25" customHeight="1" s="322">
      <c r="A686" s="27" t="n"/>
      <c r="B686" s="506" t="n"/>
      <c r="C686" s="141" t="n"/>
      <c r="D686" s="141" t="n"/>
      <c r="E686" s="141" t="n"/>
      <c r="F686" s="141" t="n"/>
      <c r="G686" s="143" t="n"/>
      <c r="H686" s="27" t="n"/>
    </row>
    <row r="687" ht="17.25" customHeight="1" s="322">
      <c r="A687" s="27" t="n"/>
      <c r="B687" s="506" t="n"/>
      <c r="C687" s="141" t="n"/>
      <c r="D687" s="141" t="n"/>
      <c r="E687" s="141" t="n"/>
      <c r="F687" s="141" t="n"/>
      <c r="G687" s="143" t="n"/>
      <c r="H687" s="27" t="n"/>
    </row>
    <row r="688" ht="17.25" customHeight="1" s="322">
      <c r="A688" s="27" t="n"/>
      <c r="B688" s="506" t="n"/>
      <c r="C688" s="141" t="n"/>
      <c r="D688" s="141" t="n"/>
      <c r="E688" s="141" t="n"/>
      <c r="F688" s="141" t="n"/>
      <c r="G688" s="143" t="n"/>
      <c r="H688" s="27" t="n"/>
    </row>
    <row r="689" ht="17.25" customHeight="1" s="322">
      <c r="A689" s="27" t="n"/>
      <c r="B689" s="506" t="n"/>
      <c r="C689" s="141" t="n"/>
      <c r="D689" s="141" t="n"/>
      <c r="E689" s="141" t="n"/>
      <c r="F689" s="141" t="n"/>
      <c r="G689" s="143" t="n"/>
      <c r="H689" s="27" t="n"/>
    </row>
    <row r="690" ht="17.25" customHeight="1" s="322">
      <c r="A690" s="27" t="n"/>
      <c r="B690" s="506" t="n"/>
      <c r="C690" s="141" t="n"/>
      <c r="D690" s="141" t="n"/>
      <c r="E690" s="141" t="n"/>
      <c r="F690" s="141" t="n"/>
      <c r="G690" s="143" t="n"/>
      <c r="H690" s="27" t="n"/>
    </row>
    <row r="691" ht="17.25" customHeight="1" s="322">
      <c r="A691" s="27" t="n"/>
      <c r="B691" s="506" t="n"/>
      <c r="C691" s="141" t="n"/>
      <c r="D691" s="141" t="n"/>
      <c r="E691" s="141" t="n"/>
      <c r="F691" s="141" t="n"/>
      <c r="G691" s="143" t="n"/>
      <c r="H691" s="27" t="n"/>
    </row>
    <row r="692" ht="17.25" customHeight="1" s="322">
      <c r="A692" s="27" t="n"/>
      <c r="B692" s="506" t="n"/>
      <c r="C692" s="141" t="n"/>
      <c r="D692" s="141" t="n"/>
      <c r="E692" s="141" t="n"/>
      <c r="F692" s="141" t="n"/>
      <c r="G692" s="143" t="n"/>
      <c r="H692" s="27" t="n"/>
    </row>
    <row r="693" ht="17.25" customHeight="1" s="322">
      <c r="A693" s="27" t="n"/>
      <c r="B693" s="506" t="n"/>
      <c r="C693" s="141" t="n"/>
      <c r="D693" s="141" t="n"/>
      <c r="E693" s="141" t="n"/>
      <c r="F693" s="141" t="n"/>
      <c r="G693" s="143" t="n"/>
      <c r="H693" s="27" t="n"/>
    </row>
    <row r="694" ht="17.25" customHeight="1" s="322">
      <c r="A694" s="27" t="n"/>
      <c r="B694" s="506" t="n"/>
      <c r="C694" s="141" t="n"/>
      <c r="D694" s="141" t="n"/>
      <c r="E694" s="141" t="n"/>
      <c r="F694" s="141" t="n"/>
      <c r="G694" s="143" t="n"/>
      <c r="H694" s="27" t="n"/>
    </row>
    <row r="695" ht="17.25" customHeight="1" s="322">
      <c r="A695" s="27" t="n"/>
      <c r="B695" s="506" t="n"/>
      <c r="C695" s="141" t="n"/>
      <c r="D695" s="141" t="n"/>
      <c r="E695" s="141" t="n"/>
      <c r="F695" s="141" t="n"/>
      <c r="G695" s="143" t="n"/>
      <c r="H695" s="27" t="n"/>
    </row>
    <row r="696" ht="17.25" customHeight="1" s="322">
      <c r="A696" s="27" t="n"/>
      <c r="B696" s="506" t="n"/>
      <c r="C696" s="141" t="n"/>
      <c r="D696" s="141" t="n"/>
      <c r="E696" s="141" t="n"/>
      <c r="F696" s="141" t="n"/>
      <c r="G696" s="143" t="n"/>
      <c r="H696" s="27" t="n"/>
    </row>
    <row r="697" ht="17.25" customHeight="1" s="322">
      <c r="A697" s="27" t="n"/>
      <c r="B697" s="506" t="n"/>
      <c r="C697" s="141" t="n"/>
      <c r="D697" s="141" t="n"/>
      <c r="E697" s="141" t="n"/>
      <c r="F697" s="141" t="n"/>
      <c r="G697" s="143" t="n"/>
      <c r="H697" s="27" t="n"/>
    </row>
    <row r="698" ht="17.25" customHeight="1" s="322">
      <c r="A698" s="27" t="n"/>
      <c r="B698" s="506" t="n"/>
      <c r="C698" s="141" t="n"/>
      <c r="D698" s="141" t="n"/>
      <c r="E698" s="141" t="n"/>
      <c r="F698" s="141" t="n"/>
      <c r="G698" s="143" t="n"/>
      <c r="H698" s="27" t="n"/>
    </row>
    <row r="699" ht="17.25" customHeight="1" s="322">
      <c r="A699" s="27" t="n"/>
      <c r="B699" s="506" t="n"/>
      <c r="C699" s="141" t="n"/>
      <c r="D699" s="141" t="n"/>
      <c r="E699" s="141" t="n"/>
      <c r="F699" s="141" t="n"/>
      <c r="G699" s="143" t="n"/>
      <c r="H699" s="27" t="n"/>
    </row>
    <row r="700" ht="17.25" customHeight="1" s="322">
      <c r="A700" s="27" t="n"/>
      <c r="B700" s="506" t="n"/>
      <c r="C700" s="141" t="n"/>
      <c r="D700" s="141" t="n"/>
      <c r="E700" s="141" t="n"/>
      <c r="F700" s="141" t="n"/>
      <c r="G700" s="143" t="n"/>
      <c r="H700" s="27" t="n"/>
    </row>
    <row r="701" ht="17.25" customHeight="1" s="322">
      <c r="A701" s="27" t="n"/>
      <c r="B701" s="506" t="n"/>
      <c r="C701" s="141" t="n"/>
      <c r="D701" s="141" t="n"/>
      <c r="E701" s="141" t="n"/>
      <c r="F701" s="141" t="n"/>
      <c r="G701" s="143" t="n"/>
      <c r="H701" s="27" t="n"/>
    </row>
    <row r="702" ht="17.25" customHeight="1" s="322">
      <c r="A702" s="27" t="n"/>
      <c r="B702" s="506" t="n"/>
      <c r="C702" s="141" t="n"/>
      <c r="D702" s="141" t="n"/>
      <c r="E702" s="141" t="n"/>
      <c r="F702" s="141" t="n"/>
      <c r="G702" s="143" t="n"/>
      <c r="H702" s="27" t="n"/>
    </row>
    <row r="703" ht="17.25" customHeight="1" s="322">
      <c r="A703" s="27" t="n"/>
      <c r="B703" s="506" t="n"/>
      <c r="C703" s="141" t="n"/>
      <c r="D703" s="141" t="n"/>
      <c r="E703" s="141" t="n"/>
      <c r="F703" s="141" t="n"/>
      <c r="G703" s="143" t="n"/>
      <c r="H703" s="27" t="n"/>
    </row>
    <row r="704" ht="17.25" customHeight="1" s="322">
      <c r="A704" s="27" t="n"/>
      <c r="B704" s="506" t="n"/>
      <c r="C704" s="141" t="n"/>
      <c r="D704" s="141" t="n"/>
      <c r="E704" s="141" t="n"/>
      <c r="F704" s="141" t="n"/>
      <c r="G704" s="143" t="n"/>
      <c r="H704" s="27" t="n"/>
    </row>
    <row r="705" ht="17.25" customHeight="1" s="322">
      <c r="A705" s="27" t="n"/>
      <c r="B705" s="506" t="n"/>
      <c r="C705" s="141" t="n"/>
      <c r="D705" s="141" t="n"/>
      <c r="E705" s="141" t="n"/>
      <c r="F705" s="141" t="n"/>
      <c r="G705" s="143" t="n"/>
      <c r="H705" s="27" t="n"/>
    </row>
    <row r="706" ht="17.25" customHeight="1" s="322">
      <c r="A706" s="27" t="n"/>
      <c r="B706" s="506" t="n"/>
      <c r="C706" s="141" t="n"/>
      <c r="D706" s="141" t="n"/>
      <c r="E706" s="141" t="n"/>
      <c r="F706" s="141" t="n"/>
      <c r="G706" s="143" t="n"/>
      <c r="H706" s="27" t="n"/>
    </row>
    <row r="707" ht="17.25" customHeight="1" s="322">
      <c r="A707" s="27" t="n"/>
      <c r="B707" s="506" t="n"/>
      <c r="C707" s="141" t="n"/>
      <c r="D707" s="141" t="n"/>
      <c r="E707" s="141" t="n"/>
      <c r="F707" s="141" t="n"/>
      <c r="G707" s="143" t="n"/>
      <c r="H707" s="27" t="n"/>
    </row>
    <row r="708" ht="17.25" customHeight="1" s="322">
      <c r="A708" s="27" t="n"/>
      <c r="B708" s="506" t="n"/>
      <c r="C708" s="141" t="n"/>
      <c r="D708" s="141" t="n"/>
      <c r="E708" s="141" t="n"/>
      <c r="F708" s="141" t="n"/>
      <c r="G708" s="143" t="n"/>
      <c r="H708" s="27" t="n"/>
    </row>
    <row r="709" ht="17.25" customHeight="1" s="322">
      <c r="A709" s="27" t="n"/>
      <c r="B709" s="506" t="n"/>
      <c r="C709" s="141" t="n"/>
      <c r="D709" s="141" t="n"/>
      <c r="E709" s="141" t="n"/>
      <c r="F709" s="141" t="n"/>
      <c r="G709" s="143" t="n"/>
      <c r="H709" s="27" t="n"/>
    </row>
    <row r="710" ht="17.25" customHeight="1" s="322">
      <c r="A710" s="27" t="n"/>
      <c r="B710" s="506" t="n"/>
      <c r="C710" s="141" t="n"/>
      <c r="D710" s="141" t="n"/>
      <c r="E710" s="141" t="n"/>
      <c r="F710" s="141" t="n"/>
      <c r="G710" s="143" t="n"/>
      <c r="H710" s="27" t="n"/>
    </row>
    <row r="711" ht="17.25" customHeight="1" s="322">
      <c r="A711" s="27" t="n"/>
      <c r="B711" s="506" t="n"/>
      <c r="C711" s="141" t="n"/>
      <c r="D711" s="141" t="n"/>
      <c r="E711" s="141" t="n"/>
      <c r="F711" s="141" t="n"/>
      <c r="G711" s="143" t="n"/>
      <c r="H711" s="27" t="n"/>
    </row>
    <row r="712" ht="17.25" customHeight="1" s="322">
      <c r="A712" s="27" t="n"/>
      <c r="B712" s="506" t="n"/>
      <c r="C712" s="141" t="n"/>
      <c r="D712" s="141" t="n"/>
      <c r="E712" s="141" t="n"/>
      <c r="F712" s="141" t="n"/>
      <c r="G712" s="143" t="n"/>
      <c r="H712" s="27" t="n"/>
    </row>
    <row r="713" ht="17.25" customHeight="1" s="322">
      <c r="A713" s="27" t="n"/>
      <c r="B713" s="506" t="n"/>
      <c r="C713" s="141" t="n"/>
      <c r="D713" s="141" t="n"/>
      <c r="E713" s="141" t="n"/>
      <c r="F713" s="141" t="n"/>
      <c r="G713" s="143" t="n"/>
      <c r="H713" s="27" t="n"/>
    </row>
    <row r="714" ht="17.25" customHeight="1" s="322">
      <c r="A714" s="27" t="n"/>
      <c r="B714" s="506" t="n"/>
      <c r="C714" s="141" t="n"/>
      <c r="D714" s="141" t="n"/>
      <c r="E714" s="141" t="n"/>
      <c r="F714" s="141" t="n"/>
      <c r="G714" s="143" t="n"/>
      <c r="H714" s="27" t="n"/>
    </row>
    <row r="715" ht="17.25" customHeight="1" s="322">
      <c r="A715" s="27" t="n"/>
      <c r="B715" s="506" t="n"/>
      <c r="C715" s="141" t="n"/>
      <c r="D715" s="141" t="n"/>
      <c r="E715" s="141" t="n"/>
      <c r="F715" s="141" t="n"/>
      <c r="G715" s="143" t="n"/>
      <c r="H715" s="27" t="n"/>
    </row>
    <row r="716" ht="17.25" customHeight="1" s="322">
      <c r="A716" s="27" t="n"/>
      <c r="B716" s="506" t="n"/>
      <c r="C716" s="141" t="n"/>
      <c r="D716" s="141" t="n"/>
      <c r="E716" s="141" t="n"/>
      <c r="F716" s="141" t="n"/>
      <c r="G716" s="143" t="n"/>
      <c r="H716" s="27" t="n"/>
    </row>
    <row r="717" ht="17.25" customHeight="1" s="322">
      <c r="A717" s="27" t="n"/>
      <c r="B717" s="506" t="n"/>
      <c r="C717" s="141" t="n"/>
      <c r="D717" s="141" t="n"/>
      <c r="E717" s="141" t="n"/>
      <c r="F717" s="141" t="n"/>
      <c r="G717" s="143" t="n"/>
      <c r="H717" s="27" t="n"/>
    </row>
    <row r="718" ht="17.25" customHeight="1" s="322">
      <c r="A718" s="27" t="n"/>
      <c r="B718" s="506" t="n"/>
      <c r="C718" s="141" t="n"/>
      <c r="D718" s="141" t="n"/>
      <c r="E718" s="141" t="n"/>
      <c r="F718" s="141" t="n"/>
      <c r="G718" s="143" t="n"/>
      <c r="H718" s="27" t="n"/>
    </row>
    <row r="719" ht="17.25" customHeight="1" s="322">
      <c r="A719" s="27" t="n"/>
      <c r="B719" s="506" t="n"/>
      <c r="C719" s="141" t="n"/>
      <c r="D719" s="141" t="n"/>
      <c r="E719" s="141" t="n"/>
      <c r="F719" s="141" t="n"/>
      <c r="G719" s="143" t="n"/>
      <c r="H719" s="27" t="n"/>
    </row>
    <row r="720" ht="17.25" customHeight="1" s="322">
      <c r="A720" s="27" t="n"/>
      <c r="B720" s="506" t="n"/>
      <c r="C720" s="141" t="n"/>
      <c r="D720" s="141" t="n"/>
      <c r="E720" s="141" t="n"/>
      <c r="F720" s="141" t="n"/>
      <c r="G720" s="143" t="n"/>
      <c r="H720" s="27" t="n"/>
    </row>
    <row r="721" ht="17.25" customHeight="1" s="322">
      <c r="A721" s="27" t="n"/>
      <c r="B721" s="506" t="n"/>
      <c r="C721" s="141" t="n"/>
      <c r="D721" s="141" t="n"/>
      <c r="E721" s="141" t="n"/>
      <c r="F721" s="141" t="n"/>
      <c r="G721" s="143" t="n"/>
      <c r="H721" s="27" t="n"/>
    </row>
    <row r="722" ht="17.25" customHeight="1" s="322">
      <c r="A722" s="27" t="n"/>
      <c r="B722" s="506" t="n"/>
      <c r="C722" s="141" t="n"/>
      <c r="D722" s="141" t="n"/>
      <c r="E722" s="141" t="n"/>
      <c r="F722" s="141" t="n"/>
      <c r="G722" s="143" t="n"/>
      <c r="H722" s="27" t="n"/>
    </row>
    <row r="723" ht="17.25" customHeight="1" s="322">
      <c r="A723" s="27" t="n"/>
      <c r="B723" s="506" t="n"/>
      <c r="C723" s="141" t="n"/>
      <c r="D723" s="141" t="n"/>
      <c r="E723" s="141" t="n"/>
      <c r="F723" s="141" t="n"/>
      <c r="G723" s="143" t="n"/>
      <c r="H723" s="27" t="n"/>
    </row>
    <row r="724" ht="17.25" customHeight="1" s="322">
      <c r="A724" s="27" t="n"/>
      <c r="B724" s="506" t="n"/>
      <c r="C724" s="141" t="n"/>
      <c r="D724" s="141" t="n"/>
      <c r="E724" s="141" t="n"/>
      <c r="F724" s="141" t="n"/>
      <c r="G724" s="143" t="n"/>
      <c r="H724" s="27" t="n"/>
    </row>
    <row r="725" ht="17.25" customHeight="1" s="322">
      <c r="A725" s="27" t="n"/>
      <c r="B725" s="506" t="n"/>
      <c r="C725" s="141" t="n"/>
      <c r="D725" s="141" t="n"/>
      <c r="E725" s="141" t="n"/>
      <c r="F725" s="141" t="n"/>
      <c r="G725" s="143" t="n"/>
      <c r="H725" s="27" t="n"/>
    </row>
    <row r="726" ht="17.25" customHeight="1" s="322">
      <c r="A726" s="27" t="n"/>
      <c r="B726" s="506" t="n"/>
      <c r="C726" s="141" t="n"/>
      <c r="D726" s="141" t="n"/>
      <c r="E726" s="141" t="n"/>
      <c r="F726" s="141" t="n"/>
      <c r="G726" s="143" t="n"/>
      <c r="H726" s="27" t="n"/>
    </row>
    <row r="727" ht="17.25" customHeight="1" s="322">
      <c r="A727" s="27" t="n"/>
      <c r="B727" s="506" t="n"/>
      <c r="C727" s="141" t="n"/>
      <c r="D727" s="141" t="n"/>
      <c r="E727" s="141" t="n"/>
      <c r="F727" s="141" t="n"/>
      <c r="G727" s="143" t="n"/>
      <c r="H727" s="27" t="n"/>
    </row>
    <row r="728" ht="17.25" customHeight="1" s="322">
      <c r="A728" s="27" t="n"/>
      <c r="B728" s="506" t="n"/>
      <c r="C728" s="141" t="n"/>
      <c r="D728" s="141" t="n"/>
      <c r="E728" s="141" t="n"/>
      <c r="F728" s="141" t="n"/>
      <c r="G728" s="143" t="n"/>
      <c r="H728" s="27" t="n"/>
    </row>
    <row r="729" ht="17.25" customHeight="1" s="322">
      <c r="A729" s="27" t="n"/>
      <c r="B729" s="506" t="n"/>
      <c r="C729" s="141" t="n"/>
      <c r="D729" s="141" t="n"/>
      <c r="E729" s="141" t="n"/>
      <c r="F729" s="141" t="n"/>
      <c r="G729" s="143" t="n"/>
      <c r="H729" s="27" t="n"/>
    </row>
    <row r="730" ht="17.25" customHeight="1" s="322">
      <c r="A730" s="27" t="n"/>
      <c r="B730" s="506" t="n"/>
      <c r="C730" s="141" t="n"/>
      <c r="D730" s="141" t="n"/>
      <c r="E730" s="141" t="n"/>
      <c r="F730" s="141" t="n"/>
      <c r="G730" s="143" t="n"/>
      <c r="H730" s="27" t="n"/>
    </row>
    <row r="731" ht="17.25" customHeight="1" s="322">
      <c r="A731" s="27" t="n"/>
      <c r="B731" s="506" t="n"/>
      <c r="C731" s="141" t="n"/>
      <c r="D731" s="141" t="n"/>
      <c r="E731" s="141" t="n"/>
      <c r="F731" s="141" t="n"/>
      <c r="G731" s="143" t="n"/>
      <c r="H731" s="27" t="n"/>
    </row>
    <row r="732" ht="17.25" customHeight="1" s="322">
      <c r="A732" s="27" t="n"/>
      <c r="B732" s="506" t="n"/>
      <c r="C732" s="141" t="n"/>
      <c r="D732" s="141" t="n"/>
      <c r="E732" s="141" t="n"/>
      <c r="F732" s="141" t="n"/>
      <c r="G732" s="143" t="n"/>
      <c r="H732" s="27" t="n"/>
    </row>
    <row r="733" ht="17.25" customHeight="1" s="322">
      <c r="A733" s="27" t="n"/>
      <c r="B733" s="506" t="n"/>
      <c r="C733" s="141" t="n"/>
      <c r="D733" s="141" t="n"/>
      <c r="E733" s="141" t="n"/>
      <c r="F733" s="141" t="n"/>
      <c r="G733" s="143" t="n"/>
      <c r="H733" s="27" t="n"/>
    </row>
    <row r="734" ht="17.25" customHeight="1" s="322">
      <c r="A734" s="27" t="n"/>
      <c r="B734" s="506" t="n"/>
      <c r="C734" s="141" t="n"/>
      <c r="D734" s="141" t="n"/>
      <c r="E734" s="141" t="n"/>
      <c r="F734" s="141" t="n"/>
      <c r="G734" s="143" t="n"/>
      <c r="H734" s="27" t="n"/>
    </row>
    <row r="735" ht="17.25" customHeight="1" s="322">
      <c r="A735" s="27" t="n"/>
      <c r="B735" s="506" t="n"/>
      <c r="C735" s="141" t="n"/>
      <c r="D735" s="141" t="n"/>
      <c r="E735" s="141" t="n"/>
      <c r="F735" s="141" t="n"/>
      <c r="G735" s="143" t="n"/>
      <c r="H735" s="27" t="n"/>
    </row>
    <row r="736" ht="17.25" customHeight="1" s="322">
      <c r="A736" s="27" t="n"/>
      <c r="B736" s="506" t="n"/>
      <c r="C736" s="141" t="n"/>
      <c r="D736" s="141" t="n"/>
      <c r="E736" s="141" t="n"/>
      <c r="F736" s="141" t="n"/>
      <c r="G736" s="143" t="n"/>
      <c r="H736" s="27" t="n"/>
    </row>
    <row r="737" ht="17.25" customHeight="1" s="322">
      <c r="A737" s="27" t="n"/>
      <c r="B737" s="506" t="n"/>
      <c r="C737" s="141" t="n"/>
      <c r="D737" s="141" t="n"/>
      <c r="E737" s="141" t="n"/>
      <c r="F737" s="141" t="n"/>
      <c r="G737" s="143" t="n"/>
      <c r="H737" s="27" t="n"/>
    </row>
    <row r="738" ht="17.25" customHeight="1" s="322">
      <c r="A738" s="27" t="n"/>
      <c r="B738" s="506" t="n"/>
      <c r="C738" s="141" t="n"/>
      <c r="D738" s="141" t="n"/>
      <c r="E738" s="141" t="n"/>
      <c r="F738" s="141" t="n"/>
      <c r="G738" s="143" t="n"/>
      <c r="H738" s="27" t="n"/>
    </row>
    <row r="739" ht="17.25" customHeight="1" s="322">
      <c r="A739" s="27" t="n"/>
      <c r="B739" s="506" t="n"/>
      <c r="C739" s="141" t="n"/>
      <c r="D739" s="141" t="n"/>
      <c r="E739" s="141" t="n"/>
      <c r="F739" s="141" t="n"/>
      <c r="G739" s="143" t="n"/>
      <c r="H739" s="27" t="n"/>
    </row>
    <row r="740" ht="17.25" customHeight="1" s="322">
      <c r="A740" s="27" t="n"/>
      <c r="B740" s="506" t="n"/>
      <c r="C740" s="141" t="n"/>
      <c r="D740" s="141" t="n"/>
      <c r="E740" s="141" t="n"/>
      <c r="F740" s="141" t="n"/>
      <c r="G740" s="143" t="n"/>
      <c r="H740" s="27" t="n"/>
    </row>
    <row r="741" ht="17.25" customHeight="1" s="322">
      <c r="A741" s="27" t="n"/>
      <c r="B741" s="506" t="n"/>
      <c r="C741" s="141" t="n"/>
      <c r="D741" s="141" t="n"/>
      <c r="E741" s="141" t="n"/>
      <c r="F741" s="141" t="n"/>
      <c r="G741" s="143" t="n"/>
      <c r="H741" s="27" t="n"/>
    </row>
    <row r="742" ht="17.25" customHeight="1" s="322">
      <c r="A742" s="27" t="n"/>
      <c r="B742" s="506" t="n"/>
      <c r="C742" s="141" t="n"/>
      <c r="D742" s="141" t="n"/>
      <c r="E742" s="141" t="n"/>
      <c r="F742" s="141" t="n"/>
      <c r="G742" s="143" t="n"/>
      <c r="H742" s="27" t="n"/>
    </row>
    <row r="743" ht="17.25" customHeight="1" s="322">
      <c r="A743" s="27" t="n"/>
      <c r="B743" s="506" t="n"/>
      <c r="C743" s="141" t="n"/>
      <c r="D743" s="141" t="n"/>
      <c r="E743" s="141" t="n"/>
      <c r="F743" s="141" t="n"/>
      <c r="G743" s="143" t="n"/>
      <c r="H743" s="27" t="n"/>
    </row>
    <row r="744" ht="17.25" customHeight="1" s="322">
      <c r="A744" s="27" t="n"/>
      <c r="B744" s="506" t="n"/>
      <c r="C744" s="141" t="n"/>
      <c r="D744" s="141" t="n"/>
      <c r="E744" s="141" t="n"/>
      <c r="F744" s="141" t="n"/>
      <c r="G744" s="143" t="n"/>
      <c r="H744" s="27" t="n"/>
    </row>
    <row r="745" ht="17.25" customHeight="1" s="322">
      <c r="A745" s="27" t="n"/>
      <c r="B745" s="506" t="n"/>
      <c r="C745" s="141" t="n"/>
      <c r="D745" s="141" t="n"/>
      <c r="E745" s="141" t="n"/>
      <c r="F745" s="141" t="n"/>
      <c r="G745" s="143" t="n"/>
      <c r="H745" s="27" t="n"/>
    </row>
    <row r="746" ht="17.25" customHeight="1" s="322">
      <c r="A746" s="27" t="n"/>
      <c r="B746" s="506" t="n"/>
      <c r="C746" s="141" t="n"/>
      <c r="D746" s="141" t="n"/>
      <c r="E746" s="141" t="n"/>
      <c r="F746" s="141" t="n"/>
      <c r="G746" s="143" t="n"/>
      <c r="H746" s="27" t="n"/>
    </row>
    <row r="747" ht="17.25" customHeight="1" s="322">
      <c r="A747" s="27" t="n"/>
      <c r="B747" s="506" t="n"/>
      <c r="C747" s="141" t="n"/>
      <c r="D747" s="141" t="n"/>
      <c r="E747" s="141" t="n"/>
      <c r="F747" s="141" t="n"/>
      <c r="G747" s="143" t="n"/>
      <c r="H747" s="27" t="n"/>
    </row>
    <row r="748" ht="17.25" customHeight="1" s="322">
      <c r="A748" s="27" t="n"/>
      <c r="B748" s="506" t="n"/>
      <c r="C748" s="141" t="n"/>
      <c r="D748" s="141" t="n"/>
      <c r="E748" s="141" t="n"/>
      <c r="F748" s="141" t="n"/>
      <c r="G748" s="143" t="n"/>
      <c r="H748" s="27" t="n"/>
    </row>
    <row r="749" ht="17.25" customHeight="1" s="322">
      <c r="A749" s="27" t="n"/>
      <c r="B749" s="506" t="n"/>
      <c r="C749" s="141" t="n"/>
      <c r="D749" s="141" t="n"/>
      <c r="E749" s="141" t="n"/>
      <c r="F749" s="141" t="n"/>
      <c r="G749" s="143" t="n"/>
      <c r="H749" s="27" t="n"/>
    </row>
    <row r="750" ht="17.25" customHeight="1" s="322">
      <c r="A750" s="27" t="n"/>
      <c r="B750" s="506" t="n"/>
      <c r="C750" s="141" t="n"/>
      <c r="D750" s="141" t="n"/>
      <c r="E750" s="141" t="n"/>
      <c r="F750" s="141" t="n"/>
      <c r="G750" s="143" t="n"/>
      <c r="H750" s="27" t="n"/>
    </row>
    <row r="751" ht="17.25" customHeight="1" s="322">
      <c r="A751" s="27" t="n"/>
      <c r="B751" s="506" t="n"/>
      <c r="C751" s="141" t="n"/>
      <c r="D751" s="141" t="n"/>
      <c r="E751" s="141" t="n"/>
      <c r="F751" s="141" t="n"/>
      <c r="G751" s="143" t="n"/>
      <c r="H751" s="27" t="n"/>
    </row>
    <row r="752" ht="17.25" customHeight="1" s="322">
      <c r="A752" s="27" t="n"/>
      <c r="B752" s="506" t="n"/>
      <c r="C752" s="141" t="n"/>
      <c r="D752" s="141" t="n"/>
      <c r="E752" s="141" t="n"/>
      <c r="F752" s="141" t="n"/>
      <c r="G752" s="143" t="n"/>
      <c r="H752" s="27" t="n"/>
    </row>
    <row r="753" ht="17.25" customHeight="1" s="322">
      <c r="A753" s="27" t="n"/>
      <c r="B753" s="506" t="n"/>
      <c r="C753" s="141" t="n"/>
      <c r="D753" s="141" t="n"/>
      <c r="E753" s="141" t="n"/>
      <c r="F753" s="141" t="n"/>
      <c r="G753" s="143" t="n"/>
      <c r="H753" s="27" t="n"/>
    </row>
    <row r="754" ht="17.25" customHeight="1" s="322">
      <c r="A754" s="27" t="n"/>
      <c r="B754" s="506" t="n"/>
      <c r="C754" s="141" t="n"/>
      <c r="D754" s="141" t="n"/>
      <c r="E754" s="141" t="n"/>
      <c r="F754" s="141" t="n"/>
      <c r="G754" s="143" t="n"/>
      <c r="H754" s="27" t="n"/>
    </row>
    <row r="755" ht="17.25" customHeight="1" s="322">
      <c r="A755" s="27" t="n"/>
      <c r="B755" s="506" t="n"/>
      <c r="C755" s="141" t="n"/>
      <c r="D755" s="141" t="n"/>
      <c r="E755" s="141" t="n"/>
      <c r="F755" s="141" t="n"/>
      <c r="G755" s="143" t="n"/>
      <c r="H755" s="27" t="n"/>
    </row>
    <row r="756" ht="17.25" customHeight="1" s="322">
      <c r="A756" s="27" t="n"/>
      <c r="B756" s="506" t="n"/>
      <c r="C756" s="141" t="n"/>
      <c r="D756" s="141" t="n"/>
      <c r="E756" s="141" t="n"/>
      <c r="F756" s="141" t="n"/>
      <c r="G756" s="143" t="n"/>
      <c r="H756" s="27" t="n"/>
    </row>
    <row r="757" ht="17.25" customHeight="1" s="322">
      <c r="A757" s="27" t="n"/>
      <c r="B757" s="506" t="n"/>
      <c r="C757" s="141" t="n"/>
      <c r="D757" s="141" t="n"/>
      <c r="E757" s="141" t="n"/>
      <c r="F757" s="141" t="n"/>
      <c r="G757" s="143" t="n"/>
      <c r="H757" s="27" t="n"/>
    </row>
    <row r="758" ht="17.25" customHeight="1" s="322">
      <c r="A758" s="27" t="n"/>
      <c r="B758" s="506" t="n"/>
      <c r="C758" s="141" t="n"/>
      <c r="D758" s="141" t="n"/>
      <c r="E758" s="141" t="n"/>
      <c r="F758" s="141" t="n"/>
      <c r="G758" s="143" t="n"/>
      <c r="H758" s="27" t="n"/>
    </row>
    <row r="759" ht="17.25" customHeight="1" s="322">
      <c r="A759" s="27" t="n"/>
      <c r="B759" s="506" t="n"/>
      <c r="C759" s="141" t="n"/>
      <c r="D759" s="141" t="n"/>
      <c r="E759" s="141" t="n"/>
      <c r="F759" s="141" t="n"/>
      <c r="G759" s="143" t="n"/>
      <c r="H759" s="27" t="n"/>
    </row>
    <row r="760" ht="17.25" customHeight="1" s="322">
      <c r="A760" s="27" t="n"/>
      <c r="B760" s="506" t="n"/>
      <c r="C760" s="141" t="n"/>
      <c r="D760" s="141" t="n"/>
      <c r="E760" s="141" t="n"/>
      <c r="F760" s="141" t="n"/>
      <c r="G760" s="143" t="n"/>
      <c r="H760" s="27" t="n"/>
    </row>
    <row r="761" ht="17.25" customHeight="1" s="322">
      <c r="A761" s="27" t="n"/>
      <c r="B761" s="506" t="n"/>
      <c r="C761" s="141" t="n"/>
      <c r="D761" s="141" t="n"/>
      <c r="E761" s="141" t="n"/>
      <c r="F761" s="141" t="n"/>
      <c r="G761" s="143" t="n"/>
      <c r="H761" s="27" t="n"/>
    </row>
    <row r="762" ht="17.25" customHeight="1" s="322">
      <c r="A762" s="27" t="n"/>
      <c r="B762" s="506" t="n"/>
      <c r="C762" s="141" t="n"/>
      <c r="D762" s="141" t="n"/>
      <c r="E762" s="141" t="n"/>
      <c r="F762" s="141" t="n"/>
      <c r="G762" s="143" t="n"/>
      <c r="H762" s="27" t="n"/>
    </row>
    <row r="763" ht="17.25" customHeight="1" s="322">
      <c r="A763" s="27" t="n"/>
      <c r="B763" s="506" t="n"/>
      <c r="C763" s="141" t="n"/>
      <c r="D763" s="141" t="n"/>
      <c r="E763" s="141" t="n"/>
      <c r="F763" s="141" t="n"/>
      <c r="G763" s="143" t="n"/>
      <c r="H763" s="27" t="n"/>
    </row>
    <row r="764" ht="17.25" customHeight="1" s="322">
      <c r="A764" s="27" t="n"/>
      <c r="B764" s="506" t="n"/>
      <c r="C764" s="141" t="n"/>
      <c r="D764" s="141" t="n"/>
      <c r="E764" s="141" t="n"/>
      <c r="F764" s="141" t="n"/>
      <c r="G764" s="143" t="n"/>
      <c r="H764" s="27" t="n"/>
    </row>
    <row r="765" ht="17.25" customHeight="1" s="322">
      <c r="A765" s="27" t="n"/>
      <c r="B765" s="506" t="n"/>
      <c r="C765" s="141" t="n"/>
      <c r="D765" s="141" t="n"/>
      <c r="E765" s="141" t="n"/>
      <c r="F765" s="141" t="n"/>
      <c r="G765" s="143" t="n"/>
      <c r="H765" s="27" t="n"/>
    </row>
    <row r="766" ht="17.25" customHeight="1" s="322">
      <c r="A766" s="27" t="n"/>
      <c r="B766" s="506" t="n"/>
      <c r="C766" s="141" t="n"/>
      <c r="D766" s="141" t="n"/>
      <c r="E766" s="141" t="n"/>
      <c r="F766" s="141" t="n"/>
      <c r="G766" s="143" t="n"/>
      <c r="H766" s="27" t="n"/>
    </row>
    <row r="767" ht="17.25" customHeight="1" s="322">
      <c r="A767" s="27" t="n"/>
      <c r="B767" s="506" t="n"/>
      <c r="C767" s="141" t="n"/>
      <c r="D767" s="141" t="n"/>
      <c r="E767" s="141" t="n"/>
      <c r="F767" s="141" t="n"/>
      <c r="G767" s="143" t="n"/>
      <c r="H767" s="27" t="n"/>
    </row>
    <row r="768" ht="17.25" customHeight="1" s="322">
      <c r="A768" s="27" t="n"/>
      <c r="B768" s="506" t="n"/>
      <c r="C768" s="141" t="n"/>
      <c r="D768" s="141" t="n"/>
      <c r="E768" s="141" t="n"/>
      <c r="F768" s="141" t="n"/>
      <c r="G768" s="143" t="n"/>
      <c r="H768" s="27" t="n"/>
    </row>
    <row r="769" ht="17.25" customHeight="1" s="322">
      <c r="A769" s="27" t="n"/>
      <c r="B769" s="506" t="n"/>
      <c r="C769" s="141" t="n"/>
      <c r="D769" s="141" t="n"/>
      <c r="E769" s="141" t="n"/>
      <c r="F769" s="141" t="n"/>
      <c r="G769" s="143" t="n"/>
      <c r="H769" s="27" t="n"/>
    </row>
    <row r="770" ht="17.25" customHeight="1" s="322">
      <c r="A770" s="27" t="n"/>
      <c r="B770" s="506" t="n"/>
      <c r="C770" s="141" t="n"/>
      <c r="D770" s="141" t="n"/>
      <c r="E770" s="141" t="n"/>
      <c r="F770" s="141" t="n"/>
      <c r="G770" s="143" t="n"/>
      <c r="H770" s="27" t="n"/>
    </row>
    <row r="771" ht="17.25" customHeight="1" s="322">
      <c r="A771" s="27" t="n"/>
      <c r="B771" s="506" t="n"/>
      <c r="C771" s="141" t="n"/>
      <c r="D771" s="141" t="n"/>
      <c r="E771" s="141" t="n"/>
      <c r="F771" s="141" t="n"/>
      <c r="G771" s="143" t="n"/>
      <c r="H771" s="27" t="n"/>
    </row>
    <row r="772" ht="17.25" customHeight="1" s="322">
      <c r="A772" s="27" t="n"/>
      <c r="B772" s="506" t="n"/>
      <c r="C772" s="141" t="n"/>
      <c r="D772" s="141" t="n"/>
      <c r="E772" s="141" t="n"/>
      <c r="F772" s="141" t="n"/>
      <c r="G772" s="143" t="n"/>
      <c r="H772" s="27" t="n"/>
    </row>
    <row r="773" ht="17.25" customHeight="1" s="322">
      <c r="A773" s="27" t="n"/>
      <c r="B773" s="506" t="n"/>
      <c r="C773" s="141" t="n"/>
      <c r="D773" s="141" t="n"/>
      <c r="E773" s="141" t="n"/>
      <c r="F773" s="141" t="n"/>
      <c r="G773" s="143" t="n"/>
      <c r="H773" s="27" t="n"/>
    </row>
    <row r="774" ht="17.25" customHeight="1" s="322">
      <c r="A774" s="27" t="n"/>
      <c r="B774" s="506" t="n"/>
      <c r="C774" s="141" t="n"/>
      <c r="D774" s="141" t="n"/>
      <c r="E774" s="141" t="n"/>
      <c r="F774" s="141" t="n"/>
      <c r="G774" s="143" t="n"/>
      <c r="H774" s="27" t="n"/>
    </row>
    <row r="775" ht="17.25" customHeight="1" s="322">
      <c r="A775" s="27" t="n"/>
      <c r="B775" s="506" t="n"/>
      <c r="C775" s="141" t="n"/>
      <c r="D775" s="141" t="n"/>
      <c r="E775" s="141" t="n"/>
      <c r="F775" s="141" t="n"/>
      <c r="G775" s="143" t="n"/>
      <c r="H775" s="27" t="n"/>
    </row>
    <row r="776" ht="17.25" customHeight="1" s="322">
      <c r="A776" s="27" t="n"/>
      <c r="B776" s="506" t="n"/>
      <c r="C776" s="141" t="n"/>
      <c r="D776" s="141" t="n"/>
      <c r="E776" s="141" t="n"/>
      <c r="F776" s="141" t="n"/>
      <c r="G776" s="143" t="n"/>
      <c r="H776" s="27" t="n"/>
    </row>
    <row r="777" ht="17.25" customHeight="1" s="322">
      <c r="A777" s="27" t="n"/>
      <c r="B777" s="506" t="n"/>
      <c r="C777" s="141" t="n"/>
      <c r="D777" s="141" t="n"/>
      <c r="E777" s="141" t="n"/>
      <c r="F777" s="141" t="n"/>
      <c r="G777" s="143" t="n"/>
      <c r="H777" s="27" t="n"/>
    </row>
    <row r="778" ht="17.25" customHeight="1" s="322">
      <c r="A778" s="27" t="n"/>
      <c r="B778" s="506" t="n"/>
      <c r="C778" s="141" t="n"/>
      <c r="D778" s="141" t="n"/>
      <c r="E778" s="141" t="n"/>
      <c r="F778" s="141" t="n"/>
      <c r="G778" s="143" t="n"/>
      <c r="H778" s="27" t="n"/>
    </row>
    <row r="779" ht="17.25" customHeight="1" s="322">
      <c r="A779" s="27" t="n"/>
      <c r="B779" s="506" t="n"/>
      <c r="C779" s="141" t="n"/>
      <c r="D779" s="141" t="n"/>
      <c r="E779" s="141" t="n"/>
      <c r="F779" s="141" t="n"/>
      <c r="G779" s="143" t="n"/>
      <c r="H779" s="27" t="n"/>
    </row>
    <row r="780" ht="17.25" customHeight="1" s="322">
      <c r="A780" s="27" t="n"/>
      <c r="B780" s="506" t="n"/>
      <c r="C780" s="141" t="n"/>
      <c r="D780" s="141" t="n"/>
      <c r="E780" s="141" t="n"/>
      <c r="F780" s="141" t="n"/>
      <c r="G780" s="143" t="n"/>
      <c r="H780" s="27" t="n"/>
    </row>
    <row r="781" ht="17.25" customHeight="1" s="322">
      <c r="A781" s="27" t="n"/>
      <c r="B781" s="506" t="n"/>
      <c r="C781" s="141" t="n"/>
      <c r="D781" s="141" t="n"/>
      <c r="E781" s="141" t="n"/>
      <c r="F781" s="141" t="n"/>
      <c r="G781" s="143" t="n"/>
      <c r="H781" s="27" t="n"/>
    </row>
    <row r="782" ht="17.25" customHeight="1" s="322">
      <c r="A782" s="27" t="n"/>
      <c r="B782" s="506" t="n"/>
      <c r="C782" s="141" t="n"/>
      <c r="D782" s="141" t="n"/>
      <c r="E782" s="141" t="n"/>
      <c r="F782" s="141" t="n"/>
      <c r="G782" s="143" t="n"/>
      <c r="H782" s="27" t="n"/>
    </row>
    <row r="783" ht="17.25" customHeight="1" s="322">
      <c r="A783" s="27" t="n"/>
      <c r="B783" s="506" t="n"/>
      <c r="C783" s="141" t="n"/>
      <c r="D783" s="141" t="n"/>
      <c r="E783" s="141" t="n"/>
      <c r="F783" s="141" t="n"/>
      <c r="G783" s="143" t="n"/>
      <c r="H783" s="27" t="n"/>
    </row>
    <row r="784" ht="17.25" customHeight="1" s="322">
      <c r="A784" s="27" t="n"/>
      <c r="B784" s="506" t="n"/>
      <c r="C784" s="141" t="n"/>
      <c r="D784" s="141" t="n"/>
      <c r="E784" s="141" t="n"/>
      <c r="F784" s="141" t="n"/>
      <c r="G784" s="143" t="n"/>
      <c r="H784" s="27" t="n"/>
    </row>
    <row r="785" ht="17.25" customHeight="1" s="322">
      <c r="A785" s="27" t="n"/>
      <c r="B785" s="506" t="n"/>
      <c r="C785" s="141" t="n"/>
      <c r="D785" s="141" t="n"/>
      <c r="E785" s="141" t="n"/>
      <c r="F785" s="141" t="n"/>
      <c r="G785" s="143" t="n"/>
      <c r="H785" s="27" t="n"/>
    </row>
    <row r="786" ht="17.25" customHeight="1" s="322">
      <c r="A786" s="27" t="n"/>
      <c r="B786" s="506" t="n"/>
      <c r="C786" s="141" t="n"/>
      <c r="D786" s="141" t="n"/>
      <c r="E786" s="141" t="n"/>
      <c r="F786" s="141" t="n"/>
      <c r="G786" s="143" t="n"/>
      <c r="H786" s="27" t="n"/>
    </row>
    <row r="787" ht="17.25" customHeight="1" s="322">
      <c r="A787" s="27" t="n"/>
      <c r="B787" s="506" t="n"/>
      <c r="C787" s="141" t="n"/>
      <c r="D787" s="141" t="n"/>
      <c r="E787" s="141" t="n"/>
      <c r="F787" s="141" t="n"/>
      <c r="G787" s="143" t="n"/>
      <c r="H787" s="27" t="n"/>
    </row>
    <row r="788" ht="17.25" customHeight="1" s="322">
      <c r="A788" s="27" t="n"/>
      <c r="B788" s="506" t="n"/>
      <c r="C788" s="141" t="n"/>
      <c r="D788" s="141" t="n"/>
      <c r="E788" s="141" t="n"/>
      <c r="F788" s="141" t="n"/>
      <c r="G788" s="143" t="n"/>
      <c r="H788" s="27" t="n"/>
    </row>
    <row r="789" ht="17.25" customHeight="1" s="322">
      <c r="A789" s="27" t="n"/>
      <c r="B789" s="506" t="n"/>
      <c r="C789" s="141" t="n"/>
      <c r="D789" s="141" t="n"/>
      <c r="E789" s="141" t="n"/>
      <c r="F789" s="141" t="n"/>
      <c r="G789" s="143" t="n"/>
      <c r="H789" s="27" t="n"/>
    </row>
    <row r="790" ht="17.25" customHeight="1" s="322">
      <c r="A790" s="27" t="n"/>
      <c r="B790" s="506" t="n"/>
      <c r="C790" s="141" t="n"/>
      <c r="D790" s="141" t="n"/>
      <c r="E790" s="141" t="n"/>
      <c r="F790" s="141" t="n"/>
      <c r="G790" s="143" t="n"/>
      <c r="H790" s="27" t="n"/>
    </row>
    <row r="791" ht="17.25" customHeight="1" s="322">
      <c r="A791" s="27" t="n"/>
      <c r="B791" s="506" t="n"/>
      <c r="C791" s="141" t="n"/>
      <c r="D791" s="141" t="n"/>
      <c r="E791" s="141" t="n"/>
      <c r="F791" s="141" t="n"/>
      <c r="G791" s="143" t="n"/>
      <c r="H791" s="27" t="n"/>
    </row>
    <row r="792" ht="17.25" customHeight="1" s="322">
      <c r="A792" s="27" t="n"/>
      <c r="B792" s="506" t="n"/>
      <c r="C792" s="141" t="n"/>
      <c r="D792" s="141" t="n"/>
      <c r="E792" s="141" t="n"/>
      <c r="F792" s="141" t="n"/>
      <c r="G792" s="143" t="n"/>
      <c r="H792" s="27" t="n"/>
    </row>
    <row r="793" ht="17.25" customHeight="1" s="322">
      <c r="A793" s="27" t="n"/>
      <c r="B793" s="506" t="n"/>
      <c r="C793" s="141" t="n"/>
      <c r="D793" s="141" t="n"/>
      <c r="E793" s="141" t="n"/>
      <c r="F793" s="141" t="n"/>
      <c r="G793" s="143" t="n"/>
      <c r="H793" s="27" t="n"/>
    </row>
    <row r="794" ht="17.25" customHeight="1" s="322">
      <c r="A794" s="27" t="n"/>
      <c r="B794" s="506" t="n"/>
      <c r="C794" s="141" t="n"/>
      <c r="D794" s="141" t="n"/>
      <c r="E794" s="141" t="n"/>
      <c r="F794" s="141" t="n"/>
      <c r="G794" s="143" t="n"/>
      <c r="H794" s="27" t="n"/>
    </row>
    <row r="795" ht="17.25" customHeight="1" s="322">
      <c r="A795" s="27" t="n"/>
      <c r="B795" s="506" t="n"/>
      <c r="C795" s="141" t="n"/>
      <c r="D795" s="141" t="n"/>
      <c r="E795" s="141" t="n"/>
      <c r="F795" s="141" t="n"/>
      <c r="G795" s="143" t="n"/>
      <c r="H795" s="27" t="n"/>
    </row>
    <row r="796" ht="17.25" customHeight="1" s="322">
      <c r="A796" s="27" t="n"/>
      <c r="B796" s="506" t="n"/>
      <c r="C796" s="141" t="n"/>
      <c r="D796" s="141" t="n"/>
      <c r="E796" s="141" t="n"/>
      <c r="F796" s="141" t="n"/>
      <c r="G796" s="143" t="n"/>
      <c r="H796" s="27" t="n"/>
    </row>
    <row r="797" ht="17.25" customHeight="1" s="322">
      <c r="A797" s="27" t="n"/>
      <c r="B797" s="506" t="n"/>
      <c r="C797" s="141" t="n"/>
      <c r="D797" s="141" t="n"/>
      <c r="E797" s="141" t="n"/>
      <c r="F797" s="141" t="n"/>
      <c r="G797" s="143" t="n"/>
      <c r="H797" s="27" t="n"/>
    </row>
    <row r="798" ht="17.25" customHeight="1" s="322">
      <c r="A798" s="27" t="n"/>
      <c r="B798" s="506" t="n"/>
      <c r="C798" s="141" t="n"/>
      <c r="D798" s="141" t="n"/>
      <c r="E798" s="141" t="n"/>
      <c r="F798" s="141" t="n"/>
      <c r="G798" s="143" t="n"/>
      <c r="H798" s="27" t="n"/>
    </row>
    <row r="799" ht="17.25" customHeight="1" s="322">
      <c r="A799" s="27" t="n"/>
      <c r="B799" s="506" t="n"/>
      <c r="C799" s="141" t="n"/>
      <c r="D799" s="141" t="n"/>
      <c r="E799" s="141" t="n"/>
      <c r="F799" s="141" t="n"/>
      <c r="G799" s="143" t="n"/>
      <c r="H799" s="27" t="n"/>
    </row>
    <row r="800" ht="17.25" customHeight="1" s="322">
      <c r="A800" s="27" t="n"/>
      <c r="B800" s="506" t="n"/>
      <c r="C800" s="141" t="n"/>
      <c r="D800" s="141" t="n"/>
      <c r="E800" s="141" t="n"/>
      <c r="F800" s="141" t="n"/>
      <c r="G800" s="143" t="n"/>
      <c r="H800" s="27" t="n"/>
    </row>
    <row r="801" ht="17.25" customHeight="1" s="322">
      <c r="A801" s="27" t="n"/>
      <c r="B801" s="506" t="n"/>
      <c r="C801" s="141" t="n"/>
      <c r="D801" s="141" t="n"/>
      <c r="E801" s="141" t="n"/>
      <c r="F801" s="141" t="n"/>
      <c r="G801" s="143" t="n"/>
      <c r="H801" s="27" t="n"/>
    </row>
    <row r="802" ht="17.25" customHeight="1" s="322">
      <c r="A802" s="27" t="n"/>
      <c r="B802" s="506" t="n"/>
      <c r="C802" s="141" t="n"/>
      <c r="D802" s="141" t="n"/>
      <c r="E802" s="141" t="n"/>
      <c r="F802" s="141" t="n"/>
      <c r="G802" s="143" t="n"/>
      <c r="H802" s="27" t="n"/>
    </row>
    <row r="803" ht="17.25" customHeight="1" s="322">
      <c r="A803" s="27" t="n"/>
      <c r="B803" s="506" t="n"/>
      <c r="C803" s="141" t="n"/>
      <c r="D803" s="141" t="n"/>
      <c r="E803" s="141" t="n"/>
      <c r="F803" s="141" t="n"/>
      <c r="G803" s="143" t="n"/>
      <c r="H803" s="27" t="n"/>
    </row>
    <row r="804" ht="17.25" customHeight="1" s="322">
      <c r="A804" s="27" t="n"/>
      <c r="B804" s="506" t="n"/>
      <c r="C804" s="141" t="n"/>
      <c r="D804" s="141" t="n"/>
      <c r="E804" s="141" t="n"/>
      <c r="F804" s="141" t="n"/>
      <c r="G804" s="143" t="n"/>
      <c r="H804" s="27" t="n"/>
    </row>
    <row r="805" ht="17.25" customHeight="1" s="322">
      <c r="A805" s="27" t="n"/>
      <c r="B805" s="506" t="n"/>
      <c r="C805" s="141" t="n"/>
      <c r="D805" s="141" t="n"/>
      <c r="E805" s="141" t="n"/>
      <c r="F805" s="141" t="n"/>
      <c r="G805" s="143" t="n"/>
      <c r="H805" s="27" t="n"/>
    </row>
    <row r="806" ht="17.25" customHeight="1" s="322">
      <c r="A806" s="27" t="n"/>
      <c r="B806" s="506" t="n"/>
      <c r="C806" s="141" t="n"/>
      <c r="D806" s="141" t="n"/>
      <c r="E806" s="141" t="n"/>
      <c r="F806" s="141" t="n"/>
      <c r="G806" s="143" t="n"/>
      <c r="H806" s="27" t="n"/>
    </row>
    <row r="807" ht="17.25" customHeight="1" s="322">
      <c r="A807" s="27" t="n"/>
      <c r="B807" s="506" t="n"/>
      <c r="C807" s="141" t="n"/>
      <c r="D807" s="141" t="n"/>
      <c r="E807" s="141" t="n"/>
      <c r="F807" s="141" t="n"/>
      <c r="G807" s="143" t="n"/>
      <c r="H807" s="27" t="n"/>
    </row>
    <row r="808" ht="17.25" customHeight="1" s="322">
      <c r="A808" s="27" t="n"/>
      <c r="B808" s="506" t="n"/>
      <c r="C808" s="141" t="n"/>
      <c r="D808" s="141" t="n"/>
      <c r="E808" s="141" t="n"/>
      <c r="F808" s="141" t="n"/>
      <c r="G808" s="143" t="n"/>
      <c r="H808" s="27" t="n"/>
    </row>
    <row r="809" ht="17.25" customHeight="1" s="322">
      <c r="A809" s="27" t="n"/>
      <c r="B809" s="506" t="n"/>
      <c r="C809" s="141" t="n"/>
      <c r="D809" s="141" t="n"/>
      <c r="E809" s="141" t="n"/>
      <c r="F809" s="141" t="n"/>
      <c r="G809" s="143" t="n"/>
      <c r="H809" s="27" t="n"/>
    </row>
    <row r="810" ht="17.25" customHeight="1" s="322">
      <c r="A810" s="27" t="n"/>
      <c r="B810" s="506" t="n"/>
      <c r="C810" s="141" t="n"/>
      <c r="D810" s="141" t="n"/>
      <c r="E810" s="141" t="n"/>
      <c r="F810" s="141" t="n"/>
      <c r="G810" s="143" t="n"/>
      <c r="H810" s="27" t="n"/>
    </row>
    <row r="811" ht="17.25" customHeight="1" s="322">
      <c r="A811" s="27" t="n"/>
      <c r="B811" s="506" t="n"/>
      <c r="C811" s="141" t="n"/>
      <c r="D811" s="141" t="n"/>
      <c r="E811" s="141" t="n"/>
      <c r="F811" s="141" t="n"/>
      <c r="G811" s="143" t="n"/>
      <c r="H811" s="27" t="n"/>
    </row>
    <row r="812" ht="17.25" customHeight="1" s="322">
      <c r="A812" s="27" t="n"/>
      <c r="B812" s="506" t="n"/>
      <c r="C812" s="141" t="n"/>
      <c r="D812" s="141" t="n"/>
      <c r="E812" s="141" t="n"/>
      <c r="F812" s="141" t="n"/>
      <c r="G812" s="143" t="n"/>
      <c r="H812" s="27" t="n"/>
    </row>
    <row r="813" ht="17.25" customHeight="1" s="322">
      <c r="A813" s="27" t="n"/>
      <c r="B813" s="506" t="n"/>
      <c r="C813" s="141" t="n"/>
      <c r="D813" s="141" t="n"/>
      <c r="E813" s="141" t="n"/>
      <c r="F813" s="141" t="n"/>
      <c r="G813" s="143" t="n"/>
      <c r="H813" s="27" t="n"/>
    </row>
    <row r="814" ht="17.25" customHeight="1" s="322">
      <c r="A814" s="27" t="n"/>
      <c r="B814" s="506" t="n"/>
      <c r="C814" s="141" t="n"/>
      <c r="D814" s="141" t="n"/>
      <c r="E814" s="141" t="n"/>
      <c r="F814" s="141" t="n"/>
      <c r="G814" s="143" t="n"/>
      <c r="H814" s="27" t="n"/>
    </row>
    <row r="815" ht="17.25" customHeight="1" s="322">
      <c r="A815" s="27" t="n"/>
      <c r="B815" s="506" t="n"/>
      <c r="C815" s="141" t="n"/>
      <c r="D815" s="141" t="n"/>
      <c r="E815" s="141" t="n"/>
      <c r="F815" s="141" t="n"/>
      <c r="G815" s="143" t="n"/>
      <c r="H815" s="27" t="n"/>
    </row>
    <row r="816" ht="17.25" customHeight="1" s="322">
      <c r="A816" s="27" t="n"/>
      <c r="B816" s="506" t="n"/>
      <c r="C816" s="141" t="n"/>
      <c r="D816" s="141" t="n"/>
      <c r="E816" s="141" t="n"/>
      <c r="F816" s="141" t="n"/>
      <c r="G816" s="143" t="n"/>
      <c r="H816" s="27" t="n"/>
    </row>
    <row r="817" ht="17.25" customHeight="1" s="322">
      <c r="A817" s="27" t="n"/>
      <c r="B817" s="506" t="n"/>
      <c r="C817" s="141" t="n"/>
      <c r="D817" s="141" t="n"/>
      <c r="E817" s="141" t="n"/>
      <c r="F817" s="141" t="n"/>
      <c r="G817" s="143" t="n"/>
      <c r="H817" s="27" t="n"/>
    </row>
    <row r="818" ht="17.25" customHeight="1" s="322">
      <c r="A818" s="27" t="n"/>
      <c r="B818" s="506" t="n"/>
      <c r="C818" s="141" t="n"/>
      <c r="D818" s="141" t="n"/>
      <c r="E818" s="141" t="n"/>
      <c r="F818" s="141" t="n"/>
      <c r="G818" s="143" t="n"/>
      <c r="H818" s="27" t="n"/>
    </row>
    <row r="819" ht="17.25" customHeight="1" s="322">
      <c r="A819" s="27" t="n"/>
      <c r="B819" s="506" t="n"/>
      <c r="C819" s="141" t="n"/>
      <c r="D819" s="141" t="n"/>
      <c r="E819" s="141" t="n"/>
      <c r="F819" s="141" t="n"/>
      <c r="G819" s="143" t="n"/>
      <c r="H819" s="27" t="n"/>
    </row>
    <row r="820" ht="17.25" customHeight="1" s="322">
      <c r="A820" s="27" t="n"/>
      <c r="B820" s="506" t="n"/>
      <c r="C820" s="141" t="n"/>
      <c r="D820" s="141" t="n"/>
      <c r="E820" s="141" t="n"/>
      <c r="F820" s="141" t="n"/>
      <c r="G820" s="143" t="n"/>
      <c r="H820" s="27" t="n"/>
    </row>
    <row r="821" ht="17.25" customHeight="1" s="322">
      <c r="A821" s="27" t="n"/>
      <c r="B821" s="506" t="n"/>
      <c r="C821" s="141" t="n"/>
      <c r="D821" s="141" t="n"/>
      <c r="E821" s="141" t="n"/>
      <c r="F821" s="141" t="n"/>
      <c r="G821" s="143" t="n"/>
      <c r="H821" s="27" t="n"/>
    </row>
    <row r="822" ht="17.25" customHeight="1" s="322">
      <c r="A822" s="27" t="n"/>
      <c r="B822" s="506" t="n"/>
      <c r="C822" s="141" t="n"/>
      <c r="D822" s="141" t="n"/>
      <c r="E822" s="141" t="n"/>
      <c r="F822" s="141" t="n"/>
      <c r="G822" s="143" t="n"/>
      <c r="H822" s="27" t="n"/>
    </row>
    <row r="823" ht="17.25" customHeight="1" s="322">
      <c r="A823" s="27" t="n"/>
      <c r="B823" s="506" t="n"/>
      <c r="C823" s="141" t="n"/>
      <c r="D823" s="141" t="n"/>
      <c r="E823" s="141" t="n"/>
      <c r="F823" s="141" t="n"/>
      <c r="G823" s="143" t="n"/>
      <c r="H823" s="27" t="n"/>
    </row>
    <row r="824" ht="17.25" customHeight="1" s="322">
      <c r="A824" s="27" t="n"/>
      <c r="B824" s="506" t="n"/>
      <c r="C824" s="141" t="n"/>
      <c r="D824" s="141" t="n"/>
      <c r="E824" s="141" t="n"/>
      <c r="F824" s="141" t="n"/>
      <c r="G824" s="143" t="n"/>
      <c r="H824" s="27" t="n"/>
    </row>
    <row r="825" ht="17.25" customHeight="1" s="322">
      <c r="A825" s="27" t="n"/>
      <c r="B825" s="506" t="n"/>
      <c r="C825" s="141" t="n"/>
      <c r="D825" s="141" t="n"/>
      <c r="E825" s="141" t="n"/>
      <c r="F825" s="141" t="n"/>
      <c r="G825" s="143" t="n"/>
      <c r="H825" s="27" t="n"/>
    </row>
    <row r="826" ht="17.25" customHeight="1" s="322">
      <c r="A826" s="27" t="n"/>
      <c r="B826" s="506" t="n"/>
      <c r="C826" s="141" t="n"/>
      <c r="D826" s="141" t="n"/>
      <c r="E826" s="141" t="n"/>
      <c r="F826" s="141" t="n"/>
      <c r="G826" s="143" t="n"/>
      <c r="H826" s="27" t="n"/>
    </row>
    <row r="827" ht="17.25" customHeight="1" s="322">
      <c r="A827" s="27" t="n"/>
      <c r="B827" s="506" t="n"/>
      <c r="C827" s="141" t="n"/>
      <c r="D827" s="141" t="n"/>
      <c r="E827" s="141" t="n"/>
      <c r="F827" s="141" t="n"/>
      <c r="G827" s="143" t="n"/>
      <c r="H827" s="27" t="n"/>
    </row>
    <row r="828" ht="17.25" customHeight="1" s="322">
      <c r="A828" s="27" t="n"/>
      <c r="B828" s="506" t="n"/>
      <c r="C828" s="141" t="n"/>
      <c r="D828" s="141" t="n"/>
      <c r="E828" s="141" t="n"/>
      <c r="F828" s="141" t="n"/>
      <c r="G828" s="143" t="n"/>
      <c r="H828" s="27" t="n"/>
    </row>
    <row r="829" ht="17.25" customHeight="1" s="322">
      <c r="A829" s="27" t="n"/>
      <c r="B829" s="506" t="n"/>
      <c r="C829" s="141" t="n"/>
      <c r="D829" s="141" t="n"/>
      <c r="E829" s="141" t="n"/>
      <c r="F829" s="141" t="n"/>
      <c r="G829" s="143" t="n"/>
      <c r="H829" s="27" t="n"/>
    </row>
    <row r="830" ht="17.25" customHeight="1" s="322">
      <c r="A830" s="27" t="n"/>
      <c r="B830" s="506" t="n"/>
      <c r="C830" s="141" t="n"/>
      <c r="D830" s="141" t="n"/>
      <c r="E830" s="141" t="n"/>
      <c r="F830" s="141" t="n"/>
      <c r="G830" s="143" t="n"/>
      <c r="H830" s="27" t="n"/>
    </row>
    <row r="831" ht="17.25" customHeight="1" s="322">
      <c r="A831" s="27" t="n"/>
      <c r="B831" s="506" t="n"/>
      <c r="C831" s="141" t="n"/>
      <c r="D831" s="141" t="n"/>
      <c r="E831" s="141" t="n"/>
      <c r="F831" s="141" t="n"/>
      <c r="G831" s="143" t="n"/>
      <c r="H831" s="27" t="n"/>
    </row>
    <row r="832" ht="17.25" customHeight="1" s="322">
      <c r="A832" s="27" t="n"/>
      <c r="B832" s="506" t="n"/>
      <c r="C832" s="141" t="n"/>
      <c r="D832" s="141" t="n"/>
      <c r="E832" s="141" t="n"/>
      <c r="F832" s="141" t="n"/>
      <c r="G832" s="143" t="n"/>
      <c r="H832" s="27" t="n"/>
    </row>
    <row r="833" ht="17.25" customHeight="1" s="322">
      <c r="A833" s="27" t="n"/>
      <c r="B833" s="506" t="n"/>
      <c r="C833" s="141" t="n"/>
      <c r="D833" s="141" t="n"/>
      <c r="E833" s="141" t="n"/>
      <c r="F833" s="141" t="n"/>
      <c r="G833" s="143" t="n"/>
      <c r="H833" s="27" t="n"/>
    </row>
    <row r="834" ht="17.25" customHeight="1" s="322">
      <c r="A834" s="27" t="n"/>
      <c r="B834" s="506" t="n"/>
      <c r="C834" s="141" t="n"/>
      <c r="D834" s="141" t="n"/>
      <c r="E834" s="141" t="n"/>
      <c r="F834" s="141" t="n"/>
      <c r="G834" s="143" t="n"/>
      <c r="H834" s="27" t="n"/>
    </row>
    <row r="835" ht="17.25" customHeight="1" s="322">
      <c r="A835" s="27" t="n"/>
      <c r="B835" s="506" t="n"/>
      <c r="C835" s="141" t="n"/>
      <c r="D835" s="141" t="n"/>
      <c r="E835" s="141" t="n"/>
      <c r="F835" s="141" t="n"/>
      <c r="G835" s="143" t="n"/>
      <c r="H835" s="27" t="n"/>
    </row>
    <row r="836" ht="17.25" customHeight="1" s="322">
      <c r="A836" s="27" t="n"/>
      <c r="B836" s="506" t="n"/>
      <c r="C836" s="141" t="n"/>
      <c r="D836" s="141" t="n"/>
      <c r="E836" s="141" t="n"/>
      <c r="F836" s="141" t="n"/>
      <c r="G836" s="143" t="n"/>
      <c r="H836" s="27" t="n"/>
    </row>
    <row r="837" ht="17.25" customHeight="1" s="322">
      <c r="A837" s="27" t="n"/>
      <c r="B837" s="506" t="n"/>
      <c r="C837" s="141" t="n"/>
      <c r="D837" s="141" t="n"/>
      <c r="E837" s="141" t="n"/>
      <c r="F837" s="141" t="n"/>
      <c r="G837" s="143" t="n"/>
      <c r="H837" s="27" t="n"/>
    </row>
    <row r="838" ht="17.25" customHeight="1" s="322">
      <c r="A838" s="27" t="n"/>
      <c r="B838" s="506" t="n"/>
      <c r="C838" s="141" t="n"/>
      <c r="D838" s="141" t="n"/>
      <c r="E838" s="141" t="n"/>
      <c r="F838" s="141" t="n"/>
      <c r="G838" s="143" t="n"/>
      <c r="H838" s="27" t="n"/>
    </row>
    <row r="839" ht="17.25" customHeight="1" s="322">
      <c r="A839" s="27" t="n"/>
      <c r="B839" s="506" t="n"/>
      <c r="C839" s="141" t="n"/>
      <c r="D839" s="141" t="n"/>
      <c r="E839" s="141" t="n"/>
      <c r="F839" s="141" t="n"/>
      <c r="G839" s="143" t="n"/>
      <c r="H839" s="27" t="n"/>
    </row>
    <row r="840" ht="17.25" customHeight="1" s="322">
      <c r="A840" s="27" t="n"/>
      <c r="B840" s="506" t="n"/>
      <c r="C840" s="141" t="n"/>
      <c r="D840" s="141" t="n"/>
      <c r="E840" s="141" t="n"/>
      <c r="F840" s="141" t="n"/>
      <c r="G840" s="143" t="n"/>
      <c r="H840" s="27" t="n"/>
    </row>
    <row r="841" ht="17.25" customHeight="1" s="322">
      <c r="A841" s="27" t="n"/>
      <c r="B841" s="506" t="n"/>
      <c r="C841" s="141" t="n"/>
      <c r="D841" s="141" t="n"/>
      <c r="E841" s="141" t="n"/>
      <c r="F841" s="141" t="n"/>
      <c r="G841" s="143" t="n"/>
      <c r="H841" s="27" t="n"/>
    </row>
    <row r="842" ht="17.25" customHeight="1" s="322">
      <c r="A842" s="27" t="n"/>
      <c r="B842" s="506" t="n"/>
      <c r="C842" s="141" t="n"/>
      <c r="D842" s="141" t="n"/>
      <c r="E842" s="141" t="n"/>
      <c r="F842" s="141" t="n"/>
      <c r="G842" s="143" t="n"/>
      <c r="H842" s="27" t="n"/>
    </row>
    <row r="843" ht="17.25" customHeight="1" s="322">
      <c r="A843" s="27" t="n"/>
      <c r="B843" s="506" t="n"/>
      <c r="C843" s="141" t="n"/>
      <c r="D843" s="141" t="n"/>
      <c r="E843" s="141" t="n"/>
      <c r="F843" s="141" t="n"/>
      <c r="G843" s="143" t="n"/>
      <c r="H843" s="27" t="n"/>
    </row>
    <row r="844" ht="17.25" customHeight="1" s="322">
      <c r="A844" s="27" t="n"/>
      <c r="B844" s="506" t="n"/>
      <c r="C844" s="141" t="n"/>
      <c r="D844" s="141" t="n"/>
      <c r="E844" s="141" t="n"/>
      <c r="F844" s="141" t="n"/>
      <c r="G844" s="143" t="n"/>
      <c r="H844" s="27" t="n"/>
    </row>
    <row r="845" ht="17.25" customHeight="1" s="322">
      <c r="A845" s="27" t="n"/>
      <c r="B845" s="506" t="n"/>
      <c r="C845" s="141" t="n"/>
      <c r="D845" s="141" t="n"/>
      <c r="E845" s="141" t="n"/>
      <c r="F845" s="141" t="n"/>
      <c r="G845" s="143" t="n"/>
      <c r="H845" s="27" t="n"/>
    </row>
    <row r="846" ht="17.25" customHeight="1" s="322">
      <c r="A846" s="27" t="n"/>
      <c r="B846" s="506" t="n"/>
      <c r="C846" s="141" t="n"/>
      <c r="D846" s="141" t="n"/>
      <c r="E846" s="141" t="n"/>
      <c r="F846" s="141" t="n"/>
      <c r="G846" s="143" t="n"/>
      <c r="H846" s="27" t="n"/>
    </row>
    <row r="847" ht="17.25" customHeight="1" s="322">
      <c r="A847" s="27" t="n"/>
      <c r="B847" s="506" t="n"/>
      <c r="C847" s="141" t="n"/>
      <c r="D847" s="141" t="n"/>
      <c r="E847" s="141" t="n"/>
      <c r="F847" s="141" t="n"/>
      <c r="G847" s="143" t="n"/>
      <c r="H847" s="27" t="n"/>
    </row>
    <row r="848" ht="17.25" customHeight="1" s="322">
      <c r="A848" s="27" t="n"/>
      <c r="B848" s="506" t="n"/>
      <c r="C848" s="141" t="n"/>
      <c r="D848" s="141" t="n"/>
      <c r="E848" s="141" t="n"/>
      <c r="F848" s="141" t="n"/>
      <c r="G848" s="143" t="n"/>
      <c r="H848" s="27" t="n"/>
    </row>
    <row r="849" ht="17.25" customHeight="1" s="322">
      <c r="A849" s="27" t="n"/>
      <c r="B849" s="506" t="n"/>
      <c r="C849" s="141" t="n"/>
      <c r="D849" s="141" t="n"/>
      <c r="E849" s="141" t="n"/>
      <c r="F849" s="141" t="n"/>
      <c r="G849" s="143" t="n"/>
      <c r="H849" s="27" t="n"/>
    </row>
    <row r="850" ht="17.25" customHeight="1" s="322">
      <c r="A850" s="27" t="n"/>
      <c r="B850" s="506" t="n"/>
      <c r="C850" s="141" t="n"/>
      <c r="D850" s="141" t="n"/>
      <c r="E850" s="141" t="n"/>
      <c r="F850" s="141" t="n"/>
      <c r="G850" s="143" t="n"/>
      <c r="H850" s="27" t="n"/>
    </row>
    <row r="851" ht="17.25" customHeight="1" s="322">
      <c r="A851" s="27" t="n"/>
      <c r="B851" s="506" t="n"/>
      <c r="C851" s="141" t="n"/>
      <c r="D851" s="141" t="n"/>
      <c r="E851" s="141" t="n"/>
      <c r="F851" s="141" t="n"/>
      <c r="G851" s="143" t="n"/>
      <c r="H851" s="27" t="n"/>
    </row>
    <row r="852" ht="17.25" customHeight="1" s="322">
      <c r="A852" s="27" t="n"/>
      <c r="B852" s="506" t="n"/>
      <c r="C852" s="141" t="n"/>
      <c r="D852" s="141" t="n"/>
      <c r="E852" s="141" t="n"/>
      <c r="F852" s="141" t="n"/>
      <c r="G852" s="143" t="n"/>
      <c r="H852" s="27" t="n"/>
    </row>
    <row r="853" ht="17.25" customHeight="1" s="322">
      <c r="A853" s="27" t="n"/>
      <c r="B853" s="506" t="n"/>
      <c r="C853" s="141" t="n"/>
      <c r="D853" s="141" t="n"/>
      <c r="E853" s="141" t="n"/>
      <c r="F853" s="141" t="n"/>
      <c r="G853" s="143" t="n"/>
      <c r="H853" s="27" t="n"/>
    </row>
    <row r="854" ht="17.25" customHeight="1" s="322">
      <c r="A854" s="27" t="n"/>
      <c r="B854" s="506" t="n"/>
      <c r="C854" s="141" t="n"/>
      <c r="D854" s="141" t="n"/>
      <c r="E854" s="141" t="n"/>
      <c r="F854" s="141" t="n"/>
      <c r="G854" s="143" t="n"/>
      <c r="H854" s="27" t="n"/>
    </row>
    <row r="855" ht="17.25" customHeight="1" s="322">
      <c r="A855" s="27" t="n"/>
      <c r="B855" s="506" t="n"/>
      <c r="C855" s="141" t="n"/>
      <c r="D855" s="141" t="n"/>
      <c r="E855" s="141" t="n"/>
      <c r="F855" s="141" t="n"/>
      <c r="G855" s="143" t="n"/>
      <c r="H855" s="27" t="n"/>
    </row>
    <row r="856" ht="17.25" customHeight="1" s="322">
      <c r="A856" s="27" t="n"/>
      <c r="B856" s="506" t="n"/>
      <c r="C856" s="141" t="n"/>
      <c r="D856" s="141" t="n"/>
      <c r="E856" s="141" t="n"/>
      <c r="F856" s="141" t="n"/>
      <c r="G856" s="143" t="n"/>
      <c r="H856" s="27" t="n"/>
    </row>
    <row r="857" ht="17.25" customHeight="1" s="322">
      <c r="A857" s="27" t="n"/>
      <c r="B857" s="506" t="n"/>
      <c r="C857" s="141" t="n"/>
      <c r="D857" s="141" t="n"/>
      <c r="E857" s="141" t="n"/>
      <c r="F857" s="141" t="n"/>
      <c r="G857" s="143" t="n"/>
      <c r="H857" s="27" t="n"/>
    </row>
    <row r="858" ht="17.25" customHeight="1" s="322">
      <c r="A858" s="27" t="n"/>
      <c r="B858" s="506" t="n"/>
      <c r="C858" s="141" t="n"/>
      <c r="D858" s="141" t="n"/>
      <c r="E858" s="141" t="n"/>
      <c r="F858" s="141" t="n"/>
      <c r="G858" s="143" t="n"/>
      <c r="H858" s="27" t="n"/>
    </row>
    <row r="859" ht="17.25" customHeight="1" s="322">
      <c r="A859" s="27" t="n"/>
      <c r="B859" s="506" t="n"/>
      <c r="C859" s="141" t="n"/>
      <c r="D859" s="141" t="n"/>
      <c r="E859" s="141" t="n"/>
      <c r="F859" s="141" t="n"/>
      <c r="G859" s="143" t="n"/>
      <c r="H859" s="27" t="n"/>
    </row>
    <row r="860" ht="17.25" customHeight="1" s="322">
      <c r="A860" s="27" t="n"/>
      <c r="B860" s="506" t="n"/>
      <c r="C860" s="141" t="n"/>
      <c r="D860" s="141" t="n"/>
      <c r="E860" s="141" t="n"/>
      <c r="F860" s="141" t="n"/>
      <c r="G860" s="143" t="n"/>
      <c r="H860" s="27" t="n"/>
    </row>
    <row r="861" ht="17.25" customHeight="1" s="322">
      <c r="A861" s="27" t="n"/>
      <c r="B861" s="506" t="n"/>
      <c r="C861" s="141" t="n"/>
      <c r="D861" s="141" t="n"/>
      <c r="E861" s="141" t="n"/>
      <c r="F861" s="141" t="n"/>
      <c r="G861" s="143" t="n"/>
      <c r="H861" s="27" t="n"/>
    </row>
    <row r="862" ht="17.25" customHeight="1" s="322">
      <c r="A862" s="27" t="n"/>
      <c r="B862" s="506" t="n"/>
      <c r="C862" s="141" t="n"/>
      <c r="D862" s="141" t="n"/>
      <c r="E862" s="141" t="n"/>
      <c r="F862" s="141" t="n"/>
      <c r="G862" s="143" t="n"/>
      <c r="H862" s="27" t="n"/>
    </row>
    <row r="863" ht="17.25" customHeight="1" s="322">
      <c r="A863" s="27" t="n"/>
      <c r="B863" s="506" t="n"/>
      <c r="C863" s="141" t="n"/>
      <c r="D863" s="141" t="n"/>
      <c r="E863" s="141" t="n"/>
      <c r="F863" s="141" t="n"/>
      <c r="G863" s="143" t="n"/>
      <c r="H863" s="27" t="n"/>
    </row>
    <row r="864" ht="17.25" customHeight="1" s="322">
      <c r="A864" s="27" t="n"/>
      <c r="B864" s="506" t="n"/>
      <c r="C864" s="141" t="n"/>
      <c r="D864" s="141" t="n"/>
      <c r="E864" s="141" t="n"/>
      <c r="F864" s="141" t="n"/>
      <c r="G864" s="143" t="n"/>
      <c r="H864" s="27" t="n"/>
    </row>
    <row r="865" ht="17.25" customHeight="1" s="322">
      <c r="A865" s="27" t="n"/>
      <c r="B865" s="506" t="n"/>
      <c r="C865" s="141" t="n"/>
      <c r="D865" s="141" t="n"/>
      <c r="E865" s="141" t="n"/>
      <c r="F865" s="141" t="n"/>
      <c r="G865" s="143" t="n"/>
      <c r="H865" s="27" t="n"/>
    </row>
    <row r="866" ht="17.25" customHeight="1" s="322">
      <c r="A866" s="27" t="n"/>
      <c r="B866" s="506" t="n"/>
      <c r="C866" s="141" t="n"/>
      <c r="D866" s="141" t="n"/>
      <c r="E866" s="141" t="n"/>
      <c r="F866" s="141" t="n"/>
      <c r="G866" s="143" t="n"/>
      <c r="H866" s="27" t="n"/>
    </row>
    <row r="867" ht="17.25" customHeight="1" s="322">
      <c r="A867" s="27" t="n"/>
      <c r="B867" s="506" t="n"/>
      <c r="C867" s="141" t="n"/>
      <c r="D867" s="141" t="n"/>
      <c r="E867" s="141" t="n"/>
      <c r="F867" s="141" t="n"/>
      <c r="G867" s="143" t="n"/>
      <c r="H867" s="27" t="n"/>
    </row>
    <row r="868" ht="17.25" customHeight="1" s="322">
      <c r="A868" s="27" t="n"/>
      <c r="B868" s="506" t="n"/>
      <c r="C868" s="141" t="n"/>
      <c r="D868" s="141" t="n"/>
      <c r="E868" s="141" t="n"/>
      <c r="F868" s="141" t="n"/>
      <c r="G868" s="143" t="n"/>
      <c r="H868" s="27" t="n"/>
    </row>
    <row r="869" ht="17.25" customHeight="1" s="322">
      <c r="A869" s="27" t="n"/>
      <c r="B869" s="506" t="n"/>
      <c r="C869" s="141" t="n"/>
      <c r="D869" s="141" t="n"/>
      <c r="E869" s="141" t="n"/>
      <c r="F869" s="141" t="n"/>
      <c r="G869" s="143" t="n"/>
      <c r="H869" s="27" t="n"/>
    </row>
    <row r="870" ht="17.25" customHeight="1" s="322">
      <c r="A870" s="27" t="n"/>
      <c r="B870" s="506" t="n"/>
      <c r="C870" s="141" t="n"/>
      <c r="D870" s="141" t="n"/>
      <c r="E870" s="141" t="n"/>
      <c r="F870" s="141" t="n"/>
      <c r="G870" s="143" t="n"/>
      <c r="H870" s="27" t="n"/>
    </row>
    <row r="871" ht="17.25" customHeight="1" s="322">
      <c r="A871" s="27" t="n"/>
      <c r="B871" s="506" t="n"/>
      <c r="C871" s="141" t="n"/>
      <c r="D871" s="141" t="n"/>
      <c r="E871" s="141" t="n"/>
      <c r="F871" s="141" t="n"/>
      <c r="G871" s="143" t="n"/>
      <c r="H871" s="27" t="n"/>
    </row>
    <row r="872" ht="17.25" customHeight="1" s="322">
      <c r="A872" s="27" t="n"/>
      <c r="B872" s="506" t="n"/>
      <c r="C872" s="141" t="n"/>
      <c r="D872" s="141" t="n"/>
      <c r="E872" s="141" t="n"/>
      <c r="F872" s="141" t="n"/>
      <c r="G872" s="143" t="n"/>
      <c r="H872" s="27" t="n"/>
    </row>
    <row r="873" ht="17.25" customHeight="1" s="322">
      <c r="A873" s="27" t="n"/>
      <c r="B873" s="506" t="n"/>
      <c r="C873" s="141" t="n"/>
      <c r="D873" s="141" t="n"/>
      <c r="E873" s="141" t="n"/>
      <c r="F873" s="141" t="n"/>
      <c r="G873" s="143" t="n"/>
      <c r="H873" s="27" t="n"/>
    </row>
    <row r="874" ht="17.25" customHeight="1" s="322">
      <c r="A874" s="27" t="n"/>
      <c r="B874" s="506" t="n"/>
      <c r="C874" s="141" t="n"/>
      <c r="D874" s="141" t="n"/>
      <c r="E874" s="141" t="n"/>
      <c r="F874" s="141" t="n"/>
      <c r="G874" s="143" t="n"/>
      <c r="H874" s="27" t="n"/>
    </row>
    <row r="875" ht="17.25" customHeight="1" s="322">
      <c r="A875" s="27" t="n"/>
      <c r="B875" s="506" t="n"/>
      <c r="C875" s="141" t="n"/>
      <c r="D875" s="141" t="n"/>
      <c r="E875" s="141" t="n"/>
      <c r="F875" s="141" t="n"/>
      <c r="G875" s="143" t="n"/>
      <c r="H875" s="27" t="n"/>
    </row>
    <row r="876" ht="17.25" customHeight="1" s="322">
      <c r="A876" s="27" t="n"/>
      <c r="B876" s="506" t="n"/>
      <c r="C876" s="141" t="n"/>
      <c r="D876" s="141" t="n"/>
      <c r="E876" s="141" t="n"/>
      <c r="F876" s="141" t="n"/>
      <c r="G876" s="143" t="n"/>
      <c r="H876" s="27" t="n"/>
    </row>
    <row r="877" ht="17.25" customHeight="1" s="322">
      <c r="A877" s="27" t="n"/>
      <c r="B877" s="506" t="n"/>
      <c r="C877" s="141" t="n"/>
      <c r="D877" s="141" t="n"/>
      <c r="E877" s="141" t="n"/>
      <c r="F877" s="141" t="n"/>
      <c r="G877" s="143" t="n"/>
      <c r="H877" s="27" t="n"/>
    </row>
    <row r="878" ht="17.25" customHeight="1" s="322">
      <c r="A878" s="27" t="n"/>
      <c r="B878" s="506" t="n"/>
      <c r="C878" s="141" t="n"/>
      <c r="D878" s="141" t="n"/>
      <c r="E878" s="141" t="n"/>
      <c r="F878" s="141" t="n"/>
      <c r="G878" s="143" t="n"/>
      <c r="H878" s="27" t="n"/>
    </row>
    <row r="879" ht="17.25" customHeight="1" s="322">
      <c r="A879" s="27" t="n"/>
      <c r="B879" s="506" t="n"/>
      <c r="C879" s="141" t="n"/>
      <c r="D879" s="141" t="n"/>
      <c r="E879" s="141" t="n"/>
      <c r="F879" s="141" t="n"/>
      <c r="G879" s="143" t="n"/>
      <c r="H879" s="27" t="n"/>
    </row>
    <row r="880" ht="17.25" customHeight="1" s="322">
      <c r="A880" s="27" t="n"/>
      <c r="B880" s="506" t="n"/>
      <c r="C880" s="141" t="n"/>
      <c r="D880" s="141" t="n"/>
      <c r="E880" s="141" t="n"/>
      <c r="F880" s="141" t="n"/>
      <c r="G880" s="143" t="n"/>
      <c r="H880" s="27" t="n"/>
    </row>
    <row r="881" ht="17.25" customHeight="1" s="322">
      <c r="A881" s="27" t="n"/>
      <c r="B881" s="506" t="n"/>
      <c r="C881" s="141" t="n"/>
      <c r="D881" s="141" t="n"/>
      <c r="E881" s="141" t="n"/>
      <c r="F881" s="141" t="n"/>
      <c r="G881" s="143" t="n"/>
      <c r="H881" s="27" t="n"/>
    </row>
    <row r="882" ht="17.25" customHeight="1" s="322">
      <c r="A882" s="27" t="n"/>
      <c r="B882" s="506" t="n"/>
      <c r="C882" s="141" t="n"/>
      <c r="D882" s="141" t="n"/>
      <c r="E882" s="141" t="n"/>
      <c r="F882" s="141" t="n"/>
      <c r="G882" s="143" t="n"/>
      <c r="H882" s="27" t="n"/>
    </row>
    <row r="883" ht="17.25" customHeight="1" s="322">
      <c r="A883" s="27" t="n"/>
      <c r="B883" s="506" t="n"/>
      <c r="C883" s="141" t="n"/>
      <c r="D883" s="141" t="n"/>
      <c r="E883" s="141" t="n"/>
      <c r="F883" s="141" t="n"/>
      <c r="G883" s="143" t="n"/>
      <c r="H883" s="27" t="n"/>
    </row>
    <row r="884" ht="17.25" customHeight="1" s="322">
      <c r="A884" s="27" t="n"/>
      <c r="B884" s="506" t="n"/>
      <c r="C884" s="141" t="n"/>
      <c r="D884" s="141" t="n"/>
      <c r="E884" s="141" t="n"/>
      <c r="F884" s="141" t="n"/>
      <c r="G884" s="143" t="n"/>
      <c r="H884" s="27" t="n"/>
    </row>
    <row r="885" ht="17.25" customHeight="1" s="322">
      <c r="A885" s="27" t="n"/>
      <c r="B885" s="506" t="n"/>
      <c r="C885" s="141" t="n"/>
      <c r="D885" s="141" t="n"/>
      <c r="E885" s="141" t="n"/>
      <c r="F885" s="141" t="n"/>
      <c r="G885" s="143" t="n"/>
      <c r="H885" s="27" t="n"/>
    </row>
    <row r="886" ht="17.25" customHeight="1" s="322">
      <c r="A886" s="27" t="n"/>
      <c r="B886" s="506" t="n"/>
      <c r="C886" s="141" t="n"/>
      <c r="D886" s="141" t="n"/>
      <c r="E886" s="141" t="n"/>
      <c r="F886" s="141" t="n"/>
      <c r="G886" s="143" t="n"/>
      <c r="H886" s="27" t="n"/>
    </row>
    <row r="887" ht="17.25" customHeight="1" s="322">
      <c r="A887" s="27" t="n"/>
      <c r="B887" s="506" t="n"/>
      <c r="C887" s="141" t="n"/>
      <c r="D887" s="141" t="n"/>
      <c r="E887" s="141" t="n"/>
      <c r="F887" s="141" t="n"/>
      <c r="G887" s="143" t="n"/>
      <c r="H887" s="27" t="n"/>
    </row>
    <row r="888" ht="17.25" customHeight="1" s="322">
      <c r="A888" s="27" t="n"/>
      <c r="B888" s="506" t="n"/>
      <c r="C888" s="141" t="n"/>
      <c r="D888" s="141" t="n"/>
      <c r="E888" s="141" t="n"/>
      <c r="F888" s="141" t="n"/>
      <c r="G888" s="143" t="n"/>
      <c r="H888" s="27" t="n"/>
    </row>
    <row r="889" ht="17.25" customHeight="1" s="322">
      <c r="A889" s="27" t="n"/>
      <c r="B889" s="506" t="n"/>
      <c r="C889" s="141" t="n"/>
      <c r="D889" s="141" t="n"/>
      <c r="E889" s="141" t="n"/>
      <c r="F889" s="141" t="n"/>
      <c r="G889" s="143" t="n"/>
      <c r="H889" s="27" t="n"/>
    </row>
    <row r="890" ht="17.25" customHeight="1" s="322">
      <c r="A890" s="27" t="n"/>
      <c r="B890" s="506" t="n"/>
      <c r="C890" s="141" t="n"/>
      <c r="D890" s="141" t="n"/>
      <c r="E890" s="141" t="n"/>
      <c r="F890" s="141" t="n"/>
      <c r="G890" s="143" t="n"/>
      <c r="H890" s="27" t="n"/>
    </row>
    <row r="891" ht="17.25" customHeight="1" s="322">
      <c r="A891" s="27" t="n"/>
      <c r="B891" s="506" t="n"/>
      <c r="C891" s="141" t="n"/>
      <c r="D891" s="141" t="n"/>
      <c r="E891" s="141" t="n"/>
      <c r="F891" s="141" t="n"/>
      <c r="G891" s="143" t="n"/>
      <c r="H891" s="27" t="n"/>
    </row>
    <row r="892" ht="17.25" customHeight="1" s="322">
      <c r="A892" s="27" t="n"/>
      <c r="B892" s="506" t="n"/>
      <c r="C892" s="141" t="n"/>
      <c r="D892" s="141" t="n"/>
      <c r="E892" s="141" t="n"/>
      <c r="F892" s="141" t="n"/>
      <c r="G892" s="143" t="n"/>
      <c r="H892" s="27" t="n"/>
    </row>
    <row r="893" ht="17.25" customHeight="1" s="322">
      <c r="A893" s="27" t="n"/>
      <c r="B893" s="506" t="n"/>
      <c r="C893" s="141" t="n"/>
      <c r="D893" s="141" t="n"/>
      <c r="E893" s="141" t="n"/>
      <c r="F893" s="141" t="n"/>
      <c r="G893" s="143" t="n"/>
      <c r="H893" s="27" t="n"/>
    </row>
    <row r="894" ht="17.25" customHeight="1" s="322">
      <c r="A894" s="27" t="n"/>
      <c r="B894" s="506" t="n"/>
      <c r="C894" s="141" t="n"/>
      <c r="D894" s="141" t="n"/>
      <c r="E894" s="141" t="n"/>
      <c r="F894" s="141" t="n"/>
      <c r="G894" s="143" t="n"/>
      <c r="H894" s="27" t="n"/>
    </row>
    <row r="895" ht="17.25" customHeight="1" s="322">
      <c r="A895" s="27" t="n"/>
      <c r="B895" s="506" t="n"/>
      <c r="C895" s="141" t="n"/>
      <c r="D895" s="141" t="n"/>
      <c r="E895" s="141" t="n"/>
      <c r="F895" s="141" t="n"/>
      <c r="G895" s="143" t="n"/>
      <c r="H895" s="27" t="n"/>
    </row>
    <row r="896" ht="17.25" customHeight="1" s="322">
      <c r="A896" s="27" t="n"/>
      <c r="B896" s="506" t="n"/>
      <c r="C896" s="141" t="n"/>
      <c r="D896" s="141" t="n"/>
      <c r="E896" s="141" t="n"/>
      <c r="F896" s="141" t="n"/>
      <c r="G896" s="143" t="n"/>
      <c r="H896" s="27" t="n"/>
    </row>
    <row r="897" ht="17.25" customHeight="1" s="322">
      <c r="A897" s="27" t="n"/>
      <c r="B897" s="506" t="n"/>
      <c r="C897" s="141" t="n"/>
      <c r="D897" s="141" t="n"/>
      <c r="E897" s="141" t="n"/>
      <c r="F897" s="141" t="n"/>
      <c r="G897" s="143" t="n"/>
      <c r="H897" s="27" t="n"/>
    </row>
    <row r="898" ht="17.25" customHeight="1" s="322">
      <c r="A898" s="27" t="n"/>
      <c r="B898" s="506" t="n"/>
      <c r="C898" s="141" t="n"/>
      <c r="D898" s="141" t="n"/>
      <c r="E898" s="141" t="n"/>
      <c r="F898" s="141" t="n"/>
      <c r="G898" s="143" t="n"/>
      <c r="H898" s="27" t="n"/>
    </row>
    <row r="899" ht="17.25" customHeight="1" s="322">
      <c r="A899" s="27" t="n"/>
      <c r="B899" s="506" t="n"/>
      <c r="C899" s="141" t="n"/>
      <c r="D899" s="141" t="n"/>
      <c r="E899" s="141" t="n"/>
      <c r="F899" s="141" t="n"/>
      <c r="G899" s="143" t="n"/>
      <c r="H899" s="27" t="n"/>
    </row>
    <row r="900" ht="17.25" customHeight="1" s="322">
      <c r="A900" s="27" t="n"/>
      <c r="B900" s="506" t="n"/>
      <c r="C900" s="141" t="n"/>
      <c r="D900" s="141" t="n"/>
      <c r="E900" s="141" t="n"/>
      <c r="F900" s="141" t="n"/>
      <c r="G900" s="143" t="n"/>
      <c r="H900" s="27" t="n"/>
    </row>
    <row r="901" ht="17.25" customHeight="1" s="322">
      <c r="A901" s="27" t="n"/>
      <c r="B901" s="506" t="n"/>
      <c r="C901" s="141" t="n"/>
      <c r="D901" s="141" t="n"/>
      <c r="E901" s="141" t="n"/>
      <c r="F901" s="141" t="n"/>
      <c r="G901" s="143" t="n"/>
      <c r="H901" s="27" t="n"/>
    </row>
    <row r="902" ht="17.25" customHeight="1" s="322">
      <c r="A902" s="27" t="n"/>
      <c r="B902" s="506" t="n"/>
      <c r="C902" s="141" t="n"/>
      <c r="D902" s="141" t="n"/>
      <c r="E902" s="141" t="n"/>
      <c r="F902" s="141" t="n"/>
      <c r="G902" s="143" t="n"/>
      <c r="H902" s="27" t="n"/>
    </row>
    <row r="903" ht="17.25" customHeight="1" s="322">
      <c r="A903" s="27" t="n"/>
      <c r="B903" s="506" t="n"/>
      <c r="C903" s="141" t="n"/>
      <c r="D903" s="141" t="n"/>
      <c r="E903" s="141" t="n"/>
      <c r="F903" s="141" t="n"/>
      <c r="G903" s="143" t="n"/>
      <c r="H903" s="27" t="n"/>
    </row>
    <row r="904" ht="17.25" customHeight="1" s="322">
      <c r="A904" s="27" t="n"/>
      <c r="B904" s="506" t="n"/>
      <c r="C904" s="141" t="n"/>
      <c r="D904" s="141" t="n"/>
      <c r="E904" s="141" t="n"/>
      <c r="F904" s="141" t="n"/>
      <c r="G904" s="143" t="n"/>
      <c r="H904" s="27" t="n"/>
    </row>
    <row r="905" ht="17.25" customHeight="1" s="322">
      <c r="A905" s="27" t="n"/>
      <c r="B905" s="506" t="n"/>
      <c r="C905" s="141" t="n"/>
      <c r="D905" s="141" t="n"/>
      <c r="E905" s="141" t="n"/>
      <c r="F905" s="141" t="n"/>
      <c r="G905" s="143" t="n"/>
      <c r="H905" s="27" t="n"/>
    </row>
    <row r="906" ht="17.25" customHeight="1" s="322">
      <c r="A906" s="27" t="n"/>
      <c r="B906" s="506" t="n"/>
      <c r="C906" s="141" t="n"/>
      <c r="D906" s="141" t="n"/>
      <c r="E906" s="141" t="n"/>
      <c r="F906" s="141" t="n"/>
      <c r="G906" s="143" t="n"/>
      <c r="H906" s="27" t="n"/>
    </row>
    <row r="907" ht="17.25" customHeight="1" s="322">
      <c r="A907" s="27" t="n"/>
      <c r="B907" s="506" t="n"/>
      <c r="C907" s="141" t="n"/>
      <c r="D907" s="141" t="n"/>
      <c r="E907" s="141" t="n"/>
      <c r="F907" s="141" t="n"/>
      <c r="G907" s="143" t="n"/>
      <c r="H907" s="27" t="n"/>
    </row>
    <row r="908" ht="17.25" customHeight="1" s="322">
      <c r="A908" s="27" t="n"/>
      <c r="B908" s="506" t="n"/>
      <c r="C908" s="141" t="n"/>
      <c r="D908" s="141" t="n"/>
      <c r="E908" s="141" t="n"/>
      <c r="F908" s="141" t="n"/>
      <c r="G908" s="143" t="n"/>
      <c r="H908" s="27" t="n"/>
    </row>
    <row r="909" ht="17.25" customHeight="1" s="322">
      <c r="A909" s="27" t="n"/>
      <c r="B909" s="506" t="n"/>
      <c r="C909" s="141" t="n"/>
      <c r="D909" s="141" t="n"/>
      <c r="E909" s="141" t="n"/>
      <c r="F909" s="141" t="n"/>
      <c r="G909" s="143" t="n"/>
      <c r="H909" s="27" t="n"/>
    </row>
    <row r="910" ht="17.25" customHeight="1" s="322">
      <c r="A910" s="27" t="n"/>
      <c r="B910" s="506" t="n"/>
      <c r="C910" s="141" t="n"/>
      <c r="D910" s="141" t="n"/>
      <c r="E910" s="141" t="n"/>
      <c r="F910" s="141" t="n"/>
      <c r="G910" s="143" t="n"/>
      <c r="H910" s="27" t="n"/>
    </row>
    <row r="911" ht="17.25" customHeight="1" s="322">
      <c r="A911" s="27" t="n"/>
      <c r="B911" s="506" t="n"/>
      <c r="C911" s="141" t="n"/>
      <c r="D911" s="141" t="n"/>
      <c r="E911" s="141" t="n"/>
      <c r="F911" s="141" t="n"/>
      <c r="G911" s="143" t="n"/>
      <c r="H911" s="27" t="n"/>
    </row>
    <row r="912" ht="17.25" customHeight="1" s="322">
      <c r="A912" s="27" t="n"/>
      <c r="B912" s="506" t="n"/>
      <c r="C912" s="141" t="n"/>
      <c r="D912" s="141" t="n"/>
      <c r="E912" s="141" t="n"/>
      <c r="F912" s="141" t="n"/>
      <c r="G912" s="143" t="n"/>
      <c r="H912" s="27" t="n"/>
    </row>
    <row r="913" ht="17.25" customHeight="1" s="322">
      <c r="A913" s="27" t="n"/>
      <c r="B913" s="506" t="n"/>
      <c r="C913" s="141" t="n"/>
      <c r="D913" s="141" t="n"/>
      <c r="E913" s="141" t="n"/>
      <c r="F913" s="141" t="n"/>
      <c r="G913" s="143" t="n"/>
      <c r="H913" s="27" t="n"/>
    </row>
    <row r="914" ht="17.25" customHeight="1" s="322">
      <c r="A914" s="27" t="n"/>
      <c r="B914" s="506" t="n"/>
      <c r="C914" s="141" t="n"/>
      <c r="D914" s="141" t="n"/>
      <c r="E914" s="141" t="n"/>
      <c r="F914" s="141" t="n"/>
      <c r="G914" s="143" t="n"/>
      <c r="H914" s="27" t="n"/>
    </row>
    <row r="915" ht="17.25" customHeight="1" s="322">
      <c r="A915" s="27" t="n"/>
      <c r="B915" s="506" t="n"/>
      <c r="C915" s="141" t="n"/>
      <c r="D915" s="141" t="n"/>
      <c r="E915" s="141" t="n"/>
      <c r="F915" s="141" t="n"/>
      <c r="G915" s="143" t="n"/>
      <c r="H915" s="27" t="n"/>
    </row>
    <row r="916" ht="17.25" customHeight="1" s="322">
      <c r="A916" s="27" t="n"/>
      <c r="B916" s="506" t="n"/>
      <c r="C916" s="141" t="n"/>
      <c r="D916" s="141" t="n"/>
      <c r="E916" s="141" t="n"/>
      <c r="F916" s="141" t="n"/>
      <c r="G916" s="143" t="n"/>
      <c r="H916" s="27" t="n"/>
    </row>
    <row r="917" ht="17.25" customHeight="1" s="322">
      <c r="A917" s="27" t="n"/>
      <c r="B917" s="506" t="n"/>
      <c r="C917" s="141" t="n"/>
      <c r="D917" s="141" t="n"/>
      <c r="E917" s="141" t="n"/>
      <c r="F917" s="141" t="n"/>
      <c r="G917" s="143" t="n"/>
      <c r="H917" s="27" t="n"/>
    </row>
    <row r="918" ht="17.25" customHeight="1" s="322">
      <c r="A918" s="27" t="n"/>
      <c r="B918" s="506" t="n"/>
      <c r="C918" s="141" t="n"/>
      <c r="D918" s="141" t="n"/>
      <c r="E918" s="141" t="n"/>
      <c r="F918" s="141" t="n"/>
      <c r="G918" s="143" t="n"/>
      <c r="H918" s="27" t="n"/>
    </row>
    <row r="919" ht="17.25" customHeight="1" s="322">
      <c r="A919" s="27" t="n"/>
      <c r="B919" s="506" t="n"/>
      <c r="C919" s="141" t="n"/>
      <c r="D919" s="141" t="n"/>
      <c r="E919" s="141" t="n"/>
      <c r="F919" s="141" t="n"/>
      <c r="G919" s="143" t="n"/>
      <c r="H919" s="27" t="n"/>
    </row>
    <row r="920" ht="17.25" customHeight="1" s="322">
      <c r="A920" s="27" t="n"/>
      <c r="B920" s="506" t="n"/>
      <c r="C920" s="141" t="n"/>
      <c r="D920" s="141" t="n"/>
      <c r="E920" s="141" t="n"/>
      <c r="F920" s="141" t="n"/>
      <c r="G920" s="143" t="n"/>
      <c r="H920" s="27" t="n"/>
    </row>
    <row r="921" ht="17.25" customHeight="1" s="322">
      <c r="A921" s="27" t="n"/>
      <c r="B921" s="506" t="n"/>
      <c r="C921" s="141" t="n"/>
      <c r="D921" s="141" t="n"/>
      <c r="E921" s="141" t="n"/>
      <c r="F921" s="141" t="n"/>
      <c r="G921" s="143" t="n"/>
      <c r="H921" s="27" t="n"/>
    </row>
    <row r="922" ht="17.25" customHeight="1" s="322">
      <c r="A922" s="27" t="n"/>
      <c r="B922" s="506" t="n"/>
      <c r="C922" s="141" t="n"/>
      <c r="D922" s="141" t="n"/>
      <c r="E922" s="141" t="n"/>
      <c r="F922" s="141" t="n"/>
      <c r="G922" s="143" t="n"/>
      <c r="H922" s="27" t="n"/>
    </row>
    <row r="923" ht="17.25" customHeight="1" s="322">
      <c r="A923" s="27" t="n"/>
      <c r="B923" s="506" t="n"/>
      <c r="C923" s="141" t="n"/>
      <c r="D923" s="141" t="n"/>
      <c r="E923" s="141" t="n"/>
      <c r="F923" s="141" t="n"/>
      <c r="G923" s="143" t="n"/>
      <c r="H923" s="27" t="n"/>
    </row>
    <row r="924" ht="17.25" customHeight="1" s="322">
      <c r="A924" s="27" t="n"/>
      <c r="B924" s="506" t="n"/>
      <c r="C924" s="141" t="n"/>
      <c r="D924" s="141" t="n"/>
      <c r="E924" s="141" t="n"/>
      <c r="F924" s="141" t="n"/>
      <c r="G924" s="143" t="n"/>
      <c r="H924" s="27" t="n"/>
    </row>
    <row r="925" ht="17.25" customHeight="1" s="322">
      <c r="A925" s="27" t="n"/>
      <c r="B925" s="506" t="n"/>
      <c r="C925" s="141" t="n"/>
      <c r="D925" s="141" t="n"/>
      <c r="E925" s="141" t="n"/>
      <c r="F925" s="141" t="n"/>
      <c r="G925" s="143" t="n"/>
      <c r="H925" s="27" t="n"/>
    </row>
    <row r="926" ht="17.25" customHeight="1" s="322">
      <c r="A926" s="27" t="n"/>
      <c r="B926" s="506" t="n"/>
      <c r="C926" s="141" t="n"/>
      <c r="D926" s="141" t="n"/>
      <c r="E926" s="141" t="n"/>
      <c r="F926" s="141" t="n"/>
      <c r="G926" s="143" t="n"/>
      <c r="H926" s="27" t="n"/>
    </row>
    <row r="927" ht="17.25" customHeight="1" s="322">
      <c r="A927" s="27" t="n"/>
      <c r="B927" s="506" t="n"/>
      <c r="C927" s="141" t="n"/>
      <c r="D927" s="141" t="n"/>
      <c r="E927" s="141" t="n"/>
      <c r="F927" s="141" t="n"/>
      <c r="G927" s="143" t="n"/>
      <c r="H927" s="27" t="n"/>
    </row>
    <row r="928" ht="17.25" customHeight="1" s="322">
      <c r="A928" s="27" t="n"/>
      <c r="B928" s="506" t="n"/>
      <c r="C928" s="141" t="n"/>
      <c r="D928" s="141" t="n"/>
      <c r="E928" s="141" t="n"/>
      <c r="F928" s="141" t="n"/>
      <c r="G928" s="143" t="n"/>
      <c r="H928" s="27" t="n"/>
    </row>
    <row r="929" ht="17.25" customHeight="1" s="322">
      <c r="A929" s="27" t="n"/>
      <c r="B929" s="506" t="n"/>
      <c r="C929" s="141" t="n"/>
      <c r="D929" s="141" t="n"/>
      <c r="E929" s="141" t="n"/>
      <c r="F929" s="141" t="n"/>
      <c r="G929" s="143" t="n"/>
      <c r="H929" s="27" t="n"/>
    </row>
    <row r="930" ht="17.25" customHeight="1" s="322">
      <c r="A930" s="27" t="n"/>
      <c r="B930" s="506" t="n"/>
      <c r="C930" s="141" t="n"/>
      <c r="D930" s="141" t="n"/>
      <c r="E930" s="141" t="n"/>
      <c r="F930" s="141" t="n"/>
      <c r="G930" s="143" t="n"/>
      <c r="H930" s="27" t="n"/>
    </row>
    <row r="931" ht="17.25" customHeight="1" s="322">
      <c r="A931" s="27" t="n"/>
      <c r="B931" s="506" t="n"/>
      <c r="C931" s="141" t="n"/>
      <c r="D931" s="141" t="n"/>
      <c r="E931" s="141" t="n"/>
      <c r="F931" s="141" t="n"/>
      <c r="G931" s="143" t="n"/>
      <c r="H931" s="27" t="n"/>
    </row>
    <row r="932" ht="17.25" customHeight="1" s="322">
      <c r="A932" s="27" t="n"/>
      <c r="B932" s="506" t="n"/>
      <c r="C932" s="141" t="n"/>
      <c r="D932" s="141" t="n"/>
      <c r="E932" s="141" t="n"/>
      <c r="F932" s="141" t="n"/>
      <c r="G932" s="143" t="n"/>
      <c r="H932" s="27" t="n"/>
    </row>
    <row r="933" ht="17.25" customHeight="1" s="322">
      <c r="A933" s="27" t="n"/>
      <c r="B933" s="506" t="n"/>
      <c r="C933" s="141" t="n"/>
      <c r="D933" s="141" t="n"/>
      <c r="E933" s="141" t="n"/>
      <c r="F933" s="141" t="n"/>
      <c r="G933" s="143" t="n"/>
      <c r="H933" s="27" t="n"/>
    </row>
    <row r="934" ht="17.25" customHeight="1" s="322">
      <c r="A934" s="27" t="n"/>
      <c r="B934" s="506" t="n"/>
      <c r="C934" s="141" t="n"/>
      <c r="D934" s="141" t="n"/>
      <c r="E934" s="141" t="n"/>
      <c r="F934" s="141" t="n"/>
      <c r="G934" s="143" t="n"/>
      <c r="H934" s="27" t="n"/>
    </row>
    <row r="935" ht="17.25" customHeight="1" s="322">
      <c r="A935" s="27" t="n"/>
      <c r="B935" s="506" t="n"/>
      <c r="C935" s="141" t="n"/>
      <c r="D935" s="141" t="n"/>
      <c r="E935" s="141" t="n"/>
      <c r="F935" s="141" t="n"/>
      <c r="G935" s="143" t="n"/>
      <c r="H935" s="27" t="n"/>
    </row>
    <row r="936" ht="17.25" customHeight="1" s="322">
      <c r="A936" s="27" t="n"/>
      <c r="B936" s="506" t="n"/>
      <c r="C936" s="141" t="n"/>
      <c r="D936" s="141" t="n"/>
      <c r="E936" s="141" t="n"/>
      <c r="F936" s="141" t="n"/>
      <c r="G936" s="143" t="n"/>
      <c r="H936" s="27" t="n"/>
    </row>
    <row r="937" ht="17.25" customHeight="1" s="322">
      <c r="A937" s="27" t="n"/>
      <c r="B937" s="506" t="n"/>
      <c r="C937" s="141" t="n"/>
      <c r="D937" s="141" t="n"/>
      <c r="E937" s="141" t="n"/>
      <c r="F937" s="141" t="n"/>
      <c r="G937" s="143" t="n"/>
      <c r="H937" s="27" t="n"/>
    </row>
    <row r="938" ht="17.25" customHeight="1" s="322">
      <c r="A938" s="27" t="n"/>
      <c r="B938" s="506" t="n"/>
      <c r="C938" s="141" t="n"/>
      <c r="D938" s="141" t="n"/>
      <c r="E938" s="141" t="n"/>
      <c r="F938" s="141" t="n"/>
      <c r="G938" s="143" t="n"/>
      <c r="H938" s="27" t="n"/>
    </row>
    <row r="939" ht="17.25" customHeight="1" s="322">
      <c r="A939" s="27" t="n"/>
      <c r="B939" s="506" t="n"/>
      <c r="C939" s="141" t="n"/>
      <c r="D939" s="141" t="n"/>
      <c r="E939" s="141" t="n"/>
      <c r="F939" s="141" t="n"/>
      <c r="G939" s="143" t="n"/>
      <c r="H939" s="27" t="n"/>
    </row>
    <row r="940" ht="17.25" customHeight="1" s="322">
      <c r="A940" s="27" t="n"/>
      <c r="B940" s="506" t="n"/>
      <c r="C940" s="141" t="n"/>
      <c r="D940" s="141" t="n"/>
      <c r="E940" s="141" t="n"/>
      <c r="F940" s="141" t="n"/>
      <c r="G940" s="143" t="n"/>
      <c r="H940" s="27" t="n"/>
    </row>
    <row r="941" ht="17.25" customHeight="1" s="322">
      <c r="A941" s="27" t="n"/>
      <c r="B941" s="506" t="n"/>
      <c r="C941" s="141" t="n"/>
      <c r="D941" s="141" t="n"/>
      <c r="E941" s="141" t="n"/>
      <c r="F941" s="141" t="n"/>
      <c r="G941" s="143" t="n"/>
      <c r="H941" s="27" t="n"/>
    </row>
    <row r="942" ht="17.25" customHeight="1" s="322">
      <c r="A942" s="27" t="n"/>
      <c r="B942" s="506" t="n"/>
      <c r="C942" s="141" t="n"/>
      <c r="D942" s="141" t="n"/>
      <c r="E942" s="141" t="n"/>
      <c r="F942" s="141" t="n"/>
      <c r="G942" s="143" t="n"/>
      <c r="H942" s="27" t="n"/>
    </row>
    <row r="943" ht="17.25" customHeight="1" s="322">
      <c r="A943" s="27" t="n"/>
      <c r="B943" s="506" t="n"/>
      <c r="C943" s="141" t="n"/>
      <c r="D943" s="141" t="n"/>
      <c r="E943" s="141" t="n"/>
      <c r="F943" s="141" t="n"/>
      <c r="G943" s="143" t="n"/>
      <c r="H943" s="27" t="n"/>
    </row>
    <row r="944" ht="17.25" customHeight="1" s="322">
      <c r="A944" s="27" t="n"/>
      <c r="B944" s="506" t="n"/>
      <c r="C944" s="141" t="n"/>
      <c r="D944" s="141" t="n"/>
      <c r="E944" s="141" t="n"/>
      <c r="F944" s="141" t="n"/>
      <c r="G944" s="143" t="n"/>
      <c r="H944" s="27" t="n"/>
    </row>
    <row r="945" ht="17.25" customHeight="1" s="322">
      <c r="A945" s="27" t="n"/>
      <c r="B945" s="506" t="n"/>
      <c r="C945" s="141" t="n"/>
      <c r="D945" s="141" t="n"/>
      <c r="E945" s="141" t="n"/>
      <c r="F945" s="141" t="n"/>
      <c r="G945" s="143" t="n"/>
      <c r="H945" s="27" t="n"/>
    </row>
    <row r="946" ht="17.25" customHeight="1" s="322">
      <c r="A946" s="27" t="n"/>
      <c r="B946" s="506" t="n"/>
      <c r="C946" s="141" t="n"/>
      <c r="D946" s="141" t="n"/>
      <c r="E946" s="141" t="n"/>
      <c r="F946" s="141" t="n"/>
      <c r="G946" s="143" t="n"/>
      <c r="H946" s="27" t="n"/>
    </row>
    <row r="947" ht="17.25" customHeight="1" s="322">
      <c r="A947" s="27" t="n"/>
      <c r="B947" s="506" t="n"/>
      <c r="C947" s="141" t="n"/>
      <c r="D947" s="141" t="n"/>
      <c r="E947" s="141" t="n"/>
      <c r="F947" s="141" t="n"/>
      <c r="G947" s="143" t="n"/>
      <c r="H947" s="27" t="n"/>
    </row>
    <row r="948" ht="17.25" customHeight="1" s="322">
      <c r="A948" s="27" t="n"/>
      <c r="B948" s="506" t="n"/>
      <c r="C948" s="141" t="n"/>
      <c r="D948" s="141" t="n"/>
      <c r="E948" s="141" t="n"/>
      <c r="F948" s="141" t="n"/>
      <c r="G948" s="143" t="n"/>
      <c r="H948" s="27" t="n"/>
    </row>
    <row r="949" ht="17.25" customHeight="1" s="322">
      <c r="A949" s="27" t="n"/>
      <c r="B949" s="506" t="n"/>
      <c r="C949" s="141" t="n"/>
      <c r="D949" s="141" t="n"/>
      <c r="E949" s="141" t="n"/>
      <c r="F949" s="141" t="n"/>
      <c r="G949" s="143" t="n"/>
      <c r="H949" s="27" t="n"/>
    </row>
    <row r="950" ht="17.25" customHeight="1" s="322">
      <c r="A950" s="27" t="n"/>
      <c r="B950" s="506" t="n"/>
      <c r="C950" s="141" t="n"/>
      <c r="D950" s="141" t="n"/>
      <c r="E950" s="141" t="n"/>
      <c r="F950" s="141" t="n"/>
      <c r="G950" s="143" t="n"/>
      <c r="H950" s="27" t="n"/>
    </row>
    <row r="951" ht="17.25" customHeight="1" s="322">
      <c r="A951" s="27" t="n"/>
      <c r="B951" s="506" t="n"/>
      <c r="C951" s="141" t="n"/>
      <c r="D951" s="141" t="n"/>
      <c r="E951" s="141" t="n"/>
      <c r="F951" s="141" t="n"/>
      <c r="G951" s="143" t="n"/>
      <c r="H951" s="27" t="n"/>
    </row>
    <row r="952" ht="17.25" customHeight="1" s="322">
      <c r="A952" s="27" t="n"/>
      <c r="B952" s="506" t="n"/>
      <c r="C952" s="141" t="n"/>
      <c r="D952" s="141" t="n"/>
      <c r="E952" s="141" t="n"/>
      <c r="F952" s="141" t="n"/>
      <c r="G952" s="143" t="n"/>
      <c r="H952" s="27" t="n"/>
    </row>
    <row r="953" ht="17.25" customHeight="1" s="322">
      <c r="A953" s="27" t="n"/>
      <c r="B953" s="506" t="n"/>
      <c r="C953" s="141" t="n"/>
      <c r="D953" s="141" t="n"/>
      <c r="E953" s="141" t="n"/>
      <c r="F953" s="141" t="n"/>
      <c r="G953" s="143" t="n"/>
      <c r="H953" s="27" t="n"/>
    </row>
    <row r="954" ht="17.25" customHeight="1" s="322">
      <c r="A954" s="27" t="n"/>
      <c r="B954" s="506" t="n"/>
      <c r="C954" s="141" t="n"/>
      <c r="D954" s="141" t="n"/>
      <c r="E954" s="141" t="n"/>
      <c r="F954" s="141" t="n"/>
      <c r="G954" s="143" t="n"/>
      <c r="H954" s="27" t="n"/>
    </row>
    <row r="955" ht="17.25" customHeight="1" s="322">
      <c r="A955" s="27" t="n"/>
      <c r="B955" s="506" t="n"/>
      <c r="C955" s="141" t="n"/>
      <c r="D955" s="141" t="n"/>
      <c r="E955" s="141" t="n"/>
      <c r="F955" s="141" t="n"/>
      <c r="G955" s="143" t="n"/>
      <c r="H955" s="27" t="n"/>
    </row>
    <row r="956" ht="17.25" customHeight="1" s="322">
      <c r="A956" s="27" t="n"/>
      <c r="B956" s="506" t="n"/>
      <c r="C956" s="141" t="n"/>
      <c r="D956" s="141" t="n"/>
      <c r="E956" s="141" t="n"/>
      <c r="F956" s="141" t="n"/>
      <c r="G956" s="143" t="n"/>
      <c r="H956" s="27" t="n"/>
    </row>
    <row r="957" ht="17.25" customHeight="1" s="322">
      <c r="A957" s="27" t="n"/>
      <c r="B957" s="506" t="n"/>
      <c r="C957" s="141" t="n"/>
      <c r="D957" s="141" t="n"/>
      <c r="E957" s="141" t="n"/>
      <c r="F957" s="141" t="n"/>
      <c r="G957" s="143" t="n"/>
      <c r="H957" s="27" t="n"/>
    </row>
    <row r="958" ht="17.25" customHeight="1" s="322">
      <c r="A958" s="27" t="n"/>
      <c r="B958" s="506" t="n"/>
      <c r="C958" s="141" t="n"/>
      <c r="D958" s="141" t="n"/>
      <c r="E958" s="141" t="n"/>
      <c r="F958" s="141" t="n"/>
      <c r="G958" s="143" t="n"/>
      <c r="H958" s="27" t="n"/>
    </row>
    <row r="959" ht="17.25" customHeight="1" s="322">
      <c r="A959" s="27" t="n"/>
      <c r="B959" s="506" t="n"/>
      <c r="C959" s="141" t="n"/>
      <c r="D959" s="141" t="n"/>
      <c r="E959" s="141" t="n"/>
      <c r="F959" s="141" t="n"/>
      <c r="G959" s="143" t="n"/>
      <c r="H959" s="27" t="n"/>
    </row>
    <row r="960" ht="17.25" customHeight="1" s="322">
      <c r="A960" s="27" t="n"/>
      <c r="B960" s="506" t="n"/>
      <c r="C960" s="141" t="n"/>
      <c r="D960" s="141" t="n"/>
      <c r="E960" s="141" t="n"/>
      <c r="F960" s="141" t="n"/>
      <c r="G960" s="143" t="n"/>
      <c r="H960" s="27" t="n"/>
    </row>
    <row r="961" ht="17.25" customHeight="1" s="322">
      <c r="A961" s="27" t="n"/>
      <c r="B961" s="506" t="n"/>
      <c r="C961" s="141" t="n"/>
      <c r="D961" s="141" t="n"/>
      <c r="E961" s="141" t="n"/>
      <c r="F961" s="141" t="n"/>
      <c r="G961" s="143" t="n"/>
      <c r="H961" s="27" t="n"/>
    </row>
    <row r="962" ht="17.25" customHeight="1" s="322">
      <c r="A962" s="27" t="n"/>
      <c r="B962" s="506" t="n"/>
      <c r="C962" s="141" t="n"/>
      <c r="D962" s="141" t="n"/>
      <c r="E962" s="141" t="n"/>
      <c r="F962" s="141" t="n"/>
      <c r="G962" s="143" t="n"/>
      <c r="H962" s="27" t="n"/>
    </row>
    <row r="963" ht="17.25" customHeight="1" s="322">
      <c r="A963" s="27" t="n"/>
      <c r="B963" s="506" t="n"/>
      <c r="C963" s="141" t="n"/>
      <c r="D963" s="141" t="n"/>
      <c r="E963" s="141" t="n"/>
      <c r="F963" s="141" t="n"/>
      <c r="G963" s="143" t="n"/>
      <c r="H963" s="27" t="n"/>
    </row>
    <row r="964" ht="17.25" customHeight="1" s="322">
      <c r="A964" s="27" t="n"/>
      <c r="B964" s="506" t="n"/>
      <c r="C964" s="141" t="n"/>
      <c r="D964" s="141" t="n"/>
      <c r="E964" s="141" t="n"/>
      <c r="F964" s="141" t="n"/>
      <c r="G964" s="143" t="n"/>
      <c r="H964" s="27" t="n"/>
    </row>
    <row r="965" ht="17.25" customHeight="1" s="322">
      <c r="A965" s="27" t="n"/>
      <c r="B965" s="506" t="n"/>
      <c r="C965" s="141" t="n"/>
      <c r="D965" s="141" t="n"/>
      <c r="E965" s="141" t="n"/>
      <c r="F965" s="141" t="n"/>
      <c r="G965" s="143" t="n"/>
      <c r="H965" s="27" t="n"/>
    </row>
    <row r="966" ht="17.25" customHeight="1" s="322">
      <c r="A966" s="27" t="n"/>
      <c r="B966" s="506" t="n"/>
      <c r="C966" s="141" t="n"/>
      <c r="D966" s="141" t="n"/>
      <c r="E966" s="141" t="n"/>
      <c r="F966" s="141" t="n"/>
      <c r="G966" s="143" t="n"/>
      <c r="H966" s="27" t="n"/>
    </row>
    <row r="967" ht="17.25" customHeight="1" s="322">
      <c r="A967" s="27" t="n"/>
      <c r="B967" s="506" t="n"/>
      <c r="C967" s="141" t="n"/>
      <c r="D967" s="141" t="n"/>
      <c r="E967" s="141" t="n"/>
      <c r="F967" s="141" t="n"/>
      <c r="G967" s="143" t="n"/>
      <c r="H967" s="27" t="n"/>
    </row>
    <row r="968" ht="17.25" customHeight="1" s="322">
      <c r="A968" s="27" t="n"/>
      <c r="B968" s="506" t="n"/>
      <c r="C968" s="141" t="n"/>
      <c r="D968" s="141" t="n"/>
      <c r="E968" s="141" t="n"/>
      <c r="F968" s="141" t="n"/>
      <c r="G968" s="143" t="n"/>
      <c r="H968" s="27" t="n"/>
    </row>
    <row r="969" ht="17.25" customHeight="1" s="322">
      <c r="A969" s="27" t="n"/>
      <c r="B969" s="506" t="n"/>
      <c r="C969" s="141" t="n"/>
      <c r="D969" s="141" t="n"/>
      <c r="E969" s="141" t="n"/>
      <c r="F969" s="141" t="n"/>
      <c r="G969" s="143" t="n"/>
      <c r="H969" s="27" t="n"/>
    </row>
    <row r="970" ht="17.25" customHeight="1" s="322">
      <c r="A970" s="27" t="n"/>
      <c r="B970" s="506" t="n"/>
      <c r="C970" s="141" t="n"/>
      <c r="D970" s="141" t="n"/>
      <c r="E970" s="141" t="n"/>
      <c r="F970" s="141" t="n"/>
      <c r="G970" s="143" t="n"/>
      <c r="H970" s="27" t="n"/>
    </row>
    <row r="971" ht="17.25" customHeight="1" s="322">
      <c r="A971" s="27" t="n"/>
      <c r="B971" s="506" t="n"/>
      <c r="C971" s="141" t="n"/>
      <c r="D971" s="141" t="n"/>
      <c r="E971" s="141" t="n"/>
      <c r="F971" s="141" t="n"/>
      <c r="G971" s="143" t="n"/>
      <c r="H971" s="27" t="n"/>
    </row>
    <row r="972" ht="17.25" customHeight="1" s="322">
      <c r="A972" s="27" t="n"/>
      <c r="B972" s="506" t="n"/>
      <c r="C972" s="141" t="n"/>
      <c r="D972" s="141" t="n"/>
      <c r="E972" s="141" t="n"/>
      <c r="F972" s="141" t="n"/>
      <c r="G972" s="143" t="n"/>
      <c r="H972" s="27" t="n"/>
    </row>
    <row r="973" ht="17.25" customHeight="1" s="322">
      <c r="A973" s="27" t="n"/>
      <c r="B973" s="506" t="n"/>
      <c r="C973" s="141" t="n"/>
      <c r="D973" s="141" t="n"/>
      <c r="E973" s="141" t="n"/>
      <c r="F973" s="141" t="n"/>
      <c r="G973" s="143" t="n"/>
      <c r="H973" s="27" t="n"/>
    </row>
    <row r="974" ht="17.25" customHeight="1" s="322">
      <c r="A974" s="27" t="n"/>
      <c r="B974" s="506" t="n"/>
      <c r="C974" s="141" t="n"/>
      <c r="D974" s="141" t="n"/>
      <c r="E974" s="141" t="n"/>
      <c r="F974" s="141" t="n"/>
      <c r="G974" s="143" t="n"/>
      <c r="H974" s="27" t="n"/>
    </row>
    <row r="975" ht="17.25" customHeight="1" s="322">
      <c r="A975" s="27" t="n"/>
      <c r="B975" s="506" t="n"/>
      <c r="C975" s="141" t="n"/>
      <c r="D975" s="141" t="n"/>
      <c r="E975" s="141" t="n"/>
      <c r="F975" s="141" t="n"/>
      <c r="G975" s="143" t="n"/>
      <c r="H975" s="27" t="n"/>
    </row>
    <row r="976" ht="17.25" customHeight="1" s="322">
      <c r="A976" s="27" t="n"/>
      <c r="B976" s="506" t="n"/>
      <c r="C976" s="141" t="n"/>
      <c r="D976" s="141" t="n"/>
      <c r="E976" s="141" t="n"/>
      <c r="F976" s="141" t="n"/>
      <c r="G976" s="143" t="n"/>
      <c r="H976" s="27" t="n"/>
    </row>
    <row r="977" ht="17.25" customHeight="1" s="322">
      <c r="A977" s="27" t="n"/>
      <c r="B977" s="506" t="n"/>
      <c r="C977" s="141" t="n"/>
      <c r="D977" s="141" t="n"/>
      <c r="E977" s="141" t="n"/>
      <c r="F977" s="141" t="n"/>
      <c r="G977" s="143" t="n"/>
      <c r="H977" s="27" t="n"/>
    </row>
    <row r="978" ht="17.25" customHeight="1" s="322">
      <c r="A978" s="27" t="n"/>
      <c r="B978" s="506" t="n"/>
      <c r="C978" s="141" t="n"/>
      <c r="D978" s="141" t="n"/>
      <c r="E978" s="141" t="n"/>
      <c r="F978" s="141" t="n"/>
      <c r="G978" s="143" t="n"/>
      <c r="H978" s="27" t="n"/>
    </row>
    <row r="979" ht="17.25" customHeight="1" s="322">
      <c r="A979" s="27" t="n"/>
      <c r="B979" s="506" t="n"/>
      <c r="C979" s="141" t="n"/>
      <c r="D979" s="141" t="n"/>
      <c r="E979" s="141" t="n"/>
      <c r="F979" s="141" t="n"/>
      <c r="G979" s="143" t="n"/>
      <c r="H979" s="27" t="n"/>
    </row>
    <row r="980" ht="17.25" customHeight="1" s="322">
      <c r="A980" s="27" t="n"/>
      <c r="B980" s="506" t="n"/>
      <c r="C980" s="141" t="n"/>
      <c r="D980" s="141" t="n"/>
      <c r="E980" s="141" t="n"/>
      <c r="F980" s="141" t="n"/>
      <c r="G980" s="143" t="n"/>
      <c r="H980" s="27" t="n"/>
    </row>
    <row r="981" ht="17.25" customHeight="1" s="322">
      <c r="A981" s="27" t="n"/>
      <c r="B981" s="506" t="n"/>
      <c r="C981" s="141" t="n"/>
      <c r="D981" s="141" t="n"/>
      <c r="E981" s="141" t="n"/>
      <c r="F981" s="141" t="n"/>
      <c r="G981" s="143" t="n"/>
      <c r="H981" s="27" t="n"/>
    </row>
    <row r="982" ht="17.25" customHeight="1" s="322">
      <c r="A982" s="27" t="n"/>
      <c r="B982" s="506" t="n"/>
      <c r="C982" s="141" t="n"/>
      <c r="D982" s="141" t="n"/>
      <c r="E982" s="141" t="n"/>
      <c r="F982" s="141" t="n"/>
      <c r="G982" s="143" t="n"/>
      <c r="H982" s="27" t="n"/>
    </row>
    <row r="983" ht="17.25" customHeight="1" s="322">
      <c r="A983" s="27" t="n"/>
      <c r="B983" s="506" t="n"/>
      <c r="C983" s="141" t="n"/>
      <c r="D983" s="141" t="n"/>
      <c r="E983" s="141" t="n"/>
      <c r="F983" s="141" t="n"/>
      <c r="G983" s="143" t="n"/>
      <c r="H983" s="27" t="n"/>
    </row>
    <row r="984" ht="17.25" customHeight="1" s="322">
      <c r="A984" s="27" t="n"/>
      <c r="B984" s="506" t="n"/>
      <c r="C984" s="141" t="n"/>
      <c r="D984" s="141" t="n"/>
      <c r="E984" s="141" t="n"/>
      <c r="F984" s="141" t="n"/>
      <c r="G984" s="143" t="n"/>
      <c r="H984" s="27" t="n"/>
    </row>
    <row r="985" ht="17.25" customHeight="1" s="322">
      <c r="A985" s="27" t="n"/>
      <c r="B985" s="506" t="n"/>
      <c r="C985" s="141" t="n"/>
      <c r="D985" s="141" t="n"/>
      <c r="E985" s="141" t="n"/>
      <c r="F985" s="141" t="n"/>
      <c r="G985" s="143" t="n"/>
      <c r="H985" s="27" t="n"/>
    </row>
    <row r="986" ht="17.25" customHeight="1" s="322">
      <c r="A986" s="27" t="n"/>
      <c r="B986" s="506" t="n"/>
      <c r="C986" s="141" t="n"/>
      <c r="D986" s="141" t="n"/>
      <c r="E986" s="141" t="n"/>
      <c r="F986" s="141" t="n"/>
      <c r="G986" s="143" t="n"/>
      <c r="H986" s="27" t="n"/>
    </row>
    <row r="987" ht="17.25" customHeight="1" s="322">
      <c r="A987" s="27" t="n"/>
      <c r="B987" s="506" t="n"/>
      <c r="C987" s="141" t="n"/>
      <c r="D987" s="141" t="n"/>
      <c r="E987" s="141" t="n"/>
      <c r="F987" s="141" t="n"/>
      <c r="G987" s="143" t="n"/>
      <c r="H987" s="27" t="n"/>
    </row>
    <row r="988" ht="17.25" customHeight="1" s="322">
      <c r="A988" s="27" t="n"/>
      <c r="B988" s="506" t="n"/>
      <c r="C988" s="141" t="n"/>
      <c r="D988" s="141" t="n"/>
      <c r="E988" s="141" t="n"/>
      <c r="F988" s="141" t="n"/>
      <c r="G988" s="143" t="n"/>
      <c r="H988" s="27" t="n"/>
    </row>
    <row r="989" ht="17.25" customHeight="1" s="322">
      <c r="A989" s="27" t="n"/>
      <c r="B989" s="506" t="n"/>
      <c r="C989" s="141" t="n"/>
      <c r="D989" s="141" t="n"/>
      <c r="E989" s="141" t="n"/>
      <c r="F989" s="141" t="n"/>
      <c r="G989" s="143" t="n"/>
      <c r="H989" s="27" t="n"/>
    </row>
    <row r="990" ht="17.25" customHeight="1" s="322">
      <c r="A990" s="27" t="n"/>
      <c r="B990" s="506" t="n"/>
      <c r="C990" s="141" t="n"/>
      <c r="D990" s="141" t="n"/>
      <c r="E990" s="141" t="n"/>
      <c r="F990" s="141" t="n"/>
      <c r="G990" s="143" t="n"/>
      <c r="H990" s="27" t="n"/>
    </row>
    <row r="991" ht="17.25" customHeight="1" s="322">
      <c r="A991" s="27" t="n"/>
      <c r="B991" s="506" t="n"/>
      <c r="C991" s="141" t="n"/>
      <c r="D991" s="141" t="n"/>
      <c r="E991" s="141" t="n"/>
      <c r="F991" s="141" t="n"/>
      <c r="G991" s="143" t="n"/>
      <c r="H991" s="27" t="n"/>
    </row>
    <row r="992" ht="17.25" customHeight="1" s="322">
      <c r="A992" s="27" t="n"/>
      <c r="B992" s="506" t="n"/>
      <c r="C992" s="141" t="n"/>
      <c r="D992" s="141" t="n"/>
      <c r="E992" s="141" t="n"/>
      <c r="F992" s="141" t="n"/>
      <c r="G992" s="143" t="n"/>
      <c r="H992" s="27" t="n"/>
    </row>
    <row r="993" ht="17.25" customHeight="1" s="322">
      <c r="A993" s="27" t="n"/>
      <c r="B993" s="506" t="n"/>
      <c r="C993" s="141" t="n"/>
      <c r="D993" s="141" t="n"/>
      <c r="E993" s="141" t="n"/>
      <c r="F993" s="141" t="n"/>
      <c r="G993" s="143" t="n"/>
      <c r="H993" s="27" t="n"/>
    </row>
    <row r="994" ht="17.25" customHeight="1" s="322">
      <c r="A994" s="27" t="n"/>
      <c r="B994" s="506" t="n"/>
      <c r="C994" s="141" t="n"/>
      <c r="D994" s="141" t="n"/>
      <c r="E994" s="141" t="n"/>
      <c r="F994" s="141" t="n"/>
      <c r="G994" s="143" t="n"/>
      <c r="H994" s="27" t="n"/>
    </row>
    <row r="995" ht="17.25" customHeight="1" s="322">
      <c r="A995" s="27" t="n"/>
      <c r="B995" s="506" t="n"/>
      <c r="C995" s="141" t="n"/>
      <c r="D995" s="141" t="n"/>
      <c r="E995" s="141" t="n"/>
      <c r="F995" s="141" t="n"/>
      <c r="G995" s="143" t="n"/>
      <c r="H995" s="27" t="n"/>
    </row>
    <row r="996" ht="17.25" customHeight="1" s="322">
      <c r="A996" s="27" t="n"/>
      <c r="B996" s="506" t="n"/>
      <c r="C996" s="141" t="n"/>
      <c r="D996" s="141" t="n"/>
      <c r="E996" s="141" t="n"/>
      <c r="F996" s="141" t="n"/>
      <c r="G996" s="143" t="n"/>
      <c r="H996" s="27" t="n"/>
    </row>
    <row r="997" ht="17.25" customHeight="1" s="322">
      <c r="A997" s="27" t="n"/>
      <c r="B997" s="506" t="n"/>
      <c r="C997" s="141" t="n"/>
      <c r="D997" s="141" t="n"/>
      <c r="E997" s="141" t="n"/>
      <c r="F997" s="141" t="n"/>
      <c r="G997" s="143" t="n"/>
      <c r="H997" s="27" t="n"/>
    </row>
    <row r="998" ht="17.25" customHeight="1" s="322">
      <c r="A998" s="27" t="n"/>
      <c r="B998" s="506" t="n"/>
      <c r="C998" s="141" t="n"/>
      <c r="D998" s="141" t="n"/>
      <c r="E998" s="141" t="n"/>
      <c r="F998" s="141" t="n"/>
      <c r="G998" s="143" t="n"/>
      <c r="H998" s="27" t="n"/>
    </row>
    <row r="999" ht="17.25" customHeight="1" s="322">
      <c r="A999" s="27" t="n"/>
      <c r="B999" s="506" t="n"/>
      <c r="C999" s="141" t="n"/>
      <c r="D999" s="141" t="n"/>
      <c r="E999" s="141" t="n"/>
      <c r="F999" s="141" t="n"/>
      <c r="G999" s="143" t="n"/>
      <c r="H999" s="27" t="n"/>
    </row>
    <row r="1000" ht="17.25" customHeight="1" s="322">
      <c r="A1000" s="27" t="n"/>
      <c r="B1000" s="506" t="n"/>
      <c r="C1000" s="141" t="n"/>
      <c r="D1000" s="141" t="n"/>
      <c r="E1000" s="141" t="n"/>
      <c r="F1000" s="141" t="n"/>
      <c r="G1000" s="143" t="n"/>
      <c r="H1000" s="27" t="n"/>
    </row>
  </sheetData>
  <mergeCells count="3">
    <mergeCell ref="B1:F2"/>
    <mergeCell ref="B7:G7"/>
    <mergeCell ref="B10:C10"/>
  </mergeCells>
  <conditionalFormatting sqref="D10:E10">
    <cfRule type="cellIs" priority="5" operator="lessThan" dxfId="5">
      <formula>0</formula>
    </cfRule>
    <cfRule type="cellIs" priority="6" operator="greaterThan" dxfId="4">
      <formula>0</formula>
    </cfRule>
  </conditionalFormatting>
  <conditionalFormatting sqref="F28:F1000">
    <cfRule type="expression" priority="1" dxfId="3">
      <formula>AND(F28=MAX(F$28:F$1000),F28&gt;0)</formula>
    </cfRule>
    <cfRule type="expression" priority="2" dxfId="2">
      <formula>AND(F28=MIN(F$28:F$1000),F28&gt;0)</formula>
    </cfRule>
  </conditionalFormatting>
  <conditionalFormatting sqref="F29:F1000">
    <cfRule type="expression" priority="3" dxfId="1">
      <formula>F29&gt;F27</formula>
    </cfRule>
    <cfRule type="expression" priority="4" dxfId="0">
      <formula>F29&lt;F27</formula>
    </cfRule>
  </conditionalFormatting>
  <conditionalFormatting sqref="G15">
    <cfRule type="colorScale" priority="7">
      <colorScale>
        <cfvo type="min"/>
        <cfvo type="max"/>
        <color rgb="FF57BB8A"/>
        <color rgb="FFFFFFFF"/>
      </colorScale>
    </cfRule>
  </conditionalFormatting>
  <dataValidations count="1">
    <dataValidation sqref="G15" showDropDown="0" showInputMessage="1" showErrorMessage="1" allowBlank="1" prompt="Click and enter a value from the list of items" type="list">
      <formula1>"1 Month,3 Months,6 Months,12 Months,36 Months"</formula1>
    </dataValidation>
  </dataValidations>
  <hyperlinks>
    <hyperlink xmlns:r="http://schemas.openxmlformats.org/officeDocument/2006/relationships" ref="B1" r:id="rId1"/>
    <hyperlink xmlns:r="http://schemas.openxmlformats.org/officeDocument/2006/relationships" ref="G2" r:id="rId2"/>
  </hyperlinks>
  <pageMargins left="0.7" right="0.7" top="0.75" bottom="0.75" header="0.3" footer="0.3"/>
  <drawing xmlns:r="http://schemas.openxmlformats.org/officeDocument/2006/relationships" r:id="rId3"/>
</worksheet>
</file>

<file path=xl/worksheets/sheet28.xml><?xml version="1.0" encoding="utf-8"?>
<worksheet xmlns="http://schemas.openxmlformats.org/spreadsheetml/2006/main">
  <sheetPr>
    <outlinePr summaryBelow="0" summaryRight="0"/>
    <pageSetUpPr/>
  </sheetPr>
  <dimension ref="A1:H1000"/>
  <sheetViews>
    <sheetView showGridLines="0" workbookViewId="0">
      <selection activeCell="A1" sqref="A1"/>
    </sheetView>
  </sheetViews>
  <sheetFormatPr baseColWidth="8" defaultColWidth="12.5703125" defaultRowHeight="15.75" customHeight="1"/>
  <cols>
    <col width="5.42578125" customWidth="1" style="322" min="1" max="1"/>
    <col width="15.7109375" customWidth="1" style="322" min="2" max="2"/>
    <col width="5.42578125" customWidth="1" style="322" min="8" max="8"/>
  </cols>
  <sheetData>
    <row r="1" ht="22.5" customHeight="1" s="322">
      <c r="A1" s="69" t="n"/>
      <c r="B1" s="455" t="inlineStr">
        <is>
          <t>← 관심종목으로 돌아가기</t>
        </is>
      </c>
      <c r="G1" s="72" t="inlineStr">
        <is>
          <t>제공:</t>
        </is>
      </c>
      <c r="H1" s="69" t="n"/>
    </row>
    <row r="2" ht="22.5" customHeight="1" s="322">
      <c r="A2" s="69" t="n"/>
      <c r="G2" s="77" t="inlineStr">
        <is>
          <t>Google Finance</t>
        </is>
      </c>
      <c r="H2" s="69" t="n"/>
    </row>
    <row r="3" ht="11.25" customHeight="1" s="322">
      <c r="A3" s="1" t="n"/>
      <c r="B3" s="1" t="n"/>
      <c r="C3" s="1" t="n"/>
      <c r="D3" s="1" t="n"/>
      <c r="E3" s="1" t="n"/>
      <c r="F3" s="1" t="n"/>
      <c r="G3" s="1" t="n"/>
      <c r="H3" s="1" t="n"/>
    </row>
    <row r="4" ht="15.75" customHeight="1" s="322">
      <c r="A4" s="1" t="n"/>
      <c r="B4" s="80" t="inlineStr">
        <is>
          <t>BIL</t>
        </is>
      </c>
      <c r="C4" s="81" t="inlineStr">
        <is>
          <t>&lt;&lt; 종목코드 입력</t>
        </is>
      </c>
      <c r="D4" s="1" t="n"/>
      <c r="E4" s="1" t="n"/>
      <c r="F4" s="1" t="n"/>
      <c r="G4" s="1" t="n"/>
      <c r="H4" s="1" t="n"/>
    </row>
    <row r="5" ht="15.75" customHeight="1" s="322">
      <c r="A5" s="1" t="n"/>
      <c r="B5" s="82" t="n"/>
      <c r="C5" s="81" t="inlineStr">
        <is>
          <t>&lt;&lt; 필요한 경우 거래소 입력(예: NASDAQ, NYSE)</t>
        </is>
      </c>
      <c r="D5" s="85" t="n"/>
      <c r="E5" s="1" t="n"/>
      <c r="F5" s="1" t="n"/>
      <c r="G5" s="1" t="n"/>
      <c r="H5" s="1" t="n"/>
    </row>
    <row r="6" ht="11.25" customHeight="1" s="322">
      <c r="A6" s="27" t="n"/>
      <c r="B6" s="27" t="n"/>
      <c r="C6" s="27" t="n"/>
      <c r="D6" s="27" t="n"/>
      <c r="E6" s="27" t="n"/>
      <c r="F6" s="27" t="n"/>
      <c r="G6" s="27" t="n"/>
      <c r="H6" s="27" t="n"/>
    </row>
    <row r="7" ht="20.25" customHeight="1" s="322">
      <c r="A7" s="12" t="n"/>
      <c r="B7" s="501">
        <f>IFERROR(__xludf.DUMMYFUNCTION("GOOGLEFINANCE(B18,""name"")"),"State Street SPDR Bloomberg 1-3 Month T-Bill ETF")</f>
        <v/>
      </c>
      <c r="H7" s="12" t="n"/>
    </row>
    <row r="8" ht="11.25" customHeight="1" s="322">
      <c r="A8" s="12" t="n"/>
      <c r="B8" s="12" t="n"/>
      <c r="C8" s="12" t="n"/>
      <c r="D8" s="12" t="n"/>
      <c r="E8" s="12" t="n"/>
      <c r="F8" s="12" t="n"/>
      <c r="G8" s="12" t="n"/>
      <c r="H8" s="12" t="n"/>
    </row>
    <row r="9" ht="12" customHeight="1" s="322">
      <c r="A9" s="1" t="n"/>
      <c r="B9" s="90" t="inlineStr">
        <is>
          <t>현재가</t>
        </is>
      </c>
      <c r="C9" s="1" t="n"/>
      <c r="D9" s="90" t="inlineStr">
        <is>
          <t>전일대비</t>
        </is>
      </c>
      <c r="E9" s="90" t="inlineStr">
        <is>
          <t>등락률(%)</t>
        </is>
      </c>
      <c r="F9" s="1" t="n"/>
      <c r="G9" s="1" t="n"/>
      <c r="H9" s="1" t="n"/>
    </row>
    <row r="10" ht="31.5" customHeight="1" s="322">
      <c r="A10" s="12" t="n"/>
      <c r="B10" s="502">
        <f>IFERROR(__xludf.DUMMYFUNCTION("GOOGLEFINANCE(B18,""price"")"),91.64)</f>
        <v/>
      </c>
      <c r="D10" s="503">
        <f>IFERROR(__xludf.DUMMYFUNCTION("IFERROR(GOOGLEFINANCE(B18,""change""),""-"")"),0.01)</f>
        <v/>
      </c>
      <c r="E10" s="504">
        <f>IFERROR(__xludf.DUMMYFUNCTION("IFERROR(GOOGLEFINANCE(B18,""changepct"")/100,""-"")"),0.0001)</f>
        <v/>
      </c>
      <c r="F10" s="12" t="n"/>
      <c r="G10" s="12" t="n"/>
      <c r="H10" s="12" t="n"/>
    </row>
    <row r="11" ht="11.25" customHeight="1" s="322">
      <c r="A11" s="12" t="n"/>
      <c r="B11" s="106" t="n"/>
      <c r="C11" s="106" t="n"/>
      <c r="D11" s="106" t="n"/>
      <c r="E11" s="106" t="n"/>
      <c r="F11" s="106" t="n"/>
      <c r="G11" s="106" t="n"/>
      <c r="H11" s="12" t="n"/>
    </row>
    <row r="12" ht="11.25" customHeight="1" s="322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 ht="12" customHeight="1" s="322">
      <c r="A13" s="1" t="n"/>
      <c r="B13" s="90" t="inlineStr">
        <is>
          <t>시가총액</t>
        </is>
      </c>
      <c r="C13" s="90" t="inlineStr">
        <is>
          <t>PER</t>
        </is>
      </c>
      <c r="D13" s="90" t="inlineStr">
        <is>
          <t>베타계수</t>
        </is>
      </c>
      <c r="E13" s="1" t="n"/>
      <c r="F13" s="1" t="n"/>
      <c r="G13" s="1" t="n"/>
      <c r="H13" s="1" t="n"/>
    </row>
    <row r="14">
      <c r="A14" s="113" t="n"/>
      <c r="B14" s="505">
        <f>IFERROR(__xludf.DUMMYFUNCTION("IFERROR(GOOGLEFINANCE(B18,""marketcap""),""-"")"),"-")</f>
        <v/>
      </c>
      <c r="C14" s="115">
        <f>IFERROR(__xludf.DUMMYFUNCTION("IFERROR(GOOGLEFINANCE(B18,""pe""),""-"")"),"-")</f>
        <v/>
      </c>
      <c r="D14" s="115">
        <f>IFERROR(__xludf.DUMMYFUNCTION("IFERROR(GOOGLEFINANCE(B18,""beta""),""-"")"),"-")</f>
        <v/>
      </c>
      <c r="E14" s="113" t="n"/>
      <c r="F14" s="113" t="n"/>
      <c r="G14" s="113" t="n"/>
      <c r="H14" s="113" t="n"/>
    </row>
    <row r="15" ht="15.75" customHeight="1" s="322">
      <c r="A15" s="12" t="n"/>
      <c r="B15" s="12" t="n"/>
      <c r="C15" s="12" t="n"/>
      <c r="D15" s="12" t="n"/>
      <c r="E15" s="12" t="n"/>
      <c r="F15" s="12" t="n"/>
      <c r="G15" s="123" t="inlineStr">
        <is>
          <t>12 Months</t>
        </is>
      </c>
      <c r="H15" s="12" t="n"/>
    </row>
    <row r="16" ht="15.75" customHeight="1" s="322">
      <c r="A16" s="12" t="n"/>
      <c r="B16" s="12" t="n"/>
      <c r="C16" s="12" t="n"/>
      <c r="D16" s="12" t="n"/>
      <c r="E16" s="12" t="n"/>
      <c r="F16" s="12" t="n"/>
      <c r="G16" s="12" t="n"/>
      <c r="H16" s="12" t="n"/>
    </row>
    <row r="17" ht="15.75" customHeight="1" s="322">
      <c r="A17" s="12" t="n"/>
      <c r="B17" s="12" t="n"/>
      <c r="C17" s="12" t="n"/>
      <c r="D17" s="12" t="n"/>
      <c r="E17" s="12" t="n"/>
      <c r="F17" s="12" t="n"/>
      <c r="G17" s="12" t="n"/>
      <c r="H17" s="12" t="n"/>
    </row>
    <row r="18" ht="15.75" customHeight="1" s="322">
      <c r="A18" s="12" t="n"/>
      <c r="B18" s="127">
        <f>IF(ISBLANK(B5),"",B5&amp;":")&amp;B4</f>
        <v/>
      </c>
      <c r="C18" s="12" t="n"/>
      <c r="D18" s="12" t="n"/>
      <c r="E18" s="12" t="n"/>
      <c r="F18" s="12" t="n"/>
      <c r="G18" s="12" t="n"/>
      <c r="H18" s="12" t="n"/>
    </row>
    <row r="19" ht="15.75" customHeight="1" s="322">
      <c r="A19" s="12" t="n"/>
      <c r="B19" s="12" t="n"/>
      <c r="C19" s="12" t="n"/>
      <c r="D19" s="12" t="n"/>
      <c r="E19" s="12" t="n"/>
      <c r="F19" s="12" t="n"/>
      <c r="G19" s="12" t="n"/>
      <c r="H19" s="12" t="n"/>
    </row>
    <row r="20" ht="15.75" customHeight="1" s="322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1" ht="15.75" customHeight="1" s="322">
      <c r="A21" s="12" t="n"/>
      <c r="B21" s="12" t="n"/>
      <c r="C21" s="12" t="n"/>
      <c r="D21" s="12" t="n"/>
      <c r="E21" s="12" t="n"/>
      <c r="F21" s="12" t="n"/>
      <c r="G21" s="12" t="n"/>
      <c r="H21" s="12" t="n"/>
    </row>
    <row r="22" ht="15.75" customHeight="1" s="322">
      <c r="A22" s="12" t="n"/>
      <c r="B22" s="12" t="n"/>
      <c r="C22" s="12" t="n"/>
      <c r="D22" s="12" t="n"/>
      <c r="E22" s="12" t="n"/>
      <c r="F22" s="12" t="n"/>
      <c r="G22" s="12" t="n"/>
      <c r="H22" s="12" t="n"/>
    </row>
    <row r="23" ht="15.75" customHeight="1" s="322">
      <c r="A23" s="12" t="n"/>
      <c r="B23" s="12" t="n"/>
      <c r="C23" s="12" t="n"/>
      <c r="D23" s="12" t="n"/>
      <c r="E23" s="12" t="n"/>
      <c r="F23" s="12" t="n"/>
      <c r="G23" s="12" t="n"/>
      <c r="H23" s="12" t="n"/>
    </row>
    <row r="24" ht="15.75" customHeight="1" s="322">
      <c r="A24" s="12" t="n"/>
      <c r="B24" s="12" t="n"/>
      <c r="C24" s="12" t="n"/>
      <c r="D24" s="12" t="n"/>
      <c r="E24" s="12" t="n"/>
      <c r="F24" s="12" t="n"/>
      <c r="G24" s="12" t="n"/>
      <c r="H24" s="12" t="n"/>
    </row>
    <row r="25" ht="15.75" customHeight="1" s="322">
      <c r="A25" s="12" t="n"/>
      <c r="B25" s="12" t="n"/>
      <c r="C25" s="12" t="n"/>
      <c r="D25" s="12" t="n"/>
      <c r="E25" s="12" t="n"/>
      <c r="F25" s="12" t="n"/>
      <c r="G25" s="12" t="n"/>
      <c r="H25" s="12" t="n"/>
    </row>
    <row r="26" ht="15.75" customHeight="1" s="322">
      <c r="A26" s="12" t="n"/>
      <c r="B26" s="12" t="n"/>
      <c r="C26" s="12" t="n"/>
      <c r="D26" s="12" t="n"/>
      <c r="E26" s="12" t="n"/>
      <c r="F26" s="12" t="n"/>
      <c r="G26" s="12" t="n"/>
      <c r="H26" s="12" t="n"/>
    </row>
    <row r="27" ht="15.75" customHeight="1" s="322">
      <c r="A27" s="133" t="n"/>
      <c r="B27" s="136">
        <f>IFERROR(__xludf.DUMMYFUNCTION("GOOGLEFINANCE(B18, ""all"", EDATE(TODAY(), -LEFT(G15, FIND("" "", G15))), TODAY(), ""DAILY"")"),"Date")</f>
        <v/>
      </c>
      <c r="C27" s="137">
        <f>IFERROR(__xludf.DUMMYFUNCTION("""COMPUTED_VALUE"""),"Open")</f>
        <v/>
      </c>
      <c r="D27" s="137">
        <f>IFERROR(__xludf.DUMMYFUNCTION("""COMPUTED_VALUE"""),"High")</f>
        <v/>
      </c>
      <c r="E27" s="137">
        <f>IFERROR(__xludf.DUMMYFUNCTION("""COMPUTED_VALUE"""),"Low")</f>
        <v/>
      </c>
      <c r="F27" s="137">
        <f>IFERROR(__xludf.DUMMYFUNCTION("""COMPUTED_VALUE"""),"Close")</f>
        <v/>
      </c>
      <c r="G27" s="137">
        <f>IFERROR(__xludf.DUMMYFUNCTION("""COMPUTED_VALUE"""),"Volume")</f>
        <v/>
      </c>
      <c r="H27" s="133" t="n"/>
    </row>
    <row r="28" ht="17.25" customHeight="1" s="322">
      <c r="A28" s="27" t="n"/>
      <c r="B28" s="506">
        <f>IFERROR(__xludf.DUMMYFUNCTION("""COMPUTED_VALUE"""),45868.6666666666)</f>
        <v/>
      </c>
      <c r="C28" s="141">
        <f>IFERROR(__xludf.DUMMYFUNCTION("""COMPUTED_VALUE"""),91.74)</f>
        <v/>
      </c>
      <c r="D28" s="141">
        <f>IFERROR(__xludf.DUMMYFUNCTION("""COMPUTED_VALUE"""),91.75)</f>
        <v/>
      </c>
      <c r="E28" s="141">
        <f>IFERROR(__xludf.DUMMYFUNCTION("""COMPUTED_VALUE"""),91.74)</f>
        <v/>
      </c>
      <c r="F28" s="141">
        <f>IFERROR(__xludf.DUMMYFUNCTION("""COMPUTED_VALUE"""),91.74)</f>
        <v/>
      </c>
      <c r="G28" s="143">
        <f>IFERROR(__xludf.DUMMYFUNCTION("""COMPUTED_VALUE"""),6895082)</f>
        <v/>
      </c>
      <c r="H28" s="27" t="n"/>
    </row>
    <row r="29" ht="17.25" customHeight="1" s="322">
      <c r="A29" s="27" t="n"/>
      <c r="B29" s="506">
        <f>IFERROR(__xludf.DUMMYFUNCTION("""COMPUTED_VALUE"""),45869.6666666666)</f>
        <v/>
      </c>
      <c r="C29" s="141">
        <f>IFERROR(__xludf.DUMMYFUNCTION("""COMPUTED_VALUE"""),91.75)</f>
        <v/>
      </c>
      <c r="D29" s="141">
        <f>IFERROR(__xludf.DUMMYFUNCTION("""COMPUTED_VALUE"""),91.76)</f>
        <v/>
      </c>
      <c r="E29" s="141">
        <f>IFERROR(__xludf.DUMMYFUNCTION("""COMPUTED_VALUE"""),91.75)</f>
        <v/>
      </c>
      <c r="F29" s="141">
        <f>IFERROR(__xludf.DUMMYFUNCTION("""COMPUTED_VALUE"""),91.75)</f>
        <v/>
      </c>
      <c r="G29" s="143">
        <f>IFERROR(__xludf.DUMMYFUNCTION("""COMPUTED_VALUE"""),11795120)</f>
        <v/>
      </c>
      <c r="H29" s="27" t="n"/>
    </row>
    <row r="30" ht="17.25" customHeight="1" s="322">
      <c r="A30" s="27" t="n"/>
      <c r="B30" s="506">
        <f>IFERROR(__xludf.DUMMYFUNCTION("""COMPUTED_VALUE"""),45870.6666666666)</f>
        <v/>
      </c>
      <c r="C30" s="141">
        <f>IFERROR(__xludf.DUMMYFUNCTION("""COMPUTED_VALUE"""),91.47)</f>
        <v/>
      </c>
      <c r="D30" s="141">
        <f>IFERROR(__xludf.DUMMYFUNCTION("""COMPUTED_VALUE"""),91.47)</f>
        <v/>
      </c>
      <c r="E30" s="141">
        <f>IFERROR(__xludf.DUMMYFUNCTION("""COMPUTED_VALUE"""),91.46)</f>
        <v/>
      </c>
      <c r="F30" s="141">
        <f>IFERROR(__xludf.DUMMYFUNCTION("""COMPUTED_VALUE"""),91.47)</f>
        <v/>
      </c>
      <c r="G30" s="143">
        <f>IFERROR(__xludf.DUMMYFUNCTION("""COMPUTED_VALUE"""),20144832)</f>
        <v/>
      </c>
      <c r="H30" s="27" t="n"/>
    </row>
    <row r="31" ht="17.25" customHeight="1" s="322">
      <c r="A31" s="27" t="n"/>
      <c r="B31" s="506">
        <f>IFERROR(__xludf.DUMMYFUNCTION("""COMPUTED_VALUE"""),45873.6666666666)</f>
        <v/>
      </c>
      <c r="C31" s="141">
        <f>IFERROR(__xludf.DUMMYFUNCTION("""COMPUTED_VALUE"""),91.48)</f>
        <v/>
      </c>
      <c r="D31" s="141">
        <f>IFERROR(__xludf.DUMMYFUNCTION("""COMPUTED_VALUE"""),91.48)</f>
        <v/>
      </c>
      <c r="E31" s="141">
        <f>IFERROR(__xludf.DUMMYFUNCTION("""COMPUTED_VALUE"""),91.47)</f>
        <v/>
      </c>
      <c r="F31" s="141">
        <f>IFERROR(__xludf.DUMMYFUNCTION("""COMPUTED_VALUE"""),91.48)</f>
        <v/>
      </c>
      <c r="G31" s="143">
        <f>IFERROR(__xludf.DUMMYFUNCTION("""COMPUTED_VALUE"""),20328030)</f>
        <v/>
      </c>
      <c r="H31" s="27" t="n"/>
    </row>
    <row r="32" ht="17.25" customHeight="1" s="322">
      <c r="A32" s="27" t="n"/>
      <c r="B32" s="506">
        <f>IFERROR(__xludf.DUMMYFUNCTION("""COMPUTED_VALUE"""),45874.6666666666)</f>
        <v/>
      </c>
      <c r="C32" s="141">
        <f>IFERROR(__xludf.DUMMYFUNCTION("""COMPUTED_VALUE"""),91.49)</f>
        <v/>
      </c>
      <c r="D32" s="141">
        <f>IFERROR(__xludf.DUMMYFUNCTION("""COMPUTED_VALUE"""),91.49)</f>
        <v/>
      </c>
      <c r="E32" s="141">
        <f>IFERROR(__xludf.DUMMYFUNCTION("""COMPUTED_VALUE"""),91.48)</f>
        <v/>
      </c>
      <c r="F32" s="141">
        <f>IFERROR(__xludf.DUMMYFUNCTION("""COMPUTED_VALUE"""),91.48)</f>
        <v/>
      </c>
      <c r="G32" s="143">
        <f>IFERROR(__xludf.DUMMYFUNCTION("""COMPUTED_VALUE"""),8588430)</f>
        <v/>
      </c>
      <c r="H32" s="27" t="n"/>
    </row>
    <row r="33" ht="17.25" customHeight="1" s="322">
      <c r="A33" s="27" t="n"/>
      <c r="B33" s="506">
        <f>IFERROR(__xludf.DUMMYFUNCTION("""COMPUTED_VALUE"""),45875.6666666666)</f>
        <v/>
      </c>
      <c r="C33" s="141">
        <f>IFERROR(__xludf.DUMMYFUNCTION("""COMPUTED_VALUE"""),91.5)</f>
        <v/>
      </c>
      <c r="D33" s="141">
        <f>IFERROR(__xludf.DUMMYFUNCTION("""COMPUTED_VALUE"""),91.51)</f>
        <v/>
      </c>
      <c r="E33" s="141">
        <f>IFERROR(__xludf.DUMMYFUNCTION("""COMPUTED_VALUE"""),91.49)</f>
        <v/>
      </c>
      <c r="F33" s="141">
        <f>IFERROR(__xludf.DUMMYFUNCTION("""COMPUTED_VALUE"""),91.51)</f>
        <v/>
      </c>
      <c r="G33" s="143">
        <f>IFERROR(__xludf.DUMMYFUNCTION("""COMPUTED_VALUE"""),7208805)</f>
        <v/>
      </c>
      <c r="H33" s="27" t="n"/>
    </row>
    <row r="34" ht="17.25" customHeight="1" s="322">
      <c r="A34" s="27" t="n"/>
      <c r="B34" s="506">
        <f>IFERROR(__xludf.DUMMYFUNCTION("""COMPUTED_VALUE"""),45876.6666666666)</f>
        <v/>
      </c>
      <c r="C34" s="141">
        <f>IFERROR(__xludf.DUMMYFUNCTION("""COMPUTED_VALUE"""),91.51)</f>
        <v/>
      </c>
      <c r="D34" s="141">
        <f>IFERROR(__xludf.DUMMYFUNCTION("""COMPUTED_VALUE"""),91.52)</f>
        <v/>
      </c>
      <c r="E34" s="141">
        <f>IFERROR(__xludf.DUMMYFUNCTION("""COMPUTED_VALUE"""),91.51)</f>
        <v/>
      </c>
      <c r="F34" s="141">
        <f>IFERROR(__xludf.DUMMYFUNCTION("""COMPUTED_VALUE"""),91.51)</f>
        <v/>
      </c>
      <c r="G34" s="143">
        <f>IFERROR(__xludf.DUMMYFUNCTION("""COMPUTED_VALUE"""),7157927)</f>
        <v/>
      </c>
      <c r="H34" s="27" t="n"/>
    </row>
    <row r="35" ht="17.25" customHeight="1" s="322">
      <c r="A35" s="27" t="n"/>
      <c r="B35" s="506">
        <f>IFERROR(__xludf.DUMMYFUNCTION("""COMPUTED_VALUE"""),45877.6666666666)</f>
        <v/>
      </c>
      <c r="C35" s="141">
        <f>IFERROR(__xludf.DUMMYFUNCTION("""COMPUTED_VALUE"""),91.55)</f>
        <v/>
      </c>
      <c r="D35" s="141">
        <f>IFERROR(__xludf.DUMMYFUNCTION("""COMPUTED_VALUE"""),91.55)</f>
        <v/>
      </c>
      <c r="E35" s="141">
        <f>IFERROR(__xludf.DUMMYFUNCTION("""COMPUTED_VALUE"""),91.54)</f>
        <v/>
      </c>
      <c r="F35" s="141">
        <f>IFERROR(__xludf.DUMMYFUNCTION("""COMPUTED_VALUE"""),91.54)</f>
        <v/>
      </c>
      <c r="G35" s="143">
        <f>IFERROR(__xludf.DUMMYFUNCTION("""COMPUTED_VALUE"""),6243476)</f>
        <v/>
      </c>
      <c r="H35" s="27" t="n"/>
    </row>
    <row r="36" ht="17.25" customHeight="1" s="322">
      <c r="A36" s="27" t="n"/>
      <c r="B36" s="506">
        <f>IFERROR(__xludf.DUMMYFUNCTION("""COMPUTED_VALUE"""),45880.6666666666)</f>
        <v/>
      </c>
      <c r="C36" s="141">
        <f>IFERROR(__xludf.DUMMYFUNCTION("""COMPUTED_VALUE"""),91.55)</f>
        <v/>
      </c>
      <c r="D36" s="141">
        <f>IFERROR(__xludf.DUMMYFUNCTION("""COMPUTED_VALUE"""),91.56)</f>
        <v/>
      </c>
      <c r="E36" s="141">
        <f>IFERROR(__xludf.DUMMYFUNCTION("""COMPUTED_VALUE"""),91.55)</f>
        <v/>
      </c>
      <c r="F36" s="141">
        <f>IFERROR(__xludf.DUMMYFUNCTION("""COMPUTED_VALUE"""),91.55)</f>
        <v/>
      </c>
      <c r="G36" s="143">
        <f>IFERROR(__xludf.DUMMYFUNCTION("""COMPUTED_VALUE"""),8361380)</f>
        <v/>
      </c>
      <c r="H36" s="27" t="n"/>
    </row>
    <row r="37" ht="17.25" customHeight="1" s="322">
      <c r="A37" s="27" t="n"/>
      <c r="B37" s="506">
        <f>IFERROR(__xludf.DUMMYFUNCTION("""COMPUTED_VALUE"""),45881.6666666666)</f>
        <v/>
      </c>
      <c r="C37" s="141">
        <f>IFERROR(__xludf.DUMMYFUNCTION("""COMPUTED_VALUE"""),91.56)</f>
        <v/>
      </c>
      <c r="D37" s="141">
        <f>IFERROR(__xludf.DUMMYFUNCTION("""COMPUTED_VALUE"""),91.57)</f>
        <v/>
      </c>
      <c r="E37" s="141">
        <f>IFERROR(__xludf.DUMMYFUNCTION("""COMPUTED_VALUE"""),91.56)</f>
        <v/>
      </c>
      <c r="F37" s="141">
        <f>IFERROR(__xludf.DUMMYFUNCTION("""COMPUTED_VALUE"""),91.56)</f>
        <v/>
      </c>
      <c r="G37" s="143">
        <f>IFERROR(__xludf.DUMMYFUNCTION("""COMPUTED_VALUE"""),6601652)</f>
        <v/>
      </c>
      <c r="H37" s="27" t="n"/>
    </row>
    <row r="38" ht="17.25" customHeight="1" s="322">
      <c r="A38" s="27" t="n"/>
      <c r="B38" s="506">
        <f>IFERROR(__xludf.DUMMYFUNCTION("""COMPUTED_VALUE"""),45882.6666666666)</f>
        <v/>
      </c>
      <c r="C38" s="141">
        <f>IFERROR(__xludf.DUMMYFUNCTION("""COMPUTED_VALUE"""),91.57)</f>
        <v/>
      </c>
      <c r="D38" s="141">
        <f>IFERROR(__xludf.DUMMYFUNCTION("""COMPUTED_VALUE"""),91.58)</f>
        <v/>
      </c>
      <c r="E38" s="141">
        <f>IFERROR(__xludf.DUMMYFUNCTION("""COMPUTED_VALUE"""),91.57)</f>
        <v/>
      </c>
      <c r="F38" s="141">
        <f>IFERROR(__xludf.DUMMYFUNCTION("""COMPUTED_VALUE"""),91.57)</f>
        <v/>
      </c>
      <c r="G38" s="143">
        <f>IFERROR(__xludf.DUMMYFUNCTION("""COMPUTED_VALUE"""),6791520)</f>
        <v/>
      </c>
      <c r="H38" s="27" t="n"/>
    </row>
    <row r="39" ht="17.25" customHeight="1" s="322">
      <c r="A39" s="27" t="n"/>
      <c r="B39" s="506">
        <f>IFERROR(__xludf.DUMMYFUNCTION("""COMPUTED_VALUE"""),45883.6666666666)</f>
        <v/>
      </c>
      <c r="C39" s="141">
        <f>IFERROR(__xludf.DUMMYFUNCTION("""COMPUTED_VALUE"""),91.59)</f>
        <v/>
      </c>
      <c r="D39" s="141">
        <f>IFERROR(__xludf.DUMMYFUNCTION("""COMPUTED_VALUE"""),91.59)</f>
        <v/>
      </c>
      <c r="E39" s="141">
        <f>IFERROR(__xludf.DUMMYFUNCTION("""COMPUTED_VALUE"""),91.58)</f>
        <v/>
      </c>
      <c r="F39" s="141">
        <f>IFERROR(__xludf.DUMMYFUNCTION("""COMPUTED_VALUE"""),91.58)</f>
        <v/>
      </c>
      <c r="G39" s="143">
        <f>IFERROR(__xludf.DUMMYFUNCTION("""COMPUTED_VALUE"""),6475803)</f>
        <v/>
      </c>
      <c r="H39" s="27" t="n"/>
    </row>
    <row r="40" ht="17.25" customHeight="1" s="322">
      <c r="A40" s="27" t="n"/>
      <c r="B40" s="506">
        <f>IFERROR(__xludf.DUMMYFUNCTION("""COMPUTED_VALUE"""),45884.6666666666)</f>
        <v/>
      </c>
      <c r="C40" s="141">
        <f>IFERROR(__xludf.DUMMYFUNCTION("""COMPUTED_VALUE"""),91.62)</f>
        <v/>
      </c>
      <c r="D40" s="141">
        <f>IFERROR(__xludf.DUMMYFUNCTION("""COMPUTED_VALUE"""),91.62)</f>
        <v/>
      </c>
      <c r="E40" s="141">
        <f>IFERROR(__xludf.DUMMYFUNCTION("""COMPUTED_VALUE"""),91.61)</f>
        <v/>
      </c>
      <c r="F40" s="141">
        <f>IFERROR(__xludf.DUMMYFUNCTION("""COMPUTED_VALUE"""),91.62)</f>
        <v/>
      </c>
      <c r="G40" s="143">
        <f>IFERROR(__xludf.DUMMYFUNCTION("""COMPUTED_VALUE"""),5354597)</f>
        <v/>
      </c>
      <c r="H40" s="27" t="n"/>
    </row>
    <row r="41" ht="17.25" customHeight="1" s="322">
      <c r="A41" s="27" t="n"/>
      <c r="B41" s="506">
        <f>IFERROR(__xludf.DUMMYFUNCTION("""COMPUTED_VALUE"""),45887.6666666666)</f>
        <v/>
      </c>
      <c r="C41" s="141">
        <f>IFERROR(__xludf.DUMMYFUNCTION("""COMPUTED_VALUE"""),91.63)</f>
        <v/>
      </c>
      <c r="D41" s="141">
        <f>IFERROR(__xludf.DUMMYFUNCTION("""COMPUTED_VALUE"""),91.63)</f>
        <v/>
      </c>
      <c r="E41" s="141">
        <f>IFERROR(__xludf.DUMMYFUNCTION("""COMPUTED_VALUE"""),91.62)</f>
        <v/>
      </c>
      <c r="F41" s="141">
        <f>IFERROR(__xludf.DUMMYFUNCTION("""COMPUTED_VALUE"""),91.62)</f>
        <v/>
      </c>
      <c r="G41" s="143">
        <f>IFERROR(__xludf.DUMMYFUNCTION("""COMPUTED_VALUE"""),15606181)</f>
        <v/>
      </c>
      <c r="H41" s="27" t="n"/>
    </row>
    <row r="42" ht="17.25" customHeight="1" s="322">
      <c r="A42" s="27" t="n"/>
      <c r="B42" s="506">
        <f>IFERROR(__xludf.DUMMYFUNCTION("""COMPUTED_VALUE"""),45888.6666666666)</f>
        <v/>
      </c>
      <c r="C42" s="141">
        <f>IFERROR(__xludf.DUMMYFUNCTION("""COMPUTED_VALUE"""),91.64)</f>
        <v/>
      </c>
      <c r="D42" s="141">
        <f>IFERROR(__xludf.DUMMYFUNCTION("""COMPUTED_VALUE"""),91.64)</f>
        <v/>
      </c>
      <c r="E42" s="141">
        <f>IFERROR(__xludf.DUMMYFUNCTION("""COMPUTED_VALUE"""),91.63)</f>
        <v/>
      </c>
      <c r="F42" s="141">
        <f>IFERROR(__xludf.DUMMYFUNCTION("""COMPUTED_VALUE"""),91.64)</f>
        <v/>
      </c>
      <c r="G42" s="143">
        <f>IFERROR(__xludf.DUMMYFUNCTION("""COMPUTED_VALUE"""),11862669)</f>
        <v/>
      </c>
      <c r="H42" s="27" t="n"/>
    </row>
    <row r="43" ht="17.25" customHeight="1" s="322">
      <c r="A43" s="27" t="n"/>
      <c r="B43" s="506">
        <f>IFERROR(__xludf.DUMMYFUNCTION("""COMPUTED_VALUE"""),45889.6666666666)</f>
        <v/>
      </c>
      <c r="C43" s="141">
        <f>IFERROR(__xludf.DUMMYFUNCTION("""COMPUTED_VALUE"""),91.65)</f>
        <v/>
      </c>
      <c r="D43" s="141">
        <f>IFERROR(__xludf.DUMMYFUNCTION("""COMPUTED_VALUE"""),91.66)</f>
        <v/>
      </c>
      <c r="E43" s="141">
        <f>IFERROR(__xludf.DUMMYFUNCTION("""COMPUTED_VALUE"""),91.65)</f>
        <v/>
      </c>
      <c r="F43" s="141">
        <f>IFERROR(__xludf.DUMMYFUNCTION("""COMPUTED_VALUE"""),91.66)</f>
        <v/>
      </c>
      <c r="G43" s="143">
        <f>IFERROR(__xludf.DUMMYFUNCTION("""COMPUTED_VALUE"""),6916013)</f>
        <v/>
      </c>
      <c r="H43" s="27" t="n"/>
    </row>
    <row r="44" ht="17.25" customHeight="1" s="322">
      <c r="A44" s="27" t="n"/>
      <c r="B44" s="506">
        <f>IFERROR(__xludf.DUMMYFUNCTION("""COMPUTED_VALUE"""),45890.6666666666)</f>
        <v/>
      </c>
      <c r="C44" s="141">
        <f>IFERROR(__xludf.DUMMYFUNCTION("""COMPUTED_VALUE"""),91.66)</f>
        <v/>
      </c>
      <c r="D44" s="141">
        <f>IFERROR(__xludf.DUMMYFUNCTION("""COMPUTED_VALUE"""),91.67)</f>
        <v/>
      </c>
      <c r="E44" s="141">
        <f>IFERROR(__xludf.DUMMYFUNCTION("""COMPUTED_VALUE"""),91.66)</f>
        <v/>
      </c>
      <c r="F44" s="141">
        <f>IFERROR(__xludf.DUMMYFUNCTION("""COMPUTED_VALUE"""),91.66)</f>
        <v/>
      </c>
      <c r="G44" s="143">
        <f>IFERROR(__xludf.DUMMYFUNCTION("""COMPUTED_VALUE"""),4655992)</f>
        <v/>
      </c>
      <c r="H44" s="27" t="n"/>
    </row>
    <row r="45" ht="17.25" customHeight="1" s="322">
      <c r="A45" s="27" t="n"/>
      <c r="B45" s="506">
        <f>IFERROR(__xludf.DUMMYFUNCTION("""COMPUTED_VALUE"""),45891.6666666666)</f>
        <v/>
      </c>
      <c r="C45" s="141">
        <f>IFERROR(__xludf.DUMMYFUNCTION("""COMPUTED_VALUE"""),91.7)</f>
        <v/>
      </c>
      <c r="D45" s="141">
        <f>IFERROR(__xludf.DUMMYFUNCTION("""COMPUTED_VALUE"""),91.7)</f>
        <v/>
      </c>
      <c r="E45" s="141">
        <f>IFERROR(__xludf.DUMMYFUNCTION("""COMPUTED_VALUE"""),91.69)</f>
        <v/>
      </c>
      <c r="F45" s="141">
        <f>IFERROR(__xludf.DUMMYFUNCTION("""COMPUTED_VALUE"""),91.69)</f>
        <v/>
      </c>
      <c r="G45" s="143">
        <f>IFERROR(__xludf.DUMMYFUNCTION("""COMPUTED_VALUE"""),7468111)</f>
        <v/>
      </c>
      <c r="H45" s="27" t="n"/>
    </row>
    <row r="46" ht="17.25" customHeight="1" s="322">
      <c r="A46" s="27" t="n"/>
      <c r="B46" s="506">
        <f>IFERROR(__xludf.DUMMYFUNCTION("""COMPUTED_VALUE"""),45894.6666666666)</f>
        <v/>
      </c>
      <c r="C46" s="141">
        <f>IFERROR(__xludf.DUMMYFUNCTION("""COMPUTED_VALUE"""),91.7)</f>
        <v/>
      </c>
      <c r="D46" s="141">
        <f>IFERROR(__xludf.DUMMYFUNCTION("""COMPUTED_VALUE"""),91.71)</f>
        <v/>
      </c>
      <c r="E46" s="141">
        <f>IFERROR(__xludf.DUMMYFUNCTION("""COMPUTED_VALUE"""),91.7)</f>
        <v/>
      </c>
      <c r="F46" s="141">
        <f>IFERROR(__xludf.DUMMYFUNCTION("""COMPUTED_VALUE"""),91.7)</f>
        <v/>
      </c>
      <c r="G46" s="143">
        <f>IFERROR(__xludf.DUMMYFUNCTION("""COMPUTED_VALUE"""),7319848)</f>
        <v/>
      </c>
      <c r="H46" s="27" t="n"/>
    </row>
    <row r="47" ht="17.25" customHeight="1" s="322">
      <c r="A47" s="27" t="n"/>
      <c r="B47" s="506">
        <f>IFERROR(__xludf.DUMMYFUNCTION("""COMPUTED_VALUE"""),45895.6666666666)</f>
        <v/>
      </c>
      <c r="C47" s="141">
        <f>IFERROR(__xludf.DUMMYFUNCTION("""COMPUTED_VALUE"""),91.72)</f>
        <v/>
      </c>
      <c r="D47" s="141">
        <f>IFERROR(__xludf.DUMMYFUNCTION("""COMPUTED_VALUE"""),91.72)</f>
        <v/>
      </c>
      <c r="E47" s="141">
        <f>IFERROR(__xludf.DUMMYFUNCTION("""COMPUTED_VALUE"""),91.71)</f>
        <v/>
      </c>
      <c r="F47" s="141">
        <f>IFERROR(__xludf.DUMMYFUNCTION("""COMPUTED_VALUE"""),91.71)</f>
        <v/>
      </c>
      <c r="G47" s="143">
        <f>IFERROR(__xludf.DUMMYFUNCTION("""COMPUTED_VALUE"""),8729619)</f>
        <v/>
      </c>
      <c r="H47" s="27" t="n"/>
    </row>
    <row r="48" ht="17.25" customHeight="1" s="322">
      <c r="A48" s="27" t="n"/>
      <c r="B48" s="506">
        <f>IFERROR(__xludf.DUMMYFUNCTION("""COMPUTED_VALUE"""),45896.6666666666)</f>
        <v/>
      </c>
      <c r="C48" s="141">
        <f>IFERROR(__xludf.DUMMYFUNCTION("""COMPUTED_VALUE"""),91.72)</f>
        <v/>
      </c>
      <c r="D48" s="141">
        <f>IFERROR(__xludf.DUMMYFUNCTION("""COMPUTED_VALUE"""),91.73)</f>
        <v/>
      </c>
      <c r="E48" s="141">
        <f>IFERROR(__xludf.DUMMYFUNCTION("""COMPUTED_VALUE"""),91.72)</f>
        <v/>
      </c>
      <c r="F48" s="141">
        <f>IFERROR(__xludf.DUMMYFUNCTION("""COMPUTED_VALUE"""),91.72)</f>
        <v/>
      </c>
      <c r="G48" s="143">
        <f>IFERROR(__xludf.DUMMYFUNCTION("""COMPUTED_VALUE"""),4919409)</f>
        <v/>
      </c>
      <c r="H48" s="27" t="n"/>
    </row>
    <row r="49" ht="17.25" customHeight="1" s="322">
      <c r="A49" s="27" t="n"/>
      <c r="B49" s="506">
        <f>IFERROR(__xludf.DUMMYFUNCTION("""COMPUTED_VALUE"""),45897.6666666666)</f>
        <v/>
      </c>
      <c r="C49" s="141">
        <f>IFERROR(__xludf.DUMMYFUNCTION("""COMPUTED_VALUE"""),91.73)</f>
        <v/>
      </c>
      <c r="D49" s="141">
        <f>IFERROR(__xludf.DUMMYFUNCTION("""COMPUTED_VALUE"""),91.74)</f>
        <v/>
      </c>
      <c r="E49" s="141">
        <f>IFERROR(__xludf.DUMMYFUNCTION("""COMPUTED_VALUE"""),91.73)</f>
        <v/>
      </c>
      <c r="F49" s="141">
        <f>IFERROR(__xludf.DUMMYFUNCTION("""COMPUTED_VALUE"""),91.73)</f>
        <v/>
      </c>
      <c r="G49" s="143">
        <f>IFERROR(__xludf.DUMMYFUNCTION("""COMPUTED_VALUE"""),5490307)</f>
        <v/>
      </c>
      <c r="H49" s="27" t="n"/>
    </row>
    <row r="50" ht="17.25" customHeight="1" s="322">
      <c r="A50" s="27" t="n"/>
      <c r="B50" s="506">
        <f>IFERROR(__xludf.DUMMYFUNCTION("""COMPUTED_VALUE"""),45898.6666666666)</f>
        <v/>
      </c>
      <c r="C50" s="141">
        <f>IFERROR(__xludf.DUMMYFUNCTION("""COMPUTED_VALUE"""),91.77)</f>
        <v/>
      </c>
      <c r="D50" s="141">
        <f>IFERROR(__xludf.DUMMYFUNCTION("""COMPUTED_VALUE"""),91.78)</f>
        <v/>
      </c>
      <c r="E50" s="141">
        <f>IFERROR(__xludf.DUMMYFUNCTION("""COMPUTED_VALUE"""),91.77)</f>
        <v/>
      </c>
      <c r="F50" s="141">
        <f>IFERROR(__xludf.DUMMYFUNCTION("""COMPUTED_VALUE"""),91.77)</f>
        <v/>
      </c>
      <c r="G50" s="143">
        <f>IFERROR(__xludf.DUMMYFUNCTION("""COMPUTED_VALUE"""),11546491)</f>
        <v/>
      </c>
      <c r="H50" s="27" t="n"/>
    </row>
    <row r="51" ht="17.25" customHeight="1" s="322">
      <c r="A51" s="27" t="n"/>
      <c r="B51" s="506">
        <f>IFERROR(__xludf.DUMMYFUNCTION("""COMPUTED_VALUE"""),45902.6666666666)</f>
        <v/>
      </c>
      <c r="C51" s="141">
        <f>IFERROR(__xludf.DUMMYFUNCTION("""COMPUTED_VALUE"""),91.47)</f>
        <v/>
      </c>
      <c r="D51" s="141">
        <f>IFERROR(__xludf.DUMMYFUNCTION("""COMPUTED_VALUE"""),91.47)</f>
        <v/>
      </c>
      <c r="E51" s="141">
        <f>IFERROR(__xludf.DUMMYFUNCTION("""COMPUTED_VALUE"""),91.46)</f>
        <v/>
      </c>
      <c r="F51" s="141">
        <f>IFERROR(__xludf.DUMMYFUNCTION("""COMPUTED_VALUE"""),91.47)</f>
        <v/>
      </c>
      <c r="G51" s="143">
        <f>IFERROR(__xludf.DUMMYFUNCTION("""COMPUTED_VALUE"""),13477101)</f>
        <v/>
      </c>
      <c r="H51" s="27" t="n"/>
    </row>
    <row r="52" ht="17.25" customHeight="1" s="322">
      <c r="A52" s="27" t="n"/>
      <c r="B52" s="506">
        <f>IFERROR(__xludf.DUMMYFUNCTION("""COMPUTED_VALUE"""),45903.6666666666)</f>
        <v/>
      </c>
      <c r="C52" s="141">
        <f>IFERROR(__xludf.DUMMYFUNCTION("""COMPUTED_VALUE"""),91.48)</f>
        <v/>
      </c>
      <c r="D52" s="141">
        <f>IFERROR(__xludf.DUMMYFUNCTION("""COMPUTED_VALUE"""),91.48)</f>
        <v/>
      </c>
      <c r="E52" s="141">
        <f>IFERROR(__xludf.DUMMYFUNCTION("""COMPUTED_VALUE"""),91.47)</f>
        <v/>
      </c>
      <c r="F52" s="141">
        <f>IFERROR(__xludf.DUMMYFUNCTION("""COMPUTED_VALUE"""),91.48)</f>
        <v/>
      </c>
      <c r="G52" s="143">
        <f>IFERROR(__xludf.DUMMYFUNCTION("""COMPUTED_VALUE"""),7040690)</f>
        <v/>
      </c>
      <c r="H52" s="27" t="n"/>
    </row>
    <row r="53" ht="17.25" customHeight="1" s="322">
      <c r="A53" s="27" t="n"/>
      <c r="B53" s="506">
        <f>IFERROR(__xludf.DUMMYFUNCTION("""COMPUTED_VALUE"""),45904.6666666666)</f>
        <v/>
      </c>
      <c r="C53" s="141">
        <f>IFERROR(__xludf.DUMMYFUNCTION("""COMPUTED_VALUE"""),91.49)</f>
        <v/>
      </c>
      <c r="D53" s="141">
        <f>IFERROR(__xludf.DUMMYFUNCTION("""COMPUTED_VALUE"""),91.5)</f>
        <v/>
      </c>
      <c r="E53" s="141">
        <f>IFERROR(__xludf.DUMMYFUNCTION("""COMPUTED_VALUE"""),91.48)</f>
        <v/>
      </c>
      <c r="F53" s="141">
        <f>IFERROR(__xludf.DUMMYFUNCTION("""COMPUTED_VALUE"""),91.5)</f>
        <v/>
      </c>
      <c r="G53" s="143">
        <f>IFERROR(__xludf.DUMMYFUNCTION("""COMPUTED_VALUE"""),9180575)</f>
        <v/>
      </c>
      <c r="H53" s="27" t="n"/>
    </row>
    <row r="54" ht="17.25" customHeight="1" s="322">
      <c r="A54" s="27" t="n"/>
      <c r="B54" s="506">
        <f>IFERROR(__xludf.DUMMYFUNCTION("""COMPUTED_VALUE"""),45905.6666666666)</f>
        <v/>
      </c>
      <c r="C54" s="141">
        <f>IFERROR(__xludf.DUMMYFUNCTION("""COMPUTED_VALUE"""),91.52)</f>
        <v/>
      </c>
      <c r="D54" s="141">
        <f>IFERROR(__xludf.DUMMYFUNCTION("""COMPUTED_VALUE"""),91.53)</f>
        <v/>
      </c>
      <c r="E54" s="141">
        <f>IFERROR(__xludf.DUMMYFUNCTION("""COMPUTED_VALUE"""),91.52)</f>
        <v/>
      </c>
      <c r="F54" s="141">
        <f>IFERROR(__xludf.DUMMYFUNCTION("""COMPUTED_VALUE"""),91.53)</f>
        <v/>
      </c>
      <c r="G54" s="143">
        <f>IFERROR(__xludf.DUMMYFUNCTION("""COMPUTED_VALUE"""),10223048)</f>
        <v/>
      </c>
      <c r="H54" s="27" t="n"/>
    </row>
    <row r="55" ht="17.25" customHeight="1" s="322">
      <c r="A55" s="27" t="n"/>
      <c r="B55" s="506">
        <f>IFERROR(__xludf.DUMMYFUNCTION("""COMPUTED_VALUE"""),45908.6666666666)</f>
        <v/>
      </c>
      <c r="C55" s="141">
        <f>IFERROR(__xludf.DUMMYFUNCTION("""COMPUTED_VALUE"""),91.54)</f>
        <v/>
      </c>
      <c r="D55" s="141">
        <f>IFERROR(__xludf.DUMMYFUNCTION("""COMPUTED_VALUE"""),91.55)</f>
        <v/>
      </c>
      <c r="E55" s="141">
        <f>IFERROR(__xludf.DUMMYFUNCTION("""COMPUTED_VALUE"""),91.54)</f>
        <v/>
      </c>
      <c r="F55" s="141">
        <f>IFERROR(__xludf.DUMMYFUNCTION("""COMPUTED_VALUE"""),91.54)</f>
        <v/>
      </c>
      <c r="G55" s="143">
        <f>IFERROR(__xludf.DUMMYFUNCTION("""COMPUTED_VALUE"""),9201216)</f>
        <v/>
      </c>
      <c r="H55" s="27" t="n"/>
    </row>
    <row r="56" ht="17.25" customHeight="1" s="322">
      <c r="A56" s="27" t="n"/>
      <c r="B56" s="506">
        <f>IFERROR(__xludf.DUMMYFUNCTION("""COMPUTED_VALUE"""),45909.6666666666)</f>
        <v/>
      </c>
      <c r="C56" s="141">
        <f>IFERROR(__xludf.DUMMYFUNCTION("""COMPUTED_VALUE"""),91.55)</f>
        <v/>
      </c>
      <c r="D56" s="141">
        <f>IFERROR(__xludf.DUMMYFUNCTION("""COMPUTED_VALUE"""),91.55)</f>
        <v/>
      </c>
      <c r="E56" s="141">
        <f>IFERROR(__xludf.DUMMYFUNCTION("""COMPUTED_VALUE"""),91.54)</f>
        <v/>
      </c>
      <c r="F56" s="141">
        <f>IFERROR(__xludf.DUMMYFUNCTION("""COMPUTED_VALUE"""),91.55)</f>
        <v/>
      </c>
      <c r="G56" s="143">
        <f>IFERROR(__xludf.DUMMYFUNCTION("""COMPUTED_VALUE"""),8740752)</f>
        <v/>
      </c>
      <c r="H56" s="27" t="n"/>
    </row>
    <row r="57" ht="17.25" customHeight="1" s="322">
      <c r="A57" s="27" t="n"/>
      <c r="B57" s="506">
        <f>IFERROR(__xludf.DUMMYFUNCTION("""COMPUTED_VALUE"""),45910.6666666666)</f>
        <v/>
      </c>
      <c r="C57" s="141">
        <f>IFERROR(__xludf.DUMMYFUNCTION("""COMPUTED_VALUE"""),91.55)</f>
        <v/>
      </c>
      <c r="D57" s="141">
        <f>IFERROR(__xludf.DUMMYFUNCTION("""COMPUTED_VALUE"""),91.56)</f>
        <v/>
      </c>
      <c r="E57" s="141">
        <f>IFERROR(__xludf.DUMMYFUNCTION("""COMPUTED_VALUE"""),91.55)</f>
        <v/>
      </c>
      <c r="F57" s="141">
        <f>IFERROR(__xludf.DUMMYFUNCTION("""COMPUTED_VALUE"""),91.56)</f>
        <v/>
      </c>
      <c r="G57" s="143">
        <f>IFERROR(__xludf.DUMMYFUNCTION("""COMPUTED_VALUE"""),9027224)</f>
        <v/>
      </c>
      <c r="H57" s="27" t="n"/>
    </row>
    <row r="58" ht="17.25" customHeight="1" s="322">
      <c r="A58" s="27" t="n"/>
      <c r="B58" s="506">
        <f>IFERROR(__xludf.DUMMYFUNCTION("""COMPUTED_VALUE"""),45911.6666666666)</f>
        <v/>
      </c>
      <c r="C58" s="141">
        <f>IFERROR(__xludf.DUMMYFUNCTION("""COMPUTED_VALUE"""),91.57)</f>
        <v/>
      </c>
      <c r="D58" s="141">
        <f>IFERROR(__xludf.DUMMYFUNCTION("""COMPUTED_VALUE"""),91.57)</f>
        <v/>
      </c>
      <c r="E58" s="141">
        <f>IFERROR(__xludf.DUMMYFUNCTION("""COMPUTED_VALUE"""),91.56)</f>
        <v/>
      </c>
      <c r="F58" s="141">
        <f>IFERROR(__xludf.DUMMYFUNCTION("""COMPUTED_VALUE"""),91.57)</f>
        <v/>
      </c>
      <c r="G58" s="143">
        <f>IFERROR(__xludf.DUMMYFUNCTION("""COMPUTED_VALUE"""),9714279)</f>
        <v/>
      </c>
      <c r="H58" s="27" t="n"/>
    </row>
    <row r="59" ht="17.25" customHeight="1" s="322">
      <c r="A59" s="27" t="n"/>
      <c r="B59" s="506">
        <f>IFERROR(__xludf.DUMMYFUNCTION("""COMPUTED_VALUE"""),45912.6666666666)</f>
        <v/>
      </c>
      <c r="C59" s="141">
        <f>IFERROR(__xludf.DUMMYFUNCTION("""COMPUTED_VALUE"""),91.59)</f>
        <v/>
      </c>
      <c r="D59" s="141">
        <f>IFERROR(__xludf.DUMMYFUNCTION("""COMPUTED_VALUE"""),91.6)</f>
        <v/>
      </c>
      <c r="E59" s="141">
        <f>IFERROR(__xludf.DUMMYFUNCTION("""COMPUTED_VALUE"""),91.59)</f>
        <v/>
      </c>
      <c r="F59" s="141">
        <f>IFERROR(__xludf.DUMMYFUNCTION("""COMPUTED_VALUE"""),91.6)</f>
        <v/>
      </c>
      <c r="G59" s="143">
        <f>IFERROR(__xludf.DUMMYFUNCTION("""COMPUTED_VALUE"""),7154204)</f>
        <v/>
      </c>
      <c r="H59" s="27" t="n"/>
    </row>
    <row r="60" ht="17.25" customHeight="1" s="322">
      <c r="A60" s="27" t="n"/>
      <c r="B60" s="506">
        <f>IFERROR(__xludf.DUMMYFUNCTION("""COMPUTED_VALUE"""),45915.6666666666)</f>
        <v/>
      </c>
      <c r="C60" s="141">
        <f>IFERROR(__xludf.DUMMYFUNCTION("""COMPUTED_VALUE"""),91.6)</f>
        <v/>
      </c>
      <c r="D60" s="141">
        <f>IFERROR(__xludf.DUMMYFUNCTION("""COMPUTED_VALUE"""),91.61)</f>
        <v/>
      </c>
      <c r="E60" s="141">
        <f>IFERROR(__xludf.DUMMYFUNCTION("""COMPUTED_VALUE"""),91.6)</f>
        <v/>
      </c>
      <c r="F60" s="141">
        <f>IFERROR(__xludf.DUMMYFUNCTION("""COMPUTED_VALUE"""),91.61)</f>
        <v/>
      </c>
      <c r="G60" s="143">
        <f>IFERROR(__xludf.DUMMYFUNCTION("""COMPUTED_VALUE"""),8876159)</f>
        <v/>
      </c>
      <c r="H60" s="27" t="n"/>
    </row>
    <row r="61" ht="17.25" customHeight="1" s="322">
      <c r="A61" s="27" t="n"/>
      <c r="B61" s="506">
        <f>IFERROR(__xludf.DUMMYFUNCTION("""COMPUTED_VALUE"""),45916.6666666666)</f>
        <v/>
      </c>
      <c r="C61" s="141">
        <f>IFERROR(__xludf.DUMMYFUNCTION("""COMPUTED_VALUE"""),91.62)</f>
        <v/>
      </c>
      <c r="D61" s="141">
        <f>IFERROR(__xludf.DUMMYFUNCTION("""COMPUTED_VALUE"""),91.63)</f>
        <v/>
      </c>
      <c r="E61" s="141">
        <f>IFERROR(__xludf.DUMMYFUNCTION("""COMPUTED_VALUE"""),91.62)</f>
        <v/>
      </c>
      <c r="F61" s="141">
        <f>IFERROR(__xludf.DUMMYFUNCTION("""COMPUTED_VALUE"""),91.62)</f>
        <v/>
      </c>
      <c r="G61" s="143">
        <f>IFERROR(__xludf.DUMMYFUNCTION("""COMPUTED_VALUE"""),7036433)</f>
        <v/>
      </c>
      <c r="H61" s="27" t="n"/>
    </row>
    <row r="62" ht="17.25" customHeight="1" s="322">
      <c r="A62" s="27" t="n"/>
      <c r="B62" s="506">
        <f>IFERROR(__xludf.DUMMYFUNCTION("""COMPUTED_VALUE"""),45917.6666666666)</f>
        <v/>
      </c>
      <c r="C62" s="141">
        <f>IFERROR(__xludf.DUMMYFUNCTION("""COMPUTED_VALUE"""),91.63)</f>
        <v/>
      </c>
      <c r="D62" s="141">
        <f>IFERROR(__xludf.DUMMYFUNCTION("""COMPUTED_VALUE"""),91.64)</f>
        <v/>
      </c>
      <c r="E62" s="141">
        <f>IFERROR(__xludf.DUMMYFUNCTION("""COMPUTED_VALUE"""),91.63)</f>
        <v/>
      </c>
      <c r="F62" s="141">
        <f>IFERROR(__xludf.DUMMYFUNCTION("""COMPUTED_VALUE"""),91.63)</f>
        <v/>
      </c>
      <c r="G62" s="143">
        <f>IFERROR(__xludf.DUMMYFUNCTION("""COMPUTED_VALUE"""),5395879)</f>
        <v/>
      </c>
      <c r="H62" s="27" t="n"/>
    </row>
    <row r="63" ht="17.25" customHeight="1" s="322">
      <c r="A63" s="27" t="n"/>
      <c r="B63" s="506">
        <f>IFERROR(__xludf.DUMMYFUNCTION("""COMPUTED_VALUE"""),45918.6666666666)</f>
        <v/>
      </c>
      <c r="C63" s="141">
        <f>IFERROR(__xludf.DUMMYFUNCTION("""COMPUTED_VALUE"""),91.65)</f>
        <v/>
      </c>
      <c r="D63" s="141">
        <f>IFERROR(__xludf.DUMMYFUNCTION("""COMPUTED_VALUE"""),91.65)</f>
        <v/>
      </c>
      <c r="E63" s="141">
        <f>IFERROR(__xludf.DUMMYFUNCTION("""COMPUTED_VALUE"""),91.64)</f>
        <v/>
      </c>
      <c r="F63" s="141">
        <f>IFERROR(__xludf.DUMMYFUNCTION("""COMPUTED_VALUE"""),91.64)</f>
        <v/>
      </c>
      <c r="G63" s="143">
        <f>IFERROR(__xludf.DUMMYFUNCTION("""COMPUTED_VALUE"""),6032912)</f>
        <v/>
      </c>
      <c r="H63" s="27" t="n"/>
    </row>
    <row r="64" ht="17.25" customHeight="1" s="322">
      <c r="A64" s="27" t="n"/>
      <c r="B64" s="506">
        <f>IFERROR(__xludf.DUMMYFUNCTION("""COMPUTED_VALUE"""),45919.6666666666)</f>
        <v/>
      </c>
      <c r="C64" s="141">
        <f>IFERROR(__xludf.DUMMYFUNCTION("""COMPUTED_VALUE"""),91.68)</f>
        <v/>
      </c>
      <c r="D64" s="141">
        <f>IFERROR(__xludf.DUMMYFUNCTION("""COMPUTED_VALUE"""),91.68)</f>
        <v/>
      </c>
      <c r="E64" s="141">
        <f>IFERROR(__xludf.DUMMYFUNCTION("""COMPUTED_VALUE"""),91.67)</f>
        <v/>
      </c>
      <c r="F64" s="141">
        <f>IFERROR(__xludf.DUMMYFUNCTION("""COMPUTED_VALUE"""),91.68)</f>
        <v/>
      </c>
      <c r="G64" s="143">
        <f>IFERROR(__xludf.DUMMYFUNCTION("""COMPUTED_VALUE"""),6689775)</f>
        <v/>
      </c>
      <c r="H64" s="27" t="n"/>
    </row>
    <row r="65" ht="17.25" customHeight="1" s="322">
      <c r="A65" s="27" t="n"/>
      <c r="B65" s="506">
        <f>IFERROR(__xludf.DUMMYFUNCTION("""COMPUTED_VALUE"""),45922.6666666666)</f>
        <v/>
      </c>
      <c r="C65" s="141">
        <f>IFERROR(__xludf.DUMMYFUNCTION("""COMPUTED_VALUE"""),91.68)</f>
        <v/>
      </c>
      <c r="D65" s="141">
        <f>IFERROR(__xludf.DUMMYFUNCTION("""COMPUTED_VALUE"""),91.69)</f>
        <v/>
      </c>
      <c r="E65" s="141">
        <f>IFERROR(__xludf.DUMMYFUNCTION("""COMPUTED_VALUE"""),91.68)</f>
        <v/>
      </c>
      <c r="F65" s="141">
        <f>IFERROR(__xludf.DUMMYFUNCTION("""COMPUTED_VALUE"""),91.69)</f>
        <v/>
      </c>
      <c r="G65" s="143">
        <f>IFERROR(__xludf.DUMMYFUNCTION("""COMPUTED_VALUE"""),6255236)</f>
        <v/>
      </c>
      <c r="H65" s="27" t="n"/>
    </row>
    <row r="66" ht="17.25" customHeight="1" s="322">
      <c r="A66" s="27" t="n"/>
      <c r="B66" s="506">
        <f>IFERROR(__xludf.DUMMYFUNCTION("""COMPUTED_VALUE"""),45923.6666666666)</f>
        <v/>
      </c>
      <c r="C66" s="141">
        <f>IFERROR(__xludf.DUMMYFUNCTION("""COMPUTED_VALUE"""),91.69)</f>
        <v/>
      </c>
      <c r="D66" s="141">
        <f>IFERROR(__xludf.DUMMYFUNCTION("""COMPUTED_VALUE"""),91.7)</f>
        <v/>
      </c>
      <c r="E66" s="141">
        <f>IFERROR(__xludf.DUMMYFUNCTION("""COMPUTED_VALUE"""),91.69)</f>
        <v/>
      </c>
      <c r="F66" s="141">
        <f>IFERROR(__xludf.DUMMYFUNCTION("""COMPUTED_VALUE"""),91.69)</f>
        <v/>
      </c>
      <c r="G66" s="143">
        <f>IFERROR(__xludf.DUMMYFUNCTION("""COMPUTED_VALUE"""),7854733)</f>
        <v/>
      </c>
      <c r="H66" s="27" t="n"/>
    </row>
    <row r="67" ht="17.25" customHeight="1" s="322">
      <c r="A67" s="27" t="n"/>
      <c r="B67" s="506">
        <f>IFERROR(__xludf.DUMMYFUNCTION("""COMPUTED_VALUE"""),45924.6666666666)</f>
        <v/>
      </c>
      <c r="C67" s="141">
        <f>IFERROR(__xludf.DUMMYFUNCTION("""COMPUTED_VALUE"""),91.7)</f>
        <v/>
      </c>
      <c r="D67" s="141">
        <f>IFERROR(__xludf.DUMMYFUNCTION("""COMPUTED_VALUE"""),91.71)</f>
        <v/>
      </c>
      <c r="E67" s="141">
        <f>IFERROR(__xludf.DUMMYFUNCTION("""COMPUTED_VALUE"""),91.7)</f>
        <v/>
      </c>
      <c r="F67" s="141">
        <f>IFERROR(__xludf.DUMMYFUNCTION("""COMPUTED_VALUE"""),91.71)</f>
        <v/>
      </c>
      <c r="G67" s="143">
        <f>IFERROR(__xludf.DUMMYFUNCTION("""COMPUTED_VALUE"""),6711459)</f>
        <v/>
      </c>
      <c r="H67" s="27" t="n"/>
    </row>
    <row r="68" ht="17.25" customHeight="1" s="322">
      <c r="A68" s="27" t="n"/>
      <c r="B68" s="506">
        <f>IFERROR(__xludf.DUMMYFUNCTION("""COMPUTED_VALUE"""),45925.6666666666)</f>
        <v/>
      </c>
      <c r="C68" s="141">
        <f>IFERROR(__xludf.DUMMYFUNCTION("""COMPUTED_VALUE"""),91.71)</f>
        <v/>
      </c>
      <c r="D68" s="141">
        <f>IFERROR(__xludf.DUMMYFUNCTION("""COMPUTED_VALUE"""),91.72)</f>
        <v/>
      </c>
      <c r="E68" s="141">
        <f>IFERROR(__xludf.DUMMYFUNCTION("""COMPUTED_VALUE"""),91.71)</f>
        <v/>
      </c>
      <c r="F68" s="141">
        <f>IFERROR(__xludf.DUMMYFUNCTION("""COMPUTED_VALUE"""),91.71)</f>
        <v/>
      </c>
      <c r="G68" s="143">
        <f>IFERROR(__xludf.DUMMYFUNCTION("""COMPUTED_VALUE"""),11455135)</f>
        <v/>
      </c>
      <c r="H68" s="27" t="n"/>
    </row>
    <row r="69" ht="17.25" customHeight="1" s="322">
      <c r="A69" s="27" t="n"/>
      <c r="B69" s="506">
        <f>IFERROR(__xludf.DUMMYFUNCTION("""COMPUTED_VALUE"""),45926.6666666666)</f>
        <v/>
      </c>
      <c r="C69" s="141">
        <f>IFERROR(__xludf.DUMMYFUNCTION("""COMPUTED_VALUE"""),91.74)</f>
        <v/>
      </c>
      <c r="D69" s="141">
        <f>IFERROR(__xludf.DUMMYFUNCTION("""COMPUTED_VALUE"""),91.74)</f>
        <v/>
      </c>
      <c r="E69" s="141">
        <f>IFERROR(__xludf.DUMMYFUNCTION("""COMPUTED_VALUE"""),91.73)</f>
        <v/>
      </c>
      <c r="F69" s="141">
        <f>IFERROR(__xludf.DUMMYFUNCTION("""COMPUTED_VALUE"""),91.74)</f>
        <v/>
      </c>
      <c r="G69" s="143">
        <f>IFERROR(__xludf.DUMMYFUNCTION("""COMPUTED_VALUE"""),7888818)</f>
        <v/>
      </c>
      <c r="H69" s="27" t="n"/>
    </row>
    <row r="70" ht="17.25" customHeight="1" s="322">
      <c r="A70" s="27" t="n"/>
      <c r="B70" s="506">
        <f>IFERROR(__xludf.DUMMYFUNCTION("""COMPUTED_VALUE"""),45929.6666666666)</f>
        <v/>
      </c>
      <c r="C70" s="141">
        <f>IFERROR(__xludf.DUMMYFUNCTION("""COMPUTED_VALUE"""),91.74)</f>
        <v/>
      </c>
      <c r="D70" s="141">
        <f>IFERROR(__xludf.DUMMYFUNCTION("""COMPUTED_VALUE"""),91.75)</f>
        <v/>
      </c>
      <c r="E70" s="141">
        <f>IFERROR(__xludf.DUMMYFUNCTION("""COMPUTED_VALUE"""),91.74)</f>
        <v/>
      </c>
      <c r="F70" s="141">
        <f>IFERROR(__xludf.DUMMYFUNCTION("""COMPUTED_VALUE"""),91.75)</f>
        <v/>
      </c>
      <c r="G70" s="143">
        <f>IFERROR(__xludf.DUMMYFUNCTION("""COMPUTED_VALUE"""),6928540)</f>
        <v/>
      </c>
      <c r="H70" s="27" t="n"/>
    </row>
    <row r="71" ht="17.25" customHeight="1" s="322">
      <c r="A71" s="27" t="n"/>
      <c r="B71" s="506">
        <f>IFERROR(__xludf.DUMMYFUNCTION("""COMPUTED_VALUE"""),45930.6666666666)</f>
        <v/>
      </c>
      <c r="C71" s="141">
        <f>IFERROR(__xludf.DUMMYFUNCTION("""COMPUTED_VALUE"""),91.75)</f>
        <v/>
      </c>
      <c r="D71" s="141">
        <f>IFERROR(__xludf.DUMMYFUNCTION("""COMPUTED_VALUE"""),91.76)</f>
        <v/>
      </c>
      <c r="E71" s="141">
        <f>IFERROR(__xludf.DUMMYFUNCTION("""COMPUTED_VALUE"""),91.75)</f>
        <v/>
      </c>
      <c r="F71" s="141">
        <f>IFERROR(__xludf.DUMMYFUNCTION("""COMPUTED_VALUE"""),91.75)</f>
        <v/>
      </c>
      <c r="G71" s="143">
        <f>IFERROR(__xludf.DUMMYFUNCTION("""COMPUTED_VALUE"""),14165796)</f>
        <v/>
      </c>
      <c r="H71" s="27" t="n"/>
    </row>
    <row r="72" ht="17.25" customHeight="1" s="322">
      <c r="A72" s="27" t="n"/>
      <c r="B72" s="506">
        <f>IFERROR(__xludf.DUMMYFUNCTION("""COMPUTED_VALUE"""),45931.6666666666)</f>
        <v/>
      </c>
      <c r="C72" s="141">
        <f>IFERROR(__xludf.DUMMYFUNCTION("""COMPUTED_VALUE"""),91.46)</f>
        <v/>
      </c>
      <c r="D72" s="141">
        <f>IFERROR(__xludf.DUMMYFUNCTION("""COMPUTED_VALUE"""),91.46)</f>
        <v/>
      </c>
      <c r="E72" s="141">
        <f>IFERROR(__xludf.DUMMYFUNCTION("""COMPUTED_VALUE"""),91.45)</f>
        <v/>
      </c>
      <c r="F72" s="141">
        <f>IFERROR(__xludf.DUMMYFUNCTION("""COMPUTED_VALUE"""),91.46)</f>
        <v/>
      </c>
      <c r="G72" s="143">
        <f>IFERROR(__xludf.DUMMYFUNCTION("""COMPUTED_VALUE"""),15501352)</f>
        <v/>
      </c>
      <c r="H72" s="27" t="n"/>
    </row>
    <row r="73" ht="17.25" customHeight="1" s="322">
      <c r="A73" s="27" t="n"/>
      <c r="B73" s="506">
        <f>IFERROR(__xludf.DUMMYFUNCTION("""COMPUTED_VALUE"""),45932.6666666666)</f>
        <v/>
      </c>
      <c r="C73" s="141">
        <f>IFERROR(__xludf.DUMMYFUNCTION("""COMPUTED_VALUE"""),91.47)</f>
        <v/>
      </c>
      <c r="D73" s="141">
        <f>IFERROR(__xludf.DUMMYFUNCTION("""COMPUTED_VALUE"""),91.47)</f>
        <v/>
      </c>
      <c r="E73" s="141">
        <f>IFERROR(__xludf.DUMMYFUNCTION("""COMPUTED_VALUE"""),91.46)</f>
        <v/>
      </c>
      <c r="F73" s="141">
        <f>IFERROR(__xludf.DUMMYFUNCTION("""COMPUTED_VALUE"""),91.47)</f>
        <v/>
      </c>
      <c r="G73" s="143">
        <f>IFERROR(__xludf.DUMMYFUNCTION("""COMPUTED_VALUE"""),7225201)</f>
        <v/>
      </c>
      <c r="H73" s="27" t="n"/>
    </row>
    <row r="74" ht="17.25" customHeight="1" s="322">
      <c r="A74" s="27" t="n"/>
      <c r="B74" s="506">
        <f>IFERROR(__xludf.DUMMYFUNCTION("""COMPUTED_VALUE"""),45933.6666666666)</f>
        <v/>
      </c>
      <c r="C74" s="141">
        <f>IFERROR(__xludf.DUMMYFUNCTION("""COMPUTED_VALUE"""),91.5)</f>
        <v/>
      </c>
      <c r="D74" s="141">
        <f>IFERROR(__xludf.DUMMYFUNCTION("""COMPUTED_VALUE"""),91.5)</f>
        <v/>
      </c>
      <c r="E74" s="141">
        <f>IFERROR(__xludf.DUMMYFUNCTION("""COMPUTED_VALUE"""),91.49)</f>
        <v/>
      </c>
      <c r="F74" s="141">
        <f>IFERROR(__xludf.DUMMYFUNCTION("""COMPUTED_VALUE"""),91.49)</f>
        <v/>
      </c>
      <c r="G74" s="143">
        <f>IFERROR(__xludf.DUMMYFUNCTION("""COMPUTED_VALUE"""),6177597)</f>
        <v/>
      </c>
      <c r="H74" s="27" t="n"/>
    </row>
    <row r="75" ht="17.25" customHeight="1" s="322">
      <c r="A75" s="27" t="n"/>
      <c r="B75" s="506">
        <f>IFERROR(__xludf.DUMMYFUNCTION("""COMPUTED_VALUE"""),45936.6666666666)</f>
        <v/>
      </c>
      <c r="C75" s="141">
        <f>IFERROR(__xludf.DUMMYFUNCTION("""COMPUTED_VALUE"""),91.51)</f>
        <v/>
      </c>
      <c r="D75" s="141">
        <f>IFERROR(__xludf.DUMMYFUNCTION("""COMPUTED_VALUE"""),91.51)</f>
        <v/>
      </c>
      <c r="E75" s="141">
        <f>IFERROR(__xludf.DUMMYFUNCTION("""COMPUTED_VALUE"""),91.5)</f>
        <v/>
      </c>
      <c r="F75" s="141">
        <f>IFERROR(__xludf.DUMMYFUNCTION("""COMPUTED_VALUE"""),91.51)</f>
        <v/>
      </c>
      <c r="G75" s="143">
        <f>IFERROR(__xludf.DUMMYFUNCTION("""COMPUTED_VALUE"""),7041180)</f>
        <v/>
      </c>
      <c r="H75" s="27" t="n"/>
    </row>
    <row r="76" ht="17.25" customHeight="1" s="322">
      <c r="A76" s="27" t="n"/>
      <c r="B76" s="506">
        <f>IFERROR(__xludf.DUMMYFUNCTION("""COMPUTED_VALUE"""),45937.6666666666)</f>
        <v/>
      </c>
      <c r="C76" s="141">
        <f>IFERROR(__xludf.DUMMYFUNCTION("""COMPUTED_VALUE"""),91.51)</f>
        <v/>
      </c>
      <c r="D76" s="141">
        <f>IFERROR(__xludf.DUMMYFUNCTION("""COMPUTED_VALUE"""),91.52)</f>
        <v/>
      </c>
      <c r="E76" s="141">
        <f>IFERROR(__xludf.DUMMYFUNCTION("""COMPUTED_VALUE"""),91.51)</f>
        <v/>
      </c>
      <c r="F76" s="141">
        <f>IFERROR(__xludf.DUMMYFUNCTION("""COMPUTED_VALUE"""),91.51)</f>
        <v/>
      </c>
      <c r="G76" s="143">
        <f>IFERROR(__xludf.DUMMYFUNCTION("""COMPUTED_VALUE"""),7071890)</f>
        <v/>
      </c>
      <c r="H76" s="27" t="n"/>
    </row>
    <row r="77" ht="17.25" customHeight="1" s="322">
      <c r="A77" s="27" t="n"/>
      <c r="B77" s="506">
        <f>IFERROR(__xludf.DUMMYFUNCTION("""COMPUTED_VALUE"""),45938.6666666666)</f>
        <v/>
      </c>
      <c r="C77" s="141">
        <f>IFERROR(__xludf.DUMMYFUNCTION("""COMPUTED_VALUE"""),91.53)</f>
        <v/>
      </c>
      <c r="D77" s="141">
        <f>IFERROR(__xludf.DUMMYFUNCTION("""COMPUTED_VALUE"""),91.53)</f>
        <v/>
      </c>
      <c r="E77" s="141">
        <f>IFERROR(__xludf.DUMMYFUNCTION("""COMPUTED_VALUE"""),91.52)</f>
        <v/>
      </c>
      <c r="F77" s="141">
        <f>IFERROR(__xludf.DUMMYFUNCTION("""COMPUTED_VALUE"""),91.53)</f>
        <v/>
      </c>
      <c r="G77" s="143">
        <f>IFERROR(__xludf.DUMMYFUNCTION("""COMPUTED_VALUE"""),7236340)</f>
        <v/>
      </c>
      <c r="H77" s="27" t="n"/>
    </row>
    <row r="78" ht="17.25" customHeight="1" s="322">
      <c r="A78" s="27" t="n"/>
      <c r="B78" s="506">
        <f>IFERROR(__xludf.DUMMYFUNCTION("""COMPUTED_VALUE"""),45939.6666666666)</f>
        <v/>
      </c>
      <c r="C78" s="141">
        <f>IFERROR(__xludf.DUMMYFUNCTION("""COMPUTED_VALUE"""),91.53)</f>
        <v/>
      </c>
      <c r="D78" s="141">
        <f>IFERROR(__xludf.DUMMYFUNCTION("""COMPUTED_VALUE"""),91.54)</f>
        <v/>
      </c>
      <c r="E78" s="141">
        <f>IFERROR(__xludf.DUMMYFUNCTION("""COMPUTED_VALUE"""),91.53)</f>
        <v/>
      </c>
      <c r="F78" s="141">
        <f>IFERROR(__xludf.DUMMYFUNCTION("""COMPUTED_VALUE"""),91.53)</f>
        <v/>
      </c>
      <c r="G78" s="143">
        <f>IFERROR(__xludf.DUMMYFUNCTION("""COMPUTED_VALUE"""),9389837)</f>
        <v/>
      </c>
      <c r="H78" s="27" t="n"/>
    </row>
    <row r="79" ht="17.25" customHeight="1" s="322">
      <c r="A79" s="27" t="n"/>
      <c r="B79" s="506">
        <f>IFERROR(__xludf.DUMMYFUNCTION("""COMPUTED_VALUE"""),45940.6666666666)</f>
        <v/>
      </c>
      <c r="C79" s="141">
        <f>IFERROR(__xludf.DUMMYFUNCTION("""COMPUTED_VALUE"""),91.56)</f>
        <v/>
      </c>
      <c r="D79" s="141">
        <f>IFERROR(__xludf.DUMMYFUNCTION("""COMPUTED_VALUE"""),91.57)</f>
        <v/>
      </c>
      <c r="E79" s="141">
        <f>IFERROR(__xludf.DUMMYFUNCTION("""COMPUTED_VALUE"""),91.56)</f>
        <v/>
      </c>
      <c r="F79" s="141">
        <f>IFERROR(__xludf.DUMMYFUNCTION("""COMPUTED_VALUE"""),91.57)</f>
        <v/>
      </c>
      <c r="G79" s="143">
        <f>IFERROR(__xludf.DUMMYFUNCTION("""COMPUTED_VALUE"""),14647983)</f>
        <v/>
      </c>
      <c r="H79" s="27" t="n"/>
    </row>
    <row r="80" ht="17.25" customHeight="1" s="322">
      <c r="A80" s="27" t="n"/>
      <c r="B80" s="506">
        <f>IFERROR(__xludf.DUMMYFUNCTION("""COMPUTED_VALUE"""),45943.6666666666)</f>
        <v/>
      </c>
      <c r="C80" s="141">
        <f>IFERROR(__xludf.DUMMYFUNCTION("""COMPUTED_VALUE"""),91.57)</f>
        <v/>
      </c>
      <c r="D80" s="141">
        <f>IFERROR(__xludf.DUMMYFUNCTION("""COMPUTED_VALUE"""),91.58)</f>
        <v/>
      </c>
      <c r="E80" s="141">
        <f>IFERROR(__xludf.DUMMYFUNCTION("""COMPUTED_VALUE"""),91.56)</f>
        <v/>
      </c>
      <c r="F80" s="141">
        <f>IFERROR(__xludf.DUMMYFUNCTION("""COMPUTED_VALUE"""),91.58)</f>
        <v/>
      </c>
      <c r="G80" s="143">
        <f>IFERROR(__xludf.DUMMYFUNCTION("""COMPUTED_VALUE"""),13286035)</f>
        <v/>
      </c>
      <c r="H80" s="27" t="n"/>
    </row>
    <row r="81" ht="17.25" customHeight="1" s="322">
      <c r="A81" s="27" t="n"/>
      <c r="B81" s="506">
        <f>IFERROR(__xludf.DUMMYFUNCTION("""COMPUTED_VALUE"""),45944.6666666666)</f>
        <v/>
      </c>
      <c r="C81" s="141">
        <f>IFERROR(__xludf.DUMMYFUNCTION("""COMPUTED_VALUE"""),91.59)</f>
        <v/>
      </c>
      <c r="D81" s="141">
        <f>IFERROR(__xludf.DUMMYFUNCTION("""COMPUTED_VALUE"""),91.59)</f>
        <v/>
      </c>
      <c r="E81" s="141">
        <f>IFERROR(__xludf.DUMMYFUNCTION("""COMPUTED_VALUE"""),91.58)</f>
        <v/>
      </c>
      <c r="F81" s="141">
        <f>IFERROR(__xludf.DUMMYFUNCTION("""COMPUTED_VALUE"""),91.58)</f>
        <v/>
      </c>
      <c r="G81" s="143">
        <f>IFERROR(__xludf.DUMMYFUNCTION("""COMPUTED_VALUE"""),8281841)</f>
        <v/>
      </c>
      <c r="H81" s="27" t="n"/>
    </row>
    <row r="82" ht="17.25" customHeight="1" s="322">
      <c r="A82" s="27" t="n"/>
      <c r="B82" s="506">
        <f>IFERROR(__xludf.DUMMYFUNCTION("""COMPUTED_VALUE"""),45945.6666666666)</f>
        <v/>
      </c>
      <c r="C82" s="141">
        <f>IFERROR(__xludf.DUMMYFUNCTION("""COMPUTED_VALUE"""),91.6)</f>
        <v/>
      </c>
      <c r="D82" s="141">
        <f>IFERROR(__xludf.DUMMYFUNCTION("""COMPUTED_VALUE"""),91.6)</f>
        <v/>
      </c>
      <c r="E82" s="141">
        <f>IFERROR(__xludf.DUMMYFUNCTION("""COMPUTED_VALUE"""),91.59)</f>
        <v/>
      </c>
      <c r="F82" s="141">
        <f>IFERROR(__xludf.DUMMYFUNCTION("""COMPUTED_VALUE"""),91.59)</f>
        <v/>
      </c>
      <c r="G82" s="143">
        <f>IFERROR(__xludf.DUMMYFUNCTION("""COMPUTED_VALUE"""),11747891)</f>
        <v/>
      </c>
      <c r="H82" s="27" t="n"/>
    </row>
    <row r="83" ht="17.25" customHeight="1" s="322">
      <c r="A83" s="27" t="n"/>
      <c r="B83" s="506">
        <f>IFERROR(__xludf.DUMMYFUNCTION("""COMPUTED_VALUE"""),45946.6666666666)</f>
        <v/>
      </c>
      <c r="C83" s="141">
        <f>IFERROR(__xludf.DUMMYFUNCTION("""COMPUTED_VALUE"""),91.6)</f>
        <v/>
      </c>
      <c r="D83" s="141">
        <f>IFERROR(__xludf.DUMMYFUNCTION("""COMPUTED_VALUE"""),91.6)</f>
        <v/>
      </c>
      <c r="E83" s="141">
        <f>IFERROR(__xludf.DUMMYFUNCTION("""COMPUTED_VALUE"""),91.59)</f>
        <v/>
      </c>
      <c r="F83" s="141">
        <f>IFERROR(__xludf.DUMMYFUNCTION("""COMPUTED_VALUE"""),91.6)</f>
        <v/>
      </c>
      <c r="G83" s="143">
        <f>IFERROR(__xludf.DUMMYFUNCTION("""COMPUTED_VALUE"""),7811843)</f>
        <v/>
      </c>
      <c r="H83" s="27" t="n"/>
    </row>
    <row r="84" ht="17.25" customHeight="1" s="322">
      <c r="A84" s="27" t="n"/>
      <c r="B84" s="506">
        <f>IFERROR(__xludf.DUMMYFUNCTION("""COMPUTED_VALUE"""),45947.6666666666)</f>
        <v/>
      </c>
      <c r="C84" s="141">
        <f>IFERROR(__xludf.DUMMYFUNCTION("""COMPUTED_VALUE"""),91.63)</f>
        <v/>
      </c>
      <c r="D84" s="141">
        <f>IFERROR(__xludf.DUMMYFUNCTION("""COMPUTED_VALUE"""),91.63)</f>
        <v/>
      </c>
      <c r="E84" s="141">
        <f>IFERROR(__xludf.DUMMYFUNCTION("""COMPUTED_VALUE"""),91.62)</f>
        <v/>
      </c>
      <c r="F84" s="141">
        <f>IFERROR(__xludf.DUMMYFUNCTION("""COMPUTED_VALUE"""),91.62)</f>
        <v/>
      </c>
      <c r="G84" s="143">
        <f>IFERROR(__xludf.DUMMYFUNCTION("""COMPUTED_VALUE"""),10183451)</f>
        <v/>
      </c>
      <c r="H84" s="27" t="n"/>
    </row>
    <row r="85" ht="17.25" customHeight="1" s="322">
      <c r="A85" s="27" t="n"/>
      <c r="B85" s="506">
        <f>IFERROR(__xludf.DUMMYFUNCTION("""COMPUTED_VALUE"""),45950.6666666666)</f>
        <v/>
      </c>
      <c r="C85" s="141">
        <f>IFERROR(__xludf.DUMMYFUNCTION("""COMPUTED_VALUE"""),91.64)</f>
        <v/>
      </c>
      <c r="D85" s="141">
        <f>IFERROR(__xludf.DUMMYFUNCTION("""COMPUTED_VALUE"""),91.64)</f>
        <v/>
      </c>
      <c r="E85" s="141">
        <f>IFERROR(__xludf.DUMMYFUNCTION("""COMPUTED_VALUE"""),91.63)</f>
        <v/>
      </c>
      <c r="F85" s="141">
        <f>IFERROR(__xludf.DUMMYFUNCTION("""COMPUTED_VALUE"""),91.64)</f>
        <v/>
      </c>
      <c r="G85" s="143">
        <f>IFERROR(__xludf.DUMMYFUNCTION("""COMPUTED_VALUE"""),8215427)</f>
        <v/>
      </c>
      <c r="H85" s="27" t="n"/>
    </row>
    <row r="86" ht="17.25" customHeight="1" s="322">
      <c r="A86" s="27" t="n"/>
      <c r="B86" s="506">
        <f>IFERROR(__xludf.DUMMYFUNCTION("""COMPUTED_VALUE"""),45951.6666666666)</f>
        <v/>
      </c>
      <c r="C86" s="141">
        <f>IFERROR(__xludf.DUMMYFUNCTION("""COMPUTED_VALUE"""),91.65)</f>
        <v/>
      </c>
      <c r="D86" s="141">
        <f>IFERROR(__xludf.DUMMYFUNCTION("""COMPUTED_VALUE"""),91.65)</f>
        <v/>
      </c>
      <c r="E86" s="141">
        <f>IFERROR(__xludf.DUMMYFUNCTION("""COMPUTED_VALUE"""),91.64)</f>
        <v/>
      </c>
      <c r="F86" s="141">
        <f>IFERROR(__xludf.DUMMYFUNCTION("""COMPUTED_VALUE"""),91.64)</f>
        <v/>
      </c>
      <c r="G86" s="143">
        <f>IFERROR(__xludf.DUMMYFUNCTION("""COMPUTED_VALUE"""),6989615)</f>
        <v/>
      </c>
      <c r="H86" s="27" t="n"/>
    </row>
    <row r="87" ht="17.25" customHeight="1" s="322">
      <c r="A87" s="27" t="n"/>
      <c r="B87" s="506">
        <f>IFERROR(__xludf.DUMMYFUNCTION("""COMPUTED_VALUE"""),45952.6666666666)</f>
        <v/>
      </c>
      <c r="C87" s="141">
        <f>IFERROR(__xludf.DUMMYFUNCTION("""COMPUTED_VALUE"""),91.66)</f>
        <v/>
      </c>
      <c r="D87" s="141">
        <f>IFERROR(__xludf.DUMMYFUNCTION("""COMPUTED_VALUE"""),91.66)</f>
        <v/>
      </c>
      <c r="E87" s="141">
        <f>IFERROR(__xludf.DUMMYFUNCTION("""COMPUTED_VALUE"""),91.65)</f>
        <v/>
      </c>
      <c r="F87" s="141">
        <f>IFERROR(__xludf.DUMMYFUNCTION("""COMPUTED_VALUE"""),91.66)</f>
        <v/>
      </c>
      <c r="G87" s="143">
        <f>IFERROR(__xludf.DUMMYFUNCTION("""COMPUTED_VALUE"""),13191440)</f>
        <v/>
      </c>
      <c r="H87" s="27" t="n"/>
    </row>
    <row r="88" ht="17.25" customHeight="1" s="322">
      <c r="A88" s="27" t="n"/>
      <c r="B88" s="506">
        <f>IFERROR(__xludf.DUMMYFUNCTION("""COMPUTED_VALUE"""),45953.6666666666)</f>
        <v/>
      </c>
      <c r="C88" s="141">
        <f>IFERROR(__xludf.DUMMYFUNCTION("""COMPUTED_VALUE"""),91.66)</f>
        <v/>
      </c>
      <c r="D88" s="141">
        <f>IFERROR(__xludf.DUMMYFUNCTION("""COMPUTED_VALUE"""),91.67)</f>
        <v/>
      </c>
      <c r="E88" s="141">
        <f>IFERROR(__xludf.DUMMYFUNCTION("""COMPUTED_VALUE"""),91.66)</f>
        <v/>
      </c>
      <c r="F88" s="141">
        <f>IFERROR(__xludf.DUMMYFUNCTION("""COMPUTED_VALUE"""),91.67)</f>
        <v/>
      </c>
      <c r="G88" s="143">
        <f>IFERROR(__xludf.DUMMYFUNCTION("""COMPUTED_VALUE"""),7399494)</f>
        <v/>
      </c>
      <c r="H88" s="27" t="n"/>
    </row>
    <row r="89" ht="17.25" customHeight="1" s="322">
      <c r="A89" s="27" t="n"/>
      <c r="B89" s="506">
        <f>IFERROR(__xludf.DUMMYFUNCTION("""COMPUTED_VALUE"""),45954.6666666666)</f>
        <v/>
      </c>
      <c r="C89" s="141">
        <f>IFERROR(__xludf.DUMMYFUNCTION("""COMPUTED_VALUE"""),91.7)</f>
        <v/>
      </c>
      <c r="D89" s="141">
        <f>IFERROR(__xludf.DUMMYFUNCTION("""COMPUTED_VALUE"""),91.7)</f>
        <v/>
      </c>
      <c r="E89" s="141">
        <f>IFERROR(__xludf.DUMMYFUNCTION("""COMPUTED_VALUE"""),91.69)</f>
        <v/>
      </c>
      <c r="F89" s="141">
        <f>IFERROR(__xludf.DUMMYFUNCTION("""COMPUTED_VALUE"""),91.7)</f>
        <v/>
      </c>
      <c r="G89" s="143">
        <f>IFERROR(__xludf.DUMMYFUNCTION("""COMPUTED_VALUE"""),8743117)</f>
        <v/>
      </c>
      <c r="H89" s="27" t="n"/>
    </row>
    <row r="90" ht="17.25" customHeight="1" s="322">
      <c r="A90" s="27" t="n"/>
      <c r="B90" s="506">
        <f>IFERROR(__xludf.DUMMYFUNCTION("""COMPUTED_VALUE"""),45957.6666666666)</f>
        <v/>
      </c>
      <c r="C90" s="141">
        <f>IFERROR(__xludf.DUMMYFUNCTION("""COMPUTED_VALUE"""),91.71)</f>
        <v/>
      </c>
      <c r="D90" s="141">
        <f>IFERROR(__xludf.DUMMYFUNCTION("""COMPUTED_VALUE"""),91.71)</f>
        <v/>
      </c>
      <c r="E90" s="141">
        <f>IFERROR(__xludf.DUMMYFUNCTION("""COMPUTED_VALUE"""),91.7)</f>
        <v/>
      </c>
      <c r="F90" s="141">
        <f>IFERROR(__xludf.DUMMYFUNCTION("""COMPUTED_VALUE"""),91.7)</f>
        <v/>
      </c>
      <c r="G90" s="143">
        <f>IFERROR(__xludf.DUMMYFUNCTION("""COMPUTED_VALUE"""),11472440)</f>
        <v/>
      </c>
      <c r="H90" s="27" t="n"/>
    </row>
    <row r="91" ht="17.25" customHeight="1" s="322">
      <c r="A91" s="27" t="n"/>
      <c r="B91" s="506">
        <f>IFERROR(__xludf.DUMMYFUNCTION("""COMPUTED_VALUE"""),45958.6666666666)</f>
        <v/>
      </c>
      <c r="C91" s="141">
        <f>IFERROR(__xludf.DUMMYFUNCTION("""COMPUTED_VALUE"""),91.72)</f>
        <v/>
      </c>
      <c r="D91" s="141">
        <f>IFERROR(__xludf.DUMMYFUNCTION("""COMPUTED_VALUE"""),91.72)</f>
        <v/>
      </c>
      <c r="E91" s="141">
        <f>IFERROR(__xludf.DUMMYFUNCTION("""COMPUTED_VALUE"""),91.71)</f>
        <v/>
      </c>
      <c r="F91" s="141">
        <f>IFERROR(__xludf.DUMMYFUNCTION("""COMPUTED_VALUE"""),91.71)</f>
        <v/>
      </c>
      <c r="G91" s="143">
        <f>IFERROR(__xludf.DUMMYFUNCTION("""COMPUTED_VALUE"""),13039430)</f>
        <v/>
      </c>
      <c r="H91" s="27" t="n"/>
    </row>
    <row r="92" ht="17.25" customHeight="1" s="322">
      <c r="A92" s="27" t="n"/>
      <c r="B92" s="506">
        <f>IFERROR(__xludf.DUMMYFUNCTION("""COMPUTED_VALUE"""),45959.6666666666)</f>
        <v/>
      </c>
      <c r="C92" s="141">
        <f>IFERROR(__xludf.DUMMYFUNCTION("""COMPUTED_VALUE"""),91.72)</f>
        <v/>
      </c>
      <c r="D92" s="141">
        <f>IFERROR(__xludf.DUMMYFUNCTION("""COMPUTED_VALUE"""),91.74)</f>
        <v/>
      </c>
      <c r="E92" s="141">
        <f>IFERROR(__xludf.DUMMYFUNCTION("""COMPUTED_VALUE"""),91.72)</f>
        <v/>
      </c>
      <c r="F92" s="141">
        <f>IFERROR(__xludf.DUMMYFUNCTION("""COMPUTED_VALUE"""),91.74)</f>
        <v/>
      </c>
      <c r="G92" s="143">
        <f>IFERROR(__xludf.DUMMYFUNCTION("""COMPUTED_VALUE"""),13416272)</f>
        <v/>
      </c>
      <c r="H92" s="27" t="n"/>
    </row>
    <row r="93" ht="17.25" customHeight="1" s="322">
      <c r="A93" s="27" t="n"/>
      <c r="B93" s="506">
        <f>IFERROR(__xludf.DUMMYFUNCTION("""COMPUTED_VALUE"""),45960.6666666666)</f>
        <v/>
      </c>
      <c r="C93" s="141">
        <f>IFERROR(__xludf.DUMMYFUNCTION("""COMPUTED_VALUE"""),91.74)</f>
        <v/>
      </c>
      <c r="D93" s="141">
        <f>IFERROR(__xludf.DUMMYFUNCTION("""COMPUTED_VALUE"""),91.75)</f>
        <v/>
      </c>
      <c r="E93" s="141">
        <f>IFERROR(__xludf.DUMMYFUNCTION("""COMPUTED_VALUE"""),91.74)</f>
        <v/>
      </c>
      <c r="F93" s="141">
        <f>IFERROR(__xludf.DUMMYFUNCTION("""COMPUTED_VALUE"""),91.74)</f>
        <v/>
      </c>
      <c r="G93" s="143">
        <f>IFERROR(__xludf.DUMMYFUNCTION("""COMPUTED_VALUE"""),7897153)</f>
        <v/>
      </c>
      <c r="H93" s="27" t="n"/>
    </row>
    <row r="94" ht="17.25" customHeight="1" s="322">
      <c r="A94" s="27" t="n"/>
      <c r="B94" s="506">
        <f>IFERROR(__xludf.DUMMYFUNCTION("""COMPUTED_VALUE"""),45961.6666666666)</f>
        <v/>
      </c>
      <c r="C94" s="141">
        <f>IFERROR(__xludf.DUMMYFUNCTION("""COMPUTED_VALUE"""),91.76)</f>
        <v/>
      </c>
      <c r="D94" s="141">
        <f>IFERROR(__xludf.DUMMYFUNCTION("""COMPUTED_VALUE"""),91.77)</f>
        <v/>
      </c>
      <c r="E94" s="141">
        <f>IFERROR(__xludf.DUMMYFUNCTION("""COMPUTED_VALUE"""),91.76)</f>
        <v/>
      </c>
      <c r="F94" s="141">
        <f>IFERROR(__xludf.DUMMYFUNCTION("""COMPUTED_VALUE"""),91.76)</f>
        <v/>
      </c>
      <c r="G94" s="143">
        <f>IFERROR(__xludf.DUMMYFUNCTION("""COMPUTED_VALUE"""),14371020)</f>
        <v/>
      </c>
      <c r="H94" s="27" t="n"/>
    </row>
    <row r="95" ht="17.25" customHeight="1" s="322">
      <c r="A95" s="27" t="n"/>
      <c r="B95" s="506">
        <f>IFERROR(__xludf.DUMMYFUNCTION("""COMPUTED_VALUE"""),45964.6666666666)</f>
        <v/>
      </c>
      <c r="C95" s="141">
        <f>IFERROR(__xludf.DUMMYFUNCTION("""COMPUTED_VALUE"""),91.47)</f>
        <v/>
      </c>
      <c r="D95" s="141">
        <f>IFERROR(__xludf.DUMMYFUNCTION("""COMPUTED_VALUE"""),91.47)</f>
        <v/>
      </c>
      <c r="E95" s="141">
        <f>IFERROR(__xludf.DUMMYFUNCTION("""COMPUTED_VALUE"""),91.47)</f>
        <v/>
      </c>
      <c r="F95" s="141">
        <f>IFERROR(__xludf.DUMMYFUNCTION("""COMPUTED_VALUE"""),91.47)</f>
        <v/>
      </c>
      <c r="G95" s="143">
        <f>IFERROR(__xludf.DUMMYFUNCTION("""COMPUTED_VALUE"""),17922825)</f>
        <v/>
      </c>
      <c r="H95" s="27" t="n"/>
    </row>
    <row r="96" ht="17.25" customHeight="1" s="322">
      <c r="A96" s="27" t="n"/>
      <c r="B96" s="506">
        <f>IFERROR(__xludf.DUMMYFUNCTION("""COMPUTED_VALUE"""),45965.6666666666)</f>
        <v/>
      </c>
      <c r="C96" s="141">
        <f>IFERROR(__xludf.DUMMYFUNCTION("""COMPUTED_VALUE"""),91.48)</f>
        <v/>
      </c>
      <c r="D96" s="141">
        <f>IFERROR(__xludf.DUMMYFUNCTION("""COMPUTED_VALUE"""),91.48)</f>
        <v/>
      </c>
      <c r="E96" s="141">
        <f>IFERROR(__xludf.DUMMYFUNCTION("""COMPUTED_VALUE"""),91.47)</f>
        <v/>
      </c>
      <c r="F96" s="141">
        <f>IFERROR(__xludf.DUMMYFUNCTION("""COMPUTED_VALUE"""),91.48)</f>
        <v/>
      </c>
      <c r="G96" s="143">
        <f>IFERROR(__xludf.DUMMYFUNCTION("""COMPUTED_VALUE"""),12162133)</f>
        <v/>
      </c>
      <c r="H96" s="27" t="n"/>
    </row>
    <row r="97" ht="17.25" customHeight="1" s="322">
      <c r="A97" s="27" t="n"/>
      <c r="B97" s="506">
        <f>IFERROR(__xludf.DUMMYFUNCTION("""COMPUTED_VALUE"""),45966.6666666666)</f>
        <v/>
      </c>
      <c r="C97" s="141">
        <f>IFERROR(__xludf.DUMMYFUNCTION("""COMPUTED_VALUE"""),91.5)</f>
        <v/>
      </c>
      <c r="D97" s="141">
        <f>IFERROR(__xludf.DUMMYFUNCTION("""COMPUTED_VALUE"""),91.5)</f>
        <v/>
      </c>
      <c r="E97" s="141">
        <f>IFERROR(__xludf.DUMMYFUNCTION("""COMPUTED_VALUE"""),91.49)</f>
        <v/>
      </c>
      <c r="F97" s="141">
        <f>IFERROR(__xludf.DUMMYFUNCTION("""COMPUTED_VALUE"""),91.49)</f>
        <v/>
      </c>
      <c r="G97" s="143">
        <f>IFERROR(__xludf.DUMMYFUNCTION("""COMPUTED_VALUE"""),7973159)</f>
        <v/>
      </c>
      <c r="H97" s="27" t="n"/>
    </row>
    <row r="98" ht="17.25" customHeight="1" s="322">
      <c r="A98" s="27" t="n"/>
      <c r="B98" s="506">
        <f>IFERROR(__xludf.DUMMYFUNCTION("""COMPUTED_VALUE"""),45967.6666666666)</f>
        <v/>
      </c>
      <c r="C98" s="141">
        <f>IFERROR(__xludf.DUMMYFUNCTION("""COMPUTED_VALUE"""),91.5)</f>
        <v/>
      </c>
      <c r="D98" s="141">
        <f>IFERROR(__xludf.DUMMYFUNCTION("""COMPUTED_VALUE"""),91.51)</f>
        <v/>
      </c>
      <c r="E98" s="141">
        <f>IFERROR(__xludf.DUMMYFUNCTION("""COMPUTED_VALUE"""),91.5)</f>
        <v/>
      </c>
      <c r="F98" s="141">
        <f>IFERROR(__xludf.DUMMYFUNCTION("""COMPUTED_VALUE"""),91.5)</f>
        <v/>
      </c>
      <c r="G98" s="143">
        <f>IFERROR(__xludf.DUMMYFUNCTION("""COMPUTED_VALUE"""),15915822)</f>
        <v/>
      </c>
      <c r="H98" s="27" t="n"/>
    </row>
    <row r="99" ht="17.25" customHeight="1" s="322">
      <c r="A99" s="27" t="n"/>
      <c r="B99" s="506">
        <f>IFERROR(__xludf.DUMMYFUNCTION("""COMPUTED_VALUE"""),45968.6666666666)</f>
        <v/>
      </c>
      <c r="C99" s="141">
        <f>IFERROR(__xludf.DUMMYFUNCTION("""COMPUTED_VALUE"""),91.53)</f>
        <v/>
      </c>
      <c r="D99" s="141">
        <f>IFERROR(__xludf.DUMMYFUNCTION("""COMPUTED_VALUE"""),91.54)</f>
        <v/>
      </c>
      <c r="E99" s="141">
        <f>IFERROR(__xludf.DUMMYFUNCTION("""COMPUTED_VALUE"""),91.53)</f>
        <v/>
      </c>
      <c r="F99" s="141">
        <f>IFERROR(__xludf.DUMMYFUNCTION("""COMPUTED_VALUE"""),91.53)</f>
        <v/>
      </c>
      <c r="G99" s="143">
        <f>IFERROR(__xludf.DUMMYFUNCTION("""COMPUTED_VALUE"""),11524997)</f>
        <v/>
      </c>
      <c r="H99" s="27" t="n"/>
    </row>
    <row r="100" ht="17.25" customHeight="1" s="322">
      <c r="A100" s="27" t="n"/>
      <c r="B100" s="506">
        <f>IFERROR(__xludf.DUMMYFUNCTION("""COMPUTED_VALUE"""),45971.6666666666)</f>
        <v/>
      </c>
      <c r="C100" s="141">
        <f>IFERROR(__xludf.DUMMYFUNCTION("""COMPUTED_VALUE"""),91.55)</f>
        <v/>
      </c>
      <c r="D100" s="141">
        <f>IFERROR(__xludf.DUMMYFUNCTION("""COMPUTED_VALUE"""),91.55)</f>
        <v/>
      </c>
      <c r="E100" s="141">
        <f>IFERROR(__xludf.DUMMYFUNCTION("""COMPUTED_VALUE"""),91.54)</f>
        <v/>
      </c>
      <c r="F100" s="141">
        <f>IFERROR(__xludf.DUMMYFUNCTION("""COMPUTED_VALUE"""),91.55)</f>
        <v/>
      </c>
      <c r="G100" s="143">
        <f>IFERROR(__xludf.DUMMYFUNCTION("""COMPUTED_VALUE"""),13043674)</f>
        <v/>
      </c>
      <c r="H100" s="27" t="n"/>
    </row>
    <row r="101" ht="17.25" customHeight="1" s="322">
      <c r="A101" s="27" t="n"/>
      <c r="B101" s="506">
        <f>IFERROR(__xludf.DUMMYFUNCTION("""COMPUTED_VALUE"""),45972.6666666666)</f>
        <v/>
      </c>
      <c r="C101" s="141">
        <f>IFERROR(__xludf.DUMMYFUNCTION("""COMPUTED_VALUE"""),91.55)</f>
        <v/>
      </c>
      <c r="D101" s="141">
        <f>IFERROR(__xludf.DUMMYFUNCTION("""COMPUTED_VALUE"""),91.55)</f>
        <v/>
      </c>
      <c r="E101" s="141">
        <f>IFERROR(__xludf.DUMMYFUNCTION("""COMPUTED_VALUE"""),91.54)</f>
        <v/>
      </c>
      <c r="F101" s="141">
        <f>IFERROR(__xludf.DUMMYFUNCTION("""COMPUTED_VALUE"""),91.54)</f>
        <v/>
      </c>
      <c r="G101" s="143">
        <f>IFERROR(__xludf.DUMMYFUNCTION("""COMPUTED_VALUE"""),6181174)</f>
        <v/>
      </c>
      <c r="H101" s="27" t="n"/>
    </row>
    <row r="102" ht="17.25" customHeight="1" s="322">
      <c r="A102" s="27" t="n"/>
      <c r="B102" s="506">
        <f>IFERROR(__xludf.DUMMYFUNCTION("""COMPUTED_VALUE"""),45973.6666666666)</f>
        <v/>
      </c>
      <c r="C102" s="141">
        <f>IFERROR(__xludf.DUMMYFUNCTION("""COMPUTED_VALUE"""),91.55)</f>
        <v/>
      </c>
      <c r="D102" s="141">
        <f>IFERROR(__xludf.DUMMYFUNCTION("""COMPUTED_VALUE"""),91.56)</f>
        <v/>
      </c>
      <c r="E102" s="141">
        <f>IFERROR(__xludf.DUMMYFUNCTION("""COMPUTED_VALUE"""),91.55)</f>
        <v/>
      </c>
      <c r="F102" s="141">
        <f>IFERROR(__xludf.DUMMYFUNCTION("""COMPUTED_VALUE"""),91.55)</f>
        <v/>
      </c>
      <c r="G102" s="143">
        <f>IFERROR(__xludf.DUMMYFUNCTION("""COMPUTED_VALUE"""),6371181)</f>
        <v/>
      </c>
      <c r="H102" s="27" t="n"/>
    </row>
    <row r="103" ht="17.25" customHeight="1" s="322">
      <c r="A103" s="27" t="n"/>
      <c r="B103" s="506">
        <f>IFERROR(__xludf.DUMMYFUNCTION("""COMPUTED_VALUE"""),45974.6666666666)</f>
        <v/>
      </c>
      <c r="C103" s="141">
        <f>IFERROR(__xludf.DUMMYFUNCTION("""COMPUTED_VALUE"""),91.56)</f>
        <v/>
      </c>
      <c r="D103" s="141">
        <f>IFERROR(__xludf.DUMMYFUNCTION("""COMPUTED_VALUE"""),91.57)</f>
        <v/>
      </c>
      <c r="E103" s="141">
        <f>IFERROR(__xludf.DUMMYFUNCTION("""COMPUTED_VALUE"""),91.56)</f>
        <v/>
      </c>
      <c r="F103" s="141">
        <f>IFERROR(__xludf.DUMMYFUNCTION("""COMPUTED_VALUE"""),91.56)</f>
        <v/>
      </c>
      <c r="G103" s="143">
        <f>IFERROR(__xludf.DUMMYFUNCTION("""COMPUTED_VALUE"""),6625925)</f>
        <v/>
      </c>
      <c r="H103" s="27" t="n"/>
    </row>
    <row r="104" ht="17.25" customHeight="1" s="322">
      <c r="A104" s="27" t="n"/>
      <c r="B104" s="506">
        <f>IFERROR(__xludf.DUMMYFUNCTION("""COMPUTED_VALUE"""),45975.6666666666)</f>
        <v/>
      </c>
      <c r="C104" s="141">
        <f>IFERROR(__xludf.DUMMYFUNCTION("""COMPUTED_VALUE"""),91.6)</f>
        <v/>
      </c>
      <c r="D104" s="141">
        <f>IFERROR(__xludf.DUMMYFUNCTION("""COMPUTED_VALUE"""),91.6)</f>
        <v/>
      </c>
      <c r="E104" s="141">
        <f>IFERROR(__xludf.DUMMYFUNCTION("""COMPUTED_VALUE"""),91.59)</f>
        <v/>
      </c>
      <c r="F104" s="141">
        <f>IFERROR(__xludf.DUMMYFUNCTION("""COMPUTED_VALUE"""),91.6)</f>
        <v/>
      </c>
      <c r="G104" s="143">
        <f>IFERROR(__xludf.DUMMYFUNCTION("""COMPUTED_VALUE"""),10192246)</f>
        <v/>
      </c>
      <c r="H104" s="27" t="n"/>
    </row>
    <row r="105" ht="17.25" customHeight="1" s="322">
      <c r="A105" s="27" t="n"/>
      <c r="B105" s="506">
        <f>IFERROR(__xludf.DUMMYFUNCTION("""COMPUTED_VALUE"""),45978.6666666666)</f>
        <v/>
      </c>
      <c r="C105" s="141">
        <f>IFERROR(__xludf.DUMMYFUNCTION("""COMPUTED_VALUE"""),91.6)</f>
        <v/>
      </c>
      <c r="D105" s="141">
        <f>IFERROR(__xludf.DUMMYFUNCTION("""COMPUTED_VALUE"""),91.61)</f>
        <v/>
      </c>
      <c r="E105" s="141">
        <f>IFERROR(__xludf.DUMMYFUNCTION("""COMPUTED_VALUE"""),91.6)</f>
        <v/>
      </c>
      <c r="F105" s="141">
        <f>IFERROR(__xludf.DUMMYFUNCTION("""COMPUTED_VALUE"""),91.6)</f>
        <v/>
      </c>
      <c r="G105" s="143">
        <f>IFERROR(__xludf.DUMMYFUNCTION("""COMPUTED_VALUE"""),9766975)</f>
        <v/>
      </c>
      <c r="H105" s="27" t="n"/>
    </row>
    <row r="106" ht="17.25" customHeight="1" s="322">
      <c r="A106" s="27" t="n"/>
      <c r="B106" s="506">
        <f>IFERROR(__xludf.DUMMYFUNCTION("""COMPUTED_VALUE"""),45979.6666666666)</f>
        <v/>
      </c>
      <c r="C106" s="141">
        <f>IFERROR(__xludf.DUMMYFUNCTION("""COMPUTED_VALUE"""),91.62)</f>
        <v/>
      </c>
      <c r="D106" s="141">
        <f>IFERROR(__xludf.DUMMYFUNCTION("""COMPUTED_VALUE"""),91.62)</f>
        <v/>
      </c>
      <c r="E106" s="141">
        <f>IFERROR(__xludf.DUMMYFUNCTION("""COMPUTED_VALUE"""),91.61)</f>
        <v/>
      </c>
      <c r="F106" s="141">
        <f>IFERROR(__xludf.DUMMYFUNCTION("""COMPUTED_VALUE"""),91.62)</f>
        <v/>
      </c>
      <c r="G106" s="143">
        <f>IFERROR(__xludf.DUMMYFUNCTION("""COMPUTED_VALUE"""),9642597)</f>
        <v/>
      </c>
      <c r="H106" s="27" t="n"/>
    </row>
    <row r="107" ht="17.25" customHeight="1" s="322">
      <c r="A107" s="27" t="n"/>
      <c r="B107" s="506">
        <f>IFERROR(__xludf.DUMMYFUNCTION("""COMPUTED_VALUE"""),45980.6666666666)</f>
        <v/>
      </c>
      <c r="C107" s="141">
        <f>IFERROR(__xludf.DUMMYFUNCTION("""COMPUTED_VALUE"""),91.63)</f>
        <v/>
      </c>
      <c r="D107" s="141">
        <f>IFERROR(__xludf.DUMMYFUNCTION("""COMPUTED_VALUE"""),91.63)</f>
        <v/>
      </c>
      <c r="E107" s="141">
        <f>IFERROR(__xludf.DUMMYFUNCTION("""COMPUTED_VALUE"""),91.62)</f>
        <v/>
      </c>
      <c r="F107" s="141">
        <f>IFERROR(__xludf.DUMMYFUNCTION("""COMPUTED_VALUE"""),91.62)</f>
        <v/>
      </c>
      <c r="G107" s="143">
        <f>IFERROR(__xludf.DUMMYFUNCTION("""COMPUTED_VALUE"""),6206233)</f>
        <v/>
      </c>
      <c r="H107" s="27" t="n"/>
    </row>
    <row r="108" ht="17.25" customHeight="1" s="322">
      <c r="A108" s="27" t="n"/>
      <c r="B108" s="506">
        <f>IFERROR(__xludf.DUMMYFUNCTION("""COMPUTED_VALUE"""),45981.6666666666)</f>
        <v/>
      </c>
      <c r="C108" s="141">
        <f>IFERROR(__xludf.DUMMYFUNCTION("""COMPUTED_VALUE"""),91.63)</f>
        <v/>
      </c>
      <c r="D108" s="141">
        <f>IFERROR(__xludf.DUMMYFUNCTION("""COMPUTED_VALUE"""),91.64)</f>
        <v/>
      </c>
      <c r="E108" s="141">
        <f>IFERROR(__xludf.DUMMYFUNCTION("""COMPUTED_VALUE"""),91.62)</f>
        <v/>
      </c>
      <c r="F108" s="141">
        <f>IFERROR(__xludf.DUMMYFUNCTION("""COMPUTED_VALUE"""),91.64)</f>
        <v/>
      </c>
      <c r="G108" s="143">
        <f>IFERROR(__xludf.DUMMYFUNCTION("""COMPUTED_VALUE"""),10933880)</f>
        <v/>
      </c>
      <c r="H108" s="27" t="n"/>
    </row>
    <row r="109" ht="17.25" customHeight="1" s="322">
      <c r="A109" s="27" t="n"/>
      <c r="B109" s="506">
        <f>IFERROR(__xludf.DUMMYFUNCTION("""COMPUTED_VALUE"""),45982.6666666666)</f>
        <v/>
      </c>
      <c r="C109" s="141">
        <f>IFERROR(__xludf.DUMMYFUNCTION("""COMPUTED_VALUE"""),91.66)</f>
        <v/>
      </c>
      <c r="D109" s="141">
        <f>IFERROR(__xludf.DUMMYFUNCTION("""COMPUTED_VALUE"""),91.66)</f>
        <v/>
      </c>
      <c r="E109" s="141">
        <f>IFERROR(__xludf.DUMMYFUNCTION("""COMPUTED_VALUE"""),91.66)</f>
        <v/>
      </c>
      <c r="F109" s="141">
        <f>IFERROR(__xludf.DUMMYFUNCTION("""COMPUTED_VALUE"""),91.66)</f>
        <v/>
      </c>
      <c r="G109" s="143">
        <f>IFERROR(__xludf.DUMMYFUNCTION("""COMPUTED_VALUE"""),9431841)</f>
        <v/>
      </c>
      <c r="H109" s="27" t="n"/>
    </row>
    <row r="110" ht="17.25" customHeight="1" s="322">
      <c r="A110" s="27" t="n"/>
      <c r="B110" s="506">
        <f>IFERROR(__xludf.DUMMYFUNCTION("""COMPUTED_VALUE"""),45985.6666666666)</f>
        <v/>
      </c>
      <c r="C110" s="141">
        <f>IFERROR(__xludf.DUMMYFUNCTION("""COMPUTED_VALUE"""),91.66)</f>
        <v/>
      </c>
      <c r="D110" s="141">
        <f>IFERROR(__xludf.DUMMYFUNCTION("""COMPUTED_VALUE"""),91.67)</f>
        <v/>
      </c>
      <c r="E110" s="141">
        <f>IFERROR(__xludf.DUMMYFUNCTION("""COMPUTED_VALUE"""),91.66)</f>
        <v/>
      </c>
      <c r="F110" s="141">
        <f>IFERROR(__xludf.DUMMYFUNCTION("""COMPUTED_VALUE"""),91.66)</f>
        <v/>
      </c>
      <c r="G110" s="143">
        <f>IFERROR(__xludf.DUMMYFUNCTION("""COMPUTED_VALUE"""),7347137)</f>
        <v/>
      </c>
      <c r="H110" s="27" t="n"/>
    </row>
    <row r="111" ht="17.25" customHeight="1" s="322">
      <c r="A111" s="27" t="n"/>
      <c r="B111" s="506">
        <f>IFERROR(__xludf.DUMMYFUNCTION("""COMPUTED_VALUE"""),45986.6666666666)</f>
        <v/>
      </c>
      <c r="C111" s="141">
        <f>IFERROR(__xludf.DUMMYFUNCTION("""COMPUTED_VALUE"""),91.68)</f>
        <v/>
      </c>
      <c r="D111" s="141">
        <f>IFERROR(__xludf.DUMMYFUNCTION("""COMPUTED_VALUE"""),91.68)</f>
        <v/>
      </c>
      <c r="E111" s="141">
        <f>IFERROR(__xludf.DUMMYFUNCTION("""COMPUTED_VALUE"""),91.67)</f>
        <v/>
      </c>
      <c r="F111" s="141">
        <f>IFERROR(__xludf.DUMMYFUNCTION("""COMPUTED_VALUE"""),91.68)</f>
        <v/>
      </c>
      <c r="G111" s="143">
        <f>IFERROR(__xludf.DUMMYFUNCTION("""COMPUTED_VALUE"""),8992406)</f>
        <v/>
      </c>
      <c r="H111" s="27" t="n"/>
    </row>
    <row r="112" ht="17.25" customHeight="1" s="322">
      <c r="A112" s="27" t="n"/>
      <c r="B112" s="506">
        <f>IFERROR(__xludf.DUMMYFUNCTION("""COMPUTED_VALUE"""),45987.6666666666)</f>
        <v/>
      </c>
      <c r="C112" s="141">
        <f>IFERROR(__xludf.DUMMYFUNCTION("""COMPUTED_VALUE"""),91.7)</f>
        <v/>
      </c>
      <c r="D112" s="141">
        <f>IFERROR(__xludf.DUMMYFUNCTION("""COMPUTED_VALUE"""),91.7)</f>
        <v/>
      </c>
      <c r="E112" s="141">
        <f>IFERROR(__xludf.DUMMYFUNCTION("""COMPUTED_VALUE"""),91.69)</f>
        <v/>
      </c>
      <c r="F112" s="141">
        <f>IFERROR(__xludf.DUMMYFUNCTION("""COMPUTED_VALUE"""),91.69)</f>
        <v/>
      </c>
      <c r="G112" s="143">
        <f>IFERROR(__xludf.DUMMYFUNCTION("""COMPUTED_VALUE"""),6749472)</f>
        <v/>
      </c>
      <c r="H112" s="27" t="n"/>
    </row>
    <row r="113" ht="17.25" customHeight="1" s="322">
      <c r="A113" s="27" t="n"/>
      <c r="B113" s="506">
        <f>IFERROR(__xludf.DUMMYFUNCTION("""COMPUTED_VALUE"""),45989.5520833333)</f>
        <v/>
      </c>
      <c r="C113" s="141">
        <f>IFERROR(__xludf.DUMMYFUNCTION("""COMPUTED_VALUE"""),91.73)</f>
        <v/>
      </c>
      <c r="D113" s="141">
        <f>IFERROR(__xludf.DUMMYFUNCTION("""COMPUTED_VALUE"""),91.73)</f>
        <v/>
      </c>
      <c r="E113" s="141">
        <f>IFERROR(__xludf.DUMMYFUNCTION("""COMPUTED_VALUE"""),91.72)</f>
        <v/>
      </c>
      <c r="F113" s="141">
        <f>IFERROR(__xludf.DUMMYFUNCTION("""COMPUTED_VALUE"""),91.72)</f>
        <v/>
      </c>
      <c r="G113" s="143">
        <f>IFERROR(__xludf.DUMMYFUNCTION("""COMPUTED_VALUE"""),10775168)</f>
        <v/>
      </c>
      <c r="H113" s="27" t="n"/>
    </row>
    <row r="114" ht="17.25" customHeight="1" s="322">
      <c r="A114" s="27" t="n"/>
      <c r="B114" s="506">
        <f>IFERROR(__xludf.DUMMYFUNCTION("""COMPUTED_VALUE"""),45992.6666666666)</f>
        <v/>
      </c>
      <c r="C114" s="141">
        <f>IFERROR(__xludf.DUMMYFUNCTION("""COMPUTED_VALUE"""),91.46)</f>
        <v/>
      </c>
      <c r="D114" s="141">
        <f>IFERROR(__xludf.DUMMYFUNCTION("""COMPUTED_VALUE"""),91.46)</f>
        <v/>
      </c>
      <c r="E114" s="141">
        <f>IFERROR(__xludf.DUMMYFUNCTION("""COMPUTED_VALUE"""),91.45)</f>
        <v/>
      </c>
      <c r="F114" s="141">
        <f>IFERROR(__xludf.DUMMYFUNCTION("""COMPUTED_VALUE"""),91.45)</f>
        <v/>
      </c>
      <c r="G114" s="143">
        <f>IFERROR(__xludf.DUMMYFUNCTION("""COMPUTED_VALUE"""),16856813)</f>
        <v/>
      </c>
      <c r="H114" s="27" t="n"/>
    </row>
    <row r="115" ht="17.25" customHeight="1" s="322">
      <c r="A115" s="27" t="n"/>
      <c r="B115" s="506">
        <f>IFERROR(__xludf.DUMMYFUNCTION("""COMPUTED_VALUE"""),45993.6666666666)</f>
        <v/>
      </c>
      <c r="C115" s="141">
        <f>IFERROR(__xludf.DUMMYFUNCTION("""COMPUTED_VALUE"""),91.47)</f>
        <v/>
      </c>
      <c r="D115" s="141">
        <f>IFERROR(__xludf.DUMMYFUNCTION("""COMPUTED_VALUE"""),91.48)</f>
        <v/>
      </c>
      <c r="E115" s="141">
        <f>IFERROR(__xludf.DUMMYFUNCTION("""COMPUTED_VALUE"""),91.46)</f>
        <v/>
      </c>
      <c r="F115" s="141">
        <f>IFERROR(__xludf.DUMMYFUNCTION("""COMPUTED_VALUE"""),91.48)</f>
        <v/>
      </c>
      <c r="G115" s="143">
        <f>IFERROR(__xludf.DUMMYFUNCTION("""COMPUTED_VALUE"""),7403391)</f>
        <v/>
      </c>
      <c r="H115" s="27" t="n"/>
    </row>
    <row r="116" ht="17.25" customHeight="1" s="322">
      <c r="A116" s="27" t="n"/>
      <c r="B116" s="506">
        <f>IFERROR(__xludf.DUMMYFUNCTION("""COMPUTED_VALUE"""),45994.6666666666)</f>
        <v/>
      </c>
      <c r="C116" s="141">
        <f>IFERROR(__xludf.DUMMYFUNCTION("""COMPUTED_VALUE"""),91.48)</f>
        <v/>
      </c>
      <c r="D116" s="141">
        <f>IFERROR(__xludf.DUMMYFUNCTION("""COMPUTED_VALUE"""),91.49)</f>
        <v/>
      </c>
      <c r="E116" s="141">
        <f>IFERROR(__xludf.DUMMYFUNCTION("""COMPUTED_VALUE"""),91.48)</f>
        <v/>
      </c>
      <c r="F116" s="141">
        <f>IFERROR(__xludf.DUMMYFUNCTION("""COMPUTED_VALUE"""),91.49)</f>
        <v/>
      </c>
      <c r="G116" s="143">
        <f>IFERROR(__xludf.DUMMYFUNCTION("""COMPUTED_VALUE"""),6530873)</f>
        <v/>
      </c>
      <c r="H116" s="27" t="n"/>
    </row>
    <row r="117" ht="17.25" customHeight="1" s="322">
      <c r="A117" s="27" t="n"/>
      <c r="B117" s="506">
        <f>IFERROR(__xludf.DUMMYFUNCTION("""COMPUTED_VALUE"""),45995.6666666666)</f>
        <v/>
      </c>
      <c r="C117" s="141">
        <f>IFERROR(__xludf.DUMMYFUNCTION("""COMPUTED_VALUE"""),91.5)</f>
        <v/>
      </c>
      <c r="D117" s="141">
        <f>IFERROR(__xludf.DUMMYFUNCTION("""COMPUTED_VALUE"""),91.51)</f>
        <v/>
      </c>
      <c r="E117" s="141">
        <f>IFERROR(__xludf.DUMMYFUNCTION("""COMPUTED_VALUE"""),91.5)</f>
        <v/>
      </c>
      <c r="F117" s="141">
        <f>IFERROR(__xludf.DUMMYFUNCTION("""COMPUTED_VALUE"""),91.5)</f>
        <v/>
      </c>
      <c r="G117" s="143">
        <f>IFERROR(__xludf.DUMMYFUNCTION("""COMPUTED_VALUE"""),7236673)</f>
        <v/>
      </c>
      <c r="H117" s="27" t="n"/>
    </row>
    <row r="118" ht="17.25" customHeight="1" s="322">
      <c r="A118" s="27" t="n"/>
      <c r="B118" s="506">
        <f>IFERROR(__xludf.DUMMYFUNCTION("""COMPUTED_VALUE"""),45996.6666666666)</f>
        <v/>
      </c>
      <c r="C118" s="141">
        <f>IFERROR(__xludf.DUMMYFUNCTION("""COMPUTED_VALUE"""),91.53)</f>
        <v/>
      </c>
      <c r="D118" s="141">
        <f>IFERROR(__xludf.DUMMYFUNCTION("""COMPUTED_VALUE"""),91.53)</f>
        <v/>
      </c>
      <c r="E118" s="141">
        <f>IFERROR(__xludf.DUMMYFUNCTION("""COMPUTED_VALUE"""),91.52)</f>
        <v/>
      </c>
      <c r="F118" s="141">
        <f>IFERROR(__xludf.DUMMYFUNCTION("""COMPUTED_VALUE"""),91.52)</f>
        <v/>
      </c>
      <c r="G118" s="143">
        <f>IFERROR(__xludf.DUMMYFUNCTION("""COMPUTED_VALUE"""),7308351)</f>
        <v/>
      </c>
      <c r="H118" s="27" t="n"/>
    </row>
    <row r="119" ht="17.25" customHeight="1" s="322">
      <c r="A119" s="27" t="n"/>
      <c r="B119" s="506">
        <f>IFERROR(__xludf.DUMMYFUNCTION("""COMPUTED_VALUE"""),45999.6666666666)</f>
        <v/>
      </c>
      <c r="C119" s="141">
        <f>IFERROR(__xludf.DUMMYFUNCTION("""COMPUTED_VALUE"""),91.53)</f>
        <v/>
      </c>
      <c r="D119" s="141">
        <f>IFERROR(__xludf.DUMMYFUNCTION("""COMPUTED_VALUE"""),91.54)</f>
        <v/>
      </c>
      <c r="E119" s="141">
        <f>IFERROR(__xludf.DUMMYFUNCTION("""COMPUTED_VALUE"""),91.53)</f>
        <v/>
      </c>
      <c r="F119" s="141">
        <f>IFERROR(__xludf.DUMMYFUNCTION("""COMPUTED_VALUE"""),91.53)</f>
        <v/>
      </c>
      <c r="G119" s="143">
        <f>IFERROR(__xludf.DUMMYFUNCTION("""COMPUTED_VALUE"""),7578991)</f>
        <v/>
      </c>
      <c r="H119" s="27" t="n"/>
    </row>
    <row r="120" ht="17.25" customHeight="1" s="322">
      <c r="A120" s="27" t="n"/>
      <c r="B120" s="506">
        <f>IFERROR(__xludf.DUMMYFUNCTION("""COMPUTED_VALUE"""),46000.6666666666)</f>
        <v/>
      </c>
      <c r="C120" s="141">
        <f>IFERROR(__xludf.DUMMYFUNCTION("""COMPUTED_VALUE"""),91.55)</f>
        <v/>
      </c>
      <c r="D120" s="141">
        <f>IFERROR(__xludf.DUMMYFUNCTION("""COMPUTED_VALUE"""),91.55)</f>
        <v/>
      </c>
      <c r="E120" s="141">
        <f>IFERROR(__xludf.DUMMYFUNCTION("""COMPUTED_VALUE"""),91.54)</f>
        <v/>
      </c>
      <c r="F120" s="141">
        <f>IFERROR(__xludf.DUMMYFUNCTION("""COMPUTED_VALUE"""),91.55)</f>
        <v/>
      </c>
      <c r="G120" s="143">
        <f>IFERROR(__xludf.DUMMYFUNCTION("""COMPUTED_VALUE"""),9285593)</f>
        <v/>
      </c>
      <c r="H120" s="27" t="n"/>
    </row>
    <row r="121" ht="17.25" customHeight="1" s="322">
      <c r="A121" s="27" t="n"/>
      <c r="B121" s="506">
        <f>IFERROR(__xludf.DUMMYFUNCTION("""COMPUTED_VALUE"""),46001.6666666666)</f>
        <v/>
      </c>
      <c r="C121" s="141">
        <f>IFERROR(__xludf.DUMMYFUNCTION("""COMPUTED_VALUE"""),91.55)</f>
        <v/>
      </c>
      <c r="D121" s="141">
        <f>IFERROR(__xludf.DUMMYFUNCTION("""COMPUTED_VALUE"""),91.56)</f>
        <v/>
      </c>
      <c r="E121" s="141">
        <f>IFERROR(__xludf.DUMMYFUNCTION("""COMPUTED_VALUE"""),91.55)</f>
        <v/>
      </c>
      <c r="F121" s="141">
        <f>IFERROR(__xludf.DUMMYFUNCTION("""COMPUTED_VALUE"""),91.55)</f>
        <v/>
      </c>
      <c r="G121" s="143">
        <f>IFERROR(__xludf.DUMMYFUNCTION("""COMPUTED_VALUE"""),6974239)</f>
        <v/>
      </c>
      <c r="H121" s="27" t="n"/>
    </row>
    <row r="122" ht="17.25" customHeight="1" s="322">
      <c r="A122" s="27" t="n"/>
      <c r="B122" s="506">
        <f>IFERROR(__xludf.DUMMYFUNCTION("""COMPUTED_VALUE"""),46002.6666666666)</f>
        <v/>
      </c>
      <c r="C122" s="141">
        <f>IFERROR(__xludf.DUMMYFUNCTION("""COMPUTED_VALUE"""),91.56)</f>
        <v/>
      </c>
      <c r="D122" s="141">
        <f>IFERROR(__xludf.DUMMYFUNCTION("""COMPUTED_VALUE"""),91.57)</f>
        <v/>
      </c>
      <c r="E122" s="141">
        <f>IFERROR(__xludf.DUMMYFUNCTION("""COMPUTED_VALUE"""),91.56)</f>
        <v/>
      </c>
      <c r="F122" s="141">
        <f>IFERROR(__xludf.DUMMYFUNCTION("""COMPUTED_VALUE"""),91.56)</f>
        <v/>
      </c>
      <c r="G122" s="143">
        <f>IFERROR(__xludf.DUMMYFUNCTION("""COMPUTED_VALUE"""),7144470)</f>
        <v/>
      </c>
      <c r="H122" s="27" t="n"/>
    </row>
    <row r="123" ht="17.25" customHeight="1" s="322">
      <c r="A123" s="27" t="n"/>
      <c r="B123" s="506">
        <f>IFERROR(__xludf.DUMMYFUNCTION("""COMPUTED_VALUE"""),46003.6666666666)</f>
        <v/>
      </c>
      <c r="C123" s="141">
        <f>IFERROR(__xludf.DUMMYFUNCTION("""COMPUTED_VALUE"""),91.6)</f>
        <v/>
      </c>
      <c r="D123" s="141">
        <f>IFERROR(__xludf.DUMMYFUNCTION("""COMPUTED_VALUE"""),91.6)</f>
        <v/>
      </c>
      <c r="E123" s="141">
        <f>IFERROR(__xludf.DUMMYFUNCTION("""COMPUTED_VALUE"""),91.59)</f>
        <v/>
      </c>
      <c r="F123" s="141">
        <f>IFERROR(__xludf.DUMMYFUNCTION("""COMPUTED_VALUE"""),91.6)</f>
        <v/>
      </c>
      <c r="G123" s="143">
        <f>IFERROR(__xludf.DUMMYFUNCTION("""COMPUTED_VALUE"""),6040672)</f>
        <v/>
      </c>
      <c r="H123" s="27" t="n"/>
    </row>
    <row r="124" ht="17.25" customHeight="1" s="322">
      <c r="A124" s="27" t="n"/>
      <c r="B124" s="506">
        <f>IFERROR(__xludf.DUMMYFUNCTION("""COMPUTED_VALUE"""),46006.6666666666)</f>
        <v/>
      </c>
      <c r="C124" s="141">
        <f>IFERROR(__xludf.DUMMYFUNCTION("""COMPUTED_VALUE"""),91.6)</f>
        <v/>
      </c>
      <c r="D124" s="141">
        <f>IFERROR(__xludf.DUMMYFUNCTION("""COMPUTED_VALUE"""),91.61)</f>
        <v/>
      </c>
      <c r="E124" s="141">
        <f>IFERROR(__xludf.DUMMYFUNCTION("""COMPUTED_VALUE"""),91.6)</f>
        <v/>
      </c>
      <c r="F124" s="141">
        <f>IFERROR(__xludf.DUMMYFUNCTION("""COMPUTED_VALUE"""),91.6)</f>
        <v/>
      </c>
      <c r="G124" s="143">
        <f>IFERROR(__xludf.DUMMYFUNCTION("""COMPUTED_VALUE"""),6058074)</f>
        <v/>
      </c>
      <c r="H124" s="27" t="n"/>
    </row>
    <row r="125" ht="17.25" customHeight="1" s="322">
      <c r="A125" s="27" t="n"/>
      <c r="B125" s="506">
        <f>IFERROR(__xludf.DUMMYFUNCTION("""COMPUTED_VALUE"""),46007.6666666666)</f>
        <v/>
      </c>
      <c r="C125" s="141">
        <f>IFERROR(__xludf.DUMMYFUNCTION("""COMPUTED_VALUE"""),91.61)</f>
        <v/>
      </c>
      <c r="D125" s="141">
        <f>IFERROR(__xludf.DUMMYFUNCTION("""COMPUTED_VALUE"""),91.62)</f>
        <v/>
      </c>
      <c r="E125" s="141">
        <f>IFERROR(__xludf.DUMMYFUNCTION("""COMPUTED_VALUE"""),91.61)</f>
        <v/>
      </c>
      <c r="F125" s="141">
        <f>IFERROR(__xludf.DUMMYFUNCTION("""COMPUTED_VALUE"""),91.61)</f>
        <v/>
      </c>
      <c r="G125" s="143">
        <f>IFERROR(__xludf.DUMMYFUNCTION("""COMPUTED_VALUE"""),7212176)</f>
        <v/>
      </c>
      <c r="H125" s="27" t="n"/>
    </row>
    <row r="126" ht="17.25" customHeight="1" s="322">
      <c r="A126" s="27" t="n"/>
      <c r="B126" s="506">
        <f>IFERROR(__xludf.DUMMYFUNCTION("""COMPUTED_VALUE"""),46008.6666666666)</f>
        <v/>
      </c>
      <c r="C126" s="141">
        <f>IFERROR(__xludf.DUMMYFUNCTION("""COMPUTED_VALUE"""),91.62)</f>
        <v/>
      </c>
      <c r="D126" s="141">
        <f>IFERROR(__xludf.DUMMYFUNCTION("""COMPUTED_VALUE"""),91.63)</f>
        <v/>
      </c>
      <c r="E126" s="141">
        <f>IFERROR(__xludf.DUMMYFUNCTION("""COMPUTED_VALUE"""),91.62)</f>
        <v/>
      </c>
      <c r="F126" s="141">
        <f>IFERROR(__xludf.DUMMYFUNCTION("""COMPUTED_VALUE"""),91.62)</f>
        <v/>
      </c>
      <c r="G126" s="143">
        <f>IFERROR(__xludf.DUMMYFUNCTION("""COMPUTED_VALUE"""),9641151)</f>
        <v/>
      </c>
      <c r="H126" s="27" t="n"/>
    </row>
    <row r="127" ht="17.25" customHeight="1" s="322">
      <c r="A127" s="27" t="n"/>
      <c r="B127" s="506">
        <f>IFERROR(__xludf.DUMMYFUNCTION("""COMPUTED_VALUE"""),46009.6666666666)</f>
        <v/>
      </c>
      <c r="C127" s="141">
        <f>IFERROR(__xludf.DUMMYFUNCTION("""COMPUTED_VALUE"""),91.27)</f>
        <v/>
      </c>
      <c r="D127" s="141">
        <f>IFERROR(__xludf.DUMMYFUNCTION("""COMPUTED_VALUE"""),91.27)</f>
        <v/>
      </c>
      <c r="E127" s="141">
        <f>IFERROR(__xludf.DUMMYFUNCTION("""COMPUTED_VALUE"""),91.26)</f>
        <v/>
      </c>
      <c r="F127" s="141">
        <f>IFERROR(__xludf.DUMMYFUNCTION("""COMPUTED_VALUE"""),91.27)</f>
        <v/>
      </c>
      <c r="G127" s="143">
        <f>IFERROR(__xludf.DUMMYFUNCTION("""COMPUTED_VALUE"""),10277304)</f>
        <v/>
      </c>
      <c r="H127" s="27" t="n"/>
    </row>
    <row r="128" ht="17.25" customHeight="1" s="322">
      <c r="A128" s="27" t="n"/>
      <c r="B128" s="506">
        <f>IFERROR(__xludf.DUMMYFUNCTION("""COMPUTED_VALUE"""),46010.6666666666)</f>
        <v/>
      </c>
      <c r="C128" s="141">
        <f>IFERROR(__xludf.DUMMYFUNCTION("""COMPUTED_VALUE"""),91.29)</f>
        <v/>
      </c>
      <c r="D128" s="141">
        <f>IFERROR(__xludf.DUMMYFUNCTION("""COMPUTED_VALUE"""),91.3)</f>
        <v/>
      </c>
      <c r="E128" s="141">
        <f>IFERROR(__xludf.DUMMYFUNCTION("""COMPUTED_VALUE"""),91.29)</f>
        <v/>
      </c>
      <c r="F128" s="141">
        <f>IFERROR(__xludf.DUMMYFUNCTION("""COMPUTED_VALUE"""),91.3)</f>
        <v/>
      </c>
      <c r="G128" s="143">
        <f>IFERROR(__xludf.DUMMYFUNCTION("""COMPUTED_VALUE"""),7581829)</f>
        <v/>
      </c>
      <c r="H128" s="27" t="n"/>
    </row>
    <row r="129" ht="17.25" customHeight="1" s="322">
      <c r="A129" s="27" t="n"/>
      <c r="B129" s="506">
        <f>IFERROR(__xludf.DUMMYFUNCTION("""COMPUTED_VALUE"""),46013.6666666666)</f>
        <v/>
      </c>
      <c r="C129" s="141">
        <f>IFERROR(__xludf.DUMMYFUNCTION("""COMPUTED_VALUE"""),91.3)</f>
        <v/>
      </c>
      <c r="D129" s="141">
        <f>IFERROR(__xludf.DUMMYFUNCTION("""COMPUTED_VALUE"""),91.31)</f>
        <v/>
      </c>
      <c r="E129" s="141">
        <f>IFERROR(__xludf.DUMMYFUNCTION("""COMPUTED_VALUE"""),91.3)</f>
        <v/>
      </c>
      <c r="F129" s="141">
        <f>IFERROR(__xludf.DUMMYFUNCTION("""COMPUTED_VALUE"""),91.3)</f>
        <v/>
      </c>
      <c r="G129" s="143">
        <f>IFERROR(__xludf.DUMMYFUNCTION("""COMPUTED_VALUE"""),11026869)</f>
        <v/>
      </c>
      <c r="H129" s="27" t="n"/>
    </row>
    <row r="130" ht="17.25" customHeight="1" s="322">
      <c r="A130" s="27" t="n"/>
      <c r="B130" s="506">
        <f>IFERROR(__xludf.DUMMYFUNCTION("""COMPUTED_VALUE"""),46014.6666666666)</f>
        <v/>
      </c>
      <c r="C130" s="141">
        <f>IFERROR(__xludf.DUMMYFUNCTION("""COMPUTED_VALUE"""),91.31)</f>
        <v/>
      </c>
      <c r="D130" s="141">
        <f>IFERROR(__xludf.DUMMYFUNCTION("""COMPUTED_VALUE"""),91.31)</f>
        <v/>
      </c>
      <c r="E130" s="141">
        <f>IFERROR(__xludf.DUMMYFUNCTION("""COMPUTED_VALUE"""),91.3)</f>
        <v/>
      </c>
      <c r="F130" s="141">
        <f>IFERROR(__xludf.DUMMYFUNCTION("""COMPUTED_VALUE"""),91.3)</f>
        <v/>
      </c>
      <c r="G130" s="143">
        <f>IFERROR(__xludf.DUMMYFUNCTION("""COMPUTED_VALUE"""),7111246)</f>
        <v/>
      </c>
      <c r="H130" s="27" t="n"/>
    </row>
    <row r="131" ht="17.25" customHeight="1" s="322">
      <c r="A131" s="27" t="n"/>
      <c r="B131" s="506">
        <f>IFERROR(__xludf.DUMMYFUNCTION("""COMPUTED_VALUE"""),46015.5416666666)</f>
        <v/>
      </c>
      <c r="C131" s="141">
        <f>IFERROR(__xludf.DUMMYFUNCTION("""COMPUTED_VALUE"""),91.33)</f>
        <v/>
      </c>
      <c r="D131" s="141">
        <f>IFERROR(__xludf.DUMMYFUNCTION("""COMPUTED_VALUE"""),91.33)</f>
        <v/>
      </c>
      <c r="E131" s="141">
        <f>IFERROR(__xludf.DUMMYFUNCTION("""COMPUTED_VALUE"""),91.32)</f>
        <v/>
      </c>
      <c r="F131" s="141">
        <f>IFERROR(__xludf.DUMMYFUNCTION("""COMPUTED_VALUE"""),91.33)</f>
        <v/>
      </c>
      <c r="G131" s="143">
        <f>IFERROR(__xludf.DUMMYFUNCTION("""COMPUTED_VALUE"""),5073527)</f>
        <v/>
      </c>
      <c r="H131" s="27" t="n"/>
    </row>
    <row r="132" ht="17.25" customHeight="1" s="322">
      <c r="A132" s="27" t="n"/>
      <c r="B132" s="506">
        <f>IFERROR(__xludf.DUMMYFUNCTION("""COMPUTED_VALUE"""),46017.6666666666)</f>
        <v/>
      </c>
      <c r="C132" s="141">
        <f>IFERROR(__xludf.DUMMYFUNCTION("""COMPUTED_VALUE"""),91.35)</f>
        <v/>
      </c>
      <c r="D132" s="141">
        <f>IFERROR(__xludf.DUMMYFUNCTION("""COMPUTED_VALUE"""),91.36)</f>
        <v/>
      </c>
      <c r="E132" s="141">
        <f>IFERROR(__xludf.DUMMYFUNCTION("""COMPUTED_VALUE"""),91.35)</f>
        <v/>
      </c>
      <c r="F132" s="141">
        <f>IFERROR(__xludf.DUMMYFUNCTION("""COMPUTED_VALUE"""),91.36)</f>
        <v/>
      </c>
      <c r="G132" s="143">
        <f>IFERROR(__xludf.DUMMYFUNCTION("""COMPUTED_VALUE"""),5588851)</f>
        <v/>
      </c>
      <c r="H132" s="27" t="n"/>
    </row>
    <row r="133" ht="17.25" customHeight="1" s="322">
      <c r="A133" s="27" t="n"/>
      <c r="B133" s="506">
        <f>IFERROR(__xludf.DUMMYFUNCTION("""COMPUTED_VALUE"""),46020.6666666666)</f>
        <v/>
      </c>
      <c r="C133" s="141">
        <f>IFERROR(__xludf.DUMMYFUNCTION("""COMPUTED_VALUE"""),91.36)</f>
        <v/>
      </c>
      <c r="D133" s="141">
        <f>IFERROR(__xludf.DUMMYFUNCTION("""COMPUTED_VALUE"""),91.37)</f>
        <v/>
      </c>
      <c r="E133" s="141">
        <f>IFERROR(__xludf.DUMMYFUNCTION("""COMPUTED_VALUE"""),91.36)</f>
        <v/>
      </c>
      <c r="F133" s="141">
        <f>IFERROR(__xludf.DUMMYFUNCTION("""COMPUTED_VALUE"""),91.36)</f>
        <v/>
      </c>
      <c r="G133" s="143">
        <f>IFERROR(__xludf.DUMMYFUNCTION("""COMPUTED_VALUE"""),7988908)</f>
        <v/>
      </c>
      <c r="H133" s="27" t="n"/>
    </row>
    <row r="134" ht="17.25" customHeight="1" s="322">
      <c r="A134" s="27" t="n"/>
      <c r="B134" s="506">
        <f>IFERROR(__xludf.DUMMYFUNCTION("""COMPUTED_VALUE"""),46021.6666666666)</f>
        <v/>
      </c>
      <c r="C134" s="141">
        <f>IFERROR(__xludf.DUMMYFUNCTION("""COMPUTED_VALUE"""),91.37)</f>
        <v/>
      </c>
      <c r="D134" s="141">
        <f>IFERROR(__xludf.DUMMYFUNCTION("""COMPUTED_VALUE"""),91.38)</f>
        <v/>
      </c>
      <c r="E134" s="141">
        <f>IFERROR(__xludf.DUMMYFUNCTION("""COMPUTED_VALUE"""),91.37)</f>
        <v/>
      </c>
      <c r="F134" s="141">
        <f>IFERROR(__xludf.DUMMYFUNCTION("""COMPUTED_VALUE"""),91.37)</f>
        <v/>
      </c>
      <c r="G134" s="143">
        <f>IFERROR(__xludf.DUMMYFUNCTION("""COMPUTED_VALUE"""),7852902)</f>
        <v/>
      </c>
      <c r="H134" s="27" t="n"/>
    </row>
    <row r="135" ht="17.25" customHeight="1" s="322">
      <c r="A135" s="27" t="n"/>
      <c r="B135" s="506">
        <f>IFERROR(__xludf.DUMMYFUNCTION("""COMPUTED_VALUE"""),46022.6666666666)</f>
        <v/>
      </c>
      <c r="C135" s="141">
        <f>IFERROR(__xludf.DUMMYFUNCTION("""COMPUTED_VALUE"""),91.39)</f>
        <v/>
      </c>
      <c r="D135" s="141">
        <f>IFERROR(__xludf.DUMMYFUNCTION("""COMPUTED_VALUE"""),91.39)</f>
        <v/>
      </c>
      <c r="E135" s="141">
        <f>IFERROR(__xludf.DUMMYFUNCTION("""COMPUTED_VALUE"""),91.38)</f>
        <v/>
      </c>
      <c r="F135" s="141">
        <f>IFERROR(__xludf.DUMMYFUNCTION("""COMPUTED_VALUE"""),91.38)</f>
        <v/>
      </c>
      <c r="G135" s="143">
        <f>IFERROR(__xludf.DUMMYFUNCTION("""COMPUTED_VALUE"""),11225947)</f>
        <v/>
      </c>
      <c r="H135" s="27" t="n"/>
    </row>
    <row r="136" ht="17.25" customHeight="1" s="322">
      <c r="A136" s="27" t="n"/>
      <c r="B136" s="506">
        <f>IFERROR(__xludf.DUMMYFUNCTION("""COMPUTED_VALUE"""),46024.6666666666)</f>
        <v/>
      </c>
      <c r="C136" s="141">
        <f>IFERROR(__xludf.DUMMYFUNCTION("""COMPUTED_VALUE"""),91.42)</f>
        <v/>
      </c>
      <c r="D136" s="141">
        <f>IFERROR(__xludf.DUMMYFUNCTION("""COMPUTED_VALUE"""),91.42)</f>
        <v/>
      </c>
      <c r="E136" s="141">
        <f>IFERROR(__xludf.DUMMYFUNCTION("""COMPUTED_VALUE"""),91.41)</f>
        <v/>
      </c>
      <c r="F136" s="141">
        <f>IFERROR(__xludf.DUMMYFUNCTION("""COMPUTED_VALUE"""),91.42)</f>
        <v/>
      </c>
      <c r="G136" s="143">
        <f>IFERROR(__xludf.DUMMYFUNCTION("""COMPUTED_VALUE"""),8517884)</f>
        <v/>
      </c>
      <c r="H136" s="27" t="n"/>
    </row>
    <row r="137" ht="17.25" customHeight="1" s="322">
      <c r="A137" s="27" t="n"/>
      <c r="B137" s="506">
        <f>IFERROR(__xludf.DUMMYFUNCTION("""COMPUTED_VALUE"""),46027.6666666666)</f>
        <v/>
      </c>
      <c r="C137" s="141">
        <f>IFERROR(__xludf.DUMMYFUNCTION("""COMPUTED_VALUE"""),91.42)</f>
        <v/>
      </c>
      <c r="D137" s="141">
        <f>IFERROR(__xludf.DUMMYFUNCTION("""COMPUTED_VALUE"""),91.43)</f>
        <v/>
      </c>
      <c r="E137" s="141">
        <f>IFERROR(__xludf.DUMMYFUNCTION("""COMPUTED_VALUE"""),91.42)</f>
        <v/>
      </c>
      <c r="F137" s="141">
        <f>IFERROR(__xludf.DUMMYFUNCTION("""COMPUTED_VALUE"""),91.42)</f>
        <v/>
      </c>
      <c r="G137" s="143">
        <f>IFERROR(__xludf.DUMMYFUNCTION("""COMPUTED_VALUE"""),11770220)</f>
        <v/>
      </c>
      <c r="H137" s="27" t="n"/>
    </row>
    <row r="138" ht="17.25" customHeight="1" s="322">
      <c r="A138" s="27" t="n"/>
      <c r="B138" s="506">
        <f>IFERROR(__xludf.DUMMYFUNCTION("""COMPUTED_VALUE"""),46028.6666666666)</f>
        <v/>
      </c>
      <c r="C138" s="141">
        <f>IFERROR(__xludf.DUMMYFUNCTION("""COMPUTED_VALUE"""),91.43)</f>
        <v/>
      </c>
      <c r="D138" s="141">
        <f>IFERROR(__xludf.DUMMYFUNCTION("""COMPUTED_VALUE"""),91.44)</f>
        <v/>
      </c>
      <c r="E138" s="141">
        <f>IFERROR(__xludf.DUMMYFUNCTION("""COMPUTED_VALUE"""),91.43)</f>
        <v/>
      </c>
      <c r="F138" s="141">
        <f>IFERROR(__xludf.DUMMYFUNCTION("""COMPUTED_VALUE"""),91.43)</f>
        <v/>
      </c>
      <c r="G138" s="143">
        <f>IFERROR(__xludf.DUMMYFUNCTION("""COMPUTED_VALUE"""),9135810)</f>
        <v/>
      </c>
      <c r="H138" s="27" t="n"/>
    </row>
    <row r="139" ht="17.25" customHeight="1" s="322">
      <c r="A139" s="27" t="n"/>
      <c r="B139" s="506">
        <f>IFERROR(__xludf.DUMMYFUNCTION("""COMPUTED_VALUE"""),46029.6666666666)</f>
        <v/>
      </c>
      <c r="C139" s="141">
        <f>IFERROR(__xludf.DUMMYFUNCTION("""COMPUTED_VALUE"""),91.44)</f>
        <v/>
      </c>
      <c r="D139" s="141">
        <f>IFERROR(__xludf.DUMMYFUNCTION("""COMPUTED_VALUE"""),91.45)</f>
        <v/>
      </c>
      <c r="E139" s="141">
        <f>IFERROR(__xludf.DUMMYFUNCTION("""COMPUTED_VALUE"""),91.44)</f>
        <v/>
      </c>
      <c r="F139" s="141">
        <f>IFERROR(__xludf.DUMMYFUNCTION("""COMPUTED_VALUE"""),91.45)</f>
        <v/>
      </c>
      <c r="G139" s="143">
        <f>IFERROR(__xludf.DUMMYFUNCTION("""COMPUTED_VALUE"""),8767154)</f>
        <v/>
      </c>
      <c r="H139" s="27" t="n"/>
    </row>
    <row r="140" ht="17.25" customHeight="1" s="322">
      <c r="A140" s="27" t="n"/>
      <c r="B140" s="506">
        <f>IFERROR(__xludf.DUMMYFUNCTION("""COMPUTED_VALUE"""),46030.6666666666)</f>
        <v/>
      </c>
      <c r="C140" s="141">
        <f>IFERROR(__xludf.DUMMYFUNCTION("""COMPUTED_VALUE"""),91.45)</f>
        <v/>
      </c>
      <c r="D140" s="141">
        <f>IFERROR(__xludf.DUMMYFUNCTION("""COMPUTED_VALUE"""),91.45)</f>
        <v/>
      </c>
      <c r="E140" s="141">
        <f>IFERROR(__xludf.DUMMYFUNCTION("""COMPUTED_VALUE"""),91.45)</f>
        <v/>
      </c>
      <c r="F140" s="141">
        <f>IFERROR(__xludf.DUMMYFUNCTION("""COMPUTED_VALUE"""),91.45)</f>
        <v/>
      </c>
      <c r="G140" s="143">
        <f>IFERROR(__xludf.DUMMYFUNCTION("""COMPUTED_VALUE"""),7116528)</f>
        <v/>
      </c>
      <c r="H140" s="27" t="n"/>
    </row>
    <row r="141" ht="17.25" customHeight="1" s="322">
      <c r="A141" s="27" t="n"/>
      <c r="B141" s="506">
        <f>IFERROR(__xludf.DUMMYFUNCTION("""COMPUTED_VALUE"""),46031.6666666666)</f>
        <v/>
      </c>
      <c r="C141" s="141">
        <f>IFERROR(__xludf.DUMMYFUNCTION("""COMPUTED_VALUE"""),91.47)</f>
        <v/>
      </c>
      <c r="D141" s="141">
        <f>IFERROR(__xludf.DUMMYFUNCTION("""COMPUTED_VALUE"""),91.48)</f>
        <v/>
      </c>
      <c r="E141" s="141">
        <f>IFERROR(__xludf.DUMMYFUNCTION("""COMPUTED_VALUE"""),91.47)</f>
        <v/>
      </c>
      <c r="F141" s="141">
        <f>IFERROR(__xludf.DUMMYFUNCTION("""COMPUTED_VALUE"""),91.47)</f>
        <v/>
      </c>
      <c r="G141" s="143">
        <f>IFERROR(__xludf.DUMMYFUNCTION("""COMPUTED_VALUE"""),7776620)</f>
        <v/>
      </c>
      <c r="H141" s="27" t="n"/>
    </row>
    <row r="142" ht="17.25" customHeight="1" s="322">
      <c r="A142" s="27" t="n"/>
      <c r="B142" s="506">
        <f>IFERROR(__xludf.DUMMYFUNCTION("""COMPUTED_VALUE"""),46034.6666666666)</f>
        <v/>
      </c>
      <c r="C142" s="141">
        <f>IFERROR(__xludf.DUMMYFUNCTION("""COMPUTED_VALUE"""),91.48)</f>
        <v/>
      </c>
      <c r="D142" s="141">
        <f>IFERROR(__xludf.DUMMYFUNCTION("""COMPUTED_VALUE"""),91.49)</f>
        <v/>
      </c>
      <c r="E142" s="141">
        <f>IFERROR(__xludf.DUMMYFUNCTION("""COMPUTED_VALUE"""),91.48)</f>
        <v/>
      </c>
      <c r="F142" s="141">
        <f>IFERROR(__xludf.DUMMYFUNCTION("""COMPUTED_VALUE"""),91.48)</f>
        <v/>
      </c>
      <c r="G142" s="143">
        <f>IFERROR(__xludf.DUMMYFUNCTION("""COMPUTED_VALUE"""),6189724)</f>
        <v/>
      </c>
      <c r="H142" s="27" t="n"/>
    </row>
    <row r="143" ht="17.25" customHeight="1" s="322">
      <c r="A143" s="27" t="n"/>
      <c r="B143" s="506">
        <f>IFERROR(__xludf.DUMMYFUNCTION("""COMPUTED_VALUE"""),46035.6666666666)</f>
        <v/>
      </c>
      <c r="C143" s="141">
        <f>IFERROR(__xludf.DUMMYFUNCTION("""COMPUTED_VALUE"""),91.49)</f>
        <v/>
      </c>
      <c r="D143" s="141">
        <f>IFERROR(__xludf.DUMMYFUNCTION("""COMPUTED_VALUE"""),91.5)</f>
        <v/>
      </c>
      <c r="E143" s="141">
        <f>IFERROR(__xludf.DUMMYFUNCTION("""COMPUTED_VALUE"""),91.49)</f>
        <v/>
      </c>
      <c r="F143" s="141">
        <f>IFERROR(__xludf.DUMMYFUNCTION("""COMPUTED_VALUE"""),91.49)</f>
        <v/>
      </c>
      <c r="G143" s="143">
        <f>IFERROR(__xludf.DUMMYFUNCTION("""COMPUTED_VALUE"""),7777437)</f>
        <v/>
      </c>
      <c r="H143" s="27" t="n"/>
    </row>
    <row r="144" ht="17.25" customHeight="1" s="322">
      <c r="A144" s="27" t="n"/>
      <c r="B144" s="506">
        <f>IFERROR(__xludf.DUMMYFUNCTION("""COMPUTED_VALUE"""),46036.6666666666)</f>
        <v/>
      </c>
      <c r="C144" s="141">
        <f>IFERROR(__xludf.DUMMYFUNCTION("""COMPUTED_VALUE"""),91.5)</f>
        <v/>
      </c>
      <c r="D144" s="141">
        <f>IFERROR(__xludf.DUMMYFUNCTION("""COMPUTED_VALUE"""),91.5)</f>
        <v/>
      </c>
      <c r="E144" s="141">
        <f>IFERROR(__xludf.DUMMYFUNCTION("""COMPUTED_VALUE"""),91.49)</f>
        <v/>
      </c>
      <c r="F144" s="141">
        <f>IFERROR(__xludf.DUMMYFUNCTION("""COMPUTED_VALUE"""),91.5)</f>
        <v/>
      </c>
      <c r="G144" s="143">
        <f>IFERROR(__xludf.DUMMYFUNCTION("""COMPUTED_VALUE"""),8005885)</f>
        <v/>
      </c>
      <c r="H144" s="27" t="n"/>
    </row>
    <row r="145" ht="17.25" customHeight="1" s="322">
      <c r="A145" s="27" t="n"/>
      <c r="B145" s="506">
        <f>IFERROR(__xludf.DUMMYFUNCTION("""COMPUTED_VALUE"""),46037.6666666666)</f>
        <v/>
      </c>
      <c r="C145" s="141">
        <f>IFERROR(__xludf.DUMMYFUNCTION("""COMPUTED_VALUE"""),91.51)</f>
        <v/>
      </c>
      <c r="D145" s="141">
        <f>IFERROR(__xludf.DUMMYFUNCTION("""COMPUTED_VALUE"""),91.51)</f>
        <v/>
      </c>
      <c r="E145" s="141">
        <f>IFERROR(__xludf.DUMMYFUNCTION("""COMPUTED_VALUE"""),91.5)</f>
        <v/>
      </c>
      <c r="F145" s="141">
        <f>IFERROR(__xludf.DUMMYFUNCTION("""COMPUTED_VALUE"""),91.5)</f>
        <v/>
      </c>
      <c r="G145" s="143">
        <f>IFERROR(__xludf.DUMMYFUNCTION("""COMPUTED_VALUE"""),8938430)</f>
        <v/>
      </c>
      <c r="H145" s="27" t="n"/>
    </row>
    <row r="146" ht="17.25" customHeight="1" s="322">
      <c r="A146" s="27" t="n"/>
      <c r="B146" s="506">
        <f>IFERROR(__xludf.DUMMYFUNCTION("""COMPUTED_VALUE"""),46038.6666666666)</f>
        <v/>
      </c>
      <c r="C146" s="141">
        <f>IFERROR(__xludf.DUMMYFUNCTION("""COMPUTED_VALUE"""),91.54)</f>
        <v/>
      </c>
      <c r="D146" s="141">
        <f>IFERROR(__xludf.DUMMYFUNCTION("""COMPUTED_VALUE"""),91.54)</f>
        <v/>
      </c>
      <c r="E146" s="141">
        <f>IFERROR(__xludf.DUMMYFUNCTION("""COMPUTED_VALUE"""),91.54)</f>
        <v/>
      </c>
      <c r="F146" s="141">
        <f>IFERROR(__xludf.DUMMYFUNCTION("""COMPUTED_VALUE"""),91.54)</f>
        <v/>
      </c>
      <c r="G146" s="143">
        <f>IFERROR(__xludf.DUMMYFUNCTION("""COMPUTED_VALUE"""),7648170)</f>
        <v/>
      </c>
      <c r="H146" s="27" t="n"/>
    </row>
    <row r="147" ht="17.25" customHeight="1" s="322">
      <c r="A147" s="27" t="n"/>
      <c r="B147" s="506">
        <f>IFERROR(__xludf.DUMMYFUNCTION("""COMPUTED_VALUE"""),46042.6666666666)</f>
        <v/>
      </c>
      <c r="C147" s="141">
        <f>IFERROR(__xludf.DUMMYFUNCTION("""COMPUTED_VALUE"""),91.55)</f>
        <v/>
      </c>
      <c r="D147" s="141">
        <f>IFERROR(__xludf.DUMMYFUNCTION("""COMPUTED_VALUE"""),91.56)</f>
        <v/>
      </c>
      <c r="E147" s="141">
        <f>IFERROR(__xludf.DUMMYFUNCTION("""COMPUTED_VALUE"""),91.54)</f>
        <v/>
      </c>
      <c r="F147" s="141">
        <f>IFERROR(__xludf.DUMMYFUNCTION("""COMPUTED_VALUE"""),91.54)</f>
        <v/>
      </c>
      <c r="G147" s="143">
        <f>IFERROR(__xludf.DUMMYFUNCTION("""COMPUTED_VALUE"""),9335066)</f>
        <v/>
      </c>
      <c r="H147" s="27" t="n"/>
    </row>
    <row r="148" ht="17.25" customHeight="1" s="322">
      <c r="A148" s="27" t="n"/>
      <c r="B148" s="506">
        <f>IFERROR(__xludf.DUMMYFUNCTION("""COMPUTED_VALUE"""),46043.6666666666)</f>
        <v/>
      </c>
      <c r="C148" s="141">
        <f>IFERROR(__xludf.DUMMYFUNCTION("""COMPUTED_VALUE"""),91.56)</f>
        <v/>
      </c>
      <c r="D148" s="141">
        <f>IFERROR(__xludf.DUMMYFUNCTION("""COMPUTED_VALUE"""),91.56)</f>
        <v/>
      </c>
      <c r="E148" s="141">
        <f>IFERROR(__xludf.DUMMYFUNCTION("""COMPUTED_VALUE"""),91.55)</f>
        <v/>
      </c>
      <c r="F148" s="141">
        <f>IFERROR(__xludf.DUMMYFUNCTION("""COMPUTED_VALUE"""),91.55)</f>
        <v/>
      </c>
      <c r="G148" s="143">
        <f>IFERROR(__xludf.DUMMYFUNCTION("""COMPUTED_VALUE"""),8153822)</f>
        <v/>
      </c>
      <c r="H148" s="27" t="n"/>
    </row>
    <row r="149" ht="17.25" customHeight="1" s="322">
      <c r="A149" s="27" t="n"/>
      <c r="B149" s="506">
        <f>IFERROR(__xludf.DUMMYFUNCTION("""COMPUTED_VALUE"""),46044.6666666666)</f>
        <v/>
      </c>
      <c r="C149" s="141">
        <f>IFERROR(__xludf.DUMMYFUNCTION("""COMPUTED_VALUE"""),91.57)</f>
        <v/>
      </c>
      <c r="D149" s="141">
        <f>IFERROR(__xludf.DUMMYFUNCTION("""COMPUTED_VALUE"""),91.57)</f>
        <v/>
      </c>
      <c r="E149" s="141">
        <f>IFERROR(__xludf.DUMMYFUNCTION("""COMPUTED_VALUE"""),91.56)</f>
        <v/>
      </c>
      <c r="F149" s="141">
        <f>IFERROR(__xludf.DUMMYFUNCTION("""COMPUTED_VALUE"""),91.56)</f>
        <v/>
      </c>
      <c r="G149" s="143">
        <f>IFERROR(__xludf.DUMMYFUNCTION("""COMPUTED_VALUE"""),7679160)</f>
        <v/>
      </c>
      <c r="H149" s="27" t="n"/>
    </row>
    <row r="150" ht="17.25" customHeight="1" s="322">
      <c r="A150" s="27" t="n"/>
      <c r="B150" s="506">
        <f>IFERROR(__xludf.DUMMYFUNCTION("""COMPUTED_VALUE"""),46045.6666666666)</f>
        <v/>
      </c>
      <c r="C150" s="141">
        <f>IFERROR(__xludf.DUMMYFUNCTION("""COMPUTED_VALUE"""),91.59)</f>
        <v/>
      </c>
      <c r="D150" s="141">
        <f>IFERROR(__xludf.DUMMYFUNCTION("""COMPUTED_VALUE"""),91.6)</f>
        <v/>
      </c>
      <c r="E150" s="141">
        <f>IFERROR(__xludf.DUMMYFUNCTION("""COMPUTED_VALUE"""),91.59)</f>
        <v/>
      </c>
      <c r="F150" s="141">
        <f>IFERROR(__xludf.DUMMYFUNCTION("""COMPUTED_VALUE"""),91.59)</f>
        <v/>
      </c>
      <c r="G150" s="143">
        <f>IFERROR(__xludf.DUMMYFUNCTION("""COMPUTED_VALUE"""),8147658)</f>
        <v/>
      </c>
      <c r="H150" s="27" t="n"/>
    </row>
    <row r="151" ht="17.25" customHeight="1" s="322">
      <c r="A151" s="27" t="n"/>
      <c r="B151" s="506">
        <f>IFERROR(__xludf.DUMMYFUNCTION("""COMPUTED_VALUE"""),46048.6666666666)</f>
        <v/>
      </c>
      <c r="C151" s="141">
        <f>IFERROR(__xludf.DUMMYFUNCTION("""COMPUTED_VALUE"""),91.6)</f>
        <v/>
      </c>
      <c r="D151" s="141">
        <f>IFERROR(__xludf.DUMMYFUNCTION("""COMPUTED_VALUE"""),91.61)</f>
        <v/>
      </c>
      <c r="E151" s="141">
        <f>IFERROR(__xludf.DUMMYFUNCTION("""COMPUTED_VALUE"""),91.59)</f>
        <v/>
      </c>
      <c r="F151" s="141">
        <f>IFERROR(__xludf.DUMMYFUNCTION("""COMPUTED_VALUE"""),91.59)</f>
        <v/>
      </c>
      <c r="G151" s="143">
        <f>IFERROR(__xludf.DUMMYFUNCTION("""COMPUTED_VALUE"""),10052839)</f>
        <v/>
      </c>
      <c r="H151" s="27" t="n"/>
    </row>
    <row r="152" ht="17.25" customHeight="1" s="322">
      <c r="A152" s="27" t="n"/>
      <c r="B152" s="506">
        <f>IFERROR(__xludf.DUMMYFUNCTION("""COMPUTED_VALUE"""),46049.6666666666)</f>
        <v/>
      </c>
      <c r="C152" s="141">
        <f>IFERROR(__xludf.DUMMYFUNCTION("""COMPUTED_VALUE"""),91.6)</f>
        <v/>
      </c>
      <c r="D152" s="141">
        <f>IFERROR(__xludf.DUMMYFUNCTION("""COMPUTED_VALUE"""),91.61)</f>
        <v/>
      </c>
      <c r="E152" s="141">
        <f>IFERROR(__xludf.DUMMYFUNCTION("""COMPUTED_VALUE"""),91.6)</f>
        <v/>
      </c>
      <c r="F152" s="141">
        <f>IFERROR(__xludf.DUMMYFUNCTION("""COMPUTED_VALUE"""),91.6)</f>
        <v/>
      </c>
      <c r="G152" s="143">
        <f>IFERROR(__xludf.DUMMYFUNCTION("""COMPUTED_VALUE"""),8178351)</f>
        <v/>
      </c>
      <c r="H152" s="27" t="n"/>
    </row>
    <row r="153" ht="17.25" customHeight="1" s="322">
      <c r="A153" s="27" t="n"/>
      <c r="B153" s="506">
        <f>IFERROR(__xludf.DUMMYFUNCTION("""COMPUTED_VALUE"""),46050.6666666666)</f>
        <v/>
      </c>
      <c r="C153" s="141">
        <f>IFERROR(__xludf.DUMMYFUNCTION("""COMPUTED_VALUE"""),91.61)</f>
        <v/>
      </c>
      <c r="D153" s="141">
        <f>IFERROR(__xludf.DUMMYFUNCTION("""COMPUTED_VALUE"""),91.62)</f>
        <v/>
      </c>
      <c r="E153" s="141">
        <f>IFERROR(__xludf.DUMMYFUNCTION("""COMPUTED_VALUE"""),91.61)</f>
        <v/>
      </c>
      <c r="F153" s="141">
        <f>IFERROR(__xludf.DUMMYFUNCTION("""COMPUTED_VALUE"""),91.61)</f>
        <v/>
      </c>
      <c r="G153" s="143">
        <f>IFERROR(__xludf.DUMMYFUNCTION("""COMPUTED_VALUE"""),6265487)</f>
        <v/>
      </c>
      <c r="H153" s="27" t="n"/>
    </row>
    <row r="154" ht="17.25" customHeight="1" s="322">
      <c r="A154" s="27" t="n"/>
      <c r="B154" s="506">
        <f>IFERROR(__xludf.DUMMYFUNCTION("""COMPUTED_VALUE"""),46051.6666666666)</f>
        <v/>
      </c>
      <c r="C154" s="141">
        <f>IFERROR(__xludf.DUMMYFUNCTION("""COMPUTED_VALUE"""),91.62)</f>
        <v/>
      </c>
      <c r="D154" s="141">
        <f>IFERROR(__xludf.DUMMYFUNCTION("""COMPUTED_VALUE"""),91.63)</f>
        <v/>
      </c>
      <c r="E154" s="141">
        <f>IFERROR(__xludf.DUMMYFUNCTION("""COMPUTED_VALUE"""),91.62)</f>
        <v/>
      </c>
      <c r="F154" s="141">
        <f>IFERROR(__xludf.DUMMYFUNCTION("""COMPUTED_VALUE"""),91.63)</f>
        <v/>
      </c>
      <c r="G154" s="143">
        <f>IFERROR(__xludf.DUMMYFUNCTION("""COMPUTED_VALUE"""),10237344)</f>
        <v/>
      </c>
      <c r="H154" s="27" t="n"/>
    </row>
    <row r="155" ht="17.25" customHeight="1" s="322">
      <c r="A155" s="27" t="n"/>
      <c r="B155" s="506">
        <f>IFERROR(__xludf.DUMMYFUNCTION("""COMPUTED_VALUE"""),46052.6666666666)</f>
        <v/>
      </c>
      <c r="C155" s="141">
        <f>IFERROR(__xludf.DUMMYFUNCTION("""COMPUTED_VALUE"""),91.64)</f>
        <v/>
      </c>
      <c r="D155" s="141">
        <f>IFERROR(__xludf.DUMMYFUNCTION("""COMPUTED_VALUE"""),91.65)</f>
        <v/>
      </c>
      <c r="E155" s="141">
        <f>IFERROR(__xludf.DUMMYFUNCTION("""COMPUTED_VALUE"""),91.64)</f>
        <v/>
      </c>
      <c r="F155" s="141">
        <f>IFERROR(__xludf.DUMMYFUNCTION("""COMPUTED_VALUE"""),91.65)</f>
        <v/>
      </c>
      <c r="G155" s="143">
        <f>IFERROR(__xludf.DUMMYFUNCTION("""COMPUTED_VALUE"""),14545830)</f>
        <v/>
      </c>
      <c r="H155" s="27" t="n"/>
    </row>
    <row r="156" ht="17.25" customHeight="1" s="322">
      <c r="A156" s="27" t="n"/>
      <c r="B156" s="506">
        <f>IFERROR(__xludf.DUMMYFUNCTION("""COMPUTED_VALUE"""),46055.6666666666)</f>
        <v/>
      </c>
      <c r="C156" s="141">
        <f>IFERROR(__xludf.DUMMYFUNCTION("""COMPUTED_VALUE"""),91.39)</f>
        <v/>
      </c>
      <c r="D156" s="141">
        <f>IFERROR(__xludf.DUMMYFUNCTION("""COMPUTED_VALUE"""),91.39)</f>
        <v/>
      </c>
      <c r="E156" s="141">
        <f>IFERROR(__xludf.DUMMYFUNCTION("""COMPUTED_VALUE"""),91.38)</f>
        <v/>
      </c>
      <c r="F156" s="141">
        <f>IFERROR(__xludf.DUMMYFUNCTION("""COMPUTED_VALUE"""),91.39)</f>
        <v/>
      </c>
      <c r="G156" s="143">
        <f>IFERROR(__xludf.DUMMYFUNCTION("""COMPUTED_VALUE"""),21391673)</f>
        <v/>
      </c>
      <c r="H156" s="27" t="n"/>
    </row>
    <row r="157" ht="17.25" customHeight="1" s="322">
      <c r="A157" s="27" t="n"/>
      <c r="B157" s="506">
        <f>IFERROR(__xludf.DUMMYFUNCTION("""COMPUTED_VALUE"""),46056.6666666666)</f>
        <v/>
      </c>
      <c r="C157" s="141">
        <f>IFERROR(__xludf.DUMMYFUNCTION("""COMPUTED_VALUE"""),91.39)</f>
        <v/>
      </c>
      <c r="D157" s="141">
        <f>IFERROR(__xludf.DUMMYFUNCTION("""COMPUTED_VALUE"""),91.4)</f>
        <v/>
      </c>
      <c r="E157" s="141">
        <f>IFERROR(__xludf.DUMMYFUNCTION("""COMPUTED_VALUE"""),91.39)</f>
        <v/>
      </c>
      <c r="F157" s="141">
        <f>IFERROR(__xludf.DUMMYFUNCTION("""COMPUTED_VALUE"""),91.39)</f>
        <v/>
      </c>
      <c r="G157" s="143">
        <f>IFERROR(__xludf.DUMMYFUNCTION("""COMPUTED_VALUE"""),11836069)</f>
        <v/>
      </c>
      <c r="H157" s="27" t="n"/>
    </row>
    <row r="158" ht="17.25" customHeight="1" s="322">
      <c r="A158" s="27" t="n"/>
      <c r="B158" s="506">
        <f>IFERROR(__xludf.DUMMYFUNCTION("""COMPUTED_VALUE"""),46057.6666666666)</f>
        <v/>
      </c>
      <c r="C158" s="141">
        <f>IFERROR(__xludf.DUMMYFUNCTION("""COMPUTED_VALUE"""),91.4)</f>
        <v/>
      </c>
      <c r="D158" s="141">
        <f>IFERROR(__xludf.DUMMYFUNCTION("""COMPUTED_VALUE"""),91.41)</f>
        <v/>
      </c>
      <c r="E158" s="141">
        <f>IFERROR(__xludf.DUMMYFUNCTION("""COMPUTED_VALUE"""),91.4)</f>
        <v/>
      </c>
      <c r="F158" s="141">
        <f>IFERROR(__xludf.DUMMYFUNCTION("""COMPUTED_VALUE"""),91.41)</f>
        <v/>
      </c>
      <c r="G158" s="143">
        <f>IFERROR(__xludf.DUMMYFUNCTION("""COMPUTED_VALUE"""),9216570)</f>
        <v/>
      </c>
      <c r="H158" s="27" t="n"/>
    </row>
    <row r="159" ht="17.25" customHeight="1" s="322">
      <c r="A159" s="27" t="n"/>
      <c r="B159" s="506">
        <f>IFERROR(__xludf.DUMMYFUNCTION("""COMPUTED_VALUE"""),46058.6666666666)</f>
        <v/>
      </c>
      <c r="C159" s="141">
        <f>IFERROR(__xludf.DUMMYFUNCTION("""COMPUTED_VALUE"""),91.41)</f>
        <v/>
      </c>
      <c r="D159" s="141">
        <f>IFERROR(__xludf.DUMMYFUNCTION("""COMPUTED_VALUE"""),91.42)</f>
        <v/>
      </c>
      <c r="E159" s="141">
        <f>IFERROR(__xludf.DUMMYFUNCTION("""COMPUTED_VALUE"""),91.41)</f>
        <v/>
      </c>
      <c r="F159" s="141">
        <f>IFERROR(__xludf.DUMMYFUNCTION("""COMPUTED_VALUE"""),91.41)</f>
        <v/>
      </c>
      <c r="G159" s="143">
        <f>IFERROR(__xludf.DUMMYFUNCTION("""COMPUTED_VALUE"""),9393922)</f>
        <v/>
      </c>
      <c r="H159" s="27" t="n"/>
    </row>
    <row r="160" ht="17.25" customHeight="1" s="322">
      <c r="A160" s="27" t="n"/>
      <c r="B160" s="506">
        <f>IFERROR(__xludf.DUMMYFUNCTION("""COMPUTED_VALUE"""),46059.6666666666)</f>
        <v/>
      </c>
      <c r="C160" s="141">
        <f>IFERROR(__xludf.DUMMYFUNCTION("""COMPUTED_VALUE"""),91.44)</f>
        <v/>
      </c>
      <c r="D160" s="141">
        <f>IFERROR(__xludf.DUMMYFUNCTION("""COMPUTED_VALUE"""),91.44)</f>
        <v/>
      </c>
      <c r="E160" s="141">
        <f>IFERROR(__xludf.DUMMYFUNCTION("""COMPUTED_VALUE"""),91.44)</f>
        <v/>
      </c>
      <c r="F160" s="141">
        <f>IFERROR(__xludf.DUMMYFUNCTION("""COMPUTED_VALUE"""),91.44)</f>
        <v/>
      </c>
      <c r="G160" s="143">
        <f>IFERROR(__xludf.DUMMYFUNCTION("""COMPUTED_VALUE"""),12369829)</f>
        <v/>
      </c>
      <c r="H160" s="27" t="n"/>
    </row>
    <row r="161" ht="17.25" customHeight="1" s="322">
      <c r="A161" s="27" t="n"/>
      <c r="B161" s="506">
        <f>IFERROR(__xludf.DUMMYFUNCTION("""COMPUTED_VALUE"""),46062.6666666666)</f>
        <v/>
      </c>
      <c r="C161" s="141">
        <f>IFERROR(__xludf.DUMMYFUNCTION("""COMPUTED_VALUE"""),91.44)</f>
        <v/>
      </c>
      <c r="D161" s="141">
        <f>IFERROR(__xludf.DUMMYFUNCTION("""COMPUTED_VALUE"""),91.45)</f>
        <v/>
      </c>
      <c r="E161" s="141">
        <f>IFERROR(__xludf.DUMMYFUNCTION("""COMPUTED_VALUE"""),91.44)</f>
        <v/>
      </c>
      <c r="F161" s="141">
        <f>IFERROR(__xludf.DUMMYFUNCTION("""COMPUTED_VALUE"""),91.44)</f>
        <v/>
      </c>
      <c r="G161" s="143">
        <f>IFERROR(__xludf.DUMMYFUNCTION("""COMPUTED_VALUE"""),9180305)</f>
        <v/>
      </c>
      <c r="H161" s="27" t="n"/>
    </row>
    <row r="162" ht="17.25" customHeight="1" s="322">
      <c r="A162" s="27" t="n"/>
      <c r="B162" s="506">
        <f>IFERROR(__xludf.DUMMYFUNCTION("""COMPUTED_VALUE"""),46063.6666666666)</f>
        <v/>
      </c>
      <c r="C162" s="141">
        <f>IFERROR(__xludf.DUMMYFUNCTION("""COMPUTED_VALUE"""),91.46)</f>
        <v/>
      </c>
      <c r="D162" s="141">
        <f>IFERROR(__xludf.DUMMYFUNCTION("""COMPUTED_VALUE"""),91.46)</f>
        <v/>
      </c>
      <c r="E162" s="141">
        <f>IFERROR(__xludf.DUMMYFUNCTION("""COMPUTED_VALUE"""),91.45)</f>
        <v/>
      </c>
      <c r="F162" s="141">
        <f>IFERROR(__xludf.DUMMYFUNCTION("""COMPUTED_VALUE"""),91.45)</f>
        <v/>
      </c>
      <c r="G162" s="143">
        <f>IFERROR(__xludf.DUMMYFUNCTION("""COMPUTED_VALUE"""),7085342)</f>
        <v/>
      </c>
      <c r="H162" s="27" t="n"/>
    </row>
    <row r="163" ht="17.25" customHeight="1" s="322">
      <c r="A163" s="27" t="n"/>
      <c r="B163" s="506">
        <f>IFERROR(__xludf.DUMMYFUNCTION("""COMPUTED_VALUE"""),46064.6666666666)</f>
        <v/>
      </c>
      <c r="C163" s="141">
        <f>IFERROR(__xludf.DUMMYFUNCTION("""COMPUTED_VALUE"""),91.46)</f>
        <v/>
      </c>
      <c r="D163" s="141">
        <f>IFERROR(__xludf.DUMMYFUNCTION("""COMPUTED_VALUE"""),91.47)</f>
        <v/>
      </c>
      <c r="E163" s="141">
        <f>IFERROR(__xludf.DUMMYFUNCTION("""COMPUTED_VALUE"""),91.46)</f>
        <v/>
      </c>
      <c r="F163" s="141">
        <f>IFERROR(__xludf.DUMMYFUNCTION("""COMPUTED_VALUE"""),91.47)</f>
        <v/>
      </c>
      <c r="G163" s="143">
        <f>IFERROR(__xludf.DUMMYFUNCTION("""COMPUTED_VALUE"""),5732270)</f>
        <v/>
      </c>
      <c r="H163" s="27" t="n"/>
    </row>
    <row r="164" ht="17.25" customHeight="1" s="322">
      <c r="A164" s="27" t="n"/>
      <c r="B164" s="506">
        <f>IFERROR(__xludf.DUMMYFUNCTION("""COMPUTED_VALUE"""),46065.6666666666)</f>
        <v/>
      </c>
      <c r="C164" s="141">
        <f>IFERROR(__xludf.DUMMYFUNCTION("""COMPUTED_VALUE"""),91.48)</f>
        <v/>
      </c>
      <c r="D164" s="141">
        <f>IFERROR(__xludf.DUMMYFUNCTION("""COMPUTED_VALUE"""),91.48)</f>
        <v/>
      </c>
      <c r="E164" s="141">
        <f>IFERROR(__xludf.DUMMYFUNCTION("""COMPUTED_VALUE"""),91.47)</f>
        <v/>
      </c>
      <c r="F164" s="141">
        <f>IFERROR(__xludf.DUMMYFUNCTION("""COMPUTED_VALUE"""),91.47)</f>
        <v/>
      </c>
      <c r="G164" s="143">
        <f>IFERROR(__xludf.DUMMYFUNCTION("""COMPUTED_VALUE"""),6366270)</f>
        <v/>
      </c>
      <c r="H164" s="27" t="n"/>
    </row>
    <row r="165" ht="17.25" customHeight="1" s="322">
      <c r="A165" s="27" t="n"/>
      <c r="B165" s="506">
        <f>IFERROR(__xludf.DUMMYFUNCTION("""COMPUTED_VALUE"""),46066.6666666666)</f>
        <v/>
      </c>
      <c r="C165" s="141">
        <f>IFERROR(__xludf.DUMMYFUNCTION("""COMPUTED_VALUE"""),91.5)</f>
        <v/>
      </c>
      <c r="D165" s="141">
        <f>IFERROR(__xludf.DUMMYFUNCTION("""COMPUTED_VALUE"""),91.51)</f>
        <v/>
      </c>
      <c r="E165" s="141">
        <f>IFERROR(__xludf.DUMMYFUNCTION("""COMPUTED_VALUE"""),91.5)</f>
        <v/>
      </c>
      <c r="F165" s="141">
        <f>IFERROR(__xludf.DUMMYFUNCTION("""COMPUTED_VALUE"""),91.51)</f>
        <v/>
      </c>
      <c r="G165" s="143">
        <f>IFERROR(__xludf.DUMMYFUNCTION("""COMPUTED_VALUE"""),9832514)</f>
        <v/>
      </c>
      <c r="H165" s="27" t="n"/>
    </row>
    <row r="166" ht="17.25" customHeight="1" s="322">
      <c r="A166" s="27" t="n"/>
      <c r="B166" s="506">
        <f>IFERROR(__xludf.DUMMYFUNCTION("""COMPUTED_VALUE"""),46070.6666666666)</f>
        <v/>
      </c>
      <c r="C166" s="141">
        <f>IFERROR(__xludf.DUMMYFUNCTION("""COMPUTED_VALUE"""),91.52)</f>
        <v/>
      </c>
      <c r="D166" s="141">
        <f>IFERROR(__xludf.DUMMYFUNCTION("""COMPUTED_VALUE"""),91.52)</f>
        <v/>
      </c>
      <c r="E166" s="141">
        <f>IFERROR(__xludf.DUMMYFUNCTION("""COMPUTED_VALUE"""),91.51)</f>
        <v/>
      </c>
      <c r="F166" s="141">
        <f>IFERROR(__xludf.DUMMYFUNCTION("""COMPUTED_VALUE"""),91.52)</f>
        <v/>
      </c>
      <c r="G166" s="143">
        <f>IFERROR(__xludf.DUMMYFUNCTION("""COMPUTED_VALUE"""),6709963)</f>
        <v/>
      </c>
      <c r="H166" s="27" t="n"/>
    </row>
    <row r="167" ht="17.25" customHeight="1" s="322">
      <c r="A167" s="27" t="n"/>
      <c r="B167" s="506">
        <f>IFERROR(__xludf.DUMMYFUNCTION("""COMPUTED_VALUE"""),46071.6666666666)</f>
        <v/>
      </c>
      <c r="C167" s="141">
        <f>IFERROR(__xludf.DUMMYFUNCTION("""COMPUTED_VALUE"""),91.52)</f>
        <v/>
      </c>
      <c r="D167" s="141">
        <f>IFERROR(__xludf.DUMMYFUNCTION("""COMPUTED_VALUE"""),91.53)</f>
        <v/>
      </c>
      <c r="E167" s="141">
        <f>IFERROR(__xludf.DUMMYFUNCTION("""COMPUTED_VALUE"""),91.52)</f>
        <v/>
      </c>
      <c r="F167" s="141">
        <f>IFERROR(__xludf.DUMMYFUNCTION("""COMPUTED_VALUE"""),91.53)</f>
        <v/>
      </c>
      <c r="G167" s="143">
        <f>IFERROR(__xludf.DUMMYFUNCTION("""COMPUTED_VALUE"""),8752803)</f>
        <v/>
      </c>
      <c r="H167" s="27" t="n"/>
    </row>
    <row r="168" ht="17.25" customHeight="1" s="322">
      <c r="A168" s="27" t="n"/>
      <c r="B168" s="506">
        <f>IFERROR(__xludf.DUMMYFUNCTION("""COMPUTED_VALUE"""),46072.6666666666)</f>
        <v/>
      </c>
      <c r="C168" s="141">
        <f>IFERROR(__xludf.DUMMYFUNCTION("""COMPUTED_VALUE"""),91.53)</f>
        <v/>
      </c>
      <c r="D168" s="141">
        <f>IFERROR(__xludf.DUMMYFUNCTION("""COMPUTED_VALUE"""),91.54)</f>
        <v/>
      </c>
      <c r="E168" s="141">
        <f>IFERROR(__xludf.DUMMYFUNCTION("""COMPUTED_VALUE"""),91.53)</f>
        <v/>
      </c>
      <c r="F168" s="141">
        <f>IFERROR(__xludf.DUMMYFUNCTION("""COMPUTED_VALUE"""),91.53)</f>
        <v/>
      </c>
      <c r="G168" s="143">
        <f>IFERROR(__xludf.DUMMYFUNCTION("""COMPUTED_VALUE"""),4941787)</f>
        <v/>
      </c>
      <c r="H168" s="27" t="n"/>
    </row>
    <row r="169" ht="17.25" customHeight="1" s="322">
      <c r="A169" s="27" t="n"/>
      <c r="B169" s="506">
        <f>IFERROR(__xludf.DUMMYFUNCTION("""COMPUTED_VALUE"""),46073.6666666666)</f>
        <v/>
      </c>
      <c r="C169" s="141">
        <f>IFERROR(__xludf.DUMMYFUNCTION("""COMPUTED_VALUE"""),91.57)</f>
        <v/>
      </c>
      <c r="D169" s="141">
        <f>IFERROR(__xludf.DUMMYFUNCTION("""COMPUTED_VALUE"""),91.57)</f>
        <v/>
      </c>
      <c r="E169" s="141">
        <f>IFERROR(__xludf.DUMMYFUNCTION("""COMPUTED_VALUE"""),91.56)</f>
        <v/>
      </c>
      <c r="F169" s="141">
        <f>IFERROR(__xludf.DUMMYFUNCTION("""COMPUTED_VALUE"""),91.56)</f>
        <v/>
      </c>
      <c r="G169" s="143">
        <f>IFERROR(__xludf.DUMMYFUNCTION("""COMPUTED_VALUE"""),6518152)</f>
        <v/>
      </c>
      <c r="H169" s="27" t="n"/>
    </row>
    <row r="170" ht="17.25" customHeight="1" s="322">
      <c r="A170" s="27" t="n"/>
      <c r="B170" s="506">
        <f>IFERROR(__xludf.DUMMYFUNCTION("""COMPUTED_VALUE"""),46076.6666666666)</f>
        <v/>
      </c>
      <c r="C170" s="141">
        <f>IFERROR(__xludf.DUMMYFUNCTION("""COMPUTED_VALUE"""),91.57)</f>
        <v/>
      </c>
      <c r="D170" s="141">
        <f>IFERROR(__xludf.DUMMYFUNCTION("""COMPUTED_VALUE"""),91.57)</f>
        <v/>
      </c>
      <c r="E170" s="141">
        <f>IFERROR(__xludf.DUMMYFUNCTION("""COMPUTED_VALUE"""),91.56)</f>
        <v/>
      </c>
      <c r="F170" s="141">
        <f>IFERROR(__xludf.DUMMYFUNCTION("""COMPUTED_VALUE"""),91.56)</f>
        <v/>
      </c>
      <c r="G170" s="143">
        <f>IFERROR(__xludf.DUMMYFUNCTION("""COMPUTED_VALUE"""),7488198)</f>
        <v/>
      </c>
      <c r="H170" s="27" t="n"/>
    </row>
    <row r="171" ht="17.25" customHeight="1" s="322">
      <c r="A171" s="27" t="n"/>
      <c r="B171" s="506">
        <f>IFERROR(__xludf.DUMMYFUNCTION("""COMPUTED_VALUE"""),46077.6666666666)</f>
        <v/>
      </c>
      <c r="C171" s="141">
        <f>IFERROR(__xludf.DUMMYFUNCTION("""COMPUTED_VALUE"""),91.58)</f>
        <v/>
      </c>
      <c r="D171" s="141">
        <f>IFERROR(__xludf.DUMMYFUNCTION("""COMPUTED_VALUE"""),91.58)</f>
        <v/>
      </c>
      <c r="E171" s="141">
        <f>IFERROR(__xludf.DUMMYFUNCTION("""COMPUTED_VALUE"""),91.57)</f>
        <v/>
      </c>
      <c r="F171" s="141">
        <f>IFERROR(__xludf.DUMMYFUNCTION("""COMPUTED_VALUE"""),91.58)</f>
        <v/>
      </c>
      <c r="G171" s="143">
        <f>IFERROR(__xludf.DUMMYFUNCTION("""COMPUTED_VALUE"""),5346545)</f>
        <v/>
      </c>
      <c r="H171" s="27" t="n"/>
    </row>
    <row r="172" ht="17.25" customHeight="1" s="322">
      <c r="A172" s="27" t="n"/>
      <c r="B172" s="506">
        <f>IFERROR(__xludf.DUMMYFUNCTION("""COMPUTED_VALUE"""),46078.6666666666)</f>
        <v/>
      </c>
      <c r="C172" s="141">
        <f>IFERROR(__xludf.DUMMYFUNCTION("""COMPUTED_VALUE"""),91.59)</f>
        <v/>
      </c>
      <c r="D172" s="141">
        <f>IFERROR(__xludf.DUMMYFUNCTION("""COMPUTED_VALUE"""),91.59)</f>
        <v/>
      </c>
      <c r="E172" s="141">
        <f>IFERROR(__xludf.DUMMYFUNCTION("""COMPUTED_VALUE"""),91.58)</f>
        <v/>
      </c>
      <c r="F172" s="141">
        <f>IFERROR(__xludf.DUMMYFUNCTION("""COMPUTED_VALUE"""),91.59)</f>
        <v/>
      </c>
      <c r="G172" s="143">
        <f>IFERROR(__xludf.DUMMYFUNCTION("""COMPUTED_VALUE"""),5823872)</f>
        <v/>
      </c>
      <c r="H172" s="27" t="n"/>
    </row>
    <row r="173" ht="17.25" customHeight="1" s="322">
      <c r="A173" s="27" t="n"/>
      <c r="B173" s="506">
        <f>IFERROR(__xludf.DUMMYFUNCTION("""COMPUTED_VALUE"""),46079.6666666666)</f>
        <v/>
      </c>
      <c r="C173" s="141">
        <f>IFERROR(__xludf.DUMMYFUNCTION("""COMPUTED_VALUE"""),91.59)</f>
        <v/>
      </c>
      <c r="D173" s="141">
        <f>IFERROR(__xludf.DUMMYFUNCTION("""COMPUTED_VALUE"""),91.6)</f>
        <v/>
      </c>
      <c r="E173" s="141">
        <f>IFERROR(__xludf.DUMMYFUNCTION("""COMPUTED_VALUE"""),91.59)</f>
        <v/>
      </c>
      <c r="F173" s="141">
        <f>IFERROR(__xludf.DUMMYFUNCTION("""COMPUTED_VALUE"""),91.6)</f>
        <v/>
      </c>
      <c r="G173" s="143">
        <f>IFERROR(__xludf.DUMMYFUNCTION("""COMPUTED_VALUE"""),6322534)</f>
        <v/>
      </c>
      <c r="H173" s="27" t="n"/>
    </row>
    <row r="174" ht="17.25" customHeight="1" s="322">
      <c r="A174" s="27" t="n"/>
      <c r="B174" s="506">
        <f>IFERROR(__xludf.DUMMYFUNCTION("""COMPUTED_VALUE"""),46080.6666666666)</f>
        <v/>
      </c>
      <c r="C174" s="141">
        <f>IFERROR(__xludf.DUMMYFUNCTION("""COMPUTED_VALUE"""),91.62)</f>
        <v/>
      </c>
      <c r="D174" s="141">
        <f>IFERROR(__xludf.DUMMYFUNCTION("""COMPUTED_VALUE"""),91.63)</f>
        <v/>
      </c>
      <c r="E174" s="141">
        <f>IFERROR(__xludf.DUMMYFUNCTION("""COMPUTED_VALUE"""),91.62)</f>
        <v/>
      </c>
      <c r="F174" s="141">
        <f>IFERROR(__xludf.DUMMYFUNCTION("""COMPUTED_VALUE"""),91.62)</f>
        <v/>
      </c>
      <c r="G174" s="143">
        <f>IFERROR(__xludf.DUMMYFUNCTION("""COMPUTED_VALUE"""),11402015)</f>
        <v/>
      </c>
      <c r="H174" s="27" t="n"/>
    </row>
    <row r="175" ht="17.25" customHeight="1" s="322">
      <c r="A175" s="27" t="n"/>
      <c r="B175" s="506">
        <f>IFERROR(__xludf.DUMMYFUNCTION("""COMPUTED_VALUE"""),46083.6666666666)</f>
        <v/>
      </c>
      <c r="C175" s="141">
        <f>IFERROR(__xludf.DUMMYFUNCTION("""COMPUTED_VALUE"""),91.39)</f>
        <v/>
      </c>
      <c r="D175" s="141">
        <f>IFERROR(__xludf.DUMMYFUNCTION("""COMPUTED_VALUE"""),91.39)</f>
        <v/>
      </c>
      <c r="E175" s="141">
        <f>IFERROR(__xludf.DUMMYFUNCTION("""COMPUTED_VALUE"""),91.38)</f>
        <v/>
      </c>
      <c r="F175" s="141">
        <f>IFERROR(__xludf.DUMMYFUNCTION("""COMPUTED_VALUE"""),91.39)</f>
        <v/>
      </c>
      <c r="G175" s="143">
        <f>IFERROR(__xludf.DUMMYFUNCTION("""COMPUTED_VALUE"""),15229578)</f>
        <v/>
      </c>
      <c r="H175" s="27" t="n"/>
    </row>
    <row r="176" ht="17.25" customHeight="1" s="322">
      <c r="A176" s="27" t="n"/>
      <c r="B176" s="506">
        <f>IFERROR(__xludf.DUMMYFUNCTION("""COMPUTED_VALUE"""),46084.6666666666)</f>
        <v/>
      </c>
      <c r="C176" s="141">
        <f>IFERROR(__xludf.DUMMYFUNCTION("""COMPUTED_VALUE"""),91.4)</f>
        <v/>
      </c>
      <c r="D176" s="141">
        <f>IFERROR(__xludf.DUMMYFUNCTION("""COMPUTED_VALUE"""),91.4)</f>
        <v/>
      </c>
      <c r="E176" s="141">
        <f>IFERROR(__xludf.DUMMYFUNCTION("""COMPUTED_VALUE"""),91.39)</f>
        <v/>
      </c>
      <c r="F176" s="141">
        <f>IFERROR(__xludf.DUMMYFUNCTION("""COMPUTED_VALUE"""),91.4)</f>
        <v/>
      </c>
      <c r="G176" s="143">
        <f>IFERROR(__xludf.DUMMYFUNCTION("""COMPUTED_VALUE"""),11360114)</f>
        <v/>
      </c>
      <c r="H176" s="27" t="n"/>
    </row>
    <row r="177" ht="17.25" customHeight="1" s="322">
      <c r="A177" s="27" t="n"/>
      <c r="B177" s="506">
        <f>IFERROR(__xludf.DUMMYFUNCTION("""COMPUTED_VALUE"""),46085.6666666666)</f>
        <v/>
      </c>
      <c r="C177" s="141">
        <f>IFERROR(__xludf.DUMMYFUNCTION("""COMPUTED_VALUE"""),91.41)</f>
        <v/>
      </c>
      <c r="D177" s="141">
        <f>IFERROR(__xludf.DUMMYFUNCTION("""COMPUTED_VALUE"""),91.41)</f>
        <v/>
      </c>
      <c r="E177" s="141">
        <f>IFERROR(__xludf.DUMMYFUNCTION("""COMPUTED_VALUE"""),91.4)</f>
        <v/>
      </c>
      <c r="F177" s="141">
        <f>IFERROR(__xludf.DUMMYFUNCTION("""COMPUTED_VALUE"""),91.41)</f>
        <v/>
      </c>
      <c r="G177" s="143">
        <f>IFERROR(__xludf.DUMMYFUNCTION("""COMPUTED_VALUE"""),9745616)</f>
        <v/>
      </c>
      <c r="H177" s="27" t="n"/>
    </row>
    <row r="178" ht="17.25" customHeight="1" s="322">
      <c r="A178" s="27" t="n"/>
      <c r="B178" s="506">
        <f>IFERROR(__xludf.DUMMYFUNCTION("""COMPUTED_VALUE"""),46086.6666666666)</f>
        <v/>
      </c>
      <c r="C178" s="141">
        <f>IFERROR(__xludf.DUMMYFUNCTION("""COMPUTED_VALUE"""),91.42)</f>
        <v/>
      </c>
      <c r="D178" s="141">
        <f>IFERROR(__xludf.DUMMYFUNCTION("""COMPUTED_VALUE"""),91.42)</f>
        <v/>
      </c>
      <c r="E178" s="141">
        <f>IFERROR(__xludf.DUMMYFUNCTION("""COMPUTED_VALUE"""),91.41)</f>
        <v/>
      </c>
      <c r="F178" s="141">
        <f>IFERROR(__xludf.DUMMYFUNCTION("""COMPUTED_VALUE"""),91.42)</f>
        <v/>
      </c>
      <c r="G178" s="143">
        <f>IFERROR(__xludf.DUMMYFUNCTION("""COMPUTED_VALUE"""),9137353)</f>
        <v/>
      </c>
      <c r="H178" s="27" t="n"/>
    </row>
    <row r="179" ht="17.25" customHeight="1" s="322">
      <c r="A179" s="27" t="n"/>
      <c r="B179" s="506">
        <f>IFERROR(__xludf.DUMMYFUNCTION("""COMPUTED_VALUE"""),46087.6666666666)</f>
        <v/>
      </c>
      <c r="C179" s="141">
        <f>IFERROR(__xludf.DUMMYFUNCTION("""COMPUTED_VALUE"""),91.45)</f>
        <v/>
      </c>
      <c r="D179" s="141">
        <f>IFERROR(__xludf.DUMMYFUNCTION("""COMPUTED_VALUE"""),91.45)</f>
        <v/>
      </c>
      <c r="E179" s="141">
        <f>IFERROR(__xludf.DUMMYFUNCTION("""COMPUTED_VALUE"""),91.44)</f>
        <v/>
      </c>
      <c r="F179" s="141">
        <f>IFERROR(__xludf.DUMMYFUNCTION("""COMPUTED_VALUE"""),91.44)</f>
        <v/>
      </c>
      <c r="G179" s="143">
        <f>IFERROR(__xludf.DUMMYFUNCTION("""COMPUTED_VALUE"""),8603548)</f>
        <v/>
      </c>
      <c r="H179" s="27" t="n"/>
    </row>
    <row r="180" ht="17.25" customHeight="1" s="322">
      <c r="A180" s="27" t="n"/>
      <c r="B180" s="506">
        <f>IFERROR(__xludf.DUMMYFUNCTION("""COMPUTED_VALUE"""),46090.6666666666)</f>
        <v/>
      </c>
      <c r="C180" s="141">
        <f>IFERROR(__xludf.DUMMYFUNCTION("""COMPUTED_VALUE"""),91.46)</f>
        <v/>
      </c>
      <c r="D180" s="141">
        <f>IFERROR(__xludf.DUMMYFUNCTION("""COMPUTED_VALUE"""),91.46)</f>
        <v/>
      </c>
      <c r="E180" s="141">
        <f>IFERROR(__xludf.DUMMYFUNCTION("""COMPUTED_VALUE"""),91.45)</f>
        <v/>
      </c>
      <c r="F180" s="141">
        <f>IFERROR(__xludf.DUMMYFUNCTION("""COMPUTED_VALUE"""),91.45)</f>
        <v/>
      </c>
      <c r="G180" s="143">
        <f>IFERROR(__xludf.DUMMYFUNCTION("""COMPUTED_VALUE"""),13351326)</f>
        <v/>
      </c>
      <c r="H180" s="27" t="n"/>
    </row>
    <row r="181" ht="17.25" customHeight="1" s="322">
      <c r="A181" s="27" t="n"/>
      <c r="B181" s="506">
        <f>IFERROR(__xludf.DUMMYFUNCTION("""COMPUTED_VALUE"""),46091.6666666666)</f>
        <v/>
      </c>
      <c r="C181" s="141">
        <f>IFERROR(__xludf.DUMMYFUNCTION("""COMPUTED_VALUE"""),91.46)</f>
        <v/>
      </c>
      <c r="D181" s="141">
        <f>IFERROR(__xludf.DUMMYFUNCTION("""COMPUTED_VALUE"""),91.46)</f>
        <v/>
      </c>
      <c r="E181" s="141">
        <f>IFERROR(__xludf.DUMMYFUNCTION("""COMPUTED_VALUE"""),91.45)</f>
        <v/>
      </c>
      <c r="F181" s="141">
        <f>IFERROR(__xludf.DUMMYFUNCTION("""COMPUTED_VALUE"""),91.46)</f>
        <v/>
      </c>
      <c r="G181" s="143">
        <f>IFERROR(__xludf.DUMMYFUNCTION("""COMPUTED_VALUE"""),9129717)</f>
        <v/>
      </c>
      <c r="H181" s="27" t="n"/>
    </row>
    <row r="182" ht="17.25" customHeight="1" s="322">
      <c r="A182" s="27" t="n"/>
      <c r="B182" s="506">
        <f>IFERROR(__xludf.DUMMYFUNCTION("""COMPUTED_VALUE"""),46092.6666666666)</f>
        <v/>
      </c>
      <c r="C182" s="141">
        <f>IFERROR(__xludf.DUMMYFUNCTION("""COMPUTED_VALUE"""),91.46)</f>
        <v/>
      </c>
      <c r="D182" s="141">
        <f>IFERROR(__xludf.DUMMYFUNCTION("""COMPUTED_VALUE"""),91.47)</f>
        <v/>
      </c>
      <c r="E182" s="141">
        <f>IFERROR(__xludf.DUMMYFUNCTION("""COMPUTED_VALUE"""),91.46)</f>
        <v/>
      </c>
      <c r="F182" s="141">
        <f>IFERROR(__xludf.DUMMYFUNCTION("""COMPUTED_VALUE"""),91.46)</f>
        <v/>
      </c>
      <c r="G182" s="143">
        <f>IFERROR(__xludf.DUMMYFUNCTION("""COMPUTED_VALUE"""),6613372)</f>
        <v/>
      </c>
      <c r="H182" s="27" t="n"/>
    </row>
    <row r="183" ht="17.25" customHeight="1" s="322">
      <c r="A183" s="27" t="n"/>
      <c r="B183" s="506">
        <f>IFERROR(__xludf.DUMMYFUNCTION("""COMPUTED_VALUE"""),46093.6666666666)</f>
        <v/>
      </c>
      <c r="C183" s="141">
        <f>IFERROR(__xludf.DUMMYFUNCTION("""COMPUTED_VALUE"""),91.48)</f>
        <v/>
      </c>
      <c r="D183" s="141">
        <f>IFERROR(__xludf.DUMMYFUNCTION("""COMPUTED_VALUE"""),91.48)</f>
        <v/>
      </c>
      <c r="E183" s="141">
        <f>IFERROR(__xludf.DUMMYFUNCTION("""COMPUTED_VALUE"""),91.47)</f>
        <v/>
      </c>
      <c r="F183" s="141">
        <f>IFERROR(__xludf.DUMMYFUNCTION("""COMPUTED_VALUE"""),91.48)</f>
        <v/>
      </c>
      <c r="G183" s="143">
        <f>IFERROR(__xludf.DUMMYFUNCTION("""COMPUTED_VALUE"""),10138893)</f>
        <v/>
      </c>
      <c r="H183" s="27" t="n"/>
    </row>
    <row r="184" ht="17.25" customHeight="1" s="322">
      <c r="A184" s="27" t="n"/>
      <c r="B184" s="506">
        <f>IFERROR(__xludf.DUMMYFUNCTION("""COMPUTED_VALUE"""),46094.6666666666)</f>
        <v/>
      </c>
      <c r="C184" s="141">
        <f>IFERROR(__xludf.DUMMYFUNCTION("""COMPUTED_VALUE"""),91.51)</f>
        <v/>
      </c>
      <c r="D184" s="141">
        <f>IFERROR(__xludf.DUMMYFUNCTION("""COMPUTED_VALUE"""),91.51)</f>
        <v/>
      </c>
      <c r="E184" s="141">
        <f>IFERROR(__xludf.DUMMYFUNCTION("""COMPUTED_VALUE"""),91.5)</f>
        <v/>
      </c>
      <c r="F184" s="141">
        <f>IFERROR(__xludf.DUMMYFUNCTION("""COMPUTED_VALUE"""),91.51)</f>
        <v/>
      </c>
      <c r="G184" s="143">
        <f>IFERROR(__xludf.DUMMYFUNCTION("""COMPUTED_VALUE"""),11181990)</f>
        <v/>
      </c>
      <c r="H184" s="27" t="n"/>
    </row>
    <row r="185" ht="17.25" customHeight="1" s="322">
      <c r="A185" s="27" t="n"/>
      <c r="B185" s="506">
        <f>IFERROR(__xludf.DUMMYFUNCTION("""COMPUTED_VALUE"""),46097.6666666666)</f>
        <v/>
      </c>
      <c r="C185" s="141">
        <f>IFERROR(__xludf.DUMMYFUNCTION("""COMPUTED_VALUE"""),91.51)</f>
        <v/>
      </c>
      <c r="D185" s="141">
        <f>IFERROR(__xludf.DUMMYFUNCTION("""COMPUTED_VALUE"""),91.52)</f>
        <v/>
      </c>
      <c r="E185" s="141">
        <f>IFERROR(__xludf.DUMMYFUNCTION("""COMPUTED_VALUE"""),91.51)</f>
        <v/>
      </c>
      <c r="F185" s="141">
        <f>IFERROR(__xludf.DUMMYFUNCTION("""COMPUTED_VALUE"""),91.51)</f>
        <v/>
      </c>
      <c r="G185" s="143">
        <f>IFERROR(__xludf.DUMMYFUNCTION("""COMPUTED_VALUE"""),8509098)</f>
        <v/>
      </c>
      <c r="H185" s="27" t="n"/>
    </row>
    <row r="186" ht="17.25" customHeight="1" s="322">
      <c r="A186" s="27" t="n"/>
      <c r="B186" s="506">
        <f>IFERROR(__xludf.DUMMYFUNCTION("""COMPUTED_VALUE"""),46098.6666666666)</f>
        <v/>
      </c>
      <c r="C186" s="141">
        <f>IFERROR(__xludf.DUMMYFUNCTION("""COMPUTED_VALUE"""),91.53)</f>
        <v/>
      </c>
      <c r="D186" s="141">
        <f>IFERROR(__xludf.DUMMYFUNCTION("""COMPUTED_VALUE"""),91.53)</f>
        <v/>
      </c>
      <c r="E186" s="141">
        <f>IFERROR(__xludf.DUMMYFUNCTION("""COMPUTED_VALUE"""),91.52)</f>
        <v/>
      </c>
      <c r="F186" s="141">
        <f>IFERROR(__xludf.DUMMYFUNCTION("""COMPUTED_VALUE"""),91.52)</f>
        <v/>
      </c>
      <c r="G186" s="143">
        <f>IFERROR(__xludf.DUMMYFUNCTION("""COMPUTED_VALUE"""),7548341)</f>
        <v/>
      </c>
      <c r="H186" s="27" t="n"/>
    </row>
    <row r="187" ht="17.25" customHeight="1" s="322">
      <c r="A187" s="27" t="n"/>
      <c r="B187" s="506">
        <f>IFERROR(__xludf.DUMMYFUNCTION("""COMPUTED_VALUE"""),46099.6666666666)</f>
        <v/>
      </c>
      <c r="C187" s="141">
        <f>IFERROR(__xludf.DUMMYFUNCTION("""COMPUTED_VALUE"""),91.53)</f>
        <v/>
      </c>
      <c r="D187" s="141">
        <f>IFERROR(__xludf.DUMMYFUNCTION("""COMPUTED_VALUE"""),91.54)</f>
        <v/>
      </c>
      <c r="E187" s="141">
        <f>IFERROR(__xludf.DUMMYFUNCTION("""COMPUTED_VALUE"""),91.53)</f>
        <v/>
      </c>
      <c r="F187" s="141">
        <f>IFERROR(__xludf.DUMMYFUNCTION("""COMPUTED_VALUE"""),91.54)</f>
        <v/>
      </c>
      <c r="G187" s="143">
        <f>IFERROR(__xludf.DUMMYFUNCTION("""COMPUTED_VALUE"""),15874043)</f>
        <v/>
      </c>
      <c r="H187" s="27" t="n"/>
    </row>
    <row r="188" ht="17.25" customHeight="1" s="322">
      <c r="A188" s="27" t="n"/>
      <c r="B188" s="506">
        <f>IFERROR(__xludf.DUMMYFUNCTION("""COMPUTED_VALUE"""),46100.6666666666)</f>
        <v/>
      </c>
      <c r="C188" s="141">
        <f>IFERROR(__xludf.DUMMYFUNCTION("""COMPUTED_VALUE"""),91.54)</f>
        <v/>
      </c>
      <c r="D188" s="141">
        <f>IFERROR(__xludf.DUMMYFUNCTION("""COMPUTED_VALUE"""),91.54)</f>
        <v/>
      </c>
      <c r="E188" s="141">
        <f>IFERROR(__xludf.DUMMYFUNCTION("""COMPUTED_VALUE"""),91.53)</f>
        <v/>
      </c>
      <c r="F188" s="141">
        <f>IFERROR(__xludf.DUMMYFUNCTION("""COMPUTED_VALUE"""),91.54)</f>
        <v/>
      </c>
      <c r="G188" s="143">
        <f>IFERROR(__xludf.DUMMYFUNCTION("""COMPUTED_VALUE"""),14920974)</f>
        <v/>
      </c>
      <c r="H188" s="27" t="n"/>
    </row>
    <row r="189" ht="17.25" customHeight="1" s="322">
      <c r="A189" s="27" t="n"/>
      <c r="B189" s="506">
        <f>IFERROR(__xludf.DUMMYFUNCTION("""COMPUTED_VALUE"""),46101.6666666666)</f>
        <v/>
      </c>
      <c r="C189" s="141">
        <f>IFERROR(__xludf.DUMMYFUNCTION("""COMPUTED_VALUE"""),91.57)</f>
        <v/>
      </c>
      <c r="D189" s="141">
        <f>IFERROR(__xludf.DUMMYFUNCTION("""COMPUTED_VALUE"""),91.57)</f>
        <v/>
      </c>
      <c r="E189" s="141">
        <f>IFERROR(__xludf.DUMMYFUNCTION("""COMPUTED_VALUE"""),91.56)</f>
        <v/>
      </c>
      <c r="F189" s="141">
        <f>IFERROR(__xludf.DUMMYFUNCTION("""COMPUTED_VALUE"""),91.57)</f>
        <v/>
      </c>
      <c r="G189" s="143">
        <f>IFERROR(__xludf.DUMMYFUNCTION("""COMPUTED_VALUE"""),14839085)</f>
        <v/>
      </c>
      <c r="H189" s="27" t="n"/>
    </row>
    <row r="190" ht="17.25" customHeight="1" s="322">
      <c r="A190" s="27" t="n"/>
      <c r="B190" s="506">
        <f>IFERROR(__xludf.DUMMYFUNCTION("""COMPUTED_VALUE"""),46104.6666666666)</f>
        <v/>
      </c>
      <c r="C190" s="141">
        <f>IFERROR(__xludf.DUMMYFUNCTION("""COMPUTED_VALUE"""),91.58)</f>
        <v/>
      </c>
      <c r="D190" s="141">
        <f>IFERROR(__xludf.DUMMYFUNCTION("""COMPUTED_VALUE"""),91.58)</f>
        <v/>
      </c>
      <c r="E190" s="141">
        <f>IFERROR(__xludf.DUMMYFUNCTION("""COMPUTED_VALUE"""),91.57)</f>
        <v/>
      </c>
      <c r="F190" s="141">
        <f>IFERROR(__xludf.DUMMYFUNCTION("""COMPUTED_VALUE"""),91.58)</f>
        <v/>
      </c>
      <c r="G190" s="143">
        <f>IFERROR(__xludf.DUMMYFUNCTION("""COMPUTED_VALUE"""),30253899)</f>
        <v/>
      </c>
      <c r="H190" s="27" t="n"/>
    </row>
    <row r="191" ht="17.25" customHeight="1" s="322">
      <c r="A191" s="27" t="n"/>
      <c r="B191" s="506">
        <f>IFERROR(__xludf.DUMMYFUNCTION("""COMPUTED_VALUE"""),46105.6666666666)</f>
        <v/>
      </c>
      <c r="C191" s="141">
        <f>IFERROR(__xludf.DUMMYFUNCTION("""COMPUTED_VALUE"""),91.59)</f>
        <v/>
      </c>
      <c r="D191" s="141">
        <f>IFERROR(__xludf.DUMMYFUNCTION("""COMPUTED_VALUE"""),91.59)</f>
        <v/>
      </c>
      <c r="E191" s="141">
        <f>IFERROR(__xludf.DUMMYFUNCTION("""COMPUTED_VALUE"""),91.58)</f>
        <v/>
      </c>
      <c r="F191" s="141">
        <f>IFERROR(__xludf.DUMMYFUNCTION("""COMPUTED_VALUE"""),91.59)</f>
        <v/>
      </c>
      <c r="G191" s="143">
        <f>IFERROR(__xludf.DUMMYFUNCTION("""COMPUTED_VALUE"""),17380225)</f>
        <v/>
      </c>
      <c r="H191" s="27" t="n"/>
    </row>
    <row r="192" ht="17.25" customHeight="1" s="322">
      <c r="A192" s="27" t="n"/>
      <c r="B192" s="506">
        <f>IFERROR(__xludf.DUMMYFUNCTION("""COMPUTED_VALUE"""),46106.6666666666)</f>
        <v/>
      </c>
      <c r="C192" s="141">
        <f>IFERROR(__xludf.DUMMYFUNCTION("""COMPUTED_VALUE"""),91.59)</f>
        <v/>
      </c>
      <c r="D192" s="141">
        <f>IFERROR(__xludf.DUMMYFUNCTION("""COMPUTED_VALUE"""),91.6)</f>
        <v/>
      </c>
      <c r="E192" s="141">
        <f>IFERROR(__xludf.DUMMYFUNCTION("""COMPUTED_VALUE"""),91.58)</f>
        <v/>
      </c>
      <c r="F192" s="141">
        <f>IFERROR(__xludf.DUMMYFUNCTION("""COMPUTED_VALUE"""),91.58)</f>
        <v/>
      </c>
      <c r="G192" s="143">
        <f>IFERROR(__xludf.DUMMYFUNCTION("""COMPUTED_VALUE"""),16949531)</f>
        <v/>
      </c>
      <c r="H192" s="27" t="n"/>
    </row>
    <row r="193" ht="17.25" customHeight="1" s="322">
      <c r="A193" s="27" t="n"/>
      <c r="B193" s="506">
        <f>IFERROR(__xludf.DUMMYFUNCTION("""COMPUTED_VALUE"""),46107.6666666666)</f>
        <v/>
      </c>
      <c r="C193" s="141">
        <f>IFERROR(__xludf.DUMMYFUNCTION("""COMPUTED_VALUE"""),91.6)</f>
        <v/>
      </c>
      <c r="D193" s="141">
        <f>IFERROR(__xludf.DUMMYFUNCTION("""COMPUTED_VALUE"""),91.6)</f>
        <v/>
      </c>
      <c r="E193" s="141">
        <f>IFERROR(__xludf.DUMMYFUNCTION("""COMPUTED_VALUE"""),91.59)</f>
        <v/>
      </c>
      <c r="F193" s="141">
        <f>IFERROR(__xludf.DUMMYFUNCTION("""COMPUTED_VALUE"""),91.6)</f>
        <v/>
      </c>
      <c r="G193" s="143">
        <f>IFERROR(__xludf.DUMMYFUNCTION("""COMPUTED_VALUE"""),13198922)</f>
        <v/>
      </c>
      <c r="H193" s="27" t="n"/>
    </row>
    <row r="194" ht="17.25" customHeight="1" s="322">
      <c r="A194" s="27" t="n"/>
      <c r="B194" s="506">
        <f>IFERROR(__xludf.DUMMYFUNCTION("""COMPUTED_VALUE"""),46108.6666666666)</f>
        <v/>
      </c>
      <c r="C194" s="141">
        <f>IFERROR(__xludf.DUMMYFUNCTION("""COMPUTED_VALUE"""),91.62)</f>
        <v/>
      </c>
      <c r="D194" s="141">
        <f>IFERROR(__xludf.DUMMYFUNCTION("""COMPUTED_VALUE"""),91.63)</f>
        <v/>
      </c>
      <c r="E194" s="141">
        <f>IFERROR(__xludf.DUMMYFUNCTION("""COMPUTED_VALUE"""),91.62)</f>
        <v/>
      </c>
      <c r="F194" s="141">
        <f>IFERROR(__xludf.DUMMYFUNCTION("""COMPUTED_VALUE"""),91.63)</f>
        <v/>
      </c>
      <c r="G194" s="143">
        <f>IFERROR(__xludf.DUMMYFUNCTION("""COMPUTED_VALUE"""),11244001)</f>
        <v/>
      </c>
      <c r="H194" s="27" t="n"/>
    </row>
    <row r="195" ht="17.25" customHeight="1" s="322">
      <c r="A195" s="27" t="n"/>
      <c r="B195" s="506">
        <f>IFERROR(__xludf.DUMMYFUNCTION("""COMPUTED_VALUE"""),46111.6666666666)</f>
        <v/>
      </c>
      <c r="C195" s="141">
        <f>IFERROR(__xludf.DUMMYFUNCTION("""COMPUTED_VALUE"""),91.63)</f>
        <v/>
      </c>
      <c r="D195" s="141">
        <f>IFERROR(__xludf.DUMMYFUNCTION("""COMPUTED_VALUE"""),91.64)</f>
        <v/>
      </c>
      <c r="E195" s="141">
        <f>IFERROR(__xludf.DUMMYFUNCTION("""COMPUTED_VALUE"""),91.63)</f>
        <v/>
      </c>
      <c r="F195" s="141">
        <f>IFERROR(__xludf.DUMMYFUNCTION("""COMPUTED_VALUE"""),91.64)</f>
        <v/>
      </c>
      <c r="G195" s="143">
        <f>IFERROR(__xludf.DUMMYFUNCTION("""COMPUTED_VALUE"""),12479996)</f>
        <v/>
      </c>
      <c r="H195" s="27" t="n"/>
    </row>
    <row r="196" ht="17.25" customHeight="1" s="322">
      <c r="A196" s="27" t="n"/>
      <c r="B196" s="506">
        <f>IFERROR(__xludf.DUMMYFUNCTION("""COMPUTED_VALUE"""),46112.6666666666)</f>
        <v/>
      </c>
      <c r="C196" s="141">
        <f>IFERROR(__xludf.DUMMYFUNCTION("""COMPUTED_VALUE"""),91.64)</f>
        <v/>
      </c>
      <c r="D196" s="141">
        <f>IFERROR(__xludf.DUMMYFUNCTION("""COMPUTED_VALUE"""),91.65)</f>
        <v/>
      </c>
      <c r="E196" s="141">
        <f>IFERROR(__xludf.DUMMYFUNCTION("""COMPUTED_VALUE"""),91.64)</f>
        <v/>
      </c>
      <c r="F196" s="141">
        <f>IFERROR(__xludf.DUMMYFUNCTION("""COMPUTED_VALUE"""),91.64)</f>
        <v/>
      </c>
      <c r="G196" s="143">
        <f>IFERROR(__xludf.DUMMYFUNCTION("""COMPUTED_VALUE"""),20279772)</f>
        <v/>
      </c>
      <c r="H196" s="27" t="n"/>
    </row>
    <row r="197" ht="17.25" customHeight="1" s="322">
      <c r="A197" s="27" t="n"/>
      <c r="B197" s="506">
        <f>IFERROR(__xludf.DUMMYFUNCTION("""COMPUTED_VALUE"""),46113.6666666666)</f>
        <v/>
      </c>
      <c r="C197" s="141">
        <f>IFERROR(__xludf.DUMMYFUNCTION("""COMPUTED_VALUE"""),91.4)</f>
        <v/>
      </c>
      <c r="D197" s="141">
        <f>IFERROR(__xludf.DUMMYFUNCTION("""COMPUTED_VALUE"""),91.4)</f>
        <v/>
      </c>
      <c r="E197" s="141">
        <f>IFERROR(__xludf.DUMMYFUNCTION("""COMPUTED_VALUE"""),91.39)</f>
        <v/>
      </c>
      <c r="F197" s="141">
        <f>IFERROR(__xludf.DUMMYFUNCTION("""COMPUTED_VALUE"""),91.4)</f>
        <v/>
      </c>
      <c r="G197" s="143">
        <f>IFERROR(__xludf.DUMMYFUNCTION("""COMPUTED_VALUE"""),22095214)</f>
        <v/>
      </c>
      <c r="H197" s="27" t="n"/>
    </row>
    <row r="198" ht="17.25" customHeight="1" s="322">
      <c r="A198" s="27" t="n"/>
      <c r="B198" s="506">
        <f>IFERROR(__xludf.DUMMYFUNCTION("""COMPUTED_VALUE"""),46114.6666666666)</f>
        <v/>
      </c>
      <c r="C198" s="141">
        <f>IFERROR(__xludf.DUMMYFUNCTION("""COMPUTED_VALUE"""),91.43)</f>
        <v/>
      </c>
      <c r="D198" s="141">
        <f>IFERROR(__xludf.DUMMYFUNCTION("""COMPUTED_VALUE"""),91.44)</f>
        <v/>
      </c>
      <c r="E198" s="141">
        <f>IFERROR(__xludf.DUMMYFUNCTION("""COMPUTED_VALUE"""),91.42)</f>
        <v/>
      </c>
      <c r="F198" s="141">
        <f>IFERROR(__xludf.DUMMYFUNCTION("""COMPUTED_VALUE"""),91.42)</f>
        <v/>
      </c>
      <c r="G198" s="143">
        <f>IFERROR(__xludf.DUMMYFUNCTION("""COMPUTED_VALUE"""),11510320)</f>
        <v/>
      </c>
      <c r="H198" s="27" t="n"/>
    </row>
    <row r="199" ht="17.25" customHeight="1" s="322">
      <c r="A199" s="27" t="n"/>
      <c r="B199" s="506">
        <f>IFERROR(__xludf.DUMMYFUNCTION("""COMPUTED_VALUE"""),46118.6666666666)</f>
        <v/>
      </c>
      <c r="C199" s="141">
        <f>IFERROR(__xludf.DUMMYFUNCTION("""COMPUTED_VALUE"""),91.43)</f>
        <v/>
      </c>
      <c r="D199" s="141">
        <f>IFERROR(__xludf.DUMMYFUNCTION("""COMPUTED_VALUE"""),91.44)</f>
        <v/>
      </c>
      <c r="E199" s="141">
        <f>IFERROR(__xludf.DUMMYFUNCTION("""COMPUTED_VALUE"""),91.43)</f>
        <v/>
      </c>
      <c r="F199" s="141">
        <f>IFERROR(__xludf.DUMMYFUNCTION("""COMPUTED_VALUE"""),91.44)</f>
        <v/>
      </c>
      <c r="G199" s="143">
        <f>IFERROR(__xludf.DUMMYFUNCTION("""COMPUTED_VALUE"""),17291492)</f>
        <v/>
      </c>
      <c r="H199" s="27" t="n"/>
    </row>
    <row r="200" ht="17.25" customHeight="1" s="322">
      <c r="A200" s="27" t="n"/>
      <c r="B200" s="506">
        <f>IFERROR(__xludf.DUMMYFUNCTION("""COMPUTED_VALUE"""),46119.6666666666)</f>
        <v/>
      </c>
      <c r="C200" s="141">
        <f>IFERROR(__xludf.DUMMYFUNCTION("""COMPUTED_VALUE"""),91.45)</f>
        <v/>
      </c>
      <c r="D200" s="141">
        <f>IFERROR(__xludf.DUMMYFUNCTION("""COMPUTED_VALUE"""),91.45)</f>
        <v/>
      </c>
      <c r="E200" s="141">
        <f>IFERROR(__xludf.DUMMYFUNCTION("""COMPUTED_VALUE"""),91.44)</f>
        <v/>
      </c>
      <c r="F200" s="141">
        <f>IFERROR(__xludf.DUMMYFUNCTION("""COMPUTED_VALUE"""),91.45)</f>
        <v/>
      </c>
      <c r="G200" s="143">
        <f>IFERROR(__xludf.DUMMYFUNCTION("""COMPUTED_VALUE"""),9231608)</f>
        <v/>
      </c>
      <c r="H200" s="27" t="n"/>
    </row>
    <row r="201" ht="17.25" customHeight="1" s="322">
      <c r="A201" s="27" t="n"/>
      <c r="B201" s="506">
        <f>IFERROR(__xludf.DUMMYFUNCTION("""COMPUTED_VALUE"""),46120.6666666666)</f>
        <v/>
      </c>
      <c r="C201" s="141">
        <f>IFERROR(__xludf.DUMMYFUNCTION("""COMPUTED_VALUE"""),91.46)</f>
        <v/>
      </c>
      <c r="D201" s="141">
        <f>IFERROR(__xludf.DUMMYFUNCTION("""COMPUTED_VALUE"""),91.46)</f>
        <v/>
      </c>
      <c r="E201" s="141">
        <f>IFERROR(__xludf.DUMMYFUNCTION("""COMPUTED_VALUE"""),91.45)</f>
        <v/>
      </c>
      <c r="F201" s="141">
        <f>IFERROR(__xludf.DUMMYFUNCTION("""COMPUTED_VALUE"""),91.45)</f>
        <v/>
      </c>
      <c r="G201" s="143">
        <f>IFERROR(__xludf.DUMMYFUNCTION("""COMPUTED_VALUE"""),13839398)</f>
        <v/>
      </c>
      <c r="H201" s="27" t="n"/>
    </row>
    <row r="202" ht="17.25" customHeight="1" s="322">
      <c r="A202" s="27" t="n"/>
      <c r="B202" s="506">
        <f>IFERROR(__xludf.DUMMYFUNCTION("""COMPUTED_VALUE"""),46121.6666666666)</f>
        <v/>
      </c>
      <c r="C202" s="141">
        <f>IFERROR(__xludf.DUMMYFUNCTION("""COMPUTED_VALUE"""),91.46)</f>
        <v/>
      </c>
      <c r="D202" s="141">
        <f>IFERROR(__xludf.DUMMYFUNCTION("""COMPUTED_VALUE"""),91.47)</f>
        <v/>
      </c>
      <c r="E202" s="141">
        <f>IFERROR(__xludf.DUMMYFUNCTION("""COMPUTED_VALUE"""),91.46)</f>
        <v/>
      </c>
      <c r="F202" s="141">
        <f>IFERROR(__xludf.DUMMYFUNCTION("""COMPUTED_VALUE"""),91.46)</f>
        <v/>
      </c>
      <c r="G202" s="143">
        <f>IFERROR(__xludf.DUMMYFUNCTION("""COMPUTED_VALUE"""),15586488)</f>
        <v/>
      </c>
      <c r="H202" s="27" t="n"/>
    </row>
    <row r="203" ht="17.25" customHeight="1" s="322">
      <c r="A203" s="27" t="n"/>
      <c r="B203" s="506">
        <f>IFERROR(__xludf.DUMMYFUNCTION("""COMPUTED_VALUE"""),46122.6666666666)</f>
        <v/>
      </c>
      <c r="C203" s="141">
        <f>IFERROR(__xludf.DUMMYFUNCTION("""COMPUTED_VALUE"""),91.49)</f>
        <v/>
      </c>
      <c r="D203" s="141">
        <f>IFERROR(__xludf.DUMMYFUNCTION("""COMPUTED_VALUE"""),91.5)</f>
        <v/>
      </c>
      <c r="E203" s="141">
        <f>IFERROR(__xludf.DUMMYFUNCTION("""COMPUTED_VALUE"""),91.49)</f>
        <v/>
      </c>
      <c r="F203" s="141">
        <f>IFERROR(__xludf.DUMMYFUNCTION("""COMPUTED_VALUE"""),91.49)</f>
        <v/>
      </c>
      <c r="G203" s="143">
        <f>IFERROR(__xludf.DUMMYFUNCTION("""COMPUTED_VALUE"""),10595159)</f>
        <v/>
      </c>
      <c r="H203" s="27" t="n"/>
    </row>
    <row r="204" ht="17.25" customHeight="1" s="322">
      <c r="A204" s="27" t="n"/>
      <c r="B204" s="506">
        <f>IFERROR(__xludf.DUMMYFUNCTION("""COMPUTED_VALUE"""),46125.6666666666)</f>
        <v/>
      </c>
      <c r="C204" s="141">
        <f>IFERROR(__xludf.DUMMYFUNCTION("""COMPUTED_VALUE"""),91.5)</f>
        <v/>
      </c>
      <c r="D204" s="141">
        <f>IFERROR(__xludf.DUMMYFUNCTION("""COMPUTED_VALUE"""),91.51)</f>
        <v/>
      </c>
      <c r="E204" s="141">
        <f>IFERROR(__xludf.DUMMYFUNCTION("""COMPUTED_VALUE"""),91.49)</f>
        <v/>
      </c>
      <c r="F204" s="141">
        <f>IFERROR(__xludf.DUMMYFUNCTION("""COMPUTED_VALUE"""),91.49)</f>
        <v/>
      </c>
      <c r="G204" s="143">
        <f>IFERROR(__xludf.DUMMYFUNCTION("""COMPUTED_VALUE"""),9906240)</f>
        <v/>
      </c>
      <c r="H204" s="27" t="n"/>
    </row>
    <row r="205" ht="17.25" customHeight="1" s="322">
      <c r="A205" s="27" t="n"/>
      <c r="B205" s="506">
        <f>IFERROR(__xludf.DUMMYFUNCTION("""COMPUTED_VALUE"""),46126.6666666666)</f>
        <v/>
      </c>
      <c r="C205" s="141">
        <f>IFERROR(__xludf.DUMMYFUNCTION("""COMPUTED_VALUE"""),91.5)</f>
        <v/>
      </c>
      <c r="D205" s="141">
        <f>IFERROR(__xludf.DUMMYFUNCTION("""COMPUTED_VALUE"""),91.51)</f>
        <v/>
      </c>
      <c r="E205" s="141">
        <f>IFERROR(__xludf.DUMMYFUNCTION("""COMPUTED_VALUE"""),91.5)</f>
        <v/>
      </c>
      <c r="F205" s="141">
        <f>IFERROR(__xludf.DUMMYFUNCTION("""COMPUTED_VALUE"""),91.5)</f>
        <v/>
      </c>
      <c r="G205" s="143">
        <f>IFERROR(__xludf.DUMMYFUNCTION("""COMPUTED_VALUE"""),21667639)</f>
        <v/>
      </c>
      <c r="H205" s="27" t="n"/>
    </row>
    <row r="206" ht="17.25" customHeight="1" s="322">
      <c r="A206" s="27" t="n"/>
      <c r="B206" s="506">
        <f>IFERROR(__xludf.DUMMYFUNCTION("""COMPUTED_VALUE"""),46127.6666666666)</f>
        <v/>
      </c>
      <c r="C206" s="141">
        <f>IFERROR(__xludf.DUMMYFUNCTION("""COMPUTED_VALUE"""),91.51)</f>
        <v/>
      </c>
      <c r="D206" s="141">
        <f>IFERROR(__xludf.DUMMYFUNCTION("""COMPUTED_VALUE"""),91.52)</f>
        <v/>
      </c>
      <c r="E206" s="141">
        <f>IFERROR(__xludf.DUMMYFUNCTION("""COMPUTED_VALUE"""),91.51)</f>
        <v/>
      </c>
      <c r="F206" s="141">
        <f>IFERROR(__xludf.DUMMYFUNCTION("""COMPUTED_VALUE"""),91.51)</f>
        <v/>
      </c>
      <c r="G206" s="143">
        <f>IFERROR(__xludf.DUMMYFUNCTION("""COMPUTED_VALUE"""),18583608)</f>
        <v/>
      </c>
      <c r="H206" s="27" t="n"/>
    </row>
    <row r="207" ht="17.25" customHeight="1" s="322">
      <c r="A207" s="27" t="n"/>
      <c r="B207" s="506">
        <f>IFERROR(__xludf.DUMMYFUNCTION("""COMPUTED_VALUE"""),46128.6666666666)</f>
        <v/>
      </c>
      <c r="C207" s="141">
        <f>IFERROR(__xludf.DUMMYFUNCTION("""COMPUTED_VALUE"""),91.52)</f>
        <v/>
      </c>
      <c r="D207" s="141">
        <f>IFERROR(__xludf.DUMMYFUNCTION("""COMPUTED_VALUE"""),91.53)</f>
        <v/>
      </c>
      <c r="E207" s="141">
        <f>IFERROR(__xludf.DUMMYFUNCTION("""COMPUTED_VALUE"""),91.52)</f>
        <v/>
      </c>
      <c r="F207" s="141">
        <f>IFERROR(__xludf.DUMMYFUNCTION("""COMPUTED_VALUE"""),91.52)</f>
        <v/>
      </c>
      <c r="G207" s="143">
        <f>IFERROR(__xludf.DUMMYFUNCTION("""COMPUTED_VALUE"""),17779780)</f>
        <v/>
      </c>
      <c r="H207" s="27" t="n"/>
    </row>
    <row r="208" ht="17.25" customHeight="1" s="322">
      <c r="A208" s="27" t="n"/>
      <c r="B208" s="506">
        <f>IFERROR(__xludf.DUMMYFUNCTION("""COMPUTED_VALUE"""),46129.6666666666)</f>
        <v/>
      </c>
      <c r="C208" s="141">
        <f>IFERROR(__xludf.DUMMYFUNCTION("""COMPUTED_VALUE"""),91.55)</f>
        <v/>
      </c>
      <c r="D208" s="141">
        <f>IFERROR(__xludf.DUMMYFUNCTION("""COMPUTED_VALUE"""),91.56)</f>
        <v/>
      </c>
      <c r="E208" s="141">
        <f>IFERROR(__xludf.DUMMYFUNCTION("""COMPUTED_VALUE"""),91.54)</f>
        <v/>
      </c>
      <c r="F208" s="141">
        <f>IFERROR(__xludf.DUMMYFUNCTION("""COMPUTED_VALUE"""),91.55)</f>
        <v/>
      </c>
      <c r="G208" s="143">
        <f>IFERROR(__xludf.DUMMYFUNCTION("""COMPUTED_VALUE"""),13604095)</f>
        <v/>
      </c>
      <c r="H208" s="27" t="n"/>
    </row>
    <row r="209" ht="17.25" customHeight="1" s="322">
      <c r="A209" s="27" t="n"/>
      <c r="B209" s="506">
        <f>IFERROR(__xludf.DUMMYFUNCTION("""COMPUTED_VALUE"""),46132.6666666666)</f>
        <v/>
      </c>
      <c r="C209" s="141">
        <f>IFERROR(__xludf.DUMMYFUNCTION("""COMPUTED_VALUE"""),91.56)</f>
        <v/>
      </c>
      <c r="D209" s="141">
        <f>IFERROR(__xludf.DUMMYFUNCTION("""COMPUTED_VALUE"""),91.56)</f>
        <v/>
      </c>
      <c r="E209" s="141">
        <f>IFERROR(__xludf.DUMMYFUNCTION("""COMPUTED_VALUE"""),91.55)</f>
        <v/>
      </c>
      <c r="F209" s="141">
        <f>IFERROR(__xludf.DUMMYFUNCTION("""COMPUTED_VALUE"""),91.56)</f>
        <v/>
      </c>
      <c r="G209" s="143">
        <f>IFERROR(__xludf.DUMMYFUNCTION("""COMPUTED_VALUE"""),7961378)</f>
        <v/>
      </c>
      <c r="H209" s="27" t="n"/>
    </row>
    <row r="210" ht="17.25" customHeight="1" s="322">
      <c r="A210" s="27" t="n"/>
      <c r="B210" s="506">
        <f>IFERROR(__xludf.DUMMYFUNCTION("""COMPUTED_VALUE"""),46133.6666666666)</f>
        <v/>
      </c>
      <c r="C210" s="141">
        <f>IFERROR(__xludf.DUMMYFUNCTION("""COMPUTED_VALUE"""),91.57)</f>
        <v/>
      </c>
      <c r="D210" s="141">
        <f>IFERROR(__xludf.DUMMYFUNCTION("""COMPUTED_VALUE"""),91.57)</f>
        <v/>
      </c>
      <c r="E210" s="141">
        <f>IFERROR(__xludf.DUMMYFUNCTION("""COMPUTED_VALUE"""),91.56)</f>
        <v/>
      </c>
      <c r="F210" s="141">
        <f>IFERROR(__xludf.DUMMYFUNCTION("""COMPUTED_VALUE"""),91.57)</f>
        <v/>
      </c>
      <c r="G210" s="143">
        <f>IFERROR(__xludf.DUMMYFUNCTION("""COMPUTED_VALUE"""),8177563)</f>
        <v/>
      </c>
      <c r="H210" s="27" t="n"/>
    </row>
    <row r="211" ht="17.25" customHeight="1" s="322">
      <c r="A211" s="27" t="n"/>
      <c r="B211" s="506">
        <f>IFERROR(__xludf.DUMMYFUNCTION("""COMPUTED_VALUE"""),46134.6666666666)</f>
        <v/>
      </c>
      <c r="C211" s="141">
        <f>IFERROR(__xludf.DUMMYFUNCTION("""COMPUTED_VALUE"""),91.57)</f>
        <v/>
      </c>
      <c r="D211" s="141">
        <f>IFERROR(__xludf.DUMMYFUNCTION("""COMPUTED_VALUE"""),91.58)</f>
        <v/>
      </c>
      <c r="E211" s="141">
        <f>IFERROR(__xludf.DUMMYFUNCTION("""COMPUTED_VALUE"""),91.57)</f>
        <v/>
      </c>
      <c r="F211" s="141">
        <f>IFERROR(__xludf.DUMMYFUNCTION("""COMPUTED_VALUE"""),91.57)</f>
        <v/>
      </c>
      <c r="G211" s="143">
        <f>IFERROR(__xludf.DUMMYFUNCTION("""COMPUTED_VALUE"""),9669319)</f>
        <v/>
      </c>
      <c r="H211" s="27" t="n"/>
    </row>
    <row r="212" ht="17.25" customHeight="1" s="322">
      <c r="A212" s="27" t="n"/>
      <c r="B212" s="506">
        <f>IFERROR(__xludf.DUMMYFUNCTION("""COMPUTED_VALUE"""),46135.6666666666)</f>
        <v/>
      </c>
      <c r="C212" s="141">
        <f>IFERROR(__xludf.DUMMYFUNCTION("""COMPUTED_VALUE"""),91.58)</f>
        <v/>
      </c>
      <c r="D212" s="141">
        <f>IFERROR(__xludf.DUMMYFUNCTION("""COMPUTED_VALUE"""),91.59)</f>
        <v/>
      </c>
      <c r="E212" s="141">
        <f>IFERROR(__xludf.DUMMYFUNCTION("""COMPUTED_VALUE"""),91.58)</f>
        <v/>
      </c>
      <c r="F212" s="141">
        <f>IFERROR(__xludf.DUMMYFUNCTION("""COMPUTED_VALUE"""),91.59)</f>
        <v/>
      </c>
      <c r="G212" s="143">
        <f>IFERROR(__xludf.DUMMYFUNCTION("""COMPUTED_VALUE"""),6740989)</f>
        <v/>
      </c>
      <c r="H212" s="27" t="n"/>
    </row>
    <row r="213" ht="17.25" customHeight="1" s="322">
      <c r="A213" s="27" t="n"/>
      <c r="B213" s="506">
        <f>IFERROR(__xludf.DUMMYFUNCTION("""COMPUTED_VALUE"""),46136.6666666666)</f>
        <v/>
      </c>
      <c r="C213" s="141">
        <f>IFERROR(__xludf.DUMMYFUNCTION("""COMPUTED_VALUE"""),91.62)</f>
        <v/>
      </c>
      <c r="D213" s="141">
        <f>IFERROR(__xludf.DUMMYFUNCTION("""COMPUTED_VALUE"""),91.62)</f>
        <v/>
      </c>
      <c r="E213" s="141">
        <f>IFERROR(__xludf.DUMMYFUNCTION("""COMPUTED_VALUE"""),91.61)</f>
        <v/>
      </c>
      <c r="F213" s="141">
        <f>IFERROR(__xludf.DUMMYFUNCTION("""COMPUTED_VALUE"""),91.61)</f>
        <v/>
      </c>
      <c r="G213" s="143">
        <f>IFERROR(__xludf.DUMMYFUNCTION("""COMPUTED_VALUE"""),7270202)</f>
        <v/>
      </c>
      <c r="H213" s="27" t="n"/>
    </row>
    <row r="214" ht="17.25" customHeight="1" s="322">
      <c r="A214" s="27" t="n"/>
      <c r="B214" s="506">
        <f>IFERROR(__xludf.DUMMYFUNCTION("""COMPUTED_VALUE"""),46139.6666666666)</f>
        <v/>
      </c>
      <c r="C214" s="141">
        <f>IFERROR(__xludf.DUMMYFUNCTION("""COMPUTED_VALUE"""),91.62)</f>
        <v/>
      </c>
      <c r="D214" s="141">
        <f>IFERROR(__xludf.DUMMYFUNCTION("""COMPUTED_VALUE"""),91.63)</f>
        <v/>
      </c>
      <c r="E214" s="141">
        <f>IFERROR(__xludf.DUMMYFUNCTION("""COMPUTED_VALUE"""),91.62)</f>
        <v/>
      </c>
      <c r="F214" s="141">
        <f>IFERROR(__xludf.DUMMYFUNCTION("""COMPUTED_VALUE"""),91.62)</f>
        <v/>
      </c>
      <c r="G214" s="143">
        <f>IFERROR(__xludf.DUMMYFUNCTION("""COMPUTED_VALUE"""),8616050)</f>
        <v/>
      </c>
      <c r="H214" s="27" t="n"/>
    </row>
    <row r="215" ht="17.25" customHeight="1" s="322">
      <c r="A215" s="27" t="n"/>
      <c r="B215" s="506">
        <f>IFERROR(__xludf.DUMMYFUNCTION("""COMPUTED_VALUE"""),46140.6666666666)</f>
        <v/>
      </c>
      <c r="C215" s="141">
        <f>IFERROR(__xludf.DUMMYFUNCTION("""COMPUTED_VALUE"""),91.63)</f>
        <v/>
      </c>
      <c r="D215" s="141">
        <f>IFERROR(__xludf.DUMMYFUNCTION("""COMPUTED_VALUE"""),91.64)</f>
        <v/>
      </c>
      <c r="E215" s="141">
        <f>IFERROR(__xludf.DUMMYFUNCTION("""COMPUTED_VALUE"""),91.63)</f>
        <v/>
      </c>
      <c r="F215" s="141">
        <f>IFERROR(__xludf.DUMMYFUNCTION("""COMPUTED_VALUE"""),91.63)</f>
        <v/>
      </c>
      <c r="G215" s="143">
        <f>IFERROR(__xludf.DUMMYFUNCTION("""COMPUTED_VALUE"""),6500483)</f>
        <v/>
      </c>
      <c r="H215" s="27" t="n"/>
    </row>
    <row r="216" ht="17.25" customHeight="1" s="322">
      <c r="A216" s="27" t="n"/>
      <c r="B216" s="506">
        <f>IFERROR(__xludf.DUMMYFUNCTION("""COMPUTED_VALUE"""),46141.6666666666)</f>
        <v/>
      </c>
      <c r="C216" s="141">
        <f>IFERROR(__xludf.DUMMYFUNCTION("""COMPUTED_VALUE"""),91.64)</f>
        <v/>
      </c>
      <c r="D216" s="141">
        <f>IFERROR(__xludf.DUMMYFUNCTION("""COMPUTED_VALUE"""),91.64)</f>
        <v/>
      </c>
      <c r="E216" s="141">
        <f>IFERROR(__xludf.DUMMYFUNCTION("""COMPUTED_VALUE"""),91.63)</f>
        <v/>
      </c>
      <c r="F216" s="141">
        <f>IFERROR(__xludf.DUMMYFUNCTION("""COMPUTED_VALUE"""),91.63)</f>
        <v/>
      </c>
      <c r="G216" s="143">
        <f>IFERROR(__xludf.DUMMYFUNCTION("""COMPUTED_VALUE"""),9227133)</f>
        <v/>
      </c>
      <c r="H216" s="27" t="n"/>
    </row>
    <row r="217" ht="17.25" customHeight="1" s="322">
      <c r="A217" s="27" t="n"/>
      <c r="B217" s="506">
        <f>IFERROR(__xludf.DUMMYFUNCTION("""COMPUTED_VALUE"""),46142.6666666666)</f>
        <v/>
      </c>
      <c r="C217" s="141">
        <f>IFERROR(__xludf.DUMMYFUNCTION("""COMPUTED_VALUE"""),91.64)</f>
        <v/>
      </c>
      <c r="D217" s="141">
        <f>IFERROR(__xludf.DUMMYFUNCTION("""COMPUTED_VALUE"""),91.65)</f>
        <v/>
      </c>
      <c r="E217" s="141">
        <f>IFERROR(__xludf.DUMMYFUNCTION("""COMPUTED_VALUE"""),91.64)</f>
        <v/>
      </c>
      <c r="F217" s="141">
        <f>IFERROR(__xludf.DUMMYFUNCTION("""COMPUTED_VALUE"""),91.64)</f>
        <v/>
      </c>
      <c r="G217" s="143">
        <f>IFERROR(__xludf.DUMMYFUNCTION("""COMPUTED_VALUE"""),14975114)</f>
        <v/>
      </c>
      <c r="H217" s="27" t="n"/>
    </row>
    <row r="218" ht="17.25" customHeight="1" s="322">
      <c r="A218" s="27" t="n"/>
      <c r="B218" s="506">
        <f>IFERROR(__xludf.DUMMYFUNCTION("""COMPUTED_VALUE"""),46143.6666666666)</f>
        <v/>
      </c>
      <c r="C218" s="141">
        <f>IFERROR(__xludf.DUMMYFUNCTION("""COMPUTED_VALUE"""),91.41)</f>
        <v/>
      </c>
      <c r="D218" s="141">
        <f>IFERROR(__xludf.DUMMYFUNCTION("""COMPUTED_VALUE"""),91.41)</f>
        <v/>
      </c>
      <c r="E218" s="141">
        <f>IFERROR(__xludf.DUMMYFUNCTION("""COMPUTED_VALUE"""),91.4)</f>
        <v/>
      </c>
      <c r="F218" s="141">
        <f>IFERROR(__xludf.DUMMYFUNCTION("""COMPUTED_VALUE"""),91.4)</f>
        <v/>
      </c>
      <c r="G218" s="143">
        <f>IFERROR(__xludf.DUMMYFUNCTION("""COMPUTED_VALUE"""),14126115)</f>
        <v/>
      </c>
      <c r="H218" s="27" t="n"/>
    </row>
    <row r="219" ht="17.25" customHeight="1" s="322">
      <c r="A219" s="27" t="n"/>
      <c r="B219" s="506">
        <f>IFERROR(__xludf.DUMMYFUNCTION("""COMPUTED_VALUE"""),46146.6666666666)</f>
        <v/>
      </c>
      <c r="C219" s="141">
        <f>IFERROR(__xludf.DUMMYFUNCTION("""COMPUTED_VALUE"""),91.41)</f>
        <v/>
      </c>
      <c r="D219" s="141">
        <f>IFERROR(__xludf.DUMMYFUNCTION("""COMPUTED_VALUE"""),91.42)</f>
        <v/>
      </c>
      <c r="E219" s="141">
        <f>IFERROR(__xludf.DUMMYFUNCTION("""COMPUTED_VALUE"""),91.41)</f>
        <v/>
      </c>
      <c r="F219" s="141">
        <f>IFERROR(__xludf.DUMMYFUNCTION("""COMPUTED_VALUE"""),91.42)</f>
        <v/>
      </c>
      <c r="G219" s="143">
        <f>IFERROR(__xludf.DUMMYFUNCTION("""COMPUTED_VALUE"""),10297737)</f>
        <v/>
      </c>
      <c r="H219" s="27" t="n"/>
    </row>
    <row r="220" ht="17.25" customHeight="1" s="322">
      <c r="A220" s="27" t="n"/>
      <c r="B220" s="506">
        <f>IFERROR(__xludf.DUMMYFUNCTION("""COMPUTED_VALUE"""),46147.6666666666)</f>
        <v/>
      </c>
      <c r="C220" s="141">
        <f>IFERROR(__xludf.DUMMYFUNCTION("""COMPUTED_VALUE"""),91.43)</f>
        <v/>
      </c>
      <c r="D220" s="141">
        <f>IFERROR(__xludf.DUMMYFUNCTION("""COMPUTED_VALUE"""),91.43)</f>
        <v/>
      </c>
      <c r="E220" s="141">
        <f>IFERROR(__xludf.DUMMYFUNCTION("""COMPUTED_VALUE"""),91.42)</f>
        <v/>
      </c>
      <c r="F220" s="141">
        <f>IFERROR(__xludf.DUMMYFUNCTION("""COMPUTED_VALUE"""),91.43)</f>
        <v/>
      </c>
      <c r="G220" s="143">
        <f>IFERROR(__xludf.DUMMYFUNCTION("""COMPUTED_VALUE"""),9783262)</f>
        <v/>
      </c>
      <c r="H220" s="27" t="n"/>
    </row>
    <row r="221" ht="17.25" customHeight="1" s="322">
      <c r="A221" s="27" t="n"/>
      <c r="B221" s="506">
        <f>IFERROR(__xludf.DUMMYFUNCTION("""COMPUTED_VALUE"""),46148.6666666666)</f>
        <v/>
      </c>
      <c r="C221" s="141">
        <f>IFERROR(__xludf.DUMMYFUNCTION("""COMPUTED_VALUE"""),91.42)</f>
        <v/>
      </c>
      <c r="D221" s="141">
        <f>IFERROR(__xludf.DUMMYFUNCTION("""COMPUTED_VALUE"""),91.43)</f>
        <v/>
      </c>
      <c r="E221" s="141">
        <f>IFERROR(__xludf.DUMMYFUNCTION("""COMPUTED_VALUE"""),91.42)</f>
        <v/>
      </c>
      <c r="F221" s="141">
        <f>IFERROR(__xludf.DUMMYFUNCTION("""COMPUTED_VALUE"""),91.42)</f>
        <v/>
      </c>
      <c r="G221" s="143">
        <f>IFERROR(__xludf.DUMMYFUNCTION("""COMPUTED_VALUE"""),8293502)</f>
        <v/>
      </c>
      <c r="H221" s="27" t="n"/>
    </row>
    <row r="222" ht="17.25" customHeight="1" s="322">
      <c r="A222" s="27" t="n"/>
      <c r="B222" s="506">
        <f>IFERROR(__xludf.DUMMYFUNCTION("""COMPUTED_VALUE"""),46149.6666666666)</f>
        <v/>
      </c>
      <c r="C222" s="141">
        <f>IFERROR(__xludf.DUMMYFUNCTION("""COMPUTED_VALUE"""),91.44)</f>
        <v/>
      </c>
      <c r="D222" s="141">
        <f>IFERROR(__xludf.DUMMYFUNCTION("""COMPUTED_VALUE"""),91.44)</f>
        <v/>
      </c>
      <c r="E222" s="141">
        <f>IFERROR(__xludf.DUMMYFUNCTION("""COMPUTED_VALUE"""),91.43)</f>
        <v/>
      </c>
      <c r="F222" s="141">
        <f>IFERROR(__xludf.DUMMYFUNCTION("""COMPUTED_VALUE"""),91.44)</f>
        <v/>
      </c>
      <c r="G222" s="143">
        <f>IFERROR(__xludf.DUMMYFUNCTION("""COMPUTED_VALUE"""),8040806)</f>
        <v/>
      </c>
      <c r="H222" s="27" t="n"/>
    </row>
    <row r="223" ht="17.25" customHeight="1" s="322">
      <c r="A223" s="27" t="n"/>
      <c r="B223" s="506">
        <f>IFERROR(__xludf.DUMMYFUNCTION("""COMPUTED_VALUE"""),46150.6666666666)</f>
        <v/>
      </c>
      <c r="C223" s="141">
        <f>IFERROR(__xludf.DUMMYFUNCTION("""COMPUTED_VALUE"""),91.46)</f>
        <v/>
      </c>
      <c r="D223" s="141">
        <f>IFERROR(__xludf.DUMMYFUNCTION("""COMPUTED_VALUE"""),91.47)</f>
        <v/>
      </c>
      <c r="E223" s="141">
        <f>IFERROR(__xludf.DUMMYFUNCTION("""COMPUTED_VALUE"""),91.46)</f>
        <v/>
      </c>
      <c r="F223" s="141">
        <f>IFERROR(__xludf.DUMMYFUNCTION("""COMPUTED_VALUE"""),91.46)</f>
        <v/>
      </c>
      <c r="G223" s="143">
        <f>IFERROR(__xludf.DUMMYFUNCTION("""COMPUTED_VALUE"""),8043370)</f>
        <v/>
      </c>
      <c r="H223" s="27" t="n"/>
    </row>
    <row r="224" ht="17.25" customHeight="1" s="322">
      <c r="A224" s="27" t="n"/>
      <c r="B224" s="506">
        <f>IFERROR(__xludf.DUMMYFUNCTION("""COMPUTED_VALUE"""),46153.6666666666)</f>
        <v/>
      </c>
      <c r="C224" s="141">
        <f>IFERROR(__xludf.DUMMYFUNCTION("""COMPUTED_VALUE"""),91.48)</f>
        <v/>
      </c>
      <c r="D224" s="141">
        <f>IFERROR(__xludf.DUMMYFUNCTION("""COMPUTED_VALUE"""),91.48)</f>
        <v/>
      </c>
      <c r="E224" s="141">
        <f>IFERROR(__xludf.DUMMYFUNCTION("""COMPUTED_VALUE"""),91.47)</f>
        <v/>
      </c>
      <c r="F224" s="141">
        <f>IFERROR(__xludf.DUMMYFUNCTION("""COMPUTED_VALUE"""),91.48)</f>
        <v/>
      </c>
      <c r="G224" s="143">
        <f>IFERROR(__xludf.DUMMYFUNCTION("""COMPUTED_VALUE"""),6150379)</f>
        <v/>
      </c>
      <c r="H224" s="27" t="n"/>
    </row>
    <row r="225" ht="17.25" customHeight="1" s="322">
      <c r="A225" s="27" t="n"/>
      <c r="B225" s="506">
        <f>IFERROR(__xludf.DUMMYFUNCTION("""COMPUTED_VALUE"""),46154.6666666666)</f>
        <v/>
      </c>
      <c r="C225" s="141">
        <f>IFERROR(__xludf.DUMMYFUNCTION("""COMPUTED_VALUE"""),91.49)</f>
        <v/>
      </c>
      <c r="D225" s="141">
        <f>IFERROR(__xludf.DUMMYFUNCTION("""COMPUTED_VALUE"""),91.49)</f>
        <v/>
      </c>
      <c r="E225" s="141">
        <f>IFERROR(__xludf.DUMMYFUNCTION("""COMPUTED_VALUE"""),91.48)</f>
        <v/>
      </c>
      <c r="F225" s="141">
        <f>IFERROR(__xludf.DUMMYFUNCTION("""COMPUTED_VALUE"""),91.49)</f>
        <v/>
      </c>
      <c r="G225" s="143">
        <f>IFERROR(__xludf.DUMMYFUNCTION("""COMPUTED_VALUE"""),7332068)</f>
        <v/>
      </c>
      <c r="H225" s="27" t="n"/>
    </row>
    <row r="226" ht="17.25" customHeight="1" s="322">
      <c r="A226" s="27" t="n"/>
      <c r="B226" s="506">
        <f>IFERROR(__xludf.DUMMYFUNCTION("""COMPUTED_VALUE"""),46155.6666666666)</f>
        <v/>
      </c>
      <c r="C226" s="141">
        <f>IFERROR(__xludf.DUMMYFUNCTION("""COMPUTED_VALUE"""),91.49)</f>
        <v/>
      </c>
      <c r="D226" s="141">
        <f>IFERROR(__xludf.DUMMYFUNCTION("""COMPUTED_VALUE"""),91.5)</f>
        <v/>
      </c>
      <c r="E226" s="141">
        <f>IFERROR(__xludf.DUMMYFUNCTION("""COMPUTED_VALUE"""),91.49)</f>
        <v/>
      </c>
      <c r="F226" s="141">
        <f>IFERROR(__xludf.DUMMYFUNCTION("""COMPUTED_VALUE"""),91.49)</f>
        <v/>
      </c>
      <c r="G226" s="143">
        <f>IFERROR(__xludf.DUMMYFUNCTION("""COMPUTED_VALUE"""),7467267)</f>
        <v/>
      </c>
      <c r="H226" s="27" t="n"/>
    </row>
    <row r="227" ht="17.25" customHeight="1" s="322">
      <c r="A227" s="27" t="n"/>
      <c r="B227" s="506">
        <f>IFERROR(__xludf.DUMMYFUNCTION("""COMPUTED_VALUE"""),46156.6666666666)</f>
        <v/>
      </c>
      <c r="C227" s="141">
        <f>IFERROR(__xludf.DUMMYFUNCTION("""COMPUTED_VALUE"""),91.5)</f>
        <v/>
      </c>
      <c r="D227" s="141">
        <f>IFERROR(__xludf.DUMMYFUNCTION("""COMPUTED_VALUE"""),91.51)</f>
        <v/>
      </c>
      <c r="E227" s="141">
        <f>IFERROR(__xludf.DUMMYFUNCTION("""COMPUTED_VALUE"""),91.5)</f>
        <v/>
      </c>
      <c r="F227" s="141">
        <f>IFERROR(__xludf.DUMMYFUNCTION("""COMPUTED_VALUE"""),91.51)</f>
        <v/>
      </c>
      <c r="G227" s="143">
        <f>IFERROR(__xludf.DUMMYFUNCTION("""COMPUTED_VALUE"""),6763993)</f>
        <v/>
      </c>
      <c r="H227" s="27" t="n"/>
    </row>
    <row r="228" ht="17.25" customHeight="1" s="322">
      <c r="A228" s="27" t="n"/>
      <c r="B228" s="506">
        <f>IFERROR(__xludf.DUMMYFUNCTION("""COMPUTED_VALUE"""),46157.6666666666)</f>
        <v/>
      </c>
      <c r="C228" s="141">
        <f>IFERROR(__xludf.DUMMYFUNCTION("""COMPUTED_VALUE"""),91.53)</f>
        <v/>
      </c>
      <c r="D228" s="141">
        <f>IFERROR(__xludf.DUMMYFUNCTION("""COMPUTED_VALUE"""),91.54)</f>
        <v/>
      </c>
      <c r="E228" s="141">
        <f>IFERROR(__xludf.DUMMYFUNCTION("""COMPUTED_VALUE"""),91.53)</f>
        <v/>
      </c>
      <c r="F228" s="141">
        <f>IFERROR(__xludf.DUMMYFUNCTION("""COMPUTED_VALUE"""),91.53)</f>
        <v/>
      </c>
      <c r="G228" s="143">
        <f>IFERROR(__xludf.DUMMYFUNCTION("""COMPUTED_VALUE"""),9441177)</f>
        <v/>
      </c>
      <c r="H228" s="27" t="n"/>
    </row>
    <row r="229" ht="17.25" customHeight="1" s="322">
      <c r="A229" s="27" t="n"/>
      <c r="B229" s="506">
        <f>IFERROR(__xludf.DUMMYFUNCTION("""COMPUTED_VALUE"""),46160.6666666666)</f>
        <v/>
      </c>
      <c r="C229" s="141">
        <f>IFERROR(__xludf.DUMMYFUNCTION("""COMPUTED_VALUE"""),91.54)</f>
        <v/>
      </c>
      <c r="D229" s="141">
        <f>IFERROR(__xludf.DUMMYFUNCTION("""COMPUTED_VALUE"""),91.55)</f>
        <v/>
      </c>
      <c r="E229" s="141">
        <f>IFERROR(__xludf.DUMMYFUNCTION("""COMPUTED_VALUE"""),91.53)</f>
        <v/>
      </c>
      <c r="F229" s="141">
        <f>IFERROR(__xludf.DUMMYFUNCTION("""COMPUTED_VALUE"""),91.53)</f>
        <v/>
      </c>
      <c r="G229" s="143">
        <f>IFERROR(__xludf.DUMMYFUNCTION("""COMPUTED_VALUE"""),7274133)</f>
        <v/>
      </c>
      <c r="H229" s="27" t="n"/>
    </row>
    <row r="230" ht="17.25" customHeight="1" s="322">
      <c r="A230" s="27" t="n"/>
      <c r="B230" s="506">
        <f>IFERROR(__xludf.DUMMYFUNCTION("""COMPUTED_VALUE"""),46161.6666666666)</f>
        <v/>
      </c>
      <c r="C230" s="141">
        <f>IFERROR(__xludf.DUMMYFUNCTION("""COMPUTED_VALUE"""),91.55)</f>
        <v/>
      </c>
      <c r="D230" s="141">
        <f>IFERROR(__xludf.DUMMYFUNCTION("""COMPUTED_VALUE"""),91.56)</f>
        <v/>
      </c>
      <c r="E230" s="141">
        <f>IFERROR(__xludf.DUMMYFUNCTION("""COMPUTED_VALUE"""),91.54)</f>
        <v/>
      </c>
      <c r="F230" s="141">
        <f>IFERROR(__xludf.DUMMYFUNCTION("""COMPUTED_VALUE"""),91.55)</f>
        <v/>
      </c>
      <c r="G230" s="143">
        <f>IFERROR(__xludf.DUMMYFUNCTION("""COMPUTED_VALUE"""),9718062)</f>
        <v/>
      </c>
      <c r="H230" s="27" t="n"/>
    </row>
    <row r="231" ht="17.25" customHeight="1" s="322">
      <c r="A231" s="27" t="n"/>
      <c r="B231" s="506">
        <f>IFERROR(__xludf.DUMMYFUNCTION("""COMPUTED_VALUE"""),46162.6666666666)</f>
        <v/>
      </c>
      <c r="C231" s="141">
        <f>IFERROR(__xludf.DUMMYFUNCTION("""COMPUTED_VALUE"""),91.56)</f>
        <v/>
      </c>
      <c r="D231" s="141">
        <f>IFERROR(__xludf.DUMMYFUNCTION("""COMPUTED_VALUE"""),91.57)</f>
        <v/>
      </c>
      <c r="E231" s="141">
        <f>IFERROR(__xludf.DUMMYFUNCTION("""COMPUTED_VALUE"""),91.56)</f>
        <v/>
      </c>
      <c r="F231" s="141">
        <f>IFERROR(__xludf.DUMMYFUNCTION("""COMPUTED_VALUE"""),91.57)</f>
        <v/>
      </c>
      <c r="G231" s="143">
        <f>IFERROR(__xludf.DUMMYFUNCTION("""COMPUTED_VALUE"""),8725733)</f>
        <v/>
      </c>
      <c r="H231" s="27" t="n"/>
    </row>
    <row r="232" ht="17.25" customHeight="1" s="322">
      <c r="A232" s="27" t="n"/>
      <c r="B232" s="506">
        <f>IFERROR(__xludf.DUMMYFUNCTION("""COMPUTED_VALUE"""),46163.6666666666)</f>
        <v/>
      </c>
      <c r="C232" s="141">
        <f>IFERROR(__xludf.DUMMYFUNCTION("""COMPUTED_VALUE"""),91.58)</f>
        <v/>
      </c>
      <c r="D232" s="141">
        <f>IFERROR(__xludf.DUMMYFUNCTION("""COMPUTED_VALUE"""),91.58)</f>
        <v/>
      </c>
      <c r="E232" s="141">
        <f>IFERROR(__xludf.DUMMYFUNCTION("""COMPUTED_VALUE"""),91.56)</f>
        <v/>
      </c>
      <c r="F232" s="141">
        <f>IFERROR(__xludf.DUMMYFUNCTION("""COMPUTED_VALUE"""),91.57)</f>
        <v/>
      </c>
      <c r="G232" s="143">
        <f>IFERROR(__xludf.DUMMYFUNCTION("""COMPUTED_VALUE"""),7791428)</f>
        <v/>
      </c>
      <c r="H232" s="27" t="n"/>
    </row>
    <row r="233" ht="17.25" customHeight="1" s="322">
      <c r="A233" s="27" t="n"/>
      <c r="B233" s="506">
        <f>IFERROR(__xludf.DUMMYFUNCTION("""COMPUTED_VALUE"""),46164.6666666666)</f>
        <v/>
      </c>
      <c r="C233" s="141">
        <f>IFERROR(__xludf.DUMMYFUNCTION("""COMPUTED_VALUE"""),91.6)</f>
        <v/>
      </c>
      <c r="D233" s="141">
        <f>IFERROR(__xludf.DUMMYFUNCTION("""COMPUTED_VALUE"""),91.6)</f>
        <v/>
      </c>
      <c r="E233" s="141">
        <f>IFERROR(__xludf.DUMMYFUNCTION("""COMPUTED_VALUE"""),91.59)</f>
        <v/>
      </c>
      <c r="F233" s="141">
        <f>IFERROR(__xludf.DUMMYFUNCTION("""COMPUTED_VALUE"""),91.59)</f>
        <v/>
      </c>
      <c r="G233" s="143">
        <f>IFERROR(__xludf.DUMMYFUNCTION("""COMPUTED_VALUE"""),10871606)</f>
        <v/>
      </c>
      <c r="H233" s="27" t="n"/>
    </row>
    <row r="234" ht="17.25" customHeight="1" s="322">
      <c r="A234" s="27" t="n"/>
      <c r="B234" s="506">
        <f>IFERROR(__xludf.DUMMYFUNCTION("""COMPUTED_VALUE"""),46168.6666666666)</f>
        <v/>
      </c>
      <c r="C234" s="141">
        <f>IFERROR(__xludf.DUMMYFUNCTION("""COMPUTED_VALUE"""),91.6)</f>
        <v/>
      </c>
      <c r="D234" s="141">
        <f>IFERROR(__xludf.DUMMYFUNCTION("""COMPUTED_VALUE"""),91.61)</f>
        <v/>
      </c>
      <c r="E234" s="141">
        <f>IFERROR(__xludf.DUMMYFUNCTION("""COMPUTED_VALUE"""),91.6)</f>
        <v/>
      </c>
      <c r="F234" s="141">
        <f>IFERROR(__xludf.DUMMYFUNCTION("""COMPUTED_VALUE"""),91.61)</f>
        <v/>
      </c>
      <c r="G234" s="143">
        <f>IFERROR(__xludf.DUMMYFUNCTION("""COMPUTED_VALUE"""),9903738)</f>
        <v/>
      </c>
      <c r="H234" s="27" t="n"/>
    </row>
    <row r="235" ht="17.25" customHeight="1" s="322">
      <c r="A235" s="27" t="n"/>
      <c r="B235" s="506">
        <f>IFERROR(__xludf.DUMMYFUNCTION("""COMPUTED_VALUE"""),46169.6666666666)</f>
        <v/>
      </c>
      <c r="C235" s="141">
        <f>IFERROR(__xludf.DUMMYFUNCTION("""COMPUTED_VALUE"""),91.62)</f>
        <v/>
      </c>
      <c r="D235" s="141">
        <f>IFERROR(__xludf.DUMMYFUNCTION("""COMPUTED_VALUE"""),91.62)</f>
        <v/>
      </c>
      <c r="E235" s="141">
        <f>IFERROR(__xludf.DUMMYFUNCTION("""COMPUTED_VALUE"""),91.61)</f>
        <v/>
      </c>
      <c r="F235" s="141">
        <f>IFERROR(__xludf.DUMMYFUNCTION("""COMPUTED_VALUE"""),91.62)</f>
        <v/>
      </c>
      <c r="G235" s="143">
        <f>IFERROR(__xludf.DUMMYFUNCTION("""COMPUTED_VALUE"""),6672226)</f>
        <v/>
      </c>
      <c r="H235" s="27" t="n"/>
    </row>
    <row r="236" ht="17.25" customHeight="1" s="322">
      <c r="A236" s="27" t="n"/>
      <c r="B236" s="506">
        <f>IFERROR(__xludf.DUMMYFUNCTION("""COMPUTED_VALUE"""),46170.6666666666)</f>
        <v/>
      </c>
      <c r="C236" s="141">
        <f>IFERROR(__xludf.DUMMYFUNCTION("""COMPUTED_VALUE"""),91.62)</f>
        <v/>
      </c>
      <c r="D236" s="141">
        <f>IFERROR(__xludf.DUMMYFUNCTION("""COMPUTED_VALUE"""),91.63)</f>
        <v/>
      </c>
      <c r="E236" s="141">
        <f>IFERROR(__xludf.DUMMYFUNCTION("""COMPUTED_VALUE"""),91.62)</f>
        <v/>
      </c>
      <c r="F236" s="141">
        <f>IFERROR(__xludf.DUMMYFUNCTION("""COMPUTED_VALUE"""),91.63)</f>
        <v/>
      </c>
      <c r="G236" s="143">
        <f>IFERROR(__xludf.DUMMYFUNCTION("""COMPUTED_VALUE"""),10206010)</f>
        <v/>
      </c>
      <c r="H236" s="27" t="n"/>
    </row>
    <row r="237" ht="17.25" customHeight="1" s="322">
      <c r="A237" s="27" t="n"/>
      <c r="B237" s="506">
        <f>IFERROR(__xludf.DUMMYFUNCTION("""COMPUTED_VALUE"""),46171.6666666666)</f>
        <v/>
      </c>
      <c r="C237" s="141">
        <f>IFERROR(__xludf.DUMMYFUNCTION("""COMPUTED_VALUE"""),91.65)</f>
        <v/>
      </c>
      <c r="D237" s="141">
        <f>IFERROR(__xludf.DUMMYFUNCTION("""COMPUTED_VALUE"""),91.66)</f>
        <v/>
      </c>
      <c r="E237" s="141">
        <f>IFERROR(__xludf.DUMMYFUNCTION("""COMPUTED_VALUE"""),91.64)</f>
        <v/>
      </c>
      <c r="F237" s="141">
        <f>IFERROR(__xludf.DUMMYFUNCTION("""COMPUTED_VALUE"""),91.66)</f>
        <v/>
      </c>
      <c r="G237" s="143">
        <f>IFERROR(__xludf.DUMMYFUNCTION("""COMPUTED_VALUE"""),16056544)</f>
        <v/>
      </c>
      <c r="H237" s="27" t="n"/>
    </row>
    <row r="238" ht="17.25" customHeight="1" s="322">
      <c r="A238" s="27" t="n"/>
      <c r="B238" s="506">
        <f>IFERROR(__xludf.DUMMYFUNCTION("""COMPUTED_VALUE"""),46174.6666666666)</f>
        <v/>
      </c>
      <c r="C238" s="141">
        <f>IFERROR(__xludf.DUMMYFUNCTION("""COMPUTED_VALUE"""),91.4)</f>
        <v/>
      </c>
      <c r="D238" s="141">
        <f>IFERROR(__xludf.DUMMYFUNCTION("""COMPUTED_VALUE"""),91.4)</f>
        <v/>
      </c>
      <c r="E238" s="141">
        <f>IFERROR(__xludf.DUMMYFUNCTION("""COMPUTED_VALUE"""),91.39)</f>
        <v/>
      </c>
      <c r="F238" s="141">
        <f>IFERROR(__xludf.DUMMYFUNCTION("""COMPUTED_VALUE"""),91.4)</f>
        <v/>
      </c>
      <c r="G238" s="143">
        <f>IFERROR(__xludf.DUMMYFUNCTION("""COMPUTED_VALUE"""),17997255)</f>
        <v/>
      </c>
      <c r="H238" s="27" t="n"/>
    </row>
    <row r="239" ht="17.25" customHeight="1" s="322">
      <c r="A239" s="27" t="n"/>
      <c r="B239" s="506">
        <f>IFERROR(__xludf.DUMMYFUNCTION("""COMPUTED_VALUE"""),46175.6666666666)</f>
        <v/>
      </c>
      <c r="C239" s="141">
        <f>IFERROR(__xludf.DUMMYFUNCTION("""COMPUTED_VALUE"""),91.4)</f>
        <v/>
      </c>
      <c r="D239" s="141">
        <f>IFERROR(__xludf.DUMMYFUNCTION("""COMPUTED_VALUE"""),91.4)</f>
        <v/>
      </c>
      <c r="E239" s="141">
        <f>IFERROR(__xludf.DUMMYFUNCTION("""COMPUTED_VALUE"""),91.39)</f>
        <v/>
      </c>
      <c r="F239" s="141">
        <f>IFERROR(__xludf.DUMMYFUNCTION("""COMPUTED_VALUE"""),91.39)</f>
        <v/>
      </c>
      <c r="G239" s="143">
        <f>IFERROR(__xludf.DUMMYFUNCTION("""COMPUTED_VALUE"""),9532600)</f>
        <v/>
      </c>
      <c r="H239" s="27" t="n"/>
    </row>
    <row r="240" ht="17.25" customHeight="1" s="322">
      <c r="A240" s="27" t="n"/>
      <c r="B240" s="506">
        <f>IFERROR(__xludf.DUMMYFUNCTION("""COMPUTED_VALUE"""),46176.6666666666)</f>
        <v/>
      </c>
      <c r="C240" s="141">
        <f>IFERROR(__xludf.DUMMYFUNCTION("""COMPUTED_VALUE"""),91.41)</f>
        <v/>
      </c>
      <c r="D240" s="141">
        <f>IFERROR(__xludf.DUMMYFUNCTION("""COMPUTED_VALUE"""),91.41)</f>
        <v/>
      </c>
      <c r="E240" s="141">
        <f>IFERROR(__xludf.DUMMYFUNCTION("""COMPUTED_VALUE"""),91.4)</f>
        <v/>
      </c>
      <c r="F240" s="141">
        <f>IFERROR(__xludf.DUMMYFUNCTION("""COMPUTED_VALUE"""),91.41)</f>
        <v/>
      </c>
      <c r="G240" s="143">
        <f>IFERROR(__xludf.DUMMYFUNCTION("""COMPUTED_VALUE"""),14556581)</f>
        <v/>
      </c>
      <c r="H240" s="27" t="n"/>
    </row>
    <row r="241" ht="17.25" customHeight="1" s="322">
      <c r="A241" s="27" t="n"/>
      <c r="B241" s="506">
        <f>IFERROR(__xludf.DUMMYFUNCTION("""COMPUTED_VALUE"""),46177.6666666666)</f>
        <v/>
      </c>
      <c r="C241" s="141">
        <f>IFERROR(__xludf.DUMMYFUNCTION("""COMPUTED_VALUE"""),91.42)</f>
        <v/>
      </c>
      <c r="D241" s="141">
        <f>IFERROR(__xludf.DUMMYFUNCTION("""COMPUTED_VALUE"""),91.42)</f>
        <v/>
      </c>
      <c r="E241" s="141">
        <f>IFERROR(__xludf.DUMMYFUNCTION("""COMPUTED_VALUE"""),91.41)</f>
        <v/>
      </c>
      <c r="F241" s="141">
        <f>IFERROR(__xludf.DUMMYFUNCTION("""COMPUTED_VALUE"""),91.41)</f>
        <v/>
      </c>
      <c r="G241" s="143">
        <f>IFERROR(__xludf.DUMMYFUNCTION("""COMPUTED_VALUE"""),7054637)</f>
        <v/>
      </c>
      <c r="H241" s="27" t="n"/>
    </row>
    <row r="242" ht="17.25" customHeight="1" s="322">
      <c r="A242" s="27" t="n"/>
      <c r="B242" s="506">
        <f>IFERROR(__xludf.DUMMYFUNCTION("""COMPUTED_VALUE"""),46178.6666666666)</f>
        <v/>
      </c>
      <c r="C242" s="141">
        <f>IFERROR(__xludf.DUMMYFUNCTION("""COMPUTED_VALUE"""),91.45)</f>
        <v/>
      </c>
      <c r="D242" s="141">
        <f>IFERROR(__xludf.DUMMYFUNCTION("""COMPUTED_VALUE"""),91.45)</f>
        <v/>
      </c>
      <c r="E242" s="141">
        <f>IFERROR(__xludf.DUMMYFUNCTION("""COMPUTED_VALUE"""),91.44)</f>
        <v/>
      </c>
      <c r="F242" s="141">
        <f>IFERROR(__xludf.DUMMYFUNCTION("""COMPUTED_VALUE"""),91.45)</f>
        <v/>
      </c>
      <c r="G242" s="143">
        <f>IFERROR(__xludf.DUMMYFUNCTION("""COMPUTED_VALUE"""),12907959)</f>
        <v/>
      </c>
      <c r="H242" s="27" t="n"/>
    </row>
    <row r="243" ht="17.25" customHeight="1" s="322">
      <c r="A243" s="27" t="n"/>
      <c r="B243" s="506">
        <f>IFERROR(__xludf.DUMMYFUNCTION("""COMPUTED_VALUE"""),46181.6666666666)</f>
        <v/>
      </c>
      <c r="C243" s="141">
        <f>IFERROR(__xludf.DUMMYFUNCTION("""COMPUTED_VALUE"""),91.46)</f>
        <v/>
      </c>
      <c r="D243" s="141">
        <f>IFERROR(__xludf.DUMMYFUNCTION("""COMPUTED_VALUE"""),91.46)</f>
        <v/>
      </c>
      <c r="E243" s="141">
        <f>IFERROR(__xludf.DUMMYFUNCTION("""COMPUTED_VALUE"""),91.45)</f>
        <v/>
      </c>
      <c r="F243" s="141">
        <f>IFERROR(__xludf.DUMMYFUNCTION("""COMPUTED_VALUE"""),91.46)</f>
        <v/>
      </c>
      <c r="G243" s="143">
        <f>IFERROR(__xludf.DUMMYFUNCTION("""COMPUTED_VALUE"""),11085864)</f>
        <v/>
      </c>
      <c r="H243" s="27" t="n"/>
    </row>
    <row r="244" ht="17.25" customHeight="1" s="322">
      <c r="A244" s="27" t="n"/>
      <c r="B244" s="506">
        <f>IFERROR(__xludf.DUMMYFUNCTION("""COMPUTED_VALUE"""),46182.6666666666)</f>
        <v/>
      </c>
      <c r="C244" s="141">
        <f>IFERROR(__xludf.DUMMYFUNCTION("""COMPUTED_VALUE"""),91.46)</f>
        <v/>
      </c>
      <c r="D244" s="141">
        <f>IFERROR(__xludf.DUMMYFUNCTION("""COMPUTED_VALUE"""),91.47)</f>
        <v/>
      </c>
      <c r="E244" s="141">
        <f>IFERROR(__xludf.DUMMYFUNCTION("""COMPUTED_VALUE"""),91.46)</f>
        <v/>
      </c>
      <c r="F244" s="141">
        <f>IFERROR(__xludf.DUMMYFUNCTION("""COMPUTED_VALUE"""),91.46)</f>
        <v/>
      </c>
      <c r="G244" s="143">
        <f>IFERROR(__xludf.DUMMYFUNCTION("""COMPUTED_VALUE"""),10442623)</f>
        <v/>
      </c>
      <c r="H244" s="27" t="n"/>
    </row>
    <row r="245" ht="17.25" customHeight="1" s="322">
      <c r="A245" s="27" t="n"/>
      <c r="B245" s="506">
        <f>IFERROR(__xludf.DUMMYFUNCTION("""COMPUTED_VALUE"""),46183.6666666666)</f>
        <v/>
      </c>
      <c r="C245" s="141">
        <f>IFERROR(__xludf.DUMMYFUNCTION("""COMPUTED_VALUE"""),91.48)</f>
        <v/>
      </c>
      <c r="D245" s="141">
        <f>IFERROR(__xludf.DUMMYFUNCTION("""COMPUTED_VALUE"""),91.48)</f>
        <v/>
      </c>
      <c r="E245" s="141">
        <f>IFERROR(__xludf.DUMMYFUNCTION("""COMPUTED_VALUE"""),91.47)</f>
        <v/>
      </c>
      <c r="F245" s="141">
        <f>IFERROR(__xludf.DUMMYFUNCTION("""COMPUTED_VALUE"""),91.47)</f>
        <v/>
      </c>
      <c r="G245" s="143">
        <f>IFERROR(__xludf.DUMMYFUNCTION("""COMPUTED_VALUE"""),8003169)</f>
        <v/>
      </c>
      <c r="H245" s="27" t="n"/>
    </row>
    <row r="246" ht="17.25" customHeight="1" s="322">
      <c r="A246" s="27" t="n"/>
      <c r="B246" s="506">
        <f>IFERROR(__xludf.DUMMYFUNCTION("""COMPUTED_VALUE"""),46184.6666666666)</f>
        <v/>
      </c>
      <c r="C246" s="141">
        <f>IFERROR(__xludf.DUMMYFUNCTION("""COMPUTED_VALUE"""),91.48)</f>
        <v/>
      </c>
      <c r="D246" s="141">
        <f>IFERROR(__xludf.DUMMYFUNCTION("""COMPUTED_VALUE"""),91.48)</f>
        <v/>
      </c>
      <c r="E246" s="141">
        <f>IFERROR(__xludf.DUMMYFUNCTION("""COMPUTED_VALUE"""),91.47)</f>
        <v/>
      </c>
      <c r="F246" s="141">
        <f>IFERROR(__xludf.DUMMYFUNCTION("""COMPUTED_VALUE"""),91.48)</f>
        <v/>
      </c>
      <c r="G246" s="143">
        <f>IFERROR(__xludf.DUMMYFUNCTION("""COMPUTED_VALUE"""),8700915)</f>
        <v/>
      </c>
      <c r="H246" s="27" t="n"/>
    </row>
    <row r="247" ht="17.25" customHeight="1" s="322">
      <c r="A247" s="27" t="n"/>
      <c r="B247" s="506">
        <f>IFERROR(__xludf.DUMMYFUNCTION("""COMPUTED_VALUE"""),46185.6666666666)</f>
        <v/>
      </c>
      <c r="C247" s="141">
        <f>IFERROR(__xludf.DUMMYFUNCTION("""COMPUTED_VALUE"""),91.51)</f>
        <v/>
      </c>
      <c r="D247" s="141">
        <f>IFERROR(__xludf.DUMMYFUNCTION("""COMPUTED_VALUE"""),91.51)</f>
        <v/>
      </c>
      <c r="E247" s="141">
        <f>IFERROR(__xludf.DUMMYFUNCTION("""COMPUTED_VALUE"""),91.5)</f>
        <v/>
      </c>
      <c r="F247" s="141">
        <f>IFERROR(__xludf.DUMMYFUNCTION("""COMPUTED_VALUE"""),91.51)</f>
        <v/>
      </c>
      <c r="G247" s="143">
        <f>IFERROR(__xludf.DUMMYFUNCTION("""COMPUTED_VALUE"""),18789541)</f>
        <v/>
      </c>
      <c r="H247" s="27" t="n"/>
    </row>
    <row r="248" ht="17.25" customHeight="1" s="322">
      <c r="A248" s="27" t="n"/>
      <c r="B248" s="506">
        <f>IFERROR(__xludf.DUMMYFUNCTION("""COMPUTED_VALUE"""),46188.6666666666)</f>
        <v/>
      </c>
      <c r="C248" s="141">
        <f>IFERROR(__xludf.DUMMYFUNCTION("""COMPUTED_VALUE"""),91.52)</f>
        <v/>
      </c>
      <c r="D248" s="141">
        <f>IFERROR(__xludf.DUMMYFUNCTION("""COMPUTED_VALUE"""),91.52)</f>
        <v/>
      </c>
      <c r="E248" s="141">
        <f>IFERROR(__xludf.DUMMYFUNCTION("""COMPUTED_VALUE"""),91.51)</f>
        <v/>
      </c>
      <c r="F248" s="141">
        <f>IFERROR(__xludf.DUMMYFUNCTION("""COMPUTED_VALUE"""),91.51)</f>
        <v/>
      </c>
      <c r="G248" s="143">
        <f>IFERROR(__xludf.DUMMYFUNCTION("""COMPUTED_VALUE"""),11771990)</f>
        <v/>
      </c>
      <c r="H248" s="27" t="n"/>
    </row>
    <row r="249" ht="17.25" customHeight="1" s="322">
      <c r="A249" s="27" t="n"/>
      <c r="B249" s="506">
        <f>IFERROR(__xludf.DUMMYFUNCTION("""COMPUTED_VALUE"""),46189.6666666666)</f>
        <v/>
      </c>
      <c r="C249" s="141">
        <f>IFERROR(__xludf.DUMMYFUNCTION("""COMPUTED_VALUE"""),91.53)</f>
        <v/>
      </c>
      <c r="D249" s="141">
        <f>IFERROR(__xludf.DUMMYFUNCTION("""COMPUTED_VALUE"""),91.53)</f>
        <v/>
      </c>
      <c r="E249" s="141">
        <f>IFERROR(__xludf.DUMMYFUNCTION("""COMPUTED_VALUE"""),91.52)</f>
        <v/>
      </c>
      <c r="F249" s="141">
        <f>IFERROR(__xludf.DUMMYFUNCTION("""COMPUTED_VALUE"""),91.52)</f>
        <v/>
      </c>
      <c r="G249" s="143">
        <f>IFERROR(__xludf.DUMMYFUNCTION("""COMPUTED_VALUE"""),10456491)</f>
        <v/>
      </c>
      <c r="H249" s="27" t="n"/>
    </row>
    <row r="250" ht="17.25" customHeight="1" s="322">
      <c r="A250" s="27" t="n"/>
      <c r="B250" s="506">
        <f>IFERROR(__xludf.DUMMYFUNCTION("""COMPUTED_VALUE"""),46190.6666666666)</f>
        <v/>
      </c>
      <c r="C250" s="141">
        <f>IFERROR(__xludf.DUMMYFUNCTION("""COMPUTED_VALUE"""),91.54)</f>
        <v/>
      </c>
      <c r="D250" s="141">
        <f>IFERROR(__xludf.DUMMYFUNCTION("""COMPUTED_VALUE"""),91.54)</f>
        <v/>
      </c>
      <c r="E250" s="141">
        <f>IFERROR(__xludf.DUMMYFUNCTION("""COMPUTED_VALUE"""),91.53)</f>
        <v/>
      </c>
      <c r="F250" s="141">
        <f>IFERROR(__xludf.DUMMYFUNCTION("""COMPUTED_VALUE"""),91.53)</f>
        <v/>
      </c>
      <c r="G250" s="143">
        <f>IFERROR(__xludf.DUMMYFUNCTION("""COMPUTED_VALUE"""),8300086)</f>
        <v/>
      </c>
      <c r="H250" s="27" t="n"/>
    </row>
    <row r="251" ht="17.25" customHeight="1" s="322">
      <c r="A251" s="27" t="n"/>
      <c r="B251" s="506">
        <f>IFERROR(__xludf.DUMMYFUNCTION("""COMPUTED_VALUE"""),46191.6666666666)</f>
        <v/>
      </c>
      <c r="C251" s="141">
        <f>IFERROR(__xludf.DUMMYFUNCTION("""COMPUTED_VALUE"""),91.56)</f>
        <v/>
      </c>
      <c r="D251" s="141">
        <f>IFERROR(__xludf.DUMMYFUNCTION("""COMPUTED_VALUE"""),91.57)</f>
        <v/>
      </c>
      <c r="E251" s="141">
        <f>IFERROR(__xludf.DUMMYFUNCTION("""COMPUTED_VALUE"""),91.56)</f>
        <v/>
      </c>
      <c r="F251" s="141">
        <f>IFERROR(__xludf.DUMMYFUNCTION("""COMPUTED_VALUE"""),91.57)</f>
        <v/>
      </c>
      <c r="G251" s="143">
        <f>IFERROR(__xludf.DUMMYFUNCTION("""COMPUTED_VALUE"""),7807761)</f>
        <v/>
      </c>
      <c r="H251" s="27" t="n"/>
    </row>
    <row r="252" ht="17.25" customHeight="1" s="322">
      <c r="A252" s="27" t="n"/>
      <c r="B252" s="506">
        <f>IFERROR(__xludf.DUMMYFUNCTION("""COMPUTED_VALUE"""),46195.6666666666)</f>
        <v/>
      </c>
      <c r="C252" s="141">
        <f>IFERROR(__xludf.DUMMYFUNCTION("""COMPUTED_VALUE"""),91.58)</f>
        <v/>
      </c>
      <c r="D252" s="141">
        <f>IFERROR(__xludf.DUMMYFUNCTION("""COMPUTED_VALUE"""),91.58)</f>
        <v/>
      </c>
      <c r="E252" s="141">
        <f>IFERROR(__xludf.DUMMYFUNCTION("""COMPUTED_VALUE"""),91.57)</f>
        <v/>
      </c>
      <c r="F252" s="141">
        <f>IFERROR(__xludf.DUMMYFUNCTION("""COMPUTED_VALUE"""),91.57)</f>
        <v/>
      </c>
      <c r="G252" s="143">
        <f>IFERROR(__xludf.DUMMYFUNCTION("""COMPUTED_VALUE"""),10548857)</f>
        <v/>
      </c>
      <c r="H252" s="27" t="n"/>
    </row>
    <row r="253" ht="17.25" customHeight="1" s="322">
      <c r="A253" s="27" t="n"/>
      <c r="B253" s="506">
        <f>IFERROR(__xludf.DUMMYFUNCTION("""COMPUTED_VALUE"""),46196.6666666666)</f>
        <v/>
      </c>
      <c r="C253" s="141">
        <f>IFERROR(__xludf.DUMMYFUNCTION("""COMPUTED_VALUE"""),91.59)</f>
        <v/>
      </c>
      <c r="D253" s="141">
        <f>IFERROR(__xludf.DUMMYFUNCTION("""COMPUTED_VALUE"""),91.59)</f>
        <v/>
      </c>
      <c r="E253" s="141">
        <f>IFERROR(__xludf.DUMMYFUNCTION("""COMPUTED_VALUE"""),91.58)</f>
        <v/>
      </c>
      <c r="F253" s="141">
        <f>IFERROR(__xludf.DUMMYFUNCTION("""COMPUTED_VALUE"""),91.58)</f>
        <v/>
      </c>
      <c r="G253" s="143">
        <f>IFERROR(__xludf.DUMMYFUNCTION("""COMPUTED_VALUE"""),10017023)</f>
        <v/>
      </c>
      <c r="H253" s="27" t="n"/>
    </row>
    <row r="254" ht="17.25" customHeight="1" s="322">
      <c r="A254" s="27" t="n"/>
      <c r="B254" s="506">
        <f>IFERROR(__xludf.DUMMYFUNCTION("""COMPUTED_VALUE"""),46197.6666666666)</f>
        <v/>
      </c>
      <c r="C254" s="141">
        <f>IFERROR(__xludf.DUMMYFUNCTION("""COMPUTED_VALUE"""),91.6)</f>
        <v/>
      </c>
      <c r="D254" s="141">
        <f>IFERROR(__xludf.DUMMYFUNCTION("""COMPUTED_VALUE"""),91.6)</f>
        <v/>
      </c>
      <c r="E254" s="141">
        <f>IFERROR(__xludf.DUMMYFUNCTION("""COMPUTED_VALUE"""),91.59)</f>
        <v/>
      </c>
      <c r="F254" s="141">
        <f>IFERROR(__xludf.DUMMYFUNCTION("""COMPUTED_VALUE"""),91.59)</f>
        <v/>
      </c>
      <c r="G254" s="143">
        <f>IFERROR(__xludf.DUMMYFUNCTION("""COMPUTED_VALUE"""),10144807)</f>
        <v/>
      </c>
      <c r="H254" s="27" t="n"/>
    </row>
    <row r="255" ht="17.25" customHeight="1" s="322">
      <c r="A255" s="27" t="n"/>
      <c r="B255" s="506">
        <f>IFERROR(__xludf.DUMMYFUNCTION("""COMPUTED_VALUE"""),46198.6666666666)</f>
        <v/>
      </c>
      <c r="C255" s="141">
        <f>IFERROR(__xludf.DUMMYFUNCTION("""COMPUTED_VALUE"""),91.6)</f>
        <v/>
      </c>
      <c r="D255" s="141">
        <f>IFERROR(__xludf.DUMMYFUNCTION("""COMPUTED_VALUE"""),91.61)</f>
        <v/>
      </c>
      <c r="E255" s="141">
        <f>IFERROR(__xludf.DUMMYFUNCTION("""COMPUTED_VALUE"""),91.6)</f>
        <v/>
      </c>
      <c r="F255" s="141">
        <f>IFERROR(__xludf.DUMMYFUNCTION("""COMPUTED_VALUE"""),91.6)</f>
        <v/>
      </c>
      <c r="G255" s="143">
        <f>IFERROR(__xludf.DUMMYFUNCTION("""COMPUTED_VALUE"""),8458598)</f>
        <v/>
      </c>
      <c r="H255" s="27" t="n"/>
    </row>
    <row r="256" ht="17.25" customHeight="1" s="322">
      <c r="A256" s="27" t="n"/>
      <c r="B256" s="506">
        <f>IFERROR(__xludf.DUMMYFUNCTION("""COMPUTED_VALUE"""),46199.6666666666)</f>
        <v/>
      </c>
      <c r="C256" s="141">
        <f>IFERROR(__xludf.DUMMYFUNCTION("""COMPUTED_VALUE"""),91.63)</f>
        <v/>
      </c>
      <c r="D256" s="141">
        <f>IFERROR(__xludf.DUMMYFUNCTION("""COMPUTED_VALUE"""),91.63)</f>
        <v/>
      </c>
      <c r="E256" s="141">
        <f>IFERROR(__xludf.DUMMYFUNCTION("""COMPUTED_VALUE"""),91.62)</f>
        <v/>
      </c>
      <c r="F256" s="141">
        <f>IFERROR(__xludf.DUMMYFUNCTION("""COMPUTED_VALUE"""),91.63)</f>
        <v/>
      </c>
      <c r="G256" s="143">
        <f>IFERROR(__xludf.DUMMYFUNCTION("""COMPUTED_VALUE"""),7481130)</f>
        <v/>
      </c>
      <c r="H256" s="27" t="n"/>
    </row>
    <row r="257" ht="17.25" customHeight="1" s="322">
      <c r="A257" s="27" t="n"/>
      <c r="B257" s="506">
        <f>IFERROR(__xludf.DUMMYFUNCTION("""COMPUTED_VALUE"""),46202.6666666666)</f>
        <v/>
      </c>
      <c r="C257" s="141">
        <f>IFERROR(__xludf.DUMMYFUNCTION("""COMPUTED_VALUE"""),91.64)</f>
        <v/>
      </c>
      <c r="D257" s="141">
        <f>IFERROR(__xludf.DUMMYFUNCTION("""COMPUTED_VALUE"""),91.64)</f>
        <v/>
      </c>
      <c r="E257" s="141">
        <f>IFERROR(__xludf.DUMMYFUNCTION("""COMPUTED_VALUE"""),91.63)</f>
        <v/>
      </c>
      <c r="F257" s="141">
        <f>IFERROR(__xludf.DUMMYFUNCTION("""COMPUTED_VALUE"""),91.64)</f>
        <v/>
      </c>
      <c r="G257" s="143">
        <f>IFERROR(__xludf.DUMMYFUNCTION("""COMPUTED_VALUE"""),11999712)</f>
        <v/>
      </c>
      <c r="H257" s="27" t="n"/>
    </row>
    <row r="258" ht="17.25" customHeight="1" s="322">
      <c r="A258" s="27" t="n"/>
      <c r="B258" s="506">
        <f>IFERROR(__xludf.DUMMYFUNCTION("""COMPUTED_VALUE"""),46203.6666666666)</f>
        <v/>
      </c>
      <c r="C258" s="141">
        <f>IFERROR(__xludf.DUMMYFUNCTION("""COMPUTED_VALUE"""),91.64)</f>
        <v/>
      </c>
      <c r="D258" s="141">
        <f>IFERROR(__xludf.DUMMYFUNCTION("""COMPUTED_VALUE"""),91.65)</f>
        <v/>
      </c>
      <c r="E258" s="141">
        <f>IFERROR(__xludf.DUMMYFUNCTION("""COMPUTED_VALUE"""),91.64)</f>
        <v/>
      </c>
      <c r="F258" s="141">
        <f>IFERROR(__xludf.DUMMYFUNCTION("""COMPUTED_VALUE"""),91.64)</f>
        <v/>
      </c>
      <c r="G258" s="143">
        <f>IFERROR(__xludf.DUMMYFUNCTION("""COMPUTED_VALUE"""),15835720)</f>
        <v/>
      </c>
      <c r="H258" s="27" t="n"/>
    </row>
    <row r="259" ht="17.25" customHeight="1" s="322">
      <c r="A259" s="27" t="n"/>
      <c r="B259" s="506">
        <f>IFERROR(__xludf.DUMMYFUNCTION("""COMPUTED_VALUE"""),46204.6666666666)</f>
        <v/>
      </c>
      <c r="C259" s="141">
        <f>IFERROR(__xludf.DUMMYFUNCTION("""COMPUTED_VALUE"""),91.4)</f>
        <v/>
      </c>
      <c r="D259" s="141">
        <f>IFERROR(__xludf.DUMMYFUNCTION("""COMPUTED_VALUE"""),91.4)</f>
        <v/>
      </c>
      <c r="E259" s="141">
        <f>IFERROR(__xludf.DUMMYFUNCTION("""COMPUTED_VALUE"""),91.39)</f>
        <v/>
      </c>
      <c r="F259" s="141">
        <f>IFERROR(__xludf.DUMMYFUNCTION("""COMPUTED_VALUE"""),91.4)</f>
        <v/>
      </c>
      <c r="G259" s="143">
        <f>IFERROR(__xludf.DUMMYFUNCTION("""COMPUTED_VALUE"""),17069135)</f>
        <v/>
      </c>
      <c r="H259" s="27" t="n"/>
    </row>
    <row r="260" ht="17.25" customHeight="1" s="322">
      <c r="A260" s="27" t="n"/>
      <c r="B260" s="506">
        <f>IFERROR(__xludf.DUMMYFUNCTION("""COMPUTED_VALUE"""),46205.6666666666)</f>
        <v/>
      </c>
      <c r="C260" s="141">
        <f>IFERROR(__xludf.DUMMYFUNCTION("""COMPUTED_VALUE"""),91.43)</f>
        <v/>
      </c>
      <c r="D260" s="141">
        <f>IFERROR(__xludf.DUMMYFUNCTION("""COMPUTED_VALUE"""),91.44)</f>
        <v/>
      </c>
      <c r="E260" s="141">
        <f>IFERROR(__xludf.DUMMYFUNCTION("""COMPUTED_VALUE"""),91.42)</f>
        <v/>
      </c>
      <c r="F260" s="141">
        <f>IFERROR(__xludf.DUMMYFUNCTION("""COMPUTED_VALUE"""),91.44)</f>
        <v/>
      </c>
      <c r="G260" s="143">
        <f>IFERROR(__xludf.DUMMYFUNCTION("""COMPUTED_VALUE"""),10416107)</f>
        <v/>
      </c>
      <c r="H260" s="27" t="n"/>
    </row>
    <row r="261" ht="17.25" customHeight="1" s="322">
      <c r="A261" s="27" t="n"/>
      <c r="B261" s="506">
        <f>IFERROR(__xludf.DUMMYFUNCTION("""COMPUTED_VALUE"""),46209.6666666666)</f>
        <v/>
      </c>
      <c r="C261" s="141">
        <f>IFERROR(__xludf.DUMMYFUNCTION("""COMPUTED_VALUE"""),91.45)</f>
        <v/>
      </c>
      <c r="D261" s="141">
        <f>IFERROR(__xludf.DUMMYFUNCTION("""COMPUTED_VALUE"""),91.45)</f>
        <v/>
      </c>
      <c r="E261" s="141">
        <f>IFERROR(__xludf.DUMMYFUNCTION("""COMPUTED_VALUE"""),91.43)</f>
        <v/>
      </c>
      <c r="F261" s="141">
        <f>IFERROR(__xludf.DUMMYFUNCTION("""COMPUTED_VALUE"""),91.43)</f>
        <v/>
      </c>
      <c r="G261" s="143">
        <f>IFERROR(__xludf.DUMMYFUNCTION("""COMPUTED_VALUE"""),14904991)</f>
        <v/>
      </c>
      <c r="H261" s="27" t="n"/>
    </row>
    <row r="262" ht="17.25" customHeight="1" s="322">
      <c r="A262" s="27" t="n"/>
      <c r="B262" s="506">
        <f>IFERROR(__xludf.DUMMYFUNCTION("""COMPUTED_VALUE"""),46210.6666666666)</f>
        <v/>
      </c>
      <c r="C262" s="141">
        <f>IFERROR(__xludf.DUMMYFUNCTION("""COMPUTED_VALUE"""),91.45)</f>
        <v/>
      </c>
      <c r="D262" s="141">
        <f>IFERROR(__xludf.DUMMYFUNCTION("""COMPUTED_VALUE"""),91.45)</f>
        <v/>
      </c>
      <c r="E262" s="141">
        <f>IFERROR(__xludf.DUMMYFUNCTION("""COMPUTED_VALUE"""),91.44)</f>
        <v/>
      </c>
      <c r="F262" s="141">
        <f>IFERROR(__xludf.DUMMYFUNCTION("""COMPUTED_VALUE"""),91.45)</f>
        <v/>
      </c>
      <c r="G262" s="143">
        <f>IFERROR(__xludf.DUMMYFUNCTION("""COMPUTED_VALUE"""),9221700)</f>
        <v/>
      </c>
      <c r="H262" s="27" t="n"/>
    </row>
    <row r="263" ht="17.25" customHeight="1" s="322">
      <c r="A263" s="27" t="n"/>
      <c r="B263" s="506">
        <f>IFERROR(__xludf.DUMMYFUNCTION("""COMPUTED_VALUE"""),46211.6666666666)</f>
        <v/>
      </c>
      <c r="C263" s="141">
        <f>IFERROR(__xludf.DUMMYFUNCTION("""COMPUTED_VALUE"""),91.46)</f>
        <v/>
      </c>
      <c r="D263" s="141">
        <f>IFERROR(__xludf.DUMMYFUNCTION("""COMPUTED_VALUE"""),91.46)</f>
        <v/>
      </c>
      <c r="E263" s="141">
        <f>IFERROR(__xludf.DUMMYFUNCTION("""COMPUTED_VALUE"""),91.45)</f>
        <v/>
      </c>
      <c r="F263" s="141">
        <f>IFERROR(__xludf.DUMMYFUNCTION("""COMPUTED_VALUE"""),91.45)</f>
        <v/>
      </c>
      <c r="G263" s="143">
        <f>IFERROR(__xludf.DUMMYFUNCTION("""COMPUTED_VALUE"""),8695965)</f>
        <v/>
      </c>
      <c r="H263" s="27" t="n"/>
    </row>
    <row r="264" ht="17.25" customHeight="1" s="322">
      <c r="A264" s="27" t="n"/>
      <c r="B264" s="506">
        <f>IFERROR(__xludf.DUMMYFUNCTION("""COMPUTED_VALUE"""),46212.6666666666)</f>
        <v/>
      </c>
      <c r="C264" s="141">
        <f>IFERROR(__xludf.DUMMYFUNCTION("""COMPUTED_VALUE"""),91.46)</f>
        <v/>
      </c>
      <c r="D264" s="141">
        <f>IFERROR(__xludf.DUMMYFUNCTION("""COMPUTED_VALUE"""),91.47)</f>
        <v/>
      </c>
      <c r="E264" s="141">
        <f>IFERROR(__xludf.DUMMYFUNCTION("""COMPUTED_VALUE"""),91.46)</f>
        <v/>
      </c>
      <c r="F264" s="141">
        <f>IFERROR(__xludf.DUMMYFUNCTION("""COMPUTED_VALUE"""),91.46)</f>
        <v/>
      </c>
      <c r="G264" s="143">
        <f>IFERROR(__xludf.DUMMYFUNCTION("""COMPUTED_VALUE"""),6627229)</f>
        <v/>
      </c>
      <c r="H264" s="27" t="n"/>
    </row>
    <row r="265" ht="17.25" customHeight="1" s="322">
      <c r="A265" s="27" t="n"/>
      <c r="B265" s="506">
        <f>IFERROR(__xludf.DUMMYFUNCTION("""COMPUTED_VALUE"""),46213.6666666666)</f>
        <v/>
      </c>
      <c r="C265" s="141">
        <f>IFERROR(__xludf.DUMMYFUNCTION("""COMPUTED_VALUE"""),91.49)</f>
        <v/>
      </c>
      <c r="D265" s="141">
        <f>IFERROR(__xludf.DUMMYFUNCTION("""COMPUTED_VALUE"""),91.5)</f>
        <v/>
      </c>
      <c r="E265" s="141">
        <f>IFERROR(__xludf.DUMMYFUNCTION("""COMPUTED_VALUE"""),91.49)</f>
        <v/>
      </c>
      <c r="F265" s="141">
        <f>IFERROR(__xludf.DUMMYFUNCTION("""COMPUTED_VALUE"""),91.5)</f>
        <v/>
      </c>
      <c r="G265" s="143">
        <f>IFERROR(__xludf.DUMMYFUNCTION("""COMPUTED_VALUE"""),8434279)</f>
        <v/>
      </c>
      <c r="H265" s="27" t="n"/>
    </row>
    <row r="266" ht="17.25" customHeight="1" s="322">
      <c r="A266" s="27" t="n"/>
      <c r="B266" s="506">
        <f>IFERROR(__xludf.DUMMYFUNCTION("""COMPUTED_VALUE"""),46216.6666666666)</f>
        <v/>
      </c>
      <c r="C266" s="141">
        <f>IFERROR(__xludf.DUMMYFUNCTION("""COMPUTED_VALUE"""),91.51)</f>
        <v/>
      </c>
      <c r="D266" s="141">
        <f>IFERROR(__xludf.DUMMYFUNCTION("""COMPUTED_VALUE"""),91.51)</f>
        <v/>
      </c>
      <c r="E266" s="141">
        <f>IFERROR(__xludf.DUMMYFUNCTION("""COMPUTED_VALUE"""),91.5)</f>
        <v/>
      </c>
      <c r="F266" s="141">
        <f>IFERROR(__xludf.DUMMYFUNCTION("""COMPUTED_VALUE"""),91.5)</f>
        <v/>
      </c>
      <c r="G266" s="143">
        <f>IFERROR(__xludf.DUMMYFUNCTION("""COMPUTED_VALUE"""),6733012)</f>
        <v/>
      </c>
      <c r="H266" s="27" t="n"/>
    </row>
    <row r="267" ht="17.25" customHeight="1" s="322">
      <c r="A267" s="27" t="n"/>
      <c r="B267" s="506">
        <f>IFERROR(__xludf.DUMMYFUNCTION("""COMPUTED_VALUE"""),46217.6666666666)</f>
        <v/>
      </c>
      <c r="C267" s="141">
        <f>IFERROR(__xludf.DUMMYFUNCTION("""COMPUTED_VALUE"""),91.5)</f>
        <v/>
      </c>
      <c r="D267" s="141">
        <f>IFERROR(__xludf.DUMMYFUNCTION("""COMPUTED_VALUE"""),91.51)</f>
        <v/>
      </c>
      <c r="E267" s="141">
        <f>IFERROR(__xludf.DUMMYFUNCTION("""COMPUTED_VALUE"""),91.5)</f>
        <v/>
      </c>
      <c r="F267" s="141">
        <f>IFERROR(__xludf.DUMMYFUNCTION("""COMPUTED_VALUE"""),91.51)</f>
        <v/>
      </c>
      <c r="G267" s="143">
        <f>IFERROR(__xludf.DUMMYFUNCTION("""COMPUTED_VALUE"""),6089130)</f>
        <v/>
      </c>
      <c r="H267" s="27" t="n"/>
    </row>
    <row r="268" ht="17.25" customHeight="1" s="322">
      <c r="A268" s="27" t="n"/>
      <c r="B268" s="506">
        <f>IFERROR(__xludf.DUMMYFUNCTION("""COMPUTED_VALUE"""),46218.6666666666)</f>
        <v/>
      </c>
      <c r="C268" s="141">
        <f>IFERROR(__xludf.DUMMYFUNCTION("""COMPUTED_VALUE"""),91.52)</f>
        <v/>
      </c>
      <c r="D268" s="141">
        <f>IFERROR(__xludf.DUMMYFUNCTION("""COMPUTED_VALUE"""),91.52)</f>
        <v/>
      </c>
      <c r="E268" s="141">
        <f>IFERROR(__xludf.DUMMYFUNCTION("""COMPUTED_VALUE"""),91.51)</f>
        <v/>
      </c>
      <c r="F268" s="141">
        <f>IFERROR(__xludf.DUMMYFUNCTION("""COMPUTED_VALUE"""),91.52)</f>
        <v/>
      </c>
      <c r="G268" s="143">
        <f>IFERROR(__xludf.DUMMYFUNCTION("""COMPUTED_VALUE"""),11497161)</f>
        <v/>
      </c>
      <c r="H268" s="27" t="n"/>
    </row>
    <row r="269" ht="17.25" customHeight="1" s="322">
      <c r="A269" s="27" t="n"/>
      <c r="B269" s="506">
        <f>IFERROR(__xludf.DUMMYFUNCTION("""COMPUTED_VALUE"""),46219.6666666666)</f>
        <v/>
      </c>
      <c r="C269" s="141">
        <f>IFERROR(__xludf.DUMMYFUNCTION("""COMPUTED_VALUE"""),91.52)</f>
        <v/>
      </c>
      <c r="D269" s="141">
        <f>IFERROR(__xludf.DUMMYFUNCTION("""COMPUTED_VALUE"""),91.53)</f>
        <v/>
      </c>
      <c r="E269" s="141">
        <f>IFERROR(__xludf.DUMMYFUNCTION("""COMPUTED_VALUE"""),91.52)</f>
        <v/>
      </c>
      <c r="F269" s="141">
        <f>IFERROR(__xludf.DUMMYFUNCTION("""COMPUTED_VALUE"""),91.53)</f>
        <v/>
      </c>
      <c r="G269" s="143">
        <f>IFERROR(__xludf.DUMMYFUNCTION("""COMPUTED_VALUE"""),9655218)</f>
        <v/>
      </c>
      <c r="H269" s="27" t="n"/>
    </row>
    <row r="270" ht="17.25" customHeight="1" s="322">
      <c r="A270" s="27" t="n"/>
      <c r="B270" s="506">
        <f>IFERROR(__xludf.DUMMYFUNCTION("""COMPUTED_VALUE"""),46220.6666666666)</f>
        <v/>
      </c>
      <c r="C270" s="141">
        <f>IFERROR(__xludf.DUMMYFUNCTION("""COMPUTED_VALUE"""),91.55)</f>
        <v/>
      </c>
      <c r="D270" s="141">
        <f>IFERROR(__xludf.DUMMYFUNCTION("""COMPUTED_VALUE"""),91.56)</f>
        <v/>
      </c>
      <c r="E270" s="141">
        <f>IFERROR(__xludf.DUMMYFUNCTION("""COMPUTED_VALUE"""),91.54)</f>
        <v/>
      </c>
      <c r="F270" s="141">
        <f>IFERROR(__xludf.DUMMYFUNCTION("""COMPUTED_VALUE"""),91.55)</f>
        <v/>
      </c>
      <c r="G270" s="143">
        <f>IFERROR(__xludf.DUMMYFUNCTION("""COMPUTED_VALUE"""),15104641)</f>
        <v/>
      </c>
      <c r="H270" s="27" t="n"/>
    </row>
    <row r="271" ht="17.25" customHeight="1" s="322">
      <c r="A271" s="27" t="n"/>
      <c r="B271" s="506">
        <f>IFERROR(__xludf.DUMMYFUNCTION("""COMPUTED_VALUE"""),46223.6666666666)</f>
        <v/>
      </c>
      <c r="C271" s="141">
        <f>IFERROR(__xludf.DUMMYFUNCTION("""COMPUTED_VALUE"""),91.56)</f>
        <v/>
      </c>
      <c r="D271" s="141">
        <f>IFERROR(__xludf.DUMMYFUNCTION("""COMPUTED_VALUE"""),91.57)</f>
        <v/>
      </c>
      <c r="E271" s="141">
        <f>IFERROR(__xludf.DUMMYFUNCTION("""COMPUTED_VALUE"""),91.56)</f>
        <v/>
      </c>
      <c r="F271" s="141">
        <f>IFERROR(__xludf.DUMMYFUNCTION("""COMPUTED_VALUE"""),91.56)</f>
        <v/>
      </c>
      <c r="G271" s="143">
        <f>IFERROR(__xludf.DUMMYFUNCTION("""COMPUTED_VALUE"""),7275612)</f>
        <v/>
      </c>
      <c r="H271" s="27" t="n"/>
    </row>
    <row r="272" ht="17.25" customHeight="1" s="322">
      <c r="A272" s="27" t="n"/>
      <c r="B272" s="506">
        <f>IFERROR(__xludf.DUMMYFUNCTION("""COMPUTED_VALUE"""),46224.6666666666)</f>
        <v/>
      </c>
      <c r="C272" s="141">
        <f>IFERROR(__xludf.DUMMYFUNCTION("""COMPUTED_VALUE"""),91.57)</f>
        <v/>
      </c>
      <c r="D272" s="141">
        <f>IFERROR(__xludf.DUMMYFUNCTION("""COMPUTED_VALUE"""),91.57)</f>
        <v/>
      </c>
      <c r="E272" s="141">
        <f>IFERROR(__xludf.DUMMYFUNCTION("""COMPUTED_VALUE"""),91.56)</f>
        <v/>
      </c>
      <c r="F272" s="141">
        <f>IFERROR(__xludf.DUMMYFUNCTION("""COMPUTED_VALUE"""),91.56)</f>
        <v/>
      </c>
      <c r="G272" s="143">
        <f>IFERROR(__xludf.DUMMYFUNCTION("""COMPUTED_VALUE"""),6698367)</f>
        <v/>
      </c>
      <c r="H272" s="27" t="n"/>
    </row>
    <row r="273" ht="17.25" customHeight="1" s="322">
      <c r="A273" s="27" t="n"/>
      <c r="B273" s="506">
        <f>IFERROR(__xludf.DUMMYFUNCTION("""COMPUTED_VALUE"""),46225.6666666666)</f>
        <v/>
      </c>
      <c r="C273" s="141">
        <f>IFERROR(__xludf.DUMMYFUNCTION("""COMPUTED_VALUE"""),91.58)</f>
        <v/>
      </c>
      <c r="D273" s="141">
        <f>IFERROR(__xludf.DUMMYFUNCTION("""COMPUTED_VALUE"""),91.58)</f>
        <v/>
      </c>
      <c r="E273" s="141">
        <f>IFERROR(__xludf.DUMMYFUNCTION("""COMPUTED_VALUE"""),91.57)</f>
        <v/>
      </c>
      <c r="F273" s="141">
        <f>IFERROR(__xludf.DUMMYFUNCTION("""COMPUTED_VALUE"""),91.58)</f>
        <v/>
      </c>
      <c r="G273" s="143">
        <f>IFERROR(__xludf.DUMMYFUNCTION("""COMPUTED_VALUE"""),6641745)</f>
        <v/>
      </c>
      <c r="H273" s="27" t="n"/>
    </row>
    <row r="274" ht="17.25" customHeight="1" s="322">
      <c r="A274" s="27" t="n"/>
      <c r="B274" s="506">
        <f>IFERROR(__xludf.DUMMYFUNCTION("""COMPUTED_VALUE"""),46226.6666666666)</f>
        <v/>
      </c>
      <c r="C274" s="141">
        <f>IFERROR(__xludf.DUMMYFUNCTION("""COMPUTED_VALUE"""),91.59)</f>
        <v/>
      </c>
      <c r="D274" s="141">
        <f>IFERROR(__xludf.DUMMYFUNCTION("""COMPUTED_VALUE"""),91.59)</f>
        <v/>
      </c>
      <c r="E274" s="141">
        <f>IFERROR(__xludf.DUMMYFUNCTION("""COMPUTED_VALUE"""),91.58)</f>
        <v/>
      </c>
      <c r="F274" s="141">
        <f>IFERROR(__xludf.DUMMYFUNCTION("""COMPUTED_VALUE"""),91.58)</f>
        <v/>
      </c>
      <c r="G274" s="143">
        <f>IFERROR(__xludf.DUMMYFUNCTION("""COMPUTED_VALUE"""),8378478)</f>
        <v/>
      </c>
      <c r="H274" s="27" t="n"/>
    </row>
    <row r="275" ht="17.25" customHeight="1" s="322">
      <c r="A275" s="27" t="n"/>
      <c r="B275" s="506">
        <f>IFERROR(__xludf.DUMMYFUNCTION("""COMPUTED_VALUE"""),46227.6666666666)</f>
        <v/>
      </c>
      <c r="C275" s="141">
        <f>IFERROR(__xludf.DUMMYFUNCTION("""COMPUTED_VALUE"""),91.61)</f>
        <v/>
      </c>
      <c r="D275" s="141">
        <f>IFERROR(__xludf.DUMMYFUNCTION("""COMPUTED_VALUE"""),91.61)</f>
        <v/>
      </c>
      <c r="E275" s="141">
        <f>IFERROR(__xludf.DUMMYFUNCTION("""COMPUTED_VALUE"""),91.6)</f>
        <v/>
      </c>
      <c r="F275" s="141">
        <f>IFERROR(__xludf.DUMMYFUNCTION("""COMPUTED_VALUE"""),91.61)</f>
        <v/>
      </c>
      <c r="G275" s="143">
        <f>IFERROR(__xludf.DUMMYFUNCTION("""COMPUTED_VALUE"""),6414998)</f>
        <v/>
      </c>
      <c r="H275" s="27" t="n"/>
    </row>
    <row r="276" ht="17.25" customHeight="1" s="322">
      <c r="A276" s="27" t="n"/>
      <c r="B276" s="506">
        <f>IFERROR(__xludf.DUMMYFUNCTION("""COMPUTED_VALUE"""),46230.6666666666)</f>
        <v/>
      </c>
      <c r="C276" s="141">
        <f>IFERROR(__xludf.DUMMYFUNCTION("""COMPUTED_VALUE"""),91.61)</f>
        <v/>
      </c>
      <c r="D276" s="141">
        <f>IFERROR(__xludf.DUMMYFUNCTION("""COMPUTED_VALUE"""),91.62)</f>
        <v/>
      </c>
      <c r="E276" s="141">
        <f>IFERROR(__xludf.DUMMYFUNCTION("""COMPUTED_VALUE"""),91.61)</f>
        <v/>
      </c>
      <c r="F276" s="141">
        <f>IFERROR(__xludf.DUMMYFUNCTION("""COMPUTED_VALUE"""),91.62)</f>
        <v/>
      </c>
      <c r="G276" s="143">
        <f>IFERROR(__xludf.DUMMYFUNCTION("""COMPUTED_VALUE"""),9280946)</f>
        <v/>
      </c>
      <c r="H276" s="27" t="n"/>
    </row>
    <row r="277" ht="17.25" customHeight="1" s="322">
      <c r="A277" s="27" t="n"/>
      <c r="B277" s="506">
        <f>IFERROR(__xludf.DUMMYFUNCTION("""COMPUTED_VALUE"""),46231.6666666666)</f>
        <v/>
      </c>
      <c r="C277" s="141">
        <f>IFERROR(__xludf.DUMMYFUNCTION("""COMPUTED_VALUE"""),91.63)</f>
        <v/>
      </c>
      <c r="D277" s="141">
        <f>IFERROR(__xludf.DUMMYFUNCTION("""COMPUTED_VALUE"""),91.63)</f>
        <v/>
      </c>
      <c r="E277" s="141">
        <f>IFERROR(__xludf.DUMMYFUNCTION("""COMPUTED_VALUE"""),91.62)</f>
        <v/>
      </c>
      <c r="F277" s="141">
        <f>IFERROR(__xludf.DUMMYFUNCTION("""COMPUTED_VALUE"""),91.63)</f>
        <v/>
      </c>
      <c r="G277" s="143">
        <f>IFERROR(__xludf.DUMMYFUNCTION("""COMPUTED_VALUE"""),8817010)</f>
        <v/>
      </c>
      <c r="H277" s="27" t="n"/>
    </row>
    <row r="278" ht="17.25" customHeight="1" s="322">
      <c r="A278" s="27" t="n"/>
      <c r="B278" s="506">
        <f>IFERROR(__xludf.DUMMYFUNCTION("""COMPUTED_VALUE"""),46232.6666666666)</f>
        <v/>
      </c>
      <c r="C278" s="141">
        <f>IFERROR(__xludf.DUMMYFUNCTION("""COMPUTED_VALUE"""),91.63)</f>
        <v/>
      </c>
      <c r="D278" s="141">
        <f>IFERROR(__xludf.DUMMYFUNCTION("""COMPUTED_VALUE"""),91.64)</f>
        <v/>
      </c>
      <c r="E278" s="141">
        <f>IFERROR(__xludf.DUMMYFUNCTION("""COMPUTED_VALUE"""),91.63)</f>
        <v/>
      </c>
      <c r="F278" s="141">
        <f>IFERROR(__xludf.DUMMYFUNCTION("""COMPUTED_VALUE"""),91.64)</f>
        <v/>
      </c>
      <c r="G278" s="143">
        <f>IFERROR(__xludf.DUMMYFUNCTION("""COMPUTED_VALUE"""),6521721)</f>
        <v/>
      </c>
      <c r="H278" s="27" t="n"/>
    </row>
    <row r="279" ht="17.25" customHeight="1" s="322">
      <c r="A279" s="27" t="n"/>
      <c r="B279" s="506" t="n"/>
      <c r="C279" s="141" t="n"/>
      <c r="D279" s="141" t="n"/>
      <c r="E279" s="141" t="n"/>
      <c r="F279" s="141" t="n"/>
      <c r="G279" s="143" t="n"/>
      <c r="H279" s="27" t="n"/>
    </row>
    <row r="280" ht="17.25" customHeight="1" s="322">
      <c r="A280" s="27" t="n"/>
      <c r="B280" s="506" t="n"/>
      <c r="C280" s="141" t="n"/>
      <c r="D280" s="141" t="n"/>
      <c r="E280" s="141" t="n"/>
      <c r="F280" s="141" t="n"/>
      <c r="G280" s="143" t="n"/>
      <c r="H280" s="27" t="n"/>
    </row>
    <row r="281" ht="17.25" customHeight="1" s="322">
      <c r="A281" s="27" t="n"/>
      <c r="B281" s="506" t="n"/>
      <c r="C281" s="141" t="n"/>
      <c r="D281" s="141" t="n"/>
      <c r="E281" s="141" t="n"/>
      <c r="F281" s="141" t="n"/>
      <c r="G281" s="143" t="n"/>
      <c r="H281" s="27" t="n"/>
    </row>
    <row r="282" ht="17.25" customHeight="1" s="322">
      <c r="A282" s="27" t="n"/>
      <c r="B282" s="506" t="n"/>
      <c r="C282" s="141" t="n"/>
      <c r="D282" s="141" t="n"/>
      <c r="E282" s="141" t="n"/>
      <c r="F282" s="141" t="n"/>
      <c r="G282" s="143" t="n"/>
      <c r="H282" s="27" t="n"/>
    </row>
    <row r="283" ht="17.25" customHeight="1" s="322">
      <c r="A283" s="27" t="n"/>
      <c r="B283" s="506" t="n"/>
      <c r="C283" s="141" t="n"/>
      <c r="D283" s="141" t="n"/>
      <c r="E283" s="141" t="n"/>
      <c r="F283" s="141" t="n"/>
      <c r="G283" s="143" t="n"/>
      <c r="H283" s="27" t="n"/>
    </row>
    <row r="284" ht="17.25" customHeight="1" s="322">
      <c r="A284" s="27" t="n"/>
      <c r="B284" s="506" t="n"/>
      <c r="C284" s="141" t="n"/>
      <c r="D284" s="141" t="n"/>
      <c r="E284" s="141" t="n"/>
      <c r="F284" s="141" t="n"/>
      <c r="G284" s="143" t="n"/>
      <c r="H284" s="27" t="n"/>
    </row>
    <row r="285" ht="17.25" customHeight="1" s="322">
      <c r="A285" s="27" t="n"/>
      <c r="B285" s="506" t="n"/>
      <c r="C285" s="141" t="n"/>
      <c r="D285" s="141" t="n"/>
      <c r="E285" s="141" t="n"/>
      <c r="F285" s="141" t="n"/>
      <c r="G285" s="143" t="n"/>
      <c r="H285" s="27" t="n"/>
    </row>
    <row r="286" ht="17.25" customHeight="1" s="322">
      <c r="A286" s="27" t="n"/>
      <c r="B286" s="506" t="n"/>
      <c r="C286" s="141" t="n"/>
      <c r="D286" s="141" t="n"/>
      <c r="E286" s="141" t="n"/>
      <c r="F286" s="141" t="n"/>
      <c r="G286" s="143" t="n"/>
      <c r="H286" s="27" t="n"/>
    </row>
    <row r="287" ht="17.25" customHeight="1" s="322">
      <c r="A287" s="27" t="n"/>
      <c r="B287" s="506" t="n"/>
      <c r="C287" s="141" t="n"/>
      <c r="D287" s="141" t="n"/>
      <c r="E287" s="141" t="n"/>
      <c r="F287" s="141" t="n"/>
      <c r="G287" s="143" t="n"/>
      <c r="H287" s="27" t="n"/>
    </row>
    <row r="288" ht="17.25" customHeight="1" s="322">
      <c r="A288" s="27" t="n"/>
      <c r="B288" s="506" t="n"/>
      <c r="C288" s="141" t="n"/>
      <c r="D288" s="141" t="n"/>
      <c r="E288" s="141" t="n"/>
      <c r="F288" s="141" t="n"/>
      <c r="G288" s="143" t="n"/>
      <c r="H288" s="27" t="n"/>
    </row>
    <row r="289" ht="17.25" customHeight="1" s="322">
      <c r="A289" s="27" t="n"/>
      <c r="B289" s="506" t="n"/>
      <c r="C289" s="141" t="n"/>
      <c r="D289" s="141" t="n"/>
      <c r="E289" s="141" t="n"/>
      <c r="F289" s="141" t="n"/>
      <c r="G289" s="143" t="n"/>
      <c r="H289" s="27" t="n"/>
    </row>
    <row r="290" ht="17.25" customHeight="1" s="322">
      <c r="A290" s="27" t="n"/>
      <c r="B290" s="506" t="n"/>
      <c r="C290" s="141" t="n"/>
      <c r="D290" s="141" t="n"/>
      <c r="E290" s="141" t="n"/>
      <c r="F290" s="141" t="n"/>
      <c r="G290" s="143" t="n"/>
      <c r="H290" s="27" t="n"/>
    </row>
    <row r="291" ht="17.25" customHeight="1" s="322">
      <c r="A291" s="27" t="n"/>
      <c r="B291" s="506" t="n"/>
      <c r="C291" s="141" t="n"/>
      <c r="D291" s="141" t="n"/>
      <c r="E291" s="141" t="n"/>
      <c r="F291" s="141" t="n"/>
      <c r="G291" s="143" t="n"/>
      <c r="H291" s="27" t="n"/>
    </row>
    <row r="292" ht="17.25" customHeight="1" s="322">
      <c r="A292" s="27" t="n"/>
      <c r="B292" s="506" t="n"/>
      <c r="C292" s="141" t="n"/>
      <c r="D292" s="141" t="n"/>
      <c r="E292" s="141" t="n"/>
      <c r="F292" s="141" t="n"/>
      <c r="G292" s="143" t="n"/>
      <c r="H292" s="27" t="n"/>
    </row>
    <row r="293" ht="17.25" customHeight="1" s="322">
      <c r="A293" s="27" t="n"/>
      <c r="B293" s="506" t="n"/>
      <c r="C293" s="141" t="n"/>
      <c r="D293" s="141" t="n"/>
      <c r="E293" s="141" t="n"/>
      <c r="F293" s="141" t="n"/>
      <c r="G293" s="143" t="n"/>
      <c r="H293" s="27" t="n"/>
    </row>
    <row r="294" ht="17.25" customHeight="1" s="322">
      <c r="A294" s="27" t="n"/>
      <c r="B294" s="506" t="n"/>
      <c r="C294" s="141" t="n"/>
      <c r="D294" s="141" t="n"/>
      <c r="E294" s="141" t="n"/>
      <c r="F294" s="141" t="n"/>
      <c r="G294" s="143" t="n"/>
      <c r="H294" s="27" t="n"/>
    </row>
    <row r="295" ht="17.25" customHeight="1" s="322">
      <c r="A295" s="27" t="n"/>
      <c r="B295" s="506" t="n"/>
      <c r="C295" s="141" t="n"/>
      <c r="D295" s="141" t="n"/>
      <c r="E295" s="141" t="n"/>
      <c r="F295" s="141" t="n"/>
      <c r="G295" s="143" t="n"/>
      <c r="H295" s="27" t="n"/>
    </row>
    <row r="296" ht="17.25" customHeight="1" s="322">
      <c r="A296" s="27" t="n"/>
      <c r="B296" s="506" t="n"/>
      <c r="C296" s="141" t="n"/>
      <c r="D296" s="141" t="n"/>
      <c r="E296" s="141" t="n"/>
      <c r="F296" s="141" t="n"/>
      <c r="G296" s="143" t="n"/>
      <c r="H296" s="27" t="n"/>
    </row>
    <row r="297" ht="17.25" customHeight="1" s="322">
      <c r="A297" s="27" t="n"/>
      <c r="B297" s="506" t="n"/>
      <c r="C297" s="141" t="n"/>
      <c r="D297" s="141" t="n"/>
      <c r="E297" s="141" t="n"/>
      <c r="F297" s="141" t="n"/>
      <c r="G297" s="143" t="n"/>
      <c r="H297" s="27" t="n"/>
    </row>
    <row r="298" ht="17.25" customHeight="1" s="322">
      <c r="A298" s="27" t="n"/>
      <c r="B298" s="506" t="n"/>
      <c r="C298" s="141" t="n"/>
      <c r="D298" s="141" t="n"/>
      <c r="E298" s="141" t="n"/>
      <c r="F298" s="141" t="n"/>
      <c r="G298" s="143" t="n"/>
      <c r="H298" s="27" t="n"/>
    </row>
    <row r="299" ht="17.25" customHeight="1" s="322">
      <c r="A299" s="27" t="n"/>
      <c r="B299" s="506" t="n"/>
      <c r="C299" s="141" t="n"/>
      <c r="D299" s="141" t="n"/>
      <c r="E299" s="141" t="n"/>
      <c r="F299" s="141" t="n"/>
      <c r="G299" s="143" t="n"/>
      <c r="H299" s="27" t="n"/>
    </row>
    <row r="300" ht="17.25" customHeight="1" s="322">
      <c r="A300" s="27" t="n"/>
      <c r="B300" s="506" t="n"/>
      <c r="C300" s="141" t="n"/>
      <c r="D300" s="141" t="n"/>
      <c r="E300" s="141" t="n"/>
      <c r="F300" s="141" t="n"/>
      <c r="G300" s="143" t="n"/>
      <c r="H300" s="27" t="n"/>
    </row>
    <row r="301" ht="17.25" customHeight="1" s="322">
      <c r="A301" s="27" t="n"/>
      <c r="B301" s="506" t="n"/>
      <c r="C301" s="141" t="n"/>
      <c r="D301" s="141" t="n"/>
      <c r="E301" s="141" t="n"/>
      <c r="F301" s="141" t="n"/>
      <c r="G301" s="143" t="n"/>
      <c r="H301" s="27" t="n"/>
    </row>
    <row r="302" ht="17.25" customHeight="1" s="322">
      <c r="A302" s="27" t="n"/>
      <c r="B302" s="506" t="n"/>
      <c r="C302" s="141" t="n"/>
      <c r="D302" s="141" t="n"/>
      <c r="E302" s="141" t="n"/>
      <c r="F302" s="141" t="n"/>
      <c r="G302" s="143" t="n"/>
      <c r="H302" s="27" t="n"/>
    </row>
    <row r="303" ht="17.25" customHeight="1" s="322">
      <c r="A303" s="27" t="n"/>
      <c r="B303" s="506" t="n"/>
      <c r="C303" s="141" t="n"/>
      <c r="D303" s="141" t="n"/>
      <c r="E303" s="141" t="n"/>
      <c r="F303" s="141" t="n"/>
      <c r="G303" s="143" t="n"/>
      <c r="H303" s="27" t="n"/>
    </row>
    <row r="304" ht="17.25" customHeight="1" s="322">
      <c r="A304" s="27" t="n"/>
      <c r="B304" s="506" t="n"/>
      <c r="C304" s="141" t="n"/>
      <c r="D304" s="141" t="n"/>
      <c r="E304" s="141" t="n"/>
      <c r="F304" s="141" t="n"/>
      <c r="G304" s="143" t="n"/>
      <c r="H304" s="27" t="n"/>
    </row>
    <row r="305" ht="17.25" customHeight="1" s="322">
      <c r="A305" s="27" t="n"/>
      <c r="B305" s="506" t="n"/>
      <c r="C305" s="141" t="n"/>
      <c r="D305" s="141" t="n"/>
      <c r="E305" s="141" t="n"/>
      <c r="F305" s="141" t="n"/>
      <c r="G305" s="143" t="n"/>
      <c r="H305" s="27" t="n"/>
    </row>
    <row r="306" ht="17.25" customHeight="1" s="322">
      <c r="A306" s="27" t="n"/>
      <c r="B306" s="506" t="n"/>
      <c r="C306" s="141" t="n"/>
      <c r="D306" s="141" t="n"/>
      <c r="E306" s="141" t="n"/>
      <c r="F306" s="141" t="n"/>
      <c r="G306" s="143" t="n"/>
      <c r="H306" s="27" t="n"/>
    </row>
    <row r="307" ht="17.25" customHeight="1" s="322">
      <c r="A307" s="27" t="n"/>
      <c r="B307" s="506" t="n"/>
      <c r="C307" s="141" t="n"/>
      <c r="D307" s="141" t="n"/>
      <c r="E307" s="141" t="n"/>
      <c r="F307" s="141" t="n"/>
      <c r="G307" s="143" t="n"/>
      <c r="H307" s="27" t="n"/>
    </row>
    <row r="308" ht="17.25" customHeight="1" s="322">
      <c r="A308" s="27" t="n"/>
      <c r="B308" s="506" t="n"/>
      <c r="C308" s="141" t="n"/>
      <c r="D308" s="141" t="n"/>
      <c r="E308" s="141" t="n"/>
      <c r="F308" s="141" t="n"/>
      <c r="G308" s="143" t="n"/>
      <c r="H308" s="27" t="n"/>
    </row>
    <row r="309" ht="17.25" customHeight="1" s="322">
      <c r="A309" s="27" t="n"/>
      <c r="B309" s="506" t="n"/>
      <c r="C309" s="141" t="n"/>
      <c r="D309" s="141" t="n"/>
      <c r="E309" s="141" t="n"/>
      <c r="F309" s="141" t="n"/>
      <c r="G309" s="143" t="n"/>
      <c r="H309" s="27" t="n"/>
    </row>
    <row r="310" ht="17.25" customHeight="1" s="322">
      <c r="A310" s="27" t="n"/>
      <c r="B310" s="506" t="n"/>
      <c r="C310" s="141" t="n"/>
      <c r="D310" s="141" t="n"/>
      <c r="E310" s="141" t="n"/>
      <c r="F310" s="141" t="n"/>
      <c r="G310" s="143" t="n"/>
      <c r="H310" s="27" t="n"/>
    </row>
    <row r="311" ht="17.25" customHeight="1" s="322">
      <c r="A311" s="27" t="n"/>
      <c r="B311" s="506" t="n"/>
      <c r="C311" s="141" t="n"/>
      <c r="D311" s="141" t="n"/>
      <c r="E311" s="141" t="n"/>
      <c r="F311" s="141" t="n"/>
      <c r="G311" s="143" t="n"/>
      <c r="H311" s="27" t="n"/>
    </row>
    <row r="312" ht="17.25" customHeight="1" s="322">
      <c r="A312" s="27" t="n"/>
      <c r="B312" s="506" t="n"/>
      <c r="C312" s="141" t="n"/>
      <c r="D312" s="141" t="n"/>
      <c r="E312" s="141" t="n"/>
      <c r="F312" s="141" t="n"/>
      <c r="G312" s="143" t="n"/>
      <c r="H312" s="27" t="n"/>
    </row>
    <row r="313" ht="17.25" customHeight="1" s="322">
      <c r="A313" s="27" t="n"/>
      <c r="B313" s="506" t="n"/>
      <c r="C313" s="141" t="n"/>
      <c r="D313" s="141" t="n"/>
      <c r="E313" s="141" t="n"/>
      <c r="F313" s="141" t="n"/>
      <c r="G313" s="143" t="n"/>
      <c r="H313" s="27" t="n"/>
    </row>
    <row r="314" ht="17.25" customHeight="1" s="322">
      <c r="A314" s="27" t="n"/>
      <c r="B314" s="506" t="n"/>
      <c r="C314" s="141" t="n"/>
      <c r="D314" s="141" t="n"/>
      <c r="E314" s="141" t="n"/>
      <c r="F314" s="141" t="n"/>
      <c r="G314" s="143" t="n"/>
      <c r="H314" s="27" t="n"/>
    </row>
    <row r="315" ht="17.25" customHeight="1" s="322">
      <c r="A315" s="27" t="n"/>
      <c r="B315" s="506" t="n"/>
      <c r="C315" s="141" t="n"/>
      <c r="D315" s="141" t="n"/>
      <c r="E315" s="141" t="n"/>
      <c r="F315" s="141" t="n"/>
      <c r="G315" s="143" t="n"/>
      <c r="H315" s="27" t="n"/>
    </row>
    <row r="316" ht="17.25" customHeight="1" s="322">
      <c r="A316" s="27" t="n"/>
      <c r="B316" s="506" t="n"/>
      <c r="C316" s="141" t="n"/>
      <c r="D316" s="141" t="n"/>
      <c r="E316" s="141" t="n"/>
      <c r="F316" s="141" t="n"/>
      <c r="G316" s="143" t="n"/>
      <c r="H316" s="27" t="n"/>
    </row>
    <row r="317" ht="17.25" customHeight="1" s="322">
      <c r="A317" s="27" t="n"/>
      <c r="B317" s="506" t="n"/>
      <c r="C317" s="141" t="n"/>
      <c r="D317" s="141" t="n"/>
      <c r="E317" s="141" t="n"/>
      <c r="F317" s="141" t="n"/>
      <c r="G317" s="143" t="n"/>
      <c r="H317" s="27" t="n"/>
    </row>
    <row r="318" ht="17.25" customHeight="1" s="322">
      <c r="A318" s="27" t="n"/>
      <c r="B318" s="506" t="n"/>
      <c r="C318" s="141" t="n"/>
      <c r="D318" s="141" t="n"/>
      <c r="E318" s="141" t="n"/>
      <c r="F318" s="141" t="n"/>
      <c r="G318" s="143" t="n"/>
      <c r="H318" s="27" t="n"/>
    </row>
    <row r="319" ht="17.25" customHeight="1" s="322">
      <c r="A319" s="27" t="n"/>
      <c r="B319" s="506" t="n"/>
      <c r="C319" s="141" t="n"/>
      <c r="D319" s="141" t="n"/>
      <c r="E319" s="141" t="n"/>
      <c r="F319" s="141" t="n"/>
      <c r="G319" s="143" t="n"/>
      <c r="H319" s="27" t="n"/>
    </row>
    <row r="320" ht="17.25" customHeight="1" s="322">
      <c r="A320" s="27" t="n"/>
      <c r="B320" s="506" t="n"/>
      <c r="C320" s="141" t="n"/>
      <c r="D320" s="141" t="n"/>
      <c r="E320" s="141" t="n"/>
      <c r="F320" s="141" t="n"/>
      <c r="G320" s="143" t="n"/>
      <c r="H320" s="27" t="n"/>
    </row>
    <row r="321" ht="17.25" customHeight="1" s="322">
      <c r="A321" s="27" t="n"/>
      <c r="B321" s="506" t="n"/>
      <c r="C321" s="141" t="n"/>
      <c r="D321" s="141" t="n"/>
      <c r="E321" s="141" t="n"/>
      <c r="F321" s="141" t="n"/>
      <c r="G321" s="143" t="n"/>
      <c r="H321" s="27" t="n"/>
    </row>
    <row r="322" ht="17.25" customHeight="1" s="322">
      <c r="A322" s="27" t="n"/>
      <c r="B322" s="506" t="n"/>
      <c r="C322" s="141" t="n"/>
      <c r="D322" s="141" t="n"/>
      <c r="E322" s="141" t="n"/>
      <c r="F322" s="141" t="n"/>
      <c r="G322" s="143" t="n"/>
      <c r="H322" s="27" t="n"/>
    </row>
    <row r="323" ht="17.25" customHeight="1" s="322">
      <c r="A323" s="27" t="n"/>
      <c r="B323" s="506" t="n"/>
      <c r="C323" s="141" t="n"/>
      <c r="D323" s="141" t="n"/>
      <c r="E323" s="141" t="n"/>
      <c r="F323" s="141" t="n"/>
      <c r="G323" s="143" t="n"/>
      <c r="H323" s="27" t="n"/>
    </row>
    <row r="324" ht="17.25" customHeight="1" s="322">
      <c r="A324" s="27" t="n"/>
      <c r="B324" s="506" t="n"/>
      <c r="C324" s="141" t="n"/>
      <c r="D324" s="141" t="n"/>
      <c r="E324" s="141" t="n"/>
      <c r="F324" s="141" t="n"/>
      <c r="G324" s="143" t="n"/>
      <c r="H324" s="27" t="n"/>
    </row>
    <row r="325" ht="17.25" customHeight="1" s="322">
      <c r="A325" s="27" t="n"/>
      <c r="B325" s="506" t="n"/>
      <c r="C325" s="141" t="n"/>
      <c r="D325" s="141" t="n"/>
      <c r="E325" s="141" t="n"/>
      <c r="F325" s="141" t="n"/>
      <c r="G325" s="143" t="n"/>
      <c r="H325" s="27" t="n"/>
    </row>
    <row r="326" ht="17.25" customHeight="1" s="322">
      <c r="A326" s="27" t="n"/>
      <c r="B326" s="506" t="n"/>
      <c r="C326" s="141" t="n"/>
      <c r="D326" s="141" t="n"/>
      <c r="E326" s="141" t="n"/>
      <c r="F326" s="141" t="n"/>
      <c r="G326" s="143" t="n"/>
      <c r="H326" s="27" t="n"/>
    </row>
    <row r="327" ht="17.25" customHeight="1" s="322">
      <c r="A327" s="27" t="n"/>
      <c r="B327" s="506" t="n"/>
      <c r="C327" s="141" t="n"/>
      <c r="D327" s="141" t="n"/>
      <c r="E327" s="141" t="n"/>
      <c r="F327" s="141" t="n"/>
      <c r="G327" s="143" t="n"/>
      <c r="H327" s="27" t="n"/>
    </row>
    <row r="328" ht="17.25" customHeight="1" s="322">
      <c r="A328" s="27" t="n"/>
      <c r="B328" s="506" t="n"/>
      <c r="C328" s="141" t="n"/>
      <c r="D328" s="141" t="n"/>
      <c r="E328" s="141" t="n"/>
      <c r="F328" s="141" t="n"/>
      <c r="G328" s="143" t="n"/>
      <c r="H328" s="27" t="n"/>
    </row>
    <row r="329" ht="17.25" customHeight="1" s="322">
      <c r="A329" s="27" t="n"/>
      <c r="B329" s="506" t="n"/>
      <c r="C329" s="141" t="n"/>
      <c r="D329" s="141" t="n"/>
      <c r="E329" s="141" t="n"/>
      <c r="F329" s="141" t="n"/>
      <c r="G329" s="143" t="n"/>
      <c r="H329" s="27" t="n"/>
    </row>
    <row r="330" ht="17.25" customHeight="1" s="322">
      <c r="A330" s="27" t="n"/>
      <c r="B330" s="506" t="n"/>
      <c r="C330" s="141" t="n"/>
      <c r="D330" s="141" t="n"/>
      <c r="E330" s="141" t="n"/>
      <c r="F330" s="141" t="n"/>
      <c r="G330" s="143" t="n"/>
      <c r="H330" s="27" t="n"/>
    </row>
    <row r="331" ht="17.25" customHeight="1" s="322">
      <c r="A331" s="27" t="n"/>
      <c r="B331" s="506" t="n"/>
      <c r="C331" s="141" t="n"/>
      <c r="D331" s="141" t="n"/>
      <c r="E331" s="141" t="n"/>
      <c r="F331" s="141" t="n"/>
      <c r="G331" s="143" t="n"/>
      <c r="H331" s="27" t="n"/>
    </row>
    <row r="332" ht="17.25" customHeight="1" s="322">
      <c r="A332" s="27" t="n"/>
      <c r="B332" s="506" t="n"/>
      <c r="C332" s="141" t="n"/>
      <c r="D332" s="141" t="n"/>
      <c r="E332" s="141" t="n"/>
      <c r="F332" s="141" t="n"/>
      <c r="G332" s="143" t="n"/>
      <c r="H332" s="27" t="n"/>
    </row>
    <row r="333" ht="17.25" customHeight="1" s="322">
      <c r="A333" s="27" t="n"/>
      <c r="B333" s="506" t="n"/>
      <c r="C333" s="141" t="n"/>
      <c r="D333" s="141" t="n"/>
      <c r="E333" s="141" t="n"/>
      <c r="F333" s="141" t="n"/>
      <c r="G333" s="143" t="n"/>
      <c r="H333" s="27" t="n"/>
    </row>
    <row r="334" ht="17.25" customHeight="1" s="322">
      <c r="A334" s="27" t="n"/>
      <c r="B334" s="506" t="n"/>
      <c r="C334" s="141" t="n"/>
      <c r="D334" s="141" t="n"/>
      <c r="E334" s="141" t="n"/>
      <c r="F334" s="141" t="n"/>
      <c r="G334" s="143" t="n"/>
      <c r="H334" s="27" t="n"/>
    </row>
    <row r="335" ht="17.25" customHeight="1" s="322">
      <c r="A335" s="27" t="n"/>
      <c r="B335" s="506" t="n"/>
      <c r="C335" s="141" t="n"/>
      <c r="D335" s="141" t="n"/>
      <c r="E335" s="141" t="n"/>
      <c r="F335" s="141" t="n"/>
      <c r="G335" s="143" t="n"/>
      <c r="H335" s="27" t="n"/>
    </row>
    <row r="336" ht="17.25" customHeight="1" s="322">
      <c r="A336" s="27" t="n"/>
      <c r="B336" s="506" t="n"/>
      <c r="C336" s="141" t="n"/>
      <c r="D336" s="141" t="n"/>
      <c r="E336" s="141" t="n"/>
      <c r="F336" s="141" t="n"/>
      <c r="G336" s="143" t="n"/>
      <c r="H336" s="27" t="n"/>
    </row>
    <row r="337" ht="17.25" customHeight="1" s="322">
      <c r="A337" s="27" t="n"/>
      <c r="B337" s="506" t="n"/>
      <c r="C337" s="141" t="n"/>
      <c r="D337" s="141" t="n"/>
      <c r="E337" s="141" t="n"/>
      <c r="F337" s="141" t="n"/>
      <c r="G337" s="143" t="n"/>
      <c r="H337" s="27" t="n"/>
    </row>
    <row r="338" ht="17.25" customHeight="1" s="322">
      <c r="A338" s="27" t="n"/>
      <c r="B338" s="506" t="n"/>
      <c r="C338" s="141" t="n"/>
      <c r="D338" s="141" t="n"/>
      <c r="E338" s="141" t="n"/>
      <c r="F338" s="141" t="n"/>
      <c r="G338" s="143" t="n"/>
      <c r="H338" s="27" t="n"/>
    </row>
    <row r="339" ht="17.25" customHeight="1" s="322">
      <c r="A339" s="27" t="n"/>
      <c r="B339" s="506" t="n"/>
      <c r="C339" s="141" t="n"/>
      <c r="D339" s="141" t="n"/>
      <c r="E339" s="141" t="n"/>
      <c r="F339" s="141" t="n"/>
      <c r="G339" s="143" t="n"/>
      <c r="H339" s="27" t="n"/>
    </row>
    <row r="340" ht="17.25" customHeight="1" s="322">
      <c r="A340" s="27" t="n"/>
      <c r="B340" s="506" t="n"/>
      <c r="C340" s="141" t="n"/>
      <c r="D340" s="141" t="n"/>
      <c r="E340" s="141" t="n"/>
      <c r="F340" s="141" t="n"/>
      <c r="G340" s="143" t="n"/>
      <c r="H340" s="27" t="n"/>
    </row>
    <row r="341" ht="17.25" customHeight="1" s="322">
      <c r="A341" s="27" t="n"/>
      <c r="B341" s="506" t="n"/>
      <c r="C341" s="141" t="n"/>
      <c r="D341" s="141" t="n"/>
      <c r="E341" s="141" t="n"/>
      <c r="F341" s="141" t="n"/>
      <c r="G341" s="143" t="n"/>
      <c r="H341" s="27" t="n"/>
    </row>
    <row r="342" ht="17.25" customHeight="1" s="322">
      <c r="A342" s="27" t="n"/>
      <c r="B342" s="506" t="n"/>
      <c r="C342" s="141" t="n"/>
      <c r="D342" s="141" t="n"/>
      <c r="E342" s="141" t="n"/>
      <c r="F342" s="141" t="n"/>
      <c r="G342" s="143" t="n"/>
      <c r="H342" s="27" t="n"/>
    </row>
    <row r="343" ht="17.25" customHeight="1" s="322">
      <c r="A343" s="27" t="n"/>
      <c r="B343" s="506" t="n"/>
      <c r="C343" s="141" t="n"/>
      <c r="D343" s="141" t="n"/>
      <c r="E343" s="141" t="n"/>
      <c r="F343" s="141" t="n"/>
      <c r="G343" s="143" t="n"/>
      <c r="H343" s="27" t="n"/>
    </row>
    <row r="344" ht="17.25" customHeight="1" s="322">
      <c r="A344" s="27" t="n"/>
      <c r="B344" s="506" t="n"/>
      <c r="C344" s="141" t="n"/>
      <c r="D344" s="141" t="n"/>
      <c r="E344" s="141" t="n"/>
      <c r="F344" s="141" t="n"/>
      <c r="G344" s="143" t="n"/>
      <c r="H344" s="27" t="n"/>
    </row>
    <row r="345" ht="17.25" customHeight="1" s="322">
      <c r="A345" s="27" t="n"/>
      <c r="B345" s="506" t="n"/>
      <c r="C345" s="141" t="n"/>
      <c r="D345" s="141" t="n"/>
      <c r="E345" s="141" t="n"/>
      <c r="F345" s="141" t="n"/>
      <c r="G345" s="143" t="n"/>
      <c r="H345" s="27" t="n"/>
    </row>
    <row r="346" ht="17.25" customHeight="1" s="322">
      <c r="A346" s="27" t="n"/>
      <c r="B346" s="506" t="n"/>
      <c r="C346" s="141" t="n"/>
      <c r="D346" s="141" t="n"/>
      <c r="E346" s="141" t="n"/>
      <c r="F346" s="141" t="n"/>
      <c r="G346" s="143" t="n"/>
      <c r="H346" s="27" t="n"/>
    </row>
    <row r="347" ht="17.25" customHeight="1" s="322">
      <c r="A347" s="27" t="n"/>
      <c r="B347" s="506" t="n"/>
      <c r="C347" s="141" t="n"/>
      <c r="D347" s="141" t="n"/>
      <c r="E347" s="141" t="n"/>
      <c r="F347" s="141" t="n"/>
      <c r="G347" s="143" t="n"/>
      <c r="H347" s="27" t="n"/>
    </row>
    <row r="348" ht="17.25" customHeight="1" s="322">
      <c r="A348" s="27" t="n"/>
      <c r="B348" s="506" t="n"/>
      <c r="C348" s="141" t="n"/>
      <c r="D348" s="141" t="n"/>
      <c r="E348" s="141" t="n"/>
      <c r="F348" s="141" t="n"/>
      <c r="G348" s="143" t="n"/>
      <c r="H348" s="27" t="n"/>
    </row>
    <row r="349" ht="17.25" customHeight="1" s="322">
      <c r="A349" s="27" t="n"/>
      <c r="B349" s="506" t="n"/>
      <c r="C349" s="141" t="n"/>
      <c r="D349" s="141" t="n"/>
      <c r="E349" s="141" t="n"/>
      <c r="F349" s="141" t="n"/>
      <c r="G349" s="143" t="n"/>
      <c r="H349" s="27" t="n"/>
    </row>
    <row r="350" ht="17.25" customHeight="1" s="322">
      <c r="A350" s="27" t="n"/>
      <c r="B350" s="506" t="n"/>
      <c r="C350" s="141" t="n"/>
      <c r="D350" s="141" t="n"/>
      <c r="E350" s="141" t="n"/>
      <c r="F350" s="141" t="n"/>
      <c r="G350" s="143" t="n"/>
      <c r="H350" s="27" t="n"/>
    </row>
    <row r="351" ht="17.25" customHeight="1" s="322">
      <c r="A351" s="27" t="n"/>
      <c r="B351" s="506" t="n"/>
      <c r="C351" s="141" t="n"/>
      <c r="D351" s="141" t="n"/>
      <c r="E351" s="141" t="n"/>
      <c r="F351" s="141" t="n"/>
      <c r="G351" s="143" t="n"/>
      <c r="H351" s="27" t="n"/>
    </row>
    <row r="352" ht="17.25" customHeight="1" s="322">
      <c r="A352" s="27" t="n"/>
      <c r="B352" s="506" t="n"/>
      <c r="C352" s="141" t="n"/>
      <c r="D352" s="141" t="n"/>
      <c r="E352" s="141" t="n"/>
      <c r="F352" s="141" t="n"/>
      <c r="G352" s="143" t="n"/>
      <c r="H352" s="27" t="n"/>
    </row>
    <row r="353" ht="17.25" customHeight="1" s="322">
      <c r="A353" s="27" t="n"/>
      <c r="B353" s="506" t="n"/>
      <c r="C353" s="141" t="n"/>
      <c r="D353" s="141" t="n"/>
      <c r="E353" s="141" t="n"/>
      <c r="F353" s="141" t="n"/>
      <c r="G353" s="143" t="n"/>
      <c r="H353" s="27" t="n"/>
    </row>
    <row r="354" ht="17.25" customHeight="1" s="322">
      <c r="A354" s="27" t="n"/>
      <c r="B354" s="506" t="n"/>
      <c r="C354" s="141" t="n"/>
      <c r="D354" s="141" t="n"/>
      <c r="E354" s="141" t="n"/>
      <c r="F354" s="141" t="n"/>
      <c r="G354" s="143" t="n"/>
      <c r="H354" s="27" t="n"/>
    </row>
    <row r="355" ht="17.25" customHeight="1" s="322">
      <c r="A355" s="27" t="n"/>
      <c r="B355" s="506" t="n"/>
      <c r="C355" s="141" t="n"/>
      <c r="D355" s="141" t="n"/>
      <c r="E355" s="141" t="n"/>
      <c r="F355" s="141" t="n"/>
      <c r="G355" s="143" t="n"/>
      <c r="H355" s="27" t="n"/>
    </row>
    <row r="356" ht="17.25" customHeight="1" s="322">
      <c r="A356" s="27" t="n"/>
      <c r="B356" s="506" t="n"/>
      <c r="C356" s="141" t="n"/>
      <c r="D356" s="141" t="n"/>
      <c r="E356" s="141" t="n"/>
      <c r="F356" s="141" t="n"/>
      <c r="G356" s="143" t="n"/>
      <c r="H356" s="27" t="n"/>
    </row>
    <row r="357" ht="17.25" customHeight="1" s="322">
      <c r="A357" s="27" t="n"/>
      <c r="B357" s="506" t="n"/>
      <c r="C357" s="141" t="n"/>
      <c r="D357" s="141" t="n"/>
      <c r="E357" s="141" t="n"/>
      <c r="F357" s="141" t="n"/>
      <c r="G357" s="143" t="n"/>
      <c r="H357" s="27" t="n"/>
    </row>
    <row r="358" ht="17.25" customHeight="1" s="322">
      <c r="A358" s="27" t="n"/>
      <c r="B358" s="506" t="n"/>
      <c r="C358" s="141" t="n"/>
      <c r="D358" s="141" t="n"/>
      <c r="E358" s="141" t="n"/>
      <c r="F358" s="141" t="n"/>
      <c r="G358" s="143" t="n"/>
      <c r="H358" s="27" t="n"/>
    </row>
    <row r="359" ht="17.25" customHeight="1" s="322">
      <c r="A359" s="27" t="n"/>
      <c r="B359" s="506" t="n"/>
      <c r="C359" s="141" t="n"/>
      <c r="D359" s="141" t="n"/>
      <c r="E359" s="141" t="n"/>
      <c r="F359" s="141" t="n"/>
      <c r="G359" s="143" t="n"/>
      <c r="H359" s="27" t="n"/>
    </row>
    <row r="360" ht="17.25" customHeight="1" s="322">
      <c r="A360" s="27" t="n"/>
      <c r="B360" s="506" t="n"/>
      <c r="C360" s="141" t="n"/>
      <c r="D360" s="141" t="n"/>
      <c r="E360" s="141" t="n"/>
      <c r="F360" s="141" t="n"/>
      <c r="G360" s="143" t="n"/>
      <c r="H360" s="27" t="n"/>
    </row>
    <row r="361" ht="17.25" customHeight="1" s="322">
      <c r="A361" s="27" t="n"/>
      <c r="B361" s="506" t="n"/>
      <c r="C361" s="141" t="n"/>
      <c r="D361" s="141" t="n"/>
      <c r="E361" s="141" t="n"/>
      <c r="F361" s="141" t="n"/>
      <c r="G361" s="143" t="n"/>
      <c r="H361" s="27" t="n"/>
    </row>
    <row r="362" ht="17.25" customHeight="1" s="322">
      <c r="A362" s="27" t="n"/>
      <c r="B362" s="506" t="n"/>
      <c r="C362" s="141" t="n"/>
      <c r="D362" s="141" t="n"/>
      <c r="E362" s="141" t="n"/>
      <c r="F362" s="141" t="n"/>
      <c r="G362" s="143" t="n"/>
      <c r="H362" s="27" t="n"/>
    </row>
    <row r="363" ht="17.25" customHeight="1" s="322">
      <c r="A363" s="27" t="n"/>
      <c r="B363" s="506" t="n"/>
      <c r="C363" s="141" t="n"/>
      <c r="D363" s="141" t="n"/>
      <c r="E363" s="141" t="n"/>
      <c r="F363" s="141" t="n"/>
      <c r="G363" s="143" t="n"/>
      <c r="H363" s="27" t="n"/>
    </row>
    <row r="364" ht="17.25" customHeight="1" s="322">
      <c r="A364" s="27" t="n"/>
      <c r="B364" s="506" t="n"/>
      <c r="C364" s="141" t="n"/>
      <c r="D364" s="141" t="n"/>
      <c r="E364" s="141" t="n"/>
      <c r="F364" s="141" t="n"/>
      <c r="G364" s="143" t="n"/>
      <c r="H364" s="27" t="n"/>
    </row>
    <row r="365" ht="17.25" customHeight="1" s="322">
      <c r="A365" s="27" t="n"/>
      <c r="B365" s="506" t="n"/>
      <c r="C365" s="141" t="n"/>
      <c r="D365" s="141" t="n"/>
      <c r="E365" s="141" t="n"/>
      <c r="F365" s="141" t="n"/>
      <c r="G365" s="143" t="n"/>
      <c r="H365" s="27" t="n"/>
    </row>
    <row r="366" ht="17.25" customHeight="1" s="322">
      <c r="A366" s="27" t="n"/>
      <c r="B366" s="506" t="n"/>
      <c r="C366" s="141" t="n"/>
      <c r="D366" s="141" t="n"/>
      <c r="E366" s="141" t="n"/>
      <c r="F366" s="141" t="n"/>
      <c r="G366" s="143" t="n"/>
      <c r="H366" s="27" t="n"/>
    </row>
    <row r="367" ht="17.25" customHeight="1" s="322">
      <c r="A367" s="27" t="n"/>
      <c r="B367" s="506" t="n"/>
      <c r="C367" s="141" t="n"/>
      <c r="D367" s="141" t="n"/>
      <c r="E367" s="141" t="n"/>
      <c r="F367" s="141" t="n"/>
      <c r="G367" s="143" t="n"/>
      <c r="H367" s="27" t="n"/>
    </row>
    <row r="368" ht="17.25" customHeight="1" s="322">
      <c r="A368" s="27" t="n"/>
      <c r="B368" s="506" t="n"/>
      <c r="C368" s="141" t="n"/>
      <c r="D368" s="141" t="n"/>
      <c r="E368" s="141" t="n"/>
      <c r="F368" s="141" t="n"/>
      <c r="G368" s="143" t="n"/>
      <c r="H368" s="27" t="n"/>
    </row>
    <row r="369" ht="17.25" customHeight="1" s="322">
      <c r="A369" s="27" t="n"/>
      <c r="B369" s="506" t="n"/>
      <c r="C369" s="141" t="n"/>
      <c r="D369" s="141" t="n"/>
      <c r="E369" s="141" t="n"/>
      <c r="F369" s="141" t="n"/>
      <c r="G369" s="143" t="n"/>
      <c r="H369" s="27" t="n"/>
    </row>
    <row r="370" ht="17.25" customHeight="1" s="322">
      <c r="A370" s="27" t="n"/>
      <c r="B370" s="506" t="n"/>
      <c r="C370" s="141" t="n"/>
      <c r="D370" s="141" t="n"/>
      <c r="E370" s="141" t="n"/>
      <c r="F370" s="141" t="n"/>
      <c r="G370" s="143" t="n"/>
      <c r="H370" s="27" t="n"/>
    </row>
    <row r="371" ht="17.25" customHeight="1" s="322">
      <c r="A371" s="27" t="n"/>
      <c r="B371" s="506" t="n"/>
      <c r="C371" s="141" t="n"/>
      <c r="D371" s="141" t="n"/>
      <c r="E371" s="141" t="n"/>
      <c r="F371" s="141" t="n"/>
      <c r="G371" s="143" t="n"/>
      <c r="H371" s="27" t="n"/>
    </row>
    <row r="372" ht="17.25" customHeight="1" s="322">
      <c r="A372" s="27" t="n"/>
      <c r="B372" s="506" t="n"/>
      <c r="C372" s="141" t="n"/>
      <c r="D372" s="141" t="n"/>
      <c r="E372" s="141" t="n"/>
      <c r="F372" s="141" t="n"/>
      <c r="G372" s="143" t="n"/>
      <c r="H372" s="27" t="n"/>
    </row>
    <row r="373" ht="17.25" customHeight="1" s="322">
      <c r="A373" s="27" t="n"/>
      <c r="B373" s="506" t="n"/>
      <c r="C373" s="141" t="n"/>
      <c r="D373" s="141" t="n"/>
      <c r="E373" s="141" t="n"/>
      <c r="F373" s="141" t="n"/>
      <c r="G373" s="143" t="n"/>
      <c r="H373" s="27" t="n"/>
    </row>
    <row r="374" ht="17.25" customHeight="1" s="322">
      <c r="A374" s="27" t="n"/>
      <c r="B374" s="506" t="n"/>
      <c r="C374" s="141" t="n"/>
      <c r="D374" s="141" t="n"/>
      <c r="E374" s="141" t="n"/>
      <c r="F374" s="141" t="n"/>
      <c r="G374" s="143" t="n"/>
      <c r="H374" s="27" t="n"/>
    </row>
    <row r="375" ht="17.25" customHeight="1" s="322">
      <c r="A375" s="27" t="n"/>
      <c r="B375" s="506" t="n"/>
      <c r="C375" s="141" t="n"/>
      <c r="D375" s="141" t="n"/>
      <c r="E375" s="141" t="n"/>
      <c r="F375" s="141" t="n"/>
      <c r="G375" s="143" t="n"/>
      <c r="H375" s="27" t="n"/>
    </row>
    <row r="376" ht="17.25" customHeight="1" s="322">
      <c r="A376" s="27" t="n"/>
      <c r="B376" s="506" t="n"/>
      <c r="C376" s="141" t="n"/>
      <c r="D376" s="141" t="n"/>
      <c r="E376" s="141" t="n"/>
      <c r="F376" s="141" t="n"/>
      <c r="G376" s="143" t="n"/>
      <c r="H376" s="27" t="n"/>
    </row>
    <row r="377" ht="17.25" customHeight="1" s="322">
      <c r="A377" s="27" t="n"/>
      <c r="B377" s="506" t="n"/>
      <c r="C377" s="141" t="n"/>
      <c r="D377" s="141" t="n"/>
      <c r="E377" s="141" t="n"/>
      <c r="F377" s="141" t="n"/>
      <c r="G377" s="143" t="n"/>
      <c r="H377" s="27" t="n"/>
    </row>
    <row r="378" ht="17.25" customHeight="1" s="322">
      <c r="A378" s="27" t="n"/>
      <c r="B378" s="506" t="n"/>
      <c r="C378" s="141" t="n"/>
      <c r="D378" s="141" t="n"/>
      <c r="E378" s="141" t="n"/>
      <c r="F378" s="141" t="n"/>
      <c r="G378" s="143" t="n"/>
      <c r="H378" s="27" t="n"/>
    </row>
    <row r="379" ht="17.25" customHeight="1" s="322">
      <c r="A379" s="27" t="n"/>
      <c r="B379" s="506" t="n"/>
      <c r="C379" s="141" t="n"/>
      <c r="D379" s="141" t="n"/>
      <c r="E379" s="141" t="n"/>
      <c r="F379" s="141" t="n"/>
      <c r="G379" s="143" t="n"/>
      <c r="H379" s="27" t="n"/>
    </row>
    <row r="380" ht="17.25" customHeight="1" s="322">
      <c r="A380" s="27" t="n"/>
      <c r="B380" s="506" t="n"/>
      <c r="C380" s="141" t="n"/>
      <c r="D380" s="141" t="n"/>
      <c r="E380" s="141" t="n"/>
      <c r="F380" s="141" t="n"/>
      <c r="G380" s="143" t="n"/>
      <c r="H380" s="27" t="n"/>
    </row>
    <row r="381" ht="17.25" customHeight="1" s="322">
      <c r="A381" s="27" t="n"/>
      <c r="B381" s="506" t="n"/>
      <c r="C381" s="141" t="n"/>
      <c r="D381" s="141" t="n"/>
      <c r="E381" s="141" t="n"/>
      <c r="F381" s="141" t="n"/>
      <c r="G381" s="143" t="n"/>
      <c r="H381" s="27" t="n"/>
    </row>
    <row r="382" ht="17.25" customHeight="1" s="322">
      <c r="A382" s="27" t="n"/>
      <c r="B382" s="506" t="n"/>
      <c r="C382" s="141" t="n"/>
      <c r="D382" s="141" t="n"/>
      <c r="E382" s="141" t="n"/>
      <c r="F382" s="141" t="n"/>
      <c r="G382" s="143" t="n"/>
      <c r="H382" s="27" t="n"/>
    </row>
    <row r="383" ht="17.25" customHeight="1" s="322">
      <c r="A383" s="27" t="n"/>
      <c r="B383" s="506" t="n"/>
      <c r="C383" s="141" t="n"/>
      <c r="D383" s="141" t="n"/>
      <c r="E383" s="141" t="n"/>
      <c r="F383" s="141" t="n"/>
      <c r="G383" s="143" t="n"/>
      <c r="H383" s="27" t="n"/>
    </row>
    <row r="384" ht="17.25" customHeight="1" s="322">
      <c r="A384" s="27" t="n"/>
      <c r="B384" s="506" t="n"/>
      <c r="C384" s="141" t="n"/>
      <c r="D384" s="141" t="n"/>
      <c r="E384" s="141" t="n"/>
      <c r="F384" s="141" t="n"/>
      <c r="G384" s="143" t="n"/>
      <c r="H384" s="27" t="n"/>
    </row>
    <row r="385" ht="17.25" customHeight="1" s="322">
      <c r="A385" s="27" t="n"/>
      <c r="B385" s="506" t="n"/>
      <c r="C385" s="141" t="n"/>
      <c r="D385" s="141" t="n"/>
      <c r="E385" s="141" t="n"/>
      <c r="F385" s="141" t="n"/>
      <c r="G385" s="143" t="n"/>
      <c r="H385" s="27" t="n"/>
    </row>
    <row r="386" ht="17.25" customHeight="1" s="322">
      <c r="A386" s="27" t="n"/>
      <c r="B386" s="506" t="n"/>
      <c r="C386" s="141" t="n"/>
      <c r="D386" s="141" t="n"/>
      <c r="E386" s="141" t="n"/>
      <c r="F386" s="141" t="n"/>
      <c r="G386" s="143" t="n"/>
      <c r="H386" s="27" t="n"/>
    </row>
    <row r="387" ht="17.25" customHeight="1" s="322">
      <c r="A387" s="27" t="n"/>
      <c r="B387" s="506" t="n"/>
      <c r="C387" s="141" t="n"/>
      <c r="D387" s="141" t="n"/>
      <c r="E387" s="141" t="n"/>
      <c r="F387" s="141" t="n"/>
      <c r="G387" s="143" t="n"/>
      <c r="H387" s="27" t="n"/>
    </row>
    <row r="388" ht="17.25" customHeight="1" s="322">
      <c r="A388" s="27" t="n"/>
      <c r="B388" s="506" t="n"/>
      <c r="C388" s="141" t="n"/>
      <c r="D388" s="141" t="n"/>
      <c r="E388" s="141" t="n"/>
      <c r="F388" s="141" t="n"/>
      <c r="G388" s="143" t="n"/>
      <c r="H388" s="27" t="n"/>
    </row>
    <row r="389" ht="17.25" customHeight="1" s="322">
      <c r="A389" s="27" t="n"/>
      <c r="B389" s="506" t="n"/>
      <c r="C389" s="141" t="n"/>
      <c r="D389" s="141" t="n"/>
      <c r="E389" s="141" t="n"/>
      <c r="F389" s="141" t="n"/>
      <c r="G389" s="143" t="n"/>
      <c r="H389" s="27" t="n"/>
    </row>
    <row r="390" ht="17.25" customHeight="1" s="322">
      <c r="A390" s="27" t="n"/>
      <c r="B390" s="506" t="n"/>
      <c r="C390" s="141" t="n"/>
      <c r="D390" s="141" t="n"/>
      <c r="E390" s="141" t="n"/>
      <c r="F390" s="141" t="n"/>
      <c r="G390" s="143" t="n"/>
      <c r="H390" s="27" t="n"/>
    </row>
    <row r="391" ht="17.25" customHeight="1" s="322">
      <c r="A391" s="27" t="n"/>
      <c r="B391" s="506" t="n"/>
      <c r="C391" s="141" t="n"/>
      <c r="D391" s="141" t="n"/>
      <c r="E391" s="141" t="n"/>
      <c r="F391" s="141" t="n"/>
      <c r="G391" s="143" t="n"/>
      <c r="H391" s="27" t="n"/>
    </row>
    <row r="392" ht="17.25" customHeight="1" s="322">
      <c r="A392" s="27" t="n"/>
      <c r="B392" s="506" t="n"/>
      <c r="C392" s="141" t="n"/>
      <c r="D392" s="141" t="n"/>
      <c r="E392" s="141" t="n"/>
      <c r="F392" s="141" t="n"/>
      <c r="G392" s="143" t="n"/>
      <c r="H392" s="27" t="n"/>
    </row>
    <row r="393" ht="17.25" customHeight="1" s="322">
      <c r="A393" s="27" t="n"/>
      <c r="B393" s="506" t="n"/>
      <c r="C393" s="141" t="n"/>
      <c r="D393" s="141" t="n"/>
      <c r="E393" s="141" t="n"/>
      <c r="F393" s="141" t="n"/>
      <c r="G393" s="143" t="n"/>
      <c r="H393" s="27" t="n"/>
    </row>
    <row r="394" ht="17.25" customHeight="1" s="322">
      <c r="A394" s="27" t="n"/>
      <c r="B394" s="506" t="n"/>
      <c r="C394" s="141" t="n"/>
      <c r="D394" s="141" t="n"/>
      <c r="E394" s="141" t="n"/>
      <c r="F394" s="141" t="n"/>
      <c r="G394" s="143" t="n"/>
      <c r="H394" s="27" t="n"/>
    </row>
    <row r="395" ht="17.25" customHeight="1" s="322">
      <c r="A395" s="27" t="n"/>
      <c r="B395" s="506" t="n"/>
      <c r="C395" s="141" t="n"/>
      <c r="D395" s="141" t="n"/>
      <c r="E395" s="141" t="n"/>
      <c r="F395" s="141" t="n"/>
      <c r="G395" s="143" t="n"/>
      <c r="H395" s="27" t="n"/>
    </row>
    <row r="396" ht="17.25" customHeight="1" s="322">
      <c r="A396" s="27" t="n"/>
      <c r="B396" s="506" t="n"/>
      <c r="C396" s="141" t="n"/>
      <c r="D396" s="141" t="n"/>
      <c r="E396" s="141" t="n"/>
      <c r="F396" s="141" t="n"/>
      <c r="G396" s="143" t="n"/>
      <c r="H396" s="27" t="n"/>
    </row>
    <row r="397" ht="17.25" customHeight="1" s="322">
      <c r="A397" s="27" t="n"/>
      <c r="B397" s="506" t="n"/>
      <c r="C397" s="141" t="n"/>
      <c r="D397" s="141" t="n"/>
      <c r="E397" s="141" t="n"/>
      <c r="F397" s="141" t="n"/>
      <c r="G397" s="143" t="n"/>
      <c r="H397" s="27" t="n"/>
    </row>
    <row r="398" ht="17.25" customHeight="1" s="322">
      <c r="A398" s="27" t="n"/>
      <c r="B398" s="506" t="n"/>
      <c r="C398" s="141" t="n"/>
      <c r="D398" s="141" t="n"/>
      <c r="E398" s="141" t="n"/>
      <c r="F398" s="141" t="n"/>
      <c r="G398" s="143" t="n"/>
      <c r="H398" s="27" t="n"/>
    </row>
    <row r="399" ht="17.25" customHeight="1" s="322">
      <c r="A399" s="27" t="n"/>
      <c r="B399" s="506" t="n"/>
      <c r="C399" s="141" t="n"/>
      <c r="D399" s="141" t="n"/>
      <c r="E399" s="141" t="n"/>
      <c r="F399" s="141" t="n"/>
      <c r="G399" s="143" t="n"/>
      <c r="H399" s="27" t="n"/>
    </row>
    <row r="400" ht="17.25" customHeight="1" s="322">
      <c r="A400" s="27" t="n"/>
      <c r="B400" s="506" t="n"/>
      <c r="C400" s="141" t="n"/>
      <c r="D400" s="141" t="n"/>
      <c r="E400" s="141" t="n"/>
      <c r="F400" s="141" t="n"/>
      <c r="G400" s="143" t="n"/>
      <c r="H400" s="27" t="n"/>
    </row>
    <row r="401" ht="17.25" customHeight="1" s="322">
      <c r="A401" s="27" t="n"/>
      <c r="B401" s="506" t="n"/>
      <c r="C401" s="141" t="n"/>
      <c r="D401" s="141" t="n"/>
      <c r="E401" s="141" t="n"/>
      <c r="F401" s="141" t="n"/>
      <c r="G401" s="143" t="n"/>
      <c r="H401" s="27" t="n"/>
    </row>
    <row r="402" ht="17.25" customHeight="1" s="322">
      <c r="A402" s="27" t="n"/>
      <c r="B402" s="506" t="n"/>
      <c r="C402" s="141" t="n"/>
      <c r="D402" s="141" t="n"/>
      <c r="E402" s="141" t="n"/>
      <c r="F402" s="141" t="n"/>
      <c r="G402" s="143" t="n"/>
      <c r="H402" s="27" t="n"/>
    </row>
    <row r="403" ht="17.25" customHeight="1" s="322">
      <c r="A403" s="27" t="n"/>
      <c r="B403" s="506" t="n"/>
      <c r="C403" s="141" t="n"/>
      <c r="D403" s="141" t="n"/>
      <c r="E403" s="141" t="n"/>
      <c r="F403" s="141" t="n"/>
      <c r="G403" s="143" t="n"/>
      <c r="H403" s="27" t="n"/>
    </row>
    <row r="404" ht="17.25" customHeight="1" s="322">
      <c r="A404" s="27" t="n"/>
      <c r="B404" s="506" t="n"/>
      <c r="C404" s="141" t="n"/>
      <c r="D404" s="141" t="n"/>
      <c r="E404" s="141" t="n"/>
      <c r="F404" s="141" t="n"/>
      <c r="G404" s="143" t="n"/>
      <c r="H404" s="27" t="n"/>
    </row>
    <row r="405" ht="17.25" customHeight="1" s="322">
      <c r="A405" s="27" t="n"/>
      <c r="B405" s="506" t="n"/>
      <c r="C405" s="141" t="n"/>
      <c r="D405" s="141" t="n"/>
      <c r="E405" s="141" t="n"/>
      <c r="F405" s="141" t="n"/>
      <c r="G405" s="143" t="n"/>
      <c r="H405" s="27" t="n"/>
    </row>
    <row r="406" ht="17.25" customHeight="1" s="322">
      <c r="A406" s="27" t="n"/>
      <c r="B406" s="506" t="n"/>
      <c r="C406" s="141" t="n"/>
      <c r="D406" s="141" t="n"/>
      <c r="E406" s="141" t="n"/>
      <c r="F406" s="141" t="n"/>
      <c r="G406" s="143" t="n"/>
      <c r="H406" s="27" t="n"/>
    </row>
    <row r="407" ht="17.25" customHeight="1" s="322">
      <c r="A407" s="27" t="n"/>
      <c r="B407" s="506" t="n"/>
      <c r="C407" s="141" t="n"/>
      <c r="D407" s="141" t="n"/>
      <c r="E407" s="141" t="n"/>
      <c r="F407" s="141" t="n"/>
      <c r="G407" s="143" t="n"/>
      <c r="H407" s="27" t="n"/>
    </row>
    <row r="408" ht="17.25" customHeight="1" s="322">
      <c r="A408" s="27" t="n"/>
      <c r="B408" s="506" t="n"/>
      <c r="C408" s="141" t="n"/>
      <c r="D408" s="141" t="n"/>
      <c r="E408" s="141" t="n"/>
      <c r="F408" s="141" t="n"/>
      <c r="G408" s="143" t="n"/>
      <c r="H408" s="27" t="n"/>
    </row>
    <row r="409" ht="17.25" customHeight="1" s="322">
      <c r="A409" s="27" t="n"/>
      <c r="B409" s="506" t="n"/>
      <c r="C409" s="141" t="n"/>
      <c r="D409" s="141" t="n"/>
      <c r="E409" s="141" t="n"/>
      <c r="F409" s="141" t="n"/>
      <c r="G409" s="143" t="n"/>
      <c r="H409" s="27" t="n"/>
    </row>
    <row r="410" ht="17.25" customHeight="1" s="322">
      <c r="A410" s="27" t="n"/>
      <c r="B410" s="506" t="n"/>
      <c r="C410" s="141" t="n"/>
      <c r="D410" s="141" t="n"/>
      <c r="E410" s="141" t="n"/>
      <c r="F410" s="141" t="n"/>
      <c r="G410" s="143" t="n"/>
      <c r="H410" s="27" t="n"/>
    </row>
    <row r="411" ht="17.25" customHeight="1" s="322">
      <c r="A411" s="27" t="n"/>
      <c r="B411" s="506" t="n"/>
      <c r="C411" s="141" t="n"/>
      <c r="D411" s="141" t="n"/>
      <c r="E411" s="141" t="n"/>
      <c r="F411" s="141" t="n"/>
      <c r="G411" s="143" t="n"/>
      <c r="H411" s="27" t="n"/>
    </row>
    <row r="412" ht="17.25" customHeight="1" s="322">
      <c r="A412" s="27" t="n"/>
      <c r="B412" s="506" t="n"/>
      <c r="C412" s="141" t="n"/>
      <c r="D412" s="141" t="n"/>
      <c r="E412" s="141" t="n"/>
      <c r="F412" s="141" t="n"/>
      <c r="G412" s="143" t="n"/>
      <c r="H412" s="27" t="n"/>
    </row>
    <row r="413" ht="17.25" customHeight="1" s="322">
      <c r="A413" s="27" t="n"/>
      <c r="B413" s="506" t="n"/>
      <c r="C413" s="141" t="n"/>
      <c r="D413" s="141" t="n"/>
      <c r="E413" s="141" t="n"/>
      <c r="F413" s="141" t="n"/>
      <c r="G413" s="143" t="n"/>
      <c r="H413" s="27" t="n"/>
    </row>
    <row r="414" ht="17.25" customHeight="1" s="322">
      <c r="A414" s="27" t="n"/>
      <c r="B414" s="506" t="n"/>
      <c r="C414" s="141" t="n"/>
      <c r="D414" s="141" t="n"/>
      <c r="E414" s="141" t="n"/>
      <c r="F414" s="141" t="n"/>
      <c r="G414" s="143" t="n"/>
      <c r="H414" s="27" t="n"/>
    </row>
    <row r="415" ht="17.25" customHeight="1" s="322">
      <c r="A415" s="27" t="n"/>
      <c r="B415" s="506" t="n"/>
      <c r="C415" s="141" t="n"/>
      <c r="D415" s="141" t="n"/>
      <c r="E415" s="141" t="n"/>
      <c r="F415" s="141" t="n"/>
      <c r="G415" s="143" t="n"/>
      <c r="H415" s="27" t="n"/>
    </row>
    <row r="416" ht="17.25" customHeight="1" s="322">
      <c r="A416" s="27" t="n"/>
      <c r="B416" s="506" t="n"/>
      <c r="C416" s="141" t="n"/>
      <c r="D416" s="141" t="n"/>
      <c r="E416" s="141" t="n"/>
      <c r="F416" s="141" t="n"/>
      <c r="G416" s="143" t="n"/>
      <c r="H416" s="27" t="n"/>
    </row>
    <row r="417" ht="17.25" customHeight="1" s="322">
      <c r="A417" s="27" t="n"/>
      <c r="B417" s="506" t="n"/>
      <c r="C417" s="141" t="n"/>
      <c r="D417" s="141" t="n"/>
      <c r="E417" s="141" t="n"/>
      <c r="F417" s="141" t="n"/>
      <c r="G417" s="143" t="n"/>
      <c r="H417" s="27" t="n"/>
    </row>
    <row r="418" ht="17.25" customHeight="1" s="322">
      <c r="A418" s="27" t="n"/>
      <c r="B418" s="506" t="n"/>
      <c r="C418" s="141" t="n"/>
      <c r="D418" s="141" t="n"/>
      <c r="E418" s="141" t="n"/>
      <c r="F418" s="141" t="n"/>
      <c r="G418" s="143" t="n"/>
      <c r="H418" s="27" t="n"/>
    </row>
    <row r="419" ht="17.25" customHeight="1" s="322">
      <c r="A419" s="27" t="n"/>
      <c r="B419" s="506" t="n"/>
      <c r="C419" s="141" t="n"/>
      <c r="D419" s="141" t="n"/>
      <c r="E419" s="141" t="n"/>
      <c r="F419" s="141" t="n"/>
      <c r="G419" s="143" t="n"/>
      <c r="H419" s="27" t="n"/>
    </row>
    <row r="420" ht="17.25" customHeight="1" s="322">
      <c r="A420" s="27" t="n"/>
      <c r="B420" s="506" t="n"/>
      <c r="C420" s="141" t="n"/>
      <c r="D420" s="141" t="n"/>
      <c r="E420" s="141" t="n"/>
      <c r="F420" s="141" t="n"/>
      <c r="G420" s="143" t="n"/>
      <c r="H420" s="27" t="n"/>
    </row>
    <row r="421" ht="17.25" customHeight="1" s="322">
      <c r="A421" s="27" t="n"/>
      <c r="B421" s="506" t="n"/>
      <c r="C421" s="141" t="n"/>
      <c r="D421" s="141" t="n"/>
      <c r="E421" s="141" t="n"/>
      <c r="F421" s="141" t="n"/>
      <c r="G421" s="143" t="n"/>
      <c r="H421" s="27" t="n"/>
    </row>
    <row r="422" ht="17.25" customHeight="1" s="322">
      <c r="A422" s="27" t="n"/>
      <c r="B422" s="506" t="n"/>
      <c r="C422" s="141" t="n"/>
      <c r="D422" s="141" t="n"/>
      <c r="E422" s="141" t="n"/>
      <c r="F422" s="141" t="n"/>
      <c r="G422" s="143" t="n"/>
      <c r="H422" s="27" t="n"/>
    </row>
    <row r="423" ht="17.25" customHeight="1" s="322">
      <c r="A423" s="27" t="n"/>
      <c r="B423" s="506" t="n"/>
      <c r="C423" s="141" t="n"/>
      <c r="D423" s="141" t="n"/>
      <c r="E423" s="141" t="n"/>
      <c r="F423" s="141" t="n"/>
      <c r="G423" s="143" t="n"/>
      <c r="H423" s="27" t="n"/>
    </row>
    <row r="424" ht="17.25" customHeight="1" s="322">
      <c r="A424" s="27" t="n"/>
      <c r="B424" s="506" t="n"/>
      <c r="C424" s="141" t="n"/>
      <c r="D424" s="141" t="n"/>
      <c r="E424" s="141" t="n"/>
      <c r="F424" s="141" t="n"/>
      <c r="G424" s="143" t="n"/>
      <c r="H424" s="27" t="n"/>
    </row>
    <row r="425" ht="17.25" customHeight="1" s="322">
      <c r="A425" s="27" t="n"/>
      <c r="B425" s="506" t="n"/>
      <c r="C425" s="141" t="n"/>
      <c r="D425" s="141" t="n"/>
      <c r="E425" s="141" t="n"/>
      <c r="F425" s="141" t="n"/>
      <c r="G425" s="143" t="n"/>
      <c r="H425" s="27" t="n"/>
    </row>
    <row r="426" ht="17.25" customHeight="1" s="322">
      <c r="A426" s="27" t="n"/>
      <c r="B426" s="506" t="n"/>
      <c r="C426" s="141" t="n"/>
      <c r="D426" s="141" t="n"/>
      <c r="E426" s="141" t="n"/>
      <c r="F426" s="141" t="n"/>
      <c r="G426" s="143" t="n"/>
      <c r="H426" s="27" t="n"/>
    </row>
    <row r="427" ht="17.25" customHeight="1" s="322">
      <c r="A427" s="27" t="n"/>
      <c r="B427" s="506" t="n"/>
      <c r="C427" s="141" t="n"/>
      <c r="D427" s="141" t="n"/>
      <c r="E427" s="141" t="n"/>
      <c r="F427" s="141" t="n"/>
      <c r="G427" s="143" t="n"/>
      <c r="H427" s="27" t="n"/>
    </row>
    <row r="428" ht="17.25" customHeight="1" s="322">
      <c r="A428" s="27" t="n"/>
      <c r="B428" s="506" t="n"/>
      <c r="C428" s="141" t="n"/>
      <c r="D428" s="141" t="n"/>
      <c r="E428" s="141" t="n"/>
      <c r="F428" s="141" t="n"/>
      <c r="G428" s="143" t="n"/>
      <c r="H428" s="27" t="n"/>
    </row>
    <row r="429" ht="17.25" customHeight="1" s="322">
      <c r="A429" s="27" t="n"/>
      <c r="B429" s="506" t="n"/>
      <c r="C429" s="141" t="n"/>
      <c r="D429" s="141" t="n"/>
      <c r="E429" s="141" t="n"/>
      <c r="F429" s="141" t="n"/>
      <c r="G429" s="143" t="n"/>
      <c r="H429" s="27" t="n"/>
    </row>
    <row r="430" ht="17.25" customHeight="1" s="322">
      <c r="A430" s="27" t="n"/>
      <c r="B430" s="506" t="n"/>
      <c r="C430" s="141" t="n"/>
      <c r="D430" s="141" t="n"/>
      <c r="E430" s="141" t="n"/>
      <c r="F430" s="141" t="n"/>
      <c r="G430" s="143" t="n"/>
      <c r="H430" s="27" t="n"/>
    </row>
    <row r="431" ht="17.25" customHeight="1" s="322">
      <c r="A431" s="27" t="n"/>
      <c r="B431" s="506" t="n"/>
      <c r="C431" s="141" t="n"/>
      <c r="D431" s="141" t="n"/>
      <c r="E431" s="141" t="n"/>
      <c r="F431" s="141" t="n"/>
      <c r="G431" s="143" t="n"/>
      <c r="H431" s="27" t="n"/>
    </row>
    <row r="432" ht="17.25" customHeight="1" s="322">
      <c r="A432" s="27" t="n"/>
      <c r="B432" s="506" t="n"/>
      <c r="C432" s="141" t="n"/>
      <c r="D432" s="141" t="n"/>
      <c r="E432" s="141" t="n"/>
      <c r="F432" s="141" t="n"/>
      <c r="G432" s="143" t="n"/>
      <c r="H432" s="27" t="n"/>
    </row>
    <row r="433" ht="17.25" customHeight="1" s="322">
      <c r="A433" s="27" t="n"/>
      <c r="B433" s="506" t="n"/>
      <c r="C433" s="141" t="n"/>
      <c r="D433" s="141" t="n"/>
      <c r="E433" s="141" t="n"/>
      <c r="F433" s="141" t="n"/>
      <c r="G433" s="143" t="n"/>
      <c r="H433" s="27" t="n"/>
    </row>
    <row r="434" ht="17.25" customHeight="1" s="322">
      <c r="A434" s="27" t="n"/>
      <c r="B434" s="506" t="n"/>
      <c r="C434" s="141" t="n"/>
      <c r="D434" s="141" t="n"/>
      <c r="E434" s="141" t="n"/>
      <c r="F434" s="141" t="n"/>
      <c r="G434" s="143" t="n"/>
      <c r="H434" s="27" t="n"/>
    </row>
    <row r="435" ht="17.25" customHeight="1" s="322">
      <c r="A435" s="27" t="n"/>
      <c r="B435" s="506" t="n"/>
      <c r="C435" s="141" t="n"/>
      <c r="D435" s="141" t="n"/>
      <c r="E435" s="141" t="n"/>
      <c r="F435" s="141" t="n"/>
      <c r="G435" s="143" t="n"/>
      <c r="H435" s="27" t="n"/>
    </row>
    <row r="436" ht="17.25" customHeight="1" s="322">
      <c r="A436" s="27" t="n"/>
      <c r="B436" s="506" t="n"/>
      <c r="C436" s="141" t="n"/>
      <c r="D436" s="141" t="n"/>
      <c r="E436" s="141" t="n"/>
      <c r="F436" s="141" t="n"/>
      <c r="G436" s="143" t="n"/>
      <c r="H436" s="27" t="n"/>
    </row>
    <row r="437" ht="17.25" customHeight="1" s="322">
      <c r="A437" s="27" t="n"/>
      <c r="B437" s="506" t="n"/>
      <c r="C437" s="141" t="n"/>
      <c r="D437" s="141" t="n"/>
      <c r="E437" s="141" t="n"/>
      <c r="F437" s="141" t="n"/>
      <c r="G437" s="143" t="n"/>
      <c r="H437" s="27" t="n"/>
    </row>
    <row r="438" ht="17.25" customHeight="1" s="322">
      <c r="A438" s="27" t="n"/>
      <c r="B438" s="506" t="n"/>
      <c r="C438" s="141" t="n"/>
      <c r="D438" s="141" t="n"/>
      <c r="E438" s="141" t="n"/>
      <c r="F438" s="141" t="n"/>
      <c r="G438" s="143" t="n"/>
      <c r="H438" s="27" t="n"/>
    </row>
    <row r="439" ht="17.25" customHeight="1" s="322">
      <c r="A439" s="27" t="n"/>
      <c r="B439" s="506" t="n"/>
      <c r="C439" s="141" t="n"/>
      <c r="D439" s="141" t="n"/>
      <c r="E439" s="141" t="n"/>
      <c r="F439" s="141" t="n"/>
      <c r="G439" s="143" t="n"/>
      <c r="H439" s="27" t="n"/>
    </row>
    <row r="440" ht="17.25" customHeight="1" s="322">
      <c r="A440" s="27" t="n"/>
      <c r="B440" s="506" t="n"/>
      <c r="C440" s="141" t="n"/>
      <c r="D440" s="141" t="n"/>
      <c r="E440" s="141" t="n"/>
      <c r="F440" s="141" t="n"/>
      <c r="G440" s="143" t="n"/>
      <c r="H440" s="27" t="n"/>
    </row>
    <row r="441" ht="17.25" customHeight="1" s="322">
      <c r="A441" s="27" t="n"/>
      <c r="B441" s="506" t="n"/>
      <c r="C441" s="141" t="n"/>
      <c r="D441" s="141" t="n"/>
      <c r="E441" s="141" t="n"/>
      <c r="F441" s="141" t="n"/>
      <c r="G441" s="143" t="n"/>
      <c r="H441" s="27" t="n"/>
    </row>
    <row r="442" ht="17.25" customHeight="1" s="322">
      <c r="A442" s="27" t="n"/>
      <c r="B442" s="506" t="n"/>
      <c r="C442" s="141" t="n"/>
      <c r="D442" s="141" t="n"/>
      <c r="E442" s="141" t="n"/>
      <c r="F442" s="141" t="n"/>
      <c r="G442" s="143" t="n"/>
      <c r="H442" s="27" t="n"/>
    </row>
    <row r="443" ht="17.25" customHeight="1" s="322">
      <c r="A443" s="27" t="n"/>
      <c r="B443" s="506" t="n"/>
      <c r="C443" s="141" t="n"/>
      <c r="D443" s="141" t="n"/>
      <c r="E443" s="141" t="n"/>
      <c r="F443" s="141" t="n"/>
      <c r="G443" s="143" t="n"/>
      <c r="H443" s="27" t="n"/>
    </row>
    <row r="444" ht="17.25" customHeight="1" s="322">
      <c r="A444" s="27" t="n"/>
      <c r="B444" s="506" t="n"/>
      <c r="C444" s="141" t="n"/>
      <c r="D444" s="141" t="n"/>
      <c r="E444" s="141" t="n"/>
      <c r="F444" s="141" t="n"/>
      <c r="G444" s="143" t="n"/>
      <c r="H444" s="27" t="n"/>
    </row>
    <row r="445" ht="17.25" customHeight="1" s="322">
      <c r="A445" s="27" t="n"/>
      <c r="B445" s="506" t="n"/>
      <c r="C445" s="141" t="n"/>
      <c r="D445" s="141" t="n"/>
      <c r="E445" s="141" t="n"/>
      <c r="F445" s="141" t="n"/>
      <c r="G445" s="143" t="n"/>
      <c r="H445" s="27" t="n"/>
    </row>
    <row r="446" ht="17.25" customHeight="1" s="322">
      <c r="A446" s="27" t="n"/>
      <c r="B446" s="506" t="n"/>
      <c r="C446" s="141" t="n"/>
      <c r="D446" s="141" t="n"/>
      <c r="E446" s="141" t="n"/>
      <c r="F446" s="141" t="n"/>
      <c r="G446" s="143" t="n"/>
      <c r="H446" s="27" t="n"/>
    </row>
    <row r="447" ht="17.25" customHeight="1" s="322">
      <c r="A447" s="27" t="n"/>
      <c r="B447" s="506" t="n"/>
      <c r="C447" s="141" t="n"/>
      <c r="D447" s="141" t="n"/>
      <c r="E447" s="141" t="n"/>
      <c r="F447" s="141" t="n"/>
      <c r="G447" s="143" t="n"/>
      <c r="H447" s="27" t="n"/>
    </row>
    <row r="448" ht="17.25" customHeight="1" s="322">
      <c r="A448" s="27" t="n"/>
      <c r="B448" s="506" t="n"/>
      <c r="C448" s="141" t="n"/>
      <c r="D448" s="141" t="n"/>
      <c r="E448" s="141" t="n"/>
      <c r="F448" s="141" t="n"/>
      <c r="G448" s="143" t="n"/>
      <c r="H448" s="27" t="n"/>
    </row>
    <row r="449" ht="17.25" customHeight="1" s="322">
      <c r="A449" s="27" t="n"/>
      <c r="B449" s="506" t="n"/>
      <c r="C449" s="141" t="n"/>
      <c r="D449" s="141" t="n"/>
      <c r="E449" s="141" t="n"/>
      <c r="F449" s="141" t="n"/>
      <c r="G449" s="143" t="n"/>
      <c r="H449" s="27" t="n"/>
    </row>
    <row r="450" ht="17.25" customHeight="1" s="322">
      <c r="A450" s="27" t="n"/>
      <c r="B450" s="506" t="n"/>
      <c r="C450" s="141" t="n"/>
      <c r="D450" s="141" t="n"/>
      <c r="E450" s="141" t="n"/>
      <c r="F450" s="141" t="n"/>
      <c r="G450" s="143" t="n"/>
      <c r="H450" s="27" t="n"/>
    </row>
    <row r="451" ht="17.25" customHeight="1" s="322">
      <c r="A451" s="27" t="n"/>
      <c r="B451" s="506" t="n"/>
      <c r="C451" s="141" t="n"/>
      <c r="D451" s="141" t="n"/>
      <c r="E451" s="141" t="n"/>
      <c r="F451" s="141" t="n"/>
      <c r="G451" s="143" t="n"/>
      <c r="H451" s="27" t="n"/>
    </row>
    <row r="452" ht="17.25" customHeight="1" s="322">
      <c r="A452" s="27" t="n"/>
      <c r="B452" s="506" t="n"/>
      <c r="C452" s="141" t="n"/>
      <c r="D452" s="141" t="n"/>
      <c r="E452" s="141" t="n"/>
      <c r="F452" s="141" t="n"/>
      <c r="G452" s="143" t="n"/>
      <c r="H452" s="27" t="n"/>
    </row>
    <row r="453" ht="17.25" customHeight="1" s="322">
      <c r="A453" s="27" t="n"/>
      <c r="B453" s="506" t="n"/>
      <c r="C453" s="141" t="n"/>
      <c r="D453" s="141" t="n"/>
      <c r="E453" s="141" t="n"/>
      <c r="F453" s="141" t="n"/>
      <c r="G453" s="143" t="n"/>
      <c r="H453" s="27" t="n"/>
    </row>
    <row r="454" ht="17.25" customHeight="1" s="322">
      <c r="A454" s="27" t="n"/>
      <c r="B454" s="506" t="n"/>
      <c r="C454" s="141" t="n"/>
      <c r="D454" s="141" t="n"/>
      <c r="E454" s="141" t="n"/>
      <c r="F454" s="141" t="n"/>
      <c r="G454" s="143" t="n"/>
      <c r="H454" s="27" t="n"/>
    </row>
    <row r="455" ht="17.25" customHeight="1" s="322">
      <c r="A455" s="27" t="n"/>
      <c r="B455" s="506" t="n"/>
      <c r="C455" s="141" t="n"/>
      <c r="D455" s="141" t="n"/>
      <c r="E455" s="141" t="n"/>
      <c r="F455" s="141" t="n"/>
      <c r="G455" s="143" t="n"/>
      <c r="H455" s="27" t="n"/>
    </row>
    <row r="456" ht="17.25" customHeight="1" s="322">
      <c r="A456" s="27" t="n"/>
      <c r="B456" s="506" t="n"/>
      <c r="C456" s="141" t="n"/>
      <c r="D456" s="141" t="n"/>
      <c r="E456" s="141" t="n"/>
      <c r="F456" s="141" t="n"/>
      <c r="G456" s="143" t="n"/>
      <c r="H456" s="27" t="n"/>
    </row>
    <row r="457" ht="17.25" customHeight="1" s="322">
      <c r="A457" s="27" t="n"/>
      <c r="B457" s="506" t="n"/>
      <c r="C457" s="141" t="n"/>
      <c r="D457" s="141" t="n"/>
      <c r="E457" s="141" t="n"/>
      <c r="F457" s="141" t="n"/>
      <c r="G457" s="143" t="n"/>
      <c r="H457" s="27" t="n"/>
    </row>
    <row r="458" ht="17.25" customHeight="1" s="322">
      <c r="A458" s="27" t="n"/>
      <c r="B458" s="506" t="n"/>
      <c r="C458" s="141" t="n"/>
      <c r="D458" s="141" t="n"/>
      <c r="E458" s="141" t="n"/>
      <c r="F458" s="141" t="n"/>
      <c r="G458" s="143" t="n"/>
      <c r="H458" s="27" t="n"/>
    </row>
    <row r="459" ht="17.25" customHeight="1" s="322">
      <c r="A459" s="27" t="n"/>
      <c r="B459" s="506" t="n"/>
      <c r="C459" s="141" t="n"/>
      <c r="D459" s="141" t="n"/>
      <c r="E459" s="141" t="n"/>
      <c r="F459" s="141" t="n"/>
      <c r="G459" s="143" t="n"/>
      <c r="H459" s="27" t="n"/>
    </row>
    <row r="460" ht="17.25" customHeight="1" s="322">
      <c r="A460" s="27" t="n"/>
      <c r="B460" s="506" t="n"/>
      <c r="C460" s="141" t="n"/>
      <c r="D460" s="141" t="n"/>
      <c r="E460" s="141" t="n"/>
      <c r="F460" s="141" t="n"/>
      <c r="G460" s="143" t="n"/>
      <c r="H460" s="27" t="n"/>
    </row>
    <row r="461" ht="17.25" customHeight="1" s="322">
      <c r="A461" s="27" t="n"/>
      <c r="B461" s="506" t="n"/>
      <c r="C461" s="141" t="n"/>
      <c r="D461" s="141" t="n"/>
      <c r="E461" s="141" t="n"/>
      <c r="F461" s="141" t="n"/>
      <c r="G461" s="143" t="n"/>
      <c r="H461" s="27" t="n"/>
    </row>
    <row r="462" ht="17.25" customHeight="1" s="322">
      <c r="A462" s="27" t="n"/>
      <c r="B462" s="506" t="n"/>
      <c r="C462" s="141" t="n"/>
      <c r="D462" s="141" t="n"/>
      <c r="E462" s="141" t="n"/>
      <c r="F462" s="141" t="n"/>
      <c r="G462" s="143" t="n"/>
      <c r="H462" s="27" t="n"/>
    </row>
    <row r="463" ht="17.25" customHeight="1" s="322">
      <c r="A463" s="27" t="n"/>
      <c r="B463" s="506" t="n"/>
      <c r="C463" s="141" t="n"/>
      <c r="D463" s="141" t="n"/>
      <c r="E463" s="141" t="n"/>
      <c r="F463" s="141" t="n"/>
      <c r="G463" s="143" t="n"/>
      <c r="H463" s="27" t="n"/>
    </row>
    <row r="464" ht="17.25" customHeight="1" s="322">
      <c r="A464" s="27" t="n"/>
      <c r="B464" s="506" t="n"/>
      <c r="C464" s="141" t="n"/>
      <c r="D464" s="141" t="n"/>
      <c r="E464" s="141" t="n"/>
      <c r="F464" s="141" t="n"/>
      <c r="G464" s="143" t="n"/>
      <c r="H464" s="27" t="n"/>
    </row>
    <row r="465" ht="17.25" customHeight="1" s="322">
      <c r="A465" s="27" t="n"/>
      <c r="B465" s="506" t="n"/>
      <c r="C465" s="141" t="n"/>
      <c r="D465" s="141" t="n"/>
      <c r="E465" s="141" t="n"/>
      <c r="F465" s="141" t="n"/>
      <c r="G465" s="143" t="n"/>
      <c r="H465" s="27" t="n"/>
    </row>
    <row r="466" ht="17.25" customHeight="1" s="322">
      <c r="A466" s="27" t="n"/>
      <c r="B466" s="506" t="n"/>
      <c r="C466" s="141" t="n"/>
      <c r="D466" s="141" t="n"/>
      <c r="E466" s="141" t="n"/>
      <c r="F466" s="141" t="n"/>
      <c r="G466" s="143" t="n"/>
      <c r="H466" s="27" t="n"/>
    </row>
    <row r="467" ht="17.25" customHeight="1" s="322">
      <c r="A467" s="27" t="n"/>
      <c r="B467" s="506" t="n"/>
      <c r="C467" s="141" t="n"/>
      <c r="D467" s="141" t="n"/>
      <c r="E467" s="141" t="n"/>
      <c r="F467" s="141" t="n"/>
      <c r="G467" s="143" t="n"/>
      <c r="H467" s="27" t="n"/>
    </row>
    <row r="468" ht="17.25" customHeight="1" s="322">
      <c r="A468" s="27" t="n"/>
      <c r="B468" s="506" t="n"/>
      <c r="C468" s="141" t="n"/>
      <c r="D468" s="141" t="n"/>
      <c r="E468" s="141" t="n"/>
      <c r="F468" s="141" t="n"/>
      <c r="G468" s="143" t="n"/>
      <c r="H468" s="27" t="n"/>
    </row>
    <row r="469" ht="17.25" customHeight="1" s="322">
      <c r="A469" s="27" t="n"/>
      <c r="B469" s="506" t="n"/>
      <c r="C469" s="141" t="n"/>
      <c r="D469" s="141" t="n"/>
      <c r="E469" s="141" t="n"/>
      <c r="F469" s="141" t="n"/>
      <c r="G469" s="143" t="n"/>
      <c r="H469" s="27" t="n"/>
    </row>
    <row r="470" ht="17.25" customHeight="1" s="322">
      <c r="A470" s="27" t="n"/>
      <c r="B470" s="506" t="n"/>
      <c r="C470" s="141" t="n"/>
      <c r="D470" s="141" t="n"/>
      <c r="E470" s="141" t="n"/>
      <c r="F470" s="141" t="n"/>
      <c r="G470" s="143" t="n"/>
      <c r="H470" s="27" t="n"/>
    </row>
    <row r="471" ht="17.25" customHeight="1" s="322">
      <c r="A471" s="27" t="n"/>
      <c r="B471" s="506" t="n"/>
      <c r="C471" s="141" t="n"/>
      <c r="D471" s="141" t="n"/>
      <c r="E471" s="141" t="n"/>
      <c r="F471" s="141" t="n"/>
      <c r="G471" s="143" t="n"/>
      <c r="H471" s="27" t="n"/>
    </row>
    <row r="472" ht="17.25" customHeight="1" s="322">
      <c r="A472" s="27" t="n"/>
      <c r="B472" s="506" t="n"/>
      <c r="C472" s="141" t="n"/>
      <c r="D472" s="141" t="n"/>
      <c r="E472" s="141" t="n"/>
      <c r="F472" s="141" t="n"/>
      <c r="G472" s="143" t="n"/>
      <c r="H472" s="27" t="n"/>
    </row>
    <row r="473" ht="17.25" customHeight="1" s="322">
      <c r="A473" s="27" t="n"/>
      <c r="B473" s="506" t="n"/>
      <c r="C473" s="141" t="n"/>
      <c r="D473" s="141" t="n"/>
      <c r="E473" s="141" t="n"/>
      <c r="F473" s="141" t="n"/>
      <c r="G473" s="143" t="n"/>
      <c r="H473" s="27" t="n"/>
    </row>
    <row r="474" ht="17.25" customHeight="1" s="322">
      <c r="A474" s="27" t="n"/>
      <c r="B474" s="506" t="n"/>
      <c r="C474" s="141" t="n"/>
      <c r="D474" s="141" t="n"/>
      <c r="E474" s="141" t="n"/>
      <c r="F474" s="141" t="n"/>
      <c r="G474" s="143" t="n"/>
      <c r="H474" s="27" t="n"/>
    </row>
    <row r="475" ht="17.25" customHeight="1" s="322">
      <c r="A475" s="27" t="n"/>
      <c r="B475" s="506" t="n"/>
      <c r="C475" s="141" t="n"/>
      <c r="D475" s="141" t="n"/>
      <c r="E475" s="141" t="n"/>
      <c r="F475" s="141" t="n"/>
      <c r="G475" s="143" t="n"/>
      <c r="H475" s="27" t="n"/>
    </row>
    <row r="476" ht="17.25" customHeight="1" s="322">
      <c r="A476" s="27" t="n"/>
      <c r="B476" s="506" t="n"/>
      <c r="C476" s="141" t="n"/>
      <c r="D476" s="141" t="n"/>
      <c r="E476" s="141" t="n"/>
      <c r="F476" s="141" t="n"/>
      <c r="G476" s="143" t="n"/>
      <c r="H476" s="27" t="n"/>
    </row>
    <row r="477" ht="17.25" customHeight="1" s="322">
      <c r="A477" s="27" t="n"/>
      <c r="B477" s="506" t="n"/>
      <c r="C477" s="141" t="n"/>
      <c r="D477" s="141" t="n"/>
      <c r="E477" s="141" t="n"/>
      <c r="F477" s="141" t="n"/>
      <c r="G477" s="143" t="n"/>
      <c r="H477" s="27" t="n"/>
    </row>
    <row r="478" ht="17.25" customHeight="1" s="322">
      <c r="A478" s="27" t="n"/>
      <c r="B478" s="506" t="n"/>
      <c r="C478" s="141" t="n"/>
      <c r="D478" s="141" t="n"/>
      <c r="E478" s="141" t="n"/>
      <c r="F478" s="141" t="n"/>
      <c r="G478" s="143" t="n"/>
      <c r="H478" s="27" t="n"/>
    </row>
    <row r="479" ht="17.25" customHeight="1" s="322">
      <c r="A479" s="27" t="n"/>
      <c r="B479" s="506" t="n"/>
      <c r="C479" s="141" t="n"/>
      <c r="D479" s="141" t="n"/>
      <c r="E479" s="141" t="n"/>
      <c r="F479" s="141" t="n"/>
      <c r="G479" s="143" t="n"/>
      <c r="H479" s="27" t="n"/>
    </row>
    <row r="480" ht="17.25" customHeight="1" s="322">
      <c r="A480" s="27" t="n"/>
      <c r="B480" s="506" t="n"/>
      <c r="C480" s="141" t="n"/>
      <c r="D480" s="141" t="n"/>
      <c r="E480" s="141" t="n"/>
      <c r="F480" s="141" t="n"/>
      <c r="G480" s="143" t="n"/>
      <c r="H480" s="27" t="n"/>
    </row>
    <row r="481" ht="17.25" customHeight="1" s="322">
      <c r="A481" s="27" t="n"/>
      <c r="B481" s="506" t="n"/>
      <c r="C481" s="141" t="n"/>
      <c r="D481" s="141" t="n"/>
      <c r="E481" s="141" t="n"/>
      <c r="F481" s="141" t="n"/>
      <c r="G481" s="143" t="n"/>
      <c r="H481" s="27" t="n"/>
    </row>
    <row r="482" ht="17.25" customHeight="1" s="322">
      <c r="A482" s="27" t="n"/>
      <c r="B482" s="506" t="n"/>
      <c r="C482" s="141" t="n"/>
      <c r="D482" s="141" t="n"/>
      <c r="E482" s="141" t="n"/>
      <c r="F482" s="141" t="n"/>
      <c r="G482" s="143" t="n"/>
      <c r="H482" s="27" t="n"/>
    </row>
    <row r="483" ht="17.25" customHeight="1" s="322">
      <c r="A483" s="27" t="n"/>
      <c r="B483" s="506" t="n"/>
      <c r="C483" s="141" t="n"/>
      <c r="D483" s="141" t="n"/>
      <c r="E483" s="141" t="n"/>
      <c r="F483" s="141" t="n"/>
      <c r="G483" s="143" t="n"/>
      <c r="H483" s="27" t="n"/>
    </row>
    <row r="484" ht="17.25" customHeight="1" s="322">
      <c r="A484" s="27" t="n"/>
      <c r="B484" s="506" t="n"/>
      <c r="C484" s="141" t="n"/>
      <c r="D484" s="141" t="n"/>
      <c r="E484" s="141" t="n"/>
      <c r="F484" s="141" t="n"/>
      <c r="G484" s="143" t="n"/>
      <c r="H484" s="27" t="n"/>
    </row>
    <row r="485" ht="17.25" customHeight="1" s="322">
      <c r="A485" s="27" t="n"/>
      <c r="B485" s="506" t="n"/>
      <c r="C485" s="141" t="n"/>
      <c r="D485" s="141" t="n"/>
      <c r="E485" s="141" t="n"/>
      <c r="F485" s="141" t="n"/>
      <c r="G485" s="143" t="n"/>
      <c r="H485" s="27" t="n"/>
    </row>
    <row r="486" ht="17.25" customHeight="1" s="322">
      <c r="A486" s="27" t="n"/>
      <c r="B486" s="506" t="n"/>
      <c r="C486" s="141" t="n"/>
      <c r="D486" s="141" t="n"/>
      <c r="E486" s="141" t="n"/>
      <c r="F486" s="141" t="n"/>
      <c r="G486" s="143" t="n"/>
      <c r="H486" s="27" t="n"/>
    </row>
    <row r="487" ht="17.25" customHeight="1" s="322">
      <c r="A487" s="27" t="n"/>
      <c r="B487" s="506" t="n"/>
      <c r="C487" s="141" t="n"/>
      <c r="D487" s="141" t="n"/>
      <c r="E487" s="141" t="n"/>
      <c r="F487" s="141" t="n"/>
      <c r="G487" s="143" t="n"/>
      <c r="H487" s="27" t="n"/>
    </row>
    <row r="488" ht="17.25" customHeight="1" s="322">
      <c r="A488" s="27" t="n"/>
      <c r="B488" s="506" t="n"/>
      <c r="C488" s="141" t="n"/>
      <c r="D488" s="141" t="n"/>
      <c r="E488" s="141" t="n"/>
      <c r="F488" s="141" t="n"/>
      <c r="G488" s="143" t="n"/>
      <c r="H488" s="27" t="n"/>
    </row>
    <row r="489" ht="17.25" customHeight="1" s="322">
      <c r="A489" s="27" t="n"/>
      <c r="B489" s="506" t="n"/>
      <c r="C489" s="141" t="n"/>
      <c r="D489" s="141" t="n"/>
      <c r="E489" s="141" t="n"/>
      <c r="F489" s="141" t="n"/>
      <c r="G489" s="143" t="n"/>
      <c r="H489" s="27" t="n"/>
    </row>
    <row r="490" ht="17.25" customHeight="1" s="322">
      <c r="A490" s="27" t="n"/>
      <c r="B490" s="506" t="n"/>
      <c r="C490" s="141" t="n"/>
      <c r="D490" s="141" t="n"/>
      <c r="E490" s="141" t="n"/>
      <c r="F490" s="141" t="n"/>
      <c r="G490" s="143" t="n"/>
      <c r="H490" s="27" t="n"/>
    </row>
    <row r="491" ht="17.25" customHeight="1" s="322">
      <c r="A491" s="27" t="n"/>
      <c r="B491" s="506" t="n"/>
      <c r="C491" s="141" t="n"/>
      <c r="D491" s="141" t="n"/>
      <c r="E491" s="141" t="n"/>
      <c r="F491" s="141" t="n"/>
      <c r="G491" s="143" t="n"/>
      <c r="H491" s="27" t="n"/>
    </row>
    <row r="492" ht="17.25" customHeight="1" s="322">
      <c r="A492" s="27" t="n"/>
      <c r="B492" s="506" t="n"/>
      <c r="C492" s="141" t="n"/>
      <c r="D492" s="141" t="n"/>
      <c r="E492" s="141" t="n"/>
      <c r="F492" s="141" t="n"/>
      <c r="G492" s="143" t="n"/>
      <c r="H492" s="27" t="n"/>
    </row>
    <row r="493" ht="17.25" customHeight="1" s="322">
      <c r="A493" s="27" t="n"/>
      <c r="B493" s="506" t="n"/>
      <c r="C493" s="141" t="n"/>
      <c r="D493" s="141" t="n"/>
      <c r="E493" s="141" t="n"/>
      <c r="F493" s="141" t="n"/>
      <c r="G493" s="143" t="n"/>
      <c r="H493" s="27" t="n"/>
    </row>
    <row r="494" ht="17.25" customHeight="1" s="322">
      <c r="A494" s="27" t="n"/>
      <c r="B494" s="506" t="n"/>
      <c r="C494" s="141" t="n"/>
      <c r="D494" s="141" t="n"/>
      <c r="E494" s="141" t="n"/>
      <c r="F494" s="141" t="n"/>
      <c r="G494" s="143" t="n"/>
      <c r="H494" s="27" t="n"/>
    </row>
    <row r="495" ht="17.25" customHeight="1" s="322">
      <c r="A495" s="27" t="n"/>
      <c r="B495" s="506" t="n"/>
      <c r="C495" s="141" t="n"/>
      <c r="D495" s="141" t="n"/>
      <c r="E495" s="141" t="n"/>
      <c r="F495" s="141" t="n"/>
      <c r="G495" s="143" t="n"/>
      <c r="H495" s="27" t="n"/>
    </row>
    <row r="496" ht="17.25" customHeight="1" s="322">
      <c r="A496" s="27" t="n"/>
      <c r="B496" s="506" t="n"/>
      <c r="C496" s="141" t="n"/>
      <c r="D496" s="141" t="n"/>
      <c r="E496" s="141" t="n"/>
      <c r="F496" s="141" t="n"/>
      <c r="G496" s="143" t="n"/>
      <c r="H496" s="27" t="n"/>
    </row>
    <row r="497" ht="17.25" customHeight="1" s="322">
      <c r="A497" s="27" t="n"/>
      <c r="B497" s="506" t="n"/>
      <c r="C497" s="141" t="n"/>
      <c r="D497" s="141" t="n"/>
      <c r="E497" s="141" t="n"/>
      <c r="F497" s="141" t="n"/>
      <c r="G497" s="143" t="n"/>
      <c r="H497" s="27" t="n"/>
    </row>
    <row r="498" ht="17.25" customHeight="1" s="322">
      <c r="A498" s="27" t="n"/>
      <c r="B498" s="506" t="n"/>
      <c r="C498" s="141" t="n"/>
      <c r="D498" s="141" t="n"/>
      <c r="E498" s="141" t="n"/>
      <c r="F498" s="141" t="n"/>
      <c r="G498" s="143" t="n"/>
      <c r="H498" s="27" t="n"/>
    </row>
    <row r="499" ht="17.25" customHeight="1" s="322">
      <c r="A499" s="27" t="n"/>
      <c r="B499" s="506" t="n"/>
      <c r="C499" s="141" t="n"/>
      <c r="D499" s="141" t="n"/>
      <c r="E499" s="141" t="n"/>
      <c r="F499" s="141" t="n"/>
      <c r="G499" s="143" t="n"/>
      <c r="H499" s="27" t="n"/>
    </row>
    <row r="500" ht="17.25" customHeight="1" s="322">
      <c r="A500" s="27" t="n"/>
      <c r="B500" s="506" t="n"/>
      <c r="C500" s="141" t="n"/>
      <c r="D500" s="141" t="n"/>
      <c r="E500" s="141" t="n"/>
      <c r="F500" s="141" t="n"/>
      <c r="G500" s="143" t="n"/>
      <c r="H500" s="27" t="n"/>
    </row>
    <row r="501" ht="17.25" customHeight="1" s="322">
      <c r="A501" s="27" t="n"/>
      <c r="B501" s="506" t="n"/>
      <c r="C501" s="141" t="n"/>
      <c r="D501" s="141" t="n"/>
      <c r="E501" s="141" t="n"/>
      <c r="F501" s="141" t="n"/>
      <c r="G501" s="143" t="n"/>
      <c r="H501" s="27" t="n"/>
    </row>
    <row r="502" ht="17.25" customHeight="1" s="322">
      <c r="A502" s="27" t="n"/>
      <c r="B502" s="506" t="n"/>
      <c r="C502" s="141" t="n"/>
      <c r="D502" s="141" t="n"/>
      <c r="E502" s="141" t="n"/>
      <c r="F502" s="141" t="n"/>
      <c r="G502" s="143" t="n"/>
      <c r="H502" s="27" t="n"/>
    </row>
    <row r="503" ht="17.25" customHeight="1" s="322">
      <c r="A503" s="27" t="n"/>
      <c r="B503" s="506" t="n"/>
      <c r="C503" s="141" t="n"/>
      <c r="D503" s="141" t="n"/>
      <c r="E503" s="141" t="n"/>
      <c r="F503" s="141" t="n"/>
      <c r="G503" s="143" t="n"/>
      <c r="H503" s="27" t="n"/>
    </row>
    <row r="504" ht="17.25" customHeight="1" s="322">
      <c r="A504" s="27" t="n"/>
      <c r="B504" s="506" t="n"/>
      <c r="C504" s="141" t="n"/>
      <c r="D504" s="141" t="n"/>
      <c r="E504" s="141" t="n"/>
      <c r="F504" s="141" t="n"/>
      <c r="G504" s="143" t="n"/>
      <c r="H504" s="27" t="n"/>
    </row>
    <row r="505" ht="17.25" customHeight="1" s="322">
      <c r="A505" s="27" t="n"/>
      <c r="B505" s="506" t="n"/>
      <c r="C505" s="141" t="n"/>
      <c r="D505" s="141" t="n"/>
      <c r="E505" s="141" t="n"/>
      <c r="F505" s="141" t="n"/>
      <c r="G505" s="143" t="n"/>
      <c r="H505" s="27" t="n"/>
    </row>
    <row r="506" ht="17.25" customHeight="1" s="322">
      <c r="A506" s="27" t="n"/>
      <c r="B506" s="506" t="n"/>
      <c r="C506" s="141" t="n"/>
      <c r="D506" s="141" t="n"/>
      <c r="E506" s="141" t="n"/>
      <c r="F506" s="141" t="n"/>
      <c r="G506" s="143" t="n"/>
      <c r="H506" s="27" t="n"/>
    </row>
    <row r="507" ht="17.25" customHeight="1" s="322">
      <c r="A507" s="27" t="n"/>
      <c r="B507" s="506" t="n"/>
      <c r="C507" s="141" t="n"/>
      <c r="D507" s="141" t="n"/>
      <c r="E507" s="141" t="n"/>
      <c r="F507" s="141" t="n"/>
      <c r="G507" s="143" t="n"/>
      <c r="H507" s="27" t="n"/>
    </row>
    <row r="508" ht="17.25" customHeight="1" s="322">
      <c r="A508" s="27" t="n"/>
      <c r="B508" s="506" t="n"/>
      <c r="C508" s="141" t="n"/>
      <c r="D508" s="141" t="n"/>
      <c r="E508" s="141" t="n"/>
      <c r="F508" s="141" t="n"/>
      <c r="G508" s="143" t="n"/>
      <c r="H508" s="27" t="n"/>
    </row>
    <row r="509" ht="17.25" customHeight="1" s="322">
      <c r="A509" s="27" t="n"/>
      <c r="B509" s="506" t="n"/>
      <c r="C509" s="141" t="n"/>
      <c r="D509" s="141" t="n"/>
      <c r="E509" s="141" t="n"/>
      <c r="F509" s="141" t="n"/>
      <c r="G509" s="143" t="n"/>
      <c r="H509" s="27" t="n"/>
    </row>
    <row r="510" ht="17.25" customHeight="1" s="322">
      <c r="A510" s="27" t="n"/>
      <c r="B510" s="506" t="n"/>
      <c r="C510" s="141" t="n"/>
      <c r="D510" s="141" t="n"/>
      <c r="E510" s="141" t="n"/>
      <c r="F510" s="141" t="n"/>
      <c r="G510" s="143" t="n"/>
      <c r="H510" s="27" t="n"/>
    </row>
    <row r="511" ht="17.25" customHeight="1" s="322">
      <c r="A511" s="27" t="n"/>
      <c r="B511" s="506" t="n"/>
      <c r="C511" s="141" t="n"/>
      <c r="D511" s="141" t="n"/>
      <c r="E511" s="141" t="n"/>
      <c r="F511" s="141" t="n"/>
      <c r="G511" s="143" t="n"/>
      <c r="H511" s="27" t="n"/>
    </row>
    <row r="512" ht="17.25" customHeight="1" s="322">
      <c r="A512" s="27" t="n"/>
      <c r="B512" s="506" t="n"/>
      <c r="C512" s="141" t="n"/>
      <c r="D512" s="141" t="n"/>
      <c r="E512" s="141" t="n"/>
      <c r="F512" s="141" t="n"/>
      <c r="G512" s="143" t="n"/>
      <c r="H512" s="27" t="n"/>
    </row>
    <row r="513" ht="17.25" customHeight="1" s="322">
      <c r="A513" s="27" t="n"/>
      <c r="B513" s="506" t="n"/>
      <c r="C513" s="141" t="n"/>
      <c r="D513" s="141" t="n"/>
      <c r="E513" s="141" t="n"/>
      <c r="F513" s="141" t="n"/>
      <c r="G513" s="143" t="n"/>
      <c r="H513" s="27" t="n"/>
    </row>
    <row r="514" ht="17.25" customHeight="1" s="322">
      <c r="A514" s="27" t="n"/>
      <c r="B514" s="506" t="n"/>
      <c r="C514" s="141" t="n"/>
      <c r="D514" s="141" t="n"/>
      <c r="E514" s="141" t="n"/>
      <c r="F514" s="141" t="n"/>
      <c r="G514" s="143" t="n"/>
      <c r="H514" s="27" t="n"/>
    </row>
    <row r="515" ht="17.25" customHeight="1" s="322">
      <c r="A515" s="27" t="n"/>
      <c r="B515" s="506" t="n"/>
      <c r="C515" s="141" t="n"/>
      <c r="D515" s="141" t="n"/>
      <c r="E515" s="141" t="n"/>
      <c r="F515" s="141" t="n"/>
      <c r="G515" s="143" t="n"/>
      <c r="H515" s="27" t="n"/>
    </row>
    <row r="516" ht="17.25" customHeight="1" s="322">
      <c r="A516" s="27" t="n"/>
      <c r="B516" s="506" t="n"/>
      <c r="C516" s="141" t="n"/>
      <c r="D516" s="141" t="n"/>
      <c r="E516" s="141" t="n"/>
      <c r="F516" s="141" t="n"/>
      <c r="G516" s="143" t="n"/>
      <c r="H516" s="27" t="n"/>
    </row>
    <row r="517" ht="17.25" customHeight="1" s="322">
      <c r="A517" s="27" t="n"/>
      <c r="B517" s="506" t="n"/>
      <c r="C517" s="141" t="n"/>
      <c r="D517" s="141" t="n"/>
      <c r="E517" s="141" t="n"/>
      <c r="F517" s="141" t="n"/>
      <c r="G517" s="143" t="n"/>
      <c r="H517" s="27" t="n"/>
    </row>
    <row r="518" ht="17.25" customHeight="1" s="322">
      <c r="A518" s="27" t="n"/>
      <c r="B518" s="506" t="n"/>
      <c r="C518" s="141" t="n"/>
      <c r="D518" s="141" t="n"/>
      <c r="E518" s="141" t="n"/>
      <c r="F518" s="141" t="n"/>
      <c r="G518" s="143" t="n"/>
      <c r="H518" s="27" t="n"/>
    </row>
    <row r="519" ht="17.25" customHeight="1" s="322">
      <c r="A519" s="27" t="n"/>
      <c r="B519" s="506" t="n"/>
      <c r="C519" s="141" t="n"/>
      <c r="D519" s="141" t="n"/>
      <c r="E519" s="141" t="n"/>
      <c r="F519" s="141" t="n"/>
      <c r="G519" s="143" t="n"/>
      <c r="H519" s="27" t="n"/>
    </row>
    <row r="520" ht="17.25" customHeight="1" s="322">
      <c r="A520" s="27" t="n"/>
      <c r="B520" s="506" t="n"/>
      <c r="C520" s="141" t="n"/>
      <c r="D520" s="141" t="n"/>
      <c r="E520" s="141" t="n"/>
      <c r="F520" s="141" t="n"/>
      <c r="G520" s="143" t="n"/>
      <c r="H520" s="27" t="n"/>
    </row>
    <row r="521" ht="17.25" customHeight="1" s="322">
      <c r="A521" s="27" t="n"/>
      <c r="B521" s="506" t="n"/>
      <c r="C521" s="141" t="n"/>
      <c r="D521" s="141" t="n"/>
      <c r="E521" s="141" t="n"/>
      <c r="F521" s="141" t="n"/>
      <c r="G521" s="143" t="n"/>
      <c r="H521" s="27" t="n"/>
    </row>
    <row r="522" ht="17.25" customHeight="1" s="322">
      <c r="A522" s="27" t="n"/>
      <c r="B522" s="506" t="n"/>
      <c r="C522" s="141" t="n"/>
      <c r="D522" s="141" t="n"/>
      <c r="E522" s="141" t="n"/>
      <c r="F522" s="141" t="n"/>
      <c r="G522" s="143" t="n"/>
      <c r="H522" s="27" t="n"/>
    </row>
    <row r="523" ht="17.25" customHeight="1" s="322">
      <c r="A523" s="27" t="n"/>
      <c r="B523" s="506" t="n"/>
      <c r="C523" s="141" t="n"/>
      <c r="D523" s="141" t="n"/>
      <c r="E523" s="141" t="n"/>
      <c r="F523" s="141" t="n"/>
      <c r="G523" s="143" t="n"/>
      <c r="H523" s="27" t="n"/>
    </row>
    <row r="524" ht="17.25" customHeight="1" s="322">
      <c r="A524" s="27" t="n"/>
      <c r="B524" s="506" t="n"/>
      <c r="C524" s="141" t="n"/>
      <c r="D524" s="141" t="n"/>
      <c r="E524" s="141" t="n"/>
      <c r="F524" s="141" t="n"/>
      <c r="G524" s="143" t="n"/>
      <c r="H524" s="27" t="n"/>
    </row>
    <row r="525" ht="17.25" customHeight="1" s="322">
      <c r="A525" s="27" t="n"/>
      <c r="B525" s="506" t="n"/>
      <c r="C525" s="141" t="n"/>
      <c r="D525" s="141" t="n"/>
      <c r="E525" s="141" t="n"/>
      <c r="F525" s="141" t="n"/>
      <c r="G525" s="143" t="n"/>
      <c r="H525" s="27" t="n"/>
    </row>
    <row r="526" ht="17.25" customHeight="1" s="322">
      <c r="A526" s="27" t="n"/>
      <c r="B526" s="506" t="n"/>
      <c r="C526" s="141" t="n"/>
      <c r="D526" s="141" t="n"/>
      <c r="E526" s="141" t="n"/>
      <c r="F526" s="141" t="n"/>
      <c r="G526" s="143" t="n"/>
      <c r="H526" s="27" t="n"/>
    </row>
    <row r="527" ht="17.25" customHeight="1" s="322">
      <c r="A527" s="27" t="n"/>
      <c r="B527" s="506" t="n"/>
      <c r="C527" s="141" t="n"/>
      <c r="D527" s="141" t="n"/>
      <c r="E527" s="141" t="n"/>
      <c r="F527" s="141" t="n"/>
      <c r="G527" s="143" t="n"/>
      <c r="H527" s="27" t="n"/>
    </row>
    <row r="528" ht="17.25" customHeight="1" s="322">
      <c r="A528" s="27" t="n"/>
      <c r="B528" s="506" t="n"/>
      <c r="C528" s="141" t="n"/>
      <c r="D528" s="141" t="n"/>
      <c r="E528" s="141" t="n"/>
      <c r="F528" s="141" t="n"/>
      <c r="G528" s="143" t="n"/>
      <c r="H528" s="27" t="n"/>
    </row>
    <row r="529" ht="17.25" customHeight="1" s="322">
      <c r="A529" s="27" t="n"/>
      <c r="B529" s="506" t="n"/>
      <c r="C529" s="141" t="n"/>
      <c r="D529" s="141" t="n"/>
      <c r="E529" s="141" t="n"/>
      <c r="F529" s="141" t="n"/>
      <c r="G529" s="143" t="n"/>
      <c r="H529" s="27" t="n"/>
    </row>
    <row r="530" ht="17.25" customHeight="1" s="322">
      <c r="A530" s="27" t="n"/>
      <c r="B530" s="506" t="n"/>
      <c r="C530" s="141" t="n"/>
      <c r="D530" s="141" t="n"/>
      <c r="E530" s="141" t="n"/>
      <c r="F530" s="141" t="n"/>
      <c r="G530" s="143" t="n"/>
      <c r="H530" s="27" t="n"/>
    </row>
    <row r="531" ht="17.25" customHeight="1" s="322">
      <c r="A531" s="27" t="n"/>
      <c r="B531" s="506" t="n"/>
      <c r="C531" s="141" t="n"/>
      <c r="D531" s="141" t="n"/>
      <c r="E531" s="141" t="n"/>
      <c r="F531" s="141" t="n"/>
      <c r="G531" s="143" t="n"/>
      <c r="H531" s="27" t="n"/>
    </row>
    <row r="532" ht="17.25" customHeight="1" s="322">
      <c r="A532" s="27" t="n"/>
      <c r="B532" s="506" t="n"/>
      <c r="C532" s="141" t="n"/>
      <c r="D532" s="141" t="n"/>
      <c r="E532" s="141" t="n"/>
      <c r="F532" s="141" t="n"/>
      <c r="G532" s="143" t="n"/>
      <c r="H532" s="27" t="n"/>
    </row>
    <row r="533" ht="17.25" customHeight="1" s="322">
      <c r="A533" s="27" t="n"/>
      <c r="B533" s="506" t="n"/>
      <c r="C533" s="141" t="n"/>
      <c r="D533" s="141" t="n"/>
      <c r="E533" s="141" t="n"/>
      <c r="F533" s="141" t="n"/>
      <c r="G533" s="143" t="n"/>
      <c r="H533" s="27" t="n"/>
    </row>
    <row r="534" ht="17.25" customHeight="1" s="322">
      <c r="A534" s="27" t="n"/>
      <c r="B534" s="506" t="n"/>
      <c r="C534" s="141" t="n"/>
      <c r="D534" s="141" t="n"/>
      <c r="E534" s="141" t="n"/>
      <c r="F534" s="141" t="n"/>
      <c r="G534" s="143" t="n"/>
      <c r="H534" s="27" t="n"/>
    </row>
    <row r="535" ht="17.25" customHeight="1" s="322">
      <c r="A535" s="27" t="n"/>
      <c r="B535" s="506" t="n"/>
      <c r="C535" s="141" t="n"/>
      <c r="D535" s="141" t="n"/>
      <c r="E535" s="141" t="n"/>
      <c r="F535" s="141" t="n"/>
      <c r="G535" s="143" t="n"/>
      <c r="H535" s="27" t="n"/>
    </row>
    <row r="536" ht="17.25" customHeight="1" s="322">
      <c r="A536" s="27" t="n"/>
      <c r="B536" s="506" t="n"/>
      <c r="C536" s="141" t="n"/>
      <c r="D536" s="141" t="n"/>
      <c r="E536" s="141" t="n"/>
      <c r="F536" s="141" t="n"/>
      <c r="G536" s="143" t="n"/>
      <c r="H536" s="27" t="n"/>
    </row>
    <row r="537" ht="17.25" customHeight="1" s="322">
      <c r="A537" s="27" t="n"/>
      <c r="B537" s="506" t="n"/>
      <c r="C537" s="141" t="n"/>
      <c r="D537" s="141" t="n"/>
      <c r="E537" s="141" t="n"/>
      <c r="F537" s="141" t="n"/>
      <c r="G537" s="143" t="n"/>
      <c r="H537" s="27" t="n"/>
    </row>
    <row r="538" ht="17.25" customHeight="1" s="322">
      <c r="A538" s="27" t="n"/>
      <c r="B538" s="506" t="n"/>
      <c r="C538" s="141" t="n"/>
      <c r="D538" s="141" t="n"/>
      <c r="E538" s="141" t="n"/>
      <c r="F538" s="141" t="n"/>
      <c r="G538" s="143" t="n"/>
      <c r="H538" s="27" t="n"/>
    </row>
    <row r="539" ht="17.25" customHeight="1" s="322">
      <c r="A539" s="27" t="n"/>
      <c r="B539" s="506" t="n"/>
      <c r="C539" s="141" t="n"/>
      <c r="D539" s="141" t="n"/>
      <c r="E539" s="141" t="n"/>
      <c r="F539" s="141" t="n"/>
      <c r="G539" s="143" t="n"/>
      <c r="H539" s="27" t="n"/>
    </row>
    <row r="540" ht="17.25" customHeight="1" s="322">
      <c r="A540" s="27" t="n"/>
      <c r="B540" s="506" t="n"/>
      <c r="C540" s="141" t="n"/>
      <c r="D540" s="141" t="n"/>
      <c r="E540" s="141" t="n"/>
      <c r="F540" s="141" t="n"/>
      <c r="G540" s="143" t="n"/>
      <c r="H540" s="27" t="n"/>
    </row>
    <row r="541" ht="17.25" customHeight="1" s="322">
      <c r="A541" s="27" t="n"/>
      <c r="B541" s="506" t="n"/>
      <c r="C541" s="141" t="n"/>
      <c r="D541" s="141" t="n"/>
      <c r="E541" s="141" t="n"/>
      <c r="F541" s="141" t="n"/>
      <c r="G541" s="143" t="n"/>
      <c r="H541" s="27" t="n"/>
    </row>
    <row r="542" ht="17.25" customHeight="1" s="322">
      <c r="A542" s="27" t="n"/>
      <c r="B542" s="506" t="n"/>
      <c r="C542" s="141" t="n"/>
      <c r="D542" s="141" t="n"/>
      <c r="E542" s="141" t="n"/>
      <c r="F542" s="141" t="n"/>
      <c r="G542" s="143" t="n"/>
      <c r="H542" s="27" t="n"/>
    </row>
    <row r="543" ht="17.25" customHeight="1" s="322">
      <c r="A543" s="27" t="n"/>
      <c r="B543" s="506" t="n"/>
      <c r="C543" s="141" t="n"/>
      <c r="D543" s="141" t="n"/>
      <c r="E543" s="141" t="n"/>
      <c r="F543" s="141" t="n"/>
      <c r="G543" s="143" t="n"/>
      <c r="H543" s="27" t="n"/>
    </row>
    <row r="544" ht="17.25" customHeight="1" s="322">
      <c r="A544" s="27" t="n"/>
      <c r="B544" s="506" t="n"/>
      <c r="C544" s="141" t="n"/>
      <c r="D544" s="141" t="n"/>
      <c r="E544" s="141" t="n"/>
      <c r="F544" s="141" t="n"/>
      <c r="G544" s="143" t="n"/>
      <c r="H544" s="27" t="n"/>
    </row>
    <row r="545" ht="17.25" customHeight="1" s="322">
      <c r="A545" s="27" t="n"/>
      <c r="B545" s="506" t="n"/>
      <c r="C545" s="141" t="n"/>
      <c r="D545" s="141" t="n"/>
      <c r="E545" s="141" t="n"/>
      <c r="F545" s="141" t="n"/>
      <c r="G545" s="143" t="n"/>
      <c r="H545" s="27" t="n"/>
    </row>
    <row r="546" ht="17.25" customHeight="1" s="322">
      <c r="A546" s="27" t="n"/>
      <c r="B546" s="506" t="n"/>
      <c r="C546" s="141" t="n"/>
      <c r="D546" s="141" t="n"/>
      <c r="E546" s="141" t="n"/>
      <c r="F546" s="141" t="n"/>
      <c r="G546" s="143" t="n"/>
      <c r="H546" s="27" t="n"/>
    </row>
    <row r="547" ht="17.25" customHeight="1" s="322">
      <c r="A547" s="27" t="n"/>
      <c r="B547" s="506" t="n"/>
      <c r="C547" s="141" t="n"/>
      <c r="D547" s="141" t="n"/>
      <c r="E547" s="141" t="n"/>
      <c r="F547" s="141" t="n"/>
      <c r="G547" s="143" t="n"/>
      <c r="H547" s="27" t="n"/>
    </row>
    <row r="548" ht="17.25" customHeight="1" s="322">
      <c r="A548" s="27" t="n"/>
      <c r="B548" s="506" t="n"/>
      <c r="C548" s="141" t="n"/>
      <c r="D548" s="141" t="n"/>
      <c r="E548" s="141" t="n"/>
      <c r="F548" s="141" t="n"/>
      <c r="G548" s="143" t="n"/>
      <c r="H548" s="27" t="n"/>
    </row>
    <row r="549" ht="17.25" customHeight="1" s="322">
      <c r="A549" s="27" t="n"/>
      <c r="B549" s="506" t="n"/>
      <c r="C549" s="141" t="n"/>
      <c r="D549" s="141" t="n"/>
      <c r="E549" s="141" t="n"/>
      <c r="F549" s="141" t="n"/>
      <c r="G549" s="143" t="n"/>
      <c r="H549" s="27" t="n"/>
    </row>
    <row r="550" ht="17.25" customHeight="1" s="322">
      <c r="A550" s="27" t="n"/>
      <c r="B550" s="506" t="n"/>
      <c r="C550" s="141" t="n"/>
      <c r="D550" s="141" t="n"/>
      <c r="E550" s="141" t="n"/>
      <c r="F550" s="141" t="n"/>
      <c r="G550" s="143" t="n"/>
      <c r="H550" s="27" t="n"/>
    </row>
    <row r="551" ht="17.25" customHeight="1" s="322">
      <c r="A551" s="27" t="n"/>
      <c r="B551" s="506" t="n"/>
      <c r="C551" s="141" t="n"/>
      <c r="D551" s="141" t="n"/>
      <c r="E551" s="141" t="n"/>
      <c r="F551" s="141" t="n"/>
      <c r="G551" s="143" t="n"/>
      <c r="H551" s="27" t="n"/>
    </row>
    <row r="552" ht="17.25" customHeight="1" s="322">
      <c r="A552" s="27" t="n"/>
      <c r="B552" s="506" t="n"/>
      <c r="C552" s="141" t="n"/>
      <c r="D552" s="141" t="n"/>
      <c r="E552" s="141" t="n"/>
      <c r="F552" s="141" t="n"/>
      <c r="G552" s="143" t="n"/>
      <c r="H552" s="27" t="n"/>
    </row>
    <row r="553" ht="17.25" customHeight="1" s="322">
      <c r="A553" s="27" t="n"/>
      <c r="B553" s="506" t="n"/>
      <c r="C553" s="141" t="n"/>
      <c r="D553" s="141" t="n"/>
      <c r="E553" s="141" t="n"/>
      <c r="F553" s="141" t="n"/>
      <c r="G553" s="143" t="n"/>
      <c r="H553" s="27" t="n"/>
    </row>
    <row r="554" ht="17.25" customHeight="1" s="322">
      <c r="A554" s="27" t="n"/>
      <c r="B554" s="506" t="n"/>
      <c r="C554" s="141" t="n"/>
      <c r="D554" s="141" t="n"/>
      <c r="E554" s="141" t="n"/>
      <c r="F554" s="141" t="n"/>
      <c r="G554" s="143" t="n"/>
      <c r="H554" s="27" t="n"/>
    </row>
    <row r="555" ht="17.25" customHeight="1" s="322">
      <c r="A555" s="27" t="n"/>
      <c r="B555" s="506" t="n"/>
      <c r="C555" s="141" t="n"/>
      <c r="D555" s="141" t="n"/>
      <c r="E555" s="141" t="n"/>
      <c r="F555" s="141" t="n"/>
      <c r="G555" s="143" t="n"/>
      <c r="H555" s="27" t="n"/>
    </row>
    <row r="556" ht="17.25" customHeight="1" s="322">
      <c r="A556" s="27" t="n"/>
      <c r="B556" s="506" t="n"/>
      <c r="C556" s="141" t="n"/>
      <c r="D556" s="141" t="n"/>
      <c r="E556" s="141" t="n"/>
      <c r="F556" s="141" t="n"/>
      <c r="G556" s="143" t="n"/>
      <c r="H556" s="27" t="n"/>
    </row>
    <row r="557" ht="17.25" customHeight="1" s="322">
      <c r="A557" s="27" t="n"/>
      <c r="B557" s="506" t="n"/>
      <c r="C557" s="141" t="n"/>
      <c r="D557" s="141" t="n"/>
      <c r="E557" s="141" t="n"/>
      <c r="F557" s="141" t="n"/>
      <c r="G557" s="143" t="n"/>
      <c r="H557" s="27" t="n"/>
    </row>
    <row r="558" ht="17.25" customHeight="1" s="322">
      <c r="A558" s="27" t="n"/>
      <c r="B558" s="506" t="n"/>
      <c r="C558" s="141" t="n"/>
      <c r="D558" s="141" t="n"/>
      <c r="E558" s="141" t="n"/>
      <c r="F558" s="141" t="n"/>
      <c r="G558" s="143" t="n"/>
      <c r="H558" s="27" t="n"/>
    </row>
    <row r="559" ht="17.25" customHeight="1" s="322">
      <c r="A559" s="27" t="n"/>
      <c r="B559" s="506" t="n"/>
      <c r="C559" s="141" t="n"/>
      <c r="D559" s="141" t="n"/>
      <c r="E559" s="141" t="n"/>
      <c r="F559" s="141" t="n"/>
      <c r="G559" s="143" t="n"/>
      <c r="H559" s="27" t="n"/>
    </row>
    <row r="560" ht="17.25" customHeight="1" s="322">
      <c r="A560" s="27" t="n"/>
      <c r="B560" s="506" t="n"/>
      <c r="C560" s="141" t="n"/>
      <c r="D560" s="141" t="n"/>
      <c r="E560" s="141" t="n"/>
      <c r="F560" s="141" t="n"/>
      <c r="G560" s="143" t="n"/>
      <c r="H560" s="27" t="n"/>
    </row>
    <row r="561" ht="17.25" customHeight="1" s="322">
      <c r="A561" s="27" t="n"/>
      <c r="B561" s="506" t="n"/>
      <c r="C561" s="141" t="n"/>
      <c r="D561" s="141" t="n"/>
      <c r="E561" s="141" t="n"/>
      <c r="F561" s="141" t="n"/>
      <c r="G561" s="143" t="n"/>
      <c r="H561" s="27" t="n"/>
    </row>
    <row r="562" ht="17.25" customHeight="1" s="322">
      <c r="A562" s="27" t="n"/>
      <c r="B562" s="506" t="n"/>
      <c r="C562" s="141" t="n"/>
      <c r="D562" s="141" t="n"/>
      <c r="E562" s="141" t="n"/>
      <c r="F562" s="141" t="n"/>
      <c r="G562" s="143" t="n"/>
      <c r="H562" s="27" t="n"/>
    </row>
    <row r="563" ht="17.25" customHeight="1" s="322">
      <c r="A563" s="27" t="n"/>
      <c r="B563" s="506" t="n"/>
      <c r="C563" s="141" t="n"/>
      <c r="D563" s="141" t="n"/>
      <c r="E563" s="141" t="n"/>
      <c r="F563" s="141" t="n"/>
      <c r="G563" s="143" t="n"/>
      <c r="H563" s="27" t="n"/>
    </row>
    <row r="564" ht="17.25" customHeight="1" s="322">
      <c r="A564" s="27" t="n"/>
      <c r="B564" s="506" t="n"/>
      <c r="C564" s="141" t="n"/>
      <c r="D564" s="141" t="n"/>
      <c r="E564" s="141" t="n"/>
      <c r="F564" s="141" t="n"/>
      <c r="G564" s="143" t="n"/>
      <c r="H564" s="27" t="n"/>
    </row>
    <row r="565" ht="17.25" customHeight="1" s="322">
      <c r="A565" s="27" t="n"/>
      <c r="B565" s="506" t="n"/>
      <c r="C565" s="141" t="n"/>
      <c r="D565" s="141" t="n"/>
      <c r="E565" s="141" t="n"/>
      <c r="F565" s="141" t="n"/>
      <c r="G565" s="143" t="n"/>
      <c r="H565" s="27" t="n"/>
    </row>
    <row r="566" ht="17.25" customHeight="1" s="322">
      <c r="A566" s="27" t="n"/>
      <c r="B566" s="506" t="n"/>
      <c r="C566" s="141" t="n"/>
      <c r="D566" s="141" t="n"/>
      <c r="E566" s="141" t="n"/>
      <c r="F566" s="141" t="n"/>
      <c r="G566" s="143" t="n"/>
      <c r="H566" s="27" t="n"/>
    </row>
    <row r="567" ht="17.25" customHeight="1" s="322">
      <c r="A567" s="27" t="n"/>
      <c r="B567" s="506" t="n"/>
      <c r="C567" s="141" t="n"/>
      <c r="D567" s="141" t="n"/>
      <c r="E567" s="141" t="n"/>
      <c r="F567" s="141" t="n"/>
      <c r="G567" s="143" t="n"/>
      <c r="H567" s="27" t="n"/>
    </row>
    <row r="568" ht="17.25" customHeight="1" s="322">
      <c r="A568" s="27" t="n"/>
      <c r="B568" s="506" t="n"/>
      <c r="C568" s="141" t="n"/>
      <c r="D568" s="141" t="n"/>
      <c r="E568" s="141" t="n"/>
      <c r="F568" s="141" t="n"/>
      <c r="G568" s="143" t="n"/>
      <c r="H568" s="27" t="n"/>
    </row>
    <row r="569" ht="17.25" customHeight="1" s="322">
      <c r="A569" s="27" t="n"/>
      <c r="B569" s="506" t="n"/>
      <c r="C569" s="141" t="n"/>
      <c r="D569" s="141" t="n"/>
      <c r="E569" s="141" t="n"/>
      <c r="F569" s="141" t="n"/>
      <c r="G569" s="143" t="n"/>
      <c r="H569" s="27" t="n"/>
    </row>
    <row r="570" ht="17.25" customHeight="1" s="322">
      <c r="A570" s="27" t="n"/>
      <c r="B570" s="506" t="n"/>
      <c r="C570" s="141" t="n"/>
      <c r="D570" s="141" t="n"/>
      <c r="E570" s="141" t="n"/>
      <c r="F570" s="141" t="n"/>
      <c r="G570" s="143" t="n"/>
      <c r="H570" s="27" t="n"/>
    </row>
    <row r="571" ht="17.25" customHeight="1" s="322">
      <c r="A571" s="27" t="n"/>
      <c r="B571" s="506" t="n"/>
      <c r="C571" s="141" t="n"/>
      <c r="D571" s="141" t="n"/>
      <c r="E571" s="141" t="n"/>
      <c r="F571" s="141" t="n"/>
      <c r="G571" s="143" t="n"/>
      <c r="H571" s="27" t="n"/>
    </row>
    <row r="572" ht="17.25" customHeight="1" s="322">
      <c r="A572" s="27" t="n"/>
      <c r="B572" s="506" t="n"/>
      <c r="C572" s="141" t="n"/>
      <c r="D572" s="141" t="n"/>
      <c r="E572" s="141" t="n"/>
      <c r="F572" s="141" t="n"/>
      <c r="G572" s="143" t="n"/>
      <c r="H572" s="27" t="n"/>
    </row>
    <row r="573" ht="17.25" customHeight="1" s="322">
      <c r="A573" s="27" t="n"/>
      <c r="B573" s="506" t="n"/>
      <c r="C573" s="141" t="n"/>
      <c r="D573" s="141" t="n"/>
      <c r="E573" s="141" t="n"/>
      <c r="F573" s="141" t="n"/>
      <c r="G573" s="143" t="n"/>
      <c r="H573" s="27" t="n"/>
    </row>
    <row r="574" ht="17.25" customHeight="1" s="322">
      <c r="A574" s="27" t="n"/>
      <c r="B574" s="506" t="n"/>
      <c r="C574" s="141" t="n"/>
      <c r="D574" s="141" t="n"/>
      <c r="E574" s="141" t="n"/>
      <c r="F574" s="141" t="n"/>
      <c r="G574" s="143" t="n"/>
      <c r="H574" s="27" t="n"/>
    </row>
    <row r="575" ht="17.25" customHeight="1" s="322">
      <c r="A575" s="27" t="n"/>
      <c r="B575" s="506" t="n"/>
      <c r="C575" s="141" t="n"/>
      <c r="D575" s="141" t="n"/>
      <c r="E575" s="141" t="n"/>
      <c r="F575" s="141" t="n"/>
      <c r="G575" s="143" t="n"/>
      <c r="H575" s="27" t="n"/>
    </row>
    <row r="576" ht="17.25" customHeight="1" s="322">
      <c r="A576" s="27" t="n"/>
      <c r="B576" s="506" t="n"/>
      <c r="C576" s="141" t="n"/>
      <c r="D576" s="141" t="n"/>
      <c r="E576" s="141" t="n"/>
      <c r="F576" s="141" t="n"/>
      <c r="G576" s="143" t="n"/>
      <c r="H576" s="27" t="n"/>
    </row>
    <row r="577" ht="17.25" customHeight="1" s="322">
      <c r="A577" s="27" t="n"/>
      <c r="B577" s="506" t="n"/>
      <c r="C577" s="141" t="n"/>
      <c r="D577" s="141" t="n"/>
      <c r="E577" s="141" t="n"/>
      <c r="F577" s="141" t="n"/>
      <c r="G577" s="143" t="n"/>
      <c r="H577" s="27" t="n"/>
    </row>
    <row r="578" ht="17.25" customHeight="1" s="322">
      <c r="A578" s="27" t="n"/>
      <c r="B578" s="506" t="n"/>
      <c r="C578" s="141" t="n"/>
      <c r="D578" s="141" t="n"/>
      <c r="E578" s="141" t="n"/>
      <c r="F578" s="141" t="n"/>
      <c r="G578" s="143" t="n"/>
      <c r="H578" s="27" t="n"/>
    </row>
    <row r="579" ht="17.25" customHeight="1" s="322">
      <c r="A579" s="27" t="n"/>
      <c r="B579" s="506" t="n"/>
      <c r="C579" s="141" t="n"/>
      <c r="D579" s="141" t="n"/>
      <c r="E579" s="141" t="n"/>
      <c r="F579" s="141" t="n"/>
      <c r="G579" s="143" t="n"/>
      <c r="H579" s="27" t="n"/>
    </row>
    <row r="580" ht="17.25" customHeight="1" s="322">
      <c r="A580" s="27" t="n"/>
      <c r="B580" s="506" t="n"/>
      <c r="C580" s="141" t="n"/>
      <c r="D580" s="141" t="n"/>
      <c r="E580" s="141" t="n"/>
      <c r="F580" s="141" t="n"/>
      <c r="G580" s="143" t="n"/>
      <c r="H580" s="27" t="n"/>
    </row>
    <row r="581" ht="17.25" customHeight="1" s="322">
      <c r="A581" s="27" t="n"/>
      <c r="B581" s="506" t="n"/>
      <c r="C581" s="141" t="n"/>
      <c r="D581" s="141" t="n"/>
      <c r="E581" s="141" t="n"/>
      <c r="F581" s="141" t="n"/>
      <c r="G581" s="143" t="n"/>
      <c r="H581" s="27" t="n"/>
    </row>
    <row r="582" ht="17.25" customHeight="1" s="322">
      <c r="A582" s="27" t="n"/>
      <c r="B582" s="506" t="n"/>
      <c r="C582" s="141" t="n"/>
      <c r="D582" s="141" t="n"/>
      <c r="E582" s="141" t="n"/>
      <c r="F582" s="141" t="n"/>
      <c r="G582" s="143" t="n"/>
      <c r="H582" s="27" t="n"/>
    </row>
    <row r="583" ht="17.25" customHeight="1" s="322">
      <c r="A583" s="27" t="n"/>
      <c r="B583" s="506" t="n"/>
      <c r="C583" s="141" t="n"/>
      <c r="D583" s="141" t="n"/>
      <c r="E583" s="141" t="n"/>
      <c r="F583" s="141" t="n"/>
      <c r="G583" s="143" t="n"/>
      <c r="H583" s="27" t="n"/>
    </row>
    <row r="584" ht="17.25" customHeight="1" s="322">
      <c r="A584" s="27" t="n"/>
      <c r="B584" s="506" t="n"/>
      <c r="C584" s="141" t="n"/>
      <c r="D584" s="141" t="n"/>
      <c r="E584" s="141" t="n"/>
      <c r="F584" s="141" t="n"/>
      <c r="G584" s="143" t="n"/>
      <c r="H584" s="27" t="n"/>
    </row>
    <row r="585" ht="17.25" customHeight="1" s="322">
      <c r="A585" s="27" t="n"/>
      <c r="B585" s="506" t="n"/>
      <c r="C585" s="141" t="n"/>
      <c r="D585" s="141" t="n"/>
      <c r="E585" s="141" t="n"/>
      <c r="F585" s="141" t="n"/>
      <c r="G585" s="143" t="n"/>
      <c r="H585" s="27" t="n"/>
    </row>
    <row r="586" ht="17.25" customHeight="1" s="322">
      <c r="A586" s="27" t="n"/>
      <c r="B586" s="506" t="n"/>
      <c r="C586" s="141" t="n"/>
      <c r="D586" s="141" t="n"/>
      <c r="E586" s="141" t="n"/>
      <c r="F586" s="141" t="n"/>
      <c r="G586" s="143" t="n"/>
      <c r="H586" s="27" t="n"/>
    </row>
    <row r="587" ht="17.25" customHeight="1" s="322">
      <c r="A587" s="27" t="n"/>
      <c r="B587" s="506" t="n"/>
      <c r="C587" s="141" t="n"/>
      <c r="D587" s="141" t="n"/>
      <c r="E587" s="141" t="n"/>
      <c r="F587" s="141" t="n"/>
      <c r="G587" s="143" t="n"/>
      <c r="H587" s="27" t="n"/>
    </row>
    <row r="588" ht="17.25" customHeight="1" s="322">
      <c r="A588" s="27" t="n"/>
      <c r="B588" s="506" t="n"/>
      <c r="C588" s="141" t="n"/>
      <c r="D588" s="141" t="n"/>
      <c r="E588" s="141" t="n"/>
      <c r="F588" s="141" t="n"/>
      <c r="G588" s="143" t="n"/>
      <c r="H588" s="27" t="n"/>
    </row>
    <row r="589" ht="17.25" customHeight="1" s="322">
      <c r="A589" s="27" t="n"/>
      <c r="B589" s="506" t="n"/>
      <c r="C589" s="141" t="n"/>
      <c r="D589" s="141" t="n"/>
      <c r="E589" s="141" t="n"/>
      <c r="F589" s="141" t="n"/>
      <c r="G589" s="143" t="n"/>
      <c r="H589" s="27" t="n"/>
    </row>
    <row r="590" ht="17.25" customHeight="1" s="322">
      <c r="A590" s="27" t="n"/>
      <c r="B590" s="506" t="n"/>
      <c r="C590" s="141" t="n"/>
      <c r="D590" s="141" t="n"/>
      <c r="E590" s="141" t="n"/>
      <c r="F590" s="141" t="n"/>
      <c r="G590" s="143" t="n"/>
      <c r="H590" s="27" t="n"/>
    </row>
    <row r="591" ht="17.25" customHeight="1" s="322">
      <c r="A591" s="27" t="n"/>
      <c r="B591" s="506" t="n"/>
      <c r="C591" s="141" t="n"/>
      <c r="D591" s="141" t="n"/>
      <c r="E591" s="141" t="n"/>
      <c r="F591" s="141" t="n"/>
      <c r="G591" s="143" t="n"/>
      <c r="H591" s="27" t="n"/>
    </row>
    <row r="592" ht="17.25" customHeight="1" s="322">
      <c r="A592" s="27" t="n"/>
      <c r="B592" s="506" t="n"/>
      <c r="C592" s="141" t="n"/>
      <c r="D592" s="141" t="n"/>
      <c r="E592" s="141" t="n"/>
      <c r="F592" s="141" t="n"/>
      <c r="G592" s="143" t="n"/>
      <c r="H592" s="27" t="n"/>
    </row>
    <row r="593" ht="17.25" customHeight="1" s="322">
      <c r="A593" s="27" t="n"/>
      <c r="B593" s="506" t="n"/>
      <c r="C593" s="141" t="n"/>
      <c r="D593" s="141" t="n"/>
      <c r="E593" s="141" t="n"/>
      <c r="F593" s="141" t="n"/>
      <c r="G593" s="143" t="n"/>
      <c r="H593" s="27" t="n"/>
    </row>
    <row r="594" ht="17.25" customHeight="1" s="322">
      <c r="A594" s="27" t="n"/>
      <c r="B594" s="506" t="n"/>
      <c r="C594" s="141" t="n"/>
      <c r="D594" s="141" t="n"/>
      <c r="E594" s="141" t="n"/>
      <c r="F594" s="141" t="n"/>
      <c r="G594" s="143" t="n"/>
      <c r="H594" s="27" t="n"/>
    </row>
    <row r="595" ht="17.25" customHeight="1" s="322">
      <c r="A595" s="27" t="n"/>
      <c r="B595" s="506" t="n"/>
      <c r="C595" s="141" t="n"/>
      <c r="D595" s="141" t="n"/>
      <c r="E595" s="141" t="n"/>
      <c r="F595" s="141" t="n"/>
      <c r="G595" s="143" t="n"/>
      <c r="H595" s="27" t="n"/>
    </row>
    <row r="596" ht="17.25" customHeight="1" s="322">
      <c r="A596" s="27" t="n"/>
      <c r="B596" s="506" t="n"/>
      <c r="C596" s="141" t="n"/>
      <c r="D596" s="141" t="n"/>
      <c r="E596" s="141" t="n"/>
      <c r="F596" s="141" t="n"/>
      <c r="G596" s="143" t="n"/>
      <c r="H596" s="27" t="n"/>
    </row>
    <row r="597" ht="17.25" customHeight="1" s="322">
      <c r="A597" s="27" t="n"/>
      <c r="B597" s="506" t="n"/>
      <c r="C597" s="141" t="n"/>
      <c r="D597" s="141" t="n"/>
      <c r="E597" s="141" t="n"/>
      <c r="F597" s="141" t="n"/>
      <c r="G597" s="143" t="n"/>
      <c r="H597" s="27" t="n"/>
    </row>
    <row r="598" ht="17.25" customHeight="1" s="322">
      <c r="A598" s="27" t="n"/>
      <c r="B598" s="506" t="n"/>
      <c r="C598" s="141" t="n"/>
      <c r="D598" s="141" t="n"/>
      <c r="E598" s="141" t="n"/>
      <c r="F598" s="141" t="n"/>
      <c r="G598" s="143" t="n"/>
      <c r="H598" s="27" t="n"/>
    </row>
    <row r="599" ht="17.25" customHeight="1" s="322">
      <c r="A599" s="27" t="n"/>
      <c r="B599" s="506" t="n"/>
      <c r="C599" s="141" t="n"/>
      <c r="D599" s="141" t="n"/>
      <c r="E599" s="141" t="n"/>
      <c r="F599" s="141" t="n"/>
      <c r="G599" s="143" t="n"/>
      <c r="H599" s="27" t="n"/>
    </row>
    <row r="600" ht="17.25" customHeight="1" s="322">
      <c r="A600" s="27" t="n"/>
      <c r="B600" s="506" t="n"/>
      <c r="C600" s="141" t="n"/>
      <c r="D600" s="141" t="n"/>
      <c r="E600" s="141" t="n"/>
      <c r="F600" s="141" t="n"/>
      <c r="G600" s="143" t="n"/>
      <c r="H600" s="27" t="n"/>
    </row>
    <row r="601" ht="17.25" customHeight="1" s="322">
      <c r="A601" s="27" t="n"/>
      <c r="B601" s="506" t="n"/>
      <c r="C601" s="141" t="n"/>
      <c r="D601" s="141" t="n"/>
      <c r="E601" s="141" t="n"/>
      <c r="F601" s="141" t="n"/>
      <c r="G601" s="143" t="n"/>
      <c r="H601" s="27" t="n"/>
    </row>
    <row r="602" ht="17.25" customHeight="1" s="322">
      <c r="A602" s="27" t="n"/>
      <c r="B602" s="506" t="n"/>
      <c r="C602" s="141" t="n"/>
      <c r="D602" s="141" t="n"/>
      <c r="E602" s="141" t="n"/>
      <c r="F602" s="141" t="n"/>
      <c r="G602" s="143" t="n"/>
      <c r="H602" s="27" t="n"/>
    </row>
    <row r="603" ht="17.25" customHeight="1" s="322">
      <c r="A603" s="27" t="n"/>
      <c r="B603" s="506" t="n"/>
      <c r="C603" s="141" t="n"/>
      <c r="D603" s="141" t="n"/>
      <c r="E603" s="141" t="n"/>
      <c r="F603" s="141" t="n"/>
      <c r="G603" s="143" t="n"/>
      <c r="H603" s="27" t="n"/>
    </row>
    <row r="604" ht="17.25" customHeight="1" s="322">
      <c r="A604" s="27" t="n"/>
      <c r="B604" s="506" t="n"/>
      <c r="C604" s="141" t="n"/>
      <c r="D604" s="141" t="n"/>
      <c r="E604" s="141" t="n"/>
      <c r="F604" s="141" t="n"/>
      <c r="G604" s="143" t="n"/>
      <c r="H604" s="27" t="n"/>
    </row>
    <row r="605" ht="17.25" customHeight="1" s="322">
      <c r="A605" s="27" t="n"/>
      <c r="B605" s="506" t="n"/>
      <c r="C605" s="141" t="n"/>
      <c r="D605" s="141" t="n"/>
      <c r="E605" s="141" t="n"/>
      <c r="F605" s="141" t="n"/>
      <c r="G605" s="143" t="n"/>
      <c r="H605" s="27" t="n"/>
    </row>
    <row r="606" ht="17.25" customHeight="1" s="322">
      <c r="A606" s="27" t="n"/>
      <c r="B606" s="506" t="n"/>
      <c r="C606" s="141" t="n"/>
      <c r="D606" s="141" t="n"/>
      <c r="E606" s="141" t="n"/>
      <c r="F606" s="141" t="n"/>
      <c r="G606" s="143" t="n"/>
      <c r="H606" s="27" t="n"/>
    </row>
    <row r="607" ht="17.25" customHeight="1" s="322">
      <c r="A607" s="27" t="n"/>
      <c r="B607" s="506" t="n"/>
      <c r="C607" s="141" t="n"/>
      <c r="D607" s="141" t="n"/>
      <c r="E607" s="141" t="n"/>
      <c r="F607" s="141" t="n"/>
      <c r="G607" s="143" t="n"/>
      <c r="H607" s="27" t="n"/>
    </row>
    <row r="608" ht="17.25" customHeight="1" s="322">
      <c r="A608" s="27" t="n"/>
      <c r="B608" s="506" t="n"/>
      <c r="C608" s="141" t="n"/>
      <c r="D608" s="141" t="n"/>
      <c r="E608" s="141" t="n"/>
      <c r="F608" s="141" t="n"/>
      <c r="G608" s="143" t="n"/>
      <c r="H608" s="27" t="n"/>
    </row>
    <row r="609" ht="17.25" customHeight="1" s="322">
      <c r="A609" s="27" t="n"/>
      <c r="B609" s="506" t="n"/>
      <c r="C609" s="141" t="n"/>
      <c r="D609" s="141" t="n"/>
      <c r="E609" s="141" t="n"/>
      <c r="F609" s="141" t="n"/>
      <c r="G609" s="143" t="n"/>
      <c r="H609" s="27" t="n"/>
    </row>
    <row r="610" ht="17.25" customHeight="1" s="322">
      <c r="A610" s="27" t="n"/>
      <c r="B610" s="506" t="n"/>
      <c r="C610" s="141" t="n"/>
      <c r="D610" s="141" t="n"/>
      <c r="E610" s="141" t="n"/>
      <c r="F610" s="141" t="n"/>
      <c r="G610" s="143" t="n"/>
      <c r="H610" s="27" t="n"/>
    </row>
    <row r="611" ht="17.25" customHeight="1" s="322">
      <c r="A611" s="27" t="n"/>
      <c r="B611" s="506" t="n"/>
      <c r="C611" s="141" t="n"/>
      <c r="D611" s="141" t="n"/>
      <c r="E611" s="141" t="n"/>
      <c r="F611" s="141" t="n"/>
      <c r="G611" s="143" t="n"/>
      <c r="H611" s="27" t="n"/>
    </row>
    <row r="612" ht="17.25" customHeight="1" s="322">
      <c r="A612" s="27" t="n"/>
      <c r="B612" s="506" t="n"/>
      <c r="C612" s="141" t="n"/>
      <c r="D612" s="141" t="n"/>
      <c r="E612" s="141" t="n"/>
      <c r="F612" s="141" t="n"/>
      <c r="G612" s="143" t="n"/>
      <c r="H612" s="27" t="n"/>
    </row>
    <row r="613" ht="17.25" customHeight="1" s="322">
      <c r="A613" s="27" t="n"/>
      <c r="B613" s="506" t="n"/>
      <c r="C613" s="141" t="n"/>
      <c r="D613" s="141" t="n"/>
      <c r="E613" s="141" t="n"/>
      <c r="F613" s="141" t="n"/>
      <c r="G613" s="143" t="n"/>
      <c r="H613" s="27" t="n"/>
    </row>
    <row r="614" ht="17.25" customHeight="1" s="322">
      <c r="A614" s="27" t="n"/>
      <c r="B614" s="506" t="n"/>
      <c r="C614" s="141" t="n"/>
      <c r="D614" s="141" t="n"/>
      <c r="E614" s="141" t="n"/>
      <c r="F614" s="141" t="n"/>
      <c r="G614" s="143" t="n"/>
      <c r="H614" s="27" t="n"/>
    </row>
    <row r="615" ht="17.25" customHeight="1" s="322">
      <c r="A615" s="27" t="n"/>
      <c r="B615" s="506" t="n"/>
      <c r="C615" s="141" t="n"/>
      <c r="D615" s="141" t="n"/>
      <c r="E615" s="141" t="n"/>
      <c r="F615" s="141" t="n"/>
      <c r="G615" s="143" t="n"/>
      <c r="H615" s="27" t="n"/>
    </row>
    <row r="616" ht="17.25" customHeight="1" s="322">
      <c r="A616" s="27" t="n"/>
      <c r="B616" s="506" t="n"/>
      <c r="C616" s="141" t="n"/>
      <c r="D616" s="141" t="n"/>
      <c r="E616" s="141" t="n"/>
      <c r="F616" s="141" t="n"/>
      <c r="G616" s="143" t="n"/>
      <c r="H616" s="27" t="n"/>
    </row>
    <row r="617" ht="17.25" customHeight="1" s="322">
      <c r="A617" s="27" t="n"/>
      <c r="B617" s="506" t="n"/>
      <c r="C617" s="141" t="n"/>
      <c r="D617" s="141" t="n"/>
      <c r="E617" s="141" t="n"/>
      <c r="F617" s="141" t="n"/>
      <c r="G617" s="143" t="n"/>
      <c r="H617" s="27" t="n"/>
    </row>
    <row r="618" ht="17.25" customHeight="1" s="322">
      <c r="A618" s="27" t="n"/>
      <c r="B618" s="506" t="n"/>
      <c r="C618" s="141" t="n"/>
      <c r="D618" s="141" t="n"/>
      <c r="E618" s="141" t="n"/>
      <c r="F618" s="141" t="n"/>
      <c r="G618" s="143" t="n"/>
      <c r="H618" s="27" t="n"/>
    </row>
    <row r="619" ht="17.25" customHeight="1" s="322">
      <c r="A619" s="27" t="n"/>
      <c r="B619" s="506" t="n"/>
      <c r="C619" s="141" t="n"/>
      <c r="D619" s="141" t="n"/>
      <c r="E619" s="141" t="n"/>
      <c r="F619" s="141" t="n"/>
      <c r="G619" s="143" t="n"/>
      <c r="H619" s="27" t="n"/>
    </row>
    <row r="620" ht="17.25" customHeight="1" s="322">
      <c r="A620" s="27" t="n"/>
      <c r="B620" s="506" t="n"/>
      <c r="C620" s="141" t="n"/>
      <c r="D620" s="141" t="n"/>
      <c r="E620" s="141" t="n"/>
      <c r="F620" s="141" t="n"/>
      <c r="G620" s="143" t="n"/>
      <c r="H620" s="27" t="n"/>
    </row>
    <row r="621" ht="17.25" customHeight="1" s="322">
      <c r="A621" s="27" t="n"/>
      <c r="B621" s="506" t="n"/>
      <c r="C621" s="141" t="n"/>
      <c r="D621" s="141" t="n"/>
      <c r="E621" s="141" t="n"/>
      <c r="F621" s="141" t="n"/>
      <c r="G621" s="143" t="n"/>
      <c r="H621" s="27" t="n"/>
    </row>
    <row r="622" ht="17.25" customHeight="1" s="322">
      <c r="A622" s="27" t="n"/>
      <c r="B622" s="506" t="n"/>
      <c r="C622" s="141" t="n"/>
      <c r="D622" s="141" t="n"/>
      <c r="E622" s="141" t="n"/>
      <c r="F622" s="141" t="n"/>
      <c r="G622" s="143" t="n"/>
      <c r="H622" s="27" t="n"/>
    </row>
    <row r="623" ht="17.25" customHeight="1" s="322">
      <c r="A623" s="27" t="n"/>
      <c r="B623" s="506" t="n"/>
      <c r="C623" s="141" t="n"/>
      <c r="D623" s="141" t="n"/>
      <c r="E623" s="141" t="n"/>
      <c r="F623" s="141" t="n"/>
      <c r="G623" s="143" t="n"/>
      <c r="H623" s="27" t="n"/>
    </row>
    <row r="624" ht="17.25" customHeight="1" s="322">
      <c r="A624" s="27" t="n"/>
      <c r="B624" s="506" t="n"/>
      <c r="C624" s="141" t="n"/>
      <c r="D624" s="141" t="n"/>
      <c r="E624" s="141" t="n"/>
      <c r="F624" s="141" t="n"/>
      <c r="G624" s="143" t="n"/>
      <c r="H624" s="27" t="n"/>
    </row>
    <row r="625" ht="17.25" customHeight="1" s="322">
      <c r="A625" s="27" t="n"/>
      <c r="B625" s="506" t="n"/>
      <c r="C625" s="141" t="n"/>
      <c r="D625" s="141" t="n"/>
      <c r="E625" s="141" t="n"/>
      <c r="F625" s="141" t="n"/>
      <c r="G625" s="143" t="n"/>
      <c r="H625" s="27" t="n"/>
    </row>
    <row r="626" ht="17.25" customHeight="1" s="322">
      <c r="A626" s="27" t="n"/>
      <c r="B626" s="506" t="n"/>
      <c r="C626" s="141" t="n"/>
      <c r="D626" s="141" t="n"/>
      <c r="E626" s="141" t="n"/>
      <c r="F626" s="141" t="n"/>
      <c r="G626" s="143" t="n"/>
      <c r="H626" s="27" t="n"/>
    </row>
    <row r="627" ht="17.25" customHeight="1" s="322">
      <c r="A627" s="27" t="n"/>
      <c r="B627" s="506" t="n"/>
      <c r="C627" s="141" t="n"/>
      <c r="D627" s="141" t="n"/>
      <c r="E627" s="141" t="n"/>
      <c r="F627" s="141" t="n"/>
      <c r="G627" s="143" t="n"/>
      <c r="H627" s="27" t="n"/>
    </row>
    <row r="628" ht="17.25" customHeight="1" s="322">
      <c r="A628" s="27" t="n"/>
      <c r="B628" s="506" t="n"/>
      <c r="C628" s="141" t="n"/>
      <c r="D628" s="141" t="n"/>
      <c r="E628" s="141" t="n"/>
      <c r="F628" s="141" t="n"/>
      <c r="G628" s="143" t="n"/>
      <c r="H628" s="27" t="n"/>
    </row>
    <row r="629" ht="17.25" customHeight="1" s="322">
      <c r="A629" s="27" t="n"/>
      <c r="B629" s="506" t="n"/>
      <c r="C629" s="141" t="n"/>
      <c r="D629" s="141" t="n"/>
      <c r="E629" s="141" t="n"/>
      <c r="F629" s="141" t="n"/>
      <c r="G629" s="143" t="n"/>
      <c r="H629" s="27" t="n"/>
    </row>
    <row r="630" ht="17.25" customHeight="1" s="322">
      <c r="A630" s="27" t="n"/>
      <c r="B630" s="506" t="n"/>
      <c r="C630" s="141" t="n"/>
      <c r="D630" s="141" t="n"/>
      <c r="E630" s="141" t="n"/>
      <c r="F630" s="141" t="n"/>
      <c r="G630" s="143" t="n"/>
      <c r="H630" s="27" t="n"/>
    </row>
    <row r="631" ht="17.25" customHeight="1" s="322">
      <c r="A631" s="27" t="n"/>
      <c r="B631" s="506" t="n"/>
      <c r="C631" s="141" t="n"/>
      <c r="D631" s="141" t="n"/>
      <c r="E631" s="141" t="n"/>
      <c r="F631" s="141" t="n"/>
      <c r="G631" s="143" t="n"/>
      <c r="H631" s="27" t="n"/>
    </row>
    <row r="632" ht="17.25" customHeight="1" s="322">
      <c r="A632" s="27" t="n"/>
      <c r="B632" s="506" t="n"/>
      <c r="C632" s="141" t="n"/>
      <c r="D632" s="141" t="n"/>
      <c r="E632" s="141" t="n"/>
      <c r="F632" s="141" t="n"/>
      <c r="G632" s="143" t="n"/>
      <c r="H632" s="27" t="n"/>
    </row>
    <row r="633" ht="17.25" customHeight="1" s="322">
      <c r="A633" s="27" t="n"/>
      <c r="B633" s="506" t="n"/>
      <c r="C633" s="141" t="n"/>
      <c r="D633" s="141" t="n"/>
      <c r="E633" s="141" t="n"/>
      <c r="F633" s="141" t="n"/>
      <c r="G633" s="143" t="n"/>
      <c r="H633" s="27" t="n"/>
    </row>
    <row r="634" ht="17.25" customHeight="1" s="322">
      <c r="A634" s="27" t="n"/>
      <c r="B634" s="506" t="n"/>
      <c r="C634" s="141" t="n"/>
      <c r="D634" s="141" t="n"/>
      <c r="E634" s="141" t="n"/>
      <c r="F634" s="141" t="n"/>
      <c r="G634" s="143" t="n"/>
      <c r="H634" s="27" t="n"/>
    </row>
    <row r="635" ht="17.25" customHeight="1" s="322">
      <c r="A635" s="27" t="n"/>
      <c r="B635" s="506" t="n"/>
      <c r="C635" s="141" t="n"/>
      <c r="D635" s="141" t="n"/>
      <c r="E635" s="141" t="n"/>
      <c r="F635" s="141" t="n"/>
      <c r="G635" s="143" t="n"/>
      <c r="H635" s="27" t="n"/>
    </row>
    <row r="636" ht="17.25" customHeight="1" s="322">
      <c r="A636" s="27" t="n"/>
      <c r="B636" s="506" t="n"/>
      <c r="C636" s="141" t="n"/>
      <c r="D636" s="141" t="n"/>
      <c r="E636" s="141" t="n"/>
      <c r="F636" s="141" t="n"/>
      <c r="G636" s="143" t="n"/>
      <c r="H636" s="27" t="n"/>
    </row>
    <row r="637" ht="17.25" customHeight="1" s="322">
      <c r="A637" s="27" t="n"/>
      <c r="B637" s="506" t="n"/>
      <c r="C637" s="141" t="n"/>
      <c r="D637" s="141" t="n"/>
      <c r="E637" s="141" t="n"/>
      <c r="F637" s="141" t="n"/>
      <c r="G637" s="143" t="n"/>
      <c r="H637" s="27" t="n"/>
    </row>
    <row r="638" ht="17.25" customHeight="1" s="322">
      <c r="A638" s="27" t="n"/>
      <c r="B638" s="506" t="n"/>
      <c r="C638" s="141" t="n"/>
      <c r="D638" s="141" t="n"/>
      <c r="E638" s="141" t="n"/>
      <c r="F638" s="141" t="n"/>
      <c r="G638" s="143" t="n"/>
      <c r="H638" s="27" t="n"/>
    </row>
    <row r="639" ht="17.25" customHeight="1" s="322">
      <c r="A639" s="27" t="n"/>
      <c r="B639" s="506" t="n"/>
      <c r="C639" s="141" t="n"/>
      <c r="D639" s="141" t="n"/>
      <c r="E639" s="141" t="n"/>
      <c r="F639" s="141" t="n"/>
      <c r="G639" s="143" t="n"/>
      <c r="H639" s="27" t="n"/>
    </row>
    <row r="640" ht="17.25" customHeight="1" s="322">
      <c r="A640" s="27" t="n"/>
      <c r="B640" s="506" t="n"/>
      <c r="C640" s="141" t="n"/>
      <c r="D640" s="141" t="n"/>
      <c r="E640" s="141" t="n"/>
      <c r="F640" s="141" t="n"/>
      <c r="G640" s="143" t="n"/>
      <c r="H640" s="27" t="n"/>
    </row>
    <row r="641" ht="17.25" customHeight="1" s="322">
      <c r="A641" s="27" t="n"/>
      <c r="B641" s="506" t="n"/>
      <c r="C641" s="141" t="n"/>
      <c r="D641" s="141" t="n"/>
      <c r="E641" s="141" t="n"/>
      <c r="F641" s="141" t="n"/>
      <c r="G641" s="143" t="n"/>
      <c r="H641" s="27" t="n"/>
    </row>
    <row r="642" ht="17.25" customHeight="1" s="322">
      <c r="A642" s="27" t="n"/>
      <c r="B642" s="506" t="n"/>
      <c r="C642" s="141" t="n"/>
      <c r="D642" s="141" t="n"/>
      <c r="E642" s="141" t="n"/>
      <c r="F642" s="141" t="n"/>
      <c r="G642" s="143" t="n"/>
      <c r="H642" s="27" t="n"/>
    </row>
    <row r="643" ht="17.25" customHeight="1" s="322">
      <c r="A643" s="27" t="n"/>
      <c r="B643" s="506" t="n"/>
      <c r="C643" s="141" t="n"/>
      <c r="D643" s="141" t="n"/>
      <c r="E643" s="141" t="n"/>
      <c r="F643" s="141" t="n"/>
      <c r="G643" s="143" t="n"/>
      <c r="H643" s="27" t="n"/>
    </row>
    <row r="644" ht="17.25" customHeight="1" s="322">
      <c r="A644" s="27" t="n"/>
      <c r="B644" s="506" t="n"/>
      <c r="C644" s="141" t="n"/>
      <c r="D644" s="141" t="n"/>
      <c r="E644" s="141" t="n"/>
      <c r="F644" s="141" t="n"/>
      <c r="G644" s="143" t="n"/>
      <c r="H644" s="27" t="n"/>
    </row>
    <row r="645" ht="17.25" customHeight="1" s="322">
      <c r="A645" s="27" t="n"/>
      <c r="B645" s="506" t="n"/>
      <c r="C645" s="141" t="n"/>
      <c r="D645" s="141" t="n"/>
      <c r="E645" s="141" t="n"/>
      <c r="F645" s="141" t="n"/>
      <c r="G645" s="143" t="n"/>
      <c r="H645" s="27" t="n"/>
    </row>
    <row r="646" ht="17.25" customHeight="1" s="322">
      <c r="A646" s="27" t="n"/>
      <c r="B646" s="506" t="n"/>
      <c r="C646" s="141" t="n"/>
      <c r="D646" s="141" t="n"/>
      <c r="E646" s="141" t="n"/>
      <c r="F646" s="141" t="n"/>
      <c r="G646" s="143" t="n"/>
      <c r="H646" s="27" t="n"/>
    </row>
    <row r="647" ht="17.25" customHeight="1" s="322">
      <c r="A647" s="27" t="n"/>
      <c r="B647" s="506" t="n"/>
      <c r="C647" s="141" t="n"/>
      <c r="D647" s="141" t="n"/>
      <c r="E647" s="141" t="n"/>
      <c r="F647" s="141" t="n"/>
      <c r="G647" s="143" t="n"/>
      <c r="H647" s="27" t="n"/>
    </row>
    <row r="648" ht="17.25" customHeight="1" s="322">
      <c r="A648" s="27" t="n"/>
      <c r="B648" s="506" t="n"/>
      <c r="C648" s="141" t="n"/>
      <c r="D648" s="141" t="n"/>
      <c r="E648" s="141" t="n"/>
      <c r="F648" s="141" t="n"/>
      <c r="G648" s="143" t="n"/>
      <c r="H648" s="27" t="n"/>
    </row>
    <row r="649" ht="17.25" customHeight="1" s="322">
      <c r="A649" s="27" t="n"/>
      <c r="B649" s="506" t="n"/>
      <c r="C649" s="141" t="n"/>
      <c r="D649" s="141" t="n"/>
      <c r="E649" s="141" t="n"/>
      <c r="F649" s="141" t="n"/>
      <c r="G649" s="143" t="n"/>
      <c r="H649" s="27" t="n"/>
    </row>
    <row r="650" ht="17.25" customHeight="1" s="322">
      <c r="A650" s="27" t="n"/>
      <c r="B650" s="506" t="n"/>
      <c r="C650" s="141" t="n"/>
      <c r="D650" s="141" t="n"/>
      <c r="E650" s="141" t="n"/>
      <c r="F650" s="141" t="n"/>
      <c r="G650" s="143" t="n"/>
      <c r="H650" s="27" t="n"/>
    </row>
    <row r="651" ht="17.25" customHeight="1" s="322">
      <c r="A651" s="27" t="n"/>
      <c r="B651" s="506" t="n"/>
      <c r="C651" s="141" t="n"/>
      <c r="D651" s="141" t="n"/>
      <c r="E651" s="141" t="n"/>
      <c r="F651" s="141" t="n"/>
      <c r="G651" s="143" t="n"/>
      <c r="H651" s="27" t="n"/>
    </row>
    <row r="652" ht="17.25" customHeight="1" s="322">
      <c r="A652" s="27" t="n"/>
      <c r="B652" s="506" t="n"/>
      <c r="C652" s="141" t="n"/>
      <c r="D652" s="141" t="n"/>
      <c r="E652" s="141" t="n"/>
      <c r="F652" s="141" t="n"/>
      <c r="G652" s="143" t="n"/>
      <c r="H652" s="27" t="n"/>
    </row>
    <row r="653" ht="17.25" customHeight="1" s="322">
      <c r="A653" s="27" t="n"/>
      <c r="B653" s="506" t="n"/>
      <c r="C653" s="141" t="n"/>
      <c r="D653" s="141" t="n"/>
      <c r="E653" s="141" t="n"/>
      <c r="F653" s="141" t="n"/>
      <c r="G653" s="143" t="n"/>
      <c r="H653" s="27" t="n"/>
    </row>
    <row r="654" ht="17.25" customHeight="1" s="322">
      <c r="A654" s="27" t="n"/>
      <c r="B654" s="506" t="n"/>
      <c r="C654" s="141" t="n"/>
      <c r="D654" s="141" t="n"/>
      <c r="E654" s="141" t="n"/>
      <c r="F654" s="141" t="n"/>
      <c r="G654" s="143" t="n"/>
      <c r="H654" s="27" t="n"/>
    </row>
    <row r="655" ht="17.25" customHeight="1" s="322">
      <c r="A655" s="27" t="n"/>
      <c r="B655" s="506" t="n"/>
      <c r="C655" s="141" t="n"/>
      <c r="D655" s="141" t="n"/>
      <c r="E655" s="141" t="n"/>
      <c r="F655" s="141" t="n"/>
      <c r="G655" s="143" t="n"/>
      <c r="H655" s="27" t="n"/>
    </row>
    <row r="656" ht="17.25" customHeight="1" s="322">
      <c r="A656" s="27" t="n"/>
      <c r="B656" s="506" t="n"/>
      <c r="C656" s="141" t="n"/>
      <c r="D656" s="141" t="n"/>
      <c r="E656" s="141" t="n"/>
      <c r="F656" s="141" t="n"/>
      <c r="G656" s="143" t="n"/>
      <c r="H656" s="27" t="n"/>
    </row>
    <row r="657" ht="17.25" customHeight="1" s="322">
      <c r="A657" s="27" t="n"/>
      <c r="B657" s="506" t="n"/>
      <c r="C657" s="141" t="n"/>
      <c r="D657" s="141" t="n"/>
      <c r="E657" s="141" t="n"/>
      <c r="F657" s="141" t="n"/>
      <c r="G657" s="143" t="n"/>
      <c r="H657" s="27" t="n"/>
    </row>
    <row r="658" ht="17.25" customHeight="1" s="322">
      <c r="A658" s="27" t="n"/>
      <c r="B658" s="506" t="n"/>
      <c r="C658" s="141" t="n"/>
      <c r="D658" s="141" t="n"/>
      <c r="E658" s="141" t="n"/>
      <c r="F658" s="141" t="n"/>
      <c r="G658" s="143" t="n"/>
      <c r="H658" s="27" t="n"/>
    </row>
    <row r="659" ht="17.25" customHeight="1" s="322">
      <c r="A659" s="27" t="n"/>
      <c r="B659" s="506" t="n"/>
      <c r="C659" s="141" t="n"/>
      <c r="D659" s="141" t="n"/>
      <c r="E659" s="141" t="n"/>
      <c r="F659" s="141" t="n"/>
      <c r="G659" s="143" t="n"/>
      <c r="H659" s="27" t="n"/>
    </row>
    <row r="660" ht="17.25" customHeight="1" s="322">
      <c r="A660" s="27" t="n"/>
      <c r="B660" s="506" t="n"/>
      <c r="C660" s="141" t="n"/>
      <c r="D660" s="141" t="n"/>
      <c r="E660" s="141" t="n"/>
      <c r="F660" s="141" t="n"/>
      <c r="G660" s="143" t="n"/>
      <c r="H660" s="27" t="n"/>
    </row>
    <row r="661" ht="17.25" customHeight="1" s="322">
      <c r="A661" s="27" t="n"/>
      <c r="B661" s="506" t="n"/>
      <c r="C661" s="141" t="n"/>
      <c r="D661" s="141" t="n"/>
      <c r="E661" s="141" t="n"/>
      <c r="F661" s="141" t="n"/>
      <c r="G661" s="143" t="n"/>
      <c r="H661" s="27" t="n"/>
    </row>
    <row r="662" ht="17.25" customHeight="1" s="322">
      <c r="A662" s="27" t="n"/>
      <c r="B662" s="506" t="n"/>
      <c r="C662" s="141" t="n"/>
      <c r="D662" s="141" t="n"/>
      <c r="E662" s="141" t="n"/>
      <c r="F662" s="141" t="n"/>
      <c r="G662" s="143" t="n"/>
      <c r="H662" s="27" t="n"/>
    </row>
    <row r="663" ht="17.25" customHeight="1" s="322">
      <c r="A663" s="27" t="n"/>
      <c r="B663" s="506" t="n"/>
      <c r="C663" s="141" t="n"/>
      <c r="D663" s="141" t="n"/>
      <c r="E663" s="141" t="n"/>
      <c r="F663" s="141" t="n"/>
      <c r="G663" s="143" t="n"/>
      <c r="H663" s="27" t="n"/>
    </row>
    <row r="664" ht="17.25" customHeight="1" s="322">
      <c r="A664" s="27" t="n"/>
      <c r="B664" s="506" t="n"/>
      <c r="C664" s="141" t="n"/>
      <c r="D664" s="141" t="n"/>
      <c r="E664" s="141" t="n"/>
      <c r="F664" s="141" t="n"/>
      <c r="G664" s="143" t="n"/>
      <c r="H664" s="27" t="n"/>
    </row>
    <row r="665" ht="17.25" customHeight="1" s="322">
      <c r="A665" s="27" t="n"/>
      <c r="B665" s="506" t="n"/>
      <c r="C665" s="141" t="n"/>
      <c r="D665" s="141" t="n"/>
      <c r="E665" s="141" t="n"/>
      <c r="F665" s="141" t="n"/>
      <c r="G665" s="143" t="n"/>
      <c r="H665" s="27" t="n"/>
    </row>
    <row r="666" ht="17.25" customHeight="1" s="322">
      <c r="A666" s="27" t="n"/>
      <c r="B666" s="506" t="n"/>
      <c r="C666" s="141" t="n"/>
      <c r="D666" s="141" t="n"/>
      <c r="E666" s="141" t="n"/>
      <c r="F666" s="141" t="n"/>
      <c r="G666" s="143" t="n"/>
      <c r="H666" s="27" t="n"/>
    </row>
    <row r="667" ht="17.25" customHeight="1" s="322">
      <c r="A667" s="27" t="n"/>
      <c r="B667" s="506" t="n"/>
      <c r="C667" s="141" t="n"/>
      <c r="D667" s="141" t="n"/>
      <c r="E667" s="141" t="n"/>
      <c r="F667" s="141" t="n"/>
      <c r="G667" s="143" t="n"/>
      <c r="H667" s="27" t="n"/>
    </row>
    <row r="668" ht="17.25" customHeight="1" s="322">
      <c r="A668" s="27" t="n"/>
      <c r="B668" s="506" t="n"/>
      <c r="C668" s="141" t="n"/>
      <c r="D668" s="141" t="n"/>
      <c r="E668" s="141" t="n"/>
      <c r="F668" s="141" t="n"/>
      <c r="G668" s="143" t="n"/>
      <c r="H668" s="27" t="n"/>
    </row>
    <row r="669" ht="17.25" customHeight="1" s="322">
      <c r="A669" s="27" t="n"/>
      <c r="B669" s="506" t="n"/>
      <c r="C669" s="141" t="n"/>
      <c r="D669" s="141" t="n"/>
      <c r="E669" s="141" t="n"/>
      <c r="F669" s="141" t="n"/>
      <c r="G669" s="143" t="n"/>
      <c r="H669" s="27" t="n"/>
    </row>
    <row r="670" ht="17.25" customHeight="1" s="322">
      <c r="A670" s="27" t="n"/>
      <c r="B670" s="506" t="n"/>
      <c r="C670" s="141" t="n"/>
      <c r="D670" s="141" t="n"/>
      <c r="E670" s="141" t="n"/>
      <c r="F670" s="141" t="n"/>
      <c r="G670" s="143" t="n"/>
      <c r="H670" s="27" t="n"/>
    </row>
    <row r="671" ht="17.25" customHeight="1" s="322">
      <c r="A671" s="27" t="n"/>
      <c r="B671" s="506" t="n"/>
      <c r="C671" s="141" t="n"/>
      <c r="D671" s="141" t="n"/>
      <c r="E671" s="141" t="n"/>
      <c r="F671" s="141" t="n"/>
      <c r="G671" s="143" t="n"/>
      <c r="H671" s="27" t="n"/>
    </row>
    <row r="672" ht="17.25" customHeight="1" s="322">
      <c r="A672" s="27" t="n"/>
      <c r="B672" s="506" t="n"/>
      <c r="C672" s="141" t="n"/>
      <c r="D672" s="141" t="n"/>
      <c r="E672" s="141" t="n"/>
      <c r="F672" s="141" t="n"/>
      <c r="G672" s="143" t="n"/>
      <c r="H672" s="27" t="n"/>
    </row>
    <row r="673" ht="17.25" customHeight="1" s="322">
      <c r="A673" s="27" t="n"/>
      <c r="B673" s="506" t="n"/>
      <c r="C673" s="141" t="n"/>
      <c r="D673" s="141" t="n"/>
      <c r="E673" s="141" t="n"/>
      <c r="F673" s="141" t="n"/>
      <c r="G673" s="143" t="n"/>
      <c r="H673" s="27" t="n"/>
    </row>
    <row r="674" ht="17.25" customHeight="1" s="322">
      <c r="A674" s="27" t="n"/>
      <c r="B674" s="506" t="n"/>
      <c r="C674" s="141" t="n"/>
      <c r="D674" s="141" t="n"/>
      <c r="E674" s="141" t="n"/>
      <c r="F674" s="141" t="n"/>
      <c r="G674" s="143" t="n"/>
      <c r="H674" s="27" t="n"/>
    </row>
    <row r="675" ht="17.25" customHeight="1" s="322">
      <c r="A675" s="27" t="n"/>
      <c r="B675" s="506" t="n"/>
      <c r="C675" s="141" t="n"/>
      <c r="D675" s="141" t="n"/>
      <c r="E675" s="141" t="n"/>
      <c r="F675" s="141" t="n"/>
      <c r="G675" s="143" t="n"/>
      <c r="H675" s="27" t="n"/>
    </row>
    <row r="676" ht="17.25" customHeight="1" s="322">
      <c r="A676" s="27" t="n"/>
      <c r="B676" s="506" t="n"/>
      <c r="C676" s="141" t="n"/>
      <c r="D676" s="141" t="n"/>
      <c r="E676" s="141" t="n"/>
      <c r="F676" s="141" t="n"/>
      <c r="G676" s="143" t="n"/>
      <c r="H676" s="27" t="n"/>
    </row>
    <row r="677" ht="17.25" customHeight="1" s="322">
      <c r="A677" s="27" t="n"/>
      <c r="B677" s="506" t="n"/>
      <c r="C677" s="141" t="n"/>
      <c r="D677" s="141" t="n"/>
      <c r="E677" s="141" t="n"/>
      <c r="F677" s="141" t="n"/>
      <c r="G677" s="143" t="n"/>
      <c r="H677" s="27" t="n"/>
    </row>
    <row r="678" ht="17.25" customHeight="1" s="322">
      <c r="A678" s="27" t="n"/>
      <c r="B678" s="506" t="n"/>
      <c r="C678" s="141" t="n"/>
      <c r="D678" s="141" t="n"/>
      <c r="E678" s="141" t="n"/>
      <c r="F678" s="141" t="n"/>
      <c r="G678" s="143" t="n"/>
      <c r="H678" s="27" t="n"/>
    </row>
    <row r="679" ht="17.25" customHeight="1" s="322">
      <c r="A679" s="27" t="n"/>
      <c r="B679" s="506" t="n"/>
      <c r="C679" s="141" t="n"/>
      <c r="D679" s="141" t="n"/>
      <c r="E679" s="141" t="n"/>
      <c r="F679" s="141" t="n"/>
      <c r="G679" s="143" t="n"/>
      <c r="H679" s="27" t="n"/>
    </row>
    <row r="680" ht="17.25" customHeight="1" s="322">
      <c r="A680" s="27" t="n"/>
      <c r="B680" s="506" t="n"/>
      <c r="C680" s="141" t="n"/>
      <c r="D680" s="141" t="n"/>
      <c r="E680" s="141" t="n"/>
      <c r="F680" s="141" t="n"/>
      <c r="G680" s="143" t="n"/>
      <c r="H680" s="27" t="n"/>
    </row>
    <row r="681" ht="17.25" customHeight="1" s="322">
      <c r="A681" s="27" t="n"/>
      <c r="B681" s="506" t="n"/>
      <c r="C681" s="141" t="n"/>
      <c r="D681" s="141" t="n"/>
      <c r="E681" s="141" t="n"/>
      <c r="F681" s="141" t="n"/>
      <c r="G681" s="143" t="n"/>
      <c r="H681" s="27" t="n"/>
    </row>
    <row r="682" ht="17.25" customHeight="1" s="322">
      <c r="A682" s="27" t="n"/>
      <c r="B682" s="506" t="n"/>
      <c r="C682" s="141" t="n"/>
      <c r="D682" s="141" t="n"/>
      <c r="E682" s="141" t="n"/>
      <c r="F682" s="141" t="n"/>
      <c r="G682" s="143" t="n"/>
      <c r="H682" s="27" t="n"/>
    </row>
    <row r="683" ht="17.25" customHeight="1" s="322">
      <c r="A683" s="27" t="n"/>
      <c r="B683" s="506" t="n"/>
      <c r="C683" s="141" t="n"/>
      <c r="D683" s="141" t="n"/>
      <c r="E683" s="141" t="n"/>
      <c r="F683" s="141" t="n"/>
      <c r="G683" s="143" t="n"/>
      <c r="H683" s="27" t="n"/>
    </row>
    <row r="684" ht="17.25" customHeight="1" s="322">
      <c r="A684" s="27" t="n"/>
      <c r="B684" s="506" t="n"/>
      <c r="C684" s="141" t="n"/>
      <c r="D684" s="141" t="n"/>
      <c r="E684" s="141" t="n"/>
      <c r="F684" s="141" t="n"/>
      <c r="G684" s="143" t="n"/>
      <c r="H684" s="27" t="n"/>
    </row>
    <row r="685" ht="17.25" customHeight="1" s="322">
      <c r="A685" s="27" t="n"/>
      <c r="B685" s="506" t="n"/>
      <c r="C685" s="141" t="n"/>
      <c r="D685" s="141" t="n"/>
      <c r="E685" s="141" t="n"/>
      <c r="F685" s="141" t="n"/>
      <c r="G685" s="143" t="n"/>
      <c r="H685" s="27" t="n"/>
    </row>
    <row r="686" ht="17.25" customHeight="1" s="322">
      <c r="A686" s="27" t="n"/>
      <c r="B686" s="506" t="n"/>
      <c r="C686" s="141" t="n"/>
      <c r="D686" s="141" t="n"/>
      <c r="E686" s="141" t="n"/>
      <c r="F686" s="141" t="n"/>
      <c r="G686" s="143" t="n"/>
      <c r="H686" s="27" t="n"/>
    </row>
    <row r="687" ht="17.25" customHeight="1" s="322">
      <c r="A687" s="27" t="n"/>
      <c r="B687" s="506" t="n"/>
      <c r="C687" s="141" t="n"/>
      <c r="D687" s="141" t="n"/>
      <c r="E687" s="141" t="n"/>
      <c r="F687" s="141" t="n"/>
      <c r="G687" s="143" t="n"/>
      <c r="H687" s="27" t="n"/>
    </row>
    <row r="688" ht="17.25" customHeight="1" s="322">
      <c r="A688" s="27" t="n"/>
      <c r="B688" s="506" t="n"/>
      <c r="C688" s="141" t="n"/>
      <c r="D688" s="141" t="n"/>
      <c r="E688" s="141" t="n"/>
      <c r="F688" s="141" t="n"/>
      <c r="G688" s="143" t="n"/>
      <c r="H688" s="27" t="n"/>
    </row>
    <row r="689" ht="17.25" customHeight="1" s="322">
      <c r="A689" s="27" t="n"/>
      <c r="B689" s="506" t="n"/>
      <c r="C689" s="141" t="n"/>
      <c r="D689" s="141" t="n"/>
      <c r="E689" s="141" t="n"/>
      <c r="F689" s="141" t="n"/>
      <c r="G689" s="143" t="n"/>
      <c r="H689" s="27" t="n"/>
    </row>
    <row r="690" ht="17.25" customHeight="1" s="322">
      <c r="A690" s="27" t="n"/>
      <c r="B690" s="506" t="n"/>
      <c r="C690" s="141" t="n"/>
      <c r="D690" s="141" t="n"/>
      <c r="E690" s="141" t="n"/>
      <c r="F690" s="141" t="n"/>
      <c r="G690" s="143" t="n"/>
      <c r="H690" s="27" t="n"/>
    </row>
    <row r="691" ht="17.25" customHeight="1" s="322">
      <c r="A691" s="27" t="n"/>
      <c r="B691" s="506" t="n"/>
      <c r="C691" s="141" t="n"/>
      <c r="D691" s="141" t="n"/>
      <c r="E691" s="141" t="n"/>
      <c r="F691" s="141" t="n"/>
      <c r="G691" s="143" t="n"/>
      <c r="H691" s="27" t="n"/>
    </row>
    <row r="692" ht="17.25" customHeight="1" s="322">
      <c r="A692" s="27" t="n"/>
      <c r="B692" s="506" t="n"/>
      <c r="C692" s="141" t="n"/>
      <c r="D692" s="141" t="n"/>
      <c r="E692" s="141" t="n"/>
      <c r="F692" s="141" t="n"/>
      <c r="G692" s="143" t="n"/>
      <c r="H692" s="27" t="n"/>
    </row>
    <row r="693" ht="17.25" customHeight="1" s="322">
      <c r="A693" s="27" t="n"/>
      <c r="B693" s="506" t="n"/>
      <c r="C693" s="141" t="n"/>
      <c r="D693" s="141" t="n"/>
      <c r="E693" s="141" t="n"/>
      <c r="F693" s="141" t="n"/>
      <c r="G693" s="143" t="n"/>
      <c r="H693" s="27" t="n"/>
    </row>
    <row r="694" ht="17.25" customHeight="1" s="322">
      <c r="A694" s="27" t="n"/>
      <c r="B694" s="506" t="n"/>
      <c r="C694" s="141" t="n"/>
      <c r="D694" s="141" t="n"/>
      <c r="E694" s="141" t="n"/>
      <c r="F694" s="141" t="n"/>
      <c r="G694" s="143" t="n"/>
      <c r="H694" s="27" t="n"/>
    </row>
    <row r="695" ht="17.25" customHeight="1" s="322">
      <c r="A695" s="27" t="n"/>
      <c r="B695" s="506" t="n"/>
      <c r="C695" s="141" t="n"/>
      <c r="D695" s="141" t="n"/>
      <c r="E695" s="141" t="n"/>
      <c r="F695" s="141" t="n"/>
      <c r="G695" s="143" t="n"/>
      <c r="H695" s="27" t="n"/>
    </row>
    <row r="696" ht="17.25" customHeight="1" s="322">
      <c r="A696" s="27" t="n"/>
      <c r="B696" s="506" t="n"/>
      <c r="C696" s="141" t="n"/>
      <c r="D696" s="141" t="n"/>
      <c r="E696" s="141" t="n"/>
      <c r="F696" s="141" t="n"/>
      <c r="G696" s="143" t="n"/>
      <c r="H696" s="27" t="n"/>
    </row>
    <row r="697" ht="17.25" customHeight="1" s="322">
      <c r="A697" s="27" t="n"/>
      <c r="B697" s="506" t="n"/>
      <c r="C697" s="141" t="n"/>
      <c r="D697" s="141" t="n"/>
      <c r="E697" s="141" t="n"/>
      <c r="F697" s="141" t="n"/>
      <c r="G697" s="143" t="n"/>
      <c r="H697" s="27" t="n"/>
    </row>
    <row r="698" ht="17.25" customHeight="1" s="322">
      <c r="A698" s="27" t="n"/>
      <c r="B698" s="506" t="n"/>
      <c r="C698" s="141" t="n"/>
      <c r="D698" s="141" t="n"/>
      <c r="E698" s="141" t="n"/>
      <c r="F698" s="141" t="n"/>
      <c r="G698" s="143" t="n"/>
      <c r="H698" s="27" t="n"/>
    </row>
    <row r="699" ht="17.25" customHeight="1" s="322">
      <c r="A699" s="27" t="n"/>
      <c r="B699" s="506" t="n"/>
      <c r="C699" s="141" t="n"/>
      <c r="D699" s="141" t="n"/>
      <c r="E699" s="141" t="n"/>
      <c r="F699" s="141" t="n"/>
      <c r="G699" s="143" t="n"/>
      <c r="H699" s="27" t="n"/>
    </row>
    <row r="700" ht="17.25" customHeight="1" s="322">
      <c r="A700" s="27" t="n"/>
      <c r="B700" s="506" t="n"/>
      <c r="C700" s="141" t="n"/>
      <c r="D700" s="141" t="n"/>
      <c r="E700" s="141" t="n"/>
      <c r="F700" s="141" t="n"/>
      <c r="G700" s="143" t="n"/>
      <c r="H700" s="27" t="n"/>
    </row>
    <row r="701" ht="17.25" customHeight="1" s="322">
      <c r="A701" s="27" t="n"/>
      <c r="B701" s="506" t="n"/>
      <c r="C701" s="141" t="n"/>
      <c r="D701" s="141" t="n"/>
      <c r="E701" s="141" t="n"/>
      <c r="F701" s="141" t="n"/>
      <c r="G701" s="143" t="n"/>
      <c r="H701" s="27" t="n"/>
    </row>
    <row r="702" ht="17.25" customHeight="1" s="322">
      <c r="A702" s="27" t="n"/>
      <c r="B702" s="506" t="n"/>
      <c r="C702" s="141" t="n"/>
      <c r="D702" s="141" t="n"/>
      <c r="E702" s="141" t="n"/>
      <c r="F702" s="141" t="n"/>
      <c r="G702" s="143" t="n"/>
      <c r="H702" s="27" t="n"/>
    </row>
    <row r="703" ht="17.25" customHeight="1" s="322">
      <c r="A703" s="27" t="n"/>
      <c r="B703" s="506" t="n"/>
      <c r="C703" s="141" t="n"/>
      <c r="D703" s="141" t="n"/>
      <c r="E703" s="141" t="n"/>
      <c r="F703" s="141" t="n"/>
      <c r="G703" s="143" t="n"/>
      <c r="H703" s="27" t="n"/>
    </row>
    <row r="704" ht="17.25" customHeight="1" s="322">
      <c r="A704" s="27" t="n"/>
      <c r="B704" s="506" t="n"/>
      <c r="C704" s="141" t="n"/>
      <c r="D704" s="141" t="n"/>
      <c r="E704" s="141" t="n"/>
      <c r="F704" s="141" t="n"/>
      <c r="G704" s="143" t="n"/>
      <c r="H704" s="27" t="n"/>
    </row>
    <row r="705" ht="17.25" customHeight="1" s="322">
      <c r="A705" s="27" t="n"/>
      <c r="B705" s="506" t="n"/>
      <c r="C705" s="141" t="n"/>
      <c r="D705" s="141" t="n"/>
      <c r="E705" s="141" t="n"/>
      <c r="F705" s="141" t="n"/>
      <c r="G705" s="143" t="n"/>
      <c r="H705" s="27" t="n"/>
    </row>
    <row r="706" ht="17.25" customHeight="1" s="322">
      <c r="A706" s="27" t="n"/>
      <c r="B706" s="506" t="n"/>
      <c r="C706" s="141" t="n"/>
      <c r="D706" s="141" t="n"/>
      <c r="E706" s="141" t="n"/>
      <c r="F706" s="141" t="n"/>
      <c r="G706" s="143" t="n"/>
      <c r="H706" s="27" t="n"/>
    </row>
    <row r="707" ht="17.25" customHeight="1" s="322">
      <c r="A707" s="27" t="n"/>
      <c r="B707" s="506" t="n"/>
      <c r="C707" s="141" t="n"/>
      <c r="D707" s="141" t="n"/>
      <c r="E707" s="141" t="n"/>
      <c r="F707" s="141" t="n"/>
      <c r="G707" s="143" t="n"/>
      <c r="H707" s="27" t="n"/>
    </row>
    <row r="708" ht="17.25" customHeight="1" s="322">
      <c r="A708" s="27" t="n"/>
      <c r="B708" s="506" t="n"/>
      <c r="C708" s="141" t="n"/>
      <c r="D708" s="141" t="n"/>
      <c r="E708" s="141" t="n"/>
      <c r="F708" s="141" t="n"/>
      <c r="G708" s="143" t="n"/>
      <c r="H708" s="27" t="n"/>
    </row>
    <row r="709" ht="17.25" customHeight="1" s="322">
      <c r="A709" s="27" t="n"/>
      <c r="B709" s="506" t="n"/>
      <c r="C709" s="141" t="n"/>
      <c r="D709" s="141" t="n"/>
      <c r="E709" s="141" t="n"/>
      <c r="F709" s="141" t="n"/>
      <c r="G709" s="143" t="n"/>
      <c r="H709" s="27" t="n"/>
    </row>
    <row r="710" ht="17.25" customHeight="1" s="322">
      <c r="A710" s="27" t="n"/>
      <c r="B710" s="506" t="n"/>
      <c r="C710" s="141" t="n"/>
      <c r="D710" s="141" t="n"/>
      <c r="E710" s="141" t="n"/>
      <c r="F710" s="141" t="n"/>
      <c r="G710" s="143" t="n"/>
      <c r="H710" s="27" t="n"/>
    </row>
    <row r="711" ht="17.25" customHeight="1" s="322">
      <c r="A711" s="27" t="n"/>
      <c r="B711" s="506" t="n"/>
      <c r="C711" s="141" t="n"/>
      <c r="D711" s="141" t="n"/>
      <c r="E711" s="141" t="n"/>
      <c r="F711" s="141" t="n"/>
      <c r="G711" s="143" t="n"/>
      <c r="H711" s="27" t="n"/>
    </row>
    <row r="712" ht="17.25" customHeight="1" s="322">
      <c r="A712" s="27" t="n"/>
      <c r="B712" s="506" t="n"/>
      <c r="C712" s="141" t="n"/>
      <c r="D712" s="141" t="n"/>
      <c r="E712" s="141" t="n"/>
      <c r="F712" s="141" t="n"/>
      <c r="G712" s="143" t="n"/>
      <c r="H712" s="27" t="n"/>
    </row>
    <row r="713" ht="17.25" customHeight="1" s="322">
      <c r="A713" s="27" t="n"/>
      <c r="B713" s="506" t="n"/>
      <c r="C713" s="141" t="n"/>
      <c r="D713" s="141" t="n"/>
      <c r="E713" s="141" t="n"/>
      <c r="F713" s="141" t="n"/>
      <c r="G713" s="143" t="n"/>
      <c r="H713" s="27" t="n"/>
    </row>
    <row r="714" ht="17.25" customHeight="1" s="322">
      <c r="A714" s="27" t="n"/>
      <c r="B714" s="506" t="n"/>
      <c r="C714" s="141" t="n"/>
      <c r="D714" s="141" t="n"/>
      <c r="E714" s="141" t="n"/>
      <c r="F714" s="141" t="n"/>
      <c r="G714" s="143" t="n"/>
      <c r="H714" s="27" t="n"/>
    </row>
    <row r="715" ht="17.25" customHeight="1" s="322">
      <c r="A715" s="27" t="n"/>
      <c r="B715" s="506" t="n"/>
      <c r="C715" s="141" t="n"/>
      <c r="D715" s="141" t="n"/>
      <c r="E715" s="141" t="n"/>
      <c r="F715" s="141" t="n"/>
      <c r="G715" s="143" t="n"/>
      <c r="H715" s="27" t="n"/>
    </row>
    <row r="716" ht="17.25" customHeight="1" s="322">
      <c r="A716" s="27" t="n"/>
      <c r="B716" s="506" t="n"/>
      <c r="C716" s="141" t="n"/>
      <c r="D716" s="141" t="n"/>
      <c r="E716" s="141" t="n"/>
      <c r="F716" s="141" t="n"/>
      <c r="G716" s="143" t="n"/>
      <c r="H716" s="27" t="n"/>
    </row>
    <row r="717" ht="17.25" customHeight="1" s="322">
      <c r="A717" s="27" t="n"/>
      <c r="B717" s="506" t="n"/>
      <c r="C717" s="141" t="n"/>
      <c r="D717" s="141" t="n"/>
      <c r="E717" s="141" t="n"/>
      <c r="F717" s="141" t="n"/>
      <c r="G717" s="143" t="n"/>
      <c r="H717" s="27" t="n"/>
    </row>
    <row r="718" ht="17.25" customHeight="1" s="322">
      <c r="A718" s="27" t="n"/>
      <c r="B718" s="506" t="n"/>
      <c r="C718" s="141" t="n"/>
      <c r="D718" s="141" t="n"/>
      <c r="E718" s="141" t="n"/>
      <c r="F718" s="141" t="n"/>
      <c r="G718" s="143" t="n"/>
      <c r="H718" s="27" t="n"/>
    </row>
    <row r="719" ht="17.25" customHeight="1" s="322">
      <c r="A719" s="27" t="n"/>
      <c r="B719" s="506" t="n"/>
      <c r="C719" s="141" t="n"/>
      <c r="D719" s="141" t="n"/>
      <c r="E719" s="141" t="n"/>
      <c r="F719" s="141" t="n"/>
      <c r="G719" s="143" t="n"/>
      <c r="H719" s="27" t="n"/>
    </row>
    <row r="720" ht="17.25" customHeight="1" s="322">
      <c r="A720" s="27" t="n"/>
      <c r="B720" s="506" t="n"/>
      <c r="C720" s="141" t="n"/>
      <c r="D720" s="141" t="n"/>
      <c r="E720" s="141" t="n"/>
      <c r="F720" s="141" t="n"/>
      <c r="G720" s="143" t="n"/>
      <c r="H720" s="27" t="n"/>
    </row>
    <row r="721" ht="17.25" customHeight="1" s="322">
      <c r="A721" s="27" t="n"/>
      <c r="B721" s="506" t="n"/>
      <c r="C721" s="141" t="n"/>
      <c r="D721" s="141" t="n"/>
      <c r="E721" s="141" t="n"/>
      <c r="F721" s="141" t="n"/>
      <c r="G721" s="143" t="n"/>
      <c r="H721" s="27" t="n"/>
    </row>
    <row r="722" ht="17.25" customHeight="1" s="322">
      <c r="A722" s="27" t="n"/>
      <c r="B722" s="506" t="n"/>
      <c r="C722" s="141" t="n"/>
      <c r="D722" s="141" t="n"/>
      <c r="E722" s="141" t="n"/>
      <c r="F722" s="141" t="n"/>
      <c r="G722" s="143" t="n"/>
      <c r="H722" s="27" t="n"/>
    </row>
    <row r="723" ht="17.25" customHeight="1" s="322">
      <c r="A723" s="27" t="n"/>
      <c r="B723" s="506" t="n"/>
      <c r="C723" s="141" t="n"/>
      <c r="D723" s="141" t="n"/>
      <c r="E723" s="141" t="n"/>
      <c r="F723" s="141" t="n"/>
      <c r="G723" s="143" t="n"/>
      <c r="H723" s="27" t="n"/>
    </row>
    <row r="724" ht="17.25" customHeight="1" s="322">
      <c r="A724" s="27" t="n"/>
      <c r="B724" s="506" t="n"/>
      <c r="C724" s="141" t="n"/>
      <c r="D724" s="141" t="n"/>
      <c r="E724" s="141" t="n"/>
      <c r="F724" s="141" t="n"/>
      <c r="G724" s="143" t="n"/>
      <c r="H724" s="27" t="n"/>
    </row>
    <row r="725" ht="17.25" customHeight="1" s="322">
      <c r="A725" s="27" t="n"/>
      <c r="B725" s="506" t="n"/>
      <c r="C725" s="141" t="n"/>
      <c r="D725" s="141" t="n"/>
      <c r="E725" s="141" t="n"/>
      <c r="F725" s="141" t="n"/>
      <c r="G725" s="143" t="n"/>
      <c r="H725" s="27" t="n"/>
    </row>
    <row r="726" ht="17.25" customHeight="1" s="322">
      <c r="A726" s="27" t="n"/>
      <c r="B726" s="506" t="n"/>
      <c r="C726" s="141" t="n"/>
      <c r="D726" s="141" t="n"/>
      <c r="E726" s="141" t="n"/>
      <c r="F726" s="141" t="n"/>
      <c r="G726" s="143" t="n"/>
      <c r="H726" s="27" t="n"/>
    </row>
    <row r="727" ht="17.25" customHeight="1" s="322">
      <c r="A727" s="27" t="n"/>
      <c r="B727" s="506" t="n"/>
      <c r="C727" s="141" t="n"/>
      <c r="D727" s="141" t="n"/>
      <c r="E727" s="141" t="n"/>
      <c r="F727" s="141" t="n"/>
      <c r="G727" s="143" t="n"/>
      <c r="H727" s="27" t="n"/>
    </row>
    <row r="728" ht="17.25" customHeight="1" s="322">
      <c r="A728" s="27" t="n"/>
      <c r="B728" s="506" t="n"/>
      <c r="C728" s="141" t="n"/>
      <c r="D728" s="141" t="n"/>
      <c r="E728" s="141" t="n"/>
      <c r="F728" s="141" t="n"/>
      <c r="G728" s="143" t="n"/>
      <c r="H728" s="27" t="n"/>
    </row>
    <row r="729" ht="17.25" customHeight="1" s="322">
      <c r="A729" s="27" t="n"/>
      <c r="B729" s="506" t="n"/>
      <c r="C729" s="141" t="n"/>
      <c r="D729" s="141" t="n"/>
      <c r="E729" s="141" t="n"/>
      <c r="F729" s="141" t="n"/>
      <c r="G729" s="143" t="n"/>
      <c r="H729" s="27" t="n"/>
    </row>
    <row r="730" ht="17.25" customHeight="1" s="322">
      <c r="A730" s="27" t="n"/>
      <c r="B730" s="506" t="n"/>
      <c r="C730" s="141" t="n"/>
      <c r="D730" s="141" t="n"/>
      <c r="E730" s="141" t="n"/>
      <c r="F730" s="141" t="n"/>
      <c r="G730" s="143" t="n"/>
      <c r="H730" s="27" t="n"/>
    </row>
    <row r="731" ht="17.25" customHeight="1" s="322">
      <c r="A731" s="27" t="n"/>
      <c r="B731" s="506" t="n"/>
      <c r="C731" s="141" t="n"/>
      <c r="D731" s="141" t="n"/>
      <c r="E731" s="141" t="n"/>
      <c r="F731" s="141" t="n"/>
      <c r="G731" s="143" t="n"/>
      <c r="H731" s="27" t="n"/>
    </row>
    <row r="732" ht="17.25" customHeight="1" s="322">
      <c r="A732" s="27" t="n"/>
      <c r="B732" s="506" t="n"/>
      <c r="C732" s="141" t="n"/>
      <c r="D732" s="141" t="n"/>
      <c r="E732" s="141" t="n"/>
      <c r="F732" s="141" t="n"/>
      <c r="G732" s="143" t="n"/>
      <c r="H732" s="27" t="n"/>
    </row>
    <row r="733" ht="17.25" customHeight="1" s="322">
      <c r="A733" s="27" t="n"/>
      <c r="B733" s="506" t="n"/>
      <c r="C733" s="141" t="n"/>
      <c r="D733" s="141" t="n"/>
      <c r="E733" s="141" t="n"/>
      <c r="F733" s="141" t="n"/>
      <c r="G733" s="143" t="n"/>
      <c r="H733" s="27" t="n"/>
    </row>
    <row r="734" ht="17.25" customHeight="1" s="322">
      <c r="A734" s="27" t="n"/>
      <c r="B734" s="506" t="n"/>
      <c r="C734" s="141" t="n"/>
      <c r="D734" s="141" t="n"/>
      <c r="E734" s="141" t="n"/>
      <c r="F734" s="141" t="n"/>
      <c r="G734" s="143" t="n"/>
      <c r="H734" s="27" t="n"/>
    </row>
    <row r="735" ht="17.25" customHeight="1" s="322">
      <c r="A735" s="27" t="n"/>
      <c r="B735" s="506" t="n"/>
      <c r="C735" s="141" t="n"/>
      <c r="D735" s="141" t="n"/>
      <c r="E735" s="141" t="n"/>
      <c r="F735" s="141" t="n"/>
      <c r="G735" s="143" t="n"/>
      <c r="H735" s="27" t="n"/>
    </row>
    <row r="736" ht="17.25" customHeight="1" s="322">
      <c r="A736" s="27" t="n"/>
      <c r="B736" s="506" t="n"/>
      <c r="C736" s="141" t="n"/>
      <c r="D736" s="141" t="n"/>
      <c r="E736" s="141" t="n"/>
      <c r="F736" s="141" t="n"/>
      <c r="G736" s="143" t="n"/>
      <c r="H736" s="27" t="n"/>
    </row>
    <row r="737" ht="17.25" customHeight="1" s="322">
      <c r="A737" s="27" t="n"/>
      <c r="B737" s="506" t="n"/>
      <c r="C737" s="141" t="n"/>
      <c r="D737" s="141" t="n"/>
      <c r="E737" s="141" t="n"/>
      <c r="F737" s="141" t="n"/>
      <c r="G737" s="143" t="n"/>
      <c r="H737" s="27" t="n"/>
    </row>
    <row r="738" ht="17.25" customHeight="1" s="322">
      <c r="A738" s="27" t="n"/>
      <c r="B738" s="506" t="n"/>
      <c r="C738" s="141" t="n"/>
      <c r="D738" s="141" t="n"/>
      <c r="E738" s="141" t="n"/>
      <c r="F738" s="141" t="n"/>
      <c r="G738" s="143" t="n"/>
      <c r="H738" s="27" t="n"/>
    </row>
    <row r="739" ht="17.25" customHeight="1" s="322">
      <c r="A739" s="27" t="n"/>
      <c r="B739" s="506" t="n"/>
      <c r="C739" s="141" t="n"/>
      <c r="D739" s="141" t="n"/>
      <c r="E739" s="141" t="n"/>
      <c r="F739" s="141" t="n"/>
      <c r="G739" s="143" t="n"/>
      <c r="H739" s="27" t="n"/>
    </row>
    <row r="740" ht="17.25" customHeight="1" s="322">
      <c r="A740" s="27" t="n"/>
      <c r="B740" s="506" t="n"/>
      <c r="C740" s="141" t="n"/>
      <c r="D740" s="141" t="n"/>
      <c r="E740" s="141" t="n"/>
      <c r="F740" s="141" t="n"/>
      <c r="G740" s="143" t="n"/>
      <c r="H740" s="27" t="n"/>
    </row>
    <row r="741" ht="17.25" customHeight="1" s="322">
      <c r="A741" s="27" t="n"/>
      <c r="B741" s="506" t="n"/>
      <c r="C741" s="141" t="n"/>
      <c r="D741" s="141" t="n"/>
      <c r="E741" s="141" t="n"/>
      <c r="F741" s="141" t="n"/>
      <c r="G741" s="143" t="n"/>
      <c r="H741" s="27" t="n"/>
    </row>
    <row r="742" ht="17.25" customHeight="1" s="322">
      <c r="A742" s="27" t="n"/>
      <c r="B742" s="506" t="n"/>
      <c r="C742" s="141" t="n"/>
      <c r="D742" s="141" t="n"/>
      <c r="E742" s="141" t="n"/>
      <c r="F742" s="141" t="n"/>
      <c r="G742" s="143" t="n"/>
      <c r="H742" s="27" t="n"/>
    </row>
    <row r="743" ht="17.25" customHeight="1" s="322">
      <c r="A743" s="27" t="n"/>
      <c r="B743" s="506" t="n"/>
      <c r="C743" s="141" t="n"/>
      <c r="D743" s="141" t="n"/>
      <c r="E743" s="141" t="n"/>
      <c r="F743" s="141" t="n"/>
      <c r="G743" s="143" t="n"/>
      <c r="H743" s="27" t="n"/>
    </row>
    <row r="744" ht="17.25" customHeight="1" s="322">
      <c r="A744" s="27" t="n"/>
      <c r="B744" s="506" t="n"/>
      <c r="C744" s="141" t="n"/>
      <c r="D744" s="141" t="n"/>
      <c r="E744" s="141" t="n"/>
      <c r="F744" s="141" t="n"/>
      <c r="G744" s="143" t="n"/>
      <c r="H744" s="27" t="n"/>
    </row>
    <row r="745" ht="17.25" customHeight="1" s="322">
      <c r="A745" s="27" t="n"/>
      <c r="B745" s="506" t="n"/>
      <c r="C745" s="141" t="n"/>
      <c r="D745" s="141" t="n"/>
      <c r="E745" s="141" t="n"/>
      <c r="F745" s="141" t="n"/>
      <c r="G745" s="143" t="n"/>
      <c r="H745" s="27" t="n"/>
    </row>
    <row r="746" ht="17.25" customHeight="1" s="322">
      <c r="A746" s="27" t="n"/>
      <c r="B746" s="506" t="n"/>
      <c r="C746" s="141" t="n"/>
      <c r="D746" s="141" t="n"/>
      <c r="E746" s="141" t="n"/>
      <c r="F746" s="141" t="n"/>
      <c r="G746" s="143" t="n"/>
      <c r="H746" s="27" t="n"/>
    </row>
    <row r="747" ht="17.25" customHeight="1" s="322">
      <c r="A747" s="27" t="n"/>
      <c r="B747" s="506" t="n"/>
      <c r="C747" s="141" t="n"/>
      <c r="D747" s="141" t="n"/>
      <c r="E747" s="141" t="n"/>
      <c r="F747" s="141" t="n"/>
      <c r="G747" s="143" t="n"/>
      <c r="H747" s="27" t="n"/>
    </row>
    <row r="748" ht="17.25" customHeight="1" s="322">
      <c r="A748" s="27" t="n"/>
      <c r="B748" s="506" t="n"/>
      <c r="C748" s="141" t="n"/>
      <c r="D748" s="141" t="n"/>
      <c r="E748" s="141" t="n"/>
      <c r="F748" s="141" t="n"/>
      <c r="G748" s="143" t="n"/>
      <c r="H748" s="27" t="n"/>
    </row>
    <row r="749" ht="17.25" customHeight="1" s="322">
      <c r="A749" s="27" t="n"/>
      <c r="B749" s="506" t="n"/>
      <c r="C749" s="141" t="n"/>
      <c r="D749" s="141" t="n"/>
      <c r="E749" s="141" t="n"/>
      <c r="F749" s="141" t="n"/>
      <c r="G749" s="143" t="n"/>
      <c r="H749" s="27" t="n"/>
    </row>
    <row r="750" ht="17.25" customHeight="1" s="322">
      <c r="A750" s="27" t="n"/>
      <c r="B750" s="506" t="n"/>
      <c r="C750" s="141" t="n"/>
      <c r="D750" s="141" t="n"/>
      <c r="E750" s="141" t="n"/>
      <c r="F750" s="141" t="n"/>
      <c r="G750" s="143" t="n"/>
      <c r="H750" s="27" t="n"/>
    </row>
    <row r="751" ht="17.25" customHeight="1" s="322">
      <c r="A751" s="27" t="n"/>
      <c r="B751" s="506" t="n"/>
      <c r="C751" s="141" t="n"/>
      <c r="D751" s="141" t="n"/>
      <c r="E751" s="141" t="n"/>
      <c r="F751" s="141" t="n"/>
      <c r="G751" s="143" t="n"/>
      <c r="H751" s="27" t="n"/>
    </row>
    <row r="752" ht="17.25" customHeight="1" s="322">
      <c r="A752" s="27" t="n"/>
      <c r="B752" s="506" t="n"/>
      <c r="C752" s="141" t="n"/>
      <c r="D752" s="141" t="n"/>
      <c r="E752" s="141" t="n"/>
      <c r="F752" s="141" t="n"/>
      <c r="G752" s="143" t="n"/>
      <c r="H752" s="27" t="n"/>
    </row>
    <row r="753" ht="17.25" customHeight="1" s="322">
      <c r="A753" s="27" t="n"/>
      <c r="B753" s="506" t="n"/>
      <c r="C753" s="141" t="n"/>
      <c r="D753" s="141" t="n"/>
      <c r="E753" s="141" t="n"/>
      <c r="F753" s="141" t="n"/>
      <c r="G753" s="143" t="n"/>
      <c r="H753" s="27" t="n"/>
    </row>
    <row r="754" ht="17.25" customHeight="1" s="322">
      <c r="A754" s="27" t="n"/>
      <c r="B754" s="506" t="n"/>
      <c r="C754" s="141" t="n"/>
      <c r="D754" s="141" t="n"/>
      <c r="E754" s="141" t="n"/>
      <c r="F754" s="141" t="n"/>
      <c r="G754" s="143" t="n"/>
      <c r="H754" s="27" t="n"/>
    </row>
    <row r="755" ht="17.25" customHeight="1" s="322">
      <c r="A755" s="27" t="n"/>
      <c r="B755" s="506" t="n"/>
      <c r="C755" s="141" t="n"/>
      <c r="D755" s="141" t="n"/>
      <c r="E755" s="141" t="n"/>
      <c r="F755" s="141" t="n"/>
      <c r="G755" s="143" t="n"/>
      <c r="H755" s="27" t="n"/>
    </row>
    <row r="756" ht="17.25" customHeight="1" s="322">
      <c r="A756" s="27" t="n"/>
      <c r="B756" s="506" t="n"/>
      <c r="C756" s="141" t="n"/>
      <c r="D756" s="141" t="n"/>
      <c r="E756" s="141" t="n"/>
      <c r="F756" s="141" t="n"/>
      <c r="G756" s="143" t="n"/>
      <c r="H756" s="27" t="n"/>
    </row>
    <row r="757" ht="17.25" customHeight="1" s="322">
      <c r="A757" s="27" t="n"/>
      <c r="B757" s="506" t="n"/>
      <c r="C757" s="141" t="n"/>
      <c r="D757" s="141" t="n"/>
      <c r="E757" s="141" t="n"/>
      <c r="F757" s="141" t="n"/>
      <c r="G757" s="143" t="n"/>
      <c r="H757" s="27" t="n"/>
    </row>
    <row r="758" ht="17.25" customHeight="1" s="322">
      <c r="A758" s="27" t="n"/>
      <c r="B758" s="506" t="n"/>
      <c r="C758" s="141" t="n"/>
      <c r="D758" s="141" t="n"/>
      <c r="E758" s="141" t="n"/>
      <c r="F758" s="141" t="n"/>
      <c r="G758" s="143" t="n"/>
      <c r="H758" s="27" t="n"/>
    </row>
    <row r="759" ht="17.25" customHeight="1" s="322">
      <c r="A759" s="27" t="n"/>
      <c r="B759" s="506" t="n"/>
      <c r="C759" s="141" t="n"/>
      <c r="D759" s="141" t="n"/>
      <c r="E759" s="141" t="n"/>
      <c r="F759" s="141" t="n"/>
      <c r="G759" s="143" t="n"/>
      <c r="H759" s="27" t="n"/>
    </row>
    <row r="760" ht="17.25" customHeight="1" s="322">
      <c r="A760" s="27" t="n"/>
      <c r="B760" s="506" t="n"/>
      <c r="C760" s="141" t="n"/>
      <c r="D760" s="141" t="n"/>
      <c r="E760" s="141" t="n"/>
      <c r="F760" s="141" t="n"/>
      <c r="G760" s="143" t="n"/>
      <c r="H760" s="27" t="n"/>
    </row>
    <row r="761" ht="17.25" customHeight="1" s="322">
      <c r="A761" s="27" t="n"/>
      <c r="B761" s="506" t="n"/>
      <c r="C761" s="141" t="n"/>
      <c r="D761" s="141" t="n"/>
      <c r="E761" s="141" t="n"/>
      <c r="F761" s="141" t="n"/>
      <c r="G761" s="143" t="n"/>
      <c r="H761" s="27" t="n"/>
    </row>
    <row r="762" ht="17.25" customHeight="1" s="322">
      <c r="A762" s="27" t="n"/>
      <c r="B762" s="506" t="n"/>
      <c r="C762" s="141" t="n"/>
      <c r="D762" s="141" t="n"/>
      <c r="E762" s="141" t="n"/>
      <c r="F762" s="141" t="n"/>
      <c r="G762" s="143" t="n"/>
      <c r="H762" s="27" t="n"/>
    </row>
    <row r="763" ht="17.25" customHeight="1" s="322">
      <c r="A763" s="27" t="n"/>
      <c r="B763" s="506" t="n"/>
      <c r="C763" s="141" t="n"/>
      <c r="D763" s="141" t="n"/>
      <c r="E763" s="141" t="n"/>
      <c r="F763" s="141" t="n"/>
      <c r="G763" s="143" t="n"/>
      <c r="H763" s="27" t="n"/>
    </row>
    <row r="764" ht="17.25" customHeight="1" s="322">
      <c r="A764" s="27" t="n"/>
      <c r="B764" s="506" t="n"/>
      <c r="C764" s="141" t="n"/>
      <c r="D764" s="141" t="n"/>
      <c r="E764" s="141" t="n"/>
      <c r="F764" s="141" t="n"/>
      <c r="G764" s="143" t="n"/>
      <c r="H764" s="27" t="n"/>
    </row>
    <row r="765" ht="17.25" customHeight="1" s="322">
      <c r="A765" s="27" t="n"/>
      <c r="B765" s="506" t="n"/>
      <c r="C765" s="141" t="n"/>
      <c r="D765" s="141" t="n"/>
      <c r="E765" s="141" t="n"/>
      <c r="F765" s="141" t="n"/>
      <c r="G765" s="143" t="n"/>
      <c r="H765" s="27" t="n"/>
    </row>
    <row r="766" ht="17.25" customHeight="1" s="322">
      <c r="A766" s="27" t="n"/>
      <c r="B766" s="506" t="n"/>
      <c r="C766" s="141" t="n"/>
      <c r="D766" s="141" t="n"/>
      <c r="E766" s="141" t="n"/>
      <c r="F766" s="141" t="n"/>
      <c r="G766" s="143" t="n"/>
      <c r="H766" s="27" t="n"/>
    </row>
    <row r="767" ht="17.25" customHeight="1" s="322">
      <c r="A767" s="27" t="n"/>
      <c r="B767" s="506" t="n"/>
      <c r="C767" s="141" t="n"/>
      <c r="D767" s="141" t="n"/>
      <c r="E767" s="141" t="n"/>
      <c r="F767" s="141" t="n"/>
      <c r="G767" s="143" t="n"/>
      <c r="H767" s="27" t="n"/>
    </row>
    <row r="768" ht="17.25" customHeight="1" s="322">
      <c r="A768" s="27" t="n"/>
      <c r="B768" s="506" t="n"/>
      <c r="C768" s="141" t="n"/>
      <c r="D768" s="141" t="n"/>
      <c r="E768" s="141" t="n"/>
      <c r="F768" s="141" t="n"/>
      <c r="G768" s="143" t="n"/>
      <c r="H768" s="27" t="n"/>
    </row>
    <row r="769" ht="17.25" customHeight="1" s="322">
      <c r="A769" s="27" t="n"/>
      <c r="B769" s="506" t="n"/>
      <c r="C769" s="141" t="n"/>
      <c r="D769" s="141" t="n"/>
      <c r="E769" s="141" t="n"/>
      <c r="F769" s="141" t="n"/>
      <c r="G769" s="143" t="n"/>
      <c r="H769" s="27" t="n"/>
    </row>
    <row r="770" ht="17.25" customHeight="1" s="322">
      <c r="A770" s="27" t="n"/>
      <c r="B770" s="506" t="n"/>
      <c r="C770" s="141" t="n"/>
      <c r="D770" s="141" t="n"/>
      <c r="E770" s="141" t="n"/>
      <c r="F770" s="141" t="n"/>
      <c r="G770" s="143" t="n"/>
      <c r="H770" s="27" t="n"/>
    </row>
    <row r="771" ht="17.25" customHeight="1" s="322">
      <c r="A771" s="27" t="n"/>
      <c r="B771" s="506" t="n"/>
      <c r="C771" s="141" t="n"/>
      <c r="D771" s="141" t="n"/>
      <c r="E771" s="141" t="n"/>
      <c r="F771" s="141" t="n"/>
      <c r="G771" s="143" t="n"/>
      <c r="H771" s="27" t="n"/>
    </row>
    <row r="772" ht="17.25" customHeight="1" s="322">
      <c r="A772" s="27" t="n"/>
      <c r="B772" s="506" t="n"/>
      <c r="C772" s="141" t="n"/>
      <c r="D772" s="141" t="n"/>
      <c r="E772" s="141" t="n"/>
      <c r="F772" s="141" t="n"/>
      <c r="G772" s="143" t="n"/>
      <c r="H772" s="27" t="n"/>
    </row>
    <row r="773" ht="17.25" customHeight="1" s="322">
      <c r="A773" s="27" t="n"/>
      <c r="B773" s="506" t="n"/>
      <c r="C773" s="141" t="n"/>
      <c r="D773" s="141" t="n"/>
      <c r="E773" s="141" t="n"/>
      <c r="F773" s="141" t="n"/>
      <c r="G773" s="143" t="n"/>
      <c r="H773" s="27" t="n"/>
    </row>
    <row r="774" ht="17.25" customHeight="1" s="322">
      <c r="A774" s="27" t="n"/>
      <c r="B774" s="506" t="n"/>
      <c r="C774" s="141" t="n"/>
      <c r="D774" s="141" t="n"/>
      <c r="E774" s="141" t="n"/>
      <c r="F774" s="141" t="n"/>
      <c r="G774" s="143" t="n"/>
      <c r="H774" s="27" t="n"/>
    </row>
    <row r="775" ht="17.25" customHeight="1" s="322">
      <c r="A775" s="27" t="n"/>
      <c r="B775" s="506" t="n"/>
      <c r="C775" s="141" t="n"/>
      <c r="D775" s="141" t="n"/>
      <c r="E775" s="141" t="n"/>
      <c r="F775" s="141" t="n"/>
      <c r="G775" s="143" t="n"/>
      <c r="H775" s="27" t="n"/>
    </row>
    <row r="776" ht="17.25" customHeight="1" s="322">
      <c r="A776" s="27" t="n"/>
      <c r="B776" s="506" t="n"/>
      <c r="C776" s="141" t="n"/>
      <c r="D776" s="141" t="n"/>
      <c r="E776" s="141" t="n"/>
      <c r="F776" s="141" t="n"/>
      <c r="G776" s="143" t="n"/>
      <c r="H776" s="27" t="n"/>
    </row>
    <row r="777" ht="17.25" customHeight="1" s="322">
      <c r="A777" s="27" t="n"/>
      <c r="B777" s="506" t="n"/>
      <c r="C777" s="141" t="n"/>
      <c r="D777" s="141" t="n"/>
      <c r="E777" s="141" t="n"/>
      <c r="F777" s="141" t="n"/>
      <c r="G777" s="143" t="n"/>
      <c r="H777" s="27" t="n"/>
    </row>
    <row r="778" ht="17.25" customHeight="1" s="322">
      <c r="A778" s="27" t="n"/>
      <c r="B778" s="506" t="n"/>
      <c r="C778" s="141" t="n"/>
      <c r="D778" s="141" t="n"/>
      <c r="E778" s="141" t="n"/>
      <c r="F778" s="141" t="n"/>
      <c r="G778" s="143" t="n"/>
      <c r="H778" s="27" t="n"/>
    </row>
    <row r="779" ht="17.25" customHeight="1" s="322">
      <c r="A779" s="27" t="n"/>
      <c r="B779" s="506" t="n"/>
      <c r="C779" s="141" t="n"/>
      <c r="D779" s="141" t="n"/>
      <c r="E779" s="141" t="n"/>
      <c r="F779" s="141" t="n"/>
      <c r="G779" s="143" t="n"/>
      <c r="H779" s="27" t="n"/>
    </row>
    <row r="780" ht="17.25" customHeight="1" s="322">
      <c r="A780" s="27" t="n"/>
      <c r="B780" s="506" t="n"/>
      <c r="C780" s="141" t="n"/>
      <c r="D780" s="141" t="n"/>
      <c r="E780" s="141" t="n"/>
      <c r="F780" s="141" t="n"/>
      <c r="G780" s="143" t="n"/>
      <c r="H780" s="27" t="n"/>
    </row>
    <row r="781" ht="17.25" customHeight="1" s="322">
      <c r="A781" s="27" t="n"/>
      <c r="B781" s="506" t="n"/>
      <c r="C781" s="141" t="n"/>
      <c r="D781" s="141" t="n"/>
      <c r="E781" s="141" t="n"/>
      <c r="F781" s="141" t="n"/>
      <c r="G781" s="143" t="n"/>
      <c r="H781" s="27" t="n"/>
    </row>
    <row r="782" ht="17.25" customHeight="1" s="322">
      <c r="A782" s="27" t="n"/>
      <c r="B782" s="506" t="n"/>
      <c r="C782" s="141" t="n"/>
      <c r="D782" s="141" t="n"/>
      <c r="E782" s="141" t="n"/>
      <c r="F782" s="141" t="n"/>
      <c r="G782" s="143" t="n"/>
      <c r="H782" s="27" t="n"/>
    </row>
    <row r="783" ht="17.25" customHeight="1" s="322">
      <c r="A783" s="27" t="n"/>
      <c r="B783" s="506" t="n"/>
      <c r="C783" s="141" t="n"/>
      <c r="D783" s="141" t="n"/>
      <c r="E783" s="141" t="n"/>
      <c r="F783" s="141" t="n"/>
      <c r="G783" s="143" t="n"/>
      <c r="H783" s="27" t="n"/>
    </row>
    <row r="784" ht="17.25" customHeight="1" s="322">
      <c r="A784" s="27" t="n"/>
      <c r="B784" s="506" t="n"/>
      <c r="C784" s="141" t="n"/>
      <c r="D784" s="141" t="n"/>
      <c r="E784" s="141" t="n"/>
      <c r="F784" s="141" t="n"/>
      <c r="G784" s="143" t="n"/>
      <c r="H784" s="27" t="n"/>
    </row>
    <row r="785" ht="17.25" customHeight="1" s="322">
      <c r="A785" s="27" t="n"/>
      <c r="B785" s="506" t="n"/>
      <c r="C785" s="141" t="n"/>
      <c r="D785" s="141" t="n"/>
      <c r="E785" s="141" t="n"/>
      <c r="F785" s="141" t="n"/>
      <c r="G785" s="143" t="n"/>
      <c r="H785" s="27" t="n"/>
    </row>
    <row r="786" ht="17.25" customHeight="1" s="322">
      <c r="A786" s="27" t="n"/>
      <c r="B786" s="506" t="n"/>
      <c r="C786" s="141" t="n"/>
      <c r="D786" s="141" t="n"/>
      <c r="E786" s="141" t="n"/>
      <c r="F786" s="141" t="n"/>
      <c r="G786" s="143" t="n"/>
      <c r="H786" s="27" t="n"/>
    </row>
    <row r="787" ht="17.25" customHeight="1" s="322">
      <c r="A787" s="27" t="n"/>
      <c r="B787" s="506" t="n"/>
      <c r="C787" s="141" t="n"/>
      <c r="D787" s="141" t="n"/>
      <c r="E787" s="141" t="n"/>
      <c r="F787" s="141" t="n"/>
      <c r="G787" s="143" t="n"/>
      <c r="H787" s="27" t="n"/>
    </row>
    <row r="788" ht="17.25" customHeight="1" s="322">
      <c r="A788" s="27" t="n"/>
      <c r="B788" s="506" t="n"/>
      <c r="C788" s="141" t="n"/>
      <c r="D788" s="141" t="n"/>
      <c r="E788" s="141" t="n"/>
      <c r="F788" s="141" t="n"/>
      <c r="G788" s="143" t="n"/>
      <c r="H788" s="27" t="n"/>
    </row>
    <row r="789" ht="17.25" customHeight="1" s="322">
      <c r="A789" s="27" t="n"/>
      <c r="B789" s="506" t="n"/>
      <c r="C789" s="141" t="n"/>
      <c r="D789" s="141" t="n"/>
      <c r="E789" s="141" t="n"/>
      <c r="F789" s="141" t="n"/>
      <c r="G789" s="143" t="n"/>
      <c r="H789" s="27" t="n"/>
    </row>
    <row r="790" ht="17.25" customHeight="1" s="322">
      <c r="A790" s="27" t="n"/>
      <c r="B790" s="506" t="n"/>
      <c r="C790" s="141" t="n"/>
      <c r="D790" s="141" t="n"/>
      <c r="E790" s="141" t="n"/>
      <c r="F790" s="141" t="n"/>
      <c r="G790" s="143" t="n"/>
      <c r="H790" s="27" t="n"/>
    </row>
    <row r="791" ht="17.25" customHeight="1" s="322">
      <c r="A791" s="27" t="n"/>
      <c r="B791" s="506" t="n"/>
      <c r="C791" s="141" t="n"/>
      <c r="D791" s="141" t="n"/>
      <c r="E791" s="141" t="n"/>
      <c r="F791" s="141" t="n"/>
      <c r="G791" s="143" t="n"/>
      <c r="H791" s="27" t="n"/>
    </row>
    <row r="792" ht="17.25" customHeight="1" s="322">
      <c r="A792" s="27" t="n"/>
      <c r="B792" s="506" t="n"/>
      <c r="C792" s="141" t="n"/>
      <c r="D792" s="141" t="n"/>
      <c r="E792" s="141" t="n"/>
      <c r="F792" s="141" t="n"/>
      <c r="G792" s="143" t="n"/>
      <c r="H792" s="27" t="n"/>
    </row>
    <row r="793" ht="17.25" customHeight="1" s="322">
      <c r="A793" s="27" t="n"/>
      <c r="B793" s="506" t="n"/>
      <c r="C793" s="141" t="n"/>
      <c r="D793" s="141" t="n"/>
      <c r="E793" s="141" t="n"/>
      <c r="F793" s="141" t="n"/>
      <c r="G793" s="143" t="n"/>
      <c r="H793" s="27" t="n"/>
    </row>
    <row r="794" ht="17.25" customHeight="1" s="322">
      <c r="A794" s="27" t="n"/>
      <c r="B794" s="506" t="n"/>
      <c r="C794" s="141" t="n"/>
      <c r="D794" s="141" t="n"/>
      <c r="E794" s="141" t="n"/>
      <c r="F794" s="141" t="n"/>
      <c r="G794" s="143" t="n"/>
      <c r="H794" s="27" t="n"/>
    </row>
    <row r="795" ht="17.25" customHeight="1" s="322">
      <c r="A795" s="27" t="n"/>
      <c r="B795" s="506" t="n"/>
      <c r="C795" s="141" t="n"/>
      <c r="D795" s="141" t="n"/>
      <c r="E795" s="141" t="n"/>
      <c r="F795" s="141" t="n"/>
      <c r="G795" s="143" t="n"/>
      <c r="H795" s="27" t="n"/>
    </row>
    <row r="796" ht="17.25" customHeight="1" s="322">
      <c r="A796" s="27" t="n"/>
      <c r="B796" s="506" t="n"/>
      <c r="C796" s="141" t="n"/>
      <c r="D796" s="141" t="n"/>
      <c r="E796" s="141" t="n"/>
      <c r="F796" s="141" t="n"/>
      <c r="G796" s="143" t="n"/>
      <c r="H796" s="27" t="n"/>
    </row>
    <row r="797" ht="17.25" customHeight="1" s="322">
      <c r="A797" s="27" t="n"/>
      <c r="B797" s="506" t="n"/>
      <c r="C797" s="141" t="n"/>
      <c r="D797" s="141" t="n"/>
      <c r="E797" s="141" t="n"/>
      <c r="F797" s="141" t="n"/>
      <c r="G797" s="143" t="n"/>
      <c r="H797" s="27" t="n"/>
    </row>
    <row r="798" ht="17.25" customHeight="1" s="322">
      <c r="A798" s="27" t="n"/>
      <c r="B798" s="506" t="n"/>
      <c r="C798" s="141" t="n"/>
      <c r="D798" s="141" t="n"/>
      <c r="E798" s="141" t="n"/>
      <c r="F798" s="141" t="n"/>
      <c r="G798" s="143" t="n"/>
      <c r="H798" s="27" t="n"/>
    </row>
    <row r="799" ht="17.25" customHeight="1" s="322">
      <c r="A799" s="27" t="n"/>
      <c r="B799" s="506" t="n"/>
      <c r="C799" s="141" t="n"/>
      <c r="D799" s="141" t="n"/>
      <c r="E799" s="141" t="n"/>
      <c r="F799" s="141" t="n"/>
      <c r="G799" s="143" t="n"/>
      <c r="H799" s="27" t="n"/>
    </row>
    <row r="800" ht="17.25" customHeight="1" s="322">
      <c r="A800" s="27" t="n"/>
      <c r="B800" s="506" t="n"/>
      <c r="C800" s="141" t="n"/>
      <c r="D800" s="141" t="n"/>
      <c r="E800" s="141" t="n"/>
      <c r="F800" s="141" t="n"/>
      <c r="G800" s="143" t="n"/>
      <c r="H800" s="27" t="n"/>
    </row>
    <row r="801" ht="17.25" customHeight="1" s="322">
      <c r="A801" s="27" t="n"/>
      <c r="B801" s="506" t="n"/>
      <c r="C801" s="141" t="n"/>
      <c r="D801" s="141" t="n"/>
      <c r="E801" s="141" t="n"/>
      <c r="F801" s="141" t="n"/>
      <c r="G801" s="143" t="n"/>
      <c r="H801" s="27" t="n"/>
    </row>
    <row r="802" ht="17.25" customHeight="1" s="322">
      <c r="A802" s="27" t="n"/>
      <c r="B802" s="506" t="n"/>
      <c r="C802" s="141" t="n"/>
      <c r="D802" s="141" t="n"/>
      <c r="E802" s="141" t="n"/>
      <c r="F802" s="141" t="n"/>
      <c r="G802" s="143" t="n"/>
      <c r="H802" s="27" t="n"/>
    </row>
    <row r="803" ht="17.25" customHeight="1" s="322">
      <c r="A803" s="27" t="n"/>
      <c r="B803" s="506" t="n"/>
      <c r="C803" s="141" t="n"/>
      <c r="D803" s="141" t="n"/>
      <c r="E803" s="141" t="n"/>
      <c r="F803" s="141" t="n"/>
      <c r="G803" s="143" t="n"/>
      <c r="H803" s="27" t="n"/>
    </row>
    <row r="804" ht="17.25" customHeight="1" s="322">
      <c r="A804" s="27" t="n"/>
      <c r="B804" s="506" t="n"/>
      <c r="C804" s="141" t="n"/>
      <c r="D804" s="141" t="n"/>
      <c r="E804" s="141" t="n"/>
      <c r="F804" s="141" t="n"/>
      <c r="G804" s="143" t="n"/>
      <c r="H804" s="27" t="n"/>
    </row>
    <row r="805" ht="17.25" customHeight="1" s="322">
      <c r="A805" s="27" t="n"/>
      <c r="B805" s="506" t="n"/>
      <c r="C805" s="141" t="n"/>
      <c r="D805" s="141" t="n"/>
      <c r="E805" s="141" t="n"/>
      <c r="F805" s="141" t="n"/>
      <c r="G805" s="143" t="n"/>
      <c r="H805" s="27" t="n"/>
    </row>
    <row r="806" ht="17.25" customHeight="1" s="322">
      <c r="A806" s="27" t="n"/>
      <c r="B806" s="506" t="n"/>
      <c r="C806" s="141" t="n"/>
      <c r="D806" s="141" t="n"/>
      <c r="E806" s="141" t="n"/>
      <c r="F806" s="141" t="n"/>
      <c r="G806" s="143" t="n"/>
      <c r="H806" s="27" t="n"/>
    </row>
    <row r="807" ht="17.25" customHeight="1" s="322">
      <c r="A807" s="27" t="n"/>
      <c r="B807" s="506" t="n"/>
      <c r="C807" s="141" t="n"/>
      <c r="D807" s="141" t="n"/>
      <c r="E807" s="141" t="n"/>
      <c r="F807" s="141" t="n"/>
      <c r="G807" s="143" t="n"/>
      <c r="H807" s="27" t="n"/>
    </row>
    <row r="808" ht="17.25" customHeight="1" s="322">
      <c r="A808" s="27" t="n"/>
      <c r="B808" s="506" t="n"/>
      <c r="C808" s="141" t="n"/>
      <c r="D808" s="141" t="n"/>
      <c r="E808" s="141" t="n"/>
      <c r="F808" s="141" t="n"/>
      <c r="G808" s="143" t="n"/>
      <c r="H808" s="27" t="n"/>
    </row>
    <row r="809" ht="17.25" customHeight="1" s="322">
      <c r="A809" s="27" t="n"/>
      <c r="B809" s="506" t="n"/>
      <c r="C809" s="141" t="n"/>
      <c r="D809" s="141" t="n"/>
      <c r="E809" s="141" t="n"/>
      <c r="F809" s="141" t="n"/>
      <c r="G809" s="143" t="n"/>
      <c r="H809" s="27" t="n"/>
    </row>
    <row r="810" ht="17.25" customHeight="1" s="322">
      <c r="A810" s="27" t="n"/>
      <c r="B810" s="506" t="n"/>
      <c r="C810" s="141" t="n"/>
      <c r="D810" s="141" t="n"/>
      <c r="E810" s="141" t="n"/>
      <c r="F810" s="141" t="n"/>
      <c r="G810" s="143" t="n"/>
      <c r="H810" s="27" t="n"/>
    </row>
    <row r="811" ht="17.25" customHeight="1" s="322">
      <c r="A811" s="27" t="n"/>
      <c r="B811" s="506" t="n"/>
      <c r="C811" s="141" t="n"/>
      <c r="D811" s="141" t="n"/>
      <c r="E811" s="141" t="n"/>
      <c r="F811" s="141" t="n"/>
      <c r="G811" s="143" t="n"/>
      <c r="H811" s="27" t="n"/>
    </row>
    <row r="812" ht="17.25" customHeight="1" s="322">
      <c r="A812" s="27" t="n"/>
      <c r="B812" s="506" t="n"/>
      <c r="C812" s="141" t="n"/>
      <c r="D812" s="141" t="n"/>
      <c r="E812" s="141" t="n"/>
      <c r="F812" s="141" t="n"/>
      <c r="G812" s="143" t="n"/>
      <c r="H812" s="27" t="n"/>
    </row>
    <row r="813" ht="17.25" customHeight="1" s="322">
      <c r="A813" s="27" t="n"/>
      <c r="B813" s="506" t="n"/>
      <c r="C813" s="141" t="n"/>
      <c r="D813" s="141" t="n"/>
      <c r="E813" s="141" t="n"/>
      <c r="F813" s="141" t="n"/>
      <c r="G813" s="143" t="n"/>
      <c r="H813" s="27" t="n"/>
    </row>
    <row r="814" ht="17.25" customHeight="1" s="322">
      <c r="A814" s="27" t="n"/>
      <c r="B814" s="506" t="n"/>
      <c r="C814" s="141" t="n"/>
      <c r="D814" s="141" t="n"/>
      <c r="E814" s="141" t="n"/>
      <c r="F814" s="141" t="n"/>
      <c r="G814" s="143" t="n"/>
      <c r="H814" s="27" t="n"/>
    </row>
    <row r="815" ht="17.25" customHeight="1" s="322">
      <c r="A815" s="27" t="n"/>
      <c r="B815" s="506" t="n"/>
      <c r="C815" s="141" t="n"/>
      <c r="D815" s="141" t="n"/>
      <c r="E815" s="141" t="n"/>
      <c r="F815" s="141" t="n"/>
      <c r="G815" s="143" t="n"/>
      <c r="H815" s="27" t="n"/>
    </row>
    <row r="816" ht="17.25" customHeight="1" s="322">
      <c r="A816" s="27" t="n"/>
      <c r="B816" s="506" t="n"/>
      <c r="C816" s="141" t="n"/>
      <c r="D816" s="141" t="n"/>
      <c r="E816" s="141" t="n"/>
      <c r="F816" s="141" t="n"/>
      <c r="G816" s="143" t="n"/>
      <c r="H816" s="27" t="n"/>
    </row>
    <row r="817" ht="17.25" customHeight="1" s="322">
      <c r="A817" s="27" t="n"/>
      <c r="B817" s="506" t="n"/>
      <c r="C817" s="141" t="n"/>
      <c r="D817" s="141" t="n"/>
      <c r="E817" s="141" t="n"/>
      <c r="F817" s="141" t="n"/>
      <c r="G817" s="143" t="n"/>
      <c r="H817" s="27" t="n"/>
    </row>
    <row r="818" ht="17.25" customHeight="1" s="322">
      <c r="A818" s="27" t="n"/>
      <c r="B818" s="506" t="n"/>
      <c r="C818" s="141" t="n"/>
      <c r="D818" s="141" t="n"/>
      <c r="E818" s="141" t="n"/>
      <c r="F818" s="141" t="n"/>
      <c r="G818" s="143" t="n"/>
      <c r="H818" s="27" t="n"/>
    </row>
    <row r="819" ht="17.25" customHeight="1" s="322">
      <c r="A819" s="27" t="n"/>
      <c r="B819" s="506" t="n"/>
      <c r="C819" s="141" t="n"/>
      <c r="D819" s="141" t="n"/>
      <c r="E819" s="141" t="n"/>
      <c r="F819" s="141" t="n"/>
      <c r="G819" s="143" t="n"/>
      <c r="H819" s="27" t="n"/>
    </row>
    <row r="820" ht="17.25" customHeight="1" s="322">
      <c r="A820" s="27" t="n"/>
      <c r="B820" s="506" t="n"/>
      <c r="C820" s="141" t="n"/>
      <c r="D820" s="141" t="n"/>
      <c r="E820" s="141" t="n"/>
      <c r="F820" s="141" t="n"/>
      <c r="G820" s="143" t="n"/>
      <c r="H820" s="27" t="n"/>
    </row>
    <row r="821" ht="17.25" customHeight="1" s="322">
      <c r="A821" s="27" t="n"/>
      <c r="B821" s="506" t="n"/>
      <c r="C821" s="141" t="n"/>
      <c r="D821" s="141" t="n"/>
      <c r="E821" s="141" t="n"/>
      <c r="F821" s="141" t="n"/>
      <c r="G821" s="143" t="n"/>
      <c r="H821" s="27" t="n"/>
    </row>
    <row r="822" ht="17.25" customHeight="1" s="322">
      <c r="A822" s="27" t="n"/>
      <c r="B822" s="506" t="n"/>
      <c r="C822" s="141" t="n"/>
      <c r="D822" s="141" t="n"/>
      <c r="E822" s="141" t="n"/>
      <c r="F822" s="141" t="n"/>
      <c r="G822" s="143" t="n"/>
      <c r="H822" s="27" t="n"/>
    </row>
    <row r="823" ht="17.25" customHeight="1" s="322">
      <c r="A823" s="27" t="n"/>
      <c r="B823" s="506" t="n"/>
      <c r="C823" s="141" t="n"/>
      <c r="D823" s="141" t="n"/>
      <c r="E823" s="141" t="n"/>
      <c r="F823" s="141" t="n"/>
      <c r="G823" s="143" t="n"/>
      <c r="H823" s="27" t="n"/>
    </row>
    <row r="824" ht="17.25" customHeight="1" s="322">
      <c r="A824" s="27" t="n"/>
      <c r="B824" s="506" t="n"/>
      <c r="C824" s="141" t="n"/>
      <c r="D824" s="141" t="n"/>
      <c r="E824" s="141" t="n"/>
      <c r="F824" s="141" t="n"/>
      <c r="G824" s="143" t="n"/>
      <c r="H824" s="27" t="n"/>
    </row>
    <row r="825" ht="17.25" customHeight="1" s="322">
      <c r="A825" s="27" t="n"/>
      <c r="B825" s="506" t="n"/>
      <c r="C825" s="141" t="n"/>
      <c r="D825" s="141" t="n"/>
      <c r="E825" s="141" t="n"/>
      <c r="F825" s="141" t="n"/>
      <c r="G825" s="143" t="n"/>
      <c r="H825" s="27" t="n"/>
    </row>
    <row r="826" ht="17.25" customHeight="1" s="322">
      <c r="A826" s="27" t="n"/>
      <c r="B826" s="506" t="n"/>
      <c r="C826" s="141" t="n"/>
      <c r="D826" s="141" t="n"/>
      <c r="E826" s="141" t="n"/>
      <c r="F826" s="141" t="n"/>
      <c r="G826" s="143" t="n"/>
      <c r="H826" s="27" t="n"/>
    </row>
    <row r="827" ht="17.25" customHeight="1" s="322">
      <c r="A827" s="27" t="n"/>
      <c r="B827" s="506" t="n"/>
      <c r="C827" s="141" t="n"/>
      <c r="D827" s="141" t="n"/>
      <c r="E827" s="141" t="n"/>
      <c r="F827" s="141" t="n"/>
      <c r="G827" s="143" t="n"/>
      <c r="H827" s="27" t="n"/>
    </row>
    <row r="828" ht="17.25" customHeight="1" s="322">
      <c r="A828" s="27" t="n"/>
      <c r="B828" s="506" t="n"/>
      <c r="C828" s="141" t="n"/>
      <c r="D828" s="141" t="n"/>
      <c r="E828" s="141" t="n"/>
      <c r="F828" s="141" t="n"/>
      <c r="G828" s="143" t="n"/>
      <c r="H828" s="27" t="n"/>
    </row>
    <row r="829" ht="17.25" customHeight="1" s="322">
      <c r="A829" s="27" t="n"/>
      <c r="B829" s="506" t="n"/>
      <c r="C829" s="141" t="n"/>
      <c r="D829" s="141" t="n"/>
      <c r="E829" s="141" t="n"/>
      <c r="F829" s="141" t="n"/>
      <c r="G829" s="143" t="n"/>
      <c r="H829" s="27" t="n"/>
    </row>
    <row r="830" ht="17.25" customHeight="1" s="322">
      <c r="A830" s="27" t="n"/>
      <c r="B830" s="506" t="n"/>
      <c r="C830" s="141" t="n"/>
      <c r="D830" s="141" t="n"/>
      <c r="E830" s="141" t="n"/>
      <c r="F830" s="141" t="n"/>
      <c r="G830" s="143" t="n"/>
      <c r="H830" s="27" t="n"/>
    </row>
    <row r="831" ht="17.25" customHeight="1" s="322">
      <c r="A831" s="27" t="n"/>
      <c r="B831" s="506" t="n"/>
      <c r="C831" s="141" t="n"/>
      <c r="D831" s="141" t="n"/>
      <c r="E831" s="141" t="n"/>
      <c r="F831" s="141" t="n"/>
      <c r="G831" s="143" t="n"/>
      <c r="H831" s="27" t="n"/>
    </row>
    <row r="832" ht="17.25" customHeight="1" s="322">
      <c r="A832" s="27" t="n"/>
      <c r="B832" s="506" t="n"/>
      <c r="C832" s="141" t="n"/>
      <c r="D832" s="141" t="n"/>
      <c r="E832" s="141" t="n"/>
      <c r="F832" s="141" t="n"/>
      <c r="G832" s="143" t="n"/>
      <c r="H832" s="27" t="n"/>
    </row>
    <row r="833" ht="17.25" customHeight="1" s="322">
      <c r="A833" s="27" t="n"/>
      <c r="B833" s="506" t="n"/>
      <c r="C833" s="141" t="n"/>
      <c r="D833" s="141" t="n"/>
      <c r="E833" s="141" t="n"/>
      <c r="F833" s="141" t="n"/>
      <c r="G833" s="143" t="n"/>
      <c r="H833" s="27" t="n"/>
    </row>
    <row r="834" ht="17.25" customHeight="1" s="322">
      <c r="A834" s="27" t="n"/>
      <c r="B834" s="506" t="n"/>
      <c r="C834" s="141" t="n"/>
      <c r="D834" s="141" t="n"/>
      <c r="E834" s="141" t="n"/>
      <c r="F834" s="141" t="n"/>
      <c r="G834" s="143" t="n"/>
      <c r="H834" s="27" t="n"/>
    </row>
    <row r="835" ht="17.25" customHeight="1" s="322">
      <c r="A835" s="27" t="n"/>
      <c r="B835" s="506" t="n"/>
      <c r="C835" s="141" t="n"/>
      <c r="D835" s="141" t="n"/>
      <c r="E835" s="141" t="n"/>
      <c r="F835" s="141" t="n"/>
      <c r="G835" s="143" t="n"/>
      <c r="H835" s="27" t="n"/>
    </row>
    <row r="836" ht="17.25" customHeight="1" s="322">
      <c r="A836" s="27" t="n"/>
      <c r="B836" s="506" t="n"/>
      <c r="C836" s="141" t="n"/>
      <c r="D836" s="141" t="n"/>
      <c r="E836" s="141" t="n"/>
      <c r="F836" s="141" t="n"/>
      <c r="G836" s="143" t="n"/>
      <c r="H836" s="27" t="n"/>
    </row>
    <row r="837" ht="17.25" customHeight="1" s="322">
      <c r="A837" s="27" t="n"/>
      <c r="B837" s="506" t="n"/>
      <c r="C837" s="141" t="n"/>
      <c r="D837" s="141" t="n"/>
      <c r="E837" s="141" t="n"/>
      <c r="F837" s="141" t="n"/>
      <c r="G837" s="143" t="n"/>
      <c r="H837" s="27" t="n"/>
    </row>
    <row r="838" ht="17.25" customHeight="1" s="322">
      <c r="A838" s="27" t="n"/>
      <c r="B838" s="506" t="n"/>
      <c r="C838" s="141" t="n"/>
      <c r="D838" s="141" t="n"/>
      <c r="E838" s="141" t="n"/>
      <c r="F838" s="141" t="n"/>
      <c r="G838" s="143" t="n"/>
      <c r="H838" s="27" t="n"/>
    </row>
    <row r="839" ht="17.25" customHeight="1" s="322">
      <c r="A839" s="27" t="n"/>
      <c r="B839" s="506" t="n"/>
      <c r="C839" s="141" t="n"/>
      <c r="D839" s="141" t="n"/>
      <c r="E839" s="141" t="n"/>
      <c r="F839" s="141" t="n"/>
      <c r="G839" s="143" t="n"/>
      <c r="H839" s="27" t="n"/>
    </row>
    <row r="840" ht="17.25" customHeight="1" s="322">
      <c r="A840" s="27" t="n"/>
      <c r="B840" s="506" t="n"/>
      <c r="C840" s="141" t="n"/>
      <c r="D840" s="141" t="n"/>
      <c r="E840" s="141" t="n"/>
      <c r="F840" s="141" t="n"/>
      <c r="G840" s="143" t="n"/>
      <c r="H840" s="27" t="n"/>
    </row>
    <row r="841" ht="17.25" customHeight="1" s="322">
      <c r="A841" s="27" t="n"/>
      <c r="B841" s="506" t="n"/>
      <c r="C841" s="141" t="n"/>
      <c r="D841" s="141" t="n"/>
      <c r="E841" s="141" t="n"/>
      <c r="F841" s="141" t="n"/>
      <c r="G841" s="143" t="n"/>
      <c r="H841" s="27" t="n"/>
    </row>
    <row r="842" ht="17.25" customHeight="1" s="322">
      <c r="A842" s="27" t="n"/>
      <c r="B842" s="506" t="n"/>
      <c r="C842" s="141" t="n"/>
      <c r="D842" s="141" t="n"/>
      <c r="E842" s="141" t="n"/>
      <c r="F842" s="141" t="n"/>
      <c r="G842" s="143" t="n"/>
      <c r="H842" s="27" t="n"/>
    </row>
    <row r="843" ht="17.25" customHeight="1" s="322">
      <c r="A843" s="27" t="n"/>
      <c r="B843" s="506" t="n"/>
      <c r="C843" s="141" t="n"/>
      <c r="D843" s="141" t="n"/>
      <c r="E843" s="141" t="n"/>
      <c r="F843" s="141" t="n"/>
      <c r="G843" s="143" t="n"/>
      <c r="H843" s="27" t="n"/>
    </row>
    <row r="844" ht="17.25" customHeight="1" s="322">
      <c r="A844" s="27" t="n"/>
      <c r="B844" s="506" t="n"/>
      <c r="C844" s="141" t="n"/>
      <c r="D844" s="141" t="n"/>
      <c r="E844" s="141" t="n"/>
      <c r="F844" s="141" t="n"/>
      <c r="G844" s="143" t="n"/>
      <c r="H844" s="27" t="n"/>
    </row>
    <row r="845" ht="17.25" customHeight="1" s="322">
      <c r="A845" s="27" t="n"/>
      <c r="B845" s="506" t="n"/>
      <c r="C845" s="141" t="n"/>
      <c r="D845" s="141" t="n"/>
      <c r="E845" s="141" t="n"/>
      <c r="F845" s="141" t="n"/>
      <c r="G845" s="143" t="n"/>
      <c r="H845" s="27" t="n"/>
    </row>
    <row r="846" ht="17.25" customHeight="1" s="322">
      <c r="A846" s="27" t="n"/>
      <c r="B846" s="506" t="n"/>
      <c r="C846" s="141" t="n"/>
      <c r="D846" s="141" t="n"/>
      <c r="E846" s="141" t="n"/>
      <c r="F846" s="141" t="n"/>
      <c r="G846" s="143" t="n"/>
      <c r="H846" s="27" t="n"/>
    </row>
    <row r="847" ht="17.25" customHeight="1" s="322">
      <c r="A847" s="27" t="n"/>
      <c r="B847" s="506" t="n"/>
      <c r="C847" s="141" t="n"/>
      <c r="D847" s="141" t="n"/>
      <c r="E847" s="141" t="n"/>
      <c r="F847" s="141" t="n"/>
      <c r="G847" s="143" t="n"/>
      <c r="H847" s="27" t="n"/>
    </row>
    <row r="848" ht="17.25" customHeight="1" s="322">
      <c r="A848" s="27" t="n"/>
      <c r="B848" s="506" t="n"/>
      <c r="C848" s="141" t="n"/>
      <c r="D848" s="141" t="n"/>
      <c r="E848" s="141" t="n"/>
      <c r="F848" s="141" t="n"/>
      <c r="G848" s="143" t="n"/>
      <c r="H848" s="27" t="n"/>
    </row>
    <row r="849" ht="17.25" customHeight="1" s="322">
      <c r="A849" s="27" t="n"/>
      <c r="B849" s="506" t="n"/>
      <c r="C849" s="141" t="n"/>
      <c r="D849" s="141" t="n"/>
      <c r="E849" s="141" t="n"/>
      <c r="F849" s="141" t="n"/>
      <c r="G849" s="143" t="n"/>
      <c r="H849" s="27" t="n"/>
    </row>
    <row r="850" ht="17.25" customHeight="1" s="322">
      <c r="A850" s="27" t="n"/>
      <c r="B850" s="506" t="n"/>
      <c r="C850" s="141" t="n"/>
      <c r="D850" s="141" t="n"/>
      <c r="E850" s="141" t="n"/>
      <c r="F850" s="141" t="n"/>
      <c r="G850" s="143" t="n"/>
      <c r="H850" s="27" t="n"/>
    </row>
    <row r="851" ht="17.25" customHeight="1" s="322">
      <c r="A851" s="27" t="n"/>
      <c r="B851" s="506" t="n"/>
      <c r="C851" s="141" t="n"/>
      <c r="D851" s="141" t="n"/>
      <c r="E851" s="141" t="n"/>
      <c r="F851" s="141" t="n"/>
      <c r="G851" s="143" t="n"/>
      <c r="H851" s="27" t="n"/>
    </row>
    <row r="852" ht="17.25" customHeight="1" s="322">
      <c r="A852" s="27" t="n"/>
      <c r="B852" s="506" t="n"/>
      <c r="C852" s="141" t="n"/>
      <c r="D852" s="141" t="n"/>
      <c r="E852" s="141" t="n"/>
      <c r="F852" s="141" t="n"/>
      <c r="G852" s="143" t="n"/>
      <c r="H852" s="27" t="n"/>
    </row>
    <row r="853" ht="17.25" customHeight="1" s="322">
      <c r="A853" s="27" t="n"/>
      <c r="B853" s="506" t="n"/>
      <c r="C853" s="141" t="n"/>
      <c r="D853" s="141" t="n"/>
      <c r="E853" s="141" t="n"/>
      <c r="F853" s="141" t="n"/>
      <c r="G853" s="143" t="n"/>
      <c r="H853" s="27" t="n"/>
    </row>
    <row r="854" ht="17.25" customHeight="1" s="322">
      <c r="A854" s="27" t="n"/>
      <c r="B854" s="506" t="n"/>
      <c r="C854" s="141" t="n"/>
      <c r="D854" s="141" t="n"/>
      <c r="E854" s="141" t="n"/>
      <c r="F854" s="141" t="n"/>
      <c r="G854" s="143" t="n"/>
      <c r="H854" s="27" t="n"/>
    </row>
    <row r="855" ht="17.25" customHeight="1" s="322">
      <c r="A855" s="27" t="n"/>
      <c r="B855" s="506" t="n"/>
      <c r="C855" s="141" t="n"/>
      <c r="D855" s="141" t="n"/>
      <c r="E855" s="141" t="n"/>
      <c r="F855" s="141" t="n"/>
      <c r="G855" s="143" t="n"/>
      <c r="H855" s="27" t="n"/>
    </row>
    <row r="856" ht="17.25" customHeight="1" s="322">
      <c r="A856" s="27" t="n"/>
      <c r="B856" s="506" t="n"/>
      <c r="C856" s="141" t="n"/>
      <c r="D856" s="141" t="n"/>
      <c r="E856" s="141" t="n"/>
      <c r="F856" s="141" t="n"/>
      <c r="G856" s="143" t="n"/>
      <c r="H856" s="27" t="n"/>
    </row>
    <row r="857" ht="17.25" customHeight="1" s="322">
      <c r="A857" s="27" t="n"/>
      <c r="B857" s="506" t="n"/>
      <c r="C857" s="141" t="n"/>
      <c r="D857" s="141" t="n"/>
      <c r="E857" s="141" t="n"/>
      <c r="F857" s="141" t="n"/>
      <c r="G857" s="143" t="n"/>
      <c r="H857" s="27" t="n"/>
    </row>
    <row r="858" ht="17.25" customHeight="1" s="322">
      <c r="A858" s="27" t="n"/>
      <c r="B858" s="506" t="n"/>
      <c r="C858" s="141" t="n"/>
      <c r="D858" s="141" t="n"/>
      <c r="E858" s="141" t="n"/>
      <c r="F858" s="141" t="n"/>
      <c r="G858" s="143" t="n"/>
      <c r="H858" s="27" t="n"/>
    </row>
    <row r="859" ht="17.25" customHeight="1" s="322">
      <c r="A859" s="27" t="n"/>
      <c r="B859" s="506" t="n"/>
      <c r="C859" s="141" t="n"/>
      <c r="D859" s="141" t="n"/>
      <c r="E859" s="141" t="n"/>
      <c r="F859" s="141" t="n"/>
      <c r="G859" s="143" t="n"/>
      <c r="H859" s="27" t="n"/>
    </row>
    <row r="860" ht="17.25" customHeight="1" s="322">
      <c r="A860" s="27" t="n"/>
      <c r="B860" s="506" t="n"/>
      <c r="C860" s="141" t="n"/>
      <c r="D860" s="141" t="n"/>
      <c r="E860" s="141" t="n"/>
      <c r="F860" s="141" t="n"/>
      <c r="G860" s="143" t="n"/>
      <c r="H860" s="27" t="n"/>
    </row>
    <row r="861" ht="17.25" customHeight="1" s="322">
      <c r="A861" s="27" t="n"/>
      <c r="B861" s="506" t="n"/>
      <c r="C861" s="141" t="n"/>
      <c r="D861" s="141" t="n"/>
      <c r="E861" s="141" t="n"/>
      <c r="F861" s="141" t="n"/>
      <c r="G861" s="143" t="n"/>
      <c r="H861" s="27" t="n"/>
    </row>
    <row r="862" ht="17.25" customHeight="1" s="322">
      <c r="A862" s="27" t="n"/>
      <c r="B862" s="506" t="n"/>
      <c r="C862" s="141" t="n"/>
      <c r="D862" s="141" t="n"/>
      <c r="E862" s="141" t="n"/>
      <c r="F862" s="141" t="n"/>
      <c r="G862" s="143" t="n"/>
      <c r="H862" s="27" t="n"/>
    </row>
    <row r="863" ht="17.25" customHeight="1" s="322">
      <c r="A863" s="27" t="n"/>
      <c r="B863" s="506" t="n"/>
      <c r="C863" s="141" t="n"/>
      <c r="D863" s="141" t="n"/>
      <c r="E863" s="141" t="n"/>
      <c r="F863" s="141" t="n"/>
      <c r="G863" s="143" t="n"/>
      <c r="H863" s="27" t="n"/>
    </row>
    <row r="864" ht="17.25" customHeight="1" s="322">
      <c r="A864" s="27" t="n"/>
      <c r="B864" s="506" t="n"/>
      <c r="C864" s="141" t="n"/>
      <c r="D864" s="141" t="n"/>
      <c r="E864" s="141" t="n"/>
      <c r="F864" s="141" t="n"/>
      <c r="G864" s="143" t="n"/>
      <c r="H864" s="27" t="n"/>
    </row>
    <row r="865" ht="17.25" customHeight="1" s="322">
      <c r="A865" s="27" t="n"/>
      <c r="B865" s="506" t="n"/>
      <c r="C865" s="141" t="n"/>
      <c r="D865" s="141" t="n"/>
      <c r="E865" s="141" t="n"/>
      <c r="F865" s="141" t="n"/>
      <c r="G865" s="143" t="n"/>
      <c r="H865" s="27" t="n"/>
    </row>
    <row r="866" ht="17.25" customHeight="1" s="322">
      <c r="A866" s="27" t="n"/>
      <c r="B866" s="506" t="n"/>
      <c r="C866" s="141" t="n"/>
      <c r="D866" s="141" t="n"/>
      <c r="E866" s="141" t="n"/>
      <c r="F866" s="141" t="n"/>
      <c r="G866" s="143" t="n"/>
      <c r="H866" s="27" t="n"/>
    </row>
    <row r="867" ht="17.25" customHeight="1" s="322">
      <c r="A867" s="27" t="n"/>
      <c r="B867" s="506" t="n"/>
      <c r="C867" s="141" t="n"/>
      <c r="D867" s="141" t="n"/>
      <c r="E867" s="141" t="n"/>
      <c r="F867" s="141" t="n"/>
      <c r="G867" s="143" t="n"/>
      <c r="H867" s="27" t="n"/>
    </row>
    <row r="868" ht="17.25" customHeight="1" s="322">
      <c r="A868" s="27" t="n"/>
      <c r="B868" s="506" t="n"/>
      <c r="C868" s="141" t="n"/>
      <c r="D868" s="141" t="n"/>
      <c r="E868" s="141" t="n"/>
      <c r="F868" s="141" t="n"/>
      <c r="G868" s="143" t="n"/>
      <c r="H868" s="27" t="n"/>
    </row>
    <row r="869" ht="17.25" customHeight="1" s="322">
      <c r="A869" s="27" t="n"/>
      <c r="B869" s="506" t="n"/>
      <c r="C869" s="141" t="n"/>
      <c r="D869" s="141" t="n"/>
      <c r="E869" s="141" t="n"/>
      <c r="F869" s="141" t="n"/>
      <c r="G869" s="143" t="n"/>
      <c r="H869" s="27" t="n"/>
    </row>
    <row r="870" ht="17.25" customHeight="1" s="322">
      <c r="A870" s="27" t="n"/>
      <c r="B870" s="506" t="n"/>
      <c r="C870" s="141" t="n"/>
      <c r="D870" s="141" t="n"/>
      <c r="E870" s="141" t="n"/>
      <c r="F870" s="141" t="n"/>
      <c r="G870" s="143" t="n"/>
      <c r="H870" s="27" t="n"/>
    </row>
    <row r="871" ht="17.25" customHeight="1" s="322">
      <c r="A871" s="27" t="n"/>
      <c r="B871" s="506" t="n"/>
      <c r="C871" s="141" t="n"/>
      <c r="D871" s="141" t="n"/>
      <c r="E871" s="141" t="n"/>
      <c r="F871" s="141" t="n"/>
      <c r="G871" s="143" t="n"/>
      <c r="H871" s="27" t="n"/>
    </row>
    <row r="872" ht="17.25" customHeight="1" s="322">
      <c r="A872" s="27" t="n"/>
      <c r="B872" s="506" t="n"/>
      <c r="C872" s="141" t="n"/>
      <c r="D872" s="141" t="n"/>
      <c r="E872" s="141" t="n"/>
      <c r="F872" s="141" t="n"/>
      <c r="G872" s="143" t="n"/>
      <c r="H872" s="27" t="n"/>
    </row>
    <row r="873" ht="17.25" customHeight="1" s="322">
      <c r="A873" s="27" t="n"/>
      <c r="B873" s="506" t="n"/>
      <c r="C873" s="141" t="n"/>
      <c r="D873" s="141" t="n"/>
      <c r="E873" s="141" t="n"/>
      <c r="F873" s="141" t="n"/>
      <c r="G873" s="143" t="n"/>
      <c r="H873" s="27" t="n"/>
    </row>
    <row r="874" ht="17.25" customHeight="1" s="322">
      <c r="A874" s="27" t="n"/>
      <c r="B874" s="506" t="n"/>
      <c r="C874" s="141" t="n"/>
      <c r="D874" s="141" t="n"/>
      <c r="E874" s="141" t="n"/>
      <c r="F874" s="141" t="n"/>
      <c r="G874" s="143" t="n"/>
      <c r="H874" s="27" t="n"/>
    </row>
    <row r="875" ht="17.25" customHeight="1" s="322">
      <c r="A875" s="27" t="n"/>
      <c r="B875" s="506" t="n"/>
      <c r="C875" s="141" t="n"/>
      <c r="D875" s="141" t="n"/>
      <c r="E875" s="141" t="n"/>
      <c r="F875" s="141" t="n"/>
      <c r="G875" s="143" t="n"/>
      <c r="H875" s="27" t="n"/>
    </row>
    <row r="876" ht="17.25" customHeight="1" s="322">
      <c r="A876" s="27" t="n"/>
      <c r="B876" s="506" t="n"/>
      <c r="C876" s="141" t="n"/>
      <c r="D876" s="141" t="n"/>
      <c r="E876" s="141" t="n"/>
      <c r="F876" s="141" t="n"/>
      <c r="G876" s="143" t="n"/>
      <c r="H876" s="27" t="n"/>
    </row>
    <row r="877" ht="17.25" customHeight="1" s="322">
      <c r="A877" s="27" t="n"/>
      <c r="B877" s="506" t="n"/>
      <c r="C877" s="141" t="n"/>
      <c r="D877" s="141" t="n"/>
      <c r="E877" s="141" t="n"/>
      <c r="F877" s="141" t="n"/>
      <c r="G877" s="143" t="n"/>
      <c r="H877" s="27" t="n"/>
    </row>
    <row r="878" ht="17.25" customHeight="1" s="322">
      <c r="A878" s="27" t="n"/>
      <c r="B878" s="506" t="n"/>
      <c r="C878" s="141" t="n"/>
      <c r="D878" s="141" t="n"/>
      <c r="E878" s="141" t="n"/>
      <c r="F878" s="141" t="n"/>
      <c r="G878" s="143" t="n"/>
      <c r="H878" s="27" t="n"/>
    </row>
    <row r="879" ht="17.25" customHeight="1" s="322">
      <c r="A879" s="27" t="n"/>
      <c r="B879" s="506" t="n"/>
      <c r="C879" s="141" t="n"/>
      <c r="D879" s="141" t="n"/>
      <c r="E879" s="141" t="n"/>
      <c r="F879" s="141" t="n"/>
      <c r="G879" s="143" t="n"/>
      <c r="H879" s="27" t="n"/>
    </row>
    <row r="880" ht="17.25" customHeight="1" s="322">
      <c r="A880" s="27" t="n"/>
      <c r="B880" s="506" t="n"/>
      <c r="C880" s="141" t="n"/>
      <c r="D880" s="141" t="n"/>
      <c r="E880" s="141" t="n"/>
      <c r="F880" s="141" t="n"/>
      <c r="G880" s="143" t="n"/>
      <c r="H880" s="27" t="n"/>
    </row>
    <row r="881" ht="17.25" customHeight="1" s="322">
      <c r="A881" s="27" t="n"/>
      <c r="B881" s="506" t="n"/>
      <c r="C881" s="141" t="n"/>
      <c r="D881" s="141" t="n"/>
      <c r="E881" s="141" t="n"/>
      <c r="F881" s="141" t="n"/>
      <c r="G881" s="143" t="n"/>
      <c r="H881" s="27" t="n"/>
    </row>
    <row r="882" ht="17.25" customHeight="1" s="322">
      <c r="A882" s="27" t="n"/>
      <c r="B882" s="506" t="n"/>
      <c r="C882" s="141" t="n"/>
      <c r="D882" s="141" t="n"/>
      <c r="E882" s="141" t="n"/>
      <c r="F882" s="141" t="n"/>
      <c r="G882" s="143" t="n"/>
      <c r="H882" s="27" t="n"/>
    </row>
    <row r="883" ht="17.25" customHeight="1" s="322">
      <c r="A883" s="27" t="n"/>
      <c r="B883" s="506" t="n"/>
      <c r="C883" s="141" t="n"/>
      <c r="D883" s="141" t="n"/>
      <c r="E883" s="141" t="n"/>
      <c r="F883" s="141" t="n"/>
      <c r="G883" s="143" t="n"/>
      <c r="H883" s="27" t="n"/>
    </row>
    <row r="884" ht="17.25" customHeight="1" s="322">
      <c r="A884" s="27" t="n"/>
      <c r="B884" s="506" t="n"/>
      <c r="C884" s="141" t="n"/>
      <c r="D884" s="141" t="n"/>
      <c r="E884" s="141" t="n"/>
      <c r="F884" s="141" t="n"/>
      <c r="G884" s="143" t="n"/>
      <c r="H884" s="27" t="n"/>
    </row>
    <row r="885" ht="17.25" customHeight="1" s="322">
      <c r="A885" s="27" t="n"/>
      <c r="B885" s="506" t="n"/>
      <c r="C885" s="141" t="n"/>
      <c r="D885" s="141" t="n"/>
      <c r="E885" s="141" t="n"/>
      <c r="F885" s="141" t="n"/>
      <c r="G885" s="143" t="n"/>
      <c r="H885" s="27" t="n"/>
    </row>
    <row r="886" ht="17.25" customHeight="1" s="322">
      <c r="A886" s="27" t="n"/>
      <c r="B886" s="506" t="n"/>
      <c r="C886" s="141" t="n"/>
      <c r="D886" s="141" t="n"/>
      <c r="E886" s="141" t="n"/>
      <c r="F886" s="141" t="n"/>
      <c r="G886" s="143" t="n"/>
      <c r="H886" s="27" t="n"/>
    </row>
    <row r="887" ht="17.25" customHeight="1" s="322">
      <c r="A887" s="27" t="n"/>
      <c r="B887" s="506" t="n"/>
      <c r="C887" s="141" t="n"/>
      <c r="D887" s="141" t="n"/>
      <c r="E887" s="141" t="n"/>
      <c r="F887" s="141" t="n"/>
      <c r="G887" s="143" t="n"/>
      <c r="H887" s="27" t="n"/>
    </row>
    <row r="888" ht="17.25" customHeight="1" s="322">
      <c r="A888" s="27" t="n"/>
      <c r="B888" s="506" t="n"/>
      <c r="C888" s="141" t="n"/>
      <c r="D888" s="141" t="n"/>
      <c r="E888" s="141" t="n"/>
      <c r="F888" s="141" t="n"/>
      <c r="G888" s="143" t="n"/>
      <c r="H888" s="27" t="n"/>
    </row>
    <row r="889" ht="17.25" customHeight="1" s="322">
      <c r="A889" s="27" t="n"/>
      <c r="B889" s="506" t="n"/>
      <c r="C889" s="141" t="n"/>
      <c r="D889" s="141" t="n"/>
      <c r="E889" s="141" t="n"/>
      <c r="F889" s="141" t="n"/>
      <c r="G889" s="143" t="n"/>
      <c r="H889" s="27" t="n"/>
    </row>
    <row r="890" ht="17.25" customHeight="1" s="322">
      <c r="A890" s="27" t="n"/>
      <c r="B890" s="506" t="n"/>
      <c r="C890" s="141" t="n"/>
      <c r="D890" s="141" t="n"/>
      <c r="E890" s="141" t="n"/>
      <c r="F890" s="141" t="n"/>
      <c r="G890" s="143" t="n"/>
      <c r="H890" s="27" t="n"/>
    </row>
    <row r="891" ht="17.25" customHeight="1" s="322">
      <c r="A891" s="27" t="n"/>
      <c r="B891" s="506" t="n"/>
      <c r="C891" s="141" t="n"/>
      <c r="D891" s="141" t="n"/>
      <c r="E891" s="141" t="n"/>
      <c r="F891" s="141" t="n"/>
      <c r="G891" s="143" t="n"/>
      <c r="H891" s="27" t="n"/>
    </row>
    <row r="892" ht="17.25" customHeight="1" s="322">
      <c r="A892" s="27" t="n"/>
      <c r="B892" s="506" t="n"/>
      <c r="C892" s="141" t="n"/>
      <c r="D892" s="141" t="n"/>
      <c r="E892" s="141" t="n"/>
      <c r="F892" s="141" t="n"/>
      <c r="G892" s="143" t="n"/>
      <c r="H892" s="27" t="n"/>
    </row>
    <row r="893" ht="17.25" customHeight="1" s="322">
      <c r="A893" s="27" t="n"/>
      <c r="B893" s="506" t="n"/>
      <c r="C893" s="141" t="n"/>
      <c r="D893" s="141" t="n"/>
      <c r="E893" s="141" t="n"/>
      <c r="F893" s="141" t="n"/>
      <c r="G893" s="143" t="n"/>
      <c r="H893" s="27" t="n"/>
    </row>
    <row r="894" ht="17.25" customHeight="1" s="322">
      <c r="A894" s="27" t="n"/>
      <c r="B894" s="506" t="n"/>
      <c r="C894" s="141" t="n"/>
      <c r="D894" s="141" t="n"/>
      <c r="E894" s="141" t="n"/>
      <c r="F894" s="141" t="n"/>
      <c r="G894" s="143" t="n"/>
      <c r="H894" s="27" t="n"/>
    </row>
    <row r="895" ht="17.25" customHeight="1" s="322">
      <c r="A895" s="27" t="n"/>
      <c r="B895" s="506" t="n"/>
      <c r="C895" s="141" t="n"/>
      <c r="D895" s="141" t="n"/>
      <c r="E895" s="141" t="n"/>
      <c r="F895" s="141" t="n"/>
      <c r="G895" s="143" t="n"/>
      <c r="H895" s="27" t="n"/>
    </row>
    <row r="896" ht="17.25" customHeight="1" s="322">
      <c r="A896" s="27" t="n"/>
      <c r="B896" s="506" t="n"/>
      <c r="C896" s="141" t="n"/>
      <c r="D896" s="141" t="n"/>
      <c r="E896" s="141" t="n"/>
      <c r="F896" s="141" t="n"/>
      <c r="G896" s="143" t="n"/>
      <c r="H896" s="27" t="n"/>
    </row>
    <row r="897" ht="17.25" customHeight="1" s="322">
      <c r="A897" s="27" t="n"/>
      <c r="B897" s="506" t="n"/>
      <c r="C897" s="141" t="n"/>
      <c r="D897" s="141" t="n"/>
      <c r="E897" s="141" t="n"/>
      <c r="F897" s="141" t="n"/>
      <c r="G897" s="143" t="n"/>
      <c r="H897" s="27" t="n"/>
    </row>
    <row r="898" ht="17.25" customHeight="1" s="322">
      <c r="A898" s="27" t="n"/>
      <c r="B898" s="506" t="n"/>
      <c r="C898" s="141" t="n"/>
      <c r="D898" s="141" t="n"/>
      <c r="E898" s="141" t="n"/>
      <c r="F898" s="141" t="n"/>
      <c r="G898" s="143" t="n"/>
      <c r="H898" s="27" t="n"/>
    </row>
    <row r="899" ht="17.25" customHeight="1" s="322">
      <c r="A899" s="27" t="n"/>
      <c r="B899" s="506" t="n"/>
      <c r="C899" s="141" t="n"/>
      <c r="D899" s="141" t="n"/>
      <c r="E899" s="141" t="n"/>
      <c r="F899" s="141" t="n"/>
      <c r="G899" s="143" t="n"/>
      <c r="H899" s="27" t="n"/>
    </row>
    <row r="900" ht="17.25" customHeight="1" s="322">
      <c r="A900" s="27" t="n"/>
      <c r="B900" s="506" t="n"/>
      <c r="C900" s="141" t="n"/>
      <c r="D900" s="141" t="n"/>
      <c r="E900" s="141" t="n"/>
      <c r="F900" s="141" t="n"/>
      <c r="G900" s="143" t="n"/>
      <c r="H900" s="27" t="n"/>
    </row>
    <row r="901" ht="17.25" customHeight="1" s="322">
      <c r="A901" s="27" t="n"/>
      <c r="B901" s="506" t="n"/>
      <c r="C901" s="141" t="n"/>
      <c r="D901" s="141" t="n"/>
      <c r="E901" s="141" t="n"/>
      <c r="F901" s="141" t="n"/>
      <c r="G901" s="143" t="n"/>
      <c r="H901" s="27" t="n"/>
    </row>
    <row r="902" ht="17.25" customHeight="1" s="322">
      <c r="A902" s="27" t="n"/>
      <c r="B902" s="506" t="n"/>
      <c r="C902" s="141" t="n"/>
      <c r="D902" s="141" t="n"/>
      <c r="E902" s="141" t="n"/>
      <c r="F902" s="141" t="n"/>
      <c r="G902" s="143" t="n"/>
      <c r="H902" s="27" t="n"/>
    </row>
    <row r="903" ht="17.25" customHeight="1" s="322">
      <c r="A903" s="27" t="n"/>
      <c r="B903" s="506" t="n"/>
      <c r="C903" s="141" t="n"/>
      <c r="D903" s="141" t="n"/>
      <c r="E903" s="141" t="n"/>
      <c r="F903" s="141" t="n"/>
      <c r="G903" s="143" t="n"/>
      <c r="H903" s="27" t="n"/>
    </row>
    <row r="904" ht="17.25" customHeight="1" s="322">
      <c r="A904" s="27" t="n"/>
      <c r="B904" s="506" t="n"/>
      <c r="C904" s="141" t="n"/>
      <c r="D904" s="141" t="n"/>
      <c r="E904" s="141" t="n"/>
      <c r="F904" s="141" t="n"/>
      <c r="G904" s="143" t="n"/>
      <c r="H904" s="27" t="n"/>
    </row>
    <row r="905" ht="17.25" customHeight="1" s="322">
      <c r="A905" s="27" t="n"/>
      <c r="B905" s="506" t="n"/>
      <c r="C905" s="141" t="n"/>
      <c r="D905" s="141" t="n"/>
      <c r="E905" s="141" t="n"/>
      <c r="F905" s="141" t="n"/>
      <c r="G905" s="143" t="n"/>
      <c r="H905" s="27" t="n"/>
    </row>
    <row r="906" ht="17.25" customHeight="1" s="322">
      <c r="A906" s="27" t="n"/>
      <c r="B906" s="506" t="n"/>
      <c r="C906" s="141" t="n"/>
      <c r="D906" s="141" t="n"/>
      <c r="E906" s="141" t="n"/>
      <c r="F906" s="141" t="n"/>
      <c r="G906" s="143" t="n"/>
      <c r="H906" s="27" t="n"/>
    </row>
    <row r="907" ht="17.25" customHeight="1" s="322">
      <c r="A907" s="27" t="n"/>
      <c r="B907" s="506" t="n"/>
      <c r="C907" s="141" t="n"/>
      <c r="D907" s="141" t="n"/>
      <c r="E907" s="141" t="n"/>
      <c r="F907" s="141" t="n"/>
      <c r="G907" s="143" t="n"/>
      <c r="H907" s="27" t="n"/>
    </row>
    <row r="908" ht="17.25" customHeight="1" s="322">
      <c r="A908" s="27" t="n"/>
      <c r="B908" s="506" t="n"/>
      <c r="C908" s="141" t="n"/>
      <c r="D908" s="141" t="n"/>
      <c r="E908" s="141" t="n"/>
      <c r="F908" s="141" t="n"/>
      <c r="G908" s="143" t="n"/>
      <c r="H908" s="27" t="n"/>
    </row>
    <row r="909" ht="17.25" customHeight="1" s="322">
      <c r="A909" s="27" t="n"/>
      <c r="B909" s="506" t="n"/>
      <c r="C909" s="141" t="n"/>
      <c r="D909" s="141" t="n"/>
      <c r="E909" s="141" t="n"/>
      <c r="F909" s="141" t="n"/>
      <c r="G909" s="143" t="n"/>
      <c r="H909" s="27" t="n"/>
    </row>
    <row r="910" ht="17.25" customHeight="1" s="322">
      <c r="A910" s="27" t="n"/>
      <c r="B910" s="506" t="n"/>
      <c r="C910" s="141" t="n"/>
      <c r="D910" s="141" t="n"/>
      <c r="E910" s="141" t="n"/>
      <c r="F910" s="141" t="n"/>
      <c r="G910" s="143" t="n"/>
      <c r="H910" s="27" t="n"/>
    </row>
    <row r="911" ht="17.25" customHeight="1" s="322">
      <c r="A911" s="27" t="n"/>
      <c r="B911" s="506" t="n"/>
      <c r="C911" s="141" t="n"/>
      <c r="D911" s="141" t="n"/>
      <c r="E911" s="141" t="n"/>
      <c r="F911" s="141" t="n"/>
      <c r="G911" s="143" t="n"/>
      <c r="H911" s="27" t="n"/>
    </row>
    <row r="912" ht="17.25" customHeight="1" s="322">
      <c r="A912" s="27" t="n"/>
      <c r="B912" s="506" t="n"/>
      <c r="C912" s="141" t="n"/>
      <c r="D912" s="141" t="n"/>
      <c r="E912" s="141" t="n"/>
      <c r="F912" s="141" t="n"/>
      <c r="G912" s="143" t="n"/>
      <c r="H912" s="27" t="n"/>
    </row>
    <row r="913" ht="17.25" customHeight="1" s="322">
      <c r="A913" s="27" t="n"/>
      <c r="B913" s="506" t="n"/>
      <c r="C913" s="141" t="n"/>
      <c r="D913" s="141" t="n"/>
      <c r="E913" s="141" t="n"/>
      <c r="F913" s="141" t="n"/>
      <c r="G913" s="143" t="n"/>
      <c r="H913" s="27" t="n"/>
    </row>
    <row r="914" ht="17.25" customHeight="1" s="322">
      <c r="A914" s="27" t="n"/>
      <c r="B914" s="506" t="n"/>
      <c r="C914" s="141" t="n"/>
      <c r="D914" s="141" t="n"/>
      <c r="E914" s="141" t="n"/>
      <c r="F914" s="141" t="n"/>
      <c r="G914" s="143" t="n"/>
      <c r="H914" s="27" t="n"/>
    </row>
    <row r="915" ht="17.25" customHeight="1" s="322">
      <c r="A915" s="27" t="n"/>
      <c r="B915" s="506" t="n"/>
      <c r="C915" s="141" t="n"/>
      <c r="D915" s="141" t="n"/>
      <c r="E915" s="141" t="n"/>
      <c r="F915" s="141" t="n"/>
      <c r="G915" s="143" t="n"/>
      <c r="H915" s="27" t="n"/>
    </row>
    <row r="916" ht="17.25" customHeight="1" s="322">
      <c r="A916" s="27" t="n"/>
      <c r="B916" s="506" t="n"/>
      <c r="C916" s="141" t="n"/>
      <c r="D916" s="141" t="n"/>
      <c r="E916" s="141" t="n"/>
      <c r="F916" s="141" t="n"/>
      <c r="G916" s="143" t="n"/>
      <c r="H916" s="27" t="n"/>
    </row>
    <row r="917" ht="17.25" customHeight="1" s="322">
      <c r="A917" s="27" t="n"/>
      <c r="B917" s="506" t="n"/>
      <c r="C917" s="141" t="n"/>
      <c r="D917" s="141" t="n"/>
      <c r="E917" s="141" t="n"/>
      <c r="F917" s="141" t="n"/>
      <c r="G917" s="143" t="n"/>
      <c r="H917" s="27" t="n"/>
    </row>
    <row r="918" ht="17.25" customHeight="1" s="322">
      <c r="A918" s="27" t="n"/>
      <c r="B918" s="506" t="n"/>
      <c r="C918" s="141" t="n"/>
      <c r="D918" s="141" t="n"/>
      <c r="E918" s="141" t="n"/>
      <c r="F918" s="141" t="n"/>
      <c r="G918" s="143" t="n"/>
      <c r="H918" s="27" t="n"/>
    </row>
    <row r="919" ht="17.25" customHeight="1" s="322">
      <c r="A919" s="27" t="n"/>
      <c r="B919" s="506" t="n"/>
      <c r="C919" s="141" t="n"/>
      <c r="D919" s="141" t="n"/>
      <c r="E919" s="141" t="n"/>
      <c r="F919" s="141" t="n"/>
      <c r="G919" s="143" t="n"/>
      <c r="H919" s="27" t="n"/>
    </row>
    <row r="920" ht="17.25" customHeight="1" s="322">
      <c r="A920" s="27" t="n"/>
      <c r="B920" s="506" t="n"/>
      <c r="C920" s="141" t="n"/>
      <c r="D920" s="141" t="n"/>
      <c r="E920" s="141" t="n"/>
      <c r="F920" s="141" t="n"/>
      <c r="G920" s="143" t="n"/>
      <c r="H920" s="27" t="n"/>
    </row>
    <row r="921" ht="17.25" customHeight="1" s="322">
      <c r="A921" s="27" t="n"/>
      <c r="B921" s="506" t="n"/>
      <c r="C921" s="141" t="n"/>
      <c r="D921" s="141" t="n"/>
      <c r="E921" s="141" t="n"/>
      <c r="F921" s="141" t="n"/>
      <c r="G921" s="143" t="n"/>
      <c r="H921" s="27" t="n"/>
    </row>
    <row r="922" ht="17.25" customHeight="1" s="322">
      <c r="A922" s="27" t="n"/>
      <c r="B922" s="506" t="n"/>
      <c r="C922" s="141" t="n"/>
      <c r="D922" s="141" t="n"/>
      <c r="E922" s="141" t="n"/>
      <c r="F922" s="141" t="n"/>
      <c r="G922" s="143" t="n"/>
      <c r="H922" s="27" t="n"/>
    </row>
    <row r="923" ht="17.25" customHeight="1" s="322">
      <c r="A923" s="27" t="n"/>
      <c r="B923" s="506" t="n"/>
      <c r="C923" s="141" t="n"/>
      <c r="D923" s="141" t="n"/>
      <c r="E923" s="141" t="n"/>
      <c r="F923" s="141" t="n"/>
      <c r="G923" s="143" t="n"/>
      <c r="H923" s="27" t="n"/>
    </row>
    <row r="924" ht="17.25" customHeight="1" s="322">
      <c r="A924" s="27" t="n"/>
      <c r="B924" s="506" t="n"/>
      <c r="C924" s="141" t="n"/>
      <c r="D924" s="141" t="n"/>
      <c r="E924" s="141" t="n"/>
      <c r="F924" s="141" t="n"/>
      <c r="G924" s="143" t="n"/>
      <c r="H924" s="27" t="n"/>
    </row>
    <row r="925" ht="17.25" customHeight="1" s="322">
      <c r="A925" s="27" t="n"/>
      <c r="B925" s="506" t="n"/>
      <c r="C925" s="141" t="n"/>
      <c r="D925" s="141" t="n"/>
      <c r="E925" s="141" t="n"/>
      <c r="F925" s="141" t="n"/>
      <c r="G925" s="143" t="n"/>
      <c r="H925" s="27" t="n"/>
    </row>
    <row r="926" ht="17.25" customHeight="1" s="322">
      <c r="A926" s="27" t="n"/>
      <c r="B926" s="506" t="n"/>
      <c r="C926" s="141" t="n"/>
      <c r="D926" s="141" t="n"/>
      <c r="E926" s="141" t="n"/>
      <c r="F926" s="141" t="n"/>
      <c r="G926" s="143" t="n"/>
      <c r="H926" s="27" t="n"/>
    </row>
    <row r="927" ht="17.25" customHeight="1" s="322">
      <c r="A927" s="27" t="n"/>
      <c r="B927" s="506" t="n"/>
      <c r="C927" s="141" t="n"/>
      <c r="D927" s="141" t="n"/>
      <c r="E927" s="141" t="n"/>
      <c r="F927" s="141" t="n"/>
      <c r="G927" s="143" t="n"/>
      <c r="H927" s="27" t="n"/>
    </row>
    <row r="928" ht="17.25" customHeight="1" s="322">
      <c r="A928" s="27" t="n"/>
      <c r="B928" s="506" t="n"/>
      <c r="C928" s="141" t="n"/>
      <c r="D928" s="141" t="n"/>
      <c r="E928" s="141" t="n"/>
      <c r="F928" s="141" t="n"/>
      <c r="G928" s="143" t="n"/>
      <c r="H928" s="27" t="n"/>
    </row>
    <row r="929" ht="17.25" customHeight="1" s="322">
      <c r="A929" s="27" t="n"/>
      <c r="B929" s="506" t="n"/>
      <c r="C929" s="141" t="n"/>
      <c r="D929" s="141" t="n"/>
      <c r="E929" s="141" t="n"/>
      <c r="F929" s="141" t="n"/>
      <c r="G929" s="143" t="n"/>
      <c r="H929" s="27" t="n"/>
    </row>
    <row r="930" ht="17.25" customHeight="1" s="322">
      <c r="A930" s="27" t="n"/>
      <c r="B930" s="506" t="n"/>
      <c r="C930" s="141" t="n"/>
      <c r="D930" s="141" t="n"/>
      <c r="E930" s="141" t="n"/>
      <c r="F930" s="141" t="n"/>
      <c r="G930" s="143" t="n"/>
      <c r="H930" s="27" t="n"/>
    </row>
    <row r="931" ht="17.25" customHeight="1" s="322">
      <c r="A931" s="27" t="n"/>
      <c r="B931" s="506" t="n"/>
      <c r="C931" s="141" t="n"/>
      <c r="D931" s="141" t="n"/>
      <c r="E931" s="141" t="n"/>
      <c r="F931" s="141" t="n"/>
      <c r="G931" s="143" t="n"/>
      <c r="H931" s="27" t="n"/>
    </row>
    <row r="932" ht="17.25" customHeight="1" s="322">
      <c r="A932" s="27" t="n"/>
      <c r="B932" s="506" t="n"/>
      <c r="C932" s="141" t="n"/>
      <c r="D932" s="141" t="n"/>
      <c r="E932" s="141" t="n"/>
      <c r="F932" s="141" t="n"/>
      <c r="G932" s="143" t="n"/>
      <c r="H932" s="27" t="n"/>
    </row>
    <row r="933" ht="17.25" customHeight="1" s="322">
      <c r="A933" s="27" t="n"/>
      <c r="B933" s="506" t="n"/>
      <c r="C933" s="141" t="n"/>
      <c r="D933" s="141" t="n"/>
      <c r="E933" s="141" t="n"/>
      <c r="F933" s="141" t="n"/>
      <c r="G933" s="143" t="n"/>
      <c r="H933" s="27" t="n"/>
    </row>
    <row r="934" ht="17.25" customHeight="1" s="322">
      <c r="A934" s="27" t="n"/>
      <c r="B934" s="506" t="n"/>
      <c r="C934" s="141" t="n"/>
      <c r="D934" s="141" t="n"/>
      <c r="E934" s="141" t="n"/>
      <c r="F934" s="141" t="n"/>
      <c r="G934" s="143" t="n"/>
      <c r="H934" s="27" t="n"/>
    </row>
    <row r="935" ht="17.25" customHeight="1" s="322">
      <c r="A935" s="27" t="n"/>
      <c r="B935" s="506" t="n"/>
      <c r="C935" s="141" t="n"/>
      <c r="D935" s="141" t="n"/>
      <c r="E935" s="141" t="n"/>
      <c r="F935" s="141" t="n"/>
      <c r="G935" s="143" t="n"/>
      <c r="H935" s="27" t="n"/>
    </row>
    <row r="936" ht="17.25" customHeight="1" s="322">
      <c r="A936" s="27" t="n"/>
      <c r="B936" s="506" t="n"/>
      <c r="C936" s="141" t="n"/>
      <c r="D936" s="141" t="n"/>
      <c r="E936" s="141" t="n"/>
      <c r="F936" s="141" t="n"/>
      <c r="G936" s="143" t="n"/>
      <c r="H936" s="27" t="n"/>
    </row>
    <row r="937" ht="17.25" customHeight="1" s="322">
      <c r="A937" s="27" t="n"/>
      <c r="B937" s="506" t="n"/>
      <c r="C937" s="141" t="n"/>
      <c r="D937" s="141" t="n"/>
      <c r="E937" s="141" t="n"/>
      <c r="F937" s="141" t="n"/>
      <c r="G937" s="143" t="n"/>
      <c r="H937" s="27" t="n"/>
    </row>
    <row r="938" ht="17.25" customHeight="1" s="322">
      <c r="A938" s="27" t="n"/>
      <c r="B938" s="506" t="n"/>
      <c r="C938" s="141" t="n"/>
      <c r="D938" s="141" t="n"/>
      <c r="E938" s="141" t="n"/>
      <c r="F938" s="141" t="n"/>
      <c r="G938" s="143" t="n"/>
      <c r="H938" s="27" t="n"/>
    </row>
    <row r="939" ht="17.25" customHeight="1" s="322">
      <c r="A939" s="27" t="n"/>
      <c r="B939" s="506" t="n"/>
      <c r="C939" s="141" t="n"/>
      <c r="D939" s="141" t="n"/>
      <c r="E939" s="141" t="n"/>
      <c r="F939" s="141" t="n"/>
      <c r="G939" s="143" t="n"/>
      <c r="H939" s="27" t="n"/>
    </row>
    <row r="940" ht="17.25" customHeight="1" s="322">
      <c r="A940" s="27" t="n"/>
      <c r="B940" s="506" t="n"/>
      <c r="C940" s="141" t="n"/>
      <c r="D940" s="141" t="n"/>
      <c r="E940" s="141" t="n"/>
      <c r="F940" s="141" t="n"/>
      <c r="G940" s="143" t="n"/>
      <c r="H940" s="27" t="n"/>
    </row>
    <row r="941" ht="17.25" customHeight="1" s="322">
      <c r="A941" s="27" t="n"/>
      <c r="B941" s="506" t="n"/>
      <c r="C941" s="141" t="n"/>
      <c r="D941" s="141" t="n"/>
      <c r="E941" s="141" t="n"/>
      <c r="F941" s="141" t="n"/>
      <c r="G941" s="143" t="n"/>
      <c r="H941" s="27" t="n"/>
    </row>
    <row r="942" ht="17.25" customHeight="1" s="322">
      <c r="A942" s="27" t="n"/>
      <c r="B942" s="506" t="n"/>
      <c r="C942" s="141" t="n"/>
      <c r="D942" s="141" t="n"/>
      <c r="E942" s="141" t="n"/>
      <c r="F942" s="141" t="n"/>
      <c r="G942" s="143" t="n"/>
      <c r="H942" s="27" t="n"/>
    </row>
    <row r="943" ht="17.25" customHeight="1" s="322">
      <c r="A943" s="27" t="n"/>
      <c r="B943" s="506" t="n"/>
      <c r="C943" s="141" t="n"/>
      <c r="D943" s="141" t="n"/>
      <c r="E943" s="141" t="n"/>
      <c r="F943" s="141" t="n"/>
      <c r="G943" s="143" t="n"/>
      <c r="H943" s="27" t="n"/>
    </row>
    <row r="944" ht="17.25" customHeight="1" s="322">
      <c r="A944" s="27" t="n"/>
      <c r="B944" s="506" t="n"/>
      <c r="C944" s="141" t="n"/>
      <c r="D944" s="141" t="n"/>
      <c r="E944" s="141" t="n"/>
      <c r="F944" s="141" t="n"/>
      <c r="G944" s="143" t="n"/>
      <c r="H944" s="27" t="n"/>
    </row>
    <row r="945" ht="17.25" customHeight="1" s="322">
      <c r="A945" s="27" t="n"/>
      <c r="B945" s="506" t="n"/>
      <c r="C945" s="141" t="n"/>
      <c r="D945" s="141" t="n"/>
      <c r="E945" s="141" t="n"/>
      <c r="F945" s="141" t="n"/>
      <c r="G945" s="143" t="n"/>
      <c r="H945" s="27" t="n"/>
    </row>
    <row r="946" ht="17.25" customHeight="1" s="322">
      <c r="A946" s="27" t="n"/>
      <c r="B946" s="506" t="n"/>
      <c r="C946" s="141" t="n"/>
      <c r="D946" s="141" t="n"/>
      <c r="E946" s="141" t="n"/>
      <c r="F946" s="141" t="n"/>
      <c r="G946" s="143" t="n"/>
      <c r="H946" s="27" t="n"/>
    </row>
    <row r="947" ht="17.25" customHeight="1" s="322">
      <c r="A947" s="27" t="n"/>
      <c r="B947" s="506" t="n"/>
      <c r="C947" s="141" t="n"/>
      <c r="D947" s="141" t="n"/>
      <c r="E947" s="141" t="n"/>
      <c r="F947" s="141" t="n"/>
      <c r="G947" s="143" t="n"/>
      <c r="H947" s="27" t="n"/>
    </row>
    <row r="948" ht="17.25" customHeight="1" s="322">
      <c r="A948" s="27" t="n"/>
      <c r="B948" s="506" t="n"/>
      <c r="C948" s="141" t="n"/>
      <c r="D948" s="141" t="n"/>
      <c r="E948" s="141" t="n"/>
      <c r="F948" s="141" t="n"/>
      <c r="G948" s="143" t="n"/>
      <c r="H948" s="27" t="n"/>
    </row>
    <row r="949" ht="17.25" customHeight="1" s="322">
      <c r="A949" s="27" t="n"/>
      <c r="B949" s="506" t="n"/>
      <c r="C949" s="141" t="n"/>
      <c r="D949" s="141" t="n"/>
      <c r="E949" s="141" t="n"/>
      <c r="F949" s="141" t="n"/>
      <c r="G949" s="143" t="n"/>
      <c r="H949" s="27" t="n"/>
    </row>
    <row r="950" ht="17.25" customHeight="1" s="322">
      <c r="A950" s="27" t="n"/>
      <c r="B950" s="506" t="n"/>
      <c r="C950" s="141" t="n"/>
      <c r="D950" s="141" t="n"/>
      <c r="E950" s="141" t="n"/>
      <c r="F950" s="141" t="n"/>
      <c r="G950" s="143" t="n"/>
      <c r="H950" s="27" t="n"/>
    </row>
    <row r="951" ht="17.25" customHeight="1" s="322">
      <c r="A951" s="27" t="n"/>
      <c r="B951" s="506" t="n"/>
      <c r="C951" s="141" t="n"/>
      <c r="D951" s="141" t="n"/>
      <c r="E951" s="141" t="n"/>
      <c r="F951" s="141" t="n"/>
      <c r="G951" s="143" t="n"/>
      <c r="H951" s="27" t="n"/>
    </row>
    <row r="952" ht="17.25" customHeight="1" s="322">
      <c r="A952" s="27" t="n"/>
      <c r="B952" s="506" t="n"/>
      <c r="C952" s="141" t="n"/>
      <c r="D952" s="141" t="n"/>
      <c r="E952" s="141" t="n"/>
      <c r="F952" s="141" t="n"/>
      <c r="G952" s="143" t="n"/>
      <c r="H952" s="27" t="n"/>
    </row>
    <row r="953" ht="17.25" customHeight="1" s="322">
      <c r="A953" s="27" t="n"/>
      <c r="B953" s="506" t="n"/>
      <c r="C953" s="141" t="n"/>
      <c r="D953" s="141" t="n"/>
      <c r="E953" s="141" t="n"/>
      <c r="F953" s="141" t="n"/>
      <c r="G953" s="143" t="n"/>
      <c r="H953" s="27" t="n"/>
    </row>
    <row r="954" ht="17.25" customHeight="1" s="322">
      <c r="A954" s="27" t="n"/>
      <c r="B954" s="506" t="n"/>
      <c r="C954" s="141" t="n"/>
      <c r="D954" s="141" t="n"/>
      <c r="E954" s="141" t="n"/>
      <c r="F954" s="141" t="n"/>
      <c r="G954" s="143" t="n"/>
      <c r="H954" s="27" t="n"/>
    </row>
    <row r="955" ht="17.25" customHeight="1" s="322">
      <c r="A955" s="27" t="n"/>
      <c r="B955" s="506" t="n"/>
      <c r="C955" s="141" t="n"/>
      <c r="D955" s="141" t="n"/>
      <c r="E955" s="141" t="n"/>
      <c r="F955" s="141" t="n"/>
      <c r="G955" s="143" t="n"/>
      <c r="H955" s="27" t="n"/>
    </row>
    <row r="956" ht="17.25" customHeight="1" s="322">
      <c r="A956" s="27" t="n"/>
      <c r="B956" s="506" t="n"/>
      <c r="C956" s="141" t="n"/>
      <c r="D956" s="141" t="n"/>
      <c r="E956" s="141" t="n"/>
      <c r="F956" s="141" t="n"/>
      <c r="G956" s="143" t="n"/>
      <c r="H956" s="27" t="n"/>
    </row>
    <row r="957" ht="17.25" customHeight="1" s="322">
      <c r="A957" s="27" t="n"/>
      <c r="B957" s="506" t="n"/>
      <c r="C957" s="141" t="n"/>
      <c r="D957" s="141" t="n"/>
      <c r="E957" s="141" t="n"/>
      <c r="F957" s="141" t="n"/>
      <c r="G957" s="143" t="n"/>
      <c r="H957" s="27" t="n"/>
    </row>
    <row r="958" ht="17.25" customHeight="1" s="322">
      <c r="A958" s="27" t="n"/>
      <c r="B958" s="506" t="n"/>
      <c r="C958" s="141" t="n"/>
      <c r="D958" s="141" t="n"/>
      <c r="E958" s="141" t="n"/>
      <c r="F958" s="141" t="n"/>
      <c r="G958" s="143" t="n"/>
      <c r="H958" s="27" t="n"/>
    </row>
    <row r="959" ht="17.25" customHeight="1" s="322">
      <c r="A959" s="27" t="n"/>
      <c r="B959" s="506" t="n"/>
      <c r="C959" s="141" t="n"/>
      <c r="D959" s="141" t="n"/>
      <c r="E959" s="141" t="n"/>
      <c r="F959" s="141" t="n"/>
      <c r="G959" s="143" t="n"/>
      <c r="H959" s="27" t="n"/>
    </row>
    <row r="960" ht="17.25" customHeight="1" s="322">
      <c r="A960" s="27" t="n"/>
      <c r="B960" s="506" t="n"/>
      <c r="C960" s="141" t="n"/>
      <c r="D960" s="141" t="n"/>
      <c r="E960" s="141" t="n"/>
      <c r="F960" s="141" t="n"/>
      <c r="G960" s="143" t="n"/>
      <c r="H960" s="27" t="n"/>
    </row>
    <row r="961" ht="17.25" customHeight="1" s="322">
      <c r="A961" s="27" t="n"/>
      <c r="B961" s="506" t="n"/>
      <c r="C961" s="141" t="n"/>
      <c r="D961" s="141" t="n"/>
      <c r="E961" s="141" t="n"/>
      <c r="F961" s="141" t="n"/>
      <c r="G961" s="143" t="n"/>
      <c r="H961" s="27" t="n"/>
    </row>
    <row r="962" ht="17.25" customHeight="1" s="322">
      <c r="A962" s="27" t="n"/>
      <c r="B962" s="506" t="n"/>
      <c r="C962" s="141" t="n"/>
      <c r="D962" s="141" t="n"/>
      <c r="E962" s="141" t="n"/>
      <c r="F962" s="141" t="n"/>
      <c r="G962" s="143" t="n"/>
      <c r="H962" s="27" t="n"/>
    </row>
    <row r="963" ht="17.25" customHeight="1" s="322">
      <c r="A963" s="27" t="n"/>
      <c r="B963" s="506" t="n"/>
      <c r="C963" s="141" t="n"/>
      <c r="D963" s="141" t="n"/>
      <c r="E963" s="141" t="n"/>
      <c r="F963" s="141" t="n"/>
      <c r="G963" s="143" t="n"/>
      <c r="H963" s="27" t="n"/>
    </row>
    <row r="964" ht="17.25" customHeight="1" s="322">
      <c r="A964" s="27" t="n"/>
      <c r="B964" s="506" t="n"/>
      <c r="C964" s="141" t="n"/>
      <c r="D964" s="141" t="n"/>
      <c r="E964" s="141" t="n"/>
      <c r="F964" s="141" t="n"/>
      <c r="G964" s="143" t="n"/>
      <c r="H964" s="27" t="n"/>
    </row>
    <row r="965" ht="17.25" customHeight="1" s="322">
      <c r="A965" s="27" t="n"/>
      <c r="B965" s="506" t="n"/>
      <c r="C965" s="141" t="n"/>
      <c r="D965" s="141" t="n"/>
      <c r="E965" s="141" t="n"/>
      <c r="F965" s="141" t="n"/>
      <c r="G965" s="143" t="n"/>
      <c r="H965" s="27" t="n"/>
    </row>
    <row r="966" ht="17.25" customHeight="1" s="322">
      <c r="A966" s="27" t="n"/>
      <c r="B966" s="506" t="n"/>
      <c r="C966" s="141" t="n"/>
      <c r="D966" s="141" t="n"/>
      <c r="E966" s="141" t="n"/>
      <c r="F966" s="141" t="n"/>
      <c r="G966" s="143" t="n"/>
      <c r="H966" s="27" t="n"/>
    </row>
    <row r="967" ht="17.25" customHeight="1" s="322">
      <c r="A967" s="27" t="n"/>
      <c r="B967" s="506" t="n"/>
      <c r="C967" s="141" t="n"/>
      <c r="D967" s="141" t="n"/>
      <c r="E967" s="141" t="n"/>
      <c r="F967" s="141" t="n"/>
      <c r="G967" s="143" t="n"/>
      <c r="H967" s="27" t="n"/>
    </row>
    <row r="968" ht="17.25" customHeight="1" s="322">
      <c r="A968" s="27" t="n"/>
      <c r="B968" s="506" t="n"/>
      <c r="C968" s="141" t="n"/>
      <c r="D968" s="141" t="n"/>
      <c r="E968" s="141" t="n"/>
      <c r="F968" s="141" t="n"/>
      <c r="G968" s="143" t="n"/>
      <c r="H968" s="27" t="n"/>
    </row>
    <row r="969" ht="17.25" customHeight="1" s="322">
      <c r="A969" s="27" t="n"/>
      <c r="B969" s="506" t="n"/>
      <c r="C969" s="141" t="n"/>
      <c r="D969" s="141" t="n"/>
      <c r="E969" s="141" t="n"/>
      <c r="F969" s="141" t="n"/>
      <c r="G969" s="143" t="n"/>
      <c r="H969" s="27" t="n"/>
    </row>
    <row r="970" ht="17.25" customHeight="1" s="322">
      <c r="A970" s="27" t="n"/>
      <c r="B970" s="506" t="n"/>
      <c r="C970" s="141" t="n"/>
      <c r="D970" s="141" t="n"/>
      <c r="E970" s="141" t="n"/>
      <c r="F970" s="141" t="n"/>
      <c r="G970" s="143" t="n"/>
      <c r="H970" s="27" t="n"/>
    </row>
    <row r="971" ht="17.25" customHeight="1" s="322">
      <c r="A971" s="27" t="n"/>
      <c r="B971" s="506" t="n"/>
      <c r="C971" s="141" t="n"/>
      <c r="D971" s="141" t="n"/>
      <c r="E971" s="141" t="n"/>
      <c r="F971" s="141" t="n"/>
      <c r="G971" s="143" t="n"/>
      <c r="H971" s="27" t="n"/>
    </row>
    <row r="972" ht="17.25" customHeight="1" s="322">
      <c r="A972" s="27" t="n"/>
      <c r="B972" s="506" t="n"/>
      <c r="C972" s="141" t="n"/>
      <c r="D972" s="141" t="n"/>
      <c r="E972" s="141" t="n"/>
      <c r="F972" s="141" t="n"/>
      <c r="G972" s="143" t="n"/>
      <c r="H972" s="27" t="n"/>
    </row>
    <row r="973" ht="17.25" customHeight="1" s="322">
      <c r="A973" s="27" t="n"/>
      <c r="B973" s="506" t="n"/>
      <c r="C973" s="141" t="n"/>
      <c r="D973" s="141" t="n"/>
      <c r="E973" s="141" t="n"/>
      <c r="F973" s="141" t="n"/>
      <c r="G973" s="143" t="n"/>
      <c r="H973" s="27" t="n"/>
    </row>
    <row r="974" ht="17.25" customHeight="1" s="322">
      <c r="A974" s="27" t="n"/>
      <c r="B974" s="506" t="n"/>
      <c r="C974" s="141" t="n"/>
      <c r="D974" s="141" t="n"/>
      <c r="E974" s="141" t="n"/>
      <c r="F974" s="141" t="n"/>
      <c r="G974" s="143" t="n"/>
      <c r="H974" s="27" t="n"/>
    </row>
    <row r="975" ht="17.25" customHeight="1" s="322">
      <c r="A975" s="27" t="n"/>
      <c r="B975" s="506" t="n"/>
      <c r="C975" s="141" t="n"/>
      <c r="D975" s="141" t="n"/>
      <c r="E975" s="141" t="n"/>
      <c r="F975" s="141" t="n"/>
      <c r="G975" s="143" t="n"/>
      <c r="H975" s="27" t="n"/>
    </row>
    <row r="976" ht="17.25" customHeight="1" s="322">
      <c r="A976" s="27" t="n"/>
      <c r="B976" s="506" t="n"/>
      <c r="C976" s="141" t="n"/>
      <c r="D976" s="141" t="n"/>
      <c r="E976" s="141" t="n"/>
      <c r="F976" s="141" t="n"/>
      <c r="G976" s="143" t="n"/>
      <c r="H976" s="27" t="n"/>
    </row>
    <row r="977" ht="17.25" customHeight="1" s="322">
      <c r="A977" s="27" t="n"/>
      <c r="B977" s="506" t="n"/>
      <c r="C977" s="141" t="n"/>
      <c r="D977" s="141" t="n"/>
      <c r="E977" s="141" t="n"/>
      <c r="F977" s="141" t="n"/>
      <c r="G977" s="143" t="n"/>
      <c r="H977" s="27" t="n"/>
    </row>
    <row r="978" ht="17.25" customHeight="1" s="322">
      <c r="A978" s="27" t="n"/>
      <c r="B978" s="506" t="n"/>
      <c r="C978" s="141" t="n"/>
      <c r="D978" s="141" t="n"/>
      <c r="E978" s="141" t="n"/>
      <c r="F978" s="141" t="n"/>
      <c r="G978" s="143" t="n"/>
      <c r="H978" s="27" t="n"/>
    </row>
    <row r="979" ht="17.25" customHeight="1" s="322">
      <c r="A979" s="27" t="n"/>
      <c r="B979" s="506" t="n"/>
      <c r="C979" s="141" t="n"/>
      <c r="D979" s="141" t="n"/>
      <c r="E979" s="141" t="n"/>
      <c r="F979" s="141" t="n"/>
      <c r="G979" s="143" t="n"/>
      <c r="H979" s="27" t="n"/>
    </row>
    <row r="980" ht="17.25" customHeight="1" s="322">
      <c r="A980" s="27" t="n"/>
      <c r="B980" s="506" t="n"/>
      <c r="C980" s="141" t="n"/>
      <c r="D980" s="141" t="n"/>
      <c r="E980" s="141" t="n"/>
      <c r="F980" s="141" t="n"/>
      <c r="G980" s="143" t="n"/>
      <c r="H980" s="27" t="n"/>
    </row>
    <row r="981" ht="17.25" customHeight="1" s="322">
      <c r="A981" s="27" t="n"/>
      <c r="B981" s="506" t="n"/>
      <c r="C981" s="141" t="n"/>
      <c r="D981" s="141" t="n"/>
      <c r="E981" s="141" t="n"/>
      <c r="F981" s="141" t="n"/>
      <c r="G981" s="143" t="n"/>
      <c r="H981" s="27" t="n"/>
    </row>
    <row r="982" ht="17.25" customHeight="1" s="322">
      <c r="A982" s="27" t="n"/>
      <c r="B982" s="506" t="n"/>
      <c r="C982" s="141" t="n"/>
      <c r="D982" s="141" t="n"/>
      <c r="E982" s="141" t="n"/>
      <c r="F982" s="141" t="n"/>
      <c r="G982" s="143" t="n"/>
      <c r="H982" s="27" t="n"/>
    </row>
    <row r="983" ht="17.25" customHeight="1" s="322">
      <c r="A983" s="27" t="n"/>
      <c r="B983" s="506" t="n"/>
      <c r="C983" s="141" t="n"/>
      <c r="D983" s="141" t="n"/>
      <c r="E983" s="141" t="n"/>
      <c r="F983" s="141" t="n"/>
      <c r="G983" s="143" t="n"/>
      <c r="H983" s="27" t="n"/>
    </row>
    <row r="984" ht="17.25" customHeight="1" s="322">
      <c r="A984" s="27" t="n"/>
      <c r="B984" s="506" t="n"/>
      <c r="C984" s="141" t="n"/>
      <c r="D984" s="141" t="n"/>
      <c r="E984" s="141" t="n"/>
      <c r="F984" s="141" t="n"/>
      <c r="G984" s="143" t="n"/>
      <c r="H984" s="27" t="n"/>
    </row>
    <row r="985" ht="17.25" customHeight="1" s="322">
      <c r="A985" s="27" t="n"/>
      <c r="B985" s="506" t="n"/>
      <c r="C985" s="141" t="n"/>
      <c r="D985" s="141" t="n"/>
      <c r="E985" s="141" t="n"/>
      <c r="F985" s="141" t="n"/>
      <c r="G985" s="143" t="n"/>
      <c r="H985" s="27" t="n"/>
    </row>
    <row r="986" ht="17.25" customHeight="1" s="322">
      <c r="A986" s="27" t="n"/>
      <c r="B986" s="506" t="n"/>
      <c r="C986" s="141" t="n"/>
      <c r="D986" s="141" t="n"/>
      <c r="E986" s="141" t="n"/>
      <c r="F986" s="141" t="n"/>
      <c r="G986" s="143" t="n"/>
      <c r="H986" s="27" t="n"/>
    </row>
    <row r="987" ht="17.25" customHeight="1" s="322">
      <c r="A987" s="27" t="n"/>
      <c r="B987" s="506" t="n"/>
      <c r="C987" s="141" t="n"/>
      <c r="D987" s="141" t="n"/>
      <c r="E987" s="141" t="n"/>
      <c r="F987" s="141" t="n"/>
      <c r="G987" s="143" t="n"/>
      <c r="H987" s="27" t="n"/>
    </row>
    <row r="988" ht="17.25" customHeight="1" s="322">
      <c r="A988" s="27" t="n"/>
      <c r="B988" s="506" t="n"/>
      <c r="C988" s="141" t="n"/>
      <c r="D988" s="141" t="n"/>
      <c r="E988" s="141" t="n"/>
      <c r="F988" s="141" t="n"/>
      <c r="G988" s="143" t="n"/>
      <c r="H988" s="27" t="n"/>
    </row>
    <row r="989" ht="17.25" customHeight="1" s="322">
      <c r="A989" s="27" t="n"/>
      <c r="B989" s="506" t="n"/>
      <c r="C989" s="141" t="n"/>
      <c r="D989" s="141" t="n"/>
      <c r="E989" s="141" t="n"/>
      <c r="F989" s="141" t="n"/>
      <c r="G989" s="143" t="n"/>
      <c r="H989" s="27" t="n"/>
    </row>
    <row r="990" ht="17.25" customHeight="1" s="322">
      <c r="A990" s="27" t="n"/>
      <c r="B990" s="506" t="n"/>
      <c r="C990" s="141" t="n"/>
      <c r="D990" s="141" t="n"/>
      <c r="E990" s="141" t="n"/>
      <c r="F990" s="141" t="n"/>
      <c r="G990" s="143" t="n"/>
      <c r="H990" s="27" t="n"/>
    </row>
    <row r="991" ht="17.25" customHeight="1" s="322">
      <c r="A991" s="27" t="n"/>
      <c r="B991" s="506" t="n"/>
      <c r="C991" s="141" t="n"/>
      <c r="D991" s="141" t="n"/>
      <c r="E991" s="141" t="n"/>
      <c r="F991" s="141" t="n"/>
      <c r="G991" s="143" t="n"/>
      <c r="H991" s="27" t="n"/>
    </row>
    <row r="992" ht="17.25" customHeight="1" s="322">
      <c r="A992" s="27" t="n"/>
      <c r="B992" s="506" t="n"/>
      <c r="C992" s="141" t="n"/>
      <c r="D992" s="141" t="n"/>
      <c r="E992" s="141" t="n"/>
      <c r="F992" s="141" t="n"/>
      <c r="G992" s="143" t="n"/>
      <c r="H992" s="27" t="n"/>
    </row>
    <row r="993" ht="17.25" customHeight="1" s="322">
      <c r="A993" s="27" t="n"/>
      <c r="B993" s="506" t="n"/>
      <c r="C993" s="141" t="n"/>
      <c r="D993" s="141" t="n"/>
      <c r="E993" s="141" t="n"/>
      <c r="F993" s="141" t="n"/>
      <c r="G993" s="143" t="n"/>
      <c r="H993" s="27" t="n"/>
    </row>
    <row r="994" ht="17.25" customHeight="1" s="322">
      <c r="A994" s="27" t="n"/>
      <c r="B994" s="506" t="n"/>
      <c r="C994" s="141" t="n"/>
      <c r="D994" s="141" t="n"/>
      <c r="E994" s="141" t="n"/>
      <c r="F994" s="141" t="n"/>
      <c r="G994" s="143" t="n"/>
      <c r="H994" s="27" t="n"/>
    </row>
    <row r="995" ht="17.25" customHeight="1" s="322">
      <c r="A995" s="27" t="n"/>
      <c r="B995" s="506" t="n"/>
      <c r="C995" s="141" t="n"/>
      <c r="D995" s="141" t="n"/>
      <c r="E995" s="141" t="n"/>
      <c r="F995" s="141" t="n"/>
      <c r="G995" s="143" t="n"/>
      <c r="H995" s="27" t="n"/>
    </row>
    <row r="996" ht="17.25" customHeight="1" s="322">
      <c r="A996" s="27" t="n"/>
      <c r="B996" s="506" t="n"/>
      <c r="C996" s="141" t="n"/>
      <c r="D996" s="141" t="n"/>
      <c r="E996" s="141" t="n"/>
      <c r="F996" s="141" t="n"/>
      <c r="G996" s="143" t="n"/>
      <c r="H996" s="27" t="n"/>
    </row>
    <row r="997" ht="17.25" customHeight="1" s="322">
      <c r="A997" s="27" t="n"/>
      <c r="B997" s="506" t="n"/>
      <c r="C997" s="141" t="n"/>
      <c r="D997" s="141" t="n"/>
      <c r="E997" s="141" t="n"/>
      <c r="F997" s="141" t="n"/>
      <c r="G997" s="143" t="n"/>
      <c r="H997" s="27" t="n"/>
    </row>
    <row r="998" ht="17.25" customHeight="1" s="322">
      <c r="A998" s="27" t="n"/>
      <c r="B998" s="506" t="n"/>
      <c r="C998" s="141" t="n"/>
      <c r="D998" s="141" t="n"/>
      <c r="E998" s="141" t="n"/>
      <c r="F998" s="141" t="n"/>
      <c r="G998" s="143" t="n"/>
      <c r="H998" s="27" t="n"/>
    </row>
    <row r="999" ht="17.25" customHeight="1" s="322">
      <c r="A999" s="27" t="n"/>
      <c r="B999" s="506" t="n"/>
      <c r="C999" s="141" t="n"/>
      <c r="D999" s="141" t="n"/>
      <c r="E999" s="141" t="n"/>
      <c r="F999" s="141" t="n"/>
      <c r="G999" s="143" t="n"/>
      <c r="H999" s="27" t="n"/>
    </row>
    <row r="1000" ht="17.25" customHeight="1" s="322">
      <c r="A1000" s="27" t="n"/>
      <c r="B1000" s="506" t="n"/>
      <c r="C1000" s="141" t="n"/>
      <c r="D1000" s="141" t="n"/>
      <c r="E1000" s="141" t="n"/>
      <c r="F1000" s="141" t="n"/>
      <c r="G1000" s="143" t="n"/>
      <c r="H1000" s="27" t="n"/>
    </row>
  </sheetData>
  <mergeCells count="3">
    <mergeCell ref="B1:F2"/>
    <mergeCell ref="B7:G7"/>
    <mergeCell ref="B10:C10"/>
  </mergeCells>
  <conditionalFormatting sqref="D10:E10">
    <cfRule type="cellIs" priority="5" operator="lessThan" dxfId="5">
      <formula>0</formula>
    </cfRule>
    <cfRule type="cellIs" priority="6" operator="greaterThan" dxfId="4">
      <formula>0</formula>
    </cfRule>
  </conditionalFormatting>
  <conditionalFormatting sqref="F28:F1000">
    <cfRule type="expression" priority="1" dxfId="3">
      <formula>AND(F28=MAX(F$28:F$1000),F28&gt;0)</formula>
    </cfRule>
    <cfRule type="expression" priority="2" dxfId="2">
      <formula>AND(F28=MIN(F$28:F$1000),F28&gt;0)</formula>
    </cfRule>
  </conditionalFormatting>
  <conditionalFormatting sqref="F29:F1000">
    <cfRule type="expression" priority="3" dxfId="1">
      <formula>F29&gt;F27</formula>
    </cfRule>
    <cfRule type="expression" priority="4" dxfId="0">
      <formula>F29&lt;F27</formula>
    </cfRule>
  </conditionalFormatting>
  <conditionalFormatting sqref="G15">
    <cfRule type="colorScale" priority="7">
      <colorScale>
        <cfvo type="min"/>
        <cfvo type="max"/>
        <color rgb="FF57BB8A"/>
        <color rgb="FFFFFFFF"/>
      </colorScale>
    </cfRule>
  </conditionalFormatting>
  <dataValidations count="1">
    <dataValidation sqref="G15" showDropDown="0" showInputMessage="1" showErrorMessage="1" allowBlank="1" prompt="Click and enter a value from the list of items" type="list">
      <formula1>"1 Month,3 Months,6 Months,12 Months,36 Months"</formula1>
    </dataValidation>
  </dataValidations>
  <hyperlinks>
    <hyperlink xmlns:r="http://schemas.openxmlformats.org/officeDocument/2006/relationships" ref="B1" r:id="rId1"/>
    <hyperlink xmlns:r="http://schemas.openxmlformats.org/officeDocument/2006/relationships" ref="G2" r:id="rId2"/>
  </hyperlinks>
  <pageMargins left="0.7" right="0.7" top="0.75" bottom="0.75" header="0.3" footer="0.3"/>
  <drawing xmlns:r="http://schemas.openxmlformats.org/officeDocument/2006/relationships" r:id="rId3"/>
</worksheet>
</file>

<file path=xl/worksheets/sheet29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5703125" defaultRowHeight="15.7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2026-07-30T04:37:41Z</dcterms:created>
  <dcterms:modified xsi:type="dcterms:W3CDTF">2026-07-30T04:37:44Z</dcterms:modified>
  <cp:lastModifiedBy>김용(YONG KIM)[yong.kim]</cp:lastModifiedBy>
</cp:coreProperties>
</file>